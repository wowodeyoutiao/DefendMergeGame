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0aeb29bde45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99ab207eb7de4892"/>
    <x:sheet xmlns:r="http://schemas.openxmlformats.org/officeDocument/2006/relationships" name="广告成长对照" sheetId="2" r:id="R71c5bd4434dc4543"/>
    <x:sheet xmlns:r="http://schemas.openxmlformats.org/officeDocument/2006/relationships" name="经济参数" sheetId="3" r:id="R0b11b921507245ea"/>
    <x:sheet xmlns:r="http://schemas.openxmlformats.org/officeDocument/2006/relationships" name="材料与任务" sheetId="4" r:id="R997caa571ee04e16"/>
    <x:sheet xmlns:r="http://schemas.openxmlformats.org/officeDocument/2006/relationships" name="商店与兑换" sheetId="5" r:id="Rc7fee25fdee64bd0"/>
    <x:sheet xmlns:r="http://schemas.openxmlformats.org/officeDocument/2006/relationships" name="装备品质" sheetId="6" r:id="Rc9e605e91d084535"/>
    <x:sheet xmlns:r="http://schemas.openxmlformats.org/officeDocument/2006/relationships" name="装备掉落" sheetId="7" r:id="Rdb584cbb7d9a4c37"/>
    <x:sheet xmlns:r="http://schemas.openxmlformats.org/officeDocument/2006/relationships" name="强化消耗" sheetId="8" r:id="R09d8d72783cc48f7"/>
    <x:sheet xmlns:r="http://schemas.openxmlformats.org/officeDocument/2006/relationships" name="升星消耗" sheetId="9" r:id="Ra752342d8ee34214"/>
    <x:sheet xmlns:r="http://schemas.openxmlformats.org/officeDocument/2006/relationships" name="难度参数" sheetId="10" r:id="Ra52886f999b04940"/>
    <x:sheet xmlns:r="http://schemas.openxmlformats.org/officeDocument/2006/relationships" name="章节与怪物" sheetId="11" r:id="R919c3f3781a1462e"/>
    <x:sheet xmlns:r="http://schemas.openxmlformats.org/officeDocument/2006/relationships" name="关卡总表" sheetId="12" r:id="Ra6471099a8044765"/>
    <x:sheet xmlns:r="http://schemas.openxmlformats.org/officeDocument/2006/relationships" name="波次预览" sheetId="13" r:id="R596328339b0b4164"/>
    <x:sheet xmlns:r="http://schemas.openxmlformats.org/officeDocument/2006/relationships" name="战斗压力" sheetId="14" r:id="R1d9f34241a824ffb"/>
    <x:sheet xmlns:r="http://schemas.openxmlformats.org/officeDocument/2006/relationships" name="每日计划" sheetId="15" r:id="Re5d35c6f263f43b1"/>
    <x:sheet xmlns:r="http://schemas.openxmlformats.org/officeDocument/2006/relationships" name="30天收支" sheetId="16" r:id="R5f6ee8fe6a234dbd"/>
    <x:sheet xmlns:r="http://schemas.openxmlformats.org/officeDocument/2006/relationships" name="产销全景" sheetId="17" r:id="Rd094cf49b2b64d2d"/>
    <x:sheet xmlns:r="http://schemas.openxmlformats.org/officeDocument/2006/relationships" name="主角与技能" sheetId="18" r:id="Rac03591847fc40e2"/>
    <x:sheet xmlns:r="http://schemas.openxmlformats.org/officeDocument/2006/relationships" name="问题与建议" sheetId="19" r:id="R197ce117cb1845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0;[Red]-#,##0.00;&quot;-&quot;"/>
    <x:numFmt numFmtId="201" formatCode="0"/>
    <x:numFmt numFmtId="202" formatCode="0.0%"/>
    <x:numFmt numFmtId="203" formatCode="0.00%"/>
    <x:numFmt numFmtId="204" formatCode="#,##0"/>
    <x:numFmt numFmtId="205" formatCode="0%"/>
    <x:numFmt numFmtId="206" formatCode="0.00x"/>
    <x:numFmt numFmtId="207" formatCode="#,##0.0"/>
    <x:numFmt numFmtId="208" formatCode="#,##0;[Red]-#,##0;0"/>
  </x:numFmts>
  <x:fonts count="19">
    <x:font>
      <x:sz val="11"/>
      <x:name val="Carlito"/>
    </x:font>
    <x:font>
      <x:sz val="11"/>
      <x:color rgb="FF263B43"/>
      <x:name val="Carlito"/>
    </x:font>
    <x:font>
      <x:b/>
      <x:sz val="11"/>
      <x:color rgb="FFFFFFFF"/>
      <x:name val="Carlito"/>
    </x:font>
    <x:font>
      <x:sz val="11"/>
      <x:color rgb="FF1757A6"/>
      <x:name val="Carlito"/>
    </x:font>
    <x:font>
      <x:sz val="11"/>
      <x:color rgb="FF67757D"/>
      <x:name val="Carlito"/>
    </x:font>
    <x:font>
      <x:sz val="11"/>
      <x:color rgb="FF17623C"/>
      <x:name val="Carlito"/>
    </x:font>
    <x:font>
      <x:b/>
      <x:sz val="11"/>
      <x:color rgb="FFFFFFFF"/>
      <x:name val="Microsoft YaHei"/>
    </x:font>
    <x:font>
      <x:sz val="11"/>
      <x:color rgb="FF263B43"/>
      <x:name val="Microsoft YaHei"/>
    </x:font>
    <x:font>
      <x:sz val="11"/>
      <x:color rgb="FF1757A6"/>
      <x:name val="Microsoft YaHei"/>
    </x:font>
    <x:font>
      <x:sz val="11"/>
      <x:color rgb="FF17623C"/>
      <x:name val="Microsoft YaHei"/>
    </x:font>
    <x:font>
      <x:b/>
      <x:sz val="10"/>
      <x:color rgb="FFFFFFFF"/>
      <x:name val="Microsoft YaHei"/>
    </x:font>
    <x:font>
      <x:sz val="10"/>
      <x:color rgb="FF263B43"/>
      <x:name val="Microsoft YaHei"/>
    </x:font>
    <x:font>
      <x:sz val="10"/>
      <x:color rgb="FF1757A6"/>
      <x:name val="Microsoft YaHei"/>
    </x:font>
    <x:font>
      <x:sz val="10"/>
      <x:color rgb="FF17623C"/>
      <x:name val="Microsoft YaHei"/>
    </x:font>
    <x:font>
      <x:b/>
      <x:sz val="18"/>
      <x:color rgb="FFFFFFFF"/>
      <x:name val="Microsoft YaHei"/>
    </x:font>
    <x:font>
      <x:sz val="11"/>
      <x:color rgb="FF67757D"/>
      <x:name val="Microsoft YaHei"/>
    </x:font>
    <x:font>
      <x:sz val="10"/>
      <x:color rgb="FF67757D"/>
      <x:name val="Microsoft YaHei"/>
    </x:font>
    <x:font>
      <x:sz val="11"/>
      <x:name val="Microsoft YaHei"/>
    </x:font>
    <x:font>
      <x:sz val="1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6E73"/>
      </x:patternFill>
    </x:fill>
    <x:fill>
      <x:patternFill patternType="solid">
        <x:fgColor rgb="FFEAF3F3"/>
      </x:patternFill>
    </x:fill>
    <x:fill>
      <x:patternFill patternType="solid">
        <x:fgColor rgb="FFFFF4CE"/>
      </x:patternFill>
    </x:fill>
  </x:fills>
  <x:borders count="1">
    <x:border/>
  </x:borders>
  <x:cellStyleXfs count="1">
    <x:xf numFmtId="0" fontId="0" fillId="0" borderId="0"/>
  </x:cellStyleXfs>
  <x:cellXfs count="133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200" fontId="5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202" fontId="3" fillId="4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3" fillId="4" borderId="0" xfId="0" applyNumberFormat="1" applyFont="1" applyFill="1" applyBorder="1"/>
    <x:xf numFmtId="202" fontId="1" fillId="0" borderId="0" xfId="0" applyNumberFormat="1" applyFont="1" applyFill="1" applyBorder="1"/>
    <x:xf numFmtId="202" fontId="3" fillId="4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4" fontId="1" fillId="0" borderId="0" xfId="0" applyNumberFormat="1" applyFont="1" applyFill="1" applyBorder="1"/>
    <x:xf numFmtId="200" fontId="3" fillId="3" borderId="0" xfId="0" applyNumberFormat="1" applyFont="1" applyFill="1" applyBorder="1"/>
    <x:xf numFmtId="200" fontId="5" fillId="3" borderId="0" xfId="0" applyNumberFormat="1" applyFont="1" applyFill="1" applyBorder="1"/>
    <x:xf numFmtId="205" fontId="1" fillId="0" borderId="0" xfId="0" applyNumberFormat="1" applyFont="1" applyFill="1" applyBorder="1"/>
    <x:xf numFmtId="205" fontId="1" fillId="0" borderId="0" xfId="0" applyNumberFormat="1" applyFont="1" applyFill="1" applyBorder="1" applyAlignment="1">
      <x:alignment wrapText="1"/>
    </x:xf>
    <x:xf numFmtId="206" fontId="5" fillId="3" borderId="0" xfId="0" applyNumberFormat="1" applyFont="1" applyFill="1" applyBorder="1"/>
    <x:xf numFmtId="207" fontId="5" fillId="0" borderId="0" xfId="0" applyNumberFormat="1" applyFont="1" applyFill="1" applyBorder="1"/>
    <x:xf numFmtId="206" fontId="5" fillId="3" borderId="0" xfId="0" applyNumberFormat="1" applyFont="1" applyFill="1" applyBorder="1" applyAlignment="1">
      <x:alignment wrapText="1"/>
    </x:xf>
    <x:xf numFmtId="207" fontId="5" fillId="0" borderId="0" xfId="0" applyNumberFormat="1" applyFont="1" applyFill="1" applyBorder="1" applyAlignment="1">
      <x:alignment wrapText="1"/>
    </x:xf>
    <x:xf numFmtId="208" fontId="1" fillId="0" borderId="0" xfId="0" applyNumberFormat="1" applyFont="1" applyFill="1" applyBorder="1"/>
    <x:xf numFmtId="208" fontId="5" fillId="0" borderId="0" xfId="0" applyNumberFormat="1" applyFont="1" applyFill="1" applyBorder="1"/>
    <x:xf numFmtId="200" fontId="6" fillId="2" borderId="0" xfId="0" applyNumberFormat="1" applyFont="1" applyFill="1" applyBorder="1"/>
    <x:xf numFmtId="200" fontId="7" fillId="3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/>
    <x:xf numFmtId="201" fontId="8" fillId="4" borderId="0" xfId="0" applyNumberFormat="1" applyFont="1" applyFill="1" applyBorder="1"/>
    <x:xf numFmtId="200" fontId="6" fillId="2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8" fontId="9" fillId="0" borderId="0" xfId="0" applyNumberFormat="1" applyFont="1" applyFill="1" applyBorder="1"/>
    <x:xf numFmtId="200" fontId="9" fillId="0" borderId="0" xfId="0" applyNumberFormat="1" applyFont="1" applyFill="1" applyBorder="1"/>
    <x:xf numFmtId="200" fontId="10" fillId="2" borderId="0" xfId="0" applyNumberFormat="1" applyFont="1" applyFill="1" applyBorder="1"/>
    <x:xf numFmtId="200" fontId="11" fillId="3" borderId="0" xfId="0" applyNumberFormat="1" applyFont="1" applyFill="1" applyBorder="1" applyAlignment="1">
      <x:alignment wrapText="1"/>
    </x:xf>
    <x:xf numFmtId="200" fontId="11" fillId="0" borderId="0" xfId="0" applyNumberFormat="1" applyFont="1" applyFill="1" applyBorder="1"/>
    <x:xf numFmtId="201" fontId="12" fillId="4" borderId="0" xfId="0" applyNumberFormat="1" applyFont="1" applyFill="1" applyBorder="1"/>
    <x:xf numFmtId="200" fontId="10" fillId="2" borderId="0" xfId="0" applyNumberFormat="1" applyFont="1" applyFill="1" applyBorder="1" applyAlignment="1">
      <x:alignment wrapText="1"/>
    </x:xf>
    <x:xf numFmtId="200" fontId="11" fillId="0" borderId="0" xfId="0" applyNumberFormat="1" applyFont="1" applyFill="1" applyBorder="1" applyAlignment="1">
      <x:alignment wrapText="1"/>
    </x:xf>
    <x:xf numFmtId="200" fontId="13" fillId="0" borderId="0" xfId="0" applyNumberFormat="1" applyFont="1" applyFill="1" applyBorder="1" applyAlignment="1">
      <x:alignment wrapText="1"/>
    </x:xf>
    <x:xf numFmtId="208" fontId="13" fillId="0" borderId="0" xfId="0" applyNumberFormat="1" applyFont="1" applyFill="1" applyBorder="1"/>
    <x:xf numFmtId="200" fontId="13" fillId="0" borderId="0" xfId="0" applyNumberFormat="1" applyFont="1" applyFill="1" applyBorder="1"/>
    <x:xf numFmtId="200" fontId="14" fillId="2" borderId="0" xfId="0" applyNumberFormat="1" applyFont="1" applyFill="1" applyBorder="1"/>
    <x:xf numFmtId="200" fontId="14" fillId="2" borderId="0" xfId="0" applyNumberFormat="1" applyFont="1" applyFill="1" applyBorder="1" applyAlignment="1">
      <x:alignment vertical="center"/>
    </x:xf>
    <x:xf numFmtId="200" fontId="10" fillId="2" borderId="0" xfId="0" applyNumberFormat="1" applyFont="1" applyFill="1" applyBorder="1" applyAlignment="1">
      <x:alignment vertical="center"/>
    </x:xf>
    <x:xf numFmtId="200" fontId="11" fillId="3" borderId="0" xfId="0" applyNumberFormat="1" applyFont="1" applyFill="1" applyBorder="1" applyAlignment="1">
      <x:alignment vertical="center" wrapText="1"/>
    </x:xf>
    <x:xf numFmtId="200" fontId="11" fillId="0" borderId="0" xfId="0" applyNumberFormat="1" applyFont="1" applyFill="1" applyBorder="1" applyAlignment="1">
      <x:alignment vertical="center"/>
    </x:xf>
    <x:xf numFmtId="201" fontId="12" fillId="4" borderId="0" xfId="0" applyNumberFormat="1" applyFont="1" applyFill="1" applyBorder="1" applyAlignment="1">
      <x:alignment vertical="center"/>
    </x:xf>
    <x:xf numFmtId="200" fontId="10" fillId="2" borderId="0" xfId="0" applyNumberFormat="1" applyFont="1" applyFill="1" applyBorder="1" applyAlignment="1">
      <x:alignment vertical="center" wrapText="1"/>
    </x:xf>
    <x:xf numFmtId="200" fontId="11" fillId="0" borderId="0" xfId="0" applyNumberFormat="1" applyFont="1" applyFill="1" applyBorder="1" applyAlignment="1">
      <x:alignment vertical="center" wrapText="1"/>
    </x:xf>
    <x:xf numFmtId="200" fontId="13" fillId="0" borderId="0" xfId="0" applyNumberFormat="1" applyFont="1" applyFill="1" applyBorder="1" applyAlignment="1">
      <x:alignment vertical="center" wrapText="1"/>
    </x:xf>
    <x:xf numFmtId="208" fontId="13" fillId="0" borderId="0" xfId="0" applyNumberFormat="1" applyFont="1" applyFill="1" applyBorder="1" applyAlignment="1">
      <x:alignment vertical="center"/>
    </x:xf>
    <x:xf numFmtId="200" fontId="13" fillId="0" borderId="0" xfId="0" applyNumberFormat="1" applyFont="1" applyFill="1" applyBorder="1" applyAlignment="1">
      <x:alignment vertical="center"/>
    </x:xf>
    <x:xf numFmtId="206" fontId="9" fillId="3" borderId="0" xfId="0" applyNumberFormat="1" applyFont="1" applyFill="1" applyBorder="1" applyAlignment="1">
      <x:alignment wrapText="1"/>
    </x:xf>
    <x:xf numFmtId="207" fontId="9" fillId="0" borderId="0" xfId="0" applyNumberFormat="1" applyFont="1" applyFill="1" applyBorder="1" applyAlignment="1">
      <x:alignment wrapText="1"/>
    </x:xf>
    <x:xf numFmtId="200" fontId="15" fillId="0" borderId="0" xfId="0" applyNumberFormat="1" applyFont="1" applyFill="1" applyBorder="1"/>
    <x:xf numFmtId="206" fontId="13" fillId="3" borderId="0" xfId="0" applyNumberFormat="1" applyFont="1" applyFill="1" applyBorder="1" applyAlignment="1">
      <x:alignment wrapText="1"/>
    </x:xf>
    <x:xf numFmtId="207" fontId="13" fillId="0" borderId="0" xfId="0" applyNumberFormat="1" applyFont="1" applyFill="1" applyBorder="1" applyAlignment="1">
      <x:alignment wrapText="1"/>
    </x:xf>
    <x:xf numFmtId="200" fontId="16" fillId="0" borderId="0" xfId="0" applyNumberFormat="1" applyFont="1" applyFill="1" applyBorder="1"/>
    <x:xf numFmtId="206" fontId="13" fillId="3" borderId="0" xfId="0" applyNumberFormat="1" applyFont="1" applyFill="1" applyBorder="1" applyAlignment="1">
      <x:alignment vertical="center" wrapText="1"/>
    </x:xf>
    <x:xf numFmtId="207" fontId="13" fillId="0" borderId="0" xfId="0" applyNumberFormat="1" applyFont="1" applyFill="1" applyBorder="1" applyAlignment="1">
      <x:alignment vertical="center" wrapText="1"/>
    </x:xf>
    <x:xf numFmtId="200" fontId="16" fillId="0" borderId="0" xfId="0" applyNumberFormat="1" applyFont="1" applyFill="1" applyBorder="1" applyAlignment="1">
      <x:alignment vertical="center"/>
    </x:xf>
    <x:xf numFmtId="200" fontId="15" fillId="0" borderId="0" xfId="0" applyNumberFormat="1" applyFont="1" applyFill="1" applyBorder="1" applyAlignment="1">
      <x:alignment wrapText="1"/>
    </x:xf>
    <x:xf numFmtId="200" fontId="8" fillId="4" borderId="0" xfId="0" applyNumberFormat="1" applyFont="1" applyFill="1" applyBorder="1" applyAlignment="1">
      <x:alignment wrapText="1"/>
    </x:xf>
    <x:xf numFmtId="202" fontId="15" fillId="0" borderId="0" xfId="0" applyNumberFormat="1" applyFont="1" applyFill="1" applyBorder="1" applyAlignment="1">
      <x:alignment wrapText="1"/>
    </x:xf>
    <x:xf numFmtId="202" fontId="8" fillId="4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200" fontId="16" fillId="0" borderId="0" xfId="0" applyNumberFormat="1" applyFont="1" applyFill="1" applyBorder="1" applyAlignment="1">
      <x:alignment wrapText="1"/>
    </x:xf>
    <x:xf numFmtId="200" fontId="12" fillId="4" borderId="0" xfId="0" applyNumberFormat="1" applyFont="1" applyFill="1" applyBorder="1" applyAlignment="1">
      <x:alignment wrapText="1"/>
    </x:xf>
    <x:xf numFmtId="202" fontId="16" fillId="0" borderId="0" xfId="0" applyNumberFormat="1" applyFont="1" applyFill="1" applyBorder="1" applyAlignment="1">
      <x:alignment wrapText="1"/>
    </x:xf>
    <x:xf numFmtId="202" fontId="12" fillId="4" borderId="0" xfId="0" applyNumberFormat="1" applyFont="1" applyFill="1" applyBorder="1" applyAlignment="1">
      <x:alignment wrapText="1"/>
    </x:xf>
    <x:xf numFmtId="202" fontId="13" fillId="0" borderId="0" xfId="0" applyNumberFormat="1" applyFont="1" applyFill="1" applyBorder="1" applyAlignment="1">
      <x:alignment wrapText="1"/>
    </x:xf>
    <x:xf numFmtId="200" fontId="16" fillId="0" borderId="0" xfId="0" applyNumberFormat="1" applyFont="1" applyFill="1" applyBorder="1" applyAlignment="1">
      <x:alignment vertical="center" wrapText="1"/>
    </x:xf>
    <x:xf numFmtId="200" fontId="12" fillId="4" borderId="0" xfId="0" applyNumberFormat="1" applyFont="1" applyFill="1" applyBorder="1" applyAlignment="1">
      <x:alignment vertical="center" wrapText="1"/>
    </x:xf>
    <x:xf numFmtId="202" fontId="16" fillId="0" borderId="0" xfId="0" applyNumberFormat="1" applyFont="1" applyFill="1" applyBorder="1" applyAlignment="1">
      <x:alignment vertical="center" wrapText="1"/>
    </x:xf>
    <x:xf numFmtId="202" fontId="12" fillId="4" borderId="0" xfId="0" applyNumberFormat="1" applyFont="1" applyFill="1" applyBorder="1" applyAlignment="1">
      <x:alignment vertical="center" wrapText="1"/>
    </x:xf>
    <x:xf numFmtId="202" fontId="13" fillId="0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18" fillId="0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8" fillId="0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 wrapText="1"/>
    </x:xf>
    <x:xf numFmtId="203" fontId="7" fillId="0" borderId="0" xfId="0" applyNumberFormat="1" applyFont="1" applyFill="1" applyBorder="1"/>
    <x:xf numFmtId="200" fontId="8" fillId="4" borderId="0" xfId="0" applyNumberFormat="1" applyFont="1" applyFill="1" applyBorder="1"/>
    <x:xf numFmtId="203" fontId="8" fillId="4" borderId="0" xfId="0" applyNumberFormat="1" applyFont="1" applyFill="1" applyBorder="1"/>
    <x:xf numFmtId="203" fontId="11" fillId="0" borderId="0" xfId="0" applyNumberFormat="1" applyFont="1" applyFill="1" applyBorder="1"/>
    <x:xf numFmtId="200" fontId="12" fillId="4" borderId="0" xfId="0" applyNumberFormat="1" applyFont="1" applyFill="1" applyBorder="1"/>
    <x:xf numFmtId="203" fontId="12" fillId="4" borderId="0" xfId="0" applyNumberFormat="1" applyFont="1" applyFill="1" applyBorder="1"/>
    <x:xf numFmtId="203" fontId="11" fillId="0" borderId="0" xfId="0" applyNumberFormat="1" applyFont="1" applyFill="1" applyBorder="1" applyAlignment="1">
      <x:alignment vertical="center"/>
    </x:xf>
    <x:xf numFmtId="200" fontId="12" fillId="4" borderId="0" xfId="0" applyNumberFormat="1" applyFont="1" applyFill="1" applyBorder="1" applyAlignment="1">
      <x:alignment vertical="center"/>
    </x:xf>
    <x:xf numFmtId="203" fontId="12" fillId="4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/>
    <x:xf numFmtId="202" fontId="11" fillId="0" borderId="0" xfId="0" applyNumberFormat="1" applyFont="1" applyFill="1" applyBorder="1"/>
    <x:xf numFmtId="202" fontId="11" fillId="0" borderId="0" xfId="0" applyNumberFormat="1" applyFont="1" applyFill="1" applyBorder="1" applyAlignment="1">
      <x:alignment vertical="center"/>
    </x:xf>
    <x:xf numFmtId="202" fontId="8" fillId="4" borderId="0" xfId="0" applyNumberFormat="1" applyFont="1" applyFill="1" applyBorder="1"/>
    <x:xf numFmtId="202" fontId="12" fillId="4" borderId="0" xfId="0" applyNumberFormat="1" applyFont="1" applyFill="1" applyBorder="1"/>
    <x:xf numFmtId="202" fontId="12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/>
    <x:xf numFmtId="204" fontId="11" fillId="0" borderId="0" xfId="0" applyNumberFormat="1" applyFont="1" applyFill="1" applyBorder="1"/>
    <x:xf numFmtId="204" fontId="11" fillId="0" borderId="0" xfId="0" applyNumberFormat="1" applyFont="1" applyFill="1" applyBorder="1" applyAlignment="1">
      <x:alignment vertical="center"/>
    </x:xf>
    <x:xf numFmtId="200" fontId="9" fillId="3" borderId="0" xfId="0" applyNumberFormat="1" applyFont="1" applyFill="1" applyBorder="1"/>
    <x:xf numFmtId="200" fontId="13" fillId="3" borderId="0" xfId="0" applyNumberFormat="1" applyFont="1" applyFill="1" applyBorder="1"/>
    <x:xf numFmtId="200" fontId="13" fillId="3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/>
    <x:xf numFmtId="200" fontId="11" fillId="3" borderId="0" xfId="0" applyNumberFormat="1" applyFont="1" applyFill="1" applyBorder="1"/>
    <x:xf numFmtId="200" fontId="11" fillId="3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wrapText="1"/>
    </x:xf>
    <x:xf numFmtId="205" fontId="11" fillId="0" borderId="0" xfId="0" applyNumberFormat="1" applyFont="1" applyFill="1" applyBorder="1" applyAlignment="1">
      <x:alignment wrapText="1"/>
    </x:xf>
    <x:xf numFmtId="205" fontId="11" fillId="0" borderId="0" xfId="0" applyNumberFormat="1" applyFont="1" applyFill="1" applyBorder="1" applyAlignment="1">
      <x:alignment vertical="center" wrapText="1"/>
    </x:xf>
    <x:xf numFmtId="204" fontId="16" fillId="0" borderId="0" xfId="0" applyNumberFormat="1" applyFont="1" applyFill="1" applyBorder="1" applyAlignment="1">
      <x:alignment vertical="center" wrapText="1"/>
    </x:xf>
    <x:xf numFmtId="204" fontId="12" fillId="4" borderId="0" xfId="0" applyNumberFormat="1" applyFont="1" applyFill="1" applyBorder="1" applyAlignment="1">
      <x:alignment vertical="center" wrapText="1"/>
    </x:xf>
    <x:xf numFmtId="204" fontId="13" fillId="0" borderId="0" xfId="0" applyNumberFormat="1" applyFont="1" applyFill="1" applyBorder="1" applyAlignment="1">
      <x:alignment vertical="center" wrapText="1"/>
    </x:xf>
    <x:xf numFmtId="203" fontId="1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color rgb="FFA52222"/>
      </x:font>
      <x:fill>
        <x:patternFill patternType="solid">
          <x:bgColor rgb="FFFFE0D9"/>
        </x:patternFill>
      </x:fill>
    </x:dxf>
    <x:dxf>
      <x:font>
        <x:color rgb="FFA52222"/>
      </x:font>
      <x:fill>
        <x:patternFill patternType="solid">
          <x:bgColor rgb="FFFFE0D9"/>
        </x:patternFill>
      </x:fill>
    </x:dxf>
    <x:dxf>
      <x:font>
        <x:color rgb="FFA52222"/>
      </x:font>
      <x:fill>
        <x:patternFill patternType="solid">
          <x:bgColor rgb="FFFFE0D9"/>
        </x:patternFill>
      </x:fill>
    </x:dxf>
    <x:dxf>
      <x:font>
        <x:color rgb="FFA52222"/>
      </x:font>
      <x:fill>
        <x:patternFill patternType="solid">
          <x:bgColor rgb="FFFFE0D9"/>
        </x:patternFill>
      </x:fill>
    </x:dxf>
    <x:dxf>
      <x:font>
        <x:color rgb="FFA52222"/>
      </x:font>
      <x:fill>
        <x:patternFill patternType="solid">
          <x:bgColor rgb="FFFFE0D9"/>
        </x:patternFill>
      </x:fill>
    </x:dxf>
    <x:dxf>
      <x:font>
        <x:color rgb="FFA52222"/>
      </x:font>
      <x:fill>
        <x:patternFill patternType="solid">
          <x:bgColor rgb="FFFFE0D9"/>
        </x:patternFill>
      </x:fill>
    </x:dxf>
    <x:dxf>
      <x:font>
        <x:color rgb="FFA52222"/>
      </x:font>
      <x:fill>
        <x:patternFill patternType="solid">
          <x:bgColor rgb="FFFFE0D9"/>
        </x:patternFill>
      </x:fill>
    </x:dxf>
    <x:dxf>
      <x:font>
        <x:color rgb="FFA52222"/>
      </x:font>
      <x:fill>
        <x:patternFill patternType="solid">
          <x:bgColor rgb="FFFFE0D9"/>
        </x:patternFill>
      </x:fill>
    </x:dxf>
    <x:dxf>
      <x:font>
        <x:color rgb="FFA52222"/>
      </x:font>
      <x:fill>
        <x:patternFill patternType="solid">
          <x:bgColor rgb="FFFFE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32d620ea044cf3" /><Relationship Type="http://schemas.openxmlformats.org/officeDocument/2006/relationships/theme" Target="/xl/theme/theme1.xml" Id="Rd70d0221a99640a2" /><Relationship Type="http://schemas.openxmlformats.org/officeDocument/2006/relationships/sharedStrings" Target="/xl/sharedStrings.xml" Id="Red5dd51d2118450a" /><Relationship Type="http://schemas.openxmlformats.org/officeDocument/2006/relationships/worksheet" Target="/xl/worksheets/sheet1.xml" Id="R99ab207eb7de4892" /><Relationship Type="http://schemas.openxmlformats.org/officeDocument/2006/relationships/worksheet" Target="/xl/worksheets/sheet2.xml" Id="R71c5bd4434dc4543" /><Relationship Type="http://schemas.openxmlformats.org/officeDocument/2006/relationships/worksheet" Target="/xl/worksheets/sheet3.xml" Id="R0b11b921507245ea" /><Relationship Type="http://schemas.openxmlformats.org/officeDocument/2006/relationships/worksheet" Target="/xl/worksheets/sheet4.xml" Id="R997caa571ee04e16" /><Relationship Type="http://schemas.openxmlformats.org/officeDocument/2006/relationships/worksheet" Target="/xl/worksheets/sheet5.xml" Id="Rc7fee25fdee64bd0" /><Relationship Type="http://schemas.openxmlformats.org/officeDocument/2006/relationships/worksheet" Target="/xl/worksheets/sheet6.xml" Id="Rc9e605e91d084535" /><Relationship Type="http://schemas.openxmlformats.org/officeDocument/2006/relationships/worksheet" Target="/xl/worksheets/sheet7.xml" Id="Rdb584cbb7d9a4c37" /><Relationship Type="http://schemas.openxmlformats.org/officeDocument/2006/relationships/worksheet" Target="/xl/worksheets/sheet8.xml" Id="R09d8d72783cc48f7" /><Relationship Type="http://schemas.openxmlformats.org/officeDocument/2006/relationships/worksheet" Target="/xl/worksheets/sheet9.xml" Id="Ra752342d8ee34214" /><Relationship Type="http://schemas.openxmlformats.org/officeDocument/2006/relationships/worksheet" Target="/xl/worksheets/sheet10.xml" Id="Ra52886f999b04940" /><Relationship Type="http://schemas.openxmlformats.org/officeDocument/2006/relationships/worksheet" Target="/xl/worksheets/sheet11.xml" Id="R919c3f3781a1462e" /><Relationship Type="http://schemas.openxmlformats.org/officeDocument/2006/relationships/worksheet" Target="/xl/worksheets/sheet12.xml" Id="Ra6471099a8044765" /><Relationship Type="http://schemas.openxmlformats.org/officeDocument/2006/relationships/worksheet" Target="/xl/worksheets/sheet13.xml" Id="R596328339b0b4164" /><Relationship Type="http://schemas.openxmlformats.org/officeDocument/2006/relationships/worksheet" Target="/xl/worksheets/sheet14.xml" Id="R1d9f34241a824ffb" /><Relationship Type="http://schemas.openxmlformats.org/officeDocument/2006/relationships/worksheet" Target="/xl/worksheets/sheet15.xml" Id="Re5d35c6f263f43b1" /><Relationship Type="http://schemas.openxmlformats.org/officeDocument/2006/relationships/worksheet" Target="/xl/worksheets/sheet16.xml" Id="R5f6ee8fe6a234dbd" /><Relationship Type="http://schemas.openxmlformats.org/officeDocument/2006/relationships/worksheet" Target="/xl/worksheets/sheet17.xml" Id="Rd094cf49b2b64d2d" /><Relationship Type="http://schemas.openxmlformats.org/officeDocument/2006/relationships/worksheet" Target="/xl/worksheets/sheet18.xml" Id="Rac03591847fc40e2" /><Relationship Type="http://schemas.openxmlformats.org/officeDocument/2006/relationships/worksheet" Target="/xl/worksheets/sheet19.xml" Id="R197ce117cb18453e" /><Relationship Type="http://schemas.microsoft.com/office/2017/10/relationships/person" Target="/xl/persons/person.xml" Id="Ra5ac6febf7664b5e" /></Relationships>
</file>

<file path=xl/persons/person.xml><?xml version="1.0" encoding="utf-8"?>
<xltc:personList xmlns:xltc="http://schemas.microsoft.com/office/spreadsheetml/2018/threadedcomments">
  <xltc:person displayName="User" id="{EC285858-ACB4-4A8A-AE39-BC3AA99C5ABC}"/>
</xltc:personList>
</file>

<file path=xl/tables/table1.xml><?xml version="1.0" encoding="utf-8"?>
<x:table xmlns:x="http://schemas.openxmlformats.org/spreadsheetml/2006/main" id="1" name="StageBalance" displayName="StageBalance" ref="A6:AY906" headerRowCount="1" totalsRowCount="0" totalsRowShown="0">
  <x:tableColumns count="51">
    <x:tableColumn id="1" name="关卡"/>
    <x:tableColumn id="2" name="地图序号"/>
    <x:tableColumn id="3" name="地图"/>
    <x:tableColumn id="4" name="波数"/>
    <x:tableColumn id="5" name="HP倍率覆盖"/>
    <x:tableColumn id="6" name="每波数量增减"/>
    <x:tableColumn id="7" name="结算倍率覆盖"/>
    <x:tableColumn id="8" name="怪物总数"/>
    <x:tableColumn id="9" name="全局总HP"/>
    <x:tableColumn id="10" name="最终BossHP"/>
    <x:tableColumn id="11" name="全杀金币"/>
    <x:tableColumn id="12" name="仅出怪分钟"/>
    <x:tableColumn id="13" name="加操作尾怪分钟"/>
    <x:tableColumn id="14" name="胜利金币"/>
    <x:tableColumn id="15" name="胜利元宝"/>
    <x:tableColumn id="16" name="强化石"/>
    <x:tableColumn id="17" name="升星石"/>
    <x:tableColumn id="18" name="保底后掉率"/>
    <x:tableColumn id="19" name="主线最高品质"/>
    <x:tableColumn id="20" name="军报最低品质"/>
    <x:tableColumn id="21" name="军报最高品质"/>
    <x:tableColumn id="22" name="最多可触发卡"/>
    <x:tableColumn id="23" name="时长提示"/>
    <x:tableColumn id="24" name="波1数量"/>
    <x:tableColumn id="25" name="波1基础HP"/>
    <x:tableColumn id="26" name="波1总HP"/>
    <x:tableColumn id="27" name="波1击杀金币"/>
    <x:tableColumn id="28" name="波2数量"/>
    <x:tableColumn id="29" name="波2基础HP"/>
    <x:tableColumn id="30" name="波2总HP"/>
    <x:tableColumn id="31" name="波2击杀金币"/>
    <x:tableColumn id="32" name="波3数量"/>
    <x:tableColumn id="33" name="波3基础HP"/>
    <x:tableColumn id="34" name="波3总HP"/>
    <x:tableColumn id="35" name="波3击杀金币"/>
    <x:tableColumn id="36" name="波4数量"/>
    <x:tableColumn id="37" name="波4基础HP"/>
    <x:tableColumn id="38" name="波4总HP"/>
    <x:tableColumn id="39" name="波4击杀金币"/>
    <x:tableColumn id="40" name="波5数量"/>
    <x:tableColumn id="41" name="波5基础HP"/>
    <x:tableColumn id="42" name="波5总HP"/>
    <x:tableColumn id="43" name="波5击杀金币"/>
    <x:tableColumn id="44" name="波6数量"/>
    <x:tableColumn id="45" name="波6基础HP"/>
    <x:tableColumn id="46" name="波6总HP"/>
    <x:tableColumn id="47" name="波6击杀金币"/>
    <x:tableColumn id="48" name="波7数量"/>
    <x:tableColumn id="49" name="波7基础HP"/>
    <x:tableColumn id="50" name="波7总HP"/>
    <x:tableColumn id="51" name="波7击杀金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.xml" Id="Rea6fa545087b44c5" /></Relationships>
</file>

<file path=xl/worksheets/sheet1.xml><?xml version="1.0" encoding="utf-8"?>
<x:worksheet xmlns:x="http://schemas.openxmlformats.org/spreadsheetml/2006/main">
  <x:sheetPr>
    <x:tabColor rgb="FF176E7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21" hidden="0" customWidth="1"/>
    <x:col min="3" max="3" width="18" hidden="0" customWidth="1"/>
    <x:col min="4" max="4" width="18" hidden="0" customWidth="1"/>
    <x:col min="5" max="5" width="18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3" customHeight="1">
      <x:c r="A1" s="59" t="str">
        <x:v>合战守格｜产销与关卡调优工作簿</x:v>
      </x:c>
      <x:c r="B1" s="60"/>
      <x:c r="C1" s="60"/>
      <x:c r="D1" s="60"/>
      <x:c r="E1" s="60"/>
      <x:c r="F1" s="60"/>
      <x:c r="G1" s="60"/>
      <x:c r="H1" s="60"/>
      <x:c r="I1" s="60"/>
      <x:c r="J1" s="60"/>
    </x:row>
    <x:row r="2" ht="23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</x:row>
    <x:row r="3" ht="44" customHeight="1">
      <x:c r="A3" s="61" t="str">
        <x:v>以当前真实工程为基线；黄色蓝字可改，绿色为联动公式，灰字为工程快照。所有试算均不自动写回游戏。</x:v>
      </x:c>
      <x:c r="B3" s="61"/>
      <x:c r="C3" s="61"/>
      <x:c r="D3" s="61"/>
      <x:c r="E3" s="61"/>
      <x:c r="F3" s="61"/>
      <x:c r="G3" s="61"/>
      <x:c r="H3" s="61"/>
      <x:c r="I3" s="61"/>
      <x:c r="J3" s="61"/>
    </x:row>
    <x:row r="4" ht="23" customHeight="1">
      <x:c r="A4" s="62" t="str">
        <x:v>配置模式</x:v>
      </x:c>
      <x:c r="B4" s="63" t="n">
        <x:v>0</x:v>
      </x:c>
      <x:c r="C4" s="62" t="str">
        <x:v>0＝当前工程；1＝调优试算。切换后全表重算。</x:v>
      </x:c>
      <x:c r="D4" s="62"/>
      <x:c r="E4" s="62"/>
      <x:c r="F4" s="62"/>
      <x:c r="G4" s="62"/>
      <x:c r="H4" s="62"/>
      <x:c r="I4" s="62"/>
      <x:c r="J4" s="62"/>
    </x:row>
    <x:row r="5" ht="23" customHeight="1">
      <x:c r="A5" s="62" t="str">
        <x:v>检查关卡</x:v>
      </x:c>
      <x:c r="B5" s="63" t="n">
        <x:v>1</x:v>
      </x:c>
      <x:c r="C5" s="62" t="str">
        <x:v>波次预览、任务奖励、战斗压力使用此关卡，支持1～900。</x:v>
      </x:c>
      <x:c r="D5" s="62"/>
      <x:c r="E5" s="62"/>
      <x:c r="F5" s="62"/>
      <x:c r="G5" s="62"/>
      <x:c r="H5" s="62"/>
      <x:c r="I5" s="62"/>
      <x:c r="J5" s="62"/>
    </x:row>
    <x:row r="6" ht="23" customHeight="1">
      <x:c r="A6" s="62"/>
      <x:c r="B6" s="62"/>
      <x:c r="C6" s="62"/>
      <x:c r="D6" s="62"/>
      <x:c r="E6" s="62"/>
      <x:c r="F6" s="62"/>
      <x:c r="G6" s="62"/>
      <x:c r="H6" s="62"/>
      <x:c r="I6" s="62"/>
      <x:c r="J6" s="62"/>
    </x:row>
    <x:row r="7" ht="36" customHeight="1">
      <x:c r="A7" s="64" t="str">
        <x:v>核心指标</x:v>
      </x:c>
      <x:c r="B7" s="64" t="str">
        <x:v>采用结果</x:v>
      </x:c>
      <x:c r="C7" s="64" t="str">
        <x:v>单位/含义</x:v>
      </x:c>
      <x:c r="D7" s="62"/>
      <x:c r="E7" s="62"/>
      <x:c r="F7" s="64" t="str">
        <x:v>天数</x:v>
      </x:c>
      <x:c r="G7" s="64" t="str">
        <x:v>关卡进度</x:v>
      </x:c>
      <x:c r="H7" s="64" t="str">
        <x:v>金币期末</x:v>
      </x:c>
      <x:c r="I7" s="64" t="str">
        <x:v>强化石期末</x:v>
      </x:c>
      <x:c r="J7" s="64" t="str">
        <x:v>升星石期末</x:v>
      </x:c>
    </x:row>
    <x:row r="8" ht="32" customHeight="1">
      <x:c r="A8" s="65" t="str">
        <x:v>理论每日自然恢复</x:v>
      </x:c>
      <x:c r="B8" s="66" t="n">
        <x:f>1440/'经济参数'!$E$10</x:f>
        <x:v>80</x:v>
      </x:c>
      <x:c r="C8" s="65" t="str">
        <x:v>体力/日，满500时不再恢复</x:v>
      </x:c>
      <x:c r="D8" s="65"/>
      <x:c r="E8" s="65"/>
      <x:c r="F8" s="67" t="n">
        <x:v>1</x:v>
      </x:c>
      <x:c r="G8" s="68" t="n">
        <x:f>'30天收支'!B25</x:f>
        <x:v>10.360000000000001</x:v>
      </x:c>
      <x:c r="H8" s="67" t="n">
        <x:f>'30天收支'!B60</x:f>
        <x:v>16020.888732022693</x:v>
      </x:c>
      <x:c r="I8" s="67" t="n">
        <x:f>'30天收支'!B83</x:f>
        <x:v>55.25999999999999</x:v>
      </x:c>
      <x:c r="J8" s="67" t="n">
        <x:f>'30天收支'!B93</x:f>
        <x:v>28.35</x:v>
      </x:c>
    </x:row>
    <x:row r="9" ht="32" customHeight="1">
      <x:c r="A9" s="65" t="str">
        <x:v>稳定体力支持局数</x:v>
      </x:c>
      <x:c r="B9" s="66" t="n">
        <x:f>ROUNDDOWN((B8+'经济参数'!$E$12*('经济参数'!$E$14+'经济参数'!$E$15))/'经济参数'!$E$11,0)</x:f>
        <x:v>20</x:v>
      </x:c>
      <x:c r="C9" s="65" t="str">
        <x:v>局/日，假设两次补给都完成</x:v>
      </x:c>
      <x:c r="D9" s="65"/>
      <x:c r="E9" s="65"/>
      <x:c r="F9" s="67" t="n">
        <x:v>2</x:v>
      </x:c>
      <x:c r="G9" s="68" t="n">
        <x:f>'30天收支'!C25</x:f>
        <x:v>20.76</x:v>
      </x:c>
      <x:c r="H9" s="67" t="n">
        <x:f>'30天收支'!C60</x:f>
        <x:v>52524.29843427014</x:v>
      </x:c>
      <x:c r="I9" s="67" t="n">
        <x:f>'30天收支'!C83</x:f>
        <x:v>92.51999999999998</x:v>
      </x:c>
      <x:c r="J9" s="67" t="n">
        <x:f>'30天收支'!C93</x:f>
        <x:v>35.7</x:v>
      </x:c>
    </x:row>
    <x:row r="10" ht="32" customHeight="1">
      <x:c r="A10" s="65" t="str">
        <x:v>第1天主线计划</x:v>
      </x:c>
      <x:c r="B10" s="66" t="n">
        <x:f>'30天收支'!B21</x:f>
        <x:v>18</x:v>
      </x:c>
      <x:c r="C10" s="65" t="str">
        <x:v>局，含时间及体力约束</x:v>
      </x:c>
      <x:c r="D10" s="65"/>
      <x:c r="E10" s="65"/>
      <x:c r="F10" s="67" t="n">
        <x:v>3</x:v>
      </x:c>
      <x:c r="G10" s="68" t="n">
        <x:f>'30天收支'!D25</x:f>
        <x:v>31.160000000000004</x:v>
      </x:c>
      <x:c r="H10" s="67" t="n">
        <x:f>'30天收支'!D60</x:f>
        <x:v>95462.50813651757</x:v>
      </x:c>
      <x:c r="I10" s="67" t="n">
        <x:f>'30天收支'!D83</x:f>
        <x:v>137.40999999999997</x:v>
      </x:c>
      <x:c r="J10" s="67" t="n">
        <x:f>'30天收支'!D93</x:f>
        <x:v>59.050000000000004</x:v>
      </x:c>
    </x:row>
    <x:row r="11" ht="32" customHeight="1">
      <x:c r="A11" s="65" t="str">
        <x:v>30天主线合计</x:v>
      </x:c>
      <x:c r="B11" s="66" t="n">
        <x:f>SUM('30天收支'!B21:AE21)</x:f>
        <x:v>469</x:v>
      </x:c>
      <x:c r="C11" s="65" t="str">
        <x:v>局，不含军报</x:v>
      </x:c>
      <x:c r="D11" s="65"/>
      <x:c r="E11" s="65"/>
      <x:c r="F11" s="67" t="n">
        <x:v>4</x:v>
      </x:c>
      <x:c r="G11" s="68" t="n">
        <x:f>'30天收支'!E25</x:f>
        <x:v>41.56</x:v>
      </x:c>
      <x:c r="H11" s="67" t="n">
        <x:f>'30天收支'!E60</x:f>
        <x:v>133501.91708228877</x:v>
      </x:c>
      <x:c r="I11" s="67" t="n">
        <x:f>'30天收支'!E83</x:f>
        <x:v>167.29999999999995</x:v>
      </x:c>
      <x:c r="J11" s="67" t="n">
        <x:f>'30天收支'!E93</x:f>
        <x:v>67.4</x:v>
      </x:c>
    </x:row>
    <x:row r="12" ht="32" customHeight="1">
      <x:c r="A12" s="65" t="str">
        <x:v>第30天解锁关卡</x:v>
      </x:c>
      <x:c r="B12" s="66" t="n">
        <x:f>'30天收支'!AE25</x:f>
        <x:v>244.88</x:v>
      </x:c>
      <x:c r="C12" s="65" t="str">
        <x:v>期望值，不是80%用户可达承诺</x:v>
      </x:c>
      <x:c r="D12" s="65"/>
      <x:c r="E12" s="65"/>
      <x:c r="F12" s="67" t="n">
        <x:v>5</x:v>
      </x:c>
      <x:c r="G12" s="68" t="n">
        <x:f>'30天收支'!F25</x:f>
        <x:v>51.96</x:v>
      </x:c>
      <x:c r="H12" s="67" t="n">
        <x:f>'30天收支'!F60</x:f>
        <x:v>179509.19674099484</x:v>
      </x:c>
      <x:c r="I12" s="67" t="n">
        <x:f>'30天收支'!F83</x:f>
        <x:v>199.81999999999994</x:v>
      </x:c>
      <x:c r="J12" s="67" t="n">
        <x:f>'30天收支'!F93</x:f>
        <x:v>112.10000000000001</x:v>
      </x:c>
    </x:row>
    <x:row r="13" ht="32" customHeight="1">
      <x:c r="A13" s="65" t="str">
        <x:v>第1天强化石净产出</x:v>
      </x:c>
      <x:c r="B13" s="66" t="n">
        <x:f>'30天收支'!B84</x:f>
        <x:v>31.259999999999998</x:v>
      </x:c>
      <x:c r="C13" s="65" t="str">
        <x:v>个，未含初始赠送</x:v>
      </x:c>
      <x:c r="D13" s="65"/>
      <x:c r="E13" s="65"/>
      <x:c r="F13" s="67" t="n">
        <x:v>6</x:v>
      </x:c>
      <x:c r="G13" s="68" t="n">
        <x:f>'30天收支'!G25</x:f>
        <x:v>62.36</x:v>
      </x:c>
      <x:c r="H13" s="67" t="n">
        <x:f>'30天收支'!G60</x:f>
        <x:v>209876.4763997009</x:v>
      </x:c>
      <x:c r="I13" s="67" t="n">
        <x:f>'30天收支'!G83</x:f>
        <x:v>232.33999999999992</x:v>
      </x:c>
      <x:c r="J13" s="67" t="n">
        <x:f>'30天收支'!G93</x:f>
        <x:v>140.8</x:v>
      </x:c>
    </x:row>
    <x:row r="14" ht="32" customHeight="1">
      <x:c r="A14" s="65" t="str">
        <x:v>第2天强化石净产出</x:v>
      </x:c>
      <x:c r="B14" s="66" t="n">
        <x:f>'30天收支'!C84</x:f>
        <x:v>37.26</x:v>
      </x:c>
      <x:c r="C14" s="65" t="str">
        <x:v>个，产出减计划消耗</x:v>
      </x:c>
      <x:c r="D14" s="65"/>
      <x:c r="E14" s="65"/>
      <x:c r="F14" s="67" t="n">
        <x:v>7</x:v>
      </x:c>
      <x:c r="G14" s="68" t="n">
        <x:f>'30天收支'!H25</x:f>
        <x:v>72.76</x:v>
      </x:c>
      <x:c r="H14" s="67" t="n">
        <x:f>'30天收支'!H60</x:f>
        <x:v>242389.34233628004</x:v>
      </x:c>
      <x:c r="I14" s="67" t="n">
        <x:f>'30天收支'!H83</x:f>
        <x:v>271.8599999999999</x:v>
      </x:c>
      <x:c r="J14" s="67" t="n">
        <x:f>'30天收支'!H93</x:f>
        <x:v>186.5</x:v>
      </x:c>
    </x:row>
    <x:row r="15" ht="32" customHeight="1">
      <x:c r="A15" s="65" t="str">
        <x:v>第1天升星石净产出</x:v>
      </x:c>
      <x:c r="B15" s="66" t="n">
        <x:f>'30天收支'!B94</x:f>
        <x:v>20.35</x:v>
      </x:c>
      <x:c r="C15" s="65" t="str">
        <x:v>个，按成功率折算期望消耗</x:v>
      </x:c>
      <x:c r="D15" s="65"/>
      <x:c r="E15" s="65"/>
      <x:c r="F15" s="67" t="n">
        <x:v>8</x:v>
      </x:c>
      <x:c r="G15" s="68" t="n">
        <x:f>'30天收支'!I25</x:f>
        <x:v>83.16000000000001</x:v>
      </x:c>
      <x:c r="H15" s="67" t="n">
        <x:f>'30天收支'!I60</x:f>
        <x:v>243162.6082728592</x:v>
      </x:c>
      <x:c r="I15" s="67" t="n">
        <x:f>'30天收支'!I83</x:f>
        <x:v>337.0099999999999</x:v>
      </x:c>
      <x:c r="J15" s="67" t="n">
        <x:f>'30天收支'!I93</x:f>
        <x:v>190.2</x:v>
      </x:c>
    </x:row>
    <x:row r="16" ht="32" customHeight="1">
      <x:c r="A16" s="65" t="str">
        <x:v>第2天升星石净产出</x:v>
      </x:c>
      <x:c r="B16" s="66" t="n">
        <x:f>'30天收支'!C94</x:f>
        <x:v>7.350000000000001</x:v>
      </x:c>
      <x:c r="C16" s="65" t="str">
        <x:v>个，按成功率折算期望消耗</x:v>
      </x:c>
      <x:c r="D16" s="65"/>
      <x:c r="E16" s="65"/>
      <x:c r="F16" s="67" t="n">
        <x:v>9</x:v>
      </x:c>
      <x:c r="G16" s="68" t="n">
        <x:f>'30天收支'!J25</x:f>
        <x:v>93.56000000000002</x:v>
      </x:c>
      <x:c r="H16" s="67" t="n">
        <x:f>'30天收支'!J60</x:f>
        <x:v>319728.1408673088</x:v>
      </x:c>
      <x:c r="I16" s="67" t="n">
        <x:f>'30天收支'!J83</x:f>
        <x:v>456.15999999999985</x:v>
      </x:c>
      <x:c r="J16" s="67" t="n">
        <x:f>'30天收支'!J93</x:f>
        <x:v>235.89999999999998</x:v>
      </x:c>
    </x:row>
    <x:row r="17" ht="32" customHeight="1">
      <x:c r="A17" s="65" t="str">
        <x:v>第30天强化石库存</x:v>
      </x:c>
      <x:c r="B17" s="66" t="n">
        <x:f>'30天收支'!AE83</x:f>
        <x:v>1385.1499999999994</x:v>
      </x:c>
      <x:c r="C17" s="65" t="str">
        <x:v>负数表示计划缺口</x:v>
      </x:c>
      <x:c r="D17" s="65"/>
      <x:c r="E17" s="65"/>
      <x:c r="F17" s="67" t="n">
        <x:v>10</x:v>
      </x:c>
      <x:c r="G17" s="68" t="n">
        <x:f>'30天收支'!K25</x:f>
        <x:v>103.44000000000001</x:v>
      </x:c>
      <x:c r="H17" s="67" t="n">
        <x:f>'30天收支'!K60</x:f>
        <x:v>368473.3168320359</x:v>
      </x:c>
      <x:c r="I17" s="67" t="n">
        <x:f>'30天收支'!K83</x:f>
        <x:v>569.8099999999998</x:v>
      </x:c>
      <x:c r="J17" s="67" t="n">
        <x:f>'30天收支'!K93</x:f>
        <x:v>241.59999999999997</x:v>
      </x:c>
    </x:row>
    <x:row r="18" ht="32" customHeight="1">
      <x:c r="A18" s="65" t="str">
        <x:v>第30天升星石库存</x:v>
      </x:c>
      <x:c r="B18" s="66" t="n">
        <x:f>'30天收支'!AE93</x:f>
        <x:v>667.8999999999994</x:v>
      </x:c>
      <x:c r="C18" s="65" t="str">
        <x:v>负数表示计划缺口</x:v>
      </x:c>
      <x:c r="D18" s="65"/>
      <x:c r="E18" s="65"/>
      <x:c r="F18" s="67" t="n">
        <x:v>11</x:v>
      </x:c>
      <x:c r="G18" s="68" t="n">
        <x:f>'30天收支'!L25</x:f>
        <x:v>112.80000000000001</x:v>
      </x:c>
      <x:c r="H18" s="67" t="n">
        <x:f>'30天收支'!L60</x:f>
        <x:v>441682.41616704053</x:v>
      </x:c>
      <x:c r="I18" s="67" t="n">
        <x:f>'30天收支'!L83</x:f>
        <x:v>677.9599999999998</x:v>
      </x:c>
      <x:c r="J18" s="67" t="n">
        <x:f>'30天收支'!L93</x:f>
        <x:v>287.29999999999995</x:v>
      </x:c>
    </x:row>
    <x:row r="19" ht="32" customHeight="1">
      <x:c r="A19" s="65" t="str">
        <x:v>第30天金币库存</x:v>
      </x:c>
      <x:c r="B19" s="66" t="n">
        <x:f>'30天收支'!AE60</x:f>
        <x:v>-314713.437793904</x:v>
      </x:c>
      <x:c r="C19" s="65" t="str">
        <x:v>负数表示需要兑换/降低目标</x:v>
      </x:c>
      <x:c r="D19" s="65"/>
      <x:c r="E19" s="65"/>
      <x:c r="F19" s="67" t="n">
        <x:v>12</x:v>
      </x:c>
      <x:c r="G19" s="68" t="n">
        <x:f>'30天收支'!M25</x:f>
        <x:v>122.16000000000001</x:v>
      </x:c>
      <x:c r="H19" s="67" t="n">
        <x:f>'30天收支'!M60</x:f>
        <x:v>467285.01550204516</x:v>
      </x:c>
      <x:c r="I19" s="67" t="n">
        <x:f>'30天收支'!M83</x:f>
        <x:v>791.1099999999998</x:v>
      </x:c>
      <x:c r="J19" s="67" t="n">
        <x:f>'30天收支'!M93</x:f>
        <x:v>246.99999999999994</x:v>
      </x:c>
    </x:row>
    <x:row r="20" ht="32" customHeight="1">
      <x:c r="A20" s="65" t="str">
        <x:v>第30天元宝库存</x:v>
      </x:c>
      <x:c r="B20" s="66" t="n">
        <x:f>'30天收支'!AE74</x:f>
        <x:v>41151.20000000002</x:v>
      </x:c>
      <x:c r="C20" s="65" t="str">
        <x:v>检查投放是否远超消费</x:v>
      </x:c>
      <x:c r="D20" s="65"/>
      <x:c r="E20" s="65"/>
      <x:c r="F20" s="67" t="n">
        <x:v>13</x:v>
      </x:c>
      <x:c r="G20" s="68" t="n">
        <x:f>'30天收支'!N25</x:f>
        <x:v>131</x:v>
      </x:c>
      <x:c r="H20" s="67" t="n">
        <x:f>'30天收支'!N60</x:f>
        <x:v>536492.3545019132</x:v>
      </x:c>
      <x:c r="I20" s="67" t="n">
        <x:f>'30天收支'!N83</x:f>
        <x:v>916.3899999999998</x:v>
      </x:c>
      <x:c r="J20" s="67" t="n">
        <x:f>'30天收支'!N93</x:f>
        <x:v>313.29999999999995</x:v>
      </x:c>
    </x:row>
    <x:row r="21" ht="32" customHeight="1">
      <x:c r="A21" s="65" t="str">
        <x:v>所选关仅出怪时间</x:v>
      </x:c>
      <x:c r="B21" s="66" t="n">
        <x:f>VLOOKUP(B5,'关卡总表'!$A$7:$AY$906,12,FALSE)</x:f>
        <x:v>0.44000000000000006</x:v>
      </x:c>
      <x:c r="C21" s="65" t="str">
        <x:v>分钟，未含操作/选卡/广告</x:v>
      </x:c>
      <x:c r="D21" s="65"/>
      <x:c r="E21" s="65"/>
      <x:c r="F21" s="67" t="n">
        <x:v>14</x:v>
      </x:c>
      <x:c r="G21" s="68" t="n">
        <x:f>'30天收支'!O25</x:f>
        <x:v>139.32</x:v>
      </x:c>
      <x:c r="H21" s="67" t="n">
        <x:f>'30天收支'!O60</x:f>
        <x:v>604336.4288547302</x:v>
      </x:c>
      <x:c r="I21" s="67" t="n">
        <x:f>'30天收支'!O83</x:f>
        <x:v>1035.1699999999998</x:v>
      </x:c>
      <x:c r="J21" s="67" t="n">
        <x:f>'30天收支'!O93</x:f>
        <x:v>376.34999999999997</x:v>
      </x:c>
    </x:row>
    <x:row r="22" ht="32" customHeight="1">
      <x:c r="A22" s="65" t="str">
        <x:v>所选关最多卡牌</x:v>
      </x:c>
      <x:c r="B22" s="66" t="n">
        <x:f>VLOOKUP(B5,'关卡总表'!$A$7:$AY$906,22,FALSE)</x:f>
        <x:v>3</x:v>
      </x:c>
      <x:c r="C22" s="65" t="str">
        <x:v>全击杀上限，不保证必触发</x:v>
      </x:c>
      <x:c r="D22" s="65"/>
      <x:c r="E22" s="65"/>
      <x:c r="F22" s="67" t="n">
        <x:v>15</x:v>
      </x:c>
      <x:c r="G22" s="68" t="n">
        <x:f>'30天收支'!P25</x:f>
        <x:v>147.64</x:v>
      </x:c>
      <x:c r="H22" s="67" t="n">
        <x:f>'30天收支'!P60</x:f>
        <x:v>510696.02320754726</x:v>
      </x:c>
      <x:c r="I22" s="67" t="n">
        <x:f>'30天收支'!P83</x:f>
        <x:v>1027.9499999999998</x:v>
      </x:c>
      <x:c r="J22" s="67" t="n">
        <x:f>'30天收支'!P93</x:f>
        <x:v>352.4</x:v>
      </x:c>
    </x:row>
    <x:row r="23" ht="32" customHeight="1">
      <x:c r="A23" s="65" t="str">
        <x:v>所选关金套天数</x:v>
      </x:c>
      <x:c r="B23" s="66" t="n">
        <x:f>'装备掉落'!B46</x:f>
        <x:v>0</x:v>
      </x:c>
      <x:c r="C23" s="65" t="str">
        <x:v>仅主线直接掉落，0表示不投放</x:v>
      </x:c>
      <x:c r="D23" s="65"/>
      <x:c r="E23" s="65"/>
      <x:c r="F23" s="67" t="n">
        <x:v>16</x:v>
      </x:c>
      <x:c r="G23" s="68" t="n">
        <x:f>'30天收支'!Q25</x:f>
        <x:v>155.44</x:v>
      </x:c>
      <x:c r="H23" s="67" t="n">
        <x:f>'30天收支'!Q60</x:f>
        <x:v>550167.8429133132</x:v>
      </x:c>
      <x:c r="I23" s="67" t="n">
        <x:f>'30天收支'!Q83</x:f>
        <x:v>1104.2299999999998</x:v>
      </x:c>
      <x:c r="J23" s="67" t="n">
        <x:f>'30天收支'!Q93</x:f>
        <x:v>412.2</x:v>
      </x:c>
    </x:row>
    <x:row r="24" ht="23" customHeight="1">
      <x:c r="A24" s="62"/>
      <x:c r="B24" s="62"/>
      <x:c r="C24" s="62"/>
      <x:c r="D24" s="62"/>
      <x:c r="E24" s="62"/>
      <x:c r="F24" s="67" t="n">
        <x:v>17</x:v>
      </x:c>
      <x:c r="G24" s="68" t="n">
        <x:f>'30天收支'!R25</x:f>
        <x:v>163.24</x:v>
      </x:c>
      <x:c r="H24" s="67" t="n">
        <x:f>'30天收支'!R60</x:f>
        <x:v>491318.7626190791</x:v>
      </x:c>
      <x:c r="I24" s="67" t="n">
        <x:f>'30天收支'!R83</x:f>
        <x:v>1090.5099999999998</x:v>
      </x:c>
      <x:c r="J24" s="67" t="n">
        <x:f>'30天收支'!R93</x:f>
        <x:v>472</x:v>
      </x:c>
    </x:row>
    <x:row r="25" ht="23" customHeight="1">
      <x:c r="A25" s="62"/>
      <x:c r="B25" s="62"/>
      <x:c r="C25" s="62"/>
      <x:c r="D25" s="62"/>
      <x:c r="E25" s="62"/>
      <x:c r="F25" s="67" t="n">
        <x:v>18</x:v>
      </x:c>
      <x:c r="G25" s="68" t="n">
        <x:f>'30天收支'!S25</x:f>
        <x:v>170.52</x:v>
      </x:c>
      <x:c r="H25" s="67" t="n">
        <x:f>'30天收支'!S60</x:f>
        <x:v>456233.027677794</x:v>
      </x:c>
      <x:c r="I25" s="67" t="n">
        <x:f>'30天收支'!S83</x:f>
        <x:v>1160.2899999999997</x:v>
      </x:c>
      <x:c r="J25" s="67" t="n">
        <x:f>'30天收支'!S93</x:f>
        <x:v>441.54999999999995</x:v>
      </x:c>
    </x:row>
    <x:row r="26" ht="43" customHeight="1">
      <x:c r="A26" s="65" t="str">
        <x:v>使用顺序：B4先选0核对现状，再选1编辑黄色试算值。灰色工程快照请保留。</x:v>
      </x:c>
      <x:c r="B26" s="65"/>
      <x:c r="C26" s="65"/>
      <x:c r="D26" s="65"/>
      <x:c r="E26" s="65"/>
      <x:c r="F26" s="67" t="n">
        <x:v>19</x:v>
      </x:c>
      <x:c r="G26" s="68" t="n">
        <x:f>'30天收支'!T25</x:f>
        <x:v>177.8</x:v>
      </x:c>
      <x:c r="H26" s="67" t="n">
        <x:f>'30天收支'!T60</x:f>
        <x:v>372284.89273650886</x:v>
      </x:c>
      <x:c r="I26" s="67" t="n">
        <x:f>'30天收支'!T83</x:f>
        <x:v>1140.0699999999997</x:v>
      </x:c>
      <x:c r="J26" s="67" t="n">
        <x:f>'30天收支'!T93</x:f>
        <x:v>498.09999999999997</x:v>
      </x:c>
    </x:row>
    <x:row r="27" ht="43" customHeight="1">
      <x:c r="A27" s="65" t="str">
        <x:v>调资源：经济参数、材料与任务、商店与兑换、装备品质/掉落、强化/升星消耗。</x:v>
      </x:c>
      <x:c r="B27" s="65"/>
      <x:c r="C27" s="65"/>
      <x:c r="D27" s="65"/>
      <x:c r="E27" s="65"/>
      <x:c r="F27" s="67" t="n">
        <x:v>20</x:v>
      </x:c>
      <x:c r="G27" s="68" t="n">
        <x:f>'30天收支'!U25</x:f>
        <x:v>184.56</x:v>
      </x:c>
      <x:c r="H27" s="67" t="n">
        <x:f>'30天收支'!U60</x:f>
        <x:v>381895.7331481727</x:v>
      </x:c>
      <x:c r="I27" s="67" t="n">
        <x:f>'30天收支'!U83</x:f>
        <x:v>1203.3499999999997</x:v>
      </x:c>
      <x:c r="J27" s="67" t="n">
        <x:f>'30天收支'!U93</x:f>
        <x:v>551.4</x:v>
      </x:c>
    </x:row>
    <x:row r="28" ht="43" customHeight="1">
      <x:c r="A28" s="65" t="str">
        <x:v>调关卡：难度参数控制总曲线；关卡总表E～G覆盖单关；章节与怪物调整出场及对抗属性。</x:v>
      </x:c>
      <x:c r="B28" s="65"/>
      <x:c r="C28" s="65"/>
      <x:c r="D28" s="65"/>
      <x:c r="E28" s="65"/>
      <x:c r="F28" s="67" t="n">
        <x:v>21</x:v>
      </x:c>
      <x:c r="G28" s="68" t="n">
        <x:f>'30天收支'!V25</x:f>
        <x:v>191.32</x:v>
      </x:c>
      <x:c r="H28" s="67" t="n">
        <x:f>'30天收支'!V60</x:f>
        <x:v>395706.7335598365</x:v>
      </x:c>
      <x:c r="I28" s="67" t="n">
        <x:f>'30天收支'!V83</x:f>
        <x:v>1266.6299999999997</x:v>
      </x:c>
      <x:c r="J28" s="67" t="n">
        <x:f>'30天收支'!V93</x:f>
        <x:v>604.6999999999999</x:v>
      </x:c>
    </x:row>
    <x:row r="29" ht="43" customHeight="1">
      <x:c r="A29" s="65" t="str">
        <x:v>调体验：每日计划改在线时长、广告参与、胜率、养成目标，再查看30天收支与负数缺口。</x:v>
      </x:c>
      <x:c r="B29" s="65"/>
      <x:c r="C29" s="65"/>
      <x:c r="D29" s="65"/>
      <x:c r="E29" s="65"/>
      <x:c r="F29" s="67" t="n">
        <x:v>22</x:v>
      </x:c>
      <x:c r="G29" s="68" t="n">
        <x:f>'30天收支'!W25</x:f>
        <x:v>198.07999999999998</x:v>
      </x:c>
      <x:c r="H29" s="67" t="n">
        <x:f>'30天收支'!W60</x:f>
        <x:v>208454.85397150042</x:v>
      </x:c>
      <x:c r="I29" s="67" t="n">
        <x:f>'30天收支'!W83</x:f>
        <x:v>1239.9099999999996</x:v>
      </x:c>
      <x:c r="J29" s="67" t="n">
        <x:f>'30天收支'!W93</x:f>
        <x:v>570.9999999999999</x:v>
      </x:c>
    </x:row>
    <x:row r="30" ht="43" customHeight="1">
      <x:c r="A30" s="65" t="str">
        <x:v>黄色为人工输入，绿色为公式，灰色为来源快照；概率填0～1，攻速值填百分数（6代表6%）。</x:v>
      </x:c>
      <x:c r="B30" s="65"/>
      <x:c r="C30" s="65"/>
      <x:c r="D30" s="65"/>
      <x:c r="E30" s="65"/>
      <x:c r="F30" s="67" t="n">
        <x:v>23</x:v>
      </x:c>
      <x:c r="G30" s="68" t="n">
        <x:f>'30天收支'!X25</x:f>
        <x:v>204.32</x:v>
      </x:c>
      <x:c r="H30" s="67" t="n">
        <x:f>'30天收支'!X60</x:f>
        <x:v>208557.74973611318</x:v>
      </x:c>
      <x:c r="I30" s="67" t="n">
        <x:f>'30天收支'!X83</x:f>
        <x:v>1296.6899999999996</x:v>
      </x:c>
      <x:c r="J30" s="67" t="n">
        <x:f>'30天收支'!X93</x:f>
        <x:v>621.0499999999998</x:v>
      </x:c>
    </x:row>
    <x:row r="31" ht="43" customHeight="1">
      <x:c r="A31" s="65" t="str">
        <x:v>每日模型按代表关卡估计，非逐局仿真；合成与突破默认0，开启后还需校验同品质背包与等级门槛。</x:v>
      </x:c>
      <x:c r="B31" s="65"/>
      <x:c r="C31" s="65"/>
      <x:c r="D31" s="65"/>
      <x:c r="E31" s="65"/>
      <x:c r="F31" s="67" t="n">
        <x:v>24</x:v>
      </x:c>
      <x:c r="G31" s="68" t="n">
        <x:f>'30天收支'!Y25</x:f>
        <x:v>210.56</x:v>
      </x:c>
      <x:c r="H31" s="67" t="n">
        <x:f>'30天收支'!Y60</x:f>
        <x:v>206026.76550072595</x:v>
      </x:c>
      <x:c r="I31" s="67" t="n">
        <x:f>'30天收支'!Y83</x:f>
        <x:v>1353.4699999999996</x:v>
      </x:c>
      <x:c r="J31" s="67" t="n">
        <x:f>'30天收支'!Y93</x:f>
        <x:v>671.0999999999998</x:v>
      </x:c>
    </x:row>
    <x:row r="32" ht="43" customHeight="1">
      <x:c r="A32" s="65" t="str">
        <x:v>材料前两日富余是按本表低目标试算；改目标/参与广告/军报次数后可能改变。</x:v>
      </x:c>
      <x:c r="B32" s="65"/>
      <x:c r="C32" s="65"/>
      <x:c r="D32" s="65"/>
      <x:c r="E32" s="65"/>
      <x:c r="F32" s="67" t="n">
        <x:v>25</x:v>
      </x:c>
      <x:c r="G32" s="68" t="n">
        <x:f>'30天收支'!Z25</x:f>
        <x:v>216.8</x:v>
      </x:c>
      <x:c r="H32" s="67" t="n">
        <x:f>'30天收支'!Z60</x:f>
        <x:v>125950.4212653386</x:v>
      </x:c>
      <x:c r="I32" s="67" t="n">
        <x:f>'30天收支'!Z83</x:f>
        <x:v>1410.2499999999995</x:v>
      </x:c>
      <x:c r="J32" s="67" t="n">
        <x:f>'30天收支'!Z93</x:f>
        <x:v>634.1499999999997</x:v>
      </x:c>
    </x:row>
    <x:row r="33" ht="43" customHeight="1">
      <x:c r="A33" s="65" t="str">
        <x:v>表格尚未与游戏热加载配置连接。Excel调整不自动写回app.js，当前游戏数值没有改动。</x:v>
      </x:c>
      <x:c r="B33" s="65"/>
      <x:c r="C33" s="65"/>
      <x:c r="D33" s="65"/>
      <x:c r="E33" s="65"/>
      <x:c r="F33" s="67" t="n">
        <x:v>26</x:v>
      </x:c>
      <x:c r="G33" s="68" t="n">
        <x:f>'30天收支'!AA25</x:f>
        <x:v>222.52</x:v>
      </x:c>
      <x:c r="H33" s="67" t="n">
        <x:f>'30天收支'!AA60</x:f>
        <x:v>74926.41238290031</x:v>
      </x:c>
      <x:c r="I33" s="67" t="n">
        <x:f>'30天收支'!AA83</x:f>
        <x:v>1406.5299999999995</x:v>
      </x:c>
      <x:c r="J33" s="67" t="n">
        <x:f>'30天收支'!AA93</x:f>
        <x:v>680.9499999999997</x:v>
      </x:c>
    </x:row>
    <x:row r="34" ht="43" customHeight="1">
      <x:c r="A34" s="65" t="str">
        <x:v>实际留存与半年追求需用玩家分布验证，不能从900关数量或单一平均值直接保证。</x:v>
      </x:c>
      <x:c r="B34" s="65"/>
      <x:c r="C34" s="65"/>
      <x:c r="D34" s="65"/>
      <x:c r="E34" s="65"/>
      <x:c r="F34" s="67" t="n">
        <x:v>27</x:v>
      </x:c>
      <x:c r="G34" s="68" t="n">
        <x:f>'30天收支'!AB25</x:f>
        <x:v>228.24</x:v>
      </x:c>
      <x:c r="H34" s="67" t="n">
        <x:f>'30天收支'!AB60</x:f>
        <x:v>22183.263500461995</x:v>
      </x:c>
      <x:c r="I34" s="67" t="n">
        <x:f>'30天收支'!AB83</x:f>
        <x:v>1402.8099999999995</x:v>
      </x:c>
      <x:c r="J34" s="67" t="n">
        <x:f>'30天收支'!AB93</x:f>
        <x:v>727.7499999999997</x:v>
      </x:c>
    </x:row>
    <x:row r="35" ht="43" customHeight="1">
      <x:c r="A35" s="65" t="str">
        <x:v>来源：当前工程app.js，提取日期2026-09-21。旧设计文档只作背景，本表以生效代码为准。</x:v>
      </x:c>
      <x:c r="B35" s="65"/>
      <x:c r="C35" s="65"/>
      <x:c r="D35" s="65"/>
      <x:c r="E35" s="65"/>
      <x:c r="F35" s="67" t="n">
        <x:v>28</x:v>
      </x:c>
      <x:c r="G35" s="68" t="n">
        <x:f>'30天收支'!AC25</x:f>
        <x:v>233.96</x:v>
      </x:c>
      <x:c r="H35" s="67" t="n">
        <x:f>'30天收支'!AC60</x:f>
        <x:v>-184313.57538197632</x:v>
      </x:c>
      <x:c r="I35" s="67" t="n">
        <x:f>'30天收支'!AC83</x:f>
        <x:v>1399.0899999999995</x:v>
      </x:c>
      <x:c r="J35" s="67" t="n">
        <x:f>'30天收支'!AC93</x:f>
        <x:v>577.5499999999995</x:v>
      </x:c>
    </x:row>
    <x:row r="36" ht="23" customHeight="1">
      <x:c r="A36" s="62"/>
      <x:c r="B36" s="62"/>
      <x:c r="C36" s="62"/>
      <x:c r="D36" s="62"/>
      <x:c r="E36" s="62"/>
      <x:c r="F36" s="67" t="n">
        <x:v>29</x:v>
      </x:c>
      <x:c r="G36" s="68" t="n">
        <x:f>'30天收支'!AD25</x:f>
        <x:v>239.68</x:v>
      </x:c>
      <x:c r="H36" s="67" t="n">
        <x:f>'30天收支'!AD60</x:f>
        <x:v>-242291.58426441462</x:v>
      </x:c>
      <x:c r="I36" s="67" t="n">
        <x:f>'30天收支'!AD83</x:f>
        <x:v>1395.3699999999994</x:v>
      </x:c>
      <x:c r="J36" s="67" t="n">
        <x:f>'30天收支'!AD93</x:f>
        <x:v>624.3499999999995</x:v>
      </x:c>
    </x:row>
    <x:row r="37" ht="23" customHeight="1">
      <x:c r="A37" s="62"/>
      <x:c r="B37" s="62"/>
      <x:c r="C37" s="62"/>
      <x:c r="D37" s="62"/>
      <x:c r="E37" s="62"/>
      <x:c r="F37" s="67" t="n">
        <x:v>30</x:v>
      </x:c>
      <x:c r="G37" s="68" t="n">
        <x:f>'30天收支'!AE25</x:f>
        <x:v>244.88</x:v>
      </x:c>
      <x:c r="H37" s="67" t="n">
        <x:f>'30天收支'!AE60</x:f>
        <x:v>-314713.437793904</x:v>
      </x:c>
      <x:c r="I37" s="67" t="n">
        <x:f>'30天收支'!AE83</x:f>
        <x:v>1385.1499999999994</x:v>
      </x:c>
      <x:c r="J37" s="67" t="n">
        <x:f>'30天收支'!AE93</x:f>
        <x:v>667.8999999999994</x:v>
      </x:c>
    </x:row>
    <x:row r="38" ht="23" customHeight="1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</x:row>
    <x:row r="39" ht="23" customHeight="1">
      <x:c r="A39" s="62" t="str">
        <x:v>工程快照SHA-256：3df0cb5990d557d011b939aac3e6ba73713616620c2eba1835cebea9a7c45c65</x:v>
      </x:c>
      <x:c r="B39" s="62"/>
      <x:c r="C39" s="62"/>
      <x:c r="D39" s="62"/>
      <x:c r="E39" s="62"/>
      <x:c r="F39" s="62"/>
      <x:c r="G39" s="62"/>
      <x:c r="H39" s="62"/>
      <x:c r="I39" s="62"/>
      <x:c r="J39" s="62"/>
    </x:row>
    <x:row r="40" ht="34" customHeight="1">
      <x:c r="A40" s="65" t="str">
        <x:v>产销全景：完整渠道清单；问题与建议：代码现状、候选方案、验证口径。右侧为逐日计划结果，库存负数表示缺口。源代码更新后需要重新提取。</x:v>
      </x:c>
      <x:c r="B40" s="65"/>
      <x:c r="C40" s="65"/>
      <x:c r="D40" s="65"/>
      <x:c r="E40" s="65"/>
      <x:c r="F40" s="65"/>
      <x:c r="G40" s="65"/>
      <x:c r="H40" s="65"/>
      <x:c r="I40" s="65"/>
      <x:c r="J40" s="65"/>
    </x:row>
  </x:sheetData>
  <x:mergeCells>
    <x:mergeCell ref="A1:J2"/>
    <x:mergeCell ref="A3:J3"/>
    <x:mergeCell ref="C4:J4"/>
    <x:mergeCell ref="C5:J5"/>
    <x:mergeCell ref="C7:E7"/>
    <x:mergeCell ref="C8:E8"/>
    <x:mergeCell ref="C9:E9"/>
    <x:mergeCell ref="C10:E10"/>
    <x:mergeCell ref="C11:E11"/>
    <x:mergeCell ref="C12:E12"/>
    <x:mergeCell ref="C13:E13"/>
    <x:mergeCell ref="C14:E14"/>
    <x:mergeCell ref="C15:E15"/>
    <x:mergeCell ref="C16:E16"/>
    <x:mergeCell ref="C17:E17"/>
    <x:mergeCell ref="C18:E18"/>
    <x:mergeCell ref="C19:E19"/>
    <x:mergeCell ref="C20:E20"/>
    <x:mergeCell ref="C21:E21"/>
    <x:mergeCell ref="C22:E22"/>
    <x:mergeCell ref="C23:E23"/>
    <x:mergeCell ref="A26:E26"/>
    <x:mergeCell ref="A27:E27"/>
    <x:mergeCell ref="A28:E28"/>
    <x:mergeCell ref="A29:E29"/>
    <x:mergeCell ref="A30:E30"/>
    <x:mergeCell ref="A31:E31"/>
    <x:mergeCell ref="A32:E32"/>
    <x:mergeCell ref="A33:E33"/>
    <x:mergeCell ref="A34:E34"/>
    <x:mergeCell ref="A35:E35"/>
    <x:mergeCell ref="A39:J39"/>
    <x:mergeCell ref="A40:J40"/>
  </x:mergeCells>
  <x:conditionalFormatting sqref="B13:B19">
    <x:cfRule type="cellIs" dxfId="7" priority="1" operator="lessThan">
      <x:formula>0</x:formula>
    </x:cfRule>
  </x:conditionalFormatting>
  <x:conditionalFormatting sqref="I8:J37">
    <x:cfRule type="cellIs" dxfId="8" priority="2" operator="lessThan">
      <x:formula>0</x:formula>
    </x:cfRule>
  </x:conditionalFormatting>
  <x:dataValidations count="2">
    <x:dataValidation type="whole" operator="between" sqref="B4">
      <x:formula1>0</x:formula1>
      <x:formula2>1</x:formula2>
    </x:dataValidation>
    <x:dataValidation type="whole" operator="between" sqref="B5">
      <x:formula1>1</x:formula1>
      <x:formula2>900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6E7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3" hidden="0" customWidth="1"/>
    <x:col min="5" max="5" width="18" hidden="0" customWidth="1"/>
    <x:col min="6" max="6" width="18" hidden="0" customWidth="1"/>
    <x:col min="7" max="7" width="13" hidden="0" customWidth="1"/>
    <x:col min="8" max="8" width="18" hidden="0" customWidth="1"/>
    <x:col min="9" max="9" width="18" hidden="0" customWidth="1"/>
    <x:col min="10" max="10" width="13" hidden="0" customWidth="1"/>
    <x:col min="11" max="11" width="72" hidden="0" customWidth="1"/>
    <x:col min="12" max="12" width="18" hidden="0" customWidth="1"/>
  </x:cols>
  <x:sheetData>
    <x:row r="1" ht="23" customHeight="1">
      <x:c r="A1" s="59" t="str">
        <x:v>IAA｜零广告与看满广告成长对照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2"/>
      <x:c r="L1" s="62"/>
    </x:row>
    <x:row r="2" ht="23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2"/>
      <x:c r="L2" s="62"/>
    </x:row>
    <x:row r="3" ht="44" customHeight="1">
      <x:c r="A3" s="61" t="str">
        <x:v>黄色参数仍在各配置页调整；本页自动对比每日完成元宝体力购买的零广告玩家，与完成体力、商店及每局结算广告的看满广告玩家。局内提示、洗牌、复活广告只提高胜率，未折成资源。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2"/>
      <x:c r="L3" s="62"/>
    </x:row>
    <x:row r="4" ht="23" customHeight="1">
      <x:c r="A4" s="62" t="str">
        <x:v>采用方案</x:v>
      </x:c>
      <x:c r="B4" s="62" t="str">
        <x:f>IF('使用说明'!$B$4=0,"工程当前","调优试算")</x:f>
        <x:v>工程当前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</x:row>
    <x:row r="5" ht="23" customHeight="1">
      <x:c r="A5" s="62"/>
      <x:c r="B5" s="62"/>
      <x:c r="C5" s="62"/>
      <x:c r="D5" s="62"/>
      <x:c r="E5" s="62"/>
      <x:c r="F5" s="62"/>
      <x:c r="G5" s="62"/>
      <x:c r="H5" s="62"/>
      <x:c r="I5" s="62"/>
      <x:c r="J5" s="62"/>
      <x:c r="K5" s="62"/>
      <x:c r="L5" s="62"/>
    </x:row>
    <x:row r="6" ht="36" customHeight="1">
      <x:c r="A6" s="64" t="str">
        <x:v>成长指标</x:v>
      </x:c>
      <x:c r="B6" s="64" t="str">
        <x:v>30天·零广告</x:v>
      </x:c>
      <x:c r="C6" s="64" t="str">
        <x:v>30天·看满广告</x:v>
      </x:c>
      <x:c r="D6" s="64" t="str">
        <x:v>倍率</x:v>
      </x:c>
      <x:c r="E6" s="64" t="str">
        <x:v>90天·零广告</x:v>
      </x:c>
      <x:c r="F6" s="64" t="str">
        <x:v>90天·看满广告</x:v>
      </x:c>
      <x:c r="G6" s="64" t="str">
        <x:v>倍率</x:v>
      </x:c>
      <x:c r="H6" s="64" t="str">
        <x:v>180天·零广告</x:v>
      </x:c>
      <x:c r="I6" s="64" t="str">
        <x:v>180天·看满广告</x:v>
      </x:c>
      <x:c r="J6" s="64" t="str">
        <x:v>倍率</x:v>
      </x:c>
      <x:c r="K6" s="64" t="str">
        <x:v>计算口径</x:v>
      </x:c>
      <x:c r="L6" s="62"/>
    </x:row>
    <x:row r="7" ht="38" customHeight="1">
      <x:c r="A7" s="65" t="str">
        <x:v>每日可打主线</x:v>
      </x:c>
      <x:c r="B7" s="66" t="n">
        <x:f>ROUNDDOWN((1440/'经济参数'!$E$10+'经济参数'!$E$12*'经济参数'!$E$14)/'经济参数'!$E$11,0)</x:f>
        <x:v>14</x:v>
      </x:c>
      <x:c r="C7" s="66" t="n">
        <x:f>ROUNDDOWN((1440/'经济参数'!$E$10+'经济参数'!$E$12*('经济参数'!$E$14+'经济参数'!$E$15))/'经济参数'!$E$11,0)</x:f>
        <x:v>20</x:v>
      </x:c>
      <x:c r="D7" s="75" t="n">
        <x:f>IFERROR(C7/B7,0)</x:f>
        <x:v>1.4285714285714286</x:v>
      </x:c>
      <x:c r="E7" s="66" t="n">
        <x:f>ROUNDDOWN((1440/'经济参数'!$E$10+'经济参数'!$E$12*'经济参数'!$E$14)/'经济参数'!$E$11,0)</x:f>
        <x:v>14</x:v>
      </x:c>
      <x:c r="F7" s="66" t="n">
        <x:f>ROUNDDOWN((1440/'经济参数'!$E$10+'经济参数'!$E$12*('经济参数'!$E$14+'经济参数'!$E$15))/'经济参数'!$E$11,0)</x:f>
        <x:v>20</x:v>
      </x:c>
      <x:c r="G7" s="75" t="n">
        <x:f>IFERROR(F7/E7,0)</x:f>
        <x:v>1.4285714285714286</x:v>
      </x:c>
      <x:c r="H7" s="66" t="n">
        <x:f>ROUNDDOWN((1440/'经济参数'!$E$10+'经济参数'!$E$12*'经济参数'!$E$14)/'经济参数'!$E$11,0)</x:f>
        <x:v>14</x:v>
      </x:c>
      <x:c r="I7" s="66" t="n">
        <x:f>ROUNDDOWN((1440/'经济参数'!$E$10+'经济参数'!$E$12*('经济参数'!$E$14+'经济参数'!$E$15))/'经济参数'!$E$11,0)</x:f>
        <x:v>20</x:v>
      </x:c>
      <x:c r="J7" s="75" t="n">
        <x:f>IFERROR(I7/H7,0)</x:f>
        <x:v>1.4285714285714286</x:v>
      </x:c>
      <x:c r="K7" s="65" t="str">
        <x:v>自然恢复 + 每日元宝体力；看满广告额外计1次广告体力</x:v>
      </x:c>
      <x:c r="L7" s="62"/>
    </x:row>
    <x:row r="8" ht="38" customHeight="1">
      <x:c r="A8" s="65" t="str">
        <x:v>累计主线局数</x:v>
      </x:c>
      <x:c r="B8" s="66" t="n">
        <x:f>B7*30</x:f>
        <x:v>420</x:v>
      </x:c>
      <x:c r="C8" s="66" t="n">
        <x:f>C7*30</x:f>
        <x:v>600</x:v>
      </x:c>
      <x:c r="D8" s="75" t="n">
        <x:f>IFERROR(C8/B8,0)</x:f>
        <x:v>1.4285714285714286</x:v>
      </x:c>
      <x:c r="E8" s="66" t="n">
        <x:f>E7*90</x:f>
        <x:v>1260</x:v>
      </x:c>
      <x:c r="F8" s="66" t="n">
        <x:f>F7*90</x:f>
        <x:v>1800</x:v>
      </x:c>
      <x:c r="G8" s="75" t="n">
        <x:f>IFERROR(F8/E8,0)</x:f>
        <x:v>1.4285714285714286</x:v>
      </x:c>
      <x:c r="H8" s="66" t="n">
        <x:f>H7*180</x:f>
        <x:v>2520</x:v>
      </x:c>
      <x:c r="I8" s="66" t="n">
        <x:f>I7*180</x:f>
        <x:v>3600</x:v>
      </x:c>
      <x:c r="J8" s="75" t="n">
        <x:f>IFERROR(I8/H8,0)</x:f>
        <x:v>1.4285714285714286</x:v>
      </x:c>
      <x:c r="K8" s="65" t="str">
        <x:v>未计失败、军报和首日初始体力；用于稳定日节奏比较</x:v>
      </x:c>
      <x:c r="L8" s="62"/>
    </x:row>
    <x:row r="9" ht="38" customHeight="1">
      <x:c r="A9" s="65" t="str">
        <x:v>结算资源等价局</x:v>
      </x:c>
      <x:c r="B9" s="66" t="n">
        <x:f>B8</x:f>
        <x:v>420</x:v>
      </x:c>
      <x:c r="C9" s="66" t="n">
        <x:f>C8*'经济参数'!$E$26</x:f>
        <x:v>1200</x:v>
      </x:c>
      <x:c r="D9" s="75" t="n">
        <x:f>IFERROR(C9/B9,0)</x:f>
        <x:v>2.857142857142857</x:v>
      </x:c>
      <x:c r="E9" s="66" t="n">
        <x:f>E8</x:f>
        <x:v>1260</x:v>
      </x:c>
      <x:c r="F9" s="66" t="n">
        <x:f>F8*'经济参数'!$E$26</x:f>
        <x:v>3600</x:v>
      </x:c>
      <x:c r="G9" s="75" t="n">
        <x:f>IFERROR(F9/E9,0)</x:f>
        <x:v>2.857142857142857</x:v>
      </x:c>
      <x:c r="H9" s="66" t="n">
        <x:f>H8</x:f>
        <x:v>2520</x:v>
      </x:c>
      <x:c r="I9" s="66" t="n">
        <x:f>I8*'经济参数'!$E$26</x:f>
        <x:v>7200</x:v>
      </x:c>
      <x:c r="J9" s="75" t="n">
        <x:f>IFERROR(I9/H9,0)</x:f>
        <x:v>2.857142857142857</x:v>
      </x:c>
      <x:c r="K9" s="65" t="str">
        <x:v>金币、强化石、升星石：看满广告按每局双倍</x:v>
      </x:c>
      <x:c r="L9" s="62"/>
    </x:row>
    <x:row r="10" ht="38" customHeight="1">
      <x:c r="A10" s="65" t="str">
        <x:v>主角经验等价胜局</x:v>
      </x:c>
      <x:c r="B10" s="66" t="n">
        <x:f>B8</x:f>
        <x:v>420</x:v>
      </x:c>
      <x:c r="C10" s="66" t="n">
        <x:f>C8*'经济参数'!$E$26</x:f>
        <x:v>1200</x:v>
      </x:c>
      <x:c r="D10" s="75" t="n">
        <x:f>IFERROR(C10/B10,0)</x:f>
        <x:v>2.857142857142857</x:v>
      </x:c>
      <x:c r="E10" s="66" t="n">
        <x:f>E8</x:f>
        <x:v>1260</x:v>
      </x:c>
      <x:c r="F10" s="66" t="n">
        <x:f>F8*'经济参数'!$E$26</x:f>
        <x:v>3600</x:v>
      </x:c>
      <x:c r="G10" s="75" t="n">
        <x:f>IFERROR(F10/E10,0)</x:f>
        <x:v>2.857142857142857</x:v>
      </x:c>
      <x:c r="H10" s="66" t="n">
        <x:f>H8</x:f>
        <x:v>2520</x:v>
      </x:c>
      <x:c r="I10" s="66" t="n">
        <x:f>I8*'经济参数'!$E$26</x:f>
        <x:v>7200</x:v>
      </x:c>
      <x:c r="J10" s="75" t="n">
        <x:f>IFERROR(I10/H10,0)</x:f>
        <x:v>2.857142857142857</x:v>
      </x:c>
      <x:c r="K10" s="65" t="str">
        <x:v>结算广告同步补发一份主角经验</x:v>
      </x:c>
      <x:c r="L10" s="62"/>
    </x:row>
    <x:row r="11" ht="38" customHeight="1">
      <x:c r="A11" s="65" t="str">
        <x:v>期望装备件数</x:v>
      </x:c>
      <x:c r="B11" s="76" t="n">
        <x:f>B8*(IF('经济参数'!$E$46=0,1/('经济参数'!$E$47+1),'经济参数'!$E$46/(1-(1-'经济参数'!$E$46)^('经济参数'!$E$47+1))))</x:f>
        <x:v>288.62646787175095</x:v>
      </x:c>
      <x:c r="C11" s="76" t="n">
        <x:f>C8*((IF('经济参数'!$E$46=0,1/('经济参数'!$E$47+1),'经济参数'!$E$46/(1-(1-'经济参数'!$E$46)^('经济参数'!$E$47+1))))+'经济参数'!$E$27)</x:f>
        <x:v>622.3235255310727</x:v>
      </x:c>
      <x:c r="D11" s="75" t="n">
        <x:f>IFERROR(C11/B11,0)</x:f>
        <x:v>2.156155428571428</x:v>
      </x:c>
      <x:c r="E11" s="76" t="n">
        <x:f>E8*(IF('经济参数'!$E$46=0,1/('经济参数'!$E$47+1),'经济参数'!$E$46/(1-(1-'经济参数'!$E$46)^('经济参数'!$E$47+1))))</x:f>
        <x:v>865.8794036152528</x:v>
      </x:c>
      <x:c r="F11" s="76" t="n">
        <x:f>F8*((IF('经济参数'!$E$46=0,1/('经济参数'!$E$47+1),'经济参数'!$E$46/(1-(1-'经济参数'!$E$46)^('经济参数'!$E$47+1))))+'经济参数'!$E$27)</x:f>
        <x:v>1866.9705765932183</x:v>
      </x:c>
      <x:c r="G11" s="75" t="n">
        <x:f>IFERROR(F11/E11,0)</x:f>
        <x:v>2.1561554285714286</x:v>
      </x:c>
      <x:c r="H11" s="76" t="n">
        <x:f>H8*(IF('经济参数'!$E$46=0,1/('经济参数'!$E$47+1),'经济参数'!$E$46/(1-(1-'经济参数'!$E$46)^('经济参数'!$E$47+1))))</x:f>
        <x:v>1731.7588072305057</x:v>
      </x:c>
      <x:c r="I11" s="76" t="n">
        <x:f>I8*((IF('经济参数'!$E$46=0,1/('经济参数'!$E$47+1),'经济参数'!$E$46/(1-(1-'经济参数'!$E$46)^('经济参数'!$E$47+1))))+'经济参数'!$E$27)</x:f>
        <x:v>3733.9411531864366</x:v>
      </x:c>
      <x:c r="J11" s="75" t="n">
        <x:f>IFERROR(I11/H11,0)</x:f>
        <x:v>2.1561554285714286</x:v>
      </x:c>
      <x:c r="K11" s="65" t="str">
        <x:v>基础掉落含保底稳态；看满广告每胜额外独立抽取装备</x:v>
      </x:c>
      <x:c r="L11" s="62"/>
    </x:row>
    <x:row r="12" ht="38" customHeight="1">
      <x:c r="A12" s="65" t="str">
        <x:v>广告元宝</x:v>
      </x:c>
      <x:c r="B12" s="66" t="n">
        <x:f>0</x:f>
        <x:v>0</x:v>
      </x:c>
      <x:c r="C12" s="66" t="n">
        <x:f>30*'经济参数'!$E$36*'经济参数'!$E$37</x:f>
        <x:v>1500</x:v>
      </x:c>
      <x:c r="D12" s="75" t="n">
        <x:f>IFERROR(C12/B12,0)</x:f>
        <x:v>0</x:v>
      </x:c>
      <x:c r="E12" s="66" t="n">
        <x:f>0</x:f>
        <x:v>0</x:v>
      </x:c>
      <x:c r="F12" s="66" t="n">
        <x:f>90*'经济参数'!$E$36*'经济参数'!$E$37</x:f>
        <x:v>4500</x:v>
      </x:c>
      <x:c r="G12" s="75" t="n">
        <x:f>IFERROR(F12/E12,0)</x:f>
        <x:v>0</x:v>
      </x:c>
      <x:c r="H12" s="66" t="n">
        <x:f>0</x:f>
        <x:v>0</x:v>
      </x:c>
      <x:c r="I12" s="66" t="n">
        <x:f>180*'经济参数'!$E$36*'经济参数'!$E$37</x:f>
        <x:v>9000</x:v>
      </x:c>
      <x:c r="J12" s="75" t="n">
        <x:f>IFERROR(I12/H12,0)</x:f>
        <x:v>0</x:v>
      </x:c>
      <x:c r="K12" s="65" t="str">
        <x:v>商店每日5次广告；首通宝箱与日常元宝两类玩家相同</x:v>
      </x:c>
      <x:c r="L12" s="62"/>
    </x:row>
    <x:row r="13" ht="38" customHeight="1">
      <x:c r="A13" s="65" t="str">
        <x:v>体力广告次数</x:v>
      </x:c>
      <x:c r="B13" s="66" t="n">
        <x:f>0</x:f>
        <x:v>0</x:v>
      </x:c>
      <x:c r="C13" s="66" t="n">
        <x:f>30*'经济参数'!$E$15</x:f>
        <x:v>30</x:v>
      </x:c>
      <x:c r="D13" s="75" t="n">
        <x:f>IFERROR(C13/B13,0)</x:f>
        <x:v>0</x:v>
      </x:c>
      <x:c r="E13" s="66" t="n">
        <x:f>0</x:f>
        <x:v>0</x:v>
      </x:c>
      <x:c r="F13" s="66" t="n">
        <x:f>90*'经济参数'!$E$15</x:f>
        <x:v>90</x:v>
      </x:c>
      <x:c r="G13" s="75" t="n">
        <x:f>IFERROR(F13/E13,0)</x:f>
        <x:v>0</x:v>
      </x:c>
      <x:c r="H13" s="66" t="n">
        <x:f>0</x:f>
        <x:v>0</x:v>
      </x:c>
      <x:c r="I13" s="66" t="n">
        <x:f>180*'经济参数'!$E$15</x:f>
        <x:v>180</x:v>
      </x:c>
      <x:c r="J13" s="75" t="n">
        <x:f>IFERROR(I13/H13,0)</x:f>
        <x:v>0</x:v>
      </x:c>
      <x:c r="K13" s="65" t="str">
        <x:v>每日最多1次</x:v>
      </x:c>
      <x:c r="L13" s="62"/>
    </x:row>
    <x:row r="14" ht="38" customHeight="1">
      <x:c r="A14" s="65" t="str">
        <x:v>结算广告次数</x:v>
      </x:c>
      <x:c r="B14" s="66" t="n">
        <x:f>0</x:f>
        <x:v>0</x:v>
      </x:c>
      <x:c r="C14" s="66" t="n">
        <x:f>C8</x:f>
        <x:v>600</x:v>
      </x:c>
      <x:c r="D14" s="75" t="n">
        <x:f>IFERROR(C14/B14,0)</x:f>
        <x:v>0</x:v>
      </x:c>
      <x:c r="E14" s="66" t="n">
        <x:f>0</x:f>
        <x:v>0</x:v>
      </x:c>
      <x:c r="F14" s="66" t="n">
        <x:f>F8</x:f>
        <x:v>1800</x:v>
      </x:c>
      <x:c r="G14" s="75" t="n">
        <x:f>IFERROR(F14/E14,0)</x:f>
        <x:v>0</x:v>
      </x:c>
      <x:c r="H14" s="66" t="n">
        <x:f>0</x:f>
        <x:v>0</x:v>
      </x:c>
      <x:c r="I14" s="66" t="n">
        <x:f>I8</x:f>
        <x:v>3600</x:v>
      </x:c>
      <x:c r="J14" s="75" t="n">
        <x:f>IFERROR(I14/H14,0)</x:f>
        <x:v>0</x:v>
      </x:c>
      <x:c r="K14" s="65" t="str">
        <x:v>看满广告按每个胜利结算一次</x:v>
      </x:c>
      <x:c r="L14" s="62"/>
    </x:row>
    <x:row r="15" ht="38" customHeight="1">
      <x:c r="A15" s="65" t="str">
        <x:v>关键资源广告合计</x:v>
      </x:c>
      <x:c r="B15" s="66" t="n">
        <x:f>0</x:f>
        <x:v>0</x:v>
      </x:c>
      <x:c r="C15" s="66" t="n">
        <x:f>C12/'经济参数'!$E$36+C13+C14</x:f>
        <x:v>780</x:v>
      </x:c>
      <x:c r="D15" s="75" t="n">
        <x:f>IFERROR(C15/B15,0)</x:f>
        <x:v>0</x:v>
      </x:c>
      <x:c r="E15" s="66" t="n">
        <x:f>0</x:f>
        <x:v>0</x:v>
      </x:c>
      <x:c r="F15" s="66" t="n">
        <x:f>F12/'经济参数'!$E$36+F13+F14</x:f>
        <x:v>2340</x:v>
      </x:c>
      <x:c r="G15" s="75" t="n">
        <x:f>IFERROR(F15/E15,0)</x:f>
        <x:v>0</x:v>
      </x:c>
      <x:c r="H15" s="66" t="n">
        <x:f>0</x:f>
        <x:v>0</x:v>
      </x:c>
      <x:c r="I15" s="66" t="n">
        <x:f>I12/'经济参数'!$E$36+I13+I14</x:f>
        <x:v>4680</x:v>
      </x:c>
      <x:c r="J15" s="75" t="n">
        <x:f>IFERROR(I15/H15,0)</x:f>
        <x:v>0</x:v>
      </x:c>
      <x:c r="K15" s="65" t="str">
        <x:v>仅计商店元宝、体力、结算；不含提示/洗牌/复活</x:v>
      </x:c>
      <x:c r="L15" s="62"/>
    </x:row>
    <x:row r="16" ht="38" customHeight="1">
      <x:c r="A16" s="65" t="str">
        <x:v>期望主角等级</x:v>
      </x:c>
      <x:c r="B16" s="66" t="n">
        <x:f>MIN(150,MATCH(B10,$L$30:$L$179,1))</x:f>
        <x:v>43</x:v>
      </x:c>
      <x:c r="C16" s="66" t="n">
        <x:f>MIN(150,MATCH(C10,$L$30:$L$179,1))</x:f>
        <x:v>71</x:v>
      </x:c>
      <x:c r="D16" s="75" t="n">
        <x:f>IFERROR(C16/B16,0)</x:f>
        <x:v>1.6511627906976745</x:v>
      </x:c>
      <x:c r="E16" s="66" t="n">
        <x:f>MIN(150,MATCH(E10,$L$30:$L$179,1))</x:f>
        <x:v>73</x:v>
      </x:c>
      <x:c r="F16" s="66" t="n">
        <x:f>MIN(150,MATCH(F10,$L$30:$L$179,1))</x:f>
        <x:v>114</x:v>
      </x:c>
      <x:c r="G16" s="75" t="n">
        <x:f>IFERROR(F16/E16,0)</x:f>
        <x:v>1.5616438356164384</x:v>
      </x:c>
      <x:c r="H16" s="66" t="n">
        <x:f>MIN(150,MATCH(H10,$L$30:$L$179,1))</x:f>
        <x:v>98</x:v>
      </x:c>
      <x:c r="I16" s="66" t="n">
        <x:f>MIN(150,MATCH(I10,$L$30:$L$179,1))</x:f>
        <x:v>150</x:v>
      </x:c>
      <x:c r="J16" s="75" t="n">
        <x:f>IFERROR(I16/H16,0)</x:f>
        <x:v>1.530612244897959</x:v>
      </x:c>
      <x:c r="K16" s="65" t="str">
        <x:v>按当前经验表和等价胜局查找，不含失败局</x:v>
      </x:c>
      <x:c r="L16" s="62"/>
    </x:row>
    <x:row r="17" ht="38" customHeight="1">
      <x:c r="A17" s="65" t="str">
        <x:v>综合成长指数</x:v>
      </x:c>
      <x:c r="B17" s="66" t="n">
        <x:f>100</x:f>
        <x:v>100</x:v>
      </x:c>
      <x:c r="C17" s="66" t="n">
        <x:f>ROUND(AVERAGE(C9/B9,C11/B11)*100,0)</x:f>
        <x:v>251</x:v>
      </x:c>
      <x:c r="D17" s="75" t="n">
        <x:f>IFERROR(C17/B17,0)</x:f>
        <x:v>2.51</x:v>
      </x:c>
      <x:c r="E17" s="66" t="n">
        <x:f>100</x:f>
        <x:v>100</x:v>
      </x:c>
      <x:c r="F17" s="66" t="n">
        <x:f>ROUND(AVERAGE(F9/E9,F11/E11)*100,0)</x:f>
        <x:v>251</x:v>
      </x:c>
      <x:c r="G17" s="75" t="n">
        <x:f>IFERROR(F17/E17,0)</x:f>
        <x:v>2.51</x:v>
      </x:c>
      <x:c r="H17" s="66" t="n">
        <x:f>100</x:f>
        <x:v>100</x:v>
      </x:c>
      <x:c r="I17" s="66" t="n">
        <x:f>ROUND(AVERAGE(I9/H9,I11/H11)*100,0)</x:f>
        <x:v>251</x:v>
      </x:c>
      <x:c r="J17" s="75" t="n">
        <x:f>IFERROR(I17/H17,0)</x:f>
        <x:v>2.51</x:v>
      </x:c>
      <x:c r="K17" s="65" t="str">
        <x:v>零广告=100；结算资源和装备件数倍率等权</x:v>
      </x:c>
      <x:c r="L17" s="62"/>
    </x:row>
    <x:row r="18" ht="23" customHeight="1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</x:row>
    <x:row r="19" ht="23" customHeight="1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</x:row>
    <x:row r="20" ht="23" customHeight="1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</x:row>
    <x:row r="21" ht="23" customHeight="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</x:row>
    <x:row r="22" ht="23" customHeight="1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</x:row>
    <x:row r="23" ht="23" customHeight="1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</x:row>
    <x:row r="24" ht="23" customHeight="1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</x:row>
    <x:row r="25" ht="23" customHeight="1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</x:row>
    <x:row r="26" ht="23" customHeight="1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</x:row>
    <x:row r="27" ht="23" customHeight="1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</x:row>
    <x:row r="28" ht="23" customHeight="1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</x:row>
    <x:row r="29" ht="36" customHeight="1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4" t="str">
        <x:v>主角等级</x:v>
      </x:c>
      <x:c r="L29" s="64" t="str">
        <x:v>累计等价胜局</x:v>
      </x:c>
    </x:row>
    <x:row r="30" ht="23" customHeight="1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77" t="n">
        <x:v>1</x:v>
      </x:c>
      <x:c r="L30" s="77" t="n">
        <x:v>0</x:v>
      </x:c>
    </x:row>
    <x:row r="31" ht="23" customHeight="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77" t="n">
        <x:v>2</x:v>
      </x:c>
      <x:c r="L31" s="77" t="n">
        <x:v>2</x:v>
      </x:c>
    </x:row>
    <x:row r="32" ht="23" customHeight="1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77" t="n">
        <x:v>3</x:v>
      </x:c>
      <x:c r="L32" s="77" t="n">
        <x:v>5</x:v>
      </x:c>
    </x:row>
    <x:row r="33" ht="23" customHeight="1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77" t="n">
        <x:v>4</x:v>
      </x:c>
      <x:c r="L33" s="77" t="n">
        <x:v>8</x:v>
      </x:c>
    </x:row>
    <x:row r="34" ht="23" customHeight="1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77" t="n">
        <x:v>5</x:v>
      </x:c>
      <x:c r="L34" s="77" t="n">
        <x:v>11</x:v>
      </x:c>
    </x:row>
    <x:row r="35" ht="23" customHeight="1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77" t="n">
        <x:v>6</x:v>
      </x:c>
      <x:c r="L35" s="77" t="n">
        <x:v>15</x:v>
      </x:c>
    </x:row>
    <x:row r="36" ht="23" customHeight="1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77" t="n">
        <x:v>7</x:v>
      </x:c>
      <x:c r="L36" s="77" t="n">
        <x:v>19</x:v>
      </x:c>
    </x:row>
    <x:row r="37" ht="23" customHeight="1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77" t="n">
        <x:v>8</x:v>
      </x:c>
      <x:c r="L37" s="77" t="n">
        <x:v>23</x:v>
      </x:c>
    </x:row>
    <x:row r="38" ht="23" customHeight="1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77" t="n">
        <x:v>9</x:v>
      </x:c>
      <x:c r="L38" s="77" t="n">
        <x:v>28</x:v>
      </x:c>
    </x:row>
    <x:row r="39" ht="23" customHeight="1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77" t="n">
        <x:v>10</x:v>
      </x:c>
      <x:c r="L39" s="77" t="n">
        <x:v>33</x:v>
      </x:c>
    </x:row>
    <x:row r="40" ht="23" customHeight="1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77" t="n">
        <x:v>11</x:v>
      </x:c>
      <x:c r="L40" s="77" t="n">
        <x:v>38</x:v>
      </x:c>
    </x:row>
    <x:row r="41" ht="23" customHeight="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77" t="n">
        <x:v>12</x:v>
      </x:c>
      <x:c r="L41" s="77" t="n">
        <x:v>44</x:v>
      </x:c>
    </x:row>
    <x:row r="42" ht="23" customHeight="1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77" t="n">
        <x:v>13</x:v>
      </x:c>
      <x:c r="L42" s="77" t="n">
        <x:v>50</x:v>
      </x:c>
    </x:row>
    <x:row r="43" ht="23" customHeight="1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77" t="n">
        <x:v>14</x:v>
      </x:c>
      <x:c r="L43" s="77" t="n">
        <x:v>56</x:v>
      </x:c>
    </x:row>
    <x:row r="44" ht="23" customHeight="1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77" t="n">
        <x:v>15</x:v>
      </x:c>
      <x:c r="L44" s="77" t="n">
        <x:v>62</x:v>
      </x:c>
    </x:row>
    <x:row r="45" ht="23" customHeight="1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77" t="n">
        <x:v>16</x:v>
      </x:c>
      <x:c r="L45" s="77" t="n">
        <x:v>69</x:v>
      </x:c>
    </x:row>
    <x:row r="46" ht="23" customHeight="1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77" t="n">
        <x:v>17</x:v>
      </x:c>
      <x:c r="L46" s="77" t="n">
        <x:v>76</x:v>
      </x:c>
    </x:row>
    <x:row r="47" ht="23" customHeight="1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77" t="n">
        <x:v>18</x:v>
      </x:c>
      <x:c r="L47" s="77" t="n">
        <x:v>83</x:v>
      </x:c>
    </x:row>
    <x:row r="48" ht="23" customHeight="1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77" t="n">
        <x:v>19</x:v>
      </x:c>
      <x:c r="L48" s="77" t="n">
        <x:v>91</x:v>
      </x:c>
    </x:row>
    <x:row r="49" ht="23" customHeight="1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77" t="n">
        <x:v>20</x:v>
      </x:c>
      <x:c r="L49" s="77" t="n">
        <x:v>99</x:v>
      </x:c>
    </x:row>
    <x:row r="50" ht="23" customHeight="1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77" t="n">
        <x:v>21</x:v>
      </x:c>
      <x:c r="L50" s="77" t="n">
        <x:v>107</x:v>
      </x:c>
    </x:row>
    <x:row r="51" ht="23" customHeight="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77" t="n">
        <x:v>22</x:v>
      </x:c>
      <x:c r="L51" s="77" t="n">
        <x:v>116</x:v>
      </x:c>
    </x:row>
    <x:row r="52" ht="23" customHeight="1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77" t="n">
        <x:v>23</x:v>
      </x:c>
      <x:c r="L52" s="77" t="n">
        <x:v>125</x:v>
      </x:c>
    </x:row>
    <x:row r="53" ht="23" customHeight="1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77" t="n">
        <x:v>24</x:v>
      </x:c>
      <x:c r="L53" s="77" t="n">
        <x:v>135</x:v>
      </x:c>
    </x:row>
    <x:row r="54" ht="23" customHeight="1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77" t="n">
        <x:v>25</x:v>
      </x:c>
      <x:c r="L54" s="77" t="n">
        <x:v>145</x:v>
      </x:c>
    </x:row>
    <x:row r="55" ht="23" customHeight="1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77" t="n">
        <x:v>26</x:v>
      </x:c>
      <x:c r="L55" s="77" t="n">
        <x:v>156</x:v>
      </x:c>
    </x:row>
    <x:row r="56" ht="23" customHeight="1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77" t="n">
        <x:v>27</x:v>
      </x:c>
      <x:c r="L56" s="77" t="n">
        <x:v>167</x:v>
      </x:c>
    </x:row>
    <x:row r="57" ht="23" customHeight="1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77" t="n">
        <x:v>28</x:v>
      </x:c>
      <x:c r="L57" s="77" t="n">
        <x:v>179</x:v>
      </x:c>
    </x:row>
    <x:row r="58" ht="23" customHeight="1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77" t="n">
        <x:v>29</x:v>
      </x:c>
      <x:c r="L58" s="77" t="n">
        <x:v>191</x:v>
      </x:c>
    </x:row>
    <x:row r="59" ht="23" customHeight="1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77" t="n">
        <x:v>30</x:v>
      </x:c>
      <x:c r="L59" s="77" t="n">
        <x:v>204</x:v>
      </x:c>
    </x:row>
    <x:row r="60" ht="23" customHeight="1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77" t="n">
        <x:v>31</x:v>
      </x:c>
      <x:c r="L60" s="77" t="n">
        <x:v>217</x:v>
      </x:c>
    </x:row>
    <x:row r="61" ht="23" customHeight="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77" t="n">
        <x:v>32</x:v>
      </x:c>
      <x:c r="L61" s="77" t="n">
        <x:v>231</x:v>
      </x:c>
    </x:row>
    <x:row r="62" ht="23" customHeight="1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77" t="n">
        <x:v>33</x:v>
      </x:c>
      <x:c r="L62" s="77" t="n">
        <x:v>245</x:v>
      </x:c>
    </x:row>
    <x:row r="63" ht="23" customHeight="1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77" t="n">
        <x:v>34</x:v>
      </x:c>
      <x:c r="L63" s="77" t="n">
        <x:v>260</x:v>
      </x:c>
    </x:row>
    <x:row r="64" ht="23" customHeight="1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77" t="n">
        <x:v>35</x:v>
      </x:c>
      <x:c r="L64" s="77" t="n">
        <x:v>275</x:v>
      </x:c>
    </x:row>
    <x:row r="65" ht="23" customHeight="1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77" t="n">
        <x:v>36</x:v>
      </x:c>
      <x:c r="L65" s="77" t="n">
        <x:v>291</x:v>
      </x:c>
    </x:row>
    <x:row r="66" ht="23" customHeight="1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77" t="n">
        <x:v>37</x:v>
      </x:c>
      <x:c r="L66" s="77" t="n">
        <x:v>307</x:v>
      </x:c>
    </x:row>
    <x:row r="67" ht="23" customHeight="1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77" t="n">
        <x:v>38</x:v>
      </x:c>
      <x:c r="L67" s="77" t="n">
        <x:v>324</x:v>
      </x:c>
    </x:row>
    <x:row r="68" ht="23" customHeight="1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77" t="n">
        <x:v>39</x:v>
      </x:c>
      <x:c r="L68" s="77" t="n">
        <x:v>341</x:v>
      </x:c>
    </x:row>
    <x:row r="69" ht="23" customHeight="1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77" t="n">
        <x:v>40</x:v>
      </x:c>
      <x:c r="L69" s="77" t="n">
        <x:v>359</x:v>
      </x:c>
    </x:row>
    <x:row r="70" ht="23" customHeight="1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77" t="n">
        <x:v>41</x:v>
      </x:c>
      <x:c r="L70" s="77" t="n">
        <x:v>377</x:v>
      </x:c>
    </x:row>
    <x:row r="71" ht="23" customHeight="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77" t="n">
        <x:v>42</x:v>
      </x:c>
      <x:c r="L71" s="77" t="n">
        <x:v>396</x:v>
      </x:c>
    </x:row>
    <x:row r="72" ht="23" customHeight="1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77" t="n">
        <x:v>43</x:v>
      </x:c>
      <x:c r="L72" s="77" t="n">
        <x:v>415</x:v>
      </x:c>
    </x:row>
    <x:row r="73" ht="23" customHeight="1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77" t="n">
        <x:v>44</x:v>
      </x:c>
      <x:c r="L73" s="77" t="n">
        <x:v>435</x:v>
      </x:c>
    </x:row>
    <x:row r="74" ht="23" customHeight="1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77" t="n">
        <x:v>45</x:v>
      </x:c>
      <x:c r="L74" s="77" t="n">
        <x:v>455</x:v>
      </x:c>
    </x:row>
    <x:row r="75" ht="23" customHeight="1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77" t="n">
        <x:v>46</x:v>
      </x:c>
      <x:c r="L75" s="77" t="n">
        <x:v>476</x:v>
      </x:c>
    </x:row>
    <x:row r="76" ht="23" customHeight="1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77" t="n">
        <x:v>47</x:v>
      </x:c>
      <x:c r="L76" s="77" t="n">
        <x:v>497</x:v>
      </x:c>
    </x:row>
    <x:row r="77" ht="23" customHeight="1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77" t="n">
        <x:v>48</x:v>
      </x:c>
      <x:c r="L77" s="77" t="n">
        <x:v>519</x:v>
      </x:c>
    </x:row>
    <x:row r="78" ht="23" customHeight="1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77" t="n">
        <x:v>49</x:v>
      </x:c>
      <x:c r="L78" s="77" t="n">
        <x:v>541</x:v>
      </x:c>
    </x:row>
    <x:row r="79" ht="23" customHeight="1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77" t="n">
        <x:v>50</x:v>
      </x:c>
      <x:c r="L79" s="77" t="n">
        <x:v>564</x:v>
      </x:c>
    </x:row>
    <x:row r="80" ht="23" customHeight="1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77" t="n">
        <x:v>51</x:v>
      </x:c>
      <x:c r="L80" s="77" t="n">
        <x:v>587</x:v>
      </x:c>
    </x:row>
    <x:row r="81" ht="23" customHeight="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77" t="n">
        <x:v>52</x:v>
      </x:c>
      <x:c r="L81" s="77" t="n">
        <x:v>611</x:v>
      </x:c>
    </x:row>
    <x:row r="82" ht="23" customHeight="1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77" t="n">
        <x:v>53</x:v>
      </x:c>
      <x:c r="L82" s="77" t="n">
        <x:v>635</x:v>
      </x:c>
    </x:row>
    <x:row r="83" ht="23" customHeight="1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77" t="n">
        <x:v>54</x:v>
      </x:c>
      <x:c r="L83" s="77" t="n">
        <x:v>660</x:v>
      </x:c>
    </x:row>
    <x:row r="84" ht="23" customHeight="1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77" t="n">
        <x:v>55</x:v>
      </x:c>
      <x:c r="L84" s="77" t="n">
        <x:v>685</x:v>
      </x:c>
    </x:row>
    <x:row r="85" ht="23" customHeight="1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77" t="n">
        <x:v>56</x:v>
      </x:c>
      <x:c r="L85" s="77" t="n">
        <x:v>711</x:v>
      </x:c>
    </x:row>
    <x:row r="86" ht="23" customHeight="1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77" t="n">
        <x:v>57</x:v>
      </x:c>
      <x:c r="L86" s="77" t="n">
        <x:v>737</x:v>
      </x:c>
    </x:row>
    <x:row r="87" ht="23" customHeight="1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77" t="n">
        <x:v>58</x:v>
      </x:c>
      <x:c r="L87" s="77" t="n">
        <x:v>764</x:v>
      </x:c>
    </x:row>
    <x:row r="88" ht="23" customHeight="1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77" t="n">
        <x:v>59</x:v>
      </x:c>
      <x:c r="L88" s="77" t="n">
        <x:v>791</x:v>
      </x:c>
    </x:row>
    <x:row r="89" ht="23" customHeight="1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77" t="n">
        <x:v>60</x:v>
      </x:c>
      <x:c r="L89" s="77" t="n">
        <x:v>819</x:v>
      </x:c>
    </x:row>
    <x:row r="90" ht="23" customHeight="1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77" t="n">
        <x:v>61</x:v>
      </x:c>
      <x:c r="L90" s="77" t="n">
        <x:v>847</x:v>
      </x:c>
    </x:row>
    <x:row r="91" ht="23" customHeight="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77" t="n">
        <x:v>62</x:v>
      </x:c>
      <x:c r="L91" s="77" t="n">
        <x:v>876</x:v>
      </x:c>
    </x:row>
    <x:row r="92" ht="23" customHeight="1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77" t="n">
        <x:v>63</x:v>
      </x:c>
      <x:c r="L92" s="77" t="n">
        <x:v>906</x:v>
      </x:c>
    </x:row>
    <x:row r="93" ht="23" customHeight="1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77" t="n">
        <x:v>64</x:v>
      </x:c>
      <x:c r="L93" s="77" t="n">
        <x:v>937</x:v>
      </x:c>
    </x:row>
    <x:row r="94" ht="23" customHeight="1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77" t="n">
        <x:v>65</x:v>
      </x:c>
      <x:c r="L94" s="77" t="n">
        <x:v>969</x:v>
      </x:c>
    </x:row>
    <x:row r="95" ht="23" customHeight="1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77" t="n">
        <x:v>66</x:v>
      </x:c>
      <x:c r="L95" s="77" t="n">
        <x:v>1002</x:v>
      </x:c>
    </x:row>
    <x:row r="96" ht="23" customHeight="1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77" t="n">
        <x:v>67</x:v>
      </x:c>
      <x:c r="L96" s="77" t="n">
        <x:v>1035</x:v>
      </x:c>
    </x:row>
    <x:row r="97" ht="23" customHeight="1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77" t="n">
        <x:v>68</x:v>
      </x:c>
      <x:c r="L97" s="77" t="n">
        <x:v>1069</x:v>
      </x:c>
    </x:row>
    <x:row r="98" ht="23" customHeight="1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77" t="n">
        <x:v>69</x:v>
      </x:c>
      <x:c r="L98" s="77" t="n">
        <x:v>1104</x:v>
      </x:c>
    </x:row>
    <x:row r="99" ht="23" customHeight="1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77" t="n">
        <x:v>70</x:v>
      </x:c>
      <x:c r="L99" s="77" t="n">
        <x:v>1140</x:v>
      </x:c>
    </x:row>
    <x:row r="100" ht="23" customHeight="1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77" t="n">
        <x:v>71</x:v>
      </x:c>
      <x:c r="L100" s="77" t="n">
        <x:v>1177</x:v>
      </x:c>
    </x:row>
    <x:row r="101" ht="23" customHeight="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77" t="n">
        <x:v>72</x:v>
      </x:c>
      <x:c r="L101" s="77" t="n">
        <x:v>1215</x:v>
      </x:c>
    </x:row>
    <x:row r="102" ht="23" customHeight="1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77" t="n">
        <x:v>73</x:v>
      </x:c>
      <x:c r="L102" s="77" t="n">
        <x:v>1254</x:v>
      </x:c>
    </x:row>
    <x:row r="103" ht="23" customHeight="1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77" t="n">
        <x:v>74</x:v>
      </x:c>
      <x:c r="L103" s="77" t="n">
        <x:v>1293</x:v>
      </x:c>
    </x:row>
    <x:row r="104" ht="23" customHeight="1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77" t="n">
        <x:v>75</x:v>
      </x:c>
      <x:c r="L104" s="77" t="n">
        <x:v>1333</x:v>
      </x:c>
    </x:row>
    <x:row r="105" ht="23" customHeight="1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77" t="n">
        <x:v>76</x:v>
      </x:c>
      <x:c r="L105" s="77" t="n">
        <x:v>1374</x:v>
      </x:c>
    </x:row>
    <x:row r="106" ht="23" customHeight="1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77" t="n">
        <x:v>77</x:v>
      </x:c>
      <x:c r="L106" s="77" t="n">
        <x:v>1416</x:v>
      </x:c>
    </x:row>
    <x:row r="107" ht="23" customHeight="1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77" t="n">
        <x:v>78</x:v>
      </x:c>
      <x:c r="L107" s="77" t="n">
        <x:v>1459</x:v>
      </x:c>
    </x:row>
    <x:row r="108" ht="23" customHeight="1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77" t="n">
        <x:v>79</x:v>
      </x:c>
      <x:c r="L108" s="77" t="n">
        <x:v>1503</x:v>
      </x:c>
    </x:row>
    <x:row r="109" ht="23" customHeight="1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77" t="n">
        <x:v>80</x:v>
      </x:c>
      <x:c r="L109" s="77" t="n">
        <x:v>1548</x:v>
      </x:c>
    </x:row>
    <x:row r="110" ht="23" customHeight="1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77" t="n">
        <x:v>81</x:v>
      </x:c>
      <x:c r="L110" s="77" t="n">
        <x:v>1593</x:v>
      </x:c>
    </x:row>
    <x:row r="111" ht="23" customHeight="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77" t="n">
        <x:v>82</x:v>
      </x:c>
      <x:c r="L111" s="77" t="n">
        <x:v>1639</x:v>
      </x:c>
    </x:row>
    <x:row r="112" ht="23" customHeight="1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77" t="n">
        <x:v>83</x:v>
      </x:c>
      <x:c r="L112" s="77" t="n">
        <x:v>1686</x:v>
      </x:c>
    </x:row>
    <x:row r="113" ht="23" customHeight="1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77" t="n">
        <x:v>84</x:v>
      </x:c>
      <x:c r="L113" s="77" t="n">
        <x:v>1734</x:v>
      </x:c>
    </x:row>
    <x:row r="114" ht="23" customHeight="1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77" t="n">
        <x:v>85</x:v>
      </x:c>
      <x:c r="L114" s="77" t="n">
        <x:v>1783</x:v>
      </x:c>
    </x:row>
    <x:row r="115" ht="23" customHeight="1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77" t="n">
        <x:v>86</x:v>
      </x:c>
      <x:c r="L115" s="77" t="n">
        <x:v>1833</x:v>
      </x:c>
    </x:row>
    <x:row r="116" ht="23" customHeight="1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77" t="n">
        <x:v>87</x:v>
      </x:c>
      <x:c r="L116" s="77" t="n">
        <x:v>1883</x:v>
      </x:c>
    </x:row>
    <x:row r="117" ht="23" customHeight="1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77" t="n">
        <x:v>88</x:v>
      </x:c>
      <x:c r="L117" s="77" t="n">
        <x:v>1934</x:v>
      </x:c>
    </x:row>
    <x:row r="118" ht="23" customHeight="1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77" t="n">
        <x:v>89</x:v>
      </x:c>
      <x:c r="L118" s="77" t="n">
        <x:v>1986</x:v>
      </x:c>
    </x:row>
    <x:row r="119" ht="23" customHeight="1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77" t="n">
        <x:v>90</x:v>
      </x:c>
      <x:c r="L119" s="77" t="n">
        <x:v>2039</x:v>
      </x:c>
    </x:row>
    <x:row r="120" ht="23" customHeight="1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77" t="n">
        <x:v>91</x:v>
      </x:c>
      <x:c r="L120" s="77" t="n">
        <x:v>2093</x:v>
      </x:c>
    </x:row>
    <x:row r="121" ht="23" customHeight="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77" t="n">
        <x:v>92</x:v>
      </x:c>
      <x:c r="L121" s="77" t="n">
        <x:v>2148</x:v>
      </x:c>
    </x:row>
    <x:row r="122" ht="23" customHeight="1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77" t="n">
        <x:v>93</x:v>
      </x:c>
      <x:c r="L122" s="77" t="n">
        <x:v>2204</x:v>
      </x:c>
    </x:row>
    <x:row r="123" ht="23" customHeight="1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77" t="n">
        <x:v>94</x:v>
      </x:c>
      <x:c r="L123" s="77" t="n">
        <x:v>2260</x:v>
      </x:c>
    </x:row>
    <x:row r="124" ht="23" customHeight="1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77" t="n">
        <x:v>95</x:v>
      </x:c>
      <x:c r="L124" s="77" t="n">
        <x:v>2317</x:v>
      </x:c>
    </x:row>
    <x:row r="125" ht="23" customHeight="1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77" t="n">
        <x:v>96</x:v>
      </x:c>
      <x:c r="L125" s="77" t="n">
        <x:v>2375</x:v>
      </x:c>
    </x:row>
    <x:row r="126" ht="23" customHeight="1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77" t="n">
        <x:v>97</x:v>
      </x:c>
      <x:c r="L126" s="77" t="n">
        <x:v>2434</x:v>
      </x:c>
    </x:row>
    <x:row r="127" ht="23" customHeight="1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77" t="n">
        <x:v>98</x:v>
      </x:c>
      <x:c r="L127" s="77" t="n">
        <x:v>2494</x:v>
      </x:c>
    </x:row>
    <x:row r="128" ht="23" customHeight="1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77" t="n">
        <x:v>99</x:v>
      </x:c>
      <x:c r="L128" s="77" t="n">
        <x:v>2555</x:v>
      </x:c>
    </x:row>
    <x:row r="129" ht="23" customHeight="1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77" t="n">
        <x:v>100</x:v>
      </x:c>
      <x:c r="L129" s="77" t="n">
        <x:v>2617</x:v>
      </x:c>
    </x:row>
    <x:row r="130" ht="23" customHeight="1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77" t="n">
        <x:v>101</x:v>
      </x:c>
      <x:c r="L130" s="77" t="n">
        <x:v>2679</x:v>
      </x:c>
    </x:row>
    <x:row r="131" ht="23" customHeight="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77" t="n">
        <x:v>102</x:v>
      </x:c>
      <x:c r="L131" s="77" t="n">
        <x:v>2742</x:v>
      </x:c>
    </x:row>
    <x:row r="132" ht="23" customHeight="1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77" t="n">
        <x:v>103</x:v>
      </x:c>
      <x:c r="L132" s="77" t="n">
        <x:v>2806</x:v>
      </x:c>
    </x:row>
    <x:row r="133" ht="23" customHeight="1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77" t="n">
        <x:v>104</x:v>
      </x:c>
      <x:c r="L133" s="77" t="n">
        <x:v>2871</x:v>
      </x:c>
    </x:row>
    <x:row r="134" ht="23" customHeight="1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77" t="n">
        <x:v>105</x:v>
      </x:c>
      <x:c r="L134" s="77" t="n">
        <x:v>2937</x:v>
      </x:c>
    </x:row>
    <x:row r="135" ht="23" customHeight="1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77" t="n">
        <x:v>106</x:v>
      </x:c>
      <x:c r="L135" s="77" t="n">
        <x:v>3004</x:v>
      </x:c>
    </x:row>
    <x:row r="136" ht="23" customHeight="1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77" t="n">
        <x:v>107</x:v>
      </x:c>
      <x:c r="L136" s="77" t="n">
        <x:v>3071</x:v>
      </x:c>
    </x:row>
    <x:row r="137" ht="23" customHeight="1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77" t="n">
        <x:v>108</x:v>
      </x:c>
      <x:c r="L137" s="77" t="n">
        <x:v>3139</x:v>
      </x:c>
    </x:row>
    <x:row r="138" ht="23" customHeight="1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77" t="n">
        <x:v>109</x:v>
      </x:c>
      <x:c r="L138" s="77" t="n">
        <x:v>3208</x:v>
      </x:c>
    </x:row>
    <x:row r="139" ht="23" customHeight="1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77" t="n">
        <x:v>110</x:v>
      </x:c>
      <x:c r="L139" s="77" t="n">
        <x:v>3278</x:v>
      </x:c>
    </x:row>
    <x:row r="140" ht="23" customHeight="1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77" t="n">
        <x:v>111</x:v>
      </x:c>
      <x:c r="L140" s="77" t="n">
        <x:v>3349</x:v>
      </x:c>
    </x:row>
    <x:row r="141" ht="23" customHeight="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77" t="n">
        <x:v>112</x:v>
      </x:c>
      <x:c r="L141" s="77" t="n">
        <x:v>3421</x:v>
      </x:c>
    </x:row>
    <x:row r="142" ht="23" customHeight="1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77" t="n">
        <x:v>113</x:v>
      </x:c>
      <x:c r="L142" s="77" t="n">
        <x:v>3494</x:v>
      </x:c>
    </x:row>
    <x:row r="143" ht="23" customHeight="1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77" t="n">
        <x:v>114</x:v>
      </x:c>
      <x:c r="L143" s="77" t="n">
        <x:v>3567</x:v>
      </x:c>
    </x:row>
    <x:row r="144" ht="23" customHeight="1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77" t="n">
        <x:v>115</x:v>
      </x:c>
      <x:c r="L144" s="77" t="n">
        <x:v>3641</x:v>
      </x:c>
    </x:row>
    <x:row r="145" ht="23" customHeight="1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77" t="n">
        <x:v>116</x:v>
      </x:c>
      <x:c r="L145" s="77" t="n">
        <x:v>3716</x:v>
      </x:c>
    </x:row>
    <x:row r="146" ht="23" customHeight="1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77" t="n">
        <x:v>117</x:v>
      </x:c>
      <x:c r="L146" s="77" t="n">
        <x:v>3792</x:v>
      </x:c>
    </x:row>
    <x:row r="147" ht="23" customHeight="1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77" t="n">
        <x:v>118</x:v>
      </x:c>
      <x:c r="L147" s="77" t="n">
        <x:v>3869</x:v>
      </x:c>
    </x:row>
    <x:row r="148" ht="23" customHeight="1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77" t="n">
        <x:v>119</x:v>
      </x:c>
      <x:c r="L148" s="77" t="n">
        <x:v>3947</x:v>
      </x:c>
    </x:row>
    <x:row r="149" ht="23" customHeight="1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77" t="n">
        <x:v>120</x:v>
      </x:c>
      <x:c r="L149" s="77" t="n">
        <x:v>4026</x:v>
      </x:c>
    </x:row>
    <x:row r="150" ht="23" customHeight="1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77" t="n">
        <x:v>121</x:v>
      </x:c>
      <x:c r="L150" s="77" t="n">
        <x:v>4105</x:v>
      </x:c>
    </x:row>
    <x:row r="151" ht="23" customHeight="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77" t="n">
        <x:v>122</x:v>
      </x:c>
      <x:c r="L151" s="77" t="n">
        <x:v>4185</x:v>
      </x:c>
    </x:row>
    <x:row r="152" ht="23" customHeight="1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77" t="n">
        <x:v>123</x:v>
      </x:c>
      <x:c r="L152" s="77" t="n">
        <x:v>4266</x:v>
      </x:c>
    </x:row>
    <x:row r="153" ht="23" customHeight="1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77" t="n">
        <x:v>124</x:v>
      </x:c>
      <x:c r="L153" s="77" t="n">
        <x:v>4348</x:v>
      </x:c>
    </x:row>
    <x:row r="154" ht="23" customHeight="1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77" t="n">
        <x:v>125</x:v>
      </x:c>
      <x:c r="L154" s="77" t="n">
        <x:v>4431</x:v>
      </x:c>
    </x:row>
    <x:row r="155" ht="23" customHeight="1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77" t="n">
        <x:v>126</x:v>
      </x:c>
      <x:c r="L155" s="77" t="n">
        <x:v>4515</x:v>
      </x:c>
    </x:row>
    <x:row r="156" ht="23" customHeight="1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77" t="n">
        <x:v>127</x:v>
      </x:c>
      <x:c r="L156" s="77" t="n">
        <x:v>4599</x:v>
      </x:c>
    </x:row>
    <x:row r="157" ht="23" customHeight="1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77" t="n">
        <x:v>128</x:v>
      </x:c>
      <x:c r="L157" s="77" t="n">
        <x:v>4684</x:v>
      </x:c>
    </x:row>
    <x:row r="158" ht="23" customHeight="1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77" t="n">
        <x:v>129</x:v>
      </x:c>
      <x:c r="L158" s="77" t="n">
        <x:v>4770</x:v>
      </x:c>
    </x:row>
    <x:row r="159" ht="23" customHeight="1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77" t="n">
        <x:v>130</x:v>
      </x:c>
      <x:c r="L159" s="77" t="n">
        <x:v>4857</x:v>
      </x:c>
    </x:row>
    <x:row r="160" ht="23" customHeight="1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77" t="n">
        <x:v>131</x:v>
      </x:c>
      <x:c r="L160" s="77" t="n">
        <x:v>4945</x:v>
      </x:c>
    </x:row>
    <x:row r="161" ht="23" customHeight="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77" t="n">
        <x:v>132</x:v>
      </x:c>
      <x:c r="L161" s="77" t="n">
        <x:v>5034</x:v>
      </x:c>
    </x:row>
    <x:row r="162" ht="23" customHeight="1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77" t="n">
        <x:v>133</x:v>
      </x:c>
      <x:c r="L162" s="77" t="n">
        <x:v>5124</x:v>
      </x:c>
    </x:row>
    <x:row r="163" ht="23" customHeight="1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77" t="n">
        <x:v>134</x:v>
      </x:c>
      <x:c r="L163" s="77" t="n">
        <x:v>5214</x:v>
      </x:c>
    </x:row>
    <x:row r="164" ht="23" customHeight="1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77" t="n">
        <x:v>135</x:v>
      </x:c>
      <x:c r="L164" s="77" t="n">
        <x:v>5305</x:v>
      </x:c>
    </x:row>
    <x:row r="165" ht="23" customHeight="1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77" t="n">
        <x:v>136</x:v>
      </x:c>
      <x:c r="L165" s="77" t="n">
        <x:v>5397</x:v>
      </x:c>
    </x:row>
    <x:row r="166" ht="23" customHeight="1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77" t="n">
        <x:v>137</x:v>
      </x:c>
      <x:c r="L166" s="77" t="n">
        <x:v>5490</x:v>
      </x:c>
    </x:row>
    <x:row r="167" ht="23" customHeight="1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77" t="n">
        <x:v>138</x:v>
      </x:c>
      <x:c r="L167" s="77" t="n">
        <x:v>5584</x:v>
      </x:c>
    </x:row>
    <x:row r="168" ht="23" customHeight="1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77" t="n">
        <x:v>139</x:v>
      </x:c>
      <x:c r="L168" s="77" t="n">
        <x:v>5679</x:v>
      </x:c>
    </x:row>
    <x:row r="169" ht="23" customHeight="1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77" t="n">
        <x:v>140</x:v>
      </x:c>
      <x:c r="L169" s="77" t="n">
        <x:v>5775</x:v>
      </x:c>
    </x:row>
    <x:row r="170" ht="23" customHeight="1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77" t="n">
        <x:v>141</x:v>
      </x:c>
      <x:c r="L170" s="77" t="n">
        <x:v>5871</x:v>
      </x:c>
    </x:row>
    <x:row r="171" ht="23" customHeight="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77" t="n">
        <x:v>142</x:v>
      </x:c>
      <x:c r="L171" s="77" t="n">
        <x:v>5968</x:v>
      </x:c>
    </x:row>
    <x:row r="172" ht="23" customHeight="1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77" t="n">
        <x:v>143</x:v>
      </x:c>
      <x:c r="L172" s="77" t="n">
        <x:v>6066</x:v>
      </x:c>
    </x:row>
    <x:row r="173" ht="23" customHeight="1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77" t="n">
        <x:v>144</x:v>
      </x:c>
      <x:c r="L173" s="77" t="n">
        <x:v>6165</x:v>
      </x:c>
    </x:row>
    <x:row r="174" ht="23" customHeight="1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77" t="n">
        <x:v>145</x:v>
      </x:c>
      <x:c r="L174" s="77" t="n">
        <x:v>6265</x:v>
      </x:c>
    </x:row>
    <x:row r="175" ht="23" customHeight="1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77" t="n">
        <x:v>146</x:v>
      </x:c>
      <x:c r="L175" s="77" t="n">
        <x:v>6366</x:v>
      </x:c>
    </x:row>
    <x:row r="176" ht="23" customHeight="1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77" t="n">
        <x:v>147</x:v>
      </x:c>
      <x:c r="L176" s="77" t="n">
        <x:v>6467</x:v>
      </x:c>
    </x:row>
    <x:row r="177" ht="23" customHeight="1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77" t="n">
        <x:v>148</x:v>
      </x:c>
      <x:c r="L177" s="77" t="n">
        <x:v>6569</x:v>
      </x:c>
    </x:row>
    <x:row r="178" ht="23" customHeight="1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77" t="n">
        <x:v>149</x:v>
      </x:c>
      <x:c r="L178" s="77" t="n">
        <x:v>6672</x:v>
      </x:c>
    </x:row>
    <x:row r="179" ht="23" customHeight="1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77" t="n">
        <x:v>150</x:v>
      </x:c>
      <x:c r="L179" s="77" t="n">
        <x:v>6776</x:v>
      </x:c>
    </x:row>
    <x:row r="180" ht="23" customHeight="1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  <x:c r="L180" s="62"/>
    </x:row>
  </x:sheetData>
  <x:mergeCells>
    <x:mergeCell ref="A1:J2"/>
    <x:mergeCell ref="A3:J3"/>
    <x:mergeCell ref="B4:D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B9C9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9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49" hidden="0" customWidth="1"/>
    <x:col min="8" max="8" width="58" hidden="0" customWidth="1"/>
  </x:cols>
  <x:sheetData>
    <x:row r="1" ht="23" customHeight="1">
      <x:c r="A1" s="59" t="str">
        <x:v>01｜经济基础参数</x:v>
      </x:c>
      <x:c r="B1" s="60"/>
      <x:c r="C1" s="60"/>
      <x:c r="D1" s="60"/>
      <x:c r="E1" s="60"/>
      <x:c r="F1" s="60"/>
      <x:c r="G1" s="60"/>
      <x:c r="H1" s="60"/>
    </x:row>
    <x:row r="2" ht="23" customHeight="1">
      <x:c r="A2" s="60"/>
      <x:c r="B2" s="60"/>
      <x:c r="C2" s="60"/>
      <x:c r="D2" s="60"/>
      <x:c r="E2" s="60"/>
      <x:c r="F2" s="60"/>
      <x:c r="G2" s="60"/>
      <x:c r="H2" s="60"/>
    </x:row>
    <x:row r="3" ht="44" customHeight="1">
      <x:c r="A3" s="61" t="str">
        <x:v>C列为工程快照；D列为可调整方案；E列受“使用说明”B4控制。候选值是待验证方案，不等于已上线配置。</x:v>
      </x:c>
      <x:c r="B3" s="61"/>
      <x:c r="C3" s="61"/>
      <x:c r="D3" s="61"/>
      <x:c r="E3" s="61"/>
      <x:c r="F3" s="61"/>
      <x:c r="G3" s="61"/>
      <x:c r="H3" s="61"/>
    </x:row>
    <x:row r="4" ht="23" customHeight="1">
      <x:c r="A4" s="62" t="str">
        <x:v>采用方案</x:v>
      </x:c>
      <x:c r="B4" s="62" t="str">
        <x:f>IF('使用说明'!$B$4=0,"工程当前","调优试算")</x:f>
        <x:v>工程当前</x:v>
      </x:c>
      <x:c r="C4" s="62"/>
      <x:c r="D4" s="62"/>
      <x:c r="E4" s="62"/>
      <x:c r="F4" s="62"/>
      <x:c r="G4" s="62"/>
      <x:c r="H4" s="62"/>
    </x:row>
    <x:row r="5" ht="23" customHeight="1">
      <x:c r="A5" s="62"/>
      <x:c r="B5" s="62"/>
      <x:c r="C5" s="62"/>
      <x:c r="D5" s="62"/>
      <x:c r="E5" s="62"/>
      <x:c r="F5" s="62"/>
      <x:c r="G5" s="62"/>
      <x:c r="H5" s="62"/>
    </x:row>
    <x:row r="6" ht="36" customHeight="1">
      <x:c r="A6" s="64" t="str">
        <x:v>参数标识</x:v>
      </x:c>
      <x:c r="B6" s="64" t="str">
        <x:v>参数名称</x:v>
      </x:c>
      <x:c r="C6" s="64" t="str">
        <x:v>工程当前值</x:v>
      </x:c>
      <x:c r="D6" s="64" t="str">
        <x:v>调优试算值</x:v>
      </x:c>
      <x:c r="E6" s="64" t="str">
        <x:v>本次采用值</x:v>
      </x:c>
      <x:c r="F6" s="64" t="str">
        <x:v>单位</x:v>
      </x:c>
      <x:c r="G6" s="64" t="str">
        <x:v>代码来源</x:v>
      </x:c>
      <x:c r="H6" s="64" t="str">
        <x:v>口径与建议</x:v>
      </x:c>
    </x:row>
    <x:row r="7" ht="44" customHeight="1">
      <x:c r="A7" s="62" t="str">
        <x:v>staminaStart</x:v>
      </x:c>
      <x:c r="B7" s="65" t="str">
        <x:v>新玩家初始体力</x:v>
      </x:c>
      <x:c r="C7" s="88" t="n">
        <x:v>60</x:v>
      </x:c>
      <x:c r="D7" s="89" t="n">
        <x:v>60</x:v>
      </x:c>
      <x:c r="E7" s="66" t="n">
        <x:f>IF('使用说明'!$B$4=0,C7,D7)</x:f>
        <x:v>60</x:v>
      </x:c>
      <x:c r="F7" s="65" t="str">
        <x:v>点</x:v>
      </x:c>
      <x:c r="G7" s="65" t="str">
        <x:v>app.js:27 · STARTING_STAMINA</x:v>
      </x:c>
      <x:c r="H7" s="65" t="str">
        <x:v>仅新档一次发放</x:v>
      </x:c>
    </x:row>
    <x:row r="8" ht="44" customHeight="1">
      <x:c r="A8" s="62" t="str">
        <x:v>staminaDisplay</x:v>
      </x:c>
      <x:c r="B8" s="65" t="str">
        <x:v>体力显示满值</x:v>
      </x:c>
      <x:c r="C8" s="88" t="n">
        <x:v>60</x:v>
      </x:c>
      <x:c r="D8" s="89" t="n">
        <x:v>60</x:v>
      </x:c>
      <x:c r="E8" s="66" t="n">
        <x:f>IF('使用说明'!$B$4=0,C8,D8)</x:f>
        <x:v>60</x:v>
      </x:c>
      <x:c r="F8" s="65" t="str">
        <x:v>点</x:v>
      </x:c>
      <x:c r="G8" s="65" t="str">
        <x:v>app.js:28 · MAX_STAMINA</x:v>
      </x:c>
      <x:c r="H8" s="65" t="str">
        <x:v>实际恢复上限另见下一行</x:v>
      </x:c>
    </x:row>
    <x:row r="9" ht="44" customHeight="1">
      <x:c r="A9" s="62" t="str">
        <x:v>staminaCap</x:v>
      </x:c>
      <x:c r="B9" s="65" t="str">
        <x:v>实际体力累积上限</x:v>
      </x:c>
      <x:c r="C9" s="88" t="n">
        <x:v>500</x:v>
      </x:c>
      <x:c r="D9" s="89" t="n">
        <x:v>500</x:v>
      </x:c>
      <x:c r="E9" s="66" t="n">
        <x:f>IF('使用说明'!$B$4=0,C9,D9)</x:f>
        <x:v>500</x:v>
      </x:c>
      <x:c r="F9" s="65" t="str">
        <x:v>点</x:v>
      </x:c>
      <x:c r="G9" s="65" t="str">
        <x:v>app.js:2051 · refreshStamina</x:v>
      </x:c>
      <x:c r="H9" s="65" t="str">
        <x:v>当前自然恢复也可累积至500，不在60停下</x:v>
      </x:c>
    </x:row>
    <x:row r="10" ht="44" customHeight="1">
      <x:c r="A10" s="62" t="str">
        <x:v>staminaMinutes</x:v>
      </x:c>
      <x:c r="B10" s="65" t="str">
        <x:v>恢复1点需要时间</x:v>
      </x:c>
      <x:c r="C10" s="88" t="n">
        <x:v>18</x:v>
      </x:c>
      <x:c r="D10" s="89" t="n">
        <x:v>18</x:v>
      </x:c>
      <x:c r="E10" s="66" t="n">
        <x:f>IF('使用说明'!$B$4=0,C10,D10)</x:f>
        <x:v>18</x:v>
      </x:c>
      <x:c r="F10" s="65" t="str">
        <x:v>分钟</x:v>
      </x:c>
      <x:c r="G10" s="65" t="str">
        <x:v>app.js:44 · STAMINA_REGEN_INTERVAL</x:v>
      </x:c>
      <x:c r="H10" s="65" t="str">
        <x:v>维持已确认的18分钟恢复1点；主要通过广告补给与挑战模式延长日活</x:v>
      </x:c>
    </x:row>
    <x:row r="11" ht="44" customHeight="1">
      <x:c r="A11" s="62" t="str">
        <x:v>staminaCost</x:v>
      </x:c>
      <x:c r="B11" s="65" t="str">
        <x:v>主线每局消耗</x:v>
      </x:c>
      <x:c r="C11" s="88" t="n">
        <x:v>10</x:v>
      </x:c>
      <x:c r="D11" s="89" t="n">
        <x:v>10</x:v>
      </x:c>
      <x:c r="E11" s="66" t="n">
        <x:f>IF('使用说明'!$B$4=0,C11,D11)</x:f>
        <x:v>10</x:v>
      </x:c>
      <x:c r="F11" s="65" t="str">
        <x:v>点</x:v>
      </x:c>
      <x:c r="G11" s="65" t="str">
        <x:v>app.js:26 · STAMINA_COST_PER_LEVEL</x:v>
      </x:c>
      <x:c r="H11" s="65" t="str">
        <x:v>开局扣除；输赢均消耗；复活不再扣</x:v>
      </x:c>
    </x:row>
    <x:row r="12" ht="44" customHeight="1">
      <x:c r="A12" s="62" t="str">
        <x:v>staminaRefill</x:v>
      </x:c>
      <x:c r="B12" s="65" t="str">
        <x:v>单次补给增加体力</x:v>
      </x:c>
      <x:c r="C12" s="88" t="n">
        <x:v>60</x:v>
      </x:c>
      <x:c r="D12" s="89" t="n">
        <x:v>60</x:v>
      </x:c>
      <x:c r="E12" s="66" t="n">
        <x:f>IF('使用说明'!$B$4=0,C12,D12)</x:f>
        <x:v>60</x:v>
      </x:c>
      <x:c r="F12" s="65" t="str">
        <x:v>点</x:v>
      </x:c>
      <x:c r="G12" s="65" t="str">
        <x:v>app.js:30 · STAMINA_REFILL_AMOUNT</x:v>
      </x:c>
      <x:c r="H12" s="65" t="str">
        <x:v>增加60，不是把当前值设置成60；总量不超过上限</x:v>
      </x:c>
    </x:row>
    <x:row r="13" ht="44" customHeight="1">
      <x:c r="A13" s="62" t="str">
        <x:v>staminaPrice</x:v>
      </x:c>
      <x:c r="B13" s="65" t="str">
        <x:v>元宝补给体力价格</x:v>
      </x:c>
      <x:c r="C13" s="88" t="n">
        <x:v>50</x:v>
      </x:c>
      <x:c r="D13" s="89" t="n">
        <x:v>50</x:v>
      </x:c>
      <x:c r="E13" s="66" t="n">
        <x:f>IF('使用说明'!$B$4=0,C13,D13)</x:f>
        <x:v>50</x:v>
      </x:c>
      <x:c r="F13" s="65" t="str">
        <x:v>元宝/次</x:v>
      </x:c>
      <x:c r="G13" s="65" t="str">
        <x:v>app.js:31 · STAMINA_PURCHASE_COST</x:v>
      </x:c>
      <x:c r="H13" s="65" t="str">
        <x:v>每天限1次</x:v>
      </x:c>
    </x:row>
    <x:row r="14" ht="44" customHeight="1">
      <x:c r="A14" s="62" t="str">
        <x:v>staminaBuyLimit</x:v>
      </x:c>
      <x:c r="B14" s="65" t="str">
        <x:v>元宝补给日限次</x:v>
      </x:c>
      <x:c r="C14" s="88" t="n">
        <x:v>1</x:v>
      </x:c>
      <x:c r="D14" s="89" t="n">
        <x:v>1</x:v>
      </x:c>
      <x:c r="E14" s="66" t="n">
        <x:f>IF('使用说明'!$B$4=0,C14,D14)</x:f>
        <x:v>1</x:v>
      </x:c>
      <x:c r="F14" s="65" t="str">
        <x:v>次/天</x:v>
      </x:c>
      <x:c r="G14" s="65" t="str">
        <x:v>app.js:3737 · refillStamina</x:v>
      </x:c>
      <x:c r="H14" s="65" t="str">
        <x:v>每天自然日重置</x:v>
      </x:c>
    </x:row>
    <x:row r="15" ht="44" customHeight="1">
      <x:c r="A15" s="62" t="str">
        <x:v>staminaAdLimit</x:v>
      </x:c>
      <x:c r="B15" s="65" t="str">
        <x:v>广告补给日限次</x:v>
      </x:c>
      <x:c r="C15" s="88" t="n">
        <x:v>1</x:v>
      </x:c>
      <x:c r="D15" s="89" t="n">
        <x:v>1</x:v>
      </x:c>
      <x:c r="E15" s="66" t="n">
        <x:f>IF('使用说明'!$B$4=0,C15,D15)</x:f>
        <x:v>1</x:v>
      </x:c>
      <x:c r="F15" s="65" t="str">
        <x:v>次/天</x:v>
      </x:c>
      <x:c r="G15" s="65" t="str">
        <x:v>app.js:3737 · refillStamina</x:v>
      </x:c>
      <x:c r="H15" s="65" t="str">
        <x:v>当前没有先购买再看广告的校验</x:v>
      </x:c>
    </x:row>
    <x:row r="16" ht="44" customHeight="1">
      <x:c r="A16" s="62" t="str">
        <x:v>goldStart</x:v>
      </x:c>
      <x:c r="B16" s="65" t="str">
        <x:v>初始金币</x:v>
      </x:c>
      <x:c r="C16" s="88" t="n">
        <x:v>0</x:v>
      </x:c>
      <x:c r="D16" s="89" t="n">
        <x:v>0</x:v>
      </x:c>
      <x:c r="E16" s="66" t="n">
        <x:f>IF('使用说明'!$B$4=0,C16,D16)</x:f>
        <x:v>0</x:v>
      </x:c>
      <x:c r="F16" s="65" t="str">
        <x:v>金币</x:v>
      </x:c>
      <x:c r="G16" s="65" t="str">
        <x:v>app.js:750 · state =</x:v>
      </x:c>
      <x:c r="H16" s="65" t="str">
        <x:v>新档默认值；旧档持有不在此表内</x:v>
      </x:c>
    </x:row>
    <x:row r="17" ht="44" customHeight="1">
      <x:c r="A17" s="62" t="str">
        <x:v>yuanStart</x:v>
      </x:c>
      <x:c r="B17" s="65" t="str">
        <x:v>初始元宝</x:v>
      </x:c>
      <x:c r="C17" s="88" t="n">
        <x:v>0</x:v>
      </x:c>
      <x:c r="D17" s="89" t="n">
        <x:v>0</x:v>
      </x:c>
      <x:c r="E17" s="66" t="n">
        <x:f>IF('使用说明'!$B$4=0,C17,D17)</x:f>
        <x:v>0</x:v>
      </x:c>
      <x:c r="F17" s="65" t="str">
        <x:v>元宝</x:v>
      </x:c>
      <x:c r="G17" s="65" t="str">
        <x:v>app.js:750 · state =</x:v>
      </x:c>
      <x:c r="H17" s="65" t="str">
        <x:v>新档默认值</x:v>
      </x:c>
    </x:row>
    <x:row r="18" ht="44" customHeight="1">
      <x:c r="A18" s="62" t="str">
        <x:v>enhStart</x:v>
      </x:c>
      <x:c r="B18" s="65" t="str">
        <x:v>初始强化石</x:v>
      </x:c>
      <x:c r="C18" s="88" t="n">
        <x:v>24</x:v>
      </x:c>
      <x:c r="D18" s="89" t="n">
        <x:v>24</x:v>
      </x:c>
      <x:c r="E18" s="66" t="n">
        <x:f>IF('使用说明'!$B$4=0,C18,D18)</x:f>
        <x:v>24</x:v>
      </x:c>
      <x:c r="F18" s="65" t="str">
        <x:v>个</x:v>
      </x:c>
      <x:c r="G18" s="65" t="str">
        <x:v>app.js:217 · FORGE_ECONOMY</x:v>
      </x:c>
      <x:c r="H18" s="65" t="str">
        <x:v>新档默认值</x:v>
      </x:c>
    </x:row>
    <x:row r="19" ht="44" customHeight="1">
      <x:c r="A19" s="62" t="str">
        <x:v>starStart</x:v>
      </x:c>
      <x:c r="B19" s="65" t="str">
        <x:v>初始升星石</x:v>
      </x:c>
      <x:c r="C19" s="88" t="n">
        <x:v>8</x:v>
      </x:c>
      <x:c r="D19" s="89" t="n">
        <x:v>8</x:v>
      </x:c>
      <x:c r="E19" s="66" t="n">
        <x:f>IF('使用说明'!$B$4=0,C19,D19)</x:f>
        <x:v>8</x:v>
      </x:c>
      <x:c r="F19" s="65" t="str">
        <x:v>个</x:v>
      </x:c>
      <x:c r="G19" s="65" t="str">
        <x:v>app.js:217 · FORGE_ECONOMY</x:v>
      </x:c>
      <x:c r="H19" s="65" t="str">
        <x:v>新档默认值</x:v>
      </x:c>
    </x:row>
    <x:row r="20" ht="44" customHeight="1">
      <x:c r="A20" s="62" t="str">
        <x:v>goldBase</x:v>
      </x:c>
      <x:c r="B20" s="65" t="str">
        <x:v>胜利金币常数</x:v>
      </x:c>
      <x:c r="C20" s="88" t="n">
        <x:v>180</x:v>
      </x:c>
      <x:c r="D20" s="89" t="n">
        <x:v>180</x:v>
      </x:c>
      <x:c r="E20" s="66" t="n">
        <x:f>IF('使用说明'!$B$4=0,C20,D20)</x:f>
        <x:v>180</x:v>
      </x:c>
      <x:c r="F20" s="65" t="str">
        <x:v>金币</x:v>
      </x:c>
      <x:c r="G20" s="65" t="str">
        <x:v>app.js:68 · LEVEL_GOLD_REWARD</x:v>
      </x:c>
      <x:c r="H20" s="65" t="str">
        <x:v>金币=常数+关卡×斜率；不含击杀/棋盘铜钱</x:v>
      </x:c>
    </x:row>
    <x:row r="21" ht="44" customHeight="1">
      <x:c r="A21" s="62" t="str">
        <x:v>goldSlope</x:v>
      </x:c>
      <x:c r="B21" s="65" t="str">
        <x:v>胜利金币关卡斜率</x:v>
      </x:c>
      <x:c r="C21" s="88" t="n">
        <x:v>20</x:v>
      </x:c>
      <x:c r="D21" s="89" t="n">
        <x:v>20</x:v>
      </x:c>
      <x:c r="E21" s="66" t="n">
        <x:f>IF('使用说明'!$B$4=0,C21,D21)</x:f>
        <x:v>20</x:v>
      </x:c>
      <x:c r="F21" s="65" t="str">
        <x:v>金币/关</x:v>
      </x:c>
      <x:c r="G21" s="65" t="str">
        <x:v>app.js:68 · LEVEL_GOLD_REWARD</x:v>
      </x:c>
      <x:c r="H21" s="65" t="str">
        <x:v>后期增长通过打造与合成消耗承接</x:v>
      </x:c>
    </x:row>
    <x:row r="22" ht="44" customHeight="1">
      <x:c r="A22" s="62" t="str">
        <x:v>yuanBase</x:v>
      </x:c>
      <x:c r="B22" s="65" t="str">
        <x:v>胜利元宝常数</x:v>
      </x:c>
      <x:c r="C22" s="88" t="n">
        <x:v>0</x:v>
      </x:c>
      <x:c r="D22" s="89" t="n">
        <x:v>0</x:v>
      </x:c>
      <x:c r="E22" s="66" t="n">
        <x:f>IF('使用说明'!$B$4=0,C22,D22)</x:f>
        <x:v>0</x:v>
      </x:c>
      <x:c r="F22" s="65" t="str">
        <x:v>元宝</x:v>
      </x:c>
      <x:c r="G22" s="65" t="str">
        <x:v>app.js:69 · LEVEL_YUANBAO_REWARD</x:v>
      </x:c>
      <x:c r="H22" s="65" t="str">
        <x:v>当前关闭，元宝来自首通宝箱、日常、军报与广告</x:v>
      </x:c>
    </x:row>
    <x:row r="23" ht="44" customHeight="1">
      <x:c r="A23" s="62" t="str">
        <x:v>yuanSlope</x:v>
      </x:c>
      <x:c r="B23" s="65" t="str">
        <x:v>胜利元宝关卡斜率</x:v>
      </x:c>
      <x:c r="C23" s="88" t="n">
        <x:v>0</x:v>
      </x:c>
      <x:c r="D23" s="89" t="n">
        <x:v>0</x:v>
      </x:c>
      <x:c r="E23" s="66" t="n">
        <x:f>IF('使用说明'!$B$4=0,C23,D23)</x:f>
        <x:v>0</x:v>
      </x:c>
      <x:c r="F23" s="65" t="str">
        <x:v>元宝/关</x:v>
      </x:c>
      <x:c r="G23" s="65" t="str">
        <x:v>app.js:69 · LEVEL_YUANBAO_REWARD</x:v>
      </x:c>
      <x:c r="H23" s="65" t="str">
        <x:v>当前关闭，避免重复刷关产出元宝</x:v>
      </x:c>
    </x:row>
    <x:row r="24" ht="44" customHeight="1">
      <x:c r="A24" s="62" t="str">
        <x:v>yuanCap</x:v>
      </x:c>
      <x:c r="B24" s="65" t="str">
        <x:v>胜利元宝上限</x:v>
      </x:c>
      <x:c r="C24" s="129" t="n">
        <x:v>1000000000</x:v>
      </x:c>
      <x:c r="D24" s="130" t="n">
        <x:v>40</x:v>
      </x:c>
      <x:c r="E24" s="131" t="n">
        <x:f>IF('使用说明'!$B$4=0,C24,D24)</x:f>
        <x:v>1000000000</x:v>
      </x:c>
      <x:c r="F24" s="65" t="str">
        <x:v>元宝/局</x:v>
      </x:c>
      <x:c r="G24" s="65" t="str">
        <x:v>app.js:3483 · getFullYuanbaoReward</x:v>
      </x:c>
      <x:c r="H24" s="65" t="str">
        <x:v>当前无上限，以大数表示；候选40</x:v>
      </x:c>
    </x:row>
    <x:row r="25" ht="44" customHeight="1">
      <x:c r="A25" s="62" t="str">
        <x:v>failureFactor</x:v>
      </x:c>
      <x:c r="B25" s="65" t="str">
        <x:v>失败结算波次系数</x:v>
      </x:c>
      <x:c r="C25" s="90" t="n">
        <x:v>0.6</x:v>
      </x:c>
      <x:c r="D25" s="91" t="n">
        <x:v>0.6</x:v>
      </x:c>
      <x:c r="E25" s="92" t="n">
        <x:f>IF('使用说明'!$B$4=0,C25,D25)</x:f>
        <x:v>0.6</x:v>
      </x:c>
      <x:c r="F25" s="65" t="str">
        <x:v>比例</x:v>
      </x:c>
      <x:c r="G25" s="65" t="str">
        <x:v>app.js:2047 · getFailureReward</x:v>
      </x:c>
      <x:c r="H25" s="65" t="str">
        <x:v>floor(满额×到达波次/总波次×此系数)；不是已完成波数</x:v>
      </x:c>
    </x:row>
    <x:row r="26" ht="44" customHeight="1">
      <x:c r="A26" s="62" t="str">
        <x:v>doubleFactor</x:v>
      </x:c>
      <x:c r="B26" s="65" t="str">
        <x:v>广告结算总倍率</x:v>
      </x:c>
      <x:c r="C26" s="88" t="n">
        <x:v>2</x:v>
      </x:c>
      <x:c r="D26" s="89" t="n">
        <x:v>2</x:v>
      </x:c>
      <x:c r="E26" s="66" t="n">
        <x:f>IF('使用说明'!$B$4=0,C26,D26)</x:f>
        <x:v>2</x:v>
      </x:c>
      <x:c r="F26" s="65" t="str">
        <x:v>倍</x:v>
      </x:c>
      <x:c r="G26" s="65" t="str">
        <x:v>app.js:3956 · showVictory</x:v>
      </x:c>
      <x:c r="H26" s="65" t="str">
        <x:v>金币、两类材料和主角经验补足至2倍；首通宝箱不翻倍</x:v>
      </x:c>
    </x:row>
    <x:row r="27" ht="44" customHeight="1">
      <x:c r="A27" s="62" t="str">
        <x:v>adEquipmentChance</x:v>
      </x:c>
      <x:c r="B27" s="65" t="str">
        <x:v>结算广告额外装备概率</x:v>
      </x:c>
      <x:c r="C27" s="90" t="n">
        <x:v>0.35</x:v>
      </x:c>
      <x:c r="D27" s="91" t="n">
        <x:v>0.35</x:v>
      </x:c>
      <x:c r="E27" s="92" t="n">
        <x:f>IF('使用说明'!$B$4=0,C27,D27)</x:f>
        <x:v>0.35</x:v>
      </x:c>
      <x:c r="F27" s="65" t="str">
        <x:v>概率</x:v>
      </x:c>
      <x:c r="G27" s="65" t="str">
        <x:v>app.js:34 · SETTLEMENT_AD_EQUIPMENT_CHANCE</x:v>
      </x:c>
      <x:c r="H27" s="65" t="str">
        <x:v>独立于关卡掉落与保底，每个胜利结算最多抽取一次</x:v>
      </x:c>
    </x:row>
    <x:row r="28" ht="44" customHeight="1">
      <x:c r="A28" s="62" t="str">
        <x:v>loginGold</x:v>
      </x:c>
      <x:c r="B28" s="65" t="str">
        <x:v>每日登录金币</x:v>
      </x:c>
      <x:c r="C28" s="88" t="n">
        <x:v>50</x:v>
      </x:c>
      <x:c r="D28" s="89" t="n">
        <x:v>50</x:v>
      </x:c>
      <x:c r="E28" s="66" t="n">
        <x:f>IF('使用说明'!$B$4=0,C28,D28)</x:f>
        <x:v>50</x:v>
      </x:c>
      <x:c r="F28" s="65" t="str">
        <x:v>金币/天</x:v>
      </x:c>
      <x:c r="G28" s="65" t="str">
        <x:v>app.js:1225 · claimDailyLogin</x:v>
      </x:c>
      <x:c r="H28" s="65" t="str">
        <x:v>手动领取一次</x:v>
      </x:c>
    </x:row>
    <x:row r="29" ht="44" customHeight="1">
      <x:c r="A29" s="62" t="str">
        <x:v>taskPlayGold</x:v>
      </x:c>
      <x:c r="B29" s="65" t="str">
        <x:v>完成一局任务金币</x:v>
      </x:c>
      <x:c r="C29" s="88" t="n">
        <x:v>80</x:v>
      </x:c>
      <x:c r="D29" s="89" t="n">
        <x:v>80</x:v>
      </x:c>
      <x:c r="E29" s="66" t="n">
        <x:f>IF('使用说明'!$B$4=0,C29,D29)</x:f>
        <x:v>80</x:v>
      </x:c>
      <x:c r="F29" s="65" t="str">
        <x:v>金币</x:v>
      </x:c>
      <x:c r="G29" s="65" t="str">
        <x:v>app.js:1175 · getDailyTaskReward</x:v>
      </x:c>
      <x:c r="H29" s="65" t="str">
        <x:v>每日一次</x:v>
      </x:c>
    </x:row>
    <x:row r="30" ht="44" customHeight="1">
      <x:c r="A30" s="62" t="str">
        <x:v>taskClearGold</x:v>
      </x:c>
      <x:c r="B30" s="65" t="str">
        <x:v>消除30任务金币</x:v>
      </x:c>
      <x:c r="C30" s="88" t="n">
        <x:v>120</x:v>
      </x:c>
      <x:c r="D30" s="89" t="n">
        <x:v>120</x:v>
      </x:c>
      <x:c r="E30" s="66" t="n">
        <x:f>IF('使用说明'!$B$4=0,C30,D30)</x:f>
        <x:v>120</x:v>
      </x:c>
      <x:c r="F30" s="65" t="str">
        <x:v>金币</x:v>
      </x:c>
      <x:c r="G30" s="65" t="str">
        <x:v>app.js:1175 · getDailyTaskReward</x:v>
      </x:c>
      <x:c r="H30" s="65" t="str">
        <x:v>每日一次</x:v>
      </x:c>
    </x:row>
    <x:row r="31" ht="44" customHeight="1">
      <x:c r="A31" s="62" t="str">
        <x:v>taskKillYuan</x:v>
      </x:c>
      <x:c r="B31" s="65" t="str">
        <x:v>击败20任务元宝</x:v>
      </x:c>
      <x:c r="C31" s="88" t="n">
        <x:v>10</x:v>
      </x:c>
      <x:c r="D31" s="89" t="n">
        <x:v>10</x:v>
      </x:c>
      <x:c r="E31" s="66" t="n">
        <x:f>IF('使用说明'!$B$4=0,C31,D31)</x:f>
        <x:v>10</x:v>
      </x:c>
      <x:c r="F31" s="65" t="str">
        <x:v>元宝</x:v>
      </x:c>
      <x:c r="G31" s="65" t="str">
        <x:v>app.js:1175 · getDailyTaskReward</x:v>
      </x:c>
      <x:c r="H31" s="65" t="str">
        <x:v>每日一次</x:v>
      </x:c>
    </x:row>
    <x:row r="32" ht="44" customHeight="1">
      <x:c r="A32" s="62" t="str">
        <x:v>taskBeastGold</x:v>
      </x:c>
      <x:c r="B32" s="65" t="str">
        <x:v>参加军报任务金币</x:v>
      </x:c>
      <x:c r="C32" s="88" t="n">
        <x:v>150</x:v>
      </x:c>
      <x:c r="D32" s="89" t="n">
        <x:v>150</x:v>
      </x:c>
      <x:c r="E32" s="66" t="n">
        <x:f>IF('使用说明'!$B$4=0,C32,D32)</x:f>
        <x:v>150</x:v>
      </x:c>
      <x:c r="F32" s="65" t="str">
        <x:v>金币</x:v>
      </x:c>
      <x:c r="G32" s="65" t="str">
        <x:v>app.js:1175 · getDailyTaskReward</x:v>
      </x:c>
      <x:c r="H32" s="65" t="str">
        <x:v>参与即可；需遇到军报</x:v>
      </x:c>
    </x:row>
    <x:row r="33" ht="44" customHeight="1">
      <x:c r="A33" s="62" t="str">
        <x:v>taskBeastYuan</x:v>
      </x:c>
      <x:c r="B33" s="65" t="str">
        <x:v>参加军报任务元宝</x:v>
      </x:c>
      <x:c r="C33" s="88" t="n">
        <x:v>20</x:v>
      </x:c>
      <x:c r="D33" s="89" t="n">
        <x:v>20</x:v>
      </x:c>
      <x:c r="E33" s="66" t="n">
        <x:f>IF('使用说明'!$B$4=0,C33,D33)</x:f>
        <x:v>20</x:v>
      </x:c>
      <x:c r="F33" s="65" t="str">
        <x:v>元宝</x:v>
      </x:c>
      <x:c r="G33" s="65" t="str">
        <x:v>app.js:1175 · getDailyTaskReward</x:v>
      </x:c>
      <x:c r="H33" s="65" t="str">
        <x:v>每日一次</x:v>
      </x:c>
    </x:row>
    <x:row r="34" ht="44" customHeight="1">
      <x:c r="A34" s="62" t="str">
        <x:v>taskEnhGold</x:v>
      </x:c>
      <x:c r="B34" s="65" t="str">
        <x:v>强化一次任务金币</x:v>
      </x:c>
      <x:c r="C34" s="88" t="n">
        <x:v>80</x:v>
      </x:c>
      <x:c r="D34" s="89" t="n">
        <x:v>80</x:v>
      </x:c>
      <x:c r="E34" s="66" t="n">
        <x:f>IF('使用说明'!$B$4=0,C34,D34)</x:f>
        <x:v>80</x:v>
      </x:c>
      <x:c r="F34" s="65" t="str">
        <x:v>金币</x:v>
      </x:c>
      <x:c r="G34" s="65" t="str">
        <x:v>app.js:1175 · getDailyTaskReward</x:v>
      </x:c>
      <x:c r="H34" s="65" t="str">
        <x:v>还返还材料；每日一次</x:v>
      </x:c>
    </x:row>
    <x:row r="35" ht="44" customHeight="1">
      <x:c r="A35" s="62" t="str">
        <x:v>taskStarGold</x:v>
      </x:c>
      <x:c r="B35" s="65" t="str">
        <x:v>升星一次任务金币</x:v>
      </x:c>
      <x:c r="C35" s="88" t="n">
        <x:v>80</x:v>
      </x:c>
      <x:c r="D35" s="89" t="n">
        <x:v>80</x:v>
      </x:c>
      <x:c r="E35" s="66" t="n">
        <x:f>IF('使用说明'!$B$4=0,C35,D35)</x:f>
        <x:v>80</x:v>
      </x:c>
      <x:c r="F35" s="65" t="str">
        <x:v>金币</x:v>
      </x:c>
      <x:c r="G35" s="65" t="str">
        <x:v>app.js:1175 · getDailyTaskReward</x:v>
      </x:c>
      <x:c r="H35" s="65" t="str">
        <x:v>每日一次；失败尝试也推进任务</x:v>
      </x:c>
    </x:row>
    <x:row r="36" ht="44" customHeight="1">
      <x:c r="A36" s="62" t="str">
        <x:v>adYuan</x:v>
      </x:c>
      <x:c r="B36" s="65" t="str">
        <x:v>商店每次广告元宝</x:v>
      </x:c>
      <x:c r="C36" s="88" t="n">
        <x:v>10</x:v>
      </x:c>
      <x:c r="D36" s="89" t="n">
        <x:v>10</x:v>
      </x:c>
      <x:c r="E36" s="66" t="n">
        <x:f>IF('使用说明'!$B$4=0,C36,D36)</x:f>
        <x:v>10</x:v>
      </x:c>
      <x:c r="F36" s="65" t="str">
        <x:v>元宝/次</x:v>
      </x:c>
      <x:c r="G36" s="65" t="str">
        <x:v>app.js:33 · SHOP_AD_YUANBAO</x:v>
      </x:c>
      <x:c r="H36" s="65" t="str">
        <x:v>纯IAA模拟广告</x:v>
      </x:c>
    </x:row>
    <x:row r="37" ht="44" customHeight="1">
      <x:c r="A37" s="62" t="str">
        <x:v>adYuanLimit</x:v>
      </x:c>
      <x:c r="B37" s="65" t="str">
        <x:v>商店广告日限次</x:v>
      </x:c>
      <x:c r="C37" s="88" t="n">
        <x:v>5</x:v>
      </x:c>
      <x:c r="D37" s="89" t="n">
        <x:v>5</x:v>
      </x:c>
      <x:c r="E37" s="66" t="n">
        <x:f>IF('使用说明'!$B$4=0,C37,D37)</x:f>
        <x:v>5</x:v>
      </x:c>
      <x:c r="F37" s="65" t="str">
        <x:v>次/天</x:v>
      </x:c>
      <x:c r="G37" s="65" t="str">
        <x:v>app.js:32 · SHOP_AD_DAILY_LIMIT</x:v>
      </x:c>
      <x:c r="H37" s="65" t="str">
        <x:v>与体力/局内广告各自计数</x:v>
      </x:c>
    </x:row>
    <x:row r="38" ht="44" customHeight="1">
      <x:c r="A38" s="62" t="str">
        <x:v>chest0</x:v>
      </x:c>
      <x:c r="B38" s="65" t="str">
        <x:v>成功通关宝箱</x:v>
      </x:c>
      <x:c r="C38" s="88" t="n">
        <x:v>50</x:v>
      </x:c>
      <x:c r="D38" s="89" t="n">
        <x:v>50</x:v>
      </x:c>
      <x:c r="E38" s="66" t="n">
        <x:f>IF('使用说明'!$B$4=0,C38,D38)</x:f>
        <x:v>50</x:v>
      </x:c>
      <x:c r="F38" s="65" t="str">
        <x:v>元宝/关</x:v>
      </x:c>
      <x:c r="G38" s="65" t="str">
        <x:v>app.js:39 · STAGE_CHEST_META</x:v>
      </x:c>
      <x:c r="H38" s="65" t="str">
        <x:v>防线大于0%；每关每档只领一次；三档可叠加，不属于重复通关奖励</x:v>
      </x:c>
    </x:row>
    <x:row r="39" ht="44" customHeight="1">
      <x:c r="A39" s="62" t="str">
        <x:v>chest1</x:v>
      </x:c>
      <x:c r="B39" s="65" t="str">
        <x:v>成功防御宝箱</x:v>
      </x:c>
      <x:c r="C39" s="88" t="n">
        <x:v>100</x:v>
      </x:c>
      <x:c r="D39" s="89" t="n">
        <x:v>100</x:v>
      </x:c>
      <x:c r="E39" s="66" t="n">
        <x:f>IF('使用说明'!$B$4=0,C39,D39)</x:f>
        <x:v>100</x:v>
      </x:c>
      <x:c r="F39" s="65" t="str">
        <x:v>元宝/关</x:v>
      </x:c>
      <x:c r="G39" s="65" t="str">
        <x:v>app.js:39 · STAGE_CHEST_META</x:v>
      </x:c>
      <x:c r="H39" s="65" t="str">
        <x:v>防线大于50%；每关每档只领一次；三档可叠加，不属于重复通关奖励</x:v>
      </x:c>
    </x:row>
    <x:row r="40" ht="44" customHeight="1">
      <x:c r="A40" s="62" t="str">
        <x:v>chest2</x:v>
      </x:c>
      <x:c r="B40" s="65" t="str">
        <x:v>完美守城宝箱</x:v>
      </x:c>
      <x:c r="C40" s="88" t="n">
        <x:v>150</x:v>
      </x:c>
      <x:c r="D40" s="89" t="n">
        <x:v>150</x:v>
      </x:c>
      <x:c r="E40" s="66" t="n">
        <x:f>IF('使用说明'!$B$4=0,C40,D40)</x:f>
        <x:v>150</x:v>
      </x:c>
      <x:c r="F40" s="65" t="str">
        <x:v>元宝/关</x:v>
      </x:c>
      <x:c r="G40" s="65" t="str">
        <x:v>app.js:39 · STAGE_CHEST_META</x:v>
      </x:c>
      <x:c r="H40" s="65" t="str">
        <x:v>防线等于100%；每关每档只领一次；三档可叠加，不属于重复通关奖励</x:v>
      </x:c>
    </x:row>
    <x:row r="41" ht="44" customHeight="1">
      <x:c r="A41" s="62" t="str">
        <x:v>coin3</x:v>
      </x:c>
      <x:c r="B41" s="65" t="str">
        <x:v>铜钱3连消金币</x:v>
      </x:c>
      <x:c r="C41" s="88" t="n">
        <x:v>50</x:v>
      </x:c>
      <x:c r="D41" s="89" t="n">
        <x:v>50</x:v>
      </x:c>
      <x:c r="E41" s="66" t="n">
        <x:f>IF('使用说明'!$B$4=0,C41,D41)</x:f>
        <x:v>50</x:v>
      </x:c>
      <x:c r="F41" s="65" t="str">
        <x:v>金币</x:v>
      </x:c>
      <x:c r="G41" s="65" t="str">
        <x:v>app.js:2761 · eliminateMatches</x:v>
      </x:c>
      <x:c r="H41" s="65" t="str">
        <x:v>持久货币；与局内宝箱棋子不同</x:v>
      </x:c>
    </x:row>
    <x:row r="42" ht="44" customHeight="1">
      <x:c r="A42" s="62" t="str">
        <x:v>coin4</x:v>
      </x:c>
      <x:c r="B42" s="65" t="str">
        <x:v>铜钱4连消金币</x:v>
      </x:c>
      <x:c r="C42" s="88" t="n">
        <x:v>120</x:v>
      </x:c>
      <x:c r="D42" s="89" t="n">
        <x:v>120</x:v>
      </x:c>
      <x:c r="E42" s="66" t="n">
        <x:f>IF('使用说明'!$B$4=0,C42,D42)</x:f>
        <x:v>120</x:v>
      </x:c>
      <x:c r="F42" s="65" t="str">
        <x:v>金币</x:v>
      </x:c>
      <x:c r="G42" s="65" t="str">
        <x:v>app.js:2761 · eliminateMatches</x:v>
      </x:c>
      <x:c r="H42" s="65" t="str">
        <x:v>每次消除簇独立计算</x:v>
      </x:c>
    </x:row>
    <x:row r="43" ht="44" customHeight="1">
      <x:c r="A43" s="62" t="str">
        <x:v>coin5</x:v>
      </x:c>
      <x:c r="B43" s="65" t="str">
        <x:v>铜钱5连消金币</x:v>
      </x:c>
      <x:c r="C43" s="88" t="n">
        <x:v>280</x:v>
      </x:c>
      <x:c r="D43" s="89" t="n">
        <x:v>280</x:v>
      </x:c>
      <x:c r="E43" s="66" t="n">
        <x:f>IF('使用说明'!$B$4=0,C43,D43)</x:f>
        <x:v>280</x:v>
      </x:c>
      <x:c r="F43" s="65" t="str">
        <x:v>金币</x:v>
      </x:c>
      <x:c r="G43" s="65" t="str">
        <x:v>app.js:2761 · eliminateMatches</x:v>
      </x:c>
      <x:c r="H43" s="65" t="str">
        <x:v>每次消除簇独立计算</x:v>
      </x:c>
    </x:row>
    <x:row r="44" ht="44" customHeight="1">
      <x:c r="A44" s="62" t="str">
        <x:v>coin6</x:v>
      </x:c>
      <x:c r="B44" s="65" t="str">
        <x:v>铜钱6连及以上金币</x:v>
      </x:c>
      <x:c r="C44" s="88" t="n">
        <x:v>680</x:v>
      </x:c>
      <x:c r="D44" s="89" t="n">
        <x:v>680</x:v>
      </x:c>
      <x:c r="E44" s="66" t="n">
        <x:f>IF('使用说明'!$B$4=0,C44,D44)</x:f>
        <x:v>680</x:v>
      </x:c>
      <x:c r="F44" s="65" t="str">
        <x:v>金币</x:v>
      </x:c>
      <x:c r="G44" s="65" t="str">
        <x:v>app.js:2761 · eliminateMatches</x:v>
      </x:c>
      <x:c r="H44" s="65" t="str">
        <x:v>数量封顶6档</x:v>
      </x:c>
    </x:row>
    <x:row r="45" ht="44" customHeight="1">
      <x:c r="A45" s="62" t="str">
        <x:v>sellBase</x:v>
      </x:c>
      <x:c r="B45" s="65" t="str">
        <x:v>白装出售基础金币</x:v>
      </x:c>
      <x:c r="C45" s="88" t="n">
        <x:v>10</x:v>
      </x:c>
      <x:c r="D45" s="89" t="n">
        <x:v>10</x:v>
      </x:c>
      <x:c r="E45" s="66" t="n">
        <x:f>IF('使用说明'!$B$4=0,C45,D45)</x:f>
        <x:v>10</x:v>
      </x:c>
      <x:c r="F45" s="65" t="str">
        <x:v>金币/件</x:v>
      </x:c>
      <x:c r="G45" s="65" t="str">
        <x:v>app.js:1915 · equipmentSalePrice</x:v>
      </x:c>
      <x:c r="H45" s="65" t="str">
        <x:v>round(10×品质系数)，批量回收同价</x:v>
      </x:c>
    </x:row>
    <x:row r="46" ht="44" customHeight="1">
      <x:c r="A46" s="62" t="str">
        <x:v>dropChance</x:v>
      </x:c>
      <x:c r="B46" s="65" t="str">
        <x:v>主线装备基础掉率</x:v>
      </x:c>
      <x:c r="C46" s="90" t="n">
        <x:v>0.68</x:v>
      </x:c>
      <x:c r="D46" s="91" t="n">
        <x:v>0.68</x:v>
      </x:c>
      <x:c r="E46" s="92" t="n">
        <x:f>IF('使用说明'!$B$4=0,C46,D46)</x:f>
        <x:v>0.68</x:v>
      </x:c>
      <x:c r="F46" s="65" t="str">
        <x:v>概率</x:v>
      </x:c>
      <x:c r="G46" s="65" t="str">
        <x:v>app.js:175 · EQUIPMENT_DROP_CHANCE</x:v>
      </x:c>
      <x:c r="H46" s="65" t="str">
        <x:v>仅胜利触发；一次最多1件</x:v>
      </x:c>
    </x:row>
    <x:row r="47" ht="44" customHeight="1">
      <x:c r="A47" s="62" t="str">
        <x:v>dropPity</x:v>
      </x:c>
      <x:c r="B47" s="65" t="str">
        <x:v>连续未掉落保底阈值</x:v>
      </x:c>
      <x:c r="C47" s="88" t="n">
        <x:v>3</x:v>
      </x:c>
      <x:c r="D47" s="89" t="n">
        <x:v>3</x:v>
      </x:c>
      <x:c r="E47" s="66" t="n">
        <x:f>IF('使用说明'!$B$4=0,C47,D47)</x:f>
        <x:v>3</x:v>
      </x:c>
      <x:c r="F47" s="65" t="str">
        <x:v>次</x:v>
      </x:c>
      <x:c r="G47" s="65" t="str">
        <x:v>app.js:176 · EQUIPMENT_DROP_PITY_MISSES</x:v>
      </x:c>
      <x:c r="H47" s="65" t="str">
        <x:v>连续3次未掉落后第4次必出；失败局不计掉落抽样</x:v>
      </x:c>
    </x:row>
    <x:row r="48" ht="44" customHeight="1">
      <x:c r="A48" s="62" t="str">
        <x:v>synthCount</x:v>
      </x:c>
      <x:c r="B48" s="65" t="str">
        <x:v>合成材料装备数</x:v>
      </x:c>
      <x:c r="C48" s="88" t="n">
        <x:v>5</x:v>
      </x:c>
      <x:c r="D48" s="89" t="n">
        <x:v>5</x:v>
      </x:c>
      <x:c r="E48" s="66" t="n">
        <x:f>IF('使用说明'!$B$4=0,C48,D48)</x:f>
        <x:v>5</x:v>
      </x:c>
      <x:c r="F48" s="65" t="str">
        <x:v>件/次</x:v>
      </x:c>
      <x:c r="G48" s="65" t="str">
        <x:v>app.js:1939 · getSynthesisQuote</x:v>
      </x:c>
      <x:c r="H48" s="65" t="str">
        <x:v>同品质，成功得高一级随机部位；失败全部损失</x:v>
      </x:c>
    </x:row>
    <x:row r="49" ht="44" customHeight="1">
      <x:c r="A49" s="62" t="str">
        <x:v>synthBonusOn</x:v>
      </x:c>
      <x:c r="B49" s="65" t="str">
        <x:v>合成额外奖励开关</x:v>
      </x:c>
      <x:c r="C49" s="88" t="n">
        <x:v>0</x:v>
      </x:c>
      <x:c r="D49" s="89" t="n">
        <x:v>0</x:v>
      </x:c>
      <x:c r="E49" s="66" t="n">
        <x:f>IF('使用说明'!$B$4=0,C49,D49)</x:f>
        <x:v>0</x:v>
      </x:c>
      <x:c r="F49" s="65" t="str">
        <x:v>0/1</x:v>
      </x:c>
      <x:c r="G49" s="65" t="str">
        <x:v>app.js:174 · EQUIPMENT_SYNTHESIS_BONUS</x:v>
      </x:c>
      <x:c r="H49" s="65" t="str">
        <x:v>当前关闭；不得当作收入</x:v>
      </x:c>
    </x:row>
    <x:row r="50" ht="44" customHeight="1">
      <x:c r="A50" s="62" t="str">
        <x:v>synthBonusChance</x:v>
      </x:c>
      <x:c r="B50" s="65" t="str">
        <x:v>合成额外金币几率</x:v>
      </x:c>
      <x:c r="C50" s="90" t="n">
        <x:v>0.1</x:v>
      </x:c>
      <x:c r="D50" s="91" t="n">
        <x:v>0.1</x:v>
      </x:c>
      <x:c r="E50" s="92" t="n">
        <x:f>IF('使用说明'!$B$4=0,C50,D50)</x:f>
        <x:v>0.1</x:v>
      </x:c>
      <x:c r="F50" s="65" t="str">
        <x:v>概率</x:v>
      </x:c>
      <x:c r="G50" s="65" t="str">
        <x:v>app.js:174 · EQUIPMENT_SYNTHESIS_BONUS</x:v>
      </x:c>
      <x:c r="H50" s="65" t="str">
        <x:v>仅成功且开关开启</x:v>
      </x:c>
    </x:row>
    <x:row r="51" ht="44" customHeight="1">
      <x:c r="A51" s="62" t="str">
        <x:v>synthBonusFactor</x:v>
      </x:c>
      <x:c r="B51" s="65" t="str">
        <x:v>额外金币售价倍率</x:v>
      </x:c>
      <x:c r="C51" s="88" t="n">
        <x:v>2</x:v>
      </x:c>
      <x:c r="D51" s="89" t="n">
        <x:v>2</x:v>
      </x:c>
      <x:c r="E51" s="66" t="n">
        <x:f>IF('使用说明'!$B$4=0,C51,D51)</x:f>
        <x:v>2</x:v>
      </x:c>
      <x:c r="F51" s="65" t="str">
        <x:v>倍</x:v>
      </x:c>
      <x:c r="G51" s="65" t="str">
        <x:v>app.js:174 · EQUIPMENT_SYNTHESIS_BONUS</x:v>
      </x:c>
      <x:c r="H51" s="65" t="str">
        <x:v>按产物品质售价计算</x:v>
      </x:c>
    </x:row>
    <x:row r="52" ht="44" customHeight="1">
      <x:c r="A52" s="62" t="str">
        <x:v>enhGoldBase</x:v>
      </x:c>
      <x:c r="B52" s="65" t="str">
        <x:v>强化首级金币</x:v>
      </x:c>
      <x:c r="C52" s="88" t="n">
        <x:v>200</x:v>
      </x:c>
      <x:c r="D52" s="89" t="n">
        <x:v>200</x:v>
      </x:c>
      <x:c r="E52" s="66" t="n">
        <x:f>IF('使用说明'!$B$4=0,C52,D52)</x:f>
        <x:v>200</x:v>
      </x:c>
      <x:c r="F52" s="65" t="str">
        <x:v>金币</x:v>
      </x:c>
      <x:c r="G52" s="65" t="str">
        <x:v>app.js:207 · FORGE_CONFIG</x:v>
      </x:c>
      <x:c r="H52" s="65" t="str">
        <x:v>阶梯倍率另乘</x:v>
      </x:c>
    </x:row>
    <x:row r="53" ht="44" customHeight="1">
      <x:c r="A53" s="62" t="str">
        <x:v>enhGoldStep</x:v>
      </x:c>
      <x:c r="B53" s="65" t="str">
        <x:v>强化每级金币增加</x:v>
      </x:c>
      <x:c r="C53" s="88" t="n">
        <x:v>120</x:v>
      </x:c>
      <x:c r="D53" s="89" t="n">
        <x:v>120</x:v>
      </x:c>
      <x:c r="E53" s="66" t="n">
        <x:f>IF('使用说明'!$B$4=0,C53,D53)</x:f>
        <x:v>120</x:v>
      </x:c>
      <x:c r="F53" s="65" t="str">
        <x:v>金币</x:v>
      </x:c>
      <x:c r="G53" s="65" t="str">
        <x:v>app.js:207 · FORGE_CONFIG</x:v>
      </x:c>
      <x:c r="H53" s="65" t="str">
        <x:v>ceil((首级+当前级×增量)×阶梯倍率)</x:v>
      </x:c>
    </x:row>
    <x:row r="54" ht="44" customHeight="1">
      <x:c r="A54" s="62" t="str">
        <x:v>starGoldBase</x:v>
      </x:c>
      <x:c r="B54" s="65" t="str">
        <x:v>升星首星金币</x:v>
      </x:c>
      <x:c r="C54" s="88" t="n">
        <x:v>400</x:v>
      </x:c>
      <x:c r="D54" s="89" t="n">
        <x:v>400</x:v>
      </x:c>
      <x:c r="E54" s="66" t="n">
        <x:f>IF('使用说明'!$B$4=0,C54,D54)</x:f>
        <x:v>400</x:v>
      </x:c>
      <x:c r="F54" s="65" t="str">
        <x:v>金币</x:v>
      </x:c>
      <x:c r="G54" s="65" t="str">
        <x:v>app.js:207 · FORGE_CONFIG</x:v>
      </x:c>
      <x:c r="H54" s="65" t="str">
        <x:v>无论成功或失败都扣</x:v>
      </x:c>
    </x:row>
    <x:row r="55" ht="44" customHeight="1">
      <x:c r="A55" s="62" t="str">
        <x:v>starGoldStep</x:v>
      </x:c>
      <x:c r="B55" s="65" t="str">
        <x:v>升星每星金币增加</x:v>
      </x:c>
      <x:c r="C55" s="88" t="n">
        <x:v>160</x:v>
      </x:c>
      <x:c r="D55" s="89" t="n">
        <x:v>160</x:v>
      </x:c>
      <x:c r="E55" s="66" t="n">
        <x:f>IF('使用说明'!$B$4=0,C55,D55)</x:f>
        <x:v>160</x:v>
      </x:c>
      <x:c r="F55" s="65" t="str">
        <x:v>金币</x:v>
      </x:c>
      <x:c r="G55" s="65" t="str">
        <x:v>app.js:207 · FORGE_CONFIG</x:v>
      </x:c>
      <x:c r="H55" s="65" t="str">
        <x:v>ceil((首星+当前星×增量)×阶梯倍率)</x:v>
      </x:c>
    </x:row>
    <x:row r="56" ht="44" customHeight="1">
      <x:c r="A56" s="62" t="str">
        <x:v>enhValueRate</x:v>
      </x:c>
      <x:c r="B56" s="65" t="str">
        <x:v>每强化级基础属性增幅</x:v>
      </x:c>
      <x:c r="C56" s="90" t="n">
        <x:v>0.15</x:v>
      </x:c>
      <x:c r="D56" s="91" t="n">
        <x:v>0.15</x:v>
      </x:c>
      <x:c r="E56" s="92" t="n">
        <x:f>IF('使用说明'!$B$4=0,C56,D56)</x:f>
        <x:v>0.15</x:v>
      </x:c>
      <x:c r="F56" s="65" t="str">
        <x:v>比例</x:v>
      </x:c>
      <x:c r="G56" s="65" t="str">
        <x:v>app.js:207 · FORGE_CONFIG</x:v>
      </x:c>
      <x:c r="H56" s="65" t="str">
        <x:v>按部位白装基础值×品质系数×强化级数×增幅后round</x:v>
      </x:c>
    </x:row>
    <x:row r="57" ht="44" customHeight="1">
      <x:c r="A57" s="62" t="str">
        <x:v>starValueRate</x:v>
      </x:c>
      <x:c r="B57" s="65" t="str">
        <x:v>每星基础属性增幅</x:v>
      </x:c>
      <x:c r="C57" s="90" t="n">
        <x:v>0.08</x:v>
      </x:c>
      <x:c r="D57" s="91" t="n">
        <x:v>0.08</x:v>
      </x:c>
      <x:c r="E57" s="92" t="n">
        <x:f>IF('使用说明'!$B$4=0,C57,D57)</x:f>
        <x:v>0.08</x:v>
      </x:c>
      <x:c r="F57" s="65" t="str">
        <x:v>比例</x:v>
      </x:c>
      <x:c r="G57" s="65" t="str">
        <x:v>app.js:207 · FORGE_CONFIG</x:v>
      </x:c>
      <x:c r="H57" s="65" t="str">
        <x:v>当前无失败降星</x:v>
      </x:c>
    </x:row>
    <x:row r="58" ht="44" customHeight="1">
      <x:c r="A58" s="62" t="str">
        <x:v>heroBreakBase</x:v>
      </x:c>
      <x:c r="B58" s="65" t="str">
        <x:v>主角首次突破元宝</x:v>
      </x:c>
      <x:c r="C58" s="88" t="n">
        <x:v>150</x:v>
      </x:c>
      <x:c r="D58" s="89" t="n">
        <x:v>150</x:v>
      </x:c>
      <x:c r="E58" s="66" t="n">
        <x:f>IF('使用说明'!$B$4=0,C58,D58)</x:f>
        <x:v>150</x:v>
      </x:c>
      <x:c r="F58" s="65" t="str">
        <x:v>元宝</x:v>
      </x:c>
      <x:c r="G58" s="65" t="str">
        <x:v>app.js:1640 · getHeroBreakthroughCost</x:v>
      </x:c>
      <x:c r="H58" s="65" t="str">
        <x:v>开放后续等级区间；不负责技能解锁</x:v>
      </x:c>
    </x:row>
    <x:row r="59" ht="44" customHeight="1">
      <x:c r="A59" s="62" t="str">
        <x:v>heroBreakStep</x:v>
      </x:c>
      <x:c r="B59" s="65" t="str">
        <x:v>后续每阶突破增量</x:v>
      </x:c>
      <x:c r="C59" s="88" t="n">
        <x:v>100</x:v>
      </x:c>
      <x:c r="D59" s="89" t="n">
        <x:v>100</x:v>
      </x:c>
      <x:c r="E59" s="66" t="n">
        <x:f>IF('使用说明'!$B$4=0,C59,D59)</x:f>
        <x:v>100</x:v>
      </x:c>
      <x:c r="F59" s="65" t="str">
        <x:v>元宝</x:v>
      </x:c>
      <x:c r="G59" s="65" t="str">
        <x:v>app.js:1640 · getHeroBreakthroughCost</x:v>
      </x:c>
      <x:c r="H59" s="65" t="str">
        <x:v>cost=150+已突破阶数×100</x:v>
      </x:c>
    </x:row>
    <x:row r="60" ht="44" customHeight="1">
      <x:c r="A60" s="62" t="str">
        <x:v>heroExpRate</x:v>
      </x:c>
      <x:c r="B60" s="65" t="str">
        <x:v>体力转经验系数</x:v>
      </x:c>
      <x:c r="C60" s="88" t="n">
        <x:v>100</x:v>
      </x:c>
      <x:c r="D60" s="89" t="n">
        <x:v>100</x:v>
      </x:c>
      <x:c r="E60" s="66" t="n">
        <x:f>IF('使用说明'!$B$4=0,C60,D60)</x:f>
        <x:v>100</x:v>
      </x:c>
      <x:c r="F60" s="65" t="str">
        <x:v>经验/体力/等级</x:v>
      </x:c>
      <x:c r="G60" s="65" t="str">
        <x:v>app.js:4439 · heroExpPerStage</x:v>
      </x:c>
      <x:c r="H60" s="65" t="str">
        <x:v>当前胜利经验=10×100×结算时主角等级；失败不发</x:v>
      </x:c>
    </x:row>
    <x:row r="61" ht="44" customHeight="1">
      <x:c r="A61" s="62" t="str">
        <x:v>raidCheck</x:v>
      </x:c>
      <x:c r="B61" s="65" t="str">
        <x:v>军报侦查间隔</x:v>
      </x:c>
      <x:c r="C61" s="88" t="n">
        <x:v>10</x:v>
      </x:c>
      <x:c r="D61" s="89" t="n">
        <x:v>10</x:v>
      </x:c>
      <x:c r="E61" s="66" t="n">
        <x:f>IF('使用说明'!$B$4=0,C61,D61)</x:f>
        <x:v>10</x:v>
      </x:c>
      <x:c r="F61" s="65" t="str">
        <x:v>分钟</x:v>
      </x:c>
      <x:c r="G61" s="65" t="str">
        <x:v>app.js:82 · ARMY_REPORT_CONFIG</x:v>
      </x:c>
      <x:c r="H61" s="65" t="str">
        <x:v>仅在线计时；有军报/在军报战局时影响抽样</x:v>
      </x:c>
    </x:row>
    <x:row r="62" ht="44" customHeight="1">
      <x:c r="A62" s="62" t="str">
        <x:v>raidChance</x:v>
      </x:c>
      <x:c r="B62" s="65" t="str">
        <x:v>军报触发概率</x:v>
      </x:c>
      <x:c r="C62" s="90" t="n">
        <x:v>0.1</x:v>
      </x:c>
      <x:c r="D62" s="91" t="n">
        <x:v>0.1</x:v>
      </x:c>
      <x:c r="E62" s="92" t="n">
        <x:f>IF('使用说明'!$B$4=0,C62,D62)</x:f>
        <x:v>0.1</x:v>
      </x:c>
      <x:c r="F62" s="65" t="str">
        <x:v>概率</x:v>
      </x:c>
      <x:c r="G62" s="65" t="str">
        <x:v>app.js:82 · ARMY_REPORT_CONFIG</x:v>
      </x:c>
      <x:c r="H62" s="65" t="str">
        <x:v>非每次上线保证触发</x:v>
      </x:c>
    </x:row>
    <x:row r="63" ht="44" customHeight="1">
      <x:c r="A63" s="62" t="str">
        <x:v>raidPity</x:v>
      </x:c>
      <x:c r="B63" s="65" t="str">
        <x:v>军报未发现保底阈值</x:v>
      </x:c>
      <x:c r="C63" s="88" t="n">
        <x:v>3</x:v>
      </x:c>
      <x:c r="D63" s="89" t="n">
        <x:v>3</x:v>
      </x:c>
      <x:c r="E63" s="66" t="n">
        <x:f>IF('使用说明'!$B$4=0,C63,D63)</x:f>
        <x:v>3</x:v>
      </x:c>
      <x:c r="F63" s="65" t="str">
        <x:v>次</x:v>
      </x:c>
      <x:c r="G63" s="65" t="str">
        <x:v>app.js:82 · ARMY_REPORT_CONFIG</x:v>
      </x:c>
      <x:c r="H63" s="65" t="str">
        <x:v>连续3次未发现后下一次必出</x:v>
      </x:c>
    </x:row>
    <x:row r="64" ht="44" customHeight="1">
      <x:c r="A64" s="62" t="str">
        <x:v>raidPityLimit</x:v>
      </x:c>
      <x:c r="B64" s="65" t="str">
        <x:v>军报日保底次数</x:v>
      </x:c>
      <x:c r="C64" s="88" t="n">
        <x:v>1</x:v>
      </x:c>
      <x:c r="D64" s="89" t="n">
        <x:v>1</x:v>
      </x:c>
      <x:c r="E64" s="66" t="n">
        <x:f>IF('使用说明'!$B$4=0,C64,D64)</x:f>
        <x:v>1</x:v>
      </x:c>
      <x:c r="F64" s="65" t="str">
        <x:v>次/天</x:v>
      </x:c>
      <x:c r="G64" s="65" t="str">
        <x:v>app.js:82 · ARMY_REPORT_CONFIG</x:v>
      </x:c>
      <x:c r="H64" s="65" t="str">
        <x:v>并非军报总次数上限</x:v>
      </x:c>
    </x:row>
    <x:row r="65" ht="44" customHeight="1">
      <x:c r="A65" s="62" t="str">
        <x:v>raidStay</x:v>
      </x:c>
      <x:c r="B65" s="65" t="str">
        <x:v>军报存在时长</x:v>
      </x:c>
      <x:c r="C65" s="88" t="n">
        <x:v>5</x:v>
      </x:c>
      <x:c r="D65" s="89" t="n">
        <x:v>5</x:v>
      </x:c>
      <x:c r="E65" s="66" t="n">
        <x:f>IF('使用说明'!$B$4=0,C65,D65)</x:f>
        <x:v>5</x:v>
      </x:c>
      <x:c r="F65" s="65" t="str">
        <x:v>分钟</x:v>
      </x:c>
      <x:c r="G65" s="65" t="str">
        <x:v>app.js:82 · ARMY_REPORT_CONFIG</x:v>
      </x:c>
      <x:c r="H65" s="65" t="str">
        <x:v>过期不可挑战</x:v>
      </x:c>
    </x:row>
    <x:row r="66" ht="44" customHeight="1">
      <x:c r="A66" s="62" t="str">
        <x:v>raidGoldMin</x:v>
      </x:c>
      <x:c r="B66" s="65" t="str">
        <x:v>军报最低金币倍数</x:v>
      </x:c>
      <x:c r="C66" s="88" t="n">
        <x:v>2</x:v>
      </x:c>
      <x:c r="D66" s="89" t="n">
        <x:v>2</x:v>
      </x:c>
      <x:c r="E66" s="66" t="n">
        <x:f>IF('使用说明'!$B$4=0,C66,D66)</x:f>
        <x:v>2</x:v>
      </x:c>
      <x:c r="F66" s="65" t="str">
        <x:v>倍</x:v>
      </x:c>
      <x:c r="G66" s="65" t="str">
        <x:v>app.js:5596 · getBeastGoldRange</x:v>
      </x:c>
      <x:c r="H66" s="65" t="str">
        <x:v>失败给最低；金币基数沿用主线采用值</x:v>
      </x:c>
    </x:row>
    <x:row r="67" ht="44" customHeight="1">
      <x:c r="A67" s="62" t="str">
        <x:v>raidGoldMax</x:v>
      </x:c>
      <x:c r="B67" s="65" t="str">
        <x:v>军报最高金币倍数</x:v>
      </x:c>
      <x:c r="C67" s="88" t="n">
        <x:v>5</x:v>
      </x:c>
      <x:c r="D67" s="89" t="n">
        <x:v>5</x:v>
      </x:c>
      <x:c r="E67" s="66" t="n">
        <x:f>IF('使用说明'!$B$4=0,C67,D67)</x:f>
        <x:v>5</x:v>
      </x:c>
      <x:c r="F67" s="65" t="str">
        <x:v>倍</x:v>
      </x:c>
      <x:c r="G67" s="65" t="str">
        <x:v>app.js:5596 · getBeastGoldRange</x:v>
      </x:c>
      <x:c r="H67" s="65" t="str">
        <x:v>胜利区间均匀随机</x:v>
      </x:c>
    </x:row>
    <x:row r="68" ht="44" customHeight="1">
      <x:c r="A68" s="62" t="str">
        <x:v>raidYuanMin</x:v>
      </x:c>
      <x:c r="B68" s="65" t="str">
        <x:v>军报最低元宝</x:v>
      </x:c>
      <x:c r="C68" s="88" t="n">
        <x:v>15</x:v>
      </x:c>
      <x:c r="D68" s="89" t="n">
        <x:v>20</x:v>
      </x:c>
      <x:c r="E68" s="66" t="n">
        <x:f>IF('使用说明'!$B$4=0,C68,D68)</x:f>
        <x:v>15</x:v>
      </x:c>
      <x:c r="F68" s="65" t="str">
        <x:v>元宝</x:v>
      </x:c>
      <x:c r="G68" s="65" t="str">
        <x:v>app.js:5604 · rollBeastRaidReward</x:v>
      </x:c>
      <x:c r="H68" s="65" t="str">
        <x:v>失败也给最低</x:v>
      </x:c>
    </x:row>
    <x:row r="69" ht="44" customHeight="1">
      <x:c r="A69" s="62" t="str">
        <x:v>raidYuanMax</x:v>
      </x:c>
      <x:c r="B69" s="65" t="str">
        <x:v>军报最高元宝</x:v>
      </x:c>
      <x:c r="C69" s="88" t="n">
        <x:v>40</x:v>
      </x:c>
      <x:c r="D69" s="89" t="n">
        <x:v>80</x:v>
      </x:c>
      <x:c r="E69" s="66" t="n">
        <x:f>IF('使用说明'!$B$4=0,C69,D69)</x:f>
        <x:v>40</x:v>
      </x:c>
      <x:c r="F69" s="65" t="str">
        <x:v>元宝</x:v>
      </x:c>
      <x:c r="G69" s="65" t="str">
        <x:v>app.js:5604 · rollBeastRaidReward</x:v>
      </x:c>
      <x:c r="H69" s="65" t="str">
        <x:v>胜利区间均匀随机</x:v>
      </x:c>
    </x:row>
    <x:row r="70" ht="44" customHeight="1">
      <x:c r="A70" s="62" t="str">
        <x:v>raidQualityMin</x:v>
      </x:c>
      <x:c r="B70" s="65" t="str">
        <x:v>军报品质最低加档</x:v>
      </x:c>
      <x:c r="C70" s="88" t="n">
        <x:v>0</x:v>
      </x:c>
      <x:c r="D70" s="89" t="n">
        <x:v>0</x:v>
      </x:c>
      <x:c r="E70" s="66" t="n">
        <x:f>IF('使用说明'!$B$4=0,C70,D70)</x:f>
        <x:v>0</x:v>
      </x:c>
      <x:c r="F70" s="65" t="str">
        <x:v>品质档</x:v>
      </x:c>
      <x:c r="G70" s="65" t="str">
        <x:v>app.js:5624 · settleBeastRaid</x:v>
      </x:c>
      <x:c r="H70" s="65" t="str">
        <x:v>以主线掉落表有概率的最高品质为基准，封顶金色</x:v>
      </x:c>
    </x:row>
    <x:row r="71" ht="44" customHeight="1">
      <x:c r="A71" s="62" t="str">
        <x:v>raidQualityMax</x:v>
      </x:c>
      <x:c r="B71" s="65" t="str">
        <x:v>军报品质最高加档</x:v>
      </x:c>
      <x:c r="C71" s="88" t="n">
        <x:v>1</x:v>
      </x:c>
      <x:c r="D71" s="89" t="n">
        <x:v>1</x:v>
      </x:c>
      <x:c r="E71" s="66" t="n">
        <x:f>IF('使用说明'!$B$4=0,C71,D71)</x:f>
        <x:v>1</x:v>
      </x:c>
      <x:c r="F71" s="65" t="str">
        <x:v>品质档</x:v>
      </x:c>
      <x:c r="G71" s="65" t="str">
        <x:v>app.js:5624 · settleBeastRaid</x:v>
      </x:c>
      <x:c r="H71" s="65" t="str">
        <x:v>当前1关即可能出紫/橙；候选减少跨档</x:v>
      </x:c>
    </x:row>
    <x:row r="72" ht="44" customHeight="1">
      <x:c r="A72" s="62" t="str">
        <x:v>raidEnhChance</x:v>
      </x:c>
      <x:c r="B72" s="65" t="str">
        <x:v>军报强化石掉率</x:v>
      </x:c>
      <x:c r="C72" s="90" t="n">
        <x:v>0.45</x:v>
      </x:c>
      <x:c r="D72" s="91" t="n">
        <x:v>0.45</x:v>
      </x:c>
      <x:c r="E72" s="92" t="n">
        <x:f>IF('使用说明'!$B$4=0,C72,D72)</x:f>
        <x:v>0.45</x:v>
      </x:c>
      <x:c r="F72" s="65" t="str">
        <x:v>概率</x:v>
      </x:c>
      <x:c r="G72" s="65" t="str">
        <x:v>app.js:5604 · rollBeastRaidReward</x:v>
      </x:c>
      <x:c r="H72" s="65" t="str">
        <x:v>仅胜利，独立抽样</x:v>
      </x:c>
    </x:row>
    <x:row r="73" ht="44" customHeight="1">
      <x:c r="A73" s="62" t="str">
        <x:v>raidStarChance</x:v>
      </x:c>
      <x:c r="B73" s="65" t="str">
        <x:v>军报升星石掉率</x:v>
      </x:c>
      <x:c r="C73" s="90" t="n">
        <x:v>0.25</x:v>
      </x:c>
      <x:c r="D73" s="91" t="n">
        <x:v>0.25</x:v>
      </x:c>
      <x:c r="E73" s="92" t="n">
        <x:f>IF('使用说明'!$B$4=0,C73,D73)</x:f>
        <x:v>0.25</x:v>
      </x:c>
      <x:c r="F73" s="65" t="str">
        <x:v>概率</x:v>
      </x:c>
      <x:c r="G73" s="65" t="str">
        <x:v>app.js:5604 · rollBeastRaidReward</x:v>
      </x:c>
      <x:c r="H73" s="65" t="str">
        <x:v>仅胜利，独立抽样</x:v>
      </x:c>
    </x:row>
    <x:row r="74" ht="44" customHeight="1">
      <x:c r="A74" s="62" t="str">
        <x:v>raidStoneFactor</x:v>
      </x:c>
      <x:c r="B74" s="65" t="str">
        <x:v>军报材料数量倍数</x:v>
      </x:c>
      <x:c r="C74" s="88" t="n">
        <x:v>2</x:v>
      </x:c>
      <x:c r="D74" s="89" t="n">
        <x:v>2</x:v>
      </x:c>
      <x:c r="E74" s="66" t="n">
        <x:f>IF('使用说明'!$B$4=0,C74,D74)</x:f>
        <x:v>2</x:v>
      </x:c>
      <x:c r="F74" s="65" t="str">
        <x:v>倍</x:v>
      </x:c>
      <x:c r="G74" s="65" t="str">
        <x:v>app.js:5604 · rollBeastRaidReward</x:v>
      </x:c>
      <x:c r="H74" s="65" t="str">
        <x:v>max(1,round(同关主线材料×倍数))</x:v>
      </x:c>
    </x:row>
    <x:row r="75" ht="44" customHeight="1">
      <x:c r="A75" s="62" t="str">
        <x:v>hintLimit</x:v>
      </x:c>
      <x:c r="B75" s="65" t="str">
        <x:v>提示广告局上限</x:v>
      </x:c>
      <x:c r="C75" s="88" t="n">
        <x:v>5</x:v>
      </x:c>
      <x:c r="D75" s="89" t="n">
        <x:v>5</x:v>
      </x:c>
      <x:c r="E75" s="66" t="n">
        <x:f>IF('使用说明'!$B$4=0,C75,D75)</x:f>
        <x:v>5</x:v>
      </x:c>
      <x:c r="F75" s="65" t="str">
        <x:v>次/局</x:v>
      </x:c>
      <x:c r="G75" s="65" t="str">
        <x:v>app.js:124 · MAX_MERGE_HINTS</x:v>
      </x:c>
      <x:c r="H75" s="65" t="str">
        <x:v>观看完成才生效</x:v>
      </x:c>
    </x:row>
    <x:row r="76" ht="44" customHeight="1">
      <x:c r="A76" s="62" t="str">
        <x:v>shuffleLimit</x:v>
      </x:c>
      <x:c r="B76" s="65" t="str">
        <x:v>洗牌广告局上限</x:v>
      </x:c>
      <x:c r="C76" s="88" t="n">
        <x:v>3</x:v>
      </x:c>
      <x:c r="D76" s="89" t="n">
        <x:v>3</x:v>
      </x:c>
      <x:c r="E76" s="66" t="n">
        <x:f>IF('使用说明'!$B$4=0,C76,D76)</x:f>
        <x:v>3</x:v>
      </x:c>
      <x:c r="F76" s="65" t="str">
        <x:v>次/局</x:v>
      </x:c>
      <x:c r="G76" s="65" t="str">
        <x:v>app.js:125 · MAX_BOARD_SHUFFLES</x:v>
      </x:c>
      <x:c r="H76" s="65" t="str">
        <x:v>不消耗步数，棋子种类与等级保留</x:v>
      </x:c>
    </x:row>
    <x:row r="77" ht="44" customHeight="1">
      <x:c r="A77" s="62" t="str">
        <x:v>adStepGain</x:v>
      </x:c>
      <x:c r="B77" s="65" t="str">
        <x:v>加步广告每次步数</x:v>
      </x:c>
      <x:c r="C77" s="88" t="n">
        <x:v>3</x:v>
      </x:c>
      <x:c r="D77" s="89" t="n">
        <x:v>3</x:v>
      </x:c>
      <x:c r="E77" s="66" t="n">
        <x:f>IF('使用说明'!$B$4=0,C77,D77)</x:f>
        <x:v>3</x:v>
      </x:c>
      <x:c r="F77" s="65" t="str">
        <x:v>步</x:v>
      </x:c>
      <x:c r="G77" s="65" t="str">
        <x:v>app.js:5925 · placement: "额外步数"</x:v>
      </x:c>
      <x:c r="H77" s="65" t="str">
        <x:v>当前无每局总次数上限，只有当前步数低于11才能点</x:v>
      </x:c>
    </x:row>
  </x:sheetData>
  <x:mergeCells>
    <x:mergeCell ref="A1:H2"/>
    <x:mergeCell ref="A3:H3"/>
    <x:mergeCell ref="B4:D4"/>
  </x:mergeCells>
  <x:dataValidations count="15">
    <x:dataValidation type="decimal" operator="between" sqref="D7:D77">
      <x:formula1>0</x:formula1>
      <x:formula2>1000000000</x:formula2>
    </x:dataValidation>
    <x:dataValidation type="decimal" operator="between" sqref="D25">
      <x:formula1>0</x:formula1>
      <x:formula2>1</x:formula2>
    </x:dataValidation>
    <x:dataValidation type="decimal" operator="between" sqref="D27">
      <x:formula1>0</x:formula1>
      <x:formula2>1</x:formula2>
    </x:dataValidation>
    <x:dataValidation type="decimal" operator="between" sqref="D46">
      <x:formula1>0</x:formula1>
      <x:formula2>1</x:formula2>
    </x:dataValidation>
    <x:dataValidation type="decimal" operator="between" sqref="D50">
      <x:formula1>0</x:formula1>
      <x:formula2>1</x:formula2>
    </x:dataValidation>
    <x:dataValidation type="decimal" operator="between" sqref="D56">
      <x:formula1>0</x:formula1>
      <x:formula2>1</x:formula2>
    </x:dataValidation>
    <x:dataValidation type="decimal" operator="between" sqref="D57">
      <x:formula1>0</x:formula1>
      <x:formula2>1</x:formula2>
    </x:dataValidation>
    <x:dataValidation type="decimal" operator="between" sqref="D62">
      <x:formula1>0</x:formula1>
      <x:formula2>1</x:formula2>
    </x:dataValidation>
    <x:dataValidation type="decimal" operator="between" sqref="D72">
      <x:formula1>0</x:formula1>
      <x:formula2>1</x:formula2>
    </x:dataValidation>
    <x:dataValidation type="decimal" operator="between" sqref="D73">
      <x:formula1>0</x:formula1>
      <x:formula2>1</x:formula2>
    </x:dataValidation>
    <x:dataValidation type="decimal" operator="between" sqref="D10">
      <x:formula1>0.001</x:formula1>
      <x:formula2>100000</x:formula2>
    </x:dataValidation>
    <x:dataValidation type="decimal" operator="between" sqref="D11">
      <x:formula1>0.001</x:formula1>
      <x:formula2>100000</x:formula2>
    </x:dataValidation>
    <x:dataValidation type="whole" operator="between" sqref="D47">
      <x:formula1>0</x:formula1>
      <x:formula2>100</x:formula2>
    </x:dataValidation>
    <x:dataValidation type="whole" operator="between" sqref="D14">
      <x:formula1>0</x:formula1>
      <x:formula2>100</x:formula2>
    </x:dataValidation>
    <x:dataValidation type="whole" operator="between" sqref="D15">
      <x:formula1>0</x:formula1>
      <x:formula2>100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B9C9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9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49" hidden="0" customWidth="1"/>
    <x:col min="8" max="8" width="58" hidden="0" customWidth="1"/>
  </x:cols>
  <x:sheetData>
    <x:row r="1" ht="23" customHeight="1">
      <x:c r="A1" s="59" t="str">
        <x:v>02｜材料投放与每日任务档位</x:v>
      </x:c>
      <x:c r="B1" s="60"/>
      <x:c r="C1" s="60"/>
      <x:c r="D1" s="60"/>
      <x:c r="E1" s="60"/>
      <x:c r="F1" s="60"/>
      <x:c r="G1" s="60"/>
      <x:c r="H1" s="60"/>
    </x:row>
    <x:row r="2" ht="23" customHeight="1">
      <x:c r="A2" s="60"/>
      <x:c r="B2" s="60"/>
      <x:c r="C2" s="60"/>
      <x:c r="D2" s="60"/>
      <x:c r="E2" s="60"/>
      <x:c r="F2" s="60"/>
      <x:c r="G2" s="60"/>
      <x:c r="H2" s="60"/>
    </x:row>
    <x:row r="3" ht="44" customHeight="1">
      <x:c r="A3" s="61" t="str">
        <x:v>前两天并非按注册时间判定，当前是1～14关新手档。新增强化/升星任务返材已包含在每日模拟中。</x:v>
      </x:c>
      <x:c r="B3" s="61"/>
      <x:c r="C3" s="61"/>
      <x:c r="D3" s="61"/>
      <x:c r="E3" s="61"/>
      <x:c r="F3" s="61"/>
      <x:c r="G3" s="61"/>
      <x:c r="H3" s="61"/>
    </x:row>
    <x:row r="4" ht="23" customHeight="1">
      <x:c r="A4" s="62" t="str">
        <x:v>采用方案</x:v>
      </x:c>
      <x:c r="B4" s="62" t="str">
        <x:f>IF('使用说明'!$B$4=0,"工程当前","调优试算")</x:f>
        <x:v>工程当前</x:v>
      </x:c>
      <x:c r="C4" s="62"/>
      <x:c r="D4" s="62"/>
      <x:c r="E4" s="62"/>
      <x:c r="F4" s="62"/>
      <x:c r="G4" s="62"/>
      <x:c r="H4" s="62"/>
    </x:row>
    <x:row r="5" ht="23" customHeight="1">
      <x:c r="A5" s="62"/>
      <x:c r="B5" s="62"/>
      <x:c r="C5" s="62"/>
      <x:c r="D5" s="62"/>
      <x:c r="E5" s="62"/>
      <x:c r="F5" s="62"/>
      <x:c r="G5" s="62"/>
      <x:c r="H5" s="62"/>
    </x:row>
    <x:row r="6" ht="36" customHeight="1">
      <x:c r="A6" s="64" t="str">
        <x:v>参数标识</x:v>
      </x:c>
      <x:c r="B6" s="64" t="str">
        <x:v>参数名称</x:v>
      </x:c>
      <x:c r="C6" s="64" t="str">
        <x:v>工程当前值</x:v>
      </x:c>
      <x:c r="D6" s="64" t="str">
        <x:v>调优试算值</x:v>
      </x:c>
      <x:c r="E6" s="64" t="str">
        <x:v>本次采用值</x:v>
      </x:c>
      <x:c r="F6" s="64" t="str">
        <x:v>单位</x:v>
      </x:c>
      <x:c r="G6" s="64" t="str">
        <x:v>代码来源</x:v>
      </x:c>
      <x:c r="H6" s="64" t="str">
        <x:v>口径与建议</x:v>
      </x:c>
    </x:row>
    <x:row r="7" ht="44" customHeight="1">
      <x:c r="A7" s="62" t="str">
        <x:v>matMin0</x:v>
      </x:c>
      <x:c r="B7" s="65" t="str">
        <x:v>新手补给起始关卡</x:v>
      </x:c>
      <x:c r="C7" s="88" t="n">
        <x:v>1</x:v>
      </x:c>
      <x:c r="D7" s="89" t="n">
        <x:v>1</x:v>
      </x:c>
      <x:c r="E7" s="66" t="n">
        <x:f>IF('使用说明'!$B$4=0,C7,D7)</x:f>
        <x:v>1</x:v>
      </x:c>
      <x:c r="F7" s="65" t="str">
        <x:v>关</x:v>
      </x:c>
      <x:c r="G7" s="65" t="str">
        <x:v>app.js:217 · FORGE_ECONOMY</x:v>
      </x:c>
      <x:c r="H7" s="65" t="str">
        <x:v>必须严格递增；末档开放至无限关</x:v>
      </x:c>
    </x:row>
    <x:row r="8" ht="44" customHeight="1">
      <x:c r="A8" s="62" t="str">
        <x:v>matenh0</x:v>
      </x:c>
      <x:c r="B8" s="65" t="str">
        <x:v>新手补给·胜利强化石</x:v>
      </x:c>
      <x:c r="C8" s="88" t="n">
        <x:v>2</x:v>
      </x:c>
      <x:c r="D8" s="89" t="n">
        <x:v>2</x:v>
      </x:c>
      <x:c r="E8" s="66" t="n">
        <x:f>IF('使用说明'!$B$4=0,C8,D8)</x:f>
        <x:v>2</x:v>
      </x:c>
      <x:c r="F8" s="65" t="str">
        <x:v>个</x:v>
      </x:c>
      <x:c r="G8" s="65" t="str">
        <x:v>app.js:217 · FORGE_ECONOMY</x:v>
      </x:c>
      <x:c r="H8" s="65" t="str">
        <x:v>关卡结算按本关；日常任务按最高解锁关卡取档</x:v>
      </x:c>
    </x:row>
    <x:row r="9" ht="44" customHeight="1">
      <x:c r="A9" s="62" t="str">
        <x:v>matstar0</x:v>
      </x:c>
      <x:c r="B9" s="65" t="str">
        <x:v>新手补给·胜利升星石</x:v>
      </x:c>
      <x:c r="C9" s="88" t="n">
        <x:v>1</x:v>
      </x:c>
      <x:c r="D9" s="89" t="n">
        <x:v>1</x:v>
      </x:c>
      <x:c r="E9" s="66" t="n">
        <x:f>IF('使用说明'!$B$4=0,C9,D9)</x:f>
        <x:v>1</x:v>
      </x:c>
      <x:c r="F9" s="65" t="str">
        <x:v>个</x:v>
      </x:c>
      <x:c r="G9" s="65" t="str">
        <x:v>app.js:217 · FORGE_ECONOMY</x:v>
      </x:c>
      <x:c r="H9" s="65" t="str">
        <x:v>关卡结算按本关；日常任务按最高解锁关卡取档</x:v>
      </x:c>
    </x:row>
    <x:row r="10" ht="44" customHeight="1">
      <x:c r="A10" s="62" t="str">
        <x:v>matplay0</x:v>
      </x:c>
      <x:c r="B10" s="65" t="str">
        <x:v>新手补给·完成一局强化石</x:v>
      </x:c>
      <x:c r="C10" s="88" t="n">
        <x:v>4</x:v>
      </x:c>
      <x:c r="D10" s="89" t="n">
        <x:v>4</x:v>
      </x:c>
      <x:c r="E10" s="66" t="n">
        <x:f>IF('使用说明'!$B$4=0,C10,D10)</x:f>
        <x:v>4</x:v>
      </x:c>
      <x:c r="F10" s="65" t="str">
        <x:v>个</x:v>
      </x:c>
      <x:c r="G10" s="65" t="str">
        <x:v>app.js:217 · FORGE_ECONOMY</x:v>
      </x:c>
      <x:c r="H10" s="65" t="str">
        <x:v>关卡结算按本关；日常任务按最高解锁关卡取档</x:v>
      </x:c>
    </x:row>
    <x:row r="11" ht="44" customHeight="1">
      <x:c r="A11" s="62" t="str">
        <x:v>matclear0</x:v>
      </x:c>
      <x:c r="B11" s="65" t="str">
        <x:v>新手补给·消除任务强化石</x:v>
      </x:c>
      <x:c r="C11" s="88" t="n">
        <x:v>6</x:v>
      </x:c>
      <x:c r="D11" s="89" t="n">
        <x:v>6</x:v>
      </x:c>
      <x:c r="E11" s="66" t="n">
        <x:f>IF('使用说明'!$B$4=0,C11,D11)</x:f>
        <x:v>6</x:v>
      </x:c>
      <x:c r="F11" s="65" t="str">
        <x:v>个</x:v>
      </x:c>
      <x:c r="G11" s="65" t="str">
        <x:v>app.js:217 · FORGE_ECONOMY</x:v>
      </x:c>
      <x:c r="H11" s="65" t="str">
        <x:v>关卡结算按本关；日常任务按最高解锁关卡取档</x:v>
      </x:c>
    </x:row>
    <x:row r="12" ht="44" customHeight="1">
      <x:c r="A12" s="62" t="str">
        <x:v>matkill0</x:v>
      </x:c>
      <x:c r="B12" s="65" t="str">
        <x:v>新手补给·击杀任务升星石</x:v>
      </x:c>
      <x:c r="C12" s="88" t="n">
        <x:v>2</x:v>
      </x:c>
      <x:c r="D12" s="89" t="n">
        <x:v>2</x:v>
      </x:c>
      <x:c r="E12" s="66" t="n">
        <x:f>IF('使用说明'!$B$4=0,C12,D12)</x:f>
        <x:v>2</x:v>
      </x:c>
      <x:c r="F12" s="65" t="str">
        <x:v>个</x:v>
      </x:c>
      <x:c r="G12" s="65" t="str">
        <x:v>app.js:217 · FORGE_ECONOMY</x:v>
      </x:c>
      <x:c r="H12" s="65" t="str">
        <x:v>关卡结算按本关；日常任务按最高解锁关卡取档</x:v>
      </x:c>
    </x:row>
    <x:row r="13" ht="44" customHeight="1">
      <x:c r="A13" s="62" t="str">
        <x:v>matMin1</x:v>
      </x:c>
      <x:c r="B13" s="65" t="str">
        <x:v>成长阶段起始关卡</x:v>
      </x:c>
      <x:c r="C13" s="88" t="n">
        <x:v>15</x:v>
      </x:c>
      <x:c r="D13" s="89" t="n">
        <x:v>15</x:v>
      </x:c>
      <x:c r="E13" s="66" t="n">
        <x:f>IF('使用说明'!$B$4=0,C13,D13)</x:f>
        <x:v>15</x:v>
      </x:c>
      <x:c r="F13" s="65" t="str">
        <x:v>关</x:v>
      </x:c>
      <x:c r="G13" s="65" t="str">
        <x:v>app.js:217 · FORGE_ECONOMY</x:v>
      </x:c>
      <x:c r="H13" s="65" t="str">
        <x:v>必须严格递增；末档开放至无限关</x:v>
      </x:c>
    </x:row>
    <x:row r="14" ht="44" customHeight="1">
      <x:c r="A14" s="62" t="str">
        <x:v>matenh1</x:v>
      </x:c>
      <x:c r="B14" s="65" t="str">
        <x:v>成长阶段·胜利强化石</x:v>
      </x:c>
      <x:c r="C14" s="88" t="n">
        <x:v>3</x:v>
      </x:c>
      <x:c r="D14" s="89" t="n">
        <x:v>3</x:v>
      </x:c>
      <x:c r="E14" s="66" t="n">
        <x:f>IF('使用说明'!$B$4=0,C14,D14)</x:f>
        <x:v>3</x:v>
      </x:c>
      <x:c r="F14" s="65" t="str">
        <x:v>个</x:v>
      </x:c>
      <x:c r="G14" s="65" t="str">
        <x:v>app.js:217 · FORGE_ECONOMY</x:v>
      </x:c>
      <x:c r="H14" s="65" t="str">
        <x:v>关卡结算按本关；日常任务按最高解锁关卡取档</x:v>
      </x:c>
    </x:row>
    <x:row r="15" ht="44" customHeight="1">
      <x:c r="A15" s="62" t="str">
        <x:v>matstar1</x:v>
      </x:c>
      <x:c r="B15" s="65" t="str">
        <x:v>成长阶段·胜利升星石</x:v>
      </x:c>
      <x:c r="C15" s="88" t="n">
        <x:v>1</x:v>
      </x:c>
      <x:c r="D15" s="89" t="n">
        <x:v>1</x:v>
      </x:c>
      <x:c r="E15" s="66" t="n">
        <x:f>IF('使用说明'!$B$4=0,C15,D15)</x:f>
        <x:v>1</x:v>
      </x:c>
      <x:c r="F15" s="65" t="str">
        <x:v>个</x:v>
      </x:c>
      <x:c r="G15" s="65" t="str">
        <x:v>app.js:217 · FORGE_ECONOMY</x:v>
      </x:c>
      <x:c r="H15" s="65" t="str">
        <x:v>关卡结算按本关；日常任务按最高解锁关卡取档</x:v>
      </x:c>
    </x:row>
    <x:row r="16" ht="44" customHeight="1">
      <x:c r="A16" s="62" t="str">
        <x:v>matplay1</x:v>
      </x:c>
      <x:c r="B16" s="65" t="str">
        <x:v>成长阶段·完成一局强化石</x:v>
      </x:c>
      <x:c r="C16" s="88" t="n">
        <x:v>5</x:v>
      </x:c>
      <x:c r="D16" s="89" t="n">
        <x:v>5</x:v>
      </x:c>
      <x:c r="E16" s="66" t="n">
        <x:f>IF('使用说明'!$B$4=0,C16,D16)</x:f>
        <x:v>5</x:v>
      </x:c>
      <x:c r="F16" s="65" t="str">
        <x:v>个</x:v>
      </x:c>
      <x:c r="G16" s="65" t="str">
        <x:v>app.js:217 · FORGE_ECONOMY</x:v>
      </x:c>
      <x:c r="H16" s="65" t="str">
        <x:v>关卡结算按本关；日常任务按最高解锁关卡取档</x:v>
      </x:c>
    </x:row>
    <x:row r="17" ht="44" customHeight="1">
      <x:c r="A17" s="62" t="str">
        <x:v>matclear1</x:v>
      </x:c>
      <x:c r="B17" s="65" t="str">
        <x:v>成长阶段·消除任务强化石</x:v>
      </x:c>
      <x:c r="C17" s="88" t="n">
        <x:v>7</x:v>
      </x:c>
      <x:c r="D17" s="89" t="n">
        <x:v>7</x:v>
      </x:c>
      <x:c r="E17" s="66" t="n">
        <x:f>IF('使用说明'!$B$4=0,C17,D17)</x:f>
        <x:v>7</x:v>
      </x:c>
      <x:c r="F17" s="65" t="str">
        <x:v>个</x:v>
      </x:c>
      <x:c r="G17" s="65" t="str">
        <x:v>app.js:217 · FORGE_ECONOMY</x:v>
      </x:c>
      <x:c r="H17" s="65" t="str">
        <x:v>关卡结算按本关；日常任务按最高解锁关卡取档</x:v>
      </x:c>
    </x:row>
    <x:row r="18" ht="44" customHeight="1">
      <x:c r="A18" s="62" t="str">
        <x:v>matkill1</x:v>
      </x:c>
      <x:c r="B18" s="65" t="str">
        <x:v>成长阶段·击杀任务升星石</x:v>
      </x:c>
      <x:c r="C18" s="88" t="n">
        <x:v>3</x:v>
      </x:c>
      <x:c r="D18" s="89" t="n">
        <x:v>3</x:v>
      </x:c>
      <x:c r="E18" s="66" t="n">
        <x:f>IF('使用说明'!$B$4=0,C18,D18)</x:f>
        <x:v>3</x:v>
      </x:c>
      <x:c r="F18" s="65" t="str">
        <x:v>个</x:v>
      </x:c>
      <x:c r="G18" s="65" t="str">
        <x:v>app.js:217 · FORGE_ECONOMY</x:v>
      </x:c>
      <x:c r="H18" s="65" t="str">
        <x:v>关卡结算按本关；日常任务按最高解锁关卡取档</x:v>
      </x:c>
    </x:row>
    <x:row r="19" ht="44" customHeight="1">
      <x:c r="A19" s="62" t="str">
        <x:v>matMin2</x:v>
      </x:c>
      <x:c r="B19" s="65" t="str">
        <x:v>进阶阶段起始关卡</x:v>
      </x:c>
      <x:c r="C19" s="88" t="n">
        <x:v>36</x:v>
      </x:c>
      <x:c r="D19" s="89" t="n">
        <x:v>36</x:v>
      </x:c>
      <x:c r="E19" s="66" t="n">
        <x:f>IF('使用说明'!$B$4=0,C19,D19)</x:f>
        <x:v>36</x:v>
      </x:c>
      <x:c r="F19" s="65" t="str">
        <x:v>关</x:v>
      </x:c>
      <x:c r="G19" s="65" t="str">
        <x:v>app.js:217 · FORGE_ECONOMY</x:v>
      </x:c>
      <x:c r="H19" s="65" t="str">
        <x:v>必须严格递增；末档开放至无限关</x:v>
      </x:c>
    </x:row>
    <x:row r="20" ht="44" customHeight="1">
      <x:c r="A20" s="62" t="str">
        <x:v>matenh2</x:v>
      </x:c>
      <x:c r="B20" s="65" t="str">
        <x:v>进阶阶段·胜利强化石</x:v>
      </x:c>
      <x:c r="C20" s="88" t="n">
        <x:v>4</x:v>
      </x:c>
      <x:c r="D20" s="89" t="n">
        <x:v>4</x:v>
      </x:c>
      <x:c r="E20" s="66" t="n">
        <x:f>IF('使用说明'!$B$4=0,C20,D20)</x:f>
        <x:v>4</x:v>
      </x:c>
      <x:c r="F20" s="65" t="str">
        <x:v>个</x:v>
      </x:c>
      <x:c r="G20" s="65" t="str">
        <x:v>app.js:217 · FORGE_ECONOMY</x:v>
      </x:c>
      <x:c r="H20" s="65" t="str">
        <x:v>关卡结算按本关；日常任务按最高解锁关卡取档</x:v>
      </x:c>
    </x:row>
    <x:row r="21" ht="44" customHeight="1">
      <x:c r="A21" s="62" t="str">
        <x:v>matstar2</x:v>
      </x:c>
      <x:c r="B21" s="65" t="str">
        <x:v>进阶阶段·胜利升星石</x:v>
      </x:c>
      <x:c r="C21" s="88" t="n">
        <x:v>2</x:v>
      </x:c>
      <x:c r="D21" s="89" t="n">
        <x:v>2</x:v>
      </x:c>
      <x:c r="E21" s="66" t="n">
        <x:f>IF('使用说明'!$B$4=0,C21,D21)</x:f>
        <x:v>2</x:v>
      </x:c>
      <x:c r="F21" s="65" t="str">
        <x:v>个</x:v>
      </x:c>
      <x:c r="G21" s="65" t="str">
        <x:v>app.js:217 · FORGE_ECONOMY</x:v>
      </x:c>
      <x:c r="H21" s="65" t="str">
        <x:v>关卡结算按本关；日常任务按最高解锁关卡取档</x:v>
      </x:c>
    </x:row>
    <x:row r="22" ht="44" customHeight="1">
      <x:c r="A22" s="62" t="str">
        <x:v>matplay2</x:v>
      </x:c>
      <x:c r="B22" s="65" t="str">
        <x:v>进阶阶段·完成一局强化石</x:v>
      </x:c>
      <x:c r="C22" s="88" t="n">
        <x:v>6</x:v>
      </x:c>
      <x:c r="D22" s="89" t="n">
        <x:v>6</x:v>
      </x:c>
      <x:c r="E22" s="66" t="n">
        <x:f>IF('使用说明'!$B$4=0,C22,D22)</x:f>
        <x:v>6</x:v>
      </x:c>
      <x:c r="F22" s="65" t="str">
        <x:v>个</x:v>
      </x:c>
      <x:c r="G22" s="65" t="str">
        <x:v>app.js:217 · FORGE_ECONOMY</x:v>
      </x:c>
      <x:c r="H22" s="65" t="str">
        <x:v>关卡结算按本关；日常任务按最高解锁关卡取档</x:v>
      </x:c>
    </x:row>
    <x:row r="23" ht="44" customHeight="1">
      <x:c r="A23" s="62" t="str">
        <x:v>matclear2</x:v>
      </x:c>
      <x:c r="B23" s="65" t="str">
        <x:v>进阶阶段·消除任务强化石</x:v>
      </x:c>
      <x:c r="C23" s="88" t="n">
        <x:v>8</x:v>
      </x:c>
      <x:c r="D23" s="89" t="n">
        <x:v>8</x:v>
      </x:c>
      <x:c r="E23" s="66" t="n">
        <x:f>IF('使用说明'!$B$4=0,C23,D23)</x:f>
        <x:v>8</x:v>
      </x:c>
      <x:c r="F23" s="65" t="str">
        <x:v>个</x:v>
      </x:c>
      <x:c r="G23" s="65" t="str">
        <x:v>app.js:217 · FORGE_ECONOMY</x:v>
      </x:c>
      <x:c r="H23" s="65" t="str">
        <x:v>关卡结算按本关；日常任务按最高解锁关卡取档</x:v>
      </x:c>
    </x:row>
    <x:row r="24" ht="44" customHeight="1">
      <x:c r="A24" s="62" t="str">
        <x:v>matkill2</x:v>
      </x:c>
      <x:c r="B24" s="65" t="str">
        <x:v>进阶阶段·击杀任务升星石</x:v>
      </x:c>
      <x:c r="C24" s="88" t="n">
        <x:v>4</x:v>
      </x:c>
      <x:c r="D24" s="89" t="n">
        <x:v>4</x:v>
      </x:c>
      <x:c r="E24" s="66" t="n">
        <x:f>IF('使用说明'!$B$4=0,C24,D24)</x:f>
        <x:v>4</x:v>
      </x:c>
      <x:c r="F24" s="65" t="str">
        <x:v>个</x:v>
      </x:c>
      <x:c r="G24" s="65" t="str">
        <x:v>app.js:217 · FORGE_ECONOMY</x:v>
      </x:c>
      <x:c r="H24" s="65" t="str">
        <x:v>关卡结算按本关；日常任务按最高解锁关卡取档</x:v>
      </x:c>
    </x:row>
    <x:row r="25" ht="44" customHeight="1">
      <x:c r="A25" s="62" t="str">
        <x:v>matMin3</x:v>
      </x:c>
      <x:c r="B25" s="65" t="str">
        <x:v>精英阶段起始关卡</x:v>
      </x:c>
      <x:c r="C25" s="88" t="n">
        <x:v>71</x:v>
      </x:c>
      <x:c r="D25" s="89" t="n">
        <x:v>71</x:v>
      </x:c>
      <x:c r="E25" s="66" t="n">
        <x:f>IF('使用说明'!$B$4=0,C25,D25)</x:f>
        <x:v>71</x:v>
      </x:c>
      <x:c r="F25" s="65" t="str">
        <x:v>关</x:v>
      </x:c>
      <x:c r="G25" s="65" t="str">
        <x:v>app.js:217 · FORGE_ECONOMY</x:v>
      </x:c>
      <x:c r="H25" s="65" t="str">
        <x:v>必须严格递增；末档开放至无限关</x:v>
      </x:c>
    </x:row>
    <x:row r="26" ht="44" customHeight="1">
      <x:c r="A26" s="62" t="str">
        <x:v>matenh3</x:v>
      </x:c>
      <x:c r="B26" s="65" t="str">
        <x:v>精英阶段·胜利强化石</x:v>
      </x:c>
      <x:c r="C26" s="88" t="n">
        <x:v>5</x:v>
      </x:c>
      <x:c r="D26" s="89" t="n">
        <x:v>5</x:v>
      </x:c>
      <x:c r="E26" s="66" t="n">
        <x:f>IF('使用说明'!$B$4=0,C26,D26)</x:f>
        <x:v>5</x:v>
      </x:c>
      <x:c r="F26" s="65" t="str">
        <x:v>个</x:v>
      </x:c>
      <x:c r="G26" s="65" t="str">
        <x:v>app.js:217 · FORGE_ECONOMY</x:v>
      </x:c>
      <x:c r="H26" s="65" t="str">
        <x:v>关卡结算按本关；日常任务按最高解锁关卡取档</x:v>
      </x:c>
    </x:row>
    <x:row r="27" ht="44" customHeight="1">
      <x:c r="A27" s="62" t="str">
        <x:v>matstar3</x:v>
      </x:c>
      <x:c r="B27" s="65" t="str">
        <x:v>精英阶段·胜利升星石</x:v>
      </x:c>
      <x:c r="C27" s="88" t="n">
        <x:v>2</x:v>
      </x:c>
      <x:c r="D27" s="89" t="n">
        <x:v>2</x:v>
      </x:c>
      <x:c r="E27" s="66" t="n">
        <x:f>IF('使用说明'!$B$4=0,C27,D27)</x:f>
        <x:v>2</x:v>
      </x:c>
      <x:c r="F27" s="65" t="str">
        <x:v>个</x:v>
      </x:c>
      <x:c r="G27" s="65" t="str">
        <x:v>app.js:217 · FORGE_ECONOMY</x:v>
      </x:c>
      <x:c r="H27" s="65" t="str">
        <x:v>关卡结算按本关；日常任务按最高解锁关卡取档</x:v>
      </x:c>
    </x:row>
    <x:row r="28" ht="44" customHeight="1">
      <x:c r="A28" s="62" t="str">
        <x:v>matplay3</x:v>
      </x:c>
      <x:c r="B28" s="65" t="str">
        <x:v>精英阶段·完成一局强化石</x:v>
      </x:c>
      <x:c r="C28" s="88" t="n">
        <x:v>7</x:v>
      </x:c>
      <x:c r="D28" s="89" t="n">
        <x:v>7</x:v>
      </x:c>
      <x:c r="E28" s="66" t="n">
        <x:f>IF('使用说明'!$B$4=0,C28,D28)</x:f>
        <x:v>7</x:v>
      </x:c>
      <x:c r="F28" s="65" t="str">
        <x:v>个</x:v>
      </x:c>
      <x:c r="G28" s="65" t="str">
        <x:v>app.js:217 · FORGE_ECONOMY</x:v>
      </x:c>
      <x:c r="H28" s="65" t="str">
        <x:v>关卡结算按本关；日常任务按最高解锁关卡取档</x:v>
      </x:c>
    </x:row>
    <x:row r="29" ht="44" customHeight="1">
      <x:c r="A29" s="62" t="str">
        <x:v>matclear3</x:v>
      </x:c>
      <x:c r="B29" s="65" t="str">
        <x:v>精英阶段·消除任务强化石</x:v>
      </x:c>
      <x:c r="C29" s="88" t="n">
        <x:v>10</x:v>
      </x:c>
      <x:c r="D29" s="89" t="n">
        <x:v>10</x:v>
      </x:c>
      <x:c r="E29" s="66" t="n">
        <x:f>IF('使用说明'!$B$4=0,C29,D29)</x:f>
        <x:v>10</x:v>
      </x:c>
      <x:c r="F29" s="65" t="str">
        <x:v>个</x:v>
      </x:c>
      <x:c r="G29" s="65" t="str">
        <x:v>app.js:217 · FORGE_ECONOMY</x:v>
      </x:c>
      <x:c r="H29" s="65" t="str">
        <x:v>关卡结算按本关；日常任务按最高解锁关卡取档</x:v>
      </x:c>
    </x:row>
    <x:row r="30" ht="44" customHeight="1">
      <x:c r="A30" s="62" t="str">
        <x:v>matkill3</x:v>
      </x:c>
      <x:c r="B30" s="65" t="str">
        <x:v>精英阶段·击杀任务升星石</x:v>
      </x:c>
      <x:c r="C30" s="88" t="n">
        <x:v>5</x:v>
      </x:c>
      <x:c r="D30" s="89" t="n">
        <x:v>5</x:v>
      </x:c>
      <x:c r="E30" s="66" t="n">
        <x:f>IF('使用说明'!$B$4=0,C30,D30)</x:f>
        <x:v>5</x:v>
      </x:c>
      <x:c r="F30" s="65" t="str">
        <x:v>个</x:v>
      </x:c>
      <x:c r="G30" s="65" t="str">
        <x:v>app.js:217 · FORGE_ECONOMY</x:v>
      </x:c>
      <x:c r="H30" s="65" t="str">
        <x:v>关卡结算按本关；日常任务按最高解锁关卡取档</x:v>
      </x:c>
    </x:row>
    <x:row r="31" ht="44" customHeight="1">
      <x:c r="A31" s="62" t="str">
        <x:v>matMin4</x:v>
      </x:c>
      <x:c r="B31" s="65" t="str">
        <x:v>传说阶段起始关卡</x:v>
      </x:c>
      <x:c r="C31" s="88" t="n">
        <x:v>121</x:v>
      </x:c>
      <x:c r="D31" s="89" t="n">
        <x:v>121</x:v>
      </x:c>
      <x:c r="E31" s="66" t="n">
        <x:f>IF('使用说明'!$B$4=0,C31,D31)</x:f>
        <x:v>121</x:v>
      </x:c>
      <x:c r="F31" s="65" t="str">
        <x:v>关</x:v>
      </x:c>
      <x:c r="G31" s="65" t="str">
        <x:v>app.js:217 · FORGE_ECONOMY</x:v>
      </x:c>
      <x:c r="H31" s="65" t="str">
        <x:v>必须严格递增；末档开放至无限关</x:v>
      </x:c>
    </x:row>
    <x:row r="32" ht="44" customHeight="1">
      <x:c r="A32" s="62" t="str">
        <x:v>matenh4</x:v>
      </x:c>
      <x:c r="B32" s="65" t="str">
        <x:v>传说阶段·胜利强化石</x:v>
      </x:c>
      <x:c r="C32" s="88" t="n">
        <x:v>6</x:v>
      </x:c>
      <x:c r="D32" s="89" t="n">
        <x:v>6</x:v>
      </x:c>
      <x:c r="E32" s="66" t="n">
        <x:f>IF('使用说明'!$B$4=0,C32,D32)</x:f>
        <x:v>6</x:v>
      </x:c>
      <x:c r="F32" s="65" t="str">
        <x:v>个</x:v>
      </x:c>
      <x:c r="G32" s="65" t="str">
        <x:v>app.js:217 · FORGE_ECONOMY</x:v>
      </x:c>
      <x:c r="H32" s="65" t="str">
        <x:v>关卡结算按本关；日常任务按最高解锁关卡取档</x:v>
      </x:c>
    </x:row>
    <x:row r="33" ht="44" customHeight="1">
      <x:c r="A33" s="62" t="str">
        <x:v>matstar4</x:v>
      </x:c>
      <x:c r="B33" s="65" t="str">
        <x:v>传说阶段·胜利升星石</x:v>
      </x:c>
      <x:c r="C33" s="88" t="n">
        <x:v>3</x:v>
      </x:c>
      <x:c r="D33" s="89" t="n">
        <x:v>3</x:v>
      </x:c>
      <x:c r="E33" s="66" t="n">
        <x:f>IF('使用说明'!$B$4=0,C33,D33)</x:f>
        <x:v>3</x:v>
      </x:c>
      <x:c r="F33" s="65" t="str">
        <x:v>个</x:v>
      </x:c>
      <x:c r="G33" s="65" t="str">
        <x:v>app.js:217 · FORGE_ECONOMY</x:v>
      </x:c>
      <x:c r="H33" s="65" t="str">
        <x:v>关卡结算按本关；日常任务按最高解锁关卡取档</x:v>
      </x:c>
    </x:row>
    <x:row r="34" ht="44" customHeight="1">
      <x:c r="A34" s="62" t="str">
        <x:v>matplay4</x:v>
      </x:c>
      <x:c r="B34" s="65" t="str">
        <x:v>传说阶段·完成一局强化石</x:v>
      </x:c>
      <x:c r="C34" s="88" t="n">
        <x:v>9</x:v>
      </x:c>
      <x:c r="D34" s="89" t="n">
        <x:v>9</x:v>
      </x:c>
      <x:c r="E34" s="66" t="n">
        <x:f>IF('使用说明'!$B$4=0,C34,D34)</x:f>
        <x:v>9</x:v>
      </x:c>
      <x:c r="F34" s="65" t="str">
        <x:v>个</x:v>
      </x:c>
      <x:c r="G34" s="65" t="str">
        <x:v>app.js:217 · FORGE_ECONOMY</x:v>
      </x:c>
      <x:c r="H34" s="65" t="str">
        <x:v>关卡结算按本关；日常任务按最高解锁关卡取档</x:v>
      </x:c>
    </x:row>
    <x:row r="35" ht="44" customHeight="1">
      <x:c r="A35" s="62" t="str">
        <x:v>matclear4</x:v>
      </x:c>
      <x:c r="B35" s="65" t="str">
        <x:v>传说阶段·消除任务强化石</x:v>
      </x:c>
      <x:c r="C35" s="88" t="n">
        <x:v>12</x:v>
      </x:c>
      <x:c r="D35" s="89" t="n">
        <x:v>12</x:v>
      </x:c>
      <x:c r="E35" s="66" t="n">
        <x:f>IF('使用说明'!$B$4=0,C35,D35)</x:f>
        <x:v>12</x:v>
      </x:c>
      <x:c r="F35" s="65" t="str">
        <x:v>个</x:v>
      </x:c>
      <x:c r="G35" s="65" t="str">
        <x:v>app.js:217 · FORGE_ECONOMY</x:v>
      </x:c>
      <x:c r="H35" s="65" t="str">
        <x:v>关卡结算按本关；日常任务按最高解锁关卡取档</x:v>
      </x:c>
    </x:row>
    <x:row r="36" ht="44" customHeight="1">
      <x:c r="A36" s="62" t="str">
        <x:v>matkill4</x:v>
      </x:c>
      <x:c r="B36" s="65" t="str">
        <x:v>传说阶段·击杀任务升星石</x:v>
      </x:c>
      <x:c r="C36" s="88" t="n">
        <x:v>6</x:v>
      </x:c>
      <x:c r="D36" s="89" t="n">
        <x:v>6</x:v>
      </x:c>
      <x:c r="E36" s="66" t="n">
        <x:f>IF('使用说明'!$B$4=0,C36,D36)</x:f>
        <x:v>6</x:v>
      </x:c>
      <x:c r="F36" s="65" t="str">
        <x:v>个</x:v>
      </x:c>
      <x:c r="G36" s="65" t="str">
        <x:v>app.js:217 · FORGE_ECONOMY</x:v>
      </x:c>
      <x:c r="H36" s="65" t="str">
        <x:v>关卡结算按本关；日常任务按最高解锁关卡取档</x:v>
      </x:c>
    </x:row>
  </x:sheetData>
  <x:mergeCells>
    <x:mergeCell ref="A1:H2"/>
    <x:mergeCell ref="A3:H3"/>
    <x:mergeCell ref="B4:D4"/>
  </x:mergeCells>
  <x:dataValidations count="1">
    <x:dataValidation type="decimal" operator="between" sqref="D7:D36">
      <x:formula1>0</x:formula1>
      <x:formula2>1000000000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B9C9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9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49" hidden="0" customWidth="1"/>
    <x:col min="8" max="8" width="58" hidden="0" customWidth="1"/>
  </x:cols>
  <x:sheetData>
    <x:row r="1" ht="23" customHeight="1">
      <x:c r="A1" s="59" t="str">
        <x:v>03｜商店与材料兑换</x:v>
      </x:c>
      <x:c r="B1" s="60"/>
      <x:c r="C1" s="60"/>
      <x:c r="D1" s="60"/>
      <x:c r="E1" s="60"/>
      <x:c r="F1" s="60"/>
      <x:c r="G1" s="60"/>
      <x:c r="H1" s="60"/>
    </x:row>
    <x:row r="2" ht="23" customHeight="1">
      <x:c r="A2" s="60"/>
      <x:c r="B2" s="60"/>
      <x:c r="C2" s="60"/>
      <x:c r="D2" s="60"/>
      <x:c r="E2" s="60"/>
      <x:c r="F2" s="60"/>
      <x:c r="G2" s="60"/>
      <x:c r="H2" s="60"/>
    </x:row>
    <x:row r="3" ht="44" customHeight="1">
      <x:c r="A3" s="61" t="str">
        <x:v>现有商店12个商品按固定汇率等比例扩包；打造缺料弹窗有另一套汇率。下方同时列出全部商品与两处入口差异。</x:v>
      </x:c>
      <x:c r="B3" s="61"/>
      <x:c r="C3" s="61"/>
      <x:c r="D3" s="61"/>
      <x:c r="E3" s="61"/>
      <x:c r="F3" s="61"/>
      <x:c r="G3" s="61"/>
      <x:c r="H3" s="61"/>
    </x:row>
    <x:row r="4" ht="23" customHeight="1">
      <x:c r="A4" s="62" t="str">
        <x:v>采用方案</x:v>
      </x:c>
      <x:c r="B4" s="62" t="str">
        <x:f>IF('使用说明'!$B$4=0,"工程当前","调优试算")</x:f>
        <x:v>工程当前</x:v>
      </x:c>
      <x:c r="C4" s="62"/>
      <x:c r="D4" s="62"/>
      <x:c r="E4" s="62"/>
      <x:c r="F4" s="62"/>
      <x:c r="G4" s="62"/>
      <x:c r="H4" s="62"/>
    </x:row>
    <x:row r="5" ht="23" customHeight="1">
      <x:c r="A5" s="62"/>
      <x:c r="B5" s="62"/>
      <x:c r="C5" s="62"/>
      <x:c r="D5" s="62"/>
      <x:c r="E5" s="62"/>
      <x:c r="F5" s="62"/>
      <x:c r="G5" s="62"/>
      <x:c r="H5" s="62"/>
    </x:row>
    <x:row r="6" ht="36" customHeight="1">
      <x:c r="A6" s="64" t="str">
        <x:v>参数标识</x:v>
      </x:c>
      <x:c r="B6" s="64" t="str">
        <x:v>参数名称</x:v>
      </x:c>
      <x:c r="C6" s="64" t="str">
        <x:v>工程当前值</x:v>
      </x:c>
      <x:c r="D6" s="64" t="str">
        <x:v>调优试算值</x:v>
      </x:c>
      <x:c r="E6" s="64" t="str">
        <x:v>本次采用值</x:v>
      </x:c>
      <x:c r="F6" s="64" t="str">
        <x:v>单位</x:v>
      </x:c>
      <x:c r="G6" s="64" t="str">
        <x:v>代码来源</x:v>
      </x:c>
      <x:c r="H6" s="64" t="str">
        <x:v>口径与建议</x:v>
      </x:c>
    </x:row>
    <x:row r="7" ht="44" customHeight="1">
      <x:c r="A7" s="62" t="str">
        <x:v>shopEnhAmount</x:v>
      </x:c>
      <x:c r="B7" s="65" t="str">
        <x:v>商店强化石兑换数量</x:v>
      </x:c>
      <x:c r="C7" s="88" t="n">
        <x:v>20</x:v>
      </x:c>
      <x:c r="D7" s="89" t="n">
        <x:v>20</x:v>
      </x:c>
      <x:c r="E7" s="66" t="n">
        <x:f>IF('使用说明'!$B$4=0,C7,D7)</x:f>
        <x:v>20</x:v>
      </x:c>
      <x:c r="F7" s="65" t="str">
        <x:v>个</x:v>
      </x:c>
      <x:c r="G7" s="65" t="str">
        <x:v>app.js:5278 · showShop</x:v>
      </x:c>
      <x:c r="H7" s="65" t="str">
        <x:v>统一单价；商店其余档位按此比例倍增，无次数限制</x:v>
      </x:c>
    </x:row>
    <x:row r="8" ht="44" customHeight="1">
      <x:c r="A8" s="62" t="str">
        <x:v>shopEnhPrice</x:v>
      </x:c>
      <x:c r="B8" s="65" t="str">
        <x:v>商店强化石兑换元宝</x:v>
      </x:c>
      <x:c r="C8" s="88" t="n">
        <x:v>10</x:v>
      </x:c>
      <x:c r="D8" s="89" t="n">
        <x:v>10</x:v>
      </x:c>
      <x:c r="E8" s="66" t="n">
        <x:f>IF('使用说明'!$B$4=0,C8,D8)</x:f>
        <x:v>10</x:v>
      </x:c>
      <x:c r="F8" s="65" t="str">
        <x:v>元宝</x:v>
      </x:c>
      <x:c r="G8" s="65" t="str">
        <x:v>app.js:5278 · showShop</x:v>
      </x:c>
      <x:c r="H8" s="65" t="str">
        <x:v>与其他入口保持一致；候选同时校准两处入口</x:v>
      </x:c>
    </x:row>
    <x:row r="9" ht="44" customHeight="1">
      <x:c r="A9" s="62" t="str">
        <x:v>shopStarAmount</x:v>
      </x:c>
      <x:c r="B9" s="65" t="str">
        <x:v>商店升星石兑换数量</x:v>
      </x:c>
      <x:c r="C9" s="88" t="n">
        <x:v>2</x:v>
      </x:c>
      <x:c r="D9" s="89" t="n">
        <x:v>2</x:v>
      </x:c>
      <x:c r="E9" s="66" t="n">
        <x:f>IF('使用说明'!$B$4=0,C9,D9)</x:f>
        <x:v>2</x:v>
      </x:c>
      <x:c r="F9" s="65" t="str">
        <x:v>个</x:v>
      </x:c>
      <x:c r="G9" s="65" t="str">
        <x:v>app.js:5278 · showShop</x:v>
      </x:c>
      <x:c r="H9" s="65" t="str">
        <x:v>统一单价；商店其余档位按此比例倍增，无次数限制</x:v>
      </x:c>
    </x:row>
    <x:row r="10" ht="44" customHeight="1">
      <x:c r="A10" s="62" t="str">
        <x:v>shopStarPrice</x:v>
      </x:c>
      <x:c r="B10" s="65" t="str">
        <x:v>商店升星石兑换元宝</x:v>
      </x:c>
      <x:c r="C10" s="88" t="n">
        <x:v>10</x:v>
      </x:c>
      <x:c r="D10" s="89" t="n">
        <x:v>10</x:v>
      </x:c>
      <x:c r="E10" s="66" t="n">
        <x:f>IF('使用说明'!$B$4=0,C10,D10)</x:f>
        <x:v>10</x:v>
      </x:c>
      <x:c r="F10" s="65" t="str">
        <x:v>元宝</x:v>
      </x:c>
      <x:c r="G10" s="65" t="str">
        <x:v>app.js:5278 · showShop</x:v>
      </x:c>
      <x:c r="H10" s="65" t="str">
        <x:v>与其他入口保持一致；候选同时校准两处入口</x:v>
      </x:c>
    </x:row>
    <x:row r="11" ht="44" customHeight="1">
      <x:c r="A11" s="62" t="str">
        <x:v>shopGoldAmount</x:v>
      </x:c>
      <x:c r="B11" s="65" t="str">
        <x:v>商店金币兑换数量</x:v>
      </x:c>
      <x:c r="C11" s="88" t="n">
        <x:v>500</x:v>
      </x:c>
      <x:c r="D11" s="89" t="n">
        <x:v>500</x:v>
      </x:c>
      <x:c r="E11" s="66" t="n">
        <x:f>IF('使用说明'!$B$4=0,C11,D11)</x:f>
        <x:v>500</x:v>
      </x:c>
      <x:c r="F11" s="65" t="str">
        <x:v>金币</x:v>
      </x:c>
      <x:c r="G11" s="65" t="str">
        <x:v>app.js:5278 · showShop</x:v>
      </x:c>
      <x:c r="H11" s="65" t="str">
        <x:v>统一单价；商店其余档位按此比例倍增，无次数限制</x:v>
      </x:c>
    </x:row>
    <x:row r="12" ht="44" customHeight="1">
      <x:c r="A12" s="62" t="str">
        <x:v>shopGoldPrice</x:v>
      </x:c>
      <x:c r="B12" s="65" t="str">
        <x:v>商店金币兑换元宝</x:v>
      </x:c>
      <x:c r="C12" s="88" t="n">
        <x:v>1</x:v>
      </x:c>
      <x:c r="D12" s="89" t="n">
        <x:v>1</x:v>
      </x:c>
      <x:c r="E12" s="66" t="n">
        <x:f>IF('使用说明'!$B$4=0,C12,D12)</x:f>
        <x:v>1</x:v>
      </x:c>
      <x:c r="F12" s="65" t="str">
        <x:v>元宝</x:v>
      </x:c>
      <x:c r="G12" s="65" t="str">
        <x:v>app.js:5278 · showShop</x:v>
      </x:c>
      <x:c r="H12" s="65" t="str">
        <x:v>与其他入口保持一致；候选同时校准两处入口</x:v>
      </x:c>
    </x:row>
    <x:row r="13" ht="44" customHeight="1">
      <x:c r="A13" s="62" t="str">
        <x:v>forgeEnhAmount</x:v>
      </x:c>
      <x:c r="B13" s="65" t="str">
        <x:v>打造弹窗强化石兑换数量</x:v>
      </x:c>
      <x:c r="C13" s="88" t="n">
        <x:v>40</x:v>
      </x:c>
      <x:c r="D13" s="89" t="n">
        <x:v>40</x:v>
      </x:c>
      <x:c r="E13" s="66" t="n">
        <x:f>IF('使用说明'!$B$4=0,C13,D13)</x:f>
        <x:v>40</x:v>
      </x:c>
      <x:c r="F13" s="65" t="str">
        <x:v>个</x:v>
      </x:c>
      <x:c r="G13" s="65" t="str">
        <x:v>app.js:217 · FORGE_ECONOMY</x:v>
      </x:c>
      <x:c r="H13" s="65" t="str">
        <x:v>统一单价；商店其余档位按此比例倍增，无次数限制</x:v>
      </x:c>
    </x:row>
    <x:row r="14" ht="44" customHeight="1">
      <x:c r="A14" s="62" t="str">
        <x:v>forgeEnhPrice</x:v>
      </x:c>
      <x:c r="B14" s="65" t="str">
        <x:v>打造弹窗强化石兑换元宝</x:v>
      </x:c>
      <x:c r="C14" s="88" t="n">
        <x:v>20</x:v>
      </x:c>
      <x:c r="D14" s="89" t="n">
        <x:v>20</x:v>
      </x:c>
      <x:c r="E14" s="66" t="n">
        <x:f>IF('使用说明'!$B$4=0,C14,D14)</x:f>
        <x:v>20</x:v>
      </x:c>
      <x:c r="F14" s="65" t="str">
        <x:v>元宝</x:v>
      </x:c>
      <x:c r="G14" s="65" t="str">
        <x:v>app.js:217 · FORGE_ECONOMY</x:v>
      </x:c>
      <x:c r="H14" s="65" t="str">
        <x:v>与其他入口保持一致；候选同时校准两处入口</x:v>
      </x:c>
    </x:row>
    <x:row r="15" ht="44" customHeight="1">
      <x:c r="A15" s="62" t="str">
        <x:v>forgeStarAmount</x:v>
      </x:c>
      <x:c r="B15" s="65" t="str">
        <x:v>打造弹窗升星石兑换数量</x:v>
      </x:c>
      <x:c r="C15" s="88" t="n">
        <x:v>4</x:v>
      </x:c>
      <x:c r="D15" s="89" t="n">
        <x:v>4</x:v>
      </x:c>
      <x:c r="E15" s="66" t="n">
        <x:f>IF('使用说明'!$B$4=0,C15,D15)</x:f>
        <x:v>4</x:v>
      </x:c>
      <x:c r="F15" s="65" t="str">
        <x:v>个</x:v>
      </x:c>
      <x:c r="G15" s="65" t="str">
        <x:v>app.js:217 · FORGE_ECONOMY</x:v>
      </x:c>
      <x:c r="H15" s="65" t="str">
        <x:v>统一单价；商店其余档位按此比例倍增，无次数限制</x:v>
      </x:c>
    </x:row>
    <x:row r="16" ht="44" customHeight="1">
      <x:c r="A16" s="62" t="str">
        <x:v>forgeStarPrice</x:v>
      </x:c>
      <x:c r="B16" s="65" t="str">
        <x:v>打造弹窗升星石兑换元宝</x:v>
      </x:c>
      <x:c r="C16" s="88" t="n">
        <x:v>20</x:v>
      </x:c>
      <x:c r="D16" s="89" t="n">
        <x:v>20</x:v>
      </x:c>
      <x:c r="E16" s="66" t="n">
        <x:f>IF('使用说明'!$B$4=0,C16,D16)</x:f>
        <x:v>20</x:v>
      </x:c>
      <x:c r="F16" s="65" t="str">
        <x:v>元宝</x:v>
      </x:c>
      <x:c r="G16" s="65" t="str">
        <x:v>app.js:217 · FORGE_ECONOMY</x:v>
      </x:c>
      <x:c r="H16" s="65" t="str">
        <x:v>与其他入口保持一致；候选同时校准两处入口</x:v>
      </x:c>
    </x:row>
    <x:row r="17">
      <x:c r="A17" s="97"/>
      <x:c r="B17" s="97"/>
      <x:c r="C17" s="97"/>
      <x:c r="D17" s="97"/>
      <x:c r="E17" s="97"/>
      <x:c r="F17" s="97"/>
      <x:c r="G17" s="97"/>
      <x:c r="H17" s="97"/>
    </x:row>
    <x:row r="18">
      <x:c r="A18" s="97"/>
      <x:c r="B18" s="97"/>
      <x:c r="C18" s="97"/>
      <x:c r="D18" s="97"/>
      <x:c r="E18" s="97"/>
      <x:c r="F18" s="97"/>
      <x:c r="G18" s="97"/>
      <x:c r="H18" s="97"/>
    </x:row>
    <x:row r="19">
      <x:c r="A19" s="97"/>
      <x:c r="B19" s="97"/>
      <x:c r="C19" s="97"/>
      <x:c r="D19" s="97"/>
      <x:c r="E19" s="97"/>
      <x:c r="F19" s="97"/>
      <x:c r="G19" s="97"/>
      <x:c r="H19" s="97"/>
    </x:row>
    <x:row r="20" ht="36" customHeight="1">
      <x:c r="A20" s="98" t="str">
        <x:v>入口</x:v>
      </x:c>
      <x:c r="B20" s="98" t="str">
        <x:v>道具</x:v>
      </x:c>
      <x:c r="C20" s="98" t="str">
        <x:v>档位倍数</x:v>
      </x:c>
      <x:c r="D20" s="98" t="str">
        <x:v>采用数量</x:v>
      </x:c>
      <x:c r="E20" s="98" t="str">
        <x:v>元宝消耗</x:v>
      </x:c>
      <x:c r="F20" s="98" t="str">
        <x:v>每元宝获得</x:v>
      </x:c>
      <x:c r="G20" s="98" t="str">
        <x:v>当前配置原价</x:v>
      </x:c>
      <x:c r="H20" s="98" t="str">
        <x:v>说明</x:v>
      </x:c>
    </x:row>
    <x:row r="21">
      <x:c r="A21" s="97" t="str">
        <x:v>边塞商店</x:v>
      </x:c>
      <x:c r="B21" s="97" t="str">
        <x:v>强化石</x:v>
      </x:c>
      <x:c r="C21" s="97" t="n">
        <x:v>1</x:v>
      </x:c>
      <x:c r="D21" s="97" t="n">
        <x:f>'商店与兑换'!$E$7*C21</x:f>
        <x:v>20</x:v>
      </x:c>
      <x:c r="E21" s="97" t="n">
        <x:f>'商店与兑换'!$E$8*C21</x:f>
        <x:v>10</x:v>
      </x:c>
      <x:c r="F21" s="97" t="n">
        <x:f>IFERROR(D21/E21,0)</x:f>
        <x:v>2</x:v>
      </x:c>
      <x:c r="G21" s="97" t="n">
        <x:f>'商店与兑换'!$C$8*C21</x:f>
        <x:v>10</x:v>
      </x:c>
      <x:c r="H21" s="97" t="str">
        <x:v>无限次；元宝足够即可兑换</x:v>
      </x:c>
    </x:row>
    <x:row r="22">
      <x:c r="A22" s="97" t="str">
        <x:v>边塞商店</x:v>
      </x:c>
      <x:c r="B22" s="97" t="str">
        <x:v>强化石</x:v>
      </x:c>
      <x:c r="C22" s="97" t="n">
        <x:v>5</x:v>
      </x:c>
      <x:c r="D22" s="97" t="n">
        <x:f>'商店与兑换'!$E$7*C22</x:f>
        <x:v>100</x:v>
      </x:c>
      <x:c r="E22" s="97" t="n">
        <x:f>'商店与兑换'!$E$8*C22</x:f>
        <x:v>50</x:v>
      </x:c>
      <x:c r="F22" s="97" t="n">
        <x:f>IFERROR(D22/E22,0)</x:f>
        <x:v>2</x:v>
      </x:c>
      <x:c r="G22" s="97" t="n">
        <x:f>'商店与兑换'!$C$8*C22</x:f>
        <x:v>50</x:v>
      </x:c>
      <x:c r="H22" s="97" t="str">
        <x:v>无限次；元宝足够即可兑换</x:v>
      </x:c>
    </x:row>
    <x:row r="23">
      <x:c r="A23" s="97" t="str">
        <x:v>边塞商店</x:v>
      </x:c>
      <x:c r="B23" s="97" t="str">
        <x:v>强化石</x:v>
      </x:c>
      <x:c r="C23" s="97" t="n">
        <x:v>20</x:v>
      </x:c>
      <x:c r="D23" s="97" t="n">
        <x:f>'商店与兑换'!$E$7*C23</x:f>
        <x:v>400</x:v>
      </x:c>
      <x:c r="E23" s="97" t="n">
        <x:f>'商店与兑换'!$E$8*C23</x:f>
        <x:v>200</x:v>
      </x:c>
      <x:c r="F23" s="97" t="n">
        <x:f>IFERROR(D23/E23,0)</x:f>
        <x:v>2</x:v>
      </x:c>
      <x:c r="G23" s="97" t="n">
        <x:f>'商店与兑换'!$C$8*C23</x:f>
        <x:v>200</x:v>
      </x:c>
      <x:c r="H23" s="97" t="str">
        <x:v>无限次；元宝足够即可兑换</x:v>
      </x:c>
    </x:row>
    <x:row r="24">
      <x:c r="A24" s="97" t="str">
        <x:v>边塞商店</x:v>
      </x:c>
      <x:c r="B24" s="97" t="str">
        <x:v>强化石</x:v>
      </x:c>
      <x:c r="C24" s="97" t="n">
        <x:v>50</x:v>
      </x:c>
      <x:c r="D24" s="97" t="n">
        <x:f>'商店与兑换'!$E$7*C24</x:f>
        <x:v>1000</x:v>
      </x:c>
      <x:c r="E24" s="97" t="n">
        <x:f>'商店与兑换'!$E$8*C24</x:f>
        <x:v>500</x:v>
      </x:c>
      <x:c r="F24" s="97" t="n">
        <x:f>IFERROR(D24/E24,0)</x:f>
        <x:v>2</x:v>
      </x:c>
      <x:c r="G24" s="97" t="n">
        <x:f>'商店与兑换'!$C$8*C24</x:f>
        <x:v>500</x:v>
      </x:c>
      <x:c r="H24" s="97" t="str">
        <x:v>无限次；元宝足够即可兑换</x:v>
      </x:c>
    </x:row>
    <x:row r="25">
      <x:c r="A25" s="97" t="str">
        <x:v>边塞商店</x:v>
      </x:c>
      <x:c r="B25" s="97" t="str">
        <x:v>升星石</x:v>
      </x:c>
      <x:c r="C25" s="97" t="n">
        <x:v>1</x:v>
      </x:c>
      <x:c r="D25" s="97" t="n">
        <x:f>'商店与兑换'!$E$9*C25</x:f>
        <x:v>2</x:v>
      </x:c>
      <x:c r="E25" s="97" t="n">
        <x:f>'商店与兑换'!$E$10*C25</x:f>
        <x:v>10</x:v>
      </x:c>
      <x:c r="F25" s="97" t="n">
        <x:f>IFERROR(D25/E25,0)</x:f>
        <x:v>0.2</x:v>
      </x:c>
      <x:c r="G25" s="97" t="n">
        <x:f>'商店与兑换'!$C$10*C25</x:f>
        <x:v>10</x:v>
      </x:c>
      <x:c r="H25" s="97" t="str">
        <x:v>无限次；元宝足够即可兑换</x:v>
      </x:c>
    </x:row>
    <x:row r="26">
      <x:c r="A26" s="97" t="str">
        <x:v>边塞商店</x:v>
      </x:c>
      <x:c r="B26" s="97" t="str">
        <x:v>升星石</x:v>
      </x:c>
      <x:c r="C26" s="97" t="n">
        <x:v>5</x:v>
      </x:c>
      <x:c r="D26" s="97" t="n">
        <x:f>'商店与兑换'!$E$9*C26</x:f>
        <x:v>10</x:v>
      </x:c>
      <x:c r="E26" s="97" t="n">
        <x:f>'商店与兑换'!$E$10*C26</x:f>
        <x:v>50</x:v>
      </x:c>
      <x:c r="F26" s="97" t="n">
        <x:f>IFERROR(D26/E26,0)</x:f>
        <x:v>0.2</x:v>
      </x:c>
      <x:c r="G26" s="97" t="n">
        <x:f>'商店与兑换'!$C$10*C26</x:f>
        <x:v>50</x:v>
      </x:c>
      <x:c r="H26" s="97" t="str">
        <x:v>无限次；元宝足够即可兑换</x:v>
      </x:c>
    </x:row>
    <x:row r="27">
      <x:c r="A27" s="97" t="str">
        <x:v>边塞商店</x:v>
      </x:c>
      <x:c r="B27" s="97" t="str">
        <x:v>升星石</x:v>
      </x:c>
      <x:c r="C27" s="97" t="n">
        <x:v>20</x:v>
      </x:c>
      <x:c r="D27" s="97" t="n">
        <x:f>'商店与兑换'!$E$9*C27</x:f>
        <x:v>40</x:v>
      </x:c>
      <x:c r="E27" s="97" t="n">
        <x:f>'商店与兑换'!$E$10*C27</x:f>
        <x:v>200</x:v>
      </x:c>
      <x:c r="F27" s="97" t="n">
        <x:f>IFERROR(D27/E27,0)</x:f>
        <x:v>0.2</x:v>
      </x:c>
      <x:c r="G27" s="97" t="n">
        <x:f>'商店与兑换'!$C$10*C27</x:f>
        <x:v>200</x:v>
      </x:c>
      <x:c r="H27" s="97" t="str">
        <x:v>无限次；元宝足够即可兑换</x:v>
      </x:c>
    </x:row>
    <x:row r="28">
      <x:c r="A28" s="97" t="str">
        <x:v>边塞商店</x:v>
      </x:c>
      <x:c r="B28" s="97" t="str">
        <x:v>升星石</x:v>
      </x:c>
      <x:c r="C28" s="97" t="n">
        <x:v>50</x:v>
      </x:c>
      <x:c r="D28" s="97" t="n">
        <x:f>'商店与兑换'!$E$9*C28</x:f>
        <x:v>100</x:v>
      </x:c>
      <x:c r="E28" s="97" t="n">
        <x:f>'商店与兑换'!$E$10*C28</x:f>
        <x:v>500</x:v>
      </x:c>
      <x:c r="F28" s="97" t="n">
        <x:f>IFERROR(D28/E28,0)</x:f>
        <x:v>0.2</x:v>
      </x:c>
      <x:c r="G28" s="97" t="n">
        <x:f>'商店与兑换'!$C$10*C28</x:f>
        <x:v>500</x:v>
      </x:c>
      <x:c r="H28" s="97" t="str">
        <x:v>无限次；元宝足够即可兑换</x:v>
      </x:c>
    </x:row>
    <x:row r="29">
      <x:c r="A29" s="97" t="str">
        <x:v>边塞商店</x:v>
      </x:c>
      <x:c r="B29" s="97" t="str">
        <x:v>金币</x:v>
      </x:c>
      <x:c r="C29" s="97" t="n">
        <x:v>1</x:v>
      </x:c>
      <x:c r="D29" s="97" t="n">
        <x:f>'商店与兑换'!$E$11*C29</x:f>
        <x:v>500</x:v>
      </x:c>
      <x:c r="E29" s="97" t="n">
        <x:f>'商店与兑换'!$E$12*C29</x:f>
        <x:v>1</x:v>
      </x:c>
      <x:c r="F29" s="97" t="n">
        <x:f>IFERROR(D29/E29,0)</x:f>
        <x:v>500</x:v>
      </x:c>
      <x:c r="G29" s="97" t="n">
        <x:f>'商店与兑换'!$C$12*C29</x:f>
        <x:v>1</x:v>
      </x:c>
      <x:c r="H29" s="97" t="str">
        <x:v>无限次；元宝足够即可兑换</x:v>
      </x:c>
    </x:row>
    <x:row r="30">
      <x:c r="A30" s="97" t="str">
        <x:v>边塞商店</x:v>
      </x:c>
      <x:c r="B30" s="97" t="str">
        <x:v>金币</x:v>
      </x:c>
      <x:c r="C30" s="97" t="n">
        <x:v>10</x:v>
      </x:c>
      <x:c r="D30" s="97" t="n">
        <x:f>'商店与兑换'!$E$11*C30</x:f>
        <x:v>5000</x:v>
      </x:c>
      <x:c r="E30" s="97" t="n">
        <x:f>'商店与兑换'!$E$12*C30</x:f>
        <x:v>10</x:v>
      </x:c>
      <x:c r="F30" s="97" t="n">
        <x:f>IFERROR(D30/E30,0)</x:f>
        <x:v>500</x:v>
      </x:c>
      <x:c r="G30" s="97" t="n">
        <x:f>'商店与兑换'!$C$12*C30</x:f>
        <x:v>10</x:v>
      </x:c>
      <x:c r="H30" s="97" t="str">
        <x:v>无限次；元宝足够即可兑换</x:v>
      </x:c>
    </x:row>
    <x:row r="31">
      <x:c r="A31" s="97" t="str">
        <x:v>边塞商店</x:v>
      </x:c>
      <x:c r="B31" s="97" t="str">
        <x:v>金币</x:v>
      </x:c>
      <x:c r="C31" s="97" t="n">
        <x:v>50</x:v>
      </x:c>
      <x:c r="D31" s="97" t="n">
        <x:f>'商店与兑换'!$E$11*C31</x:f>
        <x:v>25000</x:v>
      </x:c>
      <x:c r="E31" s="97" t="n">
        <x:f>'商店与兑换'!$E$12*C31</x:f>
        <x:v>50</x:v>
      </x:c>
      <x:c r="F31" s="97" t="n">
        <x:f>IFERROR(D31/E31,0)</x:f>
        <x:v>500</x:v>
      </x:c>
      <x:c r="G31" s="97" t="n">
        <x:f>'商店与兑换'!$C$12*C31</x:f>
        <x:v>50</x:v>
      </x:c>
      <x:c r="H31" s="97" t="str">
        <x:v>无限次；元宝足够即可兑换</x:v>
      </x:c>
    </x:row>
    <x:row r="32">
      <x:c r="A32" s="97" t="str">
        <x:v>边塞商店</x:v>
      </x:c>
      <x:c r="B32" s="97" t="str">
        <x:v>金币</x:v>
      </x:c>
      <x:c r="C32" s="97" t="n">
        <x:v>100</x:v>
      </x:c>
      <x:c r="D32" s="97" t="n">
        <x:f>'商店与兑换'!$E$11*C32</x:f>
        <x:v>50000</x:v>
      </x:c>
      <x:c r="E32" s="97" t="n">
        <x:f>'商店与兑换'!$E$12*C32</x:f>
        <x:v>100</x:v>
      </x:c>
      <x:c r="F32" s="97" t="n">
        <x:f>IFERROR(D32/E32,0)</x:f>
        <x:v>500</x:v>
      </x:c>
      <x:c r="G32" s="97" t="n">
        <x:f>'商店与兑换'!$C$12*C32</x:f>
        <x:v>100</x:v>
      </x:c>
      <x:c r="H32" s="97" t="str">
        <x:v>无限次；元宝足够即可兑换</x:v>
      </x:c>
    </x:row>
    <x:row r="33">
      <x:c r="A33" s="97" t="str">
        <x:v>打造缺料弹窗</x:v>
      </x:c>
      <x:c r="B33" s="97" t="str">
        <x:v>强化石</x:v>
      </x:c>
      <x:c r="C33" s="97" t="n">
        <x:v>1</x:v>
      </x:c>
      <x:c r="D33" s="97" t="n">
        <x:f>'商店与兑换'!$E$13*C33</x:f>
        <x:v>40</x:v>
      </x:c>
      <x:c r="E33" s="97" t="n">
        <x:f>'商店与兑换'!$E$14*C33</x:f>
        <x:v>20</x:v>
      </x:c>
      <x:c r="F33" s="97" t="n">
        <x:f>IFERROR(D33/E33,0)</x:f>
        <x:v>2</x:v>
      </x:c>
      <x:c r="G33" s="97" t="n">
        <x:f>'商店与兑换'!$C$14*C33</x:f>
        <x:v>20</x:v>
      </x:c>
      <x:c r="H33" s="97" t="str">
        <x:v>无限次；元宝足够即可兑换</x:v>
      </x:c>
    </x:row>
    <x:row r="34">
      <x:c r="A34" s="97" t="str">
        <x:v>打造缺料弹窗</x:v>
      </x:c>
      <x:c r="B34" s="97" t="str">
        <x:v>升星石</x:v>
      </x:c>
      <x:c r="C34" s="97" t="n">
        <x:v>1</x:v>
      </x:c>
      <x:c r="D34" s="97" t="n">
        <x:f>'商店与兑换'!$E$15*C34</x:f>
        <x:v>4</x:v>
      </x:c>
      <x:c r="E34" s="97" t="n">
        <x:f>'商店与兑换'!$E$16*C34</x:f>
        <x:v>20</x:v>
      </x:c>
      <x:c r="F34" s="97" t="n">
        <x:f>IFERROR(D34/E34,0)</x:f>
        <x:v>0.2</x:v>
      </x:c>
      <x:c r="G34" s="97" t="n">
        <x:f>'商店与兑换'!$C$16*C34</x:f>
        <x:v>20</x:v>
      </x:c>
      <x:c r="H34" s="97" t="str">
        <x:v>无限次；元宝足够即可兑换</x:v>
      </x:c>
    </x:row>
  </x:sheetData>
  <x:mergeCells>
    <x:mergeCell ref="A1:H2"/>
    <x:mergeCell ref="A3:H3"/>
    <x:mergeCell ref="B4:D4"/>
  </x:mergeCells>
  <x:dataValidations count="6">
    <x:dataValidation type="decimal" operator="between" sqref="D7:D16">
      <x:formula1>0</x:formula1>
      <x:formula2>1000000000</x:formula2>
    </x:dataValidation>
    <x:dataValidation type="decimal" operator="between" sqref="D8">
      <x:formula1>0.001</x:formula1>
      <x:formula2>100000</x:formula2>
    </x:dataValidation>
    <x:dataValidation type="decimal" operator="between" sqref="D10">
      <x:formula1>0.001</x:formula1>
      <x:formula2>100000</x:formula2>
    </x:dataValidation>
    <x:dataValidation type="decimal" operator="between" sqref="D12">
      <x:formula1>0.001</x:formula1>
      <x:formula2>100000</x:formula2>
    </x:dataValidation>
    <x:dataValidation type="decimal" operator="between" sqref="D14">
      <x:formula1>0.001</x:formula1>
      <x:formula2>100000</x:formula2>
    </x:dataValidation>
    <x:dataValidation type="decimal" operator="between" sqref="D16">
      <x:formula1>0.001</x:formula1>
      <x:formula2>100000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B9C9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9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49" hidden="0" customWidth="1"/>
    <x:col min="8" max="8" width="58" hidden="0" customWidth="1"/>
  </x:cols>
  <x:sheetData>
    <x:row r="1" ht="23" customHeight="1">
      <x:c r="A1" s="59" t="str">
        <x:v>04｜装备品质、合成与突破</x:v>
      </x:c>
      <x:c r="B1" s="60"/>
      <x:c r="C1" s="60"/>
      <x:c r="D1" s="60"/>
      <x:c r="E1" s="60"/>
      <x:c r="F1" s="60"/>
      <x:c r="G1" s="60"/>
      <x:c r="H1" s="60"/>
      <x:c r="I1" s="97"/>
    </x:row>
    <x:row r="2" ht="23" customHeight="1">
      <x:c r="A2" s="60"/>
      <x:c r="B2" s="60"/>
      <x:c r="C2" s="60"/>
      <x:c r="D2" s="60"/>
      <x:c r="E2" s="60"/>
      <x:c r="F2" s="60"/>
      <x:c r="G2" s="60"/>
      <x:c r="H2" s="60"/>
      <x:c r="I2" s="97"/>
    </x:row>
    <x:row r="3" ht="44" customHeight="1">
      <x:c r="A3" s="61" t="str">
        <x:v>三名武将共18部位；装备出售=round(10×品质系数)。全套突破只吸收装备基础属性，强化/升星仍保留在原槽位。</x:v>
      </x:c>
      <x:c r="B3" s="61"/>
      <x:c r="C3" s="61"/>
      <x:c r="D3" s="61"/>
      <x:c r="E3" s="61"/>
      <x:c r="F3" s="61"/>
      <x:c r="G3" s="61"/>
      <x:c r="H3" s="61"/>
      <x:c r="I3" s="97"/>
    </x:row>
    <x:row r="4" ht="23" customHeight="1">
      <x:c r="A4" s="62" t="str">
        <x:v>采用方案</x:v>
      </x:c>
      <x:c r="B4" s="62" t="str">
        <x:f>IF('使用说明'!$B$4=0,"工程当前","调优试算")</x:f>
        <x:v>工程当前</x:v>
      </x:c>
      <x:c r="C4" s="62"/>
      <x:c r="D4" s="62"/>
      <x:c r="E4" s="62"/>
      <x:c r="F4" s="62"/>
      <x:c r="G4" s="62"/>
      <x:c r="H4" s="62"/>
      <x:c r="I4" s="97"/>
    </x:row>
    <x:row r="5" ht="23" customHeight="1">
      <x:c r="A5" s="62"/>
      <x:c r="B5" s="62"/>
      <x:c r="C5" s="62"/>
      <x:c r="D5" s="62"/>
      <x:c r="E5" s="62"/>
      <x:c r="F5" s="62"/>
      <x:c r="G5" s="62"/>
      <x:c r="H5" s="62"/>
      <x:c r="I5" s="97"/>
    </x:row>
    <x:row r="6" ht="36" customHeight="1">
      <x:c r="A6" s="64" t="str">
        <x:v>参数标识</x:v>
      </x:c>
      <x:c r="B6" s="64" t="str">
        <x:v>参数名称</x:v>
      </x:c>
      <x:c r="C6" s="64" t="str">
        <x:v>工程当前值</x:v>
      </x:c>
      <x:c r="D6" s="64" t="str">
        <x:v>调优试算值</x:v>
      </x:c>
      <x:c r="E6" s="64" t="str">
        <x:v>本次采用值</x:v>
      </x:c>
      <x:c r="F6" s="64" t="str">
        <x:v>单位</x:v>
      </x:c>
      <x:c r="G6" s="64" t="str">
        <x:v>代码来源</x:v>
      </x:c>
      <x:c r="H6" s="64" t="str">
        <x:v>口径与建议</x:v>
      </x:c>
      <x:c r="I6" s="97"/>
    </x:row>
    <x:row r="7" ht="44" customHeight="1">
      <x:c r="A7" s="62" t="str">
        <x:v>qcoef1</x:v>
      </x:c>
      <x:c r="B7" s="65" t="str">
        <x:v>白色·粗制系数</x:v>
      </x:c>
      <x:c r="C7" s="88" t="n">
        <x:v>1</x:v>
      </x:c>
      <x:c r="D7" s="89" t="n">
        <x:v>1</x:v>
      </x:c>
      <x:c r="E7" s="66" t="n">
        <x:f>IF('使用说明'!$B$4=0,C7,D7)</x:f>
        <x:v>1</x:v>
      </x:c>
      <x:c r="F7" s="65" t="str">
        <x:v>倍</x:v>
      </x:c>
      <x:c r="G7" s="65" t="str">
        <x:v>app.js:138 · EQUIPMENT_QUALITY</x:v>
      </x:c>
      <x:c r="H7" s="65" t="str">
        <x:v>基础装备各项属性均按此系数round</x:v>
      </x:c>
      <x:c r="I7" s="97"/>
    </x:row>
    <x:row r="8" ht="44" customHeight="1">
      <x:c r="A8" s="62" t="str">
        <x:v>qsynthGold1</x:v>
      </x:c>
      <x:c r="B8" s="65" t="str">
        <x:v>白色5合1金币</x:v>
      </x:c>
      <x:c r="C8" s="88" t="n">
        <x:v>200</x:v>
      </x:c>
      <x:c r="D8" s="89" t="n">
        <x:v>200</x:v>
      </x:c>
      <x:c r="E8" s="66" t="n">
        <x:f>IF('使用说明'!$B$4=0,C8,D8)</x:f>
        <x:v>200</x:v>
      </x:c>
      <x:c r="F8" s="65" t="str">
        <x:v>金币/次</x:v>
      </x:c>
      <x:c r="G8" s="65" t="str">
        <x:v>app.js:172 · EQUIPMENT_SYNTHESIS_COSTS</x:v>
      </x:c>
      <x:c r="H8" s="65" t="str">
        <x:v>成功或失败均扣除</x:v>
      </x:c>
      <x:c r="I8" s="97"/>
    </x:row>
    <x:row r="9" ht="44" customHeight="1">
      <x:c r="A9" s="62" t="str">
        <x:v>qsynthRate1</x:v>
      </x:c>
      <x:c r="B9" s="65" t="str">
        <x:v>白色5合1成功率</x:v>
      </x:c>
      <x:c r="C9" s="90" t="n">
        <x:v>1</x:v>
      </x:c>
      <x:c r="D9" s="91" t="n">
        <x:v>1</x:v>
      </x:c>
      <x:c r="E9" s="92" t="n">
        <x:f>IF('使用说明'!$B$4=0,C9,D9)</x:f>
        <x:v>1</x:v>
      </x:c>
      <x:c r="F9" s="65" t="str">
        <x:v>概率</x:v>
      </x:c>
      <x:c r="G9" s="65" t="str">
        <x:v>app.js:173 · EQUIPMENT_SYNTHESIS_RATES</x:v>
      </x:c>
      <x:c r="H9" s="65" t="str">
        <x:v>成功产出高一级随机部位</x:v>
      </x:c>
      <x:c r="I9" s="97"/>
    </x:row>
    <x:row r="10" ht="44" customHeight="1">
      <x:c r="A10" s="62" t="str">
        <x:v>qbreak1</x:v>
      </x:c>
      <x:c r="B10" s="65" t="str">
        <x:v>白色满套突破</x:v>
      </x:c>
      <x:c r="C10" s="88" t="n">
        <x:v>100</x:v>
      </x:c>
      <x:c r="D10" s="89" t="n">
        <x:v>100</x:v>
      </x:c>
      <x:c r="E10" s="66" t="n">
        <x:f>IF('使用说明'!$B$4=0,C10,D10)</x:f>
        <x:v>100</x:v>
      </x:c>
      <x:c r="F10" s="65" t="str">
        <x:v>元宝</x:v>
      </x:c>
      <x:c r="G10" s="65" t="str">
        <x:v>app.js:171 · EQUIPMENT_BREAKTHROUGH_COSTS</x:v>
      </x:c>
      <x:c r="H10" s="65" t="str">
        <x:v>六件同品质已穿戴装备扣除，装备基础属性永久保留</x:v>
      </x:c>
      <x:c r="I10" s="97"/>
    </x:row>
    <x:row r="11" ht="44" customHeight="1">
      <x:c r="A11" s="62" t="str">
        <x:v>qcoef2</x:v>
      </x:c>
      <x:c r="B11" s="65" t="str">
        <x:v>绿色·精良系数</x:v>
      </x:c>
      <x:c r="C11" s="88" t="n">
        <x:v>1.25</x:v>
      </x:c>
      <x:c r="D11" s="89" t="n">
        <x:v>1.25</x:v>
      </x:c>
      <x:c r="E11" s="66" t="n">
        <x:f>IF('使用说明'!$B$4=0,C11,D11)</x:f>
        <x:v>1.25</x:v>
      </x:c>
      <x:c r="F11" s="65" t="str">
        <x:v>倍</x:v>
      </x:c>
      <x:c r="G11" s="65" t="str">
        <x:v>app.js:138 · EQUIPMENT_QUALITY</x:v>
      </x:c>
      <x:c r="H11" s="65" t="str">
        <x:v>基础装备各项属性均按此系数round</x:v>
      </x:c>
      <x:c r="I11" s="97"/>
    </x:row>
    <x:row r="12" ht="44" customHeight="1">
      <x:c r="A12" s="62" t="str">
        <x:v>qsynthGold2</x:v>
      </x:c>
      <x:c r="B12" s="65" t="str">
        <x:v>绿色5合1金币</x:v>
      </x:c>
      <x:c r="C12" s="88" t="n">
        <x:v>800</x:v>
      </x:c>
      <x:c r="D12" s="89" t="n">
        <x:v>800</x:v>
      </x:c>
      <x:c r="E12" s="66" t="n">
        <x:f>IF('使用说明'!$B$4=0,C12,D12)</x:f>
        <x:v>800</x:v>
      </x:c>
      <x:c r="F12" s="65" t="str">
        <x:v>金币/次</x:v>
      </x:c>
      <x:c r="G12" s="65" t="str">
        <x:v>app.js:172 · EQUIPMENT_SYNTHESIS_COSTS</x:v>
      </x:c>
      <x:c r="H12" s="65" t="str">
        <x:v>成功或失败均扣除</x:v>
      </x:c>
      <x:c r="I12" s="97"/>
    </x:row>
    <x:row r="13" ht="44" customHeight="1">
      <x:c r="A13" s="62" t="str">
        <x:v>qsynthRate2</x:v>
      </x:c>
      <x:c r="B13" s="65" t="str">
        <x:v>绿色5合1成功率</x:v>
      </x:c>
      <x:c r="C13" s="90" t="n">
        <x:v>0.95</x:v>
      </x:c>
      <x:c r="D13" s="91" t="n">
        <x:v>0.95</x:v>
      </x:c>
      <x:c r="E13" s="92" t="n">
        <x:f>IF('使用说明'!$B$4=0,C13,D13)</x:f>
        <x:v>0.95</x:v>
      </x:c>
      <x:c r="F13" s="65" t="str">
        <x:v>概率</x:v>
      </x:c>
      <x:c r="G13" s="65" t="str">
        <x:v>app.js:173 · EQUIPMENT_SYNTHESIS_RATES</x:v>
      </x:c>
      <x:c r="H13" s="65" t="str">
        <x:v>成功产出高一级随机部位</x:v>
      </x:c>
      <x:c r="I13" s="97"/>
    </x:row>
    <x:row r="14" ht="44" customHeight="1">
      <x:c r="A14" s="62" t="str">
        <x:v>qbreak2</x:v>
      </x:c>
      <x:c r="B14" s="65" t="str">
        <x:v>绿色满套突破</x:v>
      </x:c>
      <x:c r="C14" s="88" t="n">
        <x:v>250</x:v>
      </x:c>
      <x:c r="D14" s="89" t="n">
        <x:v>250</x:v>
      </x:c>
      <x:c r="E14" s="66" t="n">
        <x:f>IF('使用说明'!$B$4=0,C14,D14)</x:f>
        <x:v>250</x:v>
      </x:c>
      <x:c r="F14" s="65" t="str">
        <x:v>元宝</x:v>
      </x:c>
      <x:c r="G14" s="65" t="str">
        <x:v>app.js:171 · EQUIPMENT_BREAKTHROUGH_COSTS</x:v>
      </x:c>
      <x:c r="H14" s="65" t="str">
        <x:v>六件同品质已穿戴装备扣除，装备基础属性永久保留</x:v>
      </x:c>
      <x:c r="I14" s="97"/>
    </x:row>
    <x:row r="15" ht="44" customHeight="1">
      <x:c r="A15" s="62" t="str">
        <x:v>qcoef3</x:v>
      </x:c>
      <x:c r="B15" s="65" t="str">
        <x:v>蓝色·秘银系数</x:v>
      </x:c>
      <x:c r="C15" s="88" t="n">
        <x:v>1.55</x:v>
      </x:c>
      <x:c r="D15" s="89" t="n">
        <x:v>1.55</x:v>
      </x:c>
      <x:c r="E15" s="66" t="n">
        <x:f>IF('使用说明'!$B$4=0,C15,D15)</x:f>
        <x:v>1.55</x:v>
      </x:c>
      <x:c r="F15" s="65" t="str">
        <x:v>倍</x:v>
      </x:c>
      <x:c r="G15" s="65" t="str">
        <x:v>app.js:138 · EQUIPMENT_QUALITY</x:v>
      </x:c>
      <x:c r="H15" s="65" t="str">
        <x:v>基础装备各项属性均按此系数round</x:v>
      </x:c>
      <x:c r="I15" s="97"/>
    </x:row>
    <x:row r="16" ht="44" customHeight="1">
      <x:c r="A16" s="62" t="str">
        <x:v>qsynthGold3</x:v>
      </x:c>
      <x:c r="B16" s="65" t="str">
        <x:v>蓝色5合1金币</x:v>
      </x:c>
      <x:c r="C16" s="88" t="n">
        <x:v>3000</x:v>
      </x:c>
      <x:c r="D16" s="89" t="n">
        <x:v>3000</x:v>
      </x:c>
      <x:c r="E16" s="66" t="n">
        <x:f>IF('使用说明'!$B$4=0,C16,D16)</x:f>
        <x:v>3000</x:v>
      </x:c>
      <x:c r="F16" s="65" t="str">
        <x:v>金币/次</x:v>
      </x:c>
      <x:c r="G16" s="65" t="str">
        <x:v>app.js:172 · EQUIPMENT_SYNTHESIS_COSTS</x:v>
      </x:c>
      <x:c r="H16" s="65" t="str">
        <x:v>成功或失败均扣除</x:v>
      </x:c>
      <x:c r="I16" s="97"/>
    </x:row>
    <x:row r="17" ht="44" customHeight="1">
      <x:c r="A17" s="62" t="str">
        <x:v>qsynthRate3</x:v>
      </x:c>
      <x:c r="B17" s="65" t="str">
        <x:v>蓝色5合1成功率</x:v>
      </x:c>
      <x:c r="C17" s="90" t="n">
        <x:v>0.85</x:v>
      </x:c>
      <x:c r="D17" s="91" t="n">
        <x:v>0.85</x:v>
      </x:c>
      <x:c r="E17" s="92" t="n">
        <x:f>IF('使用说明'!$B$4=0,C17,D17)</x:f>
        <x:v>0.85</x:v>
      </x:c>
      <x:c r="F17" s="65" t="str">
        <x:v>概率</x:v>
      </x:c>
      <x:c r="G17" s="65" t="str">
        <x:v>app.js:173 · EQUIPMENT_SYNTHESIS_RATES</x:v>
      </x:c>
      <x:c r="H17" s="65" t="str">
        <x:v>成功产出高一级随机部位</x:v>
      </x:c>
      <x:c r="I17" s="97"/>
    </x:row>
    <x:row r="18" ht="44" customHeight="1">
      <x:c r="A18" s="62" t="str">
        <x:v>qbreak3</x:v>
      </x:c>
      <x:c r="B18" s="65" t="str">
        <x:v>蓝色满套突破</x:v>
      </x:c>
      <x:c r="C18" s="88" t="n">
        <x:v>500</x:v>
      </x:c>
      <x:c r="D18" s="89" t="n">
        <x:v>500</x:v>
      </x:c>
      <x:c r="E18" s="66" t="n">
        <x:f>IF('使用说明'!$B$4=0,C18,D18)</x:f>
        <x:v>500</x:v>
      </x:c>
      <x:c r="F18" s="65" t="str">
        <x:v>元宝</x:v>
      </x:c>
      <x:c r="G18" s="65" t="str">
        <x:v>app.js:171 · EQUIPMENT_BREAKTHROUGH_COSTS</x:v>
      </x:c>
      <x:c r="H18" s="65" t="str">
        <x:v>六件同品质已穿戴装备扣除，装备基础属性永久保留</x:v>
      </x:c>
      <x:c r="I18" s="97"/>
    </x:row>
    <x:row r="19" ht="44" customHeight="1">
      <x:c r="A19" s="62" t="str">
        <x:v>qcoef4</x:v>
      </x:c>
      <x:c r="B19" s="65" t="str">
        <x:v>紫色·星辉系数</x:v>
      </x:c>
      <x:c r="C19" s="88" t="n">
        <x:v>1.95</x:v>
      </x:c>
      <x:c r="D19" s="89" t="n">
        <x:v>1.95</x:v>
      </x:c>
      <x:c r="E19" s="66" t="n">
        <x:f>IF('使用说明'!$B$4=0,C19,D19)</x:f>
        <x:v>1.95</x:v>
      </x:c>
      <x:c r="F19" s="65" t="str">
        <x:v>倍</x:v>
      </x:c>
      <x:c r="G19" s="65" t="str">
        <x:v>app.js:138 · EQUIPMENT_QUALITY</x:v>
      </x:c>
      <x:c r="H19" s="65" t="str">
        <x:v>基础装备各项属性均按此系数round</x:v>
      </x:c>
      <x:c r="I19" s="97"/>
    </x:row>
    <x:row r="20" ht="44" customHeight="1">
      <x:c r="A20" s="62" t="str">
        <x:v>qsynthGold4</x:v>
      </x:c>
      <x:c r="B20" s="65" t="str">
        <x:v>紫色5合1金币</x:v>
      </x:c>
      <x:c r="C20" s="88" t="n">
        <x:v>12000</x:v>
      </x:c>
      <x:c r="D20" s="89" t="n">
        <x:v>12000</x:v>
      </x:c>
      <x:c r="E20" s="66" t="n">
        <x:f>IF('使用说明'!$B$4=0,C20,D20)</x:f>
        <x:v>12000</x:v>
      </x:c>
      <x:c r="F20" s="65" t="str">
        <x:v>金币/次</x:v>
      </x:c>
      <x:c r="G20" s="65" t="str">
        <x:v>app.js:172 · EQUIPMENT_SYNTHESIS_COSTS</x:v>
      </x:c>
      <x:c r="H20" s="65" t="str">
        <x:v>成功或失败均扣除</x:v>
      </x:c>
      <x:c r="I20" s="97"/>
    </x:row>
    <x:row r="21" ht="44" customHeight="1">
      <x:c r="A21" s="62" t="str">
        <x:v>qsynthRate4</x:v>
      </x:c>
      <x:c r="B21" s="65" t="str">
        <x:v>紫色5合1成功率</x:v>
      </x:c>
      <x:c r="C21" s="90" t="n">
        <x:v>0.72</x:v>
      </x:c>
      <x:c r="D21" s="91" t="n">
        <x:v>0.72</x:v>
      </x:c>
      <x:c r="E21" s="92" t="n">
        <x:f>IF('使用说明'!$B$4=0,C21,D21)</x:f>
        <x:v>0.72</x:v>
      </x:c>
      <x:c r="F21" s="65" t="str">
        <x:v>概率</x:v>
      </x:c>
      <x:c r="G21" s="65" t="str">
        <x:v>app.js:173 · EQUIPMENT_SYNTHESIS_RATES</x:v>
      </x:c>
      <x:c r="H21" s="65" t="str">
        <x:v>成功产出高一级随机部位</x:v>
      </x:c>
      <x:c r="I21" s="97"/>
    </x:row>
    <x:row r="22" ht="44" customHeight="1">
      <x:c r="A22" s="62" t="str">
        <x:v>qbreak4</x:v>
      </x:c>
      <x:c r="B22" s="65" t="str">
        <x:v>紫色满套突破</x:v>
      </x:c>
      <x:c r="C22" s="88" t="n">
        <x:v>900</x:v>
      </x:c>
      <x:c r="D22" s="89" t="n">
        <x:v>900</x:v>
      </x:c>
      <x:c r="E22" s="66" t="n">
        <x:f>IF('使用说明'!$B$4=0,C22,D22)</x:f>
        <x:v>900</x:v>
      </x:c>
      <x:c r="F22" s="65" t="str">
        <x:v>元宝</x:v>
      </x:c>
      <x:c r="G22" s="65" t="str">
        <x:v>app.js:171 · EQUIPMENT_BREAKTHROUGH_COSTS</x:v>
      </x:c>
      <x:c r="H22" s="65" t="str">
        <x:v>六件同品质已穿戴装备扣除，装备基础属性永久保留</x:v>
      </x:c>
      <x:c r="I22" s="97"/>
    </x:row>
    <x:row r="23" ht="44" customHeight="1">
      <x:c r="A23" s="62" t="str">
        <x:v>qcoef5</x:v>
      </x:c>
      <x:c r="B23" s="65" t="str">
        <x:v>橙色·龙魂系数</x:v>
      </x:c>
      <x:c r="C23" s="88" t="n">
        <x:v>2.5</x:v>
      </x:c>
      <x:c r="D23" s="89" t="n">
        <x:v>2.5</x:v>
      </x:c>
      <x:c r="E23" s="66" t="n">
        <x:f>IF('使用说明'!$B$4=0,C23,D23)</x:f>
        <x:v>2.5</x:v>
      </x:c>
      <x:c r="F23" s="65" t="str">
        <x:v>倍</x:v>
      </x:c>
      <x:c r="G23" s="65" t="str">
        <x:v>app.js:138 · EQUIPMENT_QUALITY</x:v>
      </x:c>
      <x:c r="H23" s="65" t="str">
        <x:v>基础装备各项属性均按此系数round</x:v>
      </x:c>
      <x:c r="I23" s="97"/>
    </x:row>
    <x:row r="24" ht="44" customHeight="1">
      <x:c r="A24" s="62" t="str">
        <x:v>qsynthGold5</x:v>
      </x:c>
      <x:c r="B24" s="65" t="str">
        <x:v>橙色5合1金币</x:v>
      </x:c>
      <x:c r="C24" s="88" t="n">
        <x:v>48000</x:v>
      </x:c>
      <x:c r="D24" s="89" t="n">
        <x:v>48000</x:v>
      </x:c>
      <x:c r="E24" s="66" t="n">
        <x:f>IF('使用说明'!$B$4=0,C24,D24)</x:f>
        <x:v>48000</x:v>
      </x:c>
      <x:c r="F24" s="65" t="str">
        <x:v>金币/次</x:v>
      </x:c>
      <x:c r="G24" s="65" t="str">
        <x:v>app.js:172 · EQUIPMENT_SYNTHESIS_COSTS</x:v>
      </x:c>
      <x:c r="H24" s="65" t="str">
        <x:v>成功或失败均扣除</x:v>
      </x:c>
      <x:c r="I24" s="97"/>
    </x:row>
    <x:row r="25" ht="44" customHeight="1">
      <x:c r="A25" s="62" t="str">
        <x:v>qsynthRate5</x:v>
      </x:c>
      <x:c r="B25" s="65" t="str">
        <x:v>橙色5合1成功率</x:v>
      </x:c>
      <x:c r="C25" s="90" t="n">
        <x:v>0.58</x:v>
      </x:c>
      <x:c r="D25" s="91" t="n">
        <x:v>0.58</x:v>
      </x:c>
      <x:c r="E25" s="92" t="n">
        <x:f>IF('使用说明'!$B$4=0,C25,D25)</x:f>
        <x:v>0.58</x:v>
      </x:c>
      <x:c r="F25" s="65" t="str">
        <x:v>概率</x:v>
      </x:c>
      <x:c r="G25" s="65" t="str">
        <x:v>app.js:173 · EQUIPMENT_SYNTHESIS_RATES</x:v>
      </x:c>
      <x:c r="H25" s="65" t="str">
        <x:v>成功产出高一级随机部位</x:v>
      </x:c>
      <x:c r="I25" s="97"/>
    </x:row>
    <x:row r="26" ht="44" customHeight="1">
      <x:c r="A26" s="62" t="str">
        <x:v>qbreak5</x:v>
      </x:c>
      <x:c r="B26" s="65" t="str">
        <x:v>橙色满套突破</x:v>
      </x:c>
      <x:c r="C26" s="88" t="n">
        <x:v>1500</x:v>
      </x:c>
      <x:c r="D26" s="89" t="n">
        <x:v>1500</x:v>
      </x:c>
      <x:c r="E26" s="66" t="n">
        <x:f>IF('使用说明'!$B$4=0,C26,D26)</x:f>
        <x:v>1500</x:v>
      </x:c>
      <x:c r="F26" s="65" t="str">
        <x:v>元宝</x:v>
      </x:c>
      <x:c r="G26" s="65" t="str">
        <x:v>app.js:171 · EQUIPMENT_BREAKTHROUGH_COSTS</x:v>
      </x:c>
      <x:c r="H26" s="65" t="str">
        <x:v>六件同品质已穿戴装备扣除，装备基础属性永久保留</x:v>
      </x:c>
      <x:c r="I26" s="97"/>
    </x:row>
    <x:row r="27" ht="44" customHeight="1">
      <x:c r="A27" s="62" t="str">
        <x:v>qcoef6</x:v>
      </x:c>
      <x:c r="B27" s="65" t="str">
        <x:v>红色·神威系数</x:v>
      </x:c>
      <x:c r="C27" s="88" t="n">
        <x:v>3.2</x:v>
      </x:c>
      <x:c r="D27" s="89" t="n">
        <x:v>3.2</x:v>
      </x:c>
      <x:c r="E27" s="66" t="n">
        <x:f>IF('使用说明'!$B$4=0,C27,D27)</x:f>
        <x:v>3.2</x:v>
      </x:c>
      <x:c r="F27" s="65" t="str">
        <x:v>倍</x:v>
      </x:c>
      <x:c r="G27" s="65" t="str">
        <x:v>app.js:138 · EQUIPMENT_QUALITY</x:v>
      </x:c>
      <x:c r="H27" s="65" t="str">
        <x:v>基础装备各项属性均按此系数round</x:v>
      </x:c>
      <x:c r="I27" s="97"/>
    </x:row>
    <x:row r="28" ht="44" customHeight="1">
      <x:c r="A28" s="62" t="str">
        <x:v>qsynthGold6</x:v>
      </x:c>
      <x:c r="B28" s="65" t="str">
        <x:v>红色5合1金币</x:v>
      </x:c>
      <x:c r="C28" s="88" t="n">
        <x:v>160000</x:v>
      </x:c>
      <x:c r="D28" s="89" t="n">
        <x:v>160000</x:v>
      </x:c>
      <x:c r="E28" s="66" t="n">
        <x:f>IF('使用说明'!$B$4=0,C28,D28)</x:f>
        <x:v>160000</x:v>
      </x:c>
      <x:c r="F28" s="65" t="str">
        <x:v>金币/次</x:v>
      </x:c>
      <x:c r="G28" s="65" t="str">
        <x:v>app.js:172 · EQUIPMENT_SYNTHESIS_COSTS</x:v>
      </x:c>
      <x:c r="H28" s="65" t="str">
        <x:v>成功或失败均扣除</x:v>
      </x:c>
      <x:c r="I28" s="97"/>
    </x:row>
    <x:row r="29" ht="44" customHeight="1">
      <x:c r="A29" s="62" t="str">
        <x:v>qsynthRate6</x:v>
      </x:c>
      <x:c r="B29" s="65" t="str">
        <x:v>红色5合1成功率</x:v>
      </x:c>
      <x:c r="C29" s="90" t="n">
        <x:v>0.45</x:v>
      </x:c>
      <x:c r="D29" s="91" t="n">
        <x:v>0.45</x:v>
      </x:c>
      <x:c r="E29" s="92" t="n">
        <x:f>IF('使用说明'!$B$4=0,C29,D29)</x:f>
        <x:v>0.45</x:v>
      </x:c>
      <x:c r="F29" s="65" t="str">
        <x:v>概率</x:v>
      </x:c>
      <x:c r="G29" s="65" t="str">
        <x:v>app.js:173 · EQUIPMENT_SYNTHESIS_RATES</x:v>
      </x:c>
      <x:c r="H29" s="65" t="str">
        <x:v>成功产出高一级随机部位</x:v>
      </x:c>
      <x:c r="I29" s="97"/>
    </x:row>
    <x:row r="30" ht="44" customHeight="1">
      <x:c r="A30" s="62" t="str">
        <x:v>qbreak6</x:v>
      </x:c>
      <x:c r="B30" s="65" t="str">
        <x:v>红色满套突破</x:v>
      </x:c>
      <x:c r="C30" s="88" t="n">
        <x:v>2400</x:v>
      </x:c>
      <x:c r="D30" s="89" t="n">
        <x:v>2400</x:v>
      </x:c>
      <x:c r="E30" s="66" t="n">
        <x:f>IF('使用说明'!$B$4=0,C30,D30)</x:f>
        <x:v>2400</x:v>
      </x:c>
      <x:c r="F30" s="65" t="str">
        <x:v>元宝</x:v>
      </x:c>
      <x:c r="G30" s="65" t="str">
        <x:v>app.js:171 · EQUIPMENT_BREAKTHROUGH_COSTS</x:v>
      </x:c>
      <x:c r="H30" s="65" t="str">
        <x:v>六件同品质已穿戴装备扣除，装备基础属性永久保留</x:v>
      </x:c>
      <x:c r="I30" s="97"/>
    </x:row>
    <x:row r="31" ht="44" customHeight="1">
      <x:c r="A31" s="62" t="str">
        <x:v>qcoef7</x:v>
      </x:c>
      <x:c r="B31" s="65" t="str">
        <x:v>金色·天命系数</x:v>
      </x:c>
      <x:c r="C31" s="88" t="n">
        <x:v>4</x:v>
      </x:c>
      <x:c r="D31" s="89" t="n">
        <x:v>4</x:v>
      </x:c>
      <x:c r="E31" s="66" t="n">
        <x:f>IF('使用说明'!$B$4=0,C31,D31)</x:f>
        <x:v>4</x:v>
      </x:c>
      <x:c r="F31" s="65" t="str">
        <x:v>倍</x:v>
      </x:c>
      <x:c r="G31" s="65" t="str">
        <x:v>app.js:138 · EQUIPMENT_QUALITY</x:v>
      </x:c>
      <x:c r="H31" s="65" t="str">
        <x:v>基础装备各项属性均按此系数round</x:v>
      </x:c>
      <x:c r="I31" s="97"/>
    </x:row>
    <x:row r="32">
      <x:c r="A32" s="97"/>
      <x:c r="B32" s="97"/>
      <x:c r="C32" s="97"/>
      <x:c r="D32" s="97"/>
      <x:c r="E32" s="97"/>
      <x:c r="F32" s="97"/>
      <x:c r="G32" s="97"/>
      <x:c r="H32" s="97"/>
      <x:c r="I32" s="97"/>
    </x:row>
    <x:row r="33">
      <x:c r="A33" s="97"/>
      <x:c r="B33" s="97"/>
      <x:c r="C33" s="97"/>
      <x:c r="D33" s="97"/>
      <x:c r="E33" s="97"/>
      <x:c r="F33" s="97"/>
      <x:c r="G33" s="97"/>
      <x:c r="H33" s="97"/>
      <x:c r="I33" s="97"/>
    </x:row>
    <x:row r="34">
      <x:c r="A34" s="97"/>
      <x:c r="B34" s="97"/>
      <x:c r="C34" s="97"/>
      <x:c r="D34" s="97"/>
      <x:c r="E34" s="97"/>
      <x:c r="F34" s="97"/>
      <x:c r="G34" s="97"/>
      <x:c r="H34" s="97"/>
      <x:c r="I34" s="97"/>
    </x:row>
    <x:row r="35" ht="36" customHeight="1">
      <x:c r="A35" s="98" t="str">
        <x:v>品质</x:v>
      </x:c>
      <x:c r="B35" s="98" t="str">
        <x:v>名称前缀</x:v>
      </x:c>
      <x:c r="C35" s="98" t="str">
        <x:v>采用系数</x:v>
      </x:c>
      <x:c r="D35" s="98" t="str">
        <x:v>单件售价</x:v>
      </x:c>
      <x:c r="E35" s="98" t="str">
        <x:v>合成金币/次</x:v>
      </x:c>
      <x:c r="F35" s="98" t="str">
        <x:v>合成成功率</x:v>
      </x:c>
      <x:c r="G35" s="98" t="str">
        <x:v>每件高阶预期材料</x:v>
      </x:c>
      <x:c r="H35" s="98" t="str">
        <x:v>只合成获得本品质的白装等价</x:v>
      </x:c>
      <x:c r="I35" s="97"/>
    </x:row>
    <x:row r="36">
      <x:c r="A36" s="97" t="n">
        <x:v>1</x:v>
      </x:c>
      <x:c r="B36" s="97" t="str">
        <x:v>粗制</x:v>
      </x:c>
      <x:c r="C36" s="97" t="n">
        <x:f>'装备品质'!$E$7</x:f>
        <x:v>1</x:v>
      </x:c>
      <x:c r="D36" s="97" t="n">
        <x:f>ROUND('经济参数'!$E$45*C36,0)</x:f>
        <x:v>10</x:v>
      </x:c>
      <x:c r="E36" s="97" t="n">
        <x:f>'装备品质'!$E$8</x:f>
        <x:v>200</x:v>
      </x:c>
      <x:c r="F36" s="97" t="n">
        <x:f>'装备品质'!$E$9</x:f>
        <x:v>1</x:v>
      </x:c>
      <x:c r="G36" s="97" t="n">
        <x:f>IFERROR('经济参数'!$E$48/F36,0)</x:f>
        <x:v>5</x:v>
      </x:c>
      <x:c r="H36" s="97" t="n">
        <x:v>1</x:v>
      </x:c>
      <x:c r="I36" s="97"/>
    </x:row>
    <x:row r="37">
      <x:c r="A37" s="97" t="n">
        <x:v>2</x:v>
      </x:c>
      <x:c r="B37" s="97" t="str">
        <x:v>精良</x:v>
      </x:c>
      <x:c r="C37" s="97" t="n">
        <x:f>'装备品质'!$E$11</x:f>
        <x:v>1.25</x:v>
      </x:c>
      <x:c r="D37" s="97" t="n">
        <x:f>ROUND('经济参数'!$E$45*C37,0)</x:f>
        <x:v>13</x:v>
      </x:c>
      <x:c r="E37" s="97" t="n">
        <x:f>'装备品质'!$E$12</x:f>
        <x:v>800</x:v>
      </x:c>
      <x:c r="F37" s="97" t="n">
        <x:f>'装备品质'!$E$13</x:f>
        <x:v>0.95</x:v>
      </x:c>
      <x:c r="G37" s="97" t="n">
        <x:f>IFERROR('经济参数'!$E$48/F37,0)</x:f>
        <x:v>5.2631578947368425</x:v>
      </x:c>
      <x:c r="H37" s="97" t="n">
        <x:f>H36*G36</x:f>
        <x:v>5</x:v>
      </x:c>
      <x:c r="I37" s="97"/>
    </x:row>
    <x:row r="38">
      <x:c r="A38" s="97" t="n">
        <x:v>3</x:v>
      </x:c>
      <x:c r="B38" s="97" t="str">
        <x:v>秘银</x:v>
      </x:c>
      <x:c r="C38" s="97" t="n">
        <x:f>'装备品质'!$E$15</x:f>
        <x:v>1.55</x:v>
      </x:c>
      <x:c r="D38" s="97" t="n">
        <x:f>ROUND('经济参数'!$E$45*C38,0)</x:f>
        <x:v>16</x:v>
      </x:c>
      <x:c r="E38" s="97" t="n">
        <x:f>'装备品质'!$E$16</x:f>
        <x:v>3000</x:v>
      </x:c>
      <x:c r="F38" s="97" t="n">
        <x:f>'装备品质'!$E$17</x:f>
        <x:v>0.85</x:v>
      </x:c>
      <x:c r="G38" s="97" t="n">
        <x:f>IFERROR('经济参数'!$E$48/F38,0)</x:f>
        <x:v>5.882352941176471</x:v>
      </x:c>
      <x:c r="H38" s="97" t="n">
        <x:f>H37*G37</x:f>
        <x:v>26.315789473684212</x:v>
      </x:c>
      <x:c r="I38" s="97"/>
    </x:row>
    <x:row r="39">
      <x:c r="A39" s="97" t="n">
        <x:v>4</x:v>
      </x:c>
      <x:c r="B39" s="97" t="str">
        <x:v>星辉</x:v>
      </x:c>
      <x:c r="C39" s="97" t="n">
        <x:f>'装备品质'!$E$19</x:f>
        <x:v>1.95</x:v>
      </x:c>
      <x:c r="D39" s="97" t="n">
        <x:f>ROUND('经济参数'!$E$45*C39,0)</x:f>
        <x:v>20</x:v>
      </x:c>
      <x:c r="E39" s="97" t="n">
        <x:f>'装备品质'!$E$20</x:f>
        <x:v>12000</x:v>
      </x:c>
      <x:c r="F39" s="97" t="n">
        <x:f>'装备品质'!$E$21</x:f>
        <x:v>0.72</x:v>
      </x:c>
      <x:c r="G39" s="97" t="n">
        <x:f>IFERROR('经济参数'!$E$48/F39,0)</x:f>
        <x:v>6.944444444444445</x:v>
      </x:c>
      <x:c r="H39" s="97" t="n">
        <x:f>H38*G38</x:f>
        <x:v>154.79876160990713</x:v>
      </x:c>
      <x:c r="I39" s="97"/>
    </x:row>
    <x:row r="40">
      <x:c r="A40" s="97" t="n">
        <x:v>5</x:v>
      </x:c>
      <x:c r="B40" s="97" t="str">
        <x:v>龙魂</x:v>
      </x:c>
      <x:c r="C40" s="97" t="n">
        <x:f>'装备品质'!$E$23</x:f>
        <x:v>2.5</x:v>
      </x:c>
      <x:c r="D40" s="97" t="n">
        <x:f>ROUND('经济参数'!$E$45*C40,0)</x:f>
        <x:v>25</x:v>
      </x:c>
      <x:c r="E40" s="97" t="n">
        <x:f>'装备品质'!$E$24</x:f>
        <x:v>48000</x:v>
      </x:c>
      <x:c r="F40" s="97" t="n">
        <x:f>'装备品质'!$E$25</x:f>
        <x:v>0.58</x:v>
      </x:c>
      <x:c r="G40" s="97" t="n">
        <x:f>IFERROR('经济参数'!$E$48/F40,0)</x:f>
        <x:v>8.620689655172415</x:v>
      </x:c>
      <x:c r="H40" s="97" t="n">
        <x:f>H39*G39</x:f>
        <x:v>1074.9914000687995</x:v>
      </x:c>
      <x:c r="I40" s="97"/>
    </x:row>
    <x:row r="41">
      <x:c r="A41" s="97" t="n">
        <x:v>6</x:v>
      </x:c>
      <x:c r="B41" s="97" t="str">
        <x:v>神威</x:v>
      </x:c>
      <x:c r="C41" s="97" t="n">
        <x:f>'装备品质'!$E$27</x:f>
        <x:v>3.2</x:v>
      </x:c>
      <x:c r="D41" s="97" t="n">
        <x:f>ROUND('经济参数'!$E$45*C41,0)</x:f>
        <x:v>32</x:v>
      </x:c>
      <x:c r="E41" s="97" t="n">
        <x:f>'装备品质'!$E$28</x:f>
        <x:v>160000</x:v>
      </x:c>
      <x:c r="F41" s="97" t="n">
        <x:f>'装备品质'!$E$29</x:f>
        <x:v>0.45</x:v>
      </x:c>
      <x:c r="G41" s="97" t="n">
        <x:f>IFERROR('经济参数'!$E$48/F41,0)</x:f>
        <x:v>11.11111111111111</x:v>
      </x:c>
      <x:c r="H41" s="97" t="n">
        <x:f>H40*G40</x:f>
        <x:v>9267.167241972411</x:v>
      </x:c>
      <x:c r="I41" s="97"/>
    </x:row>
    <x:row r="42">
      <x:c r="A42" s="97" t="n">
        <x:v>7</x:v>
      </x:c>
      <x:c r="B42" s="97" t="str">
        <x:v>天命</x:v>
      </x:c>
      <x:c r="C42" s="97" t="n">
        <x:f>'装备品质'!$E$31</x:f>
        <x:v>4</x:v>
      </x:c>
      <x:c r="D42" s="97" t="n">
        <x:f>ROUND('经济参数'!$E$45*C42,0)</x:f>
        <x:v>40</x:v>
      </x:c>
      <x:c r="E42" s="97" t="str">
        <x:v>最高品质</x:v>
      </x:c>
      <x:c r="F42" s="97" t="n">
        <x:v>0</x:v>
      </x:c>
      <x:c r="G42" s="97" t="n">
        <x:v>0</x:v>
      </x:c>
      <x:c r="H42" s="97" t="n">
        <x:f>H41*G41</x:f>
        <x:v>102968.52491080457</x:v>
      </x:c>
      <x:c r="I42" s="97"/>
    </x:row>
    <x:row r="43">
      <x:c r="A43" s="97"/>
      <x:c r="B43" s="97"/>
      <x:c r="C43" s="97"/>
      <x:c r="D43" s="97"/>
      <x:c r="E43" s="97"/>
      <x:c r="F43" s="97"/>
      <x:c r="G43" s="97"/>
      <x:c r="H43" s="97"/>
      <x:c r="I43" s="97"/>
    </x:row>
    <x:row r="44">
      <x:c r="A44" s="97"/>
      <x:c r="B44" s="97"/>
      <x:c r="C44" s="97"/>
      <x:c r="D44" s="97"/>
      <x:c r="E44" s="97"/>
      <x:c r="F44" s="97"/>
      <x:c r="G44" s="97"/>
      <x:c r="H44" s="97"/>
      <x:c r="I44" s="97"/>
    </x:row>
    <x:row r="45">
      <x:c r="A45" s="97"/>
      <x:c r="B45" s="97"/>
      <x:c r="C45" s="97"/>
      <x:c r="D45" s="97"/>
      <x:c r="E45" s="97"/>
      <x:c r="F45" s="97"/>
      <x:c r="G45" s="97"/>
      <x:c r="H45" s="97"/>
      <x:c r="I45" s="97"/>
    </x:row>
    <x:row r="46" ht="36" customHeight="1">
      <x:c r="A46" s="98" t="str">
        <x:v>部位</x:v>
      </x:c>
      <x:c r="B46" s="98" t="str">
        <x:v>属性</x:v>
      </x:c>
      <x:c r="C46" s="98" t="str">
        <x:v>白装基础值</x:v>
      </x:c>
      <x:c r="D46" s="98" t="str">
        <x:v>绿色</x:v>
      </x:c>
      <x:c r="E46" s="98" t="str">
        <x:v>蓝色</x:v>
      </x:c>
      <x:c r="F46" s="98" t="str">
        <x:v>紫色</x:v>
      </x:c>
      <x:c r="G46" s="98" t="str">
        <x:v>橙色</x:v>
      </x:c>
      <x:c r="H46" s="98" t="str">
        <x:v>红色</x:v>
      </x:c>
      <x:c r="I46" s="98" t="str">
        <x:v>金色</x:v>
      </x:c>
    </x:row>
    <x:row r="47">
      <x:c r="A47" s="97" t="str">
        <x:v>武器</x:v>
      </x:c>
      <x:c r="B47" s="97" t="str">
        <x:v>攻击固定值</x:v>
      </x:c>
      <x:c r="C47" s="97" t="n">
        <x:v>50</x:v>
      </x:c>
      <x:c r="D47" s="97" t="n">
        <x:f>ROUND(C47*'装备品质'!$E$11,0)</x:f>
        <x:v>63</x:v>
      </x:c>
      <x:c r="E47" s="97" t="n">
        <x:f>ROUND(C47*'装备品质'!$E$15,0)</x:f>
        <x:v>78</x:v>
      </x:c>
      <x:c r="F47" s="97" t="n">
        <x:f>ROUND(C47*'装备品质'!$E$19,0)</x:f>
        <x:v>98</x:v>
      </x:c>
      <x:c r="G47" s="97" t="n">
        <x:f>ROUND(C47*'装备品质'!$E$23,0)</x:f>
        <x:v>125</x:v>
      </x:c>
      <x:c r="H47" s="97" t="n">
        <x:f>ROUND(C47*'装备品质'!$E$27,0)</x:f>
        <x:v>160</x:v>
      </x:c>
      <x:c r="I47" s="97" t="n">
        <x:f>ROUND(C47*'装备品质'!$E$31,0)</x:f>
        <x:v>200</x:v>
      </x:c>
    </x:row>
    <x:row r="48">
      <x:c r="A48" s="97" t="str">
        <x:v>衣服</x:v>
      </x:c>
      <x:c r="B48" s="97" t="str">
        <x:v>暴击固定值</x:v>
      </x:c>
      <x:c r="C48" s="97" t="n">
        <x:v>8</x:v>
      </x:c>
      <x:c r="D48" s="97" t="n">
        <x:f>ROUND(C48*'装备品质'!$E$11,0)</x:f>
        <x:v>10</x:v>
      </x:c>
      <x:c r="E48" s="97" t="n">
        <x:f>ROUND(C48*'装备品质'!$E$15,0)</x:f>
        <x:v>12</x:v>
      </x:c>
      <x:c r="F48" s="97" t="n">
        <x:f>ROUND(C48*'装备品质'!$E$19,0)</x:f>
        <x:v>16</x:v>
      </x:c>
      <x:c r="G48" s="97" t="n">
        <x:f>ROUND(C48*'装备品质'!$E$23,0)</x:f>
        <x:v>20</x:v>
      </x:c>
      <x:c r="H48" s="97" t="n">
        <x:f>ROUND(C48*'装备品质'!$E$27,0)</x:f>
        <x:v>26</x:v>
      </x:c>
      <x:c r="I48" s="97" t="n">
        <x:f>ROUND(C48*'装备品质'!$E$31,0)</x:f>
        <x:v>32</x:v>
      </x:c>
    </x:row>
    <x:row r="49">
      <x:c r="A49" s="97" t="str">
        <x:v>头盔</x:v>
      </x:c>
      <x:c r="B49" s="97" t="str">
        <x:v>命中固定值</x:v>
      </x:c>
      <x:c r="C49" s="97" t="n">
        <x:v>8</x:v>
      </x:c>
      <x:c r="D49" s="97" t="n">
        <x:f>ROUND(C49*'装备品质'!$E$11,0)</x:f>
        <x:v>10</x:v>
      </x:c>
      <x:c r="E49" s="97" t="n">
        <x:f>ROUND(C49*'装备品质'!$E$15,0)</x:f>
        <x:v>12</x:v>
      </x:c>
      <x:c r="F49" s="97" t="n">
        <x:f>ROUND(C49*'装备品质'!$E$19,0)</x:f>
        <x:v>16</x:v>
      </x:c>
      <x:c r="G49" s="97" t="n">
        <x:f>ROUND(C49*'装备品质'!$E$23,0)</x:f>
        <x:v>20</x:v>
      </x:c>
      <x:c r="H49" s="97" t="n">
        <x:f>ROUND(C49*'装备品质'!$E$27,0)</x:f>
        <x:v>26</x:v>
      </x:c>
      <x:c r="I49" s="97" t="n">
        <x:f>ROUND(C49*'装备品质'!$E$31,0)</x:f>
        <x:v>32</x:v>
      </x:c>
    </x:row>
    <x:row r="50">
      <x:c r="A50" s="97" t="str">
        <x:v>项链</x:v>
      </x:c>
      <x:c r="B50" s="97" t="str">
        <x:v>攻击固定值</x:v>
      </x:c>
      <x:c r="C50" s="97" t="n">
        <x:v>30</x:v>
      </x:c>
      <x:c r="D50" s="97" t="n">
        <x:f>ROUND(C50*'装备品质'!$E$11,0)</x:f>
        <x:v>38</x:v>
      </x:c>
      <x:c r="E50" s="97" t="n">
        <x:f>ROUND(C50*'装备品质'!$E$15,0)</x:f>
        <x:v>47</x:v>
      </x:c>
      <x:c r="F50" s="97" t="n">
        <x:f>ROUND(C50*'装备品质'!$E$19,0)</x:f>
        <x:v>59</x:v>
      </x:c>
      <x:c r="G50" s="97" t="n">
        <x:f>ROUND(C50*'装备品质'!$E$23,0)</x:f>
        <x:v>75</x:v>
      </x:c>
      <x:c r="H50" s="97" t="n">
        <x:f>ROUND(C50*'装备品质'!$E$27,0)</x:f>
        <x:v>96</x:v>
      </x:c>
      <x:c r="I50" s="97" t="n">
        <x:f>ROUND(C50*'装备品质'!$E$31,0)</x:f>
        <x:v>120</x:v>
      </x:c>
    </x:row>
    <x:row r="51">
      <x:c r="A51" s="97" t="str">
        <x:v>戒指</x:v>
      </x:c>
      <x:c r="B51" s="97" t="str">
        <x:v>攻击固定值</x:v>
      </x:c>
      <x:c r="C51" s="97" t="n">
        <x:v>20</x:v>
      </x:c>
      <x:c r="D51" s="97" t="n">
        <x:f>ROUND(C51*'装备品质'!$E$11,0)</x:f>
        <x:v>25</x:v>
      </x:c>
      <x:c r="E51" s="97" t="n">
        <x:f>ROUND(C51*'装备品质'!$E$15,0)</x:f>
        <x:v>31</x:v>
      </x:c>
      <x:c r="F51" s="97" t="n">
        <x:f>ROUND(C51*'装备品质'!$E$19,0)</x:f>
        <x:v>39</x:v>
      </x:c>
      <x:c r="G51" s="97" t="n">
        <x:f>ROUND(C51*'装备品质'!$E$23,0)</x:f>
        <x:v>50</x:v>
      </x:c>
      <x:c r="H51" s="97" t="n">
        <x:f>ROUND(C51*'装备品质'!$E$27,0)</x:f>
        <x:v>64</x:v>
      </x:c>
      <x:c r="I51" s="97" t="n">
        <x:f>ROUND(C51*'装备品质'!$E$31,0)</x:f>
        <x:v>80</x:v>
      </x:c>
    </x:row>
    <x:row r="52">
      <x:c r="A52" s="97" t="str">
        <x:v>鞋子</x:v>
      </x:c>
      <x:c r="B52" s="97" t="str">
        <x:v>攻速百分数</x:v>
      </x:c>
      <x:c r="C52" s="97" t="n">
        <x:v>6</x:v>
      </x:c>
      <x:c r="D52" s="97" t="n">
        <x:f>ROUND(C52*'装备品质'!$E$11,0)</x:f>
        <x:v>8</x:v>
      </x:c>
      <x:c r="E52" s="97" t="n">
        <x:f>ROUND(C52*'装备品质'!$E$15,0)</x:f>
        <x:v>9</x:v>
      </x:c>
      <x:c r="F52" s="97" t="n">
        <x:f>ROUND(C52*'装备品质'!$E$19,0)</x:f>
        <x:v>12</x:v>
      </x:c>
      <x:c r="G52" s="97" t="n">
        <x:f>ROUND(C52*'装备品质'!$E$23,0)</x:f>
        <x:v>15</x:v>
      </x:c>
      <x:c r="H52" s="97" t="n">
        <x:f>ROUND(C52*'装备品质'!$E$27,0)</x:f>
        <x:v>19</x:v>
      </x:c>
      <x:c r="I52" s="97" t="n">
        <x:f>ROUND(C52*'装备品质'!$E$31,0)</x:f>
        <x:v>24</x:v>
      </x:c>
    </x:row>
    <x:row r="53">
      <x:c r="A53" s="97"/>
      <x:c r="B53" s="97"/>
      <x:c r="C53" s="97"/>
      <x:c r="D53" s="97"/>
      <x:c r="E53" s="97"/>
      <x:c r="F53" s="97"/>
      <x:c r="G53" s="97"/>
      <x:c r="H53" s="97"/>
      <x:c r="I53" s="97"/>
    </x:row>
    <x:row r="54">
      <x:c r="A54" s="97"/>
      <x:c r="B54" s="97"/>
      <x:c r="C54" s="97"/>
      <x:c r="D54" s="97"/>
      <x:c r="E54" s="97"/>
      <x:c r="F54" s="97"/>
      <x:c r="G54" s="97"/>
      <x:c r="H54" s="97"/>
      <x:c r="I54" s="97"/>
    </x:row>
    <x:row r="55" ht="36" customHeight="1">
      <x:c r="A55" s="98" t="str">
        <x:v>大师类型</x:v>
      </x:c>
      <x:c r="B55" s="98" t="str">
        <x:v>全身等级门槛</x:v>
      </x:c>
      <x:c r="C55" s="98" t="str">
        <x:v>加成属性</x:v>
      </x:c>
      <x:c r="D55" s="98" t="str">
        <x:v>加成数值</x:v>
      </x:c>
      <x:c r="E55" s="98" t="str">
        <x:v>生效条件</x:v>
      </x:c>
      <x:c r="F55" s="97"/>
      <x:c r="G55" s="97"/>
      <x:c r="H55" s="97"/>
      <x:c r="I55" s="97"/>
    </x:row>
    <x:row r="56" ht="32" customHeight="1">
      <x:c r="A56" s="97" t="str">
        <x:v>强化</x:v>
      </x:c>
      <x:c r="B56" s="97" t="n">
        <x:v>5</x:v>
      </x:c>
      <x:c r="C56" s="97" t="str">
        <x:v>攻击</x:v>
      </x:c>
      <x:c r="D56" s="97" t="str">
        <x:v>+3%</x:v>
      </x:c>
      <x:c r="E56" s="97" t="str">
        <x:v>仅已穿装备槽参与，按该武将最低等级计算</x:v>
      </x:c>
      <x:c r="F56" s="97"/>
      <x:c r="G56" s="97"/>
      <x:c r="H56" s="97"/>
      <x:c r="I56" s="97"/>
    </x:row>
    <x:row r="57" ht="32" customHeight="1">
      <x:c r="A57" s="97" t="str">
        <x:v>强化</x:v>
      </x:c>
      <x:c r="B57" s="97" t="n">
        <x:v>10</x:v>
      </x:c>
      <x:c r="C57" s="97" t="str">
        <x:v>攻击</x:v>
      </x:c>
      <x:c r="D57" s="97" t="str">
        <x:v>+6%</x:v>
      </x:c>
      <x:c r="E57" s="97" t="str">
        <x:v>仅已穿装备槽参与，按该武将最低等级计算</x:v>
      </x:c>
      <x:c r="F57" s="97"/>
      <x:c r="G57" s="97"/>
      <x:c r="H57" s="97"/>
      <x:c r="I57" s="97"/>
    </x:row>
    <x:row r="58" ht="32" customHeight="1">
      <x:c r="A58" s="97" t="str">
        <x:v>强化</x:v>
      </x:c>
      <x:c r="B58" s="97" t="n">
        <x:v>15</x:v>
      </x:c>
      <x:c r="C58" s="97" t="str">
        <x:v>攻速</x:v>
      </x:c>
      <x:c r="D58" s="97" t="str">
        <x:v>+4%</x:v>
      </x:c>
      <x:c r="E58" s="97" t="str">
        <x:v>仅已穿装备槽参与，按该武将最低等级计算</x:v>
      </x:c>
      <x:c r="F58" s="97"/>
      <x:c r="G58" s="97"/>
      <x:c r="H58" s="97"/>
      <x:c r="I58" s="97"/>
    </x:row>
    <x:row r="59" ht="32" customHeight="1">
      <x:c r="A59" s="97" t="str">
        <x:v>强化</x:v>
      </x:c>
      <x:c r="B59" s="97" t="n">
        <x:v>20</x:v>
      </x:c>
      <x:c r="C59" s="97" t="str">
        <x:v>攻击</x:v>
      </x:c>
      <x:c r="D59" s="97" t="str">
        <x:v>+10%</x:v>
      </x:c>
      <x:c r="E59" s="97" t="str">
        <x:v>仅已穿装备槽参与，按该武将最低等级计算</x:v>
      </x:c>
      <x:c r="F59" s="97"/>
      <x:c r="G59" s="97"/>
      <x:c r="H59" s="97"/>
      <x:c r="I59" s="97"/>
    </x:row>
    <x:row r="60" ht="32" customHeight="1">
      <x:c r="A60" s="97" t="str">
        <x:v>强化</x:v>
      </x:c>
      <x:c r="B60" s="97" t="n">
        <x:v>25</x:v>
      </x:c>
      <x:c r="C60" s="97" t="str">
        <x:v>暴击</x:v>
      </x:c>
      <x:c r="D60" s="97" t="str">
        <x:v>+6%</x:v>
      </x:c>
      <x:c r="E60" s="97" t="str">
        <x:v>仅已穿装备槽参与，按该武将最低等级计算</x:v>
      </x:c>
      <x:c r="F60" s="97"/>
      <x:c r="G60" s="97"/>
      <x:c r="H60" s="97"/>
      <x:c r="I60" s="97"/>
    </x:row>
    <x:row r="61" ht="32" customHeight="1">
      <x:c r="A61" s="97" t="str">
        <x:v>强化</x:v>
      </x:c>
      <x:c r="B61" s="97" t="n">
        <x:v>30</x:v>
      </x:c>
      <x:c r="C61" s="97" t="str">
        <x:v>攻击</x:v>
      </x:c>
      <x:c r="D61" s="97" t="str">
        <x:v>+15%</x:v>
      </x:c>
      <x:c r="E61" s="97" t="str">
        <x:v>仅已穿装备槽参与，按该武将最低等级计算</x:v>
      </x:c>
      <x:c r="F61" s="97"/>
      <x:c r="G61" s="97"/>
      <x:c r="H61" s="97"/>
      <x:c r="I61" s="97"/>
    </x:row>
    <x:row r="62" ht="32" customHeight="1">
      <x:c r="A62" s="97" t="str">
        <x:v>升星</x:v>
      </x:c>
      <x:c r="B62" s="97" t="n">
        <x:v>3</x:v>
      </x:c>
      <x:c r="C62" s="97" t="str">
        <x:v>攻击</x:v>
      </x:c>
      <x:c r="D62" s="97" t="str">
        <x:v>+2%</x:v>
      </x:c>
      <x:c r="E62" s="97" t="str">
        <x:v>大师加成详见getWarriorBonuses，永久属性与局内等级分离</x:v>
      </x:c>
      <x:c r="F62" s="97"/>
      <x:c r="G62" s="97"/>
      <x:c r="H62" s="97"/>
      <x:c r="I62" s="97"/>
    </x:row>
    <x:row r="63" ht="32" customHeight="1">
      <x:c r="A63" s="97" t="str">
        <x:v>升星</x:v>
      </x:c>
      <x:c r="B63" s="97" t="n">
        <x:v>6</x:v>
      </x:c>
      <x:c r="C63" s="97" t="str">
        <x:v>命中</x:v>
      </x:c>
      <x:c r="D63" s="97" t="str">
        <x:v>+4%</x:v>
      </x:c>
      <x:c r="E63" s="97" t="str">
        <x:v>大师加成详见getWarriorBonuses，永久属性与局内等级分离</x:v>
      </x:c>
      <x:c r="F63" s="97"/>
      <x:c r="G63" s="97"/>
      <x:c r="H63" s="97"/>
      <x:c r="I63" s="97"/>
    </x:row>
    <x:row r="64" ht="32" customHeight="1">
      <x:c r="A64" s="97" t="str">
        <x:v>升星</x:v>
      </x:c>
      <x:c r="B64" s="97" t="n">
        <x:v>9</x:v>
      </x:c>
      <x:c r="C64" s="97" t="str">
        <x:v>攻击</x:v>
      </x:c>
      <x:c r="D64" s="97" t="str">
        <x:v>+6%</x:v>
      </x:c>
      <x:c r="E64" s="97" t="str">
        <x:v>大师加成详见getWarriorBonuses，永久属性与局内等级分离</x:v>
      </x:c>
      <x:c r="F64" s="97"/>
      <x:c r="G64" s="97"/>
      <x:c r="H64" s="97"/>
      <x:c r="I64" s="97"/>
    </x:row>
    <x:row r="65" ht="32" customHeight="1">
      <x:c r="A65" s="97" t="str">
        <x:v>升星</x:v>
      </x:c>
      <x:c r="B65" s="97" t="n">
        <x:v>12</x:v>
      </x:c>
      <x:c r="C65" s="97" t="str">
        <x:v>暴击</x:v>
      </x:c>
      <x:c r="D65" s="97" t="str">
        <x:v>+5%</x:v>
      </x:c>
      <x:c r="E65" s="97" t="str">
        <x:v>大师加成详见getWarriorBonuses，永久属性与局内等级分离</x:v>
      </x:c>
      <x:c r="F65" s="97"/>
      <x:c r="G65" s="97"/>
      <x:c r="H65" s="97"/>
      <x:c r="I65" s="97"/>
    </x:row>
    <x:row r="66" ht="32" customHeight="1">
      <x:c r="A66" s="97" t="str">
        <x:v>升星</x:v>
      </x:c>
      <x:c r="B66" s="97" t="n">
        <x:v>15</x:v>
      </x:c>
      <x:c r="C66" s="97" t="str">
        <x:v>攻击</x:v>
      </x:c>
      <x:c r="D66" s="97" t="str">
        <x:v>+9%</x:v>
      </x:c>
      <x:c r="E66" s="97" t="str">
        <x:v>大师加成详见getWarriorBonuses，永久属性与局内等级分离</x:v>
      </x:c>
      <x:c r="F66" s="97"/>
      <x:c r="G66" s="97"/>
      <x:c r="H66" s="97"/>
      <x:c r="I66" s="97"/>
    </x:row>
    <x:row r="67" ht="32" customHeight="1">
      <x:c r="A67" s="97" t="str">
        <x:v>升星</x:v>
      </x:c>
      <x:c r="B67" s="97" t="n">
        <x:v>18</x:v>
      </x:c>
      <x:c r="C67" s="97" t="str">
        <x:v>攻速</x:v>
      </x:c>
      <x:c r="D67" s="97" t="str">
        <x:v>+5%</x:v>
      </x:c>
      <x:c r="E67" s="97" t="str">
        <x:v>大师加成详见getWarriorBonuses，永久属性与局内等级分离</x:v>
      </x:c>
      <x:c r="F67" s="97"/>
      <x:c r="G67" s="97"/>
      <x:c r="H67" s="97"/>
      <x:c r="I67" s="97"/>
    </x:row>
    <x:row r="68" ht="32" customHeight="1">
      <x:c r="A68" s="97" t="str">
        <x:v>升星</x:v>
      </x:c>
      <x:c r="B68" s="97" t="n">
        <x:v>21</x:v>
      </x:c>
      <x:c r="C68" s="97" t="str">
        <x:v>攻击</x:v>
      </x:c>
      <x:c r="D68" s="97" t="str">
        <x:v>+12%</x:v>
      </x:c>
      <x:c r="E68" s="97" t="str">
        <x:v>大师加成详见getWarriorBonuses，永久属性与局内等级分离</x:v>
      </x:c>
      <x:c r="F68" s="97"/>
      <x:c r="G68" s="97"/>
      <x:c r="H68" s="97"/>
      <x:c r="I68" s="97"/>
    </x:row>
    <x:row r="69" ht="32" customHeight="1">
      <x:c r="A69" s="97" t="str">
        <x:v>升星</x:v>
      </x:c>
      <x:c r="B69" s="97" t="n">
        <x:v>24</x:v>
      </x:c>
      <x:c r="C69" s="97" t="str">
        <x:v>暴击</x:v>
      </x:c>
      <x:c r="D69" s="97" t="str">
        <x:v>+8%</x:v>
      </x:c>
      <x:c r="E69" s="97" t="str">
        <x:v>大师加成详见getWarriorBonuses，永久属性与局内等级分离</x:v>
      </x:c>
      <x:c r="F69" s="97"/>
      <x:c r="G69" s="97"/>
      <x:c r="H69" s="97"/>
      <x:c r="I69" s="97"/>
    </x:row>
    <x:row r="70" ht="32" customHeight="1">
      <x:c r="A70" s="97" t="str">
        <x:v>升星</x:v>
      </x:c>
      <x:c r="B70" s="97" t="n">
        <x:v>27</x:v>
      </x:c>
      <x:c r="C70" s="97" t="str">
        <x:v>攻击</x:v>
      </x:c>
      <x:c r="D70" s="97" t="str">
        <x:v>+15%</x:v>
      </x:c>
      <x:c r="E70" s="97" t="str">
        <x:v>大师加成详见getWarriorBonuses，永久属性与局内等级分离</x:v>
      </x:c>
      <x:c r="F70" s="97"/>
      <x:c r="G70" s="97"/>
      <x:c r="H70" s="97"/>
      <x:c r="I70" s="97"/>
    </x:row>
    <x:row r="71" ht="32" customHeight="1">
      <x:c r="A71" s="97" t="str">
        <x:v>升星</x:v>
      </x:c>
      <x:c r="B71" s="97" t="n">
        <x:v>30</x:v>
      </x:c>
      <x:c r="C71" s="97" t="str">
        <x:v>攻击</x:v>
      </x:c>
      <x:c r="D71" s="97" t="str">
        <x:v>+20%</x:v>
      </x:c>
      <x:c r="E71" s="97" t="str">
        <x:v>大师加成详见getWarriorBonuses，永久属性与局内等级分离</x:v>
      </x:c>
      <x:c r="F71" s="97"/>
      <x:c r="G71" s="97"/>
      <x:c r="H71" s="97"/>
      <x:c r="I71" s="97"/>
    </x:row>
    <x:row r="72">
      <x:c r="A72" s="97"/>
      <x:c r="B72" s="97"/>
      <x:c r="C72" s="97"/>
      <x:c r="D72" s="97"/>
      <x:c r="E72" s="97"/>
      <x:c r="F72" s="97"/>
      <x:c r="G72" s="97"/>
      <x:c r="H72" s="97"/>
      <x:c r="I72" s="97"/>
    </x:row>
    <x:row r="73">
      <x:c r="A73" s="97" t="str">
        <x:v>app.js:257 · FORGE_ENHANCE_MASTER</x:v>
      </x:c>
      <x:c r="B73" s="97"/>
      <x:c r="C73" s="97"/>
      <x:c r="D73" s="97"/>
      <x:c r="E73" s="97"/>
      <x:c r="F73" s="97"/>
      <x:c r="G73" s="97"/>
      <x:c r="H73" s="97"/>
      <x:c r="I73" s="97"/>
    </x:row>
  </x:sheetData>
  <x:mergeCells>
    <x:mergeCell ref="A1:H2"/>
    <x:mergeCell ref="A3:H3"/>
    <x:mergeCell ref="E56:I56"/>
    <x:mergeCell ref="E57:I57"/>
    <x:mergeCell ref="E58:I58"/>
    <x:mergeCell ref="E59:I59"/>
    <x:mergeCell ref="E60:I60"/>
    <x:mergeCell ref="E61:I61"/>
    <x:mergeCell ref="E62:I62"/>
    <x:mergeCell ref="E63:I63"/>
    <x:mergeCell ref="E64:I64"/>
    <x:mergeCell ref="E65:I65"/>
    <x:mergeCell ref="E66:I66"/>
    <x:mergeCell ref="E67:I67"/>
    <x:mergeCell ref="E68:I68"/>
    <x:mergeCell ref="E69:I69"/>
    <x:mergeCell ref="E70:I70"/>
    <x:mergeCell ref="E71:I71"/>
    <x:mergeCell ref="B4:D4"/>
  </x:mergeCells>
  <x:dataValidations count="7">
    <x:dataValidation type="decimal" operator="between" sqref="D7:D31">
      <x:formula1>0</x:formula1>
      <x:formula2>1000000000</x:formula2>
    </x:dataValidation>
    <x:dataValidation type="decimal" operator="between" sqref="D9">
      <x:formula1>0.001</x:formula1>
      <x:formula2>1</x:formula2>
    </x:dataValidation>
    <x:dataValidation type="decimal" operator="between" sqref="D13">
      <x:formula1>0.001</x:formula1>
      <x:formula2>1</x:formula2>
    </x:dataValidation>
    <x:dataValidation type="decimal" operator="between" sqref="D17">
      <x:formula1>0.001</x:formula1>
      <x:formula2>1</x:formula2>
    </x:dataValidation>
    <x:dataValidation type="decimal" operator="between" sqref="D21">
      <x:formula1>0.001</x:formula1>
      <x:formula2>1</x:formula2>
    </x:dataValidation>
    <x:dataValidation type="decimal" operator="between" sqref="D25">
      <x:formula1>0.001</x:formula1>
      <x:formula2>1</x:formula2>
    </x:dataValidation>
    <x:dataValidation type="decimal" operator="between" sqref="D29">
      <x:formula1>0.001</x:formula1>
      <x:formula2>1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8B9C9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2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</x:cols>
  <x:sheetData>
    <x:row r="1" ht="23" customHeight="1">
      <x:c r="A1" s="59" t="str">
        <x:v>05｜装备掉落概率与保底</x:v>
      </x:c>
      <x:c r="B1" s="60"/>
      <x:c r="C1" s="60"/>
      <x:c r="D1" s="60"/>
      <x:c r="E1" s="60"/>
      <x:c r="F1" s="60"/>
      <x:c r="G1" s="60"/>
      <x:c r="H1" s="60"/>
      <x:c r="I1" s="60"/>
      <x:c r="J1" s="60"/>
    </x:row>
    <x:row r="2" ht="23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</x:row>
    <x:row r="3" ht="44" customHeight="1">
      <x:c r="A3" s="61" t="str">
        <x:v>每个区间的7档概率必须合计100%。蓝字方案生效需要选择模式1。部位均匀随机，保底只保掉落，不保部位/品质。</x:v>
      </x:c>
      <x:c r="B3" s="61"/>
      <x:c r="C3" s="61"/>
      <x:c r="D3" s="61"/>
      <x:c r="E3" s="61"/>
      <x:c r="F3" s="61"/>
      <x:c r="G3" s="61"/>
      <x:c r="H3" s="61"/>
      <x:c r="I3" s="61"/>
      <x:c r="J3" s="61"/>
    </x:row>
    <x:row r="4" ht="23" customHeight="1">
      <x:c r="A4" s="62" t="str">
        <x:v>采用方案</x:v>
      </x:c>
      <x:c r="B4" s="62" t="str">
        <x:f>IF('使用说明'!$B$4=0,"工程当前","调优试算")</x:f>
        <x:v>工程当前</x:v>
      </x:c>
      <x:c r="C4" s="62"/>
      <x:c r="D4" s="62"/>
      <x:c r="E4" s="62"/>
      <x:c r="F4" s="62"/>
      <x:c r="G4" s="62"/>
      <x:c r="H4" s="62"/>
      <x:c r="I4" s="62"/>
      <x:c r="J4" s="62"/>
    </x:row>
    <x:row r="5" ht="23" customHeight="1">
      <x:c r="A5" s="62"/>
      <x:c r="B5" s="62"/>
      <x:c r="C5" s="62"/>
      <x:c r="D5" s="62"/>
      <x:c r="E5" s="62"/>
      <x:c r="F5" s="62"/>
      <x:c r="G5" s="62"/>
      <x:c r="H5" s="62"/>
      <x:c r="I5" s="62"/>
      <x:c r="J5" s="62"/>
    </x:row>
    <x:row r="6" ht="36" customHeight="1">
      <x:c r="A6" s="64" t="str">
        <x:v>起始关卡</x:v>
      </x:c>
      <x:c r="B6" s="64" t="str">
        <x:v>白色</x:v>
      </x:c>
      <x:c r="C6" s="64" t="str">
        <x:v>绿色</x:v>
      </x:c>
      <x:c r="D6" s="64" t="str">
        <x:v>蓝色</x:v>
      </x:c>
      <x:c r="E6" s="64" t="str">
        <x:v>紫色</x:v>
      </x:c>
      <x:c r="F6" s="64" t="str">
        <x:v>橙色</x:v>
      </x:c>
      <x:c r="G6" s="64" t="str">
        <x:v>红色</x:v>
      </x:c>
      <x:c r="H6" s="64" t="str">
        <x:v>金色</x:v>
      </x:c>
      <x:c r="I6" s="64" t="str">
        <x:v>合计</x:v>
      </x:c>
      <x:c r="J6" s="64" t="str">
        <x:v>状态</x:v>
      </x:c>
    </x:row>
    <x:row r="7" ht="23" customHeight="1">
      <x:c r="A7" s="62" t="n">
        <x:v>1</x:v>
      </x:c>
      <x:c r="B7" s="105" t="n">
        <x:v>0.94</x:v>
      </x:c>
      <x:c r="C7" s="105" t="n">
        <x:v>0.055</x:v>
      </x:c>
      <x:c r="D7" s="105" t="n">
        <x:v>0.005</x:v>
      </x:c>
      <x:c r="E7" s="105" t="n">
        <x:v>0</x:v>
      </x:c>
      <x:c r="F7" s="105" t="n">
        <x:v>0</x:v>
      </x:c>
      <x:c r="G7" s="105" t="n">
        <x:v>0</x:v>
      </x:c>
      <x:c r="H7" s="105" t="n">
        <x:v>0</x:v>
      </x:c>
      <x:c r="I7" s="105" t="n">
        <x:f>SUM(B7:H7)</x:f>
        <x:v>1</x:v>
      </x:c>
      <x:c r="J7" s="62" t="str">
        <x:f>IF(ABS(I7-1)&lt;0.000001,"正常","概率异常")</x:f>
        <x:v>正常</x:v>
      </x:c>
    </x:row>
    <x:row r="8" ht="23" customHeight="1">
      <x:c r="A8" s="62" t="n">
        <x:v>21</x:v>
      </x:c>
      <x:c r="B8" s="105" t="n">
        <x:v>0.8</x:v>
      </x:c>
      <x:c r="C8" s="105" t="n">
        <x:v>0.16</x:v>
      </x:c>
      <x:c r="D8" s="105" t="n">
        <x:v>0.035</x:v>
      </x:c>
      <x:c r="E8" s="105" t="n">
        <x:v>0.005</x:v>
      </x:c>
      <x:c r="F8" s="105" t="n">
        <x:v>0</x:v>
      </x:c>
      <x:c r="G8" s="105" t="n">
        <x:v>0</x:v>
      </x:c>
      <x:c r="H8" s="105" t="n">
        <x:v>0</x:v>
      </x:c>
      <x:c r="I8" s="105" t="n">
        <x:f>SUM(B8:H8)</x:f>
        <x:v>1</x:v>
      </x:c>
      <x:c r="J8" s="62" t="str">
        <x:f>IF(ABS(I8-1)&lt;0.000001,"正常","概率异常")</x:f>
        <x:v>正常</x:v>
      </x:c>
    </x:row>
    <x:row r="9" ht="23" customHeight="1">
      <x:c r="A9" s="62" t="n">
        <x:v>41</x:v>
      </x:c>
      <x:c r="B9" s="105" t="n">
        <x:v>0.68</x:v>
      </x:c>
      <x:c r="C9" s="105" t="n">
        <x:v>0.22</x:v>
      </x:c>
      <x:c r="D9" s="105" t="n">
        <x:v>0.08</x:v>
      </x:c>
      <x:c r="E9" s="105" t="n">
        <x:v>0.018</x:v>
      </x:c>
      <x:c r="F9" s="105" t="n">
        <x:v>0.002</x:v>
      </x:c>
      <x:c r="G9" s="105" t="n">
        <x:v>0</x:v>
      </x:c>
      <x:c r="H9" s="105" t="n">
        <x:v>0</x:v>
      </x:c>
      <x:c r="I9" s="105" t="n">
        <x:f>SUM(B9:H9)</x:f>
        <x:v>1</x:v>
      </x:c>
      <x:c r="J9" s="62" t="str">
        <x:f>IF(ABS(I9-1)&lt;0.000001,"正常","概率异常")</x:f>
        <x:v>正常</x:v>
      </x:c>
    </x:row>
    <x:row r="10" ht="23" customHeight="1">
      <x:c r="A10" s="62" t="n">
        <x:v>61</x:v>
      </x:c>
      <x:c r="B10" s="105" t="n">
        <x:v>0.55</x:v>
      </x:c>
      <x:c r="C10" s="105" t="n">
        <x:v>0.25</x:v>
      </x:c>
      <x:c r="D10" s="105" t="n">
        <x:v>0.14</x:v>
      </x:c>
      <x:c r="E10" s="105" t="n">
        <x:v>0.05</x:v>
      </x:c>
      <x:c r="F10" s="105" t="n">
        <x:v>0.009</x:v>
      </x:c>
      <x:c r="G10" s="105" t="n">
        <x:v>0.001</x:v>
      </x:c>
      <x:c r="H10" s="105" t="n">
        <x:v>0</x:v>
      </x:c>
      <x:c r="I10" s="105" t="n">
        <x:f>SUM(B10:H10)</x:f>
        <x:v>1</x:v>
      </x:c>
      <x:c r="J10" s="62" t="str">
        <x:f>IF(ABS(I10-1)&lt;0.000001,"正常","概率异常")</x:f>
        <x:v>正常</x:v>
      </x:c>
    </x:row>
    <x:row r="11" ht="23" customHeight="1">
      <x:c r="A11" s="62" t="n">
        <x:v>81</x:v>
      </x:c>
      <x:c r="B11" s="105" t="n">
        <x:v>0.43</x:v>
      </x:c>
      <x:c r="C11" s="105" t="n">
        <x:v>0.26</x:v>
      </x:c>
      <x:c r="D11" s="105" t="n">
        <x:v>0.18</x:v>
      </x:c>
      <x:c r="E11" s="105" t="n">
        <x:v>0.09</x:v>
      </x:c>
      <x:c r="F11" s="105" t="n">
        <x:v>0.035</x:v>
      </x:c>
      <x:c r="G11" s="105" t="n">
        <x:v>0.0045</x:v>
      </x:c>
      <x:c r="H11" s="105" t="n">
        <x:v>0.0005</x:v>
      </x:c>
      <x:c r="I11" s="105" t="n">
        <x:f>SUM(B11:H11)</x:f>
        <x:v>0.9999999999999998</x:v>
      </x:c>
      <x:c r="J11" s="62" t="str">
        <x:f>IF(ABS(I11-1)&lt;0.000001,"正常","概率异常")</x:f>
        <x:v>正常</x:v>
      </x:c>
    </x:row>
    <x:row r="12" ht="23" customHeight="1">
      <x:c r="A12" s="62" t="n">
        <x:v>121</x:v>
      </x:c>
      <x:c r="B12" s="105" t="n">
        <x:v>0.32</x:v>
      </x:c>
      <x:c r="C12" s="105" t="n">
        <x:v>0.25</x:v>
      </x:c>
      <x:c r="D12" s="105" t="n">
        <x:v>0.2</x:v>
      </x:c>
      <x:c r="E12" s="105" t="n">
        <x:v>0.13</x:v>
      </x:c>
      <x:c r="F12" s="105" t="n">
        <x:v>0.07</x:v>
      </x:c>
      <x:c r="G12" s="105" t="n">
        <x:v>0.025</x:v>
      </x:c>
      <x:c r="H12" s="105" t="n">
        <x:v>0.005</x:v>
      </x:c>
      <x:c r="I12" s="105" t="n">
        <x:f>SUM(B12:H12)</x:f>
        <x:v>1</x:v>
      </x:c>
      <x:c r="J12" s="62" t="str">
        <x:f>IF(ABS(I12-1)&lt;0.000001,"正常","概率异常")</x:f>
        <x:v>正常</x:v>
      </x:c>
    </x:row>
    <x:row r="13" ht="23" customHeight="1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</x:row>
    <x:row r="14" ht="23" customHeight="1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</x:row>
    <x:row r="15" ht="23" customHeight="1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</x:row>
    <x:row r="16" ht="23" customHeight="1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</x:row>
    <x:row r="17" ht="36" customHeight="1">
      <x:c r="A17" s="64" t="str">
        <x:v>试算起始关</x:v>
      </x:c>
      <x:c r="B17" s="64" t="str">
        <x:v>白色</x:v>
      </x:c>
      <x:c r="C17" s="64" t="str">
        <x:v>绿色</x:v>
      </x:c>
      <x:c r="D17" s="64" t="str">
        <x:v>蓝色</x:v>
      </x:c>
      <x:c r="E17" s="64" t="str">
        <x:v>紫色</x:v>
      </x:c>
      <x:c r="F17" s="64" t="str">
        <x:v>橙色</x:v>
      </x:c>
      <x:c r="G17" s="64" t="str">
        <x:v>红色</x:v>
      </x:c>
      <x:c r="H17" s="64" t="str">
        <x:v>金色</x:v>
      </x:c>
      <x:c r="I17" s="64" t="str">
        <x:v>合计</x:v>
      </x:c>
      <x:c r="J17" s="64" t="str">
        <x:v>状态</x:v>
      </x:c>
    </x:row>
    <x:row r="18" ht="23" customHeight="1">
      <x:c r="A18" s="106" t="n">
        <x:v>1</x:v>
      </x:c>
      <x:c r="B18" s="107" t="n">
        <x:v>0.92</x:v>
      </x:c>
      <x:c r="C18" s="107" t="n">
        <x:v>0.08</x:v>
      </x:c>
      <x:c r="D18" s="107" t="n">
        <x:v>0</x:v>
      </x:c>
      <x:c r="E18" s="107" t="n">
        <x:v>0</x:v>
      </x:c>
      <x:c r="F18" s="107" t="n">
        <x:v>0</x:v>
      </x:c>
      <x:c r="G18" s="107" t="n">
        <x:v>0</x:v>
      </x:c>
      <x:c r="H18" s="107" t="n">
        <x:v>0</x:v>
      </x:c>
      <x:c r="I18" s="105" t="n">
        <x:f>SUM(B18:H18)</x:f>
        <x:v>1</x:v>
      </x:c>
      <x:c r="J18" s="62" t="str">
        <x:f>IF(ABS(I18-1)&lt;0.000001,"正常","概率异常")</x:f>
        <x:v>正常</x:v>
      </x:c>
    </x:row>
    <x:row r="19" ht="23" customHeight="1">
      <x:c r="A19" s="106" t="n">
        <x:v>21</x:v>
      </x:c>
      <x:c r="B19" s="107" t="n">
        <x:v>0.8</x:v>
      </x:c>
      <x:c r="C19" s="107" t="n">
        <x:v>0.16</x:v>
      </x:c>
      <x:c r="D19" s="107" t="n">
        <x:v>0.04</x:v>
      </x:c>
      <x:c r="E19" s="107" t="n">
        <x:v>0</x:v>
      </x:c>
      <x:c r="F19" s="107" t="n">
        <x:v>0</x:v>
      </x:c>
      <x:c r="G19" s="107" t="n">
        <x:v>0</x:v>
      </x:c>
      <x:c r="H19" s="107" t="n">
        <x:v>0</x:v>
      </x:c>
      <x:c r="I19" s="105" t="n">
        <x:f>SUM(B19:H19)</x:f>
        <x:v>1</x:v>
      </x:c>
      <x:c r="J19" s="62" t="str">
        <x:f>IF(ABS(I19-1)&lt;0.000001,"正常","概率异常")</x:f>
        <x:v>正常</x:v>
      </x:c>
    </x:row>
    <x:row r="20" ht="23" customHeight="1">
      <x:c r="A20" s="106" t="n">
        <x:v>41</x:v>
      </x:c>
      <x:c r="B20" s="107" t="n">
        <x:v>0.68</x:v>
      </x:c>
      <x:c r="C20" s="107" t="n">
        <x:v>0.22</x:v>
      </x:c>
      <x:c r="D20" s="107" t="n">
        <x:v>0.09</x:v>
      </x:c>
      <x:c r="E20" s="107" t="n">
        <x:v>0.01</x:v>
      </x:c>
      <x:c r="F20" s="107" t="n">
        <x:v>0</x:v>
      </x:c>
      <x:c r="G20" s="107" t="n">
        <x:v>0</x:v>
      </x:c>
      <x:c r="H20" s="107" t="n">
        <x:v>0</x:v>
      </x:c>
      <x:c r="I20" s="105" t="n">
        <x:f>SUM(B20:H20)</x:f>
        <x:v>1</x:v>
      </x:c>
      <x:c r="J20" s="62" t="str">
        <x:f>IF(ABS(I20-1)&lt;0.000001,"正常","概率异常")</x:f>
        <x:v>正常</x:v>
      </x:c>
    </x:row>
    <x:row r="21" ht="23" customHeight="1">
      <x:c r="A21" s="106" t="n">
        <x:v>61</x:v>
      </x:c>
      <x:c r="B21" s="107" t="n">
        <x:v>0.56</x:v>
      </x:c>
      <x:c r="C21" s="107" t="n">
        <x:v>0.26</x:v>
      </x:c>
      <x:c r="D21" s="107" t="n">
        <x:v>0.14</x:v>
      </x:c>
      <x:c r="E21" s="107" t="n">
        <x:v>0.035</x:v>
      </x:c>
      <x:c r="F21" s="107" t="n">
        <x:v>0.005</x:v>
      </x:c>
      <x:c r="G21" s="107" t="n">
        <x:v>0</x:v>
      </x:c>
      <x:c r="H21" s="107" t="n">
        <x:v>0</x:v>
      </x:c>
      <x:c r="I21" s="105" t="n">
        <x:f>SUM(B21:H21)</x:f>
        <x:v>1</x:v>
      </x:c>
      <x:c r="J21" s="62" t="str">
        <x:f>IF(ABS(I21-1)&lt;0.000001,"正常","概率异常")</x:f>
        <x:v>正常</x:v>
      </x:c>
    </x:row>
    <x:row r="22" ht="23" customHeight="1">
      <x:c r="A22" s="106" t="n">
        <x:v>81</x:v>
      </x:c>
      <x:c r="B22" s="107" t="n">
        <x:v>0.46</x:v>
      </x:c>
      <x:c r="C22" s="107" t="n">
        <x:v>0.29</x:v>
      </x:c>
      <x:c r="D22" s="107" t="n">
        <x:v>0.17</x:v>
      </x:c>
      <x:c r="E22" s="107" t="n">
        <x:v>0.065</x:v>
      </x:c>
      <x:c r="F22" s="107" t="n">
        <x:v>0.014</x:v>
      </x:c>
      <x:c r="G22" s="107" t="n">
        <x:v>0.001</x:v>
      </x:c>
      <x:c r="H22" s="107" t="n">
        <x:v>0</x:v>
      </x:c>
      <x:c r="I22" s="105" t="n">
        <x:f>SUM(B22:H22)</x:f>
        <x:v>1</x:v>
      </x:c>
      <x:c r="J22" s="62" t="str">
        <x:f>IF(ABS(I22-1)&lt;0.000001,"正常","概率异常")</x:f>
        <x:v>正常</x:v>
      </x:c>
    </x:row>
    <x:row r="23" ht="23" customHeight="1">
      <x:c r="A23" s="106" t="n">
        <x:v>121</x:v>
      </x:c>
      <x:c r="B23" s="107" t="n">
        <x:v>0.33</x:v>
      </x:c>
      <x:c r="C23" s="107" t="n">
        <x:v>0.31</x:v>
      </x:c>
      <x:c r="D23" s="107" t="n">
        <x:v>0.22</x:v>
      </x:c>
      <x:c r="E23" s="107" t="n">
        <x:v>0.11</x:v>
      </x:c>
      <x:c r="F23" s="107" t="n">
        <x:v>0.026</x:v>
      </x:c>
      <x:c r="G23" s="107" t="n">
        <x:v>0.0038</x:v>
      </x:c>
      <x:c r="H23" s="107" t="n">
        <x:v>0.0002</x:v>
      </x:c>
      <x:c r="I23" s="105" t="n">
        <x:f>SUM(B23:H23)</x:f>
        <x:v>1</x:v>
      </x:c>
      <x:c r="J23" s="62" t="str">
        <x:f>IF(ABS(I23-1)&lt;0.000001,"正常","概率异常")</x:f>
        <x:v>正常</x:v>
      </x:c>
    </x:row>
    <x:row r="24" ht="23" customHeight="1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</x:row>
    <x:row r="25" ht="23" customHeight="1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</x:row>
    <x:row r="26" ht="23" customHeight="1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</x:row>
    <x:row r="27" ht="23" customHeight="1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</x:row>
    <x:row r="28" ht="36" customHeight="1">
      <x:c r="A28" s="64" t="str">
        <x:v>采用起始关</x:v>
      </x:c>
      <x:c r="B28" s="64" t="str">
        <x:v>白色</x:v>
      </x:c>
      <x:c r="C28" s="64" t="str">
        <x:v>绿色</x:v>
      </x:c>
      <x:c r="D28" s="64" t="str">
        <x:v>蓝色</x:v>
      </x:c>
      <x:c r="E28" s="64" t="str">
        <x:v>紫色</x:v>
      </x:c>
      <x:c r="F28" s="64" t="str">
        <x:v>橙色</x:v>
      </x:c>
      <x:c r="G28" s="64" t="str">
        <x:v>红色</x:v>
      </x:c>
      <x:c r="H28" s="64" t="str">
        <x:v>金色</x:v>
      </x:c>
      <x:c r="I28" s="64" t="str">
        <x:v>合计</x:v>
      </x:c>
      <x:c r="J28" s="64" t="str">
        <x:v>状态</x:v>
      </x:c>
    </x:row>
    <x:row r="29" ht="23" customHeight="1">
      <x:c r="A29" s="62" t="n">
        <x:f>IF('使用说明'!$B$4=0,A7,A18)</x:f>
        <x:v>1</x:v>
      </x:c>
      <x:c r="B29" s="105" t="n">
        <x:f>IF('使用说明'!$B$4=0,B7,B18)</x:f>
        <x:v>0.94</x:v>
      </x:c>
      <x:c r="C29" s="105" t="n">
        <x:f>IF('使用说明'!$B$4=0,C7,C18)</x:f>
        <x:v>0.055</x:v>
      </x:c>
      <x:c r="D29" s="105" t="n">
        <x:f>IF('使用说明'!$B$4=0,D7,D18)</x:f>
        <x:v>0.005</x:v>
      </x:c>
      <x:c r="E29" s="105" t="n">
        <x:f>IF('使用说明'!$B$4=0,E7,E18)</x:f>
        <x:v>0</x:v>
      </x:c>
      <x:c r="F29" s="105" t="n">
        <x:f>IF('使用说明'!$B$4=0,F7,F18)</x:f>
        <x:v>0</x:v>
      </x:c>
      <x:c r="G29" s="105" t="n">
        <x:f>IF('使用说明'!$B$4=0,G7,G18)</x:f>
        <x:v>0</x:v>
      </x:c>
      <x:c r="H29" s="105" t="n">
        <x:f>IF('使用说明'!$B$4=0,H7,H18)</x:f>
        <x:v>0</x:v>
      </x:c>
      <x:c r="I29" s="105" t="n">
        <x:f>SUM(B29:H29)</x:f>
        <x:v>1</x:v>
      </x:c>
      <x:c r="J29" s="62" t="str">
        <x:f>IF(ABS(I29-1)&lt;0.000001,"正常","概率异常")</x:f>
        <x:v>正常</x:v>
      </x:c>
    </x:row>
    <x:row r="30" ht="23" customHeight="1">
      <x:c r="A30" s="62" t="n">
        <x:f>IF('使用说明'!$B$4=0,A8,A19)</x:f>
        <x:v>21</x:v>
      </x:c>
      <x:c r="B30" s="105" t="n">
        <x:f>IF('使用说明'!$B$4=0,B8,B19)</x:f>
        <x:v>0.8</x:v>
      </x:c>
      <x:c r="C30" s="105" t="n">
        <x:f>IF('使用说明'!$B$4=0,C8,C19)</x:f>
        <x:v>0.16</x:v>
      </x:c>
      <x:c r="D30" s="105" t="n">
        <x:f>IF('使用说明'!$B$4=0,D8,D19)</x:f>
        <x:v>0.035</x:v>
      </x:c>
      <x:c r="E30" s="105" t="n">
        <x:f>IF('使用说明'!$B$4=0,E8,E19)</x:f>
        <x:v>0.005</x:v>
      </x:c>
      <x:c r="F30" s="105" t="n">
        <x:f>IF('使用说明'!$B$4=0,F8,F19)</x:f>
        <x:v>0</x:v>
      </x:c>
      <x:c r="G30" s="105" t="n">
        <x:f>IF('使用说明'!$B$4=0,G8,G19)</x:f>
        <x:v>0</x:v>
      </x:c>
      <x:c r="H30" s="105" t="n">
        <x:f>IF('使用说明'!$B$4=0,H8,H19)</x:f>
        <x:v>0</x:v>
      </x:c>
      <x:c r="I30" s="105" t="n">
        <x:f>SUM(B30:H30)</x:f>
        <x:v>1</x:v>
      </x:c>
      <x:c r="J30" s="62" t="str">
        <x:f>IF(ABS(I30-1)&lt;0.000001,"正常","概率异常")</x:f>
        <x:v>正常</x:v>
      </x:c>
    </x:row>
    <x:row r="31" ht="23" customHeight="1">
      <x:c r="A31" s="62" t="n">
        <x:f>IF('使用说明'!$B$4=0,A9,A20)</x:f>
        <x:v>41</x:v>
      </x:c>
      <x:c r="B31" s="105" t="n">
        <x:f>IF('使用说明'!$B$4=0,B9,B20)</x:f>
        <x:v>0.68</x:v>
      </x:c>
      <x:c r="C31" s="105" t="n">
        <x:f>IF('使用说明'!$B$4=0,C9,C20)</x:f>
        <x:v>0.22</x:v>
      </x:c>
      <x:c r="D31" s="105" t="n">
        <x:f>IF('使用说明'!$B$4=0,D9,D20)</x:f>
        <x:v>0.08</x:v>
      </x:c>
      <x:c r="E31" s="105" t="n">
        <x:f>IF('使用说明'!$B$4=0,E9,E20)</x:f>
        <x:v>0.018</x:v>
      </x:c>
      <x:c r="F31" s="105" t="n">
        <x:f>IF('使用说明'!$B$4=0,F9,F20)</x:f>
        <x:v>0.002</x:v>
      </x:c>
      <x:c r="G31" s="105" t="n">
        <x:f>IF('使用说明'!$B$4=0,G9,G20)</x:f>
        <x:v>0</x:v>
      </x:c>
      <x:c r="H31" s="105" t="n">
        <x:f>IF('使用说明'!$B$4=0,H9,H20)</x:f>
        <x:v>0</x:v>
      </x:c>
      <x:c r="I31" s="105" t="n">
        <x:f>SUM(B31:H31)</x:f>
        <x:v>1</x:v>
      </x:c>
      <x:c r="J31" s="62" t="str">
        <x:f>IF(ABS(I31-1)&lt;0.000001,"正常","概率异常")</x:f>
        <x:v>正常</x:v>
      </x:c>
    </x:row>
    <x:row r="32" ht="23" customHeight="1">
      <x:c r="A32" s="62" t="n">
        <x:f>IF('使用说明'!$B$4=0,A10,A21)</x:f>
        <x:v>61</x:v>
      </x:c>
      <x:c r="B32" s="105" t="n">
        <x:f>IF('使用说明'!$B$4=0,B10,B21)</x:f>
        <x:v>0.55</x:v>
      </x:c>
      <x:c r="C32" s="105" t="n">
        <x:f>IF('使用说明'!$B$4=0,C10,C21)</x:f>
        <x:v>0.25</x:v>
      </x:c>
      <x:c r="D32" s="105" t="n">
        <x:f>IF('使用说明'!$B$4=0,D10,D21)</x:f>
        <x:v>0.14</x:v>
      </x:c>
      <x:c r="E32" s="105" t="n">
        <x:f>IF('使用说明'!$B$4=0,E10,E21)</x:f>
        <x:v>0.05</x:v>
      </x:c>
      <x:c r="F32" s="105" t="n">
        <x:f>IF('使用说明'!$B$4=0,F10,F21)</x:f>
        <x:v>0.009</x:v>
      </x:c>
      <x:c r="G32" s="105" t="n">
        <x:f>IF('使用说明'!$B$4=0,G10,G21)</x:f>
        <x:v>0.001</x:v>
      </x:c>
      <x:c r="H32" s="105" t="n">
        <x:f>IF('使用说明'!$B$4=0,H10,H21)</x:f>
        <x:v>0</x:v>
      </x:c>
      <x:c r="I32" s="105" t="n">
        <x:f>SUM(B32:H32)</x:f>
        <x:v>1</x:v>
      </x:c>
      <x:c r="J32" s="62" t="str">
        <x:f>IF(ABS(I32-1)&lt;0.000001,"正常","概率异常")</x:f>
        <x:v>正常</x:v>
      </x:c>
    </x:row>
    <x:row r="33" ht="23" customHeight="1">
      <x:c r="A33" s="62" t="n">
        <x:f>IF('使用说明'!$B$4=0,A11,A22)</x:f>
        <x:v>81</x:v>
      </x:c>
      <x:c r="B33" s="105" t="n">
        <x:f>IF('使用说明'!$B$4=0,B11,B22)</x:f>
        <x:v>0.43</x:v>
      </x:c>
      <x:c r="C33" s="105" t="n">
        <x:f>IF('使用说明'!$B$4=0,C11,C22)</x:f>
        <x:v>0.26</x:v>
      </x:c>
      <x:c r="D33" s="105" t="n">
        <x:f>IF('使用说明'!$B$4=0,D11,D22)</x:f>
        <x:v>0.18</x:v>
      </x:c>
      <x:c r="E33" s="105" t="n">
        <x:f>IF('使用说明'!$B$4=0,E11,E22)</x:f>
        <x:v>0.09</x:v>
      </x:c>
      <x:c r="F33" s="105" t="n">
        <x:f>IF('使用说明'!$B$4=0,F11,F22)</x:f>
        <x:v>0.035</x:v>
      </x:c>
      <x:c r="G33" s="105" t="n">
        <x:f>IF('使用说明'!$B$4=0,G11,G22)</x:f>
        <x:v>0.0045</x:v>
      </x:c>
      <x:c r="H33" s="105" t="n">
        <x:f>IF('使用说明'!$B$4=0,H11,H22)</x:f>
        <x:v>0.0005</x:v>
      </x:c>
      <x:c r="I33" s="105" t="n">
        <x:f>SUM(B33:H33)</x:f>
        <x:v>0.9999999999999998</x:v>
      </x:c>
      <x:c r="J33" s="62" t="str">
        <x:f>IF(ABS(I33-1)&lt;0.000001,"正常","概率异常")</x:f>
        <x:v>正常</x:v>
      </x:c>
    </x:row>
    <x:row r="34" ht="23" customHeight="1">
      <x:c r="A34" s="62" t="n">
        <x:f>IF('使用说明'!$B$4=0,A12,A23)</x:f>
        <x:v>121</x:v>
      </x:c>
      <x:c r="B34" s="105" t="n">
        <x:f>IF('使用说明'!$B$4=0,B12,B23)</x:f>
        <x:v>0.32</x:v>
      </x:c>
      <x:c r="C34" s="105" t="n">
        <x:f>IF('使用说明'!$B$4=0,C12,C23)</x:f>
        <x:v>0.25</x:v>
      </x:c>
      <x:c r="D34" s="105" t="n">
        <x:f>IF('使用说明'!$B$4=0,D12,D23)</x:f>
        <x:v>0.2</x:v>
      </x:c>
      <x:c r="E34" s="105" t="n">
        <x:f>IF('使用说明'!$B$4=0,E12,E23)</x:f>
        <x:v>0.13</x:v>
      </x:c>
      <x:c r="F34" s="105" t="n">
        <x:f>IF('使用说明'!$B$4=0,F12,F23)</x:f>
        <x:v>0.07</x:v>
      </x:c>
      <x:c r="G34" s="105" t="n">
        <x:f>IF('使用说明'!$B$4=0,G12,G23)</x:f>
        <x:v>0.025</x:v>
      </x:c>
      <x:c r="H34" s="105" t="n">
        <x:f>IF('使用说明'!$B$4=0,H12,H23)</x:f>
        <x:v>0.005</x:v>
      </x:c>
      <x:c r="I34" s="105" t="n">
        <x:f>SUM(B34:H34)</x:f>
        <x:v>1</x:v>
      </x:c>
      <x:c r="J34" s="62" t="str">
        <x:f>IF(ABS(I34-1)&lt;0.000001,"正常","概率异常")</x:f>
        <x:v>正常</x:v>
      </x:c>
    </x:row>
    <x:row r="35" ht="23" customHeight="1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</x:row>
    <x:row r="36" ht="23" customHeight="1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</x:row>
    <x:row r="37" ht="23" customHeight="1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</x:row>
    <x:row r="38" ht="42" customHeight="1">
      <x:c r="A38" s="65" t="str">
        <x:v>长期每胜预期掉落</x:v>
      </x:c>
      <x:c r="B38" s="132" t="n">
        <x:f>IF('经济参数'!$E$46=0,1/('经济参数'!$E$47+1),'经济参数'!$E$46/(1-(1-'经济参数'!$E$46)^('经济参数'!$E$47+1)))</x:f>
        <x:v>0.6872058758851213</x:v>
      </x:c>
      <x:c r="C38" s="65" t="str">
        <x:v>稳态含保底；前几局与此期望有偏差</x:v>
      </x:c>
      <x:c r="D38" s="65"/>
      <x:c r="E38" s="65"/>
      <x:c r="F38" s="65"/>
      <x:c r="G38" s="65"/>
      <x:c r="H38" s="65"/>
      <x:c r="I38" s="65"/>
      <x:c r="J38" s="65"/>
    </x:row>
    <x:row r="39" ht="42" customHeight="1">
      <x:c r="A39" s="65" t="str">
        <x:v>集齐1人6部位期望件数</x:v>
      </x:c>
      <x:c r="B39" s="65" t="n">
        <x:f>6*(1+1/2+1/3+1/4+1/5+1/6)</x:f>
        <x:v>14.7</x:v>
      </x:c>
      <x:c r="C39" s="65" t="str">
        <x:v>同品质独立均匀抽样：14.7件；未含合成/军报</x:v>
      </x:c>
      <x:c r="D39" s="65"/>
      <x:c r="E39" s="65"/>
      <x:c r="F39" s="65"/>
      <x:c r="G39" s="65"/>
      <x:c r="H39" s="65"/>
      <x:c r="I39" s="65"/>
      <x:c r="J39" s="65"/>
    </x:row>
    <x:row r="40" ht="42" customHeight="1">
      <x:c r="A40" s="65" t="str">
        <x:v>试算关金装概率</x:v>
      </x:c>
      <x:c r="B40" s="132" t="n">
        <x:f>VLOOKUP('使用说明'!$B$5,A29:H34,8,TRUE)</x:f>
        <x:v>0</x:v>
      </x:c>
      <x:c r="C40" s="65" t="str">
        <x:v>条件概率：已经掉落装备时</x:v>
      </x:c>
      <x:c r="D40" s="65"/>
      <x:c r="E40" s="65"/>
      <x:c r="F40" s="65"/>
      <x:c r="G40" s="65"/>
      <x:c r="H40" s="65"/>
      <x:c r="I40" s="65"/>
      <x:c r="J40" s="65"/>
    </x:row>
    <x:row r="41" ht="42" customHeight="1">
      <x:c r="A41" s="65" t="str">
        <x:v>每件金装预期胜局</x:v>
      </x:c>
      <x:c r="B41" s="65" t="n">
        <x:f>IF(B40=0,0,1/(B38*B40))</x:f>
        <x:v>0</x:v>
      </x:c>
      <x:c r="C41" s="65" t="str">
        <x:v>0表示该区间不投放金装；不含军报/合成</x:v>
      </x:c>
      <x:c r="D41" s="65"/>
      <x:c r="E41" s="65"/>
      <x:c r="F41" s="65"/>
      <x:c r="G41" s="65"/>
      <x:c r="H41" s="65"/>
      <x:c r="I41" s="65"/>
      <x:c r="J41" s="65"/>
    </x:row>
    <x:row r="42" ht="42" customHeight="1">
      <x:c r="A42" s="65" t="str">
        <x:v>半年追求目标</x:v>
      </x:c>
      <x:c r="B42" s="65" t="n">
        <x:v>180</x:v>
      </x:c>
      <x:c r="C42" s="65" t="str">
        <x:v>目标天数，不是本表可保证的玩家留存率</x:v>
      </x:c>
      <x:c r="D42" s="65"/>
      <x:c r="E42" s="65"/>
      <x:c r="F42" s="65"/>
      <x:c r="G42" s="65"/>
      <x:c r="H42" s="65"/>
      <x:c r="I42" s="65"/>
      <x:c r="J42" s="65"/>
    </x:row>
    <x:row r="43" ht="23" customHeight="1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</x:row>
    <x:row r="44" ht="42" customHeight="1">
      <x:c r="A44" s="65" t="str">
        <x:v>单武将全套金装胜局</x:v>
      </x:c>
      <x:c r="B44" s="65" t="n">
        <x:f>IF(B40=0,0,B39/(B38*B40))</x:f>
        <x:v>0</x:v>
      </x:c>
      <x:c r="C44" s="65" t="str">
        <x:v>只算本关主线直接掉落；未含军报/合成、之前品质突破所需装备</x:v>
      </x:c>
      <x:c r="D44" s="65"/>
      <x:c r="E44" s="65"/>
      <x:c r="F44" s="65"/>
      <x:c r="G44" s="65"/>
      <x:c r="H44" s="65"/>
      <x:c r="I44" s="65"/>
      <x:c r="J44" s="65"/>
    </x:row>
    <x:row r="45" ht="42" customHeight="1">
      <x:c r="A45" s="65" t="str">
        <x:v>参考每日胜局</x:v>
      </x:c>
      <x:c r="B45" s="65" t="n">
        <x:f>AVERAGE('30天收支'!B22:AE22)</x:f>
        <x:v>12.506666666666668</x:v>
      </x:c>
      <x:c r="C45" s="65" t="str">
        <x:v>30天计划平均，不等于所有用户每天固定局数</x:v>
      </x:c>
      <x:c r="D45" s="65"/>
      <x:c r="E45" s="65"/>
      <x:c r="F45" s="65"/>
      <x:c r="G45" s="65"/>
      <x:c r="H45" s="65"/>
      <x:c r="I45" s="65"/>
      <x:c r="J45" s="65"/>
    </x:row>
    <x:row r="46" ht="42" customHeight="1">
      <x:c r="A46" s="65" t="str">
        <x:v>单武将金套天数估计</x:v>
      </x:c>
      <x:c r="B46" s="65" t="n">
        <x:f>IF(OR(B40=0,B45=0),0,B44/B45)</x:f>
        <x:v>0</x:v>
      </x:c>
      <x:c r="C46" s="65" t="str">
        <x:v>0表示本区间不可直接获取；换关概率不同，不能解读为实际成长周期</x:v>
      </x:c>
      <x:c r="D46" s="65"/>
      <x:c r="E46" s="65"/>
      <x:c r="F46" s="65"/>
      <x:c r="G46" s="65"/>
      <x:c r="H46" s="65"/>
      <x:c r="I46" s="65"/>
      <x:c r="J46" s="65"/>
    </x:row>
    <x:row r="47" ht="23" customHeight="1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</x:row>
    <x:row r="48" ht="23" customHeight="1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</x:row>
    <x:row r="49" ht="23" customHeight="1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</x:row>
    <x:row r="50" ht="23" customHeight="1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</x:row>
  </x:sheetData>
  <x:mergeCells>
    <x:mergeCell ref="A1:J2"/>
    <x:mergeCell ref="A3:J3"/>
    <x:mergeCell ref="C38:J38"/>
    <x:mergeCell ref="C39:J39"/>
    <x:mergeCell ref="C40:J40"/>
    <x:mergeCell ref="C41:J41"/>
    <x:mergeCell ref="C42:J42"/>
    <x:mergeCell ref="C44:J44"/>
    <x:mergeCell ref="C45:J45"/>
    <x:mergeCell ref="C46:J46"/>
    <x:mergeCell ref="B4:D4"/>
  </x:mergeCells>
  <x:dataValidations count="2">
    <x:dataValidation type="whole" operator="between" sqref="A18:A23">
      <x:formula1>1</x:formula1>
      <x:formula2>900</x:formula2>
    </x:dataValidation>
    <x:dataValidation type="decimal" operator="between" sqref="B18:H23">
      <x:formula1>0</x:formula1>
      <x:formula2>1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8B9C9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6" hidden="0" customWidth="1"/>
    <x:col min="4" max="4" width="17" hidden="0" customWidth="1"/>
    <x:col min="5" max="5" width="17" hidden="0" customWidth="1"/>
    <x:col min="6" max="6" width="17" hidden="0" customWidth="1"/>
    <x:col min="7" max="7" width="19" hidden="0" customWidth="1"/>
    <x:col min="8" max="8" width="20" hidden="0" customWidth="1"/>
    <x:col min="9" max="9" width="20" hidden="0" customWidth="1"/>
    <x:col min="10" max="10" width="21" hidden="0" customWidth="1"/>
    <x:col min="11" max="11" width="22" hidden="0" customWidth="1"/>
    <x:col min="12" max="12" width="23" hidden="0" customWidth="1"/>
  </x:cols>
  <x:sheetData>
    <x:row r="1" ht="23" customHeight="1">
      <x:c r="A1" s="59" t="str">
        <x:v>06｜强化消耗明细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2"/>
      <x:c r="L1" s="62"/>
    </x:row>
    <x:row r="2" ht="23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2"/>
      <x:c r="L2" s="62"/>
    </x:row>
    <x:row r="3" ht="44" customHeight="1">
      <x:c r="A3" s="61" t="str">
        <x:v>目标等级=当前等级+1；强化必成。列出+1～+300。实际强化上限为max(主角等级,最高解锁关卡)×2，可能超过300。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2"/>
      <x:c r="L3" s="62"/>
    </x:row>
    <x:row r="4" ht="23" customHeight="1">
      <x:c r="A4" s="62" t="str">
        <x:v>采用方案</x:v>
      </x:c>
      <x:c r="B4" s="62" t="str">
        <x:f>IF('使用说明'!$B$4=0,"工程当前","调优试算")</x:f>
        <x:v>工程当前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</x:row>
    <x:row r="5" ht="23" customHeight="1">
      <x:c r="A5" s="62"/>
      <x:c r="B5" s="62"/>
      <x:c r="C5" s="62"/>
      <x:c r="D5" s="62"/>
      <x:c r="E5" s="62"/>
      <x:c r="F5" s="62"/>
      <x:c r="G5" s="62"/>
      <x:c r="H5" s="62"/>
      <x:c r="I5" s="62"/>
      <x:c r="J5" s="62"/>
      <x:c r="K5" s="62"/>
      <x:c r="L5" s="62"/>
    </x:row>
    <x:row r="6" ht="36" customHeight="1">
      <x:c r="A6" s="64" t="str">
        <x:v>目标起始级</x:v>
      </x:c>
      <x:c r="B6" s="64" t="str">
        <x:v>当前石头</x:v>
      </x:c>
      <x:c r="C6" s="64" t="str">
        <x:v>当前金币倍率</x:v>
      </x:c>
      <x:c r="D6" s="64" t="str">
        <x:v>试算石头</x:v>
      </x:c>
      <x:c r="E6" s="64" t="str">
        <x:v>试算金币倍率</x:v>
      </x:c>
      <x:c r="F6" s="64" t="str">
        <x:v>采用石头</x:v>
      </x:c>
      <x:c r="G6" s="64" t="str">
        <x:v>采用金币倍率</x:v>
      </x:c>
      <x:c r="H6" s="62"/>
      <x:c r="I6" s="62"/>
      <x:c r="J6" s="62"/>
      <x:c r="K6" s="62"/>
      <x:c r="L6" s="62"/>
    </x:row>
    <x:row r="7" ht="23" customHeight="1">
      <x:c r="A7" s="62" t="n">
        <x:v>1</x:v>
      </x:c>
      <x:c r="B7" s="62" t="n">
        <x:v>1</x:v>
      </x:c>
      <x:c r="C7" s="62" t="n">
        <x:v>1</x:v>
      </x:c>
      <x:c r="D7" s="106" t="n">
        <x:v>1</x:v>
      </x:c>
      <x:c r="E7" s="106" t="n">
        <x:v>1</x:v>
      </x:c>
      <x:c r="F7" s="62" t="n">
        <x:f>IF('使用说明'!$B$4=0,B7,D7)</x:f>
        <x:v>1</x:v>
      </x:c>
      <x:c r="G7" s="62" t="n">
        <x:f>IF('使用说明'!$B$4=0,C7,E7)</x:f>
        <x:v>1</x:v>
      </x:c>
      <x:c r="H7" s="62"/>
      <x:c r="I7" s="62"/>
      <x:c r="J7" s="62"/>
      <x:c r="K7" s="62"/>
      <x:c r="L7" s="62"/>
    </x:row>
    <x:row r="8" ht="23" customHeight="1">
      <x:c r="A8" s="62" t="n">
        <x:v>6</x:v>
      </x:c>
      <x:c r="B8" s="62" t="n">
        <x:v>2</x:v>
      </x:c>
      <x:c r="C8" s="62" t="n">
        <x:v>1.15</x:v>
      </x:c>
      <x:c r="D8" s="106" t="n">
        <x:v>2</x:v>
      </x:c>
      <x:c r="E8" s="106" t="n">
        <x:v>1.15</x:v>
      </x:c>
      <x:c r="F8" s="62" t="n">
        <x:f>IF('使用说明'!$B$4=0,B8,D8)</x:f>
        <x:v>2</x:v>
      </x:c>
      <x:c r="G8" s="62" t="n">
        <x:f>IF('使用说明'!$B$4=0,C8,E8)</x:f>
        <x:v>1.15</x:v>
      </x:c>
      <x:c r="H8" s="62"/>
      <x:c r="I8" s="62"/>
      <x:c r="J8" s="62"/>
      <x:c r="K8" s="62"/>
      <x:c r="L8" s="62"/>
    </x:row>
    <x:row r="9" ht="23" customHeight="1">
      <x:c r="A9" s="62" t="n">
        <x:v>11</x:v>
      </x:c>
      <x:c r="B9" s="62" t="n">
        <x:v>3</x:v>
      </x:c>
      <x:c r="C9" s="62" t="n">
        <x:v>1.4</x:v>
      </x:c>
      <x:c r="D9" s="106" t="n">
        <x:v>3</x:v>
      </x:c>
      <x:c r="E9" s="106" t="n">
        <x:v>1.4</x:v>
      </x:c>
      <x:c r="F9" s="62" t="n">
        <x:f>IF('使用说明'!$B$4=0,B9,D9)</x:f>
        <x:v>3</x:v>
      </x:c>
      <x:c r="G9" s="62" t="n">
        <x:f>IF('使用说明'!$B$4=0,C9,E9)</x:f>
        <x:v>1.4</x:v>
      </x:c>
      <x:c r="H9" s="62"/>
      <x:c r="I9" s="62"/>
      <x:c r="J9" s="62"/>
      <x:c r="K9" s="62"/>
      <x:c r="L9" s="62"/>
    </x:row>
    <x:row r="10" ht="23" customHeight="1">
      <x:c r="A10" s="62" t="n">
        <x:v>21</x:v>
      </x:c>
      <x:c r="B10" s="62" t="n">
        <x:v>5</x:v>
      </x:c>
      <x:c r="C10" s="62" t="n">
        <x:v>1.8</x:v>
      </x:c>
      <x:c r="D10" s="106" t="n">
        <x:v>5</x:v>
      </x:c>
      <x:c r="E10" s="106" t="n">
        <x:v>1.8</x:v>
      </x:c>
      <x:c r="F10" s="62" t="n">
        <x:f>IF('使用说明'!$B$4=0,B10,D10)</x:f>
        <x:v>5</x:v>
      </x:c>
      <x:c r="G10" s="62" t="n">
        <x:f>IF('使用说明'!$B$4=0,C10,E10)</x:f>
        <x:v>1.8</x:v>
      </x:c>
      <x:c r="H10" s="62"/>
      <x:c r="I10" s="62"/>
      <x:c r="J10" s="62"/>
      <x:c r="K10" s="62"/>
      <x:c r="L10" s="62"/>
    </x:row>
    <x:row r="11" ht="23" customHeight="1">
      <x:c r="A11" s="62" t="n">
        <x:v>36</x:v>
      </x:c>
      <x:c r="B11" s="62" t="n">
        <x:v>8</x:v>
      </x:c>
      <x:c r="C11" s="62" t="n">
        <x:v>2.25</x:v>
      </x:c>
      <x:c r="D11" s="106" t="n">
        <x:v>8</x:v>
      </x:c>
      <x:c r="E11" s="106" t="n">
        <x:v>2.25</x:v>
      </x:c>
      <x:c r="F11" s="62" t="n">
        <x:f>IF('使用说明'!$B$4=0,B11,D11)</x:f>
        <x:v>8</x:v>
      </x:c>
      <x:c r="G11" s="62" t="n">
        <x:f>IF('使用说明'!$B$4=0,C11,E11)</x:f>
        <x:v>2.25</x:v>
      </x:c>
      <x:c r="H11" s="62"/>
      <x:c r="I11" s="62"/>
      <x:c r="J11" s="62"/>
      <x:c r="K11" s="62"/>
      <x:c r="L11" s="62"/>
    </x:row>
    <x:row r="12" ht="23" customHeight="1">
      <x:c r="A12" s="62" t="n">
        <x:v>51</x:v>
      </x:c>
      <x:c r="B12" s="62" t="n">
        <x:v>12</x:v>
      </x:c>
      <x:c r="C12" s="62" t="n">
        <x:v>2.8</x:v>
      </x:c>
      <x:c r="D12" s="106" t="n">
        <x:v>12</x:v>
      </x:c>
      <x:c r="E12" s="106" t="n">
        <x:v>2.8</x:v>
      </x:c>
      <x:c r="F12" s="62" t="n">
        <x:f>IF('使用说明'!$B$4=0,B12,D12)</x:f>
        <x:v>12</x:v>
      </x:c>
      <x:c r="G12" s="62" t="n">
        <x:f>IF('使用说明'!$B$4=0,C12,E12)</x:f>
        <x:v>2.8</x:v>
      </x:c>
      <x:c r="H12" s="62"/>
      <x:c r="I12" s="62"/>
      <x:c r="J12" s="62"/>
      <x:c r="K12" s="62"/>
      <x:c r="L12" s="62"/>
    </x:row>
    <x:row r="13" ht="23" customHeight="1">
      <x:c r="A13" s="62" t="n">
        <x:v>66</x:v>
      </x:c>
      <x:c r="B13" s="62" t="n">
        <x:v>18</x:v>
      </x:c>
      <x:c r="C13" s="62" t="n">
        <x:v>3.5</x:v>
      </x:c>
      <x:c r="D13" s="106" t="n">
        <x:v>18</x:v>
      </x:c>
      <x:c r="E13" s="106" t="n">
        <x:v>3.5</x:v>
      </x:c>
      <x:c r="F13" s="62" t="n">
        <x:f>IF('使用说明'!$B$4=0,B13,D13)</x:f>
        <x:v>18</x:v>
      </x:c>
      <x:c r="G13" s="62" t="n">
        <x:f>IF('使用说明'!$B$4=0,C13,E13)</x:f>
        <x:v>3.5</x:v>
      </x:c>
      <x:c r="H13" s="62"/>
      <x:c r="I13" s="62"/>
      <x:c r="J13" s="62"/>
      <x:c r="K13" s="62"/>
      <x:c r="L13" s="62"/>
    </x:row>
    <x:row r="14" ht="23" customHeight="1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</x:row>
    <x:row r="15" ht="23" customHeight="1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</x:row>
    <x:row r="16" ht="23" customHeight="1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</x:row>
    <x:row r="17" ht="23" customHeight="1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</x:row>
    <x:row r="18" ht="36" customHeight="1">
      <x:c r="A18" s="64" t="str">
        <x:v>目标等级</x:v>
      </x:c>
      <x:c r="B18" s="64" t="str">
        <x:v>材料/次</x:v>
      </x:c>
      <x:c r="C18" s="64" t="str">
        <x:v>金币/次</x:v>
      </x:c>
      <x:c r="D18" s="64" t="str">
        <x:v>当前成功率</x:v>
      </x:c>
      <x:c r="E18" s="64" t="str">
        <x:v>试算成功率</x:v>
      </x:c>
      <x:c r="F18" s="64" t="str">
        <x:v>采用成功率</x:v>
      </x:c>
      <x:c r="G18" s="64" t="str">
        <x:v>材料期望/级</x:v>
      </x:c>
      <x:c r="H18" s="64" t="str">
        <x:v>金币期望/级</x:v>
      </x:c>
      <x:c r="I18" s="64" t="str">
        <x:v>累计材料/槽</x:v>
      </x:c>
      <x:c r="J18" s="64" t="str">
        <x:v>累计金币/槽</x:v>
      </x:c>
      <x:c r="K18" s="64" t="str">
        <x:v>18槽累计材料</x:v>
      </x:c>
      <x:c r="L18" s="64" t="str">
        <x:v>18槽累计金币</x:v>
      </x:c>
    </x:row>
    <x:row r="19" ht="23" customHeight="1">
      <x:c r="A19" s="119" t="n">
        <x:v>1</x:v>
      </x:c>
      <x:c r="B19" s="119" t="n">
        <x:f>VLOOKUP(A19,$A$7:$G$13,6,TRUE)</x:f>
        <x:v>1</x:v>
      </x:c>
      <x:c r="C19" s="119" t="n">
        <x:f>ROUNDUP(('经济参数'!$E$52+(A19-1)*'经济参数'!$E$53)*VLOOKUP(A19,$A$7:$G$13,7,TRUE),0)</x:f>
        <x:v>200</x:v>
      </x:c>
      <x:c r="D19" s="110" t="n">
        <x:v>1</x:v>
      </x:c>
      <x:c r="E19" s="110" t="n">
        <x:v>1</x:v>
      </x:c>
      <x:c r="F19" s="110" t="n">
        <x:f>IF('使用说明'!$B$4=0,D19,E19)</x:f>
        <x:v>1</x:v>
      </x:c>
      <x:c r="G19" s="62" t="n">
        <x:f>IFERROR(B19/F19,0)</x:f>
        <x:v>1</x:v>
      </x:c>
      <x:c r="H19" s="62" t="n">
        <x:f>IFERROR(C19/F19,0)</x:f>
        <x:v>200</x:v>
      </x:c>
      <x:c r="I19" s="62" t="n">
        <x:f>SUM(G$19:G19)</x:f>
        <x:v>1</x:v>
      </x:c>
      <x:c r="J19" s="62" t="n">
        <x:f>SUM(H$19:H19)</x:f>
        <x:v>200</x:v>
      </x:c>
      <x:c r="K19" s="62" t="n">
        <x:f>I19*18</x:f>
        <x:v>18</x:v>
      </x:c>
      <x:c r="L19" s="62" t="n">
        <x:f>J19*18</x:f>
        <x:v>3600</x:v>
      </x:c>
    </x:row>
    <x:row r="20" ht="23" customHeight="1">
      <x:c r="A20" s="119" t="n">
        <x:v>2</x:v>
      </x:c>
      <x:c r="B20" s="119" t="n">
        <x:f>VLOOKUP(A20,$A$7:$G$13,6,TRUE)</x:f>
        <x:v>1</x:v>
      </x:c>
      <x:c r="C20" s="119" t="n">
        <x:f>ROUNDUP(('经济参数'!$E$52+(A20-1)*'经济参数'!$E$53)*VLOOKUP(A20,$A$7:$G$13,7,TRUE),0)</x:f>
        <x:v>320</x:v>
      </x:c>
      <x:c r="D20" s="110" t="n">
        <x:v>1</x:v>
      </x:c>
      <x:c r="E20" s="110" t="n">
        <x:v>1</x:v>
      </x:c>
      <x:c r="F20" s="110" t="n">
        <x:f>IF('使用说明'!$B$4=0,D20,E20)</x:f>
        <x:v>1</x:v>
      </x:c>
      <x:c r="G20" s="62" t="n">
        <x:f>IFERROR(B20/F20,0)</x:f>
        <x:v>1</x:v>
      </x:c>
      <x:c r="H20" s="62" t="n">
        <x:f>IFERROR(C20/F20,0)</x:f>
        <x:v>320</x:v>
      </x:c>
      <x:c r="I20" s="62" t="n">
        <x:f>SUM(G$19:G20)</x:f>
        <x:v>2</x:v>
      </x:c>
      <x:c r="J20" s="62" t="n">
        <x:f>SUM(H$19:H20)</x:f>
        <x:v>520</x:v>
      </x:c>
      <x:c r="K20" s="62" t="n">
        <x:f>I20*18</x:f>
        <x:v>36</x:v>
      </x:c>
      <x:c r="L20" s="62" t="n">
        <x:f>J20*18</x:f>
        <x:v>9360</x:v>
      </x:c>
    </x:row>
    <x:row r="21" ht="23" customHeight="1">
      <x:c r="A21" s="119" t="n">
        <x:v>3</x:v>
      </x:c>
      <x:c r="B21" s="119" t="n">
        <x:f>VLOOKUP(A21,$A$7:$G$13,6,TRUE)</x:f>
        <x:v>1</x:v>
      </x:c>
      <x:c r="C21" s="119" t="n">
        <x:f>ROUNDUP(('经济参数'!$E$52+(A21-1)*'经济参数'!$E$53)*VLOOKUP(A21,$A$7:$G$13,7,TRUE),0)</x:f>
        <x:v>440</x:v>
      </x:c>
      <x:c r="D21" s="110" t="n">
        <x:v>1</x:v>
      </x:c>
      <x:c r="E21" s="110" t="n">
        <x:v>1</x:v>
      </x:c>
      <x:c r="F21" s="110" t="n">
        <x:f>IF('使用说明'!$B$4=0,D21,E21)</x:f>
        <x:v>1</x:v>
      </x:c>
      <x:c r="G21" s="62" t="n">
        <x:f>IFERROR(B21/F21,0)</x:f>
        <x:v>1</x:v>
      </x:c>
      <x:c r="H21" s="62" t="n">
        <x:f>IFERROR(C21/F21,0)</x:f>
        <x:v>440</x:v>
      </x:c>
      <x:c r="I21" s="62" t="n">
        <x:f>SUM(G$19:G21)</x:f>
        <x:v>3</x:v>
      </x:c>
      <x:c r="J21" s="62" t="n">
        <x:f>SUM(H$19:H21)</x:f>
        <x:v>960</x:v>
      </x:c>
      <x:c r="K21" s="62" t="n">
        <x:f>I21*18</x:f>
        <x:v>54</x:v>
      </x:c>
      <x:c r="L21" s="62" t="n">
        <x:f>J21*18</x:f>
        <x:v>17280</x:v>
      </x:c>
    </x:row>
    <x:row r="22" ht="23" customHeight="1">
      <x:c r="A22" s="119" t="n">
        <x:v>4</x:v>
      </x:c>
      <x:c r="B22" s="119" t="n">
        <x:f>VLOOKUP(A22,$A$7:$G$13,6,TRUE)</x:f>
        <x:v>1</x:v>
      </x:c>
      <x:c r="C22" s="119" t="n">
        <x:f>ROUNDUP(('经济参数'!$E$52+(A22-1)*'经济参数'!$E$53)*VLOOKUP(A22,$A$7:$G$13,7,TRUE),0)</x:f>
        <x:v>560</x:v>
      </x:c>
      <x:c r="D22" s="110" t="n">
        <x:v>1</x:v>
      </x:c>
      <x:c r="E22" s="110" t="n">
        <x:v>1</x:v>
      </x:c>
      <x:c r="F22" s="110" t="n">
        <x:f>IF('使用说明'!$B$4=0,D22,E22)</x:f>
        <x:v>1</x:v>
      </x:c>
      <x:c r="G22" s="62" t="n">
        <x:f>IFERROR(B22/F22,0)</x:f>
        <x:v>1</x:v>
      </x:c>
      <x:c r="H22" s="62" t="n">
        <x:f>IFERROR(C22/F22,0)</x:f>
        <x:v>560</x:v>
      </x:c>
      <x:c r="I22" s="62" t="n">
        <x:f>SUM(G$19:G22)</x:f>
        <x:v>4</x:v>
      </x:c>
      <x:c r="J22" s="62" t="n">
        <x:f>SUM(H$19:H22)</x:f>
        <x:v>1520</x:v>
      </x:c>
      <x:c r="K22" s="62" t="n">
        <x:f>I22*18</x:f>
        <x:v>72</x:v>
      </x:c>
      <x:c r="L22" s="62" t="n">
        <x:f>J22*18</x:f>
        <x:v>27360</x:v>
      </x:c>
    </x:row>
    <x:row r="23" ht="23" customHeight="1">
      <x:c r="A23" s="119" t="n">
        <x:v>5</x:v>
      </x:c>
      <x:c r="B23" s="119" t="n">
        <x:f>VLOOKUP(A23,$A$7:$G$13,6,TRUE)</x:f>
        <x:v>1</x:v>
      </x:c>
      <x:c r="C23" s="119" t="n">
        <x:f>ROUNDUP(('经济参数'!$E$52+(A23-1)*'经济参数'!$E$53)*VLOOKUP(A23,$A$7:$G$13,7,TRUE),0)</x:f>
        <x:v>680</x:v>
      </x:c>
      <x:c r="D23" s="110" t="n">
        <x:v>1</x:v>
      </x:c>
      <x:c r="E23" s="110" t="n">
        <x:v>1</x:v>
      </x:c>
      <x:c r="F23" s="110" t="n">
        <x:f>IF('使用说明'!$B$4=0,D23,E23)</x:f>
        <x:v>1</x:v>
      </x:c>
      <x:c r="G23" s="62" t="n">
        <x:f>IFERROR(B23/F23,0)</x:f>
        <x:v>1</x:v>
      </x:c>
      <x:c r="H23" s="62" t="n">
        <x:f>IFERROR(C23/F23,0)</x:f>
        <x:v>680</x:v>
      </x:c>
      <x:c r="I23" s="62" t="n">
        <x:f>SUM(G$19:G23)</x:f>
        <x:v>5</x:v>
      </x:c>
      <x:c r="J23" s="62" t="n">
        <x:f>SUM(H$19:H23)</x:f>
        <x:v>2200</x:v>
      </x:c>
      <x:c r="K23" s="62" t="n">
        <x:f>I23*18</x:f>
        <x:v>90</x:v>
      </x:c>
      <x:c r="L23" s="62" t="n">
        <x:f>J23*18</x:f>
        <x:v>39600</x:v>
      </x:c>
    </x:row>
    <x:row r="24" ht="23" customHeight="1">
      <x:c r="A24" s="119" t="n">
        <x:v>6</x:v>
      </x:c>
      <x:c r="B24" s="119" t="n">
        <x:f>VLOOKUP(A24,$A$7:$G$13,6,TRUE)</x:f>
        <x:v>2</x:v>
      </x:c>
      <x:c r="C24" s="119" t="n">
        <x:f>ROUNDUP(('经济参数'!$E$52+(A24-1)*'经济参数'!$E$53)*VLOOKUP(A24,$A$7:$G$13,7,TRUE),0)</x:f>
        <x:v>920</x:v>
      </x:c>
      <x:c r="D24" s="110" t="n">
        <x:v>1</x:v>
      </x:c>
      <x:c r="E24" s="110" t="n">
        <x:v>1</x:v>
      </x:c>
      <x:c r="F24" s="110" t="n">
        <x:f>IF('使用说明'!$B$4=0,D24,E24)</x:f>
        <x:v>1</x:v>
      </x:c>
      <x:c r="G24" s="62" t="n">
        <x:f>IFERROR(B24/F24,0)</x:f>
        <x:v>2</x:v>
      </x:c>
      <x:c r="H24" s="62" t="n">
        <x:f>IFERROR(C24/F24,0)</x:f>
        <x:v>920</x:v>
      </x:c>
      <x:c r="I24" s="62" t="n">
        <x:f>SUM(G$19:G24)</x:f>
        <x:v>7</x:v>
      </x:c>
      <x:c r="J24" s="62" t="n">
        <x:f>SUM(H$19:H24)</x:f>
        <x:v>3120</x:v>
      </x:c>
      <x:c r="K24" s="62" t="n">
        <x:f>I24*18</x:f>
        <x:v>126</x:v>
      </x:c>
      <x:c r="L24" s="62" t="n">
        <x:f>J24*18</x:f>
        <x:v>56160</x:v>
      </x:c>
    </x:row>
    <x:row r="25" ht="23" customHeight="1">
      <x:c r="A25" s="119" t="n">
        <x:v>7</x:v>
      </x:c>
      <x:c r="B25" s="119" t="n">
        <x:f>VLOOKUP(A25,$A$7:$G$13,6,TRUE)</x:f>
        <x:v>2</x:v>
      </x:c>
      <x:c r="C25" s="119" t="n">
        <x:f>ROUNDUP(('经济参数'!$E$52+(A25-1)*'经济参数'!$E$53)*VLOOKUP(A25,$A$7:$G$13,7,TRUE),0)</x:f>
        <x:v>1058</x:v>
      </x:c>
      <x:c r="D25" s="110" t="n">
        <x:v>1</x:v>
      </x:c>
      <x:c r="E25" s="110" t="n">
        <x:v>1</x:v>
      </x:c>
      <x:c r="F25" s="110" t="n">
        <x:f>IF('使用说明'!$B$4=0,D25,E25)</x:f>
        <x:v>1</x:v>
      </x:c>
      <x:c r="G25" s="62" t="n">
        <x:f>IFERROR(B25/F25,0)</x:f>
        <x:v>2</x:v>
      </x:c>
      <x:c r="H25" s="62" t="n">
        <x:f>IFERROR(C25/F25,0)</x:f>
        <x:v>1058</x:v>
      </x:c>
      <x:c r="I25" s="62" t="n">
        <x:f>SUM(G$19:G25)</x:f>
        <x:v>9</x:v>
      </x:c>
      <x:c r="J25" s="62" t="n">
        <x:f>SUM(H$19:H25)</x:f>
        <x:v>4178</x:v>
      </x:c>
      <x:c r="K25" s="62" t="n">
        <x:f>I25*18</x:f>
        <x:v>162</x:v>
      </x:c>
      <x:c r="L25" s="62" t="n">
        <x:f>J25*18</x:f>
        <x:v>75204</x:v>
      </x:c>
    </x:row>
    <x:row r="26" ht="23" customHeight="1">
      <x:c r="A26" s="119" t="n">
        <x:v>8</x:v>
      </x:c>
      <x:c r="B26" s="119" t="n">
        <x:f>VLOOKUP(A26,$A$7:$G$13,6,TRUE)</x:f>
        <x:v>2</x:v>
      </x:c>
      <x:c r="C26" s="119" t="n">
        <x:f>ROUNDUP(('经济参数'!$E$52+(A26-1)*'经济参数'!$E$53)*VLOOKUP(A26,$A$7:$G$13,7,TRUE),0)</x:f>
        <x:v>1196</x:v>
      </x:c>
      <x:c r="D26" s="110" t="n">
        <x:v>1</x:v>
      </x:c>
      <x:c r="E26" s="110" t="n">
        <x:v>1</x:v>
      </x:c>
      <x:c r="F26" s="110" t="n">
        <x:f>IF('使用说明'!$B$4=0,D26,E26)</x:f>
        <x:v>1</x:v>
      </x:c>
      <x:c r="G26" s="62" t="n">
        <x:f>IFERROR(B26/F26,0)</x:f>
        <x:v>2</x:v>
      </x:c>
      <x:c r="H26" s="62" t="n">
        <x:f>IFERROR(C26/F26,0)</x:f>
        <x:v>1196</x:v>
      </x:c>
      <x:c r="I26" s="62" t="n">
        <x:f>SUM(G$19:G26)</x:f>
        <x:v>11</x:v>
      </x:c>
      <x:c r="J26" s="62" t="n">
        <x:f>SUM(H$19:H26)</x:f>
        <x:v>5374</x:v>
      </x:c>
      <x:c r="K26" s="62" t="n">
        <x:f>I26*18</x:f>
        <x:v>198</x:v>
      </x:c>
      <x:c r="L26" s="62" t="n">
        <x:f>J26*18</x:f>
        <x:v>96732</x:v>
      </x:c>
    </x:row>
    <x:row r="27" ht="23" customHeight="1">
      <x:c r="A27" s="119" t="n">
        <x:v>9</x:v>
      </x:c>
      <x:c r="B27" s="119" t="n">
        <x:f>VLOOKUP(A27,$A$7:$G$13,6,TRUE)</x:f>
        <x:v>2</x:v>
      </x:c>
      <x:c r="C27" s="119" t="n">
        <x:f>ROUNDUP(('经济参数'!$E$52+(A27-1)*'经济参数'!$E$53)*VLOOKUP(A27,$A$7:$G$13,7,TRUE),0)</x:f>
        <x:v>1334</x:v>
      </x:c>
      <x:c r="D27" s="110" t="n">
        <x:v>1</x:v>
      </x:c>
      <x:c r="E27" s="110" t="n">
        <x:v>1</x:v>
      </x:c>
      <x:c r="F27" s="110" t="n">
        <x:f>IF('使用说明'!$B$4=0,D27,E27)</x:f>
        <x:v>1</x:v>
      </x:c>
      <x:c r="G27" s="62" t="n">
        <x:f>IFERROR(B27/F27,0)</x:f>
        <x:v>2</x:v>
      </x:c>
      <x:c r="H27" s="62" t="n">
        <x:f>IFERROR(C27/F27,0)</x:f>
        <x:v>1334</x:v>
      </x:c>
      <x:c r="I27" s="62" t="n">
        <x:f>SUM(G$19:G27)</x:f>
        <x:v>13</x:v>
      </x:c>
      <x:c r="J27" s="62" t="n">
        <x:f>SUM(H$19:H27)</x:f>
        <x:v>6708</x:v>
      </x:c>
      <x:c r="K27" s="62" t="n">
        <x:f>I27*18</x:f>
        <x:v>234</x:v>
      </x:c>
      <x:c r="L27" s="62" t="n">
        <x:f>J27*18</x:f>
        <x:v>120744</x:v>
      </x:c>
    </x:row>
    <x:row r="28" ht="23" customHeight="1">
      <x:c r="A28" s="119" t="n">
        <x:v>10</x:v>
      </x:c>
      <x:c r="B28" s="119" t="n">
        <x:f>VLOOKUP(A28,$A$7:$G$13,6,TRUE)</x:f>
        <x:v>2</x:v>
      </x:c>
      <x:c r="C28" s="119" t="n">
        <x:f>ROUNDUP(('经济参数'!$E$52+(A28-1)*'经济参数'!$E$53)*VLOOKUP(A28,$A$7:$G$13,7,TRUE),0)</x:f>
        <x:v>1472</x:v>
      </x:c>
      <x:c r="D28" s="110" t="n">
        <x:v>1</x:v>
      </x:c>
      <x:c r="E28" s="110" t="n">
        <x:v>1</x:v>
      </x:c>
      <x:c r="F28" s="110" t="n">
        <x:f>IF('使用说明'!$B$4=0,D28,E28)</x:f>
        <x:v>1</x:v>
      </x:c>
      <x:c r="G28" s="62" t="n">
        <x:f>IFERROR(B28/F28,0)</x:f>
        <x:v>2</x:v>
      </x:c>
      <x:c r="H28" s="62" t="n">
        <x:f>IFERROR(C28/F28,0)</x:f>
        <x:v>1472</x:v>
      </x:c>
      <x:c r="I28" s="62" t="n">
        <x:f>SUM(G$19:G28)</x:f>
        <x:v>15</x:v>
      </x:c>
      <x:c r="J28" s="62" t="n">
        <x:f>SUM(H$19:H28)</x:f>
        <x:v>8180</x:v>
      </x:c>
      <x:c r="K28" s="62" t="n">
        <x:f>I28*18</x:f>
        <x:v>270</x:v>
      </x:c>
      <x:c r="L28" s="62" t="n">
        <x:f>J28*18</x:f>
        <x:v>147240</x:v>
      </x:c>
    </x:row>
    <x:row r="29" ht="23" customHeight="1">
      <x:c r="A29" s="119" t="n">
        <x:v>11</x:v>
      </x:c>
      <x:c r="B29" s="119" t="n">
        <x:f>VLOOKUP(A29,$A$7:$G$13,6,TRUE)</x:f>
        <x:v>3</x:v>
      </x:c>
      <x:c r="C29" s="119" t="n">
        <x:f>ROUNDUP(('经济参数'!$E$52+(A29-1)*'经济参数'!$E$53)*VLOOKUP(A29,$A$7:$G$13,7,TRUE),0)</x:f>
        <x:v>1960</x:v>
      </x:c>
      <x:c r="D29" s="110" t="n">
        <x:v>1</x:v>
      </x:c>
      <x:c r="E29" s="110" t="n">
        <x:v>1</x:v>
      </x:c>
      <x:c r="F29" s="110" t="n">
        <x:f>IF('使用说明'!$B$4=0,D29,E29)</x:f>
        <x:v>1</x:v>
      </x:c>
      <x:c r="G29" s="62" t="n">
        <x:f>IFERROR(B29/F29,0)</x:f>
        <x:v>3</x:v>
      </x:c>
      <x:c r="H29" s="62" t="n">
        <x:f>IFERROR(C29/F29,0)</x:f>
        <x:v>1960</x:v>
      </x:c>
      <x:c r="I29" s="62" t="n">
        <x:f>SUM(G$19:G29)</x:f>
        <x:v>18</x:v>
      </x:c>
      <x:c r="J29" s="62" t="n">
        <x:f>SUM(H$19:H29)</x:f>
        <x:v>10140</x:v>
      </x:c>
      <x:c r="K29" s="62" t="n">
        <x:f>I29*18</x:f>
        <x:v>324</x:v>
      </x:c>
      <x:c r="L29" s="62" t="n">
        <x:f>J29*18</x:f>
        <x:v>182520</x:v>
      </x:c>
    </x:row>
    <x:row r="30" ht="23" customHeight="1">
      <x:c r="A30" s="119" t="n">
        <x:v>12</x:v>
      </x:c>
      <x:c r="B30" s="119" t="n">
        <x:f>VLOOKUP(A30,$A$7:$G$13,6,TRUE)</x:f>
        <x:v>3</x:v>
      </x:c>
      <x:c r="C30" s="119" t="n">
        <x:f>ROUNDUP(('经济参数'!$E$52+(A30-1)*'经济参数'!$E$53)*VLOOKUP(A30,$A$7:$G$13,7,TRUE),0)</x:f>
        <x:v>2128</x:v>
      </x:c>
      <x:c r="D30" s="110" t="n">
        <x:v>1</x:v>
      </x:c>
      <x:c r="E30" s="110" t="n">
        <x:v>1</x:v>
      </x:c>
      <x:c r="F30" s="110" t="n">
        <x:f>IF('使用说明'!$B$4=0,D30,E30)</x:f>
        <x:v>1</x:v>
      </x:c>
      <x:c r="G30" s="62" t="n">
        <x:f>IFERROR(B30/F30,0)</x:f>
        <x:v>3</x:v>
      </x:c>
      <x:c r="H30" s="62" t="n">
        <x:f>IFERROR(C30/F30,0)</x:f>
        <x:v>2128</x:v>
      </x:c>
      <x:c r="I30" s="62" t="n">
        <x:f>SUM(G$19:G30)</x:f>
        <x:v>21</x:v>
      </x:c>
      <x:c r="J30" s="62" t="n">
        <x:f>SUM(H$19:H30)</x:f>
        <x:v>12268</x:v>
      </x:c>
      <x:c r="K30" s="62" t="n">
        <x:f>I30*18</x:f>
        <x:v>378</x:v>
      </x:c>
      <x:c r="L30" s="62" t="n">
        <x:f>J30*18</x:f>
        <x:v>220824</x:v>
      </x:c>
    </x:row>
    <x:row r="31" ht="23" customHeight="1">
      <x:c r="A31" s="119" t="n">
        <x:v>13</x:v>
      </x:c>
      <x:c r="B31" s="119" t="n">
        <x:f>VLOOKUP(A31,$A$7:$G$13,6,TRUE)</x:f>
        <x:v>3</x:v>
      </x:c>
      <x:c r="C31" s="119" t="n">
        <x:f>ROUNDUP(('经济参数'!$E$52+(A31-1)*'经济参数'!$E$53)*VLOOKUP(A31,$A$7:$G$13,7,TRUE),0)</x:f>
        <x:v>2296</x:v>
      </x:c>
      <x:c r="D31" s="110" t="n">
        <x:v>1</x:v>
      </x:c>
      <x:c r="E31" s="110" t="n">
        <x:v>1</x:v>
      </x:c>
      <x:c r="F31" s="110" t="n">
        <x:f>IF('使用说明'!$B$4=0,D31,E31)</x:f>
        <x:v>1</x:v>
      </x:c>
      <x:c r="G31" s="62" t="n">
        <x:f>IFERROR(B31/F31,0)</x:f>
        <x:v>3</x:v>
      </x:c>
      <x:c r="H31" s="62" t="n">
        <x:f>IFERROR(C31/F31,0)</x:f>
        <x:v>2296</x:v>
      </x:c>
      <x:c r="I31" s="62" t="n">
        <x:f>SUM(G$19:G31)</x:f>
        <x:v>24</x:v>
      </x:c>
      <x:c r="J31" s="62" t="n">
        <x:f>SUM(H$19:H31)</x:f>
        <x:v>14564</x:v>
      </x:c>
      <x:c r="K31" s="62" t="n">
        <x:f>I31*18</x:f>
        <x:v>432</x:v>
      </x:c>
      <x:c r="L31" s="62" t="n">
        <x:f>J31*18</x:f>
        <x:v>262152</x:v>
      </x:c>
    </x:row>
    <x:row r="32" ht="23" customHeight="1">
      <x:c r="A32" s="119" t="n">
        <x:v>14</x:v>
      </x:c>
      <x:c r="B32" s="119" t="n">
        <x:f>VLOOKUP(A32,$A$7:$G$13,6,TRUE)</x:f>
        <x:v>3</x:v>
      </x:c>
      <x:c r="C32" s="119" t="n">
        <x:f>ROUNDUP(('经济参数'!$E$52+(A32-1)*'经济参数'!$E$53)*VLOOKUP(A32,$A$7:$G$13,7,TRUE),0)</x:f>
        <x:v>2464</x:v>
      </x:c>
      <x:c r="D32" s="110" t="n">
        <x:v>1</x:v>
      </x:c>
      <x:c r="E32" s="110" t="n">
        <x:v>1</x:v>
      </x:c>
      <x:c r="F32" s="110" t="n">
        <x:f>IF('使用说明'!$B$4=0,D32,E32)</x:f>
        <x:v>1</x:v>
      </x:c>
      <x:c r="G32" s="62" t="n">
        <x:f>IFERROR(B32/F32,0)</x:f>
        <x:v>3</x:v>
      </x:c>
      <x:c r="H32" s="62" t="n">
        <x:f>IFERROR(C32/F32,0)</x:f>
        <x:v>2464</x:v>
      </x:c>
      <x:c r="I32" s="62" t="n">
        <x:f>SUM(G$19:G32)</x:f>
        <x:v>27</x:v>
      </x:c>
      <x:c r="J32" s="62" t="n">
        <x:f>SUM(H$19:H32)</x:f>
        <x:v>17028</x:v>
      </x:c>
      <x:c r="K32" s="62" t="n">
        <x:f>I32*18</x:f>
        <x:v>486</x:v>
      </x:c>
      <x:c r="L32" s="62" t="n">
        <x:f>J32*18</x:f>
        <x:v>306504</x:v>
      </x:c>
    </x:row>
    <x:row r="33" ht="23" customHeight="1">
      <x:c r="A33" s="119" t="n">
        <x:v>15</x:v>
      </x:c>
      <x:c r="B33" s="119" t="n">
        <x:f>VLOOKUP(A33,$A$7:$G$13,6,TRUE)</x:f>
        <x:v>3</x:v>
      </x:c>
      <x:c r="C33" s="119" t="n">
        <x:f>ROUNDUP(('经济参数'!$E$52+(A33-1)*'经济参数'!$E$53)*VLOOKUP(A33,$A$7:$G$13,7,TRUE),0)</x:f>
        <x:v>2632</x:v>
      </x:c>
      <x:c r="D33" s="110" t="n">
        <x:v>1</x:v>
      </x:c>
      <x:c r="E33" s="110" t="n">
        <x:v>1</x:v>
      </x:c>
      <x:c r="F33" s="110" t="n">
        <x:f>IF('使用说明'!$B$4=0,D33,E33)</x:f>
        <x:v>1</x:v>
      </x:c>
      <x:c r="G33" s="62" t="n">
        <x:f>IFERROR(B33/F33,0)</x:f>
        <x:v>3</x:v>
      </x:c>
      <x:c r="H33" s="62" t="n">
        <x:f>IFERROR(C33/F33,0)</x:f>
        <x:v>2632</x:v>
      </x:c>
      <x:c r="I33" s="62" t="n">
        <x:f>SUM(G$19:G33)</x:f>
        <x:v>30</x:v>
      </x:c>
      <x:c r="J33" s="62" t="n">
        <x:f>SUM(H$19:H33)</x:f>
        <x:v>19660</x:v>
      </x:c>
      <x:c r="K33" s="62" t="n">
        <x:f>I33*18</x:f>
        <x:v>540</x:v>
      </x:c>
      <x:c r="L33" s="62" t="n">
        <x:f>J33*18</x:f>
        <x:v>353880</x:v>
      </x:c>
    </x:row>
    <x:row r="34" ht="23" customHeight="1">
      <x:c r="A34" s="119" t="n">
        <x:v>16</x:v>
      </x:c>
      <x:c r="B34" s="119" t="n">
        <x:f>VLOOKUP(A34,$A$7:$G$13,6,TRUE)</x:f>
        <x:v>3</x:v>
      </x:c>
      <x:c r="C34" s="119" t="n">
        <x:f>ROUNDUP(('经济参数'!$E$52+(A34-1)*'经济参数'!$E$53)*VLOOKUP(A34,$A$7:$G$13,7,TRUE),0)</x:f>
        <x:v>2800</x:v>
      </x:c>
      <x:c r="D34" s="110" t="n">
        <x:v>1</x:v>
      </x:c>
      <x:c r="E34" s="110" t="n">
        <x:v>1</x:v>
      </x:c>
      <x:c r="F34" s="110" t="n">
        <x:f>IF('使用说明'!$B$4=0,D34,E34)</x:f>
        <x:v>1</x:v>
      </x:c>
      <x:c r="G34" s="62" t="n">
        <x:f>IFERROR(B34/F34,0)</x:f>
        <x:v>3</x:v>
      </x:c>
      <x:c r="H34" s="62" t="n">
        <x:f>IFERROR(C34/F34,0)</x:f>
        <x:v>2800</x:v>
      </x:c>
      <x:c r="I34" s="62" t="n">
        <x:f>SUM(G$19:G34)</x:f>
        <x:v>33</x:v>
      </x:c>
      <x:c r="J34" s="62" t="n">
        <x:f>SUM(H$19:H34)</x:f>
        <x:v>22460</x:v>
      </x:c>
      <x:c r="K34" s="62" t="n">
        <x:f>I34*18</x:f>
        <x:v>594</x:v>
      </x:c>
      <x:c r="L34" s="62" t="n">
        <x:f>J34*18</x:f>
        <x:v>404280</x:v>
      </x:c>
    </x:row>
    <x:row r="35" ht="23" customHeight="1">
      <x:c r="A35" s="119" t="n">
        <x:v>17</x:v>
      </x:c>
      <x:c r="B35" s="119" t="n">
        <x:f>VLOOKUP(A35,$A$7:$G$13,6,TRUE)</x:f>
        <x:v>3</x:v>
      </x:c>
      <x:c r="C35" s="119" t="n">
        <x:f>ROUNDUP(('经济参数'!$E$52+(A35-1)*'经济参数'!$E$53)*VLOOKUP(A35,$A$7:$G$13,7,TRUE),0)</x:f>
        <x:v>2968</x:v>
      </x:c>
      <x:c r="D35" s="110" t="n">
        <x:v>1</x:v>
      </x:c>
      <x:c r="E35" s="110" t="n">
        <x:v>1</x:v>
      </x:c>
      <x:c r="F35" s="110" t="n">
        <x:f>IF('使用说明'!$B$4=0,D35,E35)</x:f>
        <x:v>1</x:v>
      </x:c>
      <x:c r="G35" s="62" t="n">
        <x:f>IFERROR(B35/F35,0)</x:f>
        <x:v>3</x:v>
      </x:c>
      <x:c r="H35" s="62" t="n">
        <x:f>IFERROR(C35/F35,0)</x:f>
        <x:v>2968</x:v>
      </x:c>
      <x:c r="I35" s="62" t="n">
        <x:f>SUM(G$19:G35)</x:f>
        <x:v>36</x:v>
      </x:c>
      <x:c r="J35" s="62" t="n">
        <x:f>SUM(H$19:H35)</x:f>
        <x:v>25428</x:v>
      </x:c>
      <x:c r="K35" s="62" t="n">
        <x:f>I35*18</x:f>
        <x:v>648</x:v>
      </x:c>
      <x:c r="L35" s="62" t="n">
        <x:f>J35*18</x:f>
        <x:v>457704</x:v>
      </x:c>
    </x:row>
    <x:row r="36" ht="23" customHeight="1">
      <x:c r="A36" s="119" t="n">
        <x:v>18</x:v>
      </x:c>
      <x:c r="B36" s="119" t="n">
        <x:f>VLOOKUP(A36,$A$7:$G$13,6,TRUE)</x:f>
        <x:v>3</x:v>
      </x:c>
      <x:c r="C36" s="119" t="n">
        <x:f>ROUNDUP(('经济参数'!$E$52+(A36-1)*'经济参数'!$E$53)*VLOOKUP(A36,$A$7:$G$13,7,TRUE),0)</x:f>
        <x:v>3136</x:v>
      </x:c>
      <x:c r="D36" s="110" t="n">
        <x:v>1</x:v>
      </x:c>
      <x:c r="E36" s="110" t="n">
        <x:v>1</x:v>
      </x:c>
      <x:c r="F36" s="110" t="n">
        <x:f>IF('使用说明'!$B$4=0,D36,E36)</x:f>
        <x:v>1</x:v>
      </x:c>
      <x:c r="G36" s="62" t="n">
        <x:f>IFERROR(B36/F36,0)</x:f>
        <x:v>3</x:v>
      </x:c>
      <x:c r="H36" s="62" t="n">
        <x:f>IFERROR(C36/F36,0)</x:f>
        <x:v>3136</x:v>
      </x:c>
      <x:c r="I36" s="62" t="n">
        <x:f>SUM(G$19:G36)</x:f>
        <x:v>39</x:v>
      </x:c>
      <x:c r="J36" s="62" t="n">
        <x:f>SUM(H$19:H36)</x:f>
        <x:v>28564</x:v>
      </x:c>
      <x:c r="K36" s="62" t="n">
        <x:f>I36*18</x:f>
        <x:v>702</x:v>
      </x:c>
      <x:c r="L36" s="62" t="n">
        <x:f>J36*18</x:f>
        <x:v>514152</x:v>
      </x:c>
    </x:row>
    <x:row r="37" ht="23" customHeight="1">
      <x:c r="A37" s="119" t="n">
        <x:v>19</x:v>
      </x:c>
      <x:c r="B37" s="119" t="n">
        <x:f>VLOOKUP(A37,$A$7:$G$13,6,TRUE)</x:f>
        <x:v>3</x:v>
      </x:c>
      <x:c r="C37" s="119" t="n">
        <x:f>ROUNDUP(('经济参数'!$E$52+(A37-1)*'经济参数'!$E$53)*VLOOKUP(A37,$A$7:$G$13,7,TRUE),0)</x:f>
        <x:v>3304</x:v>
      </x:c>
      <x:c r="D37" s="110" t="n">
        <x:v>1</x:v>
      </x:c>
      <x:c r="E37" s="110" t="n">
        <x:v>1</x:v>
      </x:c>
      <x:c r="F37" s="110" t="n">
        <x:f>IF('使用说明'!$B$4=0,D37,E37)</x:f>
        <x:v>1</x:v>
      </x:c>
      <x:c r="G37" s="62" t="n">
        <x:f>IFERROR(B37/F37,0)</x:f>
        <x:v>3</x:v>
      </x:c>
      <x:c r="H37" s="62" t="n">
        <x:f>IFERROR(C37/F37,0)</x:f>
        <x:v>3304</x:v>
      </x:c>
      <x:c r="I37" s="62" t="n">
        <x:f>SUM(G$19:G37)</x:f>
        <x:v>42</x:v>
      </x:c>
      <x:c r="J37" s="62" t="n">
        <x:f>SUM(H$19:H37)</x:f>
        <x:v>31868</x:v>
      </x:c>
      <x:c r="K37" s="62" t="n">
        <x:f>I37*18</x:f>
        <x:v>756</x:v>
      </x:c>
      <x:c r="L37" s="62" t="n">
        <x:f>J37*18</x:f>
        <x:v>573624</x:v>
      </x:c>
    </x:row>
    <x:row r="38" ht="23" customHeight="1">
      <x:c r="A38" s="119" t="n">
        <x:v>20</x:v>
      </x:c>
      <x:c r="B38" s="119" t="n">
        <x:f>VLOOKUP(A38,$A$7:$G$13,6,TRUE)</x:f>
        <x:v>3</x:v>
      </x:c>
      <x:c r="C38" s="119" t="n">
        <x:f>ROUNDUP(('经济参数'!$E$52+(A38-1)*'经济参数'!$E$53)*VLOOKUP(A38,$A$7:$G$13,7,TRUE),0)</x:f>
        <x:v>3472</x:v>
      </x:c>
      <x:c r="D38" s="110" t="n">
        <x:v>1</x:v>
      </x:c>
      <x:c r="E38" s="110" t="n">
        <x:v>1</x:v>
      </x:c>
      <x:c r="F38" s="110" t="n">
        <x:f>IF('使用说明'!$B$4=0,D38,E38)</x:f>
        <x:v>1</x:v>
      </x:c>
      <x:c r="G38" s="62" t="n">
        <x:f>IFERROR(B38/F38,0)</x:f>
        <x:v>3</x:v>
      </x:c>
      <x:c r="H38" s="62" t="n">
        <x:f>IFERROR(C38/F38,0)</x:f>
        <x:v>3472</x:v>
      </x:c>
      <x:c r="I38" s="62" t="n">
        <x:f>SUM(G$19:G38)</x:f>
        <x:v>45</x:v>
      </x:c>
      <x:c r="J38" s="62" t="n">
        <x:f>SUM(H$19:H38)</x:f>
        <x:v>35340</x:v>
      </x:c>
      <x:c r="K38" s="62" t="n">
        <x:f>I38*18</x:f>
        <x:v>810</x:v>
      </x:c>
      <x:c r="L38" s="62" t="n">
        <x:f>J38*18</x:f>
        <x:v>636120</x:v>
      </x:c>
    </x:row>
    <x:row r="39" ht="23" customHeight="1">
      <x:c r="A39" s="119" t="n">
        <x:v>21</x:v>
      </x:c>
      <x:c r="B39" s="119" t="n">
        <x:f>VLOOKUP(A39,$A$7:$G$13,6,TRUE)</x:f>
        <x:v>5</x:v>
      </x:c>
      <x:c r="C39" s="119" t="n">
        <x:f>ROUNDUP(('经济参数'!$E$52+(A39-1)*'经济参数'!$E$53)*VLOOKUP(A39,$A$7:$G$13,7,TRUE),0)</x:f>
        <x:v>4680</x:v>
      </x:c>
      <x:c r="D39" s="110" t="n">
        <x:v>1</x:v>
      </x:c>
      <x:c r="E39" s="110" t="n">
        <x:v>1</x:v>
      </x:c>
      <x:c r="F39" s="110" t="n">
        <x:f>IF('使用说明'!$B$4=0,D39,E39)</x:f>
        <x:v>1</x:v>
      </x:c>
      <x:c r="G39" s="62" t="n">
        <x:f>IFERROR(B39/F39,0)</x:f>
        <x:v>5</x:v>
      </x:c>
      <x:c r="H39" s="62" t="n">
        <x:f>IFERROR(C39/F39,0)</x:f>
        <x:v>4680</x:v>
      </x:c>
      <x:c r="I39" s="62" t="n">
        <x:f>SUM(G$19:G39)</x:f>
        <x:v>50</x:v>
      </x:c>
      <x:c r="J39" s="62" t="n">
        <x:f>SUM(H$19:H39)</x:f>
        <x:v>40020</x:v>
      </x:c>
      <x:c r="K39" s="62" t="n">
        <x:f>I39*18</x:f>
        <x:v>900</x:v>
      </x:c>
      <x:c r="L39" s="62" t="n">
        <x:f>J39*18</x:f>
        <x:v>720360</x:v>
      </x:c>
    </x:row>
    <x:row r="40" ht="23" customHeight="1">
      <x:c r="A40" s="119" t="n">
        <x:v>22</x:v>
      </x:c>
      <x:c r="B40" s="119" t="n">
        <x:f>VLOOKUP(A40,$A$7:$G$13,6,TRUE)</x:f>
        <x:v>5</x:v>
      </x:c>
      <x:c r="C40" s="119" t="n">
        <x:f>ROUNDUP(('经济参数'!$E$52+(A40-1)*'经济参数'!$E$53)*VLOOKUP(A40,$A$7:$G$13,7,TRUE),0)</x:f>
        <x:v>4896</x:v>
      </x:c>
      <x:c r="D40" s="110" t="n">
        <x:v>1</x:v>
      </x:c>
      <x:c r="E40" s="110" t="n">
        <x:v>1</x:v>
      </x:c>
      <x:c r="F40" s="110" t="n">
        <x:f>IF('使用说明'!$B$4=0,D40,E40)</x:f>
        <x:v>1</x:v>
      </x:c>
      <x:c r="G40" s="62" t="n">
        <x:f>IFERROR(B40/F40,0)</x:f>
        <x:v>5</x:v>
      </x:c>
      <x:c r="H40" s="62" t="n">
        <x:f>IFERROR(C40/F40,0)</x:f>
        <x:v>4896</x:v>
      </x:c>
      <x:c r="I40" s="62" t="n">
        <x:f>SUM(G$19:G40)</x:f>
        <x:v>55</x:v>
      </x:c>
      <x:c r="J40" s="62" t="n">
        <x:f>SUM(H$19:H40)</x:f>
        <x:v>44916</x:v>
      </x:c>
      <x:c r="K40" s="62" t="n">
        <x:f>I40*18</x:f>
        <x:v>990</x:v>
      </x:c>
      <x:c r="L40" s="62" t="n">
        <x:f>J40*18</x:f>
        <x:v>808488</x:v>
      </x:c>
    </x:row>
    <x:row r="41" ht="23" customHeight="1">
      <x:c r="A41" s="119" t="n">
        <x:v>23</x:v>
      </x:c>
      <x:c r="B41" s="119" t="n">
        <x:f>VLOOKUP(A41,$A$7:$G$13,6,TRUE)</x:f>
        <x:v>5</x:v>
      </x:c>
      <x:c r="C41" s="119" t="n">
        <x:f>ROUNDUP(('经济参数'!$E$52+(A41-1)*'经济参数'!$E$53)*VLOOKUP(A41,$A$7:$G$13,7,TRUE),0)</x:f>
        <x:v>5112</x:v>
      </x:c>
      <x:c r="D41" s="110" t="n">
        <x:v>1</x:v>
      </x:c>
      <x:c r="E41" s="110" t="n">
        <x:v>1</x:v>
      </x:c>
      <x:c r="F41" s="110" t="n">
        <x:f>IF('使用说明'!$B$4=0,D41,E41)</x:f>
        <x:v>1</x:v>
      </x:c>
      <x:c r="G41" s="62" t="n">
        <x:f>IFERROR(B41/F41,0)</x:f>
        <x:v>5</x:v>
      </x:c>
      <x:c r="H41" s="62" t="n">
        <x:f>IFERROR(C41/F41,0)</x:f>
        <x:v>5112</x:v>
      </x:c>
      <x:c r="I41" s="62" t="n">
        <x:f>SUM(G$19:G41)</x:f>
        <x:v>60</x:v>
      </x:c>
      <x:c r="J41" s="62" t="n">
        <x:f>SUM(H$19:H41)</x:f>
        <x:v>50028</x:v>
      </x:c>
      <x:c r="K41" s="62" t="n">
        <x:f>I41*18</x:f>
        <x:v>1080</x:v>
      </x:c>
      <x:c r="L41" s="62" t="n">
        <x:f>J41*18</x:f>
        <x:v>900504</x:v>
      </x:c>
    </x:row>
    <x:row r="42" ht="23" customHeight="1">
      <x:c r="A42" s="119" t="n">
        <x:v>24</x:v>
      </x:c>
      <x:c r="B42" s="119" t="n">
        <x:f>VLOOKUP(A42,$A$7:$G$13,6,TRUE)</x:f>
        <x:v>5</x:v>
      </x:c>
      <x:c r="C42" s="119" t="n">
        <x:f>ROUNDUP(('经济参数'!$E$52+(A42-1)*'经济参数'!$E$53)*VLOOKUP(A42,$A$7:$G$13,7,TRUE),0)</x:f>
        <x:v>5328</x:v>
      </x:c>
      <x:c r="D42" s="110" t="n">
        <x:v>1</x:v>
      </x:c>
      <x:c r="E42" s="110" t="n">
        <x:v>1</x:v>
      </x:c>
      <x:c r="F42" s="110" t="n">
        <x:f>IF('使用说明'!$B$4=0,D42,E42)</x:f>
        <x:v>1</x:v>
      </x:c>
      <x:c r="G42" s="62" t="n">
        <x:f>IFERROR(B42/F42,0)</x:f>
        <x:v>5</x:v>
      </x:c>
      <x:c r="H42" s="62" t="n">
        <x:f>IFERROR(C42/F42,0)</x:f>
        <x:v>5328</x:v>
      </x:c>
      <x:c r="I42" s="62" t="n">
        <x:f>SUM(G$19:G42)</x:f>
        <x:v>65</x:v>
      </x:c>
      <x:c r="J42" s="62" t="n">
        <x:f>SUM(H$19:H42)</x:f>
        <x:v>55356</x:v>
      </x:c>
      <x:c r="K42" s="62" t="n">
        <x:f>I42*18</x:f>
        <x:v>1170</x:v>
      </x:c>
      <x:c r="L42" s="62" t="n">
        <x:f>J42*18</x:f>
        <x:v>996408</x:v>
      </x:c>
    </x:row>
    <x:row r="43" ht="23" customHeight="1">
      <x:c r="A43" s="119" t="n">
        <x:v>25</x:v>
      </x:c>
      <x:c r="B43" s="119" t="n">
        <x:f>VLOOKUP(A43,$A$7:$G$13,6,TRUE)</x:f>
        <x:v>5</x:v>
      </x:c>
      <x:c r="C43" s="119" t="n">
        <x:f>ROUNDUP(('经济参数'!$E$52+(A43-1)*'经济参数'!$E$53)*VLOOKUP(A43,$A$7:$G$13,7,TRUE),0)</x:f>
        <x:v>5544</x:v>
      </x:c>
      <x:c r="D43" s="110" t="n">
        <x:v>1</x:v>
      </x:c>
      <x:c r="E43" s="110" t="n">
        <x:v>1</x:v>
      </x:c>
      <x:c r="F43" s="110" t="n">
        <x:f>IF('使用说明'!$B$4=0,D43,E43)</x:f>
        <x:v>1</x:v>
      </x:c>
      <x:c r="G43" s="62" t="n">
        <x:f>IFERROR(B43/F43,0)</x:f>
        <x:v>5</x:v>
      </x:c>
      <x:c r="H43" s="62" t="n">
        <x:f>IFERROR(C43/F43,0)</x:f>
        <x:v>5544</x:v>
      </x:c>
      <x:c r="I43" s="62" t="n">
        <x:f>SUM(G$19:G43)</x:f>
        <x:v>70</x:v>
      </x:c>
      <x:c r="J43" s="62" t="n">
        <x:f>SUM(H$19:H43)</x:f>
        <x:v>60900</x:v>
      </x:c>
      <x:c r="K43" s="62" t="n">
        <x:f>I43*18</x:f>
        <x:v>1260</x:v>
      </x:c>
      <x:c r="L43" s="62" t="n">
        <x:f>J43*18</x:f>
        <x:v>1096200</x:v>
      </x:c>
    </x:row>
    <x:row r="44" ht="23" customHeight="1">
      <x:c r="A44" s="119" t="n">
        <x:v>26</x:v>
      </x:c>
      <x:c r="B44" s="119" t="n">
        <x:f>VLOOKUP(A44,$A$7:$G$13,6,TRUE)</x:f>
        <x:v>5</x:v>
      </x:c>
      <x:c r="C44" s="119" t="n">
        <x:f>ROUNDUP(('经济参数'!$E$52+(A44-1)*'经济参数'!$E$53)*VLOOKUP(A44,$A$7:$G$13,7,TRUE),0)</x:f>
        <x:v>5760</x:v>
      </x:c>
      <x:c r="D44" s="110" t="n">
        <x:v>1</x:v>
      </x:c>
      <x:c r="E44" s="110" t="n">
        <x:v>1</x:v>
      </x:c>
      <x:c r="F44" s="110" t="n">
        <x:f>IF('使用说明'!$B$4=0,D44,E44)</x:f>
        <x:v>1</x:v>
      </x:c>
      <x:c r="G44" s="62" t="n">
        <x:f>IFERROR(B44/F44,0)</x:f>
        <x:v>5</x:v>
      </x:c>
      <x:c r="H44" s="62" t="n">
        <x:f>IFERROR(C44/F44,0)</x:f>
        <x:v>5760</x:v>
      </x:c>
      <x:c r="I44" s="62" t="n">
        <x:f>SUM(G$19:G44)</x:f>
        <x:v>75</x:v>
      </x:c>
      <x:c r="J44" s="62" t="n">
        <x:f>SUM(H$19:H44)</x:f>
        <x:v>66660</x:v>
      </x:c>
      <x:c r="K44" s="62" t="n">
        <x:f>I44*18</x:f>
        <x:v>1350</x:v>
      </x:c>
      <x:c r="L44" s="62" t="n">
        <x:f>J44*18</x:f>
        <x:v>1199880</x:v>
      </x:c>
    </x:row>
    <x:row r="45" ht="23" customHeight="1">
      <x:c r="A45" s="119" t="n">
        <x:v>27</x:v>
      </x:c>
      <x:c r="B45" s="119" t="n">
        <x:f>VLOOKUP(A45,$A$7:$G$13,6,TRUE)</x:f>
        <x:v>5</x:v>
      </x:c>
      <x:c r="C45" s="119" t="n">
        <x:f>ROUNDUP(('经济参数'!$E$52+(A45-1)*'经济参数'!$E$53)*VLOOKUP(A45,$A$7:$G$13,7,TRUE),0)</x:f>
        <x:v>5976</x:v>
      </x:c>
      <x:c r="D45" s="110" t="n">
        <x:v>1</x:v>
      </x:c>
      <x:c r="E45" s="110" t="n">
        <x:v>1</x:v>
      </x:c>
      <x:c r="F45" s="110" t="n">
        <x:f>IF('使用说明'!$B$4=0,D45,E45)</x:f>
        <x:v>1</x:v>
      </x:c>
      <x:c r="G45" s="62" t="n">
        <x:f>IFERROR(B45/F45,0)</x:f>
        <x:v>5</x:v>
      </x:c>
      <x:c r="H45" s="62" t="n">
        <x:f>IFERROR(C45/F45,0)</x:f>
        <x:v>5976</x:v>
      </x:c>
      <x:c r="I45" s="62" t="n">
        <x:f>SUM(G$19:G45)</x:f>
        <x:v>80</x:v>
      </x:c>
      <x:c r="J45" s="62" t="n">
        <x:f>SUM(H$19:H45)</x:f>
        <x:v>72636</x:v>
      </x:c>
      <x:c r="K45" s="62" t="n">
        <x:f>I45*18</x:f>
        <x:v>1440</x:v>
      </x:c>
      <x:c r="L45" s="62" t="n">
        <x:f>J45*18</x:f>
        <x:v>1307448</x:v>
      </x:c>
    </x:row>
    <x:row r="46" ht="23" customHeight="1">
      <x:c r="A46" s="119" t="n">
        <x:v>28</x:v>
      </x:c>
      <x:c r="B46" s="119" t="n">
        <x:f>VLOOKUP(A46,$A$7:$G$13,6,TRUE)</x:f>
        <x:v>5</x:v>
      </x:c>
      <x:c r="C46" s="119" t="n">
        <x:f>ROUNDUP(('经济参数'!$E$52+(A46-1)*'经济参数'!$E$53)*VLOOKUP(A46,$A$7:$G$13,7,TRUE),0)</x:f>
        <x:v>6192</x:v>
      </x:c>
      <x:c r="D46" s="110" t="n">
        <x:v>1</x:v>
      </x:c>
      <x:c r="E46" s="110" t="n">
        <x:v>1</x:v>
      </x:c>
      <x:c r="F46" s="110" t="n">
        <x:f>IF('使用说明'!$B$4=0,D46,E46)</x:f>
        <x:v>1</x:v>
      </x:c>
      <x:c r="G46" s="62" t="n">
        <x:f>IFERROR(B46/F46,0)</x:f>
        <x:v>5</x:v>
      </x:c>
      <x:c r="H46" s="62" t="n">
        <x:f>IFERROR(C46/F46,0)</x:f>
        <x:v>6192</x:v>
      </x:c>
      <x:c r="I46" s="62" t="n">
        <x:f>SUM(G$19:G46)</x:f>
        <x:v>85</x:v>
      </x:c>
      <x:c r="J46" s="62" t="n">
        <x:f>SUM(H$19:H46)</x:f>
        <x:v>78828</x:v>
      </x:c>
      <x:c r="K46" s="62" t="n">
        <x:f>I46*18</x:f>
        <x:v>1530</x:v>
      </x:c>
      <x:c r="L46" s="62" t="n">
        <x:f>J46*18</x:f>
        <x:v>1418904</x:v>
      </x:c>
    </x:row>
    <x:row r="47" ht="23" customHeight="1">
      <x:c r="A47" s="119" t="n">
        <x:v>29</x:v>
      </x:c>
      <x:c r="B47" s="119" t="n">
        <x:f>VLOOKUP(A47,$A$7:$G$13,6,TRUE)</x:f>
        <x:v>5</x:v>
      </x:c>
      <x:c r="C47" s="119" t="n">
        <x:f>ROUNDUP(('经济参数'!$E$52+(A47-1)*'经济参数'!$E$53)*VLOOKUP(A47,$A$7:$G$13,7,TRUE),0)</x:f>
        <x:v>6408</x:v>
      </x:c>
      <x:c r="D47" s="110" t="n">
        <x:v>1</x:v>
      </x:c>
      <x:c r="E47" s="110" t="n">
        <x:v>1</x:v>
      </x:c>
      <x:c r="F47" s="110" t="n">
        <x:f>IF('使用说明'!$B$4=0,D47,E47)</x:f>
        <x:v>1</x:v>
      </x:c>
      <x:c r="G47" s="62" t="n">
        <x:f>IFERROR(B47/F47,0)</x:f>
        <x:v>5</x:v>
      </x:c>
      <x:c r="H47" s="62" t="n">
        <x:f>IFERROR(C47/F47,0)</x:f>
        <x:v>6408</x:v>
      </x:c>
      <x:c r="I47" s="62" t="n">
        <x:f>SUM(G$19:G47)</x:f>
        <x:v>90</x:v>
      </x:c>
      <x:c r="J47" s="62" t="n">
        <x:f>SUM(H$19:H47)</x:f>
        <x:v>85236</x:v>
      </x:c>
      <x:c r="K47" s="62" t="n">
        <x:f>I47*18</x:f>
        <x:v>1620</x:v>
      </x:c>
      <x:c r="L47" s="62" t="n">
        <x:f>J47*18</x:f>
        <x:v>1534248</x:v>
      </x:c>
    </x:row>
    <x:row r="48" ht="23" customHeight="1">
      <x:c r="A48" s="119" t="n">
        <x:v>30</x:v>
      </x:c>
      <x:c r="B48" s="119" t="n">
        <x:f>VLOOKUP(A48,$A$7:$G$13,6,TRUE)</x:f>
        <x:v>5</x:v>
      </x:c>
      <x:c r="C48" s="119" t="n">
        <x:f>ROUNDUP(('经济参数'!$E$52+(A48-1)*'经济参数'!$E$53)*VLOOKUP(A48,$A$7:$G$13,7,TRUE),0)</x:f>
        <x:v>6624</x:v>
      </x:c>
      <x:c r="D48" s="110" t="n">
        <x:v>1</x:v>
      </x:c>
      <x:c r="E48" s="110" t="n">
        <x:v>1</x:v>
      </x:c>
      <x:c r="F48" s="110" t="n">
        <x:f>IF('使用说明'!$B$4=0,D48,E48)</x:f>
        <x:v>1</x:v>
      </x:c>
      <x:c r="G48" s="62" t="n">
        <x:f>IFERROR(B48/F48,0)</x:f>
        <x:v>5</x:v>
      </x:c>
      <x:c r="H48" s="62" t="n">
        <x:f>IFERROR(C48/F48,0)</x:f>
        <x:v>6624</x:v>
      </x:c>
      <x:c r="I48" s="62" t="n">
        <x:f>SUM(G$19:G48)</x:f>
        <x:v>95</x:v>
      </x:c>
      <x:c r="J48" s="62" t="n">
        <x:f>SUM(H$19:H48)</x:f>
        <x:v>91860</x:v>
      </x:c>
      <x:c r="K48" s="62" t="n">
        <x:f>I48*18</x:f>
        <x:v>1710</x:v>
      </x:c>
      <x:c r="L48" s="62" t="n">
        <x:f>J48*18</x:f>
        <x:v>1653480</x:v>
      </x:c>
    </x:row>
    <x:row r="49" ht="23" customHeight="1">
      <x:c r="A49" s="119" t="n">
        <x:v>31</x:v>
      </x:c>
      <x:c r="B49" s="119" t="n">
        <x:f>VLOOKUP(A49,$A$7:$G$13,6,TRUE)</x:f>
        <x:v>5</x:v>
      </x:c>
      <x:c r="C49" s="119" t="n">
        <x:f>ROUNDUP(('经济参数'!$E$52+(A49-1)*'经济参数'!$E$53)*VLOOKUP(A49,$A$7:$G$13,7,TRUE),0)</x:f>
        <x:v>6840</x:v>
      </x:c>
      <x:c r="D49" s="110" t="n">
        <x:v>1</x:v>
      </x:c>
      <x:c r="E49" s="110" t="n">
        <x:v>1</x:v>
      </x:c>
      <x:c r="F49" s="110" t="n">
        <x:f>IF('使用说明'!$B$4=0,D49,E49)</x:f>
        <x:v>1</x:v>
      </x:c>
      <x:c r="G49" s="62" t="n">
        <x:f>IFERROR(B49/F49,0)</x:f>
        <x:v>5</x:v>
      </x:c>
      <x:c r="H49" s="62" t="n">
        <x:f>IFERROR(C49/F49,0)</x:f>
        <x:v>6840</x:v>
      </x:c>
      <x:c r="I49" s="62" t="n">
        <x:f>SUM(G$19:G49)</x:f>
        <x:v>100</x:v>
      </x:c>
      <x:c r="J49" s="62" t="n">
        <x:f>SUM(H$19:H49)</x:f>
        <x:v>98700</x:v>
      </x:c>
      <x:c r="K49" s="62" t="n">
        <x:f>I49*18</x:f>
        <x:v>1800</x:v>
      </x:c>
      <x:c r="L49" s="62" t="n">
        <x:f>J49*18</x:f>
        <x:v>1776600</x:v>
      </x:c>
    </x:row>
    <x:row r="50" ht="23" customHeight="1">
      <x:c r="A50" s="119" t="n">
        <x:v>32</x:v>
      </x:c>
      <x:c r="B50" s="119" t="n">
        <x:f>VLOOKUP(A50,$A$7:$G$13,6,TRUE)</x:f>
        <x:v>5</x:v>
      </x:c>
      <x:c r="C50" s="119" t="n">
        <x:f>ROUNDUP(('经济参数'!$E$52+(A50-1)*'经济参数'!$E$53)*VLOOKUP(A50,$A$7:$G$13,7,TRUE),0)</x:f>
        <x:v>7056</x:v>
      </x:c>
      <x:c r="D50" s="110" t="n">
        <x:v>1</x:v>
      </x:c>
      <x:c r="E50" s="110" t="n">
        <x:v>1</x:v>
      </x:c>
      <x:c r="F50" s="110" t="n">
        <x:f>IF('使用说明'!$B$4=0,D50,E50)</x:f>
        <x:v>1</x:v>
      </x:c>
      <x:c r="G50" s="62" t="n">
        <x:f>IFERROR(B50/F50,0)</x:f>
        <x:v>5</x:v>
      </x:c>
      <x:c r="H50" s="62" t="n">
        <x:f>IFERROR(C50/F50,0)</x:f>
        <x:v>7056</x:v>
      </x:c>
      <x:c r="I50" s="62" t="n">
        <x:f>SUM(G$19:G50)</x:f>
        <x:v>105</x:v>
      </x:c>
      <x:c r="J50" s="62" t="n">
        <x:f>SUM(H$19:H50)</x:f>
        <x:v>105756</x:v>
      </x:c>
      <x:c r="K50" s="62" t="n">
        <x:f>I50*18</x:f>
        <x:v>1890</x:v>
      </x:c>
      <x:c r="L50" s="62" t="n">
        <x:f>J50*18</x:f>
        <x:v>1903608</x:v>
      </x:c>
    </x:row>
    <x:row r="51" ht="23" customHeight="1">
      <x:c r="A51" s="119" t="n">
        <x:v>33</x:v>
      </x:c>
      <x:c r="B51" s="119" t="n">
        <x:f>VLOOKUP(A51,$A$7:$G$13,6,TRUE)</x:f>
        <x:v>5</x:v>
      </x:c>
      <x:c r="C51" s="119" t="n">
        <x:f>ROUNDUP(('经济参数'!$E$52+(A51-1)*'经济参数'!$E$53)*VLOOKUP(A51,$A$7:$G$13,7,TRUE),0)</x:f>
        <x:v>7272</x:v>
      </x:c>
      <x:c r="D51" s="110" t="n">
        <x:v>1</x:v>
      </x:c>
      <x:c r="E51" s="110" t="n">
        <x:v>1</x:v>
      </x:c>
      <x:c r="F51" s="110" t="n">
        <x:f>IF('使用说明'!$B$4=0,D51,E51)</x:f>
        <x:v>1</x:v>
      </x:c>
      <x:c r="G51" s="62" t="n">
        <x:f>IFERROR(B51/F51,0)</x:f>
        <x:v>5</x:v>
      </x:c>
      <x:c r="H51" s="62" t="n">
        <x:f>IFERROR(C51/F51,0)</x:f>
        <x:v>7272</x:v>
      </x:c>
      <x:c r="I51" s="62" t="n">
        <x:f>SUM(G$19:G51)</x:f>
        <x:v>110</x:v>
      </x:c>
      <x:c r="J51" s="62" t="n">
        <x:f>SUM(H$19:H51)</x:f>
        <x:v>113028</x:v>
      </x:c>
      <x:c r="K51" s="62" t="n">
        <x:f>I51*18</x:f>
        <x:v>1980</x:v>
      </x:c>
      <x:c r="L51" s="62" t="n">
        <x:f>J51*18</x:f>
        <x:v>2034504</x:v>
      </x:c>
    </x:row>
    <x:row r="52" ht="23" customHeight="1">
      <x:c r="A52" s="119" t="n">
        <x:v>34</x:v>
      </x:c>
      <x:c r="B52" s="119" t="n">
        <x:f>VLOOKUP(A52,$A$7:$G$13,6,TRUE)</x:f>
        <x:v>5</x:v>
      </x:c>
      <x:c r="C52" s="119" t="n">
        <x:f>ROUNDUP(('经济参数'!$E$52+(A52-1)*'经济参数'!$E$53)*VLOOKUP(A52,$A$7:$G$13,7,TRUE),0)</x:f>
        <x:v>7488</x:v>
      </x:c>
      <x:c r="D52" s="110" t="n">
        <x:v>1</x:v>
      </x:c>
      <x:c r="E52" s="110" t="n">
        <x:v>1</x:v>
      </x:c>
      <x:c r="F52" s="110" t="n">
        <x:f>IF('使用说明'!$B$4=0,D52,E52)</x:f>
        <x:v>1</x:v>
      </x:c>
      <x:c r="G52" s="62" t="n">
        <x:f>IFERROR(B52/F52,0)</x:f>
        <x:v>5</x:v>
      </x:c>
      <x:c r="H52" s="62" t="n">
        <x:f>IFERROR(C52/F52,0)</x:f>
        <x:v>7488</x:v>
      </x:c>
      <x:c r="I52" s="62" t="n">
        <x:f>SUM(G$19:G52)</x:f>
        <x:v>115</x:v>
      </x:c>
      <x:c r="J52" s="62" t="n">
        <x:f>SUM(H$19:H52)</x:f>
        <x:v>120516</x:v>
      </x:c>
      <x:c r="K52" s="62" t="n">
        <x:f>I52*18</x:f>
        <x:v>2070</x:v>
      </x:c>
      <x:c r="L52" s="62" t="n">
        <x:f>J52*18</x:f>
        <x:v>2169288</x:v>
      </x:c>
    </x:row>
    <x:row r="53" ht="23" customHeight="1">
      <x:c r="A53" s="119" t="n">
        <x:v>35</x:v>
      </x:c>
      <x:c r="B53" s="119" t="n">
        <x:f>VLOOKUP(A53,$A$7:$G$13,6,TRUE)</x:f>
        <x:v>5</x:v>
      </x:c>
      <x:c r="C53" s="119" t="n">
        <x:f>ROUNDUP(('经济参数'!$E$52+(A53-1)*'经济参数'!$E$53)*VLOOKUP(A53,$A$7:$G$13,7,TRUE),0)</x:f>
        <x:v>7704</x:v>
      </x:c>
      <x:c r="D53" s="110" t="n">
        <x:v>1</x:v>
      </x:c>
      <x:c r="E53" s="110" t="n">
        <x:v>1</x:v>
      </x:c>
      <x:c r="F53" s="110" t="n">
        <x:f>IF('使用说明'!$B$4=0,D53,E53)</x:f>
        <x:v>1</x:v>
      </x:c>
      <x:c r="G53" s="62" t="n">
        <x:f>IFERROR(B53/F53,0)</x:f>
        <x:v>5</x:v>
      </x:c>
      <x:c r="H53" s="62" t="n">
        <x:f>IFERROR(C53/F53,0)</x:f>
        <x:v>7704</x:v>
      </x:c>
      <x:c r="I53" s="62" t="n">
        <x:f>SUM(G$19:G53)</x:f>
        <x:v>120</x:v>
      </x:c>
      <x:c r="J53" s="62" t="n">
        <x:f>SUM(H$19:H53)</x:f>
        <x:v>128220</x:v>
      </x:c>
      <x:c r="K53" s="62" t="n">
        <x:f>I53*18</x:f>
        <x:v>2160</x:v>
      </x:c>
      <x:c r="L53" s="62" t="n">
        <x:f>J53*18</x:f>
        <x:v>2307960</x:v>
      </x:c>
    </x:row>
    <x:row r="54" ht="23" customHeight="1">
      <x:c r="A54" s="119" t="n">
        <x:v>36</x:v>
      </x:c>
      <x:c r="B54" s="119" t="n">
        <x:f>VLOOKUP(A54,$A$7:$G$13,6,TRUE)</x:f>
        <x:v>8</x:v>
      </x:c>
      <x:c r="C54" s="119" t="n">
        <x:f>ROUNDUP(('经济参数'!$E$52+(A54-1)*'经济参数'!$E$53)*VLOOKUP(A54,$A$7:$G$13,7,TRUE),0)</x:f>
        <x:v>9900</x:v>
      </x:c>
      <x:c r="D54" s="110" t="n">
        <x:v>1</x:v>
      </x:c>
      <x:c r="E54" s="110" t="n">
        <x:v>1</x:v>
      </x:c>
      <x:c r="F54" s="110" t="n">
        <x:f>IF('使用说明'!$B$4=0,D54,E54)</x:f>
        <x:v>1</x:v>
      </x:c>
      <x:c r="G54" s="62" t="n">
        <x:f>IFERROR(B54/F54,0)</x:f>
        <x:v>8</x:v>
      </x:c>
      <x:c r="H54" s="62" t="n">
        <x:f>IFERROR(C54/F54,0)</x:f>
        <x:v>9900</x:v>
      </x:c>
      <x:c r="I54" s="62" t="n">
        <x:f>SUM(G$19:G54)</x:f>
        <x:v>128</x:v>
      </x:c>
      <x:c r="J54" s="62" t="n">
        <x:f>SUM(H$19:H54)</x:f>
        <x:v>138120</x:v>
      </x:c>
      <x:c r="K54" s="62" t="n">
        <x:f>I54*18</x:f>
        <x:v>2304</x:v>
      </x:c>
      <x:c r="L54" s="62" t="n">
        <x:f>J54*18</x:f>
        <x:v>2486160</x:v>
      </x:c>
    </x:row>
    <x:row r="55" ht="23" customHeight="1">
      <x:c r="A55" s="119" t="n">
        <x:v>37</x:v>
      </x:c>
      <x:c r="B55" s="119" t="n">
        <x:f>VLOOKUP(A55,$A$7:$G$13,6,TRUE)</x:f>
        <x:v>8</x:v>
      </x:c>
      <x:c r="C55" s="119" t="n">
        <x:f>ROUNDUP(('经济参数'!$E$52+(A55-1)*'经济参数'!$E$53)*VLOOKUP(A55,$A$7:$G$13,7,TRUE),0)</x:f>
        <x:v>10170</x:v>
      </x:c>
      <x:c r="D55" s="110" t="n">
        <x:v>1</x:v>
      </x:c>
      <x:c r="E55" s="110" t="n">
        <x:v>1</x:v>
      </x:c>
      <x:c r="F55" s="110" t="n">
        <x:f>IF('使用说明'!$B$4=0,D55,E55)</x:f>
        <x:v>1</x:v>
      </x:c>
      <x:c r="G55" s="62" t="n">
        <x:f>IFERROR(B55/F55,0)</x:f>
        <x:v>8</x:v>
      </x:c>
      <x:c r="H55" s="62" t="n">
        <x:f>IFERROR(C55/F55,0)</x:f>
        <x:v>10170</x:v>
      </x:c>
      <x:c r="I55" s="62" t="n">
        <x:f>SUM(G$19:G55)</x:f>
        <x:v>136</x:v>
      </x:c>
      <x:c r="J55" s="62" t="n">
        <x:f>SUM(H$19:H55)</x:f>
        <x:v>148290</x:v>
      </x:c>
      <x:c r="K55" s="62" t="n">
        <x:f>I55*18</x:f>
        <x:v>2448</x:v>
      </x:c>
      <x:c r="L55" s="62" t="n">
        <x:f>J55*18</x:f>
        <x:v>2669220</x:v>
      </x:c>
    </x:row>
    <x:row r="56" ht="23" customHeight="1">
      <x:c r="A56" s="119" t="n">
        <x:v>38</x:v>
      </x:c>
      <x:c r="B56" s="119" t="n">
        <x:f>VLOOKUP(A56,$A$7:$G$13,6,TRUE)</x:f>
        <x:v>8</x:v>
      </x:c>
      <x:c r="C56" s="119" t="n">
        <x:f>ROUNDUP(('经济参数'!$E$52+(A56-1)*'经济参数'!$E$53)*VLOOKUP(A56,$A$7:$G$13,7,TRUE),0)</x:f>
        <x:v>10440</x:v>
      </x:c>
      <x:c r="D56" s="110" t="n">
        <x:v>1</x:v>
      </x:c>
      <x:c r="E56" s="110" t="n">
        <x:v>1</x:v>
      </x:c>
      <x:c r="F56" s="110" t="n">
        <x:f>IF('使用说明'!$B$4=0,D56,E56)</x:f>
        <x:v>1</x:v>
      </x:c>
      <x:c r="G56" s="62" t="n">
        <x:f>IFERROR(B56/F56,0)</x:f>
        <x:v>8</x:v>
      </x:c>
      <x:c r="H56" s="62" t="n">
        <x:f>IFERROR(C56/F56,0)</x:f>
        <x:v>10440</x:v>
      </x:c>
      <x:c r="I56" s="62" t="n">
        <x:f>SUM(G$19:G56)</x:f>
        <x:v>144</x:v>
      </x:c>
      <x:c r="J56" s="62" t="n">
        <x:f>SUM(H$19:H56)</x:f>
        <x:v>158730</x:v>
      </x:c>
      <x:c r="K56" s="62" t="n">
        <x:f>I56*18</x:f>
        <x:v>2592</x:v>
      </x:c>
      <x:c r="L56" s="62" t="n">
        <x:f>J56*18</x:f>
        <x:v>2857140</x:v>
      </x:c>
    </x:row>
    <x:row r="57" ht="23" customHeight="1">
      <x:c r="A57" s="119" t="n">
        <x:v>39</x:v>
      </x:c>
      <x:c r="B57" s="119" t="n">
        <x:f>VLOOKUP(A57,$A$7:$G$13,6,TRUE)</x:f>
        <x:v>8</x:v>
      </x:c>
      <x:c r="C57" s="119" t="n">
        <x:f>ROUNDUP(('经济参数'!$E$52+(A57-1)*'经济参数'!$E$53)*VLOOKUP(A57,$A$7:$G$13,7,TRUE),0)</x:f>
        <x:v>10710</x:v>
      </x:c>
      <x:c r="D57" s="110" t="n">
        <x:v>1</x:v>
      </x:c>
      <x:c r="E57" s="110" t="n">
        <x:v>1</x:v>
      </x:c>
      <x:c r="F57" s="110" t="n">
        <x:f>IF('使用说明'!$B$4=0,D57,E57)</x:f>
        <x:v>1</x:v>
      </x:c>
      <x:c r="G57" s="62" t="n">
        <x:f>IFERROR(B57/F57,0)</x:f>
        <x:v>8</x:v>
      </x:c>
      <x:c r="H57" s="62" t="n">
        <x:f>IFERROR(C57/F57,0)</x:f>
        <x:v>10710</x:v>
      </x:c>
      <x:c r="I57" s="62" t="n">
        <x:f>SUM(G$19:G57)</x:f>
        <x:v>152</x:v>
      </x:c>
      <x:c r="J57" s="62" t="n">
        <x:f>SUM(H$19:H57)</x:f>
        <x:v>169440</x:v>
      </x:c>
      <x:c r="K57" s="62" t="n">
        <x:f>I57*18</x:f>
        <x:v>2736</x:v>
      </x:c>
      <x:c r="L57" s="62" t="n">
        <x:f>J57*18</x:f>
        <x:v>3049920</x:v>
      </x:c>
    </x:row>
    <x:row r="58" ht="23" customHeight="1">
      <x:c r="A58" s="119" t="n">
        <x:v>40</x:v>
      </x:c>
      <x:c r="B58" s="119" t="n">
        <x:f>VLOOKUP(A58,$A$7:$G$13,6,TRUE)</x:f>
        <x:v>8</x:v>
      </x:c>
      <x:c r="C58" s="119" t="n">
        <x:f>ROUNDUP(('经济参数'!$E$52+(A58-1)*'经济参数'!$E$53)*VLOOKUP(A58,$A$7:$G$13,7,TRUE),0)</x:f>
        <x:v>10980</x:v>
      </x:c>
      <x:c r="D58" s="110" t="n">
        <x:v>1</x:v>
      </x:c>
      <x:c r="E58" s="110" t="n">
        <x:v>1</x:v>
      </x:c>
      <x:c r="F58" s="110" t="n">
        <x:f>IF('使用说明'!$B$4=0,D58,E58)</x:f>
        <x:v>1</x:v>
      </x:c>
      <x:c r="G58" s="62" t="n">
        <x:f>IFERROR(B58/F58,0)</x:f>
        <x:v>8</x:v>
      </x:c>
      <x:c r="H58" s="62" t="n">
        <x:f>IFERROR(C58/F58,0)</x:f>
        <x:v>10980</x:v>
      </x:c>
      <x:c r="I58" s="62" t="n">
        <x:f>SUM(G$19:G58)</x:f>
        <x:v>160</x:v>
      </x:c>
      <x:c r="J58" s="62" t="n">
        <x:f>SUM(H$19:H58)</x:f>
        <x:v>180420</x:v>
      </x:c>
      <x:c r="K58" s="62" t="n">
        <x:f>I58*18</x:f>
        <x:v>2880</x:v>
      </x:c>
      <x:c r="L58" s="62" t="n">
        <x:f>J58*18</x:f>
        <x:v>3247560</x:v>
      </x:c>
    </x:row>
    <x:row r="59" ht="23" customHeight="1">
      <x:c r="A59" s="119" t="n">
        <x:v>41</x:v>
      </x:c>
      <x:c r="B59" s="119" t="n">
        <x:f>VLOOKUP(A59,$A$7:$G$13,6,TRUE)</x:f>
        <x:v>8</x:v>
      </x:c>
      <x:c r="C59" s="119" t="n">
        <x:f>ROUNDUP(('经济参数'!$E$52+(A59-1)*'经济参数'!$E$53)*VLOOKUP(A59,$A$7:$G$13,7,TRUE),0)</x:f>
        <x:v>11250</x:v>
      </x:c>
      <x:c r="D59" s="110" t="n">
        <x:v>1</x:v>
      </x:c>
      <x:c r="E59" s="110" t="n">
        <x:v>1</x:v>
      </x:c>
      <x:c r="F59" s="110" t="n">
        <x:f>IF('使用说明'!$B$4=0,D59,E59)</x:f>
        <x:v>1</x:v>
      </x:c>
      <x:c r="G59" s="62" t="n">
        <x:f>IFERROR(B59/F59,0)</x:f>
        <x:v>8</x:v>
      </x:c>
      <x:c r="H59" s="62" t="n">
        <x:f>IFERROR(C59/F59,0)</x:f>
        <x:v>11250</x:v>
      </x:c>
      <x:c r="I59" s="62" t="n">
        <x:f>SUM(G$19:G59)</x:f>
        <x:v>168</x:v>
      </x:c>
      <x:c r="J59" s="62" t="n">
        <x:f>SUM(H$19:H59)</x:f>
        <x:v>191670</x:v>
      </x:c>
      <x:c r="K59" s="62" t="n">
        <x:f>I59*18</x:f>
        <x:v>3024</x:v>
      </x:c>
      <x:c r="L59" s="62" t="n">
        <x:f>J59*18</x:f>
        <x:v>3450060</x:v>
      </x:c>
    </x:row>
    <x:row r="60" ht="23" customHeight="1">
      <x:c r="A60" s="119" t="n">
        <x:v>42</x:v>
      </x:c>
      <x:c r="B60" s="119" t="n">
        <x:f>VLOOKUP(A60,$A$7:$G$13,6,TRUE)</x:f>
        <x:v>8</x:v>
      </x:c>
      <x:c r="C60" s="119" t="n">
        <x:f>ROUNDUP(('经济参数'!$E$52+(A60-1)*'经济参数'!$E$53)*VLOOKUP(A60,$A$7:$G$13,7,TRUE),0)</x:f>
        <x:v>11520</x:v>
      </x:c>
      <x:c r="D60" s="110" t="n">
        <x:v>1</x:v>
      </x:c>
      <x:c r="E60" s="110" t="n">
        <x:v>1</x:v>
      </x:c>
      <x:c r="F60" s="110" t="n">
        <x:f>IF('使用说明'!$B$4=0,D60,E60)</x:f>
        <x:v>1</x:v>
      </x:c>
      <x:c r="G60" s="62" t="n">
        <x:f>IFERROR(B60/F60,0)</x:f>
        <x:v>8</x:v>
      </x:c>
      <x:c r="H60" s="62" t="n">
        <x:f>IFERROR(C60/F60,0)</x:f>
        <x:v>11520</x:v>
      </x:c>
      <x:c r="I60" s="62" t="n">
        <x:f>SUM(G$19:G60)</x:f>
        <x:v>176</x:v>
      </x:c>
      <x:c r="J60" s="62" t="n">
        <x:f>SUM(H$19:H60)</x:f>
        <x:v>203190</x:v>
      </x:c>
      <x:c r="K60" s="62" t="n">
        <x:f>I60*18</x:f>
        <x:v>3168</x:v>
      </x:c>
      <x:c r="L60" s="62" t="n">
        <x:f>J60*18</x:f>
        <x:v>3657420</x:v>
      </x:c>
    </x:row>
    <x:row r="61" ht="23" customHeight="1">
      <x:c r="A61" s="119" t="n">
        <x:v>43</x:v>
      </x:c>
      <x:c r="B61" s="119" t="n">
        <x:f>VLOOKUP(A61,$A$7:$G$13,6,TRUE)</x:f>
        <x:v>8</x:v>
      </x:c>
      <x:c r="C61" s="119" t="n">
        <x:f>ROUNDUP(('经济参数'!$E$52+(A61-1)*'经济参数'!$E$53)*VLOOKUP(A61,$A$7:$G$13,7,TRUE),0)</x:f>
        <x:v>11790</x:v>
      </x:c>
      <x:c r="D61" s="110" t="n">
        <x:v>1</x:v>
      </x:c>
      <x:c r="E61" s="110" t="n">
        <x:v>1</x:v>
      </x:c>
      <x:c r="F61" s="110" t="n">
        <x:f>IF('使用说明'!$B$4=0,D61,E61)</x:f>
        <x:v>1</x:v>
      </x:c>
      <x:c r="G61" s="62" t="n">
        <x:f>IFERROR(B61/F61,0)</x:f>
        <x:v>8</x:v>
      </x:c>
      <x:c r="H61" s="62" t="n">
        <x:f>IFERROR(C61/F61,0)</x:f>
        <x:v>11790</x:v>
      </x:c>
      <x:c r="I61" s="62" t="n">
        <x:f>SUM(G$19:G61)</x:f>
        <x:v>184</x:v>
      </x:c>
      <x:c r="J61" s="62" t="n">
        <x:f>SUM(H$19:H61)</x:f>
        <x:v>214980</x:v>
      </x:c>
      <x:c r="K61" s="62" t="n">
        <x:f>I61*18</x:f>
        <x:v>3312</x:v>
      </x:c>
      <x:c r="L61" s="62" t="n">
        <x:f>J61*18</x:f>
        <x:v>3869640</x:v>
      </x:c>
    </x:row>
    <x:row r="62" ht="23" customHeight="1">
      <x:c r="A62" s="119" t="n">
        <x:v>44</x:v>
      </x:c>
      <x:c r="B62" s="119" t="n">
        <x:f>VLOOKUP(A62,$A$7:$G$13,6,TRUE)</x:f>
        <x:v>8</x:v>
      </x:c>
      <x:c r="C62" s="119" t="n">
        <x:f>ROUNDUP(('经济参数'!$E$52+(A62-1)*'经济参数'!$E$53)*VLOOKUP(A62,$A$7:$G$13,7,TRUE),0)</x:f>
        <x:v>12060</x:v>
      </x:c>
      <x:c r="D62" s="110" t="n">
        <x:v>1</x:v>
      </x:c>
      <x:c r="E62" s="110" t="n">
        <x:v>1</x:v>
      </x:c>
      <x:c r="F62" s="110" t="n">
        <x:f>IF('使用说明'!$B$4=0,D62,E62)</x:f>
        <x:v>1</x:v>
      </x:c>
      <x:c r="G62" s="62" t="n">
        <x:f>IFERROR(B62/F62,0)</x:f>
        <x:v>8</x:v>
      </x:c>
      <x:c r="H62" s="62" t="n">
        <x:f>IFERROR(C62/F62,0)</x:f>
        <x:v>12060</x:v>
      </x:c>
      <x:c r="I62" s="62" t="n">
        <x:f>SUM(G$19:G62)</x:f>
        <x:v>192</x:v>
      </x:c>
      <x:c r="J62" s="62" t="n">
        <x:f>SUM(H$19:H62)</x:f>
        <x:v>227040</x:v>
      </x:c>
      <x:c r="K62" s="62" t="n">
        <x:f>I62*18</x:f>
        <x:v>3456</x:v>
      </x:c>
      <x:c r="L62" s="62" t="n">
        <x:f>J62*18</x:f>
        <x:v>4086720</x:v>
      </x:c>
    </x:row>
    <x:row r="63" ht="23" customHeight="1">
      <x:c r="A63" s="119" t="n">
        <x:v>45</x:v>
      </x:c>
      <x:c r="B63" s="119" t="n">
        <x:f>VLOOKUP(A63,$A$7:$G$13,6,TRUE)</x:f>
        <x:v>8</x:v>
      </x:c>
      <x:c r="C63" s="119" t="n">
        <x:f>ROUNDUP(('经济参数'!$E$52+(A63-1)*'经济参数'!$E$53)*VLOOKUP(A63,$A$7:$G$13,7,TRUE),0)</x:f>
        <x:v>12330</x:v>
      </x:c>
      <x:c r="D63" s="110" t="n">
        <x:v>1</x:v>
      </x:c>
      <x:c r="E63" s="110" t="n">
        <x:v>1</x:v>
      </x:c>
      <x:c r="F63" s="110" t="n">
        <x:f>IF('使用说明'!$B$4=0,D63,E63)</x:f>
        <x:v>1</x:v>
      </x:c>
      <x:c r="G63" s="62" t="n">
        <x:f>IFERROR(B63/F63,0)</x:f>
        <x:v>8</x:v>
      </x:c>
      <x:c r="H63" s="62" t="n">
        <x:f>IFERROR(C63/F63,0)</x:f>
        <x:v>12330</x:v>
      </x:c>
      <x:c r="I63" s="62" t="n">
        <x:f>SUM(G$19:G63)</x:f>
        <x:v>200</x:v>
      </x:c>
      <x:c r="J63" s="62" t="n">
        <x:f>SUM(H$19:H63)</x:f>
        <x:v>239370</x:v>
      </x:c>
      <x:c r="K63" s="62" t="n">
        <x:f>I63*18</x:f>
        <x:v>3600</x:v>
      </x:c>
      <x:c r="L63" s="62" t="n">
        <x:f>J63*18</x:f>
        <x:v>4308660</x:v>
      </x:c>
    </x:row>
    <x:row r="64" ht="23" customHeight="1">
      <x:c r="A64" s="119" t="n">
        <x:v>46</x:v>
      </x:c>
      <x:c r="B64" s="119" t="n">
        <x:f>VLOOKUP(A64,$A$7:$G$13,6,TRUE)</x:f>
        <x:v>8</x:v>
      </x:c>
      <x:c r="C64" s="119" t="n">
        <x:f>ROUNDUP(('经济参数'!$E$52+(A64-1)*'经济参数'!$E$53)*VLOOKUP(A64,$A$7:$G$13,7,TRUE),0)</x:f>
        <x:v>12600</x:v>
      </x:c>
      <x:c r="D64" s="110" t="n">
        <x:v>1</x:v>
      </x:c>
      <x:c r="E64" s="110" t="n">
        <x:v>1</x:v>
      </x:c>
      <x:c r="F64" s="110" t="n">
        <x:f>IF('使用说明'!$B$4=0,D64,E64)</x:f>
        <x:v>1</x:v>
      </x:c>
      <x:c r="G64" s="62" t="n">
        <x:f>IFERROR(B64/F64,0)</x:f>
        <x:v>8</x:v>
      </x:c>
      <x:c r="H64" s="62" t="n">
        <x:f>IFERROR(C64/F64,0)</x:f>
        <x:v>12600</x:v>
      </x:c>
      <x:c r="I64" s="62" t="n">
        <x:f>SUM(G$19:G64)</x:f>
        <x:v>208</x:v>
      </x:c>
      <x:c r="J64" s="62" t="n">
        <x:f>SUM(H$19:H64)</x:f>
        <x:v>251970</x:v>
      </x:c>
      <x:c r="K64" s="62" t="n">
        <x:f>I64*18</x:f>
        <x:v>3744</x:v>
      </x:c>
      <x:c r="L64" s="62" t="n">
        <x:f>J64*18</x:f>
        <x:v>4535460</x:v>
      </x:c>
    </x:row>
    <x:row r="65" ht="23" customHeight="1">
      <x:c r="A65" s="119" t="n">
        <x:v>47</x:v>
      </x:c>
      <x:c r="B65" s="119" t="n">
        <x:f>VLOOKUP(A65,$A$7:$G$13,6,TRUE)</x:f>
        <x:v>8</x:v>
      </x:c>
      <x:c r="C65" s="119" t="n">
        <x:f>ROUNDUP(('经济参数'!$E$52+(A65-1)*'经济参数'!$E$53)*VLOOKUP(A65,$A$7:$G$13,7,TRUE),0)</x:f>
        <x:v>12870</x:v>
      </x:c>
      <x:c r="D65" s="110" t="n">
        <x:v>1</x:v>
      </x:c>
      <x:c r="E65" s="110" t="n">
        <x:v>1</x:v>
      </x:c>
      <x:c r="F65" s="110" t="n">
        <x:f>IF('使用说明'!$B$4=0,D65,E65)</x:f>
        <x:v>1</x:v>
      </x:c>
      <x:c r="G65" s="62" t="n">
        <x:f>IFERROR(B65/F65,0)</x:f>
        <x:v>8</x:v>
      </x:c>
      <x:c r="H65" s="62" t="n">
        <x:f>IFERROR(C65/F65,0)</x:f>
        <x:v>12870</x:v>
      </x:c>
      <x:c r="I65" s="62" t="n">
        <x:f>SUM(G$19:G65)</x:f>
        <x:v>216</x:v>
      </x:c>
      <x:c r="J65" s="62" t="n">
        <x:f>SUM(H$19:H65)</x:f>
        <x:v>264840</x:v>
      </x:c>
      <x:c r="K65" s="62" t="n">
        <x:f>I65*18</x:f>
        <x:v>3888</x:v>
      </x:c>
      <x:c r="L65" s="62" t="n">
        <x:f>J65*18</x:f>
        <x:v>4767120</x:v>
      </x:c>
    </x:row>
    <x:row r="66" ht="23" customHeight="1">
      <x:c r="A66" s="119" t="n">
        <x:v>48</x:v>
      </x:c>
      <x:c r="B66" s="119" t="n">
        <x:f>VLOOKUP(A66,$A$7:$G$13,6,TRUE)</x:f>
        <x:v>8</x:v>
      </x:c>
      <x:c r="C66" s="119" t="n">
        <x:f>ROUNDUP(('经济参数'!$E$52+(A66-1)*'经济参数'!$E$53)*VLOOKUP(A66,$A$7:$G$13,7,TRUE),0)</x:f>
        <x:v>13140</x:v>
      </x:c>
      <x:c r="D66" s="110" t="n">
        <x:v>1</x:v>
      </x:c>
      <x:c r="E66" s="110" t="n">
        <x:v>1</x:v>
      </x:c>
      <x:c r="F66" s="110" t="n">
        <x:f>IF('使用说明'!$B$4=0,D66,E66)</x:f>
        <x:v>1</x:v>
      </x:c>
      <x:c r="G66" s="62" t="n">
        <x:f>IFERROR(B66/F66,0)</x:f>
        <x:v>8</x:v>
      </x:c>
      <x:c r="H66" s="62" t="n">
        <x:f>IFERROR(C66/F66,0)</x:f>
        <x:v>13140</x:v>
      </x:c>
      <x:c r="I66" s="62" t="n">
        <x:f>SUM(G$19:G66)</x:f>
        <x:v>224</x:v>
      </x:c>
      <x:c r="J66" s="62" t="n">
        <x:f>SUM(H$19:H66)</x:f>
        <x:v>277980</x:v>
      </x:c>
      <x:c r="K66" s="62" t="n">
        <x:f>I66*18</x:f>
        <x:v>4032</x:v>
      </x:c>
      <x:c r="L66" s="62" t="n">
        <x:f>J66*18</x:f>
        <x:v>5003640</x:v>
      </x:c>
    </x:row>
    <x:row r="67" ht="23" customHeight="1">
      <x:c r="A67" s="119" t="n">
        <x:v>49</x:v>
      </x:c>
      <x:c r="B67" s="119" t="n">
        <x:f>VLOOKUP(A67,$A$7:$G$13,6,TRUE)</x:f>
        <x:v>8</x:v>
      </x:c>
      <x:c r="C67" s="119" t="n">
        <x:f>ROUNDUP(('经济参数'!$E$52+(A67-1)*'经济参数'!$E$53)*VLOOKUP(A67,$A$7:$G$13,7,TRUE),0)</x:f>
        <x:v>13410</x:v>
      </x:c>
      <x:c r="D67" s="110" t="n">
        <x:v>1</x:v>
      </x:c>
      <x:c r="E67" s="110" t="n">
        <x:v>1</x:v>
      </x:c>
      <x:c r="F67" s="110" t="n">
        <x:f>IF('使用说明'!$B$4=0,D67,E67)</x:f>
        <x:v>1</x:v>
      </x:c>
      <x:c r="G67" s="62" t="n">
        <x:f>IFERROR(B67/F67,0)</x:f>
        <x:v>8</x:v>
      </x:c>
      <x:c r="H67" s="62" t="n">
        <x:f>IFERROR(C67/F67,0)</x:f>
        <x:v>13410</x:v>
      </x:c>
      <x:c r="I67" s="62" t="n">
        <x:f>SUM(G$19:G67)</x:f>
        <x:v>232</x:v>
      </x:c>
      <x:c r="J67" s="62" t="n">
        <x:f>SUM(H$19:H67)</x:f>
        <x:v>291390</x:v>
      </x:c>
      <x:c r="K67" s="62" t="n">
        <x:f>I67*18</x:f>
        <x:v>4176</x:v>
      </x:c>
      <x:c r="L67" s="62" t="n">
        <x:f>J67*18</x:f>
        <x:v>5245020</x:v>
      </x:c>
    </x:row>
    <x:row r="68" ht="23" customHeight="1">
      <x:c r="A68" s="119" t="n">
        <x:v>50</x:v>
      </x:c>
      <x:c r="B68" s="119" t="n">
        <x:f>VLOOKUP(A68,$A$7:$G$13,6,TRUE)</x:f>
        <x:v>8</x:v>
      </x:c>
      <x:c r="C68" s="119" t="n">
        <x:f>ROUNDUP(('经济参数'!$E$52+(A68-1)*'经济参数'!$E$53)*VLOOKUP(A68,$A$7:$G$13,7,TRUE),0)</x:f>
        <x:v>13680</x:v>
      </x:c>
      <x:c r="D68" s="110" t="n">
        <x:v>1</x:v>
      </x:c>
      <x:c r="E68" s="110" t="n">
        <x:v>1</x:v>
      </x:c>
      <x:c r="F68" s="110" t="n">
        <x:f>IF('使用说明'!$B$4=0,D68,E68)</x:f>
        <x:v>1</x:v>
      </x:c>
      <x:c r="G68" s="62" t="n">
        <x:f>IFERROR(B68/F68,0)</x:f>
        <x:v>8</x:v>
      </x:c>
      <x:c r="H68" s="62" t="n">
        <x:f>IFERROR(C68/F68,0)</x:f>
        <x:v>13680</x:v>
      </x:c>
      <x:c r="I68" s="62" t="n">
        <x:f>SUM(G$19:G68)</x:f>
        <x:v>240</x:v>
      </x:c>
      <x:c r="J68" s="62" t="n">
        <x:f>SUM(H$19:H68)</x:f>
        <x:v>305070</x:v>
      </x:c>
      <x:c r="K68" s="62" t="n">
        <x:f>I68*18</x:f>
        <x:v>4320</x:v>
      </x:c>
      <x:c r="L68" s="62" t="n">
        <x:f>J68*18</x:f>
        <x:v>5491260</x:v>
      </x:c>
    </x:row>
    <x:row r="69" ht="23" customHeight="1">
      <x:c r="A69" s="119" t="n">
        <x:v>51</x:v>
      </x:c>
      <x:c r="B69" s="119" t="n">
        <x:f>VLOOKUP(A69,$A$7:$G$13,6,TRUE)</x:f>
        <x:v>12</x:v>
      </x:c>
      <x:c r="C69" s="119" t="n">
        <x:f>ROUNDUP(('经济参数'!$E$52+(A69-1)*'经济参数'!$E$53)*VLOOKUP(A69,$A$7:$G$13,7,TRUE),0)</x:f>
        <x:v>17360</x:v>
      </x:c>
      <x:c r="D69" s="110" t="n">
        <x:v>1</x:v>
      </x:c>
      <x:c r="E69" s="110" t="n">
        <x:v>1</x:v>
      </x:c>
      <x:c r="F69" s="110" t="n">
        <x:f>IF('使用说明'!$B$4=0,D69,E69)</x:f>
        <x:v>1</x:v>
      </x:c>
      <x:c r="G69" s="62" t="n">
        <x:f>IFERROR(B69/F69,0)</x:f>
        <x:v>12</x:v>
      </x:c>
      <x:c r="H69" s="62" t="n">
        <x:f>IFERROR(C69/F69,0)</x:f>
        <x:v>17360</x:v>
      </x:c>
      <x:c r="I69" s="62" t="n">
        <x:f>SUM(G$19:G69)</x:f>
        <x:v>252</x:v>
      </x:c>
      <x:c r="J69" s="62" t="n">
        <x:f>SUM(H$19:H69)</x:f>
        <x:v>322430</x:v>
      </x:c>
      <x:c r="K69" s="62" t="n">
        <x:f>I69*18</x:f>
        <x:v>4536</x:v>
      </x:c>
      <x:c r="L69" s="62" t="n">
        <x:f>J69*18</x:f>
        <x:v>5803740</x:v>
      </x:c>
    </x:row>
    <x:row r="70" ht="23" customHeight="1">
      <x:c r="A70" s="119" t="n">
        <x:v>52</x:v>
      </x:c>
      <x:c r="B70" s="119" t="n">
        <x:f>VLOOKUP(A70,$A$7:$G$13,6,TRUE)</x:f>
        <x:v>12</x:v>
      </x:c>
      <x:c r="C70" s="119" t="n">
        <x:f>ROUNDUP(('经济参数'!$E$52+(A70-1)*'经济参数'!$E$53)*VLOOKUP(A70,$A$7:$G$13,7,TRUE),0)</x:f>
        <x:v>17696</x:v>
      </x:c>
      <x:c r="D70" s="110" t="n">
        <x:v>1</x:v>
      </x:c>
      <x:c r="E70" s="110" t="n">
        <x:v>1</x:v>
      </x:c>
      <x:c r="F70" s="110" t="n">
        <x:f>IF('使用说明'!$B$4=0,D70,E70)</x:f>
        <x:v>1</x:v>
      </x:c>
      <x:c r="G70" s="62" t="n">
        <x:f>IFERROR(B70/F70,0)</x:f>
        <x:v>12</x:v>
      </x:c>
      <x:c r="H70" s="62" t="n">
        <x:f>IFERROR(C70/F70,0)</x:f>
        <x:v>17696</x:v>
      </x:c>
      <x:c r="I70" s="62" t="n">
        <x:f>SUM(G$19:G70)</x:f>
        <x:v>264</x:v>
      </x:c>
      <x:c r="J70" s="62" t="n">
        <x:f>SUM(H$19:H70)</x:f>
        <x:v>340126</x:v>
      </x:c>
      <x:c r="K70" s="62" t="n">
        <x:f>I70*18</x:f>
        <x:v>4752</x:v>
      </x:c>
      <x:c r="L70" s="62" t="n">
        <x:f>J70*18</x:f>
        <x:v>6122268</x:v>
      </x:c>
    </x:row>
    <x:row r="71" ht="23" customHeight="1">
      <x:c r="A71" s="119" t="n">
        <x:v>53</x:v>
      </x:c>
      <x:c r="B71" s="119" t="n">
        <x:f>VLOOKUP(A71,$A$7:$G$13,6,TRUE)</x:f>
        <x:v>12</x:v>
      </x:c>
      <x:c r="C71" s="119" t="n">
        <x:f>ROUNDUP(('经济参数'!$E$52+(A71-1)*'经济参数'!$E$53)*VLOOKUP(A71,$A$7:$G$13,7,TRUE),0)</x:f>
        <x:v>18032</x:v>
      </x:c>
      <x:c r="D71" s="110" t="n">
        <x:v>1</x:v>
      </x:c>
      <x:c r="E71" s="110" t="n">
        <x:v>1</x:v>
      </x:c>
      <x:c r="F71" s="110" t="n">
        <x:f>IF('使用说明'!$B$4=0,D71,E71)</x:f>
        <x:v>1</x:v>
      </x:c>
      <x:c r="G71" s="62" t="n">
        <x:f>IFERROR(B71/F71,0)</x:f>
        <x:v>12</x:v>
      </x:c>
      <x:c r="H71" s="62" t="n">
        <x:f>IFERROR(C71/F71,0)</x:f>
        <x:v>18032</x:v>
      </x:c>
      <x:c r="I71" s="62" t="n">
        <x:f>SUM(G$19:G71)</x:f>
        <x:v>276</x:v>
      </x:c>
      <x:c r="J71" s="62" t="n">
        <x:f>SUM(H$19:H71)</x:f>
        <x:v>358158</x:v>
      </x:c>
      <x:c r="K71" s="62" t="n">
        <x:f>I71*18</x:f>
        <x:v>4968</x:v>
      </x:c>
      <x:c r="L71" s="62" t="n">
        <x:f>J71*18</x:f>
        <x:v>6446844</x:v>
      </x:c>
    </x:row>
    <x:row r="72" ht="23" customHeight="1">
      <x:c r="A72" s="119" t="n">
        <x:v>54</x:v>
      </x:c>
      <x:c r="B72" s="119" t="n">
        <x:f>VLOOKUP(A72,$A$7:$G$13,6,TRUE)</x:f>
        <x:v>12</x:v>
      </x:c>
      <x:c r="C72" s="119" t="n">
        <x:f>ROUNDUP(('经济参数'!$E$52+(A72-1)*'经济参数'!$E$53)*VLOOKUP(A72,$A$7:$G$13,7,TRUE),0)</x:f>
        <x:v>18368</x:v>
      </x:c>
      <x:c r="D72" s="110" t="n">
        <x:v>1</x:v>
      </x:c>
      <x:c r="E72" s="110" t="n">
        <x:v>1</x:v>
      </x:c>
      <x:c r="F72" s="110" t="n">
        <x:f>IF('使用说明'!$B$4=0,D72,E72)</x:f>
        <x:v>1</x:v>
      </x:c>
      <x:c r="G72" s="62" t="n">
        <x:f>IFERROR(B72/F72,0)</x:f>
        <x:v>12</x:v>
      </x:c>
      <x:c r="H72" s="62" t="n">
        <x:f>IFERROR(C72/F72,0)</x:f>
        <x:v>18368</x:v>
      </x:c>
      <x:c r="I72" s="62" t="n">
        <x:f>SUM(G$19:G72)</x:f>
        <x:v>288</x:v>
      </x:c>
      <x:c r="J72" s="62" t="n">
        <x:f>SUM(H$19:H72)</x:f>
        <x:v>376526</x:v>
      </x:c>
      <x:c r="K72" s="62" t="n">
        <x:f>I72*18</x:f>
        <x:v>5184</x:v>
      </x:c>
      <x:c r="L72" s="62" t="n">
        <x:f>J72*18</x:f>
        <x:v>6777468</x:v>
      </x:c>
    </x:row>
    <x:row r="73" ht="23" customHeight="1">
      <x:c r="A73" s="119" t="n">
        <x:v>55</x:v>
      </x:c>
      <x:c r="B73" s="119" t="n">
        <x:f>VLOOKUP(A73,$A$7:$G$13,6,TRUE)</x:f>
        <x:v>12</x:v>
      </x:c>
      <x:c r="C73" s="119" t="n">
        <x:f>ROUNDUP(('经济参数'!$E$52+(A73-1)*'经济参数'!$E$53)*VLOOKUP(A73,$A$7:$G$13,7,TRUE),0)</x:f>
        <x:v>18704</x:v>
      </x:c>
      <x:c r="D73" s="110" t="n">
        <x:v>1</x:v>
      </x:c>
      <x:c r="E73" s="110" t="n">
        <x:v>1</x:v>
      </x:c>
      <x:c r="F73" s="110" t="n">
        <x:f>IF('使用说明'!$B$4=0,D73,E73)</x:f>
        <x:v>1</x:v>
      </x:c>
      <x:c r="G73" s="62" t="n">
        <x:f>IFERROR(B73/F73,0)</x:f>
        <x:v>12</x:v>
      </x:c>
      <x:c r="H73" s="62" t="n">
        <x:f>IFERROR(C73/F73,0)</x:f>
        <x:v>18704</x:v>
      </x:c>
      <x:c r="I73" s="62" t="n">
        <x:f>SUM(G$19:G73)</x:f>
        <x:v>300</x:v>
      </x:c>
      <x:c r="J73" s="62" t="n">
        <x:f>SUM(H$19:H73)</x:f>
        <x:v>395230</x:v>
      </x:c>
      <x:c r="K73" s="62" t="n">
        <x:f>I73*18</x:f>
        <x:v>5400</x:v>
      </x:c>
      <x:c r="L73" s="62" t="n">
        <x:f>J73*18</x:f>
        <x:v>7114140</x:v>
      </x:c>
    </x:row>
    <x:row r="74" ht="23" customHeight="1">
      <x:c r="A74" s="119" t="n">
        <x:v>56</x:v>
      </x:c>
      <x:c r="B74" s="119" t="n">
        <x:f>VLOOKUP(A74,$A$7:$G$13,6,TRUE)</x:f>
        <x:v>12</x:v>
      </x:c>
      <x:c r="C74" s="119" t="n">
        <x:f>ROUNDUP(('经济参数'!$E$52+(A74-1)*'经济参数'!$E$53)*VLOOKUP(A74,$A$7:$G$13,7,TRUE),0)</x:f>
        <x:v>19040</x:v>
      </x:c>
      <x:c r="D74" s="110" t="n">
        <x:v>1</x:v>
      </x:c>
      <x:c r="E74" s="110" t="n">
        <x:v>1</x:v>
      </x:c>
      <x:c r="F74" s="110" t="n">
        <x:f>IF('使用说明'!$B$4=0,D74,E74)</x:f>
        <x:v>1</x:v>
      </x:c>
      <x:c r="G74" s="62" t="n">
        <x:f>IFERROR(B74/F74,0)</x:f>
        <x:v>12</x:v>
      </x:c>
      <x:c r="H74" s="62" t="n">
        <x:f>IFERROR(C74/F74,0)</x:f>
        <x:v>19040</x:v>
      </x:c>
      <x:c r="I74" s="62" t="n">
        <x:f>SUM(G$19:G74)</x:f>
        <x:v>312</x:v>
      </x:c>
      <x:c r="J74" s="62" t="n">
        <x:f>SUM(H$19:H74)</x:f>
        <x:v>414270</x:v>
      </x:c>
      <x:c r="K74" s="62" t="n">
        <x:f>I74*18</x:f>
        <x:v>5616</x:v>
      </x:c>
      <x:c r="L74" s="62" t="n">
        <x:f>J74*18</x:f>
        <x:v>7456860</x:v>
      </x:c>
    </x:row>
    <x:row r="75" ht="23" customHeight="1">
      <x:c r="A75" s="119" t="n">
        <x:v>57</x:v>
      </x:c>
      <x:c r="B75" s="119" t="n">
        <x:f>VLOOKUP(A75,$A$7:$G$13,6,TRUE)</x:f>
        <x:v>12</x:v>
      </x:c>
      <x:c r="C75" s="119" t="n">
        <x:f>ROUNDUP(('经济参数'!$E$52+(A75-1)*'经济参数'!$E$53)*VLOOKUP(A75,$A$7:$G$13,7,TRUE),0)</x:f>
        <x:v>19376</x:v>
      </x:c>
      <x:c r="D75" s="110" t="n">
        <x:v>1</x:v>
      </x:c>
      <x:c r="E75" s="110" t="n">
        <x:v>1</x:v>
      </x:c>
      <x:c r="F75" s="110" t="n">
        <x:f>IF('使用说明'!$B$4=0,D75,E75)</x:f>
        <x:v>1</x:v>
      </x:c>
      <x:c r="G75" s="62" t="n">
        <x:f>IFERROR(B75/F75,0)</x:f>
        <x:v>12</x:v>
      </x:c>
      <x:c r="H75" s="62" t="n">
        <x:f>IFERROR(C75/F75,0)</x:f>
        <x:v>19376</x:v>
      </x:c>
      <x:c r="I75" s="62" t="n">
        <x:f>SUM(G$19:G75)</x:f>
        <x:v>324</x:v>
      </x:c>
      <x:c r="J75" s="62" t="n">
        <x:f>SUM(H$19:H75)</x:f>
        <x:v>433646</x:v>
      </x:c>
      <x:c r="K75" s="62" t="n">
        <x:f>I75*18</x:f>
        <x:v>5832</x:v>
      </x:c>
      <x:c r="L75" s="62" t="n">
        <x:f>J75*18</x:f>
        <x:v>7805628</x:v>
      </x:c>
    </x:row>
    <x:row r="76" ht="23" customHeight="1">
      <x:c r="A76" s="119" t="n">
        <x:v>58</x:v>
      </x:c>
      <x:c r="B76" s="119" t="n">
        <x:f>VLOOKUP(A76,$A$7:$G$13,6,TRUE)</x:f>
        <x:v>12</x:v>
      </x:c>
      <x:c r="C76" s="119" t="n">
        <x:f>ROUNDUP(('经济参数'!$E$52+(A76-1)*'经济参数'!$E$53)*VLOOKUP(A76,$A$7:$G$13,7,TRUE),0)</x:f>
        <x:v>19712</x:v>
      </x:c>
      <x:c r="D76" s="110" t="n">
        <x:v>1</x:v>
      </x:c>
      <x:c r="E76" s="110" t="n">
        <x:v>1</x:v>
      </x:c>
      <x:c r="F76" s="110" t="n">
        <x:f>IF('使用说明'!$B$4=0,D76,E76)</x:f>
        <x:v>1</x:v>
      </x:c>
      <x:c r="G76" s="62" t="n">
        <x:f>IFERROR(B76/F76,0)</x:f>
        <x:v>12</x:v>
      </x:c>
      <x:c r="H76" s="62" t="n">
        <x:f>IFERROR(C76/F76,0)</x:f>
        <x:v>19712</x:v>
      </x:c>
      <x:c r="I76" s="62" t="n">
        <x:f>SUM(G$19:G76)</x:f>
        <x:v>336</x:v>
      </x:c>
      <x:c r="J76" s="62" t="n">
        <x:f>SUM(H$19:H76)</x:f>
        <x:v>453358</x:v>
      </x:c>
      <x:c r="K76" s="62" t="n">
        <x:f>I76*18</x:f>
        <x:v>6048</x:v>
      </x:c>
      <x:c r="L76" s="62" t="n">
        <x:f>J76*18</x:f>
        <x:v>8160444</x:v>
      </x:c>
    </x:row>
    <x:row r="77" ht="23" customHeight="1">
      <x:c r="A77" s="119" t="n">
        <x:v>59</x:v>
      </x:c>
      <x:c r="B77" s="119" t="n">
        <x:f>VLOOKUP(A77,$A$7:$G$13,6,TRUE)</x:f>
        <x:v>12</x:v>
      </x:c>
      <x:c r="C77" s="119" t="n">
        <x:f>ROUNDUP(('经济参数'!$E$52+(A77-1)*'经济参数'!$E$53)*VLOOKUP(A77,$A$7:$G$13,7,TRUE),0)</x:f>
        <x:v>20048</x:v>
      </x:c>
      <x:c r="D77" s="110" t="n">
        <x:v>1</x:v>
      </x:c>
      <x:c r="E77" s="110" t="n">
        <x:v>1</x:v>
      </x:c>
      <x:c r="F77" s="110" t="n">
        <x:f>IF('使用说明'!$B$4=0,D77,E77)</x:f>
        <x:v>1</x:v>
      </x:c>
      <x:c r="G77" s="62" t="n">
        <x:f>IFERROR(B77/F77,0)</x:f>
        <x:v>12</x:v>
      </x:c>
      <x:c r="H77" s="62" t="n">
        <x:f>IFERROR(C77/F77,0)</x:f>
        <x:v>20048</x:v>
      </x:c>
      <x:c r="I77" s="62" t="n">
        <x:f>SUM(G$19:G77)</x:f>
        <x:v>348</x:v>
      </x:c>
      <x:c r="J77" s="62" t="n">
        <x:f>SUM(H$19:H77)</x:f>
        <x:v>473406</x:v>
      </x:c>
      <x:c r="K77" s="62" t="n">
        <x:f>I77*18</x:f>
        <x:v>6264</x:v>
      </x:c>
      <x:c r="L77" s="62" t="n">
        <x:f>J77*18</x:f>
        <x:v>8521308</x:v>
      </x:c>
    </x:row>
    <x:row r="78" ht="23" customHeight="1">
      <x:c r="A78" s="119" t="n">
        <x:v>60</x:v>
      </x:c>
      <x:c r="B78" s="119" t="n">
        <x:f>VLOOKUP(A78,$A$7:$G$13,6,TRUE)</x:f>
        <x:v>12</x:v>
      </x:c>
      <x:c r="C78" s="119" t="n">
        <x:f>ROUNDUP(('经济参数'!$E$52+(A78-1)*'经济参数'!$E$53)*VLOOKUP(A78,$A$7:$G$13,7,TRUE),0)</x:f>
        <x:v>20384</x:v>
      </x:c>
      <x:c r="D78" s="110" t="n">
        <x:v>1</x:v>
      </x:c>
      <x:c r="E78" s="110" t="n">
        <x:v>1</x:v>
      </x:c>
      <x:c r="F78" s="110" t="n">
        <x:f>IF('使用说明'!$B$4=0,D78,E78)</x:f>
        <x:v>1</x:v>
      </x:c>
      <x:c r="G78" s="62" t="n">
        <x:f>IFERROR(B78/F78,0)</x:f>
        <x:v>12</x:v>
      </x:c>
      <x:c r="H78" s="62" t="n">
        <x:f>IFERROR(C78/F78,0)</x:f>
        <x:v>20384</x:v>
      </x:c>
      <x:c r="I78" s="62" t="n">
        <x:f>SUM(G$19:G78)</x:f>
        <x:v>360</x:v>
      </x:c>
      <x:c r="J78" s="62" t="n">
        <x:f>SUM(H$19:H78)</x:f>
        <x:v>493790</x:v>
      </x:c>
      <x:c r="K78" s="62" t="n">
        <x:f>I78*18</x:f>
        <x:v>6480</x:v>
      </x:c>
      <x:c r="L78" s="62" t="n">
        <x:f>J78*18</x:f>
        <x:v>8888220</x:v>
      </x:c>
    </x:row>
    <x:row r="79" ht="23" customHeight="1">
      <x:c r="A79" s="119" t="n">
        <x:v>61</x:v>
      </x:c>
      <x:c r="B79" s="119" t="n">
        <x:f>VLOOKUP(A79,$A$7:$G$13,6,TRUE)</x:f>
        <x:v>12</x:v>
      </x:c>
      <x:c r="C79" s="119" t="n">
        <x:f>ROUNDUP(('经济参数'!$E$52+(A79-1)*'经济参数'!$E$53)*VLOOKUP(A79,$A$7:$G$13,7,TRUE),0)</x:f>
        <x:v>20720</x:v>
      </x:c>
      <x:c r="D79" s="110" t="n">
        <x:v>1</x:v>
      </x:c>
      <x:c r="E79" s="110" t="n">
        <x:v>1</x:v>
      </x:c>
      <x:c r="F79" s="110" t="n">
        <x:f>IF('使用说明'!$B$4=0,D79,E79)</x:f>
        <x:v>1</x:v>
      </x:c>
      <x:c r="G79" s="62" t="n">
        <x:f>IFERROR(B79/F79,0)</x:f>
        <x:v>12</x:v>
      </x:c>
      <x:c r="H79" s="62" t="n">
        <x:f>IFERROR(C79/F79,0)</x:f>
        <x:v>20720</x:v>
      </x:c>
      <x:c r="I79" s="62" t="n">
        <x:f>SUM(G$19:G79)</x:f>
        <x:v>372</x:v>
      </x:c>
      <x:c r="J79" s="62" t="n">
        <x:f>SUM(H$19:H79)</x:f>
        <x:v>514510</x:v>
      </x:c>
      <x:c r="K79" s="62" t="n">
        <x:f>I79*18</x:f>
        <x:v>6696</x:v>
      </x:c>
      <x:c r="L79" s="62" t="n">
        <x:f>J79*18</x:f>
        <x:v>9261180</x:v>
      </x:c>
    </x:row>
    <x:row r="80" ht="23" customHeight="1">
      <x:c r="A80" s="119" t="n">
        <x:v>62</x:v>
      </x:c>
      <x:c r="B80" s="119" t="n">
        <x:f>VLOOKUP(A80,$A$7:$G$13,6,TRUE)</x:f>
        <x:v>12</x:v>
      </x:c>
      <x:c r="C80" s="119" t="n">
        <x:f>ROUNDUP(('经济参数'!$E$52+(A80-1)*'经济参数'!$E$53)*VLOOKUP(A80,$A$7:$G$13,7,TRUE),0)</x:f>
        <x:v>21056</x:v>
      </x:c>
      <x:c r="D80" s="110" t="n">
        <x:v>1</x:v>
      </x:c>
      <x:c r="E80" s="110" t="n">
        <x:v>1</x:v>
      </x:c>
      <x:c r="F80" s="110" t="n">
        <x:f>IF('使用说明'!$B$4=0,D80,E80)</x:f>
        <x:v>1</x:v>
      </x:c>
      <x:c r="G80" s="62" t="n">
        <x:f>IFERROR(B80/F80,0)</x:f>
        <x:v>12</x:v>
      </x:c>
      <x:c r="H80" s="62" t="n">
        <x:f>IFERROR(C80/F80,0)</x:f>
        <x:v>21056</x:v>
      </x:c>
      <x:c r="I80" s="62" t="n">
        <x:f>SUM(G$19:G80)</x:f>
        <x:v>384</x:v>
      </x:c>
      <x:c r="J80" s="62" t="n">
        <x:f>SUM(H$19:H80)</x:f>
        <x:v>535566</x:v>
      </x:c>
      <x:c r="K80" s="62" t="n">
        <x:f>I80*18</x:f>
        <x:v>6912</x:v>
      </x:c>
      <x:c r="L80" s="62" t="n">
        <x:f>J80*18</x:f>
        <x:v>9640188</x:v>
      </x:c>
    </x:row>
    <x:row r="81" ht="23" customHeight="1">
      <x:c r="A81" s="119" t="n">
        <x:v>63</x:v>
      </x:c>
      <x:c r="B81" s="119" t="n">
        <x:f>VLOOKUP(A81,$A$7:$G$13,6,TRUE)</x:f>
        <x:v>12</x:v>
      </x:c>
      <x:c r="C81" s="119" t="n">
        <x:f>ROUNDUP(('经济参数'!$E$52+(A81-1)*'经济参数'!$E$53)*VLOOKUP(A81,$A$7:$G$13,7,TRUE),0)</x:f>
        <x:v>21392</x:v>
      </x:c>
      <x:c r="D81" s="110" t="n">
        <x:v>1</x:v>
      </x:c>
      <x:c r="E81" s="110" t="n">
        <x:v>1</x:v>
      </x:c>
      <x:c r="F81" s="110" t="n">
        <x:f>IF('使用说明'!$B$4=0,D81,E81)</x:f>
        <x:v>1</x:v>
      </x:c>
      <x:c r="G81" s="62" t="n">
        <x:f>IFERROR(B81/F81,0)</x:f>
        <x:v>12</x:v>
      </x:c>
      <x:c r="H81" s="62" t="n">
        <x:f>IFERROR(C81/F81,0)</x:f>
        <x:v>21392</x:v>
      </x:c>
      <x:c r="I81" s="62" t="n">
        <x:f>SUM(G$19:G81)</x:f>
        <x:v>396</x:v>
      </x:c>
      <x:c r="J81" s="62" t="n">
        <x:f>SUM(H$19:H81)</x:f>
        <x:v>556958</x:v>
      </x:c>
      <x:c r="K81" s="62" t="n">
        <x:f>I81*18</x:f>
        <x:v>7128</x:v>
      </x:c>
      <x:c r="L81" s="62" t="n">
        <x:f>J81*18</x:f>
        <x:v>10025244</x:v>
      </x:c>
    </x:row>
    <x:row r="82" ht="23" customHeight="1">
      <x:c r="A82" s="119" t="n">
        <x:v>64</x:v>
      </x:c>
      <x:c r="B82" s="119" t="n">
        <x:f>VLOOKUP(A82,$A$7:$G$13,6,TRUE)</x:f>
        <x:v>12</x:v>
      </x:c>
      <x:c r="C82" s="119" t="n">
        <x:f>ROUNDUP(('经济参数'!$E$52+(A82-1)*'经济参数'!$E$53)*VLOOKUP(A82,$A$7:$G$13,7,TRUE),0)</x:f>
        <x:v>21728</x:v>
      </x:c>
      <x:c r="D82" s="110" t="n">
        <x:v>1</x:v>
      </x:c>
      <x:c r="E82" s="110" t="n">
        <x:v>1</x:v>
      </x:c>
      <x:c r="F82" s="110" t="n">
        <x:f>IF('使用说明'!$B$4=0,D82,E82)</x:f>
        <x:v>1</x:v>
      </x:c>
      <x:c r="G82" s="62" t="n">
        <x:f>IFERROR(B82/F82,0)</x:f>
        <x:v>12</x:v>
      </x:c>
      <x:c r="H82" s="62" t="n">
        <x:f>IFERROR(C82/F82,0)</x:f>
        <x:v>21728</x:v>
      </x:c>
      <x:c r="I82" s="62" t="n">
        <x:f>SUM(G$19:G82)</x:f>
        <x:v>408</x:v>
      </x:c>
      <x:c r="J82" s="62" t="n">
        <x:f>SUM(H$19:H82)</x:f>
        <x:v>578686</x:v>
      </x:c>
      <x:c r="K82" s="62" t="n">
        <x:f>I82*18</x:f>
        <x:v>7344</x:v>
      </x:c>
      <x:c r="L82" s="62" t="n">
        <x:f>J82*18</x:f>
        <x:v>10416348</x:v>
      </x:c>
    </x:row>
    <x:row r="83" ht="23" customHeight="1">
      <x:c r="A83" s="119" t="n">
        <x:v>65</x:v>
      </x:c>
      <x:c r="B83" s="119" t="n">
        <x:f>VLOOKUP(A83,$A$7:$G$13,6,TRUE)</x:f>
        <x:v>12</x:v>
      </x:c>
      <x:c r="C83" s="119" t="n">
        <x:f>ROUNDUP(('经济参数'!$E$52+(A83-1)*'经济参数'!$E$53)*VLOOKUP(A83,$A$7:$G$13,7,TRUE),0)</x:f>
        <x:v>22064</x:v>
      </x:c>
      <x:c r="D83" s="110" t="n">
        <x:v>1</x:v>
      </x:c>
      <x:c r="E83" s="110" t="n">
        <x:v>1</x:v>
      </x:c>
      <x:c r="F83" s="110" t="n">
        <x:f>IF('使用说明'!$B$4=0,D83,E83)</x:f>
        <x:v>1</x:v>
      </x:c>
      <x:c r="G83" s="62" t="n">
        <x:f>IFERROR(B83/F83,0)</x:f>
        <x:v>12</x:v>
      </x:c>
      <x:c r="H83" s="62" t="n">
        <x:f>IFERROR(C83/F83,0)</x:f>
        <x:v>22064</x:v>
      </x:c>
      <x:c r="I83" s="62" t="n">
        <x:f>SUM(G$19:G83)</x:f>
        <x:v>420</x:v>
      </x:c>
      <x:c r="J83" s="62" t="n">
        <x:f>SUM(H$19:H83)</x:f>
        <x:v>600750</x:v>
      </x:c>
      <x:c r="K83" s="62" t="n">
        <x:f>I83*18</x:f>
        <x:v>7560</x:v>
      </x:c>
      <x:c r="L83" s="62" t="n">
        <x:f>J83*18</x:f>
        <x:v>10813500</x:v>
      </x:c>
    </x:row>
    <x:row r="84" ht="23" customHeight="1">
      <x:c r="A84" s="119" t="n">
        <x:v>66</x:v>
      </x:c>
      <x:c r="B84" s="119" t="n">
        <x:f>VLOOKUP(A84,$A$7:$G$13,6,TRUE)</x:f>
        <x:v>18</x:v>
      </x:c>
      <x:c r="C84" s="119" t="n">
        <x:f>ROUNDUP(('经济参数'!$E$52+(A84-1)*'经济参数'!$E$53)*VLOOKUP(A84,$A$7:$G$13,7,TRUE),0)</x:f>
        <x:v>28000</x:v>
      </x:c>
      <x:c r="D84" s="110" t="n">
        <x:v>1</x:v>
      </x:c>
      <x:c r="E84" s="110" t="n">
        <x:v>1</x:v>
      </x:c>
      <x:c r="F84" s="110" t="n">
        <x:f>IF('使用说明'!$B$4=0,D84,E84)</x:f>
        <x:v>1</x:v>
      </x:c>
      <x:c r="G84" s="62" t="n">
        <x:f>IFERROR(B84/F84,0)</x:f>
        <x:v>18</x:v>
      </x:c>
      <x:c r="H84" s="62" t="n">
        <x:f>IFERROR(C84/F84,0)</x:f>
        <x:v>28000</x:v>
      </x:c>
      <x:c r="I84" s="62" t="n">
        <x:f>SUM(G$19:G84)</x:f>
        <x:v>438</x:v>
      </x:c>
      <x:c r="J84" s="62" t="n">
        <x:f>SUM(H$19:H84)</x:f>
        <x:v>628750</x:v>
      </x:c>
      <x:c r="K84" s="62" t="n">
        <x:f>I84*18</x:f>
        <x:v>7884</x:v>
      </x:c>
      <x:c r="L84" s="62" t="n">
        <x:f>J84*18</x:f>
        <x:v>11317500</x:v>
      </x:c>
    </x:row>
    <x:row r="85" ht="23" customHeight="1">
      <x:c r="A85" s="119" t="n">
        <x:v>67</x:v>
      </x:c>
      <x:c r="B85" s="119" t="n">
        <x:f>VLOOKUP(A85,$A$7:$G$13,6,TRUE)</x:f>
        <x:v>18</x:v>
      </x:c>
      <x:c r="C85" s="119" t="n">
        <x:f>ROUNDUP(('经济参数'!$E$52+(A85-1)*'经济参数'!$E$53)*VLOOKUP(A85,$A$7:$G$13,7,TRUE),0)</x:f>
        <x:v>28420</x:v>
      </x:c>
      <x:c r="D85" s="110" t="n">
        <x:v>1</x:v>
      </x:c>
      <x:c r="E85" s="110" t="n">
        <x:v>1</x:v>
      </x:c>
      <x:c r="F85" s="110" t="n">
        <x:f>IF('使用说明'!$B$4=0,D85,E85)</x:f>
        <x:v>1</x:v>
      </x:c>
      <x:c r="G85" s="62" t="n">
        <x:f>IFERROR(B85/F85,0)</x:f>
        <x:v>18</x:v>
      </x:c>
      <x:c r="H85" s="62" t="n">
        <x:f>IFERROR(C85/F85,0)</x:f>
        <x:v>28420</x:v>
      </x:c>
      <x:c r="I85" s="62" t="n">
        <x:f>SUM(G$19:G85)</x:f>
        <x:v>456</x:v>
      </x:c>
      <x:c r="J85" s="62" t="n">
        <x:f>SUM(H$19:H85)</x:f>
        <x:v>657170</x:v>
      </x:c>
      <x:c r="K85" s="62" t="n">
        <x:f>I85*18</x:f>
        <x:v>8208</x:v>
      </x:c>
      <x:c r="L85" s="62" t="n">
        <x:f>J85*18</x:f>
        <x:v>11829060</x:v>
      </x:c>
    </x:row>
    <x:row r="86" ht="23" customHeight="1">
      <x:c r="A86" s="119" t="n">
        <x:v>68</x:v>
      </x:c>
      <x:c r="B86" s="119" t="n">
        <x:f>VLOOKUP(A86,$A$7:$G$13,6,TRUE)</x:f>
        <x:v>18</x:v>
      </x:c>
      <x:c r="C86" s="119" t="n">
        <x:f>ROUNDUP(('经济参数'!$E$52+(A86-1)*'经济参数'!$E$53)*VLOOKUP(A86,$A$7:$G$13,7,TRUE),0)</x:f>
        <x:v>28840</x:v>
      </x:c>
      <x:c r="D86" s="110" t="n">
        <x:v>1</x:v>
      </x:c>
      <x:c r="E86" s="110" t="n">
        <x:v>1</x:v>
      </x:c>
      <x:c r="F86" s="110" t="n">
        <x:f>IF('使用说明'!$B$4=0,D86,E86)</x:f>
        <x:v>1</x:v>
      </x:c>
      <x:c r="G86" s="62" t="n">
        <x:f>IFERROR(B86/F86,0)</x:f>
        <x:v>18</x:v>
      </x:c>
      <x:c r="H86" s="62" t="n">
        <x:f>IFERROR(C86/F86,0)</x:f>
        <x:v>28840</x:v>
      </x:c>
      <x:c r="I86" s="62" t="n">
        <x:f>SUM(G$19:G86)</x:f>
        <x:v>474</x:v>
      </x:c>
      <x:c r="J86" s="62" t="n">
        <x:f>SUM(H$19:H86)</x:f>
        <x:v>686010</x:v>
      </x:c>
      <x:c r="K86" s="62" t="n">
        <x:f>I86*18</x:f>
        <x:v>8532</x:v>
      </x:c>
      <x:c r="L86" s="62" t="n">
        <x:f>J86*18</x:f>
        <x:v>12348180</x:v>
      </x:c>
    </x:row>
    <x:row r="87" ht="23" customHeight="1">
      <x:c r="A87" s="119" t="n">
        <x:v>69</x:v>
      </x:c>
      <x:c r="B87" s="119" t="n">
        <x:f>VLOOKUP(A87,$A$7:$G$13,6,TRUE)</x:f>
        <x:v>18</x:v>
      </x:c>
      <x:c r="C87" s="119" t="n">
        <x:f>ROUNDUP(('经济参数'!$E$52+(A87-1)*'经济参数'!$E$53)*VLOOKUP(A87,$A$7:$G$13,7,TRUE),0)</x:f>
        <x:v>29260</x:v>
      </x:c>
      <x:c r="D87" s="110" t="n">
        <x:v>1</x:v>
      </x:c>
      <x:c r="E87" s="110" t="n">
        <x:v>1</x:v>
      </x:c>
      <x:c r="F87" s="110" t="n">
        <x:f>IF('使用说明'!$B$4=0,D87,E87)</x:f>
        <x:v>1</x:v>
      </x:c>
      <x:c r="G87" s="62" t="n">
        <x:f>IFERROR(B87/F87,0)</x:f>
        <x:v>18</x:v>
      </x:c>
      <x:c r="H87" s="62" t="n">
        <x:f>IFERROR(C87/F87,0)</x:f>
        <x:v>29260</x:v>
      </x:c>
      <x:c r="I87" s="62" t="n">
        <x:f>SUM(G$19:G87)</x:f>
        <x:v>492</x:v>
      </x:c>
      <x:c r="J87" s="62" t="n">
        <x:f>SUM(H$19:H87)</x:f>
        <x:v>715270</x:v>
      </x:c>
      <x:c r="K87" s="62" t="n">
        <x:f>I87*18</x:f>
        <x:v>8856</x:v>
      </x:c>
      <x:c r="L87" s="62" t="n">
        <x:f>J87*18</x:f>
        <x:v>12874860</x:v>
      </x:c>
    </x:row>
    <x:row r="88" ht="23" customHeight="1">
      <x:c r="A88" s="119" t="n">
        <x:v>70</x:v>
      </x:c>
      <x:c r="B88" s="119" t="n">
        <x:f>VLOOKUP(A88,$A$7:$G$13,6,TRUE)</x:f>
        <x:v>18</x:v>
      </x:c>
      <x:c r="C88" s="119" t="n">
        <x:f>ROUNDUP(('经济参数'!$E$52+(A88-1)*'经济参数'!$E$53)*VLOOKUP(A88,$A$7:$G$13,7,TRUE),0)</x:f>
        <x:v>29680</x:v>
      </x:c>
      <x:c r="D88" s="110" t="n">
        <x:v>1</x:v>
      </x:c>
      <x:c r="E88" s="110" t="n">
        <x:v>1</x:v>
      </x:c>
      <x:c r="F88" s="110" t="n">
        <x:f>IF('使用说明'!$B$4=0,D88,E88)</x:f>
        <x:v>1</x:v>
      </x:c>
      <x:c r="G88" s="62" t="n">
        <x:f>IFERROR(B88/F88,0)</x:f>
        <x:v>18</x:v>
      </x:c>
      <x:c r="H88" s="62" t="n">
        <x:f>IFERROR(C88/F88,0)</x:f>
        <x:v>29680</x:v>
      </x:c>
      <x:c r="I88" s="62" t="n">
        <x:f>SUM(G$19:G88)</x:f>
        <x:v>510</x:v>
      </x:c>
      <x:c r="J88" s="62" t="n">
        <x:f>SUM(H$19:H88)</x:f>
        <x:v>744950</x:v>
      </x:c>
      <x:c r="K88" s="62" t="n">
        <x:f>I88*18</x:f>
        <x:v>9180</x:v>
      </x:c>
      <x:c r="L88" s="62" t="n">
        <x:f>J88*18</x:f>
        <x:v>13409100</x:v>
      </x:c>
    </x:row>
    <x:row r="89" ht="23" customHeight="1">
      <x:c r="A89" s="119" t="n">
        <x:v>71</x:v>
      </x:c>
      <x:c r="B89" s="119" t="n">
        <x:f>VLOOKUP(A89,$A$7:$G$13,6,TRUE)</x:f>
        <x:v>18</x:v>
      </x:c>
      <x:c r="C89" s="119" t="n">
        <x:f>ROUNDUP(('经济参数'!$E$52+(A89-1)*'经济参数'!$E$53)*VLOOKUP(A89,$A$7:$G$13,7,TRUE),0)</x:f>
        <x:v>30100</x:v>
      </x:c>
      <x:c r="D89" s="110" t="n">
        <x:v>1</x:v>
      </x:c>
      <x:c r="E89" s="110" t="n">
        <x:v>1</x:v>
      </x:c>
      <x:c r="F89" s="110" t="n">
        <x:f>IF('使用说明'!$B$4=0,D89,E89)</x:f>
        <x:v>1</x:v>
      </x:c>
      <x:c r="G89" s="62" t="n">
        <x:f>IFERROR(B89/F89,0)</x:f>
        <x:v>18</x:v>
      </x:c>
      <x:c r="H89" s="62" t="n">
        <x:f>IFERROR(C89/F89,0)</x:f>
        <x:v>30100</x:v>
      </x:c>
      <x:c r="I89" s="62" t="n">
        <x:f>SUM(G$19:G89)</x:f>
        <x:v>528</x:v>
      </x:c>
      <x:c r="J89" s="62" t="n">
        <x:f>SUM(H$19:H89)</x:f>
        <x:v>775050</x:v>
      </x:c>
      <x:c r="K89" s="62" t="n">
        <x:f>I89*18</x:f>
        <x:v>9504</x:v>
      </x:c>
      <x:c r="L89" s="62" t="n">
        <x:f>J89*18</x:f>
        <x:v>13950900</x:v>
      </x:c>
    </x:row>
    <x:row r="90" ht="23" customHeight="1">
      <x:c r="A90" s="119" t="n">
        <x:v>72</x:v>
      </x:c>
      <x:c r="B90" s="119" t="n">
        <x:f>VLOOKUP(A90,$A$7:$G$13,6,TRUE)</x:f>
        <x:v>18</x:v>
      </x:c>
      <x:c r="C90" s="119" t="n">
        <x:f>ROUNDUP(('经济参数'!$E$52+(A90-1)*'经济参数'!$E$53)*VLOOKUP(A90,$A$7:$G$13,7,TRUE),0)</x:f>
        <x:v>30520</x:v>
      </x:c>
      <x:c r="D90" s="110" t="n">
        <x:v>1</x:v>
      </x:c>
      <x:c r="E90" s="110" t="n">
        <x:v>1</x:v>
      </x:c>
      <x:c r="F90" s="110" t="n">
        <x:f>IF('使用说明'!$B$4=0,D90,E90)</x:f>
        <x:v>1</x:v>
      </x:c>
      <x:c r="G90" s="62" t="n">
        <x:f>IFERROR(B90/F90,0)</x:f>
        <x:v>18</x:v>
      </x:c>
      <x:c r="H90" s="62" t="n">
        <x:f>IFERROR(C90/F90,0)</x:f>
        <x:v>30520</x:v>
      </x:c>
      <x:c r="I90" s="62" t="n">
        <x:f>SUM(G$19:G90)</x:f>
        <x:v>546</x:v>
      </x:c>
      <x:c r="J90" s="62" t="n">
        <x:f>SUM(H$19:H90)</x:f>
        <x:v>805570</x:v>
      </x:c>
      <x:c r="K90" s="62" t="n">
        <x:f>I90*18</x:f>
        <x:v>9828</x:v>
      </x:c>
      <x:c r="L90" s="62" t="n">
        <x:f>J90*18</x:f>
        <x:v>14500260</x:v>
      </x:c>
    </x:row>
    <x:row r="91" ht="23" customHeight="1">
      <x:c r="A91" s="119" t="n">
        <x:v>73</x:v>
      </x:c>
      <x:c r="B91" s="119" t="n">
        <x:f>VLOOKUP(A91,$A$7:$G$13,6,TRUE)</x:f>
        <x:v>18</x:v>
      </x:c>
      <x:c r="C91" s="119" t="n">
        <x:f>ROUNDUP(('经济参数'!$E$52+(A91-1)*'经济参数'!$E$53)*VLOOKUP(A91,$A$7:$G$13,7,TRUE),0)</x:f>
        <x:v>30940</x:v>
      </x:c>
      <x:c r="D91" s="110" t="n">
        <x:v>1</x:v>
      </x:c>
      <x:c r="E91" s="110" t="n">
        <x:v>1</x:v>
      </x:c>
      <x:c r="F91" s="110" t="n">
        <x:f>IF('使用说明'!$B$4=0,D91,E91)</x:f>
        <x:v>1</x:v>
      </x:c>
      <x:c r="G91" s="62" t="n">
        <x:f>IFERROR(B91/F91,0)</x:f>
        <x:v>18</x:v>
      </x:c>
      <x:c r="H91" s="62" t="n">
        <x:f>IFERROR(C91/F91,0)</x:f>
        <x:v>30940</x:v>
      </x:c>
      <x:c r="I91" s="62" t="n">
        <x:f>SUM(G$19:G91)</x:f>
        <x:v>564</x:v>
      </x:c>
      <x:c r="J91" s="62" t="n">
        <x:f>SUM(H$19:H91)</x:f>
        <x:v>836510</x:v>
      </x:c>
      <x:c r="K91" s="62" t="n">
        <x:f>I91*18</x:f>
        <x:v>10152</x:v>
      </x:c>
      <x:c r="L91" s="62" t="n">
        <x:f>J91*18</x:f>
        <x:v>15057180</x:v>
      </x:c>
    </x:row>
    <x:row r="92" ht="23" customHeight="1">
      <x:c r="A92" s="119" t="n">
        <x:v>74</x:v>
      </x:c>
      <x:c r="B92" s="119" t="n">
        <x:f>VLOOKUP(A92,$A$7:$G$13,6,TRUE)</x:f>
        <x:v>18</x:v>
      </x:c>
      <x:c r="C92" s="119" t="n">
        <x:f>ROUNDUP(('经济参数'!$E$52+(A92-1)*'经济参数'!$E$53)*VLOOKUP(A92,$A$7:$G$13,7,TRUE),0)</x:f>
        <x:v>31360</x:v>
      </x:c>
      <x:c r="D92" s="110" t="n">
        <x:v>1</x:v>
      </x:c>
      <x:c r="E92" s="110" t="n">
        <x:v>1</x:v>
      </x:c>
      <x:c r="F92" s="110" t="n">
        <x:f>IF('使用说明'!$B$4=0,D92,E92)</x:f>
        <x:v>1</x:v>
      </x:c>
      <x:c r="G92" s="62" t="n">
        <x:f>IFERROR(B92/F92,0)</x:f>
        <x:v>18</x:v>
      </x:c>
      <x:c r="H92" s="62" t="n">
        <x:f>IFERROR(C92/F92,0)</x:f>
        <x:v>31360</x:v>
      </x:c>
      <x:c r="I92" s="62" t="n">
        <x:f>SUM(G$19:G92)</x:f>
        <x:v>582</x:v>
      </x:c>
      <x:c r="J92" s="62" t="n">
        <x:f>SUM(H$19:H92)</x:f>
        <x:v>867870</x:v>
      </x:c>
      <x:c r="K92" s="62" t="n">
        <x:f>I92*18</x:f>
        <x:v>10476</x:v>
      </x:c>
      <x:c r="L92" s="62" t="n">
        <x:f>J92*18</x:f>
        <x:v>15621660</x:v>
      </x:c>
    </x:row>
    <x:row r="93" ht="23" customHeight="1">
      <x:c r="A93" s="119" t="n">
        <x:v>75</x:v>
      </x:c>
      <x:c r="B93" s="119" t="n">
        <x:f>VLOOKUP(A93,$A$7:$G$13,6,TRUE)</x:f>
        <x:v>18</x:v>
      </x:c>
      <x:c r="C93" s="119" t="n">
        <x:f>ROUNDUP(('经济参数'!$E$52+(A93-1)*'经济参数'!$E$53)*VLOOKUP(A93,$A$7:$G$13,7,TRUE),0)</x:f>
        <x:v>31780</x:v>
      </x:c>
      <x:c r="D93" s="110" t="n">
        <x:v>1</x:v>
      </x:c>
      <x:c r="E93" s="110" t="n">
        <x:v>1</x:v>
      </x:c>
      <x:c r="F93" s="110" t="n">
        <x:f>IF('使用说明'!$B$4=0,D93,E93)</x:f>
        <x:v>1</x:v>
      </x:c>
      <x:c r="G93" s="62" t="n">
        <x:f>IFERROR(B93/F93,0)</x:f>
        <x:v>18</x:v>
      </x:c>
      <x:c r="H93" s="62" t="n">
        <x:f>IFERROR(C93/F93,0)</x:f>
        <x:v>31780</x:v>
      </x:c>
      <x:c r="I93" s="62" t="n">
        <x:f>SUM(G$19:G93)</x:f>
        <x:v>600</x:v>
      </x:c>
      <x:c r="J93" s="62" t="n">
        <x:f>SUM(H$19:H93)</x:f>
        <x:v>899650</x:v>
      </x:c>
      <x:c r="K93" s="62" t="n">
        <x:f>I93*18</x:f>
        <x:v>10800</x:v>
      </x:c>
      <x:c r="L93" s="62" t="n">
        <x:f>J93*18</x:f>
        <x:v>16193700</x:v>
      </x:c>
    </x:row>
    <x:row r="94" ht="23" customHeight="1">
      <x:c r="A94" s="119" t="n">
        <x:v>76</x:v>
      </x:c>
      <x:c r="B94" s="119" t="n">
        <x:f>VLOOKUP(A94,$A$7:$G$13,6,TRUE)</x:f>
        <x:v>18</x:v>
      </x:c>
      <x:c r="C94" s="119" t="n">
        <x:f>ROUNDUP(('经济参数'!$E$52+(A94-1)*'经济参数'!$E$53)*VLOOKUP(A94,$A$7:$G$13,7,TRUE),0)</x:f>
        <x:v>32200</x:v>
      </x:c>
      <x:c r="D94" s="110" t="n">
        <x:v>1</x:v>
      </x:c>
      <x:c r="E94" s="110" t="n">
        <x:v>1</x:v>
      </x:c>
      <x:c r="F94" s="110" t="n">
        <x:f>IF('使用说明'!$B$4=0,D94,E94)</x:f>
        <x:v>1</x:v>
      </x:c>
      <x:c r="G94" s="62" t="n">
        <x:f>IFERROR(B94/F94,0)</x:f>
        <x:v>18</x:v>
      </x:c>
      <x:c r="H94" s="62" t="n">
        <x:f>IFERROR(C94/F94,0)</x:f>
        <x:v>32200</x:v>
      </x:c>
      <x:c r="I94" s="62" t="n">
        <x:f>SUM(G$19:G94)</x:f>
        <x:v>618</x:v>
      </x:c>
      <x:c r="J94" s="62" t="n">
        <x:f>SUM(H$19:H94)</x:f>
        <x:v>931850</x:v>
      </x:c>
      <x:c r="K94" s="62" t="n">
        <x:f>I94*18</x:f>
        <x:v>11124</x:v>
      </x:c>
      <x:c r="L94" s="62" t="n">
        <x:f>J94*18</x:f>
        <x:v>16773300</x:v>
      </x:c>
    </x:row>
    <x:row r="95" ht="23" customHeight="1">
      <x:c r="A95" s="119" t="n">
        <x:v>77</x:v>
      </x:c>
      <x:c r="B95" s="119" t="n">
        <x:f>VLOOKUP(A95,$A$7:$G$13,6,TRUE)</x:f>
        <x:v>18</x:v>
      </x:c>
      <x:c r="C95" s="119" t="n">
        <x:f>ROUNDUP(('经济参数'!$E$52+(A95-1)*'经济参数'!$E$53)*VLOOKUP(A95,$A$7:$G$13,7,TRUE),0)</x:f>
        <x:v>32620</x:v>
      </x:c>
      <x:c r="D95" s="110" t="n">
        <x:v>1</x:v>
      </x:c>
      <x:c r="E95" s="110" t="n">
        <x:v>1</x:v>
      </x:c>
      <x:c r="F95" s="110" t="n">
        <x:f>IF('使用说明'!$B$4=0,D95,E95)</x:f>
        <x:v>1</x:v>
      </x:c>
      <x:c r="G95" s="62" t="n">
        <x:f>IFERROR(B95/F95,0)</x:f>
        <x:v>18</x:v>
      </x:c>
      <x:c r="H95" s="62" t="n">
        <x:f>IFERROR(C95/F95,0)</x:f>
        <x:v>32620</x:v>
      </x:c>
      <x:c r="I95" s="62" t="n">
        <x:f>SUM(G$19:G95)</x:f>
        <x:v>636</x:v>
      </x:c>
      <x:c r="J95" s="62" t="n">
        <x:f>SUM(H$19:H95)</x:f>
        <x:v>964470</x:v>
      </x:c>
      <x:c r="K95" s="62" t="n">
        <x:f>I95*18</x:f>
        <x:v>11448</x:v>
      </x:c>
      <x:c r="L95" s="62" t="n">
        <x:f>J95*18</x:f>
        <x:v>17360460</x:v>
      </x:c>
    </x:row>
    <x:row r="96" ht="23" customHeight="1">
      <x:c r="A96" s="119" t="n">
        <x:v>78</x:v>
      </x:c>
      <x:c r="B96" s="119" t="n">
        <x:f>VLOOKUP(A96,$A$7:$G$13,6,TRUE)</x:f>
        <x:v>18</x:v>
      </x:c>
      <x:c r="C96" s="119" t="n">
        <x:f>ROUNDUP(('经济参数'!$E$52+(A96-1)*'经济参数'!$E$53)*VLOOKUP(A96,$A$7:$G$13,7,TRUE),0)</x:f>
        <x:v>33040</x:v>
      </x:c>
      <x:c r="D96" s="110" t="n">
        <x:v>1</x:v>
      </x:c>
      <x:c r="E96" s="110" t="n">
        <x:v>1</x:v>
      </x:c>
      <x:c r="F96" s="110" t="n">
        <x:f>IF('使用说明'!$B$4=0,D96,E96)</x:f>
        <x:v>1</x:v>
      </x:c>
      <x:c r="G96" s="62" t="n">
        <x:f>IFERROR(B96/F96,0)</x:f>
        <x:v>18</x:v>
      </x:c>
      <x:c r="H96" s="62" t="n">
        <x:f>IFERROR(C96/F96,0)</x:f>
        <x:v>33040</x:v>
      </x:c>
      <x:c r="I96" s="62" t="n">
        <x:f>SUM(G$19:G96)</x:f>
        <x:v>654</x:v>
      </x:c>
      <x:c r="J96" s="62" t="n">
        <x:f>SUM(H$19:H96)</x:f>
        <x:v>997510</x:v>
      </x:c>
      <x:c r="K96" s="62" t="n">
        <x:f>I96*18</x:f>
        <x:v>11772</x:v>
      </x:c>
      <x:c r="L96" s="62" t="n">
        <x:f>J96*18</x:f>
        <x:v>17955180</x:v>
      </x:c>
    </x:row>
    <x:row r="97" ht="23" customHeight="1">
      <x:c r="A97" s="119" t="n">
        <x:v>79</x:v>
      </x:c>
      <x:c r="B97" s="119" t="n">
        <x:f>VLOOKUP(A97,$A$7:$G$13,6,TRUE)</x:f>
        <x:v>18</x:v>
      </x:c>
      <x:c r="C97" s="119" t="n">
        <x:f>ROUNDUP(('经济参数'!$E$52+(A97-1)*'经济参数'!$E$53)*VLOOKUP(A97,$A$7:$G$13,7,TRUE),0)</x:f>
        <x:v>33460</x:v>
      </x:c>
      <x:c r="D97" s="110" t="n">
        <x:v>1</x:v>
      </x:c>
      <x:c r="E97" s="110" t="n">
        <x:v>1</x:v>
      </x:c>
      <x:c r="F97" s="110" t="n">
        <x:f>IF('使用说明'!$B$4=0,D97,E97)</x:f>
        <x:v>1</x:v>
      </x:c>
      <x:c r="G97" s="62" t="n">
        <x:f>IFERROR(B97/F97,0)</x:f>
        <x:v>18</x:v>
      </x:c>
      <x:c r="H97" s="62" t="n">
        <x:f>IFERROR(C97/F97,0)</x:f>
        <x:v>33460</x:v>
      </x:c>
      <x:c r="I97" s="62" t="n">
        <x:f>SUM(G$19:G97)</x:f>
        <x:v>672</x:v>
      </x:c>
      <x:c r="J97" s="62" t="n">
        <x:f>SUM(H$19:H97)</x:f>
        <x:v>1030970</x:v>
      </x:c>
      <x:c r="K97" s="62" t="n">
        <x:f>I97*18</x:f>
        <x:v>12096</x:v>
      </x:c>
      <x:c r="L97" s="62" t="n">
        <x:f>J97*18</x:f>
        <x:v>18557460</x:v>
      </x:c>
    </x:row>
    <x:row r="98" ht="23" customHeight="1">
      <x:c r="A98" s="119" t="n">
        <x:v>80</x:v>
      </x:c>
      <x:c r="B98" s="119" t="n">
        <x:f>VLOOKUP(A98,$A$7:$G$13,6,TRUE)</x:f>
        <x:v>18</x:v>
      </x:c>
      <x:c r="C98" s="119" t="n">
        <x:f>ROUNDUP(('经济参数'!$E$52+(A98-1)*'经济参数'!$E$53)*VLOOKUP(A98,$A$7:$G$13,7,TRUE),0)</x:f>
        <x:v>33880</x:v>
      </x:c>
      <x:c r="D98" s="110" t="n">
        <x:v>1</x:v>
      </x:c>
      <x:c r="E98" s="110" t="n">
        <x:v>1</x:v>
      </x:c>
      <x:c r="F98" s="110" t="n">
        <x:f>IF('使用说明'!$B$4=0,D98,E98)</x:f>
        <x:v>1</x:v>
      </x:c>
      <x:c r="G98" s="62" t="n">
        <x:f>IFERROR(B98/F98,0)</x:f>
        <x:v>18</x:v>
      </x:c>
      <x:c r="H98" s="62" t="n">
        <x:f>IFERROR(C98/F98,0)</x:f>
        <x:v>33880</x:v>
      </x:c>
      <x:c r="I98" s="62" t="n">
        <x:f>SUM(G$19:G98)</x:f>
        <x:v>690</x:v>
      </x:c>
      <x:c r="J98" s="62" t="n">
        <x:f>SUM(H$19:H98)</x:f>
        <x:v>1064850</x:v>
      </x:c>
      <x:c r="K98" s="62" t="n">
        <x:f>I98*18</x:f>
        <x:v>12420</x:v>
      </x:c>
      <x:c r="L98" s="62" t="n">
        <x:f>J98*18</x:f>
        <x:v>19167300</x:v>
      </x:c>
    </x:row>
    <x:row r="99" ht="23" customHeight="1">
      <x:c r="A99" s="119" t="n">
        <x:v>81</x:v>
      </x:c>
      <x:c r="B99" s="119" t="n">
        <x:f>VLOOKUP(A99,$A$7:$G$13,6,TRUE)</x:f>
        <x:v>18</x:v>
      </x:c>
      <x:c r="C99" s="119" t="n">
        <x:f>ROUNDUP(('经济参数'!$E$52+(A99-1)*'经济参数'!$E$53)*VLOOKUP(A99,$A$7:$G$13,7,TRUE),0)</x:f>
        <x:v>34300</x:v>
      </x:c>
      <x:c r="D99" s="110" t="n">
        <x:v>1</x:v>
      </x:c>
      <x:c r="E99" s="110" t="n">
        <x:v>1</x:v>
      </x:c>
      <x:c r="F99" s="110" t="n">
        <x:f>IF('使用说明'!$B$4=0,D99,E99)</x:f>
        <x:v>1</x:v>
      </x:c>
      <x:c r="G99" s="62" t="n">
        <x:f>IFERROR(B99/F99,0)</x:f>
        <x:v>18</x:v>
      </x:c>
      <x:c r="H99" s="62" t="n">
        <x:f>IFERROR(C99/F99,0)</x:f>
        <x:v>34300</x:v>
      </x:c>
      <x:c r="I99" s="62" t="n">
        <x:f>SUM(G$19:G99)</x:f>
        <x:v>708</x:v>
      </x:c>
      <x:c r="J99" s="62" t="n">
        <x:f>SUM(H$19:H99)</x:f>
        <x:v>1099150</x:v>
      </x:c>
      <x:c r="K99" s="62" t="n">
        <x:f>I99*18</x:f>
        <x:v>12744</x:v>
      </x:c>
      <x:c r="L99" s="62" t="n">
        <x:f>J99*18</x:f>
        <x:v>19784700</x:v>
      </x:c>
    </x:row>
    <x:row r="100" ht="23" customHeight="1">
      <x:c r="A100" s="119" t="n">
        <x:v>82</x:v>
      </x:c>
      <x:c r="B100" s="119" t="n">
        <x:f>VLOOKUP(A100,$A$7:$G$13,6,TRUE)</x:f>
        <x:v>18</x:v>
      </x:c>
      <x:c r="C100" s="119" t="n">
        <x:f>ROUNDUP(('经济参数'!$E$52+(A100-1)*'经济参数'!$E$53)*VLOOKUP(A100,$A$7:$G$13,7,TRUE),0)</x:f>
        <x:v>34720</x:v>
      </x:c>
      <x:c r="D100" s="110" t="n">
        <x:v>1</x:v>
      </x:c>
      <x:c r="E100" s="110" t="n">
        <x:v>1</x:v>
      </x:c>
      <x:c r="F100" s="110" t="n">
        <x:f>IF('使用说明'!$B$4=0,D100,E100)</x:f>
        <x:v>1</x:v>
      </x:c>
      <x:c r="G100" s="62" t="n">
        <x:f>IFERROR(B100/F100,0)</x:f>
        <x:v>18</x:v>
      </x:c>
      <x:c r="H100" s="62" t="n">
        <x:f>IFERROR(C100/F100,0)</x:f>
        <x:v>34720</x:v>
      </x:c>
      <x:c r="I100" s="62" t="n">
        <x:f>SUM(G$19:G100)</x:f>
        <x:v>726</x:v>
      </x:c>
      <x:c r="J100" s="62" t="n">
        <x:f>SUM(H$19:H100)</x:f>
        <x:v>1133870</x:v>
      </x:c>
      <x:c r="K100" s="62" t="n">
        <x:f>I100*18</x:f>
        <x:v>13068</x:v>
      </x:c>
      <x:c r="L100" s="62" t="n">
        <x:f>J100*18</x:f>
        <x:v>20409660</x:v>
      </x:c>
    </x:row>
    <x:row r="101" ht="23" customHeight="1">
      <x:c r="A101" s="119" t="n">
        <x:v>83</x:v>
      </x:c>
      <x:c r="B101" s="119" t="n">
        <x:f>VLOOKUP(A101,$A$7:$G$13,6,TRUE)</x:f>
        <x:v>18</x:v>
      </x:c>
      <x:c r="C101" s="119" t="n">
        <x:f>ROUNDUP(('经济参数'!$E$52+(A101-1)*'经济参数'!$E$53)*VLOOKUP(A101,$A$7:$G$13,7,TRUE),0)</x:f>
        <x:v>35140</x:v>
      </x:c>
      <x:c r="D101" s="110" t="n">
        <x:v>1</x:v>
      </x:c>
      <x:c r="E101" s="110" t="n">
        <x:v>1</x:v>
      </x:c>
      <x:c r="F101" s="110" t="n">
        <x:f>IF('使用说明'!$B$4=0,D101,E101)</x:f>
        <x:v>1</x:v>
      </x:c>
      <x:c r="G101" s="62" t="n">
        <x:f>IFERROR(B101/F101,0)</x:f>
        <x:v>18</x:v>
      </x:c>
      <x:c r="H101" s="62" t="n">
        <x:f>IFERROR(C101/F101,0)</x:f>
        <x:v>35140</x:v>
      </x:c>
      <x:c r="I101" s="62" t="n">
        <x:f>SUM(G$19:G101)</x:f>
        <x:v>744</x:v>
      </x:c>
      <x:c r="J101" s="62" t="n">
        <x:f>SUM(H$19:H101)</x:f>
        <x:v>1169010</x:v>
      </x:c>
      <x:c r="K101" s="62" t="n">
        <x:f>I101*18</x:f>
        <x:v>13392</x:v>
      </x:c>
      <x:c r="L101" s="62" t="n">
        <x:f>J101*18</x:f>
        <x:v>21042180</x:v>
      </x:c>
    </x:row>
    <x:row r="102" ht="23" customHeight="1">
      <x:c r="A102" s="119" t="n">
        <x:v>84</x:v>
      </x:c>
      <x:c r="B102" s="119" t="n">
        <x:f>VLOOKUP(A102,$A$7:$G$13,6,TRUE)</x:f>
        <x:v>18</x:v>
      </x:c>
      <x:c r="C102" s="119" t="n">
        <x:f>ROUNDUP(('经济参数'!$E$52+(A102-1)*'经济参数'!$E$53)*VLOOKUP(A102,$A$7:$G$13,7,TRUE),0)</x:f>
        <x:v>35560</x:v>
      </x:c>
      <x:c r="D102" s="110" t="n">
        <x:v>1</x:v>
      </x:c>
      <x:c r="E102" s="110" t="n">
        <x:v>1</x:v>
      </x:c>
      <x:c r="F102" s="110" t="n">
        <x:f>IF('使用说明'!$B$4=0,D102,E102)</x:f>
        <x:v>1</x:v>
      </x:c>
      <x:c r="G102" s="62" t="n">
        <x:f>IFERROR(B102/F102,0)</x:f>
        <x:v>18</x:v>
      </x:c>
      <x:c r="H102" s="62" t="n">
        <x:f>IFERROR(C102/F102,0)</x:f>
        <x:v>35560</x:v>
      </x:c>
      <x:c r="I102" s="62" t="n">
        <x:f>SUM(G$19:G102)</x:f>
        <x:v>762</x:v>
      </x:c>
      <x:c r="J102" s="62" t="n">
        <x:f>SUM(H$19:H102)</x:f>
        <x:v>1204570</x:v>
      </x:c>
      <x:c r="K102" s="62" t="n">
        <x:f>I102*18</x:f>
        <x:v>13716</x:v>
      </x:c>
      <x:c r="L102" s="62" t="n">
        <x:f>J102*18</x:f>
        <x:v>21682260</x:v>
      </x:c>
    </x:row>
    <x:row r="103" ht="23" customHeight="1">
      <x:c r="A103" s="119" t="n">
        <x:v>85</x:v>
      </x:c>
      <x:c r="B103" s="119" t="n">
        <x:f>VLOOKUP(A103,$A$7:$G$13,6,TRUE)</x:f>
        <x:v>18</x:v>
      </x:c>
      <x:c r="C103" s="119" t="n">
        <x:f>ROUNDUP(('经济参数'!$E$52+(A103-1)*'经济参数'!$E$53)*VLOOKUP(A103,$A$7:$G$13,7,TRUE),0)</x:f>
        <x:v>35980</x:v>
      </x:c>
      <x:c r="D103" s="110" t="n">
        <x:v>1</x:v>
      </x:c>
      <x:c r="E103" s="110" t="n">
        <x:v>1</x:v>
      </x:c>
      <x:c r="F103" s="110" t="n">
        <x:f>IF('使用说明'!$B$4=0,D103,E103)</x:f>
        <x:v>1</x:v>
      </x:c>
      <x:c r="G103" s="62" t="n">
        <x:f>IFERROR(B103/F103,0)</x:f>
        <x:v>18</x:v>
      </x:c>
      <x:c r="H103" s="62" t="n">
        <x:f>IFERROR(C103/F103,0)</x:f>
        <x:v>35980</x:v>
      </x:c>
      <x:c r="I103" s="62" t="n">
        <x:f>SUM(G$19:G103)</x:f>
        <x:v>780</x:v>
      </x:c>
      <x:c r="J103" s="62" t="n">
        <x:f>SUM(H$19:H103)</x:f>
        <x:v>1240550</x:v>
      </x:c>
      <x:c r="K103" s="62" t="n">
        <x:f>I103*18</x:f>
        <x:v>14040</x:v>
      </x:c>
      <x:c r="L103" s="62" t="n">
        <x:f>J103*18</x:f>
        <x:v>22329900</x:v>
      </x:c>
    </x:row>
    <x:row r="104" ht="23" customHeight="1">
      <x:c r="A104" s="119" t="n">
        <x:v>86</x:v>
      </x:c>
      <x:c r="B104" s="119" t="n">
        <x:f>VLOOKUP(A104,$A$7:$G$13,6,TRUE)</x:f>
        <x:v>18</x:v>
      </x:c>
      <x:c r="C104" s="119" t="n">
        <x:f>ROUNDUP(('经济参数'!$E$52+(A104-1)*'经济参数'!$E$53)*VLOOKUP(A104,$A$7:$G$13,7,TRUE),0)</x:f>
        <x:v>36400</x:v>
      </x:c>
      <x:c r="D104" s="110" t="n">
        <x:v>1</x:v>
      </x:c>
      <x:c r="E104" s="110" t="n">
        <x:v>1</x:v>
      </x:c>
      <x:c r="F104" s="110" t="n">
        <x:f>IF('使用说明'!$B$4=0,D104,E104)</x:f>
        <x:v>1</x:v>
      </x:c>
      <x:c r="G104" s="62" t="n">
        <x:f>IFERROR(B104/F104,0)</x:f>
        <x:v>18</x:v>
      </x:c>
      <x:c r="H104" s="62" t="n">
        <x:f>IFERROR(C104/F104,0)</x:f>
        <x:v>36400</x:v>
      </x:c>
      <x:c r="I104" s="62" t="n">
        <x:f>SUM(G$19:G104)</x:f>
        <x:v>798</x:v>
      </x:c>
      <x:c r="J104" s="62" t="n">
        <x:f>SUM(H$19:H104)</x:f>
        <x:v>1276950</x:v>
      </x:c>
      <x:c r="K104" s="62" t="n">
        <x:f>I104*18</x:f>
        <x:v>14364</x:v>
      </x:c>
      <x:c r="L104" s="62" t="n">
        <x:f>J104*18</x:f>
        <x:v>22985100</x:v>
      </x:c>
    </x:row>
    <x:row r="105" ht="23" customHeight="1">
      <x:c r="A105" s="119" t="n">
        <x:v>87</x:v>
      </x:c>
      <x:c r="B105" s="119" t="n">
        <x:f>VLOOKUP(A105,$A$7:$G$13,6,TRUE)</x:f>
        <x:v>18</x:v>
      </x:c>
      <x:c r="C105" s="119" t="n">
        <x:f>ROUNDUP(('经济参数'!$E$52+(A105-1)*'经济参数'!$E$53)*VLOOKUP(A105,$A$7:$G$13,7,TRUE),0)</x:f>
        <x:v>36820</x:v>
      </x:c>
      <x:c r="D105" s="110" t="n">
        <x:v>1</x:v>
      </x:c>
      <x:c r="E105" s="110" t="n">
        <x:v>1</x:v>
      </x:c>
      <x:c r="F105" s="110" t="n">
        <x:f>IF('使用说明'!$B$4=0,D105,E105)</x:f>
        <x:v>1</x:v>
      </x:c>
      <x:c r="G105" s="62" t="n">
        <x:f>IFERROR(B105/F105,0)</x:f>
        <x:v>18</x:v>
      </x:c>
      <x:c r="H105" s="62" t="n">
        <x:f>IFERROR(C105/F105,0)</x:f>
        <x:v>36820</x:v>
      </x:c>
      <x:c r="I105" s="62" t="n">
        <x:f>SUM(G$19:G105)</x:f>
        <x:v>816</x:v>
      </x:c>
      <x:c r="J105" s="62" t="n">
        <x:f>SUM(H$19:H105)</x:f>
        <x:v>1313770</x:v>
      </x:c>
      <x:c r="K105" s="62" t="n">
        <x:f>I105*18</x:f>
        <x:v>14688</x:v>
      </x:c>
      <x:c r="L105" s="62" t="n">
        <x:f>J105*18</x:f>
        <x:v>23647860</x:v>
      </x:c>
    </x:row>
    <x:row r="106" ht="23" customHeight="1">
      <x:c r="A106" s="119" t="n">
        <x:v>88</x:v>
      </x:c>
      <x:c r="B106" s="119" t="n">
        <x:f>VLOOKUP(A106,$A$7:$G$13,6,TRUE)</x:f>
        <x:v>18</x:v>
      </x:c>
      <x:c r="C106" s="119" t="n">
        <x:f>ROUNDUP(('经济参数'!$E$52+(A106-1)*'经济参数'!$E$53)*VLOOKUP(A106,$A$7:$G$13,7,TRUE),0)</x:f>
        <x:v>37240</x:v>
      </x:c>
      <x:c r="D106" s="110" t="n">
        <x:v>1</x:v>
      </x:c>
      <x:c r="E106" s="110" t="n">
        <x:v>1</x:v>
      </x:c>
      <x:c r="F106" s="110" t="n">
        <x:f>IF('使用说明'!$B$4=0,D106,E106)</x:f>
        <x:v>1</x:v>
      </x:c>
      <x:c r="G106" s="62" t="n">
        <x:f>IFERROR(B106/F106,0)</x:f>
        <x:v>18</x:v>
      </x:c>
      <x:c r="H106" s="62" t="n">
        <x:f>IFERROR(C106/F106,0)</x:f>
        <x:v>37240</x:v>
      </x:c>
      <x:c r="I106" s="62" t="n">
        <x:f>SUM(G$19:G106)</x:f>
        <x:v>834</x:v>
      </x:c>
      <x:c r="J106" s="62" t="n">
        <x:f>SUM(H$19:H106)</x:f>
        <x:v>1351010</x:v>
      </x:c>
      <x:c r="K106" s="62" t="n">
        <x:f>I106*18</x:f>
        <x:v>15012</x:v>
      </x:c>
      <x:c r="L106" s="62" t="n">
        <x:f>J106*18</x:f>
        <x:v>24318180</x:v>
      </x:c>
    </x:row>
    <x:row r="107" ht="23" customHeight="1">
      <x:c r="A107" s="119" t="n">
        <x:v>89</x:v>
      </x:c>
      <x:c r="B107" s="119" t="n">
        <x:f>VLOOKUP(A107,$A$7:$G$13,6,TRUE)</x:f>
        <x:v>18</x:v>
      </x:c>
      <x:c r="C107" s="119" t="n">
        <x:f>ROUNDUP(('经济参数'!$E$52+(A107-1)*'经济参数'!$E$53)*VLOOKUP(A107,$A$7:$G$13,7,TRUE),0)</x:f>
        <x:v>37660</x:v>
      </x:c>
      <x:c r="D107" s="110" t="n">
        <x:v>1</x:v>
      </x:c>
      <x:c r="E107" s="110" t="n">
        <x:v>1</x:v>
      </x:c>
      <x:c r="F107" s="110" t="n">
        <x:f>IF('使用说明'!$B$4=0,D107,E107)</x:f>
        <x:v>1</x:v>
      </x:c>
      <x:c r="G107" s="62" t="n">
        <x:f>IFERROR(B107/F107,0)</x:f>
        <x:v>18</x:v>
      </x:c>
      <x:c r="H107" s="62" t="n">
        <x:f>IFERROR(C107/F107,0)</x:f>
        <x:v>37660</x:v>
      </x:c>
      <x:c r="I107" s="62" t="n">
        <x:f>SUM(G$19:G107)</x:f>
        <x:v>852</x:v>
      </x:c>
      <x:c r="J107" s="62" t="n">
        <x:f>SUM(H$19:H107)</x:f>
        <x:v>1388670</x:v>
      </x:c>
      <x:c r="K107" s="62" t="n">
        <x:f>I107*18</x:f>
        <x:v>15336</x:v>
      </x:c>
      <x:c r="L107" s="62" t="n">
        <x:f>J107*18</x:f>
        <x:v>24996060</x:v>
      </x:c>
    </x:row>
    <x:row r="108" ht="23" customHeight="1">
      <x:c r="A108" s="119" t="n">
        <x:v>90</x:v>
      </x:c>
      <x:c r="B108" s="119" t="n">
        <x:f>VLOOKUP(A108,$A$7:$G$13,6,TRUE)</x:f>
        <x:v>18</x:v>
      </x:c>
      <x:c r="C108" s="119" t="n">
        <x:f>ROUNDUP(('经济参数'!$E$52+(A108-1)*'经济参数'!$E$53)*VLOOKUP(A108,$A$7:$G$13,7,TRUE),0)</x:f>
        <x:v>38080</x:v>
      </x:c>
      <x:c r="D108" s="110" t="n">
        <x:v>1</x:v>
      </x:c>
      <x:c r="E108" s="110" t="n">
        <x:v>1</x:v>
      </x:c>
      <x:c r="F108" s="110" t="n">
        <x:f>IF('使用说明'!$B$4=0,D108,E108)</x:f>
        <x:v>1</x:v>
      </x:c>
      <x:c r="G108" s="62" t="n">
        <x:f>IFERROR(B108/F108,0)</x:f>
        <x:v>18</x:v>
      </x:c>
      <x:c r="H108" s="62" t="n">
        <x:f>IFERROR(C108/F108,0)</x:f>
        <x:v>38080</x:v>
      </x:c>
      <x:c r="I108" s="62" t="n">
        <x:f>SUM(G$19:G108)</x:f>
        <x:v>870</x:v>
      </x:c>
      <x:c r="J108" s="62" t="n">
        <x:f>SUM(H$19:H108)</x:f>
        <x:v>1426750</x:v>
      </x:c>
      <x:c r="K108" s="62" t="n">
        <x:f>I108*18</x:f>
        <x:v>15660</x:v>
      </x:c>
      <x:c r="L108" s="62" t="n">
        <x:f>J108*18</x:f>
        <x:v>25681500</x:v>
      </x:c>
    </x:row>
    <x:row r="109" ht="23" customHeight="1">
      <x:c r="A109" s="119" t="n">
        <x:v>91</x:v>
      </x:c>
      <x:c r="B109" s="119" t="n">
        <x:f>VLOOKUP(A109,$A$7:$G$13,6,TRUE)</x:f>
        <x:v>18</x:v>
      </x:c>
      <x:c r="C109" s="119" t="n">
        <x:f>ROUNDUP(('经济参数'!$E$52+(A109-1)*'经济参数'!$E$53)*VLOOKUP(A109,$A$7:$G$13,7,TRUE),0)</x:f>
        <x:v>38500</x:v>
      </x:c>
      <x:c r="D109" s="110" t="n">
        <x:v>1</x:v>
      </x:c>
      <x:c r="E109" s="110" t="n">
        <x:v>1</x:v>
      </x:c>
      <x:c r="F109" s="110" t="n">
        <x:f>IF('使用说明'!$B$4=0,D109,E109)</x:f>
        <x:v>1</x:v>
      </x:c>
      <x:c r="G109" s="62" t="n">
        <x:f>IFERROR(B109/F109,0)</x:f>
        <x:v>18</x:v>
      </x:c>
      <x:c r="H109" s="62" t="n">
        <x:f>IFERROR(C109/F109,0)</x:f>
        <x:v>38500</x:v>
      </x:c>
      <x:c r="I109" s="62" t="n">
        <x:f>SUM(G$19:G109)</x:f>
        <x:v>888</x:v>
      </x:c>
      <x:c r="J109" s="62" t="n">
        <x:f>SUM(H$19:H109)</x:f>
        <x:v>1465250</x:v>
      </x:c>
      <x:c r="K109" s="62" t="n">
        <x:f>I109*18</x:f>
        <x:v>15984</x:v>
      </x:c>
      <x:c r="L109" s="62" t="n">
        <x:f>J109*18</x:f>
        <x:v>26374500</x:v>
      </x:c>
    </x:row>
    <x:row r="110" ht="23" customHeight="1">
      <x:c r="A110" s="119" t="n">
        <x:v>92</x:v>
      </x:c>
      <x:c r="B110" s="119" t="n">
        <x:f>VLOOKUP(A110,$A$7:$G$13,6,TRUE)</x:f>
        <x:v>18</x:v>
      </x:c>
      <x:c r="C110" s="119" t="n">
        <x:f>ROUNDUP(('经济参数'!$E$52+(A110-1)*'经济参数'!$E$53)*VLOOKUP(A110,$A$7:$G$13,7,TRUE),0)</x:f>
        <x:v>38920</x:v>
      </x:c>
      <x:c r="D110" s="110" t="n">
        <x:v>1</x:v>
      </x:c>
      <x:c r="E110" s="110" t="n">
        <x:v>1</x:v>
      </x:c>
      <x:c r="F110" s="110" t="n">
        <x:f>IF('使用说明'!$B$4=0,D110,E110)</x:f>
        <x:v>1</x:v>
      </x:c>
      <x:c r="G110" s="62" t="n">
        <x:f>IFERROR(B110/F110,0)</x:f>
        <x:v>18</x:v>
      </x:c>
      <x:c r="H110" s="62" t="n">
        <x:f>IFERROR(C110/F110,0)</x:f>
        <x:v>38920</x:v>
      </x:c>
      <x:c r="I110" s="62" t="n">
        <x:f>SUM(G$19:G110)</x:f>
        <x:v>906</x:v>
      </x:c>
      <x:c r="J110" s="62" t="n">
        <x:f>SUM(H$19:H110)</x:f>
        <x:v>1504170</x:v>
      </x:c>
      <x:c r="K110" s="62" t="n">
        <x:f>I110*18</x:f>
        <x:v>16308</x:v>
      </x:c>
      <x:c r="L110" s="62" t="n">
        <x:f>J110*18</x:f>
        <x:v>27075060</x:v>
      </x:c>
    </x:row>
    <x:row r="111" ht="23" customHeight="1">
      <x:c r="A111" s="119" t="n">
        <x:v>93</x:v>
      </x:c>
      <x:c r="B111" s="119" t="n">
        <x:f>VLOOKUP(A111,$A$7:$G$13,6,TRUE)</x:f>
        <x:v>18</x:v>
      </x:c>
      <x:c r="C111" s="119" t="n">
        <x:f>ROUNDUP(('经济参数'!$E$52+(A111-1)*'经济参数'!$E$53)*VLOOKUP(A111,$A$7:$G$13,7,TRUE),0)</x:f>
        <x:v>39340</x:v>
      </x:c>
      <x:c r="D111" s="110" t="n">
        <x:v>1</x:v>
      </x:c>
      <x:c r="E111" s="110" t="n">
        <x:v>1</x:v>
      </x:c>
      <x:c r="F111" s="110" t="n">
        <x:f>IF('使用说明'!$B$4=0,D111,E111)</x:f>
        <x:v>1</x:v>
      </x:c>
      <x:c r="G111" s="62" t="n">
        <x:f>IFERROR(B111/F111,0)</x:f>
        <x:v>18</x:v>
      </x:c>
      <x:c r="H111" s="62" t="n">
        <x:f>IFERROR(C111/F111,0)</x:f>
        <x:v>39340</x:v>
      </x:c>
      <x:c r="I111" s="62" t="n">
        <x:f>SUM(G$19:G111)</x:f>
        <x:v>924</x:v>
      </x:c>
      <x:c r="J111" s="62" t="n">
        <x:f>SUM(H$19:H111)</x:f>
        <x:v>1543510</x:v>
      </x:c>
      <x:c r="K111" s="62" t="n">
        <x:f>I111*18</x:f>
        <x:v>16632</x:v>
      </x:c>
      <x:c r="L111" s="62" t="n">
        <x:f>J111*18</x:f>
        <x:v>27783180</x:v>
      </x:c>
    </x:row>
    <x:row r="112" ht="23" customHeight="1">
      <x:c r="A112" s="119" t="n">
        <x:v>94</x:v>
      </x:c>
      <x:c r="B112" s="119" t="n">
        <x:f>VLOOKUP(A112,$A$7:$G$13,6,TRUE)</x:f>
        <x:v>18</x:v>
      </x:c>
      <x:c r="C112" s="119" t="n">
        <x:f>ROUNDUP(('经济参数'!$E$52+(A112-1)*'经济参数'!$E$53)*VLOOKUP(A112,$A$7:$G$13,7,TRUE),0)</x:f>
        <x:v>39760</x:v>
      </x:c>
      <x:c r="D112" s="110" t="n">
        <x:v>1</x:v>
      </x:c>
      <x:c r="E112" s="110" t="n">
        <x:v>1</x:v>
      </x:c>
      <x:c r="F112" s="110" t="n">
        <x:f>IF('使用说明'!$B$4=0,D112,E112)</x:f>
        <x:v>1</x:v>
      </x:c>
      <x:c r="G112" s="62" t="n">
        <x:f>IFERROR(B112/F112,0)</x:f>
        <x:v>18</x:v>
      </x:c>
      <x:c r="H112" s="62" t="n">
        <x:f>IFERROR(C112/F112,0)</x:f>
        <x:v>39760</x:v>
      </x:c>
      <x:c r="I112" s="62" t="n">
        <x:f>SUM(G$19:G112)</x:f>
        <x:v>942</x:v>
      </x:c>
      <x:c r="J112" s="62" t="n">
        <x:f>SUM(H$19:H112)</x:f>
        <x:v>1583270</x:v>
      </x:c>
      <x:c r="K112" s="62" t="n">
        <x:f>I112*18</x:f>
        <x:v>16956</x:v>
      </x:c>
      <x:c r="L112" s="62" t="n">
        <x:f>J112*18</x:f>
        <x:v>28498860</x:v>
      </x:c>
    </x:row>
    <x:row r="113" ht="23" customHeight="1">
      <x:c r="A113" s="119" t="n">
        <x:v>95</x:v>
      </x:c>
      <x:c r="B113" s="119" t="n">
        <x:f>VLOOKUP(A113,$A$7:$G$13,6,TRUE)</x:f>
        <x:v>18</x:v>
      </x:c>
      <x:c r="C113" s="119" t="n">
        <x:f>ROUNDUP(('经济参数'!$E$52+(A113-1)*'经济参数'!$E$53)*VLOOKUP(A113,$A$7:$G$13,7,TRUE),0)</x:f>
        <x:v>40180</x:v>
      </x:c>
      <x:c r="D113" s="110" t="n">
        <x:v>1</x:v>
      </x:c>
      <x:c r="E113" s="110" t="n">
        <x:v>1</x:v>
      </x:c>
      <x:c r="F113" s="110" t="n">
        <x:f>IF('使用说明'!$B$4=0,D113,E113)</x:f>
        <x:v>1</x:v>
      </x:c>
      <x:c r="G113" s="62" t="n">
        <x:f>IFERROR(B113/F113,0)</x:f>
        <x:v>18</x:v>
      </x:c>
      <x:c r="H113" s="62" t="n">
        <x:f>IFERROR(C113/F113,0)</x:f>
        <x:v>40180</x:v>
      </x:c>
      <x:c r="I113" s="62" t="n">
        <x:f>SUM(G$19:G113)</x:f>
        <x:v>960</x:v>
      </x:c>
      <x:c r="J113" s="62" t="n">
        <x:f>SUM(H$19:H113)</x:f>
        <x:v>1623450</x:v>
      </x:c>
      <x:c r="K113" s="62" t="n">
        <x:f>I113*18</x:f>
        <x:v>17280</x:v>
      </x:c>
      <x:c r="L113" s="62" t="n">
        <x:f>J113*18</x:f>
        <x:v>29222100</x:v>
      </x:c>
    </x:row>
    <x:row r="114" ht="23" customHeight="1">
      <x:c r="A114" s="119" t="n">
        <x:v>96</x:v>
      </x:c>
      <x:c r="B114" s="119" t="n">
        <x:f>VLOOKUP(A114,$A$7:$G$13,6,TRUE)</x:f>
        <x:v>18</x:v>
      </x:c>
      <x:c r="C114" s="119" t="n">
        <x:f>ROUNDUP(('经济参数'!$E$52+(A114-1)*'经济参数'!$E$53)*VLOOKUP(A114,$A$7:$G$13,7,TRUE),0)</x:f>
        <x:v>40600</x:v>
      </x:c>
      <x:c r="D114" s="110" t="n">
        <x:v>1</x:v>
      </x:c>
      <x:c r="E114" s="110" t="n">
        <x:v>1</x:v>
      </x:c>
      <x:c r="F114" s="110" t="n">
        <x:f>IF('使用说明'!$B$4=0,D114,E114)</x:f>
        <x:v>1</x:v>
      </x:c>
      <x:c r="G114" s="62" t="n">
        <x:f>IFERROR(B114/F114,0)</x:f>
        <x:v>18</x:v>
      </x:c>
      <x:c r="H114" s="62" t="n">
        <x:f>IFERROR(C114/F114,0)</x:f>
        <x:v>40600</x:v>
      </x:c>
      <x:c r="I114" s="62" t="n">
        <x:f>SUM(G$19:G114)</x:f>
        <x:v>978</x:v>
      </x:c>
      <x:c r="J114" s="62" t="n">
        <x:f>SUM(H$19:H114)</x:f>
        <x:v>1664050</x:v>
      </x:c>
      <x:c r="K114" s="62" t="n">
        <x:f>I114*18</x:f>
        <x:v>17604</x:v>
      </x:c>
      <x:c r="L114" s="62" t="n">
        <x:f>J114*18</x:f>
        <x:v>29952900</x:v>
      </x:c>
    </x:row>
    <x:row r="115" ht="23" customHeight="1">
      <x:c r="A115" s="119" t="n">
        <x:v>97</x:v>
      </x:c>
      <x:c r="B115" s="119" t="n">
        <x:f>VLOOKUP(A115,$A$7:$G$13,6,TRUE)</x:f>
        <x:v>18</x:v>
      </x:c>
      <x:c r="C115" s="119" t="n">
        <x:f>ROUNDUP(('经济参数'!$E$52+(A115-1)*'经济参数'!$E$53)*VLOOKUP(A115,$A$7:$G$13,7,TRUE),0)</x:f>
        <x:v>41020</x:v>
      </x:c>
      <x:c r="D115" s="110" t="n">
        <x:v>1</x:v>
      </x:c>
      <x:c r="E115" s="110" t="n">
        <x:v>1</x:v>
      </x:c>
      <x:c r="F115" s="110" t="n">
        <x:f>IF('使用说明'!$B$4=0,D115,E115)</x:f>
        <x:v>1</x:v>
      </x:c>
      <x:c r="G115" s="62" t="n">
        <x:f>IFERROR(B115/F115,0)</x:f>
        <x:v>18</x:v>
      </x:c>
      <x:c r="H115" s="62" t="n">
        <x:f>IFERROR(C115/F115,0)</x:f>
        <x:v>41020</x:v>
      </x:c>
      <x:c r="I115" s="62" t="n">
        <x:f>SUM(G$19:G115)</x:f>
        <x:v>996</x:v>
      </x:c>
      <x:c r="J115" s="62" t="n">
        <x:f>SUM(H$19:H115)</x:f>
        <x:v>1705070</x:v>
      </x:c>
      <x:c r="K115" s="62" t="n">
        <x:f>I115*18</x:f>
        <x:v>17928</x:v>
      </x:c>
      <x:c r="L115" s="62" t="n">
        <x:f>J115*18</x:f>
        <x:v>30691260</x:v>
      </x:c>
    </x:row>
    <x:row r="116" ht="23" customHeight="1">
      <x:c r="A116" s="119" t="n">
        <x:v>98</x:v>
      </x:c>
      <x:c r="B116" s="119" t="n">
        <x:f>VLOOKUP(A116,$A$7:$G$13,6,TRUE)</x:f>
        <x:v>18</x:v>
      </x:c>
      <x:c r="C116" s="119" t="n">
        <x:f>ROUNDUP(('经济参数'!$E$52+(A116-1)*'经济参数'!$E$53)*VLOOKUP(A116,$A$7:$G$13,7,TRUE),0)</x:f>
        <x:v>41440</x:v>
      </x:c>
      <x:c r="D116" s="110" t="n">
        <x:v>1</x:v>
      </x:c>
      <x:c r="E116" s="110" t="n">
        <x:v>1</x:v>
      </x:c>
      <x:c r="F116" s="110" t="n">
        <x:f>IF('使用说明'!$B$4=0,D116,E116)</x:f>
        <x:v>1</x:v>
      </x:c>
      <x:c r="G116" s="62" t="n">
        <x:f>IFERROR(B116/F116,0)</x:f>
        <x:v>18</x:v>
      </x:c>
      <x:c r="H116" s="62" t="n">
        <x:f>IFERROR(C116/F116,0)</x:f>
        <x:v>41440</x:v>
      </x:c>
      <x:c r="I116" s="62" t="n">
        <x:f>SUM(G$19:G116)</x:f>
        <x:v>1014</x:v>
      </x:c>
      <x:c r="J116" s="62" t="n">
        <x:f>SUM(H$19:H116)</x:f>
        <x:v>1746510</x:v>
      </x:c>
      <x:c r="K116" s="62" t="n">
        <x:f>I116*18</x:f>
        <x:v>18252</x:v>
      </x:c>
      <x:c r="L116" s="62" t="n">
        <x:f>J116*18</x:f>
        <x:v>31437180</x:v>
      </x:c>
    </x:row>
    <x:row r="117" ht="23" customHeight="1">
      <x:c r="A117" s="119" t="n">
        <x:v>99</x:v>
      </x:c>
      <x:c r="B117" s="119" t="n">
        <x:f>VLOOKUP(A117,$A$7:$G$13,6,TRUE)</x:f>
        <x:v>18</x:v>
      </x:c>
      <x:c r="C117" s="119" t="n">
        <x:f>ROUNDUP(('经济参数'!$E$52+(A117-1)*'经济参数'!$E$53)*VLOOKUP(A117,$A$7:$G$13,7,TRUE),0)</x:f>
        <x:v>41860</x:v>
      </x:c>
      <x:c r="D117" s="110" t="n">
        <x:v>1</x:v>
      </x:c>
      <x:c r="E117" s="110" t="n">
        <x:v>1</x:v>
      </x:c>
      <x:c r="F117" s="110" t="n">
        <x:f>IF('使用说明'!$B$4=0,D117,E117)</x:f>
        <x:v>1</x:v>
      </x:c>
      <x:c r="G117" s="62" t="n">
        <x:f>IFERROR(B117/F117,0)</x:f>
        <x:v>18</x:v>
      </x:c>
      <x:c r="H117" s="62" t="n">
        <x:f>IFERROR(C117/F117,0)</x:f>
        <x:v>41860</x:v>
      </x:c>
      <x:c r="I117" s="62" t="n">
        <x:f>SUM(G$19:G117)</x:f>
        <x:v>1032</x:v>
      </x:c>
      <x:c r="J117" s="62" t="n">
        <x:f>SUM(H$19:H117)</x:f>
        <x:v>1788370</x:v>
      </x:c>
      <x:c r="K117" s="62" t="n">
        <x:f>I117*18</x:f>
        <x:v>18576</x:v>
      </x:c>
      <x:c r="L117" s="62" t="n">
        <x:f>J117*18</x:f>
        <x:v>32190660</x:v>
      </x:c>
    </x:row>
    <x:row r="118" ht="23" customHeight="1">
      <x:c r="A118" s="119" t="n">
        <x:v>100</x:v>
      </x:c>
      <x:c r="B118" s="119" t="n">
        <x:f>VLOOKUP(A118,$A$7:$G$13,6,TRUE)</x:f>
        <x:v>18</x:v>
      </x:c>
      <x:c r="C118" s="119" t="n">
        <x:f>ROUNDUP(('经济参数'!$E$52+(A118-1)*'经济参数'!$E$53)*VLOOKUP(A118,$A$7:$G$13,7,TRUE),0)</x:f>
        <x:v>42280</x:v>
      </x:c>
      <x:c r="D118" s="110" t="n">
        <x:v>1</x:v>
      </x:c>
      <x:c r="E118" s="110" t="n">
        <x:v>1</x:v>
      </x:c>
      <x:c r="F118" s="110" t="n">
        <x:f>IF('使用说明'!$B$4=0,D118,E118)</x:f>
        <x:v>1</x:v>
      </x:c>
      <x:c r="G118" s="62" t="n">
        <x:f>IFERROR(B118/F118,0)</x:f>
        <x:v>18</x:v>
      </x:c>
      <x:c r="H118" s="62" t="n">
        <x:f>IFERROR(C118/F118,0)</x:f>
        <x:v>42280</x:v>
      </x:c>
      <x:c r="I118" s="62" t="n">
        <x:f>SUM(G$19:G118)</x:f>
        <x:v>1050</x:v>
      </x:c>
      <x:c r="J118" s="62" t="n">
        <x:f>SUM(H$19:H118)</x:f>
        <x:v>1830650</x:v>
      </x:c>
      <x:c r="K118" s="62" t="n">
        <x:f>I118*18</x:f>
        <x:v>18900</x:v>
      </x:c>
      <x:c r="L118" s="62" t="n">
        <x:f>J118*18</x:f>
        <x:v>32951700</x:v>
      </x:c>
    </x:row>
    <x:row r="119" ht="23" customHeight="1">
      <x:c r="A119" s="119" t="n">
        <x:v>101</x:v>
      </x:c>
      <x:c r="B119" s="119" t="n">
        <x:f>VLOOKUP(A119,$A$7:$G$13,6,TRUE)</x:f>
        <x:v>18</x:v>
      </x:c>
      <x:c r="C119" s="119" t="n">
        <x:f>ROUNDUP(('经济参数'!$E$52+(A119-1)*'经济参数'!$E$53)*VLOOKUP(A119,$A$7:$G$13,7,TRUE),0)</x:f>
        <x:v>42700</x:v>
      </x:c>
      <x:c r="D119" s="110" t="n">
        <x:v>1</x:v>
      </x:c>
      <x:c r="E119" s="110" t="n">
        <x:v>1</x:v>
      </x:c>
      <x:c r="F119" s="110" t="n">
        <x:f>IF('使用说明'!$B$4=0,D119,E119)</x:f>
        <x:v>1</x:v>
      </x:c>
      <x:c r="G119" s="62" t="n">
        <x:f>IFERROR(B119/F119,0)</x:f>
        <x:v>18</x:v>
      </x:c>
      <x:c r="H119" s="62" t="n">
        <x:f>IFERROR(C119/F119,0)</x:f>
        <x:v>42700</x:v>
      </x:c>
      <x:c r="I119" s="62" t="n">
        <x:f>SUM(G$19:G119)</x:f>
        <x:v>1068</x:v>
      </x:c>
      <x:c r="J119" s="62" t="n">
        <x:f>SUM(H$19:H119)</x:f>
        <x:v>1873350</x:v>
      </x:c>
      <x:c r="K119" s="62" t="n">
        <x:f>I119*18</x:f>
        <x:v>19224</x:v>
      </x:c>
      <x:c r="L119" s="62" t="n">
        <x:f>J119*18</x:f>
        <x:v>33720300</x:v>
      </x:c>
    </x:row>
    <x:row r="120" ht="23" customHeight="1">
      <x:c r="A120" s="119" t="n">
        <x:v>102</x:v>
      </x:c>
      <x:c r="B120" s="119" t="n">
        <x:f>VLOOKUP(A120,$A$7:$G$13,6,TRUE)</x:f>
        <x:v>18</x:v>
      </x:c>
      <x:c r="C120" s="119" t="n">
        <x:f>ROUNDUP(('经济参数'!$E$52+(A120-1)*'经济参数'!$E$53)*VLOOKUP(A120,$A$7:$G$13,7,TRUE),0)</x:f>
        <x:v>43120</x:v>
      </x:c>
      <x:c r="D120" s="110" t="n">
        <x:v>1</x:v>
      </x:c>
      <x:c r="E120" s="110" t="n">
        <x:v>1</x:v>
      </x:c>
      <x:c r="F120" s="110" t="n">
        <x:f>IF('使用说明'!$B$4=0,D120,E120)</x:f>
        <x:v>1</x:v>
      </x:c>
      <x:c r="G120" s="62" t="n">
        <x:f>IFERROR(B120/F120,0)</x:f>
        <x:v>18</x:v>
      </x:c>
      <x:c r="H120" s="62" t="n">
        <x:f>IFERROR(C120/F120,0)</x:f>
        <x:v>43120</x:v>
      </x:c>
      <x:c r="I120" s="62" t="n">
        <x:f>SUM(G$19:G120)</x:f>
        <x:v>1086</x:v>
      </x:c>
      <x:c r="J120" s="62" t="n">
        <x:f>SUM(H$19:H120)</x:f>
        <x:v>1916470</x:v>
      </x:c>
      <x:c r="K120" s="62" t="n">
        <x:f>I120*18</x:f>
        <x:v>19548</x:v>
      </x:c>
      <x:c r="L120" s="62" t="n">
        <x:f>J120*18</x:f>
        <x:v>34496460</x:v>
      </x:c>
    </x:row>
    <x:row r="121" ht="23" customHeight="1">
      <x:c r="A121" s="119" t="n">
        <x:v>103</x:v>
      </x:c>
      <x:c r="B121" s="119" t="n">
        <x:f>VLOOKUP(A121,$A$7:$G$13,6,TRUE)</x:f>
        <x:v>18</x:v>
      </x:c>
      <x:c r="C121" s="119" t="n">
        <x:f>ROUNDUP(('经济参数'!$E$52+(A121-1)*'经济参数'!$E$53)*VLOOKUP(A121,$A$7:$G$13,7,TRUE),0)</x:f>
        <x:v>43540</x:v>
      </x:c>
      <x:c r="D121" s="110" t="n">
        <x:v>1</x:v>
      </x:c>
      <x:c r="E121" s="110" t="n">
        <x:v>1</x:v>
      </x:c>
      <x:c r="F121" s="110" t="n">
        <x:f>IF('使用说明'!$B$4=0,D121,E121)</x:f>
        <x:v>1</x:v>
      </x:c>
      <x:c r="G121" s="62" t="n">
        <x:f>IFERROR(B121/F121,0)</x:f>
        <x:v>18</x:v>
      </x:c>
      <x:c r="H121" s="62" t="n">
        <x:f>IFERROR(C121/F121,0)</x:f>
        <x:v>43540</x:v>
      </x:c>
      <x:c r="I121" s="62" t="n">
        <x:f>SUM(G$19:G121)</x:f>
        <x:v>1104</x:v>
      </x:c>
      <x:c r="J121" s="62" t="n">
        <x:f>SUM(H$19:H121)</x:f>
        <x:v>1960010</x:v>
      </x:c>
      <x:c r="K121" s="62" t="n">
        <x:f>I121*18</x:f>
        <x:v>19872</x:v>
      </x:c>
      <x:c r="L121" s="62" t="n">
        <x:f>J121*18</x:f>
        <x:v>35280180</x:v>
      </x:c>
    </x:row>
    <x:row r="122" ht="23" customHeight="1">
      <x:c r="A122" s="119" t="n">
        <x:v>104</x:v>
      </x:c>
      <x:c r="B122" s="119" t="n">
        <x:f>VLOOKUP(A122,$A$7:$G$13,6,TRUE)</x:f>
        <x:v>18</x:v>
      </x:c>
      <x:c r="C122" s="119" t="n">
        <x:f>ROUNDUP(('经济参数'!$E$52+(A122-1)*'经济参数'!$E$53)*VLOOKUP(A122,$A$7:$G$13,7,TRUE),0)</x:f>
        <x:v>43960</x:v>
      </x:c>
      <x:c r="D122" s="110" t="n">
        <x:v>1</x:v>
      </x:c>
      <x:c r="E122" s="110" t="n">
        <x:v>1</x:v>
      </x:c>
      <x:c r="F122" s="110" t="n">
        <x:f>IF('使用说明'!$B$4=0,D122,E122)</x:f>
        <x:v>1</x:v>
      </x:c>
      <x:c r="G122" s="62" t="n">
        <x:f>IFERROR(B122/F122,0)</x:f>
        <x:v>18</x:v>
      </x:c>
      <x:c r="H122" s="62" t="n">
        <x:f>IFERROR(C122/F122,0)</x:f>
        <x:v>43960</x:v>
      </x:c>
      <x:c r="I122" s="62" t="n">
        <x:f>SUM(G$19:G122)</x:f>
        <x:v>1122</x:v>
      </x:c>
      <x:c r="J122" s="62" t="n">
        <x:f>SUM(H$19:H122)</x:f>
        <x:v>2003970</x:v>
      </x:c>
      <x:c r="K122" s="62" t="n">
        <x:f>I122*18</x:f>
        <x:v>20196</x:v>
      </x:c>
      <x:c r="L122" s="62" t="n">
        <x:f>J122*18</x:f>
        <x:v>36071460</x:v>
      </x:c>
    </x:row>
    <x:row r="123" ht="23" customHeight="1">
      <x:c r="A123" s="119" t="n">
        <x:v>105</x:v>
      </x:c>
      <x:c r="B123" s="119" t="n">
        <x:f>VLOOKUP(A123,$A$7:$G$13,6,TRUE)</x:f>
        <x:v>18</x:v>
      </x:c>
      <x:c r="C123" s="119" t="n">
        <x:f>ROUNDUP(('经济参数'!$E$52+(A123-1)*'经济参数'!$E$53)*VLOOKUP(A123,$A$7:$G$13,7,TRUE),0)</x:f>
        <x:v>44380</x:v>
      </x:c>
      <x:c r="D123" s="110" t="n">
        <x:v>1</x:v>
      </x:c>
      <x:c r="E123" s="110" t="n">
        <x:v>1</x:v>
      </x:c>
      <x:c r="F123" s="110" t="n">
        <x:f>IF('使用说明'!$B$4=0,D123,E123)</x:f>
        <x:v>1</x:v>
      </x:c>
      <x:c r="G123" s="62" t="n">
        <x:f>IFERROR(B123/F123,0)</x:f>
        <x:v>18</x:v>
      </x:c>
      <x:c r="H123" s="62" t="n">
        <x:f>IFERROR(C123/F123,0)</x:f>
        <x:v>44380</x:v>
      </x:c>
      <x:c r="I123" s="62" t="n">
        <x:f>SUM(G$19:G123)</x:f>
        <x:v>1140</x:v>
      </x:c>
      <x:c r="J123" s="62" t="n">
        <x:f>SUM(H$19:H123)</x:f>
        <x:v>2048350</x:v>
      </x:c>
      <x:c r="K123" s="62" t="n">
        <x:f>I123*18</x:f>
        <x:v>20520</x:v>
      </x:c>
      <x:c r="L123" s="62" t="n">
        <x:f>J123*18</x:f>
        <x:v>36870300</x:v>
      </x:c>
    </x:row>
    <x:row r="124" ht="23" customHeight="1">
      <x:c r="A124" s="119" t="n">
        <x:v>106</x:v>
      </x:c>
      <x:c r="B124" s="119" t="n">
        <x:f>VLOOKUP(A124,$A$7:$G$13,6,TRUE)</x:f>
        <x:v>18</x:v>
      </x:c>
      <x:c r="C124" s="119" t="n">
        <x:f>ROUNDUP(('经济参数'!$E$52+(A124-1)*'经济参数'!$E$53)*VLOOKUP(A124,$A$7:$G$13,7,TRUE),0)</x:f>
        <x:v>44800</x:v>
      </x:c>
      <x:c r="D124" s="110" t="n">
        <x:v>1</x:v>
      </x:c>
      <x:c r="E124" s="110" t="n">
        <x:v>1</x:v>
      </x:c>
      <x:c r="F124" s="110" t="n">
        <x:f>IF('使用说明'!$B$4=0,D124,E124)</x:f>
        <x:v>1</x:v>
      </x:c>
      <x:c r="G124" s="62" t="n">
        <x:f>IFERROR(B124/F124,0)</x:f>
        <x:v>18</x:v>
      </x:c>
      <x:c r="H124" s="62" t="n">
        <x:f>IFERROR(C124/F124,0)</x:f>
        <x:v>44800</x:v>
      </x:c>
      <x:c r="I124" s="62" t="n">
        <x:f>SUM(G$19:G124)</x:f>
        <x:v>1158</x:v>
      </x:c>
      <x:c r="J124" s="62" t="n">
        <x:f>SUM(H$19:H124)</x:f>
        <x:v>2093150</x:v>
      </x:c>
      <x:c r="K124" s="62" t="n">
        <x:f>I124*18</x:f>
        <x:v>20844</x:v>
      </x:c>
      <x:c r="L124" s="62" t="n">
        <x:f>J124*18</x:f>
        <x:v>37676700</x:v>
      </x:c>
    </x:row>
    <x:row r="125" ht="23" customHeight="1">
      <x:c r="A125" s="119" t="n">
        <x:v>107</x:v>
      </x:c>
      <x:c r="B125" s="119" t="n">
        <x:f>VLOOKUP(A125,$A$7:$G$13,6,TRUE)</x:f>
        <x:v>18</x:v>
      </x:c>
      <x:c r="C125" s="119" t="n">
        <x:f>ROUNDUP(('经济参数'!$E$52+(A125-1)*'经济参数'!$E$53)*VLOOKUP(A125,$A$7:$G$13,7,TRUE),0)</x:f>
        <x:v>45220</x:v>
      </x:c>
      <x:c r="D125" s="110" t="n">
        <x:v>1</x:v>
      </x:c>
      <x:c r="E125" s="110" t="n">
        <x:v>1</x:v>
      </x:c>
      <x:c r="F125" s="110" t="n">
        <x:f>IF('使用说明'!$B$4=0,D125,E125)</x:f>
        <x:v>1</x:v>
      </x:c>
      <x:c r="G125" s="62" t="n">
        <x:f>IFERROR(B125/F125,0)</x:f>
        <x:v>18</x:v>
      </x:c>
      <x:c r="H125" s="62" t="n">
        <x:f>IFERROR(C125/F125,0)</x:f>
        <x:v>45220</x:v>
      </x:c>
      <x:c r="I125" s="62" t="n">
        <x:f>SUM(G$19:G125)</x:f>
        <x:v>1176</x:v>
      </x:c>
      <x:c r="J125" s="62" t="n">
        <x:f>SUM(H$19:H125)</x:f>
        <x:v>2138370</x:v>
      </x:c>
      <x:c r="K125" s="62" t="n">
        <x:f>I125*18</x:f>
        <x:v>21168</x:v>
      </x:c>
      <x:c r="L125" s="62" t="n">
        <x:f>J125*18</x:f>
        <x:v>38490660</x:v>
      </x:c>
    </x:row>
    <x:row r="126" ht="23" customHeight="1">
      <x:c r="A126" s="119" t="n">
        <x:v>108</x:v>
      </x:c>
      <x:c r="B126" s="119" t="n">
        <x:f>VLOOKUP(A126,$A$7:$G$13,6,TRUE)</x:f>
        <x:v>18</x:v>
      </x:c>
      <x:c r="C126" s="119" t="n">
        <x:f>ROUNDUP(('经济参数'!$E$52+(A126-1)*'经济参数'!$E$53)*VLOOKUP(A126,$A$7:$G$13,7,TRUE),0)</x:f>
        <x:v>45640</x:v>
      </x:c>
      <x:c r="D126" s="110" t="n">
        <x:v>1</x:v>
      </x:c>
      <x:c r="E126" s="110" t="n">
        <x:v>1</x:v>
      </x:c>
      <x:c r="F126" s="110" t="n">
        <x:f>IF('使用说明'!$B$4=0,D126,E126)</x:f>
        <x:v>1</x:v>
      </x:c>
      <x:c r="G126" s="62" t="n">
        <x:f>IFERROR(B126/F126,0)</x:f>
        <x:v>18</x:v>
      </x:c>
      <x:c r="H126" s="62" t="n">
        <x:f>IFERROR(C126/F126,0)</x:f>
        <x:v>45640</x:v>
      </x:c>
      <x:c r="I126" s="62" t="n">
        <x:f>SUM(G$19:G126)</x:f>
        <x:v>1194</x:v>
      </x:c>
      <x:c r="J126" s="62" t="n">
        <x:f>SUM(H$19:H126)</x:f>
        <x:v>2184010</x:v>
      </x:c>
      <x:c r="K126" s="62" t="n">
        <x:f>I126*18</x:f>
        <x:v>21492</x:v>
      </x:c>
      <x:c r="L126" s="62" t="n">
        <x:f>J126*18</x:f>
        <x:v>39312180</x:v>
      </x:c>
    </x:row>
    <x:row r="127" ht="23" customHeight="1">
      <x:c r="A127" s="119" t="n">
        <x:v>109</x:v>
      </x:c>
      <x:c r="B127" s="119" t="n">
        <x:f>VLOOKUP(A127,$A$7:$G$13,6,TRUE)</x:f>
        <x:v>18</x:v>
      </x:c>
      <x:c r="C127" s="119" t="n">
        <x:f>ROUNDUP(('经济参数'!$E$52+(A127-1)*'经济参数'!$E$53)*VLOOKUP(A127,$A$7:$G$13,7,TRUE),0)</x:f>
        <x:v>46060</x:v>
      </x:c>
      <x:c r="D127" s="110" t="n">
        <x:v>1</x:v>
      </x:c>
      <x:c r="E127" s="110" t="n">
        <x:v>1</x:v>
      </x:c>
      <x:c r="F127" s="110" t="n">
        <x:f>IF('使用说明'!$B$4=0,D127,E127)</x:f>
        <x:v>1</x:v>
      </x:c>
      <x:c r="G127" s="62" t="n">
        <x:f>IFERROR(B127/F127,0)</x:f>
        <x:v>18</x:v>
      </x:c>
      <x:c r="H127" s="62" t="n">
        <x:f>IFERROR(C127/F127,0)</x:f>
        <x:v>46060</x:v>
      </x:c>
      <x:c r="I127" s="62" t="n">
        <x:f>SUM(G$19:G127)</x:f>
        <x:v>1212</x:v>
      </x:c>
      <x:c r="J127" s="62" t="n">
        <x:f>SUM(H$19:H127)</x:f>
        <x:v>2230070</x:v>
      </x:c>
      <x:c r="K127" s="62" t="n">
        <x:f>I127*18</x:f>
        <x:v>21816</x:v>
      </x:c>
      <x:c r="L127" s="62" t="n">
        <x:f>J127*18</x:f>
        <x:v>40141260</x:v>
      </x:c>
    </x:row>
    <x:row r="128" ht="23" customHeight="1">
      <x:c r="A128" s="119" t="n">
        <x:v>110</x:v>
      </x:c>
      <x:c r="B128" s="119" t="n">
        <x:f>VLOOKUP(A128,$A$7:$G$13,6,TRUE)</x:f>
        <x:v>18</x:v>
      </x:c>
      <x:c r="C128" s="119" t="n">
        <x:f>ROUNDUP(('经济参数'!$E$52+(A128-1)*'经济参数'!$E$53)*VLOOKUP(A128,$A$7:$G$13,7,TRUE),0)</x:f>
        <x:v>46480</x:v>
      </x:c>
      <x:c r="D128" s="110" t="n">
        <x:v>1</x:v>
      </x:c>
      <x:c r="E128" s="110" t="n">
        <x:v>1</x:v>
      </x:c>
      <x:c r="F128" s="110" t="n">
        <x:f>IF('使用说明'!$B$4=0,D128,E128)</x:f>
        <x:v>1</x:v>
      </x:c>
      <x:c r="G128" s="62" t="n">
        <x:f>IFERROR(B128/F128,0)</x:f>
        <x:v>18</x:v>
      </x:c>
      <x:c r="H128" s="62" t="n">
        <x:f>IFERROR(C128/F128,0)</x:f>
        <x:v>46480</x:v>
      </x:c>
      <x:c r="I128" s="62" t="n">
        <x:f>SUM(G$19:G128)</x:f>
        <x:v>1230</x:v>
      </x:c>
      <x:c r="J128" s="62" t="n">
        <x:f>SUM(H$19:H128)</x:f>
        <x:v>2276550</x:v>
      </x:c>
      <x:c r="K128" s="62" t="n">
        <x:f>I128*18</x:f>
        <x:v>22140</x:v>
      </x:c>
      <x:c r="L128" s="62" t="n">
        <x:f>J128*18</x:f>
        <x:v>40977900</x:v>
      </x:c>
    </x:row>
    <x:row r="129" ht="23" customHeight="1">
      <x:c r="A129" s="119" t="n">
        <x:v>111</x:v>
      </x:c>
      <x:c r="B129" s="119" t="n">
        <x:f>VLOOKUP(A129,$A$7:$G$13,6,TRUE)</x:f>
        <x:v>18</x:v>
      </x:c>
      <x:c r="C129" s="119" t="n">
        <x:f>ROUNDUP(('经济参数'!$E$52+(A129-1)*'经济参数'!$E$53)*VLOOKUP(A129,$A$7:$G$13,7,TRUE),0)</x:f>
        <x:v>46900</x:v>
      </x:c>
      <x:c r="D129" s="110" t="n">
        <x:v>1</x:v>
      </x:c>
      <x:c r="E129" s="110" t="n">
        <x:v>1</x:v>
      </x:c>
      <x:c r="F129" s="110" t="n">
        <x:f>IF('使用说明'!$B$4=0,D129,E129)</x:f>
        <x:v>1</x:v>
      </x:c>
      <x:c r="G129" s="62" t="n">
        <x:f>IFERROR(B129/F129,0)</x:f>
        <x:v>18</x:v>
      </x:c>
      <x:c r="H129" s="62" t="n">
        <x:f>IFERROR(C129/F129,0)</x:f>
        <x:v>46900</x:v>
      </x:c>
      <x:c r="I129" s="62" t="n">
        <x:f>SUM(G$19:G129)</x:f>
        <x:v>1248</x:v>
      </x:c>
      <x:c r="J129" s="62" t="n">
        <x:f>SUM(H$19:H129)</x:f>
        <x:v>2323450</x:v>
      </x:c>
      <x:c r="K129" s="62" t="n">
        <x:f>I129*18</x:f>
        <x:v>22464</x:v>
      </x:c>
      <x:c r="L129" s="62" t="n">
        <x:f>J129*18</x:f>
        <x:v>41822100</x:v>
      </x:c>
    </x:row>
    <x:row r="130" ht="23" customHeight="1">
      <x:c r="A130" s="119" t="n">
        <x:v>112</x:v>
      </x:c>
      <x:c r="B130" s="119" t="n">
        <x:f>VLOOKUP(A130,$A$7:$G$13,6,TRUE)</x:f>
        <x:v>18</x:v>
      </x:c>
      <x:c r="C130" s="119" t="n">
        <x:f>ROUNDUP(('经济参数'!$E$52+(A130-1)*'经济参数'!$E$53)*VLOOKUP(A130,$A$7:$G$13,7,TRUE),0)</x:f>
        <x:v>47320</x:v>
      </x:c>
      <x:c r="D130" s="110" t="n">
        <x:v>1</x:v>
      </x:c>
      <x:c r="E130" s="110" t="n">
        <x:v>1</x:v>
      </x:c>
      <x:c r="F130" s="110" t="n">
        <x:f>IF('使用说明'!$B$4=0,D130,E130)</x:f>
        <x:v>1</x:v>
      </x:c>
      <x:c r="G130" s="62" t="n">
        <x:f>IFERROR(B130/F130,0)</x:f>
        <x:v>18</x:v>
      </x:c>
      <x:c r="H130" s="62" t="n">
        <x:f>IFERROR(C130/F130,0)</x:f>
        <x:v>47320</x:v>
      </x:c>
      <x:c r="I130" s="62" t="n">
        <x:f>SUM(G$19:G130)</x:f>
        <x:v>1266</x:v>
      </x:c>
      <x:c r="J130" s="62" t="n">
        <x:f>SUM(H$19:H130)</x:f>
        <x:v>2370770</x:v>
      </x:c>
      <x:c r="K130" s="62" t="n">
        <x:f>I130*18</x:f>
        <x:v>22788</x:v>
      </x:c>
      <x:c r="L130" s="62" t="n">
        <x:f>J130*18</x:f>
        <x:v>42673860</x:v>
      </x:c>
    </x:row>
    <x:row r="131" ht="23" customHeight="1">
      <x:c r="A131" s="119" t="n">
        <x:v>113</x:v>
      </x:c>
      <x:c r="B131" s="119" t="n">
        <x:f>VLOOKUP(A131,$A$7:$G$13,6,TRUE)</x:f>
        <x:v>18</x:v>
      </x:c>
      <x:c r="C131" s="119" t="n">
        <x:f>ROUNDUP(('经济参数'!$E$52+(A131-1)*'经济参数'!$E$53)*VLOOKUP(A131,$A$7:$G$13,7,TRUE),0)</x:f>
        <x:v>47740</x:v>
      </x:c>
      <x:c r="D131" s="110" t="n">
        <x:v>1</x:v>
      </x:c>
      <x:c r="E131" s="110" t="n">
        <x:v>1</x:v>
      </x:c>
      <x:c r="F131" s="110" t="n">
        <x:f>IF('使用说明'!$B$4=0,D131,E131)</x:f>
        <x:v>1</x:v>
      </x:c>
      <x:c r="G131" s="62" t="n">
        <x:f>IFERROR(B131/F131,0)</x:f>
        <x:v>18</x:v>
      </x:c>
      <x:c r="H131" s="62" t="n">
        <x:f>IFERROR(C131/F131,0)</x:f>
        <x:v>47740</x:v>
      </x:c>
      <x:c r="I131" s="62" t="n">
        <x:f>SUM(G$19:G131)</x:f>
        <x:v>1284</x:v>
      </x:c>
      <x:c r="J131" s="62" t="n">
        <x:f>SUM(H$19:H131)</x:f>
        <x:v>2418510</x:v>
      </x:c>
      <x:c r="K131" s="62" t="n">
        <x:f>I131*18</x:f>
        <x:v>23112</x:v>
      </x:c>
      <x:c r="L131" s="62" t="n">
        <x:f>J131*18</x:f>
        <x:v>43533180</x:v>
      </x:c>
    </x:row>
    <x:row r="132" ht="23" customHeight="1">
      <x:c r="A132" s="119" t="n">
        <x:v>114</x:v>
      </x:c>
      <x:c r="B132" s="119" t="n">
        <x:f>VLOOKUP(A132,$A$7:$G$13,6,TRUE)</x:f>
        <x:v>18</x:v>
      </x:c>
      <x:c r="C132" s="119" t="n">
        <x:f>ROUNDUP(('经济参数'!$E$52+(A132-1)*'经济参数'!$E$53)*VLOOKUP(A132,$A$7:$G$13,7,TRUE),0)</x:f>
        <x:v>48160</x:v>
      </x:c>
      <x:c r="D132" s="110" t="n">
        <x:v>1</x:v>
      </x:c>
      <x:c r="E132" s="110" t="n">
        <x:v>1</x:v>
      </x:c>
      <x:c r="F132" s="110" t="n">
        <x:f>IF('使用说明'!$B$4=0,D132,E132)</x:f>
        <x:v>1</x:v>
      </x:c>
      <x:c r="G132" s="62" t="n">
        <x:f>IFERROR(B132/F132,0)</x:f>
        <x:v>18</x:v>
      </x:c>
      <x:c r="H132" s="62" t="n">
        <x:f>IFERROR(C132/F132,0)</x:f>
        <x:v>48160</x:v>
      </x:c>
      <x:c r="I132" s="62" t="n">
        <x:f>SUM(G$19:G132)</x:f>
        <x:v>1302</x:v>
      </x:c>
      <x:c r="J132" s="62" t="n">
        <x:f>SUM(H$19:H132)</x:f>
        <x:v>2466670</x:v>
      </x:c>
      <x:c r="K132" s="62" t="n">
        <x:f>I132*18</x:f>
        <x:v>23436</x:v>
      </x:c>
      <x:c r="L132" s="62" t="n">
        <x:f>J132*18</x:f>
        <x:v>44400060</x:v>
      </x:c>
    </x:row>
    <x:row r="133" ht="23" customHeight="1">
      <x:c r="A133" s="119" t="n">
        <x:v>115</x:v>
      </x:c>
      <x:c r="B133" s="119" t="n">
        <x:f>VLOOKUP(A133,$A$7:$G$13,6,TRUE)</x:f>
        <x:v>18</x:v>
      </x:c>
      <x:c r="C133" s="119" t="n">
        <x:f>ROUNDUP(('经济参数'!$E$52+(A133-1)*'经济参数'!$E$53)*VLOOKUP(A133,$A$7:$G$13,7,TRUE),0)</x:f>
        <x:v>48580</x:v>
      </x:c>
      <x:c r="D133" s="110" t="n">
        <x:v>1</x:v>
      </x:c>
      <x:c r="E133" s="110" t="n">
        <x:v>1</x:v>
      </x:c>
      <x:c r="F133" s="110" t="n">
        <x:f>IF('使用说明'!$B$4=0,D133,E133)</x:f>
        <x:v>1</x:v>
      </x:c>
      <x:c r="G133" s="62" t="n">
        <x:f>IFERROR(B133/F133,0)</x:f>
        <x:v>18</x:v>
      </x:c>
      <x:c r="H133" s="62" t="n">
        <x:f>IFERROR(C133/F133,0)</x:f>
        <x:v>48580</x:v>
      </x:c>
      <x:c r="I133" s="62" t="n">
        <x:f>SUM(G$19:G133)</x:f>
        <x:v>1320</x:v>
      </x:c>
      <x:c r="J133" s="62" t="n">
        <x:f>SUM(H$19:H133)</x:f>
        <x:v>2515250</x:v>
      </x:c>
      <x:c r="K133" s="62" t="n">
        <x:f>I133*18</x:f>
        <x:v>23760</x:v>
      </x:c>
      <x:c r="L133" s="62" t="n">
        <x:f>J133*18</x:f>
        <x:v>45274500</x:v>
      </x:c>
    </x:row>
    <x:row r="134" ht="23" customHeight="1">
      <x:c r="A134" s="119" t="n">
        <x:v>116</x:v>
      </x:c>
      <x:c r="B134" s="119" t="n">
        <x:f>VLOOKUP(A134,$A$7:$G$13,6,TRUE)</x:f>
        <x:v>18</x:v>
      </x:c>
      <x:c r="C134" s="119" t="n">
        <x:f>ROUNDUP(('经济参数'!$E$52+(A134-1)*'经济参数'!$E$53)*VLOOKUP(A134,$A$7:$G$13,7,TRUE),0)</x:f>
        <x:v>49000</x:v>
      </x:c>
      <x:c r="D134" s="110" t="n">
        <x:v>1</x:v>
      </x:c>
      <x:c r="E134" s="110" t="n">
        <x:v>1</x:v>
      </x:c>
      <x:c r="F134" s="110" t="n">
        <x:f>IF('使用说明'!$B$4=0,D134,E134)</x:f>
        <x:v>1</x:v>
      </x:c>
      <x:c r="G134" s="62" t="n">
        <x:f>IFERROR(B134/F134,0)</x:f>
        <x:v>18</x:v>
      </x:c>
      <x:c r="H134" s="62" t="n">
        <x:f>IFERROR(C134/F134,0)</x:f>
        <x:v>49000</x:v>
      </x:c>
      <x:c r="I134" s="62" t="n">
        <x:f>SUM(G$19:G134)</x:f>
        <x:v>1338</x:v>
      </x:c>
      <x:c r="J134" s="62" t="n">
        <x:f>SUM(H$19:H134)</x:f>
        <x:v>2564250</x:v>
      </x:c>
      <x:c r="K134" s="62" t="n">
        <x:f>I134*18</x:f>
        <x:v>24084</x:v>
      </x:c>
      <x:c r="L134" s="62" t="n">
        <x:f>J134*18</x:f>
        <x:v>46156500</x:v>
      </x:c>
    </x:row>
    <x:row r="135" ht="23" customHeight="1">
      <x:c r="A135" s="119" t="n">
        <x:v>117</x:v>
      </x:c>
      <x:c r="B135" s="119" t="n">
        <x:f>VLOOKUP(A135,$A$7:$G$13,6,TRUE)</x:f>
        <x:v>18</x:v>
      </x:c>
      <x:c r="C135" s="119" t="n">
        <x:f>ROUNDUP(('经济参数'!$E$52+(A135-1)*'经济参数'!$E$53)*VLOOKUP(A135,$A$7:$G$13,7,TRUE),0)</x:f>
        <x:v>49420</x:v>
      </x:c>
      <x:c r="D135" s="110" t="n">
        <x:v>1</x:v>
      </x:c>
      <x:c r="E135" s="110" t="n">
        <x:v>1</x:v>
      </x:c>
      <x:c r="F135" s="110" t="n">
        <x:f>IF('使用说明'!$B$4=0,D135,E135)</x:f>
        <x:v>1</x:v>
      </x:c>
      <x:c r="G135" s="62" t="n">
        <x:f>IFERROR(B135/F135,0)</x:f>
        <x:v>18</x:v>
      </x:c>
      <x:c r="H135" s="62" t="n">
        <x:f>IFERROR(C135/F135,0)</x:f>
        <x:v>49420</x:v>
      </x:c>
      <x:c r="I135" s="62" t="n">
        <x:f>SUM(G$19:G135)</x:f>
        <x:v>1356</x:v>
      </x:c>
      <x:c r="J135" s="62" t="n">
        <x:f>SUM(H$19:H135)</x:f>
        <x:v>2613670</x:v>
      </x:c>
      <x:c r="K135" s="62" t="n">
        <x:f>I135*18</x:f>
        <x:v>24408</x:v>
      </x:c>
      <x:c r="L135" s="62" t="n">
        <x:f>J135*18</x:f>
        <x:v>47046060</x:v>
      </x:c>
    </x:row>
    <x:row r="136" ht="23" customHeight="1">
      <x:c r="A136" s="119" t="n">
        <x:v>118</x:v>
      </x:c>
      <x:c r="B136" s="119" t="n">
        <x:f>VLOOKUP(A136,$A$7:$G$13,6,TRUE)</x:f>
        <x:v>18</x:v>
      </x:c>
      <x:c r="C136" s="119" t="n">
        <x:f>ROUNDUP(('经济参数'!$E$52+(A136-1)*'经济参数'!$E$53)*VLOOKUP(A136,$A$7:$G$13,7,TRUE),0)</x:f>
        <x:v>49840</x:v>
      </x:c>
      <x:c r="D136" s="110" t="n">
        <x:v>1</x:v>
      </x:c>
      <x:c r="E136" s="110" t="n">
        <x:v>1</x:v>
      </x:c>
      <x:c r="F136" s="110" t="n">
        <x:f>IF('使用说明'!$B$4=0,D136,E136)</x:f>
        <x:v>1</x:v>
      </x:c>
      <x:c r="G136" s="62" t="n">
        <x:f>IFERROR(B136/F136,0)</x:f>
        <x:v>18</x:v>
      </x:c>
      <x:c r="H136" s="62" t="n">
        <x:f>IFERROR(C136/F136,0)</x:f>
        <x:v>49840</x:v>
      </x:c>
      <x:c r="I136" s="62" t="n">
        <x:f>SUM(G$19:G136)</x:f>
        <x:v>1374</x:v>
      </x:c>
      <x:c r="J136" s="62" t="n">
        <x:f>SUM(H$19:H136)</x:f>
        <x:v>2663510</x:v>
      </x:c>
      <x:c r="K136" s="62" t="n">
        <x:f>I136*18</x:f>
        <x:v>24732</x:v>
      </x:c>
      <x:c r="L136" s="62" t="n">
        <x:f>J136*18</x:f>
        <x:v>47943180</x:v>
      </x:c>
    </x:row>
    <x:row r="137" ht="23" customHeight="1">
      <x:c r="A137" s="119" t="n">
        <x:v>119</x:v>
      </x:c>
      <x:c r="B137" s="119" t="n">
        <x:f>VLOOKUP(A137,$A$7:$G$13,6,TRUE)</x:f>
        <x:v>18</x:v>
      </x:c>
      <x:c r="C137" s="119" t="n">
        <x:f>ROUNDUP(('经济参数'!$E$52+(A137-1)*'经济参数'!$E$53)*VLOOKUP(A137,$A$7:$G$13,7,TRUE),0)</x:f>
        <x:v>50260</x:v>
      </x:c>
      <x:c r="D137" s="110" t="n">
        <x:v>1</x:v>
      </x:c>
      <x:c r="E137" s="110" t="n">
        <x:v>1</x:v>
      </x:c>
      <x:c r="F137" s="110" t="n">
        <x:f>IF('使用说明'!$B$4=0,D137,E137)</x:f>
        <x:v>1</x:v>
      </x:c>
      <x:c r="G137" s="62" t="n">
        <x:f>IFERROR(B137/F137,0)</x:f>
        <x:v>18</x:v>
      </x:c>
      <x:c r="H137" s="62" t="n">
        <x:f>IFERROR(C137/F137,0)</x:f>
        <x:v>50260</x:v>
      </x:c>
      <x:c r="I137" s="62" t="n">
        <x:f>SUM(G$19:G137)</x:f>
        <x:v>1392</x:v>
      </x:c>
      <x:c r="J137" s="62" t="n">
        <x:f>SUM(H$19:H137)</x:f>
        <x:v>2713770</x:v>
      </x:c>
      <x:c r="K137" s="62" t="n">
        <x:f>I137*18</x:f>
        <x:v>25056</x:v>
      </x:c>
      <x:c r="L137" s="62" t="n">
        <x:f>J137*18</x:f>
        <x:v>48847860</x:v>
      </x:c>
    </x:row>
    <x:row r="138" ht="23" customHeight="1">
      <x:c r="A138" s="119" t="n">
        <x:v>120</x:v>
      </x:c>
      <x:c r="B138" s="119" t="n">
        <x:f>VLOOKUP(A138,$A$7:$G$13,6,TRUE)</x:f>
        <x:v>18</x:v>
      </x:c>
      <x:c r="C138" s="119" t="n">
        <x:f>ROUNDUP(('经济参数'!$E$52+(A138-1)*'经济参数'!$E$53)*VLOOKUP(A138,$A$7:$G$13,7,TRUE),0)</x:f>
        <x:v>50680</x:v>
      </x:c>
      <x:c r="D138" s="110" t="n">
        <x:v>1</x:v>
      </x:c>
      <x:c r="E138" s="110" t="n">
        <x:v>1</x:v>
      </x:c>
      <x:c r="F138" s="110" t="n">
        <x:f>IF('使用说明'!$B$4=0,D138,E138)</x:f>
        <x:v>1</x:v>
      </x:c>
      <x:c r="G138" s="62" t="n">
        <x:f>IFERROR(B138/F138,0)</x:f>
        <x:v>18</x:v>
      </x:c>
      <x:c r="H138" s="62" t="n">
        <x:f>IFERROR(C138/F138,0)</x:f>
        <x:v>50680</x:v>
      </x:c>
      <x:c r="I138" s="62" t="n">
        <x:f>SUM(G$19:G138)</x:f>
        <x:v>1410</x:v>
      </x:c>
      <x:c r="J138" s="62" t="n">
        <x:f>SUM(H$19:H138)</x:f>
        <x:v>2764450</x:v>
      </x:c>
      <x:c r="K138" s="62" t="n">
        <x:f>I138*18</x:f>
        <x:v>25380</x:v>
      </x:c>
      <x:c r="L138" s="62" t="n">
        <x:f>J138*18</x:f>
        <x:v>49760100</x:v>
      </x:c>
    </x:row>
    <x:row r="139" ht="23" customHeight="1">
      <x:c r="A139" s="119" t="n">
        <x:v>121</x:v>
      </x:c>
      <x:c r="B139" s="119" t="n">
        <x:f>VLOOKUP(A139,$A$7:$G$13,6,TRUE)</x:f>
        <x:v>18</x:v>
      </x:c>
      <x:c r="C139" s="119" t="n">
        <x:f>ROUNDUP(('经济参数'!$E$52+(A139-1)*'经济参数'!$E$53)*VLOOKUP(A139,$A$7:$G$13,7,TRUE),0)</x:f>
        <x:v>51100</x:v>
      </x:c>
      <x:c r="D139" s="110" t="n">
        <x:v>1</x:v>
      </x:c>
      <x:c r="E139" s="110" t="n">
        <x:v>1</x:v>
      </x:c>
      <x:c r="F139" s="110" t="n">
        <x:f>IF('使用说明'!$B$4=0,D139,E139)</x:f>
        <x:v>1</x:v>
      </x:c>
      <x:c r="G139" s="62" t="n">
        <x:f>IFERROR(B139/F139,0)</x:f>
        <x:v>18</x:v>
      </x:c>
      <x:c r="H139" s="62" t="n">
        <x:f>IFERROR(C139/F139,0)</x:f>
        <x:v>51100</x:v>
      </x:c>
      <x:c r="I139" s="62" t="n">
        <x:f>SUM(G$19:G139)</x:f>
        <x:v>1428</x:v>
      </x:c>
      <x:c r="J139" s="62" t="n">
        <x:f>SUM(H$19:H139)</x:f>
        <x:v>2815550</x:v>
      </x:c>
      <x:c r="K139" s="62" t="n">
        <x:f>I139*18</x:f>
        <x:v>25704</x:v>
      </x:c>
      <x:c r="L139" s="62" t="n">
        <x:f>J139*18</x:f>
        <x:v>50679900</x:v>
      </x:c>
    </x:row>
    <x:row r="140" ht="23" customHeight="1">
      <x:c r="A140" s="119" t="n">
        <x:v>122</x:v>
      </x:c>
      <x:c r="B140" s="119" t="n">
        <x:f>VLOOKUP(A140,$A$7:$G$13,6,TRUE)</x:f>
        <x:v>18</x:v>
      </x:c>
      <x:c r="C140" s="119" t="n">
        <x:f>ROUNDUP(('经济参数'!$E$52+(A140-1)*'经济参数'!$E$53)*VLOOKUP(A140,$A$7:$G$13,7,TRUE),0)</x:f>
        <x:v>51520</x:v>
      </x:c>
      <x:c r="D140" s="110" t="n">
        <x:v>1</x:v>
      </x:c>
      <x:c r="E140" s="110" t="n">
        <x:v>1</x:v>
      </x:c>
      <x:c r="F140" s="110" t="n">
        <x:f>IF('使用说明'!$B$4=0,D140,E140)</x:f>
        <x:v>1</x:v>
      </x:c>
      <x:c r="G140" s="62" t="n">
        <x:f>IFERROR(B140/F140,0)</x:f>
        <x:v>18</x:v>
      </x:c>
      <x:c r="H140" s="62" t="n">
        <x:f>IFERROR(C140/F140,0)</x:f>
        <x:v>51520</x:v>
      </x:c>
      <x:c r="I140" s="62" t="n">
        <x:f>SUM(G$19:G140)</x:f>
        <x:v>1446</x:v>
      </x:c>
      <x:c r="J140" s="62" t="n">
        <x:f>SUM(H$19:H140)</x:f>
        <x:v>2867070</x:v>
      </x:c>
      <x:c r="K140" s="62" t="n">
        <x:f>I140*18</x:f>
        <x:v>26028</x:v>
      </x:c>
      <x:c r="L140" s="62" t="n">
        <x:f>J140*18</x:f>
        <x:v>51607260</x:v>
      </x:c>
    </x:row>
    <x:row r="141" ht="23" customHeight="1">
      <x:c r="A141" s="119" t="n">
        <x:v>123</x:v>
      </x:c>
      <x:c r="B141" s="119" t="n">
        <x:f>VLOOKUP(A141,$A$7:$G$13,6,TRUE)</x:f>
        <x:v>18</x:v>
      </x:c>
      <x:c r="C141" s="119" t="n">
        <x:f>ROUNDUP(('经济参数'!$E$52+(A141-1)*'经济参数'!$E$53)*VLOOKUP(A141,$A$7:$G$13,7,TRUE),0)</x:f>
        <x:v>51940</x:v>
      </x:c>
      <x:c r="D141" s="110" t="n">
        <x:v>1</x:v>
      </x:c>
      <x:c r="E141" s="110" t="n">
        <x:v>1</x:v>
      </x:c>
      <x:c r="F141" s="110" t="n">
        <x:f>IF('使用说明'!$B$4=0,D141,E141)</x:f>
        <x:v>1</x:v>
      </x:c>
      <x:c r="G141" s="62" t="n">
        <x:f>IFERROR(B141/F141,0)</x:f>
        <x:v>18</x:v>
      </x:c>
      <x:c r="H141" s="62" t="n">
        <x:f>IFERROR(C141/F141,0)</x:f>
        <x:v>51940</x:v>
      </x:c>
      <x:c r="I141" s="62" t="n">
        <x:f>SUM(G$19:G141)</x:f>
        <x:v>1464</x:v>
      </x:c>
      <x:c r="J141" s="62" t="n">
        <x:f>SUM(H$19:H141)</x:f>
        <x:v>2919010</x:v>
      </x:c>
      <x:c r="K141" s="62" t="n">
        <x:f>I141*18</x:f>
        <x:v>26352</x:v>
      </x:c>
      <x:c r="L141" s="62" t="n">
        <x:f>J141*18</x:f>
        <x:v>52542180</x:v>
      </x:c>
    </x:row>
    <x:row r="142" ht="23" customHeight="1">
      <x:c r="A142" s="119" t="n">
        <x:v>124</x:v>
      </x:c>
      <x:c r="B142" s="119" t="n">
        <x:f>VLOOKUP(A142,$A$7:$G$13,6,TRUE)</x:f>
        <x:v>18</x:v>
      </x:c>
      <x:c r="C142" s="119" t="n">
        <x:f>ROUNDUP(('经济参数'!$E$52+(A142-1)*'经济参数'!$E$53)*VLOOKUP(A142,$A$7:$G$13,7,TRUE),0)</x:f>
        <x:v>52360</x:v>
      </x:c>
      <x:c r="D142" s="110" t="n">
        <x:v>1</x:v>
      </x:c>
      <x:c r="E142" s="110" t="n">
        <x:v>1</x:v>
      </x:c>
      <x:c r="F142" s="110" t="n">
        <x:f>IF('使用说明'!$B$4=0,D142,E142)</x:f>
        <x:v>1</x:v>
      </x:c>
      <x:c r="G142" s="62" t="n">
        <x:f>IFERROR(B142/F142,0)</x:f>
        <x:v>18</x:v>
      </x:c>
      <x:c r="H142" s="62" t="n">
        <x:f>IFERROR(C142/F142,0)</x:f>
        <x:v>52360</x:v>
      </x:c>
      <x:c r="I142" s="62" t="n">
        <x:f>SUM(G$19:G142)</x:f>
        <x:v>1482</x:v>
      </x:c>
      <x:c r="J142" s="62" t="n">
        <x:f>SUM(H$19:H142)</x:f>
        <x:v>2971370</x:v>
      </x:c>
      <x:c r="K142" s="62" t="n">
        <x:f>I142*18</x:f>
        <x:v>26676</x:v>
      </x:c>
      <x:c r="L142" s="62" t="n">
        <x:f>J142*18</x:f>
        <x:v>53484660</x:v>
      </x:c>
    </x:row>
    <x:row r="143" ht="23" customHeight="1">
      <x:c r="A143" s="119" t="n">
        <x:v>125</x:v>
      </x:c>
      <x:c r="B143" s="119" t="n">
        <x:f>VLOOKUP(A143,$A$7:$G$13,6,TRUE)</x:f>
        <x:v>18</x:v>
      </x:c>
      <x:c r="C143" s="119" t="n">
        <x:f>ROUNDUP(('经济参数'!$E$52+(A143-1)*'经济参数'!$E$53)*VLOOKUP(A143,$A$7:$G$13,7,TRUE),0)</x:f>
        <x:v>52780</x:v>
      </x:c>
      <x:c r="D143" s="110" t="n">
        <x:v>1</x:v>
      </x:c>
      <x:c r="E143" s="110" t="n">
        <x:v>1</x:v>
      </x:c>
      <x:c r="F143" s="110" t="n">
        <x:f>IF('使用说明'!$B$4=0,D143,E143)</x:f>
        <x:v>1</x:v>
      </x:c>
      <x:c r="G143" s="62" t="n">
        <x:f>IFERROR(B143/F143,0)</x:f>
        <x:v>18</x:v>
      </x:c>
      <x:c r="H143" s="62" t="n">
        <x:f>IFERROR(C143/F143,0)</x:f>
        <x:v>52780</x:v>
      </x:c>
      <x:c r="I143" s="62" t="n">
        <x:f>SUM(G$19:G143)</x:f>
        <x:v>1500</x:v>
      </x:c>
      <x:c r="J143" s="62" t="n">
        <x:f>SUM(H$19:H143)</x:f>
        <x:v>3024150</x:v>
      </x:c>
      <x:c r="K143" s="62" t="n">
        <x:f>I143*18</x:f>
        <x:v>27000</x:v>
      </x:c>
      <x:c r="L143" s="62" t="n">
        <x:f>J143*18</x:f>
        <x:v>54434700</x:v>
      </x:c>
    </x:row>
    <x:row r="144" ht="23" customHeight="1">
      <x:c r="A144" s="119" t="n">
        <x:v>126</x:v>
      </x:c>
      <x:c r="B144" s="119" t="n">
        <x:f>VLOOKUP(A144,$A$7:$G$13,6,TRUE)</x:f>
        <x:v>18</x:v>
      </x:c>
      <x:c r="C144" s="119" t="n">
        <x:f>ROUNDUP(('经济参数'!$E$52+(A144-1)*'经济参数'!$E$53)*VLOOKUP(A144,$A$7:$G$13,7,TRUE),0)</x:f>
        <x:v>53200</x:v>
      </x:c>
      <x:c r="D144" s="110" t="n">
        <x:v>1</x:v>
      </x:c>
      <x:c r="E144" s="110" t="n">
        <x:v>1</x:v>
      </x:c>
      <x:c r="F144" s="110" t="n">
        <x:f>IF('使用说明'!$B$4=0,D144,E144)</x:f>
        <x:v>1</x:v>
      </x:c>
      <x:c r="G144" s="62" t="n">
        <x:f>IFERROR(B144/F144,0)</x:f>
        <x:v>18</x:v>
      </x:c>
      <x:c r="H144" s="62" t="n">
        <x:f>IFERROR(C144/F144,0)</x:f>
        <x:v>53200</x:v>
      </x:c>
      <x:c r="I144" s="62" t="n">
        <x:f>SUM(G$19:G144)</x:f>
        <x:v>1518</x:v>
      </x:c>
      <x:c r="J144" s="62" t="n">
        <x:f>SUM(H$19:H144)</x:f>
        <x:v>3077350</x:v>
      </x:c>
      <x:c r="K144" s="62" t="n">
        <x:f>I144*18</x:f>
        <x:v>27324</x:v>
      </x:c>
      <x:c r="L144" s="62" t="n">
        <x:f>J144*18</x:f>
        <x:v>55392300</x:v>
      </x:c>
    </x:row>
    <x:row r="145" ht="23" customHeight="1">
      <x:c r="A145" s="119" t="n">
        <x:v>127</x:v>
      </x:c>
      <x:c r="B145" s="119" t="n">
        <x:f>VLOOKUP(A145,$A$7:$G$13,6,TRUE)</x:f>
        <x:v>18</x:v>
      </x:c>
      <x:c r="C145" s="119" t="n">
        <x:f>ROUNDUP(('经济参数'!$E$52+(A145-1)*'经济参数'!$E$53)*VLOOKUP(A145,$A$7:$G$13,7,TRUE),0)</x:f>
        <x:v>53620</x:v>
      </x:c>
      <x:c r="D145" s="110" t="n">
        <x:v>1</x:v>
      </x:c>
      <x:c r="E145" s="110" t="n">
        <x:v>1</x:v>
      </x:c>
      <x:c r="F145" s="110" t="n">
        <x:f>IF('使用说明'!$B$4=0,D145,E145)</x:f>
        <x:v>1</x:v>
      </x:c>
      <x:c r="G145" s="62" t="n">
        <x:f>IFERROR(B145/F145,0)</x:f>
        <x:v>18</x:v>
      </x:c>
      <x:c r="H145" s="62" t="n">
        <x:f>IFERROR(C145/F145,0)</x:f>
        <x:v>53620</x:v>
      </x:c>
      <x:c r="I145" s="62" t="n">
        <x:f>SUM(G$19:G145)</x:f>
        <x:v>1536</x:v>
      </x:c>
      <x:c r="J145" s="62" t="n">
        <x:f>SUM(H$19:H145)</x:f>
        <x:v>3130970</x:v>
      </x:c>
      <x:c r="K145" s="62" t="n">
        <x:f>I145*18</x:f>
        <x:v>27648</x:v>
      </x:c>
      <x:c r="L145" s="62" t="n">
        <x:f>J145*18</x:f>
        <x:v>56357460</x:v>
      </x:c>
    </x:row>
    <x:row r="146" ht="23" customHeight="1">
      <x:c r="A146" s="119" t="n">
        <x:v>128</x:v>
      </x:c>
      <x:c r="B146" s="119" t="n">
        <x:f>VLOOKUP(A146,$A$7:$G$13,6,TRUE)</x:f>
        <x:v>18</x:v>
      </x:c>
      <x:c r="C146" s="119" t="n">
        <x:f>ROUNDUP(('经济参数'!$E$52+(A146-1)*'经济参数'!$E$53)*VLOOKUP(A146,$A$7:$G$13,7,TRUE),0)</x:f>
        <x:v>54040</x:v>
      </x:c>
      <x:c r="D146" s="110" t="n">
        <x:v>1</x:v>
      </x:c>
      <x:c r="E146" s="110" t="n">
        <x:v>1</x:v>
      </x:c>
      <x:c r="F146" s="110" t="n">
        <x:f>IF('使用说明'!$B$4=0,D146,E146)</x:f>
        <x:v>1</x:v>
      </x:c>
      <x:c r="G146" s="62" t="n">
        <x:f>IFERROR(B146/F146,0)</x:f>
        <x:v>18</x:v>
      </x:c>
      <x:c r="H146" s="62" t="n">
        <x:f>IFERROR(C146/F146,0)</x:f>
        <x:v>54040</x:v>
      </x:c>
      <x:c r="I146" s="62" t="n">
        <x:f>SUM(G$19:G146)</x:f>
        <x:v>1554</x:v>
      </x:c>
      <x:c r="J146" s="62" t="n">
        <x:f>SUM(H$19:H146)</x:f>
        <x:v>3185010</x:v>
      </x:c>
      <x:c r="K146" s="62" t="n">
        <x:f>I146*18</x:f>
        <x:v>27972</x:v>
      </x:c>
      <x:c r="L146" s="62" t="n">
        <x:f>J146*18</x:f>
        <x:v>57330180</x:v>
      </x:c>
    </x:row>
    <x:row r="147" ht="23" customHeight="1">
      <x:c r="A147" s="119" t="n">
        <x:v>129</x:v>
      </x:c>
      <x:c r="B147" s="119" t="n">
        <x:f>VLOOKUP(A147,$A$7:$G$13,6,TRUE)</x:f>
        <x:v>18</x:v>
      </x:c>
      <x:c r="C147" s="119" t="n">
        <x:f>ROUNDUP(('经济参数'!$E$52+(A147-1)*'经济参数'!$E$53)*VLOOKUP(A147,$A$7:$G$13,7,TRUE),0)</x:f>
        <x:v>54460</x:v>
      </x:c>
      <x:c r="D147" s="110" t="n">
        <x:v>1</x:v>
      </x:c>
      <x:c r="E147" s="110" t="n">
        <x:v>1</x:v>
      </x:c>
      <x:c r="F147" s="110" t="n">
        <x:f>IF('使用说明'!$B$4=0,D147,E147)</x:f>
        <x:v>1</x:v>
      </x:c>
      <x:c r="G147" s="62" t="n">
        <x:f>IFERROR(B147/F147,0)</x:f>
        <x:v>18</x:v>
      </x:c>
      <x:c r="H147" s="62" t="n">
        <x:f>IFERROR(C147/F147,0)</x:f>
        <x:v>54460</x:v>
      </x:c>
      <x:c r="I147" s="62" t="n">
        <x:f>SUM(G$19:G147)</x:f>
        <x:v>1572</x:v>
      </x:c>
      <x:c r="J147" s="62" t="n">
        <x:f>SUM(H$19:H147)</x:f>
        <x:v>3239470</x:v>
      </x:c>
      <x:c r="K147" s="62" t="n">
        <x:f>I147*18</x:f>
        <x:v>28296</x:v>
      </x:c>
      <x:c r="L147" s="62" t="n">
        <x:f>J147*18</x:f>
        <x:v>58310460</x:v>
      </x:c>
    </x:row>
    <x:row r="148" ht="23" customHeight="1">
      <x:c r="A148" s="119" t="n">
        <x:v>130</x:v>
      </x:c>
      <x:c r="B148" s="119" t="n">
        <x:f>VLOOKUP(A148,$A$7:$G$13,6,TRUE)</x:f>
        <x:v>18</x:v>
      </x:c>
      <x:c r="C148" s="119" t="n">
        <x:f>ROUNDUP(('经济参数'!$E$52+(A148-1)*'经济参数'!$E$53)*VLOOKUP(A148,$A$7:$G$13,7,TRUE),0)</x:f>
        <x:v>54880</x:v>
      </x:c>
      <x:c r="D148" s="110" t="n">
        <x:v>1</x:v>
      </x:c>
      <x:c r="E148" s="110" t="n">
        <x:v>1</x:v>
      </x:c>
      <x:c r="F148" s="110" t="n">
        <x:f>IF('使用说明'!$B$4=0,D148,E148)</x:f>
        <x:v>1</x:v>
      </x:c>
      <x:c r="G148" s="62" t="n">
        <x:f>IFERROR(B148/F148,0)</x:f>
        <x:v>18</x:v>
      </x:c>
      <x:c r="H148" s="62" t="n">
        <x:f>IFERROR(C148/F148,0)</x:f>
        <x:v>54880</x:v>
      </x:c>
      <x:c r="I148" s="62" t="n">
        <x:f>SUM(G$19:G148)</x:f>
        <x:v>1590</x:v>
      </x:c>
      <x:c r="J148" s="62" t="n">
        <x:f>SUM(H$19:H148)</x:f>
        <x:v>3294350</x:v>
      </x:c>
      <x:c r="K148" s="62" t="n">
        <x:f>I148*18</x:f>
        <x:v>28620</x:v>
      </x:c>
      <x:c r="L148" s="62" t="n">
        <x:f>J148*18</x:f>
        <x:v>59298300</x:v>
      </x:c>
    </x:row>
    <x:row r="149" ht="23" customHeight="1">
      <x:c r="A149" s="119" t="n">
        <x:v>131</x:v>
      </x:c>
      <x:c r="B149" s="119" t="n">
        <x:f>VLOOKUP(A149,$A$7:$G$13,6,TRUE)</x:f>
        <x:v>18</x:v>
      </x:c>
      <x:c r="C149" s="119" t="n">
        <x:f>ROUNDUP(('经济参数'!$E$52+(A149-1)*'经济参数'!$E$53)*VLOOKUP(A149,$A$7:$G$13,7,TRUE),0)</x:f>
        <x:v>55300</x:v>
      </x:c>
      <x:c r="D149" s="110" t="n">
        <x:v>1</x:v>
      </x:c>
      <x:c r="E149" s="110" t="n">
        <x:v>1</x:v>
      </x:c>
      <x:c r="F149" s="110" t="n">
        <x:f>IF('使用说明'!$B$4=0,D149,E149)</x:f>
        <x:v>1</x:v>
      </x:c>
      <x:c r="G149" s="62" t="n">
        <x:f>IFERROR(B149/F149,0)</x:f>
        <x:v>18</x:v>
      </x:c>
      <x:c r="H149" s="62" t="n">
        <x:f>IFERROR(C149/F149,0)</x:f>
        <x:v>55300</x:v>
      </x:c>
      <x:c r="I149" s="62" t="n">
        <x:f>SUM(G$19:G149)</x:f>
        <x:v>1608</x:v>
      </x:c>
      <x:c r="J149" s="62" t="n">
        <x:f>SUM(H$19:H149)</x:f>
        <x:v>3349650</x:v>
      </x:c>
      <x:c r="K149" s="62" t="n">
        <x:f>I149*18</x:f>
        <x:v>28944</x:v>
      </x:c>
      <x:c r="L149" s="62" t="n">
        <x:f>J149*18</x:f>
        <x:v>60293700</x:v>
      </x:c>
    </x:row>
    <x:row r="150" ht="23" customHeight="1">
      <x:c r="A150" s="119" t="n">
        <x:v>132</x:v>
      </x:c>
      <x:c r="B150" s="119" t="n">
        <x:f>VLOOKUP(A150,$A$7:$G$13,6,TRUE)</x:f>
        <x:v>18</x:v>
      </x:c>
      <x:c r="C150" s="119" t="n">
        <x:f>ROUNDUP(('经济参数'!$E$52+(A150-1)*'经济参数'!$E$53)*VLOOKUP(A150,$A$7:$G$13,7,TRUE),0)</x:f>
        <x:v>55720</x:v>
      </x:c>
      <x:c r="D150" s="110" t="n">
        <x:v>1</x:v>
      </x:c>
      <x:c r="E150" s="110" t="n">
        <x:v>1</x:v>
      </x:c>
      <x:c r="F150" s="110" t="n">
        <x:f>IF('使用说明'!$B$4=0,D150,E150)</x:f>
        <x:v>1</x:v>
      </x:c>
      <x:c r="G150" s="62" t="n">
        <x:f>IFERROR(B150/F150,0)</x:f>
        <x:v>18</x:v>
      </x:c>
      <x:c r="H150" s="62" t="n">
        <x:f>IFERROR(C150/F150,0)</x:f>
        <x:v>55720</x:v>
      </x:c>
      <x:c r="I150" s="62" t="n">
        <x:f>SUM(G$19:G150)</x:f>
        <x:v>1626</x:v>
      </x:c>
      <x:c r="J150" s="62" t="n">
        <x:f>SUM(H$19:H150)</x:f>
        <x:v>3405370</x:v>
      </x:c>
      <x:c r="K150" s="62" t="n">
        <x:f>I150*18</x:f>
        <x:v>29268</x:v>
      </x:c>
      <x:c r="L150" s="62" t="n">
        <x:f>J150*18</x:f>
        <x:v>61296660</x:v>
      </x:c>
    </x:row>
    <x:row r="151" ht="23" customHeight="1">
      <x:c r="A151" s="119" t="n">
        <x:v>133</x:v>
      </x:c>
      <x:c r="B151" s="119" t="n">
        <x:f>VLOOKUP(A151,$A$7:$G$13,6,TRUE)</x:f>
        <x:v>18</x:v>
      </x:c>
      <x:c r="C151" s="119" t="n">
        <x:f>ROUNDUP(('经济参数'!$E$52+(A151-1)*'经济参数'!$E$53)*VLOOKUP(A151,$A$7:$G$13,7,TRUE),0)</x:f>
        <x:v>56140</x:v>
      </x:c>
      <x:c r="D151" s="110" t="n">
        <x:v>1</x:v>
      </x:c>
      <x:c r="E151" s="110" t="n">
        <x:v>1</x:v>
      </x:c>
      <x:c r="F151" s="110" t="n">
        <x:f>IF('使用说明'!$B$4=0,D151,E151)</x:f>
        <x:v>1</x:v>
      </x:c>
      <x:c r="G151" s="62" t="n">
        <x:f>IFERROR(B151/F151,0)</x:f>
        <x:v>18</x:v>
      </x:c>
      <x:c r="H151" s="62" t="n">
        <x:f>IFERROR(C151/F151,0)</x:f>
        <x:v>56140</x:v>
      </x:c>
      <x:c r="I151" s="62" t="n">
        <x:f>SUM(G$19:G151)</x:f>
        <x:v>1644</x:v>
      </x:c>
      <x:c r="J151" s="62" t="n">
        <x:f>SUM(H$19:H151)</x:f>
        <x:v>3461510</x:v>
      </x:c>
      <x:c r="K151" s="62" t="n">
        <x:f>I151*18</x:f>
        <x:v>29592</x:v>
      </x:c>
      <x:c r="L151" s="62" t="n">
        <x:f>J151*18</x:f>
        <x:v>62307180</x:v>
      </x:c>
    </x:row>
    <x:row r="152" ht="23" customHeight="1">
      <x:c r="A152" s="119" t="n">
        <x:v>134</x:v>
      </x:c>
      <x:c r="B152" s="119" t="n">
        <x:f>VLOOKUP(A152,$A$7:$G$13,6,TRUE)</x:f>
        <x:v>18</x:v>
      </x:c>
      <x:c r="C152" s="119" t="n">
        <x:f>ROUNDUP(('经济参数'!$E$52+(A152-1)*'经济参数'!$E$53)*VLOOKUP(A152,$A$7:$G$13,7,TRUE),0)</x:f>
        <x:v>56560</x:v>
      </x:c>
      <x:c r="D152" s="110" t="n">
        <x:v>1</x:v>
      </x:c>
      <x:c r="E152" s="110" t="n">
        <x:v>1</x:v>
      </x:c>
      <x:c r="F152" s="110" t="n">
        <x:f>IF('使用说明'!$B$4=0,D152,E152)</x:f>
        <x:v>1</x:v>
      </x:c>
      <x:c r="G152" s="62" t="n">
        <x:f>IFERROR(B152/F152,0)</x:f>
        <x:v>18</x:v>
      </x:c>
      <x:c r="H152" s="62" t="n">
        <x:f>IFERROR(C152/F152,0)</x:f>
        <x:v>56560</x:v>
      </x:c>
      <x:c r="I152" s="62" t="n">
        <x:f>SUM(G$19:G152)</x:f>
        <x:v>1662</x:v>
      </x:c>
      <x:c r="J152" s="62" t="n">
        <x:f>SUM(H$19:H152)</x:f>
        <x:v>3518070</x:v>
      </x:c>
      <x:c r="K152" s="62" t="n">
        <x:f>I152*18</x:f>
        <x:v>29916</x:v>
      </x:c>
      <x:c r="L152" s="62" t="n">
        <x:f>J152*18</x:f>
        <x:v>63325260</x:v>
      </x:c>
    </x:row>
    <x:row r="153" ht="23" customHeight="1">
      <x:c r="A153" s="119" t="n">
        <x:v>135</x:v>
      </x:c>
      <x:c r="B153" s="119" t="n">
        <x:f>VLOOKUP(A153,$A$7:$G$13,6,TRUE)</x:f>
        <x:v>18</x:v>
      </x:c>
      <x:c r="C153" s="119" t="n">
        <x:f>ROUNDUP(('经济参数'!$E$52+(A153-1)*'经济参数'!$E$53)*VLOOKUP(A153,$A$7:$G$13,7,TRUE),0)</x:f>
        <x:v>56980</x:v>
      </x:c>
      <x:c r="D153" s="110" t="n">
        <x:v>1</x:v>
      </x:c>
      <x:c r="E153" s="110" t="n">
        <x:v>1</x:v>
      </x:c>
      <x:c r="F153" s="110" t="n">
        <x:f>IF('使用说明'!$B$4=0,D153,E153)</x:f>
        <x:v>1</x:v>
      </x:c>
      <x:c r="G153" s="62" t="n">
        <x:f>IFERROR(B153/F153,0)</x:f>
        <x:v>18</x:v>
      </x:c>
      <x:c r="H153" s="62" t="n">
        <x:f>IFERROR(C153/F153,0)</x:f>
        <x:v>56980</x:v>
      </x:c>
      <x:c r="I153" s="62" t="n">
        <x:f>SUM(G$19:G153)</x:f>
        <x:v>1680</x:v>
      </x:c>
      <x:c r="J153" s="62" t="n">
        <x:f>SUM(H$19:H153)</x:f>
        <x:v>3575050</x:v>
      </x:c>
      <x:c r="K153" s="62" t="n">
        <x:f>I153*18</x:f>
        <x:v>30240</x:v>
      </x:c>
      <x:c r="L153" s="62" t="n">
        <x:f>J153*18</x:f>
        <x:v>64350900</x:v>
      </x:c>
    </x:row>
    <x:row r="154" ht="23" customHeight="1">
      <x:c r="A154" s="119" t="n">
        <x:v>136</x:v>
      </x:c>
      <x:c r="B154" s="119" t="n">
        <x:f>VLOOKUP(A154,$A$7:$G$13,6,TRUE)</x:f>
        <x:v>18</x:v>
      </x:c>
      <x:c r="C154" s="119" t="n">
        <x:f>ROUNDUP(('经济参数'!$E$52+(A154-1)*'经济参数'!$E$53)*VLOOKUP(A154,$A$7:$G$13,7,TRUE),0)</x:f>
        <x:v>57400</x:v>
      </x:c>
      <x:c r="D154" s="110" t="n">
        <x:v>1</x:v>
      </x:c>
      <x:c r="E154" s="110" t="n">
        <x:v>1</x:v>
      </x:c>
      <x:c r="F154" s="110" t="n">
        <x:f>IF('使用说明'!$B$4=0,D154,E154)</x:f>
        <x:v>1</x:v>
      </x:c>
      <x:c r="G154" s="62" t="n">
        <x:f>IFERROR(B154/F154,0)</x:f>
        <x:v>18</x:v>
      </x:c>
      <x:c r="H154" s="62" t="n">
        <x:f>IFERROR(C154/F154,0)</x:f>
        <x:v>57400</x:v>
      </x:c>
      <x:c r="I154" s="62" t="n">
        <x:f>SUM(G$19:G154)</x:f>
        <x:v>1698</x:v>
      </x:c>
      <x:c r="J154" s="62" t="n">
        <x:f>SUM(H$19:H154)</x:f>
        <x:v>3632450</x:v>
      </x:c>
      <x:c r="K154" s="62" t="n">
        <x:f>I154*18</x:f>
        <x:v>30564</x:v>
      </x:c>
      <x:c r="L154" s="62" t="n">
        <x:f>J154*18</x:f>
        <x:v>65384100</x:v>
      </x:c>
    </x:row>
    <x:row r="155" ht="23" customHeight="1">
      <x:c r="A155" s="119" t="n">
        <x:v>137</x:v>
      </x:c>
      <x:c r="B155" s="119" t="n">
        <x:f>VLOOKUP(A155,$A$7:$G$13,6,TRUE)</x:f>
        <x:v>18</x:v>
      </x:c>
      <x:c r="C155" s="119" t="n">
        <x:f>ROUNDUP(('经济参数'!$E$52+(A155-1)*'经济参数'!$E$53)*VLOOKUP(A155,$A$7:$G$13,7,TRUE),0)</x:f>
        <x:v>57820</x:v>
      </x:c>
      <x:c r="D155" s="110" t="n">
        <x:v>1</x:v>
      </x:c>
      <x:c r="E155" s="110" t="n">
        <x:v>1</x:v>
      </x:c>
      <x:c r="F155" s="110" t="n">
        <x:f>IF('使用说明'!$B$4=0,D155,E155)</x:f>
        <x:v>1</x:v>
      </x:c>
      <x:c r="G155" s="62" t="n">
        <x:f>IFERROR(B155/F155,0)</x:f>
        <x:v>18</x:v>
      </x:c>
      <x:c r="H155" s="62" t="n">
        <x:f>IFERROR(C155/F155,0)</x:f>
        <x:v>57820</x:v>
      </x:c>
      <x:c r="I155" s="62" t="n">
        <x:f>SUM(G$19:G155)</x:f>
        <x:v>1716</x:v>
      </x:c>
      <x:c r="J155" s="62" t="n">
        <x:f>SUM(H$19:H155)</x:f>
        <x:v>3690270</x:v>
      </x:c>
      <x:c r="K155" s="62" t="n">
        <x:f>I155*18</x:f>
        <x:v>30888</x:v>
      </x:c>
      <x:c r="L155" s="62" t="n">
        <x:f>J155*18</x:f>
        <x:v>66424860</x:v>
      </x:c>
    </x:row>
    <x:row r="156" ht="23" customHeight="1">
      <x:c r="A156" s="119" t="n">
        <x:v>138</x:v>
      </x:c>
      <x:c r="B156" s="119" t="n">
        <x:f>VLOOKUP(A156,$A$7:$G$13,6,TRUE)</x:f>
        <x:v>18</x:v>
      </x:c>
      <x:c r="C156" s="119" t="n">
        <x:f>ROUNDUP(('经济参数'!$E$52+(A156-1)*'经济参数'!$E$53)*VLOOKUP(A156,$A$7:$G$13,7,TRUE),0)</x:f>
        <x:v>58240</x:v>
      </x:c>
      <x:c r="D156" s="110" t="n">
        <x:v>1</x:v>
      </x:c>
      <x:c r="E156" s="110" t="n">
        <x:v>1</x:v>
      </x:c>
      <x:c r="F156" s="110" t="n">
        <x:f>IF('使用说明'!$B$4=0,D156,E156)</x:f>
        <x:v>1</x:v>
      </x:c>
      <x:c r="G156" s="62" t="n">
        <x:f>IFERROR(B156/F156,0)</x:f>
        <x:v>18</x:v>
      </x:c>
      <x:c r="H156" s="62" t="n">
        <x:f>IFERROR(C156/F156,0)</x:f>
        <x:v>58240</x:v>
      </x:c>
      <x:c r="I156" s="62" t="n">
        <x:f>SUM(G$19:G156)</x:f>
        <x:v>1734</x:v>
      </x:c>
      <x:c r="J156" s="62" t="n">
        <x:f>SUM(H$19:H156)</x:f>
        <x:v>3748510</x:v>
      </x:c>
      <x:c r="K156" s="62" t="n">
        <x:f>I156*18</x:f>
        <x:v>31212</x:v>
      </x:c>
      <x:c r="L156" s="62" t="n">
        <x:f>J156*18</x:f>
        <x:v>67473180</x:v>
      </x:c>
    </x:row>
    <x:row r="157" ht="23" customHeight="1">
      <x:c r="A157" s="119" t="n">
        <x:v>139</x:v>
      </x:c>
      <x:c r="B157" s="119" t="n">
        <x:f>VLOOKUP(A157,$A$7:$G$13,6,TRUE)</x:f>
        <x:v>18</x:v>
      </x:c>
      <x:c r="C157" s="119" t="n">
        <x:f>ROUNDUP(('经济参数'!$E$52+(A157-1)*'经济参数'!$E$53)*VLOOKUP(A157,$A$7:$G$13,7,TRUE),0)</x:f>
        <x:v>58660</x:v>
      </x:c>
      <x:c r="D157" s="110" t="n">
        <x:v>1</x:v>
      </x:c>
      <x:c r="E157" s="110" t="n">
        <x:v>1</x:v>
      </x:c>
      <x:c r="F157" s="110" t="n">
        <x:f>IF('使用说明'!$B$4=0,D157,E157)</x:f>
        <x:v>1</x:v>
      </x:c>
      <x:c r="G157" s="62" t="n">
        <x:f>IFERROR(B157/F157,0)</x:f>
        <x:v>18</x:v>
      </x:c>
      <x:c r="H157" s="62" t="n">
        <x:f>IFERROR(C157/F157,0)</x:f>
        <x:v>58660</x:v>
      </x:c>
      <x:c r="I157" s="62" t="n">
        <x:f>SUM(G$19:G157)</x:f>
        <x:v>1752</x:v>
      </x:c>
      <x:c r="J157" s="62" t="n">
        <x:f>SUM(H$19:H157)</x:f>
        <x:v>3807170</x:v>
      </x:c>
      <x:c r="K157" s="62" t="n">
        <x:f>I157*18</x:f>
        <x:v>31536</x:v>
      </x:c>
      <x:c r="L157" s="62" t="n">
        <x:f>J157*18</x:f>
        <x:v>68529060</x:v>
      </x:c>
    </x:row>
    <x:row r="158" ht="23" customHeight="1">
      <x:c r="A158" s="119" t="n">
        <x:v>140</x:v>
      </x:c>
      <x:c r="B158" s="119" t="n">
        <x:f>VLOOKUP(A158,$A$7:$G$13,6,TRUE)</x:f>
        <x:v>18</x:v>
      </x:c>
      <x:c r="C158" s="119" t="n">
        <x:f>ROUNDUP(('经济参数'!$E$52+(A158-1)*'经济参数'!$E$53)*VLOOKUP(A158,$A$7:$G$13,7,TRUE),0)</x:f>
        <x:v>59080</x:v>
      </x:c>
      <x:c r="D158" s="110" t="n">
        <x:v>1</x:v>
      </x:c>
      <x:c r="E158" s="110" t="n">
        <x:v>1</x:v>
      </x:c>
      <x:c r="F158" s="110" t="n">
        <x:f>IF('使用说明'!$B$4=0,D158,E158)</x:f>
        <x:v>1</x:v>
      </x:c>
      <x:c r="G158" s="62" t="n">
        <x:f>IFERROR(B158/F158,0)</x:f>
        <x:v>18</x:v>
      </x:c>
      <x:c r="H158" s="62" t="n">
        <x:f>IFERROR(C158/F158,0)</x:f>
        <x:v>59080</x:v>
      </x:c>
      <x:c r="I158" s="62" t="n">
        <x:f>SUM(G$19:G158)</x:f>
        <x:v>1770</x:v>
      </x:c>
      <x:c r="J158" s="62" t="n">
        <x:f>SUM(H$19:H158)</x:f>
        <x:v>3866250</x:v>
      </x:c>
      <x:c r="K158" s="62" t="n">
        <x:f>I158*18</x:f>
        <x:v>31860</x:v>
      </x:c>
      <x:c r="L158" s="62" t="n">
        <x:f>J158*18</x:f>
        <x:v>69592500</x:v>
      </x:c>
    </x:row>
    <x:row r="159" ht="23" customHeight="1">
      <x:c r="A159" s="119" t="n">
        <x:v>141</x:v>
      </x:c>
      <x:c r="B159" s="119" t="n">
        <x:f>VLOOKUP(A159,$A$7:$G$13,6,TRUE)</x:f>
        <x:v>18</x:v>
      </x:c>
      <x:c r="C159" s="119" t="n">
        <x:f>ROUNDUP(('经济参数'!$E$52+(A159-1)*'经济参数'!$E$53)*VLOOKUP(A159,$A$7:$G$13,7,TRUE),0)</x:f>
        <x:v>59500</x:v>
      </x:c>
      <x:c r="D159" s="110" t="n">
        <x:v>1</x:v>
      </x:c>
      <x:c r="E159" s="110" t="n">
        <x:v>1</x:v>
      </x:c>
      <x:c r="F159" s="110" t="n">
        <x:f>IF('使用说明'!$B$4=0,D159,E159)</x:f>
        <x:v>1</x:v>
      </x:c>
      <x:c r="G159" s="62" t="n">
        <x:f>IFERROR(B159/F159,0)</x:f>
        <x:v>18</x:v>
      </x:c>
      <x:c r="H159" s="62" t="n">
        <x:f>IFERROR(C159/F159,0)</x:f>
        <x:v>59500</x:v>
      </x:c>
      <x:c r="I159" s="62" t="n">
        <x:f>SUM(G$19:G159)</x:f>
        <x:v>1788</x:v>
      </x:c>
      <x:c r="J159" s="62" t="n">
        <x:f>SUM(H$19:H159)</x:f>
        <x:v>3925750</x:v>
      </x:c>
      <x:c r="K159" s="62" t="n">
        <x:f>I159*18</x:f>
        <x:v>32184</x:v>
      </x:c>
      <x:c r="L159" s="62" t="n">
        <x:f>J159*18</x:f>
        <x:v>70663500</x:v>
      </x:c>
    </x:row>
    <x:row r="160" ht="23" customHeight="1">
      <x:c r="A160" s="119" t="n">
        <x:v>142</x:v>
      </x:c>
      <x:c r="B160" s="119" t="n">
        <x:f>VLOOKUP(A160,$A$7:$G$13,6,TRUE)</x:f>
        <x:v>18</x:v>
      </x:c>
      <x:c r="C160" s="119" t="n">
        <x:f>ROUNDUP(('经济参数'!$E$52+(A160-1)*'经济参数'!$E$53)*VLOOKUP(A160,$A$7:$G$13,7,TRUE),0)</x:f>
        <x:v>59920</x:v>
      </x:c>
      <x:c r="D160" s="110" t="n">
        <x:v>1</x:v>
      </x:c>
      <x:c r="E160" s="110" t="n">
        <x:v>1</x:v>
      </x:c>
      <x:c r="F160" s="110" t="n">
        <x:f>IF('使用说明'!$B$4=0,D160,E160)</x:f>
        <x:v>1</x:v>
      </x:c>
      <x:c r="G160" s="62" t="n">
        <x:f>IFERROR(B160/F160,0)</x:f>
        <x:v>18</x:v>
      </x:c>
      <x:c r="H160" s="62" t="n">
        <x:f>IFERROR(C160/F160,0)</x:f>
        <x:v>59920</x:v>
      </x:c>
      <x:c r="I160" s="62" t="n">
        <x:f>SUM(G$19:G160)</x:f>
        <x:v>1806</x:v>
      </x:c>
      <x:c r="J160" s="62" t="n">
        <x:f>SUM(H$19:H160)</x:f>
        <x:v>3985670</x:v>
      </x:c>
      <x:c r="K160" s="62" t="n">
        <x:f>I160*18</x:f>
        <x:v>32508</x:v>
      </x:c>
      <x:c r="L160" s="62" t="n">
        <x:f>J160*18</x:f>
        <x:v>71742060</x:v>
      </x:c>
    </x:row>
    <x:row r="161" ht="23" customHeight="1">
      <x:c r="A161" s="119" t="n">
        <x:v>143</x:v>
      </x:c>
      <x:c r="B161" s="119" t="n">
        <x:f>VLOOKUP(A161,$A$7:$G$13,6,TRUE)</x:f>
        <x:v>18</x:v>
      </x:c>
      <x:c r="C161" s="119" t="n">
        <x:f>ROUNDUP(('经济参数'!$E$52+(A161-1)*'经济参数'!$E$53)*VLOOKUP(A161,$A$7:$G$13,7,TRUE),0)</x:f>
        <x:v>60340</x:v>
      </x:c>
      <x:c r="D161" s="110" t="n">
        <x:v>1</x:v>
      </x:c>
      <x:c r="E161" s="110" t="n">
        <x:v>1</x:v>
      </x:c>
      <x:c r="F161" s="110" t="n">
        <x:f>IF('使用说明'!$B$4=0,D161,E161)</x:f>
        <x:v>1</x:v>
      </x:c>
      <x:c r="G161" s="62" t="n">
        <x:f>IFERROR(B161/F161,0)</x:f>
        <x:v>18</x:v>
      </x:c>
      <x:c r="H161" s="62" t="n">
        <x:f>IFERROR(C161/F161,0)</x:f>
        <x:v>60340</x:v>
      </x:c>
      <x:c r="I161" s="62" t="n">
        <x:f>SUM(G$19:G161)</x:f>
        <x:v>1824</x:v>
      </x:c>
      <x:c r="J161" s="62" t="n">
        <x:f>SUM(H$19:H161)</x:f>
        <x:v>4046010</x:v>
      </x:c>
      <x:c r="K161" s="62" t="n">
        <x:f>I161*18</x:f>
        <x:v>32832</x:v>
      </x:c>
      <x:c r="L161" s="62" t="n">
        <x:f>J161*18</x:f>
        <x:v>72828180</x:v>
      </x:c>
    </x:row>
    <x:row r="162" ht="23" customHeight="1">
      <x:c r="A162" s="119" t="n">
        <x:v>144</x:v>
      </x:c>
      <x:c r="B162" s="119" t="n">
        <x:f>VLOOKUP(A162,$A$7:$G$13,6,TRUE)</x:f>
        <x:v>18</x:v>
      </x:c>
      <x:c r="C162" s="119" t="n">
        <x:f>ROUNDUP(('经济参数'!$E$52+(A162-1)*'经济参数'!$E$53)*VLOOKUP(A162,$A$7:$G$13,7,TRUE),0)</x:f>
        <x:v>60760</x:v>
      </x:c>
      <x:c r="D162" s="110" t="n">
        <x:v>1</x:v>
      </x:c>
      <x:c r="E162" s="110" t="n">
        <x:v>1</x:v>
      </x:c>
      <x:c r="F162" s="110" t="n">
        <x:f>IF('使用说明'!$B$4=0,D162,E162)</x:f>
        <x:v>1</x:v>
      </x:c>
      <x:c r="G162" s="62" t="n">
        <x:f>IFERROR(B162/F162,0)</x:f>
        <x:v>18</x:v>
      </x:c>
      <x:c r="H162" s="62" t="n">
        <x:f>IFERROR(C162/F162,0)</x:f>
        <x:v>60760</x:v>
      </x:c>
      <x:c r="I162" s="62" t="n">
        <x:f>SUM(G$19:G162)</x:f>
        <x:v>1842</x:v>
      </x:c>
      <x:c r="J162" s="62" t="n">
        <x:f>SUM(H$19:H162)</x:f>
        <x:v>4106770</x:v>
      </x:c>
      <x:c r="K162" s="62" t="n">
        <x:f>I162*18</x:f>
        <x:v>33156</x:v>
      </x:c>
      <x:c r="L162" s="62" t="n">
        <x:f>J162*18</x:f>
        <x:v>73921860</x:v>
      </x:c>
    </x:row>
    <x:row r="163" ht="23" customHeight="1">
      <x:c r="A163" s="119" t="n">
        <x:v>145</x:v>
      </x:c>
      <x:c r="B163" s="119" t="n">
        <x:f>VLOOKUP(A163,$A$7:$G$13,6,TRUE)</x:f>
        <x:v>18</x:v>
      </x:c>
      <x:c r="C163" s="119" t="n">
        <x:f>ROUNDUP(('经济参数'!$E$52+(A163-1)*'经济参数'!$E$53)*VLOOKUP(A163,$A$7:$G$13,7,TRUE),0)</x:f>
        <x:v>61180</x:v>
      </x:c>
      <x:c r="D163" s="110" t="n">
        <x:v>1</x:v>
      </x:c>
      <x:c r="E163" s="110" t="n">
        <x:v>1</x:v>
      </x:c>
      <x:c r="F163" s="110" t="n">
        <x:f>IF('使用说明'!$B$4=0,D163,E163)</x:f>
        <x:v>1</x:v>
      </x:c>
      <x:c r="G163" s="62" t="n">
        <x:f>IFERROR(B163/F163,0)</x:f>
        <x:v>18</x:v>
      </x:c>
      <x:c r="H163" s="62" t="n">
        <x:f>IFERROR(C163/F163,0)</x:f>
        <x:v>61180</x:v>
      </x:c>
      <x:c r="I163" s="62" t="n">
        <x:f>SUM(G$19:G163)</x:f>
        <x:v>1860</x:v>
      </x:c>
      <x:c r="J163" s="62" t="n">
        <x:f>SUM(H$19:H163)</x:f>
        <x:v>4167950</x:v>
      </x:c>
      <x:c r="K163" s="62" t="n">
        <x:f>I163*18</x:f>
        <x:v>33480</x:v>
      </x:c>
      <x:c r="L163" s="62" t="n">
        <x:f>J163*18</x:f>
        <x:v>75023100</x:v>
      </x:c>
    </x:row>
    <x:row r="164" ht="23" customHeight="1">
      <x:c r="A164" s="119" t="n">
        <x:v>146</x:v>
      </x:c>
      <x:c r="B164" s="119" t="n">
        <x:f>VLOOKUP(A164,$A$7:$G$13,6,TRUE)</x:f>
        <x:v>18</x:v>
      </x:c>
      <x:c r="C164" s="119" t="n">
        <x:f>ROUNDUP(('经济参数'!$E$52+(A164-1)*'经济参数'!$E$53)*VLOOKUP(A164,$A$7:$G$13,7,TRUE),0)</x:f>
        <x:v>61600</x:v>
      </x:c>
      <x:c r="D164" s="110" t="n">
        <x:v>1</x:v>
      </x:c>
      <x:c r="E164" s="110" t="n">
        <x:v>1</x:v>
      </x:c>
      <x:c r="F164" s="110" t="n">
        <x:f>IF('使用说明'!$B$4=0,D164,E164)</x:f>
        <x:v>1</x:v>
      </x:c>
      <x:c r="G164" s="62" t="n">
        <x:f>IFERROR(B164/F164,0)</x:f>
        <x:v>18</x:v>
      </x:c>
      <x:c r="H164" s="62" t="n">
        <x:f>IFERROR(C164/F164,0)</x:f>
        <x:v>61600</x:v>
      </x:c>
      <x:c r="I164" s="62" t="n">
        <x:f>SUM(G$19:G164)</x:f>
        <x:v>1878</x:v>
      </x:c>
      <x:c r="J164" s="62" t="n">
        <x:f>SUM(H$19:H164)</x:f>
        <x:v>4229550</x:v>
      </x:c>
      <x:c r="K164" s="62" t="n">
        <x:f>I164*18</x:f>
        <x:v>33804</x:v>
      </x:c>
      <x:c r="L164" s="62" t="n">
        <x:f>J164*18</x:f>
        <x:v>76131900</x:v>
      </x:c>
    </x:row>
    <x:row r="165" ht="23" customHeight="1">
      <x:c r="A165" s="119" t="n">
        <x:v>147</x:v>
      </x:c>
      <x:c r="B165" s="119" t="n">
        <x:f>VLOOKUP(A165,$A$7:$G$13,6,TRUE)</x:f>
        <x:v>18</x:v>
      </x:c>
      <x:c r="C165" s="119" t="n">
        <x:f>ROUNDUP(('经济参数'!$E$52+(A165-1)*'经济参数'!$E$53)*VLOOKUP(A165,$A$7:$G$13,7,TRUE),0)</x:f>
        <x:v>62020</x:v>
      </x:c>
      <x:c r="D165" s="110" t="n">
        <x:v>1</x:v>
      </x:c>
      <x:c r="E165" s="110" t="n">
        <x:v>1</x:v>
      </x:c>
      <x:c r="F165" s="110" t="n">
        <x:f>IF('使用说明'!$B$4=0,D165,E165)</x:f>
        <x:v>1</x:v>
      </x:c>
      <x:c r="G165" s="62" t="n">
        <x:f>IFERROR(B165/F165,0)</x:f>
        <x:v>18</x:v>
      </x:c>
      <x:c r="H165" s="62" t="n">
        <x:f>IFERROR(C165/F165,0)</x:f>
        <x:v>62020</x:v>
      </x:c>
      <x:c r="I165" s="62" t="n">
        <x:f>SUM(G$19:G165)</x:f>
        <x:v>1896</x:v>
      </x:c>
      <x:c r="J165" s="62" t="n">
        <x:f>SUM(H$19:H165)</x:f>
        <x:v>4291570</x:v>
      </x:c>
      <x:c r="K165" s="62" t="n">
        <x:f>I165*18</x:f>
        <x:v>34128</x:v>
      </x:c>
      <x:c r="L165" s="62" t="n">
        <x:f>J165*18</x:f>
        <x:v>77248260</x:v>
      </x:c>
    </x:row>
    <x:row r="166" ht="23" customHeight="1">
      <x:c r="A166" s="119" t="n">
        <x:v>148</x:v>
      </x:c>
      <x:c r="B166" s="119" t="n">
        <x:f>VLOOKUP(A166,$A$7:$G$13,6,TRUE)</x:f>
        <x:v>18</x:v>
      </x:c>
      <x:c r="C166" s="119" t="n">
        <x:f>ROUNDUP(('经济参数'!$E$52+(A166-1)*'经济参数'!$E$53)*VLOOKUP(A166,$A$7:$G$13,7,TRUE),0)</x:f>
        <x:v>62440</x:v>
      </x:c>
      <x:c r="D166" s="110" t="n">
        <x:v>1</x:v>
      </x:c>
      <x:c r="E166" s="110" t="n">
        <x:v>1</x:v>
      </x:c>
      <x:c r="F166" s="110" t="n">
        <x:f>IF('使用说明'!$B$4=0,D166,E166)</x:f>
        <x:v>1</x:v>
      </x:c>
      <x:c r="G166" s="62" t="n">
        <x:f>IFERROR(B166/F166,0)</x:f>
        <x:v>18</x:v>
      </x:c>
      <x:c r="H166" s="62" t="n">
        <x:f>IFERROR(C166/F166,0)</x:f>
        <x:v>62440</x:v>
      </x:c>
      <x:c r="I166" s="62" t="n">
        <x:f>SUM(G$19:G166)</x:f>
        <x:v>1914</x:v>
      </x:c>
      <x:c r="J166" s="62" t="n">
        <x:f>SUM(H$19:H166)</x:f>
        <x:v>4354010</x:v>
      </x:c>
      <x:c r="K166" s="62" t="n">
        <x:f>I166*18</x:f>
        <x:v>34452</x:v>
      </x:c>
      <x:c r="L166" s="62" t="n">
        <x:f>J166*18</x:f>
        <x:v>78372180</x:v>
      </x:c>
    </x:row>
    <x:row r="167" ht="23" customHeight="1">
      <x:c r="A167" s="119" t="n">
        <x:v>149</x:v>
      </x:c>
      <x:c r="B167" s="119" t="n">
        <x:f>VLOOKUP(A167,$A$7:$G$13,6,TRUE)</x:f>
        <x:v>18</x:v>
      </x:c>
      <x:c r="C167" s="119" t="n">
        <x:f>ROUNDUP(('经济参数'!$E$52+(A167-1)*'经济参数'!$E$53)*VLOOKUP(A167,$A$7:$G$13,7,TRUE),0)</x:f>
        <x:v>62860</x:v>
      </x:c>
      <x:c r="D167" s="110" t="n">
        <x:v>1</x:v>
      </x:c>
      <x:c r="E167" s="110" t="n">
        <x:v>1</x:v>
      </x:c>
      <x:c r="F167" s="110" t="n">
        <x:f>IF('使用说明'!$B$4=0,D167,E167)</x:f>
        <x:v>1</x:v>
      </x:c>
      <x:c r="G167" s="62" t="n">
        <x:f>IFERROR(B167/F167,0)</x:f>
        <x:v>18</x:v>
      </x:c>
      <x:c r="H167" s="62" t="n">
        <x:f>IFERROR(C167/F167,0)</x:f>
        <x:v>62860</x:v>
      </x:c>
      <x:c r="I167" s="62" t="n">
        <x:f>SUM(G$19:G167)</x:f>
        <x:v>1932</x:v>
      </x:c>
      <x:c r="J167" s="62" t="n">
        <x:f>SUM(H$19:H167)</x:f>
        <x:v>4416870</x:v>
      </x:c>
      <x:c r="K167" s="62" t="n">
        <x:f>I167*18</x:f>
        <x:v>34776</x:v>
      </x:c>
      <x:c r="L167" s="62" t="n">
        <x:f>J167*18</x:f>
        <x:v>79503660</x:v>
      </x:c>
    </x:row>
    <x:row r="168" ht="23" customHeight="1">
      <x:c r="A168" s="119" t="n">
        <x:v>150</x:v>
      </x:c>
      <x:c r="B168" s="119" t="n">
        <x:f>VLOOKUP(A168,$A$7:$G$13,6,TRUE)</x:f>
        <x:v>18</x:v>
      </x:c>
      <x:c r="C168" s="119" t="n">
        <x:f>ROUNDUP(('经济参数'!$E$52+(A168-1)*'经济参数'!$E$53)*VLOOKUP(A168,$A$7:$G$13,7,TRUE),0)</x:f>
        <x:v>63280</x:v>
      </x:c>
      <x:c r="D168" s="110" t="n">
        <x:v>1</x:v>
      </x:c>
      <x:c r="E168" s="110" t="n">
        <x:v>1</x:v>
      </x:c>
      <x:c r="F168" s="110" t="n">
        <x:f>IF('使用说明'!$B$4=0,D168,E168)</x:f>
        <x:v>1</x:v>
      </x:c>
      <x:c r="G168" s="62" t="n">
        <x:f>IFERROR(B168/F168,0)</x:f>
        <x:v>18</x:v>
      </x:c>
      <x:c r="H168" s="62" t="n">
        <x:f>IFERROR(C168/F168,0)</x:f>
        <x:v>63280</x:v>
      </x:c>
      <x:c r="I168" s="62" t="n">
        <x:f>SUM(G$19:G168)</x:f>
        <x:v>1950</x:v>
      </x:c>
      <x:c r="J168" s="62" t="n">
        <x:f>SUM(H$19:H168)</x:f>
        <x:v>4480150</x:v>
      </x:c>
      <x:c r="K168" s="62" t="n">
        <x:f>I168*18</x:f>
        <x:v>35100</x:v>
      </x:c>
      <x:c r="L168" s="62" t="n">
        <x:f>J168*18</x:f>
        <x:v>80642700</x:v>
      </x:c>
    </x:row>
    <x:row r="169" ht="23" customHeight="1">
      <x:c r="A169" s="119" t="n">
        <x:v>151</x:v>
      </x:c>
      <x:c r="B169" s="119" t="n">
        <x:f>VLOOKUP(A169,$A$7:$G$13,6,TRUE)</x:f>
        <x:v>18</x:v>
      </x:c>
      <x:c r="C169" s="119" t="n">
        <x:f>ROUNDUP(('经济参数'!$E$52+(A169-1)*'经济参数'!$E$53)*VLOOKUP(A169,$A$7:$G$13,7,TRUE),0)</x:f>
        <x:v>63700</x:v>
      </x:c>
      <x:c r="D169" s="110" t="n">
        <x:v>1</x:v>
      </x:c>
      <x:c r="E169" s="110" t="n">
        <x:v>1</x:v>
      </x:c>
      <x:c r="F169" s="110" t="n">
        <x:f>IF('使用说明'!$B$4=0,D169,E169)</x:f>
        <x:v>1</x:v>
      </x:c>
      <x:c r="G169" s="62" t="n">
        <x:f>IFERROR(B169/F169,0)</x:f>
        <x:v>18</x:v>
      </x:c>
      <x:c r="H169" s="62" t="n">
        <x:f>IFERROR(C169/F169,0)</x:f>
        <x:v>63700</x:v>
      </x:c>
      <x:c r="I169" s="62" t="n">
        <x:f>SUM(G$19:G169)</x:f>
        <x:v>1968</x:v>
      </x:c>
      <x:c r="J169" s="62" t="n">
        <x:f>SUM(H$19:H169)</x:f>
        <x:v>4543850</x:v>
      </x:c>
      <x:c r="K169" s="62" t="n">
        <x:f>I169*18</x:f>
        <x:v>35424</x:v>
      </x:c>
      <x:c r="L169" s="62" t="n">
        <x:f>J169*18</x:f>
        <x:v>81789300</x:v>
      </x:c>
    </x:row>
    <x:row r="170" ht="23" customHeight="1">
      <x:c r="A170" s="119" t="n">
        <x:v>152</x:v>
      </x:c>
      <x:c r="B170" s="119" t="n">
        <x:f>VLOOKUP(A170,$A$7:$G$13,6,TRUE)</x:f>
        <x:v>18</x:v>
      </x:c>
      <x:c r="C170" s="119" t="n">
        <x:f>ROUNDUP(('经济参数'!$E$52+(A170-1)*'经济参数'!$E$53)*VLOOKUP(A170,$A$7:$G$13,7,TRUE),0)</x:f>
        <x:v>64120</x:v>
      </x:c>
      <x:c r="D170" s="110" t="n">
        <x:v>1</x:v>
      </x:c>
      <x:c r="E170" s="110" t="n">
        <x:v>1</x:v>
      </x:c>
      <x:c r="F170" s="110" t="n">
        <x:f>IF('使用说明'!$B$4=0,D170,E170)</x:f>
        <x:v>1</x:v>
      </x:c>
      <x:c r="G170" s="62" t="n">
        <x:f>IFERROR(B170/F170,0)</x:f>
        <x:v>18</x:v>
      </x:c>
      <x:c r="H170" s="62" t="n">
        <x:f>IFERROR(C170/F170,0)</x:f>
        <x:v>64120</x:v>
      </x:c>
      <x:c r="I170" s="62" t="n">
        <x:f>SUM(G$19:G170)</x:f>
        <x:v>1986</x:v>
      </x:c>
      <x:c r="J170" s="62" t="n">
        <x:f>SUM(H$19:H170)</x:f>
        <x:v>4607970</x:v>
      </x:c>
      <x:c r="K170" s="62" t="n">
        <x:f>I170*18</x:f>
        <x:v>35748</x:v>
      </x:c>
      <x:c r="L170" s="62" t="n">
        <x:f>J170*18</x:f>
        <x:v>82943460</x:v>
      </x:c>
    </x:row>
    <x:row r="171" ht="23" customHeight="1">
      <x:c r="A171" s="119" t="n">
        <x:v>153</x:v>
      </x:c>
      <x:c r="B171" s="119" t="n">
        <x:f>VLOOKUP(A171,$A$7:$G$13,6,TRUE)</x:f>
        <x:v>18</x:v>
      </x:c>
      <x:c r="C171" s="119" t="n">
        <x:f>ROUNDUP(('经济参数'!$E$52+(A171-1)*'经济参数'!$E$53)*VLOOKUP(A171,$A$7:$G$13,7,TRUE),0)</x:f>
        <x:v>64540</x:v>
      </x:c>
      <x:c r="D171" s="110" t="n">
        <x:v>1</x:v>
      </x:c>
      <x:c r="E171" s="110" t="n">
        <x:v>1</x:v>
      </x:c>
      <x:c r="F171" s="110" t="n">
        <x:f>IF('使用说明'!$B$4=0,D171,E171)</x:f>
        <x:v>1</x:v>
      </x:c>
      <x:c r="G171" s="62" t="n">
        <x:f>IFERROR(B171/F171,0)</x:f>
        <x:v>18</x:v>
      </x:c>
      <x:c r="H171" s="62" t="n">
        <x:f>IFERROR(C171/F171,0)</x:f>
        <x:v>64540</x:v>
      </x:c>
      <x:c r="I171" s="62" t="n">
        <x:f>SUM(G$19:G171)</x:f>
        <x:v>2004</x:v>
      </x:c>
      <x:c r="J171" s="62" t="n">
        <x:f>SUM(H$19:H171)</x:f>
        <x:v>4672510</x:v>
      </x:c>
      <x:c r="K171" s="62" t="n">
        <x:f>I171*18</x:f>
        <x:v>36072</x:v>
      </x:c>
      <x:c r="L171" s="62" t="n">
        <x:f>J171*18</x:f>
        <x:v>84105180</x:v>
      </x:c>
    </x:row>
    <x:row r="172" ht="23" customHeight="1">
      <x:c r="A172" s="119" t="n">
        <x:v>154</x:v>
      </x:c>
      <x:c r="B172" s="119" t="n">
        <x:f>VLOOKUP(A172,$A$7:$G$13,6,TRUE)</x:f>
        <x:v>18</x:v>
      </x:c>
      <x:c r="C172" s="119" t="n">
        <x:f>ROUNDUP(('经济参数'!$E$52+(A172-1)*'经济参数'!$E$53)*VLOOKUP(A172,$A$7:$G$13,7,TRUE),0)</x:f>
        <x:v>64960</x:v>
      </x:c>
      <x:c r="D172" s="110" t="n">
        <x:v>1</x:v>
      </x:c>
      <x:c r="E172" s="110" t="n">
        <x:v>1</x:v>
      </x:c>
      <x:c r="F172" s="110" t="n">
        <x:f>IF('使用说明'!$B$4=0,D172,E172)</x:f>
        <x:v>1</x:v>
      </x:c>
      <x:c r="G172" s="62" t="n">
        <x:f>IFERROR(B172/F172,0)</x:f>
        <x:v>18</x:v>
      </x:c>
      <x:c r="H172" s="62" t="n">
        <x:f>IFERROR(C172/F172,0)</x:f>
        <x:v>64960</x:v>
      </x:c>
      <x:c r="I172" s="62" t="n">
        <x:f>SUM(G$19:G172)</x:f>
        <x:v>2022</x:v>
      </x:c>
      <x:c r="J172" s="62" t="n">
        <x:f>SUM(H$19:H172)</x:f>
        <x:v>4737470</x:v>
      </x:c>
      <x:c r="K172" s="62" t="n">
        <x:f>I172*18</x:f>
        <x:v>36396</x:v>
      </x:c>
      <x:c r="L172" s="62" t="n">
        <x:f>J172*18</x:f>
        <x:v>85274460</x:v>
      </x:c>
    </x:row>
    <x:row r="173" ht="23" customHeight="1">
      <x:c r="A173" s="119" t="n">
        <x:v>155</x:v>
      </x:c>
      <x:c r="B173" s="119" t="n">
        <x:f>VLOOKUP(A173,$A$7:$G$13,6,TRUE)</x:f>
        <x:v>18</x:v>
      </x:c>
      <x:c r="C173" s="119" t="n">
        <x:f>ROUNDUP(('经济参数'!$E$52+(A173-1)*'经济参数'!$E$53)*VLOOKUP(A173,$A$7:$G$13,7,TRUE),0)</x:f>
        <x:v>65380</x:v>
      </x:c>
      <x:c r="D173" s="110" t="n">
        <x:v>1</x:v>
      </x:c>
      <x:c r="E173" s="110" t="n">
        <x:v>1</x:v>
      </x:c>
      <x:c r="F173" s="110" t="n">
        <x:f>IF('使用说明'!$B$4=0,D173,E173)</x:f>
        <x:v>1</x:v>
      </x:c>
      <x:c r="G173" s="62" t="n">
        <x:f>IFERROR(B173/F173,0)</x:f>
        <x:v>18</x:v>
      </x:c>
      <x:c r="H173" s="62" t="n">
        <x:f>IFERROR(C173/F173,0)</x:f>
        <x:v>65380</x:v>
      </x:c>
      <x:c r="I173" s="62" t="n">
        <x:f>SUM(G$19:G173)</x:f>
        <x:v>2040</x:v>
      </x:c>
      <x:c r="J173" s="62" t="n">
        <x:f>SUM(H$19:H173)</x:f>
        <x:v>4802850</x:v>
      </x:c>
      <x:c r="K173" s="62" t="n">
        <x:f>I173*18</x:f>
        <x:v>36720</x:v>
      </x:c>
      <x:c r="L173" s="62" t="n">
        <x:f>J173*18</x:f>
        <x:v>86451300</x:v>
      </x:c>
    </x:row>
    <x:row r="174" ht="23" customHeight="1">
      <x:c r="A174" s="119" t="n">
        <x:v>156</x:v>
      </x:c>
      <x:c r="B174" s="119" t="n">
        <x:f>VLOOKUP(A174,$A$7:$G$13,6,TRUE)</x:f>
        <x:v>18</x:v>
      </x:c>
      <x:c r="C174" s="119" t="n">
        <x:f>ROUNDUP(('经济参数'!$E$52+(A174-1)*'经济参数'!$E$53)*VLOOKUP(A174,$A$7:$G$13,7,TRUE),0)</x:f>
        <x:v>65800</x:v>
      </x:c>
      <x:c r="D174" s="110" t="n">
        <x:v>1</x:v>
      </x:c>
      <x:c r="E174" s="110" t="n">
        <x:v>1</x:v>
      </x:c>
      <x:c r="F174" s="110" t="n">
        <x:f>IF('使用说明'!$B$4=0,D174,E174)</x:f>
        <x:v>1</x:v>
      </x:c>
      <x:c r="G174" s="62" t="n">
        <x:f>IFERROR(B174/F174,0)</x:f>
        <x:v>18</x:v>
      </x:c>
      <x:c r="H174" s="62" t="n">
        <x:f>IFERROR(C174/F174,0)</x:f>
        <x:v>65800</x:v>
      </x:c>
      <x:c r="I174" s="62" t="n">
        <x:f>SUM(G$19:G174)</x:f>
        <x:v>2058</x:v>
      </x:c>
      <x:c r="J174" s="62" t="n">
        <x:f>SUM(H$19:H174)</x:f>
        <x:v>4868650</x:v>
      </x:c>
      <x:c r="K174" s="62" t="n">
        <x:f>I174*18</x:f>
        <x:v>37044</x:v>
      </x:c>
      <x:c r="L174" s="62" t="n">
        <x:f>J174*18</x:f>
        <x:v>87635700</x:v>
      </x:c>
    </x:row>
    <x:row r="175" ht="23" customHeight="1">
      <x:c r="A175" s="119" t="n">
        <x:v>157</x:v>
      </x:c>
      <x:c r="B175" s="119" t="n">
        <x:f>VLOOKUP(A175,$A$7:$G$13,6,TRUE)</x:f>
        <x:v>18</x:v>
      </x:c>
      <x:c r="C175" s="119" t="n">
        <x:f>ROUNDUP(('经济参数'!$E$52+(A175-1)*'经济参数'!$E$53)*VLOOKUP(A175,$A$7:$G$13,7,TRUE),0)</x:f>
        <x:v>66220</x:v>
      </x:c>
      <x:c r="D175" s="110" t="n">
        <x:v>1</x:v>
      </x:c>
      <x:c r="E175" s="110" t="n">
        <x:v>1</x:v>
      </x:c>
      <x:c r="F175" s="110" t="n">
        <x:f>IF('使用说明'!$B$4=0,D175,E175)</x:f>
        <x:v>1</x:v>
      </x:c>
      <x:c r="G175" s="62" t="n">
        <x:f>IFERROR(B175/F175,0)</x:f>
        <x:v>18</x:v>
      </x:c>
      <x:c r="H175" s="62" t="n">
        <x:f>IFERROR(C175/F175,0)</x:f>
        <x:v>66220</x:v>
      </x:c>
      <x:c r="I175" s="62" t="n">
        <x:f>SUM(G$19:G175)</x:f>
        <x:v>2076</x:v>
      </x:c>
      <x:c r="J175" s="62" t="n">
        <x:f>SUM(H$19:H175)</x:f>
        <x:v>4934870</x:v>
      </x:c>
      <x:c r="K175" s="62" t="n">
        <x:f>I175*18</x:f>
        <x:v>37368</x:v>
      </x:c>
      <x:c r="L175" s="62" t="n">
        <x:f>J175*18</x:f>
        <x:v>88827660</x:v>
      </x:c>
    </x:row>
    <x:row r="176" ht="23" customHeight="1">
      <x:c r="A176" s="119" t="n">
        <x:v>158</x:v>
      </x:c>
      <x:c r="B176" s="119" t="n">
        <x:f>VLOOKUP(A176,$A$7:$G$13,6,TRUE)</x:f>
        <x:v>18</x:v>
      </x:c>
      <x:c r="C176" s="119" t="n">
        <x:f>ROUNDUP(('经济参数'!$E$52+(A176-1)*'经济参数'!$E$53)*VLOOKUP(A176,$A$7:$G$13,7,TRUE),0)</x:f>
        <x:v>66640</x:v>
      </x:c>
      <x:c r="D176" s="110" t="n">
        <x:v>1</x:v>
      </x:c>
      <x:c r="E176" s="110" t="n">
        <x:v>1</x:v>
      </x:c>
      <x:c r="F176" s="110" t="n">
        <x:f>IF('使用说明'!$B$4=0,D176,E176)</x:f>
        <x:v>1</x:v>
      </x:c>
      <x:c r="G176" s="62" t="n">
        <x:f>IFERROR(B176/F176,0)</x:f>
        <x:v>18</x:v>
      </x:c>
      <x:c r="H176" s="62" t="n">
        <x:f>IFERROR(C176/F176,0)</x:f>
        <x:v>66640</x:v>
      </x:c>
      <x:c r="I176" s="62" t="n">
        <x:f>SUM(G$19:G176)</x:f>
        <x:v>2094</x:v>
      </x:c>
      <x:c r="J176" s="62" t="n">
        <x:f>SUM(H$19:H176)</x:f>
        <x:v>5001510</x:v>
      </x:c>
      <x:c r="K176" s="62" t="n">
        <x:f>I176*18</x:f>
        <x:v>37692</x:v>
      </x:c>
      <x:c r="L176" s="62" t="n">
        <x:f>J176*18</x:f>
        <x:v>90027180</x:v>
      </x:c>
    </x:row>
    <x:row r="177" ht="23" customHeight="1">
      <x:c r="A177" s="119" t="n">
        <x:v>159</x:v>
      </x:c>
      <x:c r="B177" s="119" t="n">
        <x:f>VLOOKUP(A177,$A$7:$G$13,6,TRUE)</x:f>
        <x:v>18</x:v>
      </x:c>
      <x:c r="C177" s="119" t="n">
        <x:f>ROUNDUP(('经济参数'!$E$52+(A177-1)*'经济参数'!$E$53)*VLOOKUP(A177,$A$7:$G$13,7,TRUE),0)</x:f>
        <x:v>67060</x:v>
      </x:c>
      <x:c r="D177" s="110" t="n">
        <x:v>1</x:v>
      </x:c>
      <x:c r="E177" s="110" t="n">
        <x:v>1</x:v>
      </x:c>
      <x:c r="F177" s="110" t="n">
        <x:f>IF('使用说明'!$B$4=0,D177,E177)</x:f>
        <x:v>1</x:v>
      </x:c>
      <x:c r="G177" s="62" t="n">
        <x:f>IFERROR(B177/F177,0)</x:f>
        <x:v>18</x:v>
      </x:c>
      <x:c r="H177" s="62" t="n">
        <x:f>IFERROR(C177/F177,0)</x:f>
        <x:v>67060</x:v>
      </x:c>
      <x:c r="I177" s="62" t="n">
        <x:f>SUM(G$19:G177)</x:f>
        <x:v>2112</x:v>
      </x:c>
      <x:c r="J177" s="62" t="n">
        <x:f>SUM(H$19:H177)</x:f>
        <x:v>5068570</x:v>
      </x:c>
      <x:c r="K177" s="62" t="n">
        <x:f>I177*18</x:f>
        <x:v>38016</x:v>
      </x:c>
      <x:c r="L177" s="62" t="n">
        <x:f>J177*18</x:f>
        <x:v>91234260</x:v>
      </x:c>
    </x:row>
    <x:row r="178" ht="23" customHeight="1">
      <x:c r="A178" s="119" t="n">
        <x:v>160</x:v>
      </x:c>
      <x:c r="B178" s="119" t="n">
        <x:f>VLOOKUP(A178,$A$7:$G$13,6,TRUE)</x:f>
        <x:v>18</x:v>
      </x:c>
      <x:c r="C178" s="119" t="n">
        <x:f>ROUNDUP(('经济参数'!$E$52+(A178-1)*'经济参数'!$E$53)*VLOOKUP(A178,$A$7:$G$13,7,TRUE),0)</x:f>
        <x:v>67480</x:v>
      </x:c>
      <x:c r="D178" s="110" t="n">
        <x:v>1</x:v>
      </x:c>
      <x:c r="E178" s="110" t="n">
        <x:v>1</x:v>
      </x:c>
      <x:c r="F178" s="110" t="n">
        <x:f>IF('使用说明'!$B$4=0,D178,E178)</x:f>
        <x:v>1</x:v>
      </x:c>
      <x:c r="G178" s="62" t="n">
        <x:f>IFERROR(B178/F178,0)</x:f>
        <x:v>18</x:v>
      </x:c>
      <x:c r="H178" s="62" t="n">
        <x:f>IFERROR(C178/F178,0)</x:f>
        <x:v>67480</x:v>
      </x:c>
      <x:c r="I178" s="62" t="n">
        <x:f>SUM(G$19:G178)</x:f>
        <x:v>2130</x:v>
      </x:c>
      <x:c r="J178" s="62" t="n">
        <x:f>SUM(H$19:H178)</x:f>
        <x:v>5136050</x:v>
      </x:c>
      <x:c r="K178" s="62" t="n">
        <x:f>I178*18</x:f>
        <x:v>38340</x:v>
      </x:c>
      <x:c r="L178" s="62" t="n">
        <x:f>J178*18</x:f>
        <x:v>92448900</x:v>
      </x:c>
    </x:row>
    <x:row r="179" ht="23" customHeight="1">
      <x:c r="A179" s="119" t="n">
        <x:v>161</x:v>
      </x:c>
      <x:c r="B179" s="119" t="n">
        <x:f>VLOOKUP(A179,$A$7:$G$13,6,TRUE)</x:f>
        <x:v>18</x:v>
      </x:c>
      <x:c r="C179" s="119" t="n">
        <x:f>ROUNDUP(('经济参数'!$E$52+(A179-1)*'经济参数'!$E$53)*VLOOKUP(A179,$A$7:$G$13,7,TRUE),0)</x:f>
        <x:v>67900</x:v>
      </x:c>
      <x:c r="D179" s="110" t="n">
        <x:v>1</x:v>
      </x:c>
      <x:c r="E179" s="110" t="n">
        <x:v>1</x:v>
      </x:c>
      <x:c r="F179" s="110" t="n">
        <x:f>IF('使用说明'!$B$4=0,D179,E179)</x:f>
        <x:v>1</x:v>
      </x:c>
      <x:c r="G179" s="62" t="n">
        <x:f>IFERROR(B179/F179,0)</x:f>
        <x:v>18</x:v>
      </x:c>
      <x:c r="H179" s="62" t="n">
        <x:f>IFERROR(C179/F179,0)</x:f>
        <x:v>67900</x:v>
      </x:c>
      <x:c r="I179" s="62" t="n">
        <x:f>SUM(G$19:G179)</x:f>
        <x:v>2148</x:v>
      </x:c>
      <x:c r="J179" s="62" t="n">
        <x:f>SUM(H$19:H179)</x:f>
        <x:v>5203950</x:v>
      </x:c>
      <x:c r="K179" s="62" t="n">
        <x:f>I179*18</x:f>
        <x:v>38664</x:v>
      </x:c>
      <x:c r="L179" s="62" t="n">
        <x:f>J179*18</x:f>
        <x:v>93671100</x:v>
      </x:c>
    </x:row>
    <x:row r="180" ht="23" customHeight="1">
      <x:c r="A180" s="119" t="n">
        <x:v>162</x:v>
      </x:c>
      <x:c r="B180" s="119" t="n">
        <x:f>VLOOKUP(A180,$A$7:$G$13,6,TRUE)</x:f>
        <x:v>18</x:v>
      </x:c>
      <x:c r="C180" s="119" t="n">
        <x:f>ROUNDUP(('经济参数'!$E$52+(A180-1)*'经济参数'!$E$53)*VLOOKUP(A180,$A$7:$G$13,7,TRUE),0)</x:f>
        <x:v>68320</x:v>
      </x:c>
      <x:c r="D180" s="110" t="n">
        <x:v>1</x:v>
      </x:c>
      <x:c r="E180" s="110" t="n">
        <x:v>1</x:v>
      </x:c>
      <x:c r="F180" s="110" t="n">
        <x:f>IF('使用说明'!$B$4=0,D180,E180)</x:f>
        <x:v>1</x:v>
      </x:c>
      <x:c r="G180" s="62" t="n">
        <x:f>IFERROR(B180/F180,0)</x:f>
        <x:v>18</x:v>
      </x:c>
      <x:c r="H180" s="62" t="n">
        <x:f>IFERROR(C180/F180,0)</x:f>
        <x:v>68320</x:v>
      </x:c>
      <x:c r="I180" s="62" t="n">
        <x:f>SUM(G$19:G180)</x:f>
        <x:v>2166</x:v>
      </x:c>
      <x:c r="J180" s="62" t="n">
        <x:f>SUM(H$19:H180)</x:f>
        <x:v>5272270</x:v>
      </x:c>
      <x:c r="K180" s="62" t="n">
        <x:f>I180*18</x:f>
        <x:v>38988</x:v>
      </x:c>
      <x:c r="L180" s="62" t="n">
        <x:f>J180*18</x:f>
        <x:v>94900860</x:v>
      </x:c>
    </x:row>
    <x:row r="181" ht="23" customHeight="1">
      <x:c r="A181" s="119" t="n">
        <x:v>163</x:v>
      </x:c>
      <x:c r="B181" s="119" t="n">
        <x:f>VLOOKUP(A181,$A$7:$G$13,6,TRUE)</x:f>
        <x:v>18</x:v>
      </x:c>
      <x:c r="C181" s="119" t="n">
        <x:f>ROUNDUP(('经济参数'!$E$52+(A181-1)*'经济参数'!$E$53)*VLOOKUP(A181,$A$7:$G$13,7,TRUE),0)</x:f>
        <x:v>68740</x:v>
      </x:c>
      <x:c r="D181" s="110" t="n">
        <x:v>1</x:v>
      </x:c>
      <x:c r="E181" s="110" t="n">
        <x:v>1</x:v>
      </x:c>
      <x:c r="F181" s="110" t="n">
        <x:f>IF('使用说明'!$B$4=0,D181,E181)</x:f>
        <x:v>1</x:v>
      </x:c>
      <x:c r="G181" s="62" t="n">
        <x:f>IFERROR(B181/F181,0)</x:f>
        <x:v>18</x:v>
      </x:c>
      <x:c r="H181" s="62" t="n">
        <x:f>IFERROR(C181/F181,0)</x:f>
        <x:v>68740</x:v>
      </x:c>
      <x:c r="I181" s="62" t="n">
        <x:f>SUM(G$19:G181)</x:f>
        <x:v>2184</x:v>
      </x:c>
      <x:c r="J181" s="62" t="n">
        <x:f>SUM(H$19:H181)</x:f>
        <x:v>5341010</x:v>
      </x:c>
      <x:c r="K181" s="62" t="n">
        <x:f>I181*18</x:f>
        <x:v>39312</x:v>
      </x:c>
      <x:c r="L181" s="62" t="n">
        <x:f>J181*18</x:f>
        <x:v>96138180</x:v>
      </x:c>
    </x:row>
    <x:row r="182" ht="23" customHeight="1">
      <x:c r="A182" s="119" t="n">
        <x:v>164</x:v>
      </x:c>
      <x:c r="B182" s="119" t="n">
        <x:f>VLOOKUP(A182,$A$7:$G$13,6,TRUE)</x:f>
        <x:v>18</x:v>
      </x:c>
      <x:c r="C182" s="119" t="n">
        <x:f>ROUNDUP(('经济参数'!$E$52+(A182-1)*'经济参数'!$E$53)*VLOOKUP(A182,$A$7:$G$13,7,TRUE),0)</x:f>
        <x:v>69160</x:v>
      </x:c>
      <x:c r="D182" s="110" t="n">
        <x:v>1</x:v>
      </x:c>
      <x:c r="E182" s="110" t="n">
        <x:v>1</x:v>
      </x:c>
      <x:c r="F182" s="110" t="n">
        <x:f>IF('使用说明'!$B$4=0,D182,E182)</x:f>
        <x:v>1</x:v>
      </x:c>
      <x:c r="G182" s="62" t="n">
        <x:f>IFERROR(B182/F182,0)</x:f>
        <x:v>18</x:v>
      </x:c>
      <x:c r="H182" s="62" t="n">
        <x:f>IFERROR(C182/F182,0)</x:f>
        <x:v>69160</x:v>
      </x:c>
      <x:c r="I182" s="62" t="n">
        <x:f>SUM(G$19:G182)</x:f>
        <x:v>2202</x:v>
      </x:c>
      <x:c r="J182" s="62" t="n">
        <x:f>SUM(H$19:H182)</x:f>
        <x:v>5410170</x:v>
      </x:c>
      <x:c r="K182" s="62" t="n">
        <x:f>I182*18</x:f>
        <x:v>39636</x:v>
      </x:c>
      <x:c r="L182" s="62" t="n">
        <x:f>J182*18</x:f>
        <x:v>97383060</x:v>
      </x:c>
    </x:row>
    <x:row r="183" ht="23" customHeight="1">
      <x:c r="A183" s="119" t="n">
        <x:v>165</x:v>
      </x:c>
      <x:c r="B183" s="119" t="n">
        <x:f>VLOOKUP(A183,$A$7:$G$13,6,TRUE)</x:f>
        <x:v>18</x:v>
      </x:c>
      <x:c r="C183" s="119" t="n">
        <x:f>ROUNDUP(('经济参数'!$E$52+(A183-1)*'经济参数'!$E$53)*VLOOKUP(A183,$A$7:$G$13,7,TRUE),0)</x:f>
        <x:v>69580</x:v>
      </x:c>
      <x:c r="D183" s="110" t="n">
        <x:v>1</x:v>
      </x:c>
      <x:c r="E183" s="110" t="n">
        <x:v>1</x:v>
      </x:c>
      <x:c r="F183" s="110" t="n">
        <x:f>IF('使用说明'!$B$4=0,D183,E183)</x:f>
        <x:v>1</x:v>
      </x:c>
      <x:c r="G183" s="62" t="n">
        <x:f>IFERROR(B183/F183,0)</x:f>
        <x:v>18</x:v>
      </x:c>
      <x:c r="H183" s="62" t="n">
        <x:f>IFERROR(C183/F183,0)</x:f>
        <x:v>69580</x:v>
      </x:c>
      <x:c r="I183" s="62" t="n">
        <x:f>SUM(G$19:G183)</x:f>
        <x:v>2220</x:v>
      </x:c>
      <x:c r="J183" s="62" t="n">
        <x:f>SUM(H$19:H183)</x:f>
        <x:v>5479750</x:v>
      </x:c>
      <x:c r="K183" s="62" t="n">
        <x:f>I183*18</x:f>
        <x:v>39960</x:v>
      </x:c>
      <x:c r="L183" s="62" t="n">
        <x:f>J183*18</x:f>
        <x:v>98635500</x:v>
      </x:c>
    </x:row>
    <x:row r="184" ht="23" customHeight="1">
      <x:c r="A184" s="119" t="n">
        <x:v>166</x:v>
      </x:c>
      <x:c r="B184" s="119" t="n">
        <x:f>VLOOKUP(A184,$A$7:$G$13,6,TRUE)</x:f>
        <x:v>18</x:v>
      </x:c>
      <x:c r="C184" s="119" t="n">
        <x:f>ROUNDUP(('经济参数'!$E$52+(A184-1)*'经济参数'!$E$53)*VLOOKUP(A184,$A$7:$G$13,7,TRUE),0)</x:f>
        <x:v>70000</x:v>
      </x:c>
      <x:c r="D184" s="110" t="n">
        <x:v>1</x:v>
      </x:c>
      <x:c r="E184" s="110" t="n">
        <x:v>1</x:v>
      </x:c>
      <x:c r="F184" s="110" t="n">
        <x:f>IF('使用说明'!$B$4=0,D184,E184)</x:f>
        <x:v>1</x:v>
      </x:c>
      <x:c r="G184" s="62" t="n">
        <x:f>IFERROR(B184/F184,0)</x:f>
        <x:v>18</x:v>
      </x:c>
      <x:c r="H184" s="62" t="n">
        <x:f>IFERROR(C184/F184,0)</x:f>
        <x:v>70000</x:v>
      </x:c>
      <x:c r="I184" s="62" t="n">
        <x:f>SUM(G$19:G184)</x:f>
        <x:v>2238</x:v>
      </x:c>
      <x:c r="J184" s="62" t="n">
        <x:f>SUM(H$19:H184)</x:f>
        <x:v>5549750</x:v>
      </x:c>
      <x:c r="K184" s="62" t="n">
        <x:f>I184*18</x:f>
        <x:v>40284</x:v>
      </x:c>
      <x:c r="L184" s="62" t="n">
        <x:f>J184*18</x:f>
        <x:v>99895500</x:v>
      </x:c>
    </x:row>
    <x:row r="185" ht="23" customHeight="1">
      <x:c r="A185" s="119" t="n">
        <x:v>167</x:v>
      </x:c>
      <x:c r="B185" s="119" t="n">
        <x:f>VLOOKUP(A185,$A$7:$G$13,6,TRUE)</x:f>
        <x:v>18</x:v>
      </x:c>
      <x:c r="C185" s="119" t="n">
        <x:f>ROUNDUP(('经济参数'!$E$52+(A185-1)*'经济参数'!$E$53)*VLOOKUP(A185,$A$7:$G$13,7,TRUE),0)</x:f>
        <x:v>70420</x:v>
      </x:c>
      <x:c r="D185" s="110" t="n">
        <x:v>1</x:v>
      </x:c>
      <x:c r="E185" s="110" t="n">
        <x:v>1</x:v>
      </x:c>
      <x:c r="F185" s="110" t="n">
        <x:f>IF('使用说明'!$B$4=0,D185,E185)</x:f>
        <x:v>1</x:v>
      </x:c>
      <x:c r="G185" s="62" t="n">
        <x:f>IFERROR(B185/F185,0)</x:f>
        <x:v>18</x:v>
      </x:c>
      <x:c r="H185" s="62" t="n">
        <x:f>IFERROR(C185/F185,0)</x:f>
        <x:v>70420</x:v>
      </x:c>
      <x:c r="I185" s="62" t="n">
        <x:f>SUM(G$19:G185)</x:f>
        <x:v>2256</x:v>
      </x:c>
      <x:c r="J185" s="62" t="n">
        <x:f>SUM(H$19:H185)</x:f>
        <x:v>5620170</x:v>
      </x:c>
      <x:c r="K185" s="62" t="n">
        <x:f>I185*18</x:f>
        <x:v>40608</x:v>
      </x:c>
      <x:c r="L185" s="62" t="n">
        <x:f>J185*18</x:f>
        <x:v>101163060</x:v>
      </x:c>
    </x:row>
    <x:row r="186" ht="23" customHeight="1">
      <x:c r="A186" s="119" t="n">
        <x:v>168</x:v>
      </x:c>
      <x:c r="B186" s="119" t="n">
        <x:f>VLOOKUP(A186,$A$7:$G$13,6,TRUE)</x:f>
        <x:v>18</x:v>
      </x:c>
      <x:c r="C186" s="119" t="n">
        <x:f>ROUNDUP(('经济参数'!$E$52+(A186-1)*'经济参数'!$E$53)*VLOOKUP(A186,$A$7:$G$13,7,TRUE),0)</x:f>
        <x:v>70840</x:v>
      </x:c>
      <x:c r="D186" s="110" t="n">
        <x:v>1</x:v>
      </x:c>
      <x:c r="E186" s="110" t="n">
        <x:v>1</x:v>
      </x:c>
      <x:c r="F186" s="110" t="n">
        <x:f>IF('使用说明'!$B$4=0,D186,E186)</x:f>
        <x:v>1</x:v>
      </x:c>
      <x:c r="G186" s="62" t="n">
        <x:f>IFERROR(B186/F186,0)</x:f>
        <x:v>18</x:v>
      </x:c>
      <x:c r="H186" s="62" t="n">
        <x:f>IFERROR(C186/F186,0)</x:f>
        <x:v>70840</x:v>
      </x:c>
      <x:c r="I186" s="62" t="n">
        <x:f>SUM(G$19:G186)</x:f>
        <x:v>2274</x:v>
      </x:c>
      <x:c r="J186" s="62" t="n">
        <x:f>SUM(H$19:H186)</x:f>
        <x:v>5691010</x:v>
      </x:c>
      <x:c r="K186" s="62" t="n">
        <x:f>I186*18</x:f>
        <x:v>40932</x:v>
      </x:c>
      <x:c r="L186" s="62" t="n">
        <x:f>J186*18</x:f>
        <x:v>102438180</x:v>
      </x:c>
    </x:row>
    <x:row r="187" ht="23" customHeight="1">
      <x:c r="A187" s="119" t="n">
        <x:v>169</x:v>
      </x:c>
      <x:c r="B187" s="119" t="n">
        <x:f>VLOOKUP(A187,$A$7:$G$13,6,TRUE)</x:f>
        <x:v>18</x:v>
      </x:c>
      <x:c r="C187" s="119" t="n">
        <x:f>ROUNDUP(('经济参数'!$E$52+(A187-1)*'经济参数'!$E$53)*VLOOKUP(A187,$A$7:$G$13,7,TRUE),0)</x:f>
        <x:v>71260</x:v>
      </x:c>
      <x:c r="D187" s="110" t="n">
        <x:v>1</x:v>
      </x:c>
      <x:c r="E187" s="110" t="n">
        <x:v>1</x:v>
      </x:c>
      <x:c r="F187" s="110" t="n">
        <x:f>IF('使用说明'!$B$4=0,D187,E187)</x:f>
        <x:v>1</x:v>
      </x:c>
      <x:c r="G187" s="62" t="n">
        <x:f>IFERROR(B187/F187,0)</x:f>
        <x:v>18</x:v>
      </x:c>
      <x:c r="H187" s="62" t="n">
        <x:f>IFERROR(C187/F187,0)</x:f>
        <x:v>71260</x:v>
      </x:c>
      <x:c r="I187" s="62" t="n">
        <x:f>SUM(G$19:G187)</x:f>
        <x:v>2292</x:v>
      </x:c>
      <x:c r="J187" s="62" t="n">
        <x:f>SUM(H$19:H187)</x:f>
        <x:v>5762270</x:v>
      </x:c>
      <x:c r="K187" s="62" t="n">
        <x:f>I187*18</x:f>
        <x:v>41256</x:v>
      </x:c>
      <x:c r="L187" s="62" t="n">
        <x:f>J187*18</x:f>
        <x:v>103720860</x:v>
      </x:c>
    </x:row>
    <x:row r="188" ht="23" customHeight="1">
      <x:c r="A188" s="119" t="n">
        <x:v>170</x:v>
      </x:c>
      <x:c r="B188" s="119" t="n">
        <x:f>VLOOKUP(A188,$A$7:$G$13,6,TRUE)</x:f>
        <x:v>18</x:v>
      </x:c>
      <x:c r="C188" s="119" t="n">
        <x:f>ROUNDUP(('经济参数'!$E$52+(A188-1)*'经济参数'!$E$53)*VLOOKUP(A188,$A$7:$G$13,7,TRUE),0)</x:f>
        <x:v>71680</x:v>
      </x:c>
      <x:c r="D188" s="110" t="n">
        <x:v>1</x:v>
      </x:c>
      <x:c r="E188" s="110" t="n">
        <x:v>1</x:v>
      </x:c>
      <x:c r="F188" s="110" t="n">
        <x:f>IF('使用说明'!$B$4=0,D188,E188)</x:f>
        <x:v>1</x:v>
      </x:c>
      <x:c r="G188" s="62" t="n">
        <x:f>IFERROR(B188/F188,0)</x:f>
        <x:v>18</x:v>
      </x:c>
      <x:c r="H188" s="62" t="n">
        <x:f>IFERROR(C188/F188,0)</x:f>
        <x:v>71680</x:v>
      </x:c>
      <x:c r="I188" s="62" t="n">
        <x:f>SUM(G$19:G188)</x:f>
        <x:v>2310</x:v>
      </x:c>
      <x:c r="J188" s="62" t="n">
        <x:f>SUM(H$19:H188)</x:f>
        <x:v>5833950</x:v>
      </x:c>
      <x:c r="K188" s="62" t="n">
        <x:f>I188*18</x:f>
        <x:v>41580</x:v>
      </x:c>
      <x:c r="L188" s="62" t="n">
        <x:f>J188*18</x:f>
        <x:v>105011100</x:v>
      </x:c>
    </x:row>
    <x:row r="189" ht="23" customHeight="1">
      <x:c r="A189" s="119" t="n">
        <x:v>171</x:v>
      </x:c>
      <x:c r="B189" s="119" t="n">
        <x:f>VLOOKUP(A189,$A$7:$G$13,6,TRUE)</x:f>
        <x:v>18</x:v>
      </x:c>
      <x:c r="C189" s="119" t="n">
        <x:f>ROUNDUP(('经济参数'!$E$52+(A189-1)*'经济参数'!$E$53)*VLOOKUP(A189,$A$7:$G$13,7,TRUE),0)</x:f>
        <x:v>72100</x:v>
      </x:c>
      <x:c r="D189" s="110" t="n">
        <x:v>1</x:v>
      </x:c>
      <x:c r="E189" s="110" t="n">
        <x:v>1</x:v>
      </x:c>
      <x:c r="F189" s="110" t="n">
        <x:f>IF('使用说明'!$B$4=0,D189,E189)</x:f>
        <x:v>1</x:v>
      </x:c>
      <x:c r="G189" s="62" t="n">
        <x:f>IFERROR(B189/F189,0)</x:f>
        <x:v>18</x:v>
      </x:c>
      <x:c r="H189" s="62" t="n">
        <x:f>IFERROR(C189/F189,0)</x:f>
        <x:v>72100</x:v>
      </x:c>
      <x:c r="I189" s="62" t="n">
        <x:f>SUM(G$19:G189)</x:f>
        <x:v>2328</x:v>
      </x:c>
      <x:c r="J189" s="62" t="n">
        <x:f>SUM(H$19:H189)</x:f>
        <x:v>5906050</x:v>
      </x:c>
      <x:c r="K189" s="62" t="n">
        <x:f>I189*18</x:f>
        <x:v>41904</x:v>
      </x:c>
      <x:c r="L189" s="62" t="n">
        <x:f>J189*18</x:f>
        <x:v>106308900</x:v>
      </x:c>
    </x:row>
    <x:row r="190" ht="23" customHeight="1">
      <x:c r="A190" s="119" t="n">
        <x:v>172</x:v>
      </x:c>
      <x:c r="B190" s="119" t="n">
        <x:f>VLOOKUP(A190,$A$7:$G$13,6,TRUE)</x:f>
        <x:v>18</x:v>
      </x:c>
      <x:c r="C190" s="119" t="n">
        <x:f>ROUNDUP(('经济参数'!$E$52+(A190-1)*'经济参数'!$E$53)*VLOOKUP(A190,$A$7:$G$13,7,TRUE),0)</x:f>
        <x:v>72520</x:v>
      </x:c>
      <x:c r="D190" s="110" t="n">
        <x:v>1</x:v>
      </x:c>
      <x:c r="E190" s="110" t="n">
        <x:v>1</x:v>
      </x:c>
      <x:c r="F190" s="110" t="n">
        <x:f>IF('使用说明'!$B$4=0,D190,E190)</x:f>
        <x:v>1</x:v>
      </x:c>
      <x:c r="G190" s="62" t="n">
        <x:f>IFERROR(B190/F190,0)</x:f>
        <x:v>18</x:v>
      </x:c>
      <x:c r="H190" s="62" t="n">
        <x:f>IFERROR(C190/F190,0)</x:f>
        <x:v>72520</x:v>
      </x:c>
      <x:c r="I190" s="62" t="n">
        <x:f>SUM(G$19:G190)</x:f>
        <x:v>2346</x:v>
      </x:c>
      <x:c r="J190" s="62" t="n">
        <x:f>SUM(H$19:H190)</x:f>
        <x:v>5978570</x:v>
      </x:c>
      <x:c r="K190" s="62" t="n">
        <x:f>I190*18</x:f>
        <x:v>42228</x:v>
      </x:c>
      <x:c r="L190" s="62" t="n">
        <x:f>J190*18</x:f>
        <x:v>107614260</x:v>
      </x:c>
    </x:row>
    <x:row r="191" ht="23" customHeight="1">
      <x:c r="A191" s="119" t="n">
        <x:v>173</x:v>
      </x:c>
      <x:c r="B191" s="119" t="n">
        <x:f>VLOOKUP(A191,$A$7:$G$13,6,TRUE)</x:f>
        <x:v>18</x:v>
      </x:c>
      <x:c r="C191" s="119" t="n">
        <x:f>ROUNDUP(('经济参数'!$E$52+(A191-1)*'经济参数'!$E$53)*VLOOKUP(A191,$A$7:$G$13,7,TRUE),0)</x:f>
        <x:v>72940</x:v>
      </x:c>
      <x:c r="D191" s="110" t="n">
        <x:v>1</x:v>
      </x:c>
      <x:c r="E191" s="110" t="n">
        <x:v>1</x:v>
      </x:c>
      <x:c r="F191" s="110" t="n">
        <x:f>IF('使用说明'!$B$4=0,D191,E191)</x:f>
        <x:v>1</x:v>
      </x:c>
      <x:c r="G191" s="62" t="n">
        <x:f>IFERROR(B191/F191,0)</x:f>
        <x:v>18</x:v>
      </x:c>
      <x:c r="H191" s="62" t="n">
        <x:f>IFERROR(C191/F191,0)</x:f>
        <x:v>72940</x:v>
      </x:c>
      <x:c r="I191" s="62" t="n">
        <x:f>SUM(G$19:G191)</x:f>
        <x:v>2364</x:v>
      </x:c>
      <x:c r="J191" s="62" t="n">
        <x:f>SUM(H$19:H191)</x:f>
        <x:v>6051510</x:v>
      </x:c>
      <x:c r="K191" s="62" t="n">
        <x:f>I191*18</x:f>
        <x:v>42552</x:v>
      </x:c>
      <x:c r="L191" s="62" t="n">
        <x:f>J191*18</x:f>
        <x:v>108927180</x:v>
      </x:c>
    </x:row>
    <x:row r="192" ht="23" customHeight="1">
      <x:c r="A192" s="119" t="n">
        <x:v>174</x:v>
      </x:c>
      <x:c r="B192" s="119" t="n">
        <x:f>VLOOKUP(A192,$A$7:$G$13,6,TRUE)</x:f>
        <x:v>18</x:v>
      </x:c>
      <x:c r="C192" s="119" t="n">
        <x:f>ROUNDUP(('经济参数'!$E$52+(A192-1)*'经济参数'!$E$53)*VLOOKUP(A192,$A$7:$G$13,7,TRUE),0)</x:f>
        <x:v>73360</x:v>
      </x:c>
      <x:c r="D192" s="110" t="n">
        <x:v>1</x:v>
      </x:c>
      <x:c r="E192" s="110" t="n">
        <x:v>1</x:v>
      </x:c>
      <x:c r="F192" s="110" t="n">
        <x:f>IF('使用说明'!$B$4=0,D192,E192)</x:f>
        <x:v>1</x:v>
      </x:c>
      <x:c r="G192" s="62" t="n">
        <x:f>IFERROR(B192/F192,0)</x:f>
        <x:v>18</x:v>
      </x:c>
      <x:c r="H192" s="62" t="n">
        <x:f>IFERROR(C192/F192,0)</x:f>
        <x:v>73360</x:v>
      </x:c>
      <x:c r="I192" s="62" t="n">
        <x:f>SUM(G$19:G192)</x:f>
        <x:v>2382</x:v>
      </x:c>
      <x:c r="J192" s="62" t="n">
        <x:f>SUM(H$19:H192)</x:f>
        <x:v>6124870</x:v>
      </x:c>
      <x:c r="K192" s="62" t="n">
        <x:f>I192*18</x:f>
        <x:v>42876</x:v>
      </x:c>
      <x:c r="L192" s="62" t="n">
        <x:f>J192*18</x:f>
        <x:v>110247660</x:v>
      </x:c>
    </x:row>
    <x:row r="193" ht="23" customHeight="1">
      <x:c r="A193" s="119" t="n">
        <x:v>175</x:v>
      </x:c>
      <x:c r="B193" s="119" t="n">
        <x:f>VLOOKUP(A193,$A$7:$G$13,6,TRUE)</x:f>
        <x:v>18</x:v>
      </x:c>
      <x:c r="C193" s="119" t="n">
        <x:f>ROUNDUP(('经济参数'!$E$52+(A193-1)*'经济参数'!$E$53)*VLOOKUP(A193,$A$7:$G$13,7,TRUE),0)</x:f>
        <x:v>73780</x:v>
      </x:c>
      <x:c r="D193" s="110" t="n">
        <x:v>1</x:v>
      </x:c>
      <x:c r="E193" s="110" t="n">
        <x:v>1</x:v>
      </x:c>
      <x:c r="F193" s="110" t="n">
        <x:f>IF('使用说明'!$B$4=0,D193,E193)</x:f>
        <x:v>1</x:v>
      </x:c>
      <x:c r="G193" s="62" t="n">
        <x:f>IFERROR(B193/F193,0)</x:f>
        <x:v>18</x:v>
      </x:c>
      <x:c r="H193" s="62" t="n">
        <x:f>IFERROR(C193/F193,0)</x:f>
        <x:v>73780</x:v>
      </x:c>
      <x:c r="I193" s="62" t="n">
        <x:f>SUM(G$19:G193)</x:f>
        <x:v>2400</x:v>
      </x:c>
      <x:c r="J193" s="62" t="n">
        <x:f>SUM(H$19:H193)</x:f>
        <x:v>6198650</x:v>
      </x:c>
      <x:c r="K193" s="62" t="n">
        <x:f>I193*18</x:f>
        <x:v>43200</x:v>
      </x:c>
      <x:c r="L193" s="62" t="n">
        <x:f>J193*18</x:f>
        <x:v>111575700</x:v>
      </x:c>
    </x:row>
    <x:row r="194" ht="23" customHeight="1">
      <x:c r="A194" s="119" t="n">
        <x:v>176</x:v>
      </x:c>
      <x:c r="B194" s="119" t="n">
        <x:f>VLOOKUP(A194,$A$7:$G$13,6,TRUE)</x:f>
        <x:v>18</x:v>
      </x:c>
      <x:c r="C194" s="119" t="n">
        <x:f>ROUNDUP(('经济参数'!$E$52+(A194-1)*'经济参数'!$E$53)*VLOOKUP(A194,$A$7:$G$13,7,TRUE),0)</x:f>
        <x:v>74200</x:v>
      </x:c>
      <x:c r="D194" s="110" t="n">
        <x:v>1</x:v>
      </x:c>
      <x:c r="E194" s="110" t="n">
        <x:v>1</x:v>
      </x:c>
      <x:c r="F194" s="110" t="n">
        <x:f>IF('使用说明'!$B$4=0,D194,E194)</x:f>
        <x:v>1</x:v>
      </x:c>
      <x:c r="G194" s="62" t="n">
        <x:f>IFERROR(B194/F194,0)</x:f>
        <x:v>18</x:v>
      </x:c>
      <x:c r="H194" s="62" t="n">
        <x:f>IFERROR(C194/F194,0)</x:f>
        <x:v>74200</x:v>
      </x:c>
      <x:c r="I194" s="62" t="n">
        <x:f>SUM(G$19:G194)</x:f>
        <x:v>2418</x:v>
      </x:c>
      <x:c r="J194" s="62" t="n">
        <x:f>SUM(H$19:H194)</x:f>
        <x:v>6272850</x:v>
      </x:c>
      <x:c r="K194" s="62" t="n">
        <x:f>I194*18</x:f>
        <x:v>43524</x:v>
      </x:c>
      <x:c r="L194" s="62" t="n">
        <x:f>J194*18</x:f>
        <x:v>112911300</x:v>
      </x:c>
    </x:row>
    <x:row r="195" ht="23" customHeight="1">
      <x:c r="A195" s="119" t="n">
        <x:v>177</x:v>
      </x:c>
      <x:c r="B195" s="119" t="n">
        <x:f>VLOOKUP(A195,$A$7:$G$13,6,TRUE)</x:f>
        <x:v>18</x:v>
      </x:c>
      <x:c r="C195" s="119" t="n">
        <x:f>ROUNDUP(('经济参数'!$E$52+(A195-1)*'经济参数'!$E$53)*VLOOKUP(A195,$A$7:$G$13,7,TRUE),0)</x:f>
        <x:v>74620</x:v>
      </x:c>
      <x:c r="D195" s="110" t="n">
        <x:v>1</x:v>
      </x:c>
      <x:c r="E195" s="110" t="n">
        <x:v>1</x:v>
      </x:c>
      <x:c r="F195" s="110" t="n">
        <x:f>IF('使用说明'!$B$4=0,D195,E195)</x:f>
        <x:v>1</x:v>
      </x:c>
      <x:c r="G195" s="62" t="n">
        <x:f>IFERROR(B195/F195,0)</x:f>
        <x:v>18</x:v>
      </x:c>
      <x:c r="H195" s="62" t="n">
        <x:f>IFERROR(C195/F195,0)</x:f>
        <x:v>74620</x:v>
      </x:c>
      <x:c r="I195" s="62" t="n">
        <x:f>SUM(G$19:G195)</x:f>
        <x:v>2436</x:v>
      </x:c>
      <x:c r="J195" s="62" t="n">
        <x:f>SUM(H$19:H195)</x:f>
        <x:v>6347470</x:v>
      </x:c>
      <x:c r="K195" s="62" t="n">
        <x:f>I195*18</x:f>
        <x:v>43848</x:v>
      </x:c>
      <x:c r="L195" s="62" t="n">
        <x:f>J195*18</x:f>
        <x:v>114254460</x:v>
      </x:c>
    </x:row>
    <x:row r="196" ht="23" customHeight="1">
      <x:c r="A196" s="119" t="n">
        <x:v>178</x:v>
      </x:c>
      <x:c r="B196" s="119" t="n">
        <x:f>VLOOKUP(A196,$A$7:$G$13,6,TRUE)</x:f>
        <x:v>18</x:v>
      </x:c>
      <x:c r="C196" s="119" t="n">
        <x:f>ROUNDUP(('经济参数'!$E$52+(A196-1)*'经济参数'!$E$53)*VLOOKUP(A196,$A$7:$G$13,7,TRUE),0)</x:f>
        <x:v>75040</x:v>
      </x:c>
      <x:c r="D196" s="110" t="n">
        <x:v>1</x:v>
      </x:c>
      <x:c r="E196" s="110" t="n">
        <x:v>1</x:v>
      </x:c>
      <x:c r="F196" s="110" t="n">
        <x:f>IF('使用说明'!$B$4=0,D196,E196)</x:f>
        <x:v>1</x:v>
      </x:c>
      <x:c r="G196" s="62" t="n">
        <x:f>IFERROR(B196/F196,0)</x:f>
        <x:v>18</x:v>
      </x:c>
      <x:c r="H196" s="62" t="n">
        <x:f>IFERROR(C196/F196,0)</x:f>
        <x:v>75040</x:v>
      </x:c>
      <x:c r="I196" s="62" t="n">
        <x:f>SUM(G$19:G196)</x:f>
        <x:v>2454</x:v>
      </x:c>
      <x:c r="J196" s="62" t="n">
        <x:f>SUM(H$19:H196)</x:f>
        <x:v>6422510</x:v>
      </x:c>
      <x:c r="K196" s="62" t="n">
        <x:f>I196*18</x:f>
        <x:v>44172</x:v>
      </x:c>
      <x:c r="L196" s="62" t="n">
        <x:f>J196*18</x:f>
        <x:v>115605180</x:v>
      </x:c>
    </x:row>
    <x:row r="197" ht="23" customHeight="1">
      <x:c r="A197" s="119" t="n">
        <x:v>179</x:v>
      </x:c>
      <x:c r="B197" s="119" t="n">
        <x:f>VLOOKUP(A197,$A$7:$G$13,6,TRUE)</x:f>
        <x:v>18</x:v>
      </x:c>
      <x:c r="C197" s="119" t="n">
        <x:f>ROUNDUP(('经济参数'!$E$52+(A197-1)*'经济参数'!$E$53)*VLOOKUP(A197,$A$7:$G$13,7,TRUE),0)</x:f>
        <x:v>75460</x:v>
      </x:c>
      <x:c r="D197" s="110" t="n">
        <x:v>1</x:v>
      </x:c>
      <x:c r="E197" s="110" t="n">
        <x:v>1</x:v>
      </x:c>
      <x:c r="F197" s="110" t="n">
        <x:f>IF('使用说明'!$B$4=0,D197,E197)</x:f>
        <x:v>1</x:v>
      </x:c>
      <x:c r="G197" s="62" t="n">
        <x:f>IFERROR(B197/F197,0)</x:f>
        <x:v>18</x:v>
      </x:c>
      <x:c r="H197" s="62" t="n">
        <x:f>IFERROR(C197/F197,0)</x:f>
        <x:v>75460</x:v>
      </x:c>
      <x:c r="I197" s="62" t="n">
        <x:f>SUM(G$19:G197)</x:f>
        <x:v>2472</x:v>
      </x:c>
      <x:c r="J197" s="62" t="n">
        <x:f>SUM(H$19:H197)</x:f>
        <x:v>6497970</x:v>
      </x:c>
      <x:c r="K197" s="62" t="n">
        <x:f>I197*18</x:f>
        <x:v>44496</x:v>
      </x:c>
      <x:c r="L197" s="62" t="n">
        <x:f>J197*18</x:f>
        <x:v>116963460</x:v>
      </x:c>
    </x:row>
    <x:row r="198" ht="23" customHeight="1">
      <x:c r="A198" s="119" t="n">
        <x:v>180</x:v>
      </x:c>
      <x:c r="B198" s="119" t="n">
        <x:f>VLOOKUP(A198,$A$7:$G$13,6,TRUE)</x:f>
        <x:v>18</x:v>
      </x:c>
      <x:c r="C198" s="119" t="n">
        <x:f>ROUNDUP(('经济参数'!$E$52+(A198-1)*'经济参数'!$E$53)*VLOOKUP(A198,$A$7:$G$13,7,TRUE),0)</x:f>
        <x:v>75880</x:v>
      </x:c>
      <x:c r="D198" s="110" t="n">
        <x:v>1</x:v>
      </x:c>
      <x:c r="E198" s="110" t="n">
        <x:v>1</x:v>
      </x:c>
      <x:c r="F198" s="110" t="n">
        <x:f>IF('使用说明'!$B$4=0,D198,E198)</x:f>
        <x:v>1</x:v>
      </x:c>
      <x:c r="G198" s="62" t="n">
        <x:f>IFERROR(B198/F198,0)</x:f>
        <x:v>18</x:v>
      </x:c>
      <x:c r="H198" s="62" t="n">
        <x:f>IFERROR(C198/F198,0)</x:f>
        <x:v>75880</x:v>
      </x:c>
      <x:c r="I198" s="62" t="n">
        <x:f>SUM(G$19:G198)</x:f>
        <x:v>2490</x:v>
      </x:c>
      <x:c r="J198" s="62" t="n">
        <x:f>SUM(H$19:H198)</x:f>
        <x:v>6573850</x:v>
      </x:c>
      <x:c r="K198" s="62" t="n">
        <x:f>I198*18</x:f>
        <x:v>44820</x:v>
      </x:c>
      <x:c r="L198" s="62" t="n">
        <x:f>J198*18</x:f>
        <x:v>118329300</x:v>
      </x:c>
    </x:row>
    <x:row r="199" ht="23" customHeight="1">
      <x:c r="A199" s="119" t="n">
        <x:v>181</x:v>
      </x:c>
      <x:c r="B199" s="119" t="n">
        <x:f>VLOOKUP(A199,$A$7:$G$13,6,TRUE)</x:f>
        <x:v>18</x:v>
      </x:c>
      <x:c r="C199" s="119" t="n">
        <x:f>ROUNDUP(('经济参数'!$E$52+(A199-1)*'经济参数'!$E$53)*VLOOKUP(A199,$A$7:$G$13,7,TRUE),0)</x:f>
        <x:v>76300</x:v>
      </x:c>
      <x:c r="D199" s="110" t="n">
        <x:v>1</x:v>
      </x:c>
      <x:c r="E199" s="110" t="n">
        <x:v>1</x:v>
      </x:c>
      <x:c r="F199" s="110" t="n">
        <x:f>IF('使用说明'!$B$4=0,D199,E199)</x:f>
        <x:v>1</x:v>
      </x:c>
      <x:c r="G199" s="62" t="n">
        <x:f>IFERROR(B199/F199,0)</x:f>
        <x:v>18</x:v>
      </x:c>
      <x:c r="H199" s="62" t="n">
        <x:f>IFERROR(C199/F199,0)</x:f>
        <x:v>76300</x:v>
      </x:c>
      <x:c r="I199" s="62" t="n">
        <x:f>SUM(G$19:G199)</x:f>
        <x:v>2508</x:v>
      </x:c>
      <x:c r="J199" s="62" t="n">
        <x:f>SUM(H$19:H199)</x:f>
        <x:v>6650150</x:v>
      </x:c>
      <x:c r="K199" s="62" t="n">
        <x:f>I199*18</x:f>
        <x:v>45144</x:v>
      </x:c>
      <x:c r="L199" s="62" t="n">
        <x:f>J199*18</x:f>
        <x:v>119702700</x:v>
      </x:c>
    </x:row>
    <x:row r="200" ht="23" customHeight="1">
      <x:c r="A200" s="119" t="n">
        <x:v>182</x:v>
      </x:c>
      <x:c r="B200" s="119" t="n">
        <x:f>VLOOKUP(A200,$A$7:$G$13,6,TRUE)</x:f>
        <x:v>18</x:v>
      </x:c>
      <x:c r="C200" s="119" t="n">
        <x:f>ROUNDUP(('经济参数'!$E$52+(A200-1)*'经济参数'!$E$53)*VLOOKUP(A200,$A$7:$G$13,7,TRUE),0)</x:f>
        <x:v>76720</x:v>
      </x:c>
      <x:c r="D200" s="110" t="n">
        <x:v>1</x:v>
      </x:c>
      <x:c r="E200" s="110" t="n">
        <x:v>1</x:v>
      </x:c>
      <x:c r="F200" s="110" t="n">
        <x:f>IF('使用说明'!$B$4=0,D200,E200)</x:f>
        <x:v>1</x:v>
      </x:c>
      <x:c r="G200" s="62" t="n">
        <x:f>IFERROR(B200/F200,0)</x:f>
        <x:v>18</x:v>
      </x:c>
      <x:c r="H200" s="62" t="n">
        <x:f>IFERROR(C200/F200,0)</x:f>
        <x:v>76720</x:v>
      </x:c>
      <x:c r="I200" s="62" t="n">
        <x:f>SUM(G$19:G200)</x:f>
        <x:v>2526</x:v>
      </x:c>
      <x:c r="J200" s="62" t="n">
        <x:f>SUM(H$19:H200)</x:f>
        <x:v>6726870</x:v>
      </x:c>
      <x:c r="K200" s="62" t="n">
        <x:f>I200*18</x:f>
        <x:v>45468</x:v>
      </x:c>
      <x:c r="L200" s="62" t="n">
        <x:f>J200*18</x:f>
        <x:v>121083660</x:v>
      </x:c>
    </x:row>
    <x:row r="201" ht="23" customHeight="1">
      <x:c r="A201" s="119" t="n">
        <x:v>183</x:v>
      </x:c>
      <x:c r="B201" s="119" t="n">
        <x:f>VLOOKUP(A201,$A$7:$G$13,6,TRUE)</x:f>
        <x:v>18</x:v>
      </x:c>
      <x:c r="C201" s="119" t="n">
        <x:f>ROUNDUP(('经济参数'!$E$52+(A201-1)*'经济参数'!$E$53)*VLOOKUP(A201,$A$7:$G$13,7,TRUE),0)</x:f>
        <x:v>77140</x:v>
      </x:c>
      <x:c r="D201" s="110" t="n">
        <x:v>1</x:v>
      </x:c>
      <x:c r="E201" s="110" t="n">
        <x:v>1</x:v>
      </x:c>
      <x:c r="F201" s="110" t="n">
        <x:f>IF('使用说明'!$B$4=0,D201,E201)</x:f>
        <x:v>1</x:v>
      </x:c>
      <x:c r="G201" s="62" t="n">
        <x:f>IFERROR(B201/F201,0)</x:f>
        <x:v>18</x:v>
      </x:c>
      <x:c r="H201" s="62" t="n">
        <x:f>IFERROR(C201/F201,0)</x:f>
        <x:v>77140</x:v>
      </x:c>
      <x:c r="I201" s="62" t="n">
        <x:f>SUM(G$19:G201)</x:f>
        <x:v>2544</x:v>
      </x:c>
      <x:c r="J201" s="62" t="n">
        <x:f>SUM(H$19:H201)</x:f>
        <x:v>6804010</x:v>
      </x:c>
      <x:c r="K201" s="62" t="n">
        <x:f>I201*18</x:f>
        <x:v>45792</x:v>
      </x:c>
      <x:c r="L201" s="62" t="n">
        <x:f>J201*18</x:f>
        <x:v>122472180</x:v>
      </x:c>
    </x:row>
    <x:row r="202" ht="23" customHeight="1">
      <x:c r="A202" s="119" t="n">
        <x:v>184</x:v>
      </x:c>
      <x:c r="B202" s="119" t="n">
        <x:f>VLOOKUP(A202,$A$7:$G$13,6,TRUE)</x:f>
        <x:v>18</x:v>
      </x:c>
      <x:c r="C202" s="119" t="n">
        <x:f>ROUNDUP(('经济参数'!$E$52+(A202-1)*'经济参数'!$E$53)*VLOOKUP(A202,$A$7:$G$13,7,TRUE),0)</x:f>
        <x:v>77560</x:v>
      </x:c>
      <x:c r="D202" s="110" t="n">
        <x:v>1</x:v>
      </x:c>
      <x:c r="E202" s="110" t="n">
        <x:v>1</x:v>
      </x:c>
      <x:c r="F202" s="110" t="n">
        <x:f>IF('使用说明'!$B$4=0,D202,E202)</x:f>
        <x:v>1</x:v>
      </x:c>
      <x:c r="G202" s="62" t="n">
        <x:f>IFERROR(B202/F202,0)</x:f>
        <x:v>18</x:v>
      </x:c>
      <x:c r="H202" s="62" t="n">
        <x:f>IFERROR(C202/F202,0)</x:f>
        <x:v>77560</x:v>
      </x:c>
      <x:c r="I202" s="62" t="n">
        <x:f>SUM(G$19:G202)</x:f>
        <x:v>2562</x:v>
      </x:c>
      <x:c r="J202" s="62" t="n">
        <x:f>SUM(H$19:H202)</x:f>
        <x:v>6881570</x:v>
      </x:c>
      <x:c r="K202" s="62" t="n">
        <x:f>I202*18</x:f>
        <x:v>46116</x:v>
      </x:c>
      <x:c r="L202" s="62" t="n">
        <x:f>J202*18</x:f>
        <x:v>123868260</x:v>
      </x:c>
    </x:row>
    <x:row r="203" ht="23" customHeight="1">
      <x:c r="A203" s="119" t="n">
        <x:v>185</x:v>
      </x:c>
      <x:c r="B203" s="119" t="n">
        <x:f>VLOOKUP(A203,$A$7:$G$13,6,TRUE)</x:f>
        <x:v>18</x:v>
      </x:c>
      <x:c r="C203" s="119" t="n">
        <x:f>ROUNDUP(('经济参数'!$E$52+(A203-1)*'经济参数'!$E$53)*VLOOKUP(A203,$A$7:$G$13,7,TRUE),0)</x:f>
        <x:v>77980</x:v>
      </x:c>
      <x:c r="D203" s="110" t="n">
        <x:v>1</x:v>
      </x:c>
      <x:c r="E203" s="110" t="n">
        <x:v>1</x:v>
      </x:c>
      <x:c r="F203" s="110" t="n">
        <x:f>IF('使用说明'!$B$4=0,D203,E203)</x:f>
        <x:v>1</x:v>
      </x:c>
      <x:c r="G203" s="62" t="n">
        <x:f>IFERROR(B203/F203,0)</x:f>
        <x:v>18</x:v>
      </x:c>
      <x:c r="H203" s="62" t="n">
        <x:f>IFERROR(C203/F203,0)</x:f>
        <x:v>77980</x:v>
      </x:c>
      <x:c r="I203" s="62" t="n">
        <x:f>SUM(G$19:G203)</x:f>
        <x:v>2580</x:v>
      </x:c>
      <x:c r="J203" s="62" t="n">
        <x:f>SUM(H$19:H203)</x:f>
        <x:v>6959550</x:v>
      </x:c>
      <x:c r="K203" s="62" t="n">
        <x:f>I203*18</x:f>
        <x:v>46440</x:v>
      </x:c>
      <x:c r="L203" s="62" t="n">
        <x:f>J203*18</x:f>
        <x:v>125271900</x:v>
      </x:c>
    </x:row>
    <x:row r="204" ht="23" customHeight="1">
      <x:c r="A204" s="119" t="n">
        <x:v>186</x:v>
      </x:c>
      <x:c r="B204" s="119" t="n">
        <x:f>VLOOKUP(A204,$A$7:$G$13,6,TRUE)</x:f>
        <x:v>18</x:v>
      </x:c>
      <x:c r="C204" s="119" t="n">
        <x:f>ROUNDUP(('经济参数'!$E$52+(A204-1)*'经济参数'!$E$53)*VLOOKUP(A204,$A$7:$G$13,7,TRUE),0)</x:f>
        <x:v>78400</x:v>
      </x:c>
      <x:c r="D204" s="110" t="n">
        <x:v>1</x:v>
      </x:c>
      <x:c r="E204" s="110" t="n">
        <x:v>1</x:v>
      </x:c>
      <x:c r="F204" s="110" t="n">
        <x:f>IF('使用说明'!$B$4=0,D204,E204)</x:f>
        <x:v>1</x:v>
      </x:c>
      <x:c r="G204" s="62" t="n">
        <x:f>IFERROR(B204/F204,0)</x:f>
        <x:v>18</x:v>
      </x:c>
      <x:c r="H204" s="62" t="n">
        <x:f>IFERROR(C204/F204,0)</x:f>
        <x:v>78400</x:v>
      </x:c>
      <x:c r="I204" s="62" t="n">
        <x:f>SUM(G$19:G204)</x:f>
        <x:v>2598</x:v>
      </x:c>
      <x:c r="J204" s="62" t="n">
        <x:f>SUM(H$19:H204)</x:f>
        <x:v>7037950</x:v>
      </x:c>
      <x:c r="K204" s="62" t="n">
        <x:f>I204*18</x:f>
        <x:v>46764</x:v>
      </x:c>
      <x:c r="L204" s="62" t="n">
        <x:f>J204*18</x:f>
        <x:v>126683100</x:v>
      </x:c>
    </x:row>
    <x:row r="205" ht="23" customHeight="1">
      <x:c r="A205" s="119" t="n">
        <x:v>187</x:v>
      </x:c>
      <x:c r="B205" s="119" t="n">
        <x:f>VLOOKUP(A205,$A$7:$G$13,6,TRUE)</x:f>
        <x:v>18</x:v>
      </x:c>
      <x:c r="C205" s="119" t="n">
        <x:f>ROUNDUP(('经济参数'!$E$52+(A205-1)*'经济参数'!$E$53)*VLOOKUP(A205,$A$7:$G$13,7,TRUE),0)</x:f>
        <x:v>78820</x:v>
      </x:c>
      <x:c r="D205" s="110" t="n">
        <x:v>1</x:v>
      </x:c>
      <x:c r="E205" s="110" t="n">
        <x:v>1</x:v>
      </x:c>
      <x:c r="F205" s="110" t="n">
        <x:f>IF('使用说明'!$B$4=0,D205,E205)</x:f>
        <x:v>1</x:v>
      </x:c>
      <x:c r="G205" s="62" t="n">
        <x:f>IFERROR(B205/F205,0)</x:f>
        <x:v>18</x:v>
      </x:c>
      <x:c r="H205" s="62" t="n">
        <x:f>IFERROR(C205/F205,0)</x:f>
        <x:v>78820</x:v>
      </x:c>
      <x:c r="I205" s="62" t="n">
        <x:f>SUM(G$19:G205)</x:f>
        <x:v>2616</x:v>
      </x:c>
      <x:c r="J205" s="62" t="n">
        <x:f>SUM(H$19:H205)</x:f>
        <x:v>7116770</x:v>
      </x:c>
      <x:c r="K205" s="62" t="n">
        <x:f>I205*18</x:f>
        <x:v>47088</x:v>
      </x:c>
      <x:c r="L205" s="62" t="n">
        <x:f>J205*18</x:f>
        <x:v>128101860</x:v>
      </x:c>
    </x:row>
    <x:row r="206" ht="23" customHeight="1">
      <x:c r="A206" s="119" t="n">
        <x:v>188</x:v>
      </x:c>
      <x:c r="B206" s="119" t="n">
        <x:f>VLOOKUP(A206,$A$7:$G$13,6,TRUE)</x:f>
        <x:v>18</x:v>
      </x:c>
      <x:c r="C206" s="119" t="n">
        <x:f>ROUNDUP(('经济参数'!$E$52+(A206-1)*'经济参数'!$E$53)*VLOOKUP(A206,$A$7:$G$13,7,TRUE),0)</x:f>
        <x:v>79240</x:v>
      </x:c>
      <x:c r="D206" s="110" t="n">
        <x:v>1</x:v>
      </x:c>
      <x:c r="E206" s="110" t="n">
        <x:v>1</x:v>
      </x:c>
      <x:c r="F206" s="110" t="n">
        <x:f>IF('使用说明'!$B$4=0,D206,E206)</x:f>
        <x:v>1</x:v>
      </x:c>
      <x:c r="G206" s="62" t="n">
        <x:f>IFERROR(B206/F206,0)</x:f>
        <x:v>18</x:v>
      </x:c>
      <x:c r="H206" s="62" t="n">
        <x:f>IFERROR(C206/F206,0)</x:f>
        <x:v>79240</x:v>
      </x:c>
      <x:c r="I206" s="62" t="n">
        <x:f>SUM(G$19:G206)</x:f>
        <x:v>2634</x:v>
      </x:c>
      <x:c r="J206" s="62" t="n">
        <x:f>SUM(H$19:H206)</x:f>
        <x:v>7196010</x:v>
      </x:c>
      <x:c r="K206" s="62" t="n">
        <x:f>I206*18</x:f>
        <x:v>47412</x:v>
      </x:c>
      <x:c r="L206" s="62" t="n">
        <x:f>J206*18</x:f>
        <x:v>129528180</x:v>
      </x:c>
    </x:row>
    <x:row r="207" ht="23" customHeight="1">
      <x:c r="A207" s="119" t="n">
        <x:v>189</x:v>
      </x:c>
      <x:c r="B207" s="119" t="n">
        <x:f>VLOOKUP(A207,$A$7:$G$13,6,TRUE)</x:f>
        <x:v>18</x:v>
      </x:c>
      <x:c r="C207" s="119" t="n">
        <x:f>ROUNDUP(('经济参数'!$E$52+(A207-1)*'经济参数'!$E$53)*VLOOKUP(A207,$A$7:$G$13,7,TRUE),0)</x:f>
        <x:v>79660</x:v>
      </x:c>
      <x:c r="D207" s="110" t="n">
        <x:v>1</x:v>
      </x:c>
      <x:c r="E207" s="110" t="n">
        <x:v>1</x:v>
      </x:c>
      <x:c r="F207" s="110" t="n">
        <x:f>IF('使用说明'!$B$4=0,D207,E207)</x:f>
        <x:v>1</x:v>
      </x:c>
      <x:c r="G207" s="62" t="n">
        <x:f>IFERROR(B207/F207,0)</x:f>
        <x:v>18</x:v>
      </x:c>
      <x:c r="H207" s="62" t="n">
        <x:f>IFERROR(C207/F207,0)</x:f>
        <x:v>79660</x:v>
      </x:c>
      <x:c r="I207" s="62" t="n">
        <x:f>SUM(G$19:G207)</x:f>
        <x:v>2652</x:v>
      </x:c>
      <x:c r="J207" s="62" t="n">
        <x:f>SUM(H$19:H207)</x:f>
        <x:v>7275670</x:v>
      </x:c>
      <x:c r="K207" s="62" t="n">
        <x:f>I207*18</x:f>
        <x:v>47736</x:v>
      </x:c>
      <x:c r="L207" s="62" t="n">
        <x:f>J207*18</x:f>
        <x:v>130962060</x:v>
      </x:c>
    </x:row>
    <x:row r="208" ht="23" customHeight="1">
      <x:c r="A208" s="119" t="n">
        <x:v>190</x:v>
      </x:c>
      <x:c r="B208" s="119" t="n">
        <x:f>VLOOKUP(A208,$A$7:$G$13,6,TRUE)</x:f>
        <x:v>18</x:v>
      </x:c>
      <x:c r="C208" s="119" t="n">
        <x:f>ROUNDUP(('经济参数'!$E$52+(A208-1)*'经济参数'!$E$53)*VLOOKUP(A208,$A$7:$G$13,7,TRUE),0)</x:f>
        <x:v>80080</x:v>
      </x:c>
      <x:c r="D208" s="110" t="n">
        <x:v>1</x:v>
      </x:c>
      <x:c r="E208" s="110" t="n">
        <x:v>1</x:v>
      </x:c>
      <x:c r="F208" s="110" t="n">
        <x:f>IF('使用说明'!$B$4=0,D208,E208)</x:f>
        <x:v>1</x:v>
      </x:c>
      <x:c r="G208" s="62" t="n">
        <x:f>IFERROR(B208/F208,0)</x:f>
        <x:v>18</x:v>
      </x:c>
      <x:c r="H208" s="62" t="n">
        <x:f>IFERROR(C208/F208,0)</x:f>
        <x:v>80080</x:v>
      </x:c>
      <x:c r="I208" s="62" t="n">
        <x:f>SUM(G$19:G208)</x:f>
        <x:v>2670</x:v>
      </x:c>
      <x:c r="J208" s="62" t="n">
        <x:f>SUM(H$19:H208)</x:f>
        <x:v>7355750</x:v>
      </x:c>
      <x:c r="K208" s="62" t="n">
        <x:f>I208*18</x:f>
        <x:v>48060</x:v>
      </x:c>
      <x:c r="L208" s="62" t="n">
        <x:f>J208*18</x:f>
        <x:v>132403500</x:v>
      </x:c>
    </x:row>
    <x:row r="209" ht="23" customHeight="1">
      <x:c r="A209" s="119" t="n">
        <x:v>191</x:v>
      </x:c>
      <x:c r="B209" s="119" t="n">
        <x:f>VLOOKUP(A209,$A$7:$G$13,6,TRUE)</x:f>
        <x:v>18</x:v>
      </x:c>
      <x:c r="C209" s="119" t="n">
        <x:f>ROUNDUP(('经济参数'!$E$52+(A209-1)*'经济参数'!$E$53)*VLOOKUP(A209,$A$7:$G$13,7,TRUE),0)</x:f>
        <x:v>80500</x:v>
      </x:c>
      <x:c r="D209" s="110" t="n">
        <x:v>1</x:v>
      </x:c>
      <x:c r="E209" s="110" t="n">
        <x:v>1</x:v>
      </x:c>
      <x:c r="F209" s="110" t="n">
        <x:f>IF('使用说明'!$B$4=0,D209,E209)</x:f>
        <x:v>1</x:v>
      </x:c>
      <x:c r="G209" s="62" t="n">
        <x:f>IFERROR(B209/F209,0)</x:f>
        <x:v>18</x:v>
      </x:c>
      <x:c r="H209" s="62" t="n">
        <x:f>IFERROR(C209/F209,0)</x:f>
        <x:v>80500</x:v>
      </x:c>
      <x:c r="I209" s="62" t="n">
        <x:f>SUM(G$19:G209)</x:f>
        <x:v>2688</x:v>
      </x:c>
      <x:c r="J209" s="62" t="n">
        <x:f>SUM(H$19:H209)</x:f>
        <x:v>7436250</x:v>
      </x:c>
      <x:c r="K209" s="62" t="n">
        <x:f>I209*18</x:f>
        <x:v>48384</x:v>
      </x:c>
      <x:c r="L209" s="62" t="n">
        <x:f>J209*18</x:f>
        <x:v>133852500</x:v>
      </x:c>
    </x:row>
    <x:row r="210" ht="23" customHeight="1">
      <x:c r="A210" s="119" t="n">
        <x:v>192</x:v>
      </x:c>
      <x:c r="B210" s="119" t="n">
        <x:f>VLOOKUP(A210,$A$7:$G$13,6,TRUE)</x:f>
        <x:v>18</x:v>
      </x:c>
      <x:c r="C210" s="119" t="n">
        <x:f>ROUNDUP(('经济参数'!$E$52+(A210-1)*'经济参数'!$E$53)*VLOOKUP(A210,$A$7:$G$13,7,TRUE),0)</x:f>
        <x:v>80920</x:v>
      </x:c>
      <x:c r="D210" s="110" t="n">
        <x:v>1</x:v>
      </x:c>
      <x:c r="E210" s="110" t="n">
        <x:v>1</x:v>
      </x:c>
      <x:c r="F210" s="110" t="n">
        <x:f>IF('使用说明'!$B$4=0,D210,E210)</x:f>
        <x:v>1</x:v>
      </x:c>
      <x:c r="G210" s="62" t="n">
        <x:f>IFERROR(B210/F210,0)</x:f>
        <x:v>18</x:v>
      </x:c>
      <x:c r="H210" s="62" t="n">
        <x:f>IFERROR(C210/F210,0)</x:f>
        <x:v>80920</x:v>
      </x:c>
      <x:c r="I210" s="62" t="n">
        <x:f>SUM(G$19:G210)</x:f>
        <x:v>2706</x:v>
      </x:c>
      <x:c r="J210" s="62" t="n">
        <x:f>SUM(H$19:H210)</x:f>
        <x:v>7517170</x:v>
      </x:c>
      <x:c r="K210" s="62" t="n">
        <x:f>I210*18</x:f>
        <x:v>48708</x:v>
      </x:c>
      <x:c r="L210" s="62" t="n">
        <x:f>J210*18</x:f>
        <x:v>135309060</x:v>
      </x:c>
    </x:row>
    <x:row r="211" ht="23" customHeight="1">
      <x:c r="A211" s="119" t="n">
        <x:v>193</x:v>
      </x:c>
      <x:c r="B211" s="119" t="n">
        <x:f>VLOOKUP(A211,$A$7:$G$13,6,TRUE)</x:f>
        <x:v>18</x:v>
      </x:c>
      <x:c r="C211" s="119" t="n">
        <x:f>ROUNDUP(('经济参数'!$E$52+(A211-1)*'经济参数'!$E$53)*VLOOKUP(A211,$A$7:$G$13,7,TRUE),0)</x:f>
        <x:v>81340</x:v>
      </x:c>
      <x:c r="D211" s="110" t="n">
        <x:v>1</x:v>
      </x:c>
      <x:c r="E211" s="110" t="n">
        <x:v>1</x:v>
      </x:c>
      <x:c r="F211" s="110" t="n">
        <x:f>IF('使用说明'!$B$4=0,D211,E211)</x:f>
        <x:v>1</x:v>
      </x:c>
      <x:c r="G211" s="62" t="n">
        <x:f>IFERROR(B211/F211,0)</x:f>
        <x:v>18</x:v>
      </x:c>
      <x:c r="H211" s="62" t="n">
        <x:f>IFERROR(C211/F211,0)</x:f>
        <x:v>81340</x:v>
      </x:c>
      <x:c r="I211" s="62" t="n">
        <x:f>SUM(G$19:G211)</x:f>
        <x:v>2724</x:v>
      </x:c>
      <x:c r="J211" s="62" t="n">
        <x:f>SUM(H$19:H211)</x:f>
        <x:v>7598510</x:v>
      </x:c>
      <x:c r="K211" s="62" t="n">
        <x:f>I211*18</x:f>
        <x:v>49032</x:v>
      </x:c>
      <x:c r="L211" s="62" t="n">
        <x:f>J211*18</x:f>
        <x:v>136773180</x:v>
      </x:c>
    </x:row>
    <x:row r="212" ht="23" customHeight="1">
      <x:c r="A212" s="119" t="n">
        <x:v>194</x:v>
      </x:c>
      <x:c r="B212" s="119" t="n">
        <x:f>VLOOKUP(A212,$A$7:$G$13,6,TRUE)</x:f>
        <x:v>18</x:v>
      </x:c>
      <x:c r="C212" s="119" t="n">
        <x:f>ROUNDUP(('经济参数'!$E$52+(A212-1)*'经济参数'!$E$53)*VLOOKUP(A212,$A$7:$G$13,7,TRUE),0)</x:f>
        <x:v>81760</x:v>
      </x:c>
      <x:c r="D212" s="110" t="n">
        <x:v>1</x:v>
      </x:c>
      <x:c r="E212" s="110" t="n">
        <x:v>1</x:v>
      </x:c>
      <x:c r="F212" s="110" t="n">
        <x:f>IF('使用说明'!$B$4=0,D212,E212)</x:f>
        <x:v>1</x:v>
      </x:c>
      <x:c r="G212" s="62" t="n">
        <x:f>IFERROR(B212/F212,0)</x:f>
        <x:v>18</x:v>
      </x:c>
      <x:c r="H212" s="62" t="n">
        <x:f>IFERROR(C212/F212,0)</x:f>
        <x:v>81760</x:v>
      </x:c>
      <x:c r="I212" s="62" t="n">
        <x:f>SUM(G$19:G212)</x:f>
        <x:v>2742</x:v>
      </x:c>
      <x:c r="J212" s="62" t="n">
        <x:f>SUM(H$19:H212)</x:f>
        <x:v>7680270</x:v>
      </x:c>
      <x:c r="K212" s="62" t="n">
        <x:f>I212*18</x:f>
        <x:v>49356</x:v>
      </x:c>
      <x:c r="L212" s="62" t="n">
        <x:f>J212*18</x:f>
        <x:v>138244860</x:v>
      </x:c>
    </x:row>
    <x:row r="213" ht="23" customHeight="1">
      <x:c r="A213" s="119" t="n">
        <x:v>195</x:v>
      </x:c>
      <x:c r="B213" s="119" t="n">
        <x:f>VLOOKUP(A213,$A$7:$G$13,6,TRUE)</x:f>
        <x:v>18</x:v>
      </x:c>
      <x:c r="C213" s="119" t="n">
        <x:f>ROUNDUP(('经济参数'!$E$52+(A213-1)*'经济参数'!$E$53)*VLOOKUP(A213,$A$7:$G$13,7,TRUE),0)</x:f>
        <x:v>82180</x:v>
      </x:c>
      <x:c r="D213" s="110" t="n">
        <x:v>1</x:v>
      </x:c>
      <x:c r="E213" s="110" t="n">
        <x:v>1</x:v>
      </x:c>
      <x:c r="F213" s="110" t="n">
        <x:f>IF('使用说明'!$B$4=0,D213,E213)</x:f>
        <x:v>1</x:v>
      </x:c>
      <x:c r="G213" s="62" t="n">
        <x:f>IFERROR(B213/F213,0)</x:f>
        <x:v>18</x:v>
      </x:c>
      <x:c r="H213" s="62" t="n">
        <x:f>IFERROR(C213/F213,0)</x:f>
        <x:v>82180</x:v>
      </x:c>
      <x:c r="I213" s="62" t="n">
        <x:f>SUM(G$19:G213)</x:f>
        <x:v>2760</x:v>
      </x:c>
      <x:c r="J213" s="62" t="n">
        <x:f>SUM(H$19:H213)</x:f>
        <x:v>7762450</x:v>
      </x:c>
      <x:c r="K213" s="62" t="n">
        <x:f>I213*18</x:f>
        <x:v>49680</x:v>
      </x:c>
      <x:c r="L213" s="62" t="n">
        <x:f>J213*18</x:f>
        <x:v>139724100</x:v>
      </x:c>
    </x:row>
    <x:row r="214" ht="23" customHeight="1">
      <x:c r="A214" s="119" t="n">
        <x:v>196</x:v>
      </x:c>
      <x:c r="B214" s="119" t="n">
        <x:f>VLOOKUP(A214,$A$7:$G$13,6,TRUE)</x:f>
        <x:v>18</x:v>
      </x:c>
      <x:c r="C214" s="119" t="n">
        <x:f>ROUNDUP(('经济参数'!$E$52+(A214-1)*'经济参数'!$E$53)*VLOOKUP(A214,$A$7:$G$13,7,TRUE),0)</x:f>
        <x:v>82600</x:v>
      </x:c>
      <x:c r="D214" s="110" t="n">
        <x:v>1</x:v>
      </x:c>
      <x:c r="E214" s="110" t="n">
        <x:v>1</x:v>
      </x:c>
      <x:c r="F214" s="110" t="n">
        <x:f>IF('使用说明'!$B$4=0,D214,E214)</x:f>
        <x:v>1</x:v>
      </x:c>
      <x:c r="G214" s="62" t="n">
        <x:f>IFERROR(B214/F214,0)</x:f>
        <x:v>18</x:v>
      </x:c>
      <x:c r="H214" s="62" t="n">
        <x:f>IFERROR(C214/F214,0)</x:f>
        <x:v>82600</x:v>
      </x:c>
      <x:c r="I214" s="62" t="n">
        <x:f>SUM(G$19:G214)</x:f>
        <x:v>2778</x:v>
      </x:c>
      <x:c r="J214" s="62" t="n">
        <x:f>SUM(H$19:H214)</x:f>
        <x:v>7845050</x:v>
      </x:c>
      <x:c r="K214" s="62" t="n">
        <x:f>I214*18</x:f>
        <x:v>50004</x:v>
      </x:c>
      <x:c r="L214" s="62" t="n">
        <x:f>J214*18</x:f>
        <x:v>141210900</x:v>
      </x:c>
    </x:row>
    <x:row r="215" ht="23" customHeight="1">
      <x:c r="A215" s="119" t="n">
        <x:v>197</x:v>
      </x:c>
      <x:c r="B215" s="119" t="n">
        <x:f>VLOOKUP(A215,$A$7:$G$13,6,TRUE)</x:f>
        <x:v>18</x:v>
      </x:c>
      <x:c r="C215" s="119" t="n">
        <x:f>ROUNDUP(('经济参数'!$E$52+(A215-1)*'经济参数'!$E$53)*VLOOKUP(A215,$A$7:$G$13,7,TRUE),0)</x:f>
        <x:v>83020</x:v>
      </x:c>
      <x:c r="D215" s="110" t="n">
        <x:v>1</x:v>
      </x:c>
      <x:c r="E215" s="110" t="n">
        <x:v>1</x:v>
      </x:c>
      <x:c r="F215" s="110" t="n">
        <x:f>IF('使用说明'!$B$4=0,D215,E215)</x:f>
        <x:v>1</x:v>
      </x:c>
      <x:c r="G215" s="62" t="n">
        <x:f>IFERROR(B215/F215,0)</x:f>
        <x:v>18</x:v>
      </x:c>
      <x:c r="H215" s="62" t="n">
        <x:f>IFERROR(C215/F215,0)</x:f>
        <x:v>83020</x:v>
      </x:c>
      <x:c r="I215" s="62" t="n">
        <x:f>SUM(G$19:G215)</x:f>
        <x:v>2796</x:v>
      </x:c>
      <x:c r="J215" s="62" t="n">
        <x:f>SUM(H$19:H215)</x:f>
        <x:v>7928070</x:v>
      </x:c>
      <x:c r="K215" s="62" t="n">
        <x:f>I215*18</x:f>
        <x:v>50328</x:v>
      </x:c>
      <x:c r="L215" s="62" t="n">
        <x:f>J215*18</x:f>
        <x:v>142705260</x:v>
      </x:c>
    </x:row>
    <x:row r="216" ht="23" customHeight="1">
      <x:c r="A216" s="119" t="n">
        <x:v>198</x:v>
      </x:c>
      <x:c r="B216" s="119" t="n">
        <x:f>VLOOKUP(A216,$A$7:$G$13,6,TRUE)</x:f>
        <x:v>18</x:v>
      </x:c>
      <x:c r="C216" s="119" t="n">
        <x:f>ROUNDUP(('经济参数'!$E$52+(A216-1)*'经济参数'!$E$53)*VLOOKUP(A216,$A$7:$G$13,7,TRUE),0)</x:f>
        <x:v>83440</x:v>
      </x:c>
      <x:c r="D216" s="110" t="n">
        <x:v>1</x:v>
      </x:c>
      <x:c r="E216" s="110" t="n">
        <x:v>1</x:v>
      </x:c>
      <x:c r="F216" s="110" t="n">
        <x:f>IF('使用说明'!$B$4=0,D216,E216)</x:f>
        <x:v>1</x:v>
      </x:c>
      <x:c r="G216" s="62" t="n">
        <x:f>IFERROR(B216/F216,0)</x:f>
        <x:v>18</x:v>
      </x:c>
      <x:c r="H216" s="62" t="n">
        <x:f>IFERROR(C216/F216,0)</x:f>
        <x:v>83440</x:v>
      </x:c>
      <x:c r="I216" s="62" t="n">
        <x:f>SUM(G$19:G216)</x:f>
        <x:v>2814</x:v>
      </x:c>
      <x:c r="J216" s="62" t="n">
        <x:f>SUM(H$19:H216)</x:f>
        <x:v>8011510</x:v>
      </x:c>
      <x:c r="K216" s="62" t="n">
        <x:f>I216*18</x:f>
        <x:v>50652</x:v>
      </x:c>
      <x:c r="L216" s="62" t="n">
        <x:f>J216*18</x:f>
        <x:v>144207180</x:v>
      </x:c>
    </x:row>
    <x:row r="217" ht="23" customHeight="1">
      <x:c r="A217" s="119" t="n">
        <x:v>199</x:v>
      </x:c>
      <x:c r="B217" s="119" t="n">
        <x:f>VLOOKUP(A217,$A$7:$G$13,6,TRUE)</x:f>
        <x:v>18</x:v>
      </x:c>
      <x:c r="C217" s="119" t="n">
        <x:f>ROUNDUP(('经济参数'!$E$52+(A217-1)*'经济参数'!$E$53)*VLOOKUP(A217,$A$7:$G$13,7,TRUE),0)</x:f>
        <x:v>83860</x:v>
      </x:c>
      <x:c r="D217" s="110" t="n">
        <x:v>1</x:v>
      </x:c>
      <x:c r="E217" s="110" t="n">
        <x:v>1</x:v>
      </x:c>
      <x:c r="F217" s="110" t="n">
        <x:f>IF('使用说明'!$B$4=0,D217,E217)</x:f>
        <x:v>1</x:v>
      </x:c>
      <x:c r="G217" s="62" t="n">
        <x:f>IFERROR(B217/F217,0)</x:f>
        <x:v>18</x:v>
      </x:c>
      <x:c r="H217" s="62" t="n">
        <x:f>IFERROR(C217/F217,0)</x:f>
        <x:v>83860</x:v>
      </x:c>
      <x:c r="I217" s="62" t="n">
        <x:f>SUM(G$19:G217)</x:f>
        <x:v>2832</x:v>
      </x:c>
      <x:c r="J217" s="62" t="n">
        <x:f>SUM(H$19:H217)</x:f>
        <x:v>8095370</x:v>
      </x:c>
      <x:c r="K217" s="62" t="n">
        <x:f>I217*18</x:f>
        <x:v>50976</x:v>
      </x:c>
      <x:c r="L217" s="62" t="n">
        <x:f>J217*18</x:f>
        <x:v>145716660</x:v>
      </x:c>
    </x:row>
    <x:row r="218" ht="23" customHeight="1">
      <x:c r="A218" s="119" t="n">
        <x:v>200</x:v>
      </x:c>
      <x:c r="B218" s="119" t="n">
        <x:f>VLOOKUP(A218,$A$7:$G$13,6,TRUE)</x:f>
        <x:v>18</x:v>
      </x:c>
      <x:c r="C218" s="119" t="n">
        <x:f>ROUNDUP(('经济参数'!$E$52+(A218-1)*'经济参数'!$E$53)*VLOOKUP(A218,$A$7:$G$13,7,TRUE),0)</x:f>
        <x:v>84280</x:v>
      </x:c>
      <x:c r="D218" s="110" t="n">
        <x:v>1</x:v>
      </x:c>
      <x:c r="E218" s="110" t="n">
        <x:v>1</x:v>
      </x:c>
      <x:c r="F218" s="110" t="n">
        <x:f>IF('使用说明'!$B$4=0,D218,E218)</x:f>
        <x:v>1</x:v>
      </x:c>
      <x:c r="G218" s="62" t="n">
        <x:f>IFERROR(B218/F218,0)</x:f>
        <x:v>18</x:v>
      </x:c>
      <x:c r="H218" s="62" t="n">
        <x:f>IFERROR(C218/F218,0)</x:f>
        <x:v>84280</x:v>
      </x:c>
      <x:c r="I218" s="62" t="n">
        <x:f>SUM(G$19:G218)</x:f>
        <x:v>2850</x:v>
      </x:c>
      <x:c r="J218" s="62" t="n">
        <x:f>SUM(H$19:H218)</x:f>
        <x:v>8179650</x:v>
      </x:c>
      <x:c r="K218" s="62" t="n">
        <x:f>I218*18</x:f>
        <x:v>51300</x:v>
      </x:c>
      <x:c r="L218" s="62" t="n">
        <x:f>J218*18</x:f>
        <x:v>147233700</x:v>
      </x:c>
    </x:row>
    <x:row r="219" ht="23" customHeight="1">
      <x:c r="A219" s="119" t="n">
        <x:v>201</x:v>
      </x:c>
      <x:c r="B219" s="119" t="n">
        <x:f>VLOOKUP(A219,$A$7:$G$13,6,TRUE)</x:f>
        <x:v>18</x:v>
      </x:c>
      <x:c r="C219" s="119" t="n">
        <x:f>ROUNDUP(('经济参数'!$E$52+(A219-1)*'经济参数'!$E$53)*VLOOKUP(A219,$A$7:$G$13,7,TRUE),0)</x:f>
        <x:v>84700</x:v>
      </x:c>
      <x:c r="D219" s="110" t="n">
        <x:v>1</x:v>
      </x:c>
      <x:c r="E219" s="110" t="n">
        <x:v>1</x:v>
      </x:c>
      <x:c r="F219" s="110" t="n">
        <x:f>IF('使用说明'!$B$4=0,D219,E219)</x:f>
        <x:v>1</x:v>
      </x:c>
      <x:c r="G219" s="62" t="n">
        <x:f>IFERROR(B219/F219,0)</x:f>
        <x:v>18</x:v>
      </x:c>
      <x:c r="H219" s="62" t="n">
        <x:f>IFERROR(C219/F219,0)</x:f>
        <x:v>84700</x:v>
      </x:c>
      <x:c r="I219" s="62" t="n">
        <x:f>SUM(G$19:G219)</x:f>
        <x:v>2868</x:v>
      </x:c>
      <x:c r="J219" s="62" t="n">
        <x:f>SUM(H$19:H219)</x:f>
        <x:v>8264350</x:v>
      </x:c>
      <x:c r="K219" s="62" t="n">
        <x:f>I219*18</x:f>
        <x:v>51624</x:v>
      </x:c>
      <x:c r="L219" s="62" t="n">
        <x:f>J219*18</x:f>
        <x:v>148758300</x:v>
      </x:c>
    </x:row>
    <x:row r="220" ht="23" customHeight="1">
      <x:c r="A220" s="119" t="n">
        <x:v>202</x:v>
      </x:c>
      <x:c r="B220" s="119" t="n">
        <x:f>VLOOKUP(A220,$A$7:$G$13,6,TRUE)</x:f>
        <x:v>18</x:v>
      </x:c>
      <x:c r="C220" s="119" t="n">
        <x:f>ROUNDUP(('经济参数'!$E$52+(A220-1)*'经济参数'!$E$53)*VLOOKUP(A220,$A$7:$G$13,7,TRUE),0)</x:f>
        <x:v>85120</x:v>
      </x:c>
      <x:c r="D220" s="110" t="n">
        <x:v>1</x:v>
      </x:c>
      <x:c r="E220" s="110" t="n">
        <x:v>1</x:v>
      </x:c>
      <x:c r="F220" s="110" t="n">
        <x:f>IF('使用说明'!$B$4=0,D220,E220)</x:f>
        <x:v>1</x:v>
      </x:c>
      <x:c r="G220" s="62" t="n">
        <x:f>IFERROR(B220/F220,0)</x:f>
        <x:v>18</x:v>
      </x:c>
      <x:c r="H220" s="62" t="n">
        <x:f>IFERROR(C220/F220,0)</x:f>
        <x:v>85120</x:v>
      </x:c>
      <x:c r="I220" s="62" t="n">
        <x:f>SUM(G$19:G220)</x:f>
        <x:v>2886</x:v>
      </x:c>
      <x:c r="J220" s="62" t="n">
        <x:f>SUM(H$19:H220)</x:f>
        <x:v>8349470</x:v>
      </x:c>
      <x:c r="K220" s="62" t="n">
        <x:f>I220*18</x:f>
        <x:v>51948</x:v>
      </x:c>
      <x:c r="L220" s="62" t="n">
        <x:f>J220*18</x:f>
        <x:v>150290460</x:v>
      </x:c>
    </x:row>
    <x:row r="221" ht="23" customHeight="1">
      <x:c r="A221" s="119" t="n">
        <x:v>203</x:v>
      </x:c>
      <x:c r="B221" s="119" t="n">
        <x:f>VLOOKUP(A221,$A$7:$G$13,6,TRUE)</x:f>
        <x:v>18</x:v>
      </x:c>
      <x:c r="C221" s="119" t="n">
        <x:f>ROUNDUP(('经济参数'!$E$52+(A221-1)*'经济参数'!$E$53)*VLOOKUP(A221,$A$7:$G$13,7,TRUE),0)</x:f>
        <x:v>85540</x:v>
      </x:c>
      <x:c r="D221" s="110" t="n">
        <x:v>1</x:v>
      </x:c>
      <x:c r="E221" s="110" t="n">
        <x:v>1</x:v>
      </x:c>
      <x:c r="F221" s="110" t="n">
        <x:f>IF('使用说明'!$B$4=0,D221,E221)</x:f>
        <x:v>1</x:v>
      </x:c>
      <x:c r="G221" s="62" t="n">
        <x:f>IFERROR(B221/F221,0)</x:f>
        <x:v>18</x:v>
      </x:c>
      <x:c r="H221" s="62" t="n">
        <x:f>IFERROR(C221/F221,0)</x:f>
        <x:v>85540</x:v>
      </x:c>
      <x:c r="I221" s="62" t="n">
        <x:f>SUM(G$19:G221)</x:f>
        <x:v>2904</x:v>
      </x:c>
      <x:c r="J221" s="62" t="n">
        <x:f>SUM(H$19:H221)</x:f>
        <x:v>8435010</x:v>
      </x:c>
      <x:c r="K221" s="62" t="n">
        <x:f>I221*18</x:f>
        <x:v>52272</x:v>
      </x:c>
      <x:c r="L221" s="62" t="n">
        <x:f>J221*18</x:f>
        <x:v>151830180</x:v>
      </x:c>
    </x:row>
    <x:row r="222" ht="23" customHeight="1">
      <x:c r="A222" s="119" t="n">
        <x:v>204</x:v>
      </x:c>
      <x:c r="B222" s="119" t="n">
        <x:f>VLOOKUP(A222,$A$7:$G$13,6,TRUE)</x:f>
        <x:v>18</x:v>
      </x:c>
      <x:c r="C222" s="119" t="n">
        <x:f>ROUNDUP(('经济参数'!$E$52+(A222-1)*'经济参数'!$E$53)*VLOOKUP(A222,$A$7:$G$13,7,TRUE),0)</x:f>
        <x:v>85960</x:v>
      </x:c>
      <x:c r="D222" s="110" t="n">
        <x:v>1</x:v>
      </x:c>
      <x:c r="E222" s="110" t="n">
        <x:v>1</x:v>
      </x:c>
      <x:c r="F222" s="110" t="n">
        <x:f>IF('使用说明'!$B$4=0,D222,E222)</x:f>
        <x:v>1</x:v>
      </x:c>
      <x:c r="G222" s="62" t="n">
        <x:f>IFERROR(B222/F222,0)</x:f>
        <x:v>18</x:v>
      </x:c>
      <x:c r="H222" s="62" t="n">
        <x:f>IFERROR(C222/F222,0)</x:f>
        <x:v>85960</x:v>
      </x:c>
      <x:c r="I222" s="62" t="n">
        <x:f>SUM(G$19:G222)</x:f>
        <x:v>2922</x:v>
      </x:c>
      <x:c r="J222" s="62" t="n">
        <x:f>SUM(H$19:H222)</x:f>
        <x:v>8520970</x:v>
      </x:c>
      <x:c r="K222" s="62" t="n">
        <x:f>I222*18</x:f>
        <x:v>52596</x:v>
      </x:c>
      <x:c r="L222" s="62" t="n">
        <x:f>J222*18</x:f>
        <x:v>153377460</x:v>
      </x:c>
    </x:row>
    <x:row r="223" ht="23" customHeight="1">
      <x:c r="A223" s="119" t="n">
        <x:v>205</x:v>
      </x:c>
      <x:c r="B223" s="119" t="n">
        <x:f>VLOOKUP(A223,$A$7:$G$13,6,TRUE)</x:f>
        <x:v>18</x:v>
      </x:c>
      <x:c r="C223" s="119" t="n">
        <x:f>ROUNDUP(('经济参数'!$E$52+(A223-1)*'经济参数'!$E$53)*VLOOKUP(A223,$A$7:$G$13,7,TRUE),0)</x:f>
        <x:v>86380</x:v>
      </x:c>
      <x:c r="D223" s="110" t="n">
        <x:v>1</x:v>
      </x:c>
      <x:c r="E223" s="110" t="n">
        <x:v>1</x:v>
      </x:c>
      <x:c r="F223" s="110" t="n">
        <x:f>IF('使用说明'!$B$4=0,D223,E223)</x:f>
        <x:v>1</x:v>
      </x:c>
      <x:c r="G223" s="62" t="n">
        <x:f>IFERROR(B223/F223,0)</x:f>
        <x:v>18</x:v>
      </x:c>
      <x:c r="H223" s="62" t="n">
        <x:f>IFERROR(C223/F223,0)</x:f>
        <x:v>86380</x:v>
      </x:c>
      <x:c r="I223" s="62" t="n">
        <x:f>SUM(G$19:G223)</x:f>
        <x:v>2940</x:v>
      </x:c>
      <x:c r="J223" s="62" t="n">
        <x:f>SUM(H$19:H223)</x:f>
        <x:v>8607350</x:v>
      </x:c>
      <x:c r="K223" s="62" t="n">
        <x:f>I223*18</x:f>
        <x:v>52920</x:v>
      </x:c>
      <x:c r="L223" s="62" t="n">
        <x:f>J223*18</x:f>
        <x:v>154932300</x:v>
      </x:c>
    </x:row>
    <x:row r="224" ht="23" customHeight="1">
      <x:c r="A224" s="119" t="n">
        <x:v>206</x:v>
      </x:c>
      <x:c r="B224" s="119" t="n">
        <x:f>VLOOKUP(A224,$A$7:$G$13,6,TRUE)</x:f>
        <x:v>18</x:v>
      </x:c>
      <x:c r="C224" s="119" t="n">
        <x:f>ROUNDUP(('经济参数'!$E$52+(A224-1)*'经济参数'!$E$53)*VLOOKUP(A224,$A$7:$G$13,7,TRUE),0)</x:f>
        <x:v>86800</x:v>
      </x:c>
      <x:c r="D224" s="110" t="n">
        <x:v>1</x:v>
      </x:c>
      <x:c r="E224" s="110" t="n">
        <x:v>1</x:v>
      </x:c>
      <x:c r="F224" s="110" t="n">
        <x:f>IF('使用说明'!$B$4=0,D224,E224)</x:f>
        <x:v>1</x:v>
      </x:c>
      <x:c r="G224" s="62" t="n">
        <x:f>IFERROR(B224/F224,0)</x:f>
        <x:v>18</x:v>
      </x:c>
      <x:c r="H224" s="62" t="n">
        <x:f>IFERROR(C224/F224,0)</x:f>
        <x:v>86800</x:v>
      </x:c>
      <x:c r="I224" s="62" t="n">
        <x:f>SUM(G$19:G224)</x:f>
        <x:v>2958</x:v>
      </x:c>
      <x:c r="J224" s="62" t="n">
        <x:f>SUM(H$19:H224)</x:f>
        <x:v>8694150</x:v>
      </x:c>
      <x:c r="K224" s="62" t="n">
        <x:f>I224*18</x:f>
        <x:v>53244</x:v>
      </x:c>
      <x:c r="L224" s="62" t="n">
        <x:f>J224*18</x:f>
        <x:v>156494700</x:v>
      </x:c>
    </x:row>
    <x:row r="225" ht="23" customHeight="1">
      <x:c r="A225" s="119" t="n">
        <x:v>207</x:v>
      </x:c>
      <x:c r="B225" s="119" t="n">
        <x:f>VLOOKUP(A225,$A$7:$G$13,6,TRUE)</x:f>
        <x:v>18</x:v>
      </x:c>
      <x:c r="C225" s="119" t="n">
        <x:f>ROUNDUP(('经济参数'!$E$52+(A225-1)*'经济参数'!$E$53)*VLOOKUP(A225,$A$7:$G$13,7,TRUE),0)</x:f>
        <x:v>87220</x:v>
      </x:c>
      <x:c r="D225" s="110" t="n">
        <x:v>1</x:v>
      </x:c>
      <x:c r="E225" s="110" t="n">
        <x:v>1</x:v>
      </x:c>
      <x:c r="F225" s="110" t="n">
        <x:f>IF('使用说明'!$B$4=0,D225,E225)</x:f>
        <x:v>1</x:v>
      </x:c>
      <x:c r="G225" s="62" t="n">
        <x:f>IFERROR(B225/F225,0)</x:f>
        <x:v>18</x:v>
      </x:c>
      <x:c r="H225" s="62" t="n">
        <x:f>IFERROR(C225/F225,0)</x:f>
        <x:v>87220</x:v>
      </x:c>
      <x:c r="I225" s="62" t="n">
        <x:f>SUM(G$19:G225)</x:f>
        <x:v>2976</x:v>
      </x:c>
      <x:c r="J225" s="62" t="n">
        <x:f>SUM(H$19:H225)</x:f>
        <x:v>8781370</x:v>
      </x:c>
      <x:c r="K225" s="62" t="n">
        <x:f>I225*18</x:f>
        <x:v>53568</x:v>
      </x:c>
      <x:c r="L225" s="62" t="n">
        <x:f>J225*18</x:f>
        <x:v>158064660</x:v>
      </x:c>
    </x:row>
    <x:row r="226" ht="23" customHeight="1">
      <x:c r="A226" s="119" t="n">
        <x:v>208</x:v>
      </x:c>
      <x:c r="B226" s="119" t="n">
        <x:f>VLOOKUP(A226,$A$7:$G$13,6,TRUE)</x:f>
        <x:v>18</x:v>
      </x:c>
      <x:c r="C226" s="119" t="n">
        <x:f>ROUNDUP(('经济参数'!$E$52+(A226-1)*'经济参数'!$E$53)*VLOOKUP(A226,$A$7:$G$13,7,TRUE),0)</x:f>
        <x:v>87640</x:v>
      </x:c>
      <x:c r="D226" s="110" t="n">
        <x:v>1</x:v>
      </x:c>
      <x:c r="E226" s="110" t="n">
        <x:v>1</x:v>
      </x:c>
      <x:c r="F226" s="110" t="n">
        <x:f>IF('使用说明'!$B$4=0,D226,E226)</x:f>
        <x:v>1</x:v>
      </x:c>
      <x:c r="G226" s="62" t="n">
        <x:f>IFERROR(B226/F226,0)</x:f>
        <x:v>18</x:v>
      </x:c>
      <x:c r="H226" s="62" t="n">
        <x:f>IFERROR(C226/F226,0)</x:f>
        <x:v>87640</x:v>
      </x:c>
      <x:c r="I226" s="62" t="n">
        <x:f>SUM(G$19:G226)</x:f>
        <x:v>2994</x:v>
      </x:c>
      <x:c r="J226" s="62" t="n">
        <x:f>SUM(H$19:H226)</x:f>
        <x:v>8869010</x:v>
      </x:c>
      <x:c r="K226" s="62" t="n">
        <x:f>I226*18</x:f>
        <x:v>53892</x:v>
      </x:c>
      <x:c r="L226" s="62" t="n">
        <x:f>J226*18</x:f>
        <x:v>159642180</x:v>
      </x:c>
    </x:row>
    <x:row r="227" ht="23" customHeight="1">
      <x:c r="A227" s="119" t="n">
        <x:v>209</x:v>
      </x:c>
      <x:c r="B227" s="119" t="n">
        <x:f>VLOOKUP(A227,$A$7:$G$13,6,TRUE)</x:f>
        <x:v>18</x:v>
      </x:c>
      <x:c r="C227" s="119" t="n">
        <x:f>ROUNDUP(('经济参数'!$E$52+(A227-1)*'经济参数'!$E$53)*VLOOKUP(A227,$A$7:$G$13,7,TRUE),0)</x:f>
        <x:v>88060</x:v>
      </x:c>
      <x:c r="D227" s="110" t="n">
        <x:v>1</x:v>
      </x:c>
      <x:c r="E227" s="110" t="n">
        <x:v>1</x:v>
      </x:c>
      <x:c r="F227" s="110" t="n">
        <x:f>IF('使用说明'!$B$4=0,D227,E227)</x:f>
        <x:v>1</x:v>
      </x:c>
      <x:c r="G227" s="62" t="n">
        <x:f>IFERROR(B227/F227,0)</x:f>
        <x:v>18</x:v>
      </x:c>
      <x:c r="H227" s="62" t="n">
        <x:f>IFERROR(C227/F227,0)</x:f>
        <x:v>88060</x:v>
      </x:c>
      <x:c r="I227" s="62" t="n">
        <x:f>SUM(G$19:G227)</x:f>
        <x:v>3012</x:v>
      </x:c>
      <x:c r="J227" s="62" t="n">
        <x:f>SUM(H$19:H227)</x:f>
        <x:v>8957070</x:v>
      </x:c>
      <x:c r="K227" s="62" t="n">
        <x:f>I227*18</x:f>
        <x:v>54216</x:v>
      </x:c>
      <x:c r="L227" s="62" t="n">
        <x:f>J227*18</x:f>
        <x:v>161227260</x:v>
      </x:c>
    </x:row>
    <x:row r="228" ht="23" customHeight="1">
      <x:c r="A228" s="119" t="n">
        <x:v>210</x:v>
      </x:c>
      <x:c r="B228" s="119" t="n">
        <x:f>VLOOKUP(A228,$A$7:$G$13,6,TRUE)</x:f>
        <x:v>18</x:v>
      </x:c>
      <x:c r="C228" s="119" t="n">
        <x:f>ROUNDUP(('经济参数'!$E$52+(A228-1)*'经济参数'!$E$53)*VLOOKUP(A228,$A$7:$G$13,7,TRUE),0)</x:f>
        <x:v>88480</x:v>
      </x:c>
      <x:c r="D228" s="110" t="n">
        <x:v>1</x:v>
      </x:c>
      <x:c r="E228" s="110" t="n">
        <x:v>1</x:v>
      </x:c>
      <x:c r="F228" s="110" t="n">
        <x:f>IF('使用说明'!$B$4=0,D228,E228)</x:f>
        <x:v>1</x:v>
      </x:c>
      <x:c r="G228" s="62" t="n">
        <x:f>IFERROR(B228/F228,0)</x:f>
        <x:v>18</x:v>
      </x:c>
      <x:c r="H228" s="62" t="n">
        <x:f>IFERROR(C228/F228,0)</x:f>
        <x:v>88480</x:v>
      </x:c>
      <x:c r="I228" s="62" t="n">
        <x:f>SUM(G$19:G228)</x:f>
        <x:v>3030</x:v>
      </x:c>
      <x:c r="J228" s="62" t="n">
        <x:f>SUM(H$19:H228)</x:f>
        <x:v>9045550</x:v>
      </x:c>
      <x:c r="K228" s="62" t="n">
        <x:f>I228*18</x:f>
        <x:v>54540</x:v>
      </x:c>
      <x:c r="L228" s="62" t="n">
        <x:f>J228*18</x:f>
        <x:v>162819900</x:v>
      </x:c>
    </x:row>
    <x:row r="229" ht="23" customHeight="1">
      <x:c r="A229" s="119" t="n">
        <x:v>211</x:v>
      </x:c>
      <x:c r="B229" s="119" t="n">
        <x:f>VLOOKUP(A229,$A$7:$G$13,6,TRUE)</x:f>
        <x:v>18</x:v>
      </x:c>
      <x:c r="C229" s="119" t="n">
        <x:f>ROUNDUP(('经济参数'!$E$52+(A229-1)*'经济参数'!$E$53)*VLOOKUP(A229,$A$7:$G$13,7,TRUE),0)</x:f>
        <x:v>88900</x:v>
      </x:c>
      <x:c r="D229" s="110" t="n">
        <x:v>1</x:v>
      </x:c>
      <x:c r="E229" s="110" t="n">
        <x:v>1</x:v>
      </x:c>
      <x:c r="F229" s="110" t="n">
        <x:f>IF('使用说明'!$B$4=0,D229,E229)</x:f>
        <x:v>1</x:v>
      </x:c>
      <x:c r="G229" s="62" t="n">
        <x:f>IFERROR(B229/F229,0)</x:f>
        <x:v>18</x:v>
      </x:c>
      <x:c r="H229" s="62" t="n">
        <x:f>IFERROR(C229/F229,0)</x:f>
        <x:v>88900</x:v>
      </x:c>
      <x:c r="I229" s="62" t="n">
        <x:f>SUM(G$19:G229)</x:f>
        <x:v>3048</x:v>
      </x:c>
      <x:c r="J229" s="62" t="n">
        <x:f>SUM(H$19:H229)</x:f>
        <x:v>9134450</x:v>
      </x:c>
      <x:c r="K229" s="62" t="n">
        <x:f>I229*18</x:f>
        <x:v>54864</x:v>
      </x:c>
      <x:c r="L229" s="62" t="n">
        <x:f>J229*18</x:f>
        <x:v>164420100</x:v>
      </x:c>
    </x:row>
    <x:row r="230" ht="23" customHeight="1">
      <x:c r="A230" s="119" t="n">
        <x:v>212</x:v>
      </x:c>
      <x:c r="B230" s="119" t="n">
        <x:f>VLOOKUP(A230,$A$7:$G$13,6,TRUE)</x:f>
        <x:v>18</x:v>
      </x:c>
      <x:c r="C230" s="119" t="n">
        <x:f>ROUNDUP(('经济参数'!$E$52+(A230-1)*'经济参数'!$E$53)*VLOOKUP(A230,$A$7:$G$13,7,TRUE),0)</x:f>
        <x:v>89320</x:v>
      </x:c>
      <x:c r="D230" s="110" t="n">
        <x:v>1</x:v>
      </x:c>
      <x:c r="E230" s="110" t="n">
        <x:v>1</x:v>
      </x:c>
      <x:c r="F230" s="110" t="n">
        <x:f>IF('使用说明'!$B$4=0,D230,E230)</x:f>
        <x:v>1</x:v>
      </x:c>
      <x:c r="G230" s="62" t="n">
        <x:f>IFERROR(B230/F230,0)</x:f>
        <x:v>18</x:v>
      </x:c>
      <x:c r="H230" s="62" t="n">
        <x:f>IFERROR(C230/F230,0)</x:f>
        <x:v>89320</x:v>
      </x:c>
      <x:c r="I230" s="62" t="n">
        <x:f>SUM(G$19:G230)</x:f>
        <x:v>3066</x:v>
      </x:c>
      <x:c r="J230" s="62" t="n">
        <x:f>SUM(H$19:H230)</x:f>
        <x:v>9223770</x:v>
      </x:c>
      <x:c r="K230" s="62" t="n">
        <x:f>I230*18</x:f>
        <x:v>55188</x:v>
      </x:c>
      <x:c r="L230" s="62" t="n">
        <x:f>J230*18</x:f>
        <x:v>166027860</x:v>
      </x:c>
    </x:row>
    <x:row r="231" ht="23" customHeight="1">
      <x:c r="A231" s="119" t="n">
        <x:v>213</x:v>
      </x:c>
      <x:c r="B231" s="119" t="n">
        <x:f>VLOOKUP(A231,$A$7:$G$13,6,TRUE)</x:f>
        <x:v>18</x:v>
      </x:c>
      <x:c r="C231" s="119" t="n">
        <x:f>ROUNDUP(('经济参数'!$E$52+(A231-1)*'经济参数'!$E$53)*VLOOKUP(A231,$A$7:$G$13,7,TRUE),0)</x:f>
        <x:v>89740</x:v>
      </x:c>
      <x:c r="D231" s="110" t="n">
        <x:v>1</x:v>
      </x:c>
      <x:c r="E231" s="110" t="n">
        <x:v>1</x:v>
      </x:c>
      <x:c r="F231" s="110" t="n">
        <x:f>IF('使用说明'!$B$4=0,D231,E231)</x:f>
        <x:v>1</x:v>
      </x:c>
      <x:c r="G231" s="62" t="n">
        <x:f>IFERROR(B231/F231,0)</x:f>
        <x:v>18</x:v>
      </x:c>
      <x:c r="H231" s="62" t="n">
        <x:f>IFERROR(C231/F231,0)</x:f>
        <x:v>89740</x:v>
      </x:c>
      <x:c r="I231" s="62" t="n">
        <x:f>SUM(G$19:G231)</x:f>
        <x:v>3084</x:v>
      </x:c>
      <x:c r="J231" s="62" t="n">
        <x:f>SUM(H$19:H231)</x:f>
        <x:v>9313510</x:v>
      </x:c>
      <x:c r="K231" s="62" t="n">
        <x:f>I231*18</x:f>
        <x:v>55512</x:v>
      </x:c>
      <x:c r="L231" s="62" t="n">
        <x:f>J231*18</x:f>
        <x:v>167643180</x:v>
      </x:c>
    </x:row>
    <x:row r="232" ht="23" customHeight="1">
      <x:c r="A232" s="119" t="n">
        <x:v>214</x:v>
      </x:c>
      <x:c r="B232" s="119" t="n">
        <x:f>VLOOKUP(A232,$A$7:$G$13,6,TRUE)</x:f>
        <x:v>18</x:v>
      </x:c>
      <x:c r="C232" s="119" t="n">
        <x:f>ROUNDUP(('经济参数'!$E$52+(A232-1)*'经济参数'!$E$53)*VLOOKUP(A232,$A$7:$G$13,7,TRUE),0)</x:f>
        <x:v>90160</x:v>
      </x:c>
      <x:c r="D232" s="110" t="n">
        <x:v>1</x:v>
      </x:c>
      <x:c r="E232" s="110" t="n">
        <x:v>1</x:v>
      </x:c>
      <x:c r="F232" s="110" t="n">
        <x:f>IF('使用说明'!$B$4=0,D232,E232)</x:f>
        <x:v>1</x:v>
      </x:c>
      <x:c r="G232" s="62" t="n">
        <x:f>IFERROR(B232/F232,0)</x:f>
        <x:v>18</x:v>
      </x:c>
      <x:c r="H232" s="62" t="n">
        <x:f>IFERROR(C232/F232,0)</x:f>
        <x:v>90160</x:v>
      </x:c>
      <x:c r="I232" s="62" t="n">
        <x:f>SUM(G$19:G232)</x:f>
        <x:v>3102</x:v>
      </x:c>
      <x:c r="J232" s="62" t="n">
        <x:f>SUM(H$19:H232)</x:f>
        <x:v>9403670</x:v>
      </x:c>
      <x:c r="K232" s="62" t="n">
        <x:f>I232*18</x:f>
        <x:v>55836</x:v>
      </x:c>
      <x:c r="L232" s="62" t="n">
        <x:f>J232*18</x:f>
        <x:v>169266060</x:v>
      </x:c>
    </x:row>
    <x:row r="233" ht="23" customHeight="1">
      <x:c r="A233" s="119" t="n">
        <x:v>215</x:v>
      </x:c>
      <x:c r="B233" s="119" t="n">
        <x:f>VLOOKUP(A233,$A$7:$G$13,6,TRUE)</x:f>
        <x:v>18</x:v>
      </x:c>
      <x:c r="C233" s="119" t="n">
        <x:f>ROUNDUP(('经济参数'!$E$52+(A233-1)*'经济参数'!$E$53)*VLOOKUP(A233,$A$7:$G$13,7,TRUE),0)</x:f>
        <x:v>90580</x:v>
      </x:c>
      <x:c r="D233" s="110" t="n">
        <x:v>1</x:v>
      </x:c>
      <x:c r="E233" s="110" t="n">
        <x:v>1</x:v>
      </x:c>
      <x:c r="F233" s="110" t="n">
        <x:f>IF('使用说明'!$B$4=0,D233,E233)</x:f>
        <x:v>1</x:v>
      </x:c>
      <x:c r="G233" s="62" t="n">
        <x:f>IFERROR(B233/F233,0)</x:f>
        <x:v>18</x:v>
      </x:c>
      <x:c r="H233" s="62" t="n">
        <x:f>IFERROR(C233/F233,0)</x:f>
        <x:v>90580</x:v>
      </x:c>
      <x:c r="I233" s="62" t="n">
        <x:f>SUM(G$19:G233)</x:f>
        <x:v>3120</x:v>
      </x:c>
      <x:c r="J233" s="62" t="n">
        <x:f>SUM(H$19:H233)</x:f>
        <x:v>9494250</x:v>
      </x:c>
      <x:c r="K233" s="62" t="n">
        <x:f>I233*18</x:f>
        <x:v>56160</x:v>
      </x:c>
      <x:c r="L233" s="62" t="n">
        <x:f>J233*18</x:f>
        <x:v>170896500</x:v>
      </x:c>
    </x:row>
    <x:row r="234" ht="23" customHeight="1">
      <x:c r="A234" s="119" t="n">
        <x:v>216</x:v>
      </x:c>
      <x:c r="B234" s="119" t="n">
        <x:f>VLOOKUP(A234,$A$7:$G$13,6,TRUE)</x:f>
        <x:v>18</x:v>
      </x:c>
      <x:c r="C234" s="119" t="n">
        <x:f>ROUNDUP(('经济参数'!$E$52+(A234-1)*'经济参数'!$E$53)*VLOOKUP(A234,$A$7:$G$13,7,TRUE),0)</x:f>
        <x:v>91000</x:v>
      </x:c>
      <x:c r="D234" s="110" t="n">
        <x:v>1</x:v>
      </x:c>
      <x:c r="E234" s="110" t="n">
        <x:v>1</x:v>
      </x:c>
      <x:c r="F234" s="110" t="n">
        <x:f>IF('使用说明'!$B$4=0,D234,E234)</x:f>
        <x:v>1</x:v>
      </x:c>
      <x:c r="G234" s="62" t="n">
        <x:f>IFERROR(B234/F234,0)</x:f>
        <x:v>18</x:v>
      </x:c>
      <x:c r="H234" s="62" t="n">
        <x:f>IFERROR(C234/F234,0)</x:f>
        <x:v>91000</x:v>
      </x:c>
      <x:c r="I234" s="62" t="n">
        <x:f>SUM(G$19:G234)</x:f>
        <x:v>3138</x:v>
      </x:c>
      <x:c r="J234" s="62" t="n">
        <x:f>SUM(H$19:H234)</x:f>
        <x:v>9585250</x:v>
      </x:c>
      <x:c r="K234" s="62" t="n">
        <x:f>I234*18</x:f>
        <x:v>56484</x:v>
      </x:c>
      <x:c r="L234" s="62" t="n">
        <x:f>J234*18</x:f>
        <x:v>172534500</x:v>
      </x:c>
    </x:row>
    <x:row r="235" ht="23" customHeight="1">
      <x:c r="A235" s="119" t="n">
        <x:v>217</x:v>
      </x:c>
      <x:c r="B235" s="119" t="n">
        <x:f>VLOOKUP(A235,$A$7:$G$13,6,TRUE)</x:f>
        <x:v>18</x:v>
      </x:c>
      <x:c r="C235" s="119" t="n">
        <x:f>ROUNDUP(('经济参数'!$E$52+(A235-1)*'经济参数'!$E$53)*VLOOKUP(A235,$A$7:$G$13,7,TRUE),0)</x:f>
        <x:v>91420</x:v>
      </x:c>
      <x:c r="D235" s="110" t="n">
        <x:v>1</x:v>
      </x:c>
      <x:c r="E235" s="110" t="n">
        <x:v>1</x:v>
      </x:c>
      <x:c r="F235" s="110" t="n">
        <x:f>IF('使用说明'!$B$4=0,D235,E235)</x:f>
        <x:v>1</x:v>
      </x:c>
      <x:c r="G235" s="62" t="n">
        <x:f>IFERROR(B235/F235,0)</x:f>
        <x:v>18</x:v>
      </x:c>
      <x:c r="H235" s="62" t="n">
        <x:f>IFERROR(C235/F235,0)</x:f>
        <x:v>91420</x:v>
      </x:c>
      <x:c r="I235" s="62" t="n">
        <x:f>SUM(G$19:G235)</x:f>
        <x:v>3156</x:v>
      </x:c>
      <x:c r="J235" s="62" t="n">
        <x:f>SUM(H$19:H235)</x:f>
        <x:v>9676670</x:v>
      </x:c>
      <x:c r="K235" s="62" t="n">
        <x:f>I235*18</x:f>
        <x:v>56808</x:v>
      </x:c>
      <x:c r="L235" s="62" t="n">
        <x:f>J235*18</x:f>
        <x:v>174180060</x:v>
      </x:c>
    </x:row>
    <x:row r="236" ht="23" customHeight="1">
      <x:c r="A236" s="119" t="n">
        <x:v>218</x:v>
      </x:c>
      <x:c r="B236" s="119" t="n">
        <x:f>VLOOKUP(A236,$A$7:$G$13,6,TRUE)</x:f>
        <x:v>18</x:v>
      </x:c>
      <x:c r="C236" s="119" t="n">
        <x:f>ROUNDUP(('经济参数'!$E$52+(A236-1)*'经济参数'!$E$53)*VLOOKUP(A236,$A$7:$G$13,7,TRUE),0)</x:f>
        <x:v>91840</x:v>
      </x:c>
      <x:c r="D236" s="110" t="n">
        <x:v>1</x:v>
      </x:c>
      <x:c r="E236" s="110" t="n">
        <x:v>1</x:v>
      </x:c>
      <x:c r="F236" s="110" t="n">
        <x:f>IF('使用说明'!$B$4=0,D236,E236)</x:f>
        <x:v>1</x:v>
      </x:c>
      <x:c r="G236" s="62" t="n">
        <x:f>IFERROR(B236/F236,0)</x:f>
        <x:v>18</x:v>
      </x:c>
      <x:c r="H236" s="62" t="n">
        <x:f>IFERROR(C236/F236,0)</x:f>
        <x:v>91840</x:v>
      </x:c>
      <x:c r="I236" s="62" t="n">
        <x:f>SUM(G$19:G236)</x:f>
        <x:v>3174</x:v>
      </x:c>
      <x:c r="J236" s="62" t="n">
        <x:f>SUM(H$19:H236)</x:f>
        <x:v>9768510</x:v>
      </x:c>
      <x:c r="K236" s="62" t="n">
        <x:f>I236*18</x:f>
        <x:v>57132</x:v>
      </x:c>
      <x:c r="L236" s="62" t="n">
        <x:f>J236*18</x:f>
        <x:v>175833180</x:v>
      </x:c>
    </x:row>
    <x:row r="237" ht="23" customHeight="1">
      <x:c r="A237" s="119" t="n">
        <x:v>219</x:v>
      </x:c>
      <x:c r="B237" s="119" t="n">
        <x:f>VLOOKUP(A237,$A$7:$G$13,6,TRUE)</x:f>
        <x:v>18</x:v>
      </x:c>
      <x:c r="C237" s="119" t="n">
        <x:f>ROUNDUP(('经济参数'!$E$52+(A237-1)*'经济参数'!$E$53)*VLOOKUP(A237,$A$7:$G$13,7,TRUE),0)</x:f>
        <x:v>92260</x:v>
      </x:c>
      <x:c r="D237" s="110" t="n">
        <x:v>1</x:v>
      </x:c>
      <x:c r="E237" s="110" t="n">
        <x:v>1</x:v>
      </x:c>
      <x:c r="F237" s="110" t="n">
        <x:f>IF('使用说明'!$B$4=0,D237,E237)</x:f>
        <x:v>1</x:v>
      </x:c>
      <x:c r="G237" s="62" t="n">
        <x:f>IFERROR(B237/F237,0)</x:f>
        <x:v>18</x:v>
      </x:c>
      <x:c r="H237" s="62" t="n">
        <x:f>IFERROR(C237/F237,0)</x:f>
        <x:v>92260</x:v>
      </x:c>
      <x:c r="I237" s="62" t="n">
        <x:f>SUM(G$19:G237)</x:f>
        <x:v>3192</x:v>
      </x:c>
      <x:c r="J237" s="62" t="n">
        <x:f>SUM(H$19:H237)</x:f>
        <x:v>9860770</x:v>
      </x:c>
      <x:c r="K237" s="62" t="n">
        <x:f>I237*18</x:f>
        <x:v>57456</x:v>
      </x:c>
      <x:c r="L237" s="62" t="n">
        <x:f>J237*18</x:f>
        <x:v>177493860</x:v>
      </x:c>
    </x:row>
    <x:row r="238" ht="23" customHeight="1">
      <x:c r="A238" s="119" t="n">
        <x:v>220</x:v>
      </x:c>
      <x:c r="B238" s="119" t="n">
        <x:f>VLOOKUP(A238,$A$7:$G$13,6,TRUE)</x:f>
        <x:v>18</x:v>
      </x:c>
      <x:c r="C238" s="119" t="n">
        <x:f>ROUNDUP(('经济参数'!$E$52+(A238-1)*'经济参数'!$E$53)*VLOOKUP(A238,$A$7:$G$13,7,TRUE),0)</x:f>
        <x:v>92680</x:v>
      </x:c>
      <x:c r="D238" s="110" t="n">
        <x:v>1</x:v>
      </x:c>
      <x:c r="E238" s="110" t="n">
        <x:v>1</x:v>
      </x:c>
      <x:c r="F238" s="110" t="n">
        <x:f>IF('使用说明'!$B$4=0,D238,E238)</x:f>
        <x:v>1</x:v>
      </x:c>
      <x:c r="G238" s="62" t="n">
        <x:f>IFERROR(B238/F238,0)</x:f>
        <x:v>18</x:v>
      </x:c>
      <x:c r="H238" s="62" t="n">
        <x:f>IFERROR(C238/F238,0)</x:f>
        <x:v>92680</x:v>
      </x:c>
      <x:c r="I238" s="62" t="n">
        <x:f>SUM(G$19:G238)</x:f>
        <x:v>3210</x:v>
      </x:c>
      <x:c r="J238" s="62" t="n">
        <x:f>SUM(H$19:H238)</x:f>
        <x:v>9953450</x:v>
      </x:c>
      <x:c r="K238" s="62" t="n">
        <x:f>I238*18</x:f>
        <x:v>57780</x:v>
      </x:c>
      <x:c r="L238" s="62" t="n">
        <x:f>J238*18</x:f>
        <x:v>179162100</x:v>
      </x:c>
    </x:row>
    <x:row r="239" ht="23" customHeight="1">
      <x:c r="A239" s="119" t="n">
        <x:v>221</x:v>
      </x:c>
      <x:c r="B239" s="119" t="n">
        <x:f>VLOOKUP(A239,$A$7:$G$13,6,TRUE)</x:f>
        <x:v>18</x:v>
      </x:c>
      <x:c r="C239" s="119" t="n">
        <x:f>ROUNDUP(('经济参数'!$E$52+(A239-1)*'经济参数'!$E$53)*VLOOKUP(A239,$A$7:$G$13,7,TRUE),0)</x:f>
        <x:v>93100</x:v>
      </x:c>
      <x:c r="D239" s="110" t="n">
        <x:v>1</x:v>
      </x:c>
      <x:c r="E239" s="110" t="n">
        <x:v>1</x:v>
      </x:c>
      <x:c r="F239" s="110" t="n">
        <x:f>IF('使用说明'!$B$4=0,D239,E239)</x:f>
        <x:v>1</x:v>
      </x:c>
      <x:c r="G239" s="62" t="n">
        <x:f>IFERROR(B239/F239,0)</x:f>
        <x:v>18</x:v>
      </x:c>
      <x:c r="H239" s="62" t="n">
        <x:f>IFERROR(C239/F239,0)</x:f>
        <x:v>93100</x:v>
      </x:c>
      <x:c r="I239" s="62" t="n">
        <x:f>SUM(G$19:G239)</x:f>
        <x:v>3228</x:v>
      </x:c>
      <x:c r="J239" s="62" t="n">
        <x:f>SUM(H$19:H239)</x:f>
        <x:v>10046550</x:v>
      </x:c>
      <x:c r="K239" s="62" t="n">
        <x:f>I239*18</x:f>
        <x:v>58104</x:v>
      </x:c>
      <x:c r="L239" s="62" t="n">
        <x:f>J239*18</x:f>
        <x:v>180837900</x:v>
      </x:c>
    </x:row>
    <x:row r="240" ht="23" customHeight="1">
      <x:c r="A240" s="119" t="n">
        <x:v>222</x:v>
      </x:c>
      <x:c r="B240" s="119" t="n">
        <x:f>VLOOKUP(A240,$A$7:$G$13,6,TRUE)</x:f>
        <x:v>18</x:v>
      </x:c>
      <x:c r="C240" s="119" t="n">
        <x:f>ROUNDUP(('经济参数'!$E$52+(A240-1)*'经济参数'!$E$53)*VLOOKUP(A240,$A$7:$G$13,7,TRUE),0)</x:f>
        <x:v>93520</x:v>
      </x:c>
      <x:c r="D240" s="110" t="n">
        <x:v>1</x:v>
      </x:c>
      <x:c r="E240" s="110" t="n">
        <x:v>1</x:v>
      </x:c>
      <x:c r="F240" s="110" t="n">
        <x:f>IF('使用说明'!$B$4=0,D240,E240)</x:f>
        <x:v>1</x:v>
      </x:c>
      <x:c r="G240" s="62" t="n">
        <x:f>IFERROR(B240/F240,0)</x:f>
        <x:v>18</x:v>
      </x:c>
      <x:c r="H240" s="62" t="n">
        <x:f>IFERROR(C240/F240,0)</x:f>
        <x:v>93520</x:v>
      </x:c>
      <x:c r="I240" s="62" t="n">
        <x:f>SUM(G$19:G240)</x:f>
        <x:v>3246</x:v>
      </x:c>
      <x:c r="J240" s="62" t="n">
        <x:f>SUM(H$19:H240)</x:f>
        <x:v>10140070</x:v>
      </x:c>
      <x:c r="K240" s="62" t="n">
        <x:f>I240*18</x:f>
        <x:v>58428</x:v>
      </x:c>
      <x:c r="L240" s="62" t="n">
        <x:f>J240*18</x:f>
        <x:v>182521260</x:v>
      </x:c>
    </x:row>
    <x:row r="241" ht="23" customHeight="1">
      <x:c r="A241" s="119" t="n">
        <x:v>223</x:v>
      </x:c>
      <x:c r="B241" s="119" t="n">
        <x:f>VLOOKUP(A241,$A$7:$G$13,6,TRUE)</x:f>
        <x:v>18</x:v>
      </x:c>
      <x:c r="C241" s="119" t="n">
        <x:f>ROUNDUP(('经济参数'!$E$52+(A241-1)*'经济参数'!$E$53)*VLOOKUP(A241,$A$7:$G$13,7,TRUE),0)</x:f>
        <x:v>93940</x:v>
      </x:c>
      <x:c r="D241" s="110" t="n">
        <x:v>1</x:v>
      </x:c>
      <x:c r="E241" s="110" t="n">
        <x:v>1</x:v>
      </x:c>
      <x:c r="F241" s="110" t="n">
        <x:f>IF('使用说明'!$B$4=0,D241,E241)</x:f>
        <x:v>1</x:v>
      </x:c>
      <x:c r="G241" s="62" t="n">
        <x:f>IFERROR(B241/F241,0)</x:f>
        <x:v>18</x:v>
      </x:c>
      <x:c r="H241" s="62" t="n">
        <x:f>IFERROR(C241/F241,0)</x:f>
        <x:v>93940</x:v>
      </x:c>
      <x:c r="I241" s="62" t="n">
        <x:f>SUM(G$19:G241)</x:f>
        <x:v>3264</x:v>
      </x:c>
      <x:c r="J241" s="62" t="n">
        <x:f>SUM(H$19:H241)</x:f>
        <x:v>10234010</x:v>
      </x:c>
      <x:c r="K241" s="62" t="n">
        <x:f>I241*18</x:f>
        <x:v>58752</x:v>
      </x:c>
      <x:c r="L241" s="62" t="n">
        <x:f>J241*18</x:f>
        <x:v>184212180</x:v>
      </x:c>
    </x:row>
    <x:row r="242" ht="23" customHeight="1">
      <x:c r="A242" s="119" t="n">
        <x:v>224</x:v>
      </x:c>
      <x:c r="B242" s="119" t="n">
        <x:f>VLOOKUP(A242,$A$7:$G$13,6,TRUE)</x:f>
        <x:v>18</x:v>
      </x:c>
      <x:c r="C242" s="119" t="n">
        <x:f>ROUNDUP(('经济参数'!$E$52+(A242-1)*'经济参数'!$E$53)*VLOOKUP(A242,$A$7:$G$13,7,TRUE),0)</x:f>
        <x:v>94360</x:v>
      </x:c>
      <x:c r="D242" s="110" t="n">
        <x:v>1</x:v>
      </x:c>
      <x:c r="E242" s="110" t="n">
        <x:v>1</x:v>
      </x:c>
      <x:c r="F242" s="110" t="n">
        <x:f>IF('使用说明'!$B$4=0,D242,E242)</x:f>
        <x:v>1</x:v>
      </x:c>
      <x:c r="G242" s="62" t="n">
        <x:f>IFERROR(B242/F242,0)</x:f>
        <x:v>18</x:v>
      </x:c>
      <x:c r="H242" s="62" t="n">
        <x:f>IFERROR(C242/F242,0)</x:f>
        <x:v>94360</x:v>
      </x:c>
      <x:c r="I242" s="62" t="n">
        <x:f>SUM(G$19:G242)</x:f>
        <x:v>3282</x:v>
      </x:c>
      <x:c r="J242" s="62" t="n">
        <x:f>SUM(H$19:H242)</x:f>
        <x:v>10328370</x:v>
      </x:c>
      <x:c r="K242" s="62" t="n">
        <x:f>I242*18</x:f>
        <x:v>59076</x:v>
      </x:c>
      <x:c r="L242" s="62" t="n">
        <x:f>J242*18</x:f>
        <x:v>185910660</x:v>
      </x:c>
    </x:row>
    <x:row r="243" ht="23" customHeight="1">
      <x:c r="A243" s="119" t="n">
        <x:v>225</x:v>
      </x:c>
      <x:c r="B243" s="119" t="n">
        <x:f>VLOOKUP(A243,$A$7:$G$13,6,TRUE)</x:f>
        <x:v>18</x:v>
      </x:c>
      <x:c r="C243" s="119" t="n">
        <x:f>ROUNDUP(('经济参数'!$E$52+(A243-1)*'经济参数'!$E$53)*VLOOKUP(A243,$A$7:$G$13,7,TRUE),0)</x:f>
        <x:v>94780</x:v>
      </x:c>
      <x:c r="D243" s="110" t="n">
        <x:v>1</x:v>
      </x:c>
      <x:c r="E243" s="110" t="n">
        <x:v>1</x:v>
      </x:c>
      <x:c r="F243" s="110" t="n">
        <x:f>IF('使用说明'!$B$4=0,D243,E243)</x:f>
        <x:v>1</x:v>
      </x:c>
      <x:c r="G243" s="62" t="n">
        <x:f>IFERROR(B243/F243,0)</x:f>
        <x:v>18</x:v>
      </x:c>
      <x:c r="H243" s="62" t="n">
        <x:f>IFERROR(C243/F243,0)</x:f>
        <x:v>94780</x:v>
      </x:c>
      <x:c r="I243" s="62" t="n">
        <x:f>SUM(G$19:G243)</x:f>
        <x:v>3300</x:v>
      </x:c>
      <x:c r="J243" s="62" t="n">
        <x:f>SUM(H$19:H243)</x:f>
        <x:v>10423150</x:v>
      </x:c>
      <x:c r="K243" s="62" t="n">
        <x:f>I243*18</x:f>
        <x:v>59400</x:v>
      </x:c>
      <x:c r="L243" s="62" t="n">
        <x:f>J243*18</x:f>
        <x:v>187616700</x:v>
      </x:c>
    </x:row>
    <x:row r="244" ht="23" customHeight="1">
      <x:c r="A244" s="119" t="n">
        <x:v>226</x:v>
      </x:c>
      <x:c r="B244" s="119" t="n">
        <x:f>VLOOKUP(A244,$A$7:$G$13,6,TRUE)</x:f>
        <x:v>18</x:v>
      </x:c>
      <x:c r="C244" s="119" t="n">
        <x:f>ROUNDUP(('经济参数'!$E$52+(A244-1)*'经济参数'!$E$53)*VLOOKUP(A244,$A$7:$G$13,7,TRUE),0)</x:f>
        <x:v>95200</x:v>
      </x:c>
      <x:c r="D244" s="110" t="n">
        <x:v>1</x:v>
      </x:c>
      <x:c r="E244" s="110" t="n">
        <x:v>1</x:v>
      </x:c>
      <x:c r="F244" s="110" t="n">
        <x:f>IF('使用说明'!$B$4=0,D244,E244)</x:f>
        <x:v>1</x:v>
      </x:c>
      <x:c r="G244" s="62" t="n">
        <x:f>IFERROR(B244/F244,0)</x:f>
        <x:v>18</x:v>
      </x:c>
      <x:c r="H244" s="62" t="n">
        <x:f>IFERROR(C244/F244,0)</x:f>
        <x:v>95200</x:v>
      </x:c>
      <x:c r="I244" s="62" t="n">
        <x:f>SUM(G$19:G244)</x:f>
        <x:v>3318</x:v>
      </x:c>
      <x:c r="J244" s="62" t="n">
        <x:f>SUM(H$19:H244)</x:f>
        <x:v>10518350</x:v>
      </x:c>
      <x:c r="K244" s="62" t="n">
        <x:f>I244*18</x:f>
        <x:v>59724</x:v>
      </x:c>
      <x:c r="L244" s="62" t="n">
        <x:f>J244*18</x:f>
        <x:v>189330300</x:v>
      </x:c>
    </x:row>
    <x:row r="245" ht="23" customHeight="1">
      <x:c r="A245" s="119" t="n">
        <x:v>227</x:v>
      </x:c>
      <x:c r="B245" s="119" t="n">
        <x:f>VLOOKUP(A245,$A$7:$G$13,6,TRUE)</x:f>
        <x:v>18</x:v>
      </x:c>
      <x:c r="C245" s="119" t="n">
        <x:f>ROUNDUP(('经济参数'!$E$52+(A245-1)*'经济参数'!$E$53)*VLOOKUP(A245,$A$7:$G$13,7,TRUE),0)</x:f>
        <x:v>95620</x:v>
      </x:c>
      <x:c r="D245" s="110" t="n">
        <x:v>1</x:v>
      </x:c>
      <x:c r="E245" s="110" t="n">
        <x:v>1</x:v>
      </x:c>
      <x:c r="F245" s="110" t="n">
        <x:f>IF('使用说明'!$B$4=0,D245,E245)</x:f>
        <x:v>1</x:v>
      </x:c>
      <x:c r="G245" s="62" t="n">
        <x:f>IFERROR(B245/F245,0)</x:f>
        <x:v>18</x:v>
      </x:c>
      <x:c r="H245" s="62" t="n">
        <x:f>IFERROR(C245/F245,0)</x:f>
        <x:v>95620</x:v>
      </x:c>
      <x:c r="I245" s="62" t="n">
        <x:f>SUM(G$19:G245)</x:f>
        <x:v>3336</x:v>
      </x:c>
      <x:c r="J245" s="62" t="n">
        <x:f>SUM(H$19:H245)</x:f>
        <x:v>10613970</x:v>
      </x:c>
      <x:c r="K245" s="62" t="n">
        <x:f>I245*18</x:f>
        <x:v>60048</x:v>
      </x:c>
      <x:c r="L245" s="62" t="n">
        <x:f>J245*18</x:f>
        <x:v>191051460</x:v>
      </x:c>
    </x:row>
    <x:row r="246" ht="23" customHeight="1">
      <x:c r="A246" s="119" t="n">
        <x:v>228</x:v>
      </x:c>
      <x:c r="B246" s="119" t="n">
        <x:f>VLOOKUP(A246,$A$7:$G$13,6,TRUE)</x:f>
        <x:v>18</x:v>
      </x:c>
      <x:c r="C246" s="119" t="n">
        <x:f>ROUNDUP(('经济参数'!$E$52+(A246-1)*'经济参数'!$E$53)*VLOOKUP(A246,$A$7:$G$13,7,TRUE),0)</x:f>
        <x:v>96040</x:v>
      </x:c>
      <x:c r="D246" s="110" t="n">
        <x:v>1</x:v>
      </x:c>
      <x:c r="E246" s="110" t="n">
        <x:v>1</x:v>
      </x:c>
      <x:c r="F246" s="110" t="n">
        <x:f>IF('使用说明'!$B$4=0,D246,E246)</x:f>
        <x:v>1</x:v>
      </x:c>
      <x:c r="G246" s="62" t="n">
        <x:f>IFERROR(B246/F246,0)</x:f>
        <x:v>18</x:v>
      </x:c>
      <x:c r="H246" s="62" t="n">
        <x:f>IFERROR(C246/F246,0)</x:f>
        <x:v>96040</x:v>
      </x:c>
      <x:c r="I246" s="62" t="n">
        <x:f>SUM(G$19:G246)</x:f>
        <x:v>3354</x:v>
      </x:c>
      <x:c r="J246" s="62" t="n">
        <x:f>SUM(H$19:H246)</x:f>
        <x:v>10710010</x:v>
      </x:c>
      <x:c r="K246" s="62" t="n">
        <x:f>I246*18</x:f>
        <x:v>60372</x:v>
      </x:c>
      <x:c r="L246" s="62" t="n">
        <x:f>J246*18</x:f>
        <x:v>192780180</x:v>
      </x:c>
    </x:row>
    <x:row r="247" ht="23" customHeight="1">
      <x:c r="A247" s="119" t="n">
        <x:v>229</x:v>
      </x:c>
      <x:c r="B247" s="119" t="n">
        <x:f>VLOOKUP(A247,$A$7:$G$13,6,TRUE)</x:f>
        <x:v>18</x:v>
      </x:c>
      <x:c r="C247" s="119" t="n">
        <x:f>ROUNDUP(('经济参数'!$E$52+(A247-1)*'经济参数'!$E$53)*VLOOKUP(A247,$A$7:$G$13,7,TRUE),0)</x:f>
        <x:v>96460</x:v>
      </x:c>
      <x:c r="D247" s="110" t="n">
        <x:v>1</x:v>
      </x:c>
      <x:c r="E247" s="110" t="n">
        <x:v>1</x:v>
      </x:c>
      <x:c r="F247" s="110" t="n">
        <x:f>IF('使用说明'!$B$4=0,D247,E247)</x:f>
        <x:v>1</x:v>
      </x:c>
      <x:c r="G247" s="62" t="n">
        <x:f>IFERROR(B247/F247,0)</x:f>
        <x:v>18</x:v>
      </x:c>
      <x:c r="H247" s="62" t="n">
        <x:f>IFERROR(C247/F247,0)</x:f>
        <x:v>96460</x:v>
      </x:c>
      <x:c r="I247" s="62" t="n">
        <x:f>SUM(G$19:G247)</x:f>
        <x:v>3372</x:v>
      </x:c>
      <x:c r="J247" s="62" t="n">
        <x:f>SUM(H$19:H247)</x:f>
        <x:v>10806470</x:v>
      </x:c>
      <x:c r="K247" s="62" t="n">
        <x:f>I247*18</x:f>
        <x:v>60696</x:v>
      </x:c>
      <x:c r="L247" s="62" t="n">
        <x:f>J247*18</x:f>
        <x:v>194516460</x:v>
      </x:c>
    </x:row>
    <x:row r="248" ht="23" customHeight="1">
      <x:c r="A248" s="119" t="n">
        <x:v>230</x:v>
      </x:c>
      <x:c r="B248" s="119" t="n">
        <x:f>VLOOKUP(A248,$A$7:$G$13,6,TRUE)</x:f>
        <x:v>18</x:v>
      </x:c>
      <x:c r="C248" s="119" t="n">
        <x:f>ROUNDUP(('经济参数'!$E$52+(A248-1)*'经济参数'!$E$53)*VLOOKUP(A248,$A$7:$G$13,7,TRUE),0)</x:f>
        <x:v>96880</x:v>
      </x:c>
      <x:c r="D248" s="110" t="n">
        <x:v>1</x:v>
      </x:c>
      <x:c r="E248" s="110" t="n">
        <x:v>1</x:v>
      </x:c>
      <x:c r="F248" s="110" t="n">
        <x:f>IF('使用说明'!$B$4=0,D248,E248)</x:f>
        <x:v>1</x:v>
      </x:c>
      <x:c r="G248" s="62" t="n">
        <x:f>IFERROR(B248/F248,0)</x:f>
        <x:v>18</x:v>
      </x:c>
      <x:c r="H248" s="62" t="n">
        <x:f>IFERROR(C248/F248,0)</x:f>
        <x:v>96880</x:v>
      </x:c>
      <x:c r="I248" s="62" t="n">
        <x:f>SUM(G$19:G248)</x:f>
        <x:v>3390</x:v>
      </x:c>
      <x:c r="J248" s="62" t="n">
        <x:f>SUM(H$19:H248)</x:f>
        <x:v>10903350</x:v>
      </x:c>
      <x:c r="K248" s="62" t="n">
        <x:f>I248*18</x:f>
        <x:v>61020</x:v>
      </x:c>
      <x:c r="L248" s="62" t="n">
        <x:f>J248*18</x:f>
        <x:v>196260300</x:v>
      </x:c>
    </x:row>
    <x:row r="249" ht="23" customHeight="1">
      <x:c r="A249" s="119" t="n">
        <x:v>231</x:v>
      </x:c>
      <x:c r="B249" s="119" t="n">
        <x:f>VLOOKUP(A249,$A$7:$G$13,6,TRUE)</x:f>
        <x:v>18</x:v>
      </x:c>
      <x:c r="C249" s="119" t="n">
        <x:f>ROUNDUP(('经济参数'!$E$52+(A249-1)*'经济参数'!$E$53)*VLOOKUP(A249,$A$7:$G$13,7,TRUE),0)</x:f>
        <x:v>97300</x:v>
      </x:c>
      <x:c r="D249" s="110" t="n">
        <x:v>1</x:v>
      </x:c>
      <x:c r="E249" s="110" t="n">
        <x:v>1</x:v>
      </x:c>
      <x:c r="F249" s="110" t="n">
        <x:f>IF('使用说明'!$B$4=0,D249,E249)</x:f>
        <x:v>1</x:v>
      </x:c>
      <x:c r="G249" s="62" t="n">
        <x:f>IFERROR(B249/F249,0)</x:f>
        <x:v>18</x:v>
      </x:c>
      <x:c r="H249" s="62" t="n">
        <x:f>IFERROR(C249/F249,0)</x:f>
        <x:v>97300</x:v>
      </x:c>
      <x:c r="I249" s="62" t="n">
        <x:f>SUM(G$19:G249)</x:f>
        <x:v>3408</x:v>
      </x:c>
      <x:c r="J249" s="62" t="n">
        <x:f>SUM(H$19:H249)</x:f>
        <x:v>11000650</x:v>
      </x:c>
      <x:c r="K249" s="62" t="n">
        <x:f>I249*18</x:f>
        <x:v>61344</x:v>
      </x:c>
      <x:c r="L249" s="62" t="n">
        <x:f>J249*18</x:f>
        <x:v>198011700</x:v>
      </x:c>
    </x:row>
    <x:row r="250" ht="23" customHeight="1">
      <x:c r="A250" s="119" t="n">
        <x:v>232</x:v>
      </x:c>
      <x:c r="B250" s="119" t="n">
        <x:f>VLOOKUP(A250,$A$7:$G$13,6,TRUE)</x:f>
        <x:v>18</x:v>
      </x:c>
      <x:c r="C250" s="119" t="n">
        <x:f>ROUNDUP(('经济参数'!$E$52+(A250-1)*'经济参数'!$E$53)*VLOOKUP(A250,$A$7:$G$13,7,TRUE),0)</x:f>
        <x:v>97720</x:v>
      </x:c>
      <x:c r="D250" s="110" t="n">
        <x:v>1</x:v>
      </x:c>
      <x:c r="E250" s="110" t="n">
        <x:v>1</x:v>
      </x:c>
      <x:c r="F250" s="110" t="n">
        <x:f>IF('使用说明'!$B$4=0,D250,E250)</x:f>
        <x:v>1</x:v>
      </x:c>
      <x:c r="G250" s="62" t="n">
        <x:f>IFERROR(B250/F250,0)</x:f>
        <x:v>18</x:v>
      </x:c>
      <x:c r="H250" s="62" t="n">
        <x:f>IFERROR(C250/F250,0)</x:f>
        <x:v>97720</x:v>
      </x:c>
      <x:c r="I250" s="62" t="n">
        <x:f>SUM(G$19:G250)</x:f>
        <x:v>3426</x:v>
      </x:c>
      <x:c r="J250" s="62" t="n">
        <x:f>SUM(H$19:H250)</x:f>
        <x:v>11098370</x:v>
      </x:c>
      <x:c r="K250" s="62" t="n">
        <x:f>I250*18</x:f>
        <x:v>61668</x:v>
      </x:c>
      <x:c r="L250" s="62" t="n">
        <x:f>J250*18</x:f>
        <x:v>199770660</x:v>
      </x:c>
    </x:row>
    <x:row r="251" ht="23" customHeight="1">
      <x:c r="A251" s="119" t="n">
        <x:v>233</x:v>
      </x:c>
      <x:c r="B251" s="119" t="n">
        <x:f>VLOOKUP(A251,$A$7:$G$13,6,TRUE)</x:f>
        <x:v>18</x:v>
      </x:c>
      <x:c r="C251" s="119" t="n">
        <x:f>ROUNDUP(('经济参数'!$E$52+(A251-1)*'经济参数'!$E$53)*VLOOKUP(A251,$A$7:$G$13,7,TRUE),0)</x:f>
        <x:v>98140</x:v>
      </x:c>
      <x:c r="D251" s="110" t="n">
        <x:v>1</x:v>
      </x:c>
      <x:c r="E251" s="110" t="n">
        <x:v>1</x:v>
      </x:c>
      <x:c r="F251" s="110" t="n">
        <x:f>IF('使用说明'!$B$4=0,D251,E251)</x:f>
        <x:v>1</x:v>
      </x:c>
      <x:c r="G251" s="62" t="n">
        <x:f>IFERROR(B251/F251,0)</x:f>
        <x:v>18</x:v>
      </x:c>
      <x:c r="H251" s="62" t="n">
        <x:f>IFERROR(C251/F251,0)</x:f>
        <x:v>98140</x:v>
      </x:c>
      <x:c r="I251" s="62" t="n">
        <x:f>SUM(G$19:G251)</x:f>
        <x:v>3444</x:v>
      </x:c>
      <x:c r="J251" s="62" t="n">
        <x:f>SUM(H$19:H251)</x:f>
        <x:v>11196510</x:v>
      </x:c>
      <x:c r="K251" s="62" t="n">
        <x:f>I251*18</x:f>
        <x:v>61992</x:v>
      </x:c>
      <x:c r="L251" s="62" t="n">
        <x:f>J251*18</x:f>
        <x:v>201537180</x:v>
      </x:c>
    </x:row>
    <x:row r="252" ht="23" customHeight="1">
      <x:c r="A252" s="119" t="n">
        <x:v>234</x:v>
      </x:c>
      <x:c r="B252" s="119" t="n">
        <x:f>VLOOKUP(A252,$A$7:$G$13,6,TRUE)</x:f>
        <x:v>18</x:v>
      </x:c>
      <x:c r="C252" s="119" t="n">
        <x:f>ROUNDUP(('经济参数'!$E$52+(A252-1)*'经济参数'!$E$53)*VLOOKUP(A252,$A$7:$G$13,7,TRUE),0)</x:f>
        <x:v>98560</x:v>
      </x:c>
      <x:c r="D252" s="110" t="n">
        <x:v>1</x:v>
      </x:c>
      <x:c r="E252" s="110" t="n">
        <x:v>1</x:v>
      </x:c>
      <x:c r="F252" s="110" t="n">
        <x:f>IF('使用说明'!$B$4=0,D252,E252)</x:f>
        <x:v>1</x:v>
      </x:c>
      <x:c r="G252" s="62" t="n">
        <x:f>IFERROR(B252/F252,0)</x:f>
        <x:v>18</x:v>
      </x:c>
      <x:c r="H252" s="62" t="n">
        <x:f>IFERROR(C252/F252,0)</x:f>
        <x:v>98560</x:v>
      </x:c>
      <x:c r="I252" s="62" t="n">
        <x:f>SUM(G$19:G252)</x:f>
        <x:v>3462</x:v>
      </x:c>
      <x:c r="J252" s="62" t="n">
        <x:f>SUM(H$19:H252)</x:f>
        <x:v>11295070</x:v>
      </x:c>
      <x:c r="K252" s="62" t="n">
        <x:f>I252*18</x:f>
        <x:v>62316</x:v>
      </x:c>
      <x:c r="L252" s="62" t="n">
        <x:f>J252*18</x:f>
        <x:v>203311260</x:v>
      </x:c>
    </x:row>
    <x:row r="253" ht="23" customHeight="1">
      <x:c r="A253" s="119" t="n">
        <x:v>235</x:v>
      </x:c>
      <x:c r="B253" s="119" t="n">
        <x:f>VLOOKUP(A253,$A$7:$G$13,6,TRUE)</x:f>
        <x:v>18</x:v>
      </x:c>
      <x:c r="C253" s="119" t="n">
        <x:f>ROUNDUP(('经济参数'!$E$52+(A253-1)*'经济参数'!$E$53)*VLOOKUP(A253,$A$7:$G$13,7,TRUE),0)</x:f>
        <x:v>98980</x:v>
      </x:c>
      <x:c r="D253" s="110" t="n">
        <x:v>1</x:v>
      </x:c>
      <x:c r="E253" s="110" t="n">
        <x:v>1</x:v>
      </x:c>
      <x:c r="F253" s="110" t="n">
        <x:f>IF('使用说明'!$B$4=0,D253,E253)</x:f>
        <x:v>1</x:v>
      </x:c>
      <x:c r="G253" s="62" t="n">
        <x:f>IFERROR(B253/F253,0)</x:f>
        <x:v>18</x:v>
      </x:c>
      <x:c r="H253" s="62" t="n">
        <x:f>IFERROR(C253/F253,0)</x:f>
        <x:v>98980</x:v>
      </x:c>
      <x:c r="I253" s="62" t="n">
        <x:f>SUM(G$19:G253)</x:f>
        <x:v>3480</x:v>
      </x:c>
      <x:c r="J253" s="62" t="n">
        <x:f>SUM(H$19:H253)</x:f>
        <x:v>11394050</x:v>
      </x:c>
      <x:c r="K253" s="62" t="n">
        <x:f>I253*18</x:f>
        <x:v>62640</x:v>
      </x:c>
      <x:c r="L253" s="62" t="n">
        <x:f>J253*18</x:f>
        <x:v>205092900</x:v>
      </x:c>
    </x:row>
    <x:row r="254" ht="23" customHeight="1">
      <x:c r="A254" s="119" t="n">
        <x:v>236</x:v>
      </x:c>
      <x:c r="B254" s="119" t="n">
        <x:f>VLOOKUP(A254,$A$7:$G$13,6,TRUE)</x:f>
        <x:v>18</x:v>
      </x:c>
      <x:c r="C254" s="119" t="n">
        <x:f>ROUNDUP(('经济参数'!$E$52+(A254-1)*'经济参数'!$E$53)*VLOOKUP(A254,$A$7:$G$13,7,TRUE),0)</x:f>
        <x:v>99400</x:v>
      </x:c>
      <x:c r="D254" s="110" t="n">
        <x:v>1</x:v>
      </x:c>
      <x:c r="E254" s="110" t="n">
        <x:v>1</x:v>
      </x:c>
      <x:c r="F254" s="110" t="n">
        <x:f>IF('使用说明'!$B$4=0,D254,E254)</x:f>
        <x:v>1</x:v>
      </x:c>
      <x:c r="G254" s="62" t="n">
        <x:f>IFERROR(B254/F254,0)</x:f>
        <x:v>18</x:v>
      </x:c>
      <x:c r="H254" s="62" t="n">
        <x:f>IFERROR(C254/F254,0)</x:f>
        <x:v>99400</x:v>
      </x:c>
      <x:c r="I254" s="62" t="n">
        <x:f>SUM(G$19:G254)</x:f>
        <x:v>3498</x:v>
      </x:c>
      <x:c r="J254" s="62" t="n">
        <x:f>SUM(H$19:H254)</x:f>
        <x:v>11493450</x:v>
      </x:c>
      <x:c r="K254" s="62" t="n">
        <x:f>I254*18</x:f>
        <x:v>62964</x:v>
      </x:c>
      <x:c r="L254" s="62" t="n">
        <x:f>J254*18</x:f>
        <x:v>206882100</x:v>
      </x:c>
    </x:row>
    <x:row r="255" ht="23" customHeight="1">
      <x:c r="A255" s="119" t="n">
        <x:v>237</x:v>
      </x:c>
      <x:c r="B255" s="119" t="n">
        <x:f>VLOOKUP(A255,$A$7:$G$13,6,TRUE)</x:f>
        <x:v>18</x:v>
      </x:c>
      <x:c r="C255" s="119" t="n">
        <x:f>ROUNDUP(('经济参数'!$E$52+(A255-1)*'经济参数'!$E$53)*VLOOKUP(A255,$A$7:$G$13,7,TRUE),0)</x:f>
        <x:v>99820</x:v>
      </x:c>
      <x:c r="D255" s="110" t="n">
        <x:v>1</x:v>
      </x:c>
      <x:c r="E255" s="110" t="n">
        <x:v>1</x:v>
      </x:c>
      <x:c r="F255" s="110" t="n">
        <x:f>IF('使用说明'!$B$4=0,D255,E255)</x:f>
        <x:v>1</x:v>
      </x:c>
      <x:c r="G255" s="62" t="n">
        <x:f>IFERROR(B255/F255,0)</x:f>
        <x:v>18</x:v>
      </x:c>
      <x:c r="H255" s="62" t="n">
        <x:f>IFERROR(C255/F255,0)</x:f>
        <x:v>99820</x:v>
      </x:c>
      <x:c r="I255" s="62" t="n">
        <x:f>SUM(G$19:G255)</x:f>
        <x:v>3516</x:v>
      </x:c>
      <x:c r="J255" s="62" t="n">
        <x:f>SUM(H$19:H255)</x:f>
        <x:v>11593270</x:v>
      </x:c>
      <x:c r="K255" s="62" t="n">
        <x:f>I255*18</x:f>
        <x:v>63288</x:v>
      </x:c>
      <x:c r="L255" s="62" t="n">
        <x:f>J255*18</x:f>
        <x:v>208678860</x:v>
      </x:c>
    </x:row>
    <x:row r="256" ht="23" customHeight="1">
      <x:c r="A256" s="119" t="n">
        <x:v>238</x:v>
      </x:c>
      <x:c r="B256" s="119" t="n">
        <x:f>VLOOKUP(A256,$A$7:$G$13,6,TRUE)</x:f>
        <x:v>18</x:v>
      </x:c>
      <x:c r="C256" s="119" t="n">
        <x:f>ROUNDUP(('经济参数'!$E$52+(A256-1)*'经济参数'!$E$53)*VLOOKUP(A256,$A$7:$G$13,7,TRUE),0)</x:f>
        <x:v>100240</x:v>
      </x:c>
      <x:c r="D256" s="110" t="n">
        <x:v>1</x:v>
      </x:c>
      <x:c r="E256" s="110" t="n">
        <x:v>1</x:v>
      </x:c>
      <x:c r="F256" s="110" t="n">
        <x:f>IF('使用说明'!$B$4=0,D256,E256)</x:f>
        <x:v>1</x:v>
      </x:c>
      <x:c r="G256" s="62" t="n">
        <x:f>IFERROR(B256/F256,0)</x:f>
        <x:v>18</x:v>
      </x:c>
      <x:c r="H256" s="62" t="n">
        <x:f>IFERROR(C256/F256,0)</x:f>
        <x:v>100240</x:v>
      </x:c>
      <x:c r="I256" s="62" t="n">
        <x:f>SUM(G$19:G256)</x:f>
        <x:v>3534</x:v>
      </x:c>
      <x:c r="J256" s="62" t="n">
        <x:f>SUM(H$19:H256)</x:f>
        <x:v>11693510</x:v>
      </x:c>
      <x:c r="K256" s="62" t="n">
        <x:f>I256*18</x:f>
        <x:v>63612</x:v>
      </x:c>
      <x:c r="L256" s="62" t="n">
        <x:f>J256*18</x:f>
        <x:v>210483180</x:v>
      </x:c>
    </x:row>
    <x:row r="257" ht="23" customHeight="1">
      <x:c r="A257" s="119" t="n">
        <x:v>239</x:v>
      </x:c>
      <x:c r="B257" s="119" t="n">
        <x:f>VLOOKUP(A257,$A$7:$G$13,6,TRUE)</x:f>
        <x:v>18</x:v>
      </x:c>
      <x:c r="C257" s="119" t="n">
        <x:f>ROUNDUP(('经济参数'!$E$52+(A257-1)*'经济参数'!$E$53)*VLOOKUP(A257,$A$7:$G$13,7,TRUE),0)</x:f>
        <x:v>100660</x:v>
      </x:c>
      <x:c r="D257" s="110" t="n">
        <x:v>1</x:v>
      </x:c>
      <x:c r="E257" s="110" t="n">
        <x:v>1</x:v>
      </x:c>
      <x:c r="F257" s="110" t="n">
        <x:f>IF('使用说明'!$B$4=0,D257,E257)</x:f>
        <x:v>1</x:v>
      </x:c>
      <x:c r="G257" s="62" t="n">
        <x:f>IFERROR(B257/F257,0)</x:f>
        <x:v>18</x:v>
      </x:c>
      <x:c r="H257" s="62" t="n">
        <x:f>IFERROR(C257/F257,0)</x:f>
        <x:v>100660</x:v>
      </x:c>
      <x:c r="I257" s="62" t="n">
        <x:f>SUM(G$19:G257)</x:f>
        <x:v>3552</x:v>
      </x:c>
      <x:c r="J257" s="62" t="n">
        <x:f>SUM(H$19:H257)</x:f>
        <x:v>11794170</x:v>
      </x:c>
      <x:c r="K257" s="62" t="n">
        <x:f>I257*18</x:f>
        <x:v>63936</x:v>
      </x:c>
      <x:c r="L257" s="62" t="n">
        <x:f>J257*18</x:f>
        <x:v>212295060</x:v>
      </x:c>
    </x:row>
    <x:row r="258" ht="23" customHeight="1">
      <x:c r="A258" s="119" t="n">
        <x:v>240</x:v>
      </x:c>
      <x:c r="B258" s="119" t="n">
        <x:f>VLOOKUP(A258,$A$7:$G$13,6,TRUE)</x:f>
        <x:v>18</x:v>
      </x:c>
      <x:c r="C258" s="119" t="n">
        <x:f>ROUNDUP(('经济参数'!$E$52+(A258-1)*'经济参数'!$E$53)*VLOOKUP(A258,$A$7:$G$13,7,TRUE),0)</x:f>
        <x:v>101080</x:v>
      </x:c>
      <x:c r="D258" s="110" t="n">
        <x:v>1</x:v>
      </x:c>
      <x:c r="E258" s="110" t="n">
        <x:v>1</x:v>
      </x:c>
      <x:c r="F258" s="110" t="n">
        <x:f>IF('使用说明'!$B$4=0,D258,E258)</x:f>
        <x:v>1</x:v>
      </x:c>
      <x:c r="G258" s="62" t="n">
        <x:f>IFERROR(B258/F258,0)</x:f>
        <x:v>18</x:v>
      </x:c>
      <x:c r="H258" s="62" t="n">
        <x:f>IFERROR(C258/F258,0)</x:f>
        <x:v>101080</x:v>
      </x:c>
      <x:c r="I258" s="62" t="n">
        <x:f>SUM(G$19:G258)</x:f>
        <x:v>3570</x:v>
      </x:c>
      <x:c r="J258" s="62" t="n">
        <x:f>SUM(H$19:H258)</x:f>
        <x:v>11895250</x:v>
      </x:c>
      <x:c r="K258" s="62" t="n">
        <x:f>I258*18</x:f>
        <x:v>64260</x:v>
      </x:c>
      <x:c r="L258" s="62" t="n">
        <x:f>J258*18</x:f>
        <x:v>214114500</x:v>
      </x:c>
    </x:row>
    <x:row r="259" ht="23" customHeight="1">
      <x:c r="A259" s="119" t="n">
        <x:v>241</x:v>
      </x:c>
      <x:c r="B259" s="119" t="n">
        <x:f>VLOOKUP(A259,$A$7:$G$13,6,TRUE)</x:f>
        <x:v>18</x:v>
      </x:c>
      <x:c r="C259" s="119" t="n">
        <x:f>ROUNDUP(('经济参数'!$E$52+(A259-1)*'经济参数'!$E$53)*VLOOKUP(A259,$A$7:$G$13,7,TRUE),0)</x:f>
        <x:v>101500</x:v>
      </x:c>
      <x:c r="D259" s="110" t="n">
        <x:v>1</x:v>
      </x:c>
      <x:c r="E259" s="110" t="n">
        <x:v>1</x:v>
      </x:c>
      <x:c r="F259" s="110" t="n">
        <x:f>IF('使用说明'!$B$4=0,D259,E259)</x:f>
        <x:v>1</x:v>
      </x:c>
      <x:c r="G259" s="62" t="n">
        <x:f>IFERROR(B259/F259,0)</x:f>
        <x:v>18</x:v>
      </x:c>
      <x:c r="H259" s="62" t="n">
        <x:f>IFERROR(C259/F259,0)</x:f>
        <x:v>101500</x:v>
      </x:c>
      <x:c r="I259" s="62" t="n">
        <x:f>SUM(G$19:G259)</x:f>
        <x:v>3588</x:v>
      </x:c>
      <x:c r="J259" s="62" t="n">
        <x:f>SUM(H$19:H259)</x:f>
        <x:v>11996750</x:v>
      </x:c>
      <x:c r="K259" s="62" t="n">
        <x:f>I259*18</x:f>
        <x:v>64584</x:v>
      </x:c>
      <x:c r="L259" s="62" t="n">
        <x:f>J259*18</x:f>
        <x:v>215941500</x:v>
      </x:c>
    </x:row>
    <x:row r="260" ht="23" customHeight="1">
      <x:c r="A260" s="119" t="n">
        <x:v>242</x:v>
      </x:c>
      <x:c r="B260" s="119" t="n">
        <x:f>VLOOKUP(A260,$A$7:$G$13,6,TRUE)</x:f>
        <x:v>18</x:v>
      </x:c>
      <x:c r="C260" s="119" t="n">
        <x:f>ROUNDUP(('经济参数'!$E$52+(A260-1)*'经济参数'!$E$53)*VLOOKUP(A260,$A$7:$G$13,7,TRUE),0)</x:f>
        <x:v>101920</x:v>
      </x:c>
      <x:c r="D260" s="110" t="n">
        <x:v>1</x:v>
      </x:c>
      <x:c r="E260" s="110" t="n">
        <x:v>1</x:v>
      </x:c>
      <x:c r="F260" s="110" t="n">
        <x:f>IF('使用说明'!$B$4=0,D260,E260)</x:f>
        <x:v>1</x:v>
      </x:c>
      <x:c r="G260" s="62" t="n">
        <x:f>IFERROR(B260/F260,0)</x:f>
        <x:v>18</x:v>
      </x:c>
      <x:c r="H260" s="62" t="n">
        <x:f>IFERROR(C260/F260,0)</x:f>
        <x:v>101920</x:v>
      </x:c>
      <x:c r="I260" s="62" t="n">
        <x:f>SUM(G$19:G260)</x:f>
        <x:v>3606</x:v>
      </x:c>
      <x:c r="J260" s="62" t="n">
        <x:f>SUM(H$19:H260)</x:f>
        <x:v>12098670</x:v>
      </x:c>
      <x:c r="K260" s="62" t="n">
        <x:f>I260*18</x:f>
        <x:v>64908</x:v>
      </x:c>
      <x:c r="L260" s="62" t="n">
        <x:f>J260*18</x:f>
        <x:v>217776060</x:v>
      </x:c>
    </x:row>
    <x:row r="261" ht="23" customHeight="1">
      <x:c r="A261" s="119" t="n">
        <x:v>243</x:v>
      </x:c>
      <x:c r="B261" s="119" t="n">
        <x:f>VLOOKUP(A261,$A$7:$G$13,6,TRUE)</x:f>
        <x:v>18</x:v>
      </x:c>
      <x:c r="C261" s="119" t="n">
        <x:f>ROUNDUP(('经济参数'!$E$52+(A261-1)*'经济参数'!$E$53)*VLOOKUP(A261,$A$7:$G$13,7,TRUE),0)</x:f>
        <x:v>102340</x:v>
      </x:c>
      <x:c r="D261" s="110" t="n">
        <x:v>1</x:v>
      </x:c>
      <x:c r="E261" s="110" t="n">
        <x:v>1</x:v>
      </x:c>
      <x:c r="F261" s="110" t="n">
        <x:f>IF('使用说明'!$B$4=0,D261,E261)</x:f>
        <x:v>1</x:v>
      </x:c>
      <x:c r="G261" s="62" t="n">
        <x:f>IFERROR(B261/F261,0)</x:f>
        <x:v>18</x:v>
      </x:c>
      <x:c r="H261" s="62" t="n">
        <x:f>IFERROR(C261/F261,0)</x:f>
        <x:v>102340</x:v>
      </x:c>
      <x:c r="I261" s="62" t="n">
        <x:f>SUM(G$19:G261)</x:f>
        <x:v>3624</x:v>
      </x:c>
      <x:c r="J261" s="62" t="n">
        <x:f>SUM(H$19:H261)</x:f>
        <x:v>12201010</x:v>
      </x:c>
      <x:c r="K261" s="62" t="n">
        <x:f>I261*18</x:f>
        <x:v>65232</x:v>
      </x:c>
      <x:c r="L261" s="62" t="n">
        <x:f>J261*18</x:f>
        <x:v>219618180</x:v>
      </x:c>
    </x:row>
    <x:row r="262" ht="23" customHeight="1">
      <x:c r="A262" s="119" t="n">
        <x:v>244</x:v>
      </x:c>
      <x:c r="B262" s="119" t="n">
        <x:f>VLOOKUP(A262,$A$7:$G$13,6,TRUE)</x:f>
        <x:v>18</x:v>
      </x:c>
      <x:c r="C262" s="119" t="n">
        <x:f>ROUNDUP(('经济参数'!$E$52+(A262-1)*'经济参数'!$E$53)*VLOOKUP(A262,$A$7:$G$13,7,TRUE),0)</x:f>
        <x:v>102760</x:v>
      </x:c>
      <x:c r="D262" s="110" t="n">
        <x:v>1</x:v>
      </x:c>
      <x:c r="E262" s="110" t="n">
        <x:v>1</x:v>
      </x:c>
      <x:c r="F262" s="110" t="n">
        <x:f>IF('使用说明'!$B$4=0,D262,E262)</x:f>
        <x:v>1</x:v>
      </x:c>
      <x:c r="G262" s="62" t="n">
        <x:f>IFERROR(B262/F262,0)</x:f>
        <x:v>18</x:v>
      </x:c>
      <x:c r="H262" s="62" t="n">
        <x:f>IFERROR(C262/F262,0)</x:f>
        <x:v>102760</x:v>
      </x:c>
      <x:c r="I262" s="62" t="n">
        <x:f>SUM(G$19:G262)</x:f>
        <x:v>3642</x:v>
      </x:c>
      <x:c r="J262" s="62" t="n">
        <x:f>SUM(H$19:H262)</x:f>
        <x:v>12303770</x:v>
      </x:c>
      <x:c r="K262" s="62" t="n">
        <x:f>I262*18</x:f>
        <x:v>65556</x:v>
      </x:c>
      <x:c r="L262" s="62" t="n">
        <x:f>J262*18</x:f>
        <x:v>221467860</x:v>
      </x:c>
    </x:row>
    <x:row r="263" ht="23" customHeight="1">
      <x:c r="A263" s="119" t="n">
        <x:v>245</x:v>
      </x:c>
      <x:c r="B263" s="119" t="n">
        <x:f>VLOOKUP(A263,$A$7:$G$13,6,TRUE)</x:f>
        <x:v>18</x:v>
      </x:c>
      <x:c r="C263" s="119" t="n">
        <x:f>ROUNDUP(('经济参数'!$E$52+(A263-1)*'经济参数'!$E$53)*VLOOKUP(A263,$A$7:$G$13,7,TRUE),0)</x:f>
        <x:v>103180</x:v>
      </x:c>
      <x:c r="D263" s="110" t="n">
        <x:v>1</x:v>
      </x:c>
      <x:c r="E263" s="110" t="n">
        <x:v>1</x:v>
      </x:c>
      <x:c r="F263" s="110" t="n">
        <x:f>IF('使用说明'!$B$4=0,D263,E263)</x:f>
        <x:v>1</x:v>
      </x:c>
      <x:c r="G263" s="62" t="n">
        <x:f>IFERROR(B263/F263,0)</x:f>
        <x:v>18</x:v>
      </x:c>
      <x:c r="H263" s="62" t="n">
        <x:f>IFERROR(C263/F263,0)</x:f>
        <x:v>103180</x:v>
      </x:c>
      <x:c r="I263" s="62" t="n">
        <x:f>SUM(G$19:G263)</x:f>
        <x:v>3660</x:v>
      </x:c>
      <x:c r="J263" s="62" t="n">
        <x:f>SUM(H$19:H263)</x:f>
        <x:v>12406950</x:v>
      </x:c>
      <x:c r="K263" s="62" t="n">
        <x:f>I263*18</x:f>
        <x:v>65880</x:v>
      </x:c>
      <x:c r="L263" s="62" t="n">
        <x:f>J263*18</x:f>
        <x:v>223325100</x:v>
      </x:c>
    </x:row>
    <x:row r="264" ht="23" customHeight="1">
      <x:c r="A264" s="119" t="n">
        <x:v>246</x:v>
      </x:c>
      <x:c r="B264" s="119" t="n">
        <x:f>VLOOKUP(A264,$A$7:$G$13,6,TRUE)</x:f>
        <x:v>18</x:v>
      </x:c>
      <x:c r="C264" s="119" t="n">
        <x:f>ROUNDUP(('经济参数'!$E$52+(A264-1)*'经济参数'!$E$53)*VLOOKUP(A264,$A$7:$G$13,7,TRUE),0)</x:f>
        <x:v>103600</x:v>
      </x:c>
      <x:c r="D264" s="110" t="n">
        <x:v>1</x:v>
      </x:c>
      <x:c r="E264" s="110" t="n">
        <x:v>1</x:v>
      </x:c>
      <x:c r="F264" s="110" t="n">
        <x:f>IF('使用说明'!$B$4=0,D264,E264)</x:f>
        <x:v>1</x:v>
      </x:c>
      <x:c r="G264" s="62" t="n">
        <x:f>IFERROR(B264/F264,0)</x:f>
        <x:v>18</x:v>
      </x:c>
      <x:c r="H264" s="62" t="n">
        <x:f>IFERROR(C264/F264,0)</x:f>
        <x:v>103600</x:v>
      </x:c>
      <x:c r="I264" s="62" t="n">
        <x:f>SUM(G$19:G264)</x:f>
        <x:v>3678</x:v>
      </x:c>
      <x:c r="J264" s="62" t="n">
        <x:f>SUM(H$19:H264)</x:f>
        <x:v>12510550</x:v>
      </x:c>
      <x:c r="K264" s="62" t="n">
        <x:f>I264*18</x:f>
        <x:v>66204</x:v>
      </x:c>
      <x:c r="L264" s="62" t="n">
        <x:f>J264*18</x:f>
        <x:v>225189900</x:v>
      </x:c>
    </x:row>
    <x:row r="265" ht="23" customHeight="1">
      <x:c r="A265" s="119" t="n">
        <x:v>247</x:v>
      </x:c>
      <x:c r="B265" s="119" t="n">
        <x:f>VLOOKUP(A265,$A$7:$G$13,6,TRUE)</x:f>
        <x:v>18</x:v>
      </x:c>
      <x:c r="C265" s="119" t="n">
        <x:f>ROUNDUP(('经济参数'!$E$52+(A265-1)*'经济参数'!$E$53)*VLOOKUP(A265,$A$7:$G$13,7,TRUE),0)</x:f>
        <x:v>104020</x:v>
      </x:c>
      <x:c r="D265" s="110" t="n">
        <x:v>1</x:v>
      </x:c>
      <x:c r="E265" s="110" t="n">
        <x:v>1</x:v>
      </x:c>
      <x:c r="F265" s="110" t="n">
        <x:f>IF('使用说明'!$B$4=0,D265,E265)</x:f>
        <x:v>1</x:v>
      </x:c>
      <x:c r="G265" s="62" t="n">
        <x:f>IFERROR(B265/F265,0)</x:f>
        <x:v>18</x:v>
      </x:c>
      <x:c r="H265" s="62" t="n">
        <x:f>IFERROR(C265/F265,0)</x:f>
        <x:v>104020</x:v>
      </x:c>
      <x:c r="I265" s="62" t="n">
        <x:f>SUM(G$19:G265)</x:f>
        <x:v>3696</x:v>
      </x:c>
      <x:c r="J265" s="62" t="n">
        <x:f>SUM(H$19:H265)</x:f>
        <x:v>12614570</x:v>
      </x:c>
      <x:c r="K265" s="62" t="n">
        <x:f>I265*18</x:f>
        <x:v>66528</x:v>
      </x:c>
      <x:c r="L265" s="62" t="n">
        <x:f>J265*18</x:f>
        <x:v>227062260</x:v>
      </x:c>
    </x:row>
    <x:row r="266" ht="23" customHeight="1">
      <x:c r="A266" s="119" t="n">
        <x:v>248</x:v>
      </x:c>
      <x:c r="B266" s="119" t="n">
        <x:f>VLOOKUP(A266,$A$7:$G$13,6,TRUE)</x:f>
        <x:v>18</x:v>
      </x:c>
      <x:c r="C266" s="119" t="n">
        <x:f>ROUNDUP(('经济参数'!$E$52+(A266-1)*'经济参数'!$E$53)*VLOOKUP(A266,$A$7:$G$13,7,TRUE),0)</x:f>
        <x:v>104440</x:v>
      </x:c>
      <x:c r="D266" s="110" t="n">
        <x:v>1</x:v>
      </x:c>
      <x:c r="E266" s="110" t="n">
        <x:v>1</x:v>
      </x:c>
      <x:c r="F266" s="110" t="n">
        <x:f>IF('使用说明'!$B$4=0,D266,E266)</x:f>
        <x:v>1</x:v>
      </x:c>
      <x:c r="G266" s="62" t="n">
        <x:f>IFERROR(B266/F266,0)</x:f>
        <x:v>18</x:v>
      </x:c>
      <x:c r="H266" s="62" t="n">
        <x:f>IFERROR(C266/F266,0)</x:f>
        <x:v>104440</x:v>
      </x:c>
      <x:c r="I266" s="62" t="n">
        <x:f>SUM(G$19:G266)</x:f>
        <x:v>3714</x:v>
      </x:c>
      <x:c r="J266" s="62" t="n">
        <x:f>SUM(H$19:H266)</x:f>
        <x:v>12719010</x:v>
      </x:c>
      <x:c r="K266" s="62" t="n">
        <x:f>I266*18</x:f>
        <x:v>66852</x:v>
      </x:c>
      <x:c r="L266" s="62" t="n">
        <x:f>J266*18</x:f>
        <x:v>228942180</x:v>
      </x:c>
    </x:row>
    <x:row r="267" ht="23" customHeight="1">
      <x:c r="A267" s="119" t="n">
        <x:v>249</x:v>
      </x:c>
      <x:c r="B267" s="119" t="n">
        <x:f>VLOOKUP(A267,$A$7:$G$13,6,TRUE)</x:f>
        <x:v>18</x:v>
      </x:c>
      <x:c r="C267" s="119" t="n">
        <x:f>ROUNDUP(('经济参数'!$E$52+(A267-1)*'经济参数'!$E$53)*VLOOKUP(A267,$A$7:$G$13,7,TRUE),0)</x:f>
        <x:v>104860</x:v>
      </x:c>
      <x:c r="D267" s="110" t="n">
        <x:v>1</x:v>
      </x:c>
      <x:c r="E267" s="110" t="n">
        <x:v>1</x:v>
      </x:c>
      <x:c r="F267" s="110" t="n">
        <x:f>IF('使用说明'!$B$4=0,D267,E267)</x:f>
        <x:v>1</x:v>
      </x:c>
      <x:c r="G267" s="62" t="n">
        <x:f>IFERROR(B267/F267,0)</x:f>
        <x:v>18</x:v>
      </x:c>
      <x:c r="H267" s="62" t="n">
        <x:f>IFERROR(C267/F267,0)</x:f>
        <x:v>104860</x:v>
      </x:c>
      <x:c r="I267" s="62" t="n">
        <x:f>SUM(G$19:G267)</x:f>
        <x:v>3732</x:v>
      </x:c>
      <x:c r="J267" s="62" t="n">
        <x:f>SUM(H$19:H267)</x:f>
        <x:v>12823870</x:v>
      </x:c>
      <x:c r="K267" s="62" t="n">
        <x:f>I267*18</x:f>
        <x:v>67176</x:v>
      </x:c>
      <x:c r="L267" s="62" t="n">
        <x:f>J267*18</x:f>
        <x:v>230829660</x:v>
      </x:c>
    </x:row>
    <x:row r="268" ht="23" customHeight="1">
      <x:c r="A268" s="119" t="n">
        <x:v>250</x:v>
      </x:c>
      <x:c r="B268" s="119" t="n">
        <x:f>VLOOKUP(A268,$A$7:$G$13,6,TRUE)</x:f>
        <x:v>18</x:v>
      </x:c>
      <x:c r="C268" s="119" t="n">
        <x:f>ROUNDUP(('经济参数'!$E$52+(A268-1)*'经济参数'!$E$53)*VLOOKUP(A268,$A$7:$G$13,7,TRUE),0)</x:f>
        <x:v>105280</x:v>
      </x:c>
      <x:c r="D268" s="110" t="n">
        <x:v>1</x:v>
      </x:c>
      <x:c r="E268" s="110" t="n">
        <x:v>1</x:v>
      </x:c>
      <x:c r="F268" s="110" t="n">
        <x:f>IF('使用说明'!$B$4=0,D268,E268)</x:f>
        <x:v>1</x:v>
      </x:c>
      <x:c r="G268" s="62" t="n">
        <x:f>IFERROR(B268/F268,0)</x:f>
        <x:v>18</x:v>
      </x:c>
      <x:c r="H268" s="62" t="n">
        <x:f>IFERROR(C268/F268,0)</x:f>
        <x:v>105280</x:v>
      </x:c>
      <x:c r="I268" s="62" t="n">
        <x:f>SUM(G$19:G268)</x:f>
        <x:v>3750</x:v>
      </x:c>
      <x:c r="J268" s="62" t="n">
        <x:f>SUM(H$19:H268)</x:f>
        <x:v>12929150</x:v>
      </x:c>
      <x:c r="K268" s="62" t="n">
        <x:f>I268*18</x:f>
        <x:v>67500</x:v>
      </x:c>
      <x:c r="L268" s="62" t="n">
        <x:f>J268*18</x:f>
        <x:v>232724700</x:v>
      </x:c>
    </x:row>
    <x:row r="269" ht="23" customHeight="1">
      <x:c r="A269" s="119" t="n">
        <x:v>251</x:v>
      </x:c>
      <x:c r="B269" s="119" t="n">
        <x:f>VLOOKUP(A269,$A$7:$G$13,6,TRUE)</x:f>
        <x:v>18</x:v>
      </x:c>
      <x:c r="C269" s="119" t="n">
        <x:f>ROUNDUP(('经济参数'!$E$52+(A269-1)*'经济参数'!$E$53)*VLOOKUP(A269,$A$7:$G$13,7,TRUE),0)</x:f>
        <x:v>105700</x:v>
      </x:c>
      <x:c r="D269" s="110" t="n">
        <x:v>1</x:v>
      </x:c>
      <x:c r="E269" s="110" t="n">
        <x:v>1</x:v>
      </x:c>
      <x:c r="F269" s="110" t="n">
        <x:f>IF('使用说明'!$B$4=0,D269,E269)</x:f>
        <x:v>1</x:v>
      </x:c>
      <x:c r="G269" s="62" t="n">
        <x:f>IFERROR(B269/F269,0)</x:f>
        <x:v>18</x:v>
      </x:c>
      <x:c r="H269" s="62" t="n">
        <x:f>IFERROR(C269/F269,0)</x:f>
        <x:v>105700</x:v>
      </x:c>
      <x:c r="I269" s="62" t="n">
        <x:f>SUM(G$19:G269)</x:f>
        <x:v>3768</x:v>
      </x:c>
      <x:c r="J269" s="62" t="n">
        <x:f>SUM(H$19:H269)</x:f>
        <x:v>13034850</x:v>
      </x:c>
      <x:c r="K269" s="62" t="n">
        <x:f>I269*18</x:f>
        <x:v>67824</x:v>
      </x:c>
      <x:c r="L269" s="62" t="n">
        <x:f>J269*18</x:f>
        <x:v>234627300</x:v>
      </x:c>
    </x:row>
    <x:row r="270" ht="23" customHeight="1">
      <x:c r="A270" s="119" t="n">
        <x:v>252</x:v>
      </x:c>
      <x:c r="B270" s="119" t="n">
        <x:f>VLOOKUP(A270,$A$7:$G$13,6,TRUE)</x:f>
        <x:v>18</x:v>
      </x:c>
      <x:c r="C270" s="119" t="n">
        <x:f>ROUNDUP(('经济参数'!$E$52+(A270-1)*'经济参数'!$E$53)*VLOOKUP(A270,$A$7:$G$13,7,TRUE),0)</x:f>
        <x:v>106120</x:v>
      </x:c>
      <x:c r="D270" s="110" t="n">
        <x:v>1</x:v>
      </x:c>
      <x:c r="E270" s="110" t="n">
        <x:v>1</x:v>
      </x:c>
      <x:c r="F270" s="110" t="n">
        <x:f>IF('使用说明'!$B$4=0,D270,E270)</x:f>
        <x:v>1</x:v>
      </x:c>
      <x:c r="G270" s="62" t="n">
        <x:f>IFERROR(B270/F270,0)</x:f>
        <x:v>18</x:v>
      </x:c>
      <x:c r="H270" s="62" t="n">
        <x:f>IFERROR(C270/F270,0)</x:f>
        <x:v>106120</x:v>
      </x:c>
      <x:c r="I270" s="62" t="n">
        <x:f>SUM(G$19:G270)</x:f>
        <x:v>3786</x:v>
      </x:c>
      <x:c r="J270" s="62" t="n">
        <x:f>SUM(H$19:H270)</x:f>
        <x:v>13140970</x:v>
      </x:c>
      <x:c r="K270" s="62" t="n">
        <x:f>I270*18</x:f>
        <x:v>68148</x:v>
      </x:c>
      <x:c r="L270" s="62" t="n">
        <x:f>J270*18</x:f>
        <x:v>236537460</x:v>
      </x:c>
    </x:row>
    <x:row r="271" ht="23" customHeight="1">
      <x:c r="A271" s="119" t="n">
        <x:v>253</x:v>
      </x:c>
      <x:c r="B271" s="119" t="n">
        <x:f>VLOOKUP(A271,$A$7:$G$13,6,TRUE)</x:f>
        <x:v>18</x:v>
      </x:c>
      <x:c r="C271" s="119" t="n">
        <x:f>ROUNDUP(('经济参数'!$E$52+(A271-1)*'经济参数'!$E$53)*VLOOKUP(A271,$A$7:$G$13,7,TRUE),0)</x:f>
        <x:v>106540</x:v>
      </x:c>
      <x:c r="D271" s="110" t="n">
        <x:v>1</x:v>
      </x:c>
      <x:c r="E271" s="110" t="n">
        <x:v>1</x:v>
      </x:c>
      <x:c r="F271" s="110" t="n">
        <x:f>IF('使用说明'!$B$4=0,D271,E271)</x:f>
        <x:v>1</x:v>
      </x:c>
      <x:c r="G271" s="62" t="n">
        <x:f>IFERROR(B271/F271,0)</x:f>
        <x:v>18</x:v>
      </x:c>
      <x:c r="H271" s="62" t="n">
        <x:f>IFERROR(C271/F271,0)</x:f>
        <x:v>106540</x:v>
      </x:c>
      <x:c r="I271" s="62" t="n">
        <x:f>SUM(G$19:G271)</x:f>
        <x:v>3804</x:v>
      </x:c>
      <x:c r="J271" s="62" t="n">
        <x:f>SUM(H$19:H271)</x:f>
        <x:v>13247510</x:v>
      </x:c>
      <x:c r="K271" s="62" t="n">
        <x:f>I271*18</x:f>
        <x:v>68472</x:v>
      </x:c>
      <x:c r="L271" s="62" t="n">
        <x:f>J271*18</x:f>
        <x:v>238455180</x:v>
      </x:c>
    </x:row>
    <x:row r="272" ht="23" customHeight="1">
      <x:c r="A272" s="119" t="n">
        <x:v>254</x:v>
      </x:c>
      <x:c r="B272" s="119" t="n">
        <x:f>VLOOKUP(A272,$A$7:$G$13,6,TRUE)</x:f>
        <x:v>18</x:v>
      </x:c>
      <x:c r="C272" s="119" t="n">
        <x:f>ROUNDUP(('经济参数'!$E$52+(A272-1)*'经济参数'!$E$53)*VLOOKUP(A272,$A$7:$G$13,7,TRUE),0)</x:f>
        <x:v>106960</x:v>
      </x:c>
      <x:c r="D272" s="110" t="n">
        <x:v>1</x:v>
      </x:c>
      <x:c r="E272" s="110" t="n">
        <x:v>1</x:v>
      </x:c>
      <x:c r="F272" s="110" t="n">
        <x:f>IF('使用说明'!$B$4=0,D272,E272)</x:f>
        <x:v>1</x:v>
      </x:c>
      <x:c r="G272" s="62" t="n">
        <x:f>IFERROR(B272/F272,0)</x:f>
        <x:v>18</x:v>
      </x:c>
      <x:c r="H272" s="62" t="n">
        <x:f>IFERROR(C272/F272,0)</x:f>
        <x:v>106960</x:v>
      </x:c>
      <x:c r="I272" s="62" t="n">
        <x:f>SUM(G$19:G272)</x:f>
        <x:v>3822</x:v>
      </x:c>
      <x:c r="J272" s="62" t="n">
        <x:f>SUM(H$19:H272)</x:f>
        <x:v>13354470</x:v>
      </x:c>
      <x:c r="K272" s="62" t="n">
        <x:f>I272*18</x:f>
        <x:v>68796</x:v>
      </x:c>
      <x:c r="L272" s="62" t="n">
        <x:f>J272*18</x:f>
        <x:v>240380460</x:v>
      </x:c>
    </x:row>
    <x:row r="273" ht="23" customHeight="1">
      <x:c r="A273" s="119" t="n">
        <x:v>255</x:v>
      </x:c>
      <x:c r="B273" s="119" t="n">
        <x:f>VLOOKUP(A273,$A$7:$G$13,6,TRUE)</x:f>
        <x:v>18</x:v>
      </x:c>
      <x:c r="C273" s="119" t="n">
        <x:f>ROUNDUP(('经济参数'!$E$52+(A273-1)*'经济参数'!$E$53)*VLOOKUP(A273,$A$7:$G$13,7,TRUE),0)</x:f>
        <x:v>107380</x:v>
      </x:c>
      <x:c r="D273" s="110" t="n">
        <x:v>1</x:v>
      </x:c>
      <x:c r="E273" s="110" t="n">
        <x:v>1</x:v>
      </x:c>
      <x:c r="F273" s="110" t="n">
        <x:f>IF('使用说明'!$B$4=0,D273,E273)</x:f>
        <x:v>1</x:v>
      </x:c>
      <x:c r="G273" s="62" t="n">
        <x:f>IFERROR(B273/F273,0)</x:f>
        <x:v>18</x:v>
      </x:c>
      <x:c r="H273" s="62" t="n">
        <x:f>IFERROR(C273/F273,0)</x:f>
        <x:v>107380</x:v>
      </x:c>
      <x:c r="I273" s="62" t="n">
        <x:f>SUM(G$19:G273)</x:f>
        <x:v>3840</x:v>
      </x:c>
      <x:c r="J273" s="62" t="n">
        <x:f>SUM(H$19:H273)</x:f>
        <x:v>13461850</x:v>
      </x:c>
      <x:c r="K273" s="62" t="n">
        <x:f>I273*18</x:f>
        <x:v>69120</x:v>
      </x:c>
      <x:c r="L273" s="62" t="n">
        <x:f>J273*18</x:f>
        <x:v>242313300</x:v>
      </x:c>
    </x:row>
    <x:row r="274" ht="23" customHeight="1">
      <x:c r="A274" s="119" t="n">
        <x:v>256</x:v>
      </x:c>
      <x:c r="B274" s="119" t="n">
        <x:f>VLOOKUP(A274,$A$7:$G$13,6,TRUE)</x:f>
        <x:v>18</x:v>
      </x:c>
      <x:c r="C274" s="119" t="n">
        <x:f>ROUNDUP(('经济参数'!$E$52+(A274-1)*'经济参数'!$E$53)*VLOOKUP(A274,$A$7:$G$13,7,TRUE),0)</x:f>
        <x:v>107800</x:v>
      </x:c>
      <x:c r="D274" s="110" t="n">
        <x:v>1</x:v>
      </x:c>
      <x:c r="E274" s="110" t="n">
        <x:v>1</x:v>
      </x:c>
      <x:c r="F274" s="110" t="n">
        <x:f>IF('使用说明'!$B$4=0,D274,E274)</x:f>
        <x:v>1</x:v>
      </x:c>
      <x:c r="G274" s="62" t="n">
        <x:f>IFERROR(B274/F274,0)</x:f>
        <x:v>18</x:v>
      </x:c>
      <x:c r="H274" s="62" t="n">
        <x:f>IFERROR(C274/F274,0)</x:f>
        <x:v>107800</x:v>
      </x:c>
      <x:c r="I274" s="62" t="n">
        <x:f>SUM(G$19:G274)</x:f>
        <x:v>3858</x:v>
      </x:c>
      <x:c r="J274" s="62" t="n">
        <x:f>SUM(H$19:H274)</x:f>
        <x:v>13569650</x:v>
      </x:c>
      <x:c r="K274" s="62" t="n">
        <x:f>I274*18</x:f>
        <x:v>69444</x:v>
      </x:c>
      <x:c r="L274" s="62" t="n">
        <x:f>J274*18</x:f>
        <x:v>244253700</x:v>
      </x:c>
    </x:row>
    <x:row r="275" ht="23" customHeight="1">
      <x:c r="A275" s="119" t="n">
        <x:v>257</x:v>
      </x:c>
      <x:c r="B275" s="119" t="n">
        <x:f>VLOOKUP(A275,$A$7:$G$13,6,TRUE)</x:f>
        <x:v>18</x:v>
      </x:c>
      <x:c r="C275" s="119" t="n">
        <x:f>ROUNDUP(('经济参数'!$E$52+(A275-1)*'经济参数'!$E$53)*VLOOKUP(A275,$A$7:$G$13,7,TRUE),0)</x:f>
        <x:v>108220</x:v>
      </x:c>
      <x:c r="D275" s="110" t="n">
        <x:v>1</x:v>
      </x:c>
      <x:c r="E275" s="110" t="n">
        <x:v>1</x:v>
      </x:c>
      <x:c r="F275" s="110" t="n">
        <x:f>IF('使用说明'!$B$4=0,D275,E275)</x:f>
        <x:v>1</x:v>
      </x:c>
      <x:c r="G275" s="62" t="n">
        <x:f>IFERROR(B275/F275,0)</x:f>
        <x:v>18</x:v>
      </x:c>
      <x:c r="H275" s="62" t="n">
        <x:f>IFERROR(C275/F275,0)</x:f>
        <x:v>108220</x:v>
      </x:c>
      <x:c r="I275" s="62" t="n">
        <x:f>SUM(G$19:G275)</x:f>
        <x:v>3876</x:v>
      </x:c>
      <x:c r="J275" s="62" t="n">
        <x:f>SUM(H$19:H275)</x:f>
        <x:v>13677870</x:v>
      </x:c>
      <x:c r="K275" s="62" t="n">
        <x:f>I275*18</x:f>
        <x:v>69768</x:v>
      </x:c>
      <x:c r="L275" s="62" t="n">
        <x:f>J275*18</x:f>
        <x:v>246201660</x:v>
      </x:c>
    </x:row>
    <x:row r="276" ht="23" customHeight="1">
      <x:c r="A276" s="119" t="n">
        <x:v>258</x:v>
      </x:c>
      <x:c r="B276" s="119" t="n">
        <x:f>VLOOKUP(A276,$A$7:$G$13,6,TRUE)</x:f>
        <x:v>18</x:v>
      </x:c>
      <x:c r="C276" s="119" t="n">
        <x:f>ROUNDUP(('经济参数'!$E$52+(A276-1)*'经济参数'!$E$53)*VLOOKUP(A276,$A$7:$G$13,7,TRUE),0)</x:f>
        <x:v>108640</x:v>
      </x:c>
      <x:c r="D276" s="110" t="n">
        <x:v>1</x:v>
      </x:c>
      <x:c r="E276" s="110" t="n">
        <x:v>1</x:v>
      </x:c>
      <x:c r="F276" s="110" t="n">
        <x:f>IF('使用说明'!$B$4=0,D276,E276)</x:f>
        <x:v>1</x:v>
      </x:c>
      <x:c r="G276" s="62" t="n">
        <x:f>IFERROR(B276/F276,0)</x:f>
        <x:v>18</x:v>
      </x:c>
      <x:c r="H276" s="62" t="n">
        <x:f>IFERROR(C276/F276,0)</x:f>
        <x:v>108640</x:v>
      </x:c>
      <x:c r="I276" s="62" t="n">
        <x:f>SUM(G$19:G276)</x:f>
        <x:v>3894</x:v>
      </x:c>
      <x:c r="J276" s="62" t="n">
        <x:f>SUM(H$19:H276)</x:f>
        <x:v>13786510</x:v>
      </x:c>
      <x:c r="K276" s="62" t="n">
        <x:f>I276*18</x:f>
        <x:v>70092</x:v>
      </x:c>
      <x:c r="L276" s="62" t="n">
        <x:f>J276*18</x:f>
        <x:v>248157180</x:v>
      </x:c>
    </x:row>
    <x:row r="277" ht="23" customHeight="1">
      <x:c r="A277" s="119" t="n">
        <x:v>259</x:v>
      </x:c>
      <x:c r="B277" s="119" t="n">
        <x:f>VLOOKUP(A277,$A$7:$G$13,6,TRUE)</x:f>
        <x:v>18</x:v>
      </x:c>
      <x:c r="C277" s="119" t="n">
        <x:f>ROUNDUP(('经济参数'!$E$52+(A277-1)*'经济参数'!$E$53)*VLOOKUP(A277,$A$7:$G$13,7,TRUE),0)</x:f>
        <x:v>109060</x:v>
      </x:c>
      <x:c r="D277" s="110" t="n">
        <x:v>1</x:v>
      </x:c>
      <x:c r="E277" s="110" t="n">
        <x:v>1</x:v>
      </x:c>
      <x:c r="F277" s="110" t="n">
        <x:f>IF('使用说明'!$B$4=0,D277,E277)</x:f>
        <x:v>1</x:v>
      </x:c>
      <x:c r="G277" s="62" t="n">
        <x:f>IFERROR(B277/F277,0)</x:f>
        <x:v>18</x:v>
      </x:c>
      <x:c r="H277" s="62" t="n">
        <x:f>IFERROR(C277/F277,0)</x:f>
        <x:v>109060</x:v>
      </x:c>
      <x:c r="I277" s="62" t="n">
        <x:f>SUM(G$19:G277)</x:f>
        <x:v>3912</x:v>
      </x:c>
      <x:c r="J277" s="62" t="n">
        <x:f>SUM(H$19:H277)</x:f>
        <x:v>13895570</x:v>
      </x:c>
      <x:c r="K277" s="62" t="n">
        <x:f>I277*18</x:f>
        <x:v>70416</x:v>
      </x:c>
      <x:c r="L277" s="62" t="n">
        <x:f>J277*18</x:f>
        <x:v>250120260</x:v>
      </x:c>
    </x:row>
    <x:row r="278" ht="23" customHeight="1">
      <x:c r="A278" s="119" t="n">
        <x:v>260</x:v>
      </x:c>
      <x:c r="B278" s="119" t="n">
        <x:f>VLOOKUP(A278,$A$7:$G$13,6,TRUE)</x:f>
        <x:v>18</x:v>
      </x:c>
      <x:c r="C278" s="119" t="n">
        <x:f>ROUNDUP(('经济参数'!$E$52+(A278-1)*'经济参数'!$E$53)*VLOOKUP(A278,$A$7:$G$13,7,TRUE),0)</x:f>
        <x:v>109480</x:v>
      </x:c>
      <x:c r="D278" s="110" t="n">
        <x:v>1</x:v>
      </x:c>
      <x:c r="E278" s="110" t="n">
        <x:v>1</x:v>
      </x:c>
      <x:c r="F278" s="110" t="n">
        <x:f>IF('使用说明'!$B$4=0,D278,E278)</x:f>
        <x:v>1</x:v>
      </x:c>
      <x:c r="G278" s="62" t="n">
        <x:f>IFERROR(B278/F278,0)</x:f>
        <x:v>18</x:v>
      </x:c>
      <x:c r="H278" s="62" t="n">
        <x:f>IFERROR(C278/F278,0)</x:f>
        <x:v>109480</x:v>
      </x:c>
      <x:c r="I278" s="62" t="n">
        <x:f>SUM(G$19:G278)</x:f>
        <x:v>3930</x:v>
      </x:c>
      <x:c r="J278" s="62" t="n">
        <x:f>SUM(H$19:H278)</x:f>
        <x:v>14005050</x:v>
      </x:c>
      <x:c r="K278" s="62" t="n">
        <x:f>I278*18</x:f>
        <x:v>70740</x:v>
      </x:c>
      <x:c r="L278" s="62" t="n">
        <x:f>J278*18</x:f>
        <x:v>252090900</x:v>
      </x:c>
    </x:row>
    <x:row r="279" ht="23" customHeight="1">
      <x:c r="A279" s="119" t="n">
        <x:v>261</x:v>
      </x:c>
      <x:c r="B279" s="119" t="n">
        <x:f>VLOOKUP(A279,$A$7:$G$13,6,TRUE)</x:f>
        <x:v>18</x:v>
      </x:c>
      <x:c r="C279" s="119" t="n">
        <x:f>ROUNDUP(('经济参数'!$E$52+(A279-1)*'经济参数'!$E$53)*VLOOKUP(A279,$A$7:$G$13,7,TRUE),0)</x:f>
        <x:v>109900</x:v>
      </x:c>
      <x:c r="D279" s="110" t="n">
        <x:v>1</x:v>
      </x:c>
      <x:c r="E279" s="110" t="n">
        <x:v>1</x:v>
      </x:c>
      <x:c r="F279" s="110" t="n">
        <x:f>IF('使用说明'!$B$4=0,D279,E279)</x:f>
        <x:v>1</x:v>
      </x:c>
      <x:c r="G279" s="62" t="n">
        <x:f>IFERROR(B279/F279,0)</x:f>
        <x:v>18</x:v>
      </x:c>
      <x:c r="H279" s="62" t="n">
        <x:f>IFERROR(C279/F279,0)</x:f>
        <x:v>109900</x:v>
      </x:c>
      <x:c r="I279" s="62" t="n">
        <x:f>SUM(G$19:G279)</x:f>
        <x:v>3948</x:v>
      </x:c>
      <x:c r="J279" s="62" t="n">
        <x:f>SUM(H$19:H279)</x:f>
        <x:v>14114950</x:v>
      </x:c>
      <x:c r="K279" s="62" t="n">
        <x:f>I279*18</x:f>
        <x:v>71064</x:v>
      </x:c>
      <x:c r="L279" s="62" t="n">
        <x:f>J279*18</x:f>
        <x:v>254069100</x:v>
      </x:c>
    </x:row>
    <x:row r="280" ht="23" customHeight="1">
      <x:c r="A280" s="119" t="n">
        <x:v>262</x:v>
      </x:c>
      <x:c r="B280" s="119" t="n">
        <x:f>VLOOKUP(A280,$A$7:$G$13,6,TRUE)</x:f>
        <x:v>18</x:v>
      </x:c>
      <x:c r="C280" s="119" t="n">
        <x:f>ROUNDUP(('经济参数'!$E$52+(A280-1)*'经济参数'!$E$53)*VLOOKUP(A280,$A$7:$G$13,7,TRUE),0)</x:f>
        <x:v>110320</x:v>
      </x:c>
      <x:c r="D280" s="110" t="n">
        <x:v>1</x:v>
      </x:c>
      <x:c r="E280" s="110" t="n">
        <x:v>1</x:v>
      </x:c>
      <x:c r="F280" s="110" t="n">
        <x:f>IF('使用说明'!$B$4=0,D280,E280)</x:f>
        <x:v>1</x:v>
      </x:c>
      <x:c r="G280" s="62" t="n">
        <x:f>IFERROR(B280/F280,0)</x:f>
        <x:v>18</x:v>
      </x:c>
      <x:c r="H280" s="62" t="n">
        <x:f>IFERROR(C280/F280,0)</x:f>
        <x:v>110320</x:v>
      </x:c>
      <x:c r="I280" s="62" t="n">
        <x:f>SUM(G$19:G280)</x:f>
        <x:v>3966</x:v>
      </x:c>
      <x:c r="J280" s="62" t="n">
        <x:f>SUM(H$19:H280)</x:f>
        <x:v>14225270</x:v>
      </x:c>
      <x:c r="K280" s="62" t="n">
        <x:f>I280*18</x:f>
        <x:v>71388</x:v>
      </x:c>
      <x:c r="L280" s="62" t="n">
        <x:f>J280*18</x:f>
        <x:v>256054860</x:v>
      </x:c>
    </x:row>
    <x:row r="281" ht="23" customHeight="1">
      <x:c r="A281" s="119" t="n">
        <x:v>263</x:v>
      </x:c>
      <x:c r="B281" s="119" t="n">
        <x:f>VLOOKUP(A281,$A$7:$G$13,6,TRUE)</x:f>
        <x:v>18</x:v>
      </x:c>
      <x:c r="C281" s="119" t="n">
        <x:f>ROUNDUP(('经济参数'!$E$52+(A281-1)*'经济参数'!$E$53)*VLOOKUP(A281,$A$7:$G$13,7,TRUE),0)</x:f>
        <x:v>110740</x:v>
      </x:c>
      <x:c r="D281" s="110" t="n">
        <x:v>1</x:v>
      </x:c>
      <x:c r="E281" s="110" t="n">
        <x:v>1</x:v>
      </x:c>
      <x:c r="F281" s="110" t="n">
        <x:f>IF('使用说明'!$B$4=0,D281,E281)</x:f>
        <x:v>1</x:v>
      </x:c>
      <x:c r="G281" s="62" t="n">
        <x:f>IFERROR(B281/F281,0)</x:f>
        <x:v>18</x:v>
      </x:c>
      <x:c r="H281" s="62" t="n">
        <x:f>IFERROR(C281/F281,0)</x:f>
        <x:v>110740</x:v>
      </x:c>
      <x:c r="I281" s="62" t="n">
        <x:f>SUM(G$19:G281)</x:f>
        <x:v>3984</x:v>
      </x:c>
      <x:c r="J281" s="62" t="n">
        <x:f>SUM(H$19:H281)</x:f>
        <x:v>14336010</x:v>
      </x:c>
      <x:c r="K281" s="62" t="n">
        <x:f>I281*18</x:f>
        <x:v>71712</x:v>
      </x:c>
      <x:c r="L281" s="62" t="n">
        <x:f>J281*18</x:f>
        <x:v>258048180</x:v>
      </x:c>
    </x:row>
    <x:row r="282" ht="23" customHeight="1">
      <x:c r="A282" s="119" t="n">
        <x:v>264</x:v>
      </x:c>
      <x:c r="B282" s="119" t="n">
        <x:f>VLOOKUP(A282,$A$7:$G$13,6,TRUE)</x:f>
        <x:v>18</x:v>
      </x:c>
      <x:c r="C282" s="119" t="n">
        <x:f>ROUNDUP(('经济参数'!$E$52+(A282-1)*'经济参数'!$E$53)*VLOOKUP(A282,$A$7:$G$13,7,TRUE),0)</x:f>
        <x:v>111160</x:v>
      </x:c>
      <x:c r="D282" s="110" t="n">
        <x:v>1</x:v>
      </x:c>
      <x:c r="E282" s="110" t="n">
        <x:v>1</x:v>
      </x:c>
      <x:c r="F282" s="110" t="n">
        <x:f>IF('使用说明'!$B$4=0,D282,E282)</x:f>
        <x:v>1</x:v>
      </x:c>
      <x:c r="G282" s="62" t="n">
        <x:f>IFERROR(B282/F282,0)</x:f>
        <x:v>18</x:v>
      </x:c>
      <x:c r="H282" s="62" t="n">
        <x:f>IFERROR(C282/F282,0)</x:f>
        <x:v>111160</x:v>
      </x:c>
      <x:c r="I282" s="62" t="n">
        <x:f>SUM(G$19:G282)</x:f>
        <x:v>4002</x:v>
      </x:c>
      <x:c r="J282" s="62" t="n">
        <x:f>SUM(H$19:H282)</x:f>
        <x:v>14447170</x:v>
      </x:c>
      <x:c r="K282" s="62" t="n">
        <x:f>I282*18</x:f>
        <x:v>72036</x:v>
      </x:c>
      <x:c r="L282" s="62" t="n">
        <x:f>J282*18</x:f>
        <x:v>260049060</x:v>
      </x:c>
    </x:row>
    <x:row r="283" ht="23" customHeight="1">
      <x:c r="A283" s="119" t="n">
        <x:v>265</x:v>
      </x:c>
      <x:c r="B283" s="119" t="n">
        <x:f>VLOOKUP(A283,$A$7:$G$13,6,TRUE)</x:f>
        <x:v>18</x:v>
      </x:c>
      <x:c r="C283" s="119" t="n">
        <x:f>ROUNDUP(('经济参数'!$E$52+(A283-1)*'经济参数'!$E$53)*VLOOKUP(A283,$A$7:$G$13,7,TRUE),0)</x:f>
        <x:v>111580</x:v>
      </x:c>
      <x:c r="D283" s="110" t="n">
        <x:v>1</x:v>
      </x:c>
      <x:c r="E283" s="110" t="n">
        <x:v>1</x:v>
      </x:c>
      <x:c r="F283" s="110" t="n">
        <x:f>IF('使用说明'!$B$4=0,D283,E283)</x:f>
        <x:v>1</x:v>
      </x:c>
      <x:c r="G283" s="62" t="n">
        <x:f>IFERROR(B283/F283,0)</x:f>
        <x:v>18</x:v>
      </x:c>
      <x:c r="H283" s="62" t="n">
        <x:f>IFERROR(C283/F283,0)</x:f>
        <x:v>111580</x:v>
      </x:c>
      <x:c r="I283" s="62" t="n">
        <x:f>SUM(G$19:G283)</x:f>
        <x:v>4020</x:v>
      </x:c>
      <x:c r="J283" s="62" t="n">
        <x:f>SUM(H$19:H283)</x:f>
        <x:v>14558750</x:v>
      </x:c>
      <x:c r="K283" s="62" t="n">
        <x:f>I283*18</x:f>
        <x:v>72360</x:v>
      </x:c>
      <x:c r="L283" s="62" t="n">
        <x:f>J283*18</x:f>
        <x:v>262057500</x:v>
      </x:c>
    </x:row>
    <x:row r="284" ht="23" customHeight="1">
      <x:c r="A284" s="119" t="n">
        <x:v>266</x:v>
      </x:c>
      <x:c r="B284" s="119" t="n">
        <x:f>VLOOKUP(A284,$A$7:$G$13,6,TRUE)</x:f>
        <x:v>18</x:v>
      </x:c>
      <x:c r="C284" s="119" t="n">
        <x:f>ROUNDUP(('经济参数'!$E$52+(A284-1)*'经济参数'!$E$53)*VLOOKUP(A284,$A$7:$G$13,7,TRUE),0)</x:f>
        <x:v>112000</x:v>
      </x:c>
      <x:c r="D284" s="110" t="n">
        <x:v>1</x:v>
      </x:c>
      <x:c r="E284" s="110" t="n">
        <x:v>1</x:v>
      </x:c>
      <x:c r="F284" s="110" t="n">
        <x:f>IF('使用说明'!$B$4=0,D284,E284)</x:f>
        <x:v>1</x:v>
      </x:c>
      <x:c r="G284" s="62" t="n">
        <x:f>IFERROR(B284/F284,0)</x:f>
        <x:v>18</x:v>
      </x:c>
      <x:c r="H284" s="62" t="n">
        <x:f>IFERROR(C284/F284,0)</x:f>
        <x:v>112000</x:v>
      </x:c>
      <x:c r="I284" s="62" t="n">
        <x:f>SUM(G$19:G284)</x:f>
        <x:v>4038</x:v>
      </x:c>
      <x:c r="J284" s="62" t="n">
        <x:f>SUM(H$19:H284)</x:f>
        <x:v>14670750</x:v>
      </x:c>
      <x:c r="K284" s="62" t="n">
        <x:f>I284*18</x:f>
        <x:v>72684</x:v>
      </x:c>
      <x:c r="L284" s="62" t="n">
        <x:f>J284*18</x:f>
        <x:v>264073500</x:v>
      </x:c>
    </x:row>
    <x:row r="285" ht="23" customHeight="1">
      <x:c r="A285" s="119" t="n">
        <x:v>267</x:v>
      </x:c>
      <x:c r="B285" s="119" t="n">
        <x:f>VLOOKUP(A285,$A$7:$G$13,6,TRUE)</x:f>
        <x:v>18</x:v>
      </x:c>
      <x:c r="C285" s="119" t="n">
        <x:f>ROUNDUP(('经济参数'!$E$52+(A285-1)*'经济参数'!$E$53)*VLOOKUP(A285,$A$7:$G$13,7,TRUE),0)</x:f>
        <x:v>112420</x:v>
      </x:c>
      <x:c r="D285" s="110" t="n">
        <x:v>1</x:v>
      </x:c>
      <x:c r="E285" s="110" t="n">
        <x:v>1</x:v>
      </x:c>
      <x:c r="F285" s="110" t="n">
        <x:f>IF('使用说明'!$B$4=0,D285,E285)</x:f>
        <x:v>1</x:v>
      </x:c>
      <x:c r="G285" s="62" t="n">
        <x:f>IFERROR(B285/F285,0)</x:f>
        <x:v>18</x:v>
      </x:c>
      <x:c r="H285" s="62" t="n">
        <x:f>IFERROR(C285/F285,0)</x:f>
        <x:v>112420</x:v>
      </x:c>
      <x:c r="I285" s="62" t="n">
        <x:f>SUM(G$19:G285)</x:f>
        <x:v>4056</x:v>
      </x:c>
      <x:c r="J285" s="62" t="n">
        <x:f>SUM(H$19:H285)</x:f>
        <x:v>14783170</x:v>
      </x:c>
      <x:c r="K285" s="62" t="n">
        <x:f>I285*18</x:f>
        <x:v>73008</x:v>
      </x:c>
      <x:c r="L285" s="62" t="n">
        <x:f>J285*18</x:f>
        <x:v>266097060</x:v>
      </x:c>
    </x:row>
    <x:row r="286" ht="23" customHeight="1">
      <x:c r="A286" s="119" t="n">
        <x:v>268</x:v>
      </x:c>
      <x:c r="B286" s="119" t="n">
        <x:f>VLOOKUP(A286,$A$7:$G$13,6,TRUE)</x:f>
        <x:v>18</x:v>
      </x:c>
      <x:c r="C286" s="119" t="n">
        <x:f>ROUNDUP(('经济参数'!$E$52+(A286-1)*'经济参数'!$E$53)*VLOOKUP(A286,$A$7:$G$13,7,TRUE),0)</x:f>
        <x:v>112840</x:v>
      </x:c>
      <x:c r="D286" s="110" t="n">
        <x:v>1</x:v>
      </x:c>
      <x:c r="E286" s="110" t="n">
        <x:v>1</x:v>
      </x:c>
      <x:c r="F286" s="110" t="n">
        <x:f>IF('使用说明'!$B$4=0,D286,E286)</x:f>
        <x:v>1</x:v>
      </x:c>
      <x:c r="G286" s="62" t="n">
        <x:f>IFERROR(B286/F286,0)</x:f>
        <x:v>18</x:v>
      </x:c>
      <x:c r="H286" s="62" t="n">
        <x:f>IFERROR(C286/F286,0)</x:f>
        <x:v>112840</x:v>
      </x:c>
      <x:c r="I286" s="62" t="n">
        <x:f>SUM(G$19:G286)</x:f>
        <x:v>4074</x:v>
      </x:c>
      <x:c r="J286" s="62" t="n">
        <x:f>SUM(H$19:H286)</x:f>
        <x:v>14896010</x:v>
      </x:c>
      <x:c r="K286" s="62" t="n">
        <x:f>I286*18</x:f>
        <x:v>73332</x:v>
      </x:c>
      <x:c r="L286" s="62" t="n">
        <x:f>J286*18</x:f>
        <x:v>268128180</x:v>
      </x:c>
    </x:row>
    <x:row r="287" ht="23" customHeight="1">
      <x:c r="A287" s="119" t="n">
        <x:v>269</x:v>
      </x:c>
      <x:c r="B287" s="119" t="n">
        <x:f>VLOOKUP(A287,$A$7:$G$13,6,TRUE)</x:f>
        <x:v>18</x:v>
      </x:c>
      <x:c r="C287" s="119" t="n">
        <x:f>ROUNDUP(('经济参数'!$E$52+(A287-1)*'经济参数'!$E$53)*VLOOKUP(A287,$A$7:$G$13,7,TRUE),0)</x:f>
        <x:v>113260</x:v>
      </x:c>
      <x:c r="D287" s="110" t="n">
        <x:v>1</x:v>
      </x:c>
      <x:c r="E287" s="110" t="n">
        <x:v>1</x:v>
      </x:c>
      <x:c r="F287" s="110" t="n">
        <x:f>IF('使用说明'!$B$4=0,D287,E287)</x:f>
        <x:v>1</x:v>
      </x:c>
      <x:c r="G287" s="62" t="n">
        <x:f>IFERROR(B287/F287,0)</x:f>
        <x:v>18</x:v>
      </x:c>
      <x:c r="H287" s="62" t="n">
        <x:f>IFERROR(C287/F287,0)</x:f>
        <x:v>113260</x:v>
      </x:c>
      <x:c r="I287" s="62" t="n">
        <x:f>SUM(G$19:G287)</x:f>
        <x:v>4092</x:v>
      </x:c>
      <x:c r="J287" s="62" t="n">
        <x:f>SUM(H$19:H287)</x:f>
        <x:v>15009270</x:v>
      </x:c>
      <x:c r="K287" s="62" t="n">
        <x:f>I287*18</x:f>
        <x:v>73656</x:v>
      </x:c>
      <x:c r="L287" s="62" t="n">
        <x:f>J287*18</x:f>
        <x:v>270166860</x:v>
      </x:c>
    </x:row>
    <x:row r="288" ht="23" customHeight="1">
      <x:c r="A288" s="119" t="n">
        <x:v>270</x:v>
      </x:c>
      <x:c r="B288" s="119" t="n">
        <x:f>VLOOKUP(A288,$A$7:$G$13,6,TRUE)</x:f>
        <x:v>18</x:v>
      </x:c>
      <x:c r="C288" s="119" t="n">
        <x:f>ROUNDUP(('经济参数'!$E$52+(A288-1)*'经济参数'!$E$53)*VLOOKUP(A288,$A$7:$G$13,7,TRUE),0)</x:f>
        <x:v>113680</x:v>
      </x:c>
      <x:c r="D288" s="110" t="n">
        <x:v>1</x:v>
      </x:c>
      <x:c r="E288" s="110" t="n">
        <x:v>1</x:v>
      </x:c>
      <x:c r="F288" s="110" t="n">
        <x:f>IF('使用说明'!$B$4=0,D288,E288)</x:f>
        <x:v>1</x:v>
      </x:c>
      <x:c r="G288" s="62" t="n">
        <x:f>IFERROR(B288/F288,0)</x:f>
        <x:v>18</x:v>
      </x:c>
      <x:c r="H288" s="62" t="n">
        <x:f>IFERROR(C288/F288,0)</x:f>
        <x:v>113680</x:v>
      </x:c>
      <x:c r="I288" s="62" t="n">
        <x:f>SUM(G$19:G288)</x:f>
        <x:v>4110</x:v>
      </x:c>
      <x:c r="J288" s="62" t="n">
        <x:f>SUM(H$19:H288)</x:f>
        <x:v>15122950</x:v>
      </x:c>
      <x:c r="K288" s="62" t="n">
        <x:f>I288*18</x:f>
        <x:v>73980</x:v>
      </x:c>
      <x:c r="L288" s="62" t="n">
        <x:f>J288*18</x:f>
        <x:v>272213100</x:v>
      </x:c>
    </x:row>
    <x:row r="289" ht="23" customHeight="1">
      <x:c r="A289" s="119" t="n">
        <x:v>271</x:v>
      </x:c>
      <x:c r="B289" s="119" t="n">
        <x:f>VLOOKUP(A289,$A$7:$G$13,6,TRUE)</x:f>
        <x:v>18</x:v>
      </x:c>
      <x:c r="C289" s="119" t="n">
        <x:f>ROUNDUP(('经济参数'!$E$52+(A289-1)*'经济参数'!$E$53)*VLOOKUP(A289,$A$7:$G$13,7,TRUE),0)</x:f>
        <x:v>114100</x:v>
      </x:c>
      <x:c r="D289" s="110" t="n">
        <x:v>1</x:v>
      </x:c>
      <x:c r="E289" s="110" t="n">
        <x:v>1</x:v>
      </x:c>
      <x:c r="F289" s="110" t="n">
        <x:f>IF('使用说明'!$B$4=0,D289,E289)</x:f>
        <x:v>1</x:v>
      </x:c>
      <x:c r="G289" s="62" t="n">
        <x:f>IFERROR(B289/F289,0)</x:f>
        <x:v>18</x:v>
      </x:c>
      <x:c r="H289" s="62" t="n">
        <x:f>IFERROR(C289/F289,0)</x:f>
        <x:v>114100</x:v>
      </x:c>
      <x:c r="I289" s="62" t="n">
        <x:f>SUM(G$19:G289)</x:f>
        <x:v>4128</x:v>
      </x:c>
      <x:c r="J289" s="62" t="n">
        <x:f>SUM(H$19:H289)</x:f>
        <x:v>15237050</x:v>
      </x:c>
      <x:c r="K289" s="62" t="n">
        <x:f>I289*18</x:f>
        <x:v>74304</x:v>
      </x:c>
      <x:c r="L289" s="62" t="n">
        <x:f>J289*18</x:f>
        <x:v>274266900</x:v>
      </x:c>
    </x:row>
    <x:row r="290" ht="23" customHeight="1">
      <x:c r="A290" s="119" t="n">
        <x:v>272</x:v>
      </x:c>
      <x:c r="B290" s="119" t="n">
        <x:f>VLOOKUP(A290,$A$7:$G$13,6,TRUE)</x:f>
        <x:v>18</x:v>
      </x:c>
      <x:c r="C290" s="119" t="n">
        <x:f>ROUNDUP(('经济参数'!$E$52+(A290-1)*'经济参数'!$E$53)*VLOOKUP(A290,$A$7:$G$13,7,TRUE),0)</x:f>
        <x:v>114520</x:v>
      </x:c>
      <x:c r="D290" s="110" t="n">
        <x:v>1</x:v>
      </x:c>
      <x:c r="E290" s="110" t="n">
        <x:v>1</x:v>
      </x:c>
      <x:c r="F290" s="110" t="n">
        <x:f>IF('使用说明'!$B$4=0,D290,E290)</x:f>
        <x:v>1</x:v>
      </x:c>
      <x:c r="G290" s="62" t="n">
        <x:f>IFERROR(B290/F290,0)</x:f>
        <x:v>18</x:v>
      </x:c>
      <x:c r="H290" s="62" t="n">
        <x:f>IFERROR(C290/F290,0)</x:f>
        <x:v>114520</x:v>
      </x:c>
      <x:c r="I290" s="62" t="n">
        <x:f>SUM(G$19:G290)</x:f>
        <x:v>4146</x:v>
      </x:c>
      <x:c r="J290" s="62" t="n">
        <x:f>SUM(H$19:H290)</x:f>
        <x:v>15351570</x:v>
      </x:c>
      <x:c r="K290" s="62" t="n">
        <x:f>I290*18</x:f>
        <x:v>74628</x:v>
      </x:c>
      <x:c r="L290" s="62" t="n">
        <x:f>J290*18</x:f>
        <x:v>276328260</x:v>
      </x:c>
    </x:row>
    <x:row r="291" ht="23" customHeight="1">
      <x:c r="A291" s="119" t="n">
        <x:v>273</x:v>
      </x:c>
      <x:c r="B291" s="119" t="n">
        <x:f>VLOOKUP(A291,$A$7:$G$13,6,TRUE)</x:f>
        <x:v>18</x:v>
      </x:c>
      <x:c r="C291" s="119" t="n">
        <x:f>ROUNDUP(('经济参数'!$E$52+(A291-1)*'经济参数'!$E$53)*VLOOKUP(A291,$A$7:$G$13,7,TRUE),0)</x:f>
        <x:v>114940</x:v>
      </x:c>
      <x:c r="D291" s="110" t="n">
        <x:v>1</x:v>
      </x:c>
      <x:c r="E291" s="110" t="n">
        <x:v>1</x:v>
      </x:c>
      <x:c r="F291" s="110" t="n">
        <x:f>IF('使用说明'!$B$4=0,D291,E291)</x:f>
        <x:v>1</x:v>
      </x:c>
      <x:c r="G291" s="62" t="n">
        <x:f>IFERROR(B291/F291,0)</x:f>
        <x:v>18</x:v>
      </x:c>
      <x:c r="H291" s="62" t="n">
        <x:f>IFERROR(C291/F291,0)</x:f>
        <x:v>114940</x:v>
      </x:c>
      <x:c r="I291" s="62" t="n">
        <x:f>SUM(G$19:G291)</x:f>
        <x:v>4164</x:v>
      </x:c>
      <x:c r="J291" s="62" t="n">
        <x:f>SUM(H$19:H291)</x:f>
        <x:v>15466510</x:v>
      </x:c>
      <x:c r="K291" s="62" t="n">
        <x:f>I291*18</x:f>
        <x:v>74952</x:v>
      </x:c>
      <x:c r="L291" s="62" t="n">
        <x:f>J291*18</x:f>
        <x:v>278397180</x:v>
      </x:c>
    </x:row>
    <x:row r="292" ht="23" customHeight="1">
      <x:c r="A292" s="119" t="n">
        <x:v>274</x:v>
      </x:c>
      <x:c r="B292" s="119" t="n">
        <x:f>VLOOKUP(A292,$A$7:$G$13,6,TRUE)</x:f>
        <x:v>18</x:v>
      </x:c>
      <x:c r="C292" s="119" t="n">
        <x:f>ROUNDUP(('经济参数'!$E$52+(A292-1)*'经济参数'!$E$53)*VLOOKUP(A292,$A$7:$G$13,7,TRUE),0)</x:f>
        <x:v>115360</x:v>
      </x:c>
      <x:c r="D292" s="110" t="n">
        <x:v>1</x:v>
      </x:c>
      <x:c r="E292" s="110" t="n">
        <x:v>1</x:v>
      </x:c>
      <x:c r="F292" s="110" t="n">
        <x:f>IF('使用说明'!$B$4=0,D292,E292)</x:f>
        <x:v>1</x:v>
      </x:c>
      <x:c r="G292" s="62" t="n">
        <x:f>IFERROR(B292/F292,0)</x:f>
        <x:v>18</x:v>
      </x:c>
      <x:c r="H292" s="62" t="n">
        <x:f>IFERROR(C292/F292,0)</x:f>
        <x:v>115360</x:v>
      </x:c>
      <x:c r="I292" s="62" t="n">
        <x:f>SUM(G$19:G292)</x:f>
        <x:v>4182</x:v>
      </x:c>
      <x:c r="J292" s="62" t="n">
        <x:f>SUM(H$19:H292)</x:f>
        <x:v>15581870</x:v>
      </x:c>
      <x:c r="K292" s="62" t="n">
        <x:f>I292*18</x:f>
        <x:v>75276</x:v>
      </x:c>
      <x:c r="L292" s="62" t="n">
        <x:f>J292*18</x:f>
        <x:v>280473660</x:v>
      </x:c>
    </x:row>
    <x:row r="293" ht="23" customHeight="1">
      <x:c r="A293" s="119" t="n">
        <x:v>275</x:v>
      </x:c>
      <x:c r="B293" s="119" t="n">
        <x:f>VLOOKUP(A293,$A$7:$G$13,6,TRUE)</x:f>
        <x:v>18</x:v>
      </x:c>
      <x:c r="C293" s="119" t="n">
        <x:f>ROUNDUP(('经济参数'!$E$52+(A293-1)*'经济参数'!$E$53)*VLOOKUP(A293,$A$7:$G$13,7,TRUE),0)</x:f>
        <x:v>115780</x:v>
      </x:c>
      <x:c r="D293" s="110" t="n">
        <x:v>1</x:v>
      </x:c>
      <x:c r="E293" s="110" t="n">
        <x:v>1</x:v>
      </x:c>
      <x:c r="F293" s="110" t="n">
        <x:f>IF('使用说明'!$B$4=0,D293,E293)</x:f>
        <x:v>1</x:v>
      </x:c>
      <x:c r="G293" s="62" t="n">
        <x:f>IFERROR(B293/F293,0)</x:f>
        <x:v>18</x:v>
      </x:c>
      <x:c r="H293" s="62" t="n">
        <x:f>IFERROR(C293/F293,0)</x:f>
        <x:v>115780</x:v>
      </x:c>
      <x:c r="I293" s="62" t="n">
        <x:f>SUM(G$19:G293)</x:f>
        <x:v>4200</x:v>
      </x:c>
      <x:c r="J293" s="62" t="n">
        <x:f>SUM(H$19:H293)</x:f>
        <x:v>15697650</x:v>
      </x:c>
      <x:c r="K293" s="62" t="n">
        <x:f>I293*18</x:f>
        <x:v>75600</x:v>
      </x:c>
      <x:c r="L293" s="62" t="n">
        <x:f>J293*18</x:f>
        <x:v>282557700</x:v>
      </x:c>
    </x:row>
    <x:row r="294" ht="23" customHeight="1">
      <x:c r="A294" s="119" t="n">
        <x:v>276</x:v>
      </x:c>
      <x:c r="B294" s="119" t="n">
        <x:f>VLOOKUP(A294,$A$7:$G$13,6,TRUE)</x:f>
        <x:v>18</x:v>
      </x:c>
      <x:c r="C294" s="119" t="n">
        <x:f>ROUNDUP(('经济参数'!$E$52+(A294-1)*'经济参数'!$E$53)*VLOOKUP(A294,$A$7:$G$13,7,TRUE),0)</x:f>
        <x:v>116200</x:v>
      </x:c>
      <x:c r="D294" s="110" t="n">
        <x:v>1</x:v>
      </x:c>
      <x:c r="E294" s="110" t="n">
        <x:v>1</x:v>
      </x:c>
      <x:c r="F294" s="110" t="n">
        <x:f>IF('使用说明'!$B$4=0,D294,E294)</x:f>
        <x:v>1</x:v>
      </x:c>
      <x:c r="G294" s="62" t="n">
        <x:f>IFERROR(B294/F294,0)</x:f>
        <x:v>18</x:v>
      </x:c>
      <x:c r="H294" s="62" t="n">
        <x:f>IFERROR(C294/F294,0)</x:f>
        <x:v>116200</x:v>
      </x:c>
      <x:c r="I294" s="62" t="n">
        <x:f>SUM(G$19:G294)</x:f>
        <x:v>4218</x:v>
      </x:c>
      <x:c r="J294" s="62" t="n">
        <x:f>SUM(H$19:H294)</x:f>
        <x:v>15813850</x:v>
      </x:c>
      <x:c r="K294" s="62" t="n">
        <x:f>I294*18</x:f>
        <x:v>75924</x:v>
      </x:c>
      <x:c r="L294" s="62" t="n">
        <x:f>J294*18</x:f>
        <x:v>284649300</x:v>
      </x:c>
    </x:row>
    <x:row r="295" ht="23" customHeight="1">
      <x:c r="A295" s="119" t="n">
        <x:v>277</x:v>
      </x:c>
      <x:c r="B295" s="119" t="n">
        <x:f>VLOOKUP(A295,$A$7:$G$13,6,TRUE)</x:f>
        <x:v>18</x:v>
      </x:c>
      <x:c r="C295" s="119" t="n">
        <x:f>ROUNDUP(('经济参数'!$E$52+(A295-1)*'经济参数'!$E$53)*VLOOKUP(A295,$A$7:$G$13,7,TRUE),0)</x:f>
        <x:v>116620</x:v>
      </x:c>
      <x:c r="D295" s="110" t="n">
        <x:v>1</x:v>
      </x:c>
      <x:c r="E295" s="110" t="n">
        <x:v>1</x:v>
      </x:c>
      <x:c r="F295" s="110" t="n">
        <x:f>IF('使用说明'!$B$4=0,D295,E295)</x:f>
        <x:v>1</x:v>
      </x:c>
      <x:c r="G295" s="62" t="n">
        <x:f>IFERROR(B295/F295,0)</x:f>
        <x:v>18</x:v>
      </x:c>
      <x:c r="H295" s="62" t="n">
        <x:f>IFERROR(C295/F295,0)</x:f>
        <x:v>116620</x:v>
      </x:c>
      <x:c r="I295" s="62" t="n">
        <x:f>SUM(G$19:G295)</x:f>
        <x:v>4236</x:v>
      </x:c>
      <x:c r="J295" s="62" t="n">
        <x:f>SUM(H$19:H295)</x:f>
        <x:v>15930470</x:v>
      </x:c>
      <x:c r="K295" s="62" t="n">
        <x:f>I295*18</x:f>
        <x:v>76248</x:v>
      </x:c>
      <x:c r="L295" s="62" t="n">
        <x:f>J295*18</x:f>
        <x:v>286748460</x:v>
      </x:c>
    </x:row>
    <x:row r="296" ht="23" customHeight="1">
      <x:c r="A296" s="119" t="n">
        <x:v>278</x:v>
      </x:c>
      <x:c r="B296" s="119" t="n">
        <x:f>VLOOKUP(A296,$A$7:$G$13,6,TRUE)</x:f>
        <x:v>18</x:v>
      </x:c>
      <x:c r="C296" s="119" t="n">
        <x:f>ROUNDUP(('经济参数'!$E$52+(A296-1)*'经济参数'!$E$53)*VLOOKUP(A296,$A$7:$G$13,7,TRUE),0)</x:f>
        <x:v>117040</x:v>
      </x:c>
      <x:c r="D296" s="110" t="n">
        <x:v>1</x:v>
      </x:c>
      <x:c r="E296" s="110" t="n">
        <x:v>1</x:v>
      </x:c>
      <x:c r="F296" s="110" t="n">
        <x:f>IF('使用说明'!$B$4=0,D296,E296)</x:f>
        <x:v>1</x:v>
      </x:c>
      <x:c r="G296" s="62" t="n">
        <x:f>IFERROR(B296/F296,0)</x:f>
        <x:v>18</x:v>
      </x:c>
      <x:c r="H296" s="62" t="n">
        <x:f>IFERROR(C296/F296,0)</x:f>
        <x:v>117040</x:v>
      </x:c>
      <x:c r="I296" s="62" t="n">
        <x:f>SUM(G$19:G296)</x:f>
        <x:v>4254</x:v>
      </x:c>
      <x:c r="J296" s="62" t="n">
        <x:f>SUM(H$19:H296)</x:f>
        <x:v>16047510</x:v>
      </x:c>
      <x:c r="K296" s="62" t="n">
        <x:f>I296*18</x:f>
        <x:v>76572</x:v>
      </x:c>
      <x:c r="L296" s="62" t="n">
        <x:f>J296*18</x:f>
        <x:v>288855180</x:v>
      </x:c>
    </x:row>
    <x:row r="297" ht="23" customHeight="1">
      <x:c r="A297" s="119" t="n">
        <x:v>279</x:v>
      </x:c>
      <x:c r="B297" s="119" t="n">
        <x:f>VLOOKUP(A297,$A$7:$G$13,6,TRUE)</x:f>
        <x:v>18</x:v>
      </x:c>
      <x:c r="C297" s="119" t="n">
        <x:f>ROUNDUP(('经济参数'!$E$52+(A297-1)*'经济参数'!$E$53)*VLOOKUP(A297,$A$7:$G$13,7,TRUE),0)</x:f>
        <x:v>117460</x:v>
      </x:c>
      <x:c r="D297" s="110" t="n">
        <x:v>1</x:v>
      </x:c>
      <x:c r="E297" s="110" t="n">
        <x:v>1</x:v>
      </x:c>
      <x:c r="F297" s="110" t="n">
        <x:f>IF('使用说明'!$B$4=0,D297,E297)</x:f>
        <x:v>1</x:v>
      </x:c>
      <x:c r="G297" s="62" t="n">
        <x:f>IFERROR(B297/F297,0)</x:f>
        <x:v>18</x:v>
      </x:c>
      <x:c r="H297" s="62" t="n">
        <x:f>IFERROR(C297/F297,0)</x:f>
        <x:v>117460</x:v>
      </x:c>
      <x:c r="I297" s="62" t="n">
        <x:f>SUM(G$19:G297)</x:f>
        <x:v>4272</x:v>
      </x:c>
      <x:c r="J297" s="62" t="n">
        <x:f>SUM(H$19:H297)</x:f>
        <x:v>16164970</x:v>
      </x:c>
      <x:c r="K297" s="62" t="n">
        <x:f>I297*18</x:f>
        <x:v>76896</x:v>
      </x:c>
      <x:c r="L297" s="62" t="n">
        <x:f>J297*18</x:f>
        <x:v>290969460</x:v>
      </x:c>
    </x:row>
    <x:row r="298" ht="23" customHeight="1">
      <x:c r="A298" s="119" t="n">
        <x:v>280</x:v>
      </x:c>
      <x:c r="B298" s="119" t="n">
        <x:f>VLOOKUP(A298,$A$7:$G$13,6,TRUE)</x:f>
        <x:v>18</x:v>
      </x:c>
      <x:c r="C298" s="119" t="n">
        <x:f>ROUNDUP(('经济参数'!$E$52+(A298-1)*'经济参数'!$E$53)*VLOOKUP(A298,$A$7:$G$13,7,TRUE),0)</x:f>
        <x:v>117880</x:v>
      </x:c>
      <x:c r="D298" s="110" t="n">
        <x:v>1</x:v>
      </x:c>
      <x:c r="E298" s="110" t="n">
        <x:v>1</x:v>
      </x:c>
      <x:c r="F298" s="110" t="n">
        <x:f>IF('使用说明'!$B$4=0,D298,E298)</x:f>
        <x:v>1</x:v>
      </x:c>
      <x:c r="G298" s="62" t="n">
        <x:f>IFERROR(B298/F298,0)</x:f>
        <x:v>18</x:v>
      </x:c>
      <x:c r="H298" s="62" t="n">
        <x:f>IFERROR(C298/F298,0)</x:f>
        <x:v>117880</x:v>
      </x:c>
      <x:c r="I298" s="62" t="n">
        <x:f>SUM(G$19:G298)</x:f>
        <x:v>4290</x:v>
      </x:c>
      <x:c r="J298" s="62" t="n">
        <x:f>SUM(H$19:H298)</x:f>
        <x:v>16282850</x:v>
      </x:c>
      <x:c r="K298" s="62" t="n">
        <x:f>I298*18</x:f>
        <x:v>77220</x:v>
      </x:c>
      <x:c r="L298" s="62" t="n">
        <x:f>J298*18</x:f>
        <x:v>293091300</x:v>
      </x:c>
    </x:row>
    <x:row r="299" ht="23" customHeight="1">
      <x:c r="A299" s="119" t="n">
        <x:v>281</x:v>
      </x:c>
      <x:c r="B299" s="119" t="n">
        <x:f>VLOOKUP(A299,$A$7:$G$13,6,TRUE)</x:f>
        <x:v>18</x:v>
      </x:c>
      <x:c r="C299" s="119" t="n">
        <x:f>ROUNDUP(('经济参数'!$E$52+(A299-1)*'经济参数'!$E$53)*VLOOKUP(A299,$A$7:$G$13,7,TRUE),0)</x:f>
        <x:v>118300</x:v>
      </x:c>
      <x:c r="D299" s="110" t="n">
        <x:v>1</x:v>
      </x:c>
      <x:c r="E299" s="110" t="n">
        <x:v>1</x:v>
      </x:c>
      <x:c r="F299" s="110" t="n">
        <x:f>IF('使用说明'!$B$4=0,D299,E299)</x:f>
        <x:v>1</x:v>
      </x:c>
      <x:c r="G299" s="62" t="n">
        <x:f>IFERROR(B299/F299,0)</x:f>
        <x:v>18</x:v>
      </x:c>
      <x:c r="H299" s="62" t="n">
        <x:f>IFERROR(C299/F299,0)</x:f>
        <x:v>118300</x:v>
      </x:c>
      <x:c r="I299" s="62" t="n">
        <x:f>SUM(G$19:G299)</x:f>
        <x:v>4308</x:v>
      </x:c>
      <x:c r="J299" s="62" t="n">
        <x:f>SUM(H$19:H299)</x:f>
        <x:v>16401150</x:v>
      </x:c>
      <x:c r="K299" s="62" t="n">
        <x:f>I299*18</x:f>
        <x:v>77544</x:v>
      </x:c>
      <x:c r="L299" s="62" t="n">
        <x:f>J299*18</x:f>
        <x:v>295220700</x:v>
      </x:c>
    </x:row>
    <x:row r="300" ht="23" customHeight="1">
      <x:c r="A300" s="119" t="n">
        <x:v>282</x:v>
      </x:c>
      <x:c r="B300" s="119" t="n">
        <x:f>VLOOKUP(A300,$A$7:$G$13,6,TRUE)</x:f>
        <x:v>18</x:v>
      </x:c>
      <x:c r="C300" s="119" t="n">
        <x:f>ROUNDUP(('经济参数'!$E$52+(A300-1)*'经济参数'!$E$53)*VLOOKUP(A300,$A$7:$G$13,7,TRUE),0)</x:f>
        <x:v>118720</x:v>
      </x:c>
      <x:c r="D300" s="110" t="n">
        <x:v>1</x:v>
      </x:c>
      <x:c r="E300" s="110" t="n">
        <x:v>1</x:v>
      </x:c>
      <x:c r="F300" s="110" t="n">
        <x:f>IF('使用说明'!$B$4=0,D300,E300)</x:f>
        <x:v>1</x:v>
      </x:c>
      <x:c r="G300" s="62" t="n">
        <x:f>IFERROR(B300/F300,0)</x:f>
        <x:v>18</x:v>
      </x:c>
      <x:c r="H300" s="62" t="n">
        <x:f>IFERROR(C300/F300,0)</x:f>
        <x:v>118720</x:v>
      </x:c>
      <x:c r="I300" s="62" t="n">
        <x:f>SUM(G$19:G300)</x:f>
        <x:v>4326</x:v>
      </x:c>
      <x:c r="J300" s="62" t="n">
        <x:f>SUM(H$19:H300)</x:f>
        <x:v>16519870</x:v>
      </x:c>
      <x:c r="K300" s="62" t="n">
        <x:f>I300*18</x:f>
        <x:v>77868</x:v>
      </x:c>
      <x:c r="L300" s="62" t="n">
        <x:f>J300*18</x:f>
        <x:v>297357660</x:v>
      </x:c>
    </x:row>
    <x:row r="301" ht="23" customHeight="1">
      <x:c r="A301" s="119" t="n">
        <x:v>283</x:v>
      </x:c>
      <x:c r="B301" s="119" t="n">
        <x:f>VLOOKUP(A301,$A$7:$G$13,6,TRUE)</x:f>
        <x:v>18</x:v>
      </x:c>
      <x:c r="C301" s="119" t="n">
        <x:f>ROUNDUP(('经济参数'!$E$52+(A301-1)*'经济参数'!$E$53)*VLOOKUP(A301,$A$7:$G$13,7,TRUE),0)</x:f>
        <x:v>119140</x:v>
      </x:c>
      <x:c r="D301" s="110" t="n">
        <x:v>1</x:v>
      </x:c>
      <x:c r="E301" s="110" t="n">
        <x:v>1</x:v>
      </x:c>
      <x:c r="F301" s="110" t="n">
        <x:f>IF('使用说明'!$B$4=0,D301,E301)</x:f>
        <x:v>1</x:v>
      </x:c>
      <x:c r="G301" s="62" t="n">
        <x:f>IFERROR(B301/F301,0)</x:f>
        <x:v>18</x:v>
      </x:c>
      <x:c r="H301" s="62" t="n">
        <x:f>IFERROR(C301/F301,0)</x:f>
        <x:v>119140</x:v>
      </x:c>
      <x:c r="I301" s="62" t="n">
        <x:f>SUM(G$19:G301)</x:f>
        <x:v>4344</x:v>
      </x:c>
      <x:c r="J301" s="62" t="n">
        <x:f>SUM(H$19:H301)</x:f>
        <x:v>16639010</x:v>
      </x:c>
      <x:c r="K301" s="62" t="n">
        <x:f>I301*18</x:f>
        <x:v>78192</x:v>
      </x:c>
      <x:c r="L301" s="62" t="n">
        <x:f>J301*18</x:f>
        <x:v>299502180</x:v>
      </x:c>
    </x:row>
    <x:row r="302" ht="23" customHeight="1">
      <x:c r="A302" s="119" t="n">
        <x:v>284</x:v>
      </x:c>
      <x:c r="B302" s="119" t="n">
        <x:f>VLOOKUP(A302,$A$7:$G$13,6,TRUE)</x:f>
        <x:v>18</x:v>
      </x:c>
      <x:c r="C302" s="119" t="n">
        <x:f>ROUNDUP(('经济参数'!$E$52+(A302-1)*'经济参数'!$E$53)*VLOOKUP(A302,$A$7:$G$13,7,TRUE),0)</x:f>
        <x:v>119560</x:v>
      </x:c>
      <x:c r="D302" s="110" t="n">
        <x:v>1</x:v>
      </x:c>
      <x:c r="E302" s="110" t="n">
        <x:v>1</x:v>
      </x:c>
      <x:c r="F302" s="110" t="n">
        <x:f>IF('使用说明'!$B$4=0,D302,E302)</x:f>
        <x:v>1</x:v>
      </x:c>
      <x:c r="G302" s="62" t="n">
        <x:f>IFERROR(B302/F302,0)</x:f>
        <x:v>18</x:v>
      </x:c>
      <x:c r="H302" s="62" t="n">
        <x:f>IFERROR(C302/F302,0)</x:f>
        <x:v>119560</x:v>
      </x:c>
      <x:c r="I302" s="62" t="n">
        <x:f>SUM(G$19:G302)</x:f>
        <x:v>4362</x:v>
      </x:c>
      <x:c r="J302" s="62" t="n">
        <x:f>SUM(H$19:H302)</x:f>
        <x:v>16758570</x:v>
      </x:c>
      <x:c r="K302" s="62" t="n">
        <x:f>I302*18</x:f>
        <x:v>78516</x:v>
      </x:c>
      <x:c r="L302" s="62" t="n">
        <x:f>J302*18</x:f>
        <x:v>301654260</x:v>
      </x:c>
    </x:row>
    <x:row r="303" ht="23" customHeight="1">
      <x:c r="A303" s="119" t="n">
        <x:v>285</x:v>
      </x:c>
      <x:c r="B303" s="119" t="n">
        <x:f>VLOOKUP(A303,$A$7:$G$13,6,TRUE)</x:f>
        <x:v>18</x:v>
      </x:c>
      <x:c r="C303" s="119" t="n">
        <x:f>ROUNDUP(('经济参数'!$E$52+(A303-1)*'经济参数'!$E$53)*VLOOKUP(A303,$A$7:$G$13,7,TRUE),0)</x:f>
        <x:v>119980</x:v>
      </x:c>
      <x:c r="D303" s="110" t="n">
        <x:v>1</x:v>
      </x:c>
      <x:c r="E303" s="110" t="n">
        <x:v>1</x:v>
      </x:c>
      <x:c r="F303" s="110" t="n">
        <x:f>IF('使用说明'!$B$4=0,D303,E303)</x:f>
        <x:v>1</x:v>
      </x:c>
      <x:c r="G303" s="62" t="n">
        <x:f>IFERROR(B303/F303,0)</x:f>
        <x:v>18</x:v>
      </x:c>
      <x:c r="H303" s="62" t="n">
        <x:f>IFERROR(C303/F303,0)</x:f>
        <x:v>119980</x:v>
      </x:c>
      <x:c r="I303" s="62" t="n">
        <x:f>SUM(G$19:G303)</x:f>
        <x:v>4380</x:v>
      </x:c>
      <x:c r="J303" s="62" t="n">
        <x:f>SUM(H$19:H303)</x:f>
        <x:v>16878550</x:v>
      </x:c>
      <x:c r="K303" s="62" t="n">
        <x:f>I303*18</x:f>
        <x:v>78840</x:v>
      </x:c>
      <x:c r="L303" s="62" t="n">
        <x:f>J303*18</x:f>
        <x:v>303813900</x:v>
      </x:c>
    </x:row>
    <x:row r="304" ht="23" customHeight="1">
      <x:c r="A304" s="119" t="n">
        <x:v>286</x:v>
      </x:c>
      <x:c r="B304" s="119" t="n">
        <x:f>VLOOKUP(A304,$A$7:$G$13,6,TRUE)</x:f>
        <x:v>18</x:v>
      </x:c>
      <x:c r="C304" s="119" t="n">
        <x:f>ROUNDUP(('经济参数'!$E$52+(A304-1)*'经济参数'!$E$53)*VLOOKUP(A304,$A$7:$G$13,7,TRUE),0)</x:f>
        <x:v>120400</x:v>
      </x:c>
      <x:c r="D304" s="110" t="n">
        <x:v>1</x:v>
      </x:c>
      <x:c r="E304" s="110" t="n">
        <x:v>1</x:v>
      </x:c>
      <x:c r="F304" s="110" t="n">
        <x:f>IF('使用说明'!$B$4=0,D304,E304)</x:f>
        <x:v>1</x:v>
      </x:c>
      <x:c r="G304" s="62" t="n">
        <x:f>IFERROR(B304/F304,0)</x:f>
        <x:v>18</x:v>
      </x:c>
      <x:c r="H304" s="62" t="n">
        <x:f>IFERROR(C304/F304,0)</x:f>
        <x:v>120400</x:v>
      </x:c>
      <x:c r="I304" s="62" t="n">
        <x:f>SUM(G$19:G304)</x:f>
        <x:v>4398</x:v>
      </x:c>
      <x:c r="J304" s="62" t="n">
        <x:f>SUM(H$19:H304)</x:f>
        <x:v>16998950</x:v>
      </x:c>
      <x:c r="K304" s="62" t="n">
        <x:f>I304*18</x:f>
        <x:v>79164</x:v>
      </x:c>
      <x:c r="L304" s="62" t="n">
        <x:f>J304*18</x:f>
        <x:v>305981100</x:v>
      </x:c>
    </x:row>
    <x:row r="305" ht="23" customHeight="1">
      <x:c r="A305" s="119" t="n">
        <x:v>287</x:v>
      </x:c>
      <x:c r="B305" s="119" t="n">
        <x:f>VLOOKUP(A305,$A$7:$G$13,6,TRUE)</x:f>
        <x:v>18</x:v>
      </x:c>
      <x:c r="C305" s="119" t="n">
        <x:f>ROUNDUP(('经济参数'!$E$52+(A305-1)*'经济参数'!$E$53)*VLOOKUP(A305,$A$7:$G$13,7,TRUE),0)</x:f>
        <x:v>120820</x:v>
      </x:c>
      <x:c r="D305" s="110" t="n">
        <x:v>1</x:v>
      </x:c>
      <x:c r="E305" s="110" t="n">
        <x:v>1</x:v>
      </x:c>
      <x:c r="F305" s="110" t="n">
        <x:f>IF('使用说明'!$B$4=0,D305,E305)</x:f>
        <x:v>1</x:v>
      </x:c>
      <x:c r="G305" s="62" t="n">
        <x:f>IFERROR(B305/F305,0)</x:f>
        <x:v>18</x:v>
      </x:c>
      <x:c r="H305" s="62" t="n">
        <x:f>IFERROR(C305/F305,0)</x:f>
        <x:v>120820</x:v>
      </x:c>
      <x:c r="I305" s="62" t="n">
        <x:f>SUM(G$19:G305)</x:f>
        <x:v>4416</x:v>
      </x:c>
      <x:c r="J305" s="62" t="n">
        <x:f>SUM(H$19:H305)</x:f>
        <x:v>17119770</x:v>
      </x:c>
      <x:c r="K305" s="62" t="n">
        <x:f>I305*18</x:f>
        <x:v>79488</x:v>
      </x:c>
      <x:c r="L305" s="62" t="n">
        <x:f>J305*18</x:f>
        <x:v>308155860</x:v>
      </x:c>
    </x:row>
    <x:row r="306" ht="23" customHeight="1">
      <x:c r="A306" s="119" t="n">
        <x:v>288</x:v>
      </x:c>
      <x:c r="B306" s="119" t="n">
        <x:f>VLOOKUP(A306,$A$7:$G$13,6,TRUE)</x:f>
        <x:v>18</x:v>
      </x:c>
      <x:c r="C306" s="119" t="n">
        <x:f>ROUNDUP(('经济参数'!$E$52+(A306-1)*'经济参数'!$E$53)*VLOOKUP(A306,$A$7:$G$13,7,TRUE),0)</x:f>
        <x:v>121240</x:v>
      </x:c>
      <x:c r="D306" s="110" t="n">
        <x:v>1</x:v>
      </x:c>
      <x:c r="E306" s="110" t="n">
        <x:v>1</x:v>
      </x:c>
      <x:c r="F306" s="110" t="n">
        <x:f>IF('使用说明'!$B$4=0,D306,E306)</x:f>
        <x:v>1</x:v>
      </x:c>
      <x:c r="G306" s="62" t="n">
        <x:f>IFERROR(B306/F306,0)</x:f>
        <x:v>18</x:v>
      </x:c>
      <x:c r="H306" s="62" t="n">
        <x:f>IFERROR(C306/F306,0)</x:f>
        <x:v>121240</x:v>
      </x:c>
      <x:c r="I306" s="62" t="n">
        <x:f>SUM(G$19:G306)</x:f>
        <x:v>4434</x:v>
      </x:c>
      <x:c r="J306" s="62" t="n">
        <x:f>SUM(H$19:H306)</x:f>
        <x:v>17241010</x:v>
      </x:c>
      <x:c r="K306" s="62" t="n">
        <x:f>I306*18</x:f>
        <x:v>79812</x:v>
      </x:c>
      <x:c r="L306" s="62" t="n">
        <x:f>J306*18</x:f>
        <x:v>310338180</x:v>
      </x:c>
    </x:row>
    <x:row r="307" ht="23" customHeight="1">
      <x:c r="A307" s="119" t="n">
        <x:v>289</x:v>
      </x:c>
      <x:c r="B307" s="119" t="n">
        <x:f>VLOOKUP(A307,$A$7:$G$13,6,TRUE)</x:f>
        <x:v>18</x:v>
      </x:c>
      <x:c r="C307" s="119" t="n">
        <x:f>ROUNDUP(('经济参数'!$E$52+(A307-1)*'经济参数'!$E$53)*VLOOKUP(A307,$A$7:$G$13,7,TRUE),0)</x:f>
        <x:v>121660</x:v>
      </x:c>
      <x:c r="D307" s="110" t="n">
        <x:v>1</x:v>
      </x:c>
      <x:c r="E307" s="110" t="n">
        <x:v>1</x:v>
      </x:c>
      <x:c r="F307" s="110" t="n">
        <x:f>IF('使用说明'!$B$4=0,D307,E307)</x:f>
        <x:v>1</x:v>
      </x:c>
      <x:c r="G307" s="62" t="n">
        <x:f>IFERROR(B307/F307,0)</x:f>
        <x:v>18</x:v>
      </x:c>
      <x:c r="H307" s="62" t="n">
        <x:f>IFERROR(C307/F307,0)</x:f>
        <x:v>121660</x:v>
      </x:c>
      <x:c r="I307" s="62" t="n">
        <x:f>SUM(G$19:G307)</x:f>
        <x:v>4452</x:v>
      </x:c>
      <x:c r="J307" s="62" t="n">
        <x:f>SUM(H$19:H307)</x:f>
        <x:v>17362670</x:v>
      </x:c>
      <x:c r="K307" s="62" t="n">
        <x:f>I307*18</x:f>
        <x:v>80136</x:v>
      </x:c>
      <x:c r="L307" s="62" t="n">
        <x:f>J307*18</x:f>
        <x:v>312528060</x:v>
      </x:c>
    </x:row>
    <x:row r="308" ht="23" customHeight="1">
      <x:c r="A308" s="119" t="n">
        <x:v>290</x:v>
      </x:c>
      <x:c r="B308" s="119" t="n">
        <x:f>VLOOKUP(A308,$A$7:$G$13,6,TRUE)</x:f>
        <x:v>18</x:v>
      </x:c>
      <x:c r="C308" s="119" t="n">
        <x:f>ROUNDUP(('经济参数'!$E$52+(A308-1)*'经济参数'!$E$53)*VLOOKUP(A308,$A$7:$G$13,7,TRUE),0)</x:f>
        <x:v>122080</x:v>
      </x:c>
      <x:c r="D308" s="110" t="n">
        <x:v>1</x:v>
      </x:c>
      <x:c r="E308" s="110" t="n">
        <x:v>1</x:v>
      </x:c>
      <x:c r="F308" s="110" t="n">
        <x:f>IF('使用说明'!$B$4=0,D308,E308)</x:f>
        <x:v>1</x:v>
      </x:c>
      <x:c r="G308" s="62" t="n">
        <x:f>IFERROR(B308/F308,0)</x:f>
        <x:v>18</x:v>
      </x:c>
      <x:c r="H308" s="62" t="n">
        <x:f>IFERROR(C308/F308,0)</x:f>
        <x:v>122080</x:v>
      </x:c>
      <x:c r="I308" s="62" t="n">
        <x:f>SUM(G$19:G308)</x:f>
        <x:v>4470</x:v>
      </x:c>
      <x:c r="J308" s="62" t="n">
        <x:f>SUM(H$19:H308)</x:f>
        <x:v>17484750</x:v>
      </x:c>
      <x:c r="K308" s="62" t="n">
        <x:f>I308*18</x:f>
        <x:v>80460</x:v>
      </x:c>
      <x:c r="L308" s="62" t="n">
        <x:f>J308*18</x:f>
        <x:v>314725500</x:v>
      </x:c>
    </x:row>
    <x:row r="309" ht="23" customHeight="1">
      <x:c r="A309" s="119" t="n">
        <x:v>291</x:v>
      </x:c>
      <x:c r="B309" s="119" t="n">
        <x:f>VLOOKUP(A309,$A$7:$G$13,6,TRUE)</x:f>
        <x:v>18</x:v>
      </x:c>
      <x:c r="C309" s="119" t="n">
        <x:f>ROUNDUP(('经济参数'!$E$52+(A309-1)*'经济参数'!$E$53)*VLOOKUP(A309,$A$7:$G$13,7,TRUE),0)</x:f>
        <x:v>122500</x:v>
      </x:c>
      <x:c r="D309" s="110" t="n">
        <x:v>1</x:v>
      </x:c>
      <x:c r="E309" s="110" t="n">
        <x:v>1</x:v>
      </x:c>
      <x:c r="F309" s="110" t="n">
        <x:f>IF('使用说明'!$B$4=0,D309,E309)</x:f>
        <x:v>1</x:v>
      </x:c>
      <x:c r="G309" s="62" t="n">
        <x:f>IFERROR(B309/F309,0)</x:f>
        <x:v>18</x:v>
      </x:c>
      <x:c r="H309" s="62" t="n">
        <x:f>IFERROR(C309/F309,0)</x:f>
        <x:v>122500</x:v>
      </x:c>
      <x:c r="I309" s="62" t="n">
        <x:f>SUM(G$19:G309)</x:f>
        <x:v>4488</x:v>
      </x:c>
      <x:c r="J309" s="62" t="n">
        <x:f>SUM(H$19:H309)</x:f>
        <x:v>17607250</x:v>
      </x:c>
      <x:c r="K309" s="62" t="n">
        <x:f>I309*18</x:f>
        <x:v>80784</x:v>
      </x:c>
      <x:c r="L309" s="62" t="n">
        <x:f>J309*18</x:f>
        <x:v>316930500</x:v>
      </x:c>
    </x:row>
    <x:row r="310" ht="23" customHeight="1">
      <x:c r="A310" s="119" t="n">
        <x:v>292</x:v>
      </x:c>
      <x:c r="B310" s="119" t="n">
        <x:f>VLOOKUP(A310,$A$7:$G$13,6,TRUE)</x:f>
        <x:v>18</x:v>
      </x:c>
      <x:c r="C310" s="119" t="n">
        <x:f>ROUNDUP(('经济参数'!$E$52+(A310-1)*'经济参数'!$E$53)*VLOOKUP(A310,$A$7:$G$13,7,TRUE),0)</x:f>
        <x:v>122920</x:v>
      </x:c>
      <x:c r="D310" s="110" t="n">
        <x:v>1</x:v>
      </x:c>
      <x:c r="E310" s="110" t="n">
        <x:v>1</x:v>
      </x:c>
      <x:c r="F310" s="110" t="n">
        <x:f>IF('使用说明'!$B$4=0,D310,E310)</x:f>
        <x:v>1</x:v>
      </x:c>
      <x:c r="G310" s="62" t="n">
        <x:f>IFERROR(B310/F310,0)</x:f>
        <x:v>18</x:v>
      </x:c>
      <x:c r="H310" s="62" t="n">
        <x:f>IFERROR(C310/F310,0)</x:f>
        <x:v>122920</x:v>
      </x:c>
      <x:c r="I310" s="62" t="n">
        <x:f>SUM(G$19:G310)</x:f>
        <x:v>4506</x:v>
      </x:c>
      <x:c r="J310" s="62" t="n">
        <x:f>SUM(H$19:H310)</x:f>
        <x:v>17730170</x:v>
      </x:c>
      <x:c r="K310" s="62" t="n">
        <x:f>I310*18</x:f>
        <x:v>81108</x:v>
      </x:c>
      <x:c r="L310" s="62" t="n">
        <x:f>J310*18</x:f>
        <x:v>319143060</x:v>
      </x:c>
    </x:row>
    <x:row r="311" ht="23" customHeight="1">
      <x:c r="A311" s="119" t="n">
        <x:v>293</x:v>
      </x:c>
      <x:c r="B311" s="119" t="n">
        <x:f>VLOOKUP(A311,$A$7:$G$13,6,TRUE)</x:f>
        <x:v>18</x:v>
      </x:c>
      <x:c r="C311" s="119" t="n">
        <x:f>ROUNDUP(('经济参数'!$E$52+(A311-1)*'经济参数'!$E$53)*VLOOKUP(A311,$A$7:$G$13,7,TRUE),0)</x:f>
        <x:v>123340</x:v>
      </x:c>
      <x:c r="D311" s="110" t="n">
        <x:v>1</x:v>
      </x:c>
      <x:c r="E311" s="110" t="n">
        <x:v>1</x:v>
      </x:c>
      <x:c r="F311" s="110" t="n">
        <x:f>IF('使用说明'!$B$4=0,D311,E311)</x:f>
        <x:v>1</x:v>
      </x:c>
      <x:c r="G311" s="62" t="n">
        <x:f>IFERROR(B311/F311,0)</x:f>
        <x:v>18</x:v>
      </x:c>
      <x:c r="H311" s="62" t="n">
        <x:f>IFERROR(C311/F311,0)</x:f>
        <x:v>123340</x:v>
      </x:c>
      <x:c r="I311" s="62" t="n">
        <x:f>SUM(G$19:G311)</x:f>
        <x:v>4524</x:v>
      </x:c>
      <x:c r="J311" s="62" t="n">
        <x:f>SUM(H$19:H311)</x:f>
        <x:v>17853510</x:v>
      </x:c>
      <x:c r="K311" s="62" t="n">
        <x:f>I311*18</x:f>
        <x:v>81432</x:v>
      </x:c>
      <x:c r="L311" s="62" t="n">
        <x:f>J311*18</x:f>
        <x:v>321363180</x:v>
      </x:c>
    </x:row>
    <x:row r="312" ht="23" customHeight="1">
      <x:c r="A312" s="119" t="n">
        <x:v>294</x:v>
      </x:c>
      <x:c r="B312" s="119" t="n">
        <x:f>VLOOKUP(A312,$A$7:$G$13,6,TRUE)</x:f>
        <x:v>18</x:v>
      </x:c>
      <x:c r="C312" s="119" t="n">
        <x:f>ROUNDUP(('经济参数'!$E$52+(A312-1)*'经济参数'!$E$53)*VLOOKUP(A312,$A$7:$G$13,7,TRUE),0)</x:f>
        <x:v>123760</x:v>
      </x:c>
      <x:c r="D312" s="110" t="n">
        <x:v>1</x:v>
      </x:c>
      <x:c r="E312" s="110" t="n">
        <x:v>1</x:v>
      </x:c>
      <x:c r="F312" s="110" t="n">
        <x:f>IF('使用说明'!$B$4=0,D312,E312)</x:f>
        <x:v>1</x:v>
      </x:c>
      <x:c r="G312" s="62" t="n">
        <x:f>IFERROR(B312/F312,0)</x:f>
        <x:v>18</x:v>
      </x:c>
      <x:c r="H312" s="62" t="n">
        <x:f>IFERROR(C312/F312,0)</x:f>
        <x:v>123760</x:v>
      </x:c>
      <x:c r="I312" s="62" t="n">
        <x:f>SUM(G$19:G312)</x:f>
        <x:v>4542</x:v>
      </x:c>
      <x:c r="J312" s="62" t="n">
        <x:f>SUM(H$19:H312)</x:f>
        <x:v>17977270</x:v>
      </x:c>
      <x:c r="K312" s="62" t="n">
        <x:f>I312*18</x:f>
        <x:v>81756</x:v>
      </x:c>
      <x:c r="L312" s="62" t="n">
        <x:f>J312*18</x:f>
        <x:v>323590860</x:v>
      </x:c>
    </x:row>
    <x:row r="313" ht="23" customHeight="1">
      <x:c r="A313" s="119" t="n">
        <x:v>295</x:v>
      </x:c>
      <x:c r="B313" s="119" t="n">
        <x:f>VLOOKUP(A313,$A$7:$G$13,6,TRUE)</x:f>
        <x:v>18</x:v>
      </x:c>
      <x:c r="C313" s="119" t="n">
        <x:f>ROUNDUP(('经济参数'!$E$52+(A313-1)*'经济参数'!$E$53)*VLOOKUP(A313,$A$7:$G$13,7,TRUE),0)</x:f>
        <x:v>124180</x:v>
      </x:c>
      <x:c r="D313" s="110" t="n">
        <x:v>1</x:v>
      </x:c>
      <x:c r="E313" s="110" t="n">
        <x:v>1</x:v>
      </x:c>
      <x:c r="F313" s="110" t="n">
        <x:f>IF('使用说明'!$B$4=0,D313,E313)</x:f>
        <x:v>1</x:v>
      </x:c>
      <x:c r="G313" s="62" t="n">
        <x:f>IFERROR(B313/F313,0)</x:f>
        <x:v>18</x:v>
      </x:c>
      <x:c r="H313" s="62" t="n">
        <x:f>IFERROR(C313/F313,0)</x:f>
        <x:v>124180</x:v>
      </x:c>
      <x:c r="I313" s="62" t="n">
        <x:f>SUM(G$19:G313)</x:f>
        <x:v>4560</x:v>
      </x:c>
      <x:c r="J313" s="62" t="n">
        <x:f>SUM(H$19:H313)</x:f>
        <x:v>18101450</x:v>
      </x:c>
      <x:c r="K313" s="62" t="n">
        <x:f>I313*18</x:f>
        <x:v>82080</x:v>
      </x:c>
      <x:c r="L313" s="62" t="n">
        <x:f>J313*18</x:f>
        <x:v>325826100</x:v>
      </x:c>
    </x:row>
    <x:row r="314" ht="23" customHeight="1">
      <x:c r="A314" s="119" t="n">
        <x:v>296</x:v>
      </x:c>
      <x:c r="B314" s="119" t="n">
        <x:f>VLOOKUP(A314,$A$7:$G$13,6,TRUE)</x:f>
        <x:v>18</x:v>
      </x:c>
      <x:c r="C314" s="119" t="n">
        <x:f>ROUNDUP(('经济参数'!$E$52+(A314-1)*'经济参数'!$E$53)*VLOOKUP(A314,$A$7:$G$13,7,TRUE),0)</x:f>
        <x:v>124600</x:v>
      </x:c>
      <x:c r="D314" s="110" t="n">
        <x:v>1</x:v>
      </x:c>
      <x:c r="E314" s="110" t="n">
        <x:v>1</x:v>
      </x:c>
      <x:c r="F314" s="110" t="n">
        <x:f>IF('使用说明'!$B$4=0,D314,E314)</x:f>
        <x:v>1</x:v>
      </x:c>
      <x:c r="G314" s="62" t="n">
        <x:f>IFERROR(B314/F314,0)</x:f>
        <x:v>18</x:v>
      </x:c>
      <x:c r="H314" s="62" t="n">
        <x:f>IFERROR(C314/F314,0)</x:f>
        <x:v>124600</x:v>
      </x:c>
      <x:c r="I314" s="62" t="n">
        <x:f>SUM(G$19:G314)</x:f>
        <x:v>4578</x:v>
      </x:c>
      <x:c r="J314" s="62" t="n">
        <x:f>SUM(H$19:H314)</x:f>
        <x:v>18226050</x:v>
      </x:c>
      <x:c r="K314" s="62" t="n">
        <x:f>I314*18</x:f>
        <x:v>82404</x:v>
      </x:c>
      <x:c r="L314" s="62" t="n">
        <x:f>J314*18</x:f>
        <x:v>328068900</x:v>
      </x:c>
    </x:row>
    <x:row r="315" ht="23" customHeight="1">
      <x:c r="A315" s="119" t="n">
        <x:v>297</x:v>
      </x:c>
      <x:c r="B315" s="119" t="n">
        <x:f>VLOOKUP(A315,$A$7:$G$13,6,TRUE)</x:f>
        <x:v>18</x:v>
      </x:c>
      <x:c r="C315" s="119" t="n">
        <x:f>ROUNDUP(('经济参数'!$E$52+(A315-1)*'经济参数'!$E$53)*VLOOKUP(A315,$A$7:$G$13,7,TRUE),0)</x:f>
        <x:v>125020</x:v>
      </x:c>
      <x:c r="D315" s="110" t="n">
        <x:v>1</x:v>
      </x:c>
      <x:c r="E315" s="110" t="n">
        <x:v>1</x:v>
      </x:c>
      <x:c r="F315" s="110" t="n">
        <x:f>IF('使用说明'!$B$4=0,D315,E315)</x:f>
        <x:v>1</x:v>
      </x:c>
      <x:c r="G315" s="62" t="n">
        <x:f>IFERROR(B315/F315,0)</x:f>
        <x:v>18</x:v>
      </x:c>
      <x:c r="H315" s="62" t="n">
        <x:f>IFERROR(C315/F315,0)</x:f>
        <x:v>125020</x:v>
      </x:c>
      <x:c r="I315" s="62" t="n">
        <x:f>SUM(G$19:G315)</x:f>
        <x:v>4596</x:v>
      </x:c>
      <x:c r="J315" s="62" t="n">
        <x:f>SUM(H$19:H315)</x:f>
        <x:v>18351070</x:v>
      </x:c>
      <x:c r="K315" s="62" t="n">
        <x:f>I315*18</x:f>
        <x:v>82728</x:v>
      </x:c>
      <x:c r="L315" s="62" t="n">
        <x:f>J315*18</x:f>
        <x:v>330319260</x:v>
      </x:c>
    </x:row>
    <x:row r="316" ht="23" customHeight="1">
      <x:c r="A316" s="119" t="n">
        <x:v>298</x:v>
      </x:c>
      <x:c r="B316" s="119" t="n">
        <x:f>VLOOKUP(A316,$A$7:$G$13,6,TRUE)</x:f>
        <x:v>18</x:v>
      </x:c>
      <x:c r="C316" s="119" t="n">
        <x:f>ROUNDUP(('经济参数'!$E$52+(A316-1)*'经济参数'!$E$53)*VLOOKUP(A316,$A$7:$G$13,7,TRUE),0)</x:f>
        <x:v>125440</x:v>
      </x:c>
      <x:c r="D316" s="110" t="n">
        <x:v>1</x:v>
      </x:c>
      <x:c r="E316" s="110" t="n">
        <x:v>1</x:v>
      </x:c>
      <x:c r="F316" s="110" t="n">
        <x:f>IF('使用说明'!$B$4=0,D316,E316)</x:f>
        <x:v>1</x:v>
      </x:c>
      <x:c r="G316" s="62" t="n">
        <x:f>IFERROR(B316/F316,0)</x:f>
        <x:v>18</x:v>
      </x:c>
      <x:c r="H316" s="62" t="n">
        <x:f>IFERROR(C316/F316,0)</x:f>
        <x:v>125440</x:v>
      </x:c>
      <x:c r="I316" s="62" t="n">
        <x:f>SUM(G$19:G316)</x:f>
        <x:v>4614</x:v>
      </x:c>
      <x:c r="J316" s="62" t="n">
        <x:f>SUM(H$19:H316)</x:f>
        <x:v>18476510</x:v>
      </x:c>
      <x:c r="K316" s="62" t="n">
        <x:f>I316*18</x:f>
        <x:v>83052</x:v>
      </x:c>
      <x:c r="L316" s="62" t="n">
        <x:f>J316*18</x:f>
        <x:v>332577180</x:v>
      </x:c>
    </x:row>
    <x:row r="317" ht="23" customHeight="1">
      <x:c r="A317" s="119" t="n">
        <x:v>299</x:v>
      </x:c>
      <x:c r="B317" s="119" t="n">
        <x:f>VLOOKUP(A317,$A$7:$G$13,6,TRUE)</x:f>
        <x:v>18</x:v>
      </x:c>
      <x:c r="C317" s="119" t="n">
        <x:f>ROUNDUP(('经济参数'!$E$52+(A317-1)*'经济参数'!$E$53)*VLOOKUP(A317,$A$7:$G$13,7,TRUE),0)</x:f>
        <x:v>125860</x:v>
      </x:c>
      <x:c r="D317" s="110" t="n">
        <x:v>1</x:v>
      </x:c>
      <x:c r="E317" s="110" t="n">
        <x:v>1</x:v>
      </x:c>
      <x:c r="F317" s="110" t="n">
        <x:f>IF('使用说明'!$B$4=0,D317,E317)</x:f>
        <x:v>1</x:v>
      </x:c>
      <x:c r="G317" s="62" t="n">
        <x:f>IFERROR(B317/F317,0)</x:f>
        <x:v>18</x:v>
      </x:c>
      <x:c r="H317" s="62" t="n">
        <x:f>IFERROR(C317/F317,0)</x:f>
        <x:v>125860</x:v>
      </x:c>
      <x:c r="I317" s="62" t="n">
        <x:f>SUM(G$19:G317)</x:f>
        <x:v>4632</x:v>
      </x:c>
      <x:c r="J317" s="62" t="n">
        <x:f>SUM(H$19:H317)</x:f>
        <x:v>18602370</x:v>
      </x:c>
      <x:c r="K317" s="62" t="n">
        <x:f>I317*18</x:f>
        <x:v>83376</x:v>
      </x:c>
      <x:c r="L317" s="62" t="n">
        <x:f>J317*18</x:f>
        <x:v>334842660</x:v>
      </x:c>
    </x:row>
    <x:row r="318" ht="23" customHeight="1">
      <x:c r="A318" s="119" t="n">
        <x:v>300</x:v>
      </x:c>
      <x:c r="B318" s="119" t="n">
        <x:f>VLOOKUP(A318,$A$7:$G$13,6,TRUE)</x:f>
        <x:v>18</x:v>
      </x:c>
      <x:c r="C318" s="119" t="n">
        <x:f>ROUNDUP(('经济参数'!$E$52+(A318-1)*'经济参数'!$E$53)*VLOOKUP(A318,$A$7:$G$13,7,TRUE),0)</x:f>
        <x:v>126280</x:v>
      </x:c>
      <x:c r="D318" s="110" t="n">
        <x:v>1</x:v>
      </x:c>
      <x:c r="E318" s="110" t="n">
        <x:v>1</x:v>
      </x:c>
      <x:c r="F318" s="110" t="n">
        <x:f>IF('使用说明'!$B$4=0,D318,E318)</x:f>
        <x:v>1</x:v>
      </x:c>
      <x:c r="G318" s="62" t="n">
        <x:f>IFERROR(B318/F318,0)</x:f>
        <x:v>18</x:v>
      </x:c>
      <x:c r="H318" s="62" t="n">
        <x:f>IFERROR(C318/F318,0)</x:f>
        <x:v>126280</x:v>
      </x:c>
      <x:c r="I318" s="62" t="n">
        <x:f>SUM(G$19:G318)</x:f>
        <x:v>4650</x:v>
      </x:c>
      <x:c r="J318" s="62" t="n">
        <x:f>SUM(H$19:H318)</x:f>
        <x:v>18728650</x:v>
      </x:c>
      <x:c r="K318" s="62" t="n">
        <x:f>I318*18</x:f>
        <x:v>83700</x:v>
      </x:c>
      <x:c r="L318" s="62" t="n">
        <x:f>J318*18</x:f>
        <x:v>337115700</x:v>
      </x:c>
    </x:row>
    <x:row r="319" ht="23" customHeight="1">
      <x:c r="A319" s="62"/>
      <x:c r="B319" s="62"/>
      <x:c r="C319" s="62"/>
      <x:c r="D319" s="62"/>
      <x:c r="E319" s="62"/>
      <x:c r="F319" s="62"/>
      <x:c r="G319" s="62"/>
      <x:c r="H319" s="62"/>
      <x:c r="I319" s="62"/>
      <x:c r="J319" s="62"/>
      <x:c r="K319" s="62"/>
      <x:c r="L319" s="62"/>
    </x:row>
  </x:sheetData>
  <x:mergeCells>
    <x:mergeCell ref="A1:J2"/>
    <x:mergeCell ref="A3:J3"/>
    <x:mergeCell ref="B4:D4"/>
  </x:mergeCells>
  <x:dataValidations count="1">
    <x:dataValidation type="decimal" operator="between" sqref="D7:E13">
      <x:formula1>0</x:formula1>
      <x:formula2>1000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8B9C9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6" hidden="0" customWidth="1"/>
    <x:col min="4" max="4" width="17" hidden="0" customWidth="1"/>
    <x:col min="5" max="5" width="17" hidden="0" customWidth="1"/>
    <x:col min="6" max="6" width="17" hidden="0" customWidth="1"/>
    <x:col min="7" max="7" width="19" hidden="0" customWidth="1"/>
    <x:col min="8" max="8" width="20" hidden="0" customWidth="1"/>
    <x:col min="9" max="9" width="20" hidden="0" customWidth="1"/>
    <x:col min="10" max="10" width="21" hidden="0" customWidth="1"/>
    <x:col min="11" max="11" width="22" hidden="0" customWidth="1"/>
    <x:col min="12" max="12" width="23" hidden="0" customWidth="1"/>
  </x:cols>
  <x:sheetData>
    <x:row r="1" ht="23" customHeight="1">
      <x:c r="A1" s="59" t="str">
        <x:v>07｜升星消耗明细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2"/>
      <x:c r="L1" s="62"/>
    </x:row>
    <x:row r="2" ht="23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2"/>
      <x:c r="L2" s="62"/>
    </x:row>
    <x:row r="3" ht="44" customHeight="1">
      <x:c r="A3" s="61" t="str">
        <x:v>按现行数组逐星读取：21星仍为25%、26星仍为20%。候选修正边界。失败扣材料和金币但不降星。预期成本=每次成本/成功率。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2"/>
      <x:c r="L3" s="62"/>
    </x:row>
    <x:row r="4" ht="23" customHeight="1">
      <x:c r="A4" s="62" t="str">
        <x:v>采用方案</x:v>
      </x:c>
      <x:c r="B4" s="62" t="str">
        <x:f>IF('使用说明'!$B$4=0,"工程当前","调优试算")</x:f>
        <x:v>工程当前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</x:row>
    <x:row r="5" ht="23" customHeight="1">
      <x:c r="A5" s="62"/>
      <x:c r="B5" s="62"/>
      <x:c r="C5" s="62"/>
      <x:c r="D5" s="62"/>
      <x:c r="E5" s="62"/>
      <x:c r="F5" s="62"/>
      <x:c r="G5" s="62"/>
      <x:c r="H5" s="62"/>
      <x:c r="I5" s="62"/>
      <x:c r="J5" s="62"/>
      <x:c r="K5" s="62"/>
      <x:c r="L5" s="62"/>
    </x:row>
    <x:row r="6" ht="36" customHeight="1">
      <x:c r="A6" s="64" t="str">
        <x:v>目标起始级</x:v>
      </x:c>
      <x:c r="B6" s="64" t="str">
        <x:v>当前石头</x:v>
      </x:c>
      <x:c r="C6" s="64" t="str">
        <x:v>当前金币倍率</x:v>
      </x:c>
      <x:c r="D6" s="64" t="str">
        <x:v>试算石头</x:v>
      </x:c>
      <x:c r="E6" s="64" t="str">
        <x:v>试算金币倍率</x:v>
      </x:c>
      <x:c r="F6" s="64" t="str">
        <x:v>采用石头</x:v>
      </x:c>
      <x:c r="G6" s="64" t="str">
        <x:v>采用金币倍率</x:v>
      </x:c>
      <x:c r="H6" s="62"/>
      <x:c r="I6" s="62"/>
      <x:c r="J6" s="62"/>
      <x:c r="K6" s="62"/>
      <x:c r="L6" s="62"/>
    </x:row>
    <x:row r="7" ht="23" customHeight="1">
      <x:c r="A7" s="62" t="n">
        <x:v>1</x:v>
      </x:c>
      <x:c r="B7" s="62" t="n">
        <x:v>1</x:v>
      </x:c>
      <x:c r="C7" s="62" t="n">
        <x:v>1</x:v>
      </x:c>
      <x:c r="D7" s="106" t="n">
        <x:v>1</x:v>
      </x:c>
      <x:c r="E7" s="106" t="n">
        <x:v>1</x:v>
      </x:c>
      <x:c r="F7" s="62" t="n">
        <x:f>IF('使用说明'!$B$4=0,B7,D7)</x:f>
        <x:v>1</x:v>
      </x:c>
      <x:c r="G7" s="62" t="n">
        <x:f>IF('使用说明'!$B$4=0,C7,E7)</x:f>
        <x:v>1</x:v>
      </x:c>
      <x:c r="H7" s="62"/>
      <x:c r="I7" s="62"/>
      <x:c r="J7" s="62"/>
      <x:c r="K7" s="62"/>
      <x:c r="L7" s="62"/>
    </x:row>
    <x:row r="8" ht="23" customHeight="1">
      <x:c r="A8" s="62" t="n">
        <x:v>4</x:v>
      </x:c>
      <x:c r="B8" s="62" t="n">
        <x:v>2</x:v>
      </x:c>
      <x:c r="C8" s="62" t="n">
        <x:v>1.15</x:v>
      </x:c>
      <x:c r="D8" s="106" t="n">
        <x:v>2</x:v>
      </x:c>
      <x:c r="E8" s="106" t="n">
        <x:v>1.15</x:v>
      </x:c>
      <x:c r="F8" s="62" t="n">
        <x:f>IF('使用说明'!$B$4=0,B8,D8)</x:f>
        <x:v>2</x:v>
      </x:c>
      <x:c r="G8" s="62" t="n">
        <x:f>IF('使用说明'!$B$4=0,C8,E8)</x:f>
        <x:v>1.15</x:v>
      </x:c>
      <x:c r="H8" s="62"/>
      <x:c r="I8" s="62"/>
      <x:c r="J8" s="62"/>
      <x:c r="K8" s="62"/>
      <x:c r="L8" s="62"/>
    </x:row>
    <x:row r="9" ht="23" customHeight="1">
      <x:c r="A9" s="62" t="n">
        <x:v>6</x:v>
      </x:c>
      <x:c r="B9" s="62" t="n">
        <x:v>3</x:v>
      </x:c>
      <x:c r="C9" s="62" t="n">
        <x:v>1.4</x:v>
      </x:c>
      <x:c r="D9" s="106" t="n">
        <x:v>3</x:v>
      </x:c>
      <x:c r="E9" s="106" t="n">
        <x:v>1.4</x:v>
      </x:c>
      <x:c r="F9" s="62" t="n">
        <x:f>IF('使用说明'!$B$4=0,B9,D9)</x:f>
        <x:v>3</x:v>
      </x:c>
      <x:c r="G9" s="62" t="n">
        <x:f>IF('使用说明'!$B$4=0,C9,E9)</x:f>
        <x:v>1.4</x:v>
      </x:c>
      <x:c r="H9" s="62"/>
      <x:c r="I9" s="62"/>
      <x:c r="J9" s="62"/>
      <x:c r="K9" s="62"/>
      <x:c r="L9" s="62"/>
    </x:row>
    <x:row r="10" ht="23" customHeight="1">
      <x:c r="A10" s="62" t="n">
        <x:v>11</x:v>
      </x:c>
      <x:c r="B10" s="62" t="n">
        <x:v>5</x:v>
      </x:c>
      <x:c r="C10" s="62" t="n">
        <x:v>1.85</x:v>
      </x:c>
      <x:c r="D10" s="106" t="n">
        <x:v>5</x:v>
      </x:c>
      <x:c r="E10" s="106" t="n">
        <x:v>1.85</x:v>
      </x:c>
      <x:c r="F10" s="62" t="n">
        <x:f>IF('使用说明'!$B$4=0,B10,D10)</x:f>
        <x:v>5</x:v>
      </x:c>
      <x:c r="G10" s="62" t="n">
        <x:f>IF('使用说明'!$B$4=0,C10,E10)</x:f>
        <x:v>1.85</x:v>
      </x:c>
      <x:c r="H10" s="62"/>
      <x:c r="I10" s="62"/>
      <x:c r="J10" s="62"/>
      <x:c r="K10" s="62"/>
      <x:c r="L10" s="62"/>
    </x:row>
    <x:row r="11" ht="23" customHeight="1">
      <x:c r="A11" s="62" t="n">
        <x:v>16</x:v>
      </x:c>
      <x:c r="B11" s="62" t="n">
        <x:v>8</x:v>
      </x:c>
      <x:c r="C11" s="62" t="n">
        <x:v>2.35</x:v>
      </x:c>
      <x:c r="D11" s="106" t="n">
        <x:v>8</x:v>
      </x:c>
      <x:c r="E11" s="106" t="n">
        <x:v>2.35</x:v>
      </x:c>
      <x:c r="F11" s="62" t="n">
        <x:f>IF('使用说明'!$B$4=0,B11,D11)</x:f>
        <x:v>8</x:v>
      </x:c>
      <x:c r="G11" s="62" t="n">
        <x:f>IF('使用说明'!$B$4=0,C11,E11)</x:f>
        <x:v>2.35</x:v>
      </x:c>
      <x:c r="H11" s="62"/>
      <x:c r="I11" s="62"/>
      <x:c r="J11" s="62"/>
      <x:c r="K11" s="62"/>
      <x:c r="L11" s="62"/>
    </x:row>
    <x:row r="12" ht="23" customHeight="1">
      <x:c r="A12" s="62" t="n">
        <x:v>21</x:v>
      </x:c>
      <x:c r="B12" s="62" t="n">
        <x:v>12</x:v>
      </x:c>
      <x:c r="C12" s="62" t="n">
        <x:v>3</x:v>
      </x:c>
      <x:c r="D12" s="106" t="n">
        <x:v>12</x:v>
      </x:c>
      <x:c r="E12" s="106" t="n">
        <x:v>3</x:v>
      </x:c>
      <x:c r="F12" s="62" t="n">
        <x:f>IF('使用说明'!$B$4=0,B12,D12)</x:f>
        <x:v>12</x:v>
      </x:c>
      <x:c r="G12" s="62" t="n">
        <x:f>IF('使用说明'!$B$4=0,C12,E12)</x:f>
        <x:v>3</x:v>
      </x:c>
      <x:c r="H12" s="62"/>
      <x:c r="I12" s="62"/>
      <x:c r="J12" s="62"/>
      <x:c r="K12" s="62"/>
      <x:c r="L12" s="62"/>
    </x:row>
    <x:row r="13" ht="23" customHeight="1">
      <x:c r="A13" s="62" t="n">
        <x:v>26</x:v>
      </x:c>
      <x:c r="B13" s="62" t="n">
        <x:v>18</x:v>
      </x:c>
      <x:c r="C13" s="62" t="n">
        <x:v>3.8</x:v>
      </x:c>
      <x:c r="D13" s="106" t="n">
        <x:v>18</x:v>
      </x:c>
      <x:c r="E13" s="106" t="n">
        <x:v>3.8</x:v>
      </x:c>
      <x:c r="F13" s="62" t="n">
        <x:f>IF('使用说明'!$B$4=0,B13,D13)</x:f>
        <x:v>18</x:v>
      </x:c>
      <x:c r="G13" s="62" t="n">
        <x:f>IF('使用说明'!$B$4=0,C13,E13)</x:f>
        <x:v>3.8</x:v>
      </x:c>
      <x:c r="H13" s="62"/>
      <x:c r="I13" s="62"/>
      <x:c r="J13" s="62"/>
      <x:c r="K13" s="62"/>
      <x:c r="L13" s="62"/>
    </x:row>
    <x:row r="14" ht="23" customHeight="1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</x:row>
    <x:row r="15" ht="23" customHeight="1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</x:row>
    <x:row r="16" ht="23" customHeight="1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</x:row>
    <x:row r="17" ht="23" customHeight="1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</x:row>
    <x:row r="18" ht="36" customHeight="1">
      <x:c r="A18" s="64" t="str">
        <x:v>目标等级</x:v>
      </x:c>
      <x:c r="B18" s="64" t="str">
        <x:v>材料/次</x:v>
      </x:c>
      <x:c r="C18" s="64" t="str">
        <x:v>金币/次</x:v>
      </x:c>
      <x:c r="D18" s="64" t="str">
        <x:v>当前成功率</x:v>
      </x:c>
      <x:c r="E18" s="64" t="str">
        <x:v>试算成功率</x:v>
      </x:c>
      <x:c r="F18" s="64" t="str">
        <x:v>采用成功率</x:v>
      </x:c>
      <x:c r="G18" s="64" t="str">
        <x:v>材料期望/级</x:v>
      </x:c>
      <x:c r="H18" s="64" t="str">
        <x:v>金币期望/级</x:v>
      </x:c>
      <x:c r="I18" s="64" t="str">
        <x:v>累计材料/槽</x:v>
      </x:c>
      <x:c r="J18" s="64" t="str">
        <x:v>累计金币/槽</x:v>
      </x:c>
      <x:c r="K18" s="64" t="str">
        <x:v>18槽累计材料</x:v>
      </x:c>
      <x:c r="L18" s="64" t="str">
        <x:v>18槽累计金币</x:v>
      </x:c>
    </x:row>
    <x:row r="19" ht="23" customHeight="1">
      <x:c r="A19" s="119" t="n">
        <x:v>1</x:v>
      </x:c>
      <x:c r="B19" s="119" t="n">
        <x:f>VLOOKUP(A19,$A$7:$G$13,6,TRUE)</x:f>
        <x:v>1</x:v>
      </x:c>
      <x:c r="C19" s="119" t="n">
        <x:f>ROUNDUP(('经济参数'!$E$54+(A19-1)*'经济参数'!$E$55)*VLOOKUP(A19,$A$7:$G$13,7,TRUE),0)</x:f>
        <x:v>400</x:v>
      </x:c>
      <x:c r="D19" s="110" t="n">
        <x:v>1</x:v>
      </x:c>
      <x:c r="E19" s="113" t="n">
        <x:v>1</x:v>
      </x:c>
      <x:c r="F19" s="110" t="n">
        <x:f>IF('使用说明'!$B$4=0,D19,E19)</x:f>
        <x:v>1</x:v>
      </x:c>
      <x:c r="G19" s="62" t="n">
        <x:f>IFERROR(B19/F19,0)</x:f>
        <x:v>1</x:v>
      </x:c>
      <x:c r="H19" s="62" t="n">
        <x:f>IFERROR(C19/F19,0)</x:f>
        <x:v>400</x:v>
      </x:c>
      <x:c r="I19" s="62" t="n">
        <x:f>SUM(G$19:G19)</x:f>
        <x:v>1</x:v>
      </x:c>
      <x:c r="J19" s="62" t="n">
        <x:f>SUM(H$19:H19)</x:f>
        <x:v>400</x:v>
      </x:c>
      <x:c r="K19" s="62" t="n">
        <x:f>I19*18</x:f>
        <x:v>18</x:v>
      </x:c>
      <x:c r="L19" s="62" t="n">
        <x:f>J19*18</x:f>
        <x:v>7200</x:v>
      </x:c>
    </x:row>
    <x:row r="20" ht="23" customHeight="1">
      <x:c r="A20" s="119" t="n">
        <x:v>2</x:v>
      </x:c>
      <x:c r="B20" s="119" t="n">
        <x:f>VLOOKUP(A20,$A$7:$G$13,6,TRUE)</x:f>
        <x:v>1</x:v>
      </x:c>
      <x:c r="C20" s="119" t="n">
        <x:f>ROUNDUP(('经济参数'!$E$54+(A20-1)*'经济参数'!$E$55)*VLOOKUP(A20,$A$7:$G$13,7,TRUE),0)</x:f>
        <x:v>560</x:v>
      </x:c>
      <x:c r="D20" s="110" t="n">
        <x:v>1</x:v>
      </x:c>
      <x:c r="E20" s="113" t="n">
        <x:v>1</x:v>
      </x:c>
      <x:c r="F20" s="110" t="n">
        <x:f>IF('使用说明'!$B$4=0,D20,E20)</x:f>
        <x:v>1</x:v>
      </x:c>
      <x:c r="G20" s="62" t="n">
        <x:f>IFERROR(B20/F20,0)</x:f>
        <x:v>1</x:v>
      </x:c>
      <x:c r="H20" s="62" t="n">
        <x:f>IFERROR(C20/F20,0)</x:f>
        <x:v>560</x:v>
      </x:c>
      <x:c r="I20" s="62" t="n">
        <x:f>SUM(G$19:G20)</x:f>
        <x:v>2</x:v>
      </x:c>
      <x:c r="J20" s="62" t="n">
        <x:f>SUM(H$19:H20)</x:f>
        <x:v>960</x:v>
      </x:c>
      <x:c r="K20" s="62" t="n">
        <x:f>I20*18</x:f>
        <x:v>36</x:v>
      </x:c>
      <x:c r="L20" s="62" t="n">
        <x:f>J20*18</x:f>
        <x:v>17280</x:v>
      </x:c>
    </x:row>
    <x:row r="21" ht="23" customHeight="1">
      <x:c r="A21" s="119" t="n">
        <x:v>3</x:v>
      </x:c>
      <x:c r="B21" s="119" t="n">
        <x:f>VLOOKUP(A21,$A$7:$G$13,6,TRUE)</x:f>
        <x:v>1</x:v>
      </x:c>
      <x:c r="C21" s="119" t="n">
        <x:f>ROUNDUP(('经济参数'!$E$54+(A21-1)*'经济参数'!$E$55)*VLOOKUP(A21,$A$7:$G$13,7,TRUE),0)</x:f>
        <x:v>720</x:v>
      </x:c>
      <x:c r="D21" s="110" t="n">
        <x:v>1</x:v>
      </x:c>
      <x:c r="E21" s="113" t="n">
        <x:v>1</x:v>
      </x:c>
      <x:c r="F21" s="110" t="n">
        <x:f>IF('使用说明'!$B$4=0,D21,E21)</x:f>
        <x:v>1</x:v>
      </x:c>
      <x:c r="G21" s="62" t="n">
        <x:f>IFERROR(B21/F21,0)</x:f>
        <x:v>1</x:v>
      </x:c>
      <x:c r="H21" s="62" t="n">
        <x:f>IFERROR(C21/F21,0)</x:f>
        <x:v>720</x:v>
      </x:c>
      <x:c r="I21" s="62" t="n">
        <x:f>SUM(G$19:G21)</x:f>
        <x:v>3</x:v>
      </x:c>
      <x:c r="J21" s="62" t="n">
        <x:f>SUM(H$19:H21)</x:f>
        <x:v>1680</x:v>
      </x:c>
      <x:c r="K21" s="62" t="n">
        <x:f>I21*18</x:f>
        <x:v>54</x:v>
      </x:c>
      <x:c r="L21" s="62" t="n">
        <x:f>J21*18</x:f>
        <x:v>30240</x:v>
      </x:c>
    </x:row>
    <x:row r="22" ht="23" customHeight="1">
      <x:c r="A22" s="119" t="n">
        <x:v>4</x:v>
      </x:c>
      <x:c r="B22" s="119" t="n">
        <x:f>VLOOKUP(A22,$A$7:$G$13,6,TRUE)</x:f>
        <x:v>2</x:v>
      </x:c>
      <x:c r="C22" s="119" t="n">
        <x:f>ROUNDUP(('经济参数'!$E$54+(A22-1)*'经济参数'!$E$55)*VLOOKUP(A22,$A$7:$G$13,7,TRUE),0)</x:f>
        <x:v>1012</x:v>
      </x:c>
      <x:c r="D22" s="110" t="n">
        <x:v>0.8</x:v>
      </x:c>
      <x:c r="E22" s="113" t="n">
        <x:v>0.8</x:v>
      </x:c>
      <x:c r="F22" s="110" t="n">
        <x:f>IF('使用说明'!$B$4=0,D22,E22)</x:f>
        <x:v>0.8</x:v>
      </x:c>
      <x:c r="G22" s="62" t="n">
        <x:f>IFERROR(B22/F22,0)</x:f>
        <x:v>2.5</x:v>
      </x:c>
      <x:c r="H22" s="62" t="n">
        <x:f>IFERROR(C22/F22,0)</x:f>
        <x:v>1265</x:v>
      </x:c>
      <x:c r="I22" s="62" t="n">
        <x:f>SUM(G$19:G22)</x:f>
        <x:v>5.5</x:v>
      </x:c>
      <x:c r="J22" s="62" t="n">
        <x:f>SUM(H$19:H22)</x:f>
        <x:v>2945</x:v>
      </x:c>
      <x:c r="K22" s="62" t="n">
        <x:f>I22*18</x:f>
        <x:v>99</x:v>
      </x:c>
      <x:c r="L22" s="62" t="n">
        <x:f>J22*18</x:f>
        <x:v>53010</x:v>
      </x:c>
    </x:row>
    <x:row r="23" ht="23" customHeight="1">
      <x:c r="A23" s="119" t="n">
        <x:v>5</x:v>
      </x:c>
      <x:c r="B23" s="119" t="n">
        <x:f>VLOOKUP(A23,$A$7:$G$13,6,TRUE)</x:f>
        <x:v>2</x:v>
      </x:c>
      <x:c r="C23" s="119" t="n">
        <x:f>ROUNDUP(('经济参数'!$E$54+(A23-1)*'经济参数'!$E$55)*VLOOKUP(A23,$A$7:$G$13,7,TRUE),0)</x:f>
        <x:v>1196</x:v>
      </x:c>
      <x:c r="D23" s="110" t="n">
        <x:v>0.8</x:v>
      </x:c>
      <x:c r="E23" s="113" t="n">
        <x:v>0.8</x:v>
      </x:c>
      <x:c r="F23" s="110" t="n">
        <x:f>IF('使用说明'!$B$4=0,D23,E23)</x:f>
        <x:v>0.8</x:v>
      </x:c>
      <x:c r="G23" s="62" t="n">
        <x:f>IFERROR(B23/F23,0)</x:f>
        <x:v>2.5</x:v>
      </x:c>
      <x:c r="H23" s="62" t="n">
        <x:f>IFERROR(C23/F23,0)</x:f>
        <x:v>1495</x:v>
      </x:c>
      <x:c r="I23" s="62" t="n">
        <x:f>SUM(G$19:G23)</x:f>
        <x:v>8</x:v>
      </x:c>
      <x:c r="J23" s="62" t="n">
        <x:f>SUM(H$19:H23)</x:f>
        <x:v>4440</x:v>
      </x:c>
      <x:c r="K23" s="62" t="n">
        <x:f>I23*18</x:f>
        <x:v>144</x:v>
      </x:c>
      <x:c r="L23" s="62" t="n">
        <x:f>J23*18</x:f>
        <x:v>79920</x:v>
      </x:c>
    </x:row>
    <x:row r="24" ht="23" customHeight="1">
      <x:c r="A24" s="119" t="n">
        <x:v>6</x:v>
      </x:c>
      <x:c r="B24" s="119" t="n">
        <x:f>VLOOKUP(A24,$A$7:$G$13,6,TRUE)</x:f>
        <x:v>3</x:v>
      </x:c>
      <x:c r="C24" s="119" t="n">
        <x:f>ROUNDUP(('经济参数'!$E$54+(A24-1)*'经济参数'!$E$55)*VLOOKUP(A24,$A$7:$G$13,7,TRUE),0)</x:f>
        <x:v>1680</x:v>
      </x:c>
      <x:c r="D24" s="110" t="n">
        <x:v>0.6</x:v>
      </x:c>
      <x:c r="E24" s="113" t="n">
        <x:v>0.6</x:v>
      </x:c>
      <x:c r="F24" s="110" t="n">
        <x:f>IF('使用说明'!$B$4=0,D24,E24)</x:f>
        <x:v>0.6</x:v>
      </x:c>
      <x:c r="G24" s="62" t="n">
        <x:f>IFERROR(B24/F24,0)</x:f>
        <x:v>5</x:v>
      </x:c>
      <x:c r="H24" s="62" t="n">
        <x:f>IFERROR(C24/F24,0)</x:f>
        <x:v>2800</x:v>
      </x:c>
      <x:c r="I24" s="62" t="n">
        <x:f>SUM(G$19:G24)</x:f>
        <x:v>13</x:v>
      </x:c>
      <x:c r="J24" s="62" t="n">
        <x:f>SUM(H$19:H24)</x:f>
        <x:v>7240</x:v>
      </x:c>
      <x:c r="K24" s="62" t="n">
        <x:f>I24*18</x:f>
        <x:v>234</x:v>
      </x:c>
      <x:c r="L24" s="62" t="n">
        <x:f>J24*18</x:f>
        <x:v>130320</x:v>
      </x:c>
    </x:row>
    <x:row r="25" ht="23" customHeight="1">
      <x:c r="A25" s="119" t="n">
        <x:v>7</x:v>
      </x:c>
      <x:c r="B25" s="119" t="n">
        <x:f>VLOOKUP(A25,$A$7:$G$13,6,TRUE)</x:f>
        <x:v>3</x:v>
      </x:c>
      <x:c r="C25" s="119" t="n">
        <x:f>ROUNDUP(('经济参数'!$E$54+(A25-1)*'经济参数'!$E$55)*VLOOKUP(A25,$A$7:$G$13,7,TRUE),0)</x:f>
        <x:v>1904</x:v>
      </x:c>
      <x:c r="D25" s="110" t="n">
        <x:v>0.6</x:v>
      </x:c>
      <x:c r="E25" s="113" t="n">
        <x:v>0.6</x:v>
      </x:c>
      <x:c r="F25" s="110" t="n">
        <x:f>IF('使用说明'!$B$4=0,D25,E25)</x:f>
        <x:v>0.6</x:v>
      </x:c>
      <x:c r="G25" s="62" t="n">
        <x:f>IFERROR(B25/F25,0)</x:f>
        <x:v>5</x:v>
      </x:c>
      <x:c r="H25" s="62" t="n">
        <x:f>IFERROR(C25/F25,0)</x:f>
        <x:v>3173.3333333333335</x:v>
      </x:c>
      <x:c r="I25" s="62" t="n">
        <x:f>SUM(G$19:G25)</x:f>
        <x:v>18</x:v>
      </x:c>
      <x:c r="J25" s="62" t="n">
        <x:f>SUM(H$19:H25)</x:f>
        <x:v>10413.333333333334</x:v>
      </x:c>
      <x:c r="K25" s="62" t="n">
        <x:f>I25*18</x:f>
        <x:v>324</x:v>
      </x:c>
      <x:c r="L25" s="62" t="n">
        <x:f>J25*18</x:f>
        <x:v>187440</x:v>
      </x:c>
    </x:row>
    <x:row r="26" ht="23" customHeight="1">
      <x:c r="A26" s="119" t="n">
        <x:v>8</x:v>
      </x:c>
      <x:c r="B26" s="119" t="n">
        <x:f>VLOOKUP(A26,$A$7:$G$13,6,TRUE)</x:f>
        <x:v>3</x:v>
      </x:c>
      <x:c r="C26" s="119" t="n">
        <x:f>ROUNDUP(('经济参数'!$E$54+(A26-1)*'经济参数'!$E$55)*VLOOKUP(A26,$A$7:$G$13,7,TRUE),0)</x:f>
        <x:v>2128</x:v>
      </x:c>
      <x:c r="D26" s="110" t="n">
        <x:v>0.6</x:v>
      </x:c>
      <x:c r="E26" s="113" t="n">
        <x:v>0.6</x:v>
      </x:c>
      <x:c r="F26" s="110" t="n">
        <x:f>IF('使用说明'!$B$4=0,D26,E26)</x:f>
        <x:v>0.6</x:v>
      </x:c>
      <x:c r="G26" s="62" t="n">
        <x:f>IFERROR(B26/F26,0)</x:f>
        <x:v>5</x:v>
      </x:c>
      <x:c r="H26" s="62" t="n">
        <x:f>IFERROR(C26/F26,0)</x:f>
        <x:v>3546.666666666667</x:v>
      </x:c>
      <x:c r="I26" s="62" t="n">
        <x:f>SUM(G$19:G26)</x:f>
        <x:v>23</x:v>
      </x:c>
      <x:c r="J26" s="62" t="n">
        <x:f>SUM(H$19:H26)</x:f>
        <x:v>13960</x:v>
      </x:c>
      <x:c r="K26" s="62" t="n">
        <x:f>I26*18</x:f>
        <x:v>414</x:v>
      </x:c>
      <x:c r="L26" s="62" t="n">
        <x:f>J26*18</x:f>
        <x:v>251280</x:v>
      </x:c>
    </x:row>
    <x:row r="27" ht="23" customHeight="1">
      <x:c r="A27" s="119" t="n">
        <x:v>9</x:v>
      </x:c>
      <x:c r="B27" s="119" t="n">
        <x:f>VLOOKUP(A27,$A$7:$G$13,6,TRUE)</x:f>
        <x:v>3</x:v>
      </x:c>
      <x:c r="C27" s="119" t="n">
        <x:f>ROUNDUP(('经济参数'!$E$54+(A27-1)*'经济参数'!$E$55)*VLOOKUP(A27,$A$7:$G$13,7,TRUE),0)</x:f>
        <x:v>2352</x:v>
      </x:c>
      <x:c r="D27" s="110" t="n">
        <x:v>0.6</x:v>
      </x:c>
      <x:c r="E27" s="113" t="n">
        <x:v>0.6</x:v>
      </x:c>
      <x:c r="F27" s="110" t="n">
        <x:f>IF('使用说明'!$B$4=0,D27,E27)</x:f>
        <x:v>0.6</x:v>
      </x:c>
      <x:c r="G27" s="62" t="n">
        <x:f>IFERROR(B27/F27,0)</x:f>
        <x:v>5</x:v>
      </x:c>
      <x:c r="H27" s="62" t="n">
        <x:f>IFERROR(C27/F27,0)</x:f>
        <x:v>3920</x:v>
      </x:c>
      <x:c r="I27" s="62" t="n">
        <x:f>SUM(G$19:G27)</x:f>
        <x:v>28</x:v>
      </x:c>
      <x:c r="J27" s="62" t="n">
        <x:f>SUM(H$19:H27)</x:f>
        <x:v>17880</x:v>
      </x:c>
      <x:c r="K27" s="62" t="n">
        <x:f>I27*18</x:f>
        <x:v>504</x:v>
      </x:c>
      <x:c r="L27" s="62" t="n">
        <x:f>J27*18</x:f>
        <x:v>321840</x:v>
      </x:c>
    </x:row>
    <x:row r="28" ht="23" customHeight="1">
      <x:c r="A28" s="119" t="n">
        <x:v>10</x:v>
      </x:c>
      <x:c r="B28" s="119" t="n">
        <x:f>VLOOKUP(A28,$A$7:$G$13,6,TRUE)</x:f>
        <x:v>3</x:v>
      </x:c>
      <x:c r="C28" s="119" t="n">
        <x:f>ROUNDUP(('经济参数'!$E$54+(A28-1)*'经济参数'!$E$55)*VLOOKUP(A28,$A$7:$G$13,7,TRUE),0)</x:f>
        <x:v>2576</x:v>
      </x:c>
      <x:c r="D28" s="110" t="n">
        <x:v>0.6</x:v>
      </x:c>
      <x:c r="E28" s="113" t="n">
        <x:v>0.6</x:v>
      </x:c>
      <x:c r="F28" s="110" t="n">
        <x:f>IF('使用说明'!$B$4=0,D28,E28)</x:f>
        <x:v>0.6</x:v>
      </x:c>
      <x:c r="G28" s="62" t="n">
        <x:f>IFERROR(B28/F28,0)</x:f>
        <x:v>5</x:v>
      </x:c>
      <x:c r="H28" s="62" t="n">
        <x:f>IFERROR(C28/F28,0)</x:f>
        <x:v>4293.333333333334</x:v>
      </x:c>
      <x:c r="I28" s="62" t="n">
        <x:f>SUM(G$19:G28)</x:f>
        <x:v>33</x:v>
      </x:c>
      <x:c r="J28" s="62" t="n">
        <x:f>SUM(H$19:H28)</x:f>
        <x:v>22173.333333333336</x:v>
      </x:c>
      <x:c r="K28" s="62" t="n">
        <x:f>I28*18</x:f>
        <x:v>594</x:v>
      </x:c>
      <x:c r="L28" s="62" t="n">
        <x:f>J28*18</x:f>
        <x:v>399120.00000000006</x:v>
      </x:c>
    </x:row>
    <x:row r="29" ht="23" customHeight="1">
      <x:c r="A29" s="119" t="n">
        <x:v>11</x:v>
      </x:c>
      <x:c r="B29" s="119" t="n">
        <x:f>VLOOKUP(A29,$A$7:$G$13,6,TRUE)</x:f>
        <x:v>5</x:v>
      </x:c>
      <x:c r="C29" s="119" t="n">
        <x:f>ROUNDUP(('经济参数'!$E$54+(A29-1)*'经济参数'!$E$55)*VLOOKUP(A29,$A$7:$G$13,7,TRUE),0)</x:f>
        <x:v>3700</x:v>
      </x:c>
      <x:c r="D29" s="110" t="n">
        <x:v>0.45</x:v>
      </x:c>
      <x:c r="E29" s="113" t="n">
        <x:v>0.25</x:v>
      </x:c>
      <x:c r="F29" s="110" t="n">
        <x:f>IF('使用说明'!$B$4=0,D29,E29)</x:f>
        <x:v>0.45</x:v>
      </x:c>
      <x:c r="G29" s="62" t="n">
        <x:f>IFERROR(B29/F29,0)</x:f>
        <x:v>11.11111111111111</x:v>
      </x:c>
      <x:c r="H29" s="62" t="n">
        <x:f>IFERROR(C29/F29,0)</x:f>
        <x:v>8222.222222222223</x:v>
      </x:c>
      <x:c r="I29" s="62" t="n">
        <x:f>SUM(G$19:G29)</x:f>
        <x:v>44.111111111111114</x:v>
      </x:c>
      <x:c r="J29" s="62" t="n">
        <x:f>SUM(H$19:H29)</x:f>
        <x:v>30395.55555555556</x:v>
      </x:c>
      <x:c r="K29" s="62" t="n">
        <x:f>I29*18</x:f>
        <x:v>794</x:v>
      </x:c>
      <x:c r="L29" s="62" t="n">
        <x:f>J29*18</x:f>
        <x:v>547120</x:v>
      </x:c>
    </x:row>
    <x:row r="30" ht="23" customHeight="1">
      <x:c r="A30" s="119" t="n">
        <x:v>12</x:v>
      </x:c>
      <x:c r="B30" s="119" t="n">
        <x:f>VLOOKUP(A30,$A$7:$G$13,6,TRUE)</x:f>
        <x:v>5</x:v>
      </x:c>
      <x:c r="C30" s="119" t="n">
        <x:f>ROUNDUP(('经济参数'!$E$54+(A30-1)*'经济参数'!$E$55)*VLOOKUP(A30,$A$7:$G$13,7,TRUE),0)</x:f>
        <x:v>3996</x:v>
      </x:c>
      <x:c r="D30" s="110" t="n">
        <x:v>0.45</x:v>
      </x:c>
      <x:c r="E30" s="113" t="n">
        <x:v>0.25</x:v>
      </x:c>
      <x:c r="F30" s="110" t="n">
        <x:f>IF('使用说明'!$B$4=0,D30,E30)</x:f>
        <x:v>0.45</x:v>
      </x:c>
      <x:c r="G30" s="62" t="n">
        <x:f>IFERROR(B30/F30,0)</x:f>
        <x:v>11.11111111111111</x:v>
      </x:c>
      <x:c r="H30" s="62" t="n">
        <x:f>IFERROR(C30/F30,0)</x:f>
        <x:v>8880</x:v>
      </x:c>
      <x:c r="I30" s="62" t="n">
        <x:f>SUM(G$19:G30)</x:f>
        <x:v>55.22222222222223</x:v>
      </x:c>
      <x:c r="J30" s="62" t="n">
        <x:f>SUM(H$19:H30)</x:f>
        <x:v>39275.55555555556</x:v>
      </x:c>
      <x:c r="K30" s="62" t="n">
        <x:f>I30*18</x:f>
        <x:v>994.0000000000001</x:v>
      </x:c>
      <x:c r="L30" s="62" t="n">
        <x:f>J30*18</x:f>
        <x:v>706960.0000000001</x:v>
      </x:c>
    </x:row>
    <x:row r="31" ht="23" customHeight="1">
      <x:c r="A31" s="119" t="n">
        <x:v>13</x:v>
      </x:c>
      <x:c r="B31" s="119" t="n">
        <x:f>VLOOKUP(A31,$A$7:$G$13,6,TRUE)</x:f>
        <x:v>5</x:v>
      </x:c>
      <x:c r="C31" s="119" t="n">
        <x:f>ROUNDUP(('经济参数'!$E$54+(A31-1)*'经济参数'!$E$55)*VLOOKUP(A31,$A$7:$G$13,7,TRUE),0)</x:f>
        <x:v>4292</x:v>
      </x:c>
      <x:c r="D31" s="110" t="n">
        <x:v>0.45</x:v>
      </x:c>
      <x:c r="E31" s="113" t="n">
        <x:v>0.25</x:v>
      </x:c>
      <x:c r="F31" s="110" t="n">
        <x:f>IF('使用说明'!$B$4=0,D31,E31)</x:f>
        <x:v>0.45</x:v>
      </x:c>
      <x:c r="G31" s="62" t="n">
        <x:f>IFERROR(B31/F31,0)</x:f>
        <x:v>11.11111111111111</x:v>
      </x:c>
      <x:c r="H31" s="62" t="n">
        <x:f>IFERROR(C31/F31,0)</x:f>
        <x:v>9537.777777777777</x:v>
      </x:c>
      <x:c r="I31" s="62" t="n">
        <x:f>SUM(G$19:G31)</x:f>
        <x:v>66.33333333333334</x:v>
      </x:c>
      <x:c r="J31" s="62" t="n">
        <x:f>SUM(H$19:H31)</x:f>
        <x:v>48813.33333333334</x:v>
      </x:c>
      <x:c r="K31" s="62" t="n">
        <x:f>I31*18</x:f>
        <x:v>1194.0000000000002</x:v>
      </x:c>
      <x:c r="L31" s="62" t="n">
        <x:f>J31*18</x:f>
        <x:v>878640.0000000002</x:v>
      </x:c>
    </x:row>
    <x:row r="32" ht="23" customHeight="1">
      <x:c r="A32" s="119" t="n">
        <x:v>14</x:v>
      </x:c>
      <x:c r="B32" s="119" t="n">
        <x:f>VLOOKUP(A32,$A$7:$G$13,6,TRUE)</x:f>
        <x:v>5</x:v>
      </x:c>
      <x:c r="C32" s="119" t="n">
        <x:f>ROUNDUP(('经济参数'!$E$54+(A32-1)*'经济参数'!$E$55)*VLOOKUP(A32,$A$7:$G$13,7,TRUE),0)</x:f>
        <x:v>4588</x:v>
      </x:c>
      <x:c r="D32" s="110" t="n">
        <x:v>0.45</x:v>
      </x:c>
      <x:c r="E32" s="113" t="n">
        <x:v>0.25</x:v>
      </x:c>
      <x:c r="F32" s="110" t="n">
        <x:f>IF('使用说明'!$B$4=0,D32,E32)</x:f>
        <x:v>0.45</x:v>
      </x:c>
      <x:c r="G32" s="62" t="n">
        <x:f>IFERROR(B32/F32,0)</x:f>
        <x:v>11.11111111111111</x:v>
      </x:c>
      <x:c r="H32" s="62" t="n">
        <x:f>IFERROR(C32/F32,0)</x:f>
        <x:v>10195.555555555555</x:v>
      </x:c>
      <x:c r="I32" s="62" t="n">
        <x:f>SUM(G$19:G32)</x:f>
        <x:v>77.44444444444446</x:v>
      </x:c>
      <x:c r="J32" s="62" t="n">
        <x:f>SUM(H$19:H32)</x:f>
        <x:v>59008.8888888889</x:v>
      </x:c>
      <x:c r="K32" s="62" t="n">
        <x:f>I32*18</x:f>
        <x:v>1394.0000000000002</x:v>
      </x:c>
      <x:c r="L32" s="62" t="n">
        <x:f>J32*18</x:f>
        <x:v>1062160.0000000002</x:v>
      </x:c>
    </x:row>
    <x:row r="33" ht="23" customHeight="1">
      <x:c r="A33" s="119" t="n">
        <x:v>15</x:v>
      </x:c>
      <x:c r="B33" s="119" t="n">
        <x:f>VLOOKUP(A33,$A$7:$G$13,6,TRUE)</x:f>
        <x:v>5</x:v>
      </x:c>
      <x:c r="C33" s="119" t="n">
        <x:f>ROUNDUP(('经济参数'!$E$54+(A33-1)*'经济参数'!$E$55)*VLOOKUP(A33,$A$7:$G$13,7,TRUE),0)</x:f>
        <x:v>4884</x:v>
      </x:c>
      <x:c r="D33" s="110" t="n">
        <x:v>0.45</x:v>
      </x:c>
      <x:c r="E33" s="113" t="n">
        <x:v>0.25</x:v>
      </x:c>
      <x:c r="F33" s="110" t="n">
        <x:f>IF('使用说明'!$B$4=0,D33,E33)</x:f>
        <x:v>0.45</x:v>
      </x:c>
      <x:c r="G33" s="62" t="n">
        <x:f>IFERROR(B33/F33,0)</x:f>
        <x:v>11.11111111111111</x:v>
      </x:c>
      <x:c r="H33" s="62" t="n">
        <x:f>IFERROR(C33/F33,0)</x:f>
        <x:v>10853.333333333334</x:v>
      </x:c>
      <x:c r="I33" s="62" t="n">
        <x:f>SUM(G$19:G33)</x:f>
        <x:v>88.55555555555557</x:v>
      </x:c>
      <x:c r="J33" s="62" t="n">
        <x:f>SUM(H$19:H33)</x:f>
        <x:v>69862.22222222223</x:v>
      </x:c>
      <x:c r="K33" s="62" t="n">
        <x:f>I33*18</x:f>
        <x:v>1594.0000000000002</x:v>
      </x:c>
      <x:c r="L33" s="62" t="n">
        <x:f>J33*18</x:f>
        <x:v>1257520.0000000002</x:v>
      </x:c>
    </x:row>
    <x:row r="34" ht="23" customHeight="1">
      <x:c r="A34" s="119" t="n">
        <x:v>16</x:v>
      </x:c>
      <x:c r="B34" s="119" t="n">
        <x:f>VLOOKUP(A34,$A$7:$G$13,6,TRUE)</x:f>
        <x:v>8</x:v>
      </x:c>
      <x:c r="C34" s="119" t="n">
        <x:f>ROUNDUP(('经济参数'!$E$54+(A34-1)*'经济参数'!$E$55)*VLOOKUP(A34,$A$7:$G$13,7,TRUE),0)</x:f>
        <x:v>6580</x:v>
      </x:c>
      <x:c r="D34" s="110" t="n">
        <x:v>0.35</x:v>
      </x:c>
      <x:c r="E34" s="113" t="n">
        <x:v>0.25</x:v>
      </x:c>
      <x:c r="F34" s="110" t="n">
        <x:f>IF('使用说明'!$B$4=0,D34,E34)</x:f>
        <x:v>0.35</x:v>
      </x:c>
      <x:c r="G34" s="62" t="n">
        <x:f>IFERROR(B34/F34,0)</x:f>
        <x:v>22.857142857142858</x:v>
      </x:c>
      <x:c r="H34" s="62" t="n">
        <x:f>IFERROR(C34/F34,0)</x:f>
        <x:v>18800</x:v>
      </x:c>
      <x:c r="I34" s="62" t="n">
        <x:f>SUM(G$19:G34)</x:f>
        <x:v>111.41269841269843</x:v>
      </x:c>
      <x:c r="J34" s="62" t="n">
        <x:f>SUM(H$19:H34)</x:f>
        <x:v>88662.22222222223</x:v>
      </x:c>
      <x:c r="K34" s="62" t="n">
        <x:f>I34*18</x:f>
        <x:v>2005.4285714285718</x:v>
      </x:c>
      <x:c r="L34" s="62" t="n">
        <x:f>J34*18</x:f>
        <x:v>1595920.0000000002</x:v>
      </x:c>
    </x:row>
    <x:row r="35" ht="23" customHeight="1">
      <x:c r="A35" s="119" t="n">
        <x:v>17</x:v>
      </x:c>
      <x:c r="B35" s="119" t="n">
        <x:f>VLOOKUP(A35,$A$7:$G$13,6,TRUE)</x:f>
        <x:v>8</x:v>
      </x:c>
      <x:c r="C35" s="119" t="n">
        <x:f>ROUNDUP(('经济参数'!$E$54+(A35-1)*'经济参数'!$E$55)*VLOOKUP(A35,$A$7:$G$13,7,TRUE),0)</x:f>
        <x:v>6956</x:v>
      </x:c>
      <x:c r="D35" s="110" t="n">
        <x:v>0.35</x:v>
      </x:c>
      <x:c r="E35" s="113" t="n">
        <x:v>0.25</x:v>
      </x:c>
      <x:c r="F35" s="110" t="n">
        <x:f>IF('使用说明'!$B$4=0,D35,E35)</x:f>
        <x:v>0.35</x:v>
      </x:c>
      <x:c r="G35" s="62" t="n">
        <x:f>IFERROR(B35/F35,0)</x:f>
        <x:v>22.857142857142858</x:v>
      </x:c>
      <x:c r="H35" s="62" t="n">
        <x:f>IFERROR(C35/F35,0)</x:f>
        <x:v>19874.285714285714</x:v>
      </x:c>
      <x:c r="I35" s="62" t="n">
        <x:f>SUM(G$19:G35)</x:f>
        <x:v>134.2698412698413</x:v>
      </x:c>
      <x:c r="J35" s="62" t="n">
        <x:f>SUM(H$19:H35)</x:f>
        <x:v>108536.50793650794</x:v>
      </x:c>
      <x:c r="K35" s="62" t="n">
        <x:f>I35*18</x:f>
        <x:v>2416.857142857143</x:v>
      </x:c>
      <x:c r="L35" s="62" t="n">
        <x:f>J35*18</x:f>
        <x:v>1953657.142857143</x:v>
      </x:c>
    </x:row>
    <x:row r="36" ht="23" customHeight="1">
      <x:c r="A36" s="119" t="n">
        <x:v>18</x:v>
      </x:c>
      <x:c r="B36" s="119" t="n">
        <x:f>VLOOKUP(A36,$A$7:$G$13,6,TRUE)</x:f>
        <x:v>8</x:v>
      </x:c>
      <x:c r="C36" s="119" t="n">
        <x:f>ROUNDUP(('经济参数'!$E$54+(A36-1)*'经济参数'!$E$55)*VLOOKUP(A36,$A$7:$G$13,7,TRUE),0)</x:f>
        <x:v>7332</x:v>
      </x:c>
      <x:c r="D36" s="110" t="n">
        <x:v>0.35</x:v>
      </x:c>
      <x:c r="E36" s="113" t="n">
        <x:v>0.25</x:v>
      </x:c>
      <x:c r="F36" s="110" t="n">
        <x:f>IF('使用说明'!$B$4=0,D36,E36)</x:f>
        <x:v>0.35</x:v>
      </x:c>
      <x:c r="G36" s="62" t="n">
        <x:f>IFERROR(B36/F36,0)</x:f>
        <x:v>22.857142857142858</x:v>
      </x:c>
      <x:c r="H36" s="62" t="n">
        <x:f>IFERROR(C36/F36,0)</x:f>
        <x:v>20948.57142857143</x:v>
      </x:c>
      <x:c r="I36" s="62" t="n">
        <x:f>SUM(G$19:G36)</x:f>
        <x:v>157.12698412698415</x:v>
      </x:c>
      <x:c r="J36" s="62" t="n">
        <x:f>SUM(H$19:H36)</x:f>
        <x:v>129485.07936507938</x:v>
      </x:c>
      <x:c r="K36" s="62" t="n">
        <x:f>I36*18</x:f>
        <x:v>2828.2857142857147</x:v>
      </x:c>
      <x:c r="L36" s="62" t="n">
        <x:f>J36*18</x:f>
        <x:v>2330731.4285714286</x:v>
      </x:c>
    </x:row>
    <x:row r="37" ht="23" customHeight="1">
      <x:c r="A37" s="119" t="n">
        <x:v>19</x:v>
      </x:c>
      <x:c r="B37" s="119" t="n">
        <x:f>VLOOKUP(A37,$A$7:$G$13,6,TRUE)</x:f>
        <x:v>8</x:v>
      </x:c>
      <x:c r="C37" s="119" t="n">
        <x:f>ROUNDUP(('经济参数'!$E$54+(A37-1)*'经济参数'!$E$55)*VLOOKUP(A37,$A$7:$G$13,7,TRUE),0)</x:f>
        <x:v>7708</x:v>
      </x:c>
      <x:c r="D37" s="110" t="n">
        <x:v>0.35</x:v>
      </x:c>
      <x:c r="E37" s="113" t="n">
        <x:v>0.25</x:v>
      </x:c>
      <x:c r="F37" s="110" t="n">
        <x:f>IF('使用说明'!$B$4=0,D37,E37)</x:f>
        <x:v>0.35</x:v>
      </x:c>
      <x:c r="G37" s="62" t="n">
        <x:f>IFERROR(B37/F37,0)</x:f>
        <x:v>22.857142857142858</x:v>
      </x:c>
      <x:c r="H37" s="62" t="n">
        <x:f>IFERROR(C37/F37,0)</x:f>
        <x:v>22022.857142857145</x:v>
      </x:c>
      <x:c r="I37" s="62" t="n">
        <x:f>SUM(G$19:G37)</x:f>
        <x:v>179.98412698412702</x:v>
      </x:c>
      <x:c r="J37" s="62" t="n">
        <x:f>SUM(H$19:H37)</x:f>
        <x:v>151507.9365079365</x:v>
      </x:c>
      <x:c r="K37" s="62" t="n">
        <x:f>I37*18</x:f>
        <x:v>3239.7142857142862</x:v>
      </x:c>
      <x:c r="L37" s="62" t="n">
        <x:f>J37*18</x:f>
        <x:v>2727142.8571428573</x:v>
      </x:c>
    </x:row>
    <x:row r="38" ht="23" customHeight="1">
      <x:c r="A38" s="119" t="n">
        <x:v>20</x:v>
      </x:c>
      <x:c r="B38" s="119" t="n">
        <x:f>VLOOKUP(A38,$A$7:$G$13,6,TRUE)</x:f>
        <x:v>8</x:v>
      </x:c>
      <x:c r="C38" s="119" t="n">
        <x:f>ROUNDUP(('经济参数'!$E$54+(A38-1)*'经济参数'!$E$55)*VLOOKUP(A38,$A$7:$G$13,7,TRUE),0)</x:f>
        <x:v>8084</x:v>
      </x:c>
      <x:c r="D38" s="110" t="n">
        <x:v>0.35</x:v>
      </x:c>
      <x:c r="E38" s="113" t="n">
        <x:v>0.25</x:v>
      </x:c>
      <x:c r="F38" s="110" t="n">
        <x:f>IF('使用说明'!$B$4=0,D38,E38)</x:f>
        <x:v>0.35</x:v>
      </x:c>
      <x:c r="G38" s="62" t="n">
        <x:f>IFERROR(B38/F38,0)</x:f>
        <x:v>22.857142857142858</x:v>
      </x:c>
      <x:c r="H38" s="62" t="n">
        <x:f>IFERROR(C38/F38,0)</x:f>
        <x:v>23097.14285714286</x:v>
      </x:c>
      <x:c r="I38" s="62" t="n">
        <x:f>SUM(G$19:G38)</x:f>
        <x:v>202.84126984126988</x:v>
      </x:c>
      <x:c r="J38" s="62" t="n">
        <x:f>SUM(H$19:H38)</x:f>
        <x:v>174605.07936507938</x:v>
      </x:c>
      <x:c r="K38" s="62" t="n">
        <x:f>I38*18</x:f>
        <x:v>3651.142857142858</x:v>
      </x:c>
      <x:c r="L38" s="62" t="n">
        <x:f>J38*18</x:f>
        <x:v>3142891.4285714286</x:v>
      </x:c>
    </x:row>
    <x:row r="39" ht="23" customHeight="1">
      <x:c r="A39" s="119" t="n">
        <x:v>21</x:v>
      </x:c>
      <x:c r="B39" s="119" t="n">
        <x:f>VLOOKUP(A39,$A$7:$G$13,6,TRUE)</x:f>
        <x:v>12</x:v>
      </x:c>
      <x:c r="C39" s="119" t="n">
        <x:f>ROUNDUP(('经济参数'!$E$54+(A39-1)*'经济参数'!$E$55)*VLOOKUP(A39,$A$7:$G$13,7,TRUE),0)</x:f>
        <x:v>10800</x:v>
      </x:c>
      <x:c r="D39" s="110" t="n">
        <x:v>0.25</x:v>
      </x:c>
      <x:c r="E39" s="113" t="n">
        <x:v>0.2</x:v>
      </x:c>
      <x:c r="F39" s="110" t="n">
        <x:f>IF('使用说明'!$B$4=0,D39,E39)</x:f>
        <x:v>0.25</x:v>
      </x:c>
      <x:c r="G39" s="62" t="n">
        <x:f>IFERROR(B39/F39,0)</x:f>
        <x:v>48</x:v>
      </x:c>
      <x:c r="H39" s="62" t="n">
        <x:f>IFERROR(C39/F39,0)</x:f>
        <x:v>43200</x:v>
      </x:c>
      <x:c r="I39" s="62" t="n">
        <x:f>SUM(G$19:G39)</x:f>
        <x:v>250.84126984126988</x:v>
      </x:c>
      <x:c r="J39" s="62" t="n">
        <x:f>SUM(H$19:H39)</x:f>
        <x:v>217805.07936507938</x:v>
      </x:c>
      <x:c r="K39" s="62" t="n">
        <x:f>I39*18</x:f>
        <x:v>4515.142857142858</x:v>
      </x:c>
      <x:c r="L39" s="62" t="n">
        <x:f>J39*18</x:f>
        <x:v>3920491.4285714286</x:v>
      </x:c>
    </x:row>
    <x:row r="40" ht="23" customHeight="1">
      <x:c r="A40" s="119" t="n">
        <x:v>22</x:v>
      </x:c>
      <x:c r="B40" s="119" t="n">
        <x:f>VLOOKUP(A40,$A$7:$G$13,6,TRUE)</x:f>
        <x:v>12</x:v>
      </x:c>
      <x:c r="C40" s="119" t="n">
        <x:f>ROUNDUP(('经济参数'!$E$54+(A40-1)*'经济参数'!$E$55)*VLOOKUP(A40,$A$7:$G$13,7,TRUE),0)</x:f>
        <x:v>11280</x:v>
      </x:c>
      <x:c r="D40" s="110" t="n">
        <x:v>0.25</x:v>
      </x:c>
      <x:c r="E40" s="113" t="n">
        <x:v>0.2</x:v>
      </x:c>
      <x:c r="F40" s="110" t="n">
        <x:f>IF('使用说明'!$B$4=0,D40,E40)</x:f>
        <x:v>0.25</x:v>
      </x:c>
      <x:c r="G40" s="62" t="n">
        <x:f>IFERROR(B40/F40,0)</x:f>
        <x:v>48</x:v>
      </x:c>
      <x:c r="H40" s="62" t="n">
        <x:f>IFERROR(C40/F40,0)</x:f>
        <x:v>45120</x:v>
      </x:c>
      <x:c r="I40" s="62" t="n">
        <x:f>SUM(G$19:G40)</x:f>
        <x:v>298.8412698412699</x:v>
      </x:c>
      <x:c r="J40" s="62" t="n">
        <x:f>SUM(H$19:H40)</x:f>
        <x:v>262925.0793650794</x:v>
      </x:c>
      <x:c r="K40" s="62" t="n">
        <x:f>I40*18</x:f>
        <x:v>5379.142857142858</x:v>
      </x:c>
      <x:c r="L40" s="62" t="n">
        <x:f>J40*18</x:f>
        <x:v>4732651.428571429</x:v>
      </x:c>
    </x:row>
    <x:row r="41" ht="23" customHeight="1">
      <x:c r="A41" s="119" t="n">
        <x:v>23</x:v>
      </x:c>
      <x:c r="B41" s="119" t="n">
        <x:f>VLOOKUP(A41,$A$7:$G$13,6,TRUE)</x:f>
        <x:v>12</x:v>
      </x:c>
      <x:c r="C41" s="119" t="n">
        <x:f>ROUNDUP(('经济参数'!$E$54+(A41-1)*'经济参数'!$E$55)*VLOOKUP(A41,$A$7:$G$13,7,TRUE),0)</x:f>
        <x:v>11760</x:v>
      </x:c>
      <x:c r="D41" s="110" t="n">
        <x:v>0.25</x:v>
      </x:c>
      <x:c r="E41" s="113" t="n">
        <x:v>0.2</x:v>
      </x:c>
      <x:c r="F41" s="110" t="n">
        <x:f>IF('使用说明'!$B$4=0,D41,E41)</x:f>
        <x:v>0.25</x:v>
      </x:c>
      <x:c r="G41" s="62" t="n">
        <x:f>IFERROR(B41/F41,0)</x:f>
        <x:v>48</x:v>
      </x:c>
      <x:c r="H41" s="62" t="n">
        <x:f>IFERROR(C41/F41,0)</x:f>
        <x:v>47040</x:v>
      </x:c>
      <x:c r="I41" s="62" t="n">
        <x:f>SUM(G$19:G41)</x:f>
        <x:v>346.8412698412699</x:v>
      </x:c>
      <x:c r="J41" s="62" t="n">
        <x:f>SUM(H$19:H41)</x:f>
        <x:v>309965.0793650794</x:v>
      </x:c>
      <x:c r="K41" s="62" t="n">
        <x:f>I41*18</x:f>
        <x:v>6243.142857142858</x:v>
      </x:c>
      <x:c r="L41" s="62" t="n">
        <x:f>J41*18</x:f>
        <x:v>5579371.428571429</x:v>
      </x:c>
    </x:row>
    <x:row r="42" ht="23" customHeight="1">
      <x:c r="A42" s="119" t="n">
        <x:v>24</x:v>
      </x:c>
      <x:c r="B42" s="119" t="n">
        <x:f>VLOOKUP(A42,$A$7:$G$13,6,TRUE)</x:f>
        <x:v>12</x:v>
      </x:c>
      <x:c r="C42" s="119" t="n">
        <x:f>ROUNDUP(('经济参数'!$E$54+(A42-1)*'经济参数'!$E$55)*VLOOKUP(A42,$A$7:$G$13,7,TRUE),0)</x:f>
        <x:v>12240</x:v>
      </x:c>
      <x:c r="D42" s="110" t="n">
        <x:v>0.25</x:v>
      </x:c>
      <x:c r="E42" s="113" t="n">
        <x:v>0.2</x:v>
      </x:c>
      <x:c r="F42" s="110" t="n">
        <x:f>IF('使用说明'!$B$4=0,D42,E42)</x:f>
        <x:v>0.25</x:v>
      </x:c>
      <x:c r="G42" s="62" t="n">
        <x:f>IFERROR(B42/F42,0)</x:f>
        <x:v>48</x:v>
      </x:c>
      <x:c r="H42" s="62" t="n">
        <x:f>IFERROR(C42/F42,0)</x:f>
        <x:v>48960</x:v>
      </x:c>
      <x:c r="I42" s="62" t="n">
        <x:f>SUM(G$19:G42)</x:f>
        <x:v>394.8412698412699</x:v>
      </x:c>
      <x:c r="J42" s="62" t="n">
        <x:f>SUM(H$19:H42)</x:f>
        <x:v>358925.0793650794</x:v>
      </x:c>
      <x:c r="K42" s="62" t="n">
        <x:f>I42*18</x:f>
        <x:v>7107.142857142858</x:v>
      </x:c>
      <x:c r="L42" s="62" t="n">
        <x:f>J42*18</x:f>
        <x:v>6460651.428571429</x:v>
      </x:c>
    </x:row>
    <x:row r="43" ht="23" customHeight="1">
      <x:c r="A43" s="119" t="n">
        <x:v>25</x:v>
      </x:c>
      <x:c r="B43" s="119" t="n">
        <x:f>VLOOKUP(A43,$A$7:$G$13,6,TRUE)</x:f>
        <x:v>12</x:v>
      </x:c>
      <x:c r="C43" s="119" t="n">
        <x:f>ROUNDUP(('经济参数'!$E$54+(A43-1)*'经济参数'!$E$55)*VLOOKUP(A43,$A$7:$G$13,7,TRUE),0)</x:f>
        <x:v>12720</x:v>
      </x:c>
      <x:c r="D43" s="110" t="n">
        <x:v>0.25</x:v>
      </x:c>
      <x:c r="E43" s="113" t="n">
        <x:v>0.2</x:v>
      </x:c>
      <x:c r="F43" s="110" t="n">
        <x:f>IF('使用说明'!$B$4=0,D43,E43)</x:f>
        <x:v>0.25</x:v>
      </x:c>
      <x:c r="G43" s="62" t="n">
        <x:f>IFERROR(B43/F43,0)</x:f>
        <x:v>48</x:v>
      </x:c>
      <x:c r="H43" s="62" t="n">
        <x:f>IFERROR(C43/F43,0)</x:f>
        <x:v>50880</x:v>
      </x:c>
      <x:c r="I43" s="62" t="n">
        <x:f>SUM(G$19:G43)</x:f>
        <x:v>442.8412698412699</x:v>
      </x:c>
      <x:c r="J43" s="62" t="n">
        <x:f>SUM(H$19:H43)</x:f>
        <x:v>409805.0793650794</x:v>
      </x:c>
      <x:c r="K43" s="62" t="n">
        <x:f>I43*18</x:f>
        <x:v>7971.142857142858</x:v>
      </x:c>
      <x:c r="L43" s="62" t="n">
        <x:f>J43*18</x:f>
        <x:v>7376491.428571429</x:v>
      </x:c>
    </x:row>
    <x:row r="44" ht="23" customHeight="1">
      <x:c r="A44" s="119" t="n">
        <x:v>26</x:v>
      </x:c>
      <x:c r="B44" s="119" t="n">
        <x:f>VLOOKUP(A44,$A$7:$G$13,6,TRUE)</x:f>
        <x:v>18</x:v>
      </x:c>
      <x:c r="C44" s="119" t="n">
        <x:f>ROUNDUP(('经济参数'!$E$54+(A44-1)*'经济参数'!$E$55)*VLOOKUP(A44,$A$7:$G$13,7,TRUE),0)</x:f>
        <x:v>16720</x:v>
      </x:c>
      <x:c r="D44" s="110" t="n">
        <x:v>0.15</x:v>
      </x:c>
      <x:c r="E44" s="113" t="n">
        <x:v>0.1</x:v>
      </x:c>
      <x:c r="F44" s="110" t="n">
        <x:f>IF('使用说明'!$B$4=0,D44,E44)</x:f>
        <x:v>0.15</x:v>
      </x:c>
      <x:c r="G44" s="62" t="n">
        <x:f>IFERROR(B44/F44,0)</x:f>
        <x:v>120</x:v>
      </x:c>
      <x:c r="H44" s="62" t="n">
        <x:f>IFERROR(C44/F44,0)</x:f>
        <x:v>111466.66666666667</x:v>
      </x:c>
      <x:c r="I44" s="62" t="n">
        <x:f>SUM(G$19:G44)</x:f>
        <x:v>562.8412698412699</x:v>
      </x:c>
      <x:c r="J44" s="62" t="n">
        <x:f>SUM(H$19:H44)</x:f>
        <x:v>521271.7460317461</x:v>
      </x:c>
      <x:c r="K44" s="62" t="n">
        <x:f>I44*18</x:f>
        <x:v>10131.142857142859</x:v>
      </x:c>
      <x:c r="L44" s="62" t="n">
        <x:f>J44*18</x:f>
        <x:v>9382891.42857143</x:v>
      </x:c>
    </x:row>
    <x:row r="45" ht="23" customHeight="1">
      <x:c r="A45" s="119" t="n">
        <x:v>27</x:v>
      </x:c>
      <x:c r="B45" s="119" t="n">
        <x:f>VLOOKUP(A45,$A$7:$G$13,6,TRUE)</x:f>
        <x:v>18</x:v>
      </x:c>
      <x:c r="C45" s="119" t="n">
        <x:f>ROUNDUP(('经济参数'!$E$54+(A45-1)*'经济参数'!$E$55)*VLOOKUP(A45,$A$7:$G$13,7,TRUE),0)</x:f>
        <x:v>17328</x:v>
      </x:c>
      <x:c r="D45" s="110" t="n">
        <x:v>0.15</x:v>
      </x:c>
      <x:c r="E45" s="113" t="n">
        <x:v>0.1</x:v>
      </x:c>
      <x:c r="F45" s="110" t="n">
        <x:f>IF('使用说明'!$B$4=0,D45,E45)</x:f>
        <x:v>0.15</x:v>
      </x:c>
      <x:c r="G45" s="62" t="n">
        <x:f>IFERROR(B45/F45,0)</x:f>
        <x:v>120</x:v>
      </x:c>
      <x:c r="H45" s="62" t="n">
        <x:f>IFERROR(C45/F45,0)</x:f>
        <x:v>115520</x:v>
      </x:c>
      <x:c r="I45" s="62" t="n">
        <x:f>SUM(G$19:G45)</x:f>
        <x:v>682.8412698412699</x:v>
      </x:c>
      <x:c r="J45" s="62" t="n">
        <x:f>SUM(H$19:H45)</x:f>
        <x:v>636791.746031746</x:v>
      </x:c>
      <x:c r="K45" s="62" t="n">
        <x:f>I45*18</x:f>
        <x:v>12291.142857142859</x:v>
      </x:c>
      <x:c r="L45" s="62" t="n">
        <x:f>J45*18</x:f>
        <x:v>11462251.42857143</x:v>
      </x:c>
    </x:row>
    <x:row r="46" ht="23" customHeight="1">
      <x:c r="A46" s="119" t="n">
        <x:v>28</x:v>
      </x:c>
      <x:c r="B46" s="119" t="n">
        <x:f>VLOOKUP(A46,$A$7:$G$13,6,TRUE)</x:f>
        <x:v>18</x:v>
      </x:c>
      <x:c r="C46" s="119" t="n">
        <x:f>ROUNDUP(('经济参数'!$E$54+(A46-1)*'经济参数'!$E$55)*VLOOKUP(A46,$A$7:$G$13,7,TRUE),0)</x:f>
        <x:v>17936</x:v>
      </x:c>
      <x:c r="D46" s="110" t="n">
        <x:v>0.15</x:v>
      </x:c>
      <x:c r="E46" s="113" t="n">
        <x:v>0.1</x:v>
      </x:c>
      <x:c r="F46" s="110" t="n">
        <x:f>IF('使用说明'!$B$4=0,D46,E46)</x:f>
        <x:v>0.15</x:v>
      </x:c>
      <x:c r="G46" s="62" t="n">
        <x:f>IFERROR(B46/F46,0)</x:f>
        <x:v>120</x:v>
      </x:c>
      <x:c r="H46" s="62" t="n">
        <x:f>IFERROR(C46/F46,0)</x:f>
        <x:v>119573.33333333334</x:v>
      </x:c>
      <x:c r="I46" s="62" t="n">
        <x:f>SUM(G$19:G46)</x:f>
        <x:v>802.8412698412699</x:v>
      </x:c>
      <x:c r="J46" s="62" t="n">
        <x:f>SUM(H$19:H46)</x:f>
        <x:v>756365.0793650794</x:v>
      </x:c>
      <x:c r="K46" s="62" t="n">
        <x:f>I46*18</x:f>
        <x:v>14451.142857142859</x:v>
      </x:c>
      <x:c r="L46" s="62" t="n">
        <x:f>J46*18</x:f>
        <x:v>13614571.42857143</x:v>
      </x:c>
    </x:row>
    <x:row r="47" ht="23" customHeight="1">
      <x:c r="A47" s="119" t="n">
        <x:v>29</x:v>
      </x:c>
      <x:c r="B47" s="119" t="n">
        <x:f>VLOOKUP(A47,$A$7:$G$13,6,TRUE)</x:f>
        <x:v>18</x:v>
      </x:c>
      <x:c r="C47" s="119" t="n">
        <x:f>ROUNDUP(('经济参数'!$E$54+(A47-1)*'经济参数'!$E$55)*VLOOKUP(A47,$A$7:$G$13,7,TRUE),0)</x:f>
        <x:v>18544</x:v>
      </x:c>
      <x:c r="D47" s="110" t="n">
        <x:v>0.15</x:v>
      </x:c>
      <x:c r="E47" s="113" t="n">
        <x:v>0.1</x:v>
      </x:c>
      <x:c r="F47" s="110" t="n">
        <x:f>IF('使用说明'!$B$4=0,D47,E47)</x:f>
        <x:v>0.15</x:v>
      </x:c>
      <x:c r="G47" s="62" t="n">
        <x:f>IFERROR(B47/F47,0)</x:f>
        <x:v>120</x:v>
      </x:c>
      <x:c r="H47" s="62" t="n">
        <x:f>IFERROR(C47/F47,0)</x:f>
        <x:v>123626.66666666667</x:v>
      </x:c>
      <x:c r="I47" s="62" t="n">
        <x:f>SUM(G$19:G47)</x:f>
        <x:v>922.8412698412699</x:v>
      </x:c>
      <x:c r="J47" s="62" t="n">
        <x:f>SUM(H$19:H47)</x:f>
        <x:v>879991.746031746</x:v>
      </x:c>
      <x:c r="K47" s="62" t="n">
        <x:f>I47*18</x:f>
        <x:v>16611.14285714286</x:v>
      </x:c>
      <x:c r="L47" s="62" t="n">
        <x:f>J47*18</x:f>
        <x:v>15839851.42857143</x:v>
      </x:c>
    </x:row>
    <x:row r="48" ht="23" customHeight="1">
      <x:c r="A48" s="119" t="n">
        <x:v>30</x:v>
      </x:c>
      <x:c r="B48" s="119" t="n">
        <x:f>VLOOKUP(A48,$A$7:$G$13,6,TRUE)</x:f>
        <x:v>18</x:v>
      </x:c>
      <x:c r="C48" s="119" t="n">
        <x:f>ROUNDUP(('经济参数'!$E$54+(A48-1)*'经济参数'!$E$55)*VLOOKUP(A48,$A$7:$G$13,7,TRUE),0)</x:f>
        <x:v>19152</x:v>
      </x:c>
      <x:c r="D48" s="110" t="n">
        <x:v>0.15</x:v>
      </x:c>
      <x:c r="E48" s="113" t="n">
        <x:v>0.1</x:v>
      </x:c>
      <x:c r="F48" s="110" t="n">
        <x:f>IF('使用说明'!$B$4=0,D48,E48)</x:f>
        <x:v>0.15</x:v>
      </x:c>
      <x:c r="G48" s="62" t="n">
        <x:f>IFERROR(B48/F48,0)</x:f>
        <x:v>120</x:v>
      </x:c>
      <x:c r="H48" s="62" t="n">
        <x:f>IFERROR(C48/F48,0)</x:f>
        <x:v>127680</x:v>
      </x:c>
      <x:c r="I48" s="62" t="n">
        <x:f>SUM(G$19:G48)</x:f>
        <x:v>1042.8412698412699</x:v>
      </x:c>
      <x:c r="J48" s="62" t="n">
        <x:f>SUM(H$19:H48)</x:f>
        <x:v>1007671.746031746</x:v>
      </x:c>
      <x:c r="K48" s="62" t="n">
        <x:f>I48*18</x:f>
        <x:v>18771.14285714286</x:v>
      </x:c>
      <x:c r="L48" s="62" t="n">
        <x:f>J48*18</x:f>
        <x:v>18138091.42857143</x:v>
      </x:c>
    </x:row>
    <x:row r="49" ht="23" customHeight="1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</x:row>
  </x:sheetData>
  <x:mergeCells>
    <x:mergeCell ref="A1:J2"/>
    <x:mergeCell ref="A3:J3"/>
    <x:mergeCell ref="B4:D4"/>
  </x:mergeCells>
  <x:dataValidations count="2">
    <x:dataValidation type="decimal" operator="between" sqref="D7:E13">
      <x:formula1>0</x:formula1>
      <x:formula2>1000</x:formula2>
    </x:dataValidation>
    <x:dataValidation type="decimal" operator="between" sqref="E19:E48">
      <x:formula1>0.01</x:formula1>
      <x:formula2>1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8B9C9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9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49" hidden="0" customWidth="1"/>
    <x:col min="8" max="8" width="58" hidden="0" customWidth="1"/>
  </x:cols>
  <x:sheetData>
    <x:row r="1" ht="23" customHeight="1">
      <x:c r="A1" s="59" t="str">
        <x:v>08｜关卡与战斗参数</x:v>
      </x:c>
      <x:c r="B1" s="60"/>
      <x:c r="C1" s="60"/>
      <x:c r="D1" s="60"/>
      <x:c r="E1" s="60"/>
      <x:c r="F1" s="60"/>
      <x:c r="G1" s="60"/>
      <x:c r="H1" s="60"/>
    </x:row>
    <x:row r="2" ht="23" customHeight="1">
      <x:c r="A2" s="60"/>
      <x:c r="B2" s="60"/>
      <x:c r="C2" s="60"/>
      <x:c r="D2" s="60"/>
      <x:c r="E2" s="60"/>
      <x:c r="F2" s="60"/>
      <x:c r="G2" s="60"/>
      <x:c r="H2" s="60"/>
    </x:row>
    <x:row r="3" ht="44" customHeight="1">
      <x:c r="A3" s="61" t="str">
        <x:v>数量、HP、出怪间隔、移动、Boss、命中与韧性均可调。实际脚本使用的参数优先于注释；候选模式提供单波数量封顶与缓增HP。</x:v>
      </x:c>
      <x:c r="B3" s="61"/>
      <x:c r="C3" s="61"/>
      <x:c r="D3" s="61"/>
      <x:c r="E3" s="61"/>
      <x:c r="F3" s="61"/>
      <x:c r="G3" s="61"/>
      <x:c r="H3" s="61"/>
    </x:row>
    <x:row r="4" ht="23" customHeight="1">
      <x:c r="A4" s="62" t="str">
        <x:v>采用方案</x:v>
      </x:c>
      <x:c r="B4" s="62" t="str">
        <x:f>IF('使用说明'!$B$4=0,"工程当前","调优试算")</x:f>
        <x:v>工程当前</x:v>
      </x:c>
      <x:c r="C4" s="62"/>
      <x:c r="D4" s="62"/>
      <x:c r="E4" s="62"/>
      <x:c r="F4" s="62"/>
      <x:c r="G4" s="62"/>
      <x:c r="H4" s="62"/>
    </x:row>
    <x:row r="5" ht="23" customHeight="1">
      <x:c r="A5" s="62"/>
      <x:c r="B5" s="62"/>
      <x:c r="C5" s="62"/>
      <x:c r="D5" s="62"/>
      <x:c r="E5" s="62"/>
      <x:c r="F5" s="62"/>
      <x:c r="G5" s="62"/>
      <x:c r="H5" s="62"/>
    </x:row>
    <x:row r="6" ht="36" customHeight="1">
      <x:c r="A6" s="64" t="str">
        <x:v>参数标识</x:v>
      </x:c>
      <x:c r="B6" s="64" t="str">
        <x:v>参数名称</x:v>
      </x:c>
      <x:c r="C6" s="64" t="str">
        <x:v>工程当前值</x:v>
      </x:c>
      <x:c r="D6" s="64" t="str">
        <x:v>调优试算值</x:v>
      </x:c>
      <x:c r="E6" s="64" t="str">
        <x:v>本次采用值</x:v>
      </x:c>
      <x:c r="F6" s="64" t="str">
        <x:v>单位</x:v>
      </x:c>
      <x:c r="G6" s="64" t="str">
        <x:v>代码来源</x:v>
      </x:c>
      <x:c r="H6" s="64" t="str">
        <x:v>口径与建议</x:v>
      </x:c>
    </x:row>
    <x:row r="7" ht="44" customHeight="1">
      <x:c r="A7" s="62" t="str">
        <x:v>minWaves</x:v>
      </x:c>
      <x:c r="B7" s="65" t="str">
        <x:v>主线最低波数</x:v>
      </x:c>
      <x:c r="C7" s="88" t="n">
        <x:v>3</x:v>
      </x:c>
      <x:c r="D7" s="89" t="n">
        <x:v>3</x:v>
      </x:c>
      <x:c r="E7" s="66" t="n">
        <x:f>IF('使用说明'!$B$4=0,C7,D7)</x:f>
        <x:v>3</x:v>
      </x:c>
      <x:c r="F7" s="65" t="str">
        <x:v>波</x:v>
      </x:c>
      <x:c r="G7" s="65" t="str">
        <x:v>app.js:1489 · getRoundsForLevel</x:v>
      </x:c>
      <x:c r="H7" s="65" t="str">
        <x:v>1～3关三波；4/5/6关分别4/5/6波</x:v>
      </x:c>
    </x:row>
    <x:row r="8" ht="44" customHeight="1">
      <x:c r="A8" s="62" t="str">
        <x:v>maxWaves</x:v>
      </x:c>
      <x:c r="B8" s="65" t="str">
        <x:v>主线最高波数</x:v>
      </x:c>
      <x:c r="C8" s="88" t="n">
        <x:v>7</x:v>
      </x:c>
      <x:c r="D8" s="89" t="n">
        <x:v>7</x:v>
      </x:c>
      <x:c r="E8" s="66" t="n">
        <x:f>IF('使用说明'!$B$4=0,C8,D8)</x:f>
        <x:v>7</x:v>
      </x:c>
      <x:c r="F8" s="65" t="str">
        <x:v>波</x:v>
      </x:c>
      <x:c r="G8" s="65" t="str">
        <x:v>app.js:1489 · getRoundsForLevel</x:v>
      </x:c>
      <x:c r="H8" s="65" t="str">
        <x:v>7关及以后七波</x:v>
      </x:c>
    </x:row>
    <x:row r="9" ht="44" customHeight="1">
      <x:c r="A9" s="62" t="str">
        <x:v>countBase</x:v>
      </x:c>
      <x:c r="B9" s="65" t="str">
        <x:v>每波怪物数常数</x:v>
      </x:c>
      <x:c r="C9" s="88" t="n">
        <x:v>5</x:v>
      </x:c>
      <x:c r="D9" s="89" t="n">
        <x:v>5</x:v>
      </x:c>
      <x:c r="E9" s="66" t="n">
        <x:f>IF('使用说明'!$B$4=0,C9,D9)</x:f>
        <x:v>5</x:v>
      </x:c>
      <x:c r="F9" s="65" t="str">
        <x:v>只</x:v>
      </x:c>
      <x:c r="G9" s="65" t="str">
        <x:v>app.js:3144 · startWave</x:v>
      </x:c>
      <x:c r="H9" s="65" t="str">
        <x:v>包括最终Boss占位</x:v>
      </x:c>
    </x:row>
    <x:row r="10" ht="44" customHeight="1">
      <x:c r="A10" s="62" t="str">
        <x:v>countWave</x:v>
      </x:c>
      <x:c r="B10" s="65" t="str">
        <x:v>每增1波增加怪物</x:v>
      </x:c>
      <x:c r="C10" s="88" t="n">
        <x:v>2</x:v>
      </x:c>
      <x:c r="D10" s="89" t="n">
        <x:v>2</x:v>
      </x:c>
      <x:c r="E10" s="66" t="n">
        <x:f>IF('使用说明'!$B$4=0,C10,D10)</x:f>
        <x:v>2</x:v>
      </x:c>
      <x:c r="F10" s="65" t="str">
        <x:v>只/波</x:v>
      </x:c>
      <x:c r="G10" s="65" t="str">
        <x:v>app.js:3144 · startWave</x:v>
      </x:c>
      <x:c r="H10" s="65" t="str">
        <x:v>总数=常数+波次项+ceil(关卡项)</x:v>
      </x:c>
    </x:row>
    <x:row r="11" ht="44" customHeight="1">
      <x:c r="A11" s="62" t="str">
        <x:v>countLevel</x:v>
      </x:c>
      <x:c r="B11" s="65" t="str">
        <x:v>每关怪物数量斜率</x:v>
      </x:c>
      <x:c r="C11" s="88" t="n">
        <x:v>1.15</x:v>
      </x:c>
      <x:c r="D11" s="89" t="n">
        <x:v>0.12</x:v>
      </x:c>
      <x:c r="E11" s="66" t="n">
        <x:f>IF('使用说明'!$B$4=0,C11,D11)</x:f>
        <x:v>1.15</x:v>
      </x:c>
      <x:c r="F11" s="65" t="str">
        <x:v>只/关</x:v>
      </x:c>
      <x:c r="G11" s="65" t="str">
        <x:v>app.js:3144 · startWave</x:v>
      </x:c>
      <x:c r="H11" s="65" t="str">
        <x:v>当前到900关每波超过千只</x:v>
      </x:c>
    </x:row>
    <x:row r="12" ht="44" customHeight="1">
      <x:c r="A12" s="62" t="str">
        <x:v>countCap</x:v>
      </x:c>
      <x:c r="B12" s="65" t="str">
        <x:v>单波怪物数量上限</x:v>
      </x:c>
      <x:c r="C12" s="129" t="n">
        <x:v>1000000000</x:v>
      </x:c>
      <x:c r="D12" s="130" t="n">
        <x:v>18</x:v>
      </x:c>
      <x:c r="E12" s="131" t="n">
        <x:f>IF('使用说明'!$B$4=0,C12,D12)</x:f>
        <x:v>1000000000</x:v>
      </x:c>
      <x:c r="F12" s="65" t="str">
        <x:v>只</x:v>
      </x:c>
      <x:c r="G12" s="65" t="str">
        <x:v>app.js:3144 · startWave</x:v>
      </x:c>
      <x:c r="H12" s="65" t="str">
        <x:v>当前无上限，以大数表示；试算18，Boss替代末只</x:v>
      </x:c>
    </x:row>
    <x:row r="13" ht="44" customHeight="1">
      <x:c r="A13" s="62" t="str">
        <x:v>hpBase</x:v>
      </x:c>
      <x:c r="B13" s="65" t="str">
        <x:v>怪物基础血量常数</x:v>
      </x:c>
      <x:c r="C13" s="88" t="n">
        <x:v>100</x:v>
      </x:c>
      <x:c r="D13" s="89" t="n">
        <x:v>100</x:v>
      </x:c>
      <x:c r="E13" s="66" t="n">
        <x:f>IF('使用说明'!$B$4=0,C13,D13)</x:f>
        <x:v>100</x:v>
      </x:c>
      <x:c r="F13" s="65" t="str">
        <x:v>HP</x:v>
      </x:c>
      <x:c r="G13" s="65" t="str">
        <x:v>app.js:495 · LEVEL_SCALING</x:v>
      </x:c>
      <x:c r="H13" s="65" t="str">
        <x:v>单怪HP=基数×关卡^幂次×后期封顶倍率×波次形状</x:v>
      </x:c>
    </x:row>
    <x:row r="14" ht="44" customHeight="1">
      <x:c r="A14" s="62" t="str">
        <x:v>hpLevel</x:v>
      </x:c>
      <x:c r="B14" s="65" t="str">
        <x:v>基础血量关卡斜率</x:v>
      </x:c>
      <x:c r="C14" s="88" t="n">
        <x:v>0</x:v>
      </x:c>
      <x:c r="D14" s="89" t="n">
        <x:v>0</x:v>
      </x:c>
      <x:c r="E14" s="66" t="n">
        <x:f>IF('使用说明'!$B$4=0,C14,D14)</x:f>
        <x:v>0</x:v>
      </x:c>
      <x:c r="F14" s="65" t="str">
        <x:v>HP/关</x:v>
      </x:c>
      <x:c r="G14" s="65" t="str">
        <x:v>试算假设（非工程配置）</x:v>
      </x:c>
      <x:c r="H14" s="65" t="str">
        <x:v>真实工程已改用单怪血量幂次，保留字段用于兼容旧表</x:v>
      </x:c>
    </x:row>
    <x:row r="15" ht="44" customHeight="1">
      <x:c r="A15" s="62" t="str">
        <x:v>hpWave</x:v>
      </x:c>
      <x:c r="B15" s="65" t="str">
        <x:v>基础血量波次斜率</x:v>
      </x:c>
      <x:c r="C15" s="88" t="n">
        <x:v>0</x:v>
      </x:c>
      <x:c r="D15" s="89" t="n">
        <x:v>0</x:v>
      </x:c>
      <x:c r="E15" s="66" t="n">
        <x:f>IF('使用说明'!$B$4=0,C15,D15)</x:f>
        <x:v>0</x:v>
      </x:c>
      <x:c r="F15" s="65" t="str">
        <x:v>HP/波</x:v>
      </x:c>
      <x:c r="G15" s="65" t="str">
        <x:v>试算假设（非工程配置）</x:v>
      </x:c>
      <x:c r="H15" s="65" t="str">
        <x:v>真实工程已改用波次形状，保留字段用于兼容旧表</x:v>
      </x:c>
    </x:row>
    <x:row r="16" ht="44" customHeight="1">
      <x:c r="A16" s="62" t="str">
        <x:v>hpMultiplier</x:v>
      </x:c>
      <x:c r="B16" s="65" t="str">
        <x:v>整体怪物生命倍率</x:v>
      </x:c>
      <x:c r="C16" s="88" t="n">
        <x:v>1</x:v>
      </x:c>
      <x:c r="D16" s="89" t="n">
        <x:v>1</x:v>
      </x:c>
      <x:c r="E16" s="66" t="n">
        <x:f>IF('使用说明'!$B$4=0,C16,D16)</x:f>
        <x:v>1</x:v>
      </x:c>
      <x:c r="F16" s="65" t="str">
        <x:v>倍</x:v>
      </x:c>
      <x:c r="G16" s="65" t="str">
        <x:v>试算假设（非工程配置）</x:v>
      </x:c>
      <x:c r="H16" s="65" t="str">
        <x:v>真实工程已改用后期封顶倍率，保留字段用于兼容旧表</x:v>
      </x:c>
    </x:row>
    <x:row r="17" ht="44" customHeight="1">
      <x:c r="A17" s="62" t="str">
        <x:v>difficultySlope</x:v>
      </x:c>
      <x:c r="B17" s="65" t="str">
        <x:v>关卡额外难度斜率</x:v>
      </x:c>
      <x:c r="C17" s="88" t="n">
        <x:v>0</x:v>
      </x:c>
      <x:c r="D17" s="89" t="n">
        <x:v>0</x:v>
      </x:c>
      <x:c r="E17" s="66" t="n">
        <x:f>IF('使用说明'!$B$4=0,C17,D17)</x:f>
        <x:v>0</x:v>
      </x:c>
      <x:c r="F17" s="65" t="str">
        <x:v>每关系数</x:v>
      </x:c>
      <x:c r="G17" s="65" t="str">
        <x:v>试算假设（非工程配置）</x:v>
      </x:c>
      <x:c r="H17" s="65" t="str">
        <x:v>真实工程已改用后期血量逐关增幅，保留字段用于兼容旧表</x:v>
      </x:c>
    </x:row>
    <x:row r="18" ht="44" customHeight="1">
      <x:c r="A18" s="62" t="str">
        <x:v>monsterTotalBase</x:v>
      </x:c>
      <x:c r="B18" s="65" t="str">
        <x:v>每关总怪物数基数</x:v>
      </x:c>
      <x:c r="C18" s="88" t="n">
        <x:v>33</x:v>
      </x:c>
      <x:c r="D18" s="89" t="n">
        <x:v>33</x:v>
      </x:c>
      <x:c r="E18" s="66" t="n">
        <x:f>IF('使用说明'!$B$4=0,C18,D18)</x:f>
        <x:v>33</x:v>
      </x:c>
      <x:c r="F18" s="65" t="str">
        <x:v>只</x:v>
      </x:c>
      <x:c r="G18" s="65" t="str">
        <x:v>app.js:495 · LEVEL_SCALING</x:v>
      </x:c>
      <x:c r="H18" s="65" t="str">
        <x:v>主线总怪数=基数×关卡^幂次，再按波次形状分摊</x:v>
      </x:c>
    </x:row>
    <x:row r="19" ht="44" customHeight="1">
      <x:c r="A19" s="62" t="str">
        <x:v>monsterTotalPower</x:v>
      </x:c>
      <x:c r="B19" s="65" t="str">
        <x:v>总怪物数幂次</x:v>
      </x:c>
      <x:c r="C19" s="88" t="n">
        <x:v>0.35</x:v>
      </x:c>
      <x:c r="D19" s="89" t="n">
        <x:v>0.35</x:v>
      </x:c>
      <x:c r="E19" s="66" t="n">
        <x:f>IF('使用说明'!$B$4=0,C19,D19)</x:f>
        <x:v>0.35</x:v>
      </x:c>
      <x:c r="F19" s="65" t="str">
        <x:v>幂次</x:v>
      </x:c>
      <x:c r="G19" s="65" t="str">
        <x:v>app.js:495 · LEVEL_SCALING</x:v>
      </x:c>
      <x:c r="H19" s="65" t="str">
        <x:v>控制后期出怪数量，不与单怪血量重复线性膨胀</x:v>
      </x:c>
    </x:row>
    <x:row r="20" ht="44" customHeight="1">
      <x:c r="A20" s="62" t="str">
        <x:v>levelHpPower</x:v>
      </x:c>
      <x:c r="B20" s="65" t="str">
        <x:v>单怪血量幂次</x:v>
      </x:c>
      <x:c r="C20" s="88" t="n">
        <x:v>0.72</x:v>
      </x:c>
      <x:c r="D20" s="89" t="n">
        <x:v>0.72</x:v>
      </x:c>
      <x:c r="E20" s="66" t="n">
        <x:f>IF('使用说明'!$B$4=0,C20,D20)</x:f>
        <x:v>0.72</x:v>
      </x:c>
      <x:c r="F20" s="65" t="str">
        <x:v>幂次</x:v>
      </x:c>
      <x:c r="G20" s="65" t="str">
        <x:v>app.js:495 · LEVEL_SCALING</x:v>
      </x:c>
      <x:c r="H20" s="65" t="str">
        <x:v>普通玩家养成可追赶；不再沿用旧线性公式</x:v>
      </x:c>
    </x:row>
    <x:row r="21" ht="44" customHeight="1">
      <x:c r="A21" s="62" t="str">
        <x:v>lateHpStart</x:v>
      </x:c>
      <x:c r="B21" s="65" t="str">
        <x:v>后期血量起始关</x:v>
      </x:c>
      <x:c r="C21" s="88" t="n">
        <x:v>20</x:v>
      </x:c>
      <x:c r="D21" s="89" t="n">
        <x:v>20</x:v>
      </x:c>
      <x:c r="E21" s="66" t="n">
        <x:f>IF('使用说明'!$B$4=0,C21,D21)</x:f>
        <x:v>20</x:v>
      </x:c>
      <x:c r="F21" s="65" t="str">
        <x:v>关</x:v>
      </x:c>
      <x:c r="G21" s="65" t="str">
        <x:v>app.js:495 · LEVEL_SCALING</x:v>
      </x:c>
      <x:c r="H21" s="65" t="str">
        <x:v>1～20关保持新手体验</x:v>
      </x:c>
    </x:row>
    <x:row r="22" ht="44" customHeight="1">
      <x:c r="A22" s="62" t="str">
        <x:v>lateHpPerLevel</x:v>
      </x:c>
      <x:c r="B22" s="65" t="str">
        <x:v>后期血量逐关增幅</x:v>
      </x:c>
      <x:c r="C22" s="88" t="n">
        <x:v>0.003</x:v>
      </x:c>
      <x:c r="D22" s="89" t="n">
        <x:v>0.003</x:v>
      </x:c>
      <x:c r="E22" s="66" t="n">
        <x:f>IF('使用说明'!$B$4=0,C22,D22)</x:f>
        <x:v>0.003</x:v>
      </x:c>
      <x:c r="F22" s="65" t="str">
        <x:v>比例/关</x:v>
      </x:c>
      <x:c r="G22" s="65" t="str">
        <x:v>app.js:495 · LEVEL_SCALING</x:v>
      </x:c>
      <x:c r="H22" s="65" t="str">
        <x:v>21关后增加，配合封顶倍率</x:v>
      </x:c>
    </x:row>
    <x:row r="23" ht="44" customHeight="1">
      <x:c r="A23" s="62" t="str">
        <x:v>lateHpCap</x:v>
      </x:c>
      <x:c r="B23" s="65" t="str">
        <x:v>后期血量倍率上限</x:v>
      </x:c>
      <x:c r="C23" s="88" t="n">
        <x:v>1.35</x:v>
      </x:c>
      <x:c r="D23" s="89" t="n">
        <x:v>1.35</x:v>
      </x:c>
      <x:c r="E23" s="66" t="n">
        <x:f>IF('使用说明'!$B$4=0,C23,D23)</x:f>
        <x:v>1.35</x:v>
      </x:c>
      <x:c r="F23" s="65" t="str">
        <x:v>倍</x:v>
      </x:c>
      <x:c r="G23" s="65" t="str">
        <x:v>app.js:495 · LEVEL_SCALING</x:v>
      </x:c>
      <x:c r="H23" s="65" t="str">
        <x:v>防止高关无限膨胀</x:v>
      </x:c>
    </x:row>
    <x:row r="24" ht="44" customHeight="1">
      <x:c r="A24" s="62" t="str">
        <x:v>spawnSeconds</x:v>
      </x:c>
      <x:c r="B24" s="65" t="str">
        <x:v>出怪配置间隔</x:v>
      </x:c>
      <x:c r="C24" s="88" t="n">
        <x:v>0.72</x:v>
      </x:c>
      <x:c r="D24" s="89" t="n">
        <x:v>0.72</x:v>
      </x:c>
      <x:c r="E24" s="66" t="n">
        <x:f>IF('使用说明'!$B$4=0,C24,D24)</x:f>
        <x:v>0.72</x:v>
      </x:c>
      <x:c r="F24" s="65" t="str">
        <x:v>秒</x:v>
      </x:c>
      <x:c r="G24" s="65" t="str">
        <x:v>app.js:3144 · startWave</x:v>
      </x:c>
      <x:c r="H24" s="65" t="str">
        <x:v>100ms逻辑步长使1倍速实际约0.8秒</x:v>
      </x:c>
    </x:row>
    <x:row r="25" ht="44" customHeight="1">
      <x:c r="A25" s="62" t="str">
        <x:v>moveSeconds</x:v>
      </x:c>
      <x:c r="B25" s="65" t="str">
        <x:v>移动配置间隔</x:v>
      </x:c>
      <x:c r="C25" s="88" t="n">
        <x:v>1.24</x:v>
      </x:c>
      <x:c r="D25" s="89" t="n">
        <x:v>1.24</x:v>
      </x:c>
      <x:c r="E25" s="66" t="n">
        <x:f>IF('使用说明'!$B$4=0,C25,D25)</x:f>
        <x:v>1.24</x:v>
      </x:c>
      <x:c r="F25" s="65" t="str">
        <x:v>秒</x:v>
      </x:c>
      <x:c r="G25" s="65" t="str">
        <x:v>app.js:24 · MONSTER_MOVE_INTERVAL</x:v>
      </x:c>
      <x:c r="H25" s="65" t="str">
        <x:v>100ms逻辑步长使1倍速实际约1.3秒</x:v>
      </x:c>
    </x:row>
    <x:row r="26" ht="44" customHeight="1">
      <x:c r="A26" s="62" t="str">
        <x:v>tickSeconds</x:v>
      </x:c>
      <x:c r="B26" s="65" t="str">
        <x:v>逻辑更新间隔</x:v>
      </x:c>
      <x:c r="C26" s="88" t="n">
        <x:v>0.1</x:v>
      </x:c>
      <x:c r="D26" s="89" t="n">
        <x:v>0.1</x:v>
      </x:c>
      <x:c r="E26" s="66" t="n">
        <x:f>IF('使用说明'!$B$4=0,C26,D26)</x:f>
        <x:v>0.1</x:v>
      </x:c>
      <x:c r="F26" s="65" t="str">
        <x:v>秒</x:v>
      </x:c>
      <x:c r="G26" s="65" t="str">
        <x:v>app.js:3207 · runLoop</x:v>
      </x:c>
      <x:c r="H26" s="65" t="str">
        <x:v>tick后计时器归零，间隔向上量化</x:v>
      </x:c>
    </x:row>
    <x:row r="27" ht="44" customHeight="1">
      <x:c r="A27" s="62" t="str">
        <x:v>gameSpeed</x:v>
      </x:c>
      <x:c r="B27" s="65" t="str">
        <x:v>预览战斗倍速</x:v>
      </x:c>
      <x:c r="C27" s="88" t="n">
        <x:v>1</x:v>
      </x:c>
      <x:c r="D27" s="89" t="n">
        <x:v>1</x:v>
      </x:c>
      <x:c r="E27" s="66" t="n">
        <x:f>IF('使用说明'!$B$4=0,C27,D27)</x:f>
        <x:v>1</x:v>
      </x:c>
      <x:c r="F27" s="65" t="str">
        <x:v>倍</x:v>
      </x:c>
      <x:c r="G27" s="65" t="str">
        <x:v>app.js:3207 · runLoop</x:v>
      </x:c>
      <x:c r="H27" s="65" t="str">
        <x:v>支持1倍/2倍；时间预估含实际量化</x:v>
      </x:c>
    </x:row>
    <x:row r="28" ht="44" customHeight="1">
      <x:c r="A28" s="62" t="str">
        <x:v>bossSpawnFactor</x:v>
      </x:c>
      <x:c r="B28" s="65" t="str">
        <x:v>实际Boss额外血量倍数</x:v>
      </x:c>
      <x:c r="C28" s="88" t="n">
        <x:v>4</x:v>
      </x:c>
      <x:c r="D28" s="89" t="n">
        <x:v>5</x:v>
      </x:c>
      <x:c r="E28" s="66" t="n">
        <x:f>IF('使用说明'!$B$4=0,C28,D28)</x:f>
        <x:v>4</x:v>
      </x:c>
      <x:c r="F28" s="65" t="str">
        <x:v>倍</x:v>
      </x:c>
      <x:c r="G28" s="65" t="str">
        <x:v>app.js:3276 · maxHp = Math.round</x:v>
      </x:c>
      <x:c r="H28" s="65" t="str">
        <x:v>还需乘brute的1.7；当前不是BOSS_CONFIG.hpMultiplier</x:v>
      </x:c>
    </x:row>
    <x:row r="29" ht="44" customHeight="1">
      <x:c r="A29" s="62" t="str">
        <x:v>bossUnusedFactor</x:v>
      </x:c>
      <x:c r="B29" s="65" t="str">
        <x:v>未引用Boss配置倍率</x:v>
      </x:c>
      <x:c r="C29" s="88" t="n">
        <x:v>4</x:v>
      </x:c>
      <x:c r="D29" s="89" t="n">
        <x:v>4</x:v>
      </x:c>
      <x:c r="E29" s="66" t="n">
        <x:f>IF('使用说明'!$B$4=0,C29,D29)</x:f>
        <x:v>4</x:v>
      </x:c>
      <x:c r="F29" s="65" t="str">
        <x:v>倍</x:v>
      </x:c>
      <x:c r="G29" s="65" t="str">
        <x:v>app.js:477 · BOSS_CONFIG</x:v>
      </x:c>
      <x:c r="H29" s="65" t="str">
        <x:v>仅审计展示：当前spawnMonster未使用它，不参与试算</x:v>
      </x:c>
    </x:row>
    <x:row r="30" ht="44" customHeight="1">
      <x:c r="A30" s="62" t="str">
        <x:v>bossGold</x:v>
      </x:c>
      <x:c r="B30" s="65" t="str">
        <x:v>Boss击杀金币</x:v>
      </x:c>
      <x:c r="C30" s="88" t="n">
        <x:v>200</x:v>
      </x:c>
      <x:c r="D30" s="89" t="n">
        <x:v>30</x:v>
      </x:c>
      <x:c r="E30" s="66" t="n">
        <x:f>IF('使用说明'!$B$4=0,C30,D30)</x:f>
        <x:v>200</x:v>
      </x:c>
      <x:c r="F30" s="65" t="str">
        <x:v>金币</x:v>
      </x:c>
      <x:c r="G30" s="65" t="str">
        <x:v>app.js:477 · BOSS_CONFIG</x:v>
      </x:c>
      <x:c r="H30" s="65" t="str">
        <x:v>最后一波最后一只，主线每局1只</x:v>
      </x:c>
    </x:row>
    <x:row r="31" ht="44" customHeight="1">
      <x:c r="A31" s="62" t="str">
        <x:v>bossSkill</x:v>
      </x:c>
      <x:c r="B31" s="65" t="str">
        <x:v>Boss狂暴CD</x:v>
      </x:c>
      <x:c r="C31" s="88" t="n">
        <x:v>7</x:v>
      </x:c>
      <x:c r="D31" s="89" t="n">
        <x:v>7</x:v>
      </x:c>
      <x:c r="E31" s="66" t="n">
        <x:f>IF('使用说明'!$B$4=0,C31,D31)</x:f>
        <x:v>7</x:v>
      </x:c>
      <x:c r="F31" s="65" t="str">
        <x:v>秒</x:v>
      </x:c>
      <x:c r="G31" s="65" t="str">
        <x:v>app.js:477 · BOSS_CONFIG</x:v>
      </x:c>
      <x:c r="H31" s="65" t="str">
        <x:v>每7秒直接伤害防线，并加速场上怪物</x:v>
      </x:c>
    </x:row>
    <x:row r="32" ht="44" customHeight="1">
      <x:c r="A32" s="62" t="str">
        <x:v>bossEnrageSeconds</x:v>
      </x:c>
      <x:c r="B32" s="65" t="str">
        <x:v>狂暴持续时间</x:v>
      </x:c>
      <x:c r="C32" s="88" t="n">
        <x:v>3</x:v>
      </x:c>
      <x:c r="D32" s="89" t="n">
        <x:v>3</x:v>
      </x:c>
      <x:c r="E32" s="66" t="n">
        <x:f>IF('使用说明'!$B$4=0,C32,D32)</x:f>
        <x:v>3</x:v>
      </x:c>
      <x:c r="F32" s="65" t="str">
        <x:v>秒</x:v>
      </x:c>
      <x:c r="G32" s="65" t="str">
        <x:v>app.js:477 · BOSS_CONFIG</x:v>
      </x:c>
      <x:c r="H32" s="65" t="str">
        <x:v>与漏怪伤害是两个来源</x:v>
      </x:c>
    </x:row>
    <x:row r="33" ht="44" customHeight="1">
      <x:c r="A33" s="62" t="str">
        <x:v>bossEnrageSpeed</x:v>
      </x:c>
      <x:c r="B33" s="65" t="str">
        <x:v>狂暴移动倍率</x:v>
      </x:c>
      <x:c r="C33" s="88" t="n">
        <x:v>1.4</x:v>
      </x:c>
      <x:c r="D33" s="89" t="n">
        <x:v>1.4</x:v>
      </x:c>
      <x:c r="E33" s="66" t="n">
        <x:f>IF('使用说明'!$B$4=0,C33,D33)</x:f>
        <x:v>1.4</x:v>
      </x:c>
      <x:c r="F33" s="65" t="str">
        <x:v>倍</x:v>
      </x:c>
      <x:c r="G33" s="65" t="str">
        <x:v>app.js:477 · BOSS_CONFIG</x:v>
      </x:c>
      <x:c r="H33" s="65" t="str">
        <x:v>全场怪物生效</x:v>
      </x:c>
    </x:row>
    <x:row r="34" ht="44" customHeight="1">
      <x:c r="A34" s="62" t="str">
        <x:v>bossDefenseHit</x:v>
      </x:c>
      <x:c r="B34" s="65" t="str">
        <x:v>狂暴防线伤害</x:v>
      </x:c>
      <x:c r="C34" s="88" t="n">
        <x:v>0</x:v>
      </x:c>
      <x:c r="D34" s="89" t="n">
        <x:v>0</x:v>
      </x:c>
      <x:c r="E34" s="66" t="n">
        <x:f>IF('使用说明'!$B$4=0,C34,D34)</x:f>
        <x:v>0</x:v>
      </x:c>
      <x:c r="F34" s="65" t="str">
        <x:v>HP/次</x:v>
      </x:c>
      <x:c r="G34" s="65" t="str">
        <x:v>app.js:477 · BOSS_CONFIG</x:v>
      </x:c>
      <x:c r="H34" s="65" t="str">
        <x:v>Boss仍在场即可触发，不必走出棋盘</x:v>
      </x:c>
    </x:row>
    <x:row r="35" ht="44" customHeight="1">
      <x:c r="A35" s="62" t="str">
        <x:v>bossDodge</x:v>
      </x:c>
      <x:c r="B35" s="65" t="str">
        <x:v>Boss闪避值</x:v>
      </x:c>
      <x:c r="C35" s="88" t="n">
        <x:v>100</x:v>
      </x:c>
      <x:c r="D35" s="89" t="n">
        <x:v>100</x:v>
      </x:c>
      <x:c r="E35" s="66" t="n">
        <x:f>IF('使用说明'!$B$4=0,C35,D35)</x:f>
        <x:v>100</x:v>
      </x:c>
      <x:c r="F35" s="65" t="str">
        <x:v>固定值</x:v>
      </x:c>
      <x:c r="G35" s="65" t="str">
        <x:v>app.js:170 · BOSS_COMBAT_RATINGS</x:v>
      </x:c>
      <x:c r="H35" s="65" t="str">
        <x:v>当前与其他怪同为100</x:v>
      </x:c>
    </x:row>
    <x:row r="36" ht="44" customHeight="1">
      <x:c r="A36" s="62" t="str">
        <x:v>bossResilience</x:v>
      </x:c>
      <x:c r="B36" s="65" t="str">
        <x:v>Boss韧性值</x:v>
      </x:c>
      <x:c r="C36" s="88" t="n">
        <x:v>0</x:v>
      </x:c>
      <x:c r="D36" s="89" t="n">
        <x:v>0</x:v>
      </x:c>
      <x:c r="E36" s="66" t="n">
        <x:f>IF('使用说明'!$B$4=0,C36,D36)</x:f>
        <x:v>0</x:v>
      </x:c>
      <x:c r="F36" s="65" t="str">
        <x:v>固定值</x:v>
      </x:c>
      <x:c r="G36" s="65" t="str">
        <x:v>app.js:170 · BOSS_COMBAT_RATINGS</x:v>
      </x:c>
      <x:c r="H36" s="65" t="str">
        <x:v>当前为0</x:v>
      </x:c>
    </x:row>
    <x:row r="37" ht="44" customHeight="1">
      <x:c r="A37" s="62" t="str">
        <x:v>raidWaves</x:v>
      </x:c>
      <x:c r="B37" s="65" t="str">
        <x:v>军报波数</x:v>
      </x:c>
      <x:c r="C37" s="88" t="n">
        <x:v>10</x:v>
      </x:c>
      <x:c r="D37" s="89" t="n">
        <x:v>10</x:v>
      </x:c>
      <x:c r="E37" s="66" t="n">
        <x:f>IF('使用说明'!$B$4=0,C37,D37)</x:f>
        <x:v>10</x:v>
      </x:c>
      <x:c r="F37" s="65" t="str">
        <x:v>波</x:v>
      </x:c>
      <x:c r="G37" s="65" t="str">
        <x:v>app.js:82 · ARMY_REPORT_CONFIG</x:v>
      </x:c>
      <x:c r="H37" s="65" t="str">
        <x:v>当前10波</x:v>
      </x:c>
    </x:row>
    <x:row r="38" ht="44" customHeight="1">
      <x:c r="A38" s="62" t="str">
        <x:v>raidBossEvery</x:v>
      </x:c>
      <x:c r="B38" s="65" t="str">
        <x:v>军报Boss波间隔</x:v>
      </x:c>
      <x:c r="C38" s="88" t="n">
        <x:v>5</x:v>
      </x:c>
      <x:c r="D38" s="89" t="n">
        <x:v>5</x:v>
      </x:c>
      <x:c r="E38" s="66" t="n">
        <x:f>IF('使用说明'!$B$4=0,C38,D38)</x:f>
        <x:v>5</x:v>
      </x:c>
      <x:c r="F38" s="65" t="str">
        <x:v>波</x:v>
      </x:c>
      <x:c r="G38" s="65" t="str">
        <x:v>app.js:82 · ARMY_REPORT_CONFIG</x:v>
      </x:c>
      <x:c r="H38" s="65" t="str">
        <x:v>第5/10波Boss</x:v>
      </x:c>
    </x:row>
    <x:row r="39" ht="44" customHeight="1">
      <x:c r="A39" s="62" t="str">
        <x:v>raidCountBase</x:v>
      </x:c>
      <x:c r="B39" s="65" t="str">
        <x:v>军报怪物数常数</x:v>
      </x:c>
      <x:c r="C39" s="88" t="n">
        <x:v>6</x:v>
      </x:c>
      <x:c r="D39" s="89" t="n">
        <x:v>6</x:v>
      </x:c>
      <x:c r="E39" s="66" t="n">
        <x:f>IF('使用说明'!$B$4=0,C39,D39)</x:f>
        <x:v>6</x:v>
      </x:c>
      <x:c r="F39" s="65" t="str">
        <x:v>只</x:v>
      </x:c>
      <x:c r="G39" s="65" t="str">
        <x:v>app.js:3144 · startWave</x:v>
      </x:c>
      <x:c r="H39" s="65" t="str">
        <x:v>其他数量项与主线相同</x:v>
      </x:c>
    </x:row>
    <x:row r="40" ht="44" customHeight="1">
      <x:c r="A40" s="62" t="str">
        <x:v>raidDifficulty</x:v>
      </x:c>
      <x:c r="B40" s="65" t="str">
        <x:v>军报血量难度倍率</x:v>
      </x:c>
      <x:c r="C40" s="88" t="n">
        <x:v>1.12</x:v>
      </x:c>
      <x:c r="D40" s="89" t="n">
        <x:v>1.12</x:v>
      </x:c>
      <x:c r="E40" s="66" t="n">
        <x:f>IF('使用说明'!$B$4=0,C40,D40)</x:f>
        <x:v>1.12</x:v>
      </x:c>
      <x:c r="F40" s="65" t="str">
        <x:v>倍</x:v>
      </x:c>
      <x:c r="G40" s="65" t="str">
        <x:v>app.js:82 · ARMY_REPORT_CONFIG</x:v>
      </x:c>
      <x:c r="H40" s="65" t="str">
        <x:v>血量放大，非怪物数倍率</x:v>
      </x:c>
    </x:row>
    <x:row r="41" ht="44" customHeight="1">
      <x:c r="A41" s="62" t="str">
        <x:v>spawnY</x:v>
      </x:c>
      <x:c r="B41" s="65" t="str">
        <x:v>怪物初始纵坐标</x:v>
      </x:c>
      <x:c r="C41" s="88" t="n">
        <x:v>-5.45</x:v>
      </x:c>
      <x:c r="D41" s="89" t="n">
        <x:v>-5.45</x:v>
      </x:c>
      <x:c r="E41" s="66" t="n">
        <x:f>IF('使用说明'!$B$4=0,C41,D41)</x:f>
        <x:v>-5.45</x:v>
      </x:c>
      <x:c r="F41" s="65" t="str">
        <x:v>格</x:v>
      </x:c>
      <x:c r="G41" s="65" t="str">
        <x:v>app.js:3265 · spawnMonster</x:v>
      </x:c>
      <x:c r="H41" s="65" t="str">
        <x:v>走出棋盘y≥6才漏怪；Boss技能伤害另算</x:v>
      </x:c>
    </x:row>
    <x:row r="42" ht="44" customHeight="1">
      <x:c r="A42" s="62" t="str">
        <x:v>leakY</x:v>
      </x:c>
      <x:c r="B42" s="65" t="str">
        <x:v>防线边界纵坐标</x:v>
      </x:c>
      <x:c r="C42" s="88" t="n">
        <x:v>6</x:v>
      </x:c>
      <x:c r="D42" s="89" t="n">
        <x:v>6</x:v>
      </x:c>
      <x:c r="E42" s="66" t="n">
        <x:f>IF('使用说明'!$B$4=0,C42,D42)</x:f>
        <x:v>6</x:v>
      </x:c>
      <x:c r="F42" s="65" t="str">
        <x:v>格</x:v>
      </x:c>
      <x:c r="G42" s="65" t="str">
        <x:v>app.js:8 · BOARD_SIZE</x:v>
      </x:c>
      <x:c r="H42" s="65" t="str">
        <x:v>最后一排中心y=5</x:v>
      </x:c>
    </x:row>
    <x:row r="43" ht="44" customHeight="1">
      <x:c r="A43" s="62" t="str">
        <x:v>hitBase</x:v>
      </x:c>
      <x:c r="B43" s="65" t="str">
        <x:v>武将基础命中值</x:v>
      </x:c>
      <x:c r="C43" s="88" t="n">
        <x:v>100</x:v>
      </x:c>
      <x:c r="D43" s="89" t="n">
        <x:v>100</x:v>
      </x:c>
      <x:c r="E43" s="66" t="n">
        <x:f>IF('使用说明'!$B$4=0,C43,D43)</x:f>
        <x:v>100</x:v>
      </x:c>
      <x:c r="F43" s="65" t="str">
        <x:v>固定值</x:v>
      </x:c>
      <x:c r="G43" s="65" t="str">
        <x:v>app.js:148 · COMBAT_RATING_CONFIG</x:v>
      </x:c>
      <x:c r="H43" s="65" t="str">
        <x:v>命中&gt;=闪避时100%命中；否则命中/闪避</x:v>
      </x:c>
    </x:row>
    <x:row r="44" ht="44" customHeight="1">
      <x:c r="A44" s="62" t="str">
        <x:v>critBase</x:v>
      </x:c>
      <x:c r="B44" s="65" t="str">
        <x:v>武将基础暴击值</x:v>
      </x:c>
      <x:c r="C44" s="88" t="n">
        <x:v>0</x:v>
      </x:c>
      <x:c r="D44" s="89" t="n">
        <x:v>0</x:v>
      </x:c>
      <x:c r="E44" s="66" t="n">
        <x:f>IF('使用说明'!$B$4=0,C44,D44)</x:f>
        <x:v>0</x:v>
      </x:c>
      <x:c r="F44" s="65" t="str">
        <x:v>固定值</x:v>
      </x:c>
      <x:c r="G44" s="65" t="str">
        <x:v>app.js:148 · COMBAT_RATING_CONFIG</x:v>
      </x:c>
      <x:c r="H44" s="65" t="str">
        <x:v>不是暴击概率</x:v>
      </x:c>
    </x:row>
    <x:row r="45" ht="44" customHeight="1">
      <x:c r="A45" s="62" t="str">
        <x:v>critK</x:v>
      </x:c>
      <x:c r="B45" s="65" t="str">
        <x:v>暴击差值系数K</x:v>
      </x:c>
      <x:c r="C45" s="88" t="n">
        <x:v>0.005</x:v>
      </x:c>
      <x:c r="D45" s="89" t="n">
        <x:v>0.005</x:v>
      </x:c>
      <x:c r="E45" s="66" t="n">
        <x:f>IF('使用说明'!$B$4=0,C45,D45)</x:f>
        <x:v>0.005</x:v>
      </x:c>
      <x:c r="F45" s="65" t="str">
        <x:v>系数</x:v>
      </x:c>
      <x:c r="G45" s="65" t="str">
        <x:v>app.js:148 · COMBAT_RATING_CONFIG</x:v>
      </x:c>
      <x:c r="H45" s="65" t="str">
        <x:v>概率=(max(0,暴击-韧性)×K+4)/100；系数并非0.5%</x:v>
      </x:c>
    </x:row>
    <x:row r="46" ht="44" customHeight="1">
      <x:c r="A46" s="62" t="str">
        <x:v>critFlat</x:v>
      </x:c>
      <x:c r="B46" s="65" t="str">
        <x:v>固定暴击参数</x:v>
      </x:c>
      <x:c r="C46" s="88" t="n">
        <x:v>4</x:v>
      </x:c>
      <x:c r="D46" s="89" t="n">
        <x:v>4</x:v>
      </x:c>
      <x:c r="E46" s="66" t="n">
        <x:f>IF('使用说明'!$B$4=0,C46,D46)</x:f>
        <x:v>4</x:v>
      </x:c>
      <x:c r="F46" s="65" t="str">
        <x:v>百分数值</x:v>
      </x:c>
      <x:c r="G46" s="65" t="str">
        <x:v>app.js:148 · COMBAT_RATING_CONFIG</x:v>
      </x:c>
      <x:c r="H46" s="65" t="str">
        <x:v>4表示4%，不是0.04</x:v>
      </x:c>
    </x:row>
    <x:row r="47" ht="44" customHeight="1">
      <x:c r="A47" s="62" t="str">
        <x:v>critDamage</x:v>
      </x:c>
      <x:c r="B47" s="65" t="str">
        <x:v>暴击伤害倍数</x:v>
      </x:c>
      <x:c r="C47" s="88" t="n">
        <x:v>1.5</x:v>
      </x:c>
      <x:c r="D47" s="89" t="n">
        <x:v>1.5</x:v>
      </x:c>
      <x:c r="E47" s="66" t="n">
        <x:f>IF('使用说明'!$B$4=0,C47,D47)</x:f>
        <x:v>1.5</x:v>
      </x:c>
      <x:c r="F47" s="65" t="str">
        <x:v>倍</x:v>
      </x:c>
      <x:c r="G47" s="65" t="str">
        <x:v>app.js:148 · COMBAT_RATING_CONFIG</x:v>
      </x:c>
      <x:c r="H47" s="65" t="str">
        <x:v>默认1.5倍</x:v>
      </x:c>
    </x:row>
    <x:row r="48" ht="44" customHeight="1">
      <x:c r="A48" s="62" t="str">
        <x:v>mergeAttackFactor</x:v>
      </x:c>
      <x:c r="B48" s="65" t="str">
        <x:v>棋子升级攻击倍数</x:v>
      </x:c>
      <x:c r="C48" s="88" t="n">
        <x:v>1.8</x:v>
      </x:c>
      <x:c r="D48" s="89" t="n">
        <x:v>1.8</x:v>
      </x:c>
      <x:c r="E48" s="66" t="n">
        <x:f>IF('使用说明'!$B$4=0,C48,D48)</x:f>
        <x:v>1.8</x:v>
      </x:c>
      <x:c r="F48" s="65" t="str">
        <x:v>倍/级</x:v>
      </x:c>
      <x:c r="G48" s="65" t="str">
        <x:v>app.js:3330 · attackMonsters</x:v>
      </x:c>
      <x:c r="H48" s="65" t="str">
        <x:v>装备攻击是相加项，不再乘1.8的局内等级项</x:v>
      </x:c>
    </x:row>
    <x:row r="49" ht="44" customHeight="1">
      <x:c r="A49" s="62" t="str">
        <x:v>prepSeconds</x:v>
      </x:c>
      <x:c r="B49" s="65" t="str">
        <x:v>每波操作期耗时假设</x:v>
      </x:c>
      <x:c r="C49" s="88" t="n">
        <x:v>6</x:v>
      </x:c>
      <x:c r="D49" s="89" t="n">
        <x:v>6</x:v>
      </x:c>
      <x:c r="E49" s="66" t="n">
        <x:f>IF('使用说明'!$B$4=0,C49,D49)</x:f>
        <x:v>6</x:v>
      </x:c>
      <x:c r="F49" s="65" t="str">
        <x:v>秒/波</x:v>
      </x:c>
      <x:c r="G49" s="65" t="str">
        <x:v>试算假设（非工程配置）</x:v>
      </x:c>
      <x:c r="H49" s="65" t="str">
        <x:v>玩家行为假设；不包含广告/选卡停顿，可调</x:v>
      </x:c>
    </x:row>
    <x:row r="50" ht="44" customHeight="1">
      <x:c r="A50" s="62" t="str">
        <x:v>tailSeconds</x:v>
      </x:c>
      <x:c r="B50" s="65" t="str">
        <x:v>每波尾怪清理耗时假设</x:v>
      </x:c>
      <x:c r="C50" s="88" t="n">
        <x:v>4</x:v>
      </x:c>
      <x:c r="D50" s="89" t="n">
        <x:v>4</x:v>
      </x:c>
      <x:c r="E50" s="66" t="n">
        <x:f>IF('使用说明'!$B$4=0,C50,D50)</x:f>
        <x:v>4</x:v>
      </x:c>
      <x:c r="F50" s="65" t="str">
        <x:v>秒/波</x:v>
      </x:c>
      <x:c r="G50" s="65" t="str">
        <x:v>试算假设（非工程配置）</x:v>
      </x:c>
      <x:c r="H50" s="65" t="str">
        <x:v>估计，不能当成实测战斗时长</x:v>
      </x:c>
    </x:row>
    <x:row r="51" ht="44" customHeight="1">
      <x:c r="A51" s="62" t="str">
        <x:v>targetMinutes</x:v>
      </x:c>
      <x:c r="B51" s="65" t="str">
        <x:v>目标主线单局时长</x:v>
      </x:c>
      <x:c r="C51" s="88" t="n">
        <x:v>3</x:v>
      </x:c>
      <x:c r="D51" s="89" t="n">
        <x:v>3</x:v>
      </x:c>
      <x:c r="E51" s="66" t="n">
        <x:f>IF('使用说明'!$B$4=0,C51,D51)</x:f>
        <x:v>3</x:v>
      </x:c>
      <x:c r="F51" s="65" t="str">
        <x:v>分钟</x:v>
      </x:c>
      <x:c r="G51" s="65" t="str">
        <x:v>试算假设（非工程配置）</x:v>
      </x:c>
      <x:c r="H51" s="65" t="str">
        <x:v>延续用户提出的目标，出怪下限超出则必须调整数量/间隔</x:v>
      </x:c>
    </x:row>
    <x:row r="52" ht="44" customHeight="1">
      <x:c r="A52" s="62" t="str">
        <x:v>cardStep0</x:v>
      </x:c>
      <x:c r="B52" s="65" t="str">
        <x:v>第1张卡所需新增击杀</x:v>
      </x:c>
      <x:c r="C52" s="88" t="n">
        <x:v>4</x:v>
      </x:c>
      <x:c r="D52" s="89" t="n">
        <x:v>4</x:v>
      </x:c>
      <x:c r="E52" s="66" t="n">
        <x:f>IF('使用说明'!$B$4=0,C52,D52)</x:f>
        <x:v>4</x:v>
      </x:c>
      <x:c r="F52" s="65" t="str">
        <x:v>只</x:v>
      </x:c>
      <x:c r="G52" s="65" t="str">
        <x:v>app.js:25 · CARD_KILL_STEPS</x:v>
      </x:c>
      <x:c r="H52" s="65" t="str">
        <x:v>每次选卡后重置计数；累计94击杀才够6张</x:v>
      </x:c>
    </x:row>
    <x:row r="53" ht="44" customHeight="1">
      <x:c r="A53" s="62" t="str">
        <x:v>cardStep1</x:v>
      </x:c>
      <x:c r="B53" s="65" t="str">
        <x:v>第2张卡所需新增击杀</x:v>
      </x:c>
      <x:c r="C53" s="88" t="n">
        <x:v>8</x:v>
      </x:c>
      <x:c r="D53" s="89" t="n">
        <x:v>8</x:v>
      </x:c>
      <x:c r="E53" s="66" t="n">
        <x:f>IF('使用说明'!$B$4=0,C53,D53)</x:f>
        <x:v>8</x:v>
      </x:c>
      <x:c r="F53" s="65" t="str">
        <x:v>只</x:v>
      </x:c>
      <x:c r="G53" s="65" t="str">
        <x:v>app.js:25 · CARD_KILL_STEPS</x:v>
      </x:c>
      <x:c r="H53" s="65" t="str">
        <x:v>每次选卡后重置计数；累计94击杀才够6张</x:v>
      </x:c>
    </x:row>
    <x:row r="54" ht="44" customHeight="1">
      <x:c r="A54" s="62" t="str">
        <x:v>cardStep2</x:v>
      </x:c>
      <x:c r="B54" s="65" t="str">
        <x:v>第3张卡所需新增击杀</x:v>
      </x:c>
      <x:c r="C54" s="88" t="n">
        <x:v>13</x:v>
      </x:c>
      <x:c r="D54" s="89" t="n">
        <x:v>13</x:v>
      </x:c>
      <x:c r="E54" s="66" t="n">
        <x:f>IF('使用说明'!$B$4=0,C54,D54)</x:f>
        <x:v>13</x:v>
      </x:c>
      <x:c r="F54" s="65" t="str">
        <x:v>只</x:v>
      </x:c>
      <x:c r="G54" s="65" t="str">
        <x:v>app.js:25 · CARD_KILL_STEPS</x:v>
      </x:c>
      <x:c r="H54" s="65" t="str">
        <x:v>每次选卡后重置计数；累计94击杀才够6张</x:v>
      </x:c>
    </x:row>
    <x:row r="55" ht="44" customHeight="1">
      <x:c r="A55" s="62" t="str">
        <x:v>cardStep3</x:v>
      </x:c>
      <x:c r="B55" s="65" t="str">
        <x:v>第4张卡所需新增击杀</x:v>
      </x:c>
      <x:c r="C55" s="88" t="n">
        <x:v>18</x:v>
      </x:c>
      <x:c r="D55" s="89" t="n">
        <x:v>18</x:v>
      </x:c>
      <x:c r="E55" s="66" t="n">
        <x:f>IF('使用说明'!$B$4=0,C55,D55)</x:f>
        <x:v>18</x:v>
      </x:c>
      <x:c r="F55" s="65" t="str">
        <x:v>只</x:v>
      </x:c>
      <x:c r="G55" s="65" t="str">
        <x:v>app.js:25 · CARD_KILL_STEPS</x:v>
      </x:c>
      <x:c r="H55" s="65" t="str">
        <x:v>每次选卡后重置计数；累计94击杀才够6张</x:v>
      </x:c>
    </x:row>
    <x:row r="56" ht="44" customHeight="1">
      <x:c r="A56" s="62" t="str">
        <x:v>cardStep4</x:v>
      </x:c>
      <x:c r="B56" s="65" t="str">
        <x:v>第5张卡所需新增击杀</x:v>
      </x:c>
      <x:c r="C56" s="88" t="n">
        <x:v>23</x:v>
      </x:c>
      <x:c r="D56" s="89" t="n">
        <x:v>23</x:v>
      </x:c>
      <x:c r="E56" s="66" t="n">
        <x:f>IF('使用说明'!$B$4=0,C56,D56)</x:f>
        <x:v>23</x:v>
      </x:c>
      <x:c r="F56" s="65" t="str">
        <x:v>只</x:v>
      </x:c>
      <x:c r="G56" s="65" t="str">
        <x:v>app.js:25 · CARD_KILL_STEPS</x:v>
      </x:c>
      <x:c r="H56" s="65" t="str">
        <x:v>每次选卡后重置计数；累计94击杀才够6张</x:v>
      </x:c>
    </x:row>
    <x:row r="57" ht="44" customHeight="1">
      <x:c r="A57" s="62" t="str">
        <x:v>cardStep5</x:v>
      </x:c>
      <x:c r="B57" s="65" t="str">
        <x:v>第6张卡所需新增击杀</x:v>
      </x:c>
      <x:c r="C57" s="88" t="n">
        <x:v>28</x:v>
      </x:c>
      <x:c r="D57" s="89" t="n">
        <x:v>28</x:v>
      </x:c>
      <x:c r="E57" s="66" t="n">
        <x:f>IF('使用说明'!$B$4=0,C57,D57)</x:f>
        <x:v>28</x:v>
      </x:c>
      <x:c r="F57" s="65" t="str">
        <x:v>只</x:v>
      </x:c>
      <x:c r="G57" s="65" t="str">
        <x:v>app.js:25 · CARD_KILL_STEPS</x:v>
      </x:c>
      <x:c r="H57" s="65" t="str">
        <x:v>每次选卡后重置计数；累计94击杀才够6张</x:v>
      </x:c>
    </x:row>
  </x:sheetData>
  <x:mergeCells>
    <x:mergeCell ref="A1:H2"/>
    <x:mergeCell ref="A3:H3"/>
    <x:mergeCell ref="B4:D4"/>
  </x:mergeCells>
  <x:dataValidations count="11">
    <x:dataValidation type="decimal" operator="between" sqref="D7:D57">
      <x:formula1>0</x:formula1>
      <x:formula2>1000000000</x:formula2>
    </x:dataValidation>
    <x:dataValidation type="decimal" operator="between" sqref="D41">
      <x:formula1>-100</x:formula1>
      <x:formula2>100</x:formula2>
    </x:dataValidation>
    <x:dataValidation type="decimal" operator="between" sqref="D24">
      <x:formula1>0.001</x:formula1>
      <x:formula2>100000</x:formula2>
    </x:dataValidation>
    <x:dataValidation type="decimal" operator="between" sqref="D25">
      <x:formula1>0.001</x:formula1>
      <x:formula2>100000</x:formula2>
    </x:dataValidation>
    <x:dataValidation type="decimal" operator="between" sqref="D26">
      <x:formula1>0.001</x:formula1>
      <x:formula2>100000</x:formula2>
    </x:dataValidation>
    <x:dataValidation type="decimal" operator="between" sqref="D27">
      <x:formula1>0.001</x:formula1>
      <x:formula2>100000</x:formula2>
    </x:dataValidation>
    <x:dataValidation type="decimal" operator="between" sqref="D31">
      <x:formula1>0.001</x:formula1>
      <x:formula2>100000</x:formula2>
    </x:dataValidation>
    <x:dataValidation type="decimal" operator="between" sqref="D38">
      <x:formula1>0.001</x:formula1>
      <x:formula2>100000</x:formula2>
    </x:dataValidation>
    <x:dataValidation type="whole" operator="between" sqref="D7">
      <x:formula1>1</x:formula1>
      <x:formula2>7</x:formula2>
    </x:dataValidation>
    <x:dataValidation type="whole" operator="between" sqref="D8">
      <x:formula1>1</x:formula1>
      <x:formula2>7</x:formula2>
    </x:dataValidation>
    <x:dataValidation type="whole" operator="between" sqref="D37">
      <x:formula1>1</x:formula1>
      <x:formula2>10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8B9C9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9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49" hidden="0" customWidth="1"/>
    <x:col min="8" max="8" width="58" hidden="0" customWidth="1"/>
  </x:cols>
  <x:sheetData>
    <x:row r="1" ht="23" customHeight="1">
      <x:c r="A1" s="59" t="str">
        <x:v>09｜怪物模板与章节出场表</x:v>
      </x:c>
      <x:c r="B1" s="60"/>
      <x:c r="C1" s="60"/>
      <x:c r="D1" s="60"/>
      <x:c r="E1" s="60"/>
      <x:c r="F1" s="60"/>
      <x:c r="G1" s="60"/>
      <x:c r="H1" s="60"/>
      <x:c r="I1" s="97"/>
      <x:c r="J1" s="97"/>
      <x:c r="K1" s="97"/>
    </x:row>
    <x:row r="2" ht="23" customHeight="1">
      <x:c r="A2" s="60"/>
      <x:c r="B2" s="60"/>
      <x:c r="C2" s="60"/>
      <x:c r="D2" s="60"/>
      <x:c r="E2" s="60"/>
      <x:c r="F2" s="60"/>
      <x:c r="G2" s="60"/>
      <x:c r="H2" s="60"/>
      <x:c r="I2" s="97"/>
      <x:c r="J2" s="97"/>
      <x:c r="K2" s="97"/>
    </x:row>
    <x:row r="3" ht="44" customHeight="1">
      <x:c r="A3" s="61" t="str">
        <x:v>每5关换地图，7张地图循环。旧LEVEL_WAVE_PROFILES数组未参与当前getWaveProfile；按CHAPTERS.roster读取。</x:v>
      </x:c>
      <x:c r="B3" s="61"/>
      <x:c r="C3" s="61"/>
      <x:c r="D3" s="61"/>
      <x:c r="E3" s="61"/>
      <x:c r="F3" s="61"/>
      <x:c r="G3" s="61"/>
      <x:c r="H3" s="61"/>
      <x:c r="I3" s="97"/>
      <x:c r="J3" s="97"/>
      <x:c r="K3" s="97"/>
    </x:row>
    <x:row r="4" ht="23" customHeight="1">
      <x:c r="A4" s="62" t="str">
        <x:v>采用方案</x:v>
      </x:c>
      <x:c r="B4" s="62" t="str">
        <x:f>IF('使用说明'!$B$4=0,"工程当前","调优试算")</x:f>
        <x:v>工程当前</x:v>
      </x:c>
      <x:c r="C4" s="62"/>
      <x:c r="D4" s="62"/>
      <x:c r="E4" s="62"/>
      <x:c r="F4" s="62"/>
      <x:c r="G4" s="62"/>
      <x:c r="H4" s="62"/>
      <x:c r="I4" s="97"/>
      <x:c r="J4" s="97"/>
      <x:c r="K4" s="97"/>
    </x:row>
    <x:row r="5" ht="23" customHeight="1">
      <x:c r="A5" s="62"/>
      <x:c r="B5" s="62"/>
      <x:c r="C5" s="62"/>
      <x:c r="D5" s="62"/>
      <x:c r="E5" s="62"/>
      <x:c r="F5" s="62"/>
      <x:c r="G5" s="62"/>
      <x:c r="H5" s="62"/>
      <x:c r="I5" s="97"/>
      <x:c r="J5" s="97"/>
      <x:c r="K5" s="97"/>
    </x:row>
    <x:row r="6" ht="36" customHeight="1">
      <x:c r="A6" s="64" t="str">
        <x:v>参数标识</x:v>
      </x:c>
      <x:c r="B6" s="64" t="str">
        <x:v>参数名称</x:v>
      </x:c>
      <x:c r="C6" s="64" t="str">
        <x:v>工程当前值</x:v>
      </x:c>
      <x:c r="D6" s="64" t="str">
        <x:v>调优试算值</x:v>
      </x:c>
      <x:c r="E6" s="64" t="str">
        <x:v>本次采用值</x:v>
      </x:c>
      <x:c r="F6" s="64" t="str">
        <x:v>单位</x:v>
      </x:c>
      <x:c r="G6" s="64" t="str">
        <x:v>代码来源</x:v>
      </x:c>
      <x:c r="H6" s="64" t="str">
        <x:v>口径与建议</x:v>
      </x:c>
      <x:c r="I6" s="97"/>
      <x:c r="J6" s="97"/>
      <x:c r="K6" s="97"/>
    </x:row>
    <x:row r="7" ht="44" customHeight="1">
      <x:c r="A7" s="62" t="str">
        <x:v>normalhp</x:v>
      </x:c>
      <x:c r="B7" s="65" t="str">
        <x:v>普通·生命倍率</x:v>
      </x:c>
      <x:c r="C7" s="88" t="n">
        <x:v>1</x:v>
      </x:c>
      <x:c r="D7" s="89" t="n">
        <x:v>1</x:v>
      </x:c>
      <x:c r="E7" s="66" t="n">
        <x:f>IF('使用说明'!$B$4=0,C7,D7)</x:f>
        <x:v>1</x:v>
      </x:c>
      <x:c r="F7" s="65" t="str">
        <x:v>倍</x:v>
      </x:c>
      <x:c r="G7" s="65" t="str">
        <x:v>app.js:397 · MONSTER_PROFILES</x:v>
      </x:c>
      <x:c r="H7" s="65" t="str">
        <x:v>当前全部种类闪避100、韧性0；资源形象随章节切换</x:v>
      </x:c>
      <x:c r="I7" s="97"/>
      <x:c r="J7" s="97"/>
      <x:c r="K7" s="97"/>
    </x:row>
    <x:row r="8" ht="44" customHeight="1">
      <x:c r="A8" s="62" t="str">
        <x:v>normalmove</x:v>
      </x:c>
      <x:c r="B8" s="65" t="str">
        <x:v>普通·每步移动</x:v>
      </x:c>
      <x:c r="C8" s="88" t="n">
        <x:v>1</x:v>
      </x:c>
      <x:c r="D8" s="89" t="n">
        <x:v>1</x:v>
      </x:c>
      <x:c r="E8" s="66" t="n">
        <x:f>IF('使用说明'!$B$4=0,C8,D8)</x:f>
        <x:v>1</x:v>
      </x:c>
      <x:c r="F8" s="65" t="str">
        <x:v>格</x:v>
      </x:c>
      <x:c r="G8" s="65" t="str">
        <x:v>app.js:397 · MONSTER_PROFILES</x:v>
      </x:c>
      <x:c r="H8" s="65" t="str">
        <x:v>当前全部种类闪避100、韧性0；资源形象随章节切换</x:v>
      </x:c>
      <x:c r="I8" s="97"/>
      <x:c r="J8" s="97"/>
      <x:c r="K8" s="97"/>
    </x:row>
    <x:row r="9" ht="44" customHeight="1">
      <x:c r="A9" s="62" t="str">
        <x:v>normalreward</x:v>
      </x:c>
      <x:c r="B9" s="65" t="str">
        <x:v>普通·击杀金币</x:v>
      </x:c>
      <x:c r="C9" s="88" t="n">
        <x:v>18</x:v>
      </x:c>
      <x:c r="D9" s="89" t="n">
        <x:v>4</x:v>
      </x:c>
      <x:c r="E9" s="66" t="n">
        <x:f>IF('使用说明'!$B$4=0,C9,D9)</x:f>
        <x:v>18</x:v>
      </x:c>
      <x:c r="F9" s="65" t="str">
        <x:v>金币</x:v>
      </x:c>
      <x:c r="G9" s="65" t="str">
        <x:v>app.js:397 · MONSTER_PROFILES</x:v>
      </x:c>
      <x:c r="H9" s="65" t="str">
        <x:v>当前全部种类闪避100、韧性0；资源形象随章节切换</x:v>
      </x:c>
      <x:c r="I9" s="97"/>
      <x:c r="J9" s="97"/>
      <x:c r="K9" s="97"/>
    </x:row>
    <x:row r="10" ht="44" customHeight="1">
      <x:c r="A10" s="62" t="str">
        <x:v>normaldodge</x:v>
      </x:c>
      <x:c r="B10" s="65" t="str">
        <x:v>普通·闪避值</x:v>
      </x:c>
      <x:c r="C10" s="88" t="n">
        <x:v>100</x:v>
      </x:c>
      <x:c r="D10" s="89" t="n">
        <x:v>100</x:v>
      </x:c>
      <x:c r="E10" s="66" t="n">
        <x:f>IF('使用说明'!$B$4=0,C10,D10)</x:f>
        <x:v>100</x:v>
      </x:c>
      <x:c r="F10" s="65" t="str">
        <x:v>固定值</x:v>
      </x:c>
      <x:c r="G10" s="65" t="str">
        <x:v>app.js:397 · MONSTER_PROFILES</x:v>
      </x:c>
      <x:c r="H10" s="65" t="str">
        <x:v>当前全部种类闪避100、韧性0；资源形象随章节切换</x:v>
      </x:c>
      <x:c r="I10" s="97"/>
      <x:c r="J10" s="97"/>
      <x:c r="K10" s="97"/>
    </x:row>
    <x:row r="11" ht="44" customHeight="1">
      <x:c r="A11" s="62" t="str">
        <x:v>normalresilience</x:v>
      </x:c>
      <x:c r="B11" s="65" t="str">
        <x:v>普通·韧性值</x:v>
      </x:c>
      <x:c r="C11" s="88" t="n">
        <x:v>0</x:v>
      </x:c>
      <x:c r="D11" s="89" t="n">
        <x:v>0</x:v>
      </x:c>
      <x:c r="E11" s="66" t="n">
        <x:f>IF('使用说明'!$B$4=0,C11,D11)</x:f>
        <x:v>0</x:v>
      </x:c>
      <x:c r="F11" s="65" t="str">
        <x:v>固定值</x:v>
      </x:c>
      <x:c r="G11" s="65" t="str">
        <x:v>app.js:397 · MONSTER_PROFILES</x:v>
      </x:c>
      <x:c r="H11" s="65" t="str">
        <x:v>当前全部种类闪避100、韧性0；资源形象随章节切换</x:v>
      </x:c>
      <x:c r="I11" s="97"/>
      <x:c r="J11" s="97"/>
      <x:c r="K11" s="97"/>
    </x:row>
    <x:row r="12" ht="44" customHeight="1">
      <x:c r="A12" s="62" t="str">
        <x:v>runnerhp</x:v>
      </x:c>
      <x:c r="B12" s="65" t="str">
        <x:v>疾行·生命倍率</x:v>
      </x:c>
      <x:c r="C12" s="88" t="n">
        <x:v>0.72</x:v>
      </x:c>
      <x:c r="D12" s="89" t="n">
        <x:v>0.72</x:v>
      </x:c>
      <x:c r="E12" s="66" t="n">
        <x:f>IF('使用说明'!$B$4=0,C12,D12)</x:f>
        <x:v>0.72</x:v>
      </x:c>
      <x:c r="F12" s="65" t="str">
        <x:v>倍</x:v>
      </x:c>
      <x:c r="G12" s="65" t="str">
        <x:v>app.js:397 · MONSTER_PROFILES</x:v>
      </x:c>
      <x:c r="H12" s="65" t="str">
        <x:v>当前全部种类闪避100、韧性0；资源形象随章节切换</x:v>
      </x:c>
      <x:c r="I12" s="97"/>
      <x:c r="J12" s="97"/>
      <x:c r="K12" s="97"/>
    </x:row>
    <x:row r="13" ht="44" customHeight="1">
      <x:c r="A13" s="62" t="str">
        <x:v>runnermove</x:v>
      </x:c>
      <x:c r="B13" s="65" t="str">
        <x:v>疾行·每步移动</x:v>
      </x:c>
      <x:c r="C13" s="88" t="n">
        <x:v>1.2</x:v>
      </x:c>
      <x:c r="D13" s="89" t="n">
        <x:v>1.2</x:v>
      </x:c>
      <x:c r="E13" s="66" t="n">
        <x:f>IF('使用说明'!$B$4=0,C13,D13)</x:f>
        <x:v>1.2</x:v>
      </x:c>
      <x:c r="F13" s="65" t="str">
        <x:v>格</x:v>
      </x:c>
      <x:c r="G13" s="65" t="str">
        <x:v>app.js:397 · MONSTER_PROFILES</x:v>
      </x:c>
      <x:c r="H13" s="65" t="str">
        <x:v>当前全部种类闪避100、韧性0；资源形象随章节切换</x:v>
      </x:c>
      <x:c r="I13" s="97"/>
      <x:c r="J13" s="97"/>
      <x:c r="K13" s="97"/>
    </x:row>
    <x:row r="14" ht="44" customHeight="1">
      <x:c r="A14" s="62" t="str">
        <x:v>runnerreward</x:v>
      </x:c>
      <x:c r="B14" s="65" t="str">
        <x:v>疾行·击杀金币</x:v>
      </x:c>
      <x:c r="C14" s="88" t="n">
        <x:v>20</x:v>
      </x:c>
      <x:c r="D14" s="89" t="n">
        <x:v>5</x:v>
      </x:c>
      <x:c r="E14" s="66" t="n">
        <x:f>IF('使用说明'!$B$4=0,C14,D14)</x:f>
        <x:v>20</x:v>
      </x:c>
      <x:c r="F14" s="65" t="str">
        <x:v>金币</x:v>
      </x:c>
      <x:c r="G14" s="65" t="str">
        <x:v>app.js:397 · MONSTER_PROFILES</x:v>
      </x:c>
      <x:c r="H14" s="65" t="str">
        <x:v>当前全部种类闪避100、韧性0；资源形象随章节切换</x:v>
      </x:c>
      <x:c r="I14" s="97"/>
      <x:c r="J14" s="97"/>
      <x:c r="K14" s="97"/>
    </x:row>
    <x:row r="15" ht="44" customHeight="1">
      <x:c r="A15" s="62" t="str">
        <x:v>runnerdodge</x:v>
      </x:c>
      <x:c r="B15" s="65" t="str">
        <x:v>疾行·闪避值</x:v>
      </x:c>
      <x:c r="C15" s="88" t="n">
        <x:v>100</x:v>
      </x:c>
      <x:c r="D15" s="89" t="n">
        <x:v>100</x:v>
      </x:c>
      <x:c r="E15" s="66" t="n">
        <x:f>IF('使用说明'!$B$4=0,C15,D15)</x:f>
        <x:v>100</x:v>
      </x:c>
      <x:c r="F15" s="65" t="str">
        <x:v>固定值</x:v>
      </x:c>
      <x:c r="G15" s="65" t="str">
        <x:v>app.js:397 · MONSTER_PROFILES</x:v>
      </x:c>
      <x:c r="H15" s="65" t="str">
        <x:v>当前全部种类闪避100、韧性0；资源形象随章节切换</x:v>
      </x:c>
      <x:c r="I15" s="97"/>
      <x:c r="J15" s="97"/>
      <x:c r="K15" s="97"/>
    </x:row>
    <x:row r="16" ht="44" customHeight="1">
      <x:c r="A16" s="62" t="str">
        <x:v>runnerresilience</x:v>
      </x:c>
      <x:c r="B16" s="65" t="str">
        <x:v>疾行·韧性值</x:v>
      </x:c>
      <x:c r="C16" s="88" t="n">
        <x:v>0</x:v>
      </x:c>
      <x:c r="D16" s="89" t="n">
        <x:v>0</x:v>
      </x:c>
      <x:c r="E16" s="66" t="n">
        <x:f>IF('使用说明'!$B$4=0,C16,D16)</x:f>
        <x:v>0</x:v>
      </x:c>
      <x:c r="F16" s="65" t="str">
        <x:v>固定值</x:v>
      </x:c>
      <x:c r="G16" s="65" t="str">
        <x:v>app.js:397 · MONSTER_PROFILES</x:v>
      </x:c>
      <x:c r="H16" s="65" t="str">
        <x:v>当前全部种类闪避100、韧性0；资源形象随章节切换</x:v>
      </x:c>
      <x:c r="I16" s="97"/>
      <x:c r="J16" s="97"/>
      <x:c r="K16" s="97"/>
    </x:row>
    <x:row r="17" ht="44" customHeight="1">
      <x:c r="A17" s="62" t="str">
        <x:v>brutehp</x:v>
      </x:c>
      <x:c r="B17" s="65" t="str">
        <x:v>重甲·生命倍率</x:v>
      </x:c>
      <x:c r="C17" s="88" t="n">
        <x:v>1.7</x:v>
      </x:c>
      <x:c r="D17" s="89" t="n">
        <x:v>1.7</x:v>
      </x:c>
      <x:c r="E17" s="66" t="n">
        <x:f>IF('使用说明'!$B$4=0,C17,D17)</x:f>
        <x:v>1.7</x:v>
      </x:c>
      <x:c r="F17" s="65" t="str">
        <x:v>倍</x:v>
      </x:c>
      <x:c r="G17" s="65" t="str">
        <x:v>app.js:397 · MONSTER_PROFILES</x:v>
      </x:c>
      <x:c r="H17" s="65" t="str">
        <x:v>当前全部种类闪避100、韧性0；资源形象随章节切换</x:v>
      </x:c>
      <x:c r="I17" s="97"/>
      <x:c r="J17" s="97"/>
      <x:c r="K17" s="97"/>
    </x:row>
    <x:row r="18" ht="44" customHeight="1">
      <x:c r="A18" s="62" t="str">
        <x:v>brutemove</x:v>
      </x:c>
      <x:c r="B18" s="65" t="str">
        <x:v>重甲·每步移动</x:v>
      </x:c>
      <x:c r="C18" s="88" t="n">
        <x:v>0.78</x:v>
      </x:c>
      <x:c r="D18" s="89" t="n">
        <x:v>0.78</x:v>
      </x:c>
      <x:c r="E18" s="66" t="n">
        <x:f>IF('使用说明'!$B$4=0,C18,D18)</x:f>
        <x:v>0.78</x:v>
      </x:c>
      <x:c r="F18" s="65" t="str">
        <x:v>格</x:v>
      </x:c>
      <x:c r="G18" s="65" t="str">
        <x:v>app.js:397 · MONSTER_PROFILES</x:v>
      </x:c>
      <x:c r="H18" s="65" t="str">
        <x:v>当前全部种类闪避100、韧性0；资源形象随章节切换</x:v>
      </x:c>
      <x:c r="I18" s="97"/>
      <x:c r="J18" s="97"/>
      <x:c r="K18" s="97"/>
    </x:row>
    <x:row r="19" ht="44" customHeight="1">
      <x:c r="A19" s="62" t="str">
        <x:v>brutereward</x:v>
      </x:c>
      <x:c r="B19" s="65" t="str">
        <x:v>重甲·击杀金币</x:v>
      </x:c>
      <x:c r="C19" s="88" t="n">
        <x:v>28</x:v>
      </x:c>
      <x:c r="D19" s="89" t="n">
        <x:v>6</x:v>
      </x:c>
      <x:c r="E19" s="66" t="n">
        <x:f>IF('使用说明'!$B$4=0,C19,D19)</x:f>
        <x:v>28</x:v>
      </x:c>
      <x:c r="F19" s="65" t="str">
        <x:v>金币</x:v>
      </x:c>
      <x:c r="G19" s="65" t="str">
        <x:v>app.js:397 · MONSTER_PROFILES</x:v>
      </x:c>
      <x:c r="H19" s="65" t="str">
        <x:v>当前全部种类闪避100、韧性0；资源形象随章节切换</x:v>
      </x:c>
      <x:c r="I19" s="97"/>
      <x:c r="J19" s="97"/>
      <x:c r="K19" s="97"/>
    </x:row>
    <x:row r="20" ht="44" customHeight="1">
      <x:c r="A20" s="62" t="str">
        <x:v>brutedodge</x:v>
      </x:c>
      <x:c r="B20" s="65" t="str">
        <x:v>重甲·闪避值</x:v>
      </x:c>
      <x:c r="C20" s="88" t="n">
        <x:v>100</x:v>
      </x:c>
      <x:c r="D20" s="89" t="n">
        <x:v>100</x:v>
      </x:c>
      <x:c r="E20" s="66" t="n">
        <x:f>IF('使用说明'!$B$4=0,C20,D20)</x:f>
        <x:v>100</x:v>
      </x:c>
      <x:c r="F20" s="65" t="str">
        <x:v>固定值</x:v>
      </x:c>
      <x:c r="G20" s="65" t="str">
        <x:v>app.js:397 · MONSTER_PROFILES</x:v>
      </x:c>
      <x:c r="H20" s="65" t="str">
        <x:v>当前全部种类闪避100、韧性0；资源形象随章节切换</x:v>
      </x:c>
      <x:c r="I20" s="97"/>
      <x:c r="J20" s="97"/>
      <x:c r="K20" s="97"/>
    </x:row>
    <x:row r="21" ht="44" customHeight="1">
      <x:c r="A21" s="62" t="str">
        <x:v>bruteresilience</x:v>
      </x:c>
      <x:c r="B21" s="65" t="str">
        <x:v>重甲·韧性值</x:v>
      </x:c>
      <x:c r="C21" s="88" t="n">
        <x:v>0</x:v>
      </x:c>
      <x:c r="D21" s="89" t="n">
        <x:v>0</x:v>
      </x:c>
      <x:c r="E21" s="66" t="n">
        <x:f>IF('使用说明'!$B$4=0,C21,D21)</x:f>
        <x:v>0</x:v>
      </x:c>
      <x:c r="F21" s="65" t="str">
        <x:v>固定值</x:v>
      </x:c>
      <x:c r="G21" s="65" t="str">
        <x:v>app.js:397 · MONSTER_PROFILES</x:v>
      </x:c>
      <x:c r="H21" s="65" t="str">
        <x:v>当前全部种类闪避100、韧性0；资源形象随章节切换</x:v>
      </x:c>
      <x:c r="I21" s="97"/>
      <x:c r="J21" s="97"/>
      <x:c r="K21" s="97"/>
    </x:row>
    <x:row r="22" ht="44" customHeight="1">
      <x:c r="A22" s="62" t="str">
        <x:v>elitehp</x:v>
      </x:c>
      <x:c r="B22" s="65" t="str">
        <x:v>精英·生命倍率</x:v>
      </x:c>
      <x:c r="C22" s="88" t="n">
        <x:v>1.35</x:v>
      </x:c>
      <x:c r="D22" s="89" t="n">
        <x:v>1.35</x:v>
      </x:c>
      <x:c r="E22" s="66" t="n">
        <x:f>IF('使用说明'!$B$4=0,C22,D22)</x:f>
        <x:v>1.35</x:v>
      </x:c>
      <x:c r="F22" s="65" t="str">
        <x:v>倍</x:v>
      </x:c>
      <x:c r="G22" s="65" t="str">
        <x:v>app.js:397 · MONSTER_PROFILES</x:v>
      </x:c>
      <x:c r="H22" s="65" t="str">
        <x:v>当前全部种类闪避100、韧性0；资源形象随章节切换</x:v>
      </x:c>
      <x:c r="I22" s="97"/>
      <x:c r="J22" s="97"/>
      <x:c r="K22" s="97"/>
    </x:row>
    <x:row r="23" ht="44" customHeight="1">
      <x:c r="A23" s="62" t="str">
        <x:v>elitemove</x:v>
      </x:c>
      <x:c r="B23" s="65" t="str">
        <x:v>精英·每步移动</x:v>
      </x:c>
      <x:c r="C23" s="88" t="n">
        <x:v>0.92</x:v>
      </x:c>
      <x:c r="D23" s="89" t="n">
        <x:v>0.92</x:v>
      </x:c>
      <x:c r="E23" s="66" t="n">
        <x:f>IF('使用说明'!$B$4=0,C23,D23)</x:f>
        <x:v>0.92</x:v>
      </x:c>
      <x:c r="F23" s="65" t="str">
        <x:v>格</x:v>
      </x:c>
      <x:c r="G23" s="65" t="str">
        <x:v>app.js:397 · MONSTER_PROFILES</x:v>
      </x:c>
      <x:c r="H23" s="65" t="str">
        <x:v>当前全部种类闪避100、韧性0；资源形象随章节切换</x:v>
      </x:c>
      <x:c r="I23" s="97"/>
      <x:c r="J23" s="97"/>
      <x:c r="K23" s="97"/>
    </x:row>
    <x:row r="24" ht="44" customHeight="1">
      <x:c r="A24" s="62" t="str">
        <x:v>elitereward</x:v>
      </x:c>
      <x:c r="B24" s="65" t="str">
        <x:v>精英·击杀金币</x:v>
      </x:c>
      <x:c r="C24" s="88" t="n">
        <x:v>34</x:v>
      </x:c>
      <x:c r="D24" s="89" t="n">
        <x:v>8</x:v>
      </x:c>
      <x:c r="E24" s="66" t="n">
        <x:f>IF('使用说明'!$B$4=0,C24,D24)</x:f>
        <x:v>34</x:v>
      </x:c>
      <x:c r="F24" s="65" t="str">
        <x:v>金币</x:v>
      </x:c>
      <x:c r="G24" s="65" t="str">
        <x:v>app.js:397 · MONSTER_PROFILES</x:v>
      </x:c>
      <x:c r="H24" s="65" t="str">
        <x:v>当前全部种类闪避100、韧性0；资源形象随章节切换</x:v>
      </x:c>
      <x:c r="I24" s="97"/>
      <x:c r="J24" s="97"/>
      <x:c r="K24" s="97"/>
    </x:row>
    <x:row r="25" ht="44" customHeight="1">
      <x:c r="A25" s="62" t="str">
        <x:v>elitedodge</x:v>
      </x:c>
      <x:c r="B25" s="65" t="str">
        <x:v>精英·闪避值</x:v>
      </x:c>
      <x:c r="C25" s="88" t="n">
        <x:v>100</x:v>
      </x:c>
      <x:c r="D25" s="89" t="n">
        <x:v>100</x:v>
      </x:c>
      <x:c r="E25" s="66" t="n">
        <x:f>IF('使用说明'!$B$4=0,C25,D25)</x:f>
        <x:v>100</x:v>
      </x:c>
      <x:c r="F25" s="65" t="str">
        <x:v>固定值</x:v>
      </x:c>
      <x:c r="G25" s="65" t="str">
        <x:v>app.js:397 · MONSTER_PROFILES</x:v>
      </x:c>
      <x:c r="H25" s="65" t="str">
        <x:v>当前全部种类闪避100、韧性0；资源形象随章节切换</x:v>
      </x:c>
      <x:c r="I25" s="97"/>
      <x:c r="J25" s="97"/>
      <x:c r="K25" s="97"/>
    </x:row>
    <x:row r="26" ht="44" customHeight="1">
      <x:c r="A26" s="62" t="str">
        <x:v>eliteresilience</x:v>
      </x:c>
      <x:c r="B26" s="65" t="str">
        <x:v>精英·韧性值</x:v>
      </x:c>
      <x:c r="C26" s="88" t="n">
        <x:v>0</x:v>
      </x:c>
      <x:c r="D26" s="89" t="n">
        <x:v>0</x:v>
      </x:c>
      <x:c r="E26" s="66" t="n">
        <x:f>IF('使用说明'!$B$4=0,C26,D26)</x:f>
        <x:v>0</x:v>
      </x:c>
      <x:c r="F26" s="65" t="str">
        <x:v>固定值</x:v>
      </x:c>
      <x:c r="G26" s="65" t="str">
        <x:v>app.js:397 · MONSTER_PROFILES</x:v>
      </x:c>
      <x:c r="H26" s="65" t="str">
        <x:v>当前全部种类闪避100、韧性0；资源形象随章节切换</x:v>
      </x:c>
      <x:c r="I26" s="97"/>
      <x:c r="J26" s="97"/>
      <x:c r="K26" s="97"/>
    </x:row>
    <x:row r="27">
      <x:c r="A27" s="97"/>
      <x:c r="B27" s="97"/>
      <x:c r="C27" s="97"/>
      <x:c r="D27" s="97"/>
      <x:c r="E27" s="97"/>
      <x:c r="F27" s="97"/>
      <x:c r="G27" s="97"/>
      <x:c r="H27" s="97"/>
      <x:c r="I27" s="97"/>
      <x:c r="J27" s="97"/>
      <x:c r="K27" s="97"/>
    </x:row>
    <x:row r="28">
      <x:c r="A28" s="97"/>
      <x:c r="B28" s="97"/>
      <x:c r="C28" s="97"/>
      <x:c r="D28" s="97"/>
      <x:c r="E28" s="97"/>
      <x:c r="F28" s="97"/>
      <x:c r="G28" s="97"/>
      <x:c r="H28" s="97"/>
      <x:c r="I28" s="97"/>
      <x:c r="J28" s="97"/>
      <x:c r="K28" s="97"/>
    </x:row>
    <x:row r="29">
      <x:c r="A29" s="97"/>
      <x:c r="B29" s="97"/>
      <x:c r="C29" s="97"/>
      <x:c r="D29" s="97"/>
      <x:c r="E29" s="97"/>
      <x:c r="F29" s="97"/>
      <x:c r="G29" s="97"/>
      <x:c r="H29" s="97"/>
      <x:c r="I29" s="97"/>
      <x:c r="J29" s="97"/>
      <x:c r="K29" s="97"/>
    </x:row>
    <x:row r="30" ht="36" customHeight="1">
      <x:c r="A30" s="98" t="str">
        <x:v>章节序号</x:v>
      </x:c>
      <x:c r="B30" s="98" t="str">
        <x:v>场景名</x:v>
      </x:c>
      <x:c r="C30" s="98" t="str">
        <x:v>场景资源</x:v>
      </x:c>
      <x:c r="D30" s="98" t="str">
        <x:v>Boss名称</x:v>
      </x:c>
      <x:c r="E30" s="98" t="str">
        <x:v>波1类型</x:v>
      </x:c>
      <x:c r="F30" s="98" t="str">
        <x:v>波2类型</x:v>
      </x:c>
      <x:c r="G30" s="98" t="str">
        <x:v>波3类型</x:v>
      </x:c>
      <x:c r="H30" s="98" t="str">
        <x:v>波4类型</x:v>
      </x:c>
      <x:c r="I30" s="98" t="str">
        <x:v>波5类型</x:v>
      </x:c>
      <x:c r="J30" s="98" t="str">
        <x:v>波6类型</x:v>
      </x:c>
      <x:c r="K30" s="98" t="str">
        <x:v>波7及以后</x:v>
      </x:c>
    </x:row>
    <x:row r="31">
      <x:c r="A31" s="97" t="n">
        <x:v>1</x:v>
      </x:c>
      <x:c r="B31" s="97" t="str">
        <x:v>冰雪荒原</x:v>
      </x:c>
      <x:c r="C31" s="97" t="str">
        <x:v>ice</x:v>
      </x:c>
      <x:c r="D31" s="97" t="str">
        <x:v>冰原巨像</x:v>
      </x:c>
      <x:c r="E31" s="116" t="str">
        <x:v>normal</x:v>
      </x:c>
      <x:c r="F31" s="116" t="str">
        <x:v>normal</x:v>
      </x:c>
      <x:c r="G31" s="116" t="str">
        <x:v>runner</x:v>
      </x:c>
      <x:c r="H31" s="116" t="str">
        <x:v>brute</x:v>
      </x:c>
      <x:c r="I31" s="116" t="str">
        <x:v>elite</x:v>
      </x:c>
      <x:c r="J31" s="116" t="str">
        <x:v>runner</x:v>
      </x:c>
      <x:c r="K31" s="116" t="str">
        <x:v>brute</x:v>
      </x:c>
    </x:row>
    <x:row r="32">
      <x:c r="A32" s="97" t="n">
        <x:v>2</x:v>
      </x:c>
      <x:c r="B32" s="97" t="str">
        <x:v>黄沙要塞</x:v>
      </x:c>
      <x:c r="C32" s="97" t="str">
        <x:v>desert</x:v>
      </x:c>
      <x:c r="D32" s="97" t="str">
        <x:v>沙暴魔将</x:v>
      </x:c>
      <x:c r="E32" s="116" t="str">
        <x:v>runner</x:v>
      </x:c>
      <x:c r="F32" s="116" t="str">
        <x:v>normal</x:v>
      </x:c>
      <x:c r="G32" s="116" t="str">
        <x:v>brute</x:v>
      </x:c>
      <x:c r="H32" s="116" t="str">
        <x:v>elite</x:v>
      </x:c>
      <x:c r="I32" s="116" t="str">
        <x:v>normal</x:v>
      </x:c>
      <x:c r="J32" s="116" t="str">
        <x:v>brute</x:v>
      </x:c>
      <x:c r="K32" s="116" t="str">
        <x:v>elite</x:v>
      </x:c>
    </x:row>
    <x:row r="33">
      <x:c r="A33" s="97" t="n">
        <x:v>3</x:v>
      </x:c>
      <x:c r="B33" s="97" t="str">
        <x:v>腐沼秘林</x:v>
      </x:c>
      <x:c r="C33" s="97" t="str">
        <x:v>swamp</x:v>
      </x:c>
      <x:c r="D33" s="97" t="str">
        <x:v>沼渊魔鳄</x:v>
      </x:c>
      <x:c r="E33" s="116" t="str">
        <x:v>normal</x:v>
      </x:c>
      <x:c r="F33" s="116" t="str">
        <x:v>runner</x:v>
      </x:c>
      <x:c r="G33" s="116" t="str">
        <x:v>brute</x:v>
      </x:c>
      <x:c r="H33" s="116" t="str">
        <x:v>elite</x:v>
      </x:c>
      <x:c r="I33" s="116" t="str">
        <x:v>runner</x:v>
      </x:c>
      <x:c r="J33" s="116" t="str">
        <x:v>brute</x:v>
      </x:c>
      <x:c r="K33" s="116" t="str">
        <x:v>elite</x:v>
      </x:c>
    </x:row>
    <x:row r="34">
      <x:c r="A34" s="97" t="n">
        <x:v>4</x:v>
      </x:c>
      <x:c r="B34" s="97" t="str">
        <x:v>翠野边城</x:v>
      </x:c>
      <x:c r="C34" s="97" t="str">
        <x:v>grass</x:v>
      </x:c>
      <x:c r="D34" s="97" t="str">
        <x:v>荆棘兽王</x:v>
      </x:c>
      <x:c r="E34" s="116" t="str">
        <x:v>runner</x:v>
      </x:c>
      <x:c r="F34" s="116" t="str">
        <x:v>normal</x:v>
      </x:c>
      <x:c r="G34" s="116" t="str">
        <x:v>brute</x:v>
      </x:c>
      <x:c r="H34" s="116" t="str">
        <x:v>elite</x:v>
      </x:c>
      <x:c r="I34" s="116" t="str">
        <x:v>normal</x:v>
      </x:c>
      <x:c r="J34" s="116" t="str">
        <x:v>runner</x:v>
      </x:c>
      <x:c r="K34" s="116" t="str">
        <x:v>elite</x:v>
      </x:c>
    </x:row>
    <x:row r="35">
      <x:c r="A35" s="97" t="n">
        <x:v>5</x:v>
      </x:c>
      <x:c r="B35" s="97" t="str">
        <x:v>雨林遗迹</x:v>
      </x:c>
      <x:c r="C35" s="97" t="str">
        <x:v>rainforest</x:v>
      </x:c>
      <x:c r="D35" s="97" t="str">
        <x:v>古树吞噬者</x:v>
      </x:c>
      <x:c r="E35" s="116" t="str">
        <x:v>normal</x:v>
      </x:c>
      <x:c r="F35" s="116" t="str">
        <x:v>runner</x:v>
      </x:c>
      <x:c r="G35" s="116" t="str">
        <x:v>brute</x:v>
      </x:c>
      <x:c r="H35" s="116" t="str">
        <x:v>elite</x:v>
      </x:c>
      <x:c r="I35" s="116" t="str">
        <x:v>runner</x:v>
      </x:c>
      <x:c r="J35" s="116" t="str">
        <x:v>brute</x:v>
      </x:c>
      <x:c r="K35" s="116" t="str">
        <x:v>elite</x:v>
      </x:c>
    </x:row>
    <x:row r="36">
      <x:c r="A36" s="97" t="n">
        <x:v>6</x:v>
      </x:c>
      <x:c r="B36" s="97" t="str">
        <x:v>熔岩山脉</x:v>
      </x:c>
      <x:c r="C36" s="97" t="str">
        <x:v>lava</x:v>
      </x:c>
      <x:c r="D36" s="97" t="str">
        <x:v>熔火领主</x:v>
      </x:c>
      <x:c r="E36" s="116" t="str">
        <x:v>runner</x:v>
      </x:c>
      <x:c r="F36" s="116" t="str">
        <x:v>normal</x:v>
      </x:c>
      <x:c r="G36" s="116" t="str">
        <x:v>brute</x:v>
      </x:c>
      <x:c r="H36" s="116" t="str">
        <x:v>elite</x:v>
      </x:c>
      <x:c r="I36" s="116" t="str">
        <x:v>normal</x:v>
      </x:c>
      <x:c r="J36" s="116" t="str">
        <x:v>brute</x:v>
      </x:c>
      <x:c r="K36" s="116" t="str">
        <x:v>elite</x:v>
      </x:c>
    </x:row>
    <x:row r="37">
      <x:c r="A37" s="97" t="n">
        <x:v>7</x:v>
      </x:c>
      <x:c r="B37" s="97" t="str">
        <x:v>魔法山脊</x:v>
      </x:c>
      <x:c r="C37" s="97" t="str">
        <x:v>magic</x:v>
      </x:c>
      <x:c r="D37" s="97" t="str">
        <x:v>星界监察者</x:v>
      </x:c>
      <x:c r="E37" s="116" t="str">
        <x:v>normal</x:v>
      </x:c>
      <x:c r="F37" s="116" t="str">
        <x:v>runner</x:v>
      </x:c>
      <x:c r="G37" s="116" t="str">
        <x:v>brute</x:v>
      </x:c>
      <x:c r="H37" s="116" t="str">
        <x:v>elite</x:v>
      </x:c>
      <x:c r="I37" s="116" t="str">
        <x:v>runner</x:v>
      </x:c>
      <x:c r="J37" s="116" t="str">
        <x:v>brute</x:v>
      </x:c>
      <x:c r="K37" s="116" t="str">
        <x:v>elite</x:v>
      </x:c>
    </x:row>
    <x:row r="38">
      <x:c r="A38" s="97"/>
      <x:c r="B38" s="97"/>
      <x:c r="C38" s="97"/>
      <x:c r="D38" s="97"/>
      <x:c r="E38" s="97"/>
      <x:c r="F38" s="97"/>
      <x:c r="G38" s="97"/>
      <x:c r="H38" s="97"/>
      <x:c r="I38" s="97"/>
      <x:c r="J38" s="97"/>
      <x:c r="K38" s="97"/>
    </x:row>
    <x:row r="39">
      <x:c r="A39" s="97"/>
      <x:c r="B39" s="97"/>
      <x:c r="C39" s="97"/>
      <x:c r="D39" s="97"/>
      <x:c r="E39" s="97"/>
      <x:c r="F39" s="97"/>
      <x:c r="G39" s="97"/>
      <x:c r="H39" s="97"/>
      <x:c r="I39" s="97"/>
      <x:c r="J39" s="97"/>
      <x:c r="K39" s="97"/>
    </x:row>
    <x:row r="40" ht="36" customHeight="1">
      <x:c r="A40" s="98" t="str">
        <x:v>类型</x:v>
      </x:c>
      <x:c r="B40" s="98" t="str">
        <x:v>采用HP倍率</x:v>
      </x:c>
      <x:c r="C40" s="98" t="str">
        <x:v>采用移动/步</x:v>
      </x:c>
      <x:c r="D40" s="98" t="str">
        <x:v>采用击杀金币</x:v>
      </x:c>
      <x:c r="E40" s="98" t="str">
        <x:v>采用闪避</x:v>
      </x:c>
      <x:c r="F40" s="98" t="str">
        <x:v>采用韧性</x:v>
      </x:c>
      <x:c r="G40" s="97"/>
      <x:c r="H40" s="97"/>
      <x:c r="I40" s="97"/>
      <x:c r="J40" s="97"/>
      <x:c r="K40" s="97"/>
    </x:row>
    <x:row r="41">
      <x:c r="A41" s="97" t="str">
        <x:v>normal</x:v>
      </x:c>
      <x:c r="B41" s="97" t="n">
        <x:f>'章节与怪物'!$E$7</x:f>
        <x:v>1</x:v>
      </x:c>
      <x:c r="C41" s="97" t="n">
        <x:f>'章节与怪物'!$E$8</x:f>
        <x:v>1</x:v>
      </x:c>
      <x:c r="D41" s="97" t="n">
        <x:f>'章节与怪物'!$E$9</x:f>
        <x:v>18</x:v>
      </x:c>
      <x:c r="E41" s="97" t="n">
        <x:f>'章节与怪物'!$E$10</x:f>
        <x:v>100</x:v>
      </x:c>
      <x:c r="F41" s="97" t="n">
        <x:f>'章节与怪物'!$E$11</x:f>
        <x:v>0</x:v>
      </x:c>
      <x:c r="G41" s="97"/>
      <x:c r="H41" s="97"/>
      <x:c r="I41" s="97"/>
      <x:c r="J41" s="97"/>
      <x:c r="K41" s="97"/>
    </x:row>
    <x:row r="42">
      <x:c r="A42" s="97" t="str">
        <x:v>runner</x:v>
      </x:c>
      <x:c r="B42" s="97" t="n">
        <x:f>'章节与怪物'!$E$12</x:f>
        <x:v>0.72</x:v>
      </x:c>
      <x:c r="C42" s="97" t="n">
        <x:f>'章节与怪物'!$E$13</x:f>
        <x:v>1.2</x:v>
      </x:c>
      <x:c r="D42" s="97" t="n">
        <x:f>'章节与怪物'!$E$14</x:f>
        <x:v>20</x:v>
      </x:c>
      <x:c r="E42" s="97" t="n">
        <x:f>'章节与怪物'!$E$15</x:f>
        <x:v>100</x:v>
      </x:c>
      <x:c r="F42" s="97" t="n">
        <x:f>'章节与怪物'!$E$16</x:f>
        <x:v>0</x:v>
      </x:c>
      <x:c r="G42" s="97"/>
      <x:c r="H42" s="97"/>
      <x:c r="I42" s="97"/>
      <x:c r="J42" s="97"/>
      <x:c r="K42" s="97"/>
    </x:row>
    <x:row r="43">
      <x:c r="A43" s="97" t="str">
        <x:v>brute</x:v>
      </x:c>
      <x:c r="B43" s="97" t="n">
        <x:f>'章节与怪物'!$E$17</x:f>
        <x:v>1.7</x:v>
      </x:c>
      <x:c r="C43" s="97" t="n">
        <x:f>'章节与怪物'!$E$18</x:f>
        <x:v>0.78</x:v>
      </x:c>
      <x:c r="D43" s="97" t="n">
        <x:f>'章节与怪物'!$E$19</x:f>
        <x:v>28</x:v>
      </x:c>
      <x:c r="E43" s="97" t="n">
        <x:f>'章节与怪物'!$E$20</x:f>
        <x:v>100</x:v>
      </x:c>
      <x:c r="F43" s="97" t="n">
        <x:f>'章节与怪物'!$E$21</x:f>
        <x:v>0</x:v>
      </x:c>
      <x:c r="G43" s="97"/>
      <x:c r="H43" s="97"/>
      <x:c r="I43" s="97"/>
      <x:c r="J43" s="97"/>
      <x:c r="K43" s="97"/>
    </x:row>
    <x:row r="44">
      <x:c r="A44" s="97" t="str">
        <x:v>elite</x:v>
      </x:c>
      <x:c r="B44" s="97" t="n">
        <x:f>'章节与怪物'!$E$22</x:f>
        <x:v>1.35</x:v>
      </x:c>
      <x:c r="C44" s="97" t="n">
        <x:f>'章节与怪物'!$E$23</x:f>
        <x:v>0.92</x:v>
      </x:c>
      <x:c r="D44" s="97" t="n">
        <x:f>'章节与怪物'!$E$24</x:f>
        <x:v>34</x:v>
      </x:c>
      <x:c r="E44" s="97" t="n">
        <x:f>'章节与怪物'!$E$25</x:f>
        <x:v>100</x:v>
      </x:c>
      <x:c r="F44" s="97" t="n">
        <x:f>'章节与怪物'!$E$26</x:f>
        <x:v>0</x:v>
      </x:c>
      <x:c r="G44" s="97"/>
      <x:c r="H44" s="97"/>
      <x:c r="I44" s="97"/>
      <x:c r="J44" s="97"/>
      <x:c r="K44" s="97"/>
    </x:row>
  </x:sheetData>
  <x:mergeCells>
    <x:mergeCell ref="A1:H2"/>
    <x:mergeCell ref="A3:H3"/>
    <x:mergeCell ref="B4:D4"/>
  </x:mergeCells>
  <x:dataValidations count="2">
    <x:dataValidation type="decimal" operator="between" sqref="D7:D26">
      <x:formula1>0</x:formula1>
      <x:formula2>1000000000</x:formula2>
    </x:dataValidation>
    <x:dataValidation type="list" sqref="E31:K37">
      <x:formula1>"normal,runner,brute,elite"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176E7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9" hidden="0" customWidth="1"/>
    <x:col min="5" max="5" width="15" hidden="0" customWidth="1"/>
    <x:col min="6" max="6" width="16" hidden="0" customWidth="1"/>
    <x:col min="7" max="7" width="17" hidden="0" customWidth="1"/>
    <x:col min="8" max="8" width="16" hidden="0" customWidth="1"/>
    <x:col min="9" max="9" width="22" hidden="0" customWidth="1"/>
    <x:col min="10" max="10" width="22" hidden="0" customWidth="1"/>
    <x:col min="11" max="11" width="18" hidden="0" customWidth="1"/>
    <x:col min="12" max="12" width="19" hidden="0" customWidth="1"/>
    <x:col min="13" max="13" width="23" hidden="0" customWidth="1"/>
    <x:col min="14" max="14" width="17" hidden="0" customWidth="1"/>
    <x:col min="15" max="15" width="17" hidden="0" customWidth="1"/>
    <x:col min="16" max="16" width="14" hidden="0" customWidth="1"/>
    <x:col min="17" max="17" width="14" hidden="0" customWidth="1"/>
    <x:col min="18" max="18" width="17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25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</x:cols>
  <x:sheetData>
    <x:row r="1" ht="23" customHeight="1">
      <x:c r="A1" s="59" t="str">
        <x:v>10｜900关难度与奖励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  <x:c r="AA1" s="62"/>
      <x:c r="AB1" s="62"/>
      <x:c r="AC1" s="62"/>
      <x:c r="AD1" s="62"/>
      <x:c r="AE1" s="62"/>
      <x:c r="AF1" s="62"/>
      <x:c r="AG1" s="62"/>
      <x:c r="AH1" s="62"/>
      <x:c r="AI1" s="62"/>
      <x:c r="AJ1" s="62"/>
      <x:c r="AK1" s="62"/>
      <x:c r="AL1" s="62"/>
      <x:c r="AM1" s="62"/>
      <x:c r="AN1" s="62"/>
      <x:c r="AO1" s="62"/>
      <x:c r="AP1" s="62"/>
      <x:c r="AQ1" s="62"/>
      <x:c r="AR1" s="62"/>
      <x:c r="AS1" s="62"/>
      <x:c r="AT1" s="62"/>
      <x:c r="AU1" s="62"/>
      <x:c r="AV1" s="62"/>
      <x:c r="AW1" s="62"/>
      <x:c r="AX1" s="62"/>
      <x:c r="AY1" s="62"/>
    </x:row>
    <x:row r="2" ht="23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  <x:c r="AA2" s="62"/>
      <x:c r="AB2" s="62"/>
      <x:c r="AC2" s="62"/>
      <x:c r="AD2" s="62"/>
      <x:c r="AE2" s="62"/>
      <x:c r="AF2" s="62"/>
      <x:c r="AG2" s="62"/>
      <x:c r="AH2" s="62"/>
      <x:c r="AI2" s="62"/>
      <x:c r="AJ2" s="62"/>
      <x:c r="AK2" s="62"/>
      <x:c r="AL2" s="62"/>
      <x:c r="AM2" s="62"/>
      <x:c r="AN2" s="62"/>
      <x:c r="AO2" s="62"/>
      <x:c r="AP2" s="62"/>
      <x:c r="AQ2" s="62"/>
      <x:c r="AR2" s="62"/>
      <x:c r="AS2" s="62"/>
      <x:c r="AT2" s="62"/>
      <x:c r="AU2" s="62"/>
      <x:c r="AV2" s="62"/>
      <x:c r="AW2" s="62"/>
      <x:c r="AX2" s="62"/>
      <x:c r="AY2" s="62"/>
    </x:row>
    <x:row r="3" ht="44" customHeight="1">
      <x:c r="A3" s="61" t="str">
        <x:v>E～G为单关覆盖项，默认1/0/1；右侧保留逐波计算。时长是数量与间隔推导，不是实测通关时间。可筛选关卡与地图。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  <x:c r="AA3" s="62"/>
      <x:c r="AB3" s="62"/>
      <x:c r="AC3" s="62"/>
      <x:c r="AD3" s="62"/>
      <x:c r="AE3" s="62"/>
      <x:c r="AF3" s="62"/>
      <x:c r="AG3" s="62"/>
      <x:c r="AH3" s="62"/>
      <x:c r="AI3" s="62"/>
      <x:c r="AJ3" s="62"/>
      <x:c r="AK3" s="62"/>
      <x:c r="AL3" s="62"/>
      <x:c r="AM3" s="62"/>
      <x:c r="AN3" s="62"/>
      <x:c r="AO3" s="62"/>
      <x:c r="AP3" s="62"/>
      <x:c r="AQ3" s="62"/>
      <x:c r="AR3" s="62"/>
      <x:c r="AS3" s="62"/>
      <x:c r="AT3" s="62"/>
      <x:c r="AU3" s="62"/>
      <x:c r="AV3" s="62"/>
      <x:c r="AW3" s="62"/>
      <x:c r="AX3" s="62"/>
      <x:c r="AY3" s="62"/>
    </x:row>
    <x:row r="4" ht="23" customHeight="1">
      <x:c r="A4" s="62" t="str">
        <x:v>采用方案</x:v>
      </x:c>
      <x:c r="B4" s="62" t="str">
        <x:f>IF('使用说明'!$B$4=0,"工程当前","调优试算")</x:f>
        <x:v>工程当前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  <x:c r="AA4" s="62"/>
      <x:c r="AB4" s="62"/>
      <x:c r="AC4" s="62"/>
      <x:c r="AD4" s="62"/>
      <x:c r="AE4" s="62"/>
      <x:c r="AF4" s="62"/>
      <x:c r="AG4" s="62"/>
      <x:c r="AH4" s="62"/>
      <x:c r="AI4" s="62"/>
      <x:c r="AJ4" s="62"/>
      <x:c r="AK4" s="62"/>
      <x:c r="AL4" s="62"/>
      <x:c r="AM4" s="62"/>
      <x:c r="AN4" s="62"/>
      <x:c r="AO4" s="62"/>
      <x:c r="AP4" s="62"/>
      <x:c r="AQ4" s="62"/>
      <x:c r="AR4" s="62"/>
      <x:c r="AS4" s="62"/>
      <x:c r="AT4" s="62"/>
      <x:c r="AU4" s="62"/>
      <x:c r="AV4" s="62"/>
      <x:c r="AW4" s="62"/>
      <x:c r="AX4" s="62"/>
      <x:c r="AY4" s="62"/>
    </x:row>
    <x:row r="5" ht="23" customHeight="1">
      <x:c r="A5" s="62"/>
      <x:c r="B5" s="62"/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  <x:c r="AA5" s="62"/>
      <x:c r="AB5" s="62"/>
      <x:c r="AC5" s="62"/>
      <x:c r="AD5" s="62"/>
      <x:c r="AE5" s="62"/>
      <x:c r="AF5" s="62"/>
      <x:c r="AG5" s="62"/>
      <x:c r="AH5" s="62"/>
      <x:c r="AI5" s="62"/>
      <x:c r="AJ5" s="62"/>
      <x:c r="AK5" s="62"/>
      <x:c r="AL5" s="62"/>
      <x:c r="AM5" s="62"/>
      <x:c r="AN5" s="62"/>
      <x:c r="AO5" s="62"/>
      <x:c r="AP5" s="62"/>
      <x:c r="AQ5" s="62"/>
      <x:c r="AR5" s="62"/>
      <x:c r="AS5" s="62"/>
      <x:c r="AT5" s="62"/>
      <x:c r="AU5" s="62"/>
      <x:c r="AV5" s="62"/>
      <x:c r="AW5" s="62"/>
      <x:c r="AX5" s="62"/>
      <x:c r="AY5" s="62"/>
    </x:row>
    <x:row r="6" ht="36" customHeight="1">
      <x:c r="A6" s="64" t="str">
        <x:v>关卡</x:v>
      </x:c>
      <x:c r="B6" s="64" t="str">
        <x:v>地图序号</x:v>
      </x:c>
      <x:c r="C6" s="64" t="str">
        <x:v>地图</x:v>
      </x:c>
      <x:c r="D6" s="64" t="str">
        <x:v>波数</x:v>
      </x:c>
      <x:c r="E6" s="64" t="str">
        <x:v>HP倍率覆盖</x:v>
      </x:c>
      <x:c r="F6" s="64" t="str">
        <x:v>每波数量增减</x:v>
      </x:c>
      <x:c r="G6" s="64" t="str">
        <x:v>结算倍率覆盖</x:v>
      </x:c>
      <x:c r="H6" s="64" t="str">
        <x:v>怪物总数</x:v>
      </x:c>
      <x:c r="I6" s="64" t="str">
        <x:v>全局总HP</x:v>
      </x:c>
      <x:c r="J6" s="64" t="str">
        <x:v>最终BossHP</x:v>
      </x:c>
      <x:c r="K6" s="64" t="str">
        <x:v>全杀金币</x:v>
      </x:c>
      <x:c r="L6" s="64" t="str">
        <x:v>仅出怪分钟</x:v>
      </x:c>
      <x:c r="M6" s="64" t="str">
        <x:v>加操作尾怪分钟</x:v>
      </x:c>
      <x:c r="N6" s="64" t="str">
        <x:v>胜利金币</x:v>
      </x:c>
      <x:c r="O6" s="64" t="str">
        <x:v>胜利元宝</x:v>
      </x:c>
      <x:c r="P6" s="64" t="str">
        <x:v>强化石</x:v>
      </x:c>
      <x:c r="Q6" s="64" t="str">
        <x:v>升星石</x:v>
      </x:c>
      <x:c r="R6" s="64" t="str">
        <x:v>保底后掉率</x:v>
      </x:c>
      <x:c r="S6" s="64" t="str">
        <x:v>主线最高品质</x:v>
      </x:c>
      <x:c r="T6" s="64" t="str">
        <x:v>军报最低品质</x:v>
      </x:c>
      <x:c r="U6" s="64" t="str">
        <x:v>军报最高品质</x:v>
      </x:c>
      <x:c r="V6" s="64" t="str">
        <x:v>最多可触发卡</x:v>
      </x:c>
      <x:c r="W6" s="64" t="str">
        <x:v>时长提示</x:v>
      </x:c>
      <x:c r="X6" s="64" t="str">
        <x:v>波1数量</x:v>
      </x:c>
      <x:c r="Y6" s="64" t="str">
        <x:v>波1基础HP</x:v>
      </x:c>
      <x:c r="Z6" s="64" t="str">
        <x:v>波1总HP</x:v>
      </x:c>
      <x:c r="AA6" s="64" t="str">
        <x:v>波1击杀金币</x:v>
      </x:c>
      <x:c r="AB6" s="64" t="str">
        <x:v>波2数量</x:v>
      </x:c>
      <x:c r="AC6" s="64" t="str">
        <x:v>波2基础HP</x:v>
      </x:c>
      <x:c r="AD6" s="64" t="str">
        <x:v>波2总HP</x:v>
      </x:c>
      <x:c r="AE6" s="64" t="str">
        <x:v>波2击杀金币</x:v>
      </x:c>
      <x:c r="AF6" s="64" t="str">
        <x:v>波3数量</x:v>
      </x:c>
      <x:c r="AG6" s="64" t="str">
        <x:v>波3基础HP</x:v>
      </x:c>
      <x:c r="AH6" s="64" t="str">
        <x:v>波3总HP</x:v>
      </x:c>
      <x:c r="AI6" s="64" t="str">
        <x:v>波3击杀金币</x:v>
      </x:c>
      <x:c r="AJ6" s="64" t="str">
        <x:v>波4数量</x:v>
      </x:c>
      <x:c r="AK6" s="64" t="str">
        <x:v>波4基础HP</x:v>
      </x:c>
      <x:c r="AL6" s="64" t="str">
        <x:v>波4总HP</x:v>
      </x:c>
      <x:c r="AM6" s="64" t="str">
        <x:v>波4击杀金币</x:v>
      </x:c>
      <x:c r="AN6" s="64" t="str">
        <x:v>波5数量</x:v>
      </x:c>
      <x:c r="AO6" s="64" t="str">
        <x:v>波5基础HP</x:v>
      </x:c>
      <x:c r="AP6" s="64" t="str">
        <x:v>波5总HP</x:v>
      </x:c>
      <x:c r="AQ6" s="64" t="str">
        <x:v>波5击杀金币</x:v>
      </x:c>
      <x:c r="AR6" s="64" t="str">
        <x:v>波6数量</x:v>
      </x:c>
      <x:c r="AS6" s="64" t="str">
        <x:v>波6基础HP</x:v>
      </x:c>
      <x:c r="AT6" s="64" t="str">
        <x:v>波6总HP</x:v>
      </x:c>
      <x:c r="AU6" s="64" t="str">
        <x:v>波6击杀金币</x:v>
      </x:c>
      <x:c r="AV6" s="64" t="str">
        <x:v>波7数量</x:v>
      </x:c>
      <x:c r="AW6" s="64" t="str">
        <x:v>波7基础HP</x:v>
      </x:c>
      <x:c r="AX6" s="64" t="str">
        <x:v>波7总HP</x:v>
      </x:c>
      <x:c r="AY6" s="64" t="str">
        <x:v>波7击杀金币</x:v>
      </x:c>
    </x:row>
    <x:row r="7" ht="23" customHeight="1">
      <x:c r="A7" s="119" t="n">
        <x:v>1</x:v>
      </x:c>
      <x:c r="B7" s="119" t="n">
        <x:f>MOD(INT((A7-1)/5),7)+1</x:f>
        <x:v>1</x:v>
      </x:c>
      <x:c r="C7" s="62" t="str">
        <x:f>INDEX('章节与怪物'!$B$31:$B$37,B7)</x:f>
        <x:v>冰雪荒原</x:v>
      </x:c>
      <x:c r="D7" s="119" t="n">
        <x:f>MIN('难度参数'!$E$8,MAX('难度参数'!$E$7,A7))</x:f>
        <x:v>3</x:v>
      </x:c>
      <x:c r="E7" s="106" t="n">
        <x:v>1</x:v>
      </x:c>
      <x:c r="F7" s="106" t="n">
        <x:v>0</x:v>
      </x:c>
      <x:c r="G7" s="106" t="n">
        <x:v>1</x:v>
      </x:c>
      <x:c r="H7" s="119" t="n">
        <x:f>SUM(X7,AB7,AF7,AJ7,AN7,AR7,AV7)</x:f>
        <x:v>33</x:v>
      </x:c>
      <x:c r="I7" s="119" t="n">
        <x:f>SUM(Z7,AD7,AH7,AL7,AP7,AT7,AX7)</x:f>
        <x:v>3633</x:v>
      </x:c>
      <x:c r="J7" s="119" t="n">
        <x:f>ROUND(INDEX(X7:AY7,1,(D7-1)*4+2)*'难度参数'!$E$28*'章节与怪物'!$E$17,0)</x:f>
        <x:v>775</x:v>
      </x:c>
      <x:c r="K7" s="119" t="n">
        <x:f>SUM(AA7,AE7,AI7,AM7,AQ7,AU7,AY7)</x:f>
        <x:v>800</x:v>
      </x:c>
      <x:c r="L7" s="62" t="n">
        <x:f>H7*(ROUNDUP('难度参数'!$E$24/('难度参数'!$E$26*'难度参数'!$E$27),0)*'难度参数'!$E$26)/60</x:f>
        <x:v>0.44000000000000006</x:v>
      </x:c>
      <x:c r="M7" s="62" t="n">
        <x:f>L7+D7*('难度参数'!$E$49+'难度参数'!$E$50)/60</x:f>
        <x:v>0.9400000000000001</x:v>
      </x:c>
      <x:c r="N7" s="119" t="n">
        <x:f>ROUNDDOWN(('经济参数'!$E$20+A7*'经济参数'!$E$21)*G7,0)</x:f>
        <x:v>200</x:v>
      </x:c>
      <x:c r="O7" s="119" t="n">
        <x:f>ROUNDDOWN(MIN('经济参数'!$E$24,'经济参数'!$E$22+A7*'经济参数'!$E$23)*G7,0)</x:f>
        <x:v>0</x:v>
      </x:c>
      <x:c r="P7" s="119" t="n">
        <x:f>ROUNDDOWN((IF(A7&gt;='材料与任务'!$E$31,'材料与任务'!$E$32,IF(A7&gt;='材料与任务'!$E$25,'材料与任务'!$E$26,IF(A7&gt;='材料与任务'!$E$19,'材料与任务'!$E$20,IF(A7&gt;='材料与任务'!$E$13,'材料与任务'!$E$14,'材料与任务'!$E$8)))))*G7,0)</x:f>
        <x:v>2</x:v>
      </x:c>
      <x:c r="Q7" s="119" t="n">
        <x:f>ROUNDDOWN((IF(A7&gt;='材料与任务'!$E$31,'材料与任务'!$E$33,IF(A7&gt;='材料与任务'!$E$25,'材料与任务'!$E$27,IF(A7&gt;='材料与任务'!$E$19,'材料与任务'!$E$21,IF(A7&gt;='材料与任务'!$E$13,'材料与任务'!$E$15,'材料与任务'!$E$9)))))*G7,0)</x:f>
        <x:v>1</x:v>
      </x:c>
      <x:c r="R7" s="110" t="n">
        <x:f>'装备掉落'!$B$38</x:f>
        <x:v>0.6872058758851213</x:v>
      </x:c>
      <x:c r="S7" s="119" t="n">
        <x:f>MAX(IF(VLOOKUP(A7,'装备掉落'!$A$29:$H$34,2,TRUE)&gt;0,1,0),IF(VLOOKUP(A7,'装备掉落'!$A$29:$H$34,3,TRUE)&gt;0,2,0),IF(VLOOKUP(A7,'装备掉落'!$A$29:$H$34,4,TRUE)&gt;0,3,0),IF(VLOOKUP(A7,'装备掉落'!$A$29:$H$34,5,TRUE)&gt;0,4,0),IF(VLOOKUP(A7,'装备掉落'!$A$29:$H$34,6,TRUE)&gt;0,5,0),IF(VLOOKUP(A7,'装备掉落'!$A$29:$H$34,7,TRUE)&gt;0,6,0),IF(VLOOKUP(A7,'装备掉落'!$A$29:$H$34,8,TRUE)&gt;0,7,0))</x:f>
        <x:v>3</x:v>
      </x:c>
      <x:c r="T7" s="119" t="n">
        <x:f>MIN(7,S7+'经济参数'!$E$70)</x:f>
        <x:v>3</x:v>
      </x:c>
      <x:c r="U7" s="119" t="n">
        <x:f>MIN(7,S7+'经济参数'!$E$71)</x:f>
        <x:v>4</x:v>
      </x:c>
      <x:c r="V7" s="119" t="n">
        <x:f>IF(H7&gt;=('难度参数'!$E$52),1,0)+IF(H7&gt;=('难度参数'!$E$52+'难度参数'!$E$53),1,0)+IF(H7&gt;=('难度参数'!$E$52+'难度参数'!$E$53+'难度参数'!$E$54),1,0)+IF(H7&gt;=('难度参数'!$E$52+'难度参数'!$E$53+'难度参数'!$E$54+'难度参数'!$E$55),1,0)+IF(H7&gt;=('难度参数'!$E$52+'难度参数'!$E$53+'难度参数'!$E$54+'难度参数'!$E$55+'难度参数'!$E$56),1,0)+IF(H7&gt;=('难度参数'!$E$52+'难度参数'!$E$53+'难度参数'!$E$54+'难度参数'!$E$55+'难度参数'!$E$56+'难度参数'!$E$57),1,0)</x:f>
        <x:v>3</x:v>
      </x:c>
      <x:c r="W7" s="62" t="str">
        <x:f>IF(L7&gt;'难度参数'!$E$51,"仅出怪已超目标","还需实测")</x:f>
        <x:v>还需实测</x:v>
      </x:c>
      <x:c r="X7" s="119" t="n">
        <x:f>IF(1&gt;D7,0,MAX(2,MIN('难度参数'!$E$12,ROUND(('难度参数'!$E$18*POWER(A7,'难度参数'!$E$19)/D7*(0.85+0.3*(1-1)/MAX(1,D7-1))),0)+F7)))</x:f>
        <x:v>9</x:v>
      </x:c>
      <x:c r="Y7" s="119" t="n">
        <x:f>IF(1&gt;D7,0,ROUND(('难度参数'!$E$13*POWER(A7,'难度参数'!$E$20)*MIN('难度参数'!$E$23,1+MAX(0,A7-'难度参数'!$E$21)*'难度参数'!$E$22))*(36+1*7)/(36+7*(D7+1)/2)*E7,0))</x:f>
        <x:v>86</x:v>
      </x:c>
      <x:c r="Z7" s="119" t="n">
        <x:f>IF(X7=0,0,(X7-IF(1=D7,1,0))*ROUND(Y7*VLOOKUP(INDEX('章节与怪物'!$E$31:$K$37,B7,1),'章节与怪物'!$A$41:$F$44,2,FALSE),0)+IF(1=D7,ROUND(Y7*'难度参数'!$E$28*'章节与怪物'!$E$17,0),0))</x:f>
        <x:v>774</x:v>
      </x:c>
      <x:c r="AA7" s="119" t="n">
        <x:f>IF(X7=0,0,(X7-IF(1=D7,1,0))*VLOOKUP(INDEX('章节与怪物'!$E$31:$K$37,B7,1),'章节与怪物'!$A$41:$F$44,4,FALSE)+IF(1=D7,'难度参数'!$E$30,0))</x:f>
        <x:v>162</x:v>
      </x:c>
      <x:c r="AB7" s="119" t="n">
        <x:f>IF(2&gt;D7,0,MAX(2,MIN('难度参数'!$E$12,ROUND(('难度参数'!$E$18*POWER(A7,'难度参数'!$E$19)/D7*(0.85+0.3*(2-1)/MAX(1,D7-1))),0)+F7)))</x:f>
        <x:v>11</x:v>
      </x:c>
      <x:c r="AC7" s="119" t="n">
        <x:f>IF(2&gt;D7,0,ROUND(('难度参数'!$E$13*POWER(A7,'难度参数'!$E$20)*MIN('难度参数'!$E$23,1+MAX(0,A7-'难度参数'!$E$21)*'难度参数'!$E$22))*(36+2*7)/(36+7*(D7+1)/2)*E7,0))</x:f>
        <x:v>100</x:v>
      </x:c>
      <x:c r="AD7" s="119" t="n">
        <x:f>IF(AB7=0,0,(AB7-IF(2=D7,1,0))*ROUND(AC7*VLOOKUP(INDEX('章节与怪物'!$E$31:$K$37,B7,2),'章节与怪物'!$A$41:$F$44,2,FALSE),0)+IF(2=D7,ROUND(AC7*'难度参数'!$E$28*'章节与怪物'!$E$17,0),0))</x:f>
        <x:v>1100</x:v>
      </x:c>
      <x:c r="AE7" s="119" t="n">
        <x:f>IF(AB7=0,0,(AB7-IF(2=D7,1,0))*VLOOKUP(INDEX('章节与怪物'!$E$31:$K$37,B7,2),'章节与怪物'!$A$41:$F$44,4,FALSE)+IF(2=D7,'难度参数'!$E$30,0))</x:f>
        <x:v>198</x:v>
      </x:c>
      <x:c r="AF7" s="119" t="n">
        <x:f>IF(3&gt;D7,0,MAX(2,MIN('难度参数'!$E$12,ROUND(('难度参数'!$E$18*POWER(A7,'难度参数'!$E$19)/D7*(0.85+0.3*(3-1)/MAX(1,D7-1))),0)+F7)))</x:f>
        <x:v>13</x:v>
      </x:c>
      <x:c r="AG7" s="119" t="n">
        <x:f>IF(3&gt;D7,0,ROUND(('难度参数'!$E$13*POWER(A7,'难度参数'!$E$20)*MIN('难度参数'!$E$23,1+MAX(0,A7-'难度参数'!$E$21)*'难度参数'!$E$22))*(36+3*7)/(36+7*(D7+1)/2)*E7,0))</x:f>
        <x:v>114</x:v>
      </x:c>
      <x:c r="AH7" s="119" t="n">
        <x:f>IF(AF7=0,0,(AF7-IF(3=D7,1,0))*ROUND(AG7*VLOOKUP(INDEX('章节与怪物'!$E$31:$K$37,B7,3),'章节与怪物'!$A$41:$F$44,2,FALSE),0)+IF(3=D7,ROUND(AG7*'难度参数'!$E$28*'章节与怪物'!$E$17,0),0))</x:f>
        <x:v>1759</x:v>
      </x:c>
      <x:c r="AI7" s="119" t="n">
        <x:f>IF(AF7=0,0,(AF7-IF(3=D7,1,0))*VLOOKUP(INDEX('章节与怪物'!$E$31:$K$37,B7,3),'章节与怪物'!$A$41:$F$44,4,FALSE)+IF(3=D7,'难度参数'!$E$30,0))</x:f>
        <x:v>440</x:v>
      </x:c>
      <x:c r="AJ7" s="119" t="n">
        <x:f>IF(4&gt;D7,0,MAX(2,MIN('难度参数'!$E$12,ROUND(('难度参数'!$E$18*POWER(A7,'难度参数'!$E$19)/D7*(0.85+0.3*(4-1)/MAX(1,D7-1))),0)+F7)))</x:f>
        <x:v>0</x:v>
      </x:c>
      <x:c r="AK7" s="119" t="n">
        <x:f>IF(4&gt;D7,0,ROUND(('难度参数'!$E$13*POWER(A7,'难度参数'!$E$20)*MIN('难度参数'!$E$23,1+MAX(0,A7-'难度参数'!$E$21)*'难度参数'!$E$22))*(36+4*7)/(36+7*(D7+1)/2)*E7,0))</x:f>
        <x:v>0</x:v>
      </x:c>
      <x:c r="AL7" s="119" t="n">
        <x:f>IF(AJ7=0,0,(AJ7-IF(4=D7,1,0))*ROUND(AK7*VLOOKUP(INDEX('章节与怪物'!$E$31:$K$37,B7,4),'章节与怪物'!$A$41:$F$44,2,FALSE),0)+IF(4=D7,ROUND(AK7*'难度参数'!$E$28*'章节与怪物'!$E$17,0),0))</x:f>
        <x:v>0</x:v>
      </x:c>
      <x:c r="AM7" s="119" t="n">
        <x:f>IF(AJ7=0,0,(AJ7-IF(4=D7,1,0))*VLOOKUP(INDEX('章节与怪物'!$E$31:$K$37,B7,4),'章节与怪物'!$A$41:$F$44,4,FALSE)+IF(4=D7,'难度参数'!$E$30,0))</x:f>
        <x:v>0</x:v>
      </x:c>
      <x:c r="AN7" s="119" t="n">
        <x:f>IF(5&gt;D7,0,MAX(2,MIN('难度参数'!$E$12,ROUND(('难度参数'!$E$18*POWER(A7,'难度参数'!$E$19)/D7*(0.85+0.3*(5-1)/MAX(1,D7-1))),0)+F7)))</x:f>
        <x:v>0</x:v>
      </x:c>
      <x:c r="AO7" s="119" t="n">
        <x:f>IF(5&gt;D7,0,ROUND(('难度参数'!$E$13*POWER(A7,'难度参数'!$E$20)*MIN('难度参数'!$E$23,1+MAX(0,A7-'难度参数'!$E$21)*'难度参数'!$E$22))*(36+5*7)/(36+7*(D7+1)/2)*E7,0))</x:f>
        <x:v>0</x:v>
      </x:c>
      <x:c r="AP7" s="119" t="n">
        <x:f>IF(AN7=0,0,(AN7-IF(5=D7,1,0))*ROUND(AO7*VLOOKUP(INDEX('章节与怪物'!$E$31:$K$37,B7,5),'章节与怪物'!$A$41:$F$44,2,FALSE),0)+IF(5=D7,ROUND(AO7*'难度参数'!$E$28*'章节与怪物'!$E$17,0),0))</x:f>
        <x:v>0</x:v>
      </x:c>
      <x:c r="AQ7" s="119" t="n">
        <x:f>IF(AN7=0,0,(AN7-IF(5=D7,1,0))*VLOOKUP(INDEX('章节与怪物'!$E$31:$K$37,B7,5),'章节与怪物'!$A$41:$F$44,4,FALSE)+IF(5=D7,'难度参数'!$E$30,0))</x:f>
        <x:v>0</x:v>
      </x:c>
      <x:c r="AR7" s="119" t="n">
        <x:f>IF(6&gt;D7,0,MAX(2,MIN('难度参数'!$E$12,ROUND(('难度参数'!$E$18*POWER(A7,'难度参数'!$E$19)/D7*(0.85+0.3*(6-1)/MAX(1,D7-1))),0)+F7)))</x:f>
        <x:v>0</x:v>
      </x:c>
      <x:c r="AS7" s="119" t="n">
        <x:f>IF(6&gt;D7,0,ROUND(('难度参数'!$E$13*POWER(A7,'难度参数'!$E$20)*MIN('难度参数'!$E$23,1+MAX(0,A7-'难度参数'!$E$21)*'难度参数'!$E$22))*(36+6*7)/(36+7*(D7+1)/2)*E7,0))</x:f>
        <x:v>0</x:v>
      </x:c>
      <x:c r="AT7" s="119" t="n">
        <x:f>IF(AR7=0,0,(AR7-IF(6=D7,1,0))*ROUND(AS7*VLOOKUP(INDEX('章节与怪物'!$E$31:$K$37,B7,6),'章节与怪物'!$A$41:$F$44,2,FALSE),0)+IF(6=D7,ROUND(AS7*'难度参数'!$E$28*'章节与怪物'!$E$17,0),0))</x:f>
        <x:v>0</x:v>
      </x:c>
      <x:c r="AU7" s="119" t="n">
        <x:f>IF(AR7=0,0,(AR7-IF(6=D7,1,0))*VLOOKUP(INDEX('章节与怪物'!$E$31:$K$37,B7,6),'章节与怪物'!$A$41:$F$44,4,FALSE)+IF(6=D7,'难度参数'!$E$30,0))</x:f>
        <x:v>0</x:v>
      </x:c>
      <x:c r="AV7" s="119" t="n">
        <x:f>IF(7&gt;D7,0,MAX(2,MIN('难度参数'!$E$12,ROUND(('难度参数'!$E$18*POWER(A7,'难度参数'!$E$19)/D7*(0.85+0.3*(7-1)/MAX(1,D7-1))),0)+F7)))</x:f>
        <x:v>0</x:v>
      </x:c>
      <x:c r="AW7" s="119" t="n">
        <x:f>IF(7&gt;D7,0,ROUND(('难度参数'!$E$13*POWER(A7,'难度参数'!$E$20)*MIN('难度参数'!$E$23,1+MAX(0,A7-'难度参数'!$E$21)*'难度参数'!$E$22))*(36+7*7)/(36+7*(D7+1)/2)*E7,0))</x:f>
        <x:v>0</x:v>
      </x:c>
      <x:c r="AX7" s="119" t="n">
        <x:f>IF(AV7=0,0,(AV7-IF(7=D7,1,0))*ROUND(AW7*VLOOKUP(INDEX('章节与怪物'!$E$31:$K$37,B7,7),'章节与怪物'!$A$41:$F$44,2,FALSE),0)+IF(7=D7,ROUND(AW7*'难度参数'!$E$28*'章节与怪物'!$E$17,0),0))</x:f>
        <x:v>0</x:v>
      </x:c>
      <x:c r="AY7" s="119" t="n">
        <x:f>IF(AV7=0,0,(AV7-IF(7=D7,1,0))*VLOOKUP(INDEX('章节与怪物'!$E$31:$K$37,B7,7),'章节与怪物'!$A$41:$F$44,4,FALSE)+IF(7=D7,'难度参数'!$E$30,0))</x:f>
        <x:v>0</x:v>
      </x:c>
    </x:row>
    <x:row r="8" ht="23" customHeight="1">
      <x:c r="A8" s="119" t="n">
        <x:v>2</x:v>
      </x:c>
      <x:c r="B8" s="119" t="n">
        <x:f>MOD(INT((A8-1)/5),7)+1</x:f>
        <x:v>1</x:v>
      </x:c>
      <x:c r="C8" s="62" t="str">
        <x:f>INDEX('章节与怪物'!$B$31:$B$37,B8)</x:f>
        <x:v>冰雪荒原</x:v>
      </x:c>
      <x:c r="D8" s="119" t="n">
        <x:f>MIN('难度参数'!$E$8,MAX('难度参数'!$E$7,A8))</x:f>
        <x:v>3</x:v>
      </x:c>
      <x:c r="E8" s="106" t="n">
        <x:v>1</x:v>
      </x:c>
      <x:c r="F8" s="106" t="n">
        <x:v>0</x:v>
      </x:c>
      <x:c r="G8" s="106" t="n">
        <x:v>1</x:v>
      </x:c>
      <x:c r="H8" s="119" t="n">
        <x:f>SUM(X8,AB8,AF8,AJ8,AN8,AR8,AV8)</x:f>
        <x:v>42</x:v>
      </x:c>
      <x:c r="I8" s="119" t="n">
        <x:f>SUM(Z8,AD8,AH8,AL8,AP8,AT8,AX8)</x:f>
        <x:v>7317</x:v>
      </x:c>
      <x:c r="J8" s="119" t="n">
        <x:f>ROUND(INDEX(X8:AY8,1,(D8-1)*4+2)*'难度参数'!$E$28*'章节与怪物'!$E$17,0)</x:f>
        <x:v>1278</x:v>
      </x:c>
      <x:c r="K8" s="119" t="n">
        <x:f>SUM(AA8,AE8,AI8,AM8,AQ8,AU8,AY8)</x:f>
        <x:v>968</x:v>
      </x:c>
      <x:c r="L8" s="62" t="n">
        <x:f>H8*(ROUNDUP('难度参数'!$E$24/('难度参数'!$E$26*'难度参数'!$E$27),0)*'难度参数'!$E$26)/60</x:f>
        <x:v>0.56</x:v>
      </x:c>
      <x:c r="M8" s="62" t="n">
        <x:f>L8+D8*('难度参数'!$E$49+'难度参数'!$E$50)/60</x:f>
        <x:v>1.06</x:v>
      </x:c>
      <x:c r="N8" s="119" t="n">
        <x:f>ROUNDDOWN(('经济参数'!$E$20+A8*'经济参数'!$E$21)*G8,0)</x:f>
        <x:v>220</x:v>
      </x:c>
      <x:c r="O8" s="119" t="n">
        <x:f>ROUNDDOWN(MIN('经济参数'!$E$24,'经济参数'!$E$22+A8*'经济参数'!$E$23)*G8,0)</x:f>
        <x:v>0</x:v>
      </x:c>
      <x:c r="P8" s="119" t="n">
        <x:f>ROUNDDOWN((IF(A8&gt;='材料与任务'!$E$31,'材料与任务'!$E$32,IF(A8&gt;='材料与任务'!$E$25,'材料与任务'!$E$26,IF(A8&gt;='材料与任务'!$E$19,'材料与任务'!$E$20,IF(A8&gt;='材料与任务'!$E$13,'材料与任务'!$E$14,'材料与任务'!$E$8)))))*G8,0)</x:f>
        <x:v>2</x:v>
      </x:c>
      <x:c r="Q8" s="119" t="n">
        <x:f>ROUNDDOWN((IF(A8&gt;='材料与任务'!$E$31,'材料与任务'!$E$33,IF(A8&gt;='材料与任务'!$E$25,'材料与任务'!$E$27,IF(A8&gt;='材料与任务'!$E$19,'材料与任务'!$E$21,IF(A8&gt;='材料与任务'!$E$13,'材料与任务'!$E$15,'材料与任务'!$E$9)))))*G8,0)</x:f>
        <x:v>1</x:v>
      </x:c>
      <x:c r="R8" s="110" t="n">
        <x:f>'装备掉落'!$B$38</x:f>
        <x:v>0.6872058758851213</x:v>
      </x:c>
      <x:c r="S8" s="119" t="n">
        <x:f>MAX(IF(VLOOKUP(A8,'装备掉落'!$A$29:$H$34,2,TRUE)&gt;0,1,0),IF(VLOOKUP(A8,'装备掉落'!$A$29:$H$34,3,TRUE)&gt;0,2,0),IF(VLOOKUP(A8,'装备掉落'!$A$29:$H$34,4,TRUE)&gt;0,3,0),IF(VLOOKUP(A8,'装备掉落'!$A$29:$H$34,5,TRUE)&gt;0,4,0),IF(VLOOKUP(A8,'装备掉落'!$A$29:$H$34,6,TRUE)&gt;0,5,0),IF(VLOOKUP(A8,'装备掉落'!$A$29:$H$34,7,TRUE)&gt;0,6,0),IF(VLOOKUP(A8,'装备掉落'!$A$29:$H$34,8,TRUE)&gt;0,7,0))</x:f>
        <x:v>3</x:v>
      </x:c>
      <x:c r="T8" s="119" t="n">
        <x:f>MIN(7,S8+'经济参数'!$E$70)</x:f>
        <x:v>3</x:v>
      </x:c>
      <x:c r="U8" s="119" t="n">
        <x:f>MIN(7,S8+'经济参数'!$E$71)</x:f>
        <x:v>4</x:v>
      </x:c>
      <x:c r="V8" s="119" t="n">
        <x:f>IF(H8&gt;=('难度参数'!$E$52),1,0)+IF(H8&gt;=('难度参数'!$E$52+'难度参数'!$E$53),1,0)+IF(H8&gt;=('难度参数'!$E$52+'难度参数'!$E$53+'难度参数'!$E$54),1,0)+IF(H8&gt;=('难度参数'!$E$52+'难度参数'!$E$53+'难度参数'!$E$54+'难度参数'!$E$55),1,0)+IF(H8&gt;=('难度参数'!$E$52+'难度参数'!$E$53+'难度参数'!$E$54+'难度参数'!$E$55+'难度参数'!$E$56),1,0)+IF(H8&gt;=('难度参数'!$E$52+'难度参数'!$E$53+'难度参数'!$E$54+'难度参数'!$E$55+'难度参数'!$E$56+'难度参数'!$E$57),1,0)</x:f>
        <x:v>3</x:v>
      </x:c>
      <x:c r="W8" s="62" t="str">
        <x:f>IF(L8&gt;'难度参数'!$E$51,"仅出怪已超目标","还需实测")</x:f>
        <x:v>还需实测</x:v>
      </x:c>
      <x:c r="X8" s="119" t="n">
        <x:f>IF(1&gt;D8,0,MAX(2,MIN('难度参数'!$E$12,ROUND(('难度参数'!$E$18*POWER(A8,'难度参数'!$E$19)/D8*(0.85+0.3*(1-1)/MAX(1,D8-1))),0)+F8)))</x:f>
        <x:v>12</x:v>
      </x:c>
      <x:c r="Y8" s="119" t="n">
        <x:f>IF(1&gt;D8,0,ROUND(('难度参数'!$E$13*POWER(A8,'难度参数'!$E$20)*MIN('难度参数'!$E$23,1+MAX(0,A8-'难度参数'!$E$21)*'难度参数'!$E$22))*(36+1*7)/(36+7*(D8+1)/2)*E8,0))</x:f>
        <x:v>142</x:v>
      </x:c>
      <x:c r="Z8" s="119" t="n">
        <x:f>IF(X8=0,0,(X8-IF(1=D8,1,0))*ROUND(Y8*VLOOKUP(INDEX('章节与怪物'!$E$31:$K$37,B8,1),'章节与怪物'!$A$41:$F$44,2,FALSE),0)+IF(1=D8,ROUND(Y8*'难度参数'!$E$28*'章节与怪物'!$E$17,0),0))</x:f>
        <x:v>1704</x:v>
      </x:c>
      <x:c r="AA8" s="119" t="n">
        <x:f>IF(X8=0,0,(X8-IF(1=D8,1,0))*VLOOKUP(INDEX('章节与怪物'!$E$31:$K$37,B8,1),'章节与怪物'!$A$41:$F$44,4,FALSE)+IF(1=D8,'难度参数'!$E$30,0))</x:f>
        <x:v>216</x:v>
      </x:c>
      <x:c r="AB8" s="119" t="n">
        <x:f>IF(2&gt;D8,0,MAX(2,MIN('难度参数'!$E$12,ROUND(('难度参数'!$E$18*POWER(A8,'难度参数'!$E$19)/D8*(0.85+0.3*(2-1)/MAX(1,D8-1))),0)+F8)))</x:f>
        <x:v>14</x:v>
      </x:c>
      <x:c r="AC8" s="119" t="n">
        <x:f>IF(2&gt;D8,0,ROUND(('难度参数'!$E$13*POWER(A8,'难度参数'!$E$20)*MIN('难度参数'!$E$23,1+MAX(0,A8-'难度参数'!$E$21)*'难度参数'!$E$22))*(36+2*7)/(36+7*(D8+1)/2)*E8,0))</x:f>
        <x:v>165</x:v>
      </x:c>
      <x:c r="AD8" s="119" t="n">
        <x:f>IF(AB8=0,0,(AB8-IF(2=D8,1,0))*ROUND(AC8*VLOOKUP(INDEX('章节与怪物'!$E$31:$K$37,B8,2),'章节与怪物'!$A$41:$F$44,2,FALSE),0)+IF(2=D8,ROUND(AC8*'难度参数'!$E$28*'章节与怪物'!$E$17,0),0))</x:f>
        <x:v>2310</x:v>
      </x:c>
      <x:c r="AE8" s="119" t="n">
        <x:f>IF(AB8=0,0,(AB8-IF(2=D8,1,0))*VLOOKUP(INDEX('章节与怪物'!$E$31:$K$37,B8,2),'章节与怪物'!$A$41:$F$44,4,FALSE)+IF(2=D8,'难度参数'!$E$30,0))</x:f>
        <x:v>252</x:v>
      </x:c>
      <x:c r="AF8" s="119" t="n">
        <x:f>IF(3&gt;D8,0,MAX(2,MIN('难度参数'!$E$12,ROUND(('难度参数'!$E$18*POWER(A8,'难度参数'!$E$19)/D8*(0.85+0.3*(3-1)/MAX(1,D8-1))),0)+F8)))</x:f>
        <x:v>16</x:v>
      </x:c>
      <x:c r="AG8" s="119" t="n">
        <x:f>IF(3&gt;D8,0,ROUND(('难度参数'!$E$13*POWER(A8,'难度参数'!$E$20)*MIN('难度参数'!$E$23,1+MAX(0,A8-'难度参数'!$E$21)*'难度参数'!$E$22))*(36+3*7)/(36+7*(D8+1)/2)*E8,0))</x:f>
        <x:v>188</x:v>
      </x:c>
      <x:c r="AH8" s="119" t="n">
        <x:f>IF(AF8=0,0,(AF8-IF(3=D8,1,0))*ROUND(AG8*VLOOKUP(INDEX('章节与怪物'!$E$31:$K$37,B8,3),'章节与怪物'!$A$41:$F$44,2,FALSE),0)+IF(3=D8,ROUND(AG8*'难度参数'!$E$28*'章节与怪物'!$E$17,0),0))</x:f>
        <x:v>3303</x:v>
      </x:c>
      <x:c r="AI8" s="119" t="n">
        <x:f>IF(AF8=0,0,(AF8-IF(3=D8,1,0))*VLOOKUP(INDEX('章节与怪物'!$E$31:$K$37,B8,3),'章节与怪物'!$A$41:$F$44,4,FALSE)+IF(3=D8,'难度参数'!$E$30,0))</x:f>
        <x:v>500</x:v>
      </x:c>
      <x:c r="AJ8" s="119" t="n">
        <x:f>IF(4&gt;D8,0,MAX(2,MIN('难度参数'!$E$12,ROUND(('难度参数'!$E$18*POWER(A8,'难度参数'!$E$19)/D8*(0.85+0.3*(4-1)/MAX(1,D8-1))),0)+F8)))</x:f>
        <x:v>0</x:v>
      </x:c>
      <x:c r="AK8" s="119" t="n">
        <x:f>IF(4&gt;D8,0,ROUND(('难度参数'!$E$13*POWER(A8,'难度参数'!$E$20)*MIN('难度参数'!$E$23,1+MAX(0,A8-'难度参数'!$E$21)*'难度参数'!$E$22))*(36+4*7)/(36+7*(D8+1)/2)*E8,0))</x:f>
        <x:v>0</x:v>
      </x:c>
      <x:c r="AL8" s="119" t="n">
        <x:f>IF(AJ8=0,0,(AJ8-IF(4=D8,1,0))*ROUND(AK8*VLOOKUP(INDEX('章节与怪物'!$E$31:$K$37,B8,4),'章节与怪物'!$A$41:$F$44,2,FALSE),0)+IF(4=D8,ROUND(AK8*'难度参数'!$E$28*'章节与怪物'!$E$17,0),0))</x:f>
        <x:v>0</x:v>
      </x:c>
      <x:c r="AM8" s="119" t="n">
        <x:f>IF(AJ8=0,0,(AJ8-IF(4=D8,1,0))*VLOOKUP(INDEX('章节与怪物'!$E$31:$K$37,B8,4),'章节与怪物'!$A$41:$F$44,4,FALSE)+IF(4=D8,'难度参数'!$E$30,0))</x:f>
        <x:v>0</x:v>
      </x:c>
      <x:c r="AN8" s="119" t="n">
        <x:f>IF(5&gt;D8,0,MAX(2,MIN('难度参数'!$E$12,ROUND(('难度参数'!$E$18*POWER(A8,'难度参数'!$E$19)/D8*(0.85+0.3*(5-1)/MAX(1,D8-1))),0)+F8)))</x:f>
        <x:v>0</x:v>
      </x:c>
      <x:c r="AO8" s="119" t="n">
        <x:f>IF(5&gt;D8,0,ROUND(('难度参数'!$E$13*POWER(A8,'难度参数'!$E$20)*MIN('难度参数'!$E$23,1+MAX(0,A8-'难度参数'!$E$21)*'难度参数'!$E$22))*(36+5*7)/(36+7*(D8+1)/2)*E8,0))</x:f>
        <x:v>0</x:v>
      </x:c>
      <x:c r="AP8" s="119" t="n">
        <x:f>IF(AN8=0,0,(AN8-IF(5=D8,1,0))*ROUND(AO8*VLOOKUP(INDEX('章节与怪物'!$E$31:$K$37,B8,5),'章节与怪物'!$A$41:$F$44,2,FALSE),0)+IF(5=D8,ROUND(AO8*'难度参数'!$E$28*'章节与怪物'!$E$17,0),0))</x:f>
        <x:v>0</x:v>
      </x:c>
      <x:c r="AQ8" s="119" t="n">
        <x:f>IF(AN8=0,0,(AN8-IF(5=D8,1,0))*VLOOKUP(INDEX('章节与怪物'!$E$31:$K$37,B8,5),'章节与怪物'!$A$41:$F$44,4,FALSE)+IF(5=D8,'难度参数'!$E$30,0))</x:f>
        <x:v>0</x:v>
      </x:c>
      <x:c r="AR8" s="119" t="n">
        <x:f>IF(6&gt;D8,0,MAX(2,MIN('难度参数'!$E$12,ROUND(('难度参数'!$E$18*POWER(A8,'难度参数'!$E$19)/D8*(0.85+0.3*(6-1)/MAX(1,D8-1))),0)+F8)))</x:f>
        <x:v>0</x:v>
      </x:c>
      <x:c r="AS8" s="119" t="n">
        <x:f>IF(6&gt;D8,0,ROUND(('难度参数'!$E$13*POWER(A8,'难度参数'!$E$20)*MIN('难度参数'!$E$23,1+MAX(0,A8-'难度参数'!$E$21)*'难度参数'!$E$22))*(36+6*7)/(36+7*(D8+1)/2)*E8,0))</x:f>
        <x:v>0</x:v>
      </x:c>
      <x:c r="AT8" s="119" t="n">
        <x:f>IF(AR8=0,0,(AR8-IF(6=D8,1,0))*ROUND(AS8*VLOOKUP(INDEX('章节与怪物'!$E$31:$K$37,B8,6),'章节与怪物'!$A$41:$F$44,2,FALSE),0)+IF(6=D8,ROUND(AS8*'难度参数'!$E$28*'章节与怪物'!$E$17,0),0))</x:f>
        <x:v>0</x:v>
      </x:c>
      <x:c r="AU8" s="119" t="n">
        <x:f>IF(AR8=0,0,(AR8-IF(6=D8,1,0))*VLOOKUP(INDEX('章节与怪物'!$E$31:$K$37,B8,6),'章节与怪物'!$A$41:$F$44,4,FALSE)+IF(6=D8,'难度参数'!$E$30,0))</x:f>
        <x:v>0</x:v>
      </x:c>
      <x:c r="AV8" s="119" t="n">
        <x:f>IF(7&gt;D8,0,MAX(2,MIN('难度参数'!$E$12,ROUND(('难度参数'!$E$18*POWER(A8,'难度参数'!$E$19)/D8*(0.85+0.3*(7-1)/MAX(1,D8-1))),0)+F8)))</x:f>
        <x:v>0</x:v>
      </x:c>
      <x:c r="AW8" s="119" t="n">
        <x:f>IF(7&gt;D8,0,ROUND(('难度参数'!$E$13*POWER(A8,'难度参数'!$E$20)*MIN('难度参数'!$E$23,1+MAX(0,A8-'难度参数'!$E$21)*'难度参数'!$E$22))*(36+7*7)/(36+7*(D8+1)/2)*E8,0))</x:f>
        <x:v>0</x:v>
      </x:c>
      <x:c r="AX8" s="119" t="n">
        <x:f>IF(AV8=0,0,(AV8-IF(7=D8,1,0))*ROUND(AW8*VLOOKUP(INDEX('章节与怪物'!$E$31:$K$37,B8,7),'章节与怪物'!$A$41:$F$44,2,FALSE),0)+IF(7=D8,ROUND(AW8*'难度参数'!$E$28*'章节与怪物'!$E$17,0),0))</x:f>
        <x:v>0</x:v>
      </x:c>
      <x:c r="AY8" s="119" t="n">
        <x:f>IF(AV8=0,0,(AV8-IF(7=D8,1,0))*VLOOKUP(INDEX('章节与怪物'!$E$31:$K$37,B8,7),'章节与怪物'!$A$41:$F$44,4,FALSE)+IF(7=D8,'难度参数'!$E$30,0))</x:f>
        <x:v>0</x:v>
      </x:c>
    </x:row>
    <x:row r="9" ht="23" customHeight="1">
      <x:c r="A9" s="119" t="n">
        <x:v>3</x:v>
      </x:c>
      <x:c r="B9" s="119" t="n">
        <x:f>MOD(INT((A9-1)/5),7)+1</x:f>
        <x:v>1</x:v>
      </x:c>
      <x:c r="C9" s="62" t="str">
        <x:f>INDEX('章节与怪物'!$B$31:$B$37,B9)</x:f>
        <x:v>冰雪荒原</x:v>
      </x:c>
      <x:c r="D9" s="119" t="n">
        <x:f>MIN('难度参数'!$E$8,MAX('难度参数'!$E$7,A9))</x:f>
        <x:v>3</x:v>
      </x:c>
      <x:c r="E9" s="106" t="n">
        <x:v>1</x:v>
      </x:c>
      <x:c r="F9" s="106" t="n">
        <x:v>0</x:v>
      </x:c>
      <x:c r="G9" s="106" t="n">
        <x:v>1</x:v>
      </x:c>
      <x:c r="H9" s="119" t="n">
        <x:f>SUM(X9,AB9,AF9,AJ9,AN9,AR9,AV9)</x:f>
        <x:v>49</x:v>
      </x:c>
      <x:c r="I9" s="119" t="n">
        <x:f>SUM(Z9,AD9,AH9,AL9,AP9,AT9,AX9)</x:f>
        <x:v>11161</x:v>
      </x:c>
      <x:c r="J9" s="119" t="n">
        <x:f>ROUND(INDEX(X9:AY9,1,(D9-1)*4+2)*'难度参数'!$E$28*'章节与怪物'!$E$17,0)</x:f>
        <x:v>1707</x:v>
      </x:c>
      <x:c r="K9" s="119" t="n">
        <x:f>SUM(AA9,AE9,AI9,AM9,AQ9,AU9,AY9)</x:f>
        <x:v>1100</x:v>
      </x:c>
      <x:c r="L9" s="62" t="n">
        <x:f>H9*(ROUNDUP('难度参数'!$E$24/('难度参数'!$E$26*'难度参数'!$E$27),0)*'难度参数'!$E$26)/60</x:f>
        <x:v>0.6533333333333334</x:v>
      </x:c>
      <x:c r="M9" s="62" t="n">
        <x:f>L9+D9*('难度参数'!$E$49+'难度参数'!$E$50)/60</x:f>
        <x:v>1.1533333333333333</x:v>
      </x:c>
      <x:c r="N9" s="119" t="n">
        <x:f>ROUNDDOWN(('经济参数'!$E$20+A9*'经济参数'!$E$21)*G9,0)</x:f>
        <x:v>240</x:v>
      </x:c>
      <x:c r="O9" s="119" t="n">
        <x:f>ROUNDDOWN(MIN('经济参数'!$E$24,'经济参数'!$E$22+A9*'经济参数'!$E$23)*G9,0)</x:f>
        <x:v>0</x:v>
      </x:c>
      <x:c r="P9" s="119" t="n">
        <x:f>ROUNDDOWN((IF(A9&gt;='材料与任务'!$E$31,'材料与任务'!$E$32,IF(A9&gt;='材料与任务'!$E$25,'材料与任务'!$E$26,IF(A9&gt;='材料与任务'!$E$19,'材料与任务'!$E$20,IF(A9&gt;='材料与任务'!$E$13,'材料与任务'!$E$14,'材料与任务'!$E$8)))))*G9,0)</x:f>
        <x:v>2</x:v>
      </x:c>
      <x:c r="Q9" s="119" t="n">
        <x:f>ROUNDDOWN((IF(A9&gt;='材料与任务'!$E$31,'材料与任务'!$E$33,IF(A9&gt;='材料与任务'!$E$25,'材料与任务'!$E$27,IF(A9&gt;='材料与任务'!$E$19,'材料与任务'!$E$21,IF(A9&gt;='材料与任务'!$E$13,'材料与任务'!$E$15,'材料与任务'!$E$9)))))*G9,0)</x:f>
        <x:v>1</x:v>
      </x:c>
      <x:c r="R9" s="110" t="n">
        <x:f>'装备掉落'!$B$38</x:f>
        <x:v>0.6872058758851213</x:v>
      </x:c>
      <x:c r="S9" s="119" t="n">
        <x:f>MAX(IF(VLOOKUP(A9,'装备掉落'!$A$29:$H$34,2,TRUE)&gt;0,1,0),IF(VLOOKUP(A9,'装备掉落'!$A$29:$H$34,3,TRUE)&gt;0,2,0),IF(VLOOKUP(A9,'装备掉落'!$A$29:$H$34,4,TRUE)&gt;0,3,0),IF(VLOOKUP(A9,'装备掉落'!$A$29:$H$34,5,TRUE)&gt;0,4,0),IF(VLOOKUP(A9,'装备掉落'!$A$29:$H$34,6,TRUE)&gt;0,5,0),IF(VLOOKUP(A9,'装备掉落'!$A$29:$H$34,7,TRUE)&gt;0,6,0),IF(VLOOKUP(A9,'装备掉落'!$A$29:$H$34,8,TRUE)&gt;0,7,0))</x:f>
        <x:v>3</x:v>
      </x:c>
      <x:c r="T9" s="119" t="n">
        <x:f>MIN(7,S9+'经济参数'!$E$70)</x:f>
        <x:v>3</x:v>
      </x:c>
      <x:c r="U9" s="119" t="n">
        <x:f>MIN(7,S9+'经济参数'!$E$71)</x:f>
        <x:v>4</x:v>
      </x:c>
      <x:c r="V9" s="119" t="n">
        <x:f>IF(H9&gt;=('难度参数'!$E$52),1,0)+IF(H9&gt;=('难度参数'!$E$52+'难度参数'!$E$53),1,0)+IF(H9&gt;=('难度参数'!$E$52+'难度参数'!$E$53+'难度参数'!$E$54),1,0)+IF(H9&gt;=('难度参数'!$E$52+'难度参数'!$E$53+'难度参数'!$E$54+'难度参数'!$E$55),1,0)+IF(H9&gt;=('难度参数'!$E$52+'难度参数'!$E$53+'难度参数'!$E$54+'难度参数'!$E$55+'难度参数'!$E$56),1,0)+IF(H9&gt;=('难度参数'!$E$52+'难度参数'!$E$53+'难度参数'!$E$54+'难度参数'!$E$55+'难度参数'!$E$56+'难度参数'!$E$57),1,0)</x:f>
        <x:v>4</x:v>
      </x:c>
      <x:c r="W9" s="62" t="str">
        <x:f>IF(L9&gt;'难度参数'!$E$51,"仅出怪已超目标","还需实测")</x:f>
        <x:v>还需实测</x:v>
      </x:c>
      <x:c r="X9" s="119" t="n">
        <x:f>IF(1&gt;D9,0,MAX(2,MIN('难度参数'!$E$12,ROUND(('难度参数'!$E$18*POWER(A9,'难度参数'!$E$19)/D9*(0.85+0.3*(1-1)/MAX(1,D9-1))),0)+F9)))</x:f>
        <x:v>14</x:v>
      </x:c>
      <x:c r="Y9" s="119" t="n">
        <x:f>IF(1&gt;D9,0,ROUND(('难度参数'!$E$13*POWER(A9,'难度参数'!$E$20)*MIN('难度参数'!$E$23,1+MAX(0,A9-'难度参数'!$E$21)*'难度参数'!$E$22))*(36+1*7)/(36+7*(D9+1)/2)*E9,0))</x:f>
        <x:v>190</x:v>
      </x:c>
      <x:c r="Z9" s="119" t="n">
        <x:f>IF(X9=0,0,(X9-IF(1=D9,1,0))*ROUND(Y9*VLOOKUP(INDEX('章节与怪物'!$E$31:$K$37,B9,1),'章节与怪物'!$A$41:$F$44,2,FALSE),0)+IF(1=D9,ROUND(Y9*'难度参数'!$E$28*'章节与怪物'!$E$17,0),0))</x:f>
        <x:v>2660</x:v>
      </x:c>
      <x:c r="AA9" s="119" t="n">
        <x:f>IF(X9=0,0,(X9-IF(1=D9,1,0))*VLOOKUP(INDEX('章节与怪物'!$E$31:$K$37,B9,1),'章节与怪物'!$A$41:$F$44,4,FALSE)+IF(1=D9,'难度参数'!$E$30,0))</x:f>
        <x:v>252</x:v>
      </x:c>
      <x:c r="AB9" s="119" t="n">
        <x:f>IF(2&gt;D9,0,MAX(2,MIN('难度参数'!$E$12,ROUND(('难度参数'!$E$18*POWER(A9,'难度参数'!$E$19)/D9*(0.85+0.3*(2-1)/MAX(1,D9-1))),0)+F9)))</x:f>
        <x:v>16</x:v>
      </x:c>
      <x:c r="AC9" s="119" t="n">
        <x:f>IF(2&gt;D9,0,ROUND(('难度参数'!$E$13*POWER(A9,'难度参数'!$E$20)*MIN('难度参数'!$E$23,1+MAX(0,A9-'难度参数'!$E$21)*'难度参数'!$E$22))*(36+2*7)/(36+7*(D9+1)/2)*E9,0))</x:f>
        <x:v>221</x:v>
      </x:c>
      <x:c r="AD9" s="119" t="n">
        <x:f>IF(AB9=0,0,(AB9-IF(2=D9,1,0))*ROUND(AC9*VLOOKUP(INDEX('章节与怪物'!$E$31:$K$37,B9,2),'章节与怪物'!$A$41:$F$44,2,FALSE),0)+IF(2=D9,ROUND(AC9*'难度参数'!$E$28*'章节与怪物'!$E$17,0),0))</x:f>
        <x:v>3536</x:v>
      </x:c>
      <x:c r="AE9" s="119" t="n">
        <x:f>IF(AB9=0,0,(AB9-IF(2=D9,1,0))*VLOOKUP(INDEX('章节与怪物'!$E$31:$K$37,B9,2),'章节与怪物'!$A$41:$F$44,4,FALSE)+IF(2=D9,'难度参数'!$E$30,0))</x:f>
        <x:v>288</x:v>
      </x:c>
      <x:c r="AF9" s="119" t="n">
        <x:f>IF(3&gt;D9,0,MAX(2,MIN('难度参数'!$E$12,ROUND(('难度参数'!$E$18*POWER(A9,'难度参数'!$E$19)/D9*(0.85+0.3*(3-1)/MAX(1,D9-1))),0)+F9)))</x:f>
        <x:v>19</x:v>
      </x:c>
      <x:c r="AG9" s="119" t="n">
        <x:f>IF(3&gt;D9,0,ROUND(('难度参数'!$E$13*POWER(A9,'难度参数'!$E$20)*MIN('难度参数'!$E$23,1+MAX(0,A9-'难度参数'!$E$21)*'难度参数'!$E$22))*(36+3*7)/(36+7*(D9+1)/2)*E9,0))</x:f>
        <x:v>251</x:v>
      </x:c>
      <x:c r="AH9" s="119" t="n">
        <x:f>IF(AF9=0,0,(AF9-IF(3=D9,1,0))*ROUND(AG9*VLOOKUP(INDEX('章节与怪物'!$E$31:$K$37,B9,3),'章节与怪物'!$A$41:$F$44,2,FALSE),0)+IF(3=D9,ROUND(AG9*'难度参数'!$E$28*'章节与怪物'!$E$17,0),0))</x:f>
        <x:v>4965</x:v>
      </x:c>
      <x:c r="AI9" s="119" t="n">
        <x:f>IF(AF9=0,0,(AF9-IF(3=D9,1,0))*VLOOKUP(INDEX('章节与怪物'!$E$31:$K$37,B9,3),'章节与怪物'!$A$41:$F$44,4,FALSE)+IF(3=D9,'难度参数'!$E$30,0))</x:f>
        <x:v>560</x:v>
      </x:c>
      <x:c r="AJ9" s="119" t="n">
        <x:f>IF(4&gt;D9,0,MAX(2,MIN('难度参数'!$E$12,ROUND(('难度参数'!$E$18*POWER(A9,'难度参数'!$E$19)/D9*(0.85+0.3*(4-1)/MAX(1,D9-1))),0)+F9)))</x:f>
        <x:v>0</x:v>
      </x:c>
      <x:c r="AK9" s="119" t="n">
        <x:f>IF(4&gt;D9,0,ROUND(('难度参数'!$E$13*POWER(A9,'难度参数'!$E$20)*MIN('难度参数'!$E$23,1+MAX(0,A9-'难度参数'!$E$21)*'难度参数'!$E$22))*(36+4*7)/(36+7*(D9+1)/2)*E9,0))</x:f>
        <x:v>0</x:v>
      </x:c>
      <x:c r="AL9" s="119" t="n">
        <x:f>IF(AJ9=0,0,(AJ9-IF(4=D9,1,0))*ROUND(AK9*VLOOKUP(INDEX('章节与怪物'!$E$31:$K$37,B9,4),'章节与怪物'!$A$41:$F$44,2,FALSE),0)+IF(4=D9,ROUND(AK9*'难度参数'!$E$28*'章节与怪物'!$E$17,0),0))</x:f>
        <x:v>0</x:v>
      </x:c>
      <x:c r="AM9" s="119" t="n">
        <x:f>IF(AJ9=0,0,(AJ9-IF(4=D9,1,0))*VLOOKUP(INDEX('章节与怪物'!$E$31:$K$37,B9,4),'章节与怪物'!$A$41:$F$44,4,FALSE)+IF(4=D9,'难度参数'!$E$30,0))</x:f>
        <x:v>0</x:v>
      </x:c>
      <x:c r="AN9" s="119" t="n">
        <x:f>IF(5&gt;D9,0,MAX(2,MIN('难度参数'!$E$12,ROUND(('难度参数'!$E$18*POWER(A9,'难度参数'!$E$19)/D9*(0.85+0.3*(5-1)/MAX(1,D9-1))),0)+F9)))</x:f>
        <x:v>0</x:v>
      </x:c>
      <x:c r="AO9" s="119" t="n">
        <x:f>IF(5&gt;D9,0,ROUND(('难度参数'!$E$13*POWER(A9,'难度参数'!$E$20)*MIN('难度参数'!$E$23,1+MAX(0,A9-'难度参数'!$E$21)*'难度参数'!$E$22))*(36+5*7)/(36+7*(D9+1)/2)*E9,0))</x:f>
        <x:v>0</x:v>
      </x:c>
      <x:c r="AP9" s="119" t="n">
        <x:f>IF(AN9=0,0,(AN9-IF(5=D9,1,0))*ROUND(AO9*VLOOKUP(INDEX('章节与怪物'!$E$31:$K$37,B9,5),'章节与怪物'!$A$41:$F$44,2,FALSE),0)+IF(5=D9,ROUND(AO9*'难度参数'!$E$28*'章节与怪物'!$E$17,0),0))</x:f>
        <x:v>0</x:v>
      </x:c>
      <x:c r="AQ9" s="119" t="n">
        <x:f>IF(AN9=0,0,(AN9-IF(5=D9,1,0))*VLOOKUP(INDEX('章节与怪物'!$E$31:$K$37,B9,5),'章节与怪物'!$A$41:$F$44,4,FALSE)+IF(5=D9,'难度参数'!$E$30,0))</x:f>
        <x:v>0</x:v>
      </x:c>
      <x:c r="AR9" s="119" t="n">
        <x:f>IF(6&gt;D9,0,MAX(2,MIN('难度参数'!$E$12,ROUND(('难度参数'!$E$18*POWER(A9,'难度参数'!$E$19)/D9*(0.85+0.3*(6-1)/MAX(1,D9-1))),0)+F9)))</x:f>
        <x:v>0</x:v>
      </x:c>
      <x:c r="AS9" s="119" t="n">
        <x:f>IF(6&gt;D9,0,ROUND(('难度参数'!$E$13*POWER(A9,'难度参数'!$E$20)*MIN('难度参数'!$E$23,1+MAX(0,A9-'难度参数'!$E$21)*'难度参数'!$E$22))*(36+6*7)/(36+7*(D9+1)/2)*E9,0))</x:f>
        <x:v>0</x:v>
      </x:c>
      <x:c r="AT9" s="119" t="n">
        <x:f>IF(AR9=0,0,(AR9-IF(6=D9,1,0))*ROUND(AS9*VLOOKUP(INDEX('章节与怪物'!$E$31:$K$37,B9,6),'章节与怪物'!$A$41:$F$44,2,FALSE),0)+IF(6=D9,ROUND(AS9*'难度参数'!$E$28*'章节与怪物'!$E$17,0),0))</x:f>
        <x:v>0</x:v>
      </x:c>
      <x:c r="AU9" s="119" t="n">
        <x:f>IF(AR9=0,0,(AR9-IF(6=D9,1,0))*VLOOKUP(INDEX('章节与怪物'!$E$31:$K$37,B9,6),'章节与怪物'!$A$41:$F$44,4,FALSE)+IF(6=D9,'难度参数'!$E$30,0))</x:f>
        <x:v>0</x:v>
      </x:c>
      <x:c r="AV9" s="119" t="n">
        <x:f>IF(7&gt;D9,0,MAX(2,MIN('难度参数'!$E$12,ROUND(('难度参数'!$E$18*POWER(A9,'难度参数'!$E$19)/D9*(0.85+0.3*(7-1)/MAX(1,D9-1))),0)+F9)))</x:f>
        <x:v>0</x:v>
      </x:c>
      <x:c r="AW9" s="119" t="n">
        <x:f>IF(7&gt;D9,0,ROUND(('难度参数'!$E$13*POWER(A9,'难度参数'!$E$20)*MIN('难度参数'!$E$23,1+MAX(0,A9-'难度参数'!$E$21)*'难度参数'!$E$22))*(36+7*7)/(36+7*(D9+1)/2)*E9,0))</x:f>
        <x:v>0</x:v>
      </x:c>
      <x:c r="AX9" s="119" t="n">
        <x:f>IF(AV9=0,0,(AV9-IF(7=D9,1,0))*ROUND(AW9*VLOOKUP(INDEX('章节与怪物'!$E$31:$K$37,B9,7),'章节与怪物'!$A$41:$F$44,2,FALSE),0)+IF(7=D9,ROUND(AW9*'难度参数'!$E$28*'章节与怪物'!$E$17,0),0))</x:f>
        <x:v>0</x:v>
      </x:c>
      <x:c r="AY9" s="119" t="n">
        <x:f>IF(AV9=0,0,(AV9-IF(7=D9,1,0))*VLOOKUP(INDEX('章节与怪物'!$E$31:$K$37,B9,7),'章节与怪物'!$A$41:$F$44,4,FALSE)+IF(7=D9,'难度参数'!$E$30,0))</x:f>
        <x:v>0</x:v>
      </x:c>
    </x:row>
    <x:row r="10" ht="23" customHeight="1">
      <x:c r="A10" s="119" t="n">
        <x:v>4</x:v>
      </x:c>
      <x:c r="B10" s="119" t="n">
        <x:f>MOD(INT((A10-1)/5),7)+1</x:f>
        <x:v>1</x:v>
      </x:c>
      <x:c r="C10" s="62" t="str">
        <x:f>INDEX('章节与怪物'!$B$31:$B$37,B10)</x:f>
        <x:v>冰雪荒原</x:v>
      </x:c>
      <x:c r="D10" s="119" t="n">
        <x:f>MIN('难度参数'!$E$8,MAX('难度参数'!$E$7,A10))</x:f>
        <x:v>4</x:v>
      </x:c>
      <x:c r="E10" s="106" t="n">
        <x:v>1</x:v>
      </x:c>
      <x:c r="F10" s="106" t="n">
        <x:v>0</x:v>
      </x:c>
      <x:c r="G10" s="106" t="n">
        <x:v>1</x:v>
      </x:c>
      <x:c r="H10" s="119" t="n">
        <x:f>SUM(X10,AB10,AF10,AJ10,AN10,AR10,AV10)</x:f>
        <x:v>53</x:v>
      </x:c>
      <x:c r="I10" s="119" t="n">
        <x:f>SUM(Z10,AD10,AH10,AL10,AP10,AT10,AX10)</x:f>
        <x:v>18564</x:v>
      </x:c>
      <x:c r="J10" s="119" t="n">
        <x:f>ROUND(INDEX(X10:AY10,1,(D10-1)*4+2)*'难度参数'!$E$28*'章节与怪物'!$E$17,0)</x:f>
        <x:v>2210</x:v>
      </x:c>
      <x:c r="K10" s="119" t="n">
        <x:f>SUM(AA10,AE10,AI10,AM10,AQ10,AU10,AY10)</x:f>
        <x:v>1304</x:v>
      </x:c>
      <x:c r="L10" s="62" t="n">
        <x:f>H10*(ROUNDUP('难度参数'!$E$24/('难度参数'!$E$26*'难度参数'!$E$27),0)*'难度参数'!$E$26)/60</x:f>
        <x:v>0.7066666666666668</x:v>
      </x:c>
      <x:c r="M10" s="62" t="n">
        <x:f>L10+D10*('难度参数'!$E$49+'难度参数'!$E$50)/60</x:f>
        <x:v>1.3733333333333335</x:v>
      </x:c>
      <x:c r="N10" s="119" t="n">
        <x:f>ROUNDDOWN(('经济参数'!$E$20+A10*'经济参数'!$E$21)*G10,0)</x:f>
        <x:v>260</x:v>
      </x:c>
      <x:c r="O10" s="119" t="n">
        <x:f>ROUNDDOWN(MIN('经济参数'!$E$24,'经济参数'!$E$22+A10*'经济参数'!$E$23)*G10,0)</x:f>
        <x:v>0</x:v>
      </x:c>
      <x:c r="P10" s="119" t="n">
        <x:f>ROUNDDOWN((IF(A10&gt;='材料与任务'!$E$31,'材料与任务'!$E$32,IF(A10&gt;='材料与任务'!$E$25,'材料与任务'!$E$26,IF(A10&gt;='材料与任务'!$E$19,'材料与任务'!$E$20,IF(A10&gt;='材料与任务'!$E$13,'材料与任务'!$E$14,'材料与任务'!$E$8)))))*G10,0)</x:f>
        <x:v>2</x:v>
      </x:c>
      <x:c r="Q10" s="119" t="n">
        <x:f>ROUNDDOWN((IF(A10&gt;='材料与任务'!$E$31,'材料与任务'!$E$33,IF(A10&gt;='材料与任务'!$E$25,'材料与任务'!$E$27,IF(A10&gt;='材料与任务'!$E$19,'材料与任务'!$E$21,IF(A10&gt;='材料与任务'!$E$13,'材料与任务'!$E$15,'材料与任务'!$E$9)))))*G10,0)</x:f>
        <x:v>1</x:v>
      </x:c>
      <x:c r="R10" s="110" t="n">
        <x:f>'装备掉落'!$B$38</x:f>
        <x:v>0.6872058758851213</x:v>
      </x:c>
      <x:c r="S10" s="119" t="n">
        <x:f>MAX(IF(VLOOKUP(A10,'装备掉落'!$A$29:$H$34,2,TRUE)&gt;0,1,0),IF(VLOOKUP(A10,'装备掉落'!$A$29:$H$34,3,TRUE)&gt;0,2,0),IF(VLOOKUP(A10,'装备掉落'!$A$29:$H$34,4,TRUE)&gt;0,3,0),IF(VLOOKUP(A10,'装备掉落'!$A$29:$H$34,5,TRUE)&gt;0,4,0),IF(VLOOKUP(A10,'装备掉落'!$A$29:$H$34,6,TRUE)&gt;0,5,0),IF(VLOOKUP(A10,'装备掉落'!$A$29:$H$34,7,TRUE)&gt;0,6,0),IF(VLOOKUP(A10,'装备掉落'!$A$29:$H$34,8,TRUE)&gt;0,7,0))</x:f>
        <x:v>3</x:v>
      </x:c>
      <x:c r="T10" s="119" t="n">
        <x:f>MIN(7,S10+'经济参数'!$E$70)</x:f>
        <x:v>3</x:v>
      </x:c>
      <x:c r="U10" s="119" t="n">
        <x:f>MIN(7,S10+'经济参数'!$E$71)</x:f>
        <x:v>4</x:v>
      </x:c>
      <x:c r="V10" s="119" t="n">
        <x:f>IF(H10&gt;=('难度参数'!$E$52),1,0)+IF(H10&gt;=('难度参数'!$E$52+'难度参数'!$E$53),1,0)+IF(H10&gt;=('难度参数'!$E$52+'难度参数'!$E$53+'难度参数'!$E$54),1,0)+IF(H10&gt;=('难度参数'!$E$52+'难度参数'!$E$53+'难度参数'!$E$54+'难度参数'!$E$55),1,0)+IF(H10&gt;=('难度参数'!$E$52+'难度参数'!$E$53+'难度参数'!$E$54+'难度参数'!$E$55+'难度参数'!$E$56),1,0)+IF(H10&gt;=('难度参数'!$E$52+'难度参数'!$E$53+'难度参数'!$E$54+'难度参数'!$E$55+'难度参数'!$E$56+'难度参数'!$E$57),1,0)</x:f>
        <x:v>4</x:v>
      </x:c>
      <x:c r="W10" s="62" t="str">
        <x:f>IF(L10&gt;'难度参数'!$E$51,"仅出怪已超目标","还需实测")</x:f>
        <x:v>还需实测</x:v>
      </x:c>
      <x:c r="X10" s="119" t="n">
        <x:f>IF(1&gt;D10,0,MAX(2,MIN('难度参数'!$E$12,ROUND(('难度参数'!$E$18*POWER(A10,'难度参数'!$E$19)/D10*(0.85+0.3*(1-1)/MAX(1,D10-1))),0)+F10)))</x:f>
        <x:v>11</x:v>
      </x:c>
      <x:c r="Y10" s="119" t="n">
        <x:f>IF(1&gt;D10,0,ROUND(('难度参数'!$E$13*POWER(A10,'难度参数'!$E$20)*MIN('难度参数'!$E$23,1+MAX(0,A10-'难度参数'!$E$21)*'难度参数'!$E$22))*(36+1*7)/(36+7*(D10+1)/2)*E10,0))</x:f>
        <x:v>218</x:v>
      </x:c>
      <x:c r="Z10" s="119" t="n">
        <x:f>IF(X10=0,0,(X10-IF(1=D10,1,0))*ROUND(Y10*VLOOKUP(INDEX('章节与怪物'!$E$31:$K$37,B10,1),'章节与怪物'!$A$41:$F$44,2,FALSE),0)+IF(1=D10,ROUND(Y10*'难度参数'!$E$28*'章节与怪物'!$E$17,0),0))</x:f>
        <x:v>2398</x:v>
      </x:c>
      <x:c r="AA10" s="119" t="n">
        <x:f>IF(X10=0,0,(X10-IF(1=D10,1,0))*VLOOKUP(INDEX('章节与怪物'!$E$31:$K$37,B10,1),'章节与怪物'!$A$41:$F$44,4,FALSE)+IF(1=D10,'难度参数'!$E$30,0))</x:f>
        <x:v>198</x:v>
      </x:c>
      <x:c r="AB10" s="119" t="n">
        <x:f>IF(2&gt;D10,0,MAX(2,MIN('难度参数'!$E$12,ROUND(('难度参数'!$E$18*POWER(A10,'难度参数'!$E$19)/D10*(0.85+0.3*(2-1)/MAX(1,D10-1))),0)+F10)))</x:f>
        <x:v>13</x:v>
      </x:c>
      <x:c r="AC10" s="119" t="n">
        <x:f>IF(2&gt;D10,0,ROUND(('难度参数'!$E$13*POWER(A10,'难度参数'!$E$20)*MIN('难度参数'!$E$23,1+MAX(0,A10-'难度参数'!$E$21)*'难度参数'!$E$22))*(36+2*7)/(36+7*(D10+1)/2)*E10,0))</x:f>
        <x:v>254</x:v>
      </x:c>
      <x:c r="AD10" s="119" t="n">
        <x:f>IF(AB10=0,0,(AB10-IF(2=D10,1,0))*ROUND(AC10*VLOOKUP(INDEX('章节与怪物'!$E$31:$K$37,B10,2),'章节与怪物'!$A$41:$F$44,2,FALSE),0)+IF(2=D10,ROUND(AC10*'难度参数'!$E$28*'章节与怪物'!$E$17,0),0))</x:f>
        <x:v>3302</x:v>
      </x:c>
      <x:c r="AE10" s="119" t="n">
        <x:f>IF(AB10=0,0,(AB10-IF(2=D10,1,0))*VLOOKUP(INDEX('章节与怪物'!$E$31:$K$37,B10,2),'章节与怪物'!$A$41:$F$44,4,FALSE)+IF(2=D10,'难度参数'!$E$30,0))</x:f>
        <x:v>234</x:v>
      </x:c>
      <x:c r="AF10" s="119" t="n">
        <x:f>IF(3&gt;D10,0,MAX(2,MIN('难度参数'!$E$12,ROUND(('难度参数'!$E$18*POWER(A10,'难度参数'!$E$19)/D10*(0.85+0.3*(3-1)/MAX(1,D10-1))),0)+F10)))</x:f>
        <x:v>14</x:v>
      </x:c>
      <x:c r="AG10" s="119" t="n">
        <x:f>IF(3&gt;D10,0,ROUND(('难度参数'!$E$13*POWER(A10,'难度参数'!$E$20)*MIN('难度参数'!$E$23,1+MAX(0,A10-'难度参数'!$E$21)*'难度参数'!$E$22))*(36+3*7)/(36+7*(D10+1)/2)*E10,0))</x:f>
        <x:v>289</x:v>
      </x:c>
      <x:c r="AH10" s="119" t="n">
        <x:f>IF(AF10=0,0,(AF10-IF(3=D10,1,0))*ROUND(AG10*VLOOKUP(INDEX('章节与怪物'!$E$31:$K$37,B10,3),'章节与怪物'!$A$41:$F$44,2,FALSE),0)+IF(3=D10,ROUND(AG10*'难度参数'!$E$28*'章节与怪物'!$E$17,0),0))</x:f>
        <x:v>2912</x:v>
      </x:c>
      <x:c r="AI10" s="119" t="n">
        <x:f>IF(AF10=0,0,(AF10-IF(3=D10,1,0))*VLOOKUP(INDEX('章节与怪物'!$E$31:$K$37,B10,3),'章节与怪物'!$A$41:$F$44,4,FALSE)+IF(3=D10,'难度参数'!$E$30,0))</x:f>
        <x:v>280</x:v>
      </x:c>
      <x:c r="AJ10" s="119" t="n">
        <x:f>IF(4&gt;D10,0,MAX(2,MIN('难度参数'!$E$12,ROUND(('难度参数'!$E$18*POWER(A10,'难度参数'!$E$19)/D10*(0.85+0.3*(4-1)/MAX(1,D10-1))),0)+F10)))</x:f>
        <x:v>15</x:v>
      </x:c>
      <x:c r="AK10" s="119" t="n">
        <x:f>IF(4&gt;D10,0,ROUND(('难度参数'!$E$13*POWER(A10,'难度参数'!$E$20)*MIN('难度参数'!$E$23,1+MAX(0,A10-'难度参数'!$E$21)*'难度参数'!$E$22))*(36+4*7)/(36+7*(D10+1)/2)*E10,0))</x:f>
        <x:v>325</x:v>
      </x:c>
      <x:c r="AL10" s="119" t="n">
        <x:f>IF(AJ10=0,0,(AJ10-IF(4=D10,1,0))*ROUND(AK10*VLOOKUP(INDEX('章节与怪物'!$E$31:$K$37,B10,4),'章节与怪物'!$A$41:$F$44,2,FALSE),0)+IF(4=D10,ROUND(AK10*'难度参数'!$E$28*'章节与怪物'!$E$17,0),0))</x:f>
        <x:v>9952</x:v>
      </x:c>
      <x:c r="AM10" s="119" t="n">
        <x:f>IF(AJ10=0,0,(AJ10-IF(4=D10,1,0))*VLOOKUP(INDEX('章节与怪物'!$E$31:$K$37,B10,4),'章节与怪物'!$A$41:$F$44,4,FALSE)+IF(4=D10,'难度参数'!$E$30,0))</x:f>
        <x:v>592</x:v>
      </x:c>
      <x:c r="AN10" s="119" t="n">
        <x:f>IF(5&gt;D10,0,MAX(2,MIN('难度参数'!$E$12,ROUND(('难度参数'!$E$18*POWER(A10,'难度参数'!$E$19)/D10*(0.85+0.3*(5-1)/MAX(1,D10-1))),0)+F10)))</x:f>
        <x:v>0</x:v>
      </x:c>
      <x:c r="AO10" s="119" t="n">
        <x:f>IF(5&gt;D10,0,ROUND(('难度参数'!$E$13*POWER(A10,'难度参数'!$E$20)*MIN('难度参数'!$E$23,1+MAX(0,A10-'难度参数'!$E$21)*'难度参数'!$E$22))*(36+5*7)/(36+7*(D10+1)/2)*E10,0))</x:f>
        <x:v>0</x:v>
      </x:c>
      <x:c r="AP10" s="119" t="n">
        <x:f>IF(AN10=0,0,(AN10-IF(5=D10,1,0))*ROUND(AO10*VLOOKUP(INDEX('章节与怪物'!$E$31:$K$37,B10,5),'章节与怪物'!$A$41:$F$44,2,FALSE),0)+IF(5=D10,ROUND(AO10*'难度参数'!$E$28*'章节与怪物'!$E$17,0),0))</x:f>
        <x:v>0</x:v>
      </x:c>
      <x:c r="AQ10" s="119" t="n">
        <x:f>IF(AN10=0,0,(AN10-IF(5=D10,1,0))*VLOOKUP(INDEX('章节与怪物'!$E$31:$K$37,B10,5),'章节与怪物'!$A$41:$F$44,4,FALSE)+IF(5=D10,'难度参数'!$E$30,0))</x:f>
        <x:v>0</x:v>
      </x:c>
      <x:c r="AR10" s="119" t="n">
        <x:f>IF(6&gt;D10,0,MAX(2,MIN('难度参数'!$E$12,ROUND(('难度参数'!$E$18*POWER(A10,'难度参数'!$E$19)/D10*(0.85+0.3*(6-1)/MAX(1,D10-1))),0)+F10)))</x:f>
        <x:v>0</x:v>
      </x:c>
      <x:c r="AS10" s="119" t="n">
        <x:f>IF(6&gt;D10,0,ROUND(('难度参数'!$E$13*POWER(A10,'难度参数'!$E$20)*MIN('难度参数'!$E$23,1+MAX(0,A10-'难度参数'!$E$21)*'难度参数'!$E$22))*(36+6*7)/(36+7*(D10+1)/2)*E10,0))</x:f>
        <x:v>0</x:v>
      </x:c>
      <x:c r="AT10" s="119" t="n">
        <x:f>IF(AR10=0,0,(AR10-IF(6=D10,1,0))*ROUND(AS10*VLOOKUP(INDEX('章节与怪物'!$E$31:$K$37,B10,6),'章节与怪物'!$A$41:$F$44,2,FALSE),0)+IF(6=D10,ROUND(AS10*'难度参数'!$E$28*'章节与怪物'!$E$17,0),0))</x:f>
        <x:v>0</x:v>
      </x:c>
      <x:c r="AU10" s="119" t="n">
        <x:f>IF(AR10=0,0,(AR10-IF(6=D10,1,0))*VLOOKUP(INDEX('章节与怪物'!$E$31:$K$37,B10,6),'章节与怪物'!$A$41:$F$44,4,FALSE)+IF(6=D10,'难度参数'!$E$30,0))</x:f>
        <x:v>0</x:v>
      </x:c>
      <x:c r="AV10" s="119" t="n">
        <x:f>IF(7&gt;D10,0,MAX(2,MIN('难度参数'!$E$12,ROUND(('难度参数'!$E$18*POWER(A10,'难度参数'!$E$19)/D10*(0.85+0.3*(7-1)/MAX(1,D10-1))),0)+F10)))</x:f>
        <x:v>0</x:v>
      </x:c>
      <x:c r="AW10" s="119" t="n">
        <x:f>IF(7&gt;D10,0,ROUND(('难度参数'!$E$13*POWER(A10,'难度参数'!$E$20)*MIN('难度参数'!$E$23,1+MAX(0,A10-'难度参数'!$E$21)*'难度参数'!$E$22))*(36+7*7)/(36+7*(D10+1)/2)*E10,0))</x:f>
        <x:v>0</x:v>
      </x:c>
      <x:c r="AX10" s="119" t="n">
        <x:f>IF(AV10=0,0,(AV10-IF(7=D10,1,0))*ROUND(AW10*VLOOKUP(INDEX('章节与怪物'!$E$31:$K$37,B10,7),'章节与怪物'!$A$41:$F$44,2,FALSE),0)+IF(7=D10,ROUND(AW10*'难度参数'!$E$28*'章节与怪物'!$E$17,0),0))</x:f>
        <x:v>0</x:v>
      </x:c>
      <x:c r="AY10" s="119" t="n">
        <x:f>IF(AV10=0,0,(AV10-IF(7=D10,1,0))*VLOOKUP(INDEX('章节与怪物'!$E$31:$K$37,B10,7),'章节与怪物'!$A$41:$F$44,4,FALSE)+IF(7=D10,'难度参数'!$E$30,0))</x:f>
        <x:v>0</x:v>
      </x:c>
    </x:row>
    <x:row r="11" ht="23" customHeight="1">
      <x:c r="A11" s="119" t="n">
        <x:v>5</x:v>
      </x:c>
      <x:c r="B11" s="119" t="n">
        <x:f>MOD(INT((A11-1)/5),7)+1</x:f>
        <x:v>1</x:v>
      </x:c>
      <x:c r="C11" s="62" t="str">
        <x:f>INDEX('章节与怪物'!$B$31:$B$37,B11)</x:f>
        <x:v>冰雪荒原</x:v>
      </x:c>
      <x:c r="D11" s="119" t="n">
        <x:f>MIN('难度参数'!$E$8,MAX('难度参数'!$E$7,A11))</x:f>
        <x:v>5</x:v>
      </x:c>
      <x:c r="E11" s="106" t="n">
        <x:v>1</x:v>
      </x:c>
      <x:c r="F11" s="106" t="n">
        <x:v>0</x:v>
      </x:c>
      <x:c r="G11" s="106" t="n">
        <x:v>1</x:v>
      </x:c>
      <x:c r="H11" s="119" t="n">
        <x:f>SUM(X11,AB11,AF11,AJ11,AN11,AR11,AV11)</x:f>
        <x:v>58</x:v>
      </x:c>
      <x:c r="I11" s="119" t="n">
        <x:f>SUM(Z11,AD11,AH11,AL11,AP11,AT11,AX11)</x:f>
        <x:v>24669</x:v>
      </x:c>
      <x:c r="J11" s="119" t="n">
        <x:f>ROUND(INDEX(X11:AY11,1,(D11-1)*4+2)*'难度参数'!$E$28*'章节与怪物'!$E$17,0)</x:f>
        <x:v>2700</x:v>
      </x:c>
      <x:c r="K11" s="119" t="n">
        <x:f>SUM(AA11,AE11,AI11,AM11,AQ11,AU11,AY11)</x:f>
        <x:v>1562</x:v>
      </x:c>
      <x:c r="L11" s="62" t="n">
        <x:f>H11*(ROUNDUP('难度参数'!$E$24/('难度参数'!$E$26*'难度参数'!$E$27),0)*'难度参数'!$E$26)/60</x:f>
        <x:v>0.7733333333333334</x:v>
      </x:c>
      <x:c r="M11" s="62" t="n">
        <x:f>L11+D11*('难度参数'!$E$49+'难度参数'!$E$50)/60</x:f>
        <x:v>1.606666666666667</x:v>
      </x:c>
      <x:c r="N11" s="119" t="n">
        <x:f>ROUNDDOWN(('经济参数'!$E$20+A11*'经济参数'!$E$21)*G11,0)</x:f>
        <x:v>280</x:v>
      </x:c>
      <x:c r="O11" s="119" t="n">
        <x:f>ROUNDDOWN(MIN('经济参数'!$E$24,'经济参数'!$E$22+A11*'经济参数'!$E$23)*G11,0)</x:f>
        <x:v>0</x:v>
      </x:c>
      <x:c r="P11" s="119" t="n">
        <x:f>ROUNDDOWN((IF(A11&gt;='材料与任务'!$E$31,'材料与任务'!$E$32,IF(A11&gt;='材料与任务'!$E$25,'材料与任务'!$E$26,IF(A11&gt;='材料与任务'!$E$19,'材料与任务'!$E$20,IF(A11&gt;='材料与任务'!$E$13,'材料与任务'!$E$14,'材料与任务'!$E$8)))))*G11,0)</x:f>
        <x:v>2</x:v>
      </x:c>
      <x:c r="Q11" s="119" t="n">
        <x:f>ROUNDDOWN((IF(A11&gt;='材料与任务'!$E$31,'材料与任务'!$E$33,IF(A11&gt;='材料与任务'!$E$25,'材料与任务'!$E$27,IF(A11&gt;='材料与任务'!$E$19,'材料与任务'!$E$21,IF(A11&gt;='材料与任务'!$E$13,'材料与任务'!$E$15,'材料与任务'!$E$9)))))*G11,0)</x:f>
        <x:v>1</x:v>
      </x:c>
      <x:c r="R11" s="110" t="n">
        <x:f>'装备掉落'!$B$38</x:f>
        <x:v>0.6872058758851213</x:v>
      </x:c>
      <x:c r="S11" s="119" t="n">
        <x:f>MAX(IF(VLOOKUP(A11,'装备掉落'!$A$29:$H$34,2,TRUE)&gt;0,1,0),IF(VLOOKUP(A11,'装备掉落'!$A$29:$H$34,3,TRUE)&gt;0,2,0),IF(VLOOKUP(A11,'装备掉落'!$A$29:$H$34,4,TRUE)&gt;0,3,0),IF(VLOOKUP(A11,'装备掉落'!$A$29:$H$34,5,TRUE)&gt;0,4,0),IF(VLOOKUP(A11,'装备掉落'!$A$29:$H$34,6,TRUE)&gt;0,5,0),IF(VLOOKUP(A11,'装备掉落'!$A$29:$H$34,7,TRUE)&gt;0,6,0),IF(VLOOKUP(A11,'装备掉落'!$A$29:$H$34,8,TRUE)&gt;0,7,0))</x:f>
        <x:v>3</x:v>
      </x:c>
      <x:c r="T11" s="119" t="n">
        <x:f>MIN(7,S11+'经济参数'!$E$70)</x:f>
        <x:v>3</x:v>
      </x:c>
      <x:c r="U11" s="119" t="n">
        <x:f>MIN(7,S11+'经济参数'!$E$71)</x:f>
        <x:v>4</x:v>
      </x:c>
      <x:c r="V11" s="119" t="n">
        <x:f>IF(H11&gt;=('难度参数'!$E$52),1,0)+IF(H11&gt;=('难度参数'!$E$52+'难度参数'!$E$53),1,0)+IF(H11&gt;=('难度参数'!$E$52+'难度参数'!$E$53+'难度参数'!$E$54),1,0)+IF(H11&gt;=('难度参数'!$E$52+'难度参数'!$E$53+'难度参数'!$E$54+'难度参数'!$E$55),1,0)+IF(H11&gt;=('难度参数'!$E$52+'难度参数'!$E$53+'难度参数'!$E$54+'难度参数'!$E$55+'难度参数'!$E$56),1,0)+IF(H11&gt;=('难度参数'!$E$52+'难度参数'!$E$53+'难度参数'!$E$54+'难度参数'!$E$55+'难度参数'!$E$56+'难度参数'!$E$57),1,0)</x:f>
        <x:v>4</x:v>
      </x:c>
      <x:c r="W11" s="62" t="str">
        <x:f>IF(L11&gt;'难度参数'!$E$51,"仅出怪已超目标","还需实测")</x:f>
        <x:v>还需实测</x:v>
      </x:c>
      <x:c r="X11" s="119" t="n">
        <x:f>IF(1&gt;D11,0,MAX(2,MIN('难度参数'!$E$12,ROUND(('难度参数'!$E$18*POWER(A11,'难度参数'!$E$19)/D11*(0.85+0.3*(1-1)/MAX(1,D11-1))),0)+F11)))</x:f>
        <x:v>10</x:v>
      </x:c>
      <x:c r="Y11" s="119" t="n">
        <x:f>IF(1&gt;D11,0,ROUND(('难度参数'!$E$13*POWER(A11,'难度参数'!$E$20)*MIN('难度参数'!$E$23,1+MAX(0,A11-'难度参数'!$E$21)*'难度参数'!$E$22))*(36+1*7)/(36+7*(D11+1)/2)*E11,0))</x:f>
        <x:v>240</x:v>
      </x:c>
      <x:c r="Z11" s="119" t="n">
        <x:f>IF(X11=0,0,(X11-IF(1=D11,1,0))*ROUND(Y11*VLOOKUP(INDEX('章节与怪物'!$E$31:$K$37,B11,1),'章节与怪物'!$A$41:$F$44,2,FALSE),0)+IF(1=D11,ROUND(Y11*'难度参数'!$E$28*'章节与怪物'!$E$17,0),0))</x:f>
        <x:v>2400</x:v>
      </x:c>
      <x:c r="AA11" s="119" t="n">
        <x:f>IF(X11=0,0,(X11-IF(1=D11,1,0))*VLOOKUP(INDEX('章节与怪物'!$E$31:$K$37,B11,1),'章节与怪物'!$A$41:$F$44,4,FALSE)+IF(1=D11,'难度参数'!$E$30,0))</x:f>
        <x:v>180</x:v>
      </x:c>
      <x:c r="AB11" s="119" t="n">
        <x:f>IF(2&gt;D11,0,MAX(2,MIN('难度参数'!$E$12,ROUND(('难度参数'!$E$18*POWER(A11,'难度参数'!$E$19)/D11*(0.85+0.3*(2-1)/MAX(1,D11-1))),0)+F11)))</x:f>
        <x:v>11</x:v>
      </x:c>
      <x:c r="AC11" s="119" t="n">
        <x:f>IF(2&gt;D11,0,ROUND(('难度参数'!$E$13*POWER(A11,'难度参数'!$E$20)*MIN('难度参数'!$E$23,1+MAX(0,A11-'难度参数'!$E$21)*'难度参数'!$E$22))*(36+2*7)/(36+7*(D11+1)/2)*E11,0))</x:f>
        <x:v>279</x:v>
      </x:c>
      <x:c r="AD11" s="119" t="n">
        <x:f>IF(AB11=0,0,(AB11-IF(2=D11,1,0))*ROUND(AC11*VLOOKUP(INDEX('章节与怪物'!$E$31:$K$37,B11,2),'章节与怪物'!$A$41:$F$44,2,FALSE),0)+IF(2=D11,ROUND(AC11*'难度参数'!$E$28*'章节与怪物'!$E$17,0),0))</x:f>
        <x:v>3069</x:v>
      </x:c>
      <x:c r="AE11" s="119" t="n">
        <x:f>IF(AB11=0,0,(AB11-IF(2=D11,1,0))*VLOOKUP(INDEX('章节与怪物'!$E$31:$K$37,B11,2),'章节与怪物'!$A$41:$F$44,4,FALSE)+IF(2=D11,'难度参数'!$E$30,0))</x:f>
        <x:v>198</x:v>
      </x:c>
      <x:c r="AF11" s="119" t="n">
        <x:f>IF(3&gt;D11,0,MAX(2,MIN('难度参数'!$E$12,ROUND(('难度参数'!$E$18*POWER(A11,'难度参数'!$E$19)/D11*(0.85+0.3*(3-1)/MAX(1,D11-1))),0)+F11)))</x:f>
        <x:v>12</x:v>
      </x:c>
      <x:c r="AG11" s="119" t="n">
        <x:f>IF(3&gt;D11,0,ROUND(('难度参数'!$E$13*POWER(A11,'难度参数'!$E$20)*MIN('难度参数'!$E$23,1+MAX(0,A11-'难度参数'!$E$21)*'难度参数'!$E$22))*(36+3*7)/(36+7*(D11+1)/2)*E11,0))</x:f>
        <x:v>319</x:v>
      </x:c>
      <x:c r="AH11" s="119" t="n">
        <x:f>IF(AF11=0,0,(AF11-IF(3=D11,1,0))*ROUND(AG11*VLOOKUP(INDEX('章节与怪物'!$E$31:$K$37,B11,3),'章节与怪物'!$A$41:$F$44,2,FALSE),0)+IF(3=D11,ROUND(AG11*'难度参数'!$E$28*'章节与怪物'!$E$17,0),0))</x:f>
        <x:v>2760</x:v>
      </x:c>
      <x:c r="AI11" s="119" t="n">
        <x:f>IF(AF11=0,0,(AF11-IF(3=D11,1,0))*VLOOKUP(INDEX('章节与怪物'!$E$31:$K$37,B11,3),'章节与怪物'!$A$41:$F$44,4,FALSE)+IF(3=D11,'难度参数'!$E$30,0))</x:f>
        <x:v>240</x:v>
      </x:c>
      <x:c r="AJ11" s="119" t="n">
        <x:f>IF(4&gt;D11,0,MAX(2,MIN('难度参数'!$E$12,ROUND(('难度参数'!$E$18*POWER(A11,'难度参数'!$E$19)/D11*(0.85+0.3*(4-1)/MAX(1,D11-1))),0)+F11)))</x:f>
        <x:v>12</x:v>
      </x:c>
      <x:c r="AK11" s="119" t="n">
        <x:f>IF(4&gt;D11,0,ROUND(('难度参数'!$E$13*POWER(A11,'难度参数'!$E$20)*MIN('难度参数'!$E$23,1+MAX(0,A11-'难度参数'!$E$21)*'难度参数'!$E$22))*(36+4*7)/(36+7*(D11+1)/2)*E11,0))</x:f>
        <x:v>358</x:v>
      </x:c>
      <x:c r="AL11" s="119" t="n">
        <x:f>IF(AJ11=0,0,(AJ11-IF(4=D11,1,0))*ROUND(AK11*VLOOKUP(INDEX('章节与怪物'!$E$31:$K$37,B11,4),'章节与怪物'!$A$41:$F$44,2,FALSE),0)+IF(4=D11,ROUND(AK11*'难度参数'!$E$28*'章节与怪物'!$E$17,0),0))</x:f>
        <x:v>7308</x:v>
      </x:c>
      <x:c r="AM11" s="119" t="n">
        <x:f>IF(AJ11=0,0,(AJ11-IF(4=D11,1,0))*VLOOKUP(INDEX('章节与怪物'!$E$31:$K$37,B11,4),'章节与怪物'!$A$41:$F$44,4,FALSE)+IF(4=D11,'难度参数'!$E$30,0))</x:f>
        <x:v>336</x:v>
      </x:c>
      <x:c r="AN11" s="119" t="n">
        <x:f>IF(5&gt;D11,0,MAX(2,MIN('难度参数'!$E$12,ROUND(('难度参数'!$E$18*POWER(A11,'难度参数'!$E$19)/D11*(0.85+0.3*(5-1)/MAX(1,D11-1))),0)+F11)))</x:f>
        <x:v>13</x:v>
      </x:c>
      <x:c r="AO11" s="119" t="n">
        <x:f>IF(5&gt;D11,0,ROUND(('难度参数'!$E$13*POWER(A11,'难度参数'!$E$20)*MIN('难度参数'!$E$23,1+MAX(0,A11-'难度参数'!$E$21)*'难度参数'!$E$22))*(36+5*7)/(36+7*(D11+1)/2)*E11,0))</x:f>
        <x:v>397</x:v>
      </x:c>
      <x:c r="AP11" s="119" t="n">
        <x:f>IF(AN11=0,0,(AN11-IF(5=D11,1,0))*ROUND(AO11*VLOOKUP(INDEX('章节与怪物'!$E$31:$K$37,B11,5),'章节与怪物'!$A$41:$F$44,2,FALSE),0)+IF(5=D11,ROUND(AO11*'难度参数'!$E$28*'章节与怪物'!$E$17,0),0))</x:f>
        <x:v>9132</x:v>
      </x:c>
      <x:c r="AQ11" s="119" t="n">
        <x:f>IF(AN11=0,0,(AN11-IF(5=D11,1,0))*VLOOKUP(INDEX('章节与怪物'!$E$31:$K$37,B11,5),'章节与怪物'!$A$41:$F$44,4,FALSE)+IF(5=D11,'难度参数'!$E$30,0))</x:f>
        <x:v>608</x:v>
      </x:c>
      <x:c r="AR11" s="119" t="n">
        <x:f>IF(6&gt;D11,0,MAX(2,MIN('难度参数'!$E$12,ROUND(('难度参数'!$E$18*POWER(A11,'难度参数'!$E$19)/D11*(0.85+0.3*(6-1)/MAX(1,D11-1))),0)+F11)))</x:f>
        <x:v>0</x:v>
      </x:c>
      <x:c r="AS11" s="119" t="n">
        <x:f>IF(6&gt;D11,0,ROUND(('难度参数'!$E$13*POWER(A11,'难度参数'!$E$20)*MIN('难度参数'!$E$23,1+MAX(0,A11-'难度参数'!$E$21)*'难度参数'!$E$22))*(36+6*7)/(36+7*(D11+1)/2)*E11,0))</x:f>
        <x:v>0</x:v>
      </x:c>
      <x:c r="AT11" s="119" t="n">
        <x:f>IF(AR11=0,0,(AR11-IF(6=D11,1,0))*ROUND(AS11*VLOOKUP(INDEX('章节与怪物'!$E$31:$K$37,B11,6),'章节与怪物'!$A$41:$F$44,2,FALSE),0)+IF(6=D11,ROUND(AS11*'难度参数'!$E$28*'章节与怪物'!$E$17,0),0))</x:f>
        <x:v>0</x:v>
      </x:c>
      <x:c r="AU11" s="119" t="n">
        <x:f>IF(AR11=0,0,(AR11-IF(6=D11,1,0))*VLOOKUP(INDEX('章节与怪物'!$E$31:$K$37,B11,6),'章节与怪物'!$A$41:$F$44,4,FALSE)+IF(6=D11,'难度参数'!$E$30,0))</x:f>
        <x:v>0</x:v>
      </x:c>
      <x:c r="AV11" s="119" t="n">
        <x:f>IF(7&gt;D11,0,MAX(2,MIN('难度参数'!$E$12,ROUND(('难度参数'!$E$18*POWER(A11,'难度参数'!$E$19)/D11*(0.85+0.3*(7-1)/MAX(1,D11-1))),0)+F11)))</x:f>
        <x:v>0</x:v>
      </x:c>
      <x:c r="AW11" s="119" t="n">
        <x:f>IF(7&gt;D11,0,ROUND(('难度参数'!$E$13*POWER(A11,'难度参数'!$E$20)*MIN('难度参数'!$E$23,1+MAX(0,A11-'难度参数'!$E$21)*'难度参数'!$E$22))*(36+7*7)/(36+7*(D11+1)/2)*E11,0))</x:f>
        <x:v>0</x:v>
      </x:c>
      <x:c r="AX11" s="119" t="n">
        <x:f>IF(AV11=0,0,(AV11-IF(7=D11,1,0))*ROUND(AW11*VLOOKUP(INDEX('章节与怪物'!$E$31:$K$37,B11,7),'章节与怪物'!$A$41:$F$44,2,FALSE),0)+IF(7=D11,ROUND(AW11*'难度参数'!$E$28*'章节与怪物'!$E$17,0),0))</x:f>
        <x:v>0</x:v>
      </x:c>
      <x:c r="AY11" s="119" t="n">
        <x:f>IF(AV11=0,0,(AV11-IF(7=D11,1,0))*VLOOKUP(INDEX('章节与怪物'!$E$31:$K$37,B11,7),'章节与怪物'!$A$41:$F$44,4,FALSE)+IF(7=D11,'难度参数'!$E$30,0))</x:f>
        <x:v>0</x:v>
      </x:c>
    </x:row>
    <x:row r="12" ht="23" customHeight="1">
      <x:c r="A12" s="119" t="n">
        <x:v>6</x:v>
      </x:c>
      <x:c r="B12" s="119" t="n">
        <x:f>MOD(INT((A12-1)/5),7)+1</x:f>
        <x:v>2</x:v>
      </x:c>
      <x:c r="C12" s="62" t="str">
        <x:f>INDEX('章节与怪物'!$B$31:$B$37,B12)</x:f>
        <x:v>黄沙要塞</x:v>
      </x:c>
      <x:c r="D12" s="119" t="n">
        <x:f>MIN('难度参数'!$E$8,MAX('难度参数'!$E$7,A12))</x:f>
        <x:v>6</x:v>
      </x:c>
      <x:c r="E12" s="106" t="n">
        <x:v>1</x:v>
      </x:c>
      <x:c r="F12" s="106" t="n">
        <x:v>0</x:v>
      </x:c>
      <x:c r="G12" s="106" t="n">
        <x:v>1</x:v>
      </x:c>
      <x:c r="H12" s="119" t="n">
        <x:f>SUM(X12,AB12,AF12,AJ12,AN12,AR12,AV12)</x:f>
        <x:v>62</x:v>
      </x:c>
      <x:c r="I12" s="119" t="n">
        <x:f>SUM(Z12,AD12,AH12,AL12,AP12,AT12,AX12)</x:f>
        <x:v>32506</x:v>
      </x:c>
      <x:c r="J12" s="119" t="n">
        <x:f>ROUND(INDEX(X12:AY12,1,(D12-1)*4+2)*'难度参数'!$E$28*'章节与怪物'!$E$17,0)</x:f>
        <x:v>3182</x:v>
      </x:c>
      <x:c r="K12" s="119" t="n">
        <x:f>SUM(AA12,AE12,AI12,AM12,AQ12,AU12,AY12)</x:f>
        <x:v>1702</x:v>
      </x:c>
      <x:c r="L12" s="62" t="n">
        <x:f>H12*(ROUNDUP('难度参数'!$E$24/('难度参数'!$E$26*'难度参数'!$E$27),0)*'难度参数'!$E$26)/60</x:f>
        <x:v>0.8266666666666667</x:v>
      </x:c>
      <x:c r="M12" s="62" t="n">
        <x:f>L12+D12*('难度参数'!$E$49+'难度参数'!$E$50)/60</x:f>
        <x:v>1.8266666666666667</x:v>
      </x:c>
      <x:c r="N12" s="119" t="n">
        <x:f>ROUNDDOWN(('经济参数'!$E$20+A12*'经济参数'!$E$21)*G12,0)</x:f>
        <x:v>300</x:v>
      </x:c>
      <x:c r="O12" s="119" t="n">
        <x:f>ROUNDDOWN(MIN('经济参数'!$E$24,'经济参数'!$E$22+A12*'经济参数'!$E$23)*G12,0)</x:f>
        <x:v>0</x:v>
      </x:c>
      <x:c r="P12" s="119" t="n">
        <x:f>ROUNDDOWN((IF(A12&gt;='材料与任务'!$E$31,'材料与任务'!$E$32,IF(A12&gt;='材料与任务'!$E$25,'材料与任务'!$E$26,IF(A12&gt;='材料与任务'!$E$19,'材料与任务'!$E$20,IF(A12&gt;='材料与任务'!$E$13,'材料与任务'!$E$14,'材料与任务'!$E$8)))))*G12,0)</x:f>
        <x:v>2</x:v>
      </x:c>
      <x:c r="Q12" s="119" t="n">
        <x:f>ROUNDDOWN((IF(A12&gt;='材料与任务'!$E$31,'材料与任务'!$E$33,IF(A12&gt;='材料与任务'!$E$25,'材料与任务'!$E$27,IF(A12&gt;='材料与任务'!$E$19,'材料与任务'!$E$21,IF(A12&gt;='材料与任务'!$E$13,'材料与任务'!$E$15,'材料与任务'!$E$9)))))*G12,0)</x:f>
        <x:v>1</x:v>
      </x:c>
      <x:c r="R12" s="110" t="n">
        <x:f>'装备掉落'!$B$38</x:f>
        <x:v>0.6872058758851213</x:v>
      </x:c>
      <x:c r="S12" s="119" t="n">
        <x:f>MAX(IF(VLOOKUP(A12,'装备掉落'!$A$29:$H$34,2,TRUE)&gt;0,1,0),IF(VLOOKUP(A12,'装备掉落'!$A$29:$H$34,3,TRUE)&gt;0,2,0),IF(VLOOKUP(A12,'装备掉落'!$A$29:$H$34,4,TRUE)&gt;0,3,0),IF(VLOOKUP(A12,'装备掉落'!$A$29:$H$34,5,TRUE)&gt;0,4,0),IF(VLOOKUP(A12,'装备掉落'!$A$29:$H$34,6,TRUE)&gt;0,5,0),IF(VLOOKUP(A12,'装备掉落'!$A$29:$H$34,7,TRUE)&gt;0,6,0),IF(VLOOKUP(A12,'装备掉落'!$A$29:$H$34,8,TRUE)&gt;0,7,0))</x:f>
        <x:v>3</x:v>
      </x:c>
      <x:c r="T12" s="119" t="n">
        <x:f>MIN(7,S12+'经济参数'!$E$70)</x:f>
        <x:v>3</x:v>
      </x:c>
      <x:c r="U12" s="119" t="n">
        <x:f>MIN(7,S12+'经济参数'!$E$71)</x:f>
        <x:v>4</x:v>
      </x:c>
      <x:c r="V12" s="119" t="n">
        <x:f>IF(H12&gt;=('难度参数'!$E$52),1,0)+IF(H12&gt;=('难度参数'!$E$52+'难度参数'!$E$53),1,0)+IF(H12&gt;=('难度参数'!$E$52+'难度参数'!$E$53+'难度参数'!$E$54),1,0)+IF(H12&gt;=('难度参数'!$E$52+'难度参数'!$E$53+'难度参数'!$E$54+'难度参数'!$E$55),1,0)+IF(H12&gt;=('难度参数'!$E$52+'难度参数'!$E$53+'难度参数'!$E$54+'难度参数'!$E$55+'难度参数'!$E$56),1,0)+IF(H12&gt;=('难度参数'!$E$52+'难度参数'!$E$53+'难度参数'!$E$54+'难度参数'!$E$55+'难度参数'!$E$56+'难度参数'!$E$57),1,0)</x:f>
        <x:v>4</x:v>
      </x:c>
      <x:c r="W12" s="62" t="str">
        <x:f>IF(L12&gt;'难度参数'!$E$51,"仅出怪已超目标","还需实测")</x:f>
        <x:v>还需实测</x:v>
      </x:c>
      <x:c r="X12" s="119" t="n">
        <x:f>IF(1&gt;D12,0,MAX(2,MIN('难度参数'!$E$12,ROUND(('难度参数'!$E$18*POWER(A12,'难度参数'!$E$19)/D12*(0.85+0.3*(1-1)/MAX(1,D12-1))),0)+F12)))</x:f>
        <x:v>9</x:v>
      </x:c>
      <x:c r="Y12" s="119" t="n">
        <x:f>IF(1&gt;D12,0,ROUND(('难度参数'!$E$13*POWER(A12,'难度参数'!$E$20)*MIN('难度参数'!$E$23,1+MAX(0,A12-'难度参数'!$E$21)*'难度参数'!$E$22))*(36+1*7)/(36+7*(D12+1)/2)*E12,0))</x:f>
        <x:v>258</x:v>
      </x:c>
      <x:c r="Z12" s="119" t="n">
        <x:f>IF(X12=0,0,(X12-IF(1=D12,1,0))*ROUND(Y12*VLOOKUP(INDEX('章节与怪物'!$E$31:$K$37,B12,1),'章节与怪物'!$A$41:$F$44,2,FALSE),0)+IF(1=D12,ROUND(Y12*'难度参数'!$E$28*'章节与怪物'!$E$17,0),0))</x:f>
        <x:v>1674</x:v>
      </x:c>
      <x:c r="AA12" s="119" t="n">
        <x:f>IF(X12=0,0,(X12-IF(1=D12,1,0))*VLOOKUP(INDEX('章节与怪物'!$E$31:$K$37,B12,1),'章节与怪物'!$A$41:$F$44,4,FALSE)+IF(1=D12,'难度参数'!$E$30,0))</x:f>
        <x:v>180</x:v>
      </x:c>
      <x:c r="AB12" s="119" t="n">
        <x:f>IF(2&gt;D12,0,MAX(2,MIN('难度参数'!$E$12,ROUND(('难度参数'!$E$18*POWER(A12,'难度参数'!$E$19)/D12*(0.85+0.3*(2-1)/MAX(1,D12-1))),0)+F12)))</x:f>
        <x:v>9</x:v>
      </x:c>
      <x:c r="AC12" s="119" t="n">
        <x:f>IF(2&gt;D12,0,ROUND(('难度参数'!$E$13*POWER(A12,'难度参数'!$E$20)*MIN('难度参数'!$E$23,1+MAX(0,A12-'难度参数'!$E$21)*'难度参数'!$E$22))*(36+2*7)/(36+7*(D12+1)/2)*E12,0))</x:f>
        <x:v>300</x:v>
      </x:c>
      <x:c r="AD12" s="119" t="n">
        <x:f>IF(AB12=0,0,(AB12-IF(2=D12,1,0))*ROUND(AC12*VLOOKUP(INDEX('章节与怪物'!$E$31:$K$37,B12,2),'章节与怪物'!$A$41:$F$44,2,FALSE),0)+IF(2=D12,ROUND(AC12*'难度参数'!$E$28*'章节与怪物'!$E$17,0),0))</x:f>
        <x:v>2700</x:v>
      </x:c>
      <x:c r="AE12" s="119" t="n">
        <x:f>IF(AB12=0,0,(AB12-IF(2=D12,1,0))*VLOOKUP(INDEX('章节与怪物'!$E$31:$K$37,B12,2),'章节与怪物'!$A$41:$F$44,4,FALSE)+IF(2=D12,'难度参数'!$E$30,0))</x:f>
        <x:v>162</x:v>
      </x:c>
      <x:c r="AF12" s="119" t="n">
        <x:f>IF(3&gt;D12,0,MAX(2,MIN('难度参数'!$E$12,ROUND(('难度参数'!$E$18*POWER(A12,'难度参数'!$E$19)/D12*(0.85+0.3*(3-1)/MAX(1,D12-1))),0)+F12)))</x:f>
        <x:v>10</x:v>
      </x:c>
      <x:c r="AG12" s="119" t="n">
        <x:f>IF(3&gt;D12,0,ROUND(('难度参数'!$E$13*POWER(A12,'难度参数'!$E$20)*MIN('难度参数'!$E$23,1+MAX(0,A12-'难度参数'!$E$21)*'难度参数'!$E$22))*(36+3*7)/(36+7*(D12+1)/2)*E12,0))</x:f>
        <x:v>342</x:v>
      </x:c>
      <x:c r="AH12" s="119" t="n">
        <x:f>IF(AF12=0,0,(AF12-IF(3=D12,1,0))*ROUND(AG12*VLOOKUP(INDEX('章节与怪物'!$E$31:$K$37,B12,3),'章节与怪物'!$A$41:$F$44,2,FALSE),0)+IF(3=D12,ROUND(AG12*'难度参数'!$E$28*'章节与怪物'!$E$17,0),0))</x:f>
        <x:v>5810</x:v>
      </x:c>
      <x:c r="AI12" s="119" t="n">
        <x:f>IF(AF12=0,0,(AF12-IF(3=D12,1,0))*VLOOKUP(INDEX('章节与怪物'!$E$31:$K$37,B12,3),'章节与怪物'!$A$41:$F$44,4,FALSE)+IF(3=D12,'难度参数'!$E$30,0))</x:f>
        <x:v>280</x:v>
      </x:c>
      <x:c r="AJ12" s="119" t="n">
        <x:f>IF(4&gt;D12,0,MAX(2,MIN('难度参数'!$E$12,ROUND(('难度参数'!$E$18*POWER(A12,'难度参数'!$E$19)/D12*(0.85+0.3*(4-1)/MAX(1,D12-1))),0)+F12)))</x:f>
        <x:v>11</x:v>
      </x:c>
      <x:c r="AK12" s="119" t="n">
        <x:f>IF(4&gt;D12,0,ROUND(('难度参数'!$E$13*POWER(A12,'难度参数'!$E$20)*MIN('难度参数'!$E$23,1+MAX(0,A12-'难度参数'!$E$21)*'难度参数'!$E$22))*(36+4*7)/(36+7*(D12+1)/2)*E12,0))</x:f>
        <x:v>384</x:v>
      </x:c>
      <x:c r="AL12" s="119" t="n">
        <x:f>IF(AJ12=0,0,(AJ12-IF(4=D12,1,0))*ROUND(AK12*VLOOKUP(INDEX('章节与怪物'!$E$31:$K$37,B12,4),'章节与怪物'!$A$41:$F$44,2,FALSE),0)+IF(4=D12,ROUND(AK12*'难度参数'!$E$28*'章节与怪物'!$E$17,0),0))</x:f>
        <x:v>5698</x:v>
      </x:c>
      <x:c r="AM12" s="119" t="n">
        <x:f>IF(AJ12=0,0,(AJ12-IF(4=D12,1,0))*VLOOKUP(INDEX('章节与怪物'!$E$31:$K$37,B12,4),'章节与怪物'!$A$41:$F$44,4,FALSE)+IF(4=D12,'难度参数'!$E$30,0))</x:f>
        <x:v>374</x:v>
      </x:c>
      <x:c r="AN12" s="119" t="n">
        <x:f>IF(5&gt;D12,0,MAX(2,MIN('难度参数'!$E$12,ROUND(('难度参数'!$E$18*POWER(A12,'难度参数'!$E$19)/D12*(0.85+0.3*(5-1)/MAX(1,D12-1))),0)+F12)))</x:f>
        <x:v>11</x:v>
      </x:c>
      <x:c r="AO12" s="119" t="n">
        <x:f>IF(5&gt;D12,0,ROUND(('难度参数'!$E$13*POWER(A12,'难度参数'!$E$20)*MIN('难度参数'!$E$23,1+MAX(0,A12-'难度参数'!$E$21)*'难度参数'!$E$22))*(36+5*7)/(36+7*(D12+1)/2)*E12,0))</x:f>
        <x:v>426</x:v>
      </x:c>
      <x:c r="AP12" s="119" t="n">
        <x:f>IF(AN12=0,0,(AN12-IF(5=D12,1,0))*ROUND(AO12*VLOOKUP(INDEX('章节与怪物'!$E$31:$K$37,B12,5),'章节与怪物'!$A$41:$F$44,2,FALSE),0)+IF(5=D12,ROUND(AO12*'难度参数'!$E$28*'章节与怪物'!$E$17,0),0))</x:f>
        <x:v>4686</x:v>
      </x:c>
      <x:c r="AQ12" s="119" t="n">
        <x:f>IF(AN12=0,0,(AN12-IF(5=D12,1,0))*VLOOKUP(INDEX('章节与怪物'!$E$31:$K$37,B12,5),'章节与怪物'!$A$41:$F$44,4,FALSE)+IF(5=D12,'难度参数'!$E$30,0))</x:f>
        <x:v>198</x:v>
      </x:c>
      <x:c r="AR12" s="119" t="n">
        <x:f>IF(6&gt;D12,0,MAX(2,MIN('难度参数'!$E$12,ROUND(('难度参数'!$E$18*POWER(A12,'难度参数'!$E$19)/D12*(0.85+0.3*(6-1)/MAX(1,D12-1))),0)+F12)))</x:f>
        <x:v>12</x:v>
      </x:c>
      <x:c r="AS12" s="119" t="n">
        <x:f>IF(6&gt;D12,0,ROUND(('难度参数'!$E$13*POWER(A12,'难度参数'!$E$20)*MIN('难度参数'!$E$23,1+MAX(0,A12-'难度参数'!$E$21)*'难度参数'!$E$22))*(36+6*7)/(36+7*(D12+1)/2)*E12,0))</x:f>
        <x:v>468</x:v>
      </x:c>
      <x:c r="AT12" s="119" t="n">
        <x:f>IF(AR12=0,0,(AR12-IF(6=D12,1,0))*ROUND(AS12*VLOOKUP(INDEX('章节与怪物'!$E$31:$K$37,B12,6),'章节与怪物'!$A$41:$F$44,2,FALSE),0)+IF(6=D12,ROUND(AS12*'难度参数'!$E$28*'章节与怪物'!$E$17,0),0))</x:f>
        <x:v>11938</x:v>
      </x:c>
      <x:c r="AU12" s="119" t="n">
        <x:f>IF(AR12=0,0,(AR12-IF(6=D12,1,0))*VLOOKUP(INDEX('章节与怪物'!$E$31:$K$37,B12,6),'章节与怪物'!$A$41:$F$44,4,FALSE)+IF(6=D12,'难度参数'!$E$30,0))</x:f>
        <x:v>508</x:v>
      </x:c>
      <x:c r="AV12" s="119" t="n">
        <x:f>IF(7&gt;D12,0,MAX(2,MIN('难度参数'!$E$12,ROUND(('难度参数'!$E$18*POWER(A12,'难度参数'!$E$19)/D12*(0.85+0.3*(7-1)/MAX(1,D12-1))),0)+F12)))</x:f>
        <x:v>0</x:v>
      </x:c>
      <x:c r="AW12" s="119" t="n">
        <x:f>IF(7&gt;D12,0,ROUND(('难度参数'!$E$13*POWER(A12,'难度参数'!$E$20)*MIN('难度参数'!$E$23,1+MAX(0,A12-'难度参数'!$E$21)*'难度参数'!$E$22))*(36+7*7)/(36+7*(D12+1)/2)*E12,0))</x:f>
        <x:v>0</x:v>
      </x:c>
      <x:c r="AX12" s="119" t="n">
        <x:f>IF(AV12=0,0,(AV12-IF(7=D12,1,0))*ROUND(AW12*VLOOKUP(INDEX('章节与怪物'!$E$31:$K$37,B12,7),'章节与怪物'!$A$41:$F$44,2,FALSE),0)+IF(7=D12,ROUND(AW12*'难度参数'!$E$28*'章节与怪物'!$E$17,0),0))</x:f>
        <x:v>0</x:v>
      </x:c>
      <x:c r="AY12" s="119" t="n">
        <x:f>IF(AV12=0,0,(AV12-IF(7=D12,1,0))*VLOOKUP(INDEX('章节与怪物'!$E$31:$K$37,B12,7),'章节与怪物'!$A$41:$F$44,4,FALSE)+IF(7=D12,'难度参数'!$E$30,0))</x:f>
        <x:v>0</x:v>
      </x:c>
    </x:row>
    <x:row r="13" ht="23" customHeight="1">
      <x:c r="A13" s="119" t="n">
        <x:v>7</x:v>
      </x:c>
      <x:c r="B13" s="119" t="n">
        <x:f>MOD(INT((A13-1)/5),7)+1</x:f>
        <x:v>2</x:v>
      </x:c>
      <x:c r="C13" s="62" t="str">
        <x:f>INDEX('章节与怪物'!$B$31:$B$37,B13)</x:f>
        <x:v>黄沙要塞</x:v>
      </x:c>
      <x:c r="D13" s="119" t="n">
        <x:f>MIN('难度参数'!$E$8,MAX('难度参数'!$E$7,A13))</x:f>
        <x:v>7</x:v>
      </x:c>
      <x:c r="E13" s="106" t="n">
        <x:v>1</x:v>
      </x:c>
      <x:c r="F13" s="106" t="n">
        <x:v>0</x:v>
      </x:c>
      <x:c r="G13" s="106" t="n">
        <x:v>1</x:v>
      </x:c>
      <x:c r="H13" s="119" t="n">
        <x:f>SUM(X13,AB13,AF13,AJ13,AN13,AR13,AV13)</x:f>
        <x:v>65</x:v>
      </x:c>
      <x:c r="I13" s="119" t="n">
        <x:f>SUM(Z13,AD13,AH13,AL13,AP13,AT13,AX13)</x:f>
        <x:v>38444</x:v>
      </x:c>
      <x:c r="J13" s="119" t="n">
        <x:f>ROUND(INDEX(X13:AY13,1,(D13-1)*4+2)*'难度参数'!$E$28*'章节与怪物'!$E$17,0)</x:f>
        <x:v>3665</x:v>
      </x:c>
      <x:c r="K13" s="119" t="n">
        <x:f>SUM(AA13,AE13,AI13,AM13,AQ13,AU13,AY13)</x:f>
        <x:v>1862</x:v>
      </x:c>
      <x:c r="L13" s="62" t="n">
        <x:f>H13*(ROUNDUP('难度参数'!$E$24/('难度参数'!$E$26*'难度参数'!$E$27),0)*'难度参数'!$E$26)/60</x:f>
        <x:v>0.8666666666666667</x:v>
      </x:c>
      <x:c r="M13" s="62" t="n">
        <x:f>L13+D13*('难度参数'!$E$49+'难度参数'!$E$50)/60</x:f>
        <x:v>2.033333333333333</x:v>
      </x:c>
      <x:c r="N13" s="119" t="n">
        <x:f>ROUNDDOWN(('经济参数'!$E$20+A13*'经济参数'!$E$21)*G13,0)</x:f>
        <x:v>320</x:v>
      </x:c>
      <x:c r="O13" s="119" t="n">
        <x:f>ROUNDDOWN(MIN('经济参数'!$E$24,'经济参数'!$E$22+A13*'经济参数'!$E$23)*G13,0)</x:f>
        <x:v>0</x:v>
      </x:c>
      <x:c r="P13" s="119" t="n">
        <x:f>ROUNDDOWN((IF(A13&gt;='材料与任务'!$E$31,'材料与任务'!$E$32,IF(A13&gt;='材料与任务'!$E$25,'材料与任务'!$E$26,IF(A13&gt;='材料与任务'!$E$19,'材料与任务'!$E$20,IF(A13&gt;='材料与任务'!$E$13,'材料与任务'!$E$14,'材料与任务'!$E$8)))))*G13,0)</x:f>
        <x:v>2</x:v>
      </x:c>
      <x:c r="Q13" s="119" t="n">
        <x:f>ROUNDDOWN((IF(A13&gt;='材料与任务'!$E$31,'材料与任务'!$E$33,IF(A13&gt;='材料与任务'!$E$25,'材料与任务'!$E$27,IF(A13&gt;='材料与任务'!$E$19,'材料与任务'!$E$21,IF(A13&gt;='材料与任务'!$E$13,'材料与任务'!$E$15,'材料与任务'!$E$9)))))*G13,0)</x:f>
        <x:v>1</x:v>
      </x:c>
      <x:c r="R13" s="110" t="n">
        <x:f>'装备掉落'!$B$38</x:f>
        <x:v>0.6872058758851213</x:v>
      </x:c>
      <x:c r="S13" s="119" t="n">
        <x:f>MAX(IF(VLOOKUP(A13,'装备掉落'!$A$29:$H$34,2,TRUE)&gt;0,1,0),IF(VLOOKUP(A13,'装备掉落'!$A$29:$H$34,3,TRUE)&gt;0,2,0),IF(VLOOKUP(A13,'装备掉落'!$A$29:$H$34,4,TRUE)&gt;0,3,0),IF(VLOOKUP(A13,'装备掉落'!$A$29:$H$34,5,TRUE)&gt;0,4,0),IF(VLOOKUP(A13,'装备掉落'!$A$29:$H$34,6,TRUE)&gt;0,5,0),IF(VLOOKUP(A13,'装备掉落'!$A$29:$H$34,7,TRUE)&gt;0,6,0),IF(VLOOKUP(A13,'装备掉落'!$A$29:$H$34,8,TRUE)&gt;0,7,0))</x:f>
        <x:v>3</x:v>
      </x:c>
      <x:c r="T13" s="119" t="n">
        <x:f>MIN(7,S13+'经济参数'!$E$70)</x:f>
        <x:v>3</x:v>
      </x:c>
      <x:c r="U13" s="119" t="n">
        <x:f>MIN(7,S13+'经济参数'!$E$71)</x:f>
        <x:v>4</x:v>
      </x:c>
      <x:c r="V13" s="119" t="n">
        <x:f>IF(H13&gt;=('难度参数'!$E$52),1,0)+IF(H13&gt;=('难度参数'!$E$52+'难度参数'!$E$53),1,0)+IF(H13&gt;=('难度参数'!$E$52+'难度参数'!$E$53+'难度参数'!$E$54),1,0)+IF(H13&gt;=('难度参数'!$E$52+'难度参数'!$E$53+'难度参数'!$E$54+'难度参数'!$E$55),1,0)+IF(H13&gt;=('难度参数'!$E$52+'难度参数'!$E$53+'难度参数'!$E$54+'难度参数'!$E$55+'难度参数'!$E$56),1,0)+IF(H13&gt;=('难度参数'!$E$52+'难度参数'!$E$53+'难度参数'!$E$54+'难度参数'!$E$55+'难度参数'!$E$56+'难度参数'!$E$57),1,0)</x:f>
        <x:v>4</x:v>
      </x:c>
      <x:c r="W13" s="62" t="str">
        <x:f>IF(L13&gt;'难度参数'!$E$51,"仅出怪已超目标","还需实测")</x:f>
        <x:v>还需实测</x:v>
      </x:c>
      <x:c r="X13" s="119" t="n">
        <x:f>IF(1&gt;D13,0,MAX(2,MIN('难度参数'!$E$12,ROUND(('难度参数'!$E$18*POWER(A13,'难度参数'!$E$19)/D13*(0.85+0.3*(1-1)/MAX(1,D13-1))),0)+F13)))</x:f>
        <x:v>8</x:v>
      </x:c>
      <x:c r="Y13" s="119" t="n">
        <x:f>IF(1&gt;D13,0,ROUND(('难度参数'!$E$13*POWER(A13,'难度参数'!$E$20)*MIN('难度参数'!$E$23,1+MAX(0,A13-'难度参数'!$E$21)*'难度参数'!$E$22))*(36+1*7)/(36+7*(D13+1)/2)*E13,0))</x:f>
        <x:v>273</x:v>
      </x:c>
      <x:c r="Z13" s="119" t="n">
        <x:f>IF(X13=0,0,(X13-IF(1=D13,1,0))*ROUND(Y13*VLOOKUP(INDEX('章节与怪物'!$E$31:$K$37,B13,1),'章节与怪物'!$A$41:$F$44,2,FALSE),0)+IF(1=D13,ROUND(Y13*'难度参数'!$E$28*'章节与怪物'!$E$17,0),0))</x:f>
        <x:v>1576</x:v>
      </x:c>
      <x:c r="AA13" s="119" t="n">
        <x:f>IF(X13=0,0,(X13-IF(1=D13,1,0))*VLOOKUP(INDEX('章节与怪物'!$E$31:$K$37,B13,1),'章节与怪物'!$A$41:$F$44,4,FALSE)+IF(1=D13,'难度参数'!$E$30,0))</x:f>
        <x:v>160</x:v>
      </x:c>
      <x:c r="AB13" s="119" t="n">
        <x:f>IF(2&gt;D13,0,MAX(2,MIN('难度参数'!$E$12,ROUND(('难度参数'!$E$18*POWER(A13,'难度参数'!$E$19)/D13*(0.85+0.3*(2-1)/MAX(1,D13-1))),0)+F13)))</x:f>
        <x:v>8</x:v>
      </x:c>
      <x:c r="AC13" s="119" t="n">
        <x:f>IF(2&gt;D13,0,ROUND(('难度参数'!$E$13*POWER(A13,'难度参数'!$E$20)*MIN('难度参数'!$E$23,1+MAX(0,A13-'难度参数'!$E$21)*'难度参数'!$E$22))*(36+2*7)/(36+7*(D13+1)/2)*E13,0))</x:f>
        <x:v>317</x:v>
      </x:c>
      <x:c r="AD13" s="119" t="n">
        <x:f>IF(AB13=0,0,(AB13-IF(2=D13,1,0))*ROUND(AC13*VLOOKUP(INDEX('章节与怪物'!$E$31:$K$37,B13,2),'章节与怪物'!$A$41:$F$44,2,FALSE),0)+IF(2=D13,ROUND(AC13*'难度参数'!$E$28*'章节与怪物'!$E$17,0),0))</x:f>
        <x:v>2536</x:v>
      </x:c>
      <x:c r="AE13" s="119" t="n">
        <x:f>IF(AB13=0,0,(AB13-IF(2=D13,1,0))*VLOOKUP(INDEX('章节与怪物'!$E$31:$K$37,B13,2),'章节与怪物'!$A$41:$F$44,4,FALSE)+IF(2=D13,'难度参数'!$E$30,0))</x:f>
        <x:v>144</x:v>
      </x:c>
      <x:c r="AF13" s="119" t="n">
        <x:f>IF(3&gt;D13,0,MAX(2,MIN('难度参数'!$E$12,ROUND(('难度参数'!$E$18*POWER(A13,'难度参数'!$E$19)/D13*(0.85+0.3*(3-1)/MAX(1,D13-1))),0)+F13)))</x:f>
        <x:v>9</x:v>
      </x:c>
      <x:c r="AG13" s="119" t="n">
        <x:f>IF(3&gt;D13,0,ROUND(('难度参数'!$E$13*POWER(A13,'难度参数'!$E$20)*MIN('难度参数'!$E$23,1+MAX(0,A13-'难度参数'!$E$21)*'难度参数'!$E$22))*(36+3*7)/(36+7*(D13+1)/2)*E13,0))</x:f>
        <x:v>362</x:v>
      </x:c>
      <x:c r="AH13" s="119" t="n">
        <x:f>IF(AF13=0,0,(AF13-IF(3=D13,1,0))*ROUND(AG13*VLOOKUP(INDEX('章节与怪物'!$E$31:$K$37,B13,3),'章节与怪物'!$A$41:$F$44,2,FALSE),0)+IF(3=D13,ROUND(AG13*'难度参数'!$E$28*'章节与怪物'!$E$17,0),0))</x:f>
        <x:v>5535</x:v>
      </x:c>
      <x:c r="AI13" s="119" t="n">
        <x:f>IF(AF13=0,0,(AF13-IF(3=D13,1,0))*VLOOKUP(INDEX('章节与怪物'!$E$31:$K$37,B13,3),'章节与怪物'!$A$41:$F$44,4,FALSE)+IF(3=D13,'难度参数'!$E$30,0))</x:f>
        <x:v>252</x:v>
      </x:c>
      <x:c r="AJ13" s="119" t="n">
        <x:f>IF(4&gt;D13,0,MAX(2,MIN('难度参数'!$E$12,ROUND(('难度参数'!$E$18*POWER(A13,'难度参数'!$E$19)/D13*(0.85+0.3*(4-1)/MAX(1,D13-1))),0)+F13)))</x:f>
        <x:v>9</x:v>
      </x:c>
      <x:c r="AK13" s="119" t="n">
        <x:f>IF(4&gt;D13,0,ROUND(('难度参数'!$E$13*POWER(A13,'难度参数'!$E$20)*MIN('难度参数'!$E$23,1+MAX(0,A13-'难度参数'!$E$21)*'难度参数'!$E$22))*(36+4*7)/(36+7*(D13+1)/2)*E13,0))</x:f>
        <x:v>406</x:v>
      </x:c>
      <x:c r="AL13" s="119" t="n">
        <x:f>IF(AJ13=0,0,(AJ13-IF(4=D13,1,0))*ROUND(AK13*VLOOKUP(INDEX('章节与怪物'!$E$31:$K$37,B13,4),'章节与怪物'!$A$41:$F$44,2,FALSE),0)+IF(4=D13,ROUND(AK13*'难度参数'!$E$28*'章节与怪物'!$E$17,0),0))</x:f>
        <x:v>4932</x:v>
      </x:c>
      <x:c r="AM13" s="119" t="n">
        <x:f>IF(AJ13=0,0,(AJ13-IF(4=D13,1,0))*VLOOKUP(INDEX('章节与怪物'!$E$31:$K$37,B13,4),'章节与怪物'!$A$41:$F$44,4,FALSE)+IF(4=D13,'难度参数'!$E$30,0))</x:f>
        <x:v>306</x:v>
      </x:c>
      <x:c r="AN13" s="119" t="n">
        <x:f>IF(5&gt;D13,0,MAX(2,MIN('难度参数'!$E$12,ROUND(('难度参数'!$E$18*POWER(A13,'难度参数'!$E$19)/D13*(0.85+0.3*(5-1)/MAX(1,D13-1))),0)+F13)))</x:f>
        <x:v>10</x:v>
      </x:c>
      <x:c r="AO13" s="119" t="n">
        <x:f>IF(5&gt;D13,0,ROUND(('难度参数'!$E$13*POWER(A13,'难度参数'!$E$20)*MIN('难度参数'!$E$23,1+MAX(0,A13-'难度参数'!$E$21)*'难度参数'!$E$22))*(36+5*7)/(36+7*(D13+1)/2)*E13,0))</x:f>
        <x:v>450</x:v>
      </x:c>
      <x:c r="AP13" s="119" t="n">
        <x:f>IF(AN13=0,0,(AN13-IF(5=D13,1,0))*ROUND(AO13*VLOOKUP(INDEX('章节与怪物'!$E$31:$K$37,B13,5),'章节与怪物'!$A$41:$F$44,2,FALSE),0)+IF(5=D13,ROUND(AO13*'难度参数'!$E$28*'章节与怪物'!$E$17,0),0))</x:f>
        <x:v>4500</x:v>
      </x:c>
      <x:c r="AQ13" s="119" t="n">
        <x:f>IF(AN13=0,0,(AN13-IF(5=D13,1,0))*VLOOKUP(INDEX('章节与怪物'!$E$31:$K$37,B13,5),'章节与怪物'!$A$41:$F$44,4,FALSE)+IF(5=D13,'难度参数'!$E$30,0))</x:f>
        <x:v>180</x:v>
      </x:c>
      <x:c r="AR13" s="119" t="n">
        <x:f>IF(6&gt;D13,0,MAX(2,MIN('难度参数'!$E$12,ROUND(('难度参数'!$E$18*POWER(A13,'难度参数'!$E$19)/D13*(0.85+0.3*(6-1)/MAX(1,D13-1))),0)+F13)))</x:f>
        <x:v>10</x:v>
      </x:c>
      <x:c r="AS13" s="119" t="n">
        <x:f>IF(6&gt;D13,0,ROUND(('难度参数'!$E$13*POWER(A13,'难度参数'!$E$20)*MIN('难度参数'!$E$23,1+MAX(0,A13-'难度参数'!$E$21)*'难度参数'!$E$22))*(36+6*7)/(36+7*(D13+1)/2)*E13,0))</x:f>
        <x:v>495</x:v>
      </x:c>
      <x:c r="AT13" s="119" t="n">
        <x:f>IF(AR13=0,0,(AR13-IF(6=D13,1,0))*ROUND(AS13*VLOOKUP(INDEX('章节与怪物'!$E$31:$K$37,B13,6),'章节与怪物'!$A$41:$F$44,2,FALSE),0)+IF(6=D13,ROUND(AS13*'难度参数'!$E$28*'章节与怪物'!$E$17,0),0))</x:f>
        <x:v>8420</x:v>
      </x:c>
      <x:c r="AU13" s="119" t="n">
        <x:f>IF(AR13=0,0,(AR13-IF(6=D13,1,0))*VLOOKUP(INDEX('章节与怪物'!$E$31:$K$37,B13,6),'章节与怪物'!$A$41:$F$44,4,FALSE)+IF(6=D13,'难度参数'!$E$30,0))</x:f>
        <x:v>280</x:v>
      </x:c>
      <x:c r="AV13" s="119" t="n">
        <x:f>IF(7&gt;D13,0,MAX(2,MIN('难度参数'!$E$12,ROUND(('难度参数'!$E$18*POWER(A13,'难度参数'!$E$19)/D13*(0.85+0.3*(7-1)/MAX(1,D13-1))),0)+F13)))</x:f>
        <x:v>11</x:v>
      </x:c>
      <x:c r="AW13" s="119" t="n">
        <x:f>IF(7&gt;D13,0,ROUND(('难度参数'!$E$13*POWER(A13,'难度参数'!$E$20)*MIN('难度参数'!$E$23,1+MAX(0,A13-'难度参数'!$E$21)*'难度参数'!$E$22))*(36+7*7)/(36+7*(D13+1)/2)*E13,0))</x:f>
        <x:v>539</x:v>
      </x:c>
      <x:c r="AX13" s="119" t="n">
        <x:f>IF(AV13=0,0,(AV13-IF(7=D13,1,0))*ROUND(AW13*VLOOKUP(INDEX('章节与怪物'!$E$31:$K$37,B13,7),'章节与怪物'!$A$41:$F$44,2,FALSE),0)+IF(7=D13,ROUND(AW13*'难度参数'!$E$28*'章节与怪物'!$E$17,0),0))</x:f>
        <x:v>10945</x:v>
      </x:c>
      <x:c r="AY13" s="119" t="n">
        <x:f>IF(AV13=0,0,(AV13-IF(7=D13,1,0))*VLOOKUP(INDEX('章节与怪物'!$E$31:$K$37,B13,7),'章节与怪物'!$A$41:$F$44,4,FALSE)+IF(7=D13,'难度参数'!$E$30,0))</x:f>
        <x:v>540</x:v>
      </x:c>
    </x:row>
    <x:row r="14" ht="23" customHeight="1">
      <x:c r="A14" s="119" t="n">
        <x:v>8</x:v>
      </x:c>
      <x:c r="B14" s="119" t="n">
        <x:f>MOD(INT((A14-1)/5),7)+1</x:f>
        <x:v>2</x:v>
      </x:c>
      <x:c r="C14" s="62" t="str">
        <x:f>INDEX('章节与怪物'!$B$31:$B$37,B14)</x:f>
        <x:v>黄沙要塞</x:v>
      </x:c>
      <x:c r="D14" s="119" t="n">
        <x:f>MIN('难度参数'!$E$8,MAX('难度参数'!$E$7,A14))</x:f>
        <x:v>7</x:v>
      </x:c>
      <x:c r="E14" s="106" t="n">
        <x:v>1</x:v>
      </x:c>
      <x:c r="F14" s="106" t="n">
        <x:v>0</x:v>
      </x:c>
      <x:c r="G14" s="106" t="n">
        <x:v>1</x:v>
      </x:c>
      <x:c r="H14" s="119" t="n">
        <x:f>SUM(X14,AB14,AF14,AJ14,AN14,AR14,AV14)</x:f>
        <x:v>68</x:v>
      </x:c>
      <x:c r="I14" s="119" t="n">
        <x:f>SUM(Z14,AD14,AH14,AL14,AP14,AT14,AX14)</x:f>
        <x:v>44208</x:v>
      </x:c>
      <x:c r="J14" s="119" t="n">
        <x:f>ROUND(INDEX(X14:AY14,1,(D14-1)*4+2)*'难度参数'!$E$28*'章节与怪物'!$E$17,0)</x:f>
        <x:v>4039</x:v>
      </x:c>
      <x:c r="K14" s="119" t="n">
        <x:f>SUM(AA14,AE14,AI14,AM14,AQ14,AU14,AY14)</x:f>
        <x:v>1942</x:v>
      </x:c>
      <x:c r="L14" s="62" t="n">
        <x:f>H14*(ROUNDUP('难度参数'!$E$24/('难度参数'!$E$26*'难度参数'!$E$27),0)*'难度参数'!$E$26)/60</x:f>
        <x:v>0.9066666666666667</x:v>
      </x:c>
      <x:c r="M14" s="62" t="n">
        <x:f>L14+D14*('难度参数'!$E$49+'难度参数'!$E$50)/60</x:f>
        <x:v>2.0733333333333333</x:v>
      </x:c>
      <x:c r="N14" s="119" t="n">
        <x:f>ROUNDDOWN(('经济参数'!$E$20+A14*'经济参数'!$E$21)*G14,0)</x:f>
        <x:v>340</x:v>
      </x:c>
      <x:c r="O14" s="119" t="n">
        <x:f>ROUNDDOWN(MIN('经济参数'!$E$24,'经济参数'!$E$22+A14*'经济参数'!$E$23)*G14,0)</x:f>
        <x:v>0</x:v>
      </x:c>
      <x:c r="P14" s="119" t="n">
        <x:f>ROUNDDOWN((IF(A14&gt;='材料与任务'!$E$31,'材料与任务'!$E$32,IF(A14&gt;='材料与任务'!$E$25,'材料与任务'!$E$26,IF(A14&gt;='材料与任务'!$E$19,'材料与任务'!$E$20,IF(A14&gt;='材料与任务'!$E$13,'材料与任务'!$E$14,'材料与任务'!$E$8)))))*G14,0)</x:f>
        <x:v>2</x:v>
      </x:c>
      <x:c r="Q14" s="119" t="n">
        <x:f>ROUNDDOWN((IF(A14&gt;='材料与任务'!$E$31,'材料与任务'!$E$33,IF(A14&gt;='材料与任务'!$E$25,'材料与任务'!$E$27,IF(A14&gt;='材料与任务'!$E$19,'材料与任务'!$E$21,IF(A14&gt;='材料与任务'!$E$13,'材料与任务'!$E$15,'材料与任务'!$E$9)))))*G14,0)</x:f>
        <x:v>1</x:v>
      </x:c>
      <x:c r="R14" s="110" t="n">
        <x:f>'装备掉落'!$B$38</x:f>
        <x:v>0.6872058758851213</x:v>
      </x:c>
      <x:c r="S14" s="119" t="n">
        <x:f>MAX(IF(VLOOKUP(A14,'装备掉落'!$A$29:$H$34,2,TRUE)&gt;0,1,0),IF(VLOOKUP(A14,'装备掉落'!$A$29:$H$34,3,TRUE)&gt;0,2,0),IF(VLOOKUP(A14,'装备掉落'!$A$29:$H$34,4,TRUE)&gt;0,3,0),IF(VLOOKUP(A14,'装备掉落'!$A$29:$H$34,5,TRUE)&gt;0,4,0),IF(VLOOKUP(A14,'装备掉落'!$A$29:$H$34,6,TRUE)&gt;0,5,0),IF(VLOOKUP(A14,'装备掉落'!$A$29:$H$34,7,TRUE)&gt;0,6,0),IF(VLOOKUP(A14,'装备掉落'!$A$29:$H$34,8,TRUE)&gt;0,7,0))</x:f>
        <x:v>3</x:v>
      </x:c>
      <x:c r="T14" s="119" t="n">
        <x:f>MIN(7,S14+'经济参数'!$E$70)</x:f>
        <x:v>3</x:v>
      </x:c>
      <x:c r="U14" s="119" t="n">
        <x:f>MIN(7,S14+'经济参数'!$E$71)</x:f>
        <x:v>4</x:v>
      </x:c>
      <x:c r="V14" s="119" t="n">
        <x:f>IF(H14&gt;=('难度参数'!$E$52),1,0)+IF(H14&gt;=('难度参数'!$E$52+'难度参数'!$E$53),1,0)+IF(H14&gt;=('难度参数'!$E$52+'难度参数'!$E$53+'难度参数'!$E$54),1,0)+IF(H14&gt;=('难度参数'!$E$52+'难度参数'!$E$53+'难度参数'!$E$54+'难度参数'!$E$55),1,0)+IF(H14&gt;=('难度参数'!$E$52+'难度参数'!$E$53+'难度参数'!$E$54+'难度参数'!$E$55+'难度参数'!$E$56),1,0)+IF(H14&gt;=('难度参数'!$E$52+'难度参数'!$E$53+'难度参数'!$E$54+'难度参数'!$E$55+'难度参数'!$E$56+'难度参数'!$E$57),1,0)</x:f>
        <x:v>5</x:v>
      </x:c>
      <x:c r="W14" s="62" t="str">
        <x:f>IF(L14&gt;'难度参数'!$E$51,"仅出怪已超目标","还需实测")</x:f>
        <x:v>还需实测</x:v>
      </x:c>
      <x:c r="X14" s="119" t="n">
        <x:f>IF(1&gt;D14,0,MAX(2,MIN('难度参数'!$E$12,ROUND(('难度参数'!$E$18*POWER(A14,'难度参数'!$E$19)/D14*(0.85+0.3*(1-1)/MAX(1,D14-1))),0)+F14)))</x:f>
        <x:v>8</x:v>
      </x:c>
      <x:c r="Y14" s="119" t="n">
        <x:f>IF(1&gt;D14,0,ROUND(('难度参数'!$E$13*POWER(A14,'难度参数'!$E$20)*MIN('难度参数'!$E$23,1+MAX(0,A14-'难度参数'!$E$21)*'难度参数'!$E$22))*(36+1*7)/(36+7*(D14+1)/2)*E14,0))</x:f>
        <x:v>300</x:v>
      </x:c>
      <x:c r="Z14" s="119" t="n">
        <x:f>IF(X14=0,0,(X14-IF(1=D14,1,0))*ROUND(Y14*VLOOKUP(INDEX('章节与怪物'!$E$31:$K$37,B14,1),'章节与怪物'!$A$41:$F$44,2,FALSE),0)+IF(1=D14,ROUND(Y14*'难度参数'!$E$28*'章节与怪物'!$E$17,0),0))</x:f>
        <x:v>1728</x:v>
      </x:c>
      <x:c r="AA14" s="119" t="n">
        <x:f>IF(X14=0,0,(X14-IF(1=D14,1,0))*VLOOKUP(INDEX('章节与怪物'!$E$31:$K$37,B14,1),'章节与怪物'!$A$41:$F$44,4,FALSE)+IF(1=D14,'难度参数'!$E$30,0))</x:f>
        <x:v>160</x:v>
      </x:c>
      <x:c r="AB14" s="119" t="n">
        <x:f>IF(2&gt;D14,0,MAX(2,MIN('难度参数'!$E$12,ROUND(('难度参数'!$E$18*POWER(A14,'难度参数'!$E$19)/D14*(0.85+0.3*(2-1)/MAX(1,D14-1))),0)+F14)))</x:f>
        <x:v>9</x:v>
      </x:c>
      <x:c r="AC14" s="119" t="n">
        <x:f>IF(2&gt;D14,0,ROUND(('难度参数'!$E$13*POWER(A14,'难度参数'!$E$20)*MIN('难度参数'!$E$23,1+MAX(0,A14-'难度参数'!$E$21)*'难度参数'!$E$22))*(36+2*7)/(36+7*(D14+1)/2)*E14,0))</x:f>
        <x:v>349</x:v>
      </x:c>
      <x:c r="AD14" s="119" t="n">
        <x:f>IF(AB14=0,0,(AB14-IF(2=D14,1,0))*ROUND(AC14*VLOOKUP(INDEX('章节与怪物'!$E$31:$K$37,B14,2),'章节与怪物'!$A$41:$F$44,2,FALSE),0)+IF(2=D14,ROUND(AC14*'难度参数'!$E$28*'章节与怪物'!$E$17,0),0))</x:f>
        <x:v>3141</x:v>
      </x:c>
      <x:c r="AE14" s="119" t="n">
        <x:f>IF(AB14=0,0,(AB14-IF(2=D14,1,0))*VLOOKUP(INDEX('章节与怪物'!$E$31:$K$37,B14,2),'章节与怪物'!$A$41:$F$44,4,FALSE)+IF(2=D14,'难度参数'!$E$30,0))</x:f>
        <x:v>162</x:v>
      </x:c>
      <x:c r="AF14" s="119" t="n">
        <x:f>IF(3&gt;D14,0,MAX(2,MIN('难度参数'!$E$12,ROUND(('难度参数'!$E$18*POWER(A14,'难度参数'!$E$19)/D14*(0.85+0.3*(3-1)/MAX(1,D14-1))),0)+F14)))</x:f>
        <x:v>9</x:v>
      </x:c>
      <x:c r="AG14" s="119" t="n">
        <x:f>IF(3&gt;D14,0,ROUND(('难度参数'!$E$13*POWER(A14,'难度参数'!$E$20)*MIN('难度参数'!$E$23,1+MAX(0,A14-'难度参数'!$E$21)*'难度参数'!$E$22))*(36+3*7)/(36+7*(D14+1)/2)*E14,0))</x:f>
        <x:v>398</x:v>
      </x:c>
      <x:c r="AH14" s="119" t="n">
        <x:f>IF(AF14=0,0,(AF14-IF(3=D14,1,0))*ROUND(AG14*VLOOKUP(INDEX('章节与怪物'!$E$31:$K$37,B14,3),'章节与怪物'!$A$41:$F$44,2,FALSE),0)+IF(3=D14,ROUND(AG14*'难度参数'!$E$28*'章节与怪物'!$E$17,0),0))</x:f>
        <x:v>6093</x:v>
      </x:c>
      <x:c r="AI14" s="119" t="n">
        <x:f>IF(AF14=0,0,(AF14-IF(3=D14,1,0))*VLOOKUP(INDEX('章节与怪物'!$E$31:$K$37,B14,3),'章节与怪物'!$A$41:$F$44,4,FALSE)+IF(3=D14,'难度参数'!$E$30,0))</x:f>
        <x:v>252</x:v>
      </x:c>
      <x:c r="AJ14" s="119" t="n">
        <x:f>IF(4&gt;D14,0,MAX(2,MIN('难度参数'!$E$12,ROUND(('难度参数'!$E$18*POWER(A14,'难度参数'!$E$19)/D14*(0.85+0.3*(4-1)/MAX(1,D14-1))),0)+F14)))</x:f>
        <x:v>10</x:v>
      </x:c>
      <x:c r="AK14" s="119" t="n">
        <x:f>IF(4&gt;D14,0,ROUND(('难度参数'!$E$13*POWER(A14,'难度参数'!$E$20)*MIN('难度参数'!$E$23,1+MAX(0,A14-'难度参数'!$E$21)*'难度参数'!$E$22))*(36+4*7)/(36+7*(D14+1)/2)*E14,0))</x:f>
        <x:v>447</x:v>
      </x:c>
      <x:c r="AL14" s="119" t="n">
        <x:f>IF(AJ14=0,0,(AJ14-IF(4=D14,1,0))*ROUND(AK14*VLOOKUP(INDEX('章节与怪物'!$E$31:$K$37,B14,4),'章节与怪物'!$A$41:$F$44,2,FALSE),0)+IF(4=D14,ROUND(AK14*'难度参数'!$E$28*'章节与怪物'!$E$17,0),0))</x:f>
        <x:v>6030</x:v>
      </x:c>
      <x:c r="AM14" s="119" t="n">
        <x:f>IF(AJ14=0,0,(AJ14-IF(4=D14,1,0))*VLOOKUP(INDEX('章节与怪物'!$E$31:$K$37,B14,4),'章节与怪物'!$A$41:$F$44,4,FALSE)+IF(4=D14,'难度参数'!$E$30,0))</x:f>
        <x:v>340</x:v>
      </x:c>
      <x:c r="AN14" s="119" t="n">
        <x:f>IF(5&gt;D14,0,MAX(2,MIN('难度参数'!$E$12,ROUND(('难度参数'!$E$18*POWER(A14,'难度参数'!$E$19)/D14*(0.85+0.3*(5-1)/MAX(1,D14-1))),0)+F14)))</x:f>
        <x:v>10</x:v>
      </x:c>
      <x:c r="AO14" s="119" t="n">
        <x:f>IF(5&gt;D14,0,ROUND(('难度参数'!$E$13*POWER(A14,'难度参数'!$E$20)*MIN('难度参数'!$E$23,1+MAX(0,A14-'难度参数'!$E$21)*'难度参数'!$E$22))*(36+5*7)/(36+7*(D14+1)/2)*E14,0))</x:f>
        <x:v>496</x:v>
      </x:c>
      <x:c r="AP14" s="119" t="n">
        <x:f>IF(AN14=0,0,(AN14-IF(5=D14,1,0))*ROUND(AO14*VLOOKUP(INDEX('章节与怪物'!$E$31:$K$37,B14,5),'章节与怪物'!$A$41:$F$44,2,FALSE),0)+IF(5=D14,ROUND(AO14*'难度参数'!$E$28*'章节与怪物'!$E$17,0),0))</x:f>
        <x:v>4960</x:v>
      </x:c>
      <x:c r="AQ14" s="119" t="n">
        <x:f>IF(AN14=0,0,(AN14-IF(5=D14,1,0))*VLOOKUP(INDEX('章节与怪物'!$E$31:$K$37,B14,5),'章节与怪物'!$A$41:$F$44,4,FALSE)+IF(5=D14,'难度参数'!$E$30,0))</x:f>
        <x:v>180</x:v>
      </x:c>
      <x:c r="AR14" s="119" t="n">
        <x:f>IF(6&gt;D14,0,MAX(2,MIN('难度参数'!$E$12,ROUND(('难度参数'!$E$18*POWER(A14,'难度参数'!$E$19)/D14*(0.85+0.3*(6-1)/MAX(1,D14-1))),0)+F14)))</x:f>
        <x:v>11</x:v>
      </x:c>
      <x:c r="AS14" s="119" t="n">
        <x:f>IF(6&gt;D14,0,ROUND(('难度参数'!$E$13*POWER(A14,'难度参数'!$E$20)*MIN('难度参数'!$E$23,1+MAX(0,A14-'难度参数'!$E$21)*'难度参数'!$E$22))*(36+6*7)/(36+7*(D14+1)/2)*E14,0))</x:f>
        <x:v>545</x:v>
      </x:c>
      <x:c r="AT14" s="119" t="n">
        <x:f>IF(AR14=0,0,(AR14-IF(6=D14,1,0))*ROUND(AS14*VLOOKUP(INDEX('章节与怪物'!$E$31:$K$37,B14,6),'章节与怪物'!$A$41:$F$44,2,FALSE),0)+IF(6=D14,ROUND(AS14*'难度参数'!$E$28*'章节与怪物'!$E$17,0),0))</x:f>
        <x:v>10197</x:v>
      </x:c>
      <x:c r="AU14" s="119" t="n">
        <x:f>IF(AR14=0,0,(AR14-IF(6=D14,1,0))*VLOOKUP(INDEX('章节与怪物'!$E$31:$K$37,B14,6),'章节与怪物'!$A$41:$F$44,4,FALSE)+IF(6=D14,'难度参数'!$E$30,0))</x:f>
        <x:v>308</x:v>
      </x:c>
      <x:c r="AV14" s="119" t="n">
        <x:f>IF(7&gt;D14,0,MAX(2,MIN('难度参数'!$E$12,ROUND(('难度参数'!$E$18*POWER(A14,'难度参数'!$E$19)/D14*(0.85+0.3*(7-1)/MAX(1,D14-1))),0)+F14)))</x:f>
        <x:v>11</x:v>
      </x:c>
      <x:c r="AW14" s="119" t="n">
        <x:f>IF(7&gt;D14,0,ROUND(('难度参数'!$E$13*POWER(A14,'难度参数'!$E$20)*MIN('难度参数'!$E$23,1+MAX(0,A14-'难度参数'!$E$21)*'难度参数'!$E$22))*(36+7*7)/(36+7*(D14+1)/2)*E14,0))</x:f>
        <x:v>594</x:v>
      </x:c>
      <x:c r="AX14" s="119" t="n">
        <x:f>IF(AV14=0,0,(AV14-IF(7=D14,1,0))*ROUND(AW14*VLOOKUP(INDEX('章节与怪物'!$E$31:$K$37,B14,7),'章节与怪物'!$A$41:$F$44,2,FALSE),0)+IF(7=D14,ROUND(AW14*'难度参数'!$E$28*'章节与怪物'!$E$17,0),0))</x:f>
        <x:v>12059</x:v>
      </x:c>
      <x:c r="AY14" s="119" t="n">
        <x:f>IF(AV14=0,0,(AV14-IF(7=D14,1,0))*VLOOKUP(INDEX('章节与怪物'!$E$31:$K$37,B14,7),'章节与怪物'!$A$41:$F$44,4,FALSE)+IF(7=D14,'难度参数'!$E$30,0))</x:f>
        <x:v>540</x:v>
      </x:c>
    </x:row>
    <x:row r="15" ht="23" customHeight="1">
      <x:c r="A15" s="119" t="n">
        <x:v>9</x:v>
      </x:c>
      <x:c r="B15" s="119" t="n">
        <x:f>MOD(INT((A15-1)/5),7)+1</x:f>
        <x:v>2</x:v>
      </x:c>
      <x:c r="C15" s="62" t="str">
        <x:f>INDEX('章节与怪物'!$B$31:$B$37,B15)</x:f>
        <x:v>黄沙要塞</x:v>
      </x:c>
      <x:c r="D15" s="119" t="n">
        <x:f>MIN('难度参数'!$E$8,MAX('难度参数'!$E$7,A15))</x:f>
        <x:v>7</x:v>
      </x:c>
      <x:c r="E15" s="106" t="n">
        <x:v>1</x:v>
      </x:c>
      <x:c r="F15" s="106" t="n">
        <x:v>0</x:v>
      </x:c>
      <x:c r="G15" s="106" t="n">
        <x:v>1</x:v>
      </x:c>
      <x:c r="H15" s="119" t="n">
        <x:f>SUM(X15,AB15,AF15,AJ15,AN15,AR15,AV15)</x:f>
        <x:v>72</x:v>
      </x:c>
      <x:c r="I15" s="119" t="n">
        <x:f>SUM(Z15,AD15,AH15,AL15,AP15,AT15,AX15)</x:f>
        <x:v>50468</x:v>
      </x:c>
      <x:c r="J15" s="119" t="n">
        <x:f>ROUND(INDEX(X15:AY15,1,(D15-1)*4+2)*'难度参数'!$E$28*'章节与怪物'!$E$17,0)</x:f>
        <x:v>4393</x:v>
      </x:c>
      <x:c r="K15" s="119" t="n">
        <x:f>SUM(AA15,AE15,AI15,AM15,AQ15,AU15,AY15)</x:f>
        <x:v>2042</x:v>
      </x:c>
      <x:c r="L15" s="62" t="n">
        <x:f>H15*(ROUNDUP('难度参数'!$E$24/('难度参数'!$E$26*'难度参数'!$E$27),0)*'难度参数'!$E$26)/60</x:f>
        <x:v>0.9600000000000001</x:v>
      </x:c>
      <x:c r="M15" s="62" t="n">
        <x:f>L15+D15*('难度参数'!$E$49+'难度参数'!$E$50)/60</x:f>
        <x:v>2.126666666666667</x:v>
      </x:c>
      <x:c r="N15" s="119" t="n">
        <x:f>ROUNDDOWN(('经济参数'!$E$20+A15*'经济参数'!$E$21)*G15,0)</x:f>
        <x:v>360</x:v>
      </x:c>
      <x:c r="O15" s="119" t="n">
        <x:f>ROUNDDOWN(MIN('经济参数'!$E$24,'经济参数'!$E$22+A15*'经济参数'!$E$23)*G15,0)</x:f>
        <x:v>0</x:v>
      </x:c>
      <x:c r="P15" s="119" t="n">
        <x:f>ROUNDDOWN((IF(A15&gt;='材料与任务'!$E$31,'材料与任务'!$E$32,IF(A15&gt;='材料与任务'!$E$25,'材料与任务'!$E$26,IF(A15&gt;='材料与任务'!$E$19,'材料与任务'!$E$20,IF(A15&gt;='材料与任务'!$E$13,'材料与任务'!$E$14,'材料与任务'!$E$8)))))*G15,0)</x:f>
        <x:v>2</x:v>
      </x:c>
      <x:c r="Q15" s="119" t="n">
        <x:f>ROUNDDOWN((IF(A15&gt;='材料与任务'!$E$31,'材料与任务'!$E$33,IF(A15&gt;='材料与任务'!$E$25,'材料与任务'!$E$27,IF(A15&gt;='材料与任务'!$E$19,'材料与任务'!$E$21,IF(A15&gt;='材料与任务'!$E$13,'材料与任务'!$E$15,'材料与任务'!$E$9)))))*G15,0)</x:f>
        <x:v>1</x:v>
      </x:c>
      <x:c r="R15" s="110" t="n">
        <x:f>'装备掉落'!$B$38</x:f>
        <x:v>0.6872058758851213</x:v>
      </x:c>
      <x:c r="S15" s="119" t="n">
        <x:f>MAX(IF(VLOOKUP(A15,'装备掉落'!$A$29:$H$34,2,TRUE)&gt;0,1,0),IF(VLOOKUP(A15,'装备掉落'!$A$29:$H$34,3,TRUE)&gt;0,2,0),IF(VLOOKUP(A15,'装备掉落'!$A$29:$H$34,4,TRUE)&gt;0,3,0),IF(VLOOKUP(A15,'装备掉落'!$A$29:$H$34,5,TRUE)&gt;0,4,0),IF(VLOOKUP(A15,'装备掉落'!$A$29:$H$34,6,TRUE)&gt;0,5,0),IF(VLOOKUP(A15,'装备掉落'!$A$29:$H$34,7,TRUE)&gt;0,6,0),IF(VLOOKUP(A15,'装备掉落'!$A$29:$H$34,8,TRUE)&gt;0,7,0))</x:f>
        <x:v>3</x:v>
      </x:c>
      <x:c r="T15" s="119" t="n">
        <x:f>MIN(7,S15+'经济参数'!$E$70)</x:f>
        <x:v>3</x:v>
      </x:c>
      <x:c r="U15" s="119" t="n">
        <x:f>MIN(7,S15+'经济参数'!$E$71)</x:f>
        <x:v>4</x:v>
      </x:c>
      <x:c r="V15" s="119" t="n">
        <x:f>IF(H15&gt;=('难度参数'!$E$52),1,0)+IF(H15&gt;=('难度参数'!$E$52+'难度参数'!$E$53),1,0)+IF(H15&gt;=('难度参数'!$E$52+'难度参数'!$E$53+'难度参数'!$E$54),1,0)+IF(H15&gt;=('难度参数'!$E$52+'难度参数'!$E$53+'难度参数'!$E$54+'难度参数'!$E$55),1,0)+IF(H15&gt;=('难度参数'!$E$52+'难度参数'!$E$53+'难度参数'!$E$54+'难度参数'!$E$55+'难度参数'!$E$56),1,0)+IF(H15&gt;=('难度参数'!$E$52+'难度参数'!$E$53+'难度参数'!$E$54+'难度参数'!$E$55+'难度参数'!$E$56+'难度参数'!$E$57),1,0)</x:f>
        <x:v>5</x:v>
      </x:c>
      <x:c r="W15" s="62" t="str">
        <x:f>IF(L15&gt;'难度参数'!$E$51,"仅出怪已超目标","还需实测")</x:f>
        <x:v>还需实测</x:v>
      </x:c>
      <x:c r="X15" s="119" t="n">
        <x:f>IF(1&gt;D15,0,MAX(2,MIN('难度参数'!$E$12,ROUND(('难度参数'!$E$18*POWER(A15,'难度参数'!$E$19)/D15*(0.85+0.3*(1-1)/MAX(1,D15-1))),0)+F15)))</x:f>
        <x:v>9</x:v>
      </x:c>
      <x:c r="Y15" s="119" t="n">
        <x:f>IF(1&gt;D15,0,ROUND(('难度参数'!$E$13*POWER(A15,'难度参数'!$E$20)*MIN('难度参数'!$E$23,1+MAX(0,A15-'难度参数'!$E$21)*'难度参数'!$E$22))*(36+1*7)/(36+7*(D15+1)/2)*E15,0))</x:f>
        <x:v>327</x:v>
      </x:c>
      <x:c r="Z15" s="119" t="n">
        <x:f>IF(X15=0,0,(X15-IF(1=D15,1,0))*ROUND(Y15*VLOOKUP(INDEX('章节与怪物'!$E$31:$K$37,B15,1),'章节与怪物'!$A$41:$F$44,2,FALSE),0)+IF(1=D15,ROUND(Y15*'难度参数'!$E$28*'章节与怪物'!$E$17,0),0))</x:f>
        <x:v>2115</x:v>
      </x:c>
      <x:c r="AA15" s="119" t="n">
        <x:f>IF(X15=0,0,(X15-IF(1=D15,1,0))*VLOOKUP(INDEX('章节与怪物'!$E$31:$K$37,B15,1),'章节与怪物'!$A$41:$F$44,4,FALSE)+IF(1=D15,'难度参数'!$E$30,0))</x:f>
        <x:v>180</x:v>
      </x:c>
      <x:c r="AB15" s="119" t="n">
        <x:f>IF(2&gt;D15,0,MAX(2,MIN('难度参数'!$E$12,ROUND(('难度参数'!$E$18*POWER(A15,'难度参数'!$E$19)/D15*(0.85+0.3*(2-1)/MAX(1,D15-1))),0)+F15)))</x:f>
        <x:v>9</x:v>
      </x:c>
      <x:c r="AC15" s="119" t="n">
        <x:f>IF(2&gt;D15,0,ROUND(('难度参数'!$E$13*POWER(A15,'难度参数'!$E$20)*MIN('难度参数'!$E$23,1+MAX(0,A15-'难度参数'!$E$21)*'难度参数'!$E$22))*(36+2*7)/(36+7*(D15+1)/2)*E15,0))</x:f>
        <x:v>380</x:v>
      </x:c>
      <x:c r="AD15" s="119" t="n">
        <x:f>IF(AB15=0,0,(AB15-IF(2=D15,1,0))*ROUND(AC15*VLOOKUP(INDEX('章节与怪物'!$E$31:$K$37,B15,2),'章节与怪物'!$A$41:$F$44,2,FALSE),0)+IF(2=D15,ROUND(AC15*'难度参数'!$E$28*'章节与怪物'!$E$17,0),0))</x:f>
        <x:v>3420</x:v>
      </x:c>
      <x:c r="AE15" s="119" t="n">
        <x:f>IF(AB15=0,0,(AB15-IF(2=D15,1,0))*VLOOKUP(INDEX('章节与怪物'!$E$31:$K$37,B15,2),'章节与怪物'!$A$41:$F$44,4,FALSE)+IF(2=D15,'难度参数'!$E$30,0))</x:f>
        <x:v>162</x:v>
      </x:c>
      <x:c r="AF15" s="119" t="n">
        <x:f>IF(3&gt;D15,0,MAX(2,MIN('难度参数'!$E$12,ROUND(('难度参数'!$E$18*POWER(A15,'难度参数'!$E$19)/D15*(0.85+0.3*(3-1)/MAX(1,D15-1))),0)+F15)))</x:f>
        <x:v>10</x:v>
      </x:c>
      <x:c r="AG15" s="119" t="n">
        <x:f>IF(3&gt;D15,0,ROUND(('难度参数'!$E$13*POWER(A15,'难度参数'!$E$20)*MIN('难度参数'!$E$23,1+MAX(0,A15-'难度参数'!$E$21)*'难度参数'!$E$22))*(36+3*7)/(36+7*(D15+1)/2)*E15,0))</x:f>
        <x:v>433</x:v>
      </x:c>
      <x:c r="AH15" s="119" t="n">
        <x:f>IF(AF15=0,0,(AF15-IF(3=D15,1,0))*ROUND(AG15*VLOOKUP(INDEX('章节与怪物'!$E$31:$K$37,B15,3),'章节与怪物'!$A$41:$F$44,2,FALSE),0)+IF(3=D15,ROUND(AG15*'难度参数'!$E$28*'章节与怪物'!$E$17,0),0))</x:f>
        <x:v>7360</x:v>
      </x:c>
      <x:c r="AI15" s="119" t="n">
        <x:f>IF(AF15=0,0,(AF15-IF(3=D15,1,0))*VLOOKUP(INDEX('章节与怪物'!$E$31:$K$37,B15,3),'章节与怪物'!$A$41:$F$44,4,FALSE)+IF(3=D15,'难度参数'!$E$30,0))</x:f>
        <x:v>280</x:v>
      </x:c>
      <x:c r="AJ15" s="119" t="n">
        <x:f>IF(4&gt;D15,0,MAX(2,MIN('难度参数'!$E$12,ROUND(('难度参数'!$E$18*POWER(A15,'难度参数'!$E$19)/D15*(0.85+0.3*(4-1)/MAX(1,D15-1))),0)+F15)))</x:f>
        <x:v>10</x:v>
      </x:c>
      <x:c r="AK15" s="119" t="n">
        <x:f>IF(4&gt;D15,0,ROUND(('难度参数'!$E$13*POWER(A15,'难度参数'!$E$20)*MIN('难度参数'!$E$23,1+MAX(0,A15-'难度参数'!$E$21)*'难度参数'!$E$22))*(36+4*7)/(36+7*(D15+1)/2)*E15,0))</x:f>
        <x:v>486</x:v>
      </x:c>
      <x:c r="AL15" s="119" t="n">
        <x:f>IF(AJ15=0,0,(AJ15-IF(4=D15,1,0))*ROUND(AK15*VLOOKUP(INDEX('章节与怪物'!$E$31:$K$37,B15,4),'章节与怪物'!$A$41:$F$44,2,FALSE),0)+IF(4=D15,ROUND(AK15*'难度参数'!$E$28*'章节与怪物'!$E$17,0),0))</x:f>
        <x:v>6560</x:v>
      </x:c>
      <x:c r="AM15" s="119" t="n">
        <x:f>IF(AJ15=0,0,(AJ15-IF(4=D15,1,0))*VLOOKUP(INDEX('章节与怪物'!$E$31:$K$37,B15,4),'章节与怪物'!$A$41:$F$44,4,FALSE)+IF(4=D15,'难度参数'!$E$30,0))</x:f>
        <x:v>340</x:v>
      </x:c>
      <x:c r="AN15" s="119" t="n">
        <x:f>IF(5&gt;D15,0,MAX(2,MIN('难度参数'!$E$12,ROUND(('难度参数'!$E$18*POWER(A15,'难度参数'!$E$19)/D15*(0.85+0.3*(5-1)/MAX(1,D15-1))),0)+F15)))</x:f>
        <x:v>11</x:v>
      </x:c>
      <x:c r="AO15" s="119" t="n">
        <x:f>IF(5&gt;D15,0,ROUND(('难度参数'!$E$13*POWER(A15,'难度参数'!$E$20)*MIN('难度参数'!$E$23,1+MAX(0,A15-'难度参数'!$E$21)*'难度参数'!$E$22))*(36+5*7)/(36+7*(D15+1)/2)*E15,0))</x:f>
        <x:v>540</x:v>
      </x:c>
      <x:c r="AP15" s="119" t="n">
        <x:f>IF(AN15=0,0,(AN15-IF(5=D15,1,0))*ROUND(AO15*VLOOKUP(INDEX('章节与怪物'!$E$31:$K$37,B15,5),'章节与怪物'!$A$41:$F$44,2,FALSE),0)+IF(5=D15,ROUND(AO15*'难度参数'!$E$28*'章节与怪物'!$E$17,0),0))</x:f>
        <x:v>5940</x:v>
      </x:c>
      <x:c r="AQ15" s="119" t="n">
        <x:f>IF(AN15=0,0,(AN15-IF(5=D15,1,0))*VLOOKUP(INDEX('章节与怪物'!$E$31:$K$37,B15,5),'章节与怪物'!$A$41:$F$44,4,FALSE)+IF(5=D15,'难度参数'!$E$30,0))</x:f>
        <x:v>198</x:v>
      </x:c>
      <x:c r="AR15" s="119" t="n">
        <x:f>IF(6&gt;D15,0,MAX(2,MIN('难度参数'!$E$12,ROUND(('难度参数'!$E$18*POWER(A15,'难度参数'!$E$19)/D15*(0.85+0.3*(6-1)/MAX(1,D15-1))),0)+F15)))</x:f>
        <x:v>11</x:v>
      </x:c>
      <x:c r="AS15" s="119" t="n">
        <x:f>IF(6&gt;D15,0,ROUND(('难度参数'!$E$13*POWER(A15,'难度参数'!$E$20)*MIN('难度参数'!$E$23,1+MAX(0,A15-'难度参数'!$E$21)*'难度参数'!$E$22))*(36+6*7)/(36+7*(D15+1)/2)*E15,0))</x:f>
        <x:v>593</x:v>
      </x:c>
      <x:c r="AT15" s="119" t="n">
        <x:f>IF(AR15=0,0,(AR15-IF(6=D15,1,0))*ROUND(AS15*VLOOKUP(INDEX('章节与怪物'!$E$31:$K$37,B15,6),'章节与怪物'!$A$41:$F$44,2,FALSE),0)+IF(6=D15,ROUND(AS15*'难度参数'!$E$28*'章节与怪物'!$E$17,0),0))</x:f>
        <x:v>11088</x:v>
      </x:c>
      <x:c r="AU15" s="119" t="n">
        <x:f>IF(AR15=0,0,(AR15-IF(6=D15,1,0))*VLOOKUP(INDEX('章节与怪物'!$E$31:$K$37,B15,6),'章节与怪物'!$A$41:$F$44,4,FALSE)+IF(6=D15,'难度参数'!$E$30,0))</x:f>
        <x:v>308</x:v>
      </x:c>
      <x:c r="AV15" s="119" t="n">
        <x:f>IF(7&gt;D15,0,MAX(2,MIN('难度参数'!$E$12,ROUND(('难度参数'!$E$18*POWER(A15,'难度参数'!$E$19)/D15*(0.85+0.3*(7-1)/MAX(1,D15-1))),0)+F15)))</x:f>
        <x:v>12</x:v>
      </x:c>
      <x:c r="AW15" s="119" t="n">
        <x:f>IF(7&gt;D15,0,ROUND(('难度参数'!$E$13*POWER(A15,'难度参数'!$E$20)*MIN('难度参数'!$E$23,1+MAX(0,A15-'难度参数'!$E$21)*'难度参数'!$E$22))*(36+7*7)/(36+7*(D15+1)/2)*E15,0))</x:f>
        <x:v>646</x:v>
      </x:c>
      <x:c r="AX15" s="119" t="n">
        <x:f>IF(AV15=0,0,(AV15-IF(7=D15,1,0))*ROUND(AW15*VLOOKUP(INDEX('章节与怪物'!$E$31:$K$37,B15,7),'章节与怪物'!$A$41:$F$44,2,FALSE),0)+IF(7=D15,ROUND(AW15*'难度参数'!$E$28*'章节与怪物'!$E$17,0),0))</x:f>
        <x:v>13985</x:v>
      </x:c>
      <x:c r="AY15" s="119" t="n">
        <x:f>IF(AV15=0,0,(AV15-IF(7=D15,1,0))*VLOOKUP(INDEX('章节与怪物'!$E$31:$K$37,B15,7),'章节与怪物'!$A$41:$F$44,4,FALSE)+IF(7=D15,'难度参数'!$E$30,0))</x:f>
        <x:v>574</x:v>
      </x:c>
    </x:row>
    <x:row r="16" ht="23" customHeight="1">
      <x:c r="A16" s="119" t="n">
        <x:v>10</x:v>
      </x:c>
      <x:c r="B16" s="119" t="n">
        <x:f>MOD(INT((A16-1)/5),7)+1</x:f>
        <x:v>2</x:v>
      </x:c>
      <x:c r="C16" s="62" t="str">
        <x:f>INDEX('章节与怪物'!$B$31:$B$37,B16)</x:f>
        <x:v>黄沙要塞</x:v>
      </x:c>
      <x:c r="D16" s="119" t="n">
        <x:f>MIN('难度参数'!$E$8,MAX('难度参数'!$E$7,A16))</x:f>
        <x:v>7</x:v>
      </x:c>
      <x:c r="E16" s="106" t="n">
        <x:v>1</x:v>
      </x:c>
      <x:c r="F16" s="106" t="n">
        <x:v>0</x:v>
      </x:c>
      <x:c r="G16" s="106" t="n">
        <x:v>1</x:v>
      </x:c>
      <x:c r="H16" s="119" t="n">
        <x:f>SUM(X16,AB16,AF16,AJ16,AN16,AR16,AV16)</x:f>
        <x:v>74</x:v>
      </x:c>
      <x:c r="I16" s="119" t="n">
        <x:f>SUM(Z16,AD16,AH16,AL16,AP16,AT16,AX16)</x:f>
        <x:v>56264</x:v>
      </x:c>
      <x:c r="J16" s="119" t="n">
        <x:f>ROUND(INDEX(X16:AY16,1,(D16-1)*4+2)*'难度参数'!$E$28*'章节与怪物'!$E$17,0)</x:f>
        <x:v>4740</x:v>
      </x:c>
      <x:c r="K16" s="119" t="n">
        <x:f>SUM(AA16,AE16,AI16,AM16,AQ16,AU16,AY16)</x:f>
        <x:v>2104</x:v>
      </x:c>
      <x:c r="L16" s="62" t="n">
        <x:f>H16*(ROUNDUP('难度参数'!$E$24/('难度参数'!$E$26*'难度参数'!$E$27),0)*'难度参数'!$E$26)/60</x:f>
        <x:v>0.9866666666666667</x:v>
      </x:c>
      <x:c r="M16" s="62" t="n">
        <x:f>L16+D16*('难度参数'!$E$49+'难度参数'!$E$50)/60</x:f>
        <x:v>2.1533333333333333</x:v>
      </x:c>
      <x:c r="N16" s="119" t="n">
        <x:f>ROUNDDOWN(('经济参数'!$E$20+A16*'经济参数'!$E$21)*G16,0)</x:f>
        <x:v>380</x:v>
      </x:c>
      <x:c r="O16" s="119" t="n">
        <x:f>ROUNDDOWN(MIN('经济参数'!$E$24,'经济参数'!$E$22+A16*'经济参数'!$E$23)*G16,0)</x:f>
        <x:v>0</x:v>
      </x:c>
      <x:c r="P16" s="119" t="n">
        <x:f>ROUNDDOWN((IF(A16&gt;='材料与任务'!$E$31,'材料与任务'!$E$32,IF(A16&gt;='材料与任务'!$E$25,'材料与任务'!$E$26,IF(A16&gt;='材料与任务'!$E$19,'材料与任务'!$E$20,IF(A16&gt;='材料与任务'!$E$13,'材料与任务'!$E$14,'材料与任务'!$E$8)))))*G16,0)</x:f>
        <x:v>2</x:v>
      </x:c>
      <x:c r="Q16" s="119" t="n">
        <x:f>ROUNDDOWN((IF(A16&gt;='材料与任务'!$E$31,'材料与任务'!$E$33,IF(A16&gt;='材料与任务'!$E$25,'材料与任务'!$E$27,IF(A16&gt;='材料与任务'!$E$19,'材料与任务'!$E$21,IF(A16&gt;='材料与任务'!$E$13,'材料与任务'!$E$15,'材料与任务'!$E$9)))))*G16,0)</x:f>
        <x:v>1</x:v>
      </x:c>
      <x:c r="R16" s="110" t="n">
        <x:f>'装备掉落'!$B$38</x:f>
        <x:v>0.6872058758851213</x:v>
      </x:c>
      <x:c r="S16" s="119" t="n">
        <x:f>MAX(IF(VLOOKUP(A16,'装备掉落'!$A$29:$H$34,2,TRUE)&gt;0,1,0),IF(VLOOKUP(A16,'装备掉落'!$A$29:$H$34,3,TRUE)&gt;0,2,0),IF(VLOOKUP(A16,'装备掉落'!$A$29:$H$34,4,TRUE)&gt;0,3,0),IF(VLOOKUP(A16,'装备掉落'!$A$29:$H$34,5,TRUE)&gt;0,4,0),IF(VLOOKUP(A16,'装备掉落'!$A$29:$H$34,6,TRUE)&gt;0,5,0),IF(VLOOKUP(A16,'装备掉落'!$A$29:$H$34,7,TRUE)&gt;0,6,0),IF(VLOOKUP(A16,'装备掉落'!$A$29:$H$34,8,TRUE)&gt;0,7,0))</x:f>
        <x:v>3</x:v>
      </x:c>
      <x:c r="T16" s="119" t="n">
        <x:f>MIN(7,S16+'经济参数'!$E$70)</x:f>
        <x:v>3</x:v>
      </x:c>
      <x:c r="U16" s="119" t="n">
        <x:f>MIN(7,S16+'经济参数'!$E$71)</x:f>
        <x:v>4</x:v>
      </x:c>
      <x:c r="V16" s="119" t="n">
        <x:f>IF(H16&gt;=('难度参数'!$E$52),1,0)+IF(H16&gt;=('难度参数'!$E$52+'难度参数'!$E$53),1,0)+IF(H16&gt;=('难度参数'!$E$52+'难度参数'!$E$53+'难度参数'!$E$54),1,0)+IF(H16&gt;=('难度参数'!$E$52+'难度参数'!$E$53+'难度参数'!$E$54+'难度参数'!$E$55),1,0)+IF(H16&gt;=('难度参数'!$E$52+'难度参数'!$E$53+'难度参数'!$E$54+'难度参数'!$E$55+'难度参数'!$E$56),1,0)+IF(H16&gt;=('难度参数'!$E$52+'难度参数'!$E$53+'难度参数'!$E$54+'难度参数'!$E$55+'难度参数'!$E$56+'难度参数'!$E$57),1,0)</x:f>
        <x:v>5</x:v>
      </x:c>
      <x:c r="W16" s="62" t="str">
        <x:f>IF(L16&gt;'难度参数'!$E$51,"仅出怪已超目标","还需实测")</x:f>
        <x:v>还需实测</x:v>
      </x:c>
      <x:c r="X16" s="119" t="n">
        <x:f>IF(1&gt;D16,0,MAX(2,MIN('难度参数'!$E$12,ROUND(('难度参数'!$E$18*POWER(A16,'难度参数'!$E$19)/D16*(0.85+0.3*(1-1)/MAX(1,D16-1))),0)+F16)))</x:f>
        <x:v>9</x:v>
      </x:c>
      <x:c r="Y16" s="119" t="n">
        <x:f>IF(1&gt;D16,0,ROUND(('难度参数'!$E$13*POWER(A16,'难度参数'!$E$20)*MIN('难度参数'!$E$23,1+MAX(0,A16-'难度参数'!$E$21)*'难度参数'!$E$22))*(36+1*7)/(36+7*(D16+1)/2)*E16,0))</x:f>
        <x:v>353</x:v>
      </x:c>
      <x:c r="Z16" s="119" t="n">
        <x:f>IF(X16=0,0,(X16-IF(1=D16,1,0))*ROUND(Y16*VLOOKUP(INDEX('章节与怪物'!$E$31:$K$37,B16,1),'章节与怪物'!$A$41:$F$44,2,FALSE),0)+IF(1=D16,ROUND(Y16*'难度参数'!$E$28*'章节与怪物'!$E$17,0),0))</x:f>
        <x:v>2286</x:v>
      </x:c>
      <x:c r="AA16" s="119" t="n">
        <x:f>IF(X16=0,0,(X16-IF(1=D16,1,0))*VLOOKUP(INDEX('章节与怪物'!$E$31:$K$37,B16,1),'章节与怪物'!$A$41:$F$44,4,FALSE)+IF(1=D16,'难度参数'!$E$30,0))</x:f>
        <x:v>180</x:v>
      </x:c>
      <x:c r="AB16" s="119" t="n">
        <x:f>IF(2&gt;D16,0,MAX(2,MIN('难度参数'!$E$12,ROUND(('难度参数'!$E$18*POWER(A16,'难度参数'!$E$19)/D16*(0.85+0.3*(2-1)/MAX(1,D16-1))),0)+F16)))</x:f>
        <x:v>9</x:v>
      </x:c>
      <x:c r="AC16" s="119" t="n">
        <x:f>IF(2&gt;D16,0,ROUND(('难度参数'!$E$13*POWER(A16,'难度参数'!$E$20)*MIN('难度参数'!$E$23,1+MAX(0,A16-'难度参数'!$E$21)*'难度参数'!$E$22))*(36+2*7)/(36+7*(D16+1)/2)*E16,0))</x:f>
        <x:v>410</x:v>
      </x:c>
      <x:c r="AD16" s="119" t="n">
        <x:f>IF(AB16=0,0,(AB16-IF(2=D16,1,0))*ROUND(AC16*VLOOKUP(INDEX('章节与怪物'!$E$31:$K$37,B16,2),'章节与怪物'!$A$41:$F$44,2,FALSE),0)+IF(2=D16,ROUND(AC16*'难度参数'!$E$28*'章节与怪物'!$E$17,0),0))</x:f>
        <x:v>3690</x:v>
      </x:c>
      <x:c r="AE16" s="119" t="n">
        <x:f>IF(AB16=0,0,(AB16-IF(2=D16,1,0))*VLOOKUP(INDEX('章节与怪物'!$E$31:$K$37,B16,2),'章节与怪物'!$A$41:$F$44,4,FALSE)+IF(2=D16,'难度参数'!$E$30,0))</x:f>
        <x:v>162</x:v>
      </x:c>
      <x:c r="AF16" s="119" t="n">
        <x:f>IF(3&gt;D16,0,MAX(2,MIN('难度参数'!$E$12,ROUND(('难度参数'!$E$18*POWER(A16,'难度参数'!$E$19)/D16*(0.85+0.3*(3-1)/MAX(1,D16-1))),0)+F16)))</x:f>
        <x:v>10</x:v>
      </x:c>
      <x:c r="AG16" s="119" t="n">
        <x:f>IF(3&gt;D16,0,ROUND(('难度参数'!$E$13*POWER(A16,'难度参数'!$E$20)*MIN('难度参数'!$E$23,1+MAX(0,A16-'难度参数'!$E$21)*'难度参数'!$E$22))*(36+3*7)/(36+7*(D16+1)/2)*E16,0))</x:f>
        <x:v>467</x:v>
      </x:c>
      <x:c r="AH16" s="119" t="n">
        <x:f>IF(AF16=0,0,(AF16-IF(3=D16,1,0))*ROUND(AG16*VLOOKUP(INDEX('章节与怪物'!$E$31:$K$37,B16,3),'章节与怪物'!$A$41:$F$44,2,FALSE),0)+IF(3=D16,ROUND(AG16*'难度参数'!$E$28*'章节与怪物'!$E$17,0),0))</x:f>
        <x:v>7940</x:v>
      </x:c>
      <x:c r="AI16" s="119" t="n">
        <x:f>IF(AF16=0,0,(AF16-IF(3=D16,1,0))*VLOOKUP(INDEX('章节与怪物'!$E$31:$K$37,B16,3),'章节与怪物'!$A$41:$F$44,4,FALSE)+IF(3=D16,'难度参数'!$E$30,0))</x:f>
        <x:v>280</x:v>
      </x:c>
      <x:c r="AJ16" s="119" t="n">
        <x:f>IF(4&gt;D16,0,MAX(2,MIN('难度参数'!$E$12,ROUND(('难度参数'!$E$18*POWER(A16,'难度参数'!$E$19)/D16*(0.85+0.3*(4-1)/MAX(1,D16-1))),0)+F16)))</x:f>
        <x:v>11</x:v>
      </x:c>
      <x:c r="AK16" s="119" t="n">
        <x:f>IF(4&gt;D16,0,ROUND(('难度参数'!$E$13*POWER(A16,'难度参数'!$E$20)*MIN('难度参数'!$E$23,1+MAX(0,A16-'难度参数'!$E$21)*'难度参数'!$E$22))*(36+4*7)/(36+7*(D16+1)/2)*E16,0))</x:f>
        <x:v>525</x:v>
      </x:c>
      <x:c r="AL16" s="119" t="n">
        <x:f>IF(AJ16=0,0,(AJ16-IF(4=D16,1,0))*ROUND(AK16*VLOOKUP(INDEX('章节与怪物'!$E$31:$K$37,B16,4),'章节与怪物'!$A$41:$F$44,2,FALSE),0)+IF(4=D16,ROUND(AK16*'难度参数'!$E$28*'章节与怪物'!$E$17,0),0))</x:f>
        <x:v>7799</x:v>
      </x:c>
      <x:c r="AM16" s="119" t="n">
        <x:f>IF(AJ16=0,0,(AJ16-IF(4=D16,1,0))*VLOOKUP(INDEX('章节与怪物'!$E$31:$K$37,B16,4),'章节与怪物'!$A$41:$F$44,4,FALSE)+IF(4=D16,'难度参数'!$E$30,0))</x:f>
        <x:v>374</x:v>
      </x:c>
      <x:c r="AN16" s="119" t="n">
        <x:f>IF(5&gt;D16,0,MAX(2,MIN('难度参数'!$E$12,ROUND(('难度参数'!$E$18*POWER(A16,'难度参数'!$E$19)/D16*(0.85+0.3*(5-1)/MAX(1,D16-1))),0)+F16)))</x:f>
        <x:v>11</x:v>
      </x:c>
      <x:c r="AO16" s="119" t="n">
        <x:f>IF(5&gt;D16,0,ROUND(('难度参数'!$E$13*POWER(A16,'难度参数'!$E$20)*MIN('难度参数'!$E$23,1+MAX(0,A16-'难度参数'!$E$21)*'难度参数'!$E$22))*(36+5*7)/(36+7*(D16+1)/2)*E16,0))</x:f>
        <x:v>582</x:v>
      </x:c>
      <x:c r="AP16" s="119" t="n">
        <x:f>IF(AN16=0,0,(AN16-IF(5=D16,1,0))*ROUND(AO16*VLOOKUP(INDEX('章节与怪物'!$E$31:$K$37,B16,5),'章节与怪物'!$A$41:$F$44,2,FALSE),0)+IF(5=D16,ROUND(AO16*'难度参数'!$E$28*'章节与怪物'!$E$17,0),0))</x:f>
        <x:v>6402</x:v>
      </x:c>
      <x:c r="AQ16" s="119" t="n">
        <x:f>IF(AN16=0,0,(AN16-IF(5=D16,1,0))*VLOOKUP(INDEX('章节与怪物'!$E$31:$K$37,B16,5),'章节与怪物'!$A$41:$F$44,4,FALSE)+IF(5=D16,'难度参数'!$E$30,0))</x:f>
        <x:v>198</x:v>
      </x:c>
      <x:c r="AR16" s="119" t="n">
        <x:f>IF(6&gt;D16,0,MAX(2,MIN('难度参数'!$E$12,ROUND(('难度参数'!$E$18*POWER(A16,'难度参数'!$E$19)/D16*(0.85+0.3*(6-1)/MAX(1,D16-1))),0)+F16)))</x:f>
        <x:v>12</x:v>
      </x:c>
      <x:c r="AS16" s="119" t="n">
        <x:f>IF(6&gt;D16,0,ROUND(('难度参数'!$E$13*POWER(A16,'难度参数'!$E$20)*MIN('难度参数'!$E$23,1+MAX(0,A16-'难度参数'!$E$21)*'难度参数'!$E$22))*(36+6*7)/(36+7*(D16+1)/2)*E16,0))</x:f>
        <x:v>640</x:v>
      </x:c>
      <x:c r="AT16" s="119" t="n">
        <x:f>IF(AR16=0,0,(AR16-IF(6=D16,1,0))*ROUND(AS16*VLOOKUP(INDEX('章节与怪物'!$E$31:$K$37,B16,6),'章节与怪物'!$A$41:$F$44,2,FALSE),0)+IF(6=D16,ROUND(AS16*'难度参数'!$E$28*'章节与怪物'!$E$17,0),0))</x:f>
        <x:v>13056</x:v>
      </x:c>
      <x:c r="AU16" s="119" t="n">
        <x:f>IF(AR16=0,0,(AR16-IF(6=D16,1,0))*VLOOKUP(INDEX('章节与怪物'!$E$31:$K$37,B16,6),'章节与怪物'!$A$41:$F$44,4,FALSE)+IF(6=D16,'难度参数'!$E$30,0))</x:f>
        <x:v>336</x:v>
      </x:c>
      <x:c r="AV16" s="119" t="n">
        <x:f>IF(7&gt;D16,0,MAX(2,MIN('难度参数'!$E$12,ROUND(('难度参数'!$E$18*POWER(A16,'难度参数'!$E$19)/D16*(0.85+0.3*(7-1)/MAX(1,D16-1))),0)+F16)))</x:f>
        <x:v>12</x:v>
      </x:c>
      <x:c r="AW16" s="119" t="n">
        <x:f>IF(7&gt;D16,0,ROUND(('难度参数'!$E$13*POWER(A16,'难度参数'!$E$20)*MIN('难度参数'!$E$23,1+MAX(0,A16-'难度参数'!$E$21)*'难度参数'!$E$22))*(36+7*7)/(36+7*(D16+1)/2)*E16,0))</x:f>
        <x:v>697</x:v>
      </x:c>
      <x:c r="AX16" s="119" t="n">
        <x:f>IF(AV16=0,0,(AV16-IF(7=D16,1,0))*ROUND(AW16*VLOOKUP(INDEX('章节与怪物'!$E$31:$K$37,B16,7),'章节与怪物'!$A$41:$F$44,2,FALSE),0)+IF(7=D16,ROUND(AW16*'难度参数'!$E$28*'章节与怪物'!$E$17,0),0))</x:f>
        <x:v>15091</x:v>
      </x:c>
      <x:c r="AY16" s="119" t="n">
        <x:f>IF(AV16=0,0,(AV16-IF(7=D16,1,0))*VLOOKUP(INDEX('章节与怪物'!$E$31:$K$37,B16,7),'章节与怪物'!$A$41:$F$44,4,FALSE)+IF(7=D16,'难度参数'!$E$30,0))</x:f>
        <x:v>574</x:v>
      </x:c>
    </x:row>
    <x:row r="17" ht="23" customHeight="1">
      <x:c r="A17" s="119" t="n">
        <x:v>11</x:v>
      </x:c>
      <x:c r="B17" s="119" t="n">
        <x:f>MOD(INT((A17-1)/5),7)+1</x:f>
        <x:v>3</x:v>
      </x:c>
      <x:c r="C17" s="62" t="str">
        <x:f>INDEX('章节与怪物'!$B$31:$B$37,B17)</x:f>
        <x:v>腐沼秘林</x:v>
      </x:c>
      <x:c r="D17" s="119" t="n">
        <x:f>MIN('难度参数'!$E$8,MAX('难度参数'!$E$7,A17))</x:f>
        <x:v>7</x:v>
      </x:c>
      <x:c r="E17" s="106" t="n">
        <x:v>1</x:v>
      </x:c>
      <x:c r="F17" s="106" t="n">
        <x:v>0</x:v>
      </x:c>
      <x:c r="G17" s="106" t="n">
        <x:v>1</x:v>
      </x:c>
      <x:c r="H17" s="119" t="n">
        <x:f>SUM(X17,AB17,AF17,AJ17,AN17,AR17,AV17)</x:f>
        <x:v>76</x:v>
      </x:c>
      <x:c r="I17" s="119" t="n">
        <x:f>SUM(Z17,AD17,AH17,AL17,AP17,AT17,AX17)</x:f>
        <x:v>59526</x:v>
      </x:c>
      <x:c r="J17" s="119" t="n">
        <x:f>ROUND(INDEX(X17:AY17,1,(D17-1)*4+2)*'难度参数'!$E$28*'章节与怪物'!$E$17,0)</x:f>
        <x:v>5080</x:v>
      </x:c>
      <x:c r="K17" s="119" t="n">
        <x:f>SUM(AA17,AE17,AI17,AM17,AQ17,AU17,AY17)</x:f>
        <x:v>2180</x:v>
      </x:c>
      <x:c r="L17" s="62" t="n">
        <x:f>H17*(ROUNDUP('难度参数'!$E$24/('难度参数'!$E$26*'难度参数'!$E$27),0)*'难度参数'!$E$26)/60</x:f>
        <x:v>1.0133333333333334</x:v>
      </x:c>
      <x:c r="M17" s="62" t="n">
        <x:f>L17+D17*('难度参数'!$E$49+'难度参数'!$E$50)/60</x:f>
        <x:v>2.18</x:v>
      </x:c>
      <x:c r="N17" s="119" t="n">
        <x:f>ROUNDDOWN(('经济参数'!$E$20+A17*'经济参数'!$E$21)*G17,0)</x:f>
        <x:v>400</x:v>
      </x:c>
      <x:c r="O17" s="119" t="n">
        <x:f>ROUNDDOWN(MIN('经济参数'!$E$24,'经济参数'!$E$22+A17*'经济参数'!$E$23)*G17,0)</x:f>
        <x:v>0</x:v>
      </x:c>
      <x:c r="P17" s="119" t="n">
        <x:f>ROUNDDOWN((IF(A17&gt;='材料与任务'!$E$31,'材料与任务'!$E$32,IF(A17&gt;='材料与任务'!$E$25,'材料与任务'!$E$26,IF(A17&gt;='材料与任务'!$E$19,'材料与任务'!$E$20,IF(A17&gt;='材料与任务'!$E$13,'材料与任务'!$E$14,'材料与任务'!$E$8)))))*G17,0)</x:f>
        <x:v>2</x:v>
      </x:c>
      <x:c r="Q17" s="119" t="n">
        <x:f>ROUNDDOWN((IF(A17&gt;='材料与任务'!$E$31,'材料与任务'!$E$33,IF(A17&gt;='材料与任务'!$E$25,'材料与任务'!$E$27,IF(A17&gt;='材料与任务'!$E$19,'材料与任务'!$E$21,IF(A17&gt;='材料与任务'!$E$13,'材料与任务'!$E$15,'材料与任务'!$E$9)))))*G17,0)</x:f>
        <x:v>1</x:v>
      </x:c>
      <x:c r="R17" s="110" t="n">
        <x:f>'装备掉落'!$B$38</x:f>
        <x:v>0.6872058758851213</x:v>
      </x:c>
      <x:c r="S17" s="119" t="n">
        <x:f>MAX(IF(VLOOKUP(A17,'装备掉落'!$A$29:$H$34,2,TRUE)&gt;0,1,0),IF(VLOOKUP(A17,'装备掉落'!$A$29:$H$34,3,TRUE)&gt;0,2,0),IF(VLOOKUP(A17,'装备掉落'!$A$29:$H$34,4,TRUE)&gt;0,3,0),IF(VLOOKUP(A17,'装备掉落'!$A$29:$H$34,5,TRUE)&gt;0,4,0),IF(VLOOKUP(A17,'装备掉落'!$A$29:$H$34,6,TRUE)&gt;0,5,0),IF(VLOOKUP(A17,'装备掉落'!$A$29:$H$34,7,TRUE)&gt;0,6,0),IF(VLOOKUP(A17,'装备掉落'!$A$29:$H$34,8,TRUE)&gt;0,7,0))</x:f>
        <x:v>3</x:v>
      </x:c>
      <x:c r="T17" s="119" t="n">
        <x:f>MIN(7,S17+'经济参数'!$E$70)</x:f>
        <x:v>3</x:v>
      </x:c>
      <x:c r="U17" s="119" t="n">
        <x:f>MIN(7,S17+'经济参数'!$E$71)</x:f>
        <x:v>4</x:v>
      </x:c>
      <x:c r="V17" s="119" t="n">
        <x:f>IF(H17&gt;=('难度参数'!$E$52),1,0)+IF(H17&gt;=('难度参数'!$E$52+'难度参数'!$E$53),1,0)+IF(H17&gt;=('难度参数'!$E$52+'难度参数'!$E$53+'难度参数'!$E$54),1,0)+IF(H17&gt;=('难度参数'!$E$52+'难度参数'!$E$53+'难度参数'!$E$54+'难度参数'!$E$55),1,0)+IF(H17&gt;=('难度参数'!$E$52+'难度参数'!$E$53+'难度参数'!$E$54+'难度参数'!$E$55+'难度参数'!$E$56),1,0)+IF(H17&gt;=('难度参数'!$E$52+'难度参数'!$E$53+'难度参数'!$E$54+'难度参数'!$E$55+'难度参数'!$E$56+'难度参数'!$E$57),1,0)</x:f>
        <x:v>5</x:v>
      </x:c>
      <x:c r="W17" s="62" t="str">
        <x:f>IF(L17&gt;'难度参数'!$E$51,"仅出怪已超目标","还需实测")</x:f>
        <x:v>还需实测</x:v>
      </x:c>
      <x:c r="X17" s="119" t="n">
        <x:f>IF(1&gt;D17,0,MAX(2,MIN('难度参数'!$E$12,ROUND(('难度参数'!$E$18*POWER(A17,'难度参数'!$E$19)/D17*(0.85+0.3*(1-1)/MAX(1,D17-1))),0)+F17)))</x:f>
        <x:v>9</x:v>
      </x:c>
      <x:c r="Y17" s="119" t="n">
        <x:f>IF(1&gt;D17,0,ROUND(('难度参数'!$E$13*POWER(A17,'难度参数'!$E$20)*MIN('难度参数'!$E$23,1+MAX(0,A17-'难度参数'!$E$21)*'难度参数'!$E$22))*(36+1*7)/(36+7*(D17+1)/2)*E17,0))</x:f>
        <x:v>378</x:v>
      </x:c>
      <x:c r="Z17" s="119" t="n">
        <x:f>IF(X17=0,0,(X17-IF(1=D17,1,0))*ROUND(Y17*VLOOKUP(INDEX('章节与怪物'!$E$31:$K$37,B17,1),'章节与怪物'!$A$41:$F$44,2,FALSE),0)+IF(1=D17,ROUND(Y17*'难度参数'!$E$28*'章节与怪物'!$E$17,0),0))</x:f>
        <x:v>3402</x:v>
      </x:c>
      <x:c r="AA17" s="119" t="n">
        <x:f>IF(X17=0,0,(X17-IF(1=D17,1,0))*VLOOKUP(INDEX('章节与怪物'!$E$31:$K$37,B17,1),'章节与怪物'!$A$41:$F$44,4,FALSE)+IF(1=D17,'难度参数'!$E$30,0))</x:f>
        <x:v>162</x:v>
      </x:c>
      <x:c r="AB17" s="119" t="n">
        <x:f>IF(2&gt;D17,0,MAX(2,MIN('难度参数'!$E$12,ROUND(('难度参数'!$E$18*POWER(A17,'难度参数'!$E$19)/D17*(0.85+0.3*(2-1)/MAX(1,D17-1))),0)+F17)))</x:f>
        <x:v>10</x:v>
      </x:c>
      <x:c r="AC17" s="119" t="n">
        <x:f>IF(2&gt;D17,0,ROUND(('难度参数'!$E$13*POWER(A17,'难度参数'!$E$20)*MIN('难度参数'!$E$23,1+MAX(0,A17-'难度参数'!$E$21)*'难度参数'!$E$22))*(36+2*7)/(36+7*(D17+1)/2)*E17,0))</x:f>
        <x:v>439</x:v>
      </x:c>
      <x:c r="AD17" s="119" t="n">
        <x:f>IF(AB17=0,0,(AB17-IF(2=D17,1,0))*ROUND(AC17*VLOOKUP(INDEX('章节与怪物'!$E$31:$K$37,B17,2),'章节与怪物'!$A$41:$F$44,2,FALSE),0)+IF(2=D17,ROUND(AC17*'难度参数'!$E$28*'章节与怪物'!$E$17,0),0))</x:f>
        <x:v>3160</x:v>
      </x:c>
      <x:c r="AE17" s="119" t="n">
        <x:f>IF(AB17=0,0,(AB17-IF(2=D17,1,0))*VLOOKUP(INDEX('章节与怪物'!$E$31:$K$37,B17,2),'章节与怪物'!$A$41:$F$44,4,FALSE)+IF(2=D17,'难度参数'!$E$30,0))</x:f>
        <x:v>200</x:v>
      </x:c>
      <x:c r="AF17" s="119" t="n">
        <x:f>IF(3&gt;D17,0,MAX(2,MIN('难度参数'!$E$12,ROUND(('难度参数'!$E$18*POWER(A17,'难度参数'!$E$19)/D17*(0.85+0.3*(3-1)/MAX(1,D17-1))),0)+F17)))</x:f>
        <x:v>10</x:v>
      </x:c>
      <x:c r="AG17" s="119" t="n">
        <x:f>IF(3&gt;D17,0,ROUND(('难度参数'!$E$13*POWER(A17,'难度参数'!$E$20)*MIN('难度参数'!$E$23,1+MAX(0,A17-'难度参数'!$E$21)*'难度参数'!$E$22))*(36+3*7)/(36+7*(D17+1)/2)*E17,0))</x:f>
        <x:v>501</x:v>
      </x:c>
      <x:c r="AH17" s="119" t="n">
        <x:f>IF(AF17=0,0,(AF17-IF(3=D17,1,0))*ROUND(AG17*VLOOKUP(INDEX('章节与怪物'!$E$31:$K$37,B17,3),'章节与怪物'!$A$41:$F$44,2,FALSE),0)+IF(3=D17,ROUND(AG17*'难度参数'!$E$28*'章节与怪物'!$E$17,0),0))</x:f>
        <x:v>8520</x:v>
      </x:c>
      <x:c r="AI17" s="119" t="n">
        <x:f>IF(AF17=0,0,(AF17-IF(3=D17,1,0))*VLOOKUP(INDEX('章节与怪物'!$E$31:$K$37,B17,3),'章节与怪物'!$A$41:$F$44,4,FALSE)+IF(3=D17,'难度参数'!$E$30,0))</x:f>
        <x:v>280</x:v>
      </x:c>
      <x:c r="AJ17" s="119" t="n">
        <x:f>IF(4&gt;D17,0,MAX(2,MIN('难度参数'!$E$12,ROUND(('难度参数'!$E$18*POWER(A17,'难度参数'!$E$19)/D17*(0.85+0.3*(4-1)/MAX(1,D17-1))),0)+F17)))</x:f>
        <x:v>11</x:v>
      </x:c>
      <x:c r="AK17" s="119" t="n">
        <x:f>IF(4&gt;D17,0,ROUND(('难度参数'!$E$13*POWER(A17,'难度参数'!$E$20)*MIN('难度参数'!$E$23,1+MAX(0,A17-'难度参数'!$E$21)*'难度参数'!$E$22))*(36+4*7)/(36+7*(D17+1)/2)*E17,0))</x:f>
        <x:v>562</x:v>
      </x:c>
      <x:c r="AL17" s="119" t="n">
        <x:f>IF(AJ17=0,0,(AJ17-IF(4=D17,1,0))*ROUND(AK17*VLOOKUP(INDEX('章节与怪物'!$E$31:$K$37,B17,4),'章节与怪物'!$A$41:$F$44,2,FALSE),0)+IF(4=D17,ROUND(AK17*'难度参数'!$E$28*'章节与怪物'!$E$17,0),0))</x:f>
        <x:v>8349</x:v>
      </x:c>
      <x:c r="AM17" s="119" t="n">
        <x:f>IF(AJ17=0,0,(AJ17-IF(4=D17,1,0))*VLOOKUP(INDEX('章节与怪物'!$E$31:$K$37,B17,4),'章节与怪物'!$A$41:$F$44,4,FALSE)+IF(4=D17,'难度参数'!$E$30,0))</x:f>
        <x:v>374</x:v>
      </x:c>
      <x:c r="AN17" s="119" t="n">
        <x:f>IF(5&gt;D17,0,MAX(2,MIN('难度参数'!$E$12,ROUND(('难度参数'!$E$18*POWER(A17,'难度参数'!$E$19)/D17*(0.85+0.3*(5-1)/MAX(1,D17-1))),0)+F17)))</x:f>
        <x:v>11</x:v>
      </x:c>
      <x:c r="AO17" s="119" t="n">
        <x:f>IF(5&gt;D17,0,ROUND(('难度参数'!$E$13*POWER(A17,'难度参数'!$E$20)*MIN('难度参数'!$E$23,1+MAX(0,A17-'难度参数'!$E$21)*'难度参数'!$E$22))*(36+5*7)/(36+7*(D17+1)/2)*E17,0))</x:f>
        <x:v>624</x:v>
      </x:c>
      <x:c r="AP17" s="119" t="n">
        <x:f>IF(AN17=0,0,(AN17-IF(5=D17,1,0))*ROUND(AO17*VLOOKUP(INDEX('章节与怪物'!$E$31:$K$37,B17,5),'章节与怪物'!$A$41:$F$44,2,FALSE),0)+IF(5=D17,ROUND(AO17*'难度参数'!$E$28*'章节与怪物'!$E$17,0),0))</x:f>
        <x:v>4939</x:v>
      </x:c>
      <x:c r="AQ17" s="119" t="n">
        <x:f>IF(AN17=0,0,(AN17-IF(5=D17,1,0))*VLOOKUP(INDEX('章节与怪物'!$E$31:$K$37,B17,5),'章节与怪物'!$A$41:$F$44,4,FALSE)+IF(5=D17,'难度参数'!$E$30,0))</x:f>
        <x:v>220</x:v>
      </x:c>
      <x:c r="AR17" s="119" t="n">
        <x:f>IF(6&gt;D17,0,MAX(2,MIN('难度参数'!$E$12,ROUND(('难度参数'!$E$18*POWER(A17,'难度参数'!$E$19)/D17*(0.85+0.3*(6-1)/MAX(1,D17-1))),0)+F17)))</x:f>
        <x:v>12</x:v>
      </x:c>
      <x:c r="AS17" s="119" t="n">
        <x:f>IF(6&gt;D17,0,ROUND(('难度参数'!$E$13*POWER(A17,'难度参数'!$E$20)*MIN('难度参数'!$E$23,1+MAX(0,A17-'难度参数'!$E$21)*'难度参数'!$E$22))*(36+6*7)/(36+7*(D17+1)/2)*E17,0))</x:f>
        <x:v>685</x:v>
      </x:c>
      <x:c r="AT17" s="119" t="n">
        <x:f>IF(AR17=0,0,(AR17-IF(6=D17,1,0))*ROUND(AS17*VLOOKUP(INDEX('章节与怪物'!$E$31:$K$37,B17,6),'章节与怪物'!$A$41:$F$44,2,FALSE),0)+IF(6=D17,ROUND(AS17*'难度参数'!$E$28*'章节与怪物'!$E$17,0),0))</x:f>
        <x:v>13980</x:v>
      </x:c>
      <x:c r="AU17" s="119" t="n">
        <x:f>IF(AR17=0,0,(AR17-IF(6=D17,1,0))*VLOOKUP(INDEX('章节与怪物'!$E$31:$K$37,B17,6),'章节与怪物'!$A$41:$F$44,4,FALSE)+IF(6=D17,'难度参数'!$E$30,0))</x:f>
        <x:v>336</x:v>
      </x:c>
      <x:c r="AV17" s="119" t="n">
        <x:f>IF(7&gt;D17,0,MAX(2,MIN('难度参数'!$E$12,ROUND(('难度参数'!$E$18*POWER(A17,'难度参数'!$E$19)/D17*(0.85+0.3*(7-1)/MAX(1,D17-1))),0)+F17)))</x:f>
        <x:v>13</x:v>
      </x:c>
      <x:c r="AW17" s="119" t="n">
        <x:f>IF(7&gt;D17,0,ROUND(('难度参数'!$E$13*POWER(A17,'难度参数'!$E$20)*MIN('难度参数'!$E$23,1+MAX(0,A17-'难度参数'!$E$21)*'难度参数'!$E$22))*(36+7*7)/(36+7*(D17+1)/2)*E17,0))</x:f>
        <x:v>747</x:v>
      </x:c>
      <x:c r="AX17" s="119" t="n">
        <x:f>IF(AV17=0,0,(AV17-IF(7=D17,1,0))*ROUND(AW17*VLOOKUP(INDEX('章节与怪物'!$E$31:$K$37,B17,7),'章节与怪物'!$A$41:$F$44,2,FALSE),0)+IF(7=D17,ROUND(AW17*'难度参数'!$E$28*'章节与怪物'!$E$17,0),0))</x:f>
        <x:v>17176</x:v>
      </x:c>
      <x:c r="AY17" s="119" t="n">
        <x:f>IF(AV17=0,0,(AV17-IF(7=D17,1,0))*VLOOKUP(INDEX('章节与怪物'!$E$31:$K$37,B17,7),'章节与怪物'!$A$41:$F$44,4,FALSE)+IF(7=D17,'难度参数'!$E$30,0))</x:f>
        <x:v>608</x:v>
      </x:c>
    </x:row>
    <x:row r="18" ht="23" customHeight="1">
      <x:c r="A18" s="119" t="n">
        <x:v>12</x:v>
      </x:c>
      <x:c r="B18" s="119" t="n">
        <x:f>MOD(INT((A18-1)/5),7)+1</x:f>
        <x:v>3</x:v>
      </x:c>
      <x:c r="C18" s="62" t="str">
        <x:f>INDEX('章节与怪物'!$B$31:$B$37,B18)</x:f>
        <x:v>腐沼秘林</x:v>
      </x:c>
      <x:c r="D18" s="119" t="n">
        <x:f>MIN('难度参数'!$E$8,MAX('难度参数'!$E$7,A18))</x:f>
        <x:v>7</x:v>
      </x:c>
      <x:c r="E18" s="106" t="n">
        <x:v>1</x:v>
      </x:c>
      <x:c r="F18" s="106" t="n">
        <x:v>0</x:v>
      </x:c>
      <x:c r="G18" s="106" t="n">
        <x:v>1</x:v>
      </x:c>
      <x:c r="H18" s="119" t="n">
        <x:f>SUM(X18,AB18,AF18,AJ18,AN18,AR18,AV18)</x:f>
        <x:v>79</x:v>
      </x:c>
      <x:c r="I18" s="119" t="n">
        <x:f>SUM(Z18,AD18,AH18,AL18,AP18,AT18,AX18)</x:f>
        <x:v>65119</x:v>
      </x:c>
      <x:c r="J18" s="119" t="n">
        <x:f>ROUND(INDEX(X18:AY18,1,(D18-1)*4+2)*'难度参数'!$E$28*'章节与怪物'!$E$17,0)</x:f>
        <x:v>5406</x:v>
      </x:c>
      <x:c r="K18" s="119" t="n">
        <x:f>SUM(AA18,AE18,AI18,AM18,AQ18,AU18,AY18)</x:f>
        <x:v>2246</x:v>
      </x:c>
      <x:c r="L18" s="62" t="n">
        <x:f>H18*(ROUNDUP('难度参数'!$E$24/('难度参数'!$E$26*'难度参数'!$E$27),0)*'难度参数'!$E$26)/60</x:f>
        <x:v>1.0533333333333335</x:v>
      </x:c>
      <x:c r="M18" s="62" t="n">
        <x:f>L18+D18*('难度参数'!$E$49+'难度参数'!$E$50)/60</x:f>
        <x:v>2.22</x:v>
      </x:c>
      <x:c r="N18" s="119" t="n">
        <x:f>ROUNDDOWN(('经济参数'!$E$20+A18*'经济参数'!$E$21)*G18,0)</x:f>
        <x:v>420</x:v>
      </x:c>
      <x:c r="O18" s="119" t="n">
        <x:f>ROUNDDOWN(MIN('经济参数'!$E$24,'经济参数'!$E$22+A18*'经济参数'!$E$23)*G18,0)</x:f>
        <x:v>0</x:v>
      </x:c>
      <x:c r="P18" s="119" t="n">
        <x:f>ROUNDDOWN((IF(A18&gt;='材料与任务'!$E$31,'材料与任务'!$E$32,IF(A18&gt;='材料与任务'!$E$25,'材料与任务'!$E$26,IF(A18&gt;='材料与任务'!$E$19,'材料与任务'!$E$20,IF(A18&gt;='材料与任务'!$E$13,'材料与任务'!$E$14,'材料与任务'!$E$8)))))*G18,0)</x:f>
        <x:v>2</x:v>
      </x:c>
      <x:c r="Q18" s="119" t="n">
        <x:f>ROUNDDOWN((IF(A18&gt;='材料与任务'!$E$31,'材料与任务'!$E$33,IF(A18&gt;='材料与任务'!$E$25,'材料与任务'!$E$27,IF(A18&gt;='材料与任务'!$E$19,'材料与任务'!$E$21,IF(A18&gt;='材料与任务'!$E$13,'材料与任务'!$E$15,'材料与任务'!$E$9)))))*G18,0)</x:f>
        <x:v>1</x:v>
      </x:c>
      <x:c r="R18" s="110" t="n">
        <x:f>'装备掉落'!$B$38</x:f>
        <x:v>0.6872058758851213</x:v>
      </x:c>
      <x:c r="S18" s="119" t="n">
        <x:f>MAX(IF(VLOOKUP(A18,'装备掉落'!$A$29:$H$34,2,TRUE)&gt;0,1,0),IF(VLOOKUP(A18,'装备掉落'!$A$29:$H$34,3,TRUE)&gt;0,2,0),IF(VLOOKUP(A18,'装备掉落'!$A$29:$H$34,4,TRUE)&gt;0,3,0),IF(VLOOKUP(A18,'装备掉落'!$A$29:$H$34,5,TRUE)&gt;0,4,0),IF(VLOOKUP(A18,'装备掉落'!$A$29:$H$34,6,TRUE)&gt;0,5,0),IF(VLOOKUP(A18,'装备掉落'!$A$29:$H$34,7,TRUE)&gt;0,6,0),IF(VLOOKUP(A18,'装备掉落'!$A$29:$H$34,8,TRUE)&gt;0,7,0))</x:f>
        <x:v>3</x:v>
      </x:c>
      <x:c r="T18" s="119" t="n">
        <x:f>MIN(7,S18+'经济参数'!$E$70)</x:f>
        <x:v>3</x:v>
      </x:c>
      <x:c r="U18" s="119" t="n">
        <x:f>MIN(7,S18+'经济参数'!$E$71)</x:f>
        <x:v>4</x:v>
      </x:c>
      <x:c r="V18" s="119" t="n">
        <x:f>IF(H18&gt;=('难度参数'!$E$52),1,0)+IF(H18&gt;=('难度参数'!$E$52+'难度参数'!$E$53),1,0)+IF(H18&gt;=('难度参数'!$E$52+'难度参数'!$E$53+'难度参数'!$E$54),1,0)+IF(H18&gt;=('难度参数'!$E$52+'难度参数'!$E$53+'难度参数'!$E$54+'难度参数'!$E$55),1,0)+IF(H18&gt;=('难度参数'!$E$52+'难度参数'!$E$53+'难度参数'!$E$54+'难度参数'!$E$55+'难度参数'!$E$56),1,0)+IF(H18&gt;=('难度参数'!$E$52+'难度参数'!$E$53+'难度参数'!$E$54+'难度参数'!$E$55+'难度参数'!$E$56+'难度参数'!$E$57),1,0)</x:f>
        <x:v>5</x:v>
      </x:c>
      <x:c r="W18" s="62" t="str">
        <x:f>IF(L18&gt;'难度参数'!$E$51,"仅出怪已超目标","还需实测")</x:f>
        <x:v>还需实测</x:v>
      </x:c>
      <x:c r="X18" s="119" t="n">
        <x:f>IF(1&gt;D18,0,MAX(2,MIN('难度参数'!$E$12,ROUND(('难度参数'!$E$18*POWER(A18,'难度参数'!$E$19)/D18*(0.85+0.3*(1-1)/MAX(1,D18-1))),0)+F18)))</x:f>
        <x:v>10</x:v>
      </x:c>
      <x:c r="Y18" s="119" t="n">
        <x:f>IF(1&gt;D18,0,ROUND(('难度参数'!$E$13*POWER(A18,'难度参数'!$E$20)*MIN('难度参数'!$E$23,1+MAX(0,A18-'难度参数'!$E$21)*'难度参数'!$E$22))*(36+1*7)/(36+7*(D18+1)/2)*E18,0))</x:f>
        <x:v>402</x:v>
      </x:c>
      <x:c r="Z18" s="119" t="n">
        <x:f>IF(X18=0,0,(X18-IF(1=D18,1,0))*ROUND(Y18*VLOOKUP(INDEX('章节与怪物'!$E$31:$K$37,B18,1),'章节与怪物'!$A$41:$F$44,2,FALSE),0)+IF(1=D18,ROUND(Y18*'难度参数'!$E$28*'章节与怪物'!$E$17,0),0))</x:f>
        <x:v>4020</x:v>
      </x:c>
      <x:c r="AA18" s="119" t="n">
        <x:f>IF(X18=0,0,(X18-IF(1=D18,1,0))*VLOOKUP(INDEX('章节与怪物'!$E$31:$K$37,B18,1),'章节与怪物'!$A$41:$F$44,4,FALSE)+IF(1=D18,'难度参数'!$E$30,0))</x:f>
        <x:v>180</x:v>
      </x:c>
      <x:c r="AB18" s="119" t="n">
        <x:f>IF(2&gt;D18,0,MAX(2,MIN('难度参数'!$E$12,ROUND(('难度参数'!$E$18*POWER(A18,'难度参数'!$E$19)/D18*(0.85+0.3*(2-1)/MAX(1,D18-1))),0)+F18)))</x:f>
        <x:v>10</x:v>
      </x:c>
      <x:c r="AC18" s="119" t="n">
        <x:f>IF(2&gt;D18,0,ROUND(('难度参数'!$E$13*POWER(A18,'难度参数'!$E$20)*MIN('难度参数'!$E$23,1+MAX(0,A18-'难度参数'!$E$21)*'难度参数'!$E$22))*(36+2*7)/(36+7*(D18+1)/2)*E18,0))</x:f>
        <x:v>468</x:v>
      </x:c>
      <x:c r="AD18" s="119" t="n">
        <x:f>IF(AB18=0,0,(AB18-IF(2=D18,1,0))*ROUND(AC18*VLOOKUP(INDEX('章节与怪物'!$E$31:$K$37,B18,2),'章节与怪物'!$A$41:$F$44,2,FALSE),0)+IF(2=D18,ROUND(AC18*'难度参数'!$E$28*'章节与怪物'!$E$17,0),0))</x:f>
        <x:v>3370</x:v>
      </x:c>
      <x:c r="AE18" s="119" t="n">
        <x:f>IF(AB18=0,0,(AB18-IF(2=D18,1,0))*VLOOKUP(INDEX('章节与怪物'!$E$31:$K$37,B18,2),'章节与怪物'!$A$41:$F$44,4,FALSE)+IF(2=D18,'难度参数'!$E$30,0))</x:f>
        <x:v>200</x:v>
      </x:c>
      <x:c r="AF18" s="119" t="n">
        <x:f>IF(3&gt;D18,0,MAX(2,MIN('难度参数'!$E$12,ROUND(('难度参数'!$E$18*POWER(A18,'难度参数'!$E$19)/D18*(0.85+0.3*(3-1)/MAX(1,D18-1))),0)+F18)))</x:f>
        <x:v>11</x:v>
      </x:c>
      <x:c r="AG18" s="119" t="n">
        <x:f>IF(3&gt;D18,0,ROUND(('难度参数'!$E$13*POWER(A18,'难度参数'!$E$20)*MIN('难度参数'!$E$23,1+MAX(0,A18-'难度参数'!$E$21)*'难度参数'!$E$22))*(36+3*7)/(36+7*(D18+1)/2)*E18,0))</x:f>
        <x:v>533</x:v>
      </x:c>
      <x:c r="AH18" s="119" t="n">
        <x:f>IF(AF18=0,0,(AF18-IF(3=D18,1,0))*ROUND(AG18*VLOOKUP(INDEX('章节与怪物'!$E$31:$K$37,B18,3),'章节与怪物'!$A$41:$F$44,2,FALSE),0)+IF(3=D18,ROUND(AG18*'难度参数'!$E$28*'章节与怪物'!$E$17,0),0))</x:f>
        <x:v>9966</x:v>
      </x:c>
      <x:c r="AI18" s="119" t="n">
        <x:f>IF(AF18=0,0,(AF18-IF(3=D18,1,0))*VLOOKUP(INDEX('章节与怪物'!$E$31:$K$37,B18,3),'章节与怪物'!$A$41:$F$44,4,FALSE)+IF(3=D18,'难度参数'!$E$30,0))</x:f>
        <x:v>308</x:v>
      </x:c>
      <x:c r="AJ18" s="119" t="n">
        <x:f>IF(4&gt;D18,0,MAX(2,MIN('难度参数'!$E$12,ROUND(('难度参数'!$E$18*POWER(A18,'难度参数'!$E$19)/D18*(0.85+0.3*(4-1)/MAX(1,D18-1))),0)+F18)))</x:f>
        <x:v>11</x:v>
      </x:c>
      <x:c r="AK18" s="119" t="n">
        <x:f>IF(4&gt;D18,0,ROUND(('难度参数'!$E$13*POWER(A18,'难度参数'!$E$20)*MIN('难度参数'!$E$23,1+MAX(0,A18-'难度参数'!$E$21)*'难度参数'!$E$22))*(36+4*7)/(36+7*(D18+1)/2)*E18,0))</x:f>
        <x:v>598</x:v>
      </x:c>
      <x:c r="AL18" s="119" t="n">
        <x:f>IF(AJ18=0,0,(AJ18-IF(4=D18,1,0))*ROUND(AK18*VLOOKUP(INDEX('章节与怪物'!$E$31:$K$37,B18,4),'章节与怪物'!$A$41:$F$44,2,FALSE),0)+IF(4=D18,ROUND(AK18*'难度参数'!$E$28*'章节与怪物'!$E$17,0),0))</x:f>
        <x:v>8877</x:v>
      </x:c>
      <x:c r="AM18" s="119" t="n">
        <x:f>IF(AJ18=0,0,(AJ18-IF(4=D18,1,0))*VLOOKUP(INDEX('章节与怪物'!$E$31:$K$37,B18,4),'章节与怪物'!$A$41:$F$44,4,FALSE)+IF(4=D18,'难度参数'!$E$30,0))</x:f>
        <x:v>374</x:v>
      </x:c>
      <x:c r="AN18" s="119" t="n">
        <x:f>IF(5&gt;D18,0,MAX(2,MIN('难度参数'!$E$12,ROUND(('难度参数'!$E$18*POWER(A18,'难度参数'!$E$19)/D18*(0.85+0.3*(5-1)/MAX(1,D18-1))),0)+F18)))</x:f>
        <x:v>12</x:v>
      </x:c>
      <x:c r="AO18" s="119" t="n">
        <x:f>IF(5&gt;D18,0,ROUND(('难度参数'!$E$13*POWER(A18,'难度参数'!$E$20)*MIN('难度参数'!$E$23,1+MAX(0,A18-'难度参数'!$E$21)*'难度参数'!$E$22))*(36+5*7)/(36+7*(D18+1)/2)*E18,0))</x:f>
        <x:v>664</x:v>
      </x:c>
      <x:c r="AP18" s="119" t="n">
        <x:f>IF(AN18=0,0,(AN18-IF(5=D18,1,0))*ROUND(AO18*VLOOKUP(INDEX('章节与怪物'!$E$31:$K$37,B18,5),'章节与怪物'!$A$41:$F$44,2,FALSE),0)+IF(5=D18,ROUND(AO18*'难度参数'!$E$28*'章节与怪物'!$E$17,0),0))</x:f>
        <x:v>5736</x:v>
      </x:c>
      <x:c r="AQ18" s="119" t="n">
        <x:f>IF(AN18=0,0,(AN18-IF(5=D18,1,0))*VLOOKUP(INDEX('章节与怪物'!$E$31:$K$37,B18,5),'章节与怪物'!$A$41:$F$44,4,FALSE)+IF(5=D18,'难度参数'!$E$30,0))</x:f>
        <x:v>240</x:v>
      </x:c>
      <x:c r="AR18" s="119" t="n">
        <x:f>IF(6&gt;D18,0,MAX(2,MIN('难度参数'!$E$12,ROUND(('难度参数'!$E$18*POWER(A18,'难度参数'!$E$19)/D18*(0.85+0.3*(6-1)/MAX(1,D18-1))),0)+F18)))</x:f>
        <x:v>12</x:v>
      </x:c>
      <x:c r="AS18" s="119" t="n">
        <x:f>IF(6&gt;D18,0,ROUND(('难度参数'!$E$13*POWER(A18,'难度参数'!$E$20)*MIN('难度参数'!$E$23,1+MAX(0,A18-'难度参数'!$E$21)*'难度参数'!$E$22))*(36+6*7)/(36+7*(D18+1)/2)*E18,0))</x:f>
        <x:v>729</x:v>
      </x:c>
      <x:c r="AT18" s="119" t="n">
        <x:f>IF(AR18=0,0,(AR18-IF(6=D18,1,0))*ROUND(AS18*VLOOKUP(INDEX('章节与怪物'!$E$31:$K$37,B18,6),'章节与怪物'!$A$41:$F$44,2,FALSE),0)+IF(6=D18,ROUND(AS18*'难度参数'!$E$28*'章节与怪物'!$E$17,0),0))</x:f>
        <x:v>14868</x:v>
      </x:c>
      <x:c r="AU18" s="119" t="n">
        <x:f>IF(AR18=0,0,(AR18-IF(6=D18,1,0))*VLOOKUP(INDEX('章节与怪物'!$E$31:$K$37,B18,6),'章节与怪物'!$A$41:$F$44,4,FALSE)+IF(6=D18,'难度参数'!$E$30,0))</x:f>
        <x:v>336</x:v>
      </x:c>
      <x:c r="AV18" s="119" t="n">
        <x:f>IF(7&gt;D18,0,MAX(2,MIN('难度参数'!$E$12,ROUND(('难度参数'!$E$18*POWER(A18,'难度参数'!$E$19)/D18*(0.85+0.3*(7-1)/MAX(1,D18-1))),0)+F18)))</x:f>
        <x:v>13</x:v>
      </x:c>
      <x:c r="AW18" s="119" t="n">
        <x:f>IF(7&gt;D18,0,ROUND(('难度参数'!$E$13*POWER(A18,'难度参数'!$E$20)*MIN('难度参数'!$E$23,1+MAX(0,A18-'难度参数'!$E$21)*'难度参数'!$E$22))*(36+7*7)/(36+7*(D18+1)/2)*E18,0))</x:f>
        <x:v>795</x:v>
      </x:c>
      <x:c r="AX18" s="119" t="n">
        <x:f>IF(AV18=0,0,(AV18-IF(7=D18,1,0))*ROUND(AW18*VLOOKUP(INDEX('章节与怪物'!$E$31:$K$37,B18,7),'章节与怪物'!$A$41:$F$44,2,FALSE),0)+IF(7=D18,ROUND(AW18*'难度参数'!$E$28*'章节与怪物'!$E$17,0),0))</x:f>
        <x:v>18282</x:v>
      </x:c>
      <x:c r="AY18" s="119" t="n">
        <x:f>IF(AV18=0,0,(AV18-IF(7=D18,1,0))*VLOOKUP(INDEX('章节与怪物'!$E$31:$K$37,B18,7),'章节与怪物'!$A$41:$F$44,4,FALSE)+IF(7=D18,'难度参数'!$E$30,0))</x:f>
        <x:v>608</x:v>
      </x:c>
    </x:row>
    <x:row r="19" ht="23" customHeight="1">
      <x:c r="A19" s="119" t="n">
        <x:v>13</x:v>
      </x:c>
      <x:c r="B19" s="119" t="n">
        <x:f>MOD(INT((A19-1)/5),7)+1</x:f>
        <x:v>3</x:v>
      </x:c>
      <x:c r="C19" s="62" t="str">
        <x:f>INDEX('章节与怪物'!$B$31:$B$37,B19)</x:f>
        <x:v>腐沼秘林</x:v>
      </x:c>
      <x:c r="D19" s="119" t="n">
        <x:f>MIN('难度参数'!$E$8,MAX('难度参数'!$E$7,A19))</x:f>
        <x:v>7</x:v>
      </x:c>
      <x:c r="E19" s="106" t="n">
        <x:v>1</x:v>
      </x:c>
      <x:c r="F19" s="106" t="n">
        <x:v>0</x:v>
      </x:c>
      <x:c r="G19" s="106" t="n">
        <x:v>1</x:v>
      </x:c>
      <x:c r="H19" s="119" t="n">
        <x:f>SUM(X19,AB19,AF19,AJ19,AN19,AR19,AV19)</x:f>
        <x:v>81</x:v>
      </x:c>
      <x:c r="I19" s="119" t="n">
        <x:f>SUM(Z19,AD19,AH19,AL19,AP19,AT19,AX19)</x:f>
        <x:v>71187</x:v>
      </x:c>
      <x:c r="J19" s="119" t="n">
        <x:f>ROUND(INDEX(X19:AY19,1,(D19-1)*4+2)*'难度参数'!$E$28*'章节与怪物'!$E$17,0)</x:f>
        <x:v>5726</x:v>
      </x:c>
      <x:c r="K19" s="119" t="n">
        <x:f>SUM(AA19,AE19,AI19,AM19,AQ19,AU19,AY19)</x:f>
        <x:v>2308</x:v>
      </x:c>
      <x:c r="L19" s="62" t="n">
        <x:f>H19*(ROUNDUP('难度参数'!$E$24/('难度参数'!$E$26*'难度参数'!$E$27),0)*'难度参数'!$E$26)/60</x:f>
        <x:v>1.0799999999999998</x:v>
      </x:c>
      <x:c r="M19" s="62" t="n">
        <x:f>L19+D19*('难度参数'!$E$49+'难度参数'!$E$50)/60</x:f>
        <x:v>2.2466666666666666</x:v>
      </x:c>
      <x:c r="N19" s="119" t="n">
        <x:f>ROUNDDOWN(('经济参数'!$E$20+A19*'经济参数'!$E$21)*G19,0)</x:f>
        <x:v>440</x:v>
      </x:c>
      <x:c r="O19" s="119" t="n">
        <x:f>ROUNDDOWN(MIN('经济参数'!$E$24,'经济参数'!$E$22+A19*'经济参数'!$E$23)*G19,0)</x:f>
        <x:v>0</x:v>
      </x:c>
      <x:c r="P19" s="119" t="n">
        <x:f>ROUNDDOWN((IF(A19&gt;='材料与任务'!$E$31,'材料与任务'!$E$32,IF(A19&gt;='材料与任务'!$E$25,'材料与任务'!$E$26,IF(A19&gt;='材料与任务'!$E$19,'材料与任务'!$E$20,IF(A19&gt;='材料与任务'!$E$13,'材料与任务'!$E$14,'材料与任务'!$E$8)))))*G19,0)</x:f>
        <x:v>2</x:v>
      </x:c>
      <x:c r="Q19" s="119" t="n">
        <x:f>ROUNDDOWN((IF(A19&gt;='材料与任务'!$E$31,'材料与任务'!$E$33,IF(A19&gt;='材料与任务'!$E$25,'材料与任务'!$E$27,IF(A19&gt;='材料与任务'!$E$19,'材料与任务'!$E$21,IF(A19&gt;='材料与任务'!$E$13,'材料与任务'!$E$15,'材料与任务'!$E$9)))))*G19,0)</x:f>
        <x:v>1</x:v>
      </x:c>
      <x:c r="R19" s="110" t="n">
        <x:f>'装备掉落'!$B$38</x:f>
        <x:v>0.6872058758851213</x:v>
      </x:c>
      <x:c r="S19" s="119" t="n">
        <x:f>MAX(IF(VLOOKUP(A19,'装备掉落'!$A$29:$H$34,2,TRUE)&gt;0,1,0),IF(VLOOKUP(A19,'装备掉落'!$A$29:$H$34,3,TRUE)&gt;0,2,0),IF(VLOOKUP(A19,'装备掉落'!$A$29:$H$34,4,TRUE)&gt;0,3,0),IF(VLOOKUP(A19,'装备掉落'!$A$29:$H$34,5,TRUE)&gt;0,4,0),IF(VLOOKUP(A19,'装备掉落'!$A$29:$H$34,6,TRUE)&gt;0,5,0),IF(VLOOKUP(A19,'装备掉落'!$A$29:$H$34,7,TRUE)&gt;0,6,0),IF(VLOOKUP(A19,'装备掉落'!$A$29:$H$34,8,TRUE)&gt;0,7,0))</x:f>
        <x:v>3</x:v>
      </x:c>
      <x:c r="T19" s="119" t="n">
        <x:f>MIN(7,S19+'经济参数'!$E$70)</x:f>
        <x:v>3</x:v>
      </x:c>
      <x:c r="U19" s="119" t="n">
        <x:f>MIN(7,S19+'经济参数'!$E$71)</x:f>
        <x:v>4</x:v>
      </x:c>
      <x:c r="V19" s="119" t="n">
        <x:f>IF(H19&gt;=('难度参数'!$E$52),1,0)+IF(H19&gt;=('难度参数'!$E$52+'难度参数'!$E$53),1,0)+IF(H19&gt;=('难度参数'!$E$52+'难度参数'!$E$53+'难度参数'!$E$54),1,0)+IF(H19&gt;=('难度参数'!$E$52+'难度参数'!$E$53+'难度参数'!$E$54+'难度参数'!$E$55),1,0)+IF(H19&gt;=('难度参数'!$E$52+'难度参数'!$E$53+'难度参数'!$E$54+'难度参数'!$E$55+'难度参数'!$E$56),1,0)+IF(H19&gt;=('难度参数'!$E$52+'难度参数'!$E$53+'难度参数'!$E$54+'难度参数'!$E$55+'难度参数'!$E$56+'难度参数'!$E$57),1,0)</x:f>
        <x:v>5</x:v>
      </x:c>
      <x:c r="W19" s="62" t="str">
        <x:f>IF(L19&gt;'难度参数'!$E$51,"仅出怪已超目标","还需实测")</x:f>
        <x:v>还需实测</x:v>
      </x:c>
      <x:c r="X19" s="119" t="n">
        <x:f>IF(1&gt;D19,0,MAX(2,MIN('难度参数'!$E$12,ROUND(('难度参数'!$E$18*POWER(A19,'难度参数'!$E$19)/D19*(0.85+0.3*(1-1)/MAX(1,D19-1))),0)+F19)))</x:f>
        <x:v>10</x:v>
      </x:c>
      <x:c r="Y19" s="119" t="n">
        <x:f>IF(1&gt;D19,0,ROUND(('难度参数'!$E$13*POWER(A19,'难度参数'!$E$20)*MIN('难度参数'!$E$23,1+MAX(0,A19-'难度参数'!$E$21)*'难度参数'!$E$22))*(36+1*7)/(36+7*(D19+1)/2)*E19,0))</x:f>
        <x:v>426</x:v>
      </x:c>
      <x:c r="Z19" s="119" t="n">
        <x:f>IF(X19=0,0,(X19-IF(1=D19,1,0))*ROUND(Y19*VLOOKUP(INDEX('章节与怪物'!$E$31:$K$37,B19,1),'章节与怪物'!$A$41:$F$44,2,FALSE),0)+IF(1=D19,ROUND(Y19*'难度参数'!$E$28*'章节与怪物'!$E$17,0),0))</x:f>
        <x:v>4260</x:v>
      </x:c>
      <x:c r="AA19" s="119" t="n">
        <x:f>IF(X19=0,0,(X19-IF(1=D19,1,0))*VLOOKUP(INDEX('章节与怪物'!$E$31:$K$37,B19,1),'章节与怪物'!$A$41:$F$44,4,FALSE)+IF(1=D19,'难度参数'!$E$30,0))</x:f>
        <x:v>180</x:v>
      </x:c>
      <x:c r="AB19" s="119" t="n">
        <x:f>IF(2&gt;D19,0,MAX(2,MIN('难度参数'!$E$12,ROUND(('难度参数'!$E$18*POWER(A19,'难度参数'!$E$19)/D19*(0.85+0.3*(2-1)/MAX(1,D19-1))),0)+F19)))</x:f>
        <x:v>10</x:v>
      </x:c>
      <x:c r="AC19" s="119" t="n">
        <x:f>IF(2&gt;D19,0,ROUND(('难度参数'!$E$13*POWER(A19,'难度参数'!$E$20)*MIN('难度参数'!$E$23,1+MAX(0,A19-'难度参数'!$E$21)*'难度参数'!$E$22))*(36+2*7)/(36+7*(D19+1)/2)*E19,0))</x:f>
        <x:v>495</x:v>
      </x:c>
      <x:c r="AD19" s="119" t="n">
        <x:f>IF(AB19=0,0,(AB19-IF(2=D19,1,0))*ROUND(AC19*VLOOKUP(INDEX('章节与怪物'!$E$31:$K$37,B19,2),'章节与怪物'!$A$41:$F$44,2,FALSE),0)+IF(2=D19,ROUND(AC19*'难度参数'!$E$28*'章节与怪物'!$E$17,0),0))</x:f>
        <x:v>3560</x:v>
      </x:c>
      <x:c r="AE19" s="119" t="n">
        <x:f>IF(AB19=0,0,(AB19-IF(2=D19,1,0))*VLOOKUP(INDEX('章节与怪物'!$E$31:$K$37,B19,2),'章节与怪物'!$A$41:$F$44,4,FALSE)+IF(2=D19,'难度参数'!$E$30,0))</x:f>
        <x:v>200</x:v>
      </x:c>
      <x:c r="AF19" s="119" t="n">
        <x:f>IF(3&gt;D19,0,MAX(2,MIN('难度参数'!$E$12,ROUND(('难度参数'!$E$18*POWER(A19,'难度参数'!$E$19)/D19*(0.85+0.3*(3-1)/MAX(1,D19-1))),0)+F19)))</x:f>
        <x:v>11</x:v>
      </x:c>
      <x:c r="AG19" s="119" t="n">
        <x:f>IF(3&gt;D19,0,ROUND(('难度参数'!$E$13*POWER(A19,'难度参数'!$E$20)*MIN('难度参数'!$E$23,1+MAX(0,A19-'难度参数'!$E$21)*'难度参数'!$E$22))*(36+3*7)/(36+7*(D19+1)/2)*E19,0))</x:f>
        <x:v>565</x:v>
      </x:c>
      <x:c r="AH19" s="119" t="n">
        <x:f>IF(AF19=0,0,(AF19-IF(3=D19,1,0))*ROUND(AG19*VLOOKUP(INDEX('章节与怪物'!$E$31:$K$37,B19,3),'章节与怪物'!$A$41:$F$44,2,FALSE),0)+IF(3=D19,ROUND(AG19*'难度参数'!$E$28*'章节与怪物'!$E$17,0),0))</x:f>
        <x:v>10571</x:v>
      </x:c>
      <x:c r="AI19" s="119" t="n">
        <x:f>IF(AF19=0,0,(AF19-IF(3=D19,1,0))*VLOOKUP(INDEX('章节与怪物'!$E$31:$K$37,B19,3),'章节与怪物'!$A$41:$F$44,4,FALSE)+IF(3=D19,'难度参数'!$E$30,0))</x:f>
        <x:v>308</x:v>
      </x:c>
      <x:c r="AJ19" s="119" t="n">
        <x:f>IF(4&gt;D19,0,MAX(2,MIN('难度参数'!$E$12,ROUND(('难度参数'!$E$18*POWER(A19,'难度参数'!$E$19)/D19*(0.85+0.3*(4-1)/MAX(1,D19-1))),0)+F19)))</x:f>
        <x:v>12</x:v>
      </x:c>
      <x:c r="AK19" s="119" t="n">
        <x:f>IF(4&gt;D19,0,ROUND(('难度参数'!$E$13*POWER(A19,'难度参数'!$E$20)*MIN('难度参数'!$E$23,1+MAX(0,A19-'难度参数'!$E$21)*'难度参数'!$E$22))*(36+4*7)/(36+7*(D19+1)/2)*E19,0))</x:f>
        <x:v>634</x:v>
      </x:c>
      <x:c r="AL19" s="119" t="n">
        <x:f>IF(AJ19=0,0,(AJ19-IF(4=D19,1,0))*ROUND(AK19*VLOOKUP(INDEX('章节与怪物'!$E$31:$K$37,B19,4),'章节与怪物'!$A$41:$F$44,2,FALSE),0)+IF(4=D19,ROUND(AK19*'难度参数'!$E$28*'章节与怪物'!$E$17,0),0))</x:f>
        <x:v>10272</x:v>
      </x:c>
      <x:c r="AM19" s="119" t="n">
        <x:f>IF(AJ19=0,0,(AJ19-IF(4=D19,1,0))*VLOOKUP(INDEX('章节与怪物'!$E$31:$K$37,B19,4),'章节与怪物'!$A$41:$F$44,4,FALSE)+IF(4=D19,'难度参数'!$E$30,0))</x:f>
        <x:v>408</x:v>
      </x:c>
      <x:c r="AN19" s="119" t="n">
        <x:f>IF(5&gt;D19,0,MAX(2,MIN('难度参数'!$E$12,ROUND(('难度参数'!$E$18*POWER(A19,'难度参数'!$E$19)/D19*(0.85+0.3*(5-1)/MAX(1,D19-1))),0)+F19)))</x:f>
        <x:v>12</x:v>
      </x:c>
      <x:c r="AO19" s="119" t="n">
        <x:f>IF(5&gt;D19,0,ROUND(('难度参数'!$E$13*POWER(A19,'难度参数'!$E$20)*MIN('难度参数'!$E$23,1+MAX(0,A19-'难度参数'!$E$21)*'难度参数'!$E$22))*(36+5*7)/(36+7*(D19+1)/2)*E19,0))</x:f>
        <x:v>703</x:v>
      </x:c>
      <x:c r="AP19" s="119" t="n">
        <x:f>IF(AN19=0,0,(AN19-IF(5=D19,1,0))*ROUND(AO19*VLOOKUP(INDEX('章节与怪物'!$E$31:$K$37,B19,5),'章节与怪物'!$A$41:$F$44,2,FALSE),0)+IF(5=D19,ROUND(AO19*'难度参数'!$E$28*'章节与怪物'!$E$17,0),0))</x:f>
        <x:v>6072</x:v>
      </x:c>
      <x:c r="AQ19" s="119" t="n">
        <x:f>IF(AN19=0,0,(AN19-IF(5=D19,1,0))*VLOOKUP(INDEX('章节与怪物'!$E$31:$K$37,B19,5),'章节与怪物'!$A$41:$F$44,4,FALSE)+IF(5=D19,'难度参数'!$E$30,0))</x:f>
        <x:v>240</x:v>
      </x:c>
      <x:c r="AR19" s="119" t="n">
        <x:f>IF(6&gt;D19,0,MAX(2,MIN('难度参数'!$E$12,ROUND(('难度参数'!$E$18*POWER(A19,'难度参数'!$E$19)/D19*(0.85+0.3*(6-1)/MAX(1,D19-1))),0)+F19)))</x:f>
        <x:v>13</x:v>
      </x:c>
      <x:c r="AS19" s="119" t="n">
        <x:f>IF(6&gt;D19,0,ROUND(('难度参数'!$E$13*POWER(A19,'难度参数'!$E$20)*MIN('难度参数'!$E$23,1+MAX(0,A19-'难度参数'!$E$21)*'难度参数'!$E$22))*(36+6*7)/(36+7*(D19+1)/2)*E19,0))</x:f>
        <x:v>773</x:v>
      </x:c>
      <x:c r="AT19" s="119" t="n">
        <x:f>IF(AR19=0,0,(AR19-IF(6=D19,1,0))*ROUND(AS19*VLOOKUP(INDEX('章节与怪物'!$E$31:$K$37,B19,6),'章节与怪物'!$A$41:$F$44,2,FALSE),0)+IF(6=D19,ROUND(AS19*'难度参数'!$E$28*'章节与怪物'!$E$17,0),0))</x:f>
        <x:v>17082</x:v>
      </x:c>
      <x:c r="AU19" s="119" t="n">
        <x:f>IF(AR19=0,0,(AR19-IF(6=D19,1,0))*VLOOKUP(INDEX('章节与怪物'!$E$31:$K$37,B19,6),'章节与怪物'!$A$41:$F$44,4,FALSE)+IF(6=D19,'难度参数'!$E$30,0))</x:f>
        <x:v>364</x:v>
      </x:c>
      <x:c r="AV19" s="119" t="n">
        <x:f>IF(7&gt;D19,0,MAX(2,MIN('难度参数'!$E$12,ROUND(('难度参数'!$E$18*POWER(A19,'难度参数'!$E$19)/D19*(0.85+0.3*(7-1)/MAX(1,D19-1))),0)+F19)))</x:f>
        <x:v>13</x:v>
      </x:c>
      <x:c r="AW19" s="119" t="n">
        <x:f>IF(7&gt;D19,0,ROUND(('难度参数'!$E$13*POWER(A19,'难度参数'!$E$20)*MIN('难度参数'!$E$23,1+MAX(0,A19-'难度参数'!$E$21)*'难度参数'!$E$22))*(36+7*7)/(36+7*(D19+1)/2)*E19,0))</x:f>
        <x:v>842</x:v>
      </x:c>
      <x:c r="AX19" s="119" t="n">
        <x:f>IF(AV19=0,0,(AV19-IF(7=D19,1,0))*ROUND(AW19*VLOOKUP(INDEX('章节与怪物'!$E$31:$K$37,B19,7),'章节与怪物'!$A$41:$F$44,2,FALSE),0)+IF(7=D19,ROUND(AW19*'难度参数'!$E$28*'章节与怪物'!$E$17,0),0))</x:f>
        <x:v>19370</x:v>
      </x:c>
      <x:c r="AY19" s="119" t="n">
        <x:f>IF(AV19=0,0,(AV19-IF(7=D19,1,0))*VLOOKUP(INDEX('章节与怪物'!$E$31:$K$37,B19,7),'章节与怪物'!$A$41:$F$44,4,FALSE)+IF(7=D19,'难度参数'!$E$30,0))</x:f>
        <x:v>608</x:v>
      </x:c>
    </x:row>
    <x:row r="20" ht="23" customHeight="1">
      <x:c r="A20" s="119" t="n">
        <x:v>14</x:v>
      </x:c>
      <x:c r="B20" s="119" t="n">
        <x:f>MOD(INT((A20-1)/5),7)+1</x:f>
        <x:v>3</x:v>
      </x:c>
      <x:c r="C20" s="62" t="str">
        <x:f>INDEX('章节与怪物'!$B$31:$B$37,B20)</x:f>
        <x:v>腐沼秘林</x:v>
      </x:c>
      <x:c r="D20" s="119" t="n">
        <x:f>MIN('难度参数'!$E$8,MAX('难度参数'!$E$7,A20))</x:f>
        <x:v>7</x:v>
      </x:c>
      <x:c r="E20" s="106" t="n">
        <x:v>1</x:v>
      </x:c>
      <x:c r="F20" s="106" t="n">
        <x:v>0</x:v>
      </x:c>
      <x:c r="G20" s="106" t="n">
        <x:v>1</x:v>
      </x:c>
      <x:c r="H20" s="119" t="n">
        <x:f>SUM(X20,AB20,AF20,AJ20,AN20,AR20,AV20)</x:f>
        <x:v>83</x:v>
      </x:c>
      <x:c r="I20" s="119" t="n">
        <x:f>SUM(Z20,AD20,AH20,AL20,AP20,AT20,AX20)</x:f>
        <x:v>76656</x:v>
      </x:c>
      <x:c r="J20" s="119" t="n">
        <x:f>ROUND(INDEX(X20:AY20,1,(D20-1)*4+2)*'难度参数'!$E$28*'章节与怪物'!$E$17,0)</x:f>
        <x:v>6038</x:v>
      </x:c>
      <x:c r="K20" s="119" t="n">
        <x:f>SUM(AA20,AE20,AI20,AM20,AQ20,AU20,AY20)</x:f>
        <x:v>2362</x:v>
      </x:c>
      <x:c r="L20" s="62" t="n">
        <x:f>H20*(ROUNDUP('难度参数'!$E$24/('难度参数'!$E$26*'难度参数'!$E$27),0)*'难度参数'!$E$26)/60</x:f>
        <x:v>1.1066666666666667</x:v>
      </x:c>
      <x:c r="M20" s="62" t="n">
        <x:f>L20+D20*('难度参数'!$E$49+'难度参数'!$E$50)/60</x:f>
        <x:v>2.2733333333333334</x:v>
      </x:c>
      <x:c r="N20" s="119" t="n">
        <x:f>ROUNDDOWN(('经济参数'!$E$20+A20*'经济参数'!$E$21)*G20,0)</x:f>
        <x:v>460</x:v>
      </x:c>
      <x:c r="O20" s="119" t="n">
        <x:f>ROUNDDOWN(MIN('经济参数'!$E$24,'经济参数'!$E$22+A20*'经济参数'!$E$23)*G20,0)</x:f>
        <x:v>0</x:v>
      </x:c>
      <x:c r="P20" s="119" t="n">
        <x:f>ROUNDDOWN((IF(A20&gt;='材料与任务'!$E$31,'材料与任务'!$E$32,IF(A20&gt;='材料与任务'!$E$25,'材料与任务'!$E$26,IF(A20&gt;='材料与任务'!$E$19,'材料与任务'!$E$20,IF(A20&gt;='材料与任务'!$E$13,'材料与任务'!$E$14,'材料与任务'!$E$8)))))*G20,0)</x:f>
        <x:v>2</x:v>
      </x:c>
      <x:c r="Q20" s="119" t="n">
        <x:f>ROUNDDOWN((IF(A20&gt;='材料与任务'!$E$31,'材料与任务'!$E$33,IF(A20&gt;='材料与任务'!$E$25,'材料与任务'!$E$27,IF(A20&gt;='材料与任务'!$E$19,'材料与任务'!$E$21,IF(A20&gt;='材料与任务'!$E$13,'材料与任务'!$E$15,'材料与任务'!$E$9)))))*G20,0)</x:f>
        <x:v>1</x:v>
      </x:c>
      <x:c r="R20" s="110" t="n">
        <x:f>'装备掉落'!$B$38</x:f>
        <x:v>0.6872058758851213</x:v>
      </x:c>
      <x:c r="S20" s="119" t="n">
        <x:f>MAX(IF(VLOOKUP(A20,'装备掉落'!$A$29:$H$34,2,TRUE)&gt;0,1,0),IF(VLOOKUP(A20,'装备掉落'!$A$29:$H$34,3,TRUE)&gt;0,2,0),IF(VLOOKUP(A20,'装备掉落'!$A$29:$H$34,4,TRUE)&gt;0,3,0),IF(VLOOKUP(A20,'装备掉落'!$A$29:$H$34,5,TRUE)&gt;0,4,0),IF(VLOOKUP(A20,'装备掉落'!$A$29:$H$34,6,TRUE)&gt;0,5,0),IF(VLOOKUP(A20,'装备掉落'!$A$29:$H$34,7,TRUE)&gt;0,6,0),IF(VLOOKUP(A20,'装备掉落'!$A$29:$H$34,8,TRUE)&gt;0,7,0))</x:f>
        <x:v>3</x:v>
      </x:c>
      <x:c r="T20" s="119" t="n">
        <x:f>MIN(7,S20+'经济参数'!$E$70)</x:f>
        <x:v>3</x:v>
      </x:c>
      <x:c r="U20" s="119" t="n">
        <x:f>MIN(7,S20+'经济参数'!$E$71)</x:f>
        <x:v>4</x:v>
      </x:c>
      <x:c r="V20" s="119" t="n">
        <x:f>IF(H20&gt;=('难度参数'!$E$52),1,0)+IF(H20&gt;=('难度参数'!$E$52+'难度参数'!$E$53),1,0)+IF(H20&gt;=('难度参数'!$E$52+'难度参数'!$E$53+'难度参数'!$E$54),1,0)+IF(H20&gt;=('难度参数'!$E$52+'难度参数'!$E$53+'难度参数'!$E$54+'难度参数'!$E$55),1,0)+IF(H20&gt;=('难度参数'!$E$52+'难度参数'!$E$53+'难度参数'!$E$54+'难度参数'!$E$55+'难度参数'!$E$56),1,0)+IF(H20&gt;=('难度参数'!$E$52+'难度参数'!$E$53+'难度参数'!$E$54+'难度参数'!$E$55+'难度参数'!$E$56+'难度参数'!$E$57),1,0)</x:f>
        <x:v>5</x:v>
      </x:c>
      <x:c r="W20" s="62" t="str">
        <x:f>IF(L20&gt;'难度参数'!$E$51,"仅出怪已超目标","还需实测")</x:f>
        <x:v>还需实测</x:v>
      </x:c>
      <x:c r="X20" s="119" t="n">
        <x:f>IF(1&gt;D20,0,MAX(2,MIN('难度参数'!$E$12,ROUND(('难度参数'!$E$18*POWER(A20,'难度参数'!$E$19)/D20*(0.85+0.3*(1-1)/MAX(1,D20-1))),0)+F20)))</x:f>
        <x:v>10</x:v>
      </x:c>
      <x:c r="Y20" s="119" t="n">
        <x:f>IF(1&gt;D20,0,ROUND(('难度参数'!$E$13*POWER(A20,'难度参数'!$E$20)*MIN('难度参数'!$E$23,1+MAX(0,A20-'难度参数'!$E$21)*'难度参数'!$E$22))*(36+1*7)/(36+7*(D20+1)/2)*E20,0))</x:f>
        <x:v>449</x:v>
      </x:c>
      <x:c r="Z20" s="119" t="n">
        <x:f>IF(X20=0,0,(X20-IF(1=D20,1,0))*ROUND(Y20*VLOOKUP(INDEX('章节与怪物'!$E$31:$K$37,B20,1),'章节与怪物'!$A$41:$F$44,2,FALSE),0)+IF(1=D20,ROUND(Y20*'难度参数'!$E$28*'章节与怪物'!$E$17,0),0))</x:f>
        <x:v>4490</x:v>
      </x:c>
      <x:c r="AA20" s="119" t="n">
        <x:f>IF(X20=0,0,(X20-IF(1=D20,1,0))*VLOOKUP(INDEX('章节与怪物'!$E$31:$K$37,B20,1),'章节与怪物'!$A$41:$F$44,4,FALSE)+IF(1=D20,'难度参数'!$E$30,0))</x:f>
        <x:v>180</x:v>
      </x:c>
      <x:c r="AB20" s="119" t="n">
        <x:f>IF(2&gt;D20,0,MAX(2,MIN('难度参数'!$E$12,ROUND(('难度参数'!$E$18*POWER(A20,'难度参数'!$E$19)/D20*(0.85+0.3*(2-1)/MAX(1,D20-1))),0)+F20)))</x:f>
        <x:v>11</x:v>
      </x:c>
      <x:c r="AC20" s="119" t="n">
        <x:f>IF(2&gt;D20,0,ROUND(('难度参数'!$E$13*POWER(A20,'难度参数'!$E$20)*MIN('难度参数'!$E$23,1+MAX(0,A20-'难度参数'!$E$21)*'难度参数'!$E$22))*(36+2*7)/(36+7*(D20+1)/2)*E20,0))</x:f>
        <x:v>522</x:v>
      </x:c>
      <x:c r="AD20" s="119" t="n">
        <x:f>IF(AB20=0,0,(AB20-IF(2=D20,1,0))*ROUND(AC20*VLOOKUP(INDEX('章节与怪物'!$E$31:$K$37,B20,2),'章节与怪物'!$A$41:$F$44,2,FALSE),0)+IF(2=D20,ROUND(AC20*'难度参数'!$E$28*'章节与怪物'!$E$17,0),0))</x:f>
        <x:v>4136</x:v>
      </x:c>
      <x:c r="AE20" s="119" t="n">
        <x:f>IF(AB20=0,0,(AB20-IF(2=D20,1,0))*VLOOKUP(INDEX('章节与怪物'!$E$31:$K$37,B20,2),'章节与怪物'!$A$41:$F$44,4,FALSE)+IF(2=D20,'难度参数'!$E$30,0))</x:f>
        <x:v>220</x:v>
      </x:c>
      <x:c r="AF20" s="119" t="n">
        <x:f>IF(3&gt;D20,0,MAX(2,MIN('难度参数'!$E$12,ROUND(('难度参数'!$E$18*POWER(A20,'难度参数'!$E$19)/D20*(0.85+0.3*(3-1)/MAX(1,D20-1))),0)+F20)))</x:f>
        <x:v>11</x:v>
      </x:c>
      <x:c r="AG20" s="119" t="n">
        <x:f>IF(3&gt;D20,0,ROUND(('难度参数'!$E$13*POWER(A20,'难度参数'!$E$20)*MIN('难度参数'!$E$23,1+MAX(0,A20-'难度参数'!$E$21)*'难度参数'!$E$22))*(36+3*7)/(36+7*(D20+1)/2)*E20,0))</x:f>
        <x:v>596</x:v>
      </x:c>
      <x:c r="AH20" s="119" t="n">
        <x:f>IF(AF20=0,0,(AF20-IF(3=D20,1,0))*ROUND(AG20*VLOOKUP(INDEX('章节与怪物'!$E$31:$K$37,B20,3),'章节与怪物'!$A$41:$F$44,2,FALSE),0)+IF(3=D20,ROUND(AG20*'难度参数'!$E$28*'章节与怪物'!$E$17,0),0))</x:f>
        <x:v>11143</x:v>
      </x:c>
      <x:c r="AI20" s="119" t="n">
        <x:f>IF(AF20=0,0,(AF20-IF(3=D20,1,0))*VLOOKUP(INDEX('章节与怪物'!$E$31:$K$37,B20,3),'章节与怪物'!$A$41:$F$44,4,FALSE)+IF(3=D20,'难度参数'!$E$30,0))</x:f>
        <x:v>308</x:v>
      </x:c>
      <x:c r="AJ20" s="119" t="n">
        <x:f>IF(4&gt;D20,0,MAX(2,MIN('难度参数'!$E$12,ROUND(('难度参数'!$E$18*POWER(A20,'难度参数'!$E$19)/D20*(0.85+0.3*(4-1)/MAX(1,D20-1))),0)+F20)))</x:f>
        <x:v>12</x:v>
      </x:c>
      <x:c r="AK20" s="119" t="n">
        <x:f>IF(4&gt;D20,0,ROUND(('难度参数'!$E$13*POWER(A20,'难度参数'!$E$20)*MIN('难度参数'!$E$23,1+MAX(0,A20-'难度参数'!$E$21)*'难度参数'!$E$22))*(36+4*7)/(36+7*(D20+1)/2)*E20,0))</x:f>
        <x:v>669</x:v>
      </x:c>
      <x:c r="AL20" s="119" t="n">
        <x:f>IF(AJ20=0,0,(AJ20-IF(4=D20,1,0))*ROUND(AK20*VLOOKUP(INDEX('章节与怪物'!$E$31:$K$37,B20,4),'章节与怪物'!$A$41:$F$44,2,FALSE),0)+IF(4=D20,ROUND(AK20*'难度参数'!$E$28*'章节与怪物'!$E$17,0),0))</x:f>
        <x:v>10836</x:v>
      </x:c>
      <x:c r="AM20" s="119" t="n">
        <x:f>IF(AJ20=0,0,(AJ20-IF(4=D20,1,0))*VLOOKUP(INDEX('章节与怪物'!$E$31:$K$37,B20,4),'章节与怪物'!$A$41:$F$44,4,FALSE)+IF(4=D20,'难度参数'!$E$30,0))</x:f>
        <x:v>408</x:v>
      </x:c>
      <x:c r="AN20" s="119" t="n">
        <x:f>IF(5&gt;D20,0,MAX(2,MIN('难度参数'!$E$12,ROUND(('难度参数'!$E$18*POWER(A20,'难度参数'!$E$19)/D20*(0.85+0.3*(5-1)/MAX(1,D20-1))),0)+F20)))</x:f>
        <x:v>12</x:v>
      </x:c>
      <x:c r="AO20" s="119" t="n">
        <x:f>IF(5&gt;D20,0,ROUND(('难度参数'!$E$13*POWER(A20,'难度参数'!$E$20)*MIN('难度参数'!$E$23,1+MAX(0,A20-'难度参数'!$E$21)*'难度参数'!$E$22))*(36+5*7)/(36+7*(D20+1)/2)*E20,0))</x:f>
        <x:v>742</x:v>
      </x:c>
      <x:c r="AP20" s="119" t="n">
        <x:f>IF(AN20=0,0,(AN20-IF(5=D20,1,0))*ROUND(AO20*VLOOKUP(INDEX('章节与怪物'!$E$31:$K$37,B20,5),'章节与怪物'!$A$41:$F$44,2,FALSE),0)+IF(5=D20,ROUND(AO20*'难度参数'!$E$28*'章节与怪物'!$E$17,0),0))</x:f>
        <x:v>6408</x:v>
      </x:c>
      <x:c r="AQ20" s="119" t="n">
        <x:f>IF(AN20=0,0,(AN20-IF(5=D20,1,0))*VLOOKUP(INDEX('章节与怪物'!$E$31:$K$37,B20,5),'章节与怪物'!$A$41:$F$44,4,FALSE)+IF(5=D20,'难度参数'!$E$30,0))</x:f>
        <x:v>240</x:v>
      </x:c>
      <x:c r="AR20" s="119" t="n">
        <x:f>IF(6&gt;D20,0,MAX(2,MIN('难度参数'!$E$12,ROUND(('难度参数'!$E$18*POWER(A20,'难度参数'!$E$19)/D20*(0.85+0.3*(6-1)/MAX(1,D20-1))),0)+F20)))</x:f>
        <x:v>13</x:v>
      </x:c>
      <x:c r="AS20" s="119" t="n">
        <x:f>IF(6&gt;D20,0,ROUND(('难度参数'!$E$13*POWER(A20,'难度参数'!$E$20)*MIN('难度参数'!$E$23,1+MAX(0,A20-'难度参数'!$E$21)*'难度参数'!$E$22))*(36+6*7)/(36+7*(D20+1)/2)*E20,0))</x:f>
        <x:v>815</x:v>
      </x:c>
      <x:c r="AT20" s="119" t="n">
        <x:f>IF(AR20=0,0,(AR20-IF(6=D20,1,0))*ROUND(AS20*VLOOKUP(INDEX('章节与怪物'!$E$31:$K$37,B20,6),'章节与怪物'!$A$41:$F$44,2,FALSE),0)+IF(6=D20,ROUND(AS20*'难度参数'!$E$28*'章节与怪物'!$E$17,0),0))</x:f>
        <x:v>18018</x:v>
      </x:c>
      <x:c r="AU20" s="119" t="n">
        <x:f>IF(AR20=0,0,(AR20-IF(6=D20,1,0))*VLOOKUP(INDEX('章节与怪物'!$E$31:$K$37,B20,6),'章节与怪物'!$A$41:$F$44,4,FALSE)+IF(6=D20,'难度参数'!$E$30,0))</x:f>
        <x:v>364</x:v>
      </x:c>
      <x:c r="AV20" s="119" t="n">
        <x:f>IF(7&gt;D20,0,MAX(2,MIN('难度参数'!$E$12,ROUND(('难度参数'!$E$18*POWER(A20,'难度参数'!$E$19)/D20*(0.85+0.3*(7-1)/MAX(1,D20-1))),0)+F20)))</x:f>
        <x:v>14</x:v>
      </x:c>
      <x:c r="AW20" s="119" t="n">
        <x:f>IF(7&gt;D20,0,ROUND(('难度参数'!$E$13*POWER(A20,'难度参数'!$E$20)*MIN('难度参数'!$E$23,1+MAX(0,A20-'难度参数'!$E$21)*'难度参数'!$E$22))*(36+7*7)/(36+7*(D20+1)/2)*E20,0))</x:f>
        <x:v>888</x:v>
      </x:c>
      <x:c r="AX20" s="119" t="n">
        <x:f>IF(AV20=0,0,(AV20-IF(7=D20,1,0))*ROUND(AW20*VLOOKUP(INDEX('章节与怪物'!$E$31:$K$37,B20,7),'章节与怪物'!$A$41:$F$44,2,FALSE),0)+IF(7=D20,ROUND(AW20*'难度参数'!$E$28*'章节与怪物'!$E$17,0),0))</x:f>
        <x:v>21625</x:v>
      </x:c>
      <x:c r="AY20" s="119" t="n">
        <x:f>IF(AV20=0,0,(AV20-IF(7=D20,1,0))*VLOOKUP(INDEX('章节与怪物'!$E$31:$K$37,B20,7),'章节与怪物'!$A$41:$F$44,4,FALSE)+IF(7=D20,'难度参数'!$E$30,0))</x:f>
        <x:v>642</x:v>
      </x:c>
    </x:row>
    <x:row r="21" ht="23" customHeight="1">
      <x:c r="A21" s="119" t="n">
        <x:v>15</x:v>
      </x:c>
      <x:c r="B21" s="119" t="n">
        <x:f>MOD(INT((A21-1)/5),7)+1</x:f>
        <x:v>3</x:v>
      </x:c>
      <x:c r="C21" s="62" t="str">
        <x:f>INDEX('章节与怪物'!$B$31:$B$37,B21)</x:f>
        <x:v>腐沼秘林</x:v>
      </x:c>
      <x:c r="D21" s="119" t="n">
        <x:f>MIN('难度参数'!$E$8,MAX('难度参数'!$E$7,A21))</x:f>
        <x:v>7</x:v>
      </x:c>
      <x:c r="E21" s="106" t="n">
        <x:v>1</x:v>
      </x:c>
      <x:c r="F21" s="106" t="n">
        <x:v>0</x:v>
      </x:c>
      <x:c r="G21" s="106" t="n">
        <x:v>1</x:v>
      </x:c>
      <x:c r="H21" s="119" t="n">
        <x:f>SUM(X21,AB21,AF21,AJ21,AN21,AR21,AV21)</x:f>
        <x:v>85</x:v>
      </x:c>
      <x:c r="I21" s="119" t="n">
        <x:f>SUM(Z21,AD21,AH21,AL21,AP21,AT21,AX21)</x:f>
        <x:v>82166</x:v>
      </x:c>
      <x:c r="J21" s="119" t="n">
        <x:f>ROUND(INDEX(X21:AY21,1,(D21-1)*4+2)*'难度参数'!$E$28*'章节与怪物'!$E$17,0)</x:f>
        <x:v>6344</x:v>
      </x:c>
      <x:c r="K21" s="119" t="n">
        <x:f>SUM(AA21,AE21,AI21,AM21,AQ21,AU21,AY21)</x:f>
        <x:v>2410</x:v>
      </x:c>
      <x:c r="L21" s="62" t="n">
        <x:f>H21*(ROUNDUP('难度参数'!$E$24/('难度参数'!$E$26*'难度参数'!$E$27),0)*'难度参数'!$E$26)/60</x:f>
        <x:v>1.1333333333333333</x:v>
      </x:c>
      <x:c r="M21" s="62" t="n">
        <x:f>L21+D21*('难度参数'!$E$49+'难度参数'!$E$50)/60</x:f>
        <x:v>2.3</x:v>
      </x:c>
      <x:c r="N21" s="119" t="n">
        <x:f>ROUNDDOWN(('经济参数'!$E$20+A21*'经济参数'!$E$21)*G21,0)</x:f>
        <x:v>480</x:v>
      </x:c>
      <x:c r="O21" s="119" t="n">
        <x:f>ROUNDDOWN(MIN('经济参数'!$E$24,'经济参数'!$E$22+A21*'经济参数'!$E$23)*G21,0)</x:f>
        <x:v>0</x:v>
      </x:c>
      <x:c r="P21" s="119" t="n">
        <x:f>ROUNDDOWN((IF(A21&gt;='材料与任务'!$E$31,'材料与任务'!$E$32,IF(A21&gt;='材料与任务'!$E$25,'材料与任务'!$E$26,IF(A21&gt;='材料与任务'!$E$19,'材料与任务'!$E$20,IF(A21&gt;='材料与任务'!$E$13,'材料与任务'!$E$14,'材料与任务'!$E$8)))))*G21,0)</x:f>
        <x:v>3</x:v>
      </x:c>
      <x:c r="Q21" s="119" t="n">
        <x:f>ROUNDDOWN((IF(A21&gt;='材料与任务'!$E$31,'材料与任务'!$E$33,IF(A21&gt;='材料与任务'!$E$25,'材料与任务'!$E$27,IF(A21&gt;='材料与任务'!$E$19,'材料与任务'!$E$21,IF(A21&gt;='材料与任务'!$E$13,'材料与任务'!$E$15,'材料与任务'!$E$9)))))*G21,0)</x:f>
        <x:v>1</x:v>
      </x:c>
      <x:c r="R21" s="110" t="n">
        <x:f>'装备掉落'!$B$38</x:f>
        <x:v>0.6872058758851213</x:v>
      </x:c>
      <x:c r="S21" s="119" t="n">
        <x:f>MAX(IF(VLOOKUP(A21,'装备掉落'!$A$29:$H$34,2,TRUE)&gt;0,1,0),IF(VLOOKUP(A21,'装备掉落'!$A$29:$H$34,3,TRUE)&gt;0,2,0),IF(VLOOKUP(A21,'装备掉落'!$A$29:$H$34,4,TRUE)&gt;0,3,0),IF(VLOOKUP(A21,'装备掉落'!$A$29:$H$34,5,TRUE)&gt;0,4,0),IF(VLOOKUP(A21,'装备掉落'!$A$29:$H$34,6,TRUE)&gt;0,5,0),IF(VLOOKUP(A21,'装备掉落'!$A$29:$H$34,7,TRUE)&gt;0,6,0),IF(VLOOKUP(A21,'装备掉落'!$A$29:$H$34,8,TRUE)&gt;0,7,0))</x:f>
        <x:v>3</x:v>
      </x:c>
      <x:c r="T21" s="119" t="n">
        <x:f>MIN(7,S21+'经济参数'!$E$70)</x:f>
        <x:v>3</x:v>
      </x:c>
      <x:c r="U21" s="119" t="n">
        <x:f>MIN(7,S21+'经济参数'!$E$71)</x:f>
        <x:v>4</x:v>
      </x:c>
      <x:c r="V21" s="119" t="n">
        <x:f>IF(H21&gt;=('难度参数'!$E$52),1,0)+IF(H21&gt;=('难度参数'!$E$52+'难度参数'!$E$53),1,0)+IF(H21&gt;=('难度参数'!$E$52+'难度参数'!$E$53+'难度参数'!$E$54),1,0)+IF(H21&gt;=('难度参数'!$E$52+'难度参数'!$E$53+'难度参数'!$E$54+'难度参数'!$E$55),1,0)+IF(H21&gt;=('难度参数'!$E$52+'难度参数'!$E$53+'难度参数'!$E$54+'难度参数'!$E$55+'难度参数'!$E$56),1,0)+IF(H21&gt;=('难度参数'!$E$52+'难度参数'!$E$53+'难度参数'!$E$54+'难度参数'!$E$55+'难度参数'!$E$56+'难度参数'!$E$57),1,0)</x:f>
        <x:v>5</x:v>
      </x:c>
      <x:c r="W21" s="62" t="str">
        <x:f>IF(L21&gt;'难度参数'!$E$51,"仅出怪已超目标","还需实测")</x:f>
        <x:v>还需实测</x:v>
      </x:c>
      <x:c r="X21" s="119" t="n">
        <x:f>IF(1&gt;D21,0,MAX(2,MIN('难度参数'!$E$12,ROUND(('难度参数'!$E$18*POWER(A21,'难度参数'!$E$19)/D21*(0.85+0.3*(1-1)/MAX(1,D21-1))),0)+F21)))</x:f>
        <x:v>10</x:v>
      </x:c>
      <x:c r="Y21" s="119" t="n">
        <x:f>IF(1&gt;D21,0,ROUND(('难度参数'!$E$13*POWER(A21,'难度参数'!$E$20)*MIN('难度参数'!$E$23,1+MAX(0,A21-'难度参数'!$E$21)*'难度参数'!$E$22))*(36+1*7)/(36+7*(D21+1)/2)*E21,0))</x:f>
        <x:v>472</x:v>
      </x:c>
      <x:c r="Z21" s="119" t="n">
        <x:f>IF(X21=0,0,(X21-IF(1=D21,1,0))*ROUND(Y21*VLOOKUP(INDEX('章节与怪物'!$E$31:$K$37,B21,1),'章节与怪物'!$A$41:$F$44,2,FALSE),0)+IF(1=D21,ROUND(Y21*'难度参数'!$E$28*'章节与怪物'!$E$17,0),0))</x:f>
        <x:v>4720</x:v>
      </x:c>
      <x:c r="AA21" s="119" t="n">
        <x:f>IF(X21=0,0,(X21-IF(1=D21,1,0))*VLOOKUP(INDEX('章节与怪物'!$E$31:$K$37,B21,1),'章节与怪物'!$A$41:$F$44,4,FALSE)+IF(1=D21,'难度参数'!$E$30,0))</x:f>
        <x:v>180</x:v>
      </x:c>
      <x:c r="AB21" s="119" t="n">
        <x:f>IF(2&gt;D21,0,MAX(2,MIN('难度参数'!$E$12,ROUND(('难度参数'!$E$18*POWER(A21,'难度参数'!$E$19)/D21*(0.85+0.3*(2-1)/MAX(1,D21-1))),0)+F21)))</x:f>
        <x:v>11</x:v>
      </x:c>
      <x:c r="AC21" s="119" t="n">
        <x:f>IF(2&gt;D21,0,ROUND(('难度参数'!$E$13*POWER(A21,'难度参数'!$E$20)*MIN('难度参数'!$E$23,1+MAX(0,A21-'难度参数'!$E$21)*'难度参数'!$E$22))*(36+2*7)/(36+7*(D21+1)/2)*E21,0))</x:f>
        <x:v>549</x:v>
      </x:c>
      <x:c r="AD21" s="119" t="n">
        <x:f>IF(AB21=0,0,(AB21-IF(2=D21,1,0))*ROUND(AC21*VLOOKUP(INDEX('章节与怪物'!$E$31:$K$37,B21,2),'章节与怪物'!$A$41:$F$44,2,FALSE),0)+IF(2=D21,ROUND(AC21*'难度参数'!$E$28*'章节与怪物'!$E$17,0),0))</x:f>
        <x:v>4345</x:v>
      </x:c>
      <x:c r="AE21" s="119" t="n">
        <x:f>IF(AB21=0,0,(AB21-IF(2=D21,1,0))*VLOOKUP(INDEX('章节与怪物'!$E$31:$K$37,B21,2),'章节与怪物'!$A$41:$F$44,4,FALSE)+IF(2=D21,'难度参数'!$E$30,0))</x:f>
        <x:v>220</x:v>
      </x:c>
      <x:c r="AF21" s="119" t="n">
        <x:f>IF(3&gt;D21,0,MAX(2,MIN('难度参数'!$E$12,ROUND(('难度参数'!$E$18*POWER(A21,'难度参数'!$E$19)/D21*(0.85+0.3*(3-1)/MAX(1,D21-1))),0)+F21)))</x:f>
        <x:v>12</x:v>
      </x:c>
      <x:c r="AG21" s="119" t="n">
        <x:f>IF(3&gt;D21,0,ROUND(('难度参数'!$E$13*POWER(A21,'难度参数'!$E$20)*MIN('难度参数'!$E$23,1+MAX(0,A21-'难度参数'!$E$21)*'难度参数'!$E$22))*(36+3*7)/(36+7*(D21+1)/2)*E21,0))</x:f>
        <x:v>626</x:v>
      </x:c>
      <x:c r="AH21" s="119" t="n">
        <x:f>IF(AF21=0,0,(AF21-IF(3=D21,1,0))*ROUND(AG21*VLOOKUP(INDEX('章节与怪物'!$E$31:$K$37,B21,3),'章节与怪物'!$A$41:$F$44,2,FALSE),0)+IF(3=D21,ROUND(AG21*'难度参数'!$E$28*'章节与怪物'!$E$17,0),0))</x:f>
        <x:v>12768</x:v>
      </x:c>
      <x:c r="AI21" s="119" t="n">
        <x:f>IF(AF21=0,0,(AF21-IF(3=D21,1,0))*VLOOKUP(INDEX('章节与怪物'!$E$31:$K$37,B21,3),'章节与怪物'!$A$41:$F$44,4,FALSE)+IF(3=D21,'难度参数'!$E$30,0))</x:f>
        <x:v>336</x:v>
      </x:c>
      <x:c r="AJ21" s="119" t="n">
        <x:f>IF(4&gt;D21,0,MAX(2,MIN('难度参数'!$E$12,ROUND(('难度参数'!$E$18*POWER(A21,'难度参数'!$E$19)/D21*(0.85+0.3*(4-1)/MAX(1,D21-1))),0)+F21)))</x:f>
        <x:v>12</x:v>
      </x:c>
      <x:c r="AK21" s="119" t="n">
        <x:f>IF(4&gt;D21,0,ROUND(('难度参数'!$E$13*POWER(A21,'难度参数'!$E$20)*MIN('难度参数'!$E$23,1+MAX(0,A21-'难度参数'!$E$21)*'难度参数'!$E$22))*(36+4*7)/(36+7*(D21+1)/2)*E21,0))</x:f>
        <x:v>703</x:v>
      </x:c>
      <x:c r="AL21" s="119" t="n">
        <x:f>IF(AJ21=0,0,(AJ21-IF(4=D21,1,0))*ROUND(AK21*VLOOKUP(INDEX('章节与怪物'!$E$31:$K$37,B21,4),'章节与怪物'!$A$41:$F$44,2,FALSE),0)+IF(4=D21,ROUND(AK21*'难度参数'!$E$28*'章节与怪物'!$E$17,0),0))</x:f>
        <x:v>11388</x:v>
      </x:c>
      <x:c r="AM21" s="119" t="n">
        <x:f>IF(AJ21=0,0,(AJ21-IF(4=D21,1,0))*VLOOKUP(INDEX('章节与怪物'!$E$31:$K$37,B21,4),'章节与怪物'!$A$41:$F$44,4,FALSE)+IF(4=D21,'难度参数'!$E$30,0))</x:f>
        <x:v>408</x:v>
      </x:c>
      <x:c r="AN21" s="119" t="n">
        <x:f>IF(5&gt;D21,0,MAX(2,MIN('难度参数'!$E$12,ROUND(('难度参数'!$E$18*POWER(A21,'难度参数'!$E$19)/D21*(0.85+0.3*(5-1)/MAX(1,D21-1))),0)+F21)))</x:f>
        <x:v>13</x:v>
      </x:c>
      <x:c r="AO21" s="119" t="n">
        <x:f>IF(5&gt;D21,0,ROUND(('难度参数'!$E$13*POWER(A21,'难度参数'!$E$20)*MIN('难度参数'!$E$23,1+MAX(0,A21-'难度参数'!$E$21)*'难度参数'!$E$22))*(36+5*7)/(36+7*(D21+1)/2)*E21,0))</x:f>
        <x:v>780</x:v>
      </x:c>
      <x:c r="AP21" s="119" t="n">
        <x:f>IF(AN21=0,0,(AN21-IF(5=D21,1,0))*ROUND(AO21*VLOOKUP(INDEX('章节与怪物'!$E$31:$K$37,B21,5),'章节与怪物'!$A$41:$F$44,2,FALSE),0)+IF(5=D21,ROUND(AO21*'难度参数'!$E$28*'章节与怪物'!$E$17,0),0))</x:f>
        <x:v>7306</x:v>
      </x:c>
      <x:c r="AQ21" s="119" t="n">
        <x:f>IF(AN21=0,0,(AN21-IF(5=D21,1,0))*VLOOKUP(INDEX('章节与怪物'!$E$31:$K$37,B21,5),'章节与怪物'!$A$41:$F$44,4,FALSE)+IF(5=D21,'难度参数'!$E$30,0))</x:f>
        <x:v>260</x:v>
      </x:c>
      <x:c r="AR21" s="119" t="n">
        <x:f>IF(6&gt;D21,0,MAX(2,MIN('难度参数'!$E$12,ROUND(('难度参数'!$E$18*POWER(A21,'难度参数'!$E$19)/D21*(0.85+0.3*(6-1)/MAX(1,D21-1))),0)+F21)))</x:f>
        <x:v>13</x:v>
      </x:c>
      <x:c r="AS21" s="119" t="n">
        <x:f>IF(6&gt;D21,0,ROUND(('难度参数'!$E$13*POWER(A21,'难度参数'!$E$20)*MIN('难度参数'!$E$23,1+MAX(0,A21-'难度参数'!$E$21)*'难度参数'!$E$22))*(36+6*7)/(36+7*(D21+1)/2)*E21,0))</x:f>
        <x:v>856</x:v>
      </x:c>
      <x:c r="AT21" s="119" t="n">
        <x:f>IF(AR21=0,0,(AR21-IF(6=D21,1,0))*ROUND(AS21*VLOOKUP(INDEX('章节与怪物'!$E$31:$K$37,B21,6),'章节与怪物'!$A$41:$F$44,2,FALSE),0)+IF(6=D21,ROUND(AS21*'难度参数'!$E$28*'章节与怪物'!$E$17,0),0))</x:f>
        <x:v>18915</x:v>
      </x:c>
      <x:c r="AU21" s="119" t="n">
        <x:f>IF(AR21=0,0,(AR21-IF(6=D21,1,0))*VLOOKUP(INDEX('章节与怪物'!$E$31:$K$37,B21,6),'章节与怪物'!$A$41:$F$44,4,FALSE)+IF(6=D21,'难度参数'!$E$30,0))</x:f>
        <x:v>364</x:v>
      </x:c>
      <x:c r="AV21" s="119" t="n">
        <x:f>IF(7&gt;D21,0,MAX(2,MIN('难度参数'!$E$12,ROUND(('难度参数'!$E$18*POWER(A21,'难度参数'!$E$19)/D21*(0.85+0.3*(7-1)/MAX(1,D21-1))),0)+F21)))</x:f>
        <x:v>14</x:v>
      </x:c>
      <x:c r="AW21" s="119" t="n">
        <x:f>IF(7&gt;D21,0,ROUND(('难度参数'!$E$13*POWER(A21,'难度参数'!$E$20)*MIN('难度参数'!$E$23,1+MAX(0,A21-'难度参数'!$E$21)*'难度参数'!$E$22))*(36+7*7)/(36+7*(D21+1)/2)*E21,0))</x:f>
        <x:v>933</x:v>
      </x:c>
      <x:c r="AX21" s="119" t="n">
        <x:f>IF(AV21=0,0,(AV21-IF(7=D21,1,0))*ROUND(AW21*VLOOKUP(INDEX('章节与怪物'!$E$31:$K$37,B21,7),'章节与怪物'!$A$41:$F$44,2,FALSE),0)+IF(7=D21,ROUND(AW21*'难度参数'!$E$28*'章节与怪物'!$E$17,0),0))</x:f>
        <x:v>22724</x:v>
      </x:c>
      <x:c r="AY21" s="119" t="n">
        <x:f>IF(AV21=0,0,(AV21-IF(7=D21,1,0))*VLOOKUP(INDEX('章节与怪物'!$E$31:$K$37,B21,7),'章节与怪物'!$A$41:$F$44,4,FALSE)+IF(7=D21,'难度参数'!$E$30,0))</x:f>
        <x:v>642</x:v>
      </x:c>
    </x:row>
    <x:row r="22" ht="23" customHeight="1">
      <x:c r="A22" s="119" t="n">
        <x:v>16</x:v>
      </x:c>
      <x:c r="B22" s="119" t="n">
        <x:f>MOD(INT((A22-1)/5),7)+1</x:f>
        <x:v>4</x:v>
      </x:c>
      <x:c r="C22" s="62" t="str">
        <x:f>INDEX('章节与怪物'!$B$31:$B$37,B22)</x:f>
        <x:v>翠野边城</x:v>
      </x:c>
      <x:c r="D22" s="119" t="n">
        <x:f>MIN('难度参数'!$E$8,MAX('难度参数'!$E$7,A22))</x:f>
        <x:v>7</x:v>
      </x:c>
      <x:c r="E22" s="106" t="n">
        <x:v>1</x:v>
      </x:c>
      <x:c r="F22" s="106" t="n">
        <x:v>0</x:v>
      </x:c>
      <x:c r="G22" s="106" t="n">
        <x:v>1</x:v>
      </x:c>
      <x:c r="H22" s="119" t="n">
        <x:f>SUM(X22,AB22,AF22,AJ22,AN22,AR22,AV22)</x:f>
        <x:v>87</x:v>
      </x:c>
      <x:c r="I22" s="119" t="n">
        <x:f>SUM(Z22,AD22,AH22,AL22,AP22,AT22,AX22)</x:f>
        <x:v>79024</x:v>
      </x:c>
      <x:c r="J22" s="119" t="n">
        <x:f>ROUND(INDEX(X22:AY22,1,(D22-1)*4+2)*'难度参数'!$E$28*'章节与怪物'!$E$17,0)</x:f>
        <x:v>6650</x:v>
      </x:c>
      <x:c r="K22" s="119" t="n">
        <x:f>SUM(AA22,AE22,AI22,AM22,AQ22,AU22,AY22)</x:f>
        <x:v>2318</x:v>
      </x:c>
      <x:c r="L22" s="62" t="n">
        <x:f>H22*(ROUNDUP('难度参数'!$E$24/('难度参数'!$E$26*'难度参数'!$E$27),0)*'难度参数'!$E$26)/60</x:f>
        <x:v>1.1600000000000001</x:v>
      </x:c>
      <x:c r="M22" s="62" t="n">
        <x:f>L22+D22*('难度参数'!$E$49+'难度参数'!$E$50)/60</x:f>
        <x:v>2.326666666666667</x:v>
      </x:c>
      <x:c r="N22" s="119" t="n">
        <x:f>ROUNDDOWN(('经济参数'!$E$20+A22*'经济参数'!$E$21)*G22,0)</x:f>
        <x:v>500</x:v>
      </x:c>
      <x:c r="O22" s="119" t="n">
        <x:f>ROUNDDOWN(MIN('经济参数'!$E$24,'经济参数'!$E$22+A22*'经济参数'!$E$23)*G22,0)</x:f>
        <x:v>0</x:v>
      </x:c>
      <x:c r="P22" s="119" t="n">
        <x:f>ROUNDDOWN((IF(A22&gt;='材料与任务'!$E$31,'材料与任务'!$E$32,IF(A22&gt;='材料与任务'!$E$25,'材料与任务'!$E$26,IF(A22&gt;='材料与任务'!$E$19,'材料与任务'!$E$20,IF(A22&gt;='材料与任务'!$E$13,'材料与任务'!$E$14,'材料与任务'!$E$8)))))*G22,0)</x:f>
        <x:v>3</x:v>
      </x:c>
      <x:c r="Q22" s="119" t="n">
        <x:f>ROUNDDOWN((IF(A22&gt;='材料与任务'!$E$31,'材料与任务'!$E$33,IF(A22&gt;='材料与任务'!$E$25,'材料与任务'!$E$27,IF(A22&gt;='材料与任务'!$E$19,'材料与任务'!$E$21,IF(A22&gt;='材料与任务'!$E$13,'材料与任务'!$E$15,'材料与任务'!$E$9)))))*G22,0)</x:f>
        <x:v>1</x:v>
      </x:c>
      <x:c r="R22" s="110" t="n">
        <x:f>'装备掉落'!$B$38</x:f>
        <x:v>0.6872058758851213</x:v>
      </x:c>
      <x:c r="S22" s="119" t="n">
        <x:f>MAX(IF(VLOOKUP(A22,'装备掉落'!$A$29:$H$34,2,TRUE)&gt;0,1,0),IF(VLOOKUP(A22,'装备掉落'!$A$29:$H$34,3,TRUE)&gt;0,2,0),IF(VLOOKUP(A22,'装备掉落'!$A$29:$H$34,4,TRUE)&gt;0,3,0),IF(VLOOKUP(A22,'装备掉落'!$A$29:$H$34,5,TRUE)&gt;0,4,0),IF(VLOOKUP(A22,'装备掉落'!$A$29:$H$34,6,TRUE)&gt;0,5,0),IF(VLOOKUP(A22,'装备掉落'!$A$29:$H$34,7,TRUE)&gt;0,6,0),IF(VLOOKUP(A22,'装备掉落'!$A$29:$H$34,8,TRUE)&gt;0,7,0))</x:f>
        <x:v>3</x:v>
      </x:c>
      <x:c r="T22" s="119" t="n">
        <x:f>MIN(7,S22+'经济参数'!$E$70)</x:f>
        <x:v>3</x:v>
      </x:c>
      <x:c r="U22" s="119" t="n">
        <x:f>MIN(7,S22+'经济参数'!$E$71)</x:f>
        <x:v>4</x:v>
      </x:c>
      <x:c r="V22" s="119" t="n">
        <x:f>IF(H22&gt;=('难度参数'!$E$52),1,0)+IF(H22&gt;=('难度参数'!$E$52+'难度参数'!$E$53),1,0)+IF(H22&gt;=('难度参数'!$E$52+'难度参数'!$E$53+'难度参数'!$E$54),1,0)+IF(H22&gt;=('难度参数'!$E$52+'难度参数'!$E$53+'难度参数'!$E$54+'难度参数'!$E$55),1,0)+IF(H22&gt;=('难度参数'!$E$52+'难度参数'!$E$53+'难度参数'!$E$54+'难度参数'!$E$55+'难度参数'!$E$56),1,0)+IF(H22&gt;=('难度参数'!$E$52+'难度参数'!$E$53+'难度参数'!$E$54+'难度参数'!$E$55+'难度参数'!$E$56+'难度参数'!$E$57),1,0)</x:f>
        <x:v>5</x:v>
      </x:c>
      <x:c r="W22" s="62" t="str">
        <x:f>IF(L22&gt;'难度参数'!$E$51,"仅出怪已超目标","还需实测")</x:f>
        <x:v>还需实测</x:v>
      </x:c>
      <x:c r="X22" s="119" t="n">
        <x:f>IF(1&gt;D22,0,MAX(2,MIN('难度参数'!$E$12,ROUND(('难度参数'!$E$18*POWER(A22,'难度参数'!$E$19)/D22*(0.85+0.3*(1-1)/MAX(1,D22-1))),0)+F22)))</x:f>
        <x:v>11</x:v>
      </x:c>
      <x:c r="Y22" s="119" t="n">
        <x:f>IF(1&gt;D22,0,ROUND(('难度参数'!$E$13*POWER(A22,'难度参数'!$E$20)*MIN('难度参数'!$E$23,1+MAX(0,A22-'难度参数'!$E$21)*'难度参数'!$E$22))*(36+1*7)/(36+7*(D22+1)/2)*E22,0))</x:f>
        <x:v>495</x:v>
      </x:c>
      <x:c r="Z22" s="119" t="n">
        <x:f>IF(X22=0,0,(X22-IF(1=D22,1,0))*ROUND(Y22*VLOOKUP(INDEX('章节与怪物'!$E$31:$K$37,B22,1),'章节与怪物'!$A$41:$F$44,2,FALSE),0)+IF(1=D22,ROUND(Y22*'难度参数'!$E$28*'章节与怪物'!$E$17,0),0))</x:f>
        <x:v>3916</x:v>
      </x:c>
      <x:c r="AA22" s="119" t="n">
        <x:f>IF(X22=0,0,(X22-IF(1=D22,1,0))*VLOOKUP(INDEX('章节与怪物'!$E$31:$K$37,B22,1),'章节与怪物'!$A$41:$F$44,4,FALSE)+IF(1=D22,'难度参数'!$E$30,0))</x:f>
        <x:v>220</x:v>
      </x:c>
      <x:c r="AB22" s="119" t="n">
        <x:f>IF(2&gt;D22,0,MAX(2,MIN('难度参数'!$E$12,ROUND(('难度参数'!$E$18*POWER(A22,'难度参数'!$E$19)/D22*(0.85+0.3*(2-1)/MAX(1,D22-1))),0)+F22)))</x:f>
        <x:v>11</x:v>
      </x:c>
      <x:c r="AC22" s="119" t="n">
        <x:f>IF(2&gt;D22,0,ROUND(('难度参数'!$E$13*POWER(A22,'难度参数'!$E$20)*MIN('难度参数'!$E$23,1+MAX(0,A22-'难度参数'!$E$21)*'难度参数'!$E$22))*(36+2*7)/(36+7*(D22+1)/2)*E22,0))</x:f>
        <x:v>575</x:v>
      </x:c>
      <x:c r="AD22" s="119" t="n">
        <x:f>IF(AB22=0,0,(AB22-IF(2=D22,1,0))*ROUND(AC22*VLOOKUP(INDEX('章节与怪物'!$E$31:$K$37,B22,2),'章节与怪物'!$A$41:$F$44,2,FALSE),0)+IF(2=D22,ROUND(AC22*'难度参数'!$E$28*'章节与怪物'!$E$17,0),0))</x:f>
        <x:v>6325</x:v>
      </x:c>
      <x:c r="AE22" s="119" t="n">
        <x:f>IF(AB22=0,0,(AB22-IF(2=D22,1,0))*VLOOKUP(INDEX('章节与怪物'!$E$31:$K$37,B22,2),'章节与怪物'!$A$41:$F$44,4,FALSE)+IF(2=D22,'难度参数'!$E$30,0))</x:f>
        <x:v>198</x:v>
      </x:c>
      <x:c r="AF22" s="119" t="n">
        <x:f>IF(3&gt;D22,0,MAX(2,MIN('难度参数'!$E$12,ROUND(('难度参数'!$E$18*POWER(A22,'难度参数'!$E$19)/D22*(0.85+0.3*(3-1)/MAX(1,D22-1))),0)+F22)))</x:f>
        <x:v>12</x:v>
      </x:c>
      <x:c r="AG22" s="119" t="n">
        <x:f>IF(3&gt;D22,0,ROUND(('难度参数'!$E$13*POWER(A22,'难度参数'!$E$20)*MIN('难度参数'!$E$23,1+MAX(0,A22-'难度参数'!$E$21)*'难度参数'!$E$22))*(36+3*7)/(36+7*(D22+1)/2)*E22,0))</x:f>
        <x:v>656</x:v>
      </x:c>
      <x:c r="AH22" s="119" t="n">
        <x:f>IF(AF22=0,0,(AF22-IF(3=D22,1,0))*ROUND(AG22*VLOOKUP(INDEX('章节与怪物'!$E$31:$K$37,B22,3),'章节与怪物'!$A$41:$F$44,2,FALSE),0)+IF(3=D22,ROUND(AG22*'难度参数'!$E$28*'章节与怪物'!$E$17,0),0))</x:f>
        <x:v>13380</x:v>
      </x:c>
      <x:c r="AI22" s="119" t="n">
        <x:f>IF(AF22=0,0,(AF22-IF(3=D22,1,0))*VLOOKUP(INDEX('章节与怪物'!$E$31:$K$37,B22,3),'章节与怪物'!$A$41:$F$44,4,FALSE)+IF(3=D22,'难度参数'!$E$30,0))</x:f>
        <x:v>336</x:v>
      </x:c>
      <x:c r="AJ22" s="119" t="n">
        <x:f>IF(4&gt;D22,0,MAX(2,MIN('难度参数'!$E$12,ROUND(('难度参数'!$E$18*POWER(A22,'难度参数'!$E$19)/D22*(0.85+0.3*(4-1)/MAX(1,D22-1))),0)+F22)))</x:f>
        <x:v>12</x:v>
      </x:c>
      <x:c r="AK22" s="119" t="n">
        <x:f>IF(4&gt;D22,0,ROUND(('难度参数'!$E$13*POWER(A22,'难度参数'!$E$20)*MIN('难度参数'!$E$23,1+MAX(0,A22-'难度参数'!$E$21)*'难度参数'!$E$22))*(36+4*7)/(36+7*(D22+1)/2)*E22,0))</x:f>
        <x:v>736</x:v>
      </x:c>
      <x:c r="AL22" s="119" t="n">
        <x:f>IF(AJ22=0,0,(AJ22-IF(4=D22,1,0))*ROUND(AK22*VLOOKUP(INDEX('章节与怪物'!$E$31:$K$37,B22,4),'章节与怪物'!$A$41:$F$44,2,FALSE),0)+IF(4=D22,ROUND(AK22*'难度参数'!$E$28*'章节与怪物'!$E$17,0),0))</x:f>
        <x:v>11928</x:v>
      </x:c>
      <x:c r="AM22" s="119" t="n">
        <x:f>IF(AJ22=0,0,(AJ22-IF(4=D22,1,0))*VLOOKUP(INDEX('章节与怪物'!$E$31:$K$37,B22,4),'章节与怪物'!$A$41:$F$44,4,FALSE)+IF(4=D22,'难度参数'!$E$30,0))</x:f>
        <x:v>408</x:v>
      </x:c>
      <x:c r="AN22" s="119" t="n">
        <x:f>IF(5&gt;D22,0,MAX(2,MIN('难度参数'!$E$12,ROUND(('难度参数'!$E$18*POWER(A22,'难度参数'!$E$19)/D22*(0.85+0.3*(5-1)/MAX(1,D22-1))),0)+F22)))</x:f>
        <x:v>13</x:v>
      </x:c>
      <x:c r="AO22" s="119" t="n">
        <x:f>IF(5&gt;D22,0,ROUND(('难度参数'!$E$13*POWER(A22,'难度参数'!$E$20)*MIN('难度参数'!$E$23,1+MAX(0,A22-'难度参数'!$E$21)*'难度参数'!$E$22))*(36+5*7)/(36+7*(D22+1)/2)*E22,0))</x:f>
        <x:v>817</x:v>
      </x:c>
      <x:c r="AP22" s="119" t="n">
        <x:f>IF(AN22=0,0,(AN22-IF(5=D22,1,0))*ROUND(AO22*VLOOKUP(INDEX('章节与怪物'!$E$31:$K$37,B22,5),'章节与怪物'!$A$41:$F$44,2,FALSE),0)+IF(5=D22,ROUND(AO22*'难度参数'!$E$28*'章节与怪物'!$E$17,0),0))</x:f>
        <x:v>10621</x:v>
      </x:c>
      <x:c r="AQ22" s="119" t="n">
        <x:f>IF(AN22=0,0,(AN22-IF(5=D22,1,0))*VLOOKUP(INDEX('章节与怪物'!$E$31:$K$37,B22,5),'章节与怪物'!$A$41:$F$44,4,FALSE)+IF(5=D22,'难度参数'!$E$30,0))</x:f>
        <x:v>234</x:v>
      </x:c>
      <x:c r="AR22" s="119" t="n">
        <x:f>IF(6&gt;D22,0,MAX(2,MIN('难度参数'!$E$12,ROUND(('难度参数'!$E$18*POWER(A22,'难度参数'!$E$19)/D22*(0.85+0.3*(6-1)/MAX(1,D22-1))),0)+F22)))</x:f>
        <x:v>14</x:v>
      </x:c>
      <x:c r="AS22" s="119" t="n">
        <x:f>IF(6&gt;D22,0,ROUND(('难度参数'!$E$13*POWER(A22,'难度参数'!$E$20)*MIN('难度参数'!$E$23,1+MAX(0,A22-'难度参数'!$E$21)*'难度参数'!$E$22))*(36+6*7)/(36+7*(D22+1)/2)*E22,0))</x:f>
        <x:v>897</x:v>
      </x:c>
      <x:c r="AT22" s="119" t="n">
        <x:f>IF(AR22=0,0,(AR22-IF(6=D22,1,0))*ROUND(AS22*VLOOKUP(INDEX('章节与怪物'!$E$31:$K$37,B22,6),'章节与怪物'!$A$41:$F$44,2,FALSE),0)+IF(6=D22,ROUND(AS22*'难度参数'!$E$28*'章节与怪物'!$E$17,0),0))</x:f>
        <x:v>9044</x:v>
      </x:c>
      <x:c r="AU22" s="119" t="n">
        <x:f>IF(AR22=0,0,(AR22-IF(6=D22,1,0))*VLOOKUP(INDEX('章节与怪物'!$E$31:$K$37,B22,6),'章节与怪物'!$A$41:$F$44,4,FALSE)+IF(6=D22,'难度参数'!$E$30,0))</x:f>
        <x:v>280</x:v>
      </x:c>
      <x:c r="AV22" s="119" t="n">
        <x:f>IF(7&gt;D22,0,MAX(2,MIN('难度参数'!$E$12,ROUND(('难度参数'!$E$18*POWER(A22,'难度参数'!$E$19)/D22*(0.85+0.3*(7-1)/MAX(1,D22-1))),0)+F22)))</x:f>
        <x:v>14</x:v>
      </x:c>
      <x:c r="AW22" s="119" t="n">
        <x:f>IF(7&gt;D22,0,ROUND(('难度参数'!$E$13*POWER(A22,'难度参数'!$E$20)*MIN('难度参数'!$E$23,1+MAX(0,A22-'难度参数'!$E$21)*'难度参数'!$E$22))*(36+7*7)/(36+7*(D22+1)/2)*E22,0))</x:f>
        <x:v>978</x:v>
      </x:c>
      <x:c r="AX22" s="119" t="n">
        <x:f>IF(AV22=0,0,(AV22-IF(7=D22,1,0))*ROUND(AW22*VLOOKUP(INDEX('章节与怪物'!$E$31:$K$37,B22,7),'章节与怪物'!$A$41:$F$44,2,FALSE),0)+IF(7=D22,ROUND(AW22*'难度参数'!$E$28*'章节与怪物'!$E$17,0),0))</x:f>
        <x:v>23810</x:v>
      </x:c>
      <x:c r="AY22" s="119" t="n">
        <x:f>IF(AV22=0,0,(AV22-IF(7=D22,1,0))*VLOOKUP(INDEX('章节与怪物'!$E$31:$K$37,B22,7),'章节与怪物'!$A$41:$F$44,4,FALSE)+IF(7=D22,'难度参数'!$E$30,0))</x:f>
        <x:v>642</x:v>
      </x:c>
    </x:row>
    <x:row r="23" ht="23" customHeight="1">
      <x:c r="A23" s="119" t="n">
        <x:v>17</x:v>
      </x:c>
      <x:c r="B23" s="119" t="n">
        <x:f>MOD(INT((A23-1)/5),7)+1</x:f>
        <x:v>4</x:v>
      </x:c>
      <x:c r="C23" s="62" t="str">
        <x:f>INDEX('章节与怪物'!$B$31:$B$37,B23)</x:f>
        <x:v>翠野边城</x:v>
      </x:c>
      <x:c r="D23" s="119" t="n">
        <x:f>MIN('难度参数'!$E$8,MAX('难度参数'!$E$7,A23))</x:f>
        <x:v>7</x:v>
      </x:c>
      <x:c r="E23" s="106" t="n">
        <x:v>1</x:v>
      </x:c>
      <x:c r="F23" s="106" t="n">
        <x:v>0</x:v>
      </x:c>
      <x:c r="G23" s="106" t="n">
        <x:v>1</x:v>
      </x:c>
      <x:c r="H23" s="119" t="n">
        <x:f>SUM(X23,AB23,AF23,AJ23,AN23,AR23,AV23)</x:f>
        <x:v>89</x:v>
      </x:c>
      <x:c r="I23" s="119" t="n">
        <x:f>SUM(Z23,AD23,AH23,AL23,AP23,AT23,AX23)</x:f>
        <x:v>84951</x:v>
      </x:c>
      <x:c r="J23" s="119" t="n">
        <x:f>ROUND(INDEX(X23:AY23,1,(D23-1)*4+2)*'难度参数'!$E$28*'章节与怪物'!$E$17,0)</x:f>
        <x:v>6943</x:v>
      </x:c>
      <x:c r="K23" s="119" t="n">
        <x:f>SUM(AA23,AE23,AI23,AM23,AQ23,AU23,AY23)</x:f>
        <x:v>2386</x:v>
      </x:c>
      <x:c r="L23" s="62" t="n">
        <x:f>H23*(ROUNDUP('难度参数'!$E$24/('难度参数'!$E$26*'难度参数'!$E$27),0)*'难度参数'!$E$26)/60</x:f>
        <x:v>1.1866666666666668</x:v>
      </x:c>
      <x:c r="M23" s="62" t="n">
        <x:f>L23+D23*('难度参数'!$E$49+'难度参数'!$E$50)/60</x:f>
        <x:v>2.3533333333333335</x:v>
      </x:c>
      <x:c r="N23" s="119" t="n">
        <x:f>ROUNDDOWN(('经济参数'!$E$20+A23*'经济参数'!$E$21)*G23,0)</x:f>
        <x:v>520</x:v>
      </x:c>
      <x:c r="O23" s="119" t="n">
        <x:f>ROUNDDOWN(MIN('经济参数'!$E$24,'经济参数'!$E$22+A23*'经济参数'!$E$23)*G23,0)</x:f>
        <x:v>0</x:v>
      </x:c>
      <x:c r="P23" s="119" t="n">
        <x:f>ROUNDDOWN((IF(A23&gt;='材料与任务'!$E$31,'材料与任务'!$E$32,IF(A23&gt;='材料与任务'!$E$25,'材料与任务'!$E$26,IF(A23&gt;='材料与任务'!$E$19,'材料与任务'!$E$20,IF(A23&gt;='材料与任务'!$E$13,'材料与任务'!$E$14,'材料与任务'!$E$8)))))*G23,0)</x:f>
        <x:v>3</x:v>
      </x:c>
      <x:c r="Q23" s="119" t="n">
        <x:f>ROUNDDOWN((IF(A23&gt;='材料与任务'!$E$31,'材料与任务'!$E$33,IF(A23&gt;='材料与任务'!$E$25,'材料与任务'!$E$27,IF(A23&gt;='材料与任务'!$E$19,'材料与任务'!$E$21,IF(A23&gt;='材料与任务'!$E$13,'材料与任务'!$E$15,'材料与任务'!$E$9)))))*G23,0)</x:f>
        <x:v>1</x:v>
      </x:c>
      <x:c r="R23" s="110" t="n">
        <x:f>'装备掉落'!$B$38</x:f>
        <x:v>0.6872058758851213</x:v>
      </x:c>
      <x:c r="S23" s="119" t="n">
        <x:f>MAX(IF(VLOOKUP(A23,'装备掉落'!$A$29:$H$34,2,TRUE)&gt;0,1,0),IF(VLOOKUP(A23,'装备掉落'!$A$29:$H$34,3,TRUE)&gt;0,2,0),IF(VLOOKUP(A23,'装备掉落'!$A$29:$H$34,4,TRUE)&gt;0,3,0),IF(VLOOKUP(A23,'装备掉落'!$A$29:$H$34,5,TRUE)&gt;0,4,0),IF(VLOOKUP(A23,'装备掉落'!$A$29:$H$34,6,TRUE)&gt;0,5,0),IF(VLOOKUP(A23,'装备掉落'!$A$29:$H$34,7,TRUE)&gt;0,6,0),IF(VLOOKUP(A23,'装备掉落'!$A$29:$H$34,8,TRUE)&gt;0,7,0))</x:f>
        <x:v>3</x:v>
      </x:c>
      <x:c r="T23" s="119" t="n">
        <x:f>MIN(7,S23+'经济参数'!$E$70)</x:f>
        <x:v>3</x:v>
      </x:c>
      <x:c r="U23" s="119" t="n">
        <x:f>MIN(7,S23+'经济参数'!$E$71)</x:f>
        <x:v>4</x:v>
      </x:c>
      <x:c r="V23" s="119" t="n">
        <x:f>IF(H23&gt;=('难度参数'!$E$52),1,0)+IF(H23&gt;=('难度参数'!$E$52+'难度参数'!$E$53),1,0)+IF(H23&gt;=('难度参数'!$E$52+'难度参数'!$E$53+'难度参数'!$E$54),1,0)+IF(H23&gt;=('难度参数'!$E$52+'难度参数'!$E$53+'难度参数'!$E$54+'难度参数'!$E$55),1,0)+IF(H23&gt;=('难度参数'!$E$52+'难度参数'!$E$53+'难度参数'!$E$54+'难度参数'!$E$55+'难度参数'!$E$56),1,0)+IF(H23&gt;=('难度参数'!$E$52+'难度参数'!$E$53+'难度参数'!$E$54+'难度参数'!$E$55+'难度参数'!$E$56+'难度参数'!$E$57),1,0)</x:f>
        <x:v>5</x:v>
      </x:c>
      <x:c r="W23" s="62" t="str">
        <x:f>IF(L23&gt;'难度参数'!$E$51,"仅出怪已超目标","还需实测")</x:f>
        <x:v>还需实测</x:v>
      </x:c>
      <x:c r="X23" s="119" t="n">
        <x:f>IF(1&gt;D23,0,MAX(2,MIN('难度参数'!$E$12,ROUND(('难度参数'!$E$18*POWER(A23,'难度参数'!$E$19)/D23*(0.85+0.3*(1-1)/MAX(1,D23-1))),0)+F23)))</x:f>
        <x:v>11</x:v>
      </x:c>
      <x:c r="Y23" s="119" t="n">
        <x:f>IF(1&gt;D23,0,ROUND(('难度参数'!$E$13*POWER(A23,'难度参数'!$E$20)*MIN('难度参数'!$E$23,1+MAX(0,A23-'难度参数'!$E$21)*'难度参数'!$E$22))*(36+1*7)/(36+7*(D23+1)/2)*E23,0))</x:f>
        <x:v>517</x:v>
      </x:c>
      <x:c r="Z23" s="119" t="n">
        <x:f>IF(X23=0,0,(X23-IF(1=D23,1,0))*ROUND(Y23*VLOOKUP(INDEX('章节与怪物'!$E$31:$K$37,B23,1),'章节与怪物'!$A$41:$F$44,2,FALSE),0)+IF(1=D23,ROUND(Y23*'难度参数'!$E$28*'章节与怪物'!$E$17,0),0))</x:f>
        <x:v>4092</x:v>
      </x:c>
      <x:c r="AA23" s="119" t="n">
        <x:f>IF(X23=0,0,(X23-IF(1=D23,1,0))*VLOOKUP(INDEX('章节与怪物'!$E$31:$K$37,B23,1),'章节与怪物'!$A$41:$F$44,4,FALSE)+IF(1=D23,'难度参数'!$E$30,0))</x:f>
        <x:v>220</x:v>
      </x:c>
      <x:c r="AB23" s="119" t="n">
        <x:f>IF(2&gt;D23,0,MAX(2,MIN('难度参数'!$E$12,ROUND(('难度参数'!$E$18*POWER(A23,'难度参数'!$E$19)/D23*(0.85+0.3*(2-1)/MAX(1,D23-1))),0)+F23)))</x:f>
        <x:v>11</x:v>
      </x:c>
      <x:c r="AC23" s="119" t="n">
        <x:f>IF(2&gt;D23,0,ROUND(('难度参数'!$E$13*POWER(A23,'难度参数'!$E$20)*MIN('难度参数'!$E$23,1+MAX(0,A23-'难度参数'!$E$21)*'难度参数'!$E$22))*(36+2*7)/(36+7*(D23+1)/2)*E23,0))</x:f>
        <x:v>601</x:v>
      </x:c>
      <x:c r="AD23" s="119" t="n">
        <x:f>IF(AB23=0,0,(AB23-IF(2=D23,1,0))*ROUND(AC23*VLOOKUP(INDEX('章节与怪物'!$E$31:$K$37,B23,2),'章节与怪物'!$A$41:$F$44,2,FALSE),0)+IF(2=D23,ROUND(AC23*'难度参数'!$E$28*'章节与怪物'!$E$17,0),0))</x:f>
        <x:v>6611</x:v>
      </x:c>
      <x:c r="AE23" s="119" t="n">
        <x:f>IF(AB23=0,0,(AB23-IF(2=D23,1,0))*VLOOKUP(INDEX('章节与怪物'!$E$31:$K$37,B23,2),'章节与怪物'!$A$41:$F$44,4,FALSE)+IF(2=D23,'难度参数'!$E$30,0))</x:f>
        <x:v>198</x:v>
      </x:c>
      <x:c r="AF23" s="119" t="n">
        <x:f>IF(3&gt;D23,0,MAX(2,MIN('难度参数'!$E$12,ROUND(('难度参数'!$E$18*POWER(A23,'难度参数'!$E$19)/D23*(0.85+0.3*(3-1)/MAX(1,D23-1))),0)+F23)))</x:f>
        <x:v>12</x:v>
      </x:c>
      <x:c r="AG23" s="119" t="n">
        <x:f>IF(3&gt;D23,0,ROUND(('难度参数'!$E$13*POWER(A23,'难度参数'!$E$20)*MIN('难度参数'!$E$23,1+MAX(0,A23-'难度参数'!$E$21)*'难度参数'!$E$22))*(36+3*7)/(36+7*(D23+1)/2)*E23,0))</x:f>
        <x:v>685</x:v>
      </x:c>
      <x:c r="AH23" s="119" t="n">
        <x:f>IF(AF23=0,0,(AF23-IF(3=D23,1,0))*ROUND(AG23*VLOOKUP(INDEX('章节与怪物'!$E$31:$K$37,B23,3),'章节与怪物'!$A$41:$F$44,2,FALSE),0)+IF(3=D23,ROUND(AG23*'难度参数'!$E$28*'章节与怪物'!$E$17,0),0))</x:f>
        <x:v>13980</x:v>
      </x:c>
      <x:c r="AI23" s="119" t="n">
        <x:f>IF(AF23=0,0,(AF23-IF(3=D23,1,0))*VLOOKUP(INDEX('章节与怪物'!$E$31:$K$37,B23,3),'章节与怪物'!$A$41:$F$44,4,FALSE)+IF(3=D23,'难度参数'!$E$30,0))</x:f>
        <x:v>336</x:v>
      </x:c>
      <x:c r="AJ23" s="119" t="n">
        <x:f>IF(4&gt;D23,0,MAX(2,MIN('难度参数'!$E$12,ROUND(('难度参数'!$E$18*POWER(A23,'难度参数'!$E$19)/D23*(0.85+0.3*(4-1)/MAX(1,D23-1))),0)+F23)))</x:f>
        <x:v>13</x:v>
      </x:c>
      <x:c r="AK23" s="119" t="n">
        <x:f>IF(4&gt;D23,0,ROUND(('难度参数'!$E$13*POWER(A23,'难度参数'!$E$20)*MIN('难度参数'!$E$23,1+MAX(0,A23-'难度参数'!$E$21)*'难度参数'!$E$22))*(36+4*7)/(36+7*(D23+1)/2)*E23,0))</x:f>
        <x:v>769</x:v>
      </x:c>
      <x:c r="AL23" s="119" t="n">
        <x:f>IF(AJ23=0,0,(AJ23-IF(4=D23,1,0))*ROUND(AK23*VLOOKUP(INDEX('章节与怪物'!$E$31:$K$37,B23,4),'章节与怪物'!$A$41:$F$44,2,FALSE),0)+IF(4=D23,ROUND(AK23*'难度参数'!$E$28*'章节与怪物'!$E$17,0),0))</x:f>
        <x:v>13494</x:v>
      </x:c>
      <x:c r="AM23" s="119" t="n">
        <x:f>IF(AJ23=0,0,(AJ23-IF(4=D23,1,0))*VLOOKUP(INDEX('章节与怪物'!$E$31:$K$37,B23,4),'章节与怪物'!$A$41:$F$44,4,FALSE)+IF(4=D23,'难度参数'!$E$30,0))</x:f>
        <x:v>442</x:v>
      </x:c>
      <x:c r="AN23" s="119" t="n">
        <x:f>IF(5&gt;D23,0,MAX(2,MIN('难度参数'!$E$12,ROUND(('难度参数'!$E$18*POWER(A23,'难度参数'!$E$19)/D23*(0.85+0.3*(5-1)/MAX(1,D23-1))),0)+F23)))</x:f>
        <x:v>13</x:v>
      </x:c>
      <x:c r="AO23" s="119" t="n">
        <x:f>IF(5&gt;D23,0,ROUND(('难度参数'!$E$13*POWER(A23,'难度参数'!$E$20)*MIN('难度参数'!$E$23,1+MAX(0,A23-'难度参数'!$E$21)*'难度参数'!$E$22))*(36+5*7)/(36+7*(D23+1)/2)*E23,0))</x:f>
        <x:v>853</x:v>
      </x:c>
      <x:c r="AP23" s="119" t="n">
        <x:f>IF(AN23=0,0,(AN23-IF(5=D23,1,0))*ROUND(AO23*VLOOKUP(INDEX('章节与怪物'!$E$31:$K$37,B23,5),'章节与怪物'!$A$41:$F$44,2,FALSE),0)+IF(5=D23,ROUND(AO23*'难度参数'!$E$28*'章节与怪物'!$E$17,0),0))</x:f>
        <x:v>11089</x:v>
      </x:c>
      <x:c r="AQ23" s="119" t="n">
        <x:f>IF(AN23=0,0,(AN23-IF(5=D23,1,0))*VLOOKUP(INDEX('章节与怪物'!$E$31:$K$37,B23,5),'章节与怪物'!$A$41:$F$44,4,FALSE)+IF(5=D23,'难度参数'!$E$30,0))</x:f>
        <x:v>234</x:v>
      </x:c>
      <x:c r="AR23" s="119" t="n">
        <x:f>IF(6&gt;D23,0,MAX(2,MIN('难度参数'!$E$12,ROUND(('难度参数'!$E$18*POWER(A23,'难度参数'!$E$19)/D23*(0.85+0.3*(6-1)/MAX(1,D23-1))),0)+F23)))</x:f>
        <x:v>14</x:v>
      </x:c>
      <x:c r="AS23" s="119" t="n">
        <x:f>IF(6&gt;D23,0,ROUND(('难度参数'!$E$13*POWER(A23,'难度参数'!$E$20)*MIN('难度参数'!$E$23,1+MAX(0,A23-'难度参数'!$E$21)*'难度参数'!$E$22))*(36+6*7)/(36+7*(D23+1)/2)*E23,0))</x:f>
        <x:v>937</x:v>
      </x:c>
      <x:c r="AT23" s="119" t="n">
        <x:f>IF(AR23=0,0,(AR23-IF(6=D23,1,0))*ROUND(AS23*VLOOKUP(INDEX('章节与怪物'!$E$31:$K$37,B23,6),'章节与怪物'!$A$41:$F$44,2,FALSE),0)+IF(6=D23,ROUND(AS23*'难度参数'!$E$28*'章节与怪物'!$E$17,0),0))</x:f>
        <x:v>9450</x:v>
      </x:c>
      <x:c r="AU23" s="119" t="n">
        <x:f>IF(AR23=0,0,(AR23-IF(6=D23,1,0))*VLOOKUP(INDEX('章节与怪物'!$E$31:$K$37,B23,6),'章节与怪物'!$A$41:$F$44,4,FALSE)+IF(6=D23,'难度参数'!$E$30,0))</x:f>
        <x:v>280</x:v>
      </x:c>
      <x:c r="AV23" s="119" t="n">
        <x:f>IF(7&gt;D23,0,MAX(2,MIN('难度参数'!$E$12,ROUND(('难度参数'!$E$18*POWER(A23,'难度参数'!$E$19)/D23*(0.85+0.3*(7-1)/MAX(1,D23-1))),0)+F23)))</x:f>
        <x:v>15</x:v>
      </x:c>
      <x:c r="AW23" s="119" t="n">
        <x:f>IF(7&gt;D23,0,ROUND(('难度参数'!$E$13*POWER(A23,'难度参数'!$E$20)*MIN('难度参数'!$E$23,1+MAX(0,A23-'难度参数'!$E$21)*'难度参数'!$E$22))*(36+7*7)/(36+7*(D23+1)/2)*E23,0))</x:f>
        <x:v>1021</x:v>
      </x:c>
      <x:c r="AX23" s="119" t="n">
        <x:f>IF(AV23=0,0,(AV23-IF(7=D23,1,0))*ROUND(AW23*VLOOKUP(INDEX('章节与怪物'!$E$31:$K$37,B23,7),'章节与怪物'!$A$41:$F$44,2,FALSE),0)+IF(7=D23,ROUND(AW23*'难度参数'!$E$28*'章节与怪物'!$E$17,0),0))</x:f>
        <x:v>26235</x:v>
      </x:c>
      <x:c r="AY23" s="119" t="n">
        <x:f>IF(AV23=0,0,(AV23-IF(7=D23,1,0))*VLOOKUP(INDEX('章节与怪物'!$E$31:$K$37,B23,7),'章节与怪物'!$A$41:$F$44,4,FALSE)+IF(7=D23,'难度参数'!$E$30,0))</x:f>
        <x:v>676</x:v>
      </x:c>
    </x:row>
    <x:row r="24" ht="23" customHeight="1">
      <x:c r="A24" s="119" t="n">
        <x:v>18</x:v>
      </x:c>
      <x:c r="B24" s="119" t="n">
        <x:f>MOD(INT((A24-1)/5),7)+1</x:f>
        <x:v>4</x:v>
      </x:c>
      <x:c r="C24" s="62" t="str">
        <x:f>INDEX('章节与怪物'!$B$31:$B$37,B24)</x:f>
        <x:v>翠野边城</x:v>
      </x:c>
      <x:c r="D24" s="119" t="n">
        <x:f>MIN('难度参数'!$E$8,MAX('难度参数'!$E$7,A24))</x:f>
        <x:v>7</x:v>
      </x:c>
      <x:c r="E24" s="106" t="n">
        <x:v>1</x:v>
      </x:c>
      <x:c r="F24" s="106" t="n">
        <x:v>0</x:v>
      </x:c>
      <x:c r="G24" s="106" t="n">
        <x:v>1</x:v>
      </x:c>
      <x:c r="H24" s="119" t="n">
        <x:f>SUM(X24,AB24,AF24,AJ24,AN24,AR24,AV24)</x:f>
        <x:v>91</x:v>
      </x:c>
      <x:c r="I24" s="119" t="n">
        <x:f>SUM(Z24,AD24,AH24,AL24,AP24,AT24,AX24)</x:f>
        <x:v>90017</x:v>
      </x:c>
      <x:c r="J24" s="119" t="n">
        <x:f>ROUND(INDEX(X24:AY24,1,(D24-1)*4+2)*'难度参数'!$E$28*'章节与怪物'!$E$17,0)</x:f>
        <x:v>7235</x:v>
      </x:c>
      <x:c r="K24" s="119" t="n">
        <x:f>SUM(AA24,AE24,AI24,AM24,AQ24,AU24,AY24)</x:f>
        <x:v>2422</x:v>
      </x:c>
      <x:c r="L24" s="62" t="n">
        <x:f>H24*(ROUNDUP('难度参数'!$E$24/('难度参数'!$E$26*'难度参数'!$E$27),0)*'难度参数'!$E$26)/60</x:f>
        <x:v>1.2133333333333334</x:v>
      </x:c>
      <x:c r="M24" s="62" t="n">
        <x:f>L24+D24*('难度参数'!$E$49+'难度参数'!$E$50)/60</x:f>
        <x:v>2.38</x:v>
      </x:c>
      <x:c r="N24" s="119" t="n">
        <x:f>ROUNDDOWN(('经济参数'!$E$20+A24*'经济参数'!$E$21)*G24,0)</x:f>
        <x:v>540</x:v>
      </x:c>
      <x:c r="O24" s="119" t="n">
        <x:f>ROUNDDOWN(MIN('经济参数'!$E$24,'经济参数'!$E$22+A24*'经济参数'!$E$23)*G24,0)</x:f>
        <x:v>0</x:v>
      </x:c>
      <x:c r="P24" s="119" t="n">
        <x:f>ROUNDDOWN((IF(A24&gt;='材料与任务'!$E$31,'材料与任务'!$E$32,IF(A24&gt;='材料与任务'!$E$25,'材料与任务'!$E$26,IF(A24&gt;='材料与任务'!$E$19,'材料与任务'!$E$20,IF(A24&gt;='材料与任务'!$E$13,'材料与任务'!$E$14,'材料与任务'!$E$8)))))*G24,0)</x:f>
        <x:v>3</x:v>
      </x:c>
      <x:c r="Q24" s="119" t="n">
        <x:f>ROUNDDOWN((IF(A24&gt;='材料与任务'!$E$31,'材料与任务'!$E$33,IF(A24&gt;='材料与任务'!$E$25,'材料与任务'!$E$27,IF(A24&gt;='材料与任务'!$E$19,'材料与任务'!$E$21,IF(A24&gt;='材料与任务'!$E$13,'材料与任务'!$E$15,'材料与任务'!$E$9)))))*G24,0)</x:f>
        <x:v>1</x:v>
      </x:c>
      <x:c r="R24" s="110" t="n">
        <x:f>'装备掉落'!$B$38</x:f>
        <x:v>0.6872058758851213</x:v>
      </x:c>
      <x:c r="S24" s="119" t="n">
        <x:f>MAX(IF(VLOOKUP(A24,'装备掉落'!$A$29:$H$34,2,TRUE)&gt;0,1,0),IF(VLOOKUP(A24,'装备掉落'!$A$29:$H$34,3,TRUE)&gt;0,2,0),IF(VLOOKUP(A24,'装备掉落'!$A$29:$H$34,4,TRUE)&gt;0,3,0),IF(VLOOKUP(A24,'装备掉落'!$A$29:$H$34,5,TRUE)&gt;0,4,0),IF(VLOOKUP(A24,'装备掉落'!$A$29:$H$34,6,TRUE)&gt;0,5,0),IF(VLOOKUP(A24,'装备掉落'!$A$29:$H$34,7,TRUE)&gt;0,6,0),IF(VLOOKUP(A24,'装备掉落'!$A$29:$H$34,8,TRUE)&gt;0,7,0))</x:f>
        <x:v>3</x:v>
      </x:c>
      <x:c r="T24" s="119" t="n">
        <x:f>MIN(7,S24+'经济参数'!$E$70)</x:f>
        <x:v>3</x:v>
      </x:c>
      <x:c r="U24" s="119" t="n">
        <x:f>MIN(7,S24+'经济参数'!$E$71)</x:f>
        <x:v>4</x:v>
      </x:c>
      <x:c r="V24" s="119" t="n">
        <x:f>IF(H24&gt;=('难度参数'!$E$52),1,0)+IF(H24&gt;=('难度参数'!$E$52+'难度参数'!$E$53),1,0)+IF(H24&gt;=('难度参数'!$E$52+'难度参数'!$E$53+'难度参数'!$E$54),1,0)+IF(H24&gt;=('难度参数'!$E$52+'难度参数'!$E$53+'难度参数'!$E$54+'难度参数'!$E$55),1,0)+IF(H24&gt;=('难度参数'!$E$52+'难度参数'!$E$53+'难度参数'!$E$54+'难度参数'!$E$55+'难度参数'!$E$56),1,0)+IF(H24&gt;=('难度参数'!$E$52+'难度参数'!$E$53+'难度参数'!$E$54+'难度参数'!$E$55+'难度参数'!$E$56+'难度参数'!$E$57),1,0)</x:f>
        <x:v>5</x:v>
      </x:c>
      <x:c r="W24" s="62" t="str">
        <x:f>IF(L24&gt;'难度参数'!$E$51,"仅出怪已超目标","还需实测")</x:f>
        <x:v>还需实测</x:v>
      </x:c>
      <x:c r="X24" s="119" t="n">
        <x:f>IF(1&gt;D24,0,MAX(2,MIN('难度参数'!$E$12,ROUND(('难度参数'!$E$18*POWER(A24,'难度参数'!$E$19)/D24*(0.85+0.3*(1-1)/MAX(1,D24-1))),0)+F24)))</x:f>
        <x:v>11</x:v>
      </x:c>
      <x:c r="Y24" s="119" t="n">
        <x:f>IF(1&gt;D24,0,ROUND(('难度参数'!$E$13*POWER(A24,'难度参数'!$E$20)*MIN('难度参数'!$E$23,1+MAX(0,A24-'难度参数'!$E$21)*'难度参数'!$E$22))*(36+1*7)/(36+7*(D24+1)/2)*E24,0))</x:f>
        <x:v>538</x:v>
      </x:c>
      <x:c r="Z24" s="119" t="n">
        <x:f>IF(X24=0,0,(X24-IF(1=D24,1,0))*ROUND(Y24*VLOOKUP(INDEX('章节与怪物'!$E$31:$K$37,B24,1),'章节与怪物'!$A$41:$F$44,2,FALSE),0)+IF(1=D24,ROUND(Y24*'难度参数'!$E$28*'章节与怪物'!$E$17,0),0))</x:f>
        <x:v>4257</x:v>
      </x:c>
      <x:c r="AA24" s="119" t="n">
        <x:f>IF(X24=0,0,(X24-IF(1=D24,1,0))*VLOOKUP(INDEX('章节与怪物'!$E$31:$K$37,B24,1),'章节与怪物'!$A$41:$F$44,4,FALSE)+IF(1=D24,'难度参数'!$E$30,0))</x:f>
        <x:v>220</x:v>
      </x:c>
      <x:c r="AB24" s="119" t="n">
        <x:f>IF(2&gt;D24,0,MAX(2,MIN('难度参数'!$E$12,ROUND(('难度参数'!$E$18*POWER(A24,'难度参数'!$E$19)/D24*(0.85+0.3*(2-1)/MAX(1,D24-1))),0)+F24)))</x:f>
        <x:v>12</x:v>
      </x:c>
      <x:c r="AC24" s="119" t="n">
        <x:f>IF(2&gt;D24,0,ROUND(('难度参数'!$E$13*POWER(A24,'难度参数'!$E$20)*MIN('难度参数'!$E$23,1+MAX(0,A24-'难度参数'!$E$21)*'难度参数'!$E$22))*(36+2*7)/(36+7*(D24+1)/2)*E24,0))</x:f>
        <x:v>626</x:v>
      </x:c>
      <x:c r="AD24" s="119" t="n">
        <x:f>IF(AB24=0,0,(AB24-IF(2=D24,1,0))*ROUND(AC24*VLOOKUP(INDEX('章节与怪物'!$E$31:$K$37,B24,2),'章节与怪物'!$A$41:$F$44,2,FALSE),0)+IF(2=D24,ROUND(AC24*'难度参数'!$E$28*'章节与怪物'!$E$17,0),0))</x:f>
        <x:v>7512</x:v>
      </x:c>
      <x:c r="AE24" s="119" t="n">
        <x:f>IF(AB24=0,0,(AB24-IF(2=D24,1,0))*VLOOKUP(INDEX('章节与怪物'!$E$31:$K$37,B24,2),'章节与怪物'!$A$41:$F$44,4,FALSE)+IF(2=D24,'难度参数'!$E$30,0))</x:f>
        <x:v>216</x:v>
      </x:c>
      <x:c r="AF24" s="119" t="n">
        <x:f>IF(3&gt;D24,0,MAX(2,MIN('难度参数'!$E$12,ROUND(('难度参数'!$E$18*POWER(A24,'难度参数'!$E$19)/D24*(0.85+0.3*(3-1)/MAX(1,D24-1))),0)+F24)))</x:f>
        <x:v>12</x:v>
      </x:c>
      <x:c r="AG24" s="119" t="n">
        <x:f>IF(3&gt;D24,0,ROUND(('难度参数'!$E$13*POWER(A24,'难度参数'!$E$20)*MIN('难度参数'!$E$23,1+MAX(0,A24-'难度参数'!$E$21)*'难度参数'!$E$22))*(36+3*7)/(36+7*(D24+1)/2)*E24,0))</x:f>
        <x:v>714</x:v>
      </x:c>
      <x:c r="AH24" s="119" t="n">
        <x:f>IF(AF24=0,0,(AF24-IF(3=D24,1,0))*ROUND(AG24*VLOOKUP(INDEX('章节与怪物'!$E$31:$K$37,B24,3),'章节与怪物'!$A$41:$F$44,2,FALSE),0)+IF(3=D24,ROUND(AG24*'难度参数'!$E$28*'章节与怪物'!$E$17,0),0))</x:f>
        <x:v>14568</x:v>
      </x:c>
      <x:c r="AI24" s="119" t="n">
        <x:f>IF(AF24=0,0,(AF24-IF(3=D24,1,0))*VLOOKUP(INDEX('章节与怪物'!$E$31:$K$37,B24,3),'章节与怪物'!$A$41:$F$44,4,FALSE)+IF(3=D24,'难度参数'!$E$30,0))</x:f>
        <x:v>336</x:v>
      </x:c>
      <x:c r="AJ24" s="119" t="n">
        <x:f>IF(4&gt;D24,0,MAX(2,MIN('难度参数'!$E$12,ROUND(('难度参数'!$E$18*POWER(A24,'难度参数'!$E$19)/D24*(0.85+0.3*(4-1)/MAX(1,D24-1))),0)+F24)))</x:f>
        <x:v>13</x:v>
      </x:c>
      <x:c r="AK24" s="119" t="n">
        <x:f>IF(4&gt;D24,0,ROUND(('难度参数'!$E$13*POWER(A24,'难度参数'!$E$20)*MIN('难度参数'!$E$23,1+MAX(0,A24-'难度参数'!$E$21)*'难度参数'!$E$22))*(36+4*7)/(36+7*(D24+1)/2)*E24,0))</x:f>
        <x:v>801</x:v>
      </x:c>
      <x:c r="AL24" s="119" t="n">
        <x:f>IF(AJ24=0,0,(AJ24-IF(4=D24,1,0))*ROUND(AK24*VLOOKUP(INDEX('章节与怪物'!$E$31:$K$37,B24,4),'章节与怪物'!$A$41:$F$44,2,FALSE),0)+IF(4=D24,ROUND(AK24*'难度参数'!$E$28*'章节与怪物'!$E$17,0),0))</x:f>
        <x:v>14053</x:v>
      </x:c>
      <x:c r="AM24" s="119" t="n">
        <x:f>IF(AJ24=0,0,(AJ24-IF(4=D24,1,0))*VLOOKUP(INDEX('章节与怪物'!$E$31:$K$37,B24,4),'章节与怪物'!$A$41:$F$44,4,FALSE)+IF(4=D24,'难度参数'!$E$30,0))</x:f>
        <x:v>442</x:v>
      </x:c>
      <x:c r="AN24" s="119" t="n">
        <x:f>IF(5&gt;D24,0,MAX(2,MIN('难度参数'!$E$12,ROUND(('难度参数'!$E$18*POWER(A24,'难度参数'!$E$19)/D24*(0.85+0.3*(5-1)/MAX(1,D24-1))),0)+F24)))</x:f>
        <x:v>14</x:v>
      </x:c>
      <x:c r="AO24" s="119" t="n">
        <x:f>IF(5&gt;D24,0,ROUND(('难度参数'!$E$13*POWER(A24,'难度参数'!$E$20)*MIN('难度参数'!$E$23,1+MAX(0,A24-'难度参数'!$E$21)*'难度参数'!$E$22))*(36+5*7)/(36+7*(D24+1)/2)*E24,0))</x:f>
        <x:v>889</x:v>
      </x:c>
      <x:c r="AP24" s="119" t="n">
        <x:f>IF(AN24=0,0,(AN24-IF(5=D24,1,0))*ROUND(AO24*VLOOKUP(INDEX('章节与怪物'!$E$31:$K$37,B24,5),'章节与怪物'!$A$41:$F$44,2,FALSE),0)+IF(5=D24,ROUND(AO24*'难度参数'!$E$28*'章节与怪物'!$E$17,0),0))</x:f>
        <x:v>12446</x:v>
      </x:c>
      <x:c r="AQ24" s="119" t="n">
        <x:f>IF(AN24=0,0,(AN24-IF(5=D24,1,0))*VLOOKUP(INDEX('章节与怪物'!$E$31:$K$37,B24,5),'章节与怪物'!$A$41:$F$44,4,FALSE)+IF(5=D24,'难度参数'!$E$30,0))</x:f>
        <x:v>252</x:v>
      </x:c>
      <x:c r="AR24" s="119" t="n">
        <x:f>IF(6&gt;D24,0,MAX(2,MIN('难度参数'!$E$12,ROUND(('难度参数'!$E$18*POWER(A24,'难度参数'!$E$19)/D24*(0.85+0.3*(6-1)/MAX(1,D24-1))),0)+F24)))</x:f>
        <x:v>14</x:v>
      </x:c>
      <x:c r="AS24" s="119" t="n">
        <x:f>IF(6&gt;D24,0,ROUND(('难度参数'!$E$13*POWER(A24,'难度参数'!$E$20)*MIN('难度参数'!$E$23,1+MAX(0,A24-'难度参数'!$E$21)*'难度参数'!$E$22))*(36+6*7)/(36+7*(D24+1)/2)*E24,0))</x:f>
        <x:v>977</x:v>
      </x:c>
      <x:c r="AT24" s="119" t="n">
        <x:f>IF(AR24=0,0,(AR24-IF(6=D24,1,0))*ROUND(AS24*VLOOKUP(INDEX('章节与怪物'!$E$31:$K$37,B24,6),'章节与怪物'!$A$41:$F$44,2,FALSE),0)+IF(6=D24,ROUND(AS24*'难度参数'!$E$28*'章节与怪物'!$E$17,0),0))</x:f>
        <x:v>9842</x:v>
      </x:c>
      <x:c r="AU24" s="119" t="n">
        <x:f>IF(AR24=0,0,(AR24-IF(6=D24,1,0))*VLOOKUP(INDEX('章节与怪物'!$E$31:$K$37,B24,6),'章节与怪物'!$A$41:$F$44,4,FALSE)+IF(6=D24,'难度参数'!$E$30,0))</x:f>
        <x:v>280</x:v>
      </x:c>
      <x:c r="AV24" s="119" t="n">
        <x:f>IF(7&gt;D24,0,MAX(2,MIN('难度参数'!$E$12,ROUND(('难度参数'!$E$18*POWER(A24,'难度参数'!$E$19)/D24*(0.85+0.3*(7-1)/MAX(1,D24-1))),0)+F24)))</x:f>
        <x:v>15</x:v>
      </x:c>
      <x:c r="AW24" s="119" t="n">
        <x:f>IF(7&gt;D24,0,ROUND(('难度参数'!$E$13*POWER(A24,'难度参数'!$E$20)*MIN('难度参数'!$E$23,1+MAX(0,A24-'难度参数'!$E$21)*'难度参数'!$E$22))*(36+7*7)/(36+7*(D24+1)/2)*E24,0))</x:f>
        <x:v>1064</x:v>
      </x:c>
      <x:c r="AX24" s="119" t="n">
        <x:f>IF(AV24=0,0,(AV24-IF(7=D24,1,0))*ROUND(AW24*VLOOKUP(INDEX('章节与怪物'!$E$31:$K$37,B24,7),'章节与怪物'!$A$41:$F$44,2,FALSE),0)+IF(7=D24,ROUND(AW24*'难度参数'!$E$28*'章节与怪物'!$E$17,0),0))</x:f>
        <x:v>27339</x:v>
      </x:c>
      <x:c r="AY24" s="119" t="n">
        <x:f>IF(AV24=0,0,(AV24-IF(7=D24,1,0))*VLOOKUP(INDEX('章节与怪物'!$E$31:$K$37,B24,7),'章节与怪物'!$A$41:$F$44,4,FALSE)+IF(7=D24,'难度参数'!$E$30,0))</x:f>
        <x:v>676</x:v>
      </x:c>
    </x:row>
    <x:row r="25" ht="23" customHeight="1">
      <x:c r="A25" s="119" t="n">
        <x:v>19</x:v>
      </x:c>
      <x:c r="B25" s="119" t="n">
        <x:f>MOD(INT((A25-1)/5),7)+1</x:f>
        <x:v>4</x:v>
      </x:c>
      <x:c r="C25" s="62" t="str">
        <x:f>INDEX('章节与怪物'!$B$31:$B$37,B25)</x:f>
        <x:v>翠野边城</x:v>
      </x:c>
      <x:c r="D25" s="119" t="n">
        <x:f>MIN('难度参数'!$E$8,MAX('难度参数'!$E$7,A25))</x:f>
        <x:v>7</x:v>
      </x:c>
      <x:c r="E25" s="106" t="n">
        <x:v>1</x:v>
      </x:c>
      <x:c r="F25" s="106" t="n">
        <x:v>0</x:v>
      </x:c>
      <x:c r="G25" s="106" t="n">
        <x:v>1</x:v>
      </x:c>
      <x:c r="H25" s="119" t="n">
        <x:f>SUM(X25,AB25,AF25,AJ25,AN25,AR25,AV25)</x:f>
        <x:v>93</x:v>
      </x:c>
      <x:c r="I25" s="119" t="n">
        <x:f>SUM(Z25,AD25,AH25,AL25,AP25,AT25,AX25)</x:f>
        <x:v>95587</x:v>
      </x:c>
      <x:c r="J25" s="119" t="n">
        <x:f>ROUND(INDEX(X25:AY25,1,(D25-1)*4+2)*'难度参数'!$E$28*'章节与怪物'!$E$17,0)</x:f>
        <x:v>7521</x:v>
      </x:c>
      <x:c r="K25" s="119" t="n">
        <x:f>SUM(AA25,AE25,AI25,AM25,AQ25,AU25,AY25)</x:f>
        <x:v>2470</x:v>
      </x:c>
      <x:c r="L25" s="62" t="n">
        <x:f>H25*(ROUNDUP('难度参数'!$E$24/('难度参数'!$E$26*'难度参数'!$E$27),0)*'难度参数'!$E$26)/60</x:f>
        <x:v>1.24</x:v>
      </x:c>
      <x:c r="M25" s="62" t="n">
        <x:f>L25+D25*('难度参数'!$E$49+'难度参数'!$E$50)/60</x:f>
        <x:v>2.4066666666666667</x:v>
      </x:c>
      <x:c r="N25" s="119" t="n">
        <x:f>ROUNDDOWN(('经济参数'!$E$20+A25*'经济参数'!$E$21)*G25,0)</x:f>
        <x:v>560</x:v>
      </x:c>
      <x:c r="O25" s="119" t="n">
        <x:f>ROUNDDOWN(MIN('经济参数'!$E$24,'经济参数'!$E$22+A25*'经济参数'!$E$23)*G25,0)</x:f>
        <x:v>0</x:v>
      </x:c>
      <x:c r="P25" s="119" t="n">
        <x:f>ROUNDDOWN((IF(A25&gt;='材料与任务'!$E$31,'材料与任务'!$E$32,IF(A25&gt;='材料与任务'!$E$25,'材料与任务'!$E$26,IF(A25&gt;='材料与任务'!$E$19,'材料与任务'!$E$20,IF(A25&gt;='材料与任务'!$E$13,'材料与任务'!$E$14,'材料与任务'!$E$8)))))*G25,0)</x:f>
        <x:v>3</x:v>
      </x:c>
      <x:c r="Q25" s="119" t="n">
        <x:f>ROUNDDOWN((IF(A25&gt;='材料与任务'!$E$31,'材料与任务'!$E$33,IF(A25&gt;='材料与任务'!$E$25,'材料与任务'!$E$27,IF(A25&gt;='材料与任务'!$E$19,'材料与任务'!$E$21,IF(A25&gt;='材料与任务'!$E$13,'材料与任务'!$E$15,'材料与任务'!$E$9)))))*G25,0)</x:f>
        <x:v>1</x:v>
      </x:c>
      <x:c r="R25" s="110" t="n">
        <x:f>'装备掉落'!$B$38</x:f>
        <x:v>0.6872058758851213</x:v>
      </x:c>
      <x:c r="S25" s="119" t="n">
        <x:f>MAX(IF(VLOOKUP(A25,'装备掉落'!$A$29:$H$34,2,TRUE)&gt;0,1,0),IF(VLOOKUP(A25,'装备掉落'!$A$29:$H$34,3,TRUE)&gt;0,2,0),IF(VLOOKUP(A25,'装备掉落'!$A$29:$H$34,4,TRUE)&gt;0,3,0),IF(VLOOKUP(A25,'装备掉落'!$A$29:$H$34,5,TRUE)&gt;0,4,0),IF(VLOOKUP(A25,'装备掉落'!$A$29:$H$34,6,TRUE)&gt;0,5,0),IF(VLOOKUP(A25,'装备掉落'!$A$29:$H$34,7,TRUE)&gt;0,6,0),IF(VLOOKUP(A25,'装备掉落'!$A$29:$H$34,8,TRUE)&gt;0,7,0))</x:f>
        <x:v>3</x:v>
      </x:c>
      <x:c r="T25" s="119" t="n">
        <x:f>MIN(7,S25+'经济参数'!$E$70)</x:f>
        <x:v>3</x:v>
      </x:c>
      <x:c r="U25" s="119" t="n">
        <x:f>MIN(7,S25+'经济参数'!$E$71)</x:f>
        <x:v>4</x:v>
      </x:c>
      <x:c r="V25" s="119" t="n">
        <x:f>IF(H25&gt;=('难度参数'!$E$52),1,0)+IF(H25&gt;=('难度参数'!$E$52+'难度参数'!$E$53),1,0)+IF(H25&gt;=('难度参数'!$E$52+'难度参数'!$E$53+'难度参数'!$E$54),1,0)+IF(H25&gt;=('难度参数'!$E$52+'难度参数'!$E$53+'难度参数'!$E$54+'难度参数'!$E$55),1,0)+IF(H25&gt;=('难度参数'!$E$52+'难度参数'!$E$53+'难度参数'!$E$54+'难度参数'!$E$55+'难度参数'!$E$56),1,0)+IF(H25&gt;=('难度参数'!$E$52+'难度参数'!$E$53+'难度参数'!$E$54+'难度参数'!$E$55+'难度参数'!$E$56+'难度参数'!$E$57),1,0)</x:f>
        <x:v>5</x:v>
      </x:c>
      <x:c r="W25" s="62" t="str">
        <x:f>IF(L25&gt;'难度参数'!$E$51,"仅出怪已超目标","还需实测")</x:f>
        <x:v>还需实测</x:v>
      </x:c>
      <x:c r="X25" s="119" t="n">
        <x:f>IF(1&gt;D25,0,MAX(2,MIN('难度参数'!$E$12,ROUND(('难度参数'!$E$18*POWER(A25,'难度参数'!$E$19)/D25*(0.85+0.3*(1-1)/MAX(1,D25-1))),0)+F25)))</x:f>
        <x:v>11</x:v>
      </x:c>
      <x:c r="Y25" s="119" t="n">
        <x:f>IF(1&gt;D25,0,ROUND(('难度参数'!$E$13*POWER(A25,'难度参数'!$E$20)*MIN('难度参数'!$E$23,1+MAX(0,A25-'难度参数'!$E$21)*'难度参数'!$E$22))*(36+1*7)/(36+7*(D25+1)/2)*E25,0))</x:f>
        <x:v>560</x:v>
      </x:c>
      <x:c r="Z25" s="119" t="n">
        <x:f>IF(X25=0,0,(X25-IF(1=D25,1,0))*ROUND(Y25*VLOOKUP(INDEX('章节与怪物'!$E$31:$K$37,B25,1),'章节与怪物'!$A$41:$F$44,2,FALSE),0)+IF(1=D25,ROUND(Y25*'难度参数'!$E$28*'章节与怪物'!$E$17,0),0))</x:f>
        <x:v>4433</x:v>
      </x:c>
      <x:c r="AA25" s="119" t="n">
        <x:f>IF(X25=0,0,(X25-IF(1=D25,1,0))*VLOOKUP(INDEX('章节与怪物'!$E$31:$K$37,B25,1),'章节与怪物'!$A$41:$F$44,4,FALSE)+IF(1=D25,'难度参数'!$E$30,0))</x:f>
        <x:v>220</x:v>
      </x:c>
      <x:c r="AB25" s="119" t="n">
        <x:f>IF(2&gt;D25,0,MAX(2,MIN('难度参数'!$E$12,ROUND(('难度参数'!$E$18*POWER(A25,'难度参数'!$E$19)/D25*(0.85+0.3*(2-1)/MAX(1,D25-1))),0)+F25)))</x:f>
        <x:v>12</x:v>
      </x:c>
      <x:c r="AC25" s="119" t="n">
        <x:f>IF(2&gt;D25,0,ROUND(('难度参数'!$E$13*POWER(A25,'难度参数'!$E$20)*MIN('难度参数'!$E$23,1+MAX(0,A25-'难度参数'!$E$21)*'难度参数'!$E$22))*(36+2*7)/(36+7*(D25+1)/2)*E25,0))</x:f>
        <x:v>651</x:v>
      </x:c>
      <x:c r="AD25" s="119" t="n">
        <x:f>IF(AB25=0,0,(AB25-IF(2=D25,1,0))*ROUND(AC25*VLOOKUP(INDEX('章节与怪物'!$E$31:$K$37,B25,2),'章节与怪物'!$A$41:$F$44,2,FALSE),0)+IF(2=D25,ROUND(AC25*'难度参数'!$E$28*'章节与怪物'!$E$17,0),0))</x:f>
        <x:v>7812</x:v>
      </x:c>
      <x:c r="AE25" s="119" t="n">
        <x:f>IF(AB25=0,0,(AB25-IF(2=D25,1,0))*VLOOKUP(INDEX('章节与怪物'!$E$31:$K$37,B25,2),'章节与怪物'!$A$41:$F$44,4,FALSE)+IF(2=D25,'难度参数'!$E$30,0))</x:f>
        <x:v>216</x:v>
      </x:c>
      <x:c r="AF25" s="119" t="n">
        <x:f>IF(3&gt;D25,0,MAX(2,MIN('难度参数'!$E$12,ROUND(('难度参数'!$E$18*POWER(A25,'难度参数'!$E$19)/D25*(0.85+0.3*(3-1)/MAX(1,D25-1))),0)+F25)))</x:f>
        <x:v>13</x:v>
      </x:c>
      <x:c r="AG25" s="119" t="n">
        <x:f>IF(3&gt;D25,0,ROUND(('难度参数'!$E$13*POWER(A25,'难度参数'!$E$20)*MIN('难度参数'!$E$23,1+MAX(0,A25-'难度参数'!$E$21)*'难度参数'!$E$22))*(36+3*7)/(36+7*(D25+1)/2)*E25,0))</x:f>
        <x:v>742</x:v>
      </x:c>
      <x:c r="AH25" s="119" t="n">
        <x:f>IF(AF25=0,0,(AF25-IF(3=D25,1,0))*ROUND(AG25*VLOOKUP(INDEX('章节与怪物'!$E$31:$K$37,B25,3),'章节与怪物'!$A$41:$F$44,2,FALSE),0)+IF(3=D25,ROUND(AG25*'难度参数'!$E$28*'章节与怪物'!$E$17,0),0))</x:f>
        <x:v>16393</x:v>
      </x:c>
      <x:c r="AI25" s="119" t="n">
        <x:f>IF(AF25=0,0,(AF25-IF(3=D25,1,0))*VLOOKUP(INDEX('章节与怪物'!$E$31:$K$37,B25,3),'章节与怪物'!$A$41:$F$44,4,FALSE)+IF(3=D25,'难度参数'!$E$30,0))</x:f>
        <x:v>364</x:v>
      </x:c>
      <x:c r="AJ25" s="119" t="n">
        <x:f>IF(4&gt;D25,0,MAX(2,MIN('难度参数'!$E$12,ROUND(('难度参数'!$E$18*POWER(A25,'难度参数'!$E$19)/D25*(0.85+0.3*(4-1)/MAX(1,D25-1))),0)+F25)))</x:f>
        <x:v>13</x:v>
      </x:c>
      <x:c r="AK25" s="119" t="n">
        <x:f>IF(4&gt;D25,0,ROUND(('难度参数'!$E$13*POWER(A25,'难度参数'!$E$20)*MIN('难度参数'!$E$23,1+MAX(0,A25-'难度参数'!$E$21)*'难度参数'!$E$22))*(36+4*7)/(36+7*(D25+1)/2)*E25,0))</x:f>
        <x:v>833</x:v>
      </x:c>
      <x:c r="AL25" s="119" t="n">
        <x:f>IF(AJ25=0,0,(AJ25-IF(4=D25,1,0))*ROUND(AK25*VLOOKUP(INDEX('章节与怪物'!$E$31:$K$37,B25,4),'章节与怪物'!$A$41:$F$44,2,FALSE),0)+IF(4=D25,ROUND(AK25*'难度参数'!$E$28*'章节与怪物'!$E$17,0),0))</x:f>
        <x:v>14625</x:v>
      </x:c>
      <x:c r="AM25" s="119" t="n">
        <x:f>IF(AJ25=0,0,(AJ25-IF(4=D25,1,0))*VLOOKUP(INDEX('章节与怪物'!$E$31:$K$37,B25,4),'章节与怪物'!$A$41:$F$44,4,FALSE)+IF(4=D25,'难度参数'!$E$30,0))</x:f>
        <x:v>442</x:v>
      </x:c>
      <x:c r="AN25" s="119" t="n">
        <x:f>IF(5&gt;D25,0,MAX(2,MIN('难度参数'!$E$12,ROUND(('难度参数'!$E$18*POWER(A25,'难度参数'!$E$19)/D25*(0.85+0.3*(5-1)/MAX(1,D25-1))),0)+F25)))</x:f>
        <x:v>14</x:v>
      </x:c>
      <x:c r="AO25" s="119" t="n">
        <x:f>IF(5&gt;D25,0,ROUND(('难度参数'!$E$13*POWER(A25,'难度参数'!$E$20)*MIN('难度参数'!$E$23,1+MAX(0,A25-'难度参数'!$E$21)*'难度参数'!$E$22))*(36+5*7)/(36+7*(D25+1)/2)*E25,0))</x:f>
        <x:v>924</x:v>
      </x:c>
      <x:c r="AP25" s="119" t="n">
        <x:f>IF(AN25=0,0,(AN25-IF(5=D25,1,0))*ROUND(AO25*VLOOKUP(INDEX('章节与怪物'!$E$31:$K$37,B25,5),'章节与怪物'!$A$41:$F$44,2,FALSE),0)+IF(5=D25,ROUND(AO25*'难度参数'!$E$28*'章节与怪物'!$E$17,0),0))</x:f>
        <x:v>12936</x:v>
      </x:c>
      <x:c r="AQ25" s="119" t="n">
        <x:f>IF(AN25=0,0,(AN25-IF(5=D25,1,0))*VLOOKUP(INDEX('章节与怪物'!$E$31:$K$37,B25,5),'章节与怪物'!$A$41:$F$44,4,FALSE)+IF(5=D25,'难度参数'!$E$30,0))</x:f>
        <x:v>252</x:v>
      </x:c>
      <x:c r="AR25" s="119" t="n">
        <x:f>IF(6&gt;D25,0,MAX(2,MIN('难度参数'!$E$12,ROUND(('难度参数'!$E$18*POWER(A25,'难度参数'!$E$19)/D25*(0.85+0.3*(6-1)/MAX(1,D25-1))),0)+F25)))</x:f>
        <x:v>15</x:v>
      </x:c>
      <x:c r="AS25" s="119" t="n">
        <x:f>IF(6&gt;D25,0,ROUND(('难度参数'!$E$13*POWER(A25,'难度参数'!$E$20)*MIN('难度参数'!$E$23,1+MAX(0,A25-'难度参数'!$E$21)*'难度参数'!$E$22))*(36+6*7)/(36+7*(D25+1)/2)*E25,0))</x:f>
        <x:v>1015</x:v>
      </x:c>
      <x:c r="AT25" s="119" t="n">
        <x:f>IF(AR25=0,0,(AR25-IF(6=D25,1,0))*ROUND(AS25*VLOOKUP(INDEX('章节与怪物'!$E$31:$K$37,B25,6),'章节与怪物'!$A$41:$F$44,2,FALSE),0)+IF(6=D25,ROUND(AS25*'难度参数'!$E$28*'章节与怪物'!$E$17,0),0))</x:f>
        <x:v>10965</x:v>
      </x:c>
      <x:c r="AU25" s="119" t="n">
        <x:f>IF(AR25=0,0,(AR25-IF(6=D25,1,0))*VLOOKUP(INDEX('章节与怪物'!$E$31:$K$37,B25,6),'章节与怪物'!$A$41:$F$44,4,FALSE)+IF(6=D25,'难度参数'!$E$30,0))</x:f>
        <x:v>300</x:v>
      </x:c>
      <x:c r="AV25" s="119" t="n">
        <x:f>IF(7&gt;D25,0,MAX(2,MIN('难度参数'!$E$12,ROUND(('难度参数'!$E$18*POWER(A25,'难度参数'!$E$19)/D25*(0.85+0.3*(7-1)/MAX(1,D25-1))),0)+F25)))</x:f>
        <x:v>15</x:v>
      </x:c>
      <x:c r="AW25" s="119" t="n">
        <x:f>IF(7&gt;D25,0,ROUND(('难度参数'!$E$13*POWER(A25,'难度参数'!$E$20)*MIN('难度参数'!$E$23,1+MAX(0,A25-'难度参数'!$E$21)*'难度参数'!$E$22))*(36+7*7)/(36+7*(D25+1)/2)*E25,0))</x:f>
        <x:v>1106</x:v>
      </x:c>
      <x:c r="AX25" s="119" t="n">
        <x:f>IF(AV25=0,0,(AV25-IF(7=D25,1,0))*ROUND(AW25*VLOOKUP(INDEX('章节与怪物'!$E$31:$K$37,B25,7),'章节与怪物'!$A$41:$F$44,2,FALSE),0)+IF(7=D25,ROUND(AW25*'难度参数'!$E$28*'章节与怪物'!$E$17,0),0))</x:f>
        <x:v>28423</x:v>
      </x:c>
      <x:c r="AY25" s="119" t="n">
        <x:f>IF(AV25=0,0,(AV25-IF(7=D25,1,0))*VLOOKUP(INDEX('章节与怪物'!$E$31:$K$37,B25,7),'章节与怪物'!$A$41:$F$44,4,FALSE)+IF(7=D25,'难度参数'!$E$30,0))</x:f>
        <x:v>676</x:v>
      </x:c>
    </x:row>
    <x:row r="26" ht="23" customHeight="1">
      <x:c r="A26" s="119" t="n">
        <x:v>20</x:v>
      </x:c>
      <x:c r="B26" s="119" t="n">
        <x:f>MOD(INT((A26-1)/5),7)+1</x:f>
        <x:v>4</x:v>
      </x:c>
      <x:c r="C26" s="62" t="str">
        <x:f>INDEX('章节与怪物'!$B$31:$B$37,B26)</x:f>
        <x:v>翠野边城</x:v>
      </x:c>
      <x:c r="D26" s="119" t="n">
        <x:f>MIN('难度参数'!$E$8,MAX('难度参数'!$E$7,A26))</x:f>
        <x:v>7</x:v>
      </x:c>
      <x:c r="E26" s="106" t="n">
        <x:v>1</x:v>
      </x:c>
      <x:c r="F26" s="106" t="n">
        <x:v>0</x:v>
      </x:c>
      <x:c r="G26" s="106" t="n">
        <x:v>1</x:v>
      </x:c>
      <x:c r="H26" s="119" t="n">
        <x:f>SUM(X26,AB26,AF26,AJ26,AN26,AR26,AV26)</x:f>
        <x:v>93</x:v>
      </x:c>
      <x:c r="I26" s="119" t="n">
        <x:f>SUM(Z26,AD26,AH26,AL26,AP26,AT26,AX26)</x:f>
        <x:v>99190</x:v>
      </x:c>
      <x:c r="J26" s="119" t="n">
        <x:f>ROUND(INDEX(X26:AY26,1,(D26-1)*4+2)*'难度参数'!$E$28*'章节与怪物'!$E$17,0)</x:f>
        <x:v>7806</x:v>
      </x:c>
      <x:c r="K26" s="119" t="n">
        <x:f>SUM(AA26,AE26,AI26,AM26,AQ26,AU26,AY26)</x:f>
        <x:v>2470</x:v>
      </x:c>
      <x:c r="L26" s="62" t="n">
        <x:f>H26*(ROUNDUP('难度参数'!$E$24/('难度参数'!$E$26*'难度参数'!$E$27),0)*'难度参数'!$E$26)/60</x:f>
        <x:v>1.24</x:v>
      </x:c>
      <x:c r="M26" s="62" t="n">
        <x:f>L26+D26*('难度参数'!$E$49+'难度参数'!$E$50)/60</x:f>
        <x:v>2.4066666666666667</x:v>
      </x:c>
      <x:c r="N26" s="119" t="n">
        <x:f>ROUNDDOWN(('经济参数'!$E$20+A26*'经济参数'!$E$21)*G26,0)</x:f>
        <x:v>580</x:v>
      </x:c>
      <x:c r="O26" s="119" t="n">
        <x:f>ROUNDDOWN(MIN('经济参数'!$E$24,'经济参数'!$E$22+A26*'经济参数'!$E$23)*G26,0)</x:f>
        <x:v>0</x:v>
      </x:c>
      <x:c r="P26" s="119" t="n">
        <x:f>ROUNDDOWN((IF(A26&gt;='材料与任务'!$E$31,'材料与任务'!$E$32,IF(A26&gt;='材料与任务'!$E$25,'材料与任务'!$E$26,IF(A26&gt;='材料与任务'!$E$19,'材料与任务'!$E$20,IF(A26&gt;='材料与任务'!$E$13,'材料与任务'!$E$14,'材料与任务'!$E$8)))))*G26,0)</x:f>
        <x:v>3</x:v>
      </x:c>
      <x:c r="Q26" s="119" t="n">
        <x:f>ROUNDDOWN((IF(A26&gt;='材料与任务'!$E$31,'材料与任务'!$E$33,IF(A26&gt;='材料与任务'!$E$25,'材料与任务'!$E$27,IF(A26&gt;='材料与任务'!$E$19,'材料与任务'!$E$21,IF(A26&gt;='材料与任务'!$E$13,'材料与任务'!$E$15,'材料与任务'!$E$9)))))*G26,0)</x:f>
        <x:v>1</x:v>
      </x:c>
      <x:c r="R26" s="110" t="n">
        <x:f>'装备掉落'!$B$38</x:f>
        <x:v>0.6872058758851213</x:v>
      </x:c>
      <x:c r="S26" s="119" t="n">
        <x:f>MAX(IF(VLOOKUP(A26,'装备掉落'!$A$29:$H$34,2,TRUE)&gt;0,1,0),IF(VLOOKUP(A26,'装备掉落'!$A$29:$H$34,3,TRUE)&gt;0,2,0),IF(VLOOKUP(A26,'装备掉落'!$A$29:$H$34,4,TRUE)&gt;0,3,0),IF(VLOOKUP(A26,'装备掉落'!$A$29:$H$34,5,TRUE)&gt;0,4,0),IF(VLOOKUP(A26,'装备掉落'!$A$29:$H$34,6,TRUE)&gt;0,5,0),IF(VLOOKUP(A26,'装备掉落'!$A$29:$H$34,7,TRUE)&gt;0,6,0),IF(VLOOKUP(A26,'装备掉落'!$A$29:$H$34,8,TRUE)&gt;0,7,0))</x:f>
        <x:v>3</x:v>
      </x:c>
      <x:c r="T26" s="119" t="n">
        <x:f>MIN(7,S26+'经济参数'!$E$70)</x:f>
        <x:v>3</x:v>
      </x:c>
      <x:c r="U26" s="119" t="n">
        <x:f>MIN(7,S26+'经济参数'!$E$71)</x:f>
        <x:v>4</x:v>
      </x:c>
      <x:c r="V26" s="119" t="n">
        <x:f>IF(H26&gt;=('难度参数'!$E$52),1,0)+IF(H26&gt;=('难度参数'!$E$52+'难度参数'!$E$53),1,0)+IF(H26&gt;=('难度参数'!$E$52+'难度参数'!$E$53+'难度参数'!$E$54),1,0)+IF(H26&gt;=('难度参数'!$E$52+'难度参数'!$E$53+'难度参数'!$E$54+'难度参数'!$E$55),1,0)+IF(H26&gt;=('难度参数'!$E$52+'难度参数'!$E$53+'难度参数'!$E$54+'难度参数'!$E$55+'难度参数'!$E$56),1,0)+IF(H26&gt;=('难度参数'!$E$52+'难度参数'!$E$53+'难度参数'!$E$54+'难度参数'!$E$55+'难度参数'!$E$56+'难度参数'!$E$57),1,0)</x:f>
        <x:v>5</x:v>
      </x:c>
      <x:c r="W26" s="62" t="str">
        <x:f>IF(L26&gt;'难度参数'!$E$51,"仅出怪已超目标","还需实测")</x:f>
        <x:v>还需实测</x:v>
      </x:c>
      <x:c r="X26" s="119" t="n">
        <x:f>IF(1&gt;D26,0,MAX(2,MIN('难度参数'!$E$12,ROUND(('难度参数'!$E$18*POWER(A26,'难度参数'!$E$19)/D26*(0.85+0.3*(1-1)/MAX(1,D26-1))),0)+F26)))</x:f>
        <x:v>11</x:v>
      </x:c>
      <x:c r="Y26" s="119" t="n">
        <x:f>IF(1&gt;D26,0,ROUND(('难度参数'!$E$13*POWER(A26,'难度参数'!$E$20)*MIN('难度参数'!$E$23,1+MAX(0,A26-'难度参数'!$E$21)*'难度参数'!$E$22))*(36+1*7)/(36+7*(D26+1)/2)*E26,0))</x:f>
        <x:v>581</x:v>
      </x:c>
      <x:c r="Z26" s="119" t="n">
        <x:f>IF(X26=0,0,(X26-IF(1=D26,1,0))*ROUND(Y26*VLOOKUP(INDEX('章节与怪物'!$E$31:$K$37,B26,1),'章节与怪物'!$A$41:$F$44,2,FALSE),0)+IF(1=D26,ROUND(Y26*'难度参数'!$E$28*'章节与怪物'!$E$17,0),0))</x:f>
        <x:v>4598</x:v>
      </x:c>
      <x:c r="AA26" s="119" t="n">
        <x:f>IF(X26=0,0,(X26-IF(1=D26,1,0))*VLOOKUP(INDEX('章节与怪物'!$E$31:$K$37,B26,1),'章节与怪物'!$A$41:$F$44,4,FALSE)+IF(1=D26,'难度参数'!$E$30,0))</x:f>
        <x:v>220</x:v>
      </x:c>
      <x:c r="AB26" s="119" t="n">
        <x:f>IF(2&gt;D26,0,MAX(2,MIN('难度参数'!$E$12,ROUND(('难度参数'!$E$18*POWER(A26,'难度参数'!$E$19)/D26*(0.85+0.3*(2-1)/MAX(1,D26-1))),0)+F26)))</x:f>
        <x:v>12</x:v>
      </x:c>
      <x:c r="AC26" s="119" t="n">
        <x:f>IF(2&gt;D26,0,ROUND(('难度参数'!$E$13*POWER(A26,'难度参数'!$E$20)*MIN('难度参数'!$E$23,1+MAX(0,A26-'难度参数'!$E$21)*'难度参数'!$E$22))*(36+2*7)/(36+7*(D26+1)/2)*E26,0))</x:f>
        <x:v>675</x:v>
      </x:c>
      <x:c r="AD26" s="119" t="n">
        <x:f>IF(AB26=0,0,(AB26-IF(2=D26,1,0))*ROUND(AC26*VLOOKUP(INDEX('章节与怪物'!$E$31:$K$37,B26,2),'章节与怪物'!$A$41:$F$44,2,FALSE),0)+IF(2=D26,ROUND(AC26*'难度参数'!$E$28*'章节与怪物'!$E$17,0),0))</x:f>
        <x:v>8100</x:v>
      </x:c>
      <x:c r="AE26" s="119" t="n">
        <x:f>IF(AB26=0,0,(AB26-IF(2=D26,1,0))*VLOOKUP(INDEX('章节与怪物'!$E$31:$K$37,B26,2),'章节与怪物'!$A$41:$F$44,4,FALSE)+IF(2=D26,'难度参数'!$E$30,0))</x:f>
        <x:v>216</x:v>
      </x:c>
      <x:c r="AF26" s="119" t="n">
        <x:f>IF(3&gt;D26,0,MAX(2,MIN('难度参数'!$E$12,ROUND(('难度参数'!$E$18*POWER(A26,'难度参数'!$E$19)/D26*(0.85+0.3*(3-1)/MAX(1,D26-1))),0)+F26)))</x:f>
        <x:v>13</x:v>
      </x:c>
      <x:c r="AG26" s="119" t="n">
        <x:f>IF(3&gt;D26,0,ROUND(('难度参数'!$E$13*POWER(A26,'难度参数'!$E$20)*MIN('难度参数'!$E$23,1+MAX(0,A26-'难度参数'!$E$21)*'难度参数'!$E$22))*(36+3*7)/(36+7*(D26+1)/2)*E26,0))</x:f>
        <x:v>770</x:v>
      </x:c>
      <x:c r="AH26" s="119" t="n">
        <x:f>IF(AF26=0,0,(AF26-IF(3=D26,1,0))*ROUND(AG26*VLOOKUP(INDEX('章节与怪物'!$E$31:$K$37,B26,3),'章节与怪物'!$A$41:$F$44,2,FALSE),0)+IF(3=D26,ROUND(AG26*'难度参数'!$E$28*'章节与怪物'!$E$17,0),0))</x:f>
        <x:v>17017</x:v>
      </x:c>
      <x:c r="AI26" s="119" t="n">
        <x:f>IF(AF26=0,0,(AF26-IF(3=D26,1,0))*VLOOKUP(INDEX('章节与怪物'!$E$31:$K$37,B26,3),'章节与怪物'!$A$41:$F$44,4,FALSE)+IF(3=D26,'难度参数'!$E$30,0))</x:f>
        <x:v>364</x:v>
      </x:c>
      <x:c r="AJ26" s="119" t="n">
        <x:f>IF(4&gt;D26,0,MAX(2,MIN('难度参数'!$E$12,ROUND(('难度参数'!$E$18*POWER(A26,'难度参数'!$E$19)/D26*(0.85+0.3*(4-1)/MAX(1,D26-1))),0)+F26)))</x:f>
        <x:v>13</x:v>
      </x:c>
      <x:c r="AK26" s="119" t="n">
        <x:f>IF(4&gt;D26,0,ROUND(('难度参数'!$E$13*POWER(A26,'难度参数'!$E$20)*MIN('难度参数'!$E$23,1+MAX(0,A26-'难度参数'!$E$21)*'难度参数'!$E$22))*(36+4*7)/(36+7*(D26+1)/2)*E26,0))</x:f>
        <x:v>864</x:v>
      </x:c>
      <x:c r="AL26" s="119" t="n">
        <x:f>IF(AJ26=0,0,(AJ26-IF(4=D26,1,0))*ROUND(AK26*VLOOKUP(INDEX('章节与怪物'!$E$31:$K$37,B26,4),'章节与怪物'!$A$41:$F$44,2,FALSE),0)+IF(4=D26,ROUND(AK26*'难度参数'!$E$28*'章节与怪物'!$E$17,0),0))</x:f>
        <x:v>15158</x:v>
      </x:c>
      <x:c r="AM26" s="119" t="n">
        <x:f>IF(AJ26=0,0,(AJ26-IF(4=D26,1,0))*VLOOKUP(INDEX('章节与怪物'!$E$31:$K$37,B26,4),'章节与怪物'!$A$41:$F$44,4,FALSE)+IF(4=D26,'难度参数'!$E$30,0))</x:f>
        <x:v>442</x:v>
      </x:c>
      <x:c r="AN26" s="119" t="n">
        <x:f>IF(5&gt;D26,0,MAX(2,MIN('难度参数'!$E$12,ROUND(('难度参数'!$E$18*POWER(A26,'难度参数'!$E$19)/D26*(0.85+0.3*(5-1)/MAX(1,D26-1))),0)+F26)))</x:f>
        <x:v>14</x:v>
      </x:c>
      <x:c r="AO26" s="119" t="n">
        <x:f>IF(5&gt;D26,0,ROUND(('难度参数'!$E$13*POWER(A26,'难度参数'!$E$20)*MIN('难度参数'!$E$23,1+MAX(0,A26-'难度参数'!$E$21)*'难度参数'!$E$22))*(36+5*7)/(36+7*(D26+1)/2)*E26,0))</x:f>
        <x:v>959</x:v>
      </x:c>
      <x:c r="AP26" s="119" t="n">
        <x:f>IF(AN26=0,0,(AN26-IF(5=D26,1,0))*ROUND(AO26*VLOOKUP(INDEX('章节与怪物'!$E$31:$K$37,B26,5),'章节与怪物'!$A$41:$F$44,2,FALSE),0)+IF(5=D26,ROUND(AO26*'难度参数'!$E$28*'章节与怪物'!$E$17,0),0))</x:f>
        <x:v>13426</x:v>
      </x:c>
      <x:c r="AQ26" s="119" t="n">
        <x:f>IF(AN26=0,0,(AN26-IF(5=D26,1,0))*VLOOKUP(INDEX('章节与怪物'!$E$31:$K$37,B26,5),'章节与怪物'!$A$41:$F$44,4,FALSE)+IF(5=D26,'难度参数'!$E$30,0))</x:f>
        <x:v>252</x:v>
      </x:c>
      <x:c r="AR26" s="119" t="n">
        <x:f>IF(6&gt;D26,0,MAX(2,MIN('难度参数'!$E$12,ROUND(('难度参数'!$E$18*POWER(A26,'难度参数'!$E$19)/D26*(0.85+0.3*(6-1)/MAX(1,D26-1))),0)+F26)))</x:f>
        <x:v>15</x:v>
      </x:c>
      <x:c r="AS26" s="119" t="n">
        <x:f>IF(6&gt;D26,0,ROUND(('难度参数'!$E$13*POWER(A26,'难度参数'!$E$20)*MIN('难度参数'!$E$23,1+MAX(0,A26-'难度参数'!$E$21)*'难度参数'!$E$22))*(36+6*7)/(36+7*(D26+1)/2)*E26,0))</x:f>
        <x:v>1054</x:v>
      </x:c>
      <x:c r="AT26" s="119" t="n">
        <x:f>IF(AR26=0,0,(AR26-IF(6=D26,1,0))*ROUND(AS26*VLOOKUP(INDEX('章节与怪物'!$E$31:$K$37,B26,6),'章节与怪物'!$A$41:$F$44,2,FALSE),0)+IF(6=D26,ROUND(AS26*'难度参数'!$E$28*'章节与怪物'!$E$17,0),0))</x:f>
        <x:v>11385</x:v>
      </x:c>
      <x:c r="AU26" s="119" t="n">
        <x:f>IF(AR26=0,0,(AR26-IF(6=D26,1,0))*VLOOKUP(INDEX('章节与怪物'!$E$31:$K$37,B26,6),'章节与怪物'!$A$41:$F$44,4,FALSE)+IF(6=D26,'难度参数'!$E$30,0))</x:f>
        <x:v>300</x:v>
      </x:c>
      <x:c r="AV26" s="119" t="n">
        <x:f>IF(7&gt;D26,0,MAX(2,MIN('难度参数'!$E$12,ROUND(('难度参数'!$E$18*POWER(A26,'难度参数'!$E$19)/D26*(0.85+0.3*(7-1)/MAX(1,D26-1))),0)+F26)))</x:f>
        <x:v>15</x:v>
      </x:c>
      <x:c r="AW26" s="119" t="n">
        <x:f>IF(7&gt;D26,0,ROUND(('难度参数'!$E$13*POWER(A26,'难度参数'!$E$20)*MIN('难度参数'!$E$23,1+MAX(0,A26-'难度参数'!$E$21)*'难度参数'!$E$22))*(36+7*7)/(36+7*(D26+1)/2)*E26,0))</x:f>
        <x:v>1148</x:v>
      </x:c>
      <x:c r="AX26" s="119" t="n">
        <x:f>IF(AV26=0,0,(AV26-IF(7=D26,1,0))*ROUND(AW26*VLOOKUP(INDEX('章节与怪物'!$E$31:$K$37,B26,7),'章节与怪物'!$A$41:$F$44,2,FALSE),0)+IF(7=D26,ROUND(AW26*'难度参数'!$E$28*'章节与怪物'!$E$17,0),0))</x:f>
        <x:v>29506</x:v>
      </x:c>
      <x:c r="AY26" s="119" t="n">
        <x:f>IF(AV26=0,0,(AV26-IF(7=D26,1,0))*VLOOKUP(INDEX('章节与怪物'!$E$31:$K$37,B26,7),'章节与怪物'!$A$41:$F$44,4,FALSE)+IF(7=D26,'难度参数'!$E$30,0))</x:f>
        <x:v>676</x:v>
      </x:c>
    </x:row>
    <x:row r="27" ht="23" customHeight="1">
      <x:c r="A27" s="119" t="n">
        <x:v>21</x:v>
      </x:c>
      <x:c r="B27" s="119" t="n">
        <x:f>MOD(INT((A27-1)/5),7)+1</x:f>
        <x:v>5</x:v>
      </x:c>
      <x:c r="C27" s="62" t="str">
        <x:f>INDEX('章节与怪物'!$B$31:$B$37,B27)</x:f>
        <x:v>雨林遗迹</x:v>
      </x:c>
      <x:c r="D27" s="119" t="n">
        <x:f>MIN('难度参数'!$E$8,MAX('难度参数'!$E$7,A27))</x:f>
        <x:v>7</x:v>
      </x:c>
      <x:c r="E27" s="106" t="n">
        <x:v>1</x:v>
      </x:c>
      <x:c r="F27" s="106" t="n">
        <x:v>0</x:v>
      </x:c>
      <x:c r="G27" s="106" t="n">
        <x:v>1</x:v>
      </x:c>
      <x:c r="H27" s="119" t="n">
        <x:f>SUM(X27,AB27,AF27,AJ27,AN27,AR27,AV27)</x:f>
        <x:v>96</x:v>
      </x:c>
      <x:c r="I27" s="119" t="n">
        <x:f>SUM(Z27,AD27,AH27,AL27,AP27,AT27,AX27)</x:f>
        <x:v>118159</x:v>
      </x:c>
      <x:c r="J27" s="119" t="n">
        <x:f>ROUND(INDEX(X27:AY27,1,(D27-1)*4+2)*'难度参数'!$E$28*'章节与怪物'!$E$17,0)</x:f>
        <x:v>8112</x:v>
      </x:c>
      <x:c r="K27" s="119" t="n">
        <x:f>SUM(AA27,AE27,AI27,AM27,AQ27,AU27,AY27)</x:f>
        <x:v>2706</x:v>
      </x:c>
      <x:c r="L27" s="62" t="n">
        <x:f>H27*(ROUNDUP('难度参数'!$E$24/('难度参数'!$E$26*'难度参数'!$E$27),0)*'难度参数'!$E$26)/60</x:f>
        <x:v>1.2800000000000002</x:v>
      </x:c>
      <x:c r="M27" s="62" t="n">
        <x:f>L27+D27*('难度参数'!$E$49+'难度参数'!$E$50)/60</x:f>
        <x:v>2.446666666666667</x:v>
      </x:c>
      <x:c r="N27" s="119" t="n">
        <x:f>ROUNDDOWN(('经济参数'!$E$20+A27*'经济参数'!$E$21)*G27,0)</x:f>
        <x:v>600</x:v>
      </x:c>
      <x:c r="O27" s="119" t="n">
        <x:f>ROUNDDOWN(MIN('经济参数'!$E$24,'经济参数'!$E$22+A27*'经济参数'!$E$23)*G27,0)</x:f>
        <x:v>0</x:v>
      </x:c>
      <x:c r="P27" s="119" t="n">
        <x:f>ROUNDDOWN((IF(A27&gt;='材料与任务'!$E$31,'材料与任务'!$E$32,IF(A27&gt;='材料与任务'!$E$25,'材料与任务'!$E$26,IF(A27&gt;='材料与任务'!$E$19,'材料与任务'!$E$20,IF(A27&gt;='材料与任务'!$E$13,'材料与任务'!$E$14,'材料与任务'!$E$8)))))*G27,0)</x:f>
        <x:v>3</x:v>
      </x:c>
      <x:c r="Q27" s="119" t="n">
        <x:f>ROUNDDOWN((IF(A27&gt;='材料与任务'!$E$31,'材料与任务'!$E$33,IF(A27&gt;='材料与任务'!$E$25,'材料与任务'!$E$27,IF(A27&gt;='材料与任务'!$E$19,'材料与任务'!$E$21,IF(A27&gt;='材料与任务'!$E$13,'材料与任务'!$E$15,'材料与任务'!$E$9)))))*G27,0)</x:f>
        <x:v>1</x:v>
      </x:c>
      <x:c r="R27" s="110" t="n">
        <x:f>'装备掉落'!$B$38</x:f>
        <x:v>0.6872058758851213</x:v>
      </x:c>
      <x:c r="S27" s="119" t="n">
        <x:f>MAX(IF(VLOOKUP(A27,'装备掉落'!$A$29:$H$34,2,TRUE)&gt;0,1,0),IF(VLOOKUP(A27,'装备掉落'!$A$29:$H$34,3,TRUE)&gt;0,2,0),IF(VLOOKUP(A27,'装备掉落'!$A$29:$H$34,4,TRUE)&gt;0,3,0),IF(VLOOKUP(A27,'装备掉落'!$A$29:$H$34,5,TRUE)&gt;0,4,0),IF(VLOOKUP(A27,'装备掉落'!$A$29:$H$34,6,TRUE)&gt;0,5,0),IF(VLOOKUP(A27,'装备掉落'!$A$29:$H$34,7,TRUE)&gt;0,6,0),IF(VLOOKUP(A27,'装备掉落'!$A$29:$H$34,8,TRUE)&gt;0,7,0))</x:f>
        <x:v>4</x:v>
      </x:c>
      <x:c r="T27" s="119" t="n">
        <x:f>MIN(7,S27+'经济参数'!$E$70)</x:f>
        <x:v>4</x:v>
      </x:c>
      <x:c r="U27" s="119" t="n">
        <x:f>MIN(7,S27+'经济参数'!$E$71)</x:f>
        <x:v>5</x:v>
      </x:c>
      <x:c r="V27" s="119" t="n">
        <x:f>IF(H27&gt;=('难度参数'!$E$52),1,0)+IF(H27&gt;=('难度参数'!$E$52+'难度参数'!$E$53),1,0)+IF(H27&gt;=('难度参数'!$E$52+'难度参数'!$E$53+'难度参数'!$E$54),1,0)+IF(H27&gt;=('难度参数'!$E$52+'难度参数'!$E$53+'难度参数'!$E$54+'难度参数'!$E$55),1,0)+IF(H27&gt;=('难度参数'!$E$52+'难度参数'!$E$53+'难度参数'!$E$54+'难度参数'!$E$55+'难度参数'!$E$56),1,0)+IF(H27&gt;=('难度参数'!$E$52+'难度参数'!$E$53+'难度参数'!$E$54+'难度参数'!$E$55+'难度参数'!$E$56+'难度参数'!$E$57),1,0)</x:f>
        <x:v>6</x:v>
      </x:c>
      <x:c r="W27" s="62" t="str">
        <x:f>IF(L27&gt;'难度参数'!$E$51,"仅出怪已超目标","还需实测")</x:f>
        <x:v>还需实测</x:v>
      </x:c>
      <x:c r="X27" s="119" t="n">
        <x:f>IF(1&gt;D27,0,MAX(2,MIN('难度参数'!$E$12,ROUND(('难度参数'!$E$18*POWER(A27,'难度参数'!$E$19)/D27*(0.85+0.3*(1-1)/MAX(1,D27-1))),0)+F27)))</x:f>
        <x:v>12</x:v>
      </x:c>
      <x:c r="Y27" s="119" t="n">
        <x:f>IF(1&gt;D27,0,ROUND(('难度参数'!$E$13*POWER(A27,'难度参数'!$E$20)*MIN('难度参数'!$E$23,1+MAX(0,A27-'难度参数'!$E$21)*'难度参数'!$E$22))*(36+1*7)/(36+7*(D27+1)/2)*E27,0))</x:f>
        <x:v>603</x:v>
      </x:c>
      <x:c r="Z27" s="119" t="n">
        <x:f>IF(X27=0,0,(X27-IF(1=D27,1,0))*ROUND(Y27*VLOOKUP(INDEX('章节与怪物'!$E$31:$K$37,B27,1),'章节与怪物'!$A$41:$F$44,2,FALSE),0)+IF(1=D27,ROUND(Y27*'难度参数'!$E$28*'章节与怪物'!$E$17,0),0))</x:f>
        <x:v>7236</x:v>
      </x:c>
      <x:c r="AA27" s="119" t="n">
        <x:f>IF(X27=0,0,(X27-IF(1=D27,1,0))*VLOOKUP(INDEX('章节与怪物'!$E$31:$K$37,B27,1),'章节与怪物'!$A$41:$F$44,4,FALSE)+IF(1=D27,'难度参数'!$E$30,0))</x:f>
        <x:v>216</x:v>
      </x:c>
      <x:c r="AB27" s="119" t="n">
        <x:f>IF(2&gt;D27,0,MAX(2,MIN('难度参数'!$E$12,ROUND(('难度参数'!$E$18*POWER(A27,'难度参数'!$E$19)/D27*(0.85+0.3*(2-1)/MAX(1,D27-1))),0)+F27)))</x:f>
        <x:v>12</x:v>
      </x:c>
      <x:c r="AC27" s="119" t="n">
        <x:f>IF(2&gt;D27,0,ROUND(('难度参数'!$E$13*POWER(A27,'难度参数'!$E$20)*MIN('难度参数'!$E$23,1+MAX(0,A27-'难度参数'!$E$21)*'难度参数'!$E$22))*(36+2*7)/(36+7*(D27+1)/2)*E27,0))</x:f>
        <x:v>702</x:v>
      </x:c>
      <x:c r="AD27" s="119" t="n">
        <x:f>IF(AB27=0,0,(AB27-IF(2=D27,1,0))*ROUND(AC27*VLOOKUP(INDEX('章节与怪物'!$E$31:$K$37,B27,2),'章节与怪物'!$A$41:$F$44,2,FALSE),0)+IF(2=D27,ROUND(AC27*'难度参数'!$E$28*'章节与怪物'!$E$17,0),0))</x:f>
        <x:v>6060</x:v>
      </x:c>
      <x:c r="AE27" s="119" t="n">
        <x:f>IF(AB27=0,0,(AB27-IF(2=D27,1,0))*VLOOKUP(INDEX('章节与怪物'!$E$31:$K$37,B27,2),'章节与怪物'!$A$41:$F$44,4,FALSE)+IF(2=D27,'难度参数'!$E$30,0))</x:f>
        <x:v>240</x:v>
      </x:c>
      <x:c r="AF27" s="119" t="n">
        <x:f>IF(3&gt;D27,0,MAX(2,MIN('难度参数'!$E$12,ROUND(('难度参数'!$E$18*POWER(A27,'难度参数'!$E$19)/D27*(0.85+0.3*(3-1)/MAX(1,D27-1))),0)+F27)))</x:f>
        <x:v>13</x:v>
      </x:c>
      <x:c r="AG27" s="119" t="n">
        <x:f>IF(3&gt;D27,0,ROUND(('难度参数'!$E$13*POWER(A27,'难度参数'!$E$20)*MIN('难度参数'!$E$23,1+MAX(0,A27-'难度参数'!$E$21)*'难度参数'!$E$22))*(36+3*7)/(36+7*(D27+1)/2)*E27,0))</x:f>
        <x:v>800</x:v>
      </x:c>
      <x:c r="AH27" s="119" t="n">
        <x:f>IF(AF27=0,0,(AF27-IF(3=D27,1,0))*ROUND(AG27*VLOOKUP(INDEX('章节与怪物'!$E$31:$K$37,B27,3),'章节与怪物'!$A$41:$F$44,2,FALSE),0)+IF(3=D27,ROUND(AG27*'难度参数'!$E$28*'章节与怪物'!$E$17,0),0))</x:f>
        <x:v>17680</x:v>
      </x:c>
      <x:c r="AI27" s="119" t="n">
        <x:f>IF(AF27=0,0,(AF27-IF(3=D27,1,0))*VLOOKUP(INDEX('章节与怪物'!$E$31:$K$37,B27,3),'章节与怪物'!$A$41:$F$44,4,FALSE)+IF(3=D27,'难度参数'!$E$30,0))</x:f>
        <x:v>364</x:v>
      </x:c>
      <x:c r="AJ27" s="119" t="n">
        <x:f>IF(4&gt;D27,0,MAX(2,MIN('难度参数'!$E$12,ROUND(('难度参数'!$E$18*POWER(A27,'难度参数'!$E$19)/D27*(0.85+0.3*(4-1)/MAX(1,D27-1))),0)+F27)))</x:f>
        <x:v>14</x:v>
      </x:c>
      <x:c r="AK27" s="119" t="n">
        <x:f>IF(4&gt;D27,0,ROUND(('难度参数'!$E$13*POWER(A27,'难度参数'!$E$20)*MIN('难度参数'!$E$23,1+MAX(0,A27-'难度参数'!$E$21)*'难度参数'!$E$22))*(36+4*7)/(36+7*(D27+1)/2)*E27,0))</x:f>
        <x:v>898</x:v>
      </x:c>
      <x:c r="AL27" s="119" t="n">
        <x:f>IF(AJ27=0,0,(AJ27-IF(4=D27,1,0))*ROUND(AK27*VLOOKUP(INDEX('章节与怪物'!$E$31:$K$37,B27,4),'章节与怪物'!$A$41:$F$44,2,FALSE),0)+IF(4=D27,ROUND(AK27*'难度参数'!$E$28*'章节与怪物'!$E$17,0),0))</x:f>
        <x:v>16968</x:v>
      </x:c>
      <x:c r="AM27" s="119" t="n">
        <x:f>IF(AJ27=0,0,(AJ27-IF(4=D27,1,0))*VLOOKUP(INDEX('章节与怪物'!$E$31:$K$37,B27,4),'章节与怪物'!$A$41:$F$44,4,FALSE)+IF(4=D27,'难度参数'!$E$30,0))</x:f>
        <x:v>476</x:v>
      </x:c>
      <x:c r="AN27" s="119" t="n">
        <x:f>IF(5&gt;D27,0,MAX(2,MIN('难度参数'!$E$12,ROUND(('难度参数'!$E$18*POWER(A27,'难度参数'!$E$19)/D27*(0.85+0.3*(5-1)/MAX(1,D27-1))),0)+F27)))</x:f>
        <x:v>14</x:v>
      </x:c>
      <x:c r="AO27" s="119" t="n">
        <x:f>IF(5&gt;D27,0,ROUND(('难度参数'!$E$13*POWER(A27,'难度参数'!$E$20)*MIN('难度参数'!$E$23,1+MAX(0,A27-'难度参数'!$E$21)*'难度参数'!$E$22))*(36+5*7)/(36+7*(D27+1)/2)*E27,0))</x:f>
        <x:v>996</x:v>
      </x:c>
      <x:c r="AP27" s="119" t="n">
        <x:f>IF(AN27=0,0,(AN27-IF(5=D27,1,0))*ROUND(AO27*VLOOKUP(INDEX('章节与怪物'!$E$31:$K$37,B27,5),'章节与怪物'!$A$41:$F$44,2,FALSE),0)+IF(5=D27,ROUND(AO27*'难度参数'!$E$28*'章节与怪物'!$E$17,0),0))</x:f>
        <x:v>10038</x:v>
      </x:c>
      <x:c r="AQ27" s="119" t="n">
        <x:f>IF(AN27=0,0,(AN27-IF(5=D27,1,0))*VLOOKUP(INDEX('章节与怪物'!$E$31:$K$37,B27,5),'章节与怪物'!$A$41:$F$44,4,FALSE)+IF(5=D27,'难度参数'!$E$30,0))</x:f>
        <x:v>280</x:v>
      </x:c>
      <x:c r="AR27" s="119" t="n">
        <x:f>IF(6&gt;D27,0,MAX(2,MIN('难度参数'!$E$12,ROUND(('难度参数'!$E$18*POWER(A27,'难度参数'!$E$19)/D27*(0.85+0.3*(6-1)/MAX(1,D27-1))),0)+F27)))</x:f>
        <x:v>15</x:v>
      </x:c>
      <x:c r="AS27" s="119" t="n">
        <x:f>IF(6&gt;D27,0,ROUND(('难度参数'!$E$13*POWER(A27,'难度参数'!$E$20)*MIN('难度参数'!$E$23,1+MAX(0,A27-'难度参数'!$E$21)*'难度参数'!$E$22))*(36+6*7)/(36+7*(D27+1)/2)*E27,0))</x:f>
        <x:v>1094</x:v>
      </x:c>
      <x:c r="AT27" s="119" t="n">
        <x:f>IF(AR27=0,0,(AR27-IF(6=D27,1,0))*ROUND(AS27*VLOOKUP(INDEX('章节与怪物'!$E$31:$K$37,B27,6),'章节与怪物'!$A$41:$F$44,2,FALSE),0)+IF(6=D27,ROUND(AS27*'难度参数'!$E$28*'章节与怪物'!$E$17,0),0))</x:f>
        <x:v>27900</x:v>
      </x:c>
      <x:c r="AU27" s="119" t="n">
        <x:f>IF(AR27=0,0,(AR27-IF(6=D27,1,0))*VLOOKUP(INDEX('章节与怪物'!$E$31:$K$37,B27,6),'章节与怪物'!$A$41:$F$44,4,FALSE)+IF(6=D27,'难度参数'!$E$30,0))</x:f>
        <x:v>420</x:v>
      </x:c>
      <x:c r="AV27" s="119" t="n">
        <x:f>IF(7&gt;D27,0,MAX(2,MIN('难度参数'!$E$12,ROUND(('难度参数'!$E$18*POWER(A27,'难度参数'!$E$19)/D27*(0.85+0.3*(7-1)/MAX(1,D27-1))),0)+F27)))</x:f>
        <x:v>16</x:v>
      </x:c>
      <x:c r="AW27" s="119" t="n">
        <x:f>IF(7&gt;D27,0,ROUND(('难度参数'!$E$13*POWER(A27,'难度参数'!$E$20)*MIN('难度参数'!$E$23,1+MAX(0,A27-'难度参数'!$E$21)*'难度参数'!$E$22))*(36+7*7)/(36+7*(D27+1)/2)*E27,0))</x:f>
        <x:v>1193</x:v>
      </x:c>
      <x:c r="AX27" s="119" t="n">
        <x:f>IF(AV27=0,0,(AV27-IF(7=D27,1,0))*ROUND(AW27*VLOOKUP(INDEX('章节与怪物'!$E$31:$K$37,B27,7),'章节与怪物'!$A$41:$F$44,2,FALSE),0)+IF(7=D27,ROUND(AW27*'难度参数'!$E$28*'章节与怪物'!$E$17,0),0))</x:f>
        <x:v>32277</x:v>
      </x:c>
      <x:c r="AY27" s="119" t="n">
        <x:f>IF(AV27=0,0,(AV27-IF(7=D27,1,0))*VLOOKUP(INDEX('章节与怪物'!$E$31:$K$37,B27,7),'章节与怪物'!$A$41:$F$44,4,FALSE)+IF(7=D27,'难度参数'!$E$30,0))</x:f>
        <x:v>710</x:v>
      </x:c>
    </x:row>
    <x:row r="28" ht="23" customHeight="1">
      <x:c r="A28" s="119" t="n">
        <x:v>22</x:v>
      </x:c>
      <x:c r="B28" s="119" t="n">
        <x:f>MOD(INT((A28-1)/5),7)+1</x:f>
        <x:v>5</x:v>
      </x:c>
      <x:c r="C28" s="62" t="str">
        <x:f>INDEX('章节与怪物'!$B$31:$B$37,B28)</x:f>
        <x:v>雨林遗迹</x:v>
      </x:c>
      <x:c r="D28" s="119" t="n">
        <x:f>MIN('难度参数'!$E$8,MAX('难度参数'!$E$7,A28))</x:f>
        <x:v>7</x:v>
      </x:c>
      <x:c r="E28" s="106" t="n">
        <x:v>1</x:v>
      </x:c>
      <x:c r="F28" s="106" t="n">
        <x:v>0</x:v>
      </x:c>
      <x:c r="G28" s="106" t="n">
        <x:v>1</x:v>
      </x:c>
      <x:c r="H28" s="119" t="n">
        <x:f>SUM(X28,AB28,AF28,AJ28,AN28,AR28,AV28)</x:f>
        <x:v>98</x:v>
      </x:c>
      <x:c r="I28" s="119" t="n">
        <x:f>SUM(Z28,AD28,AH28,AL28,AP28,AT28,AX28)</x:f>
        <x:v>123837</x:v>
      </x:c>
      <x:c r="J28" s="119" t="n">
        <x:f>ROUND(INDEX(X28:AY28,1,(D28-1)*4+2)*'难度参数'!$E$28*'章节与怪物'!$E$17,0)</x:f>
        <x:v>8412</x:v>
      </x:c>
      <x:c r="K28" s="119" t="n">
        <x:f>SUM(AA28,AE28,AI28,AM28,AQ28,AU28,AY28)</x:f>
        <x:v>2746</x:v>
      </x:c>
      <x:c r="L28" s="62" t="n">
        <x:f>H28*(ROUNDUP('难度参数'!$E$24/('难度参数'!$E$26*'难度参数'!$E$27),0)*'难度参数'!$E$26)/60</x:f>
        <x:v>1.3066666666666669</x:v>
      </x:c>
      <x:c r="M28" s="62" t="n">
        <x:f>L28+D28*('难度参数'!$E$49+'难度参数'!$E$50)/60</x:f>
        <x:v>2.4733333333333336</x:v>
      </x:c>
      <x:c r="N28" s="119" t="n">
        <x:f>ROUNDDOWN(('经济参数'!$E$20+A28*'经济参数'!$E$21)*G28,0)</x:f>
        <x:v>620</x:v>
      </x:c>
      <x:c r="O28" s="119" t="n">
        <x:f>ROUNDDOWN(MIN('经济参数'!$E$24,'经济参数'!$E$22+A28*'经济参数'!$E$23)*G28,0)</x:f>
        <x:v>0</x:v>
      </x:c>
      <x:c r="P28" s="119" t="n">
        <x:f>ROUNDDOWN((IF(A28&gt;='材料与任务'!$E$31,'材料与任务'!$E$32,IF(A28&gt;='材料与任务'!$E$25,'材料与任务'!$E$26,IF(A28&gt;='材料与任务'!$E$19,'材料与任务'!$E$20,IF(A28&gt;='材料与任务'!$E$13,'材料与任务'!$E$14,'材料与任务'!$E$8)))))*G28,0)</x:f>
        <x:v>3</x:v>
      </x:c>
      <x:c r="Q28" s="119" t="n">
        <x:f>ROUNDDOWN((IF(A28&gt;='材料与任务'!$E$31,'材料与任务'!$E$33,IF(A28&gt;='材料与任务'!$E$25,'材料与任务'!$E$27,IF(A28&gt;='材料与任务'!$E$19,'材料与任务'!$E$21,IF(A28&gt;='材料与任务'!$E$13,'材料与任务'!$E$15,'材料与任务'!$E$9)))))*G28,0)</x:f>
        <x:v>1</x:v>
      </x:c>
      <x:c r="R28" s="110" t="n">
        <x:f>'装备掉落'!$B$38</x:f>
        <x:v>0.6872058758851213</x:v>
      </x:c>
      <x:c r="S28" s="119" t="n">
        <x:f>MAX(IF(VLOOKUP(A28,'装备掉落'!$A$29:$H$34,2,TRUE)&gt;0,1,0),IF(VLOOKUP(A28,'装备掉落'!$A$29:$H$34,3,TRUE)&gt;0,2,0),IF(VLOOKUP(A28,'装备掉落'!$A$29:$H$34,4,TRUE)&gt;0,3,0),IF(VLOOKUP(A28,'装备掉落'!$A$29:$H$34,5,TRUE)&gt;0,4,0),IF(VLOOKUP(A28,'装备掉落'!$A$29:$H$34,6,TRUE)&gt;0,5,0),IF(VLOOKUP(A28,'装备掉落'!$A$29:$H$34,7,TRUE)&gt;0,6,0),IF(VLOOKUP(A28,'装备掉落'!$A$29:$H$34,8,TRUE)&gt;0,7,0))</x:f>
        <x:v>4</x:v>
      </x:c>
      <x:c r="T28" s="119" t="n">
        <x:f>MIN(7,S28+'经济参数'!$E$70)</x:f>
        <x:v>4</x:v>
      </x:c>
      <x:c r="U28" s="119" t="n">
        <x:f>MIN(7,S28+'经济参数'!$E$71)</x:f>
        <x:v>5</x:v>
      </x:c>
      <x:c r="V28" s="119" t="n">
        <x:f>IF(H28&gt;=('难度参数'!$E$52),1,0)+IF(H28&gt;=('难度参数'!$E$52+'难度参数'!$E$53),1,0)+IF(H28&gt;=('难度参数'!$E$52+'难度参数'!$E$53+'难度参数'!$E$54),1,0)+IF(H28&gt;=('难度参数'!$E$52+'难度参数'!$E$53+'难度参数'!$E$54+'难度参数'!$E$55),1,0)+IF(H28&gt;=('难度参数'!$E$52+'难度参数'!$E$53+'难度参数'!$E$54+'难度参数'!$E$55+'难度参数'!$E$56),1,0)+IF(H28&gt;=('难度参数'!$E$52+'难度参数'!$E$53+'难度参数'!$E$54+'难度参数'!$E$55+'难度参数'!$E$56+'难度参数'!$E$57),1,0)</x:f>
        <x:v>6</x:v>
      </x:c>
      <x:c r="W28" s="62" t="str">
        <x:f>IF(L28&gt;'难度参数'!$E$51,"仅出怪已超目标","还需实测")</x:f>
        <x:v>还需实测</x:v>
      </x:c>
      <x:c r="X28" s="119" t="n">
        <x:f>IF(1&gt;D28,0,MAX(2,MIN('难度参数'!$E$12,ROUND(('难度参数'!$E$18*POWER(A28,'难度参数'!$E$19)/D28*(0.85+0.3*(1-1)/MAX(1,D28-1))),0)+F28)))</x:f>
        <x:v>12</x:v>
      </x:c>
      <x:c r="Y28" s="119" t="n">
        <x:f>IF(1&gt;D28,0,ROUND(('难度参数'!$E$13*POWER(A28,'难度参数'!$E$20)*MIN('难度参数'!$E$23,1+MAX(0,A28-'难度参数'!$E$21)*'难度参数'!$E$22))*(36+1*7)/(36+7*(D28+1)/2)*E28,0))</x:f>
        <x:v>626</x:v>
      </x:c>
      <x:c r="Z28" s="119" t="n">
        <x:f>IF(X28=0,0,(X28-IF(1=D28,1,0))*ROUND(Y28*VLOOKUP(INDEX('章节与怪物'!$E$31:$K$37,B28,1),'章节与怪物'!$A$41:$F$44,2,FALSE),0)+IF(1=D28,ROUND(Y28*'难度参数'!$E$28*'章节与怪物'!$E$17,0),0))</x:f>
        <x:v>7512</x:v>
      </x:c>
      <x:c r="AA28" s="119" t="n">
        <x:f>IF(X28=0,0,(X28-IF(1=D28,1,0))*VLOOKUP(INDEX('章节与怪物'!$E$31:$K$37,B28,1),'章节与怪物'!$A$41:$F$44,4,FALSE)+IF(1=D28,'难度参数'!$E$30,0))</x:f>
        <x:v>216</x:v>
      </x:c>
      <x:c r="AB28" s="119" t="n">
        <x:f>IF(2&gt;D28,0,MAX(2,MIN('难度参数'!$E$12,ROUND(('难度参数'!$E$18*POWER(A28,'难度参数'!$E$19)/D28*(0.85+0.3*(2-1)/MAX(1,D28-1))),0)+F28)))</x:f>
        <x:v>13</x:v>
      </x:c>
      <x:c r="AC28" s="119" t="n">
        <x:f>IF(2&gt;D28,0,ROUND(('难度参数'!$E$13*POWER(A28,'难度参数'!$E$20)*MIN('难度参数'!$E$23,1+MAX(0,A28-'难度参数'!$E$21)*'难度参数'!$E$22))*(36+2*7)/(36+7*(D28+1)/2)*E28,0))</x:f>
        <x:v>728</x:v>
      </x:c>
      <x:c r="AD28" s="119" t="n">
        <x:f>IF(AB28=0,0,(AB28-IF(2=D28,1,0))*ROUND(AC28*VLOOKUP(INDEX('章节与怪物'!$E$31:$K$37,B28,2),'章节与怪物'!$A$41:$F$44,2,FALSE),0)+IF(2=D28,ROUND(AC28*'难度参数'!$E$28*'章节与怪物'!$E$17,0),0))</x:f>
        <x:v>6812</x:v>
      </x:c>
      <x:c r="AE28" s="119" t="n">
        <x:f>IF(AB28=0,0,(AB28-IF(2=D28,1,0))*VLOOKUP(INDEX('章节与怪物'!$E$31:$K$37,B28,2),'章节与怪物'!$A$41:$F$44,4,FALSE)+IF(2=D28,'难度参数'!$E$30,0))</x:f>
        <x:v>260</x:v>
      </x:c>
      <x:c r="AF28" s="119" t="n">
        <x:f>IF(3&gt;D28,0,MAX(2,MIN('难度参数'!$E$12,ROUND(('难度参数'!$E$18*POWER(A28,'难度参数'!$E$19)/D28*(0.85+0.3*(3-1)/MAX(1,D28-1))),0)+F28)))</x:f>
        <x:v>13</x:v>
      </x:c>
      <x:c r="AG28" s="119" t="n">
        <x:f>IF(3&gt;D28,0,ROUND(('难度参数'!$E$13*POWER(A28,'难度参数'!$E$20)*MIN('难度参数'!$E$23,1+MAX(0,A28-'难度参数'!$E$21)*'难度参数'!$E$22))*(36+3*7)/(36+7*(D28+1)/2)*E28,0))</x:f>
        <x:v>830</x:v>
      </x:c>
      <x:c r="AH28" s="119" t="n">
        <x:f>IF(AF28=0,0,(AF28-IF(3=D28,1,0))*ROUND(AG28*VLOOKUP(INDEX('章节与怪物'!$E$31:$K$37,B28,3),'章节与怪物'!$A$41:$F$44,2,FALSE),0)+IF(3=D28,ROUND(AG28*'难度参数'!$E$28*'章节与怪物'!$E$17,0),0))</x:f>
        <x:v>18343</x:v>
      </x:c>
      <x:c r="AI28" s="119" t="n">
        <x:f>IF(AF28=0,0,(AF28-IF(3=D28,1,0))*VLOOKUP(INDEX('章节与怪物'!$E$31:$K$37,B28,3),'章节与怪物'!$A$41:$F$44,4,FALSE)+IF(3=D28,'难度参数'!$E$30,0))</x:f>
        <x:v>364</x:v>
      </x:c>
      <x:c r="AJ28" s="119" t="n">
        <x:f>IF(4&gt;D28,0,MAX(2,MIN('难度参数'!$E$12,ROUND(('难度参数'!$E$18*POWER(A28,'难度参数'!$E$19)/D28*(0.85+0.3*(4-1)/MAX(1,D28-1))),0)+F28)))</x:f>
        <x:v>14</x:v>
      </x:c>
      <x:c r="AK28" s="119" t="n">
        <x:f>IF(4&gt;D28,0,ROUND(('难度参数'!$E$13*POWER(A28,'难度参数'!$E$20)*MIN('难度参数'!$E$23,1+MAX(0,A28-'难度参数'!$E$21)*'难度参数'!$E$22))*(36+4*7)/(36+7*(D28+1)/2)*E28,0))</x:f>
        <x:v>931</x:v>
      </x:c>
      <x:c r="AL28" s="119" t="n">
        <x:f>IF(AJ28=0,0,(AJ28-IF(4=D28,1,0))*ROUND(AK28*VLOOKUP(INDEX('章节与怪物'!$E$31:$K$37,B28,4),'章节与怪物'!$A$41:$F$44,2,FALSE),0)+IF(4=D28,ROUND(AK28*'难度参数'!$E$28*'章节与怪物'!$E$17,0),0))</x:f>
        <x:v>17598</x:v>
      </x:c>
      <x:c r="AM28" s="119" t="n">
        <x:f>IF(AJ28=0,0,(AJ28-IF(4=D28,1,0))*VLOOKUP(INDEX('章节与怪物'!$E$31:$K$37,B28,4),'章节与怪物'!$A$41:$F$44,4,FALSE)+IF(4=D28,'难度参数'!$E$30,0))</x:f>
        <x:v>476</x:v>
      </x:c>
      <x:c r="AN28" s="119" t="n">
        <x:f>IF(5&gt;D28,0,MAX(2,MIN('难度参数'!$E$12,ROUND(('难度参数'!$E$18*POWER(A28,'难度参数'!$E$19)/D28*(0.85+0.3*(5-1)/MAX(1,D28-1))),0)+F28)))</x:f>
        <x:v>15</x:v>
      </x:c>
      <x:c r="AO28" s="119" t="n">
        <x:f>IF(5&gt;D28,0,ROUND(('难度参数'!$E$13*POWER(A28,'难度参数'!$E$20)*MIN('难度参数'!$E$23,1+MAX(0,A28-'难度参数'!$E$21)*'难度参数'!$E$22))*(36+5*7)/(36+7*(D28+1)/2)*E28,0))</x:f>
        <x:v>1033</x:v>
      </x:c>
      <x:c r="AP28" s="119" t="n">
        <x:f>IF(AN28=0,0,(AN28-IF(5=D28,1,0))*ROUND(AO28*VLOOKUP(INDEX('章节与怪物'!$E$31:$K$37,B28,5),'章节与怪物'!$A$41:$F$44,2,FALSE),0)+IF(5=D28,ROUND(AO28*'难度参数'!$E$28*'章节与怪物'!$E$17,0),0))</x:f>
        <x:v>11160</x:v>
      </x:c>
      <x:c r="AQ28" s="119" t="n">
        <x:f>IF(AN28=0,0,(AN28-IF(5=D28,1,0))*VLOOKUP(INDEX('章节与怪物'!$E$31:$K$37,B28,5),'章节与怪物'!$A$41:$F$44,4,FALSE)+IF(5=D28,'难度参数'!$E$30,0))</x:f>
        <x:v>300</x:v>
      </x:c>
      <x:c r="AR28" s="119" t="n">
        <x:f>IF(6&gt;D28,0,MAX(2,MIN('难度参数'!$E$12,ROUND(('难度参数'!$E$18*POWER(A28,'难度参数'!$E$19)/D28*(0.85+0.3*(6-1)/MAX(1,D28-1))),0)+F28)))</x:f>
        <x:v>15</x:v>
      </x:c>
      <x:c r="AS28" s="119" t="n">
        <x:f>IF(6&gt;D28,0,ROUND(('难度参数'!$E$13*POWER(A28,'难度参数'!$E$20)*MIN('难度参数'!$E$23,1+MAX(0,A28-'难度参数'!$E$21)*'难度参数'!$E$22))*(36+6*7)/(36+7*(D28+1)/2)*E28,0))</x:f>
        <x:v>1135</x:v>
      </x:c>
      <x:c r="AT28" s="119" t="n">
        <x:f>IF(AR28=0,0,(AR28-IF(6=D28,1,0))*ROUND(AS28*VLOOKUP(INDEX('章节与怪物'!$E$31:$K$37,B28,6),'章节与怪物'!$A$41:$F$44,2,FALSE),0)+IF(6=D28,ROUND(AS28*'难度参数'!$E$28*'章节与怪物'!$E$17,0),0))</x:f>
        <x:v>28950</x:v>
      </x:c>
      <x:c r="AU28" s="119" t="n">
        <x:f>IF(AR28=0,0,(AR28-IF(6=D28,1,0))*VLOOKUP(INDEX('章节与怪物'!$E$31:$K$37,B28,6),'章节与怪物'!$A$41:$F$44,4,FALSE)+IF(6=D28,'难度参数'!$E$30,0))</x:f>
        <x:v>420</x:v>
      </x:c>
      <x:c r="AV28" s="119" t="n">
        <x:f>IF(7&gt;D28,0,MAX(2,MIN('难度参数'!$E$12,ROUND(('难度参数'!$E$18*POWER(A28,'难度参数'!$E$19)/D28*(0.85+0.3*(7-1)/MAX(1,D28-1))),0)+F28)))</x:f>
        <x:v>16</x:v>
      </x:c>
      <x:c r="AW28" s="119" t="n">
        <x:f>IF(7&gt;D28,0,ROUND(('难度参数'!$E$13*POWER(A28,'难度参数'!$E$20)*MIN('难度参数'!$E$23,1+MAX(0,A28-'难度参数'!$E$21)*'难度参数'!$E$22))*(36+7*7)/(36+7*(D28+1)/2)*E28,0))</x:f>
        <x:v>1237</x:v>
      </x:c>
      <x:c r="AX28" s="119" t="n">
        <x:f>IF(AV28=0,0,(AV28-IF(7=D28,1,0))*ROUND(AW28*VLOOKUP(INDEX('章节与怪物'!$E$31:$K$37,B28,7),'章节与怪物'!$A$41:$F$44,2,FALSE),0)+IF(7=D28,ROUND(AW28*'难度参数'!$E$28*'章节与怪物'!$E$17,0),0))</x:f>
        <x:v>33462</x:v>
      </x:c>
      <x:c r="AY28" s="119" t="n">
        <x:f>IF(AV28=0,0,(AV28-IF(7=D28,1,0))*VLOOKUP(INDEX('章节与怪物'!$E$31:$K$37,B28,7),'章节与怪物'!$A$41:$F$44,4,FALSE)+IF(7=D28,'难度参数'!$E$30,0))</x:f>
        <x:v>710</x:v>
      </x:c>
    </x:row>
    <x:row r="29" ht="23" customHeight="1">
      <x:c r="A29" s="119" t="n">
        <x:v>23</x:v>
      </x:c>
      <x:c r="B29" s="119" t="n">
        <x:f>MOD(INT((A29-1)/5),7)+1</x:f>
        <x:v>5</x:v>
      </x:c>
      <x:c r="C29" s="62" t="str">
        <x:f>INDEX('章节与怪物'!$B$31:$B$37,B29)</x:f>
        <x:v>雨林遗迹</x:v>
      </x:c>
      <x:c r="D29" s="119" t="n">
        <x:f>MIN('难度参数'!$E$8,MAX('难度参数'!$E$7,A29))</x:f>
        <x:v>7</x:v>
      </x:c>
      <x:c r="E29" s="106" t="n">
        <x:v>1</x:v>
      </x:c>
      <x:c r="F29" s="106" t="n">
        <x:v>0</x:v>
      </x:c>
      <x:c r="G29" s="106" t="n">
        <x:v>1</x:v>
      </x:c>
      <x:c r="H29" s="119" t="n">
        <x:f>SUM(X29,AB29,AF29,AJ29,AN29,AR29,AV29)</x:f>
        <x:v>99</x:v>
      </x:c>
      <x:c r="I29" s="119" t="n">
        <x:f>SUM(Z29,AD29,AH29,AL29,AP29,AT29,AX29)</x:f>
        <x:v>130237</x:v>
      </x:c>
      <x:c r="J29" s="119" t="n">
        <x:f>ROUND(INDEX(X29:AY29,1,(D29-1)*4+2)*'难度参数'!$E$28*'章节与怪物'!$E$17,0)</x:f>
        <x:v>8711</x:v>
      </x:c>
      <x:c r="K29" s="119" t="n">
        <x:f>SUM(AA29,AE29,AI29,AM29,AQ29,AU29,AY29)</x:f>
        <x:v>2774</x:v>
      </x:c>
      <x:c r="L29" s="62" t="n">
        <x:f>H29*(ROUNDUP('难度参数'!$E$24/('难度参数'!$E$26*'难度参数'!$E$27),0)*'难度参数'!$E$26)/60</x:f>
        <x:v>1.32</x:v>
      </x:c>
      <x:c r="M29" s="62" t="n">
        <x:f>L29+D29*('难度参数'!$E$49+'难度参数'!$E$50)/60</x:f>
        <x:v>2.486666666666667</x:v>
      </x:c>
      <x:c r="N29" s="119" t="n">
        <x:f>ROUNDDOWN(('经济参数'!$E$20+A29*'经济参数'!$E$21)*G29,0)</x:f>
        <x:v>640</x:v>
      </x:c>
      <x:c r="O29" s="119" t="n">
        <x:f>ROUNDDOWN(MIN('经济参数'!$E$24,'经济参数'!$E$22+A29*'经济参数'!$E$23)*G29,0)</x:f>
        <x:v>0</x:v>
      </x:c>
      <x:c r="P29" s="119" t="n">
        <x:f>ROUNDDOWN((IF(A29&gt;='材料与任务'!$E$31,'材料与任务'!$E$32,IF(A29&gt;='材料与任务'!$E$25,'材料与任务'!$E$26,IF(A29&gt;='材料与任务'!$E$19,'材料与任务'!$E$20,IF(A29&gt;='材料与任务'!$E$13,'材料与任务'!$E$14,'材料与任务'!$E$8)))))*G29,0)</x:f>
        <x:v>3</x:v>
      </x:c>
      <x:c r="Q29" s="119" t="n">
        <x:f>ROUNDDOWN((IF(A29&gt;='材料与任务'!$E$31,'材料与任务'!$E$33,IF(A29&gt;='材料与任务'!$E$25,'材料与任务'!$E$27,IF(A29&gt;='材料与任务'!$E$19,'材料与任务'!$E$21,IF(A29&gt;='材料与任务'!$E$13,'材料与任务'!$E$15,'材料与任务'!$E$9)))))*G29,0)</x:f>
        <x:v>1</x:v>
      </x:c>
      <x:c r="R29" s="110" t="n">
        <x:f>'装备掉落'!$B$38</x:f>
        <x:v>0.6872058758851213</x:v>
      </x:c>
      <x:c r="S29" s="119" t="n">
        <x:f>MAX(IF(VLOOKUP(A29,'装备掉落'!$A$29:$H$34,2,TRUE)&gt;0,1,0),IF(VLOOKUP(A29,'装备掉落'!$A$29:$H$34,3,TRUE)&gt;0,2,0),IF(VLOOKUP(A29,'装备掉落'!$A$29:$H$34,4,TRUE)&gt;0,3,0),IF(VLOOKUP(A29,'装备掉落'!$A$29:$H$34,5,TRUE)&gt;0,4,0),IF(VLOOKUP(A29,'装备掉落'!$A$29:$H$34,6,TRUE)&gt;0,5,0),IF(VLOOKUP(A29,'装备掉落'!$A$29:$H$34,7,TRUE)&gt;0,6,0),IF(VLOOKUP(A29,'装备掉落'!$A$29:$H$34,8,TRUE)&gt;0,7,0))</x:f>
        <x:v>4</x:v>
      </x:c>
      <x:c r="T29" s="119" t="n">
        <x:f>MIN(7,S29+'经济参数'!$E$70)</x:f>
        <x:v>4</x:v>
      </x:c>
      <x:c r="U29" s="119" t="n">
        <x:f>MIN(7,S29+'经济参数'!$E$71)</x:f>
        <x:v>5</x:v>
      </x:c>
      <x:c r="V29" s="119" t="n">
        <x:f>IF(H29&gt;=('难度参数'!$E$52),1,0)+IF(H29&gt;=('难度参数'!$E$52+'难度参数'!$E$53),1,0)+IF(H29&gt;=('难度参数'!$E$52+'难度参数'!$E$53+'难度参数'!$E$54),1,0)+IF(H29&gt;=('难度参数'!$E$52+'难度参数'!$E$53+'难度参数'!$E$54+'难度参数'!$E$55),1,0)+IF(H29&gt;=('难度参数'!$E$52+'难度参数'!$E$53+'难度参数'!$E$54+'难度参数'!$E$55+'难度参数'!$E$56),1,0)+IF(H29&gt;=('难度参数'!$E$52+'难度参数'!$E$53+'难度参数'!$E$54+'难度参数'!$E$55+'难度参数'!$E$56+'难度参数'!$E$57),1,0)</x:f>
        <x:v>6</x:v>
      </x:c>
      <x:c r="W29" s="62" t="str">
        <x:f>IF(L29&gt;'难度参数'!$E$51,"仅出怪已超目标","还需实测")</x:f>
        <x:v>还需实测</x:v>
      </x:c>
      <x:c r="X29" s="119" t="n">
        <x:f>IF(1&gt;D29,0,MAX(2,MIN('难度参数'!$E$12,ROUND(('难度参数'!$E$18*POWER(A29,'难度参数'!$E$19)/D29*(0.85+0.3*(1-1)/MAX(1,D29-1))),0)+F29)))</x:f>
        <x:v>12</x:v>
      </x:c>
      <x:c r="Y29" s="119" t="n">
        <x:f>IF(1&gt;D29,0,ROUND(('难度参数'!$E$13*POWER(A29,'难度参数'!$E$20)*MIN('难度参数'!$E$23,1+MAX(0,A29-'难度参数'!$E$21)*'难度参数'!$E$22))*(36+1*7)/(36+7*(D29+1)/2)*E29,0))</x:f>
        <x:v>648</x:v>
      </x:c>
      <x:c r="Z29" s="119" t="n">
        <x:f>IF(X29=0,0,(X29-IF(1=D29,1,0))*ROUND(Y29*VLOOKUP(INDEX('章节与怪物'!$E$31:$K$37,B29,1),'章节与怪物'!$A$41:$F$44,2,FALSE),0)+IF(1=D29,ROUND(Y29*'难度参数'!$E$28*'章节与怪物'!$E$17,0),0))</x:f>
        <x:v>7776</x:v>
      </x:c>
      <x:c r="AA29" s="119" t="n">
        <x:f>IF(X29=0,0,(X29-IF(1=D29,1,0))*VLOOKUP(INDEX('章节与怪物'!$E$31:$K$37,B29,1),'章节与怪物'!$A$41:$F$44,4,FALSE)+IF(1=D29,'难度参数'!$E$30,0))</x:f>
        <x:v>216</x:v>
      </x:c>
      <x:c r="AB29" s="119" t="n">
        <x:f>IF(2&gt;D29,0,MAX(2,MIN('难度参数'!$E$12,ROUND(('难度参数'!$E$18*POWER(A29,'难度参数'!$E$19)/D29*(0.85+0.3*(2-1)/MAX(1,D29-1))),0)+F29)))</x:f>
        <x:v>13</x:v>
      </x:c>
      <x:c r="AC29" s="119" t="n">
        <x:f>IF(2&gt;D29,0,ROUND(('难度参数'!$E$13*POWER(A29,'难度参数'!$E$20)*MIN('难度参数'!$E$23,1+MAX(0,A29-'难度参数'!$E$21)*'难度参数'!$E$22))*(36+2*7)/(36+7*(D29+1)/2)*E29,0))</x:f>
        <x:v>754</x:v>
      </x:c>
      <x:c r="AD29" s="119" t="n">
        <x:f>IF(AB29=0,0,(AB29-IF(2=D29,1,0))*ROUND(AC29*VLOOKUP(INDEX('章节与怪物'!$E$31:$K$37,B29,2),'章节与怪物'!$A$41:$F$44,2,FALSE),0)+IF(2=D29,ROUND(AC29*'难度参数'!$E$28*'章节与怪物'!$E$17,0),0))</x:f>
        <x:v>7059</x:v>
      </x:c>
      <x:c r="AE29" s="119" t="n">
        <x:f>IF(AB29=0,0,(AB29-IF(2=D29,1,0))*VLOOKUP(INDEX('章节与怪物'!$E$31:$K$37,B29,2),'章节与怪物'!$A$41:$F$44,4,FALSE)+IF(2=D29,'难度参数'!$E$30,0))</x:f>
        <x:v>260</x:v>
      </x:c>
      <x:c r="AF29" s="119" t="n">
        <x:f>IF(3&gt;D29,0,MAX(2,MIN('难度参数'!$E$12,ROUND(('难度参数'!$E$18*POWER(A29,'难度参数'!$E$19)/D29*(0.85+0.3*(3-1)/MAX(1,D29-1))),0)+F29)))</x:f>
        <x:v>13</x:v>
      </x:c>
      <x:c r="AG29" s="119" t="n">
        <x:f>IF(3&gt;D29,0,ROUND(('难度参数'!$E$13*POWER(A29,'难度参数'!$E$20)*MIN('难度参数'!$E$23,1+MAX(0,A29-'难度参数'!$E$21)*'难度参数'!$E$22))*(36+3*7)/(36+7*(D29+1)/2)*E29,0))</x:f>
        <x:v>859</x:v>
      </x:c>
      <x:c r="AH29" s="119" t="n">
        <x:f>IF(AF29=0,0,(AF29-IF(3=D29,1,0))*ROUND(AG29*VLOOKUP(INDEX('章节与怪物'!$E$31:$K$37,B29,3),'章节与怪物'!$A$41:$F$44,2,FALSE),0)+IF(3=D29,ROUND(AG29*'难度参数'!$E$28*'章节与怪物'!$E$17,0),0))</x:f>
        <x:v>18980</x:v>
      </x:c>
      <x:c r="AI29" s="119" t="n">
        <x:f>IF(AF29=0,0,(AF29-IF(3=D29,1,0))*VLOOKUP(INDEX('章节与怪物'!$E$31:$K$37,B29,3),'章节与怪物'!$A$41:$F$44,4,FALSE)+IF(3=D29,'难度参数'!$E$30,0))</x:f>
        <x:v>364</x:v>
      </x:c>
      <x:c r="AJ29" s="119" t="n">
        <x:f>IF(4&gt;D29,0,MAX(2,MIN('难度参数'!$E$12,ROUND(('难度参数'!$E$18*POWER(A29,'难度参数'!$E$19)/D29*(0.85+0.3*(4-1)/MAX(1,D29-1))),0)+F29)))</x:f>
        <x:v>14</x:v>
      </x:c>
      <x:c r="AK29" s="119" t="n">
        <x:f>IF(4&gt;D29,0,ROUND(('难度参数'!$E$13*POWER(A29,'难度参数'!$E$20)*MIN('难度参数'!$E$23,1+MAX(0,A29-'难度参数'!$E$21)*'难度参数'!$E$22))*(36+4*7)/(36+7*(D29+1)/2)*E29,0))</x:f>
        <x:v>965</x:v>
      </x:c>
      <x:c r="AL29" s="119" t="n">
        <x:f>IF(AJ29=0,0,(AJ29-IF(4=D29,1,0))*ROUND(AK29*VLOOKUP(INDEX('章节与怪物'!$E$31:$K$37,B29,4),'章节与怪物'!$A$41:$F$44,2,FALSE),0)+IF(4=D29,ROUND(AK29*'难度参数'!$E$28*'章节与怪物'!$E$17,0),0))</x:f>
        <x:v>18242</x:v>
      </x:c>
      <x:c r="AM29" s="119" t="n">
        <x:f>IF(AJ29=0,0,(AJ29-IF(4=D29,1,0))*VLOOKUP(INDEX('章节与怪物'!$E$31:$K$37,B29,4),'章节与怪物'!$A$41:$F$44,4,FALSE)+IF(4=D29,'难度参数'!$E$30,0))</x:f>
        <x:v>476</x:v>
      </x:c>
      <x:c r="AN29" s="119" t="n">
        <x:f>IF(5&gt;D29,0,MAX(2,MIN('难度参数'!$E$12,ROUND(('难度参数'!$E$18*POWER(A29,'难度参数'!$E$19)/D29*(0.85+0.3*(5-1)/MAX(1,D29-1))),0)+F29)))</x:f>
        <x:v>15</x:v>
      </x:c>
      <x:c r="AO29" s="119" t="n">
        <x:f>IF(5&gt;D29,0,ROUND(('难度参数'!$E$13*POWER(A29,'难度参数'!$E$20)*MIN('难度参数'!$E$23,1+MAX(0,A29-'难度参数'!$E$21)*'难度参数'!$E$22))*(36+5*7)/(36+7*(D29+1)/2)*E29,0))</x:f>
        <x:v>1070</x:v>
      </x:c>
      <x:c r="AP29" s="119" t="n">
        <x:f>IF(AN29=0,0,(AN29-IF(5=D29,1,0))*ROUND(AO29*VLOOKUP(INDEX('章节与怪物'!$E$31:$K$37,B29,5),'章节与怪物'!$A$41:$F$44,2,FALSE),0)+IF(5=D29,ROUND(AO29*'难度参数'!$E$28*'章节与怪物'!$E$17,0),0))</x:f>
        <x:v>11550</x:v>
      </x:c>
      <x:c r="AQ29" s="119" t="n">
        <x:f>IF(AN29=0,0,(AN29-IF(5=D29,1,0))*VLOOKUP(INDEX('章节与怪物'!$E$31:$K$37,B29,5),'章节与怪物'!$A$41:$F$44,4,FALSE)+IF(5=D29,'难度参数'!$E$30,0))</x:f>
        <x:v>300</x:v>
      </x:c>
      <x:c r="AR29" s="119" t="n">
        <x:f>IF(6&gt;D29,0,MAX(2,MIN('难度参数'!$E$12,ROUND(('难度参数'!$E$18*POWER(A29,'难度参数'!$E$19)/D29*(0.85+0.3*(6-1)/MAX(1,D29-1))),0)+F29)))</x:f>
        <x:v>16</x:v>
      </x:c>
      <x:c r="AS29" s="119" t="n">
        <x:f>IF(6&gt;D29,0,ROUND(('难度参数'!$E$13*POWER(A29,'难度参数'!$E$20)*MIN('难度参数'!$E$23,1+MAX(0,A29-'难度参数'!$E$21)*'难度参数'!$E$22))*(36+6*7)/(36+7*(D29+1)/2)*E29,0))</x:f>
        <x:v>1176</x:v>
      </x:c>
      <x:c r="AT29" s="119" t="n">
        <x:f>IF(AR29=0,0,(AR29-IF(6=D29,1,0))*ROUND(AS29*VLOOKUP(INDEX('章节与怪物'!$E$31:$K$37,B29,6),'章节与怪物'!$A$41:$F$44,2,FALSE),0)+IF(6=D29,ROUND(AS29*'难度参数'!$E$28*'章节与怪物'!$E$17,0),0))</x:f>
        <x:v>31984</x:v>
      </x:c>
      <x:c r="AU29" s="119" t="n">
        <x:f>IF(AR29=0,0,(AR29-IF(6=D29,1,0))*VLOOKUP(INDEX('章节与怪物'!$E$31:$K$37,B29,6),'章节与怪物'!$A$41:$F$44,4,FALSE)+IF(6=D29,'难度参数'!$E$30,0))</x:f>
        <x:v>448</x:v>
      </x:c>
      <x:c r="AV29" s="119" t="n">
        <x:f>IF(7&gt;D29,0,MAX(2,MIN('难度参数'!$E$12,ROUND(('难度参数'!$E$18*POWER(A29,'难度参数'!$E$19)/D29*(0.85+0.3*(7-1)/MAX(1,D29-1))),0)+F29)))</x:f>
        <x:v>16</x:v>
      </x:c>
      <x:c r="AW29" s="119" t="n">
        <x:f>IF(7&gt;D29,0,ROUND(('难度参数'!$E$13*POWER(A29,'难度参数'!$E$20)*MIN('难度参数'!$E$23,1+MAX(0,A29-'难度参数'!$E$21)*'难度参数'!$E$22))*(36+7*7)/(36+7*(D29+1)/2)*E29,0))</x:f>
        <x:v>1281</x:v>
      </x:c>
      <x:c r="AX29" s="119" t="n">
        <x:f>IF(AV29=0,0,(AV29-IF(7=D29,1,0))*ROUND(AW29*VLOOKUP(INDEX('章节与怪物'!$E$31:$K$37,B29,7),'章节与怪物'!$A$41:$F$44,2,FALSE),0)+IF(7=D29,ROUND(AW29*'难度参数'!$E$28*'章节与怪物'!$E$17,0),0))</x:f>
        <x:v>34646</x:v>
      </x:c>
      <x:c r="AY29" s="119" t="n">
        <x:f>IF(AV29=0,0,(AV29-IF(7=D29,1,0))*VLOOKUP(INDEX('章节与怪物'!$E$31:$K$37,B29,7),'章节与怪物'!$A$41:$F$44,4,FALSE)+IF(7=D29,'难度参数'!$E$30,0))</x:f>
        <x:v>710</x:v>
      </x:c>
    </x:row>
    <x:row r="30" ht="23" customHeight="1">
      <x:c r="A30" s="119" t="n">
        <x:v>24</x:v>
      </x:c>
      <x:c r="B30" s="119" t="n">
        <x:f>MOD(INT((A30-1)/5),7)+1</x:f>
        <x:v>5</x:v>
      </x:c>
      <x:c r="C30" s="62" t="str">
        <x:f>INDEX('章节与怪物'!$B$31:$B$37,B30)</x:f>
        <x:v>雨林遗迹</x:v>
      </x:c>
      <x:c r="D30" s="119" t="n">
        <x:f>MIN('难度参数'!$E$8,MAX('难度参数'!$E$7,A30))</x:f>
        <x:v>7</x:v>
      </x:c>
      <x:c r="E30" s="106" t="n">
        <x:v>1</x:v>
      </x:c>
      <x:c r="F30" s="106" t="n">
        <x:v>0</x:v>
      </x:c>
      <x:c r="G30" s="106" t="n">
        <x:v>1</x:v>
      </x:c>
      <x:c r="H30" s="119" t="n">
        <x:f>SUM(X30,AB30,AF30,AJ30,AN30,AR30,AV30)</x:f>
        <x:v>100</x:v>
      </x:c>
      <x:c r="I30" s="119" t="n">
        <x:f>SUM(Z30,AD30,AH30,AL30,AP30,AT30,AX30)</x:f>
        <x:v>136203</x:v>
      </x:c>
      <x:c r="J30" s="119" t="n">
        <x:f>ROUND(INDEX(X30:AY30,1,(D30-1)*4+2)*'难度参数'!$E$28*'章节与怪物'!$E$17,0)</x:f>
        <x:v>9010</x:v>
      </x:c>
      <x:c r="K30" s="119" t="n">
        <x:f>SUM(AA30,AE30,AI30,AM30,AQ30,AU30,AY30)</x:f>
        <x:v>2802</x:v>
      </x:c>
      <x:c r="L30" s="62" t="n">
        <x:f>H30*(ROUNDUP('难度参数'!$E$24/('难度参数'!$E$26*'难度参数'!$E$27),0)*'难度参数'!$E$26)/60</x:f>
        <x:v>1.3333333333333333</x:v>
      </x:c>
      <x:c r="M30" s="62" t="n">
        <x:f>L30+D30*('难度参数'!$E$49+'难度参数'!$E$50)/60</x:f>
        <x:v>2.5</x:v>
      </x:c>
      <x:c r="N30" s="119" t="n">
        <x:f>ROUNDDOWN(('经济参数'!$E$20+A30*'经济参数'!$E$21)*G30,0)</x:f>
        <x:v>660</x:v>
      </x:c>
      <x:c r="O30" s="119" t="n">
        <x:f>ROUNDDOWN(MIN('经济参数'!$E$24,'经济参数'!$E$22+A30*'经济参数'!$E$23)*G30,0)</x:f>
        <x:v>0</x:v>
      </x:c>
      <x:c r="P30" s="119" t="n">
        <x:f>ROUNDDOWN((IF(A30&gt;='材料与任务'!$E$31,'材料与任务'!$E$32,IF(A30&gt;='材料与任务'!$E$25,'材料与任务'!$E$26,IF(A30&gt;='材料与任务'!$E$19,'材料与任务'!$E$20,IF(A30&gt;='材料与任务'!$E$13,'材料与任务'!$E$14,'材料与任务'!$E$8)))))*G30,0)</x:f>
        <x:v>3</x:v>
      </x:c>
      <x:c r="Q30" s="119" t="n">
        <x:f>ROUNDDOWN((IF(A30&gt;='材料与任务'!$E$31,'材料与任务'!$E$33,IF(A30&gt;='材料与任务'!$E$25,'材料与任务'!$E$27,IF(A30&gt;='材料与任务'!$E$19,'材料与任务'!$E$21,IF(A30&gt;='材料与任务'!$E$13,'材料与任务'!$E$15,'材料与任务'!$E$9)))))*G30,0)</x:f>
        <x:v>1</x:v>
      </x:c>
      <x:c r="R30" s="110" t="n">
        <x:f>'装备掉落'!$B$38</x:f>
        <x:v>0.6872058758851213</x:v>
      </x:c>
      <x:c r="S30" s="119" t="n">
        <x:f>MAX(IF(VLOOKUP(A30,'装备掉落'!$A$29:$H$34,2,TRUE)&gt;0,1,0),IF(VLOOKUP(A30,'装备掉落'!$A$29:$H$34,3,TRUE)&gt;0,2,0),IF(VLOOKUP(A30,'装备掉落'!$A$29:$H$34,4,TRUE)&gt;0,3,0),IF(VLOOKUP(A30,'装备掉落'!$A$29:$H$34,5,TRUE)&gt;0,4,0),IF(VLOOKUP(A30,'装备掉落'!$A$29:$H$34,6,TRUE)&gt;0,5,0),IF(VLOOKUP(A30,'装备掉落'!$A$29:$H$34,7,TRUE)&gt;0,6,0),IF(VLOOKUP(A30,'装备掉落'!$A$29:$H$34,8,TRUE)&gt;0,7,0))</x:f>
        <x:v>4</x:v>
      </x:c>
      <x:c r="T30" s="119" t="n">
        <x:f>MIN(7,S30+'经济参数'!$E$70)</x:f>
        <x:v>4</x:v>
      </x:c>
      <x:c r="U30" s="119" t="n">
        <x:f>MIN(7,S30+'经济参数'!$E$71)</x:f>
        <x:v>5</x:v>
      </x:c>
      <x:c r="V30" s="119" t="n">
        <x:f>IF(H30&gt;=('难度参数'!$E$52),1,0)+IF(H30&gt;=('难度参数'!$E$52+'难度参数'!$E$53),1,0)+IF(H30&gt;=('难度参数'!$E$52+'难度参数'!$E$53+'难度参数'!$E$54),1,0)+IF(H30&gt;=('难度参数'!$E$52+'难度参数'!$E$53+'难度参数'!$E$54+'难度参数'!$E$55),1,0)+IF(H30&gt;=('难度参数'!$E$52+'难度参数'!$E$53+'难度参数'!$E$54+'难度参数'!$E$55+'难度参数'!$E$56),1,0)+IF(H30&gt;=('难度参数'!$E$52+'难度参数'!$E$53+'难度参数'!$E$54+'难度参数'!$E$55+'难度参数'!$E$56+'难度参数'!$E$57),1,0)</x:f>
        <x:v>6</x:v>
      </x:c>
      <x:c r="W30" s="62" t="str">
        <x:f>IF(L30&gt;'难度参数'!$E$51,"仅出怪已超目标","还需实测")</x:f>
        <x:v>还需实测</x:v>
      </x:c>
      <x:c r="X30" s="119" t="n">
        <x:f>IF(1&gt;D30,0,MAX(2,MIN('难度参数'!$E$12,ROUND(('难度参数'!$E$18*POWER(A30,'难度参数'!$E$19)/D30*(0.85+0.3*(1-1)/MAX(1,D30-1))),0)+F30)))</x:f>
        <x:v>12</x:v>
      </x:c>
      <x:c r="Y30" s="119" t="n">
        <x:f>IF(1&gt;D30,0,ROUND(('难度参数'!$E$13*POWER(A30,'难度参数'!$E$20)*MIN('难度参数'!$E$23,1+MAX(0,A30-'难度参数'!$E$21)*'难度参数'!$E$22))*(36+1*7)/(36+7*(D30+1)/2)*E30,0))</x:f>
        <x:v>670</x:v>
      </x:c>
      <x:c r="Z30" s="119" t="n">
        <x:f>IF(X30=0,0,(X30-IF(1=D30,1,0))*ROUND(Y30*VLOOKUP(INDEX('章节与怪物'!$E$31:$K$37,B30,1),'章节与怪物'!$A$41:$F$44,2,FALSE),0)+IF(1=D30,ROUND(Y30*'难度参数'!$E$28*'章节与怪物'!$E$17,0),0))</x:f>
        <x:v>8040</x:v>
      </x:c>
      <x:c r="AA30" s="119" t="n">
        <x:f>IF(X30=0,0,(X30-IF(1=D30,1,0))*VLOOKUP(INDEX('章节与怪物'!$E$31:$K$37,B30,1),'章节与怪物'!$A$41:$F$44,4,FALSE)+IF(1=D30,'难度参数'!$E$30,0))</x:f>
        <x:v>216</x:v>
      </x:c>
      <x:c r="AB30" s="119" t="n">
        <x:f>IF(2&gt;D30,0,MAX(2,MIN('难度参数'!$E$12,ROUND(('难度参数'!$E$18*POWER(A30,'难度参数'!$E$19)/D30*(0.85+0.3*(2-1)/MAX(1,D30-1))),0)+F30)))</x:f>
        <x:v>13</x:v>
      </x:c>
      <x:c r="AC30" s="119" t="n">
        <x:f>IF(2&gt;D30,0,ROUND(('难度参数'!$E$13*POWER(A30,'难度参数'!$E$20)*MIN('难度参数'!$E$23,1+MAX(0,A30-'难度参数'!$E$21)*'难度参数'!$E$22))*(36+2*7)/(36+7*(D30+1)/2)*E30,0))</x:f>
        <x:v>779</x:v>
      </x:c>
      <x:c r="AD30" s="119" t="n">
        <x:f>IF(AB30=0,0,(AB30-IF(2=D30,1,0))*ROUND(AC30*VLOOKUP(INDEX('章节与怪物'!$E$31:$K$37,B30,2),'章节与怪物'!$A$41:$F$44,2,FALSE),0)+IF(2=D30,ROUND(AC30*'难度参数'!$E$28*'章节与怪物'!$E$17,0),0))</x:f>
        <x:v>7293</x:v>
      </x:c>
      <x:c r="AE30" s="119" t="n">
        <x:f>IF(AB30=0,0,(AB30-IF(2=D30,1,0))*VLOOKUP(INDEX('章节与怪物'!$E$31:$K$37,B30,2),'章节与怪物'!$A$41:$F$44,4,FALSE)+IF(2=D30,'难度参数'!$E$30,0))</x:f>
        <x:v>260</x:v>
      </x:c>
      <x:c r="AF30" s="119" t="n">
        <x:f>IF(3&gt;D30,0,MAX(2,MIN('难度参数'!$E$12,ROUND(('难度参数'!$E$18*POWER(A30,'难度参数'!$E$19)/D30*(0.85+0.3*(3-1)/MAX(1,D30-1))),0)+F30)))</x:f>
        <x:v>14</x:v>
      </x:c>
      <x:c r="AG30" s="119" t="n">
        <x:f>IF(3&gt;D30,0,ROUND(('难度参数'!$E$13*POWER(A30,'难度参数'!$E$20)*MIN('难度参数'!$E$23,1+MAX(0,A30-'难度参数'!$E$21)*'难度参数'!$E$22))*(36+3*7)/(36+7*(D30+1)/2)*E30,0))</x:f>
        <x:v>888</x:v>
      </x:c>
      <x:c r="AH30" s="119" t="n">
        <x:f>IF(AF30=0,0,(AF30-IF(3=D30,1,0))*ROUND(AG30*VLOOKUP(INDEX('章节与怪物'!$E$31:$K$37,B30,3),'章节与怪物'!$A$41:$F$44,2,FALSE),0)+IF(3=D30,ROUND(AG30*'难度参数'!$E$28*'章节与怪物'!$E$17,0),0))</x:f>
        <x:v>21140</x:v>
      </x:c>
      <x:c r="AI30" s="119" t="n">
        <x:f>IF(AF30=0,0,(AF30-IF(3=D30,1,0))*VLOOKUP(INDEX('章节与怪物'!$E$31:$K$37,B30,3),'章节与怪物'!$A$41:$F$44,4,FALSE)+IF(3=D30,'难度参数'!$E$30,0))</x:f>
        <x:v>392</x:v>
      </x:c>
      <x:c r="AJ30" s="119" t="n">
        <x:f>IF(4&gt;D30,0,MAX(2,MIN('难度参数'!$E$12,ROUND(('难度参数'!$E$18*POWER(A30,'难度参数'!$E$19)/D30*(0.85+0.3*(4-1)/MAX(1,D30-1))),0)+F30)))</x:f>
        <x:v>14</x:v>
      </x:c>
      <x:c r="AK30" s="119" t="n">
        <x:f>IF(4&gt;D30,0,ROUND(('难度参数'!$E$13*POWER(A30,'难度参数'!$E$20)*MIN('难度参数'!$E$23,1+MAX(0,A30-'难度参数'!$E$21)*'难度参数'!$E$22))*(36+4*7)/(36+7*(D30+1)/2)*E30,0))</x:f>
        <x:v>998</x:v>
      </x:c>
      <x:c r="AL30" s="119" t="n">
        <x:f>IF(AJ30=0,0,(AJ30-IF(4=D30,1,0))*ROUND(AK30*VLOOKUP(INDEX('章节与怪物'!$E$31:$K$37,B30,4),'章节与怪物'!$A$41:$F$44,2,FALSE),0)+IF(4=D30,ROUND(AK30*'难度参数'!$E$28*'章节与怪物'!$E$17,0),0))</x:f>
        <x:v>18858</x:v>
      </x:c>
      <x:c r="AM30" s="119" t="n">
        <x:f>IF(AJ30=0,0,(AJ30-IF(4=D30,1,0))*VLOOKUP(INDEX('章节与怪物'!$E$31:$K$37,B30,4),'章节与怪物'!$A$41:$F$44,4,FALSE)+IF(4=D30,'难度参数'!$E$30,0))</x:f>
        <x:v>476</x:v>
      </x:c>
      <x:c r="AN30" s="119" t="n">
        <x:f>IF(5&gt;D30,0,MAX(2,MIN('难度参数'!$E$12,ROUND(('难度参数'!$E$18*POWER(A30,'难度参数'!$E$19)/D30*(0.85+0.3*(5-1)/MAX(1,D30-1))),0)+F30)))</x:f>
        <x:v>15</x:v>
      </x:c>
      <x:c r="AO30" s="119" t="n">
        <x:f>IF(5&gt;D30,0,ROUND(('难度参数'!$E$13*POWER(A30,'难度参数'!$E$20)*MIN('难度参数'!$E$23,1+MAX(0,A30-'难度参数'!$E$21)*'难度参数'!$E$22))*(36+5*7)/(36+7*(D30+1)/2)*E30,0))</x:f>
        <x:v>1107</x:v>
      </x:c>
      <x:c r="AP30" s="119" t="n">
        <x:f>IF(AN30=0,0,(AN30-IF(5=D30,1,0))*ROUND(AO30*VLOOKUP(INDEX('章节与怪物'!$E$31:$K$37,B30,5),'章节与怪物'!$A$41:$F$44,2,FALSE),0)+IF(5=D30,ROUND(AO30*'难度参数'!$E$28*'章节与怪物'!$E$17,0),0))</x:f>
        <x:v>11955</x:v>
      </x:c>
      <x:c r="AQ30" s="119" t="n">
        <x:f>IF(AN30=0,0,(AN30-IF(5=D30,1,0))*VLOOKUP(INDEX('章节与怪物'!$E$31:$K$37,B30,5),'章节与怪物'!$A$41:$F$44,4,FALSE)+IF(5=D30,'难度参数'!$E$30,0))</x:f>
        <x:v>300</x:v>
      </x:c>
      <x:c r="AR30" s="119" t="n">
        <x:f>IF(6&gt;D30,0,MAX(2,MIN('难度参数'!$E$12,ROUND(('难度参数'!$E$18*POWER(A30,'难度参数'!$E$19)/D30*(0.85+0.3*(6-1)/MAX(1,D30-1))),0)+F30)))</x:f>
        <x:v>16</x:v>
      </x:c>
      <x:c r="AS30" s="119" t="n">
        <x:f>IF(6&gt;D30,0,ROUND(('难度参数'!$E$13*POWER(A30,'难度参数'!$E$20)*MIN('难度参数'!$E$23,1+MAX(0,A30-'难度参数'!$E$21)*'难度参数'!$E$22))*(36+6*7)/(36+7*(D30+1)/2)*E30,0))</x:f>
        <x:v>1216</x:v>
      </x:c>
      <x:c r="AT30" s="119" t="n">
        <x:f>IF(AR30=0,0,(AR30-IF(6=D30,1,0))*ROUND(AS30*VLOOKUP(INDEX('章节与怪物'!$E$31:$K$37,B30,6),'章节与怪物'!$A$41:$F$44,2,FALSE),0)+IF(6=D30,ROUND(AS30*'难度参数'!$E$28*'章节与怪物'!$E$17,0),0))</x:f>
        <x:v>33072</x:v>
      </x:c>
      <x:c r="AU30" s="119" t="n">
        <x:f>IF(AR30=0,0,(AR30-IF(6=D30,1,0))*VLOOKUP(INDEX('章节与怪物'!$E$31:$K$37,B30,6),'章节与怪物'!$A$41:$F$44,4,FALSE)+IF(6=D30,'难度参数'!$E$30,0))</x:f>
        <x:v>448</x:v>
      </x:c>
      <x:c r="AV30" s="119" t="n">
        <x:f>IF(7&gt;D30,0,MAX(2,MIN('难度参数'!$E$12,ROUND(('难度参数'!$E$18*POWER(A30,'难度参数'!$E$19)/D30*(0.85+0.3*(7-1)/MAX(1,D30-1))),0)+F30)))</x:f>
        <x:v>16</x:v>
      </x:c>
      <x:c r="AW30" s="119" t="n">
        <x:f>IF(7&gt;D30,0,ROUND(('难度参数'!$E$13*POWER(A30,'难度参数'!$E$20)*MIN('难度参数'!$E$23,1+MAX(0,A30-'难度参数'!$E$21)*'难度参数'!$E$22))*(36+7*7)/(36+7*(D30+1)/2)*E30,0))</x:f>
        <x:v>1325</x:v>
      </x:c>
      <x:c r="AX30" s="119" t="n">
        <x:f>IF(AV30=0,0,(AV30-IF(7=D30,1,0))*ROUND(AW30*VLOOKUP(INDEX('章节与怪物'!$E$31:$K$37,B30,7),'章节与怪物'!$A$41:$F$44,2,FALSE),0)+IF(7=D30,ROUND(AW30*'难度参数'!$E$28*'章节与怪物'!$E$17,0),0))</x:f>
        <x:v>35845</x:v>
      </x:c>
      <x:c r="AY30" s="119" t="n">
        <x:f>IF(AV30=0,0,(AV30-IF(7=D30,1,0))*VLOOKUP(INDEX('章节与怪物'!$E$31:$K$37,B30,7),'章节与怪物'!$A$41:$F$44,4,FALSE)+IF(7=D30,'难度参数'!$E$30,0))</x:f>
        <x:v>710</x:v>
      </x:c>
    </x:row>
    <x:row r="31" ht="23" customHeight="1">
      <x:c r="A31" s="119" t="n">
        <x:v>25</x:v>
      </x:c>
      <x:c r="B31" s="119" t="n">
        <x:f>MOD(INT((A31-1)/5),7)+1</x:f>
        <x:v>5</x:v>
      </x:c>
      <x:c r="C31" s="62" t="str">
        <x:f>INDEX('章节与怪物'!$B$31:$B$37,B31)</x:f>
        <x:v>雨林遗迹</x:v>
      </x:c>
      <x:c r="D31" s="119" t="n">
        <x:f>MIN('难度参数'!$E$8,MAX('难度参数'!$E$7,A31))</x:f>
        <x:v>7</x:v>
      </x:c>
      <x:c r="E31" s="106" t="n">
        <x:v>1</x:v>
      </x:c>
      <x:c r="F31" s="106" t="n">
        <x:v>0</x:v>
      </x:c>
      <x:c r="G31" s="106" t="n">
        <x:v>1</x:v>
      </x:c>
      <x:c r="H31" s="119" t="n">
        <x:f>SUM(X31,AB31,AF31,AJ31,AN31,AR31,AV31)</x:f>
        <x:v>102</x:v>
      </x:c>
      <x:c r="I31" s="119" t="n">
        <x:f>SUM(Z31,AD31,AH31,AL31,AP31,AT31,AX31)</x:f>
        <x:v>143922</x:v>
      </x:c>
      <x:c r="J31" s="119" t="n">
        <x:f>ROUND(INDEX(X31:AY31,1,(D31-1)*4+2)*'难度参数'!$E$28*'章节与怪物'!$E$17,0)</x:f>
        <x:v>9302</x:v>
      </x:c>
      <x:c r="K31" s="119" t="n">
        <x:f>SUM(AA31,AE31,AI31,AM31,AQ31,AU31,AY31)</x:f>
        <x:v>2870</x:v>
      </x:c>
      <x:c r="L31" s="62" t="n">
        <x:f>H31*(ROUNDUP('难度参数'!$E$24/('难度参数'!$E$26*'难度参数'!$E$27),0)*'难度参数'!$E$26)/60</x:f>
        <x:v>1.36</x:v>
      </x:c>
      <x:c r="M31" s="62" t="n">
        <x:f>L31+D31*('难度参数'!$E$49+'难度参数'!$E$50)/60</x:f>
        <x:v>2.526666666666667</x:v>
      </x:c>
      <x:c r="N31" s="119" t="n">
        <x:f>ROUNDDOWN(('经济参数'!$E$20+A31*'经济参数'!$E$21)*G31,0)</x:f>
        <x:v>680</x:v>
      </x:c>
      <x:c r="O31" s="119" t="n">
        <x:f>ROUNDDOWN(MIN('经济参数'!$E$24,'经济参数'!$E$22+A31*'经济参数'!$E$23)*G31,0)</x:f>
        <x:v>0</x:v>
      </x:c>
      <x:c r="P31" s="119" t="n">
        <x:f>ROUNDDOWN((IF(A31&gt;='材料与任务'!$E$31,'材料与任务'!$E$32,IF(A31&gt;='材料与任务'!$E$25,'材料与任务'!$E$26,IF(A31&gt;='材料与任务'!$E$19,'材料与任务'!$E$20,IF(A31&gt;='材料与任务'!$E$13,'材料与任务'!$E$14,'材料与任务'!$E$8)))))*G31,0)</x:f>
        <x:v>3</x:v>
      </x:c>
      <x:c r="Q31" s="119" t="n">
        <x:f>ROUNDDOWN((IF(A31&gt;='材料与任务'!$E$31,'材料与任务'!$E$33,IF(A31&gt;='材料与任务'!$E$25,'材料与任务'!$E$27,IF(A31&gt;='材料与任务'!$E$19,'材料与任务'!$E$21,IF(A31&gt;='材料与任务'!$E$13,'材料与任务'!$E$15,'材料与任务'!$E$9)))))*G31,0)</x:f>
        <x:v>1</x:v>
      </x:c>
      <x:c r="R31" s="110" t="n">
        <x:f>'装备掉落'!$B$38</x:f>
        <x:v>0.6872058758851213</x:v>
      </x:c>
      <x:c r="S31" s="119" t="n">
        <x:f>MAX(IF(VLOOKUP(A31,'装备掉落'!$A$29:$H$34,2,TRUE)&gt;0,1,0),IF(VLOOKUP(A31,'装备掉落'!$A$29:$H$34,3,TRUE)&gt;0,2,0),IF(VLOOKUP(A31,'装备掉落'!$A$29:$H$34,4,TRUE)&gt;0,3,0),IF(VLOOKUP(A31,'装备掉落'!$A$29:$H$34,5,TRUE)&gt;0,4,0),IF(VLOOKUP(A31,'装备掉落'!$A$29:$H$34,6,TRUE)&gt;0,5,0),IF(VLOOKUP(A31,'装备掉落'!$A$29:$H$34,7,TRUE)&gt;0,6,0),IF(VLOOKUP(A31,'装备掉落'!$A$29:$H$34,8,TRUE)&gt;0,7,0))</x:f>
        <x:v>4</x:v>
      </x:c>
      <x:c r="T31" s="119" t="n">
        <x:f>MIN(7,S31+'经济参数'!$E$70)</x:f>
        <x:v>4</x:v>
      </x:c>
      <x:c r="U31" s="119" t="n">
        <x:f>MIN(7,S31+'经济参数'!$E$71)</x:f>
        <x:v>5</x:v>
      </x:c>
      <x:c r="V31" s="119" t="n">
        <x:f>IF(H31&gt;=('难度参数'!$E$52),1,0)+IF(H31&gt;=('难度参数'!$E$52+'难度参数'!$E$53),1,0)+IF(H31&gt;=('难度参数'!$E$52+'难度参数'!$E$53+'难度参数'!$E$54),1,0)+IF(H31&gt;=('难度参数'!$E$52+'难度参数'!$E$53+'难度参数'!$E$54+'难度参数'!$E$55),1,0)+IF(H31&gt;=('难度参数'!$E$52+'难度参数'!$E$53+'难度参数'!$E$54+'难度参数'!$E$55+'难度参数'!$E$56),1,0)+IF(H31&gt;=('难度参数'!$E$52+'难度参数'!$E$53+'难度参数'!$E$54+'难度参数'!$E$55+'难度参数'!$E$56+'难度参数'!$E$57),1,0)</x:f>
        <x:v>6</x:v>
      </x:c>
      <x:c r="W31" s="62" t="str">
        <x:f>IF(L31&gt;'难度参数'!$E$51,"仅出怪已超目标","还需实测")</x:f>
        <x:v>还需实测</x:v>
      </x:c>
      <x:c r="X31" s="119" t="n">
        <x:f>IF(1&gt;D31,0,MAX(2,MIN('难度参数'!$E$12,ROUND(('难度参数'!$E$18*POWER(A31,'难度参数'!$E$19)/D31*(0.85+0.3*(1-1)/MAX(1,D31-1))),0)+F31)))</x:f>
        <x:v>12</x:v>
      </x:c>
      <x:c r="Y31" s="119" t="n">
        <x:f>IF(1&gt;D31,0,ROUND(('难度参数'!$E$13*POWER(A31,'难度参数'!$E$20)*MIN('难度参数'!$E$23,1+MAX(0,A31-'难度参数'!$E$21)*'难度参数'!$E$22))*(36+1*7)/(36+7*(D31+1)/2)*E31,0))</x:f>
        <x:v>692</x:v>
      </x:c>
      <x:c r="Z31" s="119" t="n">
        <x:f>IF(X31=0,0,(X31-IF(1=D31,1,0))*ROUND(Y31*VLOOKUP(INDEX('章节与怪物'!$E$31:$K$37,B31,1),'章节与怪物'!$A$41:$F$44,2,FALSE),0)+IF(1=D31,ROUND(Y31*'难度参数'!$E$28*'章节与怪物'!$E$17,0),0))</x:f>
        <x:v>8304</x:v>
      </x:c>
      <x:c r="AA31" s="119" t="n">
        <x:f>IF(X31=0,0,(X31-IF(1=D31,1,0))*VLOOKUP(INDEX('章节与怪物'!$E$31:$K$37,B31,1),'章节与怪物'!$A$41:$F$44,4,FALSE)+IF(1=D31,'难度参数'!$E$30,0))</x:f>
        <x:v>216</x:v>
      </x:c>
      <x:c r="AB31" s="119" t="n">
        <x:f>IF(2&gt;D31,0,MAX(2,MIN('难度参数'!$E$12,ROUND(('难度参数'!$E$18*POWER(A31,'难度参数'!$E$19)/D31*(0.85+0.3*(2-1)/MAX(1,D31-1))),0)+F31)))</x:f>
        <x:v>13</x:v>
      </x:c>
      <x:c r="AC31" s="119" t="n">
        <x:f>IF(2&gt;D31,0,ROUND(('难度参数'!$E$13*POWER(A31,'难度参数'!$E$20)*MIN('难度参数'!$E$23,1+MAX(0,A31-'难度参数'!$E$21)*'难度参数'!$E$22))*(36+2*7)/(36+7*(D31+1)/2)*E31,0))</x:f>
        <x:v>805</x:v>
      </x:c>
      <x:c r="AD31" s="119" t="n">
        <x:f>IF(AB31=0,0,(AB31-IF(2=D31,1,0))*ROUND(AC31*VLOOKUP(INDEX('章节与怪物'!$E$31:$K$37,B31,2),'章节与怪物'!$A$41:$F$44,2,FALSE),0)+IF(2=D31,ROUND(AC31*'难度参数'!$E$28*'章节与怪物'!$E$17,0),0))</x:f>
        <x:v>7540</x:v>
      </x:c>
      <x:c r="AE31" s="119" t="n">
        <x:f>IF(AB31=0,0,(AB31-IF(2=D31,1,0))*VLOOKUP(INDEX('章节与怪物'!$E$31:$K$37,B31,2),'章节与怪物'!$A$41:$F$44,4,FALSE)+IF(2=D31,'难度参数'!$E$30,0))</x:f>
        <x:v>260</x:v>
      </x:c>
      <x:c r="AF31" s="119" t="n">
        <x:f>IF(3&gt;D31,0,MAX(2,MIN('难度参数'!$E$12,ROUND(('难度参数'!$E$18*POWER(A31,'难度参数'!$E$19)/D31*(0.85+0.3*(3-1)/MAX(1,D31-1))),0)+F31)))</x:f>
        <x:v>14</x:v>
      </x:c>
      <x:c r="AG31" s="119" t="n">
        <x:f>IF(3&gt;D31,0,ROUND(('难度参数'!$E$13*POWER(A31,'难度参数'!$E$20)*MIN('难度参数'!$E$23,1+MAX(0,A31-'难度参数'!$E$21)*'难度参数'!$E$22))*(36+3*7)/(36+7*(D31+1)/2)*E31,0))</x:f>
        <x:v>918</x:v>
      </x:c>
      <x:c r="AH31" s="119" t="n">
        <x:f>IF(AF31=0,0,(AF31-IF(3=D31,1,0))*ROUND(AG31*VLOOKUP(INDEX('章节与怪物'!$E$31:$K$37,B31,3),'章节与怪物'!$A$41:$F$44,2,FALSE),0)+IF(3=D31,ROUND(AG31*'难度参数'!$E$28*'章节与怪物'!$E$17,0),0))</x:f>
        <x:v>21854</x:v>
      </x:c>
      <x:c r="AI31" s="119" t="n">
        <x:f>IF(AF31=0,0,(AF31-IF(3=D31,1,0))*VLOOKUP(INDEX('章节与怪物'!$E$31:$K$37,B31,3),'章节与怪物'!$A$41:$F$44,4,FALSE)+IF(3=D31,'难度参数'!$E$30,0))</x:f>
        <x:v>392</x:v>
      </x:c>
      <x:c r="AJ31" s="119" t="n">
        <x:f>IF(4&gt;D31,0,MAX(2,MIN('难度参数'!$E$12,ROUND(('难度参数'!$E$18*POWER(A31,'难度参数'!$E$19)/D31*(0.85+0.3*(4-1)/MAX(1,D31-1))),0)+F31)))</x:f>
        <x:v>15</x:v>
      </x:c>
      <x:c r="AK31" s="119" t="n">
        <x:f>IF(4&gt;D31,0,ROUND(('难度参数'!$E$13*POWER(A31,'难度参数'!$E$20)*MIN('难度参数'!$E$23,1+MAX(0,A31-'难度参数'!$E$21)*'难度参数'!$E$22))*(36+4*7)/(36+7*(D31+1)/2)*E31,0))</x:f>
        <x:v>1030</x:v>
      </x:c>
      <x:c r="AL31" s="119" t="n">
        <x:f>IF(AJ31=0,0,(AJ31-IF(4=D31,1,0))*ROUND(AK31*VLOOKUP(INDEX('章节与怪物'!$E$31:$K$37,B31,4),'章节与怪物'!$A$41:$F$44,2,FALSE),0)+IF(4=D31,ROUND(AK31*'难度参数'!$E$28*'章节与怪物'!$E$17,0),0))</x:f>
        <x:v>20865</x:v>
      </x:c>
      <x:c r="AM31" s="119" t="n">
        <x:f>IF(AJ31=0,0,(AJ31-IF(4=D31,1,0))*VLOOKUP(INDEX('章节与怪物'!$E$31:$K$37,B31,4),'章节与怪物'!$A$41:$F$44,4,FALSE)+IF(4=D31,'难度参数'!$E$30,0))</x:f>
        <x:v>510</x:v>
      </x:c>
      <x:c r="AN31" s="119" t="n">
        <x:f>IF(5&gt;D31,0,MAX(2,MIN('难度参数'!$E$12,ROUND(('难度参数'!$E$18*POWER(A31,'难度参数'!$E$19)/D31*(0.85+0.3*(5-1)/MAX(1,D31-1))),0)+F31)))</x:f>
        <x:v>15</x:v>
      </x:c>
      <x:c r="AO31" s="119" t="n">
        <x:f>IF(5&gt;D31,0,ROUND(('难度参数'!$E$13*POWER(A31,'难度参数'!$E$20)*MIN('难度参数'!$E$23,1+MAX(0,A31-'难度参数'!$E$21)*'难度参数'!$E$22))*(36+5*7)/(36+7*(D31+1)/2)*E31,0))</x:f>
        <x:v>1143</x:v>
      </x:c>
      <x:c r="AP31" s="119" t="n">
        <x:f>IF(AN31=0,0,(AN31-IF(5=D31,1,0))*ROUND(AO31*VLOOKUP(INDEX('章节与怪物'!$E$31:$K$37,B31,5),'章节与怪物'!$A$41:$F$44,2,FALSE),0)+IF(5=D31,ROUND(AO31*'难度参数'!$E$28*'章节与怪物'!$E$17,0),0))</x:f>
        <x:v>12345</x:v>
      </x:c>
      <x:c r="AQ31" s="119" t="n">
        <x:f>IF(AN31=0,0,(AN31-IF(5=D31,1,0))*VLOOKUP(INDEX('章节与怪物'!$E$31:$K$37,B31,5),'章节与怪物'!$A$41:$F$44,4,FALSE)+IF(5=D31,'难度参数'!$E$30,0))</x:f>
        <x:v>300</x:v>
      </x:c>
      <x:c r="AR31" s="119" t="n">
        <x:f>IF(6&gt;D31,0,MAX(2,MIN('难度参数'!$E$12,ROUND(('难度参数'!$E$18*POWER(A31,'难度参数'!$E$19)/D31*(0.85+0.3*(6-1)/MAX(1,D31-1))),0)+F31)))</x:f>
        <x:v>16</x:v>
      </x:c>
      <x:c r="AS31" s="119" t="n">
        <x:f>IF(6&gt;D31,0,ROUND(('难度参数'!$E$13*POWER(A31,'难度参数'!$E$20)*MIN('难度参数'!$E$23,1+MAX(0,A31-'难度参数'!$E$21)*'难度参数'!$E$22))*(36+6*7)/(36+7*(D31+1)/2)*E31,0))</x:f>
        <x:v>1256</x:v>
      </x:c>
      <x:c r="AT31" s="119" t="n">
        <x:f>IF(AR31=0,0,(AR31-IF(6=D31,1,0))*ROUND(AS31*VLOOKUP(INDEX('章节与怪物'!$E$31:$K$37,B31,6),'章节与怪物'!$A$41:$F$44,2,FALSE),0)+IF(6=D31,ROUND(AS31*'难度参数'!$E$28*'章节与怪物'!$E$17,0),0))</x:f>
        <x:v>34160</x:v>
      </x:c>
      <x:c r="AU31" s="119" t="n">
        <x:f>IF(AR31=0,0,(AR31-IF(6=D31,1,0))*VLOOKUP(INDEX('章节与怪物'!$E$31:$K$37,B31,6),'章节与怪物'!$A$41:$F$44,4,FALSE)+IF(6=D31,'难度参数'!$E$30,0))</x:f>
        <x:v>448</x:v>
      </x:c>
      <x:c r="AV31" s="119" t="n">
        <x:f>IF(7&gt;D31,0,MAX(2,MIN('难度参数'!$E$12,ROUND(('难度参数'!$E$18*POWER(A31,'难度参数'!$E$19)/D31*(0.85+0.3*(7-1)/MAX(1,D31-1))),0)+F31)))</x:f>
        <x:v>17</x:v>
      </x:c>
      <x:c r="AW31" s="119" t="n">
        <x:f>IF(7&gt;D31,0,ROUND(('难度参数'!$E$13*POWER(A31,'难度参数'!$E$20)*MIN('难度参数'!$E$23,1+MAX(0,A31-'难度参数'!$E$21)*'难度参数'!$E$22))*(36+7*7)/(36+7*(D31+1)/2)*E31,0))</x:f>
        <x:v>1368</x:v>
      </x:c>
      <x:c r="AX31" s="119" t="n">
        <x:f>IF(AV31=0,0,(AV31-IF(7=D31,1,0))*ROUND(AW31*VLOOKUP(INDEX('章节与怪物'!$E$31:$K$37,B31,7),'章节与怪物'!$A$41:$F$44,2,FALSE),0)+IF(7=D31,ROUND(AW31*'难度参数'!$E$28*'章节与怪物'!$E$17,0),0))</x:f>
        <x:v>38854</x:v>
      </x:c>
      <x:c r="AY31" s="119" t="n">
        <x:f>IF(AV31=0,0,(AV31-IF(7=D31,1,0))*VLOOKUP(INDEX('章节与怪物'!$E$31:$K$37,B31,7),'章节与怪物'!$A$41:$F$44,4,FALSE)+IF(7=D31,'难度参数'!$E$30,0))</x:f>
        <x:v>744</x:v>
      </x:c>
    </x:row>
    <x:row r="32" ht="23" customHeight="1">
      <x:c r="A32" s="119" t="n">
        <x:v>26</x:v>
      </x:c>
      <x:c r="B32" s="119" t="n">
        <x:f>MOD(INT((A32-1)/5),7)+1</x:f>
        <x:v>6</x:v>
      </x:c>
      <x:c r="C32" s="62" t="str">
        <x:f>INDEX('章节与怪物'!$B$31:$B$37,B32)</x:f>
        <x:v>熔岩山脉</x:v>
      </x:c>
      <x:c r="D32" s="119" t="n">
        <x:f>MIN('难度参数'!$E$8,MAX('难度参数'!$E$7,A32))</x:f>
        <x:v>7</x:v>
      </x:c>
      <x:c r="E32" s="106" t="n">
        <x:v>1</x:v>
      </x:c>
      <x:c r="F32" s="106" t="n">
        <x:v>0</x:v>
      </x:c>
      <x:c r="G32" s="106" t="n">
        <x:v>1</x:v>
      </x:c>
      <x:c r="H32" s="119" t="n">
        <x:f>SUM(X32,AB32,AF32,AJ32,AN32,AR32,AV32)</x:f>
        <x:v>103</x:v>
      </x:c>
      <x:c r="I32" s="119" t="n">
        <x:f>SUM(Z32,AD32,AH32,AL32,AP32,AT32,AX32)</x:f>
        <x:v>154568</x:v>
      </x:c>
      <x:c r="J32" s="119" t="n">
        <x:f>ROUND(INDEX(X32:AY32,1,(D32-1)*4+2)*'难度参数'!$E$28*'章节与怪物'!$E$17,0)</x:f>
        <x:v>9602</x:v>
      </x:c>
      <x:c r="K32" s="119" t="n">
        <x:f>SUM(AA32,AE32,AI32,AM32,AQ32,AU32,AY32)</x:f>
        <x:v>2858</x:v>
      </x:c>
      <x:c r="L32" s="62" t="n">
        <x:f>H32*(ROUNDUP('难度参数'!$E$24/('难度参数'!$E$26*'难度参数'!$E$27),0)*'难度参数'!$E$26)/60</x:f>
        <x:v>1.3733333333333335</x:v>
      </x:c>
      <x:c r="M32" s="62" t="n">
        <x:f>L32+D32*('难度参数'!$E$49+'难度参数'!$E$50)/60</x:f>
        <x:v>2.54</x:v>
      </x:c>
      <x:c r="N32" s="119" t="n">
        <x:f>ROUNDDOWN(('经济参数'!$E$20+A32*'经济参数'!$E$21)*G32,0)</x:f>
        <x:v>700</x:v>
      </x:c>
      <x:c r="O32" s="119" t="n">
        <x:f>ROUNDDOWN(MIN('经济参数'!$E$24,'经济参数'!$E$22+A32*'经济参数'!$E$23)*G32,0)</x:f>
        <x:v>0</x:v>
      </x:c>
      <x:c r="P32" s="119" t="n">
        <x:f>ROUNDDOWN((IF(A32&gt;='材料与任务'!$E$31,'材料与任务'!$E$32,IF(A32&gt;='材料与任务'!$E$25,'材料与任务'!$E$26,IF(A32&gt;='材料与任务'!$E$19,'材料与任务'!$E$20,IF(A32&gt;='材料与任务'!$E$13,'材料与任务'!$E$14,'材料与任务'!$E$8)))))*G32,0)</x:f>
        <x:v>3</x:v>
      </x:c>
      <x:c r="Q32" s="119" t="n">
        <x:f>ROUNDDOWN((IF(A32&gt;='材料与任务'!$E$31,'材料与任务'!$E$33,IF(A32&gt;='材料与任务'!$E$25,'材料与任务'!$E$27,IF(A32&gt;='材料与任务'!$E$19,'材料与任务'!$E$21,IF(A32&gt;='材料与任务'!$E$13,'材料与任务'!$E$15,'材料与任务'!$E$9)))))*G32,0)</x:f>
        <x:v>1</x:v>
      </x:c>
      <x:c r="R32" s="110" t="n">
        <x:f>'装备掉落'!$B$38</x:f>
        <x:v>0.6872058758851213</x:v>
      </x:c>
      <x:c r="S32" s="119" t="n">
        <x:f>MAX(IF(VLOOKUP(A32,'装备掉落'!$A$29:$H$34,2,TRUE)&gt;0,1,0),IF(VLOOKUP(A32,'装备掉落'!$A$29:$H$34,3,TRUE)&gt;0,2,0),IF(VLOOKUP(A32,'装备掉落'!$A$29:$H$34,4,TRUE)&gt;0,3,0),IF(VLOOKUP(A32,'装备掉落'!$A$29:$H$34,5,TRUE)&gt;0,4,0),IF(VLOOKUP(A32,'装备掉落'!$A$29:$H$34,6,TRUE)&gt;0,5,0),IF(VLOOKUP(A32,'装备掉落'!$A$29:$H$34,7,TRUE)&gt;0,6,0),IF(VLOOKUP(A32,'装备掉落'!$A$29:$H$34,8,TRUE)&gt;0,7,0))</x:f>
        <x:v>4</x:v>
      </x:c>
      <x:c r="T32" s="119" t="n">
        <x:f>MIN(7,S32+'经济参数'!$E$70)</x:f>
        <x:v>4</x:v>
      </x:c>
      <x:c r="U32" s="119" t="n">
        <x:f>MIN(7,S32+'经济参数'!$E$71)</x:f>
        <x:v>5</x:v>
      </x:c>
      <x:c r="V32" s="119" t="n">
        <x:f>IF(H32&gt;=('难度参数'!$E$52),1,0)+IF(H32&gt;=('难度参数'!$E$52+'难度参数'!$E$53),1,0)+IF(H32&gt;=('难度参数'!$E$52+'难度参数'!$E$53+'难度参数'!$E$54),1,0)+IF(H32&gt;=('难度参数'!$E$52+'难度参数'!$E$53+'难度参数'!$E$54+'难度参数'!$E$55),1,0)+IF(H32&gt;=('难度参数'!$E$52+'难度参数'!$E$53+'难度参数'!$E$54+'难度参数'!$E$55+'难度参数'!$E$56),1,0)+IF(H32&gt;=('难度参数'!$E$52+'难度参数'!$E$53+'难度参数'!$E$54+'难度参数'!$E$55+'难度参数'!$E$56+'难度参数'!$E$57),1,0)</x:f>
        <x:v>6</x:v>
      </x:c>
      <x:c r="W32" s="62" t="str">
        <x:f>IF(L32&gt;'难度参数'!$E$51,"仅出怪已超目标","还需实测")</x:f>
        <x:v>还需实测</x:v>
      </x:c>
      <x:c r="X32" s="119" t="n">
        <x:f>IF(1&gt;D32,0,MAX(2,MIN('难度参数'!$E$12,ROUND(('难度参数'!$E$18*POWER(A32,'难度参数'!$E$19)/D32*(0.85+0.3*(1-1)/MAX(1,D32-1))),0)+F32)))</x:f>
        <x:v>13</x:v>
      </x:c>
      <x:c r="Y32" s="119" t="n">
        <x:f>IF(1&gt;D32,0,ROUND(('难度参数'!$E$13*POWER(A32,'难度参数'!$E$20)*MIN('难度参数'!$E$23,1+MAX(0,A32-'难度参数'!$E$21)*'难度参数'!$E$22))*(36+1*7)/(36+7*(D32+1)/2)*E32,0))</x:f>
        <x:v>714</x:v>
      </x:c>
      <x:c r="Z32" s="119" t="n">
        <x:f>IF(X32=0,0,(X32-IF(1=D32,1,0))*ROUND(Y32*VLOOKUP(INDEX('章节与怪物'!$E$31:$K$37,B32,1),'章节与怪物'!$A$41:$F$44,2,FALSE),0)+IF(1=D32,ROUND(Y32*'难度参数'!$E$28*'章节与怪物'!$E$17,0),0))</x:f>
        <x:v>6682</x:v>
      </x:c>
      <x:c r="AA32" s="119" t="n">
        <x:f>IF(X32=0,0,(X32-IF(1=D32,1,0))*VLOOKUP(INDEX('章节与怪物'!$E$31:$K$37,B32,1),'章节与怪物'!$A$41:$F$44,4,FALSE)+IF(1=D32,'难度参数'!$E$30,0))</x:f>
        <x:v>260</x:v>
      </x:c>
      <x:c r="AB32" s="119" t="n">
        <x:f>IF(2&gt;D32,0,MAX(2,MIN('难度参数'!$E$12,ROUND(('难度参数'!$E$18*POWER(A32,'难度参数'!$E$19)/D32*(0.85+0.3*(2-1)/MAX(1,D32-1))),0)+F32)))</x:f>
        <x:v>13</x:v>
      </x:c>
      <x:c r="AC32" s="119" t="n">
        <x:f>IF(2&gt;D32,0,ROUND(('难度参数'!$E$13*POWER(A32,'难度参数'!$E$20)*MIN('难度参数'!$E$23,1+MAX(0,A32-'难度参数'!$E$21)*'难度参数'!$E$22))*(36+2*7)/(36+7*(D32+1)/2)*E32,0))</x:f>
        <x:v>830</x:v>
      </x:c>
      <x:c r="AD32" s="119" t="n">
        <x:f>IF(AB32=0,0,(AB32-IF(2=D32,1,0))*ROUND(AC32*VLOOKUP(INDEX('章节与怪物'!$E$31:$K$37,B32,2),'章节与怪物'!$A$41:$F$44,2,FALSE),0)+IF(2=D32,ROUND(AC32*'难度参数'!$E$28*'章节与怪物'!$E$17,0),0))</x:f>
        <x:v>10790</x:v>
      </x:c>
      <x:c r="AE32" s="119" t="n">
        <x:f>IF(AB32=0,0,(AB32-IF(2=D32,1,0))*VLOOKUP(INDEX('章节与怪物'!$E$31:$K$37,B32,2),'章节与怪物'!$A$41:$F$44,4,FALSE)+IF(2=D32,'难度参数'!$E$30,0))</x:f>
        <x:v>234</x:v>
      </x:c>
      <x:c r="AF32" s="119" t="n">
        <x:f>IF(3&gt;D32,0,MAX(2,MIN('难度参数'!$E$12,ROUND(('难度参数'!$E$18*POWER(A32,'难度参数'!$E$19)/D32*(0.85+0.3*(3-1)/MAX(1,D32-1))),0)+F32)))</x:f>
        <x:v>14</x:v>
      </x:c>
      <x:c r="AG32" s="119" t="n">
        <x:f>IF(3&gt;D32,0,ROUND(('难度参数'!$E$13*POWER(A32,'难度参数'!$E$20)*MIN('难度参数'!$E$23,1+MAX(0,A32-'难度参数'!$E$21)*'难度参数'!$E$22))*(36+3*7)/(36+7*(D32+1)/2)*E32,0))</x:f>
        <x:v>947</x:v>
      </x:c>
      <x:c r="AH32" s="119" t="n">
        <x:f>IF(AF32=0,0,(AF32-IF(3=D32,1,0))*ROUND(AG32*VLOOKUP(INDEX('章节与怪物'!$E$31:$K$37,B32,3),'章节与怪物'!$A$41:$F$44,2,FALSE),0)+IF(3=D32,ROUND(AG32*'难度参数'!$E$28*'章节与怪物'!$E$17,0),0))</x:f>
        <x:v>22540</x:v>
      </x:c>
      <x:c r="AI32" s="119" t="n">
        <x:f>IF(AF32=0,0,(AF32-IF(3=D32,1,0))*VLOOKUP(INDEX('章节与怪物'!$E$31:$K$37,B32,3),'章节与怪物'!$A$41:$F$44,4,FALSE)+IF(3=D32,'难度参数'!$E$30,0))</x:f>
        <x:v>392</x:v>
      </x:c>
      <x:c r="AJ32" s="119" t="n">
        <x:f>IF(4&gt;D32,0,MAX(2,MIN('难度参数'!$E$12,ROUND(('难度参数'!$E$18*POWER(A32,'难度参数'!$E$19)/D32*(0.85+0.3*(4-1)/MAX(1,D32-1))),0)+F32)))</x:f>
        <x:v>15</x:v>
      </x:c>
      <x:c r="AK32" s="119" t="n">
        <x:f>IF(4&gt;D32,0,ROUND(('难度参数'!$E$13*POWER(A32,'难度参数'!$E$20)*MIN('难度参数'!$E$23,1+MAX(0,A32-'难度参数'!$E$21)*'难度参数'!$E$22))*(36+4*7)/(36+7*(D32+1)/2)*E32,0))</x:f>
        <x:v>1063</x:v>
      </x:c>
      <x:c r="AL32" s="119" t="n">
        <x:f>IF(AJ32=0,0,(AJ32-IF(4=D32,1,0))*ROUND(AK32*VLOOKUP(INDEX('章节与怪物'!$E$31:$K$37,B32,4),'章节与怪物'!$A$41:$F$44,2,FALSE),0)+IF(4=D32,ROUND(AK32*'难度参数'!$E$28*'章节与怪物'!$E$17,0),0))</x:f>
        <x:v>21525</x:v>
      </x:c>
      <x:c r="AM32" s="119" t="n">
        <x:f>IF(AJ32=0,0,(AJ32-IF(4=D32,1,0))*VLOOKUP(INDEX('章节与怪物'!$E$31:$K$37,B32,4),'章节与怪物'!$A$41:$F$44,4,FALSE)+IF(4=D32,'难度参数'!$E$30,0))</x:f>
        <x:v>510</x:v>
      </x:c>
      <x:c r="AN32" s="119" t="n">
        <x:f>IF(5&gt;D32,0,MAX(2,MIN('难度参数'!$E$12,ROUND(('难度参数'!$E$18*POWER(A32,'难度参数'!$E$19)/D32*(0.85+0.3*(5-1)/MAX(1,D32-1))),0)+F32)))</x:f>
        <x:v>15</x:v>
      </x:c>
      <x:c r="AO32" s="119" t="n">
        <x:f>IF(5&gt;D32,0,ROUND(('难度参数'!$E$13*POWER(A32,'难度参数'!$E$20)*MIN('难度参数'!$E$23,1+MAX(0,A32-'难度参数'!$E$21)*'难度参数'!$E$22))*(36+5*7)/(36+7*(D32+1)/2)*E32,0))</x:f>
        <x:v>1179</x:v>
      </x:c>
      <x:c r="AP32" s="119" t="n">
        <x:f>IF(AN32=0,0,(AN32-IF(5=D32,1,0))*ROUND(AO32*VLOOKUP(INDEX('章节与怪物'!$E$31:$K$37,B32,5),'章节与怪物'!$A$41:$F$44,2,FALSE),0)+IF(5=D32,ROUND(AO32*'难度参数'!$E$28*'章节与怪物'!$E$17,0),0))</x:f>
        <x:v>17685</x:v>
      </x:c>
      <x:c r="AQ32" s="119" t="n">
        <x:f>IF(AN32=0,0,(AN32-IF(5=D32,1,0))*VLOOKUP(INDEX('章节与怪物'!$E$31:$K$37,B32,5),'章节与怪物'!$A$41:$F$44,4,FALSE)+IF(5=D32,'难度参数'!$E$30,0))</x:f>
        <x:v>270</x:v>
      </x:c>
      <x:c r="AR32" s="119" t="n">
        <x:f>IF(6&gt;D32,0,MAX(2,MIN('难度参数'!$E$12,ROUND(('难度参数'!$E$18*POWER(A32,'难度参数'!$E$19)/D32*(0.85+0.3*(6-1)/MAX(1,D32-1))),0)+F32)))</x:f>
        <x:v>16</x:v>
      </x:c>
      <x:c r="AS32" s="119" t="n">
        <x:f>IF(6&gt;D32,0,ROUND(('难度参数'!$E$13*POWER(A32,'难度参数'!$E$20)*MIN('难度参数'!$E$23,1+MAX(0,A32-'难度参数'!$E$21)*'难度参数'!$E$22))*(36+6*7)/(36+7*(D32+1)/2)*E32,0))</x:f>
        <x:v>1296</x:v>
      </x:c>
      <x:c r="AT32" s="119" t="n">
        <x:f>IF(AR32=0,0,(AR32-IF(6=D32,1,0))*ROUND(AS32*VLOOKUP(INDEX('章节与怪物'!$E$31:$K$37,B32,6),'章节与怪物'!$A$41:$F$44,2,FALSE),0)+IF(6=D32,ROUND(AS32*'难度参数'!$E$28*'章节与怪物'!$E$17,0),0))</x:f>
        <x:v>35248</x:v>
      </x:c>
      <x:c r="AU32" s="119" t="n">
        <x:f>IF(AR32=0,0,(AR32-IF(6=D32,1,0))*VLOOKUP(INDEX('章节与怪物'!$E$31:$K$37,B32,6),'章节与怪物'!$A$41:$F$44,4,FALSE)+IF(6=D32,'难度参数'!$E$30,0))</x:f>
        <x:v>448</x:v>
      </x:c>
      <x:c r="AV32" s="119" t="n">
        <x:f>IF(7&gt;D32,0,MAX(2,MIN('难度参数'!$E$12,ROUND(('难度参数'!$E$18*POWER(A32,'难度参数'!$E$19)/D32*(0.85+0.3*(7-1)/MAX(1,D32-1))),0)+F32)))</x:f>
        <x:v>17</x:v>
      </x:c>
      <x:c r="AW32" s="119" t="n">
        <x:f>IF(7&gt;D32,0,ROUND(('难度参数'!$E$13*POWER(A32,'难度参数'!$E$20)*MIN('难度参数'!$E$23,1+MAX(0,A32-'难度参数'!$E$21)*'难度参数'!$E$22))*(36+7*7)/(36+7*(D32+1)/2)*E32,0))</x:f>
        <x:v>1412</x:v>
      </x:c>
      <x:c r="AX32" s="119" t="n">
        <x:f>IF(AV32=0,0,(AV32-IF(7=D32,1,0))*ROUND(AW32*VLOOKUP(INDEX('章节与怪物'!$E$31:$K$37,B32,7),'章节与怪物'!$A$41:$F$44,2,FALSE),0)+IF(7=D32,ROUND(AW32*'难度参数'!$E$28*'章节与怪物'!$E$17,0),0))</x:f>
        <x:v>40098</x:v>
      </x:c>
      <x:c r="AY32" s="119" t="n">
        <x:f>IF(AV32=0,0,(AV32-IF(7=D32,1,0))*VLOOKUP(INDEX('章节与怪物'!$E$31:$K$37,B32,7),'章节与怪物'!$A$41:$F$44,4,FALSE)+IF(7=D32,'难度参数'!$E$30,0))</x:f>
        <x:v>744</x:v>
      </x:c>
    </x:row>
    <x:row r="33" ht="23" customHeight="1">
      <x:c r="A33" s="119" t="n">
        <x:v>27</x:v>
      </x:c>
      <x:c r="B33" s="119" t="n">
        <x:f>MOD(INT((A33-1)/5),7)+1</x:f>
        <x:v>6</x:v>
      </x:c>
      <x:c r="C33" s="62" t="str">
        <x:f>INDEX('章节与怪物'!$B$31:$B$37,B33)</x:f>
        <x:v>熔岩山脉</x:v>
      </x:c>
      <x:c r="D33" s="119" t="n">
        <x:f>MIN('难度参数'!$E$8,MAX('难度参数'!$E$7,A33))</x:f>
        <x:v>7</x:v>
      </x:c>
      <x:c r="E33" s="106" t="n">
        <x:v>1</x:v>
      </x:c>
      <x:c r="F33" s="106" t="n">
        <x:v>0</x:v>
      </x:c>
      <x:c r="G33" s="106" t="n">
        <x:v>1</x:v>
      </x:c>
      <x:c r="H33" s="119" t="n">
        <x:f>SUM(X33,AB33,AF33,AJ33,AN33,AR33,AV33)</x:f>
        <x:v>104</x:v>
      </x:c>
      <x:c r="I33" s="119" t="n">
        <x:f>SUM(Z33,AD33,AH33,AL33,AP33,AT33,AX33)</x:f>
        <x:v>160492</x:v>
      </x:c>
      <x:c r="J33" s="119" t="n">
        <x:f>ROUND(INDEX(X33:AY33,1,(D33-1)*4+2)*'难度参数'!$E$28*'章节与怪物'!$E$17,0)</x:f>
        <x:v>9894</x:v>
      </x:c>
      <x:c r="K33" s="119" t="n">
        <x:f>SUM(AA33,AE33,AI33,AM33,AQ33,AU33,AY33)</x:f>
        <x:v>2876</x:v>
      </x:c>
      <x:c r="L33" s="62" t="n">
        <x:f>H33*(ROUNDUP('难度参数'!$E$24/('难度参数'!$E$26*'难度参数'!$E$27),0)*'难度参数'!$E$26)/60</x:f>
        <x:v>1.3866666666666667</x:v>
      </x:c>
      <x:c r="M33" s="62" t="n">
        <x:f>L33+D33*('难度参数'!$E$49+'难度参数'!$E$50)/60</x:f>
        <x:v>2.5533333333333337</x:v>
      </x:c>
      <x:c r="N33" s="119" t="n">
        <x:f>ROUNDDOWN(('经济参数'!$E$20+A33*'经济参数'!$E$21)*G33,0)</x:f>
        <x:v>720</x:v>
      </x:c>
      <x:c r="O33" s="119" t="n">
        <x:f>ROUNDDOWN(MIN('经济参数'!$E$24,'经济参数'!$E$22+A33*'经济参数'!$E$23)*G33,0)</x:f>
        <x:v>0</x:v>
      </x:c>
      <x:c r="P33" s="119" t="n">
        <x:f>ROUNDDOWN((IF(A33&gt;='材料与任务'!$E$31,'材料与任务'!$E$32,IF(A33&gt;='材料与任务'!$E$25,'材料与任务'!$E$26,IF(A33&gt;='材料与任务'!$E$19,'材料与任务'!$E$20,IF(A33&gt;='材料与任务'!$E$13,'材料与任务'!$E$14,'材料与任务'!$E$8)))))*G33,0)</x:f>
        <x:v>3</x:v>
      </x:c>
      <x:c r="Q33" s="119" t="n">
        <x:f>ROUNDDOWN((IF(A33&gt;='材料与任务'!$E$31,'材料与任务'!$E$33,IF(A33&gt;='材料与任务'!$E$25,'材料与任务'!$E$27,IF(A33&gt;='材料与任务'!$E$19,'材料与任务'!$E$21,IF(A33&gt;='材料与任务'!$E$13,'材料与任务'!$E$15,'材料与任务'!$E$9)))))*G33,0)</x:f>
        <x:v>1</x:v>
      </x:c>
      <x:c r="R33" s="110" t="n">
        <x:f>'装备掉落'!$B$38</x:f>
        <x:v>0.6872058758851213</x:v>
      </x:c>
      <x:c r="S33" s="119" t="n">
        <x:f>MAX(IF(VLOOKUP(A33,'装备掉落'!$A$29:$H$34,2,TRUE)&gt;0,1,0),IF(VLOOKUP(A33,'装备掉落'!$A$29:$H$34,3,TRUE)&gt;0,2,0),IF(VLOOKUP(A33,'装备掉落'!$A$29:$H$34,4,TRUE)&gt;0,3,0),IF(VLOOKUP(A33,'装备掉落'!$A$29:$H$34,5,TRUE)&gt;0,4,0),IF(VLOOKUP(A33,'装备掉落'!$A$29:$H$34,6,TRUE)&gt;0,5,0),IF(VLOOKUP(A33,'装备掉落'!$A$29:$H$34,7,TRUE)&gt;0,6,0),IF(VLOOKUP(A33,'装备掉落'!$A$29:$H$34,8,TRUE)&gt;0,7,0))</x:f>
        <x:v>4</x:v>
      </x:c>
      <x:c r="T33" s="119" t="n">
        <x:f>MIN(7,S33+'经济参数'!$E$70)</x:f>
        <x:v>4</x:v>
      </x:c>
      <x:c r="U33" s="119" t="n">
        <x:f>MIN(7,S33+'经济参数'!$E$71)</x:f>
        <x:v>5</x:v>
      </x:c>
      <x:c r="V33" s="119" t="n">
        <x:f>IF(H33&gt;=('难度参数'!$E$52),1,0)+IF(H33&gt;=('难度参数'!$E$52+'难度参数'!$E$53),1,0)+IF(H33&gt;=('难度参数'!$E$52+'难度参数'!$E$53+'难度参数'!$E$54),1,0)+IF(H33&gt;=('难度参数'!$E$52+'难度参数'!$E$53+'难度参数'!$E$54+'难度参数'!$E$55),1,0)+IF(H33&gt;=('难度参数'!$E$52+'难度参数'!$E$53+'难度参数'!$E$54+'难度参数'!$E$55+'难度参数'!$E$56),1,0)+IF(H33&gt;=('难度参数'!$E$52+'难度参数'!$E$53+'难度参数'!$E$54+'难度参数'!$E$55+'难度参数'!$E$56+'难度参数'!$E$57),1,0)</x:f>
        <x:v>6</x:v>
      </x:c>
      <x:c r="W33" s="62" t="str">
        <x:f>IF(L33&gt;'难度参数'!$E$51,"仅出怪已超目标","还需实测")</x:f>
        <x:v>还需实测</x:v>
      </x:c>
      <x:c r="X33" s="119" t="n">
        <x:f>IF(1&gt;D33,0,MAX(2,MIN('难度参数'!$E$12,ROUND(('难度参数'!$E$18*POWER(A33,'难度参数'!$E$19)/D33*(0.85+0.3*(1-1)/MAX(1,D33-1))),0)+F33)))</x:f>
        <x:v>13</x:v>
      </x:c>
      <x:c r="Y33" s="119" t="n">
        <x:f>IF(1&gt;D33,0,ROUND(('难度参数'!$E$13*POWER(A33,'难度参数'!$E$20)*MIN('难度参数'!$E$23,1+MAX(0,A33-'难度参数'!$E$21)*'难度参数'!$E$22))*(36+1*7)/(36+7*(D33+1)/2)*E33,0))</x:f>
        <x:v>736</x:v>
      </x:c>
      <x:c r="Z33" s="119" t="n">
        <x:f>IF(X33=0,0,(X33-IF(1=D33,1,0))*ROUND(Y33*VLOOKUP(INDEX('章节与怪物'!$E$31:$K$37,B33,1),'章节与怪物'!$A$41:$F$44,2,FALSE),0)+IF(1=D33,ROUND(Y33*'难度参数'!$E$28*'章节与怪物'!$E$17,0),0))</x:f>
        <x:v>6890</x:v>
      </x:c>
      <x:c r="AA33" s="119" t="n">
        <x:f>IF(X33=0,0,(X33-IF(1=D33,1,0))*VLOOKUP(INDEX('章节与怪物'!$E$31:$K$37,B33,1),'章节与怪物'!$A$41:$F$44,4,FALSE)+IF(1=D33,'难度参数'!$E$30,0))</x:f>
        <x:v>260</x:v>
      </x:c>
      <x:c r="AB33" s="119" t="n">
        <x:f>IF(2&gt;D33,0,MAX(2,MIN('难度参数'!$E$12,ROUND(('难度参数'!$E$18*POWER(A33,'难度参数'!$E$19)/D33*(0.85+0.3*(2-1)/MAX(1,D33-1))),0)+F33)))</x:f>
        <x:v>13</x:v>
      </x:c>
      <x:c r="AC33" s="119" t="n">
        <x:f>IF(2&gt;D33,0,ROUND(('难度参数'!$E$13*POWER(A33,'难度参数'!$E$20)*MIN('难度参数'!$E$23,1+MAX(0,A33-'难度参数'!$E$21)*'难度参数'!$E$22))*(36+2*7)/(36+7*(D33+1)/2)*E33,0))</x:f>
        <x:v>856</x:v>
      </x:c>
      <x:c r="AD33" s="119" t="n">
        <x:f>IF(AB33=0,0,(AB33-IF(2=D33,1,0))*ROUND(AC33*VLOOKUP(INDEX('章节与怪物'!$E$31:$K$37,B33,2),'章节与怪物'!$A$41:$F$44,2,FALSE),0)+IF(2=D33,ROUND(AC33*'难度参数'!$E$28*'章节与怪物'!$E$17,0),0))</x:f>
        <x:v>11128</x:v>
      </x:c>
      <x:c r="AE33" s="119" t="n">
        <x:f>IF(AB33=0,0,(AB33-IF(2=D33,1,0))*VLOOKUP(INDEX('章节与怪物'!$E$31:$K$37,B33,2),'章节与怪物'!$A$41:$F$44,4,FALSE)+IF(2=D33,'难度参数'!$E$30,0))</x:f>
        <x:v>234</x:v>
      </x:c>
      <x:c r="AF33" s="119" t="n">
        <x:f>IF(3&gt;D33,0,MAX(2,MIN('难度参数'!$E$12,ROUND(('难度参数'!$E$18*POWER(A33,'难度参数'!$E$19)/D33*(0.85+0.3*(3-1)/MAX(1,D33-1))),0)+F33)))</x:f>
        <x:v>14</x:v>
      </x:c>
      <x:c r="AG33" s="119" t="n">
        <x:f>IF(3&gt;D33,0,ROUND(('难度参数'!$E$13*POWER(A33,'难度参数'!$E$20)*MIN('难度参数'!$E$23,1+MAX(0,A33-'难度参数'!$E$21)*'难度参数'!$E$22))*(36+3*7)/(36+7*(D33+1)/2)*E33,0))</x:f>
        <x:v>976</x:v>
      </x:c>
      <x:c r="AH33" s="119" t="n">
        <x:f>IF(AF33=0,0,(AF33-IF(3=D33,1,0))*ROUND(AG33*VLOOKUP(INDEX('章节与怪物'!$E$31:$K$37,B33,3),'章节与怪物'!$A$41:$F$44,2,FALSE),0)+IF(3=D33,ROUND(AG33*'难度参数'!$E$28*'章节与怪物'!$E$17,0),0))</x:f>
        <x:v>23226</x:v>
      </x:c>
      <x:c r="AI33" s="119" t="n">
        <x:f>IF(AF33=0,0,(AF33-IF(3=D33,1,0))*VLOOKUP(INDEX('章节与怪物'!$E$31:$K$37,B33,3),'章节与怪物'!$A$41:$F$44,4,FALSE)+IF(3=D33,'难度参数'!$E$30,0))</x:f>
        <x:v>392</x:v>
      </x:c>
      <x:c r="AJ33" s="119" t="n">
        <x:f>IF(4&gt;D33,0,MAX(2,MIN('难度参数'!$E$12,ROUND(('难度参数'!$E$18*POWER(A33,'难度参数'!$E$19)/D33*(0.85+0.3*(4-1)/MAX(1,D33-1))),0)+F33)))</x:f>
        <x:v>15</x:v>
      </x:c>
      <x:c r="AK33" s="119" t="n">
        <x:f>IF(4&gt;D33,0,ROUND(('难度参数'!$E$13*POWER(A33,'难度参数'!$E$20)*MIN('难度参数'!$E$23,1+MAX(0,A33-'难度参数'!$E$21)*'难度参数'!$E$22))*(36+4*7)/(36+7*(D33+1)/2)*E33,0))</x:f>
        <x:v>1095</x:v>
      </x:c>
      <x:c r="AL33" s="119" t="n">
        <x:f>IF(AJ33=0,0,(AJ33-IF(4=D33,1,0))*ROUND(AK33*VLOOKUP(INDEX('章节与怪物'!$E$31:$K$37,B33,4),'章节与怪物'!$A$41:$F$44,2,FALSE),0)+IF(4=D33,ROUND(AK33*'难度参数'!$E$28*'章节与怪物'!$E$17,0),0))</x:f>
        <x:v>22170</x:v>
      </x:c>
      <x:c r="AM33" s="119" t="n">
        <x:f>IF(AJ33=0,0,(AJ33-IF(4=D33,1,0))*VLOOKUP(INDEX('章节与怪物'!$E$31:$K$37,B33,4),'章节与怪物'!$A$41:$F$44,4,FALSE)+IF(4=D33,'难度参数'!$E$30,0))</x:f>
        <x:v>510</x:v>
      </x:c>
      <x:c r="AN33" s="119" t="n">
        <x:f>IF(5&gt;D33,0,MAX(2,MIN('难度参数'!$E$12,ROUND(('难度参数'!$E$18*POWER(A33,'难度参数'!$E$19)/D33*(0.85+0.3*(5-1)/MAX(1,D33-1))),0)+F33)))</x:f>
        <x:v>16</x:v>
      </x:c>
      <x:c r="AO33" s="119" t="n">
        <x:f>IF(5&gt;D33,0,ROUND(('难度参数'!$E$13*POWER(A33,'难度参数'!$E$20)*MIN('难度参数'!$E$23,1+MAX(0,A33-'难度参数'!$E$21)*'难度参数'!$E$22))*(36+5*7)/(36+7*(D33+1)/2)*E33,0))</x:f>
        <x:v>1215</x:v>
      </x:c>
      <x:c r="AP33" s="119" t="n">
        <x:f>IF(AN33=0,0,(AN33-IF(5=D33,1,0))*ROUND(AO33*VLOOKUP(INDEX('章节与怪物'!$E$31:$K$37,B33,5),'章节与怪物'!$A$41:$F$44,2,FALSE),0)+IF(5=D33,ROUND(AO33*'难度参数'!$E$28*'章节与怪物'!$E$17,0),0))</x:f>
        <x:v>19440</x:v>
      </x:c>
      <x:c r="AQ33" s="119" t="n">
        <x:f>IF(AN33=0,0,(AN33-IF(5=D33,1,0))*VLOOKUP(INDEX('章节与怪物'!$E$31:$K$37,B33,5),'章节与怪物'!$A$41:$F$44,4,FALSE)+IF(5=D33,'难度参数'!$E$30,0))</x:f>
        <x:v>288</x:v>
      </x:c>
      <x:c r="AR33" s="119" t="n">
        <x:f>IF(6&gt;D33,0,MAX(2,MIN('难度参数'!$E$12,ROUND(('难度参数'!$E$18*POWER(A33,'难度参数'!$E$19)/D33*(0.85+0.3*(6-1)/MAX(1,D33-1))),0)+F33)))</x:f>
        <x:v>16</x:v>
      </x:c>
      <x:c r="AS33" s="119" t="n">
        <x:f>IF(6&gt;D33,0,ROUND(('难度参数'!$E$13*POWER(A33,'难度参数'!$E$20)*MIN('难度参数'!$E$23,1+MAX(0,A33-'难度参数'!$E$21)*'难度参数'!$E$22))*(36+6*7)/(36+7*(D33+1)/2)*E33,0))</x:f>
        <x:v>1335</x:v>
      </x:c>
      <x:c r="AT33" s="119" t="n">
        <x:f>IF(AR33=0,0,(AR33-IF(6=D33,1,0))*ROUND(AS33*VLOOKUP(INDEX('章节与怪物'!$E$31:$K$37,B33,6),'章节与怪物'!$A$41:$F$44,2,FALSE),0)+IF(6=D33,ROUND(AS33*'难度参数'!$E$28*'章节与怪物'!$E$17,0),0))</x:f>
        <x:v>36320</x:v>
      </x:c>
      <x:c r="AU33" s="119" t="n">
        <x:f>IF(AR33=0,0,(AR33-IF(6=D33,1,0))*VLOOKUP(INDEX('章节与怪物'!$E$31:$K$37,B33,6),'章节与怪物'!$A$41:$F$44,4,FALSE)+IF(6=D33,'难度参数'!$E$30,0))</x:f>
        <x:v>448</x:v>
      </x:c>
      <x:c r="AV33" s="119" t="n">
        <x:f>IF(7&gt;D33,0,MAX(2,MIN('难度参数'!$E$12,ROUND(('难度参数'!$E$18*POWER(A33,'难度参数'!$E$19)/D33*(0.85+0.3*(7-1)/MAX(1,D33-1))),0)+F33)))</x:f>
        <x:v>17</x:v>
      </x:c>
      <x:c r="AW33" s="119" t="n">
        <x:f>IF(7&gt;D33,0,ROUND(('难度参数'!$E$13*POWER(A33,'难度参数'!$E$20)*MIN('难度参数'!$E$23,1+MAX(0,A33-'难度参数'!$E$21)*'难度参数'!$E$22))*(36+7*7)/(36+7*(D33+1)/2)*E33,0))</x:f>
        <x:v>1455</x:v>
      </x:c>
      <x:c r="AX33" s="119" t="n">
        <x:f>IF(AV33=0,0,(AV33-IF(7=D33,1,0))*ROUND(AW33*VLOOKUP(INDEX('章节与怪物'!$E$31:$K$37,B33,7),'章节与怪物'!$A$41:$F$44,2,FALSE),0)+IF(7=D33,ROUND(AW33*'难度参数'!$E$28*'章节与怪物'!$E$17,0),0))</x:f>
        <x:v>41318</x:v>
      </x:c>
      <x:c r="AY33" s="119" t="n">
        <x:f>IF(AV33=0,0,(AV33-IF(7=D33,1,0))*VLOOKUP(INDEX('章节与怪物'!$E$31:$K$37,B33,7),'章节与怪物'!$A$41:$F$44,4,FALSE)+IF(7=D33,'难度参数'!$E$30,0))</x:f>
        <x:v>744</x:v>
      </x:c>
    </x:row>
    <x:row r="34" ht="23" customHeight="1">
      <x:c r="A34" s="119" t="n">
        <x:v>28</x:v>
      </x:c>
      <x:c r="B34" s="119" t="n">
        <x:f>MOD(INT((A34-1)/5),7)+1</x:f>
        <x:v>6</x:v>
      </x:c>
      <x:c r="C34" s="62" t="str">
        <x:f>INDEX('章节与怪物'!$B$31:$B$37,B34)</x:f>
        <x:v>熔岩山脉</x:v>
      </x:c>
      <x:c r="D34" s="119" t="n">
        <x:f>MIN('难度参数'!$E$8,MAX('难度参数'!$E$7,A34))</x:f>
        <x:v>7</x:v>
      </x:c>
      <x:c r="E34" s="106" t="n">
        <x:v>1</x:v>
      </x:c>
      <x:c r="F34" s="106" t="n">
        <x:v>0</x:v>
      </x:c>
      <x:c r="G34" s="106" t="n">
        <x:v>1</x:v>
      </x:c>
      <x:c r="H34" s="119" t="n">
        <x:f>SUM(X34,AB34,AF34,AJ34,AN34,AR34,AV34)</x:f>
        <x:v>106</x:v>
      </x:c>
      <x:c r="I34" s="119" t="n">
        <x:f>SUM(Z34,AD34,AH34,AL34,AP34,AT34,AX34)</x:f>
        <x:v>168475</x:v>
      </x:c>
      <x:c r="J34" s="119" t="n">
        <x:f>ROUND(INDEX(X34:AY34,1,(D34-1)*4+2)*'难度参数'!$E$28*'章节与怪物'!$E$17,0)</x:f>
        <x:v>10186</x:v>
      </x:c>
      <x:c r="K34" s="119" t="n">
        <x:f>SUM(AA34,AE34,AI34,AM34,AQ34,AU34,AY34)</x:f>
        <x:v>2922</x:v>
      </x:c>
      <x:c r="L34" s="62" t="n">
        <x:f>H34*(ROUNDUP('难度参数'!$E$24/('难度参数'!$E$26*'难度参数'!$E$27),0)*'难度参数'!$E$26)/60</x:f>
        <x:v>1.4133333333333336</x:v>
      </x:c>
      <x:c r="M34" s="62" t="n">
        <x:f>L34+D34*('难度参数'!$E$49+'难度参数'!$E$50)/60</x:f>
        <x:v>2.58</x:v>
      </x:c>
      <x:c r="N34" s="119" t="n">
        <x:f>ROUNDDOWN(('经济参数'!$E$20+A34*'经济参数'!$E$21)*G34,0)</x:f>
        <x:v>740</x:v>
      </x:c>
      <x:c r="O34" s="119" t="n">
        <x:f>ROUNDDOWN(MIN('经济参数'!$E$24,'经济参数'!$E$22+A34*'经济参数'!$E$23)*G34,0)</x:f>
        <x:v>0</x:v>
      </x:c>
      <x:c r="P34" s="119" t="n">
        <x:f>ROUNDDOWN((IF(A34&gt;='材料与任务'!$E$31,'材料与任务'!$E$32,IF(A34&gt;='材料与任务'!$E$25,'材料与任务'!$E$26,IF(A34&gt;='材料与任务'!$E$19,'材料与任务'!$E$20,IF(A34&gt;='材料与任务'!$E$13,'材料与任务'!$E$14,'材料与任务'!$E$8)))))*G34,0)</x:f>
        <x:v>3</x:v>
      </x:c>
      <x:c r="Q34" s="119" t="n">
        <x:f>ROUNDDOWN((IF(A34&gt;='材料与任务'!$E$31,'材料与任务'!$E$33,IF(A34&gt;='材料与任务'!$E$25,'材料与任务'!$E$27,IF(A34&gt;='材料与任务'!$E$19,'材料与任务'!$E$21,IF(A34&gt;='材料与任务'!$E$13,'材料与任务'!$E$15,'材料与任务'!$E$9)))))*G34,0)</x:f>
        <x:v>1</x:v>
      </x:c>
      <x:c r="R34" s="110" t="n">
        <x:f>'装备掉落'!$B$38</x:f>
        <x:v>0.6872058758851213</x:v>
      </x:c>
      <x:c r="S34" s="119" t="n">
        <x:f>MAX(IF(VLOOKUP(A34,'装备掉落'!$A$29:$H$34,2,TRUE)&gt;0,1,0),IF(VLOOKUP(A34,'装备掉落'!$A$29:$H$34,3,TRUE)&gt;0,2,0),IF(VLOOKUP(A34,'装备掉落'!$A$29:$H$34,4,TRUE)&gt;0,3,0),IF(VLOOKUP(A34,'装备掉落'!$A$29:$H$34,5,TRUE)&gt;0,4,0),IF(VLOOKUP(A34,'装备掉落'!$A$29:$H$34,6,TRUE)&gt;0,5,0),IF(VLOOKUP(A34,'装备掉落'!$A$29:$H$34,7,TRUE)&gt;0,6,0),IF(VLOOKUP(A34,'装备掉落'!$A$29:$H$34,8,TRUE)&gt;0,7,0))</x:f>
        <x:v>4</x:v>
      </x:c>
      <x:c r="T34" s="119" t="n">
        <x:f>MIN(7,S34+'经济参数'!$E$70)</x:f>
        <x:v>4</x:v>
      </x:c>
      <x:c r="U34" s="119" t="n">
        <x:f>MIN(7,S34+'经济参数'!$E$71)</x:f>
        <x:v>5</x:v>
      </x:c>
      <x:c r="V34" s="119" t="n">
        <x:f>IF(H34&gt;=('难度参数'!$E$52),1,0)+IF(H34&gt;=('难度参数'!$E$52+'难度参数'!$E$53),1,0)+IF(H34&gt;=('难度参数'!$E$52+'难度参数'!$E$53+'难度参数'!$E$54),1,0)+IF(H34&gt;=('难度参数'!$E$52+'难度参数'!$E$53+'难度参数'!$E$54+'难度参数'!$E$55),1,0)+IF(H34&gt;=('难度参数'!$E$52+'难度参数'!$E$53+'难度参数'!$E$54+'难度参数'!$E$55+'难度参数'!$E$56),1,0)+IF(H34&gt;=('难度参数'!$E$52+'难度参数'!$E$53+'难度参数'!$E$54+'难度参数'!$E$55+'难度参数'!$E$56+'难度参数'!$E$57),1,0)</x:f>
        <x:v>6</x:v>
      </x:c>
      <x:c r="W34" s="62" t="str">
        <x:f>IF(L34&gt;'难度参数'!$E$51,"仅出怪已超目标","还需实测")</x:f>
        <x:v>还需实测</x:v>
      </x:c>
      <x:c r="X34" s="119" t="n">
        <x:f>IF(1&gt;D34,0,MAX(2,MIN('难度参数'!$E$12,ROUND(('难度参数'!$E$18*POWER(A34,'难度参数'!$E$19)/D34*(0.85+0.3*(1-1)/MAX(1,D34-1))),0)+F34)))</x:f>
        <x:v>13</x:v>
      </x:c>
      <x:c r="Y34" s="119" t="n">
        <x:f>IF(1&gt;D34,0,ROUND(('难度参数'!$E$13*POWER(A34,'难度参数'!$E$20)*MIN('难度参数'!$E$23,1+MAX(0,A34-'难度参数'!$E$21)*'难度参数'!$E$22))*(36+1*7)/(36+7*(D34+1)/2)*E34,0))</x:f>
        <x:v>758</x:v>
      </x:c>
      <x:c r="Z34" s="119" t="n">
        <x:f>IF(X34=0,0,(X34-IF(1=D34,1,0))*ROUND(Y34*VLOOKUP(INDEX('章节与怪物'!$E$31:$K$37,B34,1),'章节与怪物'!$A$41:$F$44,2,FALSE),0)+IF(1=D34,ROUND(Y34*'难度参数'!$E$28*'章节与怪物'!$E$17,0),0))</x:f>
        <x:v>7098</x:v>
      </x:c>
      <x:c r="AA34" s="119" t="n">
        <x:f>IF(X34=0,0,(X34-IF(1=D34,1,0))*VLOOKUP(INDEX('章节与怪物'!$E$31:$K$37,B34,1),'章节与怪物'!$A$41:$F$44,4,FALSE)+IF(1=D34,'难度参数'!$E$30,0))</x:f>
        <x:v>260</x:v>
      </x:c>
      <x:c r="AB34" s="119" t="n">
        <x:f>IF(2&gt;D34,0,MAX(2,MIN('难度参数'!$E$12,ROUND(('难度参数'!$E$18*POWER(A34,'难度参数'!$E$19)/D34*(0.85+0.3*(2-1)/MAX(1,D34-1))),0)+F34)))</x:f>
        <x:v>14</x:v>
      </x:c>
      <x:c r="AC34" s="119" t="n">
        <x:f>IF(2&gt;D34,0,ROUND(('难度参数'!$E$13*POWER(A34,'难度参数'!$E$20)*MIN('难度参数'!$E$23,1+MAX(0,A34-'难度参数'!$E$21)*'难度参数'!$E$22))*(36+2*7)/(36+7*(D34+1)/2)*E34,0))</x:f>
        <x:v>881</x:v>
      </x:c>
      <x:c r="AD34" s="119" t="n">
        <x:f>IF(AB34=0,0,(AB34-IF(2=D34,1,0))*ROUND(AC34*VLOOKUP(INDEX('章节与怪物'!$E$31:$K$37,B34,2),'章节与怪物'!$A$41:$F$44,2,FALSE),0)+IF(2=D34,ROUND(AC34*'难度参数'!$E$28*'章节与怪物'!$E$17,0),0))</x:f>
        <x:v>12334</x:v>
      </x:c>
      <x:c r="AE34" s="119" t="n">
        <x:f>IF(AB34=0,0,(AB34-IF(2=D34,1,0))*VLOOKUP(INDEX('章节与怪物'!$E$31:$K$37,B34,2),'章节与怪物'!$A$41:$F$44,4,FALSE)+IF(2=D34,'难度参数'!$E$30,0))</x:f>
        <x:v>252</x:v>
      </x:c>
      <x:c r="AF34" s="119" t="n">
        <x:f>IF(3&gt;D34,0,MAX(2,MIN('难度参数'!$E$12,ROUND(('难度参数'!$E$18*POWER(A34,'难度参数'!$E$19)/D34*(0.85+0.3*(3-1)/MAX(1,D34-1))),0)+F34)))</x:f>
        <x:v>14</x:v>
      </x:c>
      <x:c r="AG34" s="119" t="n">
        <x:f>IF(3&gt;D34,0,ROUND(('难度参数'!$E$13*POWER(A34,'难度参数'!$E$20)*MIN('难度参数'!$E$23,1+MAX(0,A34-'难度参数'!$E$21)*'难度参数'!$E$22))*(36+3*7)/(36+7*(D34+1)/2)*E34,0))</x:f>
        <x:v>1004</x:v>
      </x:c>
      <x:c r="AH34" s="119" t="n">
        <x:f>IF(AF34=0,0,(AF34-IF(3=D34,1,0))*ROUND(AG34*VLOOKUP(INDEX('章节与怪物'!$E$31:$K$37,B34,3),'章节与怪物'!$A$41:$F$44,2,FALSE),0)+IF(3=D34,ROUND(AG34*'难度参数'!$E$28*'章节与怪物'!$E$17,0),0))</x:f>
        <x:v>23898</x:v>
      </x:c>
      <x:c r="AI34" s="119" t="n">
        <x:f>IF(AF34=0,0,(AF34-IF(3=D34,1,0))*VLOOKUP(INDEX('章节与怪物'!$E$31:$K$37,B34,3),'章节与怪物'!$A$41:$F$44,4,FALSE)+IF(3=D34,'难度参数'!$E$30,0))</x:f>
        <x:v>392</x:v>
      </x:c>
      <x:c r="AJ34" s="119" t="n">
        <x:f>IF(4&gt;D34,0,MAX(2,MIN('难度参数'!$E$12,ROUND(('难度参数'!$E$18*POWER(A34,'难度参数'!$E$19)/D34*(0.85+0.3*(4-1)/MAX(1,D34-1))),0)+F34)))</x:f>
        <x:v>15</x:v>
      </x:c>
      <x:c r="AK34" s="119" t="n">
        <x:f>IF(4&gt;D34,0,ROUND(('难度参数'!$E$13*POWER(A34,'难度参数'!$E$20)*MIN('难度参数'!$E$23,1+MAX(0,A34-'难度参数'!$E$21)*'难度参数'!$E$22))*(36+4*7)/(36+7*(D34+1)/2)*E34,0))</x:f>
        <x:v>1128</x:v>
      </x:c>
      <x:c r="AL34" s="119" t="n">
        <x:f>IF(AJ34=0,0,(AJ34-IF(4=D34,1,0))*ROUND(AK34*VLOOKUP(INDEX('章节与怪物'!$E$31:$K$37,B34,4),'章节与怪物'!$A$41:$F$44,2,FALSE),0)+IF(4=D34,ROUND(AK34*'难度参数'!$E$28*'章节与怪物'!$E$17,0),0))</x:f>
        <x:v>22845</x:v>
      </x:c>
      <x:c r="AM34" s="119" t="n">
        <x:f>IF(AJ34=0,0,(AJ34-IF(4=D34,1,0))*VLOOKUP(INDEX('章节与怪物'!$E$31:$K$37,B34,4),'章节与怪物'!$A$41:$F$44,4,FALSE)+IF(4=D34,'难度参数'!$E$30,0))</x:f>
        <x:v>510</x:v>
      </x:c>
      <x:c r="AN34" s="119" t="n">
        <x:f>IF(5&gt;D34,0,MAX(2,MIN('难度参数'!$E$12,ROUND(('难度参数'!$E$18*POWER(A34,'难度参数'!$E$19)/D34*(0.85+0.3*(5-1)/MAX(1,D34-1))),0)+F34)))</x:f>
        <x:v>16</x:v>
      </x:c>
      <x:c r="AO34" s="119" t="n">
        <x:f>IF(5&gt;D34,0,ROUND(('难度参数'!$E$13*POWER(A34,'难度参数'!$E$20)*MIN('难度参数'!$E$23,1+MAX(0,A34-'难度参数'!$E$21)*'难度参数'!$E$22))*(36+5*7)/(36+7*(D34+1)/2)*E34,0))</x:f>
        <x:v>1251</x:v>
      </x:c>
      <x:c r="AP34" s="119" t="n">
        <x:f>IF(AN34=0,0,(AN34-IF(5=D34,1,0))*ROUND(AO34*VLOOKUP(INDEX('章节与怪物'!$E$31:$K$37,B34,5),'章节与怪物'!$A$41:$F$44,2,FALSE),0)+IF(5=D34,ROUND(AO34*'难度参数'!$E$28*'章节与怪物'!$E$17,0),0))</x:f>
        <x:v>20016</x:v>
      </x:c>
      <x:c r="AQ34" s="119" t="n">
        <x:f>IF(AN34=0,0,(AN34-IF(5=D34,1,0))*VLOOKUP(INDEX('章节与怪物'!$E$31:$K$37,B34,5),'章节与怪物'!$A$41:$F$44,4,FALSE)+IF(5=D34,'难度参数'!$E$30,0))</x:f>
        <x:v>288</x:v>
      </x:c>
      <x:c r="AR34" s="119" t="n">
        <x:f>IF(6&gt;D34,0,MAX(2,MIN('难度参数'!$E$12,ROUND(('难度参数'!$E$18*POWER(A34,'难度参数'!$E$19)/D34*(0.85+0.3*(6-1)/MAX(1,D34-1))),0)+F34)))</x:f>
        <x:v>17</x:v>
      </x:c>
      <x:c r="AS34" s="119" t="n">
        <x:f>IF(6&gt;D34,0,ROUND(('难度参数'!$E$13*POWER(A34,'难度参数'!$E$20)*MIN('难度参数'!$E$23,1+MAX(0,A34-'难度参数'!$E$21)*'难度参数'!$E$22))*(36+6*7)/(36+7*(D34+1)/2)*E34,0))</x:f>
        <x:v>1375</x:v>
      </x:c>
      <x:c r="AT34" s="119" t="n">
        <x:f>IF(AR34=0,0,(AR34-IF(6=D34,1,0))*ROUND(AS34*VLOOKUP(INDEX('章节与怪物'!$E$31:$K$37,B34,6),'章节与怪物'!$A$41:$F$44,2,FALSE),0)+IF(6=D34,ROUND(AS34*'难度参数'!$E$28*'章节与怪物'!$E$17,0),0))</x:f>
        <x:v>39746</x:v>
      </x:c>
      <x:c r="AU34" s="119" t="n">
        <x:f>IF(AR34=0,0,(AR34-IF(6=D34,1,0))*VLOOKUP(INDEX('章节与怪物'!$E$31:$K$37,B34,6),'章节与怪物'!$A$41:$F$44,4,FALSE)+IF(6=D34,'难度参数'!$E$30,0))</x:f>
        <x:v>476</x:v>
      </x:c>
      <x:c r="AV34" s="119" t="n">
        <x:f>IF(7&gt;D34,0,MAX(2,MIN('难度参数'!$E$12,ROUND(('难度参数'!$E$18*POWER(A34,'难度参数'!$E$19)/D34*(0.85+0.3*(7-1)/MAX(1,D34-1))),0)+F34)))</x:f>
        <x:v>17</x:v>
      </x:c>
      <x:c r="AW34" s="119" t="n">
        <x:f>IF(7&gt;D34,0,ROUND(('难度参数'!$E$13*POWER(A34,'难度参数'!$E$20)*MIN('难度参数'!$E$23,1+MAX(0,A34-'难度参数'!$E$21)*'难度参数'!$E$22))*(36+7*7)/(36+7*(D34+1)/2)*E34,0))</x:f>
        <x:v>1498</x:v>
      </x:c>
      <x:c r="AX34" s="119" t="n">
        <x:f>IF(AV34=0,0,(AV34-IF(7=D34,1,0))*ROUND(AW34*VLOOKUP(INDEX('章节与怪物'!$E$31:$K$37,B34,7),'章节与怪物'!$A$41:$F$44,2,FALSE),0)+IF(7=D34,ROUND(AW34*'难度参数'!$E$28*'章节与怪物'!$E$17,0),0))</x:f>
        <x:v>42538</x:v>
      </x:c>
      <x:c r="AY34" s="119" t="n">
        <x:f>IF(AV34=0,0,(AV34-IF(7=D34,1,0))*VLOOKUP(INDEX('章节与怪物'!$E$31:$K$37,B34,7),'章节与怪物'!$A$41:$F$44,4,FALSE)+IF(7=D34,'难度参数'!$E$30,0))</x:f>
        <x:v>744</x:v>
      </x:c>
    </x:row>
    <x:row r="35" ht="23" customHeight="1">
      <x:c r="A35" s="119" t="n">
        <x:v>29</x:v>
      </x:c>
      <x:c r="B35" s="119" t="n">
        <x:f>MOD(INT((A35-1)/5),7)+1</x:f>
        <x:v>6</x:v>
      </x:c>
      <x:c r="C35" s="62" t="str">
        <x:f>INDEX('章节与怪物'!$B$31:$B$37,B35)</x:f>
        <x:v>熔岩山脉</x:v>
      </x:c>
      <x:c r="D35" s="119" t="n">
        <x:f>MIN('难度参数'!$E$8,MAX('难度参数'!$E$7,A35))</x:f>
        <x:v>7</x:v>
      </x:c>
      <x:c r="E35" s="106" t="n">
        <x:v>1</x:v>
      </x:c>
      <x:c r="F35" s="106" t="n">
        <x:v>0</x:v>
      </x:c>
      <x:c r="G35" s="106" t="n">
        <x:v>1</x:v>
      </x:c>
      <x:c r="H35" s="119" t="n">
        <x:f>SUM(X35,AB35,AF35,AJ35,AN35,AR35,AV35)</x:f>
        <x:v>108</x:v>
      </x:c>
      <x:c r="I35" s="119" t="n">
        <x:f>SUM(Z35,AD35,AH35,AL35,AP35,AT35,AX35)</x:f>
        <x:v>177106</x:v>
      </x:c>
      <x:c r="J35" s="119" t="n">
        <x:f>ROUND(INDEX(X35:AY35,1,(D35-1)*4+2)*'难度参数'!$E$28*'章节与怪物'!$E$17,0)</x:f>
        <x:v>10479</x:v>
      </x:c>
      <x:c r="K35" s="119" t="n">
        <x:f>SUM(AA35,AE35,AI35,AM35,AQ35,AU35,AY35)</x:f>
        <x:v>2984</x:v>
      </x:c>
      <x:c r="L35" s="62" t="n">
        <x:f>H35*(ROUNDUP('难度参数'!$E$24/('难度参数'!$E$26*'难度参数'!$E$27),0)*'难度参数'!$E$26)/60</x:f>
        <x:v>1.4400000000000002</x:v>
      </x:c>
      <x:c r="M35" s="62" t="n">
        <x:f>L35+D35*('难度参数'!$E$49+'难度参数'!$E$50)/60</x:f>
        <x:v>2.606666666666667</x:v>
      </x:c>
      <x:c r="N35" s="119" t="n">
        <x:f>ROUNDDOWN(('经济参数'!$E$20+A35*'经济参数'!$E$21)*G35,0)</x:f>
        <x:v>760</x:v>
      </x:c>
      <x:c r="O35" s="119" t="n">
        <x:f>ROUNDDOWN(MIN('经济参数'!$E$24,'经济参数'!$E$22+A35*'经济参数'!$E$23)*G35,0)</x:f>
        <x:v>0</x:v>
      </x:c>
      <x:c r="P35" s="119" t="n">
        <x:f>ROUNDDOWN((IF(A35&gt;='材料与任务'!$E$31,'材料与任务'!$E$32,IF(A35&gt;='材料与任务'!$E$25,'材料与任务'!$E$26,IF(A35&gt;='材料与任务'!$E$19,'材料与任务'!$E$20,IF(A35&gt;='材料与任务'!$E$13,'材料与任务'!$E$14,'材料与任务'!$E$8)))))*G35,0)</x:f>
        <x:v>3</x:v>
      </x:c>
      <x:c r="Q35" s="119" t="n">
        <x:f>ROUNDDOWN((IF(A35&gt;='材料与任务'!$E$31,'材料与任务'!$E$33,IF(A35&gt;='材料与任务'!$E$25,'材料与任务'!$E$27,IF(A35&gt;='材料与任务'!$E$19,'材料与任务'!$E$21,IF(A35&gt;='材料与任务'!$E$13,'材料与任务'!$E$15,'材料与任务'!$E$9)))))*G35,0)</x:f>
        <x:v>1</x:v>
      </x:c>
      <x:c r="R35" s="110" t="n">
        <x:f>'装备掉落'!$B$38</x:f>
        <x:v>0.6872058758851213</x:v>
      </x:c>
      <x:c r="S35" s="119" t="n">
        <x:f>MAX(IF(VLOOKUP(A35,'装备掉落'!$A$29:$H$34,2,TRUE)&gt;0,1,0),IF(VLOOKUP(A35,'装备掉落'!$A$29:$H$34,3,TRUE)&gt;0,2,0),IF(VLOOKUP(A35,'装备掉落'!$A$29:$H$34,4,TRUE)&gt;0,3,0),IF(VLOOKUP(A35,'装备掉落'!$A$29:$H$34,5,TRUE)&gt;0,4,0),IF(VLOOKUP(A35,'装备掉落'!$A$29:$H$34,6,TRUE)&gt;0,5,0),IF(VLOOKUP(A35,'装备掉落'!$A$29:$H$34,7,TRUE)&gt;0,6,0),IF(VLOOKUP(A35,'装备掉落'!$A$29:$H$34,8,TRUE)&gt;0,7,0))</x:f>
        <x:v>4</x:v>
      </x:c>
      <x:c r="T35" s="119" t="n">
        <x:f>MIN(7,S35+'经济参数'!$E$70)</x:f>
        <x:v>4</x:v>
      </x:c>
      <x:c r="U35" s="119" t="n">
        <x:f>MIN(7,S35+'经济参数'!$E$71)</x:f>
        <x:v>5</x:v>
      </x:c>
      <x:c r="V35" s="119" t="n">
        <x:f>IF(H35&gt;=('难度参数'!$E$52),1,0)+IF(H35&gt;=('难度参数'!$E$52+'难度参数'!$E$53),1,0)+IF(H35&gt;=('难度参数'!$E$52+'难度参数'!$E$53+'难度参数'!$E$54),1,0)+IF(H35&gt;=('难度参数'!$E$52+'难度参数'!$E$53+'难度参数'!$E$54+'难度参数'!$E$55),1,0)+IF(H35&gt;=('难度参数'!$E$52+'难度参数'!$E$53+'难度参数'!$E$54+'难度参数'!$E$55+'难度参数'!$E$56),1,0)+IF(H35&gt;=('难度参数'!$E$52+'难度参数'!$E$53+'难度参数'!$E$54+'难度参数'!$E$55+'难度参数'!$E$56+'难度参数'!$E$57),1,0)</x:f>
        <x:v>6</x:v>
      </x:c>
      <x:c r="W35" s="62" t="str">
        <x:f>IF(L35&gt;'难度参数'!$E$51,"仅出怪已超目标","还需实测")</x:f>
        <x:v>还需实测</x:v>
      </x:c>
      <x:c r="X35" s="119" t="n">
        <x:f>IF(1&gt;D35,0,MAX(2,MIN('难度参数'!$E$12,ROUND(('难度参数'!$E$18*POWER(A35,'难度参数'!$E$19)/D35*(0.85+0.3*(1-1)/MAX(1,D35-1))),0)+F35)))</x:f>
        <x:v>13</x:v>
      </x:c>
      <x:c r="Y35" s="119" t="n">
        <x:f>IF(1&gt;D35,0,ROUND(('难度参数'!$E$13*POWER(A35,'难度参数'!$E$20)*MIN('难度参数'!$E$23,1+MAX(0,A35-'难度参数'!$E$21)*'难度参数'!$E$22))*(36+1*7)/(36+7*(D35+1)/2)*E35,0))</x:f>
        <x:v>779</x:v>
      </x:c>
      <x:c r="Z35" s="119" t="n">
        <x:f>IF(X35=0,0,(X35-IF(1=D35,1,0))*ROUND(Y35*VLOOKUP(INDEX('章节与怪物'!$E$31:$K$37,B35,1),'章节与怪物'!$A$41:$F$44,2,FALSE),0)+IF(1=D35,ROUND(Y35*'难度参数'!$E$28*'章节与怪物'!$E$17,0),0))</x:f>
        <x:v>7293</x:v>
      </x:c>
      <x:c r="AA35" s="119" t="n">
        <x:f>IF(X35=0,0,(X35-IF(1=D35,1,0))*VLOOKUP(INDEX('章节与怪物'!$E$31:$K$37,B35,1),'章节与怪物'!$A$41:$F$44,4,FALSE)+IF(1=D35,'难度参数'!$E$30,0))</x:f>
        <x:v>260</x:v>
      </x:c>
      <x:c r="AB35" s="119" t="n">
        <x:f>IF(2&gt;D35,0,MAX(2,MIN('难度参数'!$E$12,ROUND(('难度参数'!$E$18*POWER(A35,'难度参数'!$E$19)/D35*(0.85+0.3*(2-1)/MAX(1,D35-1))),0)+F35)))</x:f>
        <x:v>14</x:v>
      </x:c>
      <x:c r="AC35" s="119" t="n">
        <x:f>IF(2&gt;D35,0,ROUND(('难度参数'!$E$13*POWER(A35,'难度参数'!$E$20)*MIN('难度参数'!$E$23,1+MAX(0,A35-'难度参数'!$E$21)*'难度参数'!$E$22))*(36+2*7)/(36+7*(D35+1)/2)*E35,0))</x:f>
        <x:v>906</x:v>
      </x:c>
      <x:c r="AD35" s="119" t="n">
        <x:f>IF(AB35=0,0,(AB35-IF(2=D35,1,0))*ROUND(AC35*VLOOKUP(INDEX('章节与怪物'!$E$31:$K$37,B35,2),'章节与怪物'!$A$41:$F$44,2,FALSE),0)+IF(2=D35,ROUND(AC35*'难度参数'!$E$28*'章节与怪物'!$E$17,0),0))</x:f>
        <x:v>12684</x:v>
      </x:c>
      <x:c r="AE35" s="119" t="n">
        <x:f>IF(AB35=0,0,(AB35-IF(2=D35,1,0))*VLOOKUP(INDEX('章节与怪物'!$E$31:$K$37,B35,2),'章节与怪物'!$A$41:$F$44,4,FALSE)+IF(2=D35,'难度参数'!$E$30,0))</x:f>
        <x:v>252</x:v>
      </x:c>
      <x:c r="AF35" s="119" t="n">
        <x:f>IF(3&gt;D35,0,MAX(2,MIN('难度参数'!$E$12,ROUND(('难度参数'!$E$18*POWER(A35,'难度参数'!$E$19)/D35*(0.85+0.3*(3-1)/MAX(1,D35-1))),0)+F35)))</x:f>
        <x:v>15</x:v>
      </x:c>
      <x:c r="AG35" s="119" t="n">
        <x:f>IF(3&gt;D35,0,ROUND(('难度参数'!$E$13*POWER(A35,'难度参数'!$E$20)*MIN('难度参数'!$E$23,1+MAX(0,A35-'难度参数'!$E$21)*'难度参数'!$E$22))*(36+3*7)/(36+7*(D35+1)/2)*E35,0))</x:f>
        <x:v>1033</x:v>
      </x:c>
      <x:c r="AH35" s="119" t="n">
        <x:f>IF(AF35=0,0,(AF35-IF(3=D35,1,0))*ROUND(AG35*VLOOKUP(INDEX('章节与怪物'!$E$31:$K$37,B35,3),'章节与怪物'!$A$41:$F$44,2,FALSE),0)+IF(3=D35,ROUND(AG35*'难度参数'!$E$28*'章节与怪物'!$E$17,0),0))</x:f>
        <x:v>26340</x:v>
      </x:c>
      <x:c r="AI35" s="119" t="n">
        <x:f>IF(AF35=0,0,(AF35-IF(3=D35,1,0))*VLOOKUP(INDEX('章节与怪物'!$E$31:$K$37,B35,3),'章节与怪物'!$A$41:$F$44,4,FALSE)+IF(3=D35,'难度参数'!$E$30,0))</x:f>
        <x:v>420</x:v>
      </x:c>
      <x:c r="AJ35" s="119" t="n">
        <x:f>IF(4&gt;D35,0,MAX(2,MIN('难度参数'!$E$12,ROUND(('难度参数'!$E$18*POWER(A35,'难度参数'!$E$19)/D35*(0.85+0.3*(4-1)/MAX(1,D35-1))),0)+F35)))</x:f>
        <x:v>15</x:v>
      </x:c>
      <x:c r="AK35" s="119" t="n">
        <x:f>IF(4&gt;D35,0,ROUND(('难度参数'!$E$13*POWER(A35,'难度参数'!$E$20)*MIN('难度参数'!$E$23,1+MAX(0,A35-'难度参数'!$E$21)*'难度参数'!$E$22))*(36+4*7)/(36+7*(D35+1)/2)*E35,0))</x:f>
        <x:v>1160</x:v>
      </x:c>
      <x:c r="AL35" s="119" t="n">
        <x:f>IF(AJ35=0,0,(AJ35-IF(4=D35,1,0))*ROUND(AK35*VLOOKUP(INDEX('章节与怪物'!$E$31:$K$37,B35,4),'章节与怪物'!$A$41:$F$44,2,FALSE),0)+IF(4=D35,ROUND(AK35*'难度参数'!$E$28*'章节与怪物'!$E$17,0),0))</x:f>
        <x:v>23490</x:v>
      </x:c>
      <x:c r="AM35" s="119" t="n">
        <x:f>IF(AJ35=0,0,(AJ35-IF(4=D35,1,0))*VLOOKUP(INDEX('章节与怪物'!$E$31:$K$37,B35,4),'章节与怪物'!$A$41:$F$44,4,FALSE)+IF(4=D35,'难度参数'!$E$30,0))</x:f>
        <x:v>510</x:v>
      </x:c>
      <x:c r="AN35" s="119" t="n">
        <x:f>IF(5&gt;D35,0,MAX(2,MIN('难度参数'!$E$12,ROUND(('难度参数'!$E$18*POWER(A35,'难度参数'!$E$19)/D35*(0.85+0.3*(5-1)/MAX(1,D35-1))),0)+F35)))</x:f>
        <x:v>16</x:v>
      </x:c>
      <x:c r="AO35" s="119" t="n">
        <x:f>IF(5&gt;D35,0,ROUND(('难度参数'!$E$13*POWER(A35,'难度参数'!$E$20)*MIN('难度参数'!$E$23,1+MAX(0,A35-'难度参数'!$E$21)*'难度参数'!$E$22))*(36+5*7)/(36+7*(D35+1)/2)*E35,0))</x:f>
        <x:v>1287</x:v>
      </x:c>
      <x:c r="AP35" s="119" t="n">
        <x:f>IF(AN35=0,0,(AN35-IF(5=D35,1,0))*ROUND(AO35*VLOOKUP(INDEX('章节与怪物'!$E$31:$K$37,B35,5),'章节与怪物'!$A$41:$F$44,2,FALSE),0)+IF(5=D35,ROUND(AO35*'难度参数'!$E$28*'章节与怪物'!$E$17,0),0))</x:f>
        <x:v>20592</x:v>
      </x:c>
      <x:c r="AQ35" s="119" t="n">
        <x:f>IF(AN35=0,0,(AN35-IF(5=D35,1,0))*VLOOKUP(INDEX('章节与怪物'!$E$31:$K$37,B35,5),'章节与怪物'!$A$41:$F$44,4,FALSE)+IF(5=D35,'难度参数'!$E$30,0))</x:f>
        <x:v>288</x:v>
      </x:c>
      <x:c r="AR35" s="119" t="n">
        <x:f>IF(6&gt;D35,0,MAX(2,MIN('难度参数'!$E$12,ROUND(('难度参数'!$E$18*POWER(A35,'难度参数'!$E$19)/D35*(0.85+0.3*(6-1)/MAX(1,D35-1))),0)+F35)))</x:f>
        <x:v>17</x:v>
      </x:c>
      <x:c r="AS35" s="119" t="n">
        <x:f>IF(6&gt;D35,0,ROUND(('难度参数'!$E$13*POWER(A35,'难度参数'!$E$20)*MIN('难度参数'!$E$23,1+MAX(0,A35-'难度参数'!$E$21)*'难度参数'!$E$22))*(36+6*7)/(36+7*(D35+1)/2)*E35,0))</x:f>
        <x:v>1414</x:v>
      </x:c>
      <x:c r="AT35" s="119" t="n">
        <x:f>IF(AR35=0,0,(AR35-IF(6=D35,1,0))*ROUND(AS35*VLOOKUP(INDEX('章节与怪物'!$E$31:$K$37,B35,6),'章节与怪物'!$A$41:$F$44,2,FALSE),0)+IF(6=D35,ROUND(AS35*'难度参数'!$E$28*'章节与怪物'!$E$17,0),0))</x:f>
        <x:v>40868</x:v>
      </x:c>
      <x:c r="AU35" s="119" t="n">
        <x:f>IF(AR35=0,0,(AR35-IF(6=D35,1,0))*VLOOKUP(INDEX('章节与怪物'!$E$31:$K$37,B35,6),'章节与怪物'!$A$41:$F$44,4,FALSE)+IF(6=D35,'难度参数'!$E$30,0))</x:f>
        <x:v>476</x:v>
      </x:c>
      <x:c r="AV35" s="119" t="n">
        <x:f>IF(7&gt;D35,0,MAX(2,MIN('难度参数'!$E$12,ROUND(('难度参数'!$E$18*POWER(A35,'难度参数'!$E$19)/D35*(0.85+0.3*(7-1)/MAX(1,D35-1))),0)+F35)))</x:f>
        <x:v>18</x:v>
      </x:c>
      <x:c r="AW35" s="119" t="n">
        <x:f>IF(7&gt;D35,0,ROUND(('难度参数'!$E$13*POWER(A35,'难度参数'!$E$20)*MIN('难度参数'!$E$23,1+MAX(0,A35-'难度参数'!$E$21)*'难度参数'!$E$22))*(36+7*7)/(36+7*(D35+1)/2)*E35,0))</x:f>
        <x:v>1541</x:v>
      </x:c>
      <x:c r="AX35" s="119" t="n">
        <x:f>IF(AV35=0,0,(AV35-IF(7=D35,1,0))*ROUND(AW35*VLOOKUP(INDEX('章节与怪物'!$E$31:$K$37,B35,7),'章节与怪物'!$A$41:$F$44,2,FALSE),0)+IF(7=D35,ROUND(AW35*'难度参数'!$E$28*'章节与怪物'!$E$17,0),0))</x:f>
        <x:v>45839</x:v>
      </x:c>
      <x:c r="AY35" s="119" t="n">
        <x:f>IF(AV35=0,0,(AV35-IF(7=D35,1,0))*VLOOKUP(INDEX('章节与怪物'!$E$31:$K$37,B35,7),'章节与怪物'!$A$41:$F$44,4,FALSE)+IF(7=D35,'难度参数'!$E$30,0))</x:f>
        <x:v>778</x:v>
      </x:c>
    </x:row>
    <x:row r="36" ht="23" customHeight="1">
      <x:c r="A36" s="119" t="n">
        <x:v>30</x:v>
      </x:c>
      <x:c r="B36" s="119" t="n">
        <x:f>MOD(INT((A36-1)/5),7)+1</x:f>
        <x:v>6</x:v>
      </x:c>
      <x:c r="C36" s="62" t="str">
        <x:f>INDEX('章节与怪物'!$B$31:$B$37,B36)</x:f>
        <x:v>熔岩山脉</x:v>
      </x:c>
      <x:c r="D36" s="119" t="n">
        <x:f>MIN('难度参数'!$E$8,MAX('难度参数'!$E$7,A36))</x:f>
        <x:v>7</x:v>
      </x:c>
      <x:c r="E36" s="106" t="n">
        <x:v>1</x:v>
      </x:c>
      <x:c r="F36" s="106" t="n">
        <x:v>0</x:v>
      </x:c>
      <x:c r="G36" s="106" t="n">
        <x:v>1</x:v>
      </x:c>
      <x:c r="H36" s="119" t="n">
        <x:f>SUM(X36,AB36,AF36,AJ36,AN36,AR36,AV36)</x:f>
        <x:v>109</x:v>
      </x:c>
      <x:c r="I36" s="119" t="n">
        <x:f>SUM(Z36,AD36,AH36,AL36,AP36,AT36,AX36)</x:f>
        <x:v>183605</x:v>
      </x:c>
      <x:c r="J36" s="119" t="n">
        <x:f>ROUND(INDEX(X36:AY36,1,(D36-1)*4+2)*'难度参数'!$E$28*'章节与怪物'!$E$17,0)</x:f>
        <x:v>10764</x:v>
      </x:c>
      <x:c r="K36" s="119" t="n">
        <x:f>SUM(AA36,AE36,AI36,AM36,AQ36,AU36,AY36)</x:f>
        <x:v>3018</x:v>
      </x:c>
      <x:c r="L36" s="62" t="n">
        <x:f>H36*(ROUNDUP('难度参数'!$E$24/('难度参数'!$E$26*'难度参数'!$E$27),0)*'难度参数'!$E$26)/60</x:f>
        <x:v>1.4533333333333334</x:v>
      </x:c>
      <x:c r="M36" s="62" t="n">
        <x:f>L36+D36*('难度参数'!$E$49+'难度参数'!$E$50)/60</x:f>
        <x:v>2.62</x:v>
      </x:c>
      <x:c r="N36" s="119" t="n">
        <x:f>ROUNDDOWN(('经济参数'!$E$20+A36*'经济参数'!$E$21)*G36,0)</x:f>
        <x:v>780</x:v>
      </x:c>
      <x:c r="O36" s="119" t="n">
        <x:f>ROUNDDOWN(MIN('经济参数'!$E$24,'经济参数'!$E$22+A36*'经济参数'!$E$23)*G36,0)</x:f>
        <x:v>0</x:v>
      </x:c>
      <x:c r="P36" s="119" t="n">
        <x:f>ROUNDDOWN((IF(A36&gt;='材料与任务'!$E$31,'材料与任务'!$E$32,IF(A36&gt;='材料与任务'!$E$25,'材料与任务'!$E$26,IF(A36&gt;='材料与任务'!$E$19,'材料与任务'!$E$20,IF(A36&gt;='材料与任务'!$E$13,'材料与任务'!$E$14,'材料与任务'!$E$8)))))*G36,0)</x:f>
        <x:v>3</x:v>
      </x:c>
      <x:c r="Q36" s="119" t="n">
        <x:f>ROUNDDOWN((IF(A36&gt;='材料与任务'!$E$31,'材料与任务'!$E$33,IF(A36&gt;='材料与任务'!$E$25,'材料与任务'!$E$27,IF(A36&gt;='材料与任务'!$E$19,'材料与任务'!$E$21,IF(A36&gt;='材料与任务'!$E$13,'材料与任务'!$E$15,'材料与任务'!$E$9)))))*G36,0)</x:f>
        <x:v>1</x:v>
      </x:c>
      <x:c r="R36" s="110" t="n">
        <x:f>'装备掉落'!$B$38</x:f>
        <x:v>0.6872058758851213</x:v>
      </x:c>
      <x:c r="S36" s="119" t="n">
        <x:f>MAX(IF(VLOOKUP(A36,'装备掉落'!$A$29:$H$34,2,TRUE)&gt;0,1,0),IF(VLOOKUP(A36,'装备掉落'!$A$29:$H$34,3,TRUE)&gt;0,2,0),IF(VLOOKUP(A36,'装备掉落'!$A$29:$H$34,4,TRUE)&gt;0,3,0),IF(VLOOKUP(A36,'装备掉落'!$A$29:$H$34,5,TRUE)&gt;0,4,0),IF(VLOOKUP(A36,'装备掉落'!$A$29:$H$34,6,TRUE)&gt;0,5,0),IF(VLOOKUP(A36,'装备掉落'!$A$29:$H$34,7,TRUE)&gt;0,6,0),IF(VLOOKUP(A36,'装备掉落'!$A$29:$H$34,8,TRUE)&gt;0,7,0))</x:f>
        <x:v>4</x:v>
      </x:c>
      <x:c r="T36" s="119" t="n">
        <x:f>MIN(7,S36+'经济参数'!$E$70)</x:f>
        <x:v>4</x:v>
      </x:c>
      <x:c r="U36" s="119" t="n">
        <x:f>MIN(7,S36+'经济参数'!$E$71)</x:f>
        <x:v>5</x:v>
      </x:c>
      <x:c r="V36" s="119" t="n">
        <x:f>IF(H36&gt;=('难度参数'!$E$52),1,0)+IF(H36&gt;=('难度参数'!$E$52+'难度参数'!$E$53),1,0)+IF(H36&gt;=('难度参数'!$E$52+'难度参数'!$E$53+'难度参数'!$E$54),1,0)+IF(H36&gt;=('难度参数'!$E$52+'难度参数'!$E$53+'难度参数'!$E$54+'难度参数'!$E$55),1,0)+IF(H36&gt;=('难度参数'!$E$52+'难度参数'!$E$53+'难度参数'!$E$54+'难度参数'!$E$55+'难度参数'!$E$56),1,0)+IF(H36&gt;=('难度参数'!$E$52+'难度参数'!$E$53+'难度参数'!$E$54+'难度参数'!$E$55+'难度参数'!$E$56+'难度参数'!$E$57),1,0)</x:f>
        <x:v>6</x:v>
      </x:c>
      <x:c r="W36" s="62" t="str">
        <x:f>IF(L36&gt;'难度参数'!$E$51,"仅出怪已超目标","还需实测")</x:f>
        <x:v>还需实测</x:v>
      </x:c>
      <x:c r="X36" s="119" t="n">
        <x:f>IF(1&gt;D36,0,MAX(2,MIN('难度参数'!$E$12,ROUND(('难度参数'!$E$18*POWER(A36,'难度参数'!$E$19)/D36*(0.85+0.3*(1-1)/MAX(1,D36-1))),0)+F36)))</x:f>
        <x:v>13</x:v>
      </x:c>
      <x:c r="Y36" s="119" t="n">
        <x:f>IF(1&gt;D36,0,ROUND(('难度参数'!$E$13*POWER(A36,'难度参数'!$E$20)*MIN('难度参数'!$E$23,1+MAX(0,A36-'难度参数'!$E$21)*'难度参数'!$E$22))*(36+1*7)/(36+7*(D36+1)/2)*E36,0))</x:f>
        <x:v>801</x:v>
      </x:c>
      <x:c r="Z36" s="119" t="n">
        <x:f>IF(X36=0,0,(X36-IF(1=D36,1,0))*ROUND(Y36*VLOOKUP(INDEX('章节与怪物'!$E$31:$K$37,B36,1),'章节与怪物'!$A$41:$F$44,2,FALSE),0)+IF(1=D36,ROUND(Y36*'难度参数'!$E$28*'章节与怪物'!$E$17,0),0))</x:f>
        <x:v>7501</x:v>
      </x:c>
      <x:c r="AA36" s="119" t="n">
        <x:f>IF(X36=0,0,(X36-IF(1=D36,1,0))*VLOOKUP(INDEX('章节与怪物'!$E$31:$K$37,B36,1),'章节与怪物'!$A$41:$F$44,4,FALSE)+IF(1=D36,'难度参数'!$E$30,0))</x:f>
        <x:v>260</x:v>
      </x:c>
      <x:c r="AB36" s="119" t="n">
        <x:f>IF(2&gt;D36,0,MAX(2,MIN('难度参数'!$E$12,ROUND(('难度参数'!$E$18*POWER(A36,'难度参数'!$E$19)/D36*(0.85+0.3*(2-1)/MAX(1,D36-1))),0)+F36)))</x:f>
        <x:v>14</x:v>
      </x:c>
      <x:c r="AC36" s="119" t="n">
        <x:f>IF(2&gt;D36,0,ROUND(('难度参数'!$E$13*POWER(A36,'难度参数'!$E$20)*MIN('难度参数'!$E$23,1+MAX(0,A36-'难度参数'!$E$21)*'难度参数'!$E$22))*(36+2*7)/(36+7*(D36+1)/2)*E36,0))</x:f>
        <x:v>931</x:v>
      </x:c>
      <x:c r="AD36" s="119" t="n">
        <x:f>IF(AB36=0,0,(AB36-IF(2=D36,1,0))*ROUND(AC36*VLOOKUP(INDEX('章节与怪物'!$E$31:$K$37,B36,2),'章节与怪物'!$A$41:$F$44,2,FALSE),0)+IF(2=D36,ROUND(AC36*'难度参数'!$E$28*'章节与怪物'!$E$17,0),0))</x:f>
        <x:v>13034</x:v>
      </x:c>
      <x:c r="AE36" s="119" t="n">
        <x:f>IF(AB36=0,0,(AB36-IF(2=D36,1,0))*VLOOKUP(INDEX('章节与怪物'!$E$31:$K$37,B36,2),'章节与怪物'!$A$41:$F$44,4,FALSE)+IF(2=D36,'难度参数'!$E$30,0))</x:f>
        <x:v>252</x:v>
      </x:c>
      <x:c r="AF36" s="119" t="n">
        <x:f>IF(3&gt;D36,0,MAX(2,MIN('难度参数'!$E$12,ROUND(('难度参数'!$E$18*POWER(A36,'难度参数'!$E$19)/D36*(0.85+0.3*(3-1)/MAX(1,D36-1))),0)+F36)))</x:f>
        <x:v>15</x:v>
      </x:c>
      <x:c r="AG36" s="119" t="n">
        <x:f>IF(3&gt;D36,0,ROUND(('难度参数'!$E$13*POWER(A36,'难度参数'!$E$20)*MIN('难度参数'!$E$23,1+MAX(0,A36-'难度参数'!$E$21)*'难度参数'!$E$22))*(36+3*7)/(36+7*(D36+1)/2)*E36,0))</x:f>
        <x:v>1062</x:v>
      </x:c>
      <x:c r="AH36" s="119" t="n">
        <x:f>IF(AF36=0,0,(AF36-IF(3=D36,1,0))*ROUND(AG36*VLOOKUP(INDEX('章节与怪物'!$E$31:$K$37,B36,3),'章节与怪物'!$A$41:$F$44,2,FALSE),0)+IF(3=D36,ROUND(AG36*'难度参数'!$E$28*'章节与怪物'!$E$17,0),0))</x:f>
        <x:v>27075</x:v>
      </x:c>
      <x:c r="AI36" s="119" t="n">
        <x:f>IF(AF36=0,0,(AF36-IF(3=D36,1,0))*VLOOKUP(INDEX('章节与怪物'!$E$31:$K$37,B36,3),'章节与怪物'!$A$41:$F$44,4,FALSE)+IF(3=D36,'难度参数'!$E$30,0))</x:f>
        <x:v>420</x:v>
      </x:c>
      <x:c r="AJ36" s="119" t="n">
        <x:f>IF(4&gt;D36,0,MAX(2,MIN('难度参数'!$E$12,ROUND(('难度参数'!$E$18*POWER(A36,'难度参数'!$E$19)/D36*(0.85+0.3*(4-1)/MAX(1,D36-1))),0)+F36)))</x:f>
        <x:v>16</x:v>
      </x:c>
      <x:c r="AK36" s="119" t="n">
        <x:f>IF(4&gt;D36,0,ROUND(('难度参数'!$E$13*POWER(A36,'难度参数'!$E$20)*MIN('难度参数'!$E$23,1+MAX(0,A36-'难度参数'!$E$21)*'难度参数'!$E$22))*(36+4*7)/(36+7*(D36+1)/2)*E36,0))</x:f>
        <x:v>1192</x:v>
      </x:c>
      <x:c r="AL36" s="119" t="n">
        <x:f>IF(AJ36=0,0,(AJ36-IF(4=D36,1,0))*ROUND(AK36*VLOOKUP(INDEX('章节与怪物'!$E$31:$K$37,B36,4),'章节与怪物'!$A$41:$F$44,2,FALSE),0)+IF(4=D36,ROUND(AK36*'难度参数'!$E$28*'章节与怪物'!$E$17,0),0))</x:f>
        <x:v>25744</x:v>
      </x:c>
      <x:c r="AM36" s="119" t="n">
        <x:f>IF(AJ36=0,0,(AJ36-IF(4=D36,1,0))*VLOOKUP(INDEX('章节与怪物'!$E$31:$K$37,B36,4),'章节与怪物'!$A$41:$F$44,4,FALSE)+IF(4=D36,'难度参数'!$E$30,0))</x:f>
        <x:v>544</x:v>
      </x:c>
      <x:c r="AN36" s="119" t="n">
        <x:f>IF(5&gt;D36,0,MAX(2,MIN('难度参数'!$E$12,ROUND(('难度参数'!$E$18*POWER(A36,'难度参数'!$E$19)/D36*(0.85+0.3*(5-1)/MAX(1,D36-1))),0)+F36)))</x:f>
        <x:v>16</x:v>
      </x:c>
      <x:c r="AO36" s="119" t="n">
        <x:f>IF(5&gt;D36,0,ROUND(('难度参数'!$E$13*POWER(A36,'难度参数'!$E$20)*MIN('难度参数'!$E$23,1+MAX(0,A36-'难度参数'!$E$21)*'难度参数'!$E$22))*(36+5*7)/(36+7*(D36+1)/2)*E36,0))</x:f>
        <x:v>1323</x:v>
      </x:c>
      <x:c r="AP36" s="119" t="n">
        <x:f>IF(AN36=0,0,(AN36-IF(5=D36,1,0))*ROUND(AO36*VLOOKUP(INDEX('章节与怪物'!$E$31:$K$37,B36,5),'章节与怪物'!$A$41:$F$44,2,FALSE),0)+IF(5=D36,ROUND(AO36*'难度参数'!$E$28*'章节与怪物'!$E$17,0),0))</x:f>
        <x:v>21168</x:v>
      </x:c>
      <x:c r="AQ36" s="119" t="n">
        <x:f>IF(AN36=0,0,(AN36-IF(5=D36,1,0))*VLOOKUP(INDEX('章节与怪物'!$E$31:$K$37,B36,5),'章节与怪物'!$A$41:$F$44,4,FALSE)+IF(5=D36,'难度参数'!$E$30,0))</x:f>
        <x:v>288</x:v>
      </x:c>
      <x:c r="AR36" s="119" t="n">
        <x:f>IF(6&gt;D36,0,MAX(2,MIN('难度参数'!$E$12,ROUND(('难度参数'!$E$18*POWER(A36,'难度参数'!$E$19)/D36*(0.85+0.3*(6-1)/MAX(1,D36-1))),0)+F36)))</x:f>
        <x:v>17</x:v>
      </x:c>
      <x:c r="AS36" s="119" t="n">
        <x:f>IF(6&gt;D36,0,ROUND(('难度参数'!$E$13*POWER(A36,'难度参数'!$E$20)*MIN('难度参数'!$E$23,1+MAX(0,A36-'难度参数'!$E$21)*'难度参数'!$E$22))*(36+6*7)/(36+7*(D36+1)/2)*E36,0))</x:f>
        <x:v>1453</x:v>
      </x:c>
      <x:c r="AT36" s="119" t="n">
        <x:f>IF(AR36=0,0,(AR36-IF(6=D36,1,0))*ROUND(AS36*VLOOKUP(INDEX('章节与怪物'!$E$31:$K$37,B36,6),'章节与怪物'!$A$41:$F$44,2,FALSE),0)+IF(6=D36,ROUND(AS36*'难度参数'!$E$28*'章节与怪物'!$E$17,0),0))</x:f>
        <x:v>41990</x:v>
      </x:c>
      <x:c r="AU36" s="119" t="n">
        <x:f>IF(AR36=0,0,(AR36-IF(6=D36,1,0))*VLOOKUP(INDEX('章节与怪物'!$E$31:$K$37,B36,6),'章节与怪物'!$A$41:$F$44,4,FALSE)+IF(6=D36,'难度参数'!$E$30,0))</x:f>
        <x:v>476</x:v>
      </x:c>
      <x:c r="AV36" s="119" t="n">
        <x:f>IF(7&gt;D36,0,MAX(2,MIN('难度参数'!$E$12,ROUND(('难度参数'!$E$18*POWER(A36,'难度参数'!$E$19)/D36*(0.85+0.3*(7-1)/MAX(1,D36-1))),0)+F36)))</x:f>
        <x:v>18</x:v>
      </x:c>
      <x:c r="AW36" s="119" t="n">
        <x:f>IF(7&gt;D36,0,ROUND(('难度参数'!$E$13*POWER(A36,'难度参数'!$E$20)*MIN('难度参数'!$E$23,1+MAX(0,A36-'难度参数'!$E$21)*'难度参数'!$E$22))*(36+7*7)/(36+7*(D36+1)/2)*E36,0))</x:f>
        <x:v>1583</x:v>
      </x:c>
      <x:c r="AX36" s="119" t="n">
        <x:f>IF(AV36=0,0,(AV36-IF(7=D36,1,0))*ROUND(AW36*VLOOKUP(INDEX('章节与怪物'!$E$31:$K$37,B36,7),'章节与怪物'!$A$41:$F$44,2,FALSE),0)+IF(7=D36,ROUND(AW36*'难度参数'!$E$28*'章节与怪物'!$E$17,0),0))</x:f>
        <x:v>47093</x:v>
      </x:c>
      <x:c r="AY36" s="119" t="n">
        <x:f>IF(AV36=0,0,(AV36-IF(7=D36,1,0))*VLOOKUP(INDEX('章节与怪物'!$E$31:$K$37,B36,7),'章节与怪物'!$A$41:$F$44,4,FALSE)+IF(7=D36,'难度参数'!$E$30,0))</x:f>
        <x:v>778</x:v>
      </x:c>
    </x:row>
    <x:row r="37" ht="23" customHeight="1">
      <x:c r="A37" s="119" t="n">
        <x:v>31</x:v>
      </x:c>
      <x:c r="B37" s="119" t="n">
        <x:f>MOD(INT((A37-1)/5),7)+1</x:f>
        <x:v>7</x:v>
      </x:c>
      <x:c r="C37" s="62" t="str">
        <x:f>INDEX('章节与怪物'!$B$31:$B$37,B37)</x:f>
        <x:v>魔法山脊</x:v>
      </x:c>
      <x:c r="D37" s="119" t="n">
        <x:f>MIN('难度参数'!$E$8,MAX('难度参数'!$E$7,A37))</x:f>
        <x:v>7</x:v>
      </x:c>
      <x:c r="E37" s="106" t="n">
        <x:v>1</x:v>
      </x:c>
      <x:c r="F37" s="106" t="n">
        <x:v>0</x:v>
      </x:c>
      <x:c r="G37" s="106" t="n">
        <x:v>1</x:v>
      </x:c>
      <x:c r="H37" s="119" t="n">
        <x:f>SUM(X37,AB37,AF37,AJ37,AN37,AR37,AV37)</x:f>
        <x:v>109</x:v>
      </x:c>
      <x:c r="I37" s="119" t="n">
        <x:f>SUM(Z37,AD37,AH37,AL37,AP37,AT37,AX37)</x:f>
        <x:v>181690</x:v>
      </x:c>
      <x:c r="J37" s="119" t="n">
        <x:f>ROUND(INDEX(X37:AY37,1,(D37-1)*4+2)*'难度参数'!$E$28*'章节与怪物'!$E$17,0)</x:f>
        <x:v>11057</x:v>
      </x:c>
      <x:c r="K37" s="119" t="n">
        <x:f>SUM(AA37,AE37,AI37,AM37,AQ37,AU37,AY37)</x:f>
        <x:v>3052</x:v>
      </x:c>
      <x:c r="L37" s="62" t="n">
        <x:f>H37*(ROUNDUP('难度参数'!$E$24/('难度参数'!$E$26*'难度参数'!$E$27),0)*'难度参数'!$E$26)/60</x:f>
        <x:v>1.4533333333333334</x:v>
      </x:c>
      <x:c r="M37" s="62" t="n">
        <x:f>L37+D37*('难度参数'!$E$49+'难度参数'!$E$50)/60</x:f>
        <x:v>2.62</x:v>
      </x:c>
      <x:c r="N37" s="119" t="n">
        <x:f>ROUNDDOWN(('经济参数'!$E$20+A37*'经济参数'!$E$21)*G37,0)</x:f>
        <x:v>800</x:v>
      </x:c>
      <x:c r="O37" s="119" t="n">
        <x:f>ROUNDDOWN(MIN('经济参数'!$E$24,'经济参数'!$E$22+A37*'经济参数'!$E$23)*G37,0)</x:f>
        <x:v>0</x:v>
      </x:c>
      <x:c r="P37" s="119" t="n">
        <x:f>ROUNDDOWN((IF(A37&gt;='材料与任务'!$E$31,'材料与任务'!$E$32,IF(A37&gt;='材料与任务'!$E$25,'材料与任务'!$E$26,IF(A37&gt;='材料与任务'!$E$19,'材料与任务'!$E$20,IF(A37&gt;='材料与任务'!$E$13,'材料与任务'!$E$14,'材料与任务'!$E$8)))))*G37,0)</x:f>
        <x:v>3</x:v>
      </x:c>
      <x:c r="Q37" s="119" t="n">
        <x:f>ROUNDDOWN((IF(A37&gt;='材料与任务'!$E$31,'材料与任务'!$E$33,IF(A37&gt;='材料与任务'!$E$25,'材料与任务'!$E$27,IF(A37&gt;='材料与任务'!$E$19,'材料与任务'!$E$21,IF(A37&gt;='材料与任务'!$E$13,'材料与任务'!$E$15,'材料与任务'!$E$9)))))*G37,0)</x:f>
        <x:v>1</x:v>
      </x:c>
      <x:c r="R37" s="110" t="n">
        <x:f>'装备掉落'!$B$38</x:f>
        <x:v>0.6872058758851213</x:v>
      </x:c>
      <x:c r="S37" s="119" t="n">
        <x:f>MAX(IF(VLOOKUP(A37,'装备掉落'!$A$29:$H$34,2,TRUE)&gt;0,1,0),IF(VLOOKUP(A37,'装备掉落'!$A$29:$H$34,3,TRUE)&gt;0,2,0),IF(VLOOKUP(A37,'装备掉落'!$A$29:$H$34,4,TRUE)&gt;0,3,0),IF(VLOOKUP(A37,'装备掉落'!$A$29:$H$34,5,TRUE)&gt;0,4,0),IF(VLOOKUP(A37,'装备掉落'!$A$29:$H$34,6,TRUE)&gt;0,5,0),IF(VLOOKUP(A37,'装备掉落'!$A$29:$H$34,7,TRUE)&gt;0,6,0),IF(VLOOKUP(A37,'装备掉落'!$A$29:$H$34,8,TRUE)&gt;0,7,0))</x:f>
        <x:v>4</x:v>
      </x:c>
      <x:c r="T37" s="119" t="n">
        <x:f>MIN(7,S37+'经济参数'!$E$70)</x:f>
        <x:v>4</x:v>
      </x:c>
      <x:c r="U37" s="119" t="n">
        <x:f>MIN(7,S37+'经济参数'!$E$71)</x:f>
        <x:v>5</x:v>
      </x:c>
      <x:c r="V37" s="119" t="n">
        <x:f>IF(H37&gt;=('难度参数'!$E$52),1,0)+IF(H37&gt;=('难度参数'!$E$52+'难度参数'!$E$53),1,0)+IF(H37&gt;=('难度参数'!$E$52+'难度参数'!$E$53+'难度参数'!$E$54),1,0)+IF(H37&gt;=('难度参数'!$E$52+'难度参数'!$E$53+'难度参数'!$E$54+'难度参数'!$E$55),1,0)+IF(H37&gt;=('难度参数'!$E$52+'难度参数'!$E$53+'难度参数'!$E$54+'难度参数'!$E$55+'难度参数'!$E$56),1,0)+IF(H37&gt;=('难度参数'!$E$52+'难度参数'!$E$53+'难度参数'!$E$54+'难度参数'!$E$55+'难度参数'!$E$56+'难度参数'!$E$57),1,0)</x:f>
        <x:v>6</x:v>
      </x:c>
      <x:c r="W37" s="62" t="str">
        <x:f>IF(L37&gt;'难度参数'!$E$51,"仅出怪已超目标","还需实测")</x:f>
        <x:v>还需实测</x:v>
      </x:c>
      <x:c r="X37" s="119" t="n">
        <x:f>IF(1&gt;D37,0,MAX(2,MIN('难度参数'!$E$12,ROUND(('难度参数'!$E$18*POWER(A37,'难度参数'!$E$19)/D37*(0.85+0.3*(1-1)/MAX(1,D37-1))),0)+F37)))</x:f>
        <x:v>13</x:v>
      </x:c>
      <x:c r="Y37" s="119" t="n">
        <x:f>IF(1&gt;D37,0,ROUND(('难度参数'!$E$13*POWER(A37,'难度参数'!$E$20)*MIN('难度参数'!$E$23,1+MAX(0,A37-'难度参数'!$E$21)*'难度参数'!$E$22))*(36+1*7)/(36+7*(D37+1)/2)*E37,0))</x:f>
        <x:v>823</x:v>
      </x:c>
      <x:c r="Z37" s="119" t="n">
        <x:f>IF(X37=0,0,(X37-IF(1=D37,1,0))*ROUND(Y37*VLOOKUP(INDEX('章节与怪物'!$E$31:$K$37,B37,1),'章节与怪物'!$A$41:$F$44,2,FALSE),0)+IF(1=D37,ROUND(Y37*'难度参数'!$E$28*'章节与怪物'!$E$17,0),0))</x:f>
        <x:v>10699</x:v>
      </x:c>
      <x:c r="AA37" s="119" t="n">
        <x:f>IF(X37=0,0,(X37-IF(1=D37,1,0))*VLOOKUP(INDEX('章节与怪物'!$E$31:$K$37,B37,1),'章节与怪物'!$A$41:$F$44,4,FALSE)+IF(1=D37,'难度参数'!$E$30,0))</x:f>
        <x:v>234</x:v>
      </x:c>
      <x:c r="AB37" s="119" t="n">
        <x:f>IF(2&gt;D37,0,MAX(2,MIN('难度参数'!$E$12,ROUND(('难度参数'!$E$18*POWER(A37,'难度参数'!$E$19)/D37*(0.85+0.3*(2-1)/MAX(1,D37-1))),0)+F37)))</x:f>
        <x:v>14</x:v>
      </x:c>
      <x:c r="AC37" s="119" t="n">
        <x:f>IF(2&gt;D37,0,ROUND(('难度参数'!$E$13*POWER(A37,'难度参数'!$E$20)*MIN('难度参数'!$E$23,1+MAX(0,A37-'难度参数'!$E$21)*'难度参数'!$E$22))*(36+2*7)/(36+7*(D37+1)/2)*E37,0))</x:f>
        <x:v>956</x:v>
      </x:c>
      <x:c r="AD37" s="119" t="n">
        <x:f>IF(AB37=0,0,(AB37-IF(2=D37,1,0))*ROUND(AC37*VLOOKUP(INDEX('章节与怪物'!$E$31:$K$37,B37,2),'章节与怪物'!$A$41:$F$44,2,FALSE),0)+IF(2=D37,ROUND(AC37*'难度参数'!$E$28*'章节与怪物'!$E$17,0),0))</x:f>
        <x:v>9632</x:v>
      </x:c>
      <x:c r="AE37" s="119" t="n">
        <x:f>IF(AB37=0,0,(AB37-IF(2=D37,1,0))*VLOOKUP(INDEX('章节与怪物'!$E$31:$K$37,B37,2),'章节与怪物'!$A$41:$F$44,4,FALSE)+IF(2=D37,'难度参数'!$E$30,0))</x:f>
        <x:v>280</x:v>
      </x:c>
      <x:c r="AF37" s="119" t="n">
        <x:f>IF(3&gt;D37,0,MAX(2,MIN('难度参数'!$E$12,ROUND(('难度参数'!$E$18*POWER(A37,'难度参数'!$E$19)/D37*(0.85+0.3*(3-1)/MAX(1,D37-1))),0)+F37)))</x:f>
        <x:v>15</x:v>
      </x:c>
      <x:c r="AG37" s="119" t="n">
        <x:f>IF(3&gt;D37,0,ROUND(('难度参数'!$E$13*POWER(A37,'难度参数'!$E$20)*MIN('难度参数'!$E$23,1+MAX(0,A37-'难度参数'!$E$21)*'难度参数'!$E$22))*(36+3*7)/(36+7*(D37+1)/2)*E37,0))</x:f>
        <x:v>1090</x:v>
      </x:c>
      <x:c r="AH37" s="119" t="n">
        <x:f>IF(AF37=0,0,(AF37-IF(3=D37,1,0))*ROUND(AG37*VLOOKUP(INDEX('章节与怪物'!$E$31:$K$37,B37,3),'章节与怪物'!$A$41:$F$44,2,FALSE),0)+IF(3=D37,ROUND(AG37*'难度参数'!$E$28*'章节与怪物'!$E$17,0),0))</x:f>
        <x:v>27795</x:v>
      </x:c>
      <x:c r="AI37" s="119" t="n">
        <x:f>IF(AF37=0,0,(AF37-IF(3=D37,1,0))*VLOOKUP(INDEX('章节与怪物'!$E$31:$K$37,B37,3),'章节与怪物'!$A$41:$F$44,4,FALSE)+IF(3=D37,'难度参数'!$E$30,0))</x:f>
        <x:v>420</x:v>
      </x:c>
      <x:c r="AJ37" s="119" t="n">
        <x:f>IF(4&gt;D37,0,MAX(2,MIN('难度参数'!$E$12,ROUND(('难度参数'!$E$18*POWER(A37,'难度参数'!$E$19)/D37*(0.85+0.3*(4-1)/MAX(1,D37-1))),0)+F37)))</x:f>
        <x:v>16</x:v>
      </x:c>
      <x:c r="AK37" s="119" t="n">
        <x:f>IF(4&gt;D37,0,ROUND(('难度参数'!$E$13*POWER(A37,'难度参数'!$E$20)*MIN('难度参数'!$E$23,1+MAX(0,A37-'难度参数'!$E$21)*'难度参数'!$E$22))*(36+4*7)/(36+7*(D37+1)/2)*E37,0))</x:f>
        <x:v>1224</x:v>
      </x:c>
      <x:c r="AL37" s="119" t="n">
        <x:f>IF(AJ37=0,0,(AJ37-IF(4=D37,1,0))*ROUND(AK37*VLOOKUP(INDEX('章节与怪物'!$E$31:$K$37,B37,4),'章节与怪物'!$A$41:$F$44,2,FALSE),0)+IF(4=D37,ROUND(AK37*'难度参数'!$E$28*'章节与怪物'!$E$17,0),0))</x:f>
        <x:v>26432</x:v>
      </x:c>
      <x:c r="AM37" s="119" t="n">
        <x:f>IF(AJ37=0,0,(AJ37-IF(4=D37,1,0))*VLOOKUP(INDEX('章节与怪物'!$E$31:$K$37,B37,4),'章节与怪物'!$A$41:$F$44,4,FALSE)+IF(4=D37,'难度参数'!$E$30,0))</x:f>
        <x:v>544</x:v>
      </x:c>
      <x:c r="AN37" s="119" t="n">
        <x:f>IF(5&gt;D37,0,MAX(2,MIN('难度参数'!$E$12,ROUND(('难度参数'!$E$18*POWER(A37,'难度参数'!$E$19)/D37*(0.85+0.3*(5-1)/MAX(1,D37-1))),0)+F37)))</x:f>
        <x:v>16</x:v>
      </x:c>
      <x:c r="AO37" s="119" t="n">
        <x:f>IF(5&gt;D37,0,ROUND(('难度参数'!$E$13*POWER(A37,'难度参数'!$E$20)*MIN('难度参数'!$E$23,1+MAX(0,A37-'难度参数'!$E$21)*'难度参数'!$E$22))*(36+5*7)/(36+7*(D37+1)/2)*E37,0))</x:f>
        <x:v>1358</x:v>
      </x:c>
      <x:c r="AP37" s="119" t="n">
        <x:f>IF(AN37=0,0,(AN37-IF(5=D37,1,0))*ROUND(AO37*VLOOKUP(INDEX('章节与怪物'!$E$31:$K$37,B37,5),'章节与怪物'!$A$41:$F$44,2,FALSE),0)+IF(5=D37,ROUND(AO37*'难度参数'!$E$28*'章节与怪物'!$E$17,0),0))</x:f>
        <x:v>15648</x:v>
      </x:c>
      <x:c r="AQ37" s="119" t="n">
        <x:f>IF(AN37=0,0,(AN37-IF(5=D37,1,0))*VLOOKUP(INDEX('章节与怪物'!$E$31:$K$37,B37,5),'章节与怪物'!$A$41:$F$44,4,FALSE)+IF(5=D37,'难度参数'!$E$30,0))</x:f>
        <x:v>320</x:v>
      </x:c>
      <x:c r="AR37" s="119" t="n">
        <x:f>IF(6&gt;D37,0,MAX(2,MIN('难度参数'!$E$12,ROUND(('难度参数'!$E$18*POWER(A37,'难度参数'!$E$19)/D37*(0.85+0.3*(6-1)/MAX(1,D37-1))),0)+F37)))</x:f>
        <x:v>17</x:v>
      </x:c>
      <x:c r="AS37" s="119" t="n">
        <x:f>IF(6&gt;D37,0,ROUND(('难度参数'!$E$13*POWER(A37,'难度参数'!$E$20)*MIN('难度参数'!$E$23,1+MAX(0,A37-'难度参数'!$E$21)*'难度参数'!$E$22))*(36+6*7)/(36+7*(D37+1)/2)*E37,0))</x:f>
        <x:v>1492</x:v>
      </x:c>
      <x:c r="AT37" s="119" t="n">
        <x:f>IF(AR37=0,0,(AR37-IF(6=D37,1,0))*ROUND(AS37*VLOOKUP(INDEX('章节与怪物'!$E$31:$K$37,B37,6),'章节与怪物'!$A$41:$F$44,2,FALSE),0)+IF(6=D37,ROUND(AS37*'难度参数'!$E$28*'章节与怪物'!$E$17,0),0))</x:f>
        <x:v>43112</x:v>
      </x:c>
      <x:c r="AU37" s="119" t="n">
        <x:f>IF(AR37=0,0,(AR37-IF(6=D37,1,0))*VLOOKUP(INDEX('章节与怪物'!$E$31:$K$37,B37,6),'章节与怪物'!$A$41:$F$44,4,FALSE)+IF(6=D37,'难度参数'!$E$30,0))</x:f>
        <x:v>476</x:v>
      </x:c>
      <x:c r="AV37" s="119" t="n">
        <x:f>IF(7&gt;D37,0,MAX(2,MIN('难度参数'!$E$12,ROUND(('难度参数'!$E$18*POWER(A37,'难度参数'!$E$19)/D37*(0.85+0.3*(7-1)/MAX(1,D37-1))),0)+F37)))</x:f>
        <x:v>18</x:v>
      </x:c>
      <x:c r="AW37" s="119" t="n">
        <x:f>IF(7&gt;D37,0,ROUND(('难度参数'!$E$13*POWER(A37,'难度参数'!$E$20)*MIN('难度参数'!$E$23,1+MAX(0,A37-'难度参数'!$E$21)*'难度参数'!$E$22))*(36+7*7)/(36+7*(D37+1)/2)*E37,0))</x:f>
        <x:v>1626</x:v>
      </x:c>
      <x:c r="AX37" s="119" t="n">
        <x:f>IF(AV37=0,0,(AV37-IF(7=D37,1,0))*ROUND(AW37*VLOOKUP(INDEX('章节与怪物'!$E$31:$K$37,B37,7),'章节与怪物'!$A$41:$F$44,2,FALSE),0)+IF(7=D37,ROUND(AW37*'难度参数'!$E$28*'章节与怪物'!$E$17,0),0))</x:f>
        <x:v>48372</x:v>
      </x:c>
      <x:c r="AY37" s="119" t="n">
        <x:f>IF(AV37=0,0,(AV37-IF(7=D37,1,0))*VLOOKUP(INDEX('章节与怪物'!$E$31:$K$37,B37,7),'章节与怪物'!$A$41:$F$44,4,FALSE)+IF(7=D37,'难度参数'!$E$30,0))</x:f>
        <x:v>778</x:v>
      </x:c>
    </x:row>
    <x:row r="38" ht="23" customHeight="1">
      <x:c r="A38" s="119" t="n">
        <x:v>32</x:v>
      </x:c>
      <x:c r="B38" s="119" t="n">
        <x:f>MOD(INT((A38-1)/5),7)+1</x:f>
        <x:v>7</x:v>
      </x:c>
      <x:c r="C38" s="62" t="str">
        <x:f>INDEX('章节与怪物'!$B$31:$B$37,B38)</x:f>
        <x:v>魔法山脊</x:v>
      </x:c>
      <x:c r="D38" s="119" t="n">
        <x:f>MIN('难度参数'!$E$8,MAX('难度参数'!$E$7,A38))</x:f>
        <x:v>7</x:v>
      </x:c>
      <x:c r="E38" s="106" t="n">
        <x:v>1</x:v>
      </x:c>
      <x:c r="F38" s="106" t="n">
        <x:v>0</x:v>
      </x:c>
      <x:c r="G38" s="106" t="n">
        <x:v>1</x:v>
      </x:c>
      <x:c r="H38" s="119" t="n">
        <x:f>SUM(X38,AB38,AF38,AJ38,AN38,AR38,AV38)</x:f>
        <x:v>110</x:v>
      </x:c>
      <x:c r="I38" s="119" t="n">
        <x:f>SUM(Z38,AD38,AH38,AL38,AP38,AT38,AX38)</x:f>
        <x:v>187467</x:v>
      </x:c>
      <x:c r="J38" s="119" t="n">
        <x:f>ROUND(INDEX(X38:AY38,1,(D38-1)*4+2)*'难度参数'!$E$28*'章节与怪物'!$E$17,0)</x:f>
        <x:v>11342</x:v>
      </x:c>
      <x:c r="K38" s="119" t="n">
        <x:f>SUM(AA38,AE38,AI38,AM38,AQ38,AU38,AY38)</x:f>
        <x:v>3072</x:v>
      </x:c>
      <x:c r="L38" s="62" t="n">
        <x:f>H38*(ROUNDUP('难度参数'!$E$24/('难度参数'!$E$26*'难度参数'!$E$27),0)*'难度参数'!$E$26)/60</x:f>
        <x:v>1.4666666666666666</x:v>
      </x:c>
      <x:c r="M38" s="62" t="n">
        <x:f>L38+D38*('难度参数'!$E$49+'难度参数'!$E$50)/60</x:f>
        <x:v>2.6333333333333333</x:v>
      </x:c>
      <x:c r="N38" s="119" t="n">
        <x:f>ROUNDDOWN(('经济参数'!$E$20+A38*'经济参数'!$E$21)*G38,0)</x:f>
        <x:v>820</x:v>
      </x:c>
      <x:c r="O38" s="119" t="n">
        <x:f>ROUNDDOWN(MIN('经济参数'!$E$24,'经济参数'!$E$22+A38*'经济参数'!$E$23)*G38,0)</x:f>
        <x:v>0</x:v>
      </x:c>
      <x:c r="P38" s="119" t="n">
        <x:f>ROUNDDOWN((IF(A38&gt;='材料与任务'!$E$31,'材料与任务'!$E$32,IF(A38&gt;='材料与任务'!$E$25,'材料与任务'!$E$26,IF(A38&gt;='材料与任务'!$E$19,'材料与任务'!$E$20,IF(A38&gt;='材料与任务'!$E$13,'材料与任务'!$E$14,'材料与任务'!$E$8)))))*G38,0)</x:f>
        <x:v>3</x:v>
      </x:c>
      <x:c r="Q38" s="119" t="n">
        <x:f>ROUNDDOWN((IF(A38&gt;='材料与任务'!$E$31,'材料与任务'!$E$33,IF(A38&gt;='材料与任务'!$E$25,'材料与任务'!$E$27,IF(A38&gt;='材料与任务'!$E$19,'材料与任务'!$E$21,IF(A38&gt;='材料与任务'!$E$13,'材料与任务'!$E$15,'材料与任务'!$E$9)))))*G38,0)</x:f>
        <x:v>1</x:v>
      </x:c>
      <x:c r="R38" s="110" t="n">
        <x:f>'装备掉落'!$B$38</x:f>
        <x:v>0.6872058758851213</x:v>
      </x:c>
      <x:c r="S38" s="119" t="n">
        <x:f>MAX(IF(VLOOKUP(A38,'装备掉落'!$A$29:$H$34,2,TRUE)&gt;0,1,0),IF(VLOOKUP(A38,'装备掉落'!$A$29:$H$34,3,TRUE)&gt;0,2,0),IF(VLOOKUP(A38,'装备掉落'!$A$29:$H$34,4,TRUE)&gt;0,3,0),IF(VLOOKUP(A38,'装备掉落'!$A$29:$H$34,5,TRUE)&gt;0,4,0),IF(VLOOKUP(A38,'装备掉落'!$A$29:$H$34,6,TRUE)&gt;0,5,0),IF(VLOOKUP(A38,'装备掉落'!$A$29:$H$34,7,TRUE)&gt;0,6,0),IF(VLOOKUP(A38,'装备掉落'!$A$29:$H$34,8,TRUE)&gt;0,7,0))</x:f>
        <x:v>4</x:v>
      </x:c>
      <x:c r="T38" s="119" t="n">
        <x:f>MIN(7,S38+'经济参数'!$E$70)</x:f>
        <x:v>4</x:v>
      </x:c>
      <x:c r="U38" s="119" t="n">
        <x:f>MIN(7,S38+'经济参数'!$E$71)</x:f>
        <x:v>5</x:v>
      </x:c>
      <x:c r="V38" s="119" t="n">
        <x:f>IF(H38&gt;=('难度参数'!$E$52),1,0)+IF(H38&gt;=('难度参数'!$E$52+'难度参数'!$E$53),1,0)+IF(H38&gt;=('难度参数'!$E$52+'难度参数'!$E$53+'难度参数'!$E$54),1,0)+IF(H38&gt;=('难度参数'!$E$52+'难度参数'!$E$53+'难度参数'!$E$54+'难度参数'!$E$55),1,0)+IF(H38&gt;=('难度参数'!$E$52+'难度参数'!$E$53+'难度参数'!$E$54+'难度参数'!$E$55+'难度参数'!$E$56),1,0)+IF(H38&gt;=('难度参数'!$E$52+'难度参数'!$E$53+'难度参数'!$E$54+'难度参数'!$E$55+'难度参数'!$E$56+'难度参数'!$E$57),1,0)</x:f>
        <x:v>6</x:v>
      </x:c>
      <x:c r="W38" s="62" t="str">
        <x:f>IF(L38&gt;'难度参数'!$E$51,"仅出怪已超目标","还需实测")</x:f>
        <x:v>还需实测</x:v>
      </x:c>
      <x:c r="X38" s="119" t="n">
        <x:f>IF(1&gt;D38,0,MAX(2,MIN('难度参数'!$E$12,ROUND(('难度参数'!$E$18*POWER(A38,'难度参数'!$E$19)/D38*(0.85+0.3*(1-1)/MAX(1,D38-1))),0)+F38)))</x:f>
        <x:v>13</x:v>
      </x:c>
      <x:c r="Y38" s="119" t="n">
        <x:f>IF(1&gt;D38,0,ROUND(('难度参数'!$E$13*POWER(A38,'难度参数'!$E$20)*MIN('难度参数'!$E$23,1+MAX(0,A38-'难度参数'!$E$21)*'难度参数'!$E$22))*(36+1*7)/(36+7*(D38+1)/2)*E38,0))</x:f>
        <x:v>844</x:v>
      </x:c>
      <x:c r="Z38" s="119" t="n">
        <x:f>IF(X38=0,0,(X38-IF(1=D38,1,0))*ROUND(Y38*VLOOKUP(INDEX('章节与怪物'!$E$31:$K$37,B38,1),'章节与怪物'!$A$41:$F$44,2,FALSE),0)+IF(1=D38,ROUND(Y38*'难度参数'!$E$28*'章节与怪物'!$E$17,0),0))</x:f>
        <x:v>10972</x:v>
      </x:c>
      <x:c r="AA38" s="119" t="n">
        <x:f>IF(X38=0,0,(X38-IF(1=D38,1,0))*VLOOKUP(INDEX('章节与怪物'!$E$31:$K$37,B38,1),'章节与怪物'!$A$41:$F$44,4,FALSE)+IF(1=D38,'难度参数'!$E$30,0))</x:f>
        <x:v>234</x:v>
      </x:c>
      <x:c r="AB38" s="119" t="n">
        <x:f>IF(2&gt;D38,0,MAX(2,MIN('难度参数'!$E$12,ROUND(('难度参数'!$E$18*POWER(A38,'难度参数'!$E$19)/D38*(0.85+0.3*(2-1)/MAX(1,D38-1))),0)+F38)))</x:f>
        <x:v>14</x:v>
      </x:c>
      <x:c r="AC38" s="119" t="n">
        <x:f>IF(2&gt;D38,0,ROUND(('难度参数'!$E$13*POWER(A38,'难度参数'!$E$20)*MIN('难度参数'!$E$23,1+MAX(0,A38-'难度参数'!$E$21)*'难度参数'!$E$22))*(36+2*7)/(36+7*(D38+1)/2)*E38,0))</x:f>
        <x:v>981</x:v>
      </x:c>
      <x:c r="AD38" s="119" t="n">
        <x:f>IF(AB38=0,0,(AB38-IF(2=D38,1,0))*ROUND(AC38*VLOOKUP(INDEX('章节与怪物'!$E$31:$K$37,B38,2),'章节与怪物'!$A$41:$F$44,2,FALSE),0)+IF(2=D38,ROUND(AC38*'难度参数'!$E$28*'章节与怪物'!$E$17,0),0))</x:f>
        <x:v>9884</x:v>
      </x:c>
      <x:c r="AE38" s="119" t="n">
        <x:f>IF(AB38=0,0,(AB38-IF(2=D38,1,0))*VLOOKUP(INDEX('章节与怪物'!$E$31:$K$37,B38,2),'章节与怪物'!$A$41:$F$44,4,FALSE)+IF(2=D38,'难度参数'!$E$30,0))</x:f>
        <x:v>280</x:v>
      </x:c>
      <x:c r="AF38" s="119" t="n">
        <x:f>IF(3&gt;D38,0,MAX(2,MIN('难度参数'!$E$12,ROUND(('难度参数'!$E$18*POWER(A38,'难度参数'!$E$19)/D38*(0.85+0.3*(3-1)/MAX(1,D38-1))),0)+F38)))</x:f>
        <x:v>15</x:v>
      </x:c>
      <x:c r="AG38" s="119" t="n">
        <x:f>IF(3&gt;D38,0,ROUND(('难度参数'!$E$13*POWER(A38,'难度参数'!$E$20)*MIN('难度参数'!$E$23,1+MAX(0,A38-'难度参数'!$E$21)*'难度参数'!$E$22))*(36+3*7)/(36+7*(D38+1)/2)*E38,0))</x:f>
        <x:v>1119</x:v>
      </x:c>
      <x:c r="AH38" s="119" t="n">
        <x:f>IF(AF38=0,0,(AF38-IF(3=D38,1,0))*ROUND(AG38*VLOOKUP(INDEX('章节与怪物'!$E$31:$K$37,B38,3),'章节与怪物'!$A$41:$F$44,2,FALSE),0)+IF(3=D38,ROUND(AG38*'难度参数'!$E$28*'章节与怪物'!$E$17,0),0))</x:f>
        <x:v>28530</x:v>
      </x:c>
      <x:c r="AI38" s="119" t="n">
        <x:f>IF(AF38=0,0,(AF38-IF(3=D38,1,0))*VLOOKUP(INDEX('章节与怪物'!$E$31:$K$37,B38,3),'章节与怪物'!$A$41:$F$44,4,FALSE)+IF(3=D38,'难度参数'!$E$30,0))</x:f>
        <x:v>420</x:v>
      </x:c>
      <x:c r="AJ38" s="119" t="n">
        <x:f>IF(4&gt;D38,0,MAX(2,MIN('难度参数'!$E$12,ROUND(('难度参数'!$E$18*POWER(A38,'难度参数'!$E$19)/D38*(0.85+0.3*(4-1)/MAX(1,D38-1))),0)+F38)))</x:f>
        <x:v>16</x:v>
      </x:c>
      <x:c r="AK38" s="119" t="n">
        <x:f>IF(4&gt;D38,0,ROUND(('难度参数'!$E$13*POWER(A38,'难度参数'!$E$20)*MIN('难度参数'!$E$23,1+MAX(0,A38-'难度参数'!$E$21)*'难度参数'!$E$22))*(36+4*7)/(36+7*(D38+1)/2)*E38,0))</x:f>
        <x:v>1256</x:v>
      </x:c>
      <x:c r="AL38" s="119" t="n">
        <x:f>IF(AJ38=0,0,(AJ38-IF(4=D38,1,0))*ROUND(AK38*VLOOKUP(INDEX('章节与怪物'!$E$31:$K$37,B38,4),'章节与怪物'!$A$41:$F$44,2,FALSE),0)+IF(4=D38,ROUND(AK38*'难度参数'!$E$28*'章节与怪物'!$E$17,0),0))</x:f>
        <x:v>27136</x:v>
      </x:c>
      <x:c r="AM38" s="119" t="n">
        <x:f>IF(AJ38=0,0,(AJ38-IF(4=D38,1,0))*VLOOKUP(INDEX('章节与怪物'!$E$31:$K$37,B38,4),'章节与怪物'!$A$41:$F$44,4,FALSE)+IF(4=D38,'难度参数'!$E$30,0))</x:f>
        <x:v>544</x:v>
      </x:c>
      <x:c r="AN38" s="119" t="n">
        <x:f>IF(5&gt;D38,0,MAX(2,MIN('难度参数'!$E$12,ROUND(('难度参数'!$E$18*POWER(A38,'难度参数'!$E$19)/D38*(0.85+0.3*(5-1)/MAX(1,D38-1))),0)+F38)))</x:f>
        <x:v>17</x:v>
      </x:c>
      <x:c r="AO38" s="119" t="n">
        <x:f>IF(5&gt;D38,0,ROUND(('难度参数'!$E$13*POWER(A38,'难度参数'!$E$20)*MIN('难度参数'!$E$23,1+MAX(0,A38-'难度参数'!$E$21)*'难度参数'!$E$22))*(36+5*7)/(36+7*(D38+1)/2)*E38,0))</x:f>
        <x:v>1394</x:v>
      </x:c>
      <x:c r="AP38" s="119" t="n">
        <x:f>IF(AN38=0,0,(AN38-IF(5=D38,1,0))*ROUND(AO38*VLOOKUP(INDEX('章节与怪物'!$E$31:$K$37,B38,5),'章节与怪物'!$A$41:$F$44,2,FALSE),0)+IF(5=D38,ROUND(AO38*'难度参数'!$E$28*'章节与怪物'!$E$17,0),0))</x:f>
        <x:v>17068</x:v>
      </x:c>
      <x:c r="AQ38" s="119" t="n">
        <x:f>IF(AN38=0,0,(AN38-IF(5=D38,1,0))*VLOOKUP(INDEX('章节与怪物'!$E$31:$K$37,B38,5),'章节与怪物'!$A$41:$F$44,4,FALSE)+IF(5=D38,'难度参数'!$E$30,0))</x:f>
        <x:v>340</x:v>
      </x:c>
      <x:c r="AR38" s="119" t="n">
        <x:f>IF(6&gt;D38,0,MAX(2,MIN('难度参数'!$E$12,ROUND(('难度参数'!$E$18*POWER(A38,'难度参数'!$E$19)/D38*(0.85+0.3*(6-1)/MAX(1,D38-1))),0)+F38)))</x:f>
        <x:v>17</x:v>
      </x:c>
      <x:c r="AS38" s="119" t="n">
        <x:f>IF(6&gt;D38,0,ROUND(('难度参数'!$E$13*POWER(A38,'难度参数'!$E$20)*MIN('难度参数'!$E$23,1+MAX(0,A38-'难度参数'!$E$21)*'难度参数'!$E$22))*(36+6*7)/(36+7*(D38+1)/2)*E38,0))</x:f>
        <x:v>1531</x:v>
      </x:c>
      <x:c r="AT38" s="119" t="n">
        <x:f>IF(AR38=0,0,(AR38-IF(6=D38,1,0))*ROUND(AS38*VLOOKUP(INDEX('章节与怪物'!$E$31:$K$37,B38,6),'章节与怪物'!$A$41:$F$44,2,FALSE),0)+IF(6=D38,ROUND(AS38*'难度参数'!$E$28*'章节与怪物'!$E$17,0),0))</x:f>
        <x:v>44251</x:v>
      </x:c>
      <x:c r="AU38" s="119" t="n">
        <x:f>IF(AR38=0,0,(AR38-IF(6=D38,1,0))*VLOOKUP(INDEX('章节与怪物'!$E$31:$K$37,B38,6),'章节与怪物'!$A$41:$F$44,4,FALSE)+IF(6=D38,'难度参数'!$E$30,0))</x:f>
        <x:v>476</x:v>
      </x:c>
      <x:c r="AV38" s="119" t="n">
        <x:f>IF(7&gt;D38,0,MAX(2,MIN('难度参数'!$E$12,ROUND(('难度参数'!$E$18*POWER(A38,'难度参数'!$E$19)/D38*(0.85+0.3*(7-1)/MAX(1,D38-1))),0)+F38)))</x:f>
        <x:v>18</x:v>
      </x:c>
      <x:c r="AW38" s="119" t="n">
        <x:f>IF(7&gt;D38,0,ROUND(('难度参数'!$E$13*POWER(A38,'难度参数'!$E$20)*MIN('难度参数'!$E$23,1+MAX(0,A38-'难度参数'!$E$21)*'难度参数'!$E$22))*(36+7*7)/(36+7*(D38+1)/2)*E38,0))</x:f>
        <x:v>1668</x:v>
      </x:c>
      <x:c r="AX38" s="119" t="n">
        <x:f>IF(AV38=0,0,(AV38-IF(7=D38,1,0))*ROUND(AW38*VLOOKUP(INDEX('章节与怪物'!$E$31:$K$37,B38,7),'章节与怪物'!$A$41:$F$44,2,FALSE),0)+IF(7=D38,ROUND(AW38*'难度参数'!$E$28*'章节与怪物'!$E$17,0),0))</x:f>
        <x:v>49626</x:v>
      </x:c>
      <x:c r="AY38" s="119" t="n">
        <x:f>IF(AV38=0,0,(AV38-IF(7=D38,1,0))*VLOOKUP(INDEX('章节与怪物'!$E$31:$K$37,B38,7),'章节与怪物'!$A$41:$F$44,4,FALSE)+IF(7=D38,'难度参数'!$E$30,0))</x:f>
        <x:v>778</x:v>
      </x:c>
    </x:row>
    <x:row r="39" ht="23" customHeight="1">
      <x:c r="A39" s="119" t="n">
        <x:v>33</x:v>
      </x:c>
      <x:c r="B39" s="119" t="n">
        <x:f>MOD(INT((A39-1)/5),7)+1</x:f>
        <x:v>7</x:v>
      </x:c>
      <x:c r="C39" s="62" t="str">
        <x:f>INDEX('章节与怪物'!$B$31:$B$37,B39)</x:f>
        <x:v>魔法山脊</x:v>
      </x:c>
      <x:c r="D39" s="119" t="n">
        <x:f>MIN('难度参数'!$E$8,MAX('难度参数'!$E$7,A39))</x:f>
        <x:v>7</x:v>
      </x:c>
      <x:c r="E39" s="106" t="n">
        <x:v>1</x:v>
      </x:c>
      <x:c r="F39" s="106" t="n">
        <x:v>0</x:v>
      </x:c>
      <x:c r="G39" s="106" t="n">
        <x:v>1</x:v>
      </x:c>
      <x:c r="H39" s="119" t="n">
        <x:f>SUM(X39,AB39,AF39,AJ39,AN39,AR39,AV39)</x:f>
        <x:v>112</x:v>
      </x:c>
      <x:c r="I39" s="119" t="n">
        <x:f>SUM(Z39,AD39,AH39,AL39,AP39,AT39,AX39)</x:f>
        <x:v>195760</x:v>
      </x:c>
      <x:c r="J39" s="119" t="n">
        <x:f>ROUND(INDEX(X39:AY39,1,(D39-1)*4+2)*'难度参数'!$E$28*'章节与怪物'!$E$17,0)</x:f>
        <x:v>11635</x:v>
      </x:c>
      <x:c r="K39" s="119" t="n">
        <x:f>SUM(AA39,AE39,AI39,AM39,AQ39,AU39,AY39)</x:f>
        <x:v>3118</x:v>
      </x:c>
      <x:c r="L39" s="62" t="n">
        <x:f>H39*(ROUNDUP('难度参数'!$E$24/('难度参数'!$E$26*'难度参数'!$E$27),0)*'难度参数'!$E$26)/60</x:f>
        <x:v>1.4933333333333334</x:v>
      </x:c>
      <x:c r="M39" s="62" t="n">
        <x:f>L39+D39*('难度参数'!$E$49+'难度参数'!$E$50)/60</x:f>
        <x:v>2.66</x:v>
      </x:c>
      <x:c r="N39" s="119" t="n">
        <x:f>ROUNDDOWN(('经济参数'!$E$20+A39*'经济参数'!$E$21)*G39,0)</x:f>
        <x:v>840</x:v>
      </x:c>
      <x:c r="O39" s="119" t="n">
        <x:f>ROUNDDOWN(MIN('经济参数'!$E$24,'经济参数'!$E$22+A39*'经济参数'!$E$23)*G39,0)</x:f>
        <x:v>0</x:v>
      </x:c>
      <x:c r="P39" s="119" t="n">
        <x:f>ROUNDDOWN((IF(A39&gt;='材料与任务'!$E$31,'材料与任务'!$E$32,IF(A39&gt;='材料与任务'!$E$25,'材料与任务'!$E$26,IF(A39&gt;='材料与任务'!$E$19,'材料与任务'!$E$20,IF(A39&gt;='材料与任务'!$E$13,'材料与任务'!$E$14,'材料与任务'!$E$8)))))*G39,0)</x:f>
        <x:v>3</x:v>
      </x:c>
      <x:c r="Q39" s="119" t="n">
        <x:f>ROUNDDOWN((IF(A39&gt;='材料与任务'!$E$31,'材料与任务'!$E$33,IF(A39&gt;='材料与任务'!$E$25,'材料与任务'!$E$27,IF(A39&gt;='材料与任务'!$E$19,'材料与任务'!$E$21,IF(A39&gt;='材料与任务'!$E$13,'材料与任务'!$E$15,'材料与任务'!$E$9)))))*G39,0)</x:f>
        <x:v>1</x:v>
      </x:c>
      <x:c r="R39" s="110" t="n">
        <x:f>'装备掉落'!$B$38</x:f>
        <x:v>0.6872058758851213</x:v>
      </x:c>
      <x:c r="S39" s="119" t="n">
        <x:f>MAX(IF(VLOOKUP(A39,'装备掉落'!$A$29:$H$34,2,TRUE)&gt;0,1,0),IF(VLOOKUP(A39,'装备掉落'!$A$29:$H$34,3,TRUE)&gt;0,2,0),IF(VLOOKUP(A39,'装备掉落'!$A$29:$H$34,4,TRUE)&gt;0,3,0),IF(VLOOKUP(A39,'装备掉落'!$A$29:$H$34,5,TRUE)&gt;0,4,0),IF(VLOOKUP(A39,'装备掉落'!$A$29:$H$34,6,TRUE)&gt;0,5,0),IF(VLOOKUP(A39,'装备掉落'!$A$29:$H$34,7,TRUE)&gt;0,6,0),IF(VLOOKUP(A39,'装备掉落'!$A$29:$H$34,8,TRUE)&gt;0,7,0))</x:f>
        <x:v>4</x:v>
      </x:c>
      <x:c r="T39" s="119" t="n">
        <x:f>MIN(7,S39+'经济参数'!$E$70)</x:f>
        <x:v>4</x:v>
      </x:c>
      <x:c r="U39" s="119" t="n">
        <x:f>MIN(7,S39+'经济参数'!$E$71)</x:f>
        <x:v>5</x:v>
      </x:c>
      <x:c r="V39" s="119" t="n">
        <x:f>IF(H39&gt;=('难度参数'!$E$52),1,0)+IF(H39&gt;=('难度参数'!$E$52+'难度参数'!$E$53),1,0)+IF(H39&gt;=('难度参数'!$E$52+'难度参数'!$E$53+'难度参数'!$E$54),1,0)+IF(H39&gt;=('难度参数'!$E$52+'难度参数'!$E$53+'难度参数'!$E$54+'难度参数'!$E$55),1,0)+IF(H39&gt;=('难度参数'!$E$52+'难度参数'!$E$53+'难度参数'!$E$54+'难度参数'!$E$55+'难度参数'!$E$56),1,0)+IF(H39&gt;=('难度参数'!$E$52+'难度参数'!$E$53+'难度参数'!$E$54+'难度参数'!$E$55+'难度参数'!$E$56+'难度参数'!$E$57),1,0)</x:f>
        <x:v>6</x:v>
      </x:c>
      <x:c r="W39" s="62" t="str">
        <x:f>IF(L39&gt;'难度参数'!$E$51,"仅出怪已超目标","还需实测")</x:f>
        <x:v>还需实测</x:v>
      </x:c>
      <x:c r="X39" s="119" t="n">
        <x:f>IF(1&gt;D39,0,MAX(2,MIN('难度参数'!$E$12,ROUND(('难度参数'!$E$18*POWER(A39,'难度参数'!$E$19)/D39*(0.85+0.3*(1-1)/MAX(1,D39-1))),0)+F39)))</x:f>
        <x:v>14</x:v>
      </x:c>
      <x:c r="Y39" s="119" t="n">
        <x:f>IF(1&gt;D39,0,ROUND(('难度参数'!$E$13*POWER(A39,'难度参数'!$E$20)*MIN('难度参数'!$E$23,1+MAX(0,A39-'难度参数'!$E$21)*'难度参数'!$E$22))*(36+1*7)/(36+7*(D39+1)/2)*E39,0))</x:f>
        <x:v>865</x:v>
      </x:c>
      <x:c r="Z39" s="119" t="n">
        <x:f>IF(X39=0,0,(X39-IF(1=D39,1,0))*ROUND(Y39*VLOOKUP(INDEX('章节与怪物'!$E$31:$K$37,B39,1),'章节与怪物'!$A$41:$F$44,2,FALSE),0)+IF(1=D39,ROUND(Y39*'难度参数'!$E$28*'章节与怪物'!$E$17,0),0))</x:f>
        <x:v>12110</x:v>
      </x:c>
      <x:c r="AA39" s="119" t="n">
        <x:f>IF(X39=0,0,(X39-IF(1=D39,1,0))*VLOOKUP(INDEX('章节与怪物'!$E$31:$K$37,B39,1),'章节与怪物'!$A$41:$F$44,4,FALSE)+IF(1=D39,'难度参数'!$E$30,0))</x:f>
        <x:v>252</x:v>
      </x:c>
      <x:c r="AB39" s="119" t="n">
        <x:f>IF(2&gt;D39,0,MAX(2,MIN('难度参数'!$E$12,ROUND(('难度参数'!$E$18*POWER(A39,'难度参数'!$E$19)/D39*(0.85+0.3*(2-1)/MAX(1,D39-1))),0)+F39)))</x:f>
        <x:v>14</x:v>
      </x:c>
      <x:c r="AC39" s="119" t="n">
        <x:f>IF(2&gt;D39,0,ROUND(('难度参数'!$E$13*POWER(A39,'难度参数'!$E$20)*MIN('难度参数'!$E$23,1+MAX(0,A39-'难度参数'!$E$21)*'难度参数'!$E$22))*(36+2*7)/(36+7*(D39+1)/2)*E39,0))</x:f>
        <x:v>1006</x:v>
      </x:c>
      <x:c r="AD39" s="119" t="n">
        <x:f>IF(AB39=0,0,(AB39-IF(2=D39,1,0))*ROUND(AC39*VLOOKUP(INDEX('章节与怪物'!$E$31:$K$37,B39,2),'章节与怪物'!$A$41:$F$44,2,FALSE),0)+IF(2=D39,ROUND(AC39*'难度参数'!$E$28*'章节与怪物'!$E$17,0),0))</x:f>
        <x:v>10136</x:v>
      </x:c>
      <x:c r="AE39" s="119" t="n">
        <x:f>IF(AB39=0,0,(AB39-IF(2=D39,1,0))*VLOOKUP(INDEX('章节与怪物'!$E$31:$K$37,B39,2),'章节与怪物'!$A$41:$F$44,4,FALSE)+IF(2=D39,'难度参数'!$E$30,0))</x:f>
        <x:v>280</x:v>
      </x:c>
      <x:c r="AF39" s="119" t="n">
        <x:f>IF(3&gt;D39,0,MAX(2,MIN('难度参数'!$E$12,ROUND(('难度参数'!$E$18*POWER(A39,'难度参数'!$E$19)/D39*(0.85+0.3*(3-1)/MAX(1,D39-1))),0)+F39)))</x:f>
        <x:v>15</x:v>
      </x:c>
      <x:c r="AG39" s="119" t="n">
        <x:f>IF(3&gt;D39,0,ROUND(('难度参数'!$E$13*POWER(A39,'难度参数'!$E$20)*MIN('难度参数'!$E$23,1+MAX(0,A39-'难度参数'!$E$21)*'难度参数'!$E$22))*(36+3*7)/(36+7*(D39+1)/2)*E39,0))</x:f>
        <x:v>1147</x:v>
      </x:c>
      <x:c r="AH39" s="119" t="n">
        <x:f>IF(AF39=0,0,(AF39-IF(3=D39,1,0))*ROUND(AG39*VLOOKUP(INDEX('章节与怪物'!$E$31:$K$37,B39,3),'章节与怪物'!$A$41:$F$44,2,FALSE),0)+IF(3=D39,ROUND(AG39*'难度参数'!$E$28*'章节与怪物'!$E$17,0),0))</x:f>
        <x:v>29250</x:v>
      </x:c>
      <x:c r="AI39" s="119" t="n">
        <x:f>IF(AF39=0,0,(AF39-IF(3=D39,1,0))*VLOOKUP(INDEX('章节与怪物'!$E$31:$K$37,B39,3),'章节与怪物'!$A$41:$F$44,4,FALSE)+IF(3=D39,'难度参数'!$E$30,0))</x:f>
        <x:v>420</x:v>
      </x:c>
      <x:c r="AJ39" s="119" t="n">
        <x:f>IF(4&gt;D39,0,MAX(2,MIN('难度参数'!$E$12,ROUND(('难度参数'!$E$18*POWER(A39,'难度参数'!$E$19)/D39*(0.85+0.3*(4-1)/MAX(1,D39-1))),0)+F39)))</x:f>
        <x:v>16</x:v>
      </x:c>
      <x:c r="AK39" s="119" t="n">
        <x:f>IF(4&gt;D39,0,ROUND(('难度参数'!$E$13*POWER(A39,'难度参数'!$E$20)*MIN('难度参数'!$E$23,1+MAX(0,A39-'难度参数'!$E$21)*'难度参数'!$E$22))*(36+4*7)/(36+7*(D39+1)/2)*E39,0))</x:f>
        <x:v>1288</x:v>
      </x:c>
      <x:c r="AL39" s="119" t="n">
        <x:f>IF(AJ39=0,0,(AJ39-IF(4=D39,1,0))*ROUND(AK39*VLOOKUP(INDEX('章节与怪物'!$E$31:$K$37,B39,4),'章节与怪物'!$A$41:$F$44,2,FALSE),0)+IF(4=D39,ROUND(AK39*'难度参数'!$E$28*'章节与怪物'!$E$17,0),0))</x:f>
        <x:v>27824</x:v>
      </x:c>
      <x:c r="AM39" s="119" t="n">
        <x:f>IF(AJ39=0,0,(AJ39-IF(4=D39,1,0))*VLOOKUP(INDEX('章节与怪物'!$E$31:$K$37,B39,4),'章节与怪物'!$A$41:$F$44,4,FALSE)+IF(4=D39,'难度参数'!$E$30,0))</x:f>
        <x:v>544</x:v>
      </x:c>
      <x:c r="AN39" s="119" t="n">
        <x:f>IF(5&gt;D39,0,MAX(2,MIN('难度参数'!$E$12,ROUND(('难度参数'!$E$18*POWER(A39,'难度参数'!$E$19)/D39*(0.85+0.3*(5-1)/MAX(1,D39-1))),0)+F39)))</x:f>
        <x:v>17</x:v>
      </x:c>
      <x:c r="AO39" s="119" t="n">
        <x:f>IF(5&gt;D39,0,ROUND(('难度参数'!$E$13*POWER(A39,'难度参数'!$E$20)*MIN('难度参数'!$E$23,1+MAX(0,A39-'难度参数'!$E$21)*'难度参数'!$E$22))*(36+5*7)/(36+7*(D39+1)/2)*E39,0))</x:f>
        <x:v>1429</x:v>
      </x:c>
      <x:c r="AP39" s="119" t="n">
        <x:f>IF(AN39=0,0,(AN39-IF(5=D39,1,0))*ROUND(AO39*VLOOKUP(INDEX('章节与怪物'!$E$31:$K$37,B39,5),'章节与怪物'!$A$41:$F$44,2,FALSE),0)+IF(5=D39,ROUND(AO39*'难度参数'!$E$28*'章节与怪物'!$E$17,0),0))</x:f>
        <x:v>17493</x:v>
      </x:c>
      <x:c r="AQ39" s="119" t="n">
        <x:f>IF(AN39=0,0,(AN39-IF(5=D39,1,0))*VLOOKUP(INDEX('章节与怪物'!$E$31:$K$37,B39,5),'章节与怪物'!$A$41:$F$44,4,FALSE)+IF(5=D39,'难度参数'!$E$30,0))</x:f>
        <x:v>340</x:v>
      </x:c>
      <x:c r="AR39" s="119" t="n">
        <x:f>IF(6&gt;D39,0,MAX(2,MIN('难度参数'!$E$12,ROUND(('难度参数'!$E$18*POWER(A39,'难度参数'!$E$19)/D39*(0.85+0.3*(6-1)/MAX(1,D39-1))),0)+F39)))</x:f>
        <x:v>18</x:v>
      </x:c>
      <x:c r="AS39" s="119" t="n">
        <x:f>IF(6&gt;D39,0,ROUND(('难度参数'!$E$13*POWER(A39,'难度参数'!$E$20)*MIN('难度参数'!$E$23,1+MAX(0,A39-'难度参数'!$E$21)*'难度参数'!$E$22))*(36+6*7)/(36+7*(D39+1)/2)*E39,0))</x:f>
        <x:v>1570</x:v>
      </x:c>
      <x:c r="AT39" s="119" t="n">
        <x:f>IF(AR39=0,0,(AR39-IF(6=D39,1,0))*ROUND(AS39*VLOOKUP(INDEX('章节与怪物'!$E$31:$K$37,B39,6),'章节与怪物'!$A$41:$F$44,2,FALSE),0)+IF(6=D39,ROUND(AS39*'难度参数'!$E$28*'章节与怪物'!$E$17,0),0))</x:f>
        <x:v>48042</x:v>
      </x:c>
      <x:c r="AU39" s="119" t="n">
        <x:f>IF(AR39=0,0,(AR39-IF(6=D39,1,0))*VLOOKUP(INDEX('章节与怪物'!$E$31:$K$37,B39,6),'章节与怪物'!$A$41:$F$44,4,FALSE)+IF(6=D39,'难度参数'!$E$30,0))</x:f>
        <x:v>504</x:v>
      </x:c>
      <x:c r="AV39" s="119" t="n">
        <x:f>IF(7&gt;D39,0,MAX(2,MIN('难度参数'!$E$12,ROUND(('难度参数'!$E$18*POWER(A39,'难度参数'!$E$19)/D39*(0.85+0.3*(7-1)/MAX(1,D39-1))),0)+F39)))</x:f>
        <x:v>18</x:v>
      </x:c>
      <x:c r="AW39" s="119" t="n">
        <x:f>IF(7&gt;D39,0,ROUND(('难度参数'!$E$13*POWER(A39,'难度参数'!$E$20)*MIN('难度参数'!$E$23,1+MAX(0,A39-'难度参数'!$E$21)*'难度参数'!$E$22))*(36+7*7)/(36+7*(D39+1)/2)*E39,0))</x:f>
        <x:v>1711</x:v>
      </x:c>
      <x:c r="AX39" s="119" t="n">
        <x:f>IF(AV39=0,0,(AV39-IF(7=D39,1,0))*ROUND(AW39*VLOOKUP(INDEX('章节与怪物'!$E$31:$K$37,B39,7),'章节与怪物'!$A$41:$F$44,2,FALSE),0)+IF(7=D39,ROUND(AW39*'难度参数'!$E$28*'章节与怪物'!$E$17,0),0))</x:f>
        <x:v>50905</x:v>
      </x:c>
      <x:c r="AY39" s="119" t="n">
        <x:f>IF(AV39=0,0,(AV39-IF(7=D39,1,0))*VLOOKUP(INDEX('章节与怪物'!$E$31:$K$37,B39,7),'章节与怪物'!$A$41:$F$44,4,FALSE)+IF(7=D39,'难度参数'!$E$30,0))</x:f>
        <x:v>778</x:v>
      </x:c>
    </x:row>
    <x:row r="40" ht="23" customHeight="1">
      <x:c r="A40" s="119" t="n">
        <x:v>34</x:v>
      </x:c>
      <x:c r="B40" s="119" t="n">
        <x:f>MOD(INT((A40-1)/5),7)+1</x:f>
        <x:v>7</x:v>
      </x:c>
      <x:c r="C40" s="62" t="str">
        <x:f>INDEX('章节与怪物'!$B$31:$B$37,B40)</x:f>
        <x:v>魔法山脊</x:v>
      </x:c>
      <x:c r="D40" s="119" t="n">
        <x:f>MIN('难度参数'!$E$8,MAX('难度参数'!$E$7,A40))</x:f>
        <x:v>7</x:v>
      </x:c>
      <x:c r="E40" s="106" t="n">
        <x:v>1</x:v>
      </x:c>
      <x:c r="F40" s="106" t="n">
        <x:v>0</x:v>
      </x:c>
      <x:c r="G40" s="106" t="n">
        <x:v>1</x:v>
      </x:c>
      <x:c r="H40" s="119" t="n">
        <x:f>SUM(X40,AB40,AF40,AJ40,AN40,AR40,AV40)</x:f>
        <x:v>114</x:v>
      </x:c>
      <x:c r="I40" s="119" t="n">
        <x:f>SUM(Z40,AD40,AH40,AL40,AP40,AT40,AX40)</x:f>
        <x:v>203719</x:v>
      </x:c>
      <x:c r="J40" s="119" t="n">
        <x:f>ROUND(INDEX(X40:AY40,1,(D40-1)*4+2)*'难度参数'!$E$28*'章节与怪物'!$E$17,0)</x:f>
        <x:v>11920</x:v>
      </x:c>
      <x:c r="K40" s="119" t="n">
        <x:f>SUM(AA40,AE40,AI40,AM40,AQ40,AU40,AY40)</x:f>
        <x:v>3172</x:v>
      </x:c>
      <x:c r="L40" s="62" t="n">
        <x:f>H40*(ROUNDUP('难度参数'!$E$24/('难度参数'!$E$26*'难度参数'!$E$27),0)*'难度参数'!$E$26)/60</x:f>
        <x:v>1.52</x:v>
      </x:c>
      <x:c r="M40" s="62" t="n">
        <x:f>L40+D40*('难度参数'!$E$49+'难度参数'!$E$50)/60</x:f>
        <x:v>2.6866666666666665</x:v>
      </x:c>
      <x:c r="N40" s="119" t="n">
        <x:f>ROUNDDOWN(('经济参数'!$E$20+A40*'经济参数'!$E$21)*G40,0)</x:f>
        <x:v>860</x:v>
      </x:c>
      <x:c r="O40" s="119" t="n">
        <x:f>ROUNDDOWN(MIN('经济参数'!$E$24,'经济参数'!$E$22+A40*'经济参数'!$E$23)*G40,0)</x:f>
        <x:v>0</x:v>
      </x:c>
      <x:c r="P40" s="119" t="n">
        <x:f>ROUNDDOWN((IF(A40&gt;='材料与任务'!$E$31,'材料与任务'!$E$32,IF(A40&gt;='材料与任务'!$E$25,'材料与任务'!$E$26,IF(A40&gt;='材料与任务'!$E$19,'材料与任务'!$E$20,IF(A40&gt;='材料与任务'!$E$13,'材料与任务'!$E$14,'材料与任务'!$E$8)))))*G40,0)</x:f>
        <x:v>3</x:v>
      </x:c>
      <x:c r="Q40" s="119" t="n">
        <x:f>ROUNDDOWN((IF(A40&gt;='材料与任务'!$E$31,'材料与任务'!$E$33,IF(A40&gt;='材料与任务'!$E$25,'材料与任务'!$E$27,IF(A40&gt;='材料与任务'!$E$19,'材料与任务'!$E$21,IF(A40&gt;='材料与任务'!$E$13,'材料与任务'!$E$15,'材料与任务'!$E$9)))))*G40,0)</x:f>
        <x:v>1</x:v>
      </x:c>
      <x:c r="R40" s="110" t="n">
        <x:f>'装备掉落'!$B$38</x:f>
        <x:v>0.6872058758851213</x:v>
      </x:c>
      <x:c r="S40" s="119" t="n">
        <x:f>MAX(IF(VLOOKUP(A40,'装备掉落'!$A$29:$H$34,2,TRUE)&gt;0,1,0),IF(VLOOKUP(A40,'装备掉落'!$A$29:$H$34,3,TRUE)&gt;0,2,0),IF(VLOOKUP(A40,'装备掉落'!$A$29:$H$34,4,TRUE)&gt;0,3,0),IF(VLOOKUP(A40,'装备掉落'!$A$29:$H$34,5,TRUE)&gt;0,4,0),IF(VLOOKUP(A40,'装备掉落'!$A$29:$H$34,6,TRUE)&gt;0,5,0),IF(VLOOKUP(A40,'装备掉落'!$A$29:$H$34,7,TRUE)&gt;0,6,0),IF(VLOOKUP(A40,'装备掉落'!$A$29:$H$34,8,TRUE)&gt;0,7,0))</x:f>
        <x:v>4</x:v>
      </x:c>
      <x:c r="T40" s="119" t="n">
        <x:f>MIN(7,S40+'经济参数'!$E$70)</x:f>
        <x:v>4</x:v>
      </x:c>
      <x:c r="U40" s="119" t="n">
        <x:f>MIN(7,S40+'经济参数'!$E$71)</x:f>
        <x:v>5</x:v>
      </x:c>
      <x:c r="V40" s="119" t="n">
        <x:f>IF(H40&gt;=('难度参数'!$E$52),1,0)+IF(H40&gt;=('难度参数'!$E$52+'难度参数'!$E$53),1,0)+IF(H40&gt;=('难度参数'!$E$52+'难度参数'!$E$53+'难度参数'!$E$54),1,0)+IF(H40&gt;=('难度参数'!$E$52+'难度参数'!$E$53+'难度参数'!$E$54+'难度参数'!$E$55),1,0)+IF(H40&gt;=('难度参数'!$E$52+'难度参数'!$E$53+'难度参数'!$E$54+'难度参数'!$E$55+'难度参数'!$E$56),1,0)+IF(H40&gt;=('难度参数'!$E$52+'难度参数'!$E$53+'难度参数'!$E$54+'难度参数'!$E$55+'难度参数'!$E$56+'难度参数'!$E$57),1,0)</x:f>
        <x:v>6</x:v>
      </x:c>
      <x:c r="W40" s="62" t="str">
        <x:f>IF(L40&gt;'难度参数'!$E$51,"仅出怪已超目标","还需实测")</x:f>
        <x:v>还需实测</x:v>
      </x:c>
      <x:c r="X40" s="119" t="n">
        <x:f>IF(1&gt;D40,0,MAX(2,MIN('难度参数'!$E$12,ROUND(('难度参数'!$E$18*POWER(A40,'难度参数'!$E$19)/D40*(0.85+0.3*(1-1)/MAX(1,D40-1))),0)+F40)))</x:f>
        <x:v>14</x:v>
      </x:c>
      <x:c r="Y40" s="119" t="n">
        <x:f>IF(1&gt;D40,0,ROUND(('难度参数'!$E$13*POWER(A40,'难度参数'!$E$20)*MIN('难度参数'!$E$23,1+MAX(0,A40-'难度参数'!$E$21)*'难度参数'!$E$22))*(36+1*7)/(36+7*(D40+1)/2)*E40,0))</x:f>
        <x:v>887</x:v>
      </x:c>
      <x:c r="Z40" s="119" t="n">
        <x:f>IF(X40=0,0,(X40-IF(1=D40,1,0))*ROUND(Y40*VLOOKUP(INDEX('章节与怪物'!$E$31:$K$37,B40,1),'章节与怪物'!$A$41:$F$44,2,FALSE),0)+IF(1=D40,ROUND(Y40*'难度参数'!$E$28*'章节与怪物'!$E$17,0),0))</x:f>
        <x:v>12418</x:v>
      </x:c>
      <x:c r="AA40" s="119" t="n">
        <x:f>IF(X40=0,0,(X40-IF(1=D40,1,0))*VLOOKUP(INDEX('章节与怪物'!$E$31:$K$37,B40,1),'章节与怪物'!$A$41:$F$44,4,FALSE)+IF(1=D40,'难度参数'!$E$30,0))</x:f>
        <x:v>252</x:v>
      </x:c>
      <x:c r="AB40" s="119" t="n">
        <x:f>IF(2&gt;D40,0,MAX(2,MIN('难度参数'!$E$12,ROUND(('难度参数'!$E$18*POWER(A40,'难度参数'!$E$19)/D40*(0.85+0.3*(2-1)/MAX(1,D40-1))),0)+F40)))</x:f>
        <x:v>15</x:v>
      </x:c>
      <x:c r="AC40" s="119" t="n">
        <x:f>IF(2&gt;D40,0,ROUND(('难度参数'!$E$13*POWER(A40,'难度参数'!$E$20)*MIN('难度参数'!$E$23,1+MAX(0,A40-'难度参数'!$E$21)*'难度参数'!$E$22))*(36+2*7)/(36+7*(D40+1)/2)*E40,0))</x:f>
        <x:v>1031</x:v>
      </x:c>
      <x:c r="AD40" s="119" t="n">
        <x:f>IF(AB40=0,0,(AB40-IF(2=D40,1,0))*ROUND(AC40*VLOOKUP(INDEX('章节与怪物'!$E$31:$K$37,B40,2),'章节与怪物'!$A$41:$F$44,2,FALSE),0)+IF(2=D40,ROUND(AC40*'难度参数'!$E$28*'章节与怪物'!$E$17,0),0))</x:f>
        <x:v>11130</x:v>
      </x:c>
      <x:c r="AE40" s="119" t="n">
        <x:f>IF(AB40=0,0,(AB40-IF(2=D40,1,0))*VLOOKUP(INDEX('章节与怪物'!$E$31:$K$37,B40,2),'章节与怪物'!$A$41:$F$44,4,FALSE)+IF(2=D40,'难度参数'!$E$30,0))</x:f>
        <x:v>300</x:v>
      </x:c>
      <x:c r="AF40" s="119" t="n">
        <x:f>IF(3&gt;D40,0,MAX(2,MIN('难度参数'!$E$12,ROUND(('难度参数'!$E$18*POWER(A40,'难度参数'!$E$19)/D40*(0.85+0.3*(3-1)/MAX(1,D40-1))),0)+F40)))</x:f>
        <x:v>15</x:v>
      </x:c>
      <x:c r="AG40" s="119" t="n">
        <x:f>IF(3&gt;D40,0,ROUND(('难度参数'!$E$13*POWER(A40,'难度参数'!$E$20)*MIN('难度参数'!$E$23,1+MAX(0,A40-'难度参数'!$E$21)*'难度参数'!$E$22))*(36+3*7)/(36+7*(D40+1)/2)*E40,0))</x:f>
        <x:v>1176</x:v>
      </x:c>
      <x:c r="AH40" s="119" t="n">
        <x:f>IF(AF40=0,0,(AF40-IF(3=D40,1,0))*ROUND(AG40*VLOOKUP(INDEX('章节与怪物'!$E$31:$K$37,B40,3),'章节与怪物'!$A$41:$F$44,2,FALSE),0)+IF(3=D40,ROUND(AG40*'难度参数'!$E$28*'章节与怪物'!$E$17,0),0))</x:f>
        <x:v>29985</x:v>
      </x:c>
      <x:c r="AI40" s="119" t="n">
        <x:f>IF(AF40=0,0,(AF40-IF(3=D40,1,0))*VLOOKUP(INDEX('章节与怪物'!$E$31:$K$37,B40,3),'章节与怪物'!$A$41:$F$44,4,FALSE)+IF(3=D40,'难度参数'!$E$30,0))</x:f>
        <x:v>420</x:v>
      </x:c>
      <x:c r="AJ40" s="119" t="n">
        <x:f>IF(4&gt;D40,0,MAX(2,MIN('难度参数'!$E$12,ROUND(('难度参数'!$E$18*POWER(A40,'难度参数'!$E$19)/D40*(0.85+0.3*(4-1)/MAX(1,D40-1))),0)+F40)))</x:f>
        <x:v>16</x:v>
      </x:c>
      <x:c r="AK40" s="119" t="n">
        <x:f>IF(4&gt;D40,0,ROUND(('难度参数'!$E$13*POWER(A40,'难度参数'!$E$20)*MIN('难度参数'!$E$23,1+MAX(0,A40-'难度参数'!$E$21)*'难度参数'!$E$22))*(36+4*7)/(36+7*(D40+1)/2)*E40,0))</x:f>
        <x:v>1320</x:v>
      </x:c>
      <x:c r="AL40" s="119" t="n">
        <x:f>IF(AJ40=0,0,(AJ40-IF(4=D40,1,0))*ROUND(AK40*VLOOKUP(INDEX('章节与怪物'!$E$31:$K$37,B40,4),'章节与怪物'!$A$41:$F$44,2,FALSE),0)+IF(4=D40,ROUND(AK40*'难度参数'!$E$28*'章节与怪物'!$E$17,0),0))</x:f>
        <x:v>28512</x:v>
      </x:c>
      <x:c r="AM40" s="119" t="n">
        <x:f>IF(AJ40=0,0,(AJ40-IF(4=D40,1,0))*VLOOKUP(INDEX('章节与怪物'!$E$31:$K$37,B40,4),'章节与怪物'!$A$41:$F$44,4,FALSE)+IF(4=D40,'难度参数'!$E$30,0))</x:f>
        <x:v>544</x:v>
      </x:c>
      <x:c r="AN40" s="119" t="n">
        <x:f>IF(5&gt;D40,0,MAX(2,MIN('难度参数'!$E$12,ROUND(('难度参数'!$E$18*POWER(A40,'难度参数'!$E$19)/D40*(0.85+0.3*(5-1)/MAX(1,D40-1))),0)+F40)))</x:f>
        <x:v>17</x:v>
      </x:c>
      <x:c r="AO40" s="119" t="n">
        <x:f>IF(5&gt;D40,0,ROUND(('难度参数'!$E$13*POWER(A40,'难度参数'!$E$20)*MIN('难度参数'!$E$23,1+MAX(0,A40-'难度参数'!$E$21)*'难度参数'!$E$22))*(36+5*7)/(36+7*(D40+1)/2)*E40,0))</x:f>
        <x:v>1464</x:v>
      </x:c>
      <x:c r="AP40" s="119" t="n">
        <x:f>IF(AN40=0,0,(AN40-IF(5=D40,1,0))*ROUND(AO40*VLOOKUP(INDEX('章节与怪物'!$E$31:$K$37,B40,5),'章节与怪物'!$A$41:$F$44,2,FALSE),0)+IF(5=D40,ROUND(AO40*'难度参数'!$E$28*'章节与怪物'!$E$17,0),0))</x:f>
        <x:v>17918</x:v>
      </x:c>
      <x:c r="AQ40" s="119" t="n">
        <x:f>IF(AN40=0,0,(AN40-IF(5=D40,1,0))*VLOOKUP(INDEX('章节与怪物'!$E$31:$K$37,B40,5),'章节与怪物'!$A$41:$F$44,4,FALSE)+IF(5=D40,'难度参数'!$E$30,0))</x:f>
        <x:v>340</x:v>
      </x:c>
      <x:c r="AR40" s="119" t="n">
        <x:f>IF(6&gt;D40,0,MAX(2,MIN('难度参数'!$E$12,ROUND(('难度参数'!$E$18*POWER(A40,'难度参数'!$E$19)/D40*(0.85+0.3*(6-1)/MAX(1,D40-1))),0)+F40)))</x:f>
        <x:v>18</x:v>
      </x:c>
      <x:c r="AS40" s="119" t="n">
        <x:f>IF(6&gt;D40,0,ROUND(('难度参数'!$E$13*POWER(A40,'难度参数'!$E$20)*MIN('难度参数'!$E$23,1+MAX(0,A40-'难度参数'!$E$21)*'难度参数'!$E$22))*(36+6*7)/(36+7*(D40+1)/2)*E40,0))</x:f>
        <x:v>1609</x:v>
      </x:c>
      <x:c r="AT40" s="119" t="n">
        <x:f>IF(AR40=0,0,(AR40-IF(6=D40,1,0))*ROUND(AS40*VLOOKUP(INDEX('章节与怪物'!$E$31:$K$37,B40,6),'章节与怪物'!$A$41:$F$44,2,FALSE),0)+IF(6=D40,ROUND(AS40*'难度参数'!$E$28*'章节与怪物'!$E$17,0),0))</x:f>
        <x:v>49230</x:v>
      </x:c>
      <x:c r="AU40" s="119" t="n">
        <x:f>IF(AR40=0,0,(AR40-IF(6=D40,1,0))*VLOOKUP(INDEX('章节与怪物'!$E$31:$K$37,B40,6),'章节与怪物'!$A$41:$F$44,4,FALSE)+IF(6=D40,'难度参数'!$E$30,0))</x:f>
        <x:v>504</x:v>
      </x:c>
      <x:c r="AV40" s="119" t="n">
        <x:f>IF(7&gt;D40,0,MAX(2,MIN('难度参数'!$E$12,ROUND(('难度参数'!$E$18*POWER(A40,'难度参数'!$E$19)/D40*(0.85+0.3*(7-1)/MAX(1,D40-1))),0)+F40)))</x:f>
        <x:v>19</x:v>
      </x:c>
      <x:c r="AW40" s="119" t="n">
        <x:f>IF(7&gt;D40,0,ROUND(('难度参数'!$E$13*POWER(A40,'难度参数'!$E$20)*MIN('难度参数'!$E$23,1+MAX(0,A40-'难度参数'!$E$21)*'难度参数'!$E$22))*(36+7*7)/(36+7*(D40+1)/2)*E40,0))</x:f>
        <x:v>1753</x:v>
      </x:c>
      <x:c r="AX40" s="119" t="n">
        <x:f>IF(AV40=0,0,(AV40-IF(7=D40,1,0))*ROUND(AW40*VLOOKUP(INDEX('章节与怪物'!$E$31:$K$37,B40,7),'章节与怪物'!$A$41:$F$44,2,FALSE),0)+IF(7=D40,ROUND(AW40*'难度参数'!$E$28*'章节与怪物'!$E$17,0),0))</x:f>
        <x:v>54526</x:v>
      </x:c>
      <x:c r="AY40" s="119" t="n">
        <x:f>IF(AV40=0,0,(AV40-IF(7=D40,1,0))*VLOOKUP(INDEX('章节与怪物'!$E$31:$K$37,B40,7),'章节与怪物'!$A$41:$F$44,4,FALSE)+IF(7=D40,'难度参数'!$E$30,0))</x:f>
        <x:v>812</x:v>
      </x:c>
    </x:row>
    <x:row r="41" ht="23" customHeight="1">
      <x:c r="A41" s="119" t="n">
        <x:v>35</x:v>
      </x:c>
      <x:c r="B41" s="119" t="n">
        <x:f>MOD(INT((A41-1)/5),7)+1</x:f>
        <x:v>7</x:v>
      </x:c>
      <x:c r="C41" s="62" t="str">
        <x:f>INDEX('章节与怪物'!$B$31:$B$37,B41)</x:f>
        <x:v>魔法山脊</x:v>
      </x:c>
      <x:c r="D41" s="119" t="n">
        <x:f>MIN('难度参数'!$E$8,MAX('难度参数'!$E$7,A41))</x:f>
        <x:v>7</x:v>
      </x:c>
      <x:c r="E41" s="106" t="n">
        <x:v>1</x:v>
      </x:c>
      <x:c r="F41" s="106" t="n">
        <x:v>0</x:v>
      </x:c>
      <x:c r="G41" s="106" t="n">
        <x:v>1</x:v>
      </x:c>
      <x:c r="H41" s="119" t="n">
        <x:f>SUM(X41,AB41,AF41,AJ41,AN41,AR41,AV41)</x:f>
        <x:v>115</x:v>
      </x:c>
      <x:c r="I41" s="119" t="n">
        <x:f>SUM(Z41,AD41,AH41,AL41,AP41,AT41,AX41)</x:f>
        <x:v>210627</x:v>
      </x:c>
      <x:c r="J41" s="119" t="n">
        <x:f>ROUND(INDEX(X41:AY41,1,(D41-1)*4+2)*'难度参数'!$E$28*'章节与怪物'!$E$17,0)</x:f>
        <x:v>12206</x:v>
      </x:c>
      <x:c r="K41" s="119" t="n">
        <x:f>SUM(AA41,AE41,AI41,AM41,AQ41,AU41,AY41)</x:f>
        <x:v>3200</x:v>
      </x:c>
      <x:c r="L41" s="62" t="n">
        <x:f>H41*(ROUNDUP('难度参数'!$E$24/('难度参数'!$E$26*'难度参数'!$E$27),0)*'难度参数'!$E$26)/60</x:f>
        <x:v>1.5333333333333334</x:v>
      </x:c>
      <x:c r="M41" s="62" t="n">
        <x:f>L41+D41*('难度参数'!$E$49+'难度参数'!$E$50)/60</x:f>
        <x:v>2.7</x:v>
      </x:c>
      <x:c r="N41" s="119" t="n">
        <x:f>ROUNDDOWN(('经济参数'!$E$20+A41*'经济参数'!$E$21)*G41,0)</x:f>
        <x:v>880</x:v>
      </x:c>
      <x:c r="O41" s="119" t="n">
        <x:f>ROUNDDOWN(MIN('经济参数'!$E$24,'经济参数'!$E$22+A41*'经济参数'!$E$23)*G41,0)</x:f>
        <x:v>0</x:v>
      </x:c>
      <x:c r="P41" s="119" t="n">
        <x:f>ROUNDDOWN((IF(A41&gt;='材料与任务'!$E$31,'材料与任务'!$E$32,IF(A41&gt;='材料与任务'!$E$25,'材料与任务'!$E$26,IF(A41&gt;='材料与任务'!$E$19,'材料与任务'!$E$20,IF(A41&gt;='材料与任务'!$E$13,'材料与任务'!$E$14,'材料与任务'!$E$8)))))*G41,0)</x:f>
        <x:v>3</x:v>
      </x:c>
      <x:c r="Q41" s="119" t="n">
        <x:f>ROUNDDOWN((IF(A41&gt;='材料与任务'!$E$31,'材料与任务'!$E$33,IF(A41&gt;='材料与任务'!$E$25,'材料与任务'!$E$27,IF(A41&gt;='材料与任务'!$E$19,'材料与任务'!$E$21,IF(A41&gt;='材料与任务'!$E$13,'材料与任务'!$E$15,'材料与任务'!$E$9)))))*G41,0)</x:f>
        <x:v>1</x:v>
      </x:c>
      <x:c r="R41" s="110" t="n">
        <x:f>'装备掉落'!$B$38</x:f>
        <x:v>0.6872058758851213</x:v>
      </x:c>
      <x:c r="S41" s="119" t="n">
        <x:f>MAX(IF(VLOOKUP(A41,'装备掉落'!$A$29:$H$34,2,TRUE)&gt;0,1,0),IF(VLOOKUP(A41,'装备掉落'!$A$29:$H$34,3,TRUE)&gt;0,2,0),IF(VLOOKUP(A41,'装备掉落'!$A$29:$H$34,4,TRUE)&gt;0,3,0),IF(VLOOKUP(A41,'装备掉落'!$A$29:$H$34,5,TRUE)&gt;0,4,0),IF(VLOOKUP(A41,'装备掉落'!$A$29:$H$34,6,TRUE)&gt;0,5,0),IF(VLOOKUP(A41,'装备掉落'!$A$29:$H$34,7,TRUE)&gt;0,6,0),IF(VLOOKUP(A41,'装备掉落'!$A$29:$H$34,8,TRUE)&gt;0,7,0))</x:f>
        <x:v>4</x:v>
      </x:c>
      <x:c r="T41" s="119" t="n">
        <x:f>MIN(7,S41+'经济参数'!$E$70)</x:f>
        <x:v>4</x:v>
      </x:c>
      <x:c r="U41" s="119" t="n">
        <x:f>MIN(7,S41+'经济参数'!$E$71)</x:f>
        <x:v>5</x:v>
      </x:c>
      <x:c r="V41" s="119" t="n">
        <x:f>IF(H41&gt;=('难度参数'!$E$52),1,0)+IF(H41&gt;=('难度参数'!$E$52+'难度参数'!$E$53),1,0)+IF(H41&gt;=('难度参数'!$E$52+'难度参数'!$E$53+'难度参数'!$E$54),1,0)+IF(H41&gt;=('难度参数'!$E$52+'难度参数'!$E$53+'难度参数'!$E$54+'难度参数'!$E$55),1,0)+IF(H41&gt;=('难度参数'!$E$52+'难度参数'!$E$53+'难度参数'!$E$54+'难度参数'!$E$55+'难度参数'!$E$56),1,0)+IF(H41&gt;=('难度参数'!$E$52+'难度参数'!$E$53+'难度参数'!$E$54+'难度参数'!$E$55+'难度参数'!$E$56+'难度参数'!$E$57),1,0)</x:f>
        <x:v>6</x:v>
      </x:c>
      <x:c r="W41" s="62" t="str">
        <x:f>IF(L41&gt;'难度参数'!$E$51,"仅出怪已超目标","还需实测")</x:f>
        <x:v>还需实测</x:v>
      </x:c>
      <x:c r="X41" s="119" t="n">
        <x:f>IF(1&gt;D41,0,MAX(2,MIN('难度参数'!$E$12,ROUND(('难度参数'!$E$18*POWER(A41,'难度参数'!$E$19)/D41*(0.85+0.3*(1-1)/MAX(1,D41-1))),0)+F41)))</x:f>
        <x:v>14</x:v>
      </x:c>
      <x:c r="Y41" s="119" t="n">
        <x:f>IF(1&gt;D41,0,ROUND(('难度参数'!$E$13*POWER(A41,'难度参数'!$E$20)*MIN('难度参数'!$E$23,1+MAX(0,A41-'难度参数'!$E$21)*'难度参数'!$E$22))*(36+1*7)/(36+7*(D41+1)/2)*E41,0))</x:f>
        <x:v>908</x:v>
      </x:c>
      <x:c r="Z41" s="119" t="n">
        <x:f>IF(X41=0,0,(X41-IF(1=D41,1,0))*ROUND(Y41*VLOOKUP(INDEX('章节与怪物'!$E$31:$K$37,B41,1),'章节与怪物'!$A$41:$F$44,2,FALSE),0)+IF(1=D41,ROUND(Y41*'难度参数'!$E$28*'章节与怪物'!$E$17,0),0))</x:f>
        <x:v>12712</x:v>
      </x:c>
      <x:c r="AA41" s="119" t="n">
        <x:f>IF(X41=0,0,(X41-IF(1=D41,1,0))*VLOOKUP(INDEX('章节与怪物'!$E$31:$K$37,B41,1),'章节与怪物'!$A$41:$F$44,4,FALSE)+IF(1=D41,'难度参数'!$E$30,0))</x:f>
        <x:v>252</x:v>
      </x:c>
      <x:c r="AB41" s="119" t="n">
        <x:f>IF(2&gt;D41,0,MAX(2,MIN('难度参数'!$E$12,ROUND(('难度参数'!$E$18*POWER(A41,'难度参数'!$E$19)/D41*(0.85+0.3*(2-1)/MAX(1,D41-1))),0)+F41)))</x:f>
        <x:v>15</x:v>
      </x:c>
      <x:c r="AC41" s="119" t="n">
        <x:f>IF(2&gt;D41,0,ROUND(('难度参数'!$E$13*POWER(A41,'难度参数'!$E$20)*MIN('难度参数'!$E$23,1+MAX(0,A41-'难度参数'!$E$21)*'难度参数'!$E$22))*(36+2*7)/(36+7*(D41+1)/2)*E41,0))</x:f>
        <x:v>1056</x:v>
      </x:c>
      <x:c r="AD41" s="119" t="n">
        <x:f>IF(AB41=0,0,(AB41-IF(2=D41,1,0))*ROUND(AC41*VLOOKUP(INDEX('章节与怪物'!$E$31:$K$37,B41,2),'章节与怪物'!$A$41:$F$44,2,FALSE),0)+IF(2=D41,ROUND(AC41*'难度参数'!$E$28*'章节与怪物'!$E$17,0),0))</x:f>
        <x:v>11400</x:v>
      </x:c>
      <x:c r="AE41" s="119" t="n">
        <x:f>IF(AB41=0,0,(AB41-IF(2=D41,1,0))*VLOOKUP(INDEX('章节与怪物'!$E$31:$K$37,B41,2),'章节与怪物'!$A$41:$F$44,4,FALSE)+IF(2=D41,'难度参数'!$E$30,0))</x:f>
        <x:v>300</x:v>
      </x:c>
      <x:c r="AF41" s="119" t="n">
        <x:f>IF(3&gt;D41,0,MAX(2,MIN('难度参数'!$E$12,ROUND(('难度参数'!$E$18*POWER(A41,'难度参数'!$E$19)/D41*(0.85+0.3*(3-1)/MAX(1,D41-1))),0)+F41)))</x:f>
        <x:v>16</x:v>
      </x:c>
      <x:c r="AG41" s="119" t="n">
        <x:f>IF(3&gt;D41,0,ROUND(('难度参数'!$E$13*POWER(A41,'难度参数'!$E$20)*MIN('难度参数'!$E$23,1+MAX(0,A41-'难度参数'!$E$21)*'难度参数'!$E$22))*(36+3*7)/(36+7*(D41+1)/2)*E41,0))</x:f>
        <x:v>1204</x:v>
      </x:c>
      <x:c r="AH41" s="119" t="n">
        <x:f>IF(AF41=0,0,(AF41-IF(3=D41,1,0))*ROUND(AG41*VLOOKUP(INDEX('章节与怪物'!$E$31:$K$37,B41,3),'章节与怪物'!$A$41:$F$44,2,FALSE),0)+IF(3=D41,ROUND(AG41*'难度参数'!$E$28*'章节与怪物'!$E$17,0),0))</x:f>
        <x:v>32752</x:v>
      </x:c>
      <x:c r="AI41" s="119" t="n">
        <x:f>IF(AF41=0,0,(AF41-IF(3=D41,1,0))*VLOOKUP(INDEX('章节与怪物'!$E$31:$K$37,B41,3),'章节与怪物'!$A$41:$F$44,4,FALSE)+IF(3=D41,'难度参数'!$E$30,0))</x:f>
        <x:v>448</x:v>
      </x:c>
      <x:c r="AJ41" s="119" t="n">
        <x:f>IF(4&gt;D41,0,MAX(2,MIN('难度参数'!$E$12,ROUND(('难度参数'!$E$18*POWER(A41,'难度参数'!$E$19)/D41*(0.85+0.3*(4-1)/MAX(1,D41-1))),0)+F41)))</x:f>
        <x:v>16</x:v>
      </x:c>
      <x:c r="AK41" s="119" t="n">
        <x:f>IF(4&gt;D41,0,ROUND(('难度参数'!$E$13*POWER(A41,'难度参数'!$E$20)*MIN('难度参数'!$E$23,1+MAX(0,A41-'难度参数'!$E$21)*'难度参数'!$E$22))*(36+4*7)/(36+7*(D41+1)/2)*E41,0))</x:f>
        <x:v>1352</x:v>
      </x:c>
      <x:c r="AL41" s="119" t="n">
        <x:f>IF(AJ41=0,0,(AJ41-IF(4=D41,1,0))*ROUND(AK41*VLOOKUP(INDEX('章节与怪物'!$E$31:$K$37,B41,4),'章节与怪物'!$A$41:$F$44,2,FALSE),0)+IF(4=D41,ROUND(AK41*'难度参数'!$E$28*'章节与怪物'!$E$17,0),0))</x:f>
        <x:v>29200</x:v>
      </x:c>
      <x:c r="AM41" s="119" t="n">
        <x:f>IF(AJ41=0,0,(AJ41-IF(4=D41,1,0))*VLOOKUP(INDEX('章节与怪物'!$E$31:$K$37,B41,4),'章节与怪物'!$A$41:$F$44,4,FALSE)+IF(4=D41,'难度参数'!$E$30,0))</x:f>
        <x:v>544</x:v>
      </x:c>
      <x:c r="AN41" s="119" t="n">
        <x:f>IF(5&gt;D41,0,MAX(2,MIN('难度参数'!$E$12,ROUND(('难度参数'!$E$18*POWER(A41,'难度参数'!$E$19)/D41*(0.85+0.3*(5-1)/MAX(1,D41-1))),0)+F41)))</x:f>
        <x:v>17</x:v>
      </x:c>
      <x:c r="AO41" s="119" t="n">
        <x:f>IF(5&gt;D41,0,ROUND(('难度参数'!$E$13*POWER(A41,'难度参数'!$E$20)*MIN('难度参数'!$E$23,1+MAX(0,A41-'难度参数'!$E$21)*'难度参数'!$E$22))*(36+5*7)/(36+7*(D41+1)/2)*E41,0))</x:f>
        <x:v>1499</x:v>
      </x:c>
      <x:c r="AP41" s="119" t="n">
        <x:f>IF(AN41=0,0,(AN41-IF(5=D41,1,0))*ROUND(AO41*VLOOKUP(INDEX('章节与怪物'!$E$31:$K$37,B41,5),'章节与怪物'!$A$41:$F$44,2,FALSE),0)+IF(5=D41,ROUND(AO41*'难度参数'!$E$28*'章节与怪物'!$E$17,0),0))</x:f>
        <x:v>18343</x:v>
      </x:c>
      <x:c r="AQ41" s="119" t="n">
        <x:f>IF(AN41=0,0,(AN41-IF(5=D41,1,0))*VLOOKUP(INDEX('章节与怪物'!$E$31:$K$37,B41,5),'章节与怪物'!$A$41:$F$44,4,FALSE)+IF(5=D41,'难度参数'!$E$30,0))</x:f>
        <x:v>340</x:v>
      </x:c>
      <x:c r="AR41" s="119" t="n">
        <x:f>IF(6&gt;D41,0,MAX(2,MIN('难度参数'!$E$12,ROUND(('难度参数'!$E$18*POWER(A41,'难度参数'!$E$19)/D41*(0.85+0.3*(6-1)/MAX(1,D41-1))),0)+F41)))</x:f>
        <x:v>18</x:v>
      </x:c>
      <x:c r="AS41" s="119" t="n">
        <x:f>IF(6&gt;D41,0,ROUND(('难度参数'!$E$13*POWER(A41,'难度参数'!$E$20)*MIN('难度参数'!$E$23,1+MAX(0,A41-'难度参数'!$E$21)*'难度参数'!$E$22))*(36+6*7)/(36+7*(D41+1)/2)*E41,0))</x:f>
        <x:v>1647</x:v>
      </x:c>
      <x:c r="AT41" s="119" t="n">
        <x:f>IF(AR41=0,0,(AR41-IF(6=D41,1,0))*ROUND(AS41*VLOOKUP(INDEX('章节与怪物'!$E$31:$K$37,B41,6),'章节与怪物'!$A$41:$F$44,2,FALSE),0)+IF(6=D41,ROUND(AS41*'难度参数'!$E$28*'章节与怪物'!$E$17,0),0))</x:f>
        <x:v>50400</x:v>
      </x:c>
      <x:c r="AU41" s="119" t="n">
        <x:f>IF(AR41=0,0,(AR41-IF(6=D41,1,0))*VLOOKUP(INDEX('章节与怪物'!$E$31:$K$37,B41,6),'章节与怪物'!$A$41:$F$44,4,FALSE)+IF(6=D41,'难度参数'!$E$30,0))</x:f>
        <x:v>504</x:v>
      </x:c>
      <x:c r="AV41" s="119" t="n">
        <x:f>IF(7&gt;D41,0,MAX(2,MIN('难度参数'!$E$12,ROUND(('难度参数'!$E$18*POWER(A41,'难度参数'!$E$19)/D41*(0.85+0.3*(7-1)/MAX(1,D41-1))),0)+F41)))</x:f>
        <x:v>19</x:v>
      </x:c>
      <x:c r="AW41" s="119" t="n">
        <x:f>IF(7&gt;D41,0,ROUND(('难度参数'!$E$13*POWER(A41,'难度参数'!$E$20)*MIN('难度参数'!$E$23,1+MAX(0,A41-'难度参数'!$E$21)*'难度参数'!$E$22))*(36+7*7)/(36+7*(D41+1)/2)*E41,0))</x:f>
        <x:v>1795</x:v>
      </x:c>
      <x:c r="AX41" s="119" t="n">
        <x:f>IF(AV41=0,0,(AV41-IF(7=D41,1,0))*ROUND(AW41*VLOOKUP(INDEX('章节与怪物'!$E$31:$K$37,B41,7),'章节与怪物'!$A$41:$F$44,2,FALSE),0)+IF(7=D41,ROUND(AW41*'难度参数'!$E$28*'章节与怪物'!$E$17,0),0))</x:f>
        <x:v>55820</x:v>
      </x:c>
      <x:c r="AY41" s="119" t="n">
        <x:f>IF(AV41=0,0,(AV41-IF(7=D41,1,0))*VLOOKUP(INDEX('章节与怪物'!$E$31:$K$37,B41,7),'章节与怪物'!$A$41:$F$44,4,FALSE)+IF(7=D41,'难度参数'!$E$30,0))</x:f>
        <x:v>812</x:v>
      </x:c>
    </x:row>
    <x:row r="42" ht="23" customHeight="1">
      <x:c r="A42" s="119" t="n">
        <x:v>36</x:v>
      </x:c>
      <x:c r="B42" s="119" t="n">
        <x:f>MOD(INT((A42-1)/5),7)+1</x:f>
        <x:v>1</x:v>
      </x:c>
      <x:c r="C42" s="62" t="str">
        <x:f>INDEX('章节与怪物'!$B$31:$B$37,B42)</x:f>
        <x:v>冰雪荒原</x:v>
      </x:c>
      <x:c r="D42" s="119" t="n">
        <x:f>MIN('难度参数'!$E$8,MAX('难度参数'!$E$7,A42))</x:f>
        <x:v>7</x:v>
      </x:c>
      <x:c r="E42" s="106" t="n">
        <x:v>1</x:v>
      </x:c>
      <x:c r="F42" s="106" t="n">
        <x:v>0</x:v>
      </x:c>
      <x:c r="G42" s="106" t="n">
        <x:v>1</x:v>
      </x:c>
      <x:c r="H42" s="119" t="n">
        <x:f>SUM(X42,AB42,AF42,AJ42,AN42,AR42,AV42)</x:f>
        <x:v>116</x:v>
      </x:c>
      <x:c r="I42" s="119" t="n">
        <x:f>SUM(Z42,AD42,AH42,AL42,AP42,AT42,AX42)</x:f>
        <x:v>209162</x:v>
      </x:c>
      <x:c r="J42" s="119" t="n">
        <x:f>ROUND(INDEX(X42:AY42,1,(D42-1)*4+2)*'难度参数'!$E$28*'章节与怪物'!$E$17,0)</x:f>
        <x:v>12492</x:v>
      </x:c>
      <x:c r="K42" s="119" t="n">
        <x:f>SUM(AA42,AE42,AI42,AM42,AQ42,AU42,AY42)</x:f>
        <x:v>2960</x:v>
      </x:c>
      <x:c r="L42" s="62" t="n">
        <x:f>H42*(ROUNDUP('难度参数'!$E$24/('难度参数'!$E$26*'难度参数'!$E$27),0)*'难度参数'!$E$26)/60</x:f>
        <x:v>1.5466666666666669</x:v>
      </x:c>
      <x:c r="M42" s="62" t="n">
        <x:f>L42+D42*('难度参数'!$E$49+'难度参数'!$E$50)/60</x:f>
        <x:v>2.713333333333334</x:v>
      </x:c>
      <x:c r="N42" s="119" t="n">
        <x:f>ROUNDDOWN(('经济参数'!$E$20+A42*'经济参数'!$E$21)*G42,0)</x:f>
        <x:v>900</x:v>
      </x:c>
      <x:c r="O42" s="119" t="n">
        <x:f>ROUNDDOWN(MIN('经济参数'!$E$24,'经济参数'!$E$22+A42*'经济参数'!$E$23)*G42,0)</x:f>
        <x:v>0</x:v>
      </x:c>
      <x:c r="P42" s="119" t="n">
        <x:f>ROUNDDOWN((IF(A42&gt;='材料与任务'!$E$31,'材料与任务'!$E$32,IF(A42&gt;='材料与任务'!$E$25,'材料与任务'!$E$26,IF(A42&gt;='材料与任务'!$E$19,'材料与任务'!$E$20,IF(A42&gt;='材料与任务'!$E$13,'材料与任务'!$E$14,'材料与任务'!$E$8)))))*G42,0)</x:f>
        <x:v>4</x:v>
      </x:c>
      <x:c r="Q42" s="119" t="n">
        <x:f>ROUNDDOWN((IF(A42&gt;='材料与任务'!$E$31,'材料与任务'!$E$33,IF(A42&gt;='材料与任务'!$E$25,'材料与任务'!$E$27,IF(A42&gt;='材料与任务'!$E$19,'材料与任务'!$E$21,IF(A42&gt;='材料与任务'!$E$13,'材料与任务'!$E$15,'材料与任务'!$E$9)))))*G42,0)</x:f>
        <x:v>2</x:v>
      </x:c>
      <x:c r="R42" s="110" t="n">
        <x:f>'装备掉落'!$B$38</x:f>
        <x:v>0.6872058758851213</x:v>
      </x:c>
      <x:c r="S42" s="119" t="n">
        <x:f>MAX(IF(VLOOKUP(A42,'装备掉落'!$A$29:$H$34,2,TRUE)&gt;0,1,0),IF(VLOOKUP(A42,'装备掉落'!$A$29:$H$34,3,TRUE)&gt;0,2,0),IF(VLOOKUP(A42,'装备掉落'!$A$29:$H$34,4,TRUE)&gt;0,3,0),IF(VLOOKUP(A42,'装备掉落'!$A$29:$H$34,5,TRUE)&gt;0,4,0),IF(VLOOKUP(A42,'装备掉落'!$A$29:$H$34,6,TRUE)&gt;0,5,0),IF(VLOOKUP(A42,'装备掉落'!$A$29:$H$34,7,TRUE)&gt;0,6,0),IF(VLOOKUP(A42,'装备掉落'!$A$29:$H$34,8,TRUE)&gt;0,7,0))</x:f>
        <x:v>4</x:v>
      </x:c>
      <x:c r="T42" s="119" t="n">
        <x:f>MIN(7,S42+'经济参数'!$E$70)</x:f>
        <x:v>4</x:v>
      </x:c>
      <x:c r="U42" s="119" t="n">
        <x:f>MIN(7,S42+'经济参数'!$E$71)</x:f>
        <x:v>5</x:v>
      </x:c>
      <x:c r="V42" s="119" t="n">
        <x:f>IF(H42&gt;=('难度参数'!$E$52),1,0)+IF(H42&gt;=('难度参数'!$E$52+'难度参数'!$E$53),1,0)+IF(H42&gt;=('难度参数'!$E$52+'难度参数'!$E$53+'难度参数'!$E$54),1,0)+IF(H42&gt;=('难度参数'!$E$52+'难度参数'!$E$53+'难度参数'!$E$54+'难度参数'!$E$55),1,0)+IF(H42&gt;=('难度参数'!$E$52+'难度参数'!$E$53+'难度参数'!$E$54+'难度参数'!$E$55+'难度参数'!$E$56),1,0)+IF(H42&gt;=('难度参数'!$E$52+'难度参数'!$E$53+'难度参数'!$E$54+'难度参数'!$E$55+'难度参数'!$E$56+'难度参数'!$E$57),1,0)</x:f>
        <x:v>6</x:v>
      </x:c>
      <x:c r="W42" s="62" t="str">
        <x:f>IF(L42&gt;'难度参数'!$E$51,"仅出怪已超目标","还需实测")</x:f>
        <x:v>还需实测</x:v>
      </x:c>
      <x:c r="X42" s="119" t="n">
        <x:f>IF(1&gt;D42,0,MAX(2,MIN('难度参数'!$E$12,ROUND(('难度参数'!$E$18*POWER(A42,'难度参数'!$E$19)/D42*(0.85+0.3*(1-1)/MAX(1,D42-1))),0)+F42)))</x:f>
        <x:v>14</x:v>
      </x:c>
      <x:c r="Y42" s="119" t="n">
        <x:f>IF(1&gt;D42,0,ROUND(('难度参数'!$E$13*POWER(A42,'难度参数'!$E$20)*MIN('难度参数'!$E$23,1+MAX(0,A42-'难度参数'!$E$21)*'难度参数'!$E$22))*(36+1*7)/(36+7*(D42+1)/2)*E42,0))</x:f>
        <x:v>929</x:v>
      </x:c>
      <x:c r="Z42" s="119" t="n">
        <x:f>IF(X42=0,0,(X42-IF(1=D42,1,0))*ROUND(Y42*VLOOKUP(INDEX('章节与怪物'!$E$31:$K$37,B42,1),'章节与怪物'!$A$41:$F$44,2,FALSE),0)+IF(1=D42,ROUND(Y42*'难度参数'!$E$28*'章节与怪物'!$E$17,0),0))</x:f>
        <x:v>13006</x:v>
      </x:c>
      <x:c r="AA42" s="119" t="n">
        <x:f>IF(X42=0,0,(X42-IF(1=D42,1,0))*VLOOKUP(INDEX('章节与怪物'!$E$31:$K$37,B42,1),'章节与怪物'!$A$41:$F$44,4,FALSE)+IF(1=D42,'难度参数'!$E$30,0))</x:f>
        <x:v>252</x:v>
      </x:c>
      <x:c r="AB42" s="119" t="n">
        <x:f>IF(2&gt;D42,0,MAX(2,MIN('难度参数'!$E$12,ROUND(('难度参数'!$E$18*POWER(A42,'难度参数'!$E$19)/D42*(0.85+0.3*(2-1)/MAX(1,D42-1))),0)+F42)))</x:f>
        <x:v>15</x:v>
      </x:c>
      <x:c r="AC42" s="119" t="n">
        <x:f>IF(2&gt;D42,0,ROUND(('难度参数'!$E$13*POWER(A42,'难度参数'!$E$20)*MIN('难度参数'!$E$23,1+MAX(0,A42-'难度参数'!$E$21)*'难度参数'!$E$22))*(36+2*7)/(36+7*(D42+1)/2)*E42,0))</x:f>
        <x:v>1081</x:v>
      </x:c>
      <x:c r="AD42" s="119" t="n">
        <x:f>IF(AB42=0,0,(AB42-IF(2=D42,1,0))*ROUND(AC42*VLOOKUP(INDEX('章节与怪物'!$E$31:$K$37,B42,2),'章节与怪物'!$A$41:$F$44,2,FALSE),0)+IF(2=D42,ROUND(AC42*'难度参数'!$E$28*'章节与怪物'!$E$17,0),0))</x:f>
        <x:v>16215</x:v>
      </x:c>
      <x:c r="AE42" s="119" t="n">
        <x:f>IF(AB42=0,0,(AB42-IF(2=D42,1,0))*VLOOKUP(INDEX('章节与怪物'!$E$31:$K$37,B42,2),'章节与怪物'!$A$41:$F$44,4,FALSE)+IF(2=D42,'难度参数'!$E$30,0))</x:f>
        <x:v>270</x:v>
      </x:c>
      <x:c r="AF42" s="119" t="n">
        <x:f>IF(3&gt;D42,0,MAX(2,MIN('难度参数'!$E$12,ROUND(('难度参数'!$E$18*POWER(A42,'难度参数'!$E$19)/D42*(0.85+0.3*(3-1)/MAX(1,D42-1))),0)+F42)))</x:f>
        <x:v>16</x:v>
      </x:c>
      <x:c r="AG42" s="119" t="n">
        <x:f>IF(3&gt;D42,0,ROUND(('难度参数'!$E$13*POWER(A42,'难度参数'!$E$20)*MIN('难度参数'!$E$23,1+MAX(0,A42-'难度参数'!$E$21)*'难度参数'!$E$22))*(36+3*7)/(36+7*(D42+1)/2)*E42,0))</x:f>
        <x:v>1232</x:v>
      </x:c>
      <x:c r="AH42" s="119" t="n">
        <x:f>IF(AF42=0,0,(AF42-IF(3=D42,1,0))*ROUND(AG42*VLOOKUP(INDEX('章节与怪物'!$E$31:$K$37,B42,3),'章节与怪物'!$A$41:$F$44,2,FALSE),0)+IF(3=D42,ROUND(AG42*'难度参数'!$E$28*'章节与怪物'!$E$17,0),0))</x:f>
        <x:v>14192</x:v>
      </x:c>
      <x:c r="AI42" s="119" t="n">
        <x:f>IF(AF42=0,0,(AF42-IF(3=D42,1,0))*VLOOKUP(INDEX('章节与怪物'!$E$31:$K$37,B42,3),'章节与怪物'!$A$41:$F$44,4,FALSE)+IF(3=D42,'难度参数'!$E$30,0))</x:f>
        <x:v>320</x:v>
      </x:c>
      <x:c r="AJ42" s="119" t="n">
        <x:f>IF(4&gt;D42,0,MAX(2,MIN('难度参数'!$E$12,ROUND(('难度参数'!$E$18*POWER(A42,'难度参数'!$E$19)/D42*(0.85+0.3*(4-1)/MAX(1,D42-1))),0)+F42)))</x:f>
        <x:v>17</x:v>
      </x:c>
      <x:c r="AK42" s="119" t="n">
        <x:f>IF(4&gt;D42,0,ROUND(('难度参数'!$E$13*POWER(A42,'难度参数'!$E$20)*MIN('难度参数'!$E$23,1+MAX(0,A42-'难度参数'!$E$21)*'难度参数'!$E$22))*(36+4*7)/(36+7*(D42+1)/2)*E42,0))</x:f>
        <x:v>1383</x:v>
      </x:c>
      <x:c r="AL42" s="119" t="n">
        <x:f>IF(AJ42=0,0,(AJ42-IF(4=D42,1,0))*ROUND(AK42*VLOOKUP(INDEX('章节与怪物'!$E$31:$K$37,B42,4),'章节与怪物'!$A$41:$F$44,2,FALSE),0)+IF(4=D42,ROUND(AK42*'难度参数'!$E$28*'章节与怪物'!$E$17,0),0))</x:f>
        <x:v>39967</x:v>
      </x:c>
      <x:c r="AM42" s="119" t="n">
        <x:f>IF(AJ42=0,0,(AJ42-IF(4=D42,1,0))*VLOOKUP(INDEX('章节与怪物'!$E$31:$K$37,B42,4),'章节与怪物'!$A$41:$F$44,4,FALSE)+IF(4=D42,'难度参数'!$E$30,0))</x:f>
        <x:v>476</x:v>
      </x:c>
      <x:c r="AN42" s="119" t="n">
        <x:f>IF(5&gt;D42,0,MAX(2,MIN('难度参数'!$E$12,ROUND(('难度参数'!$E$18*POWER(A42,'难度参数'!$E$19)/D42*(0.85+0.3*(5-1)/MAX(1,D42-1))),0)+F42)))</x:f>
        <x:v>17</x:v>
      </x:c>
      <x:c r="AO42" s="119" t="n">
        <x:f>IF(5&gt;D42,0,ROUND(('难度参数'!$E$13*POWER(A42,'难度参数'!$E$20)*MIN('难度参数'!$E$23,1+MAX(0,A42-'难度参数'!$E$21)*'难度参数'!$E$22))*(36+5*7)/(36+7*(D42+1)/2)*E42,0))</x:f>
        <x:v>1535</x:v>
      </x:c>
      <x:c r="AP42" s="119" t="n">
        <x:f>IF(AN42=0,0,(AN42-IF(5=D42,1,0))*ROUND(AO42*VLOOKUP(INDEX('章节与怪物'!$E$31:$K$37,B42,5),'章节与怪物'!$A$41:$F$44,2,FALSE),0)+IF(5=D42,ROUND(AO42*'难度参数'!$E$28*'章节与怪物'!$E$17,0),0))</x:f>
        <x:v>35224</x:v>
      </x:c>
      <x:c r="AQ42" s="119" t="n">
        <x:f>IF(AN42=0,0,(AN42-IF(5=D42,1,0))*VLOOKUP(INDEX('章节与怪物'!$E$31:$K$37,B42,5),'章节与怪物'!$A$41:$F$44,4,FALSE)+IF(5=D42,'难度参数'!$E$30,0))</x:f>
        <x:v>578</x:v>
      </x:c>
      <x:c r="AR42" s="119" t="n">
        <x:f>IF(6&gt;D42,0,MAX(2,MIN('难度参数'!$E$12,ROUND(('难度参数'!$E$18*POWER(A42,'难度参数'!$E$19)/D42*(0.85+0.3*(6-1)/MAX(1,D42-1))),0)+F42)))</x:f>
        <x:v>18</x:v>
      </x:c>
      <x:c r="AS42" s="119" t="n">
        <x:f>IF(6&gt;D42,0,ROUND(('难度参数'!$E$13*POWER(A42,'难度参数'!$E$20)*MIN('难度参数'!$E$23,1+MAX(0,A42-'难度参数'!$E$21)*'难度参数'!$E$22))*(36+6*7)/(36+7*(D42+1)/2)*E42,0))</x:f>
        <x:v>1686</x:v>
      </x:c>
      <x:c r="AT42" s="119" t="n">
        <x:f>IF(AR42=0,0,(AR42-IF(6=D42,1,0))*ROUND(AS42*VLOOKUP(INDEX('章节与怪物'!$E$31:$K$37,B42,6),'章节与怪物'!$A$41:$F$44,2,FALSE),0)+IF(6=D42,ROUND(AS42*'难度参数'!$E$28*'章节与怪物'!$E$17,0),0))</x:f>
        <x:v>21852</x:v>
      </x:c>
      <x:c r="AU42" s="119" t="n">
        <x:f>IF(AR42=0,0,(AR42-IF(6=D42,1,0))*VLOOKUP(INDEX('章节与怪物'!$E$31:$K$37,B42,6),'章节与怪物'!$A$41:$F$44,4,FALSE)+IF(6=D42,'难度参数'!$E$30,0))</x:f>
        <x:v>360</x:v>
      </x:c>
      <x:c r="AV42" s="119" t="n">
        <x:f>IF(7&gt;D42,0,MAX(2,MIN('难度参数'!$E$12,ROUND(('难度参数'!$E$18*POWER(A42,'难度参数'!$E$19)/D42*(0.85+0.3*(7-1)/MAX(1,D42-1))),0)+F42)))</x:f>
        <x:v>19</x:v>
      </x:c>
      <x:c r="AW42" s="119" t="n">
        <x:f>IF(7&gt;D42,0,ROUND(('难度参数'!$E$13*POWER(A42,'难度参数'!$E$20)*MIN('难度参数'!$E$23,1+MAX(0,A42-'难度参数'!$E$21)*'难度参数'!$E$22))*(36+7*7)/(36+7*(D42+1)/2)*E42,0))</x:f>
        <x:v>1837</x:v>
      </x:c>
      <x:c r="AX42" s="119" t="n">
        <x:f>IF(AV42=0,0,(AV42-IF(7=D42,1,0))*ROUND(AW42*VLOOKUP(INDEX('章节与怪物'!$E$31:$K$37,B42,7),'章节与怪物'!$A$41:$F$44,2,FALSE),0)+IF(7=D42,ROUND(AW42*'难度参数'!$E$28*'章节与怪物'!$E$17,0),0))</x:f>
        <x:v>68706</x:v>
      </x:c>
      <x:c r="AY42" s="119" t="n">
        <x:f>IF(AV42=0,0,(AV42-IF(7=D42,1,0))*VLOOKUP(INDEX('章节与怪物'!$E$31:$K$37,B42,7),'章节与怪物'!$A$41:$F$44,4,FALSE)+IF(7=D42,'难度参数'!$E$30,0))</x:f>
        <x:v>704</x:v>
      </x:c>
    </x:row>
    <x:row r="43" ht="23" customHeight="1">
      <x:c r="A43" s="119" t="n">
        <x:v>37</x:v>
      </x:c>
      <x:c r="B43" s="119" t="n">
        <x:f>MOD(INT((A43-1)/5),7)+1</x:f>
        <x:v>1</x:v>
      </x:c>
      <x:c r="C43" s="62" t="str">
        <x:f>INDEX('章节与怪物'!$B$31:$B$37,B43)</x:f>
        <x:v>冰雪荒原</x:v>
      </x:c>
      <x:c r="D43" s="119" t="n">
        <x:f>MIN('难度参数'!$E$8,MAX('难度参数'!$E$7,A43))</x:f>
        <x:v>7</x:v>
      </x:c>
      <x:c r="E43" s="106" t="n">
        <x:v>1</x:v>
      </x:c>
      <x:c r="F43" s="106" t="n">
        <x:v>0</x:v>
      </x:c>
      <x:c r="G43" s="106" t="n">
        <x:v>1</x:v>
      </x:c>
      <x:c r="H43" s="119" t="n">
        <x:f>SUM(X43,AB43,AF43,AJ43,AN43,AR43,AV43)</x:f>
        <x:v>117</x:v>
      </x:c>
      <x:c r="I43" s="119" t="n">
        <x:f>SUM(Z43,AD43,AH43,AL43,AP43,AT43,AX43)</x:f>
        <x:v>216070</x:v>
      </x:c>
      <x:c r="J43" s="119" t="n">
        <x:f>ROUND(INDEX(X43:AY43,1,(D43-1)*4+2)*'难度参数'!$E$28*'章节与怪物'!$E$17,0)</x:f>
        <x:v>12777</x:v>
      </x:c>
      <x:c r="K43" s="119" t="n">
        <x:f>SUM(AA43,AE43,AI43,AM43,AQ43,AU43,AY43)</x:f>
        <x:v>2994</x:v>
      </x:c>
      <x:c r="L43" s="62" t="n">
        <x:f>H43*(ROUNDUP('难度参数'!$E$24/('难度参数'!$E$26*'难度参数'!$E$27),0)*'难度参数'!$E$26)/60</x:f>
        <x:v>1.56</x:v>
      </x:c>
      <x:c r="M43" s="62" t="n">
        <x:f>L43+D43*('难度参数'!$E$49+'难度参数'!$E$50)/60</x:f>
        <x:v>2.7266666666666666</x:v>
      </x:c>
      <x:c r="N43" s="119" t="n">
        <x:f>ROUNDDOWN(('经济参数'!$E$20+A43*'经济参数'!$E$21)*G43,0)</x:f>
        <x:v>920</x:v>
      </x:c>
      <x:c r="O43" s="119" t="n">
        <x:f>ROUNDDOWN(MIN('经济参数'!$E$24,'经济参数'!$E$22+A43*'经济参数'!$E$23)*G43,0)</x:f>
        <x:v>0</x:v>
      </x:c>
      <x:c r="P43" s="119" t="n">
        <x:f>ROUNDDOWN((IF(A43&gt;='材料与任务'!$E$31,'材料与任务'!$E$32,IF(A43&gt;='材料与任务'!$E$25,'材料与任务'!$E$26,IF(A43&gt;='材料与任务'!$E$19,'材料与任务'!$E$20,IF(A43&gt;='材料与任务'!$E$13,'材料与任务'!$E$14,'材料与任务'!$E$8)))))*G43,0)</x:f>
        <x:v>4</x:v>
      </x:c>
      <x:c r="Q43" s="119" t="n">
        <x:f>ROUNDDOWN((IF(A43&gt;='材料与任务'!$E$31,'材料与任务'!$E$33,IF(A43&gt;='材料与任务'!$E$25,'材料与任务'!$E$27,IF(A43&gt;='材料与任务'!$E$19,'材料与任务'!$E$21,IF(A43&gt;='材料与任务'!$E$13,'材料与任务'!$E$15,'材料与任务'!$E$9)))))*G43,0)</x:f>
        <x:v>2</x:v>
      </x:c>
      <x:c r="R43" s="110" t="n">
        <x:f>'装备掉落'!$B$38</x:f>
        <x:v>0.6872058758851213</x:v>
      </x:c>
      <x:c r="S43" s="119" t="n">
        <x:f>MAX(IF(VLOOKUP(A43,'装备掉落'!$A$29:$H$34,2,TRUE)&gt;0,1,0),IF(VLOOKUP(A43,'装备掉落'!$A$29:$H$34,3,TRUE)&gt;0,2,0),IF(VLOOKUP(A43,'装备掉落'!$A$29:$H$34,4,TRUE)&gt;0,3,0),IF(VLOOKUP(A43,'装备掉落'!$A$29:$H$34,5,TRUE)&gt;0,4,0),IF(VLOOKUP(A43,'装备掉落'!$A$29:$H$34,6,TRUE)&gt;0,5,0),IF(VLOOKUP(A43,'装备掉落'!$A$29:$H$34,7,TRUE)&gt;0,6,0),IF(VLOOKUP(A43,'装备掉落'!$A$29:$H$34,8,TRUE)&gt;0,7,0))</x:f>
        <x:v>4</x:v>
      </x:c>
      <x:c r="T43" s="119" t="n">
        <x:f>MIN(7,S43+'经济参数'!$E$70)</x:f>
        <x:v>4</x:v>
      </x:c>
      <x:c r="U43" s="119" t="n">
        <x:f>MIN(7,S43+'经济参数'!$E$71)</x:f>
        <x:v>5</x:v>
      </x:c>
      <x:c r="V43" s="119" t="n">
        <x:f>IF(H43&gt;=('难度参数'!$E$52),1,0)+IF(H43&gt;=('难度参数'!$E$52+'难度参数'!$E$53),1,0)+IF(H43&gt;=('难度参数'!$E$52+'难度参数'!$E$53+'难度参数'!$E$54),1,0)+IF(H43&gt;=('难度参数'!$E$52+'难度参数'!$E$53+'难度参数'!$E$54+'难度参数'!$E$55),1,0)+IF(H43&gt;=('难度参数'!$E$52+'难度参数'!$E$53+'难度参数'!$E$54+'难度参数'!$E$55+'难度参数'!$E$56),1,0)+IF(H43&gt;=('难度参数'!$E$52+'难度参数'!$E$53+'难度参数'!$E$54+'难度参数'!$E$55+'难度参数'!$E$56+'难度参数'!$E$57),1,0)</x:f>
        <x:v>6</x:v>
      </x:c>
      <x:c r="W43" s="62" t="str">
        <x:f>IF(L43&gt;'难度参数'!$E$51,"仅出怪已超目标","还需实测")</x:f>
        <x:v>还需实测</x:v>
      </x:c>
      <x:c r="X43" s="119" t="n">
        <x:f>IF(1&gt;D43,0,MAX(2,MIN('难度参数'!$E$12,ROUND(('难度参数'!$E$18*POWER(A43,'难度参数'!$E$19)/D43*(0.85+0.3*(1-1)/MAX(1,D43-1))),0)+F43)))</x:f>
        <x:v>14</x:v>
      </x:c>
      <x:c r="Y43" s="119" t="n">
        <x:f>IF(1&gt;D43,0,ROUND(('难度参数'!$E$13*POWER(A43,'难度参数'!$E$20)*MIN('难度参数'!$E$23,1+MAX(0,A43-'难度参数'!$E$21)*'难度参数'!$E$22))*(36+1*7)/(36+7*(D43+1)/2)*E43,0))</x:f>
        <x:v>951</x:v>
      </x:c>
      <x:c r="Z43" s="119" t="n">
        <x:f>IF(X43=0,0,(X43-IF(1=D43,1,0))*ROUND(Y43*VLOOKUP(INDEX('章节与怪物'!$E$31:$K$37,B43,1),'章节与怪物'!$A$41:$F$44,2,FALSE),0)+IF(1=D43,ROUND(Y43*'难度参数'!$E$28*'章节与怪物'!$E$17,0),0))</x:f>
        <x:v>13314</x:v>
      </x:c>
      <x:c r="AA43" s="119" t="n">
        <x:f>IF(X43=0,0,(X43-IF(1=D43,1,0))*VLOOKUP(INDEX('章节与怪物'!$E$31:$K$37,B43,1),'章节与怪物'!$A$41:$F$44,4,FALSE)+IF(1=D43,'难度参数'!$E$30,0))</x:f>
        <x:v>252</x:v>
      </x:c>
      <x:c r="AB43" s="119" t="n">
        <x:f>IF(2&gt;D43,0,MAX(2,MIN('难度参数'!$E$12,ROUND(('难度参数'!$E$18*POWER(A43,'难度参数'!$E$19)/D43*(0.85+0.3*(2-1)/MAX(1,D43-1))),0)+F43)))</x:f>
        <x:v>15</x:v>
      </x:c>
      <x:c r="AC43" s="119" t="n">
        <x:f>IF(2&gt;D43,0,ROUND(('难度参数'!$E$13*POWER(A43,'难度参数'!$E$20)*MIN('难度参数'!$E$23,1+MAX(0,A43-'难度参数'!$E$21)*'难度参数'!$E$22))*(36+2*7)/(36+7*(D43+1)/2)*E43,0))</x:f>
        <x:v>1105</x:v>
      </x:c>
      <x:c r="AD43" s="119" t="n">
        <x:f>IF(AB43=0,0,(AB43-IF(2=D43,1,0))*ROUND(AC43*VLOOKUP(INDEX('章节与怪物'!$E$31:$K$37,B43,2),'章节与怪物'!$A$41:$F$44,2,FALSE),0)+IF(2=D43,ROUND(AC43*'难度参数'!$E$28*'章节与怪物'!$E$17,0),0))</x:f>
        <x:v>16575</x:v>
      </x:c>
      <x:c r="AE43" s="119" t="n">
        <x:f>IF(AB43=0,0,(AB43-IF(2=D43,1,0))*VLOOKUP(INDEX('章节与怪物'!$E$31:$K$37,B43,2),'章节与怪物'!$A$41:$F$44,4,FALSE)+IF(2=D43,'难度参数'!$E$30,0))</x:f>
        <x:v>270</x:v>
      </x:c>
      <x:c r="AF43" s="119" t="n">
        <x:f>IF(3&gt;D43,0,MAX(2,MIN('难度参数'!$E$12,ROUND(('难度参数'!$E$18*POWER(A43,'难度参数'!$E$19)/D43*(0.85+0.3*(3-1)/MAX(1,D43-1))),0)+F43)))</x:f>
        <x:v>16</x:v>
      </x:c>
      <x:c r="AG43" s="119" t="n">
        <x:f>IF(3&gt;D43,0,ROUND(('难度参数'!$E$13*POWER(A43,'难度参数'!$E$20)*MIN('难度参数'!$E$23,1+MAX(0,A43-'难度参数'!$E$21)*'难度参数'!$E$22))*(36+3*7)/(36+7*(D43+1)/2)*E43,0))</x:f>
        <x:v>1260</x:v>
      </x:c>
      <x:c r="AH43" s="119" t="n">
        <x:f>IF(AF43=0,0,(AF43-IF(3=D43,1,0))*ROUND(AG43*VLOOKUP(INDEX('章节与怪物'!$E$31:$K$37,B43,3),'章节与怪物'!$A$41:$F$44,2,FALSE),0)+IF(3=D43,ROUND(AG43*'难度参数'!$E$28*'章节与怪物'!$E$17,0),0))</x:f>
        <x:v>14512</x:v>
      </x:c>
      <x:c r="AI43" s="119" t="n">
        <x:f>IF(AF43=0,0,(AF43-IF(3=D43,1,0))*VLOOKUP(INDEX('章节与怪物'!$E$31:$K$37,B43,3),'章节与怪物'!$A$41:$F$44,4,FALSE)+IF(3=D43,'难度参数'!$E$30,0))</x:f>
        <x:v>320</x:v>
      </x:c>
      <x:c r="AJ43" s="119" t="n">
        <x:f>IF(4&gt;D43,0,MAX(2,MIN('难度参数'!$E$12,ROUND(('难度参数'!$E$18*POWER(A43,'难度参数'!$E$19)/D43*(0.85+0.3*(4-1)/MAX(1,D43-1))),0)+F43)))</x:f>
        <x:v>17</x:v>
      </x:c>
      <x:c r="AK43" s="119" t="n">
        <x:f>IF(4&gt;D43,0,ROUND(('难度参数'!$E$13*POWER(A43,'难度参数'!$E$20)*MIN('难度参数'!$E$23,1+MAX(0,A43-'难度参数'!$E$21)*'难度参数'!$E$22))*(36+4*7)/(36+7*(D43+1)/2)*E43,0))</x:f>
        <x:v>1415</x:v>
      </x:c>
      <x:c r="AL43" s="119" t="n">
        <x:f>IF(AJ43=0,0,(AJ43-IF(4=D43,1,0))*ROUND(AK43*VLOOKUP(INDEX('章节与怪物'!$E$31:$K$37,B43,4),'章节与怪物'!$A$41:$F$44,2,FALSE),0)+IF(4=D43,ROUND(AK43*'难度参数'!$E$28*'章节与怪物'!$E$17,0),0))</x:f>
        <x:v>40902</x:v>
      </x:c>
      <x:c r="AM43" s="119" t="n">
        <x:f>IF(AJ43=0,0,(AJ43-IF(4=D43,1,0))*VLOOKUP(INDEX('章节与怪物'!$E$31:$K$37,B43,4),'章节与怪物'!$A$41:$F$44,4,FALSE)+IF(4=D43,'难度参数'!$E$30,0))</x:f>
        <x:v>476</x:v>
      </x:c>
      <x:c r="AN43" s="119" t="n">
        <x:f>IF(5&gt;D43,0,MAX(2,MIN('难度参数'!$E$12,ROUND(('难度参数'!$E$18*POWER(A43,'难度参数'!$E$19)/D43*(0.85+0.3*(5-1)/MAX(1,D43-1))),0)+F43)))</x:f>
        <x:v>18</x:v>
      </x:c>
      <x:c r="AO43" s="119" t="n">
        <x:f>IF(5&gt;D43,0,ROUND(('难度参数'!$E$13*POWER(A43,'难度参数'!$E$20)*MIN('难度参数'!$E$23,1+MAX(0,A43-'难度参数'!$E$21)*'难度参数'!$E$22))*(36+5*7)/(36+7*(D43+1)/2)*E43,0))</x:f>
        <x:v>1570</x:v>
      </x:c>
      <x:c r="AP43" s="119" t="n">
        <x:f>IF(AN43=0,0,(AN43-IF(5=D43,1,0))*ROUND(AO43*VLOOKUP(INDEX('章节与怪物'!$E$31:$K$37,B43,5),'章节与怪物'!$A$41:$F$44,2,FALSE),0)+IF(5=D43,ROUND(AO43*'难度参数'!$E$28*'章节与怪物'!$E$17,0),0))</x:f>
        <x:v>38160</x:v>
      </x:c>
      <x:c r="AQ43" s="119" t="n">
        <x:f>IF(AN43=0,0,(AN43-IF(5=D43,1,0))*VLOOKUP(INDEX('章节与怪物'!$E$31:$K$37,B43,5),'章节与怪物'!$A$41:$F$44,4,FALSE)+IF(5=D43,'难度参数'!$E$30,0))</x:f>
        <x:v>612</x:v>
      </x:c>
      <x:c r="AR43" s="119" t="n">
        <x:f>IF(6&gt;D43,0,MAX(2,MIN('难度参数'!$E$12,ROUND(('难度参数'!$E$18*POWER(A43,'难度参数'!$E$19)/D43*(0.85+0.3*(6-1)/MAX(1,D43-1))),0)+F43)))</x:f>
        <x:v>18</x:v>
      </x:c>
      <x:c r="AS43" s="119" t="n">
        <x:f>IF(6&gt;D43,0,ROUND(('难度参数'!$E$13*POWER(A43,'难度参数'!$E$20)*MIN('难度参数'!$E$23,1+MAX(0,A43-'难度参数'!$E$21)*'难度参数'!$E$22))*(36+6*7)/(36+7*(D43+1)/2)*E43,0))</x:f>
        <x:v>1724</x:v>
      </x:c>
      <x:c r="AT43" s="119" t="n">
        <x:f>IF(AR43=0,0,(AR43-IF(6=D43,1,0))*ROUND(AS43*VLOOKUP(INDEX('章节与怪物'!$E$31:$K$37,B43,6),'章节与怪物'!$A$41:$F$44,2,FALSE),0)+IF(6=D43,ROUND(AS43*'难度参数'!$E$28*'章节与怪物'!$E$17,0),0))</x:f>
        <x:v>22338</x:v>
      </x:c>
      <x:c r="AU43" s="119" t="n">
        <x:f>IF(AR43=0,0,(AR43-IF(6=D43,1,0))*VLOOKUP(INDEX('章节与怪物'!$E$31:$K$37,B43,6),'章节与怪物'!$A$41:$F$44,4,FALSE)+IF(6=D43,'难度参数'!$E$30,0))</x:f>
        <x:v>360</x:v>
      </x:c>
      <x:c r="AV43" s="119" t="n">
        <x:f>IF(7&gt;D43,0,MAX(2,MIN('难度参数'!$E$12,ROUND(('难度参数'!$E$18*POWER(A43,'难度参数'!$E$19)/D43*(0.85+0.3*(7-1)/MAX(1,D43-1))),0)+F43)))</x:f>
        <x:v>19</x:v>
      </x:c>
      <x:c r="AW43" s="119" t="n">
        <x:f>IF(7&gt;D43,0,ROUND(('难度参数'!$E$13*POWER(A43,'难度参数'!$E$20)*MIN('难度参数'!$E$23,1+MAX(0,A43-'难度参数'!$E$21)*'难度参数'!$E$22))*(36+7*7)/(36+7*(D43+1)/2)*E43,0))</x:f>
        <x:v>1879</x:v>
      </x:c>
      <x:c r="AX43" s="119" t="n">
        <x:f>IF(AV43=0,0,(AV43-IF(7=D43,1,0))*ROUND(AW43*VLOOKUP(INDEX('章节与怪物'!$E$31:$K$37,B43,7),'章节与怪物'!$A$41:$F$44,2,FALSE),0)+IF(7=D43,ROUND(AW43*'难度参数'!$E$28*'章节与怪物'!$E$17,0),0))</x:f>
        <x:v>70269</x:v>
      </x:c>
      <x:c r="AY43" s="119" t="n">
        <x:f>IF(AV43=0,0,(AV43-IF(7=D43,1,0))*VLOOKUP(INDEX('章节与怪物'!$E$31:$K$37,B43,7),'章节与怪物'!$A$41:$F$44,4,FALSE)+IF(7=D43,'难度参数'!$E$30,0))</x:f>
        <x:v>704</x:v>
      </x:c>
    </x:row>
    <x:row r="44" ht="23" customHeight="1">
      <x:c r="A44" s="119" t="n">
        <x:v>38</x:v>
      </x:c>
      <x:c r="B44" s="119" t="n">
        <x:f>MOD(INT((A44-1)/5),7)+1</x:f>
        <x:v>1</x:v>
      </x:c>
      <x:c r="C44" s="62" t="str">
        <x:f>INDEX('章节与怪物'!$B$31:$B$37,B44)</x:f>
        <x:v>冰雪荒原</x:v>
      </x:c>
      <x:c r="D44" s="119" t="n">
        <x:f>MIN('难度参数'!$E$8,MAX('难度参数'!$E$7,A44))</x:f>
        <x:v>7</x:v>
      </x:c>
      <x:c r="E44" s="106" t="n">
        <x:v>1</x:v>
      </x:c>
      <x:c r="F44" s="106" t="n">
        <x:v>0</x:v>
      </x:c>
      <x:c r="G44" s="106" t="n">
        <x:v>1</x:v>
      </x:c>
      <x:c r="H44" s="119" t="n">
        <x:f>SUM(X44,AB44,AF44,AJ44,AN44,AR44,AV44)</x:f>
        <x:v>118</x:v>
      </x:c>
      <x:c r="I44" s="119" t="n">
        <x:f>SUM(Z44,AD44,AH44,AL44,AP44,AT44,AX44)</x:f>
        <x:v>222144</x:v>
      </x:c>
      <x:c r="J44" s="119" t="n">
        <x:f>ROUND(INDEX(X44:AY44,1,(D44-1)*4+2)*'难度参数'!$E$28*'章节与怪物'!$E$17,0)</x:f>
        <x:v>13063</x:v>
      </x:c>
      <x:c r="K44" s="119" t="n">
        <x:f>SUM(AA44,AE44,AI44,AM44,AQ44,AU44,AY44)</x:f>
        <x:v>3014</x:v>
      </x:c>
      <x:c r="L44" s="62" t="n">
        <x:f>H44*(ROUNDUP('难度参数'!$E$24/('难度参数'!$E$26*'难度参数'!$E$27),0)*'难度参数'!$E$26)/60</x:f>
        <x:v>1.5733333333333335</x:v>
      </x:c>
      <x:c r="M44" s="62" t="n">
        <x:f>L44+D44*('难度参数'!$E$49+'难度参数'!$E$50)/60</x:f>
        <x:v>2.74</x:v>
      </x:c>
      <x:c r="N44" s="119" t="n">
        <x:f>ROUNDDOWN(('经济参数'!$E$20+A44*'经济参数'!$E$21)*G44,0)</x:f>
        <x:v>940</x:v>
      </x:c>
      <x:c r="O44" s="119" t="n">
        <x:f>ROUNDDOWN(MIN('经济参数'!$E$24,'经济参数'!$E$22+A44*'经济参数'!$E$23)*G44,0)</x:f>
        <x:v>0</x:v>
      </x:c>
      <x:c r="P44" s="119" t="n">
        <x:f>ROUNDDOWN((IF(A44&gt;='材料与任务'!$E$31,'材料与任务'!$E$32,IF(A44&gt;='材料与任务'!$E$25,'材料与任务'!$E$26,IF(A44&gt;='材料与任务'!$E$19,'材料与任务'!$E$20,IF(A44&gt;='材料与任务'!$E$13,'材料与任务'!$E$14,'材料与任务'!$E$8)))))*G44,0)</x:f>
        <x:v>4</x:v>
      </x:c>
      <x:c r="Q44" s="119" t="n">
        <x:f>ROUNDDOWN((IF(A44&gt;='材料与任务'!$E$31,'材料与任务'!$E$33,IF(A44&gt;='材料与任务'!$E$25,'材料与任务'!$E$27,IF(A44&gt;='材料与任务'!$E$19,'材料与任务'!$E$21,IF(A44&gt;='材料与任务'!$E$13,'材料与任务'!$E$15,'材料与任务'!$E$9)))))*G44,0)</x:f>
        <x:v>2</x:v>
      </x:c>
      <x:c r="R44" s="110" t="n">
        <x:f>'装备掉落'!$B$38</x:f>
        <x:v>0.6872058758851213</x:v>
      </x:c>
      <x:c r="S44" s="119" t="n">
        <x:f>MAX(IF(VLOOKUP(A44,'装备掉落'!$A$29:$H$34,2,TRUE)&gt;0,1,0),IF(VLOOKUP(A44,'装备掉落'!$A$29:$H$34,3,TRUE)&gt;0,2,0),IF(VLOOKUP(A44,'装备掉落'!$A$29:$H$34,4,TRUE)&gt;0,3,0),IF(VLOOKUP(A44,'装备掉落'!$A$29:$H$34,5,TRUE)&gt;0,4,0),IF(VLOOKUP(A44,'装备掉落'!$A$29:$H$34,6,TRUE)&gt;0,5,0),IF(VLOOKUP(A44,'装备掉落'!$A$29:$H$34,7,TRUE)&gt;0,6,0),IF(VLOOKUP(A44,'装备掉落'!$A$29:$H$34,8,TRUE)&gt;0,7,0))</x:f>
        <x:v>4</x:v>
      </x:c>
      <x:c r="T44" s="119" t="n">
        <x:f>MIN(7,S44+'经济参数'!$E$70)</x:f>
        <x:v>4</x:v>
      </x:c>
      <x:c r="U44" s="119" t="n">
        <x:f>MIN(7,S44+'经济参数'!$E$71)</x:f>
        <x:v>5</x:v>
      </x:c>
      <x:c r="V44" s="119" t="n">
        <x:f>IF(H44&gt;=('难度参数'!$E$52),1,0)+IF(H44&gt;=('难度参数'!$E$52+'难度参数'!$E$53),1,0)+IF(H44&gt;=('难度参数'!$E$52+'难度参数'!$E$53+'难度参数'!$E$54),1,0)+IF(H44&gt;=('难度参数'!$E$52+'难度参数'!$E$53+'难度参数'!$E$54+'难度参数'!$E$55),1,0)+IF(H44&gt;=('难度参数'!$E$52+'难度参数'!$E$53+'难度参数'!$E$54+'难度参数'!$E$55+'难度参数'!$E$56),1,0)+IF(H44&gt;=('难度参数'!$E$52+'难度参数'!$E$53+'难度参数'!$E$54+'难度参数'!$E$55+'难度参数'!$E$56+'难度参数'!$E$57),1,0)</x:f>
        <x:v>6</x:v>
      </x:c>
      <x:c r="W44" s="62" t="str">
        <x:f>IF(L44&gt;'难度参数'!$E$51,"仅出怪已超目标","还需实测")</x:f>
        <x:v>还需实测</x:v>
      </x:c>
      <x:c r="X44" s="119" t="n">
        <x:f>IF(1&gt;D44,0,MAX(2,MIN('难度参数'!$E$12,ROUND(('难度参数'!$E$18*POWER(A44,'难度参数'!$E$19)/D44*(0.85+0.3*(1-1)/MAX(1,D44-1))),0)+F44)))</x:f>
        <x:v>14</x:v>
      </x:c>
      <x:c r="Y44" s="119" t="n">
        <x:f>IF(1&gt;D44,0,ROUND(('难度参数'!$E$13*POWER(A44,'难度参数'!$E$20)*MIN('难度参数'!$E$23,1+MAX(0,A44-'难度参数'!$E$21)*'难度参数'!$E$22))*(36+1*7)/(36+7*(D44+1)/2)*E44,0))</x:f>
        <x:v>972</x:v>
      </x:c>
      <x:c r="Z44" s="119" t="n">
        <x:f>IF(X44=0,0,(X44-IF(1=D44,1,0))*ROUND(Y44*VLOOKUP(INDEX('章节与怪物'!$E$31:$K$37,B44,1),'章节与怪物'!$A$41:$F$44,2,FALSE),0)+IF(1=D44,ROUND(Y44*'难度参数'!$E$28*'章节与怪物'!$E$17,0),0))</x:f>
        <x:v>13608</x:v>
      </x:c>
      <x:c r="AA44" s="119" t="n">
        <x:f>IF(X44=0,0,(X44-IF(1=D44,1,0))*VLOOKUP(INDEX('章节与怪物'!$E$31:$K$37,B44,1),'章节与怪物'!$A$41:$F$44,4,FALSE)+IF(1=D44,'难度参数'!$E$30,0))</x:f>
        <x:v>252</x:v>
      </x:c>
      <x:c r="AB44" s="119" t="n">
        <x:f>IF(2&gt;D44,0,MAX(2,MIN('难度参数'!$E$12,ROUND(('难度参数'!$E$18*POWER(A44,'难度参数'!$E$19)/D44*(0.85+0.3*(2-1)/MAX(1,D44-1))),0)+F44)))</x:f>
        <x:v>15</x:v>
      </x:c>
      <x:c r="AC44" s="119" t="n">
        <x:f>IF(2&gt;D44,0,ROUND(('难度参数'!$E$13*POWER(A44,'难度参数'!$E$20)*MIN('难度参数'!$E$23,1+MAX(0,A44-'难度参数'!$E$21)*'难度参数'!$E$22))*(36+2*7)/(36+7*(D44+1)/2)*E44,0))</x:f>
        <x:v>1130</x:v>
      </x:c>
      <x:c r="AD44" s="119" t="n">
        <x:f>IF(AB44=0,0,(AB44-IF(2=D44,1,0))*ROUND(AC44*VLOOKUP(INDEX('章节与怪物'!$E$31:$K$37,B44,2),'章节与怪物'!$A$41:$F$44,2,FALSE),0)+IF(2=D44,ROUND(AC44*'难度参数'!$E$28*'章节与怪物'!$E$17,0),0))</x:f>
        <x:v>16950</x:v>
      </x:c>
      <x:c r="AE44" s="119" t="n">
        <x:f>IF(AB44=0,0,(AB44-IF(2=D44,1,0))*VLOOKUP(INDEX('章节与怪物'!$E$31:$K$37,B44,2),'章节与怪物'!$A$41:$F$44,4,FALSE)+IF(2=D44,'难度参数'!$E$30,0))</x:f>
        <x:v>270</x:v>
      </x:c>
      <x:c r="AF44" s="119" t="n">
        <x:f>IF(3&gt;D44,0,MAX(2,MIN('难度参数'!$E$12,ROUND(('难度参数'!$E$18*POWER(A44,'难度参数'!$E$19)/D44*(0.85+0.3*(3-1)/MAX(1,D44-1))),0)+F44)))</x:f>
        <x:v>16</x:v>
      </x:c>
      <x:c r="AG44" s="119" t="n">
        <x:f>IF(3&gt;D44,0,ROUND(('难度参数'!$E$13*POWER(A44,'难度参数'!$E$20)*MIN('难度参数'!$E$23,1+MAX(0,A44-'难度参数'!$E$21)*'难度参数'!$E$22))*(36+3*7)/(36+7*(D44+1)/2)*E44,0))</x:f>
        <x:v>1288</x:v>
      </x:c>
      <x:c r="AH44" s="119" t="n">
        <x:f>IF(AF44=0,0,(AF44-IF(3=D44,1,0))*ROUND(AG44*VLOOKUP(INDEX('章节与怪物'!$E$31:$K$37,B44,3),'章节与怪物'!$A$41:$F$44,2,FALSE),0)+IF(3=D44,ROUND(AG44*'难度参数'!$E$28*'章节与怪物'!$E$17,0),0))</x:f>
        <x:v>14832</x:v>
      </x:c>
      <x:c r="AI44" s="119" t="n">
        <x:f>IF(AF44=0,0,(AF44-IF(3=D44,1,0))*VLOOKUP(INDEX('章节与怪物'!$E$31:$K$37,B44,3),'章节与怪物'!$A$41:$F$44,4,FALSE)+IF(3=D44,'难度参数'!$E$30,0))</x:f>
        <x:v>320</x:v>
      </x:c>
      <x:c r="AJ44" s="119" t="n">
        <x:f>IF(4&gt;D44,0,MAX(2,MIN('难度参数'!$E$12,ROUND(('难度参数'!$E$18*POWER(A44,'难度参数'!$E$19)/D44*(0.85+0.3*(4-1)/MAX(1,D44-1))),0)+F44)))</x:f>
        <x:v>17</x:v>
      </x:c>
      <x:c r="AK44" s="119" t="n">
        <x:f>IF(4&gt;D44,0,ROUND(('难度参数'!$E$13*POWER(A44,'难度参数'!$E$20)*MIN('难度参数'!$E$23,1+MAX(0,A44-'难度参数'!$E$21)*'难度参数'!$E$22))*(36+4*7)/(36+7*(D44+1)/2)*E44,0))</x:f>
        <x:v>1446</x:v>
      </x:c>
      <x:c r="AL44" s="119" t="n">
        <x:f>IF(AJ44=0,0,(AJ44-IF(4=D44,1,0))*ROUND(AK44*VLOOKUP(INDEX('章节与怪物'!$E$31:$K$37,B44,4),'章节与怪物'!$A$41:$F$44,2,FALSE),0)+IF(4=D44,ROUND(AK44*'难度参数'!$E$28*'章节与怪物'!$E$17,0),0))</x:f>
        <x:v>41786</x:v>
      </x:c>
      <x:c r="AM44" s="119" t="n">
        <x:f>IF(AJ44=0,0,(AJ44-IF(4=D44,1,0))*VLOOKUP(INDEX('章节与怪物'!$E$31:$K$37,B44,4),'章节与怪物'!$A$41:$F$44,4,FALSE)+IF(4=D44,'难度参数'!$E$30,0))</x:f>
        <x:v>476</x:v>
      </x:c>
      <x:c r="AN44" s="119" t="n">
        <x:f>IF(5&gt;D44,0,MAX(2,MIN('难度参数'!$E$12,ROUND(('难度参数'!$E$18*POWER(A44,'难度参数'!$E$19)/D44*(0.85+0.3*(5-1)/MAX(1,D44-1))),0)+F44)))</x:f>
        <x:v>18</x:v>
      </x:c>
      <x:c r="AO44" s="119" t="n">
        <x:f>IF(5&gt;D44,0,ROUND(('难度参数'!$E$13*POWER(A44,'难度参数'!$E$20)*MIN('难度参数'!$E$23,1+MAX(0,A44-'难度参数'!$E$21)*'难度参数'!$E$22))*(36+5*7)/(36+7*(D44+1)/2)*E44,0))</x:f>
        <x:v>1605</x:v>
      </x:c>
      <x:c r="AP44" s="119" t="n">
        <x:f>IF(AN44=0,0,(AN44-IF(5=D44,1,0))*ROUND(AO44*VLOOKUP(INDEX('章节与怪物'!$E$31:$K$37,B44,5),'章节与怪物'!$A$41:$F$44,2,FALSE),0)+IF(5=D44,ROUND(AO44*'难度参数'!$E$28*'章节与怪物'!$E$17,0),0))</x:f>
        <x:v>39006</x:v>
      </x:c>
      <x:c r="AQ44" s="119" t="n">
        <x:f>IF(AN44=0,0,(AN44-IF(5=D44,1,0))*VLOOKUP(INDEX('章节与怪物'!$E$31:$K$37,B44,5),'章节与怪物'!$A$41:$F$44,4,FALSE)+IF(5=D44,'难度参数'!$E$30,0))</x:f>
        <x:v>612</x:v>
      </x:c>
      <x:c r="AR44" s="119" t="n">
        <x:f>IF(6&gt;D44,0,MAX(2,MIN('难度参数'!$E$12,ROUND(('难度参数'!$E$18*POWER(A44,'难度参数'!$E$19)/D44*(0.85+0.3*(6-1)/MAX(1,D44-1))),0)+F44)))</x:f>
        <x:v>19</x:v>
      </x:c>
      <x:c r="AS44" s="119" t="n">
        <x:f>IF(6&gt;D44,0,ROUND(('难度参数'!$E$13*POWER(A44,'难度参数'!$E$20)*MIN('难度参数'!$E$23,1+MAX(0,A44-'难度参数'!$E$21)*'难度参数'!$E$22))*(36+6*7)/(36+7*(D44+1)/2)*E44,0))</x:f>
        <x:v>1763</x:v>
      </x:c>
      <x:c r="AT44" s="119" t="n">
        <x:f>IF(AR44=0,0,(AR44-IF(6=D44,1,0))*ROUND(AS44*VLOOKUP(INDEX('章节与怪物'!$E$31:$K$37,B44,6),'章节与怪物'!$A$41:$F$44,2,FALSE),0)+IF(6=D44,ROUND(AS44*'难度参数'!$E$28*'章节与怪物'!$E$17,0),0))</x:f>
        <x:v>24111</x:v>
      </x:c>
      <x:c r="AU44" s="119" t="n">
        <x:f>IF(AR44=0,0,(AR44-IF(6=D44,1,0))*VLOOKUP(INDEX('章节与怪物'!$E$31:$K$37,B44,6),'章节与怪物'!$A$41:$F$44,4,FALSE)+IF(6=D44,'难度参数'!$E$30,0))</x:f>
        <x:v>380</x:v>
      </x:c>
      <x:c r="AV44" s="119" t="n">
        <x:f>IF(7&gt;D44,0,MAX(2,MIN('难度参数'!$E$12,ROUND(('难度参数'!$E$18*POWER(A44,'难度参数'!$E$19)/D44*(0.85+0.3*(7-1)/MAX(1,D44-1))),0)+F44)))</x:f>
        <x:v>19</x:v>
      </x:c>
      <x:c r="AW44" s="119" t="n">
        <x:f>IF(7&gt;D44,0,ROUND(('难度参数'!$E$13*POWER(A44,'难度参数'!$E$20)*MIN('难度参数'!$E$23,1+MAX(0,A44-'难度参数'!$E$21)*'难度参数'!$E$22))*(36+7*7)/(36+7*(D44+1)/2)*E44,0))</x:f>
        <x:v>1921</x:v>
      </x:c>
      <x:c r="AX44" s="119" t="n">
        <x:f>IF(AV44=0,0,(AV44-IF(7=D44,1,0))*ROUND(AW44*VLOOKUP(INDEX('章节与怪物'!$E$31:$K$37,B44,7),'章节与怪物'!$A$41:$F$44,2,FALSE),0)+IF(7=D44,ROUND(AW44*'难度参数'!$E$28*'章节与怪物'!$E$17,0),0))</x:f>
        <x:v>71851</x:v>
      </x:c>
      <x:c r="AY44" s="119" t="n">
        <x:f>IF(AV44=0,0,(AV44-IF(7=D44,1,0))*VLOOKUP(INDEX('章节与怪物'!$E$31:$K$37,B44,7),'章节与怪物'!$A$41:$F$44,4,FALSE)+IF(7=D44,'难度参数'!$E$30,0))</x:f>
        <x:v>704</x:v>
      </x:c>
    </x:row>
    <x:row r="45" ht="23" customHeight="1">
      <x:c r="A45" s="119" t="n">
        <x:v>39</x:v>
      </x:c>
      <x:c r="B45" s="119" t="n">
        <x:f>MOD(INT((A45-1)/5),7)+1</x:f>
        <x:v>1</x:v>
      </x:c>
      <x:c r="C45" s="62" t="str">
        <x:f>INDEX('章节与怪物'!$B$31:$B$37,B45)</x:f>
        <x:v>冰雪荒原</x:v>
      </x:c>
      <x:c r="D45" s="119" t="n">
        <x:f>MIN('难度参数'!$E$8,MAX('难度参数'!$E$7,A45))</x:f>
        <x:v>7</x:v>
      </x:c>
      <x:c r="E45" s="106" t="n">
        <x:v>1</x:v>
      </x:c>
      <x:c r="F45" s="106" t="n">
        <x:v>0</x:v>
      </x:c>
      <x:c r="G45" s="106" t="n">
        <x:v>1</x:v>
      </x:c>
      <x:c r="H45" s="119" t="n">
        <x:f>SUM(X45,AB45,AF45,AJ45,AN45,AR45,AV45)</x:f>
        <x:v>119</x:v>
      </x:c>
      <x:c r="I45" s="119" t="n">
        <x:f>SUM(Z45,AD45,AH45,AL45,AP45,AT45,AX45)</x:f>
        <x:v>230362</x:v>
      </x:c>
      <x:c r="J45" s="119" t="n">
        <x:f>ROUND(INDEX(X45:AY45,1,(D45-1)*4+2)*'难度参数'!$E$28*'章节与怪物'!$E$17,0)</x:f>
        <x:v>13348</x:v>
      </x:c>
      <x:c r="K45" s="119" t="n">
        <x:f>SUM(AA45,AE45,AI45,AM45,AQ45,AU45,AY45)</x:f>
        <x:v>3042</x:v>
      </x:c>
      <x:c r="L45" s="62" t="n">
        <x:f>H45*(ROUNDUP('难度参数'!$E$24/('难度参数'!$E$26*'难度参数'!$E$27),0)*'难度参数'!$E$26)/60</x:f>
        <x:v>1.5866666666666667</x:v>
      </x:c>
      <x:c r="M45" s="62" t="n">
        <x:f>L45+D45*('难度参数'!$E$49+'难度参数'!$E$50)/60</x:f>
        <x:v>2.7533333333333334</x:v>
      </x:c>
      <x:c r="N45" s="119" t="n">
        <x:f>ROUNDDOWN(('经济参数'!$E$20+A45*'经济参数'!$E$21)*G45,0)</x:f>
        <x:v>960</x:v>
      </x:c>
      <x:c r="O45" s="119" t="n">
        <x:f>ROUNDDOWN(MIN('经济参数'!$E$24,'经济参数'!$E$22+A45*'经济参数'!$E$23)*G45,0)</x:f>
        <x:v>0</x:v>
      </x:c>
      <x:c r="P45" s="119" t="n">
        <x:f>ROUNDDOWN((IF(A45&gt;='材料与任务'!$E$31,'材料与任务'!$E$32,IF(A45&gt;='材料与任务'!$E$25,'材料与任务'!$E$26,IF(A45&gt;='材料与任务'!$E$19,'材料与任务'!$E$20,IF(A45&gt;='材料与任务'!$E$13,'材料与任务'!$E$14,'材料与任务'!$E$8)))))*G45,0)</x:f>
        <x:v>4</x:v>
      </x:c>
      <x:c r="Q45" s="119" t="n">
        <x:f>ROUNDDOWN((IF(A45&gt;='材料与任务'!$E$31,'材料与任务'!$E$33,IF(A45&gt;='材料与任务'!$E$25,'材料与任务'!$E$27,IF(A45&gt;='材料与任务'!$E$19,'材料与任务'!$E$21,IF(A45&gt;='材料与任务'!$E$13,'材料与任务'!$E$15,'材料与任务'!$E$9)))))*G45,0)</x:f>
        <x:v>2</x:v>
      </x:c>
      <x:c r="R45" s="110" t="n">
        <x:f>'装备掉落'!$B$38</x:f>
        <x:v>0.6872058758851213</x:v>
      </x:c>
      <x:c r="S45" s="119" t="n">
        <x:f>MAX(IF(VLOOKUP(A45,'装备掉落'!$A$29:$H$34,2,TRUE)&gt;0,1,0),IF(VLOOKUP(A45,'装备掉落'!$A$29:$H$34,3,TRUE)&gt;0,2,0),IF(VLOOKUP(A45,'装备掉落'!$A$29:$H$34,4,TRUE)&gt;0,3,0),IF(VLOOKUP(A45,'装备掉落'!$A$29:$H$34,5,TRUE)&gt;0,4,0),IF(VLOOKUP(A45,'装备掉落'!$A$29:$H$34,6,TRUE)&gt;0,5,0),IF(VLOOKUP(A45,'装备掉落'!$A$29:$H$34,7,TRUE)&gt;0,6,0),IF(VLOOKUP(A45,'装备掉落'!$A$29:$H$34,8,TRUE)&gt;0,7,0))</x:f>
        <x:v>4</x:v>
      </x:c>
      <x:c r="T45" s="119" t="n">
        <x:f>MIN(7,S45+'经济参数'!$E$70)</x:f>
        <x:v>4</x:v>
      </x:c>
      <x:c r="U45" s="119" t="n">
        <x:f>MIN(7,S45+'经济参数'!$E$71)</x:f>
        <x:v>5</x:v>
      </x:c>
      <x:c r="V45" s="119" t="n">
        <x:f>IF(H45&gt;=('难度参数'!$E$52),1,0)+IF(H45&gt;=('难度参数'!$E$52+'难度参数'!$E$53),1,0)+IF(H45&gt;=('难度参数'!$E$52+'难度参数'!$E$53+'难度参数'!$E$54),1,0)+IF(H45&gt;=('难度参数'!$E$52+'难度参数'!$E$53+'难度参数'!$E$54+'难度参数'!$E$55),1,0)+IF(H45&gt;=('难度参数'!$E$52+'难度参数'!$E$53+'难度参数'!$E$54+'难度参数'!$E$55+'难度参数'!$E$56),1,0)+IF(H45&gt;=('难度参数'!$E$52+'难度参数'!$E$53+'难度参数'!$E$54+'难度参数'!$E$55+'难度参数'!$E$56+'难度参数'!$E$57),1,0)</x:f>
        <x:v>6</x:v>
      </x:c>
      <x:c r="W45" s="62" t="str">
        <x:f>IF(L45&gt;'难度参数'!$E$51,"仅出怪已超目标","还需实测")</x:f>
        <x:v>还需实测</x:v>
      </x:c>
      <x:c r="X45" s="119" t="n">
        <x:f>IF(1&gt;D45,0,MAX(2,MIN('难度参数'!$E$12,ROUND(('难度参数'!$E$18*POWER(A45,'难度参数'!$E$19)/D45*(0.85+0.3*(1-1)/MAX(1,D45-1))),0)+F45)))</x:f>
        <x:v>14</x:v>
      </x:c>
      <x:c r="Y45" s="119" t="n">
        <x:f>IF(1&gt;D45,0,ROUND(('难度参数'!$E$13*POWER(A45,'难度参数'!$E$20)*MIN('难度参数'!$E$23,1+MAX(0,A45-'难度参数'!$E$21)*'难度参数'!$E$22))*(36+1*7)/(36+7*(D45+1)/2)*E45,0))</x:f>
        <x:v>993</x:v>
      </x:c>
      <x:c r="Z45" s="119" t="n">
        <x:f>IF(X45=0,0,(X45-IF(1=D45,1,0))*ROUND(Y45*VLOOKUP(INDEX('章节与怪物'!$E$31:$K$37,B45,1),'章节与怪物'!$A$41:$F$44,2,FALSE),0)+IF(1=D45,ROUND(Y45*'难度参数'!$E$28*'章节与怪物'!$E$17,0),0))</x:f>
        <x:v>13902</x:v>
      </x:c>
      <x:c r="AA45" s="119" t="n">
        <x:f>IF(X45=0,0,(X45-IF(1=D45,1,0))*VLOOKUP(INDEX('章节与怪物'!$E$31:$K$37,B45,1),'章节与怪物'!$A$41:$F$44,4,FALSE)+IF(1=D45,'难度参数'!$E$30,0))</x:f>
        <x:v>252</x:v>
      </x:c>
      <x:c r="AB45" s="119" t="n">
        <x:f>IF(2&gt;D45,0,MAX(2,MIN('难度参数'!$E$12,ROUND(('难度参数'!$E$18*POWER(A45,'难度参数'!$E$19)/D45*(0.85+0.3*(2-1)/MAX(1,D45-1))),0)+F45)))</x:f>
        <x:v>15</x:v>
      </x:c>
      <x:c r="AC45" s="119" t="n">
        <x:f>IF(2&gt;D45,0,ROUND(('难度参数'!$E$13*POWER(A45,'难度参数'!$E$20)*MIN('难度参数'!$E$23,1+MAX(0,A45-'难度参数'!$E$21)*'难度参数'!$E$22))*(36+2*7)/(36+7*(D45+1)/2)*E45,0))</x:f>
        <x:v>1155</x:v>
      </x:c>
      <x:c r="AD45" s="119" t="n">
        <x:f>IF(AB45=0,0,(AB45-IF(2=D45,1,0))*ROUND(AC45*VLOOKUP(INDEX('章节与怪物'!$E$31:$K$37,B45,2),'章节与怪物'!$A$41:$F$44,2,FALSE),0)+IF(2=D45,ROUND(AC45*'难度参数'!$E$28*'章节与怪物'!$E$17,0),0))</x:f>
        <x:v>17325</x:v>
      </x:c>
      <x:c r="AE45" s="119" t="n">
        <x:f>IF(AB45=0,0,(AB45-IF(2=D45,1,0))*VLOOKUP(INDEX('章节与怪物'!$E$31:$K$37,B45,2),'章节与怪物'!$A$41:$F$44,4,FALSE)+IF(2=D45,'难度参数'!$E$30,0))</x:f>
        <x:v>270</x:v>
      </x:c>
      <x:c r="AF45" s="119" t="n">
        <x:f>IF(3&gt;D45,0,MAX(2,MIN('难度参数'!$E$12,ROUND(('难度参数'!$E$18*POWER(A45,'难度参数'!$E$19)/D45*(0.85+0.3*(3-1)/MAX(1,D45-1))),0)+F45)))</x:f>
        <x:v>16</x:v>
      </x:c>
      <x:c r="AG45" s="119" t="n">
        <x:f>IF(3&gt;D45,0,ROUND(('难度参数'!$E$13*POWER(A45,'难度参数'!$E$20)*MIN('难度参数'!$E$23,1+MAX(0,A45-'难度参数'!$E$21)*'难度参数'!$E$22))*(36+3*7)/(36+7*(D45+1)/2)*E45,0))</x:f>
        <x:v>1316</x:v>
      </x:c>
      <x:c r="AH45" s="119" t="n">
        <x:f>IF(AF45=0,0,(AF45-IF(3=D45,1,0))*ROUND(AG45*VLOOKUP(INDEX('章节与怪物'!$E$31:$K$37,B45,3),'章节与怪物'!$A$41:$F$44,2,FALSE),0)+IF(3=D45,ROUND(AG45*'难度参数'!$E$28*'章节与怪物'!$E$17,0),0))</x:f>
        <x:v>15168</x:v>
      </x:c>
      <x:c r="AI45" s="119" t="n">
        <x:f>IF(AF45=0,0,(AF45-IF(3=D45,1,0))*VLOOKUP(INDEX('章节与怪物'!$E$31:$K$37,B45,3),'章节与怪物'!$A$41:$F$44,4,FALSE)+IF(3=D45,'难度参数'!$E$30,0))</x:f>
        <x:v>320</x:v>
      </x:c>
      <x:c r="AJ45" s="119" t="n">
        <x:f>IF(4&gt;D45,0,MAX(2,MIN('难度参数'!$E$12,ROUND(('难度参数'!$E$18*POWER(A45,'难度参数'!$E$19)/D45*(0.85+0.3*(4-1)/MAX(1,D45-1))),0)+F45)))</x:f>
        <x:v>17</x:v>
      </x:c>
      <x:c r="AK45" s="119" t="n">
        <x:f>IF(4&gt;D45,0,ROUND(('难度参数'!$E$13*POWER(A45,'难度参数'!$E$20)*MIN('难度参数'!$E$23,1+MAX(0,A45-'难度参数'!$E$21)*'难度参数'!$E$22))*(36+4*7)/(36+7*(D45+1)/2)*E45,0))</x:f>
        <x:v>1478</x:v>
      </x:c>
      <x:c r="AL45" s="119" t="n">
        <x:f>IF(AJ45=0,0,(AJ45-IF(4=D45,1,0))*ROUND(AK45*VLOOKUP(INDEX('章节与怪物'!$E$31:$K$37,B45,4),'章节与怪物'!$A$41:$F$44,2,FALSE),0)+IF(4=D45,ROUND(AK45*'难度参数'!$E$28*'章节与怪物'!$E$17,0),0))</x:f>
        <x:v>42721</x:v>
      </x:c>
      <x:c r="AM45" s="119" t="n">
        <x:f>IF(AJ45=0,0,(AJ45-IF(4=D45,1,0))*VLOOKUP(INDEX('章节与怪物'!$E$31:$K$37,B45,4),'章节与怪物'!$A$41:$F$44,4,FALSE)+IF(4=D45,'难度参数'!$E$30,0))</x:f>
        <x:v>476</x:v>
      </x:c>
      <x:c r="AN45" s="119" t="n">
        <x:f>IF(5&gt;D45,0,MAX(2,MIN('难度参数'!$E$12,ROUND(('难度参数'!$E$18*POWER(A45,'难度参数'!$E$19)/D45*(0.85+0.3*(5-1)/MAX(1,D45-1))),0)+F45)))</x:f>
        <x:v>18</x:v>
      </x:c>
      <x:c r="AO45" s="119" t="n">
        <x:f>IF(5&gt;D45,0,ROUND(('难度参数'!$E$13*POWER(A45,'难度参数'!$E$20)*MIN('难度参数'!$E$23,1+MAX(0,A45-'难度参数'!$E$21)*'难度参数'!$E$22))*(36+5*7)/(36+7*(D45+1)/2)*E45,0))</x:f>
        <x:v>1640</x:v>
      </x:c>
      <x:c r="AP45" s="119" t="n">
        <x:f>IF(AN45=0,0,(AN45-IF(5=D45,1,0))*ROUND(AO45*VLOOKUP(INDEX('章节与怪物'!$E$31:$K$37,B45,5),'章节与怪物'!$A$41:$F$44,2,FALSE),0)+IF(5=D45,ROUND(AO45*'难度参数'!$E$28*'章节与怪物'!$E$17,0),0))</x:f>
        <x:v>39852</x:v>
      </x:c>
      <x:c r="AQ45" s="119" t="n">
        <x:f>IF(AN45=0,0,(AN45-IF(5=D45,1,0))*VLOOKUP(INDEX('章节与怪物'!$E$31:$K$37,B45,5),'章节与怪物'!$A$41:$F$44,4,FALSE)+IF(5=D45,'难度参数'!$E$30,0))</x:f>
        <x:v>612</x:v>
      </x:c>
      <x:c r="AR45" s="119" t="n">
        <x:f>IF(6&gt;D45,0,MAX(2,MIN('难度参数'!$E$12,ROUND(('难度参数'!$E$18*POWER(A45,'难度参数'!$E$19)/D45*(0.85+0.3*(6-1)/MAX(1,D45-1))),0)+F45)))</x:f>
        <x:v>19</x:v>
      </x:c>
      <x:c r="AS45" s="119" t="n">
        <x:f>IF(6&gt;D45,0,ROUND(('难度参数'!$E$13*POWER(A45,'难度参数'!$E$20)*MIN('难度参数'!$E$23,1+MAX(0,A45-'难度参数'!$E$21)*'难度参数'!$E$22))*(36+6*7)/(36+7*(D45+1)/2)*E45,0))</x:f>
        <x:v>1801</x:v>
      </x:c>
      <x:c r="AT45" s="119" t="n">
        <x:f>IF(AR45=0,0,(AR45-IF(6=D45,1,0))*ROUND(AS45*VLOOKUP(INDEX('章节与怪物'!$E$31:$K$37,B45,6),'章节与怪物'!$A$41:$F$44,2,FALSE),0)+IF(6=D45,ROUND(AS45*'难度参数'!$E$28*'章节与怪物'!$E$17,0),0))</x:f>
        <x:v>24643</x:v>
      </x:c>
      <x:c r="AU45" s="119" t="n">
        <x:f>IF(AR45=0,0,(AR45-IF(6=D45,1,0))*VLOOKUP(INDEX('章节与怪物'!$E$31:$K$37,B45,6),'章节与怪物'!$A$41:$F$44,4,FALSE)+IF(6=D45,'难度参数'!$E$30,0))</x:f>
        <x:v>380</x:v>
      </x:c>
      <x:c r="AV45" s="119" t="n">
        <x:f>IF(7&gt;D45,0,MAX(2,MIN('难度参数'!$E$12,ROUND(('难度参数'!$E$18*POWER(A45,'难度参数'!$E$19)/D45*(0.85+0.3*(7-1)/MAX(1,D45-1))),0)+F45)))</x:f>
        <x:v>20</x:v>
      </x:c>
      <x:c r="AW45" s="119" t="n">
        <x:f>IF(7&gt;D45,0,ROUND(('难度参数'!$E$13*POWER(A45,'难度参数'!$E$20)*MIN('难度参数'!$E$23,1+MAX(0,A45-'难度参数'!$E$21)*'难度参数'!$E$22))*(36+7*7)/(36+7*(D45+1)/2)*E45,0))</x:f>
        <x:v>1963</x:v>
      </x:c>
      <x:c r="AX45" s="119" t="n">
        <x:f>IF(AV45=0,0,(AV45-IF(7=D45,1,0))*ROUND(AW45*VLOOKUP(INDEX('章节与怪物'!$E$31:$K$37,B45,7),'章节与怪物'!$A$41:$F$44,2,FALSE),0)+IF(7=D45,ROUND(AW45*'难度参数'!$E$28*'章节与怪物'!$E$17,0),0))</x:f>
        <x:v>76751</x:v>
      </x:c>
      <x:c r="AY45" s="119" t="n">
        <x:f>IF(AV45=0,0,(AV45-IF(7=D45,1,0))*VLOOKUP(INDEX('章节与怪物'!$E$31:$K$37,B45,7),'章节与怪物'!$A$41:$F$44,4,FALSE)+IF(7=D45,'难度参数'!$E$30,0))</x:f>
        <x:v>732</x:v>
      </x:c>
    </x:row>
    <x:row r="46" ht="23" customHeight="1">
      <x:c r="A46" s="119" t="n">
        <x:v>40</x:v>
      </x:c>
      <x:c r="B46" s="119" t="n">
        <x:f>MOD(INT((A46-1)/5),7)+1</x:f>
        <x:v>1</x:v>
      </x:c>
      <x:c r="C46" s="62" t="str">
        <x:f>INDEX('章节与怪物'!$B$31:$B$37,B46)</x:f>
        <x:v>冰雪荒原</x:v>
      </x:c>
      <x:c r="D46" s="119" t="n">
        <x:f>MIN('难度参数'!$E$8,MAX('难度参数'!$E$7,A46))</x:f>
        <x:v>7</x:v>
      </x:c>
      <x:c r="E46" s="106" t="n">
        <x:v>1</x:v>
      </x:c>
      <x:c r="F46" s="106" t="n">
        <x:v>0</x:v>
      </x:c>
      <x:c r="G46" s="106" t="n">
        <x:v>1</x:v>
      </x:c>
      <x:c r="H46" s="119" t="n">
        <x:f>SUM(X46,AB46,AF46,AJ46,AN46,AR46,AV46)</x:f>
        <x:v>120</x:v>
      </x:c>
      <x:c r="I46" s="119" t="n">
        <x:f>SUM(Z46,AD46,AH46,AL46,AP46,AT46,AX46)</x:f>
        <x:v>236248</x:v>
      </x:c>
      <x:c r="J46" s="119" t="n">
        <x:f>ROUND(INDEX(X46:AY46,1,(D46-1)*4+2)*'难度参数'!$E$28*'章节与怪物'!$E$17,0)</x:f>
        <x:v>13634</x:v>
      </x:c>
      <x:c r="K46" s="119" t="n">
        <x:f>SUM(AA46,AE46,AI46,AM46,AQ46,AU46,AY46)</x:f>
        <x:v>3060</x:v>
      </x:c>
      <x:c r="L46" s="62" t="n">
        <x:f>H46*(ROUNDUP('难度参数'!$E$24/('难度参数'!$E$26*'难度参数'!$E$27),0)*'难度参数'!$E$26)/60</x:f>
        <x:v>1.6</x:v>
      </x:c>
      <x:c r="M46" s="62" t="n">
        <x:f>L46+D46*('难度参数'!$E$49+'难度参数'!$E$50)/60</x:f>
        <x:v>2.7666666666666666</x:v>
      </x:c>
      <x:c r="N46" s="119" t="n">
        <x:f>ROUNDDOWN(('经济参数'!$E$20+A46*'经济参数'!$E$21)*G46,0)</x:f>
        <x:v>980</x:v>
      </x:c>
      <x:c r="O46" s="119" t="n">
        <x:f>ROUNDDOWN(MIN('经济参数'!$E$24,'经济参数'!$E$22+A46*'经济参数'!$E$23)*G46,0)</x:f>
        <x:v>0</x:v>
      </x:c>
      <x:c r="P46" s="119" t="n">
        <x:f>ROUNDDOWN((IF(A46&gt;='材料与任务'!$E$31,'材料与任务'!$E$32,IF(A46&gt;='材料与任务'!$E$25,'材料与任务'!$E$26,IF(A46&gt;='材料与任务'!$E$19,'材料与任务'!$E$20,IF(A46&gt;='材料与任务'!$E$13,'材料与任务'!$E$14,'材料与任务'!$E$8)))))*G46,0)</x:f>
        <x:v>4</x:v>
      </x:c>
      <x:c r="Q46" s="119" t="n">
        <x:f>ROUNDDOWN((IF(A46&gt;='材料与任务'!$E$31,'材料与任务'!$E$33,IF(A46&gt;='材料与任务'!$E$25,'材料与任务'!$E$27,IF(A46&gt;='材料与任务'!$E$19,'材料与任务'!$E$21,IF(A46&gt;='材料与任务'!$E$13,'材料与任务'!$E$15,'材料与任务'!$E$9)))))*G46,0)</x:f>
        <x:v>2</x:v>
      </x:c>
      <x:c r="R46" s="110" t="n">
        <x:f>'装备掉落'!$B$38</x:f>
        <x:v>0.6872058758851213</x:v>
      </x:c>
      <x:c r="S46" s="119" t="n">
        <x:f>MAX(IF(VLOOKUP(A46,'装备掉落'!$A$29:$H$34,2,TRUE)&gt;0,1,0),IF(VLOOKUP(A46,'装备掉落'!$A$29:$H$34,3,TRUE)&gt;0,2,0),IF(VLOOKUP(A46,'装备掉落'!$A$29:$H$34,4,TRUE)&gt;0,3,0),IF(VLOOKUP(A46,'装备掉落'!$A$29:$H$34,5,TRUE)&gt;0,4,0),IF(VLOOKUP(A46,'装备掉落'!$A$29:$H$34,6,TRUE)&gt;0,5,0),IF(VLOOKUP(A46,'装备掉落'!$A$29:$H$34,7,TRUE)&gt;0,6,0),IF(VLOOKUP(A46,'装备掉落'!$A$29:$H$34,8,TRUE)&gt;0,7,0))</x:f>
        <x:v>4</x:v>
      </x:c>
      <x:c r="T46" s="119" t="n">
        <x:f>MIN(7,S46+'经济参数'!$E$70)</x:f>
        <x:v>4</x:v>
      </x:c>
      <x:c r="U46" s="119" t="n">
        <x:f>MIN(7,S46+'经济参数'!$E$71)</x:f>
        <x:v>5</x:v>
      </x:c>
      <x:c r="V46" s="119" t="n">
        <x:f>IF(H46&gt;=('难度参数'!$E$52),1,0)+IF(H46&gt;=('难度参数'!$E$52+'难度参数'!$E$53),1,0)+IF(H46&gt;=('难度参数'!$E$52+'难度参数'!$E$53+'难度参数'!$E$54),1,0)+IF(H46&gt;=('难度参数'!$E$52+'难度参数'!$E$53+'难度参数'!$E$54+'难度参数'!$E$55),1,0)+IF(H46&gt;=('难度参数'!$E$52+'难度参数'!$E$53+'难度参数'!$E$54+'难度参数'!$E$55+'难度参数'!$E$56),1,0)+IF(H46&gt;=('难度参数'!$E$52+'难度参数'!$E$53+'难度参数'!$E$54+'难度参数'!$E$55+'难度参数'!$E$56+'难度参数'!$E$57),1,0)</x:f>
        <x:v>6</x:v>
      </x:c>
      <x:c r="W46" s="62" t="str">
        <x:f>IF(L46&gt;'难度参数'!$E$51,"仅出怪已超目标","还需实测")</x:f>
        <x:v>还需实测</x:v>
      </x:c>
      <x:c r="X46" s="119" t="n">
        <x:f>IF(1&gt;D46,0,MAX(2,MIN('难度参数'!$E$12,ROUND(('难度参数'!$E$18*POWER(A46,'难度参数'!$E$19)/D46*(0.85+0.3*(1-1)/MAX(1,D46-1))),0)+F46)))</x:f>
        <x:v>15</x:v>
      </x:c>
      <x:c r="Y46" s="119" t="n">
        <x:f>IF(1&gt;D46,0,ROUND(('难度参数'!$E$13*POWER(A46,'难度参数'!$E$20)*MIN('难度参数'!$E$23,1+MAX(0,A46-'难度参数'!$E$21)*'难度参数'!$E$22))*(36+1*7)/(36+7*(D46+1)/2)*E46,0))</x:f>
        <x:v>1014</x:v>
      </x:c>
      <x:c r="Z46" s="119" t="n">
        <x:f>IF(X46=0,0,(X46-IF(1=D46,1,0))*ROUND(Y46*VLOOKUP(INDEX('章节与怪物'!$E$31:$K$37,B46,1),'章节与怪物'!$A$41:$F$44,2,FALSE),0)+IF(1=D46,ROUND(Y46*'难度参数'!$E$28*'章节与怪物'!$E$17,0),0))</x:f>
        <x:v>15210</x:v>
      </x:c>
      <x:c r="AA46" s="119" t="n">
        <x:f>IF(X46=0,0,(X46-IF(1=D46,1,0))*VLOOKUP(INDEX('章节与怪物'!$E$31:$K$37,B46,1),'章节与怪物'!$A$41:$F$44,4,FALSE)+IF(1=D46,'难度参数'!$E$30,0))</x:f>
        <x:v>270</x:v>
      </x:c>
      <x:c r="AB46" s="119" t="n">
        <x:f>IF(2&gt;D46,0,MAX(2,MIN('难度参数'!$E$12,ROUND(('难度参数'!$E$18*POWER(A46,'难度参数'!$E$19)/D46*(0.85+0.3*(2-1)/MAX(1,D46-1))),0)+F46)))</x:f>
        <x:v>15</x:v>
      </x:c>
      <x:c r="AC46" s="119" t="n">
        <x:f>IF(2&gt;D46,0,ROUND(('难度参数'!$E$13*POWER(A46,'难度参数'!$E$20)*MIN('难度参数'!$E$23,1+MAX(0,A46-'难度参数'!$E$21)*'难度参数'!$E$22))*(36+2*7)/(36+7*(D46+1)/2)*E46,0))</x:f>
        <x:v>1179</x:v>
      </x:c>
      <x:c r="AD46" s="119" t="n">
        <x:f>IF(AB46=0,0,(AB46-IF(2=D46,1,0))*ROUND(AC46*VLOOKUP(INDEX('章节与怪物'!$E$31:$K$37,B46,2),'章节与怪物'!$A$41:$F$44,2,FALSE),0)+IF(2=D46,ROUND(AC46*'难度参数'!$E$28*'章节与怪物'!$E$17,0),0))</x:f>
        <x:v>17685</x:v>
      </x:c>
      <x:c r="AE46" s="119" t="n">
        <x:f>IF(AB46=0,0,(AB46-IF(2=D46,1,0))*VLOOKUP(INDEX('章节与怪物'!$E$31:$K$37,B46,2),'章节与怪物'!$A$41:$F$44,4,FALSE)+IF(2=D46,'难度参数'!$E$30,0))</x:f>
        <x:v>270</x:v>
      </x:c>
      <x:c r="AF46" s="119" t="n">
        <x:f>IF(3&gt;D46,0,MAX(2,MIN('难度参数'!$E$12,ROUND(('难度参数'!$E$18*POWER(A46,'难度参数'!$E$19)/D46*(0.85+0.3*(3-1)/MAX(1,D46-1))),0)+F46)))</x:f>
        <x:v>16</x:v>
      </x:c>
      <x:c r="AG46" s="119" t="n">
        <x:f>IF(3&gt;D46,0,ROUND(('难度参数'!$E$13*POWER(A46,'难度参数'!$E$20)*MIN('难度参数'!$E$23,1+MAX(0,A46-'难度参数'!$E$21)*'难度参数'!$E$22))*(36+3*7)/(36+7*(D46+1)/2)*E46,0))</x:f>
        <x:v>1344</x:v>
      </x:c>
      <x:c r="AH46" s="119" t="n">
        <x:f>IF(AF46=0,0,(AF46-IF(3=D46,1,0))*ROUND(AG46*VLOOKUP(INDEX('章节与怪物'!$E$31:$K$37,B46,3),'章节与怪物'!$A$41:$F$44,2,FALSE),0)+IF(3=D46,ROUND(AG46*'难度参数'!$E$28*'章节与怪物'!$E$17,0),0))</x:f>
        <x:v>15488</x:v>
      </x:c>
      <x:c r="AI46" s="119" t="n">
        <x:f>IF(AF46=0,0,(AF46-IF(3=D46,1,0))*VLOOKUP(INDEX('章节与怪物'!$E$31:$K$37,B46,3),'章节与怪物'!$A$41:$F$44,4,FALSE)+IF(3=D46,'难度参数'!$E$30,0))</x:f>
        <x:v>320</x:v>
      </x:c>
      <x:c r="AJ46" s="119" t="n">
        <x:f>IF(4&gt;D46,0,MAX(2,MIN('难度参数'!$E$12,ROUND(('难度参数'!$E$18*POWER(A46,'难度参数'!$E$19)/D46*(0.85+0.3*(4-1)/MAX(1,D46-1))),0)+F46)))</x:f>
        <x:v>17</x:v>
      </x:c>
      <x:c r="AK46" s="119" t="n">
        <x:f>IF(4&gt;D46,0,ROUND(('难度参数'!$E$13*POWER(A46,'难度参数'!$E$20)*MIN('难度参数'!$E$23,1+MAX(0,A46-'难度参数'!$E$21)*'难度参数'!$E$22))*(36+4*7)/(36+7*(D46+1)/2)*E46,0))</x:f>
        <x:v>1509</x:v>
      </x:c>
      <x:c r="AL46" s="119" t="n">
        <x:f>IF(AJ46=0,0,(AJ46-IF(4=D46,1,0))*ROUND(AK46*VLOOKUP(INDEX('章节与怪物'!$E$31:$K$37,B46,4),'章节与怪物'!$A$41:$F$44,2,FALSE),0)+IF(4=D46,ROUND(AK46*'难度参数'!$E$28*'章节与怪物'!$E$17,0),0))</x:f>
        <x:v>43605</x:v>
      </x:c>
      <x:c r="AM46" s="119" t="n">
        <x:f>IF(AJ46=0,0,(AJ46-IF(4=D46,1,0))*VLOOKUP(INDEX('章节与怪物'!$E$31:$K$37,B46,4),'章节与怪物'!$A$41:$F$44,4,FALSE)+IF(4=D46,'难度参数'!$E$30,0))</x:f>
        <x:v>476</x:v>
      </x:c>
      <x:c r="AN46" s="119" t="n">
        <x:f>IF(5&gt;D46,0,MAX(2,MIN('难度参数'!$E$12,ROUND(('难度参数'!$E$18*POWER(A46,'难度参数'!$E$19)/D46*(0.85+0.3*(5-1)/MAX(1,D46-1))),0)+F46)))</x:f>
        <x:v>18</x:v>
      </x:c>
      <x:c r="AO46" s="119" t="n">
        <x:f>IF(5&gt;D46,0,ROUND(('难度参数'!$E$13*POWER(A46,'难度参数'!$E$20)*MIN('难度参数'!$E$23,1+MAX(0,A46-'难度参数'!$E$21)*'难度参数'!$E$22))*(36+5*7)/(36+7*(D46+1)/2)*E46,0))</x:f>
        <x:v>1674</x:v>
      </x:c>
      <x:c r="AP46" s="119" t="n">
        <x:f>IF(AN46=0,0,(AN46-IF(5=D46,1,0))*ROUND(AO46*VLOOKUP(INDEX('章节与怪物'!$E$31:$K$37,B46,5),'章节与怪物'!$A$41:$F$44,2,FALSE),0)+IF(5=D46,ROUND(AO46*'难度参数'!$E$28*'章节与怪物'!$E$17,0),0))</x:f>
        <x:v>40680</x:v>
      </x:c>
      <x:c r="AQ46" s="119" t="n">
        <x:f>IF(AN46=0,0,(AN46-IF(5=D46,1,0))*VLOOKUP(INDEX('章节与怪物'!$E$31:$K$37,B46,5),'章节与怪物'!$A$41:$F$44,4,FALSE)+IF(5=D46,'难度参数'!$E$30,0))</x:f>
        <x:v>612</x:v>
      </x:c>
      <x:c r="AR46" s="119" t="n">
        <x:f>IF(6&gt;D46,0,MAX(2,MIN('难度参数'!$E$12,ROUND(('难度参数'!$E$18*POWER(A46,'难度参数'!$E$19)/D46*(0.85+0.3*(6-1)/MAX(1,D46-1))),0)+F46)))</x:f>
        <x:v>19</x:v>
      </x:c>
      <x:c r="AS46" s="119" t="n">
        <x:f>IF(6&gt;D46,0,ROUND(('难度参数'!$E$13*POWER(A46,'难度参数'!$E$20)*MIN('难度参数'!$E$23,1+MAX(0,A46-'难度参数'!$E$21)*'难度参数'!$E$22))*(36+6*7)/(36+7*(D46+1)/2)*E46,0))</x:f>
        <x:v>1840</x:v>
      </x:c>
      <x:c r="AT46" s="119" t="n">
        <x:f>IF(AR46=0,0,(AR46-IF(6=D46,1,0))*ROUND(AS46*VLOOKUP(INDEX('章节与怪物'!$E$31:$K$37,B46,6),'章节与怪物'!$A$41:$F$44,2,FALSE),0)+IF(6=D46,ROUND(AS46*'难度参数'!$E$28*'章节与怪物'!$E$17,0),0))</x:f>
        <x:v>25175</x:v>
      </x:c>
      <x:c r="AU46" s="119" t="n">
        <x:f>IF(AR46=0,0,(AR46-IF(6=D46,1,0))*VLOOKUP(INDEX('章节与怪物'!$E$31:$K$37,B46,6),'章节与怪物'!$A$41:$F$44,4,FALSE)+IF(6=D46,'难度参数'!$E$30,0))</x:f>
        <x:v>380</x:v>
      </x:c>
      <x:c r="AV46" s="119" t="n">
        <x:f>IF(7&gt;D46,0,MAX(2,MIN('难度参数'!$E$12,ROUND(('难度参数'!$E$18*POWER(A46,'难度参数'!$E$19)/D46*(0.85+0.3*(7-1)/MAX(1,D46-1))),0)+F46)))</x:f>
        <x:v>20</x:v>
      </x:c>
      <x:c r="AW46" s="119" t="n">
        <x:f>IF(7&gt;D46,0,ROUND(('难度参数'!$E$13*POWER(A46,'难度参数'!$E$20)*MIN('难度参数'!$E$23,1+MAX(0,A46-'难度参数'!$E$21)*'难度参数'!$E$22))*(36+7*7)/(36+7*(D46+1)/2)*E46,0))</x:f>
        <x:v>2005</x:v>
      </x:c>
      <x:c r="AX46" s="119" t="n">
        <x:f>IF(AV46=0,0,(AV46-IF(7=D46,1,0))*ROUND(AW46*VLOOKUP(INDEX('章节与怪物'!$E$31:$K$37,B46,7),'章节与怪物'!$A$41:$F$44,2,FALSE),0)+IF(7=D46,ROUND(AW46*'难度参数'!$E$28*'章节与怪物'!$E$17,0),0))</x:f>
        <x:v>78405</x:v>
      </x:c>
      <x:c r="AY46" s="119" t="n">
        <x:f>IF(AV46=0,0,(AV46-IF(7=D46,1,0))*VLOOKUP(INDEX('章节与怪物'!$E$31:$K$37,B46,7),'章节与怪物'!$A$41:$F$44,4,FALSE)+IF(7=D46,'难度参数'!$E$30,0))</x:f>
        <x:v>732</x:v>
      </x:c>
    </x:row>
    <x:row r="47" ht="23" customHeight="1">
      <x:c r="A47" s="119" t="n">
        <x:v>41</x:v>
      </x:c>
      <x:c r="B47" s="119" t="n">
        <x:f>MOD(INT((A47-1)/5),7)+1</x:f>
        <x:v>2</x:v>
      </x:c>
      <x:c r="C47" s="62" t="str">
        <x:f>INDEX('章节与怪物'!$B$31:$B$37,B47)</x:f>
        <x:v>黄沙要塞</x:v>
      </x:c>
      <x:c r="D47" s="119" t="n">
        <x:f>MIN('难度参数'!$E$8,MAX('难度参数'!$E$7,A47))</x:f>
        <x:v>7</x:v>
      </x:c>
      <x:c r="E47" s="106" t="n">
        <x:v>1</x:v>
      </x:c>
      <x:c r="F47" s="106" t="n">
        <x:v>0</x:v>
      </x:c>
      <x:c r="G47" s="106" t="n">
        <x:v>1</x:v>
      </x:c>
      <x:c r="H47" s="119" t="n">
        <x:f>SUM(X47,AB47,AF47,AJ47,AN47,AR47,AV47)</x:f>
        <x:v>121</x:v>
      </x:c>
      <x:c r="I47" s="119" t="n">
        <x:f>SUM(Z47,AD47,AH47,AL47,AP47,AT47,AX47)</x:f>
        <x:v>260931</x:v>
      </x:c>
      <x:c r="J47" s="119" t="n">
        <x:f>ROUND(INDEX(X47:AY47,1,(D47-1)*4+2)*'难度参数'!$E$28*'章节与怪物'!$E$17,0)</x:f>
        <x:v>13913</x:v>
      </x:c>
      <x:c r="K47" s="119" t="n">
        <x:f>SUM(AA47,AE47,AI47,AM47,AQ47,AU47,AY47)</x:f>
        <x:v>3316</x:v>
      </x:c>
      <x:c r="L47" s="62" t="n">
        <x:f>H47*(ROUNDUP('难度参数'!$E$24/('难度参数'!$E$26*'难度参数'!$E$27),0)*'难度参数'!$E$26)/60</x:f>
        <x:v>1.6133333333333335</x:v>
      </x:c>
      <x:c r="M47" s="62" t="n">
        <x:f>L47+D47*('难度参数'!$E$49+'难度参数'!$E$50)/60</x:f>
        <x:v>2.7800000000000002</x:v>
      </x:c>
      <x:c r="N47" s="119" t="n">
        <x:f>ROUNDDOWN(('经济参数'!$E$20+A47*'经济参数'!$E$21)*G47,0)</x:f>
        <x:v>1000</x:v>
      </x:c>
      <x:c r="O47" s="119" t="n">
        <x:f>ROUNDDOWN(MIN('经济参数'!$E$24,'经济参数'!$E$22+A47*'经济参数'!$E$23)*G47,0)</x:f>
        <x:v>0</x:v>
      </x:c>
      <x:c r="P47" s="119" t="n">
        <x:f>ROUNDDOWN((IF(A47&gt;='材料与任务'!$E$31,'材料与任务'!$E$32,IF(A47&gt;='材料与任务'!$E$25,'材料与任务'!$E$26,IF(A47&gt;='材料与任务'!$E$19,'材料与任务'!$E$20,IF(A47&gt;='材料与任务'!$E$13,'材料与任务'!$E$14,'材料与任务'!$E$8)))))*G47,0)</x:f>
        <x:v>4</x:v>
      </x:c>
      <x:c r="Q47" s="119" t="n">
        <x:f>ROUNDDOWN((IF(A47&gt;='材料与任务'!$E$31,'材料与任务'!$E$33,IF(A47&gt;='材料与任务'!$E$25,'材料与任务'!$E$27,IF(A47&gt;='材料与任务'!$E$19,'材料与任务'!$E$21,IF(A47&gt;='材料与任务'!$E$13,'材料与任务'!$E$15,'材料与任务'!$E$9)))))*G47,0)</x:f>
        <x:v>2</x:v>
      </x:c>
      <x:c r="R47" s="110" t="n">
        <x:f>'装备掉落'!$B$38</x:f>
        <x:v>0.6872058758851213</x:v>
      </x:c>
      <x:c r="S47" s="119" t="n">
        <x:f>MAX(IF(VLOOKUP(A47,'装备掉落'!$A$29:$H$34,2,TRUE)&gt;0,1,0),IF(VLOOKUP(A47,'装备掉落'!$A$29:$H$34,3,TRUE)&gt;0,2,0),IF(VLOOKUP(A47,'装备掉落'!$A$29:$H$34,4,TRUE)&gt;0,3,0),IF(VLOOKUP(A47,'装备掉落'!$A$29:$H$34,5,TRUE)&gt;0,4,0),IF(VLOOKUP(A47,'装备掉落'!$A$29:$H$34,6,TRUE)&gt;0,5,0),IF(VLOOKUP(A47,'装备掉落'!$A$29:$H$34,7,TRUE)&gt;0,6,0),IF(VLOOKUP(A47,'装备掉落'!$A$29:$H$34,8,TRUE)&gt;0,7,0))</x:f>
        <x:v>5</x:v>
      </x:c>
      <x:c r="T47" s="119" t="n">
        <x:f>MIN(7,S47+'经济参数'!$E$70)</x:f>
        <x:v>5</x:v>
      </x:c>
      <x:c r="U47" s="119" t="n">
        <x:f>MIN(7,S47+'经济参数'!$E$71)</x:f>
        <x:v>6</x:v>
      </x:c>
      <x:c r="V47" s="119" t="n">
        <x:f>IF(H47&gt;=('难度参数'!$E$52),1,0)+IF(H47&gt;=('难度参数'!$E$52+'难度参数'!$E$53),1,0)+IF(H47&gt;=('难度参数'!$E$52+'难度参数'!$E$53+'难度参数'!$E$54),1,0)+IF(H47&gt;=('难度参数'!$E$52+'难度参数'!$E$53+'难度参数'!$E$54+'难度参数'!$E$55),1,0)+IF(H47&gt;=('难度参数'!$E$52+'难度参数'!$E$53+'难度参数'!$E$54+'难度参数'!$E$55+'难度参数'!$E$56),1,0)+IF(H47&gt;=('难度参数'!$E$52+'难度参数'!$E$53+'难度参数'!$E$54+'难度参数'!$E$55+'难度参数'!$E$56+'难度参数'!$E$57),1,0)</x:f>
        <x:v>6</x:v>
      </x:c>
      <x:c r="W47" s="62" t="str">
        <x:f>IF(L47&gt;'难度参数'!$E$51,"仅出怪已超目标","还需实测")</x:f>
        <x:v>还需实测</x:v>
      </x:c>
      <x:c r="X47" s="119" t="n">
        <x:f>IF(1&gt;D47,0,MAX(2,MIN('难度参数'!$E$12,ROUND(('难度参数'!$E$18*POWER(A47,'难度参数'!$E$19)/D47*(0.85+0.3*(1-1)/MAX(1,D47-1))),0)+F47)))</x:f>
        <x:v>15</x:v>
      </x:c>
      <x:c r="Y47" s="119" t="n">
        <x:f>IF(1&gt;D47,0,ROUND(('难度参数'!$E$13*POWER(A47,'难度参数'!$E$20)*MIN('难度参数'!$E$23,1+MAX(0,A47-'难度参数'!$E$21)*'难度参数'!$E$22))*(36+1*7)/(36+7*(D47+1)/2)*E47,0))</x:f>
        <x:v>1035</x:v>
      </x:c>
      <x:c r="Z47" s="119" t="n">
        <x:f>IF(X47=0,0,(X47-IF(1=D47,1,0))*ROUND(Y47*VLOOKUP(INDEX('章节与怪物'!$E$31:$K$37,B47,1),'章节与怪物'!$A$41:$F$44,2,FALSE),0)+IF(1=D47,ROUND(Y47*'难度参数'!$E$28*'章节与怪物'!$E$17,0),0))</x:f>
        <x:v>11175</x:v>
      </x:c>
      <x:c r="AA47" s="119" t="n">
        <x:f>IF(X47=0,0,(X47-IF(1=D47,1,0))*VLOOKUP(INDEX('章节与怪物'!$E$31:$K$37,B47,1),'章节与怪物'!$A$41:$F$44,4,FALSE)+IF(1=D47,'难度参数'!$E$30,0))</x:f>
        <x:v>300</x:v>
      </x:c>
      <x:c r="AB47" s="119" t="n">
        <x:f>IF(2&gt;D47,0,MAX(2,MIN('难度参数'!$E$12,ROUND(('难度参数'!$E$18*POWER(A47,'难度参数'!$E$19)/D47*(0.85+0.3*(2-1)/MAX(1,D47-1))),0)+F47)))</x:f>
        <x:v>16</x:v>
      </x:c>
      <x:c r="AC47" s="119" t="n">
        <x:f>IF(2&gt;D47,0,ROUND(('难度参数'!$E$13*POWER(A47,'难度参数'!$E$20)*MIN('难度参数'!$E$23,1+MAX(0,A47-'难度参数'!$E$21)*'难度参数'!$E$22))*(36+2*7)/(36+7*(D47+1)/2)*E47,0))</x:f>
        <x:v>1204</x:v>
      </x:c>
      <x:c r="AD47" s="119" t="n">
        <x:f>IF(AB47=0,0,(AB47-IF(2=D47,1,0))*ROUND(AC47*VLOOKUP(INDEX('章节与怪物'!$E$31:$K$37,B47,2),'章节与怪物'!$A$41:$F$44,2,FALSE),0)+IF(2=D47,ROUND(AC47*'难度参数'!$E$28*'章节与怪物'!$E$17,0),0))</x:f>
        <x:v>19264</x:v>
      </x:c>
      <x:c r="AE47" s="119" t="n">
        <x:f>IF(AB47=0,0,(AB47-IF(2=D47,1,0))*VLOOKUP(INDEX('章节与怪物'!$E$31:$K$37,B47,2),'章节与怪物'!$A$41:$F$44,4,FALSE)+IF(2=D47,'难度参数'!$E$30,0))</x:f>
        <x:v>288</x:v>
      </x:c>
      <x:c r="AF47" s="119" t="n">
        <x:f>IF(3&gt;D47,0,MAX(2,MIN('难度参数'!$E$12,ROUND(('难度参数'!$E$18*POWER(A47,'难度参数'!$E$19)/D47*(0.85+0.3*(3-1)/MAX(1,D47-1))),0)+F47)))</x:f>
        <x:v>16</x:v>
      </x:c>
      <x:c r="AG47" s="119" t="n">
        <x:f>IF(3&gt;D47,0,ROUND(('难度参数'!$E$13*POWER(A47,'难度参数'!$E$20)*MIN('难度参数'!$E$23,1+MAX(0,A47-'难度参数'!$E$21)*'难度参数'!$E$22))*(36+3*7)/(36+7*(D47+1)/2)*E47,0))</x:f>
        <x:v>1372</x:v>
      </x:c>
      <x:c r="AH47" s="119" t="n">
        <x:f>IF(AF47=0,0,(AF47-IF(3=D47,1,0))*ROUND(AG47*VLOOKUP(INDEX('章节与怪物'!$E$31:$K$37,B47,3),'章节与怪物'!$A$41:$F$44,2,FALSE),0)+IF(3=D47,ROUND(AG47*'难度参数'!$E$28*'章节与怪物'!$E$17,0),0))</x:f>
        <x:v>37312</x:v>
      </x:c>
      <x:c r="AI47" s="119" t="n">
        <x:f>IF(AF47=0,0,(AF47-IF(3=D47,1,0))*VLOOKUP(INDEX('章节与怪物'!$E$31:$K$37,B47,3),'章节与怪物'!$A$41:$F$44,4,FALSE)+IF(3=D47,'难度参数'!$E$30,0))</x:f>
        <x:v>448</x:v>
      </x:c>
      <x:c r="AJ47" s="119" t="n">
        <x:f>IF(4&gt;D47,0,MAX(2,MIN('难度参数'!$E$12,ROUND(('难度参数'!$E$18*POWER(A47,'难度参数'!$E$19)/D47*(0.85+0.3*(4-1)/MAX(1,D47-1))),0)+F47)))</x:f>
        <x:v>17</x:v>
      </x:c>
      <x:c r="AK47" s="119" t="n">
        <x:f>IF(4&gt;D47,0,ROUND(('难度参数'!$E$13*POWER(A47,'难度参数'!$E$20)*MIN('难度参数'!$E$23,1+MAX(0,A47-'难度参数'!$E$21)*'难度参数'!$E$22))*(36+4*7)/(36+7*(D47+1)/2)*E47,0))</x:f>
        <x:v>1541</x:v>
      </x:c>
      <x:c r="AL47" s="119" t="n">
        <x:f>IF(AJ47=0,0,(AJ47-IF(4=D47,1,0))*ROUND(AK47*VLOOKUP(INDEX('章节与怪物'!$E$31:$K$37,B47,4),'章节与怪物'!$A$41:$F$44,2,FALSE),0)+IF(4=D47,ROUND(AK47*'难度参数'!$E$28*'章节与怪物'!$E$17,0),0))</x:f>
        <x:v>35360</x:v>
      </x:c>
      <x:c r="AM47" s="119" t="n">
        <x:f>IF(AJ47=0,0,(AJ47-IF(4=D47,1,0))*VLOOKUP(INDEX('章节与怪物'!$E$31:$K$37,B47,4),'章节与怪物'!$A$41:$F$44,4,FALSE)+IF(4=D47,'难度参数'!$E$30,0))</x:f>
        <x:v>578</x:v>
      </x:c>
      <x:c r="AN47" s="119" t="n">
        <x:f>IF(5&gt;D47,0,MAX(2,MIN('难度参数'!$E$12,ROUND(('难度参数'!$E$18*POWER(A47,'难度参数'!$E$19)/D47*(0.85+0.3*(5-1)/MAX(1,D47-1))),0)+F47)))</x:f>
        <x:v>18</x:v>
      </x:c>
      <x:c r="AO47" s="119" t="n">
        <x:f>IF(5&gt;D47,0,ROUND(('难度参数'!$E$13*POWER(A47,'难度参数'!$E$20)*MIN('难度参数'!$E$23,1+MAX(0,A47-'难度参数'!$E$21)*'难度参数'!$E$22))*(36+5*7)/(36+7*(D47+1)/2)*E47,0))</x:f>
        <x:v>1709</x:v>
      </x:c>
      <x:c r="AP47" s="119" t="n">
        <x:f>IF(AN47=0,0,(AN47-IF(5=D47,1,0))*ROUND(AO47*VLOOKUP(INDEX('章节与怪物'!$E$31:$K$37,B47,5),'章节与怪物'!$A$41:$F$44,2,FALSE),0)+IF(5=D47,ROUND(AO47*'难度参数'!$E$28*'章节与怪物'!$E$17,0),0))</x:f>
        <x:v>30762</x:v>
      </x:c>
      <x:c r="AQ47" s="119" t="n">
        <x:f>IF(AN47=0,0,(AN47-IF(5=D47,1,0))*VLOOKUP(INDEX('章节与怪物'!$E$31:$K$37,B47,5),'章节与怪物'!$A$41:$F$44,4,FALSE)+IF(5=D47,'难度参数'!$E$30,0))</x:f>
        <x:v>324</x:v>
      </x:c>
      <x:c r="AR47" s="119" t="n">
        <x:f>IF(6&gt;D47,0,MAX(2,MIN('难度参数'!$E$12,ROUND(('难度参数'!$E$18*POWER(A47,'难度参数'!$E$19)/D47*(0.85+0.3*(6-1)/MAX(1,D47-1))),0)+F47)))</x:f>
        <x:v>19</x:v>
      </x:c>
      <x:c r="AS47" s="119" t="n">
        <x:f>IF(6&gt;D47,0,ROUND(('难度参数'!$E$13*POWER(A47,'难度参数'!$E$20)*MIN('难度参数'!$E$23,1+MAX(0,A47-'难度参数'!$E$21)*'难度参数'!$E$22))*(36+6*7)/(36+7*(D47+1)/2)*E47,0))</x:f>
        <x:v>1878</x:v>
      </x:c>
      <x:c r="AT47" s="119" t="n">
        <x:f>IF(AR47=0,0,(AR47-IF(6=D47,1,0))*ROUND(AS47*VLOOKUP(INDEX('章节与怪物'!$E$31:$K$37,B47,6),'章节与怪物'!$A$41:$F$44,2,FALSE),0)+IF(6=D47,ROUND(AS47*'难度参数'!$E$28*'章节与怪物'!$E$17,0),0))</x:f>
        <x:v>60667</x:v>
      </x:c>
      <x:c r="AU47" s="119" t="n">
        <x:f>IF(AR47=0,0,(AR47-IF(6=D47,1,0))*VLOOKUP(INDEX('章节与怪物'!$E$31:$K$37,B47,6),'章节与怪物'!$A$41:$F$44,4,FALSE)+IF(6=D47,'难度参数'!$E$30,0))</x:f>
        <x:v>532</x:v>
      </x:c>
      <x:c r="AV47" s="119" t="n">
        <x:f>IF(7&gt;D47,0,MAX(2,MIN('难度参数'!$E$12,ROUND(('难度参数'!$E$18*POWER(A47,'难度参数'!$E$19)/D47*(0.85+0.3*(7-1)/MAX(1,D47-1))),0)+F47)))</x:f>
        <x:v>20</x:v>
      </x:c>
      <x:c r="AW47" s="119" t="n">
        <x:f>IF(7&gt;D47,0,ROUND(('难度参数'!$E$13*POWER(A47,'难度参数'!$E$20)*MIN('难度参数'!$E$23,1+MAX(0,A47-'难度参数'!$E$21)*'难度参数'!$E$22))*(36+7*7)/(36+7*(D47+1)/2)*E47,0))</x:f>
        <x:v>2046</x:v>
      </x:c>
      <x:c r="AX47" s="119" t="n">
        <x:f>IF(AV47=0,0,(AV47-IF(7=D47,1,0))*ROUND(AW47*VLOOKUP(INDEX('章节与怪物'!$E$31:$K$37,B47,7),'章节与怪物'!$A$41:$F$44,2,FALSE),0)+IF(7=D47,ROUND(AW47*'难度参数'!$E$28*'章节与怪物'!$E$17,0),0))</x:f>
        <x:v>66391</x:v>
      </x:c>
      <x:c r="AY47" s="119" t="n">
        <x:f>IF(AV47=0,0,(AV47-IF(7=D47,1,0))*VLOOKUP(INDEX('章节与怪物'!$E$31:$K$37,B47,7),'章节与怪物'!$A$41:$F$44,4,FALSE)+IF(7=D47,'难度参数'!$E$30,0))</x:f>
        <x:v>846</x:v>
      </x:c>
    </x:row>
    <x:row r="48" ht="23" customHeight="1">
      <x:c r="A48" s="119" t="n">
        <x:v>42</x:v>
      </x:c>
      <x:c r="B48" s="119" t="n">
        <x:f>MOD(INT((A48-1)/5),7)+1</x:f>
        <x:v>2</x:v>
      </x:c>
      <x:c r="C48" s="62" t="str">
        <x:f>INDEX('章节与怪物'!$B$31:$B$37,B48)</x:f>
        <x:v>黄沙要塞</x:v>
      </x:c>
      <x:c r="D48" s="119" t="n">
        <x:f>MIN('难度参数'!$E$8,MAX('难度参数'!$E$7,A48))</x:f>
        <x:v>7</x:v>
      </x:c>
      <x:c r="E48" s="106" t="n">
        <x:v>1</x:v>
      </x:c>
      <x:c r="F48" s="106" t="n">
        <x:v>0</x:v>
      </x:c>
      <x:c r="G48" s="106" t="n">
        <x:v>1</x:v>
      </x:c>
      <x:c r="H48" s="119" t="n">
        <x:f>SUM(X48,AB48,AF48,AJ48,AN48,AR48,AV48)</x:f>
        <x:v>122</x:v>
      </x:c>
      <x:c r="I48" s="119" t="n">
        <x:f>SUM(Z48,AD48,AH48,AL48,AP48,AT48,AX48)</x:f>
        <x:v>268616</x:v>
      </x:c>
      <x:c r="J48" s="119" t="n">
        <x:f>ROUND(INDEX(X48:AY48,1,(D48-1)*4+2)*'难度参数'!$E$28*'章节与怪物'!$E$17,0)</x:f>
        <x:v>14198</x:v>
      </x:c>
      <x:c r="K48" s="119" t="n">
        <x:f>SUM(AA48,AE48,AI48,AM48,AQ48,AU48,AY48)</x:f>
        <x:v>3344</x:v>
      </x:c>
      <x:c r="L48" s="62" t="n">
        <x:f>H48*(ROUNDUP('难度参数'!$E$24/('难度参数'!$E$26*'难度参数'!$E$27),0)*'难度参数'!$E$26)/60</x:f>
        <x:v>1.6266666666666667</x:v>
      </x:c>
      <x:c r="M48" s="62" t="n">
        <x:f>L48+D48*('难度参数'!$E$49+'难度参数'!$E$50)/60</x:f>
        <x:v>2.7933333333333334</x:v>
      </x:c>
      <x:c r="N48" s="119" t="n">
        <x:f>ROUNDDOWN(('经济参数'!$E$20+A48*'经济参数'!$E$21)*G48,0)</x:f>
        <x:v>1020</x:v>
      </x:c>
      <x:c r="O48" s="119" t="n">
        <x:f>ROUNDDOWN(MIN('经济参数'!$E$24,'经济参数'!$E$22+A48*'经济参数'!$E$23)*G48,0)</x:f>
        <x:v>0</x:v>
      </x:c>
      <x:c r="P48" s="119" t="n">
        <x:f>ROUNDDOWN((IF(A48&gt;='材料与任务'!$E$31,'材料与任务'!$E$32,IF(A48&gt;='材料与任务'!$E$25,'材料与任务'!$E$26,IF(A48&gt;='材料与任务'!$E$19,'材料与任务'!$E$20,IF(A48&gt;='材料与任务'!$E$13,'材料与任务'!$E$14,'材料与任务'!$E$8)))))*G48,0)</x:f>
        <x:v>4</x:v>
      </x:c>
      <x:c r="Q48" s="119" t="n">
        <x:f>ROUNDDOWN((IF(A48&gt;='材料与任务'!$E$31,'材料与任务'!$E$33,IF(A48&gt;='材料与任务'!$E$25,'材料与任务'!$E$27,IF(A48&gt;='材料与任务'!$E$19,'材料与任务'!$E$21,IF(A48&gt;='材料与任务'!$E$13,'材料与任务'!$E$15,'材料与任务'!$E$9)))))*G48,0)</x:f>
        <x:v>2</x:v>
      </x:c>
      <x:c r="R48" s="110" t="n">
        <x:f>'装备掉落'!$B$38</x:f>
        <x:v>0.6872058758851213</x:v>
      </x:c>
      <x:c r="S48" s="119" t="n">
        <x:f>MAX(IF(VLOOKUP(A48,'装备掉落'!$A$29:$H$34,2,TRUE)&gt;0,1,0),IF(VLOOKUP(A48,'装备掉落'!$A$29:$H$34,3,TRUE)&gt;0,2,0),IF(VLOOKUP(A48,'装备掉落'!$A$29:$H$34,4,TRUE)&gt;0,3,0),IF(VLOOKUP(A48,'装备掉落'!$A$29:$H$34,5,TRUE)&gt;0,4,0),IF(VLOOKUP(A48,'装备掉落'!$A$29:$H$34,6,TRUE)&gt;0,5,0),IF(VLOOKUP(A48,'装备掉落'!$A$29:$H$34,7,TRUE)&gt;0,6,0),IF(VLOOKUP(A48,'装备掉落'!$A$29:$H$34,8,TRUE)&gt;0,7,0))</x:f>
        <x:v>5</x:v>
      </x:c>
      <x:c r="T48" s="119" t="n">
        <x:f>MIN(7,S48+'经济参数'!$E$70)</x:f>
        <x:v>5</x:v>
      </x:c>
      <x:c r="U48" s="119" t="n">
        <x:f>MIN(7,S48+'经济参数'!$E$71)</x:f>
        <x:v>6</x:v>
      </x:c>
      <x:c r="V48" s="119" t="n">
        <x:f>IF(H48&gt;=('难度参数'!$E$52),1,0)+IF(H48&gt;=('难度参数'!$E$52+'难度参数'!$E$53),1,0)+IF(H48&gt;=('难度参数'!$E$52+'难度参数'!$E$53+'难度参数'!$E$54),1,0)+IF(H48&gt;=('难度参数'!$E$52+'难度参数'!$E$53+'难度参数'!$E$54+'难度参数'!$E$55),1,0)+IF(H48&gt;=('难度参数'!$E$52+'难度参数'!$E$53+'难度参数'!$E$54+'难度参数'!$E$55+'难度参数'!$E$56),1,0)+IF(H48&gt;=('难度参数'!$E$52+'难度参数'!$E$53+'难度参数'!$E$54+'难度参数'!$E$55+'难度参数'!$E$56+'难度参数'!$E$57),1,0)</x:f>
        <x:v>6</x:v>
      </x:c>
      <x:c r="W48" s="62" t="str">
        <x:f>IF(L48&gt;'难度参数'!$E$51,"仅出怪已超目标","还需实测")</x:f>
        <x:v>还需实测</x:v>
      </x:c>
      <x:c r="X48" s="119" t="n">
        <x:f>IF(1&gt;D48,0,MAX(2,MIN('难度参数'!$E$12,ROUND(('难度参数'!$E$18*POWER(A48,'难度参数'!$E$19)/D48*(0.85+0.3*(1-1)/MAX(1,D48-1))),0)+F48)))</x:f>
        <x:v>15</x:v>
      </x:c>
      <x:c r="Y48" s="119" t="n">
        <x:f>IF(1&gt;D48,0,ROUND(('难度参数'!$E$13*POWER(A48,'难度参数'!$E$20)*MIN('难度参数'!$E$23,1+MAX(0,A48-'难度参数'!$E$21)*'难度参数'!$E$22))*(36+1*7)/(36+7*(D48+1)/2)*E48,0))</x:f>
        <x:v>1056</x:v>
      </x:c>
      <x:c r="Z48" s="119" t="n">
        <x:f>IF(X48=0,0,(X48-IF(1=D48,1,0))*ROUND(Y48*VLOOKUP(INDEX('章节与怪物'!$E$31:$K$37,B48,1),'章节与怪物'!$A$41:$F$44,2,FALSE),0)+IF(1=D48,ROUND(Y48*'难度参数'!$E$28*'章节与怪物'!$E$17,0),0))</x:f>
        <x:v>11400</x:v>
      </x:c>
      <x:c r="AA48" s="119" t="n">
        <x:f>IF(X48=0,0,(X48-IF(1=D48,1,0))*VLOOKUP(INDEX('章节与怪物'!$E$31:$K$37,B48,1),'章节与怪物'!$A$41:$F$44,4,FALSE)+IF(1=D48,'难度参数'!$E$30,0))</x:f>
        <x:v>300</x:v>
      </x:c>
      <x:c r="AB48" s="119" t="n">
        <x:f>IF(2&gt;D48,0,MAX(2,MIN('难度参数'!$E$12,ROUND(('难度参数'!$E$18*POWER(A48,'难度参数'!$E$19)/D48*(0.85+0.3*(2-1)/MAX(1,D48-1))),0)+F48)))</x:f>
        <x:v>16</x:v>
      </x:c>
      <x:c r="AC48" s="119" t="n">
        <x:f>IF(2&gt;D48,0,ROUND(('难度参数'!$E$13*POWER(A48,'难度参数'!$E$20)*MIN('难度参数'!$E$23,1+MAX(0,A48-'难度参数'!$E$21)*'难度参数'!$E$22))*(36+2*7)/(36+7*(D48+1)/2)*E48,0))</x:f>
        <x:v>1228</x:v>
      </x:c>
      <x:c r="AD48" s="119" t="n">
        <x:f>IF(AB48=0,0,(AB48-IF(2=D48,1,0))*ROUND(AC48*VLOOKUP(INDEX('章节与怪物'!$E$31:$K$37,B48,2),'章节与怪物'!$A$41:$F$44,2,FALSE),0)+IF(2=D48,ROUND(AC48*'难度参数'!$E$28*'章节与怪物'!$E$17,0),0))</x:f>
        <x:v>19648</x:v>
      </x:c>
      <x:c r="AE48" s="119" t="n">
        <x:f>IF(AB48=0,0,(AB48-IF(2=D48,1,0))*VLOOKUP(INDEX('章节与怪物'!$E$31:$K$37,B48,2),'章节与怪物'!$A$41:$F$44,4,FALSE)+IF(2=D48,'难度参数'!$E$30,0))</x:f>
        <x:v>288</x:v>
      </x:c>
      <x:c r="AF48" s="119" t="n">
        <x:f>IF(3&gt;D48,0,MAX(2,MIN('难度参数'!$E$12,ROUND(('难度参数'!$E$18*POWER(A48,'难度参数'!$E$19)/D48*(0.85+0.3*(3-1)/MAX(1,D48-1))),0)+F48)))</x:f>
        <x:v>17</x:v>
      </x:c>
      <x:c r="AG48" s="119" t="n">
        <x:f>IF(3&gt;D48,0,ROUND(('难度参数'!$E$13*POWER(A48,'难度参数'!$E$20)*MIN('难度参数'!$E$23,1+MAX(0,A48-'难度参数'!$E$21)*'难度参数'!$E$22))*(36+3*7)/(36+7*(D48+1)/2)*E48,0))</x:f>
        <x:v>1400</x:v>
      </x:c>
      <x:c r="AH48" s="119" t="n">
        <x:f>IF(AF48=0,0,(AF48-IF(3=D48,1,0))*ROUND(AG48*VLOOKUP(INDEX('章节与怪物'!$E$31:$K$37,B48,3),'章节与怪物'!$A$41:$F$44,2,FALSE),0)+IF(3=D48,ROUND(AG48*'难度参数'!$E$28*'章节与怪物'!$E$17,0),0))</x:f>
        <x:v>40460</x:v>
      </x:c>
      <x:c r="AI48" s="119" t="n">
        <x:f>IF(AF48=0,0,(AF48-IF(3=D48,1,0))*VLOOKUP(INDEX('章节与怪物'!$E$31:$K$37,B48,3),'章节与怪物'!$A$41:$F$44,4,FALSE)+IF(3=D48,'难度参数'!$E$30,0))</x:f>
        <x:v>476</x:v>
      </x:c>
      <x:c r="AJ48" s="119" t="n">
        <x:f>IF(4&gt;D48,0,MAX(2,MIN('难度参数'!$E$12,ROUND(('难度参数'!$E$18*POWER(A48,'难度参数'!$E$19)/D48*(0.85+0.3*(4-1)/MAX(1,D48-1))),0)+F48)))</x:f>
        <x:v>17</x:v>
      </x:c>
      <x:c r="AK48" s="119" t="n">
        <x:f>IF(4&gt;D48,0,ROUND(('难度参数'!$E$13*POWER(A48,'难度参数'!$E$20)*MIN('难度参数'!$E$23,1+MAX(0,A48-'难度参数'!$E$21)*'难度参数'!$E$22))*(36+4*7)/(36+7*(D48+1)/2)*E48,0))</x:f>
        <x:v>1572</x:v>
      </x:c>
      <x:c r="AL48" s="119" t="n">
        <x:f>IF(AJ48=0,0,(AJ48-IF(4=D48,1,0))*ROUND(AK48*VLOOKUP(INDEX('章节与怪物'!$E$31:$K$37,B48,4),'章节与怪物'!$A$41:$F$44,2,FALSE),0)+IF(4=D48,ROUND(AK48*'难度参数'!$E$28*'章节与怪物'!$E$17,0),0))</x:f>
        <x:v>36074</x:v>
      </x:c>
      <x:c r="AM48" s="119" t="n">
        <x:f>IF(AJ48=0,0,(AJ48-IF(4=D48,1,0))*VLOOKUP(INDEX('章节与怪物'!$E$31:$K$37,B48,4),'章节与怪物'!$A$41:$F$44,4,FALSE)+IF(4=D48,'难度参数'!$E$30,0))</x:f>
        <x:v>578</x:v>
      </x:c>
      <x:c r="AN48" s="119" t="n">
        <x:f>IF(5&gt;D48,0,MAX(2,MIN('难度参数'!$E$12,ROUND(('难度参数'!$E$18*POWER(A48,'难度参数'!$E$19)/D48*(0.85+0.3*(5-1)/MAX(1,D48-1))),0)+F48)))</x:f>
        <x:v>18</x:v>
      </x:c>
      <x:c r="AO48" s="119" t="n">
        <x:f>IF(5&gt;D48,0,ROUND(('难度参数'!$E$13*POWER(A48,'难度参数'!$E$20)*MIN('难度参数'!$E$23,1+MAX(0,A48-'难度参数'!$E$21)*'难度参数'!$E$22))*(36+5*7)/(36+7*(D48+1)/2)*E48,0))</x:f>
        <x:v>1744</x:v>
      </x:c>
      <x:c r="AP48" s="119" t="n">
        <x:f>IF(AN48=0,0,(AN48-IF(5=D48,1,0))*ROUND(AO48*VLOOKUP(INDEX('章节与怪物'!$E$31:$K$37,B48,5),'章节与怪物'!$A$41:$F$44,2,FALSE),0)+IF(5=D48,ROUND(AO48*'难度参数'!$E$28*'章节与怪物'!$E$17,0),0))</x:f>
        <x:v>31392</x:v>
      </x:c>
      <x:c r="AQ48" s="119" t="n">
        <x:f>IF(AN48=0,0,(AN48-IF(5=D48,1,0))*VLOOKUP(INDEX('章节与怪物'!$E$31:$K$37,B48,5),'章节与怪物'!$A$41:$F$44,4,FALSE)+IF(5=D48,'难度参数'!$E$30,0))</x:f>
        <x:v>324</x:v>
      </x:c>
      <x:c r="AR48" s="119" t="n">
        <x:f>IF(6&gt;D48,0,MAX(2,MIN('难度参数'!$E$12,ROUND(('难度参数'!$E$18*POWER(A48,'难度参数'!$E$19)/D48*(0.85+0.3*(6-1)/MAX(1,D48-1))),0)+F48)))</x:f>
        <x:v>19</x:v>
      </x:c>
      <x:c r="AS48" s="119" t="n">
        <x:f>IF(6&gt;D48,0,ROUND(('难度参数'!$E$13*POWER(A48,'难度参数'!$E$20)*MIN('难度参数'!$E$23,1+MAX(0,A48-'难度参数'!$E$21)*'难度参数'!$E$22))*(36+6*7)/(36+7*(D48+1)/2)*E48,0))</x:f>
        <x:v>1916</x:v>
      </x:c>
      <x:c r="AT48" s="119" t="n">
        <x:f>IF(AR48=0,0,(AR48-IF(6=D48,1,0))*ROUND(AS48*VLOOKUP(INDEX('章节与怪物'!$E$31:$K$37,B48,6),'章节与怪物'!$A$41:$F$44,2,FALSE),0)+IF(6=D48,ROUND(AS48*'难度参数'!$E$28*'章节与怪物'!$E$17,0),0))</x:f>
        <x:v>61883</x:v>
      </x:c>
      <x:c r="AU48" s="119" t="n">
        <x:f>IF(AR48=0,0,(AR48-IF(6=D48,1,0))*VLOOKUP(INDEX('章节与怪物'!$E$31:$K$37,B48,6),'章节与怪物'!$A$41:$F$44,4,FALSE)+IF(6=D48,'难度参数'!$E$30,0))</x:f>
        <x:v>532</x:v>
      </x:c>
      <x:c r="AV48" s="119" t="n">
        <x:f>IF(7&gt;D48,0,MAX(2,MIN('难度参数'!$E$12,ROUND(('难度参数'!$E$18*POWER(A48,'难度参数'!$E$19)/D48*(0.85+0.3*(7-1)/MAX(1,D48-1))),0)+F48)))</x:f>
        <x:v>20</x:v>
      </x:c>
      <x:c r="AW48" s="119" t="n">
        <x:f>IF(7&gt;D48,0,ROUND(('难度参数'!$E$13*POWER(A48,'难度参数'!$E$20)*MIN('难度参数'!$E$23,1+MAX(0,A48-'难度参数'!$E$21)*'难度参数'!$E$22))*(36+7*7)/(36+7*(D48+1)/2)*E48,0))</x:f>
        <x:v>2088</x:v>
      </x:c>
      <x:c r="AX48" s="119" t="n">
        <x:f>IF(AV48=0,0,(AV48-IF(7=D48,1,0))*ROUND(AW48*VLOOKUP(INDEX('章节与怪物'!$E$31:$K$37,B48,7),'章节与怪物'!$A$41:$F$44,2,FALSE),0)+IF(7=D48,ROUND(AW48*'难度参数'!$E$28*'章节与怪物'!$E$17,0),0))</x:f>
        <x:v>67759</x:v>
      </x:c>
      <x:c r="AY48" s="119" t="n">
        <x:f>IF(AV48=0,0,(AV48-IF(7=D48,1,0))*VLOOKUP(INDEX('章节与怪物'!$E$31:$K$37,B48,7),'章节与怪物'!$A$41:$F$44,4,FALSE)+IF(7=D48,'难度参数'!$E$30,0))</x:f>
        <x:v>846</x:v>
      </x:c>
    </x:row>
    <x:row r="49" ht="23" customHeight="1">
      <x:c r="A49" s="119" t="n">
        <x:v>43</x:v>
      </x:c>
      <x:c r="B49" s="119" t="n">
        <x:f>MOD(INT((A49-1)/5),7)+1</x:f>
        <x:v>2</x:v>
      </x:c>
      <x:c r="C49" s="62" t="str">
        <x:f>INDEX('章节与怪物'!$B$31:$B$37,B49)</x:f>
        <x:v>黄沙要塞</x:v>
      </x:c>
      <x:c r="D49" s="119" t="n">
        <x:f>MIN('难度参数'!$E$8,MAX('难度参数'!$E$7,A49))</x:f>
        <x:v>7</x:v>
      </x:c>
      <x:c r="E49" s="106" t="n">
        <x:v>1</x:v>
      </x:c>
      <x:c r="F49" s="106" t="n">
        <x:v>0</x:v>
      </x:c>
      <x:c r="G49" s="106" t="n">
        <x:v>1</x:v>
      </x:c>
      <x:c r="H49" s="119" t="n">
        <x:f>SUM(X49,AB49,AF49,AJ49,AN49,AR49,AV49)</x:f>
        <x:v>123</x:v>
      </x:c>
      <x:c r="I49" s="119" t="n">
        <x:f>SUM(Z49,AD49,AH49,AL49,AP49,AT49,AX49)</x:f>
        <x:v>276187</x:v>
      </x:c>
      <x:c r="J49" s="119" t="n">
        <x:f>ROUND(INDEX(X49:AY49,1,(D49-1)*4+2)*'难度参数'!$E$28*'章节与怪物'!$E$17,0)</x:f>
        <x:v>14484</x:v>
      </x:c>
      <x:c r="K49" s="119" t="n">
        <x:f>SUM(AA49,AE49,AI49,AM49,AQ49,AU49,AY49)</x:f>
        <x:v>3378</x:v>
      </x:c>
      <x:c r="L49" s="62" t="n">
        <x:f>H49*(ROUNDUP('难度参数'!$E$24/('难度参数'!$E$26*'难度参数'!$E$27),0)*'难度参数'!$E$26)/60</x:f>
        <x:v>1.6400000000000001</x:v>
      </x:c>
      <x:c r="M49" s="62" t="n">
        <x:f>L49+D49*('难度参数'!$E$49+'难度参数'!$E$50)/60</x:f>
        <x:v>2.8066666666666666</x:v>
      </x:c>
      <x:c r="N49" s="119" t="n">
        <x:f>ROUNDDOWN(('经济参数'!$E$20+A49*'经济参数'!$E$21)*G49,0)</x:f>
        <x:v>1040</x:v>
      </x:c>
      <x:c r="O49" s="119" t="n">
        <x:f>ROUNDDOWN(MIN('经济参数'!$E$24,'经济参数'!$E$22+A49*'经济参数'!$E$23)*G49,0)</x:f>
        <x:v>0</x:v>
      </x:c>
      <x:c r="P49" s="119" t="n">
        <x:f>ROUNDDOWN((IF(A49&gt;='材料与任务'!$E$31,'材料与任务'!$E$32,IF(A49&gt;='材料与任务'!$E$25,'材料与任务'!$E$26,IF(A49&gt;='材料与任务'!$E$19,'材料与任务'!$E$20,IF(A49&gt;='材料与任务'!$E$13,'材料与任务'!$E$14,'材料与任务'!$E$8)))))*G49,0)</x:f>
        <x:v>4</x:v>
      </x:c>
      <x:c r="Q49" s="119" t="n">
        <x:f>ROUNDDOWN((IF(A49&gt;='材料与任务'!$E$31,'材料与任务'!$E$33,IF(A49&gt;='材料与任务'!$E$25,'材料与任务'!$E$27,IF(A49&gt;='材料与任务'!$E$19,'材料与任务'!$E$21,IF(A49&gt;='材料与任务'!$E$13,'材料与任务'!$E$15,'材料与任务'!$E$9)))))*G49,0)</x:f>
        <x:v>2</x:v>
      </x:c>
      <x:c r="R49" s="110" t="n">
        <x:f>'装备掉落'!$B$38</x:f>
        <x:v>0.6872058758851213</x:v>
      </x:c>
      <x:c r="S49" s="119" t="n">
        <x:f>MAX(IF(VLOOKUP(A49,'装备掉落'!$A$29:$H$34,2,TRUE)&gt;0,1,0),IF(VLOOKUP(A49,'装备掉落'!$A$29:$H$34,3,TRUE)&gt;0,2,0),IF(VLOOKUP(A49,'装备掉落'!$A$29:$H$34,4,TRUE)&gt;0,3,0),IF(VLOOKUP(A49,'装备掉落'!$A$29:$H$34,5,TRUE)&gt;0,4,0),IF(VLOOKUP(A49,'装备掉落'!$A$29:$H$34,6,TRUE)&gt;0,5,0),IF(VLOOKUP(A49,'装备掉落'!$A$29:$H$34,7,TRUE)&gt;0,6,0),IF(VLOOKUP(A49,'装备掉落'!$A$29:$H$34,8,TRUE)&gt;0,7,0))</x:f>
        <x:v>5</x:v>
      </x:c>
      <x:c r="T49" s="119" t="n">
        <x:f>MIN(7,S49+'经济参数'!$E$70)</x:f>
        <x:v>5</x:v>
      </x:c>
      <x:c r="U49" s="119" t="n">
        <x:f>MIN(7,S49+'经济参数'!$E$71)</x:f>
        <x:v>6</x:v>
      </x:c>
      <x:c r="V49" s="119" t="n">
        <x:f>IF(H49&gt;=('难度参数'!$E$52),1,0)+IF(H49&gt;=('难度参数'!$E$52+'难度参数'!$E$53),1,0)+IF(H49&gt;=('难度参数'!$E$52+'难度参数'!$E$53+'难度参数'!$E$54),1,0)+IF(H49&gt;=('难度参数'!$E$52+'难度参数'!$E$53+'难度参数'!$E$54+'难度参数'!$E$55),1,0)+IF(H49&gt;=('难度参数'!$E$52+'难度参数'!$E$53+'难度参数'!$E$54+'难度参数'!$E$55+'难度参数'!$E$56),1,0)+IF(H49&gt;=('难度参数'!$E$52+'难度参数'!$E$53+'难度参数'!$E$54+'难度参数'!$E$55+'难度参数'!$E$56+'难度参数'!$E$57),1,0)</x:f>
        <x:v>6</x:v>
      </x:c>
      <x:c r="W49" s="62" t="str">
        <x:f>IF(L49&gt;'难度参数'!$E$51,"仅出怪已超目标","还需实测")</x:f>
        <x:v>还需实测</x:v>
      </x:c>
      <x:c r="X49" s="119" t="n">
        <x:f>IF(1&gt;D49,0,MAX(2,MIN('难度参数'!$E$12,ROUND(('难度参数'!$E$18*POWER(A49,'难度参数'!$E$19)/D49*(0.85+0.3*(1-1)/MAX(1,D49-1))),0)+F49)))</x:f>
        <x:v>15</x:v>
      </x:c>
      <x:c r="Y49" s="119" t="n">
        <x:f>IF(1&gt;D49,0,ROUND(('难度参数'!$E$13*POWER(A49,'难度参数'!$E$20)*MIN('难度参数'!$E$23,1+MAX(0,A49-'难度参数'!$E$21)*'难度参数'!$E$22))*(36+1*7)/(36+7*(D49+1)/2)*E49,0))</x:f>
        <x:v>1077</x:v>
      </x:c>
      <x:c r="Z49" s="119" t="n">
        <x:f>IF(X49=0,0,(X49-IF(1=D49,1,0))*ROUND(Y49*VLOOKUP(INDEX('章节与怪物'!$E$31:$K$37,B49,1),'章节与怪物'!$A$41:$F$44,2,FALSE),0)+IF(1=D49,ROUND(Y49*'难度参数'!$E$28*'章节与怪物'!$E$17,0),0))</x:f>
        <x:v>11625</x:v>
      </x:c>
      <x:c r="AA49" s="119" t="n">
        <x:f>IF(X49=0,0,(X49-IF(1=D49,1,0))*VLOOKUP(INDEX('章节与怪物'!$E$31:$K$37,B49,1),'章节与怪物'!$A$41:$F$44,4,FALSE)+IF(1=D49,'难度参数'!$E$30,0))</x:f>
        <x:v>300</x:v>
      </x:c>
      <x:c r="AB49" s="119" t="n">
        <x:f>IF(2&gt;D49,0,MAX(2,MIN('难度参数'!$E$12,ROUND(('难度参数'!$E$18*POWER(A49,'难度参数'!$E$19)/D49*(0.85+0.3*(2-1)/MAX(1,D49-1))),0)+F49)))</x:f>
        <x:v>16</x:v>
      </x:c>
      <x:c r="AC49" s="119" t="n">
        <x:f>IF(2&gt;D49,0,ROUND(('难度参数'!$E$13*POWER(A49,'难度参数'!$E$20)*MIN('难度参数'!$E$23,1+MAX(0,A49-'难度参数'!$E$21)*'难度参数'!$E$22))*(36+2*7)/(36+7*(D49+1)/2)*E49,0))</x:f>
        <x:v>1253</x:v>
      </x:c>
      <x:c r="AD49" s="119" t="n">
        <x:f>IF(AB49=0,0,(AB49-IF(2=D49,1,0))*ROUND(AC49*VLOOKUP(INDEX('章节与怪物'!$E$31:$K$37,B49,2),'章节与怪物'!$A$41:$F$44,2,FALSE),0)+IF(2=D49,ROUND(AC49*'难度参数'!$E$28*'章节与怪物'!$E$17,0),0))</x:f>
        <x:v>20048</x:v>
      </x:c>
      <x:c r="AE49" s="119" t="n">
        <x:f>IF(AB49=0,0,(AB49-IF(2=D49,1,0))*VLOOKUP(INDEX('章节与怪物'!$E$31:$K$37,B49,2),'章节与怪物'!$A$41:$F$44,4,FALSE)+IF(2=D49,'难度参数'!$E$30,0))</x:f>
        <x:v>288</x:v>
      </x:c>
      <x:c r="AF49" s="119" t="n">
        <x:f>IF(3&gt;D49,0,MAX(2,MIN('难度参数'!$E$12,ROUND(('难度参数'!$E$18*POWER(A49,'难度参数'!$E$19)/D49*(0.85+0.3*(3-1)/MAX(1,D49-1))),0)+F49)))</x:f>
        <x:v>17</x:v>
      </x:c>
      <x:c r="AG49" s="119" t="n">
        <x:f>IF(3&gt;D49,0,ROUND(('难度参数'!$E$13*POWER(A49,'难度参数'!$E$20)*MIN('难度参数'!$E$23,1+MAX(0,A49-'难度参数'!$E$21)*'难度参数'!$E$22))*(36+3*7)/(36+7*(D49+1)/2)*E49,0))</x:f>
        <x:v>1428</x:v>
      </x:c>
      <x:c r="AH49" s="119" t="n">
        <x:f>IF(AF49=0,0,(AF49-IF(3=D49,1,0))*ROUND(AG49*VLOOKUP(INDEX('章节与怪物'!$E$31:$K$37,B49,3),'章节与怪物'!$A$41:$F$44,2,FALSE),0)+IF(3=D49,ROUND(AG49*'难度参数'!$E$28*'章节与怪物'!$E$17,0),0))</x:f>
        <x:v>41276</x:v>
      </x:c>
      <x:c r="AI49" s="119" t="n">
        <x:f>IF(AF49=0,0,(AF49-IF(3=D49,1,0))*VLOOKUP(INDEX('章节与怪物'!$E$31:$K$37,B49,3),'章节与怪物'!$A$41:$F$44,4,FALSE)+IF(3=D49,'难度参数'!$E$30,0))</x:f>
        <x:v>476</x:v>
      </x:c>
      <x:c r="AJ49" s="119" t="n">
        <x:f>IF(4&gt;D49,0,MAX(2,MIN('难度参数'!$E$12,ROUND(('难度参数'!$E$18*POWER(A49,'难度参数'!$E$19)/D49*(0.85+0.3*(4-1)/MAX(1,D49-1))),0)+F49)))</x:f>
        <x:v>18</x:v>
      </x:c>
      <x:c r="AK49" s="119" t="n">
        <x:f>IF(4&gt;D49,0,ROUND(('难度参数'!$E$13*POWER(A49,'难度参数'!$E$20)*MIN('难度参数'!$E$23,1+MAX(0,A49-'难度参数'!$E$21)*'难度参数'!$E$22))*(36+4*7)/(36+7*(D49+1)/2)*E49,0))</x:f>
        <x:v>1604</x:v>
      </x:c>
      <x:c r="AL49" s="119" t="n">
        <x:f>IF(AJ49=0,0,(AJ49-IF(4=D49,1,0))*ROUND(AK49*VLOOKUP(INDEX('章节与怪物'!$E$31:$K$37,B49,4),'章节与怪物'!$A$41:$F$44,2,FALSE),0)+IF(4=D49,ROUND(AK49*'难度参数'!$E$28*'章节与怪物'!$E$17,0),0))</x:f>
        <x:v>38970</x:v>
      </x:c>
      <x:c r="AM49" s="119" t="n">
        <x:f>IF(AJ49=0,0,(AJ49-IF(4=D49,1,0))*VLOOKUP(INDEX('章节与怪物'!$E$31:$K$37,B49,4),'章节与怪物'!$A$41:$F$44,4,FALSE)+IF(4=D49,'难度参数'!$E$30,0))</x:f>
        <x:v>612</x:v>
      </x:c>
      <x:c r="AN49" s="119" t="n">
        <x:f>IF(5&gt;D49,0,MAX(2,MIN('难度参数'!$E$12,ROUND(('难度参数'!$E$18*POWER(A49,'难度参数'!$E$19)/D49*(0.85+0.3*(5-1)/MAX(1,D49-1))),0)+F49)))</x:f>
        <x:v>18</x:v>
      </x:c>
      <x:c r="AO49" s="119" t="n">
        <x:f>IF(5&gt;D49,0,ROUND(('难度参数'!$E$13*POWER(A49,'难度参数'!$E$20)*MIN('难度参数'!$E$23,1+MAX(0,A49-'难度参数'!$E$21)*'难度参数'!$E$22))*(36+5*7)/(36+7*(D49+1)/2)*E49,0))</x:f>
        <x:v>1779</x:v>
      </x:c>
      <x:c r="AP49" s="119" t="n">
        <x:f>IF(AN49=0,0,(AN49-IF(5=D49,1,0))*ROUND(AO49*VLOOKUP(INDEX('章节与怪物'!$E$31:$K$37,B49,5),'章节与怪物'!$A$41:$F$44,2,FALSE),0)+IF(5=D49,ROUND(AO49*'难度参数'!$E$28*'章节与怪物'!$E$17,0),0))</x:f>
        <x:v>32022</x:v>
      </x:c>
      <x:c r="AQ49" s="119" t="n">
        <x:f>IF(AN49=0,0,(AN49-IF(5=D49,1,0))*VLOOKUP(INDEX('章节与怪物'!$E$31:$K$37,B49,5),'章节与怪物'!$A$41:$F$44,4,FALSE)+IF(5=D49,'难度参数'!$E$30,0))</x:f>
        <x:v>324</x:v>
      </x:c>
      <x:c r="AR49" s="119" t="n">
        <x:f>IF(6&gt;D49,0,MAX(2,MIN('难度参数'!$E$12,ROUND(('难度参数'!$E$18*POWER(A49,'难度参数'!$E$19)/D49*(0.85+0.3*(6-1)/MAX(1,D49-1))),0)+F49)))</x:f>
        <x:v>19</x:v>
      </x:c>
      <x:c r="AS49" s="119" t="n">
        <x:f>IF(6&gt;D49,0,ROUND(('难度参数'!$E$13*POWER(A49,'难度参数'!$E$20)*MIN('难度参数'!$E$23,1+MAX(0,A49-'难度参数'!$E$21)*'难度参数'!$E$22))*(36+6*7)/(36+7*(D49+1)/2)*E49,0))</x:f>
        <x:v>1954</x:v>
      </x:c>
      <x:c r="AT49" s="119" t="n">
        <x:f>IF(AR49=0,0,(AR49-IF(6=D49,1,0))*ROUND(AS49*VLOOKUP(INDEX('章节与怪物'!$E$31:$K$37,B49,6),'章节与怪物'!$A$41:$F$44,2,FALSE),0)+IF(6=D49,ROUND(AS49*'难度参数'!$E$28*'章节与怪物'!$E$17,0),0))</x:f>
        <x:v>63118</x:v>
      </x:c>
      <x:c r="AU49" s="119" t="n">
        <x:f>IF(AR49=0,0,(AR49-IF(6=D49,1,0))*VLOOKUP(INDEX('章节与怪物'!$E$31:$K$37,B49,6),'章节与怪物'!$A$41:$F$44,4,FALSE)+IF(6=D49,'难度参数'!$E$30,0))</x:f>
        <x:v>532</x:v>
      </x:c>
      <x:c r="AV49" s="119" t="n">
        <x:f>IF(7&gt;D49,0,MAX(2,MIN('难度参数'!$E$12,ROUND(('难度参数'!$E$18*POWER(A49,'难度参数'!$E$19)/D49*(0.85+0.3*(7-1)/MAX(1,D49-1))),0)+F49)))</x:f>
        <x:v>20</x:v>
      </x:c>
      <x:c r="AW49" s="119" t="n">
        <x:f>IF(7&gt;D49,0,ROUND(('难度参数'!$E$13*POWER(A49,'难度参数'!$E$20)*MIN('难度参数'!$E$23,1+MAX(0,A49-'难度参数'!$E$21)*'难度参数'!$E$22))*(36+7*7)/(36+7*(D49+1)/2)*E49,0))</x:f>
        <x:v>2130</x:v>
      </x:c>
      <x:c r="AX49" s="119" t="n">
        <x:f>IF(AV49=0,0,(AV49-IF(7=D49,1,0))*ROUND(AW49*VLOOKUP(INDEX('章节与怪物'!$E$31:$K$37,B49,7),'章节与怪物'!$A$41:$F$44,2,FALSE),0)+IF(7=D49,ROUND(AW49*'难度参数'!$E$28*'章节与怪物'!$E$17,0),0))</x:f>
        <x:v>69128</x:v>
      </x:c>
      <x:c r="AY49" s="119" t="n">
        <x:f>IF(AV49=0,0,(AV49-IF(7=D49,1,0))*VLOOKUP(INDEX('章节与怪物'!$E$31:$K$37,B49,7),'章节与怪物'!$A$41:$F$44,4,FALSE)+IF(7=D49,'难度参数'!$E$30,0))</x:f>
        <x:v>846</x:v>
      </x:c>
    </x:row>
    <x:row r="50" ht="23" customHeight="1">
      <x:c r="A50" s="119" t="n">
        <x:v>44</x:v>
      </x:c>
      <x:c r="B50" s="119" t="n">
        <x:f>MOD(INT((A50-1)/5),7)+1</x:f>
        <x:v>2</x:v>
      </x:c>
      <x:c r="C50" s="62" t="str">
        <x:f>INDEX('章节与怪物'!$B$31:$B$37,B50)</x:f>
        <x:v>黄沙要塞</x:v>
      </x:c>
      <x:c r="D50" s="119" t="n">
        <x:f>MIN('难度参数'!$E$8,MAX('难度参数'!$E$7,A50))</x:f>
        <x:v>7</x:v>
      </x:c>
      <x:c r="E50" s="106" t="n">
        <x:v>1</x:v>
      </x:c>
      <x:c r="F50" s="106" t="n">
        <x:v>0</x:v>
      </x:c>
      <x:c r="G50" s="106" t="n">
        <x:v>1</x:v>
      </x:c>
      <x:c r="H50" s="119" t="n">
        <x:f>SUM(X50,AB50,AF50,AJ50,AN50,AR50,AV50)</x:f>
        <x:v>124</x:v>
      </x:c>
      <x:c r="I50" s="119" t="n">
        <x:f>SUM(Z50,AD50,AH50,AL50,AP50,AT50,AX50)</x:f>
        <x:v>283350</x:v>
      </x:c>
      <x:c r="J50" s="119" t="n">
        <x:f>ROUND(INDEX(X50:AY50,1,(D50-1)*4+2)*'难度参数'!$E$28*'章节与怪物'!$E$17,0)</x:f>
        <x:v>14763</x:v>
      </x:c>
      <x:c r="K50" s="119" t="n">
        <x:f>SUM(AA50,AE50,AI50,AM50,AQ50,AU50,AY50)</x:f>
        <x:v>3396</x:v>
      </x:c>
      <x:c r="L50" s="62" t="n">
        <x:f>H50*(ROUNDUP('难度参数'!$E$24/('难度参数'!$E$26*'难度参数'!$E$27),0)*'难度参数'!$E$26)/60</x:f>
        <x:v>1.6533333333333333</x:v>
      </x:c>
      <x:c r="M50" s="62" t="n">
        <x:f>L50+D50*('难度参数'!$E$49+'难度参数'!$E$50)/60</x:f>
        <x:v>2.8200000000000003</x:v>
      </x:c>
      <x:c r="N50" s="119" t="n">
        <x:f>ROUNDDOWN(('经济参数'!$E$20+A50*'经济参数'!$E$21)*G50,0)</x:f>
        <x:v>1060</x:v>
      </x:c>
      <x:c r="O50" s="119" t="n">
        <x:f>ROUNDDOWN(MIN('经济参数'!$E$24,'经济参数'!$E$22+A50*'经济参数'!$E$23)*G50,0)</x:f>
        <x:v>0</x:v>
      </x:c>
      <x:c r="P50" s="119" t="n">
        <x:f>ROUNDDOWN((IF(A50&gt;='材料与任务'!$E$31,'材料与任务'!$E$32,IF(A50&gt;='材料与任务'!$E$25,'材料与任务'!$E$26,IF(A50&gt;='材料与任务'!$E$19,'材料与任务'!$E$20,IF(A50&gt;='材料与任务'!$E$13,'材料与任务'!$E$14,'材料与任务'!$E$8)))))*G50,0)</x:f>
        <x:v>4</x:v>
      </x:c>
      <x:c r="Q50" s="119" t="n">
        <x:f>ROUNDDOWN((IF(A50&gt;='材料与任务'!$E$31,'材料与任务'!$E$33,IF(A50&gt;='材料与任务'!$E$25,'材料与任务'!$E$27,IF(A50&gt;='材料与任务'!$E$19,'材料与任务'!$E$21,IF(A50&gt;='材料与任务'!$E$13,'材料与任务'!$E$15,'材料与任务'!$E$9)))))*G50,0)</x:f>
        <x:v>2</x:v>
      </x:c>
      <x:c r="R50" s="110" t="n">
        <x:f>'装备掉落'!$B$38</x:f>
        <x:v>0.6872058758851213</x:v>
      </x:c>
      <x:c r="S50" s="119" t="n">
        <x:f>MAX(IF(VLOOKUP(A50,'装备掉落'!$A$29:$H$34,2,TRUE)&gt;0,1,0),IF(VLOOKUP(A50,'装备掉落'!$A$29:$H$34,3,TRUE)&gt;0,2,0),IF(VLOOKUP(A50,'装备掉落'!$A$29:$H$34,4,TRUE)&gt;0,3,0),IF(VLOOKUP(A50,'装备掉落'!$A$29:$H$34,5,TRUE)&gt;0,4,0),IF(VLOOKUP(A50,'装备掉落'!$A$29:$H$34,6,TRUE)&gt;0,5,0),IF(VLOOKUP(A50,'装备掉落'!$A$29:$H$34,7,TRUE)&gt;0,6,0),IF(VLOOKUP(A50,'装备掉落'!$A$29:$H$34,8,TRUE)&gt;0,7,0))</x:f>
        <x:v>5</x:v>
      </x:c>
      <x:c r="T50" s="119" t="n">
        <x:f>MIN(7,S50+'经济参数'!$E$70)</x:f>
        <x:v>5</x:v>
      </x:c>
      <x:c r="U50" s="119" t="n">
        <x:f>MIN(7,S50+'经济参数'!$E$71)</x:f>
        <x:v>6</x:v>
      </x:c>
      <x:c r="V50" s="119" t="n">
        <x:f>IF(H50&gt;=('难度参数'!$E$52),1,0)+IF(H50&gt;=('难度参数'!$E$52+'难度参数'!$E$53),1,0)+IF(H50&gt;=('难度参数'!$E$52+'难度参数'!$E$53+'难度参数'!$E$54),1,0)+IF(H50&gt;=('难度参数'!$E$52+'难度参数'!$E$53+'难度参数'!$E$54+'难度参数'!$E$55),1,0)+IF(H50&gt;=('难度参数'!$E$52+'难度参数'!$E$53+'难度参数'!$E$54+'难度参数'!$E$55+'难度参数'!$E$56),1,0)+IF(H50&gt;=('难度参数'!$E$52+'难度参数'!$E$53+'难度参数'!$E$54+'难度参数'!$E$55+'难度参数'!$E$56+'难度参数'!$E$57),1,0)</x:f>
        <x:v>6</x:v>
      </x:c>
      <x:c r="W50" s="62" t="str">
        <x:f>IF(L50&gt;'难度参数'!$E$51,"仅出怪已超目标","还需实测")</x:f>
        <x:v>还需实测</x:v>
      </x:c>
      <x:c r="X50" s="119" t="n">
        <x:f>IF(1&gt;D50,0,MAX(2,MIN('难度参数'!$E$12,ROUND(('难度参数'!$E$18*POWER(A50,'难度参数'!$E$19)/D50*(0.85+0.3*(1-1)/MAX(1,D50-1))),0)+F50)))</x:f>
        <x:v>15</x:v>
      </x:c>
      <x:c r="Y50" s="119" t="n">
        <x:f>IF(1&gt;D50,0,ROUND(('难度参数'!$E$13*POWER(A50,'难度参数'!$E$20)*MIN('难度参数'!$E$23,1+MAX(0,A50-'难度参数'!$E$21)*'难度参数'!$E$22))*(36+1*7)/(36+7*(D50+1)/2)*E50,0))</x:f>
        <x:v>1098</x:v>
      </x:c>
      <x:c r="Z50" s="119" t="n">
        <x:f>IF(X50=0,0,(X50-IF(1=D50,1,0))*ROUND(Y50*VLOOKUP(INDEX('章节与怪物'!$E$31:$K$37,B50,1),'章节与怪物'!$A$41:$F$44,2,FALSE),0)+IF(1=D50,ROUND(Y50*'难度参数'!$E$28*'章节与怪物'!$E$17,0),0))</x:f>
        <x:v>11865</x:v>
      </x:c>
      <x:c r="AA50" s="119" t="n">
        <x:f>IF(X50=0,0,(X50-IF(1=D50,1,0))*VLOOKUP(INDEX('章节与怪物'!$E$31:$K$37,B50,1),'章节与怪物'!$A$41:$F$44,4,FALSE)+IF(1=D50,'难度参数'!$E$30,0))</x:f>
        <x:v>300</x:v>
      </x:c>
      <x:c r="AB50" s="119" t="n">
        <x:f>IF(2&gt;D50,0,MAX(2,MIN('难度参数'!$E$12,ROUND(('难度参数'!$E$18*POWER(A50,'难度参数'!$E$19)/D50*(0.85+0.3*(2-1)/MAX(1,D50-1))),0)+F50)))</x:f>
        <x:v>16</x:v>
      </x:c>
      <x:c r="AC50" s="119" t="n">
        <x:f>IF(2&gt;D50,0,ROUND(('难度参数'!$E$13*POWER(A50,'难度参数'!$E$20)*MIN('难度参数'!$E$23,1+MAX(0,A50-'难度参数'!$E$21)*'难度参数'!$E$22))*(36+2*7)/(36+7*(D50+1)/2)*E50,0))</x:f>
        <x:v>1277</x:v>
      </x:c>
      <x:c r="AD50" s="119" t="n">
        <x:f>IF(AB50=0,0,(AB50-IF(2=D50,1,0))*ROUND(AC50*VLOOKUP(INDEX('章节与怪物'!$E$31:$K$37,B50,2),'章节与怪物'!$A$41:$F$44,2,FALSE),0)+IF(2=D50,ROUND(AC50*'难度参数'!$E$28*'章节与怪物'!$E$17,0),0))</x:f>
        <x:v>20432</x:v>
      </x:c>
      <x:c r="AE50" s="119" t="n">
        <x:f>IF(AB50=0,0,(AB50-IF(2=D50,1,0))*VLOOKUP(INDEX('章节与怪物'!$E$31:$K$37,B50,2),'章节与怪物'!$A$41:$F$44,4,FALSE)+IF(2=D50,'难度参数'!$E$30,0))</x:f>
        <x:v>288</x:v>
      </x:c>
      <x:c r="AF50" s="119" t="n">
        <x:f>IF(3&gt;D50,0,MAX(2,MIN('难度参数'!$E$12,ROUND(('难度参数'!$E$18*POWER(A50,'难度参数'!$E$19)/D50*(0.85+0.3*(3-1)/MAX(1,D50-1))),0)+F50)))</x:f>
        <x:v>17</x:v>
      </x:c>
      <x:c r="AG50" s="119" t="n">
        <x:f>IF(3&gt;D50,0,ROUND(('难度参数'!$E$13*POWER(A50,'难度参数'!$E$20)*MIN('难度参数'!$E$23,1+MAX(0,A50-'难度参数'!$E$21)*'难度参数'!$E$22))*(36+3*7)/(36+7*(D50+1)/2)*E50,0))</x:f>
        <x:v>1456</x:v>
      </x:c>
      <x:c r="AH50" s="119" t="n">
        <x:f>IF(AF50=0,0,(AF50-IF(3=D50,1,0))*ROUND(AG50*VLOOKUP(INDEX('章节与怪物'!$E$31:$K$37,B50,3),'章节与怪物'!$A$41:$F$44,2,FALSE),0)+IF(3=D50,ROUND(AG50*'难度参数'!$E$28*'章节与怪物'!$E$17,0),0))</x:f>
        <x:v>42075</x:v>
      </x:c>
      <x:c r="AI50" s="119" t="n">
        <x:f>IF(AF50=0,0,(AF50-IF(3=D50,1,0))*VLOOKUP(INDEX('章节与怪物'!$E$31:$K$37,B50,3),'章节与怪物'!$A$41:$F$44,4,FALSE)+IF(3=D50,'难度参数'!$E$30,0))</x:f>
        <x:v>476</x:v>
      </x:c>
      <x:c r="AJ50" s="119" t="n">
        <x:f>IF(4&gt;D50,0,MAX(2,MIN('难度参数'!$E$12,ROUND(('难度参数'!$E$18*POWER(A50,'难度参数'!$E$19)/D50*(0.85+0.3*(4-1)/MAX(1,D50-1))),0)+F50)))</x:f>
        <x:v>18</x:v>
      </x:c>
      <x:c r="AK50" s="119" t="n">
        <x:f>IF(4&gt;D50,0,ROUND(('难度参数'!$E$13*POWER(A50,'难度参数'!$E$20)*MIN('难度参数'!$E$23,1+MAX(0,A50-'难度参数'!$E$21)*'难度参数'!$E$22))*(36+4*7)/(36+7*(D50+1)/2)*E50,0))</x:f>
        <x:v>1635</x:v>
      </x:c>
      <x:c r="AL50" s="119" t="n">
        <x:f>IF(AJ50=0,0,(AJ50-IF(4=D50,1,0))*ROUND(AK50*VLOOKUP(INDEX('章节与怪物'!$E$31:$K$37,B50,4),'章节与怪物'!$A$41:$F$44,2,FALSE),0)+IF(4=D50,ROUND(AK50*'难度参数'!$E$28*'章节与怪物'!$E$17,0),0))</x:f>
        <x:v>39726</x:v>
      </x:c>
      <x:c r="AM50" s="119" t="n">
        <x:f>IF(AJ50=0,0,(AJ50-IF(4=D50,1,0))*VLOOKUP(INDEX('章节与怪物'!$E$31:$K$37,B50,4),'章节与怪物'!$A$41:$F$44,4,FALSE)+IF(4=D50,'难度参数'!$E$30,0))</x:f>
        <x:v>612</x:v>
      </x:c>
      <x:c r="AN50" s="119" t="n">
        <x:f>IF(5&gt;D50,0,MAX(2,MIN('难度参数'!$E$12,ROUND(('难度参数'!$E$18*POWER(A50,'难度参数'!$E$19)/D50*(0.85+0.3*(5-1)/MAX(1,D50-1))),0)+F50)))</x:f>
        <x:v>19</x:v>
      </x:c>
      <x:c r="AO50" s="119" t="n">
        <x:f>IF(5&gt;D50,0,ROUND(('难度参数'!$E$13*POWER(A50,'难度参数'!$E$20)*MIN('难度参数'!$E$23,1+MAX(0,A50-'难度参数'!$E$21)*'难度参数'!$E$22))*(36+5*7)/(36+7*(D50+1)/2)*E50,0))</x:f>
        <x:v>1814</x:v>
      </x:c>
      <x:c r="AP50" s="119" t="n">
        <x:f>IF(AN50=0,0,(AN50-IF(5=D50,1,0))*ROUND(AO50*VLOOKUP(INDEX('章节与怪物'!$E$31:$K$37,B50,5),'章节与怪物'!$A$41:$F$44,2,FALSE),0)+IF(5=D50,ROUND(AO50*'难度参数'!$E$28*'章节与怪物'!$E$17,0),0))</x:f>
        <x:v>34466</x:v>
      </x:c>
      <x:c r="AQ50" s="119" t="n">
        <x:f>IF(AN50=0,0,(AN50-IF(5=D50,1,0))*VLOOKUP(INDEX('章节与怪物'!$E$31:$K$37,B50,5),'章节与怪物'!$A$41:$F$44,4,FALSE)+IF(5=D50,'难度参数'!$E$30,0))</x:f>
        <x:v>342</x:v>
      </x:c>
      <x:c r="AR50" s="119" t="n">
        <x:f>IF(6&gt;D50,0,MAX(2,MIN('难度参数'!$E$12,ROUND(('难度参数'!$E$18*POWER(A50,'难度参数'!$E$19)/D50*(0.85+0.3*(6-1)/MAX(1,D50-1))),0)+F50)))</x:f>
        <x:v>19</x:v>
      </x:c>
      <x:c r="AS50" s="119" t="n">
        <x:f>IF(6&gt;D50,0,ROUND(('难度参数'!$E$13*POWER(A50,'难度参数'!$E$20)*MIN('难度参数'!$E$23,1+MAX(0,A50-'难度参数'!$E$21)*'难度参数'!$E$22))*(36+6*7)/(36+7*(D50+1)/2)*E50,0))</x:f>
        <x:v>1992</x:v>
      </x:c>
      <x:c r="AT50" s="119" t="n">
        <x:f>IF(AR50=0,0,(AR50-IF(6=D50,1,0))*ROUND(AS50*VLOOKUP(INDEX('章节与怪物'!$E$31:$K$37,B50,6),'章节与怪物'!$A$41:$F$44,2,FALSE),0)+IF(6=D50,ROUND(AS50*'难度参数'!$E$28*'章节与怪物'!$E$17,0),0))</x:f>
        <x:v>64334</x:v>
      </x:c>
      <x:c r="AU50" s="119" t="n">
        <x:f>IF(AR50=0,0,(AR50-IF(6=D50,1,0))*VLOOKUP(INDEX('章节与怪物'!$E$31:$K$37,B50,6),'章节与怪物'!$A$41:$F$44,4,FALSE)+IF(6=D50,'难度参数'!$E$30,0))</x:f>
        <x:v>532</x:v>
      </x:c>
      <x:c r="AV50" s="119" t="n">
        <x:f>IF(7&gt;D50,0,MAX(2,MIN('难度参数'!$E$12,ROUND(('难度参数'!$E$18*POWER(A50,'难度参数'!$E$19)/D50*(0.85+0.3*(7-1)/MAX(1,D50-1))),0)+F50)))</x:f>
        <x:v>20</x:v>
      </x:c>
      <x:c r="AW50" s="119" t="n">
        <x:f>IF(7&gt;D50,0,ROUND(('难度参数'!$E$13*POWER(A50,'难度参数'!$E$20)*MIN('难度参数'!$E$23,1+MAX(0,A50-'难度参数'!$E$21)*'难度参数'!$E$22))*(36+7*7)/(36+7*(D50+1)/2)*E50,0))</x:f>
        <x:v>2171</x:v>
      </x:c>
      <x:c r="AX50" s="119" t="n">
        <x:f>IF(AV50=0,0,(AV50-IF(7=D50,1,0))*ROUND(AW50*VLOOKUP(INDEX('章节与怪物'!$E$31:$K$37,B50,7),'章节与怪物'!$A$41:$F$44,2,FALSE),0)+IF(7=D50,ROUND(AW50*'难度参数'!$E$28*'章节与怪物'!$E$17,0),0))</x:f>
        <x:v>70452</x:v>
      </x:c>
      <x:c r="AY50" s="119" t="n">
        <x:f>IF(AV50=0,0,(AV50-IF(7=D50,1,0))*VLOOKUP(INDEX('章节与怪物'!$E$31:$K$37,B50,7),'章节与怪物'!$A$41:$F$44,4,FALSE)+IF(7=D50,'难度参数'!$E$30,0))</x:f>
        <x:v>846</x:v>
      </x:c>
    </x:row>
    <x:row r="51" ht="23" customHeight="1">
      <x:c r="A51" s="119" t="n">
        <x:v>45</x:v>
      </x:c>
      <x:c r="B51" s="119" t="n">
        <x:f>MOD(INT((A51-1)/5),7)+1</x:f>
        <x:v>2</x:v>
      </x:c>
      <x:c r="C51" s="62" t="str">
        <x:f>INDEX('章节与怪物'!$B$31:$B$37,B51)</x:f>
        <x:v>黄沙要塞</x:v>
      </x:c>
      <x:c r="D51" s="119" t="n">
        <x:f>MIN('难度参数'!$E$8,MAX('难度参数'!$E$7,A51))</x:f>
        <x:v>7</x:v>
      </x:c>
      <x:c r="E51" s="106" t="n">
        <x:v>1</x:v>
      </x:c>
      <x:c r="F51" s="106" t="n">
        <x:v>0</x:v>
      </x:c>
      <x:c r="G51" s="106" t="n">
        <x:v>1</x:v>
      </x:c>
      <x:c r="H51" s="119" t="n">
        <x:f>SUM(X51,AB51,AF51,AJ51,AN51,AR51,AV51)</x:f>
        <x:v>126</x:v>
      </x:c>
      <x:c r="I51" s="119" t="n">
        <x:f>SUM(Z51,AD51,AH51,AL51,AP51,AT51,AX51)</x:f>
        <x:v>295275</x:v>
      </x:c>
      <x:c r="J51" s="119" t="n">
        <x:f>ROUND(INDEX(X51:AY51,1,(D51-1)*4+2)*'难度参数'!$E$28*'章节与怪物'!$E$17,0)</x:f>
        <x:v>15048</x:v>
      </x:c>
      <x:c r="K51" s="119" t="n">
        <x:f>SUM(AA51,AE51,AI51,AM51,AQ51,AU51,AY51)</x:f>
        <x:v>3458</x:v>
      </x:c>
      <x:c r="L51" s="62" t="n">
        <x:f>H51*(ROUNDUP('难度参数'!$E$24/('难度参数'!$E$26*'难度参数'!$E$27),0)*'难度参数'!$E$26)/60</x:f>
        <x:v>1.6800000000000002</x:v>
      </x:c>
      <x:c r="M51" s="62" t="n">
        <x:f>L51+D51*('难度参数'!$E$49+'难度参数'!$E$50)/60</x:f>
        <x:v>2.8466666666666667</x:v>
      </x:c>
      <x:c r="N51" s="119" t="n">
        <x:f>ROUNDDOWN(('经济参数'!$E$20+A51*'经济参数'!$E$21)*G51,0)</x:f>
        <x:v>1080</x:v>
      </x:c>
      <x:c r="O51" s="119" t="n">
        <x:f>ROUNDDOWN(MIN('经济参数'!$E$24,'经济参数'!$E$22+A51*'经济参数'!$E$23)*G51,0)</x:f>
        <x:v>0</x:v>
      </x:c>
      <x:c r="P51" s="119" t="n">
        <x:f>ROUNDDOWN((IF(A51&gt;='材料与任务'!$E$31,'材料与任务'!$E$32,IF(A51&gt;='材料与任务'!$E$25,'材料与任务'!$E$26,IF(A51&gt;='材料与任务'!$E$19,'材料与任务'!$E$20,IF(A51&gt;='材料与任务'!$E$13,'材料与任务'!$E$14,'材料与任务'!$E$8)))))*G51,0)</x:f>
        <x:v>4</x:v>
      </x:c>
      <x:c r="Q51" s="119" t="n">
        <x:f>ROUNDDOWN((IF(A51&gt;='材料与任务'!$E$31,'材料与任务'!$E$33,IF(A51&gt;='材料与任务'!$E$25,'材料与任务'!$E$27,IF(A51&gt;='材料与任务'!$E$19,'材料与任务'!$E$21,IF(A51&gt;='材料与任务'!$E$13,'材料与任务'!$E$15,'材料与任务'!$E$9)))))*G51,0)</x:f>
        <x:v>2</x:v>
      </x:c>
      <x:c r="R51" s="110" t="n">
        <x:f>'装备掉落'!$B$38</x:f>
        <x:v>0.6872058758851213</x:v>
      </x:c>
      <x:c r="S51" s="119" t="n">
        <x:f>MAX(IF(VLOOKUP(A51,'装备掉落'!$A$29:$H$34,2,TRUE)&gt;0,1,0),IF(VLOOKUP(A51,'装备掉落'!$A$29:$H$34,3,TRUE)&gt;0,2,0),IF(VLOOKUP(A51,'装备掉落'!$A$29:$H$34,4,TRUE)&gt;0,3,0),IF(VLOOKUP(A51,'装备掉落'!$A$29:$H$34,5,TRUE)&gt;0,4,0),IF(VLOOKUP(A51,'装备掉落'!$A$29:$H$34,6,TRUE)&gt;0,5,0),IF(VLOOKUP(A51,'装备掉落'!$A$29:$H$34,7,TRUE)&gt;0,6,0),IF(VLOOKUP(A51,'装备掉落'!$A$29:$H$34,8,TRUE)&gt;0,7,0))</x:f>
        <x:v>5</x:v>
      </x:c>
      <x:c r="T51" s="119" t="n">
        <x:f>MIN(7,S51+'经济参数'!$E$70)</x:f>
        <x:v>5</x:v>
      </x:c>
      <x:c r="U51" s="119" t="n">
        <x:f>MIN(7,S51+'经济参数'!$E$71)</x:f>
        <x:v>6</x:v>
      </x:c>
      <x:c r="V51" s="119" t="n">
        <x:f>IF(H51&gt;=('难度参数'!$E$52),1,0)+IF(H51&gt;=('难度参数'!$E$52+'难度参数'!$E$53),1,0)+IF(H51&gt;=('难度参数'!$E$52+'难度参数'!$E$53+'难度参数'!$E$54),1,0)+IF(H51&gt;=('难度参数'!$E$52+'难度参数'!$E$53+'难度参数'!$E$54+'难度参数'!$E$55),1,0)+IF(H51&gt;=('难度参数'!$E$52+'难度参数'!$E$53+'难度参数'!$E$54+'难度参数'!$E$55+'难度参数'!$E$56),1,0)+IF(H51&gt;=('难度参数'!$E$52+'难度参数'!$E$53+'难度参数'!$E$54+'难度参数'!$E$55+'难度参数'!$E$56+'难度参数'!$E$57),1,0)</x:f>
        <x:v>6</x:v>
      </x:c>
      <x:c r="W51" s="62" t="str">
        <x:f>IF(L51&gt;'难度参数'!$E$51,"仅出怪已超目标","还需实测")</x:f>
        <x:v>还需实测</x:v>
      </x:c>
      <x:c r="X51" s="119" t="n">
        <x:f>IF(1&gt;D51,0,MAX(2,MIN('难度参数'!$E$12,ROUND(('难度参数'!$E$18*POWER(A51,'难度参数'!$E$19)/D51*(0.85+0.3*(1-1)/MAX(1,D51-1))),0)+F51)))</x:f>
        <x:v>15</x:v>
      </x:c>
      <x:c r="Y51" s="119" t="n">
        <x:f>IF(1&gt;D51,0,ROUND(('难度参数'!$E$13*POWER(A51,'难度参数'!$E$20)*MIN('难度参数'!$E$23,1+MAX(0,A51-'难度参数'!$E$21)*'难度参数'!$E$22))*(36+1*7)/(36+7*(D51+1)/2)*E51,0))</x:f>
        <x:v>1119</x:v>
      </x:c>
      <x:c r="Z51" s="119" t="n">
        <x:f>IF(X51=0,0,(X51-IF(1=D51,1,0))*ROUND(Y51*VLOOKUP(INDEX('章节与怪物'!$E$31:$K$37,B51,1),'章节与怪物'!$A$41:$F$44,2,FALSE),0)+IF(1=D51,ROUND(Y51*'难度参数'!$E$28*'章节与怪物'!$E$17,0),0))</x:f>
        <x:v>12090</x:v>
      </x:c>
      <x:c r="AA51" s="119" t="n">
        <x:f>IF(X51=0,0,(X51-IF(1=D51,1,0))*VLOOKUP(INDEX('章节与怪物'!$E$31:$K$37,B51,1),'章节与怪物'!$A$41:$F$44,4,FALSE)+IF(1=D51,'难度参数'!$E$30,0))</x:f>
        <x:v>300</x:v>
      </x:c>
      <x:c r="AB51" s="119" t="n">
        <x:f>IF(2&gt;D51,0,MAX(2,MIN('难度参数'!$E$12,ROUND(('难度参数'!$E$18*POWER(A51,'难度参数'!$E$19)/D51*(0.85+0.3*(2-1)/MAX(1,D51-1))),0)+F51)))</x:f>
        <x:v>16</x:v>
      </x:c>
      <x:c r="AC51" s="119" t="n">
        <x:f>IF(2&gt;D51,0,ROUND(('难度参数'!$E$13*POWER(A51,'难度参数'!$E$20)*MIN('难度参数'!$E$23,1+MAX(0,A51-'难度参数'!$E$21)*'难度参数'!$E$22))*(36+2*7)/(36+7*(D51+1)/2)*E51,0))</x:f>
        <x:v>1302</x:v>
      </x:c>
      <x:c r="AD51" s="119" t="n">
        <x:f>IF(AB51=0,0,(AB51-IF(2=D51,1,0))*ROUND(AC51*VLOOKUP(INDEX('章节与怪物'!$E$31:$K$37,B51,2),'章节与怪物'!$A$41:$F$44,2,FALSE),0)+IF(2=D51,ROUND(AC51*'难度参数'!$E$28*'章节与怪物'!$E$17,0),0))</x:f>
        <x:v>20832</x:v>
      </x:c>
      <x:c r="AE51" s="119" t="n">
        <x:f>IF(AB51=0,0,(AB51-IF(2=D51,1,0))*VLOOKUP(INDEX('章节与怪物'!$E$31:$K$37,B51,2),'章节与怪物'!$A$41:$F$44,4,FALSE)+IF(2=D51,'难度参数'!$E$30,0))</x:f>
        <x:v>288</x:v>
      </x:c>
      <x:c r="AF51" s="119" t="n">
        <x:f>IF(3&gt;D51,0,MAX(2,MIN('难度参数'!$E$12,ROUND(('难度参数'!$E$18*POWER(A51,'难度参数'!$E$19)/D51*(0.85+0.3*(3-1)/MAX(1,D51-1))),0)+F51)))</x:f>
        <x:v>17</x:v>
      </x:c>
      <x:c r="AG51" s="119" t="n">
        <x:f>IF(3&gt;D51,0,ROUND(('难度参数'!$E$13*POWER(A51,'难度参数'!$E$20)*MIN('难度参数'!$E$23,1+MAX(0,A51-'难度参数'!$E$21)*'难度参数'!$E$22))*(36+3*7)/(36+7*(D51+1)/2)*E51,0))</x:f>
        <x:v>1484</x:v>
      </x:c>
      <x:c r="AH51" s="119" t="n">
        <x:f>IF(AF51=0,0,(AF51-IF(3=D51,1,0))*ROUND(AG51*VLOOKUP(INDEX('章节与怪物'!$E$31:$K$37,B51,3),'章节与怪物'!$A$41:$F$44,2,FALSE),0)+IF(3=D51,ROUND(AG51*'难度参数'!$E$28*'章节与怪物'!$E$17,0),0))</x:f>
        <x:v>42891</x:v>
      </x:c>
      <x:c r="AI51" s="119" t="n">
        <x:f>IF(AF51=0,0,(AF51-IF(3=D51,1,0))*VLOOKUP(INDEX('章节与怪物'!$E$31:$K$37,B51,3),'章节与怪物'!$A$41:$F$44,4,FALSE)+IF(3=D51,'难度参数'!$E$30,0))</x:f>
        <x:v>476</x:v>
      </x:c>
      <x:c r="AJ51" s="119" t="n">
        <x:f>IF(4&gt;D51,0,MAX(2,MIN('难度参数'!$E$12,ROUND(('难度参数'!$E$18*POWER(A51,'难度参数'!$E$19)/D51*(0.85+0.3*(4-1)/MAX(1,D51-1))),0)+F51)))</x:f>
        <x:v>18</x:v>
      </x:c>
      <x:c r="AK51" s="119" t="n">
        <x:f>IF(4&gt;D51,0,ROUND(('难度参数'!$E$13*POWER(A51,'难度参数'!$E$20)*MIN('难度参数'!$E$23,1+MAX(0,A51-'难度参数'!$E$21)*'难度参数'!$E$22))*(36+4*7)/(36+7*(D51+1)/2)*E51,0))</x:f>
        <x:v>1666</x:v>
      </x:c>
      <x:c r="AL51" s="119" t="n">
        <x:f>IF(AJ51=0,0,(AJ51-IF(4=D51,1,0))*ROUND(AK51*VLOOKUP(INDEX('章节与怪物'!$E$31:$K$37,B51,4),'章节与怪物'!$A$41:$F$44,2,FALSE),0)+IF(4=D51,ROUND(AK51*'难度参数'!$E$28*'章节与怪物'!$E$17,0),0))</x:f>
        <x:v>40482</x:v>
      </x:c>
      <x:c r="AM51" s="119" t="n">
        <x:f>IF(AJ51=0,0,(AJ51-IF(4=D51,1,0))*VLOOKUP(INDEX('章节与怪物'!$E$31:$K$37,B51,4),'章节与怪物'!$A$41:$F$44,4,FALSE)+IF(4=D51,'难度参数'!$E$30,0))</x:f>
        <x:v>612</x:v>
      </x:c>
      <x:c r="AN51" s="119" t="n">
        <x:f>IF(5&gt;D51,0,MAX(2,MIN('难度参数'!$E$12,ROUND(('难度参数'!$E$18*POWER(A51,'难度参数'!$E$19)/D51*(0.85+0.3*(5-1)/MAX(1,D51-1))),0)+F51)))</x:f>
        <x:v>19</x:v>
      </x:c>
      <x:c r="AO51" s="119" t="n">
        <x:f>IF(5&gt;D51,0,ROUND(('难度参数'!$E$13*POWER(A51,'难度参数'!$E$20)*MIN('难度参数'!$E$23,1+MAX(0,A51-'难度参数'!$E$21)*'难度参数'!$E$22))*(36+5*7)/(36+7*(D51+1)/2)*E51,0))</x:f>
        <x:v>1848</x:v>
      </x:c>
      <x:c r="AP51" s="119" t="n">
        <x:f>IF(AN51=0,0,(AN51-IF(5=D51,1,0))*ROUND(AO51*VLOOKUP(INDEX('章节与怪物'!$E$31:$K$37,B51,5),'章节与怪物'!$A$41:$F$44,2,FALSE),0)+IF(5=D51,ROUND(AO51*'难度参数'!$E$28*'章节与怪物'!$E$17,0),0))</x:f>
        <x:v>35112</x:v>
      </x:c>
      <x:c r="AQ51" s="119" t="n">
        <x:f>IF(AN51=0,0,(AN51-IF(5=D51,1,0))*VLOOKUP(INDEX('章节与怪物'!$E$31:$K$37,B51,5),'章节与怪物'!$A$41:$F$44,4,FALSE)+IF(5=D51,'难度参数'!$E$30,0))</x:f>
        <x:v>342</x:v>
      </x:c>
      <x:c r="AR51" s="119" t="n">
        <x:f>IF(6&gt;D51,0,MAX(2,MIN('难度参数'!$E$12,ROUND(('难度参数'!$E$18*POWER(A51,'难度参数'!$E$19)/D51*(0.85+0.3*(6-1)/MAX(1,D51-1))),0)+F51)))</x:f>
        <x:v>20</x:v>
      </x:c>
      <x:c r="AS51" s="119" t="n">
        <x:f>IF(6&gt;D51,0,ROUND(('难度参数'!$E$13*POWER(A51,'难度参数'!$E$20)*MIN('难度参数'!$E$23,1+MAX(0,A51-'难度参数'!$E$21)*'难度参数'!$E$22))*(36+6*7)/(36+7*(D51+1)/2)*E51,0))</x:f>
        <x:v>2031</x:v>
      </x:c>
      <x:c r="AT51" s="119" t="n">
        <x:f>IF(AR51=0,0,(AR51-IF(6=D51,1,0))*ROUND(AS51*VLOOKUP(INDEX('章节与怪物'!$E$31:$K$37,B51,6),'章节与怪物'!$A$41:$F$44,2,FALSE),0)+IF(6=D51,ROUND(AS51*'难度参数'!$E$28*'章节与怪物'!$E$17,0),0))</x:f>
        <x:v>69060</x:v>
      </x:c>
      <x:c r="AU51" s="119" t="n">
        <x:f>IF(AR51=0,0,(AR51-IF(6=D51,1,0))*VLOOKUP(INDEX('章节与怪物'!$E$31:$K$37,B51,6),'章节与怪物'!$A$41:$F$44,4,FALSE)+IF(6=D51,'难度参数'!$E$30,0))</x:f>
        <x:v>560</x:v>
      </x:c>
      <x:c r="AV51" s="119" t="n">
        <x:f>IF(7&gt;D51,0,MAX(2,MIN('难度参数'!$E$12,ROUND(('难度参数'!$E$18*POWER(A51,'难度参数'!$E$19)/D51*(0.85+0.3*(7-1)/MAX(1,D51-1))),0)+F51)))</x:f>
        <x:v>21</x:v>
      </x:c>
      <x:c r="AW51" s="119" t="n">
        <x:f>IF(7&gt;D51,0,ROUND(('难度参数'!$E$13*POWER(A51,'难度参数'!$E$20)*MIN('难度参数'!$E$23,1+MAX(0,A51-'难度参数'!$E$21)*'难度参数'!$E$22))*(36+7*7)/(36+7*(D51+1)/2)*E51,0))</x:f>
        <x:v>2213</x:v>
      </x:c>
      <x:c r="AX51" s="119" t="n">
        <x:f>IF(AV51=0,0,(AV51-IF(7=D51,1,0))*ROUND(AW51*VLOOKUP(INDEX('章节与怪物'!$E$31:$K$37,B51,7),'章节与怪物'!$A$41:$F$44,2,FALSE),0)+IF(7=D51,ROUND(AW51*'难度参数'!$E$28*'章节与怪物'!$E$17,0),0))</x:f>
        <x:v>74808</x:v>
      </x:c>
      <x:c r="AY51" s="119" t="n">
        <x:f>IF(AV51=0,0,(AV51-IF(7=D51,1,0))*VLOOKUP(INDEX('章节与怪物'!$E$31:$K$37,B51,7),'章节与怪物'!$A$41:$F$44,4,FALSE)+IF(7=D51,'难度参数'!$E$30,0))</x:f>
        <x:v>880</x:v>
      </x:c>
    </x:row>
    <x:row r="52" ht="23" customHeight="1">
      <x:c r="A52" s="119" t="n">
        <x:v>46</x:v>
      </x:c>
      <x:c r="B52" s="119" t="n">
        <x:f>MOD(INT((A52-1)/5),7)+1</x:f>
        <x:v>3</x:v>
      </x:c>
      <x:c r="C52" s="62" t="str">
        <x:f>INDEX('章节与怪物'!$B$31:$B$37,B52)</x:f>
        <x:v>腐沼秘林</x:v>
      </x:c>
      <x:c r="D52" s="119" t="n">
        <x:f>MIN('难度参数'!$E$8,MAX('难度参数'!$E$7,A52))</x:f>
        <x:v>7</x:v>
      </x:c>
      <x:c r="E52" s="106" t="n">
        <x:v>1</x:v>
      </x:c>
      <x:c r="F52" s="106" t="n">
        <x:v>0</x:v>
      </x:c>
      <x:c r="G52" s="106" t="n">
        <x:v>1</x:v>
      </x:c>
      <x:c r="H52" s="119" t="n">
        <x:f>SUM(X52,AB52,AF52,AJ52,AN52,AR52,AV52)</x:f>
        <x:v>126</x:v>
      </x:c>
      <x:c r="I52" s="119" t="n">
        <x:f>SUM(Z52,AD52,AH52,AL52,AP52,AT52,AX52)</x:f>
        <x:v>289599</x:v>
      </x:c>
      <x:c r="J52" s="119" t="n">
        <x:f>ROUND(INDEX(X52:AY52,1,(D52-1)*4+2)*'难度参数'!$E$28*'章节与怪物'!$E$17,0)</x:f>
        <x:v>15327</x:v>
      </x:c>
      <x:c r="K52" s="119" t="n">
        <x:f>SUM(AA52,AE52,AI52,AM52,AQ52,AU52,AY52)</x:f>
        <x:v>3498</x:v>
      </x:c>
      <x:c r="L52" s="62" t="n">
        <x:f>H52*(ROUNDUP('难度参数'!$E$24/('难度参数'!$E$26*'难度参数'!$E$27),0)*'难度参数'!$E$26)/60</x:f>
        <x:v>1.6800000000000002</x:v>
      </x:c>
      <x:c r="M52" s="62" t="n">
        <x:f>L52+D52*('难度参数'!$E$49+'难度参数'!$E$50)/60</x:f>
        <x:v>2.8466666666666667</x:v>
      </x:c>
      <x:c r="N52" s="119" t="n">
        <x:f>ROUNDDOWN(('经济参数'!$E$20+A52*'经济参数'!$E$21)*G52,0)</x:f>
        <x:v>1100</x:v>
      </x:c>
      <x:c r="O52" s="119" t="n">
        <x:f>ROUNDDOWN(MIN('经济参数'!$E$24,'经济参数'!$E$22+A52*'经济参数'!$E$23)*G52,0)</x:f>
        <x:v>0</x:v>
      </x:c>
      <x:c r="P52" s="119" t="n">
        <x:f>ROUNDDOWN((IF(A52&gt;='材料与任务'!$E$31,'材料与任务'!$E$32,IF(A52&gt;='材料与任务'!$E$25,'材料与任务'!$E$26,IF(A52&gt;='材料与任务'!$E$19,'材料与任务'!$E$20,IF(A52&gt;='材料与任务'!$E$13,'材料与任务'!$E$14,'材料与任务'!$E$8)))))*G52,0)</x:f>
        <x:v>4</x:v>
      </x:c>
      <x:c r="Q52" s="119" t="n">
        <x:f>ROUNDDOWN((IF(A52&gt;='材料与任务'!$E$31,'材料与任务'!$E$33,IF(A52&gt;='材料与任务'!$E$25,'材料与任务'!$E$27,IF(A52&gt;='材料与任务'!$E$19,'材料与任务'!$E$21,IF(A52&gt;='材料与任务'!$E$13,'材料与任务'!$E$15,'材料与任务'!$E$9)))))*G52,0)</x:f>
        <x:v>2</x:v>
      </x:c>
      <x:c r="R52" s="110" t="n">
        <x:f>'装备掉落'!$B$38</x:f>
        <x:v>0.6872058758851213</x:v>
      </x:c>
      <x:c r="S52" s="119" t="n">
        <x:f>MAX(IF(VLOOKUP(A52,'装备掉落'!$A$29:$H$34,2,TRUE)&gt;0,1,0),IF(VLOOKUP(A52,'装备掉落'!$A$29:$H$34,3,TRUE)&gt;0,2,0),IF(VLOOKUP(A52,'装备掉落'!$A$29:$H$34,4,TRUE)&gt;0,3,0),IF(VLOOKUP(A52,'装备掉落'!$A$29:$H$34,5,TRUE)&gt;0,4,0),IF(VLOOKUP(A52,'装备掉落'!$A$29:$H$34,6,TRUE)&gt;0,5,0),IF(VLOOKUP(A52,'装备掉落'!$A$29:$H$34,7,TRUE)&gt;0,6,0),IF(VLOOKUP(A52,'装备掉落'!$A$29:$H$34,8,TRUE)&gt;0,7,0))</x:f>
        <x:v>5</x:v>
      </x:c>
      <x:c r="T52" s="119" t="n">
        <x:f>MIN(7,S52+'经济参数'!$E$70)</x:f>
        <x:v>5</x:v>
      </x:c>
      <x:c r="U52" s="119" t="n">
        <x:f>MIN(7,S52+'经济参数'!$E$71)</x:f>
        <x:v>6</x:v>
      </x:c>
      <x:c r="V52" s="119" t="n">
        <x:f>IF(H52&gt;=('难度参数'!$E$52),1,0)+IF(H52&gt;=('难度参数'!$E$52+'难度参数'!$E$53),1,0)+IF(H52&gt;=('难度参数'!$E$52+'难度参数'!$E$53+'难度参数'!$E$54),1,0)+IF(H52&gt;=('难度参数'!$E$52+'难度参数'!$E$53+'难度参数'!$E$54+'难度参数'!$E$55),1,0)+IF(H52&gt;=('难度参数'!$E$52+'难度参数'!$E$53+'难度参数'!$E$54+'难度参数'!$E$55+'难度参数'!$E$56),1,0)+IF(H52&gt;=('难度参数'!$E$52+'难度参数'!$E$53+'难度参数'!$E$54+'难度参数'!$E$55+'难度参数'!$E$56+'难度参数'!$E$57),1,0)</x:f>
        <x:v>6</x:v>
      </x:c>
      <x:c r="W52" s="62" t="str">
        <x:f>IF(L52&gt;'难度参数'!$E$51,"仅出怪已超目标","还需实测")</x:f>
        <x:v>还需实测</x:v>
      </x:c>
      <x:c r="X52" s="119" t="n">
        <x:f>IF(1&gt;D52,0,MAX(2,MIN('难度参数'!$E$12,ROUND(('难度参数'!$E$18*POWER(A52,'难度参数'!$E$19)/D52*(0.85+0.3*(1-1)/MAX(1,D52-1))),0)+F52)))</x:f>
        <x:v>15</x:v>
      </x:c>
      <x:c r="Y52" s="119" t="n">
        <x:f>IF(1&gt;D52,0,ROUND(('难度参数'!$E$13*POWER(A52,'难度参数'!$E$20)*MIN('难度参数'!$E$23,1+MAX(0,A52-'难度参数'!$E$21)*'难度参数'!$E$22))*(36+1*7)/(36+7*(D52+1)/2)*E52,0))</x:f>
        <x:v>1140</x:v>
      </x:c>
      <x:c r="Z52" s="119" t="n">
        <x:f>IF(X52=0,0,(X52-IF(1=D52,1,0))*ROUND(Y52*VLOOKUP(INDEX('章节与怪物'!$E$31:$K$37,B52,1),'章节与怪物'!$A$41:$F$44,2,FALSE),0)+IF(1=D52,ROUND(Y52*'难度参数'!$E$28*'章节与怪物'!$E$17,0),0))</x:f>
        <x:v>17100</x:v>
      </x:c>
      <x:c r="AA52" s="119" t="n">
        <x:f>IF(X52=0,0,(X52-IF(1=D52,1,0))*VLOOKUP(INDEX('章节与怪物'!$E$31:$K$37,B52,1),'章节与怪物'!$A$41:$F$44,4,FALSE)+IF(1=D52,'难度参数'!$E$30,0))</x:f>
        <x:v>270</x:v>
      </x:c>
      <x:c r="AB52" s="119" t="n">
        <x:f>IF(2&gt;D52,0,MAX(2,MIN('难度参数'!$E$12,ROUND(('难度参数'!$E$18*POWER(A52,'难度参数'!$E$19)/D52*(0.85+0.3*(2-1)/MAX(1,D52-1))),0)+F52)))</x:f>
        <x:v>16</x:v>
      </x:c>
      <x:c r="AC52" s="119" t="n">
        <x:f>IF(2&gt;D52,0,ROUND(('难度参数'!$E$13*POWER(A52,'难度参数'!$E$20)*MIN('难度参数'!$E$23,1+MAX(0,A52-'难度参数'!$E$21)*'难度参数'!$E$22))*(36+2*7)/(36+7*(D52+1)/2)*E52,0))</x:f>
        <x:v>1326</x:v>
      </x:c>
      <x:c r="AD52" s="119" t="n">
        <x:f>IF(AB52=0,0,(AB52-IF(2=D52,1,0))*ROUND(AC52*VLOOKUP(INDEX('章节与怪物'!$E$31:$K$37,B52,2),'章节与怪物'!$A$41:$F$44,2,FALSE),0)+IF(2=D52,ROUND(AC52*'难度参数'!$E$28*'章节与怪物'!$E$17,0),0))</x:f>
        <x:v>15280</x:v>
      </x:c>
      <x:c r="AE52" s="119" t="n">
        <x:f>IF(AB52=0,0,(AB52-IF(2=D52,1,0))*VLOOKUP(INDEX('章节与怪物'!$E$31:$K$37,B52,2),'章节与怪物'!$A$41:$F$44,4,FALSE)+IF(2=D52,'难度参数'!$E$30,0))</x:f>
        <x:v>320</x:v>
      </x:c>
      <x:c r="AF52" s="119" t="n">
        <x:f>IF(3&gt;D52,0,MAX(2,MIN('难度参数'!$E$12,ROUND(('难度参数'!$E$18*POWER(A52,'难度参数'!$E$19)/D52*(0.85+0.3*(3-1)/MAX(1,D52-1))),0)+F52)))</x:f>
        <x:v>17</x:v>
      </x:c>
      <x:c r="AG52" s="119" t="n">
        <x:f>IF(3&gt;D52,0,ROUND(('难度参数'!$E$13*POWER(A52,'难度参数'!$E$20)*MIN('难度参数'!$E$23,1+MAX(0,A52-'难度参数'!$E$21)*'难度参数'!$E$22))*(36+3*7)/(36+7*(D52+1)/2)*E52,0))</x:f>
        <x:v>1512</x:v>
      </x:c>
      <x:c r="AH52" s="119" t="n">
        <x:f>IF(AF52=0,0,(AF52-IF(3=D52,1,0))*ROUND(AG52*VLOOKUP(INDEX('章节与怪物'!$E$31:$K$37,B52,3),'章节与怪物'!$A$41:$F$44,2,FALSE),0)+IF(3=D52,ROUND(AG52*'难度参数'!$E$28*'章节与怪物'!$E$17,0),0))</x:f>
        <x:v>43690</x:v>
      </x:c>
      <x:c r="AI52" s="119" t="n">
        <x:f>IF(AF52=0,0,(AF52-IF(3=D52,1,0))*VLOOKUP(INDEX('章节与怪物'!$E$31:$K$37,B52,3),'章节与怪物'!$A$41:$F$44,4,FALSE)+IF(3=D52,'难度参数'!$E$30,0))</x:f>
        <x:v>476</x:v>
      </x:c>
      <x:c r="AJ52" s="119" t="n">
        <x:f>IF(4&gt;D52,0,MAX(2,MIN('难度参数'!$E$12,ROUND(('难度参数'!$E$18*POWER(A52,'难度参数'!$E$19)/D52*(0.85+0.3*(4-1)/MAX(1,D52-1))),0)+F52)))</x:f>
        <x:v>18</x:v>
      </x:c>
      <x:c r="AK52" s="119" t="n">
        <x:f>IF(4&gt;D52,0,ROUND(('难度参数'!$E$13*POWER(A52,'难度参数'!$E$20)*MIN('难度参数'!$E$23,1+MAX(0,A52-'难度参数'!$E$21)*'难度参数'!$E$22))*(36+4*7)/(36+7*(D52+1)/2)*E52,0))</x:f>
        <x:v>1697</x:v>
      </x:c>
      <x:c r="AL52" s="119" t="n">
        <x:f>IF(AJ52=0,0,(AJ52-IF(4=D52,1,0))*ROUND(AK52*VLOOKUP(INDEX('章节与怪物'!$E$31:$K$37,B52,4),'章节与怪物'!$A$41:$F$44,2,FALSE),0)+IF(4=D52,ROUND(AK52*'难度参数'!$E$28*'章节与怪物'!$E$17,0),0))</x:f>
        <x:v>41238</x:v>
      </x:c>
      <x:c r="AM52" s="119" t="n">
        <x:f>IF(AJ52=0,0,(AJ52-IF(4=D52,1,0))*VLOOKUP(INDEX('章节与怪物'!$E$31:$K$37,B52,4),'章节与怪物'!$A$41:$F$44,4,FALSE)+IF(4=D52,'难度参数'!$E$30,0))</x:f>
        <x:v>612</x:v>
      </x:c>
      <x:c r="AN52" s="119" t="n">
        <x:f>IF(5&gt;D52,0,MAX(2,MIN('难度参数'!$E$12,ROUND(('难度参数'!$E$18*POWER(A52,'难度参数'!$E$19)/D52*(0.85+0.3*(5-1)/MAX(1,D52-1))),0)+F52)))</x:f>
        <x:v>19</x:v>
      </x:c>
      <x:c r="AO52" s="119" t="n">
        <x:f>IF(5&gt;D52,0,ROUND(('难度参数'!$E$13*POWER(A52,'难度参数'!$E$20)*MIN('难度参数'!$E$23,1+MAX(0,A52-'难度参数'!$E$21)*'难度参数'!$E$22))*(36+5*7)/(36+7*(D52+1)/2)*E52,0))</x:f>
        <x:v>1883</x:v>
      </x:c>
      <x:c r="AP52" s="119" t="n">
        <x:f>IF(AN52=0,0,(AN52-IF(5=D52,1,0))*ROUND(AO52*VLOOKUP(INDEX('章节与怪物'!$E$31:$K$37,B52,5),'章节与怪物'!$A$41:$F$44,2,FALSE),0)+IF(5=D52,ROUND(AO52*'难度参数'!$E$28*'章节与怪物'!$E$17,0),0))</x:f>
        <x:v>25764</x:v>
      </x:c>
      <x:c r="AQ52" s="119" t="n">
        <x:f>IF(AN52=0,0,(AN52-IF(5=D52,1,0))*VLOOKUP(INDEX('章节与怪物'!$E$31:$K$37,B52,5),'章节与怪物'!$A$41:$F$44,4,FALSE)+IF(5=D52,'难度参数'!$E$30,0))</x:f>
        <x:v>380</x:v>
      </x:c>
      <x:c r="AR52" s="119" t="n">
        <x:f>IF(6&gt;D52,0,MAX(2,MIN('难度参数'!$E$12,ROUND(('难度参数'!$E$18*POWER(A52,'难度参数'!$E$19)/D52*(0.85+0.3*(6-1)/MAX(1,D52-1))),0)+F52)))</x:f>
        <x:v>20</x:v>
      </x:c>
      <x:c r="AS52" s="119" t="n">
        <x:f>IF(6&gt;D52,0,ROUND(('难度参数'!$E$13*POWER(A52,'难度参数'!$E$20)*MIN('难度参数'!$E$23,1+MAX(0,A52-'难度参数'!$E$21)*'难度参数'!$E$22))*(36+6*7)/(36+7*(D52+1)/2)*E52,0))</x:f>
        <x:v>2069</x:v>
      </x:c>
      <x:c r="AT52" s="119" t="n">
        <x:f>IF(AR52=0,0,(AR52-IF(6=D52,1,0))*ROUND(AS52*VLOOKUP(INDEX('章节与怪物'!$E$31:$K$37,B52,6),'章节与怪物'!$A$41:$F$44,2,FALSE),0)+IF(6=D52,ROUND(AS52*'难度参数'!$E$28*'章节与怪物'!$E$17,0),0))</x:f>
        <x:v>70340</x:v>
      </x:c>
      <x:c r="AU52" s="119" t="n">
        <x:f>IF(AR52=0,0,(AR52-IF(6=D52,1,0))*VLOOKUP(INDEX('章节与怪物'!$E$31:$K$37,B52,6),'章节与怪物'!$A$41:$F$44,4,FALSE)+IF(6=D52,'难度参数'!$E$30,0))</x:f>
        <x:v>560</x:v>
      </x:c>
      <x:c r="AV52" s="119" t="n">
        <x:f>IF(7&gt;D52,0,MAX(2,MIN('难度参数'!$E$12,ROUND(('难度参数'!$E$18*POWER(A52,'难度参数'!$E$19)/D52*(0.85+0.3*(7-1)/MAX(1,D52-1))),0)+F52)))</x:f>
        <x:v>21</x:v>
      </x:c>
      <x:c r="AW52" s="119" t="n">
        <x:f>IF(7&gt;D52,0,ROUND(('难度参数'!$E$13*POWER(A52,'难度参数'!$E$20)*MIN('难度参数'!$E$23,1+MAX(0,A52-'难度参数'!$E$21)*'难度参数'!$E$22))*(36+7*7)/(36+7*(D52+1)/2)*E52,0))</x:f>
        <x:v>2254</x:v>
      </x:c>
      <x:c r="AX52" s="119" t="n">
        <x:f>IF(AV52=0,0,(AV52-IF(7=D52,1,0))*ROUND(AW52*VLOOKUP(INDEX('章节与怪物'!$E$31:$K$37,B52,7),'章节与怪物'!$A$41:$F$44,2,FALSE),0)+IF(7=D52,ROUND(AW52*'难度参数'!$E$28*'章节与怪物'!$E$17,0),0))</x:f>
        <x:v>76187</x:v>
      </x:c>
      <x:c r="AY52" s="119" t="n">
        <x:f>IF(AV52=0,0,(AV52-IF(7=D52,1,0))*VLOOKUP(INDEX('章节与怪物'!$E$31:$K$37,B52,7),'章节与怪物'!$A$41:$F$44,4,FALSE)+IF(7=D52,'难度参数'!$E$30,0))</x:f>
        <x:v>880</x:v>
      </x:c>
    </x:row>
    <x:row r="53" ht="23" customHeight="1">
      <x:c r="A53" s="119" t="n">
        <x:v>47</x:v>
      </x:c>
      <x:c r="B53" s="119" t="n">
        <x:f>MOD(INT((A53-1)/5),7)+1</x:f>
        <x:v>3</x:v>
      </x:c>
      <x:c r="C53" s="62" t="str">
        <x:f>INDEX('章节与怪物'!$B$31:$B$37,B53)</x:f>
        <x:v>腐沼秘林</x:v>
      </x:c>
      <x:c r="D53" s="119" t="n">
        <x:f>MIN('难度参数'!$E$8,MAX('难度参数'!$E$7,A53))</x:f>
        <x:v>7</x:v>
      </x:c>
      <x:c r="E53" s="106" t="n">
        <x:v>1</x:v>
      </x:c>
      <x:c r="F53" s="106" t="n">
        <x:v>0</x:v>
      </x:c>
      <x:c r="G53" s="106" t="n">
        <x:v>1</x:v>
      </x:c>
      <x:c r="H53" s="119" t="n">
        <x:f>SUM(X53,AB53,AF53,AJ53,AN53,AR53,AV53)</x:f>
        <x:v>126</x:v>
      </x:c>
      <x:c r="I53" s="119" t="n">
        <x:f>SUM(Z53,AD53,AH53,AL53,AP53,AT53,AX53)</x:f>
        <x:v>295008</x:v>
      </x:c>
      <x:c r="J53" s="119" t="n">
        <x:f>ROUND(INDEX(X53:AY53,1,(D53-1)*4+2)*'难度参数'!$E$28*'章节与怪物'!$E$17,0)</x:f>
        <x:v>15613</x:v>
      </x:c>
      <x:c r="K53" s="119" t="n">
        <x:f>SUM(AA53,AE53,AI53,AM53,AQ53,AU53,AY53)</x:f>
        <x:v>3498</x:v>
      </x:c>
      <x:c r="L53" s="62" t="n">
        <x:f>H53*(ROUNDUP('难度参数'!$E$24/('难度参数'!$E$26*'难度参数'!$E$27),0)*'难度参数'!$E$26)/60</x:f>
        <x:v>1.6800000000000002</x:v>
      </x:c>
      <x:c r="M53" s="62" t="n">
        <x:f>L53+D53*('难度参数'!$E$49+'难度参数'!$E$50)/60</x:f>
        <x:v>2.8466666666666667</x:v>
      </x:c>
      <x:c r="N53" s="119" t="n">
        <x:f>ROUNDDOWN(('经济参数'!$E$20+A53*'经济参数'!$E$21)*G53,0)</x:f>
        <x:v>1120</x:v>
      </x:c>
      <x:c r="O53" s="119" t="n">
        <x:f>ROUNDDOWN(MIN('经济参数'!$E$24,'经济参数'!$E$22+A53*'经济参数'!$E$23)*G53,0)</x:f>
        <x:v>0</x:v>
      </x:c>
      <x:c r="P53" s="119" t="n">
        <x:f>ROUNDDOWN((IF(A53&gt;='材料与任务'!$E$31,'材料与任务'!$E$32,IF(A53&gt;='材料与任务'!$E$25,'材料与任务'!$E$26,IF(A53&gt;='材料与任务'!$E$19,'材料与任务'!$E$20,IF(A53&gt;='材料与任务'!$E$13,'材料与任务'!$E$14,'材料与任务'!$E$8)))))*G53,0)</x:f>
        <x:v>4</x:v>
      </x:c>
      <x:c r="Q53" s="119" t="n">
        <x:f>ROUNDDOWN((IF(A53&gt;='材料与任务'!$E$31,'材料与任务'!$E$33,IF(A53&gt;='材料与任务'!$E$25,'材料与任务'!$E$27,IF(A53&gt;='材料与任务'!$E$19,'材料与任务'!$E$21,IF(A53&gt;='材料与任务'!$E$13,'材料与任务'!$E$15,'材料与任务'!$E$9)))))*G53,0)</x:f>
        <x:v>2</x:v>
      </x:c>
      <x:c r="R53" s="110" t="n">
        <x:f>'装备掉落'!$B$38</x:f>
        <x:v>0.6872058758851213</x:v>
      </x:c>
      <x:c r="S53" s="119" t="n">
        <x:f>MAX(IF(VLOOKUP(A53,'装备掉落'!$A$29:$H$34,2,TRUE)&gt;0,1,0),IF(VLOOKUP(A53,'装备掉落'!$A$29:$H$34,3,TRUE)&gt;0,2,0),IF(VLOOKUP(A53,'装备掉落'!$A$29:$H$34,4,TRUE)&gt;0,3,0),IF(VLOOKUP(A53,'装备掉落'!$A$29:$H$34,5,TRUE)&gt;0,4,0),IF(VLOOKUP(A53,'装备掉落'!$A$29:$H$34,6,TRUE)&gt;0,5,0),IF(VLOOKUP(A53,'装备掉落'!$A$29:$H$34,7,TRUE)&gt;0,6,0),IF(VLOOKUP(A53,'装备掉落'!$A$29:$H$34,8,TRUE)&gt;0,7,0))</x:f>
        <x:v>5</x:v>
      </x:c>
      <x:c r="T53" s="119" t="n">
        <x:f>MIN(7,S53+'经济参数'!$E$70)</x:f>
        <x:v>5</x:v>
      </x:c>
      <x:c r="U53" s="119" t="n">
        <x:f>MIN(7,S53+'经济参数'!$E$71)</x:f>
        <x:v>6</x:v>
      </x:c>
      <x:c r="V53" s="119" t="n">
        <x:f>IF(H53&gt;=('难度参数'!$E$52),1,0)+IF(H53&gt;=('难度参数'!$E$52+'难度参数'!$E$53),1,0)+IF(H53&gt;=('难度参数'!$E$52+'难度参数'!$E$53+'难度参数'!$E$54),1,0)+IF(H53&gt;=('难度参数'!$E$52+'难度参数'!$E$53+'难度参数'!$E$54+'难度参数'!$E$55),1,0)+IF(H53&gt;=('难度参数'!$E$52+'难度参数'!$E$53+'难度参数'!$E$54+'难度参数'!$E$55+'难度参数'!$E$56),1,0)+IF(H53&gt;=('难度参数'!$E$52+'难度参数'!$E$53+'难度参数'!$E$54+'难度参数'!$E$55+'难度参数'!$E$56+'难度参数'!$E$57),1,0)</x:f>
        <x:v>6</x:v>
      </x:c>
      <x:c r="W53" s="62" t="str">
        <x:f>IF(L53&gt;'难度参数'!$E$51,"仅出怪已超目标","还需实测")</x:f>
        <x:v>还需实测</x:v>
      </x:c>
      <x:c r="X53" s="119" t="n">
        <x:f>IF(1&gt;D53,0,MAX(2,MIN('难度参数'!$E$12,ROUND(('难度参数'!$E$18*POWER(A53,'难度参数'!$E$19)/D53*(0.85+0.3*(1-1)/MAX(1,D53-1))),0)+F53)))</x:f>
        <x:v>15</x:v>
      </x:c>
      <x:c r="Y53" s="119" t="n">
        <x:f>IF(1&gt;D53,0,ROUND(('难度参数'!$E$13*POWER(A53,'难度参数'!$E$20)*MIN('难度参数'!$E$23,1+MAX(0,A53-'难度参数'!$E$21)*'难度参数'!$E$22))*(36+1*7)/(36+7*(D53+1)/2)*E53,0))</x:f>
        <x:v>1162</x:v>
      </x:c>
      <x:c r="Z53" s="119" t="n">
        <x:f>IF(X53=0,0,(X53-IF(1=D53,1,0))*ROUND(Y53*VLOOKUP(INDEX('章节与怪物'!$E$31:$K$37,B53,1),'章节与怪物'!$A$41:$F$44,2,FALSE),0)+IF(1=D53,ROUND(Y53*'难度参数'!$E$28*'章节与怪物'!$E$17,0),0))</x:f>
        <x:v>17430</x:v>
      </x:c>
      <x:c r="AA53" s="119" t="n">
        <x:f>IF(X53=0,0,(X53-IF(1=D53,1,0))*VLOOKUP(INDEX('章节与怪物'!$E$31:$K$37,B53,1),'章节与怪物'!$A$41:$F$44,4,FALSE)+IF(1=D53,'难度参数'!$E$30,0))</x:f>
        <x:v>270</x:v>
      </x:c>
      <x:c r="AB53" s="119" t="n">
        <x:f>IF(2&gt;D53,0,MAX(2,MIN('难度参数'!$E$12,ROUND(('难度参数'!$E$18*POWER(A53,'难度参数'!$E$19)/D53*(0.85+0.3*(2-1)/MAX(1,D53-1))),0)+F53)))</x:f>
        <x:v>16</x:v>
      </x:c>
      <x:c r="AC53" s="119" t="n">
        <x:f>IF(2&gt;D53,0,ROUND(('难度参数'!$E$13*POWER(A53,'难度参数'!$E$20)*MIN('难度参数'!$E$23,1+MAX(0,A53-'难度参数'!$E$21)*'难度参数'!$E$22))*(36+2*7)/(36+7*(D53+1)/2)*E53,0))</x:f>
        <x:v>1351</x:v>
      </x:c>
      <x:c r="AD53" s="119" t="n">
        <x:f>IF(AB53=0,0,(AB53-IF(2=D53,1,0))*ROUND(AC53*VLOOKUP(INDEX('章节与怪物'!$E$31:$K$37,B53,2),'章节与怪物'!$A$41:$F$44,2,FALSE),0)+IF(2=D53,ROUND(AC53*'难度参数'!$E$28*'章节与怪物'!$E$17,0),0))</x:f>
        <x:v>15568</x:v>
      </x:c>
      <x:c r="AE53" s="119" t="n">
        <x:f>IF(AB53=0,0,(AB53-IF(2=D53,1,0))*VLOOKUP(INDEX('章节与怪物'!$E$31:$K$37,B53,2),'章节与怪物'!$A$41:$F$44,4,FALSE)+IF(2=D53,'难度参数'!$E$30,0))</x:f>
        <x:v>320</x:v>
      </x:c>
      <x:c r="AF53" s="119" t="n">
        <x:f>IF(3&gt;D53,0,MAX(2,MIN('难度参数'!$E$12,ROUND(('难度参数'!$E$18*POWER(A53,'难度参数'!$E$19)/D53*(0.85+0.3*(3-1)/MAX(1,D53-1))),0)+F53)))</x:f>
        <x:v>17</x:v>
      </x:c>
      <x:c r="AG53" s="119" t="n">
        <x:f>IF(3&gt;D53,0,ROUND(('难度参数'!$E$13*POWER(A53,'难度参数'!$E$20)*MIN('难度参数'!$E$23,1+MAX(0,A53-'难度参数'!$E$21)*'难度参数'!$E$22))*(36+3*7)/(36+7*(D53+1)/2)*E53,0))</x:f>
        <x:v>1540</x:v>
      </x:c>
      <x:c r="AH53" s="119" t="n">
        <x:f>IF(AF53=0,0,(AF53-IF(3=D53,1,0))*ROUND(AG53*VLOOKUP(INDEX('章节与怪物'!$E$31:$K$37,B53,3),'章节与怪物'!$A$41:$F$44,2,FALSE),0)+IF(3=D53,ROUND(AG53*'难度参数'!$E$28*'章节与怪物'!$E$17,0),0))</x:f>
        <x:v>44506</x:v>
      </x:c>
      <x:c r="AI53" s="119" t="n">
        <x:f>IF(AF53=0,0,(AF53-IF(3=D53,1,0))*VLOOKUP(INDEX('章节与怪物'!$E$31:$K$37,B53,3),'章节与怪物'!$A$41:$F$44,4,FALSE)+IF(3=D53,'难度参数'!$E$30,0))</x:f>
        <x:v>476</x:v>
      </x:c>
      <x:c r="AJ53" s="119" t="n">
        <x:f>IF(4&gt;D53,0,MAX(2,MIN('难度参数'!$E$12,ROUND(('难度参数'!$E$18*POWER(A53,'难度参数'!$E$19)/D53*(0.85+0.3*(4-1)/MAX(1,D53-1))),0)+F53)))</x:f>
        <x:v>18</x:v>
      </x:c>
      <x:c r="AK53" s="119" t="n">
        <x:f>IF(4&gt;D53,0,ROUND(('难度参数'!$E$13*POWER(A53,'难度参数'!$E$20)*MIN('难度参数'!$E$23,1+MAX(0,A53-'难度参数'!$E$21)*'难度参数'!$E$22))*(36+4*7)/(36+7*(D53+1)/2)*E53,0))</x:f>
        <x:v>1729</x:v>
      </x:c>
      <x:c r="AL53" s="119" t="n">
        <x:f>IF(AJ53=0,0,(AJ53-IF(4=D53,1,0))*ROUND(AK53*VLOOKUP(INDEX('章节与怪物'!$E$31:$K$37,B53,4),'章节与怪物'!$A$41:$F$44,2,FALSE),0)+IF(4=D53,ROUND(AK53*'难度参数'!$E$28*'章节与怪物'!$E$17,0),0))</x:f>
        <x:v>42012</x:v>
      </x:c>
      <x:c r="AM53" s="119" t="n">
        <x:f>IF(AJ53=0,0,(AJ53-IF(4=D53,1,0))*VLOOKUP(INDEX('章节与怪物'!$E$31:$K$37,B53,4),'章节与怪物'!$A$41:$F$44,4,FALSE)+IF(4=D53,'难度参数'!$E$30,0))</x:f>
        <x:v>612</x:v>
      </x:c>
      <x:c r="AN53" s="119" t="n">
        <x:f>IF(5&gt;D53,0,MAX(2,MIN('难度参数'!$E$12,ROUND(('难度参数'!$E$18*POWER(A53,'难度参数'!$E$19)/D53*(0.85+0.3*(5-1)/MAX(1,D53-1))),0)+F53)))</x:f>
        <x:v>19</x:v>
      </x:c>
      <x:c r="AO53" s="119" t="n">
        <x:f>IF(5&gt;D53,0,ROUND(('难度参数'!$E$13*POWER(A53,'难度参数'!$E$20)*MIN('难度参数'!$E$23,1+MAX(0,A53-'难度参数'!$E$21)*'难度参数'!$E$22))*(36+5*7)/(36+7*(D53+1)/2)*E53,0))</x:f>
        <x:v>1918</x:v>
      </x:c>
      <x:c r="AP53" s="119" t="n">
        <x:f>IF(AN53=0,0,(AN53-IF(5=D53,1,0))*ROUND(AO53*VLOOKUP(INDEX('章节与怪物'!$E$31:$K$37,B53,5),'章节与怪物'!$A$41:$F$44,2,FALSE),0)+IF(5=D53,ROUND(AO53*'难度参数'!$E$28*'章节与怪物'!$E$17,0),0))</x:f>
        <x:v>26239</x:v>
      </x:c>
      <x:c r="AQ53" s="119" t="n">
        <x:f>IF(AN53=0,0,(AN53-IF(5=D53,1,0))*VLOOKUP(INDEX('章节与怪物'!$E$31:$K$37,B53,5),'章节与怪物'!$A$41:$F$44,4,FALSE)+IF(5=D53,'难度参数'!$E$30,0))</x:f>
        <x:v>380</x:v>
      </x:c>
      <x:c r="AR53" s="119" t="n">
        <x:f>IF(6&gt;D53,0,MAX(2,MIN('难度参数'!$E$12,ROUND(('难度参数'!$E$18*POWER(A53,'难度参数'!$E$19)/D53*(0.85+0.3*(6-1)/MAX(1,D53-1))),0)+F53)))</x:f>
        <x:v>20</x:v>
      </x:c>
      <x:c r="AS53" s="119" t="n">
        <x:f>IF(6&gt;D53,0,ROUND(('难度参数'!$E$13*POWER(A53,'难度参数'!$E$20)*MIN('难度参数'!$E$23,1+MAX(0,A53-'难度参数'!$E$21)*'难度参数'!$E$22))*(36+6*7)/(36+7*(D53+1)/2)*E53,0))</x:f>
        <x:v>2107</x:v>
      </x:c>
      <x:c r="AT53" s="119" t="n">
        <x:f>IF(AR53=0,0,(AR53-IF(6=D53,1,0))*ROUND(AS53*VLOOKUP(INDEX('章节与怪物'!$E$31:$K$37,B53,6),'章节与怪物'!$A$41:$F$44,2,FALSE),0)+IF(6=D53,ROUND(AS53*'难度参数'!$E$28*'章节与怪物'!$E$17,0),0))</x:f>
        <x:v>71640</x:v>
      </x:c>
      <x:c r="AU53" s="119" t="n">
        <x:f>IF(AR53=0,0,(AR53-IF(6=D53,1,0))*VLOOKUP(INDEX('章节与怪物'!$E$31:$K$37,B53,6),'章节与怪物'!$A$41:$F$44,4,FALSE)+IF(6=D53,'难度参数'!$E$30,0))</x:f>
        <x:v>560</x:v>
      </x:c>
      <x:c r="AV53" s="119" t="n">
        <x:f>IF(7&gt;D53,0,MAX(2,MIN('难度参数'!$E$12,ROUND(('难度参数'!$E$18*POWER(A53,'难度参数'!$E$19)/D53*(0.85+0.3*(7-1)/MAX(1,D53-1))),0)+F53)))</x:f>
        <x:v>21</x:v>
      </x:c>
      <x:c r="AW53" s="119" t="n">
        <x:f>IF(7&gt;D53,0,ROUND(('难度参数'!$E$13*POWER(A53,'难度参数'!$E$20)*MIN('难度参数'!$E$23,1+MAX(0,A53-'难度参数'!$E$21)*'难度参数'!$E$22))*(36+7*7)/(36+7*(D53+1)/2)*E53,0))</x:f>
        <x:v>2296</x:v>
      </x:c>
      <x:c r="AX53" s="119" t="n">
        <x:f>IF(AV53=0,0,(AV53-IF(7=D53,1,0))*ROUND(AW53*VLOOKUP(INDEX('章节与怪物'!$E$31:$K$37,B53,7),'章节与怪物'!$A$41:$F$44,2,FALSE),0)+IF(7=D53,ROUND(AW53*'难度参数'!$E$28*'章节与怪物'!$E$17,0),0))</x:f>
        <x:v>77613</x:v>
      </x:c>
      <x:c r="AY53" s="119" t="n">
        <x:f>IF(AV53=0,0,(AV53-IF(7=D53,1,0))*VLOOKUP(INDEX('章节与怪物'!$E$31:$K$37,B53,7),'章节与怪物'!$A$41:$F$44,4,FALSE)+IF(7=D53,'难度参数'!$E$30,0))</x:f>
        <x:v>880</x:v>
      </x:c>
    </x:row>
    <x:row r="54" ht="23" customHeight="1">
      <x:c r="A54" s="119" t="n">
        <x:v>48</x:v>
      </x:c>
      <x:c r="B54" s="119" t="n">
        <x:f>MOD(INT((A54-1)/5),7)+1</x:f>
        <x:v>3</x:v>
      </x:c>
      <x:c r="C54" s="62" t="str">
        <x:f>INDEX('章节与怪物'!$B$31:$B$37,B54)</x:f>
        <x:v>腐沼秘林</x:v>
      </x:c>
      <x:c r="D54" s="119" t="n">
        <x:f>MIN('难度参数'!$E$8,MAX('难度参数'!$E$7,A54))</x:f>
        <x:v>7</x:v>
      </x:c>
      <x:c r="E54" s="106" t="n">
        <x:v>1</x:v>
      </x:c>
      <x:c r="F54" s="106" t="n">
        <x:v>0</x:v>
      </x:c>
      <x:c r="G54" s="106" t="n">
        <x:v>1</x:v>
      </x:c>
      <x:c r="H54" s="119" t="n">
        <x:f>SUM(X54,AB54,AF54,AJ54,AN54,AR54,AV54)</x:f>
        <x:v>127</x:v>
      </x:c>
      <x:c r="I54" s="119" t="n">
        <x:f>SUM(Z54,AD54,AH54,AL54,AP54,AT54,AX54)</x:f>
        <x:v>301530</x:v>
      </x:c>
      <x:c r="J54" s="119" t="n">
        <x:f>ROUND(INDEX(X54:AY54,1,(D54-1)*4+2)*'难度参数'!$E$28*'章节与怪物'!$E$17,0)</x:f>
        <x:v>15898</x:v>
      </x:c>
      <x:c r="K54" s="119" t="n">
        <x:f>SUM(AA54,AE54,AI54,AM54,AQ54,AU54,AY54)</x:f>
        <x:v>3516</x:v>
      </x:c>
      <x:c r="L54" s="62" t="n">
        <x:f>H54*(ROUNDUP('难度参数'!$E$24/('难度参数'!$E$26*'难度参数'!$E$27),0)*'难度参数'!$E$26)/60</x:f>
        <x:v>1.6933333333333336</x:v>
      </x:c>
      <x:c r="M54" s="62" t="n">
        <x:f>L54+D54*('难度参数'!$E$49+'难度参数'!$E$50)/60</x:f>
        <x:v>2.8600000000000003</x:v>
      </x:c>
      <x:c r="N54" s="119" t="n">
        <x:f>ROUNDDOWN(('经济参数'!$E$20+A54*'经济参数'!$E$21)*G54,0)</x:f>
        <x:v>1140</x:v>
      </x:c>
      <x:c r="O54" s="119" t="n">
        <x:f>ROUNDDOWN(MIN('经济参数'!$E$24,'经济参数'!$E$22+A54*'经济参数'!$E$23)*G54,0)</x:f>
        <x:v>0</x:v>
      </x:c>
      <x:c r="P54" s="119" t="n">
        <x:f>ROUNDDOWN((IF(A54&gt;='材料与任务'!$E$31,'材料与任务'!$E$32,IF(A54&gt;='材料与任务'!$E$25,'材料与任务'!$E$26,IF(A54&gt;='材料与任务'!$E$19,'材料与任务'!$E$20,IF(A54&gt;='材料与任务'!$E$13,'材料与任务'!$E$14,'材料与任务'!$E$8)))))*G54,0)</x:f>
        <x:v>4</x:v>
      </x:c>
      <x:c r="Q54" s="119" t="n">
        <x:f>ROUNDDOWN((IF(A54&gt;='材料与任务'!$E$31,'材料与任务'!$E$33,IF(A54&gt;='材料与任务'!$E$25,'材料与任务'!$E$27,IF(A54&gt;='材料与任务'!$E$19,'材料与任务'!$E$21,IF(A54&gt;='材料与任务'!$E$13,'材料与任务'!$E$15,'材料与任务'!$E$9)))))*G54,0)</x:f>
        <x:v>2</x:v>
      </x:c>
      <x:c r="R54" s="110" t="n">
        <x:f>'装备掉落'!$B$38</x:f>
        <x:v>0.6872058758851213</x:v>
      </x:c>
      <x:c r="S54" s="119" t="n">
        <x:f>MAX(IF(VLOOKUP(A54,'装备掉落'!$A$29:$H$34,2,TRUE)&gt;0,1,0),IF(VLOOKUP(A54,'装备掉落'!$A$29:$H$34,3,TRUE)&gt;0,2,0),IF(VLOOKUP(A54,'装备掉落'!$A$29:$H$34,4,TRUE)&gt;0,3,0),IF(VLOOKUP(A54,'装备掉落'!$A$29:$H$34,5,TRUE)&gt;0,4,0),IF(VLOOKUP(A54,'装备掉落'!$A$29:$H$34,6,TRUE)&gt;0,5,0),IF(VLOOKUP(A54,'装备掉落'!$A$29:$H$34,7,TRUE)&gt;0,6,0),IF(VLOOKUP(A54,'装备掉落'!$A$29:$H$34,8,TRUE)&gt;0,7,0))</x:f>
        <x:v>5</x:v>
      </x:c>
      <x:c r="T54" s="119" t="n">
        <x:f>MIN(7,S54+'经济参数'!$E$70)</x:f>
        <x:v>5</x:v>
      </x:c>
      <x:c r="U54" s="119" t="n">
        <x:f>MIN(7,S54+'经济参数'!$E$71)</x:f>
        <x:v>6</x:v>
      </x:c>
      <x:c r="V54" s="119" t="n">
        <x:f>IF(H54&gt;=('难度参数'!$E$52),1,0)+IF(H54&gt;=('难度参数'!$E$52+'难度参数'!$E$53),1,0)+IF(H54&gt;=('难度参数'!$E$52+'难度参数'!$E$53+'难度参数'!$E$54),1,0)+IF(H54&gt;=('难度参数'!$E$52+'难度参数'!$E$53+'难度参数'!$E$54+'难度参数'!$E$55),1,0)+IF(H54&gt;=('难度参数'!$E$52+'难度参数'!$E$53+'难度参数'!$E$54+'难度参数'!$E$55+'难度参数'!$E$56),1,0)+IF(H54&gt;=('难度参数'!$E$52+'难度参数'!$E$53+'难度参数'!$E$54+'难度参数'!$E$55+'难度参数'!$E$56+'难度参数'!$E$57),1,0)</x:f>
        <x:v>6</x:v>
      </x:c>
      <x:c r="W54" s="62" t="str">
        <x:f>IF(L54&gt;'难度参数'!$E$51,"仅出怪已超目标","还需实测")</x:f>
        <x:v>还需实测</x:v>
      </x:c>
      <x:c r="X54" s="119" t="n">
        <x:f>IF(1&gt;D54,0,MAX(2,MIN('难度参数'!$E$12,ROUND(('难度参数'!$E$18*POWER(A54,'难度参数'!$E$19)/D54*(0.85+0.3*(1-1)/MAX(1,D54-1))),0)+F54)))</x:f>
        <x:v>16</x:v>
      </x:c>
      <x:c r="Y54" s="119" t="n">
        <x:f>IF(1&gt;D54,0,ROUND(('难度参数'!$E$13*POWER(A54,'难度参数'!$E$20)*MIN('难度参数'!$E$23,1+MAX(0,A54-'难度参数'!$E$21)*'难度参数'!$E$22))*(36+1*7)/(36+7*(D54+1)/2)*E54,0))</x:f>
        <x:v>1183</x:v>
      </x:c>
      <x:c r="Z54" s="119" t="n">
        <x:f>IF(X54=0,0,(X54-IF(1=D54,1,0))*ROUND(Y54*VLOOKUP(INDEX('章节与怪物'!$E$31:$K$37,B54,1),'章节与怪物'!$A$41:$F$44,2,FALSE),0)+IF(1=D54,ROUND(Y54*'难度参数'!$E$28*'章节与怪物'!$E$17,0),0))</x:f>
        <x:v>18928</x:v>
      </x:c>
      <x:c r="AA54" s="119" t="n">
        <x:f>IF(X54=0,0,(X54-IF(1=D54,1,0))*VLOOKUP(INDEX('章节与怪物'!$E$31:$K$37,B54,1),'章节与怪物'!$A$41:$F$44,4,FALSE)+IF(1=D54,'难度参数'!$E$30,0))</x:f>
        <x:v>288</x:v>
      </x:c>
      <x:c r="AB54" s="119" t="n">
        <x:f>IF(2&gt;D54,0,MAX(2,MIN('难度参数'!$E$12,ROUND(('难度参数'!$E$18*POWER(A54,'难度参数'!$E$19)/D54*(0.85+0.3*(2-1)/MAX(1,D54-1))),0)+F54)))</x:f>
        <x:v>16</x:v>
      </x:c>
      <x:c r="AC54" s="119" t="n">
        <x:f>IF(2&gt;D54,0,ROUND(('难度参数'!$E$13*POWER(A54,'难度参数'!$E$20)*MIN('难度参数'!$E$23,1+MAX(0,A54-'难度参数'!$E$21)*'难度参数'!$E$22))*(36+2*7)/(36+7*(D54+1)/2)*E54,0))</x:f>
        <x:v>1375</x:v>
      </x:c>
      <x:c r="AD54" s="119" t="n">
        <x:f>IF(AB54=0,0,(AB54-IF(2=D54,1,0))*ROUND(AC54*VLOOKUP(INDEX('章节与怪物'!$E$31:$K$37,B54,2),'章节与怪物'!$A$41:$F$44,2,FALSE),0)+IF(2=D54,ROUND(AC54*'难度参数'!$E$28*'章节与怪物'!$E$17,0),0))</x:f>
        <x:v>15840</x:v>
      </x:c>
      <x:c r="AE54" s="119" t="n">
        <x:f>IF(AB54=0,0,(AB54-IF(2=D54,1,0))*VLOOKUP(INDEX('章节与怪物'!$E$31:$K$37,B54,2),'章节与怪物'!$A$41:$F$44,4,FALSE)+IF(2=D54,'难度参数'!$E$30,0))</x:f>
        <x:v>320</x:v>
      </x:c>
      <x:c r="AF54" s="119" t="n">
        <x:f>IF(3&gt;D54,0,MAX(2,MIN('难度参数'!$E$12,ROUND(('难度参数'!$E$18*POWER(A54,'难度参数'!$E$19)/D54*(0.85+0.3*(3-1)/MAX(1,D54-1))),0)+F54)))</x:f>
        <x:v>17</x:v>
      </x:c>
      <x:c r="AG54" s="119" t="n">
        <x:f>IF(3&gt;D54,0,ROUND(('难度参数'!$E$13*POWER(A54,'难度参数'!$E$20)*MIN('难度参数'!$E$23,1+MAX(0,A54-'难度参数'!$E$21)*'难度参数'!$E$22))*(36+3*7)/(36+7*(D54+1)/2)*E54,0))</x:f>
        <x:v>1568</x:v>
      </x:c>
      <x:c r="AH54" s="119" t="n">
        <x:f>IF(AF54=0,0,(AF54-IF(3=D54,1,0))*ROUND(AG54*VLOOKUP(INDEX('章节与怪物'!$E$31:$K$37,B54,3),'章节与怪物'!$A$41:$F$44,2,FALSE),0)+IF(3=D54,ROUND(AG54*'难度参数'!$E$28*'章节与怪物'!$E$17,0),0))</x:f>
        <x:v>45322</x:v>
      </x:c>
      <x:c r="AI54" s="119" t="n">
        <x:f>IF(AF54=0,0,(AF54-IF(3=D54,1,0))*VLOOKUP(INDEX('章节与怪物'!$E$31:$K$37,B54,3),'章节与怪物'!$A$41:$F$44,4,FALSE)+IF(3=D54,'难度参数'!$E$30,0))</x:f>
        <x:v>476</x:v>
      </x:c>
      <x:c r="AJ54" s="119" t="n">
        <x:f>IF(4&gt;D54,0,MAX(2,MIN('难度参数'!$E$12,ROUND(('难度参数'!$E$18*POWER(A54,'难度参数'!$E$19)/D54*(0.85+0.3*(4-1)/MAX(1,D54-1))),0)+F54)))</x:f>
        <x:v>18</x:v>
      </x:c>
      <x:c r="AK54" s="119" t="n">
        <x:f>IF(4&gt;D54,0,ROUND(('难度参数'!$E$13*POWER(A54,'难度参数'!$E$20)*MIN('难度参数'!$E$23,1+MAX(0,A54-'难度参数'!$E$21)*'难度参数'!$E$22))*(36+4*7)/(36+7*(D54+1)/2)*E54,0))</x:f>
        <x:v>1760</x:v>
      </x:c>
      <x:c r="AL54" s="119" t="n">
        <x:f>IF(AJ54=0,0,(AJ54-IF(4=D54,1,0))*ROUND(AK54*VLOOKUP(INDEX('章节与怪物'!$E$31:$K$37,B54,4),'章节与怪物'!$A$41:$F$44,2,FALSE),0)+IF(4=D54,ROUND(AK54*'难度参数'!$E$28*'章节与怪物'!$E$17,0),0))</x:f>
        <x:v>42768</x:v>
      </x:c>
      <x:c r="AM54" s="119" t="n">
        <x:f>IF(AJ54=0,0,(AJ54-IF(4=D54,1,0))*VLOOKUP(INDEX('章节与怪物'!$E$31:$K$37,B54,4),'章节与怪物'!$A$41:$F$44,4,FALSE)+IF(4=D54,'难度参数'!$E$30,0))</x:f>
        <x:v>612</x:v>
      </x:c>
      <x:c r="AN54" s="119" t="n">
        <x:f>IF(5&gt;D54,0,MAX(2,MIN('难度参数'!$E$12,ROUND(('难度参数'!$E$18*POWER(A54,'难度参数'!$E$19)/D54*(0.85+0.3*(5-1)/MAX(1,D54-1))),0)+F54)))</x:f>
        <x:v>19</x:v>
      </x:c>
      <x:c r="AO54" s="119" t="n">
        <x:f>IF(5&gt;D54,0,ROUND(('难度参数'!$E$13*POWER(A54,'难度参数'!$E$20)*MIN('难度参数'!$E$23,1+MAX(0,A54-'难度参数'!$E$21)*'难度参数'!$E$22))*(36+5*7)/(36+7*(D54+1)/2)*E54,0))</x:f>
        <x:v>1953</x:v>
      </x:c>
      <x:c r="AP54" s="119" t="n">
        <x:f>IF(AN54=0,0,(AN54-IF(5=D54,1,0))*ROUND(AO54*VLOOKUP(INDEX('章节与怪物'!$E$31:$K$37,B54,5),'章节与怪物'!$A$41:$F$44,2,FALSE),0)+IF(5=D54,ROUND(AO54*'难度参数'!$E$28*'章节与怪物'!$E$17,0),0))</x:f>
        <x:v>26714</x:v>
      </x:c>
      <x:c r="AQ54" s="119" t="n">
        <x:f>IF(AN54=0,0,(AN54-IF(5=D54,1,0))*VLOOKUP(INDEX('章节与怪物'!$E$31:$K$37,B54,5),'章节与怪物'!$A$41:$F$44,4,FALSE)+IF(5=D54,'难度参数'!$E$30,0))</x:f>
        <x:v>380</x:v>
      </x:c>
      <x:c r="AR54" s="119" t="n">
        <x:f>IF(6&gt;D54,0,MAX(2,MIN('难度参数'!$E$12,ROUND(('难度参数'!$E$18*POWER(A54,'难度参数'!$E$19)/D54*(0.85+0.3*(6-1)/MAX(1,D54-1))),0)+F54)))</x:f>
        <x:v>20</x:v>
      </x:c>
      <x:c r="AS54" s="119" t="n">
        <x:f>IF(6&gt;D54,0,ROUND(('难度参数'!$E$13*POWER(A54,'难度参数'!$E$20)*MIN('难度参数'!$E$23,1+MAX(0,A54-'难度参数'!$E$21)*'难度参数'!$E$22))*(36+6*7)/(36+7*(D54+1)/2)*E54,0))</x:f>
        <x:v>2145</x:v>
      </x:c>
      <x:c r="AT54" s="119" t="n">
        <x:f>IF(AR54=0,0,(AR54-IF(6=D54,1,0))*ROUND(AS54*VLOOKUP(INDEX('章节与怪物'!$E$31:$K$37,B54,6),'章节与怪物'!$A$41:$F$44,2,FALSE),0)+IF(6=D54,ROUND(AS54*'难度参数'!$E$28*'章节与怪物'!$E$17,0),0))</x:f>
        <x:v>72940</x:v>
      </x:c>
      <x:c r="AU54" s="119" t="n">
        <x:f>IF(AR54=0,0,(AR54-IF(6=D54,1,0))*VLOOKUP(INDEX('章节与怪物'!$E$31:$K$37,B54,6),'章节与怪物'!$A$41:$F$44,4,FALSE)+IF(6=D54,'难度参数'!$E$30,0))</x:f>
        <x:v>560</x:v>
      </x:c>
      <x:c r="AV54" s="119" t="n">
        <x:f>IF(7&gt;D54,0,MAX(2,MIN('难度参数'!$E$12,ROUND(('难度参数'!$E$18*POWER(A54,'难度参数'!$E$19)/D54*(0.85+0.3*(7-1)/MAX(1,D54-1))),0)+F54)))</x:f>
        <x:v>21</x:v>
      </x:c>
      <x:c r="AW54" s="119" t="n">
        <x:f>IF(7&gt;D54,0,ROUND(('难度参数'!$E$13*POWER(A54,'难度参数'!$E$20)*MIN('难度参数'!$E$23,1+MAX(0,A54-'难度参数'!$E$21)*'难度参数'!$E$22))*(36+7*7)/(36+7*(D54+1)/2)*E54,0))</x:f>
        <x:v>2338</x:v>
      </x:c>
      <x:c r="AX54" s="119" t="n">
        <x:f>IF(AV54=0,0,(AV54-IF(7=D54,1,0))*ROUND(AW54*VLOOKUP(INDEX('章节与怪物'!$E$31:$K$37,B54,7),'章节与怪物'!$A$41:$F$44,2,FALSE),0)+IF(7=D54,ROUND(AW54*'难度参数'!$E$28*'章节与怪物'!$E$17,0),0))</x:f>
        <x:v>79018</x:v>
      </x:c>
      <x:c r="AY54" s="119" t="n">
        <x:f>IF(AV54=0,0,(AV54-IF(7=D54,1,0))*VLOOKUP(INDEX('章节与怪物'!$E$31:$K$37,B54,7),'章节与怪物'!$A$41:$F$44,4,FALSE)+IF(7=D54,'难度参数'!$E$30,0))</x:f>
        <x:v>880</x:v>
      </x:c>
    </x:row>
    <x:row r="55" ht="23" customHeight="1">
      <x:c r="A55" s="119" t="n">
        <x:v>49</x:v>
      </x:c>
      <x:c r="B55" s="119" t="n">
        <x:f>MOD(INT((A55-1)/5),7)+1</x:f>
        <x:v>3</x:v>
      </x:c>
      <x:c r="C55" s="62" t="str">
        <x:f>INDEX('章节与怪物'!$B$31:$B$37,B55)</x:f>
        <x:v>腐沼秘林</x:v>
      </x:c>
      <x:c r="D55" s="119" t="n">
        <x:f>MIN('难度参数'!$E$8,MAX('难度参数'!$E$7,A55))</x:f>
        <x:v>7</x:v>
      </x:c>
      <x:c r="E55" s="106" t="n">
        <x:v>1</x:v>
      </x:c>
      <x:c r="F55" s="106" t="n">
        <x:v>0</x:v>
      </x:c>
      <x:c r="G55" s="106" t="n">
        <x:v>1</x:v>
      </x:c>
      <x:c r="H55" s="119" t="n">
        <x:f>SUM(X55,AB55,AF55,AJ55,AN55,AR55,AV55)</x:f>
        <x:v>128</x:v>
      </x:c>
      <x:c r="I55" s="119" t="n">
        <x:f>SUM(Z55,AD55,AH55,AL55,AP55,AT55,AX55)</x:f>
        <x:v>307837</x:v>
      </x:c>
      <x:c r="J55" s="119" t="n">
        <x:f>ROUND(INDEX(X55:AY55,1,(D55-1)*4+2)*'难度参数'!$E$28*'章节与怪物'!$E$17,0)</x:f>
        <x:v>16177</x:v>
      </x:c>
      <x:c r="K55" s="119" t="n">
        <x:f>SUM(AA55,AE55,AI55,AM55,AQ55,AU55,AY55)</x:f>
        <x:v>3536</x:v>
      </x:c>
      <x:c r="L55" s="62" t="n">
        <x:f>H55*(ROUNDUP('难度参数'!$E$24/('难度参数'!$E$26*'难度参数'!$E$27),0)*'难度参数'!$E$26)/60</x:f>
        <x:v>1.7066666666666668</x:v>
      </x:c>
      <x:c r="M55" s="62" t="n">
        <x:f>L55+D55*('难度参数'!$E$49+'难度参数'!$E$50)/60</x:f>
        <x:v>2.8733333333333335</x:v>
      </x:c>
      <x:c r="N55" s="119" t="n">
        <x:f>ROUNDDOWN(('经济参数'!$E$20+A55*'经济参数'!$E$21)*G55,0)</x:f>
        <x:v>1160</x:v>
      </x:c>
      <x:c r="O55" s="119" t="n">
        <x:f>ROUNDDOWN(MIN('经济参数'!$E$24,'经济参数'!$E$22+A55*'经济参数'!$E$23)*G55,0)</x:f>
        <x:v>0</x:v>
      </x:c>
      <x:c r="P55" s="119" t="n">
        <x:f>ROUNDDOWN((IF(A55&gt;='材料与任务'!$E$31,'材料与任务'!$E$32,IF(A55&gt;='材料与任务'!$E$25,'材料与任务'!$E$26,IF(A55&gt;='材料与任务'!$E$19,'材料与任务'!$E$20,IF(A55&gt;='材料与任务'!$E$13,'材料与任务'!$E$14,'材料与任务'!$E$8)))))*G55,0)</x:f>
        <x:v>4</x:v>
      </x:c>
      <x:c r="Q55" s="119" t="n">
        <x:f>ROUNDDOWN((IF(A55&gt;='材料与任务'!$E$31,'材料与任务'!$E$33,IF(A55&gt;='材料与任务'!$E$25,'材料与任务'!$E$27,IF(A55&gt;='材料与任务'!$E$19,'材料与任务'!$E$21,IF(A55&gt;='材料与任务'!$E$13,'材料与任务'!$E$15,'材料与任务'!$E$9)))))*G55,0)</x:f>
        <x:v>2</x:v>
      </x:c>
      <x:c r="R55" s="110" t="n">
        <x:f>'装备掉落'!$B$38</x:f>
        <x:v>0.6872058758851213</x:v>
      </x:c>
      <x:c r="S55" s="119" t="n">
        <x:f>MAX(IF(VLOOKUP(A55,'装备掉落'!$A$29:$H$34,2,TRUE)&gt;0,1,0),IF(VLOOKUP(A55,'装备掉落'!$A$29:$H$34,3,TRUE)&gt;0,2,0),IF(VLOOKUP(A55,'装备掉落'!$A$29:$H$34,4,TRUE)&gt;0,3,0),IF(VLOOKUP(A55,'装备掉落'!$A$29:$H$34,5,TRUE)&gt;0,4,0),IF(VLOOKUP(A55,'装备掉落'!$A$29:$H$34,6,TRUE)&gt;0,5,0),IF(VLOOKUP(A55,'装备掉落'!$A$29:$H$34,7,TRUE)&gt;0,6,0),IF(VLOOKUP(A55,'装备掉落'!$A$29:$H$34,8,TRUE)&gt;0,7,0))</x:f>
        <x:v>5</x:v>
      </x:c>
      <x:c r="T55" s="119" t="n">
        <x:f>MIN(7,S55+'经济参数'!$E$70)</x:f>
        <x:v>5</x:v>
      </x:c>
      <x:c r="U55" s="119" t="n">
        <x:f>MIN(7,S55+'经济参数'!$E$71)</x:f>
        <x:v>6</x:v>
      </x:c>
      <x:c r="V55" s="119" t="n">
        <x:f>IF(H55&gt;=('难度参数'!$E$52),1,0)+IF(H55&gt;=('难度参数'!$E$52+'难度参数'!$E$53),1,0)+IF(H55&gt;=('难度参数'!$E$52+'难度参数'!$E$53+'难度参数'!$E$54),1,0)+IF(H55&gt;=('难度参数'!$E$52+'难度参数'!$E$53+'难度参数'!$E$54+'难度参数'!$E$55),1,0)+IF(H55&gt;=('难度参数'!$E$52+'难度参数'!$E$53+'难度参数'!$E$54+'难度参数'!$E$55+'难度参数'!$E$56),1,0)+IF(H55&gt;=('难度参数'!$E$52+'难度参数'!$E$53+'难度参数'!$E$54+'难度参数'!$E$55+'难度参数'!$E$56+'难度参数'!$E$57),1,0)</x:f>
        <x:v>6</x:v>
      </x:c>
      <x:c r="W55" s="62" t="str">
        <x:f>IF(L55&gt;'难度参数'!$E$51,"仅出怪已超目标","还需实测")</x:f>
        <x:v>还需实测</x:v>
      </x:c>
      <x:c r="X55" s="119" t="n">
        <x:f>IF(1&gt;D55,0,MAX(2,MIN('难度参数'!$E$12,ROUND(('难度参数'!$E$18*POWER(A55,'难度参数'!$E$19)/D55*(0.85+0.3*(1-1)/MAX(1,D55-1))),0)+F55)))</x:f>
        <x:v>16</x:v>
      </x:c>
      <x:c r="Y55" s="119" t="n">
        <x:f>IF(1&gt;D55,0,ROUND(('难度参数'!$E$13*POWER(A55,'难度参数'!$E$20)*MIN('难度参数'!$E$23,1+MAX(0,A55-'难度参数'!$E$21)*'难度参数'!$E$22))*(36+1*7)/(36+7*(D55+1)/2)*E55,0))</x:f>
        <x:v>1204</x:v>
      </x:c>
      <x:c r="Z55" s="119" t="n">
        <x:f>IF(X55=0,0,(X55-IF(1=D55,1,0))*ROUND(Y55*VLOOKUP(INDEX('章节与怪物'!$E$31:$K$37,B55,1),'章节与怪物'!$A$41:$F$44,2,FALSE),0)+IF(1=D55,ROUND(Y55*'难度参数'!$E$28*'章节与怪物'!$E$17,0),0))</x:f>
        <x:v>19264</x:v>
      </x:c>
      <x:c r="AA55" s="119" t="n">
        <x:f>IF(X55=0,0,(X55-IF(1=D55,1,0))*VLOOKUP(INDEX('章节与怪物'!$E$31:$K$37,B55,1),'章节与怪物'!$A$41:$F$44,4,FALSE)+IF(1=D55,'难度参数'!$E$30,0))</x:f>
        <x:v>288</x:v>
      </x:c>
      <x:c r="AB55" s="119" t="n">
        <x:f>IF(2&gt;D55,0,MAX(2,MIN('难度参数'!$E$12,ROUND(('难度参数'!$E$18*POWER(A55,'难度参数'!$E$19)/D55*(0.85+0.3*(2-1)/MAX(1,D55-1))),0)+F55)))</x:f>
        <x:v>17</x:v>
      </x:c>
      <x:c r="AC55" s="119" t="n">
        <x:f>IF(2&gt;D55,0,ROUND(('难度参数'!$E$13*POWER(A55,'难度参数'!$E$20)*MIN('难度参数'!$E$23,1+MAX(0,A55-'难度参数'!$E$21)*'难度参数'!$E$22))*(36+2*7)/(36+7*(D55+1)/2)*E55,0))</x:f>
        <x:v>1399</x:v>
      </x:c>
      <x:c r="AD55" s="119" t="n">
        <x:f>IF(AB55=0,0,(AB55-IF(2=D55,1,0))*ROUND(AC55*VLOOKUP(INDEX('章节与怪物'!$E$31:$K$37,B55,2),'章节与怪物'!$A$41:$F$44,2,FALSE),0)+IF(2=D55,ROUND(AC55*'难度参数'!$E$28*'章节与怪物'!$E$17,0),0))</x:f>
        <x:v>17119</x:v>
      </x:c>
      <x:c r="AE55" s="119" t="n">
        <x:f>IF(AB55=0,0,(AB55-IF(2=D55,1,0))*VLOOKUP(INDEX('章节与怪物'!$E$31:$K$37,B55,2),'章节与怪物'!$A$41:$F$44,4,FALSE)+IF(2=D55,'难度参数'!$E$30,0))</x:f>
        <x:v>340</x:v>
      </x:c>
      <x:c r="AF55" s="119" t="n">
        <x:f>IF(3&gt;D55,0,MAX(2,MIN('难度参数'!$E$12,ROUND(('难度参数'!$E$18*POWER(A55,'难度参数'!$E$19)/D55*(0.85+0.3*(3-1)/MAX(1,D55-1))),0)+F55)))</x:f>
        <x:v>17</x:v>
      </x:c>
      <x:c r="AG55" s="119" t="n">
        <x:f>IF(3&gt;D55,0,ROUND(('难度参数'!$E$13*POWER(A55,'难度参数'!$E$20)*MIN('难度参数'!$E$23,1+MAX(0,A55-'难度参数'!$E$21)*'难度参数'!$E$22))*(36+3*7)/(36+7*(D55+1)/2)*E55,0))</x:f>
        <x:v>1595</x:v>
      </x:c>
      <x:c r="AH55" s="119" t="n">
        <x:f>IF(AF55=0,0,(AF55-IF(3=D55,1,0))*ROUND(AG55*VLOOKUP(INDEX('章节与怪物'!$E$31:$K$37,B55,3),'章节与怪物'!$A$41:$F$44,2,FALSE),0)+IF(3=D55,ROUND(AG55*'难度参数'!$E$28*'章节与怪物'!$E$17,0),0))</x:f>
        <x:v>46104</x:v>
      </x:c>
      <x:c r="AI55" s="119" t="n">
        <x:f>IF(AF55=0,0,(AF55-IF(3=D55,1,0))*VLOOKUP(INDEX('章节与怪物'!$E$31:$K$37,B55,3),'章节与怪物'!$A$41:$F$44,4,FALSE)+IF(3=D55,'难度参数'!$E$30,0))</x:f>
        <x:v>476</x:v>
      </x:c>
      <x:c r="AJ55" s="119" t="n">
        <x:f>IF(4&gt;D55,0,MAX(2,MIN('难度参数'!$E$12,ROUND(('难度参数'!$E$18*POWER(A55,'难度参数'!$E$19)/D55*(0.85+0.3*(4-1)/MAX(1,D55-1))),0)+F55)))</x:f>
        <x:v>18</x:v>
      </x:c>
      <x:c r="AK55" s="119" t="n">
        <x:f>IF(4&gt;D55,0,ROUND(('难度参数'!$E$13*POWER(A55,'难度参数'!$E$20)*MIN('难度参数'!$E$23,1+MAX(0,A55-'难度参数'!$E$21)*'难度参数'!$E$22))*(36+4*7)/(36+7*(D55+1)/2)*E55,0))</x:f>
        <x:v>1791</x:v>
      </x:c>
      <x:c r="AL55" s="119" t="n">
        <x:f>IF(AJ55=0,0,(AJ55-IF(4=D55,1,0))*ROUND(AK55*VLOOKUP(INDEX('章节与怪物'!$E$31:$K$37,B55,4),'章节与怪物'!$A$41:$F$44,2,FALSE),0)+IF(4=D55,ROUND(AK55*'难度参数'!$E$28*'章节与怪物'!$E$17,0),0))</x:f>
        <x:v>43524</x:v>
      </x:c>
      <x:c r="AM55" s="119" t="n">
        <x:f>IF(AJ55=0,0,(AJ55-IF(4=D55,1,0))*VLOOKUP(INDEX('章节与怪物'!$E$31:$K$37,B55,4),'章节与怪物'!$A$41:$F$44,4,FALSE)+IF(4=D55,'难度参数'!$E$30,0))</x:f>
        <x:v>612</x:v>
      </x:c>
      <x:c r="AN55" s="119" t="n">
        <x:f>IF(5&gt;D55,0,MAX(2,MIN('难度参数'!$E$12,ROUND(('难度参数'!$E$18*POWER(A55,'难度参数'!$E$19)/D55*(0.85+0.3*(5-1)/MAX(1,D55-1))),0)+F55)))</x:f>
        <x:v>19</x:v>
      </x:c>
      <x:c r="AO55" s="119" t="n">
        <x:f>IF(5&gt;D55,0,ROUND(('难度参数'!$E$13*POWER(A55,'难度参数'!$E$20)*MIN('难度参数'!$E$23,1+MAX(0,A55-'难度参数'!$E$21)*'难度参数'!$E$22))*(36+5*7)/(36+7*(D55+1)/2)*E55,0))</x:f>
        <x:v>1987</x:v>
      </x:c>
      <x:c r="AP55" s="119" t="n">
        <x:f>IF(AN55=0,0,(AN55-IF(5=D55,1,0))*ROUND(AO55*VLOOKUP(INDEX('章节与怪物'!$E$31:$K$37,B55,5),'章节与怪物'!$A$41:$F$44,2,FALSE),0)+IF(5=D55,ROUND(AO55*'难度参数'!$E$28*'章节与怪物'!$E$17,0),0))</x:f>
        <x:v>27189</x:v>
      </x:c>
      <x:c r="AQ55" s="119" t="n">
        <x:f>IF(AN55=0,0,(AN55-IF(5=D55,1,0))*VLOOKUP(INDEX('章节与怪物'!$E$31:$K$37,B55,5),'章节与怪物'!$A$41:$F$44,4,FALSE)+IF(5=D55,'难度参数'!$E$30,0))</x:f>
        <x:v>380</x:v>
      </x:c>
      <x:c r="AR55" s="119" t="n">
        <x:f>IF(6&gt;D55,0,MAX(2,MIN('难度参数'!$E$12,ROUND(('难度参数'!$E$18*POWER(A55,'难度参数'!$E$19)/D55*(0.85+0.3*(6-1)/MAX(1,D55-1))),0)+F55)))</x:f>
        <x:v>20</x:v>
      </x:c>
      <x:c r="AS55" s="119" t="n">
        <x:f>IF(6&gt;D55,0,ROUND(('难度参数'!$E$13*POWER(A55,'难度参数'!$E$20)*MIN('难度参数'!$E$23,1+MAX(0,A55-'难度参数'!$E$21)*'难度参数'!$E$22))*(36+6*7)/(36+7*(D55+1)/2)*E55,0))</x:f>
        <x:v>2183</x:v>
      </x:c>
      <x:c r="AT55" s="119" t="n">
        <x:f>IF(AR55=0,0,(AR55-IF(6=D55,1,0))*ROUND(AS55*VLOOKUP(INDEX('章节与怪物'!$E$31:$K$37,B55,6),'章节与怪物'!$A$41:$F$44,2,FALSE),0)+IF(6=D55,ROUND(AS55*'难度参数'!$E$28*'章节与怪物'!$E$17,0),0))</x:f>
        <x:v>74220</x:v>
      </x:c>
      <x:c r="AU55" s="119" t="n">
        <x:f>IF(AR55=0,0,(AR55-IF(6=D55,1,0))*VLOOKUP(INDEX('章节与怪物'!$E$31:$K$37,B55,6),'章节与怪物'!$A$41:$F$44,4,FALSE)+IF(6=D55,'难度参数'!$E$30,0))</x:f>
        <x:v>560</x:v>
      </x:c>
      <x:c r="AV55" s="119" t="n">
        <x:f>IF(7&gt;D55,0,MAX(2,MIN('难度参数'!$E$12,ROUND(('难度参数'!$E$18*POWER(A55,'难度参数'!$E$19)/D55*(0.85+0.3*(7-1)/MAX(1,D55-1))),0)+F55)))</x:f>
        <x:v>21</x:v>
      </x:c>
      <x:c r="AW55" s="119" t="n">
        <x:f>IF(7&gt;D55,0,ROUND(('难度参数'!$E$13*POWER(A55,'难度参数'!$E$20)*MIN('难度参数'!$E$23,1+MAX(0,A55-'难度参数'!$E$21)*'难度参数'!$E$22))*(36+7*7)/(36+7*(D55+1)/2)*E55,0))</x:f>
        <x:v>2379</x:v>
      </x:c>
      <x:c r="AX55" s="119" t="n">
        <x:f>IF(AV55=0,0,(AV55-IF(7=D55,1,0))*ROUND(AW55*VLOOKUP(INDEX('章节与怪物'!$E$31:$K$37,B55,7),'章节与怪物'!$A$41:$F$44,2,FALSE),0)+IF(7=D55,ROUND(AW55*'难度参数'!$E$28*'章节与怪物'!$E$17,0),0))</x:f>
        <x:v>80417</x:v>
      </x:c>
      <x:c r="AY55" s="119" t="n">
        <x:f>IF(AV55=0,0,(AV55-IF(7=D55,1,0))*VLOOKUP(INDEX('章节与怪物'!$E$31:$K$37,B55,7),'章节与怪物'!$A$41:$F$44,4,FALSE)+IF(7=D55,'难度参数'!$E$30,0))</x:f>
        <x:v>880</x:v>
      </x:c>
    </x:row>
    <x:row r="56" ht="23" customHeight="1">
      <x:c r="A56" s="119" t="n">
        <x:v>50</x:v>
      </x:c>
      <x:c r="B56" s="119" t="n">
        <x:f>MOD(INT((A56-1)/5),7)+1</x:f>
        <x:v>3</x:v>
      </x:c>
      <x:c r="C56" s="62" t="str">
        <x:f>INDEX('章节与怪物'!$B$31:$B$37,B56)</x:f>
        <x:v>腐沼秘林</x:v>
      </x:c>
      <x:c r="D56" s="119" t="n">
        <x:f>MIN('难度参数'!$E$8,MAX('难度参数'!$E$7,A56))</x:f>
        <x:v>7</x:v>
      </x:c>
      <x:c r="E56" s="106" t="n">
        <x:v>1</x:v>
      </x:c>
      <x:c r="F56" s="106" t="n">
        <x:v>0</x:v>
      </x:c>
      <x:c r="G56" s="106" t="n">
        <x:v>1</x:v>
      </x:c>
      <x:c r="H56" s="119" t="n">
        <x:f>SUM(X56,AB56,AF56,AJ56,AN56,AR56,AV56)</x:f>
        <x:v>130</x:v>
      </x:c>
      <x:c r="I56" s="119" t="n">
        <x:f>SUM(Z56,AD56,AH56,AL56,AP56,AT56,AX56)</x:f>
        <x:v>318453</x:v>
      </x:c>
      <x:c r="J56" s="119" t="n">
        <x:f>ROUND(INDEX(X56:AY56,1,(D56-1)*4+2)*'难度参数'!$E$28*'章节与怪物'!$E$17,0)</x:f>
        <x:v>16463</x:v>
      </x:c>
      <x:c r="K56" s="119" t="n">
        <x:f>SUM(AA56,AE56,AI56,AM56,AQ56,AU56,AY56)</x:f>
        <x:v>3598</x:v>
      </x:c>
      <x:c r="L56" s="62" t="n">
        <x:f>H56*(ROUNDUP('难度参数'!$E$24/('难度参数'!$E$26*'难度参数'!$E$27),0)*'难度参数'!$E$26)/60</x:f>
        <x:v>1.7333333333333334</x:v>
      </x:c>
      <x:c r="M56" s="62" t="n">
        <x:f>L56+D56*('难度参数'!$E$49+'难度参数'!$E$50)/60</x:f>
        <x:v>2.9000000000000004</x:v>
      </x:c>
      <x:c r="N56" s="119" t="n">
        <x:f>ROUNDDOWN(('经济参数'!$E$20+A56*'经济参数'!$E$21)*G56,0)</x:f>
        <x:v>1180</x:v>
      </x:c>
      <x:c r="O56" s="119" t="n">
        <x:f>ROUNDDOWN(MIN('经济参数'!$E$24,'经济参数'!$E$22+A56*'经济参数'!$E$23)*G56,0)</x:f>
        <x:v>0</x:v>
      </x:c>
      <x:c r="P56" s="119" t="n">
        <x:f>ROUNDDOWN((IF(A56&gt;='材料与任务'!$E$31,'材料与任务'!$E$32,IF(A56&gt;='材料与任务'!$E$25,'材料与任务'!$E$26,IF(A56&gt;='材料与任务'!$E$19,'材料与任务'!$E$20,IF(A56&gt;='材料与任务'!$E$13,'材料与任务'!$E$14,'材料与任务'!$E$8)))))*G56,0)</x:f>
        <x:v>4</x:v>
      </x:c>
      <x:c r="Q56" s="119" t="n">
        <x:f>ROUNDDOWN((IF(A56&gt;='材料与任务'!$E$31,'材料与任务'!$E$33,IF(A56&gt;='材料与任务'!$E$25,'材料与任务'!$E$27,IF(A56&gt;='材料与任务'!$E$19,'材料与任务'!$E$21,IF(A56&gt;='材料与任务'!$E$13,'材料与任务'!$E$15,'材料与任务'!$E$9)))))*G56,0)</x:f>
        <x:v>2</x:v>
      </x:c>
      <x:c r="R56" s="110" t="n">
        <x:f>'装备掉落'!$B$38</x:f>
        <x:v>0.6872058758851213</x:v>
      </x:c>
      <x:c r="S56" s="119" t="n">
        <x:f>MAX(IF(VLOOKUP(A56,'装备掉落'!$A$29:$H$34,2,TRUE)&gt;0,1,0),IF(VLOOKUP(A56,'装备掉落'!$A$29:$H$34,3,TRUE)&gt;0,2,0),IF(VLOOKUP(A56,'装备掉落'!$A$29:$H$34,4,TRUE)&gt;0,3,0),IF(VLOOKUP(A56,'装备掉落'!$A$29:$H$34,5,TRUE)&gt;0,4,0),IF(VLOOKUP(A56,'装备掉落'!$A$29:$H$34,6,TRUE)&gt;0,5,0),IF(VLOOKUP(A56,'装备掉落'!$A$29:$H$34,7,TRUE)&gt;0,6,0),IF(VLOOKUP(A56,'装备掉落'!$A$29:$H$34,8,TRUE)&gt;0,7,0))</x:f>
        <x:v>5</x:v>
      </x:c>
      <x:c r="T56" s="119" t="n">
        <x:f>MIN(7,S56+'经济参数'!$E$70)</x:f>
        <x:v>5</x:v>
      </x:c>
      <x:c r="U56" s="119" t="n">
        <x:f>MIN(7,S56+'经济参数'!$E$71)</x:f>
        <x:v>6</x:v>
      </x:c>
      <x:c r="V56" s="119" t="n">
        <x:f>IF(H56&gt;=('难度参数'!$E$52),1,0)+IF(H56&gt;=('难度参数'!$E$52+'难度参数'!$E$53),1,0)+IF(H56&gt;=('难度参数'!$E$52+'难度参数'!$E$53+'难度参数'!$E$54),1,0)+IF(H56&gt;=('难度参数'!$E$52+'难度参数'!$E$53+'难度参数'!$E$54+'难度参数'!$E$55),1,0)+IF(H56&gt;=('难度参数'!$E$52+'难度参数'!$E$53+'难度参数'!$E$54+'难度参数'!$E$55+'难度参数'!$E$56),1,0)+IF(H56&gt;=('难度参数'!$E$52+'难度参数'!$E$53+'难度参数'!$E$54+'难度参数'!$E$55+'难度参数'!$E$56+'难度参数'!$E$57),1,0)</x:f>
        <x:v>6</x:v>
      </x:c>
      <x:c r="W56" s="62" t="str">
        <x:f>IF(L56&gt;'难度参数'!$E$51,"仅出怪已超目标","还需实测")</x:f>
        <x:v>还需实测</x:v>
      </x:c>
      <x:c r="X56" s="119" t="n">
        <x:f>IF(1&gt;D56,0,MAX(2,MIN('难度参数'!$E$12,ROUND(('难度参数'!$E$18*POWER(A56,'难度参数'!$E$19)/D56*(0.85+0.3*(1-1)/MAX(1,D56-1))),0)+F56)))</x:f>
        <x:v>16</x:v>
      </x:c>
      <x:c r="Y56" s="119" t="n">
        <x:f>IF(1&gt;D56,0,ROUND(('难度参数'!$E$13*POWER(A56,'难度参数'!$E$20)*MIN('难度参数'!$E$23,1+MAX(0,A56-'难度参数'!$E$21)*'难度参数'!$E$22))*(36+1*7)/(36+7*(D56+1)/2)*E56,0))</x:f>
        <x:v>1225</x:v>
      </x:c>
      <x:c r="Z56" s="119" t="n">
        <x:f>IF(X56=0,0,(X56-IF(1=D56,1,0))*ROUND(Y56*VLOOKUP(INDEX('章节与怪物'!$E$31:$K$37,B56,1),'章节与怪物'!$A$41:$F$44,2,FALSE),0)+IF(1=D56,ROUND(Y56*'难度参数'!$E$28*'章节与怪物'!$E$17,0),0))</x:f>
        <x:v>19600</x:v>
      </x:c>
      <x:c r="AA56" s="119" t="n">
        <x:f>IF(X56=0,0,(X56-IF(1=D56,1,0))*VLOOKUP(INDEX('章节与怪物'!$E$31:$K$37,B56,1),'章节与怪物'!$A$41:$F$44,4,FALSE)+IF(1=D56,'难度参数'!$E$30,0))</x:f>
        <x:v>288</x:v>
      </x:c>
      <x:c r="AB56" s="119" t="n">
        <x:f>IF(2&gt;D56,0,MAX(2,MIN('难度参数'!$E$12,ROUND(('难度参数'!$E$18*POWER(A56,'难度参数'!$E$19)/D56*(0.85+0.3*(2-1)/MAX(1,D56-1))),0)+F56)))</x:f>
        <x:v>17</x:v>
      </x:c>
      <x:c r="AC56" s="119" t="n">
        <x:f>IF(2&gt;D56,0,ROUND(('难度参数'!$E$13*POWER(A56,'难度参数'!$E$20)*MIN('难度参数'!$E$23,1+MAX(0,A56-'难度参数'!$E$21)*'难度参数'!$E$22))*(36+2*7)/(36+7*(D56+1)/2)*E56,0))</x:f>
        <x:v>1424</x:v>
      </x:c>
      <x:c r="AD56" s="119" t="n">
        <x:f>IF(AB56=0,0,(AB56-IF(2=D56,1,0))*ROUND(AC56*VLOOKUP(INDEX('章节与怪物'!$E$31:$K$37,B56,2),'章节与怪物'!$A$41:$F$44,2,FALSE),0)+IF(2=D56,ROUND(AC56*'难度参数'!$E$28*'章节与怪物'!$E$17,0),0))</x:f>
        <x:v>17425</x:v>
      </x:c>
      <x:c r="AE56" s="119" t="n">
        <x:f>IF(AB56=0,0,(AB56-IF(2=D56,1,0))*VLOOKUP(INDEX('章节与怪物'!$E$31:$K$37,B56,2),'章节与怪物'!$A$41:$F$44,4,FALSE)+IF(2=D56,'难度参数'!$E$30,0))</x:f>
        <x:v>340</x:v>
      </x:c>
      <x:c r="AF56" s="119" t="n">
        <x:f>IF(3&gt;D56,0,MAX(2,MIN('难度参数'!$E$12,ROUND(('难度参数'!$E$18*POWER(A56,'难度参数'!$E$19)/D56*(0.85+0.3*(3-1)/MAX(1,D56-1))),0)+F56)))</x:f>
        <x:v>18</x:v>
      </x:c>
      <x:c r="AG56" s="119" t="n">
        <x:f>IF(3&gt;D56,0,ROUND(('难度参数'!$E$13*POWER(A56,'难度参数'!$E$20)*MIN('难度参数'!$E$23,1+MAX(0,A56-'难度参数'!$E$21)*'难度参数'!$E$22))*(36+3*7)/(36+7*(D56+1)/2)*E56,0))</x:f>
        <x:v>1623</x:v>
      </x:c>
      <x:c r="AH56" s="119" t="n">
        <x:f>IF(AF56=0,0,(AF56-IF(3=D56,1,0))*ROUND(AG56*VLOOKUP(INDEX('章节与怪物'!$E$31:$K$37,B56,3),'章节与怪物'!$A$41:$F$44,2,FALSE),0)+IF(3=D56,ROUND(AG56*'难度参数'!$E$28*'章节与怪物'!$E$17,0),0))</x:f>
        <x:v>49662</x:v>
      </x:c>
      <x:c r="AI56" s="119" t="n">
        <x:f>IF(AF56=0,0,(AF56-IF(3=D56,1,0))*VLOOKUP(INDEX('章节与怪物'!$E$31:$K$37,B56,3),'章节与怪物'!$A$41:$F$44,4,FALSE)+IF(3=D56,'难度参数'!$E$30,0))</x:f>
        <x:v>504</x:v>
      </x:c>
      <x:c r="AJ56" s="119" t="n">
        <x:f>IF(4&gt;D56,0,MAX(2,MIN('难度参数'!$E$12,ROUND(('难度参数'!$E$18*POWER(A56,'难度参数'!$E$19)/D56*(0.85+0.3*(4-1)/MAX(1,D56-1))),0)+F56)))</x:f>
        <x:v>19</x:v>
      </x:c>
      <x:c r="AK56" s="119" t="n">
        <x:f>IF(4&gt;D56,0,ROUND(('难度参数'!$E$13*POWER(A56,'难度参数'!$E$20)*MIN('难度参数'!$E$23,1+MAX(0,A56-'难度参数'!$E$21)*'难度参数'!$E$22))*(36+4*7)/(36+7*(D56+1)/2)*E56,0))</x:f>
        <x:v>1823</x:v>
      </x:c>
      <x:c r="AL56" s="119" t="n">
        <x:f>IF(AJ56=0,0,(AJ56-IF(4=D56,1,0))*ROUND(AK56*VLOOKUP(INDEX('章节与怪物'!$E$31:$K$37,B56,4),'章节与怪物'!$A$41:$F$44,2,FALSE),0)+IF(4=D56,ROUND(AK56*'难度参数'!$E$28*'章节与怪物'!$E$17,0),0))</x:f>
        <x:v>46759</x:v>
      </x:c>
      <x:c r="AM56" s="119" t="n">
        <x:f>IF(AJ56=0,0,(AJ56-IF(4=D56,1,0))*VLOOKUP(INDEX('章节与怪物'!$E$31:$K$37,B56,4),'章节与怪物'!$A$41:$F$44,4,FALSE)+IF(4=D56,'难度参数'!$E$30,0))</x:f>
        <x:v>646</x:v>
      </x:c>
      <x:c r="AN56" s="119" t="n">
        <x:f>IF(5&gt;D56,0,MAX(2,MIN('难度参数'!$E$12,ROUND(('难度参数'!$E$18*POWER(A56,'难度参数'!$E$19)/D56*(0.85+0.3*(5-1)/MAX(1,D56-1))),0)+F56)))</x:f>
        <x:v>19</x:v>
      </x:c>
      <x:c r="AO56" s="119" t="n">
        <x:f>IF(5&gt;D56,0,ROUND(('难度参数'!$E$13*POWER(A56,'难度参数'!$E$20)*MIN('难度参数'!$E$23,1+MAX(0,A56-'难度参数'!$E$21)*'难度参数'!$E$22))*(36+5*7)/(36+7*(D56+1)/2)*E56,0))</x:f>
        <x:v>2022</x:v>
      </x:c>
      <x:c r="AP56" s="119" t="n">
        <x:f>IF(AN56=0,0,(AN56-IF(5=D56,1,0))*ROUND(AO56*VLOOKUP(INDEX('章节与怪物'!$E$31:$K$37,B56,5),'章节与怪物'!$A$41:$F$44,2,FALSE),0)+IF(5=D56,ROUND(AO56*'难度参数'!$E$28*'章节与怪物'!$E$17,0),0))</x:f>
        <x:v>27664</x:v>
      </x:c>
      <x:c r="AQ56" s="119" t="n">
        <x:f>IF(AN56=0,0,(AN56-IF(5=D56,1,0))*VLOOKUP(INDEX('章节与怪物'!$E$31:$K$37,B56,5),'章节与怪物'!$A$41:$F$44,4,FALSE)+IF(5=D56,'难度参数'!$E$30,0))</x:f>
        <x:v>380</x:v>
      </x:c>
      <x:c r="AR56" s="119" t="n">
        <x:f>IF(6&gt;D56,0,MAX(2,MIN('难度参数'!$E$12,ROUND(('难度参数'!$E$18*POWER(A56,'难度参数'!$E$19)/D56*(0.85+0.3*(6-1)/MAX(1,D56-1))),0)+F56)))</x:f>
        <x:v>20</x:v>
      </x:c>
      <x:c r="AS56" s="119" t="n">
        <x:f>IF(6&gt;D56,0,ROUND(('难度参数'!$E$13*POWER(A56,'难度参数'!$E$20)*MIN('难度参数'!$E$23,1+MAX(0,A56-'难度参数'!$E$21)*'难度参数'!$E$22))*(36+6*7)/(36+7*(D56+1)/2)*E56,0))</x:f>
        <x:v>2221</x:v>
      </x:c>
      <x:c r="AT56" s="119" t="n">
        <x:f>IF(AR56=0,0,(AR56-IF(6=D56,1,0))*ROUND(AS56*VLOOKUP(INDEX('章节与怪物'!$E$31:$K$37,B56,6),'章节与怪物'!$A$41:$F$44,2,FALSE),0)+IF(6=D56,ROUND(AS56*'难度参数'!$E$28*'章节与怪物'!$E$17,0),0))</x:f>
        <x:v>75520</x:v>
      </x:c>
      <x:c r="AU56" s="119" t="n">
        <x:f>IF(AR56=0,0,(AR56-IF(6=D56,1,0))*VLOOKUP(INDEX('章节与怪物'!$E$31:$K$37,B56,6),'章节与怪物'!$A$41:$F$44,4,FALSE)+IF(6=D56,'难度参数'!$E$30,0))</x:f>
        <x:v>560</x:v>
      </x:c>
      <x:c r="AV56" s="119" t="n">
        <x:f>IF(7&gt;D56,0,MAX(2,MIN('难度参数'!$E$12,ROUND(('难度参数'!$E$18*POWER(A56,'难度参数'!$E$19)/D56*(0.85+0.3*(7-1)/MAX(1,D56-1))),0)+F56)))</x:f>
        <x:v>21</x:v>
      </x:c>
      <x:c r="AW56" s="119" t="n">
        <x:f>IF(7&gt;D56,0,ROUND(('难度参数'!$E$13*POWER(A56,'难度参数'!$E$20)*MIN('难度参数'!$E$23,1+MAX(0,A56-'难度参数'!$E$21)*'难度参数'!$E$22))*(36+7*7)/(36+7*(D56+1)/2)*E56,0))</x:f>
        <x:v>2421</x:v>
      </x:c>
      <x:c r="AX56" s="119" t="n">
        <x:f>IF(AV56=0,0,(AV56-IF(7=D56,1,0))*ROUND(AW56*VLOOKUP(INDEX('章节与怪物'!$E$31:$K$37,B56,7),'章节与怪物'!$A$41:$F$44,2,FALSE),0)+IF(7=D56,ROUND(AW56*'难度参数'!$E$28*'章节与怪物'!$E$17,0),0))</x:f>
        <x:v>81823</x:v>
      </x:c>
      <x:c r="AY56" s="119" t="n">
        <x:f>IF(AV56=0,0,(AV56-IF(7=D56,1,0))*VLOOKUP(INDEX('章节与怪物'!$E$31:$K$37,B56,7),'章节与怪物'!$A$41:$F$44,4,FALSE)+IF(7=D56,'难度参数'!$E$30,0))</x:f>
        <x:v>880</x:v>
      </x:c>
    </x:row>
    <x:row r="57" ht="23" customHeight="1">
      <x:c r="A57" s="119" t="n">
        <x:v>51</x:v>
      </x:c>
      <x:c r="B57" s="119" t="n">
        <x:f>MOD(INT((A57-1)/5),7)+1</x:f>
        <x:v>4</x:v>
      </x:c>
      <x:c r="C57" s="62" t="str">
        <x:f>INDEX('章节与怪物'!$B$31:$B$37,B57)</x:f>
        <x:v>翠野边城</x:v>
      </x:c>
      <x:c r="D57" s="119" t="n">
        <x:f>MIN('难度参数'!$E$8,MAX('难度参数'!$E$7,A57))</x:f>
        <x:v>7</x:v>
      </x:c>
      <x:c r="E57" s="106" t="n">
        <x:v>1</x:v>
      </x:c>
      <x:c r="F57" s="106" t="n">
        <x:v>0</x:v>
      </x:c>
      <x:c r="G57" s="106" t="n">
        <x:v>1</x:v>
      </x:c>
      <x:c r="H57" s="119" t="n">
        <x:f>SUM(X57,AB57,AF57,AJ57,AN57,AR57,AV57)</x:f>
        <x:v>132</x:v>
      </x:c>
      <x:c r="I57" s="119" t="n">
        <x:f>SUM(Z57,AD57,AH57,AL57,AP57,AT57,AX57)</x:f>
        <x:v>295559</x:v>
      </x:c>
      <x:c r="J57" s="119" t="n">
        <x:f>ROUND(INDEX(X57:AY57,1,(D57-1)*4+2)*'难度参数'!$E$28*'章节与怪物'!$E$17,0)</x:f>
        <x:v>16742</x:v>
      </x:c>
      <x:c r="K57" s="119" t="n">
        <x:f>SUM(AA57,AE57,AI57,AM57,AQ57,AU57,AY57)</x:f>
        <x:v>3436</x:v>
      </x:c>
      <x:c r="L57" s="62" t="n">
        <x:f>H57*(ROUNDUP('难度参数'!$E$24/('难度参数'!$E$26*'难度参数'!$E$27),0)*'难度参数'!$E$26)/60</x:f>
        <x:v>1.7600000000000002</x:v>
      </x:c>
      <x:c r="M57" s="62" t="n">
        <x:f>L57+D57*('难度参数'!$E$49+'难度参数'!$E$50)/60</x:f>
        <x:v>2.9266666666666667</x:v>
      </x:c>
      <x:c r="N57" s="119" t="n">
        <x:f>ROUNDDOWN(('经济参数'!$E$20+A57*'经济参数'!$E$21)*G57,0)</x:f>
        <x:v>1200</x:v>
      </x:c>
      <x:c r="O57" s="119" t="n">
        <x:f>ROUNDDOWN(MIN('经济参数'!$E$24,'经济参数'!$E$22+A57*'经济参数'!$E$23)*G57,0)</x:f>
        <x:v>0</x:v>
      </x:c>
      <x:c r="P57" s="119" t="n">
        <x:f>ROUNDDOWN((IF(A57&gt;='材料与任务'!$E$31,'材料与任务'!$E$32,IF(A57&gt;='材料与任务'!$E$25,'材料与任务'!$E$26,IF(A57&gt;='材料与任务'!$E$19,'材料与任务'!$E$20,IF(A57&gt;='材料与任务'!$E$13,'材料与任务'!$E$14,'材料与任务'!$E$8)))))*G57,0)</x:f>
        <x:v>4</x:v>
      </x:c>
      <x:c r="Q57" s="119" t="n">
        <x:f>ROUNDDOWN((IF(A57&gt;='材料与任务'!$E$31,'材料与任务'!$E$33,IF(A57&gt;='材料与任务'!$E$25,'材料与任务'!$E$27,IF(A57&gt;='材料与任务'!$E$19,'材料与任务'!$E$21,IF(A57&gt;='材料与任务'!$E$13,'材料与任务'!$E$15,'材料与任务'!$E$9)))))*G57,0)</x:f>
        <x:v>2</x:v>
      </x:c>
      <x:c r="R57" s="110" t="n">
        <x:f>'装备掉落'!$B$38</x:f>
        <x:v>0.6872058758851213</x:v>
      </x:c>
      <x:c r="S57" s="119" t="n">
        <x:f>MAX(IF(VLOOKUP(A57,'装备掉落'!$A$29:$H$34,2,TRUE)&gt;0,1,0),IF(VLOOKUP(A57,'装备掉落'!$A$29:$H$34,3,TRUE)&gt;0,2,0),IF(VLOOKUP(A57,'装备掉落'!$A$29:$H$34,4,TRUE)&gt;0,3,0),IF(VLOOKUP(A57,'装备掉落'!$A$29:$H$34,5,TRUE)&gt;0,4,0),IF(VLOOKUP(A57,'装备掉落'!$A$29:$H$34,6,TRUE)&gt;0,5,0),IF(VLOOKUP(A57,'装备掉落'!$A$29:$H$34,7,TRUE)&gt;0,6,0),IF(VLOOKUP(A57,'装备掉落'!$A$29:$H$34,8,TRUE)&gt;0,7,0))</x:f>
        <x:v>5</x:v>
      </x:c>
      <x:c r="T57" s="119" t="n">
        <x:f>MIN(7,S57+'经济参数'!$E$70)</x:f>
        <x:v>5</x:v>
      </x:c>
      <x:c r="U57" s="119" t="n">
        <x:f>MIN(7,S57+'经济参数'!$E$71)</x:f>
        <x:v>6</x:v>
      </x:c>
      <x:c r="V57" s="119" t="n">
        <x:f>IF(H57&gt;=('难度参数'!$E$52),1,0)+IF(H57&gt;=('难度参数'!$E$52+'难度参数'!$E$53),1,0)+IF(H57&gt;=('难度参数'!$E$52+'难度参数'!$E$53+'难度参数'!$E$54),1,0)+IF(H57&gt;=('难度参数'!$E$52+'难度参数'!$E$53+'难度参数'!$E$54+'难度参数'!$E$55),1,0)+IF(H57&gt;=('难度参数'!$E$52+'难度参数'!$E$53+'难度参数'!$E$54+'难度参数'!$E$55+'难度参数'!$E$56),1,0)+IF(H57&gt;=('难度参数'!$E$52+'难度参数'!$E$53+'难度参数'!$E$54+'难度参数'!$E$55+'难度参数'!$E$56+'难度参数'!$E$57),1,0)</x:f>
        <x:v>6</x:v>
      </x:c>
      <x:c r="W57" s="62" t="str">
        <x:f>IF(L57&gt;'难度参数'!$E$51,"仅出怪已超目标","还需实测")</x:f>
        <x:v>还需实测</x:v>
      </x:c>
      <x:c r="X57" s="119" t="n">
        <x:f>IF(1&gt;D57,0,MAX(2,MIN('难度参数'!$E$12,ROUND(('难度参数'!$E$18*POWER(A57,'难度参数'!$E$19)/D57*(0.85+0.3*(1-1)/MAX(1,D57-1))),0)+F57)))</x:f>
        <x:v>16</x:v>
      </x:c>
      <x:c r="Y57" s="119" t="n">
        <x:f>IF(1&gt;D57,0,ROUND(('难度参数'!$E$13*POWER(A57,'难度参数'!$E$20)*MIN('难度参数'!$E$23,1+MAX(0,A57-'难度参数'!$E$21)*'难度参数'!$E$22))*(36+1*7)/(36+7*(D57+1)/2)*E57,0))</x:f>
        <x:v>1246</x:v>
      </x:c>
      <x:c r="Z57" s="119" t="n">
        <x:f>IF(X57=0,0,(X57-IF(1=D57,1,0))*ROUND(Y57*VLOOKUP(INDEX('章节与怪物'!$E$31:$K$37,B57,1),'章节与怪物'!$A$41:$F$44,2,FALSE),0)+IF(1=D57,ROUND(Y57*'难度参数'!$E$28*'章节与怪物'!$E$17,0),0))</x:f>
        <x:v>14352</x:v>
      </x:c>
      <x:c r="AA57" s="119" t="n">
        <x:f>IF(X57=0,0,(X57-IF(1=D57,1,0))*VLOOKUP(INDEX('章节与怪物'!$E$31:$K$37,B57,1),'章节与怪物'!$A$41:$F$44,4,FALSE)+IF(1=D57,'难度参数'!$E$30,0))</x:f>
        <x:v>320</x:v>
      </x:c>
      <x:c r="AB57" s="119" t="n">
        <x:f>IF(2&gt;D57,0,MAX(2,MIN('难度参数'!$E$12,ROUND(('难度参数'!$E$18*POWER(A57,'难度参数'!$E$19)/D57*(0.85+0.3*(2-1)/MAX(1,D57-1))),0)+F57)))</x:f>
        <x:v>17</x:v>
      </x:c>
      <x:c r="AC57" s="119" t="n">
        <x:f>IF(2&gt;D57,0,ROUND(('难度参数'!$E$13*POWER(A57,'难度参数'!$E$20)*MIN('难度参数'!$E$23,1+MAX(0,A57-'难度参数'!$E$21)*'难度参数'!$E$22))*(36+2*7)/(36+7*(D57+1)/2)*E57,0))</x:f>
        <x:v>1448</x:v>
      </x:c>
      <x:c r="AD57" s="119" t="n">
        <x:f>IF(AB57=0,0,(AB57-IF(2=D57,1,0))*ROUND(AC57*VLOOKUP(INDEX('章节与怪物'!$E$31:$K$37,B57,2),'章节与怪物'!$A$41:$F$44,2,FALSE),0)+IF(2=D57,ROUND(AC57*'难度参数'!$E$28*'章节与怪物'!$E$17,0),0))</x:f>
        <x:v>24616</x:v>
      </x:c>
      <x:c r="AE57" s="119" t="n">
        <x:f>IF(AB57=0,0,(AB57-IF(2=D57,1,0))*VLOOKUP(INDEX('章节与怪物'!$E$31:$K$37,B57,2),'章节与怪物'!$A$41:$F$44,4,FALSE)+IF(2=D57,'难度参数'!$E$30,0))</x:f>
        <x:v>306</x:v>
      </x:c>
      <x:c r="AF57" s="119" t="n">
        <x:f>IF(3&gt;D57,0,MAX(2,MIN('难度参数'!$E$12,ROUND(('难度参数'!$E$18*POWER(A57,'难度参数'!$E$19)/D57*(0.85+0.3*(3-1)/MAX(1,D57-1))),0)+F57)))</x:f>
        <x:v>18</x:v>
      </x:c>
      <x:c r="AG57" s="119" t="n">
        <x:f>IF(3&gt;D57,0,ROUND(('难度参数'!$E$13*POWER(A57,'难度参数'!$E$20)*MIN('难度参数'!$E$23,1+MAX(0,A57-'难度参数'!$E$21)*'难度参数'!$E$22))*(36+3*7)/(36+7*(D57+1)/2)*E57,0))</x:f>
        <x:v>1651</x:v>
      </x:c>
      <x:c r="AH57" s="119" t="n">
        <x:f>IF(AF57=0,0,(AF57-IF(3=D57,1,0))*ROUND(AG57*VLOOKUP(INDEX('章节与怪物'!$E$31:$K$37,B57,3),'章节与怪物'!$A$41:$F$44,2,FALSE),0)+IF(3=D57,ROUND(AG57*'难度参数'!$E$28*'章节与怪物'!$E$17,0),0))</x:f>
        <x:v>50526</x:v>
      </x:c>
      <x:c r="AI57" s="119" t="n">
        <x:f>IF(AF57=0,0,(AF57-IF(3=D57,1,0))*VLOOKUP(INDEX('章节与怪物'!$E$31:$K$37,B57,3),'章节与怪物'!$A$41:$F$44,4,FALSE)+IF(3=D57,'难度参数'!$E$30,0))</x:f>
        <x:v>504</x:v>
      </x:c>
      <x:c r="AJ57" s="119" t="n">
        <x:f>IF(4&gt;D57,0,MAX(2,MIN('难度参数'!$E$12,ROUND(('难度参数'!$E$18*POWER(A57,'难度参数'!$E$19)/D57*(0.85+0.3*(4-1)/MAX(1,D57-1))),0)+F57)))</x:f>
        <x:v>19</x:v>
      </x:c>
      <x:c r="AK57" s="119" t="n">
        <x:f>IF(4&gt;D57,0,ROUND(('难度参数'!$E$13*POWER(A57,'难度参数'!$E$20)*MIN('难度参数'!$E$23,1+MAX(0,A57-'难度参数'!$E$21)*'难度参数'!$E$22))*(36+4*7)/(36+7*(D57+1)/2)*E57,0))</x:f>
        <x:v>1854</x:v>
      </x:c>
      <x:c r="AL57" s="119" t="n">
        <x:f>IF(AJ57=0,0,(AJ57-IF(4=D57,1,0))*ROUND(AK57*VLOOKUP(INDEX('章节与怪物'!$E$31:$K$37,B57,4),'章节与怪物'!$A$41:$F$44,2,FALSE),0)+IF(4=D57,ROUND(AK57*'难度参数'!$E$28*'章节与怪物'!$E$17,0),0))</x:f>
        <x:v>47557</x:v>
      </x:c>
      <x:c r="AM57" s="119" t="n">
        <x:f>IF(AJ57=0,0,(AJ57-IF(4=D57,1,0))*VLOOKUP(INDEX('章节与怪物'!$E$31:$K$37,B57,4),'章节与怪物'!$A$41:$F$44,4,FALSE)+IF(4=D57,'难度参数'!$E$30,0))</x:f>
        <x:v>646</x:v>
      </x:c>
      <x:c r="AN57" s="119" t="n">
        <x:f>IF(5&gt;D57,0,MAX(2,MIN('难度参数'!$E$12,ROUND(('难度参数'!$E$18*POWER(A57,'难度参数'!$E$19)/D57*(0.85+0.3*(5-1)/MAX(1,D57-1))),0)+F57)))</x:f>
        <x:v>20</x:v>
      </x:c>
      <x:c r="AO57" s="119" t="n">
        <x:f>IF(5&gt;D57,0,ROUND(('难度参数'!$E$13*POWER(A57,'难度参数'!$E$20)*MIN('难度参数'!$E$23,1+MAX(0,A57-'难度参数'!$E$21)*'难度参数'!$E$22))*(36+5*7)/(36+7*(D57+1)/2)*E57,0))</x:f>
        <x:v>2057</x:v>
      </x:c>
      <x:c r="AP57" s="119" t="n">
        <x:f>IF(AN57=0,0,(AN57-IF(5=D57,1,0))*ROUND(AO57*VLOOKUP(INDEX('章节与怪物'!$E$31:$K$37,B57,5),'章节与怪物'!$A$41:$F$44,2,FALSE),0)+IF(5=D57,ROUND(AO57*'难度参数'!$E$28*'章节与怪物'!$E$17,0),0))</x:f>
        <x:v>41140</x:v>
      </x:c>
      <x:c r="AQ57" s="119" t="n">
        <x:f>IF(AN57=0,0,(AN57-IF(5=D57,1,0))*VLOOKUP(INDEX('章节与怪物'!$E$31:$K$37,B57,5),'章节与怪物'!$A$41:$F$44,4,FALSE)+IF(5=D57,'难度参数'!$E$30,0))</x:f>
        <x:v>360</x:v>
      </x:c>
      <x:c r="AR57" s="119" t="n">
        <x:f>IF(6&gt;D57,0,MAX(2,MIN('难度参数'!$E$12,ROUND(('难度参数'!$E$18*POWER(A57,'难度参数'!$E$19)/D57*(0.85+0.3*(6-1)/MAX(1,D57-1))),0)+F57)))</x:f>
        <x:v>21</x:v>
      </x:c>
      <x:c r="AS57" s="119" t="n">
        <x:f>IF(6&gt;D57,0,ROUND(('难度参数'!$E$13*POWER(A57,'难度参数'!$E$20)*MIN('难度参数'!$E$23,1+MAX(0,A57-'难度参数'!$E$21)*'难度参数'!$E$22))*(36+6*7)/(36+7*(D57+1)/2)*E57,0))</x:f>
        <x:v>2259</x:v>
      </x:c>
      <x:c r="AT57" s="119" t="n">
        <x:f>IF(AR57=0,0,(AR57-IF(6=D57,1,0))*ROUND(AS57*VLOOKUP(INDEX('章节与怪物'!$E$31:$K$37,B57,6),'章节与怪物'!$A$41:$F$44,2,FALSE),0)+IF(6=D57,ROUND(AS57*'难度参数'!$E$28*'章节与怪物'!$E$17,0),0))</x:f>
        <x:v>34146</x:v>
      </x:c>
      <x:c r="AU57" s="119" t="n">
        <x:f>IF(AR57=0,0,(AR57-IF(6=D57,1,0))*VLOOKUP(INDEX('章节与怪物'!$E$31:$K$37,B57,6),'章节与怪物'!$A$41:$F$44,4,FALSE)+IF(6=D57,'难度参数'!$E$30,0))</x:f>
        <x:v>420</x:v>
      </x:c>
      <x:c r="AV57" s="119" t="n">
        <x:f>IF(7&gt;D57,0,MAX(2,MIN('难度参数'!$E$12,ROUND(('难度参数'!$E$18*POWER(A57,'难度参数'!$E$19)/D57*(0.85+0.3*(7-1)/MAX(1,D57-1))),0)+F57)))</x:f>
        <x:v>21</x:v>
      </x:c>
      <x:c r="AW57" s="119" t="n">
        <x:f>IF(7&gt;D57,0,ROUND(('难度参数'!$E$13*POWER(A57,'难度参数'!$E$20)*MIN('难度参数'!$E$23,1+MAX(0,A57-'难度参数'!$E$21)*'难度参数'!$E$22))*(36+7*7)/(36+7*(D57+1)/2)*E57,0))</x:f>
        <x:v>2462</x:v>
      </x:c>
      <x:c r="AX57" s="119" t="n">
        <x:f>IF(AV57=0,0,(AV57-IF(7=D57,1,0))*ROUND(AW57*VLOOKUP(INDEX('章节与怪物'!$E$31:$K$37,B57,7),'章节与怪物'!$A$41:$F$44,2,FALSE),0)+IF(7=D57,ROUND(AW57*'难度参数'!$E$28*'章节与怪物'!$E$17,0),0))</x:f>
        <x:v>83222</x:v>
      </x:c>
      <x:c r="AY57" s="119" t="n">
        <x:f>IF(AV57=0,0,(AV57-IF(7=D57,1,0))*VLOOKUP(INDEX('章节与怪物'!$E$31:$K$37,B57,7),'章节与怪物'!$A$41:$F$44,4,FALSE)+IF(7=D57,'难度参数'!$E$30,0))</x:f>
        <x:v>880</x:v>
      </x:c>
    </x:row>
    <x:row r="58" ht="23" customHeight="1">
      <x:c r="A58" s="119" t="n">
        <x:v>52</x:v>
      </x:c>
      <x:c r="B58" s="119" t="n">
        <x:f>MOD(INT((A58-1)/5),7)+1</x:f>
        <x:v>4</x:v>
      </x:c>
      <x:c r="C58" s="62" t="str">
        <x:f>INDEX('章节与怪物'!$B$31:$B$37,B58)</x:f>
        <x:v>翠野边城</x:v>
      </x:c>
      <x:c r="D58" s="119" t="n">
        <x:f>MIN('难度参数'!$E$8,MAX('难度参数'!$E$7,A58))</x:f>
        <x:v>7</x:v>
      </x:c>
      <x:c r="E58" s="106" t="n">
        <x:v>1</x:v>
      </x:c>
      <x:c r="F58" s="106" t="n">
        <x:v>0</x:v>
      </x:c>
      <x:c r="G58" s="106" t="n">
        <x:v>1</x:v>
      </x:c>
      <x:c r="H58" s="119" t="n">
        <x:f>SUM(X58,AB58,AF58,AJ58,AN58,AR58,AV58)</x:f>
        <x:v>133</x:v>
      </x:c>
      <x:c r="I58" s="119" t="n">
        <x:f>SUM(Z58,AD58,AH58,AL58,AP58,AT58,AX58)</x:f>
        <x:v>303921</x:v>
      </x:c>
      <x:c r="J58" s="119" t="n">
        <x:f>ROUND(INDEX(X58:AY58,1,(D58-1)*4+2)*'难度参数'!$E$28*'章节与怪物'!$E$17,0)</x:f>
        <x:v>17027</x:v>
      </x:c>
      <x:c r="K58" s="119" t="n">
        <x:f>SUM(AA58,AE58,AI58,AM58,AQ58,AU58,AY58)</x:f>
        <x:v>3470</x:v>
      </x:c>
      <x:c r="L58" s="62" t="n">
        <x:f>H58*(ROUNDUP('难度参数'!$E$24/('难度参数'!$E$26*'难度参数'!$E$27),0)*'难度参数'!$E$26)/60</x:f>
        <x:v>1.7733333333333334</x:v>
      </x:c>
      <x:c r="M58" s="62" t="n">
        <x:f>L58+D58*('难度参数'!$E$49+'难度参数'!$E$50)/60</x:f>
        <x:v>2.9400000000000004</x:v>
      </x:c>
      <x:c r="N58" s="119" t="n">
        <x:f>ROUNDDOWN(('经济参数'!$E$20+A58*'经济参数'!$E$21)*G58,0)</x:f>
        <x:v>1220</x:v>
      </x:c>
      <x:c r="O58" s="119" t="n">
        <x:f>ROUNDDOWN(MIN('经济参数'!$E$24,'经济参数'!$E$22+A58*'经济参数'!$E$23)*G58,0)</x:f>
        <x:v>0</x:v>
      </x:c>
      <x:c r="P58" s="119" t="n">
        <x:f>ROUNDDOWN((IF(A58&gt;='材料与任务'!$E$31,'材料与任务'!$E$32,IF(A58&gt;='材料与任务'!$E$25,'材料与任务'!$E$26,IF(A58&gt;='材料与任务'!$E$19,'材料与任务'!$E$20,IF(A58&gt;='材料与任务'!$E$13,'材料与任务'!$E$14,'材料与任务'!$E$8)))))*G58,0)</x:f>
        <x:v>4</x:v>
      </x:c>
      <x:c r="Q58" s="119" t="n">
        <x:f>ROUNDDOWN((IF(A58&gt;='材料与任务'!$E$31,'材料与任务'!$E$33,IF(A58&gt;='材料与任务'!$E$25,'材料与任务'!$E$27,IF(A58&gt;='材料与任务'!$E$19,'材料与任务'!$E$21,IF(A58&gt;='材料与任务'!$E$13,'材料与任务'!$E$15,'材料与任务'!$E$9)))))*G58,0)</x:f>
        <x:v>2</x:v>
      </x:c>
      <x:c r="R58" s="110" t="n">
        <x:f>'装备掉落'!$B$38</x:f>
        <x:v>0.6872058758851213</x:v>
      </x:c>
      <x:c r="S58" s="119" t="n">
        <x:f>MAX(IF(VLOOKUP(A58,'装备掉落'!$A$29:$H$34,2,TRUE)&gt;0,1,0),IF(VLOOKUP(A58,'装备掉落'!$A$29:$H$34,3,TRUE)&gt;0,2,0),IF(VLOOKUP(A58,'装备掉落'!$A$29:$H$34,4,TRUE)&gt;0,3,0),IF(VLOOKUP(A58,'装备掉落'!$A$29:$H$34,5,TRUE)&gt;0,4,0),IF(VLOOKUP(A58,'装备掉落'!$A$29:$H$34,6,TRUE)&gt;0,5,0),IF(VLOOKUP(A58,'装备掉落'!$A$29:$H$34,7,TRUE)&gt;0,6,0),IF(VLOOKUP(A58,'装备掉落'!$A$29:$H$34,8,TRUE)&gt;0,7,0))</x:f>
        <x:v>5</x:v>
      </x:c>
      <x:c r="T58" s="119" t="n">
        <x:f>MIN(7,S58+'经济参数'!$E$70)</x:f>
        <x:v>5</x:v>
      </x:c>
      <x:c r="U58" s="119" t="n">
        <x:f>MIN(7,S58+'经济参数'!$E$71)</x:f>
        <x:v>6</x:v>
      </x:c>
      <x:c r="V58" s="119" t="n">
        <x:f>IF(H58&gt;=('难度参数'!$E$52),1,0)+IF(H58&gt;=('难度参数'!$E$52+'难度参数'!$E$53),1,0)+IF(H58&gt;=('难度参数'!$E$52+'难度参数'!$E$53+'难度参数'!$E$54),1,0)+IF(H58&gt;=('难度参数'!$E$52+'难度参数'!$E$53+'难度参数'!$E$54+'难度参数'!$E$55),1,0)+IF(H58&gt;=('难度参数'!$E$52+'难度参数'!$E$53+'难度参数'!$E$54+'难度参数'!$E$55+'难度参数'!$E$56),1,0)+IF(H58&gt;=('难度参数'!$E$52+'难度参数'!$E$53+'难度参数'!$E$54+'难度参数'!$E$55+'难度参数'!$E$56+'难度参数'!$E$57),1,0)</x:f>
        <x:v>6</x:v>
      </x:c>
      <x:c r="W58" s="62" t="str">
        <x:f>IF(L58&gt;'难度参数'!$E$51,"仅出怪已超目标","还需实测")</x:f>
        <x:v>还需实测</x:v>
      </x:c>
      <x:c r="X58" s="119" t="n">
        <x:f>IF(1&gt;D58,0,MAX(2,MIN('难度参数'!$E$12,ROUND(('难度参数'!$E$18*POWER(A58,'难度参数'!$E$19)/D58*(0.85+0.3*(1-1)/MAX(1,D58-1))),0)+F58)))</x:f>
        <x:v>16</x:v>
      </x:c>
      <x:c r="Y58" s="119" t="n">
        <x:f>IF(1&gt;D58,0,ROUND(('难度参数'!$E$13*POWER(A58,'难度参数'!$E$20)*MIN('难度参数'!$E$23,1+MAX(0,A58-'难度参数'!$E$21)*'难度参数'!$E$22))*(36+1*7)/(36+7*(D58+1)/2)*E58,0))</x:f>
        <x:v>1267</x:v>
      </x:c>
      <x:c r="Z58" s="119" t="n">
        <x:f>IF(X58=0,0,(X58-IF(1=D58,1,0))*ROUND(Y58*VLOOKUP(INDEX('章节与怪物'!$E$31:$K$37,B58,1),'章节与怪物'!$A$41:$F$44,2,FALSE),0)+IF(1=D58,ROUND(Y58*'难度参数'!$E$28*'章节与怪物'!$E$17,0),0))</x:f>
        <x:v>14592</x:v>
      </x:c>
      <x:c r="AA58" s="119" t="n">
        <x:f>IF(X58=0,0,(X58-IF(1=D58,1,0))*VLOOKUP(INDEX('章节与怪物'!$E$31:$K$37,B58,1),'章节与怪物'!$A$41:$F$44,4,FALSE)+IF(1=D58,'难度参数'!$E$30,0))</x:f>
        <x:v>320</x:v>
      </x:c>
      <x:c r="AB58" s="119" t="n">
        <x:f>IF(2&gt;D58,0,MAX(2,MIN('难度参数'!$E$12,ROUND(('难度参数'!$E$18*POWER(A58,'难度参数'!$E$19)/D58*(0.85+0.3*(2-1)/MAX(1,D58-1))),0)+F58)))</x:f>
        <x:v>17</x:v>
      </x:c>
      <x:c r="AC58" s="119" t="n">
        <x:f>IF(2&gt;D58,0,ROUND(('难度参数'!$E$13*POWER(A58,'难度参数'!$E$20)*MIN('难度参数'!$E$23,1+MAX(0,A58-'难度参数'!$E$21)*'难度参数'!$E$22))*(36+2*7)/(36+7*(D58+1)/2)*E58,0))</x:f>
        <x:v>1473</x:v>
      </x:c>
      <x:c r="AD58" s="119" t="n">
        <x:f>IF(AB58=0,0,(AB58-IF(2=D58,1,0))*ROUND(AC58*VLOOKUP(INDEX('章节与怪物'!$E$31:$K$37,B58,2),'章节与怪物'!$A$41:$F$44,2,FALSE),0)+IF(2=D58,ROUND(AC58*'难度参数'!$E$28*'章节与怪物'!$E$17,0),0))</x:f>
        <x:v>25041</x:v>
      </x:c>
      <x:c r="AE58" s="119" t="n">
        <x:f>IF(AB58=0,0,(AB58-IF(2=D58,1,0))*VLOOKUP(INDEX('章节与怪物'!$E$31:$K$37,B58,2),'章节与怪物'!$A$41:$F$44,4,FALSE)+IF(2=D58,'难度参数'!$E$30,0))</x:f>
        <x:v>306</x:v>
      </x:c>
      <x:c r="AF58" s="119" t="n">
        <x:f>IF(3&gt;D58,0,MAX(2,MIN('难度参数'!$E$12,ROUND(('难度参数'!$E$18*POWER(A58,'难度参数'!$E$19)/D58*(0.85+0.3*(3-1)/MAX(1,D58-1))),0)+F58)))</x:f>
        <x:v>18</x:v>
      </x:c>
      <x:c r="AG58" s="119" t="n">
        <x:f>IF(3&gt;D58,0,ROUND(('难度参数'!$E$13*POWER(A58,'难度参数'!$E$20)*MIN('难度参数'!$E$23,1+MAX(0,A58-'难度参数'!$E$21)*'难度参数'!$E$22))*(36+3*7)/(36+7*(D58+1)/2)*E58,0))</x:f>
        <x:v>1679</x:v>
      </x:c>
      <x:c r="AH58" s="119" t="n">
        <x:f>IF(AF58=0,0,(AF58-IF(3=D58,1,0))*ROUND(AG58*VLOOKUP(INDEX('章节与怪物'!$E$31:$K$37,B58,3),'章节与怪物'!$A$41:$F$44,2,FALSE),0)+IF(3=D58,ROUND(AG58*'难度参数'!$E$28*'章节与怪物'!$E$17,0),0))</x:f>
        <x:v>51372</x:v>
      </x:c>
      <x:c r="AI58" s="119" t="n">
        <x:f>IF(AF58=0,0,(AF58-IF(3=D58,1,0))*VLOOKUP(INDEX('章节与怪物'!$E$31:$K$37,B58,3),'章节与怪物'!$A$41:$F$44,4,FALSE)+IF(3=D58,'难度参数'!$E$30,0))</x:f>
        <x:v>504</x:v>
      </x:c>
      <x:c r="AJ58" s="119" t="n">
        <x:f>IF(4&gt;D58,0,MAX(2,MIN('难度参数'!$E$12,ROUND(('难度参数'!$E$18*POWER(A58,'难度参数'!$E$19)/D58*(0.85+0.3*(4-1)/MAX(1,D58-1))),0)+F58)))</x:f>
        <x:v>19</x:v>
      </x:c>
      <x:c r="AK58" s="119" t="n">
        <x:f>IF(4&gt;D58,0,ROUND(('难度参数'!$E$13*POWER(A58,'难度参数'!$E$20)*MIN('难度参数'!$E$23,1+MAX(0,A58-'难度参数'!$E$21)*'难度参数'!$E$22))*(36+4*7)/(36+7*(D58+1)/2)*E58,0))</x:f>
        <x:v>1885</x:v>
      </x:c>
      <x:c r="AL58" s="119" t="n">
        <x:f>IF(AJ58=0,0,(AJ58-IF(4=D58,1,0))*ROUND(AK58*VLOOKUP(INDEX('章节与怪物'!$E$31:$K$37,B58,4),'章节与怪物'!$A$41:$F$44,2,FALSE),0)+IF(4=D58,ROUND(AK58*'难度参数'!$E$28*'章节与怪物'!$E$17,0),0))</x:f>
        <x:v>48355</x:v>
      </x:c>
      <x:c r="AM58" s="119" t="n">
        <x:f>IF(AJ58=0,0,(AJ58-IF(4=D58,1,0))*VLOOKUP(INDEX('章节与怪物'!$E$31:$K$37,B58,4),'章节与怪物'!$A$41:$F$44,4,FALSE)+IF(4=D58,'难度参数'!$E$30,0))</x:f>
        <x:v>646</x:v>
      </x:c>
      <x:c r="AN58" s="119" t="n">
        <x:f>IF(5&gt;D58,0,MAX(2,MIN('难度参数'!$E$12,ROUND(('难度参数'!$E$18*POWER(A58,'难度参数'!$E$19)/D58*(0.85+0.3*(5-1)/MAX(1,D58-1))),0)+F58)))</x:f>
        <x:v>20</x:v>
      </x:c>
      <x:c r="AO58" s="119" t="n">
        <x:f>IF(5&gt;D58,0,ROUND(('难度参数'!$E$13*POWER(A58,'难度参数'!$E$20)*MIN('难度参数'!$E$23,1+MAX(0,A58-'难度参数'!$E$21)*'难度参数'!$E$22))*(36+5*7)/(36+7*(D58+1)/2)*E58,0))</x:f>
        <x:v>2091</x:v>
      </x:c>
      <x:c r="AP58" s="119" t="n">
        <x:f>IF(AN58=0,0,(AN58-IF(5=D58,1,0))*ROUND(AO58*VLOOKUP(INDEX('章节与怪物'!$E$31:$K$37,B58,5),'章节与怪物'!$A$41:$F$44,2,FALSE),0)+IF(5=D58,ROUND(AO58*'难度参数'!$E$28*'章节与怪物'!$E$17,0),0))</x:f>
        <x:v>41820</x:v>
      </x:c>
      <x:c r="AQ58" s="119" t="n">
        <x:f>IF(AN58=0,0,(AN58-IF(5=D58,1,0))*VLOOKUP(INDEX('章节与怪物'!$E$31:$K$37,B58,5),'章节与怪物'!$A$41:$F$44,4,FALSE)+IF(5=D58,'难度参数'!$E$30,0))</x:f>
        <x:v>360</x:v>
      </x:c>
      <x:c r="AR58" s="119" t="n">
        <x:f>IF(6&gt;D58,0,MAX(2,MIN('难度参数'!$E$12,ROUND(('难度参数'!$E$18*POWER(A58,'难度参数'!$E$19)/D58*(0.85+0.3*(6-1)/MAX(1,D58-1))),0)+F58)))</x:f>
        <x:v>21</x:v>
      </x:c>
      <x:c r="AS58" s="119" t="n">
        <x:f>IF(6&gt;D58,0,ROUND(('难度参数'!$E$13*POWER(A58,'难度参数'!$E$20)*MIN('难度参数'!$E$23,1+MAX(0,A58-'难度参数'!$E$21)*'难度参数'!$E$22))*(36+6*7)/(36+7*(D58+1)/2)*E58,0))</x:f>
        <x:v>2297</x:v>
      </x:c>
      <x:c r="AT58" s="119" t="n">
        <x:f>IF(AR58=0,0,(AR58-IF(6=D58,1,0))*ROUND(AS58*VLOOKUP(INDEX('章节与怪物'!$E$31:$K$37,B58,6),'章节与怪物'!$A$41:$F$44,2,FALSE),0)+IF(6=D58,ROUND(AS58*'难度参数'!$E$28*'章节与怪物'!$E$17,0),0))</x:f>
        <x:v>34734</x:v>
      </x:c>
      <x:c r="AU58" s="119" t="n">
        <x:f>IF(AR58=0,0,(AR58-IF(6=D58,1,0))*VLOOKUP(INDEX('章节与怪物'!$E$31:$K$37,B58,6),'章节与怪物'!$A$41:$F$44,4,FALSE)+IF(6=D58,'难度参数'!$E$30,0))</x:f>
        <x:v>420</x:v>
      </x:c>
      <x:c r="AV58" s="119" t="n">
        <x:f>IF(7&gt;D58,0,MAX(2,MIN('难度参数'!$E$12,ROUND(('难度参数'!$E$18*POWER(A58,'难度参数'!$E$19)/D58*(0.85+0.3*(7-1)/MAX(1,D58-1))),0)+F58)))</x:f>
        <x:v>22</x:v>
      </x:c>
      <x:c r="AW58" s="119" t="n">
        <x:f>IF(7&gt;D58,0,ROUND(('难度参数'!$E$13*POWER(A58,'难度参数'!$E$20)*MIN('难度参数'!$E$23,1+MAX(0,A58-'难度参数'!$E$21)*'难度参数'!$E$22))*(36+7*7)/(36+7*(D58+1)/2)*E58,0))</x:f>
        <x:v>2504</x:v>
      </x:c>
      <x:c r="AX58" s="119" t="n">
        <x:f>IF(AV58=0,0,(AV58-IF(7=D58,1,0))*ROUND(AW58*VLOOKUP(INDEX('章节与怪物'!$E$31:$K$37,B58,7),'章节与怪物'!$A$41:$F$44,2,FALSE),0)+IF(7=D58,ROUND(AW58*'难度参数'!$E$28*'章节与怪物'!$E$17,0),0))</x:f>
        <x:v>88007</x:v>
      </x:c>
      <x:c r="AY58" s="119" t="n">
        <x:f>IF(AV58=0,0,(AV58-IF(7=D58,1,0))*VLOOKUP(INDEX('章节与怪物'!$E$31:$K$37,B58,7),'章节与怪物'!$A$41:$F$44,4,FALSE)+IF(7=D58,'难度参数'!$E$30,0))</x:f>
        <x:v>914</x:v>
      </x:c>
    </x:row>
    <x:row r="59" ht="23" customHeight="1">
      <x:c r="A59" s="119" t="n">
        <x:v>53</x:v>
      </x:c>
      <x:c r="B59" s="119" t="n">
        <x:f>MOD(INT((A59-1)/5),7)+1</x:f>
        <x:v>4</x:v>
      </x:c>
      <x:c r="C59" s="62" t="str">
        <x:f>INDEX('章节与怪物'!$B$31:$B$37,B59)</x:f>
        <x:v>翠野边城</x:v>
      </x:c>
      <x:c r="D59" s="119" t="n">
        <x:f>MIN('难度参数'!$E$8,MAX('难度参数'!$E$7,A59))</x:f>
        <x:v>7</x:v>
      </x:c>
      <x:c r="E59" s="106" t="n">
        <x:v>1</x:v>
      </x:c>
      <x:c r="F59" s="106" t="n">
        <x:v>0</x:v>
      </x:c>
      <x:c r="G59" s="106" t="n">
        <x:v>1</x:v>
      </x:c>
      <x:c r="H59" s="119" t="n">
        <x:f>SUM(X59,AB59,AF59,AJ59,AN59,AR59,AV59)</x:f>
        <x:v>133</x:v>
      </x:c>
      <x:c r="I59" s="119" t="n">
        <x:f>SUM(Z59,AD59,AH59,AL59,AP59,AT59,AX59)</x:f>
        <x:v>308974</x:v>
      </x:c>
      <x:c r="J59" s="119" t="n">
        <x:f>ROUND(INDEX(X59:AY59,1,(D59-1)*4+2)*'难度参数'!$E$28*'章节与怪物'!$E$17,0)</x:f>
        <x:v>17306</x:v>
      </x:c>
      <x:c r="K59" s="119" t="n">
        <x:f>SUM(AA59,AE59,AI59,AM59,AQ59,AU59,AY59)</x:f>
        <x:v>3470</x:v>
      </x:c>
      <x:c r="L59" s="62" t="n">
        <x:f>H59*(ROUNDUP('难度参数'!$E$24/('难度参数'!$E$26*'难度参数'!$E$27),0)*'难度参数'!$E$26)/60</x:f>
        <x:v>1.7733333333333334</x:v>
      </x:c>
      <x:c r="M59" s="62" t="n">
        <x:f>L59+D59*('难度参数'!$E$49+'难度参数'!$E$50)/60</x:f>
        <x:v>2.9400000000000004</x:v>
      </x:c>
      <x:c r="N59" s="119" t="n">
        <x:f>ROUNDDOWN(('经济参数'!$E$20+A59*'经济参数'!$E$21)*G59,0)</x:f>
        <x:v>1240</x:v>
      </x:c>
      <x:c r="O59" s="119" t="n">
        <x:f>ROUNDDOWN(MIN('经济参数'!$E$24,'经济参数'!$E$22+A59*'经济参数'!$E$23)*G59,0)</x:f>
        <x:v>0</x:v>
      </x:c>
      <x:c r="P59" s="119" t="n">
        <x:f>ROUNDDOWN((IF(A59&gt;='材料与任务'!$E$31,'材料与任务'!$E$32,IF(A59&gt;='材料与任务'!$E$25,'材料与任务'!$E$26,IF(A59&gt;='材料与任务'!$E$19,'材料与任务'!$E$20,IF(A59&gt;='材料与任务'!$E$13,'材料与任务'!$E$14,'材料与任务'!$E$8)))))*G59,0)</x:f>
        <x:v>4</x:v>
      </x:c>
      <x:c r="Q59" s="119" t="n">
        <x:f>ROUNDDOWN((IF(A59&gt;='材料与任务'!$E$31,'材料与任务'!$E$33,IF(A59&gt;='材料与任务'!$E$25,'材料与任务'!$E$27,IF(A59&gt;='材料与任务'!$E$19,'材料与任务'!$E$21,IF(A59&gt;='材料与任务'!$E$13,'材料与任务'!$E$15,'材料与任务'!$E$9)))))*G59,0)</x:f>
        <x:v>2</x:v>
      </x:c>
      <x:c r="R59" s="110" t="n">
        <x:f>'装备掉落'!$B$38</x:f>
        <x:v>0.6872058758851213</x:v>
      </x:c>
      <x:c r="S59" s="119" t="n">
        <x:f>MAX(IF(VLOOKUP(A59,'装备掉落'!$A$29:$H$34,2,TRUE)&gt;0,1,0),IF(VLOOKUP(A59,'装备掉落'!$A$29:$H$34,3,TRUE)&gt;0,2,0),IF(VLOOKUP(A59,'装备掉落'!$A$29:$H$34,4,TRUE)&gt;0,3,0),IF(VLOOKUP(A59,'装备掉落'!$A$29:$H$34,5,TRUE)&gt;0,4,0),IF(VLOOKUP(A59,'装备掉落'!$A$29:$H$34,6,TRUE)&gt;0,5,0),IF(VLOOKUP(A59,'装备掉落'!$A$29:$H$34,7,TRUE)&gt;0,6,0),IF(VLOOKUP(A59,'装备掉落'!$A$29:$H$34,8,TRUE)&gt;0,7,0))</x:f>
        <x:v>5</x:v>
      </x:c>
      <x:c r="T59" s="119" t="n">
        <x:f>MIN(7,S59+'经济参数'!$E$70)</x:f>
        <x:v>5</x:v>
      </x:c>
      <x:c r="U59" s="119" t="n">
        <x:f>MIN(7,S59+'经济参数'!$E$71)</x:f>
        <x:v>6</x:v>
      </x:c>
      <x:c r="V59" s="119" t="n">
        <x:f>IF(H59&gt;=('难度参数'!$E$52),1,0)+IF(H59&gt;=('难度参数'!$E$52+'难度参数'!$E$53),1,0)+IF(H59&gt;=('难度参数'!$E$52+'难度参数'!$E$53+'难度参数'!$E$54),1,0)+IF(H59&gt;=('难度参数'!$E$52+'难度参数'!$E$53+'难度参数'!$E$54+'难度参数'!$E$55),1,0)+IF(H59&gt;=('难度参数'!$E$52+'难度参数'!$E$53+'难度参数'!$E$54+'难度参数'!$E$55+'难度参数'!$E$56),1,0)+IF(H59&gt;=('难度参数'!$E$52+'难度参数'!$E$53+'难度参数'!$E$54+'难度参数'!$E$55+'难度参数'!$E$56+'难度参数'!$E$57),1,0)</x:f>
        <x:v>6</x:v>
      </x:c>
      <x:c r="W59" s="62" t="str">
        <x:f>IF(L59&gt;'难度参数'!$E$51,"仅出怪已超目标","还需实测")</x:f>
        <x:v>还需实测</x:v>
      </x:c>
      <x:c r="X59" s="119" t="n">
        <x:f>IF(1&gt;D59,0,MAX(2,MIN('难度参数'!$E$12,ROUND(('难度参数'!$E$18*POWER(A59,'难度参数'!$E$19)/D59*(0.85+0.3*(1-1)/MAX(1,D59-1))),0)+F59)))</x:f>
        <x:v>16</x:v>
      </x:c>
      <x:c r="Y59" s="119" t="n">
        <x:f>IF(1&gt;D59,0,ROUND(('难度参数'!$E$13*POWER(A59,'难度参数'!$E$20)*MIN('难度参数'!$E$23,1+MAX(0,A59-'难度参数'!$E$21)*'难度参数'!$E$22))*(36+1*7)/(36+7*(D59+1)/2)*E59,0))</x:f>
        <x:v>1288</x:v>
      </x:c>
      <x:c r="Z59" s="119" t="n">
        <x:f>IF(X59=0,0,(X59-IF(1=D59,1,0))*ROUND(Y59*VLOOKUP(INDEX('章节与怪物'!$E$31:$K$37,B59,1),'章节与怪物'!$A$41:$F$44,2,FALSE),0)+IF(1=D59,ROUND(Y59*'难度参数'!$E$28*'章节与怪物'!$E$17,0),0))</x:f>
        <x:v>14832</x:v>
      </x:c>
      <x:c r="AA59" s="119" t="n">
        <x:f>IF(X59=0,0,(X59-IF(1=D59,1,0))*VLOOKUP(INDEX('章节与怪物'!$E$31:$K$37,B59,1),'章节与怪物'!$A$41:$F$44,4,FALSE)+IF(1=D59,'难度参数'!$E$30,0))</x:f>
        <x:v>320</x:v>
      </x:c>
      <x:c r="AB59" s="119" t="n">
        <x:f>IF(2&gt;D59,0,MAX(2,MIN('难度参数'!$E$12,ROUND(('难度参数'!$E$18*POWER(A59,'难度参数'!$E$19)/D59*(0.85+0.3*(2-1)/MAX(1,D59-1))),0)+F59)))</x:f>
        <x:v>17</x:v>
      </x:c>
      <x:c r="AC59" s="119" t="n">
        <x:f>IF(2&gt;D59,0,ROUND(('难度参数'!$E$13*POWER(A59,'难度参数'!$E$20)*MIN('难度参数'!$E$23,1+MAX(0,A59-'难度参数'!$E$21)*'难度参数'!$E$22))*(36+2*7)/(36+7*(D59+1)/2)*E59,0))</x:f>
        <x:v>1497</x:v>
      </x:c>
      <x:c r="AD59" s="119" t="n">
        <x:f>IF(AB59=0,0,(AB59-IF(2=D59,1,0))*ROUND(AC59*VLOOKUP(INDEX('章节与怪物'!$E$31:$K$37,B59,2),'章节与怪物'!$A$41:$F$44,2,FALSE),0)+IF(2=D59,ROUND(AC59*'难度参数'!$E$28*'章节与怪物'!$E$17,0),0))</x:f>
        <x:v>25449</x:v>
      </x:c>
      <x:c r="AE59" s="119" t="n">
        <x:f>IF(AB59=0,0,(AB59-IF(2=D59,1,0))*VLOOKUP(INDEX('章节与怪物'!$E$31:$K$37,B59,2),'章节与怪物'!$A$41:$F$44,4,FALSE)+IF(2=D59,'难度参数'!$E$30,0))</x:f>
        <x:v>306</x:v>
      </x:c>
      <x:c r="AF59" s="119" t="n">
        <x:f>IF(3&gt;D59,0,MAX(2,MIN('难度参数'!$E$12,ROUND(('难度参数'!$E$18*POWER(A59,'难度参数'!$E$19)/D59*(0.85+0.3*(3-1)/MAX(1,D59-1))),0)+F59)))</x:f>
        <x:v>18</x:v>
      </x:c>
      <x:c r="AG59" s="119" t="n">
        <x:f>IF(3&gt;D59,0,ROUND(('难度参数'!$E$13*POWER(A59,'难度参数'!$E$20)*MIN('难度参数'!$E$23,1+MAX(0,A59-'难度参数'!$E$21)*'难度参数'!$E$22))*(36+3*7)/(36+7*(D59+1)/2)*E59,0))</x:f>
        <x:v>1707</x:v>
      </x:c>
      <x:c r="AH59" s="119" t="n">
        <x:f>IF(AF59=0,0,(AF59-IF(3=D59,1,0))*ROUND(AG59*VLOOKUP(INDEX('章节与怪物'!$E$31:$K$37,B59,3),'章节与怪物'!$A$41:$F$44,2,FALSE),0)+IF(3=D59,ROUND(AG59*'难度参数'!$E$28*'章节与怪物'!$E$17,0),0))</x:f>
        <x:v>52236</x:v>
      </x:c>
      <x:c r="AI59" s="119" t="n">
        <x:f>IF(AF59=0,0,(AF59-IF(3=D59,1,0))*VLOOKUP(INDEX('章节与怪物'!$E$31:$K$37,B59,3),'章节与怪物'!$A$41:$F$44,4,FALSE)+IF(3=D59,'难度参数'!$E$30,0))</x:f>
        <x:v>504</x:v>
      </x:c>
      <x:c r="AJ59" s="119" t="n">
        <x:f>IF(4&gt;D59,0,MAX(2,MIN('难度参数'!$E$12,ROUND(('难度参数'!$E$18*POWER(A59,'难度参数'!$E$19)/D59*(0.85+0.3*(4-1)/MAX(1,D59-1))),0)+F59)))</x:f>
        <x:v>19</x:v>
      </x:c>
      <x:c r="AK59" s="119" t="n">
        <x:f>IF(4&gt;D59,0,ROUND(('难度参数'!$E$13*POWER(A59,'难度参数'!$E$20)*MIN('难度参数'!$E$23,1+MAX(0,A59-'难度参数'!$E$21)*'难度参数'!$E$22))*(36+4*7)/(36+7*(D59+1)/2)*E59,0))</x:f>
        <x:v>1916</x:v>
      </x:c>
      <x:c r="AL59" s="119" t="n">
        <x:f>IF(AJ59=0,0,(AJ59-IF(4=D59,1,0))*ROUND(AK59*VLOOKUP(INDEX('章节与怪物'!$E$31:$K$37,B59,4),'章节与怪物'!$A$41:$F$44,2,FALSE),0)+IF(4=D59,ROUND(AK59*'难度参数'!$E$28*'章节与怪物'!$E$17,0),0))</x:f>
        <x:v>49153</x:v>
      </x:c>
      <x:c r="AM59" s="119" t="n">
        <x:f>IF(AJ59=0,0,(AJ59-IF(4=D59,1,0))*VLOOKUP(INDEX('章节与怪物'!$E$31:$K$37,B59,4),'章节与怪物'!$A$41:$F$44,4,FALSE)+IF(4=D59,'难度参数'!$E$30,0))</x:f>
        <x:v>646</x:v>
      </x:c>
      <x:c r="AN59" s="119" t="n">
        <x:f>IF(5&gt;D59,0,MAX(2,MIN('难度参数'!$E$12,ROUND(('难度参数'!$E$18*POWER(A59,'难度参数'!$E$19)/D59*(0.85+0.3*(5-1)/MAX(1,D59-1))),0)+F59)))</x:f>
        <x:v>20</x:v>
      </x:c>
      <x:c r="AO59" s="119" t="n">
        <x:f>IF(5&gt;D59,0,ROUND(('难度参数'!$E$13*POWER(A59,'难度参数'!$E$20)*MIN('难度参数'!$E$23,1+MAX(0,A59-'难度参数'!$E$21)*'难度参数'!$E$22))*(36+5*7)/(36+7*(D59+1)/2)*E59,0))</x:f>
        <x:v>2126</x:v>
      </x:c>
      <x:c r="AP59" s="119" t="n">
        <x:f>IF(AN59=0,0,(AN59-IF(5=D59,1,0))*ROUND(AO59*VLOOKUP(INDEX('章节与怪物'!$E$31:$K$37,B59,5),'章节与怪物'!$A$41:$F$44,2,FALSE),0)+IF(5=D59,ROUND(AO59*'难度参数'!$E$28*'章节与怪物'!$E$17,0),0))</x:f>
        <x:v>42520</x:v>
      </x:c>
      <x:c r="AQ59" s="119" t="n">
        <x:f>IF(AN59=0,0,(AN59-IF(5=D59,1,0))*VLOOKUP(INDEX('章节与怪物'!$E$31:$K$37,B59,5),'章节与怪物'!$A$41:$F$44,4,FALSE)+IF(5=D59,'难度参数'!$E$30,0))</x:f>
        <x:v>360</x:v>
      </x:c>
      <x:c r="AR59" s="119" t="n">
        <x:f>IF(6&gt;D59,0,MAX(2,MIN('难度参数'!$E$12,ROUND(('难度参数'!$E$18*POWER(A59,'难度参数'!$E$19)/D59*(0.85+0.3*(6-1)/MAX(1,D59-1))),0)+F59)))</x:f>
        <x:v>21</x:v>
      </x:c>
      <x:c r="AS59" s="119" t="n">
        <x:f>IF(6&gt;D59,0,ROUND(('难度参数'!$E$13*POWER(A59,'难度参数'!$E$20)*MIN('难度参数'!$E$23,1+MAX(0,A59-'难度参数'!$E$21)*'难度参数'!$E$22))*(36+6*7)/(36+7*(D59+1)/2)*E59,0))</x:f>
        <x:v>2336</x:v>
      </x:c>
      <x:c r="AT59" s="119" t="n">
        <x:f>IF(AR59=0,0,(AR59-IF(6=D59,1,0))*ROUND(AS59*VLOOKUP(INDEX('章节与怪物'!$E$31:$K$37,B59,6),'章节与怪物'!$A$41:$F$44,2,FALSE),0)+IF(6=D59,ROUND(AS59*'难度参数'!$E$28*'章节与怪物'!$E$17,0),0))</x:f>
        <x:v>35322</x:v>
      </x:c>
      <x:c r="AU59" s="119" t="n">
        <x:f>IF(AR59=0,0,(AR59-IF(6=D59,1,0))*VLOOKUP(INDEX('章节与怪物'!$E$31:$K$37,B59,6),'章节与怪物'!$A$41:$F$44,4,FALSE)+IF(6=D59,'难度参数'!$E$30,0))</x:f>
        <x:v>420</x:v>
      </x:c>
      <x:c r="AV59" s="119" t="n">
        <x:f>IF(7&gt;D59,0,MAX(2,MIN('难度参数'!$E$12,ROUND(('难度参数'!$E$18*POWER(A59,'难度参数'!$E$19)/D59*(0.85+0.3*(7-1)/MAX(1,D59-1))),0)+F59)))</x:f>
        <x:v>22</x:v>
      </x:c>
      <x:c r="AW59" s="119" t="n">
        <x:f>IF(7&gt;D59,0,ROUND(('难度参数'!$E$13*POWER(A59,'难度参数'!$E$20)*MIN('难度参数'!$E$23,1+MAX(0,A59-'难度参数'!$E$21)*'难度参数'!$E$22))*(36+7*7)/(36+7*(D59+1)/2)*E59,0))</x:f>
        <x:v>2545</x:v>
      </x:c>
      <x:c r="AX59" s="119" t="n">
        <x:f>IF(AV59=0,0,(AV59-IF(7=D59,1,0))*ROUND(AW59*VLOOKUP(INDEX('章节与怪物'!$E$31:$K$37,B59,7),'章节与怪物'!$A$41:$F$44,2,FALSE),0)+IF(7=D59,ROUND(AW59*'难度参数'!$E$28*'章节与怪物'!$E$17,0),0))</x:f>
        <x:v>89462</x:v>
      </x:c>
      <x:c r="AY59" s="119" t="n">
        <x:f>IF(AV59=0,0,(AV59-IF(7=D59,1,0))*VLOOKUP(INDEX('章节与怪物'!$E$31:$K$37,B59,7),'章节与怪物'!$A$41:$F$44,4,FALSE)+IF(7=D59,'难度参数'!$E$30,0))</x:f>
        <x:v>914</x:v>
      </x:c>
    </x:row>
    <x:row r="60" ht="23" customHeight="1">
      <x:c r="A60" s="119" t="n">
        <x:v>54</x:v>
      </x:c>
      <x:c r="B60" s="119" t="n">
        <x:f>MOD(INT((A60-1)/5),7)+1</x:f>
        <x:v>4</x:v>
      </x:c>
      <x:c r="C60" s="62" t="str">
        <x:f>INDEX('章节与怪物'!$B$31:$B$37,B60)</x:f>
        <x:v>翠野边城</x:v>
      </x:c>
      <x:c r="D60" s="119" t="n">
        <x:f>MIN('难度参数'!$E$8,MAX('难度参数'!$E$7,A60))</x:f>
        <x:v>7</x:v>
      </x:c>
      <x:c r="E60" s="106" t="n">
        <x:v>1</x:v>
      </x:c>
      <x:c r="F60" s="106" t="n">
        <x:v>0</x:v>
      </x:c>
      <x:c r="G60" s="106" t="n">
        <x:v>1</x:v>
      </x:c>
      <x:c r="H60" s="119" t="n">
        <x:f>SUM(X60,AB60,AF60,AJ60,AN60,AR60,AV60)</x:f>
        <x:v>133</x:v>
      </x:c>
      <x:c r="I60" s="119" t="n">
        <x:f>SUM(Z60,AD60,AH60,AL60,AP60,AT60,AX60)</x:f>
        <x:v>314049</x:v>
      </x:c>
      <x:c r="J60" s="119" t="n">
        <x:f>ROUND(INDEX(X60:AY60,1,(D60-1)*4+2)*'难度参数'!$E$28*'章节与怪物'!$E$17,0)</x:f>
        <x:v>17592</x:v>
      </x:c>
      <x:c r="K60" s="119" t="n">
        <x:f>SUM(AA60,AE60,AI60,AM60,AQ60,AU60,AY60)</x:f>
        <x:v>3470</x:v>
      </x:c>
      <x:c r="L60" s="62" t="n">
        <x:f>H60*(ROUNDUP('难度参数'!$E$24/('难度参数'!$E$26*'难度参数'!$E$27),0)*'难度参数'!$E$26)/60</x:f>
        <x:v>1.7733333333333334</x:v>
      </x:c>
      <x:c r="M60" s="62" t="n">
        <x:f>L60+D60*('难度参数'!$E$49+'难度参数'!$E$50)/60</x:f>
        <x:v>2.9400000000000004</x:v>
      </x:c>
      <x:c r="N60" s="119" t="n">
        <x:f>ROUNDDOWN(('经济参数'!$E$20+A60*'经济参数'!$E$21)*G60,0)</x:f>
        <x:v>1260</x:v>
      </x:c>
      <x:c r="O60" s="119" t="n">
        <x:f>ROUNDDOWN(MIN('经济参数'!$E$24,'经济参数'!$E$22+A60*'经济参数'!$E$23)*G60,0)</x:f>
        <x:v>0</x:v>
      </x:c>
      <x:c r="P60" s="119" t="n">
        <x:f>ROUNDDOWN((IF(A60&gt;='材料与任务'!$E$31,'材料与任务'!$E$32,IF(A60&gt;='材料与任务'!$E$25,'材料与任务'!$E$26,IF(A60&gt;='材料与任务'!$E$19,'材料与任务'!$E$20,IF(A60&gt;='材料与任务'!$E$13,'材料与任务'!$E$14,'材料与任务'!$E$8)))))*G60,0)</x:f>
        <x:v>4</x:v>
      </x:c>
      <x:c r="Q60" s="119" t="n">
        <x:f>ROUNDDOWN((IF(A60&gt;='材料与任务'!$E$31,'材料与任务'!$E$33,IF(A60&gt;='材料与任务'!$E$25,'材料与任务'!$E$27,IF(A60&gt;='材料与任务'!$E$19,'材料与任务'!$E$21,IF(A60&gt;='材料与任务'!$E$13,'材料与任务'!$E$15,'材料与任务'!$E$9)))))*G60,0)</x:f>
        <x:v>2</x:v>
      </x:c>
      <x:c r="R60" s="110" t="n">
        <x:f>'装备掉落'!$B$38</x:f>
        <x:v>0.6872058758851213</x:v>
      </x:c>
      <x:c r="S60" s="119" t="n">
        <x:f>MAX(IF(VLOOKUP(A60,'装备掉落'!$A$29:$H$34,2,TRUE)&gt;0,1,0),IF(VLOOKUP(A60,'装备掉落'!$A$29:$H$34,3,TRUE)&gt;0,2,0),IF(VLOOKUP(A60,'装备掉落'!$A$29:$H$34,4,TRUE)&gt;0,3,0),IF(VLOOKUP(A60,'装备掉落'!$A$29:$H$34,5,TRUE)&gt;0,4,0),IF(VLOOKUP(A60,'装备掉落'!$A$29:$H$34,6,TRUE)&gt;0,5,0),IF(VLOOKUP(A60,'装备掉落'!$A$29:$H$34,7,TRUE)&gt;0,6,0),IF(VLOOKUP(A60,'装备掉落'!$A$29:$H$34,8,TRUE)&gt;0,7,0))</x:f>
        <x:v>5</x:v>
      </x:c>
      <x:c r="T60" s="119" t="n">
        <x:f>MIN(7,S60+'经济参数'!$E$70)</x:f>
        <x:v>5</x:v>
      </x:c>
      <x:c r="U60" s="119" t="n">
        <x:f>MIN(7,S60+'经济参数'!$E$71)</x:f>
        <x:v>6</x:v>
      </x:c>
      <x:c r="V60" s="119" t="n">
        <x:f>IF(H60&gt;=('难度参数'!$E$52),1,0)+IF(H60&gt;=('难度参数'!$E$52+'难度参数'!$E$53),1,0)+IF(H60&gt;=('难度参数'!$E$52+'难度参数'!$E$53+'难度参数'!$E$54),1,0)+IF(H60&gt;=('难度参数'!$E$52+'难度参数'!$E$53+'难度参数'!$E$54+'难度参数'!$E$55),1,0)+IF(H60&gt;=('难度参数'!$E$52+'难度参数'!$E$53+'难度参数'!$E$54+'难度参数'!$E$55+'难度参数'!$E$56),1,0)+IF(H60&gt;=('难度参数'!$E$52+'难度参数'!$E$53+'难度参数'!$E$54+'难度参数'!$E$55+'难度参数'!$E$56+'难度参数'!$E$57),1,0)</x:f>
        <x:v>6</x:v>
      </x:c>
      <x:c r="W60" s="62" t="str">
        <x:f>IF(L60&gt;'难度参数'!$E$51,"仅出怪已超目标","还需实测")</x:f>
        <x:v>还需实测</x:v>
      </x:c>
      <x:c r="X60" s="119" t="n">
        <x:f>IF(1&gt;D60,0,MAX(2,MIN('难度参数'!$E$12,ROUND(('难度参数'!$E$18*POWER(A60,'难度参数'!$E$19)/D60*(0.85+0.3*(1-1)/MAX(1,D60-1))),0)+F60)))</x:f>
        <x:v>16</x:v>
      </x:c>
      <x:c r="Y60" s="119" t="n">
        <x:f>IF(1&gt;D60,0,ROUND(('难度参数'!$E$13*POWER(A60,'难度参数'!$E$20)*MIN('难度参数'!$E$23,1+MAX(0,A60-'难度参数'!$E$21)*'难度参数'!$E$22))*(36+1*7)/(36+7*(D60+1)/2)*E60,0))</x:f>
        <x:v>1309</x:v>
      </x:c>
      <x:c r="Z60" s="119" t="n">
        <x:f>IF(X60=0,0,(X60-IF(1=D60,1,0))*ROUND(Y60*VLOOKUP(INDEX('章节与怪物'!$E$31:$K$37,B60,1),'章节与怪物'!$A$41:$F$44,2,FALSE),0)+IF(1=D60,ROUND(Y60*'难度参数'!$E$28*'章节与怪物'!$E$17,0),0))</x:f>
        <x:v>15072</x:v>
      </x:c>
      <x:c r="AA60" s="119" t="n">
        <x:f>IF(X60=0,0,(X60-IF(1=D60,1,0))*VLOOKUP(INDEX('章节与怪物'!$E$31:$K$37,B60,1),'章节与怪物'!$A$41:$F$44,4,FALSE)+IF(1=D60,'难度参数'!$E$30,0))</x:f>
        <x:v>320</x:v>
      </x:c>
      <x:c r="AB60" s="119" t="n">
        <x:f>IF(2&gt;D60,0,MAX(2,MIN('难度参数'!$E$12,ROUND(('难度参数'!$E$18*POWER(A60,'难度参数'!$E$19)/D60*(0.85+0.3*(2-1)/MAX(1,D60-1))),0)+F60)))</x:f>
        <x:v>17</x:v>
      </x:c>
      <x:c r="AC60" s="119" t="n">
        <x:f>IF(2&gt;D60,0,ROUND(('难度参数'!$E$13*POWER(A60,'难度参数'!$E$20)*MIN('难度参数'!$E$23,1+MAX(0,A60-'难度参数'!$E$21)*'难度参数'!$E$22))*(36+2*7)/(36+7*(D60+1)/2)*E60,0))</x:f>
        <x:v>1522</x:v>
      </x:c>
      <x:c r="AD60" s="119" t="n">
        <x:f>IF(AB60=0,0,(AB60-IF(2=D60,1,0))*ROUND(AC60*VLOOKUP(INDEX('章节与怪物'!$E$31:$K$37,B60,2),'章节与怪物'!$A$41:$F$44,2,FALSE),0)+IF(2=D60,ROUND(AC60*'难度参数'!$E$28*'章节与怪物'!$E$17,0),0))</x:f>
        <x:v>25874</x:v>
      </x:c>
      <x:c r="AE60" s="119" t="n">
        <x:f>IF(AB60=0,0,(AB60-IF(2=D60,1,0))*VLOOKUP(INDEX('章节与怪物'!$E$31:$K$37,B60,2),'章节与怪物'!$A$41:$F$44,4,FALSE)+IF(2=D60,'难度参数'!$E$30,0))</x:f>
        <x:v>306</x:v>
      </x:c>
      <x:c r="AF60" s="119" t="n">
        <x:f>IF(3&gt;D60,0,MAX(2,MIN('难度参数'!$E$12,ROUND(('难度参数'!$E$18*POWER(A60,'难度参数'!$E$19)/D60*(0.85+0.3*(3-1)/MAX(1,D60-1))),0)+F60)))</x:f>
        <x:v>18</x:v>
      </x:c>
      <x:c r="AG60" s="119" t="n">
        <x:f>IF(3&gt;D60,0,ROUND(('难度参数'!$E$13*POWER(A60,'难度参数'!$E$20)*MIN('难度参数'!$E$23,1+MAX(0,A60-'难度参数'!$E$21)*'难度参数'!$E$22))*(36+3*7)/(36+7*(D60+1)/2)*E60,0))</x:f>
        <x:v>1735</x:v>
      </x:c>
      <x:c r="AH60" s="119" t="n">
        <x:f>IF(AF60=0,0,(AF60-IF(3=D60,1,0))*ROUND(AG60*VLOOKUP(INDEX('章节与怪物'!$E$31:$K$37,B60,3),'章节与怪物'!$A$41:$F$44,2,FALSE),0)+IF(3=D60,ROUND(AG60*'难度参数'!$E$28*'章节与怪物'!$E$17,0),0))</x:f>
        <x:v>53100</x:v>
      </x:c>
      <x:c r="AI60" s="119" t="n">
        <x:f>IF(AF60=0,0,(AF60-IF(3=D60,1,0))*VLOOKUP(INDEX('章节与怪物'!$E$31:$K$37,B60,3),'章节与怪物'!$A$41:$F$44,4,FALSE)+IF(3=D60,'难度参数'!$E$30,0))</x:f>
        <x:v>504</x:v>
      </x:c>
      <x:c r="AJ60" s="119" t="n">
        <x:f>IF(4&gt;D60,0,MAX(2,MIN('难度参数'!$E$12,ROUND(('难度参数'!$E$18*POWER(A60,'难度参数'!$E$19)/D60*(0.85+0.3*(4-1)/MAX(1,D60-1))),0)+F60)))</x:f>
        <x:v>19</x:v>
      </x:c>
      <x:c r="AK60" s="119" t="n">
        <x:f>IF(4&gt;D60,0,ROUND(('难度参数'!$E$13*POWER(A60,'难度参数'!$E$20)*MIN('难度参数'!$E$23,1+MAX(0,A60-'难度参数'!$E$21)*'难度参数'!$E$22))*(36+4*7)/(36+7*(D60+1)/2)*E60,0))</x:f>
        <x:v>1948</x:v>
      </x:c>
      <x:c r="AL60" s="119" t="n">
        <x:f>IF(AJ60=0,0,(AJ60-IF(4=D60,1,0))*ROUND(AK60*VLOOKUP(INDEX('章节与怪物'!$E$31:$K$37,B60,4),'章节与怪物'!$A$41:$F$44,2,FALSE),0)+IF(4=D60,ROUND(AK60*'难度参数'!$E$28*'章节与怪物'!$E$17,0),0))</x:f>
        <x:v>49970</x:v>
      </x:c>
      <x:c r="AM60" s="119" t="n">
        <x:f>IF(AJ60=0,0,(AJ60-IF(4=D60,1,0))*VLOOKUP(INDEX('章节与怪物'!$E$31:$K$37,B60,4),'章节与怪物'!$A$41:$F$44,4,FALSE)+IF(4=D60,'难度参数'!$E$30,0))</x:f>
        <x:v>646</x:v>
      </x:c>
      <x:c r="AN60" s="119" t="n">
        <x:f>IF(5&gt;D60,0,MAX(2,MIN('难度参数'!$E$12,ROUND(('难度参数'!$E$18*POWER(A60,'难度参数'!$E$19)/D60*(0.85+0.3*(5-1)/MAX(1,D60-1))),0)+F60)))</x:f>
        <x:v>20</x:v>
      </x:c>
      <x:c r="AO60" s="119" t="n">
        <x:f>IF(5&gt;D60,0,ROUND(('难度参数'!$E$13*POWER(A60,'难度参数'!$E$20)*MIN('难度参数'!$E$23,1+MAX(0,A60-'难度参数'!$E$21)*'难度参数'!$E$22))*(36+5*7)/(36+7*(D60+1)/2)*E60,0))</x:f>
        <x:v>2161</x:v>
      </x:c>
      <x:c r="AP60" s="119" t="n">
        <x:f>IF(AN60=0,0,(AN60-IF(5=D60,1,0))*ROUND(AO60*VLOOKUP(INDEX('章节与怪物'!$E$31:$K$37,B60,5),'章节与怪物'!$A$41:$F$44,2,FALSE),0)+IF(5=D60,ROUND(AO60*'难度参数'!$E$28*'章节与怪物'!$E$17,0),0))</x:f>
        <x:v>43220</x:v>
      </x:c>
      <x:c r="AQ60" s="119" t="n">
        <x:f>IF(AN60=0,0,(AN60-IF(5=D60,1,0))*VLOOKUP(INDEX('章节与怪物'!$E$31:$K$37,B60,5),'章节与怪物'!$A$41:$F$44,4,FALSE)+IF(5=D60,'难度参数'!$E$30,0))</x:f>
        <x:v>360</x:v>
      </x:c>
      <x:c r="AR60" s="119" t="n">
        <x:f>IF(6&gt;D60,0,MAX(2,MIN('难度参数'!$E$12,ROUND(('难度参数'!$E$18*POWER(A60,'难度参数'!$E$19)/D60*(0.85+0.3*(6-1)/MAX(1,D60-1))),0)+F60)))</x:f>
        <x:v>21</x:v>
      </x:c>
      <x:c r="AS60" s="119" t="n">
        <x:f>IF(6&gt;D60,0,ROUND(('难度参数'!$E$13*POWER(A60,'难度参数'!$E$20)*MIN('难度参数'!$E$23,1+MAX(0,A60-'难度参数'!$E$21)*'难度参数'!$E$22))*(36+6*7)/(36+7*(D60+1)/2)*E60,0))</x:f>
        <x:v>2374</x:v>
      </x:c>
      <x:c r="AT60" s="119" t="n">
        <x:f>IF(AR60=0,0,(AR60-IF(6=D60,1,0))*ROUND(AS60*VLOOKUP(INDEX('章节与怪物'!$E$31:$K$37,B60,6),'章节与怪物'!$A$41:$F$44,2,FALSE),0)+IF(6=D60,ROUND(AS60*'难度参数'!$E$28*'章节与怪物'!$E$17,0),0))</x:f>
        <x:v>35889</x:v>
      </x:c>
      <x:c r="AU60" s="119" t="n">
        <x:f>IF(AR60=0,0,(AR60-IF(6=D60,1,0))*VLOOKUP(INDEX('章节与怪物'!$E$31:$K$37,B60,6),'章节与怪物'!$A$41:$F$44,4,FALSE)+IF(6=D60,'难度参数'!$E$30,0))</x:f>
        <x:v>420</x:v>
      </x:c>
      <x:c r="AV60" s="119" t="n">
        <x:f>IF(7&gt;D60,0,MAX(2,MIN('难度参数'!$E$12,ROUND(('难度参数'!$E$18*POWER(A60,'难度参数'!$E$19)/D60*(0.85+0.3*(7-1)/MAX(1,D60-1))),0)+F60)))</x:f>
        <x:v>22</x:v>
      </x:c>
      <x:c r="AW60" s="119" t="n">
        <x:f>IF(7&gt;D60,0,ROUND(('难度参数'!$E$13*POWER(A60,'难度参数'!$E$20)*MIN('难度参数'!$E$23,1+MAX(0,A60-'难度参数'!$E$21)*'难度参数'!$E$22))*(36+7*7)/(36+7*(D60+1)/2)*E60,0))</x:f>
        <x:v>2587</x:v>
      </x:c>
      <x:c r="AX60" s="119" t="n">
        <x:f>IF(AV60=0,0,(AV60-IF(7=D60,1,0))*ROUND(AW60*VLOOKUP(INDEX('章节与怪物'!$E$31:$K$37,B60,7),'章节与怪物'!$A$41:$F$44,2,FALSE),0)+IF(7=D60,ROUND(AW60*'难度参数'!$E$28*'章节与怪物'!$E$17,0),0))</x:f>
        <x:v>90924</x:v>
      </x:c>
      <x:c r="AY60" s="119" t="n">
        <x:f>IF(AV60=0,0,(AV60-IF(7=D60,1,0))*VLOOKUP(INDEX('章节与怪物'!$E$31:$K$37,B60,7),'章节与怪物'!$A$41:$F$44,4,FALSE)+IF(7=D60,'难度参数'!$E$30,0))</x:f>
        <x:v>914</x:v>
      </x:c>
    </x:row>
    <x:row r="61" ht="23" customHeight="1">
      <x:c r="A61" s="119" t="n">
        <x:v>55</x:v>
      </x:c>
      <x:c r="B61" s="119" t="n">
        <x:f>MOD(INT((A61-1)/5),7)+1</x:f>
        <x:v>4</x:v>
      </x:c>
      <x:c r="C61" s="62" t="str">
        <x:f>INDEX('章节与怪物'!$B$31:$B$37,B61)</x:f>
        <x:v>翠野边城</x:v>
      </x:c>
      <x:c r="D61" s="119" t="n">
        <x:f>MIN('难度参数'!$E$8,MAX('难度参数'!$E$7,A61))</x:f>
        <x:v>7</x:v>
      </x:c>
      <x:c r="E61" s="106" t="n">
        <x:v>1</x:v>
      </x:c>
      <x:c r="F61" s="106" t="n">
        <x:v>0</x:v>
      </x:c>
      <x:c r="G61" s="106" t="n">
        <x:v>1</x:v>
      </x:c>
      <x:c r="H61" s="119" t="n">
        <x:f>SUM(X61,AB61,AF61,AJ61,AN61,AR61,AV61)</x:f>
        <x:v>133</x:v>
      </x:c>
      <x:c r="I61" s="119" t="n">
        <x:f>SUM(Z61,AD61,AH61,AL61,AP61,AT61,AX61)</x:f>
        <x:v>319043</x:v>
      </x:c>
      <x:c r="J61" s="119" t="n">
        <x:f>ROUND(INDEX(X61:AY61,1,(D61-1)*4+2)*'难度参数'!$E$28*'章节与怪物'!$E$17,0)</x:f>
        <x:v>17870</x:v>
      </x:c>
      <x:c r="K61" s="119" t="n">
        <x:f>SUM(AA61,AE61,AI61,AM61,AQ61,AU61,AY61)</x:f>
        <x:v>3470</x:v>
      </x:c>
      <x:c r="L61" s="62" t="n">
        <x:f>H61*(ROUNDUP('难度参数'!$E$24/('难度参数'!$E$26*'难度参数'!$E$27),0)*'难度参数'!$E$26)/60</x:f>
        <x:v>1.7733333333333334</x:v>
      </x:c>
      <x:c r="M61" s="62" t="n">
        <x:f>L61+D61*('难度参数'!$E$49+'难度参数'!$E$50)/60</x:f>
        <x:v>2.9400000000000004</x:v>
      </x:c>
      <x:c r="N61" s="119" t="n">
        <x:f>ROUNDDOWN(('经济参数'!$E$20+A61*'经济参数'!$E$21)*G61,0)</x:f>
        <x:v>1280</x:v>
      </x:c>
      <x:c r="O61" s="119" t="n">
        <x:f>ROUNDDOWN(MIN('经济参数'!$E$24,'经济参数'!$E$22+A61*'经济参数'!$E$23)*G61,0)</x:f>
        <x:v>0</x:v>
      </x:c>
      <x:c r="P61" s="119" t="n">
        <x:f>ROUNDDOWN((IF(A61&gt;='材料与任务'!$E$31,'材料与任务'!$E$32,IF(A61&gt;='材料与任务'!$E$25,'材料与任务'!$E$26,IF(A61&gt;='材料与任务'!$E$19,'材料与任务'!$E$20,IF(A61&gt;='材料与任务'!$E$13,'材料与任务'!$E$14,'材料与任务'!$E$8)))))*G61,0)</x:f>
        <x:v>4</x:v>
      </x:c>
      <x:c r="Q61" s="119" t="n">
        <x:f>ROUNDDOWN((IF(A61&gt;='材料与任务'!$E$31,'材料与任务'!$E$33,IF(A61&gt;='材料与任务'!$E$25,'材料与任务'!$E$27,IF(A61&gt;='材料与任务'!$E$19,'材料与任务'!$E$21,IF(A61&gt;='材料与任务'!$E$13,'材料与任务'!$E$15,'材料与任务'!$E$9)))))*G61,0)</x:f>
        <x:v>2</x:v>
      </x:c>
      <x:c r="R61" s="110" t="n">
        <x:f>'装备掉落'!$B$38</x:f>
        <x:v>0.6872058758851213</x:v>
      </x:c>
      <x:c r="S61" s="119" t="n">
        <x:f>MAX(IF(VLOOKUP(A61,'装备掉落'!$A$29:$H$34,2,TRUE)&gt;0,1,0),IF(VLOOKUP(A61,'装备掉落'!$A$29:$H$34,3,TRUE)&gt;0,2,0),IF(VLOOKUP(A61,'装备掉落'!$A$29:$H$34,4,TRUE)&gt;0,3,0),IF(VLOOKUP(A61,'装备掉落'!$A$29:$H$34,5,TRUE)&gt;0,4,0),IF(VLOOKUP(A61,'装备掉落'!$A$29:$H$34,6,TRUE)&gt;0,5,0),IF(VLOOKUP(A61,'装备掉落'!$A$29:$H$34,7,TRUE)&gt;0,6,0),IF(VLOOKUP(A61,'装备掉落'!$A$29:$H$34,8,TRUE)&gt;0,7,0))</x:f>
        <x:v>5</x:v>
      </x:c>
      <x:c r="T61" s="119" t="n">
        <x:f>MIN(7,S61+'经济参数'!$E$70)</x:f>
        <x:v>5</x:v>
      </x:c>
      <x:c r="U61" s="119" t="n">
        <x:f>MIN(7,S61+'经济参数'!$E$71)</x:f>
        <x:v>6</x:v>
      </x:c>
      <x:c r="V61" s="119" t="n">
        <x:f>IF(H61&gt;=('难度参数'!$E$52),1,0)+IF(H61&gt;=('难度参数'!$E$52+'难度参数'!$E$53),1,0)+IF(H61&gt;=('难度参数'!$E$52+'难度参数'!$E$53+'难度参数'!$E$54),1,0)+IF(H61&gt;=('难度参数'!$E$52+'难度参数'!$E$53+'难度参数'!$E$54+'难度参数'!$E$55),1,0)+IF(H61&gt;=('难度参数'!$E$52+'难度参数'!$E$53+'难度参数'!$E$54+'难度参数'!$E$55+'难度参数'!$E$56),1,0)+IF(H61&gt;=('难度参数'!$E$52+'难度参数'!$E$53+'难度参数'!$E$54+'难度参数'!$E$55+'难度参数'!$E$56+'难度参数'!$E$57),1,0)</x:f>
        <x:v>6</x:v>
      </x:c>
      <x:c r="W61" s="62" t="str">
        <x:f>IF(L61&gt;'难度参数'!$E$51,"仅出怪已超目标","还需实测")</x:f>
        <x:v>还需实测</x:v>
      </x:c>
      <x:c r="X61" s="119" t="n">
        <x:f>IF(1&gt;D61,0,MAX(2,MIN('难度参数'!$E$12,ROUND(('难度参数'!$E$18*POWER(A61,'难度参数'!$E$19)/D61*(0.85+0.3*(1-1)/MAX(1,D61-1))),0)+F61)))</x:f>
        <x:v>16</x:v>
      </x:c>
      <x:c r="Y61" s="119" t="n">
        <x:f>IF(1&gt;D61,0,ROUND(('难度参数'!$E$13*POWER(A61,'难度参数'!$E$20)*MIN('难度参数'!$E$23,1+MAX(0,A61-'难度参数'!$E$21)*'难度参数'!$E$22))*(36+1*7)/(36+7*(D61+1)/2)*E61,0))</x:f>
        <x:v>1330</x:v>
      </x:c>
      <x:c r="Z61" s="119" t="n">
        <x:f>IF(X61=0,0,(X61-IF(1=D61,1,0))*ROUND(Y61*VLOOKUP(INDEX('章节与怪物'!$E$31:$K$37,B61,1),'章节与怪物'!$A$41:$F$44,2,FALSE),0)+IF(1=D61,ROUND(Y61*'难度参数'!$E$28*'章节与怪物'!$E$17,0),0))</x:f>
        <x:v>15328</x:v>
      </x:c>
      <x:c r="AA61" s="119" t="n">
        <x:f>IF(X61=0,0,(X61-IF(1=D61,1,0))*VLOOKUP(INDEX('章节与怪物'!$E$31:$K$37,B61,1),'章节与怪物'!$A$41:$F$44,4,FALSE)+IF(1=D61,'难度参数'!$E$30,0))</x:f>
        <x:v>320</x:v>
      </x:c>
      <x:c r="AB61" s="119" t="n">
        <x:f>IF(2&gt;D61,0,MAX(2,MIN('难度参数'!$E$12,ROUND(('难度参数'!$E$18*POWER(A61,'难度参数'!$E$19)/D61*(0.85+0.3*(2-1)/MAX(1,D61-1))),0)+F61)))</x:f>
        <x:v>17</x:v>
      </x:c>
      <x:c r="AC61" s="119" t="n">
        <x:f>IF(2&gt;D61,0,ROUND(('难度参数'!$E$13*POWER(A61,'难度参数'!$E$20)*MIN('难度参数'!$E$23,1+MAX(0,A61-'难度参数'!$E$21)*'难度参数'!$E$22))*(36+2*7)/(36+7*(D61+1)/2)*E61,0))</x:f>
        <x:v>1546</x:v>
      </x:c>
      <x:c r="AD61" s="119" t="n">
        <x:f>IF(AB61=0,0,(AB61-IF(2=D61,1,0))*ROUND(AC61*VLOOKUP(INDEX('章节与怪物'!$E$31:$K$37,B61,2),'章节与怪物'!$A$41:$F$44,2,FALSE),0)+IF(2=D61,ROUND(AC61*'难度参数'!$E$28*'章节与怪物'!$E$17,0),0))</x:f>
        <x:v>26282</x:v>
      </x:c>
      <x:c r="AE61" s="119" t="n">
        <x:f>IF(AB61=0,0,(AB61-IF(2=D61,1,0))*VLOOKUP(INDEX('章节与怪物'!$E$31:$K$37,B61,2),'章节与怪物'!$A$41:$F$44,4,FALSE)+IF(2=D61,'难度参数'!$E$30,0))</x:f>
        <x:v>306</x:v>
      </x:c>
      <x:c r="AF61" s="119" t="n">
        <x:f>IF(3&gt;D61,0,MAX(2,MIN('难度参数'!$E$12,ROUND(('难度参数'!$E$18*POWER(A61,'难度参数'!$E$19)/D61*(0.85+0.3*(3-1)/MAX(1,D61-1))),0)+F61)))</x:f>
        <x:v>18</x:v>
      </x:c>
      <x:c r="AG61" s="119" t="n">
        <x:f>IF(3&gt;D61,0,ROUND(('难度参数'!$E$13*POWER(A61,'难度参数'!$E$20)*MIN('难度参数'!$E$23,1+MAX(0,A61-'难度参数'!$E$21)*'难度参数'!$E$22))*(36+3*7)/(36+7*(D61+1)/2)*E61,0))</x:f>
        <x:v>1762</x:v>
      </x:c>
      <x:c r="AH61" s="119" t="n">
        <x:f>IF(AF61=0,0,(AF61-IF(3=D61,1,0))*ROUND(AG61*VLOOKUP(INDEX('章节与怪物'!$E$31:$K$37,B61,3),'章节与怪物'!$A$41:$F$44,2,FALSE),0)+IF(3=D61,ROUND(AG61*'难度参数'!$E$28*'章节与怪物'!$E$17,0),0))</x:f>
        <x:v>53910</x:v>
      </x:c>
      <x:c r="AI61" s="119" t="n">
        <x:f>IF(AF61=0,0,(AF61-IF(3=D61,1,0))*VLOOKUP(INDEX('章节与怪物'!$E$31:$K$37,B61,3),'章节与怪物'!$A$41:$F$44,4,FALSE)+IF(3=D61,'难度参数'!$E$30,0))</x:f>
        <x:v>504</x:v>
      </x:c>
      <x:c r="AJ61" s="119" t="n">
        <x:f>IF(4&gt;D61,0,MAX(2,MIN('难度参数'!$E$12,ROUND(('难度参数'!$E$18*POWER(A61,'难度参数'!$E$19)/D61*(0.85+0.3*(4-1)/MAX(1,D61-1))),0)+F61)))</x:f>
        <x:v>19</x:v>
      </x:c>
      <x:c r="AK61" s="119" t="n">
        <x:f>IF(4&gt;D61,0,ROUND(('难度参数'!$E$13*POWER(A61,'难度参数'!$E$20)*MIN('难度参数'!$E$23,1+MAX(0,A61-'难度参数'!$E$21)*'难度参数'!$E$22))*(36+4*7)/(36+7*(D61+1)/2)*E61,0))</x:f>
        <x:v>1979</x:v>
      </x:c>
      <x:c r="AL61" s="119" t="n">
        <x:f>IF(AJ61=0,0,(AJ61-IF(4=D61,1,0))*ROUND(AK61*VLOOKUP(INDEX('章节与怪物'!$E$31:$K$37,B61,4),'章节与怪物'!$A$41:$F$44,2,FALSE),0)+IF(4=D61,ROUND(AK61*'难度参数'!$E$28*'章节与怪物'!$E$17,0),0))</x:f>
        <x:v>50768</x:v>
      </x:c>
      <x:c r="AM61" s="119" t="n">
        <x:f>IF(AJ61=0,0,(AJ61-IF(4=D61,1,0))*VLOOKUP(INDEX('章节与怪物'!$E$31:$K$37,B61,4),'章节与怪物'!$A$41:$F$44,4,FALSE)+IF(4=D61,'难度参数'!$E$30,0))</x:f>
        <x:v>646</x:v>
      </x:c>
      <x:c r="AN61" s="119" t="n">
        <x:f>IF(5&gt;D61,0,MAX(2,MIN('难度参数'!$E$12,ROUND(('难度参数'!$E$18*POWER(A61,'难度参数'!$E$19)/D61*(0.85+0.3*(5-1)/MAX(1,D61-1))),0)+F61)))</x:f>
        <x:v>20</x:v>
      </x:c>
      <x:c r="AO61" s="119" t="n">
        <x:f>IF(5&gt;D61,0,ROUND(('难度参数'!$E$13*POWER(A61,'难度参数'!$E$20)*MIN('难度参数'!$E$23,1+MAX(0,A61-'难度参数'!$E$21)*'难度参数'!$E$22))*(36+5*7)/(36+7*(D61+1)/2)*E61,0))</x:f>
        <x:v>2195</x:v>
      </x:c>
      <x:c r="AP61" s="119" t="n">
        <x:f>IF(AN61=0,0,(AN61-IF(5=D61,1,0))*ROUND(AO61*VLOOKUP(INDEX('章节与怪物'!$E$31:$K$37,B61,5),'章节与怪物'!$A$41:$F$44,2,FALSE),0)+IF(5=D61,ROUND(AO61*'难度参数'!$E$28*'章节与怪物'!$E$17,0),0))</x:f>
        <x:v>43900</x:v>
      </x:c>
      <x:c r="AQ61" s="119" t="n">
        <x:f>IF(AN61=0,0,(AN61-IF(5=D61,1,0))*VLOOKUP(INDEX('章节与怪物'!$E$31:$K$37,B61,5),'章节与怪物'!$A$41:$F$44,4,FALSE)+IF(5=D61,'难度参数'!$E$30,0))</x:f>
        <x:v>360</x:v>
      </x:c>
      <x:c r="AR61" s="119" t="n">
        <x:f>IF(6&gt;D61,0,MAX(2,MIN('难度参数'!$E$12,ROUND(('难度参数'!$E$18*POWER(A61,'难度参数'!$E$19)/D61*(0.85+0.3*(6-1)/MAX(1,D61-1))),0)+F61)))</x:f>
        <x:v>21</x:v>
      </x:c>
      <x:c r="AS61" s="119" t="n">
        <x:f>IF(6&gt;D61,0,ROUND(('难度参数'!$E$13*POWER(A61,'难度参数'!$E$20)*MIN('难度参数'!$E$23,1+MAX(0,A61-'难度参数'!$E$21)*'难度参数'!$E$22))*(36+6*7)/(36+7*(D61+1)/2)*E61,0))</x:f>
        <x:v>2412</x:v>
      </x:c>
      <x:c r="AT61" s="119" t="n">
        <x:f>IF(AR61=0,0,(AR61-IF(6=D61,1,0))*ROUND(AS61*VLOOKUP(INDEX('章节与怪物'!$E$31:$K$37,B61,6),'章节与怪物'!$A$41:$F$44,2,FALSE),0)+IF(6=D61,ROUND(AS61*'难度参数'!$E$28*'章节与怪物'!$E$17,0),0))</x:f>
        <x:v>36477</x:v>
      </x:c>
      <x:c r="AU61" s="119" t="n">
        <x:f>IF(AR61=0,0,(AR61-IF(6=D61,1,0))*VLOOKUP(INDEX('章节与怪物'!$E$31:$K$37,B61,6),'章节与怪物'!$A$41:$F$44,4,FALSE)+IF(6=D61,'难度参数'!$E$30,0))</x:f>
        <x:v>420</x:v>
      </x:c>
      <x:c r="AV61" s="119" t="n">
        <x:f>IF(7&gt;D61,0,MAX(2,MIN('难度参数'!$E$12,ROUND(('难度参数'!$E$18*POWER(A61,'难度参数'!$E$19)/D61*(0.85+0.3*(7-1)/MAX(1,D61-1))),0)+F61)))</x:f>
        <x:v>22</x:v>
      </x:c>
      <x:c r="AW61" s="119" t="n">
        <x:f>IF(7&gt;D61,0,ROUND(('难度参数'!$E$13*POWER(A61,'难度参数'!$E$20)*MIN('难度参数'!$E$23,1+MAX(0,A61-'难度参数'!$E$21)*'难度参数'!$E$22))*(36+7*7)/(36+7*(D61+1)/2)*E61,0))</x:f>
        <x:v>2628</x:v>
      </x:c>
      <x:c r="AX61" s="119" t="n">
        <x:f>IF(AV61=0,0,(AV61-IF(7=D61,1,0))*ROUND(AW61*VLOOKUP(INDEX('章节与怪物'!$E$31:$K$37,B61,7),'章节与怪物'!$A$41:$F$44,2,FALSE),0)+IF(7=D61,ROUND(AW61*'难度参数'!$E$28*'章节与怪物'!$E$17,0),0))</x:f>
        <x:v>92378</x:v>
      </x:c>
      <x:c r="AY61" s="119" t="n">
        <x:f>IF(AV61=0,0,(AV61-IF(7=D61,1,0))*VLOOKUP(INDEX('章节与怪物'!$E$31:$K$37,B61,7),'章节与怪物'!$A$41:$F$44,4,FALSE)+IF(7=D61,'难度参数'!$E$30,0))</x:f>
        <x:v>914</x:v>
      </x:c>
    </x:row>
    <x:row r="62" ht="23" customHeight="1">
      <x:c r="A62" s="119" t="n">
        <x:v>56</x:v>
      </x:c>
      <x:c r="B62" s="119" t="n">
        <x:f>MOD(INT((A62-1)/5),7)+1</x:f>
        <x:v>5</x:v>
      </x:c>
      <x:c r="C62" s="62" t="str">
        <x:f>INDEX('章节与怪物'!$B$31:$B$37,B62)</x:f>
        <x:v>雨林遗迹</x:v>
      </x:c>
      <x:c r="D62" s="119" t="n">
        <x:f>MIN('难度参数'!$E$8,MAX('难度参数'!$E$7,A62))</x:f>
        <x:v>7</x:v>
      </x:c>
      <x:c r="E62" s="106" t="n">
        <x:v>1</x:v>
      </x:c>
      <x:c r="F62" s="106" t="n">
        <x:v>0</x:v>
      </x:c>
      <x:c r="G62" s="106" t="n">
        <x:v>1</x:v>
      </x:c>
      <x:c r="H62" s="119" t="n">
        <x:f>SUM(X62,AB62,AF62,AJ62,AN62,AR62,AV62)</x:f>
        <x:v>133</x:v>
      </x:c>
      <x:c r="I62" s="119" t="n">
        <x:f>SUM(Z62,AD62,AH62,AL62,AP62,AT62,AX62)</x:f>
        <x:v>360612</x:v>
      </x:c>
      <x:c r="J62" s="119" t="n">
        <x:f>ROUND(INDEX(X62:AY62,1,(D62-1)*4+2)*'难度参数'!$E$28*'章节与怪物'!$E$17,0)</x:f>
        <x:v>18156</x:v>
      </x:c>
      <x:c r="K62" s="119" t="n">
        <x:f>SUM(AA62,AE62,AI62,AM62,AQ62,AU62,AY62)</x:f>
        <x:v>3680</x:v>
      </x:c>
      <x:c r="L62" s="62" t="n">
        <x:f>H62*(ROUNDUP('难度参数'!$E$24/('难度参数'!$E$26*'难度参数'!$E$27),0)*'难度参数'!$E$26)/60</x:f>
        <x:v>1.7733333333333334</x:v>
      </x:c>
      <x:c r="M62" s="62" t="n">
        <x:f>L62+D62*('难度参数'!$E$49+'难度参数'!$E$50)/60</x:f>
        <x:v>2.9400000000000004</x:v>
      </x:c>
      <x:c r="N62" s="119" t="n">
        <x:f>ROUNDDOWN(('经济参数'!$E$20+A62*'经济参数'!$E$21)*G62,0)</x:f>
        <x:v>1300</x:v>
      </x:c>
      <x:c r="O62" s="119" t="n">
        <x:f>ROUNDDOWN(MIN('经济参数'!$E$24,'经济参数'!$E$22+A62*'经济参数'!$E$23)*G62,0)</x:f>
        <x:v>0</x:v>
      </x:c>
      <x:c r="P62" s="119" t="n">
        <x:f>ROUNDDOWN((IF(A62&gt;='材料与任务'!$E$31,'材料与任务'!$E$32,IF(A62&gt;='材料与任务'!$E$25,'材料与任务'!$E$26,IF(A62&gt;='材料与任务'!$E$19,'材料与任务'!$E$20,IF(A62&gt;='材料与任务'!$E$13,'材料与任务'!$E$14,'材料与任务'!$E$8)))))*G62,0)</x:f>
        <x:v>4</x:v>
      </x:c>
      <x:c r="Q62" s="119" t="n">
        <x:f>ROUNDDOWN((IF(A62&gt;='材料与任务'!$E$31,'材料与任务'!$E$33,IF(A62&gt;='材料与任务'!$E$25,'材料与任务'!$E$27,IF(A62&gt;='材料与任务'!$E$19,'材料与任务'!$E$21,IF(A62&gt;='材料与任务'!$E$13,'材料与任务'!$E$15,'材料与任务'!$E$9)))))*G62,0)</x:f>
        <x:v>2</x:v>
      </x:c>
      <x:c r="R62" s="110" t="n">
        <x:f>'装备掉落'!$B$38</x:f>
        <x:v>0.6872058758851213</x:v>
      </x:c>
      <x:c r="S62" s="119" t="n">
        <x:f>MAX(IF(VLOOKUP(A62,'装备掉落'!$A$29:$H$34,2,TRUE)&gt;0,1,0),IF(VLOOKUP(A62,'装备掉落'!$A$29:$H$34,3,TRUE)&gt;0,2,0),IF(VLOOKUP(A62,'装备掉落'!$A$29:$H$34,4,TRUE)&gt;0,3,0),IF(VLOOKUP(A62,'装备掉落'!$A$29:$H$34,5,TRUE)&gt;0,4,0),IF(VLOOKUP(A62,'装备掉落'!$A$29:$H$34,6,TRUE)&gt;0,5,0),IF(VLOOKUP(A62,'装备掉落'!$A$29:$H$34,7,TRUE)&gt;0,6,0),IF(VLOOKUP(A62,'装备掉落'!$A$29:$H$34,8,TRUE)&gt;0,7,0))</x:f>
        <x:v>5</x:v>
      </x:c>
      <x:c r="T62" s="119" t="n">
        <x:f>MIN(7,S62+'经济参数'!$E$70)</x:f>
        <x:v>5</x:v>
      </x:c>
      <x:c r="U62" s="119" t="n">
        <x:f>MIN(7,S62+'经济参数'!$E$71)</x:f>
        <x:v>6</x:v>
      </x:c>
      <x:c r="V62" s="119" t="n">
        <x:f>IF(H62&gt;=('难度参数'!$E$52),1,0)+IF(H62&gt;=('难度参数'!$E$52+'难度参数'!$E$53),1,0)+IF(H62&gt;=('难度参数'!$E$52+'难度参数'!$E$53+'难度参数'!$E$54),1,0)+IF(H62&gt;=('难度参数'!$E$52+'难度参数'!$E$53+'难度参数'!$E$54+'难度参数'!$E$55),1,0)+IF(H62&gt;=('难度参数'!$E$52+'难度参数'!$E$53+'难度参数'!$E$54+'难度参数'!$E$55+'难度参数'!$E$56),1,0)+IF(H62&gt;=('难度参数'!$E$52+'难度参数'!$E$53+'难度参数'!$E$54+'难度参数'!$E$55+'难度参数'!$E$56+'难度参数'!$E$57),1,0)</x:f>
        <x:v>6</x:v>
      </x:c>
      <x:c r="W62" s="62" t="str">
        <x:f>IF(L62&gt;'难度参数'!$E$51,"仅出怪已超目标","还需实测")</x:f>
        <x:v>还需实测</x:v>
      </x:c>
      <x:c r="X62" s="119" t="n">
        <x:f>IF(1&gt;D62,0,MAX(2,MIN('难度参数'!$E$12,ROUND(('难度参数'!$E$18*POWER(A62,'难度参数'!$E$19)/D62*(0.85+0.3*(1-1)/MAX(1,D62-1))),0)+F62)))</x:f>
        <x:v>16</x:v>
      </x:c>
      <x:c r="Y62" s="119" t="n">
        <x:f>IF(1&gt;D62,0,ROUND(('难度参数'!$E$13*POWER(A62,'难度参数'!$E$20)*MIN('难度参数'!$E$23,1+MAX(0,A62-'难度参数'!$E$21)*'难度参数'!$E$22))*(36+1*7)/(36+7*(D62+1)/2)*E62,0))</x:f>
        <x:v>1351</x:v>
      </x:c>
      <x:c r="Z62" s="119" t="n">
        <x:f>IF(X62=0,0,(X62-IF(1=D62,1,0))*ROUND(Y62*VLOOKUP(INDEX('章节与怪物'!$E$31:$K$37,B62,1),'章节与怪物'!$A$41:$F$44,2,FALSE),0)+IF(1=D62,ROUND(Y62*'难度参数'!$E$28*'章节与怪物'!$E$17,0),0))</x:f>
        <x:v>21616</x:v>
      </x:c>
      <x:c r="AA62" s="119" t="n">
        <x:f>IF(X62=0,0,(X62-IF(1=D62,1,0))*VLOOKUP(INDEX('章节与怪物'!$E$31:$K$37,B62,1),'章节与怪物'!$A$41:$F$44,4,FALSE)+IF(1=D62,'难度参数'!$E$30,0))</x:f>
        <x:v>288</x:v>
      </x:c>
      <x:c r="AB62" s="119" t="n">
        <x:f>IF(2&gt;D62,0,MAX(2,MIN('难度参数'!$E$12,ROUND(('难度参数'!$E$18*POWER(A62,'难度参数'!$E$19)/D62*(0.85+0.3*(2-1)/MAX(1,D62-1))),0)+F62)))</x:f>
        <x:v>17</x:v>
      </x:c>
      <x:c r="AC62" s="119" t="n">
        <x:f>IF(2&gt;D62,0,ROUND(('难度参数'!$E$13*POWER(A62,'难度参数'!$E$20)*MIN('难度参数'!$E$23,1+MAX(0,A62-'难度参数'!$E$21)*'难度参数'!$E$22))*(36+2*7)/(36+7*(D62+1)/2)*E62,0))</x:f>
        <x:v>1570</x:v>
      </x:c>
      <x:c r="AD62" s="119" t="n">
        <x:f>IF(AB62=0,0,(AB62-IF(2=D62,1,0))*ROUND(AC62*VLOOKUP(INDEX('章节与怪物'!$E$31:$K$37,B62,2),'章节与怪物'!$A$41:$F$44,2,FALSE),0)+IF(2=D62,ROUND(AC62*'难度参数'!$E$28*'章节与怪物'!$E$17,0),0))</x:f>
        <x:v>19210</x:v>
      </x:c>
      <x:c r="AE62" s="119" t="n">
        <x:f>IF(AB62=0,0,(AB62-IF(2=D62,1,0))*VLOOKUP(INDEX('章节与怪物'!$E$31:$K$37,B62,2),'章节与怪物'!$A$41:$F$44,4,FALSE)+IF(2=D62,'难度参数'!$E$30,0))</x:f>
        <x:v>340</x:v>
      </x:c>
      <x:c r="AF62" s="119" t="n">
        <x:f>IF(3&gt;D62,0,MAX(2,MIN('难度参数'!$E$12,ROUND(('难度参数'!$E$18*POWER(A62,'难度参数'!$E$19)/D62*(0.85+0.3*(3-1)/MAX(1,D62-1))),0)+F62)))</x:f>
        <x:v>18</x:v>
      </x:c>
      <x:c r="AG62" s="119" t="n">
        <x:f>IF(3&gt;D62,0,ROUND(('难度参数'!$E$13*POWER(A62,'难度参数'!$E$20)*MIN('难度参数'!$E$23,1+MAX(0,A62-'难度参数'!$E$21)*'难度参数'!$E$22))*(36+3*7)/(36+7*(D62+1)/2)*E62,0))</x:f>
        <x:v>1790</x:v>
      </x:c>
      <x:c r="AH62" s="119" t="n">
        <x:f>IF(AF62=0,0,(AF62-IF(3=D62,1,0))*ROUND(AG62*VLOOKUP(INDEX('章节与怪物'!$E$31:$K$37,B62,3),'章节与怪物'!$A$41:$F$44,2,FALSE),0)+IF(3=D62,ROUND(AG62*'难度参数'!$E$28*'章节与怪物'!$E$17,0),0))</x:f>
        <x:v>54774</x:v>
      </x:c>
      <x:c r="AI62" s="119" t="n">
        <x:f>IF(AF62=0,0,(AF62-IF(3=D62,1,0))*VLOOKUP(INDEX('章节与怪物'!$E$31:$K$37,B62,3),'章节与怪物'!$A$41:$F$44,4,FALSE)+IF(3=D62,'难度参数'!$E$30,0))</x:f>
        <x:v>504</x:v>
      </x:c>
      <x:c r="AJ62" s="119" t="n">
        <x:f>IF(4&gt;D62,0,MAX(2,MIN('难度参数'!$E$12,ROUND(('难度参数'!$E$18*POWER(A62,'难度参数'!$E$19)/D62*(0.85+0.3*(4-1)/MAX(1,D62-1))),0)+F62)))</x:f>
        <x:v>19</x:v>
      </x:c>
      <x:c r="AK62" s="119" t="n">
        <x:f>IF(4&gt;D62,0,ROUND(('难度参数'!$E$13*POWER(A62,'难度参数'!$E$20)*MIN('难度参数'!$E$23,1+MAX(0,A62-'难度参数'!$E$21)*'难度参数'!$E$22))*(36+4*7)/(36+7*(D62+1)/2)*E62,0))</x:f>
        <x:v>2010</x:v>
      </x:c>
      <x:c r="AL62" s="119" t="n">
        <x:f>IF(AJ62=0,0,(AJ62-IF(4=D62,1,0))*ROUND(AK62*VLOOKUP(INDEX('章节与怪物'!$E$31:$K$37,B62,4),'章节与怪物'!$A$41:$F$44,2,FALSE),0)+IF(4=D62,ROUND(AK62*'难度参数'!$E$28*'章节与怪物'!$E$17,0),0))</x:f>
        <x:v>51566</x:v>
      </x:c>
      <x:c r="AM62" s="119" t="n">
        <x:f>IF(AJ62=0,0,(AJ62-IF(4=D62,1,0))*VLOOKUP(INDEX('章节与怪物'!$E$31:$K$37,B62,4),'章节与怪物'!$A$41:$F$44,4,FALSE)+IF(4=D62,'难度参数'!$E$30,0))</x:f>
        <x:v>646</x:v>
      </x:c>
      <x:c r="AN62" s="119" t="n">
        <x:f>IF(5&gt;D62,0,MAX(2,MIN('难度参数'!$E$12,ROUND(('难度参数'!$E$18*POWER(A62,'难度参数'!$E$19)/D62*(0.85+0.3*(5-1)/MAX(1,D62-1))),0)+F62)))</x:f>
        <x:v>20</x:v>
      </x:c>
      <x:c r="AO62" s="119" t="n">
        <x:f>IF(5&gt;D62,0,ROUND(('难度参数'!$E$13*POWER(A62,'难度参数'!$E$20)*MIN('难度参数'!$E$23,1+MAX(0,A62-'难度参数'!$E$21)*'难度参数'!$E$22))*(36+5*7)/(36+7*(D62+1)/2)*E62,0))</x:f>
        <x:v>2230</x:v>
      </x:c>
      <x:c r="AP62" s="119" t="n">
        <x:f>IF(AN62=0,0,(AN62-IF(5=D62,1,0))*ROUND(AO62*VLOOKUP(INDEX('章节与怪物'!$E$31:$K$37,B62,5),'章节与怪物'!$A$41:$F$44,2,FALSE),0)+IF(5=D62,ROUND(AO62*'难度参数'!$E$28*'章节与怪物'!$E$17,0),0))</x:f>
        <x:v>32120</x:v>
      </x:c>
      <x:c r="AQ62" s="119" t="n">
        <x:f>IF(AN62=0,0,(AN62-IF(5=D62,1,0))*VLOOKUP(INDEX('章节与怪物'!$E$31:$K$37,B62,5),'章节与怪物'!$A$41:$F$44,4,FALSE)+IF(5=D62,'难度参数'!$E$30,0))</x:f>
        <x:v>400</x:v>
      </x:c>
      <x:c r="AR62" s="119" t="n">
        <x:f>IF(6&gt;D62,0,MAX(2,MIN('难度参数'!$E$12,ROUND(('难度参数'!$E$18*POWER(A62,'难度参数'!$E$19)/D62*(0.85+0.3*(6-1)/MAX(1,D62-1))),0)+F62)))</x:f>
        <x:v>21</x:v>
      </x:c>
      <x:c r="AS62" s="119" t="n">
        <x:f>IF(6&gt;D62,0,ROUND(('难度参数'!$E$13*POWER(A62,'难度参数'!$E$20)*MIN('难度参数'!$E$23,1+MAX(0,A62-'难度参数'!$E$21)*'难度参数'!$E$22))*(36+6*7)/(36+7*(D62+1)/2)*E62,0))</x:f>
        <x:v>2450</x:v>
      </x:c>
      <x:c r="AT62" s="119" t="n">
        <x:f>IF(AR62=0,0,(AR62-IF(6=D62,1,0))*ROUND(AS62*VLOOKUP(INDEX('章节与怪物'!$E$31:$K$37,B62,6),'章节与怪物'!$A$41:$F$44,2,FALSE),0)+IF(6=D62,ROUND(AS62*'难度参数'!$E$28*'章节与怪物'!$E$17,0),0))</x:f>
        <x:v>87465</x:v>
      </x:c>
      <x:c r="AU62" s="119" t="n">
        <x:f>IF(AR62=0,0,(AR62-IF(6=D62,1,0))*VLOOKUP(INDEX('章节与怪物'!$E$31:$K$37,B62,6),'章节与怪物'!$A$41:$F$44,4,FALSE)+IF(6=D62,'难度参数'!$E$30,0))</x:f>
        <x:v>588</x:v>
      </x:c>
      <x:c r="AV62" s="119" t="n">
        <x:f>IF(7&gt;D62,0,MAX(2,MIN('难度参数'!$E$12,ROUND(('难度参数'!$E$18*POWER(A62,'难度参数'!$E$19)/D62*(0.85+0.3*(7-1)/MAX(1,D62-1))),0)+F62)))</x:f>
        <x:v>22</x:v>
      </x:c>
      <x:c r="AW62" s="119" t="n">
        <x:f>IF(7&gt;D62,0,ROUND(('难度参数'!$E$13*POWER(A62,'难度参数'!$E$20)*MIN('难度参数'!$E$23,1+MAX(0,A62-'难度参数'!$E$21)*'难度参数'!$E$22))*(36+7*7)/(36+7*(D62+1)/2)*E62,0))</x:f>
        <x:v>2670</x:v>
      </x:c>
      <x:c r="AX62" s="119" t="n">
        <x:f>IF(AV62=0,0,(AV62-IF(7=D62,1,0))*ROUND(AW62*VLOOKUP(INDEX('章节与怪物'!$E$31:$K$37,B62,7),'章节与怪物'!$A$41:$F$44,2,FALSE),0)+IF(7=D62,ROUND(AW62*'难度参数'!$E$28*'章节与怪物'!$E$17,0),0))</x:f>
        <x:v>93861</x:v>
      </x:c>
      <x:c r="AY62" s="119" t="n">
        <x:f>IF(AV62=0,0,(AV62-IF(7=D62,1,0))*VLOOKUP(INDEX('章节与怪物'!$E$31:$K$37,B62,7),'章节与怪物'!$A$41:$F$44,4,FALSE)+IF(7=D62,'难度参数'!$E$30,0))</x:f>
        <x:v>914</x:v>
      </x:c>
    </x:row>
    <x:row r="63" ht="23" customHeight="1">
      <x:c r="A63" s="119" t="n">
        <x:v>57</x:v>
      </x:c>
      <x:c r="B63" s="119" t="n">
        <x:f>MOD(INT((A63-1)/5),7)+1</x:f>
        <x:v>5</x:v>
      </x:c>
      <x:c r="C63" s="62" t="str">
        <x:f>INDEX('章节与怪物'!$B$31:$B$37,B63)</x:f>
        <x:v>雨林遗迹</x:v>
      </x:c>
      <x:c r="D63" s="119" t="n">
        <x:f>MIN('难度参数'!$E$8,MAX('难度参数'!$E$7,A63))</x:f>
        <x:v>7</x:v>
      </x:c>
      <x:c r="E63" s="106" t="n">
        <x:v>1</x:v>
      </x:c>
      <x:c r="F63" s="106" t="n">
        <x:v>0</x:v>
      </x:c>
      <x:c r="G63" s="106" t="n">
        <x:v>1</x:v>
      </x:c>
      <x:c r="H63" s="119" t="n">
        <x:f>SUM(X63,AB63,AF63,AJ63,AN63,AR63,AV63)</x:f>
        <x:v>133</x:v>
      </x:c>
      <x:c r="I63" s="119" t="n">
        <x:f>SUM(Z63,AD63,AH63,AL63,AP63,AT63,AX63)</x:f>
        <x:v>366196</x:v>
      </x:c>
      <x:c r="J63" s="119" t="n">
        <x:f>ROUND(INDEX(X63:AY63,1,(D63-1)*4+2)*'难度参数'!$E$28*'章节与怪物'!$E$17,0)</x:f>
        <x:v>18435</x:v>
      </x:c>
      <x:c r="K63" s="119" t="n">
        <x:f>SUM(AA63,AE63,AI63,AM63,AQ63,AU63,AY63)</x:f>
        <x:v>3680</x:v>
      </x:c>
      <x:c r="L63" s="62" t="n">
        <x:f>H63*(ROUNDUP('难度参数'!$E$24/('难度参数'!$E$26*'难度参数'!$E$27),0)*'难度参数'!$E$26)/60</x:f>
        <x:v>1.7733333333333334</x:v>
      </x:c>
      <x:c r="M63" s="62" t="n">
        <x:f>L63+D63*('难度参数'!$E$49+'难度参数'!$E$50)/60</x:f>
        <x:v>2.9400000000000004</x:v>
      </x:c>
      <x:c r="N63" s="119" t="n">
        <x:f>ROUNDDOWN(('经济参数'!$E$20+A63*'经济参数'!$E$21)*G63,0)</x:f>
        <x:v>1320</x:v>
      </x:c>
      <x:c r="O63" s="119" t="n">
        <x:f>ROUNDDOWN(MIN('经济参数'!$E$24,'经济参数'!$E$22+A63*'经济参数'!$E$23)*G63,0)</x:f>
        <x:v>0</x:v>
      </x:c>
      <x:c r="P63" s="119" t="n">
        <x:f>ROUNDDOWN((IF(A63&gt;='材料与任务'!$E$31,'材料与任务'!$E$32,IF(A63&gt;='材料与任务'!$E$25,'材料与任务'!$E$26,IF(A63&gt;='材料与任务'!$E$19,'材料与任务'!$E$20,IF(A63&gt;='材料与任务'!$E$13,'材料与任务'!$E$14,'材料与任务'!$E$8)))))*G63,0)</x:f>
        <x:v>4</x:v>
      </x:c>
      <x:c r="Q63" s="119" t="n">
        <x:f>ROUNDDOWN((IF(A63&gt;='材料与任务'!$E$31,'材料与任务'!$E$33,IF(A63&gt;='材料与任务'!$E$25,'材料与任务'!$E$27,IF(A63&gt;='材料与任务'!$E$19,'材料与任务'!$E$21,IF(A63&gt;='材料与任务'!$E$13,'材料与任务'!$E$15,'材料与任务'!$E$9)))))*G63,0)</x:f>
        <x:v>2</x:v>
      </x:c>
      <x:c r="R63" s="110" t="n">
        <x:f>'装备掉落'!$B$38</x:f>
        <x:v>0.6872058758851213</x:v>
      </x:c>
      <x:c r="S63" s="119" t="n">
        <x:f>MAX(IF(VLOOKUP(A63,'装备掉落'!$A$29:$H$34,2,TRUE)&gt;0,1,0),IF(VLOOKUP(A63,'装备掉落'!$A$29:$H$34,3,TRUE)&gt;0,2,0),IF(VLOOKUP(A63,'装备掉落'!$A$29:$H$34,4,TRUE)&gt;0,3,0),IF(VLOOKUP(A63,'装备掉落'!$A$29:$H$34,5,TRUE)&gt;0,4,0),IF(VLOOKUP(A63,'装备掉落'!$A$29:$H$34,6,TRUE)&gt;0,5,0),IF(VLOOKUP(A63,'装备掉落'!$A$29:$H$34,7,TRUE)&gt;0,6,0),IF(VLOOKUP(A63,'装备掉落'!$A$29:$H$34,8,TRUE)&gt;0,7,0))</x:f>
        <x:v>5</x:v>
      </x:c>
      <x:c r="T63" s="119" t="n">
        <x:f>MIN(7,S63+'经济参数'!$E$70)</x:f>
        <x:v>5</x:v>
      </x:c>
      <x:c r="U63" s="119" t="n">
        <x:f>MIN(7,S63+'经济参数'!$E$71)</x:f>
        <x:v>6</x:v>
      </x:c>
      <x:c r="V63" s="119" t="n">
        <x:f>IF(H63&gt;=('难度参数'!$E$52),1,0)+IF(H63&gt;=('难度参数'!$E$52+'难度参数'!$E$53),1,0)+IF(H63&gt;=('难度参数'!$E$52+'难度参数'!$E$53+'难度参数'!$E$54),1,0)+IF(H63&gt;=('难度参数'!$E$52+'难度参数'!$E$53+'难度参数'!$E$54+'难度参数'!$E$55),1,0)+IF(H63&gt;=('难度参数'!$E$52+'难度参数'!$E$53+'难度参数'!$E$54+'难度参数'!$E$55+'难度参数'!$E$56),1,0)+IF(H63&gt;=('难度参数'!$E$52+'难度参数'!$E$53+'难度参数'!$E$54+'难度参数'!$E$55+'难度参数'!$E$56+'难度参数'!$E$57),1,0)</x:f>
        <x:v>6</x:v>
      </x:c>
      <x:c r="W63" s="62" t="str">
        <x:f>IF(L63&gt;'难度参数'!$E$51,"仅出怪已超目标","还需实测")</x:f>
        <x:v>还需实测</x:v>
      </x:c>
      <x:c r="X63" s="119" t="n">
        <x:f>IF(1&gt;D63,0,MAX(2,MIN('难度参数'!$E$12,ROUND(('难度参数'!$E$18*POWER(A63,'难度参数'!$E$19)/D63*(0.85+0.3*(1-1)/MAX(1,D63-1))),0)+F63)))</x:f>
        <x:v>16</x:v>
      </x:c>
      <x:c r="Y63" s="119" t="n">
        <x:f>IF(1&gt;D63,0,ROUND(('难度参数'!$E$13*POWER(A63,'难度参数'!$E$20)*MIN('难度参数'!$E$23,1+MAX(0,A63-'难度参数'!$E$21)*'难度参数'!$E$22))*(36+1*7)/(36+7*(D63+1)/2)*E63,0))</x:f>
        <x:v>1372</x:v>
      </x:c>
      <x:c r="Z63" s="119" t="n">
        <x:f>IF(X63=0,0,(X63-IF(1=D63,1,0))*ROUND(Y63*VLOOKUP(INDEX('章节与怪物'!$E$31:$K$37,B63,1),'章节与怪物'!$A$41:$F$44,2,FALSE),0)+IF(1=D63,ROUND(Y63*'难度参数'!$E$28*'章节与怪物'!$E$17,0),0))</x:f>
        <x:v>21952</x:v>
      </x:c>
      <x:c r="AA63" s="119" t="n">
        <x:f>IF(X63=0,0,(X63-IF(1=D63,1,0))*VLOOKUP(INDEX('章节与怪物'!$E$31:$K$37,B63,1),'章节与怪物'!$A$41:$F$44,4,FALSE)+IF(1=D63,'难度参数'!$E$30,0))</x:f>
        <x:v>288</x:v>
      </x:c>
      <x:c r="AB63" s="119" t="n">
        <x:f>IF(2&gt;D63,0,MAX(2,MIN('难度参数'!$E$12,ROUND(('难度参数'!$E$18*POWER(A63,'难度参数'!$E$19)/D63*(0.85+0.3*(2-1)/MAX(1,D63-1))),0)+F63)))</x:f>
        <x:v>17</x:v>
      </x:c>
      <x:c r="AC63" s="119" t="n">
        <x:f>IF(2&gt;D63,0,ROUND(('难度参数'!$E$13*POWER(A63,'难度参数'!$E$20)*MIN('难度参数'!$E$23,1+MAX(0,A63-'难度参数'!$E$21)*'难度参数'!$E$22))*(36+2*7)/(36+7*(D63+1)/2)*E63,0))</x:f>
        <x:v>1595</x:v>
      </x:c>
      <x:c r="AD63" s="119" t="n">
        <x:f>IF(AB63=0,0,(AB63-IF(2=D63,1,0))*ROUND(AC63*VLOOKUP(INDEX('章节与怪物'!$E$31:$K$37,B63,2),'章节与怪物'!$A$41:$F$44,2,FALSE),0)+IF(2=D63,ROUND(AC63*'难度参数'!$E$28*'章节与怪物'!$E$17,0),0))</x:f>
        <x:v>19516</x:v>
      </x:c>
      <x:c r="AE63" s="119" t="n">
        <x:f>IF(AB63=0,0,(AB63-IF(2=D63,1,0))*VLOOKUP(INDEX('章节与怪物'!$E$31:$K$37,B63,2),'章节与怪物'!$A$41:$F$44,4,FALSE)+IF(2=D63,'难度参数'!$E$30,0))</x:f>
        <x:v>340</x:v>
      </x:c>
      <x:c r="AF63" s="119" t="n">
        <x:f>IF(3&gt;D63,0,MAX(2,MIN('难度参数'!$E$12,ROUND(('难度参数'!$E$18*POWER(A63,'难度参数'!$E$19)/D63*(0.85+0.3*(3-1)/MAX(1,D63-1))),0)+F63)))</x:f>
        <x:v>18</x:v>
      </x:c>
      <x:c r="AG63" s="119" t="n">
        <x:f>IF(3&gt;D63,0,ROUND(('难度参数'!$E$13*POWER(A63,'难度参数'!$E$20)*MIN('难度参数'!$E$23,1+MAX(0,A63-'难度参数'!$E$21)*'难度参数'!$E$22))*(36+3*7)/(36+7*(D63+1)/2)*E63,0))</x:f>
        <x:v>1818</x:v>
      </x:c>
      <x:c r="AH63" s="119" t="n">
        <x:f>IF(AF63=0,0,(AF63-IF(3=D63,1,0))*ROUND(AG63*VLOOKUP(INDEX('章节与怪物'!$E$31:$K$37,B63,3),'章节与怪物'!$A$41:$F$44,2,FALSE),0)+IF(3=D63,ROUND(AG63*'难度参数'!$E$28*'章节与怪物'!$E$17,0),0))</x:f>
        <x:v>55638</x:v>
      </x:c>
      <x:c r="AI63" s="119" t="n">
        <x:f>IF(AF63=0,0,(AF63-IF(3=D63,1,0))*VLOOKUP(INDEX('章节与怪物'!$E$31:$K$37,B63,3),'章节与怪物'!$A$41:$F$44,4,FALSE)+IF(3=D63,'难度参数'!$E$30,0))</x:f>
        <x:v>504</x:v>
      </x:c>
      <x:c r="AJ63" s="119" t="n">
        <x:f>IF(4&gt;D63,0,MAX(2,MIN('难度参数'!$E$12,ROUND(('难度参数'!$E$18*POWER(A63,'难度参数'!$E$19)/D63*(0.85+0.3*(4-1)/MAX(1,D63-1))),0)+F63)))</x:f>
        <x:v>19</x:v>
      </x:c>
      <x:c r="AK63" s="119" t="n">
        <x:f>IF(4&gt;D63,0,ROUND(('难度参数'!$E$13*POWER(A63,'难度参数'!$E$20)*MIN('难度参数'!$E$23,1+MAX(0,A63-'难度参数'!$E$21)*'难度参数'!$E$22))*(36+4*7)/(36+7*(D63+1)/2)*E63,0))</x:f>
        <x:v>2041</x:v>
      </x:c>
      <x:c r="AL63" s="119" t="n">
        <x:f>IF(AJ63=0,0,(AJ63-IF(4=D63,1,0))*ROUND(AK63*VLOOKUP(INDEX('章节与怪物'!$E$31:$K$37,B63,4),'章节与怪物'!$A$41:$F$44,2,FALSE),0)+IF(4=D63,ROUND(AK63*'难度参数'!$E$28*'章节与怪物'!$E$17,0),0))</x:f>
        <x:v>52345</x:v>
      </x:c>
      <x:c r="AM63" s="119" t="n">
        <x:f>IF(AJ63=0,0,(AJ63-IF(4=D63,1,0))*VLOOKUP(INDEX('章节与怪物'!$E$31:$K$37,B63,4),'章节与怪物'!$A$41:$F$44,4,FALSE)+IF(4=D63,'难度参数'!$E$30,0))</x:f>
        <x:v>646</x:v>
      </x:c>
      <x:c r="AN63" s="119" t="n">
        <x:f>IF(5&gt;D63,0,MAX(2,MIN('难度参数'!$E$12,ROUND(('难度参数'!$E$18*POWER(A63,'难度参数'!$E$19)/D63*(0.85+0.3*(5-1)/MAX(1,D63-1))),0)+F63)))</x:f>
        <x:v>20</x:v>
      </x:c>
      <x:c r="AO63" s="119" t="n">
        <x:f>IF(5&gt;D63,0,ROUND(('难度参数'!$E$13*POWER(A63,'难度参数'!$E$20)*MIN('难度参数'!$E$23,1+MAX(0,A63-'难度参数'!$E$21)*'难度参数'!$E$22))*(36+5*7)/(36+7*(D63+1)/2)*E63,0))</x:f>
        <x:v>2265</x:v>
      </x:c>
      <x:c r="AP63" s="119" t="n">
        <x:f>IF(AN63=0,0,(AN63-IF(5=D63,1,0))*ROUND(AO63*VLOOKUP(INDEX('章节与怪物'!$E$31:$K$37,B63,5),'章节与怪物'!$A$41:$F$44,2,FALSE),0)+IF(5=D63,ROUND(AO63*'难度参数'!$E$28*'章节与怪物'!$E$17,0),0))</x:f>
        <x:v>32620</x:v>
      </x:c>
      <x:c r="AQ63" s="119" t="n">
        <x:f>IF(AN63=0,0,(AN63-IF(5=D63,1,0))*VLOOKUP(INDEX('章节与怪物'!$E$31:$K$37,B63,5),'章节与怪物'!$A$41:$F$44,4,FALSE)+IF(5=D63,'难度参数'!$E$30,0))</x:f>
        <x:v>400</x:v>
      </x:c>
      <x:c r="AR63" s="119" t="n">
        <x:f>IF(6&gt;D63,0,MAX(2,MIN('难度参数'!$E$12,ROUND(('难度参数'!$E$18*POWER(A63,'难度参数'!$E$19)/D63*(0.85+0.3*(6-1)/MAX(1,D63-1))),0)+F63)))</x:f>
        <x:v>21</x:v>
      </x:c>
      <x:c r="AS63" s="119" t="n">
        <x:f>IF(6&gt;D63,0,ROUND(('难度参数'!$E$13*POWER(A63,'难度参数'!$E$20)*MIN('难度参数'!$E$23,1+MAX(0,A63-'难度参数'!$E$21)*'难度参数'!$E$22))*(36+6*7)/(36+7*(D63+1)/2)*E63,0))</x:f>
        <x:v>2488</x:v>
      </x:c>
      <x:c r="AT63" s="119" t="n">
        <x:f>IF(AR63=0,0,(AR63-IF(6=D63,1,0))*ROUND(AS63*VLOOKUP(INDEX('章节与怪物'!$E$31:$K$37,B63,6),'章节与怪物'!$A$41:$F$44,2,FALSE),0)+IF(6=D63,ROUND(AS63*'难度参数'!$E$28*'章节与怪物'!$E$17,0),0))</x:f>
        <x:v>88830</x:v>
      </x:c>
      <x:c r="AU63" s="119" t="n">
        <x:f>IF(AR63=0,0,(AR63-IF(6=D63,1,0))*VLOOKUP(INDEX('章节与怪物'!$E$31:$K$37,B63,6),'章节与怪物'!$A$41:$F$44,4,FALSE)+IF(6=D63,'难度参数'!$E$30,0))</x:f>
        <x:v>588</x:v>
      </x:c>
      <x:c r="AV63" s="119" t="n">
        <x:f>IF(7&gt;D63,0,MAX(2,MIN('难度参数'!$E$12,ROUND(('难度参数'!$E$18*POWER(A63,'难度参数'!$E$19)/D63*(0.85+0.3*(7-1)/MAX(1,D63-1))),0)+F63)))</x:f>
        <x:v>22</x:v>
      </x:c>
      <x:c r="AW63" s="119" t="n">
        <x:f>IF(7&gt;D63,0,ROUND(('难度参数'!$E$13*POWER(A63,'难度参数'!$E$20)*MIN('难度参数'!$E$23,1+MAX(0,A63-'难度参数'!$E$21)*'难度参数'!$E$22))*(36+7*7)/(36+7*(D63+1)/2)*E63,0))</x:f>
        <x:v>2711</x:v>
      </x:c>
      <x:c r="AX63" s="119" t="n">
        <x:f>IF(AV63=0,0,(AV63-IF(7=D63,1,0))*ROUND(AW63*VLOOKUP(INDEX('章节与怪物'!$E$31:$K$37,B63,7),'章节与怪物'!$A$41:$F$44,2,FALSE),0)+IF(7=D63,ROUND(AW63*'难度参数'!$E$28*'章节与怪物'!$E$17,0),0))</x:f>
        <x:v>95295</x:v>
      </x:c>
      <x:c r="AY63" s="119" t="n">
        <x:f>IF(AV63=0,0,(AV63-IF(7=D63,1,0))*VLOOKUP(INDEX('章节与怪物'!$E$31:$K$37,B63,7),'章节与怪物'!$A$41:$F$44,4,FALSE)+IF(7=D63,'难度参数'!$E$30,0))</x:f>
        <x:v>914</x:v>
      </x:c>
    </x:row>
    <x:row r="64" ht="23" customHeight="1">
      <x:c r="A64" s="119" t="n">
        <x:v>58</x:v>
      </x:c>
      <x:c r="B64" s="119" t="n">
        <x:f>MOD(INT((A64-1)/5),7)+1</x:f>
        <x:v>5</x:v>
      </x:c>
      <x:c r="C64" s="62" t="str">
        <x:f>INDEX('章节与怪物'!$B$31:$B$37,B64)</x:f>
        <x:v>雨林遗迹</x:v>
      </x:c>
      <x:c r="D64" s="119" t="n">
        <x:f>MIN('难度参数'!$E$8,MAX('难度参数'!$E$7,A64))</x:f>
        <x:v>7</x:v>
      </x:c>
      <x:c r="E64" s="106" t="n">
        <x:v>1</x:v>
      </x:c>
      <x:c r="F64" s="106" t="n">
        <x:v>0</x:v>
      </x:c>
      <x:c r="G64" s="106" t="n">
        <x:v>1</x:v>
      </x:c>
      <x:c r="H64" s="119" t="n">
        <x:f>SUM(X64,AB64,AF64,AJ64,AN64,AR64,AV64)</x:f>
        <x:v>138</x:v>
      </x:c>
      <x:c r="I64" s="119" t="n">
        <x:f>SUM(Z64,AD64,AH64,AL64,AP64,AT64,AX64)</x:f>
        <x:v>381977</x:v>
      </x:c>
      <x:c r="J64" s="119" t="n">
        <x:f>ROUND(INDEX(X64:AY64,1,(D64-1)*4+2)*'难度参数'!$E$28*'章节与怪物'!$E$17,0)</x:f>
        <x:v>18720</x:v>
      </x:c>
      <x:c r="K64" s="119" t="n">
        <x:f>SUM(AA64,AE64,AI64,AM64,AQ64,AU64,AY64)</x:f>
        <x:v>3800</x:v>
      </x:c>
      <x:c r="L64" s="62" t="n">
        <x:f>H64*(ROUNDUP('难度参数'!$E$24/('难度参数'!$E$26*'难度参数'!$E$27),0)*'难度参数'!$E$26)/60</x:f>
        <x:v>1.84</x:v>
      </x:c>
      <x:c r="M64" s="62" t="n">
        <x:f>L64+D64*('难度参数'!$E$49+'难度参数'!$E$50)/60</x:f>
        <x:v>3.006666666666667</x:v>
      </x:c>
      <x:c r="N64" s="119" t="n">
        <x:f>ROUNDDOWN(('经济参数'!$E$20+A64*'经济参数'!$E$21)*G64,0)</x:f>
        <x:v>1340</x:v>
      </x:c>
      <x:c r="O64" s="119" t="n">
        <x:f>ROUNDDOWN(MIN('经济参数'!$E$24,'经济参数'!$E$22+A64*'经济参数'!$E$23)*G64,0)</x:f>
        <x:v>0</x:v>
      </x:c>
      <x:c r="P64" s="119" t="n">
        <x:f>ROUNDDOWN((IF(A64&gt;='材料与任务'!$E$31,'材料与任务'!$E$32,IF(A64&gt;='材料与任务'!$E$25,'材料与任务'!$E$26,IF(A64&gt;='材料与任务'!$E$19,'材料与任务'!$E$20,IF(A64&gt;='材料与任务'!$E$13,'材料与任务'!$E$14,'材料与任务'!$E$8)))))*G64,0)</x:f>
        <x:v>4</x:v>
      </x:c>
      <x:c r="Q64" s="119" t="n">
        <x:f>ROUNDDOWN((IF(A64&gt;='材料与任务'!$E$31,'材料与任务'!$E$33,IF(A64&gt;='材料与任务'!$E$25,'材料与任务'!$E$27,IF(A64&gt;='材料与任务'!$E$19,'材料与任务'!$E$21,IF(A64&gt;='材料与任务'!$E$13,'材料与任务'!$E$15,'材料与任务'!$E$9)))))*G64,0)</x:f>
        <x:v>2</x:v>
      </x:c>
      <x:c r="R64" s="110" t="n">
        <x:f>'装备掉落'!$B$38</x:f>
        <x:v>0.6872058758851213</x:v>
      </x:c>
      <x:c r="S64" s="119" t="n">
        <x:f>MAX(IF(VLOOKUP(A64,'装备掉落'!$A$29:$H$34,2,TRUE)&gt;0,1,0),IF(VLOOKUP(A64,'装备掉落'!$A$29:$H$34,3,TRUE)&gt;0,2,0),IF(VLOOKUP(A64,'装备掉落'!$A$29:$H$34,4,TRUE)&gt;0,3,0),IF(VLOOKUP(A64,'装备掉落'!$A$29:$H$34,5,TRUE)&gt;0,4,0),IF(VLOOKUP(A64,'装备掉落'!$A$29:$H$34,6,TRUE)&gt;0,5,0),IF(VLOOKUP(A64,'装备掉落'!$A$29:$H$34,7,TRUE)&gt;0,6,0),IF(VLOOKUP(A64,'装备掉落'!$A$29:$H$34,8,TRUE)&gt;0,7,0))</x:f>
        <x:v>5</x:v>
      </x:c>
      <x:c r="T64" s="119" t="n">
        <x:f>MIN(7,S64+'经济参数'!$E$70)</x:f>
        <x:v>5</x:v>
      </x:c>
      <x:c r="U64" s="119" t="n">
        <x:f>MIN(7,S64+'经济参数'!$E$71)</x:f>
        <x:v>6</x:v>
      </x:c>
      <x:c r="V64" s="119" t="n">
        <x:f>IF(H64&gt;=('难度参数'!$E$52),1,0)+IF(H64&gt;=('难度参数'!$E$52+'难度参数'!$E$53),1,0)+IF(H64&gt;=('难度参数'!$E$52+'难度参数'!$E$53+'难度参数'!$E$54),1,0)+IF(H64&gt;=('难度参数'!$E$52+'难度参数'!$E$53+'难度参数'!$E$54+'难度参数'!$E$55),1,0)+IF(H64&gt;=('难度参数'!$E$52+'难度参数'!$E$53+'难度参数'!$E$54+'难度参数'!$E$55+'难度参数'!$E$56),1,0)+IF(H64&gt;=('难度参数'!$E$52+'难度参数'!$E$53+'难度参数'!$E$54+'难度参数'!$E$55+'难度参数'!$E$56+'难度参数'!$E$57),1,0)</x:f>
        <x:v>6</x:v>
      </x:c>
      <x:c r="W64" s="62" t="str">
        <x:f>IF(L64&gt;'难度参数'!$E$51,"仅出怪已超目标","还需实测")</x:f>
        <x:v>还需实测</x:v>
      </x:c>
      <x:c r="X64" s="119" t="n">
        <x:f>IF(1&gt;D64,0,MAX(2,MIN('难度参数'!$E$12,ROUND(('难度参数'!$E$18*POWER(A64,'难度参数'!$E$19)/D64*(0.85+0.3*(1-1)/MAX(1,D64-1))),0)+F64)))</x:f>
        <x:v>17</x:v>
      </x:c>
      <x:c r="Y64" s="119" t="n">
        <x:f>IF(1&gt;D64,0,ROUND(('难度参数'!$E$13*POWER(A64,'难度参数'!$E$20)*MIN('难度参数'!$E$23,1+MAX(0,A64-'难度参数'!$E$21)*'难度参数'!$E$22))*(36+1*7)/(36+7*(D64+1)/2)*E64,0))</x:f>
        <x:v>1393</x:v>
      </x:c>
      <x:c r="Z64" s="119" t="n">
        <x:f>IF(X64=0,0,(X64-IF(1=D64,1,0))*ROUND(Y64*VLOOKUP(INDEX('章节与怪物'!$E$31:$K$37,B64,1),'章节与怪物'!$A$41:$F$44,2,FALSE),0)+IF(1=D64,ROUND(Y64*'难度参数'!$E$28*'章节与怪物'!$E$17,0),0))</x:f>
        <x:v>23681</x:v>
      </x:c>
      <x:c r="AA64" s="119" t="n">
        <x:f>IF(X64=0,0,(X64-IF(1=D64,1,0))*VLOOKUP(INDEX('章节与怪物'!$E$31:$K$37,B64,1),'章节与怪物'!$A$41:$F$44,4,FALSE)+IF(1=D64,'难度参数'!$E$30,0))</x:f>
        <x:v>306</x:v>
      </x:c>
      <x:c r="AB64" s="119" t="n">
        <x:f>IF(2&gt;D64,0,MAX(2,MIN('难度参数'!$E$12,ROUND(('难度参数'!$E$18*POWER(A64,'难度参数'!$E$19)/D64*(0.85+0.3*(2-1)/MAX(1,D64-1))),0)+F64)))</x:f>
        <x:v>18</x:v>
      </x:c>
      <x:c r="AC64" s="119" t="n">
        <x:f>IF(2&gt;D64,0,ROUND(('难度参数'!$E$13*POWER(A64,'难度参数'!$E$20)*MIN('难度参数'!$E$23,1+MAX(0,A64-'难度参数'!$E$21)*'难度参数'!$E$22))*(36+2*7)/(36+7*(D64+1)/2)*E64,0))</x:f>
        <x:v>1619</x:v>
      </x:c>
      <x:c r="AD64" s="119" t="n">
        <x:f>IF(AB64=0,0,(AB64-IF(2=D64,1,0))*ROUND(AC64*VLOOKUP(INDEX('章节与怪物'!$E$31:$K$37,B64,2),'章节与怪物'!$A$41:$F$44,2,FALSE),0)+IF(2=D64,ROUND(AC64*'难度参数'!$E$28*'章节与怪物'!$E$17,0),0))</x:f>
        <x:v>20988</x:v>
      </x:c>
      <x:c r="AE64" s="119" t="n">
        <x:f>IF(AB64=0,0,(AB64-IF(2=D64,1,0))*VLOOKUP(INDEX('章节与怪物'!$E$31:$K$37,B64,2),'章节与怪物'!$A$41:$F$44,4,FALSE)+IF(2=D64,'难度参数'!$E$30,0))</x:f>
        <x:v>360</x:v>
      </x:c>
      <x:c r="AF64" s="119" t="n">
        <x:f>IF(3&gt;D64,0,MAX(2,MIN('难度参数'!$E$12,ROUND(('难度参数'!$E$18*POWER(A64,'难度参数'!$E$19)/D64*(0.85+0.3*(3-1)/MAX(1,D64-1))),0)+F64)))</x:f>
        <x:v>19</x:v>
      </x:c>
      <x:c r="AG64" s="119" t="n">
        <x:f>IF(3&gt;D64,0,ROUND(('难度参数'!$E$13*POWER(A64,'难度参数'!$E$20)*MIN('难度参数'!$E$23,1+MAX(0,A64-'难度参数'!$E$21)*'难度参数'!$E$22))*(36+3*7)/(36+7*(D64+1)/2)*E64,0))</x:f>
        <x:v>1846</x:v>
      </x:c>
      <x:c r="AH64" s="119" t="n">
        <x:f>IF(AF64=0,0,(AF64-IF(3=D64,1,0))*ROUND(AG64*VLOOKUP(INDEX('章节与怪物'!$E$31:$K$37,B64,3),'章节与怪物'!$A$41:$F$44,2,FALSE),0)+IF(3=D64,ROUND(AG64*'难度参数'!$E$28*'章节与怪物'!$E$17,0),0))</x:f>
        <x:v>59622</x:v>
      </x:c>
      <x:c r="AI64" s="119" t="n">
        <x:f>IF(AF64=0,0,(AF64-IF(3=D64,1,0))*VLOOKUP(INDEX('章节与怪物'!$E$31:$K$37,B64,3),'章节与怪物'!$A$41:$F$44,4,FALSE)+IF(3=D64,'难度参数'!$E$30,0))</x:f>
        <x:v>532</x:v>
      </x:c>
      <x:c r="AJ64" s="119" t="n">
        <x:f>IF(4&gt;D64,0,MAX(2,MIN('难度参数'!$E$12,ROUND(('难度参数'!$E$18*POWER(A64,'难度参数'!$E$19)/D64*(0.85+0.3*(4-1)/MAX(1,D64-1))),0)+F64)))</x:f>
        <x:v>20</x:v>
      </x:c>
      <x:c r="AK64" s="119" t="n">
        <x:f>IF(4&gt;D64,0,ROUND(('难度参数'!$E$13*POWER(A64,'难度参数'!$E$20)*MIN('难度参数'!$E$23,1+MAX(0,A64-'难度参数'!$E$21)*'难度参数'!$E$22))*(36+4*7)/(36+7*(D64+1)/2)*E64,0))</x:f>
        <x:v>2073</x:v>
      </x:c>
      <x:c r="AL64" s="119" t="n">
        <x:f>IF(AJ64=0,0,(AJ64-IF(4=D64,1,0))*ROUND(AK64*VLOOKUP(INDEX('章节与怪物'!$E$31:$K$37,B64,4),'章节与怪物'!$A$41:$F$44,2,FALSE),0)+IF(4=D64,ROUND(AK64*'难度参数'!$E$28*'章节与怪物'!$E$17,0),0))</x:f>
        <x:v>55980</x:v>
      </x:c>
      <x:c r="AM64" s="119" t="n">
        <x:f>IF(AJ64=0,0,(AJ64-IF(4=D64,1,0))*VLOOKUP(INDEX('章节与怪物'!$E$31:$K$37,B64,4),'章节与怪物'!$A$41:$F$44,4,FALSE)+IF(4=D64,'难度参数'!$E$30,0))</x:f>
        <x:v>680</x:v>
      </x:c>
      <x:c r="AN64" s="119" t="n">
        <x:f>IF(5&gt;D64,0,MAX(2,MIN('难度参数'!$E$12,ROUND(('难度参数'!$E$18*POWER(A64,'难度参数'!$E$19)/D64*(0.85+0.3*(5-1)/MAX(1,D64-1))),0)+F64)))</x:f>
        <x:v>21</x:v>
      </x:c>
      <x:c r="AO64" s="119" t="n">
        <x:f>IF(5&gt;D64,0,ROUND(('难度参数'!$E$13*POWER(A64,'难度参数'!$E$20)*MIN('难度参数'!$E$23,1+MAX(0,A64-'难度参数'!$E$21)*'难度参数'!$E$22))*(36+5*7)/(36+7*(D64+1)/2)*E64,0))</x:f>
        <x:v>2299</x:v>
      </x:c>
      <x:c r="AP64" s="119" t="n">
        <x:f>IF(AN64=0,0,(AN64-IF(5=D64,1,0))*ROUND(AO64*VLOOKUP(INDEX('章节与怪物'!$E$31:$K$37,B64,5),'章节与怪物'!$A$41:$F$44,2,FALSE),0)+IF(5=D64,ROUND(AO64*'难度参数'!$E$28*'章节与怪物'!$E$17,0),0))</x:f>
        <x:v>34755</x:v>
      </x:c>
      <x:c r="AQ64" s="119" t="n">
        <x:f>IF(AN64=0,0,(AN64-IF(5=D64,1,0))*VLOOKUP(INDEX('章节与怪物'!$E$31:$K$37,B64,5),'章节与怪物'!$A$41:$F$44,4,FALSE)+IF(5=D64,'难度参数'!$E$30,0))</x:f>
        <x:v>420</x:v>
      </x:c>
      <x:c r="AR64" s="119" t="n">
        <x:f>IF(6&gt;D64,0,MAX(2,MIN('难度参数'!$E$12,ROUND(('难度参数'!$E$18*POWER(A64,'难度参数'!$E$19)/D64*(0.85+0.3*(6-1)/MAX(1,D64-1))),0)+F64)))</x:f>
        <x:v>21</x:v>
      </x:c>
      <x:c r="AS64" s="119" t="n">
        <x:f>IF(6&gt;D64,0,ROUND(('难度参数'!$E$13*POWER(A64,'难度参数'!$E$20)*MIN('难度参数'!$E$23,1+MAX(0,A64-'难度参数'!$E$21)*'难度参数'!$E$22))*(36+6*7)/(36+7*(D64+1)/2)*E64,0))</x:f>
        <x:v>2526</x:v>
      </x:c>
      <x:c r="AT64" s="119" t="n">
        <x:f>IF(AR64=0,0,(AR64-IF(6=D64,1,0))*ROUND(AS64*VLOOKUP(INDEX('章节与怪物'!$E$31:$K$37,B64,6),'章节与怪物'!$A$41:$F$44,2,FALSE),0)+IF(6=D64,ROUND(AS64*'难度参数'!$E$28*'章节与怪物'!$E$17,0),0))</x:f>
        <x:v>90174</x:v>
      </x:c>
      <x:c r="AU64" s="119" t="n">
        <x:f>IF(AR64=0,0,(AR64-IF(6=D64,1,0))*VLOOKUP(INDEX('章节与怪物'!$E$31:$K$37,B64,6),'章节与怪物'!$A$41:$F$44,4,FALSE)+IF(6=D64,'难度参数'!$E$30,0))</x:f>
        <x:v>588</x:v>
      </x:c>
      <x:c r="AV64" s="119" t="n">
        <x:f>IF(7&gt;D64,0,MAX(2,MIN('难度参数'!$E$12,ROUND(('难度参数'!$E$18*POWER(A64,'难度参数'!$E$19)/D64*(0.85+0.3*(7-1)/MAX(1,D64-1))),0)+F64)))</x:f>
        <x:v>22</x:v>
      </x:c>
      <x:c r="AW64" s="119" t="n">
        <x:f>IF(7&gt;D64,0,ROUND(('难度参数'!$E$13*POWER(A64,'难度参数'!$E$20)*MIN('难度参数'!$E$23,1+MAX(0,A64-'难度参数'!$E$21)*'难度参数'!$E$22))*(36+7*7)/(36+7*(D64+1)/2)*E64,0))</x:f>
        <x:v>2753</x:v>
      </x:c>
      <x:c r="AX64" s="119" t="n">
        <x:f>IF(AV64=0,0,(AV64-IF(7=D64,1,0))*ROUND(AW64*VLOOKUP(INDEX('章节与怪物'!$E$31:$K$37,B64,7),'章节与怪物'!$A$41:$F$44,2,FALSE),0)+IF(7=D64,ROUND(AW64*'难度参数'!$E$28*'章节与怪物'!$E$17,0),0))</x:f>
        <x:v>96777</x:v>
      </x:c>
      <x:c r="AY64" s="119" t="n">
        <x:f>IF(AV64=0,0,(AV64-IF(7=D64,1,0))*VLOOKUP(INDEX('章节与怪物'!$E$31:$K$37,B64,7),'章节与怪物'!$A$41:$F$44,4,FALSE)+IF(7=D64,'难度参数'!$E$30,0))</x:f>
        <x:v>914</x:v>
      </x:c>
    </x:row>
    <x:row r="65" ht="23" customHeight="1">
      <x:c r="A65" s="119" t="n">
        <x:v>59</x:v>
      </x:c>
      <x:c r="B65" s="119" t="n">
        <x:f>MOD(INT((A65-1)/5),7)+1</x:f>
        <x:v>5</x:v>
      </x:c>
      <x:c r="C65" s="62" t="str">
        <x:f>INDEX('章节与怪物'!$B$31:$B$37,B65)</x:f>
        <x:v>雨林遗迹</x:v>
      </x:c>
      <x:c r="D65" s="119" t="n">
        <x:f>MIN('难度参数'!$E$8,MAX('难度参数'!$E$7,A65))</x:f>
        <x:v>7</x:v>
      </x:c>
      <x:c r="E65" s="106" t="n">
        <x:v>1</x:v>
      </x:c>
      <x:c r="F65" s="106" t="n">
        <x:v>0</x:v>
      </x:c>
      <x:c r="G65" s="106" t="n">
        <x:v>1</x:v>
      </x:c>
      <x:c r="H65" s="119" t="n">
        <x:f>SUM(X65,AB65,AF65,AJ65,AN65,AR65,AV65)</x:f>
        <x:v>140</x:v>
      </x:c>
      <x:c r="I65" s="119" t="n">
        <x:f>SUM(Z65,AD65,AH65,AL65,AP65,AT65,AX65)</x:f>
        <x:v>395874</x:v>
      </x:c>
      <x:c r="J65" s="119" t="n">
        <x:f>ROUND(INDEX(X65:AY65,1,(D65-1)*4+2)*'难度参数'!$E$28*'章节与怪物'!$E$17,0)</x:f>
        <x:v>19006</x:v>
      </x:c>
      <x:c r="K65" s="119" t="n">
        <x:f>SUM(AA65,AE65,AI65,AM65,AQ65,AU65,AY65)</x:f>
        <x:v>3862</x:v>
      </x:c>
      <x:c r="L65" s="62" t="n">
        <x:f>H65*(ROUNDUP('难度参数'!$E$24/('难度参数'!$E$26*'难度参数'!$E$27),0)*'难度参数'!$E$26)/60</x:f>
        <x:v>1.8666666666666667</x:v>
      </x:c>
      <x:c r="M65" s="62" t="n">
        <x:f>L65+D65*('难度参数'!$E$49+'难度参数'!$E$50)/60</x:f>
        <x:v>3.033333333333333</x:v>
      </x:c>
      <x:c r="N65" s="119" t="n">
        <x:f>ROUNDDOWN(('经济参数'!$E$20+A65*'经济参数'!$E$21)*G65,0)</x:f>
        <x:v>1360</x:v>
      </x:c>
      <x:c r="O65" s="119" t="n">
        <x:f>ROUNDDOWN(MIN('经济参数'!$E$24,'经济参数'!$E$22+A65*'经济参数'!$E$23)*G65,0)</x:f>
        <x:v>0</x:v>
      </x:c>
      <x:c r="P65" s="119" t="n">
        <x:f>ROUNDDOWN((IF(A65&gt;='材料与任务'!$E$31,'材料与任务'!$E$32,IF(A65&gt;='材料与任务'!$E$25,'材料与任务'!$E$26,IF(A65&gt;='材料与任务'!$E$19,'材料与任务'!$E$20,IF(A65&gt;='材料与任务'!$E$13,'材料与任务'!$E$14,'材料与任务'!$E$8)))))*G65,0)</x:f>
        <x:v>4</x:v>
      </x:c>
      <x:c r="Q65" s="119" t="n">
        <x:f>ROUNDDOWN((IF(A65&gt;='材料与任务'!$E$31,'材料与任务'!$E$33,IF(A65&gt;='材料与任务'!$E$25,'材料与任务'!$E$27,IF(A65&gt;='材料与任务'!$E$19,'材料与任务'!$E$21,IF(A65&gt;='材料与任务'!$E$13,'材料与任务'!$E$15,'材料与任务'!$E$9)))))*G65,0)</x:f>
        <x:v>2</x:v>
      </x:c>
      <x:c r="R65" s="110" t="n">
        <x:f>'装备掉落'!$B$38</x:f>
        <x:v>0.6872058758851213</x:v>
      </x:c>
      <x:c r="S65" s="119" t="n">
        <x:f>MAX(IF(VLOOKUP(A65,'装备掉落'!$A$29:$H$34,2,TRUE)&gt;0,1,0),IF(VLOOKUP(A65,'装备掉落'!$A$29:$H$34,3,TRUE)&gt;0,2,0),IF(VLOOKUP(A65,'装备掉落'!$A$29:$H$34,4,TRUE)&gt;0,3,0),IF(VLOOKUP(A65,'装备掉落'!$A$29:$H$34,5,TRUE)&gt;0,4,0),IF(VLOOKUP(A65,'装备掉落'!$A$29:$H$34,6,TRUE)&gt;0,5,0),IF(VLOOKUP(A65,'装备掉落'!$A$29:$H$34,7,TRUE)&gt;0,6,0),IF(VLOOKUP(A65,'装备掉落'!$A$29:$H$34,8,TRUE)&gt;0,7,0))</x:f>
        <x:v>5</x:v>
      </x:c>
      <x:c r="T65" s="119" t="n">
        <x:f>MIN(7,S65+'经济参数'!$E$70)</x:f>
        <x:v>5</x:v>
      </x:c>
      <x:c r="U65" s="119" t="n">
        <x:f>MIN(7,S65+'经济参数'!$E$71)</x:f>
        <x:v>6</x:v>
      </x:c>
      <x:c r="V65" s="119" t="n">
        <x:f>IF(H65&gt;=('难度参数'!$E$52),1,0)+IF(H65&gt;=('难度参数'!$E$52+'难度参数'!$E$53),1,0)+IF(H65&gt;=('难度参数'!$E$52+'难度参数'!$E$53+'难度参数'!$E$54),1,0)+IF(H65&gt;=('难度参数'!$E$52+'难度参数'!$E$53+'难度参数'!$E$54+'难度参数'!$E$55),1,0)+IF(H65&gt;=('难度参数'!$E$52+'难度参数'!$E$53+'难度参数'!$E$54+'难度参数'!$E$55+'难度参数'!$E$56),1,0)+IF(H65&gt;=('难度参数'!$E$52+'难度参数'!$E$53+'难度参数'!$E$54+'难度参数'!$E$55+'难度参数'!$E$56+'难度参数'!$E$57),1,0)</x:f>
        <x:v>6</x:v>
      </x:c>
      <x:c r="W65" s="62" t="str">
        <x:f>IF(L65&gt;'难度参数'!$E$51,"仅出怪已超目标","还需实测")</x:f>
        <x:v>还需实测</x:v>
      </x:c>
      <x:c r="X65" s="119" t="n">
        <x:f>IF(1&gt;D65,0,MAX(2,MIN('难度参数'!$E$12,ROUND(('难度参数'!$E$18*POWER(A65,'难度参数'!$E$19)/D65*(0.85+0.3*(1-1)/MAX(1,D65-1))),0)+F65)))</x:f>
        <x:v>17</x:v>
      </x:c>
      <x:c r="Y65" s="119" t="n">
        <x:f>IF(1&gt;D65,0,ROUND(('难度参数'!$E$13*POWER(A65,'难度参数'!$E$20)*MIN('难度参数'!$E$23,1+MAX(0,A65-'难度参数'!$E$21)*'难度参数'!$E$22))*(36+1*7)/(36+7*(D65+1)/2)*E65,0))</x:f>
        <x:v>1414</x:v>
      </x:c>
      <x:c r="Z65" s="119" t="n">
        <x:f>IF(X65=0,0,(X65-IF(1=D65,1,0))*ROUND(Y65*VLOOKUP(INDEX('章节与怪物'!$E$31:$K$37,B65,1),'章节与怪物'!$A$41:$F$44,2,FALSE),0)+IF(1=D65,ROUND(Y65*'难度参数'!$E$28*'章节与怪物'!$E$17,0),0))</x:f>
        <x:v>24038</x:v>
      </x:c>
      <x:c r="AA65" s="119" t="n">
        <x:f>IF(X65=0,0,(X65-IF(1=D65,1,0))*VLOOKUP(INDEX('章节与怪物'!$E$31:$K$37,B65,1),'章节与怪物'!$A$41:$F$44,4,FALSE)+IF(1=D65,'难度参数'!$E$30,0))</x:f>
        <x:v>306</x:v>
      </x:c>
      <x:c r="AB65" s="119" t="n">
        <x:f>IF(2&gt;D65,0,MAX(2,MIN('难度参数'!$E$12,ROUND(('难度参数'!$E$18*POWER(A65,'难度参数'!$E$19)/D65*(0.85+0.3*(2-1)/MAX(1,D65-1))),0)+F65)))</x:f>
        <x:v>18</x:v>
      </x:c>
      <x:c r="AC65" s="119" t="n">
        <x:f>IF(2&gt;D65,0,ROUND(('难度参数'!$E$13*POWER(A65,'难度参数'!$E$20)*MIN('难度参数'!$E$23,1+MAX(0,A65-'难度参数'!$E$21)*'难度参数'!$E$22))*(36+2*7)/(36+7*(D65+1)/2)*E65,0))</x:f>
        <x:v>1644</x:v>
      </x:c>
      <x:c r="AD65" s="119" t="n">
        <x:f>IF(AB65=0,0,(AB65-IF(2=D65,1,0))*ROUND(AC65*VLOOKUP(INDEX('章节与怪物'!$E$31:$K$37,B65,2),'章节与怪物'!$A$41:$F$44,2,FALSE),0)+IF(2=D65,ROUND(AC65*'难度参数'!$E$28*'章节与怪物'!$E$17,0),0))</x:f>
        <x:v>21312</x:v>
      </x:c>
      <x:c r="AE65" s="119" t="n">
        <x:f>IF(AB65=0,0,(AB65-IF(2=D65,1,0))*VLOOKUP(INDEX('章节与怪物'!$E$31:$K$37,B65,2),'章节与怪物'!$A$41:$F$44,4,FALSE)+IF(2=D65,'难度参数'!$E$30,0))</x:f>
        <x:v>360</x:v>
      </x:c>
      <x:c r="AF65" s="119" t="n">
        <x:f>IF(3&gt;D65,0,MAX(2,MIN('难度参数'!$E$12,ROUND(('难度参数'!$E$18*POWER(A65,'难度参数'!$E$19)/D65*(0.85+0.3*(3-1)/MAX(1,D65-1))),0)+F65)))</x:f>
        <x:v>19</x:v>
      </x:c>
      <x:c r="AG65" s="119" t="n">
        <x:f>IF(3&gt;D65,0,ROUND(('难度参数'!$E$13*POWER(A65,'难度参数'!$E$20)*MIN('难度参数'!$E$23,1+MAX(0,A65-'难度参数'!$E$21)*'难度参数'!$E$22))*(36+3*7)/(36+7*(D65+1)/2)*E65,0))</x:f>
        <x:v>1874</x:v>
      </x:c>
      <x:c r="AH65" s="119" t="n">
        <x:f>IF(AF65=0,0,(AF65-IF(3=D65,1,0))*ROUND(AG65*VLOOKUP(INDEX('章节与怪物'!$E$31:$K$37,B65,3),'章节与怪物'!$A$41:$F$44,2,FALSE),0)+IF(3=D65,ROUND(AG65*'难度参数'!$E$28*'章节与怪物'!$E$17,0),0))</x:f>
        <x:v>60534</x:v>
      </x:c>
      <x:c r="AI65" s="119" t="n">
        <x:f>IF(AF65=0,0,(AF65-IF(3=D65,1,0))*VLOOKUP(INDEX('章节与怪物'!$E$31:$K$37,B65,3),'章节与怪物'!$A$41:$F$44,4,FALSE)+IF(3=D65,'难度参数'!$E$30,0))</x:f>
        <x:v>532</x:v>
      </x:c>
      <x:c r="AJ65" s="119" t="n">
        <x:f>IF(4&gt;D65,0,MAX(2,MIN('难度参数'!$E$12,ROUND(('难度参数'!$E$18*POWER(A65,'难度参数'!$E$19)/D65*(0.85+0.3*(4-1)/MAX(1,D65-1))),0)+F65)))</x:f>
        <x:v>20</x:v>
      </x:c>
      <x:c r="AK65" s="119" t="n">
        <x:f>IF(4&gt;D65,0,ROUND(('难度参数'!$E$13*POWER(A65,'难度参数'!$E$20)*MIN('难度参数'!$E$23,1+MAX(0,A65-'难度参数'!$E$21)*'难度参数'!$E$22))*(36+4*7)/(36+7*(D65+1)/2)*E65,0))</x:f>
        <x:v>2104</x:v>
      </x:c>
      <x:c r="AL65" s="119" t="n">
        <x:f>IF(AJ65=0,0,(AJ65-IF(4=D65,1,0))*ROUND(AK65*VLOOKUP(INDEX('章节与怪物'!$E$31:$K$37,B65,4),'章节与怪物'!$A$41:$F$44,2,FALSE),0)+IF(4=D65,ROUND(AK65*'难度参数'!$E$28*'章节与怪物'!$E$17,0),0))</x:f>
        <x:v>56800</x:v>
      </x:c>
      <x:c r="AM65" s="119" t="n">
        <x:f>IF(AJ65=0,0,(AJ65-IF(4=D65,1,0))*VLOOKUP(INDEX('章节与怪物'!$E$31:$K$37,B65,4),'章节与怪物'!$A$41:$F$44,4,FALSE)+IF(4=D65,'难度参数'!$E$30,0))</x:f>
        <x:v>680</x:v>
      </x:c>
      <x:c r="AN65" s="119" t="n">
        <x:f>IF(5&gt;D65,0,MAX(2,MIN('难度参数'!$E$12,ROUND(('难度参数'!$E$18*POWER(A65,'难度参数'!$E$19)/D65*(0.85+0.3*(5-1)/MAX(1,D65-1))),0)+F65)))</x:f>
        <x:v>21</x:v>
      </x:c>
      <x:c r="AO65" s="119" t="n">
        <x:f>IF(5&gt;D65,0,ROUND(('难度参数'!$E$13*POWER(A65,'难度参数'!$E$20)*MIN('难度参数'!$E$23,1+MAX(0,A65-'难度参数'!$E$21)*'难度参数'!$E$22))*(36+5*7)/(36+7*(D65+1)/2)*E65,0))</x:f>
        <x:v>2334</x:v>
      </x:c>
      <x:c r="AP65" s="119" t="n">
        <x:f>IF(AN65=0,0,(AN65-IF(5=D65,1,0))*ROUND(AO65*VLOOKUP(INDEX('章节与怪物'!$E$31:$K$37,B65,5),'章节与怪物'!$A$41:$F$44,2,FALSE),0)+IF(5=D65,ROUND(AO65*'难度参数'!$E$28*'章节与怪物'!$E$17,0),0))</x:f>
        <x:v>35280</x:v>
      </x:c>
      <x:c r="AQ65" s="119" t="n">
        <x:f>IF(AN65=0,0,(AN65-IF(5=D65,1,0))*VLOOKUP(INDEX('章节与怪物'!$E$31:$K$37,B65,5),'章节与怪物'!$A$41:$F$44,4,FALSE)+IF(5=D65,'难度参数'!$E$30,0))</x:f>
        <x:v>420</x:v>
      </x:c>
      <x:c r="AR65" s="119" t="n">
        <x:f>IF(6&gt;D65,0,MAX(2,MIN('难度参数'!$E$12,ROUND(('难度参数'!$E$18*POWER(A65,'难度参数'!$E$19)/D65*(0.85+0.3*(6-1)/MAX(1,D65-1))),0)+F65)))</x:f>
        <x:v>22</x:v>
      </x:c>
      <x:c r="AS65" s="119" t="n">
        <x:f>IF(6&gt;D65,0,ROUND(('难度参数'!$E$13*POWER(A65,'难度参数'!$E$20)*MIN('难度参数'!$E$23,1+MAX(0,A65-'难度参数'!$E$21)*'难度参数'!$E$22))*(36+6*7)/(36+7*(D65+1)/2)*E65,0))</x:f>
        <x:v>2564</x:v>
      </x:c>
      <x:c r="AT65" s="119" t="n">
        <x:f>IF(AR65=0,0,(AR65-IF(6=D65,1,0))*ROUND(AS65*VLOOKUP(INDEX('章节与怪物'!$E$31:$K$37,B65,6),'章节与怪物'!$A$41:$F$44,2,FALSE),0)+IF(6=D65,ROUND(AS65*'难度参数'!$E$28*'章节与怪物'!$E$17,0),0))</x:f>
        <x:v>95898</x:v>
      </x:c>
      <x:c r="AU65" s="119" t="n">
        <x:f>IF(AR65=0,0,(AR65-IF(6=D65,1,0))*VLOOKUP(INDEX('章节与怪物'!$E$31:$K$37,B65,6),'章节与怪物'!$A$41:$F$44,4,FALSE)+IF(6=D65,'难度参数'!$E$30,0))</x:f>
        <x:v>616</x:v>
      </x:c>
      <x:c r="AV65" s="119" t="n">
        <x:f>IF(7&gt;D65,0,MAX(2,MIN('难度参数'!$E$12,ROUND(('难度参数'!$E$18*POWER(A65,'难度参数'!$E$19)/D65*(0.85+0.3*(7-1)/MAX(1,D65-1))),0)+F65)))</x:f>
        <x:v>23</x:v>
      </x:c>
      <x:c r="AW65" s="119" t="n">
        <x:f>IF(7&gt;D65,0,ROUND(('难度参数'!$E$13*POWER(A65,'难度参数'!$E$20)*MIN('难度参数'!$E$23,1+MAX(0,A65-'难度参数'!$E$21)*'难度参数'!$E$22))*(36+7*7)/(36+7*(D65+1)/2)*E65,0))</x:f>
        <x:v>2795</x:v>
      </x:c>
      <x:c r="AX65" s="119" t="n">
        <x:f>IF(AV65=0,0,(AV65-IF(7=D65,1,0))*ROUND(AW65*VLOOKUP(INDEX('章节与怪物'!$E$31:$K$37,B65,7),'章节与怪物'!$A$41:$F$44,2,FALSE),0)+IF(7=D65,ROUND(AW65*'难度参数'!$E$28*'章节与怪物'!$E$17,0),0))</x:f>
        <x:v>102012</x:v>
      </x:c>
      <x:c r="AY65" s="119" t="n">
        <x:f>IF(AV65=0,0,(AV65-IF(7=D65,1,0))*VLOOKUP(INDEX('章节与怪物'!$E$31:$K$37,B65,7),'章节与怪物'!$A$41:$F$44,4,FALSE)+IF(7=D65,'难度参数'!$E$30,0))</x:f>
        <x:v>948</x:v>
      </x:c>
    </x:row>
    <x:row r="66" ht="23" customHeight="1">
      <x:c r="A66" s="119" t="n">
        <x:v>60</x:v>
      </x:c>
      <x:c r="B66" s="119" t="n">
        <x:f>MOD(INT((A66-1)/5),7)+1</x:f>
        <x:v>5</x:v>
      </x:c>
      <x:c r="C66" s="62" t="str">
        <x:f>INDEX('章节与怪物'!$B$31:$B$37,B66)</x:f>
        <x:v>雨林遗迹</x:v>
      </x:c>
      <x:c r="D66" s="119" t="n">
        <x:f>MIN('难度参数'!$E$8,MAX('难度参数'!$E$7,A66))</x:f>
        <x:v>7</x:v>
      </x:c>
      <x:c r="E66" s="106" t="n">
        <x:v>1</x:v>
      </x:c>
      <x:c r="F66" s="106" t="n">
        <x:v>0</x:v>
      </x:c>
      <x:c r="G66" s="106" t="n">
        <x:v>1</x:v>
      </x:c>
      <x:c r="H66" s="119" t="n">
        <x:f>SUM(X66,AB66,AF66,AJ66,AN66,AR66,AV66)</x:f>
        <x:v>140</x:v>
      </x:c>
      <x:c r="I66" s="119" t="n">
        <x:f>SUM(Z66,AD66,AH66,AL66,AP66,AT66,AX66)</x:f>
        <x:v>401779</x:v>
      </x:c>
      <x:c r="J66" s="119" t="n">
        <x:f>ROUND(INDEX(X66:AY66,1,(D66-1)*4+2)*'难度参数'!$E$28*'章节与怪物'!$E$17,0)</x:f>
        <x:v>19285</x:v>
      </x:c>
      <x:c r="K66" s="119" t="n">
        <x:f>SUM(AA66,AE66,AI66,AM66,AQ66,AU66,AY66)</x:f>
        <x:v>3862</x:v>
      </x:c>
      <x:c r="L66" s="62" t="n">
        <x:f>H66*(ROUNDUP('难度参数'!$E$24/('难度参数'!$E$26*'难度参数'!$E$27),0)*'难度参数'!$E$26)/60</x:f>
        <x:v>1.8666666666666667</x:v>
      </x:c>
      <x:c r="M66" s="62" t="n">
        <x:f>L66+D66*('难度参数'!$E$49+'难度参数'!$E$50)/60</x:f>
        <x:v>3.033333333333333</x:v>
      </x:c>
      <x:c r="N66" s="119" t="n">
        <x:f>ROUNDDOWN(('经济参数'!$E$20+A66*'经济参数'!$E$21)*G66,0)</x:f>
        <x:v>1380</x:v>
      </x:c>
      <x:c r="O66" s="119" t="n">
        <x:f>ROUNDDOWN(MIN('经济参数'!$E$24,'经济参数'!$E$22+A66*'经济参数'!$E$23)*G66,0)</x:f>
        <x:v>0</x:v>
      </x:c>
      <x:c r="P66" s="119" t="n">
        <x:f>ROUNDDOWN((IF(A66&gt;='材料与任务'!$E$31,'材料与任务'!$E$32,IF(A66&gt;='材料与任务'!$E$25,'材料与任务'!$E$26,IF(A66&gt;='材料与任务'!$E$19,'材料与任务'!$E$20,IF(A66&gt;='材料与任务'!$E$13,'材料与任务'!$E$14,'材料与任务'!$E$8)))))*G66,0)</x:f>
        <x:v>4</x:v>
      </x:c>
      <x:c r="Q66" s="119" t="n">
        <x:f>ROUNDDOWN((IF(A66&gt;='材料与任务'!$E$31,'材料与任务'!$E$33,IF(A66&gt;='材料与任务'!$E$25,'材料与任务'!$E$27,IF(A66&gt;='材料与任务'!$E$19,'材料与任务'!$E$21,IF(A66&gt;='材料与任务'!$E$13,'材料与任务'!$E$15,'材料与任务'!$E$9)))))*G66,0)</x:f>
        <x:v>2</x:v>
      </x:c>
      <x:c r="R66" s="110" t="n">
        <x:f>'装备掉落'!$B$38</x:f>
        <x:v>0.6872058758851213</x:v>
      </x:c>
      <x:c r="S66" s="119" t="n">
        <x:f>MAX(IF(VLOOKUP(A66,'装备掉落'!$A$29:$H$34,2,TRUE)&gt;0,1,0),IF(VLOOKUP(A66,'装备掉落'!$A$29:$H$34,3,TRUE)&gt;0,2,0),IF(VLOOKUP(A66,'装备掉落'!$A$29:$H$34,4,TRUE)&gt;0,3,0),IF(VLOOKUP(A66,'装备掉落'!$A$29:$H$34,5,TRUE)&gt;0,4,0),IF(VLOOKUP(A66,'装备掉落'!$A$29:$H$34,6,TRUE)&gt;0,5,0),IF(VLOOKUP(A66,'装备掉落'!$A$29:$H$34,7,TRUE)&gt;0,6,0),IF(VLOOKUP(A66,'装备掉落'!$A$29:$H$34,8,TRUE)&gt;0,7,0))</x:f>
        <x:v>5</x:v>
      </x:c>
      <x:c r="T66" s="119" t="n">
        <x:f>MIN(7,S66+'经济参数'!$E$70)</x:f>
        <x:v>5</x:v>
      </x:c>
      <x:c r="U66" s="119" t="n">
        <x:f>MIN(7,S66+'经济参数'!$E$71)</x:f>
        <x:v>6</x:v>
      </x:c>
      <x:c r="V66" s="119" t="n">
        <x:f>IF(H66&gt;=('难度参数'!$E$52),1,0)+IF(H66&gt;=('难度参数'!$E$52+'难度参数'!$E$53),1,0)+IF(H66&gt;=('难度参数'!$E$52+'难度参数'!$E$53+'难度参数'!$E$54),1,0)+IF(H66&gt;=('难度参数'!$E$52+'难度参数'!$E$53+'难度参数'!$E$54+'难度参数'!$E$55),1,0)+IF(H66&gt;=('难度参数'!$E$52+'难度参数'!$E$53+'难度参数'!$E$54+'难度参数'!$E$55+'难度参数'!$E$56),1,0)+IF(H66&gt;=('难度参数'!$E$52+'难度参数'!$E$53+'难度参数'!$E$54+'难度参数'!$E$55+'难度参数'!$E$56+'难度参数'!$E$57),1,0)</x:f>
        <x:v>6</x:v>
      </x:c>
      <x:c r="W66" s="62" t="str">
        <x:f>IF(L66&gt;'难度参数'!$E$51,"仅出怪已超目标","还需实测")</x:f>
        <x:v>还需实测</x:v>
      </x:c>
      <x:c r="X66" s="119" t="n">
        <x:f>IF(1&gt;D66,0,MAX(2,MIN('难度参数'!$E$12,ROUND(('难度参数'!$E$18*POWER(A66,'难度参数'!$E$19)/D66*(0.85+0.3*(1-1)/MAX(1,D66-1))),0)+F66)))</x:f>
        <x:v>17</x:v>
      </x:c>
      <x:c r="Y66" s="119" t="n">
        <x:f>IF(1&gt;D66,0,ROUND(('难度参数'!$E$13*POWER(A66,'难度参数'!$E$20)*MIN('难度参数'!$E$23,1+MAX(0,A66-'难度参数'!$E$21)*'难度参数'!$E$22))*(36+1*7)/(36+7*(D66+1)/2)*E66,0))</x:f>
        <x:v>1435</x:v>
      </x:c>
      <x:c r="Z66" s="119" t="n">
        <x:f>IF(X66=0,0,(X66-IF(1=D66,1,0))*ROUND(Y66*VLOOKUP(INDEX('章节与怪物'!$E$31:$K$37,B66,1),'章节与怪物'!$A$41:$F$44,2,FALSE),0)+IF(1=D66,ROUND(Y66*'难度参数'!$E$28*'章节与怪物'!$E$17,0),0))</x:f>
        <x:v>24395</x:v>
      </x:c>
      <x:c r="AA66" s="119" t="n">
        <x:f>IF(X66=0,0,(X66-IF(1=D66,1,0))*VLOOKUP(INDEX('章节与怪物'!$E$31:$K$37,B66,1),'章节与怪物'!$A$41:$F$44,4,FALSE)+IF(1=D66,'难度参数'!$E$30,0))</x:f>
        <x:v>306</x:v>
      </x:c>
      <x:c r="AB66" s="119" t="n">
        <x:f>IF(2&gt;D66,0,MAX(2,MIN('难度参数'!$E$12,ROUND(('难度参数'!$E$18*POWER(A66,'难度参数'!$E$19)/D66*(0.85+0.3*(2-1)/MAX(1,D66-1))),0)+F66)))</x:f>
        <x:v>18</x:v>
      </x:c>
      <x:c r="AC66" s="119" t="n">
        <x:f>IF(2&gt;D66,0,ROUND(('难度参数'!$E$13*POWER(A66,'难度参数'!$E$20)*MIN('难度参数'!$E$23,1+MAX(0,A66-'难度参数'!$E$21)*'难度参数'!$E$22))*(36+2*7)/(36+7*(D66+1)/2)*E66,0))</x:f>
        <x:v>1668</x:v>
      </x:c>
      <x:c r="AD66" s="119" t="n">
        <x:f>IF(AB66=0,0,(AB66-IF(2=D66,1,0))*ROUND(AC66*VLOOKUP(INDEX('章节与怪物'!$E$31:$K$37,B66,2),'章节与怪物'!$A$41:$F$44,2,FALSE),0)+IF(2=D66,ROUND(AC66*'难度参数'!$E$28*'章节与怪物'!$E$17,0),0))</x:f>
        <x:v>21618</x:v>
      </x:c>
      <x:c r="AE66" s="119" t="n">
        <x:f>IF(AB66=0,0,(AB66-IF(2=D66,1,0))*VLOOKUP(INDEX('章节与怪物'!$E$31:$K$37,B66,2),'章节与怪物'!$A$41:$F$44,4,FALSE)+IF(2=D66,'难度参数'!$E$30,0))</x:f>
        <x:v>360</x:v>
      </x:c>
      <x:c r="AF66" s="119" t="n">
        <x:f>IF(3&gt;D66,0,MAX(2,MIN('难度参数'!$E$12,ROUND(('难度参数'!$E$18*POWER(A66,'难度参数'!$E$19)/D66*(0.85+0.3*(3-1)/MAX(1,D66-1))),0)+F66)))</x:f>
        <x:v>19</x:v>
      </x:c>
      <x:c r="AG66" s="119" t="n">
        <x:f>IF(3&gt;D66,0,ROUND(('难度参数'!$E$13*POWER(A66,'难度参数'!$E$20)*MIN('难度参数'!$E$23,1+MAX(0,A66-'难度参数'!$E$21)*'难度参数'!$E$22))*(36+3*7)/(36+7*(D66+1)/2)*E66,0))</x:f>
        <x:v>1902</x:v>
      </x:c>
      <x:c r="AH66" s="119" t="n">
        <x:f>IF(AF66=0,0,(AF66-IF(3=D66,1,0))*ROUND(AG66*VLOOKUP(INDEX('章节与怪物'!$E$31:$K$37,B66,3),'章节与怪物'!$A$41:$F$44,2,FALSE),0)+IF(3=D66,ROUND(AG66*'难度参数'!$E$28*'章节与怪物'!$E$17,0),0))</x:f>
        <x:v>61427</x:v>
      </x:c>
      <x:c r="AI66" s="119" t="n">
        <x:f>IF(AF66=0,0,(AF66-IF(3=D66,1,0))*VLOOKUP(INDEX('章节与怪物'!$E$31:$K$37,B66,3),'章节与怪物'!$A$41:$F$44,4,FALSE)+IF(3=D66,'难度参数'!$E$30,0))</x:f>
        <x:v>532</x:v>
      </x:c>
      <x:c r="AJ66" s="119" t="n">
        <x:f>IF(4&gt;D66,0,MAX(2,MIN('难度参数'!$E$12,ROUND(('难度参数'!$E$18*POWER(A66,'难度参数'!$E$19)/D66*(0.85+0.3*(4-1)/MAX(1,D66-1))),0)+F66)))</x:f>
        <x:v>20</x:v>
      </x:c>
      <x:c r="AK66" s="119" t="n">
        <x:f>IF(4&gt;D66,0,ROUND(('难度参数'!$E$13*POWER(A66,'难度参数'!$E$20)*MIN('难度参数'!$E$23,1+MAX(0,A66-'难度参数'!$E$21)*'难度参数'!$E$22))*(36+4*7)/(36+7*(D66+1)/2)*E66,0))</x:f>
        <x:v>2135</x:v>
      </x:c>
      <x:c r="AL66" s="119" t="n">
        <x:f>IF(AJ66=0,0,(AJ66-IF(4=D66,1,0))*ROUND(AK66*VLOOKUP(INDEX('章节与怪物'!$E$31:$K$37,B66,4),'章节与怪物'!$A$41:$F$44,2,FALSE),0)+IF(4=D66,ROUND(AK66*'难度参数'!$E$28*'章节与怪物'!$E$17,0),0))</x:f>
        <x:v>57640</x:v>
      </x:c>
      <x:c r="AM66" s="119" t="n">
        <x:f>IF(AJ66=0,0,(AJ66-IF(4=D66,1,0))*VLOOKUP(INDEX('章节与怪物'!$E$31:$K$37,B66,4),'章节与怪物'!$A$41:$F$44,4,FALSE)+IF(4=D66,'难度参数'!$E$30,0))</x:f>
        <x:v>680</x:v>
      </x:c>
      <x:c r="AN66" s="119" t="n">
        <x:f>IF(5&gt;D66,0,MAX(2,MIN('难度参数'!$E$12,ROUND(('难度参数'!$E$18*POWER(A66,'难度参数'!$E$19)/D66*(0.85+0.3*(5-1)/MAX(1,D66-1))),0)+F66)))</x:f>
        <x:v>21</x:v>
      </x:c>
      <x:c r="AO66" s="119" t="n">
        <x:f>IF(5&gt;D66,0,ROUND(('难度参数'!$E$13*POWER(A66,'难度参数'!$E$20)*MIN('难度参数'!$E$23,1+MAX(0,A66-'难度参数'!$E$21)*'难度参数'!$E$22))*(36+5*7)/(36+7*(D66+1)/2)*E66,0))</x:f>
        <x:v>2369</x:v>
      </x:c>
      <x:c r="AP66" s="119" t="n">
        <x:f>IF(AN66=0,0,(AN66-IF(5=D66,1,0))*ROUND(AO66*VLOOKUP(INDEX('章节与怪物'!$E$31:$K$37,B66,5),'章节与怪物'!$A$41:$F$44,2,FALSE),0)+IF(5=D66,ROUND(AO66*'难度参数'!$E$28*'章节与怪物'!$E$17,0),0))</x:f>
        <x:v>35826</x:v>
      </x:c>
      <x:c r="AQ66" s="119" t="n">
        <x:f>IF(AN66=0,0,(AN66-IF(5=D66,1,0))*VLOOKUP(INDEX('章节与怪物'!$E$31:$K$37,B66,5),'章节与怪物'!$A$41:$F$44,4,FALSE)+IF(5=D66,'难度参数'!$E$30,0))</x:f>
        <x:v>420</x:v>
      </x:c>
      <x:c r="AR66" s="119" t="n">
        <x:f>IF(6&gt;D66,0,MAX(2,MIN('难度参数'!$E$12,ROUND(('难度参数'!$E$18*POWER(A66,'难度参数'!$E$19)/D66*(0.85+0.3*(6-1)/MAX(1,D66-1))),0)+F66)))</x:f>
        <x:v>22</x:v>
      </x:c>
      <x:c r="AS66" s="119" t="n">
        <x:f>IF(6&gt;D66,0,ROUND(('难度参数'!$E$13*POWER(A66,'难度参数'!$E$20)*MIN('难度参数'!$E$23,1+MAX(0,A66-'难度参数'!$E$21)*'难度参数'!$E$22))*(36+6*7)/(36+7*(D66+1)/2)*E66,0))</x:f>
        <x:v>2603</x:v>
      </x:c>
      <x:c r="AT66" s="119" t="n">
        <x:f>IF(AR66=0,0,(AR66-IF(6=D66,1,0))*ROUND(AS66*VLOOKUP(INDEX('章节与怪物'!$E$31:$K$37,B66,6),'章节与怪物'!$A$41:$F$44,2,FALSE),0)+IF(6=D66,ROUND(AS66*'难度参数'!$E$28*'章节与怪物'!$E$17,0),0))</x:f>
        <x:v>97350</x:v>
      </x:c>
      <x:c r="AU66" s="119" t="n">
        <x:f>IF(AR66=0,0,(AR66-IF(6=D66,1,0))*VLOOKUP(INDEX('章节与怪物'!$E$31:$K$37,B66,6),'章节与怪物'!$A$41:$F$44,4,FALSE)+IF(6=D66,'难度参数'!$E$30,0))</x:f>
        <x:v>616</x:v>
      </x:c>
      <x:c r="AV66" s="119" t="n">
        <x:f>IF(7&gt;D66,0,MAX(2,MIN('难度参数'!$E$12,ROUND(('难度参数'!$E$18*POWER(A66,'难度参数'!$E$19)/D66*(0.85+0.3*(7-1)/MAX(1,D66-1))),0)+F66)))</x:f>
        <x:v>23</x:v>
      </x:c>
      <x:c r="AW66" s="119" t="n">
        <x:f>IF(7&gt;D66,0,ROUND(('难度参数'!$E$13*POWER(A66,'难度参数'!$E$20)*MIN('难度参数'!$E$23,1+MAX(0,A66-'难度参数'!$E$21)*'难度参数'!$E$22))*(36+7*7)/(36+7*(D66+1)/2)*E66,0))</x:f>
        <x:v>2836</x:v>
      </x:c>
      <x:c r="AX66" s="119" t="n">
        <x:f>IF(AV66=0,0,(AV66-IF(7=D66,1,0))*ROUND(AW66*VLOOKUP(INDEX('章节与怪物'!$E$31:$K$37,B66,7),'章节与怪物'!$A$41:$F$44,2,FALSE),0)+IF(7=D66,ROUND(AW66*'难度参数'!$E$28*'章节与怪物'!$E$17,0),0))</x:f>
        <x:v>103523</x:v>
      </x:c>
      <x:c r="AY66" s="119" t="n">
        <x:f>IF(AV66=0,0,(AV66-IF(7=D66,1,0))*VLOOKUP(INDEX('章节与怪物'!$E$31:$K$37,B66,7),'章节与怪物'!$A$41:$F$44,4,FALSE)+IF(7=D66,'难度参数'!$E$30,0))</x:f>
        <x:v>948</x:v>
      </x:c>
    </x:row>
    <x:row r="67" ht="23" customHeight="1">
      <x:c r="A67" s="119" t="n">
        <x:v>61</x:v>
      </x:c>
      <x:c r="B67" s="119" t="n">
        <x:f>MOD(INT((A67-1)/5),7)+1</x:f>
        <x:v>6</x:v>
      </x:c>
      <x:c r="C67" s="62" t="str">
        <x:f>INDEX('章节与怪物'!$B$31:$B$37,B67)</x:f>
        <x:v>熔岩山脉</x:v>
      </x:c>
      <x:c r="D67" s="119" t="n">
        <x:f>MIN('难度参数'!$E$8,MAX('难度参数'!$E$7,A67))</x:f>
        <x:v>7</x:v>
      </x:c>
      <x:c r="E67" s="106" t="n">
        <x:v>1</x:v>
      </x:c>
      <x:c r="F67" s="106" t="n">
        <x:v>0</x:v>
      </x:c>
      <x:c r="G67" s="106" t="n">
        <x:v>1</x:v>
      </x:c>
      <x:c r="H67" s="119" t="n">
        <x:f>SUM(X67,AB67,AF67,AJ67,AN67,AR67,AV67)</x:f>
        <x:v>140</x:v>
      </x:c>
      <x:c r="I67" s="119" t="n">
        <x:f>SUM(Z67,AD67,AH67,AL67,AP67,AT67,AX67)</x:f>
        <x:v>423433</x:v>
      </x:c>
      <x:c r="J67" s="119" t="n">
        <x:f>ROUND(INDEX(X67:AY67,1,(D67-1)*4+2)*'难度参数'!$E$28*'章节与怪物'!$E$17,0)</x:f>
        <x:v>19570</x:v>
      </x:c>
      <x:c r="K67" s="119" t="n">
        <x:f>SUM(AA67,AE67,AI67,AM67,AQ67,AU67,AY67)</x:f>
        <x:v>3818</x:v>
      </x:c>
      <x:c r="L67" s="62" t="n">
        <x:f>H67*(ROUNDUP('难度参数'!$E$24/('难度参数'!$E$26*'难度参数'!$E$27),0)*'难度参数'!$E$26)/60</x:f>
        <x:v>1.8666666666666667</x:v>
      </x:c>
      <x:c r="M67" s="62" t="n">
        <x:f>L67+D67*('难度参数'!$E$49+'难度参数'!$E$50)/60</x:f>
        <x:v>3.033333333333333</x:v>
      </x:c>
      <x:c r="N67" s="119" t="n">
        <x:f>ROUNDDOWN(('经济参数'!$E$20+A67*'经济参数'!$E$21)*G67,0)</x:f>
        <x:v>1400</x:v>
      </x:c>
      <x:c r="O67" s="119" t="n">
        <x:f>ROUNDDOWN(MIN('经济参数'!$E$24,'经济参数'!$E$22+A67*'经济参数'!$E$23)*G67,0)</x:f>
        <x:v>0</x:v>
      </x:c>
      <x:c r="P67" s="119" t="n">
        <x:f>ROUNDDOWN((IF(A67&gt;='材料与任务'!$E$31,'材料与任务'!$E$32,IF(A67&gt;='材料与任务'!$E$25,'材料与任务'!$E$26,IF(A67&gt;='材料与任务'!$E$19,'材料与任务'!$E$20,IF(A67&gt;='材料与任务'!$E$13,'材料与任务'!$E$14,'材料与任务'!$E$8)))))*G67,0)</x:f>
        <x:v>4</x:v>
      </x:c>
      <x:c r="Q67" s="119" t="n">
        <x:f>ROUNDDOWN((IF(A67&gt;='材料与任务'!$E$31,'材料与任务'!$E$33,IF(A67&gt;='材料与任务'!$E$25,'材料与任务'!$E$27,IF(A67&gt;='材料与任务'!$E$19,'材料与任务'!$E$21,IF(A67&gt;='材料与任务'!$E$13,'材料与任务'!$E$15,'材料与任务'!$E$9)))))*G67,0)</x:f>
        <x:v>2</x:v>
      </x:c>
      <x:c r="R67" s="110" t="n">
        <x:f>'装备掉落'!$B$38</x:f>
        <x:v>0.6872058758851213</x:v>
      </x:c>
      <x:c r="S67" s="119" t="n">
        <x:f>MAX(IF(VLOOKUP(A67,'装备掉落'!$A$29:$H$34,2,TRUE)&gt;0,1,0),IF(VLOOKUP(A67,'装备掉落'!$A$29:$H$34,3,TRUE)&gt;0,2,0),IF(VLOOKUP(A67,'装备掉落'!$A$29:$H$34,4,TRUE)&gt;0,3,0),IF(VLOOKUP(A67,'装备掉落'!$A$29:$H$34,5,TRUE)&gt;0,4,0),IF(VLOOKUP(A67,'装备掉落'!$A$29:$H$34,6,TRUE)&gt;0,5,0),IF(VLOOKUP(A67,'装备掉落'!$A$29:$H$34,7,TRUE)&gt;0,6,0),IF(VLOOKUP(A67,'装备掉落'!$A$29:$H$34,8,TRUE)&gt;0,7,0))</x:f>
        <x:v>6</x:v>
      </x:c>
      <x:c r="T67" s="119" t="n">
        <x:f>MIN(7,S67+'经济参数'!$E$70)</x:f>
        <x:v>6</x:v>
      </x:c>
      <x:c r="U67" s="119" t="n">
        <x:f>MIN(7,S67+'经济参数'!$E$71)</x:f>
        <x:v>7</x:v>
      </x:c>
      <x:c r="V67" s="119" t="n">
        <x:f>IF(H67&gt;=('难度参数'!$E$52),1,0)+IF(H67&gt;=('难度参数'!$E$52+'难度参数'!$E$53),1,0)+IF(H67&gt;=('难度参数'!$E$52+'难度参数'!$E$53+'难度参数'!$E$54),1,0)+IF(H67&gt;=('难度参数'!$E$52+'难度参数'!$E$53+'难度参数'!$E$54+'难度参数'!$E$55),1,0)+IF(H67&gt;=('难度参数'!$E$52+'难度参数'!$E$53+'难度参数'!$E$54+'难度参数'!$E$55+'难度参数'!$E$56),1,0)+IF(H67&gt;=('难度参数'!$E$52+'难度参数'!$E$53+'难度参数'!$E$54+'难度参数'!$E$55+'难度参数'!$E$56+'难度参数'!$E$57),1,0)</x:f>
        <x:v>6</x:v>
      </x:c>
      <x:c r="W67" s="62" t="str">
        <x:f>IF(L67&gt;'难度参数'!$E$51,"仅出怪已超目标","还需实测")</x:f>
        <x:v>还需实测</x:v>
      </x:c>
      <x:c r="X67" s="119" t="n">
        <x:f>IF(1&gt;D67,0,MAX(2,MIN('难度参数'!$E$12,ROUND(('难度参数'!$E$18*POWER(A67,'难度参数'!$E$19)/D67*(0.85+0.3*(1-1)/MAX(1,D67-1))),0)+F67)))</x:f>
        <x:v>17</x:v>
      </x:c>
      <x:c r="Y67" s="119" t="n">
        <x:f>IF(1&gt;D67,0,ROUND(('难度参数'!$E$13*POWER(A67,'难度参数'!$E$20)*MIN('难度参数'!$E$23,1+MAX(0,A67-'难度参数'!$E$21)*'难度参数'!$E$22))*(36+1*7)/(36+7*(D67+1)/2)*E67,0))</x:f>
        <x:v>1456</x:v>
      </x:c>
      <x:c r="Z67" s="119" t="n">
        <x:f>IF(X67=0,0,(X67-IF(1=D67,1,0))*ROUND(Y67*VLOOKUP(INDEX('章节与怪物'!$E$31:$K$37,B67,1),'章节与怪物'!$A$41:$F$44,2,FALSE),0)+IF(1=D67,ROUND(Y67*'难度参数'!$E$28*'章节与怪物'!$E$17,0),0))</x:f>
        <x:v>17816</x:v>
      </x:c>
      <x:c r="AA67" s="119" t="n">
        <x:f>IF(X67=0,0,(X67-IF(1=D67,1,0))*VLOOKUP(INDEX('章节与怪物'!$E$31:$K$37,B67,1),'章节与怪物'!$A$41:$F$44,4,FALSE)+IF(1=D67,'难度参数'!$E$30,0))</x:f>
        <x:v>340</x:v>
      </x:c>
      <x:c r="AB67" s="119" t="n">
        <x:f>IF(2&gt;D67,0,MAX(2,MIN('难度参数'!$E$12,ROUND(('难度参数'!$E$18*POWER(A67,'难度参数'!$E$19)/D67*(0.85+0.3*(2-1)/MAX(1,D67-1))),0)+F67)))</x:f>
        <x:v>18</x:v>
      </x:c>
      <x:c r="AC67" s="119" t="n">
        <x:f>IF(2&gt;D67,0,ROUND(('难度参数'!$E$13*POWER(A67,'难度参数'!$E$20)*MIN('难度参数'!$E$23,1+MAX(0,A67-'难度参数'!$E$21)*'难度参数'!$E$22))*(36+2*7)/(36+7*(D67+1)/2)*E67,0))</x:f>
        <x:v>1693</x:v>
      </x:c>
      <x:c r="AD67" s="119" t="n">
        <x:f>IF(AB67=0,0,(AB67-IF(2=D67,1,0))*ROUND(AC67*VLOOKUP(INDEX('章节与怪物'!$E$31:$K$37,B67,2),'章节与怪物'!$A$41:$F$44,2,FALSE),0)+IF(2=D67,ROUND(AC67*'难度参数'!$E$28*'章节与怪物'!$E$17,0),0))</x:f>
        <x:v>30474</x:v>
      </x:c>
      <x:c r="AE67" s="119" t="n">
        <x:f>IF(AB67=0,0,(AB67-IF(2=D67,1,0))*VLOOKUP(INDEX('章节与怪物'!$E$31:$K$37,B67,2),'章节与怪物'!$A$41:$F$44,4,FALSE)+IF(2=D67,'难度参数'!$E$30,0))</x:f>
        <x:v>324</x:v>
      </x:c>
      <x:c r="AF67" s="119" t="n">
        <x:f>IF(3&gt;D67,0,MAX(2,MIN('难度参数'!$E$12,ROUND(('难度参数'!$E$18*POWER(A67,'难度参数'!$E$19)/D67*(0.85+0.3*(3-1)/MAX(1,D67-1))),0)+F67)))</x:f>
        <x:v>19</x:v>
      </x:c>
      <x:c r="AG67" s="119" t="n">
        <x:f>IF(3&gt;D67,0,ROUND(('难度参数'!$E$13*POWER(A67,'难度参数'!$E$20)*MIN('难度参数'!$E$23,1+MAX(0,A67-'难度参数'!$E$21)*'难度参数'!$E$22))*(36+3*7)/(36+7*(D67+1)/2)*E67,0))</x:f>
        <x:v>1930</x:v>
      </x:c>
      <x:c r="AH67" s="119" t="n">
        <x:f>IF(AF67=0,0,(AF67-IF(3=D67,1,0))*ROUND(AG67*VLOOKUP(INDEX('章节与怪物'!$E$31:$K$37,B67,3),'章节与怪物'!$A$41:$F$44,2,FALSE),0)+IF(3=D67,ROUND(AG67*'难度参数'!$E$28*'章节与怪物'!$E$17,0),0))</x:f>
        <x:v>62339</x:v>
      </x:c>
      <x:c r="AI67" s="119" t="n">
        <x:f>IF(AF67=0,0,(AF67-IF(3=D67,1,0))*VLOOKUP(INDEX('章节与怪物'!$E$31:$K$37,B67,3),'章节与怪物'!$A$41:$F$44,4,FALSE)+IF(3=D67,'难度参数'!$E$30,0))</x:f>
        <x:v>532</x:v>
      </x:c>
      <x:c r="AJ67" s="119" t="n">
        <x:f>IF(4&gt;D67,0,MAX(2,MIN('难度参数'!$E$12,ROUND(('难度参数'!$E$18*POWER(A67,'难度参数'!$E$19)/D67*(0.85+0.3*(4-1)/MAX(1,D67-1))),0)+F67)))</x:f>
        <x:v>20</x:v>
      </x:c>
      <x:c r="AK67" s="119" t="n">
        <x:f>IF(4&gt;D67,0,ROUND(('难度参数'!$E$13*POWER(A67,'难度参数'!$E$20)*MIN('难度参数'!$E$23,1+MAX(0,A67-'难度参数'!$E$21)*'难度参数'!$E$22))*(36+4*7)/(36+7*(D67+1)/2)*E67,0))</x:f>
        <x:v>2167</x:v>
      </x:c>
      <x:c r="AL67" s="119" t="n">
        <x:f>IF(AJ67=0,0,(AJ67-IF(4=D67,1,0))*ROUND(AK67*VLOOKUP(INDEX('章节与怪物'!$E$31:$K$37,B67,4),'章节与怪物'!$A$41:$F$44,2,FALSE),0)+IF(4=D67,ROUND(AK67*'难度参数'!$E$28*'章节与怪物'!$E$17,0),0))</x:f>
        <x:v>58500</x:v>
      </x:c>
      <x:c r="AM67" s="119" t="n">
        <x:f>IF(AJ67=0,0,(AJ67-IF(4=D67,1,0))*VLOOKUP(INDEX('章节与怪物'!$E$31:$K$37,B67,4),'章节与怪物'!$A$41:$F$44,4,FALSE)+IF(4=D67,'难度参数'!$E$30,0))</x:f>
        <x:v>680</x:v>
      </x:c>
      <x:c r="AN67" s="119" t="n">
        <x:f>IF(5&gt;D67,0,MAX(2,MIN('难度参数'!$E$12,ROUND(('难度参数'!$E$18*POWER(A67,'难度参数'!$E$19)/D67*(0.85+0.3*(5-1)/MAX(1,D67-1))),0)+F67)))</x:f>
        <x:v>21</x:v>
      </x:c>
      <x:c r="AO67" s="119" t="n">
        <x:f>IF(5&gt;D67,0,ROUND(('难度参数'!$E$13*POWER(A67,'难度参数'!$E$20)*MIN('难度参数'!$E$23,1+MAX(0,A67-'难度参数'!$E$21)*'难度参数'!$E$22))*(36+5*7)/(36+7*(D67+1)/2)*E67,0))</x:f>
        <x:v>2404</x:v>
      </x:c>
      <x:c r="AP67" s="119" t="n">
        <x:f>IF(AN67=0,0,(AN67-IF(5=D67,1,0))*ROUND(AO67*VLOOKUP(INDEX('章节与怪物'!$E$31:$K$37,B67,5),'章节与怪物'!$A$41:$F$44,2,FALSE),0)+IF(5=D67,ROUND(AO67*'难度参数'!$E$28*'章节与怪物'!$E$17,0),0))</x:f>
        <x:v>50484</x:v>
      </x:c>
      <x:c r="AQ67" s="119" t="n">
        <x:f>IF(AN67=0,0,(AN67-IF(5=D67,1,0))*VLOOKUP(INDEX('章节与怪物'!$E$31:$K$37,B67,5),'章节与怪物'!$A$41:$F$44,4,FALSE)+IF(5=D67,'难度参数'!$E$30,0))</x:f>
        <x:v>378</x:v>
      </x:c>
      <x:c r="AR67" s="119" t="n">
        <x:f>IF(6&gt;D67,0,MAX(2,MIN('难度参数'!$E$12,ROUND(('难度参数'!$E$18*POWER(A67,'难度参数'!$E$19)/D67*(0.85+0.3*(6-1)/MAX(1,D67-1))),0)+F67)))</x:f>
        <x:v>22</x:v>
      </x:c>
      <x:c r="AS67" s="119" t="n">
        <x:f>IF(6&gt;D67,0,ROUND(('难度参数'!$E$13*POWER(A67,'难度参数'!$E$20)*MIN('难度参数'!$E$23,1+MAX(0,A67-'难度参数'!$E$21)*'难度参数'!$E$22))*(36+6*7)/(36+7*(D67+1)/2)*E67,0))</x:f>
        <x:v>2641</x:v>
      </x:c>
      <x:c r="AT67" s="119" t="n">
        <x:f>IF(AR67=0,0,(AR67-IF(6=D67,1,0))*ROUND(AS67*VLOOKUP(INDEX('章节与怪物'!$E$31:$K$37,B67,6),'章节与怪物'!$A$41:$F$44,2,FALSE),0)+IF(6=D67,ROUND(AS67*'难度参数'!$E$28*'章节与怪物'!$E$17,0),0))</x:f>
        <x:v>98780</x:v>
      </x:c>
      <x:c r="AU67" s="119" t="n">
        <x:f>IF(AR67=0,0,(AR67-IF(6=D67,1,0))*VLOOKUP(INDEX('章节与怪物'!$E$31:$K$37,B67,6),'章节与怪物'!$A$41:$F$44,4,FALSE)+IF(6=D67,'难度参数'!$E$30,0))</x:f>
        <x:v>616</x:v>
      </x:c>
      <x:c r="AV67" s="119" t="n">
        <x:f>IF(7&gt;D67,0,MAX(2,MIN('难度参数'!$E$12,ROUND(('难度参数'!$E$18*POWER(A67,'难度参数'!$E$19)/D67*(0.85+0.3*(7-1)/MAX(1,D67-1))),0)+F67)))</x:f>
        <x:v>23</x:v>
      </x:c>
      <x:c r="AW67" s="119" t="n">
        <x:f>IF(7&gt;D67,0,ROUND(('难度参数'!$E$13*POWER(A67,'难度参数'!$E$20)*MIN('难度参数'!$E$23,1+MAX(0,A67-'难度参数'!$E$21)*'难度参数'!$E$22))*(36+7*7)/(36+7*(D67+1)/2)*E67,0))</x:f>
        <x:v>2878</x:v>
      </x:c>
      <x:c r="AX67" s="119" t="n">
        <x:f>IF(AV67=0,0,(AV67-IF(7=D67,1,0))*ROUND(AW67*VLOOKUP(INDEX('章节与怪物'!$E$31:$K$37,B67,7),'章节与怪物'!$A$41:$F$44,2,FALSE),0)+IF(7=D67,ROUND(AW67*'难度参数'!$E$28*'章节与怪物'!$E$17,0),0))</x:f>
        <x:v>105040</x:v>
      </x:c>
      <x:c r="AY67" s="119" t="n">
        <x:f>IF(AV67=0,0,(AV67-IF(7=D67,1,0))*VLOOKUP(INDEX('章节与怪物'!$E$31:$K$37,B67,7),'章节与怪物'!$A$41:$F$44,4,FALSE)+IF(7=D67,'难度参数'!$E$30,0))</x:f>
        <x:v>948</x:v>
      </x:c>
    </x:row>
    <x:row r="68" ht="23" customHeight="1">
      <x:c r="A68" s="119" t="n">
        <x:v>62</x:v>
      </x:c>
      <x:c r="B68" s="119" t="n">
        <x:f>MOD(INT((A68-1)/5),7)+1</x:f>
        <x:v>6</x:v>
      </x:c>
      <x:c r="C68" s="62" t="str">
        <x:f>INDEX('章节与怪物'!$B$31:$B$37,B68)</x:f>
        <x:v>熔岩山脉</x:v>
      </x:c>
      <x:c r="D68" s="119" t="n">
        <x:f>MIN('难度参数'!$E$8,MAX('难度参数'!$E$7,A68))</x:f>
        <x:v>7</x:v>
      </x:c>
      <x:c r="E68" s="106" t="n">
        <x:v>1</x:v>
      </x:c>
      <x:c r="F68" s="106" t="n">
        <x:v>0</x:v>
      </x:c>
      <x:c r="G68" s="106" t="n">
        <x:v>1</x:v>
      </x:c>
      <x:c r="H68" s="119" t="n">
        <x:f>SUM(X68,AB68,AF68,AJ68,AN68,AR68,AV68)</x:f>
        <x:v>140</x:v>
      </x:c>
      <x:c r="I68" s="119" t="n">
        <x:f>SUM(Z68,AD68,AH68,AL68,AP68,AT68,AX68)</x:f>
        <x:v>429526</x:v>
      </x:c>
      <x:c r="J68" s="119" t="n">
        <x:f>ROUND(INDEX(X68:AY68,1,(D68-1)*4+2)*'难度参数'!$E$28*'章节与怪物'!$E$17,0)</x:f>
        <x:v>19849</x:v>
      </x:c>
      <x:c r="K68" s="119" t="n">
        <x:f>SUM(AA68,AE68,AI68,AM68,AQ68,AU68,AY68)</x:f>
        <x:v>3818</x:v>
      </x:c>
      <x:c r="L68" s="62" t="n">
        <x:f>H68*(ROUNDUP('难度参数'!$E$24/('难度参数'!$E$26*'难度参数'!$E$27),0)*'难度参数'!$E$26)/60</x:f>
        <x:v>1.8666666666666667</x:v>
      </x:c>
      <x:c r="M68" s="62" t="n">
        <x:f>L68+D68*('难度参数'!$E$49+'难度参数'!$E$50)/60</x:f>
        <x:v>3.033333333333333</x:v>
      </x:c>
      <x:c r="N68" s="119" t="n">
        <x:f>ROUNDDOWN(('经济参数'!$E$20+A68*'经济参数'!$E$21)*G68,0)</x:f>
        <x:v>1420</x:v>
      </x:c>
      <x:c r="O68" s="119" t="n">
        <x:f>ROUNDDOWN(MIN('经济参数'!$E$24,'经济参数'!$E$22+A68*'经济参数'!$E$23)*G68,0)</x:f>
        <x:v>0</x:v>
      </x:c>
      <x:c r="P68" s="119" t="n">
        <x:f>ROUNDDOWN((IF(A68&gt;='材料与任务'!$E$31,'材料与任务'!$E$32,IF(A68&gt;='材料与任务'!$E$25,'材料与任务'!$E$26,IF(A68&gt;='材料与任务'!$E$19,'材料与任务'!$E$20,IF(A68&gt;='材料与任务'!$E$13,'材料与任务'!$E$14,'材料与任务'!$E$8)))))*G68,0)</x:f>
        <x:v>4</x:v>
      </x:c>
      <x:c r="Q68" s="119" t="n">
        <x:f>ROUNDDOWN((IF(A68&gt;='材料与任务'!$E$31,'材料与任务'!$E$33,IF(A68&gt;='材料与任务'!$E$25,'材料与任务'!$E$27,IF(A68&gt;='材料与任务'!$E$19,'材料与任务'!$E$21,IF(A68&gt;='材料与任务'!$E$13,'材料与任务'!$E$15,'材料与任务'!$E$9)))))*G68,0)</x:f>
        <x:v>2</x:v>
      </x:c>
      <x:c r="R68" s="110" t="n">
        <x:f>'装备掉落'!$B$38</x:f>
        <x:v>0.6872058758851213</x:v>
      </x:c>
      <x:c r="S68" s="119" t="n">
        <x:f>MAX(IF(VLOOKUP(A68,'装备掉落'!$A$29:$H$34,2,TRUE)&gt;0,1,0),IF(VLOOKUP(A68,'装备掉落'!$A$29:$H$34,3,TRUE)&gt;0,2,0),IF(VLOOKUP(A68,'装备掉落'!$A$29:$H$34,4,TRUE)&gt;0,3,0),IF(VLOOKUP(A68,'装备掉落'!$A$29:$H$34,5,TRUE)&gt;0,4,0),IF(VLOOKUP(A68,'装备掉落'!$A$29:$H$34,6,TRUE)&gt;0,5,0),IF(VLOOKUP(A68,'装备掉落'!$A$29:$H$34,7,TRUE)&gt;0,6,0),IF(VLOOKUP(A68,'装备掉落'!$A$29:$H$34,8,TRUE)&gt;0,7,0))</x:f>
        <x:v>6</x:v>
      </x:c>
      <x:c r="T68" s="119" t="n">
        <x:f>MIN(7,S68+'经济参数'!$E$70)</x:f>
        <x:v>6</x:v>
      </x:c>
      <x:c r="U68" s="119" t="n">
        <x:f>MIN(7,S68+'经济参数'!$E$71)</x:f>
        <x:v>7</x:v>
      </x:c>
      <x:c r="V68" s="119" t="n">
        <x:f>IF(H68&gt;=('难度参数'!$E$52),1,0)+IF(H68&gt;=('难度参数'!$E$52+'难度参数'!$E$53),1,0)+IF(H68&gt;=('难度参数'!$E$52+'难度参数'!$E$53+'难度参数'!$E$54),1,0)+IF(H68&gt;=('难度参数'!$E$52+'难度参数'!$E$53+'难度参数'!$E$54+'难度参数'!$E$55),1,0)+IF(H68&gt;=('难度参数'!$E$52+'难度参数'!$E$53+'难度参数'!$E$54+'难度参数'!$E$55+'难度参数'!$E$56),1,0)+IF(H68&gt;=('难度参数'!$E$52+'难度参数'!$E$53+'难度参数'!$E$54+'难度参数'!$E$55+'难度参数'!$E$56+'难度参数'!$E$57),1,0)</x:f>
        <x:v>6</x:v>
      </x:c>
      <x:c r="W68" s="62" t="str">
        <x:f>IF(L68&gt;'难度参数'!$E$51,"仅出怪已超目标","还需实测")</x:f>
        <x:v>还需实测</x:v>
      </x:c>
      <x:c r="X68" s="119" t="n">
        <x:f>IF(1&gt;D68,0,MAX(2,MIN('难度参数'!$E$12,ROUND(('难度参数'!$E$18*POWER(A68,'难度参数'!$E$19)/D68*(0.85+0.3*(1-1)/MAX(1,D68-1))),0)+F68)))</x:f>
        <x:v>17</x:v>
      </x:c>
      <x:c r="Y68" s="119" t="n">
        <x:f>IF(1&gt;D68,0,ROUND(('难度参数'!$E$13*POWER(A68,'难度参数'!$E$20)*MIN('难度参数'!$E$23,1+MAX(0,A68-'难度参数'!$E$21)*'难度参数'!$E$22))*(36+1*7)/(36+7*(D68+1)/2)*E68,0))</x:f>
        <x:v>1477</x:v>
      </x:c>
      <x:c r="Z68" s="119" t="n">
        <x:f>IF(X68=0,0,(X68-IF(1=D68,1,0))*ROUND(Y68*VLOOKUP(INDEX('章节与怪物'!$E$31:$K$37,B68,1),'章节与怪物'!$A$41:$F$44,2,FALSE),0)+IF(1=D68,ROUND(Y68*'难度参数'!$E$28*'章节与怪物'!$E$17,0),0))</x:f>
        <x:v>18071</x:v>
      </x:c>
      <x:c r="AA68" s="119" t="n">
        <x:f>IF(X68=0,0,(X68-IF(1=D68,1,0))*VLOOKUP(INDEX('章节与怪物'!$E$31:$K$37,B68,1),'章节与怪物'!$A$41:$F$44,4,FALSE)+IF(1=D68,'难度参数'!$E$30,0))</x:f>
        <x:v>340</x:v>
      </x:c>
      <x:c r="AB68" s="119" t="n">
        <x:f>IF(2&gt;D68,0,MAX(2,MIN('难度参数'!$E$12,ROUND(('难度参数'!$E$18*POWER(A68,'难度参数'!$E$19)/D68*(0.85+0.3*(2-1)/MAX(1,D68-1))),0)+F68)))</x:f>
        <x:v>18</x:v>
      </x:c>
      <x:c r="AC68" s="119" t="n">
        <x:f>IF(2&gt;D68,0,ROUND(('难度参数'!$E$13*POWER(A68,'难度参数'!$E$20)*MIN('难度参数'!$E$23,1+MAX(0,A68-'难度参数'!$E$21)*'难度参数'!$E$22))*(36+2*7)/(36+7*(D68+1)/2)*E68,0))</x:f>
        <x:v>1717</x:v>
      </x:c>
      <x:c r="AD68" s="119" t="n">
        <x:f>IF(AB68=0,0,(AB68-IF(2=D68,1,0))*ROUND(AC68*VLOOKUP(INDEX('章节与怪物'!$E$31:$K$37,B68,2),'章节与怪物'!$A$41:$F$44,2,FALSE),0)+IF(2=D68,ROUND(AC68*'难度参数'!$E$28*'章节与怪物'!$E$17,0),0))</x:f>
        <x:v>30906</x:v>
      </x:c>
      <x:c r="AE68" s="119" t="n">
        <x:f>IF(AB68=0,0,(AB68-IF(2=D68,1,0))*VLOOKUP(INDEX('章节与怪物'!$E$31:$K$37,B68,2),'章节与怪物'!$A$41:$F$44,4,FALSE)+IF(2=D68,'难度参数'!$E$30,0))</x:f>
        <x:v>324</x:v>
      </x:c>
      <x:c r="AF68" s="119" t="n">
        <x:f>IF(3&gt;D68,0,MAX(2,MIN('难度参数'!$E$12,ROUND(('难度参数'!$E$18*POWER(A68,'难度参数'!$E$19)/D68*(0.85+0.3*(3-1)/MAX(1,D68-1))),0)+F68)))</x:f>
        <x:v>19</x:v>
      </x:c>
      <x:c r="AG68" s="119" t="n">
        <x:f>IF(3&gt;D68,0,ROUND(('难度参数'!$E$13*POWER(A68,'难度参数'!$E$20)*MIN('难度参数'!$E$23,1+MAX(0,A68-'难度参数'!$E$21)*'难度参数'!$E$22))*(36+3*7)/(36+7*(D68+1)/2)*E68,0))</x:f>
        <x:v>1958</x:v>
      </x:c>
      <x:c r="AH68" s="119" t="n">
        <x:f>IF(AF68=0,0,(AF68-IF(3=D68,1,0))*ROUND(AG68*VLOOKUP(INDEX('章节与怪物'!$E$31:$K$37,B68,3),'章节与怪物'!$A$41:$F$44,2,FALSE),0)+IF(3=D68,ROUND(AG68*'难度参数'!$E$28*'章节与怪物'!$E$17,0),0))</x:f>
        <x:v>63251</x:v>
      </x:c>
      <x:c r="AI68" s="119" t="n">
        <x:f>IF(AF68=0,0,(AF68-IF(3=D68,1,0))*VLOOKUP(INDEX('章节与怪物'!$E$31:$K$37,B68,3),'章节与怪物'!$A$41:$F$44,4,FALSE)+IF(3=D68,'难度参数'!$E$30,0))</x:f>
        <x:v>532</x:v>
      </x:c>
      <x:c r="AJ68" s="119" t="n">
        <x:f>IF(4&gt;D68,0,MAX(2,MIN('难度参数'!$E$12,ROUND(('难度参数'!$E$18*POWER(A68,'难度参数'!$E$19)/D68*(0.85+0.3*(4-1)/MAX(1,D68-1))),0)+F68)))</x:f>
        <x:v>20</x:v>
      </x:c>
      <x:c r="AK68" s="119" t="n">
        <x:f>IF(4&gt;D68,0,ROUND(('难度参数'!$E$13*POWER(A68,'难度参数'!$E$20)*MIN('难度参数'!$E$23,1+MAX(0,A68-'难度参数'!$E$21)*'难度参数'!$E$22))*(36+4*7)/(36+7*(D68+1)/2)*E68,0))</x:f>
        <x:v>2198</x:v>
      </x:c>
      <x:c r="AL68" s="119" t="n">
        <x:f>IF(AJ68=0,0,(AJ68-IF(4=D68,1,0))*ROUND(AK68*VLOOKUP(INDEX('章节与怪物'!$E$31:$K$37,B68,4),'章节与怪物'!$A$41:$F$44,2,FALSE),0)+IF(4=D68,ROUND(AK68*'难度参数'!$E$28*'章节与怪物'!$E$17,0),0))</x:f>
        <x:v>59340</x:v>
      </x:c>
      <x:c r="AM68" s="119" t="n">
        <x:f>IF(AJ68=0,0,(AJ68-IF(4=D68,1,0))*VLOOKUP(INDEX('章节与怪物'!$E$31:$K$37,B68,4),'章节与怪物'!$A$41:$F$44,4,FALSE)+IF(4=D68,'难度参数'!$E$30,0))</x:f>
        <x:v>680</x:v>
      </x:c>
      <x:c r="AN68" s="119" t="n">
        <x:f>IF(5&gt;D68,0,MAX(2,MIN('难度参数'!$E$12,ROUND(('难度参数'!$E$18*POWER(A68,'难度参数'!$E$19)/D68*(0.85+0.3*(5-1)/MAX(1,D68-1))),0)+F68)))</x:f>
        <x:v>21</x:v>
      </x:c>
      <x:c r="AO68" s="119" t="n">
        <x:f>IF(5&gt;D68,0,ROUND(('难度参数'!$E$13*POWER(A68,'难度参数'!$E$20)*MIN('难度参数'!$E$23,1+MAX(0,A68-'难度参数'!$E$21)*'难度参数'!$E$22))*(36+5*7)/(36+7*(D68+1)/2)*E68,0))</x:f>
        <x:v>2439</x:v>
      </x:c>
      <x:c r="AP68" s="119" t="n">
        <x:f>IF(AN68=0,0,(AN68-IF(5=D68,1,0))*ROUND(AO68*VLOOKUP(INDEX('章节与怪物'!$E$31:$K$37,B68,5),'章节与怪物'!$A$41:$F$44,2,FALSE),0)+IF(5=D68,ROUND(AO68*'难度参数'!$E$28*'章节与怪物'!$E$17,0),0))</x:f>
        <x:v>51219</x:v>
      </x:c>
      <x:c r="AQ68" s="119" t="n">
        <x:f>IF(AN68=0,0,(AN68-IF(5=D68,1,0))*VLOOKUP(INDEX('章节与怪物'!$E$31:$K$37,B68,5),'章节与怪物'!$A$41:$F$44,4,FALSE)+IF(5=D68,'难度参数'!$E$30,0))</x:f>
        <x:v>378</x:v>
      </x:c>
      <x:c r="AR68" s="119" t="n">
        <x:f>IF(6&gt;D68,0,MAX(2,MIN('难度参数'!$E$12,ROUND(('难度参数'!$E$18*POWER(A68,'难度参数'!$E$19)/D68*(0.85+0.3*(6-1)/MAX(1,D68-1))),0)+F68)))</x:f>
        <x:v>22</x:v>
      </x:c>
      <x:c r="AS68" s="119" t="n">
        <x:f>IF(6&gt;D68,0,ROUND(('难度参数'!$E$13*POWER(A68,'难度参数'!$E$20)*MIN('难度参数'!$E$23,1+MAX(0,A68-'难度参数'!$E$21)*'难度参数'!$E$22))*(36+6*7)/(36+7*(D68+1)/2)*E68,0))</x:f>
        <x:v>2679</x:v>
      </x:c>
      <x:c r="AT68" s="119" t="n">
        <x:f>IF(AR68=0,0,(AR68-IF(6=D68,1,0))*ROUND(AS68*VLOOKUP(INDEX('章节与怪物'!$E$31:$K$37,B68,6),'章节与怪物'!$A$41:$F$44,2,FALSE),0)+IF(6=D68,ROUND(AS68*'难度参数'!$E$28*'章节与怪物'!$E$17,0),0))</x:f>
        <x:v>100188</x:v>
      </x:c>
      <x:c r="AU68" s="119" t="n">
        <x:f>IF(AR68=0,0,(AR68-IF(6=D68,1,0))*VLOOKUP(INDEX('章节与怪物'!$E$31:$K$37,B68,6),'章节与怪物'!$A$41:$F$44,4,FALSE)+IF(6=D68,'难度参数'!$E$30,0))</x:f>
        <x:v>616</x:v>
      </x:c>
      <x:c r="AV68" s="119" t="n">
        <x:f>IF(7&gt;D68,0,MAX(2,MIN('难度参数'!$E$12,ROUND(('难度参数'!$E$18*POWER(A68,'难度参数'!$E$19)/D68*(0.85+0.3*(7-1)/MAX(1,D68-1))),0)+F68)))</x:f>
        <x:v>23</x:v>
      </x:c>
      <x:c r="AW68" s="119" t="n">
        <x:f>IF(7&gt;D68,0,ROUND(('难度参数'!$E$13*POWER(A68,'难度参数'!$E$20)*MIN('难度参数'!$E$23,1+MAX(0,A68-'难度参数'!$E$21)*'难度参数'!$E$22))*(36+7*7)/(36+7*(D68+1)/2)*E68,0))</x:f>
        <x:v>2919</x:v>
      </x:c>
      <x:c r="AX68" s="119" t="n">
        <x:f>IF(AV68=0,0,(AV68-IF(7=D68,1,0))*ROUND(AW68*VLOOKUP(INDEX('章节与怪物'!$E$31:$K$37,B68,7),'章节与怪物'!$A$41:$F$44,2,FALSE),0)+IF(7=D68,ROUND(AW68*'难度参数'!$E$28*'章节与怪物'!$E$17,0),0))</x:f>
        <x:v>106551</x:v>
      </x:c>
      <x:c r="AY68" s="119" t="n">
        <x:f>IF(AV68=0,0,(AV68-IF(7=D68,1,0))*VLOOKUP(INDEX('章节与怪物'!$E$31:$K$37,B68,7),'章节与怪物'!$A$41:$F$44,4,FALSE)+IF(7=D68,'难度参数'!$E$30,0))</x:f>
        <x:v>948</x:v>
      </x:c>
    </x:row>
    <x:row r="69" ht="23" customHeight="1">
      <x:c r="A69" s="119" t="n">
        <x:v>63</x:v>
      </x:c>
      <x:c r="B69" s="119" t="n">
        <x:f>MOD(INT((A69-1)/5),7)+1</x:f>
        <x:v>6</x:v>
      </x:c>
      <x:c r="C69" s="62" t="str">
        <x:f>INDEX('章节与怪物'!$B$31:$B$37,B69)</x:f>
        <x:v>熔岩山脉</x:v>
      </x:c>
      <x:c r="D69" s="119" t="n">
        <x:f>MIN('难度参数'!$E$8,MAX('难度参数'!$E$7,A69))</x:f>
        <x:v>7</x:v>
      </x:c>
      <x:c r="E69" s="106" t="n">
        <x:v>1</x:v>
      </x:c>
      <x:c r="F69" s="106" t="n">
        <x:v>0</x:v>
      </x:c>
      <x:c r="G69" s="106" t="n">
        <x:v>1</x:v>
      </x:c>
      <x:c r="H69" s="119" t="n">
        <x:f>SUM(X69,AB69,AF69,AJ69,AN69,AR69,AV69)</x:f>
        <x:v>140</x:v>
      </x:c>
      <x:c r="I69" s="119" t="n">
        <x:f>SUM(Z69,AD69,AH69,AL69,AP69,AT69,AX69)</x:f>
        <x:v>435683</x:v>
      </x:c>
      <x:c r="J69" s="119" t="n">
        <x:f>ROUND(INDEX(X69:AY69,1,(D69-1)*4+2)*'难度参数'!$E$28*'章节与怪物'!$E$17,0)</x:f>
        <x:v>20135</x:v>
      </x:c>
      <x:c r="K69" s="119" t="n">
        <x:f>SUM(AA69,AE69,AI69,AM69,AQ69,AU69,AY69)</x:f>
        <x:v>3818</x:v>
      </x:c>
      <x:c r="L69" s="62" t="n">
        <x:f>H69*(ROUNDUP('难度参数'!$E$24/('难度参数'!$E$26*'难度参数'!$E$27),0)*'难度参数'!$E$26)/60</x:f>
        <x:v>1.8666666666666667</x:v>
      </x:c>
      <x:c r="M69" s="62" t="n">
        <x:f>L69+D69*('难度参数'!$E$49+'难度参数'!$E$50)/60</x:f>
        <x:v>3.033333333333333</x:v>
      </x:c>
      <x:c r="N69" s="119" t="n">
        <x:f>ROUNDDOWN(('经济参数'!$E$20+A69*'经济参数'!$E$21)*G69,0)</x:f>
        <x:v>1440</x:v>
      </x:c>
      <x:c r="O69" s="119" t="n">
        <x:f>ROUNDDOWN(MIN('经济参数'!$E$24,'经济参数'!$E$22+A69*'经济参数'!$E$23)*G69,0)</x:f>
        <x:v>0</x:v>
      </x:c>
      <x:c r="P69" s="119" t="n">
        <x:f>ROUNDDOWN((IF(A69&gt;='材料与任务'!$E$31,'材料与任务'!$E$32,IF(A69&gt;='材料与任务'!$E$25,'材料与任务'!$E$26,IF(A69&gt;='材料与任务'!$E$19,'材料与任务'!$E$20,IF(A69&gt;='材料与任务'!$E$13,'材料与任务'!$E$14,'材料与任务'!$E$8)))))*G69,0)</x:f>
        <x:v>4</x:v>
      </x:c>
      <x:c r="Q69" s="119" t="n">
        <x:f>ROUNDDOWN((IF(A69&gt;='材料与任务'!$E$31,'材料与任务'!$E$33,IF(A69&gt;='材料与任务'!$E$25,'材料与任务'!$E$27,IF(A69&gt;='材料与任务'!$E$19,'材料与任务'!$E$21,IF(A69&gt;='材料与任务'!$E$13,'材料与任务'!$E$15,'材料与任务'!$E$9)))))*G69,0)</x:f>
        <x:v>2</x:v>
      </x:c>
      <x:c r="R69" s="110" t="n">
        <x:f>'装备掉落'!$B$38</x:f>
        <x:v>0.6872058758851213</x:v>
      </x:c>
      <x:c r="S69" s="119" t="n">
        <x:f>MAX(IF(VLOOKUP(A69,'装备掉落'!$A$29:$H$34,2,TRUE)&gt;0,1,0),IF(VLOOKUP(A69,'装备掉落'!$A$29:$H$34,3,TRUE)&gt;0,2,0),IF(VLOOKUP(A69,'装备掉落'!$A$29:$H$34,4,TRUE)&gt;0,3,0),IF(VLOOKUP(A69,'装备掉落'!$A$29:$H$34,5,TRUE)&gt;0,4,0),IF(VLOOKUP(A69,'装备掉落'!$A$29:$H$34,6,TRUE)&gt;0,5,0),IF(VLOOKUP(A69,'装备掉落'!$A$29:$H$34,7,TRUE)&gt;0,6,0),IF(VLOOKUP(A69,'装备掉落'!$A$29:$H$34,8,TRUE)&gt;0,7,0))</x:f>
        <x:v>6</x:v>
      </x:c>
      <x:c r="T69" s="119" t="n">
        <x:f>MIN(7,S69+'经济参数'!$E$70)</x:f>
        <x:v>6</x:v>
      </x:c>
      <x:c r="U69" s="119" t="n">
        <x:f>MIN(7,S69+'经济参数'!$E$71)</x:f>
        <x:v>7</x:v>
      </x:c>
      <x:c r="V69" s="119" t="n">
        <x:f>IF(H69&gt;=('难度参数'!$E$52),1,0)+IF(H69&gt;=('难度参数'!$E$52+'难度参数'!$E$53),1,0)+IF(H69&gt;=('难度参数'!$E$52+'难度参数'!$E$53+'难度参数'!$E$54),1,0)+IF(H69&gt;=('难度参数'!$E$52+'难度参数'!$E$53+'难度参数'!$E$54+'难度参数'!$E$55),1,0)+IF(H69&gt;=('难度参数'!$E$52+'难度参数'!$E$53+'难度参数'!$E$54+'难度参数'!$E$55+'难度参数'!$E$56),1,0)+IF(H69&gt;=('难度参数'!$E$52+'难度参数'!$E$53+'难度参数'!$E$54+'难度参数'!$E$55+'难度参数'!$E$56+'难度参数'!$E$57),1,0)</x:f>
        <x:v>6</x:v>
      </x:c>
      <x:c r="W69" s="62" t="str">
        <x:f>IF(L69&gt;'难度参数'!$E$51,"仅出怪已超目标","还需实测")</x:f>
        <x:v>还需实测</x:v>
      </x:c>
      <x:c r="X69" s="119" t="n">
        <x:f>IF(1&gt;D69,0,MAX(2,MIN('难度参数'!$E$12,ROUND(('难度参数'!$E$18*POWER(A69,'难度参数'!$E$19)/D69*(0.85+0.3*(1-1)/MAX(1,D69-1))),0)+F69)))</x:f>
        <x:v>17</x:v>
      </x:c>
      <x:c r="Y69" s="119" t="n">
        <x:f>IF(1&gt;D69,0,ROUND(('难度参数'!$E$13*POWER(A69,'难度参数'!$E$20)*MIN('难度参数'!$E$23,1+MAX(0,A69-'难度参数'!$E$21)*'难度参数'!$E$22))*(36+1*7)/(36+7*(D69+1)/2)*E69,0))</x:f>
        <x:v>1498</x:v>
      </x:c>
      <x:c r="Z69" s="119" t="n">
        <x:f>IF(X69=0,0,(X69-IF(1=D69,1,0))*ROUND(Y69*VLOOKUP(INDEX('章节与怪物'!$E$31:$K$37,B69,1),'章节与怪物'!$A$41:$F$44,2,FALSE),0)+IF(1=D69,ROUND(Y69*'难度参数'!$E$28*'章节与怪物'!$E$17,0),0))</x:f>
        <x:v>18343</x:v>
      </x:c>
      <x:c r="AA69" s="119" t="n">
        <x:f>IF(X69=0,0,(X69-IF(1=D69,1,0))*VLOOKUP(INDEX('章节与怪物'!$E$31:$K$37,B69,1),'章节与怪物'!$A$41:$F$44,4,FALSE)+IF(1=D69,'难度参数'!$E$30,0))</x:f>
        <x:v>340</x:v>
      </x:c>
      <x:c r="AB69" s="119" t="n">
        <x:f>IF(2&gt;D69,0,MAX(2,MIN('难度参数'!$E$12,ROUND(('难度参数'!$E$18*POWER(A69,'难度参数'!$E$19)/D69*(0.85+0.3*(2-1)/MAX(1,D69-1))),0)+F69)))</x:f>
        <x:v>18</x:v>
      </x:c>
      <x:c r="AC69" s="119" t="n">
        <x:f>IF(2&gt;D69,0,ROUND(('难度参数'!$E$13*POWER(A69,'难度参数'!$E$20)*MIN('难度参数'!$E$23,1+MAX(0,A69-'难度参数'!$E$21)*'难度参数'!$E$22))*(36+2*7)/(36+7*(D69+1)/2)*E69,0))</x:f>
        <x:v>1742</x:v>
      </x:c>
      <x:c r="AD69" s="119" t="n">
        <x:f>IF(AB69=0,0,(AB69-IF(2=D69,1,0))*ROUND(AC69*VLOOKUP(INDEX('章节与怪物'!$E$31:$K$37,B69,2),'章节与怪物'!$A$41:$F$44,2,FALSE),0)+IF(2=D69,ROUND(AC69*'难度参数'!$E$28*'章节与怪物'!$E$17,0),0))</x:f>
        <x:v>31356</x:v>
      </x:c>
      <x:c r="AE69" s="119" t="n">
        <x:f>IF(AB69=0,0,(AB69-IF(2=D69,1,0))*VLOOKUP(INDEX('章节与怪物'!$E$31:$K$37,B69,2),'章节与怪物'!$A$41:$F$44,4,FALSE)+IF(2=D69,'难度参数'!$E$30,0))</x:f>
        <x:v>324</x:v>
      </x:c>
      <x:c r="AF69" s="119" t="n">
        <x:f>IF(3&gt;D69,0,MAX(2,MIN('难度参数'!$E$12,ROUND(('难度参数'!$E$18*POWER(A69,'难度参数'!$E$19)/D69*(0.85+0.3*(3-1)/MAX(1,D69-1))),0)+F69)))</x:f>
        <x:v>19</x:v>
      </x:c>
      <x:c r="AG69" s="119" t="n">
        <x:f>IF(3&gt;D69,0,ROUND(('难度参数'!$E$13*POWER(A69,'难度参数'!$E$20)*MIN('难度参数'!$E$23,1+MAX(0,A69-'难度参数'!$E$21)*'难度参数'!$E$22))*(36+3*7)/(36+7*(D69+1)/2)*E69,0))</x:f>
        <x:v>1986</x:v>
      </x:c>
      <x:c r="AH69" s="119" t="n">
        <x:f>IF(AF69=0,0,(AF69-IF(3=D69,1,0))*ROUND(AG69*VLOOKUP(INDEX('章节与怪物'!$E$31:$K$37,B69,3),'章节与怪物'!$A$41:$F$44,2,FALSE),0)+IF(3=D69,ROUND(AG69*'难度参数'!$E$28*'章节与怪物'!$E$17,0),0))</x:f>
        <x:v>64144</x:v>
      </x:c>
      <x:c r="AI69" s="119" t="n">
        <x:f>IF(AF69=0,0,(AF69-IF(3=D69,1,0))*VLOOKUP(INDEX('章节与怪物'!$E$31:$K$37,B69,3),'章节与怪物'!$A$41:$F$44,4,FALSE)+IF(3=D69,'难度参数'!$E$30,0))</x:f>
        <x:v>532</x:v>
      </x:c>
      <x:c r="AJ69" s="119" t="n">
        <x:f>IF(4&gt;D69,0,MAX(2,MIN('难度参数'!$E$12,ROUND(('难度参数'!$E$18*POWER(A69,'难度参数'!$E$19)/D69*(0.85+0.3*(4-1)/MAX(1,D69-1))),0)+F69)))</x:f>
        <x:v>20</x:v>
      </x:c>
      <x:c r="AK69" s="119" t="n">
        <x:f>IF(4&gt;D69,0,ROUND(('难度参数'!$E$13*POWER(A69,'难度参数'!$E$20)*MIN('难度参数'!$E$23,1+MAX(0,A69-'难度参数'!$E$21)*'难度参数'!$E$22))*(36+4*7)/(36+7*(D69+1)/2)*E69,0))</x:f>
        <x:v>2230</x:v>
      </x:c>
      <x:c r="AL69" s="119" t="n">
        <x:f>IF(AJ69=0,0,(AJ69-IF(4=D69,1,0))*ROUND(AK69*VLOOKUP(INDEX('章节与怪物'!$E$31:$K$37,B69,4),'章节与怪物'!$A$41:$F$44,2,FALSE),0)+IF(4=D69,ROUND(AK69*'难度参数'!$E$28*'章节与怪物'!$E$17,0),0))</x:f>
        <x:v>60220</x:v>
      </x:c>
      <x:c r="AM69" s="119" t="n">
        <x:f>IF(AJ69=0,0,(AJ69-IF(4=D69,1,0))*VLOOKUP(INDEX('章节与怪物'!$E$31:$K$37,B69,4),'章节与怪物'!$A$41:$F$44,4,FALSE)+IF(4=D69,'难度参数'!$E$30,0))</x:f>
        <x:v>680</x:v>
      </x:c>
      <x:c r="AN69" s="119" t="n">
        <x:f>IF(5&gt;D69,0,MAX(2,MIN('难度参数'!$E$12,ROUND(('难度参数'!$E$18*POWER(A69,'难度参数'!$E$19)/D69*(0.85+0.3*(5-1)/MAX(1,D69-1))),0)+F69)))</x:f>
        <x:v>21</x:v>
      </x:c>
      <x:c r="AO69" s="119" t="n">
        <x:f>IF(5&gt;D69,0,ROUND(('难度参数'!$E$13*POWER(A69,'难度参数'!$E$20)*MIN('难度参数'!$E$23,1+MAX(0,A69-'难度参数'!$E$21)*'难度参数'!$E$22))*(36+5*7)/(36+7*(D69+1)/2)*E69,0))</x:f>
        <x:v>2473</x:v>
      </x:c>
      <x:c r="AP69" s="119" t="n">
        <x:f>IF(AN69=0,0,(AN69-IF(5=D69,1,0))*ROUND(AO69*VLOOKUP(INDEX('章节与怪物'!$E$31:$K$37,B69,5),'章节与怪物'!$A$41:$F$44,2,FALSE),0)+IF(5=D69,ROUND(AO69*'难度参数'!$E$28*'章节与怪物'!$E$17,0),0))</x:f>
        <x:v>51933</x:v>
      </x:c>
      <x:c r="AQ69" s="119" t="n">
        <x:f>IF(AN69=0,0,(AN69-IF(5=D69,1,0))*VLOOKUP(INDEX('章节与怪物'!$E$31:$K$37,B69,5),'章节与怪物'!$A$41:$F$44,4,FALSE)+IF(5=D69,'难度参数'!$E$30,0))</x:f>
        <x:v>378</x:v>
      </x:c>
      <x:c r="AR69" s="119" t="n">
        <x:f>IF(6&gt;D69,0,MAX(2,MIN('难度参数'!$E$12,ROUND(('难度参数'!$E$18*POWER(A69,'难度参数'!$E$19)/D69*(0.85+0.3*(6-1)/MAX(1,D69-1))),0)+F69)))</x:f>
        <x:v>22</x:v>
      </x:c>
      <x:c r="AS69" s="119" t="n">
        <x:f>IF(6&gt;D69,0,ROUND(('难度参数'!$E$13*POWER(A69,'难度参数'!$E$20)*MIN('难度参数'!$E$23,1+MAX(0,A69-'难度参数'!$E$21)*'难度参数'!$E$22))*(36+6*7)/(36+7*(D69+1)/2)*E69,0))</x:f>
        <x:v>2717</x:v>
      </x:c>
      <x:c r="AT69" s="119" t="n">
        <x:f>IF(AR69=0,0,(AR69-IF(6=D69,1,0))*ROUND(AS69*VLOOKUP(INDEX('章节与怪物'!$E$31:$K$37,B69,6),'章节与怪物'!$A$41:$F$44,2,FALSE),0)+IF(6=D69,ROUND(AS69*'难度参数'!$E$28*'章节与怪物'!$E$17,0),0))</x:f>
        <x:v>101618</x:v>
      </x:c>
      <x:c r="AU69" s="119" t="n">
        <x:f>IF(AR69=0,0,(AR69-IF(6=D69,1,0))*VLOOKUP(INDEX('章节与怪物'!$E$31:$K$37,B69,6),'章节与怪物'!$A$41:$F$44,4,FALSE)+IF(6=D69,'难度参数'!$E$30,0))</x:f>
        <x:v>616</x:v>
      </x:c>
      <x:c r="AV69" s="119" t="n">
        <x:f>IF(7&gt;D69,0,MAX(2,MIN('难度参数'!$E$12,ROUND(('难度参数'!$E$18*POWER(A69,'难度参数'!$E$19)/D69*(0.85+0.3*(7-1)/MAX(1,D69-1))),0)+F69)))</x:f>
        <x:v>23</x:v>
      </x:c>
      <x:c r="AW69" s="119" t="n">
        <x:f>IF(7&gt;D69,0,ROUND(('难度参数'!$E$13*POWER(A69,'难度参数'!$E$20)*MIN('难度参数'!$E$23,1+MAX(0,A69-'难度参数'!$E$21)*'难度参数'!$E$22))*(36+7*7)/(36+7*(D69+1)/2)*E69,0))</x:f>
        <x:v>2961</x:v>
      </x:c>
      <x:c r="AX69" s="119" t="n">
        <x:f>IF(AV69=0,0,(AV69-IF(7=D69,1,0))*ROUND(AW69*VLOOKUP(INDEX('章节与怪物'!$E$31:$K$37,B69,7),'章节与怪物'!$A$41:$F$44,2,FALSE),0)+IF(7=D69,ROUND(AW69*'难度参数'!$E$28*'章节与怪物'!$E$17,0),0))</x:f>
        <x:v>108069</x:v>
      </x:c>
      <x:c r="AY69" s="119" t="n">
        <x:f>IF(AV69=0,0,(AV69-IF(7=D69,1,0))*VLOOKUP(INDEX('章节与怪物'!$E$31:$K$37,B69,7),'章节与怪物'!$A$41:$F$44,4,FALSE)+IF(7=D69,'难度参数'!$E$30,0))</x:f>
        <x:v>948</x:v>
      </x:c>
    </x:row>
    <x:row r="70" ht="23" customHeight="1">
      <x:c r="A70" s="119" t="n">
        <x:v>64</x:v>
      </x:c>
      <x:c r="B70" s="119" t="n">
        <x:f>MOD(INT((A70-1)/5),7)+1</x:f>
        <x:v>6</x:v>
      </x:c>
      <x:c r="C70" s="62" t="str">
        <x:f>INDEX('章节与怪物'!$B$31:$B$37,B70)</x:f>
        <x:v>熔岩山脉</x:v>
      </x:c>
      <x:c r="D70" s="119" t="n">
        <x:f>MIN('难度参数'!$E$8,MAX('难度参数'!$E$7,A70))</x:f>
        <x:v>7</x:v>
      </x:c>
      <x:c r="E70" s="106" t="n">
        <x:v>1</x:v>
      </x:c>
      <x:c r="F70" s="106" t="n">
        <x:v>0</x:v>
      </x:c>
      <x:c r="G70" s="106" t="n">
        <x:v>1</x:v>
      </x:c>
      <x:c r="H70" s="119" t="n">
        <x:f>SUM(X70,AB70,AF70,AJ70,AN70,AR70,AV70)</x:f>
        <x:v>140</x:v>
      </x:c>
      <x:c r="I70" s="119" t="n">
        <x:f>SUM(Z70,AD70,AH70,AL70,AP70,AT70,AX70)</x:f>
        <x:v>441828</x:v>
      </x:c>
      <x:c r="J70" s="119" t="n">
        <x:f>ROUND(INDEX(X70:AY70,1,(D70-1)*4+2)*'难度参数'!$E$28*'章节与怪物'!$E$17,0)</x:f>
        <x:v>20420</x:v>
      </x:c>
      <x:c r="K70" s="119" t="n">
        <x:f>SUM(AA70,AE70,AI70,AM70,AQ70,AU70,AY70)</x:f>
        <x:v>3818</x:v>
      </x:c>
      <x:c r="L70" s="62" t="n">
        <x:f>H70*(ROUNDUP('难度参数'!$E$24/('难度参数'!$E$26*'难度参数'!$E$27),0)*'难度参数'!$E$26)/60</x:f>
        <x:v>1.8666666666666667</x:v>
      </x:c>
      <x:c r="M70" s="62" t="n">
        <x:f>L70+D70*('难度参数'!$E$49+'难度参数'!$E$50)/60</x:f>
        <x:v>3.033333333333333</x:v>
      </x:c>
      <x:c r="N70" s="119" t="n">
        <x:f>ROUNDDOWN(('经济参数'!$E$20+A70*'经济参数'!$E$21)*G70,0)</x:f>
        <x:v>1460</x:v>
      </x:c>
      <x:c r="O70" s="119" t="n">
        <x:f>ROUNDDOWN(MIN('经济参数'!$E$24,'经济参数'!$E$22+A70*'经济参数'!$E$23)*G70,0)</x:f>
        <x:v>0</x:v>
      </x:c>
      <x:c r="P70" s="119" t="n">
        <x:f>ROUNDDOWN((IF(A70&gt;='材料与任务'!$E$31,'材料与任务'!$E$32,IF(A70&gt;='材料与任务'!$E$25,'材料与任务'!$E$26,IF(A70&gt;='材料与任务'!$E$19,'材料与任务'!$E$20,IF(A70&gt;='材料与任务'!$E$13,'材料与任务'!$E$14,'材料与任务'!$E$8)))))*G70,0)</x:f>
        <x:v>4</x:v>
      </x:c>
      <x:c r="Q70" s="119" t="n">
        <x:f>ROUNDDOWN((IF(A70&gt;='材料与任务'!$E$31,'材料与任务'!$E$33,IF(A70&gt;='材料与任务'!$E$25,'材料与任务'!$E$27,IF(A70&gt;='材料与任务'!$E$19,'材料与任务'!$E$21,IF(A70&gt;='材料与任务'!$E$13,'材料与任务'!$E$15,'材料与任务'!$E$9)))))*G70,0)</x:f>
        <x:v>2</x:v>
      </x:c>
      <x:c r="R70" s="110" t="n">
        <x:f>'装备掉落'!$B$38</x:f>
        <x:v>0.6872058758851213</x:v>
      </x:c>
      <x:c r="S70" s="119" t="n">
        <x:f>MAX(IF(VLOOKUP(A70,'装备掉落'!$A$29:$H$34,2,TRUE)&gt;0,1,0),IF(VLOOKUP(A70,'装备掉落'!$A$29:$H$34,3,TRUE)&gt;0,2,0),IF(VLOOKUP(A70,'装备掉落'!$A$29:$H$34,4,TRUE)&gt;0,3,0),IF(VLOOKUP(A70,'装备掉落'!$A$29:$H$34,5,TRUE)&gt;0,4,0),IF(VLOOKUP(A70,'装备掉落'!$A$29:$H$34,6,TRUE)&gt;0,5,0),IF(VLOOKUP(A70,'装备掉落'!$A$29:$H$34,7,TRUE)&gt;0,6,0),IF(VLOOKUP(A70,'装备掉落'!$A$29:$H$34,8,TRUE)&gt;0,7,0))</x:f>
        <x:v>6</x:v>
      </x:c>
      <x:c r="T70" s="119" t="n">
        <x:f>MIN(7,S70+'经济参数'!$E$70)</x:f>
        <x:v>6</x:v>
      </x:c>
      <x:c r="U70" s="119" t="n">
        <x:f>MIN(7,S70+'经济参数'!$E$71)</x:f>
        <x:v>7</x:v>
      </x:c>
      <x:c r="V70" s="119" t="n">
        <x:f>IF(H70&gt;=('难度参数'!$E$52),1,0)+IF(H70&gt;=('难度参数'!$E$52+'难度参数'!$E$53),1,0)+IF(H70&gt;=('难度参数'!$E$52+'难度参数'!$E$53+'难度参数'!$E$54),1,0)+IF(H70&gt;=('难度参数'!$E$52+'难度参数'!$E$53+'难度参数'!$E$54+'难度参数'!$E$55),1,0)+IF(H70&gt;=('难度参数'!$E$52+'难度参数'!$E$53+'难度参数'!$E$54+'难度参数'!$E$55+'难度参数'!$E$56),1,0)+IF(H70&gt;=('难度参数'!$E$52+'难度参数'!$E$53+'难度参数'!$E$54+'难度参数'!$E$55+'难度参数'!$E$56+'难度参数'!$E$57),1,0)</x:f>
        <x:v>6</x:v>
      </x:c>
      <x:c r="W70" s="62" t="str">
        <x:f>IF(L70&gt;'难度参数'!$E$51,"仅出怪已超目标","还需实测")</x:f>
        <x:v>还需实测</x:v>
      </x:c>
      <x:c r="X70" s="119" t="n">
        <x:f>IF(1&gt;D70,0,MAX(2,MIN('难度参数'!$E$12,ROUND(('难度参数'!$E$18*POWER(A70,'难度参数'!$E$19)/D70*(0.85+0.3*(1-1)/MAX(1,D70-1))),0)+F70)))</x:f>
        <x:v>17</x:v>
      </x:c>
      <x:c r="Y70" s="119" t="n">
        <x:f>IF(1&gt;D70,0,ROUND(('难度参数'!$E$13*POWER(A70,'难度参数'!$E$20)*MIN('难度参数'!$E$23,1+MAX(0,A70-'难度参数'!$E$21)*'难度参数'!$E$22))*(36+1*7)/(36+7*(D70+1)/2)*E70,0))</x:f>
        <x:v>1519</x:v>
      </x:c>
      <x:c r="Z70" s="119" t="n">
        <x:f>IF(X70=0,0,(X70-IF(1=D70,1,0))*ROUND(Y70*VLOOKUP(INDEX('章节与怪物'!$E$31:$K$37,B70,1),'章节与怪物'!$A$41:$F$44,2,FALSE),0)+IF(1=D70,ROUND(Y70*'难度参数'!$E$28*'章节与怪物'!$E$17,0),0))</x:f>
        <x:v>18598</x:v>
      </x:c>
      <x:c r="AA70" s="119" t="n">
        <x:f>IF(X70=0,0,(X70-IF(1=D70,1,0))*VLOOKUP(INDEX('章节与怪物'!$E$31:$K$37,B70,1),'章节与怪物'!$A$41:$F$44,4,FALSE)+IF(1=D70,'难度参数'!$E$30,0))</x:f>
        <x:v>340</x:v>
      </x:c>
      <x:c r="AB70" s="119" t="n">
        <x:f>IF(2&gt;D70,0,MAX(2,MIN('难度参数'!$E$12,ROUND(('难度参数'!$E$18*POWER(A70,'难度参数'!$E$19)/D70*(0.85+0.3*(2-1)/MAX(1,D70-1))),0)+F70)))</x:f>
        <x:v>18</x:v>
      </x:c>
      <x:c r="AC70" s="119" t="n">
        <x:f>IF(2&gt;D70,0,ROUND(('难度参数'!$E$13*POWER(A70,'难度参数'!$E$20)*MIN('难度参数'!$E$23,1+MAX(0,A70-'难度参数'!$E$21)*'难度参数'!$E$22))*(36+2*7)/(36+7*(D70+1)/2)*E70,0))</x:f>
        <x:v>1766</x:v>
      </x:c>
      <x:c r="AD70" s="119" t="n">
        <x:f>IF(AB70=0,0,(AB70-IF(2=D70,1,0))*ROUND(AC70*VLOOKUP(INDEX('章节与怪物'!$E$31:$K$37,B70,2),'章节与怪物'!$A$41:$F$44,2,FALSE),0)+IF(2=D70,ROUND(AC70*'难度参数'!$E$28*'章节与怪物'!$E$17,0),0))</x:f>
        <x:v>31788</x:v>
      </x:c>
      <x:c r="AE70" s="119" t="n">
        <x:f>IF(AB70=0,0,(AB70-IF(2=D70,1,0))*VLOOKUP(INDEX('章节与怪物'!$E$31:$K$37,B70,2),'章节与怪物'!$A$41:$F$44,4,FALSE)+IF(2=D70,'难度参数'!$E$30,0))</x:f>
        <x:v>324</x:v>
      </x:c>
      <x:c r="AF70" s="119" t="n">
        <x:f>IF(3&gt;D70,0,MAX(2,MIN('难度参数'!$E$12,ROUND(('难度参数'!$E$18*POWER(A70,'难度参数'!$E$19)/D70*(0.85+0.3*(3-1)/MAX(1,D70-1))),0)+F70)))</x:f>
        <x:v>19</x:v>
      </x:c>
      <x:c r="AG70" s="119" t="n">
        <x:f>IF(3&gt;D70,0,ROUND(('难度参数'!$E$13*POWER(A70,'难度参数'!$E$20)*MIN('难度参数'!$E$23,1+MAX(0,A70-'难度参数'!$E$21)*'难度参数'!$E$22))*(36+3*7)/(36+7*(D70+1)/2)*E70,0))</x:f>
        <x:v>2014</x:v>
      </x:c>
      <x:c r="AH70" s="119" t="n">
        <x:f>IF(AF70=0,0,(AF70-IF(3=D70,1,0))*ROUND(AG70*VLOOKUP(INDEX('章节与怪物'!$E$31:$K$37,B70,3),'章节与怪物'!$A$41:$F$44,2,FALSE),0)+IF(3=D70,ROUND(AG70*'难度参数'!$E$28*'章节与怪物'!$E$17,0),0))</x:f>
        <x:v>65056</x:v>
      </x:c>
      <x:c r="AI70" s="119" t="n">
        <x:f>IF(AF70=0,0,(AF70-IF(3=D70,1,0))*VLOOKUP(INDEX('章节与怪物'!$E$31:$K$37,B70,3),'章节与怪物'!$A$41:$F$44,4,FALSE)+IF(3=D70,'难度参数'!$E$30,0))</x:f>
        <x:v>532</x:v>
      </x:c>
      <x:c r="AJ70" s="119" t="n">
        <x:f>IF(4&gt;D70,0,MAX(2,MIN('难度参数'!$E$12,ROUND(('难度参数'!$E$18*POWER(A70,'难度参数'!$E$19)/D70*(0.85+0.3*(4-1)/MAX(1,D70-1))),0)+F70)))</x:f>
        <x:v>20</x:v>
      </x:c>
      <x:c r="AK70" s="119" t="n">
        <x:f>IF(4&gt;D70,0,ROUND(('难度参数'!$E$13*POWER(A70,'难度参数'!$E$20)*MIN('难度参数'!$E$23,1+MAX(0,A70-'难度参数'!$E$21)*'难度参数'!$E$22))*(36+4*7)/(36+7*(D70+1)/2)*E70,0))</x:f>
        <x:v>2261</x:v>
      </x:c>
      <x:c r="AL70" s="119" t="n">
        <x:f>IF(AJ70=0,0,(AJ70-IF(4=D70,1,0))*ROUND(AK70*VLOOKUP(INDEX('章节与怪物'!$E$31:$K$37,B70,4),'章节与怪物'!$A$41:$F$44,2,FALSE),0)+IF(4=D70,ROUND(AK70*'难度参数'!$E$28*'章节与怪物'!$E$17,0),0))</x:f>
        <x:v>61040</x:v>
      </x:c>
      <x:c r="AM70" s="119" t="n">
        <x:f>IF(AJ70=0,0,(AJ70-IF(4=D70,1,0))*VLOOKUP(INDEX('章节与怪物'!$E$31:$K$37,B70,4),'章节与怪物'!$A$41:$F$44,4,FALSE)+IF(4=D70,'难度参数'!$E$30,0))</x:f>
        <x:v>680</x:v>
      </x:c>
      <x:c r="AN70" s="119" t="n">
        <x:f>IF(5&gt;D70,0,MAX(2,MIN('难度参数'!$E$12,ROUND(('难度参数'!$E$18*POWER(A70,'难度参数'!$E$19)/D70*(0.85+0.3*(5-1)/MAX(1,D70-1))),0)+F70)))</x:f>
        <x:v>21</x:v>
      </x:c>
      <x:c r="AO70" s="119" t="n">
        <x:f>IF(5&gt;D70,0,ROUND(('难度参数'!$E$13*POWER(A70,'难度参数'!$E$20)*MIN('难度参数'!$E$23,1+MAX(0,A70-'难度参数'!$E$21)*'难度参数'!$E$22))*(36+5*7)/(36+7*(D70+1)/2)*E70,0))</x:f>
        <x:v>2508</x:v>
      </x:c>
      <x:c r="AP70" s="119" t="n">
        <x:f>IF(AN70=0,0,(AN70-IF(5=D70,1,0))*ROUND(AO70*VLOOKUP(INDEX('章节与怪物'!$E$31:$K$37,B70,5),'章节与怪物'!$A$41:$F$44,2,FALSE),0)+IF(5=D70,ROUND(AO70*'难度参数'!$E$28*'章节与怪物'!$E$17,0),0))</x:f>
        <x:v>52668</x:v>
      </x:c>
      <x:c r="AQ70" s="119" t="n">
        <x:f>IF(AN70=0,0,(AN70-IF(5=D70,1,0))*VLOOKUP(INDEX('章节与怪物'!$E$31:$K$37,B70,5),'章节与怪物'!$A$41:$F$44,4,FALSE)+IF(5=D70,'难度参数'!$E$30,0))</x:f>
        <x:v>378</x:v>
      </x:c>
      <x:c r="AR70" s="119" t="n">
        <x:f>IF(6&gt;D70,0,MAX(2,MIN('难度参数'!$E$12,ROUND(('难度参数'!$E$18*POWER(A70,'难度参数'!$E$19)/D70*(0.85+0.3*(6-1)/MAX(1,D70-1))),0)+F70)))</x:f>
        <x:v>22</x:v>
      </x:c>
      <x:c r="AS70" s="119" t="n">
        <x:f>IF(6&gt;D70,0,ROUND(('难度参数'!$E$13*POWER(A70,'难度参数'!$E$20)*MIN('难度参数'!$E$23,1+MAX(0,A70-'难度参数'!$E$21)*'难度参数'!$E$22))*(36+6*7)/(36+7*(D70+1)/2)*E70,0))</x:f>
        <x:v>2756</x:v>
      </x:c>
      <x:c r="AT70" s="119" t="n">
        <x:f>IF(AR70=0,0,(AR70-IF(6=D70,1,0))*ROUND(AS70*VLOOKUP(INDEX('章节与怪物'!$E$31:$K$37,B70,6),'章节与怪物'!$A$41:$F$44,2,FALSE),0)+IF(6=D70,ROUND(AS70*'难度参数'!$E$28*'章节与怪物'!$E$17,0),0))</x:f>
        <x:v>103070</x:v>
      </x:c>
      <x:c r="AU70" s="119" t="n">
        <x:f>IF(AR70=0,0,(AR70-IF(6=D70,1,0))*VLOOKUP(INDEX('章节与怪物'!$E$31:$K$37,B70,6),'章节与怪物'!$A$41:$F$44,4,FALSE)+IF(6=D70,'难度参数'!$E$30,0))</x:f>
        <x:v>616</x:v>
      </x:c>
      <x:c r="AV70" s="119" t="n">
        <x:f>IF(7&gt;D70,0,MAX(2,MIN('难度参数'!$E$12,ROUND(('难度参数'!$E$18*POWER(A70,'难度参数'!$E$19)/D70*(0.85+0.3*(7-1)/MAX(1,D70-1))),0)+F70)))</x:f>
        <x:v>23</x:v>
      </x:c>
      <x:c r="AW70" s="119" t="n">
        <x:f>IF(7&gt;D70,0,ROUND(('难度参数'!$E$13*POWER(A70,'难度参数'!$E$20)*MIN('难度参数'!$E$23,1+MAX(0,A70-'难度参数'!$E$21)*'难度参数'!$E$22))*(36+7*7)/(36+7*(D70+1)/2)*E70,0))</x:f>
        <x:v>3003</x:v>
      </x:c>
      <x:c r="AX70" s="119" t="n">
        <x:f>IF(AV70=0,0,(AV70-IF(7=D70,1,0))*ROUND(AW70*VLOOKUP(INDEX('章节与怪物'!$E$31:$K$37,B70,7),'章节与怪物'!$A$41:$F$44,2,FALSE),0)+IF(7=D70,ROUND(AW70*'难度参数'!$E$28*'章节与怪物'!$E$17,0),0))</x:f>
        <x:v>109608</x:v>
      </x:c>
      <x:c r="AY70" s="119" t="n">
        <x:f>IF(AV70=0,0,(AV70-IF(7=D70,1,0))*VLOOKUP(INDEX('章节与怪物'!$E$31:$K$37,B70,7),'章节与怪物'!$A$41:$F$44,4,FALSE)+IF(7=D70,'难度参数'!$E$30,0))</x:f>
        <x:v>948</x:v>
      </x:c>
    </x:row>
    <x:row r="71" ht="23" customHeight="1">
      <x:c r="A71" s="119" t="n">
        <x:v>65</x:v>
      </x:c>
      <x:c r="B71" s="119" t="n">
        <x:f>MOD(INT((A71-1)/5),7)+1</x:f>
        <x:v>6</x:v>
      </x:c>
      <x:c r="C71" s="62" t="str">
        <x:f>INDEX('章节与怪物'!$B$31:$B$37,B71)</x:f>
        <x:v>熔岩山脉</x:v>
      </x:c>
      <x:c r="D71" s="119" t="n">
        <x:f>MIN('难度参数'!$E$8,MAX('难度参数'!$E$7,A71))</x:f>
        <x:v>7</x:v>
      </x:c>
      <x:c r="E71" s="106" t="n">
        <x:v>1</x:v>
      </x:c>
      <x:c r="F71" s="106" t="n">
        <x:v>0</x:v>
      </x:c>
      <x:c r="G71" s="106" t="n">
        <x:v>1</x:v>
      </x:c>
      <x:c r="H71" s="119" t="n">
        <x:f>SUM(X71,AB71,AF71,AJ71,AN71,AR71,AV71)</x:f>
        <x:v>140</x:v>
      </x:c>
      <x:c r="I71" s="119" t="n">
        <x:f>SUM(Z71,AD71,AH71,AL71,AP71,AT71,AX71)</x:f>
        <x:v>447971</x:v>
      </x:c>
      <x:c r="J71" s="119" t="n">
        <x:f>ROUND(INDEX(X71:AY71,1,(D71-1)*4+2)*'难度参数'!$E$28*'章节与怪物'!$E$17,0)</x:f>
        <x:v>20706</x:v>
      </x:c>
      <x:c r="K71" s="119" t="n">
        <x:f>SUM(AA71,AE71,AI71,AM71,AQ71,AU71,AY71)</x:f>
        <x:v>3818</x:v>
      </x:c>
      <x:c r="L71" s="62" t="n">
        <x:f>H71*(ROUNDUP('难度参数'!$E$24/('难度参数'!$E$26*'难度参数'!$E$27),0)*'难度参数'!$E$26)/60</x:f>
        <x:v>1.8666666666666667</x:v>
      </x:c>
      <x:c r="M71" s="62" t="n">
        <x:f>L71+D71*('难度参数'!$E$49+'难度参数'!$E$50)/60</x:f>
        <x:v>3.033333333333333</x:v>
      </x:c>
      <x:c r="N71" s="119" t="n">
        <x:f>ROUNDDOWN(('经济参数'!$E$20+A71*'经济参数'!$E$21)*G71,0)</x:f>
        <x:v>1480</x:v>
      </x:c>
      <x:c r="O71" s="119" t="n">
        <x:f>ROUNDDOWN(MIN('经济参数'!$E$24,'经济参数'!$E$22+A71*'经济参数'!$E$23)*G71,0)</x:f>
        <x:v>0</x:v>
      </x:c>
      <x:c r="P71" s="119" t="n">
        <x:f>ROUNDDOWN((IF(A71&gt;='材料与任务'!$E$31,'材料与任务'!$E$32,IF(A71&gt;='材料与任务'!$E$25,'材料与任务'!$E$26,IF(A71&gt;='材料与任务'!$E$19,'材料与任务'!$E$20,IF(A71&gt;='材料与任务'!$E$13,'材料与任务'!$E$14,'材料与任务'!$E$8)))))*G71,0)</x:f>
        <x:v>4</x:v>
      </x:c>
      <x:c r="Q71" s="119" t="n">
        <x:f>ROUNDDOWN((IF(A71&gt;='材料与任务'!$E$31,'材料与任务'!$E$33,IF(A71&gt;='材料与任务'!$E$25,'材料与任务'!$E$27,IF(A71&gt;='材料与任务'!$E$19,'材料与任务'!$E$21,IF(A71&gt;='材料与任务'!$E$13,'材料与任务'!$E$15,'材料与任务'!$E$9)))))*G71,0)</x:f>
        <x:v>2</x:v>
      </x:c>
      <x:c r="R71" s="110" t="n">
        <x:f>'装备掉落'!$B$38</x:f>
        <x:v>0.6872058758851213</x:v>
      </x:c>
      <x:c r="S71" s="119" t="n">
        <x:f>MAX(IF(VLOOKUP(A71,'装备掉落'!$A$29:$H$34,2,TRUE)&gt;0,1,0),IF(VLOOKUP(A71,'装备掉落'!$A$29:$H$34,3,TRUE)&gt;0,2,0),IF(VLOOKUP(A71,'装备掉落'!$A$29:$H$34,4,TRUE)&gt;0,3,0),IF(VLOOKUP(A71,'装备掉落'!$A$29:$H$34,5,TRUE)&gt;0,4,0),IF(VLOOKUP(A71,'装备掉落'!$A$29:$H$34,6,TRUE)&gt;0,5,0),IF(VLOOKUP(A71,'装备掉落'!$A$29:$H$34,7,TRUE)&gt;0,6,0),IF(VLOOKUP(A71,'装备掉落'!$A$29:$H$34,8,TRUE)&gt;0,7,0))</x:f>
        <x:v>6</x:v>
      </x:c>
      <x:c r="T71" s="119" t="n">
        <x:f>MIN(7,S71+'经济参数'!$E$70)</x:f>
        <x:v>6</x:v>
      </x:c>
      <x:c r="U71" s="119" t="n">
        <x:f>MIN(7,S71+'经济参数'!$E$71)</x:f>
        <x:v>7</x:v>
      </x:c>
      <x:c r="V71" s="119" t="n">
        <x:f>IF(H71&gt;=('难度参数'!$E$52),1,0)+IF(H71&gt;=('难度参数'!$E$52+'难度参数'!$E$53),1,0)+IF(H71&gt;=('难度参数'!$E$52+'难度参数'!$E$53+'难度参数'!$E$54),1,0)+IF(H71&gt;=('难度参数'!$E$52+'难度参数'!$E$53+'难度参数'!$E$54+'难度参数'!$E$55),1,0)+IF(H71&gt;=('难度参数'!$E$52+'难度参数'!$E$53+'难度参数'!$E$54+'难度参数'!$E$55+'难度参数'!$E$56),1,0)+IF(H71&gt;=('难度参数'!$E$52+'难度参数'!$E$53+'难度参数'!$E$54+'难度参数'!$E$55+'难度参数'!$E$56+'难度参数'!$E$57),1,0)</x:f>
        <x:v>6</x:v>
      </x:c>
      <x:c r="W71" s="62" t="str">
        <x:f>IF(L71&gt;'难度参数'!$E$51,"仅出怪已超目标","还需实测")</x:f>
        <x:v>还需实测</x:v>
      </x:c>
      <x:c r="X71" s="119" t="n">
        <x:f>IF(1&gt;D71,0,MAX(2,MIN('难度参数'!$E$12,ROUND(('难度参数'!$E$18*POWER(A71,'难度参数'!$E$19)/D71*(0.85+0.3*(1-1)/MAX(1,D71-1))),0)+F71)))</x:f>
        <x:v>17</x:v>
      </x:c>
      <x:c r="Y71" s="119" t="n">
        <x:f>IF(1&gt;D71,0,ROUND(('难度参数'!$E$13*POWER(A71,'难度参数'!$E$20)*MIN('难度参数'!$E$23,1+MAX(0,A71-'难度参数'!$E$21)*'难度参数'!$E$22))*(36+1*7)/(36+7*(D71+1)/2)*E71,0))</x:f>
        <x:v>1540</x:v>
      </x:c>
      <x:c r="Z71" s="119" t="n">
        <x:f>IF(X71=0,0,(X71-IF(1=D71,1,0))*ROUND(Y71*VLOOKUP(INDEX('章节与怪物'!$E$31:$K$37,B71,1),'章节与怪物'!$A$41:$F$44,2,FALSE),0)+IF(1=D71,ROUND(Y71*'难度参数'!$E$28*'章节与怪物'!$E$17,0),0))</x:f>
        <x:v>18853</x:v>
      </x:c>
      <x:c r="AA71" s="119" t="n">
        <x:f>IF(X71=0,0,(X71-IF(1=D71,1,0))*VLOOKUP(INDEX('章节与怪物'!$E$31:$K$37,B71,1),'章节与怪物'!$A$41:$F$44,4,FALSE)+IF(1=D71,'难度参数'!$E$30,0))</x:f>
        <x:v>340</x:v>
      </x:c>
      <x:c r="AB71" s="119" t="n">
        <x:f>IF(2&gt;D71,0,MAX(2,MIN('难度参数'!$E$12,ROUND(('难度参数'!$E$18*POWER(A71,'难度参数'!$E$19)/D71*(0.85+0.3*(2-1)/MAX(1,D71-1))),0)+F71)))</x:f>
        <x:v>18</x:v>
      </x:c>
      <x:c r="AC71" s="119" t="n">
        <x:f>IF(2&gt;D71,0,ROUND(('难度参数'!$E$13*POWER(A71,'难度参数'!$E$20)*MIN('难度参数'!$E$23,1+MAX(0,A71-'难度参数'!$E$21)*'难度参数'!$E$22))*(36+2*7)/(36+7*(D71+1)/2)*E71,0))</x:f>
        <x:v>1791</x:v>
      </x:c>
      <x:c r="AD71" s="119" t="n">
        <x:f>IF(AB71=0,0,(AB71-IF(2=D71,1,0))*ROUND(AC71*VLOOKUP(INDEX('章节与怪物'!$E$31:$K$37,B71,2),'章节与怪物'!$A$41:$F$44,2,FALSE),0)+IF(2=D71,ROUND(AC71*'难度参数'!$E$28*'章节与怪物'!$E$17,0),0))</x:f>
        <x:v>32238</x:v>
      </x:c>
      <x:c r="AE71" s="119" t="n">
        <x:f>IF(AB71=0,0,(AB71-IF(2=D71,1,0))*VLOOKUP(INDEX('章节与怪物'!$E$31:$K$37,B71,2),'章节与怪物'!$A$41:$F$44,4,FALSE)+IF(2=D71,'难度参数'!$E$30,0))</x:f>
        <x:v>324</x:v>
      </x:c>
      <x:c r="AF71" s="119" t="n">
        <x:f>IF(3&gt;D71,0,MAX(2,MIN('难度参数'!$E$12,ROUND(('难度参数'!$E$18*POWER(A71,'难度参数'!$E$19)/D71*(0.85+0.3*(3-1)/MAX(1,D71-1))),0)+F71)))</x:f>
        <x:v>19</x:v>
      </x:c>
      <x:c r="AG71" s="119" t="n">
        <x:f>IF(3&gt;D71,0,ROUND(('难度参数'!$E$13*POWER(A71,'难度参数'!$E$20)*MIN('难度参数'!$E$23,1+MAX(0,A71-'难度参数'!$E$21)*'难度参数'!$E$22))*(36+3*7)/(36+7*(D71+1)/2)*E71,0))</x:f>
        <x:v>2042</x:v>
      </x:c>
      <x:c r="AH71" s="119" t="n">
        <x:f>IF(AF71=0,0,(AF71-IF(3=D71,1,0))*ROUND(AG71*VLOOKUP(INDEX('章节与怪物'!$E$31:$K$37,B71,3),'章节与怪物'!$A$41:$F$44,2,FALSE),0)+IF(3=D71,ROUND(AG71*'难度参数'!$E$28*'章节与怪物'!$E$17,0),0))</x:f>
        <x:v>65949</x:v>
      </x:c>
      <x:c r="AI71" s="119" t="n">
        <x:f>IF(AF71=0,0,(AF71-IF(3=D71,1,0))*VLOOKUP(INDEX('章节与怪物'!$E$31:$K$37,B71,3),'章节与怪物'!$A$41:$F$44,4,FALSE)+IF(3=D71,'难度参数'!$E$30,0))</x:f>
        <x:v>532</x:v>
      </x:c>
      <x:c r="AJ71" s="119" t="n">
        <x:f>IF(4&gt;D71,0,MAX(2,MIN('难度参数'!$E$12,ROUND(('难度参数'!$E$18*POWER(A71,'难度参数'!$E$19)/D71*(0.85+0.3*(4-1)/MAX(1,D71-1))),0)+F71)))</x:f>
        <x:v>20</x:v>
      </x:c>
      <x:c r="AK71" s="119" t="n">
        <x:f>IF(4&gt;D71,0,ROUND(('难度参数'!$E$13*POWER(A71,'难度参数'!$E$20)*MIN('难度参数'!$E$23,1+MAX(0,A71-'难度参数'!$E$21)*'难度参数'!$E$22))*(36+4*7)/(36+7*(D71+1)/2)*E71,0))</x:f>
        <x:v>2292</x:v>
      </x:c>
      <x:c r="AL71" s="119" t="n">
        <x:f>IF(AJ71=0,0,(AJ71-IF(4=D71,1,0))*ROUND(AK71*VLOOKUP(INDEX('章节与怪物'!$E$31:$K$37,B71,4),'章节与怪物'!$A$41:$F$44,2,FALSE),0)+IF(4=D71,ROUND(AK71*'难度参数'!$E$28*'章节与怪物'!$E$17,0),0))</x:f>
        <x:v>61880</x:v>
      </x:c>
      <x:c r="AM71" s="119" t="n">
        <x:f>IF(AJ71=0,0,(AJ71-IF(4=D71,1,0))*VLOOKUP(INDEX('章节与怪物'!$E$31:$K$37,B71,4),'章节与怪物'!$A$41:$F$44,4,FALSE)+IF(4=D71,'难度参数'!$E$30,0))</x:f>
        <x:v>680</x:v>
      </x:c>
      <x:c r="AN71" s="119" t="n">
        <x:f>IF(5&gt;D71,0,MAX(2,MIN('难度参数'!$E$12,ROUND(('难度参数'!$E$18*POWER(A71,'难度参数'!$E$19)/D71*(0.85+0.3*(5-1)/MAX(1,D71-1))),0)+F71)))</x:f>
        <x:v>21</x:v>
      </x:c>
      <x:c r="AO71" s="119" t="n">
        <x:f>IF(5&gt;D71,0,ROUND(('难度参数'!$E$13*POWER(A71,'难度参数'!$E$20)*MIN('难度参数'!$E$23,1+MAX(0,A71-'难度参数'!$E$21)*'难度参数'!$E$22))*(36+5*7)/(36+7*(D71+1)/2)*E71,0))</x:f>
        <x:v>2543</x:v>
      </x:c>
      <x:c r="AP71" s="119" t="n">
        <x:f>IF(AN71=0,0,(AN71-IF(5=D71,1,0))*ROUND(AO71*VLOOKUP(INDEX('章节与怪物'!$E$31:$K$37,B71,5),'章节与怪物'!$A$41:$F$44,2,FALSE),0)+IF(5=D71,ROUND(AO71*'难度参数'!$E$28*'章节与怪物'!$E$17,0),0))</x:f>
        <x:v>53403</x:v>
      </x:c>
      <x:c r="AQ71" s="119" t="n">
        <x:f>IF(AN71=0,0,(AN71-IF(5=D71,1,0))*VLOOKUP(INDEX('章节与怪物'!$E$31:$K$37,B71,5),'章节与怪物'!$A$41:$F$44,4,FALSE)+IF(5=D71,'难度参数'!$E$30,0))</x:f>
        <x:v>378</x:v>
      </x:c>
      <x:c r="AR71" s="119" t="n">
        <x:f>IF(6&gt;D71,0,MAX(2,MIN('难度参数'!$E$12,ROUND(('难度参数'!$E$18*POWER(A71,'难度参数'!$E$19)/D71*(0.85+0.3*(6-1)/MAX(1,D71-1))),0)+F71)))</x:f>
        <x:v>22</x:v>
      </x:c>
      <x:c r="AS71" s="119" t="n">
        <x:f>IF(6&gt;D71,0,ROUND(('难度参数'!$E$13*POWER(A71,'难度参数'!$E$20)*MIN('难度参数'!$E$23,1+MAX(0,A71-'难度参数'!$E$21)*'难度参数'!$E$22))*(36+6*7)/(36+7*(D71+1)/2)*E71,0))</x:f>
        <x:v>2794</x:v>
      </x:c>
      <x:c r="AT71" s="119" t="n">
        <x:f>IF(AR71=0,0,(AR71-IF(6=D71,1,0))*ROUND(AS71*VLOOKUP(INDEX('章节与怪物'!$E$31:$K$37,B71,6),'章节与怪物'!$A$41:$F$44,2,FALSE),0)+IF(6=D71,ROUND(AS71*'难度参数'!$E$28*'章节与怪物'!$E$17,0),0))</x:f>
        <x:v>104500</x:v>
      </x:c>
      <x:c r="AU71" s="119" t="n">
        <x:f>IF(AR71=0,0,(AR71-IF(6=D71,1,0))*VLOOKUP(INDEX('章节与怪物'!$E$31:$K$37,B71,6),'章节与怪物'!$A$41:$F$44,4,FALSE)+IF(6=D71,'难度参数'!$E$30,0))</x:f>
        <x:v>616</x:v>
      </x:c>
      <x:c r="AV71" s="119" t="n">
        <x:f>IF(7&gt;D71,0,MAX(2,MIN('难度参数'!$E$12,ROUND(('难度参数'!$E$18*POWER(A71,'难度参数'!$E$19)/D71*(0.85+0.3*(7-1)/MAX(1,D71-1))),0)+F71)))</x:f>
        <x:v>23</x:v>
      </x:c>
      <x:c r="AW71" s="119" t="n">
        <x:f>IF(7&gt;D71,0,ROUND(('难度参数'!$E$13*POWER(A71,'难度参数'!$E$20)*MIN('难度参数'!$E$23,1+MAX(0,A71-'难度参数'!$E$21)*'难度参数'!$E$22))*(36+7*7)/(36+7*(D71+1)/2)*E71,0))</x:f>
        <x:v>3045</x:v>
      </x:c>
      <x:c r="AX71" s="119" t="n">
        <x:f>IF(AV71=0,0,(AV71-IF(7=D71,1,0))*ROUND(AW71*VLOOKUP(INDEX('章节与怪物'!$E$31:$K$37,B71,7),'章节与怪物'!$A$41:$F$44,2,FALSE),0)+IF(7=D71,ROUND(AW71*'难度参数'!$E$28*'章节与怪物'!$E$17,0),0))</x:f>
        <x:v>111148</x:v>
      </x:c>
      <x:c r="AY71" s="119" t="n">
        <x:f>IF(AV71=0,0,(AV71-IF(7=D71,1,0))*VLOOKUP(INDEX('章节与怪物'!$E$31:$K$37,B71,7),'章节与怪物'!$A$41:$F$44,4,FALSE)+IF(7=D71,'难度参数'!$E$30,0))</x:f>
        <x:v>948</x:v>
      </x:c>
    </x:row>
    <x:row r="72" ht="23" customHeight="1">
      <x:c r="A72" s="119" t="n">
        <x:v>66</x:v>
      </x:c>
      <x:c r="B72" s="119" t="n">
        <x:f>MOD(INT((A72-1)/5),7)+1</x:f>
        <x:v>7</x:v>
      </x:c>
      <x:c r="C72" s="62" t="str">
        <x:f>INDEX('章节与怪物'!$B$31:$B$37,B72)</x:f>
        <x:v>魔法山脊</x:v>
      </x:c>
      <x:c r="D72" s="119" t="n">
        <x:f>MIN('难度参数'!$E$8,MAX('难度参数'!$E$7,A72))</x:f>
        <x:v>7</x:v>
      </x:c>
      <x:c r="E72" s="106" t="n">
        <x:v>1</x:v>
      </x:c>
      <x:c r="F72" s="106" t="n">
        <x:v>0</x:v>
      </x:c>
      <x:c r="G72" s="106" t="n">
        <x:v>1</x:v>
      </x:c>
      <x:c r="H72" s="119" t="n">
        <x:f>SUM(X72,AB72,AF72,AJ72,AN72,AR72,AV72)</x:f>
        <x:v>140</x:v>
      </x:c>
      <x:c r="I72" s="119" t="n">
        <x:f>SUM(Z72,AD72,AH72,AL72,AP72,AT72,AX72)</x:f>
        <x:v>437203</x:v>
      </x:c>
      <x:c r="J72" s="119" t="n">
        <x:f>ROUND(INDEX(X72:AY72,1,(D72-1)*4+2)*'难度参数'!$E$28*'章节与怪物'!$E$17,0)</x:f>
        <x:v>20985</x:v>
      </x:c>
      <x:c r="K72" s="119" t="n">
        <x:f>SUM(AA72,AE72,AI72,AM72,AQ72,AU72,AY72)</x:f>
        <x:v>3862</x:v>
      </x:c>
      <x:c r="L72" s="62" t="n">
        <x:f>H72*(ROUNDUP('难度参数'!$E$24/('难度参数'!$E$26*'难度参数'!$E$27),0)*'难度参数'!$E$26)/60</x:f>
        <x:v>1.8666666666666667</x:v>
      </x:c>
      <x:c r="M72" s="62" t="n">
        <x:f>L72+D72*('难度参数'!$E$49+'难度参数'!$E$50)/60</x:f>
        <x:v>3.033333333333333</x:v>
      </x:c>
      <x:c r="N72" s="119" t="n">
        <x:f>ROUNDDOWN(('经济参数'!$E$20+A72*'经济参数'!$E$21)*G72,0)</x:f>
        <x:v>1500</x:v>
      </x:c>
      <x:c r="O72" s="119" t="n">
        <x:f>ROUNDDOWN(MIN('经济参数'!$E$24,'经济参数'!$E$22+A72*'经济参数'!$E$23)*G72,0)</x:f>
        <x:v>0</x:v>
      </x:c>
      <x:c r="P72" s="119" t="n">
        <x:f>ROUNDDOWN((IF(A72&gt;='材料与任务'!$E$31,'材料与任务'!$E$32,IF(A72&gt;='材料与任务'!$E$25,'材料与任务'!$E$26,IF(A72&gt;='材料与任务'!$E$19,'材料与任务'!$E$20,IF(A72&gt;='材料与任务'!$E$13,'材料与任务'!$E$14,'材料与任务'!$E$8)))))*G72,0)</x:f>
        <x:v>4</x:v>
      </x:c>
      <x:c r="Q72" s="119" t="n">
        <x:f>ROUNDDOWN((IF(A72&gt;='材料与任务'!$E$31,'材料与任务'!$E$33,IF(A72&gt;='材料与任务'!$E$25,'材料与任务'!$E$27,IF(A72&gt;='材料与任务'!$E$19,'材料与任务'!$E$21,IF(A72&gt;='材料与任务'!$E$13,'材料与任务'!$E$15,'材料与任务'!$E$9)))))*G72,0)</x:f>
        <x:v>2</x:v>
      </x:c>
      <x:c r="R72" s="110" t="n">
        <x:f>'装备掉落'!$B$38</x:f>
        <x:v>0.6872058758851213</x:v>
      </x:c>
      <x:c r="S72" s="119" t="n">
        <x:f>MAX(IF(VLOOKUP(A72,'装备掉落'!$A$29:$H$34,2,TRUE)&gt;0,1,0),IF(VLOOKUP(A72,'装备掉落'!$A$29:$H$34,3,TRUE)&gt;0,2,0),IF(VLOOKUP(A72,'装备掉落'!$A$29:$H$34,4,TRUE)&gt;0,3,0),IF(VLOOKUP(A72,'装备掉落'!$A$29:$H$34,5,TRUE)&gt;0,4,0),IF(VLOOKUP(A72,'装备掉落'!$A$29:$H$34,6,TRUE)&gt;0,5,0),IF(VLOOKUP(A72,'装备掉落'!$A$29:$H$34,7,TRUE)&gt;0,6,0),IF(VLOOKUP(A72,'装备掉落'!$A$29:$H$34,8,TRUE)&gt;0,7,0))</x:f>
        <x:v>6</x:v>
      </x:c>
      <x:c r="T72" s="119" t="n">
        <x:f>MIN(7,S72+'经济参数'!$E$70)</x:f>
        <x:v>6</x:v>
      </x:c>
      <x:c r="U72" s="119" t="n">
        <x:f>MIN(7,S72+'经济参数'!$E$71)</x:f>
        <x:v>7</x:v>
      </x:c>
      <x:c r="V72" s="119" t="n">
        <x:f>IF(H72&gt;=('难度参数'!$E$52),1,0)+IF(H72&gt;=('难度参数'!$E$52+'难度参数'!$E$53),1,0)+IF(H72&gt;=('难度参数'!$E$52+'难度参数'!$E$53+'难度参数'!$E$54),1,0)+IF(H72&gt;=('难度参数'!$E$52+'难度参数'!$E$53+'难度参数'!$E$54+'难度参数'!$E$55),1,0)+IF(H72&gt;=('难度参数'!$E$52+'难度参数'!$E$53+'难度参数'!$E$54+'难度参数'!$E$55+'难度参数'!$E$56),1,0)+IF(H72&gt;=('难度参数'!$E$52+'难度参数'!$E$53+'难度参数'!$E$54+'难度参数'!$E$55+'难度参数'!$E$56+'难度参数'!$E$57),1,0)</x:f>
        <x:v>6</x:v>
      </x:c>
      <x:c r="W72" s="62" t="str">
        <x:f>IF(L72&gt;'难度参数'!$E$51,"仅出怪已超目标","还需实测")</x:f>
        <x:v>还需实测</x:v>
      </x:c>
      <x:c r="X72" s="119" t="n">
        <x:f>IF(1&gt;D72,0,MAX(2,MIN('难度参数'!$E$12,ROUND(('难度参数'!$E$18*POWER(A72,'难度参数'!$E$19)/D72*(0.85+0.3*(1-1)/MAX(1,D72-1))),0)+F72)))</x:f>
        <x:v>17</x:v>
      </x:c>
      <x:c r="Y72" s="119" t="n">
        <x:f>IF(1&gt;D72,0,ROUND(('难度参数'!$E$13*POWER(A72,'难度参数'!$E$20)*MIN('难度参数'!$E$23,1+MAX(0,A72-'难度参数'!$E$21)*'难度参数'!$E$22))*(36+1*7)/(36+7*(D72+1)/2)*E72,0))</x:f>
        <x:v>1561</x:v>
      </x:c>
      <x:c r="Z72" s="119" t="n">
        <x:f>IF(X72=0,0,(X72-IF(1=D72,1,0))*ROUND(Y72*VLOOKUP(INDEX('章节与怪物'!$E$31:$K$37,B72,1),'章节与怪物'!$A$41:$F$44,2,FALSE),0)+IF(1=D72,ROUND(Y72*'难度参数'!$E$28*'章节与怪物'!$E$17,0),0))</x:f>
        <x:v>26537</x:v>
      </x:c>
      <x:c r="AA72" s="119" t="n">
        <x:f>IF(X72=0,0,(X72-IF(1=D72,1,0))*VLOOKUP(INDEX('章节与怪物'!$E$31:$K$37,B72,1),'章节与怪物'!$A$41:$F$44,4,FALSE)+IF(1=D72,'难度参数'!$E$30,0))</x:f>
        <x:v>306</x:v>
      </x:c>
      <x:c r="AB72" s="119" t="n">
        <x:f>IF(2&gt;D72,0,MAX(2,MIN('难度参数'!$E$12,ROUND(('难度参数'!$E$18*POWER(A72,'难度参数'!$E$19)/D72*(0.85+0.3*(2-1)/MAX(1,D72-1))),0)+F72)))</x:f>
        <x:v>18</x:v>
      </x:c>
      <x:c r="AC72" s="119" t="n">
        <x:f>IF(2&gt;D72,0,ROUND(('难度参数'!$E$13*POWER(A72,'难度参数'!$E$20)*MIN('难度参数'!$E$23,1+MAX(0,A72-'难度参数'!$E$21)*'难度参数'!$E$22))*(36+2*7)/(36+7*(D72+1)/2)*E72,0))</x:f>
        <x:v>1816</x:v>
      </x:c>
      <x:c r="AD72" s="119" t="n">
        <x:f>IF(AB72=0,0,(AB72-IF(2=D72,1,0))*ROUND(AC72*VLOOKUP(INDEX('章节与怪物'!$E$31:$K$37,B72,2),'章节与怪物'!$A$41:$F$44,2,FALSE),0)+IF(2=D72,ROUND(AC72*'难度参数'!$E$28*'章节与怪物'!$E$17,0),0))</x:f>
        <x:v>23544</x:v>
      </x:c>
      <x:c r="AE72" s="119" t="n">
        <x:f>IF(AB72=0,0,(AB72-IF(2=D72,1,0))*VLOOKUP(INDEX('章节与怪物'!$E$31:$K$37,B72,2),'章节与怪物'!$A$41:$F$44,4,FALSE)+IF(2=D72,'难度参数'!$E$30,0))</x:f>
        <x:v>360</x:v>
      </x:c>
      <x:c r="AF72" s="119" t="n">
        <x:f>IF(3&gt;D72,0,MAX(2,MIN('难度参数'!$E$12,ROUND(('难度参数'!$E$18*POWER(A72,'难度参数'!$E$19)/D72*(0.85+0.3*(3-1)/MAX(1,D72-1))),0)+F72)))</x:f>
        <x:v>19</x:v>
      </x:c>
      <x:c r="AG72" s="119" t="n">
        <x:f>IF(3&gt;D72,0,ROUND(('难度参数'!$E$13*POWER(A72,'难度参数'!$E$20)*MIN('难度参数'!$E$23,1+MAX(0,A72-'难度参数'!$E$21)*'难度参数'!$E$22))*(36+3*7)/(36+7*(D72+1)/2)*E72,0))</x:f>
        <x:v>2070</x:v>
      </x:c>
      <x:c r="AH72" s="119" t="n">
        <x:f>IF(AF72=0,0,(AF72-IF(3=D72,1,0))*ROUND(AG72*VLOOKUP(INDEX('章节与怪物'!$E$31:$K$37,B72,3),'章节与怪物'!$A$41:$F$44,2,FALSE),0)+IF(3=D72,ROUND(AG72*'难度参数'!$E$28*'章节与怪物'!$E$17,0),0))</x:f>
        <x:v>66861</x:v>
      </x:c>
      <x:c r="AI72" s="119" t="n">
        <x:f>IF(AF72=0,0,(AF72-IF(3=D72,1,0))*VLOOKUP(INDEX('章节与怪物'!$E$31:$K$37,B72,3),'章节与怪物'!$A$41:$F$44,4,FALSE)+IF(3=D72,'难度参数'!$E$30,0))</x:f>
        <x:v>532</x:v>
      </x:c>
      <x:c r="AJ72" s="119" t="n">
        <x:f>IF(4&gt;D72,0,MAX(2,MIN('难度参数'!$E$12,ROUND(('难度参数'!$E$18*POWER(A72,'难度参数'!$E$19)/D72*(0.85+0.3*(4-1)/MAX(1,D72-1))),0)+F72)))</x:f>
        <x:v>20</x:v>
      </x:c>
      <x:c r="AK72" s="119" t="n">
        <x:f>IF(4&gt;D72,0,ROUND(('难度参数'!$E$13*POWER(A72,'难度参数'!$E$20)*MIN('难度参数'!$E$23,1+MAX(0,A72-'难度参数'!$E$21)*'难度参数'!$E$22))*(36+4*7)/(36+7*(D72+1)/2)*E72,0))</x:f>
        <x:v>2324</x:v>
      </x:c>
      <x:c r="AL72" s="119" t="n">
        <x:f>IF(AJ72=0,0,(AJ72-IF(4=D72,1,0))*ROUND(AK72*VLOOKUP(INDEX('章节与怪物'!$E$31:$K$37,B72,4),'章节与怪物'!$A$41:$F$44,2,FALSE),0)+IF(4=D72,ROUND(AK72*'难度参数'!$E$28*'章节与怪物'!$E$17,0),0))</x:f>
        <x:v>62740</x:v>
      </x:c>
      <x:c r="AM72" s="119" t="n">
        <x:f>IF(AJ72=0,0,(AJ72-IF(4=D72,1,0))*VLOOKUP(INDEX('章节与怪物'!$E$31:$K$37,B72,4),'章节与怪物'!$A$41:$F$44,4,FALSE)+IF(4=D72,'难度参数'!$E$30,0))</x:f>
        <x:v>680</x:v>
      </x:c>
      <x:c r="AN72" s="119" t="n">
        <x:f>IF(5&gt;D72,0,MAX(2,MIN('难度参数'!$E$12,ROUND(('难度参数'!$E$18*POWER(A72,'难度参数'!$E$19)/D72*(0.85+0.3*(5-1)/MAX(1,D72-1))),0)+F72)))</x:f>
        <x:v>21</x:v>
      </x:c>
      <x:c r="AO72" s="119" t="n">
        <x:f>IF(5&gt;D72,0,ROUND(('难度参数'!$E$13*POWER(A72,'难度参数'!$E$20)*MIN('难度参数'!$E$23,1+MAX(0,A72-'难度参数'!$E$21)*'难度参数'!$E$22))*(36+5*7)/(36+7*(D72+1)/2)*E72,0))</x:f>
        <x:v>2578</x:v>
      </x:c>
      <x:c r="AP72" s="119" t="n">
        <x:f>IF(AN72=0,0,(AN72-IF(5=D72,1,0))*ROUND(AO72*VLOOKUP(INDEX('章节与怪物'!$E$31:$K$37,B72,5),'章节与怪物'!$A$41:$F$44,2,FALSE),0)+IF(5=D72,ROUND(AO72*'难度参数'!$E$28*'章节与怪物'!$E$17,0),0))</x:f>
        <x:v>38976</x:v>
      </x:c>
      <x:c r="AQ72" s="119" t="n">
        <x:f>IF(AN72=0,0,(AN72-IF(5=D72,1,0))*VLOOKUP(INDEX('章节与怪物'!$E$31:$K$37,B72,5),'章节与怪物'!$A$41:$F$44,4,FALSE)+IF(5=D72,'难度参数'!$E$30,0))</x:f>
        <x:v>420</x:v>
      </x:c>
      <x:c r="AR72" s="119" t="n">
        <x:f>IF(6&gt;D72,0,MAX(2,MIN('难度参数'!$E$12,ROUND(('难度参数'!$E$18*POWER(A72,'难度参数'!$E$19)/D72*(0.85+0.3*(6-1)/MAX(1,D72-1))),0)+F72)))</x:f>
        <x:v>22</x:v>
      </x:c>
      <x:c r="AS72" s="119" t="n">
        <x:f>IF(6&gt;D72,0,ROUND(('难度参数'!$E$13*POWER(A72,'难度参数'!$E$20)*MIN('难度参数'!$E$23,1+MAX(0,A72-'难度参数'!$E$21)*'难度参数'!$E$22))*(36+6*7)/(36+7*(D72+1)/2)*E72,0))</x:f>
        <x:v>2832</x:v>
      </x:c>
      <x:c r="AT72" s="119" t="n">
        <x:f>IF(AR72=0,0,(AR72-IF(6=D72,1,0))*ROUND(AS72*VLOOKUP(INDEX('章节与怪物'!$E$31:$K$37,B72,6),'章节与怪物'!$A$41:$F$44,2,FALSE),0)+IF(6=D72,ROUND(AS72*'难度参数'!$E$28*'章节与怪物'!$E$17,0),0))</x:f>
        <x:v>105908</x:v>
      </x:c>
      <x:c r="AU72" s="119" t="n">
        <x:f>IF(AR72=0,0,(AR72-IF(6=D72,1,0))*VLOOKUP(INDEX('章节与怪物'!$E$31:$K$37,B72,6),'章节与怪物'!$A$41:$F$44,4,FALSE)+IF(6=D72,'难度参数'!$E$30,0))</x:f>
        <x:v>616</x:v>
      </x:c>
      <x:c r="AV72" s="119" t="n">
        <x:f>IF(7&gt;D72,0,MAX(2,MIN('难度参数'!$E$12,ROUND(('难度参数'!$E$18*POWER(A72,'难度参数'!$E$19)/D72*(0.85+0.3*(7-1)/MAX(1,D72-1))),0)+F72)))</x:f>
        <x:v>23</x:v>
      </x:c>
      <x:c r="AW72" s="119" t="n">
        <x:f>IF(7&gt;D72,0,ROUND(('难度参数'!$E$13*POWER(A72,'难度参数'!$E$20)*MIN('难度参数'!$E$23,1+MAX(0,A72-'难度参数'!$E$21)*'难度参数'!$E$22))*(36+7*7)/(36+7*(D72+1)/2)*E72,0))</x:f>
        <x:v>3086</x:v>
      </x:c>
      <x:c r="AX72" s="119" t="n">
        <x:f>IF(AV72=0,0,(AV72-IF(7=D72,1,0))*ROUND(AW72*VLOOKUP(INDEX('章节与怪物'!$E$31:$K$37,B72,7),'章节与怪物'!$A$41:$F$44,2,FALSE),0)+IF(7=D72,ROUND(AW72*'难度参数'!$E$28*'章节与怪物'!$E$17,0),0))</x:f>
        <x:v>112637</x:v>
      </x:c>
      <x:c r="AY72" s="119" t="n">
        <x:f>IF(AV72=0,0,(AV72-IF(7=D72,1,0))*VLOOKUP(INDEX('章节与怪物'!$E$31:$K$37,B72,7),'章节与怪物'!$A$41:$F$44,4,FALSE)+IF(7=D72,'难度参数'!$E$30,0))</x:f>
        <x:v>948</x:v>
      </x:c>
    </x:row>
    <x:row r="73" ht="23" customHeight="1">
      <x:c r="A73" s="119" t="n">
        <x:v>67</x:v>
      </x:c>
      <x:c r="B73" s="119" t="n">
        <x:f>MOD(INT((A73-1)/5),7)+1</x:f>
        <x:v>7</x:v>
      </x:c>
      <x:c r="C73" s="62" t="str">
        <x:f>INDEX('章节与怪物'!$B$31:$B$37,B73)</x:f>
        <x:v>魔法山脊</x:v>
      </x:c>
      <x:c r="D73" s="119" t="n">
        <x:f>MIN('难度参数'!$E$8,MAX('难度参数'!$E$7,A73))</x:f>
        <x:v>7</x:v>
      </x:c>
      <x:c r="E73" s="106" t="n">
        <x:v>1</x:v>
      </x:c>
      <x:c r="F73" s="106" t="n">
        <x:v>0</x:v>
      </x:c>
      <x:c r="G73" s="106" t="n">
        <x:v>1</x:v>
      </x:c>
      <x:c r="H73" s="119" t="n">
        <x:f>SUM(X73,AB73,AF73,AJ73,AN73,AR73,AV73)</x:f>
        <x:v>145</x:v>
      </x:c>
      <x:c r="I73" s="119" t="n">
        <x:f>SUM(Z73,AD73,AH73,AL73,AP73,AT73,AX73)</x:f>
        <x:v>460904</x:v>
      </x:c>
      <x:c r="J73" s="119" t="n">
        <x:f>ROUND(INDEX(X73:AY73,1,(D73-1)*4+2)*'难度参数'!$E$28*'章节与怪物'!$E$17,0)</x:f>
        <x:v>21270</x:v>
      </x:c>
      <x:c r="K73" s="119" t="n">
        <x:f>SUM(AA73,AE73,AI73,AM73,AQ73,AU73,AY73)</x:f>
        <x:v>4006</x:v>
      </x:c>
      <x:c r="L73" s="62" t="n">
        <x:f>H73*(ROUNDUP('难度参数'!$E$24/('难度参数'!$E$26*'难度参数'!$E$27),0)*'难度参数'!$E$26)/60</x:f>
        <x:v>1.9333333333333333</x:v>
      </x:c>
      <x:c r="M73" s="62" t="n">
        <x:f>L73+D73*('难度参数'!$E$49+'难度参数'!$E$50)/60</x:f>
        <x:v>3.1</x:v>
      </x:c>
      <x:c r="N73" s="119" t="n">
        <x:f>ROUNDDOWN(('经济参数'!$E$20+A73*'经济参数'!$E$21)*G73,0)</x:f>
        <x:v>1520</x:v>
      </x:c>
      <x:c r="O73" s="119" t="n">
        <x:f>ROUNDDOWN(MIN('经济参数'!$E$24,'经济参数'!$E$22+A73*'经济参数'!$E$23)*G73,0)</x:f>
        <x:v>0</x:v>
      </x:c>
      <x:c r="P73" s="119" t="n">
        <x:f>ROUNDDOWN((IF(A73&gt;='材料与任务'!$E$31,'材料与任务'!$E$32,IF(A73&gt;='材料与任务'!$E$25,'材料与任务'!$E$26,IF(A73&gt;='材料与任务'!$E$19,'材料与任务'!$E$20,IF(A73&gt;='材料与任务'!$E$13,'材料与任务'!$E$14,'材料与任务'!$E$8)))))*G73,0)</x:f>
        <x:v>4</x:v>
      </x:c>
      <x:c r="Q73" s="119" t="n">
        <x:f>ROUNDDOWN((IF(A73&gt;='材料与任务'!$E$31,'材料与任务'!$E$33,IF(A73&gt;='材料与任务'!$E$25,'材料与任务'!$E$27,IF(A73&gt;='材料与任务'!$E$19,'材料与任务'!$E$21,IF(A73&gt;='材料与任务'!$E$13,'材料与任务'!$E$15,'材料与任务'!$E$9)))))*G73,0)</x:f>
        <x:v>2</x:v>
      </x:c>
      <x:c r="R73" s="110" t="n">
        <x:f>'装备掉落'!$B$38</x:f>
        <x:v>0.6872058758851213</x:v>
      </x:c>
      <x:c r="S73" s="119" t="n">
        <x:f>MAX(IF(VLOOKUP(A73,'装备掉落'!$A$29:$H$34,2,TRUE)&gt;0,1,0),IF(VLOOKUP(A73,'装备掉落'!$A$29:$H$34,3,TRUE)&gt;0,2,0),IF(VLOOKUP(A73,'装备掉落'!$A$29:$H$34,4,TRUE)&gt;0,3,0),IF(VLOOKUP(A73,'装备掉落'!$A$29:$H$34,5,TRUE)&gt;0,4,0),IF(VLOOKUP(A73,'装备掉落'!$A$29:$H$34,6,TRUE)&gt;0,5,0),IF(VLOOKUP(A73,'装备掉落'!$A$29:$H$34,7,TRUE)&gt;0,6,0),IF(VLOOKUP(A73,'装备掉落'!$A$29:$H$34,8,TRUE)&gt;0,7,0))</x:f>
        <x:v>6</x:v>
      </x:c>
      <x:c r="T73" s="119" t="n">
        <x:f>MIN(7,S73+'经济参数'!$E$70)</x:f>
        <x:v>6</x:v>
      </x:c>
      <x:c r="U73" s="119" t="n">
        <x:f>MIN(7,S73+'经济参数'!$E$71)</x:f>
        <x:v>7</x:v>
      </x:c>
      <x:c r="V73" s="119" t="n">
        <x:f>IF(H73&gt;=('难度参数'!$E$52),1,0)+IF(H73&gt;=('难度参数'!$E$52+'难度参数'!$E$53),1,0)+IF(H73&gt;=('难度参数'!$E$52+'难度参数'!$E$53+'难度参数'!$E$54),1,0)+IF(H73&gt;=('难度参数'!$E$52+'难度参数'!$E$53+'难度参数'!$E$54+'难度参数'!$E$55),1,0)+IF(H73&gt;=('难度参数'!$E$52+'难度参数'!$E$53+'难度参数'!$E$54+'难度参数'!$E$55+'难度参数'!$E$56),1,0)+IF(H73&gt;=('难度参数'!$E$52+'难度参数'!$E$53+'难度参数'!$E$54+'难度参数'!$E$55+'难度参数'!$E$56+'难度参数'!$E$57),1,0)</x:f>
        <x:v>6</x:v>
      </x:c>
      <x:c r="W73" s="62" t="str">
        <x:f>IF(L73&gt;'难度参数'!$E$51,"仅出怪已超目标","还需实测")</x:f>
        <x:v>还需实测</x:v>
      </x:c>
      <x:c r="X73" s="119" t="n">
        <x:f>IF(1&gt;D73,0,MAX(2,MIN('难度参数'!$E$12,ROUND(('难度参数'!$E$18*POWER(A73,'难度参数'!$E$19)/D73*(0.85+0.3*(1-1)/MAX(1,D73-1))),0)+F73)))</x:f>
        <x:v>17</x:v>
      </x:c>
      <x:c r="Y73" s="119" t="n">
        <x:f>IF(1&gt;D73,0,ROUND(('难度参数'!$E$13*POWER(A73,'难度参数'!$E$20)*MIN('难度参数'!$E$23,1+MAX(0,A73-'难度参数'!$E$21)*'难度参数'!$E$22))*(36+1*7)/(36+7*(D73+1)/2)*E73,0))</x:f>
        <x:v>1583</x:v>
      </x:c>
      <x:c r="Z73" s="119" t="n">
        <x:f>IF(X73=0,0,(X73-IF(1=D73,1,0))*ROUND(Y73*VLOOKUP(INDEX('章节与怪物'!$E$31:$K$37,B73,1),'章节与怪物'!$A$41:$F$44,2,FALSE),0)+IF(1=D73,ROUND(Y73*'难度参数'!$E$28*'章节与怪物'!$E$17,0),0))</x:f>
        <x:v>26911</x:v>
      </x:c>
      <x:c r="AA73" s="119" t="n">
        <x:f>IF(X73=0,0,(X73-IF(1=D73,1,0))*VLOOKUP(INDEX('章节与怪物'!$E$31:$K$37,B73,1),'章节与怪物'!$A$41:$F$44,4,FALSE)+IF(1=D73,'难度参数'!$E$30,0))</x:f>
        <x:v>306</x:v>
      </x:c>
      <x:c r="AB73" s="119" t="n">
        <x:f>IF(2&gt;D73,0,MAX(2,MIN('难度参数'!$E$12,ROUND(('难度参数'!$E$18*POWER(A73,'难度参数'!$E$19)/D73*(0.85+0.3*(2-1)/MAX(1,D73-1))),0)+F73)))</x:f>
        <x:v>18</x:v>
      </x:c>
      <x:c r="AC73" s="119" t="n">
        <x:f>IF(2&gt;D73,0,ROUND(('难度参数'!$E$13*POWER(A73,'难度参数'!$E$20)*MIN('难度参数'!$E$23,1+MAX(0,A73-'难度参数'!$E$21)*'难度参数'!$E$22))*(36+2*7)/(36+7*(D73+1)/2)*E73,0))</x:f>
        <x:v>1840</x:v>
      </x:c>
      <x:c r="AD73" s="119" t="n">
        <x:f>IF(AB73=0,0,(AB73-IF(2=D73,1,0))*ROUND(AC73*VLOOKUP(INDEX('章节与怪物'!$E$31:$K$37,B73,2),'章节与怪物'!$A$41:$F$44,2,FALSE),0)+IF(2=D73,ROUND(AC73*'难度参数'!$E$28*'章节与怪物'!$E$17,0),0))</x:f>
        <x:v>23850</x:v>
      </x:c>
      <x:c r="AE73" s="119" t="n">
        <x:f>IF(AB73=0,0,(AB73-IF(2=D73,1,0))*VLOOKUP(INDEX('章节与怪物'!$E$31:$K$37,B73,2),'章节与怪物'!$A$41:$F$44,4,FALSE)+IF(2=D73,'难度参数'!$E$30,0))</x:f>
        <x:v>360</x:v>
      </x:c>
      <x:c r="AF73" s="119" t="n">
        <x:f>IF(3&gt;D73,0,MAX(2,MIN('难度参数'!$E$12,ROUND(('难度参数'!$E$18*POWER(A73,'难度参数'!$E$19)/D73*(0.85+0.3*(3-1)/MAX(1,D73-1))),0)+F73)))</x:f>
        <x:v>20</x:v>
      </x:c>
      <x:c r="AG73" s="119" t="n">
        <x:f>IF(3&gt;D73,0,ROUND(('难度参数'!$E$13*POWER(A73,'难度参数'!$E$20)*MIN('难度参数'!$E$23,1+MAX(0,A73-'难度参数'!$E$21)*'难度参数'!$E$22))*(36+3*7)/(36+7*(D73+1)/2)*E73,0))</x:f>
        <x:v>2098</x:v>
      </x:c>
      <x:c r="AH73" s="119" t="n">
        <x:f>IF(AF73=0,0,(AF73-IF(3=D73,1,0))*ROUND(AG73*VLOOKUP(INDEX('章节与怪物'!$E$31:$K$37,B73,3),'章节与怪物'!$A$41:$F$44,2,FALSE),0)+IF(3=D73,ROUND(AG73*'难度参数'!$E$28*'章节与怪物'!$E$17,0),0))</x:f>
        <x:v>71340</x:v>
      </x:c>
      <x:c r="AI73" s="119" t="n">
        <x:f>IF(AF73=0,0,(AF73-IF(3=D73,1,0))*VLOOKUP(INDEX('章节与怪物'!$E$31:$K$37,B73,3),'章节与怪物'!$A$41:$F$44,4,FALSE)+IF(3=D73,'难度参数'!$E$30,0))</x:f>
        <x:v>560</x:v>
      </x:c>
      <x:c r="AJ73" s="119" t="n">
        <x:f>IF(4&gt;D73,0,MAX(2,MIN('难度参数'!$E$12,ROUND(('难度参数'!$E$18*POWER(A73,'难度参数'!$E$19)/D73*(0.85+0.3*(4-1)/MAX(1,D73-1))),0)+F73)))</x:f>
        <x:v>21</x:v>
      </x:c>
      <x:c r="AK73" s="119" t="n">
        <x:f>IF(4&gt;D73,0,ROUND(('难度参数'!$E$13*POWER(A73,'难度参数'!$E$20)*MIN('难度参数'!$E$23,1+MAX(0,A73-'难度参数'!$E$21)*'难度参数'!$E$22))*(36+4*7)/(36+7*(D73+1)/2)*E73,0))</x:f>
        <x:v>2355</x:v>
      </x:c>
      <x:c r="AL73" s="119" t="n">
        <x:f>IF(AJ73=0,0,(AJ73-IF(4=D73,1,0))*ROUND(AK73*VLOOKUP(INDEX('章节与怪物'!$E$31:$K$37,B73,4),'章节与怪物'!$A$41:$F$44,2,FALSE),0)+IF(4=D73,ROUND(AK73*'难度参数'!$E$28*'章节与怪物'!$E$17,0),0))</x:f>
        <x:v>66759</x:v>
      </x:c>
      <x:c r="AM73" s="119" t="n">
        <x:f>IF(AJ73=0,0,(AJ73-IF(4=D73,1,0))*VLOOKUP(INDEX('章节与怪物'!$E$31:$K$37,B73,4),'章节与怪物'!$A$41:$F$44,4,FALSE)+IF(4=D73,'难度参数'!$E$30,0))</x:f>
        <x:v>714</x:v>
      </x:c>
      <x:c r="AN73" s="119" t="n">
        <x:f>IF(5&gt;D73,0,MAX(2,MIN('难度参数'!$E$12,ROUND(('难度参数'!$E$18*POWER(A73,'难度参数'!$E$19)/D73*(0.85+0.3*(5-1)/MAX(1,D73-1))),0)+F73)))</x:f>
        <x:v>22</x:v>
      </x:c>
      <x:c r="AO73" s="119" t="n">
        <x:f>IF(5&gt;D73,0,ROUND(('难度参数'!$E$13*POWER(A73,'难度参数'!$E$20)*MIN('难度参数'!$E$23,1+MAX(0,A73-'难度参数'!$E$21)*'难度参数'!$E$22))*(36+5*7)/(36+7*(D73+1)/2)*E73,0))</x:f>
        <x:v>2613</x:v>
      </x:c>
      <x:c r="AP73" s="119" t="n">
        <x:f>IF(AN73=0,0,(AN73-IF(5=D73,1,0))*ROUND(AO73*VLOOKUP(INDEX('章节与怪物'!$E$31:$K$37,B73,5),'章节与怪物'!$A$41:$F$44,2,FALSE),0)+IF(5=D73,ROUND(AO73*'难度参数'!$E$28*'章节与怪物'!$E$17,0),0))</x:f>
        <x:v>41382</x:v>
      </x:c>
      <x:c r="AQ73" s="119" t="n">
        <x:f>IF(AN73=0,0,(AN73-IF(5=D73,1,0))*VLOOKUP(INDEX('章节与怪物'!$E$31:$K$37,B73,5),'章节与怪物'!$A$41:$F$44,4,FALSE)+IF(5=D73,'难度参数'!$E$30,0))</x:f>
        <x:v>440</x:v>
      </x:c>
      <x:c r="AR73" s="119" t="n">
        <x:f>IF(6&gt;D73,0,MAX(2,MIN('难度参数'!$E$12,ROUND(('难度参数'!$E$18*POWER(A73,'难度参数'!$E$19)/D73*(0.85+0.3*(6-1)/MAX(1,D73-1))),0)+F73)))</x:f>
        <x:v>23</x:v>
      </x:c>
      <x:c r="AS73" s="119" t="n">
        <x:f>IF(6&gt;D73,0,ROUND(('难度参数'!$E$13*POWER(A73,'难度参数'!$E$20)*MIN('难度参数'!$E$23,1+MAX(0,A73-'难度参数'!$E$21)*'难度参数'!$E$22))*(36+6*7)/(36+7*(D73+1)/2)*E73,0))</x:f>
        <x:v>2871</x:v>
      </x:c>
      <x:c r="AT73" s="119" t="n">
        <x:f>IF(AR73=0,0,(AR73-IF(6=D73,1,0))*ROUND(AS73*VLOOKUP(INDEX('章节与怪物'!$E$31:$K$37,B73,6),'章节与怪物'!$A$41:$F$44,2,FALSE),0)+IF(6=D73,ROUND(AS73*'难度参数'!$E$28*'章节与怪物'!$E$17,0),0))</x:f>
        <x:v>112263</x:v>
      </x:c>
      <x:c r="AU73" s="119" t="n">
        <x:f>IF(AR73=0,0,(AR73-IF(6=D73,1,0))*VLOOKUP(INDEX('章节与怪物'!$E$31:$K$37,B73,6),'章节与怪物'!$A$41:$F$44,4,FALSE)+IF(6=D73,'难度参数'!$E$30,0))</x:f>
        <x:v>644</x:v>
      </x:c>
      <x:c r="AV73" s="119" t="n">
        <x:f>IF(7&gt;D73,0,MAX(2,MIN('难度参数'!$E$12,ROUND(('难度参数'!$E$18*POWER(A73,'难度参数'!$E$19)/D73*(0.85+0.3*(7-1)/MAX(1,D73-1))),0)+F73)))</x:f>
        <x:v>24</x:v>
      </x:c>
      <x:c r="AW73" s="119" t="n">
        <x:f>IF(7&gt;D73,0,ROUND(('难度参数'!$E$13*POWER(A73,'难度参数'!$E$20)*MIN('难度参数'!$E$23,1+MAX(0,A73-'难度参数'!$E$21)*'难度参数'!$E$22))*(36+7*7)/(36+7*(D73+1)/2)*E73,0))</x:f>
        <x:v>3128</x:v>
      </x:c>
      <x:c r="AX73" s="119" t="n">
        <x:f>IF(AV73=0,0,(AV73-IF(7=D73,1,0))*ROUND(AW73*VLOOKUP(INDEX('章节与怪物'!$E$31:$K$37,B73,7),'章节与怪物'!$A$41:$F$44,2,FALSE),0)+IF(7=D73,ROUND(AW73*'难度参数'!$E$28*'章节与怪物'!$E$17,0),0))</x:f>
        <x:v>118399</x:v>
      </x:c>
      <x:c r="AY73" s="119" t="n">
        <x:f>IF(AV73=0,0,(AV73-IF(7=D73,1,0))*VLOOKUP(INDEX('章节与怪物'!$E$31:$K$37,B73,7),'章节与怪物'!$A$41:$F$44,4,FALSE)+IF(7=D73,'难度参数'!$E$30,0))</x:f>
        <x:v>982</x:v>
      </x:c>
    </x:row>
    <x:row r="74" ht="23" customHeight="1">
      <x:c r="A74" s="119" t="n">
        <x:v>68</x:v>
      </x:c>
      <x:c r="B74" s="119" t="n">
        <x:f>MOD(INT((A74-1)/5),7)+1</x:f>
        <x:v>7</x:v>
      </x:c>
      <x:c r="C74" s="62" t="str">
        <x:f>INDEX('章节与怪物'!$B$31:$B$37,B74)</x:f>
        <x:v>魔法山脊</x:v>
      </x:c>
      <x:c r="D74" s="119" t="n">
        <x:f>MIN('难度参数'!$E$8,MAX('难度参数'!$E$7,A74))</x:f>
        <x:v>7</x:v>
      </x:c>
      <x:c r="E74" s="106" t="n">
        <x:v>1</x:v>
      </x:c>
      <x:c r="F74" s="106" t="n">
        <x:v>0</x:v>
      </x:c>
      <x:c r="G74" s="106" t="n">
        <x:v>1</x:v>
      </x:c>
      <x:c r="H74" s="119" t="n">
        <x:f>SUM(X74,AB74,AF74,AJ74,AN74,AR74,AV74)</x:f>
        <x:v>147</x:v>
      </x:c>
      <x:c r="I74" s="119" t="n">
        <x:f>SUM(Z74,AD74,AH74,AL74,AP74,AT74,AX74)</x:f>
        <x:v>470016</x:v>
      </x:c>
      <x:c r="J74" s="119" t="n">
        <x:f>ROUND(INDEX(X74:AY74,1,(D74-1)*4+2)*'难度参数'!$E$28*'章节与怪物'!$E$17,0)</x:f>
        <x:v>21556</x:v>
      </x:c>
      <x:c r="K74" s="119" t="n">
        <x:f>SUM(AA74,AE74,AI74,AM74,AQ74,AU74,AY74)</x:f>
        <x:v>4044</x:v>
      </x:c>
      <x:c r="L74" s="62" t="n">
        <x:f>H74*(ROUNDUP('难度参数'!$E$24/('难度参数'!$E$26*'难度参数'!$E$27),0)*'难度参数'!$E$26)/60</x:f>
        <x:v>1.9600000000000002</x:v>
      </x:c>
      <x:c r="M74" s="62" t="n">
        <x:f>L74+D74*('难度参数'!$E$49+'难度参数'!$E$50)/60</x:f>
        <x:v>3.126666666666667</x:v>
      </x:c>
      <x:c r="N74" s="119" t="n">
        <x:f>ROUNDDOWN(('经济参数'!$E$20+A74*'经济参数'!$E$21)*G74,0)</x:f>
        <x:v>1540</x:v>
      </x:c>
      <x:c r="O74" s="119" t="n">
        <x:f>ROUNDDOWN(MIN('经济参数'!$E$24,'经济参数'!$E$22+A74*'经济参数'!$E$23)*G74,0)</x:f>
        <x:v>0</x:v>
      </x:c>
      <x:c r="P74" s="119" t="n">
        <x:f>ROUNDDOWN((IF(A74&gt;='材料与任务'!$E$31,'材料与任务'!$E$32,IF(A74&gt;='材料与任务'!$E$25,'材料与任务'!$E$26,IF(A74&gt;='材料与任务'!$E$19,'材料与任务'!$E$20,IF(A74&gt;='材料与任务'!$E$13,'材料与任务'!$E$14,'材料与任务'!$E$8)))))*G74,0)</x:f>
        <x:v>4</x:v>
      </x:c>
      <x:c r="Q74" s="119" t="n">
        <x:f>ROUNDDOWN((IF(A74&gt;='材料与任务'!$E$31,'材料与任务'!$E$33,IF(A74&gt;='材料与任务'!$E$25,'材料与任务'!$E$27,IF(A74&gt;='材料与任务'!$E$19,'材料与任务'!$E$21,IF(A74&gt;='材料与任务'!$E$13,'材料与任务'!$E$15,'材料与任务'!$E$9)))))*G74,0)</x:f>
        <x:v>2</x:v>
      </x:c>
      <x:c r="R74" s="110" t="n">
        <x:f>'装备掉落'!$B$38</x:f>
        <x:v>0.6872058758851213</x:v>
      </x:c>
      <x:c r="S74" s="119" t="n">
        <x:f>MAX(IF(VLOOKUP(A74,'装备掉落'!$A$29:$H$34,2,TRUE)&gt;0,1,0),IF(VLOOKUP(A74,'装备掉落'!$A$29:$H$34,3,TRUE)&gt;0,2,0),IF(VLOOKUP(A74,'装备掉落'!$A$29:$H$34,4,TRUE)&gt;0,3,0),IF(VLOOKUP(A74,'装备掉落'!$A$29:$H$34,5,TRUE)&gt;0,4,0),IF(VLOOKUP(A74,'装备掉落'!$A$29:$H$34,6,TRUE)&gt;0,5,0),IF(VLOOKUP(A74,'装备掉落'!$A$29:$H$34,7,TRUE)&gt;0,6,0),IF(VLOOKUP(A74,'装备掉落'!$A$29:$H$34,8,TRUE)&gt;0,7,0))</x:f>
        <x:v>6</x:v>
      </x:c>
      <x:c r="T74" s="119" t="n">
        <x:f>MIN(7,S74+'经济参数'!$E$70)</x:f>
        <x:v>6</x:v>
      </x:c>
      <x:c r="U74" s="119" t="n">
        <x:f>MIN(7,S74+'经济参数'!$E$71)</x:f>
        <x:v>7</x:v>
      </x:c>
      <x:c r="V74" s="119" t="n">
        <x:f>IF(H74&gt;=('难度参数'!$E$52),1,0)+IF(H74&gt;=('难度参数'!$E$52+'难度参数'!$E$53),1,0)+IF(H74&gt;=('难度参数'!$E$52+'难度参数'!$E$53+'难度参数'!$E$54),1,0)+IF(H74&gt;=('难度参数'!$E$52+'难度参数'!$E$53+'难度参数'!$E$54+'难度参数'!$E$55),1,0)+IF(H74&gt;=('难度参数'!$E$52+'难度参数'!$E$53+'难度参数'!$E$54+'难度参数'!$E$55+'难度参数'!$E$56),1,0)+IF(H74&gt;=('难度参数'!$E$52+'难度参数'!$E$53+'难度参数'!$E$54+'难度参数'!$E$55+'难度参数'!$E$56+'难度参数'!$E$57),1,0)</x:f>
        <x:v>6</x:v>
      </x:c>
      <x:c r="W74" s="62" t="str">
        <x:f>IF(L74&gt;'难度参数'!$E$51,"仅出怪已超目标","还需实测")</x:f>
        <x:v>还需实测</x:v>
      </x:c>
      <x:c r="X74" s="119" t="n">
        <x:f>IF(1&gt;D74,0,MAX(2,MIN('难度参数'!$E$12,ROUND(('难度参数'!$E$18*POWER(A74,'难度参数'!$E$19)/D74*(0.85+0.3*(1-1)/MAX(1,D74-1))),0)+F74)))</x:f>
        <x:v>18</x:v>
      </x:c>
      <x:c r="Y74" s="119" t="n">
        <x:f>IF(1&gt;D74,0,ROUND(('难度参数'!$E$13*POWER(A74,'难度参数'!$E$20)*MIN('难度参数'!$E$23,1+MAX(0,A74-'难度参数'!$E$21)*'难度参数'!$E$22))*(36+1*7)/(36+7*(D74+1)/2)*E74,0))</x:f>
        <x:v>1604</x:v>
      </x:c>
      <x:c r="Z74" s="119" t="n">
        <x:f>IF(X74=0,0,(X74-IF(1=D74,1,0))*ROUND(Y74*VLOOKUP(INDEX('章节与怪物'!$E$31:$K$37,B74,1),'章节与怪物'!$A$41:$F$44,2,FALSE),0)+IF(1=D74,ROUND(Y74*'难度参数'!$E$28*'章节与怪物'!$E$17,0),0))</x:f>
        <x:v>28872</x:v>
      </x:c>
      <x:c r="AA74" s="119" t="n">
        <x:f>IF(X74=0,0,(X74-IF(1=D74,1,0))*VLOOKUP(INDEX('章节与怪物'!$E$31:$K$37,B74,1),'章节与怪物'!$A$41:$F$44,4,FALSE)+IF(1=D74,'难度参数'!$E$30,0))</x:f>
        <x:v>324</x:v>
      </x:c>
      <x:c r="AB74" s="119" t="n">
        <x:f>IF(2&gt;D74,0,MAX(2,MIN('难度参数'!$E$12,ROUND(('难度参数'!$E$18*POWER(A74,'难度参数'!$E$19)/D74*(0.85+0.3*(2-1)/MAX(1,D74-1))),0)+F74)))</x:f>
        <x:v>19</x:v>
      </x:c>
      <x:c r="AC74" s="119" t="n">
        <x:f>IF(2&gt;D74,0,ROUND(('难度参数'!$E$13*POWER(A74,'难度参数'!$E$20)*MIN('难度参数'!$E$23,1+MAX(0,A74-'难度参数'!$E$21)*'难度参数'!$E$22))*(36+2*7)/(36+7*(D74+1)/2)*E74,0))</x:f>
        <x:v>1865</x:v>
      </x:c>
      <x:c r="AD74" s="119" t="n">
        <x:f>IF(AB74=0,0,(AB74-IF(2=D74,1,0))*ROUND(AC74*VLOOKUP(INDEX('章节与怪物'!$E$31:$K$37,B74,2),'章节与怪物'!$A$41:$F$44,2,FALSE),0)+IF(2=D74,ROUND(AC74*'难度参数'!$E$28*'章节与怪物'!$E$17,0),0))</x:f>
        <x:v>25517</x:v>
      </x:c>
      <x:c r="AE74" s="119" t="n">
        <x:f>IF(AB74=0,0,(AB74-IF(2=D74,1,0))*VLOOKUP(INDEX('章节与怪物'!$E$31:$K$37,B74,2),'章节与怪物'!$A$41:$F$44,4,FALSE)+IF(2=D74,'难度参数'!$E$30,0))</x:f>
        <x:v>380</x:v>
      </x:c>
      <x:c r="AF74" s="119" t="n">
        <x:f>IF(3&gt;D74,0,MAX(2,MIN('难度参数'!$E$12,ROUND(('难度参数'!$E$18*POWER(A74,'难度参数'!$E$19)/D74*(0.85+0.3*(3-1)/MAX(1,D74-1))),0)+F74)))</x:f>
        <x:v>20</x:v>
      </x:c>
      <x:c r="AG74" s="119" t="n">
        <x:f>IF(3&gt;D74,0,ROUND(('难度参数'!$E$13*POWER(A74,'难度参数'!$E$20)*MIN('难度参数'!$E$23,1+MAX(0,A74-'难度参数'!$E$21)*'难度参数'!$E$22))*(36+3*7)/(36+7*(D74+1)/2)*E74,0))</x:f>
        <x:v>2126</x:v>
      </x:c>
      <x:c r="AH74" s="119" t="n">
        <x:f>IF(AF74=0,0,(AF74-IF(3=D74,1,0))*ROUND(AG74*VLOOKUP(INDEX('章节与怪物'!$E$31:$K$37,B74,3),'章节与怪物'!$A$41:$F$44,2,FALSE),0)+IF(3=D74,ROUND(AG74*'难度参数'!$E$28*'章节与怪物'!$E$17,0),0))</x:f>
        <x:v>72280</x:v>
      </x:c>
      <x:c r="AI74" s="119" t="n">
        <x:f>IF(AF74=0,0,(AF74-IF(3=D74,1,0))*VLOOKUP(INDEX('章节与怪物'!$E$31:$K$37,B74,3),'章节与怪物'!$A$41:$F$44,4,FALSE)+IF(3=D74,'难度参数'!$E$30,0))</x:f>
        <x:v>560</x:v>
      </x:c>
      <x:c r="AJ74" s="119" t="n">
        <x:f>IF(4&gt;D74,0,MAX(2,MIN('难度参数'!$E$12,ROUND(('难度参数'!$E$18*POWER(A74,'难度参数'!$E$19)/D74*(0.85+0.3*(4-1)/MAX(1,D74-1))),0)+F74)))</x:f>
        <x:v>21</x:v>
      </x:c>
      <x:c r="AK74" s="119" t="n">
        <x:f>IF(4&gt;D74,0,ROUND(('难度参数'!$E$13*POWER(A74,'难度参数'!$E$20)*MIN('难度参数'!$E$23,1+MAX(0,A74-'难度参数'!$E$21)*'难度参数'!$E$22))*(36+4*7)/(36+7*(D74+1)/2)*E74,0))</x:f>
        <x:v>2387</x:v>
      </x:c>
      <x:c r="AL74" s="119" t="n">
        <x:f>IF(AJ74=0,0,(AJ74-IF(4=D74,1,0))*ROUND(AK74*VLOOKUP(INDEX('章节与怪物'!$E$31:$K$37,B74,4),'章节与怪物'!$A$41:$F$44,2,FALSE),0)+IF(4=D74,ROUND(AK74*'难度参数'!$E$28*'章节与怪物'!$E$17,0),0))</x:f>
        <x:v>67662</x:v>
      </x:c>
      <x:c r="AM74" s="119" t="n">
        <x:f>IF(AJ74=0,0,(AJ74-IF(4=D74,1,0))*VLOOKUP(INDEX('章节与怪物'!$E$31:$K$37,B74,4),'章节与怪物'!$A$41:$F$44,4,FALSE)+IF(4=D74,'难度参数'!$E$30,0))</x:f>
        <x:v>714</x:v>
      </x:c>
      <x:c r="AN74" s="119" t="n">
        <x:f>IF(5&gt;D74,0,MAX(2,MIN('难度参数'!$E$12,ROUND(('难度参数'!$E$18*POWER(A74,'难度参数'!$E$19)/D74*(0.85+0.3*(5-1)/MAX(1,D74-1))),0)+F74)))</x:f>
        <x:v>22</x:v>
      </x:c>
      <x:c r="AO74" s="119" t="n">
        <x:f>IF(5&gt;D74,0,ROUND(('难度参数'!$E$13*POWER(A74,'难度参数'!$E$20)*MIN('难度参数'!$E$23,1+MAX(0,A74-'难度参数'!$E$21)*'难度参数'!$E$22))*(36+5*7)/(36+7*(D74+1)/2)*E74,0))</x:f>
        <x:v>2648</x:v>
      </x:c>
      <x:c r="AP74" s="119" t="n">
        <x:f>IF(AN74=0,0,(AN74-IF(5=D74,1,0))*ROUND(AO74*VLOOKUP(INDEX('章节与怪物'!$E$31:$K$37,B74,5),'章节与怪物'!$A$41:$F$44,2,FALSE),0)+IF(5=D74,ROUND(AO74*'难度参数'!$E$28*'章节与怪物'!$E$17,0),0))</x:f>
        <x:v>41954</x:v>
      </x:c>
      <x:c r="AQ74" s="119" t="n">
        <x:f>IF(AN74=0,0,(AN74-IF(5=D74,1,0))*VLOOKUP(INDEX('章节与怪物'!$E$31:$K$37,B74,5),'章节与怪物'!$A$41:$F$44,4,FALSE)+IF(5=D74,'难度参数'!$E$30,0))</x:f>
        <x:v>440</x:v>
      </x:c>
      <x:c r="AR74" s="119" t="n">
        <x:f>IF(6&gt;D74,0,MAX(2,MIN('难度参数'!$E$12,ROUND(('难度参数'!$E$18*POWER(A74,'难度参数'!$E$19)/D74*(0.85+0.3*(6-1)/MAX(1,D74-1))),0)+F74)))</x:f>
        <x:v>23</x:v>
      </x:c>
      <x:c r="AS74" s="119" t="n">
        <x:f>IF(6&gt;D74,0,ROUND(('难度参数'!$E$13*POWER(A74,'难度参数'!$E$20)*MIN('难度参数'!$E$23,1+MAX(0,A74-'难度参数'!$E$21)*'难度参数'!$E$22))*(36+6*7)/(36+7*(D74+1)/2)*E74,0))</x:f>
        <x:v>2909</x:v>
      </x:c>
      <x:c r="AT74" s="119" t="n">
        <x:f>IF(AR74=0,0,(AR74-IF(6=D74,1,0))*ROUND(AS74*VLOOKUP(INDEX('章节与怪物'!$E$31:$K$37,B74,6),'章节与怪物'!$A$41:$F$44,2,FALSE),0)+IF(6=D74,ROUND(AS74*'难度参数'!$E$28*'章节与怪物'!$E$17,0),0))</x:f>
        <x:v>113735</x:v>
      </x:c>
      <x:c r="AU74" s="119" t="n">
        <x:f>IF(AR74=0,0,(AR74-IF(6=D74,1,0))*VLOOKUP(INDEX('章节与怪物'!$E$31:$K$37,B74,6),'章节与怪物'!$A$41:$F$44,4,FALSE)+IF(6=D74,'难度参数'!$E$30,0))</x:f>
        <x:v>644</x:v>
      </x:c>
      <x:c r="AV74" s="119" t="n">
        <x:f>IF(7&gt;D74,0,MAX(2,MIN('难度参数'!$E$12,ROUND(('难度参数'!$E$18*POWER(A74,'难度参数'!$E$19)/D74*(0.85+0.3*(7-1)/MAX(1,D74-1))),0)+F74)))</x:f>
        <x:v>24</x:v>
      </x:c>
      <x:c r="AW74" s="119" t="n">
        <x:f>IF(7&gt;D74,0,ROUND(('难度参数'!$E$13*POWER(A74,'难度参数'!$E$20)*MIN('难度参数'!$E$23,1+MAX(0,A74-'难度参数'!$E$21)*'难度参数'!$E$22))*(36+7*7)/(36+7*(D74+1)/2)*E74,0))</x:f>
        <x:v>3170</x:v>
      </x:c>
      <x:c r="AX74" s="119" t="n">
        <x:f>IF(AV74=0,0,(AV74-IF(7=D74,1,0))*ROUND(AW74*VLOOKUP(INDEX('章节与怪物'!$E$31:$K$37,B74,7),'章节与怪物'!$A$41:$F$44,2,FALSE),0)+IF(7=D74,ROUND(AW74*'难度参数'!$E$28*'章节与怪物'!$E$17,0),0))</x:f>
        <x:v>119996</x:v>
      </x:c>
      <x:c r="AY74" s="119" t="n">
        <x:f>IF(AV74=0,0,(AV74-IF(7=D74,1,0))*VLOOKUP(INDEX('章节与怪物'!$E$31:$K$37,B74,7),'章节与怪物'!$A$41:$F$44,4,FALSE)+IF(7=D74,'难度参数'!$E$30,0))</x:f>
        <x:v>982</x:v>
      </x:c>
    </x:row>
    <x:row r="75" ht="23" customHeight="1">
      <x:c r="A75" s="119" t="n">
        <x:v>69</x:v>
      </x:c>
      <x:c r="B75" s="119" t="n">
        <x:f>MOD(INT((A75-1)/5),7)+1</x:f>
        <x:v>7</x:v>
      </x:c>
      <x:c r="C75" s="62" t="str">
        <x:f>INDEX('章节与怪物'!$B$31:$B$37,B75)</x:f>
        <x:v>魔法山脊</x:v>
      </x:c>
      <x:c r="D75" s="119" t="n">
        <x:f>MIN('难度参数'!$E$8,MAX('难度参数'!$E$7,A75))</x:f>
        <x:v>7</x:v>
      </x:c>
      <x:c r="E75" s="106" t="n">
        <x:v>1</x:v>
      </x:c>
      <x:c r="F75" s="106" t="n">
        <x:v>0</x:v>
      </x:c>
      <x:c r="G75" s="106" t="n">
        <x:v>1</x:v>
      </x:c>
      <x:c r="H75" s="119" t="n">
        <x:f>SUM(X75,AB75,AF75,AJ75,AN75,AR75,AV75)</x:f>
        <x:v>147</x:v>
      </x:c>
      <x:c r="I75" s="119" t="n">
        <x:f>SUM(Z75,AD75,AH75,AL75,AP75,AT75,AX75)</x:f>
        <x:v>476178</x:v>
      </x:c>
      <x:c r="J75" s="119" t="n">
        <x:f>ROUND(INDEX(X75:AY75,1,(D75-1)*4+2)*'难度参数'!$E$28*'章节与怪物'!$E$17,0)</x:f>
        <x:v>21842</x:v>
      </x:c>
      <x:c r="K75" s="119" t="n">
        <x:f>SUM(AA75,AE75,AI75,AM75,AQ75,AU75,AY75)</x:f>
        <x:v>4044</x:v>
      </x:c>
      <x:c r="L75" s="62" t="n">
        <x:f>H75*(ROUNDUP('难度参数'!$E$24/('难度参数'!$E$26*'难度参数'!$E$27),0)*'难度参数'!$E$26)/60</x:f>
        <x:v>1.9600000000000002</x:v>
      </x:c>
      <x:c r="M75" s="62" t="n">
        <x:f>L75+D75*('难度参数'!$E$49+'难度参数'!$E$50)/60</x:f>
        <x:v>3.126666666666667</x:v>
      </x:c>
      <x:c r="N75" s="119" t="n">
        <x:f>ROUNDDOWN(('经济参数'!$E$20+A75*'经济参数'!$E$21)*G75,0)</x:f>
        <x:v>1560</x:v>
      </x:c>
      <x:c r="O75" s="119" t="n">
        <x:f>ROUNDDOWN(MIN('经济参数'!$E$24,'经济参数'!$E$22+A75*'经济参数'!$E$23)*G75,0)</x:f>
        <x:v>0</x:v>
      </x:c>
      <x:c r="P75" s="119" t="n">
        <x:f>ROUNDDOWN((IF(A75&gt;='材料与任务'!$E$31,'材料与任务'!$E$32,IF(A75&gt;='材料与任务'!$E$25,'材料与任务'!$E$26,IF(A75&gt;='材料与任务'!$E$19,'材料与任务'!$E$20,IF(A75&gt;='材料与任务'!$E$13,'材料与任务'!$E$14,'材料与任务'!$E$8)))))*G75,0)</x:f>
        <x:v>4</x:v>
      </x:c>
      <x:c r="Q75" s="119" t="n">
        <x:f>ROUNDDOWN((IF(A75&gt;='材料与任务'!$E$31,'材料与任务'!$E$33,IF(A75&gt;='材料与任务'!$E$25,'材料与任务'!$E$27,IF(A75&gt;='材料与任务'!$E$19,'材料与任务'!$E$21,IF(A75&gt;='材料与任务'!$E$13,'材料与任务'!$E$15,'材料与任务'!$E$9)))))*G75,0)</x:f>
        <x:v>2</x:v>
      </x:c>
      <x:c r="R75" s="110" t="n">
        <x:f>'装备掉落'!$B$38</x:f>
        <x:v>0.6872058758851213</x:v>
      </x:c>
      <x:c r="S75" s="119" t="n">
        <x:f>MAX(IF(VLOOKUP(A75,'装备掉落'!$A$29:$H$34,2,TRUE)&gt;0,1,0),IF(VLOOKUP(A75,'装备掉落'!$A$29:$H$34,3,TRUE)&gt;0,2,0),IF(VLOOKUP(A75,'装备掉落'!$A$29:$H$34,4,TRUE)&gt;0,3,0),IF(VLOOKUP(A75,'装备掉落'!$A$29:$H$34,5,TRUE)&gt;0,4,0),IF(VLOOKUP(A75,'装备掉落'!$A$29:$H$34,6,TRUE)&gt;0,5,0),IF(VLOOKUP(A75,'装备掉落'!$A$29:$H$34,7,TRUE)&gt;0,6,0),IF(VLOOKUP(A75,'装备掉落'!$A$29:$H$34,8,TRUE)&gt;0,7,0))</x:f>
        <x:v>6</x:v>
      </x:c>
      <x:c r="T75" s="119" t="n">
        <x:f>MIN(7,S75+'经济参数'!$E$70)</x:f>
        <x:v>6</x:v>
      </x:c>
      <x:c r="U75" s="119" t="n">
        <x:f>MIN(7,S75+'经济参数'!$E$71)</x:f>
        <x:v>7</x:v>
      </x:c>
      <x:c r="V75" s="119" t="n">
        <x:f>IF(H75&gt;=('难度参数'!$E$52),1,0)+IF(H75&gt;=('难度参数'!$E$52+'难度参数'!$E$53),1,0)+IF(H75&gt;=('难度参数'!$E$52+'难度参数'!$E$53+'难度参数'!$E$54),1,0)+IF(H75&gt;=('难度参数'!$E$52+'难度参数'!$E$53+'难度参数'!$E$54+'难度参数'!$E$55),1,0)+IF(H75&gt;=('难度参数'!$E$52+'难度参数'!$E$53+'难度参数'!$E$54+'难度参数'!$E$55+'难度参数'!$E$56),1,0)+IF(H75&gt;=('难度参数'!$E$52+'难度参数'!$E$53+'难度参数'!$E$54+'难度参数'!$E$55+'难度参数'!$E$56+'难度参数'!$E$57),1,0)</x:f>
        <x:v>6</x:v>
      </x:c>
      <x:c r="W75" s="62" t="str">
        <x:f>IF(L75&gt;'难度参数'!$E$51,"仅出怪已超目标","还需实测")</x:f>
        <x:v>还需实测</x:v>
      </x:c>
      <x:c r="X75" s="119" t="n">
        <x:f>IF(1&gt;D75,0,MAX(2,MIN('难度参数'!$E$12,ROUND(('难度参数'!$E$18*POWER(A75,'难度参数'!$E$19)/D75*(0.85+0.3*(1-1)/MAX(1,D75-1))),0)+F75)))</x:f>
        <x:v>18</x:v>
      </x:c>
      <x:c r="Y75" s="119" t="n">
        <x:f>IF(1&gt;D75,0,ROUND(('难度参数'!$E$13*POWER(A75,'难度参数'!$E$20)*MIN('难度参数'!$E$23,1+MAX(0,A75-'难度参数'!$E$21)*'难度参数'!$E$22))*(36+1*7)/(36+7*(D75+1)/2)*E75,0))</x:f>
        <x:v>1625</x:v>
      </x:c>
      <x:c r="Z75" s="119" t="n">
        <x:f>IF(X75=0,0,(X75-IF(1=D75,1,0))*ROUND(Y75*VLOOKUP(INDEX('章节与怪物'!$E$31:$K$37,B75,1),'章节与怪物'!$A$41:$F$44,2,FALSE),0)+IF(1=D75,ROUND(Y75*'难度参数'!$E$28*'章节与怪物'!$E$17,0),0))</x:f>
        <x:v>29250</x:v>
      </x:c>
      <x:c r="AA75" s="119" t="n">
        <x:f>IF(X75=0,0,(X75-IF(1=D75,1,0))*VLOOKUP(INDEX('章节与怪物'!$E$31:$K$37,B75,1),'章节与怪物'!$A$41:$F$44,4,FALSE)+IF(1=D75,'难度参数'!$E$30,0))</x:f>
        <x:v>324</x:v>
      </x:c>
      <x:c r="AB75" s="119" t="n">
        <x:f>IF(2&gt;D75,0,MAX(2,MIN('难度参数'!$E$12,ROUND(('难度参数'!$E$18*POWER(A75,'难度参数'!$E$19)/D75*(0.85+0.3*(2-1)/MAX(1,D75-1))),0)+F75)))</x:f>
        <x:v>19</x:v>
      </x:c>
      <x:c r="AC75" s="119" t="n">
        <x:f>IF(2&gt;D75,0,ROUND(('难度参数'!$E$13*POWER(A75,'难度参数'!$E$20)*MIN('难度参数'!$E$23,1+MAX(0,A75-'难度参数'!$E$21)*'难度参数'!$E$22))*(36+2*7)/(36+7*(D75+1)/2)*E75,0))</x:f>
        <x:v>1889</x:v>
      </x:c>
      <x:c r="AD75" s="119" t="n">
        <x:f>IF(AB75=0,0,(AB75-IF(2=D75,1,0))*ROUND(AC75*VLOOKUP(INDEX('章节与怪物'!$E$31:$K$37,B75,2),'章节与怪物'!$A$41:$F$44,2,FALSE),0)+IF(2=D75,ROUND(AC75*'难度参数'!$E$28*'章节与怪物'!$E$17,0),0))</x:f>
        <x:v>25840</x:v>
      </x:c>
      <x:c r="AE75" s="119" t="n">
        <x:f>IF(AB75=0,0,(AB75-IF(2=D75,1,0))*VLOOKUP(INDEX('章节与怪物'!$E$31:$K$37,B75,2),'章节与怪物'!$A$41:$F$44,4,FALSE)+IF(2=D75,'难度参数'!$E$30,0))</x:f>
        <x:v>380</x:v>
      </x:c>
      <x:c r="AF75" s="119" t="n">
        <x:f>IF(3&gt;D75,0,MAX(2,MIN('难度参数'!$E$12,ROUND(('难度参数'!$E$18*POWER(A75,'难度参数'!$E$19)/D75*(0.85+0.3*(3-1)/MAX(1,D75-1))),0)+F75)))</x:f>
        <x:v>20</x:v>
      </x:c>
      <x:c r="AG75" s="119" t="n">
        <x:f>IF(3&gt;D75,0,ROUND(('难度参数'!$E$13*POWER(A75,'难度参数'!$E$20)*MIN('难度参数'!$E$23,1+MAX(0,A75-'难度参数'!$E$21)*'难度参数'!$E$22))*(36+3*7)/(36+7*(D75+1)/2)*E75,0))</x:f>
        <x:v>2154</x:v>
      </x:c>
      <x:c r="AH75" s="119" t="n">
        <x:f>IF(AF75=0,0,(AF75-IF(3=D75,1,0))*ROUND(AG75*VLOOKUP(INDEX('章节与怪物'!$E$31:$K$37,B75,3),'章节与怪物'!$A$41:$F$44,2,FALSE),0)+IF(3=D75,ROUND(AG75*'难度参数'!$E$28*'章节与怪物'!$E$17,0),0))</x:f>
        <x:v>73240</x:v>
      </x:c>
      <x:c r="AI75" s="119" t="n">
        <x:f>IF(AF75=0,0,(AF75-IF(3=D75,1,0))*VLOOKUP(INDEX('章节与怪物'!$E$31:$K$37,B75,3),'章节与怪物'!$A$41:$F$44,4,FALSE)+IF(3=D75,'难度参数'!$E$30,0))</x:f>
        <x:v>560</x:v>
      </x:c>
      <x:c r="AJ75" s="119" t="n">
        <x:f>IF(4&gt;D75,0,MAX(2,MIN('难度参数'!$E$12,ROUND(('难度参数'!$E$18*POWER(A75,'难度参数'!$E$19)/D75*(0.85+0.3*(4-1)/MAX(1,D75-1))),0)+F75)))</x:f>
        <x:v>21</x:v>
      </x:c>
      <x:c r="AK75" s="119" t="n">
        <x:f>IF(4&gt;D75,0,ROUND(('难度参数'!$E$13*POWER(A75,'难度参数'!$E$20)*MIN('难度参数'!$E$23,1+MAX(0,A75-'难度参数'!$E$21)*'难度参数'!$E$22))*(36+4*7)/(36+7*(D75+1)/2)*E75,0))</x:f>
        <x:v>2418</x:v>
      </x:c>
      <x:c r="AL75" s="119" t="n">
        <x:f>IF(AJ75=0,0,(AJ75-IF(4=D75,1,0))*ROUND(AK75*VLOOKUP(INDEX('章节与怪物'!$E$31:$K$37,B75,4),'章节与怪物'!$A$41:$F$44,2,FALSE),0)+IF(4=D75,ROUND(AK75*'难度参数'!$E$28*'章节与怪物'!$E$17,0),0))</x:f>
        <x:v>68544</x:v>
      </x:c>
      <x:c r="AM75" s="119" t="n">
        <x:f>IF(AJ75=0,0,(AJ75-IF(4=D75,1,0))*VLOOKUP(INDEX('章节与怪物'!$E$31:$K$37,B75,4),'章节与怪物'!$A$41:$F$44,4,FALSE)+IF(4=D75,'难度参数'!$E$30,0))</x:f>
        <x:v>714</x:v>
      </x:c>
      <x:c r="AN75" s="119" t="n">
        <x:f>IF(5&gt;D75,0,MAX(2,MIN('难度参数'!$E$12,ROUND(('难度参数'!$E$18*POWER(A75,'难度参数'!$E$19)/D75*(0.85+0.3*(5-1)/MAX(1,D75-1))),0)+F75)))</x:f>
        <x:v>22</x:v>
      </x:c>
      <x:c r="AO75" s="119" t="n">
        <x:f>IF(5&gt;D75,0,ROUND(('难度参数'!$E$13*POWER(A75,'难度参数'!$E$20)*MIN('难度参数'!$E$23,1+MAX(0,A75-'难度参数'!$E$21)*'难度参数'!$E$22))*(36+5*7)/(36+7*(D75+1)/2)*E75,0))</x:f>
        <x:v>2683</x:v>
      </x:c>
      <x:c r="AP75" s="119" t="n">
        <x:f>IF(AN75=0,0,(AN75-IF(5=D75,1,0))*ROUND(AO75*VLOOKUP(INDEX('章节与怪物'!$E$31:$K$37,B75,5),'章节与怪物'!$A$41:$F$44,2,FALSE),0)+IF(5=D75,ROUND(AO75*'难度参数'!$E$28*'章节与怪物'!$E$17,0),0))</x:f>
        <x:v>42504</x:v>
      </x:c>
      <x:c r="AQ75" s="119" t="n">
        <x:f>IF(AN75=0,0,(AN75-IF(5=D75,1,0))*VLOOKUP(INDEX('章节与怪物'!$E$31:$K$37,B75,5),'章节与怪物'!$A$41:$F$44,4,FALSE)+IF(5=D75,'难度参数'!$E$30,0))</x:f>
        <x:v>440</x:v>
      </x:c>
      <x:c r="AR75" s="119" t="n">
        <x:f>IF(6&gt;D75,0,MAX(2,MIN('难度参数'!$E$12,ROUND(('难度参数'!$E$18*POWER(A75,'难度参数'!$E$19)/D75*(0.85+0.3*(6-1)/MAX(1,D75-1))),0)+F75)))</x:f>
        <x:v>23</x:v>
      </x:c>
      <x:c r="AS75" s="119" t="n">
        <x:f>IF(6&gt;D75,0,ROUND(('难度参数'!$E$13*POWER(A75,'难度参数'!$E$20)*MIN('难度参数'!$E$23,1+MAX(0,A75-'难度参数'!$E$21)*'难度参数'!$E$22))*(36+6*7)/(36+7*(D75+1)/2)*E75,0))</x:f>
        <x:v>2947</x:v>
      </x:c>
      <x:c r="AT75" s="119" t="n">
        <x:f>IF(AR75=0,0,(AR75-IF(6=D75,1,0))*ROUND(AS75*VLOOKUP(INDEX('章节与怪物'!$E$31:$K$37,B75,6),'章节与怪物'!$A$41:$F$44,2,FALSE),0)+IF(6=D75,ROUND(AS75*'难度参数'!$E$28*'章节与怪物'!$E$17,0),0))</x:f>
        <x:v>115230</x:v>
      </x:c>
      <x:c r="AU75" s="119" t="n">
        <x:f>IF(AR75=0,0,(AR75-IF(6=D75,1,0))*VLOOKUP(INDEX('章节与怪物'!$E$31:$K$37,B75,6),'章节与怪物'!$A$41:$F$44,4,FALSE)+IF(6=D75,'难度参数'!$E$30,0))</x:f>
        <x:v>644</x:v>
      </x:c>
      <x:c r="AV75" s="119" t="n">
        <x:f>IF(7&gt;D75,0,MAX(2,MIN('难度参数'!$E$12,ROUND(('难度参数'!$E$18*POWER(A75,'难度参数'!$E$19)/D75*(0.85+0.3*(7-1)/MAX(1,D75-1))),0)+F75)))</x:f>
        <x:v>24</x:v>
      </x:c>
      <x:c r="AW75" s="119" t="n">
        <x:f>IF(7&gt;D75,0,ROUND(('难度参数'!$E$13*POWER(A75,'难度参数'!$E$20)*MIN('难度参数'!$E$23,1+MAX(0,A75-'难度参数'!$E$21)*'难度参数'!$E$22))*(36+7*7)/(36+7*(D75+1)/2)*E75,0))</x:f>
        <x:v>3212</x:v>
      </x:c>
      <x:c r="AX75" s="119" t="n">
        <x:f>IF(AV75=0,0,(AV75-IF(7=D75,1,0))*ROUND(AW75*VLOOKUP(INDEX('章节与怪物'!$E$31:$K$37,B75,7),'章节与怪物'!$A$41:$F$44,2,FALSE),0)+IF(7=D75,ROUND(AW75*'难度参数'!$E$28*'章节与怪物'!$E$17,0),0))</x:f>
        <x:v>121570</x:v>
      </x:c>
      <x:c r="AY75" s="119" t="n">
        <x:f>IF(AV75=0,0,(AV75-IF(7=D75,1,0))*VLOOKUP(INDEX('章节与怪物'!$E$31:$K$37,B75,7),'章节与怪物'!$A$41:$F$44,4,FALSE)+IF(7=D75,'难度参数'!$E$30,0))</x:f>
        <x:v>982</x:v>
      </x:c>
    </x:row>
    <x:row r="76" ht="23" customHeight="1">
      <x:c r="A76" s="119" t="n">
        <x:v>70</x:v>
      </x:c>
      <x:c r="B76" s="119" t="n">
        <x:f>MOD(INT((A76-1)/5),7)+1</x:f>
        <x:v>7</x:v>
      </x:c>
      <x:c r="C76" s="62" t="str">
        <x:f>INDEX('章节与怪物'!$B$31:$B$37,B76)</x:f>
        <x:v>魔法山脊</x:v>
      </x:c>
      <x:c r="D76" s="119" t="n">
        <x:f>MIN('难度参数'!$E$8,MAX('难度参数'!$E$7,A76))</x:f>
        <x:v>7</x:v>
      </x:c>
      <x:c r="E76" s="106" t="n">
        <x:v>1</x:v>
      </x:c>
      <x:c r="F76" s="106" t="n">
        <x:v>0</x:v>
      </x:c>
      <x:c r="G76" s="106" t="n">
        <x:v>1</x:v>
      </x:c>
      <x:c r="H76" s="119" t="n">
        <x:f>SUM(X76,AB76,AF76,AJ76,AN76,AR76,AV76)</x:f>
        <x:v>147</x:v>
      </x:c>
      <x:c r="I76" s="119" t="n">
        <x:f>SUM(Z76,AD76,AH76,AL76,AP76,AT76,AX76)</x:f>
        <x:v>482426</x:v>
      </x:c>
      <x:c r="J76" s="119" t="n">
        <x:f>ROUND(INDEX(X76:AY76,1,(D76-1)*4+2)*'难度参数'!$E$28*'章节与怪物'!$E$17,0)</x:f>
        <x:v>22127</x:v>
      </x:c>
      <x:c r="K76" s="119" t="n">
        <x:f>SUM(AA76,AE76,AI76,AM76,AQ76,AU76,AY76)</x:f>
        <x:v>4044</x:v>
      </x:c>
      <x:c r="L76" s="62" t="n">
        <x:f>H76*(ROUNDUP('难度参数'!$E$24/('难度参数'!$E$26*'难度参数'!$E$27),0)*'难度参数'!$E$26)/60</x:f>
        <x:v>1.9600000000000002</x:v>
      </x:c>
      <x:c r="M76" s="62" t="n">
        <x:f>L76+D76*('难度参数'!$E$49+'难度参数'!$E$50)/60</x:f>
        <x:v>3.126666666666667</x:v>
      </x:c>
      <x:c r="N76" s="119" t="n">
        <x:f>ROUNDDOWN(('经济参数'!$E$20+A76*'经济参数'!$E$21)*G76,0)</x:f>
        <x:v>1580</x:v>
      </x:c>
      <x:c r="O76" s="119" t="n">
        <x:f>ROUNDDOWN(MIN('经济参数'!$E$24,'经济参数'!$E$22+A76*'经济参数'!$E$23)*G76,0)</x:f>
        <x:v>0</x:v>
      </x:c>
      <x:c r="P76" s="119" t="n">
        <x:f>ROUNDDOWN((IF(A76&gt;='材料与任务'!$E$31,'材料与任务'!$E$32,IF(A76&gt;='材料与任务'!$E$25,'材料与任务'!$E$26,IF(A76&gt;='材料与任务'!$E$19,'材料与任务'!$E$20,IF(A76&gt;='材料与任务'!$E$13,'材料与任务'!$E$14,'材料与任务'!$E$8)))))*G76,0)</x:f>
        <x:v>4</x:v>
      </x:c>
      <x:c r="Q76" s="119" t="n">
        <x:f>ROUNDDOWN((IF(A76&gt;='材料与任务'!$E$31,'材料与任务'!$E$33,IF(A76&gt;='材料与任务'!$E$25,'材料与任务'!$E$27,IF(A76&gt;='材料与任务'!$E$19,'材料与任务'!$E$21,IF(A76&gt;='材料与任务'!$E$13,'材料与任务'!$E$15,'材料与任务'!$E$9)))))*G76,0)</x:f>
        <x:v>2</x:v>
      </x:c>
      <x:c r="R76" s="110" t="n">
        <x:f>'装备掉落'!$B$38</x:f>
        <x:v>0.6872058758851213</x:v>
      </x:c>
      <x:c r="S76" s="119" t="n">
        <x:f>MAX(IF(VLOOKUP(A76,'装备掉落'!$A$29:$H$34,2,TRUE)&gt;0,1,0),IF(VLOOKUP(A76,'装备掉落'!$A$29:$H$34,3,TRUE)&gt;0,2,0),IF(VLOOKUP(A76,'装备掉落'!$A$29:$H$34,4,TRUE)&gt;0,3,0),IF(VLOOKUP(A76,'装备掉落'!$A$29:$H$34,5,TRUE)&gt;0,4,0),IF(VLOOKUP(A76,'装备掉落'!$A$29:$H$34,6,TRUE)&gt;0,5,0),IF(VLOOKUP(A76,'装备掉落'!$A$29:$H$34,7,TRUE)&gt;0,6,0),IF(VLOOKUP(A76,'装备掉落'!$A$29:$H$34,8,TRUE)&gt;0,7,0))</x:f>
        <x:v>6</x:v>
      </x:c>
      <x:c r="T76" s="119" t="n">
        <x:f>MIN(7,S76+'经济参数'!$E$70)</x:f>
        <x:v>6</x:v>
      </x:c>
      <x:c r="U76" s="119" t="n">
        <x:f>MIN(7,S76+'经济参数'!$E$71)</x:f>
        <x:v>7</x:v>
      </x:c>
      <x:c r="V76" s="119" t="n">
        <x:f>IF(H76&gt;=('难度参数'!$E$52),1,0)+IF(H76&gt;=('难度参数'!$E$52+'难度参数'!$E$53),1,0)+IF(H76&gt;=('难度参数'!$E$52+'难度参数'!$E$53+'难度参数'!$E$54),1,0)+IF(H76&gt;=('难度参数'!$E$52+'难度参数'!$E$53+'难度参数'!$E$54+'难度参数'!$E$55),1,0)+IF(H76&gt;=('难度参数'!$E$52+'难度参数'!$E$53+'难度参数'!$E$54+'难度参数'!$E$55+'难度参数'!$E$56),1,0)+IF(H76&gt;=('难度参数'!$E$52+'难度参数'!$E$53+'难度参数'!$E$54+'难度参数'!$E$55+'难度参数'!$E$56+'难度参数'!$E$57),1,0)</x:f>
        <x:v>6</x:v>
      </x:c>
      <x:c r="W76" s="62" t="str">
        <x:f>IF(L76&gt;'难度参数'!$E$51,"仅出怪已超目标","还需实测")</x:f>
        <x:v>还需实测</x:v>
      </x:c>
      <x:c r="X76" s="119" t="n">
        <x:f>IF(1&gt;D76,0,MAX(2,MIN('难度参数'!$E$12,ROUND(('难度参数'!$E$18*POWER(A76,'难度参数'!$E$19)/D76*(0.85+0.3*(1-1)/MAX(1,D76-1))),0)+F76)))</x:f>
        <x:v>18</x:v>
      </x:c>
      <x:c r="Y76" s="119" t="n">
        <x:f>IF(1&gt;D76,0,ROUND(('难度参数'!$E$13*POWER(A76,'难度参数'!$E$20)*MIN('难度参数'!$E$23,1+MAX(0,A76-'难度参数'!$E$21)*'难度参数'!$E$22))*(36+1*7)/(36+7*(D76+1)/2)*E76,0))</x:f>
        <x:v>1646</x:v>
      </x:c>
      <x:c r="Z76" s="119" t="n">
        <x:f>IF(X76=0,0,(X76-IF(1=D76,1,0))*ROUND(Y76*VLOOKUP(INDEX('章节与怪物'!$E$31:$K$37,B76,1),'章节与怪物'!$A$41:$F$44,2,FALSE),0)+IF(1=D76,ROUND(Y76*'难度参数'!$E$28*'章节与怪物'!$E$17,0),0))</x:f>
        <x:v>29628</x:v>
      </x:c>
      <x:c r="AA76" s="119" t="n">
        <x:f>IF(X76=0,0,(X76-IF(1=D76,1,0))*VLOOKUP(INDEX('章节与怪物'!$E$31:$K$37,B76,1),'章节与怪物'!$A$41:$F$44,4,FALSE)+IF(1=D76,'难度参数'!$E$30,0))</x:f>
        <x:v>324</x:v>
      </x:c>
      <x:c r="AB76" s="119" t="n">
        <x:f>IF(2&gt;D76,0,MAX(2,MIN('难度参数'!$E$12,ROUND(('难度参数'!$E$18*POWER(A76,'难度参数'!$E$19)/D76*(0.85+0.3*(2-1)/MAX(1,D76-1))),0)+F76)))</x:f>
        <x:v>19</x:v>
      </x:c>
      <x:c r="AC76" s="119" t="n">
        <x:f>IF(2&gt;D76,0,ROUND(('难度参数'!$E$13*POWER(A76,'难度参数'!$E$20)*MIN('难度参数'!$E$23,1+MAX(0,A76-'难度参数'!$E$21)*'难度参数'!$E$22))*(36+2*7)/(36+7*(D76+1)/2)*E76,0))</x:f>
        <x:v>1914</x:v>
      </x:c>
      <x:c r="AD76" s="119" t="n">
        <x:f>IF(AB76=0,0,(AB76-IF(2=D76,1,0))*ROUND(AC76*VLOOKUP(INDEX('章节与怪物'!$E$31:$K$37,B76,2),'章节与怪物'!$A$41:$F$44,2,FALSE),0)+IF(2=D76,ROUND(AC76*'难度参数'!$E$28*'章节与怪物'!$E$17,0),0))</x:f>
        <x:v>26182</x:v>
      </x:c>
      <x:c r="AE76" s="119" t="n">
        <x:f>IF(AB76=0,0,(AB76-IF(2=D76,1,0))*VLOOKUP(INDEX('章节与怪物'!$E$31:$K$37,B76,2),'章节与怪物'!$A$41:$F$44,4,FALSE)+IF(2=D76,'难度参数'!$E$30,0))</x:f>
        <x:v>380</x:v>
      </x:c>
      <x:c r="AF76" s="119" t="n">
        <x:f>IF(3&gt;D76,0,MAX(2,MIN('难度参数'!$E$12,ROUND(('难度参数'!$E$18*POWER(A76,'难度参数'!$E$19)/D76*(0.85+0.3*(3-1)/MAX(1,D76-1))),0)+F76)))</x:f>
        <x:v>20</x:v>
      </x:c>
      <x:c r="AG76" s="119" t="n">
        <x:f>IF(3&gt;D76,0,ROUND(('难度参数'!$E$13*POWER(A76,'难度参数'!$E$20)*MIN('难度参数'!$E$23,1+MAX(0,A76-'难度参数'!$E$21)*'难度参数'!$E$22))*(36+3*7)/(36+7*(D76+1)/2)*E76,0))</x:f>
        <x:v>2182</x:v>
      </x:c>
      <x:c r="AH76" s="119" t="n">
        <x:f>IF(AF76=0,0,(AF76-IF(3=D76,1,0))*ROUND(AG76*VLOOKUP(INDEX('章节与怪物'!$E$31:$K$37,B76,3),'章节与怪物'!$A$41:$F$44,2,FALSE),0)+IF(3=D76,ROUND(AG76*'难度参数'!$E$28*'章节与怪物'!$E$17,0),0))</x:f>
        <x:v>74180</x:v>
      </x:c>
      <x:c r="AI76" s="119" t="n">
        <x:f>IF(AF76=0,0,(AF76-IF(3=D76,1,0))*VLOOKUP(INDEX('章节与怪物'!$E$31:$K$37,B76,3),'章节与怪物'!$A$41:$F$44,4,FALSE)+IF(3=D76,'难度参数'!$E$30,0))</x:f>
        <x:v>560</x:v>
      </x:c>
      <x:c r="AJ76" s="119" t="n">
        <x:f>IF(4&gt;D76,0,MAX(2,MIN('难度参数'!$E$12,ROUND(('难度参数'!$E$18*POWER(A76,'难度参数'!$E$19)/D76*(0.85+0.3*(4-1)/MAX(1,D76-1))),0)+F76)))</x:f>
        <x:v>21</x:v>
      </x:c>
      <x:c r="AK76" s="119" t="n">
        <x:f>IF(4&gt;D76,0,ROUND(('难度参数'!$E$13*POWER(A76,'难度参数'!$E$20)*MIN('难度参数'!$E$23,1+MAX(0,A76-'难度参数'!$E$21)*'难度参数'!$E$22))*(36+4*7)/(36+7*(D76+1)/2)*E76,0))</x:f>
        <x:v>2450</x:v>
      </x:c>
      <x:c r="AL76" s="119" t="n">
        <x:f>IF(AJ76=0,0,(AJ76-IF(4=D76,1,0))*ROUND(AK76*VLOOKUP(INDEX('章节与怪物'!$E$31:$K$37,B76,4),'章节与怪物'!$A$41:$F$44,2,FALSE),0)+IF(4=D76,ROUND(AK76*'难度参数'!$E$28*'章节与怪物'!$E$17,0),0))</x:f>
        <x:v>69468</x:v>
      </x:c>
      <x:c r="AM76" s="119" t="n">
        <x:f>IF(AJ76=0,0,(AJ76-IF(4=D76,1,0))*VLOOKUP(INDEX('章节与怪物'!$E$31:$K$37,B76,4),'章节与怪物'!$A$41:$F$44,4,FALSE)+IF(4=D76,'难度参数'!$E$30,0))</x:f>
        <x:v>714</x:v>
      </x:c>
      <x:c r="AN76" s="119" t="n">
        <x:f>IF(5&gt;D76,0,MAX(2,MIN('难度参数'!$E$12,ROUND(('难度参数'!$E$18*POWER(A76,'难度参数'!$E$19)/D76*(0.85+0.3*(5-1)/MAX(1,D76-1))),0)+F76)))</x:f>
        <x:v>22</x:v>
      </x:c>
      <x:c r="AO76" s="119" t="n">
        <x:f>IF(5&gt;D76,0,ROUND(('难度参数'!$E$13*POWER(A76,'难度参数'!$E$20)*MIN('难度参数'!$E$23,1+MAX(0,A76-'难度参数'!$E$21)*'难度参数'!$E$22))*(36+5*7)/(36+7*(D76+1)/2)*E76,0))</x:f>
        <x:v>2718</x:v>
      </x:c>
      <x:c r="AP76" s="119" t="n">
        <x:f>IF(AN76=0,0,(AN76-IF(5=D76,1,0))*ROUND(AO76*VLOOKUP(INDEX('章节与怪物'!$E$31:$K$37,B76,5),'章节与怪物'!$A$41:$F$44,2,FALSE),0)+IF(5=D76,ROUND(AO76*'难度参数'!$E$28*'章节与怪物'!$E$17,0),0))</x:f>
        <x:v>43054</x:v>
      </x:c>
      <x:c r="AQ76" s="119" t="n">
        <x:f>IF(AN76=0,0,(AN76-IF(5=D76,1,0))*VLOOKUP(INDEX('章节与怪物'!$E$31:$K$37,B76,5),'章节与怪物'!$A$41:$F$44,4,FALSE)+IF(5=D76,'难度参数'!$E$30,0))</x:f>
        <x:v>440</x:v>
      </x:c>
      <x:c r="AR76" s="119" t="n">
        <x:f>IF(6&gt;D76,0,MAX(2,MIN('难度参数'!$E$12,ROUND(('难度参数'!$E$18*POWER(A76,'难度参数'!$E$19)/D76*(0.85+0.3*(6-1)/MAX(1,D76-1))),0)+F76)))</x:f>
        <x:v>23</x:v>
      </x:c>
      <x:c r="AS76" s="119" t="n">
        <x:f>IF(6&gt;D76,0,ROUND(('难度参数'!$E$13*POWER(A76,'难度参数'!$E$20)*MIN('难度参数'!$E$23,1+MAX(0,A76-'难度参数'!$E$21)*'难度参数'!$E$22))*(36+6*7)/(36+7*(D76+1)/2)*E76,0))</x:f>
        <x:v>2986</x:v>
      </x:c>
      <x:c r="AT76" s="119" t="n">
        <x:f>IF(AR76=0,0,(AR76-IF(6=D76,1,0))*ROUND(AS76*VLOOKUP(INDEX('章节与怪物'!$E$31:$K$37,B76,6),'章节与怪物'!$A$41:$F$44,2,FALSE),0)+IF(6=D76,ROUND(AS76*'难度参数'!$E$28*'章节与怪物'!$E$17,0),0))</x:f>
        <x:v>116748</x:v>
      </x:c>
      <x:c r="AU76" s="119" t="n">
        <x:f>IF(AR76=0,0,(AR76-IF(6=D76,1,0))*VLOOKUP(INDEX('章节与怪物'!$E$31:$K$37,B76,6),'章节与怪物'!$A$41:$F$44,4,FALSE)+IF(6=D76,'难度参数'!$E$30,0))</x:f>
        <x:v>644</x:v>
      </x:c>
      <x:c r="AV76" s="119" t="n">
        <x:f>IF(7&gt;D76,0,MAX(2,MIN('难度参数'!$E$12,ROUND(('难度参数'!$E$18*POWER(A76,'难度参数'!$E$19)/D76*(0.85+0.3*(7-1)/MAX(1,D76-1))),0)+F76)))</x:f>
        <x:v>24</x:v>
      </x:c>
      <x:c r="AW76" s="119" t="n">
        <x:f>IF(7&gt;D76,0,ROUND(('难度参数'!$E$13*POWER(A76,'难度参数'!$E$20)*MIN('难度参数'!$E$23,1+MAX(0,A76-'难度参数'!$E$21)*'难度参数'!$E$22))*(36+7*7)/(36+7*(D76+1)/2)*E76,0))</x:f>
        <x:v>3254</x:v>
      </x:c>
      <x:c r="AX76" s="119" t="n">
        <x:f>IF(AV76=0,0,(AV76-IF(7=D76,1,0))*ROUND(AW76*VLOOKUP(INDEX('章节与怪物'!$E$31:$K$37,B76,7),'章节与怪物'!$A$41:$F$44,2,FALSE),0)+IF(7=D76,ROUND(AW76*'难度参数'!$E$28*'章节与怪物'!$E$17,0),0))</x:f>
        <x:v>123166</x:v>
      </x:c>
      <x:c r="AY76" s="119" t="n">
        <x:f>IF(AV76=0,0,(AV76-IF(7=D76,1,0))*VLOOKUP(INDEX('章节与怪物'!$E$31:$K$37,B76,7),'章节与怪物'!$A$41:$F$44,4,FALSE)+IF(7=D76,'难度参数'!$E$30,0))</x:f>
        <x:v>982</x:v>
      </x:c>
    </x:row>
    <x:row r="77" ht="23" customHeight="1">
      <x:c r="A77" s="119" t="n">
        <x:v>71</x:v>
      </x:c>
      <x:c r="B77" s="119" t="n">
        <x:f>MOD(INT((A77-1)/5),7)+1</x:f>
        <x:v>1</x:v>
      </x:c>
      <x:c r="C77" s="62" t="str">
        <x:f>INDEX('章节与怪物'!$B$31:$B$37,B77)</x:f>
        <x:v>冰雪荒原</x:v>
      </x:c>
      <x:c r="D77" s="119" t="n">
        <x:f>MIN('难度参数'!$E$8,MAX('难度参数'!$E$7,A77))</x:f>
        <x:v>7</x:v>
      </x:c>
      <x:c r="E77" s="106" t="n">
        <x:v>1</x:v>
      </x:c>
      <x:c r="F77" s="106" t="n">
        <x:v>0</x:v>
      </x:c>
      <x:c r="G77" s="106" t="n">
        <x:v>1</x:v>
      </x:c>
      <x:c r="H77" s="119" t="n">
        <x:f>SUM(X77,AB77,AF77,AJ77,AN77,AR77,AV77)</x:f>
        <x:v>147</x:v>
      </x:c>
      <x:c r="I77" s="119" t="n">
        <x:f>SUM(Z77,AD77,AH77,AL77,AP77,AT77,AX77)</x:f>
        <x:v>470393</x:v>
      </x:c>
      <x:c r="J77" s="119" t="n">
        <x:f>ROUND(INDEX(X77:AY77,1,(D77-1)*4+2)*'难度参数'!$E$28*'章节与怪物'!$E$17,0)</x:f>
        <x:v>22413</x:v>
      </x:c>
      <x:c r="K77" s="119" t="n">
        <x:f>SUM(AA77,AE77,AI77,AM77,AQ77,AU77,AY77)</x:f>
        <x:v>3706</x:v>
      </x:c>
      <x:c r="L77" s="62" t="n">
        <x:f>H77*(ROUNDUP('难度参数'!$E$24/('难度参数'!$E$26*'难度参数'!$E$27),0)*'难度参数'!$E$26)/60</x:f>
        <x:v>1.9600000000000002</x:v>
      </x:c>
      <x:c r="M77" s="62" t="n">
        <x:f>L77+D77*('难度参数'!$E$49+'难度参数'!$E$50)/60</x:f>
        <x:v>3.126666666666667</x:v>
      </x:c>
      <x:c r="N77" s="119" t="n">
        <x:f>ROUNDDOWN(('经济参数'!$E$20+A77*'经济参数'!$E$21)*G77,0)</x:f>
        <x:v>1600</x:v>
      </x:c>
      <x:c r="O77" s="119" t="n">
        <x:f>ROUNDDOWN(MIN('经济参数'!$E$24,'经济参数'!$E$22+A77*'经济参数'!$E$23)*G77,0)</x:f>
        <x:v>0</x:v>
      </x:c>
      <x:c r="P77" s="119" t="n">
        <x:f>ROUNDDOWN((IF(A77&gt;='材料与任务'!$E$31,'材料与任务'!$E$32,IF(A77&gt;='材料与任务'!$E$25,'材料与任务'!$E$26,IF(A77&gt;='材料与任务'!$E$19,'材料与任务'!$E$20,IF(A77&gt;='材料与任务'!$E$13,'材料与任务'!$E$14,'材料与任务'!$E$8)))))*G77,0)</x:f>
        <x:v>5</x:v>
      </x:c>
      <x:c r="Q77" s="119" t="n">
        <x:f>ROUNDDOWN((IF(A77&gt;='材料与任务'!$E$31,'材料与任务'!$E$33,IF(A77&gt;='材料与任务'!$E$25,'材料与任务'!$E$27,IF(A77&gt;='材料与任务'!$E$19,'材料与任务'!$E$21,IF(A77&gt;='材料与任务'!$E$13,'材料与任务'!$E$15,'材料与任务'!$E$9)))))*G77,0)</x:f>
        <x:v>2</x:v>
      </x:c>
      <x:c r="R77" s="110" t="n">
        <x:f>'装备掉落'!$B$38</x:f>
        <x:v>0.6872058758851213</x:v>
      </x:c>
      <x:c r="S77" s="119" t="n">
        <x:f>MAX(IF(VLOOKUP(A77,'装备掉落'!$A$29:$H$34,2,TRUE)&gt;0,1,0),IF(VLOOKUP(A77,'装备掉落'!$A$29:$H$34,3,TRUE)&gt;0,2,0),IF(VLOOKUP(A77,'装备掉落'!$A$29:$H$34,4,TRUE)&gt;0,3,0),IF(VLOOKUP(A77,'装备掉落'!$A$29:$H$34,5,TRUE)&gt;0,4,0),IF(VLOOKUP(A77,'装备掉落'!$A$29:$H$34,6,TRUE)&gt;0,5,0),IF(VLOOKUP(A77,'装备掉落'!$A$29:$H$34,7,TRUE)&gt;0,6,0),IF(VLOOKUP(A77,'装备掉落'!$A$29:$H$34,8,TRUE)&gt;0,7,0))</x:f>
        <x:v>6</x:v>
      </x:c>
      <x:c r="T77" s="119" t="n">
        <x:f>MIN(7,S77+'经济参数'!$E$70)</x:f>
        <x:v>6</x:v>
      </x:c>
      <x:c r="U77" s="119" t="n">
        <x:f>MIN(7,S77+'经济参数'!$E$71)</x:f>
        <x:v>7</x:v>
      </x:c>
      <x:c r="V77" s="119" t="n">
        <x:f>IF(H77&gt;=('难度参数'!$E$52),1,0)+IF(H77&gt;=('难度参数'!$E$52+'难度参数'!$E$53),1,0)+IF(H77&gt;=('难度参数'!$E$52+'难度参数'!$E$53+'难度参数'!$E$54),1,0)+IF(H77&gt;=('难度参数'!$E$52+'难度参数'!$E$53+'难度参数'!$E$54+'难度参数'!$E$55),1,0)+IF(H77&gt;=('难度参数'!$E$52+'难度参数'!$E$53+'难度参数'!$E$54+'难度参数'!$E$55+'难度参数'!$E$56),1,0)+IF(H77&gt;=('难度参数'!$E$52+'难度参数'!$E$53+'难度参数'!$E$54+'难度参数'!$E$55+'难度参数'!$E$56+'难度参数'!$E$57),1,0)</x:f>
        <x:v>6</x:v>
      </x:c>
      <x:c r="W77" s="62" t="str">
        <x:f>IF(L77&gt;'难度参数'!$E$51,"仅出怪已超目标","还需实测")</x:f>
        <x:v>还需实测</x:v>
      </x:c>
      <x:c r="X77" s="119" t="n">
        <x:f>IF(1&gt;D77,0,MAX(2,MIN('难度参数'!$E$12,ROUND(('难度参数'!$E$18*POWER(A77,'难度参数'!$E$19)/D77*(0.85+0.3*(1-1)/MAX(1,D77-1))),0)+F77)))</x:f>
        <x:v>18</x:v>
      </x:c>
      <x:c r="Y77" s="119" t="n">
        <x:f>IF(1&gt;D77,0,ROUND(('难度参数'!$E$13*POWER(A77,'难度参数'!$E$20)*MIN('难度参数'!$E$23,1+MAX(0,A77-'难度参数'!$E$21)*'难度参数'!$E$22))*(36+1*7)/(36+7*(D77+1)/2)*E77,0))</x:f>
        <x:v>1667</x:v>
      </x:c>
      <x:c r="Z77" s="119" t="n">
        <x:f>IF(X77=0,0,(X77-IF(1=D77,1,0))*ROUND(Y77*VLOOKUP(INDEX('章节与怪物'!$E$31:$K$37,B77,1),'章节与怪物'!$A$41:$F$44,2,FALSE),0)+IF(1=D77,ROUND(Y77*'难度参数'!$E$28*'章节与怪物'!$E$17,0),0))</x:f>
        <x:v>30006</x:v>
      </x:c>
      <x:c r="AA77" s="119" t="n">
        <x:f>IF(X77=0,0,(X77-IF(1=D77,1,0))*VLOOKUP(INDEX('章节与怪物'!$E$31:$K$37,B77,1),'章节与怪物'!$A$41:$F$44,4,FALSE)+IF(1=D77,'难度参数'!$E$30,0))</x:f>
        <x:v>324</x:v>
      </x:c>
      <x:c r="AB77" s="119" t="n">
        <x:f>IF(2&gt;D77,0,MAX(2,MIN('难度参数'!$E$12,ROUND(('难度参数'!$E$18*POWER(A77,'难度参数'!$E$19)/D77*(0.85+0.3*(2-1)/MAX(1,D77-1))),0)+F77)))</x:f>
        <x:v>19</x:v>
      </x:c>
      <x:c r="AC77" s="119" t="n">
        <x:f>IF(2&gt;D77,0,ROUND(('难度参数'!$E$13*POWER(A77,'难度参数'!$E$20)*MIN('难度参数'!$E$23,1+MAX(0,A77-'难度参数'!$E$21)*'难度参数'!$E$22))*(36+2*7)/(36+7*(D77+1)/2)*E77,0))</x:f>
        <x:v>1939</x:v>
      </x:c>
      <x:c r="AD77" s="119" t="n">
        <x:f>IF(AB77=0,0,(AB77-IF(2=D77,1,0))*ROUND(AC77*VLOOKUP(INDEX('章节与怪物'!$E$31:$K$37,B77,2),'章节与怪物'!$A$41:$F$44,2,FALSE),0)+IF(2=D77,ROUND(AC77*'难度参数'!$E$28*'章节与怪物'!$E$17,0),0))</x:f>
        <x:v>36841</x:v>
      </x:c>
      <x:c r="AE77" s="119" t="n">
        <x:f>IF(AB77=0,0,(AB77-IF(2=D77,1,0))*VLOOKUP(INDEX('章节与怪物'!$E$31:$K$37,B77,2),'章节与怪物'!$A$41:$F$44,4,FALSE)+IF(2=D77,'难度参数'!$E$30,0))</x:f>
        <x:v>342</x:v>
      </x:c>
      <x:c r="AF77" s="119" t="n">
        <x:f>IF(3&gt;D77,0,MAX(2,MIN('难度参数'!$E$12,ROUND(('难度参数'!$E$18*POWER(A77,'难度参数'!$E$19)/D77*(0.85+0.3*(3-1)/MAX(1,D77-1))),0)+F77)))</x:f>
        <x:v>20</x:v>
      </x:c>
      <x:c r="AG77" s="119" t="n">
        <x:f>IF(3&gt;D77,0,ROUND(('难度参数'!$E$13*POWER(A77,'难度参数'!$E$20)*MIN('难度参数'!$E$23,1+MAX(0,A77-'难度参数'!$E$21)*'难度参数'!$E$22))*(36+3*7)/(36+7*(D77+1)/2)*E77,0))</x:f>
        <x:v>2210</x:v>
      </x:c>
      <x:c r="AH77" s="119" t="n">
        <x:f>IF(AF77=0,0,(AF77-IF(3=D77,1,0))*ROUND(AG77*VLOOKUP(INDEX('章节与怪物'!$E$31:$K$37,B77,3),'章节与怪物'!$A$41:$F$44,2,FALSE),0)+IF(3=D77,ROUND(AG77*'难度参数'!$E$28*'章节与怪物'!$E$17,0),0))</x:f>
        <x:v>31820</x:v>
      </x:c>
      <x:c r="AI77" s="119" t="n">
        <x:f>IF(AF77=0,0,(AF77-IF(3=D77,1,0))*VLOOKUP(INDEX('章节与怪物'!$E$31:$K$37,B77,3),'章节与怪物'!$A$41:$F$44,4,FALSE)+IF(3=D77,'难度参数'!$E$30,0))</x:f>
        <x:v>400</x:v>
      </x:c>
      <x:c r="AJ77" s="119" t="n">
        <x:f>IF(4&gt;D77,0,MAX(2,MIN('难度参数'!$E$12,ROUND(('难度参数'!$E$18*POWER(A77,'难度参数'!$E$19)/D77*(0.85+0.3*(4-1)/MAX(1,D77-1))),0)+F77)))</x:f>
        <x:v>21</x:v>
      </x:c>
      <x:c r="AK77" s="119" t="n">
        <x:f>IF(4&gt;D77,0,ROUND(('难度参数'!$E$13*POWER(A77,'难度参数'!$E$20)*MIN('难度参数'!$E$23,1+MAX(0,A77-'难度参数'!$E$21)*'难度参数'!$E$22))*(36+4*7)/(36+7*(D77+1)/2)*E77,0))</x:f>
        <x:v>2482</x:v>
      </x:c>
      <x:c r="AL77" s="119" t="n">
        <x:f>IF(AJ77=0,0,(AJ77-IF(4=D77,1,0))*ROUND(AK77*VLOOKUP(INDEX('章节与怪物'!$E$31:$K$37,B77,4),'章节与怪物'!$A$41:$F$44,2,FALSE),0)+IF(4=D77,ROUND(AK77*'难度参数'!$E$28*'章节与怪物'!$E$17,0),0))</x:f>
        <x:v>88599</x:v>
      </x:c>
      <x:c r="AM77" s="119" t="n">
        <x:f>IF(AJ77=0,0,(AJ77-IF(4=D77,1,0))*VLOOKUP(INDEX('章节与怪物'!$E$31:$K$37,B77,4),'章节与怪物'!$A$41:$F$44,4,FALSE)+IF(4=D77,'难度参数'!$E$30,0))</x:f>
        <x:v>588</x:v>
      </x:c>
      <x:c r="AN77" s="119" t="n">
        <x:f>IF(5&gt;D77,0,MAX(2,MIN('难度参数'!$E$12,ROUND(('难度参数'!$E$18*POWER(A77,'难度参数'!$E$19)/D77*(0.85+0.3*(5-1)/MAX(1,D77-1))),0)+F77)))</x:f>
        <x:v>22</x:v>
      </x:c>
      <x:c r="AO77" s="119" t="n">
        <x:f>IF(5&gt;D77,0,ROUND(('难度参数'!$E$13*POWER(A77,'难度参数'!$E$20)*MIN('难度参数'!$E$23,1+MAX(0,A77-'难度参数'!$E$21)*'难度参数'!$E$22))*(36+5*7)/(36+7*(D77+1)/2)*E77,0))</x:f>
        <x:v>2753</x:v>
      </x:c>
      <x:c r="AP77" s="119" t="n">
        <x:f>IF(AN77=0,0,(AN77-IF(5=D77,1,0))*ROUND(AO77*VLOOKUP(INDEX('章节与怪物'!$E$31:$K$37,B77,5),'章节与怪物'!$A$41:$F$44,2,FALSE),0)+IF(5=D77,ROUND(AO77*'难度参数'!$E$28*'章节与怪物'!$E$17,0),0))</x:f>
        <x:v>81774</x:v>
      </x:c>
      <x:c r="AQ77" s="119" t="n">
        <x:f>IF(AN77=0,0,(AN77-IF(5=D77,1,0))*VLOOKUP(INDEX('章节与怪物'!$E$31:$K$37,B77,5),'章节与怪物'!$A$41:$F$44,4,FALSE)+IF(5=D77,'难度参数'!$E$30,0))</x:f>
        <x:v>748</x:v>
      </x:c>
      <x:c r="AR77" s="119" t="n">
        <x:f>IF(6&gt;D77,0,MAX(2,MIN('难度参数'!$E$12,ROUND(('难度参数'!$E$18*POWER(A77,'难度参数'!$E$19)/D77*(0.85+0.3*(6-1)/MAX(1,D77-1))),0)+F77)))</x:f>
        <x:v>23</x:v>
      </x:c>
      <x:c r="AS77" s="119" t="n">
        <x:f>IF(6&gt;D77,0,ROUND(('难度参数'!$E$13*POWER(A77,'难度参数'!$E$20)*MIN('难度参数'!$E$23,1+MAX(0,A77-'难度参数'!$E$21)*'难度参数'!$E$22))*(36+6*7)/(36+7*(D77+1)/2)*E77,0))</x:f>
        <x:v>3024</x:v>
      </x:c>
      <x:c r="AT77" s="119" t="n">
        <x:f>IF(AR77=0,0,(AR77-IF(6=D77,1,0))*ROUND(AS77*VLOOKUP(INDEX('章节与怪物'!$E$31:$K$37,B77,6),'章节与怪物'!$A$41:$F$44,2,FALSE),0)+IF(6=D77,ROUND(AS77*'难度参数'!$E$28*'章节与怪物'!$E$17,0),0))</x:f>
        <x:v>50071</x:v>
      </x:c>
      <x:c r="AU77" s="119" t="n">
        <x:f>IF(AR77=0,0,(AR77-IF(6=D77,1,0))*VLOOKUP(INDEX('章节与怪物'!$E$31:$K$37,B77,6),'章节与怪物'!$A$41:$F$44,4,FALSE)+IF(6=D77,'难度参数'!$E$30,0))</x:f>
        <x:v>460</x:v>
      </x:c>
      <x:c r="AV77" s="119" t="n">
        <x:f>IF(7&gt;D77,0,MAX(2,MIN('难度参数'!$E$12,ROUND(('难度参数'!$E$18*POWER(A77,'难度参数'!$E$19)/D77*(0.85+0.3*(7-1)/MAX(1,D77-1))),0)+F77)))</x:f>
        <x:v>24</x:v>
      </x:c>
      <x:c r="AW77" s="119" t="n">
        <x:f>IF(7&gt;D77,0,ROUND(('难度参数'!$E$13*POWER(A77,'难度参数'!$E$20)*MIN('难度参数'!$E$23,1+MAX(0,A77-'难度参数'!$E$21)*'难度参数'!$E$22))*(36+7*7)/(36+7*(D77+1)/2)*E77,0))</x:f>
        <x:v>3296</x:v>
      </x:c>
      <x:c r="AX77" s="119" t="n">
        <x:f>IF(AV77=0,0,(AV77-IF(7=D77,1,0))*ROUND(AW77*VLOOKUP(INDEX('章节与怪物'!$E$31:$K$37,B77,7),'章节与怪物'!$A$41:$F$44,2,FALSE),0)+IF(7=D77,ROUND(AW77*'难度参数'!$E$28*'章节与怪物'!$E$17,0),0))</x:f>
        <x:v>151282</x:v>
      </x:c>
      <x:c r="AY77" s="119" t="n">
        <x:f>IF(AV77=0,0,(AV77-IF(7=D77,1,0))*VLOOKUP(INDEX('章节与怪物'!$E$31:$K$37,B77,7),'章节与怪物'!$A$41:$F$44,4,FALSE)+IF(7=D77,'难度参数'!$E$30,0))</x:f>
        <x:v>844</x:v>
      </x:c>
    </x:row>
    <x:row r="78" ht="23" customHeight="1">
      <x:c r="A78" s="119" t="n">
        <x:v>72</x:v>
      </x:c>
      <x:c r="B78" s="119" t="n">
        <x:f>MOD(INT((A78-1)/5),7)+1</x:f>
        <x:v>1</x:v>
      </x:c>
      <x:c r="C78" s="62" t="str">
        <x:f>INDEX('章节与怪物'!$B$31:$B$37,B78)</x:f>
        <x:v>冰雪荒原</x:v>
      </x:c>
      <x:c r="D78" s="119" t="n">
        <x:f>MIN('难度参数'!$E$8,MAX('难度参数'!$E$7,A78))</x:f>
        <x:v>7</x:v>
      </x:c>
      <x:c r="E78" s="106" t="n">
        <x:v>1</x:v>
      </x:c>
      <x:c r="F78" s="106" t="n">
        <x:v>0</x:v>
      </x:c>
      <x:c r="G78" s="106" t="n">
        <x:v>1</x:v>
      </x:c>
      <x:c r="H78" s="119" t="n">
        <x:f>SUM(X78,AB78,AF78,AJ78,AN78,AR78,AV78)</x:f>
        <x:v>147</x:v>
      </x:c>
      <x:c r="I78" s="119" t="n">
        <x:f>SUM(Z78,AD78,AH78,AL78,AP78,AT78,AX78)</x:f>
        <x:v>476377</x:v>
      </x:c>
      <x:c r="J78" s="119" t="n">
        <x:f>ROUND(INDEX(X78:AY78,1,(D78-1)*4+2)*'难度参数'!$E$28*'章节与怪物'!$E$17,0)</x:f>
        <x:v>22698</x:v>
      </x:c>
      <x:c r="K78" s="119" t="n">
        <x:f>SUM(AA78,AE78,AI78,AM78,AQ78,AU78,AY78)</x:f>
        <x:v>3706</x:v>
      </x:c>
      <x:c r="L78" s="62" t="n">
        <x:f>H78*(ROUNDUP('难度参数'!$E$24/('难度参数'!$E$26*'难度参数'!$E$27),0)*'难度参数'!$E$26)/60</x:f>
        <x:v>1.9600000000000002</x:v>
      </x:c>
      <x:c r="M78" s="62" t="n">
        <x:f>L78+D78*('难度参数'!$E$49+'难度参数'!$E$50)/60</x:f>
        <x:v>3.126666666666667</x:v>
      </x:c>
      <x:c r="N78" s="119" t="n">
        <x:f>ROUNDDOWN(('经济参数'!$E$20+A78*'经济参数'!$E$21)*G78,0)</x:f>
        <x:v>1620</x:v>
      </x:c>
      <x:c r="O78" s="119" t="n">
        <x:f>ROUNDDOWN(MIN('经济参数'!$E$24,'经济参数'!$E$22+A78*'经济参数'!$E$23)*G78,0)</x:f>
        <x:v>0</x:v>
      </x:c>
      <x:c r="P78" s="119" t="n">
        <x:f>ROUNDDOWN((IF(A78&gt;='材料与任务'!$E$31,'材料与任务'!$E$32,IF(A78&gt;='材料与任务'!$E$25,'材料与任务'!$E$26,IF(A78&gt;='材料与任务'!$E$19,'材料与任务'!$E$20,IF(A78&gt;='材料与任务'!$E$13,'材料与任务'!$E$14,'材料与任务'!$E$8)))))*G78,0)</x:f>
        <x:v>5</x:v>
      </x:c>
      <x:c r="Q78" s="119" t="n">
        <x:f>ROUNDDOWN((IF(A78&gt;='材料与任务'!$E$31,'材料与任务'!$E$33,IF(A78&gt;='材料与任务'!$E$25,'材料与任务'!$E$27,IF(A78&gt;='材料与任务'!$E$19,'材料与任务'!$E$21,IF(A78&gt;='材料与任务'!$E$13,'材料与任务'!$E$15,'材料与任务'!$E$9)))))*G78,0)</x:f>
        <x:v>2</x:v>
      </x:c>
      <x:c r="R78" s="110" t="n">
        <x:f>'装备掉落'!$B$38</x:f>
        <x:v>0.6872058758851213</x:v>
      </x:c>
      <x:c r="S78" s="119" t="n">
        <x:f>MAX(IF(VLOOKUP(A78,'装备掉落'!$A$29:$H$34,2,TRUE)&gt;0,1,0),IF(VLOOKUP(A78,'装备掉落'!$A$29:$H$34,3,TRUE)&gt;0,2,0),IF(VLOOKUP(A78,'装备掉落'!$A$29:$H$34,4,TRUE)&gt;0,3,0),IF(VLOOKUP(A78,'装备掉落'!$A$29:$H$34,5,TRUE)&gt;0,4,0),IF(VLOOKUP(A78,'装备掉落'!$A$29:$H$34,6,TRUE)&gt;0,5,0),IF(VLOOKUP(A78,'装备掉落'!$A$29:$H$34,7,TRUE)&gt;0,6,0),IF(VLOOKUP(A78,'装备掉落'!$A$29:$H$34,8,TRUE)&gt;0,7,0))</x:f>
        <x:v>6</x:v>
      </x:c>
      <x:c r="T78" s="119" t="n">
        <x:f>MIN(7,S78+'经济参数'!$E$70)</x:f>
        <x:v>6</x:v>
      </x:c>
      <x:c r="U78" s="119" t="n">
        <x:f>MIN(7,S78+'经济参数'!$E$71)</x:f>
        <x:v>7</x:v>
      </x:c>
      <x:c r="V78" s="119" t="n">
        <x:f>IF(H78&gt;=('难度参数'!$E$52),1,0)+IF(H78&gt;=('难度参数'!$E$52+'难度参数'!$E$53),1,0)+IF(H78&gt;=('难度参数'!$E$52+'难度参数'!$E$53+'难度参数'!$E$54),1,0)+IF(H78&gt;=('难度参数'!$E$52+'难度参数'!$E$53+'难度参数'!$E$54+'难度参数'!$E$55),1,0)+IF(H78&gt;=('难度参数'!$E$52+'难度参数'!$E$53+'难度参数'!$E$54+'难度参数'!$E$55+'难度参数'!$E$56),1,0)+IF(H78&gt;=('难度参数'!$E$52+'难度参数'!$E$53+'难度参数'!$E$54+'难度参数'!$E$55+'难度参数'!$E$56+'难度参数'!$E$57),1,0)</x:f>
        <x:v>6</x:v>
      </x:c>
      <x:c r="W78" s="62" t="str">
        <x:f>IF(L78&gt;'难度参数'!$E$51,"仅出怪已超目标","还需实测")</x:f>
        <x:v>还需实测</x:v>
      </x:c>
      <x:c r="X78" s="119" t="n">
        <x:f>IF(1&gt;D78,0,MAX(2,MIN('难度参数'!$E$12,ROUND(('难度参数'!$E$18*POWER(A78,'难度参数'!$E$19)/D78*(0.85+0.3*(1-1)/MAX(1,D78-1))),0)+F78)))</x:f>
        <x:v>18</x:v>
      </x:c>
      <x:c r="Y78" s="119" t="n">
        <x:f>IF(1&gt;D78,0,ROUND(('难度参数'!$E$13*POWER(A78,'难度参数'!$E$20)*MIN('难度参数'!$E$23,1+MAX(0,A78-'难度参数'!$E$21)*'难度参数'!$E$22))*(36+1*7)/(36+7*(D78+1)/2)*E78,0))</x:f>
        <x:v>1689</x:v>
      </x:c>
      <x:c r="Z78" s="119" t="n">
        <x:f>IF(X78=0,0,(X78-IF(1=D78,1,0))*ROUND(Y78*VLOOKUP(INDEX('章节与怪物'!$E$31:$K$37,B78,1),'章节与怪物'!$A$41:$F$44,2,FALSE),0)+IF(1=D78,ROUND(Y78*'难度参数'!$E$28*'章节与怪物'!$E$17,0),0))</x:f>
        <x:v>30402</x:v>
      </x:c>
      <x:c r="AA78" s="119" t="n">
        <x:f>IF(X78=0,0,(X78-IF(1=D78,1,0))*VLOOKUP(INDEX('章节与怪物'!$E$31:$K$37,B78,1),'章节与怪物'!$A$41:$F$44,4,FALSE)+IF(1=D78,'难度参数'!$E$30,0))</x:f>
        <x:v>324</x:v>
      </x:c>
      <x:c r="AB78" s="119" t="n">
        <x:f>IF(2&gt;D78,0,MAX(2,MIN('难度参数'!$E$12,ROUND(('难度参数'!$E$18*POWER(A78,'难度参数'!$E$19)/D78*(0.85+0.3*(2-1)/MAX(1,D78-1))),0)+F78)))</x:f>
        <x:v>19</x:v>
      </x:c>
      <x:c r="AC78" s="119" t="n">
        <x:f>IF(2&gt;D78,0,ROUND(('难度参数'!$E$13*POWER(A78,'难度参数'!$E$20)*MIN('难度参数'!$E$23,1+MAX(0,A78-'难度参数'!$E$21)*'难度参数'!$E$22))*(36+2*7)/(36+7*(D78+1)/2)*E78,0))</x:f>
        <x:v>1963</x:v>
      </x:c>
      <x:c r="AD78" s="119" t="n">
        <x:f>IF(AB78=0,0,(AB78-IF(2=D78,1,0))*ROUND(AC78*VLOOKUP(INDEX('章节与怪物'!$E$31:$K$37,B78,2),'章节与怪物'!$A$41:$F$44,2,FALSE),0)+IF(2=D78,ROUND(AC78*'难度参数'!$E$28*'章节与怪物'!$E$17,0),0))</x:f>
        <x:v>37297</x:v>
      </x:c>
      <x:c r="AE78" s="119" t="n">
        <x:f>IF(AB78=0,0,(AB78-IF(2=D78,1,0))*VLOOKUP(INDEX('章节与怪物'!$E$31:$K$37,B78,2),'章节与怪物'!$A$41:$F$44,4,FALSE)+IF(2=D78,'难度参数'!$E$30,0))</x:f>
        <x:v>342</x:v>
      </x:c>
      <x:c r="AF78" s="119" t="n">
        <x:f>IF(3&gt;D78,0,MAX(2,MIN('难度参数'!$E$12,ROUND(('难度参数'!$E$18*POWER(A78,'难度参数'!$E$19)/D78*(0.85+0.3*(3-1)/MAX(1,D78-1))),0)+F78)))</x:f>
        <x:v>20</x:v>
      </x:c>
      <x:c r="AG78" s="119" t="n">
        <x:f>IF(3&gt;D78,0,ROUND(('难度参数'!$E$13*POWER(A78,'难度参数'!$E$20)*MIN('难度参数'!$E$23,1+MAX(0,A78-'难度参数'!$E$21)*'难度参数'!$E$22))*(36+3*7)/(36+7*(D78+1)/2)*E78,0))</x:f>
        <x:v>2238</x:v>
      </x:c>
      <x:c r="AH78" s="119" t="n">
        <x:f>IF(AF78=0,0,(AF78-IF(3=D78,1,0))*ROUND(AG78*VLOOKUP(INDEX('章节与怪物'!$E$31:$K$37,B78,3),'章节与怪物'!$A$41:$F$44,2,FALSE),0)+IF(3=D78,ROUND(AG78*'难度参数'!$E$28*'章节与怪物'!$E$17,0),0))</x:f>
        <x:v>32220</x:v>
      </x:c>
      <x:c r="AI78" s="119" t="n">
        <x:f>IF(AF78=0,0,(AF78-IF(3=D78,1,0))*VLOOKUP(INDEX('章节与怪物'!$E$31:$K$37,B78,3),'章节与怪物'!$A$41:$F$44,4,FALSE)+IF(3=D78,'难度参数'!$E$30,0))</x:f>
        <x:v>400</x:v>
      </x:c>
      <x:c r="AJ78" s="119" t="n">
        <x:f>IF(4&gt;D78,0,MAX(2,MIN('难度参数'!$E$12,ROUND(('难度参数'!$E$18*POWER(A78,'难度参数'!$E$19)/D78*(0.85+0.3*(4-1)/MAX(1,D78-1))),0)+F78)))</x:f>
        <x:v>21</x:v>
      </x:c>
      <x:c r="AK78" s="119" t="n">
        <x:f>IF(4&gt;D78,0,ROUND(('难度参数'!$E$13*POWER(A78,'难度参数'!$E$20)*MIN('难度参数'!$E$23,1+MAX(0,A78-'难度参数'!$E$21)*'难度参数'!$E$22))*(36+4*7)/(36+7*(D78+1)/2)*E78,0))</x:f>
        <x:v>2513</x:v>
      </x:c>
      <x:c r="AL78" s="119" t="n">
        <x:f>IF(AJ78=0,0,(AJ78-IF(4=D78,1,0))*ROUND(AK78*VLOOKUP(INDEX('章节与怪物'!$E$31:$K$37,B78,4),'章节与怪物'!$A$41:$F$44,2,FALSE),0)+IF(4=D78,ROUND(AK78*'难度参数'!$E$28*'章节与怪物'!$E$17,0),0))</x:f>
        <x:v>89712</x:v>
      </x:c>
      <x:c r="AM78" s="119" t="n">
        <x:f>IF(AJ78=0,0,(AJ78-IF(4=D78,1,0))*VLOOKUP(INDEX('章节与怪物'!$E$31:$K$37,B78,4),'章节与怪物'!$A$41:$F$44,4,FALSE)+IF(4=D78,'难度参数'!$E$30,0))</x:f>
        <x:v>588</x:v>
      </x:c>
      <x:c r="AN78" s="119" t="n">
        <x:f>IF(5&gt;D78,0,MAX(2,MIN('难度参数'!$E$12,ROUND(('难度参数'!$E$18*POWER(A78,'难度参数'!$E$19)/D78*(0.85+0.3*(5-1)/MAX(1,D78-1))),0)+F78)))</x:f>
        <x:v>22</x:v>
      </x:c>
      <x:c r="AO78" s="119" t="n">
        <x:f>IF(5&gt;D78,0,ROUND(('难度参数'!$E$13*POWER(A78,'难度参数'!$E$20)*MIN('难度参数'!$E$23,1+MAX(0,A78-'难度参数'!$E$21)*'难度参数'!$E$22))*(36+5*7)/(36+7*(D78+1)/2)*E78,0))</x:f>
        <x:v>2788</x:v>
      </x:c>
      <x:c r="AP78" s="119" t="n">
        <x:f>IF(AN78=0,0,(AN78-IF(5=D78,1,0))*ROUND(AO78*VLOOKUP(INDEX('章节与怪物'!$E$31:$K$37,B78,5),'章节与怪物'!$A$41:$F$44,2,FALSE),0)+IF(5=D78,ROUND(AO78*'难度参数'!$E$28*'章节与怪物'!$E$17,0),0))</x:f>
        <x:v>82808</x:v>
      </x:c>
      <x:c r="AQ78" s="119" t="n">
        <x:f>IF(AN78=0,0,(AN78-IF(5=D78,1,0))*VLOOKUP(INDEX('章节与怪物'!$E$31:$K$37,B78,5),'章节与怪物'!$A$41:$F$44,4,FALSE)+IF(5=D78,'难度参数'!$E$30,0))</x:f>
        <x:v>748</x:v>
      </x:c>
      <x:c r="AR78" s="119" t="n">
        <x:f>IF(6&gt;D78,0,MAX(2,MIN('难度参数'!$E$12,ROUND(('难度参数'!$E$18*POWER(A78,'难度参数'!$E$19)/D78*(0.85+0.3*(6-1)/MAX(1,D78-1))),0)+F78)))</x:f>
        <x:v>23</x:v>
      </x:c>
      <x:c r="AS78" s="119" t="n">
        <x:f>IF(6&gt;D78,0,ROUND(('难度参数'!$E$13*POWER(A78,'难度参数'!$E$20)*MIN('难度参数'!$E$23,1+MAX(0,A78-'难度参数'!$E$21)*'难度参数'!$E$22))*(36+6*7)/(36+7*(D78+1)/2)*E78,0))</x:f>
        <x:v>3063</x:v>
      </x:c>
      <x:c r="AT78" s="119" t="n">
        <x:f>IF(AR78=0,0,(AR78-IF(6=D78,1,0))*ROUND(AS78*VLOOKUP(INDEX('章节与怪物'!$E$31:$K$37,B78,6),'章节与怪物'!$A$41:$F$44,2,FALSE),0)+IF(6=D78,ROUND(AS78*'难度参数'!$E$28*'章节与怪物'!$E$17,0),0))</x:f>
        <x:v>50715</x:v>
      </x:c>
      <x:c r="AU78" s="119" t="n">
        <x:f>IF(AR78=0,0,(AR78-IF(6=D78,1,0))*VLOOKUP(INDEX('章节与怪物'!$E$31:$K$37,B78,6),'章节与怪物'!$A$41:$F$44,4,FALSE)+IF(6=D78,'难度参数'!$E$30,0))</x:f>
        <x:v>460</x:v>
      </x:c>
      <x:c r="AV78" s="119" t="n">
        <x:f>IF(7&gt;D78,0,MAX(2,MIN('难度参数'!$E$12,ROUND(('难度参数'!$E$18*POWER(A78,'难度参数'!$E$19)/D78*(0.85+0.3*(7-1)/MAX(1,D78-1))),0)+F78)))</x:f>
        <x:v>24</x:v>
      </x:c>
      <x:c r="AW78" s="119" t="n">
        <x:f>IF(7&gt;D78,0,ROUND(('难度参数'!$E$13*POWER(A78,'难度参数'!$E$20)*MIN('难度参数'!$E$23,1+MAX(0,A78-'难度参数'!$E$21)*'难度参数'!$E$22))*(36+7*7)/(36+7*(D78+1)/2)*E78,0))</x:f>
        <x:v>3338</x:v>
      </x:c>
      <x:c r="AX78" s="119" t="n">
        <x:f>IF(AV78=0,0,(AV78-IF(7=D78,1,0))*ROUND(AW78*VLOOKUP(INDEX('章节与怪物'!$E$31:$K$37,B78,7),'章节与怪物'!$A$41:$F$44,2,FALSE),0)+IF(7=D78,ROUND(AW78*'难度参数'!$E$28*'章节与怪物'!$E$17,0),0))</x:f>
        <x:v>153223</x:v>
      </x:c>
      <x:c r="AY78" s="119" t="n">
        <x:f>IF(AV78=0,0,(AV78-IF(7=D78,1,0))*VLOOKUP(INDEX('章节与怪物'!$E$31:$K$37,B78,7),'章节与怪物'!$A$41:$F$44,4,FALSE)+IF(7=D78,'难度参数'!$E$30,0))</x:f>
        <x:v>844</x:v>
      </x:c>
    </x:row>
    <x:row r="79" ht="23" customHeight="1">
      <x:c r="A79" s="119" t="n">
        <x:v>73</x:v>
      </x:c>
      <x:c r="B79" s="119" t="n">
        <x:f>MOD(INT((A79-1)/5),7)+1</x:f>
        <x:v>1</x:v>
      </x:c>
      <x:c r="C79" s="62" t="str">
        <x:f>INDEX('章节与怪物'!$B$31:$B$37,B79)</x:f>
        <x:v>冰雪荒原</x:v>
      </x:c>
      <x:c r="D79" s="119" t="n">
        <x:f>MIN('难度参数'!$E$8,MAX('难度参数'!$E$7,A79))</x:f>
        <x:v>7</x:v>
      </x:c>
      <x:c r="E79" s="106" t="n">
        <x:v>1</x:v>
      </x:c>
      <x:c r="F79" s="106" t="n">
        <x:v>0</x:v>
      </x:c>
      <x:c r="G79" s="106" t="n">
        <x:v>1</x:v>
      </x:c>
      <x:c r="H79" s="119" t="n">
        <x:f>SUM(X79,AB79,AF79,AJ79,AN79,AR79,AV79)</x:f>
        <x:v>147</x:v>
      </x:c>
      <x:c r="I79" s="119" t="n">
        <x:f>SUM(Z79,AD79,AH79,AL79,AP79,AT79,AX79)</x:f>
        <x:v>482402</x:v>
      </x:c>
      <x:c r="J79" s="119" t="n">
        <x:f>ROUND(INDEX(X79:AY79,1,(D79-1)*4+2)*'难度参数'!$E$28*'章节与怪物'!$E$17,0)</x:f>
        <x:v>22984</x:v>
      </x:c>
      <x:c r="K79" s="119" t="n">
        <x:f>SUM(AA79,AE79,AI79,AM79,AQ79,AU79,AY79)</x:f>
        <x:v>3706</x:v>
      </x:c>
      <x:c r="L79" s="62" t="n">
        <x:f>H79*(ROUNDUP('难度参数'!$E$24/('难度参数'!$E$26*'难度参数'!$E$27),0)*'难度参数'!$E$26)/60</x:f>
        <x:v>1.9600000000000002</x:v>
      </x:c>
      <x:c r="M79" s="62" t="n">
        <x:f>L79+D79*('难度参数'!$E$49+'难度参数'!$E$50)/60</x:f>
        <x:v>3.126666666666667</x:v>
      </x:c>
      <x:c r="N79" s="119" t="n">
        <x:f>ROUNDDOWN(('经济参数'!$E$20+A79*'经济参数'!$E$21)*G79,0)</x:f>
        <x:v>1640</x:v>
      </x:c>
      <x:c r="O79" s="119" t="n">
        <x:f>ROUNDDOWN(MIN('经济参数'!$E$24,'经济参数'!$E$22+A79*'经济参数'!$E$23)*G79,0)</x:f>
        <x:v>0</x:v>
      </x:c>
      <x:c r="P79" s="119" t="n">
        <x:f>ROUNDDOWN((IF(A79&gt;='材料与任务'!$E$31,'材料与任务'!$E$32,IF(A79&gt;='材料与任务'!$E$25,'材料与任务'!$E$26,IF(A79&gt;='材料与任务'!$E$19,'材料与任务'!$E$20,IF(A79&gt;='材料与任务'!$E$13,'材料与任务'!$E$14,'材料与任务'!$E$8)))))*G79,0)</x:f>
        <x:v>5</x:v>
      </x:c>
      <x:c r="Q79" s="119" t="n">
        <x:f>ROUNDDOWN((IF(A79&gt;='材料与任务'!$E$31,'材料与任务'!$E$33,IF(A79&gt;='材料与任务'!$E$25,'材料与任务'!$E$27,IF(A79&gt;='材料与任务'!$E$19,'材料与任务'!$E$21,IF(A79&gt;='材料与任务'!$E$13,'材料与任务'!$E$15,'材料与任务'!$E$9)))))*G79,0)</x:f>
        <x:v>2</x:v>
      </x:c>
      <x:c r="R79" s="110" t="n">
        <x:f>'装备掉落'!$B$38</x:f>
        <x:v>0.6872058758851213</x:v>
      </x:c>
      <x:c r="S79" s="119" t="n">
        <x:f>MAX(IF(VLOOKUP(A79,'装备掉落'!$A$29:$H$34,2,TRUE)&gt;0,1,0),IF(VLOOKUP(A79,'装备掉落'!$A$29:$H$34,3,TRUE)&gt;0,2,0),IF(VLOOKUP(A79,'装备掉落'!$A$29:$H$34,4,TRUE)&gt;0,3,0),IF(VLOOKUP(A79,'装备掉落'!$A$29:$H$34,5,TRUE)&gt;0,4,0),IF(VLOOKUP(A79,'装备掉落'!$A$29:$H$34,6,TRUE)&gt;0,5,0),IF(VLOOKUP(A79,'装备掉落'!$A$29:$H$34,7,TRUE)&gt;0,6,0),IF(VLOOKUP(A79,'装备掉落'!$A$29:$H$34,8,TRUE)&gt;0,7,0))</x:f>
        <x:v>6</x:v>
      </x:c>
      <x:c r="T79" s="119" t="n">
        <x:f>MIN(7,S79+'经济参数'!$E$70)</x:f>
        <x:v>6</x:v>
      </x:c>
      <x:c r="U79" s="119" t="n">
        <x:f>MIN(7,S79+'经济参数'!$E$71)</x:f>
        <x:v>7</x:v>
      </x:c>
      <x:c r="V79" s="119" t="n">
        <x:f>IF(H79&gt;=('难度参数'!$E$52),1,0)+IF(H79&gt;=('难度参数'!$E$52+'难度参数'!$E$53),1,0)+IF(H79&gt;=('难度参数'!$E$52+'难度参数'!$E$53+'难度参数'!$E$54),1,0)+IF(H79&gt;=('难度参数'!$E$52+'难度参数'!$E$53+'难度参数'!$E$54+'难度参数'!$E$55),1,0)+IF(H79&gt;=('难度参数'!$E$52+'难度参数'!$E$53+'难度参数'!$E$54+'难度参数'!$E$55+'难度参数'!$E$56),1,0)+IF(H79&gt;=('难度参数'!$E$52+'难度参数'!$E$53+'难度参数'!$E$54+'难度参数'!$E$55+'难度参数'!$E$56+'难度参数'!$E$57),1,0)</x:f>
        <x:v>6</x:v>
      </x:c>
      <x:c r="W79" s="62" t="str">
        <x:f>IF(L79&gt;'难度参数'!$E$51,"仅出怪已超目标","还需实测")</x:f>
        <x:v>还需实测</x:v>
      </x:c>
      <x:c r="X79" s="119" t="n">
        <x:f>IF(1&gt;D79,0,MAX(2,MIN('难度参数'!$E$12,ROUND(('难度参数'!$E$18*POWER(A79,'难度参数'!$E$19)/D79*(0.85+0.3*(1-1)/MAX(1,D79-1))),0)+F79)))</x:f>
        <x:v>18</x:v>
      </x:c>
      <x:c r="Y79" s="119" t="n">
        <x:f>IF(1&gt;D79,0,ROUND(('难度参数'!$E$13*POWER(A79,'难度参数'!$E$20)*MIN('难度参数'!$E$23,1+MAX(0,A79-'难度参数'!$E$21)*'难度参数'!$E$22))*(36+1*7)/(36+7*(D79+1)/2)*E79,0))</x:f>
        <x:v>1710</x:v>
      </x:c>
      <x:c r="Z79" s="119" t="n">
        <x:f>IF(X79=0,0,(X79-IF(1=D79,1,0))*ROUND(Y79*VLOOKUP(INDEX('章节与怪物'!$E$31:$K$37,B79,1),'章节与怪物'!$A$41:$F$44,2,FALSE),0)+IF(1=D79,ROUND(Y79*'难度参数'!$E$28*'章节与怪物'!$E$17,0),0))</x:f>
        <x:v>30780</x:v>
      </x:c>
      <x:c r="AA79" s="119" t="n">
        <x:f>IF(X79=0,0,(X79-IF(1=D79,1,0))*VLOOKUP(INDEX('章节与怪物'!$E$31:$K$37,B79,1),'章节与怪物'!$A$41:$F$44,4,FALSE)+IF(1=D79,'难度参数'!$E$30,0))</x:f>
        <x:v>324</x:v>
      </x:c>
      <x:c r="AB79" s="119" t="n">
        <x:f>IF(2&gt;D79,0,MAX(2,MIN('难度参数'!$E$12,ROUND(('难度参数'!$E$18*POWER(A79,'难度参数'!$E$19)/D79*(0.85+0.3*(2-1)/MAX(1,D79-1))),0)+F79)))</x:f>
        <x:v>19</x:v>
      </x:c>
      <x:c r="AC79" s="119" t="n">
        <x:f>IF(2&gt;D79,0,ROUND(('难度参数'!$E$13*POWER(A79,'难度参数'!$E$20)*MIN('难度参数'!$E$23,1+MAX(0,A79-'难度参数'!$E$21)*'难度参数'!$E$22))*(36+2*7)/(36+7*(D79+1)/2)*E79,0))</x:f>
        <x:v>1988</x:v>
      </x:c>
      <x:c r="AD79" s="119" t="n">
        <x:f>IF(AB79=0,0,(AB79-IF(2=D79,1,0))*ROUND(AC79*VLOOKUP(INDEX('章节与怪物'!$E$31:$K$37,B79,2),'章节与怪物'!$A$41:$F$44,2,FALSE),0)+IF(2=D79,ROUND(AC79*'难度参数'!$E$28*'章节与怪物'!$E$17,0),0))</x:f>
        <x:v>37772</x:v>
      </x:c>
      <x:c r="AE79" s="119" t="n">
        <x:f>IF(AB79=0,0,(AB79-IF(2=D79,1,0))*VLOOKUP(INDEX('章节与怪物'!$E$31:$K$37,B79,2),'章节与怪物'!$A$41:$F$44,4,FALSE)+IF(2=D79,'难度参数'!$E$30,0))</x:f>
        <x:v>342</x:v>
      </x:c>
      <x:c r="AF79" s="119" t="n">
        <x:f>IF(3&gt;D79,0,MAX(2,MIN('难度参数'!$E$12,ROUND(('难度参数'!$E$18*POWER(A79,'难度参数'!$E$19)/D79*(0.85+0.3*(3-1)/MAX(1,D79-1))),0)+F79)))</x:f>
        <x:v>20</x:v>
      </x:c>
      <x:c r="AG79" s="119" t="n">
        <x:f>IF(3&gt;D79,0,ROUND(('难度参数'!$E$13*POWER(A79,'难度参数'!$E$20)*MIN('难度参数'!$E$23,1+MAX(0,A79-'难度参数'!$E$21)*'难度参数'!$E$22))*(36+3*7)/(36+7*(D79+1)/2)*E79,0))</x:f>
        <x:v>2267</x:v>
      </x:c>
      <x:c r="AH79" s="119" t="n">
        <x:f>IF(AF79=0,0,(AF79-IF(3=D79,1,0))*ROUND(AG79*VLOOKUP(INDEX('章节与怪物'!$E$31:$K$37,B79,3),'章节与怪物'!$A$41:$F$44,2,FALSE),0)+IF(3=D79,ROUND(AG79*'难度参数'!$E$28*'章节与怪物'!$E$17,0),0))</x:f>
        <x:v>32640</x:v>
      </x:c>
      <x:c r="AI79" s="119" t="n">
        <x:f>IF(AF79=0,0,(AF79-IF(3=D79,1,0))*VLOOKUP(INDEX('章节与怪物'!$E$31:$K$37,B79,3),'章节与怪物'!$A$41:$F$44,4,FALSE)+IF(3=D79,'难度参数'!$E$30,0))</x:f>
        <x:v>400</x:v>
      </x:c>
      <x:c r="AJ79" s="119" t="n">
        <x:f>IF(4&gt;D79,0,MAX(2,MIN('难度参数'!$E$12,ROUND(('难度参数'!$E$18*POWER(A79,'难度参数'!$E$19)/D79*(0.85+0.3*(4-1)/MAX(1,D79-1))),0)+F79)))</x:f>
        <x:v>21</x:v>
      </x:c>
      <x:c r="AK79" s="119" t="n">
        <x:f>IF(4&gt;D79,0,ROUND(('难度参数'!$E$13*POWER(A79,'难度参数'!$E$20)*MIN('难度参数'!$E$23,1+MAX(0,A79-'难度参数'!$E$21)*'难度参数'!$E$22))*(36+4*7)/(36+7*(D79+1)/2)*E79,0))</x:f>
        <x:v>2545</x:v>
      </x:c>
      <x:c r="AL79" s="119" t="n">
        <x:f>IF(AJ79=0,0,(AJ79-IF(4=D79,1,0))*ROUND(AK79*VLOOKUP(INDEX('章节与怪物'!$E$31:$K$37,B79,4),'章节与怪物'!$A$41:$F$44,2,FALSE),0)+IF(4=D79,ROUND(AK79*'难度参数'!$E$28*'章节与怪物'!$E$17,0),0))</x:f>
        <x:v>90867</x:v>
      </x:c>
      <x:c r="AM79" s="119" t="n">
        <x:f>IF(AJ79=0,0,(AJ79-IF(4=D79,1,0))*VLOOKUP(INDEX('章节与怪物'!$E$31:$K$37,B79,4),'章节与怪物'!$A$41:$F$44,4,FALSE)+IF(4=D79,'难度参数'!$E$30,0))</x:f>
        <x:v>588</x:v>
      </x:c>
      <x:c r="AN79" s="119" t="n">
        <x:f>IF(5&gt;D79,0,MAX(2,MIN('难度参数'!$E$12,ROUND(('难度参数'!$E$18*POWER(A79,'难度参数'!$E$19)/D79*(0.85+0.3*(5-1)/MAX(1,D79-1))),0)+F79)))</x:f>
        <x:v>22</x:v>
      </x:c>
      <x:c r="AO79" s="119" t="n">
        <x:f>IF(5&gt;D79,0,ROUND(('难度参数'!$E$13*POWER(A79,'难度参数'!$E$20)*MIN('难度参数'!$E$23,1+MAX(0,A79-'难度参数'!$E$21)*'难度参数'!$E$22))*(36+5*7)/(36+7*(D79+1)/2)*E79,0))</x:f>
        <x:v>2823</x:v>
      </x:c>
      <x:c r="AP79" s="119" t="n">
        <x:f>IF(AN79=0,0,(AN79-IF(5=D79,1,0))*ROUND(AO79*VLOOKUP(INDEX('章节与怪物'!$E$31:$K$37,B79,5),'章节与怪物'!$A$41:$F$44,2,FALSE),0)+IF(5=D79,ROUND(AO79*'难度参数'!$E$28*'章节与怪物'!$E$17,0),0))</x:f>
        <x:v>83842</x:v>
      </x:c>
      <x:c r="AQ79" s="119" t="n">
        <x:f>IF(AN79=0,0,(AN79-IF(5=D79,1,0))*VLOOKUP(INDEX('章节与怪物'!$E$31:$K$37,B79,5),'章节与怪物'!$A$41:$F$44,4,FALSE)+IF(5=D79,'难度参数'!$E$30,0))</x:f>
        <x:v>748</x:v>
      </x:c>
      <x:c r="AR79" s="119" t="n">
        <x:f>IF(6&gt;D79,0,MAX(2,MIN('难度参数'!$E$12,ROUND(('难度参数'!$E$18*POWER(A79,'难度参数'!$E$19)/D79*(0.85+0.3*(6-1)/MAX(1,D79-1))),0)+F79)))</x:f>
        <x:v>23</x:v>
      </x:c>
      <x:c r="AS79" s="119" t="n">
        <x:f>IF(6&gt;D79,0,ROUND(('难度参数'!$E$13*POWER(A79,'难度参数'!$E$20)*MIN('难度参数'!$E$23,1+MAX(0,A79-'难度参数'!$E$21)*'难度参数'!$E$22))*(36+6*7)/(36+7*(D79+1)/2)*E79,0))</x:f>
        <x:v>3102</x:v>
      </x:c>
      <x:c r="AT79" s="119" t="n">
        <x:f>IF(AR79=0,0,(AR79-IF(6=D79,1,0))*ROUND(AS79*VLOOKUP(INDEX('章节与怪物'!$E$31:$K$37,B79,6),'章节与怪物'!$A$41:$F$44,2,FALSE),0)+IF(6=D79,ROUND(AS79*'难度参数'!$E$28*'章节与怪物'!$E$17,0),0))</x:f>
        <x:v>51359</x:v>
      </x:c>
      <x:c r="AU79" s="119" t="n">
        <x:f>IF(AR79=0,0,(AR79-IF(6=D79,1,0))*VLOOKUP(INDEX('章节与怪物'!$E$31:$K$37,B79,6),'章节与怪物'!$A$41:$F$44,4,FALSE)+IF(6=D79,'难度参数'!$E$30,0))</x:f>
        <x:v>460</x:v>
      </x:c>
      <x:c r="AV79" s="119" t="n">
        <x:f>IF(7&gt;D79,0,MAX(2,MIN('难度参数'!$E$12,ROUND(('难度参数'!$E$18*POWER(A79,'难度参数'!$E$19)/D79*(0.85+0.3*(7-1)/MAX(1,D79-1))),0)+F79)))</x:f>
        <x:v>24</x:v>
      </x:c>
      <x:c r="AW79" s="119" t="n">
        <x:f>IF(7&gt;D79,0,ROUND(('难度参数'!$E$13*POWER(A79,'难度参数'!$E$20)*MIN('难度参数'!$E$23,1+MAX(0,A79-'难度参数'!$E$21)*'难度参数'!$E$22))*(36+7*7)/(36+7*(D79+1)/2)*E79,0))</x:f>
        <x:v>3380</x:v>
      </x:c>
      <x:c r="AX79" s="119" t="n">
        <x:f>IF(AV79=0,0,(AV79-IF(7=D79,1,0))*ROUND(AW79*VLOOKUP(INDEX('章节与怪物'!$E$31:$K$37,B79,7),'章节与怪物'!$A$41:$F$44,2,FALSE),0)+IF(7=D79,ROUND(AW79*'难度参数'!$E$28*'章节与怪物'!$E$17,0),0))</x:f>
        <x:v>155142</x:v>
      </x:c>
      <x:c r="AY79" s="119" t="n">
        <x:f>IF(AV79=0,0,(AV79-IF(7=D79,1,0))*VLOOKUP(INDEX('章节与怪物'!$E$31:$K$37,B79,7),'章节与怪物'!$A$41:$F$44,4,FALSE)+IF(7=D79,'难度参数'!$E$30,0))</x:f>
        <x:v>844</x:v>
      </x:c>
    </x:row>
    <x:row r="80" ht="23" customHeight="1">
      <x:c r="A80" s="119" t="n">
        <x:v>74</x:v>
      </x:c>
      <x:c r="B80" s="119" t="n">
        <x:f>MOD(INT((A80-1)/5),7)+1</x:f>
        <x:v>1</x:v>
      </x:c>
      <x:c r="C80" s="62" t="str">
        <x:f>INDEX('章节与怪物'!$B$31:$B$37,B80)</x:f>
        <x:v>冰雪荒原</x:v>
      </x:c>
      <x:c r="D80" s="119" t="n">
        <x:f>MIN('难度参数'!$E$8,MAX('难度参数'!$E$7,A80))</x:f>
        <x:v>7</x:v>
      </x:c>
      <x:c r="E80" s="106" t="n">
        <x:v>1</x:v>
      </x:c>
      <x:c r="F80" s="106" t="n">
        <x:v>0</x:v>
      </x:c>
      <x:c r="G80" s="106" t="n">
        <x:v>1</x:v>
      </x:c>
      <x:c r="H80" s="119" t="n">
        <x:f>SUM(X80,AB80,AF80,AJ80,AN80,AR80,AV80)</x:f>
        <x:v>147</x:v>
      </x:c>
      <x:c r="I80" s="119" t="n">
        <x:f>SUM(Z80,AD80,AH80,AL80,AP80,AT80,AX80)</x:f>
        <x:v>488386</x:v>
      </x:c>
      <x:c r="J80" s="119" t="n">
        <x:f>ROUND(INDEX(X80:AY80,1,(D80-1)*4+2)*'难度参数'!$E$28*'章节与怪物'!$E$17,0)</x:f>
        <x:v>23270</x:v>
      </x:c>
      <x:c r="K80" s="119" t="n">
        <x:f>SUM(AA80,AE80,AI80,AM80,AQ80,AU80,AY80)</x:f>
        <x:v>3706</x:v>
      </x:c>
      <x:c r="L80" s="62" t="n">
        <x:f>H80*(ROUNDUP('难度参数'!$E$24/('难度参数'!$E$26*'难度参数'!$E$27),0)*'难度参数'!$E$26)/60</x:f>
        <x:v>1.9600000000000002</x:v>
      </x:c>
      <x:c r="M80" s="62" t="n">
        <x:f>L80+D80*('难度参数'!$E$49+'难度参数'!$E$50)/60</x:f>
        <x:v>3.126666666666667</x:v>
      </x:c>
      <x:c r="N80" s="119" t="n">
        <x:f>ROUNDDOWN(('经济参数'!$E$20+A80*'经济参数'!$E$21)*G80,0)</x:f>
        <x:v>1660</x:v>
      </x:c>
      <x:c r="O80" s="119" t="n">
        <x:f>ROUNDDOWN(MIN('经济参数'!$E$24,'经济参数'!$E$22+A80*'经济参数'!$E$23)*G80,0)</x:f>
        <x:v>0</x:v>
      </x:c>
      <x:c r="P80" s="119" t="n">
        <x:f>ROUNDDOWN((IF(A80&gt;='材料与任务'!$E$31,'材料与任务'!$E$32,IF(A80&gt;='材料与任务'!$E$25,'材料与任务'!$E$26,IF(A80&gt;='材料与任务'!$E$19,'材料与任务'!$E$20,IF(A80&gt;='材料与任务'!$E$13,'材料与任务'!$E$14,'材料与任务'!$E$8)))))*G80,0)</x:f>
        <x:v>5</x:v>
      </x:c>
      <x:c r="Q80" s="119" t="n">
        <x:f>ROUNDDOWN((IF(A80&gt;='材料与任务'!$E$31,'材料与任务'!$E$33,IF(A80&gt;='材料与任务'!$E$25,'材料与任务'!$E$27,IF(A80&gt;='材料与任务'!$E$19,'材料与任务'!$E$21,IF(A80&gt;='材料与任务'!$E$13,'材料与任务'!$E$15,'材料与任务'!$E$9)))))*G80,0)</x:f>
        <x:v>2</x:v>
      </x:c>
      <x:c r="R80" s="110" t="n">
        <x:f>'装备掉落'!$B$38</x:f>
        <x:v>0.6872058758851213</x:v>
      </x:c>
      <x:c r="S80" s="119" t="n">
        <x:f>MAX(IF(VLOOKUP(A80,'装备掉落'!$A$29:$H$34,2,TRUE)&gt;0,1,0),IF(VLOOKUP(A80,'装备掉落'!$A$29:$H$34,3,TRUE)&gt;0,2,0),IF(VLOOKUP(A80,'装备掉落'!$A$29:$H$34,4,TRUE)&gt;0,3,0),IF(VLOOKUP(A80,'装备掉落'!$A$29:$H$34,5,TRUE)&gt;0,4,0),IF(VLOOKUP(A80,'装备掉落'!$A$29:$H$34,6,TRUE)&gt;0,5,0),IF(VLOOKUP(A80,'装备掉落'!$A$29:$H$34,7,TRUE)&gt;0,6,0),IF(VLOOKUP(A80,'装备掉落'!$A$29:$H$34,8,TRUE)&gt;0,7,0))</x:f>
        <x:v>6</x:v>
      </x:c>
      <x:c r="T80" s="119" t="n">
        <x:f>MIN(7,S80+'经济参数'!$E$70)</x:f>
        <x:v>6</x:v>
      </x:c>
      <x:c r="U80" s="119" t="n">
        <x:f>MIN(7,S80+'经济参数'!$E$71)</x:f>
        <x:v>7</x:v>
      </x:c>
      <x:c r="V80" s="119" t="n">
        <x:f>IF(H80&gt;=('难度参数'!$E$52),1,0)+IF(H80&gt;=('难度参数'!$E$52+'难度参数'!$E$53),1,0)+IF(H80&gt;=('难度参数'!$E$52+'难度参数'!$E$53+'难度参数'!$E$54),1,0)+IF(H80&gt;=('难度参数'!$E$52+'难度参数'!$E$53+'难度参数'!$E$54+'难度参数'!$E$55),1,0)+IF(H80&gt;=('难度参数'!$E$52+'难度参数'!$E$53+'难度参数'!$E$54+'难度参数'!$E$55+'难度参数'!$E$56),1,0)+IF(H80&gt;=('难度参数'!$E$52+'难度参数'!$E$53+'难度参数'!$E$54+'难度参数'!$E$55+'难度参数'!$E$56+'难度参数'!$E$57),1,0)</x:f>
        <x:v>6</x:v>
      </x:c>
      <x:c r="W80" s="62" t="str">
        <x:f>IF(L80&gt;'难度参数'!$E$51,"仅出怪已超目标","还需实测")</x:f>
        <x:v>还需实测</x:v>
      </x:c>
      <x:c r="X80" s="119" t="n">
        <x:f>IF(1&gt;D80,0,MAX(2,MIN('难度参数'!$E$12,ROUND(('难度参数'!$E$18*POWER(A80,'难度参数'!$E$19)/D80*(0.85+0.3*(1-1)/MAX(1,D80-1))),0)+F80)))</x:f>
        <x:v>18</x:v>
      </x:c>
      <x:c r="Y80" s="119" t="n">
        <x:f>IF(1&gt;D80,0,ROUND(('难度参数'!$E$13*POWER(A80,'难度参数'!$E$20)*MIN('难度参数'!$E$23,1+MAX(0,A80-'难度参数'!$E$21)*'难度参数'!$E$22))*(36+1*7)/(36+7*(D80+1)/2)*E80,0))</x:f>
        <x:v>1731</x:v>
      </x:c>
      <x:c r="Z80" s="119" t="n">
        <x:f>IF(X80=0,0,(X80-IF(1=D80,1,0))*ROUND(Y80*VLOOKUP(INDEX('章节与怪物'!$E$31:$K$37,B80,1),'章节与怪物'!$A$41:$F$44,2,FALSE),0)+IF(1=D80,ROUND(Y80*'难度参数'!$E$28*'章节与怪物'!$E$17,0),0))</x:f>
        <x:v>31158</x:v>
      </x:c>
      <x:c r="AA80" s="119" t="n">
        <x:f>IF(X80=0,0,(X80-IF(1=D80,1,0))*VLOOKUP(INDEX('章节与怪物'!$E$31:$K$37,B80,1),'章节与怪物'!$A$41:$F$44,4,FALSE)+IF(1=D80,'难度参数'!$E$30,0))</x:f>
        <x:v>324</x:v>
      </x:c>
      <x:c r="AB80" s="119" t="n">
        <x:f>IF(2&gt;D80,0,MAX(2,MIN('难度参数'!$E$12,ROUND(('难度参数'!$E$18*POWER(A80,'难度参数'!$E$19)/D80*(0.85+0.3*(2-1)/MAX(1,D80-1))),0)+F80)))</x:f>
        <x:v>19</x:v>
      </x:c>
      <x:c r="AC80" s="119" t="n">
        <x:f>IF(2&gt;D80,0,ROUND(('难度参数'!$E$13*POWER(A80,'难度参数'!$E$20)*MIN('难度参数'!$E$23,1+MAX(0,A80-'难度参数'!$E$21)*'难度参数'!$E$22))*(36+2*7)/(36+7*(D80+1)/2)*E80,0))</x:f>
        <x:v>2013</x:v>
      </x:c>
      <x:c r="AD80" s="119" t="n">
        <x:f>IF(AB80=0,0,(AB80-IF(2=D80,1,0))*ROUND(AC80*VLOOKUP(INDEX('章节与怪物'!$E$31:$K$37,B80,2),'章节与怪物'!$A$41:$F$44,2,FALSE),0)+IF(2=D80,ROUND(AC80*'难度参数'!$E$28*'章节与怪物'!$E$17,0),0))</x:f>
        <x:v>38247</x:v>
      </x:c>
      <x:c r="AE80" s="119" t="n">
        <x:f>IF(AB80=0,0,(AB80-IF(2=D80,1,0))*VLOOKUP(INDEX('章节与怪物'!$E$31:$K$37,B80,2),'章节与怪物'!$A$41:$F$44,4,FALSE)+IF(2=D80,'难度参数'!$E$30,0))</x:f>
        <x:v>342</x:v>
      </x:c>
      <x:c r="AF80" s="119" t="n">
        <x:f>IF(3&gt;D80,0,MAX(2,MIN('难度参数'!$E$12,ROUND(('难度参数'!$E$18*POWER(A80,'难度参数'!$E$19)/D80*(0.85+0.3*(3-1)/MAX(1,D80-1))),0)+F80)))</x:f>
        <x:v>20</x:v>
      </x:c>
      <x:c r="AG80" s="119" t="n">
        <x:f>IF(3&gt;D80,0,ROUND(('难度参数'!$E$13*POWER(A80,'难度参数'!$E$20)*MIN('难度参数'!$E$23,1+MAX(0,A80-'难度参数'!$E$21)*'难度参数'!$E$22))*(36+3*7)/(36+7*(D80+1)/2)*E80,0))</x:f>
        <x:v>2295</x:v>
      </x:c>
      <x:c r="AH80" s="119" t="n">
        <x:f>IF(AF80=0,0,(AF80-IF(3=D80,1,0))*ROUND(AG80*VLOOKUP(INDEX('章节与怪物'!$E$31:$K$37,B80,3),'章节与怪物'!$A$41:$F$44,2,FALSE),0)+IF(3=D80,ROUND(AG80*'难度参数'!$E$28*'章节与怪物'!$E$17,0),0))</x:f>
        <x:v>33040</x:v>
      </x:c>
      <x:c r="AI80" s="119" t="n">
        <x:f>IF(AF80=0,0,(AF80-IF(3=D80,1,0))*VLOOKUP(INDEX('章节与怪物'!$E$31:$K$37,B80,3),'章节与怪物'!$A$41:$F$44,4,FALSE)+IF(3=D80,'难度参数'!$E$30,0))</x:f>
        <x:v>400</x:v>
      </x:c>
      <x:c r="AJ80" s="119" t="n">
        <x:f>IF(4&gt;D80,0,MAX(2,MIN('难度参数'!$E$12,ROUND(('难度参数'!$E$18*POWER(A80,'难度参数'!$E$19)/D80*(0.85+0.3*(4-1)/MAX(1,D80-1))),0)+F80)))</x:f>
        <x:v>21</x:v>
      </x:c>
      <x:c r="AK80" s="119" t="n">
        <x:f>IF(4&gt;D80,0,ROUND(('难度参数'!$E$13*POWER(A80,'难度参数'!$E$20)*MIN('难度参数'!$E$23,1+MAX(0,A80-'难度参数'!$E$21)*'难度参数'!$E$22))*(36+4*7)/(36+7*(D80+1)/2)*E80,0))</x:f>
        <x:v>2577</x:v>
      </x:c>
      <x:c r="AL80" s="119" t="n">
        <x:f>IF(AJ80=0,0,(AJ80-IF(4=D80,1,0))*ROUND(AK80*VLOOKUP(INDEX('章节与怪物'!$E$31:$K$37,B80,4),'章节与怪物'!$A$41:$F$44,2,FALSE),0)+IF(4=D80,ROUND(AK80*'难度参数'!$E$28*'章节与怪物'!$E$17,0),0))</x:f>
        <x:v>92001</x:v>
      </x:c>
      <x:c r="AM80" s="119" t="n">
        <x:f>IF(AJ80=0,0,(AJ80-IF(4=D80,1,0))*VLOOKUP(INDEX('章节与怪物'!$E$31:$K$37,B80,4),'章节与怪物'!$A$41:$F$44,4,FALSE)+IF(4=D80,'难度参数'!$E$30,0))</x:f>
        <x:v>588</x:v>
      </x:c>
      <x:c r="AN80" s="119" t="n">
        <x:f>IF(5&gt;D80,0,MAX(2,MIN('难度参数'!$E$12,ROUND(('难度参数'!$E$18*POWER(A80,'难度参数'!$E$19)/D80*(0.85+0.3*(5-1)/MAX(1,D80-1))),0)+F80)))</x:f>
        <x:v>22</x:v>
      </x:c>
      <x:c r="AO80" s="119" t="n">
        <x:f>IF(5&gt;D80,0,ROUND(('难度参数'!$E$13*POWER(A80,'难度参数'!$E$20)*MIN('难度参数'!$E$23,1+MAX(0,A80-'难度参数'!$E$21)*'难度参数'!$E$22))*(36+5*7)/(36+7*(D80+1)/2)*E80,0))</x:f>
        <x:v>2858</x:v>
      </x:c>
      <x:c r="AP80" s="119" t="n">
        <x:f>IF(AN80=0,0,(AN80-IF(5=D80,1,0))*ROUND(AO80*VLOOKUP(INDEX('章节与怪物'!$E$31:$K$37,B80,5),'章节与怪物'!$A$41:$F$44,2,FALSE),0)+IF(5=D80,ROUND(AO80*'难度参数'!$E$28*'章节与怪物'!$E$17,0),0))</x:f>
        <x:v>84876</x:v>
      </x:c>
      <x:c r="AQ80" s="119" t="n">
        <x:f>IF(AN80=0,0,(AN80-IF(5=D80,1,0))*VLOOKUP(INDEX('章节与怪物'!$E$31:$K$37,B80,5),'章节与怪物'!$A$41:$F$44,4,FALSE)+IF(5=D80,'难度参数'!$E$30,0))</x:f>
        <x:v>748</x:v>
      </x:c>
      <x:c r="AR80" s="119" t="n">
        <x:f>IF(6&gt;D80,0,MAX(2,MIN('难度参数'!$E$12,ROUND(('难度参数'!$E$18*POWER(A80,'难度参数'!$E$19)/D80*(0.85+0.3*(6-1)/MAX(1,D80-1))),0)+F80)))</x:f>
        <x:v>23</x:v>
      </x:c>
      <x:c r="AS80" s="119" t="n">
        <x:f>IF(6&gt;D80,0,ROUND(('难度参数'!$E$13*POWER(A80,'难度参数'!$E$20)*MIN('难度参数'!$E$23,1+MAX(0,A80-'难度参数'!$E$21)*'难度参数'!$E$22))*(36+6*7)/(36+7*(D80+1)/2)*E80,0))</x:f>
        <x:v>3140</x:v>
      </x:c>
      <x:c r="AT80" s="119" t="n">
        <x:f>IF(AR80=0,0,(AR80-IF(6=D80,1,0))*ROUND(AS80*VLOOKUP(INDEX('章节与怪物'!$E$31:$K$37,B80,6),'章节与怪物'!$A$41:$F$44,2,FALSE),0)+IF(6=D80,ROUND(AS80*'难度参数'!$E$28*'章节与怪物'!$E$17,0),0))</x:f>
        <x:v>52003</x:v>
      </x:c>
      <x:c r="AU80" s="119" t="n">
        <x:f>IF(AR80=0,0,(AR80-IF(6=D80,1,0))*VLOOKUP(INDEX('章节与怪物'!$E$31:$K$37,B80,6),'章节与怪物'!$A$41:$F$44,4,FALSE)+IF(6=D80,'难度参数'!$E$30,0))</x:f>
        <x:v>460</x:v>
      </x:c>
      <x:c r="AV80" s="119" t="n">
        <x:f>IF(7&gt;D80,0,MAX(2,MIN('难度参数'!$E$12,ROUND(('难度参数'!$E$18*POWER(A80,'难度参数'!$E$19)/D80*(0.85+0.3*(7-1)/MAX(1,D80-1))),0)+F80)))</x:f>
        <x:v>24</x:v>
      </x:c>
      <x:c r="AW80" s="119" t="n">
        <x:f>IF(7&gt;D80,0,ROUND(('难度参数'!$E$13*POWER(A80,'难度参数'!$E$20)*MIN('难度参数'!$E$23,1+MAX(0,A80-'难度参数'!$E$21)*'难度参数'!$E$22))*(36+7*7)/(36+7*(D80+1)/2)*E80,0))</x:f>
        <x:v>3422</x:v>
      </x:c>
      <x:c r="AX80" s="119" t="n">
        <x:f>IF(AV80=0,0,(AV80-IF(7=D80,1,0))*ROUND(AW80*VLOOKUP(INDEX('章节与怪物'!$E$31:$K$37,B80,7),'章节与怪物'!$A$41:$F$44,2,FALSE),0)+IF(7=D80,ROUND(AW80*'难度参数'!$E$28*'章节与怪物'!$E$17,0),0))</x:f>
        <x:v>157061</x:v>
      </x:c>
      <x:c r="AY80" s="119" t="n">
        <x:f>IF(AV80=0,0,(AV80-IF(7=D80,1,0))*VLOOKUP(INDEX('章节与怪物'!$E$31:$K$37,B80,7),'章节与怪物'!$A$41:$F$44,4,FALSE)+IF(7=D80,'难度参数'!$E$30,0))</x:f>
        <x:v>844</x:v>
      </x:c>
    </x:row>
    <x:row r="81" ht="23" customHeight="1">
      <x:c r="A81" s="119" t="n">
        <x:v>75</x:v>
      </x:c>
      <x:c r="B81" s="119" t="n">
        <x:f>MOD(INT((A81-1)/5),7)+1</x:f>
        <x:v>1</x:v>
      </x:c>
      <x:c r="C81" s="62" t="str">
        <x:f>INDEX('章节与怪物'!$B$31:$B$37,B81)</x:f>
        <x:v>冰雪荒原</x:v>
      </x:c>
      <x:c r="D81" s="119" t="n">
        <x:f>MIN('难度参数'!$E$8,MAX('难度参数'!$E$7,A81))</x:f>
        <x:v>7</x:v>
      </x:c>
      <x:c r="E81" s="106" t="n">
        <x:v>1</x:v>
      </x:c>
      <x:c r="F81" s="106" t="n">
        <x:v>0</x:v>
      </x:c>
      <x:c r="G81" s="106" t="n">
        <x:v>1</x:v>
      </x:c>
      <x:c r="H81" s="119" t="n">
        <x:f>SUM(X81,AB81,AF81,AJ81,AN81,AR81,AV81)</x:f>
        <x:v>149</x:v>
      </x:c>
      <x:c r="I81" s="119" t="n">
        <x:f>SUM(Z81,AD81,AH81,AL81,AP81,AT81,AX81)</x:f>
        <x:v>502631</x:v>
      </x:c>
      <x:c r="J81" s="119" t="n">
        <x:f>ROUND(INDEX(X81:AY81,1,(D81-1)*4+2)*'难度参数'!$E$28*'章节与怪物'!$E$17,0)</x:f>
        <x:v>23555</x:v>
      </x:c>
      <x:c r="K81" s="119" t="n">
        <x:f>SUM(AA81,AE81,AI81,AM81,AQ81,AU81,AY81)</x:f>
        <x:v>3754</x:v>
      </x:c>
      <x:c r="L81" s="62" t="n">
        <x:f>H81*(ROUNDUP('难度参数'!$E$24/('难度参数'!$E$26*'难度参数'!$E$27),0)*'难度参数'!$E$26)/60</x:f>
        <x:v>1.9866666666666668</x:v>
      </x:c>
      <x:c r="M81" s="62" t="n">
        <x:f>L81+D81*('难度参数'!$E$49+'难度参数'!$E$50)/60</x:f>
        <x:v>3.1533333333333333</x:v>
      </x:c>
      <x:c r="N81" s="119" t="n">
        <x:f>ROUNDDOWN(('经济参数'!$E$20+A81*'经济参数'!$E$21)*G81,0)</x:f>
        <x:v>1680</x:v>
      </x:c>
      <x:c r="O81" s="119" t="n">
        <x:f>ROUNDDOWN(MIN('经济参数'!$E$24,'经济参数'!$E$22+A81*'经济参数'!$E$23)*G81,0)</x:f>
        <x:v>0</x:v>
      </x:c>
      <x:c r="P81" s="119" t="n">
        <x:f>ROUNDDOWN((IF(A81&gt;='材料与任务'!$E$31,'材料与任务'!$E$32,IF(A81&gt;='材料与任务'!$E$25,'材料与任务'!$E$26,IF(A81&gt;='材料与任务'!$E$19,'材料与任务'!$E$20,IF(A81&gt;='材料与任务'!$E$13,'材料与任务'!$E$14,'材料与任务'!$E$8)))))*G81,0)</x:f>
        <x:v>5</x:v>
      </x:c>
      <x:c r="Q81" s="119" t="n">
        <x:f>ROUNDDOWN((IF(A81&gt;='材料与任务'!$E$31,'材料与任务'!$E$33,IF(A81&gt;='材料与任务'!$E$25,'材料与任务'!$E$27,IF(A81&gt;='材料与任务'!$E$19,'材料与任务'!$E$21,IF(A81&gt;='材料与任务'!$E$13,'材料与任务'!$E$15,'材料与任务'!$E$9)))))*G81,0)</x:f>
        <x:v>2</x:v>
      </x:c>
      <x:c r="R81" s="110" t="n">
        <x:f>'装备掉落'!$B$38</x:f>
        <x:v>0.6872058758851213</x:v>
      </x:c>
      <x:c r="S81" s="119" t="n">
        <x:f>MAX(IF(VLOOKUP(A81,'装备掉落'!$A$29:$H$34,2,TRUE)&gt;0,1,0),IF(VLOOKUP(A81,'装备掉落'!$A$29:$H$34,3,TRUE)&gt;0,2,0),IF(VLOOKUP(A81,'装备掉落'!$A$29:$H$34,4,TRUE)&gt;0,3,0),IF(VLOOKUP(A81,'装备掉落'!$A$29:$H$34,5,TRUE)&gt;0,4,0),IF(VLOOKUP(A81,'装备掉落'!$A$29:$H$34,6,TRUE)&gt;0,5,0),IF(VLOOKUP(A81,'装备掉落'!$A$29:$H$34,7,TRUE)&gt;0,6,0),IF(VLOOKUP(A81,'装备掉落'!$A$29:$H$34,8,TRUE)&gt;0,7,0))</x:f>
        <x:v>6</x:v>
      </x:c>
      <x:c r="T81" s="119" t="n">
        <x:f>MIN(7,S81+'经济参数'!$E$70)</x:f>
        <x:v>6</x:v>
      </x:c>
      <x:c r="U81" s="119" t="n">
        <x:f>MIN(7,S81+'经济参数'!$E$71)</x:f>
        <x:v>7</x:v>
      </x:c>
      <x:c r="V81" s="119" t="n">
        <x:f>IF(H81&gt;=('难度参数'!$E$52),1,0)+IF(H81&gt;=('难度参数'!$E$52+'难度参数'!$E$53),1,0)+IF(H81&gt;=('难度参数'!$E$52+'难度参数'!$E$53+'难度参数'!$E$54),1,0)+IF(H81&gt;=('难度参数'!$E$52+'难度参数'!$E$53+'难度参数'!$E$54+'难度参数'!$E$55),1,0)+IF(H81&gt;=('难度参数'!$E$52+'难度参数'!$E$53+'难度参数'!$E$54+'难度参数'!$E$55+'难度参数'!$E$56),1,0)+IF(H81&gt;=('难度参数'!$E$52+'难度参数'!$E$53+'难度参数'!$E$54+'难度参数'!$E$55+'难度参数'!$E$56+'难度参数'!$E$57),1,0)</x:f>
        <x:v>6</x:v>
      </x:c>
      <x:c r="W81" s="62" t="str">
        <x:f>IF(L81&gt;'难度参数'!$E$51,"仅出怪已超目标","还需实测")</x:f>
        <x:v>还需实测</x:v>
      </x:c>
      <x:c r="X81" s="119" t="n">
        <x:f>IF(1&gt;D81,0,MAX(2,MIN('难度参数'!$E$12,ROUND(('难度参数'!$E$18*POWER(A81,'难度参数'!$E$19)/D81*(0.85+0.3*(1-1)/MAX(1,D81-1))),0)+F81)))</x:f>
        <x:v>18</x:v>
      </x:c>
      <x:c r="Y81" s="119" t="n">
        <x:f>IF(1&gt;D81,0,ROUND(('难度参数'!$E$13*POWER(A81,'难度参数'!$E$20)*MIN('难度参数'!$E$23,1+MAX(0,A81-'难度参数'!$E$21)*'难度参数'!$E$22))*(36+1*7)/(36+7*(D81+1)/2)*E81,0))</x:f>
        <x:v>1753</x:v>
      </x:c>
      <x:c r="Z81" s="119" t="n">
        <x:f>IF(X81=0,0,(X81-IF(1=D81,1,0))*ROUND(Y81*VLOOKUP(INDEX('章节与怪物'!$E$31:$K$37,B81,1),'章节与怪物'!$A$41:$F$44,2,FALSE),0)+IF(1=D81,ROUND(Y81*'难度参数'!$E$28*'章节与怪物'!$E$17,0),0))</x:f>
        <x:v>31554</x:v>
      </x:c>
      <x:c r="AA81" s="119" t="n">
        <x:f>IF(X81=0,0,(X81-IF(1=D81,1,0))*VLOOKUP(INDEX('章节与怪物'!$E$31:$K$37,B81,1),'章节与怪物'!$A$41:$F$44,4,FALSE)+IF(1=D81,'难度参数'!$E$30,0))</x:f>
        <x:v>324</x:v>
      </x:c>
      <x:c r="AB81" s="119" t="n">
        <x:f>IF(2&gt;D81,0,MAX(2,MIN('难度参数'!$E$12,ROUND(('难度参数'!$E$18*POWER(A81,'难度参数'!$E$19)/D81*(0.85+0.3*(2-1)/MAX(1,D81-1))),0)+F81)))</x:f>
        <x:v>19</x:v>
      </x:c>
      <x:c r="AC81" s="119" t="n">
        <x:f>IF(2&gt;D81,0,ROUND(('难度参数'!$E$13*POWER(A81,'难度参数'!$E$20)*MIN('难度参数'!$E$23,1+MAX(0,A81-'难度参数'!$E$21)*'难度参数'!$E$22))*(36+2*7)/(36+7*(D81+1)/2)*E81,0))</x:f>
        <x:v>2038</x:v>
      </x:c>
      <x:c r="AD81" s="119" t="n">
        <x:f>IF(AB81=0,0,(AB81-IF(2=D81,1,0))*ROUND(AC81*VLOOKUP(INDEX('章节与怪物'!$E$31:$K$37,B81,2),'章节与怪物'!$A$41:$F$44,2,FALSE),0)+IF(2=D81,ROUND(AC81*'难度参数'!$E$28*'章节与怪物'!$E$17,0),0))</x:f>
        <x:v>38722</x:v>
      </x:c>
      <x:c r="AE81" s="119" t="n">
        <x:f>IF(AB81=0,0,(AB81-IF(2=D81,1,0))*VLOOKUP(INDEX('章节与怪物'!$E$31:$K$37,B81,2),'章节与怪物'!$A$41:$F$44,4,FALSE)+IF(2=D81,'难度参数'!$E$30,0))</x:f>
        <x:v>342</x:v>
      </x:c>
      <x:c r="AF81" s="119" t="n">
        <x:f>IF(3&gt;D81,0,MAX(2,MIN('难度参数'!$E$12,ROUND(('难度参数'!$E$18*POWER(A81,'难度参数'!$E$19)/D81*(0.85+0.3*(3-1)/MAX(1,D81-1))),0)+F81)))</x:f>
        <x:v>20</x:v>
      </x:c>
      <x:c r="AG81" s="119" t="n">
        <x:f>IF(3&gt;D81,0,ROUND(('难度参数'!$E$13*POWER(A81,'难度参数'!$E$20)*MIN('难度参数'!$E$23,1+MAX(0,A81-'难度参数'!$E$21)*'难度参数'!$E$22))*(36+3*7)/(36+7*(D81+1)/2)*E81,0))</x:f>
        <x:v>2323</x:v>
      </x:c>
      <x:c r="AH81" s="119" t="n">
        <x:f>IF(AF81=0,0,(AF81-IF(3=D81,1,0))*ROUND(AG81*VLOOKUP(INDEX('章节与怪物'!$E$31:$K$37,B81,3),'章节与怪物'!$A$41:$F$44,2,FALSE),0)+IF(3=D81,ROUND(AG81*'难度参数'!$E$28*'章节与怪物'!$E$17,0),0))</x:f>
        <x:v>33460</x:v>
      </x:c>
      <x:c r="AI81" s="119" t="n">
        <x:f>IF(AF81=0,0,(AF81-IF(3=D81,1,0))*VLOOKUP(INDEX('章节与怪物'!$E$31:$K$37,B81,3),'章节与怪物'!$A$41:$F$44,4,FALSE)+IF(3=D81,'难度参数'!$E$30,0))</x:f>
        <x:v>400</x:v>
      </x:c>
      <x:c r="AJ81" s="119" t="n">
        <x:f>IF(4&gt;D81,0,MAX(2,MIN('难度参数'!$E$12,ROUND(('难度参数'!$E$18*POWER(A81,'难度参数'!$E$19)/D81*(0.85+0.3*(4-1)/MAX(1,D81-1))),0)+F81)))</x:f>
        <x:v>21</x:v>
      </x:c>
      <x:c r="AK81" s="119" t="n">
        <x:f>IF(4&gt;D81,0,ROUND(('难度参数'!$E$13*POWER(A81,'难度参数'!$E$20)*MIN('难度参数'!$E$23,1+MAX(0,A81-'难度参数'!$E$21)*'难度参数'!$E$22))*(36+4*7)/(36+7*(D81+1)/2)*E81,0))</x:f>
        <x:v>2608</x:v>
      </x:c>
      <x:c r="AL81" s="119" t="n">
        <x:f>IF(AJ81=0,0,(AJ81-IF(4=D81,1,0))*ROUND(AK81*VLOOKUP(INDEX('章节与怪物'!$E$31:$K$37,B81,4),'章节与怪物'!$A$41:$F$44,2,FALSE),0)+IF(4=D81,ROUND(AK81*'难度参数'!$E$28*'章节与怪物'!$E$17,0),0))</x:f>
        <x:v>93114</x:v>
      </x:c>
      <x:c r="AM81" s="119" t="n">
        <x:f>IF(AJ81=0,0,(AJ81-IF(4=D81,1,0))*VLOOKUP(INDEX('章节与怪物'!$E$31:$K$37,B81,4),'章节与怪物'!$A$41:$F$44,4,FALSE)+IF(4=D81,'难度参数'!$E$30,0))</x:f>
        <x:v>588</x:v>
      </x:c>
      <x:c r="AN81" s="119" t="n">
        <x:f>IF(5&gt;D81,0,MAX(2,MIN('难度参数'!$E$12,ROUND(('难度参数'!$E$18*POWER(A81,'难度参数'!$E$19)/D81*(0.85+0.3*(5-1)/MAX(1,D81-1))),0)+F81)))</x:f>
        <x:v>22</x:v>
      </x:c>
      <x:c r="AO81" s="119" t="n">
        <x:f>IF(5&gt;D81,0,ROUND(('难度参数'!$E$13*POWER(A81,'难度参数'!$E$20)*MIN('难度参数'!$E$23,1+MAX(0,A81-'难度参数'!$E$21)*'难度参数'!$E$22))*(36+5*7)/(36+7*(D81+1)/2)*E81,0))</x:f>
        <x:v>2894</x:v>
      </x:c>
      <x:c r="AP81" s="119" t="n">
        <x:f>IF(AN81=0,0,(AN81-IF(5=D81,1,0))*ROUND(AO81*VLOOKUP(INDEX('章节与怪物'!$E$31:$K$37,B81,5),'章节与怪物'!$A$41:$F$44,2,FALSE),0)+IF(5=D81,ROUND(AO81*'难度参数'!$E$28*'章节与怪物'!$E$17,0),0))</x:f>
        <x:v>85954</x:v>
      </x:c>
      <x:c r="AQ81" s="119" t="n">
        <x:f>IF(AN81=0,0,(AN81-IF(5=D81,1,0))*VLOOKUP(INDEX('章节与怪物'!$E$31:$K$37,B81,5),'章节与怪物'!$A$41:$F$44,4,FALSE)+IF(5=D81,'难度参数'!$E$30,0))</x:f>
        <x:v>748</x:v>
      </x:c>
      <x:c r="AR81" s="119" t="n">
        <x:f>IF(6&gt;D81,0,MAX(2,MIN('难度参数'!$E$12,ROUND(('难度参数'!$E$18*POWER(A81,'难度参数'!$E$19)/D81*(0.85+0.3*(6-1)/MAX(1,D81-1))),0)+F81)))</x:f>
        <x:v>24</x:v>
      </x:c>
      <x:c r="AS81" s="119" t="n">
        <x:f>IF(6&gt;D81,0,ROUND(('难度参数'!$E$13*POWER(A81,'难度参数'!$E$20)*MIN('难度参数'!$E$23,1+MAX(0,A81-'难度参数'!$E$21)*'难度参数'!$E$22))*(36+6*7)/(36+7*(D81+1)/2)*E81,0))</x:f>
        <x:v>3179</x:v>
      </x:c>
      <x:c r="AT81" s="119" t="n">
        <x:f>IF(AR81=0,0,(AR81-IF(6=D81,1,0))*ROUND(AS81*VLOOKUP(INDEX('章节与怪物'!$E$31:$K$37,B81,6),'章节与怪物'!$A$41:$F$44,2,FALSE),0)+IF(6=D81,ROUND(AS81*'难度参数'!$E$28*'章节与怪物'!$E$17,0),0))</x:f>
        <x:v>54936</x:v>
      </x:c>
      <x:c r="AU81" s="119" t="n">
        <x:f>IF(AR81=0,0,(AR81-IF(6=D81,1,0))*VLOOKUP(INDEX('章节与怪物'!$E$31:$K$37,B81,6),'章节与怪物'!$A$41:$F$44,4,FALSE)+IF(6=D81,'难度参数'!$E$30,0))</x:f>
        <x:v>480</x:v>
      </x:c>
      <x:c r="AV81" s="119" t="n">
        <x:f>IF(7&gt;D81,0,MAX(2,MIN('难度参数'!$E$12,ROUND(('难度参数'!$E$18*POWER(A81,'难度参数'!$E$19)/D81*(0.85+0.3*(7-1)/MAX(1,D81-1))),0)+F81)))</x:f>
        <x:v>25</x:v>
      </x:c>
      <x:c r="AW81" s="119" t="n">
        <x:f>IF(7&gt;D81,0,ROUND(('难度参数'!$E$13*POWER(A81,'难度参数'!$E$20)*MIN('难度参数'!$E$23,1+MAX(0,A81-'难度参数'!$E$21)*'难度参数'!$E$22))*(36+7*7)/(36+7*(D81+1)/2)*E81,0))</x:f>
        <x:v>3464</x:v>
      </x:c>
      <x:c r="AX81" s="119" t="n">
        <x:f>IF(AV81=0,0,(AV81-IF(7=D81,1,0))*ROUND(AW81*VLOOKUP(INDEX('章节与怪物'!$E$31:$K$37,B81,7),'章节与怪物'!$A$41:$F$44,2,FALSE),0)+IF(7=D81,ROUND(AW81*'难度参数'!$E$28*'章节与怪物'!$E$17,0),0))</x:f>
        <x:v>164891</x:v>
      </x:c>
      <x:c r="AY81" s="119" t="n">
        <x:f>IF(AV81=0,0,(AV81-IF(7=D81,1,0))*VLOOKUP(INDEX('章节与怪物'!$E$31:$K$37,B81,7),'章节与怪物'!$A$41:$F$44,4,FALSE)+IF(7=D81,'难度参数'!$E$30,0))</x:f>
        <x:v>872</x:v>
      </x:c>
    </x:row>
    <x:row r="82" ht="23" customHeight="1">
      <x:c r="A82" s="119" t="n">
        <x:v>76</x:v>
      </x:c>
      <x:c r="B82" s="119" t="n">
        <x:f>MOD(INT((A82-1)/5),7)+1</x:f>
        <x:v>2</x:v>
      </x:c>
      <x:c r="C82" s="62" t="str">
        <x:f>INDEX('章节与怪物'!$B$31:$B$37,B82)</x:f>
        <x:v>黄沙要塞</x:v>
      </x:c>
      <x:c r="D82" s="119" t="n">
        <x:f>MIN('难度参数'!$E$8,MAX('难度参数'!$E$7,A82))</x:f>
        <x:v>7</x:v>
      </x:c>
      <x:c r="E82" s="106" t="n">
        <x:v>1</x:v>
      </x:c>
      <x:c r="F82" s="106" t="n">
        <x:v>0</x:v>
      </x:c>
      <x:c r="G82" s="106" t="n">
        <x:v>1</x:v>
      </x:c>
      <x:c r="H82" s="119" t="n">
        <x:f>SUM(X82,AB82,AF82,AJ82,AN82,AR82,AV82)</x:f>
        <x:v>150</x:v>
      </x:c>
      <x:c r="I82" s="119" t="n">
        <x:f>SUM(Z82,AD82,AH82,AL82,AP82,AT82,AX82)</x:f>
        <x:v>553071</x:v>
      </x:c>
      <x:c r="J82" s="119" t="n">
        <x:f>ROUND(INDEX(X82:AY82,1,(D82-1)*4+2)*'难度参数'!$E$28*'章节与怪物'!$E$17,0)</x:f>
        <x:v>23841</x:v>
      </x:c>
      <x:c r="K82" s="119" t="n">
        <x:f>SUM(AA82,AE82,AI82,AM82,AQ82,AU82,AY82)</x:f>
        <x:v>4078</x:v>
      </x:c>
      <x:c r="L82" s="62" t="n">
        <x:f>H82*(ROUNDUP('难度参数'!$E$24/('难度参数'!$E$26*'难度参数'!$E$27),0)*'难度参数'!$E$26)/60</x:f>
        <x:v>2</x:v>
      </x:c>
      <x:c r="M82" s="62" t="n">
        <x:f>L82+D82*('难度参数'!$E$49+'难度参数'!$E$50)/60</x:f>
        <x:v>3.166666666666667</x:v>
      </x:c>
      <x:c r="N82" s="119" t="n">
        <x:f>ROUNDDOWN(('经济参数'!$E$20+A82*'经济参数'!$E$21)*G82,0)</x:f>
        <x:v>1700</x:v>
      </x:c>
      <x:c r="O82" s="119" t="n">
        <x:f>ROUNDDOWN(MIN('经济参数'!$E$24,'经济参数'!$E$22+A82*'经济参数'!$E$23)*G82,0)</x:f>
        <x:v>0</x:v>
      </x:c>
      <x:c r="P82" s="119" t="n">
        <x:f>ROUNDDOWN((IF(A82&gt;='材料与任务'!$E$31,'材料与任务'!$E$32,IF(A82&gt;='材料与任务'!$E$25,'材料与任务'!$E$26,IF(A82&gt;='材料与任务'!$E$19,'材料与任务'!$E$20,IF(A82&gt;='材料与任务'!$E$13,'材料与任务'!$E$14,'材料与任务'!$E$8)))))*G82,0)</x:f>
        <x:v>5</x:v>
      </x:c>
      <x:c r="Q82" s="119" t="n">
        <x:f>ROUNDDOWN((IF(A82&gt;='材料与任务'!$E$31,'材料与任务'!$E$33,IF(A82&gt;='材料与任务'!$E$25,'材料与任务'!$E$27,IF(A82&gt;='材料与任务'!$E$19,'材料与任务'!$E$21,IF(A82&gt;='材料与任务'!$E$13,'材料与任务'!$E$15,'材料与任务'!$E$9)))))*G82,0)</x:f>
        <x:v>2</x:v>
      </x:c>
      <x:c r="R82" s="110" t="n">
        <x:f>'装备掉落'!$B$38</x:f>
        <x:v>0.6872058758851213</x:v>
      </x:c>
      <x:c r="S82" s="119" t="n">
        <x:f>MAX(IF(VLOOKUP(A82,'装备掉落'!$A$29:$H$34,2,TRUE)&gt;0,1,0),IF(VLOOKUP(A82,'装备掉落'!$A$29:$H$34,3,TRUE)&gt;0,2,0),IF(VLOOKUP(A82,'装备掉落'!$A$29:$H$34,4,TRUE)&gt;0,3,0),IF(VLOOKUP(A82,'装备掉落'!$A$29:$H$34,5,TRUE)&gt;0,4,0),IF(VLOOKUP(A82,'装备掉落'!$A$29:$H$34,6,TRUE)&gt;0,5,0),IF(VLOOKUP(A82,'装备掉落'!$A$29:$H$34,7,TRUE)&gt;0,6,0),IF(VLOOKUP(A82,'装备掉落'!$A$29:$H$34,8,TRUE)&gt;0,7,0))</x:f>
        <x:v>6</x:v>
      </x:c>
      <x:c r="T82" s="119" t="n">
        <x:f>MIN(7,S82+'经济参数'!$E$70)</x:f>
        <x:v>6</x:v>
      </x:c>
      <x:c r="U82" s="119" t="n">
        <x:f>MIN(7,S82+'经济参数'!$E$71)</x:f>
        <x:v>7</x:v>
      </x:c>
      <x:c r="V82" s="119" t="n">
        <x:f>IF(H82&gt;=('难度参数'!$E$52),1,0)+IF(H82&gt;=('难度参数'!$E$52+'难度参数'!$E$53),1,0)+IF(H82&gt;=('难度参数'!$E$52+'难度参数'!$E$53+'难度参数'!$E$54),1,0)+IF(H82&gt;=('难度参数'!$E$52+'难度参数'!$E$53+'难度参数'!$E$54+'难度参数'!$E$55),1,0)+IF(H82&gt;=('难度参数'!$E$52+'难度参数'!$E$53+'难度参数'!$E$54+'难度参数'!$E$55+'难度参数'!$E$56),1,0)+IF(H82&gt;=('难度参数'!$E$52+'难度参数'!$E$53+'难度参数'!$E$54+'难度参数'!$E$55+'难度参数'!$E$56+'难度参数'!$E$57),1,0)</x:f>
        <x:v>6</x:v>
      </x:c>
      <x:c r="W82" s="62" t="str">
        <x:f>IF(L82&gt;'难度参数'!$E$51,"仅出怪已超目标","还需实测")</x:f>
        <x:v>还需实测</x:v>
      </x:c>
      <x:c r="X82" s="119" t="n">
        <x:f>IF(1&gt;D82,0,MAX(2,MIN('难度参数'!$E$12,ROUND(('难度参数'!$E$18*POWER(A82,'难度参数'!$E$19)/D82*(0.85+0.3*(1-1)/MAX(1,D82-1))),0)+F82)))</x:f>
        <x:v>18</x:v>
      </x:c>
      <x:c r="Y82" s="119" t="n">
        <x:f>IF(1&gt;D82,0,ROUND(('难度参数'!$E$13*POWER(A82,'难度参数'!$E$20)*MIN('难度参数'!$E$23,1+MAX(0,A82-'难度参数'!$E$21)*'难度参数'!$E$22))*(36+1*7)/(36+7*(D82+1)/2)*E82,0))</x:f>
        <x:v>1774</x:v>
      </x:c>
      <x:c r="Z82" s="119" t="n">
        <x:f>IF(X82=0,0,(X82-IF(1=D82,1,0))*ROUND(Y82*VLOOKUP(INDEX('章节与怪物'!$E$31:$K$37,B82,1),'章节与怪物'!$A$41:$F$44,2,FALSE),0)+IF(1=D82,ROUND(Y82*'难度参数'!$E$28*'章节与怪物'!$E$17,0),0))</x:f>
        <x:v>22986</x:v>
      </x:c>
      <x:c r="AA82" s="119" t="n">
        <x:f>IF(X82=0,0,(X82-IF(1=D82,1,0))*VLOOKUP(INDEX('章节与怪物'!$E$31:$K$37,B82,1),'章节与怪物'!$A$41:$F$44,4,FALSE)+IF(1=D82,'难度参数'!$E$30,0))</x:f>
        <x:v>360</x:v>
      </x:c>
      <x:c r="AB82" s="119" t="n">
        <x:f>IF(2&gt;D82,0,MAX(2,MIN('难度参数'!$E$12,ROUND(('难度参数'!$E$18*POWER(A82,'难度参数'!$E$19)/D82*(0.85+0.3*(2-1)/MAX(1,D82-1))),0)+F82)))</x:f>
        <x:v>19</x:v>
      </x:c>
      <x:c r="AC82" s="119" t="n">
        <x:f>IF(2&gt;D82,0,ROUND(('难度参数'!$E$13*POWER(A82,'难度参数'!$E$20)*MIN('难度参数'!$E$23,1+MAX(0,A82-'难度参数'!$E$21)*'难度参数'!$E$22))*(36+2*7)/(36+7*(D82+1)/2)*E82,0))</x:f>
        <x:v>2063</x:v>
      </x:c>
      <x:c r="AD82" s="119" t="n">
        <x:f>IF(AB82=0,0,(AB82-IF(2=D82,1,0))*ROUND(AC82*VLOOKUP(INDEX('章节与怪物'!$E$31:$K$37,B82,2),'章节与怪物'!$A$41:$F$44,2,FALSE),0)+IF(2=D82,ROUND(AC82*'难度参数'!$E$28*'章节与怪物'!$E$17,0),0))</x:f>
        <x:v>39197</x:v>
      </x:c>
      <x:c r="AE82" s="119" t="n">
        <x:f>IF(AB82=0,0,(AB82-IF(2=D82,1,0))*VLOOKUP(INDEX('章节与怪物'!$E$31:$K$37,B82,2),'章节与怪物'!$A$41:$F$44,4,FALSE)+IF(2=D82,'难度参数'!$E$30,0))</x:f>
        <x:v>342</x:v>
      </x:c>
      <x:c r="AF82" s="119" t="n">
        <x:f>IF(3&gt;D82,0,MAX(2,MIN('难度参数'!$E$12,ROUND(('难度参数'!$E$18*POWER(A82,'难度参数'!$E$19)/D82*(0.85+0.3*(3-1)/MAX(1,D82-1))),0)+F82)))</x:f>
        <x:v>20</x:v>
      </x:c>
      <x:c r="AG82" s="119" t="n">
        <x:f>IF(3&gt;D82,0,ROUND(('难度参数'!$E$13*POWER(A82,'难度参数'!$E$20)*MIN('难度参数'!$E$23,1+MAX(0,A82-'难度参数'!$E$21)*'难度参数'!$E$22))*(36+3*7)/(36+7*(D82+1)/2)*E82,0))</x:f>
        <x:v>2351</x:v>
      </x:c>
      <x:c r="AH82" s="119" t="n">
        <x:f>IF(AF82=0,0,(AF82-IF(3=D82,1,0))*ROUND(AG82*VLOOKUP(INDEX('章节与怪物'!$E$31:$K$37,B82,3),'章节与怪物'!$A$41:$F$44,2,FALSE),0)+IF(3=D82,ROUND(AG82*'难度参数'!$E$28*'章节与怪物'!$E$17,0),0))</x:f>
        <x:v>79940</x:v>
      </x:c>
      <x:c r="AI82" s="119" t="n">
        <x:f>IF(AF82=0,0,(AF82-IF(3=D82,1,0))*VLOOKUP(INDEX('章节与怪物'!$E$31:$K$37,B82,3),'章节与怪物'!$A$41:$F$44,4,FALSE)+IF(3=D82,'难度参数'!$E$30,0))</x:f>
        <x:v>560</x:v>
      </x:c>
      <x:c r="AJ82" s="119" t="n">
        <x:f>IF(4&gt;D82,0,MAX(2,MIN('难度参数'!$E$12,ROUND(('难度参数'!$E$18*POWER(A82,'难度参数'!$E$19)/D82*(0.85+0.3*(4-1)/MAX(1,D82-1))),0)+F82)))</x:f>
        <x:v>21</x:v>
      </x:c>
      <x:c r="AK82" s="119" t="n">
        <x:f>IF(4&gt;D82,0,ROUND(('难度参数'!$E$13*POWER(A82,'难度参数'!$E$20)*MIN('难度参数'!$E$23,1+MAX(0,A82-'难度参数'!$E$21)*'难度参数'!$E$22))*(36+4*7)/(36+7*(D82+1)/2)*E82,0))</x:f>
        <x:v>2640</x:v>
      </x:c>
      <x:c r="AL82" s="119" t="n">
        <x:f>IF(AJ82=0,0,(AJ82-IF(4=D82,1,0))*ROUND(AK82*VLOOKUP(INDEX('章节与怪物'!$E$31:$K$37,B82,4),'章节与怪物'!$A$41:$F$44,2,FALSE),0)+IF(4=D82,ROUND(AK82*'难度参数'!$E$28*'章节与怪物'!$E$17,0),0))</x:f>
        <x:v>74844</x:v>
      </x:c>
      <x:c r="AM82" s="119" t="n">
        <x:f>IF(AJ82=0,0,(AJ82-IF(4=D82,1,0))*VLOOKUP(INDEX('章节与怪物'!$E$31:$K$37,B82,4),'章节与怪物'!$A$41:$F$44,4,FALSE)+IF(4=D82,'难度参数'!$E$30,0))</x:f>
        <x:v>714</x:v>
      </x:c>
      <x:c r="AN82" s="119" t="n">
        <x:f>IF(5&gt;D82,0,MAX(2,MIN('难度参数'!$E$12,ROUND(('难度参数'!$E$18*POWER(A82,'难度参数'!$E$19)/D82*(0.85+0.3*(5-1)/MAX(1,D82-1))),0)+F82)))</x:f>
        <x:v>23</x:v>
      </x:c>
      <x:c r="AO82" s="119" t="n">
        <x:f>IF(5&gt;D82,0,ROUND(('难度参数'!$E$13*POWER(A82,'难度参数'!$E$20)*MIN('难度参数'!$E$23,1+MAX(0,A82-'难度参数'!$E$21)*'难度参数'!$E$22))*(36+5*7)/(36+7*(D82+1)/2)*E82,0))</x:f>
        <x:v>2929</x:v>
      </x:c>
      <x:c r="AP82" s="119" t="n">
        <x:f>IF(AN82=0,0,(AN82-IF(5=D82,1,0))*ROUND(AO82*VLOOKUP(INDEX('章节与怪物'!$E$31:$K$37,B82,5),'章节与怪物'!$A$41:$F$44,2,FALSE),0)+IF(5=D82,ROUND(AO82*'难度参数'!$E$28*'章节与怪物'!$E$17,0),0))</x:f>
        <x:v>67367</x:v>
      </x:c>
      <x:c r="AQ82" s="119" t="n">
        <x:f>IF(AN82=0,0,(AN82-IF(5=D82,1,0))*VLOOKUP(INDEX('章节与怪物'!$E$31:$K$37,B82,5),'章节与怪物'!$A$41:$F$44,4,FALSE)+IF(5=D82,'难度参数'!$E$30,0))</x:f>
        <x:v>414</x:v>
      </x:c>
      <x:c r="AR82" s="119" t="n">
        <x:f>IF(6&gt;D82,0,MAX(2,MIN('难度参数'!$E$12,ROUND(('难度参数'!$E$18*POWER(A82,'难度参数'!$E$19)/D82*(0.85+0.3*(6-1)/MAX(1,D82-1))),0)+F82)))</x:f>
        <x:v>24</x:v>
      </x:c>
      <x:c r="AS82" s="119" t="n">
        <x:f>IF(6&gt;D82,0,ROUND(('难度参数'!$E$13*POWER(A82,'难度参数'!$E$20)*MIN('难度参数'!$E$23,1+MAX(0,A82-'难度参数'!$E$21)*'难度参数'!$E$22))*(36+6*7)/(36+7*(D82+1)/2)*E82,0))</x:f>
        <x:v>3218</x:v>
      </x:c>
      <x:c r="AT82" s="119" t="n">
        <x:f>IF(AR82=0,0,(AR82-IF(6=D82,1,0))*ROUND(AS82*VLOOKUP(INDEX('章节与怪物'!$E$31:$K$37,B82,6),'章节与怪物'!$A$41:$F$44,2,FALSE),0)+IF(6=D82,ROUND(AS82*'难度参数'!$E$28*'章节与怪物'!$E$17,0),0))</x:f>
        <x:v>131304</x:v>
      </x:c>
      <x:c r="AU82" s="119" t="n">
        <x:f>IF(AR82=0,0,(AR82-IF(6=D82,1,0))*VLOOKUP(INDEX('章节与怪物'!$E$31:$K$37,B82,6),'章节与怪物'!$A$41:$F$44,4,FALSE)+IF(6=D82,'难度参数'!$E$30,0))</x:f>
        <x:v>672</x:v>
      </x:c>
      <x:c r="AV82" s="119" t="n">
        <x:f>IF(7&gt;D82,0,MAX(2,MIN('难度参数'!$E$12,ROUND(('难度参数'!$E$18*POWER(A82,'难度参数'!$E$19)/D82*(0.85+0.3*(7-1)/MAX(1,D82-1))),0)+F82)))</x:f>
        <x:v>25</x:v>
      </x:c>
      <x:c r="AW82" s="119" t="n">
        <x:f>IF(7&gt;D82,0,ROUND(('难度参数'!$E$13*POWER(A82,'难度参数'!$E$20)*MIN('难度参数'!$E$23,1+MAX(0,A82-'难度参数'!$E$21)*'难度参数'!$E$22))*(36+7*7)/(36+7*(D82+1)/2)*E82,0))</x:f>
        <x:v>3506</x:v>
      </x:c>
      <x:c r="AX82" s="119" t="n">
        <x:f>IF(AV82=0,0,(AV82-IF(7=D82,1,0))*ROUND(AW82*VLOOKUP(INDEX('章节与怪物'!$E$31:$K$37,B82,7),'章节与怪物'!$A$41:$F$44,2,FALSE),0)+IF(7=D82,ROUND(AW82*'难度参数'!$E$28*'章节与怪物'!$E$17,0),0))</x:f>
        <x:v>137433</x:v>
      </x:c>
      <x:c r="AY82" s="119" t="n">
        <x:f>IF(AV82=0,0,(AV82-IF(7=D82,1,0))*VLOOKUP(INDEX('章节与怪物'!$E$31:$K$37,B82,7),'章节与怪物'!$A$41:$F$44,4,FALSE)+IF(7=D82,'难度参数'!$E$30,0))</x:f>
        <x:v>1016</x:v>
      </x:c>
    </x:row>
    <x:row r="83" ht="23" customHeight="1">
      <x:c r="A83" s="119" t="n">
        <x:v>77</x:v>
      </x:c>
      <x:c r="B83" s="119" t="n">
        <x:f>MOD(INT((A83-1)/5),7)+1</x:f>
        <x:v>2</x:v>
      </x:c>
      <x:c r="C83" s="62" t="str">
        <x:f>INDEX('章节与怪物'!$B$31:$B$37,B83)</x:f>
        <x:v>黄沙要塞</x:v>
      </x:c>
      <x:c r="D83" s="119" t="n">
        <x:f>MIN('难度参数'!$E$8,MAX('难度参数'!$E$7,A83))</x:f>
        <x:v>7</x:v>
      </x:c>
      <x:c r="E83" s="106" t="n">
        <x:v>1</x:v>
      </x:c>
      <x:c r="F83" s="106" t="n">
        <x:v>0</x:v>
      </x:c>
      <x:c r="G83" s="106" t="n">
        <x:v>1</x:v>
      </x:c>
      <x:c r="H83" s="119" t="n">
        <x:f>SUM(X83,AB83,AF83,AJ83,AN83,AR83,AV83)</x:f>
        <x:v>151</x:v>
      </x:c>
      <x:c r="I83" s="119" t="n">
        <x:f>SUM(Z83,AD83,AH83,AL83,AP83,AT83,AX83)</x:f>
        <x:v>563312</x:v>
      </x:c>
      <x:c r="J83" s="119" t="n">
        <x:f>ROUND(INDEX(X83:AY83,1,(D83-1)*4+2)*'难度参数'!$E$28*'章节与怪物'!$E$17,0)</x:f>
        <x:v>24133</x:v>
      </x:c>
      <x:c r="K83" s="119" t="n">
        <x:f>SUM(AA83,AE83,AI83,AM83,AQ83,AU83,AY83)</x:f>
        <x:v>4112</x:v>
      </x:c>
      <x:c r="L83" s="62" t="n">
        <x:f>H83*(ROUNDUP('难度参数'!$E$24/('难度参数'!$E$26*'难度参数'!$E$27),0)*'难度参数'!$E$26)/60</x:f>
        <x:v>2.0133333333333336</x:v>
      </x:c>
      <x:c r="M83" s="62" t="n">
        <x:f>L83+D83*('难度参数'!$E$49+'难度参数'!$E$50)/60</x:f>
        <x:v>3.1800000000000006</x:v>
      </x:c>
      <x:c r="N83" s="119" t="n">
        <x:f>ROUNDDOWN(('经济参数'!$E$20+A83*'经济参数'!$E$21)*G83,0)</x:f>
        <x:v>1720</x:v>
      </x:c>
      <x:c r="O83" s="119" t="n">
        <x:f>ROUNDDOWN(MIN('经济参数'!$E$24,'经济参数'!$E$22+A83*'经济参数'!$E$23)*G83,0)</x:f>
        <x:v>0</x:v>
      </x:c>
      <x:c r="P83" s="119" t="n">
        <x:f>ROUNDDOWN((IF(A83&gt;='材料与任务'!$E$31,'材料与任务'!$E$32,IF(A83&gt;='材料与任务'!$E$25,'材料与任务'!$E$26,IF(A83&gt;='材料与任务'!$E$19,'材料与任务'!$E$20,IF(A83&gt;='材料与任务'!$E$13,'材料与任务'!$E$14,'材料与任务'!$E$8)))))*G83,0)</x:f>
        <x:v>5</x:v>
      </x:c>
      <x:c r="Q83" s="119" t="n">
        <x:f>ROUNDDOWN((IF(A83&gt;='材料与任务'!$E$31,'材料与任务'!$E$33,IF(A83&gt;='材料与任务'!$E$25,'材料与任务'!$E$27,IF(A83&gt;='材料与任务'!$E$19,'材料与任务'!$E$21,IF(A83&gt;='材料与任务'!$E$13,'材料与任务'!$E$15,'材料与任务'!$E$9)))))*G83,0)</x:f>
        <x:v>2</x:v>
      </x:c>
      <x:c r="R83" s="110" t="n">
        <x:f>'装备掉落'!$B$38</x:f>
        <x:v>0.6872058758851213</x:v>
      </x:c>
      <x:c r="S83" s="119" t="n">
        <x:f>MAX(IF(VLOOKUP(A83,'装备掉落'!$A$29:$H$34,2,TRUE)&gt;0,1,0),IF(VLOOKUP(A83,'装备掉落'!$A$29:$H$34,3,TRUE)&gt;0,2,0),IF(VLOOKUP(A83,'装备掉落'!$A$29:$H$34,4,TRUE)&gt;0,3,0),IF(VLOOKUP(A83,'装备掉落'!$A$29:$H$34,5,TRUE)&gt;0,4,0),IF(VLOOKUP(A83,'装备掉落'!$A$29:$H$34,6,TRUE)&gt;0,5,0),IF(VLOOKUP(A83,'装备掉落'!$A$29:$H$34,7,TRUE)&gt;0,6,0),IF(VLOOKUP(A83,'装备掉落'!$A$29:$H$34,8,TRUE)&gt;0,7,0))</x:f>
        <x:v>6</x:v>
      </x:c>
      <x:c r="T83" s="119" t="n">
        <x:f>MIN(7,S83+'经济参数'!$E$70)</x:f>
        <x:v>6</x:v>
      </x:c>
      <x:c r="U83" s="119" t="n">
        <x:f>MIN(7,S83+'经济参数'!$E$71)</x:f>
        <x:v>7</x:v>
      </x:c>
      <x:c r="V83" s="119" t="n">
        <x:f>IF(H83&gt;=('难度参数'!$E$52),1,0)+IF(H83&gt;=('难度参数'!$E$52+'难度参数'!$E$53),1,0)+IF(H83&gt;=('难度参数'!$E$52+'难度参数'!$E$53+'难度参数'!$E$54),1,0)+IF(H83&gt;=('难度参数'!$E$52+'难度参数'!$E$53+'难度参数'!$E$54+'难度参数'!$E$55),1,0)+IF(H83&gt;=('难度参数'!$E$52+'难度参数'!$E$53+'难度参数'!$E$54+'难度参数'!$E$55+'难度参数'!$E$56),1,0)+IF(H83&gt;=('难度参数'!$E$52+'难度参数'!$E$53+'难度参数'!$E$54+'难度参数'!$E$55+'难度参数'!$E$56+'难度参数'!$E$57),1,0)</x:f>
        <x:v>6</x:v>
      </x:c>
      <x:c r="W83" s="62" t="str">
        <x:f>IF(L83&gt;'难度参数'!$E$51,"仅出怪已超目标","还需实测")</x:f>
        <x:v>还需实测</x:v>
      </x:c>
      <x:c r="X83" s="119" t="n">
        <x:f>IF(1&gt;D83,0,MAX(2,MIN('难度参数'!$E$12,ROUND(('难度参数'!$E$18*POWER(A83,'难度参数'!$E$19)/D83*(0.85+0.3*(1-1)/MAX(1,D83-1))),0)+F83)))</x:f>
        <x:v>18</x:v>
      </x:c>
      <x:c r="Y83" s="119" t="n">
        <x:f>IF(1&gt;D83,0,ROUND(('难度参数'!$E$13*POWER(A83,'难度参数'!$E$20)*MIN('难度参数'!$E$23,1+MAX(0,A83-'难度参数'!$E$21)*'难度参数'!$E$22))*(36+1*7)/(36+7*(D83+1)/2)*E83,0))</x:f>
        <x:v>1795</x:v>
      </x:c>
      <x:c r="Z83" s="119" t="n">
        <x:f>IF(X83=0,0,(X83-IF(1=D83,1,0))*ROUND(Y83*VLOOKUP(INDEX('章节与怪物'!$E$31:$K$37,B83,1),'章节与怪物'!$A$41:$F$44,2,FALSE),0)+IF(1=D83,ROUND(Y83*'难度参数'!$E$28*'章节与怪物'!$E$17,0),0))</x:f>
        <x:v>23256</x:v>
      </x:c>
      <x:c r="AA83" s="119" t="n">
        <x:f>IF(X83=0,0,(X83-IF(1=D83,1,0))*VLOOKUP(INDEX('章节与怪物'!$E$31:$K$37,B83,1),'章节与怪物'!$A$41:$F$44,4,FALSE)+IF(1=D83,'难度参数'!$E$30,0))</x:f>
        <x:v>360</x:v>
      </x:c>
      <x:c r="AB83" s="119" t="n">
        <x:f>IF(2&gt;D83,0,MAX(2,MIN('难度参数'!$E$12,ROUND(('难度参数'!$E$18*POWER(A83,'难度参数'!$E$19)/D83*(0.85+0.3*(2-1)/MAX(1,D83-1))),0)+F83)))</x:f>
        <x:v>19</x:v>
      </x:c>
      <x:c r="AC83" s="119" t="n">
        <x:f>IF(2&gt;D83,0,ROUND(('难度参数'!$E$13*POWER(A83,'难度参数'!$E$20)*MIN('难度参数'!$E$23,1+MAX(0,A83-'难度参数'!$E$21)*'难度参数'!$E$22))*(36+2*7)/(36+7*(D83+1)/2)*E83,0))</x:f>
        <x:v>2087</x:v>
      </x:c>
      <x:c r="AD83" s="119" t="n">
        <x:f>IF(AB83=0,0,(AB83-IF(2=D83,1,0))*ROUND(AC83*VLOOKUP(INDEX('章节与怪物'!$E$31:$K$37,B83,2),'章节与怪物'!$A$41:$F$44,2,FALSE),0)+IF(2=D83,ROUND(AC83*'难度参数'!$E$28*'章节与怪物'!$E$17,0),0))</x:f>
        <x:v>39653</x:v>
      </x:c>
      <x:c r="AE83" s="119" t="n">
        <x:f>IF(AB83=0,0,(AB83-IF(2=D83,1,0))*VLOOKUP(INDEX('章节与怪物'!$E$31:$K$37,B83,2),'章节与怪物'!$A$41:$F$44,4,FALSE)+IF(2=D83,'难度参数'!$E$30,0))</x:f>
        <x:v>342</x:v>
      </x:c>
      <x:c r="AF83" s="119" t="n">
        <x:f>IF(3&gt;D83,0,MAX(2,MIN('难度参数'!$E$12,ROUND(('难度参数'!$E$18*POWER(A83,'难度参数'!$E$19)/D83*(0.85+0.3*(3-1)/MAX(1,D83-1))),0)+F83)))</x:f>
        <x:v>20</x:v>
      </x:c>
      <x:c r="AG83" s="119" t="n">
        <x:f>IF(3&gt;D83,0,ROUND(('难度参数'!$E$13*POWER(A83,'难度参数'!$E$20)*MIN('难度参数'!$E$23,1+MAX(0,A83-'难度参数'!$E$21)*'难度参数'!$E$22))*(36+3*7)/(36+7*(D83+1)/2)*E83,0))</x:f>
        <x:v>2380</x:v>
      </x:c>
      <x:c r="AH83" s="119" t="n">
        <x:f>IF(AF83=0,0,(AF83-IF(3=D83,1,0))*ROUND(AG83*VLOOKUP(INDEX('章节与怪物'!$E$31:$K$37,B83,3),'章节与怪物'!$A$41:$F$44,2,FALSE),0)+IF(3=D83,ROUND(AG83*'难度参数'!$E$28*'章节与怪物'!$E$17,0),0))</x:f>
        <x:v>80920</x:v>
      </x:c>
      <x:c r="AI83" s="119" t="n">
        <x:f>IF(AF83=0,0,(AF83-IF(3=D83,1,0))*VLOOKUP(INDEX('章节与怪物'!$E$31:$K$37,B83,3),'章节与怪物'!$A$41:$F$44,4,FALSE)+IF(3=D83,'难度参数'!$E$30,0))</x:f>
        <x:v>560</x:v>
      </x:c>
      <x:c r="AJ83" s="119" t="n">
        <x:f>IF(4&gt;D83,0,MAX(2,MIN('难度参数'!$E$12,ROUND(('难度参数'!$E$18*POWER(A83,'难度参数'!$E$19)/D83*(0.85+0.3*(4-1)/MAX(1,D83-1))),0)+F83)))</x:f>
        <x:v>22</x:v>
      </x:c>
      <x:c r="AK83" s="119" t="n">
        <x:f>IF(4&gt;D83,0,ROUND(('难度参数'!$E$13*POWER(A83,'难度参数'!$E$20)*MIN('难度参数'!$E$23,1+MAX(0,A83-'难度参数'!$E$21)*'难度参数'!$E$22))*(36+4*7)/(36+7*(D83+1)/2)*E83,0))</x:f>
        <x:v>2672</x:v>
      </x:c>
      <x:c r="AL83" s="119" t="n">
        <x:f>IF(AJ83=0,0,(AJ83-IF(4=D83,1,0))*ROUND(AK83*VLOOKUP(INDEX('章节与怪物'!$E$31:$K$37,B83,4),'章节与怪物'!$A$41:$F$44,2,FALSE),0)+IF(4=D83,ROUND(AK83*'难度参数'!$E$28*'章节与怪物'!$E$17,0),0))</x:f>
        <x:v>79354</x:v>
      </x:c>
      <x:c r="AM83" s="119" t="n">
        <x:f>IF(AJ83=0,0,(AJ83-IF(4=D83,1,0))*VLOOKUP(INDEX('章节与怪物'!$E$31:$K$37,B83,4),'章节与怪物'!$A$41:$F$44,4,FALSE)+IF(4=D83,'难度参数'!$E$30,0))</x:f>
        <x:v>748</x:v>
      </x:c>
      <x:c r="AN83" s="119" t="n">
        <x:f>IF(5&gt;D83,0,MAX(2,MIN('难度参数'!$E$12,ROUND(('难度参数'!$E$18*POWER(A83,'难度参数'!$E$19)/D83*(0.85+0.3*(5-1)/MAX(1,D83-1))),0)+F83)))</x:f>
        <x:v>23</x:v>
      </x:c>
      <x:c r="AO83" s="119" t="n">
        <x:f>IF(5&gt;D83,0,ROUND(('难度参数'!$E$13*POWER(A83,'难度参数'!$E$20)*MIN('难度参数'!$E$23,1+MAX(0,A83-'难度参数'!$E$21)*'难度参数'!$E$22))*(36+5*7)/(36+7*(D83+1)/2)*E83,0))</x:f>
        <x:v>2964</x:v>
      </x:c>
      <x:c r="AP83" s="119" t="n">
        <x:f>IF(AN83=0,0,(AN83-IF(5=D83,1,0))*ROUND(AO83*VLOOKUP(INDEX('章节与怪物'!$E$31:$K$37,B83,5),'章节与怪物'!$A$41:$F$44,2,FALSE),0)+IF(5=D83,ROUND(AO83*'难度参数'!$E$28*'章节与怪物'!$E$17,0),0))</x:f>
        <x:v>68172</x:v>
      </x:c>
      <x:c r="AQ83" s="119" t="n">
        <x:f>IF(AN83=0,0,(AN83-IF(5=D83,1,0))*VLOOKUP(INDEX('章节与怪物'!$E$31:$K$37,B83,5),'章节与怪物'!$A$41:$F$44,4,FALSE)+IF(5=D83,'难度参数'!$E$30,0))</x:f>
        <x:v>414</x:v>
      </x:c>
      <x:c r="AR83" s="119" t="n">
        <x:f>IF(6&gt;D83,0,MAX(2,MIN('难度参数'!$E$12,ROUND(('难度参数'!$E$18*POWER(A83,'难度参数'!$E$19)/D83*(0.85+0.3*(6-1)/MAX(1,D83-1))),0)+F83)))</x:f>
        <x:v>24</x:v>
      </x:c>
      <x:c r="AS83" s="119" t="n">
        <x:f>IF(6&gt;D83,0,ROUND(('难度参数'!$E$13*POWER(A83,'难度参数'!$E$20)*MIN('难度参数'!$E$23,1+MAX(0,A83-'难度参数'!$E$21)*'难度参数'!$E$22))*(36+6*7)/(36+7*(D83+1)/2)*E83,0))</x:f>
        <x:v>3256</x:v>
      </x:c>
      <x:c r="AT83" s="119" t="n">
        <x:f>IF(AR83=0,0,(AR83-IF(6=D83,1,0))*ROUND(AS83*VLOOKUP(INDEX('章节与怪物'!$E$31:$K$37,B83,6),'章节与怪物'!$A$41:$F$44,2,FALSE),0)+IF(6=D83,ROUND(AS83*'难度参数'!$E$28*'章节与怪物'!$E$17,0),0))</x:f>
        <x:v>132840</x:v>
      </x:c>
      <x:c r="AU83" s="119" t="n">
        <x:f>IF(AR83=0,0,(AR83-IF(6=D83,1,0))*VLOOKUP(INDEX('章节与怪物'!$E$31:$K$37,B83,6),'章节与怪物'!$A$41:$F$44,4,FALSE)+IF(6=D83,'难度参数'!$E$30,0))</x:f>
        <x:v>672</x:v>
      </x:c>
      <x:c r="AV83" s="119" t="n">
        <x:f>IF(7&gt;D83,0,MAX(2,MIN('难度参数'!$E$12,ROUND(('难度参数'!$E$18*POWER(A83,'难度参数'!$E$19)/D83*(0.85+0.3*(7-1)/MAX(1,D83-1))),0)+F83)))</x:f>
        <x:v>25</x:v>
      </x:c>
      <x:c r="AW83" s="119" t="n">
        <x:f>IF(7&gt;D83,0,ROUND(('难度参数'!$E$13*POWER(A83,'难度参数'!$E$20)*MIN('难度参数'!$E$23,1+MAX(0,A83-'难度参数'!$E$21)*'难度参数'!$E$22))*(36+7*7)/(36+7*(D83+1)/2)*E83,0))</x:f>
        <x:v>3549</x:v>
      </x:c>
      <x:c r="AX83" s="119" t="n">
        <x:f>IF(AV83=0,0,(AV83-IF(7=D83,1,0))*ROUND(AW83*VLOOKUP(INDEX('章节与怪物'!$E$31:$K$37,B83,7),'章节与怪物'!$A$41:$F$44,2,FALSE),0)+IF(7=D83,ROUND(AW83*'难度参数'!$E$28*'章节与怪物'!$E$17,0),0))</x:f>
        <x:v>139117</x:v>
      </x:c>
      <x:c r="AY83" s="119" t="n">
        <x:f>IF(AV83=0,0,(AV83-IF(7=D83,1,0))*VLOOKUP(INDEX('章节与怪物'!$E$31:$K$37,B83,7),'章节与怪物'!$A$41:$F$44,4,FALSE)+IF(7=D83,'难度参数'!$E$30,0))</x:f>
        <x:v>1016</x:v>
      </x:c>
    </x:row>
    <x:row r="84" ht="23" customHeight="1">
      <x:c r="A84" s="119" t="n">
        <x:v>78</x:v>
      </x:c>
      <x:c r="B84" s="119" t="n">
        <x:f>MOD(INT((A84-1)/5),7)+1</x:f>
        <x:v>2</x:v>
      </x:c>
      <x:c r="C84" s="62" t="str">
        <x:f>INDEX('章节与怪物'!$B$31:$B$37,B84)</x:f>
        <x:v>黄沙要塞</x:v>
      </x:c>
      <x:c r="D84" s="119" t="n">
        <x:f>MIN('难度参数'!$E$8,MAX('难度参数'!$E$7,A84))</x:f>
        <x:v>7</x:v>
      </x:c>
      <x:c r="E84" s="106" t="n">
        <x:v>1</x:v>
      </x:c>
      <x:c r="F84" s="106" t="n">
        <x:v>0</x:v>
      </x:c>
      <x:c r="G84" s="106" t="n">
        <x:v>1</x:v>
      </x:c>
      <x:c r="H84" s="119" t="n">
        <x:f>SUM(X84,AB84,AF84,AJ84,AN84,AR84,AV84)</x:f>
        <x:v>152</x:v>
      </x:c>
      <x:c r="I84" s="119" t="n">
        <x:f>SUM(Z84,AD84,AH84,AL84,AP84,AT84,AX84)</x:f>
        <x:v>574165</x:v>
      </x:c>
      <x:c r="J84" s="119" t="n">
        <x:f>ROUND(INDEX(X84:AY84,1,(D84-1)*4+2)*'难度参数'!$E$28*'章节与怪物'!$E$17,0)</x:f>
        <x:v>24419</x:v>
      </x:c>
      <x:c r="K84" s="119" t="n">
        <x:f>SUM(AA84,AE84,AI84,AM84,AQ84,AU84,AY84)</x:f>
        <x:v>4140</x:v>
      </x:c>
      <x:c r="L84" s="62" t="n">
        <x:f>H84*(ROUNDUP('难度参数'!$E$24/('难度参数'!$E$26*'难度参数'!$E$27),0)*'难度参数'!$E$26)/60</x:f>
        <x:v>2.026666666666667</x:v>
      </x:c>
      <x:c r="M84" s="62" t="n">
        <x:f>L84+D84*('难度参数'!$E$49+'难度参数'!$E$50)/60</x:f>
        <x:v>3.1933333333333334</x:v>
      </x:c>
      <x:c r="N84" s="119" t="n">
        <x:f>ROUNDDOWN(('经济参数'!$E$20+A84*'经济参数'!$E$21)*G84,0)</x:f>
        <x:v>1740</x:v>
      </x:c>
      <x:c r="O84" s="119" t="n">
        <x:f>ROUNDDOWN(MIN('经济参数'!$E$24,'经济参数'!$E$22+A84*'经济参数'!$E$23)*G84,0)</x:f>
        <x:v>0</x:v>
      </x:c>
      <x:c r="P84" s="119" t="n">
        <x:f>ROUNDDOWN((IF(A84&gt;='材料与任务'!$E$31,'材料与任务'!$E$32,IF(A84&gt;='材料与任务'!$E$25,'材料与任务'!$E$26,IF(A84&gt;='材料与任务'!$E$19,'材料与任务'!$E$20,IF(A84&gt;='材料与任务'!$E$13,'材料与任务'!$E$14,'材料与任务'!$E$8)))))*G84,0)</x:f>
        <x:v>5</x:v>
      </x:c>
      <x:c r="Q84" s="119" t="n">
        <x:f>ROUNDDOWN((IF(A84&gt;='材料与任务'!$E$31,'材料与任务'!$E$33,IF(A84&gt;='材料与任务'!$E$25,'材料与任务'!$E$27,IF(A84&gt;='材料与任务'!$E$19,'材料与任务'!$E$21,IF(A84&gt;='材料与任务'!$E$13,'材料与任务'!$E$15,'材料与任务'!$E$9)))))*G84,0)</x:f>
        <x:v>2</x:v>
      </x:c>
      <x:c r="R84" s="110" t="n">
        <x:f>'装备掉落'!$B$38</x:f>
        <x:v>0.6872058758851213</x:v>
      </x:c>
      <x:c r="S84" s="119" t="n">
        <x:f>MAX(IF(VLOOKUP(A84,'装备掉落'!$A$29:$H$34,2,TRUE)&gt;0,1,0),IF(VLOOKUP(A84,'装备掉落'!$A$29:$H$34,3,TRUE)&gt;0,2,0),IF(VLOOKUP(A84,'装备掉落'!$A$29:$H$34,4,TRUE)&gt;0,3,0),IF(VLOOKUP(A84,'装备掉落'!$A$29:$H$34,5,TRUE)&gt;0,4,0),IF(VLOOKUP(A84,'装备掉落'!$A$29:$H$34,6,TRUE)&gt;0,5,0),IF(VLOOKUP(A84,'装备掉落'!$A$29:$H$34,7,TRUE)&gt;0,6,0),IF(VLOOKUP(A84,'装备掉落'!$A$29:$H$34,8,TRUE)&gt;0,7,0))</x:f>
        <x:v>6</x:v>
      </x:c>
      <x:c r="T84" s="119" t="n">
        <x:f>MIN(7,S84+'经济参数'!$E$70)</x:f>
        <x:v>6</x:v>
      </x:c>
      <x:c r="U84" s="119" t="n">
        <x:f>MIN(7,S84+'经济参数'!$E$71)</x:f>
        <x:v>7</x:v>
      </x:c>
      <x:c r="V84" s="119" t="n">
        <x:f>IF(H84&gt;=('难度参数'!$E$52),1,0)+IF(H84&gt;=('难度参数'!$E$52+'难度参数'!$E$53),1,0)+IF(H84&gt;=('难度参数'!$E$52+'难度参数'!$E$53+'难度参数'!$E$54),1,0)+IF(H84&gt;=('难度参数'!$E$52+'难度参数'!$E$53+'难度参数'!$E$54+'难度参数'!$E$55),1,0)+IF(H84&gt;=('难度参数'!$E$52+'难度参数'!$E$53+'难度参数'!$E$54+'难度参数'!$E$55+'难度参数'!$E$56),1,0)+IF(H84&gt;=('难度参数'!$E$52+'难度参数'!$E$53+'难度参数'!$E$54+'难度参数'!$E$55+'难度参数'!$E$56+'难度参数'!$E$57),1,0)</x:f>
        <x:v>6</x:v>
      </x:c>
      <x:c r="W84" s="62" t="str">
        <x:f>IF(L84&gt;'难度参数'!$E$51,"仅出怪已超目标","还需实测")</x:f>
        <x:v>还需实测</x:v>
      </x:c>
      <x:c r="X84" s="119" t="n">
        <x:f>IF(1&gt;D84,0,MAX(2,MIN('难度参数'!$E$12,ROUND(('难度参数'!$E$18*POWER(A84,'难度参数'!$E$19)/D84*(0.85+0.3*(1-1)/MAX(1,D84-1))),0)+F84)))</x:f>
        <x:v>18</x:v>
      </x:c>
      <x:c r="Y84" s="119" t="n">
        <x:f>IF(1&gt;D84,0,ROUND(('难度参数'!$E$13*POWER(A84,'难度参数'!$E$20)*MIN('难度参数'!$E$23,1+MAX(0,A84-'难度参数'!$E$21)*'难度参数'!$E$22))*(36+1*7)/(36+7*(D84+1)/2)*E84,0))</x:f>
        <x:v>1817</x:v>
      </x:c>
      <x:c r="Z84" s="119" t="n">
        <x:f>IF(X84=0,0,(X84-IF(1=D84,1,0))*ROUND(Y84*VLOOKUP(INDEX('章节与怪物'!$E$31:$K$37,B84,1),'章节与怪物'!$A$41:$F$44,2,FALSE),0)+IF(1=D84,ROUND(Y84*'难度参数'!$E$28*'章节与怪物'!$E$17,0),0))</x:f>
        <x:v>23544</x:v>
      </x:c>
      <x:c r="AA84" s="119" t="n">
        <x:f>IF(X84=0,0,(X84-IF(1=D84,1,0))*VLOOKUP(INDEX('章节与怪物'!$E$31:$K$37,B84,1),'章节与怪物'!$A$41:$F$44,4,FALSE)+IF(1=D84,'难度参数'!$E$30,0))</x:f>
        <x:v>360</x:v>
      </x:c>
      <x:c r="AB84" s="119" t="n">
        <x:f>IF(2&gt;D84,0,MAX(2,MIN('难度参数'!$E$12,ROUND(('难度参数'!$E$18*POWER(A84,'难度参数'!$E$19)/D84*(0.85+0.3*(2-1)/MAX(1,D84-1))),0)+F84)))</x:f>
        <x:v>19</x:v>
      </x:c>
      <x:c r="AC84" s="119" t="n">
        <x:f>IF(2&gt;D84,0,ROUND(('难度参数'!$E$13*POWER(A84,'难度参数'!$E$20)*MIN('难度参数'!$E$23,1+MAX(0,A84-'难度参数'!$E$21)*'难度参数'!$E$22))*(36+2*7)/(36+7*(D84+1)/2)*E84,0))</x:f>
        <x:v>2112</x:v>
      </x:c>
      <x:c r="AD84" s="119" t="n">
        <x:f>IF(AB84=0,0,(AB84-IF(2=D84,1,0))*ROUND(AC84*VLOOKUP(INDEX('章节与怪物'!$E$31:$K$37,B84,2),'章节与怪物'!$A$41:$F$44,2,FALSE),0)+IF(2=D84,ROUND(AC84*'难度参数'!$E$28*'章节与怪物'!$E$17,0),0))</x:f>
        <x:v>40128</x:v>
      </x:c>
      <x:c r="AE84" s="119" t="n">
        <x:f>IF(AB84=0,0,(AB84-IF(2=D84,1,0))*VLOOKUP(INDEX('章节与怪物'!$E$31:$K$37,B84,2),'章节与怪物'!$A$41:$F$44,4,FALSE)+IF(2=D84,'难度参数'!$E$30,0))</x:f>
        <x:v>342</x:v>
      </x:c>
      <x:c r="AF84" s="119" t="n">
        <x:f>IF(3&gt;D84,0,MAX(2,MIN('难度参数'!$E$12,ROUND(('难度参数'!$E$18*POWER(A84,'难度参数'!$E$19)/D84*(0.85+0.3*(3-1)/MAX(1,D84-1))),0)+F84)))</x:f>
        <x:v>21</x:v>
      </x:c>
      <x:c r="AG84" s="119" t="n">
        <x:f>IF(3&gt;D84,0,ROUND(('难度参数'!$E$13*POWER(A84,'难度参数'!$E$20)*MIN('难度参数'!$E$23,1+MAX(0,A84-'难度参数'!$E$21)*'难度参数'!$E$22))*(36+3*7)/(36+7*(D84+1)/2)*E84,0))</x:f>
        <x:v>2408</x:v>
      </x:c>
      <x:c r="AH84" s="119" t="n">
        <x:f>IF(AF84=0,0,(AF84-IF(3=D84,1,0))*ROUND(AG84*VLOOKUP(INDEX('章节与怪物'!$E$31:$K$37,B84,3),'章节与怪物'!$A$41:$F$44,2,FALSE),0)+IF(3=D84,ROUND(AG84*'难度参数'!$E$28*'章节与怪物'!$E$17,0),0))</x:f>
        <x:v>85974</x:v>
      </x:c>
      <x:c r="AI84" s="119" t="n">
        <x:f>IF(AF84=0,0,(AF84-IF(3=D84,1,0))*VLOOKUP(INDEX('章节与怪物'!$E$31:$K$37,B84,3),'章节与怪物'!$A$41:$F$44,4,FALSE)+IF(3=D84,'难度参数'!$E$30,0))</x:f>
        <x:v>588</x:v>
      </x:c>
      <x:c r="AJ84" s="119" t="n">
        <x:f>IF(4&gt;D84,0,MAX(2,MIN('难度参数'!$E$12,ROUND(('难度参数'!$E$18*POWER(A84,'难度参数'!$E$19)/D84*(0.85+0.3*(4-1)/MAX(1,D84-1))),0)+F84)))</x:f>
        <x:v>22</x:v>
      </x:c>
      <x:c r="AK84" s="119" t="n">
        <x:f>IF(4&gt;D84,0,ROUND(('难度参数'!$E$13*POWER(A84,'难度参数'!$E$20)*MIN('难度参数'!$E$23,1+MAX(0,A84-'难度参数'!$E$21)*'难度参数'!$E$22))*(36+4*7)/(36+7*(D84+1)/2)*E84,0))</x:f>
        <x:v>2704</x:v>
      </x:c>
      <x:c r="AL84" s="119" t="n">
        <x:f>IF(AJ84=0,0,(AJ84-IF(4=D84,1,0))*ROUND(AK84*VLOOKUP(INDEX('章节与怪物'!$E$31:$K$37,B84,4),'章节与怪物'!$A$41:$F$44,2,FALSE),0)+IF(4=D84,ROUND(AK84*'难度参数'!$E$28*'章节与怪物'!$E$17,0),0))</x:f>
        <x:v>80300</x:v>
      </x:c>
      <x:c r="AM84" s="119" t="n">
        <x:f>IF(AJ84=0,0,(AJ84-IF(4=D84,1,0))*VLOOKUP(INDEX('章节与怪物'!$E$31:$K$37,B84,4),'章节与怪物'!$A$41:$F$44,4,FALSE)+IF(4=D84,'难度参数'!$E$30,0))</x:f>
        <x:v>748</x:v>
      </x:c>
      <x:c r="AN84" s="119" t="n">
        <x:f>IF(5&gt;D84,0,MAX(2,MIN('难度参数'!$E$12,ROUND(('难度参数'!$E$18*POWER(A84,'难度参数'!$E$19)/D84*(0.85+0.3*(5-1)/MAX(1,D84-1))),0)+F84)))</x:f>
        <x:v>23</x:v>
      </x:c>
      <x:c r="AO84" s="119" t="n">
        <x:f>IF(5&gt;D84,0,ROUND(('难度参数'!$E$13*POWER(A84,'难度参数'!$E$20)*MIN('难度参数'!$E$23,1+MAX(0,A84-'难度参数'!$E$21)*'难度参数'!$E$22))*(36+5*7)/(36+7*(D84+1)/2)*E84,0))</x:f>
        <x:v>3000</x:v>
      </x:c>
      <x:c r="AP84" s="119" t="n">
        <x:f>IF(AN84=0,0,(AN84-IF(5=D84,1,0))*ROUND(AO84*VLOOKUP(INDEX('章节与怪物'!$E$31:$K$37,B84,5),'章节与怪物'!$A$41:$F$44,2,FALSE),0)+IF(5=D84,ROUND(AO84*'难度参数'!$E$28*'章节与怪物'!$E$17,0),0))</x:f>
        <x:v>69000</x:v>
      </x:c>
      <x:c r="AQ84" s="119" t="n">
        <x:f>IF(AN84=0,0,(AN84-IF(5=D84,1,0))*VLOOKUP(INDEX('章节与怪物'!$E$31:$K$37,B84,5),'章节与怪物'!$A$41:$F$44,4,FALSE)+IF(5=D84,'难度参数'!$E$30,0))</x:f>
        <x:v>414</x:v>
      </x:c>
      <x:c r="AR84" s="119" t="n">
        <x:f>IF(6&gt;D84,0,MAX(2,MIN('难度参数'!$E$12,ROUND(('难度参数'!$E$18*POWER(A84,'难度参数'!$E$19)/D84*(0.85+0.3*(6-1)/MAX(1,D84-1))),0)+F84)))</x:f>
        <x:v>24</x:v>
      </x:c>
      <x:c r="AS84" s="119" t="n">
        <x:f>IF(6&gt;D84,0,ROUND(('难度参数'!$E$13*POWER(A84,'难度参数'!$E$20)*MIN('难度参数'!$E$23,1+MAX(0,A84-'难度参数'!$E$21)*'难度参数'!$E$22))*(36+6*7)/(36+7*(D84+1)/2)*E84,0))</x:f>
        <x:v>3295</x:v>
      </x:c>
      <x:c r="AT84" s="119" t="n">
        <x:f>IF(AR84=0,0,(AR84-IF(6=D84,1,0))*ROUND(AS84*VLOOKUP(INDEX('章节与怪物'!$E$31:$K$37,B84,6),'章节与怪物'!$A$41:$F$44,2,FALSE),0)+IF(6=D84,ROUND(AS84*'难度参数'!$E$28*'章节与怪物'!$E$17,0),0))</x:f>
        <x:v>134448</x:v>
      </x:c>
      <x:c r="AU84" s="119" t="n">
        <x:f>IF(AR84=0,0,(AR84-IF(6=D84,1,0))*VLOOKUP(INDEX('章节与怪物'!$E$31:$K$37,B84,6),'章节与怪物'!$A$41:$F$44,4,FALSE)+IF(6=D84,'难度参数'!$E$30,0))</x:f>
        <x:v>672</x:v>
      </x:c>
      <x:c r="AV84" s="119" t="n">
        <x:f>IF(7&gt;D84,0,MAX(2,MIN('难度参数'!$E$12,ROUND(('难度参数'!$E$18*POWER(A84,'难度参数'!$E$19)/D84*(0.85+0.3*(7-1)/MAX(1,D84-1))),0)+F84)))</x:f>
        <x:v>25</x:v>
      </x:c>
      <x:c r="AW84" s="119" t="n">
        <x:f>IF(7&gt;D84,0,ROUND(('难度参数'!$E$13*POWER(A84,'难度参数'!$E$20)*MIN('难度参数'!$E$23,1+MAX(0,A84-'难度参数'!$E$21)*'难度参数'!$E$22))*(36+7*7)/(36+7*(D84+1)/2)*E84,0))</x:f>
        <x:v>3591</x:v>
      </x:c>
      <x:c r="AX84" s="119" t="n">
        <x:f>IF(AV84=0,0,(AV84-IF(7=D84,1,0))*ROUND(AW84*VLOOKUP(INDEX('章节与怪物'!$E$31:$K$37,B84,7),'章节与怪物'!$A$41:$F$44,2,FALSE),0)+IF(7=D84,ROUND(AW84*'难度参数'!$E$28*'章节与怪物'!$E$17,0),0))</x:f>
        <x:v>140771</x:v>
      </x:c>
      <x:c r="AY84" s="119" t="n">
        <x:f>IF(AV84=0,0,(AV84-IF(7=D84,1,0))*VLOOKUP(INDEX('章节与怪物'!$E$31:$K$37,B84,7),'章节与怪物'!$A$41:$F$44,4,FALSE)+IF(7=D84,'难度参数'!$E$30,0))</x:f>
        <x:v>1016</x:v>
      </x:c>
    </x:row>
    <x:row r="85" ht="23" customHeight="1">
      <x:c r="A85" s="119" t="n">
        <x:v>79</x:v>
      </x:c>
      <x:c r="B85" s="119" t="n">
        <x:f>MOD(INT((A85-1)/5),7)+1</x:f>
        <x:v>2</x:v>
      </x:c>
      <x:c r="C85" s="62" t="str">
        <x:f>INDEX('章节与怪物'!$B$31:$B$37,B85)</x:f>
        <x:v>黄沙要塞</x:v>
      </x:c>
      <x:c r="D85" s="119" t="n">
        <x:f>MIN('难度参数'!$E$8,MAX('难度参数'!$E$7,A85))</x:f>
        <x:v>7</x:v>
      </x:c>
      <x:c r="E85" s="106" t="n">
        <x:v>1</x:v>
      </x:c>
      <x:c r="F85" s="106" t="n">
        <x:v>0</x:v>
      </x:c>
      <x:c r="G85" s="106" t="n">
        <x:v>1</x:v>
      </x:c>
      <x:c r="H85" s="119" t="n">
        <x:f>SUM(X85,AB85,AF85,AJ85,AN85,AR85,AV85)</x:f>
        <x:v>153</x:v>
      </x:c>
      <x:c r="I85" s="119" t="n">
        <x:f>SUM(Z85,AD85,AH85,AL85,AP85,AT85,AX85)</x:f>
        <x:v>583044</x:v>
      </x:c>
      <x:c r="J85" s="119" t="n">
        <x:f>ROUND(INDEX(X85:AY85,1,(D85-1)*4+2)*'难度参数'!$E$28*'章节与怪物'!$E$17,0)</x:f>
        <x:v>24704</x:v>
      </x:c>
      <x:c r="K85" s="119" t="n">
        <x:f>SUM(AA85,AE85,AI85,AM85,AQ85,AU85,AY85)</x:f>
        <x:v>4158</x:v>
      </x:c>
      <x:c r="L85" s="62" t="n">
        <x:f>H85*(ROUNDUP('难度参数'!$E$24/('难度参数'!$E$26*'难度参数'!$E$27),0)*'难度参数'!$E$26)/60</x:f>
        <x:v>2.04</x:v>
      </x:c>
      <x:c r="M85" s="62" t="n">
        <x:f>L85+D85*('难度参数'!$E$49+'难度参数'!$E$50)/60</x:f>
        <x:v>3.206666666666667</x:v>
      </x:c>
      <x:c r="N85" s="119" t="n">
        <x:f>ROUNDDOWN(('经济参数'!$E$20+A85*'经济参数'!$E$21)*G85,0)</x:f>
        <x:v>1760</x:v>
      </x:c>
      <x:c r="O85" s="119" t="n">
        <x:f>ROUNDDOWN(MIN('经济参数'!$E$24,'经济参数'!$E$22+A85*'经济参数'!$E$23)*G85,0)</x:f>
        <x:v>0</x:v>
      </x:c>
      <x:c r="P85" s="119" t="n">
        <x:f>ROUNDDOWN((IF(A85&gt;='材料与任务'!$E$31,'材料与任务'!$E$32,IF(A85&gt;='材料与任务'!$E$25,'材料与任务'!$E$26,IF(A85&gt;='材料与任务'!$E$19,'材料与任务'!$E$20,IF(A85&gt;='材料与任务'!$E$13,'材料与任务'!$E$14,'材料与任务'!$E$8)))))*G85,0)</x:f>
        <x:v>5</x:v>
      </x:c>
      <x:c r="Q85" s="119" t="n">
        <x:f>ROUNDDOWN((IF(A85&gt;='材料与任务'!$E$31,'材料与任务'!$E$33,IF(A85&gt;='材料与任务'!$E$25,'材料与任务'!$E$27,IF(A85&gt;='材料与任务'!$E$19,'材料与任务'!$E$21,IF(A85&gt;='材料与任务'!$E$13,'材料与任务'!$E$15,'材料与任务'!$E$9)))))*G85,0)</x:f>
        <x:v>2</x:v>
      </x:c>
      <x:c r="R85" s="110" t="n">
        <x:f>'装备掉落'!$B$38</x:f>
        <x:v>0.6872058758851213</x:v>
      </x:c>
      <x:c r="S85" s="119" t="n">
        <x:f>MAX(IF(VLOOKUP(A85,'装备掉落'!$A$29:$H$34,2,TRUE)&gt;0,1,0),IF(VLOOKUP(A85,'装备掉落'!$A$29:$H$34,3,TRUE)&gt;0,2,0),IF(VLOOKUP(A85,'装备掉落'!$A$29:$H$34,4,TRUE)&gt;0,3,0),IF(VLOOKUP(A85,'装备掉落'!$A$29:$H$34,5,TRUE)&gt;0,4,0),IF(VLOOKUP(A85,'装备掉落'!$A$29:$H$34,6,TRUE)&gt;0,5,0),IF(VLOOKUP(A85,'装备掉落'!$A$29:$H$34,7,TRUE)&gt;0,6,0),IF(VLOOKUP(A85,'装备掉落'!$A$29:$H$34,8,TRUE)&gt;0,7,0))</x:f>
        <x:v>6</x:v>
      </x:c>
      <x:c r="T85" s="119" t="n">
        <x:f>MIN(7,S85+'经济参数'!$E$70)</x:f>
        <x:v>6</x:v>
      </x:c>
      <x:c r="U85" s="119" t="n">
        <x:f>MIN(7,S85+'经济参数'!$E$71)</x:f>
        <x:v>7</x:v>
      </x:c>
      <x:c r="V85" s="119" t="n">
        <x:f>IF(H85&gt;=('难度参数'!$E$52),1,0)+IF(H85&gt;=('难度参数'!$E$52+'难度参数'!$E$53),1,0)+IF(H85&gt;=('难度参数'!$E$52+'难度参数'!$E$53+'难度参数'!$E$54),1,0)+IF(H85&gt;=('难度参数'!$E$52+'难度参数'!$E$53+'难度参数'!$E$54+'难度参数'!$E$55),1,0)+IF(H85&gt;=('难度参数'!$E$52+'难度参数'!$E$53+'难度参数'!$E$54+'难度参数'!$E$55+'难度参数'!$E$56),1,0)+IF(H85&gt;=('难度参数'!$E$52+'难度参数'!$E$53+'难度参数'!$E$54+'难度参数'!$E$55+'难度参数'!$E$56+'难度参数'!$E$57),1,0)</x:f>
        <x:v>6</x:v>
      </x:c>
      <x:c r="W85" s="62" t="str">
        <x:f>IF(L85&gt;'难度参数'!$E$51,"仅出怪已超目标","还需实测")</x:f>
        <x:v>还需实测</x:v>
      </x:c>
      <x:c r="X85" s="119" t="n">
        <x:f>IF(1&gt;D85,0,MAX(2,MIN('难度参数'!$E$12,ROUND(('难度参数'!$E$18*POWER(A85,'难度参数'!$E$19)/D85*(0.85+0.3*(1-1)/MAX(1,D85-1))),0)+F85)))</x:f>
        <x:v>18</x:v>
      </x:c>
      <x:c r="Y85" s="119" t="n">
        <x:f>IF(1&gt;D85,0,ROUND(('难度参数'!$E$13*POWER(A85,'难度参数'!$E$20)*MIN('难度参数'!$E$23,1+MAX(0,A85-'难度参数'!$E$21)*'难度参数'!$E$22))*(36+1*7)/(36+7*(D85+1)/2)*E85,0))</x:f>
        <x:v>1838</x:v>
      </x:c>
      <x:c r="Z85" s="119" t="n">
        <x:f>IF(X85=0,0,(X85-IF(1=D85,1,0))*ROUND(Y85*VLOOKUP(INDEX('章节与怪物'!$E$31:$K$37,B85,1),'章节与怪物'!$A$41:$F$44,2,FALSE),0)+IF(1=D85,ROUND(Y85*'难度参数'!$E$28*'章节与怪物'!$E$17,0),0))</x:f>
        <x:v>23814</x:v>
      </x:c>
      <x:c r="AA85" s="119" t="n">
        <x:f>IF(X85=0,0,(X85-IF(1=D85,1,0))*VLOOKUP(INDEX('章节与怪物'!$E$31:$K$37,B85,1),'章节与怪物'!$A$41:$F$44,4,FALSE)+IF(1=D85,'难度参数'!$E$30,0))</x:f>
        <x:v>360</x:v>
      </x:c>
      <x:c r="AB85" s="119" t="n">
        <x:f>IF(2&gt;D85,0,MAX(2,MIN('难度参数'!$E$12,ROUND(('难度参数'!$E$18*POWER(A85,'难度参数'!$E$19)/D85*(0.85+0.3*(2-1)/MAX(1,D85-1))),0)+F85)))</x:f>
        <x:v>20</x:v>
      </x:c>
      <x:c r="AC85" s="119" t="n">
        <x:f>IF(2&gt;D85,0,ROUND(('难度参数'!$E$13*POWER(A85,'难度参数'!$E$20)*MIN('难度参数'!$E$23,1+MAX(0,A85-'难度参数'!$E$21)*'难度参数'!$E$22))*(36+2*7)/(36+7*(D85+1)/2)*E85,0))</x:f>
        <x:v>2137</x:v>
      </x:c>
      <x:c r="AD85" s="119" t="n">
        <x:f>IF(AB85=0,0,(AB85-IF(2=D85,1,0))*ROUND(AC85*VLOOKUP(INDEX('章节与怪物'!$E$31:$K$37,B85,2),'章节与怪物'!$A$41:$F$44,2,FALSE),0)+IF(2=D85,ROUND(AC85*'难度参数'!$E$28*'章节与怪物'!$E$17,0),0))</x:f>
        <x:v>42740</x:v>
      </x:c>
      <x:c r="AE85" s="119" t="n">
        <x:f>IF(AB85=0,0,(AB85-IF(2=D85,1,0))*VLOOKUP(INDEX('章节与怪物'!$E$31:$K$37,B85,2),'章节与怪物'!$A$41:$F$44,4,FALSE)+IF(2=D85,'难度参数'!$E$30,0))</x:f>
        <x:v>360</x:v>
      </x:c>
      <x:c r="AF85" s="119" t="n">
        <x:f>IF(3&gt;D85,0,MAX(2,MIN('难度参数'!$E$12,ROUND(('难度参数'!$E$18*POWER(A85,'难度参数'!$E$19)/D85*(0.85+0.3*(3-1)/MAX(1,D85-1))),0)+F85)))</x:f>
        <x:v>21</x:v>
      </x:c>
      <x:c r="AG85" s="119" t="n">
        <x:f>IF(3&gt;D85,0,ROUND(('难度参数'!$E$13*POWER(A85,'难度参数'!$E$20)*MIN('难度参数'!$E$23,1+MAX(0,A85-'难度参数'!$E$21)*'难度参数'!$E$22))*(36+3*7)/(36+7*(D85+1)/2)*E85,0))</x:f>
        <x:v>2436</x:v>
      </x:c>
      <x:c r="AH85" s="119" t="n">
        <x:f>IF(AF85=0,0,(AF85-IF(3=D85,1,0))*ROUND(AG85*VLOOKUP(INDEX('章节与怪物'!$E$31:$K$37,B85,3),'章节与怪物'!$A$41:$F$44,2,FALSE),0)+IF(3=D85,ROUND(AG85*'难度参数'!$E$28*'章节与怪物'!$E$17,0),0))</x:f>
        <x:v>86961</x:v>
      </x:c>
      <x:c r="AI85" s="119" t="n">
        <x:f>IF(AF85=0,0,(AF85-IF(3=D85,1,0))*VLOOKUP(INDEX('章节与怪物'!$E$31:$K$37,B85,3),'章节与怪物'!$A$41:$F$44,4,FALSE)+IF(3=D85,'难度参数'!$E$30,0))</x:f>
        <x:v>588</x:v>
      </x:c>
      <x:c r="AJ85" s="119" t="n">
        <x:f>IF(4&gt;D85,0,MAX(2,MIN('难度参数'!$E$12,ROUND(('难度参数'!$E$18*POWER(A85,'难度参数'!$E$19)/D85*(0.85+0.3*(4-1)/MAX(1,D85-1))),0)+F85)))</x:f>
        <x:v>22</x:v>
      </x:c>
      <x:c r="AK85" s="119" t="n">
        <x:f>IF(4&gt;D85,0,ROUND(('难度参数'!$E$13*POWER(A85,'难度参数'!$E$20)*MIN('难度参数'!$E$23,1+MAX(0,A85-'难度参数'!$E$21)*'难度参数'!$E$22))*(36+4*7)/(36+7*(D85+1)/2)*E85,0))</x:f>
        <x:v>2736</x:v>
      </x:c>
      <x:c r="AL85" s="119" t="n">
        <x:f>IF(AJ85=0,0,(AJ85-IF(4=D85,1,0))*ROUND(AK85*VLOOKUP(INDEX('章节与怪物'!$E$31:$K$37,B85,4),'章节与怪物'!$A$41:$F$44,2,FALSE),0)+IF(4=D85,ROUND(AK85*'难度参数'!$E$28*'章节与怪物'!$E$17,0),0))</x:f>
        <x:v>81268</x:v>
      </x:c>
      <x:c r="AM85" s="119" t="n">
        <x:f>IF(AJ85=0,0,(AJ85-IF(4=D85,1,0))*VLOOKUP(INDEX('章节与怪物'!$E$31:$K$37,B85,4),'章节与怪物'!$A$41:$F$44,4,FALSE)+IF(4=D85,'难度参数'!$E$30,0))</x:f>
        <x:v>748</x:v>
      </x:c>
      <x:c r="AN85" s="119" t="n">
        <x:f>IF(5&gt;D85,0,MAX(2,MIN('难度参数'!$E$12,ROUND(('难度参数'!$E$18*POWER(A85,'难度参数'!$E$19)/D85*(0.85+0.3*(5-1)/MAX(1,D85-1))),0)+F85)))</x:f>
        <x:v>23</x:v>
      </x:c>
      <x:c r="AO85" s="119" t="n">
        <x:f>IF(5&gt;D85,0,ROUND(('难度参数'!$E$13*POWER(A85,'难度参数'!$E$20)*MIN('难度参数'!$E$23,1+MAX(0,A85-'难度参数'!$E$21)*'难度参数'!$E$22))*(36+5*7)/(36+7*(D85+1)/2)*E85,0))</x:f>
        <x:v>3035</x:v>
      </x:c>
      <x:c r="AP85" s="119" t="n">
        <x:f>IF(AN85=0,0,(AN85-IF(5=D85,1,0))*ROUND(AO85*VLOOKUP(INDEX('章节与怪物'!$E$31:$K$37,B85,5),'章节与怪物'!$A$41:$F$44,2,FALSE),0)+IF(5=D85,ROUND(AO85*'难度参数'!$E$28*'章节与怪物'!$E$17,0),0))</x:f>
        <x:v>69805</x:v>
      </x:c>
      <x:c r="AQ85" s="119" t="n">
        <x:f>IF(AN85=0,0,(AN85-IF(5=D85,1,0))*VLOOKUP(INDEX('章节与怪物'!$E$31:$K$37,B85,5),'章节与怪物'!$A$41:$F$44,4,FALSE)+IF(5=D85,'难度参数'!$E$30,0))</x:f>
        <x:v>414</x:v>
      </x:c>
      <x:c r="AR85" s="119" t="n">
        <x:f>IF(6&gt;D85,0,MAX(2,MIN('难度参数'!$E$12,ROUND(('难度参数'!$E$18*POWER(A85,'难度参数'!$E$19)/D85*(0.85+0.3*(6-1)/MAX(1,D85-1))),0)+F85)))</x:f>
        <x:v>24</x:v>
      </x:c>
      <x:c r="AS85" s="119" t="n">
        <x:f>IF(6&gt;D85,0,ROUND(('难度参数'!$E$13*POWER(A85,'难度参数'!$E$20)*MIN('难度参数'!$E$23,1+MAX(0,A85-'难度参数'!$E$21)*'难度参数'!$E$22))*(36+6*7)/(36+7*(D85+1)/2)*E85,0))</x:f>
        <x:v>3334</x:v>
      </x:c>
      <x:c r="AT85" s="119" t="n">
        <x:f>IF(AR85=0,0,(AR85-IF(6=D85,1,0))*ROUND(AS85*VLOOKUP(INDEX('章节与怪物'!$E$31:$K$37,B85,6),'章节与怪物'!$A$41:$F$44,2,FALSE),0)+IF(6=D85,ROUND(AS85*'难度参数'!$E$28*'章节与怪物'!$E$17,0),0))</x:f>
        <x:v>136032</x:v>
      </x:c>
      <x:c r="AU85" s="119" t="n">
        <x:f>IF(AR85=0,0,(AR85-IF(6=D85,1,0))*VLOOKUP(INDEX('章节与怪物'!$E$31:$K$37,B85,6),'章节与怪物'!$A$41:$F$44,4,FALSE)+IF(6=D85,'难度参数'!$E$30,0))</x:f>
        <x:v>672</x:v>
      </x:c>
      <x:c r="AV85" s="119" t="n">
        <x:f>IF(7&gt;D85,0,MAX(2,MIN('难度参数'!$E$12,ROUND(('难度参数'!$E$18*POWER(A85,'难度参数'!$E$19)/D85*(0.85+0.3*(7-1)/MAX(1,D85-1))),0)+F85)))</x:f>
        <x:v>25</x:v>
      </x:c>
      <x:c r="AW85" s="119" t="n">
        <x:f>IF(7&gt;D85,0,ROUND(('难度参数'!$E$13*POWER(A85,'难度参数'!$E$20)*MIN('难度参数'!$E$23,1+MAX(0,A85-'难度参数'!$E$21)*'难度参数'!$E$22))*(36+7*7)/(36+7*(D85+1)/2)*E85,0))</x:f>
        <x:v>3633</x:v>
      </x:c>
      <x:c r="AX85" s="119" t="n">
        <x:f>IF(AV85=0,0,(AV85-IF(7=D85,1,0))*ROUND(AW85*VLOOKUP(INDEX('章节与怪物'!$E$31:$K$37,B85,7),'章节与怪物'!$A$41:$F$44,2,FALSE),0)+IF(7=D85,ROUND(AW85*'难度参数'!$E$28*'章节与怪物'!$E$17,0),0))</x:f>
        <x:v>142424</x:v>
      </x:c>
      <x:c r="AY85" s="119" t="n">
        <x:f>IF(AV85=0,0,(AV85-IF(7=D85,1,0))*VLOOKUP(INDEX('章节与怪物'!$E$31:$K$37,B85,7),'章节与怪物'!$A$41:$F$44,4,FALSE)+IF(7=D85,'难度参数'!$E$30,0))</x:f>
        <x:v>1016</x:v>
      </x:c>
    </x:row>
    <x:row r="86" ht="23" customHeight="1">
      <x:c r="A86" s="119" t="n">
        <x:v>80</x:v>
      </x:c>
      <x:c r="B86" s="119" t="n">
        <x:f>MOD(INT((A86-1)/5),7)+1</x:f>
        <x:v>2</x:v>
      </x:c>
      <x:c r="C86" s="62" t="str">
        <x:f>INDEX('章节与怪物'!$B$31:$B$37,B86)</x:f>
        <x:v>黄沙要塞</x:v>
      </x:c>
      <x:c r="D86" s="119" t="n">
        <x:f>MIN('难度参数'!$E$8,MAX('难度参数'!$E$7,A86))</x:f>
        <x:v>7</x:v>
      </x:c>
      <x:c r="E86" s="106" t="n">
        <x:v>1</x:v>
      </x:c>
      <x:c r="F86" s="106" t="n">
        <x:v>0</x:v>
      </x:c>
      <x:c r="G86" s="106" t="n">
        <x:v>1</x:v>
      </x:c>
      <x:c r="H86" s="119" t="n">
        <x:f>SUM(X86,AB86,AF86,AJ86,AN86,AR86,AV86)</x:f>
        <x:v>154</x:v>
      </x:c>
      <x:c r="I86" s="119" t="n">
        <x:f>SUM(Z86,AD86,AH86,AL86,AP86,AT86,AX86)</x:f>
        <x:v>591222</x:v>
      </x:c>
      <x:c r="J86" s="119" t="n">
        <x:f>ROUND(INDEX(X86:AY86,1,(D86-1)*4+2)*'难度参数'!$E$28*'章节与怪物'!$E$17,0)</x:f>
        <x:v>24997</x:v>
      </x:c>
      <x:c r="K86" s="119" t="n">
        <x:f>SUM(AA86,AE86,AI86,AM86,AQ86,AU86,AY86)</x:f>
        <x:v>4178</x:v>
      </x:c>
      <x:c r="L86" s="62" t="n">
        <x:f>H86*(ROUNDUP('难度参数'!$E$24/('难度参数'!$E$26*'难度参数'!$E$27),0)*'难度参数'!$E$26)/60</x:f>
        <x:v>2.0533333333333332</x:v>
      </x:c>
      <x:c r="M86" s="62" t="n">
        <x:f>L86+D86*('难度参数'!$E$49+'难度参数'!$E$50)/60</x:f>
        <x:v>3.2199999999999998</x:v>
      </x:c>
      <x:c r="N86" s="119" t="n">
        <x:f>ROUNDDOWN(('经济参数'!$E$20+A86*'经济参数'!$E$21)*G86,0)</x:f>
        <x:v>1780</x:v>
      </x:c>
      <x:c r="O86" s="119" t="n">
        <x:f>ROUNDDOWN(MIN('经济参数'!$E$24,'经济参数'!$E$22+A86*'经济参数'!$E$23)*G86,0)</x:f>
        <x:v>0</x:v>
      </x:c>
      <x:c r="P86" s="119" t="n">
        <x:f>ROUNDDOWN((IF(A86&gt;='材料与任务'!$E$31,'材料与任务'!$E$32,IF(A86&gt;='材料与任务'!$E$25,'材料与任务'!$E$26,IF(A86&gt;='材料与任务'!$E$19,'材料与任务'!$E$20,IF(A86&gt;='材料与任务'!$E$13,'材料与任务'!$E$14,'材料与任务'!$E$8)))))*G86,0)</x:f>
        <x:v>5</x:v>
      </x:c>
      <x:c r="Q86" s="119" t="n">
        <x:f>ROUNDDOWN((IF(A86&gt;='材料与任务'!$E$31,'材料与任务'!$E$33,IF(A86&gt;='材料与任务'!$E$25,'材料与任务'!$E$27,IF(A86&gt;='材料与任务'!$E$19,'材料与任务'!$E$21,IF(A86&gt;='材料与任务'!$E$13,'材料与任务'!$E$15,'材料与任务'!$E$9)))))*G86,0)</x:f>
        <x:v>2</x:v>
      </x:c>
      <x:c r="R86" s="110" t="n">
        <x:f>'装备掉落'!$B$38</x:f>
        <x:v>0.6872058758851213</x:v>
      </x:c>
      <x:c r="S86" s="119" t="n">
        <x:f>MAX(IF(VLOOKUP(A86,'装备掉落'!$A$29:$H$34,2,TRUE)&gt;0,1,0),IF(VLOOKUP(A86,'装备掉落'!$A$29:$H$34,3,TRUE)&gt;0,2,0),IF(VLOOKUP(A86,'装备掉落'!$A$29:$H$34,4,TRUE)&gt;0,3,0),IF(VLOOKUP(A86,'装备掉落'!$A$29:$H$34,5,TRUE)&gt;0,4,0),IF(VLOOKUP(A86,'装备掉落'!$A$29:$H$34,6,TRUE)&gt;0,5,0),IF(VLOOKUP(A86,'装备掉落'!$A$29:$H$34,7,TRUE)&gt;0,6,0),IF(VLOOKUP(A86,'装备掉落'!$A$29:$H$34,8,TRUE)&gt;0,7,0))</x:f>
        <x:v>6</x:v>
      </x:c>
      <x:c r="T86" s="119" t="n">
        <x:f>MIN(7,S86+'经济参数'!$E$70)</x:f>
        <x:v>6</x:v>
      </x:c>
      <x:c r="U86" s="119" t="n">
        <x:f>MIN(7,S86+'经济参数'!$E$71)</x:f>
        <x:v>7</x:v>
      </x:c>
      <x:c r="V86" s="119" t="n">
        <x:f>IF(H86&gt;=('难度参数'!$E$52),1,0)+IF(H86&gt;=('难度参数'!$E$52+'难度参数'!$E$53),1,0)+IF(H86&gt;=('难度参数'!$E$52+'难度参数'!$E$53+'难度参数'!$E$54),1,0)+IF(H86&gt;=('难度参数'!$E$52+'难度参数'!$E$53+'难度参数'!$E$54+'难度参数'!$E$55),1,0)+IF(H86&gt;=('难度参数'!$E$52+'难度参数'!$E$53+'难度参数'!$E$54+'难度参数'!$E$55+'难度参数'!$E$56),1,0)+IF(H86&gt;=('难度参数'!$E$52+'难度参数'!$E$53+'难度参数'!$E$54+'难度参数'!$E$55+'难度参数'!$E$56+'难度参数'!$E$57),1,0)</x:f>
        <x:v>6</x:v>
      </x:c>
      <x:c r="W86" s="62" t="str">
        <x:f>IF(L86&gt;'难度参数'!$E$51,"仅出怪已超目标","还需实测")</x:f>
        <x:v>还需实测</x:v>
      </x:c>
      <x:c r="X86" s="119" t="n">
        <x:f>IF(1&gt;D86,0,MAX(2,MIN('难度参数'!$E$12,ROUND(('难度参数'!$E$18*POWER(A86,'难度参数'!$E$19)/D86*(0.85+0.3*(1-1)/MAX(1,D86-1))),0)+F86)))</x:f>
        <x:v>19</x:v>
      </x:c>
      <x:c r="Y86" s="119" t="n">
        <x:f>IF(1&gt;D86,0,ROUND(('难度参数'!$E$13*POWER(A86,'难度参数'!$E$20)*MIN('难度参数'!$E$23,1+MAX(0,A86-'难度参数'!$E$21)*'难度参数'!$E$22))*(36+1*7)/(36+7*(D86+1)/2)*E86,0))</x:f>
        <x:v>1859</x:v>
      </x:c>
      <x:c r="Z86" s="119" t="n">
        <x:f>IF(X86=0,0,(X86-IF(1=D86,1,0))*ROUND(Y86*VLOOKUP(INDEX('章节与怪物'!$E$31:$K$37,B86,1),'章节与怪物'!$A$41:$F$44,2,FALSE),0)+IF(1=D86,ROUND(Y86*'难度参数'!$E$28*'章节与怪物'!$E$17,0),0))</x:f>
        <x:v>25422</x:v>
      </x:c>
      <x:c r="AA86" s="119" t="n">
        <x:f>IF(X86=0,0,(X86-IF(1=D86,1,0))*VLOOKUP(INDEX('章节与怪物'!$E$31:$K$37,B86,1),'章节与怪物'!$A$41:$F$44,4,FALSE)+IF(1=D86,'难度参数'!$E$30,0))</x:f>
        <x:v>380</x:v>
      </x:c>
      <x:c r="AB86" s="119" t="n">
        <x:f>IF(2&gt;D86,0,MAX(2,MIN('难度参数'!$E$12,ROUND(('难度参数'!$E$18*POWER(A86,'难度参数'!$E$19)/D86*(0.85+0.3*(2-1)/MAX(1,D86-1))),0)+F86)))</x:f>
        <x:v>20</x:v>
      </x:c>
      <x:c r="AC86" s="119" t="n">
        <x:f>IF(2&gt;D86,0,ROUND(('难度参数'!$E$13*POWER(A86,'难度参数'!$E$20)*MIN('难度参数'!$E$23,1+MAX(0,A86-'难度参数'!$E$21)*'难度参数'!$E$22))*(36+2*7)/(36+7*(D86+1)/2)*E86,0))</x:f>
        <x:v>2162</x:v>
      </x:c>
      <x:c r="AD86" s="119" t="n">
        <x:f>IF(AB86=0,0,(AB86-IF(2=D86,1,0))*ROUND(AC86*VLOOKUP(INDEX('章节与怪物'!$E$31:$K$37,B86,2),'章节与怪物'!$A$41:$F$44,2,FALSE),0)+IF(2=D86,ROUND(AC86*'难度参数'!$E$28*'章节与怪物'!$E$17,0),0))</x:f>
        <x:v>43240</x:v>
      </x:c>
      <x:c r="AE86" s="119" t="n">
        <x:f>IF(AB86=0,0,(AB86-IF(2=D86,1,0))*VLOOKUP(INDEX('章节与怪物'!$E$31:$K$37,B86,2),'章节与怪物'!$A$41:$F$44,4,FALSE)+IF(2=D86,'难度参数'!$E$30,0))</x:f>
        <x:v>360</x:v>
      </x:c>
      <x:c r="AF86" s="119" t="n">
        <x:f>IF(3&gt;D86,0,MAX(2,MIN('难度参数'!$E$12,ROUND(('难度参数'!$E$18*POWER(A86,'难度参数'!$E$19)/D86*(0.85+0.3*(3-1)/MAX(1,D86-1))),0)+F86)))</x:f>
        <x:v>21</x:v>
      </x:c>
      <x:c r="AG86" s="119" t="n">
        <x:f>IF(3&gt;D86,0,ROUND(('难度参数'!$E$13*POWER(A86,'难度参数'!$E$20)*MIN('难度参数'!$E$23,1+MAX(0,A86-'难度参数'!$E$21)*'难度参数'!$E$22))*(36+3*7)/(36+7*(D86+1)/2)*E86,0))</x:f>
        <x:v>2465</x:v>
      </x:c>
      <x:c r="AH86" s="119" t="n">
        <x:f>IF(AF86=0,0,(AF86-IF(3=D86,1,0))*ROUND(AG86*VLOOKUP(INDEX('章节与怪物'!$E$31:$K$37,B86,3),'章节与怪物'!$A$41:$F$44,2,FALSE),0)+IF(3=D86,ROUND(AG86*'难度参数'!$E$28*'章节与怪物'!$E$17,0),0))</x:f>
        <x:v>88011</x:v>
      </x:c>
      <x:c r="AI86" s="119" t="n">
        <x:f>IF(AF86=0,0,(AF86-IF(3=D86,1,0))*VLOOKUP(INDEX('章节与怪物'!$E$31:$K$37,B86,3),'章节与怪物'!$A$41:$F$44,4,FALSE)+IF(3=D86,'难度参数'!$E$30,0))</x:f>
        <x:v>588</x:v>
      </x:c>
      <x:c r="AJ86" s="119" t="n">
        <x:f>IF(4&gt;D86,0,MAX(2,MIN('难度参数'!$E$12,ROUND(('难度参数'!$E$18*POWER(A86,'难度参数'!$E$19)/D86*(0.85+0.3*(4-1)/MAX(1,D86-1))),0)+F86)))</x:f>
        <x:v>22</x:v>
      </x:c>
      <x:c r="AK86" s="119" t="n">
        <x:f>IF(4&gt;D86,0,ROUND(('难度参数'!$E$13*POWER(A86,'难度参数'!$E$20)*MIN('难度参数'!$E$23,1+MAX(0,A86-'难度参数'!$E$21)*'难度参数'!$E$22))*(36+4*7)/(36+7*(D86+1)/2)*E86,0))</x:f>
        <x:v>2768</x:v>
      </x:c>
      <x:c r="AL86" s="119" t="n">
        <x:f>IF(AJ86=0,0,(AJ86-IF(4=D86,1,0))*ROUND(AK86*VLOOKUP(INDEX('章节与怪物'!$E$31:$K$37,B86,4),'章节与怪物'!$A$41:$F$44,2,FALSE),0)+IF(4=D86,ROUND(AK86*'难度参数'!$E$28*'章节与怪物'!$E$17,0),0))</x:f>
        <x:v>82214</x:v>
      </x:c>
      <x:c r="AM86" s="119" t="n">
        <x:f>IF(AJ86=0,0,(AJ86-IF(4=D86,1,0))*VLOOKUP(INDEX('章节与怪物'!$E$31:$K$37,B86,4),'章节与怪物'!$A$41:$F$44,4,FALSE)+IF(4=D86,'难度参数'!$E$30,0))</x:f>
        <x:v>748</x:v>
      </x:c>
      <x:c r="AN86" s="119" t="n">
        <x:f>IF(5&gt;D86,0,MAX(2,MIN('难度参数'!$E$12,ROUND(('难度参数'!$E$18*POWER(A86,'难度参数'!$E$19)/D86*(0.85+0.3*(5-1)/MAX(1,D86-1))),0)+F86)))</x:f>
        <x:v>23</x:v>
      </x:c>
      <x:c r="AO86" s="119" t="n">
        <x:f>IF(5&gt;D86,0,ROUND(('难度参数'!$E$13*POWER(A86,'难度参数'!$E$20)*MIN('难度参数'!$E$23,1+MAX(0,A86-'难度参数'!$E$21)*'难度参数'!$E$22))*(36+5*7)/(36+7*(D86+1)/2)*E86,0))</x:f>
        <x:v>3070</x:v>
      </x:c>
      <x:c r="AP86" s="119" t="n">
        <x:f>IF(AN86=0,0,(AN86-IF(5=D86,1,0))*ROUND(AO86*VLOOKUP(INDEX('章节与怪物'!$E$31:$K$37,B86,5),'章节与怪物'!$A$41:$F$44,2,FALSE),0)+IF(5=D86,ROUND(AO86*'难度参数'!$E$28*'章节与怪物'!$E$17,0),0))</x:f>
        <x:v>70610</x:v>
      </x:c>
      <x:c r="AQ86" s="119" t="n">
        <x:f>IF(AN86=0,0,(AN86-IF(5=D86,1,0))*VLOOKUP(INDEX('章节与怪物'!$E$31:$K$37,B86,5),'章节与怪物'!$A$41:$F$44,4,FALSE)+IF(5=D86,'难度参数'!$E$30,0))</x:f>
        <x:v>414</x:v>
      </x:c>
      <x:c r="AR86" s="119" t="n">
        <x:f>IF(6&gt;D86,0,MAX(2,MIN('难度参数'!$E$12,ROUND(('难度参数'!$E$18*POWER(A86,'难度参数'!$E$19)/D86*(0.85+0.3*(6-1)/MAX(1,D86-1))),0)+F86)))</x:f>
        <x:v>24</x:v>
      </x:c>
      <x:c r="AS86" s="119" t="n">
        <x:f>IF(6&gt;D86,0,ROUND(('难度参数'!$E$13*POWER(A86,'难度参数'!$E$20)*MIN('难度参数'!$E$23,1+MAX(0,A86-'难度参数'!$E$21)*'难度参数'!$E$22))*(36+6*7)/(36+7*(D86+1)/2)*E86,0))</x:f>
        <x:v>3373</x:v>
      </x:c>
      <x:c r="AT86" s="119" t="n">
        <x:f>IF(AR86=0,0,(AR86-IF(6=D86,1,0))*ROUND(AS86*VLOOKUP(INDEX('章节与怪物'!$E$31:$K$37,B86,6),'章节与怪物'!$A$41:$F$44,2,FALSE),0)+IF(6=D86,ROUND(AS86*'难度参数'!$E$28*'章节与怪物'!$E$17,0),0))</x:f>
        <x:v>137616</x:v>
      </x:c>
      <x:c r="AU86" s="119" t="n">
        <x:f>IF(AR86=0,0,(AR86-IF(6=D86,1,0))*VLOOKUP(INDEX('章节与怪物'!$E$31:$K$37,B86,6),'章节与怪物'!$A$41:$F$44,4,FALSE)+IF(6=D86,'难度参数'!$E$30,0))</x:f>
        <x:v>672</x:v>
      </x:c>
      <x:c r="AV86" s="119" t="n">
        <x:f>IF(7&gt;D86,0,MAX(2,MIN('难度参数'!$E$12,ROUND(('难度参数'!$E$18*POWER(A86,'难度参数'!$E$19)/D86*(0.85+0.3*(7-1)/MAX(1,D86-1))),0)+F86)))</x:f>
        <x:v>25</x:v>
      </x:c>
      <x:c r="AW86" s="119" t="n">
        <x:f>IF(7&gt;D86,0,ROUND(('难度参数'!$E$13*POWER(A86,'难度参数'!$E$20)*MIN('难度参数'!$E$23,1+MAX(0,A86-'难度参数'!$E$21)*'难度参数'!$E$22))*(36+7*7)/(36+7*(D86+1)/2)*E86,0))</x:f>
        <x:v>3676</x:v>
      </x:c>
      <x:c r="AX86" s="119" t="n">
        <x:f>IF(AV86=0,0,(AV86-IF(7=D86,1,0))*ROUND(AW86*VLOOKUP(INDEX('章节与怪物'!$E$31:$K$37,B86,7),'章节与怪物'!$A$41:$F$44,2,FALSE),0)+IF(7=D86,ROUND(AW86*'难度参数'!$E$28*'章节与怪物'!$E$17,0),0))</x:f>
        <x:v>144109</x:v>
      </x:c>
      <x:c r="AY86" s="119" t="n">
        <x:f>IF(AV86=0,0,(AV86-IF(7=D86,1,0))*VLOOKUP(INDEX('章节与怪物'!$E$31:$K$37,B86,7),'章节与怪物'!$A$41:$F$44,4,FALSE)+IF(7=D86,'难度参数'!$E$30,0))</x:f>
        <x:v>1016</x:v>
      </x:c>
    </x:row>
    <x:row r="87" ht="23" customHeight="1">
      <x:c r="A87" s="119" t="n">
        <x:v>81</x:v>
      </x:c>
      <x:c r="B87" s="119" t="n">
        <x:f>MOD(INT((A87-1)/5),7)+1</x:f>
        <x:v>3</x:v>
      </x:c>
      <x:c r="C87" s="62" t="str">
        <x:f>INDEX('章节与怪物'!$B$31:$B$37,B87)</x:f>
        <x:v>腐沼秘林</x:v>
      </x:c>
      <x:c r="D87" s="119" t="n">
        <x:f>MIN('难度参数'!$E$8,MAX('难度参数'!$E$7,A87))</x:f>
        <x:v>7</x:v>
      </x:c>
      <x:c r="E87" s="106" t="n">
        <x:v>1</x:v>
      </x:c>
      <x:c r="F87" s="106" t="n">
        <x:v>0</x:v>
      </x:c>
      <x:c r="G87" s="106" t="n">
        <x:v>1</x:v>
      </x:c>
      <x:c r="H87" s="119" t="n">
        <x:f>SUM(X87,AB87,AF87,AJ87,AN87,AR87,AV87)</x:f>
        <x:v>154</x:v>
      </x:c>
      <x:c r="I87" s="119" t="n">
        <x:f>SUM(Z87,AD87,AH87,AL87,AP87,AT87,AX87)</x:f>
        <x:v>575763</x:v>
      </x:c>
      <x:c r="J87" s="119" t="n">
        <x:f>ROUND(INDEX(X87:AY87,1,(D87-1)*4+2)*'难度参数'!$E$28*'章节与怪物'!$E$17,0)</x:f>
        <x:v>25282</x:v>
      </x:c>
      <x:c r="K87" s="119" t="n">
        <x:f>SUM(AA87,AE87,AI87,AM87,AQ87,AU87,AY87)</x:f>
        <x:v>4226</x:v>
      </x:c>
      <x:c r="L87" s="62" t="n">
        <x:f>H87*(ROUNDUP('难度参数'!$E$24/('难度参数'!$E$26*'难度参数'!$E$27),0)*'难度参数'!$E$26)/60</x:f>
        <x:v>2.0533333333333332</x:v>
      </x:c>
      <x:c r="M87" s="62" t="n">
        <x:f>L87+D87*('难度参数'!$E$49+'难度参数'!$E$50)/60</x:f>
        <x:v>3.2199999999999998</x:v>
      </x:c>
      <x:c r="N87" s="119" t="n">
        <x:f>ROUNDDOWN(('经济参数'!$E$20+A87*'经济参数'!$E$21)*G87,0)</x:f>
        <x:v>1800</x:v>
      </x:c>
      <x:c r="O87" s="119" t="n">
        <x:f>ROUNDDOWN(MIN('经济参数'!$E$24,'经济参数'!$E$22+A87*'经济参数'!$E$23)*G87,0)</x:f>
        <x:v>0</x:v>
      </x:c>
      <x:c r="P87" s="119" t="n">
        <x:f>ROUNDDOWN((IF(A87&gt;='材料与任务'!$E$31,'材料与任务'!$E$32,IF(A87&gt;='材料与任务'!$E$25,'材料与任务'!$E$26,IF(A87&gt;='材料与任务'!$E$19,'材料与任务'!$E$20,IF(A87&gt;='材料与任务'!$E$13,'材料与任务'!$E$14,'材料与任务'!$E$8)))))*G87,0)</x:f>
        <x:v>5</x:v>
      </x:c>
      <x:c r="Q87" s="119" t="n">
        <x:f>ROUNDDOWN((IF(A87&gt;='材料与任务'!$E$31,'材料与任务'!$E$33,IF(A87&gt;='材料与任务'!$E$25,'材料与任务'!$E$27,IF(A87&gt;='材料与任务'!$E$19,'材料与任务'!$E$21,IF(A87&gt;='材料与任务'!$E$13,'材料与任务'!$E$15,'材料与任务'!$E$9)))))*G87,0)</x:f>
        <x:v>2</x:v>
      </x:c>
      <x:c r="R87" s="110" t="n">
        <x:f>'装备掉落'!$B$38</x:f>
        <x:v>0.6872058758851213</x:v>
      </x:c>
      <x:c r="S87" s="119" t="n">
        <x:f>MAX(IF(VLOOKUP(A87,'装备掉落'!$A$29:$H$34,2,TRUE)&gt;0,1,0),IF(VLOOKUP(A87,'装备掉落'!$A$29:$H$34,3,TRUE)&gt;0,2,0),IF(VLOOKUP(A87,'装备掉落'!$A$29:$H$34,4,TRUE)&gt;0,3,0),IF(VLOOKUP(A87,'装备掉落'!$A$29:$H$34,5,TRUE)&gt;0,4,0),IF(VLOOKUP(A87,'装备掉落'!$A$29:$H$34,6,TRUE)&gt;0,5,0),IF(VLOOKUP(A87,'装备掉落'!$A$29:$H$34,7,TRUE)&gt;0,6,0),IF(VLOOKUP(A87,'装备掉落'!$A$29:$H$34,8,TRUE)&gt;0,7,0))</x:f>
        <x:v>7</x:v>
      </x:c>
      <x:c r="T87" s="119" t="n">
        <x:f>MIN(7,S87+'经济参数'!$E$70)</x:f>
        <x:v>7</x:v>
      </x:c>
      <x:c r="U87" s="119" t="n">
        <x:f>MIN(7,S87+'经济参数'!$E$71)</x:f>
        <x:v>7</x:v>
      </x:c>
      <x:c r="V87" s="119" t="n">
        <x:f>IF(H87&gt;=('难度参数'!$E$52),1,0)+IF(H87&gt;=('难度参数'!$E$52+'难度参数'!$E$53),1,0)+IF(H87&gt;=('难度参数'!$E$52+'难度参数'!$E$53+'难度参数'!$E$54),1,0)+IF(H87&gt;=('难度参数'!$E$52+'难度参数'!$E$53+'难度参数'!$E$54+'难度参数'!$E$55),1,0)+IF(H87&gt;=('难度参数'!$E$52+'难度参数'!$E$53+'难度参数'!$E$54+'难度参数'!$E$55+'难度参数'!$E$56),1,0)+IF(H87&gt;=('难度参数'!$E$52+'难度参数'!$E$53+'难度参数'!$E$54+'难度参数'!$E$55+'难度参数'!$E$56+'难度参数'!$E$57),1,0)</x:f>
        <x:v>6</x:v>
      </x:c>
      <x:c r="W87" s="62" t="str">
        <x:f>IF(L87&gt;'难度参数'!$E$51,"仅出怪已超目标","还需实测")</x:f>
        <x:v>还需实测</x:v>
      </x:c>
      <x:c r="X87" s="119" t="n">
        <x:f>IF(1&gt;D87,0,MAX(2,MIN('难度参数'!$E$12,ROUND(('难度参数'!$E$18*POWER(A87,'难度参数'!$E$19)/D87*(0.85+0.3*(1-1)/MAX(1,D87-1))),0)+F87)))</x:f>
        <x:v>19</x:v>
      </x:c>
      <x:c r="Y87" s="119" t="n">
        <x:f>IF(1&gt;D87,0,ROUND(('难度参数'!$E$13*POWER(A87,'难度参数'!$E$20)*MIN('难度参数'!$E$23,1+MAX(0,A87-'难度参数'!$E$21)*'难度参数'!$E$22))*(36+1*7)/(36+7*(D87+1)/2)*E87,0))</x:f>
        <x:v>1881</x:v>
      </x:c>
      <x:c r="Z87" s="119" t="n">
        <x:f>IF(X87=0,0,(X87-IF(1=D87,1,0))*ROUND(Y87*VLOOKUP(INDEX('章节与怪物'!$E$31:$K$37,B87,1),'章节与怪物'!$A$41:$F$44,2,FALSE),0)+IF(1=D87,ROUND(Y87*'难度参数'!$E$28*'章节与怪物'!$E$17,0),0))</x:f>
        <x:v>35739</x:v>
      </x:c>
      <x:c r="AA87" s="119" t="n">
        <x:f>IF(X87=0,0,(X87-IF(1=D87,1,0))*VLOOKUP(INDEX('章节与怪物'!$E$31:$K$37,B87,1),'章节与怪物'!$A$41:$F$44,4,FALSE)+IF(1=D87,'难度参数'!$E$30,0))</x:f>
        <x:v>342</x:v>
      </x:c>
      <x:c r="AB87" s="119" t="n">
        <x:f>IF(2&gt;D87,0,MAX(2,MIN('难度参数'!$E$12,ROUND(('难度参数'!$E$18*POWER(A87,'难度参数'!$E$19)/D87*(0.85+0.3*(2-1)/MAX(1,D87-1))),0)+F87)))</x:f>
        <x:v>20</x:v>
      </x:c>
      <x:c r="AC87" s="119" t="n">
        <x:f>IF(2&gt;D87,0,ROUND(('难度参数'!$E$13*POWER(A87,'难度参数'!$E$20)*MIN('难度参数'!$E$23,1+MAX(0,A87-'难度参数'!$E$21)*'难度参数'!$E$22))*(36+2*7)/(36+7*(D87+1)/2)*E87,0))</x:f>
        <x:v>2187</x:v>
      </x:c>
      <x:c r="AD87" s="119" t="n">
        <x:f>IF(AB87=0,0,(AB87-IF(2=D87,1,0))*ROUND(AC87*VLOOKUP(INDEX('章节与怪物'!$E$31:$K$37,B87,2),'章节与怪物'!$A$41:$F$44,2,FALSE),0)+IF(2=D87,ROUND(AC87*'难度参数'!$E$28*'章节与怪物'!$E$17,0),0))</x:f>
        <x:v>31500</x:v>
      </x:c>
      <x:c r="AE87" s="119" t="n">
        <x:f>IF(AB87=0,0,(AB87-IF(2=D87,1,0))*VLOOKUP(INDEX('章节与怪物'!$E$31:$K$37,B87,2),'章节与怪物'!$A$41:$F$44,4,FALSE)+IF(2=D87,'难度参数'!$E$30,0))</x:f>
        <x:v>400</x:v>
      </x:c>
      <x:c r="AF87" s="119" t="n">
        <x:f>IF(3&gt;D87,0,MAX(2,MIN('难度参数'!$E$12,ROUND(('难度参数'!$E$18*POWER(A87,'难度参数'!$E$19)/D87*(0.85+0.3*(3-1)/MAX(1,D87-1))),0)+F87)))</x:f>
        <x:v>21</x:v>
      </x:c>
      <x:c r="AG87" s="119" t="n">
        <x:f>IF(3&gt;D87,0,ROUND(('难度参数'!$E$13*POWER(A87,'难度参数'!$E$20)*MIN('难度参数'!$E$23,1+MAX(0,A87-'难度参数'!$E$21)*'难度参数'!$E$22))*(36+3*7)/(36+7*(D87+1)/2)*E87,0))</x:f>
        <x:v>2493</x:v>
      </x:c>
      <x:c r="AH87" s="119" t="n">
        <x:f>IF(AF87=0,0,(AF87-IF(3=D87,1,0))*ROUND(AG87*VLOOKUP(INDEX('章节与怪物'!$E$31:$K$37,B87,3),'章节与怪物'!$A$41:$F$44,2,FALSE),0)+IF(3=D87,ROUND(AG87*'难度参数'!$E$28*'章节与怪物'!$E$17,0),0))</x:f>
        <x:v>88998</x:v>
      </x:c>
      <x:c r="AI87" s="119" t="n">
        <x:f>IF(AF87=0,0,(AF87-IF(3=D87,1,0))*VLOOKUP(INDEX('章节与怪物'!$E$31:$K$37,B87,3),'章节与怪物'!$A$41:$F$44,4,FALSE)+IF(3=D87,'难度参数'!$E$30,0))</x:f>
        <x:v>588</x:v>
      </x:c>
      <x:c r="AJ87" s="119" t="n">
        <x:f>IF(4&gt;D87,0,MAX(2,MIN('难度参数'!$E$12,ROUND(('难度参数'!$E$18*POWER(A87,'难度参数'!$E$19)/D87*(0.85+0.3*(4-1)/MAX(1,D87-1))),0)+F87)))</x:f>
        <x:v>22</x:v>
      </x:c>
      <x:c r="AK87" s="119" t="n">
        <x:f>IF(4&gt;D87,0,ROUND(('难度参数'!$E$13*POWER(A87,'难度参数'!$E$20)*MIN('难度参数'!$E$23,1+MAX(0,A87-'难度参数'!$E$21)*'难度参数'!$E$22))*(36+4*7)/(36+7*(D87+1)/2)*E87,0))</x:f>
        <x:v>2800</x:v>
      </x:c>
      <x:c r="AL87" s="119" t="n">
        <x:f>IF(AJ87=0,0,(AJ87-IF(4=D87,1,0))*ROUND(AK87*VLOOKUP(INDEX('章节与怪物'!$E$31:$K$37,B87,4),'章节与怪物'!$A$41:$F$44,2,FALSE),0)+IF(4=D87,ROUND(AK87*'难度参数'!$E$28*'章节与怪物'!$E$17,0),0))</x:f>
        <x:v>83160</x:v>
      </x:c>
      <x:c r="AM87" s="119" t="n">
        <x:f>IF(AJ87=0,0,(AJ87-IF(4=D87,1,0))*VLOOKUP(INDEX('章节与怪物'!$E$31:$K$37,B87,4),'章节与怪物'!$A$41:$F$44,4,FALSE)+IF(4=D87,'难度参数'!$E$30,0))</x:f>
        <x:v>748</x:v>
      </x:c>
      <x:c r="AN87" s="119" t="n">
        <x:f>IF(5&gt;D87,0,MAX(2,MIN('难度参数'!$E$12,ROUND(('难度参数'!$E$18*POWER(A87,'难度参数'!$E$19)/D87*(0.85+0.3*(5-1)/MAX(1,D87-1))),0)+F87)))</x:f>
        <x:v>23</x:v>
      </x:c>
      <x:c r="AO87" s="119" t="n">
        <x:f>IF(5&gt;D87,0,ROUND(('难度参数'!$E$13*POWER(A87,'难度参数'!$E$20)*MIN('难度参数'!$E$23,1+MAX(0,A87-'难度参数'!$E$21)*'难度参数'!$E$22))*(36+5*7)/(36+7*(D87+1)/2)*E87,0))</x:f>
        <x:v>3106</x:v>
      </x:c>
      <x:c r="AP87" s="119" t="n">
        <x:f>IF(AN87=0,0,(AN87-IF(5=D87,1,0))*ROUND(AO87*VLOOKUP(INDEX('章节与怪物'!$E$31:$K$37,B87,5),'章节与怪物'!$A$41:$F$44,2,FALSE),0)+IF(5=D87,ROUND(AO87*'难度参数'!$E$28*'章节与怪物'!$E$17,0),0))</x:f>
        <x:v>51428</x:v>
      </x:c>
      <x:c r="AQ87" s="119" t="n">
        <x:f>IF(AN87=0,0,(AN87-IF(5=D87,1,0))*VLOOKUP(INDEX('章节与怪物'!$E$31:$K$37,B87,5),'章节与怪物'!$A$41:$F$44,4,FALSE)+IF(5=D87,'难度参数'!$E$30,0))</x:f>
        <x:v>460</x:v>
      </x:c>
      <x:c r="AR87" s="119" t="n">
        <x:f>IF(6&gt;D87,0,MAX(2,MIN('难度参数'!$E$12,ROUND(('难度参数'!$E$18*POWER(A87,'难度参数'!$E$19)/D87*(0.85+0.3*(6-1)/MAX(1,D87-1))),0)+F87)))</x:f>
        <x:v>24</x:v>
      </x:c>
      <x:c r="AS87" s="119" t="n">
        <x:f>IF(6&gt;D87,0,ROUND(('难度参数'!$E$13*POWER(A87,'难度参数'!$E$20)*MIN('难度参数'!$E$23,1+MAX(0,A87-'难度参数'!$E$21)*'难度参数'!$E$22))*(36+6*7)/(36+7*(D87+1)/2)*E87,0))</x:f>
        <x:v>3412</x:v>
      </x:c>
      <x:c r="AT87" s="119" t="n">
        <x:f>IF(AR87=0,0,(AR87-IF(6=D87,1,0))*ROUND(AS87*VLOOKUP(INDEX('章节与怪物'!$E$31:$K$37,B87,6),'章节与怪物'!$A$41:$F$44,2,FALSE),0)+IF(6=D87,ROUND(AS87*'难度参数'!$E$28*'章节与怪物'!$E$17,0),0))</x:f>
        <x:v>139200</x:v>
      </x:c>
      <x:c r="AU87" s="119" t="n">
        <x:f>IF(AR87=0,0,(AR87-IF(6=D87,1,0))*VLOOKUP(INDEX('章节与怪物'!$E$31:$K$37,B87,6),'章节与怪物'!$A$41:$F$44,4,FALSE)+IF(6=D87,'难度参数'!$E$30,0))</x:f>
        <x:v>672</x:v>
      </x:c>
      <x:c r="AV87" s="119" t="n">
        <x:f>IF(7&gt;D87,0,MAX(2,MIN('难度参数'!$E$12,ROUND(('难度参数'!$E$18*POWER(A87,'难度参数'!$E$19)/D87*(0.85+0.3*(7-1)/MAX(1,D87-1))),0)+F87)))</x:f>
        <x:v>25</x:v>
      </x:c>
      <x:c r="AW87" s="119" t="n">
        <x:f>IF(7&gt;D87,0,ROUND(('难度参数'!$E$13*POWER(A87,'难度参数'!$E$20)*MIN('难度参数'!$E$23,1+MAX(0,A87-'难度参数'!$E$21)*'难度参数'!$E$22))*(36+7*7)/(36+7*(D87+1)/2)*E87,0))</x:f>
        <x:v>3718</x:v>
      </x:c>
      <x:c r="AX87" s="119" t="n">
        <x:f>IF(AV87=0,0,(AV87-IF(7=D87,1,0))*ROUND(AW87*VLOOKUP(INDEX('章节与怪物'!$E$31:$K$37,B87,7),'章节与怪物'!$A$41:$F$44,2,FALSE),0)+IF(7=D87,ROUND(AW87*'难度参数'!$E$28*'章节与怪物'!$E$17,0),0))</x:f>
        <x:v>145738</x:v>
      </x:c>
      <x:c r="AY87" s="119" t="n">
        <x:f>IF(AV87=0,0,(AV87-IF(7=D87,1,0))*VLOOKUP(INDEX('章节与怪物'!$E$31:$K$37,B87,7),'章节与怪物'!$A$41:$F$44,4,FALSE)+IF(7=D87,'难度参数'!$E$30,0))</x:f>
        <x:v>1016</x:v>
      </x:c>
    </x:row>
    <x:row r="88" ht="23" customHeight="1">
      <x:c r="A88" s="119" t="n">
        <x:v>82</x:v>
      </x:c>
      <x:c r="B88" s="119" t="n">
        <x:f>MOD(INT((A88-1)/5),7)+1</x:f>
        <x:v>3</x:v>
      </x:c>
      <x:c r="C88" s="62" t="str">
        <x:f>INDEX('章节与怪物'!$B$31:$B$37,B88)</x:f>
        <x:v>腐沼秘林</x:v>
      </x:c>
      <x:c r="D88" s="119" t="n">
        <x:f>MIN('难度参数'!$E$8,MAX('难度参数'!$E$7,A88))</x:f>
        <x:v>7</x:v>
      </x:c>
      <x:c r="E88" s="106" t="n">
        <x:v>1</x:v>
      </x:c>
      <x:c r="F88" s="106" t="n">
        <x:v>0</x:v>
      </x:c>
      <x:c r="G88" s="106" t="n">
        <x:v>1</x:v>
      </x:c>
      <x:c r="H88" s="119" t="n">
        <x:f>SUM(X88,AB88,AF88,AJ88,AN88,AR88,AV88)</x:f>
        <x:v>154</x:v>
      </x:c>
      <x:c r="I88" s="119" t="n">
        <x:f>SUM(Z88,AD88,AH88,AL88,AP88,AT88,AX88)</x:f>
        <x:v>582388</x:v>
      </x:c>
      <x:c r="J88" s="119" t="n">
        <x:f>ROUND(INDEX(X88:AY88,1,(D88-1)*4+2)*'难度参数'!$E$28*'章节与怪物'!$E$17,0)</x:f>
        <x:v>25575</x:v>
      </x:c>
      <x:c r="K88" s="119" t="n">
        <x:f>SUM(AA88,AE88,AI88,AM88,AQ88,AU88,AY88)</x:f>
        <x:v>4226</x:v>
      </x:c>
      <x:c r="L88" s="62" t="n">
        <x:f>H88*(ROUNDUP('难度参数'!$E$24/('难度参数'!$E$26*'难度参数'!$E$27),0)*'难度参数'!$E$26)/60</x:f>
        <x:v>2.0533333333333332</x:v>
      </x:c>
      <x:c r="M88" s="62" t="n">
        <x:f>L88+D88*('难度参数'!$E$49+'难度参数'!$E$50)/60</x:f>
        <x:v>3.2199999999999998</x:v>
      </x:c>
      <x:c r="N88" s="119" t="n">
        <x:f>ROUNDDOWN(('经济参数'!$E$20+A88*'经济参数'!$E$21)*G88,0)</x:f>
        <x:v>1820</x:v>
      </x:c>
      <x:c r="O88" s="119" t="n">
        <x:f>ROUNDDOWN(MIN('经济参数'!$E$24,'经济参数'!$E$22+A88*'经济参数'!$E$23)*G88,0)</x:f>
        <x:v>0</x:v>
      </x:c>
      <x:c r="P88" s="119" t="n">
        <x:f>ROUNDDOWN((IF(A88&gt;='材料与任务'!$E$31,'材料与任务'!$E$32,IF(A88&gt;='材料与任务'!$E$25,'材料与任务'!$E$26,IF(A88&gt;='材料与任务'!$E$19,'材料与任务'!$E$20,IF(A88&gt;='材料与任务'!$E$13,'材料与任务'!$E$14,'材料与任务'!$E$8)))))*G88,0)</x:f>
        <x:v>5</x:v>
      </x:c>
      <x:c r="Q88" s="119" t="n">
        <x:f>ROUNDDOWN((IF(A88&gt;='材料与任务'!$E$31,'材料与任务'!$E$33,IF(A88&gt;='材料与任务'!$E$25,'材料与任务'!$E$27,IF(A88&gt;='材料与任务'!$E$19,'材料与任务'!$E$21,IF(A88&gt;='材料与任务'!$E$13,'材料与任务'!$E$15,'材料与任务'!$E$9)))))*G88,0)</x:f>
        <x:v>2</x:v>
      </x:c>
      <x:c r="R88" s="110" t="n">
        <x:f>'装备掉落'!$B$38</x:f>
        <x:v>0.6872058758851213</x:v>
      </x:c>
      <x:c r="S88" s="119" t="n">
        <x:f>MAX(IF(VLOOKUP(A88,'装备掉落'!$A$29:$H$34,2,TRUE)&gt;0,1,0),IF(VLOOKUP(A88,'装备掉落'!$A$29:$H$34,3,TRUE)&gt;0,2,0),IF(VLOOKUP(A88,'装备掉落'!$A$29:$H$34,4,TRUE)&gt;0,3,0),IF(VLOOKUP(A88,'装备掉落'!$A$29:$H$34,5,TRUE)&gt;0,4,0),IF(VLOOKUP(A88,'装备掉落'!$A$29:$H$34,6,TRUE)&gt;0,5,0),IF(VLOOKUP(A88,'装备掉落'!$A$29:$H$34,7,TRUE)&gt;0,6,0),IF(VLOOKUP(A88,'装备掉落'!$A$29:$H$34,8,TRUE)&gt;0,7,0))</x:f>
        <x:v>7</x:v>
      </x:c>
      <x:c r="T88" s="119" t="n">
        <x:f>MIN(7,S88+'经济参数'!$E$70)</x:f>
        <x:v>7</x:v>
      </x:c>
      <x:c r="U88" s="119" t="n">
        <x:f>MIN(7,S88+'经济参数'!$E$71)</x:f>
        <x:v>7</x:v>
      </x:c>
      <x:c r="V88" s="119" t="n">
        <x:f>IF(H88&gt;=('难度参数'!$E$52),1,0)+IF(H88&gt;=('难度参数'!$E$52+'难度参数'!$E$53),1,0)+IF(H88&gt;=('难度参数'!$E$52+'难度参数'!$E$53+'难度参数'!$E$54),1,0)+IF(H88&gt;=('难度参数'!$E$52+'难度参数'!$E$53+'难度参数'!$E$54+'难度参数'!$E$55),1,0)+IF(H88&gt;=('难度参数'!$E$52+'难度参数'!$E$53+'难度参数'!$E$54+'难度参数'!$E$55+'难度参数'!$E$56),1,0)+IF(H88&gt;=('难度参数'!$E$52+'难度参数'!$E$53+'难度参数'!$E$54+'难度参数'!$E$55+'难度参数'!$E$56+'难度参数'!$E$57),1,0)</x:f>
        <x:v>6</x:v>
      </x:c>
      <x:c r="W88" s="62" t="str">
        <x:f>IF(L88&gt;'难度参数'!$E$51,"仅出怪已超目标","还需实测")</x:f>
        <x:v>还需实测</x:v>
      </x:c>
      <x:c r="X88" s="119" t="n">
        <x:f>IF(1&gt;D88,0,MAX(2,MIN('难度参数'!$E$12,ROUND(('难度参数'!$E$18*POWER(A88,'难度参数'!$E$19)/D88*(0.85+0.3*(1-1)/MAX(1,D88-1))),0)+F88)))</x:f>
        <x:v>19</x:v>
      </x:c>
      <x:c r="Y88" s="119" t="n">
        <x:f>IF(1&gt;D88,0,ROUND(('难度参数'!$E$13*POWER(A88,'难度参数'!$E$20)*MIN('难度参数'!$E$23,1+MAX(0,A88-'难度参数'!$E$21)*'难度参数'!$E$22))*(36+1*7)/(36+7*(D88+1)/2)*E88,0))</x:f>
        <x:v>1902</x:v>
      </x:c>
      <x:c r="Z88" s="119" t="n">
        <x:f>IF(X88=0,0,(X88-IF(1=D88,1,0))*ROUND(Y88*VLOOKUP(INDEX('章节与怪物'!$E$31:$K$37,B88,1),'章节与怪物'!$A$41:$F$44,2,FALSE),0)+IF(1=D88,ROUND(Y88*'难度参数'!$E$28*'章节与怪物'!$E$17,0),0))</x:f>
        <x:v>36138</x:v>
      </x:c>
      <x:c r="AA88" s="119" t="n">
        <x:f>IF(X88=0,0,(X88-IF(1=D88,1,0))*VLOOKUP(INDEX('章节与怪物'!$E$31:$K$37,B88,1),'章节与怪物'!$A$41:$F$44,4,FALSE)+IF(1=D88,'难度参数'!$E$30,0))</x:f>
        <x:v>342</x:v>
      </x:c>
      <x:c r="AB88" s="119" t="n">
        <x:f>IF(2&gt;D88,0,MAX(2,MIN('难度参数'!$E$12,ROUND(('难度参数'!$E$18*POWER(A88,'难度参数'!$E$19)/D88*(0.85+0.3*(2-1)/MAX(1,D88-1))),0)+F88)))</x:f>
        <x:v>20</x:v>
      </x:c>
      <x:c r="AC88" s="119" t="n">
        <x:f>IF(2&gt;D88,0,ROUND(('难度参数'!$E$13*POWER(A88,'难度参数'!$E$20)*MIN('难度参数'!$E$23,1+MAX(0,A88-'难度参数'!$E$21)*'难度参数'!$E$22))*(36+2*7)/(36+7*(D88+1)/2)*E88,0))</x:f>
        <x:v>2212</x:v>
      </x:c>
      <x:c r="AD88" s="119" t="n">
        <x:f>IF(AB88=0,0,(AB88-IF(2=D88,1,0))*ROUND(AC88*VLOOKUP(INDEX('章节与怪物'!$E$31:$K$37,B88,2),'章节与怪物'!$A$41:$F$44,2,FALSE),0)+IF(2=D88,ROUND(AC88*'难度参数'!$E$28*'章节与怪物'!$E$17,0),0))</x:f>
        <x:v>31860</x:v>
      </x:c>
      <x:c r="AE88" s="119" t="n">
        <x:f>IF(AB88=0,0,(AB88-IF(2=D88,1,0))*VLOOKUP(INDEX('章节与怪物'!$E$31:$K$37,B88,2),'章节与怪物'!$A$41:$F$44,4,FALSE)+IF(2=D88,'难度参数'!$E$30,0))</x:f>
        <x:v>400</x:v>
      </x:c>
      <x:c r="AF88" s="119" t="n">
        <x:f>IF(3&gt;D88,0,MAX(2,MIN('难度参数'!$E$12,ROUND(('难度参数'!$E$18*POWER(A88,'难度参数'!$E$19)/D88*(0.85+0.3*(3-1)/MAX(1,D88-1))),0)+F88)))</x:f>
        <x:v>21</x:v>
      </x:c>
      <x:c r="AG88" s="119" t="n">
        <x:f>IF(3&gt;D88,0,ROUND(('难度参数'!$E$13*POWER(A88,'难度参数'!$E$20)*MIN('难度参数'!$E$23,1+MAX(0,A88-'难度参数'!$E$21)*'难度参数'!$E$22))*(36+3*7)/(36+7*(D88+1)/2)*E88,0))</x:f>
        <x:v>2522</x:v>
      </x:c>
      <x:c r="AH88" s="119" t="n">
        <x:f>IF(AF88=0,0,(AF88-IF(3=D88,1,0))*ROUND(AG88*VLOOKUP(INDEX('章节与怪物'!$E$31:$K$37,B88,3),'章节与怪物'!$A$41:$F$44,2,FALSE),0)+IF(3=D88,ROUND(AG88*'难度参数'!$E$28*'章节与怪物'!$E$17,0),0))</x:f>
        <x:v>90027</x:v>
      </x:c>
      <x:c r="AI88" s="119" t="n">
        <x:f>IF(AF88=0,0,(AF88-IF(3=D88,1,0))*VLOOKUP(INDEX('章节与怪物'!$E$31:$K$37,B88,3),'章节与怪物'!$A$41:$F$44,4,FALSE)+IF(3=D88,'难度参数'!$E$30,0))</x:f>
        <x:v>588</x:v>
      </x:c>
      <x:c r="AJ88" s="119" t="n">
        <x:f>IF(4&gt;D88,0,MAX(2,MIN('难度参数'!$E$12,ROUND(('难度参数'!$E$18*POWER(A88,'难度参数'!$E$19)/D88*(0.85+0.3*(4-1)/MAX(1,D88-1))),0)+F88)))</x:f>
        <x:v>22</x:v>
      </x:c>
      <x:c r="AK88" s="119" t="n">
        <x:f>IF(4&gt;D88,0,ROUND(('难度参数'!$E$13*POWER(A88,'难度参数'!$E$20)*MIN('难度参数'!$E$23,1+MAX(0,A88-'难度参数'!$E$21)*'难度参数'!$E$22))*(36+4*7)/(36+7*(D88+1)/2)*E88,0))</x:f>
        <x:v>2832</x:v>
      </x:c>
      <x:c r="AL88" s="119" t="n">
        <x:f>IF(AJ88=0,0,(AJ88-IF(4=D88,1,0))*ROUND(AK88*VLOOKUP(INDEX('章节与怪物'!$E$31:$K$37,B88,4),'章节与怪物'!$A$41:$F$44,2,FALSE),0)+IF(4=D88,ROUND(AK88*'难度参数'!$E$28*'章节与怪物'!$E$17,0),0))</x:f>
        <x:v>84106</x:v>
      </x:c>
      <x:c r="AM88" s="119" t="n">
        <x:f>IF(AJ88=0,0,(AJ88-IF(4=D88,1,0))*VLOOKUP(INDEX('章节与怪物'!$E$31:$K$37,B88,4),'章节与怪物'!$A$41:$F$44,4,FALSE)+IF(4=D88,'难度参数'!$E$30,0))</x:f>
        <x:v>748</x:v>
      </x:c>
      <x:c r="AN88" s="119" t="n">
        <x:f>IF(5&gt;D88,0,MAX(2,MIN('难度参数'!$E$12,ROUND(('难度参数'!$E$18*POWER(A88,'难度参数'!$E$19)/D88*(0.85+0.3*(5-1)/MAX(1,D88-1))),0)+F88)))</x:f>
        <x:v>23</x:v>
      </x:c>
      <x:c r="AO88" s="119" t="n">
        <x:f>IF(5&gt;D88,0,ROUND(('难度参数'!$E$13*POWER(A88,'难度参数'!$E$20)*MIN('难度参数'!$E$23,1+MAX(0,A88-'难度参数'!$E$21)*'难度参数'!$E$22))*(36+5*7)/(36+7*(D88+1)/2)*E88,0))</x:f>
        <x:v>3141</x:v>
      </x:c>
      <x:c r="AP88" s="119" t="n">
        <x:f>IF(AN88=0,0,(AN88-IF(5=D88,1,0))*ROUND(AO88*VLOOKUP(INDEX('章节与怪物'!$E$31:$K$37,B88,5),'章节与怪物'!$A$41:$F$44,2,FALSE),0)+IF(5=D88,ROUND(AO88*'难度参数'!$E$28*'章节与怪物'!$E$17,0),0))</x:f>
        <x:v>52026</x:v>
      </x:c>
      <x:c r="AQ88" s="119" t="n">
        <x:f>IF(AN88=0,0,(AN88-IF(5=D88,1,0))*VLOOKUP(INDEX('章节与怪物'!$E$31:$K$37,B88,5),'章节与怪物'!$A$41:$F$44,4,FALSE)+IF(5=D88,'难度参数'!$E$30,0))</x:f>
        <x:v>460</x:v>
      </x:c>
      <x:c r="AR88" s="119" t="n">
        <x:f>IF(6&gt;D88,0,MAX(2,MIN('难度参数'!$E$12,ROUND(('难度参数'!$E$18*POWER(A88,'难度参数'!$E$19)/D88*(0.85+0.3*(6-1)/MAX(1,D88-1))),0)+F88)))</x:f>
        <x:v>24</x:v>
      </x:c>
      <x:c r="AS88" s="119" t="n">
        <x:f>IF(6&gt;D88,0,ROUND(('难度参数'!$E$13*POWER(A88,'难度参数'!$E$20)*MIN('难度参数'!$E$23,1+MAX(0,A88-'难度参数'!$E$21)*'难度参数'!$E$22))*(36+6*7)/(36+7*(D88+1)/2)*E88,0))</x:f>
        <x:v>3451</x:v>
      </x:c>
      <x:c r="AT88" s="119" t="n">
        <x:f>IF(AR88=0,0,(AR88-IF(6=D88,1,0))*ROUND(AS88*VLOOKUP(INDEX('章节与怪物'!$E$31:$K$37,B88,6),'章节与怪物'!$A$41:$F$44,2,FALSE),0)+IF(6=D88,ROUND(AS88*'难度参数'!$E$28*'章节与怪物'!$E$17,0),0))</x:f>
        <x:v>140808</x:v>
      </x:c>
      <x:c r="AU88" s="119" t="n">
        <x:f>IF(AR88=0,0,(AR88-IF(6=D88,1,0))*VLOOKUP(INDEX('章节与怪物'!$E$31:$K$37,B88,6),'章节与怪物'!$A$41:$F$44,4,FALSE)+IF(6=D88,'难度参数'!$E$30,0))</x:f>
        <x:v>672</x:v>
      </x:c>
      <x:c r="AV88" s="119" t="n">
        <x:f>IF(7&gt;D88,0,MAX(2,MIN('难度参数'!$E$12,ROUND(('难度参数'!$E$18*POWER(A88,'难度参数'!$E$19)/D88*(0.85+0.3*(7-1)/MAX(1,D88-1))),0)+F88)))</x:f>
        <x:v>25</x:v>
      </x:c>
      <x:c r="AW88" s="119" t="n">
        <x:f>IF(7&gt;D88,0,ROUND(('难度参数'!$E$13*POWER(A88,'难度参数'!$E$20)*MIN('难度参数'!$E$23,1+MAX(0,A88-'难度参数'!$E$21)*'难度参数'!$E$22))*(36+7*7)/(36+7*(D88+1)/2)*E88,0))</x:f>
        <x:v>3761</x:v>
      </x:c>
      <x:c r="AX88" s="119" t="n">
        <x:f>IF(AV88=0,0,(AV88-IF(7=D88,1,0))*ROUND(AW88*VLOOKUP(INDEX('章节与怪物'!$E$31:$K$37,B88,7),'章节与怪物'!$A$41:$F$44,2,FALSE),0)+IF(7=D88,ROUND(AW88*'难度参数'!$E$28*'章节与怪物'!$E$17,0),0))</x:f>
        <x:v>147423</x:v>
      </x:c>
      <x:c r="AY88" s="119" t="n">
        <x:f>IF(AV88=0,0,(AV88-IF(7=D88,1,0))*VLOOKUP(INDEX('章节与怪物'!$E$31:$K$37,B88,7),'章节与怪物'!$A$41:$F$44,4,FALSE)+IF(7=D88,'难度参数'!$E$30,0))</x:f>
        <x:v>1016</x:v>
      </x:c>
    </x:row>
    <x:row r="89" ht="23" customHeight="1">
      <x:c r="A89" s="119" t="n">
        <x:v>83</x:v>
      </x:c>
      <x:c r="B89" s="119" t="n">
        <x:f>MOD(INT((A89-1)/5),7)+1</x:f>
        <x:v>3</x:v>
      </x:c>
      <x:c r="C89" s="62" t="str">
        <x:f>INDEX('章节与怪物'!$B$31:$B$37,B89)</x:f>
        <x:v>腐沼秘林</x:v>
      </x:c>
      <x:c r="D89" s="119" t="n">
        <x:f>MIN('难度参数'!$E$8,MAX('难度参数'!$E$7,A89))</x:f>
        <x:v>7</x:v>
      </x:c>
      <x:c r="E89" s="106" t="n">
        <x:v>1</x:v>
      </x:c>
      <x:c r="F89" s="106" t="n">
        <x:v>0</x:v>
      </x:c>
      <x:c r="G89" s="106" t="n">
        <x:v>1</x:v>
      </x:c>
      <x:c r="H89" s="119" t="n">
        <x:f>SUM(X89,AB89,AF89,AJ89,AN89,AR89,AV89)</x:f>
        <x:v>154</x:v>
      </x:c>
      <x:c r="I89" s="119" t="n">
        <x:f>SUM(Z89,AD89,AH89,AL89,AP89,AT89,AX89)</x:f>
        <x:v>588932</x:v>
      </x:c>
      <x:c r="J89" s="119" t="n">
        <x:f>ROUND(INDEX(X89:AY89,1,(D89-1)*4+2)*'难度参数'!$E$28*'章节与怪物'!$E$17,0)</x:f>
        <x:v>25860</x:v>
      </x:c>
      <x:c r="K89" s="119" t="n">
        <x:f>SUM(AA89,AE89,AI89,AM89,AQ89,AU89,AY89)</x:f>
        <x:v>4226</x:v>
      </x:c>
      <x:c r="L89" s="62" t="n">
        <x:f>H89*(ROUNDUP('难度参数'!$E$24/('难度参数'!$E$26*'难度参数'!$E$27),0)*'难度参数'!$E$26)/60</x:f>
        <x:v>2.0533333333333332</x:v>
      </x:c>
      <x:c r="M89" s="62" t="n">
        <x:f>L89+D89*('难度参数'!$E$49+'难度参数'!$E$50)/60</x:f>
        <x:v>3.2199999999999998</x:v>
      </x:c>
      <x:c r="N89" s="119" t="n">
        <x:f>ROUNDDOWN(('经济参数'!$E$20+A89*'经济参数'!$E$21)*G89,0)</x:f>
        <x:v>1840</x:v>
      </x:c>
      <x:c r="O89" s="119" t="n">
        <x:f>ROUNDDOWN(MIN('经济参数'!$E$24,'经济参数'!$E$22+A89*'经济参数'!$E$23)*G89,0)</x:f>
        <x:v>0</x:v>
      </x:c>
      <x:c r="P89" s="119" t="n">
        <x:f>ROUNDDOWN((IF(A89&gt;='材料与任务'!$E$31,'材料与任务'!$E$32,IF(A89&gt;='材料与任务'!$E$25,'材料与任务'!$E$26,IF(A89&gt;='材料与任务'!$E$19,'材料与任务'!$E$20,IF(A89&gt;='材料与任务'!$E$13,'材料与任务'!$E$14,'材料与任务'!$E$8)))))*G89,0)</x:f>
        <x:v>5</x:v>
      </x:c>
      <x:c r="Q89" s="119" t="n">
        <x:f>ROUNDDOWN((IF(A89&gt;='材料与任务'!$E$31,'材料与任务'!$E$33,IF(A89&gt;='材料与任务'!$E$25,'材料与任务'!$E$27,IF(A89&gt;='材料与任务'!$E$19,'材料与任务'!$E$21,IF(A89&gt;='材料与任务'!$E$13,'材料与任务'!$E$15,'材料与任务'!$E$9)))))*G89,0)</x:f>
        <x:v>2</x:v>
      </x:c>
      <x:c r="R89" s="110" t="n">
        <x:f>'装备掉落'!$B$38</x:f>
        <x:v>0.6872058758851213</x:v>
      </x:c>
      <x:c r="S89" s="119" t="n">
        <x:f>MAX(IF(VLOOKUP(A89,'装备掉落'!$A$29:$H$34,2,TRUE)&gt;0,1,0),IF(VLOOKUP(A89,'装备掉落'!$A$29:$H$34,3,TRUE)&gt;0,2,0),IF(VLOOKUP(A89,'装备掉落'!$A$29:$H$34,4,TRUE)&gt;0,3,0),IF(VLOOKUP(A89,'装备掉落'!$A$29:$H$34,5,TRUE)&gt;0,4,0),IF(VLOOKUP(A89,'装备掉落'!$A$29:$H$34,6,TRUE)&gt;0,5,0),IF(VLOOKUP(A89,'装备掉落'!$A$29:$H$34,7,TRUE)&gt;0,6,0),IF(VLOOKUP(A89,'装备掉落'!$A$29:$H$34,8,TRUE)&gt;0,7,0))</x:f>
        <x:v>7</x:v>
      </x:c>
      <x:c r="T89" s="119" t="n">
        <x:f>MIN(7,S89+'经济参数'!$E$70)</x:f>
        <x:v>7</x:v>
      </x:c>
      <x:c r="U89" s="119" t="n">
        <x:f>MIN(7,S89+'经济参数'!$E$71)</x:f>
        <x:v>7</x:v>
      </x:c>
      <x:c r="V89" s="119" t="n">
        <x:f>IF(H89&gt;=('难度参数'!$E$52),1,0)+IF(H89&gt;=('难度参数'!$E$52+'难度参数'!$E$53),1,0)+IF(H89&gt;=('难度参数'!$E$52+'难度参数'!$E$53+'难度参数'!$E$54),1,0)+IF(H89&gt;=('难度参数'!$E$52+'难度参数'!$E$53+'难度参数'!$E$54+'难度参数'!$E$55),1,0)+IF(H89&gt;=('难度参数'!$E$52+'难度参数'!$E$53+'难度参数'!$E$54+'难度参数'!$E$55+'难度参数'!$E$56),1,0)+IF(H89&gt;=('难度参数'!$E$52+'难度参数'!$E$53+'难度参数'!$E$54+'难度参数'!$E$55+'难度参数'!$E$56+'难度参数'!$E$57),1,0)</x:f>
        <x:v>6</x:v>
      </x:c>
      <x:c r="W89" s="62" t="str">
        <x:f>IF(L89&gt;'难度参数'!$E$51,"仅出怪已超目标","还需实测")</x:f>
        <x:v>还需实测</x:v>
      </x:c>
      <x:c r="X89" s="119" t="n">
        <x:f>IF(1&gt;D89,0,MAX(2,MIN('难度参数'!$E$12,ROUND(('难度参数'!$E$18*POWER(A89,'难度参数'!$E$19)/D89*(0.85+0.3*(1-1)/MAX(1,D89-1))),0)+F89)))</x:f>
        <x:v>19</x:v>
      </x:c>
      <x:c r="Y89" s="119" t="n">
        <x:f>IF(1&gt;D89,0,ROUND(('难度参数'!$E$13*POWER(A89,'难度参数'!$E$20)*MIN('难度参数'!$E$23,1+MAX(0,A89-'难度参数'!$E$21)*'难度参数'!$E$22))*(36+1*7)/(36+7*(D89+1)/2)*E89,0))</x:f>
        <x:v>1924</x:v>
      </x:c>
      <x:c r="Z89" s="119" t="n">
        <x:f>IF(X89=0,0,(X89-IF(1=D89,1,0))*ROUND(Y89*VLOOKUP(INDEX('章节与怪物'!$E$31:$K$37,B89,1),'章节与怪物'!$A$41:$F$44,2,FALSE),0)+IF(1=D89,ROUND(Y89*'难度参数'!$E$28*'章节与怪物'!$E$17,0),0))</x:f>
        <x:v>36556</x:v>
      </x:c>
      <x:c r="AA89" s="119" t="n">
        <x:f>IF(X89=0,0,(X89-IF(1=D89,1,0))*VLOOKUP(INDEX('章节与怪物'!$E$31:$K$37,B89,1),'章节与怪物'!$A$41:$F$44,4,FALSE)+IF(1=D89,'难度参数'!$E$30,0))</x:f>
        <x:v>342</x:v>
      </x:c>
      <x:c r="AB89" s="119" t="n">
        <x:f>IF(2&gt;D89,0,MAX(2,MIN('难度参数'!$E$12,ROUND(('难度参数'!$E$18*POWER(A89,'难度参数'!$E$19)/D89*(0.85+0.3*(2-1)/MAX(1,D89-1))),0)+F89)))</x:f>
        <x:v>20</x:v>
      </x:c>
      <x:c r="AC89" s="119" t="n">
        <x:f>IF(2&gt;D89,0,ROUND(('难度参数'!$E$13*POWER(A89,'难度参数'!$E$20)*MIN('难度参数'!$E$23,1+MAX(0,A89-'难度参数'!$E$21)*'难度参数'!$E$22))*(36+2*7)/(36+7*(D89+1)/2)*E89,0))</x:f>
        <x:v>2237</x:v>
      </x:c>
      <x:c r="AD89" s="119" t="n">
        <x:f>IF(AB89=0,0,(AB89-IF(2=D89,1,0))*ROUND(AC89*VLOOKUP(INDEX('章节与怪物'!$E$31:$K$37,B89,2),'章节与怪物'!$A$41:$F$44,2,FALSE),0)+IF(2=D89,ROUND(AC89*'难度参数'!$E$28*'章节与怪物'!$E$17,0),0))</x:f>
        <x:v>32220</x:v>
      </x:c>
      <x:c r="AE89" s="119" t="n">
        <x:f>IF(AB89=0,0,(AB89-IF(2=D89,1,0))*VLOOKUP(INDEX('章节与怪物'!$E$31:$K$37,B89,2),'章节与怪物'!$A$41:$F$44,4,FALSE)+IF(2=D89,'难度参数'!$E$30,0))</x:f>
        <x:v>400</x:v>
      </x:c>
      <x:c r="AF89" s="119" t="n">
        <x:f>IF(3&gt;D89,0,MAX(2,MIN('难度参数'!$E$12,ROUND(('难度参数'!$E$18*POWER(A89,'难度参数'!$E$19)/D89*(0.85+0.3*(3-1)/MAX(1,D89-1))),0)+F89)))</x:f>
        <x:v>21</x:v>
      </x:c>
      <x:c r="AG89" s="119" t="n">
        <x:f>IF(3&gt;D89,0,ROUND(('难度参数'!$E$13*POWER(A89,'难度参数'!$E$20)*MIN('难度参数'!$E$23,1+MAX(0,A89-'难度参数'!$E$21)*'难度参数'!$E$22))*(36+3*7)/(36+7*(D89+1)/2)*E89,0))</x:f>
        <x:v>2550</x:v>
      </x:c>
      <x:c r="AH89" s="119" t="n">
        <x:f>IF(AF89=0,0,(AF89-IF(3=D89,1,0))*ROUND(AG89*VLOOKUP(INDEX('章节与怪物'!$E$31:$K$37,B89,3),'章节与怪物'!$A$41:$F$44,2,FALSE),0)+IF(3=D89,ROUND(AG89*'难度参数'!$E$28*'章节与怪物'!$E$17,0),0))</x:f>
        <x:v>91035</x:v>
      </x:c>
      <x:c r="AI89" s="119" t="n">
        <x:f>IF(AF89=0,0,(AF89-IF(3=D89,1,0))*VLOOKUP(INDEX('章节与怪物'!$E$31:$K$37,B89,3),'章节与怪物'!$A$41:$F$44,4,FALSE)+IF(3=D89,'难度参数'!$E$30,0))</x:f>
        <x:v>588</x:v>
      </x:c>
      <x:c r="AJ89" s="119" t="n">
        <x:f>IF(4&gt;D89,0,MAX(2,MIN('难度参数'!$E$12,ROUND(('难度参数'!$E$18*POWER(A89,'难度参数'!$E$19)/D89*(0.85+0.3*(4-1)/MAX(1,D89-1))),0)+F89)))</x:f>
        <x:v>22</x:v>
      </x:c>
      <x:c r="AK89" s="119" t="n">
        <x:f>IF(4&gt;D89,0,ROUND(('难度参数'!$E$13*POWER(A89,'难度参数'!$E$20)*MIN('难度参数'!$E$23,1+MAX(0,A89-'难度参数'!$E$21)*'难度参数'!$E$22))*(36+4*7)/(36+7*(D89+1)/2)*E89,0))</x:f>
        <x:v>2864</x:v>
      </x:c>
      <x:c r="AL89" s="119" t="n">
        <x:f>IF(AJ89=0,0,(AJ89-IF(4=D89,1,0))*ROUND(AK89*VLOOKUP(INDEX('章节与怪物'!$E$31:$K$37,B89,4),'章节与怪物'!$A$41:$F$44,2,FALSE),0)+IF(4=D89,ROUND(AK89*'难度参数'!$E$28*'章节与怪物'!$E$17,0),0))</x:f>
        <x:v>85052</x:v>
      </x:c>
      <x:c r="AM89" s="119" t="n">
        <x:f>IF(AJ89=0,0,(AJ89-IF(4=D89,1,0))*VLOOKUP(INDEX('章节与怪物'!$E$31:$K$37,B89,4),'章节与怪物'!$A$41:$F$44,4,FALSE)+IF(4=D89,'难度参数'!$E$30,0))</x:f>
        <x:v>748</x:v>
      </x:c>
      <x:c r="AN89" s="119" t="n">
        <x:f>IF(5&gt;D89,0,MAX(2,MIN('难度参数'!$E$12,ROUND(('难度参数'!$E$18*POWER(A89,'难度参数'!$E$19)/D89*(0.85+0.3*(5-1)/MAX(1,D89-1))),0)+F89)))</x:f>
        <x:v>23</x:v>
      </x:c>
      <x:c r="AO89" s="119" t="n">
        <x:f>IF(5&gt;D89,0,ROUND(('难度参数'!$E$13*POWER(A89,'难度参数'!$E$20)*MIN('难度参数'!$E$23,1+MAX(0,A89-'难度参数'!$E$21)*'难度参数'!$E$22))*(36+5*7)/(36+7*(D89+1)/2)*E89,0))</x:f>
        <x:v>3177</x:v>
      </x:c>
      <x:c r="AP89" s="119" t="n">
        <x:f>IF(AN89=0,0,(AN89-IF(5=D89,1,0))*ROUND(AO89*VLOOKUP(INDEX('章节与怪物'!$E$31:$K$37,B89,5),'章节与怪物'!$A$41:$F$44,2,FALSE),0)+IF(5=D89,ROUND(AO89*'难度参数'!$E$28*'章节与怪物'!$E$17,0),0))</x:f>
        <x:v>52601</x:v>
      </x:c>
      <x:c r="AQ89" s="119" t="n">
        <x:f>IF(AN89=0,0,(AN89-IF(5=D89,1,0))*VLOOKUP(INDEX('章节与怪物'!$E$31:$K$37,B89,5),'章节与怪物'!$A$41:$F$44,4,FALSE)+IF(5=D89,'难度参数'!$E$30,0))</x:f>
        <x:v>460</x:v>
      </x:c>
      <x:c r="AR89" s="119" t="n">
        <x:f>IF(6&gt;D89,0,MAX(2,MIN('难度参数'!$E$12,ROUND(('难度参数'!$E$18*POWER(A89,'难度参数'!$E$19)/D89*(0.85+0.3*(6-1)/MAX(1,D89-1))),0)+F89)))</x:f>
        <x:v>24</x:v>
      </x:c>
      <x:c r="AS89" s="119" t="n">
        <x:f>IF(6&gt;D89,0,ROUND(('难度参数'!$E$13*POWER(A89,'难度参数'!$E$20)*MIN('难度参数'!$E$23,1+MAX(0,A89-'难度参数'!$E$21)*'难度参数'!$E$22))*(36+6*7)/(36+7*(D89+1)/2)*E89,0))</x:f>
        <x:v>3490</x:v>
      </x:c>
      <x:c r="AT89" s="119" t="n">
        <x:f>IF(AR89=0,0,(AR89-IF(6=D89,1,0))*ROUND(AS89*VLOOKUP(INDEX('章节与怪物'!$E$31:$K$37,B89,6),'章节与怪物'!$A$41:$F$44,2,FALSE),0)+IF(6=D89,ROUND(AS89*'难度参数'!$E$28*'章节与怪物'!$E$17,0),0))</x:f>
        <x:v>142392</x:v>
      </x:c>
      <x:c r="AU89" s="119" t="n">
        <x:f>IF(AR89=0,0,(AR89-IF(6=D89,1,0))*VLOOKUP(INDEX('章节与怪物'!$E$31:$K$37,B89,6),'章节与怪物'!$A$41:$F$44,4,FALSE)+IF(6=D89,'难度参数'!$E$30,0))</x:f>
        <x:v>672</x:v>
      </x:c>
      <x:c r="AV89" s="119" t="n">
        <x:f>IF(7&gt;D89,0,MAX(2,MIN('难度参数'!$E$12,ROUND(('难度参数'!$E$18*POWER(A89,'难度参数'!$E$19)/D89*(0.85+0.3*(7-1)/MAX(1,D89-1))),0)+F89)))</x:f>
        <x:v>25</x:v>
      </x:c>
      <x:c r="AW89" s="119" t="n">
        <x:f>IF(7&gt;D89,0,ROUND(('难度参数'!$E$13*POWER(A89,'难度参数'!$E$20)*MIN('难度参数'!$E$23,1+MAX(0,A89-'难度参数'!$E$21)*'难度参数'!$E$22))*(36+7*7)/(36+7*(D89+1)/2)*E89,0))</x:f>
        <x:v>3803</x:v>
      </x:c>
      <x:c r="AX89" s="119" t="n">
        <x:f>IF(AV89=0,0,(AV89-IF(7=D89,1,0))*ROUND(AW89*VLOOKUP(INDEX('章节与怪物'!$E$31:$K$37,B89,7),'章节与怪物'!$A$41:$F$44,2,FALSE),0)+IF(7=D89,ROUND(AW89*'难度参数'!$E$28*'章节与怪物'!$E$17,0),0))</x:f>
        <x:v>149076</x:v>
      </x:c>
      <x:c r="AY89" s="119" t="n">
        <x:f>IF(AV89=0,0,(AV89-IF(7=D89,1,0))*VLOOKUP(INDEX('章节与怪物'!$E$31:$K$37,B89,7),'章节与怪物'!$A$41:$F$44,4,FALSE)+IF(7=D89,'难度参数'!$E$30,0))</x:f>
        <x:v>1016</x:v>
      </x:c>
    </x:row>
    <x:row r="90" ht="23" customHeight="1">
      <x:c r="A90" s="119" t="n">
        <x:v>84</x:v>
      </x:c>
      <x:c r="B90" s="119" t="n">
        <x:f>MOD(INT((A90-1)/5),7)+1</x:f>
        <x:v>3</x:v>
      </x:c>
      <x:c r="C90" s="62" t="str">
        <x:f>INDEX('章节与怪物'!$B$31:$B$37,B90)</x:f>
        <x:v>腐沼秘林</x:v>
      </x:c>
      <x:c r="D90" s="119" t="n">
        <x:f>MIN('难度参数'!$E$8,MAX('难度参数'!$E$7,A90))</x:f>
        <x:v>7</x:v>
      </x:c>
      <x:c r="E90" s="106" t="n">
        <x:v>1</x:v>
      </x:c>
      <x:c r="F90" s="106" t="n">
        <x:v>0</x:v>
      </x:c>
      <x:c r="G90" s="106" t="n">
        <x:v>1</x:v>
      </x:c>
      <x:c r="H90" s="119" t="n">
        <x:f>SUM(X90,AB90,AF90,AJ90,AN90,AR90,AV90)</x:f>
        <x:v>155</x:v>
      </x:c>
      <x:c r="I90" s="119" t="n">
        <x:f>SUM(Z90,AD90,AH90,AL90,AP90,AT90,AX90)</x:f>
        <x:v>600766</x:v>
      </x:c>
      <x:c r="J90" s="119" t="n">
        <x:f>ROUND(INDEX(X90:AY90,1,(D90-1)*4+2)*'难度参数'!$E$28*'章节与怪物'!$E$17,0)</x:f>
        <x:v>26153</x:v>
      </x:c>
      <x:c r="K90" s="119" t="n">
        <x:f>SUM(AA90,AE90,AI90,AM90,AQ90,AU90,AY90)</x:f>
        <x:v>4260</x:v>
      </x:c>
      <x:c r="L90" s="62" t="n">
        <x:f>H90*(ROUNDUP('难度参数'!$E$24/('难度参数'!$E$26*'难度参数'!$E$27),0)*'难度参数'!$E$26)/60</x:f>
        <x:v>2.066666666666667</x:v>
      </x:c>
      <x:c r="M90" s="62" t="n">
        <x:f>L90+D90*('难度参数'!$E$49+'难度参数'!$E$50)/60</x:f>
        <x:v>3.2333333333333334</x:v>
      </x:c>
      <x:c r="N90" s="119" t="n">
        <x:f>ROUNDDOWN(('经济参数'!$E$20+A90*'经济参数'!$E$21)*G90,0)</x:f>
        <x:v>1860</x:v>
      </x:c>
      <x:c r="O90" s="119" t="n">
        <x:f>ROUNDDOWN(MIN('经济参数'!$E$24,'经济参数'!$E$22+A90*'经济参数'!$E$23)*G90,0)</x:f>
        <x:v>0</x:v>
      </x:c>
      <x:c r="P90" s="119" t="n">
        <x:f>ROUNDDOWN((IF(A90&gt;='材料与任务'!$E$31,'材料与任务'!$E$32,IF(A90&gt;='材料与任务'!$E$25,'材料与任务'!$E$26,IF(A90&gt;='材料与任务'!$E$19,'材料与任务'!$E$20,IF(A90&gt;='材料与任务'!$E$13,'材料与任务'!$E$14,'材料与任务'!$E$8)))))*G90,0)</x:f>
        <x:v>5</x:v>
      </x:c>
      <x:c r="Q90" s="119" t="n">
        <x:f>ROUNDDOWN((IF(A90&gt;='材料与任务'!$E$31,'材料与任务'!$E$33,IF(A90&gt;='材料与任务'!$E$25,'材料与任务'!$E$27,IF(A90&gt;='材料与任务'!$E$19,'材料与任务'!$E$21,IF(A90&gt;='材料与任务'!$E$13,'材料与任务'!$E$15,'材料与任务'!$E$9)))))*G90,0)</x:f>
        <x:v>2</x:v>
      </x:c>
      <x:c r="R90" s="110" t="n">
        <x:f>'装备掉落'!$B$38</x:f>
        <x:v>0.6872058758851213</x:v>
      </x:c>
      <x:c r="S90" s="119" t="n">
        <x:f>MAX(IF(VLOOKUP(A90,'装备掉落'!$A$29:$H$34,2,TRUE)&gt;0,1,0),IF(VLOOKUP(A90,'装备掉落'!$A$29:$H$34,3,TRUE)&gt;0,2,0),IF(VLOOKUP(A90,'装备掉落'!$A$29:$H$34,4,TRUE)&gt;0,3,0),IF(VLOOKUP(A90,'装备掉落'!$A$29:$H$34,5,TRUE)&gt;0,4,0),IF(VLOOKUP(A90,'装备掉落'!$A$29:$H$34,6,TRUE)&gt;0,5,0),IF(VLOOKUP(A90,'装备掉落'!$A$29:$H$34,7,TRUE)&gt;0,6,0),IF(VLOOKUP(A90,'装备掉落'!$A$29:$H$34,8,TRUE)&gt;0,7,0))</x:f>
        <x:v>7</x:v>
      </x:c>
      <x:c r="T90" s="119" t="n">
        <x:f>MIN(7,S90+'经济参数'!$E$70)</x:f>
        <x:v>7</x:v>
      </x:c>
      <x:c r="U90" s="119" t="n">
        <x:f>MIN(7,S90+'经济参数'!$E$71)</x:f>
        <x:v>7</x:v>
      </x:c>
      <x:c r="V90" s="119" t="n">
        <x:f>IF(H90&gt;=('难度参数'!$E$52),1,0)+IF(H90&gt;=('难度参数'!$E$52+'难度参数'!$E$53),1,0)+IF(H90&gt;=('难度参数'!$E$52+'难度参数'!$E$53+'难度参数'!$E$54),1,0)+IF(H90&gt;=('难度参数'!$E$52+'难度参数'!$E$53+'难度参数'!$E$54+'难度参数'!$E$55),1,0)+IF(H90&gt;=('难度参数'!$E$52+'难度参数'!$E$53+'难度参数'!$E$54+'难度参数'!$E$55+'难度参数'!$E$56),1,0)+IF(H90&gt;=('难度参数'!$E$52+'难度参数'!$E$53+'难度参数'!$E$54+'难度参数'!$E$55+'难度参数'!$E$56+'难度参数'!$E$57),1,0)</x:f>
        <x:v>6</x:v>
      </x:c>
      <x:c r="W90" s="62" t="str">
        <x:f>IF(L90&gt;'难度参数'!$E$51,"仅出怪已超目标","还需实测")</x:f>
        <x:v>还需实测</x:v>
      </x:c>
      <x:c r="X90" s="119" t="n">
        <x:f>IF(1&gt;D90,0,MAX(2,MIN('难度参数'!$E$12,ROUND(('难度参数'!$E$18*POWER(A90,'难度参数'!$E$19)/D90*(0.85+0.3*(1-1)/MAX(1,D90-1))),0)+F90)))</x:f>
        <x:v>19</x:v>
      </x:c>
      <x:c r="Y90" s="119" t="n">
        <x:f>IF(1&gt;D90,0,ROUND(('难度参数'!$E$13*POWER(A90,'难度参数'!$E$20)*MIN('难度参数'!$E$23,1+MAX(0,A90-'难度参数'!$E$21)*'难度参数'!$E$22))*(36+1*7)/(36+7*(D90+1)/2)*E90,0))</x:f>
        <x:v>1946</x:v>
      </x:c>
      <x:c r="Z90" s="119" t="n">
        <x:f>IF(X90=0,0,(X90-IF(1=D90,1,0))*ROUND(Y90*VLOOKUP(INDEX('章节与怪物'!$E$31:$K$37,B90,1),'章节与怪物'!$A$41:$F$44,2,FALSE),0)+IF(1=D90,ROUND(Y90*'难度参数'!$E$28*'章节与怪物'!$E$17,0),0))</x:f>
        <x:v>36974</x:v>
      </x:c>
      <x:c r="AA90" s="119" t="n">
        <x:f>IF(X90=0,0,(X90-IF(1=D90,1,0))*VLOOKUP(INDEX('章节与怪物'!$E$31:$K$37,B90,1),'章节与怪物'!$A$41:$F$44,4,FALSE)+IF(1=D90,'难度参数'!$E$30,0))</x:f>
        <x:v>342</x:v>
      </x:c>
      <x:c r="AB90" s="119" t="n">
        <x:f>IF(2&gt;D90,0,MAX(2,MIN('难度参数'!$E$12,ROUND(('难度参数'!$E$18*POWER(A90,'难度参数'!$E$19)/D90*(0.85+0.3*(2-1)/MAX(1,D90-1))),0)+F90)))</x:f>
        <x:v>20</x:v>
      </x:c>
      <x:c r="AC90" s="119" t="n">
        <x:f>IF(2&gt;D90,0,ROUND(('难度参数'!$E$13*POWER(A90,'难度参数'!$E$20)*MIN('难度参数'!$E$23,1+MAX(0,A90-'难度参数'!$E$21)*'难度参数'!$E$22))*(36+2*7)/(36+7*(D90+1)/2)*E90,0))</x:f>
        <x:v>2262</x:v>
      </x:c>
      <x:c r="AD90" s="119" t="n">
        <x:f>IF(AB90=0,0,(AB90-IF(2=D90,1,0))*ROUND(AC90*VLOOKUP(INDEX('章节与怪物'!$E$31:$K$37,B90,2),'章节与怪物'!$A$41:$F$44,2,FALSE),0)+IF(2=D90,ROUND(AC90*'难度参数'!$E$28*'章节与怪物'!$E$17,0),0))</x:f>
        <x:v>32580</x:v>
      </x:c>
      <x:c r="AE90" s="119" t="n">
        <x:f>IF(AB90=0,0,(AB90-IF(2=D90,1,0))*VLOOKUP(INDEX('章节与怪物'!$E$31:$K$37,B90,2),'章节与怪物'!$A$41:$F$44,4,FALSE)+IF(2=D90,'难度参数'!$E$30,0))</x:f>
        <x:v>400</x:v>
      </x:c>
      <x:c r="AF90" s="119" t="n">
        <x:f>IF(3&gt;D90,0,MAX(2,MIN('难度参数'!$E$12,ROUND(('难度参数'!$E$18*POWER(A90,'难度参数'!$E$19)/D90*(0.85+0.3*(3-1)/MAX(1,D90-1))),0)+F90)))</x:f>
        <x:v>21</x:v>
      </x:c>
      <x:c r="AG90" s="119" t="n">
        <x:f>IF(3&gt;D90,0,ROUND(('难度参数'!$E$13*POWER(A90,'难度参数'!$E$20)*MIN('难度参数'!$E$23,1+MAX(0,A90-'难度参数'!$E$21)*'难度参数'!$E$22))*(36+3*7)/(36+7*(D90+1)/2)*E90,0))</x:f>
        <x:v>2579</x:v>
      </x:c>
      <x:c r="AH90" s="119" t="n">
        <x:f>IF(AF90=0,0,(AF90-IF(3=D90,1,0))*ROUND(AG90*VLOOKUP(INDEX('章节与怪物'!$E$31:$K$37,B90,3),'章节与怪物'!$A$41:$F$44,2,FALSE),0)+IF(3=D90,ROUND(AG90*'难度参数'!$E$28*'章节与怪物'!$E$17,0),0))</x:f>
        <x:v>92064</x:v>
      </x:c>
      <x:c r="AI90" s="119" t="n">
        <x:f>IF(AF90=0,0,(AF90-IF(3=D90,1,0))*VLOOKUP(INDEX('章节与怪物'!$E$31:$K$37,B90,3),'章节与怪物'!$A$41:$F$44,4,FALSE)+IF(3=D90,'难度参数'!$E$30,0))</x:f>
        <x:v>588</x:v>
      </x:c>
      <x:c r="AJ90" s="119" t="n">
        <x:f>IF(4&gt;D90,0,MAX(2,MIN('难度参数'!$E$12,ROUND(('难度参数'!$E$18*POWER(A90,'难度参数'!$E$19)/D90*(0.85+0.3*(4-1)/MAX(1,D90-1))),0)+F90)))</x:f>
        <x:v>22</x:v>
      </x:c>
      <x:c r="AK90" s="119" t="n">
        <x:f>IF(4&gt;D90,0,ROUND(('难度参数'!$E$13*POWER(A90,'难度参数'!$E$20)*MIN('难度参数'!$E$23,1+MAX(0,A90-'难度参数'!$E$21)*'难度参数'!$E$22))*(36+4*7)/(36+7*(D90+1)/2)*E90,0))</x:f>
        <x:v>2896</x:v>
      </x:c>
      <x:c r="AL90" s="119" t="n">
        <x:f>IF(AJ90=0,0,(AJ90-IF(4=D90,1,0))*ROUND(AK90*VLOOKUP(INDEX('章节与怪物'!$E$31:$K$37,B90,4),'章节与怪物'!$A$41:$F$44,2,FALSE),0)+IF(4=D90,ROUND(AK90*'难度参数'!$E$28*'章节与怪物'!$E$17,0),0))</x:f>
        <x:v>86020</x:v>
      </x:c>
      <x:c r="AM90" s="119" t="n">
        <x:f>IF(AJ90=0,0,(AJ90-IF(4=D90,1,0))*VLOOKUP(INDEX('章节与怪物'!$E$31:$K$37,B90,4),'章节与怪物'!$A$41:$F$44,4,FALSE)+IF(4=D90,'难度参数'!$E$30,0))</x:f>
        <x:v>748</x:v>
      </x:c>
      <x:c r="AN90" s="119" t="n">
        <x:f>IF(5&gt;D90,0,MAX(2,MIN('难度参数'!$E$12,ROUND(('难度参数'!$E$18*POWER(A90,'难度参数'!$E$19)/D90*(0.85+0.3*(5-1)/MAX(1,D90-1))),0)+F90)))</x:f>
        <x:v>23</x:v>
      </x:c>
      <x:c r="AO90" s="119" t="n">
        <x:f>IF(5&gt;D90,0,ROUND(('难度参数'!$E$13*POWER(A90,'难度参数'!$E$20)*MIN('难度参数'!$E$23,1+MAX(0,A90-'难度参数'!$E$21)*'难度参数'!$E$22))*(36+5*7)/(36+7*(D90+1)/2)*E90,0))</x:f>
        <x:v>3212</x:v>
      </x:c>
      <x:c r="AP90" s="119" t="n">
        <x:f>IF(AN90=0,0,(AN90-IF(5=D90,1,0))*ROUND(AO90*VLOOKUP(INDEX('章节与怪物'!$E$31:$K$37,B90,5),'章节与怪物'!$A$41:$F$44,2,FALSE),0)+IF(5=D90,ROUND(AO90*'难度参数'!$E$28*'章节与怪物'!$E$17,0),0))</x:f>
        <x:v>53199</x:v>
      </x:c>
      <x:c r="AQ90" s="119" t="n">
        <x:f>IF(AN90=0,0,(AN90-IF(5=D90,1,0))*VLOOKUP(INDEX('章节与怪物'!$E$31:$K$37,B90,5),'章节与怪物'!$A$41:$F$44,4,FALSE)+IF(5=D90,'难度参数'!$E$30,0))</x:f>
        <x:v>460</x:v>
      </x:c>
      <x:c r="AR90" s="119" t="n">
        <x:f>IF(6&gt;D90,0,MAX(2,MIN('难度参数'!$E$12,ROUND(('难度参数'!$E$18*POWER(A90,'难度参数'!$E$19)/D90*(0.85+0.3*(6-1)/MAX(1,D90-1))),0)+F90)))</x:f>
        <x:v>24</x:v>
      </x:c>
      <x:c r="AS90" s="119" t="n">
        <x:f>IF(6&gt;D90,0,ROUND(('难度参数'!$E$13*POWER(A90,'难度参数'!$E$20)*MIN('难度参数'!$E$23,1+MAX(0,A90-'难度参数'!$E$21)*'难度参数'!$E$22))*(36+6*7)/(36+7*(D90+1)/2)*E90,0))</x:f>
        <x:v>3529</x:v>
      </x:c>
      <x:c r="AT90" s="119" t="n">
        <x:f>IF(AR90=0,0,(AR90-IF(6=D90,1,0))*ROUND(AS90*VLOOKUP(INDEX('章节与怪物'!$E$31:$K$37,B90,6),'章节与怪物'!$A$41:$F$44,2,FALSE),0)+IF(6=D90,ROUND(AS90*'难度参数'!$E$28*'章节与怪物'!$E$17,0),0))</x:f>
        <x:v>143976</x:v>
      </x:c>
      <x:c r="AU90" s="119" t="n">
        <x:f>IF(AR90=0,0,(AR90-IF(6=D90,1,0))*VLOOKUP(INDEX('章节与怪物'!$E$31:$K$37,B90,6),'章节与怪物'!$A$41:$F$44,4,FALSE)+IF(6=D90,'难度参数'!$E$30,0))</x:f>
        <x:v>672</x:v>
      </x:c>
      <x:c r="AV90" s="119" t="n">
        <x:f>IF(7&gt;D90,0,MAX(2,MIN('难度参数'!$E$12,ROUND(('难度参数'!$E$18*POWER(A90,'难度参数'!$E$19)/D90*(0.85+0.3*(7-1)/MAX(1,D90-1))),0)+F90)))</x:f>
        <x:v>26</x:v>
      </x:c>
      <x:c r="AW90" s="119" t="n">
        <x:f>IF(7&gt;D90,0,ROUND(('难度参数'!$E$13*POWER(A90,'难度参数'!$E$20)*MIN('难度参数'!$E$23,1+MAX(0,A90-'难度参数'!$E$21)*'难度参数'!$E$22))*(36+7*7)/(36+7*(D90+1)/2)*E90,0))</x:f>
        <x:v>3846</x:v>
      </x:c>
      <x:c r="AX90" s="119" t="n">
        <x:f>IF(AV90=0,0,(AV90-IF(7=D90,1,0))*ROUND(AW90*VLOOKUP(INDEX('章节与怪物'!$E$31:$K$37,B90,7),'章节与怪物'!$A$41:$F$44,2,FALSE),0)+IF(7=D90,ROUND(AW90*'难度参数'!$E$28*'章节与怪物'!$E$17,0),0))</x:f>
        <x:v>155953</x:v>
      </x:c>
      <x:c r="AY90" s="119" t="n">
        <x:f>IF(AV90=0,0,(AV90-IF(7=D90,1,0))*VLOOKUP(INDEX('章节与怪物'!$E$31:$K$37,B90,7),'章节与怪物'!$A$41:$F$44,4,FALSE)+IF(7=D90,'难度参数'!$E$30,0))</x:f>
        <x:v>1050</x:v>
      </x:c>
    </x:row>
    <x:row r="91" ht="23" customHeight="1">
      <x:c r="A91" s="119" t="n">
        <x:v>85</x:v>
      </x:c>
      <x:c r="B91" s="119" t="n">
        <x:f>MOD(INT((A91-1)/5),7)+1</x:f>
        <x:v>3</x:v>
      </x:c>
      <x:c r="C91" s="62" t="str">
        <x:f>INDEX('章节与怪物'!$B$31:$B$37,B91)</x:f>
        <x:v>腐沼秘林</x:v>
      </x:c>
      <x:c r="D91" s="119" t="n">
        <x:f>MIN('难度参数'!$E$8,MAX('难度参数'!$E$7,A91))</x:f>
        <x:v>7</x:v>
      </x:c>
      <x:c r="E91" s="106" t="n">
        <x:v>1</x:v>
      </x:c>
      <x:c r="F91" s="106" t="n">
        <x:v>0</x:v>
      </x:c>
      <x:c r="G91" s="106" t="n">
        <x:v>1</x:v>
      </x:c>
      <x:c r="H91" s="119" t="n">
        <x:f>SUM(X91,AB91,AF91,AJ91,AN91,AR91,AV91)</x:f>
        <x:v>156</x:v>
      </x:c>
      <x:c r="I91" s="119" t="n">
        <x:f>SUM(Z91,AD91,AH91,AL91,AP91,AT91,AX91)</x:f>
        <x:v>613535</x:v>
      </x:c>
      <x:c r="J91" s="119" t="n">
        <x:f>ROUND(INDEX(X91:AY91,1,(D91-1)*4+2)*'难度参数'!$E$28*'章节与怪物'!$E$17,0)</x:f>
        <x:v>26445</x:v>
      </x:c>
      <x:c r="K91" s="119" t="n">
        <x:f>SUM(AA91,AE91,AI91,AM91,AQ91,AU91,AY91)</x:f>
        <x:v>4288</x:v>
      </x:c>
      <x:c r="L91" s="62" t="n">
        <x:f>H91*(ROUNDUP('难度参数'!$E$24/('难度参数'!$E$26*'难度参数'!$E$27),0)*'难度参数'!$E$26)/60</x:f>
        <x:v>2.08</x:v>
      </x:c>
      <x:c r="M91" s="62" t="n">
        <x:f>L91+D91*('难度参数'!$E$49+'难度参数'!$E$50)/60</x:f>
        <x:v>3.246666666666667</x:v>
      </x:c>
      <x:c r="N91" s="119" t="n">
        <x:f>ROUNDDOWN(('经济参数'!$E$20+A91*'经济参数'!$E$21)*G91,0)</x:f>
        <x:v>1880</x:v>
      </x:c>
      <x:c r="O91" s="119" t="n">
        <x:f>ROUNDDOWN(MIN('经济参数'!$E$24,'经济参数'!$E$22+A91*'经济参数'!$E$23)*G91,0)</x:f>
        <x:v>0</x:v>
      </x:c>
      <x:c r="P91" s="119" t="n">
        <x:f>ROUNDDOWN((IF(A91&gt;='材料与任务'!$E$31,'材料与任务'!$E$32,IF(A91&gt;='材料与任务'!$E$25,'材料与任务'!$E$26,IF(A91&gt;='材料与任务'!$E$19,'材料与任务'!$E$20,IF(A91&gt;='材料与任务'!$E$13,'材料与任务'!$E$14,'材料与任务'!$E$8)))))*G91,0)</x:f>
        <x:v>5</x:v>
      </x:c>
      <x:c r="Q91" s="119" t="n">
        <x:f>ROUNDDOWN((IF(A91&gt;='材料与任务'!$E$31,'材料与任务'!$E$33,IF(A91&gt;='材料与任务'!$E$25,'材料与任务'!$E$27,IF(A91&gt;='材料与任务'!$E$19,'材料与任务'!$E$21,IF(A91&gt;='材料与任务'!$E$13,'材料与任务'!$E$15,'材料与任务'!$E$9)))))*G91,0)</x:f>
        <x:v>2</x:v>
      </x:c>
      <x:c r="R91" s="110" t="n">
        <x:f>'装备掉落'!$B$38</x:f>
        <x:v>0.6872058758851213</x:v>
      </x:c>
      <x:c r="S91" s="119" t="n">
        <x:f>MAX(IF(VLOOKUP(A91,'装备掉落'!$A$29:$H$34,2,TRUE)&gt;0,1,0),IF(VLOOKUP(A91,'装备掉落'!$A$29:$H$34,3,TRUE)&gt;0,2,0),IF(VLOOKUP(A91,'装备掉落'!$A$29:$H$34,4,TRUE)&gt;0,3,0),IF(VLOOKUP(A91,'装备掉落'!$A$29:$H$34,5,TRUE)&gt;0,4,0),IF(VLOOKUP(A91,'装备掉落'!$A$29:$H$34,6,TRUE)&gt;0,5,0),IF(VLOOKUP(A91,'装备掉落'!$A$29:$H$34,7,TRUE)&gt;0,6,0),IF(VLOOKUP(A91,'装备掉落'!$A$29:$H$34,8,TRUE)&gt;0,7,0))</x:f>
        <x:v>7</x:v>
      </x:c>
      <x:c r="T91" s="119" t="n">
        <x:f>MIN(7,S91+'经济参数'!$E$70)</x:f>
        <x:v>7</x:v>
      </x:c>
      <x:c r="U91" s="119" t="n">
        <x:f>MIN(7,S91+'经济参数'!$E$71)</x:f>
        <x:v>7</x:v>
      </x:c>
      <x:c r="V91" s="119" t="n">
        <x:f>IF(H91&gt;=('难度参数'!$E$52),1,0)+IF(H91&gt;=('难度参数'!$E$52+'难度参数'!$E$53),1,0)+IF(H91&gt;=('难度参数'!$E$52+'难度参数'!$E$53+'难度参数'!$E$54),1,0)+IF(H91&gt;=('难度参数'!$E$52+'难度参数'!$E$53+'难度参数'!$E$54+'难度参数'!$E$55),1,0)+IF(H91&gt;=('难度参数'!$E$52+'难度参数'!$E$53+'难度参数'!$E$54+'难度参数'!$E$55+'难度参数'!$E$56),1,0)+IF(H91&gt;=('难度参数'!$E$52+'难度参数'!$E$53+'难度参数'!$E$54+'难度参数'!$E$55+'难度参数'!$E$56+'难度参数'!$E$57),1,0)</x:f>
        <x:v>6</x:v>
      </x:c>
      <x:c r="W91" s="62" t="str">
        <x:f>IF(L91&gt;'难度参数'!$E$51,"仅出怪已超目标","还需实测")</x:f>
        <x:v>还需实测</x:v>
      </x:c>
      <x:c r="X91" s="119" t="n">
        <x:f>IF(1&gt;D91,0,MAX(2,MIN('难度参数'!$E$12,ROUND(('难度参数'!$E$18*POWER(A91,'难度参数'!$E$19)/D91*(0.85+0.3*(1-1)/MAX(1,D91-1))),0)+F91)))</x:f>
        <x:v>19</x:v>
      </x:c>
      <x:c r="Y91" s="119" t="n">
        <x:f>IF(1&gt;D91,0,ROUND(('难度参数'!$E$13*POWER(A91,'难度参数'!$E$20)*MIN('难度参数'!$E$23,1+MAX(0,A91-'难度参数'!$E$21)*'难度参数'!$E$22))*(36+1*7)/(36+7*(D91+1)/2)*E91,0))</x:f>
        <x:v>1967</x:v>
      </x:c>
      <x:c r="Z91" s="119" t="n">
        <x:f>IF(X91=0,0,(X91-IF(1=D91,1,0))*ROUND(Y91*VLOOKUP(INDEX('章节与怪物'!$E$31:$K$37,B91,1),'章节与怪物'!$A$41:$F$44,2,FALSE),0)+IF(1=D91,ROUND(Y91*'难度参数'!$E$28*'章节与怪物'!$E$17,0),0))</x:f>
        <x:v>37373</x:v>
      </x:c>
      <x:c r="AA91" s="119" t="n">
        <x:f>IF(X91=0,0,(X91-IF(1=D91,1,0))*VLOOKUP(INDEX('章节与怪物'!$E$31:$K$37,B91,1),'章节与怪物'!$A$41:$F$44,4,FALSE)+IF(1=D91,'难度参数'!$E$30,0))</x:f>
        <x:v>342</x:v>
      </x:c>
      <x:c r="AB91" s="119" t="n">
        <x:f>IF(2&gt;D91,0,MAX(2,MIN('难度参数'!$E$12,ROUND(('难度参数'!$E$18*POWER(A91,'难度参数'!$E$19)/D91*(0.85+0.3*(2-1)/MAX(1,D91-1))),0)+F91)))</x:f>
        <x:v>20</x:v>
      </x:c>
      <x:c r="AC91" s="119" t="n">
        <x:f>IF(2&gt;D91,0,ROUND(('难度参数'!$E$13*POWER(A91,'难度参数'!$E$20)*MIN('难度参数'!$E$23,1+MAX(0,A91-'难度参数'!$E$21)*'难度参数'!$E$22))*(36+2*7)/(36+7*(D91+1)/2)*E91,0))</x:f>
        <x:v>2287</x:v>
      </x:c>
      <x:c r="AD91" s="119" t="n">
        <x:f>IF(AB91=0,0,(AB91-IF(2=D91,1,0))*ROUND(AC91*VLOOKUP(INDEX('章节与怪物'!$E$31:$K$37,B91,2),'章节与怪物'!$A$41:$F$44,2,FALSE),0)+IF(2=D91,ROUND(AC91*'难度参数'!$E$28*'章节与怪物'!$E$17,0),0))</x:f>
        <x:v>32940</x:v>
      </x:c>
      <x:c r="AE91" s="119" t="n">
        <x:f>IF(AB91=0,0,(AB91-IF(2=D91,1,0))*VLOOKUP(INDEX('章节与怪物'!$E$31:$K$37,B91,2),'章节与怪物'!$A$41:$F$44,4,FALSE)+IF(2=D91,'难度参数'!$E$30,0))</x:f>
        <x:v>400</x:v>
      </x:c>
      <x:c r="AF91" s="119" t="n">
        <x:f>IF(3&gt;D91,0,MAX(2,MIN('难度参数'!$E$12,ROUND(('难度参数'!$E$18*POWER(A91,'难度参数'!$E$19)/D91*(0.85+0.3*(3-1)/MAX(1,D91-1))),0)+F91)))</x:f>
        <x:v>21</x:v>
      </x:c>
      <x:c r="AG91" s="119" t="n">
        <x:f>IF(3&gt;D91,0,ROUND(('难度参数'!$E$13*POWER(A91,'难度参数'!$E$20)*MIN('难度参数'!$E$23,1+MAX(0,A91-'难度参数'!$E$21)*'难度参数'!$E$22))*(36+3*7)/(36+7*(D91+1)/2)*E91,0))</x:f>
        <x:v>2608</x:v>
      </x:c>
      <x:c r="AH91" s="119" t="n">
        <x:f>IF(AF91=0,0,(AF91-IF(3=D91,1,0))*ROUND(AG91*VLOOKUP(INDEX('章节与怪物'!$E$31:$K$37,B91,3),'章节与怪物'!$A$41:$F$44,2,FALSE),0)+IF(3=D91,ROUND(AG91*'难度参数'!$E$28*'章节与怪物'!$E$17,0),0))</x:f>
        <x:v>93114</x:v>
      </x:c>
      <x:c r="AI91" s="119" t="n">
        <x:f>IF(AF91=0,0,(AF91-IF(3=D91,1,0))*VLOOKUP(INDEX('章节与怪物'!$E$31:$K$37,B91,3),'章节与怪物'!$A$41:$F$44,4,FALSE)+IF(3=D91,'难度参数'!$E$30,0))</x:f>
        <x:v>588</x:v>
      </x:c>
      <x:c r="AJ91" s="119" t="n">
        <x:f>IF(4&gt;D91,0,MAX(2,MIN('难度参数'!$E$12,ROUND(('难度参数'!$E$18*POWER(A91,'难度参数'!$E$19)/D91*(0.85+0.3*(4-1)/MAX(1,D91-1))),0)+F91)))</x:f>
        <x:v>22</x:v>
      </x:c>
      <x:c r="AK91" s="119" t="n">
        <x:f>IF(4&gt;D91,0,ROUND(('难度参数'!$E$13*POWER(A91,'难度参数'!$E$20)*MIN('难度参数'!$E$23,1+MAX(0,A91-'难度参数'!$E$21)*'难度参数'!$E$22))*(36+4*7)/(36+7*(D91+1)/2)*E91,0))</x:f>
        <x:v>2928</x:v>
      </x:c>
      <x:c r="AL91" s="119" t="n">
        <x:f>IF(AJ91=0,0,(AJ91-IF(4=D91,1,0))*ROUND(AK91*VLOOKUP(INDEX('章节与怪物'!$E$31:$K$37,B91,4),'章节与怪物'!$A$41:$F$44,2,FALSE),0)+IF(4=D91,ROUND(AK91*'难度参数'!$E$28*'章节与怪物'!$E$17,0),0))</x:f>
        <x:v>86966</x:v>
      </x:c>
      <x:c r="AM91" s="119" t="n">
        <x:f>IF(AJ91=0,0,(AJ91-IF(4=D91,1,0))*VLOOKUP(INDEX('章节与怪物'!$E$31:$K$37,B91,4),'章节与怪物'!$A$41:$F$44,4,FALSE)+IF(4=D91,'难度参数'!$E$30,0))</x:f>
        <x:v>748</x:v>
      </x:c>
      <x:c r="AN91" s="119" t="n">
        <x:f>IF(5&gt;D91,0,MAX(2,MIN('难度参数'!$E$12,ROUND(('难度参数'!$E$18*POWER(A91,'难度参数'!$E$19)/D91*(0.85+0.3*(5-1)/MAX(1,D91-1))),0)+F91)))</x:f>
        <x:v>23</x:v>
      </x:c>
      <x:c r="AO91" s="119" t="n">
        <x:f>IF(5&gt;D91,0,ROUND(('难度参数'!$E$13*POWER(A91,'难度参数'!$E$20)*MIN('难度参数'!$E$23,1+MAX(0,A91-'难度参数'!$E$21)*'难度参数'!$E$22))*(36+5*7)/(36+7*(D91+1)/2)*E91,0))</x:f>
        <x:v>3248</x:v>
      </x:c>
      <x:c r="AP91" s="119" t="n">
        <x:f>IF(AN91=0,0,(AN91-IF(5=D91,1,0))*ROUND(AO91*VLOOKUP(INDEX('章节与怪物'!$E$31:$K$37,B91,5),'章节与怪物'!$A$41:$F$44,2,FALSE),0)+IF(5=D91,ROUND(AO91*'难度参数'!$E$28*'章节与怪物'!$E$17,0),0))</x:f>
        <x:v>53797</x:v>
      </x:c>
      <x:c r="AQ91" s="119" t="n">
        <x:f>IF(AN91=0,0,(AN91-IF(5=D91,1,0))*VLOOKUP(INDEX('章节与怪物'!$E$31:$K$37,B91,5),'章节与怪物'!$A$41:$F$44,4,FALSE)+IF(5=D91,'难度参数'!$E$30,0))</x:f>
        <x:v>460</x:v>
      </x:c>
      <x:c r="AR91" s="119" t="n">
        <x:f>IF(6&gt;D91,0,MAX(2,MIN('难度参数'!$E$12,ROUND(('难度参数'!$E$18*POWER(A91,'难度参数'!$E$19)/D91*(0.85+0.3*(6-1)/MAX(1,D91-1))),0)+F91)))</x:f>
        <x:v>25</x:v>
      </x:c>
      <x:c r="AS91" s="119" t="n">
        <x:f>IF(6&gt;D91,0,ROUND(('难度参数'!$E$13*POWER(A91,'难度参数'!$E$20)*MIN('难度参数'!$E$23,1+MAX(0,A91-'难度参数'!$E$21)*'难度参数'!$E$22))*(36+6*7)/(36+7*(D91+1)/2)*E91,0))</x:f>
        <x:v>3568</x:v>
      </x:c>
      <x:c r="AT91" s="119" t="n">
        <x:f>IF(AR91=0,0,(AR91-IF(6=D91,1,0))*ROUND(AS91*VLOOKUP(INDEX('章节与怪物'!$E$31:$K$37,B91,6),'章节与怪物'!$A$41:$F$44,2,FALSE),0)+IF(6=D91,ROUND(AS91*'难度参数'!$E$28*'章节与怪物'!$E$17,0),0))</x:f>
        <x:v>151650</x:v>
      </x:c>
      <x:c r="AU91" s="119" t="n">
        <x:f>IF(AR91=0,0,(AR91-IF(6=D91,1,0))*VLOOKUP(INDEX('章节与怪物'!$E$31:$K$37,B91,6),'章节与怪物'!$A$41:$F$44,4,FALSE)+IF(6=D91,'难度参数'!$E$30,0))</x:f>
        <x:v>700</x:v>
      </x:c>
      <x:c r="AV91" s="119" t="n">
        <x:f>IF(7&gt;D91,0,MAX(2,MIN('难度参数'!$E$12,ROUND(('难度参数'!$E$18*POWER(A91,'难度参数'!$E$19)/D91*(0.85+0.3*(7-1)/MAX(1,D91-1))),0)+F91)))</x:f>
        <x:v>26</x:v>
      </x:c>
      <x:c r="AW91" s="119" t="n">
        <x:f>IF(7&gt;D91,0,ROUND(('难度参数'!$E$13*POWER(A91,'难度参数'!$E$20)*MIN('难度参数'!$E$23,1+MAX(0,A91-'难度参数'!$E$21)*'难度参数'!$E$22))*(36+7*7)/(36+7*(D91+1)/2)*E91,0))</x:f>
        <x:v>3889</x:v>
      </x:c>
      <x:c r="AX91" s="119" t="n">
        <x:f>IF(AV91=0,0,(AV91-IF(7=D91,1,0))*ROUND(AW91*VLOOKUP(INDEX('章节与怪物'!$E$31:$K$37,B91,7),'章节与怪物'!$A$41:$F$44,2,FALSE),0)+IF(7=D91,ROUND(AW91*'难度参数'!$E$28*'章节与怪物'!$E$17,0),0))</x:f>
        <x:v>157695</x:v>
      </x:c>
      <x:c r="AY91" s="119" t="n">
        <x:f>IF(AV91=0,0,(AV91-IF(7=D91,1,0))*VLOOKUP(INDEX('章节与怪物'!$E$31:$K$37,B91,7),'章节与怪物'!$A$41:$F$44,4,FALSE)+IF(7=D91,'难度参数'!$E$30,0))</x:f>
        <x:v>1050</x:v>
      </x:c>
    </x:row>
    <x:row r="92" ht="23" customHeight="1">
      <x:c r="A92" s="119" t="n">
        <x:v>86</x:v>
      </x:c>
      <x:c r="B92" s="119" t="n">
        <x:f>MOD(INT((A92-1)/5),7)+1</x:f>
        <x:v>4</x:v>
      </x:c>
      <x:c r="C92" s="62" t="str">
        <x:f>INDEX('章节与怪物'!$B$31:$B$37,B92)</x:f>
        <x:v>翠野边城</x:v>
      </x:c>
      <x:c r="D92" s="119" t="n">
        <x:f>MIN('难度参数'!$E$8,MAX('难度参数'!$E$7,A92))</x:f>
        <x:v>7</x:v>
      </x:c>
      <x:c r="E92" s="106" t="n">
        <x:v>1</x:v>
      </x:c>
      <x:c r="F92" s="106" t="n">
        <x:v>0</x:v>
      </x:c>
      <x:c r="G92" s="106" t="n">
        <x:v>1</x:v>
      </x:c>
      <x:c r="H92" s="119" t="n">
        <x:f>SUM(X92,AB92,AF92,AJ92,AN92,AR92,AV92)</x:f>
        <x:v>157</x:v>
      </x:c>
      <x:c r="I92" s="119" t="n">
        <x:f>SUM(Z92,AD92,AH92,AL92,AP92,AT92,AX92)</x:f>
        <x:v>558653</x:v>
      </x:c>
      <x:c r="J92" s="119" t="n">
        <x:f>ROUND(INDEX(X92:AY92,1,(D92-1)*4+2)*'难度参数'!$E$28*'章节与怪物'!$E$17,0)</x:f>
        <x:v>26731</x:v>
      </x:c>
      <x:c r="K92" s="119" t="n">
        <x:f>SUM(AA92,AE92,AI92,AM92,AQ92,AU92,AY92)</x:f>
        <x:v>4058</x:v>
      </x:c>
      <x:c r="L92" s="62" t="n">
        <x:f>H92*(ROUNDUP('难度参数'!$E$24/('难度参数'!$E$26*'难度参数'!$E$27),0)*'难度参数'!$E$26)/60</x:f>
        <x:v>2.0933333333333333</x:v>
      </x:c>
      <x:c r="M92" s="62" t="n">
        <x:f>L92+D92*('难度参数'!$E$49+'难度参数'!$E$50)/60</x:f>
        <x:v>3.26</x:v>
      </x:c>
      <x:c r="N92" s="119" t="n">
        <x:f>ROUNDDOWN(('经济参数'!$E$20+A92*'经济参数'!$E$21)*G92,0)</x:f>
        <x:v>1900</x:v>
      </x:c>
      <x:c r="O92" s="119" t="n">
        <x:f>ROUNDDOWN(MIN('经济参数'!$E$24,'经济参数'!$E$22+A92*'经济参数'!$E$23)*G92,0)</x:f>
        <x:v>0</x:v>
      </x:c>
      <x:c r="P92" s="119" t="n">
        <x:f>ROUNDDOWN((IF(A92&gt;='材料与任务'!$E$31,'材料与任务'!$E$32,IF(A92&gt;='材料与任务'!$E$25,'材料与任务'!$E$26,IF(A92&gt;='材料与任务'!$E$19,'材料与任务'!$E$20,IF(A92&gt;='材料与任务'!$E$13,'材料与任务'!$E$14,'材料与任务'!$E$8)))))*G92,0)</x:f>
        <x:v>5</x:v>
      </x:c>
      <x:c r="Q92" s="119" t="n">
        <x:f>ROUNDDOWN((IF(A92&gt;='材料与任务'!$E$31,'材料与任务'!$E$33,IF(A92&gt;='材料与任务'!$E$25,'材料与任务'!$E$27,IF(A92&gt;='材料与任务'!$E$19,'材料与任务'!$E$21,IF(A92&gt;='材料与任务'!$E$13,'材料与任务'!$E$15,'材料与任务'!$E$9)))))*G92,0)</x:f>
        <x:v>2</x:v>
      </x:c>
      <x:c r="R92" s="110" t="n">
        <x:f>'装备掉落'!$B$38</x:f>
        <x:v>0.6872058758851213</x:v>
      </x:c>
      <x:c r="S92" s="119" t="n">
        <x:f>MAX(IF(VLOOKUP(A92,'装备掉落'!$A$29:$H$34,2,TRUE)&gt;0,1,0),IF(VLOOKUP(A92,'装备掉落'!$A$29:$H$34,3,TRUE)&gt;0,2,0),IF(VLOOKUP(A92,'装备掉落'!$A$29:$H$34,4,TRUE)&gt;0,3,0),IF(VLOOKUP(A92,'装备掉落'!$A$29:$H$34,5,TRUE)&gt;0,4,0),IF(VLOOKUP(A92,'装备掉落'!$A$29:$H$34,6,TRUE)&gt;0,5,0),IF(VLOOKUP(A92,'装备掉落'!$A$29:$H$34,7,TRUE)&gt;0,6,0),IF(VLOOKUP(A92,'装备掉落'!$A$29:$H$34,8,TRUE)&gt;0,7,0))</x:f>
        <x:v>7</x:v>
      </x:c>
      <x:c r="T92" s="119" t="n">
        <x:f>MIN(7,S92+'经济参数'!$E$70)</x:f>
        <x:v>7</x:v>
      </x:c>
      <x:c r="U92" s="119" t="n">
        <x:f>MIN(7,S92+'经济参数'!$E$71)</x:f>
        <x:v>7</x:v>
      </x:c>
      <x:c r="V92" s="119" t="n">
        <x:f>IF(H92&gt;=('难度参数'!$E$52),1,0)+IF(H92&gt;=('难度参数'!$E$52+'难度参数'!$E$53),1,0)+IF(H92&gt;=('难度参数'!$E$52+'难度参数'!$E$53+'难度参数'!$E$54),1,0)+IF(H92&gt;=('难度参数'!$E$52+'难度参数'!$E$53+'难度参数'!$E$54+'难度参数'!$E$55),1,0)+IF(H92&gt;=('难度参数'!$E$52+'难度参数'!$E$53+'难度参数'!$E$54+'难度参数'!$E$55+'难度参数'!$E$56),1,0)+IF(H92&gt;=('难度参数'!$E$52+'难度参数'!$E$53+'难度参数'!$E$54+'难度参数'!$E$55+'难度参数'!$E$56+'难度参数'!$E$57),1,0)</x:f>
        <x:v>6</x:v>
      </x:c>
      <x:c r="W92" s="62" t="str">
        <x:f>IF(L92&gt;'难度参数'!$E$51,"仅出怪已超目标","还需实测")</x:f>
        <x:v>还需实测</x:v>
      </x:c>
      <x:c r="X92" s="119" t="n">
        <x:f>IF(1&gt;D92,0,MAX(2,MIN('难度参数'!$E$12,ROUND(('难度参数'!$E$18*POWER(A92,'难度参数'!$E$19)/D92*(0.85+0.3*(1-1)/MAX(1,D92-1))),0)+F92)))</x:f>
        <x:v>19</x:v>
      </x:c>
      <x:c r="Y92" s="119" t="n">
        <x:f>IF(1&gt;D92,0,ROUND(('难度参数'!$E$13*POWER(A92,'难度参数'!$E$20)*MIN('难度参数'!$E$23,1+MAX(0,A92-'难度参数'!$E$21)*'难度参数'!$E$22))*(36+1*7)/(36+7*(D92+1)/2)*E92,0))</x:f>
        <x:v>1989</x:v>
      </x:c>
      <x:c r="Z92" s="119" t="n">
        <x:f>IF(X92=0,0,(X92-IF(1=D92,1,0))*ROUND(Y92*VLOOKUP(INDEX('章节与怪物'!$E$31:$K$37,B92,1),'章节与怪物'!$A$41:$F$44,2,FALSE),0)+IF(1=D92,ROUND(Y92*'难度参数'!$E$28*'章节与怪物'!$E$17,0),0))</x:f>
        <x:v>27208</x:v>
      </x:c>
      <x:c r="AA92" s="119" t="n">
        <x:f>IF(X92=0,0,(X92-IF(1=D92,1,0))*VLOOKUP(INDEX('章节与怪物'!$E$31:$K$37,B92,1),'章节与怪物'!$A$41:$F$44,4,FALSE)+IF(1=D92,'难度参数'!$E$30,0))</x:f>
        <x:v>380</x:v>
      </x:c>
      <x:c r="AB92" s="119" t="n">
        <x:f>IF(2&gt;D92,0,MAX(2,MIN('难度参数'!$E$12,ROUND(('难度参数'!$E$18*POWER(A92,'难度参数'!$E$19)/D92*(0.85+0.3*(2-1)/MAX(1,D92-1))),0)+F92)))</x:f>
        <x:v>20</x:v>
      </x:c>
      <x:c r="AC92" s="119" t="n">
        <x:f>IF(2&gt;D92,0,ROUND(('难度参数'!$E$13*POWER(A92,'难度参数'!$E$20)*MIN('难度参数'!$E$23,1+MAX(0,A92-'难度参数'!$E$21)*'难度参数'!$E$22))*(36+2*7)/(36+7*(D92+1)/2)*E92,0))</x:f>
        <x:v>2313</x:v>
      </x:c>
      <x:c r="AD92" s="119" t="n">
        <x:f>IF(AB92=0,0,(AB92-IF(2=D92,1,0))*ROUND(AC92*VLOOKUP(INDEX('章节与怪物'!$E$31:$K$37,B92,2),'章节与怪物'!$A$41:$F$44,2,FALSE),0)+IF(2=D92,ROUND(AC92*'难度参数'!$E$28*'章节与怪物'!$E$17,0),0))</x:f>
        <x:v>46260</x:v>
      </x:c>
      <x:c r="AE92" s="119" t="n">
        <x:f>IF(AB92=0,0,(AB92-IF(2=D92,1,0))*VLOOKUP(INDEX('章节与怪物'!$E$31:$K$37,B92,2),'章节与怪物'!$A$41:$F$44,4,FALSE)+IF(2=D92,'难度参数'!$E$30,0))</x:f>
        <x:v>360</x:v>
      </x:c>
      <x:c r="AF92" s="119" t="n">
        <x:f>IF(3&gt;D92,0,MAX(2,MIN('难度参数'!$E$12,ROUND(('难度参数'!$E$18*POWER(A92,'难度参数'!$E$19)/D92*(0.85+0.3*(3-1)/MAX(1,D92-1))),0)+F92)))</x:f>
        <x:v>21</x:v>
      </x:c>
      <x:c r="AG92" s="119" t="n">
        <x:f>IF(3&gt;D92,0,ROUND(('难度参数'!$E$13*POWER(A92,'难度参数'!$E$20)*MIN('难度参数'!$E$23,1+MAX(0,A92-'难度参数'!$E$21)*'难度参数'!$E$22))*(36+3*7)/(36+7*(D92+1)/2)*E92,0))</x:f>
        <x:v>2636</x:v>
      </x:c>
      <x:c r="AH92" s="119" t="n">
        <x:f>IF(AF92=0,0,(AF92-IF(3=D92,1,0))*ROUND(AG92*VLOOKUP(INDEX('章节与怪物'!$E$31:$K$37,B92,3),'章节与怪物'!$A$41:$F$44,2,FALSE),0)+IF(3=D92,ROUND(AG92*'难度参数'!$E$28*'章节与怪物'!$E$17,0),0))</x:f>
        <x:v>94101</x:v>
      </x:c>
      <x:c r="AI92" s="119" t="n">
        <x:f>IF(AF92=0,0,(AF92-IF(3=D92,1,0))*VLOOKUP(INDEX('章节与怪物'!$E$31:$K$37,B92,3),'章节与怪物'!$A$41:$F$44,4,FALSE)+IF(3=D92,'难度参数'!$E$30,0))</x:f>
        <x:v>588</x:v>
      </x:c>
      <x:c r="AJ92" s="119" t="n">
        <x:f>IF(4&gt;D92,0,MAX(2,MIN('难度参数'!$E$12,ROUND(('难度参数'!$E$18*POWER(A92,'难度参数'!$E$19)/D92*(0.85+0.3*(4-1)/MAX(1,D92-1))),0)+F92)))</x:f>
        <x:v>22</x:v>
      </x:c>
      <x:c r="AK92" s="119" t="n">
        <x:f>IF(4&gt;D92,0,ROUND(('难度参数'!$E$13*POWER(A92,'难度参数'!$E$20)*MIN('难度参数'!$E$23,1+MAX(0,A92-'难度参数'!$E$21)*'难度参数'!$E$22))*(36+4*7)/(36+7*(D92+1)/2)*E92,0))</x:f>
        <x:v>2960</x:v>
      </x:c>
      <x:c r="AL92" s="119" t="n">
        <x:f>IF(AJ92=0,0,(AJ92-IF(4=D92,1,0))*ROUND(AK92*VLOOKUP(INDEX('章节与怪物'!$E$31:$K$37,B92,4),'章节与怪物'!$A$41:$F$44,2,FALSE),0)+IF(4=D92,ROUND(AK92*'难度参数'!$E$28*'章节与怪物'!$E$17,0),0))</x:f>
        <x:v>87912</x:v>
      </x:c>
      <x:c r="AM92" s="119" t="n">
        <x:f>IF(AJ92=0,0,(AJ92-IF(4=D92,1,0))*VLOOKUP(INDEX('章节与怪物'!$E$31:$K$37,B92,4),'章节与怪物'!$A$41:$F$44,4,FALSE)+IF(4=D92,'难度参数'!$E$30,0))</x:f>
        <x:v>748</x:v>
      </x:c>
      <x:c r="AN92" s="119" t="n">
        <x:f>IF(5&gt;D92,0,MAX(2,MIN('难度参数'!$E$12,ROUND(('难度参数'!$E$18*POWER(A92,'难度参数'!$E$19)/D92*(0.85+0.3*(5-1)/MAX(1,D92-1))),0)+F92)))</x:f>
        <x:v>24</x:v>
      </x:c>
      <x:c r="AO92" s="119" t="n">
        <x:f>IF(5&gt;D92,0,ROUND(('难度参数'!$E$13*POWER(A92,'难度参数'!$E$20)*MIN('难度参数'!$E$23,1+MAX(0,A92-'难度参数'!$E$21)*'难度参数'!$E$22))*(36+5*7)/(36+7*(D92+1)/2)*E92,0))</x:f>
        <x:v>3284</x:v>
      </x:c>
      <x:c r="AP92" s="119" t="n">
        <x:f>IF(AN92=0,0,(AN92-IF(5=D92,1,0))*ROUND(AO92*VLOOKUP(INDEX('章节与怪物'!$E$31:$K$37,B92,5),'章节与怪物'!$A$41:$F$44,2,FALSE),0)+IF(5=D92,ROUND(AO92*'难度参数'!$E$28*'章节与怪物'!$E$17,0),0))</x:f>
        <x:v>78816</x:v>
      </x:c>
      <x:c r="AQ92" s="119" t="n">
        <x:f>IF(AN92=0,0,(AN92-IF(5=D92,1,0))*VLOOKUP(INDEX('章节与怪物'!$E$31:$K$37,B92,5),'章节与怪物'!$A$41:$F$44,4,FALSE)+IF(5=D92,'难度参数'!$E$30,0))</x:f>
        <x:v>432</x:v>
      </x:c>
      <x:c r="AR92" s="119" t="n">
        <x:f>IF(6&gt;D92,0,MAX(2,MIN('难度参数'!$E$12,ROUND(('难度参数'!$E$18*POWER(A92,'难度参数'!$E$19)/D92*(0.85+0.3*(6-1)/MAX(1,D92-1))),0)+F92)))</x:f>
        <x:v>25</x:v>
      </x:c>
      <x:c r="AS92" s="119" t="n">
        <x:f>IF(6&gt;D92,0,ROUND(('难度参数'!$E$13*POWER(A92,'难度参数'!$E$20)*MIN('难度参数'!$E$23,1+MAX(0,A92-'难度参数'!$E$21)*'难度参数'!$E$22))*(36+6*7)/(36+7*(D92+1)/2)*E92,0))</x:f>
        <x:v>3608</x:v>
      </x:c>
      <x:c r="AT92" s="119" t="n">
        <x:f>IF(AR92=0,0,(AR92-IF(6=D92,1,0))*ROUND(AS92*VLOOKUP(INDEX('章节与怪物'!$E$31:$K$37,B92,6),'章节与怪物'!$A$41:$F$44,2,FALSE),0)+IF(6=D92,ROUND(AS92*'难度参数'!$E$28*'章节与怪物'!$E$17,0),0))</x:f>
        <x:v>64950</x:v>
      </x:c>
      <x:c r="AU92" s="119" t="n">
        <x:f>IF(AR92=0,0,(AR92-IF(6=D92,1,0))*VLOOKUP(INDEX('章节与怪物'!$E$31:$K$37,B92,6),'章节与怪物'!$A$41:$F$44,4,FALSE)+IF(6=D92,'难度参数'!$E$30,0))</x:f>
        <x:v>500</x:v>
      </x:c>
      <x:c r="AV92" s="119" t="n">
        <x:f>IF(7&gt;D92,0,MAX(2,MIN('难度参数'!$E$12,ROUND(('难度参数'!$E$18*POWER(A92,'难度参数'!$E$19)/D92*(0.85+0.3*(7-1)/MAX(1,D92-1))),0)+F92)))</x:f>
        <x:v>26</x:v>
      </x:c>
      <x:c r="AW92" s="119" t="n">
        <x:f>IF(7&gt;D92,0,ROUND(('难度参数'!$E$13*POWER(A92,'难度参数'!$E$20)*MIN('难度参数'!$E$23,1+MAX(0,A92-'难度参数'!$E$21)*'难度参数'!$E$22))*(36+7*7)/(36+7*(D92+1)/2)*E92,0))</x:f>
        <x:v>3931</x:v>
      </x:c>
      <x:c r="AX92" s="119" t="n">
        <x:f>IF(AV92=0,0,(AV92-IF(7=D92,1,0))*ROUND(AW92*VLOOKUP(INDEX('章节与怪物'!$E$31:$K$37,B92,7),'章节与怪物'!$A$41:$F$44,2,FALSE),0)+IF(7=D92,ROUND(AW92*'难度参数'!$E$28*'章节与怪物'!$E$17,0),0))</x:f>
        <x:v>159406</x:v>
      </x:c>
      <x:c r="AY92" s="119" t="n">
        <x:f>IF(AV92=0,0,(AV92-IF(7=D92,1,0))*VLOOKUP(INDEX('章节与怪物'!$E$31:$K$37,B92,7),'章节与怪物'!$A$41:$F$44,4,FALSE)+IF(7=D92,'难度参数'!$E$30,0))</x:f>
        <x:v>1050</x:v>
      </x:c>
    </x:row>
    <x:row r="93" ht="23" customHeight="1">
      <x:c r="A93" s="119" t="n">
        <x:v>87</x:v>
      </x:c>
      <x:c r="B93" s="119" t="n">
        <x:f>MOD(INT((A93-1)/5),7)+1</x:f>
        <x:v>4</x:v>
      </x:c>
      <x:c r="C93" s="62" t="str">
        <x:f>INDEX('章节与怪物'!$B$31:$B$37,B93)</x:f>
        <x:v>翠野边城</x:v>
      </x:c>
      <x:c r="D93" s="119" t="n">
        <x:f>MIN('难度参数'!$E$8,MAX('难度参数'!$E$7,A93))</x:f>
        <x:v>7</x:v>
      </x:c>
      <x:c r="E93" s="106" t="n">
        <x:v>1</x:v>
      </x:c>
      <x:c r="F93" s="106" t="n">
        <x:v>0</x:v>
      </x:c>
      <x:c r="G93" s="106" t="n">
        <x:v>1</x:v>
      </x:c>
      <x:c r="H93" s="119" t="n">
        <x:f>SUM(X93,AB93,AF93,AJ93,AN93,AR93,AV93)</x:f>
        <x:v>158</x:v>
      </x:c>
      <x:c r="I93" s="119" t="n">
        <x:f>SUM(Z93,AD93,AH93,AL93,AP93,AT93,AX93)</x:f>
        <x:v>568779</x:v>
      </x:c>
      <x:c r="J93" s="119" t="n">
        <x:f>ROUND(INDEX(X93:AY93,1,(D93-1)*4+2)*'难度参数'!$E$28*'章节与怪物'!$E$17,0)</x:f>
        <x:v>27023</x:v>
      </x:c>
      <x:c r="K93" s="119" t="n">
        <x:f>SUM(AA93,AE93,AI93,AM93,AQ93,AU93,AY93)</x:f>
        <x:v>4092</x:v>
      </x:c>
      <x:c r="L93" s="62" t="n">
        <x:f>H93*(ROUNDUP('难度参数'!$E$24/('难度参数'!$E$26*'难度参数'!$E$27),0)*'难度参数'!$E$26)/60</x:f>
        <x:v>2.106666666666667</x:v>
      </x:c>
      <x:c r="M93" s="62" t="n">
        <x:f>L93+D93*('难度参数'!$E$49+'难度参数'!$E$50)/60</x:f>
        <x:v>3.2733333333333334</x:v>
      </x:c>
      <x:c r="N93" s="119" t="n">
        <x:f>ROUNDDOWN(('经济参数'!$E$20+A93*'经济参数'!$E$21)*G93,0)</x:f>
        <x:v>1920</x:v>
      </x:c>
      <x:c r="O93" s="119" t="n">
        <x:f>ROUNDDOWN(MIN('经济参数'!$E$24,'经济参数'!$E$22+A93*'经济参数'!$E$23)*G93,0)</x:f>
        <x:v>0</x:v>
      </x:c>
      <x:c r="P93" s="119" t="n">
        <x:f>ROUNDDOWN((IF(A93&gt;='材料与任务'!$E$31,'材料与任务'!$E$32,IF(A93&gt;='材料与任务'!$E$25,'材料与任务'!$E$26,IF(A93&gt;='材料与任务'!$E$19,'材料与任务'!$E$20,IF(A93&gt;='材料与任务'!$E$13,'材料与任务'!$E$14,'材料与任务'!$E$8)))))*G93,0)</x:f>
        <x:v>5</x:v>
      </x:c>
      <x:c r="Q93" s="119" t="n">
        <x:f>ROUNDDOWN((IF(A93&gt;='材料与任务'!$E$31,'材料与任务'!$E$33,IF(A93&gt;='材料与任务'!$E$25,'材料与任务'!$E$27,IF(A93&gt;='材料与任务'!$E$19,'材料与任务'!$E$21,IF(A93&gt;='材料与任务'!$E$13,'材料与任务'!$E$15,'材料与任务'!$E$9)))))*G93,0)</x:f>
        <x:v>2</x:v>
      </x:c>
      <x:c r="R93" s="110" t="n">
        <x:f>'装备掉落'!$B$38</x:f>
        <x:v>0.6872058758851213</x:v>
      </x:c>
      <x:c r="S93" s="119" t="n">
        <x:f>MAX(IF(VLOOKUP(A93,'装备掉落'!$A$29:$H$34,2,TRUE)&gt;0,1,0),IF(VLOOKUP(A93,'装备掉落'!$A$29:$H$34,3,TRUE)&gt;0,2,0),IF(VLOOKUP(A93,'装备掉落'!$A$29:$H$34,4,TRUE)&gt;0,3,0),IF(VLOOKUP(A93,'装备掉落'!$A$29:$H$34,5,TRUE)&gt;0,4,0),IF(VLOOKUP(A93,'装备掉落'!$A$29:$H$34,6,TRUE)&gt;0,5,0),IF(VLOOKUP(A93,'装备掉落'!$A$29:$H$34,7,TRUE)&gt;0,6,0),IF(VLOOKUP(A93,'装备掉落'!$A$29:$H$34,8,TRUE)&gt;0,7,0))</x:f>
        <x:v>7</x:v>
      </x:c>
      <x:c r="T93" s="119" t="n">
        <x:f>MIN(7,S93+'经济参数'!$E$70)</x:f>
        <x:v>7</x:v>
      </x:c>
      <x:c r="U93" s="119" t="n">
        <x:f>MIN(7,S93+'经济参数'!$E$71)</x:f>
        <x:v>7</x:v>
      </x:c>
      <x:c r="V93" s="119" t="n">
        <x:f>IF(H93&gt;=('难度参数'!$E$52),1,0)+IF(H93&gt;=('难度参数'!$E$52+'难度参数'!$E$53),1,0)+IF(H93&gt;=('难度参数'!$E$52+'难度参数'!$E$53+'难度参数'!$E$54),1,0)+IF(H93&gt;=('难度参数'!$E$52+'难度参数'!$E$53+'难度参数'!$E$54+'难度参数'!$E$55),1,0)+IF(H93&gt;=('难度参数'!$E$52+'难度参数'!$E$53+'难度参数'!$E$54+'难度参数'!$E$55+'难度参数'!$E$56),1,0)+IF(H93&gt;=('难度参数'!$E$52+'难度参数'!$E$53+'难度参数'!$E$54+'难度参数'!$E$55+'难度参数'!$E$56+'难度参数'!$E$57),1,0)</x:f>
        <x:v>6</x:v>
      </x:c>
      <x:c r="W93" s="62" t="str">
        <x:f>IF(L93&gt;'难度参数'!$E$51,"仅出怪已超目标","还需实测")</x:f>
        <x:v>还需实测</x:v>
      </x:c>
      <x:c r="X93" s="119" t="n">
        <x:f>IF(1&gt;D93,0,MAX(2,MIN('难度参数'!$E$12,ROUND(('难度参数'!$E$18*POWER(A93,'难度参数'!$E$19)/D93*(0.85+0.3*(1-1)/MAX(1,D93-1))),0)+F93)))</x:f>
        <x:v>19</x:v>
      </x:c>
      <x:c r="Y93" s="119" t="n">
        <x:f>IF(1&gt;D93,0,ROUND(('难度参数'!$E$13*POWER(A93,'难度参数'!$E$20)*MIN('难度参数'!$E$23,1+MAX(0,A93-'难度参数'!$E$21)*'难度参数'!$E$22))*(36+1*7)/(36+7*(D93+1)/2)*E93,0))</x:f>
        <x:v>2010</x:v>
      </x:c>
      <x:c r="Z93" s="119" t="n">
        <x:f>IF(X93=0,0,(X93-IF(1=D93,1,0))*ROUND(Y93*VLOOKUP(INDEX('章节与怪物'!$E$31:$K$37,B93,1),'章节与怪物'!$A$41:$F$44,2,FALSE),0)+IF(1=D93,ROUND(Y93*'难度参数'!$E$28*'章节与怪物'!$E$17,0),0))</x:f>
        <x:v>27493</x:v>
      </x:c>
      <x:c r="AA93" s="119" t="n">
        <x:f>IF(X93=0,0,(X93-IF(1=D93,1,0))*VLOOKUP(INDEX('章节与怪物'!$E$31:$K$37,B93,1),'章节与怪物'!$A$41:$F$44,4,FALSE)+IF(1=D93,'难度参数'!$E$30,0))</x:f>
        <x:v>380</x:v>
      </x:c>
      <x:c r="AB93" s="119" t="n">
        <x:f>IF(2&gt;D93,0,MAX(2,MIN('难度参数'!$E$12,ROUND(('难度参数'!$E$18*POWER(A93,'难度参数'!$E$19)/D93*(0.85+0.3*(2-1)/MAX(1,D93-1))),0)+F93)))</x:f>
        <x:v>20</x:v>
      </x:c>
      <x:c r="AC93" s="119" t="n">
        <x:f>IF(2&gt;D93,0,ROUND(('难度参数'!$E$13*POWER(A93,'难度参数'!$E$20)*MIN('难度参数'!$E$23,1+MAX(0,A93-'难度参数'!$E$21)*'难度参数'!$E$22))*(36+2*7)/(36+7*(D93+1)/2)*E93,0))</x:f>
        <x:v>2338</x:v>
      </x:c>
      <x:c r="AD93" s="119" t="n">
        <x:f>IF(AB93=0,0,(AB93-IF(2=D93,1,0))*ROUND(AC93*VLOOKUP(INDEX('章节与怪物'!$E$31:$K$37,B93,2),'章节与怪物'!$A$41:$F$44,2,FALSE),0)+IF(2=D93,ROUND(AC93*'难度参数'!$E$28*'章节与怪物'!$E$17,0),0))</x:f>
        <x:v>46760</x:v>
      </x:c>
      <x:c r="AE93" s="119" t="n">
        <x:f>IF(AB93=0,0,(AB93-IF(2=D93,1,0))*VLOOKUP(INDEX('章节与怪物'!$E$31:$K$37,B93,2),'章节与怪物'!$A$41:$F$44,4,FALSE)+IF(2=D93,'难度参数'!$E$30,0))</x:f>
        <x:v>360</x:v>
      </x:c>
      <x:c r="AF93" s="119" t="n">
        <x:f>IF(3&gt;D93,0,MAX(2,MIN('难度参数'!$E$12,ROUND(('难度参数'!$E$18*POWER(A93,'难度参数'!$E$19)/D93*(0.85+0.3*(3-1)/MAX(1,D93-1))),0)+F93)))</x:f>
        <x:v>21</x:v>
      </x:c>
      <x:c r="AG93" s="119" t="n">
        <x:f>IF(3&gt;D93,0,ROUND(('难度参数'!$E$13*POWER(A93,'难度参数'!$E$20)*MIN('难度参数'!$E$23,1+MAX(0,A93-'难度参数'!$E$21)*'难度参数'!$E$22))*(36+3*7)/(36+7*(D93+1)/2)*E93,0))</x:f>
        <x:v>2665</x:v>
      </x:c>
      <x:c r="AH93" s="119" t="n">
        <x:f>IF(AF93=0,0,(AF93-IF(3=D93,1,0))*ROUND(AG93*VLOOKUP(INDEX('章节与怪物'!$E$31:$K$37,B93,3),'章节与怪物'!$A$41:$F$44,2,FALSE),0)+IF(3=D93,ROUND(AG93*'难度参数'!$E$28*'章节与怪物'!$E$17,0),0))</x:f>
        <x:v>95151</x:v>
      </x:c>
      <x:c r="AI93" s="119" t="n">
        <x:f>IF(AF93=0,0,(AF93-IF(3=D93,1,0))*VLOOKUP(INDEX('章节与怪物'!$E$31:$K$37,B93,3),'章节与怪物'!$A$41:$F$44,4,FALSE)+IF(3=D93,'难度参数'!$E$30,0))</x:f>
        <x:v>588</x:v>
      </x:c>
      <x:c r="AJ93" s="119" t="n">
        <x:f>IF(4&gt;D93,0,MAX(2,MIN('难度参数'!$E$12,ROUND(('难度参数'!$E$18*POWER(A93,'难度参数'!$E$19)/D93*(0.85+0.3*(4-1)/MAX(1,D93-1))),0)+F93)))</x:f>
        <x:v>23</x:v>
      </x:c>
      <x:c r="AK93" s="119" t="n">
        <x:f>IF(4&gt;D93,0,ROUND(('难度参数'!$E$13*POWER(A93,'难度参数'!$E$20)*MIN('难度参数'!$E$23,1+MAX(0,A93-'难度参数'!$E$21)*'难度参数'!$E$22))*(36+4*7)/(36+7*(D93+1)/2)*E93,0))</x:f>
        <x:v>2992</x:v>
      </x:c>
      <x:c r="AL93" s="119" t="n">
        <x:f>IF(AJ93=0,0,(AJ93-IF(4=D93,1,0))*ROUND(AK93*VLOOKUP(INDEX('章节与怪物'!$E$31:$K$37,B93,4),'章节与怪物'!$A$41:$F$44,2,FALSE),0)+IF(4=D93,ROUND(AK93*'难度参数'!$E$28*'章节与怪物'!$E$17,0),0))</x:f>
        <x:v>92897</x:v>
      </x:c>
      <x:c r="AM93" s="119" t="n">
        <x:f>IF(AJ93=0,0,(AJ93-IF(4=D93,1,0))*VLOOKUP(INDEX('章节与怪物'!$E$31:$K$37,B93,4),'章节与怪物'!$A$41:$F$44,4,FALSE)+IF(4=D93,'难度参数'!$E$30,0))</x:f>
        <x:v>782</x:v>
      </x:c>
      <x:c r="AN93" s="119" t="n">
        <x:f>IF(5&gt;D93,0,MAX(2,MIN('难度参数'!$E$12,ROUND(('难度参数'!$E$18*POWER(A93,'难度参数'!$E$19)/D93*(0.85+0.3*(5-1)/MAX(1,D93-1))),0)+F93)))</x:f>
        <x:v>24</x:v>
      </x:c>
      <x:c r="AO93" s="119" t="n">
        <x:f>IF(5&gt;D93,0,ROUND(('难度参数'!$E$13*POWER(A93,'难度参数'!$E$20)*MIN('难度参数'!$E$23,1+MAX(0,A93-'难度参数'!$E$21)*'难度参数'!$E$22))*(36+5*7)/(36+7*(D93+1)/2)*E93,0))</x:f>
        <x:v>3320</x:v>
      </x:c>
      <x:c r="AP93" s="119" t="n">
        <x:f>IF(AN93=0,0,(AN93-IF(5=D93,1,0))*ROUND(AO93*VLOOKUP(INDEX('章节与怪物'!$E$31:$K$37,B93,5),'章节与怪物'!$A$41:$F$44,2,FALSE),0)+IF(5=D93,ROUND(AO93*'难度参数'!$E$28*'章节与怪物'!$E$17,0),0))</x:f>
        <x:v>79680</x:v>
      </x:c>
      <x:c r="AQ93" s="119" t="n">
        <x:f>IF(AN93=0,0,(AN93-IF(5=D93,1,0))*VLOOKUP(INDEX('章节与怪物'!$E$31:$K$37,B93,5),'章节与怪物'!$A$41:$F$44,4,FALSE)+IF(5=D93,'难度参数'!$E$30,0))</x:f>
        <x:v>432</x:v>
      </x:c>
      <x:c r="AR93" s="119" t="n">
        <x:f>IF(6&gt;D93,0,MAX(2,MIN('难度参数'!$E$12,ROUND(('难度参数'!$E$18*POWER(A93,'难度参数'!$E$19)/D93*(0.85+0.3*(6-1)/MAX(1,D93-1))),0)+F93)))</x:f>
        <x:v>25</x:v>
      </x:c>
      <x:c r="AS93" s="119" t="n">
        <x:f>IF(6&gt;D93,0,ROUND(('难度参数'!$E$13*POWER(A93,'难度参数'!$E$20)*MIN('难度参数'!$E$23,1+MAX(0,A93-'难度参数'!$E$21)*'难度参数'!$E$22))*(36+6*7)/(36+7*(D93+1)/2)*E93,0))</x:f>
        <x:v>3647</x:v>
      </x:c>
      <x:c r="AT93" s="119" t="n">
        <x:f>IF(AR93=0,0,(AR93-IF(6=D93,1,0))*ROUND(AS93*VLOOKUP(INDEX('章节与怪物'!$E$31:$K$37,B93,6),'章节与怪物'!$A$41:$F$44,2,FALSE),0)+IF(6=D93,ROUND(AS93*'难度参数'!$E$28*'章节与怪物'!$E$17,0),0))</x:f>
        <x:v>65650</x:v>
      </x:c>
      <x:c r="AU93" s="119" t="n">
        <x:f>IF(AR93=0,0,(AR93-IF(6=D93,1,0))*VLOOKUP(INDEX('章节与怪物'!$E$31:$K$37,B93,6),'章节与怪物'!$A$41:$F$44,4,FALSE)+IF(6=D93,'难度参数'!$E$30,0))</x:f>
        <x:v>500</x:v>
      </x:c>
      <x:c r="AV93" s="119" t="n">
        <x:f>IF(7&gt;D93,0,MAX(2,MIN('难度参数'!$E$12,ROUND(('难度参数'!$E$18*POWER(A93,'难度参数'!$E$19)/D93*(0.85+0.3*(7-1)/MAX(1,D93-1))),0)+F93)))</x:f>
        <x:v>26</x:v>
      </x:c>
      <x:c r="AW93" s="119" t="n">
        <x:f>IF(7&gt;D93,0,ROUND(('难度参数'!$E$13*POWER(A93,'难度参数'!$E$20)*MIN('难度参数'!$E$23,1+MAX(0,A93-'难度参数'!$E$21)*'难度参数'!$E$22))*(36+7*7)/(36+7*(D93+1)/2)*E93,0))</x:f>
        <x:v>3974</x:v>
      </x:c>
      <x:c r="AX93" s="119" t="n">
        <x:f>IF(AV93=0,0,(AV93-IF(7=D93,1,0))*ROUND(AW93*VLOOKUP(INDEX('章节与怪物'!$E$31:$K$37,B93,7),'章节与怪物'!$A$41:$F$44,2,FALSE),0)+IF(7=D93,ROUND(AW93*'难度参数'!$E$28*'章节与怪物'!$E$17,0),0))</x:f>
        <x:v>161148</x:v>
      </x:c>
      <x:c r="AY93" s="119" t="n">
        <x:f>IF(AV93=0,0,(AV93-IF(7=D93,1,0))*VLOOKUP(INDEX('章节与怪物'!$E$31:$K$37,B93,7),'章节与怪物'!$A$41:$F$44,4,FALSE)+IF(7=D93,'难度参数'!$E$30,0))</x:f>
        <x:v>1050</x:v>
      </x:c>
    </x:row>
    <x:row r="94" ht="23" customHeight="1">
      <x:c r="A94" s="119" t="n">
        <x:v>88</x:v>
      </x:c>
      <x:c r="B94" s="119" t="n">
        <x:f>MOD(INT((A94-1)/5),7)+1</x:f>
        <x:v>4</x:v>
      </x:c>
      <x:c r="C94" s="62" t="str">
        <x:f>INDEX('章节与怪物'!$B$31:$B$37,B94)</x:f>
        <x:v>翠野边城</x:v>
      </x:c>
      <x:c r="D94" s="119" t="n">
        <x:f>MIN('难度参数'!$E$8,MAX('难度参数'!$E$7,A94))</x:f>
        <x:v>7</x:v>
      </x:c>
      <x:c r="E94" s="106" t="n">
        <x:v>1</x:v>
      </x:c>
      <x:c r="F94" s="106" t="n">
        <x:v>0</x:v>
      </x:c>
      <x:c r="G94" s="106" t="n">
        <x:v>1</x:v>
      </x:c>
      <x:c r="H94" s="119" t="n">
        <x:f>SUM(X94,AB94,AF94,AJ94,AN94,AR94,AV94)</x:f>
        <x:v>158</x:v>
      </x:c>
      <x:c r="I94" s="119" t="n">
        <x:f>SUM(Z94,AD94,AH94,AL94,AP94,AT94,AX94)</x:f>
        <x:v>574930</x:v>
      </x:c>
      <x:c r="J94" s="119" t="n">
        <x:f>ROUND(INDEX(X94:AY94,1,(D94-1)*4+2)*'难度参数'!$E$28*'章节与怪物'!$E$17,0)</x:f>
        <x:v>27316</x:v>
      </x:c>
      <x:c r="K94" s="119" t="n">
        <x:f>SUM(AA94,AE94,AI94,AM94,AQ94,AU94,AY94)</x:f>
        <x:v>4092</x:v>
      </x:c>
      <x:c r="L94" s="62" t="n">
        <x:f>H94*(ROUNDUP('难度参数'!$E$24/('难度参数'!$E$26*'难度参数'!$E$27),0)*'难度参数'!$E$26)/60</x:f>
        <x:v>2.106666666666667</x:v>
      </x:c>
      <x:c r="M94" s="62" t="n">
        <x:f>L94+D94*('难度参数'!$E$49+'难度参数'!$E$50)/60</x:f>
        <x:v>3.2733333333333334</x:v>
      </x:c>
      <x:c r="N94" s="119" t="n">
        <x:f>ROUNDDOWN(('经济参数'!$E$20+A94*'经济参数'!$E$21)*G94,0)</x:f>
        <x:v>1940</x:v>
      </x:c>
      <x:c r="O94" s="119" t="n">
        <x:f>ROUNDDOWN(MIN('经济参数'!$E$24,'经济参数'!$E$22+A94*'经济参数'!$E$23)*G94,0)</x:f>
        <x:v>0</x:v>
      </x:c>
      <x:c r="P94" s="119" t="n">
        <x:f>ROUNDDOWN((IF(A94&gt;='材料与任务'!$E$31,'材料与任务'!$E$32,IF(A94&gt;='材料与任务'!$E$25,'材料与任务'!$E$26,IF(A94&gt;='材料与任务'!$E$19,'材料与任务'!$E$20,IF(A94&gt;='材料与任务'!$E$13,'材料与任务'!$E$14,'材料与任务'!$E$8)))))*G94,0)</x:f>
        <x:v>5</x:v>
      </x:c>
      <x:c r="Q94" s="119" t="n">
        <x:f>ROUNDDOWN((IF(A94&gt;='材料与任务'!$E$31,'材料与任务'!$E$33,IF(A94&gt;='材料与任务'!$E$25,'材料与任务'!$E$27,IF(A94&gt;='材料与任务'!$E$19,'材料与任务'!$E$21,IF(A94&gt;='材料与任务'!$E$13,'材料与任务'!$E$15,'材料与任务'!$E$9)))))*G94,0)</x:f>
        <x:v>2</x:v>
      </x:c>
      <x:c r="R94" s="110" t="n">
        <x:f>'装备掉落'!$B$38</x:f>
        <x:v>0.6872058758851213</x:v>
      </x:c>
      <x:c r="S94" s="119" t="n">
        <x:f>MAX(IF(VLOOKUP(A94,'装备掉落'!$A$29:$H$34,2,TRUE)&gt;0,1,0),IF(VLOOKUP(A94,'装备掉落'!$A$29:$H$34,3,TRUE)&gt;0,2,0),IF(VLOOKUP(A94,'装备掉落'!$A$29:$H$34,4,TRUE)&gt;0,3,0),IF(VLOOKUP(A94,'装备掉落'!$A$29:$H$34,5,TRUE)&gt;0,4,0),IF(VLOOKUP(A94,'装备掉落'!$A$29:$H$34,6,TRUE)&gt;0,5,0),IF(VLOOKUP(A94,'装备掉落'!$A$29:$H$34,7,TRUE)&gt;0,6,0),IF(VLOOKUP(A94,'装备掉落'!$A$29:$H$34,8,TRUE)&gt;0,7,0))</x:f>
        <x:v>7</x:v>
      </x:c>
      <x:c r="T94" s="119" t="n">
        <x:f>MIN(7,S94+'经济参数'!$E$70)</x:f>
        <x:v>7</x:v>
      </x:c>
      <x:c r="U94" s="119" t="n">
        <x:f>MIN(7,S94+'经济参数'!$E$71)</x:f>
        <x:v>7</x:v>
      </x:c>
      <x:c r="V94" s="119" t="n">
        <x:f>IF(H94&gt;=('难度参数'!$E$52),1,0)+IF(H94&gt;=('难度参数'!$E$52+'难度参数'!$E$53),1,0)+IF(H94&gt;=('难度参数'!$E$52+'难度参数'!$E$53+'难度参数'!$E$54),1,0)+IF(H94&gt;=('难度参数'!$E$52+'难度参数'!$E$53+'难度参数'!$E$54+'难度参数'!$E$55),1,0)+IF(H94&gt;=('难度参数'!$E$52+'难度参数'!$E$53+'难度参数'!$E$54+'难度参数'!$E$55+'难度参数'!$E$56),1,0)+IF(H94&gt;=('难度参数'!$E$52+'难度参数'!$E$53+'难度参数'!$E$54+'难度参数'!$E$55+'难度参数'!$E$56+'难度参数'!$E$57),1,0)</x:f>
        <x:v>6</x:v>
      </x:c>
      <x:c r="W94" s="62" t="str">
        <x:f>IF(L94&gt;'难度参数'!$E$51,"仅出怪已超目标","还需实测")</x:f>
        <x:v>还需实测</x:v>
      </x:c>
      <x:c r="X94" s="119" t="n">
        <x:f>IF(1&gt;D94,0,MAX(2,MIN('难度参数'!$E$12,ROUND(('难度参数'!$E$18*POWER(A94,'难度参数'!$E$19)/D94*(0.85+0.3*(1-1)/MAX(1,D94-1))),0)+F94)))</x:f>
        <x:v>19</x:v>
      </x:c>
      <x:c r="Y94" s="119" t="n">
        <x:f>IF(1&gt;D94,0,ROUND(('难度参数'!$E$13*POWER(A94,'难度参数'!$E$20)*MIN('难度参数'!$E$23,1+MAX(0,A94-'难度参数'!$E$21)*'难度参数'!$E$22))*(36+1*7)/(36+7*(D94+1)/2)*E94,0))</x:f>
        <x:v>2032</x:v>
      </x:c>
      <x:c r="Z94" s="119" t="n">
        <x:f>IF(X94=0,0,(X94-IF(1=D94,1,0))*ROUND(Y94*VLOOKUP(INDEX('章节与怪物'!$E$31:$K$37,B94,1),'章节与怪物'!$A$41:$F$44,2,FALSE),0)+IF(1=D94,ROUND(Y94*'难度参数'!$E$28*'章节与怪物'!$E$17,0),0))</x:f>
        <x:v>27797</x:v>
      </x:c>
      <x:c r="AA94" s="119" t="n">
        <x:f>IF(X94=0,0,(X94-IF(1=D94,1,0))*VLOOKUP(INDEX('章节与怪物'!$E$31:$K$37,B94,1),'章节与怪物'!$A$41:$F$44,4,FALSE)+IF(1=D94,'难度参数'!$E$30,0))</x:f>
        <x:v>380</x:v>
      </x:c>
      <x:c r="AB94" s="119" t="n">
        <x:f>IF(2&gt;D94,0,MAX(2,MIN('难度参数'!$E$12,ROUND(('难度参数'!$E$18*POWER(A94,'难度参数'!$E$19)/D94*(0.85+0.3*(2-1)/MAX(1,D94-1))),0)+F94)))</x:f>
        <x:v>20</x:v>
      </x:c>
      <x:c r="AC94" s="119" t="n">
        <x:f>IF(2&gt;D94,0,ROUND(('难度参数'!$E$13*POWER(A94,'难度参数'!$E$20)*MIN('难度参数'!$E$23,1+MAX(0,A94-'难度参数'!$E$21)*'难度参数'!$E$22))*(36+2*7)/(36+7*(D94+1)/2)*E94,0))</x:f>
        <x:v>2363</x:v>
      </x:c>
      <x:c r="AD94" s="119" t="n">
        <x:f>IF(AB94=0,0,(AB94-IF(2=D94,1,0))*ROUND(AC94*VLOOKUP(INDEX('章节与怪物'!$E$31:$K$37,B94,2),'章节与怪物'!$A$41:$F$44,2,FALSE),0)+IF(2=D94,ROUND(AC94*'难度参数'!$E$28*'章节与怪物'!$E$17,0),0))</x:f>
        <x:v>47260</x:v>
      </x:c>
      <x:c r="AE94" s="119" t="n">
        <x:f>IF(AB94=0,0,(AB94-IF(2=D94,1,0))*VLOOKUP(INDEX('章节与怪物'!$E$31:$K$37,B94,2),'章节与怪物'!$A$41:$F$44,4,FALSE)+IF(2=D94,'难度参数'!$E$30,0))</x:f>
        <x:v>360</x:v>
      </x:c>
      <x:c r="AF94" s="119" t="n">
        <x:f>IF(3&gt;D94,0,MAX(2,MIN('难度参数'!$E$12,ROUND(('难度参数'!$E$18*POWER(A94,'难度参数'!$E$19)/D94*(0.85+0.3*(3-1)/MAX(1,D94-1))),0)+F94)))</x:f>
        <x:v>21</x:v>
      </x:c>
      <x:c r="AG94" s="119" t="n">
        <x:f>IF(3&gt;D94,0,ROUND(('难度参数'!$E$13*POWER(A94,'难度参数'!$E$20)*MIN('难度参数'!$E$23,1+MAX(0,A94-'难度参数'!$E$21)*'难度参数'!$E$22))*(36+3*7)/(36+7*(D94+1)/2)*E94,0))</x:f>
        <x:v>2694</x:v>
      </x:c>
      <x:c r="AH94" s="119" t="n">
        <x:f>IF(AF94=0,0,(AF94-IF(3=D94,1,0))*ROUND(AG94*VLOOKUP(INDEX('章节与怪物'!$E$31:$K$37,B94,3),'章节与怪物'!$A$41:$F$44,2,FALSE),0)+IF(3=D94,ROUND(AG94*'难度参数'!$E$28*'章节与怪物'!$E$17,0),0))</x:f>
        <x:v>96180</x:v>
      </x:c>
      <x:c r="AI94" s="119" t="n">
        <x:f>IF(AF94=0,0,(AF94-IF(3=D94,1,0))*VLOOKUP(INDEX('章节与怪物'!$E$31:$K$37,B94,3),'章节与怪物'!$A$41:$F$44,4,FALSE)+IF(3=D94,'难度参数'!$E$30,0))</x:f>
        <x:v>588</x:v>
      </x:c>
      <x:c r="AJ94" s="119" t="n">
        <x:f>IF(4&gt;D94,0,MAX(2,MIN('难度参数'!$E$12,ROUND(('难度参数'!$E$18*POWER(A94,'难度参数'!$E$19)/D94*(0.85+0.3*(4-1)/MAX(1,D94-1))),0)+F94)))</x:f>
        <x:v>23</x:v>
      </x:c>
      <x:c r="AK94" s="119" t="n">
        <x:f>IF(4&gt;D94,0,ROUND(('难度参数'!$E$13*POWER(A94,'难度参数'!$E$20)*MIN('难度参数'!$E$23,1+MAX(0,A94-'难度参数'!$E$21)*'难度参数'!$E$22))*(36+4*7)/(36+7*(D94+1)/2)*E94,0))</x:f>
        <x:v>3025</x:v>
      </x:c>
      <x:c r="AL94" s="119" t="n">
        <x:f>IF(AJ94=0,0,(AJ94-IF(4=D94,1,0))*ROUND(AK94*VLOOKUP(INDEX('章节与怪物'!$E$31:$K$37,B94,4),'章节与怪物'!$A$41:$F$44,2,FALSE),0)+IF(4=D94,ROUND(AK94*'难度参数'!$E$28*'章节与怪物'!$E$17,0),0))</x:f>
        <x:v>93932</x:v>
      </x:c>
      <x:c r="AM94" s="119" t="n">
        <x:f>IF(AJ94=0,0,(AJ94-IF(4=D94,1,0))*VLOOKUP(INDEX('章节与怪物'!$E$31:$K$37,B94,4),'章节与怪物'!$A$41:$F$44,4,FALSE)+IF(4=D94,'难度参数'!$E$30,0))</x:f>
        <x:v>782</x:v>
      </x:c>
      <x:c r="AN94" s="119" t="n">
        <x:f>IF(5&gt;D94,0,MAX(2,MIN('难度参数'!$E$12,ROUND(('难度参数'!$E$18*POWER(A94,'难度参数'!$E$19)/D94*(0.85+0.3*(5-1)/MAX(1,D94-1))),0)+F94)))</x:f>
        <x:v>24</x:v>
      </x:c>
      <x:c r="AO94" s="119" t="n">
        <x:f>IF(5&gt;D94,0,ROUND(('难度参数'!$E$13*POWER(A94,'难度参数'!$E$20)*MIN('难度参数'!$E$23,1+MAX(0,A94-'难度参数'!$E$21)*'难度参数'!$E$22))*(36+5*7)/(36+7*(D94+1)/2)*E94,0))</x:f>
        <x:v>3355</x:v>
      </x:c>
      <x:c r="AP94" s="119" t="n">
        <x:f>IF(AN94=0,0,(AN94-IF(5=D94,1,0))*ROUND(AO94*VLOOKUP(INDEX('章节与怪物'!$E$31:$K$37,B94,5),'章节与怪物'!$A$41:$F$44,2,FALSE),0)+IF(5=D94,ROUND(AO94*'难度参数'!$E$28*'章节与怪物'!$E$17,0),0))</x:f>
        <x:v>80520</x:v>
      </x:c>
      <x:c r="AQ94" s="119" t="n">
        <x:f>IF(AN94=0,0,(AN94-IF(5=D94,1,0))*VLOOKUP(INDEX('章节与怪物'!$E$31:$K$37,B94,5),'章节与怪物'!$A$41:$F$44,4,FALSE)+IF(5=D94,'难度参数'!$E$30,0))</x:f>
        <x:v>432</x:v>
      </x:c>
      <x:c r="AR94" s="119" t="n">
        <x:f>IF(6&gt;D94,0,MAX(2,MIN('难度参数'!$E$12,ROUND(('难度参数'!$E$18*POWER(A94,'难度参数'!$E$19)/D94*(0.85+0.3*(6-1)/MAX(1,D94-1))),0)+F94)))</x:f>
        <x:v>25</x:v>
      </x:c>
      <x:c r="AS94" s="119" t="n">
        <x:f>IF(6&gt;D94,0,ROUND(('难度参数'!$E$13*POWER(A94,'难度参数'!$E$20)*MIN('难度参数'!$E$23,1+MAX(0,A94-'难度参数'!$E$21)*'难度参数'!$E$22))*(36+6*7)/(36+7*(D94+1)/2)*E94,0))</x:f>
        <x:v>3686</x:v>
      </x:c>
      <x:c r="AT94" s="119" t="n">
        <x:f>IF(AR94=0,0,(AR94-IF(6=D94,1,0))*ROUND(AS94*VLOOKUP(INDEX('章节与怪物'!$E$31:$K$37,B94,6),'章节与怪物'!$A$41:$F$44,2,FALSE),0)+IF(6=D94,ROUND(AS94*'难度参数'!$E$28*'章节与怪物'!$E$17,0),0))</x:f>
        <x:v>66350</x:v>
      </x:c>
      <x:c r="AU94" s="119" t="n">
        <x:f>IF(AR94=0,0,(AR94-IF(6=D94,1,0))*VLOOKUP(INDEX('章节与怪物'!$E$31:$K$37,B94,6),'章节与怪物'!$A$41:$F$44,4,FALSE)+IF(6=D94,'难度参数'!$E$30,0))</x:f>
        <x:v>500</x:v>
      </x:c>
      <x:c r="AV94" s="119" t="n">
        <x:f>IF(7&gt;D94,0,MAX(2,MIN('难度参数'!$E$12,ROUND(('难度参数'!$E$18*POWER(A94,'难度参数'!$E$19)/D94*(0.85+0.3*(7-1)/MAX(1,D94-1))),0)+F94)))</x:f>
        <x:v>26</x:v>
      </x:c>
      <x:c r="AW94" s="119" t="n">
        <x:f>IF(7&gt;D94,0,ROUND(('难度参数'!$E$13*POWER(A94,'难度参数'!$E$20)*MIN('难度参数'!$E$23,1+MAX(0,A94-'难度参数'!$E$21)*'难度参数'!$E$22))*(36+7*7)/(36+7*(D94+1)/2)*E94,0))</x:f>
        <x:v>4017</x:v>
      </x:c>
      <x:c r="AX94" s="119" t="n">
        <x:f>IF(AV94=0,0,(AV94-IF(7=D94,1,0))*ROUND(AW94*VLOOKUP(INDEX('章节与怪物'!$E$31:$K$37,B94,7),'章节与怪物'!$A$41:$F$44,2,FALSE),0)+IF(7=D94,ROUND(AW94*'难度参数'!$E$28*'章节与怪物'!$E$17,0),0))</x:f>
        <x:v>162891</x:v>
      </x:c>
      <x:c r="AY94" s="119" t="n">
        <x:f>IF(AV94=0,0,(AV94-IF(7=D94,1,0))*VLOOKUP(INDEX('章节与怪物'!$E$31:$K$37,B94,7),'章节与怪物'!$A$41:$F$44,4,FALSE)+IF(7=D94,'难度参数'!$E$30,0))</x:f>
        <x:v>1050</x:v>
      </x:c>
    </x:row>
    <x:row r="95" ht="23" customHeight="1">
      <x:c r="A95" s="119" t="n">
        <x:v>89</x:v>
      </x:c>
      <x:c r="B95" s="119" t="n">
        <x:f>MOD(INT((A95-1)/5),7)+1</x:f>
        <x:v>4</x:v>
      </x:c>
      <x:c r="C95" s="62" t="str">
        <x:f>INDEX('章节与怪物'!$B$31:$B$37,B95)</x:f>
        <x:v>翠野边城</x:v>
      </x:c>
      <x:c r="D95" s="119" t="n">
        <x:f>MIN('难度参数'!$E$8,MAX('难度参数'!$E$7,A95))</x:f>
        <x:v>7</x:v>
      </x:c>
      <x:c r="E95" s="106" t="n">
        <x:v>1</x:v>
      </x:c>
      <x:c r="F95" s="106" t="n">
        <x:v>0</x:v>
      </x:c>
      <x:c r="G95" s="106" t="n">
        <x:v>1</x:v>
      </x:c>
      <x:c r="H95" s="119" t="n">
        <x:f>SUM(X95,AB95,AF95,AJ95,AN95,AR95,AV95)</x:f>
        <x:v>159</x:v>
      </x:c>
      <x:c r="I95" s="119" t="n">
        <x:f>SUM(Z95,AD95,AH95,AL95,AP95,AT95,AX95)</x:f>
        <x:v>585643</x:v>
      </x:c>
      <x:c r="J95" s="119" t="n">
        <x:f>ROUND(INDEX(X95:AY95,1,(D95-1)*4+2)*'难度参数'!$E$28*'章节与怪物'!$E$17,0)</x:f>
        <x:v>27608</x:v>
      </x:c>
      <x:c r="K95" s="119" t="n">
        <x:f>SUM(AA95,AE95,AI95,AM95,AQ95,AU95,AY95)</x:f>
        <x:v>4120</x:v>
      </x:c>
      <x:c r="L95" s="62" t="n">
        <x:f>H95*(ROUNDUP('难度参数'!$E$24/('难度参数'!$E$26*'难度参数'!$E$27),0)*'难度参数'!$E$26)/60</x:f>
        <x:v>2.12</x:v>
      </x:c>
      <x:c r="M95" s="62" t="n">
        <x:f>L95+D95*('难度参数'!$E$49+'难度参数'!$E$50)/60</x:f>
        <x:v>3.286666666666667</x:v>
      </x:c>
      <x:c r="N95" s="119" t="n">
        <x:f>ROUNDDOWN(('经济参数'!$E$20+A95*'经济参数'!$E$21)*G95,0)</x:f>
        <x:v>1960</x:v>
      </x:c>
      <x:c r="O95" s="119" t="n">
        <x:f>ROUNDDOWN(MIN('经济参数'!$E$24,'经济参数'!$E$22+A95*'经济参数'!$E$23)*G95,0)</x:f>
        <x:v>0</x:v>
      </x:c>
      <x:c r="P95" s="119" t="n">
        <x:f>ROUNDDOWN((IF(A95&gt;='材料与任务'!$E$31,'材料与任务'!$E$32,IF(A95&gt;='材料与任务'!$E$25,'材料与任务'!$E$26,IF(A95&gt;='材料与任务'!$E$19,'材料与任务'!$E$20,IF(A95&gt;='材料与任务'!$E$13,'材料与任务'!$E$14,'材料与任务'!$E$8)))))*G95,0)</x:f>
        <x:v>5</x:v>
      </x:c>
      <x:c r="Q95" s="119" t="n">
        <x:f>ROUNDDOWN((IF(A95&gt;='材料与任务'!$E$31,'材料与任务'!$E$33,IF(A95&gt;='材料与任务'!$E$25,'材料与任务'!$E$27,IF(A95&gt;='材料与任务'!$E$19,'材料与任务'!$E$21,IF(A95&gt;='材料与任务'!$E$13,'材料与任务'!$E$15,'材料与任务'!$E$9)))))*G95,0)</x:f>
        <x:v>2</x:v>
      </x:c>
      <x:c r="R95" s="110" t="n">
        <x:f>'装备掉落'!$B$38</x:f>
        <x:v>0.6872058758851213</x:v>
      </x:c>
      <x:c r="S95" s="119" t="n">
        <x:f>MAX(IF(VLOOKUP(A95,'装备掉落'!$A$29:$H$34,2,TRUE)&gt;0,1,0),IF(VLOOKUP(A95,'装备掉落'!$A$29:$H$34,3,TRUE)&gt;0,2,0),IF(VLOOKUP(A95,'装备掉落'!$A$29:$H$34,4,TRUE)&gt;0,3,0),IF(VLOOKUP(A95,'装备掉落'!$A$29:$H$34,5,TRUE)&gt;0,4,0),IF(VLOOKUP(A95,'装备掉落'!$A$29:$H$34,6,TRUE)&gt;0,5,0),IF(VLOOKUP(A95,'装备掉落'!$A$29:$H$34,7,TRUE)&gt;0,6,0),IF(VLOOKUP(A95,'装备掉落'!$A$29:$H$34,8,TRUE)&gt;0,7,0))</x:f>
        <x:v>7</x:v>
      </x:c>
      <x:c r="T95" s="119" t="n">
        <x:f>MIN(7,S95+'经济参数'!$E$70)</x:f>
        <x:v>7</x:v>
      </x:c>
      <x:c r="U95" s="119" t="n">
        <x:f>MIN(7,S95+'经济参数'!$E$71)</x:f>
        <x:v>7</x:v>
      </x:c>
      <x:c r="V95" s="119" t="n">
        <x:f>IF(H95&gt;=('难度参数'!$E$52),1,0)+IF(H95&gt;=('难度参数'!$E$52+'难度参数'!$E$53),1,0)+IF(H95&gt;=('难度参数'!$E$52+'难度参数'!$E$53+'难度参数'!$E$54),1,0)+IF(H95&gt;=('难度参数'!$E$52+'难度参数'!$E$53+'难度参数'!$E$54+'难度参数'!$E$55),1,0)+IF(H95&gt;=('难度参数'!$E$52+'难度参数'!$E$53+'难度参数'!$E$54+'难度参数'!$E$55+'难度参数'!$E$56),1,0)+IF(H95&gt;=('难度参数'!$E$52+'难度参数'!$E$53+'难度参数'!$E$54+'难度参数'!$E$55+'难度参数'!$E$56+'难度参数'!$E$57),1,0)</x:f>
        <x:v>6</x:v>
      </x:c>
      <x:c r="W95" s="62" t="str">
        <x:f>IF(L95&gt;'难度参数'!$E$51,"仅出怪已超目标","还需实测")</x:f>
        <x:v>还需实测</x:v>
      </x:c>
      <x:c r="X95" s="119" t="n">
        <x:f>IF(1&gt;D95,0,MAX(2,MIN('难度参数'!$E$12,ROUND(('难度参数'!$E$18*POWER(A95,'难度参数'!$E$19)/D95*(0.85+0.3*(1-1)/MAX(1,D95-1))),0)+F95)))</x:f>
        <x:v>19</x:v>
      </x:c>
      <x:c r="Y95" s="119" t="n">
        <x:f>IF(1&gt;D95,0,ROUND(('难度参数'!$E$13*POWER(A95,'难度参数'!$E$20)*MIN('难度参数'!$E$23,1+MAX(0,A95-'难度参数'!$E$21)*'难度参数'!$E$22))*(36+1*7)/(36+7*(D95+1)/2)*E95,0))</x:f>
        <x:v>2054</x:v>
      </x:c>
      <x:c r="Z95" s="119" t="n">
        <x:f>IF(X95=0,0,(X95-IF(1=D95,1,0))*ROUND(Y95*VLOOKUP(INDEX('章节与怪物'!$E$31:$K$37,B95,1),'章节与怪物'!$A$41:$F$44,2,FALSE),0)+IF(1=D95,ROUND(Y95*'难度参数'!$E$28*'章节与怪物'!$E$17,0),0))</x:f>
        <x:v>28101</x:v>
      </x:c>
      <x:c r="AA95" s="119" t="n">
        <x:f>IF(X95=0,0,(X95-IF(1=D95,1,0))*VLOOKUP(INDEX('章节与怪物'!$E$31:$K$37,B95,1),'章节与怪物'!$A$41:$F$44,4,FALSE)+IF(1=D95,'难度参数'!$E$30,0))</x:f>
        <x:v>380</x:v>
      </x:c>
      <x:c r="AB95" s="119" t="n">
        <x:f>IF(2&gt;D95,0,MAX(2,MIN('难度参数'!$E$12,ROUND(('难度参数'!$E$18*POWER(A95,'难度参数'!$E$19)/D95*(0.85+0.3*(2-1)/MAX(1,D95-1))),0)+F95)))</x:f>
        <x:v>20</x:v>
      </x:c>
      <x:c r="AC95" s="119" t="n">
        <x:f>IF(2&gt;D95,0,ROUND(('难度参数'!$E$13*POWER(A95,'难度参数'!$E$20)*MIN('难度参数'!$E$23,1+MAX(0,A95-'难度参数'!$E$21)*'难度参数'!$E$22))*(36+2*7)/(36+7*(D95+1)/2)*E95,0))</x:f>
        <x:v>2388</x:v>
      </x:c>
      <x:c r="AD95" s="119" t="n">
        <x:f>IF(AB95=0,0,(AB95-IF(2=D95,1,0))*ROUND(AC95*VLOOKUP(INDEX('章节与怪物'!$E$31:$K$37,B95,2),'章节与怪物'!$A$41:$F$44,2,FALSE),0)+IF(2=D95,ROUND(AC95*'难度参数'!$E$28*'章节与怪物'!$E$17,0),0))</x:f>
        <x:v>47760</x:v>
      </x:c>
      <x:c r="AE95" s="119" t="n">
        <x:f>IF(AB95=0,0,(AB95-IF(2=D95,1,0))*VLOOKUP(INDEX('章节与怪物'!$E$31:$K$37,B95,2),'章节与怪物'!$A$41:$F$44,4,FALSE)+IF(2=D95,'难度参数'!$E$30,0))</x:f>
        <x:v>360</x:v>
      </x:c>
      <x:c r="AF95" s="119" t="n">
        <x:f>IF(3&gt;D95,0,MAX(2,MIN('难度参数'!$E$12,ROUND(('难度参数'!$E$18*POWER(A95,'难度参数'!$E$19)/D95*(0.85+0.3*(3-1)/MAX(1,D95-1))),0)+F95)))</x:f>
        <x:v>22</x:v>
      </x:c>
      <x:c r="AG95" s="119" t="n">
        <x:f>IF(3&gt;D95,0,ROUND(('难度参数'!$E$13*POWER(A95,'难度参数'!$E$20)*MIN('难度参数'!$E$23,1+MAX(0,A95-'难度参数'!$E$21)*'难度参数'!$E$22))*(36+3*7)/(36+7*(D95+1)/2)*E95,0))</x:f>
        <x:v>2722</x:v>
      </x:c>
      <x:c r="AH95" s="119" t="n">
        <x:f>IF(AF95=0,0,(AF95-IF(3=D95,1,0))*ROUND(AG95*VLOOKUP(INDEX('章节与怪物'!$E$31:$K$37,B95,3),'章节与怪物'!$A$41:$F$44,2,FALSE),0)+IF(3=D95,ROUND(AG95*'难度参数'!$E$28*'章节与怪物'!$E$17,0),0))</x:f>
        <x:v>101794</x:v>
      </x:c>
      <x:c r="AI95" s="119" t="n">
        <x:f>IF(AF95=0,0,(AF95-IF(3=D95,1,0))*VLOOKUP(INDEX('章节与怪物'!$E$31:$K$37,B95,3),'章节与怪物'!$A$41:$F$44,4,FALSE)+IF(3=D95,'难度参数'!$E$30,0))</x:f>
        <x:v>616</x:v>
      </x:c>
      <x:c r="AJ95" s="119" t="n">
        <x:f>IF(4&gt;D95,0,MAX(2,MIN('难度参数'!$E$12,ROUND(('难度参数'!$E$18*POWER(A95,'难度参数'!$E$19)/D95*(0.85+0.3*(4-1)/MAX(1,D95-1))),0)+F95)))</x:f>
        <x:v>23</x:v>
      </x:c>
      <x:c r="AK95" s="119" t="n">
        <x:f>IF(4&gt;D95,0,ROUND(('难度参数'!$E$13*POWER(A95,'难度参数'!$E$20)*MIN('难度参数'!$E$23,1+MAX(0,A95-'难度参数'!$E$21)*'难度参数'!$E$22))*(36+4*7)/(36+7*(D95+1)/2)*E95,0))</x:f>
        <x:v>3057</x:v>
      </x:c>
      <x:c r="AL95" s="119" t="n">
        <x:f>IF(AJ95=0,0,(AJ95-IF(4=D95,1,0))*ROUND(AK95*VLOOKUP(INDEX('章节与怪物'!$E$31:$K$37,B95,4),'章节与怪物'!$A$41:$F$44,2,FALSE),0)+IF(4=D95,ROUND(AK95*'难度参数'!$E$28*'章节与怪物'!$E$17,0),0))</x:f>
        <x:v>94921</x:v>
      </x:c>
      <x:c r="AM95" s="119" t="n">
        <x:f>IF(AJ95=0,0,(AJ95-IF(4=D95,1,0))*VLOOKUP(INDEX('章节与怪物'!$E$31:$K$37,B95,4),'章节与怪物'!$A$41:$F$44,4,FALSE)+IF(4=D95,'难度参数'!$E$30,0))</x:f>
        <x:v>782</x:v>
      </x:c>
      <x:c r="AN95" s="119" t="n">
        <x:f>IF(5&gt;D95,0,MAX(2,MIN('难度参数'!$E$12,ROUND(('难度参数'!$E$18*POWER(A95,'难度参数'!$E$19)/D95*(0.85+0.3*(5-1)/MAX(1,D95-1))),0)+F95)))</x:f>
        <x:v>24</x:v>
      </x:c>
      <x:c r="AO95" s="119" t="n">
        <x:f>IF(5&gt;D95,0,ROUND(('难度参数'!$E$13*POWER(A95,'难度参数'!$E$20)*MIN('难度参数'!$E$23,1+MAX(0,A95-'难度参数'!$E$21)*'难度参数'!$E$22))*(36+5*7)/(36+7*(D95+1)/2)*E95,0))</x:f>
        <x:v>3391</x:v>
      </x:c>
      <x:c r="AP95" s="119" t="n">
        <x:f>IF(AN95=0,0,(AN95-IF(5=D95,1,0))*ROUND(AO95*VLOOKUP(INDEX('章节与怪物'!$E$31:$K$37,B95,5),'章节与怪物'!$A$41:$F$44,2,FALSE),0)+IF(5=D95,ROUND(AO95*'难度参数'!$E$28*'章节与怪物'!$E$17,0),0))</x:f>
        <x:v>81384</x:v>
      </x:c>
      <x:c r="AQ95" s="119" t="n">
        <x:f>IF(AN95=0,0,(AN95-IF(5=D95,1,0))*VLOOKUP(INDEX('章节与怪物'!$E$31:$K$37,B95,5),'章节与怪物'!$A$41:$F$44,4,FALSE)+IF(5=D95,'难度参数'!$E$30,0))</x:f>
        <x:v>432</x:v>
      </x:c>
      <x:c r="AR95" s="119" t="n">
        <x:f>IF(6&gt;D95,0,MAX(2,MIN('难度参数'!$E$12,ROUND(('难度参数'!$E$18*POWER(A95,'难度参数'!$E$19)/D95*(0.85+0.3*(6-1)/MAX(1,D95-1))),0)+F95)))</x:f>
        <x:v>25</x:v>
      </x:c>
      <x:c r="AS95" s="119" t="n">
        <x:f>IF(6&gt;D95,0,ROUND(('难度参数'!$E$13*POWER(A95,'难度参数'!$E$20)*MIN('难度参数'!$E$23,1+MAX(0,A95-'难度参数'!$E$21)*'难度参数'!$E$22))*(36+6*7)/(36+7*(D95+1)/2)*E95,0))</x:f>
        <x:v>3725</x:v>
      </x:c>
      <x:c r="AT95" s="119" t="n">
        <x:f>IF(AR95=0,0,(AR95-IF(6=D95,1,0))*ROUND(AS95*VLOOKUP(INDEX('章节与怪物'!$E$31:$K$37,B95,6),'章节与怪物'!$A$41:$F$44,2,FALSE),0)+IF(6=D95,ROUND(AS95*'难度参数'!$E$28*'章节与怪物'!$E$17,0),0))</x:f>
        <x:v>67050</x:v>
      </x:c>
      <x:c r="AU95" s="119" t="n">
        <x:f>IF(AR95=0,0,(AR95-IF(6=D95,1,0))*VLOOKUP(INDEX('章节与怪物'!$E$31:$K$37,B95,6),'章节与怪物'!$A$41:$F$44,4,FALSE)+IF(6=D95,'难度参数'!$E$30,0))</x:f>
        <x:v>500</x:v>
      </x:c>
      <x:c r="AV95" s="119" t="n">
        <x:f>IF(7&gt;D95,0,MAX(2,MIN('难度参数'!$E$12,ROUND(('难度参数'!$E$18*POWER(A95,'难度参数'!$E$19)/D95*(0.85+0.3*(7-1)/MAX(1,D95-1))),0)+F95)))</x:f>
        <x:v>26</x:v>
      </x:c>
      <x:c r="AW95" s="119" t="n">
        <x:f>IF(7&gt;D95,0,ROUND(('难度参数'!$E$13*POWER(A95,'难度参数'!$E$20)*MIN('难度参数'!$E$23,1+MAX(0,A95-'难度参数'!$E$21)*'难度参数'!$E$22))*(36+7*7)/(36+7*(D95+1)/2)*E95,0))</x:f>
        <x:v>4060</x:v>
      </x:c>
      <x:c r="AX95" s="119" t="n">
        <x:f>IF(AV95=0,0,(AV95-IF(7=D95,1,0))*ROUND(AW95*VLOOKUP(INDEX('章节与怪物'!$E$31:$K$37,B95,7),'章节与怪物'!$A$41:$F$44,2,FALSE),0)+IF(7=D95,ROUND(AW95*'难度参数'!$E$28*'章节与怪物'!$E$17,0),0))</x:f>
        <x:v>164633</x:v>
      </x:c>
      <x:c r="AY95" s="119" t="n">
        <x:f>IF(AV95=0,0,(AV95-IF(7=D95,1,0))*VLOOKUP(INDEX('章节与怪物'!$E$31:$K$37,B95,7),'章节与怪物'!$A$41:$F$44,4,FALSE)+IF(7=D95,'难度参数'!$E$30,0))</x:f>
        <x:v>1050</x:v>
      </x:c>
    </x:row>
    <x:row r="96" ht="23" customHeight="1">
      <x:c r="A96" s="119" t="n">
        <x:v>90</x:v>
      </x:c>
      <x:c r="B96" s="119" t="n">
        <x:f>MOD(INT((A96-1)/5),7)+1</x:f>
        <x:v>4</x:v>
      </x:c>
      <x:c r="C96" s="62" t="str">
        <x:f>INDEX('章节与怪物'!$B$31:$B$37,B96)</x:f>
        <x:v>翠野边城</x:v>
      </x:c>
      <x:c r="D96" s="119" t="n">
        <x:f>MIN('难度参数'!$E$8,MAX('难度参数'!$E$7,A96))</x:f>
        <x:v>7</x:v>
      </x:c>
      <x:c r="E96" s="106" t="n">
        <x:v>1</x:v>
      </x:c>
      <x:c r="F96" s="106" t="n">
        <x:v>0</x:v>
      </x:c>
      <x:c r="G96" s="106" t="n">
        <x:v>1</x:v>
      </x:c>
      <x:c r="H96" s="119" t="n">
        <x:f>SUM(X96,AB96,AF96,AJ96,AN96,AR96,AV96)</x:f>
        <x:v>159</x:v>
      </x:c>
      <x:c r="I96" s="119" t="n">
        <x:f>SUM(Z96,AD96,AH96,AL96,AP96,AT96,AX96)</x:f>
        <x:v>591867</x:v>
      </x:c>
      <x:c r="J96" s="119" t="n">
        <x:f>ROUND(INDEX(X96:AY96,1,(D96-1)*4+2)*'难度参数'!$E$28*'章节与怪物'!$E$17,0)</x:f>
        <x:v>27900</x:v>
      </x:c>
      <x:c r="K96" s="119" t="n">
        <x:f>SUM(AA96,AE96,AI96,AM96,AQ96,AU96,AY96)</x:f>
        <x:v>4120</x:v>
      </x:c>
      <x:c r="L96" s="62" t="n">
        <x:f>H96*(ROUNDUP('难度参数'!$E$24/('难度参数'!$E$26*'难度参数'!$E$27),0)*'难度参数'!$E$26)/60</x:f>
        <x:v>2.12</x:v>
      </x:c>
      <x:c r="M96" s="62" t="n">
        <x:f>L96+D96*('难度参数'!$E$49+'难度参数'!$E$50)/60</x:f>
        <x:v>3.286666666666667</x:v>
      </x:c>
      <x:c r="N96" s="119" t="n">
        <x:f>ROUNDDOWN(('经济参数'!$E$20+A96*'经济参数'!$E$21)*G96,0)</x:f>
        <x:v>1980</x:v>
      </x:c>
      <x:c r="O96" s="119" t="n">
        <x:f>ROUNDDOWN(MIN('经济参数'!$E$24,'经济参数'!$E$22+A96*'经济参数'!$E$23)*G96,0)</x:f>
        <x:v>0</x:v>
      </x:c>
      <x:c r="P96" s="119" t="n">
        <x:f>ROUNDDOWN((IF(A96&gt;='材料与任务'!$E$31,'材料与任务'!$E$32,IF(A96&gt;='材料与任务'!$E$25,'材料与任务'!$E$26,IF(A96&gt;='材料与任务'!$E$19,'材料与任务'!$E$20,IF(A96&gt;='材料与任务'!$E$13,'材料与任务'!$E$14,'材料与任务'!$E$8)))))*G96,0)</x:f>
        <x:v>5</x:v>
      </x:c>
      <x:c r="Q96" s="119" t="n">
        <x:f>ROUNDDOWN((IF(A96&gt;='材料与任务'!$E$31,'材料与任务'!$E$33,IF(A96&gt;='材料与任务'!$E$25,'材料与任务'!$E$27,IF(A96&gt;='材料与任务'!$E$19,'材料与任务'!$E$21,IF(A96&gt;='材料与任务'!$E$13,'材料与任务'!$E$15,'材料与任务'!$E$9)))))*G96,0)</x:f>
        <x:v>2</x:v>
      </x:c>
      <x:c r="R96" s="110" t="n">
        <x:f>'装备掉落'!$B$38</x:f>
        <x:v>0.6872058758851213</x:v>
      </x:c>
      <x:c r="S96" s="119" t="n">
        <x:f>MAX(IF(VLOOKUP(A96,'装备掉落'!$A$29:$H$34,2,TRUE)&gt;0,1,0),IF(VLOOKUP(A96,'装备掉落'!$A$29:$H$34,3,TRUE)&gt;0,2,0),IF(VLOOKUP(A96,'装备掉落'!$A$29:$H$34,4,TRUE)&gt;0,3,0),IF(VLOOKUP(A96,'装备掉落'!$A$29:$H$34,5,TRUE)&gt;0,4,0),IF(VLOOKUP(A96,'装备掉落'!$A$29:$H$34,6,TRUE)&gt;0,5,0),IF(VLOOKUP(A96,'装备掉落'!$A$29:$H$34,7,TRUE)&gt;0,6,0),IF(VLOOKUP(A96,'装备掉落'!$A$29:$H$34,8,TRUE)&gt;0,7,0))</x:f>
        <x:v>7</x:v>
      </x:c>
      <x:c r="T96" s="119" t="n">
        <x:f>MIN(7,S96+'经济参数'!$E$70)</x:f>
        <x:v>7</x:v>
      </x:c>
      <x:c r="U96" s="119" t="n">
        <x:f>MIN(7,S96+'经济参数'!$E$71)</x:f>
        <x:v>7</x:v>
      </x:c>
      <x:c r="V96" s="119" t="n">
        <x:f>IF(H96&gt;=('难度参数'!$E$52),1,0)+IF(H96&gt;=('难度参数'!$E$52+'难度参数'!$E$53),1,0)+IF(H96&gt;=('难度参数'!$E$52+'难度参数'!$E$53+'难度参数'!$E$54),1,0)+IF(H96&gt;=('难度参数'!$E$52+'难度参数'!$E$53+'难度参数'!$E$54+'难度参数'!$E$55),1,0)+IF(H96&gt;=('难度参数'!$E$52+'难度参数'!$E$53+'难度参数'!$E$54+'难度参数'!$E$55+'难度参数'!$E$56),1,0)+IF(H96&gt;=('难度参数'!$E$52+'难度参数'!$E$53+'难度参数'!$E$54+'难度参数'!$E$55+'难度参数'!$E$56+'难度参数'!$E$57),1,0)</x:f>
        <x:v>6</x:v>
      </x:c>
      <x:c r="W96" s="62" t="str">
        <x:f>IF(L96&gt;'难度参数'!$E$51,"仅出怪已超目标","还需实测")</x:f>
        <x:v>还需实测</x:v>
      </x:c>
      <x:c r="X96" s="119" t="n">
        <x:f>IF(1&gt;D96,0,MAX(2,MIN('难度参数'!$E$12,ROUND(('难度参数'!$E$18*POWER(A96,'难度参数'!$E$19)/D96*(0.85+0.3*(1-1)/MAX(1,D96-1))),0)+F96)))</x:f>
        <x:v>19</x:v>
      </x:c>
      <x:c r="Y96" s="119" t="n">
        <x:f>IF(1&gt;D96,0,ROUND(('难度参数'!$E$13*POWER(A96,'难度参数'!$E$20)*MIN('难度参数'!$E$23,1+MAX(0,A96-'难度参数'!$E$21)*'难度参数'!$E$22))*(36+1*7)/(36+7*(D96+1)/2)*E96,0))</x:f>
        <x:v>2076</x:v>
      </x:c>
      <x:c r="Z96" s="119" t="n">
        <x:f>IF(X96=0,0,(X96-IF(1=D96,1,0))*ROUND(Y96*VLOOKUP(INDEX('章节与怪物'!$E$31:$K$37,B96,1),'章节与怪物'!$A$41:$F$44,2,FALSE),0)+IF(1=D96,ROUND(Y96*'难度参数'!$E$28*'章节与怪物'!$E$17,0),0))</x:f>
        <x:v>28405</x:v>
      </x:c>
      <x:c r="AA96" s="119" t="n">
        <x:f>IF(X96=0,0,(X96-IF(1=D96,1,0))*VLOOKUP(INDEX('章节与怪物'!$E$31:$K$37,B96,1),'章节与怪物'!$A$41:$F$44,4,FALSE)+IF(1=D96,'难度参数'!$E$30,0))</x:f>
        <x:v>380</x:v>
      </x:c>
      <x:c r="AB96" s="119" t="n">
        <x:f>IF(2&gt;D96,0,MAX(2,MIN('难度参数'!$E$12,ROUND(('难度参数'!$E$18*POWER(A96,'难度参数'!$E$19)/D96*(0.85+0.3*(2-1)/MAX(1,D96-1))),0)+F96)))</x:f>
        <x:v>20</x:v>
      </x:c>
      <x:c r="AC96" s="119" t="n">
        <x:f>IF(2&gt;D96,0,ROUND(('难度参数'!$E$13*POWER(A96,'难度参数'!$E$20)*MIN('难度参数'!$E$23,1+MAX(0,A96-'难度参数'!$E$21)*'难度参数'!$E$22))*(36+2*7)/(36+7*(D96+1)/2)*E96,0))</x:f>
        <x:v>2413</x:v>
      </x:c>
      <x:c r="AD96" s="119" t="n">
        <x:f>IF(AB96=0,0,(AB96-IF(2=D96,1,0))*ROUND(AC96*VLOOKUP(INDEX('章节与怪物'!$E$31:$K$37,B96,2),'章节与怪物'!$A$41:$F$44,2,FALSE),0)+IF(2=D96,ROUND(AC96*'难度参数'!$E$28*'章节与怪物'!$E$17,0),0))</x:f>
        <x:v>48260</x:v>
      </x:c>
      <x:c r="AE96" s="119" t="n">
        <x:f>IF(AB96=0,0,(AB96-IF(2=D96,1,0))*VLOOKUP(INDEX('章节与怪物'!$E$31:$K$37,B96,2),'章节与怪物'!$A$41:$F$44,4,FALSE)+IF(2=D96,'难度参数'!$E$30,0))</x:f>
        <x:v>360</x:v>
      </x:c>
      <x:c r="AF96" s="119" t="n">
        <x:f>IF(3&gt;D96,0,MAX(2,MIN('难度参数'!$E$12,ROUND(('难度参数'!$E$18*POWER(A96,'难度参数'!$E$19)/D96*(0.85+0.3*(3-1)/MAX(1,D96-1))),0)+F96)))</x:f>
        <x:v>22</x:v>
      </x:c>
      <x:c r="AG96" s="119" t="n">
        <x:f>IF(3&gt;D96,0,ROUND(('难度参数'!$E$13*POWER(A96,'难度参数'!$E$20)*MIN('难度参数'!$E$23,1+MAX(0,A96-'难度参数'!$E$21)*'难度参数'!$E$22))*(36+3*7)/(36+7*(D96+1)/2)*E96,0))</x:f>
        <x:v>2751</x:v>
      </x:c>
      <x:c r="AH96" s="119" t="n">
        <x:f>IF(AF96=0,0,(AF96-IF(3=D96,1,0))*ROUND(AG96*VLOOKUP(INDEX('章节与怪物'!$E$31:$K$37,B96,3),'章节与怪物'!$A$41:$F$44,2,FALSE),0)+IF(3=D96,ROUND(AG96*'难度参数'!$E$28*'章节与怪物'!$E$17,0),0))</x:f>
        <x:v>102894</x:v>
      </x:c>
      <x:c r="AI96" s="119" t="n">
        <x:f>IF(AF96=0,0,(AF96-IF(3=D96,1,0))*VLOOKUP(INDEX('章节与怪物'!$E$31:$K$37,B96,3),'章节与怪物'!$A$41:$F$44,4,FALSE)+IF(3=D96,'难度参数'!$E$30,0))</x:f>
        <x:v>616</x:v>
      </x:c>
      <x:c r="AJ96" s="119" t="n">
        <x:f>IF(4&gt;D96,0,MAX(2,MIN('难度参数'!$E$12,ROUND(('难度参数'!$E$18*POWER(A96,'难度参数'!$E$19)/D96*(0.85+0.3*(4-1)/MAX(1,D96-1))),0)+F96)))</x:f>
        <x:v>23</x:v>
      </x:c>
      <x:c r="AK96" s="119" t="n">
        <x:f>IF(4&gt;D96,0,ROUND(('难度参数'!$E$13*POWER(A96,'难度参数'!$E$20)*MIN('难度参数'!$E$23,1+MAX(0,A96-'难度参数'!$E$21)*'难度参数'!$E$22))*(36+4*7)/(36+7*(D96+1)/2)*E96,0))</x:f>
        <x:v>3089</x:v>
      </x:c>
      <x:c r="AL96" s="119" t="n">
        <x:f>IF(AJ96=0,0,(AJ96-IF(4=D96,1,0))*ROUND(AK96*VLOOKUP(INDEX('章节与怪物'!$E$31:$K$37,B96,4),'章节与怪物'!$A$41:$F$44,2,FALSE),0)+IF(4=D96,ROUND(AK96*'难度参数'!$E$28*'章节与怪物'!$E$17,0),0))</x:f>
        <x:v>95910</x:v>
      </x:c>
      <x:c r="AM96" s="119" t="n">
        <x:f>IF(AJ96=0,0,(AJ96-IF(4=D96,1,0))*VLOOKUP(INDEX('章节与怪物'!$E$31:$K$37,B96,4),'章节与怪物'!$A$41:$F$44,4,FALSE)+IF(4=D96,'难度参数'!$E$30,0))</x:f>
        <x:v>782</x:v>
      </x:c>
      <x:c r="AN96" s="119" t="n">
        <x:f>IF(5&gt;D96,0,MAX(2,MIN('难度参数'!$E$12,ROUND(('难度参数'!$E$18*POWER(A96,'难度参数'!$E$19)/D96*(0.85+0.3*(5-1)/MAX(1,D96-1))),0)+F96)))</x:f>
        <x:v>24</x:v>
      </x:c>
      <x:c r="AO96" s="119" t="n">
        <x:f>IF(5&gt;D96,0,ROUND(('难度参数'!$E$13*POWER(A96,'难度参数'!$E$20)*MIN('难度参数'!$E$23,1+MAX(0,A96-'难度参数'!$E$21)*'难度参数'!$E$22))*(36+5*7)/(36+7*(D96+1)/2)*E96,0))</x:f>
        <x:v>3427</x:v>
      </x:c>
      <x:c r="AP96" s="119" t="n">
        <x:f>IF(AN96=0,0,(AN96-IF(5=D96,1,0))*ROUND(AO96*VLOOKUP(INDEX('章节与怪物'!$E$31:$K$37,B96,5),'章节与怪物'!$A$41:$F$44,2,FALSE),0)+IF(5=D96,ROUND(AO96*'难度参数'!$E$28*'章节与怪物'!$E$17,0),0))</x:f>
        <x:v>82248</x:v>
      </x:c>
      <x:c r="AQ96" s="119" t="n">
        <x:f>IF(AN96=0,0,(AN96-IF(5=D96,1,0))*VLOOKUP(INDEX('章节与怪物'!$E$31:$K$37,B96,5),'章节与怪物'!$A$41:$F$44,4,FALSE)+IF(5=D96,'难度参数'!$E$30,0))</x:f>
        <x:v>432</x:v>
      </x:c>
      <x:c r="AR96" s="119" t="n">
        <x:f>IF(6&gt;D96,0,MAX(2,MIN('难度参数'!$E$12,ROUND(('难度参数'!$E$18*POWER(A96,'难度参数'!$E$19)/D96*(0.85+0.3*(6-1)/MAX(1,D96-1))),0)+F96)))</x:f>
        <x:v>25</x:v>
      </x:c>
      <x:c r="AS96" s="119" t="n">
        <x:f>IF(6&gt;D96,0,ROUND(('难度参数'!$E$13*POWER(A96,'难度参数'!$E$20)*MIN('难度参数'!$E$23,1+MAX(0,A96-'难度参数'!$E$21)*'难度参数'!$E$22))*(36+6*7)/(36+7*(D96+1)/2)*E96,0))</x:f>
        <x:v>3765</x:v>
      </x:c>
      <x:c r="AT96" s="119" t="n">
        <x:f>IF(AR96=0,0,(AR96-IF(6=D96,1,0))*ROUND(AS96*VLOOKUP(INDEX('章节与怪物'!$E$31:$K$37,B96,6),'章节与怪物'!$A$41:$F$44,2,FALSE),0)+IF(6=D96,ROUND(AS96*'难度参数'!$E$28*'章节与怪物'!$E$17,0),0))</x:f>
        <x:v>67775</x:v>
      </x:c>
      <x:c r="AU96" s="119" t="n">
        <x:f>IF(AR96=0,0,(AR96-IF(6=D96,1,0))*VLOOKUP(INDEX('章节与怪物'!$E$31:$K$37,B96,6),'章节与怪物'!$A$41:$F$44,4,FALSE)+IF(6=D96,'难度参数'!$E$30,0))</x:f>
        <x:v>500</x:v>
      </x:c>
      <x:c r="AV96" s="119" t="n">
        <x:f>IF(7&gt;D96,0,MAX(2,MIN('难度参数'!$E$12,ROUND(('难度参数'!$E$18*POWER(A96,'难度参数'!$E$19)/D96*(0.85+0.3*(7-1)/MAX(1,D96-1))),0)+F96)))</x:f>
        <x:v>26</x:v>
      </x:c>
      <x:c r="AW96" s="119" t="n">
        <x:f>IF(7&gt;D96,0,ROUND(('难度参数'!$E$13*POWER(A96,'难度参数'!$E$20)*MIN('难度参数'!$E$23,1+MAX(0,A96-'难度参数'!$E$21)*'难度参数'!$E$22))*(36+7*7)/(36+7*(D96+1)/2)*E96,0))</x:f>
        <x:v>4103</x:v>
      </x:c>
      <x:c r="AX96" s="119" t="n">
        <x:f>IF(AV96=0,0,(AV96-IF(7=D96,1,0))*ROUND(AW96*VLOOKUP(INDEX('章节与怪物'!$E$31:$K$37,B96,7),'章节与怪物'!$A$41:$F$44,2,FALSE),0)+IF(7=D96,ROUND(AW96*'难度参数'!$E$28*'章节与怪物'!$E$17,0),0))</x:f>
        <x:v>166375</x:v>
      </x:c>
      <x:c r="AY96" s="119" t="n">
        <x:f>IF(AV96=0,0,(AV96-IF(7=D96,1,0))*VLOOKUP(INDEX('章节与怪物'!$E$31:$K$37,B96,7),'章节与怪物'!$A$41:$F$44,4,FALSE)+IF(7=D96,'难度参数'!$E$30,0))</x:f>
        <x:v>1050</x:v>
      </x:c>
    </x:row>
    <x:row r="97" ht="23" customHeight="1">
      <x:c r="A97" s="119" t="n">
        <x:v>91</x:v>
      </x:c>
      <x:c r="B97" s="119" t="n">
        <x:f>MOD(INT((A97-1)/5),7)+1</x:f>
        <x:v>5</x:v>
      </x:c>
      <x:c r="C97" s="62" t="str">
        <x:f>INDEX('章节与怪物'!$B$31:$B$37,B97)</x:f>
        <x:v>雨林遗迹</x:v>
      </x:c>
      <x:c r="D97" s="119" t="n">
        <x:f>MIN('难度参数'!$E$8,MAX('难度参数'!$E$7,A97))</x:f>
        <x:v>7</x:v>
      </x:c>
      <x:c r="E97" s="106" t="n">
        <x:v>1</x:v>
      </x:c>
      <x:c r="F97" s="106" t="n">
        <x:v>0</x:v>
      </x:c>
      <x:c r="G97" s="106" t="n">
        <x:v>1</x:v>
      </x:c>
      <x:c r="H97" s="119" t="n">
        <x:f>SUM(X97,AB97,AF97,AJ97,AN97,AR97,AV97)</x:f>
        <x:v>160</x:v>
      </x:c>
      <x:c r="I97" s="119" t="n">
        <x:f>SUM(Z97,AD97,AH97,AL97,AP97,AT97,AX97)</x:f>
        <x:v>667261</x:v>
      </x:c>
      <x:c r="J97" s="119" t="n">
        <x:f>ROUND(INDEX(X97:AY97,1,(D97-1)*4+2)*'难度参数'!$E$28*'章节与怪物'!$E$17,0)</x:f>
        <x:v>28193</x:v>
      </x:c>
      <x:c r="K97" s="119" t="n">
        <x:f>SUM(AA97,AE97,AI97,AM97,AQ97,AU97,AY97)</x:f>
        <x:v>4390</x:v>
      </x:c>
      <x:c r="L97" s="62" t="n">
        <x:f>H97*(ROUNDUP('难度参数'!$E$24/('难度参数'!$E$26*'难度参数'!$E$27),0)*'难度参数'!$E$26)/60</x:f>
        <x:v>2.1333333333333333</x:v>
      </x:c>
      <x:c r="M97" s="62" t="n">
        <x:f>L97+D97*('难度参数'!$E$49+'难度参数'!$E$50)/60</x:f>
        <x:v>3.3</x:v>
      </x:c>
      <x:c r="N97" s="119" t="n">
        <x:f>ROUNDDOWN(('经济参数'!$E$20+A97*'经济参数'!$E$21)*G97,0)</x:f>
        <x:v>2000</x:v>
      </x:c>
      <x:c r="O97" s="119" t="n">
        <x:f>ROUNDDOWN(MIN('经济参数'!$E$24,'经济参数'!$E$22+A97*'经济参数'!$E$23)*G97,0)</x:f>
        <x:v>0</x:v>
      </x:c>
      <x:c r="P97" s="119" t="n">
        <x:f>ROUNDDOWN((IF(A97&gt;='材料与任务'!$E$31,'材料与任务'!$E$32,IF(A97&gt;='材料与任务'!$E$25,'材料与任务'!$E$26,IF(A97&gt;='材料与任务'!$E$19,'材料与任务'!$E$20,IF(A97&gt;='材料与任务'!$E$13,'材料与任务'!$E$14,'材料与任务'!$E$8)))))*G97,0)</x:f>
        <x:v>5</x:v>
      </x:c>
      <x:c r="Q97" s="119" t="n">
        <x:f>ROUNDDOWN((IF(A97&gt;='材料与任务'!$E$31,'材料与任务'!$E$33,IF(A97&gt;='材料与任务'!$E$25,'材料与任务'!$E$27,IF(A97&gt;='材料与任务'!$E$19,'材料与任务'!$E$21,IF(A97&gt;='材料与任务'!$E$13,'材料与任务'!$E$15,'材料与任务'!$E$9)))))*G97,0)</x:f>
        <x:v>2</x:v>
      </x:c>
      <x:c r="R97" s="110" t="n">
        <x:f>'装备掉落'!$B$38</x:f>
        <x:v>0.6872058758851213</x:v>
      </x:c>
      <x:c r="S97" s="119" t="n">
        <x:f>MAX(IF(VLOOKUP(A97,'装备掉落'!$A$29:$H$34,2,TRUE)&gt;0,1,0),IF(VLOOKUP(A97,'装备掉落'!$A$29:$H$34,3,TRUE)&gt;0,2,0),IF(VLOOKUP(A97,'装备掉落'!$A$29:$H$34,4,TRUE)&gt;0,3,0),IF(VLOOKUP(A97,'装备掉落'!$A$29:$H$34,5,TRUE)&gt;0,4,0),IF(VLOOKUP(A97,'装备掉落'!$A$29:$H$34,6,TRUE)&gt;0,5,0),IF(VLOOKUP(A97,'装备掉落'!$A$29:$H$34,7,TRUE)&gt;0,6,0),IF(VLOOKUP(A97,'装备掉落'!$A$29:$H$34,8,TRUE)&gt;0,7,0))</x:f>
        <x:v>7</x:v>
      </x:c>
      <x:c r="T97" s="119" t="n">
        <x:f>MIN(7,S97+'经济参数'!$E$70)</x:f>
        <x:v>7</x:v>
      </x:c>
      <x:c r="U97" s="119" t="n">
        <x:f>MIN(7,S97+'经济参数'!$E$71)</x:f>
        <x:v>7</x:v>
      </x:c>
      <x:c r="V97" s="119" t="n">
        <x:f>IF(H97&gt;=('难度参数'!$E$52),1,0)+IF(H97&gt;=('难度参数'!$E$52+'难度参数'!$E$53),1,0)+IF(H97&gt;=('难度参数'!$E$52+'难度参数'!$E$53+'难度参数'!$E$54),1,0)+IF(H97&gt;=('难度参数'!$E$52+'难度参数'!$E$53+'难度参数'!$E$54+'难度参数'!$E$55),1,0)+IF(H97&gt;=('难度参数'!$E$52+'难度参数'!$E$53+'难度参数'!$E$54+'难度参数'!$E$55+'难度参数'!$E$56),1,0)+IF(H97&gt;=('难度参数'!$E$52+'难度参数'!$E$53+'难度参数'!$E$54+'难度参数'!$E$55+'难度参数'!$E$56+'难度参数'!$E$57),1,0)</x:f>
        <x:v>6</x:v>
      </x:c>
      <x:c r="W97" s="62" t="str">
        <x:f>IF(L97&gt;'难度参数'!$E$51,"仅出怪已超目标","还需实测")</x:f>
        <x:v>还需实测</x:v>
      </x:c>
      <x:c r="X97" s="119" t="n">
        <x:f>IF(1&gt;D97,0,MAX(2,MIN('难度参数'!$E$12,ROUND(('难度参数'!$E$18*POWER(A97,'难度参数'!$E$19)/D97*(0.85+0.3*(1-1)/MAX(1,D97-1))),0)+F97)))</x:f>
        <x:v>19</x:v>
      </x:c>
      <x:c r="Y97" s="119" t="n">
        <x:f>IF(1&gt;D97,0,ROUND(('难度参数'!$E$13*POWER(A97,'难度参数'!$E$20)*MIN('难度参数'!$E$23,1+MAX(0,A97-'难度参数'!$E$21)*'难度参数'!$E$22))*(36+1*7)/(36+7*(D97+1)/2)*E97,0))</x:f>
        <x:v>2097</x:v>
      </x:c>
      <x:c r="Z97" s="119" t="n">
        <x:f>IF(X97=0,0,(X97-IF(1=D97,1,0))*ROUND(Y97*VLOOKUP(INDEX('章节与怪物'!$E$31:$K$37,B97,1),'章节与怪物'!$A$41:$F$44,2,FALSE),0)+IF(1=D97,ROUND(Y97*'难度参数'!$E$28*'章节与怪物'!$E$17,0),0))</x:f>
        <x:v>39843</x:v>
      </x:c>
      <x:c r="AA97" s="119" t="n">
        <x:f>IF(X97=0,0,(X97-IF(1=D97,1,0))*VLOOKUP(INDEX('章节与怪物'!$E$31:$K$37,B97,1),'章节与怪物'!$A$41:$F$44,4,FALSE)+IF(1=D97,'难度参数'!$E$30,0))</x:f>
        <x:v>342</x:v>
      </x:c>
      <x:c r="AB97" s="119" t="n">
        <x:f>IF(2&gt;D97,0,MAX(2,MIN('难度参数'!$E$12,ROUND(('难度参数'!$E$18*POWER(A97,'难度参数'!$E$19)/D97*(0.85+0.3*(2-1)/MAX(1,D97-1))),0)+F97)))</x:f>
        <x:v>21</x:v>
      </x:c>
      <x:c r="AC97" s="119" t="n">
        <x:f>IF(2&gt;D97,0,ROUND(('难度参数'!$E$13*POWER(A97,'难度参数'!$E$20)*MIN('难度参数'!$E$23,1+MAX(0,A97-'难度参数'!$E$21)*'难度参数'!$E$22))*(36+2*7)/(36+7*(D97+1)/2)*E97,0))</x:f>
        <x:v>2439</x:v>
      </x:c>
      <x:c r="AD97" s="119" t="n">
        <x:f>IF(AB97=0,0,(AB97-IF(2=D97,1,0))*ROUND(AC97*VLOOKUP(INDEX('章节与怪物'!$E$31:$K$37,B97,2),'章节与怪物'!$A$41:$F$44,2,FALSE),0)+IF(2=D97,ROUND(AC97*'难度参数'!$E$28*'章节与怪物'!$E$17,0),0))</x:f>
        <x:v>36876</x:v>
      </x:c>
      <x:c r="AE97" s="119" t="n">
        <x:f>IF(AB97=0,0,(AB97-IF(2=D97,1,0))*VLOOKUP(INDEX('章节与怪物'!$E$31:$K$37,B97,2),'章节与怪物'!$A$41:$F$44,4,FALSE)+IF(2=D97,'难度参数'!$E$30,0))</x:f>
        <x:v>420</x:v>
      </x:c>
      <x:c r="AF97" s="119" t="n">
        <x:f>IF(3&gt;D97,0,MAX(2,MIN('难度参数'!$E$12,ROUND(('难度参数'!$E$18*POWER(A97,'难度参数'!$E$19)/D97*(0.85+0.3*(3-1)/MAX(1,D97-1))),0)+F97)))</x:f>
        <x:v>22</x:v>
      </x:c>
      <x:c r="AG97" s="119" t="n">
        <x:f>IF(3&gt;D97,0,ROUND(('难度参数'!$E$13*POWER(A97,'难度参数'!$E$20)*MIN('难度参数'!$E$23,1+MAX(0,A97-'难度参数'!$E$21)*'难度参数'!$E$22))*(36+3*7)/(36+7*(D97+1)/2)*E97,0))</x:f>
        <x:v>2780</x:v>
      </x:c>
      <x:c r="AH97" s="119" t="n">
        <x:f>IF(AF97=0,0,(AF97-IF(3=D97,1,0))*ROUND(AG97*VLOOKUP(INDEX('章节与怪物'!$E$31:$K$37,B97,3),'章节与怪物'!$A$41:$F$44,2,FALSE),0)+IF(3=D97,ROUND(AG97*'难度参数'!$E$28*'章节与怪物'!$E$17,0),0))</x:f>
        <x:v>103972</x:v>
      </x:c>
      <x:c r="AI97" s="119" t="n">
        <x:f>IF(AF97=0,0,(AF97-IF(3=D97,1,0))*VLOOKUP(INDEX('章节与怪物'!$E$31:$K$37,B97,3),'章节与怪物'!$A$41:$F$44,4,FALSE)+IF(3=D97,'难度参数'!$E$30,0))</x:f>
        <x:v>616</x:v>
      </x:c>
      <x:c r="AJ97" s="119" t="n">
        <x:f>IF(4&gt;D97,0,MAX(2,MIN('难度参数'!$E$12,ROUND(('难度参数'!$E$18*POWER(A97,'难度参数'!$E$19)/D97*(0.85+0.3*(4-1)/MAX(1,D97-1))),0)+F97)))</x:f>
        <x:v>23</x:v>
      </x:c>
      <x:c r="AK97" s="119" t="n">
        <x:f>IF(4&gt;D97,0,ROUND(('难度参数'!$E$13*POWER(A97,'难度参数'!$E$20)*MIN('难度参数'!$E$23,1+MAX(0,A97-'难度参数'!$E$21)*'难度参数'!$E$22))*(36+4*7)/(36+7*(D97+1)/2)*E97,0))</x:f>
        <x:v>3122</x:v>
      </x:c>
      <x:c r="AL97" s="119" t="n">
        <x:f>IF(AJ97=0,0,(AJ97-IF(4=D97,1,0))*ROUND(AK97*VLOOKUP(INDEX('章节与怪物'!$E$31:$K$37,B97,4),'章节与怪物'!$A$41:$F$44,2,FALSE),0)+IF(4=D97,ROUND(AK97*'难度参数'!$E$28*'章节与怪物'!$E$17,0),0))</x:f>
        <x:v>96945</x:v>
      </x:c>
      <x:c r="AM97" s="119" t="n">
        <x:f>IF(AJ97=0,0,(AJ97-IF(4=D97,1,0))*VLOOKUP(INDEX('章节与怪物'!$E$31:$K$37,B97,4),'章节与怪物'!$A$41:$F$44,4,FALSE)+IF(4=D97,'难度参数'!$E$30,0))</x:f>
        <x:v>782</x:v>
      </x:c>
      <x:c r="AN97" s="119" t="n">
        <x:f>IF(5&gt;D97,0,MAX(2,MIN('难度参数'!$E$12,ROUND(('难度参数'!$E$18*POWER(A97,'难度参数'!$E$19)/D97*(0.85+0.3*(5-1)/MAX(1,D97-1))),0)+F97)))</x:f>
        <x:v>24</x:v>
      </x:c>
      <x:c r="AO97" s="119" t="n">
        <x:f>IF(5&gt;D97,0,ROUND(('难度参数'!$E$13*POWER(A97,'难度参数'!$E$20)*MIN('难度参数'!$E$23,1+MAX(0,A97-'难度参数'!$E$21)*'难度参数'!$E$22))*(36+5*7)/(36+7*(D97+1)/2)*E97,0))</x:f>
        <x:v>3463</x:v>
      </x:c>
      <x:c r="AP97" s="119" t="n">
        <x:f>IF(AN97=0,0,(AN97-IF(5=D97,1,0))*ROUND(AO97*VLOOKUP(INDEX('章节与怪物'!$E$31:$K$37,B97,5),'章节与怪物'!$A$41:$F$44,2,FALSE),0)+IF(5=D97,ROUND(AO97*'难度参数'!$E$28*'章节与怪物'!$E$17,0),0))</x:f>
        <x:v>59832</x:v>
      </x:c>
      <x:c r="AQ97" s="119" t="n">
        <x:f>IF(AN97=0,0,(AN97-IF(5=D97,1,0))*VLOOKUP(INDEX('章节与怪物'!$E$31:$K$37,B97,5),'章节与怪物'!$A$41:$F$44,4,FALSE)+IF(5=D97,'难度参数'!$E$30,0))</x:f>
        <x:v>480</x:v>
      </x:c>
      <x:c r="AR97" s="119" t="n">
        <x:f>IF(6&gt;D97,0,MAX(2,MIN('难度参数'!$E$12,ROUND(('难度参数'!$E$18*POWER(A97,'难度参数'!$E$19)/D97*(0.85+0.3*(6-1)/MAX(1,D97-1))),0)+F97)))</x:f>
        <x:v>25</x:v>
      </x:c>
      <x:c r="AS97" s="119" t="n">
        <x:f>IF(6&gt;D97,0,ROUND(('难度参数'!$E$13*POWER(A97,'难度参数'!$E$20)*MIN('难度参数'!$E$23,1+MAX(0,A97-'难度参数'!$E$21)*'难度参数'!$E$22))*(36+6*7)/(36+7*(D97+1)/2)*E97,0))</x:f>
        <x:v>3804</x:v>
      </x:c>
      <x:c r="AT97" s="119" t="n">
        <x:f>IF(AR97=0,0,(AR97-IF(6=D97,1,0))*ROUND(AS97*VLOOKUP(INDEX('章节与怪物'!$E$31:$K$37,B97,6),'章节与怪物'!$A$41:$F$44,2,FALSE),0)+IF(6=D97,ROUND(AS97*'难度参数'!$E$28*'章节与怪物'!$E$17,0),0))</x:f>
        <x:v>161675</x:v>
      </x:c>
      <x:c r="AU97" s="119" t="n">
        <x:f>IF(AR97=0,0,(AR97-IF(6=D97,1,0))*VLOOKUP(INDEX('章节与怪物'!$E$31:$K$37,B97,6),'章节与怪物'!$A$41:$F$44,4,FALSE)+IF(6=D97,'难度参数'!$E$30,0))</x:f>
        <x:v>700</x:v>
      </x:c>
      <x:c r="AV97" s="119" t="n">
        <x:f>IF(7&gt;D97,0,MAX(2,MIN('难度参数'!$E$12,ROUND(('难度参数'!$E$18*POWER(A97,'难度参数'!$E$19)/D97*(0.85+0.3*(7-1)/MAX(1,D97-1))),0)+F97)))</x:f>
        <x:v>26</x:v>
      </x:c>
      <x:c r="AW97" s="119" t="n">
        <x:f>IF(7&gt;D97,0,ROUND(('难度参数'!$E$13*POWER(A97,'难度参数'!$E$20)*MIN('难度参数'!$E$23,1+MAX(0,A97-'难度参数'!$E$21)*'难度参数'!$E$22))*(36+7*7)/(36+7*(D97+1)/2)*E97,0))</x:f>
        <x:v>4146</x:v>
      </x:c>
      <x:c r="AX97" s="119" t="n">
        <x:f>IF(AV97=0,0,(AV97-IF(7=D97,1,0))*ROUND(AW97*VLOOKUP(INDEX('章节与怪物'!$E$31:$K$37,B97,7),'章节与怪物'!$A$41:$F$44,2,FALSE),0)+IF(7=D97,ROUND(AW97*'难度参数'!$E$28*'章节与怪物'!$E$17,0),0))</x:f>
        <x:v>168118</x:v>
      </x:c>
      <x:c r="AY97" s="119" t="n">
        <x:f>IF(AV97=0,0,(AV97-IF(7=D97,1,0))*VLOOKUP(INDEX('章节与怪物'!$E$31:$K$37,B97,7),'章节与怪物'!$A$41:$F$44,4,FALSE)+IF(7=D97,'难度参数'!$E$30,0))</x:f>
        <x:v>1050</x:v>
      </x:c>
    </x:row>
    <x:row r="98" ht="23" customHeight="1">
      <x:c r="A98" s="119" t="n">
        <x:v>92</x:v>
      </x:c>
      <x:c r="B98" s="119" t="n">
        <x:f>MOD(INT((A98-1)/5),7)+1</x:f>
        <x:v>5</x:v>
      </x:c>
      <x:c r="C98" s="62" t="str">
        <x:f>INDEX('章节与怪物'!$B$31:$B$37,B98)</x:f>
        <x:v>雨林遗迹</x:v>
      </x:c>
      <x:c r="D98" s="119" t="n">
        <x:f>MIN('难度参数'!$E$8,MAX('难度参数'!$E$7,A98))</x:f>
        <x:v>7</x:v>
      </x:c>
      <x:c r="E98" s="106" t="n">
        <x:v>1</x:v>
      </x:c>
      <x:c r="F98" s="106" t="n">
        <x:v>0</x:v>
      </x:c>
      <x:c r="G98" s="106" t="n">
        <x:v>1</x:v>
      </x:c>
      <x:c r="H98" s="119" t="n">
        <x:f>SUM(X98,AB98,AF98,AJ98,AN98,AR98,AV98)</x:f>
        <x:v>161</x:v>
      </x:c>
      <x:c r="I98" s="119" t="n">
        <x:f>SUM(Z98,AD98,AH98,AL98,AP98,AT98,AX98)</x:f>
        <x:v>676309</x:v>
      </x:c>
      <x:c r="J98" s="119" t="n">
        <x:f>ROUND(INDEX(X98:AY98,1,(D98-1)*4+2)*'难度参数'!$E$28*'章节与怪物'!$E$17,0)</x:f>
        <x:v>28485</x:v>
      </x:c>
      <x:c r="K98" s="119" t="n">
        <x:f>SUM(AA98,AE98,AI98,AM98,AQ98,AU98,AY98)</x:f>
        <x:v>4408</x:v>
      </x:c>
      <x:c r="L98" s="62" t="n">
        <x:f>H98*(ROUNDUP('难度参数'!$E$24/('难度参数'!$E$26*'难度参数'!$E$27),0)*'难度参数'!$E$26)/60</x:f>
        <x:v>2.146666666666667</x:v>
      </x:c>
      <x:c r="M98" s="62" t="n">
        <x:f>L98+D98*('难度参数'!$E$49+'难度参数'!$E$50)/60</x:f>
        <x:v>3.3133333333333335</x:v>
      </x:c>
      <x:c r="N98" s="119" t="n">
        <x:f>ROUNDDOWN(('经济参数'!$E$20+A98*'经济参数'!$E$21)*G98,0)</x:f>
        <x:v>2020</x:v>
      </x:c>
      <x:c r="O98" s="119" t="n">
        <x:f>ROUNDDOWN(MIN('经济参数'!$E$24,'经济参数'!$E$22+A98*'经济参数'!$E$23)*G98,0)</x:f>
        <x:v>0</x:v>
      </x:c>
      <x:c r="P98" s="119" t="n">
        <x:f>ROUNDDOWN((IF(A98&gt;='材料与任务'!$E$31,'材料与任务'!$E$32,IF(A98&gt;='材料与任务'!$E$25,'材料与任务'!$E$26,IF(A98&gt;='材料与任务'!$E$19,'材料与任务'!$E$20,IF(A98&gt;='材料与任务'!$E$13,'材料与任务'!$E$14,'材料与任务'!$E$8)))))*G98,0)</x:f>
        <x:v>5</x:v>
      </x:c>
      <x:c r="Q98" s="119" t="n">
        <x:f>ROUNDDOWN((IF(A98&gt;='材料与任务'!$E$31,'材料与任务'!$E$33,IF(A98&gt;='材料与任务'!$E$25,'材料与任务'!$E$27,IF(A98&gt;='材料与任务'!$E$19,'材料与任务'!$E$21,IF(A98&gt;='材料与任务'!$E$13,'材料与任务'!$E$15,'材料与任务'!$E$9)))))*G98,0)</x:f>
        <x:v>2</x:v>
      </x:c>
      <x:c r="R98" s="110" t="n">
        <x:f>'装备掉落'!$B$38</x:f>
        <x:v>0.6872058758851213</x:v>
      </x:c>
      <x:c r="S98" s="119" t="n">
        <x:f>MAX(IF(VLOOKUP(A98,'装备掉落'!$A$29:$H$34,2,TRUE)&gt;0,1,0),IF(VLOOKUP(A98,'装备掉落'!$A$29:$H$34,3,TRUE)&gt;0,2,0),IF(VLOOKUP(A98,'装备掉落'!$A$29:$H$34,4,TRUE)&gt;0,3,0),IF(VLOOKUP(A98,'装备掉落'!$A$29:$H$34,5,TRUE)&gt;0,4,0),IF(VLOOKUP(A98,'装备掉落'!$A$29:$H$34,6,TRUE)&gt;0,5,0),IF(VLOOKUP(A98,'装备掉落'!$A$29:$H$34,7,TRUE)&gt;0,6,0),IF(VLOOKUP(A98,'装备掉落'!$A$29:$H$34,8,TRUE)&gt;0,7,0))</x:f>
        <x:v>7</x:v>
      </x:c>
      <x:c r="T98" s="119" t="n">
        <x:f>MIN(7,S98+'经济参数'!$E$70)</x:f>
        <x:v>7</x:v>
      </x:c>
      <x:c r="U98" s="119" t="n">
        <x:f>MIN(7,S98+'经济参数'!$E$71)</x:f>
        <x:v>7</x:v>
      </x:c>
      <x:c r="V98" s="119" t="n">
        <x:f>IF(H98&gt;=('难度参数'!$E$52),1,0)+IF(H98&gt;=('难度参数'!$E$52+'难度参数'!$E$53),1,0)+IF(H98&gt;=('难度参数'!$E$52+'难度参数'!$E$53+'难度参数'!$E$54),1,0)+IF(H98&gt;=('难度参数'!$E$52+'难度参数'!$E$53+'难度参数'!$E$54+'难度参数'!$E$55),1,0)+IF(H98&gt;=('难度参数'!$E$52+'难度参数'!$E$53+'难度参数'!$E$54+'难度参数'!$E$55+'难度参数'!$E$56),1,0)+IF(H98&gt;=('难度参数'!$E$52+'难度参数'!$E$53+'难度参数'!$E$54+'难度参数'!$E$55+'难度参数'!$E$56+'难度参数'!$E$57),1,0)</x:f>
        <x:v>6</x:v>
      </x:c>
      <x:c r="W98" s="62" t="str">
        <x:f>IF(L98&gt;'难度参数'!$E$51,"仅出怪已超目标","还需实测")</x:f>
        <x:v>还需实测</x:v>
      </x:c>
      <x:c r="X98" s="119" t="n">
        <x:f>IF(1&gt;D98,0,MAX(2,MIN('难度参数'!$E$12,ROUND(('难度参数'!$E$18*POWER(A98,'难度参数'!$E$19)/D98*(0.85+0.3*(1-1)/MAX(1,D98-1))),0)+F98)))</x:f>
        <x:v>20</x:v>
      </x:c>
      <x:c r="Y98" s="119" t="n">
        <x:f>IF(1&gt;D98,0,ROUND(('难度参数'!$E$13*POWER(A98,'难度参数'!$E$20)*MIN('难度参数'!$E$23,1+MAX(0,A98-'难度参数'!$E$21)*'难度参数'!$E$22))*(36+1*7)/(36+7*(D98+1)/2)*E98,0))</x:f>
        <x:v>2119</x:v>
      </x:c>
      <x:c r="Z98" s="119" t="n">
        <x:f>IF(X98=0,0,(X98-IF(1=D98,1,0))*ROUND(Y98*VLOOKUP(INDEX('章节与怪物'!$E$31:$K$37,B98,1),'章节与怪物'!$A$41:$F$44,2,FALSE),0)+IF(1=D98,ROUND(Y98*'难度参数'!$E$28*'章节与怪物'!$E$17,0),0))</x:f>
        <x:v>42380</x:v>
      </x:c>
      <x:c r="AA98" s="119" t="n">
        <x:f>IF(X98=0,0,(X98-IF(1=D98,1,0))*VLOOKUP(INDEX('章节与怪物'!$E$31:$K$37,B98,1),'章节与怪物'!$A$41:$F$44,4,FALSE)+IF(1=D98,'难度参数'!$E$30,0))</x:f>
        <x:v>360</x:v>
      </x:c>
      <x:c r="AB98" s="119" t="n">
        <x:f>IF(2&gt;D98,0,MAX(2,MIN('难度参数'!$E$12,ROUND(('难度参数'!$E$18*POWER(A98,'难度参数'!$E$19)/D98*(0.85+0.3*(2-1)/MAX(1,D98-1))),0)+F98)))</x:f>
        <x:v>21</x:v>
      </x:c>
      <x:c r="AC98" s="119" t="n">
        <x:f>IF(2&gt;D98,0,ROUND(('难度参数'!$E$13*POWER(A98,'难度参数'!$E$20)*MIN('难度参数'!$E$23,1+MAX(0,A98-'难度参数'!$E$21)*'难度参数'!$E$22))*(36+2*7)/(36+7*(D98+1)/2)*E98,0))</x:f>
        <x:v>2464</x:v>
      </x:c>
      <x:c r="AD98" s="119" t="n">
        <x:f>IF(AB98=0,0,(AB98-IF(2=D98,1,0))*ROUND(AC98*VLOOKUP(INDEX('章节与怪物'!$E$31:$K$37,B98,2),'章节与怪物'!$A$41:$F$44,2,FALSE),0)+IF(2=D98,ROUND(AC98*'难度参数'!$E$28*'章节与怪物'!$E$17,0),0))</x:f>
        <x:v>37254</x:v>
      </x:c>
      <x:c r="AE98" s="119" t="n">
        <x:f>IF(AB98=0,0,(AB98-IF(2=D98,1,0))*VLOOKUP(INDEX('章节与怪物'!$E$31:$K$37,B98,2),'章节与怪物'!$A$41:$F$44,4,FALSE)+IF(2=D98,'难度参数'!$E$30,0))</x:f>
        <x:v>420</x:v>
      </x:c>
      <x:c r="AF98" s="119" t="n">
        <x:f>IF(3&gt;D98,0,MAX(2,MIN('难度参数'!$E$12,ROUND(('难度参数'!$E$18*POWER(A98,'难度参数'!$E$19)/D98*(0.85+0.3*(3-1)/MAX(1,D98-1))),0)+F98)))</x:f>
        <x:v>22</x:v>
      </x:c>
      <x:c r="AG98" s="119" t="n">
        <x:f>IF(3&gt;D98,0,ROUND(('难度参数'!$E$13*POWER(A98,'难度参数'!$E$20)*MIN('难度参数'!$E$23,1+MAX(0,A98-'难度参数'!$E$21)*'难度参数'!$E$22))*(36+3*7)/(36+7*(D98+1)/2)*E98,0))</x:f>
        <x:v>2809</x:v>
      </x:c>
      <x:c r="AH98" s="119" t="n">
        <x:f>IF(AF98=0,0,(AF98-IF(3=D98,1,0))*ROUND(AG98*VLOOKUP(INDEX('章节与怪物'!$E$31:$K$37,B98,3),'章节与怪物'!$A$41:$F$44,2,FALSE),0)+IF(3=D98,ROUND(AG98*'难度参数'!$E$28*'章节与怪物'!$E$17,0),0))</x:f>
        <x:v>105050</x:v>
      </x:c>
      <x:c r="AI98" s="119" t="n">
        <x:f>IF(AF98=0,0,(AF98-IF(3=D98,1,0))*VLOOKUP(INDEX('章节与怪物'!$E$31:$K$37,B98,3),'章节与怪物'!$A$41:$F$44,4,FALSE)+IF(3=D98,'难度参数'!$E$30,0))</x:f>
        <x:v>616</x:v>
      </x:c>
      <x:c r="AJ98" s="119" t="n">
        <x:f>IF(4&gt;D98,0,MAX(2,MIN('难度参数'!$E$12,ROUND(('难度参数'!$E$18*POWER(A98,'难度参数'!$E$19)/D98*(0.85+0.3*(4-1)/MAX(1,D98-1))),0)+F98)))</x:f>
        <x:v>23</x:v>
      </x:c>
      <x:c r="AK98" s="119" t="n">
        <x:f>IF(4&gt;D98,0,ROUND(('难度参数'!$E$13*POWER(A98,'难度参数'!$E$20)*MIN('难度参数'!$E$23,1+MAX(0,A98-'难度参数'!$E$21)*'难度参数'!$E$22))*(36+4*7)/(36+7*(D98+1)/2)*E98,0))</x:f>
        <x:v>3154</x:v>
      </x:c>
      <x:c r="AL98" s="119" t="n">
        <x:f>IF(AJ98=0,0,(AJ98-IF(4=D98,1,0))*ROUND(AK98*VLOOKUP(INDEX('章节与怪物'!$E$31:$K$37,B98,4),'章节与怪物'!$A$41:$F$44,2,FALSE),0)+IF(4=D98,ROUND(AK98*'难度参数'!$E$28*'章节与怪物'!$E$17,0),0))</x:f>
        <x:v>97934</x:v>
      </x:c>
      <x:c r="AM98" s="119" t="n">
        <x:f>IF(AJ98=0,0,(AJ98-IF(4=D98,1,0))*VLOOKUP(INDEX('章节与怪物'!$E$31:$K$37,B98,4),'章节与怪物'!$A$41:$F$44,4,FALSE)+IF(4=D98,'难度参数'!$E$30,0))</x:f>
        <x:v>782</x:v>
      </x:c>
      <x:c r="AN98" s="119" t="n">
        <x:f>IF(5&gt;D98,0,MAX(2,MIN('难度参数'!$E$12,ROUND(('难度参数'!$E$18*POWER(A98,'难度参数'!$E$19)/D98*(0.85+0.3*(5-1)/MAX(1,D98-1))),0)+F98)))</x:f>
        <x:v>24</x:v>
      </x:c>
      <x:c r="AO98" s="119" t="n">
        <x:f>IF(5&gt;D98,0,ROUND(('难度参数'!$E$13*POWER(A98,'难度参数'!$E$20)*MIN('难度参数'!$E$23,1+MAX(0,A98-'难度参数'!$E$21)*'难度参数'!$E$22))*(36+5*7)/(36+7*(D98+1)/2)*E98,0))</x:f>
        <x:v>3499</x:v>
      </x:c>
      <x:c r="AP98" s="119" t="n">
        <x:f>IF(AN98=0,0,(AN98-IF(5=D98,1,0))*ROUND(AO98*VLOOKUP(INDEX('章节与怪物'!$E$31:$K$37,B98,5),'章节与怪物'!$A$41:$F$44,2,FALSE),0)+IF(5=D98,ROUND(AO98*'难度参数'!$E$28*'章节与怪物'!$E$17,0),0))</x:f>
        <x:v>60456</x:v>
      </x:c>
      <x:c r="AQ98" s="119" t="n">
        <x:f>IF(AN98=0,0,(AN98-IF(5=D98,1,0))*VLOOKUP(INDEX('章节与怪物'!$E$31:$K$37,B98,5),'章节与怪物'!$A$41:$F$44,4,FALSE)+IF(5=D98,'难度参数'!$E$30,0))</x:f>
        <x:v>480</x:v>
      </x:c>
      <x:c r="AR98" s="119" t="n">
        <x:f>IF(6&gt;D98,0,MAX(2,MIN('难度参数'!$E$12,ROUND(('难度参数'!$E$18*POWER(A98,'难度参数'!$E$19)/D98*(0.85+0.3*(6-1)/MAX(1,D98-1))),0)+F98)))</x:f>
        <x:v>25</x:v>
      </x:c>
      <x:c r="AS98" s="119" t="n">
        <x:f>IF(6&gt;D98,0,ROUND(('难度参数'!$E$13*POWER(A98,'难度参数'!$E$20)*MIN('难度参数'!$E$23,1+MAX(0,A98-'难度参数'!$E$21)*'难度参数'!$E$22))*(36+6*7)/(36+7*(D98+1)/2)*E98,0))</x:f>
        <x:v>3844</x:v>
      </x:c>
      <x:c r="AT98" s="119" t="n">
        <x:f>IF(AR98=0,0,(AR98-IF(6=D98,1,0))*ROUND(AS98*VLOOKUP(INDEX('章节与怪物'!$E$31:$K$37,B98,6),'章节与怪物'!$A$41:$F$44,2,FALSE),0)+IF(6=D98,ROUND(AS98*'难度参数'!$E$28*'章节与怪物'!$E$17,0),0))</x:f>
        <x:v>163375</x:v>
      </x:c>
      <x:c r="AU98" s="119" t="n">
        <x:f>IF(AR98=0,0,(AR98-IF(6=D98,1,0))*VLOOKUP(INDEX('章节与怪物'!$E$31:$K$37,B98,6),'章节与怪物'!$A$41:$F$44,4,FALSE)+IF(6=D98,'难度参数'!$E$30,0))</x:f>
        <x:v>700</x:v>
      </x:c>
      <x:c r="AV98" s="119" t="n">
        <x:f>IF(7&gt;D98,0,MAX(2,MIN('难度参数'!$E$12,ROUND(('难度参数'!$E$18*POWER(A98,'难度参数'!$E$19)/D98*(0.85+0.3*(7-1)/MAX(1,D98-1))),0)+F98)))</x:f>
        <x:v>26</x:v>
      </x:c>
      <x:c r="AW98" s="119" t="n">
        <x:f>IF(7&gt;D98,0,ROUND(('难度参数'!$E$13*POWER(A98,'难度参数'!$E$20)*MIN('难度参数'!$E$23,1+MAX(0,A98-'难度参数'!$E$21)*'难度参数'!$E$22))*(36+7*7)/(36+7*(D98+1)/2)*E98,0))</x:f>
        <x:v>4189</x:v>
      </x:c>
      <x:c r="AX98" s="119" t="n">
        <x:f>IF(AV98=0,0,(AV98-IF(7=D98,1,0))*ROUND(AW98*VLOOKUP(INDEX('章节与怪物'!$E$31:$K$37,B98,7),'章节与怪物'!$A$41:$F$44,2,FALSE),0)+IF(7=D98,ROUND(AW98*'难度参数'!$E$28*'章节与怪物'!$E$17,0),0))</x:f>
        <x:v>169860</x:v>
      </x:c>
      <x:c r="AY98" s="119" t="n">
        <x:f>IF(AV98=0,0,(AV98-IF(7=D98,1,0))*VLOOKUP(INDEX('章节与怪物'!$E$31:$K$37,B98,7),'章节与怪物'!$A$41:$F$44,4,FALSE)+IF(7=D98,'难度参数'!$E$30,0))</x:f>
        <x:v>1050</x:v>
      </x:c>
    </x:row>
    <x:row r="99" ht="23" customHeight="1">
      <x:c r="A99" s="119" t="n">
        <x:v>93</x:v>
      </x:c>
      <x:c r="B99" s="119" t="n">
        <x:f>MOD(INT((A99-1)/5),7)+1</x:f>
        <x:v>5</x:v>
      </x:c>
      <x:c r="C99" s="62" t="str">
        <x:f>INDEX('章节与怪物'!$B$31:$B$37,B99)</x:f>
        <x:v>雨林遗迹</x:v>
      </x:c>
      <x:c r="D99" s="119" t="n">
        <x:f>MIN('难度参数'!$E$8,MAX('难度参数'!$E$7,A99))</x:f>
        <x:v>7</x:v>
      </x:c>
      <x:c r="E99" s="106" t="n">
        <x:v>1</x:v>
      </x:c>
      <x:c r="F99" s="106" t="n">
        <x:v>0</x:v>
      </x:c>
      <x:c r="G99" s="106" t="n">
        <x:v>1</x:v>
      </x:c>
      <x:c r="H99" s="119" t="n">
        <x:f>SUM(X99,AB99,AF99,AJ99,AN99,AR99,AV99)</x:f>
        <x:v>161</x:v>
      </x:c>
      <x:c r="I99" s="119" t="n">
        <x:f>SUM(Z99,AD99,AH99,AL99,AP99,AT99,AX99)</x:f>
        <x:v>683283</x:v>
      </x:c>
      <x:c r="J99" s="119" t="n">
        <x:f>ROUND(INDEX(X99:AY99,1,(D99-1)*4+2)*'难度参数'!$E$28*'章节与怪物'!$E$17,0)</x:f>
        <x:v>28778</x:v>
      </x:c>
      <x:c r="K99" s="119" t="n">
        <x:f>SUM(AA99,AE99,AI99,AM99,AQ99,AU99,AY99)</x:f>
        <x:v>4408</x:v>
      </x:c>
      <x:c r="L99" s="62" t="n">
        <x:f>H99*(ROUNDUP('难度参数'!$E$24/('难度参数'!$E$26*'难度参数'!$E$27),0)*'难度参数'!$E$26)/60</x:f>
        <x:v>2.146666666666667</x:v>
      </x:c>
      <x:c r="M99" s="62" t="n">
        <x:f>L99+D99*('难度参数'!$E$49+'难度参数'!$E$50)/60</x:f>
        <x:v>3.3133333333333335</x:v>
      </x:c>
      <x:c r="N99" s="119" t="n">
        <x:f>ROUNDDOWN(('经济参数'!$E$20+A99*'经济参数'!$E$21)*G99,0)</x:f>
        <x:v>2040</x:v>
      </x:c>
      <x:c r="O99" s="119" t="n">
        <x:f>ROUNDDOWN(MIN('经济参数'!$E$24,'经济参数'!$E$22+A99*'经济参数'!$E$23)*G99,0)</x:f>
        <x:v>0</x:v>
      </x:c>
      <x:c r="P99" s="119" t="n">
        <x:f>ROUNDDOWN((IF(A99&gt;='材料与任务'!$E$31,'材料与任务'!$E$32,IF(A99&gt;='材料与任务'!$E$25,'材料与任务'!$E$26,IF(A99&gt;='材料与任务'!$E$19,'材料与任务'!$E$20,IF(A99&gt;='材料与任务'!$E$13,'材料与任务'!$E$14,'材料与任务'!$E$8)))))*G99,0)</x:f>
        <x:v>5</x:v>
      </x:c>
      <x:c r="Q99" s="119" t="n">
        <x:f>ROUNDDOWN((IF(A99&gt;='材料与任务'!$E$31,'材料与任务'!$E$33,IF(A99&gt;='材料与任务'!$E$25,'材料与任务'!$E$27,IF(A99&gt;='材料与任务'!$E$19,'材料与任务'!$E$21,IF(A99&gt;='材料与任务'!$E$13,'材料与任务'!$E$15,'材料与任务'!$E$9)))))*G99,0)</x:f>
        <x:v>2</x:v>
      </x:c>
      <x:c r="R99" s="110" t="n">
        <x:f>'装备掉落'!$B$38</x:f>
        <x:v>0.6872058758851213</x:v>
      </x:c>
      <x:c r="S99" s="119" t="n">
        <x:f>MAX(IF(VLOOKUP(A99,'装备掉落'!$A$29:$H$34,2,TRUE)&gt;0,1,0),IF(VLOOKUP(A99,'装备掉落'!$A$29:$H$34,3,TRUE)&gt;0,2,0),IF(VLOOKUP(A99,'装备掉落'!$A$29:$H$34,4,TRUE)&gt;0,3,0),IF(VLOOKUP(A99,'装备掉落'!$A$29:$H$34,5,TRUE)&gt;0,4,0),IF(VLOOKUP(A99,'装备掉落'!$A$29:$H$34,6,TRUE)&gt;0,5,0),IF(VLOOKUP(A99,'装备掉落'!$A$29:$H$34,7,TRUE)&gt;0,6,0),IF(VLOOKUP(A99,'装备掉落'!$A$29:$H$34,8,TRUE)&gt;0,7,0))</x:f>
        <x:v>7</x:v>
      </x:c>
      <x:c r="T99" s="119" t="n">
        <x:f>MIN(7,S99+'经济参数'!$E$70)</x:f>
        <x:v>7</x:v>
      </x:c>
      <x:c r="U99" s="119" t="n">
        <x:f>MIN(7,S99+'经济参数'!$E$71)</x:f>
        <x:v>7</x:v>
      </x:c>
      <x:c r="V99" s="119" t="n">
        <x:f>IF(H99&gt;=('难度参数'!$E$52),1,0)+IF(H99&gt;=('难度参数'!$E$52+'难度参数'!$E$53),1,0)+IF(H99&gt;=('难度参数'!$E$52+'难度参数'!$E$53+'难度参数'!$E$54),1,0)+IF(H99&gt;=('难度参数'!$E$52+'难度参数'!$E$53+'难度参数'!$E$54+'难度参数'!$E$55),1,0)+IF(H99&gt;=('难度参数'!$E$52+'难度参数'!$E$53+'难度参数'!$E$54+'难度参数'!$E$55+'难度参数'!$E$56),1,0)+IF(H99&gt;=('难度参数'!$E$52+'难度参数'!$E$53+'难度参数'!$E$54+'难度参数'!$E$55+'难度参数'!$E$56+'难度参数'!$E$57),1,0)</x:f>
        <x:v>6</x:v>
      </x:c>
      <x:c r="W99" s="62" t="str">
        <x:f>IF(L99&gt;'难度参数'!$E$51,"仅出怪已超目标","还需实测")</x:f>
        <x:v>还需实测</x:v>
      </x:c>
      <x:c r="X99" s="119" t="n">
        <x:f>IF(1&gt;D99,0,MAX(2,MIN('难度参数'!$E$12,ROUND(('难度参数'!$E$18*POWER(A99,'难度参数'!$E$19)/D99*(0.85+0.3*(1-1)/MAX(1,D99-1))),0)+F99)))</x:f>
        <x:v>20</x:v>
      </x:c>
      <x:c r="Y99" s="119" t="n">
        <x:f>IF(1&gt;D99,0,ROUND(('难度参数'!$E$13*POWER(A99,'难度参数'!$E$20)*MIN('难度参数'!$E$23,1+MAX(0,A99-'难度参数'!$E$21)*'难度参数'!$E$22))*(36+1*7)/(36+7*(D99+1)/2)*E99,0))</x:f>
        <x:v>2141</x:v>
      </x:c>
      <x:c r="Z99" s="119" t="n">
        <x:f>IF(X99=0,0,(X99-IF(1=D99,1,0))*ROUND(Y99*VLOOKUP(INDEX('章节与怪物'!$E$31:$K$37,B99,1),'章节与怪物'!$A$41:$F$44,2,FALSE),0)+IF(1=D99,ROUND(Y99*'难度参数'!$E$28*'章节与怪物'!$E$17,0),0))</x:f>
        <x:v>42820</x:v>
      </x:c>
      <x:c r="AA99" s="119" t="n">
        <x:f>IF(X99=0,0,(X99-IF(1=D99,1,0))*VLOOKUP(INDEX('章节与怪物'!$E$31:$K$37,B99,1),'章节与怪物'!$A$41:$F$44,4,FALSE)+IF(1=D99,'难度参数'!$E$30,0))</x:f>
        <x:v>360</x:v>
      </x:c>
      <x:c r="AB99" s="119" t="n">
        <x:f>IF(2&gt;D99,0,MAX(2,MIN('难度参数'!$E$12,ROUND(('难度参数'!$E$18*POWER(A99,'难度参数'!$E$19)/D99*(0.85+0.3*(2-1)/MAX(1,D99-1))),0)+F99)))</x:f>
        <x:v>21</x:v>
      </x:c>
      <x:c r="AC99" s="119" t="n">
        <x:f>IF(2&gt;D99,0,ROUND(('难度参数'!$E$13*POWER(A99,'难度参数'!$E$20)*MIN('难度参数'!$E$23,1+MAX(0,A99-'难度参数'!$E$21)*'难度参数'!$E$22))*(36+2*7)/(36+7*(D99+1)/2)*E99,0))</x:f>
        <x:v>2489</x:v>
      </x:c>
      <x:c r="AD99" s="119" t="n">
        <x:f>IF(AB99=0,0,(AB99-IF(2=D99,1,0))*ROUND(AC99*VLOOKUP(INDEX('章节与怪物'!$E$31:$K$37,B99,2),'章节与怪物'!$A$41:$F$44,2,FALSE),0)+IF(2=D99,ROUND(AC99*'难度参数'!$E$28*'章节与怪物'!$E$17,0),0))</x:f>
        <x:v>37632</x:v>
      </x:c>
      <x:c r="AE99" s="119" t="n">
        <x:f>IF(AB99=0,0,(AB99-IF(2=D99,1,0))*VLOOKUP(INDEX('章节与怪物'!$E$31:$K$37,B99,2),'章节与怪物'!$A$41:$F$44,4,FALSE)+IF(2=D99,'难度参数'!$E$30,0))</x:f>
        <x:v>420</x:v>
      </x:c>
      <x:c r="AF99" s="119" t="n">
        <x:f>IF(3&gt;D99,0,MAX(2,MIN('难度参数'!$E$12,ROUND(('难度参数'!$E$18*POWER(A99,'难度参数'!$E$19)/D99*(0.85+0.3*(3-1)/MAX(1,D99-1))),0)+F99)))</x:f>
        <x:v>22</x:v>
      </x:c>
      <x:c r="AG99" s="119" t="n">
        <x:f>IF(3&gt;D99,0,ROUND(('难度参数'!$E$13*POWER(A99,'难度参数'!$E$20)*MIN('难度参数'!$E$23,1+MAX(0,A99-'难度参数'!$E$21)*'难度参数'!$E$22))*(36+3*7)/(36+7*(D99+1)/2)*E99,0))</x:f>
        <x:v>2838</x:v>
      </x:c>
      <x:c r="AH99" s="119" t="n">
        <x:f>IF(AF99=0,0,(AF99-IF(3=D99,1,0))*ROUND(AG99*VLOOKUP(INDEX('章节与怪物'!$E$31:$K$37,B99,3),'章节与怪物'!$A$41:$F$44,2,FALSE),0)+IF(3=D99,ROUND(AG99*'难度参数'!$E$28*'章节与怪物'!$E$17,0),0))</x:f>
        <x:v>106150</x:v>
      </x:c>
      <x:c r="AI99" s="119" t="n">
        <x:f>IF(AF99=0,0,(AF99-IF(3=D99,1,0))*VLOOKUP(INDEX('章节与怪物'!$E$31:$K$37,B99,3),'章节与怪物'!$A$41:$F$44,4,FALSE)+IF(3=D99,'难度参数'!$E$30,0))</x:f>
        <x:v>616</x:v>
      </x:c>
      <x:c r="AJ99" s="119" t="n">
        <x:f>IF(4&gt;D99,0,MAX(2,MIN('难度参数'!$E$12,ROUND(('难度参数'!$E$18*POWER(A99,'难度参数'!$E$19)/D99*(0.85+0.3*(4-1)/MAX(1,D99-1))),0)+F99)))</x:f>
        <x:v>23</x:v>
      </x:c>
      <x:c r="AK99" s="119" t="n">
        <x:f>IF(4&gt;D99,0,ROUND(('难度参数'!$E$13*POWER(A99,'难度参数'!$E$20)*MIN('难度参数'!$E$23,1+MAX(0,A99-'难度参数'!$E$21)*'难度参数'!$E$22))*(36+4*7)/(36+7*(D99+1)/2)*E99,0))</x:f>
        <x:v>3186</x:v>
      </x:c>
      <x:c r="AL99" s="119" t="n">
        <x:f>IF(AJ99=0,0,(AJ99-IF(4=D99,1,0))*ROUND(AK99*VLOOKUP(INDEX('章节与怪物'!$E$31:$K$37,B99,4),'章节与怪物'!$A$41:$F$44,2,FALSE),0)+IF(4=D99,ROUND(AK99*'难度参数'!$E$28*'章节与怪物'!$E$17,0),0))</x:f>
        <x:v>98923</x:v>
      </x:c>
      <x:c r="AM99" s="119" t="n">
        <x:f>IF(AJ99=0,0,(AJ99-IF(4=D99,1,0))*VLOOKUP(INDEX('章节与怪物'!$E$31:$K$37,B99,4),'章节与怪物'!$A$41:$F$44,4,FALSE)+IF(4=D99,'难度参数'!$E$30,0))</x:f>
        <x:v>782</x:v>
      </x:c>
      <x:c r="AN99" s="119" t="n">
        <x:f>IF(5&gt;D99,0,MAX(2,MIN('难度参数'!$E$12,ROUND(('难度参数'!$E$18*POWER(A99,'难度参数'!$E$19)/D99*(0.85+0.3*(5-1)/MAX(1,D99-1))),0)+F99)))</x:f>
        <x:v>24</x:v>
      </x:c>
      <x:c r="AO99" s="119" t="n">
        <x:f>IF(5&gt;D99,0,ROUND(('难度参数'!$E$13*POWER(A99,'难度参数'!$E$20)*MIN('难度参数'!$E$23,1+MAX(0,A99-'难度参数'!$E$21)*'难度参数'!$E$22))*(36+5*7)/(36+7*(D99+1)/2)*E99,0))</x:f>
        <x:v>3535</x:v>
      </x:c>
      <x:c r="AP99" s="119" t="n">
        <x:f>IF(AN99=0,0,(AN99-IF(5=D99,1,0))*ROUND(AO99*VLOOKUP(INDEX('章节与怪物'!$E$31:$K$37,B99,5),'章节与怪物'!$A$41:$F$44,2,FALSE),0)+IF(5=D99,ROUND(AO99*'难度参数'!$E$28*'章节与怪物'!$E$17,0),0))</x:f>
        <x:v>61080</x:v>
      </x:c>
      <x:c r="AQ99" s="119" t="n">
        <x:f>IF(AN99=0,0,(AN99-IF(5=D99,1,0))*VLOOKUP(INDEX('章节与怪物'!$E$31:$K$37,B99,5),'章节与怪物'!$A$41:$F$44,4,FALSE)+IF(5=D99,'难度参数'!$E$30,0))</x:f>
        <x:v>480</x:v>
      </x:c>
      <x:c r="AR99" s="119" t="n">
        <x:f>IF(6&gt;D99,0,MAX(2,MIN('难度参数'!$E$12,ROUND(('难度参数'!$E$18*POWER(A99,'难度参数'!$E$19)/D99*(0.85+0.3*(6-1)/MAX(1,D99-1))),0)+F99)))</x:f>
        <x:v>25</x:v>
      </x:c>
      <x:c r="AS99" s="119" t="n">
        <x:f>IF(6&gt;D99,0,ROUND(('难度参数'!$E$13*POWER(A99,'难度参数'!$E$20)*MIN('难度参数'!$E$23,1+MAX(0,A99-'难度参数'!$E$21)*'难度参数'!$E$22))*(36+6*7)/(36+7*(D99+1)/2)*E99,0))</x:f>
        <x:v>3884</x:v>
      </x:c>
      <x:c r="AT99" s="119" t="n">
        <x:f>IF(AR99=0,0,(AR99-IF(6=D99,1,0))*ROUND(AS99*VLOOKUP(INDEX('章节与怪物'!$E$31:$K$37,B99,6),'章节与怪物'!$A$41:$F$44,2,FALSE),0)+IF(6=D99,ROUND(AS99*'难度参数'!$E$28*'章节与怪物'!$E$17,0),0))</x:f>
        <x:v>165075</x:v>
      </x:c>
      <x:c r="AU99" s="119" t="n">
        <x:f>IF(AR99=0,0,(AR99-IF(6=D99,1,0))*VLOOKUP(INDEX('章节与怪物'!$E$31:$K$37,B99,6),'章节与怪物'!$A$41:$F$44,4,FALSE)+IF(6=D99,'难度参数'!$E$30,0))</x:f>
        <x:v>700</x:v>
      </x:c>
      <x:c r="AV99" s="119" t="n">
        <x:f>IF(7&gt;D99,0,MAX(2,MIN('难度参数'!$E$12,ROUND(('难度参数'!$E$18*POWER(A99,'难度参数'!$E$19)/D99*(0.85+0.3*(7-1)/MAX(1,D99-1))),0)+F99)))</x:f>
        <x:v>26</x:v>
      </x:c>
      <x:c r="AW99" s="119" t="n">
        <x:f>IF(7&gt;D99,0,ROUND(('难度参数'!$E$13*POWER(A99,'难度参数'!$E$20)*MIN('难度参数'!$E$23,1+MAX(0,A99-'难度参数'!$E$21)*'难度参数'!$E$22))*(36+7*7)/(36+7*(D99+1)/2)*E99,0))</x:f>
        <x:v>4232</x:v>
      </x:c>
      <x:c r="AX99" s="119" t="n">
        <x:f>IF(AV99=0,0,(AV99-IF(7=D99,1,0))*ROUND(AW99*VLOOKUP(INDEX('章节与怪物'!$E$31:$K$37,B99,7),'章节与怪物'!$A$41:$F$44,2,FALSE),0)+IF(7=D99,ROUND(AW99*'难度参数'!$E$28*'章节与怪物'!$E$17,0),0))</x:f>
        <x:v>171603</x:v>
      </x:c>
      <x:c r="AY99" s="119" t="n">
        <x:f>IF(AV99=0,0,(AV99-IF(7=D99,1,0))*VLOOKUP(INDEX('章节与怪物'!$E$31:$K$37,B99,7),'章节与怪物'!$A$41:$F$44,4,FALSE)+IF(7=D99,'难度参数'!$E$30,0))</x:f>
        <x:v>1050</x:v>
      </x:c>
    </x:row>
    <x:row r="100" ht="23" customHeight="1">
      <x:c r="A100" s="119" t="n">
        <x:v>94</x:v>
      </x:c>
      <x:c r="B100" s="119" t="n">
        <x:f>MOD(INT((A100-1)/5),7)+1</x:f>
        <x:v>5</x:v>
      </x:c>
      <x:c r="C100" s="62" t="str">
        <x:f>INDEX('章节与怪物'!$B$31:$B$37,B100)</x:f>
        <x:v>雨林遗迹</x:v>
      </x:c>
      <x:c r="D100" s="119" t="n">
        <x:f>MIN('难度参数'!$E$8,MAX('难度参数'!$E$7,A100))</x:f>
        <x:v>7</x:v>
      </x:c>
      <x:c r="E100" s="106" t="n">
        <x:v>1</x:v>
      </x:c>
      <x:c r="F100" s="106" t="n">
        <x:v>0</x:v>
      </x:c>
      <x:c r="G100" s="106" t="n">
        <x:v>1</x:v>
      </x:c>
      <x:c r="H100" s="119" t="n">
        <x:f>SUM(X100,AB100,AF100,AJ100,AN100,AR100,AV100)</x:f>
        <x:v>162</x:v>
      </x:c>
      <x:c r="I100" s="119" t="n">
        <x:f>SUM(Z100,AD100,AH100,AL100,AP100,AT100,AX100)</x:f>
        <x:v>696022</x:v>
      </x:c>
      <x:c r="J100" s="119" t="n">
        <x:f>ROUND(INDEX(X100:AY100,1,(D100-1)*4+2)*'难度参数'!$E$28*'章节与怪物'!$E$17,0)</x:f>
        <x:v>29070</x:v>
      </x:c>
      <x:c r="K100" s="119" t="n">
        <x:f>SUM(AA100,AE100,AI100,AM100,AQ100,AU100,AY100)</x:f>
        <x:v>4442</x:v>
      </x:c>
      <x:c r="L100" s="62" t="n">
        <x:f>H100*(ROUNDUP('难度参数'!$E$24/('难度参数'!$E$26*'难度参数'!$E$27),0)*'难度参数'!$E$26)/60</x:f>
        <x:v>2.1599999999999997</x:v>
      </x:c>
      <x:c r="M100" s="62" t="n">
        <x:f>L100+D100*('难度参数'!$E$49+'难度参数'!$E$50)/60</x:f>
        <x:v>3.326666666666666</x:v>
      </x:c>
      <x:c r="N100" s="119" t="n">
        <x:f>ROUNDDOWN(('经济参数'!$E$20+A100*'经济参数'!$E$21)*G100,0)</x:f>
        <x:v>2060</x:v>
      </x:c>
      <x:c r="O100" s="119" t="n">
        <x:f>ROUNDDOWN(MIN('经济参数'!$E$24,'经济参数'!$E$22+A100*'经济参数'!$E$23)*G100,0)</x:f>
        <x:v>0</x:v>
      </x:c>
      <x:c r="P100" s="119" t="n">
        <x:f>ROUNDDOWN((IF(A100&gt;='材料与任务'!$E$31,'材料与任务'!$E$32,IF(A100&gt;='材料与任务'!$E$25,'材料与任务'!$E$26,IF(A100&gt;='材料与任务'!$E$19,'材料与任务'!$E$20,IF(A100&gt;='材料与任务'!$E$13,'材料与任务'!$E$14,'材料与任务'!$E$8)))))*G100,0)</x:f>
        <x:v>5</x:v>
      </x:c>
      <x:c r="Q100" s="119" t="n">
        <x:f>ROUNDDOWN((IF(A100&gt;='材料与任务'!$E$31,'材料与任务'!$E$33,IF(A100&gt;='材料与任务'!$E$25,'材料与任务'!$E$27,IF(A100&gt;='材料与任务'!$E$19,'材料与任务'!$E$21,IF(A100&gt;='材料与任务'!$E$13,'材料与任务'!$E$15,'材料与任务'!$E$9)))))*G100,0)</x:f>
        <x:v>2</x:v>
      </x:c>
      <x:c r="R100" s="110" t="n">
        <x:f>'装备掉落'!$B$38</x:f>
        <x:v>0.6872058758851213</x:v>
      </x:c>
      <x:c r="S100" s="119" t="n">
        <x:f>MAX(IF(VLOOKUP(A100,'装备掉落'!$A$29:$H$34,2,TRUE)&gt;0,1,0),IF(VLOOKUP(A100,'装备掉落'!$A$29:$H$34,3,TRUE)&gt;0,2,0),IF(VLOOKUP(A100,'装备掉落'!$A$29:$H$34,4,TRUE)&gt;0,3,0),IF(VLOOKUP(A100,'装备掉落'!$A$29:$H$34,5,TRUE)&gt;0,4,0),IF(VLOOKUP(A100,'装备掉落'!$A$29:$H$34,6,TRUE)&gt;0,5,0),IF(VLOOKUP(A100,'装备掉落'!$A$29:$H$34,7,TRUE)&gt;0,6,0),IF(VLOOKUP(A100,'装备掉落'!$A$29:$H$34,8,TRUE)&gt;0,7,0))</x:f>
        <x:v>7</x:v>
      </x:c>
      <x:c r="T100" s="119" t="n">
        <x:f>MIN(7,S100+'经济参数'!$E$70)</x:f>
        <x:v>7</x:v>
      </x:c>
      <x:c r="U100" s="119" t="n">
        <x:f>MIN(7,S100+'经济参数'!$E$71)</x:f>
        <x:v>7</x:v>
      </x:c>
      <x:c r="V100" s="119" t="n">
        <x:f>IF(H100&gt;=('难度参数'!$E$52),1,0)+IF(H100&gt;=('难度参数'!$E$52+'难度参数'!$E$53),1,0)+IF(H100&gt;=('难度参数'!$E$52+'难度参数'!$E$53+'难度参数'!$E$54),1,0)+IF(H100&gt;=('难度参数'!$E$52+'难度参数'!$E$53+'难度参数'!$E$54+'难度参数'!$E$55),1,0)+IF(H100&gt;=('难度参数'!$E$52+'难度参数'!$E$53+'难度参数'!$E$54+'难度参数'!$E$55+'难度参数'!$E$56),1,0)+IF(H100&gt;=('难度参数'!$E$52+'难度参数'!$E$53+'难度参数'!$E$54+'难度参数'!$E$55+'难度参数'!$E$56+'难度参数'!$E$57),1,0)</x:f>
        <x:v>6</x:v>
      </x:c>
      <x:c r="W100" s="62" t="str">
        <x:f>IF(L100&gt;'难度参数'!$E$51,"仅出怪已超目标","还需实测")</x:f>
        <x:v>还需实测</x:v>
      </x:c>
      <x:c r="X100" s="119" t="n">
        <x:f>IF(1&gt;D100,0,MAX(2,MIN('难度参数'!$E$12,ROUND(('难度参数'!$E$18*POWER(A100,'难度参数'!$E$19)/D100*(0.85+0.3*(1-1)/MAX(1,D100-1))),0)+F100)))</x:f>
        <x:v>20</x:v>
      </x:c>
      <x:c r="Y100" s="119" t="n">
        <x:f>IF(1&gt;D100,0,ROUND(('难度参数'!$E$13*POWER(A100,'难度参数'!$E$20)*MIN('难度参数'!$E$23,1+MAX(0,A100-'难度参数'!$E$21)*'难度参数'!$E$22))*(36+1*7)/(36+7*(D100+1)/2)*E100,0))</x:f>
        <x:v>2163</x:v>
      </x:c>
      <x:c r="Z100" s="119" t="n">
        <x:f>IF(X100=0,0,(X100-IF(1=D100,1,0))*ROUND(Y100*VLOOKUP(INDEX('章节与怪物'!$E$31:$K$37,B100,1),'章节与怪物'!$A$41:$F$44,2,FALSE),0)+IF(1=D100,ROUND(Y100*'难度参数'!$E$28*'章节与怪物'!$E$17,0),0))</x:f>
        <x:v>43260</x:v>
      </x:c>
      <x:c r="AA100" s="119" t="n">
        <x:f>IF(X100=0,0,(X100-IF(1=D100,1,0))*VLOOKUP(INDEX('章节与怪物'!$E$31:$K$37,B100,1),'章节与怪物'!$A$41:$F$44,4,FALSE)+IF(1=D100,'难度参数'!$E$30,0))</x:f>
        <x:v>360</x:v>
      </x:c>
      <x:c r="AB100" s="119" t="n">
        <x:f>IF(2&gt;D100,0,MAX(2,MIN('难度参数'!$E$12,ROUND(('难度参数'!$E$18*POWER(A100,'难度参数'!$E$19)/D100*(0.85+0.3*(2-1)/MAX(1,D100-1))),0)+F100)))</x:f>
        <x:v>21</x:v>
      </x:c>
      <x:c r="AC100" s="119" t="n">
        <x:f>IF(2&gt;D100,0,ROUND(('难度参数'!$E$13*POWER(A100,'难度参数'!$E$20)*MIN('难度参数'!$E$23,1+MAX(0,A100-'难度参数'!$E$21)*'难度参数'!$E$22))*(36+2*7)/(36+7*(D100+1)/2)*E100,0))</x:f>
        <x:v>2515</x:v>
      </x:c>
      <x:c r="AD100" s="119" t="n">
        <x:f>IF(AB100=0,0,(AB100-IF(2=D100,1,0))*ROUND(AC100*VLOOKUP(INDEX('章节与怪物'!$E$31:$K$37,B100,2),'章节与怪物'!$A$41:$F$44,2,FALSE),0)+IF(2=D100,ROUND(AC100*'难度参数'!$E$28*'章节与怪物'!$E$17,0),0))</x:f>
        <x:v>38031</x:v>
      </x:c>
      <x:c r="AE100" s="119" t="n">
        <x:f>IF(AB100=0,0,(AB100-IF(2=D100,1,0))*VLOOKUP(INDEX('章节与怪物'!$E$31:$K$37,B100,2),'章节与怪物'!$A$41:$F$44,4,FALSE)+IF(2=D100,'难度参数'!$E$30,0))</x:f>
        <x:v>420</x:v>
      </x:c>
      <x:c r="AF100" s="119" t="n">
        <x:f>IF(3&gt;D100,0,MAX(2,MIN('难度参数'!$E$12,ROUND(('难度参数'!$E$18*POWER(A100,'难度参数'!$E$19)/D100*(0.85+0.3*(3-1)/MAX(1,D100-1))),0)+F100)))</x:f>
        <x:v>22</x:v>
      </x:c>
      <x:c r="AG100" s="119" t="n">
        <x:f>IF(3&gt;D100,0,ROUND(('难度参数'!$E$13*POWER(A100,'难度参数'!$E$20)*MIN('难度参数'!$E$23,1+MAX(0,A100-'难度参数'!$E$21)*'难度参数'!$E$22))*(36+3*7)/(36+7*(D100+1)/2)*E100,0))</x:f>
        <x:v>2867</x:v>
      </x:c>
      <x:c r="AH100" s="119" t="n">
        <x:f>IF(AF100=0,0,(AF100-IF(3=D100,1,0))*ROUND(AG100*VLOOKUP(INDEX('章节与怪物'!$E$31:$K$37,B100,3),'章节与怪物'!$A$41:$F$44,2,FALSE),0)+IF(3=D100,ROUND(AG100*'难度参数'!$E$28*'章节与怪物'!$E$17,0),0))</x:f>
        <x:v>107228</x:v>
      </x:c>
      <x:c r="AI100" s="119" t="n">
        <x:f>IF(AF100=0,0,(AF100-IF(3=D100,1,0))*VLOOKUP(INDEX('章节与怪物'!$E$31:$K$37,B100,3),'章节与怪物'!$A$41:$F$44,4,FALSE)+IF(3=D100,'难度参数'!$E$30,0))</x:f>
        <x:v>616</x:v>
      </x:c>
      <x:c r="AJ100" s="119" t="n">
        <x:f>IF(4&gt;D100,0,MAX(2,MIN('难度参数'!$E$12,ROUND(('难度参数'!$E$18*POWER(A100,'难度参数'!$E$19)/D100*(0.85+0.3*(4-1)/MAX(1,D100-1))),0)+F100)))</x:f>
        <x:v>23</x:v>
      </x:c>
      <x:c r="AK100" s="119" t="n">
        <x:f>IF(4&gt;D100,0,ROUND(('难度参数'!$E$13*POWER(A100,'难度参数'!$E$20)*MIN('难度参数'!$E$23,1+MAX(0,A100-'难度参数'!$E$21)*'难度参数'!$E$22))*(36+4*7)/(36+7*(D100+1)/2)*E100,0))</x:f>
        <x:v>3219</x:v>
      </x:c>
      <x:c r="AL100" s="119" t="n">
        <x:f>IF(AJ100=0,0,(AJ100-IF(4=D100,1,0))*ROUND(AK100*VLOOKUP(INDEX('章节与怪物'!$E$31:$K$37,B100,4),'章节与怪物'!$A$41:$F$44,2,FALSE),0)+IF(4=D100,ROUND(AK100*'难度参数'!$E$28*'章节与怪物'!$E$17,0),0))</x:f>
        <x:v>99958</x:v>
      </x:c>
      <x:c r="AM100" s="119" t="n">
        <x:f>IF(AJ100=0,0,(AJ100-IF(4=D100,1,0))*VLOOKUP(INDEX('章节与怪物'!$E$31:$K$37,B100,4),'章节与怪物'!$A$41:$F$44,4,FALSE)+IF(4=D100,'难度参数'!$E$30,0))</x:f>
        <x:v>782</x:v>
      </x:c>
      <x:c r="AN100" s="119" t="n">
        <x:f>IF(5&gt;D100,0,MAX(2,MIN('难度参数'!$E$12,ROUND(('难度参数'!$E$18*POWER(A100,'难度参数'!$E$19)/D100*(0.85+0.3*(5-1)/MAX(1,D100-1))),0)+F100)))</x:f>
        <x:v>24</x:v>
      </x:c>
      <x:c r="AO100" s="119" t="n">
        <x:f>IF(5&gt;D100,0,ROUND(('难度参数'!$E$13*POWER(A100,'难度参数'!$E$20)*MIN('难度参数'!$E$23,1+MAX(0,A100-'难度参数'!$E$21)*'难度参数'!$E$22))*(36+5*7)/(36+7*(D100+1)/2)*E100,0))</x:f>
        <x:v>3571</x:v>
      </x:c>
      <x:c r="AP100" s="119" t="n">
        <x:f>IF(AN100=0,0,(AN100-IF(5=D100,1,0))*ROUND(AO100*VLOOKUP(INDEX('章节与怪物'!$E$31:$K$37,B100,5),'章节与怪物'!$A$41:$F$44,2,FALSE),0)+IF(5=D100,ROUND(AO100*'难度参数'!$E$28*'章节与怪物'!$E$17,0),0))</x:f>
        <x:v>61704</x:v>
      </x:c>
      <x:c r="AQ100" s="119" t="n">
        <x:f>IF(AN100=0,0,(AN100-IF(5=D100,1,0))*VLOOKUP(INDEX('章节与怪物'!$E$31:$K$37,B100,5),'章节与怪物'!$A$41:$F$44,4,FALSE)+IF(5=D100,'难度参数'!$E$30,0))</x:f>
        <x:v>480</x:v>
      </x:c>
      <x:c r="AR100" s="119" t="n">
        <x:f>IF(6&gt;D100,0,MAX(2,MIN('难度参数'!$E$12,ROUND(('难度参数'!$E$18*POWER(A100,'难度参数'!$E$19)/D100*(0.85+0.3*(6-1)/MAX(1,D100-1))),0)+F100)))</x:f>
        <x:v>25</x:v>
      </x:c>
      <x:c r="AS100" s="119" t="n">
        <x:f>IF(6&gt;D100,0,ROUND(('难度参数'!$E$13*POWER(A100,'难度参数'!$E$20)*MIN('难度参数'!$E$23,1+MAX(0,A100-'难度参数'!$E$21)*'难度参数'!$E$22))*(36+6*7)/(36+7*(D100+1)/2)*E100,0))</x:f>
        <x:v>3923</x:v>
      </x:c>
      <x:c r="AT100" s="119" t="n">
        <x:f>IF(AR100=0,0,(AR100-IF(6=D100,1,0))*ROUND(AS100*VLOOKUP(INDEX('章节与怪物'!$E$31:$K$37,B100,6),'章节与怪物'!$A$41:$F$44,2,FALSE),0)+IF(6=D100,ROUND(AS100*'难度参数'!$E$28*'章节与怪物'!$E$17,0),0))</x:f>
        <x:v>166725</x:v>
      </x:c>
      <x:c r="AU100" s="119" t="n">
        <x:f>IF(AR100=0,0,(AR100-IF(6=D100,1,0))*VLOOKUP(INDEX('章节与怪物'!$E$31:$K$37,B100,6),'章节与怪物'!$A$41:$F$44,4,FALSE)+IF(6=D100,'难度参数'!$E$30,0))</x:f>
        <x:v>700</x:v>
      </x:c>
      <x:c r="AV100" s="119" t="n">
        <x:f>IF(7&gt;D100,0,MAX(2,MIN('难度参数'!$E$12,ROUND(('难度参数'!$E$18*POWER(A100,'难度参数'!$E$19)/D100*(0.85+0.3*(7-1)/MAX(1,D100-1))),0)+F100)))</x:f>
        <x:v>27</x:v>
      </x:c>
      <x:c r="AW100" s="119" t="n">
        <x:f>IF(7&gt;D100,0,ROUND(('难度参数'!$E$13*POWER(A100,'难度参数'!$E$20)*MIN('难度参数'!$E$23,1+MAX(0,A100-'难度参数'!$E$21)*'难度参数'!$E$22))*(36+7*7)/(36+7*(D100+1)/2)*E100,0))</x:f>
        <x:v>4275</x:v>
      </x:c>
      <x:c r="AX100" s="119" t="n">
        <x:f>IF(AV100=0,0,(AV100-IF(7=D100,1,0))*ROUND(AW100*VLOOKUP(INDEX('章节与怪物'!$E$31:$K$37,B100,7),'章节与怪物'!$A$41:$F$44,2,FALSE),0)+IF(7=D100,ROUND(AW100*'难度参数'!$E$28*'章节与怪物'!$E$17,0),0))</x:f>
        <x:v>179116</x:v>
      </x:c>
      <x:c r="AY100" s="119" t="n">
        <x:f>IF(AV100=0,0,(AV100-IF(7=D100,1,0))*VLOOKUP(INDEX('章节与怪物'!$E$31:$K$37,B100,7),'章节与怪物'!$A$41:$F$44,4,FALSE)+IF(7=D100,'难度参数'!$E$30,0))</x:f>
        <x:v>1084</x:v>
      </x:c>
    </x:row>
    <x:row r="101" ht="23" customHeight="1">
      <x:c r="A101" s="119" t="n">
        <x:v>95</x:v>
      </x:c>
      <x:c r="B101" s="119" t="n">
        <x:f>MOD(INT((A101-1)/5),7)+1</x:f>
        <x:v>5</x:v>
      </x:c>
      <x:c r="C101" s="62" t="str">
        <x:f>INDEX('章节与怪物'!$B$31:$B$37,B101)</x:f>
        <x:v>雨林遗迹</x:v>
      </x:c>
      <x:c r="D101" s="119" t="n">
        <x:f>MIN('难度参数'!$E$8,MAX('难度参数'!$E$7,A101))</x:f>
        <x:v>7</x:v>
      </x:c>
      <x:c r="E101" s="106" t="n">
        <x:v>1</x:v>
      </x:c>
      <x:c r="F101" s="106" t="n">
        <x:v>0</x:v>
      </x:c>
      <x:c r="G101" s="106" t="n">
        <x:v>1</x:v>
      </x:c>
      <x:c r="H101" s="119" t="n">
        <x:f>SUM(X101,AB101,AF101,AJ101,AN101,AR101,AV101)</x:f>
        <x:v>163</x:v>
      </x:c>
      <x:c r="I101" s="119" t="n">
        <x:f>SUM(Z101,AD101,AH101,AL101,AP101,AT101,AX101)</x:f>
        <x:v>709850</x:v>
      </x:c>
      <x:c r="J101" s="119" t="n">
        <x:f>ROUND(INDEX(X101:AY101,1,(D101-1)*4+2)*'难度参数'!$E$28*'章节与怪物'!$E$17,0)</x:f>
        <x:v>29369</x:v>
      </x:c>
      <x:c r="K101" s="119" t="n">
        <x:f>SUM(AA101,AE101,AI101,AM101,AQ101,AU101,AY101)</x:f>
        <x:v>4470</x:v>
      </x:c>
      <x:c r="L101" s="62" t="n">
        <x:f>H101*(ROUNDUP('难度参数'!$E$24/('难度参数'!$E$26*'难度参数'!$E$27),0)*'难度参数'!$E$26)/60</x:f>
        <x:v>2.1733333333333333</x:v>
      </x:c>
      <x:c r="M101" s="62" t="n">
        <x:f>L101+D101*('难度参数'!$E$49+'难度参数'!$E$50)/60</x:f>
        <x:v>3.34</x:v>
      </x:c>
      <x:c r="N101" s="119" t="n">
        <x:f>ROUNDDOWN(('经济参数'!$E$20+A101*'经济参数'!$E$21)*G101,0)</x:f>
        <x:v>2080</x:v>
      </x:c>
      <x:c r="O101" s="119" t="n">
        <x:f>ROUNDDOWN(MIN('经济参数'!$E$24,'经济参数'!$E$22+A101*'经济参数'!$E$23)*G101,0)</x:f>
        <x:v>0</x:v>
      </x:c>
      <x:c r="P101" s="119" t="n">
        <x:f>ROUNDDOWN((IF(A101&gt;='材料与任务'!$E$31,'材料与任务'!$E$32,IF(A101&gt;='材料与任务'!$E$25,'材料与任务'!$E$26,IF(A101&gt;='材料与任务'!$E$19,'材料与任务'!$E$20,IF(A101&gt;='材料与任务'!$E$13,'材料与任务'!$E$14,'材料与任务'!$E$8)))))*G101,0)</x:f>
        <x:v>5</x:v>
      </x:c>
      <x:c r="Q101" s="119" t="n">
        <x:f>ROUNDDOWN((IF(A101&gt;='材料与任务'!$E$31,'材料与任务'!$E$33,IF(A101&gt;='材料与任务'!$E$25,'材料与任务'!$E$27,IF(A101&gt;='材料与任务'!$E$19,'材料与任务'!$E$21,IF(A101&gt;='材料与任务'!$E$13,'材料与任务'!$E$15,'材料与任务'!$E$9)))))*G101,0)</x:f>
        <x:v>2</x:v>
      </x:c>
      <x:c r="R101" s="110" t="n">
        <x:f>'装备掉落'!$B$38</x:f>
        <x:v>0.6872058758851213</x:v>
      </x:c>
      <x:c r="S101" s="119" t="n">
        <x:f>MAX(IF(VLOOKUP(A101,'装备掉落'!$A$29:$H$34,2,TRUE)&gt;0,1,0),IF(VLOOKUP(A101,'装备掉落'!$A$29:$H$34,3,TRUE)&gt;0,2,0),IF(VLOOKUP(A101,'装备掉落'!$A$29:$H$34,4,TRUE)&gt;0,3,0),IF(VLOOKUP(A101,'装备掉落'!$A$29:$H$34,5,TRUE)&gt;0,4,0),IF(VLOOKUP(A101,'装备掉落'!$A$29:$H$34,6,TRUE)&gt;0,5,0),IF(VLOOKUP(A101,'装备掉落'!$A$29:$H$34,7,TRUE)&gt;0,6,0),IF(VLOOKUP(A101,'装备掉落'!$A$29:$H$34,8,TRUE)&gt;0,7,0))</x:f>
        <x:v>7</x:v>
      </x:c>
      <x:c r="T101" s="119" t="n">
        <x:f>MIN(7,S101+'经济参数'!$E$70)</x:f>
        <x:v>7</x:v>
      </x:c>
      <x:c r="U101" s="119" t="n">
        <x:f>MIN(7,S101+'经济参数'!$E$71)</x:f>
        <x:v>7</x:v>
      </x:c>
      <x:c r="V101" s="119" t="n">
        <x:f>IF(H101&gt;=('难度参数'!$E$52),1,0)+IF(H101&gt;=('难度参数'!$E$52+'难度参数'!$E$53),1,0)+IF(H101&gt;=('难度参数'!$E$52+'难度参数'!$E$53+'难度参数'!$E$54),1,0)+IF(H101&gt;=('难度参数'!$E$52+'难度参数'!$E$53+'难度参数'!$E$54+'难度参数'!$E$55),1,0)+IF(H101&gt;=('难度参数'!$E$52+'难度参数'!$E$53+'难度参数'!$E$54+'难度参数'!$E$55+'难度参数'!$E$56),1,0)+IF(H101&gt;=('难度参数'!$E$52+'难度参数'!$E$53+'难度参数'!$E$54+'难度参数'!$E$55+'难度参数'!$E$56+'难度参数'!$E$57),1,0)</x:f>
        <x:v>6</x:v>
      </x:c>
      <x:c r="W101" s="62" t="str">
        <x:f>IF(L101&gt;'难度参数'!$E$51,"仅出怪已超目标","还需实测")</x:f>
        <x:v>还需实测</x:v>
      </x:c>
      <x:c r="X101" s="119" t="n">
        <x:f>IF(1&gt;D101,0,MAX(2,MIN('难度参数'!$E$12,ROUND(('难度参数'!$E$18*POWER(A101,'难度参数'!$E$19)/D101*(0.85+0.3*(1-1)/MAX(1,D101-1))),0)+F101)))</x:f>
        <x:v>20</x:v>
      </x:c>
      <x:c r="Y101" s="119" t="n">
        <x:f>IF(1&gt;D101,0,ROUND(('难度参数'!$E$13*POWER(A101,'难度参数'!$E$20)*MIN('难度参数'!$E$23,1+MAX(0,A101-'难度参数'!$E$21)*'难度参数'!$E$22))*(36+1*7)/(36+7*(D101+1)/2)*E101,0))</x:f>
        <x:v>2185</x:v>
      </x:c>
      <x:c r="Z101" s="119" t="n">
        <x:f>IF(X101=0,0,(X101-IF(1=D101,1,0))*ROUND(Y101*VLOOKUP(INDEX('章节与怪物'!$E$31:$K$37,B101,1),'章节与怪物'!$A$41:$F$44,2,FALSE),0)+IF(1=D101,ROUND(Y101*'难度参数'!$E$28*'章节与怪物'!$E$17,0),0))</x:f>
        <x:v>43700</x:v>
      </x:c>
      <x:c r="AA101" s="119" t="n">
        <x:f>IF(X101=0,0,(X101-IF(1=D101,1,0))*VLOOKUP(INDEX('章节与怪物'!$E$31:$K$37,B101,1),'章节与怪物'!$A$41:$F$44,4,FALSE)+IF(1=D101,'难度参数'!$E$30,0))</x:f>
        <x:v>360</x:v>
      </x:c>
      <x:c r="AB101" s="119" t="n">
        <x:f>IF(2&gt;D101,0,MAX(2,MIN('难度参数'!$E$12,ROUND(('难度参数'!$E$18*POWER(A101,'难度参数'!$E$19)/D101*(0.85+0.3*(2-1)/MAX(1,D101-1))),0)+F101)))</x:f>
        <x:v>21</x:v>
      </x:c>
      <x:c r="AC101" s="119" t="n">
        <x:f>IF(2&gt;D101,0,ROUND(('难度参数'!$E$13*POWER(A101,'难度参数'!$E$20)*MIN('难度参数'!$E$23,1+MAX(0,A101-'难度参数'!$E$21)*'难度参数'!$E$22))*(36+2*7)/(36+7*(D101+1)/2)*E101,0))</x:f>
        <x:v>2540</x:v>
      </x:c>
      <x:c r="AD101" s="119" t="n">
        <x:f>IF(AB101=0,0,(AB101-IF(2=D101,1,0))*ROUND(AC101*VLOOKUP(INDEX('章节与怪物'!$E$31:$K$37,B101,2),'章节与怪物'!$A$41:$F$44,2,FALSE),0)+IF(2=D101,ROUND(AC101*'难度参数'!$E$28*'章节与怪物'!$E$17,0),0))</x:f>
        <x:v>38409</x:v>
      </x:c>
      <x:c r="AE101" s="119" t="n">
        <x:f>IF(AB101=0,0,(AB101-IF(2=D101,1,0))*VLOOKUP(INDEX('章节与怪物'!$E$31:$K$37,B101,2),'章节与怪物'!$A$41:$F$44,4,FALSE)+IF(2=D101,'难度参数'!$E$30,0))</x:f>
        <x:v>420</x:v>
      </x:c>
      <x:c r="AF101" s="119" t="n">
        <x:f>IF(3&gt;D101,0,MAX(2,MIN('难度参数'!$E$12,ROUND(('难度参数'!$E$18*POWER(A101,'难度参数'!$E$19)/D101*(0.85+0.3*(3-1)/MAX(1,D101-1))),0)+F101)))</x:f>
        <x:v>22</x:v>
      </x:c>
      <x:c r="AG101" s="119" t="n">
        <x:f>IF(3&gt;D101,0,ROUND(('难度参数'!$E$13*POWER(A101,'难度参数'!$E$20)*MIN('难度参数'!$E$23,1+MAX(0,A101-'难度参数'!$E$21)*'难度参数'!$E$22))*(36+3*7)/(36+7*(D101+1)/2)*E101,0))</x:f>
        <x:v>2896</x:v>
      </x:c>
      <x:c r="AH101" s="119" t="n">
        <x:f>IF(AF101=0,0,(AF101-IF(3=D101,1,0))*ROUND(AG101*VLOOKUP(INDEX('章节与怪物'!$E$31:$K$37,B101,3),'章节与怪物'!$A$41:$F$44,2,FALSE),0)+IF(3=D101,ROUND(AG101*'难度参数'!$E$28*'章节与怪物'!$E$17,0),0))</x:f>
        <x:v>108306</x:v>
      </x:c>
      <x:c r="AI101" s="119" t="n">
        <x:f>IF(AF101=0,0,(AF101-IF(3=D101,1,0))*VLOOKUP(INDEX('章节与怪物'!$E$31:$K$37,B101,3),'章节与怪物'!$A$41:$F$44,4,FALSE)+IF(3=D101,'难度参数'!$E$30,0))</x:f>
        <x:v>616</x:v>
      </x:c>
      <x:c r="AJ101" s="119" t="n">
        <x:f>IF(4&gt;D101,0,MAX(2,MIN('难度参数'!$E$12,ROUND(('难度参数'!$E$18*POWER(A101,'难度参数'!$E$19)/D101*(0.85+0.3*(4-1)/MAX(1,D101-1))),0)+F101)))</x:f>
        <x:v>23</x:v>
      </x:c>
      <x:c r="AK101" s="119" t="n">
        <x:f>IF(4&gt;D101,0,ROUND(('难度参数'!$E$13*POWER(A101,'难度参数'!$E$20)*MIN('难度参数'!$E$23,1+MAX(0,A101-'难度参数'!$E$21)*'难度参数'!$E$22))*(36+4*7)/(36+7*(D101+1)/2)*E101,0))</x:f>
        <x:v>3252</x:v>
      </x:c>
      <x:c r="AL101" s="119" t="n">
        <x:f>IF(AJ101=0,0,(AJ101-IF(4=D101,1,0))*ROUND(AK101*VLOOKUP(INDEX('章节与怪物'!$E$31:$K$37,B101,4),'章节与怪物'!$A$41:$F$44,2,FALSE),0)+IF(4=D101,ROUND(AK101*'难度参数'!$E$28*'章节与怪物'!$E$17,0),0))</x:f>
        <x:v>100970</x:v>
      </x:c>
      <x:c r="AM101" s="119" t="n">
        <x:f>IF(AJ101=0,0,(AJ101-IF(4=D101,1,0))*VLOOKUP(INDEX('章节与怪物'!$E$31:$K$37,B101,4),'章节与怪物'!$A$41:$F$44,4,FALSE)+IF(4=D101,'难度参数'!$E$30,0))</x:f>
        <x:v>782</x:v>
      </x:c>
      <x:c r="AN101" s="119" t="n">
        <x:f>IF(5&gt;D101,0,MAX(2,MIN('难度参数'!$E$12,ROUND(('难度参数'!$E$18*POWER(A101,'难度参数'!$E$19)/D101*(0.85+0.3*(5-1)/MAX(1,D101-1))),0)+F101)))</x:f>
        <x:v>24</x:v>
      </x:c>
      <x:c r="AO101" s="119" t="n">
        <x:f>IF(5&gt;D101,0,ROUND(('难度参数'!$E$13*POWER(A101,'难度参数'!$E$20)*MIN('难度参数'!$E$23,1+MAX(0,A101-'难度参数'!$E$21)*'难度参数'!$E$22))*(36+5*7)/(36+7*(D101+1)/2)*E101,0))</x:f>
        <x:v>3607</x:v>
      </x:c>
      <x:c r="AP101" s="119" t="n">
        <x:f>IF(AN101=0,0,(AN101-IF(5=D101,1,0))*ROUND(AO101*VLOOKUP(INDEX('章节与怪物'!$E$31:$K$37,B101,5),'章节与怪物'!$A$41:$F$44,2,FALSE),0)+IF(5=D101,ROUND(AO101*'难度参数'!$E$28*'章节与怪物'!$E$17,0),0))</x:f>
        <x:v>62328</x:v>
      </x:c>
      <x:c r="AQ101" s="119" t="n">
        <x:f>IF(AN101=0,0,(AN101-IF(5=D101,1,0))*VLOOKUP(INDEX('章节与怪物'!$E$31:$K$37,B101,5),'章节与怪物'!$A$41:$F$44,4,FALSE)+IF(5=D101,'难度参数'!$E$30,0))</x:f>
        <x:v>480</x:v>
      </x:c>
      <x:c r="AR101" s="119" t="n">
        <x:f>IF(6&gt;D101,0,MAX(2,MIN('难度参数'!$E$12,ROUND(('难度参数'!$E$18*POWER(A101,'难度参数'!$E$19)/D101*(0.85+0.3*(6-1)/MAX(1,D101-1))),0)+F101)))</x:f>
        <x:v>26</x:v>
      </x:c>
      <x:c r="AS101" s="119" t="n">
        <x:f>IF(6&gt;D101,0,ROUND(('难度参数'!$E$13*POWER(A101,'难度参数'!$E$20)*MIN('难度参数'!$E$23,1+MAX(0,A101-'难度参数'!$E$21)*'难度参数'!$E$22))*(36+6*7)/(36+7*(D101+1)/2)*E101,0))</x:f>
        <x:v>3963</x:v>
      </x:c>
      <x:c r="AT101" s="119" t="n">
        <x:f>IF(AR101=0,0,(AR101-IF(6=D101,1,0))*ROUND(AS101*VLOOKUP(INDEX('章节与怪物'!$E$31:$K$37,B101,6),'章节与怪物'!$A$41:$F$44,2,FALSE),0)+IF(6=D101,ROUND(AS101*'难度参数'!$E$28*'章节与怪物'!$E$17,0),0))</x:f>
        <x:v>175162</x:v>
      </x:c>
      <x:c r="AU101" s="119" t="n">
        <x:f>IF(AR101=0,0,(AR101-IF(6=D101,1,0))*VLOOKUP(INDEX('章节与怪物'!$E$31:$K$37,B101,6),'章节与怪物'!$A$41:$F$44,4,FALSE)+IF(6=D101,'难度参数'!$E$30,0))</x:f>
        <x:v>728</x:v>
      </x:c>
      <x:c r="AV101" s="119" t="n">
        <x:f>IF(7&gt;D101,0,MAX(2,MIN('难度参数'!$E$12,ROUND(('难度参数'!$E$18*POWER(A101,'难度参数'!$E$19)/D101*(0.85+0.3*(7-1)/MAX(1,D101-1))),0)+F101)))</x:f>
        <x:v>27</x:v>
      </x:c>
      <x:c r="AW101" s="119" t="n">
        <x:f>IF(7&gt;D101,0,ROUND(('难度参数'!$E$13*POWER(A101,'难度参数'!$E$20)*MIN('难度参数'!$E$23,1+MAX(0,A101-'难度参数'!$E$21)*'难度参数'!$E$22))*(36+7*7)/(36+7*(D101+1)/2)*E101,0))</x:f>
        <x:v>4319</x:v>
      </x:c>
      <x:c r="AX101" s="119" t="n">
        <x:f>IF(AV101=0,0,(AV101-IF(7=D101,1,0))*ROUND(AW101*VLOOKUP(INDEX('章节与怪物'!$E$31:$K$37,B101,7),'章节与怪物'!$A$41:$F$44,2,FALSE),0)+IF(7=D101,ROUND(AW101*'难度参数'!$E$28*'章节与怪物'!$E$17,0),0))</x:f>
        <x:v>180975</x:v>
      </x:c>
      <x:c r="AY101" s="119" t="n">
        <x:f>IF(AV101=0,0,(AV101-IF(7=D101,1,0))*VLOOKUP(INDEX('章节与怪物'!$E$31:$K$37,B101,7),'章节与怪物'!$A$41:$F$44,4,FALSE)+IF(7=D101,'难度参数'!$E$30,0))</x:f>
        <x:v>1084</x:v>
      </x:c>
    </x:row>
    <x:row r="102" ht="23" customHeight="1">
      <x:c r="A102" s="119" t="n">
        <x:v>96</x:v>
      </x:c>
      <x:c r="B102" s="119" t="n">
        <x:f>MOD(INT((A102-1)/5),7)+1</x:f>
        <x:v>6</x:v>
      </x:c>
      <x:c r="C102" s="62" t="str">
        <x:f>INDEX('章节与怪物'!$B$31:$B$37,B102)</x:f>
        <x:v>熔岩山脉</x:v>
      </x:c>
      <x:c r="D102" s="119" t="n">
        <x:f>MIN('难度参数'!$E$8,MAX('难度参数'!$E$7,A102))</x:f>
        <x:v>7</x:v>
      </x:c>
      <x:c r="E102" s="106" t="n">
        <x:v>1</x:v>
      </x:c>
      <x:c r="F102" s="106" t="n">
        <x:v>0</x:v>
      </x:c>
      <x:c r="G102" s="106" t="n">
        <x:v>1</x:v>
      </x:c>
      <x:c r="H102" s="119" t="n">
        <x:f>SUM(X102,AB102,AF102,AJ102,AN102,AR102,AV102)</x:f>
        <x:v>163</x:v>
      </x:c>
      <x:c r="I102" s="119" t="n">
        <x:f>SUM(Z102,AD102,AH102,AL102,AP102,AT102,AX102)</x:f>
        <x:v>744169</x:v>
      </x:c>
      <x:c r="J102" s="119" t="n">
        <x:f>ROUND(INDEX(X102:AY102,1,(D102-1)*4+2)*'难度参数'!$E$28*'章节与怪物'!$E$17,0)</x:f>
        <x:v>29662</x:v>
      </x:c>
      <x:c r="K102" s="119" t="n">
        <x:f>SUM(AA102,AE102,AI102,AM102,AQ102,AU102,AY102)</x:f>
        <x:v>4420</x:v>
      </x:c>
      <x:c r="L102" s="62" t="n">
        <x:f>H102*(ROUNDUP('难度参数'!$E$24/('难度参数'!$E$26*'难度参数'!$E$27),0)*'难度参数'!$E$26)/60</x:f>
        <x:v>2.1733333333333333</x:v>
      </x:c>
      <x:c r="M102" s="62" t="n">
        <x:f>L102+D102*('难度参数'!$E$49+'难度参数'!$E$50)/60</x:f>
        <x:v>3.34</x:v>
      </x:c>
      <x:c r="N102" s="119" t="n">
        <x:f>ROUNDDOWN(('经济参数'!$E$20+A102*'经济参数'!$E$21)*G102,0)</x:f>
        <x:v>2100</x:v>
      </x:c>
      <x:c r="O102" s="119" t="n">
        <x:f>ROUNDDOWN(MIN('经济参数'!$E$24,'经济参数'!$E$22+A102*'经济参数'!$E$23)*G102,0)</x:f>
        <x:v>0</x:v>
      </x:c>
      <x:c r="P102" s="119" t="n">
        <x:f>ROUNDDOWN((IF(A102&gt;='材料与任务'!$E$31,'材料与任务'!$E$32,IF(A102&gt;='材料与任务'!$E$25,'材料与任务'!$E$26,IF(A102&gt;='材料与任务'!$E$19,'材料与任务'!$E$20,IF(A102&gt;='材料与任务'!$E$13,'材料与任务'!$E$14,'材料与任务'!$E$8)))))*G102,0)</x:f>
        <x:v>5</x:v>
      </x:c>
      <x:c r="Q102" s="119" t="n">
        <x:f>ROUNDDOWN((IF(A102&gt;='材料与任务'!$E$31,'材料与任务'!$E$33,IF(A102&gt;='材料与任务'!$E$25,'材料与任务'!$E$27,IF(A102&gt;='材料与任务'!$E$19,'材料与任务'!$E$21,IF(A102&gt;='材料与任务'!$E$13,'材料与任务'!$E$15,'材料与任务'!$E$9)))))*G102,0)</x:f>
        <x:v>2</x:v>
      </x:c>
      <x:c r="R102" s="110" t="n">
        <x:f>'装备掉落'!$B$38</x:f>
        <x:v>0.6872058758851213</x:v>
      </x:c>
      <x:c r="S102" s="119" t="n">
        <x:f>MAX(IF(VLOOKUP(A102,'装备掉落'!$A$29:$H$34,2,TRUE)&gt;0,1,0),IF(VLOOKUP(A102,'装备掉落'!$A$29:$H$34,3,TRUE)&gt;0,2,0),IF(VLOOKUP(A102,'装备掉落'!$A$29:$H$34,4,TRUE)&gt;0,3,0),IF(VLOOKUP(A102,'装备掉落'!$A$29:$H$34,5,TRUE)&gt;0,4,0),IF(VLOOKUP(A102,'装备掉落'!$A$29:$H$34,6,TRUE)&gt;0,5,0),IF(VLOOKUP(A102,'装备掉落'!$A$29:$H$34,7,TRUE)&gt;0,6,0),IF(VLOOKUP(A102,'装备掉落'!$A$29:$H$34,8,TRUE)&gt;0,7,0))</x:f>
        <x:v>7</x:v>
      </x:c>
      <x:c r="T102" s="119" t="n">
        <x:f>MIN(7,S102+'经济参数'!$E$70)</x:f>
        <x:v>7</x:v>
      </x:c>
      <x:c r="U102" s="119" t="n">
        <x:f>MIN(7,S102+'经济参数'!$E$71)</x:f>
        <x:v>7</x:v>
      </x:c>
      <x:c r="V102" s="119" t="n">
        <x:f>IF(H102&gt;=('难度参数'!$E$52),1,0)+IF(H102&gt;=('难度参数'!$E$52+'难度参数'!$E$53),1,0)+IF(H102&gt;=('难度参数'!$E$52+'难度参数'!$E$53+'难度参数'!$E$54),1,0)+IF(H102&gt;=('难度参数'!$E$52+'难度参数'!$E$53+'难度参数'!$E$54+'难度参数'!$E$55),1,0)+IF(H102&gt;=('难度参数'!$E$52+'难度参数'!$E$53+'难度参数'!$E$54+'难度参数'!$E$55+'难度参数'!$E$56),1,0)+IF(H102&gt;=('难度参数'!$E$52+'难度参数'!$E$53+'难度参数'!$E$54+'难度参数'!$E$55+'难度参数'!$E$56+'难度参数'!$E$57),1,0)</x:f>
        <x:v>6</x:v>
      </x:c>
      <x:c r="W102" s="62" t="str">
        <x:f>IF(L102&gt;'难度参数'!$E$51,"仅出怪已超目标","还需实测")</x:f>
        <x:v>还需实测</x:v>
      </x:c>
      <x:c r="X102" s="119" t="n">
        <x:f>IF(1&gt;D102,0,MAX(2,MIN('难度参数'!$E$12,ROUND(('难度参数'!$E$18*POWER(A102,'难度参数'!$E$19)/D102*(0.85+0.3*(1-1)/MAX(1,D102-1))),0)+F102)))</x:f>
        <x:v>20</x:v>
      </x:c>
      <x:c r="Y102" s="119" t="n">
        <x:f>IF(1&gt;D102,0,ROUND(('难度参数'!$E$13*POWER(A102,'难度参数'!$E$20)*MIN('难度参数'!$E$23,1+MAX(0,A102-'难度参数'!$E$21)*'难度参数'!$E$22))*(36+1*7)/(36+7*(D102+1)/2)*E102,0))</x:f>
        <x:v>2207</x:v>
      </x:c>
      <x:c r="Z102" s="119" t="n">
        <x:f>IF(X102=0,0,(X102-IF(1=D102,1,0))*ROUND(Y102*VLOOKUP(INDEX('章节与怪物'!$E$31:$K$37,B102,1),'章节与怪物'!$A$41:$F$44,2,FALSE),0)+IF(1=D102,ROUND(Y102*'难度参数'!$E$28*'章节与怪物'!$E$17,0),0))</x:f>
        <x:v>31780</x:v>
      </x:c>
      <x:c r="AA102" s="119" t="n">
        <x:f>IF(X102=0,0,(X102-IF(1=D102,1,0))*VLOOKUP(INDEX('章节与怪物'!$E$31:$K$37,B102,1),'章节与怪物'!$A$41:$F$44,4,FALSE)+IF(1=D102,'难度参数'!$E$30,0))</x:f>
        <x:v>400</x:v>
      </x:c>
      <x:c r="AB102" s="119" t="n">
        <x:f>IF(2&gt;D102,0,MAX(2,MIN('难度参数'!$E$12,ROUND(('难度参数'!$E$18*POWER(A102,'难度参数'!$E$19)/D102*(0.85+0.3*(2-1)/MAX(1,D102-1))),0)+F102)))</x:f>
        <x:v>21</x:v>
      </x:c>
      <x:c r="AC102" s="119" t="n">
        <x:f>IF(2&gt;D102,0,ROUND(('难度参数'!$E$13*POWER(A102,'难度参数'!$E$20)*MIN('难度参数'!$E$23,1+MAX(0,A102-'难度参数'!$E$21)*'难度参数'!$E$22))*(36+2*7)/(36+7*(D102+1)/2)*E102,0))</x:f>
        <x:v>2566</x:v>
      </x:c>
      <x:c r="AD102" s="119" t="n">
        <x:f>IF(AB102=0,0,(AB102-IF(2=D102,1,0))*ROUND(AC102*VLOOKUP(INDEX('章节与怪物'!$E$31:$K$37,B102,2),'章节与怪物'!$A$41:$F$44,2,FALSE),0)+IF(2=D102,ROUND(AC102*'难度参数'!$E$28*'章节与怪物'!$E$17,0),0))</x:f>
        <x:v>53886</x:v>
      </x:c>
      <x:c r="AE102" s="119" t="n">
        <x:f>IF(AB102=0,0,(AB102-IF(2=D102,1,0))*VLOOKUP(INDEX('章节与怪物'!$E$31:$K$37,B102,2),'章节与怪物'!$A$41:$F$44,4,FALSE)+IF(2=D102,'难度参数'!$E$30,0))</x:f>
        <x:v>378</x:v>
      </x:c>
      <x:c r="AF102" s="119" t="n">
        <x:f>IF(3&gt;D102,0,MAX(2,MIN('难度参数'!$E$12,ROUND(('难度参数'!$E$18*POWER(A102,'难度参数'!$E$19)/D102*(0.85+0.3*(3-1)/MAX(1,D102-1))),0)+F102)))</x:f>
        <x:v>22</x:v>
      </x:c>
      <x:c r="AG102" s="119" t="n">
        <x:f>IF(3&gt;D102,0,ROUND(('难度参数'!$E$13*POWER(A102,'难度参数'!$E$20)*MIN('难度参数'!$E$23,1+MAX(0,A102-'难度参数'!$E$21)*'难度参数'!$E$22))*(36+3*7)/(36+7*(D102+1)/2)*E102,0))</x:f>
        <x:v>2925</x:v>
      </x:c>
      <x:c r="AH102" s="119" t="n">
        <x:f>IF(AF102=0,0,(AF102-IF(3=D102,1,0))*ROUND(AG102*VLOOKUP(INDEX('章节与怪物'!$E$31:$K$37,B102,3),'章节与怪物'!$A$41:$F$44,2,FALSE),0)+IF(3=D102,ROUND(AG102*'难度参数'!$E$28*'章节与怪物'!$E$17,0),0))</x:f>
        <x:v>109406</x:v>
      </x:c>
      <x:c r="AI102" s="119" t="n">
        <x:f>IF(AF102=0,0,(AF102-IF(3=D102,1,0))*VLOOKUP(INDEX('章节与怪物'!$E$31:$K$37,B102,3),'章节与怪物'!$A$41:$F$44,4,FALSE)+IF(3=D102,'难度参数'!$E$30,0))</x:f>
        <x:v>616</x:v>
      </x:c>
      <x:c r="AJ102" s="119" t="n">
        <x:f>IF(4&gt;D102,0,MAX(2,MIN('难度参数'!$E$12,ROUND(('难度参数'!$E$18*POWER(A102,'难度参数'!$E$19)/D102*(0.85+0.3*(4-1)/MAX(1,D102-1))),0)+F102)))</x:f>
        <x:v>23</x:v>
      </x:c>
      <x:c r="AK102" s="119" t="n">
        <x:f>IF(4&gt;D102,0,ROUND(('难度参数'!$E$13*POWER(A102,'难度参数'!$E$20)*MIN('难度参数'!$E$23,1+MAX(0,A102-'难度参数'!$E$21)*'难度参数'!$E$22))*(36+4*7)/(36+7*(D102+1)/2)*E102,0))</x:f>
        <x:v>3284</x:v>
      </x:c>
      <x:c r="AL102" s="119" t="n">
        <x:f>IF(AJ102=0,0,(AJ102-IF(4=D102,1,0))*ROUND(AK102*VLOOKUP(INDEX('章节与怪物'!$E$31:$K$37,B102,4),'章节与怪物'!$A$41:$F$44,2,FALSE),0)+IF(4=D102,ROUND(AK102*'难度参数'!$E$28*'章节与怪物'!$E$17,0),0))</x:f>
        <x:v>101959</x:v>
      </x:c>
      <x:c r="AM102" s="119" t="n">
        <x:f>IF(AJ102=0,0,(AJ102-IF(4=D102,1,0))*VLOOKUP(INDEX('章节与怪物'!$E$31:$K$37,B102,4),'章节与怪物'!$A$41:$F$44,4,FALSE)+IF(4=D102,'难度参数'!$E$30,0))</x:f>
        <x:v>782</x:v>
      </x:c>
      <x:c r="AN102" s="119" t="n">
        <x:f>IF(5&gt;D102,0,MAX(2,MIN('难度参数'!$E$12,ROUND(('难度参数'!$E$18*POWER(A102,'难度参数'!$E$19)/D102*(0.85+0.3*(5-1)/MAX(1,D102-1))),0)+F102)))</x:f>
        <x:v>24</x:v>
      </x:c>
      <x:c r="AO102" s="119" t="n">
        <x:f>IF(5&gt;D102,0,ROUND(('难度参数'!$E$13*POWER(A102,'难度参数'!$E$20)*MIN('难度参数'!$E$23,1+MAX(0,A102-'难度参数'!$E$21)*'难度参数'!$E$22))*(36+5*7)/(36+7*(D102+1)/2)*E102,0))</x:f>
        <x:v>3643</x:v>
      </x:c>
      <x:c r="AP102" s="119" t="n">
        <x:f>IF(AN102=0,0,(AN102-IF(5=D102,1,0))*ROUND(AO102*VLOOKUP(INDEX('章节与怪物'!$E$31:$K$37,B102,5),'章节与怪物'!$A$41:$F$44,2,FALSE),0)+IF(5=D102,ROUND(AO102*'难度参数'!$E$28*'章节与怪物'!$E$17,0),0))</x:f>
        <x:v>87432</x:v>
      </x:c>
      <x:c r="AQ102" s="119" t="n">
        <x:f>IF(AN102=0,0,(AN102-IF(5=D102,1,0))*VLOOKUP(INDEX('章节与怪物'!$E$31:$K$37,B102,5),'章节与怪物'!$A$41:$F$44,4,FALSE)+IF(5=D102,'难度参数'!$E$30,0))</x:f>
        <x:v>432</x:v>
      </x:c>
      <x:c r="AR102" s="119" t="n">
        <x:f>IF(6&gt;D102,0,MAX(2,MIN('难度参数'!$E$12,ROUND(('难度参数'!$E$18*POWER(A102,'难度参数'!$E$19)/D102*(0.85+0.3*(6-1)/MAX(1,D102-1))),0)+F102)))</x:f>
        <x:v>26</x:v>
      </x:c>
      <x:c r="AS102" s="119" t="n">
        <x:f>IF(6&gt;D102,0,ROUND(('难度参数'!$E$13*POWER(A102,'难度参数'!$E$20)*MIN('难度参数'!$E$23,1+MAX(0,A102-'难度参数'!$E$21)*'难度参数'!$E$22))*(36+6*7)/(36+7*(D102+1)/2)*E102,0))</x:f>
        <x:v>4003</x:v>
      </x:c>
      <x:c r="AT102" s="119" t="n">
        <x:f>IF(AR102=0,0,(AR102-IF(6=D102,1,0))*ROUND(AS102*VLOOKUP(INDEX('章节与怪物'!$E$31:$K$37,B102,6),'章节与怪物'!$A$41:$F$44,2,FALSE),0)+IF(6=D102,ROUND(AS102*'难度参数'!$E$28*'章节与怪物'!$E$17,0),0))</x:f>
        <x:v>176930</x:v>
      </x:c>
      <x:c r="AU102" s="119" t="n">
        <x:f>IF(AR102=0,0,(AR102-IF(6=D102,1,0))*VLOOKUP(INDEX('章节与怪物'!$E$31:$K$37,B102,6),'章节与怪物'!$A$41:$F$44,4,FALSE)+IF(6=D102,'难度参数'!$E$30,0))</x:f>
        <x:v>728</x:v>
      </x:c>
      <x:c r="AV102" s="119" t="n">
        <x:f>IF(7&gt;D102,0,MAX(2,MIN('难度参数'!$E$12,ROUND(('难度参数'!$E$18*POWER(A102,'难度参数'!$E$19)/D102*(0.85+0.3*(7-1)/MAX(1,D102-1))),0)+F102)))</x:f>
        <x:v>27</x:v>
      </x:c>
      <x:c r="AW102" s="119" t="n">
        <x:f>IF(7&gt;D102,0,ROUND(('难度参数'!$E$13*POWER(A102,'难度参数'!$E$20)*MIN('难度参数'!$E$23,1+MAX(0,A102-'难度参数'!$E$21)*'难度参数'!$E$22))*(36+7*7)/(36+7*(D102+1)/2)*E102,0))</x:f>
        <x:v>4362</x:v>
      </x:c>
      <x:c r="AX102" s="119" t="n">
        <x:f>IF(AV102=0,0,(AV102-IF(7=D102,1,0))*ROUND(AW102*VLOOKUP(INDEX('章节与怪物'!$E$31:$K$37,B102,7),'章节与怪物'!$A$41:$F$44,2,FALSE),0)+IF(7=D102,ROUND(AW102*'难度参数'!$E$28*'章节与怪物'!$E$17,0),0))</x:f>
        <x:v>182776</x:v>
      </x:c>
      <x:c r="AY102" s="119" t="n">
        <x:f>IF(AV102=0,0,(AV102-IF(7=D102,1,0))*VLOOKUP(INDEX('章节与怪物'!$E$31:$K$37,B102,7),'章节与怪物'!$A$41:$F$44,4,FALSE)+IF(7=D102,'难度参数'!$E$30,0))</x:f>
        <x:v>1084</x:v>
      </x:c>
    </x:row>
    <x:row r="103" ht="23" customHeight="1">
      <x:c r="A103" s="119" t="n">
        <x:v>97</x:v>
      </x:c>
      <x:c r="B103" s="119" t="n">
        <x:f>MOD(INT((A103-1)/5),7)+1</x:f>
        <x:v>6</x:v>
      </x:c>
      <x:c r="C103" s="62" t="str">
        <x:f>INDEX('章节与怪物'!$B$31:$B$37,B103)</x:f>
        <x:v>熔岩山脉</x:v>
      </x:c>
      <x:c r="D103" s="119" t="n">
        <x:f>MIN('难度参数'!$E$8,MAX('难度参数'!$E$7,A103))</x:f>
        <x:v>7</x:v>
      </x:c>
      <x:c r="E103" s="106" t="n">
        <x:v>1</x:v>
      </x:c>
      <x:c r="F103" s="106" t="n">
        <x:v>0</x:v>
      </x:c>
      <x:c r="G103" s="106" t="n">
        <x:v>1</x:v>
      </x:c>
      <x:c r="H103" s="119" t="n">
        <x:f>SUM(X103,AB103,AF103,AJ103,AN103,AR103,AV103)</x:f>
        <x:v>164</x:v>
      </x:c>
      <x:c r="I103" s="119" t="n">
        <x:f>SUM(Z103,AD103,AH103,AL103,AP103,AT103,AX103)</x:f>
        <x:v>755211</x:v>
      </x:c>
      <x:c r="J103" s="119" t="n">
        <x:f>ROUND(INDEX(X103:AY103,1,(D103-1)*4+2)*'难度参数'!$E$28*'章节与怪物'!$E$17,0)</x:f>
        <x:v>29954</x:v>
      </x:c>
      <x:c r="K103" s="119" t="n">
        <x:f>SUM(AA103,AE103,AI103,AM103,AQ103,AU103,AY103)</x:f>
        <x:v>4438</x:v>
      </x:c>
      <x:c r="L103" s="62" t="n">
        <x:f>H103*(ROUNDUP('难度参数'!$E$24/('难度参数'!$E$26*'难度参数'!$E$27),0)*'难度参数'!$E$26)/60</x:f>
        <x:v>2.186666666666667</x:v>
      </x:c>
      <x:c r="M103" s="62" t="n">
        <x:f>L103+D103*('难度参数'!$E$49+'难度参数'!$E$50)/60</x:f>
        <x:v>3.3533333333333335</x:v>
      </x:c>
      <x:c r="N103" s="119" t="n">
        <x:f>ROUNDDOWN(('经济参数'!$E$20+A103*'经济参数'!$E$21)*G103,0)</x:f>
        <x:v>2120</x:v>
      </x:c>
      <x:c r="O103" s="119" t="n">
        <x:f>ROUNDDOWN(MIN('经济参数'!$E$24,'经济参数'!$E$22+A103*'经济参数'!$E$23)*G103,0)</x:f>
        <x:v>0</x:v>
      </x:c>
      <x:c r="P103" s="119" t="n">
        <x:f>ROUNDDOWN((IF(A103&gt;='材料与任务'!$E$31,'材料与任务'!$E$32,IF(A103&gt;='材料与任务'!$E$25,'材料与任务'!$E$26,IF(A103&gt;='材料与任务'!$E$19,'材料与任务'!$E$20,IF(A103&gt;='材料与任务'!$E$13,'材料与任务'!$E$14,'材料与任务'!$E$8)))))*G103,0)</x:f>
        <x:v>5</x:v>
      </x:c>
      <x:c r="Q103" s="119" t="n">
        <x:f>ROUNDDOWN((IF(A103&gt;='材料与任务'!$E$31,'材料与任务'!$E$33,IF(A103&gt;='材料与任务'!$E$25,'材料与任务'!$E$27,IF(A103&gt;='材料与任务'!$E$19,'材料与任务'!$E$21,IF(A103&gt;='材料与任务'!$E$13,'材料与任务'!$E$15,'材料与任务'!$E$9)))))*G103,0)</x:f>
        <x:v>2</x:v>
      </x:c>
      <x:c r="R103" s="110" t="n">
        <x:f>'装备掉落'!$B$38</x:f>
        <x:v>0.6872058758851213</x:v>
      </x:c>
      <x:c r="S103" s="119" t="n">
        <x:f>MAX(IF(VLOOKUP(A103,'装备掉落'!$A$29:$H$34,2,TRUE)&gt;0,1,0),IF(VLOOKUP(A103,'装备掉落'!$A$29:$H$34,3,TRUE)&gt;0,2,0),IF(VLOOKUP(A103,'装备掉落'!$A$29:$H$34,4,TRUE)&gt;0,3,0),IF(VLOOKUP(A103,'装备掉落'!$A$29:$H$34,5,TRUE)&gt;0,4,0),IF(VLOOKUP(A103,'装备掉落'!$A$29:$H$34,6,TRUE)&gt;0,5,0),IF(VLOOKUP(A103,'装备掉落'!$A$29:$H$34,7,TRUE)&gt;0,6,0),IF(VLOOKUP(A103,'装备掉落'!$A$29:$H$34,8,TRUE)&gt;0,7,0))</x:f>
        <x:v>7</x:v>
      </x:c>
      <x:c r="T103" s="119" t="n">
        <x:f>MIN(7,S103+'经济参数'!$E$70)</x:f>
        <x:v>7</x:v>
      </x:c>
      <x:c r="U103" s="119" t="n">
        <x:f>MIN(7,S103+'经济参数'!$E$71)</x:f>
        <x:v>7</x:v>
      </x:c>
      <x:c r="V103" s="119" t="n">
        <x:f>IF(H103&gt;=('难度参数'!$E$52),1,0)+IF(H103&gt;=('难度参数'!$E$52+'难度参数'!$E$53),1,0)+IF(H103&gt;=('难度参数'!$E$52+'难度参数'!$E$53+'难度参数'!$E$54),1,0)+IF(H103&gt;=('难度参数'!$E$52+'难度参数'!$E$53+'难度参数'!$E$54+'难度参数'!$E$55),1,0)+IF(H103&gt;=('难度参数'!$E$52+'难度参数'!$E$53+'难度参数'!$E$54+'难度参数'!$E$55+'难度参数'!$E$56),1,0)+IF(H103&gt;=('难度参数'!$E$52+'难度参数'!$E$53+'难度参数'!$E$54+'难度参数'!$E$55+'难度参数'!$E$56+'难度参数'!$E$57),1,0)</x:f>
        <x:v>6</x:v>
      </x:c>
      <x:c r="W103" s="62" t="str">
        <x:f>IF(L103&gt;'难度参数'!$E$51,"仅出怪已超目标","还需实测")</x:f>
        <x:v>还需实测</x:v>
      </x:c>
      <x:c r="X103" s="119" t="n">
        <x:f>IF(1&gt;D103,0,MAX(2,MIN('难度参数'!$E$12,ROUND(('难度参数'!$E$18*POWER(A103,'难度参数'!$E$19)/D103*(0.85+0.3*(1-1)/MAX(1,D103-1))),0)+F103)))</x:f>
        <x:v>20</x:v>
      </x:c>
      <x:c r="Y103" s="119" t="n">
        <x:f>IF(1&gt;D103,0,ROUND(('难度参数'!$E$13*POWER(A103,'难度参数'!$E$20)*MIN('难度参数'!$E$23,1+MAX(0,A103-'难度参数'!$E$21)*'难度参数'!$E$22))*(36+1*7)/(36+7*(D103+1)/2)*E103,0))</x:f>
        <x:v>2229</x:v>
      </x:c>
      <x:c r="Z103" s="119" t="n">
        <x:f>IF(X103=0,0,(X103-IF(1=D103,1,0))*ROUND(Y103*VLOOKUP(INDEX('章节与怪物'!$E$31:$K$37,B103,1),'章节与怪物'!$A$41:$F$44,2,FALSE),0)+IF(1=D103,ROUND(Y103*'难度参数'!$E$28*'章节与怪物'!$E$17,0),0))</x:f>
        <x:v>32100</x:v>
      </x:c>
      <x:c r="AA103" s="119" t="n">
        <x:f>IF(X103=0,0,(X103-IF(1=D103,1,0))*VLOOKUP(INDEX('章节与怪物'!$E$31:$K$37,B103,1),'章节与怪物'!$A$41:$F$44,4,FALSE)+IF(1=D103,'难度参数'!$E$30,0))</x:f>
        <x:v>400</x:v>
      </x:c>
      <x:c r="AB103" s="119" t="n">
        <x:f>IF(2&gt;D103,0,MAX(2,MIN('难度参数'!$E$12,ROUND(('难度参数'!$E$18*POWER(A103,'难度参数'!$E$19)/D103*(0.85+0.3*(2-1)/MAX(1,D103-1))),0)+F103)))</x:f>
        <x:v>21</x:v>
      </x:c>
      <x:c r="AC103" s="119" t="n">
        <x:f>IF(2&gt;D103,0,ROUND(('难度参数'!$E$13*POWER(A103,'难度参数'!$E$20)*MIN('难度参数'!$E$23,1+MAX(0,A103-'难度参数'!$E$21)*'难度参数'!$E$22))*(36+2*7)/(36+7*(D103+1)/2)*E103,0))</x:f>
        <x:v>2591</x:v>
      </x:c>
      <x:c r="AD103" s="119" t="n">
        <x:f>IF(AB103=0,0,(AB103-IF(2=D103,1,0))*ROUND(AC103*VLOOKUP(INDEX('章节与怪物'!$E$31:$K$37,B103,2),'章节与怪物'!$A$41:$F$44,2,FALSE),0)+IF(2=D103,ROUND(AC103*'难度参数'!$E$28*'章节与怪物'!$E$17,0),0))</x:f>
        <x:v>54411</x:v>
      </x:c>
      <x:c r="AE103" s="119" t="n">
        <x:f>IF(AB103=0,0,(AB103-IF(2=D103,1,0))*VLOOKUP(INDEX('章节与怪物'!$E$31:$K$37,B103,2),'章节与怪物'!$A$41:$F$44,4,FALSE)+IF(2=D103,'难度参数'!$E$30,0))</x:f>
        <x:v>378</x:v>
      </x:c>
      <x:c r="AF103" s="119" t="n">
        <x:f>IF(3&gt;D103,0,MAX(2,MIN('难度参数'!$E$12,ROUND(('难度参数'!$E$18*POWER(A103,'难度参数'!$E$19)/D103*(0.85+0.3*(3-1)/MAX(1,D103-1))),0)+F103)))</x:f>
        <x:v>22</x:v>
      </x:c>
      <x:c r="AG103" s="119" t="n">
        <x:f>IF(3&gt;D103,0,ROUND(('难度参数'!$E$13*POWER(A103,'难度参数'!$E$20)*MIN('难度参数'!$E$23,1+MAX(0,A103-'难度参数'!$E$21)*'难度参数'!$E$22))*(36+3*7)/(36+7*(D103+1)/2)*E103,0))</x:f>
        <x:v>2954</x:v>
      </x:c>
      <x:c r="AH103" s="119" t="n">
        <x:f>IF(AF103=0,0,(AF103-IF(3=D103,1,0))*ROUND(AG103*VLOOKUP(INDEX('章节与怪物'!$E$31:$K$37,B103,3),'章节与怪物'!$A$41:$F$44,2,FALSE),0)+IF(3=D103,ROUND(AG103*'难度参数'!$E$28*'章节与怪物'!$E$17,0),0))</x:f>
        <x:v>110484</x:v>
      </x:c>
      <x:c r="AI103" s="119" t="n">
        <x:f>IF(AF103=0,0,(AF103-IF(3=D103,1,0))*VLOOKUP(INDEX('章节与怪物'!$E$31:$K$37,B103,3),'章节与怪物'!$A$41:$F$44,4,FALSE)+IF(3=D103,'难度参数'!$E$30,0))</x:f>
        <x:v>616</x:v>
      </x:c>
      <x:c r="AJ103" s="119" t="n">
        <x:f>IF(4&gt;D103,0,MAX(2,MIN('难度参数'!$E$12,ROUND(('难度参数'!$E$18*POWER(A103,'难度参数'!$E$19)/D103*(0.85+0.3*(4-1)/MAX(1,D103-1))),0)+F103)))</x:f>
        <x:v>23</x:v>
      </x:c>
      <x:c r="AK103" s="119" t="n">
        <x:f>IF(4&gt;D103,0,ROUND(('难度参数'!$E$13*POWER(A103,'难度参数'!$E$20)*MIN('难度参数'!$E$23,1+MAX(0,A103-'难度参数'!$E$21)*'难度参数'!$E$22))*(36+4*7)/(36+7*(D103+1)/2)*E103,0))</x:f>
        <x:v>3317</x:v>
      </x:c>
      <x:c r="AL103" s="119" t="n">
        <x:f>IF(AJ103=0,0,(AJ103-IF(4=D103,1,0))*ROUND(AK103*VLOOKUP(INDEX('章节与怪物'!$E$31:$K$37,B103,4),'章节与怪物'!$A$41:$F$44,2,FALSE),0)+IF(4=D103,ROUND(AK103*'难度参数'!$E$28*'章节与怪物'!$E$17,0),0))</x:f>
        <x:v>102994</x:v>
      </x:c>
      <x:c r="AM103" s="119" t="n">
        <x:f>IF(AJ103=0,0,(AJ103-IF(4=D103,1,0))*VLOOKUP(INDEX('章节与怪物'!$E$31:$K$37,B103,4),'章节与怪物'!$A$41:$F$44,4,FALSE)+IF(4=D103,'难度参数'!$E$30,0))</x:f>
        <x:v>782</x:v>
      </x:c>
      <x:c r="AN103" s="119" t="n">
        <x:f>IF(5&gt;D103,0,MAX(2,MIN('难度参数'!$E$12,ROUND(('难度参数'!$E$18*POWER(A103,'难度参数'!$E$19)/D103*(0.85+0.3*(5-1)/MAX(1,D103-1))),0)+F103)))</x:f>
        <x:v>25</x:v>
      </x:c>
      <x:c r="AO103" s="119" t="n">
        <x:f>IF(5&gt;D103,0,ROUND(('难度参数'!$E$13*POWER(A103,'难度参数'!$E$20)*MIN('难度参数'!$E$23,1+MAX(0,A103-'难度参数'!$E$21)*'难度参数'!$E$22))*(36+5*7)/(36+7*(D103+1)/2)*E103,0))</x:f>
        <x:v>3680</x:v>
      </x:c>
      <x:c r="AP103" s="119" t="n">
        <x:f>IF(AN103=0,0,(AN103-IF(5=D103,1,0))*ROUND(AO103*VLOOKUP(INDEX('章节与怪物'!$E$31:$K$37,B103,5),'章节与怪物'!$A$41:$F$44,2,FALSE),0)+IF(5=D103,ROUND(AO103*'难度参数'!$E$28*'章节与怪物'!$E$17,0),0))</x:f>
        <x:v>92000</x:v>
      </x:c>
      <x:c r="AQ103" s="119" t="n">
        <x:f>IF(AN103=0,0,(AN103-IF(5=D103,1,0))*VLOOKUP(INDEX('章节与怪物'!$E$31:$K$37,B103,5),'章节与怪物'!$A$41:$F$44,4,FALSE)+IF(5=D103,'难度参数'!$E$30,0))</x:f>
        <x:v>450</x:v>
      </x:c>
      <x:c r="AR103" s="119" t="n">
        <x:f>IF(6&gt;D103,0,MAX(2,MIN('难度参数'!$E$12,ROUND(('难度参数'!$E$18*POWER(A103,'难度参数'!$E$19)/D103*(0.85+0.3*(6-1)/MAX(1,D103-1))),0)+F103)))</x:f>
        <x:v>26</x:v>
      </x:c>
      <x:c r="AS103" s="119" t="n">
        <x:f>IF(6&gt;D103,0,ROUND(('难度参数'!$E$13*POWER(A103,'难度参数'!$E$20)*MIN('难度参数'!$E$23,1+MAX(0,A103-'难度参数'!$E$21)*'难度参数'!$E$22))*(36+6*7)/(36+7*(D103+1)/2)*E103,0))</x:f>
        <x:v>4042</x:v>
      </x:c>
      <x:c r="AT103" s="119" t="n">
        <x:f>IF(AR103=0,0,(AR103-IF(6=D103,1,0))*ROUND(AS103*VLOOKUP(INDEX('章节与怪物'!$E$31:$K$37,B103,6),'章节与怪物'!$A$41:$F$44,2,FALSE),0)+IF(6=D103,ROUND(AS103*'难度参数'!$E$28*'章节与怪物'!$E$17,0),0))</x:f>
        <x:v>178646</x:v>
      </x:c>
      <x:c r="AU103" s="119" t="n">
        <x:f>IF(AR103=0,0,(AR103-IF(6=D103,1,0))*VLOOKUP(INDEX('章节与怪物'!$E$31:$K$37,B103,6),'章节与怪物'!$A$41:$F$44,4,FALSE)+IF(6=D103,'难度参数'!$E$30,0))</x:f>
        <x:v>728</x:v>
      </x:c>
      <x:c r="AV103" s="119" t="n">
        <x:f>IF(7&gt;D103,0,MAX(2,MIN('难度参数'!$E$12,ROUND(('难度参数'!$E$18*POWER(A103,'难度参数'!$E$19)/D103*(0.85+0.3*(7-1)/MAX(1,D103-1))),0)+F103)))</x:f>
        <x:v>27</x:v>
      </x:c>
      <x:c r="AW103" s="119" t="n">
        <x:f>IF(7&gt;D103,0,ROUND(('难度参数'!$E$13*POWER(A103,'难度参数'!$E$20)*MIN('难度参数'!$E$23,1+MAX(0,A103-'难度参数'!$E$21)*'难度参数'!$E$22))*(36+7*7)/(36+7*(D103+1)/2)*E103,0))</x:f>
        <x:v>4405</x:v>
      </x:c>
      <x:c r="AX103" s="119" t="n">
        <x:f>IF(AV103=0,0,(AV103-IF(7=D103,1,0))*ROUND(AW103*VLOOKUP(INDEX('章节与怪物'!$E$31:$K$37,B103,7),'章节与怪物'!$A$41:$F$44,2,FALSE),0)+IF(7=D103,ROUND(AW103*'难度参数'!$E$28*'章节与怪物'!$E$17,0),0))</x:f>
        <x:v>184576</x:v>
      </x:c>
      <x:c r="AY103" s="119" t="n">
        <x:f>IF(AV103=0,0,(AV103-IF(7=D103,1,0))*VLOOKUP(INDEX('章节与怪物'!$E$31:$K$37,B103,7),'章节与怪物'!$A$41:$F$44,4,FALSE)+IF(7=D103,'难度参数'!$E$30,0))</x:f>
        <x:v>1084</x:v>
      </x:c>
    </x:row>
    <x:row r="104" ht="23" customHeight="1">
      <x:c r="A104" s="119" t="n">
        <x:v>98</x:v>
      </x:c>
      <x:c r="B104" s="119" t="n">
        <x:f>MOD(INT((A104-1)/5),7)+1</x:f>
        <x:v>6</x:v>
      </x:c>
      <x:c r="C104" s="62" t="str">
        <x:f>INDEX('章节与怪物'!$B$31:$B$37,B104)</x:f>
        <x:v>熔岩山脉</x:v>
      </x:c>
      <x:c r="D104" s="119" t="n">
        <x:f>MIN('难度参数'!$E$8,MAX('难度参数'!$E$7,A104))</x:f>
        <x:v>7</x:v>
      </x:c>
      <x:c r="E104" s="106" t="n">
        <x:v>1</x:v>
      </x:c>
      <x:c r="F104" s="106" t="n">
        <x:v>0</x:v>
      </x:c>
      <x:c r="G104" s="106" t="n">
        <x:v>1</x:v>
      </x:c>
      <x:c r="H104" s="119" t="n">
        <x:f>SUM(X104,AB104,AF104,AJ104,AN104,AR104,AV104)</x:f>
        <x:v>164</x:v>
      </x:c>
      <x:c r="I104" s="119" t="n">
        <x:f>SUM(Z104,AD104,AH104,AL104,AP104,AT104,AX104)</x:f>
        <x:v>762691</x:v>
      </x:c>
      <x:c r="J104" s="119" t="n">
        <x:f>ROUND(INDEX(X104:AY104,1,(D104-1)*4+2)*'难度参数'!$E$28*'章节与怪物'!$E$17,0)</x:f>
        <x:v>30253</x:v>
      </x:c>
      <x:c r="K104" s="119" t="n">
        <x:f>SUM(AA104,AE104,AI104,AM104,AQ104,AU104,AY104)</x:f>
        <x:v>4438</x:v>
      </x:c>
      <x:c r="L104" s="62" t="n">
        <x:f>H104*(ROUNDUP('难度参数'!$E$24/('难度参数'!$E$26*'难度参数'!$E$27),0)*'难度参数'!$E$26)/60</x:f>
        <x:v>2.186666666666667</x:v>
      </x:c>
      <x:c r="M104" s="62" t="n">
        <x:f>L104+D104*('难度参数'!$E$49+'难度参数'!$E$50)/60</x:f>
        <x:v>3.3533333333333335</x:v>
      </x:c>
      <x:c r="N104" s="119" t="n">
        <x:f>ROUNDDOWN(('经济参数'!$E$20+A104*'经济参数'!$E$21)*G104,0)</x:f>
        <x:v>2140</x:v>
      </x:c>
      <x:c r="O104" s="119" t="n">
        <x:f>ROUNDDOWN(MIN('经济参数'!$E$24,'经济参数'!$E$22+A104*'经济参数'!$E$23)*G104,0)</x:f>
        <x:v>0</x:v>
      </x:c>
      <x:c r="P104" s="119" t="n">
        <x:f>ROUNDDOWN((IF(A104&gt;='材料与任务'!$E$31,'材料与任务'!$E$32,IF(A104&gt;='材料与任务'!$E$25,'材料与任务'!$E$26,IF(A104&gt;='材料与任务'!$E$19,'材料与任务'!$E$20,IF(A104&gt;='材料与任务'!$E$13,'材料与任务'!$E$14,'材料与任务'!$E$8)))))*G104,0)</x:f>
        <x:v>5</x:v>
      </x:c>
      <x:c r="Q104" s="119" t="n">
        <x:f>ROUNDDOWN((IF(A104&gt;='材料与任务'!$E$31,'材料与任务'!$E$33,IF(A104&gt;='材料与任务'!$E$25,'材料与任务'!$E$27,IF(A104&gt;='材料与任务'!$E$19,'材料与任务'!$E$21,IF(A104&gt;='材料与任务'!$E$13,'材料与任务'!$E$15,'材料与任务'!$E$9)))))*G104,0)</x:f>
        <x:v>2</x:v>
      </x:c>
      <x:c r="R104" s="110" t="n">
        <x:f>'装备掉落'!$B$38</x:f>
        <x:v>0.6872058758851213</x:v>
      </x:c>
      <x:c r="S104" s="119" t="n">
        <x:f>MAX(IF(VLOOKUP(A104,'装备掉落'!$A$29:$H$34,2,TRUE)&gt;0,1,0),IF(VLOOKUP(A104,'装备掉落'!$A$29:$H$34,3,TRUE)&gt;0,2,0),IF(VLOOKUP(A104,'装备掉落'!$A$29:$H$34,4,TRUE)&gt;0,3,0),IF(VLOOKUP(A104,'装备掉落'!$A$29:$H$34,5,TRUE)&gt;0,4,0),IF(VLOOKUP(A104,'装备掉落'!$A$29:$H$34,6,TRUE)&gt;0,5,0),IF(VLOOKUP(A104,'装备掉落'!$A$29:$H$34,7,TRUE)&gt;0,6,0),IF(VLOOKUP(A104,'装备掉落'!$A$29:$H$34,8,TRUE)&gt;0,7,0))</x:f>
        <x:v>7</x:v>
      </x:c>
      <x:c r="T104" s="119" t="n">
        <x:f>MIN(7,S104+'经济参数'!$E$70)</x:f>
        <x:v>7</x:v>
      </x:c>
      <x:c r="U104" s="119" t="n">
        <x:f>MIN(7,S104+'经济参数'!$E$71)</x:f>
        <x:v>7</x:v>
      </x:c>
      <x:c r="V104" s="119" t="n">
        <x:f>IF(H104&gt;=('难度参数'!$E$52),1,0)+IF(H104&gt;=('难度参数'!$E$52+'难度参数'!$E$53),1,0)+IF(H104&gt;=('难度参数'!$E$52+'难度参数'!$E$53+'难度参数'!$E$54),1,0)+IF(H104&gt;=('难度参数'!$E$52+'难度参数'!$E$53+'难度参数'!$E$54+'难度参数'!$E$55),1,0)+IF(H104&gt;=('难度参数'!$E$52+'难度参数'!$E$53+'难度参数'!$E$54+'难度参数'!$E$55+'难度参数'!$E$56),1,0)+IF(H104&gt;=('难度参数'!$E$52+'难度参数'!$E$53+'难度参数'!$E$54+'难度参数'!$E$55+'难度参数'!$E$56+'难度参数'!$E$57),1,0)</x:f>
        <x:v>6</x:v>
      </x:c>
      <x:c r="W104" s="62" t="str">
        <x:f>IF(L104&gt;'难度参数'!$E$51,"仅出怪已超目标","还需实测")</x:f>
        <x:v>还需实测</x:v>
      </x:c>
      <x:c r="X104" s="119" t="n">
        <x:f>IF(1&gt;D104,0,MAX(2,MIN('难度参数'!$E$12,ROUND(('难度参数'!$E$18*POWER(A104,'难度参数'!$E$19)/D104*(0.85+0.3*(1-1)/MAX(1,D104-1))),0)+F104)))</x:f>
        <x:v>20</x:v>
      </x:c>
      <x:c r="Y104" s="119" t="n">
        <x:f>IF(1&gt;D104,0,ROUND(('难度参数'!$E$13*POWER(A104,'难度参数'!$E$20)*MIN('难度参数'!$E$23,1+MAX(0,A104-'难度参数'!$E$21)*'难度参数'!$E$22))*(36+1*7)/(36+7*(D104+1)/2)*E104,0))</x:f>
        <x:v>2251</x:v>
      </x:c>
      <x:c r="Z104" s="119" t="n">
        <x:f>IF(X104=0,0,(X104-IF(1=D104,1,0))*ROUND(Y104*VLOOKUP(INDEX('章节与怪物'!$E$31:$K$37,B104,1),'章节与怪物'!$A$41:$F$44,2,FALSE),0)+IF(1=D104,ROUND(Y104*'难度参数'!$E$28*'章节与怪物'!$E$17,0),0))</x:f>
        <x:v>32420</x:v>
      </x:c>
      <x:c r="AA104" s="119" t="n">
        <x:f>IF(X104=0,0,(X104-IF(1=D104,1,0))*VLOOKUP(INDEX('章节与怪物'!$E$31:$K$37,B104,1),'章节与怪物'!$A$41:$F$44,4,FALSE)+IF(1=D104,'难度参数'!$E$30,0))</x:f>
        <x:v>400</x:v>
      </x:c>
      <x:c r="AB104" s="119" t="n">
        <x:f>IF(2&gt;D104,0,MAX(2,MIN('难度参数'!$E$12,ROUND(('难度参数'!$E$18*POWER(A104,'难度参数'!$E$19)/D104*(0.85+0.3*(2-1)/MAX(1,D104-1))),0)+F104)))</x:f>
        <x:v>21</x:v>
      </x:c>
      <x:c r="AC104" s="119" t="n">
        <x:f>IF(2&gt;D104,0,ROUND(('难度参数'!$E$13*POWER(A104,'难度参数'!$E$20)*MIN('难度参数'!$E$23,1+MAX(0,A104-'难度参数'!$E$21)*'难度参数'!$E$22))*(36+2*7)/(36+7*(D104+1)/2)*E104,0))</x:f>
        <x:v>2617</x:v>
      </x:c>
      <x:c r="AD104" s="119" t="n">
        <x:f>IF(AB104=0,0,(AB104-IF(2=D104,1,0))*ROUND(AC104*VLOOKUP(INDEX('章节与怪物'!$E$31:$K$37,B104,2),'章节与怪物'!$A$41:$F$44,2,FALSE),0)+IF(2=D104,ROUND(AC104*'难度参数'!$E$28*'章节与怪物'!$E$17,0),0))</x:f>
        <x:v>54957</x:v>
      </x:c>
      <x:c r="AE104" s="119" t="n">
        <x:f>IF(AB104=0,0,(AB104-IF(2=D104,1,0))*VLOOKUP(INDEX('章节与怪物'!$E$31:$K$37,B104,2),'章节与怪物'!$A$41:$F$44,4,FALSE)+IF(2=D104,'难度参数'!$E$30,0))</x:f>
        <x:v>378</x:v>
      </x:c>
      <x:c r="AF104" s="119" t="n">
        <x:f>IF(3&gt;D104,0,MAX(2,MIN('难度参数'!$E$12,ROUND(('难度参数'!$E$18*POWER(A104,'难度参数'!$E$19)/D104*(0.85+0.3*(3-1)/MAX(1,D104-1))),0)+F104)))</x:f>
        <x:v>22</x:v>
      </x:c>
      <x:c r="AG104" s="119" t="n">
        <x:f>IF(3&gt;D104,0,ROUND(('难度参数'!$E$13*POWER(A104,'难度参数'!$E$20)*MIN('难度参数'!$E$23,1+MAX(0,A104-'难度参数'!$E$21)*'难度参数'!$E$22))*(36+3*7)/(36+7*(D104+1)/2)*E104,0))</x:f>
        <x:v>2983</x:v>
      </x:c>
      <x:c r="AH104" s="119" t="n">
        <x:f>IF(AF104=0,0,(AF104-IF(3=D104,1,0))*ROUND(AG104*VLOOKUP(INDEX('章节与怪物'!$E$31:$K$37,B104,3),'章节与怪物'!$A$41:$F$44,2,FALSE),0)+IF(3=D104,ROUND(AG104*'难度参数'!$E$28*'章节与怪物'!$E$17,0),0))</x:f>
        <x:v>111562</x:v>
      </x:c>
      <x:c r="AI104" s="119" t="n">
        <x:f>IF(AF104=0,0,(AF104-IF(3=D104,1,0))*VLOOKUP(INDEX('章节与怪物'!$E$31:$K$37,B104,3),'章节与怪物'!$A$41:$F$44,4,FALSE)+IF(3=D104,'难度参数'!$E$30,0))</x:f>
        <x:v>616</x:v>
      </x:c>
      <x:c r="AJ104" s="119" t="n">
        <x:f>IF(4&gt;D104,0,MAX(2,MIN('难度参数'!$E$12,ROUND(('难度参数'!$E$18*POWER(A104,'难度参数'!$E$19)/D104*(0.85+0.3*(4-1)/MAX(1,D104-1))),0)+F104)))</x:f>
        <x:v>23</x:v>
      </x:c>
      <x:c r="AK104" s="119" t="n">
        <x:f>IF(4&gt;D104,0,ROUND(('难度参数'!$E$13*POWER(A104,'难度参数'!$E$20)*MIN('难度参数'!$E$23,1+MAX(0,A104-'难度参数'!$E$21)*'难度参数'!$E$22))*(36+4*7)/(36+7*(D104+1)/2)*E104,0))</x:f>
        <x:v>3350</x:v>
      </x:c>
      <x:c r="AL104" s="119" t="n">
        <x:f>IF(AJ104=0,0,(AJ104-IF(4=D104,1,0))*ROUND(AK104*VLOOKUP(INDEX('章节与怪物'!$E$31:$K$37,B104,4),'章节与怪物'!$A$41:$F$44,2,FALSE),0)+IF(4=D104,ROUND(AK104*'难度参数'!$E$28*'章节与怪物'!$E$17,0),0))</x:f>
        <x:v>104029</x:v>
      </x:c>
      <x:c r="AM104" s="119" t="n">
        <x:f>IF(AJ104=0,0,(AJ104-IF(4=D104,1,0))*VLOOKUP(INDEX('章节与怪物'!$E$31:$K$37,B104,4),'章节与怪物'!$A$41:$F$44,4,FALSE)+IF(4=D104,'难度参数'!$E$30,0))</x:f>
        <x:v>782</x:v>
      </x:c>
      <x:c r="AN104" s="119" t="n">
        <x:f>IF(5&gt;D104,0,MAX(2,MIN('难度参数'!$E$12,ROUND(('难度参数'!$E$18*POWER(A104,'难度参数'!$E$19)/D104*(0.85+0.3*(5-1)/MAX(1,D104-1))),0)+F104)))</x:f>
        <x:v>25</x:v>
      </x:c>
      <x:c r="AO104" s="119" t="n">
        <x:f>IF(5&gt;D104,0,ROUND(('难度参数'!$E$13*POWER(A104,'难度参数'!$E$20)*MIN('难度参数'!$E$23,1+MAX(0,A104-'难度参数'!$E$21)*'难度参数'!$E$22))*(36+5*7)/(36+7*(D104+1)/2)*E104,0))</x:f>
        <x:v>3716</x:v>
      </x:c>
      <x:c r="AP104" s="119" t="n">
        <x:f>IF(AN104=0,0,(AN104-IF(5=D104,1,0))*ROUND(AO104*VLOOKUP(INDEX('章节与怪物'!$E$31:$K$37,B104,5),'章节与怪物'!$A$41:$F$44,2,FALSE),0)+IF(5=D104,ROUND(AO104*'难度参数'!$E$28*'章节与怪物'!$E$17,0),0))</x:f>
        <x:v>92900</x:v>
      </x:c>
      <x:c r="AQ104" s="119" t="n">
        <x:f>IF(AN104=0,0,(AN104-IF(5=D104,1,0))*VLOOKUP(INDEX('章节与怪物'!$E$31:$K$37,B104,5),'章节与怪物'!$A$41:$F$44,4,FALSE)+IF(5=D104,'难度参数'!$E$30,0))</x:f>
        <x:v>450</x:v>
      </x:c>
      <x:c r="AR104" s="119" t="n">
        <x:f>IF(6&gt;D104,0,MAX(2,MIN('难度参数'!$E$12,ROUND(('难度参数'!$E$18*POWER(A104,'难度参数'!$E$19)/D104*(0.85+0.3*(6-1)/MAX(1,D104-1))),0)+F104)))</x:f>
        <x:v>26</x:v>
      </x:c>
      <x:c r="AS104" s="119" t="n">
        <x:f>IF(6&gt;D104,0,ROUND(('难度参数'!$E$13*POWER(A104,'难度参数'!$E$20)*MIN('难度参数'!$E$23,1+MAX(0,A104-'难度参数'!$E$21)*'难度参数'!$E$22))*(36+6*7)/(36+7*(D104+1)/2)*E104,0))</x:f>
        <x:v>4082</x:v>
      </x:c>
      <x:c r="AT104" s="119" t="n">
        <x:f>IF(AR104=0,0,(AR104-IF(6=D104,1,0))*ROUND(AS104*VLOOKUP(INDEX('章节与怪物'!$E$31:$K$37,B104,6),'章节与怪物'!$A$41:$F$44,2,FALSE),0)+IF(6=D104,ROUND(AS104*'难度参数'!$E$28*'章节与怪物'!$E$17,0),0))</x:f>
        <x:v>180414</x:v>
      </x:c>
      <x:c r="AU104" s="119" t="n">
        <x:f>IF(AR104=0,0,(AR104-IF(6=D104,1,0))*VLOOKUP(INDEX('章节与怪物'!$E$31:$K$37,B104,6),'章节与怪物'!$A$41:$F$44,4,FALSE)+IF(6=D104,'难度参数'!$E$30,0))</x:f>
        <x:v>728</x:v>
      </x:c>
      <x:c r="AV104" s="119" t="n">
        <x:f>IF(7&gt;D104,0,MAX(2,MIN('难度参数'!$E$12,ROUND(('难度参数'!$E$18*POWER(A104,'难度参数'!$E$19)/D104*(0.85+0.3*(7-1)/MAX(1,D104-1))),0)+F104)))</x:f>
        <x:v>27</x:v>
      </x:c>
      <x:c r="AW104" s="119" t="n">
        <x:f>IF(7&gt;D104,0,ROUND(('难度参数'!$E$13*POWER(A104,'难度参数'!$E$20)*MIN('难度参数'!$E$23,1+MAX(0,A104-'难度参数'!$E$21)*'难度参数'!$E$22))*(36+7*7)/(36+7*(D104+1)/2)*E104,0))</x:f>
        <x:v>4449</x:v>
      </x:c>
      <x:c r="AX104" s="119" t="n">
        <x:f>IF(AV104=0,0,(AV104-IF(7=D104,1,0))*ROUND(AW104*VLOOKUP(INDEX('章节与怪物'!$E$31:$K$37,B104,7),'章节与怪物'!$A$41:$F$44,2,FALSE),0)+IF(7=D104,ROUND(AW104*'难度参数'!$E$28*'章节与怪物'!$E$17,0),0))</x:f>
        <x:v>186409</x:v>
      </x:c>
      <x:c r="AY104" s="119" t="n">
        <x:f>IF(AV104=0,0,(AV104-IF(7=D104,1,0))*VLOOKUP(INDEX('章节与怪物'!$E$31:$K$37,B104,7),'章节与怪物'!$A$41:$F$44,4,FALSE)+IF(7=D104,'难度参数'!$E$30,0))</x:f>
        <x:v>1084</x:v>
      </x:c>
    </x:row>
    <x:row r="105" ht="23" customHeight="1">
      <x:c r="A105" s="119" t="n">
        <x:v>99</x:v>
      </x:c>
      <x:c r="B105" s="119" t="n">
        <x:f>MOD(INT((A105-1)/5),7)+1</x:f>
        <x:v>6</x:v>
      </x:c>
      <x:c r="C105" s="62" t="str">
        <x:f>INDEX('章节与怪物'!$B$31:$B$37,B105)</x:f>
        <x:v>熔岩山脉</x:v>
      </x:c>
      <x:c r="D105" s="119" t="n">
        <x:f>MIN('难度参数'!$E$8,MAX('难度参数'!$E$7,A105))</x:f>
        <x:v>7</x:v>
      </x:c>
      <x:c r="E105" s="106" t="n">
        <x:v>1</x:v>
      </x:c>
      <x:c r="F105" s="106" t="n">
        <x:v>0</x:v>
      </x:c>
      <x:c r="G105" s="106" t="n">
        <x:v>1</x:v>
      </x:c>
      <x:c r="H105" s="119" t="n">
        <x:f>SUM(X105,AB105,AF105,AJ105,AN105,AR105,AV105)</x:f>
        <x:v>165</x:v>
      </x:c>
      <x:c r="I105" s="119" t="n">
        <x:f>SUM(Z105,AD105,AH105,AL105,AP105,AT105,AX105)</x:f>
        <x:v>774659</x:v>
      </x:c>
      <x:c r="J105" s="119" t="n">
        <x:f>ROUND(INDEX(X105:AY105,1,(D105-1)*4+2)*'难度参数'!$E$28*'章节与怪物'!$E$17,0)</x:f>
        <x:v>30546</x:v>
      </x:c>
      <x:c r="K105" s="119" t="n">
        <x:f>SUM(AA105,AE105,AI105,AM105,AQ105,AU105,AY105)</x:f>
        <x:v>4472</x:v>
      </x:c>
      <x:c r="L105" s="62" t="n">
        <x:f>H105*(ROUNDUP('难度参数'!$E$24/('难度参数'!$E$26*'难度参数'!$E$27),0)*'难度参数'!$E$26)/60</x:f>
        <x:v>2.2</x:v>
      </x:c>
      <x:c r="M105" s="62" t="n">
        <x:f>L105+D105*('难度参数'!$E$49+'难度参数'!$E$50)/60</x:f>
        <x:v>3.366666666666667</x:v>
      </x:c>
      <x:c r="N105" s="119" t="n">
        <x:f>ROUNDDOWN(('经济参数'!$E$20+A105*'经济参数'!$E$21)*G105,0)</x:f>
        <x:v>2160</x:v>
      </x:c>
      <x:c r="O105" s="119" t="n">
        <x:f>ROUNDDOWN(MIN('经济参数'!$E$24,'经济参数'!$E$22+A105*'经济参数'!$E$23)*G105,0)</x:f>
        <x:v>0</x:v>
      </x:c>
      <x:c r="P105" s="119" t="n">
        <x:f>ROUNDDOWN((IF(A105&gt;='材料与任务'!$E$31,'材料与任务'!$E$32,IF(A105&gt;='材料与任务'!$E$25,'材料与任务'!$E$26,IF(A105&gt;='材料与任务'!$E$19,'材料与任务'!$E$20,IF(A105&gt;='材料与任务'!$E$13,'材料与任务'!$E$14,'材料与任务'!$E$8)))))*G105,0)</x:f>
        <x:v>5</x:v>
      </x:c>
      <x:c r="Q105" s="119" t="n">
        <x:f>ROUNDDOWN((IF(A105&gt;='材料与任务'!$E$31,'材料与任务'!$E$33,IF(A105&gt;='材料与任务'!$E$25,'材料与任务'!$E$27,IF(A105&gt;='材料与任务'!$E$19,'材料与任务'!$E$21,IF(A105&gt;='材料与任务'!$E$13,'材料与任务'!$E$15,'材料与任务'!$E$9)))))*G105,0)</x:f>
        <x:v>2</x:v>
      </x:c>
      <x:c r="R105" s="110" t="n">
        <x:f>'装备掉落'!$B$38</x:f>
        <x:v>0.6872058758851213</x:v>
      </x:c>
      <x:c r="S105" s="119" t="n">
        <x:f>MAX(IF(VLOOKUP(A105,'装备掉落'!$A$29:$H$34,2,TRUE)&gt;0,1,0),IF(VLOOKUP(A105,'装备掉落'!$A$29:$H$34,3,TRUE)&gt;0,2,0),IF(VLOOKUP(A105,'装备掉落'!$A$29:$H$34,4,TRUE)&gt;0,3,0),IF(VLOOKUP(A105,'装备掉落'!$A$29:$H$34,5,TRUE)&gt;0,4,0),IF(VLOOKUP(A105,'装备掉落'!$A$29:$H$34,6,TRUE)&gt;0,5,0),IF(VLOOKUP(A105,'装备掉落'!$A$29:$H$34,7,TRUE)&gt;0,6,0),IF(VLOOKUP(A105,'装备掉落'!$A$29:$H$34,8,TRUE)&gt;0,7,0))</x:f>
        <x:v>7</x:v>
      </x:c>
      <x:c r="T105" s="119" t="n">
        <x:f>MIN(7,S105+'经济参数'!$E$70)</x:f>
        <x:v>7</x:v>
      </x:c>
      <x:c r="U105" s="119" t="n">
        <x:f>MIN(7,S105+'经济参数'!$E$71)</x:f>
        <x:v>7</x:v>
      </x:c>
      <x:c r="V105" s="119" t="n">
        <x:f>IF(H105&gt;=('难度参数'!$E$52),1,0)+IF(H105&gt;=('难度参数'!$E$52+'难度参数'!$E$53),1,0)+IF(H105&gt;=('难度参数'!$E$52+'难度参数'!$E$53+'难度参数'!$E$54),1,0)+IF(H105&gt;=('难度参数'!$E$52+'难度参数'!$E$53+'难度参数'!$E$54+'难度参数'!$E$55),1,0)+IF(H105&gt;=('难度参数'!$E$52+'难度参数'!$E$53+'难度参数'!$E$54+'难度参数'!$E$55+'难度参数'!$E$56),1,0)+IF(H105&gt;=('难度参数'!$E$52+'难度参数'!$E$53+'难度参数'!$E$54+'难度参数'!$E$55+'难度参数'!$E$56+'难度参数'!$E$57),1,0)</x:f>
        <x:v>6</x:v>
      </x:c>
      <x:c r="W105" s="62" t="str">
        <x:f>IF(L105&gt;'难度参数'!$E$51,"仅出怪已超目标","还需实测")</x:f>
        <x:v>还需实测</x:v>
      </x:c>
      <x:c r="X105" s="119" t="n">
        <x:f>IF(1&gt;D105,0,MAX(2,MIN('难度参数'!$E$12,ROUND(('难度参数'!$E$18*POWER(A105,'难度参数'!$E$19)/D105*(0.85+0.3*(1-1)/MAX(1,D105-1))),0)+F105)))</x:f>
        <x:v>20</x:v>
      </x:c>
      <x:c r="Y105" s="119" t="n">
        <x:f>IF(1&gt;D105,0,ROUND(('难度参数'!$E$13*POWER(A105,'难度参数'!$E$20)*MIN('难度参数'!$E$23,1+MAX(0,A105-'难度参数'!$E$21)*'难度参数'!$E$22))*(36+1*7)/(36+7*(D105+1)/2)*E105,0))</x:f>
        <x:v>2273</x:v>
      </x:c>
      <x:c r="Z105" s="119" t="n">
        <x:f>IF(X105=0,0,(X105-IF(1=D105,1,0))*ROUND(Y105*VLOOKUP(INDEX('章节与怪物'!$E$31:$K$37,B105,1),'章节与怪物'!$A$41:$F$44,2,FALSE),0)+IF(1=D105,ROUND(Y105*'难度参数'!$E$28*'章节与怪物'!$E$17,0),0))</x:f>
        <x:v>32740</x:v>
      </x:c>
      <x:c r="AA105" s="119" t="n">
        <x:f>IF(X105=0,0,(X105-IF(1=D105,1,0))*VLOOKUP(INDEX('章节与怪物'!$E$31:$K$37,B105,1),'章节与怪物'!$A$41:$F$44,4,FALSE)+IF(1=D105,'难度参数'!$E$30,0))</x:f>
        <x:v>400</x:v>
      </x:c>
      <x:c r="AB105" s="119" t="n">
        <x:f>IF(2&gt;D105,0,MAX(2,MIN('难度参数'!$E$12,ROUND(('难度参数'!$E$18*POWER(A105,'难度参数'!$E$19)/D105*(0.85+0.3*(2-1)/MAX(1,D105-1))),0)+F105)))</x:f>
        <x:v>21</x:v>
      </x:c>
      <x:c r="AC105" s="119" t="n">
        <x:f>IF(2&gt;D105,0,ROUND(('难度参数'!$E$13*POWER(A105,'难度参数'!$E$20)*MIN('难度参数'!$E$23,1+MAX(0,A105-'难度参数'!$E$21)*'难度参数'!$E$22))*(36+2*7)/(36+7*(D105+1)/2)*E105,0))</x:f>
        <x:v>2643</x:v>
      </x:c>
      <x:c r="AD105" s="119" t="n">
        <x:f>IF(AB105=0,0,(AB105-IF(2=D105,1,0))*ROUND(AC105*VLOOKUP(INDEX('章节与怪物'!$E$31:$K$37,B105,2),'章节与怪物'!$A$41:$F$44,2,FALSE),0)+IF(2=D105,ROUND(AC105*'难度参数'!$E$28*'章节与怪物'!$E$17,0),0))</x:f>
        <x:v>55503</x:v>
      </x:c>
      <x:c r="AE105" s="119" t="n">
        <x:f>IF(AB105=0,0,(AB105-IF(2=D105,1,0))*VLOOKUP(INDEX('章节与怪物'!$E$31:$K$37,B105,2),'章节与怪物'!$A$41:$F$44,4,FALSE)+IF(2=D105,'难度参数'!$E$30,0))</x:f>
        <x:v>378</x:v>
      </x:c>
      <x:c r="AF105" s="119" t="n">
        <x:f>IF(3&gt;D105,0,MAX(2,MIN('难度参数'!$E$12,ROUND(('难度参数'!$E$18*POWER(A105,'难度参数'!$E$19)/D105*(0.85+0.3*(3-1)/MAX(1,D105-1))),0)+F105)))</x:f>
        <x:v>22</x:v>
      </x:c>
      <x:c r="AG105" s="119" t="n">
        <x:f>IF(3&gt;D105,0,ROUND(('难度参数'!$E$13*POWER(A105,'难度参数'!$E$20)*MIN('难度参数'!$E$23,1+MAX(0,A105-'难度参数'!$E$21)*'难度参数'!$E$22))*(36+3*7)/(36+7*(D105+1)/2)*E105,0))</x:f>
        <x:v>3012</x:v>
      </x:c>
      <x:c r="AH105" s="119" t="n">
        <x:f>IF(AF105=0,0,(AF105-IF(3=D105,1,0))*ROUND(AG105*VLOOKUP(INDEX('章节与怪物'!$E$31:$K$37,B105,3),'章节与怪物'!$A$41:$F$44,2,FALSE),0)+IF(3=D105,ROUND(AG105*'难度参数'!$E$28*'章节与怪物'!$E$17,0),0))</x:f>
        <x:v>112640</x:v>
      </x:c>
      <x:c r="AI105" s="119" t="n">
        <x:f>IF(AF105=0,0,(AF105-IF(3=D105,1,0))*VLOOKUP(INDEX('章节与怪物'!$E$31:$K$37,B105,3),'章节与怪物'!$A$41:$F$44,4,FALSE)+IF(3=D105,'难度参数'!$E$30,0))</x:f>
        <x:v>616</x:v>
      </x:c>
      <x:c r="AJ105" s="119" t="n">
        <x:f>IF(4&gt;D105,0,MAX(2,MIN('难度参数'!$E$12,ROUND(('难度参数'!$E$18*POWER(A105,'难度参数'!$E$19)/D105*(0.85+0.3*(4-1)/MAX(1,D105-1))),0)+F105)))</x:f>
        <x:v>24</x:v>
      </x:c>
      <x:c r="AK105" s="119" t="n">
        <x:f>IF(4&gt;D105,0,ROUND(('难度参数'!$E$13*POWER(A105,'难度参数'!$E$20)*MIN('难度参数'!$E$23,1+MAX(0,A105-'难度参数'!$E$21)*'难度参数'!$E$22))*(36+4*7)/(36+7*(D105+1)/2)*E105,0))</x:f>
        <x:v>3382</x:v>
      </x:c>
      <x:c r="AL105" s="119" t="n">
        <x:f>IF(AJ105=0,0,(AJ105-IF(4=D105,1,0))*ROUND(AK105*VLOOKUP(INDEX('章节与怪物'!$E$31:$K$37,B105,4),'章节与怪物'!$A$41:$F$44,2,FALSE),0)+IF(4=D105,ROUND(AK105*'难度参数'!$E$28*'章节与怪物'!$E$17,0),0))</x:f>
        <x:v>109584</x:v>
      </x:c>
      <x:c r="AM105" s="119" t="n">
        <x:f>IF(AJ105=0,0,(AJ105-IF(4=D105,1,0))*VLOOKUP(INDEX('章节与怪物'!$E$31:$K$37,B105,4),'章节与怪物'!$A$41:$F$44,4,FALSE)+IF(4=D105,'难度参数'!$E$30,0))</x:f>
        <x:v>816</x:v>
      </x:c>
      <x:c r="AN105" s="119" t="n">
        <x:f>IF(5&gt;D105,0,MAX(2,MIN('难度参数'!$E$12,ROUND(('难度参数'!$E$18*POWER(A105,'难度参数'!$E$19)/D105*(0.85+0.3*(5-1)/MAX(1,D105-1))),0)+F105)))</x:f>
        <x:v>25</x:v>
      </x:c>
      <x:c r="AO105" s="119" t="n">
        <x:f>IF(5&gt;D105,0,ROUND(('难度参数'!$E$13*POWER(A105,'难度参数'!$E$20)*MIN('难度参数'!$E$23,1+MAX(0,A105-'难度参数'!$E$21)*'难度参数'!$E$22))*(36+5*7)/(36+7*(D105+1)/2)*E105,0))</x:f>
        <x:v>3752</x:v>
      </x:c>
      <x:c r="AP105" s="119" t="n">
        <x:f>IF(AN105=0,0,(AN105-IF(5=D105,1,0))*ROUND(AO105*VLOOKUP(INDEX('章节与怪物'!$E$31:$K$37,B105,5),'章节与怪物'!$A$41:$F$44,2,FALSE),0)+IF(5=D105,ROUND(AO105*'难度参数'!$E$28*'章节与怪物'!$E$17,0),0))</x:f>
        <x:v>93800</x:v>
      </x:c>
      <x:c r="AQ105" s="119" t="n">
        <x:f>IF(AN105=0,0,(AN105-IF(5=D105,1,0))*VLOOKUP(INDEX('章节与怪物'!$E$31:$K$37,B105,5),'章节与怪物'!$A$41:$F$44,4,FALSE)+IF(5=D105,'难度参数'!$E$30,0))</x:f>
        <x:v>450</x:v>
      </x:c>
      <x:c r="AR105" s="119" t="n">
        <x:f>IF(6&gt;D105,0,MAX(2,MIN('难度参数'!$E$12,ROUND(('难度参数'!$E$18*POWER(A105,'难度参数'!$E$19)/D105*(0.85+0.3*(6-1)/MAX(1,D105-1))),0)+F105)))</x:f>
        <x:v>26</x:v>
      </x:c>
      <x:c r="AS105" s="119" t="n">
        <x:f>IF(6&gt;D105,0,ROUND(('难度参数'!$E$13*POWER(A105,'难度参数'!$E$20)*MIN('难度参数'!$E$23,1+MAX(0,A105-'难度参数'!$E$21)*'难度参数'!$E$22))*(36+6*7)/(36+7*(D105+1)/2)*E105,0))</x:f>
        <x:v>4122</x:v>
      </x:c>
      <x:c r="AT105" s="119" t="n">
        <x:f>IF(AR105=0,0,(AR105-IF(6=D105,1,0))*ROUND(AS105*VLOOKUP(INDEX('章节与怪物'!$E$31:$K$37,B105,6),'章节与怪物'!$A$41:$F$44,2,FALSE),0)+IF(6=D105,ROUND(AS105*'难度参数'!$E$28*'章节与怪物'!$E$17,0),0))</x:f>
        <x:v>182182</x:v>
      </x:c>
      <x:c r="AU105" s="119" t="n">
        <x:f>IF(AR105=0,0,(AR105-IF(6=D105,1,0))*VLOOKUP(INDEX('章节与怪物'!$E$31:$K$37,B105,6),'章节与怪物'!$A$41:$F$44,4,FALSE)+IF(6=D105,'难度参数'!$E$30,0))</x:f>
        <x:v>728</x:v>
      </x:c>
      <x:c r="AV105" s="119" t="n">
        <x:f>IF(7&gt;D105,0,MAX(2,MIN('难度参数'!$E$12,ROUND(('难度参数'!$E$18*POWER(A105,'难度参数'!$E$19)/D105*(0.85+0.3*(7-1)/MAX(1,D105-1))),0)+F105)))</x:f>
        <x:v>27</x:v>
      </x:c>
      <x:c r="AW105" s="119" t="n">
        <x:f>IF(7&gt;D105,0,ROUND(('难度参数'!$E$13*POWER(A105,'难度参数'!$E$20)*MIN('难度参数'!$E$23,1+MAX(0,A105-'难度参数'!$E$21)*'难度参数'!$E$22))*(36+7*7)/(36+7*(D105+1)/2)*E105,0))</x:f>
        <x:v>4492</x:v>
      </x:c>
      <x:c r="AX105" s="119" t="n">
        <x:f>IF(AV105=0,0,(AV105-IF(7=D105,1,0))*ROUND(AW105*VLOOKUP(INDEX('章节与怪物'!$E$31:$K$37,B105,7),'章节与怪物'!$A$41:$F$44,2,FALSE),0)+IF(7=D105,ROUND(AW105*'难度参数'!$E$28*'章节与怪物'!$E$17,0),0))</x:f>
        <x:v>188210</x:v>
      </x:c>
      <x:c r="AY105" s="119" t="n">
        <x:f>IF(AV105=0,0,(AV105-IF(7=D105,1,0))*VLOOKUP(INDEX('章节与怪物'!$E$31:$K$37,B105,7),'章节与怪物'!$A$41:$F$44,4,FALSE)+IF(7=D105,'难度参数'!$E$30,0))</x:f>
        <x:v>1084</x:v>
      </x:c>
    </x:row>
    <x:row r="106" ht="23" customHeight="1">
      <x:c r="A106" s="119" t="n">
        <x:v>100</x:v>
      </x:c>
      <x:c r="B106" s="119" t="n">
        <x:f>MOD(INT((A106-1)/5),7)+1</x:f>
        <x:v>6</x:v>
      </x:c>
      <x:c r="C106" s="62" t="str">
        <x:f>INDEX('章节与怪物'!$B$31:$B$37,B106)</x:f>
        <x:v>熔岩山脉</x:v>
      </x:c>
      <x:c r="D106" s="119" t="n">
        <x:f>MIN('难度参数'!$E$8,MAX('难度参数'!$E$7,A106))</x:f>
        <x:v>7</x:v>
      </x:c>
      <x:c r="E106" s="106" t="n">
        <x:v>1</x:v>
      </x:c>
      <x:c r="F106" s="106" t="n">
        <x:v>0</x:v>
      </x:c>
      <x:c r="G106" s="106" t="n">
        <x:v>1</x:v>
      </x:c>
      <x:c r="H106" s="119" t="n">
        <x:f>SUM(X106,AB106,AF106,AJ106,AN106,AR106,AV106)</x:f>
        <x:v>165</x:v>
      </x:c>
      <x:c r="I106" s="119" t="n">
        <x:f>SUM(Z106,AD106,AH106,AL106,AP106,AT106,AX106)</x:f>
        <x:v>782214</x:v>
      </x:c>
      <x:c r="J106" s="119" t="n">
        <x:f>ROUND(INDEX(X106:AY106,1,(D106-1)*4+2)*'难度参数'!$E$28*'章节与怪物'!$E$17,0)</x:f>
        <x:v>30845</x:v>
      </x:c>
      <x:c r="K106" s="119" t="n">
        <x:f>SUM(AA106,AE106,AI106,AM106,AQ106,AU106,AY106)</x:f>
        <x:v>4472</x:v>
      </x:c>
      <x:c r="L106" s="62" t="n">
        <x:f>H106*(ROUNDUP('难度参数'!$E$24/('难度参数'!$E$26*'难度参数'!$E$27),0)*'难度参数'!$E$26)/60</x:f>
        <x:v>2.2</x:v>
      </x:c>
      <x:c r="M106" s="62" t="n">
        <x:f>L106+D106*('难度参数'!$E$49+'难度参数'!$E$50)/60</x:f>
        <x:v>3.366666666666667</x:v>
      </x:c>
      <x:c r="N106" s="119" t="n">
        <x:f>ROUNDDOWN(('经济参数'!$E$20+A106*'经济参数'!$E$21)*G106,0)</x:f>
        <x:v>2180</x:v>
      </x:c>
      <x:c r="O106" s="119" t="n">
        <x:f>ROUNDDOWN(MIN('经济参数'!$E$24,'经济参数'!$E$22+A106*'经济参数'!$E$23)*G106,0)</x:f>
        <x:v>0</x:v>
      </x:c>
      <x:c r="P106" s="119" t="n">
        <x:f>ROUNDDOWN((IF(A106&gt;='材料与任务'!$E$31,'材料与任务'!$E$32,IF(A106&gt;='材料与任务'!$E$25,'材料与任务'!$E$26,IF(A106&gt;='材料与任务'!$E$19,'材料与任务'!$E$20,IF(A106&gt;='材料与任务'!$E$13,'材料与任务'!$E$14,'材料与任务'!$E$8)))))*G106,0)</x:f>
        <x:v>5</x:v>
      </x:c>
      <x:c r="Q106" s="119" t="n">
        <x:f>ROUNDDOWN((IF(A106&gt;='材料与任务'!$E$31,'材料与任务'!$E$33,IF(A106&gt;='材料与任务'!$E$25,'材料与任务'!$E$27,IF(A106&gt;='材料与任务'!$E$19,'材料与任务'!$E$21,IF(A106&gt;='材料与任务'!$E$13,'材料与任务'!$E$15,'材料与任务'!$E$9)))))*G106,0)</x:f>
        <x:v>2</x:v>
      </x:c>
      <x:c r="R106" s="110" t="n">
        <x:f>'装备掉落'!$B$38</x:f>
        <x:v>0.6872058758851213</x:v>
      </x:c>
      <x:c r="S106" s="119" t="n">
        <x:f>MAX(IF(VLOOKUP(A106,'装备掉落'!$A$29:$H$34,2,TRUE)&gt;0,1,0),IF(VLOOKUP(A106,'装备掉落'!$A$29:$H$34,3,TRUE)&gt;0,2,0),IF(VLOOKUP(A106,'装备掉落'!$A$29:$H$34,4,TRUE)&gt;0,3,0),IF(VLOOKUP(A106,'装备掉落'!$A$29:$H$34,5,TRUE)&gt;0,4,0),IF(VLOOKUP(A106,'装备掉落'!$A$29:$H$34,6,TRUE)&gt;0,5,0),IF(VLOOKUP(A106,'装备掉落'!$A$29:$H$34,7,TRUE)&gt;0,6,0),IF(VLOOKUP(A106,'装备掉落'!$A$29:$H$34,8,TRUE)&gt;0,7,0))</x:f>
        <x:v>7</x:v>
      </x:c>
      <x:c r="T106" s="119" t="n">
        <x:f>MIN(7,S106+'经济参数'!$E$70)</x:f>
        <x:v>7</x:v>
      </x:c>
      <x:c r="U106" s="119" t="n">
        <x:f>MIN(7,S106+'经济参数'!$E$71)</x:f>
        <x:v>7</x:v>
      </x:c>
      <x:c r="V106" s="119" t="n">
        <x:f>IF(H106&gt;=('难度参数'!$E$52),1,0)+IF(H106&gt;=('难度参数'!$E$52+'难度参数'!$E$53),1,0)+IF(H106&gt;=('难度参数'!$E$52+'难度参数'!$E$53+'难度参数'!$E$54),1,0)+IF(H106&gt;=('难度参数'!$E$52+'难度参数'!$E$53+'难度参数'!$E$54+'难度参数'!$E$55),1,0)+IF(H106&gt;=('难度参数'!$E$52+'难度参数'!$E$53+'难度参数'!$E$54+'难度参数'!$E$55+'难度参数'!$E$56),1,0)+IF(H106&gt;=('难度参数'!$E$52+'难度参数'!$E$53+'难度参数'!$E$54+'难度参数'!$E$55+'难度参数'!$E$56+'难度参数'!$E$57),1,0)</x:f>
        <x:v>6</x:v>
      </x:c>
      <x:c r="W106" s="62" t="str">
        <x:f>IF(L106&gt;'难度参数'!$E$51,"仅出怪已超目标","还需实测")</x:f>
        <x:v>还需实测</x:v>
      </x:c>
      <x:c r="X106" s="119" t="n">
        <x:f>IF(1&gt;D106,0,MAX(2,MIN('难度参数'!$E$12,ROUND(('难度参数'!$E$18*POWER(A106,'难度参数'!$E$19)/D106*(0.85+0.3*(1-1)/MAX(1,D106-1))),0)+F106)))</x:f>
        <x:v>20</x:v>
      </x:c>
      <x:c r="Y106" s="119" t="n">
        <x:f>IF(1&gt;D106,0,ROUND(('难度参数'!$E$13*POWER(A106,'难度参数'!$E$20)*MIN('难度参数'!$E$23,1+MAX(0,A106-'难度参数'!$E$21)*'难度参数'!$E$22))*(36+1*7)/(36+7*(D106+1)/2)*E106,0))</x:f>
        <x:v>2295</x:v>
      </x:c>
      <x:c r="Z106" s="119" t="n">
        <x:f>IF(X106=0,0,(X106-IF(1=D106,1,0))*ROUND(Y106*VLOOKUP(INDEX('章节与怪物'!$E$31:$K$37,B106,1),'章节与怪物'!$A$41:$F$44,2,FALSE),0)+IF(1=D106,ROUND(Y106*'难度参数'!$E$28*'章节与怪物'!$E$17,0),0))</x:f>
        <x:v>33040</x:v>
      </x:c>
      <x:c r="AA106" s="119" t="n">
        <x:f>IF(X106=0,0,(X106-IF(1=D106,1,0))*VLOOKUP(INDEX('章节与怪物'!$E$31:$K$37,B106,1),'章节与怪物'!$A$41:$F$44,4,FALSE)+IF(1=D106,'难度参数'!$E$30,0))</x:f>
        <x:v>400</x:v>
      </x:c>
      <x:c r="AB106" s="119" t="n">
        <x:f>IF(2&gt;D106,0,MAX(2,MIN('难度参数'!$E$12,ROUND(('难度参数'!$E$18*POWER(A106,'难度参数'!$E$19)/D106*(0.85+0.3*(2-1)/MAX(1,D106-1))),0)+F106)))</x:f>
        <x:v>21</x:v>
      </x:c>
      <x:c r="AC106" s="119" t="n">
        <x:f>IF(2&gt;D106,0,ROUND(('难度参数'!$E$13*POWER(A106,'难度参数'!$E$20)*MIN('难度参数'!$E$23,1+MAX(0,A106-'难度参数'!$E$21)*'难度参数'!$E$22))*(36+2*7)/(36+7*(D106+1)/2)*E106,0))</x:f>
        <x:v>2668</x:v>
      </x:c>
      <x:c r="AD106" s="119" t="n">
        <x:f>IF(AB106=0,0,(AB106-IF(2=D106,1,0))*ROUND(AC106*VLOOKUP(INDEX('章节与怪物'!$E$31:$K$37,B106,2),'章节与怪物'!$A$41:$F$44,2,FALSE),0)+IF(2=D106,ROUND(AC106*'难度参数'!$E$28*'章节与怪物'!$E$17,0),0))</x:f>
        <x:v>56028</x:v>
      </x:c>
      <x:c r="AE106" s="119" t="n">
        <x:f>IF(AB106=0,0,(AB106-IF(2=D106,1,0))*VLOOKUP(INDEX('章节与怪物'!$E$31:$K$37,B106,2),'章节与怪物'!$A$41:$F$44,4,FALSE)+IF(2=D106,'难度参数'!$E$30,0))</x:f>
        <x:v>378</x:v>
      </x:c>
      <x:c r="AF106" s="119" t="n">
        <x:f>IF(3&gt;D106,0,MAX(2,MIN('难度参数'!$E$12,ROUND(('难度参数'!$E$18*POWER(A106,'难度参数'!$E$19)/D106*(0.85+0.3*(3-1)/MAX(1,D106-1))),0)+F106)))</x:f>
        <x:v>22</x:v>
      </x:c>
      <x:c r="AG106" s="119" t="n">
        <x:f>IF(3&gt;D106,0,ROUND(('难度参数'!$E$13*POWER(A106,'难度参数'!$E$20)*MIN('难度参数'!$E$23,1+MAX(0,A106-'难度参数'!$E$21)*'难度参数'!$E$22))*(36+3*7)/(36+7*(D106+1)/2)*E106,0))</x:f>
        <x:v>3042</x:v>
      </x:c>
      <x:c r="AH106" s="119" t="n">
        <x:f>IF(AF106=0,0,(AF106-IF(3=D106,1,0))*ROUND(AG106*VLOOKUP(INDEX('章节与怪物'!$E$31:$K$37,B106,3),'章节与怪物'!$A$41:$F$44,2,FALSE),0)+IF(3=D106,ROUND(AG106*'难度参数'!$E$28*'章节与怪物'!$E$17,0),0))</x:f>
        <x:v>113762</x:v>
      </x:c>
      <x:c r="AI106" s="119" t="n">
        <x:f>IF(AF106=0,0,(AF106-IF(3=D106,1,0))*VLOOKUP(INDEX('章节与怪物'!$E$31:$K$37,B106,3),'章节与怪物'!$A$41:$F$44,4,FALSE)+IF(3=D106,'难度参数'!$E$30,0))</x:f>
        <x:v>616</x:v>
      </x:c>
      <x:c r="AJ106" s="119" t="n">
        <x:f>IF(4&gt;D106,0,MAX(2,MIN('难度参数'!$E$12,ROUND(('难度参数'!$E$18*POWER(A106,'难度参数'!$E$19)/D106*(0.85+0.3*(4-1)/MAX(1,D106-1))),0)+F106)))</x:f>
        <x:v>24</x:v>
      </x:c>
      <x:c r="AK106" s="119" t="n">
        <x:f>IF(4&gt;D106,0,ROUND(('难度参数'!$E$13*POWER(A106,'难度参数'!$E$20)*MIN('难度参数'!$E$23,1+MAX(0,A106-'难度参数'!$E$21)*'难度参数'!$E$22))*(36+4*7)/(36+7*(D106+1)/2)*E106,0))</x:f>
        <x:v>3415</x:v>
      </x:c>
      <x:c r="AL106" s="119" t="n">
        <x:f>IF(AJ106=0,0,(AJ106-IF(4=D106,1,0))*ROUND(AK106*VLOOKUP(INDEX('章节与怪物'!$E$31:$K$37,B106,4),'章节与怪物'!$A$41:$F$44,2,FALSE),0)+IF(4=D106,ROUND(AK106*'难度参数'!$E$28*'章节与怪物'!$E$17,0),0))</x:f>
        <x:v>110640</x:v>
      </x:c>
      <x:c r="AM106" s="119" t="n">
        <x:f>IF(AJ106=0,0,(AJ106-IF(4=D106,1,0))*VLOOKUP(INDEX('章节与怪物'!$E$31:$K$37,B106,4),'章节与怪物'!$A$41:$F$44,4,FALSE)+IF(4=D106,'难度参数'!$E$30,0))</x:f>
        <x:v>816</x:v>
      </x:c>
      <x:c r="AN106" s="119" t="n">
        <x:f>IF(5&gt;D106,0,MAX(2,MIN('难度参数'!$E$12,ROUND(('难度参数'!$E$18*POWER(A106,'难度参数'!$E$19)/D106*(0.85+0.3*(5-1)/MAX(1,D106-1))),0)+F106)))</x:f>
        <x:v>25</x:v>
      </x:c>
      <x:c r="AO106" s="119" t="n">
        <x:f>IF(5&gt;D106,0,ROUND(('难度参数'!$E$13*POWER(A106,'难度参数'!$E$20)*MIN('难度参数'!$E$23,1+MAX(0,A106-'难度参数'!$E$21)*'难度参数'!$E$22))*(36+5*7)/(36+7*(D106+1)/2)*E106,0))</x:f>
        <x:v>3789</x:v>
      </x:c>
      <x:c r="AP106" s="119" t="n">
        <x:f>IF(AN106=0,0,(AN106-IF(5=D106,1,0))*ROUND(AO106*VLOOKUP(INDEX('章节与怪物'!$E$31:$K$37,B106,5),'章节与怪物'!$A$41:$F$44,2,FALSE),0)+IF(5=D106,ROUND(AO106*'难度参数'!$E$28*'章节与怪物'!$E$17,0),0))</x:f>
        <x:v>94725</x:v>
      </x:c>
      <x:c r="AQ106" s="119" t="n">
        <x:f>IF(AN106=0,0,(AN106-IF(5=D106,1,0))*VLOOKUP(INDEX('章节与怪物'!$E$31:$K$37,B106,5),'章节与怪物'!$A$41:$F$44,4,FALSE)+IF(5=D106,'难度参数'!$E$30,0))</x:f>
        <x:v>450</x:v>
      </x:c>
      <x:c r="AR106" s="119" t="n">
        <x:f>IF(6&gt;D106,0,MAX(2,MIN('难度参数'!$E$12,ROUND(('难度参数'!$E$18*POWER(A106,'难度参数'!$E$19)/D106*(0.85+0.3*(6-1)/MAX(1,D106-1))),0)+F106)))</x:f>
        <x:v>26</x:v>
      </x:c>
      <x:c r="AS106" s="119" t="n">
        <x:f>IF(6&gt;D106,0,ROUND(('难度参数'!$E$13*POWER(A106,'难度参数'!$E$20)*MIN('难度参数'!$E$23,1+MAX(0,A106-'难度参数'!$E$21)*'难度参数'!$E$22))*(36+6*7)/(36+7*(D106+1)/2)*E106,0))</x:f>
        <x:v>4162</x:v>
      </x:c>
      <x:c r="AT106" s="119" t="n">
        <x:f>IF(AR106=0,0,(AR106-IF(6=D106,1,0))*ROUND(AS106*VLOOKUP(INDEX('章节与怪物'!$E$31:$K$37,B106,6),'章节与怪物'!$A$41:$F$44,2,FALSE),0)+IF(6=D106,ROUND(AS106*'难度参数'!$E$28*'章节与怪物'!$E$17,0),0))</x:f>
        <x:v>183950</x:v>
      </x:c>
      <x:c r="AU106" s="119" t="n">
        <x:f>IF(AR106=0,0,(AR106-IF(6=D106,1,0))*VLOOKUP(INDEX('章节与怪物'!$E$31:$K$37,B106,6),'章节与怪物'!$A$41:$F$44,4,FALSE)+IF(6=D106,'难度参数'!$E$30,0))</x:f>
        <x:v>728</x:v>
      </x:c>
      <x:c r="AV106" s="119" t="n">
        <x:f>IF(7&gt;D106,0,MAX(2,MIN('难度参数'!$E$12,ROUND(('难度参数'!$E$18*POWER(A106,'难度参数'!$E$19)/D106*(0.85+0.3*(7-1)/MAX(1,D106-1))),0)+F106)))</x:f>
        <x:v>27</x:v>
      </x:c>
      <x:c r="AW106" s="119" t="n">
        <x:f>IF(7&gt;D106,0,ROUND(('难度参数'!$E$13*POWER(A106,'难度参数'!$E$20)*MIN('难度参数'!$E$23,1+MAX(0,A106-'难度参数'!$E$21)*'难度参数'!$E$22))*(36+7*7)/(36+7*(D106+1)/2)*E106,0))</x:f>
        <x:v>4536</x:v>
      </x:c>
      <x:c r="AX106" s="119" t="n">
        <x:f>IF(AV106=0,0,(AV106-IF(7=D106,1,0))*ROUND(AW106*VLOOKUP(INDEX('章节与怪物'!$E$31:$K$37,B106,7),'章节与怪物'!$A$41:$F$44,2,FALSE),0)+IF(7=D106,ROUND(AW106*'难度参数'!$E$28*'章节与怪物'!$E$17,0),0))</x:f>
        <x:v>190069</x:v>
      </x:c>
      <x:c r="AY106" s="119" t="n">
        <x:f>IF(AV106=0,0,(AV106-IF(7=D106,1,0))*VLOOKUP(INDEX('章节与怪物'!$E$31:$K$37,B106,7),'章节与怪物'!$A$41:$F$44,4,FALSE)+IF(7=D106,'难度参数'!$E$30,0))</x:f>
        <x:v>1084</x:v>
      </x:c>
    </x:row>
    <x:row r="107" ht="23" customHeight="1">
      <x:c r="A107" s="119" t="n">
        <x:v>101</x:v>
      </x:c>
      <x:c r="B107" s="119" t="n">
        <x:f>MOD(INT((A107-1)/5),7)+1</x:f>
        <x:v>7</x:v>
      </x:c>
      <x:c r="C107" s="62" t="str">
        <x:f>INDEX('章节与怪物'!$B$31:$B$37,B107)</x:f>
        <x:v>魔法山脊</x:v>
      </x:c>
      <x:c r="D107" s="119" t="n">
        <x:f>MIN('难度参数'!$E$8,MAX('难度参数'!$E$7,A107))</x:f>
        <x:v>7</x:v>
      </x:c>
      <x:c r="E107" s="106" t="n">
        <x:v>1</x:v>
      </x:c>
      <x:c r="F107" s="106" t="n">
        <x:v>0</x:v>
      </x:c>
      <x:c r="G107" s="106" t="n">
        <x:v>1</x:v>
      </x:c>
      <x:c r="H107" s="119" t="n">
        <x:f>SUM(X107,AB107,AF107,AJ107,AN107,AR107,AV107)</x:f>
        <x:v>166</x:v>
      </x:c>
      <x:c r="I107" s="119" t="n">
        <x:f>SUM(Z107,AD107,AH107,AL107,AP107,AT107,AX107)</x:f>
        <x:v>765353</x:v>
      </x:c>
      <x:c r="J107" s="119" t="n">
        <x:f>ROUND(INDEX(X107:AY107,1,(D107-1)*4+2)*'难度参数'!$E$28*'章节与怪物'!$E$17,0)</x:f>
        <x:v>31144</x:v>
      </x:c>
      <x:c r="K107" s="119" t="n">
        <x:f>SUM(AA107,AE107,AI107,AM107,AQ107,AU107,AY107)</x:f>
        <x:v>4552</x:v>
      </x:c>
      <x:c r="L107" s="62" t="n">
        <x:f>H107*(ROUNDUP('难度参数'!$E$24/('难度参数'!$E$26*'难度参数'!$E$27),0)*'难度参数'!$E$26)/60</x:f>
        <x:v>2.2133333333333334</x:v>
      </x:c>
      <x:c r="M107" s="62" t="n">
        <x:f>L107+D107*('难度参数'!$E$49+'难度参数'!$E$50)/60</x:f>
        <x:v>3.38</x:v>
      </x:c>
      <x:c r="N107" s="119" t="n">
        <x:f>ROUNDDOWN(('经济参数'!$E$20+A107*'经济参数'!$E$21)*G107,0)</x:f>
        <x:v>2200</x:v>
      </x:c>
      <x:c r="O107" s="119" t="n">
        <x:f>ROUNDDOWN(MIN('经济参数'!$E$24,'经济参数'!$E$22+A107*'经济参数'!$E$23)*G107,0)</x:f>
        <x:v>0</x:v>
      </x:c>
      <x:c r="P107" s="119" t="n">
        <x:f>ROUNDDOWN((IF(A107&gt;='材料与任务'!$E$31,'材料与任务'!$E$32,IF(A107&gt;='材料与任务'!$E$25,'材料与任务'!$E$26,IF(A107&gt;='材料与任务'!$E$19,'材料与任务'!$E$20,IF(A107&gt;='材料与任务'!$E$13,'材料与任务'!$E$14,'材料与任务'!$E$8)))))*G107,0)</x:f>
        <x:v>5</x:v>
      </x:c>
      <x:c r="Q107" s="119" t="n">
        <x:f>ROUNDDOWN((IF(A107&gt;='材料与任务'!$E$31,'材料与任务'!$E$33,IF(A107&gt;='材料与任务'!$E$25,'材料与任务'!$E$27,IF(A107&gt;='材料与任务'!$E$19,'材料与任务'!$E$21,IF(A107&gt;='材料与任务'!$E$13,'材料与任务'!$E$15,'材料与任务'!$E$9)))))*G107,0)</x:f>
        <x:v>2</x:v>
      </x:c>
      <x:c r="R107" s="110" t="n">
        <x:f>'装备掉落'!$B$38</x:f>
        <x:v>0.6872058758851213</x:v>
      </x:c>
      <x:c r="S107" s="119" t="n">
        <x:f>MAX(IF(VLOOKUP(A107,'装备掉落'!$A$29:$H$34,2,TRUE)&gt;0,1,0),IF(VLOOKUP(A107,'装备掉落'!$A$29:$H$34,3,TRUE)&gt;0,2,0),IF(VLOOKUP(A107,'装备掉落'!$A$29:$H$34,4,TRUE)&gt;0,3,0),IF(VLOOKUP(A107,'装备掉落'!$A$29:$H$34,5,TRUE)&gt;0,4,0),IF(VLOOKUP(A107,'装备掉落'!$A$29:$H$34,6,TRUE)&gt;0,5,0),IF(VLOOKUP(A107,'装备掉落'!$A$29:$H$34,7,TRUE)&gt;0,6,0),IF(VLOOKUP(A107,'装备掉落'!$A$29:$H$34,8,TRUE)&gt;0,7,0))</x:f>
        <x:v>7</x:v>
      </x:c>
      <x:c r="T107" s="119" t="n">
        <x:f>MIN(7,S107+'经济参数'!$E$70)</x:f>
        <x:v>7</x:v>
      </x:c>
      <x:c r="U107" s="119" t="n">
        <x:f>MIN(7,S107+'经济参数'!$E$71)</x:f>
        <x:v>7</x:v>
      </x:c>
      <x:c r="V107" s="119" t="n">
        <x:f>IF(H107&gt;=('难度参数'!$E$52),1,0)+IF(H107&gt;=('难度参数'!$E$52+'难度参数'!$E$53),1,0)+IF(H107&gt;=('难度参数'!$E$52+'难度参数'!$E$53+'难度参数'!$E$54),1,0)+IF(H107&gt;=('难度参数'!$E$52+'难度参数'!$E$53+'难度参数'!$E$54+'难度参数'!$E$55),1,0)+IF(H107&gt;=('难度参数'!$E$52+'难度参数'!$E$53+'难度参数'!$E$54+'难度参数'!$E$55+'难度参数'!$E$56),1,0)+IF(H107&gt;=('难度参数'!$E$52+'难度参数'!$E$53+'难度参数'!$E$54+'难度参数'!$E$55+'难度参数'!$E$56+'难度参数'!$E$57),1,0)</x:f>
        <x:v>6</x:v>
      </x:c>
      <x:c r="W107" s="62" t="str">
        <x:f>IF(L107&gt;'难度参数'!$E$51,"仅出怪已超目标","还需实测")</x:f>
        <x:v>还需实测</x:v>
      </x:c>
      <x:c r="X107" s="119" t="n">
        <x:f>IF(1&gt;D107,0,MAX(2,MIN('难度参数'!$E$12,ROUND(('难度参数'!$E$18*POWER(A107,'难度参数'!$E$19)/D107*(0.85+0.3*(1-1)/MAX(1,D107-1))),0)+F107)))</x:f>
        <x:v>20</x:v>
      </x:c>
      <x:c r="Y107" s="119" t="n">
        <x:f>IF(1&gt;D107,0,ROUND(('难度参数'!$E$13*POWER(A107,'难度参数'!$E$20)*MIN('难度参数'!$E$23,1+MAX(0,A107-'难度参数'!$E$21)*'难度参数'!$E$22))*(36+1*7)/(36+7*(D107+1)/2)*E107,0))</x:f>
        <x:v>2317</x:v>
      </x:c>
      <x:c r="Z107" s="119" t="n">
        <x:f>IF(X107=0,0,(X107-IF(1=D107,1,0))*ROUND(Y107*VLOOKUP(INDEX('章节与怪物'!$E$31:$K$37,B107,1),'章节与怪物'!$A$41:$F$44,2,FALSE),0)+IF(1=D107,ROUND(Y107*'难度参数'!$E$28*'章节与怪物'!$E$17,0),0))</x:f>
        <x:v>46340</x:v>
      </x:c>
      <x:c r="AA107" s="119" t="n">
        <x:f>IF(X107=0,0,(X107-IF(1=D107,1,0))*VLOOKUP(INDEX('章节与怪物'!$E$31:$K$37,B107,1),'章节与怪物'!$A$41:$F$44,4,FALSE)+IF(1=D107,'难度参数'!$E$30,0))</x:f>
        <x:v>360</x:v>
      </x:c>
      <x:c r="AB107" s="119" t="n">
        <x:f>IF(2&gt;D107,0,MAX(2,MIN('难度参数'!$E$12,ROUND(('难度参数'!$E$18*POWER(A107,'难度参数'!$E$19)/D107*(0.85+0.3*(2-1)/MAX(1,D107-1))),0)+F107)))</x:f>
        <x:v>21</x:v>
      </x:c>
      <x:c r="AC107" s="119" t="n">
        <x:f>IF(2&gt;D107,0,ROUND(('难度参数'!$E$13*POWER(A107,'难度参数'!$E$20)*MIN('难度参数'!$E$23,1+MAX(0,A107-'难度参数'!$E$21)*'难度参数'!$E$22))*(36+2*7)/(36+7*(D107+1)/2)*E107,0))</x:f>
        <x:v>2694</x:v>
      </x:c>
      <x:c r="AD107" s="119" t="n">
        <x:f>IF(AB107=0,0,(AB107-IF(2=D107,1,0))*ROUND(AC107*VLOOKUP(INDEX('章节与怪物'!$E$31:$K$37,B107,2),'章节与怪物'!$A$41:$F$44,2,FALSE),0)+IF(2=D107,ROUND(AC107*'难度参数'!$E$28*'章节与怪物'!$E$17,0),0))</x:f>
        <x:v>40740</x:v>
      </x:c>
      <x:c r="AE107" s="119" t="n">
        <x:f>IF(AB107=0,0,(AB107-IF(2=D107,1,0))*VLOOKUP(INDEX('章节与怪物'!$E$31:$K$37,B107,2),'章节与怪物'!$A$41:$F$44,4,FALSE)+IF(2=D107,'难度参数'!$E$30,0))</x:f>
        <x:v>420</x:v>
      </x:c>
      <x:c r="AF107" s="119" t="n">
        <x:f>IF(3&gt;D107,0,MAX(2,MIN('难度参数'!$E$12,ROUND(('难度参数'!$E$18*POWER(A107,'难度参数'!$E$19)/D107*(0.85+0.3*(3-1)/MAX(1,D107-1))),0)+F107)))</x:f>
        <x:v>23</x:v>
      </x:c>
      <x:c r="AG107" s="119" t="n">
        <x:f>IF(3&gt;D107,0,ROUND(('难度参数'!$E$13*POWER(A107,'难度参数'!$E$20)*MIN('难度参数'!$E$23,1+MAX(0,A107-'难度参数'!$E$21)*'难度参数'!$E$22))*(36+3*7)/(36+7*(D107+1)/2)*E107,0))</x:f>
        <x:v>3071</x:v>
      </x:c>
      <x:c r="AH107" s="119" t="n">
        <x:f>IF(AF107=0,0,(AF107-IF(3=D107,1,0))*ROUND(AG107*VLOOKUP(INDEX('章节与怪物'!$E$31:$K$37,B107,3),'章节与怪物'!$A$41:$F$44,2,FALSE),0)+IF(3=D107,ROUND(AG107*'难度参数'!$E$28*'章节与怪物'!$E$17,0),0))</x:f>
        <x:v>120083</x:v>
      </x:c>
      <x:c r="AI107" s="119" t="n">
        <x:f>IF(AF107=0,0,(AF107-IF(3=D107,1,0))*VLOOKUP(INDEX('章节与怪物'!$E$31:$K$37,B107,3),'章节与怪物'!$A$41:$F$44,4,FALSE)+IF(3=D107,'难度参数'!$E$30,0))</x:f>
        <x:v>644</x:v>
      </x:c>
      <x:c r="AJ107" s="119" t="n">
        <x:f>IF(4&gt;D107,0,MAX(2,MIN('难度参数'!$E$12,ROUND(('难度参数'!$E$18*POWER(A107,'难度参数'!$E$19)/D107*(0.85+0.3*(4-1)/MAX(1,D107-1))),0)+F107)))</x:f>
        <x:v>24</x:v>
      </x:c>
      <x:c r="AK107" s="119" t="n">
        <x:f>IF(4&gt;D107,0,ROUND(('难度参数'!$E$13*POWER(A107,'难度参数'!$E$20)*MIN('难度参数'!$E$23,1+MAX(0,A107-'难度参数'!$E$21)*'难度参数'!$E$22))*(36+4*7)/(36+7*(D107+1)/2)*E107,0))</x:f>
        <x:v>3448</x:v>
      </x:c>
      <x:c r="AL107" s="119" t="n">
        <x:f>IF(AJ107=0,0,(AJ107-IF(4=D107,1,0))*ROUND(AK107*VLOOKUP(INDEX('章节与怪物'!$E$31:$K$37,B107,4),'章节与怪物'!$A$41:$F$44,2,FALSE),0)+IF(4=D107,ROUND(AK107*'难度参数'!$E$28*'章节与怪物'!$E$17,0),0))</x:f>
        <x:v>111720</x:v>
      </x:c>
      <x:c r="AM107" s="119" t="n">
        <x:f>IF(AJ107=0,0,(AJ107-IF(4=D107,1,0))*VLOOKUP(INDEX('章节与怪物'!$E$31:$K$37,B107,4),'章节与怪物'!$A$41:$F$44,4,FALSE)+IF(4=D107,'难度参数'!$E$30,0))</x:f>
        <x:v>816</x:v>
      </x:c>
      <x:c r="AN107" s="119" t="n">
        <x:f>IF(5&gt;D107,0,MAX(2,MIN('难度参数'!$E$12,ROUND(('难度参数'!$E$18*POWER(A107,'难度参数'!$E$19)/D107*(0.85+0.3*(5-1)/MAX(1,D107-1))),0)+F107)))</x:f>
        <x:v>25</x:v>
      </x:c>
      <x:c r="AO107" s="119" t="n">
        <x:f>IF(5&gt;D107,0,ROUND(('难度参数'!$E$13*POWER(A107,'难度参数'!$E$20)*MIN('难度参数'!$E$23,1+MAX(0,A107-'难度参数'!$E$21)*'难度参数'!$E$22))*(36+5*7)/(36+7*(D107+1)/2)*E107,0))</x:f>
        <x:v>3825</x:v>
      </x:c>
      <x:c r="AP107" s="119" t="n">
        <x:f>IF(AN107=0,0,(AN107-IF(5=D107,1,0))*ROUND(AO107*VLOOKUP(INDEX('章节与怪物'!$E$31:$K$37,B107,5),'章节与怪物'!$A$41:$F$44,2,FALSE),0)+IF(5=D107,ROUND(AO107*'难度参数'!$E$28*'章节与怪物'!$E$17,0),0))</x:f>
        <x:v>68850</x:v>
      </x:c>
      <x:c r="AQ107" s="119" t="n">
        <x:f>IF(AN107=0,0,(AN107-IF(5=D107,1,0))*VLOOKUP(INDEX('章节与怪物'!$E$31:$K$37,B107,5),'章节与怪物'!$A$41:$F$44,4,FALSE)+IF(5=D107,'难度参数'!$E$30,0))</x:f>
        <x:v>500</x:v>
      </x:c>
      <x:c r="AR107" s="119" t="n">
        <x:f>IF(6&gt;D107,0,MAX(2,MIN('难度参数'!$E$12,ROUND(('难度参数'!$E$18*POWER(A107,'难度参数'!$E$19)/D107*(0.85+0.3*(6-1)/MAX(1,D107-1))),0)+F107)))</x:f>
        <x:v>26</x:v>
      </x:c>
      <x:c r="AS107" s="119" t="n">
        <x:f>IF(6&gt;D107,0,ROUND(('难度参数'!$E$13*POWER(A107,'难度参数'!$E$20)*MIN('难度参数'!$E$23,1+MAX(0,A107-'难度参数'!$E$21)*'难度参数'!$E$22))*(36+6*7)/(36+7*(D107+1)/2)*E107,0))</x:f>
        <x:v>4202</x:v>
      </x:c>
      <x:c r="AT107" s="119" t="n">
        <x:f>IF(AR107=0,0,(AR107-IF(6=D107,1,0))*ROUND(AS107*VLOOKUP(INDEX('章节与怪物'!$E$31:$K$37,B107,6),'章节与怪物'!$A$41:$F$44,2,FALSE),0)+IF(6=D107,ROUND(AS107*'难度参数'!$E$28*'章节与怪物'!$E$17,0),0))</x:f>
        <x:v>185718</x:v>
      </x:c>
      <x:c r="AU107" s="119" t="n">
        <x:f>IF(AR107=0,0,(AR107-IF(6=D107,1,0))*VLOOKUP(INDEX('章节与怪物'!$E$31:$K$37,B107,6),'章节与怪物'!$A$41:$F$44,4,FALSE)+IF(6=D107,'难度参数'!$E$30,0))</x:f>
        <x:v>728</x:v>
      </x:c>
      <x:c r="AV107" s="119" t="n">
        <x:f>IF(7&gt;D107,0,MAX(2,MIN('难度参数'!$E$12,ROUND(('难度参数'!$E$18*POWER(A107,'难度参数'!$E$19)/D107*(0.85+0.3*(7-1)/MAX(1,D107-1))),0)+F107)))</x:f>
        <x:v>27</x:v>
      </x:c>
      <x:c r="AW107" s="119" t="n">
        <x:f>IF(7&gt;D107,0,ROUND(('难度参数'!$E$13*POWER(A107,'难度参数'!$E$20)*MIN('难度参数'!$E$23,1+MAX(0,A107-'难度参数'!$E$21)*'难度参数'!$E$22))*(36+7*7)/(36+7*(D107+1)/2)*E107,0))</x:f>
        <x:v>4580</x:v>
      </x:c>
      <x:c r="AX107" s="119" t="n">
        <x:f>IF(AV107=0,0,(AV107-IF(7=D107,1,0))*ROUND(AW107*VLOOKUP(INDEX('章节与怪物'!$E$31:$K$37,B107,7),'章节与怪物'!$A$41:$F$44,2,FALSE),0)+IF(7=D107,ROUND(AW107*'难度参数'!$E$28*'章节与怪物'!$E$17,0),0))</x:f>
        <x:v>191902</x:v>
      </x:c>
      <x:c r="AY107" s="119" t="n">
        <x:f>IF(AV107=0,0,(AV107-IF(7=D107,1,0))*VLOOKUP(INDEX('章节与怪物'!$E$31:$K$37,B107,7),'章节与怪物'!$A$41:$F$44,4,FALSE)+IF(7=D107,'难度参数'!$E$30,0))</x:f>
        <x:v>1084</x:v>
      </x:c>
    </x:row>
    <x:row r="108" ht="23" customHeight="1">
      <x:c r="A108" s="119" t="n">
        <x:v>102</x:v>
      </x:c>
      <x:c r="B108" s="119" t="n">
        <x:f>MOD(INT((A108-1)/5),7)+1</x:f>
        <x:v>7</x:v>
      </x:c>
      <x:c r="C108" s="62" t="str">
        <x:f>INDEX('章节与怪物'!$B$31:$B$37,B108)</x:f>
        <x:v>魔法山脊</x:v>
      </x:c>
      <x:c r="D108" s="119" t="n">
        <x:f>MIN('难度参数'!$E$8,MAX('难度参数'!$E$7,A108))</x:f>
        <x:v>7</x:v>
      </x:c>
      <x:c r="E108" s="106" t="n">
        <x:v>1</x:v>
      </x:c>
      <x:c r="F108" s="106" t="n">
        <x:v>0</x:v>
      </x:c>
      <x:c r="G108" s="106" t="n">
        <x:v>1</x:v>
      </x:c>
      <x:c r="H108" s="119" t="n">
        <x:f>SUM(X108,AB108,AF108,AJ108,AN108,AR108,AV108)</x:f>
        <x:v>166</x:v>
      </x:c>
      <x:c r="I108" s="119" t="n">
        <x:f>SUM(Z108,AD108,AH108,AL108,AP108,AT108,AX108)</x:f>
        <x:v>772649</x:v>
      </x:c>
      <x:c r="J108" s="119" t="n">
        <x:f>ROUND(INDEX(X108:AY108,1,(D108-1)*4+2)*'难度参数'!$E$28*'章节与怪物'!$E$17,0)</x:f>
        <x:v>31436</x:v>
      </x:c>
      <x:c r="K108" s="119" t="n">
        <x:f>SUM(AA108,AE108,AI108,AM108,AQ108,AU108,AY108)</x:f>
        <x:v>4552</x:v>
      </x:c>
      <x:c r="L108" s="62" t="n">
        <x:f>H108*(ROUNDUP('难度参数'!$E$24/('难度参数'!$E$26*'难度参数'!$E$27),0)*'难度参数'!$E$26)/60</x:f>
        <x:v>2.2133333333333334</x:v>
      </x:c>
      <x:c r="M108" s="62" t="n">
        <x:f>L108+D108*('难度参数'!$E$49+'难度参数'!$E$50)/60</x:f>
        <x:v>3.38</x:v>
      </x:c>
      <x:c r="N108" s="119" t="n">
        <x:f>ROUNDDOWN(('经济参数'!$E$20+A108*'经济参数'!$E$21)*G108,0)</x:f>
        <x:v>2220</x:v>
      </x:c>
      <x:c r="O108" s="119" t="n">
        <x:f>ROUNDDOWN(MIN('经济参数'!$E$24,'经济参数'!$E$22+A108*'经济参数'!$E$23)*G108,0)</x:f>
        <x:v>0</x:v>
      </x:c>
      <x:c r="P108" s="119" t="n">
        <x:f>ROUNDDOWN((IF(A108&gt;='材料与任务'!$E$31,'材料与任务'!$E$32,IF(A108&gt;='材料与任务'!$E$25,'材料与任务'!$E$26,IF(A108&gt;='材料与任务'!$E$19,'材料与任务'!$E$20,IF(A108&gt;='材料与任务'!$E$13,'材料与任务'!$E$14,'材料与任务'!$E$8)))))*G108,0)</x:f>
        <x:v>5</x:v>
      </x:c>
      <x:c r="Q108" s="119" t="n">
        <x:f>ROUNDDOWN((IF(A108&gt;='材料与任务'!$E$31,'材料与任务'!$E$33,IF(A108&gt;='材料与任务'!$E$25,'材料与任务'!$E$27,IF(A108&gt;='材料与任务'!$E$19,'材料与任务'!$E$21,IF(A108&gt;='材料与任务'!$E$13,'材料与任务'!$E$15,'材料与任务'!$E$9)))))*G108,0)</x:f>
        <x:v>2</x:v>
      </x:c>
      <x:c r="R108" s="110" t="n">
        <x:f>'装备掉落'!$B$38</x:f>
        <x:v>0.6872058758851213</x:v>
      </x:c>
      <x:c r="S108" s="119" t="n">
        <x:f>MAX(IF(VLOOKUP(A108,'装备掉落'!$A$29:$H$34,2,TRUE)&gt;0,1,0),IF(VLOOKUP(A108,'装备掉落'!$A$29:$H$34,3,TRUE)&gt;0,2,0),IF(VLOOKUP(A108,'装备掉落'!$A$29:$H$34,4,TRUE)&gt;0,3,0),IF(VLOOKUP(A108,'装备掉落'!$A$29:$H$34,5,TRUE)&gt;0,4,0),IF(VLOOKUP(A108,'装备掉落'!$A$29:$H$34,6,TRUE)&gt;0,5,0),IF(VLOOKUP(A108,'装备掉落'!$A$29:$H$34,7,TRUE)&gt;0,6,0),IF(VLOOKUP(A108,'装备掉落'!$A$29:$H$34,8,TRUE)&gt;0,7,0))</x:f>
        <x:v>7</x:v>
      </x:c>
      <x:c r="T108" s="119" t="n">
        <x:f>MIN(7,S108+'经济参数'!$E$70)</x:f>
        <x:v>7</x:v>
      </x:c>
      <x:c r="U108" s="119" t="n">
        <x:f>MIN(7,S108+'经济参数'!$E$71)</x:f>
        <x:v>7</x:v>
      </x:c>
      <x:c r="V108" s="119" t="n">
        <x:f>IF(H108&gt;=('难度参数'!$E$52),1,0)+IF(H108&gt;=('难度参数'!$E$52+'难度参数'!$E$53),1,0)+IF(H108&gt;=('难度参数'!$E$52+'难度参数'!$E$53+'难度参数'!$E$54),1,0)+IF(H108&gt;=('难度参数'!$E$52+'难度参数'!$E$53+'难度参数'!$E$54+'难度参数'!$E$55),1,0)+IF(H108&gt;=('难度参数'!$E$52+'难度参数'!$E$53+'难度参数'!$E$54+'难度参数'!$E$55+'难度参数'!$E$56),1,0)+IF(H108&gt;=('难度参数'!$E$52+'难度参数'!$E$53+'难度参数'!$E$54+'难度参数'!$E$55+'难度参数'!$E$56+'难度参数'!$E$57),1,0)</x:f>
        <x:v>6</x:v>
      </x:c>
      <x:c r="W108" s="62" t="str">
        <x:f>IF(L108&gt;'难度参数'!$E$51,"仅出怪已超目标","还需实测")</x:f>
        <x:v>还需实测</x:v>
      </x:c>
      <x:c r="X108" s="119" t="n">
        <x:f>IF(1&gt;D108,0,MAX(2,MIN('难度参数'!$E$12,ROUND(('难度参数'!$E$18*POWER(A108,'难度参数'!$E$19)/D108*(0.85+0.3*(1-1)/MAX(1,D108-1))),0)+F108)))</x:f>
        <x:v>20</x:v>
      </x:c>
      <x:c r="Y108" s="119" t="n">
        <x:f>IF(1&gt;D108,0,ROUND(('难度参数'!$E$13*POWER(A108,'难度参数'!$E$20)*MIN('难度参数'!$E$23,1+MAX(0,A108-'难度参数'!$E$21)*'难度参数'!$E$22))*(36+1*7)/(36+7*(D108+1)/2)*E108,0))</x:f>
        <x:v>2339</x:v>
      </x:c>
      <x:c r="Z108" s="119" t="n">
        <x:f>IF(X108=0,0,(X108-IF(1=D108,1,0))*ROUND(Y108*VLOOKUP(INDEX('章节与怪物'!$E$31:$K$37,B108,1),'章节与怪物'!$A$41:$F$44,2,FALSE),0)+IF(1=D108,ROUND(Y108*'难度参数'!$E$28*'章节与怪物'!$E$17,0),0))</x:f>
        <x:v>46780</x:v>
      </x:c>
      <x:c r="AA108" s="119" t="n">
        <x:f>IF(X108=0,0,(X108-IF(1=D108,1,0))*VLOOKUP(INDEX('章节与怪物'!$E$31:$K$37,B108,1),'章节与怪物'!$A$41:$F$44,4,FALSE)+IF(1=D108,'难度参数'!$E$30,0))</x:f>
        <x:v>360</x:v>
      </x:c>
      <x:c r="AB108" s="119" t="n">
        <x:f>IF(2&gt;D108,0,MAX(2,MIN('难度参数'!$E$12,ROUND(('难度参数'!$E$18*POWER(A108,'难度参数'!$E$19)/D108*(0.85+0.3*(2-1)/MAX(1,D108-1))),0)+F108)))</x:f>
        <x:v>21</x:v>
      </x:c>
      <x:c r="AC108" s="119" t="n">
        <x:f>IF(2&gt;D108,0,ROUND(('难度参数'!$E$13*POWER(A108,'难度参数'!$E$20)*MIN('难度参数'!$E$23,1+MAX(0,A108-'难度参数'!$E$21)*'难度参数'!$E$22))*(36+2*7)/(36+7*(D108+1)/2)*E108,0))</x:f>
        <x:v>2720</x:v>
      </x:c>
      <x:c r="AD108" s="119" t="n">
        <x:f>IF(AB108=0,0,(AB108-IF(2=D108,1,0))*ROUND(AC108*VLOOKUP(INDEX('章节与怪物'!$E$31:$K$37,B108,2),'章节与怪物'!$A$41:$F$44,2,FALSE),0)+IF(2=D108,ROUND(AC108*'难度参数'!$E$28*'章节与怪物'!$E$17,0),0))</x:f>
        <x:v>41118</x:v>
      </x:c>
      <x:c r="AE108" s="119" t="n">
        <x:f>IF(AB108=0,0,(AB108-IF(2=D108,1,0))*VLOOKUP(INDEX('章节与怪物'!$E$31:$K$37,B108,2),'章节与怪物'!$A$41:$F$44,4,FALSE)+IF(2=D108,'难度参数'!$E$30,0))</x:f>
        <x:v>420</x:v>
      </x:c>
      <x:c r="AF108" s="119" t="n">
        <x:f>IF(3&gt;D108,0,MAX(2,MIN('难度参数'!$E$12,ROUND(('难度参数'!$E$18*POWER(A108,'难度参数'!$E$19)/D108*(0.85+0.3*(3-1)/MAX(1,D108-1))),0)+F108)))</x:f>
        <x:v>23</x:v>
      </x:c>
      <x:c r="AG108" s="119" t="n">
        <x:f>IF(3&gt;D108,0,ROUND(('难度参数'!$E$13*POWER(A108,'难度参数'!$E$20)*MIN('难度参数'!$E$23,1+MAX(0,A108-'难度参数'!$E$21)*'难度参数'!$E$22))*(36+3*7)/(36+7*(D108+1)/2)*E108,0))</x:f>
        <x:v>3100</x:v>
      </x:c>
      <x:c r="AH108" s="119" t="n">
        <x:f>IF(AF108=0,0,(AF108-IF(3=D108,1,0))*ROUND(AG108*VLOOKUP(INDEX('章节与怪物'!$E$31:$K$37,B108,3),'章节与怪物'!$A$41:$F$44,2,FALSE),0)+IF(3=D108,ROUND(AG108*'难度参数'!$E$28*'章节与怪物'!$E$17,0),0))</x:f>
        <x:v>121210</x:v>
      </x:c>
      <x:c r="AI108" s="119" t="n">
        <x:f>IF(AF108=0,0,(AF108-IF(3=D108,1,0))*VLOOKUP(INDEX('章节与怪物'!$E$31:$K$37,B108,3),'章节与怪物'!$A$41:$F$44,4,FALSE)+IF(3=D108,'难度参数'!$E$30,0))</x:f>
        <x:v>644</x:v>
      </x:c>
      <x:c r="AJ108" s="119" t="n">
        <x:f>IF(4&gt;D108,0,MAX(2,MIN('难度参数'!$E$12,ROUND(('难度参数'!$E$18*POWER(A108,'难度参数'!$E$19)/D108*(0.85+0.3*(4-1)/MAX(1,D108-1))),0)+F108)))</x:f>
        <x:v>24</x:v>
      </x:c>
      <x:c r="AK108" s="119" t="n">
        <x:f>IF(4&gt;D108,0,ROUND(('难度参数'!$E$13*POWER(A108,'难度参数'!$E$20)*MIN('难度参数'!$E$23,1+MAX(0,A108-'难度参数'!$E$21)*'难度参数'!$E$22))*(36+4*7)/(36+7*(D108+1)/2)*E108,0))</x:f>
        <x:v>3481</x:v>
      </x:c>
      <x:c r="AL108" s="119" t="n">
        <x:f>IF(AJ108=0,0,(AJ108-IF(4=D108,1,0))*ROUND(AK108*VLOOKUP(INDEX('章节与怪物'!$E$31:$K$37,B108,4),'章节与怪物'!$A$41:$F$44,2,FALSE),0)+IF(4=D108,ROUND(AK108*'难度参数'!$E$28*'章节与怪物'!$E$17,0),0))</x:f>
        <x:v>112776</x:v>
      </x:c>
      <x:c r="AM108" s="119" t="n">
        <x:f>IF(AJ108=0,0,(AJ108-IF(4=D108,1,0))*VLOOKUP(INDEX('章节与怪物'!$E$31:$K$37,B108,4),'章节与怪物'!$A$41:$F$44,4,FALSE)+IF(4=D108,'难度参数'!$E$30,0))</x:f>
        <x:v>816</x:v>
      </x:c>
      <x:c r="AN108" s="119" t="n">
        <x:f>IF(5&gt;D108,0,MAX(2,MIN('难度参数'!$E$12,ROUND(('难度参数'!$E$18*POWER(A108,'难度参数'!$E$19)/D108*(0.85+0.3*(5-1)/MAX(1,D108-1))),0)+F108)))</x:f>
        <x:v>25</x:v>
      </x:c>
      <x:c r="AO108" s="119" t="n">
        <x:f>IF(5&gt;D108,0,ROUND(('难度参数'!$E$13*POWER(A108,'难度参数'!$E$20)*MIN('难度参数'!$E$23,1+MAX(0,A108-'难度参数'!$E$21)*'难度参数'!$E$22))*(36+5*7)/(36+7*(D108+1)/2)*E108,0))</x:f>
        <x:v>3862</x:v>
      </x:c>
      <x:c r="AP108" s="119" t="n">
        <x:f>IF(AN108=0,0,(AN108-IF(5=D108,1,0))*ROUND(AO108*VLOOKUP(INDEX('章节与怪物'!$E$31:$K$37,B108,5),'章节与怪物'!$A$41:$F$44,2,FALSE),0)+IF(5=D108,ROUND(AO108*'难度参数'!$E$28*'章节与怪物'!$E$17,0),0))</x:f>
        <x:v>69525</x:v>
      </x:c>
      <x:c r="AQ108" s="119" t="n">
        <x:f>IF(AN108=0,0,(AN108-IF(5=D108,1,0))*VLOOKUP(INDEX('章节与怪物'!$E$31:$K$37,B108,5),'章节与怪物'!$A$41:$F$44,4,FALSE)+IF(5=D108,'难度参数'!$E$30,0))</x:f>
        <x:v>500</x:v>
      </x:c>
      <x:c r="AR108" s="119" t="n">
        <x:f>IF(6&gt;D108,0,MAX(2,MIN('难度参数'!$E$12,ROUND(('难度参数'!$E$18*POWER(A108,'难度参数'!$E$19)/D108*(0.85+0.3*(6-1)/MAX(1,D108-1))),0)+F108)))</x:f>
        <x:v>26</x:v>
      </x:c>
      <x:c r="AS108" s="119" t="n">
        <x:f>IF(6&gt;D108,0,ROUND(('难度参数'!$E$13*POWER(A108,'难度参数'!$E$20)*MIN('难度参数'!$E$23,1+MAX(0,A108-'难度参数'!$E$21)*'难度参数'!$E$22))*(36+6*7)/(36+7*(D108+1)/2)*E108,0))</x:f>
        <x:v>4243</x:v>
      </x:c>
      <x:c r="AT108" s="119" t="n">
        <x:f>IF(AR108=0,0,(AR108-IF(6=D108,1,0))*ROUND(AS108*VLOOKUP(INDEX('章节与怪物'!$E$31:$K$37,B108,6),'章节与怪物'!$A$41:$F$44,2,FALSE),0)+IF(6=D108,ROUND(AS108*'难度参数'!$E$28*'章节与怪物'!$E$17,0),0))</x:f>
        <x:v>187538</x:v>
      </x:c>
      <x:c r="AU108" s="119" t="n">
        <x:f>IF(AR108=0,0,(AR108-IF(6=D108,1,0))*VLOOKUP(INDEX('章节与怪物'!$E$31:$K$37,B108,6),'章节与怪物'!$A$41:$F$44,4,FALSE)+IF(6=D108,'难度参数'!$E$30,0))</x:f>
        <x:v>728</x:v>
      </x:c>
      <x:c r="AV108" s="119" t="n">
        <x:f>IF(7&gt;D108,0,MAX(2,MIN('难度参数'!$E$12,ROUND(('难度参数'!$E$18*POWER(A108,'难度参数'!$E$19)/D108*(0.85+0.3*(7-1)/MAX(1,D108-1))),0)+F108)))</x:f>
        <x:v>27</x:v>
      </x:c>
      <x:c r="AW108" s="119" t="n">
        <x:f>IF(7&gt;D108,0,ROUND(('难度参数'!$E$13*POWER(A108,'难度参数'!$E$20)*MIN('难度参数'!$E$23,1+MAX(0,A108-'难度参数'!$E$21)*'难度参数'!$E$22))*(36+7*7)/(36+7*(D108+1)/2)*E108,0))</x:f>
        <x:v>4623</x:v>
      </x:c>
      <x:c r="AX108" s="119" t="n">
        <x:f>IF(AV108=0,0,(AV108-IF(7=D108,1,0))*ROUND(AW108*VLOOKUP(INDEX('章节与怪物'!$E$31:$K$37,B108,7),'章节与怪物'!$A$41:$F$44,2,FALSE),0)+IF(7=D108,ROUND(AW108*'难度参数'!$E$28*'章节与怪物'!$E$17,0),0))</x:f>
        <x:v>193702</x:v>
      </x:c>
      <x:c r="AY108" s="119" t="n">
        <x:f>IF(AV108=0,0,(AV108-IF(7=D108,1,0))*VLOOKUP(INDEX('章节与怪物'!$E$31:$K$37,B108,7),'章节与怪物'!$A$41:$F$44,4,FALSE)+IF(7=D108,'难度参数'!$E$30,0))</x:f>
        <x:v>1084</x:v>
      </x:c>
    </x:row>
    <x:row r="109" ht="23" customHeight="1">
      <x:c r="A109" s="119" t="n">
        <x:v>103</x:v>
      </x:c>
      <x:c r="B109" s="119" t="n">
        <x:f>MOD(INT((A109-1)/5),7)+1</x:f>
        <x:v>7</x:v>
      </x:c>
      <x:c r="C109" s="62" t="str">
        <x:f>INDEX('章节与怪物'!$B$31:$B$37,B109)</x:f>
        <x:v>魔法山脊</x:v>
      </x:c>
      <x:c r="D109" s="119" t="n">
        <x:f>MIN('难度参数'!$E$8,MAX('难度参数'!$E$7,A109))</x:f>
        <x:v>7</x:v>
      </x:c>
      <x:c r="E109" s="106" t="n">
        <x:v>1</x:v>
      </x:c>
      <x:c r="F109" s="106" t="n">
        <x:v>0</x:v>
      </x:c>
      <x:c r="G109" s="106" t="n">
        <x:v>1</x:v>
      </x:c>
      <x:c r="H109" s="119" t="n">
        <x:f>SUM(X109,AB109,AF109,AJ109,AN109,AR109,AV109)</x:f>
        <x:v>166</x:v>
      </x:c>
      <x:c r="I109" s="119" t="n">
        <x:f>SUM(Z109,AD109,AH109,AL109,AP109,AT109,AX109)</x:f>
        <x:v>779972</x:v>
      </x:c>
      <x:c r="J109" s="119" t="n">
        <x:f>ROUND(INDEX(X109:AY109,1,(D109-1)*4+2)*'难度参数'!$E$28*'章节与怪物'!$E$17,0)</x:f>
        <x:v>31736</x:v>
      </x:c>
      <x:c r="K109" s="119" t="n">
        <x:f>SUM(AA109,AE109,AI109,AM109,AQ109,AU109,AY109)</x:f>
        <x:v>4552</x:v>
      </x:c>
      <x:c r="L109" s="62" t="n">
        <x:f>H109*(ROUNDUP('难度参数'!$E$24/('难度参数'!$E$26*'难度参数'!$E$27),0)*'难度参数'!$E$26)/60</x:f>
        <x:v>2.2133333333333334</x:v>
      </x:c>
      <x:c r="M109" s="62" t="n">
        <x:f>L109+D109*('难度参数'!$E$49+'难度参数'!$E$50)/60</x:f>
        <x:v>3.38</x:v>
      </x:c>
      <x:c r="N109" s="119" t="n">
        <x:f>ROUNDDOWN(('经济参数'!$E$20+A109*'经济参数'!$E$21)*G109,0)</x:f>
        <x:v>2240</x:v>
      </x:c>
      <x:c r="O109" s="119" t="n">
        <x:f>ROUNDDOWN(MIN('经济参数'!$E$24,'经济参数'!$E$22+A109*'经济参数'!$E$23)*G109,0)</x:f>
        <x:v>0</x:v>
      </x:c>
      <x:c r="P109" s="119" t="n">
        <x:f>ROUNDDOWN((IF(A109&gt;='材料与任务'!$E$31,'材料与任务'!$E$32,IF(A109&gt;='材料与任务'!$E$25,'材料与任务'!$E$26,IF(A109&gt;='材料与任务'!$E$19,'材料与任务'!$E$20,IF(A109&gt;='材料与任务'!$E$13,'材料与任务'!$E$14,'材料与任务'!$E$8)))))*G109,0)</x:f>
        <x:v>5</x:v>
      </x:c>
      <x:c r="Q109" s="119" t="n">
        <x:f>ROUNDDOWN((IF(A109&gt;='材料与任务'!$E$31,'材料与任务'!$E$33,IF(A109&gt;='材料与任务'!$E$25,'材料与任务'!$E$27,IF(A109&gt;='材料与任务'!$E$19,'材料与任务'!$E$21,IF(A109&gt;='材料与任务'!$E$13,'材料与任务'!$E$15,'材料与任务'!$E$9)))))*G109,0)</x:f>
        <x:v>2</x:v>
      </x:c>
      <x:c r="R109" s="110" t="n">
        <x:f>'装备掉落'!$B$38</x:f>
        <x:v>0.6872058758851213</x:v>
      </x:c>
      <x:c r="S109" s="119" t="n">
        <x:f>MAX(IF(VLOOKUP(A109,'装备掉落'!$A$29:$H$34,2,TRUE)&gt;0,1,0),IF(VLOOKUP(A109,'装备掉落'!$A$29:$H$34,3,TRUE)&gt;0,2,0),IF(VLOOKUP(A109,'装备掉落'!$A$29:$H$34,4,TRUE)&gt;0,3,0),IF(VLOOKUP(A109,'装备掉落'!$A$29:$H$34,5,TRUE)&gt;0,4,0),IF(VLOOKUP(A109,'装备掉落'!$A$29:$H$34,6,TRUE)&gt;0,5,0),IF(VLOOKUP(A109,'装备掉落'!$A$29:$H$34,7,TRUE)&gt;0,6,0),IF(VLOOKUP(A109,'装备掉落'!$A$29:$H$34,8,TRUE)&gt;0,7,0))</x:f>
        <x:v>7</x:v>
      </x:c>
      <x:c r="T109" s="119" t="n">
        <x:f>MIN(7,S109+'经济参数'!$E$70)</x:f>
        <x:v>7</x:v>
      </x:c>
      <x:c r="U109" s="119" t="n">
        <x:f>MIN(7,S109+'经济参数'!$E$71)</x:f>
        <x:v>7</x:v>
      </x:c>
      <x:c r="V109" s="119" t="n">
        <x:f>IF(H109&gt;=('难度参数'!$E$52),1,0)+IF(H109&gt;=('难度参数'!$E$52+'难度参数'!$E$53),1,0)+IF(H109&gt;=('难度参数'!$E$52+'难度参数'!$E$53+'难度参数'!$E$54),1,0)+IF(H109&gt;=('难度参数'!$E$52+'难度参数'!$E$53+'难度参数'!$E$54+'难度参数'!$E$55),1,0)+IF(H109&gt;=('难度参数'!$E$52+'难度参数'!$E$53+'难度参数'!$E$54+'难度参数'!$E$55+'难度参数'!$E$56),1,0)+IF(H109&gt;=('难度参数'!$E$52+'难度参数'!$E$53+'难度参数'!$E$54+'难度参数'!$E$55+'难度参数'!$E$56+'难度参数'!$E$57),1,0)</x:f>
        <x:v>6</x:v>
      </x:c>
      <x:c r="W109" s="62" t="str">
        <x:f>IF(L109&gt;'难度参数'!$E$51,"仅出怪已超目标","还需实测")</x:f>
        <x:v>还需实测</x:v>
      </x:c>
      <x:c r="X109" s="119" t="n">
        <x:f>IF(1&gt;D109,0,MAX(2,MIN('难度参数'!$E$12,ROUND(('难度参数'!$E$18*POWER(A109,'难度参数'!$E$19)/D109*(0.85+0.3*(1-1)/MAX(1,D109-1))),0)+F109)))</x:f>
        <x:v>20</x:v>
      </x:c>
      <x:c r="Y109" s="119" t="n">
        <x:f>IF(1&gt;D109,0,ROUND(('难度参数'!$E$13*POWER(A109,'难度参数'!$E$20)*MIN('难度参数'!$E$23,1+MAX(0,A109-'难度参数'!$E$21)*'难度参数'!$E$22))*(36+1*7)/(36+7*(D109+1)/2)*E109,0))</x:f>
        <x:v>2361</x:v>
      </x:c>
      <x:c r="Z109" s="119" t="n">
        <x:f>IF(X109=0,0,(X109-IF(1=D109,1,0))*ROUND(Y109*VLOOKUP(INDEX('章节与怪物'!$E$31:$K$37,B109,1),'章节与怪物'!$A$41:$F$44,2,FALSE),0)+IF(1=D109,ROUND(Y109*'难度参数'!$E$28*'章节与怪物'!$E$17,0),0))</x:f>
        <x:v>47220</x:v>
      </x:c>
      <x:c r="AA109" s="119" t="n">
        <x:f>IF(X109=0,0,(X109-IF(1=D109,1,0))*VLOOKUP(INDEX('章节与怪物'!$E$31:$K$37,B109,1),'章节与怪物'!$A$41:$F$44,4,FALSE)+IF(1=D109,'难度参数'!$E$30,0))</x:f>
        <x:v>360</x:v>
      </x:c>
      <x:c r="AB109" s="119" t="n">
        <x:f>IF(2&gt;D109,0,MAX(2,MIN('难度参数'!$E$12,ROUND(('难度参数'!$E$18*POWER(A109,'难度参数'!$E$19)/D109*(0.85+0.3*(2-1)/MAX(1,D109-1))),0)+F109)))</x:f>
        <x:v>21</x:v>
      </x:c>
      <x:c r="AC109" s="119" t="n">
        <x:f>IF(2&gt;D109,0,ROUND(('难度参数'!$E$13*POWER(A109,'难度参数'!$E$20)*MIN('难度参数'!$E$23,1+MAX(0,A109-'难度参数'!$E$21)*'难度参数'!$E$22))*(36+2*7)/(36+7*(D109+1)/2)*E109,0))</x:f>
        <x:v>2745</x:v>
      </x:c>
      <x:c r="AD109" s="119" t="n">
        <x:f>IF(AB109=0,0,(AB109-IF(2=D109,1,0))*ROUND(AC109*VLOOKUP(INDEX('章节与怪物'!$E$31:$K$37,B109,2),'章节与怪物'!$A$41:$F$44,2,FALSE),0)+IF(2=D109,ROUND(AC109*'难度参数'!$E$28*'章节与怪物'!$E$17,0),0))</x:f>
        <x:v>41496</x:v>
      </x:c>
      <x:c r="AE109" s="119" t="n">
        <x:f>IF(AB109=0,0,(AB109-IF(2=D109,1,0))*VLOOKUP(INDEX('章节与怪物'!$E$31:$K$37,B109,2),'章节与怪物'!$A$41:$F$44,4,FALSE)+IF(2=D109,'难度参数'!$E$30,0))</x:f>
        <x:v>420</x:v>
      </x:c>
      <x:c r="AF109" s="119" t="n">
        <x:f>IF(3&gt;D109,0,MAX(2,MIN('难度参数'!$E$12,ROUND(('难度参数'!$E$18*POWER(A109,'难度参数'!$E$19)/D109*(0.85+0.3*(3-1)/MAX(1,D109-1))),0)+F109)))</x:f>
        <x:v>23</x:v>
      </x:c>
      <x:c r="AG109" s="119" t="n">
        <x:f>IF(3&gt;D109,0,ROUND(('难度参数'!$E$13*POWER(A109,'难度参数'!$E$20)*MIN('难度参数'!$E$23,1+MAX(0,A109-'难度参数'!$E$21)*'难度参数'!$E$22))*(36+3*7)/(36+7*(D109+1)/2)*E109,0))</x:f>
        <x:v>3130</x:v>
      </x:c>
      <x:c r="AH109" s="119" t="n">
        <x:f>IF(AF109=0,0,(AF109-IF(3=D109,1,0))*ROUND(AG109*VLOOKUP(INDEX('章节与怪物'!$E$31:$K$37,B109,3),'章节与怪物'!$A$41:$F$44,2,FALSE),0)+IF(3=D109,ROUND(AG109*'难度参数'!$E$28*'章节与怪物'!$E$17,0),0))</x:f>
        <x:v>122383</x:v>
      </x:c>
      <x:c r="AI109" s="119" t="n">
        <x:f>IF(AF109=0,0,(AF109-IF(3=D109,1,0))*VLOOKUP(INDEX('章节与怪物'!$E$31:$K$37,B109,3),'章节与怪物'!$A$41:$F$44,4,FALSE)+IF(3=D109,'难度参数'!$E$30,0))</x:f>
        <x:v>644</x:v>
      </x:c>
      <x:c r="AJ109" s="119" t="n">
        <x:f>IF(4&gt;D109,0,MAX(2,MIN('难度参数'!$E$12,ROUND(('难度参数'!$E$18*POWER(A109,'难度参数'!$E$19)/D109*(0.85+0.3*(4-1)/MAX(1,D109-1))),0)+F109)))</x:f>
        <x:v>24</x:v>
      </x:c>
      <x:c r="AK109" s="119" t="n">
        <x:f>IF(4&gt;D109,0,ROUND(('难度参数'!$E$13*POWER(A109,'难度参数'!$E$20)*MIN('难度参数'!$E$23,1+MAX(0,A109-'难度参数'!$E$21)*'难度参数'!$E$22))*(36+4*7)/(36+7*(D109+1)/2)*E109,0))</x:f>
        <x:v>3514</x:v>
      </x:c>
      <x:c r="AL109" s="119" t="n">
        <x:f>IF(AJ109=0,0,(AJ109-IF(4=D109,1,0))*ROUND(AK109*VLOOKUP(INDEX('章节与怪物'!$E$31:$K$37,B109,4),'章节与怪物'!$A$41:$F$44,2,FALSE),0)+IF(4=D109,ROUND(AK109*'难度参数'!$E$28*'章节与怪物'!$E$17,0),0))</x:f>
        <x:v>113856</x:v>
      </x:c>
      <x:c r="AM109" s="119" t="n">
        <x:f>IF(AJ109=0,0,(AJ109-IF(4=D109,1,0))*VLOOKUP(INDEX('章节与怪物'!$E$31:$K$37,B109,4),'章节与怪物'!$A$41:$F$44,4,FALSE)+IF(4=D109,'难度参数'!$E$30,0))</x:f>
        <x:v>816</x:v>
      </x:c>
      <x:c r="AN109" s="119" t="n">
        <x:f>IF(5&gt;D109,0,MAX(2,MIN('难度参数'!$E$12,ROUND(('难度参数'!$E$18*POWER(A109,'难度参数'!$E$19)/D109*(0.85+0.3*(5-1)/MAX(1,D109-1))),0)+F109)))</x:f>
        <x:v>25</x:v>
      </x:c>
      <x:c r="AO109" s="119" t="n">
        <x:f>IF(5&gt;D109,0,ROUND(('难度参数'!$E$13*POWER(A109,'难度参数'!$E$20)*MIN('难度参数'!$E$23,1+MAX(0,A109-'难度参数'!$E$21)*'难度参数'!$E$22))*(36+5*7)/(36+7*(D109+1)/2)*E109,0))</x:f>
        <x:v>3898</x:v>
      </x:c>
      <x:c r="AP109" s="119" t="n">
        <x:f>IF(AN109=0,0,(AN109-IF(5=D109,1,0))*ROUND(AO109*VLOOKUP(INDEX('章节与怪物'!$E$31:$K$37,B109,5),'章节与怪物'!$A$41:$F$44,2,FALSE),0)+IF(5=D109,ROUND(AO109*'难度参数'!$E$28*'章节与怪物'!$E$17,0),0))</x:f>
        <x:v>70175</x:v>
      </x:c>
      <x:c r="AQ109" s="119" t="n">
        <x:f>IF(AN109=0,0,(AN109-IF(5=D109,1,0))*VLOOKUP(INDEX('章节与怪物'!$E$31:$K$37,B109,5),'章节与怪物'!$A$41:$F$44,4,FALSE)+IF(5=D109,'难度参数'!$E$30,0))</x:f>
        <x:v>500</x:v>
      </x:c>
      <x:c r="AR109" s="119" t="n">
        <x:f>IF(6&gt;D109,0,MAX(2,MIN('难度参数'!$E$12,ROUND(('难度参数'!$E$18*POWER(A109,'难度参数'!$E$19)/D109*(0.85+0.3*(6-1)/MAX(1,D109-1))),0)+F109)))</x:f>
        <x:v>26</x:v>
      </x:c>
      <x:c r="AS109" s="119" t="n">
        <x:f>IF(6&gt;D109,0,ROUND(('难度参数'!$E$13*POWER(A109,'难度参数'!$E$20)*MIN('难度参数'!$E$23,1+MAX(0,A109-'难度参数'!$E$21)*'难度参数'!$E$22))*(36+6*7)/(36+7*(D109+1)/2)*E109,0))</x:f>
        <x:v>4283</x:v>
      </x:c>
      <x:c r="AT109" s="119" t="n">
        <x:f>IF(AR109=0,0,(AR109-IF(6=D109,1,0))*ROUND(AS109*VLOOKUP(INDEX('章节与怪物'!$E$31:$K$37,B109,6),'章节与怪物'!$A$41:$F$44,2,FALSE),0)+IF(6=D109,ROUND(AS109*'难度参数'!$E$28*'章节与怪物'!$E$17,0),0))</x:f>
        <x:v>189306</x:v>
      </x:c>
      <x:c r="AU109" s="119" t="n">
        <x:f>IF(AR109=0,0,(AR109-IF(6=D109,1,0))*VLOOKUP(INDEX('章节与怪物'!$E$31:$K$37,B109,6),'章节与怪物'!$A$41:$F$44,4,FALSE)+IF(6=D109,'难度参数'!$E$30,0))</x:f>
        <x:v>728</x:v>
      </x:c>
      <x:c r="AV109" s="119" t="n">
        <x:f>IF(7&gt;D109,0,MAX(2,MIN('难度参数'!$E$12,ROUND(('难度参数'!$E$18*POWER(A109,'难度参数'!$E$19)/D109*(0.85+0.3*(7-1)/MAX(1,D109-1))),0)+F109)))</x:f>
        <x:v>27</x:v>
      </x:c>
      <x:c r="AW109" s="119" t="n">
        <x:f>IF(7&gt;D109,0,ROUND(('难度参数'!$E$13*POWER(A109,'难度参数'!$E$20)*MIN('难度参数'!$E$23,1+MAX(0,A109-'难度参数'!$E$21)*'难度参数'!$E$22))*(36+7*7)/(36+7*(D109+1)/2)*E109,0))</x:f>
        <x:v>4667</x:v>
      </x:c>
      <x:c r="AX109" s="119" t="n">
        <x:f>IF(AV109=0,0,(AV109-IF(7=D109,1,0))*ROUND(AW109*VLOOKUP(INDEX('章节与怪物'!$E$31:$K$37,B109,7),'章节与怪物'!$A$41:$F$44,2,FALSE),0)+IF(7=D109,ROUND(AW109*'难度参数'!$E$28*'章节与怪物'!$E$17,0),0))</x:f>
        <x:v>195536</x:v>
      </x:c>
      <x:c r="AY109" s="119" t="n">
        <x:f>IF(AV109=0,0,(AV109-IF(7=D109,1,0))*VLOOKUP(INDEX('章节与怪物'!$E$31:$K$37,B109,7),'章节与怪物'!$A$41:$F$44,4,FALSE)+IF(7=D109,'难度参数'!$E$30,0))</x:f>
        <x:v>1084</x:v>
      </x:c>
    </x:row>
    <x:row r="110" ht="23" customHeight="1">
      <x:c r="A110" s="119" t="n">
        <x:v>104</x:v>
      </x:c>
      <x:c r="B110" s="119" t="n">
        <x:f>MOD(INT((A110-1)/5),7)+1</x:f>
        <x:v>7</x:v>
      </x:c>
      <x:c r="C110" s="62" t="str">
        <x:f>INDEX('章节与怪物'!$B$31:$B$37,B110)</x:f>
        <x:v>魔法山脊</x:v>
      </x:c>
      <x:c r="D110" s="119" t="n">
        <x:f>MIN('难度参数'!$E$8,MAX('难度参数'!$E$7,A110))</x:f>
        <x:v>7</x:v>
      </x:c>
      <x:c r="E110" s="106" t="n">
        <x:v>1</x:v>
      </x:c>
      <x:c r="F110" s="106" t="n">
        <x:v>0</x:v>
      </x:c>
      <x:c r="G110" s="106" t="n">
        <x:v>1</x:v>
      </x:c>
      <x:c r="H110" s="119" t="n">
        <x:f>SUM(X110,AB110,AF110,AJ110,AN110,AR110,AV110)</x:f>
        <x:v>168</x:v>
      </x:c>
      <x:c r="I110" s="119" t="n">
        <x:f>SUM(Z110,AD110,AH110,AL110,AP110,AT110,AX110)</x:f>
        <x:v>795626</x:v>
      </x:c>
      <x:c r="J110" s="119" t="n">
        <x:f>ROUND(INDEX(X110:AY110,1,(D110-1)*4+2)*'难度参数'!$E$28*'章节与怪物'!$E$17,0)</x:f>
        <x:v>32035</x:v>
      </x:c>
      <x:c r="K110" s="119" t="n">
        <x:f>SUM(AA110,AE110,AI110,AM110,AQ110,AU110,AY110)</x:f>
        <x:v>4606</x:v>
      </x:c>
      <x:c r="L110" s="62" t="n">
        <x:f>H110*(ROUNDUP('难度参数'!$E$24/('难度参数'!$E$26*'难度参数'!$E$27),0)*'难度参数'!$E$26)/60</x:f>
        <x:v>2.24</x:v>
      </x:c>
      <x:c r="M110" s="62" t="n">
        <x:f>L110+D110*('难度参数'!$E$49+'难度参数'!$E$50)/60</x:f>
        <x:v>3.406666666666667</x:v>
      </x:c>
      <x:c r="N110" s="119" t="n">
        <x:f>ROUNDDOWN(('经济参数'!$E$20+A110*'经济参数'!$E$21)*G110,0)</x:f>
        <x:v>2260</x:v>
      </x:c>
      <x:c r="O110" s="119" t="n">
        <x:f>ROUNDDOWN(MIN('经济参数'!$E$24,'经济参数'!$E$22+A110*'经济参数'!$E$23)*G110,0)</x:f>
        <x:v>0</x:v>
      </x:c>
      <x:c r="P110" s="119" t="n">
        <x:f>ROUNDDOWN((IF(A110&gt;='材料与任务'!$E$31,'材料与任务'!$E$32,IF(A110&gt;='材料与任务'!$E$25,'材料与任务'!$E$26,IF(A110&gt;='材料与任务'!$E$19,'材料与任务'!$E$20,IF(A110&gt;='材料与任务'!$E$13,'材料与任务'!$E$14,'材料与任务'!$E$8)))))*G110,0)</x:f>
        <x:v>5</x:v>
      </x:c>
      <x:c r="Q110" s="119" t="n">
        <x:f>ROUNDDOWN((IF(A110&gt;='材料与任务'!$E$31,'材料与任务'!$E$33,IF(A110&gt;='材料与任务'!$E$25,'材料与任务'!$E$27,IF(A110&gt;='材料与任务'!$E$19,'材料与任务'!$E$21,IF(A110&gt;='材料与任务'!$E$13,'材料与任务'!$E$15,'材料与任务'!$E$9)))))*G110,0)</x:f>
        <x:v>2</x:v>
      </x:c>
      <x:c r="R110" s="110" t="n">
        <x:f>'装备掉落'!$B$38</x:f>
        <x:v>0.6872058758851213</x:v>
      </x:c>
      <x:c r="S110" s="119" t="n">
        <x:f>MAX(IF(VLOOKUP(A110,'装备掉落'!$A$29:$H$34,2,TRUE)&gt;0,1,0),IF(VLOOKUP(A110,'装备掉落'!$A$29:$H$34,3,TRUE)&gt;0,2,0),IF(VLOOKUP(A110,'装备掉落'!$A$29:$H$34,4,TRUE)&gt;0,3,0),IF(VLOOKUP(A110,'装备掉落'!$A$29:$H$34,5,TRUE)&gt;0,4,0),IF(VLOOKUP(A110,'装备掉落'!$A$29:$H$34,6,TRUE)&gt;0,5,0),IF(VLOOKUP(A110,'装备掉落'!$A$29:$H$34,7,TRUE)&gt;0,6,0),IF(VLOOKUP(A110,'装备掉落'!$A$29:$H$34,8,TRUE)&gt;0,7,0))</x:f>
        <x:v>7</x:v>
      </x:c>
      <x:c r="T110" s="119" t="n">
        <x:f>MIN(7,S110+'经济参数'!$E$70)</x:f>
        <x:v>7</x:v>
      </x:c>
      <x:c r="U110" s="119" t="n">
        <x:f>MIN(7,S110+'经济参数'!$E$71)</x:f>
        <x:v>7</x:v>
      </x:c>
      <x:c r="V110" s="119" t="n">
        <x:f>IF(H110&gt;=('难度参数'!$E$52),1,0)+IF(H110&gt;=('难度参数'!$E$52+'难度参数'!$E$53),1,0)+IF(H110&gt;=('难度参数'!$E$52+'难度参数'!$E$53+'难度参数'!$E$54),1,0)+IF(H110&gt;=('难度参数'!$E$52+'难度参数'!$E$53+'难度参数'!$E$54+'难度参数'!$E$55),1,0)+IF(H110&gt;=('难度参数'!$E$52+'难度参数'!$E$53+'难度参数'!$E$54+'难度参数'!$E$55+'难度参数'!$E$56),1,0)+IF(H110&gt;=('难度参数'!$E$52+'难度参数'!$E$53+'难度参数'!$E$54+'难度参数'!$E$55+'难度参数'!$E$56+'难度参数'!$E$57),1,0)</x:f>
        <x:v>6</x:v>
      </x:c>
      <x:c r="W110" s="62" t="str">
        <x:f>IF(L110&gt;'难度参数'!$E$51,"仅出怪已超目标","还需实测")</x:f>
        <x:v>还需实测</x:v>
      </x:c>
      <x:c r="X110" s="119" t="n">
        <x:f>IF(1&gt;D110,0,MAX(2,MIN('难度参数'!$E$12,ROUND(('难度参数'!$E$18*POWER(A110,'难度参数'!$E$19)/D110*(0.85+0.3*(1-1)/MAX(1,D110-1))),0)+F110)))</x:f>
        <x:v>20</x:v>
      </x:c>
      <x:c r="Y110" s="119" t="n">
        <x:f>IF(1&gt;D110,0,ROUND(('难度参数'!$E$13*POWER(A110,'难度参数'!$E$20)*MIN('难度参数'!$E$23,1+MAX(0,A110-'难度参数'!$E$21)*'难度参数'!$E$22))*(36+1*7)/(36+7*(D110+1)/2)*E110,0))</x:f>
        <x:v>2383</x:v>
      </x:c>
      <x:c r="Z110" s="119" t="n">
        <x:f>IF(X110=0,0,(X110-IF(1=D110,1,0))*ROUND(Y110*VLOOKUP(INDEX('章节与怪物'!$E$31:$K$37,B110,1),'章节与怪物'!$A$41:$F$44,2,FALSE),0)+IF(1=D110,ROUND(Y110*'难度参数'!$E$28*'章节与怪物'!$E$17,0),0))</x:f>
        <x:v>47660</x:v>
      </x:c>
      <x:c r="AA110" s="119" t="n">
        <x:f>IF(X110=0,0,(X110-IF(1=D110,1,0))*VLOOKUP(INDEX('章节与怪物'!$E$31:$K$37,B110,1),'章节与怪物'!$A$41:$F$44,4,FALSE)+IF(1=D110,'难度参数'!$E$30,0))</x:f>
        <x:v>360</x:v>
      </x:c>
      <x:c r="AB110" s="119" t="n">
        <x:f>IF(2&gt;D110,0,MAX(2,MIN('难度参数'!$E$12,ROUND(('难度参数'!$E$18*POWER(A110,'难度参数'!$E$19)/D110*(0.85+0.3*(2-1)/MAX(1,D110-1))),0)+F110)))</x:f>
        <x:v>22</x:v>
      </x:c>
      <x:c r="AC110" s="119" t="n">
        <x:f>IF(2&gt;D110,0,ROUND(('难度参数'!$E$13*POWER(A110,'难度参数'!$E$20)*MIN('难度参数'!$E$23,1+MAX(0,A110-'难度参数'!$E$21)*'难度参数'!$E$22))*(36+2*7)/(36+7*(D110+1)/2)*E110,0))</x:f>
        <x:v>2771</x:v>
      </x:c>
      <x:c r="AD110" s="119" t="n">
        <x:f>IF(AB110=0,0,(AB110-IF(2=D110,1,0))*ROUND(AC110*VLOOKUP(INDEX('章节与怪物'!$E$31:$K$37,B110,2),'章节与怪物'!$A$41:$F$44,2,FALSE),0)+IF(2=D110,ROUND(AC110*'难度参数'!$E$28*'章节与怪物'!$E$17,0),0))</x:f>
        <x:v>43890</x:v>
      </x:c>
      <x:c r="AE110" s="119" t="n">
        <x:f>IF(AB110=0,0,(AB110-IF(2=D110,1,0))*VLOOKUP(INDEX('章节与怪物'!$E$31:$K$37,B110,2),'章节与怪物'!$A$41:$F$44,4,FALSE)+IF(2=D110,'难度参数'!$E$30,0))</x:f>
        <x:v>440</x:v>
      </x:c>
      <x:c r="AF110" s="119" t="n">
        <x:f>IF(3&gt;D110,0,MAX(2,MIN('难度参数'!$E$12,ROUND(('难度参数'!$E$18*POWER(A110,'难度参数'!$E$19)/D110*(0.85+0.3*(3-1)/MAX(1,D110-1))),0)+F110)))</x:f>
        <x:v>23</x:v>
      </x:c>
      <x:c r="AG110" s="119" t="n">
        <x:f>IF(3&gt;D110,0,ROUND(('难度参数'!$E$13*POWER(A110,'难度参数'!$E$20)*MIN('难度参数'!$E$23,1+MAX(0,A110-'难度参数'!$E$21)*'难度参数'!$E$22))*(36+3*7)/(36+7*(D110+1)/2)*E110,0))</x:f>
        <x:v>3159</x:v>
      </x:c>
      <x:c r="AH110" s="119" t="n">
        <x:f>IF(AF110=0,0,(AF110-IF(3=D110,1,0))*ROUND(AG110*VLOOKUP(INDEX('章节与怪物'!$E$31:$K$37,B110,3),'章节与怪物'!$A$41:$F$44,2,FALSE),0)+IF(3=D110,ROUND(AG110*'难度参数'!$E$28*'章节与怪物'!$E$17,0),0))</x:f>
        <x:v>123510</x:v>
      </x:c>
      <x:c r="AI110" s="119" t="n">
        <x:f>IF(AF110=0,0,(AF110-IF(3=D110,1,0))*VLOOKUP(INDEX('章节与怪物'!$E$31:$K$37,B110,3),'章节与怪物'!$A$41:$F$44,4,FALSE)+IF(3=D110,'难度参数'!$E$30,0))</x:f>
        <x:v>644</x:v>
      </x:c>
      <x:c r="AJ110" s="119" t="n">
        <x:f>IF(4&gt;D110,0,MAX(2,MIN('难度参数'!$E$12,ROUND(('难度参数'!$E$18*POWER(A110,'难度参数'!$E$19)/D110*(0.85+0.3*(4-1)/MAX(1,D110-1))),0)+F110)))</x:f>
        <x:v>24</x:v>
      </x:c>
      <x:c r="AK110" s="119" t="n">
        <x:f>IF(4&gt;D110,0,ROUND(('难度参数'!$E$13*POWER(A110,'难度参数'!$E$20)*MIN('难度参数'!$E$23,1+MAX(0,A110-'难度参数'!$E$21)*'难度参数'!$E$22))*(36+4*7)/(36+7*(D110+1)/2)*E110,0))</x:f>
        <x:v>3547</x:v>
      </x:c>
      <x:c r="AL110" s="119" t="n">
        <x:f>IF(AJ110=0,0,(AJ110-IF(4=D110,1,0))*ROUND(AK110*VLOOKUP(INDEX('章节与怪物'!$E$31:$K$37,B110,4),'章节与怪物'!$A$41:$F$44,2,FALSE),0)+IF(4=D110,ROUND(AK110*'难度参数'!$E$28*'章节与怪物'!$E$17,0),0))</x:f>
        <x:v>114912</x:v>
      </x:c>
      <x:c r="AM110" s="119" t="n">
        <x:f>IF(AJ110=0,0,(AJ110-IF(4=D110,1,0))*VLOOKUP(INDEX('章节与怪物'!$E$31:$K$37,B110,4),'章节与怪物'!$A$41:$F$44,4,FALSE)+IF(4=D110,'难度参数'!$E$30,0))</x:f>
        <x:v>816</x:v>
      </x:c>
      <x:c r="AN110" s="119" t="n">
        <x:f>IF(5&gt;D110,0,MAX(2,MIN('难度参数'!$E$12,ROUND(('难度参数'!$E$18*POWER(A110,'难度参数'!$E$19)/D110*(0.85+0.3*(5-1)/MAX(1,D110-1))),0)+F110)))</x:f>
        <x:v>25</x:v>
      </x:c>
      <x:c r="AO110" s="119" t="n">
        <x:f>IF(5&gt;D110,0,ROUND(('难度参数'!$E$13*POWER(A110,'难度参数'!$E$20)*MIN('难度参数'!$E$23,1+MAX(0,A110-'难度参数'!$E$21)*'难度参数'!$E$22))*(36+5*7)/(36+7*(D110+1)/2)*E110,0))</x:f>
        <x:v>3935</x:v>
      </x:c>
      <x:c r="AP110" s="119" t="n">
        <x:f>IF(AN110=0,0,(AN110-IF(5=D110,1,0))*ROUND(AO110*VLOOKUP(INDEX('章节与怪物'!$E$31:$K$37,B110,5),'章节与怪物'!$A$41:$F$44,2,FALSE),0)+IF(5=D110,ROUND(AO110*'难度参数'!$E$28*'章节与怪物'!$E$17,0),0))</x:f>
        <x:v>70825</x:v>
      </x:c>
      <x:c r="AQ110" s="119" t="n">
        <x:f>IF(AN110=0,0,(AN110-IF(5=D110,1,0))*VLOOKUP(INDEX('章节与怪物'!$E$31:$K$37,B110,5),'章节与怪物'!$A$41:$F$44,4,FALSE)+IF(5=D110,'难度参数'!$E$30,0))</x:f>
        <x:v>500</x:v>
      </x:c>
      <x:c r="AR110" s="119" t="n">
        <x:f>IF(6&gt;D110,0,MAX(2,MIN('难度参数'!$E$12,ROUND(('难度参数'!$E$18*POWER(A110,'难度参数'!$E$19)/D110*(0.85+0.3*(6-1)/MAX(1,D110-1))),0)+F110)))</x:f>
        <x:v>26</x:v>
      </x:c>
      <x:c r="AS110" s="119" t="n">
        <x:f>IF(6&gt;D110,0,ROUND(('难度参数'!$E$13*POWER(A110,'难度参数'!$E$20)*MIN('难度参数'!$E$23,1+MAX(0,A110-'难度参数'!$E$21)*'难度参数'!$E$22))*(36+6*7)/(36+7*(D110+1)/2)*E110,0))</x:f>
        <x:v>4323</x:v>
      </x:c>
      <x:c r="AT110" s="119" t="n">
        <x:f>IF(AR110=0,0,(AR110-IF(6=D110,1,0))*ROUND(AS110*VLOOKUP(INDEX('章节与怪物'!$E$31:$K$37,B110,6),'章节与怪物'!$A$41:$F$44,2,FALSE),0)+IF(6=D110,ROUND(AS110*'难度参数'!$E$28*'章节与怪物'!$E$17,0),0))</x:f>
        <x:v>191074</x:v>
      </x:c>
      <x:c r="AU110" s="119" t="n">
        <x:f>IF(AR110=0,0,(AR110-IF(6=D110,1,0))*VLOOKUP(INDEX('章节与怪物'!$E$31:$K$37,B110,6),'章节与怪物'!$A$41:$F$44,4,FALSE)+IF(6=D110,'难度参数'!$E$30,0))</x:f>
        <x:v>728</x:v>
      </x:c>
      <x:c r="AV110" s="119" t="n">
        <x:f>IF(7&gt;D110,0,MAX(2,MIN('难度参数'!$E$12,ROUND(('难度参数'!$E$18*POWER(A110,'难度参数'!$E$19)/D110*(0.85+0.3*(7-1)/MAX(1,D110-1))),0)+F110)))</x:f>
        <x:v>28</x:v>
      </x:c>
      <x:c r="AW110" s="119" t="n">
        <x:f>IF(7&gt;D110,0,ROUND(('难度参数'!$E$13*POWER(A110,'难度参数'!$E$20)*MIN('难度参数'!$E$23,1+MAX(0,A110-'难度参数'!$E$21)*'难度参数'!$E$22))*(36+7*7)/(36+7*(D110+1)/2)*E110,0))</x:f>
        <x:v>4711</x:v>
      </x:c>
      <x:c r="AX110" s="119" t="n">
        <x:f>IF(AV110=0,0,(AV110-IF(7=D110,1,0))*ROUND(AW110*VLOOKUP(INDEX('章节与怪物'!$E$31:$K$37,B110,7),'章节与怪物'!$A$41:$F$44,2,FALSE),0)+IF(7=D110,ROUND(AW110*'难度参数'!$E$28*'章节与怪物'!$E$17,0),0))</x:f>
        <x:v>203755</x:v>
      </x:c>
      <x:c r="AY110" s="119" t="n">
        <x:f>IF(AV110=0,0,(AV110-IF(7=D110,1,0))*VLOOKUP(INDEX('章节与怪物'!$E$31:$K$37,B110,7),'章节与怪物'!$A$41:$F$44,4,FALSE)+IF(7=D110,'难度参数'!$E$30,0))</x:f>
        <x:v>1118</x:v>
      </x:c>
    </x:row>
    <x:row r="111" ht="23" customHeight="1">
      <x:c r="A111" s="119" t="n">
        <x:v>105</x:v>
      </x:c>
      <x:c r="B111" s="119" t="n">
        <x:f>MOD(INT((A111-1)/5),7)+1</x:f>
        <x:v>7</x:v>
      </x:c>
      <x:c r="C111" s="62" t="str">
        <x:f>INDEX('章节与怪物'!$B$31:$B$37,B111)</x:f>
        <x:v>魔法山脊</x:v>
      </x:c>
      <x:c r="D111" s="119" t="n">
        <x:f>MIN('难度参数'!$E$8,MAX('难度参数'!$E$7,A111))</x:f>
        <x:v>7</x:v>
      </x:c>
      <x:c r="E111" s="106" t="n">
        <x:v>1</x:v>
      </x:c>
      <x:c r="F111" s="106" t="n">
        <x:v>0</x:v>
      </x:c>
      <x:c r="G111" s="106" t="n">
        <x:v>1</x:v>
      </x:c>
      <x:c r="H111" s="119" t="n">
        <x:f>SUM(X111,AB111,AF111,AJ111,AN111,AR111,AV111)</x:f>
        <x:v>168</x:v>
      </x:c>
      <x:c r="I111" s="119" t="n">
        <x:f>SUM(Z111,AD111,AH111,AL111,AP111,AT111,AX111)</x:f>
        <x:v>803072</x:v>
      </x:c>
      <x:c r="J111" s="119" t="n">
        <x:f>ROUND(INDEX(X111:AY111,1,(D111-1)*4+2)*'难度参数'!$E$28*'章节与怪物'!$E$17,0)</x:f>
        <x:v>32334</x:v>
      </x:c>
      <x:c r="K111" s="119" t="n">
        <x:f>SUM(AA111,AE111,AI111,AM111,AQ111,AU111,AY111)</x:f>
        <x:v>4606</x:v>
      </x:c>
      <x:c r="L111" s="62" t="n">
        <x:f>H111*(ROUNDUP('难度参数'!$E$24/('难度参数'!$E$26*'难度参数'!$E$27),0)*'难度参数'!$E$26)/60</x:f>
        <x:v>2.24</x:v>
      </x:c>
      <x:c r="M111" s="62" t="n">
        <x:f>L111+D111*('难度参数'!$E$49+'难度参数'!$E$50)/60</x:f>
        <x:v>3.406666666666667</x:v>
      </x:c>
      <x:c r="N111" s="119" t="n">
        <x:f>ROUNDDOWN(('经济参数'!$E$20+A111*'经济参数'!$E$21)*G111,0)</x:f>
        <x:v>2280</x:v>
      </x:c>
      <x:c r="O111" s="119" t="n">
        <x:f>ROUNDDOWN(MIN('经济参数'!$E$24,'经济参数'!$E$22+A111*'经济参数'!$E$23)*G111,0)</x:f>
        <x:v>0</x:v>
      </x:c>
      <x:c r="P111" s="119" t="n">
        <x:f>ROUNDDOWN((IF(A111&gt;='材料与任务'!$E$31,'材料与任务'!$E$32,IF(A111&gt;='材料与任务'!$E$25,'材料与任务'!$E$26,IF(A111&gt;='材料与任务'!$E$19,'材料与任务'!$E$20,IF(A111&gt;='材料与任务'!$E$13,'材料与任务'!$E$14,'材料与任务'!$E$8)))))*G111,0)</x:f>
        <x:v>5</x:v>
      </x:c>
      <x:c r="Q111" s="119" t="n">
        <x:f>ROUNDDOWN((IF(A111&gt;='材料与任务'!$E$31,'材料与任务'!$E$33,IF(A111&gt;='材料与任务'!$E$25,'材料与任务'!$E$27,IF(A111&gt;='材料与任务'!$E$19,'材料与任务'!$E$21,IF(A111&gt;='材料与任务'!$E$13,'材料与任务'!$E$15,'材料与任务'!$E$9)))))*G111,0)</x:f>
        <x:v>2</x:v>
      </x:c>
      <x:c r="R111" s="110" t="n">
        <x:f>'装备掉落'!$B$38</x:f>
        <x:v>0.6872058758851213</x:v>
      </x:c>
      <x:c r="S111" s="119" t="n">
        <x:f>MAX(IF(VLOOKUP(A111,'装备掉落'!$A$29:$H$34,2,TRUE)&gt;0,1,0),IF(VLOOKUP(A111,'装备掉落'!$A$29:$H$34,3,TRUE)&gt;0,2,0),IF(VLOOKUP(A111,'装备掉落'!$A$29:$H$34,4,TRUE)&gt;0,3,0),IF(VLOOKUP(A111,'装备掉落'!$A$29:$H$34,5,TRUE)&gt;0,4,0),IF(VLOOKUP(A111,'装备掉落'!$A$29:$H$34,6,TRUE)&gt;0,5,0),IF(VLOOKUP(A111,'装备掉落'!$A$29:$H$34,7,TRUE)&gt;0,6,0),IF(VLOOKUP(A111,'装备掉落'!$A$29:$H$34,8,TRUE)&gt;0,7,0))</x:f>
        <x:v>7</x:v>
      </x:c>
      <x:c r="T111" s="119" t="n">
        <x:f>MIN(7,S111+'经济参数'!$E$70)</x:f>
        <x:v>7</x:v>
      </x:c>
      <x:c r="U111" s="119" t="n">
        <x:f>MIN(7,S111+'经济参数'!$E$71)</x:f>
        <x:v>7</x:v>
      </x:c>
      <x:c r="V111" s="119" t="n">
        <x:f>IF(H111&gt;=('难度参数'!$E$52),1,0)+IF(H111&gt;=('难度参数'!$E$52+'难度参数'!$E$53),1,0)+IF(H111&gt;=('难度参数'!$E$52+'难度参数'!$E$53+'难度参数'!$E$54),1,0)+IF(H111&gt;=('难度参数'!$E$52+'难度参数'!$E$53+'难度参数'!$E$54+'难度参数'!$E$55),1,0)+IF(H111&gt;=('难度参数'!$E$52+'难度参数'!$E$53+'难度参数'!$E$54+'难度参数'!$E$55+'难度参数'!$E$56),1,0)+IF(H111&gt;=('难度参数'!$E$52+'难度参数'!$E$53+'难度参数'!$E$54+'难度参数'!$E$55+'难度参数'!$E$56+'难度参数'!$E$57),1,0)</x:f>
        <x:v>6</x:v>
      </x:c>
      <x:c r="W111" s="62" t="str">
        <x:f>IF(L111&gt;'难度参数'!$E$51,"仅出怪已超目标","还需实测")</x:f>
        <x:v>还需实测</x:v>
      </x:c>
      <x:c r="X111" s="119" t="n">
        <x:f>IF(1&gt;D111,0,MAX(2,MIN('难度参数'!$E$12,ROUND(('难度参数'!$E$18*POWER(A111,'难度参数'!$E$19)/D111*(0.85+0.3*(1-1)/MAX(1,D111-1))),0)+F111)))</x:f>
        <x:v>20</x:v>
      </x:c>
      <x:c r="Y111" s="119" t="n">
        <x:f>IF(1&gt;D111,0,ROUND(('难度参数'!$E$13*POWER(A111,'难度参数'!$E$20)*MIN('难度参数'!$E$23,1+MAX(0,A111-'难度参数'!$E$21)*'难度参数'!$E$22))*(36+1*7)/(36+7*(D111+1)/2)*E111,0))</x:f>
        <x:v>2405</x:v>
      </x:c>
      <x:c r="Z111" s="119" t="n">
        <x:f>IF(X111=0,0,(X111-IF(1=D111,1,0))*ROUND(Y111*VLOOKUP(INDEX('章节与怪物'!$E$31:$K$37,B111,1),'章节与怪物'!$A$41:$F$44,2,FALSE),0)+IF(1=D111,ROUND(Y111*'难度参数'!$E$28*'章节与怪物'!$E$17,0),0))</x:f>
        <x:v>48100</x:v>
      </x:c>
      <x:c r="AA111" s="119" t="n">
        <x:f>IF(X111=0,0,(X111-IF(1=D111,1,0))*VLOOKUP(INDEX('章节与怪物'!$E$31:$K$37,B111,1),'章节与怪物'!$A$41:$F$44,4,FALSE)+IF(1=D111,'难度参数'!$E$30,0))</x:f>
        <x:v>360</x:v>
      </x:c>
      <x:c r="AB111" s="119" t="n">
        <x:f>IF(2&gt;D111,0,MAX(2,MIN('难度参数'!$E$12,ROUND(('难度参数'!$E$18*POWER(A111,'难度参数'!$E$19)/D111*(0.85+0.3*(2-1)/MAX(1,D111-1))),0)+F111)))</x:f>
        <x:v>22</x:v>
      </x:c>
      <x:c r="AC111" s="119" t="n">
        <x:f>IF(2&gt;D111,0,ROUND(('难度参数'!$E$13*POWER(A111,'难度参数'!$E$20)*MIN('难度参数'!$E$23,1+MAX(0,A111-'难度参数'!$E$21)*'难度参数'!$E$22))*(36+2*7)/(36+7*(D111+1)/2)*E111,0))</x:f>
        <x:v>2797</x:v>
      </x:c>
      <x:c r="AD111" s="119" t="n">
        <x:f>IF(AB111=0,0,(AB111-IF(2=D111,1,0))*ROUND(AC111*VLOOKUP(INDEX('章节与怪物'!$E$31:$K$37,B111,2),'章节与怪物'!$A$41:$F$44,2,FALSE),0)+IF(2=D111,ROUND(AC111*'难度参数'!$E$28*'章节与怪物'!$E$17,0),0))</x:f>
        <x:v>44308</x:v>
      </x:c>
      <x:c r="AE111" s="119" t="n">
        <x:f>IF(AB111=0,0,(AB111-IF(2=D111,1,0))*VLOOKUP(INDEX('章节与怪物'!$E$31:$K$37,B111,2),'章节与怪物'!$A$41:$F$44,4,FALSE)+IF(2=D111,'难度参数'!$E$30,0))</x:f>
        <x:v>440</x:v>
      </x:c>
      <x:c r="AF111" s="119" t="n">
        <x:f>IF(3&gt;D111,0,MAX(2,MIN('难度参数'!$E$12,ROUND(('难度参数'!$E$18*POWER(A111,'难度参数'!$E$19)/D111*(0.85+0.3*(3-1)/MAX(1,D111-1))),0)+F111)))</x:f>
        <x:v>23</x:v>
      </x:c>
      <x:c r="AG111" s="119" t="n">
        <x:f>IF(3&gt;D111,0,ROUND(('难度参数'!$E$13*POWER(A111,'难度参数'!$E$20)*MIN('难度参数'!$E$23,1+MAX(0,A111-'难度参数'!$E$21)*'难度参数'!$E$22))*(36+3*7)/(36+7*(D111+1)/2)*E111,0))</x:f>
        <x:v>3189</x:v>
      </x:c>
      <x:c r="AH111" s="119" t="n">
        <x:f>IF(AF111=0,0,(AF111-IF(3=D111,1,0))*ROUND(AG111*VLOOKUP(INDEX('章节与怪物'!$E$31:$K$37,B111,3),'章节与怪物'!$A$41:$F$44,2,FALSE),0)+IF(3=D111,ROUND(AG111*'难度参数'!$E$28*'章节与怪物'!$E$17,0),0))</x:f>
        <x:v>124683</x:v>
      </x:c>
      <x:c r="AI111" s="119" t="n">
        <x:f>IF(AF111=0,0,(AF111-IF(3=D111,1,0))*VLOOKUP(INDEX('章节与怪物'!$E$31:$K$37,B111,3),'章节与怪物'!$A$41:$F$44,4,FALSE)+IF(3=D111,'难度参数'!$E$30,0))</x:f>
        <x:v>644</x:v>
      </x:c>
      <x:c r="AJ111" s="119" t="n">
        <x:f>IF(4&gt;D111,0,MAX(2,MIN('难度参数'!$E$12,ROUND(('难度参数'!$E$18*POWER(A111,'难度参数'!$E$19)/D111*(0.85+0.3*(4-1)/MAX(1,D111-1))),0)+F111)))</x:f>
        <x:v>24</x:v>
      </x:c>
      <x:c r="AK111" s="119" t="n">
        <x:f>IF(4&gt;D111,0,ROUND(('难度参数'!$E$13*POWER(A111,'难度参数'!$E$20)*MIN('难度参数'!$E$23,1+MAX(0,A111-'难度参数'!$E$21)*'难度参数'!$E$22))*(36+4*7)/(36+7*(D111+1)/2)*E111,0))</x:f>
        <x:v>3580</x:v>
      </x:c>
      <x:c r="AL111" s="119" t="n">
        <x:f>IF(AJ111=0,0,(AJ111-IF(4=D111,1,0))*ROUND(AK111*VLOOKUP(INDEX('章节与怪物'!$E$31:$K$37,B111,4),'章节与怪物'!$A$41:$F$44,2,FALSE),0)+IF(4=D111,ROUND(AK111*'难度参数'!$E$28*'章节与怪物'!$E$17,0),0))</x:f>
        <x:v>115992</x:v>
      </x:c>
      <x:c r="AM111" s="119" t="n">
        <x:f>IF(AJ111=0,0,(AJ111-IF(4=D111,1,0))*VLOOKUP(INDEX('章节与怪物'!$E$31:$K$37,B111,4),'章节与怪物'!$A$41:$F$44,4,FALSE)+IF(4=D111,'难度参数'!$E$30,0))</x:f>
        <x:v>816</x:v>
      </x:c>
      <x:c r="AN111" s="119" t="n">
        <x:f>IF(5&gt;D111,0,MAX(2,MIN('难度参数'!$E$12,ROUND(('难度参数'!$E$18*POWER(A111,'难度参数'!$E$19)/D111*(0.85+0.3*(5-1)/MAX(1,D111-1))),0)+F111)))</x:f>
        <x:v>25</x:v>
      </x:c>
      <x:c r="AO111" s="119" t="n">
        <x:f>IF(5&gt;D111,0,ROUND(('难度参数'!$E$13*POWER(A111,'难度参数'!$E$20)*MIN('难度参数'!$E$23,1+MAX(0,A111-'难度参数'!$E$21)*'难度参数'!$E$22))*(36+5*7)/(36+7*(D111+1)/2)*E111,0))</x:f>
        <x:v>3972</x:v>
      </x:c>
      <x:c r="AP111" s="119" t="n">
        <x:f>IF(AN111=0,0,(AN111-IF(5=D111,1,0))*ROUND(AO111*VLOOKUP(INDEX('章节与怪物'!$E$31:$K$37,B111,5),'章节与怪物'!$A$41:$F$44,2,FALSE),0)+IF(5=D111,ROUND(AO111*'难度参数'!$E$28*'章节与怪物'!$E$17,0),0))</x:f>
        <x:v>71500</x:v>
      </x:c>
      <x:c r="AQ111" s="119" t="n">
        <x:f>IF(AN111=0,0,(AN111-IF(5=D111,1,0))*VLOOKUP(INDEX('章节与怪物'!$E$31:$K$37,B111,5),'章节与怪物'!$A$41:$F$44,4,FALSE)+IF(5=D111,'难度参数'!$E$30,0))</x:f>
        <x:v>500</x:v>
      </x:c>
      <x:c r="AR111" s="119" t="n">
        <x:f>IF(6&gt;D111,0,MAX(2,MIN('难度参数'!$E$12,ROUND(('难度参数'!$E$18*POWER(A111,'难度参数'!$E$19)/D111*(0.85+0.3*(6-1)/MAX(1,D111-1))),0)+F111)))</x:f>
        <x:v>26</x:v>
      </x:c>
      <x:c r="AS111" s="119" t="n">
        <x:f>IF(6&gt;D111,0,ROUND(('难度参数'!$E$13*POWER(A111,'难度参数'!$E$20)*MIN('难度参数'!$E$23,1+MAX(0,A111-'难度参数'!$E$21)*'难度参数'!$E$22))*(36+6*7)/(36+7*(D111+1)/2)*E111,0))</x:f>
        <x:v>4363</x:v>
      </x:c>
      <x:c r="AT111" s="119" t="n">
        <x:f>IF(AR111=0,0,(AR111-IF(6=D111,1,0))*ROUND(AS111*VLOOKUP(INDEX('章节与怪物'!$E$31:$K$37,B111,6),'章节与怪物'!$A$41:$F$44,2,FALSE),0)+IF(6=D111,ROUND(AS111*'难度参数'!$E$28*'章节与怪物'!$E$17,0),0))</x:f>
        <x:v>192842</x:v>
      </x:c>
      <x:c r="AU111" s="119" t="n">
        <x:f>IF(AR111=0,0,(AR111-IF(6=D111,1,0))*VLOOKUP(INDEX('章节与怪物'!$E$31:$K$37,B111,6),'章节与怪物'!$A$41:$F$44,4,FALSE)+IF(6=D111,'难度参数'!$E$30,0))</x:f>
        <x:v>728</x:v>
      </x:c>
      <x:c r="AV111" s="119" t="n">
        <x:f>IF(7&gt;D111,0,MAX(2,MIN('难度参数'!$E$12,ROUND(('难度参数'!$E$18*POWER(A111,'难度参数'!$E$19)/D111*(0.85+0.3*(7-1)/MAX(1,D111-1))),0)+F111)))</x:f>
        <x:v>28</x:v>
      </x:c>
      <x:c r="AW111" s="119" t="n">
        <x:f>IF(7&gt;D111,0,ROUND(('难度参数'!$E$13*POWER(A111,'难度参数'!$E$20)*MIN('难度参数'!$E$23,1+MAX(0,A111-'难度参数'!$E$21)*'难度参数'!$E$22))*(36+7*7)/(36+7*(D111+1)/2)*E111,0))</x:f>
        <x:v>4755</x:v>
      </x:c>
      <x:c r="AX111" s="119" t="n">
        <x:f>IF(AV111=0,0,(AV111-IF(7=D111,1,0))*ROUND(AW111*VLOOKUP(INDEX('章节与怪物'!$E$31:$K$37,B111,7),'章节与怪物'!$A$41:$F$44,2,FALSE),0)+IF(7=D111,ROUND(AW111*'难度参数'!$E$28*'章节与怪物'!$E$17,0),0))</x:f>
        <x:v>205647</x:v>
      </x:c>
      <x:c r="AY111" s="119" t="n">
        <x:f>IF(AV111=0,0,(AV111-IF(7=D111,1,0))*VLOOKUP(INDEX('章节与怪物'!$E$31:$K$37,B111,7),'章节与怪物'!$A$41:$F$44,4,FALSE)+IF(7=D111,'难度参数'!$E$30,0))</x:f>
        <x:v>1118</x:v>
      </x:c>
    </x:row>
    <x:row r="112" ht="23" customHeight="1">
      <x:c r="A112" s="119" t="n">
        <x:v>106</x:v>
      </x:c>
      <x:c r="B112" s="119" t="n">
        <x:f>MOD(INT((A112-1)/5),7)+1</x:f>
        <x:v>1</x:v>
      </x:c>
      <x:c r="C112" s="62" t="str">
        <x:f>INDEX('章节与怪物'!$B$31:$B$37,B112)</x:f>
        <x:v>冰雪荒原</x:v>
      </x:c>
      <x:c r="D112" s="119" t="n">
        <x:f>MIN('难度参数'!$E$8,MAX('难度参数'!$E$7,A112))</x:f>
        <x:v>7</x:v>
      </x:c>
      <x:c r="E112" s="106" t="n">
        <x:v>1</x:v>
      </x:c>
      <x:c r="F112" s="106" t="n">
        <x:v>0</x:v>
      </x:c>
      <x:c r="G112" s="106" t="n">
        <x:v>1</x:v>
      </x:c>
      <x:c r="H112" s="119" t="n">
        <x:f>SUM(X112,AB112,AF112,AJ112,AN112,AR112,AV112)</x:f>
        <x:v>169</x:v>
      </x:c>
      <x:c r="I112" s="119" t="n">
        <x:f>SUM(Z112,AD112,AH112,AL112,AP112,AT112,AX112)</x:f>
        <x:v>785156</x:v>
      </x:c>
      <x:c r="J112" s="119" t="n">
        <x:f>ROUND(INDEX(X112:AY112,1,(D112-1)*4+2)*'难度参数'!$E$28*'章节与怪物'!$E$17,0)</x:f>
        <x:v>32633</x:v>
      </x:c>
      <x:c r="K112" s="119" t="n">
        <x:f>SUM(AA112,AE112,AI112,AM112,AQ112,AU112,AY112)</x:f>
        <x:v>4234</x:v>
      </x:c>
      <x:c r="L112" s="62" t="n">
        <x:f>H112*(ROUNDUP('难度参数'!$E$24/('难度参数'!$E$26*'难度参数'!$E$27),0)*'难度参数'!$E$26)/60</x:f>
        <x:v>2.2533333333333334</x:v>
      </x:c>
      <x:c r="M112" s="62" t="n">
        <x:f>L112+D112*('难度参数'!$E$49+'难度参数'!$E$50)/60</x:f>
        <x:v>3.42</x:v>
      </x:c>
      <x:c r="N112" s="119" t="n">
        <x:f>ROUNDDOWN(('经济参数'!$E$20+A112*'经济参数'!$E$21)*G112,0)</x:f>
        <x:v>2300</x:v>
      </x:c>
      <x:c r="O112" s="119" t="n">
        <x:f>ROUNDDOWN(MIN('经济参数'!$E$24,'经济参数'!$E$22+A112*'经济参数'!$E$23)*G112,0)</x:f>
        <x:v>0</x:v>
      </x:c>
      <x:c r="P112" s="119" t="n">
        <x:f>ROUNDDOWN((IF(A112&gt;='材料与任务'!$E$31,'材料与任务'!$E$32,IF(A112&gt;='材料与任务'!$E$25,'材料与任务'!$E$26,IF(A112&gt;='材料与任务'!$E$19,'材料与任务'!$E$20,IF(A112&gt;='材料与任务'!$E$13,'材料与任务'!$E$14,'材料与任务'!$E$8)))))*G112,0)</x:f>
        <x:v>5</x:v>
      </x:c>
      <x:c r="Q112" s="119" t="n">
        <x:f>ROUNDDOWN((IF(A112&gt;='材料与任务'!$E$31,'材料与任务'!$E$33,IF(A112&gt;='材料与任务'!$E$25,'材料与任务'!$E$27,IF(A112&gt;='材料与任务'!$E$19,'材料与任务'!$E$21,IF(A112&gt;='材料与任务'!$E$13,'材料与任务'!$E$15,'材料与任务'!$E$9)))))*G112,0)</x:f>
        <x:v>2</x:v>
      </x:c>
      <x:c r="R112" s="110" t="n">
        <x:f>'装备掉落'!$B$38</x:f>
        <x:v>0.6872058758851213</x:v>
      </x:c>
      <x:c r="S112" s="119" t="n">
        <x:f>MAX(IF(VLOOKUP(A112,'装备掉落'!$A$29:$H$34,2,TRUE)&gt;0,1,0),IF(VLOOKUP(A112,'装备掉落'!$A$29:$H$34,3,TRUE)&gt;0,2,0),IF(VLOOKUP(A112,'装备掉落'!$A$29:$H$34,4,TRUE)&gt;0,3,0),IF(VLOOKUP(A112,'装备掉落'!$A$29:$H$34,5,TRUE)&gt;0,4,0),IF(VLOOKUP(A112,'装备掉落'!$A$29:$H$34,6,TRUE)&gt;0,5,0),IF(VLOOKUP(A112,'装备掉落'!$A$29:$H$34,7,TRUE)&gt;0,6,0),IF(VLOOKUP(A112,'装备掉落'!$A$29:$H$34,8,TRUE)&gt;0,7,0))</x:f>
        <x:v>7</x:v>
      </x:c>
      <x:c r="T112" s="119" t="n">
        <x:f>MIN(7,S112+'经济参数'!$E$70)</x:f>
        <x:v>7</x:v>
      </x:c>
      <x:c r="U112" s="119" t="n">
        <x:f>MIN(7,S112+'经济参数'!$E$71)</x:f>
        <x:v>7</x:v>
      </x:c>
      <x:c r="V112" s="119" t="n">
        <x:f>IF(H112&gt;=('难度参数'!$E$52),1,0)+IF(H112&gt;=('难度参数'!$E$52+'难度参数'!$E$53),1,0)+IF(H112&gt;=('难度参数'!$E$52+'难度参数'!$E$53+'难度参数'!$E$54),1,0)+IF(H112&gt;=('难度参数'!$E$52+'难度参数'!$E$53+'难度参数'!$E$54+'难度参数'!$E$55),1,0)+IF(H112&gt;=('难度参数'!$E$52+'难度参数'!$E$53+'难度参数'!$E$54+'难度参数'!$E$55+'难度参数'!$E$56),1,0)+IF(H112&gt;=('难度参数'!$E$52+'难度参数'!$E$53+'难度参数'!$E$54+'难度参数'!$E$55+'难度参数'!$E$56+'难度参数'!$E$57),1,0)</x:f>
        <x:v>6</x:v>
      </x:c>
      <x:c r="W112" s="62" t="str">
        <x:f>IF(L112&gt;'难度参数'!$E$51,"仅出怪已超目标","还需实测")</x:f>
        <x:v>还需实测</x:v>
      </x:c>
      <x:c r="X112" s="119" t="n">
        <x:f>IF(1&gt;D112,0,MAX(2,MIN('难度参数'!$E$12,ROUND(('难度参数'!$E$18*POWER(A112,'难度参数'!$E$19)/D112*(0.85+0.3*(1-1)/MAX(1,D112-1))),0)+F112)))</x:f>
        <x:v>20</x:v>
      </x:c>
      <x:c r="Y112" s="119" t="n">
        <x:f>IF(1&gt;D112,0,ROUND(('难度参数'!$E$13*POWER(A112,'难度参数'!$E$20)*MIN('难度参数'!$E$23,1+MAX(0,A112-'难度参数'!$E$21)*'难度参数'!$E$22))*(36+1*7)/(36+7*(D112+1)/2)*E112,0))</x:f>
        <x:v>2428</x:v>
      </x:c>
      <x:c r="Z112" s="119" t="n">
        <x:f>IF(X112=0,0,(X112-IF(1=D112,1,0))*ROUND(Y112*VLOOKUP(INDEX('章节与怪物'!$E$31:$K$37,B112,1),'章节与怪物'!$A$41:$F$44,2,FALSE),0)+IF(1=D112,ROUND(Y112*'难度参数'!$E$28*'章节与怪物'!$E$17,0),0))</x:f>
        <x:v>48560</x:v>
      </x:c>
      <x:c r="AA112" s="119" t="n">
        <x:f>IF(X112=0,0,(X112-IF(1=D112,1,0))*VLOOKUP(INDEX('章节与怪物'!$E$31:$K$37,B112,1),'章节与怪物'!$A$41:$F$44,4,FALSE)+IF(1=D112,'难度参数'!$E$30,0))</x:f>
        <x:v>360</x:v>
      </x:c>
      <x:c r="AB112" s="119" t="n">
        <x:f>IF(2&gt;D112,0,MAX(2,MIN('难度参数'!$E$12,ROUND(('难度参数'!$E$18*POWER(A112,'难度参数'!$E$19)/D112*(0.85+0.3*(2-1)/MAX(1,D112-1))),0)+F112)))</x:f>
        <x:v>22</x:v>
      </x:c>
      <x:c r="AC112" s="119" t="n">
        <x:f>IF(2&gt;D112,0,ROUND(('难度参数'!$E$13*POWER(A112,'难度参数'!$E$20)*MIN('难度参数'!$E$23,1+MAX(0,A112-'难度参数'!$E$21)*'难度参数'!$E$22))*(36+2*7)/(36+7*(D112+1)/2)*E112,0))</x:f>
        <x:v>2823</x:v>
      </x:c>
      <x:c r="AD112" s="119" t="n">
        <x:f>IF(AB112=0,0,(AB112-IF(2=D112,1,0))*ROUND(AC112*VLOOKUP(INDEX('章节与怪物'!$E$31:$K$37,B112,2),'章节与怪物'!$A$41:$F$44,2,FALSE),0)+IF(2=D112,ROUND(AC112*'难度参数'!$E$28*'章节与怪物'!$E$17,0),0))</x:f>
        <x:v>62106</x:v>
      </x:c>
      <x:c r="AE112" s="119" t="n">
        <x:f>IF(AB112=0,0,(AB112-IF(2=D112,1,0))*VLOOKUP(INDEX('章节与怪物'!$E$31:$K$37,B112,2),'章节与怪物'!$A$41:$F$44,4,FALSE)+IF(2=D112,'难度参数'!$E$30,0))</x:f>
        <x:v>396</x:v>
      </x:c>
      <x:c r="AF112" s="119" t="n">
        <x:f>IF(3&gt;D112,0,MAX(2,MIN('难度参数'!$E$12,ROUND(('难度参数'!$E$18*POWER(A112,'难度参数'!$E$19)/D112*(0.85+0.3*(3-1)/MAX(1,D112-1))),0)+F112)))</x:f>
        <x:v>23</x:v>
      </x:c>
      <x:c r="AG112" s="119" t="n">
        <x:f>IF(3&gt;D112,0,ROUND(('难度参数'!$E$13*POWER(A112,'难度参数'!$E$20)*MIN('难度参数'!$E$23,1+MAX(0,A112-'难度参数'!$E$21)*'难度参数'!$E$22))*(36+3*7)/(36+7*(D112+1)/2)*E112,0))</x:f>
        <x:v>3218</x:v>
      </x:c>
      <x:c r="AH112" s="119" t="n">
        <x:f>IF(AF112=0,0,(AF112-IF(3=D112,1,0))*ROUND(AG112*VLOOKUP(INDEX('章节与怪物'!$E$31:$K$37,B112,3),'章节与怪物'!$A$41:$F$44,2,FALSE),0)+IF(3=D112,ROUND(AG112*'难度参数'!$E$28*'章节与怪物'!$E$17,0),0))</x:f>
        <x:v>53291</x:v>
      </x:c>
      <x:c r="AI112" s="119" t="n">
        <x:f>IF(AF112=0,0,(AF112-IF(3=D112,1,0))*VLOOKUP(INDEX('章节与怪物'!$E$31:$K$37,B112,3),'章节与怪物'!$A$41:$F$44,4,FALSE)+IF(3=D112,'难度参数'!$E$30,0))</x:f>
        <x:v>460</x:v>
      </x:c>
      <x:c r="AJ112" s="119" t="n">
        <x:f>IF(4&gt;D112,0,MAX(2,MIN('难度参数'!$E$12,ROUND(('难度参数'!$E$18*POWER(A112,'难度参数'!$E$19)/D112*(0.85+0.3*(4-1)/MAX(1,D112-1))),0)+F112)))</x:f>
        <x:v>24</x:v>
      </x:c>
      <x:c r="AK112" s="119" t="n">
        <x:f>IF(4&gt;D112,0,ROUND(('难度参数'!$E$13*POWER(A112,'难度参数'!$E$20)*MIN('难度参数'!$E$23,1+MAX(0,A112-'难度参数'!$E$21)*'难度参数'!$E$22))*(36+4*7)/(36+7*(D112+1)/2)*E112,0))</x:f>
        <x:v>3613</x:v>
      </x:c>
      <x:c r="AL112" s="119" t="n">
        <x:f>IF(AJ112=0,0,(AJ112-IF(4=D112,1,0))*ROUND(AK112*VLOOKUP(INDEX('章节与怪物'!$E$31:$K$37,B112,4),'章节与怪物'!$A$41:$F$44,2,FALSE),0)+IF(4=D112,ROUND(AK112*'难度参数'!$E$28*'章节与怪物'!$E$17,0),0))</x:f>
        <x:v>147408</x:v>
      </x:c>
      <x:c r="AM112" s="119" t="n">
        <x:f>IF(AJ112=0,0,(AJ112-IF(4=D112,1,0))*VLOOKUP(INDEX('章节与怪物'!$E$31:$K$37,B112,4),'章节与怪物'!$A$41:$F$44,4,FALSE)+IF(4=D112,'难度参数'!$E$30,0))</x:f>
        <x:v>672</x:v>
      </x:c>
      <x:c r="AN112" s="119" t="n">
        <x:f>IF(5&gt;D112,0,MAX(2,MIN('难度参数'!$E$12,ROUND(('难度参数'!$E$18*POWER(A112,'难度参数'!$E$19)/D112*(0.85+0.3*(5-1)/MAX(1,D112-1))),0)+F112)))</x:f>
        <x:v>25</x:v>
      </x:c>
      <x:c r="AO112" s="119" t="n">
        <x:f>IF(5&gt;D112,0,ROUND(('难度参数'!$E$13*POWER(A112,'难度参数'!$E$20)*MIN('难度参数'!$E$23,1+MAX(0,A112-'难度参数'!$E$21)*'难度参数'!$E$22))*(36+5*7)/(36+7*(D112+1)/2)*E112,0))</x:f>
        <x:v>4008</x:v>
      </x:c>
      <x:c r="AP112" s="119" t="n">
        <x:f>IF(AN112=0,0,(AN112-IF(5=D112,1,0))*ROUND(AO112*VLOOKUP(INDEX('章节与怪物'!$E$31:$K$37,B112,5),'章节与怪物'!$A$41:$F$44,2,FALSE),0)+IF(5=D112,ROUND(AO112*'难度参数'!$E$28*'章节与怪物'!$E$17,0),0))</x:f>
        <x:v>135275</x:v>
      </x:c>
      <x:c r="AQ112" s="119" t="n">
        <x:f>IF(AN112=0,0,(AN112-IF(5=D112,1,0))*VLOOKUP(INDEX('章节与怪物'!$E$31:$K$37,B112,5),'章节与怪物'!$A$41:$F$44,4,FALSE)+IF(5=D112,'难度参数'!$E$30,0))</x:f>
        <x:v>850</x:v>
      </x:c>
      <x:c r="AR112" s="119" t="n">
        <x:f>IF(6&gt;D112,0,MAX(2,MIN('难度参数'!$E$12,ROUND(('难度参数'!$E$18*POWER(A112,'难度参数'!$E$19)/D112*(0.85+0.3*(6-1)/MAX(1,D112-1))),0)+F112)))</x:f>
        <x:v>27</x:v>
      </x:c>
      <x:c r="AS112" s="119" t="n">
        <x:f>IF(6&gt;D112,0,ROUND(('难度参数'!$E$13*POWER(A112,'难度参数'!$E$20)*MIN('难度参数'!$E$23,1+MAX(0,A112-'难度参数'!$E$21)*'难度参数'!$E$22))*(36+6*7)/(36+7*(D112+1)/2)*E112,0))</x:f>
        <x:v>4404</x:v>
      </x:c>
      <x:c r="AT112" s="119" t="n">
        <x:f>IF(AR112=0,0,(AR112-IF(6=D112,1,0))*ROUND(AS112*VLOOKUP(INDEX('章节与怪物'!$E$31:$K$37,B112,6),'章节与怪物'!$A$41:$F$44,2,FALSE),0)+IF(6=D112,ROUND(AS112*'难度参数'!$E$28*'章节与怪物'!$E$17,0),0))</x:f>
        <x:v>85617</x:v>
      </x:c>
      <x:c r="AU112" s="119" t="n">
        <x:f>IF(AR112=0,0,(AR112-IF(6=D112,1,0))*VLOOKUP(INDEX('章节与怪物'!$E$31:$K$37,B112,6),'章节与怪物'!$A$41:$F$44,4,FALSE)+IF(6=D112,'难度参数'!$E$30,0))</x:f>
        <x:v>540</x:v>
      </x:c>
      <x:c r="AV112" s="119" t="n">
        <x:f>IF(7&gt;D112,0,MAX(2,MIN('难度参数'!$E$12,ROUND(('难度参数'!$E$18*POWER(A112,'难度参数'!$E$19)/D112*(0.85+0.3*(7-1)/MAX(1,D112-1))),0)+F112)))</x:f>
        <x:v>28</x:v>
      </x:c>
      <x:c r="AW112" s="119" t="n">
        <x:f>IF(7&gt;D112,0,ROUND(('难度参数'!$E$13*POWER(A112,'难度参数'!$E$20)*MIN('难度参数'!$E$23,1+MAX(0,A112-'难度参数'!$E$21)*'难度参数'!$E$22))*(36+7*7)/(36+7*(D112+1)/2)*E112,0))</x:f>
        <x:v>4799</x:v>
      </x:c>
      <x:c r="AX112" s="119" t="n">
        <x:f>IF(AV112=0,0,(AV112-IF(7=D112,1,0))*ROUND(AW112*VLOOKUP(INDEX('章节与怪物'!$E$31:$K$37,B112,7),'章节与怪物'!$A$41:$F$44,2,FALSE),0)+IF(7=D112,ROUND(AW112*'难度参数'!$E$28*'章节与怪物'!$E$17,0),0))</x:f>
        <x:v>252899</x:v>
      </x:c>
      <x:c r="AY112" s="119" t="n">
        <x:f>IF(AV112=0,0,(AV112-IF(7=D112,1,0))*VLOOKUP(INDEX('章节与怪物'!$E$31:$K$37,B112,7),'章节与怪物'!$A$41:$F$44,4,FALSE)+IF(7=D112,'难度参数'!$E$30,0))</x:f>
        <x:v>956</x:v>
      </x:c>
    </x:row>
    <x:row r="113" ht="23" customHeight="1">
      <x:c r="A113" s="119" t="n">
        <x:v>107</x:v>
      </x:c>
      <x:c r="B113" s="119" t="n">
        <x:f>MOD(INT((A113-1)/5),7)+1</x:f>
        <x:v>1</x:v>
      </x:c>
      <x:c r="C113" s="62" t="str">
        <x:f>INDEX('章节与怪物'!$B$31:$B$37,B113)</x:f>
        <x:v>冰雪荒原</x:v>
      </x:c>
      <x:c r="D113" s="119" t="n">
        <x:f>MIN('难度参数'!$E$8,MAX('难度参数'!$E$7,A113))</x:f>
        <x:v>7</x:v>
      </x:c>
      <x:c r="E113" s="106" t="n">
        <x:v>1</x:v>
      </x:c>
      <x:c r="F113" s="106" t="n">
        <x:v>0</x:v>
      </x:c>
      <x:c r="G113" s="106" t="n">
        <x:v>1</x:v>
      </x:c>
      <x:c r="H113" s="119" t="n">
        <x:f>SUM(X113,AB113,AF113,AJ113,AN113,AR113,AV113)</x:f>
        <x:v>170</x:v>
      </x:c>
      <x:c r="I113" s="119" t="n">
        <x:f>SUM(Z113,AD113,AH113,AL113,AP113,AT113,AX113)</x:f>
        <x:v>794825</x:v>
      </x:c>
      <x:c r="J113" s="119" t="n">
        <x:f>ROUND(INDEX(X113:AY113,1,(D113-1)*4+2)*'难度参数'!$E$28*'章节与怪物'!$E$17,0)</x:f>
        <x:v>32932</x:v>
      </x:c>
      <x:c r="K113" s="119" t="n">
        <x:f>SUM(AA113,AE113,AI113,AM113,AQ113,AU113,AY113)</x:f>
        <x:v>4252</x:v>
      </x:c>
      <x:c r="L113" s="62" t="n">
        <x:f>H113*(ROUNDUP('难度参数'!$E$24/('难度参数'!$E$26*'难度参数'!$E$27),0)*'难度参数'!$E$26)/60</x:f>
        <x:v>2.2666666666666666</x:v>
      </x:c>
      <x:c r="M113" s="62" t="n">
        <x:f>L113+D113*('难度参数'!$E$49+'难度参数'!$E$50)/60</x:f>
        <x:v>3.4333333333333336</x:v>
      </x:c>
      <x:c r="N113" s="119" t="n">
        <x:f>ROUNDDOWN(('经济参数'!$E$20+A113*'经济参数'!$E$21)*G113,0)</x:f>
        <x:v>2320</x:v>
      </x:c>
      <x:c r="O113" s="119" t="n">
        <x:f>ROUNDDOWN(MIN('经济参数'!$E$24,'经济参数'!$E$22+A113*'经济参数'!$E$23)*G113,0)</x:f>
        <x:v>0</x:v>
      </x:c>
      <x:c r="P113" s="119" t="n">
        <x:f>ROUNDDOWN((IF(A113&gt;='材料与任务'!$E$31,'材料与任务'!$E$32,IF(A113&gt;='材料与任务'!$E$25,'材料与任务'!$E$26,IF(A113&gt;='材料与任务'!$E$19,'材料与任务'!$E$20,IF(A113&gt;='材料与任务'!$E$13,'材料与任务'!$E$14,'材料与任务'!$E$8)))))*G113,0)</x:f>
        <x:v>5</x:v>
      </x:c>
      <x:c r="Q113" s="119" t="n">
        <x:f>ROUNDDOWN((IF(A113&gt;='材料与任务'!$E$31,'材料与任务'!$E$33,IF(A113&gt;='材料与任务'!$E$25,'材料与任务'!$E$27,IF(A113&gt;='材料与任务'!$E$19,'材料与任务'!$E$21,IF(A113&gt;='材料与任务'!$E$13,'材料与任务'!$E$15,'材料与任务'!$E$9)))))*G113,0)</x:f>
        <x:v>2</x:v>
      </x:c>
      <x:c r="R113" s="110" t="n">
        <x:f>'装备掉落'!$B$38</x:f>
        <x:v>0.6872058758851213</x:v>
      </x:c>
      <x:c r="S113" s="119" t="n">
        <x:f>MAX(IF(VLOOKUP(A113,'装备掉落'!$A$29:$H$34,2,TRUE)&gt;0,1,0),IF(VLOOKUP(A113,'装备掉落'!$A$29:$H$34,3,TRUE)&gt;0,2,0),IF(VLOOKUP(A113,'装备掉落'!$A$29:$H$34,4,TRUE)&gt;0,3,0),IF(VLOOKUP(A113,'装备掉落'!$A$29:$H$34,5,TRUE)&gt;0,4,0),IF(VLOOKUP(A113,'装备掉落'!$A$29:$H$34,6,TRUE)&gt;0,5,0),IF(VLOOKUP(A113,'装备掉落'!$A$29:$H$34,7,TRUE)&gt;0,6,0),IF(VLOOKUP(A113,'装备掉落'!$A$29:$H$34,8,TRUE)&gt;0,7,0))</x:f>
        <x:v>7</x:v>
      </x:c>
      <x:c r="T113" s="119" t="n">
        <x:f>MIN(7,S113+'经济参数'!$E$70)</x:f>
        <x:v>7</x:v>
      </x:c>
      <x:c r="U113" s="119" t="n">
        <x:f>MIN(7,S113+'经济参数'!$E$71)</x:f>
        <x:v>7</x:v>
      </x:c>
      <x:c r="V113" s="119" t="n">
        <x:f>IF(H113&gt;=('难度参数'!$E$52),1,0)+IF(H113&gt;=('难度参数'!$E$52+'难度参数'!$E$53),1,0)+IF(H113&gt;=('难度参数'!$E$52+'难度参数'!$E$53+'难度参数'!$E$54),1,0)+IF(H113&gt;=('难度参数'!$E$52+'难度参数'!$E$53+'难度参数'!$E$54+'难度参数'!$E$55),1,0)+IF(H113&gt;=('难度参数'!$E$52+'难度参数'!$E$53+'难度参数'!$E$54+'难度参数'!$E$55+'难度参数'!$E$56),1,0)+IF(H113&gt;=('难度参数'!$E$52+'难度参数'!$E$53+'难度参数'!$E$54+'难度参数'!$E$55+'难度参数'!$E$56+'难度参数'!$E$57),1,0)</x:f>
        <x:v>6</x:v>
      </x:c>
      <x:c r="W113" s="62" t="str">
        <x:f>IF(L113&gt;'难度参数'!$E$51,"仅出怪已超目标","还需实测")</x:f>
        <x:v>还需实测</x:v>
      </x:c>
      <x:c r="X113" s="119" t="n">
        <x:f>IF(1&gt;D113,0,MAX(2,MIN('难度参数'!$E$12,ROUND(('难度参数'!$E$18*POWER(A113,'难度参数'!$E$19)/D113*(0.85+0.3*(1-1)/MAX(1,D113-1))),0)+F113)))</x:f>
        <x:v>21</x:v>
      </x:c>
      <x:c r="Y113" s="119" t="n">
        <x:f>IF(1&gt;D113,0,ROUND(('难度参数'!$E$13*POWER(A113,'难度参数'!$E$20)*MIN('难度参数'!$E$23,1+MAX(0,A113-'难度参数'!$E$21)*'难度参数'!$E$22))*(36+1*7)/(36+7*(D113+1)/2)*E113,0))</x:f>
        <x:v>2450</x:v>
      </x:c>
      <x:c r="Z113" s="119" t="n">
        <x:f>IF(X113=0,0,(X113-IF(1=D113,1,0))*ROUND(Y113*VLOOKUP(INDEX('章节与怪物'!$E$31:$K$37,B113,1),'章节与怪物'!$A$41:$F$44,2,FALSE),0)+IF(1=D113,ROUND(Y113*'难度参数'!$E$28*'章节与怪物'!$E$17,0),0))</x:f>
        <x:v>51450</x:v>
      </x:c>
      <x:c r="AA113" s="119" t="n">
        <x:f>IF(X113=0,0,(X113-IF(1=D113,1,0))*VLOOKUP(INDEX('章节与怪物'!$E$31:$K$37,B113,1),'章节与怪物'!$A$41:$F$44,4,FALSE)+IF(1=D113,'难度参数'!$E$30,0))</x:f>
        <x:v>378</x:v>
      </x:c>
      <x:c r="AB113" s="119" t="n">
        <x:f>IF(2&gt;D113,0,MAX(2,MIN('难度参数'!$E$12,ROUND(('难度参数'!$E$18*POWER(A113,'难度参数'!$E$19)/D113*(0.85+0.3*(2-1)/MAX(1,D113-1))),0)+F113)))</x:f>
        <x:v>22</x:v>
      </x:c>
      <x:c r="AC113" s="119" t="n">
        <x:f>IF(2&gt;D113,0,ROUND(('难度参数'!$E$13*POWER(A113,'难度参数'!$E$20)*MIN('难度参数'!$E$23,1+MAX(0,A113-'难度参数'!$E$21)*'难度参数'!$E$22))*(36+2*7)/(36+7*(D113+1)/2)*E113,0))</x:f>
        <x:v>2849</x:v>
      </x:c>
      <x:c r="AD113" s="119" t="n">
        <x:f>IF(AB113=0,0,(AB113-IF(2=D113,1,0))*ROUND(AC113*VLOOKUP(INDEX('章节与怪物'!$E$31:$K$37,B113,2),'章节与怪物'!$A$41:$F$44,2,FALSE),0)+IF(2=D113,ROUND(AC113*'难度参数'!$E$28*'章节与怪物'!$E$17,0),0))</x:f>
        <x:v>62678</x:v>
      </x:c>
      <x:c r="AE113" s="119" t="n">
        <x:f>IF(AB113=0,0,(AB113-IF(2=D113,1,0))*VLOOKUP(INDEX('章节与怪物'!$E$31:$K$37,B113,2),'章节与怪物'!$A$41:$F$44,4,FALSE)+IF(2=D113,'难度参数'!$E$30,0))</x:f>
        <x:v>396</x:v>
      </x:c>
      <x:c r="AF113" s="119" t="n">
        <x:f>IF(3&gt;D113,0,MAX(2,MIN('难度参数'!$E$12,ROUND(('难度参数'!$E$18*POWER(A113,'难度参数'!$E$19)/D113*(0.85+0.3*(3-1)/MAX(1,D113-1))),0)+F113)))</x:f>
        <x:v>23</x:v>
      </x:c>
      <x:c r="AG113" s="119" t="n">
        <x:f>IF(3&gt;D113,0,ROUND(('难度参数'!$E$13*POWER(A113,'难度参数'!$E$20)*MIN('难度参数'!$E$23,1+MAX(0,A113-'难度参数'!$E$21)*'难度参数'!$E$22))*(36+3*7)/(36+7*(D113+1)/2)*E113,0))</x:f>
        <x:v>3248</x:v>
      </x:c>
      <x:c r="AH113" s="119" t="n">
        <x:f>IF(AF113=0,0,(AF113-IF(3=D113,1,0))*ROUND(AG113*VLOOKUP(INDEX('章节与怪物'!$E$31:$K$37,B113,3),'章节与怪物'!$A$41:$F$44,2,FALSE),0)+IF(3=D113,ROUND(AG113*'难度参数'!$E$28*'章节与怪物'!$E$17,0),0))</x:f>
        <x:v>53797</x:v>
      </x:c>
      <x:c r="AI113" s="119" t="n">
        <x:f>IF(AF113=0,0,(AF113-IF(3=D113,1,0))*VLOOKUP(INDEX('章节与怪物'!$E$31:$K$37,B113,3),'章节与怪物'!$A$41:$F$44,4,FALSE)+IF(3=D113,'难度参数'!$E$30,0))</x:f>
        <x:v>460</x:v>
      </x:c>
      <x:c r="AJ113" s="119" t="n">
        <x:f>IF(4&gt;D113,0,MAX(2,MIN('难度参数'!$E$12,ROUND(('难度参数'!$E$18*POWER(A113,'难度参数'!$E$19)/D113*(0.85+0.3*(4-1)/MAX(1,D113-1))),0)+F113)))</x:f>
        <x:v>24</x:v>
      </x:c>
      <x:c r="AK113" s="119" t="n">
        <x:f>IF(4&gt;D113,0,ROUND(('难度参数'!$E$13*POWER(A113,'难度参数'!$E$20)*MIN('难度参数'!$E$23,1+MAX(0,A113-'难度参数'!$E$21)*'难度参数'!$E$22))*(36+4*7)/(36+7*(D113+1)/2)*E113,0))</x:f>
        <x:v>3646</x:v>
      </x:c>
      <x:c r="AL113" s="119" t="n">
        <x:f>IF(AJ113=0,0,(AJ113-IF(4=D113,1,0))*ROUND(AK113*VLOOKUP(INDEX('章节与怪物'!$E$31:$K$37,B113,4),'章节与怪物'!$A$41:$F$44,2,FALSE),0)+IF(4=D113,ROUND(AK113*'难度参数'!$E$28*'章节与怪物'!$E$17,0),0))</x:f>
        <x:v>148752</x:v>
      </x:c>
      <x:c r="AM113" s="119" t="n">
        <x:f>IF(AJ113=0,0,(AJ113-IF(4=D113,1,0))*VLOOKUP(INDEX('章节与怪物'!$E$31:$K$37,B113,4),'章节与怪物'!$A$41:$F$44,4,FALSE)+IF(4=D113,'难度参数'!$E$30,0))</x:f>
        <x:v>672</x:v>
      </x:c>
      <x:c r="AN113" s="119" t="n">
        <x:f>IF(5&gt;D113,0,MAX(2,MIN('难度参数'!$E$12,ROUND(('难度参数'!$E$18*POWER(A113,'难度参数'!$E$19)/D113*(0.85+0.3*(5-1)/MAX(1,D113-1))),0)+F113)))</x:f>
        <x:v>25</x:v>
      </x:c>
      <x:c r="AO113" s="119" t="n">
        <x:f>IF(5&gt;D113,0,ROUND(('难度参数'!$E$13*POWER(A113,'难度参数'!$E$20)*MIN('难度参数'!$E$23,1+MAX(0,A113-'难度参数'!$E$21)*'难度参数'!$E$22))*(36+5*7)/(36+7*(D113+1)/2)*E113,0))</x:f>
        <x:v>4045</x:v>
      </x:c>
      <x:c r="AP113" s="119" t="n">
        <x:f>IF(AN113=0,0,(AN113-IF(5=D113,1,0))*ROUND(AO113*VLOOKUP(INDEX('章节与怪物'!$E$31:$K$37,B113,5),'章节与怪物'!$A$41:$F$44,2,FALSE),0)+IF(5=D113,ROUND(AO113*'难度参数'!$E$28*'章节与怪物'!$E$17,0),0))</x:f>
        <x:v>136525</x:v>
      </x:c>
      <x:c r="AQ113" s="119" t="n">
        <x:f>IF(AN113=0,0,(AN113-IF(5=D113,1,0))*VLOOKUP(INDEX('章节与怪物'!$E$31:$K$37,B113,5),'章节与怪物'!$A$41:$F$44,4,FALSE)+IF(5=D113,'难度参数'!$E$30,0))</x:f>
        <x:v>850</x:v>
      </x:c>
      <x:c r="AR113" s="119" t="n">
        <x:f>IF(6&gt;D113,0,MAX(2,MIN('难度参数'!$E$12,ROUND(('难度参数'!$E$18*POWER(A113,'难度参数'!$E$19)/D113*(0.85+0.3*(6-1)/MAX(1,D113-1))),0)+F113)))</x:f>
        <x:v>27</x:v>
      </x:c>
      <x:c r="AS113" s="119" t="n">
        <x:f>IF(6&gt;D113,0,ROUND(('难度参数'!$E$13*POWER(A113,'难度参数'!$E$20)*MIN('难度参数'!$E$23,1+MAX(0,A113-'难度参数'!$E$21)*'难度参数'!$E$22))*(36+6*7)/(36+7*(D113+1)/2)*E113,0))</x:f>
        <x:v>4444</x:v>
      </x:c>
      <x:c r="AT113" s="119" t="n">
        <x:f>IF(AR113=0,0,(AR113-IF(6=D113,1,0))*ROUND(AS113*VLOOKUP(INDEX('章节与怪物'!$E$31:$K$37,B113,6),'章节与怪物'!$A$41:$F$44,2,FALSE),0)+IF(6=D113,ROUND(AS113*'难度参数'!$E$28*'章节与怪物'!$E$17,0),0))</x:f>
        <x:v>86400</x:v>
      </x:c>
      <x:c r="AU113" s="119" t="n">
        <x:f>IF(AR113=0,0,(AR113-IF(6=D113,1,0))*VLOOKUP(INDEX('章节与怪物'!$E$31:$K$37,B113,6),'章节与怪物'!$A$41:$F$44,4,FALSE)+IF(6=D113,'难度参数'!$E$30,0))</x:f>
        <x:v>540</x:v>
      </x:c>
      <x:c r="AV113" s="119" t="n">
        <x:f>IF(7&gt;D113,0,MAX(2,MIN('难度参数'!$E$12,ROUND(('难度参数'!$E$18*POWER(A113,'难度参数'!$E$19)/D113*(0.85+0.3*(7-1)/MAX(1,D113-1))),0)+F113)))</x:f>
        <x:v>28</x:v>
      </x:c>
      <x:c r="AW113" s="119" t="n">
        <x:f>IF(7&gt;D113,0,ROUND(('难度参数'!$E$13*POWER(A113,'难度参数'!$E$20)*MIN('难度参数'!$E$23,1+MAX(0,A113-'难度参数'!$E$21)*'难度参数'!$E$22))*(36+7*7)/(36+7*(D113+1)/2)*E113,0))</x:f>
        <x:v>4843</x:v>
      </x:c>
      <x:c r="AX113" s="119" t="n">
        <x:f>IF(AV113=0,0,(AV113-IF(7=D113,1,0))*ROUND(AW113*VLOOKUP(INDEX('章节与怪物'!$E$31:$K$37,B113,7),'章节与怪物'!$A$41:$F$44,2,FALSE),0)+IF(7=D113,ROUND(AW113*'难度参数'!$E$28*'章节与怪物'!$E$17,0),0))</x:f>
        <x:v>255223</x:v>
      </x:c>
      <x:c r="AY113" s="119" t="n">
        <x:f>IF(AV113=0,0,(AV113-IF(7=D113,1,0))*VLOOKUP(INDEX('章节与怪物'!$E$31:$K$37,B113,7),'章节与怪物'!$A$41:$F$44,4,FALSE)+IF(7=D113,'难度参数'!$E$30,0))</x:f>
        <x:v>956</x:v>
      </x:c>
    </x:row>
    <x:row r="114" ht="23" customHeight="1">
      <x:c r="A114" s="119" t="n">
        <x:v>108</x:v>
      </x:c>
      <x:c r="B114" s="119" t="n">
        <x:f>MOD(INT((A114-1)/5),7)+1</x:f>
        <x:v>1</x:v>
      </x:c>
      <x:c r="C114" s="62" t="str">
        <x:f>INDEX('章节与怪物'!$B$31:$B$37,B114)</x:f>
        <x:v>冰雪荒原</x:v>
      </x:c>
      <x:c r="D114" s="119" t="n">
        <x:f>MIN('难度参数'!$E$8,MAX('难度参数'!$E$7,A114))</x:f>
        <x:v>7</x:v>
      </x:c>
      <x:c r="E114" s="106" t="n">
        <x:v>1</x:v>
      </x:c>
      <x:c r="F114" s="106" t="n">
        <x:v>0</x:v>
      </x:c>
      <x:c r="G114" s="106" t="n">
        <x:v>1</x:v>
      </x:c>
      <x:c r="H114" s="119" t="n">
        <x:f>SUM(X114,AB114,AF114,AJ114,AN114,AR114,AV114)</x:f>
        <x:v>170</x:v>
      </x:c>
      <x:c r="I114" s="119" t="n">
        <x:f>SUM(Z114,AD114,AH114,AL114,AP114,AT114,AX114)</x:f>
        <x:v>802069</x:v>
      </x:c>
      <x:c r="J114" s="119" t="n">
        <x:f>ROUND(INDEX(X114:AY114,1,(D114-1)*4+2)*'难度参数'!$E$28*'章节与怪物'!$E$17,0)</x:f>
        <x:v>33232</x:v>
      </x:c>
      <x:c r="K114" s="119" t="n">
        <x:f>SUM(AA114,AE114,AI114,AM114,AQ114,AU114,AY114)</x:f>
        <x:v>4252</x:v>
      </x:c>
      <x:c r="L114" s="62" t="n">
        <x:f>H114*(ROUNDUP('难度参数'!$E$24/('难度参数'!$E$26*'难度参数'!$E$27),0)*'难度参数'!$E$26)/60</x:f>
        <x:v>2.2666666666666666</x:v>
      </x:c>
      <x:c r="M114" s="62" t="n">
        <x:f>L114+D114*('难度参数'!$E$49+'难度参数'!$E$50)/60</x:f>
        <x:v>3.4333333333333336</x:v>
      </x:c>
      <x:c r="N114" s="119" t="n">
        <x:f>ROUNDDOWN(('经济参数'!$E$20+A114*'经济参数'!$E$21)*G114,0)</x:f>
        <x:v>2340</x:v>
      </x:c>
      <x:c r="O114" s="119" t="n">
        <x:f>ROUNDDOWN(MIN('经济参数'!$E$24,'经济参数'!$E$22+A114*'经济参数'!$E$23)*G114,0)</x:f>
        <x:v>0</x:v>
      </x:c>
      <x:c r="P114" s="119" t="n">
        <x:f>ROUNDDOWN((IF(A114&gt;='材料与任务'!$E$31,'材料与任务'!$E$32,IF(A114&gt;='材料与任务'!$E$25,'材料与任务'!$E$26,IF(A114&gt;='材料与任务'!$E$19,'材料与任务'!$E$20,IF(A114&gt;='材料与任务'!$E$13,'材料与任务'!$E$14,'材料与任务'!$E$8)))))*G114,0)</x:f>
        <x:v>5</x:v>
      </x:c>
      <x:c r="Q114" s="119" t="n">
        <x:f>ROUNDDOWN((IF(A114&gt;='材料与任务'!$E$31,'材料与任务'!$E$33,IF(A114&gt;='材料与任务'!$E$25,'材料与任务'!$E$27,IF(A114&gt;='材料与任务'!$E$19,'材料与任务'!$E$21,IF(A114&gt;='材料与任务'!$E$13,'材料与任务'!$E$15,'材料与任务'!$E$9)))))*G114,0)</x:f>
        <x:v>2</x:v>
      </x:c>
      <x:c r="R114" s="110" t="n">
        <x:f>'装备掉落'!$B$38</x:f>
        <x:v>0.6872058758851213</x:v>
      </x:c>
      <x:c r="S114" s="119" t="n">
        <x:f>MAX(IF(VLOOKUP(A114,'装备掉落'!$A$29:$H$34,2,TRUE)&gt;0,1,0),IF(VLOOKUP(A114,'装备掉落'!$A$29:$H$34,3,TRUE)&gt;0,2,0),IF(VLOOKUP(A114,'装备掉落'!$A$29:$H$34,4,TRUE)&gt;0,3,0),IF(VLOOKUP(A114,'装备掉落'!$A$29:$H$34,5,TRUE)&gt;0,4,0),IF(VLOOKUP(A114,'装备掉落'!$A$29:$H$34,6,TRUE)&gt;0,5,0),IF(VLOOKUP(A114,'装备掉落'!$A$29:$H$34,7,TRUE)&gt;0,6,0),IF(VLOOKUP(A114,'装备掉落'!$A$29:$H$34,8,TRUE)&gt;0,7,0))</x:f>
        <x:v>7</x:v>
      </x:c>
      <x:c r="T114" s="119" t="n">
        <x:f>MIN(7,S114+'经济参数'!$E$70)</x:f>
        <x:v>7</x:v>
      </x:c>
      <x:c r="U114" s="119" t="n">
        <x:f>MIN(7,S114+'经济参数'!$E$71)</x:f>
        <x:v>7</x:v>
      </x:c>
      <x:c r="V114" s="119" t="n">
        <x:f>IF(H114&gt;=('难度参数'!$E$52),1,0)+IF(H114&gt;=('难度参数'!$E$52+'难度参数'!$E$53),1,0)+IF(H114&gt;=('难度参数'!$E$52+'难度参数'!$E$53+'难度参数'!$E$54),1,0)+IF(H114&gt;=('难度参数'!$E$52+'难度参数'!$E$53+'难度参数'!$E$54+'难度参数'!$E$55),1,0)+IF(H114&gt;=('难度参数'!$E$52+'难度参数'!$E$53+'难度参数'!$E$54+'难度参数'!$E$55+'难度参数'!$E$56),1,0)+IF(H114&gt;=('难度参数'!$E$52+'难度参数'!$E$53+'难度参数'!$E$54+'难度参数'!$E$55+'难度参数'!$E$56+'难度参数'!$E$57),1,0)</x:f>
        <x:v>6</x:v>
      </x:c>
      <x:c r="W114" s="62" t="str">
        <x:f>IF(L114&gt;'难度参数'!$E$51,"仅出怪已超目标","还需实测")</x:f>
        <x:v>还需实测</x:v>
      </x:c>
      <x:c r="X114" s="119" t="n">
        <x:f>IF(1&gt;D114,0,MAX(2,MIN('难度参数'!$E$12,ROUND(('难度参数'!$E$18*POWER(A114,'难度参数'!$E$19)/D114*(0.85+0.3*(1-1)/MAX(1,D114-1))),0)+F114)))</x:f>
        <x:v>21</x:v>
      </x:c>
      <x:c r="Y114" s="119" t="n">
        <x:f>IF(1&gt;D114,0,ROUND(('难度参数'!$E$13*POWER(A114,'难度参数'!$E$20)*MIN('难度参数'!$E$23,1+MAX(0,A114-'难度参数'!$E$21)*'难度参数'!$E$22))*(36+1*7)/(36+7*(D114+1)/2)*E114,0))</x:f>
        <x:v>2472</x:v>
      </x:c>
      <x:c r="Z114" s="119" t="n">
        <x:f>IF(X114=0,0,(X114-IF(1=D114,1,0))*ROUND(Y114*VLOOKUP(INDEX('章节与怪物'!$E$31:$K$37,B114,1),'章节与怪物'!$A$41:$F$44,2,FALSE),0)+IF(1=D114,ROUND(Y114*'难度参数'!$E$28*'章节与怪物'!$E$17,0),0))</x:f>
        <x:v>51912</x:v>
      </x:c>
      <x:c r="AA114" s="119" t="n">
        <x:f>IF(X114=0,0,(X114-IF(1=D114,1,0))*VLOOKUP(INDEX('章节与怪物'!$E$31:$K$37,B114,1),'章节与怪物'!$A$41:$F$44,4,FALSE)+IF(1=D114,'难度参数'!$E$30,0))</x:f>
        <x:v>378</x:v>
      </x:c>
      <x:c r="AB114" s="119" t="n">
        <x:f>IF(2&gt;D114,0,MAX(2,MIN('难度参数'!$E$12,ROUND(('难度参数'!$E$18*POWER(A114,'难度参数'!$E$19)/D114*(0.85+0.3*(2-1)/MAX(1,D114-1))),0)+F114)))</x:f>
        <x:v>22</x:v>
      </x:c>
      <x:c r="AC114" s="119" t="n">
        <x:f>IF(2&gt;D114,0,ROUND(('难度参数'!$E$13*POWER(A114,'难度参数'!$E$20)*MIN('难度参数'!$E$23,1+MAX(0,A114-'难度参数'!$E$21)*'难度参数'!$E$22))*(36+2*7)/(36+7*(D114+1)/2)*E114,0))</x:f>
        <x:v>2875</x:v>
      </x:c>
      <x:c r="AD114" s="119" t="n">
        <x:f>IF(AB114=0,0,(AB114-IF(2=D114,1,0))*ROUND(AC114*VLOOKUP(INDEX('章节与怪物'!$E$31:$K$37,B114,2),'章节与怪物'!$A$41:$F$44,2,FALSE),0)+IF(2=D114,ROUND(AC114*'难度参数'!$E$28*'章节与怪物'!$E$17,0),0))</x:f>
        <x:v>63250</x:v>
      </x:c>
      <x:c r="AE114" s="119" t="n">
        <x:f>IF(AB114=0,0,(AB114-IF(2=D114,1,0))*VLOOKUP(INDEX('章节与怪物'!$E$31:$K$37,B114,2),'章节与怪物'!$A$41:$F$44,4,FALSE)+IF(2=D114,'难度参数'!$E$30,0))</x:f>
        <x:v>396</x:v>
      </x:c>
      <x:c r="AF114" s="119" t="n">
        <x:f>IF(3&gt;D114,0,MAX(2,MIN('难度参数'!$E$12,ROUND(('难度参数'!$E$18*POWER(A114,'难度参数'!$E$19)/D114*(0.85+0.3*(3-1)/MAX(1,D114-1))),0)+F114)))</x:f>
        <x:v>23</x:v>
      </x:c>
      <x:c r="AG114" s="119" t="n">
        <x:f>IF(3&gt;D114,0,ROUND(('难度参数'!$E$13*POWER(A114,'难度参数'!$E$20)*MIN('难度参数'!$E$23,1+MAX(0,A114-'难度参数'!$E$21)*'难度参数'!$E$22))*(36+3*7)/(36+7*(D114+1)/2)*E114,0))</x:f>
        <x:v>3277</x:v>
      </x:c>
      <x:c r="AH114" s="119" t="n">
        <x:f>IF(AF114=0,0,(AF114-IF(3=D114,1,0))*ROUND(AG114*VLOOKUP(INDEX('章节与怪物'!$E$31:$K$37,B114,3),'章节与怪物'!$A$41:$F$44,2,FALSE),0)+IF(3=D114,ROUND(AG114*'难度参数'!$E$28*'章节与怪物'!$E$17,0),0))</x:f>
        <x:v>54257</x:v>
      </x:c>
      <x:c r="AI114" s="119" t="n">
        <x:f>IF(AF114=0,0,(AF114-IF(3=D114,1,0))*VLOOKUP(INDEX('章节与怪物'!$E$31:$K$37,B114,3),'章节与怪物'!$A$41:$F$44,4,FALSE)+IF(3=D114,'难度参数'!$E$30,0))</x:f>
        <x:v>460</x:v>
      </x:c>
      <x:c r="AJ114" s="119" t="n">
        <x:f>IF(4&gt;D114,0,MAX(2,MIN('难度参数'!$E$12,ROUND(('难度参数'!$E$18*POWER(A114,'难度参数'!$E$19)/D114*(0.85+0.3*(4-1)/MAX(1,D114-1))),0)+F114)))</x:f>
        <x:v>24</x:v>
      </x:c>
      <x:c r="AK114" s="119" t="n">
        <x:f>IF(4&gt;D114,0,ROUND(('难度参数'!$E$13*POWER(A114,'难度参数'!$E$20)*MIN('难度参数'!$E$23,1+MAX(0,A114-'难度参数'!$E$21)*'难度参数'!$E$22))*(36+4*7)/(36+7*(D114+1)/2)*E114,0))</x:f>
        <x:v>3680</x:v>
      </x:c>
      <x:c r="AL114" s="119" t="n">
        <x:f>IF(AJ114=0,0,(AJ114-IF(4=D114,1,0))*ROUND(AK114*VLOOKUP(INDEX('章节与怪物'!$E$31:$K$37,B114,4),'章节与怪物'!$A$41:$F$44,2,FALSE),0)+IF(4=D114,ROUND(AK114*'难度参数'!$E$28*'章节与怪物'!$E$17,0),0))</x:f>
        <x:v>150144</x:v>
      </x:c>
      <x:c r="AM114" s="119" t="n">
        <x:f>IF(AJ114=0,0,(AJ114-IF(4=D114,1,0))*VLOOKUP(INDEX('章节与怪物'!$E$31:$K$37,B114,4),'章节与怪物'!$A$41:$F$44,4,FALSE)+IF(4=D114,'难度参数'!$E$30,0))</x:f>
        <x:v>672</x:v>
      </x:c>
      <x:c r="AN114" s="119" t="n">
        <x:f>IF(5&gt;D114,0,MAX(2,MIN('难度参数'!$E$12,ROUND(('难度参数'!$E$18*POWER(A114,'难度参数'!$E$19)/D114*(0.85+0.3*(5-1)/MAX(1,D114-1))),0)+F114)))</x:f>
        <x:v>25</x:v>
      </x:c>
      <x:c r="AO114" s="119" t="n">
        <x:f>IF(5&gt;D114,0,ROUND(('难度参数'!$E$13*POWER(A114,'难度参数'!$E$20)*MIN('难度参数'!$E$23,1+MAX(0,A114-'难度参数'!$E$21)*'难度参数'!$E$22))*(36+5*7)/(36+7*(D114+1)/2)*E114,0))</x:f>
        <x:v>4082</x:v>
      </x:c>
      <x:c r="AP114" s="119" t="n">
        <x:f>IF(AN114=0,0,(AN114-IF(5=D114,1,0))*ROUND(AO114*VLOOKUP(INDEX('章节与怪物'!$E$31:$K$37,B114,5),'章节与怪物'!$A$41:$F$44,2,FALSE),0)+IF(5=D114,ROUND(AO114*'难度参数'!$E$28*'章节与怪物'!$E$17,0),0))</x:f>
        <x:v>137775</x:v>
      </x:c>
      <x:c r="AQ114" s="119" t="n">
        <x:f>IF(AN114=0,0,(AN114-IF(5=D114,1,0))*VLOOKUP(INDEX('章节与怪物'!$E$31:$K$37,B114,5),'章节与怪物'!$A$41:$F$44,4,FALSE)+IF(5=D114,'难度参数'!$E$30,0))</x:f>
        <x:v>850</x:v>
      </x:c>
      <x:c r="AR114" s="119" t="n">
        <x:f>IF(6&gt;D114,0,MAX(2,MIN('难度参数'!$E$12,ROUND(('难度参数'!$E$18*POWER(A114,'难度参数'!$E$19)/D114*(0.85+0.3*(6-1)/MAX(1,D114-1))),0)+F114)))</x:f>
        <x:v>27</x:v>
      </x:c>
      <x:c r="AS114" s="119" t="n">
        <x:f>IF(6&gt;D114,0,ROUND(('难度参数'!$E$13*POWER(A114,'难度参数'!$E$20)*MIN('难度参数'!$E$23,1+MAX(0,A114-'难度参数'!$E$21)*'难度参数'!$E$22))*(36+6*7)/(36+7*(D114+1)/2)*E114,0))</x:f>
        <x:v>4485</x:v>
      </x:c>
      <x:c r="AT114" s="119" t="n">
        <x:f>IF(AR114=0,0,(AR114-IF(6=D114,1,0))*ROUND(AS114*VLOOKUP(INDEX('章节与怪物'!$E$31:$K$37,B114,6),'章节与怪物'!$A$41:$F$44,2,FALSE),0)+IF(6=D114,ROUND(AS114*'难度参数'!$E$28*'章节与怪物'!$E$17,0),0))</x:f>
        <x:v>87183</x:v>
      </x:c>
      <x:c r="AU114" s="119" t="n">
        <x:f>IF(AR114=0,0,(AR114-IF(6=D114,1,0))*VLOOKUP(INDEX('章节与怪物'!$E$31:$K$37,B114,6),'章节与怪物'!$A$41:$F$44,4,FALSE)+IF(6=D114,'难度参数'!$E$30,0))</x:f>
        <x:v>540</x:v>
      </x:c>
      <x:c r="AV114" s="119" t="n">
        <x:f>IF(7&gt;D114,0,MAX(2,MIN('难度参数'!$E$12,ROUND(('难度参数'!$E$18*POWER(A114,'难度参数'!$E$19)/D114*(0.85+0.3*(7-1)/MAX(1,D114-1))),0)+F114)))</x:f>
        <x:v>28</x:v>
      </x:c>
      <x:c r="AW114" s="119" t="n">
        <x:f>IF(7&gt;D114,0,ROUND(('难度参数'!$E$13*POWER(A114,'难度参数'!$E$20)*MIN('难度参数'!$E$23,1+MAX(0,A114-'难度参数'!$E$21)*'难度参数'!$E$22))*(36+7*7)/(36+7*(D114+1)/2)*E114,0))</x:f>
        <x:v>4887</x:v>
      </x:c>
      <x:c r="AX114" s="119" t="n">
        <x:f>IF(AV114=0,0,(AV114-IF(7=D114,1,0))*ROUND(AW114*VLOOKUP(INDEX('章节与怪物'!$E$31:$K$37,B114,7),'章节与怪物'!$A$41:$F$44,2,FALSE),0)+IF(7=D114,ROUND(AW114*'难度参数'!$E$28*'章节与怪物'!$E$17,0),0))</x:f>
        <x:v>257548</x:v>
      </x:c>
      <x:c r="AY114" s="119" t="n">
        <x:f>IF(AV114=0,0,(AV114-IF(7=D114,1,0))*VLOOKUP(INDEX('章节与怪物'!$E$31:$K$37,B114,7),'章节与怪物'!$A$41:$F$44,4,FALSE)+IF(7=D114,'难度参数'!$E$30,0))</x:f>
        <x:v>956</x:v>
      </x:c>
    </x:row>
    <x:row r="115" ht="23" customHeight="1">
      <x:c r="A115" s="119" t="n">
        <x:v>109</x:v>
      </x:c>
      <x:c r="B115" s="119" t="n">
        <x:f>MOD(INT((A115-1)/5),7)+1</x:f>
        <x:v>1</x:v>
      </x:c>
      <x:c r="C115" s="62" t="str">
        <x:f>INDEX('章节与怪物'!$B$31:$B$37,B115)</x:f>
        <x:v>冰雪荒原</x:v>
      </x:c>
      <x:c r="D115" s="119" t="n">
        <x:f>MIN('难度参数'!$E$8,MAX('难度参数'!$E$7,A115))</x:f>
        <x:v>7</x:v>
      </x:c>
      <x:c r="E115" s="106" t="n">
        <x:v>1</x:v>
      </x:c>
      <x:c r="F115" s="106" t="n">
        <x:v>0</x:v>
      </x:c>
      <x:c r="G115" s="106" t="n">
        <x:v>1</x:v>
      </x:c>
      <x:c r="H115" s="119" t="n">
        <x:f>SUM(X115,AB115,AF115,AJ115,AN115,AR115,AV115)</x:f>
        <x:v>171</x:v>
      </x:c>
      <x:c r="I115" s="119" t="n">
        <x:f>SUM(Z115,AD115,AH115,AL115,AP115,AT115,AX115)</x:f>
        <x:v>814892</x:v>
      </x:c>
      <x:c r="J115" s="119" t="n">
        <x:f>ROUND(INDEX(X115:AY115,1,(D115-1)*4+2)*'难度参数'!$E$28*'章节与怪物'!$E$17,0)</x:f>
        <x:v>33531</x:v>
      </x:c>
      <x:c r="K115" s="119" t="n">
        <x:f>SUM(AA115,AE115,AI115,AM115,AQ115,AU115,AY115)</x:f>
        <x:v>4286</x:v>
      </x:c>
      <x:c r="L115" s="62" t="n">
        <x:f>H115*(ROUNDUP('难度参数'!$E$24/('难度参数'!$E$26*'难度参数'!$E$27),0)*'难度参数'!$E$26)/60</x:f>
        <x:v>2.2800000000000002</x:v>
      </x:c>
      <x:c r="M115" s="62" t="n">
        <x:f>L115+D115*('难度参数'!$E$49+'难度参数'!$E$50)/60</x:f>
        <x:v>3.446666666666667</x:v>
      </x:c>
      <x:c r="N115" s="119" t="n">
        <x:f>ROUNDDOWN(('经济参数'!$E$20+A115*'经济参数'!$E$21)*G115,0)</x:f>
        <x:v>2360</x:v>
      </x:c>
      <x:c r="O115" s="119" t="n">
        <x:f>ROUNDDOWN(MIN('经济参数'!$E$24,'经济参数'!$E$22+A115*'经济参数'!$E$23)*G115,0)</x:f>
        <x:v>0</x:v>
      </x:c>
      <x:c r="P115" s="119" t="n">
        <x:f>ROUNDDOWN((IF(A115&gt;='材料与任务'!$E$31,'材料与任务'!$E$32,IF(A115&gt;='材料与任务'!$E$25,'材料与任务'!$E$26,IF(A115&gt;='材料与任务'!$E$19,'材料与任务'!$E$20,IF(A115&gt;='材料与任务'!$E$13,'材料与任务'!$E$14,'材料与任务'!$E$8)))))*G115,0)</x:f>
        <x:v>5</x:v>
      </x:c>
      <x:c r="Q115" s="119" t="n">
        <x:f>ROUNDDOWN((IF(A115&gt;='材料与任务'!$E$31,'材料与任务'!$E$33,IF(A115&gt;='材料与任务'!$E$25,'材料与任务'!$E$27,IF(A115&gt;='材料与任务'!$E$19,'材料与任务'!$E$21,IF(A115&gt;='材料与任务'!$E$13,'材料与任务'!$E$15,'材料与任务'!$E$9)))))*G115,0)</x:f>
        <x:v>2</x:v>
      </x:c>
      <x:c r="R115" s="110" t="n">
        <x:f>'装备掉落'!$B$38</x:f>
        <x:v>0.6872058758851213</x:v>
      </x:c>
      <x:c r="S115" s="119" t="n">
        <x:f>MAX(IF(VLOOKUP(A115,'装备掉落'!$A$29:$H$34,2,TRUE)&gt;0,1,0),IF(VLOOKUP(A115,'装备掉落'!$A$29:$H$34,3,TRUE)&gt;0,2,0),IF(VLOOKUP(A115,'装备掉落'!$A$29:$H$34,4,TRUE)&gt;0,3,0),IF(VLOOKUP(A115,'装备掉落'!$A$29:$H$34,5,TRUE)&gt;0,4,0),IF(VLOOKUP(A115,'装备掉落'!$A$29:$H$34,6,TRUE)&gt;0,5,0),IF(VLOOKUP(A115,'装备掉落'!$A$29:$H$34,7,TRUE)&gt;0,6,0),IF(VLOOKUP(A115,'装备掉落'!$A$29:$H$34,8,TRUE)&gt;0,7,0))</x:f>
        <x:v>7</x:v>
      </x:c>
      <x:c r="T115" s="119" t="n">
        <x:f>MIN(7,S115+'经济参数'!$E$70)</x:f>
        <x:v>7</x:v>
      </x:c>
      <x:c r="U115" s="119" t="n">
        <x:f>MIN(7,S115+'经济参数'!$E$71)</x:f>
        <x:v>7</x:v>
      </x:c>
      <x:c r="V115" s="119" t="n">
        <x:f>IF(H115&gt;=('难度参数'!$E$52),1,0)+IF(H115&gt;=('难度参数'!$E$52+'难度参数'!$E$53),1,0)+IF(H115&gt;=('难度参数'!$E$52+'难度参数'!$E$53+'难度参数'!$E$54),1,0)+IF(H115&gt;=('难度参数'!$E$52+'难度参数'!$E$53+'难度参数'!$E$54+'难度参数'!$E$55),1,0)+IF(H115&gt;=('难度参数'!$E$52+'难度参数'!$E$53+'难度参数'!$E$54+'难度参数'!$E$55+'难度参数'!$E$56),1,0)+IF(H115&gt;=('难度参数'!$E$52+'难度参数'!$E$53+'难度参数'!$E$54+'难度参数'!$E$55+'难度参数'!$E$56+'难度参数'!$E$57),1,0)</x:f>
        <x:v>6</x:v>
      </x:c>
      <x:c r="W115" s="62" t="str">
        <x:f>IF(L115&gt;'难度参数'!$E$51,"仅出怪已超目标","还需实测")</x:f>
        <x:v>还需实测</x:v>
      </x:c>
      <x:c r="X115" s="119" t="n">
        <x:f>IF(1&gt;D115,0,MAX(2,MIN('难度参数'!$E$12,ROUND(('难度参数'!$E$18*POWER(A115,'难度参数'!$E$19)/D115*(0.85+0.3*(1-1)/MAX(1,D115-1))),0)+F115)))</x:f>
        <x:v>21</x:v>
      </x:c>
      <x:c r="Y115" s="119" t="n">
        <x:f>IF(1&gt;D115,0,ROUND(('难度参数'!$E$13*POWER(A115,'难度参数'!$E$20)*MIN('难度参数'!$E$23,1+MAX(0,A115-'难度参数'!$E$21)*'难度参数'!$E$22))*(36+1*7)/(36+7*(D115+1)/2)*E115,0))</x:f>
        <x:v>2495</x:v>
      </x:c>
      <x:c r="Z115" s="119" t="n">
        <x:f>IF(X115=0,0,(X115-IF(1=D115,1,0))*ROUND(Y115*VLOOKUP(INDEX('章节与怪物'!$E$31:$K$37,B115,1),'章节与怪物'!$A$41:$F$44,2,FALSE),0)+IF(1=D115,ROUND(Y115*'难度参数'!$E$28*'章节与怪物'!$E$17,0),0))</x:f>
        <x:v>52395</x:v>
      </x:c>
      <x:c r="AA115" s="119" t="n">
        <x:f>IF(X115=0,0,(X115-IF(1=D115,1,0))*VLOOKUP(INDEX('章节与怪物'!$E$31:$K$37,B115,1),'章节与怪物'!$A$41:$F$44,4,FALSE)+IF(1=D115,'难度参数'!$E$30,0))</x:f>
        <x:v>378</x:v>
      </x:c>
      <x:c r="AB115" s="119" t="n">
        <x:f>IF(2&gt;D115,0,MAX(2,MIN('难度参数'!$E$12,ROUND(('难度参数'!$E$18*POWER(A115,'难度参数'!$E$19)/D115*(0.85+0.3*(2-1)/MAX(1,D115-1))),0)+F115)))</x:f>
        <x:v>22</x:v>
      </x:c>
      <x:c r="AC115" s="119" t="n">
        <x:f>IF(2&gt;D115,0,ROUND(('难度参数'!$E$13*POWER(A115,'难度参数'!$E$20)*MIN('难度参数'!$E$23,1+MAX(0,A115-'难度参数'!$E$21)*'难度参数'!$E$22))*(36+2*7)/(36+7*(D115+1)/2)*E115,0))</x:f>
        <x:v>2901</x:v>
      </x:c>
      <x:c r="AD115" s="119" t="n">
        <x:f>IF(AB115=0,0,(AB115-IF(2=D115,1,0))*ROUND(AC115*VLOOKUP(INDEX('章节与怪物'!$E$31:$K$37,B115,2),'章节与怪物'!$A$41:$F$44,2,FALSE),0)+IF(2=D115,ROUND(AC115*'难度参数'!$E$28*'章节与怪物'!$E$17,0),0))</x:f>
        <x:v>63822</x:v>
      </x:c>
      <x:c r="AE115" s="119" t="n">
        <x:f>IF(AB115=0,0,(AB115-IF(2=D115,1,0))*VLOOKUP(INDEX('章节与怪物'!$E$31:$K$37,B115,2),'章节与怪物'!$A$41:$F$44,4,FALSE)+IF(2=D115,'难度参数'!$E$30,0))</x:f>
        <x:v>396</x:v>
      </x:c>
      <x:c r="AF115" s="119" t="n">
        <x:f>IF(3&gt;D115,0,MAX(2,MIN('难度参数'!$E$12,ROUND(('难度参数'!$E$18*POWER(A115,'难度参数'!$E$19)/D115*(0.85+0.3*(3-1)/MAX(1,D115-1))),0)+F115)))</x:f>
        <x:v>23</x:v>
      </x:c>
      <x:c r="AG115" s="119" t="n">
        <x:f>IF(3&gt;D115,0,ROUND(('难度参数'!$E$13*POWER(A115,'难度参数'!$E$20)*MIN('难度参数'!$E$23,1+MAX(0,A115-'难度参数'!$E$21)*'难度参数'!$E$22))*(36+3*7)/(36+7*(D115+1)/2)*E115,0))</x:f>
        <x:v>3307</x:v>
      </x:c>
      <x:c r="AH115" s="119" t="n">
        <x:f>IF(AF115=0,0,(AF115-IF(3=D115,1,0))*ROUND(AG115*VLOOKUP(INDEX('章节与怪物'!$E$31:$K$37,B115,3),'章节与怪物'!$A$41:$F$44,2,FALSE),0)+IF(3=D115,ROUND(AG115*'难度参数'!$E$28*'章节与怪物'!$E$17,0),0))</x:f>
        <x:v>54763</x:v>
      </x:c>
      <x:c r="AI115" s="119" t="n">
        <x:f>IF(AF115=0,0,(AF115-IF(3=D115,1,0))*VLOOKUP(INDEX('章节与怪物'!$E$31:$K$37,B115,3),'章节与怪物'!$A$41:$F$44,4,FALSE)+IF(3=D115,'难度参数'!$E$30,0))</x:f>
        <x:v>460</x:v>
      </x:c>
      <x:c r="AJ115" s="119" t="n">
        <x:f>IF(4&gt;D115,0,MAX(2,MIN('难度参数'!$E$12,ROUND(('难度参数'!$E$18*POWER(A115,'难度参数'!$E$19)/D115*(0.85+0.3*(4-1)/MAX(1,D115-1))),0)+F115)))</x:f>
        <x:v>24</x:v>
      </x:c>
      <x:c r="AK115" s="119" t="n">
        <x:f>IF(4&gt;D115,0,ROUND(('难度参数'!$E$13*POWER(A115,'难度参数'!$E$20)*MIN('难度参数'!$E$23,1+MAX(0,A115-'难度参数'!$E$21)*'难度参数'!$E$22))*(36+4*7)/(36+7*(D115+1)/2)*E115,0))</x:f>
        <x:v>3713</x:v>
      </x:c>
      <x:c r="AL115" s="119" t="n">
        <x:f>IF(AJ115=0,0,(AJ115-IF(4=D115,1,0))*ROUND(AK115*VLOOKUP(INDEX('章节与怪物'!$E$31:$K$37,B115,4),'章节与怪物'!$A$41:$F$44,2,FALSE),0)+IF(4=D115,ROUND(AK115*'难度参数'!$E$28*'章节与怪物'!$E$17,0),0))</x:f>
        <x:v>151488</x:v>
      </x:c>
      <x:c r="AM115" s="119" t="n">
        <x:f>IF(AJ115=0,0,(AJ115-IF(4=D115,1,0))*VLOOKUP(INDEX('章节与怪物'!$E$31:$K$37,B115,4),'章节与怪物'!$A$41:$F$44,4,FALSE)+IF(4=D115,'难度参数'!$E$30,0))</x:f>
        <x:v>672</x:v>
      </x:c>
      <x:c r="AN115" s="119" t="n">
        <x:f>IF(5&gt;D115,0,MAX(2,MIN('难度参数'!$E$12,ROUND(('难度参数'!$E$18*POWER(A115,'难度参数'!$E$19)/D115*(0.85+0.3*(5-1)/MAX(1,D115-1))),0)+F115)))</x:f>
        <x:v>26</x:v>
      </x:c>
      <x:c r="AO115" s="119" t="n">
        <x:f>IF(5&gt;D115,0,ROUND(('难度参数'!$E$13*POWER(A115,'难度参数'!$E$20)*MIN('难度参数'!$E$23,1+MAX(0,A115-'难度参数'!$E$21)*'难度参数'!$E$22))*(36+5*7)/(36+7*(D115+1)/2)*E115,0))</x:f>
        <x:v>4119</x:v>
      </x:c>
      <x:c r="AP115" s="119" t="n">
        <x:f>IF(AN115=0,0,(AN115-IF(5=D115,1,0))*ROUND(AO115*VLOOKUP(INDEX('章节与怪物'!$E$31:$K$37,B115,5),'章节与怪物'!$A$41:$F$44,2,FALSE),0)+IF(5=D115,ROUND(AO115*'难度参数'!$E$28*'章节与怪物'!$E$17,0),0))</x:f>
        <x:v>144586</x:v>
      </x:c>
      <x:c r="AQ115" s="119" t="n">
        <x:f>IF(AN115=0,0,(AN115-IF(5=D115,1,0))*VLOOKUP(INDEX('章节与怪物'!$E$31:$K$37,B115,5),'章节与怪物'!$A$41:$F$44,4,FALSE)+IF(5=D115,'难度参数'!$E$30,0))</x:f>
        <x:v>884</x:v>
      </x:c>
      <x:c r="AR115" s="119" t="n">
        <x:f>IF(6&gt;D115,0,MAX(2,MIN('难度参数'!$E$12,ROUND(('难度参数'!$E$18*POWER(A115,'难度参数'!$E$19)/D115*(0.85+0.3*(6-1)/MAX(1,D115-1))),0)+F115)))</x:f>
        <x:v>27</x:v>
      </x:c>
      <x:c r="AS115" s="119" t="n">
        <x:f>IF(6&gt;D115,0,ROUND(('难度参数'!$E$13*POWER(A115,'难度参数'!$E$20)*MIN('难度参数'!$E$23,1+MAX(0,A115-'难度参数'!$E$21)*'难度参数'!$E$22))*(36+6*7)/(36+7*(D115+1)/2)*E115,0))</x:f>
        <x:v>4525</x:v>
      </x:c>
      <x:c r="AT115" s="119" t="n">
        <x:f>IF(AR115=0,0,(AR115-IF(6=D115,1,0))*ROUND(AS115*VLOOKUP(INDEX('章节与怪物'!$E$31:$K$37,B115,6),'章节与怪物'!$A$41:$F$44,2,FALSE),0)+IF(6=D115,ROUND(AS115*'难度参数'!$E$28*'章节与怪物'!$E$17,0),0))</x:f>
        <x:v>87966</x:v>
      </x:c>
      <x:c r="AU115" s="119" t="n">
        <x:f>IF(AR115=0,0,(AR115-IF(6=D115,1,0))*VLOOKUP(INDEX('章节与怪物'!$E$31:$K$37,B115,6),'章节与怪物'!$A$41:$F$44,4,FALSE)+IF(6=D115,'难度参数'!$E$30,0))</x:f>
        <x:v>540</x:v>
      </x:c>
      <x:c r="AV115" s="119" t="n">
        <x:f>IF(7&gt;D115,0,MAX(2,MIN('难度参数'!$E$12,ROUND(('难度参数'!$E$18*POWER(A115,'难度参数'!$E$19)/D115*(0.85+0.3*(7-1)/MAX(1,D115-1))),0)+F115)))</x:f>
        <x:v>28</x:v>
      </x:c>
      <x:c r="AW115" s="119" t="n">
        <x:f>IF(7&gt;D115,0,ROUND(('难度参数'!$E$13*POWER(A115,'难度参数'!$E$20)*MIN('难度参数'!$E$23,1+MAX(0,A115-'难度参数'!$E$21)*'难度参数'!$E$22))*(36+7*7)/(36+7*(D115+1)/2)*E115,0))</x:f>
        <x:v>4931</x:v>
      </x:c>
      <x:c r="AX115" s="119" t="n">
        <x:f>IF(AV115=0,0,(AV115-IF(7=D115,1,0))*ROUND(AW115*VLOOKUP(INDEX('章节与怪物'!$E$31:$K$37,B115,7),'章节与怪物'!$A$41:$F$44,2,FALSE),0)+IF(7=D115,ROUND(AW115*'难度参数'!$E$28*'章节与怪物'!$E$17,0),0))</x:f>
        <x:v>259872</x:v>
      </x:c>
      <x:c r="AY115" s="119" t="n">
        <x:f>IF(AV115=0,0,(AV115-IF(7=D115,1,0))*VLOOKUP(INDEX('章节与怪物'!$E$31:$K$37,B115,7),'章节与怪物'!$A$41:$F$44,4,FALSE)+IF(7=D115,'难度参数'!$E$30,0))</x:f>
        <x:v>956</x:v>
      </x:c>
    </x:row>
    <x:row r="116" ht="23" customHeight="1">
      <x:c r="A116" s="119" t="n">
        <x:v>110</x:v>
      </x:c>
      <x:c r="B116" s="119" t="n">
        <x:f>MOD(INT((A116-1)/5),7)+1</x:f>
        <x:v>1</x:v>
      </x:c>
      <x:c r="C116" s="62" t="str">
        <x:f>INDEX('章节与怪物'!$B$31:$B$37,B116)</x:f>
        <x:v>冰雪荒原</x:v>
      </x:c>
      <x:c r="D116" s="119" t="n">
        <x:f>MIN('难度参数'!$E$8,MAX('难度参数'!$E$7,A116))</x:f>
        <x:v>7</x:v>
      </x:c>
      <x:c r="E116" s="106" t="n">
        <x:v>1</x:v>
      </x:c>
      <x:c r="F116" s="106" t="n">
        <x:v>0</x:v>
      </x:c>
      <x:c r="G116" s="106" t="n">
        <x:v>1</x:v>
      </x:c>
      <x:c r="H116" s="119" t="n">
        <x:f>SUM(X116,AB116,AF116,AJ116,AN116,AR116,AV116)</x:f>
        <x:v>171</x:v>
      </x:c>
      <x:c r="I116" s="119" t="n">
        <x:f>SUM(Z116,AD116,AH116,AL116,AP116,AT116,AX116)</x:f>
        <x:v>822244</x:v>
      </x:c>
      <x:c r="J116" s="119" t="n">
        <x:f>ROUND(INDEX(X116:AY116,1,(D116-1)*4+2)*'难度参数'!$E$28*'章节与怪物'!$E$17,0)</x:f>
        <x:v>33837</x:v>
      </x:c>
      <x:c r="K116" s="119" t="n">
        <x:f>SUM(AA116,AE116,AI116,AM116,AQ116,AU116,AY116)</x:f>
        <x:v>4286</x:v>
      </x:c>
      <x:c r="L116" s="62" t="n">
        <x:f>H116*(ROUNDUP('难度参数'!$E$24/('难度参数'!$E$26*'难度参数'!$E$27),0)*'难度参数'!$E$26)/60</x:f>
        <x:v>2.2800000000000002</x:v>
      </x:c>
      <x:c r="M116" s="62" t="n">
        <x:f>L116+D116*('难度参数'!$E$49+'难度参数'!$E$50)/60</x:f>
        <x:v>3.446666666666667</x:v>
      </x:c>
      <x:c r="N116" s="119" t="n">
        <x:f>ROUNDDOWN(('经济参数'!$E$20+A116*'经济参数'!$E$21)*G116,0)</x:f>
        <x:v>2380</x:v>
      </x:c>
      <x:c r="O116" s="119" t="n">
        <x:f>ROUNDDOWN(MIN('经济参数'!$E$24,'经济参数'!$E$22+A116*'经济参数'!$E$23)*G116,0)</x:f>
        <x:v>0</x:v>
      </x:c>
      <x:c r="P116" s="119" t="n">
        <x:f>ROUNDDOWN((IF(A116&gt;='材料与任务'!$E$31,'材料与任务'!$E$32,IF(A116&gt;='材料与任务'!$E$25,'材料与任务'!$E$26,IF(A116&gt;='材料与任务'!$E$19,'材料与任务'!$E$20,IF(A116&gt;='材料与任务'!$E$13,'材料与任务'!$E$14,'材料与任务'!$E$8)))))*G116,0)</x:f>
        <x:v>5</x:v>
      </x:c>
      <x:c r="Q116" s="119" t="n">
        <x:f>ROUNDDOWN((IF(A116&gt;='材料与任务'!$E$31,'材料与任务'!$E$33,IF(A116&gt;='材料与任务'!$E$25,'材料与任务'!$E$27,IF(A116&gt;='材料与任务'!$E$19,'材料与任务'!$E$21,IF(A116&gt;='材料与任务'!$E$13,'材料与任务'!$E$15,'材料与任务'!$E$9)))))*G116,0)</x:f>
        <x:v>2</x:v>
      </x:c>
      <x:c r="R116" s="110" t="n">
        <x:f>'装备掉落'!$B$38</x:f>
        <x:v>0.6872058758851213</x:v>
      </x:c>
      <x:c r="S116" s="119" t="n">
        <x:f>MAX(IF(VLOOKUP(A116,'装备掉落'!$A$29:$H$34,2,TRUE)&gt;0,1,0),IF(VLOOKUP(A116,'装备掉落'!$A$29:$H$34,3,TRUE)&gt;0,2,0),IF(VLOOKUP(A116,'装备掉落'!$A$29:$H$34,4,TRUE)&gt;0,3,0),IF(VLOOKUP(A116,'装备掉落'!$A$29:$H$34,5,TRUE)&gt;0,4,0),IF(VLOOKUP(A116,'装备掉落'!$A$29:$H$34,6,TRUE)&gt;0,5,0),IF(VLOOKUP(A116,'装备掉落'!$A$29:$H$34,7,TRUE)&gt;0,6,0),IF(VLOOKUP(A116,'装备掉落'!$A$29:$H$34,8,TRUE)&gt;0,7,0))</x:f>
        <x:v>7</x:v>
      </x:c>
      <x:c r="T116" s="119" t="n">
        <x:f>MIN(7,S116+'经济参数'!$E$70)</x:f>
        <x:v>7</x:v>
      </x:c>
      <x:c r="U116" s="119" t="n">
        <x:f>MIN(7,S116+'经济参数'!$E$71)</x:f>
        <x:v>7</x:v>
      </x:c>
      <x:c r="V116" s="119" t="n">
        <x:f>IF(H116&gt;=('难度参数'!$E$52),1,0)+IF(H116&gt;=('难度参数'!$E$52+'难度参数'!$E$53),1,0)+IF(H116&gt;=('难度参数'!$E$52+'难度参数'!$E$53+'难度参数'!$E$54),1,0)+IF(H116&gt;=('难度参数'!$E$52+'难度参数'!$E$53+'难度参数'!$E$54+'难度参数'!$E$55),1,0)+IF(H116&gt;=('难度参数'!$E$52+'难度参数'!$E$53+'难度参数'!$E$54+'难度参数'!$E$55+'难度参数'!$E$56),1,0)+IF(H116&gt;=('难度参数'!$E$52+'难度参数'!$E$53+'难度参数'!$E$54+'难度参数'!$E$55+'难度参数'!$E$56+'难度参数'!$E$57),1,0)</x:f>
        <x:v>6</x:v>
      </x:c>
      <x:c r="W116" s="62" t="str">
        <x:f>IF(L116&gt;'难度参数'!$E$51,"仅出怪已超目标","还需实测")</x:f>
        <x:v>还需实测</x:v>
      </x:c>
      <x:c r="X116" s="119" t="n">
        <x:f>IF(1&gt;D116,0,MAX(2,MIN('难度参数'!$E$12,ROUND(('难度参数'!$E$18*POWER(A116,'难度参数'!$E$19)/D116*(0.85+0.3*(1-1)/MAX(1,D116-1))),0)+F116)))</x:f>
        <x:v>21</x:v>
      </x:c>
      <x:c r="Y116" s="119" t="n">
        <x:f>IF(1&gt;D116,0,ROUND(('难度参数'!$E$13*POWER(A116,'难度参数'!$E$20)*MIN('难度参数'!$E$23,1+MAX(0,A116-'难度参数'!$E$21)*'难度参数'!$E$22))*(36+1*7)/(36+7*(D116+1)/2)*E116,0))</x:f>
        <x:v>2517</x:v>
      </x:c>
      <x:c r="Z116" s="119" t="n">
        <x:f>IF(X116=0,0,(X116-IF(1=D116,1,0))*ROUND(Y116*VLOOKUP(INDEX('章节与怪物'!$E$31:$K$37,B116,1),'章节与怪物'!$A$41:$F$44,2,FALSE),0)+IF(1=D116,ROUND(Y116*'难度参数'!$E$28*'章节与怪物'!$E$17,0),0))</x:f>
        <x:v>52857</x:v>
      </x:c>
      <x:c r="AA116" s="119" t="n">
        <x:f>IF(X116=0,0,(X116-IF(1=D116,1,0))*VLOOKUP(INDEX('章节与怪物'!$E$31:$K$37,B116,1),'章节与怪物'!$A$41:$F$44,4,FALSE)+IF(1=D116,'难度参数'!$E$30,0))</x:f>
        <x:v>378</x:v>
      </x:c>
      <x:c r="AB116" s="119" t="n">
        <x:f>IF(2&gt;D116,0,MAX(2,MIN('难度参数'!$E$12,ROUND(('难度参数'!$E$18*POWER(A116,'难度参数'!$E$19)/D116*(0.85+0.3*(2-1)/MAX(1,D116-1))),0)+F116)))</x:f>
        <x:v>22</x:v>
      </x:c>
      <x:c r="AC116" s="119" t="n">
        <x:f>IF(2&gt;D116,0,ROUND(('难度参数'!$E$13*POWER(A116,'难度参数'!$E$20)*MIN('难度参数'!$E$23,1+MAX(0,A116-'难度参数'!$E$21)*'难度参数'!$E$22))*(36+2*7)/(36+7*(D116+1)/2)*E116,0))</x:f>
        <x:v>2927</x:v>
      </x:c>
      <x:c r="AD116" s="119" t="n">
        <x:f>IF(AB116=0,0,(AB116-IF(2=D116,1,0))*ROUND(AC116*VLOOKUP(INDEX('章节与怪物'!$E$31:$K$37,B116,2),'章节与怪物'!$A$41:$F$44,2,FALSE),0)+IF(2=D116,ROUND(AC116*'难度参数'!$E$28*'章节与怪物'!$E$17,0),0))</x:f>
        <x:v>64394</x:v>
      </x:c>
      <x:c r="AE116" s="119" t="n">
        <x:f>IF(AB116=0,0,(AB116-IF(2=D116,1,0))*VLOOKUP(INDEX('章节与怪物'!$E$31:$K$37,B116,2),'章节与怪物'!$A$41:$F$44,4,FALSE)+IF(2=D116,'难度参数'!$E$30,0))</x:f>
        <x:v>396</x:v>
      </x:c>
      <x:c r="AF116" s="119" t="n">
        <x:f>IF(3&gt;D116,0,MAX(2,MIN('难度参数'!$E$12,ROUND(('难度参数'!$E$18*POWER(A116,'难度参数'!$E$19)/D116*(0.85+0.3*(3-1)/MAX(1,D116-1))),0)+F116)))</x:f>
        <x:v>23</x:v>
      </x:c>
      <x:c r="AG116" s="119" t="n">
        <x:f>IF(3&gt;D116,0,ROUND(('难度参数'!$E$13*POWER(A116,'难度参数'!$E$20)*MIN('难度参数'!$E$23,1+MAX(0,A116-'难度参数'!$E$21)*'难度参数'!$E$22))*(36+3*7)/(36+7*(D116+1)/2)*E116,0))</x:f>
        <x:v>3337</x:v>
      </x:c>
      <x:c r="AH116" s="119" t="n">
        <x:f>IF(AF116=0,0,(AF116-IF(3=D116,1,0))*ROUND(AG116*VLOOKUP(INDEX('章节与怪物'!$E$31:$K$37,B116,3),'章节与怪物'!$A$41:$F$44,2,FALSE),0)+IF(3=D116,ROUND(AG116*'难度参数'!$E$28*'章节与怪物'!$E$17,0),0))</x:f>
        <x:v>55269</x:v>
      </x:c>
      <x:c r="AI116" s="119" t="n">
        <x:f>IF(AF116=0,0,(AF116-IF(3=D116,1,0))*VLOOKUP(INDEX('章节与怪物'!$E$31:$K$37,B116,3),'章节与怪物'!$A$41:$F$44,4,FALSE)+IF(3=D116,'难度参数'!$E$30,0))</x:f>
        <x:v>460</x:v>
      </x:c>
      <x:c r="AJ116" s="119" t="n">
        <x:f>IF(4&gt;D116,0,MAX(2,MIN('难度参数'!$E$12,ROUND(('难度参数'!$E$18*POWER(A116,'难度参数'!$E$19)/D116*(0.85+0.3*(4-1)/MAX(1,D116-1))),0)+F116)))</x:f>
        <x:v>24</x:v>
      </x:c>
      <x:c r="AK116" s="119" t="n">
        <x:f>IF(4&gt;D116,0,ROUND(('难度参数'!$E$13*POWER(A116,'难度参数'!$E$20)*MIN('难度参数'!$E$23,1+MAX(0,A116-'难度参数'!$E$21)*'难度参数'!$E$22))*(36+4*7)/(36+7*(D116+1)/2)*E116,0))</x:f>
        <x:v>3746</x:v>
      </x:c>
      <x:c r="AL116" s="119" t="n">
        <x:f>IF(AJ116=0,0,(AJ116-IF(4=D116,1,0))*ROUND(AK116*VLOOKUP(INDEX('章节与怪物'!$E$31:$K$37,B116,4),'章节与怪物'!$A$41:$F$44,2,FALSE),0)+IF(4=D116,ROUND(AK116*'难度参数'!$E$28*'章节与怪物'!$E$17,0),0))</x:f>
        <x:v>152832</x:v>
      </x:c>
      <x:c r="AM116" s="119" t="n">
        <x:f>IF(AJ116=0,0,(AJ116-IF(4=D116,1,0))*VLOOKUP(INDEX('章节与怪物'!$E$31:$K$37,B116,4),'章节与怪物'!$A$41:$F$44,4,FALSE)+IF(4=D116,'难度参数'!$E$30,0))</x:f>
        <x:v>672</x:v>
      </x:c>
      <x:c r="AN116" s="119" t="n">
        <x:f>IF(5&gt;D116,0,MAX(2,MIN('难度参数'!$E$12,ROUND(('难度参数'!$E$18*POWER(A116,'难度参数'!$E$19)/D116*(0.85+0.3*(5-1)/MAX(1,D116-1))),0)+F116)))</x:f>
        <x:v>26</x:v>
      </x:c>
      <x:c r="AO116" s="119" t="n">
        <x:f>IF(5&gt;D116,0,ROUND(('难度参数'!$E$13*POWER(A116,'难度参数'!$E$20)*MIN('难度参数'!$E$23,1+MAX(0,A116-'难度参数'!$E$21)*'难度参数'!$E$22))*(36+5*7)/(36+7*(D116+1)/2)*E116,0))</x:f>
        <x:v>4156</x:v>
      </x:c>
      <x:c r="AP116" s="119" t="n">
        <x:f>IF(AN116=0,0,(AN116-IF(5=D116,1,0))*ROUND(AO116*VLOOKUP(INDEX('章节与怪物'!$E$31:$K$37,B116,5),'章节与怪物'!$A$41:$F$44,2,FALSE),0)+IF(5=D116,ROUND(AO116*'难度参数'!$E$28*'章节与怪物'!$E$17,0),0))</x:f>
        <x:v>145886</x:v>
      </x:c>
      <x:c r="AQ116" s="119" t="n">
        <x:f>IF(AN116=0,0,(AN116-IF(5=D116,1,0))*VLOOKUP(INDEX('章节与怪物'!$E$31:$K$37,B116,5),'章节与怪物'!$A$41:$F$44,4,FALSE)+IF(5=D116,'难度参数'!$E$30,0))</x:f>
        <x:v>884</x:v>
      </x:c>
      <x:c r="AR116" s="119" t="n">
        <x:f>IF(6&gt;D116,0,MAX(2,MIN('难度参数'!$E$12,ROUND(('难度参数'!$E$18*POWER(A116,'难度参数'!$E$19)/D116*(0.85+0.3*(6-1)/MAX(1,D116-1))),0)+F116)))</x:f>
        <x:v>27</x:v>
      </x:c>
      <x:c r="AS116" s="119" t="n">
        <x:f>IF(6&gt;D116,0,ROUND(('难度参数'!$E$13*POWER(A116,'难度参数'!$E$20)*MIN('难度参数'!$E$23,1+MAX(0,A116-'难度参数'!$E$21)*'难度参数'!$E$22))*(36+6*7)/(36+7*(D116+1)/2)*E116,0))</x:f>
        <x:v>4566</x:v>
      </x:c>
      <x:c r="AT116" s="119" t="n">
        <x:f>IF(AR116=0,0,(AR116-IF(6=D116,1,0))*ROUND(AS116*VLOOKUP(INDEX('章节与怪物'!$E$31:$K$37,B116,6),'章节与怪物'!$A$41:$F$44,2,FALSE),0)+IF(6=D116,ROUND(AS116*'难度参数'!$E$28*'章节与怪物'!$E$17,0),0))</x:f>
        <x:v>88776</x:v>
      </x:c>
      <x:c r="AU116" s="119" t="n">
        <x:f>IF(AR116=0,0,(AR116-IF(6=D116,1,0))*VLOOKUP(INDEX('章节与怪物'!$E$31:$K$37,B116,6),'章节与怪物'!$A$41:$F$44,4,FALSE)+IF(6=D116,'难度参数'!$E$30,0))</x:f>
        <x:v>540</x:v>
      </x:c>
      <x:c r="AV116" s="119" t="n">
        <x:f>IF(7&gt;D116,0,MAX(2,MIN('难度参数'!$E$12,ROUND(('难度参数'!$E$18*POWER(A116,'难度参数'!$E$19)/D116*(0.85+0.3*(7-1)/MAX(1,D116-1))),0)+F116)))</x:f>
        <x:v>28</x:v>
      </x:c>
      <x:c r="AW116" s="119" t="n">
        <x:f>IF(7&gt;D116,0,ROUND(('难度参数'!$E$13*POWER(A116,'难度参数'!$E$20)*MIN('难度参数'!$E$23,1+MAX(0,A116-'难度参数'!$E$21)*'难度参数'!$E$22))*(36+7*7)/(36+7*(D116+1)/2)*E116,0))</x:f>
        <x:v>4976</x:v>
      </x:c>
      <x:c r="AX116" s="119" t="n">
        <x:f>IF(AV116=0,0,(AV116-IF(7=D116,1,0))*ROUND(AW116*VLOOKUP(INDEX('章节与怪物'!$E$31:$K$37,B116,7),'章节与怪物'!$A$41:$F$44,2,FALSE),0)+IF(7=D116,ROUND(AW116*'难度参数'!$E$28*'章节与怪物'!$E$17,0),0))</x:f>
        <x:v>262230</x:v>
      </x:c>
      <x:c r="AY116" s="119" t="n">
        <x:f>IF(AV116=0,0,(AV116-IF(7=D116,1,0))*VLOOKUP(INDEX('章节与怪物'!$E$31:$K$37,B116,7),'章节与怪物'!$A$41:$F$44,4,FALSE)+IF(7=D116,'难度参数'!$E$30,0))</x:f>
        <x:v>956</x:v>
      </x:c>
    </x:row>
    <x:row r="117" ht="23" customHeight="1">
      <x:c r="A117" s="119" t="n">
        <x:v>111</x:v>
      </x:c>
      <x:c r="B117" s="119" t="n">
        <x:f>MOD(INT((A117-1)/5),7)+1</x:f>
        <x:v>2</x:v>
      </x:c>
      <x:c r="C117" s="62" t="str">
        <x:f>INDEX('章节与怪物'!$B$31:$B$37,B117)</x:f>
        <x:v>黄沙要塞</x:v>
      </x:c>
      <x:c r="D117" s="119" t="n">
        <x:f>MIN('难度参数'!$E$8,MAX('难度参数'!$E$7,A117))</x:f>
        <x:v>7</x:v>
      </x:c>
      <x:c r="E117" s="106" t="n">
        <x:v>1</x:v>
      </x:c>
      <x:c r="F117" s="106" t="n">
        <x:v>0</x:v>
      </x:c>
      <x:c r="G117" s="106" t="n">
        <x:v>1</x:v>
      </x:c>
      <x:c r="H117" s="119" t="n">
        <x:f>SUM(X117,AB117,AF117,AJ117,AN117,AR117,AV117)</x:f>
        <x:v>172</x:v>
      </x:c>
      <x:c r="I117" s="119" t="n">
        <x:f>SUM(Z117,AD117,AH117,AL117,AP117,AT117,AX117)</x:f>
        <x:v>900153</x:v>
      </x:c>
      <x:c r="J117" s="119" t="n">
        <x:f>ROUND(INDEX(X117:AY117,1,(D117-1)*4+2)*'难度参数'!$E$28*'章节与怪物'!$E$17,0)</x:f>
        <x:v>34136</x:v>
      </x:c>
      <x:c r="K117" s="119" t="n">
        <x:f>SUM(AA117,AE117,AI117,AM117,AQ117,AU117,AY117)</x:f>
        <x:v>4652</x:v>
      </x:c>
      <x:c r="L117" s="62" t="n">
        <x:f>H117*(ROUNDUP('难度参数'!$E$24/('难度参数'!$E$26*'难度参数'!$E$27),0)*'难度参数'!$E$26)/60</x:f>
        <x:v>2.2933333333333334</x:v>
      </x:c>
      <x:c r="M117" s="62" t="n">
        <x:f>L117+D117*('难度参数'!$E$49+'难度参数'!$E$50)/60</x:f>
        <x:v>3.46</x:v>
      </x:c>
      <x:c r="N117" s="119" t="n">
        <x:f>ROUNDDOWN(('经济参数'!$E$20+A117*'经济参数'!$E$21)*G117,0)</x:f>
        <x:v>2400</x:v>
      </x:c>
      <x:c r="O117" s="119" t="n">
        <x:f>ROUNDDOWN(MIN('经济参数'!$E$24,'经济参数'!$E$22+A117*'经济参数'!$E$23)*G117,0)</x:f>
        <x:v>0</x:v>
      </x:c>
      <x:c r="P117" s="119" t="n">
        <x:f>ROUNDDOWN((IF(A117&gt;='材料与任务'!$E$31,'材料与任务'!$E$32,IF(A117&gt;='材料与任务'!$E$25,'材料与任务'!$E$26,IF(A117&gt;='材料与任务'!$E$19,'材料与任务'!$E$20,IF(A117&gt;='材料与任务'!$E$13,'材料与任务'!$E$14,'材料与任务'!$E$8)))))*G117,0)</x:f>
        <x:v>5</x:v>
      </x:c>
      <x:c r="Q117" s="119" t="n">
        <x:f>ROUNDDOWN((IF(A117&gt;='材料与任务'!$E$31,'材料与任务'!$E$33,IF(A117&gt;='材料与任务'!$E$25,'材料与任务'!$E$27,IF(A117&gt;='材料与任务'!$E$19,'材料与任务'!$E$21,IF(A117&gt;='材料与任务'!$E$13,'材料与任务'!$E$15,'材料与任务'!$E$9)))))*G117,0)</x:f>
        <x:v>2</x:v>
      </x:c>
      <x:c r="R117" s="110" t="n">
        <x:f>'装备掉落'!$B$38</x:f>
        <x:v>0.6872058758851213</x:v>
      </x:c>
      <x:c r="S117" s="119" t="n">
        <x:f>MAX(IF(VLOOKUP(A117,'装备掉落'!$A$29:$H$34,2,TRUE)&gt;0,1,0),IF(VLOOKUP(A117,'装备掉落'!$A$29:$H$34,3,TRUE)&gt;0,2,0),IF(VLOOKUP(A117,'装备掉落'!$A$29:$H$34,4,TRUE)&gt;0,3,0),IF(VLOOKUP(A117,'装备掉落'!$A$29:$H$34,5,TRUE)&gt;0,4,0),IF(VLOOKUP(A117,'装备掉落'!$A$29:$H$34,6,TRUE)&gt;0,5,0),IF(VLOOKUP(A117,'装备掉落'!$A$29:$H$34,7,TRUE)&gt;0,6,0),IF(VLOOKUP(A117,'装备掉落'!$A$29:$H$34,8,TRUE)&gt;0,7,0))</x:f>
        <x:v>7</x:v>
      </x:c>
      <x:c r="T117" s="119" t="n">
        <x:f>MIN(7,S117+'经济参数'!$E$70)</x:f>
        <x:v>7</x:v>
      </x:c>
      <x:c r="U117" s="119" t="n">
        <x:f>MIN(7,S117+'经济参数'!$E$71)</x:f>
        <x:v>7</x:v>
      </x:c>
      <x:c r="V117" s="119" t="n">
        <x:f>IF(H117&gt;=('难度参数'!$E$52),1,0)+IF(H117&gt;=('难度参数'!$E$52+'难度参数'!$E$53),1,0)+IF(H117&gt;=('难度参数'!$E$52+'难度参数'!$E$53+'难度参数'!$E$54),1,0)+IF(H117&gt;=('难度参数'!$E$52+'难度参数'!$E$53+'难度参数'!$E$54+'难度参数'!$E$55),1,0)+IF(H117&gt;=('难度参数'!$E$52+'难度参数'!$E$53+'难度参数'!$E$54+'难度参数'!$E$55+'难度参数'!$E$56),1,0)+IF(H117&gt;=('难度参数'!$E$52+'难度参数'!$E$53+'难度参数'!$E$54+'难度参数'!$E$55+'难度参数'!$E$56+'难度参数'!$E$57),1,0)</x:f>
        <x:v>6</x:v>
      </x:c>
      <x:c r="W117" s="62" t="str">
        <x:f>IF(L117&gt;'难度参数'!$E$51,"仅出怪已超目标","还需实测")</x:f>
        <x:v>还需实测</x:v>
      </x:c>
      <x:c r="X117" s="119" t="n">
        <x:f>IF(1&gt;D117,0,MAX(2,MIN('难度参数'!$E$12,ROUND(('难度参数'!$E$18*POWER(A117,'难度参数'!$E$19)/D117*(0.85+0.3*(1-1)/MAX(1,D117-1))),0)+F117)))</x:f>
        <x:v>21</x:v>
      </x:c>
      <x:c r="Y117" s="119" t="n">
        <x:f>IF(1&gt;D117,0,ROUND(('难度参数'!$E$13*POWER(A117,'难度参数'!$E$20)*MIN('难度参数'!$E$23,1+MAX(0,A117-'难度参数'!$E$21)*'难度参数'!$E$22))*(36+1*7)/(36+7*(D117+1)/2)*E117,0))</x:f>
        <x:v>2540</x:v>
      </x:c>
      <x:c r="Z117" s="119" t="n">
        <x:f>IF(X117=0,0,(X117-IF(1=D117,1,0))*ROUND(Y117*VLOOKUP(INDEX('章节与怪物'!$E$31:$K$37,B117,1),'章节与怪物'!$A$41:$F$44,2,FALSE),0)+IF(1=D117,ROUND(Y117*'难度参数'!$E$28*'章节与怪物'!$E$17,0),0))</x:f>
        <x:v>38409</x:v>
      </x:c>
      <x:c r="AA117" s="119" t="n">
        <x:f>IF(X117=0,0,(X117-IF(1=D117,1,0))*VLOOKUP(INDEX('章节与怪物'!$E$31:$K$37,B117,1),'章节与怪物'!$A$41:$F$44,4,FALSE)+IF(1=D117,'难度参数'!$E$30,0))</x:f>
        <x:v>420</x:v>
      </x:c>
      <x:c r="AB117" s="119" t="n">
        <x:f>IF(2&gt;D117,0,MAX(2,MIN('难度参数'!$E$12,ROUND(('难度参数'!$E$18*POWER(A117,'难度参数'!$E$19)/D117*(0.85+0.3*(2-1)/MAX(1,D117-1))),0)+F117)))</x:f>
        <x:v>22</x:v>
      </x:c>
      <x:c r="AC117" s="119" t="n">
        <x:f>IF(2&gt;D117,0,ROUND(('难度参数'!$E$13*POWER(A117,'难度参数'!$E$20)*MIN('难度参数'!$E$23,1+MAX(0,A117-'难度参数'!$E$21)*'难度参数'!$E$22))*(36+2*7)/(36+7*(D117+1)/2)*E117,0))</x:f>
        <x:v>2953</x:v>
      </x:c>
      <x:c r="AD117" s="119" t="n">
        <x:f>IF(AB117=0,0,(AB117-IF(2=D117,1,0))*ROUND(AC117*VLOOKUP(INDEX('章节与怪物'!$E$31:$K$37,B117,2),'章节与怪物'!$A$41:$F$44,2,FALSE),0)+IF(2=D117,ROUND(AC117*'难度参数'!$E$28*'章节与怪物'!$E$17,0),0))</x:f>
        <x:v>64966</x:v>
      </x:c>
      <x:c r="AE117" s="119" t="n">
        <x:f>IF(AB117=0,0,(AB117-IF(2=D117,1,0))*VLOOKUP(INDEX('章节与怪物'!$E$31:$K$37,B117,2),'章节与怪物'!$A$41:$F$44,4,FALSE)+IF(2=D117,'难度参数'!$E$30,0))</x:f>
        <x:v>396</x:v>
      </x:c>
      <x:c r="AF117" s="119" t="n">
        <x:f>IF(3&gt;D117,0,MAX(2,MIN('难度参数'!$E$12,ROUND(('难度参数'!$E$18*POWER(A117,'难度参数'!$E$19)/D117*(0.85+0.3*(3-1)/MAX(1,D117-1))),0)+F117)))</x:f>
        <x:v>23</x:v>
      </x:c>
      <x:c r="AG117" s="119" t="n">
        <x:f>IF(3&gt;D117,0,ROUND(('难度参数'!$E$13*POWER(A117,'难度参数'!$E$20)*MIN('难度参数'!$E$23,1+MAX(0,A117-'难度参数'!$E$21)*'难度参数'!$E$22))*(36+3*7)/(36+7*(D117+1)/2)*E117,0))</x:f>
        <x:v>3366</x:v>
      </x:c>
      <x:c r="AH117" s="119" t="n">
        <x:f>IF(AF117=0,0,(AF117-IF(3=D117,1,0))*ROUND(AG117*VLOOKUP(INDEX('章节与怪物'!$E$31:$K$37,B117,3),'章节与怪物'!$A$41:$F$44,2,FALSE),0)+IF(3=D117,ROUND(AG117*'难度参数'!$E$28*'章节与怪物'!$E$17,0),0))</x:f>
        <x:v>131606</x:v>
      </x:c>
      <x:c r="AI117" s="119" t="n">
        <x:f>IF(AF117=0,0,(AF117-IF(3=D117,1,0))*VLOOKUP(INDEX('章节与怪物'!$E$31:$K$37,B117,3),'章节与怪物'!$A$41:$F$44,4,FALSE)+IF(3=D117,'难度参数'!$E$30,0))</x:f>
        <x:v>644</x:v>
      </x:c>
      <x:c r="AJ117" s="119" t="n">
        <x:f>IF(4&gt;D117,0,MAX(2,MIN('难度参数'!$E$12,ROUND(('难度参数'!$E$18*POWER(A117,'难度参数'!$E$19)/D117*(0.85+0.3*(4-1)/MAX(1,D117-1))),0)+F117)))</x:f>
        <x:v>25</x:v>
      </x:c>
      <x:c r="AK117" s="119" t="n">
        <x:f>IF(4&gt;D117,0,ROUND(('难度参数'!$E$13*POWER(A117,'难度参数'!$E$20)*MIN('难度参数'!$E$23,1+MAX(0,A117-'难度参数'!$E$21)*'难度参数'!$E$22))*(36+4*7)/(36+7*(D117+1)/2)*E117,0))</x:f>
        <x:v>3780</x:v>
      </x:c>
      <x:c r="AL117" s="119" t="n">
        <x:f>IF(AJ117=0,0,(AJ117-IF(4=D117,1,0))*ROUND(AK117*VLOOKUP(INDEX('章节与怪物'!$E$31:$K$37,B117,4),'章节与怪物'!$A$41:$F$44,2,FALSE),0)+IF(4=D117,ROUND(AK117*'难度参数'!$E$28*'章节与怪物'!$E$17,0),0))</x:f>
        <x:v>127575</x:v>
      </x:c>
      <x:c r="AM117" s="119" t="n">
        <x:f>IF(AJ117=0,0,(AJ117-IF(4=D117,1,0))*VLOOKUP(INDEX('章节与怪物'!$E$31:$K$37,B117,4),'章节与怪物'!$A$41:$F$44,4,FALSE)+IF(4=D117,'难度参数'!$E$30,0))</x:f>
        <x:v>850</x:v>
      </x:c>
      <x:c r="AN117" s="119" t="n">
        <x:f>IF(5&gt;D117,0,MAX(2,MIN('难度参数'!$E$12,ROUND(('难度参数'!$E$18*POWER(A117,'难度参数'!$E$19)/D117*(0.85+0.3*(5-1)/MAX(1,D117-1))),0)+F117)))</x:f>
        <x:v>26</x:v>
      </x:c>
      <x:c r="AO117" s="119" t="n">
        <x:f>IF(5&gt;D117,0,ROUND(('难度参数'!$E$13*POWER(A117,'难度参数'!$E$20)*MIN('难度参数'!$E$23,1+MAX(0,A117-'难度参数'!$E$21)*'难度参数'!$E$22))*(36+5*7)/(36+7*(D117+1)/2)*E117,0))</x:f>
        <x:v>4193</x:v>
      </x:c>
      <x:c r="AP117" s="119" t="n">
        <x:f>IF(AN117=0,0,(AN117-IF(5=D117,1,0))*ROUND(AO117*VLOOKUP(INDEX('章节与怪物'!$E$31:$K$37,B117,5),'章节与怪物'!$A$41:$F$44,2,FALSE),0)+IF(5=D117,ROUND(AO117*'难度参数'!$E$28*'章节与怪物'!$E$17,0),0))</x:f>
        <x:v>109018</x:v>
      </x:c>
      <x:c r="AQ117" s="119" t="n">
        <x:f>IF(AN117=0,0,(AN117-IF(5=D117,1,0))*VLOOKUP(INDEX('章节与怪物'!$E$31:$K$37,B117,5),'章节与怪物'!$A$41:$F$44,4,FALSE)+IF(5=D117,'难度参数'!$E$30,0))</x:f>
        <x:v>468</x:v>
      </x:c>
      <x:c r="AR117" s="119" t="n">
        <x:f>IF(6&gt;D117,0,MAX(2,MIN('难度参数'!$E$12,ROUND(('难度参数'!$E$18*POWER(A117,'难度参数'!$E$19)/D117*(0.85+0.3*(6-1)/MAX(1,D117-1))),0)+F117)))</x:f>
        <x:v>27</x:v>
      </x:c>
      <x:c r="AS117" s="119" t="n">
        <x:f>IF(6&gt;D117,0,ROUND(('难度参数'!$E$13*POWER(A117,'难度参数'!$E$20)*MIN('难度参数'!$E$23,1+MAX(0,A117-'难度参数'!$E$21)*'难度参数'!$E$22))*(36+6*7)/(36+7*(D117+1)/2)*E117,0))</x:f>
        <x:v>4607</x:v>
      </x:c>
      <x:c r="AT117" s="119" t="n">
        <x:f>IF(AR117=0,0,(AR117-IF(6=D117,1,0))*ROUND(AS117*VLOOKUP(INDEX('章节与怪物'!$E$31:$K$37,B117,6),'章节与怪物'!$A$41:$F$44,2,FALSE),0)+IF(6=D117,ROUND(AS117*'难度参数'!$E$28*'章节与怪物'!$E$17,0),0))</x:f>
        <x:v>211464</x:v>
      </x:c>
      <x:c r="AU117" s="119" t="n">
        <x:f>IF(AR117=0,0,(AR117-IF(6=D117,1,0))*VLOOKUP(INDEX('章节与怪物'!$E$31:$K$37,B117,6),'章节与怪物'!$A$41:$F$44,4,FALSE)+IF(6=D117,'难度参数'!$E$30,0))</x:f>
        <x:v>756</x:v>
      </x:c>
      <x:c r="AV117" s="119" t="n">
        <x:f>IF(7&gt;D117,0,MAX(2,MIN('难度参数'!$E$12,ROUND(('难度参数'!$E$18*POWER(A117,'难度参数'!$E$19)/D117*(0.85+0.3*(7-1)/MAX(1,D117-1))),0)+F117)))</x:f>
        <x:v>28</x:v>
      </x:c>
      <x:c r="AW117" s="119" t="n">
        <x:f>IF(7&gt;D117,0,ROUND(('难度参数'!$E$13*POWER(A117,'难度参数'!$E$20)*MIN('难度参数'!$E$23,1+MAX(0,A117-'难度参数'!$E$21)*'难度参数'!$E$22))*(36+7*7)/(36+7*(D117+1)/2)*E117,0))</x:f>
        <x:v>5020</x:v>
      </x:c>
      <x:c r="AX117" s="119" t="n">
        <x:f>IF(AV117=0,0,(AV117-IF(7=D117,1,0))*ROUND(AW117*VLOOKUP(INDEX('章节与怪物'!$E$31:$K$37,B117,7),'章节与怪物'!$A$41:$F$44,2,FALSE),0)+IF(7=D117,ROUND(AW117*'难度参数'!$E$28*'章节与怪物'!$E$17,0),0))</x:f>
        <x:v>217115</x:v>
      </x:c>
      <x:c r="AY117" s="119" t="n">
        <x:f>IF(AV117=0,0,(AV117-IF(7=D117,1,0))*VLOOKUP(INDEX('章节与怪物'!$E$31:$K$37,B117,7),'章节与怪物'!$A$41:$F$44,4,FALSE)+IF(7=D117,'难度参数'!$E$30,0))</x:f>
        <x:v>1118</x:v>
      </x:c>
    </x:row>
    <x:row r="118" ht="23" customHeight="1">
      <x:c r="A118" s="119" t="n">
        <x:v>112</x:v>
      </x:c>
      <x:c r="B118" s="119" t="n">
        <x:f>MOD(INT((A118-1)/5),7)+1</x:f>
        <x:v>2</x:v>
      </x:c>
      <x:c r="C118" s="62" t="str">
        <x:f>INDEX('章节与怪物'!$B$31:$B$37,B118)</x:f>
        <x:v>黄沙要塞</x:v>
      </x:c>
      <x:c r="D118" s="119" t="n">
        <x:f>MIN('难度参数'!$E$8,MAX('难度参数'!$E$7,A118))</x:f>
        <x:v>7</x:v>
      </x:c>
      <x:c r="E118" s="106" t="n">
        <x:v>1</x:v>
      </x:c>
      <x:c r="F118" s="106" t="n">
        <x:v>0</x:v>
      </x:c>
      <x:c r="G118" s="106" t="n">
        <x:v>1</x:v>
      </x:c>
      <x:c r="H118" s="119" t="n">
        <x:f>SUM(X118,AB118,AF118,AJ118,AN118,AR118,AV118)</x:f>
        <x:v>172</x:v>
      </x:c>
      <x:c r="I118" s="119" t="n">
        <x:f>SUM(Z118,AD118,AH118,AL118,AP118,AT118,AX118)</x:f>
        <x:v>908049</x:v>
      </x:c>
      <x:c r="J118" s="119" t="n">
        <x:f>ROUND(INDEX(X118:AY118,1,(D118-1)*4+2)*'难度参数'!$E$28*'章节与怪物'!$E$17,0)</x:f>
        <x:v>34435</x:v>
      </x:c>
      <x:c r="K118" s="119" t="n">
        <x:f>SUM(AA118,AE118,AI118,AM118,AQ118,AU118,AY118)</x:f>
        <x:v>4652</x:v>
      </x:c>
      <x:c r="L118" s="62" t="n">
        <x:f>H118*(ROUNDUP('难度参数'!$E$24/('难度参数'!$E$26*'难度参数'!$E$27),0)*'难度参数'!$E$26)/60</x:f>
        <x:v>2.2933333333333334</x:v>
      </x:c>
      <x:c r="M118" s="62" t="n">
        <x:f>L118+D118*('难度参数'!$E$49+'难度参数'!$E$50)/60</x:f>
        <x:v>3.46</x:v>
      </x:c>
      <x:c r="N118" s="119" t="n">
        <x:f>ROUNDDOWN(('经济参数'!$E$20+A118*'经济参数'!$E$21)*G118,0)</x:f>
        <x:v>2420</x:v>
      </x:c>
      <x:c r="O118" s="119" t="n">
        <x:f>ROUNDDOWN(MIN('经济参数'!$E$24,'经济参数'!$E$22+A118*'经济参数'!$E$23)*G118,0)</x:f>
        <x:v>0</x:v>
      </x:c>
      <x:c r="P118" s="119" t="n">
        <x:f>ROUNDDOWN((IF(A118&gt;='材料与任务'!$E$31,'材料与任务'!$E$32,IF(A118&gt;='材料与任务'!$E$25,'材料与任务'!$E$26,IF(A118&gt;='材料与任务'!$E$19,'材料与任务'!$E$20,IF(A118&gt;='材料与任务'!$E$13,'材料与任务'!$E$14,'材料与任务'!$E$8)))))*G118,0)</x:f>
        <x:v>5</x:v>
      </x:c>
      <x:c r="Q118" s="119" t="n">
        <x:f>ROUNDDOWN((IF(A118&gt;='材料与任务'!$E$31,'材料与任务'!$E$33,IF(A118&gt;='材料与任务'!$E$25,'材料与任务'!$E$27,IF(A118&gt;='材料与任务'!$E$19,'材料与任务'!$E$21,IF(A118&gt;='材料与任务'!$E$13,'材料与任务'!$E$15,'材料与任务'!$E$9)))))*G118,0)</x:f>
        <x:v>2</x:v>
      </x:c>
      <x:c r="R118" s="110" t="n">
        <x:f>'装备掉落'!$B$38</x:f>
        <x:v>0.6872058758851213</x:v>
      </x:c>
      <x:c r="S118" s="119" t="n">
        <x:f>MAX(IF(VLOOKUP(A118,'装备掉落'!$A$29:$H$34,2,TRUE)&gt;0,1,0),IF(VLOOKUP(A118,'装备掉落'!$A$29:$H$34,3,TRUE)&gt;0,2,0),IF(VLOOKUP(A118,'装备掉落'!$A$29:$H$34,4,TRUE)&gt;0,3,0),IF(VLOOKUP(A118,'装备掉落'!$A$29:$H$34,5,TRUE)&gt;0,4,0),IF(VLOOKUP(A118,'装备掉落'!$A$29:$H$34,6,TRUE)&gt;0,5,0),IF(VLOOKUP(A118,'装备掉落'!$A$29:$H$34,7,TRUE)&gt;0,6,0),IF(VLOOKUP(A118,'装备掉落'!$A$29:$H$34,8,TRUE)&gt;0,7,0))</x:f>
        <x:v>7</x:v>
      </x:c>
      <x:c r="T118" s="119" t="n">
        <x:f>MIN(7,S118+'经济参数'!$E$70)</x:f>
        <x:v>7</x:v>
      </x:c>
      <x:c r="U118" s="119" t="n">
        <x:f>MIN(7,S118+'经济参数'!$E$71)</x:f>
        <x:v>7</x:v>
      </x:c>
      <x:c r="V118" s="119" t="n">
        <x:f>IF(H118&gt;=('难度参数'!$E$52),1,0)+IF(H118&gt;=('难度参数'!$E$52+'难度参数'!$E$53),1,0)+IF(H118&gt;=('难度参数'!$E$52+'难度参数'!$E$53+'难度参数'!$E$54),1,0)+IF(H118&gt;=('难度参数'!$E$52+'难度参数'!$E$53+'难度参数'!$E$54+'难度参数'!$E$55),1,0)+IF(H118&gt;=('难度参数'!$E$52+'难度参数'!$E$53+'难度参数'!$E$54+'难度参数'!$E$55+'难度参数'!$E$56),1,0)+IF(H118&gt;=('难度参数'!$E$52+'难度参数'!$E$53+'难度参数'!$E$54+'难度参数'!$E$55+'难度参数'!$E$56+'难度参数'!$E$57),1,0)</x:f>
        <x:v>6</x:v>
      </x:c>
      <x:c r="W118" s="62" t="str">
        <x:f>IF(L118&gt;'难度参数'!$E$51,"仅出怪已超目标","还需实测")</x:f>
        <x:v>还需实测</x:v>
      </x:c>
      <x:c r="X118" s="119" t="n">
        <x:f>IF(1&gt;D118,0,MAX(2,MIN('难度参数'!$E$12,ROUND(('难度参数'!$E$18*POWER(A118,'难度参数'!$E$19)/D118*(0.85+0.3*(1-1)/MAX(1,D118-1))),0)+F118)))</x:f>
        <x:v>21</x:v>
      </x:c>
      <x:c r="Y118" s="119" t="n">
        <x:f>IF(1&gt;D118,0,ROUND(('难度参数'!$E$13*POWER(A118,'难度参数'!$E$20)*MIN('难度参数'!$E$23,1+MAX(0,A118-'难度参数'!$E$21)*'难度参数'!$E$22))*(36+1*7)/(36+7*(D118+1)/2)*E118,0))</x:f>
        <x:v>2562</x:v>
      </x:c>
      <x:c r="Z118" s="119" t="n">
        <x:f>IF(X118=0,0,(X118-IF(1=D118,1,0))*ROUND(Y118*VLOOKUP(INDEX('章节与怪物'!$E$31:$K$37,B118,1),'章节与怪物'!$A$41:$F$44,2,FALSE),0)+IF(1=D118,ROUND(Y118*'难度参数'!$E$28*'章节与怪物'!$E$17,0),0))</x:f>
        <x:v>38745</x:v>
      </x:c>
      <x:c r="AA118" s="119" t="n">
        <x:f>IF(X118=0,0,(X118-IF(1=D118,1,0))*VLOOKUP(INDEX('章节与怪物'!$E$31:$K$37,B118,1),'章节与怪物'!$A$41:$F$44,4,FALSE)+IF(1=D118,'难度参数'!$E$30,0))</x:f>
        <x:v>420</x:v>
      </x:c>
      <x:c r="AB118" s="119" t="n">
        <x:f>IF(2&gt;D118,0,MAX(2,MIN('难度参数'!$E$12,ROUND(('难度参数'!$E$18*POWER(A118,'难度参数'!$E$19)/D118*(0.85+0.3*(2-1)/MAX(1,D118-1))),0)+F118)))</x:f>
        <x:v>22</x:v>
      </x:c>
      <x:c r="AC118" s="119" t="n">
        <x:f>IF(2&gt;D118,0,ROUND(('难度参数'!$E$13*POWER(A118,'难度参数'!$E$20)*MIN('难度参数'!$E$23,1+MAX(0,A118-'难度参数'!$E$21)*'难度参数'!$E$22))*(36+2*7)/(36+7*(D118+1)/2)*E118,0))</x:f>
        <x:v>2979</x:v>
      </x:c>
      <x:c r="AD118" s="119" t="n">
        <x:f>IF(AB118=0,0,(AB118-IF(2=D118,1,0))*ROUND(AC118*VLOOKUP(INDEX('章节与怪物'!$E$31:$K$37,B118,2),'章节与怪物'!$A$41:$F$44,2,FALSE),0)+IF(2=D118,ROUND(AC118*'难度参数'!$E$28*'章节与怪物'!$E$17,0),0))</x:f>
        <x:v>65538</x:v>
      </x:c>
      <x:c r="AE118" s="119" t="n">
        <x:f>IF(AB118=0,0,(AB118-IF(2=D118,1,0))*VLOOKUP(INDEX('章节与怪物'!$E$31:$K$37,B118,2),'章节与怪物'!$A$41:$F$44,4,FALSE)+IF(2=D118,'难度参数'!$E$30,0))</x:f>
        <x:v>396</x:v>
      </x:c>
      <x:c r="AF118" s="119" t="n">
        <x:f>IF(3&gt;D118,0,MAX(2,MIN('难度参数'!$E$12,ROUND(('难度参数'!$E$18*POWER(A118,'难度参数'!$E$19)/D118*(0.85+0.3*(3-1)/MAX(1,D118-1))),0)+F118)))</x:f>
        <x:v>23</x:v>
      </x:c>
      <x:c r="AG118" s="119" t="n">
        <x:f>IF(3&gt;D118,0,ROUND(('难度参数'!$E$13*POWER(A118,'难度参数'!$E$20)*MIN('难度参数'!$E$23,1+MAX(0,A118-'难度参数'!$E$21)*'难度参数'!$E$22))*(36+3*7)/(36+7*(D118+1)/2)*E118,0))</x:f>
        <x:v>3396</x:v>
      </x:c>
      <x:c r="AH118" s="119" t="n">
        <x:f>IF(AF118=0,0,(AF118-IF(3=D118,1,0))*ROUND(AG118*VLOOKUP(INDEX('章节与怪物'!$E$31:$K$37,B118,3),'章节与怪物'!$A$41:$F$44,2,FALSE),0)+IF(3=D118,ROUND(AG118*'难度参数'!$E$28*'章节与怪物'!$E$17,0),0))</x:f>
        <x:v>132779</x:v>
      </x:c>
      <x:c r="AI118" s="119" t="n">
        <x:f>IF(AF118=0,0,(AF118-IF(3=D118,1,0))*VLOOKUP(INDEX('章节与怪物'!$E$31:$K$37,B118,3),'章节与怪物'!$A$41:$F$44,4,FALSE)+IF(3=D118,'难度参数'!$E$30,0))</x:f>
        <x:v>644</x:v>
      </x:c>
      <x:c r="AJ118" s="119" t="n">
        <x:f>IF(4&gt;D118,0,MAX(2,MIN('难度参数'!$E$12,ROUND(('难度参数'!$E$18*POWER(A118,'难度参数'!$E$19)/D118*(0.85+0.3*(4-1)/MAX(1,D118-1))),0)+F118)))</x:f>
        <x:v>25</x:v>
      </x:c>
      <x:c r="AK118" s="119" t="n">
        <x:f>IF(4&gt;D118,0,ROUND(('难度参数'!$E$13*POWER(A118,'难度参数'!$E$20)*MIN('难度参数'!$E$23,1+MAX(0,A118-'难度参数'!$E$21)*'难度参数'!$E$22))*(36+4*7)/(36+7*(D118+1)/2)*E118,0))</x:f>
        <x:v>3813</x:v>
      </x:c>
      <x:c r="AL118" s="119" t="n">
        <x:f>IF(AJ118=0,0,(AJ118-IF(4=D118,1,0))*ROUND(AK118*VLOOKUP(INDEX('章节与怪物'!$E$31:$K$37,B118,4),'章节与怪物'!$A$41:$F$44,2,FALSE),0)+IF(4=D118,ROUND(AK118*'难度参数'!$E$28*'章节与怪物'!$E$17,0),0))</x:f>
        <x:v>128700</x:v>
      </x:c>
      <x:c r="AM118" s="119" t="n">
        <x:f>IF(AJ118=0,0,(AJ118-IF(4=D118,1,0))*VLOOKUP(INDEX('章节与怪物'!$E$31:$K$37,B118,4),'章节与怪物'!$A$41:$F$44,4,FALSE)+IF(4=D118,'难度参数'!$E$30,0))</x:f>
        <x:v>850</x:v>
      </x:c>
      <x:c r="AN118" s="119" t="n">
        <x:f>IF(5&gt;D118,0,MAX(2,MIN('难度参数'!$E$12,ROUND(('难度参数'!$E$18*POWER(A118,'难度参数'!$E$19)/D118*(0.85+0.3*(5-1)/MAX(1,D118-1))),0)+F118)))</x:f>
        <x:v>26</x:v>
      </x:c>
      <x:c r="AO118" s="119" t="n">
        <x:f>IF(5&gt;D118,0,ROUND(('难度参数'!$E$13*POWER(A118,'难度参数'!$E$20)*MIN('难度参数'!$E$23,1+MAX(0,A118-'难度参数'!$E$21)*'难度参数'!$E$22))*(36+5*7)/(36+7*(D118+1)/2)*E118,0))</x:f>
        <x:v>4230</x:v>
      </x:c>
      <x:c r="AP118" s="119" t="n">
        <x:f>IF(AN118=0,0,(AN118-IF(5=D118,1,0))*ROUND(AO118*VLOOKUP(INDEX('章节与怪物'!$E$31:$K$37,B118,5),'章节与怪物'!$A$41:$F$44,2,FALSE),0)+IF(5=D118,ROUND(AO118*'难度参数'!$E$28*'章节与怪物'!$E$17,0),0))</x:f>
        <x:v>109980</x:v>
      </x:c>
      <x:c r="AQ118" s="119" t="n">
        <x:f>IF(AN118=0,0,(AN118-IF(5=D118,1,0))*VLOOKUP(INDEX('章节与怪物'!$E$31:$K$37,B118,5),'章节与怪物'!$A$41:$F$44,4,FALSE)+IF(5=D118,'难度参数'!$E$30,0))</x:f>
        <x:v>468</x:v>
      </x:c>
      <x:c r="AR118" s="119" t="n">
        <x:f>IF(6&gt;D118,0,MAX(2,MIN('难度参数'!$E$12,ROUND(('难度参数'!$E$18*POWER(A118,'难度参数'!$E$19)/D118*(0.85+0.3*(6-1)/MAX(1,D118-1))),0)+F118)))</x:f>
        <x:v>27</x:v>
      </x:c>
      <x:c r="AS118" s="119" t="n">
        <x:f>IF(6&gt;D118,0,ROUND(('难度参数'!$E$13*POWER(A118,'难度参数'!$E$20)*MIN('难度参数'!$E$23,1+MAX(0,A118-'难度参数'!$E$21)*'难度参数'!$E$22))*(36+6*7)/(36+7*(D118+1)/2)*E118,0))</x:f>
        <x:v>4647</x:v>
      </x:c>
      <x:c r="AT118" s="119" t="n">
        <x:f>IF(AR118=0,0,(AR118-IF(6=D118,1,0))*ROUND(AS118*VLOOKUP(INDEX('章节与怪物'!$E$31:$K$37,B118,6),'章节与怪物'!$A$41:$F$44,2,FALSE),0)+IF(6=D118,ROUND(AS118*'难度参数'!$E$28*'章节与怪物'!$E$17,0),0))</x:f>
        <x:v>213300</x:v>
      </x:c>
      <x:c r="AU118" s="119" t="n">
        <x:f>IF(AR118=0,0,(AR118-IF(6=D118,1,0))*VLOOKUP(INDEX('章节与怪物'!$E$31:$K$37,B118,6),'章节与怪物'!$A$41:$F$44,4,FALSE)+IF(6=D118,'难度参数'!$E$30,0))</x:f>
        <x:v>756</x:v>
      </x:c>
      <x:c r="AV118" s="119" t="n">
        <x:f>IF(7&gt;D118,0,MAX(2,MIN('难度参数'!$E$12,ROUND(('难度参数'!$E$18*POWER(A118,'难度参数'!$E$19)/D118*(0.85+0.3*(7-1)/MAX(1,D118-1))),0)+F118)))</x:f>
        <x:v>28</x:v>
      </x:c>
      <x:c r="AW118" s="119" t="n">
        <x:f>IF(7&gt;D118,0,ROUND(('难度参数'!$E$13*POWER(A118,'难度参数'!$E$20)*MIN('难度参数'!$E$23,1+MAX(0,A118-'难度参数'!$E$21)*'难度参数'!$E$22))*(36+7*7)/(36+7*(D118+1)/2)*E118,0))</x:f>
        <x:v>5064</x:v>
      </x:c>
      <x:c r="AX118" s="119" t="n">
        <x:f>IF(AV118=0,0,(AV118-IF(7=D118,1,0))*ROUND(AW118*VLOOKUP(INDEX('章节与怪物'!$E$31:$K$37,B118,7),'章节与怪物'!$A$41:$F$44,2,FALSE),0)+IF(7=D118,ROUND(AW118*'难度参数'!$E$28*'章节与怪物'!$E$17,0),0))</x:f>
        <x:v>219007</x:v>
      </x:c>
      <x:c r="AY118" s="119" t="n">
        <x:f>IF(AV118=0,0,(AV118-IF(7=D118,1,0))*VLOOKUP(INDEX('章节与怪物'!$E$31:$K$37,B118,7),'章节与怪物'!$A$41:$F$44,4,FALSE)+IF(7=D118,'难度参数'!$E$30,0))</x:f>
        <x:v>1118</x:v>
      </x:c>
    </x:row>
    <x:row r="119" ht="23" customHeight="1">
      <x:c r="A119" s="119" t="n">
        <x:v>113</x:v>
      </x:c>
      <x:c r="B119" s="119" t="n">
        <x:f>MOD(INT((A119-1)/5),7)+1</x:f>
        <x:v>2</x:v>
      </x:c>
      <x:c r="C119" s="62" t="str">
        <x:f>INDEX('章节与怪物'!$B$31:$B$37,B119)</x:f>
        <x:v>黄沙要塞</x:v>
      </x:c>
      <x:c r="D119" s="119" t="n">
        <x:f>MIN('难度参数'!$E$8,MAX('难度参数'!$E$7,A119))</x:f>
        <x:v>7</x:v>
      </x:c>
      <x:c r="E119" s="106" t="n">
        <x:v>1</x:v>
      </x:c>
      <x:c r="F119" s="106" t="n">
        <x:v>0</x:v>
      </x:c>
      <x:c r="G119" s="106" t="n">
        <x:v>1</x:v>
      </x:c>
      <x:c r="H119" s="119" t="n">
        <x:f>SUM(X119,AB119,AF119,AJ119,AN119,AR119,AV119)</x:f>
        <x:v>172</x:v>
      </x:c>
      <x:c r="I119" s="119" t="n">
        <x:f>SUM(Z119,AD119,AH119,AL119,AP119,AT119,AX119)</x:f>
        <x:v>916039</x:v>
      </x:c>
      <x:c r="J119" s="119" t="n">
        <x:f>ROUND(INDEX(X119:AY119,1,(D119-1)*4+2)*'难度参数'!$E$28*'章节与怪物'!$E$17,0)</x:f>
        <x:v>34741</x:v>
      </x:c>
      <x:c r="K119" s="119" t="n">
        <x:f>SUM(AA119,AE119,AI119,AM119,AQ119,AU119,AY119)</x:f>
        <x:v>4652</x:v>
      </x:c>
      <x:c r="L119" s="62" t="n">
        <x:f>H119*(ROUNDUP('难度参数'!$E$24/('难度参数'!$E$26*'难度参数'!$E$27),0)*'难度参数'!$E$26)/60</x:f>
        <x:v>2.2933333333333334</x:v>
      </x:c>
      <x:c r="M119" s="62" t="n">
        <x:f>L119+D119*('难度参数'!$E$49+'难度参数'!$E$50)/60</x:f>
        <x:v>3.46</x:v>
      </x:c>
      <x:c r="N119" s="119" t="n">
        <x:f>ROUNDDOWN(('经济参数'!$E$20+A119*'经济参数'!$E$21)*G119,0)</x:f>
        <x:v>2440</x:v>
      </x:c>
      <x:c r="O119" s="119" t="n">
        <x:f>ROUNDDOWN(MIN('经济参数'!$E$24,'经济参数'!$E$22+A119*'经济参数'!$E$23)*G119,0)</x:f>
        <x:v>0</x:v>
      </x:c>
      <x:c r="P119" s="119" t="n">
        <x:f>ROUNDDOWN((IF(A119&gt;='材料与任务'!$E$31,'材料与任务'!$E$32,IF(A119&gt;='材料与任务'!$E$25,'材料与任务'!$E$26,IF(A119&gt;='材料与任务'!$E$19,'材料与任务'!$E$20,IF(A119&gt;='材料与任务'!$E$13,'材料与任务'!$E$14,'材料与任务'!$E$8)))))*G119,0)</x:f>
        <x:v>5</x:v>
      </x:c>
      <x:c r="Q119" s="119" t="n">
        <x:f>ROUNDDOWN((IF(A119&gt;='材料与任务'!$E$31,'材料与任务'!$E$33,IF(A119&gt;='材料与任务'!$E$25,'材料与任务'!$E$27,IF(A119&gt;='材料与任务'!$E$19,'材料与任务'!$E$21,IF(A119&gt;='材料与任务'!$E$13,'材料与任务'!$E$15,'材料与任务'!$E$9)))))*G119,0)</x:f>
        <x:v>2</x:v>
      </x:c>
      <x:c r="R119" s="110" t="n">
        <x:f>'装备掉落'!$B$38</x:f>
        <x:v>0.6872058758851213</x:v>
      </x:c>
      <x:c r="S119" s="119" t="n">
        <x:f>MAX(IF(VLOOKUP(A119,'装备掉落'!$A$29:$H$34,2,TRUE)&gt;0,1,0),IF(VLOOKUP(A119,'装备掉落'!$A$29:$H$34,3,TRUE)&gt;0,2,0),IF(VLOOKUP(A119,'装备掉落'!$A$29:$H$34,4,TRUE)&gt;0,3,0),IF(VLOOKUP(A119,'装备掉落'!$A$29:$H$34,5,TRUE)&gt;0,4,0),IF(VLOOKUP(A119,'装备掉落'!$A$29:$H$34,6,TRUE)&gt;0,5,0),IF(VLOOKUP(A119,'装备掉落'!$A$29:$H$34,7,TRUE)&gt;0,6,0),IF(VLOOKUP(A119,'装备掉落'!$A$29:$H$34,8,TRUE)&gt;0,7,0))</x:f>
        <x:v>7</x:v>
      </x:c>
      <x:c r="T119" s="119" t="n">
        <x:f>MIN(7,S119+'经济参数'!$E$70)</x:f>
        <x:v>7</x:v>
      </x:c>
      <x:c r="U119" s="119" t="n">
        <x:f>MIN(7,S119+'经济参数'!$E$71)</x:f>
        <x:v>7</x:v>
      </x:c>
      <x:c r="V119" s="119" t="n">
        <x:f>IF(H119&gt;=('难度参数'!$E$52),1,0)+IF(H119&gt;=('难度参数'!$E$52+'难度参数'!$E$53),1,0)+IF(H119&gt;=('难度参数'!$E$52+'难度参数'!$E$53+'难度参数'!$E$54),1,0)+IF(H119&gt;=('难度参数'!$E$52+'难度参数'!$E$53+'难度参数'!$E$54+'难度参数'!$E$55),1,0)+IF(H119&gt;=('难度参数'!$E$52+'难度参数'!$E$53+'难度参数'!$E$54+'难度参数'!$E$55+'难度参数'!$E$56),1,0)+IF(H119&gt;=('难度参数'!$E$52+'难度参数'!$E$53+'难度参数'!$E$54+'难度参数'!$E$55+'难度参数'!$E$56+'难度参数'!$E$57),1,0)</x:f>
        <x:v>6</x:v>
      </x:c>
      <x:c r="W119" s="62" t="str">
        <x:f>IF(L119&gt;'难度参数'!$E$51,"仅出怪已超目标","还需实测")</x:f>
        <x:v>还需实测</x:v>
      </x:c>
      <x:c r="X119" s="119" t="n">
        <x:f>IF(1&gt;D119,0,MAX(2,MIN('难度参数'!$E$12,ROUND(('难度参数'!$E$18*POWER(A119,'难度参数'!$E$19)/D119*(0.85+0.3*(1-1)/MAX(1,D119-1))),0)+F119)))</x:f>
        <x:v>21</x:v>
      </x:c>
      <x:c r="Y119" s="119" t="n">
        <x:f>IF(1&gt;D119,0,ROUND(('难度参数'!$E$13*POWER(A119,'难度参数'!$E$20)*MIN('难度参数'!$E$23,1+MAX(0,A119-'难度参数'!$E$21)*'难度参数'!$E$22))*(36+1*7)/(36+7*(D119+1)/2)*E119,0))</x:f>
        <x:v>2584</x:v>
      </x:c>
      <x:c r="Z119" s="119" t="n">
        <x:f>IF(X119=0,0,(X119-IF(1=D119,1,0))*ROUND(Y119*VLOOKUP(INDEX('章节与怪物'!$E$31:$K$37,B119,1),'章节与怪物'!$A$41:$F$44,2,FALSE),0)+IF(1=D119,ROUND(Y119*'难度参数'!$E$28*'章节与怪物'!$E$17,0),0))</x:f>
        <x:v>39060</x:v>
      </x:c>
      <x:c r="AA119" s="119" t="n">
        <x:f>IF(X119=0,0,(X119-IF(1=D119,1,0))*VLOOKUP(INDEX('章节与怪物'!$E$31:$K$37,B119,1),'章节与怪物'!$A$41:$F$44,4,FALSE)+IF(1=D119,'难度参数'!$E$30,0))</x:f>
        <x:v>420</x:v>
      </x:c>
      <x:c r="AB119" s="119" t="n">
        <x:f>IF(2&gt;D119,0,MAX(2,MIN('难度参数'!$E$12,ROUND(('难度参数'!$E$18*POWER(A119,'难度参数'!$E$19)/D119*(0.85+0.3*(2-1)/MAX(1,D119-1))),0)+F119)))</x:f>
        <x:v>22</x:v>
      </x:c>
      <x:c r="AC119" s="119" t="n">
        <x:f>IF(2&gt;D119,0,ROUND(('难度参数'!$E$13*POWER(A119,'难度参数'!$E$20)*MIN('难度参数'!$E$23,1+MAX(0,A119-'难度参数'!$E$21)*'难度参数'!$E$22))*(36+2*7)/(36+7*(D119+1)/2)*E119,0))</x:f>
        <x:v>3005</x:v>
      </x:c>
      <x:c r="AD119" s="119" t="n">
        <x:f>IF(AB119=0,0,(AB119-IF(2=D119,1,0))*ROUND(AC119*VLOOKUP(INDEX('章节与怪物'!$E$31:$K$37,B119,2),'章节与怪物'!$A$41:$F$44,2,FALSE),0)+IF(2=D119,ROUND(AC119*'难度参数'!$E$28*'章节与怪物'!$E$17,0),0))</x:f>
        <x:v>66110</x:v>
      </x:c>
      <x:c r="AE119" s="119" t="n">
        <x:f>IF(AB119=0,0,(AB119-IF(2=D119,1,0))*VLOOKUP(INDEX('章节与怪物'!$E$31:$K$37,B119,2),'章节与怪物'!$A$41:$F$44,4,FALSE)+IF(2=D119,'难度参数'!$E$30,0))</x:f>
        <x:v>396</x:v>
      </x:c>
      <x:c r="AF119" s="119" t="n">
        <x:f>IF(3&gt;D119,0,MAX(2,MIN('难度参数'!$E$12,ROUND(('难度参数'!$E$18*POWER(A119,'难度参数'!$E$19)/D119*(0.85+0.3*(3-1)/MAX(1,D119-1))),0)+F119)))</x:f>
        <x:v>23</x:v>
      </x:c>
      <x:c r="AG119" s="119" t="n">
        <x:f>IF(3&gt;D119,0,ROUND(('难度参数'!$E$13*POWER(A119,'难度参数'!$E$20)*MIN('难度参数'!$E$23,1+MAX(0,A119-'难度参数'!$E$21)*'难度参数'!$E$22))*(36+3*7)/(36+7*(D119+1)/2)*E119,0))</x:f>
        <x:v>3426</x:v>
      </x:c>
      <x:c r="AH119" s="119" t="n">
        <x:f>IF(AF119=0,0,(AF119-IF(3=D119,1,0))*ROUND(AG119*VLOOKUP(INDEX('章节与怪物'!$E$31:$K$37,B119,3),'章节与怪物'!$A$41:$F$44,2,FALSE),0)+IF(3=D119,ROUND(AG119*'难度参数'!$E$28*'章节与怪物'!$E$17,0),0))</x:f>
        <x:v>133952</x:v>
      </x:c>
      <x:c r="AI119" s="119" t="n">
        <x:f>IF(AF119=0,0,(AF119-IF(3=D119,1,0))*VLOOKUP(INDEX('章节与怪物'!$E$31:$K$37,B119,3),'章节与怪物'!$A$41:$F$44,4,FALSE)+IF(3=D119,'难度参数'!$E$30,0))</x:f>
        <x:v>644</x:v>
      </x:c>
      <x:c r="AJ119" s="119" t="n">
        <x:f>IF(4&gt;D119,0,MAX(2,MIN('难度参数'!$E$12,ROUND(('难度参数'!$E$18*POWER(A119,'难度参数'!$E$19)/D119*(0.85+0.3*(4-1)/MAX(1,D119-1))),0)+F119)))</x:f>
        <x:v>25</x:v>
      </x:c>
      <x:c r="AK119" s="119" t="n">
        <x:f>IF(4&gt;D119,0,ROUND(('难度参数'!$E$13*POWER(A119,'难度参数'!$E$20)*MIN('难度参数'!$E$23,1+MAX(0,A119-'难度参数'!$E$21)*'难度参数'!$E$22))*(36+4*7)/(36+7*(D119+1)/2)*E119,0))</x:f>
        <x:v>3847</x:v>
      </x:c>
      <x:c r="AL119" s="119" t="n">
        <x:f>IF(AJ119=0,0,(AJ119-IF(4=D119,1,0))*ROUND(AK119*VLOOKUP(INDEX('章节与怪物'!$E$31:$K$37,B119,4),'章节与怪物'!$A$41:$F$44,2,FALSE),0)+IF(4=D119,ROUND(AK119*'难度参数'!$E$28*'章节与怪物'!$E$17,0),0))</x:f>
        <x:v>129825</x:v>
      </x:c>
      <x:c r="AM119" s="119" t="n">
        <x:f>IF(AJ119=0,0,(AJ119-IF(4=D119,1,0))*VLOOKUP(INDEX('章节与怪物'!$E$31:$K$37,B119,4),'章节与怪物'!$A$41:$F$44,4,FALSE)+IF(4=D119,'难度参数'!$E$30,0))</x:f>
        <x:v>850</x:v>
      </x:c>
      <x:c r="AN119" s="119" t="n">
        <x:f>IF(5&gt;D119,0,MAX(2,MIN('难度参数'!$E$12,ROUND(('难度参数'!$E$18*POWER(A119,'难度参数'!$E$19)/D119*(0.85+0.3*(5-1)/MAX(1,D119-1))),0)+F119)))</x:f>
        <x:v>26</x:v>
      </x:c>
      <x:c r="AO119" s="119" t="n">
        <x:f>IF(5&gt;D119,0,ROUND(('难度参数'!$E$13*POWER(A119,'难度参数'!$E$20)*MIN('难度参数'!$E$23,1+MAX(0,A119-'难度参数'!$E$21)*'难度参数'!$E$22))*(36+5*7)/(36+7*(D119+1)/2)*E119,0))</x:f>
        <x:v>4267</x:v>
      </x:c>
      <x:c r="AP119" s="119" t="n">
        <x:f>IF(AN119=0,0,(AN119-IF(5=D119,1,0))*ROUND(AO119*VLOOKUP(INDEX('章节与怪物'!$E$31:$K$37,B119,5),'章节与怪物'!$A$41:$F$44,2,FALSE),0)+IF(5=D119,ROUND(AO119*'难度参数'!$E$28*'章节与怪物'!$E$17,0),0))</x:f>
        <x:v>110942</x:v>
      </x:c>
      <x:c r="AQ119" s="119" t="n">
        <x:f>IF(AN119=0,0,(AN119-IF(5=D119,1,0))*VLOOKUP(INDEX('章节与怪物'!$E$31:$K$37,B119,5),'章节与怪物'!$A$41:$F$44,4,FALSE)+IF(5=D119,'难度参数'!$E$30,0))</x:f>
        <x:v>468</x:v>
      </x:c>
      <x:c r="AR119" s="119" t="n">
        <x:f>IF(6&gt;D119,0,MAX(2,MIN('难度参数'!$E$12,ROUND(('难度参数'!$E$18*POWER(A119,'难度参数'!$E$19)/D119*(0.85+0.3*(6-1)/MAX(1,D119-1))),0)+F119)))</x:f>
        <x:v>27</x:v>
      </x:c>
      <x:c r="AS119" s="119" t="n">
        <x:f>IF(6&gt;D119,0,ROUND(('难度参数'!$E$13*POWER(A119,'难度参数'!$E$20)*MIN('难度参数'!$E$23,1+MAX(0,A119-'难度参数'!$E$21)*'难度参数'!$E$22))*(36+6*7)/(36+7*(D119+1)/2)*E119,0))</x:f>
        <x:v>4688</x:v>
      </x:c>
      <x:c r="AT119" s="119" t="n">
        <x:f>IF(AR119=0,0,(AR119-IF(6=D119,1,0))*ROUND(AS119*VLOOKUP(INDEX('章节与怪物'!$E$31:$K$37,B119,6),'章节与怪物'!$A$41:$F$44,2,FALSE),0)+IF(6=D119,ROUND(AS119*'难度参数'!$E$28*'章节与怪物'!$E$17,0),0))</x:f>
        <x:v>215190</x:v>
      </x:c>
      <x:c r="AU119" s="119" t="n">
        <x:f>IF(AR119=0,0,(AR119-IF(6=D119,1,0))*VLOOKUP(INDEX('章节与怪物'!$E$31:$K$37,B119,6),'章节与怪物'!$A$41:$F$44,4,FALSE)+IF(6=D119,'难度参数'!$E$30,0))</x:f>
        <x:v>756</x:v>
      </x:c>
      <x:c r="AV119" s="119" t="n">
        <x:f>IF(7&gt;D119,0,MAX(2,MIN('难度参数'!$E$12,ROUND(('难度参数'!$E$18*POWER(A119,'难度参数'!$E$19)/D119*(0.85+0.3*(7-1)/MAX(1,D119-1))),0)+F119)))</x:f>
        <x:v>28</x:v>
      </x:c>
      <x:c r="AW119" s="119" t="n">
        <x:f>IF(7&gt;D119,0,ROUND(('难度参数'!$E$13*POWER(A119,'难度参数'!$E$20)*MIN('难度参数'!$E$23,1+MAX(0,A119-'难度参数'!$E$21)*'难度参数'!$E$22))*(36+7*7)/(36+7*(D119+1)/2)*E119,0))</x:f>
        <x:v>5109</x:v>
      </x:c>
      <x:c r="AX119" s="119" t="n">
        <x:f>IF(AV119=0,0,(AV119-IF(7=D119,1,0))*ROUND(AW119*VLOOKUP(INDEX('章节与怪物'!$E$31:$K$37,B119,7),'章节与怪物'!$A$41:$F$44,2,FALSE),0)+IF(7=D119,ROUND(AW119*'难度参数'!$E$28*'章节与怪物'!$E$17,0),0))</x:f>
        <x:v>220960</x:v>
      </x:c>
      <x:c r="AY119" s="119" t="n">
        <x:f>IF(AV119=0,0,(AV119-IF(7=D119,1,0))*VLOOKUP(INDEX('章节与怪物'!$E$31:$K$37,B119,7),'章节与怪物'!$A$41:$F$44,4,FALSE)+IF(7=D119,'难度参数'!$E$30,0))</x:f>
        <x:v>1118</x:v>
      </x:c>
    </x:row>
    <x:row r="120" ht="23" customHeight="1">
      <x:c r="A120" s="119" t="n">
        <x:v>114</x:v>
      </x:c>
      <x:c r="B120" s="119" t="n">
        <x:f>MOD(INT((A120-1)/5),7)+1</x:f>
        <x:v>2</x:v>
      </x:c>
      <x:c r="C120" s="62" t="str">
        <x:f>INDEX('章节与怪物'!$B$31:$B$37,B120)</x:f>
        <x:v>黄沙要塞</x:v>
      </x:c>
      <x:c r="D120" s="119" t="n">
        <x:f>MIN('难度参数'!$E$8,MAX('难度参数'!$E$7,A120))</x:f>
        <x:v>7</x:v>
      </x:c>
      <x:c r="E120" s="106" t="n">
        <x:v>1</x:v>
      </x:c>
      <x:c r="F120" s="106" t="n">
        <x:v>0</x:v>
      </x:c>
      <x:c r="G120" s="106" t="n">
        <x:v>1</x:v>
      </x:c>
      <x:c r="H120" s="119" t="n">
        <x:f>SUM(X120,AB120,AF120,AJ120,AN120,AR120,AV120)</x:f>
        <x:v>172</x:v>
      </x:c>
      <x:c r="I120" s="119" t="n">
        <x:f>SUM(Z120,AD120,AH120,AL120,AP120,AT120,AX120)</x:f>
        <x:v>924036</x:v>
      </x:c>
      <x:c r="J120" s="119" t="n">
        <x:f>ROUND(INDEX(X120:AY120,1,(D120-1)*4+2)*'难度参数'!$E$28*'章节与怪物'!$E$17,0)</x:f>
        <x:v>35040</x:v>
      </x:c>
      <x:c r="K120" s="119" t="n">
        <x:f>SUM(AA120,AE120,AI120,AM120,AQ120,AU120,AY120)</x:f>
        <x:v>4652</x:v>
      </x:c>
      <x:c r="L120" s="62" t="n">
        <x:f>H120*(ROUNDUP('难度参数'!$E$24/('难度参数'!$E$26*'难度参数'!$E$27),0)*'难度参数'!$E$26)/60</x:f>
        <x:v>2.2933333333333334</x:v>
      </x:c>
      <x:c r="M120" s="62" t="n">
        <x:f>L120+D120*('难度参数'!$E$49+'难度参数'!$E$50)/60</x:f>
        <x:v>3.46</x:v>
      </x:c>
      <x:c r="N120" s="119" t="n">
        <x:f>ROUNDDOWN(('经济参数'!$E$20+A120*'经济参数'!$E$21)*G120,0)</x:f>
        <x:v>2460</x:v>
      </x:c>
      <x:c r="O120" s="119" t="n">
        <x:f>ROUNDDOWN(MIN('经济参数'!$E$24,'经济参数'!$E$22+A120*'经济参数'!$E$23)*G120,0)</x:f>
        <x:v>0</x:v>
      </x:c>
      <x:c r="P120" s="119" t="n">
        <x:f>ROUNDDOWN((IF(A120&gt;='材料与任务'!$E$31,'材料与任务'!$E$32,IF(A120&gt;='材料与任务'!$E$25,'材料与任务'!$E$26,IF(A120&gt;='材料与任务'!$E$19,'材料与任务'!$E$20,IF(A120&gt;='材料与任务'!$E$13,'材料与任务'!$E$14,'材料与任务'!$E$8)))))*G120,0)</x:f>
        <x:v>5</x:v>
      </x:c>
      <x:c r="Q120" s="119" t="n">
        <x:f>ROUNDDOWN((IF(A120&gt;='材料与任务'!$E$31,'材料与任务'!$E$33,IF(A120&gt;='材料与任务'!$E$25,'材料与任务'!$E$27,IF(A120&gt;='材料与任务'!$E$19,'材料与任务'!$E$21,IF(A120&gt;='材料与任务'!$E$13,'材料与任务'!$E$15,'材料与任务'!$E$9)))))*G120,0)</x:f>
        <x:v>2</x:v>
      </x:c>
      <x:c r="R120" s="110" t="n">
        <x:f>'装备掉落'!$B$38</x:f>
        <x:v>0.6872058758851213</x:v>
      </x:c>
      <x:c r="S120" s="119" t="n">
        <x:f>MAX(IF(VLOOKUP(A120,'装备掉落'!$A$29:$H$34,2,TRUE)&gt;0,1,0),IF(VLOOKUP(A120,'装备掉落'!$A$29:$H$34,3,TRUE)&gt;0,2,0),IF(VLOOKUP(A120,'装备掉落'!$A$29:$H$34,4,TRUE)&gt;0,3,0),IF(VLOOKUP(A120,'装备掉落'!$A$29:$H$34,5,TRUE)&gt;0,4,0),IF(VLOOKUP(A120,'装备掉落'!$A$29:$H$34,6,TRUE)&gt;0,5,0),IF(VLOOKUP(A120,'装备掉落'!$A$29:$H$34,7,TRUE)&gt;0,6,0),IF(VLOOKUP(A120,'装备掉落'!$A$29:$H$34,8,TRUE)&gt;0,7,0))</x:f>
        <x:v>7</x:v>
      </x:c>
      <x:c r="T120" s="119" t="n">
        <x:f>MIN(7,S120+'经济参数'!$E$70)</x:f>
        <x:v>7</x:v>
      </x:c>
      <x:c r="U120" s="119" t="n">
        <x:f>MIN(7,S120+'经济参数'!$E$71)</x:f>
        <x:v>7</x:v>
      </x:c>
      <x:c r="V120" s="119" t="n">
        <x:f>IF(H120&gt;=('难度参数'!$E$52),1,0)+IF(H120&gt;=('难度参数'!$E$52+'难度参数'!$E$53),1,0)+IF(H120&gt;=('难度参数'!$E$52+'难度参数'!$E$53+'难度参数'!$E$54),1,0)+IF(H120&gt;=('难度参数'!$E$52+'难度参数'!$E$53+'难度参数'!$E$54+'难度参数'!$E$55),1,0)+IF(H120&gt;=('难度参数'!$E$52+'难度参数'!$E$53+'难度参数'!$E$54+'难度参数'!$E$55+'难度参数'!$E$56),1,0)+IF(H120&gt;=('难度参数'!$E$52+'难度参数'!$E$53+'难度参数'!$E$54+'难度参数'!$E$55+'难度参数'!$E$56+'难度参数'!$E$57),1,0)</x:f>
        <x:v>6</x:v>
      </x:c>
      <x:c r="W120" s="62" t="str">
        <x:f>IF(L120&gt;'难度参数'!$E$51,"仅出怪已超目标","还需实测")</x:f>
        <x:v>还需实测</x:v>
      </x:c>
      <x:c r="X120" s="119" t="n">
        <x:f>IF(1&gt;D120,0,MAX(2,MIN('难度参数'!$E$12,ROUND(('难度参数'!$E$18*POWER(A120,'难度参数'!$E$19)/D120*(0.85+0.3*(1-1)/MAX(1,D120-1))),0)+F120)))</x:f>
        <x:v>21</x:v>
      </x:c>
      <x:c r="Y120" s="119" t="n">
        <x:f>IF(1&gt;D120,0,ROUND(('难度参数'!$E$13*POWER(A120,'难度参数'!$E$20)*MIN('难度参数'!$E$23,1+MAX(0,A120-'难度参数'!$E$21)*'难度参数'!$E$22))*(36+1*7)/(36+7*(D120+1)/2)*E120,0))</x:f>
        <x:v>2607</x:v>
      </x:c>
      <x:c r="Z120" s="119" t="n">
        <x:f>IF(X120=0,0,(X120-IF(1=D120,1,0))*ROUND(Y120*VLOOKUP(INDEX('章节与怪物'!$E$31:$K$37,B120,1),'章节与怪物'!$A$41:$F$44,2,FALSE),0)+IF(1=D120,ROUND(Y120*'难度参数'!$E$28*'章节与怪物'!$E$17,0),0))</x:f>
        <x:v>39417</x:v>
      </x:c>
      <x:c r="AA120" s="119" t="n">
        <x:f>IF(X120=0,0,(X120-IF(1=D120,1,0))*VLOOKUP(INDEX('章节与怪物'!$E$31:$K$37,B120,1),'章节与怪物'!$A$41:$F$44,4,FALSE)+IF(1=D120,'难度参数'!$E$30,0))</x:f>
        <x:v>420</x:v>
      </x:c>
      <x:c r="AB120" s="119" t="n">
        <x:f>IF(2&gt;D120,0,MAX(2,MIN('难度参数'!$E$12,ROUND(('难度参数'!$E$18*POWER(A120,'难度参数'!$E$19)/D120*(0.85+0.3*(2-1)/MAX(1,D120-1))),0)+F120)))</x:f>
        <x:v>22</x:v>
      </x:c>
      <x:c r="AC120" s="119" t="n">
        <x:f>IF(2&gt;D120,0,ROUND(('难度参数'!$E$13*POWER(A120,'难度参数'!$E$20)*MIN('难度参数'!$E$23,1+MAX(0,A120-'难度参数'!$E$21)*'难度参数'!$E$22))*(36+2*7)/(36+7*(D120+1)/2)*E120,0))</x:f>
        <x:v>3031</x:v>
      </x:c>
      <x:c r="AD120" s="119" t="n">
        <x:f>IF(AB120=0,0,(AB120-IF(2=D120,1,0))*ROUND(AC120*VLOOKUP(INDEX('章节与怪物'!$E$31:$K$37,B120,2),'章节与怪物'!$A$41:$F$44,2,FALSE),0)+IF(2=D120,ROUND(AC120*'难度参数'!$E$28*'章节与怪物'!$E$17,0),0))</x:f>
        <x:v>66682</x:v>
      </x:c>
      <x:c r="AE120" s="119" t="n">
        <x:f>IF(AB120=0,0,(AB120-IF(2=D120,1,0))*VLOOKUP(INDEX('章节与怪物'!$E$31:$K$37,B120,2),'章节与怪物'!$A$41:$F$44,4,FALSE)+IF(2=D120,'难度参数'!$E$30,0))</x:f>
        <x:v>396</x:v>
      </x:c>
      <x:c r="AF120" s="119" t="n">
        <x:f>IF(3&gt;D120,0,MAX(2,MIN('难度参数'!$E$12,ROUND(('难度参数'!$E$18*POWER(A120,'难度参数'!$E$19)/D120*(0.85+0.3*(3-1)/MAX(1,D120-1))),0)+F120)))</x:f>
        <x:v>23</x:v>
      </x:c>
      <x:c r="AG120" s="119" t="n">
        <x:f>IF(3&gt;D120,0,ROUND(('难度参数'!$E$13*POWER(A120,'难度参数'!$E$20)*MIN('难度参数'!$E$23,1+MAX(0,A120-'难度参数'!$E$21)*'难度参数'!$E$22))*(36+3*7)/(36+7*(D120+1)/2)*E120,0))</x:f>
        <x:v>3456</x:v>
      </x:c>
      <x:c r="AH120" s="119" t="n">
        <x:f>IF(AF120=0,0,(AF120-IF(3=D120,1,0))*ROUND(AG120*VLOOKUP(INDEX('章节与怪物'!$E$31:$K$37,B120,3),'章节与怪物'!$A$41:$F$44,2,FALSE),0)+IF(3=D120,ROUND(AG120*'难度参数'!$E$28*'章节与怪物'!$E$17,0),0))</x:f>
        <x:v>135125</x:v>
      </x:c>
      <x:c r="AI120" s="119" t="n">
        <x:f>IF(AF120=0,0,(AF120-IF(3=D120,1,0))*VLOOKUP(INDEX('章节与怪物'!$E$31:$K$37,B120,3),'章节与怪物'!$A$41:$F$44,4,FALSE)+IF(3=D120,'难度参数'!$E$30,0))</x:f>
        <x:v>644</x:v>
      </x:c>
      <x:c r="AJ120" s="119" t="n">
        <x:f>IF(4&gt;D120,0,MAX(2,MIN('难度参数'!$E$12,ROUND(('难度参数'!$E$18*POWER(A120,'难度参数'!$E$19)/D120*(0.85+0.3*(4-1)/MAX(1,D120-1))),0)+F120)))</x:f>
        <x:v>25</x:v>
      </x:c>
      <x:c r="AK120" s="119" t="n">
        <x:f>IF(4&gt;D120,0,ROUND(('难度参数'!$E$13*POWER(A120,'难度参数'!$E$20)*MIN('难度参数'!$E$23,1+MAX(0,A120-'难度参数'!$E$21)*'难度参数'!$E$22))*(36+4*7)/(36+7*(D120+1)/2)*E120,0))</x:f>
        <x:v>3880</x:v>
      </x:c>
      <x:c r="AL120" s="119" t="n">
        <x:f>IF(AJ120=0,0,(AJ120-IF(4=D120,1,0))*ROUND(AK120*VLOOKUP(INDEX('章节与怪物'!$E$31:$K$37,B120,4),'章节与怪物'!$A$41:$F$44,2,FALSE),0)+IF(4=D120,ROUND(AK120*'难度参数'!$E$28*'章节与怪物'!$E$17,0),0))</x:f>
        <x:v>130950</x:v>
      </x:c>
      <x:c r="AM120" s="119" t="n">
        <x:f>IF(AJ120=0,0,(AJ120-IF(4=D120,1,0))*VLOOKUP(INDEX('章节与怪物'!$E$31:$K$37,B120,4),'章节与怪物'!$A$41:$F$44,4,FALSE)+IF(4=D120,'难度参数'!$E$30,0))</x:f>
        <x:v>850</x:v>
      </x:c>
      <x:c r="AN120" s="119" t="n">
        <x:f>IF(5&gt;D120,0,MAX(2,MIN('难度参数'!$E$12,ROUND(('难度参数'!$E$18*POWER(A120,'难度参数'!$E$19)/D120*(0.85+0.3*(5-1)/MAX(1,D120-1))),0)+F120)))</x:f>
        <x:v>26</x:v>
      </x:c>
      <x:c r="AO120" s="119" t="n">
        <x:f>IF(5&gt;D120,0,ROUND(('难度参数'!$E$13*POWER(A120,'难度参数'!$E$20)*MIN('难度参数'!$E$23,1+MAX(0,A120-'难度参数'!$E$21)*'难度参数'!$E$22))*(36+5*7)/(36+7*(D120+1)/2)*E120,0))</x:f>
        <x:v>4305</x:v>
      </x:c>
      <x:c r="AP120" s="119" t="n">
        <x:f>IF(AN120=0,0,(AN120-IF(5=D120,1,0))*ROUND(AO120*VLOOKUP(INDEX('章节与怪物'!$E$31:$K$37,B120,5),'章节与怪物'!$A$41:$F$44,2,FALSE),0)+IF(5=D120,ROUND(AO120*'难度参数'!$E$28*'章节与怪物'!$E$17,0),0))</x:f>
        <x:v>111930</x:v>
      </x:c>
      <x:c r="AQ120" s="119" t="n">
        <x:f>IF(AN120=0,0,(AN120-IF(5=D120,1,0))*VLOOKUP(INDEX('章节与怪物'!$E$31:$K$37,B120,5),'章节与怪物'!$A$41:$F$44,4,FALSE)+IF(5=D120,'难度参数'!$E$30,0))</x:f>
        <x:v>468</x:v>
      </x:c>
      <x:c r="AR120" s="119" t="n">
        <x:f>IF(6&gt;D120,0,MAX(2,MIN('难度参数'!$E$12,ROUND(('难度参数'!$E$18*POWER(A120,'难度参数'!$E$19)/D120*(0.85+0.3*(6-1)/MAX(1,D120-1))),0)+F120)))</x:f>
        <x:v>27</x:v>
      </x:c>
      <x:c r="AS120" s="119" t="n">
        <x:f>IF(6&gt;D120,0,ROUND(('难度参数'!$E$13*POWER(A120,'难度参数'!$E$20)*MIN('难度参数'!$E$23,1+MAX(0,A120-'难度参数'!$E$21)*'难度参数'!$E$22))*(36+6*7)/(36+7*(D120+1)/2)*E120,0))</x:f>
        <x:v>4729</x:v>
      </x:c>
      <x:c r="AT120" s="119" t="n">
        <x:f>IF(AR120=0,0,(AR120-IF(6=D120,1,0))*ROUND(AS120*VLOOKUP(INDEX('章节与怪物'!$E$31:$K$37,B120,6),'章节与怪物'!$A$41:$F$44,2,FALSE),0)+IF(6=D120,ROUND(AS120*'难度参数'!$E$28*'章节与怪物'!$E$17,0),0))</x:f>
        <x:v>217053</x:v>
      </x:c>
      <x:c r="AU120" s="119" t="n">
        <x:f>IF(AR120=0,0,(AR120-IF(6=D120,1,0))*VLOOKUP(INDEX('章节与怪物'!$E$31:$K$37,B120,6),'章节与怪物'!$A$41:$F$44,4,FALSE)+IF(6=D120,'难度参数'!$E$30,0))</x:f>
        <x:v>756</x:v>
      </x:c>
      <x:c r="AV120" s="119" t="n">
        <x:f>IF(7&gt;D120,0,MAX(2,MIN('难度参数'!$E$12,ROUND(('难度参数'!$E$18*POWER(A120,'难度参数'!$E$19)/D120*(0.85+0.3*(7-1)/MAX(1,D120-1))),0)+F120)))</x:f>
        <x:v>28</x:v>
      </x:c>
      <x:c r="AW120" s="119" t="n">
        <x:f>IF(7&gt;D120,0,ROUND(('难度参数'!$E$13*POWER(A120,'难度参数'!$E$20)*MIN('难度参数'!$E$23,1+MAX(0,A120-'难度参数'!$E$21)*'难度参数'!$E$22))*(36+7*7)/(36+7*(D120+1)/2)*E120,0))</x:f>
        <x:v>5153</x:v>
      </x:c>
      <x:c r="AX120" s="119" t="n">
        <x:f>IF(AV120=0,0,(AV120-IF(7=D120,1,0))*ROUND(AW120*VLOOKUP(INDEX('章节与怪物'!$E$31:$K$37,B120,7),'章节与怪物'!$A$41:$F$44,2,FALSE),0)+IF(7=D120,ROUND(AW120*'难度参数'!$E$28*'章节与怪物'!$E$17,0),0))</x:f>
        <x:v>222879</x:v>
      </x:c>
      <x:c r="AY120" s="119" t="n">
        <x:f>IF(AV120=0,0,(AV120-IF(7=D120,1,0))*VLOOKUP(INDEX('章节与怪物'!$E$31:$K$37,B120,7),'章节与怪物'!$A$41:$F$44,4,FALSE)+IF(7=D120,'难度参数'!$E$30,0))</x:f>
        <x:v>1118</x:v>
      </x:c>
    </x:row>
    <x:row r="121" ht="23" customHeight="1">
      <x:c r="A121" s="119" t="n">
        <x:v>115</x:v>
      </x:c>
      <x:c r="B121" s="119" t="n">
        <x:f>MOD(INT((A121-1)/5),7)+1</x:f>
        <x:v>2</x:v>
      </x:c>
      <x:c r="C121" s="62" t="str">
        <x:f>INDEX('章节与怪物'!$B$31:$B$37,B121)</x:f>
        <x:v>黄沙要塞</x:v>
      </x:c>
      <x:c r="D121" s="119" t="n">
        <x:f>MIN('难度参数'!$E$8,MAX('难度参数'!$E$7,A121))</x:f>
        <x:v>7</x:v>
      </x:c>
      <x:c r="E121" s="106" t="n">
        <x:v>1</x:v>
      </x:c>
      <x:c r="F121" s="106" t="n">
        <x:v>0</x:v>
      </x:c>
      <x:c r="G121" s="106" t="n">
        <x:v>1</x:v>
      </x:c>
      <x:c r="H121" s="119" t="n">
        <x:f>SUM(X121,AB121,AF121,AJ121,AN121,AR121,AV121)</x:f>
        <x:v>174</x:v>
      </x:c>
      <x:c r="I121" s="119" t="n">
        <x:f>SUM(Z121,AD121,AH121,AL121,AP121,AT121,AX121)</x:f>
        <x:v>945031</x:v>
      </x:c>
      <x:c r="J121" s="119" t="n">
        <x:f>ROUND(INDEX(X121:AY121,1,(D121-1)*4+2)*'难度参数'!$E$28*'章节与怪物'!$E$17,0)</x:f>
        <x:v>35346</x:v>
      </x:c>
      <x:c r="K121" s="119" t="n">
        <x:f>SUM(AA121,AE121,AI121,AM121,AQ121,AU121,AY121)</x:f>
        <x:v>4714</x:v>
      </x:c>
      <x:c r="L121" s="62" t="n">
        <x:f>H121*(ROUNDUP('难度参数'!$E$24/('难度参数'!$E$26*'难度参数'!$E$27),0)*'难度参数'!$E$26)/60</x:f>
        <x:v>2.3200000000000003</x:v>
      </x:c>
      <x:c r="M121" s="62" t="n">
        <x:f>L121+D121*('难度参数'!$E$49+'难度参数'!$E$50)/60</x:f>
        <x:v>3.4866666666666672</x:v>
      </x:c>
      <x:c r="N121" s="119" t="n">
        <x:f>ROUNDDOWN(('经济参数'!$E$20+A121*'经济参数'!$E$21)*G121,0)</x:f>
        <x:v>2480</x:v>
      </x:c>
      <x:c r="O121" s="119" t="n">
        <x:f>ROUNDDOWN(MIN('经济参数'!$E$24,'经济参数'!$E$22+A121*'经济参数'!$E$23)*G121,0)</x:f>
        <x:v>0</x:v>
      </x:c>
      <x:c r="P121" s="119" t="n">
        <x:f>ROUNDDOWN((IF(A121&gt;='材料与任务'!$E$31,'材料与任务'!$E$32,IF(A121&gt;='材料与任务'!$E$25,'材料与任务'!$E$26,IF(A121&gt;='材料与任务'!$E$19,'材料与任务'!$E$20,IF(A121&gt;='材料与任务'!$E$13,'材料与任务'!$E$14,'材料与任务'!$E$8)))))*G121,0)</x:f>
        <x:v>5</x:v>
      </x:c>
      <x:c r="Q121" s="119" t="n">
        <x:f>ROUNDDOWN((IF(A121&gt;='材料与任务'!$E$31,'材料与任务'!$E$33,IF(A121&gt;='材料与任务'!$E$25,'材料与任务'!$E$27,IF(A121&gt;='材料与任务'!$E$19,'材料与任务'!$E$21,IF(A121&gt;='材料与任务'!$E$13,'材料与任务'!$E$15,'材料与任务'!$E$9)))))*G121,0)</x:f>
        <x:v>2</x:v>
      </x:c>
      <x:c r="R121" s="110" t="n">
        <x:f>'装备掉落'!$B$38</x:f>
        <x:v>0.6872058758851213</x:v>
      </x:c>
      <x:c r="S121" s="119" t="n">
        <x:f>MAX(IF(VLOOKUP(A121,'装备掉落'!$A$29:$H$34,2,TRUE)&gt;0,1,0),IF(VLOOKUP(A121,'装备掉落'!$A$29:$H$34,3,TRUE)&gt;0,2,0),IF(VLOOKUP(A121,'装备掉落'!$A$29:$H$34,4,TRUE)&gt;0,3,0),IF(VLOOKUP(A121,'装备掉落'!$A$29:$H$34,5,TRUE)&gt;0,4,0),IF(VLOOKUP(A121,'装备掉落'!$A$29:$H$34,6,TRUE)&gt;0,5,0),IF(VLOOKUP(A121,'装备掉落'!$A$29:$H$34,7,TRUE)&gt;0,6,0),IF(VLOOKUP(A121,'装备掉落'!$A$29:$H$34,8,TRUE)&gt;0,7,0))</x:f>
        <x:v>7</x:v>
      </x:c>
      <x:c r="T121" s="119" t="n">
        <x:f>MIN(7,S121+'经济参数'!$E$70)</x:f>
        <x:v>7</x:v>
      </x:c>
      <x:c r="U121" s="119" t="n">
        <x:f>MIN(7,S121+'经济参数'!$E$71)</x:f>
        <x:v>7</x:v>
      </x:c>
      <x:c r="V121" s="119" t="n">
        <x:f>IF(H121&gt;=('难度参数'!$E$52),1,0)+IF(H121&gt;=('难度参数'!$E$52+'难度参数'!$E$53),1,0)+IF(H121&gt;=('难度参数'!$E$52+'难度参数'!$E$53+'难度参数'!$E$54),1,0)+IF(H121&gt;=('难度参数'!$E$52+'难度参数'!$E$53+'难度参数'!$E$54+'难度参数'!$E$55),1,0)+IF(H121&gt;=('难度参数'!$E$52+'难度参数'!$E$53+'难度参数'!$E$54+'难度参数'!$E$55+'难度参数'!$E$56),1,0)+IF(H121&gt;=('难度参数'!$E$52+'难度参数'!$E$53+'难度参数'!$E$54+'难度参数'!$E$55+'难度参数'!$E$56+'难度参数'!$E$57),1,0)</x:f>
        <x:v>6</x:v>
      </x:c>
      <x:c r="W121" s="62" t="str">
        <x:f>IF(L121&gt;'难度参数'!$E$51,"仅出怪已超目标","还需实测")</x:f>
        <x:v>还需实测</x:v>
      </x:c>
      <x:c r="X121" s="119" t="n">
        <x:f>IF(1&gt;D121,0,MAX(2,MIN('难度参数'!$E$12,ROUND(('难度参数'!$E$18*POWER(A121,'难度参数'!$E$19)/D121*(0.85+0.3*(1-1)/MAX(1,D121-1))),0)+F121)))</x:f>
        <x:v>21</x:v>
      </x:c>
      <x:c r="Y121" s="119" t="n">
        <x:f>IF(1&gt;D121,0,ROUND(('难度参数'!$E$13*POWER(A121,'难度参数'!$E$20)*MIN('难度参数'!$E$23,1+MAX(0,A121-'难度参数'!$E$21)*'难度参数'!$E$22))*(36+1*7)/(36+7*(D121+1)/2)*E121,0))</x:f>
        <x:v>2630</x:v>
      </x:c>
      <x:c r="Z121" s="119" t="n">
        <x:f>IF(X121=0,0,(X121-IF(1=D121,1,0))*ROUND(Y121*VLOOKUP(INDEX('章节与怪物'!$E$31:$K$37,B121,1),'章节与怪物'!$A$41:$F$44,2,FALSE),0)+IF(1=D121,ROUND(Y121*'难度参数'!$E$28*'章节与怪物'!$E$17,0),0))</x:f>
        <x:v>39774</x:v>
      </x:c>
      <x:c r="AA121" s="119" t="n">
        <x:f>IF(X121=0,0,(X121-IF(1=D121,1,0))*VLOOKUP(INDEX('章节与怪物'!$E$31:$K$37,B121,1),'章节与怪物'!$A$41:$F$44,4,FALSE)+IF(1=D121,'难度参数'!$E$30,0))</x:f>
        <x:v>420</x:v>
      </x:c>
      <x:c r="AB121" s="119" t="n">
        <x:f>IF(2&gt;D121,0,MAX(2,MIN('难度参数'!$E$12,ROUND(('难度参数'!$E$18*POWER(A121,'难度参数'!$E$19)/D121*(0.85+0.3*(2-1)/MAX(1,D121-1))),0)+F121)))</x:f>
        <x:v>22</x:v>
      </x:c>
      <x:c r="AC121" s="119" t="n">
        <x:f>IF(2&gt;D121,0,ROUND(('难度参数'!$E$13*POWER(A121,'难度参数'!$E$20)*MIN('难度参数'!$E$23,1+MAX(0,A121-'难度参数'!$E$21)*'难度参数'!$E$22))*(36+2*7)/(36+7*(D121+1)/2)*E121,0))</x:f>
        <x:v>3058</x:v>
      </x:c>
      <x:c r="AD121" s="119" t="n">
        <x:f>IF(AB121=0,0,(AB121-IF(2=D121,1,0))*ROUND(AC121*VLOOKUP(INDEX('章节与怪物'!$E$31:$K$37,B121,2),'章节与怪物'!$A$41:$F$44,2,FALSE),0)+IF(2=D121,ROUND(AC121*'难度参数'!$E$28*'章节与怪物'!$E$17,0),0))</x:f>
        <x:v>67276</x:v>
      </x:c>
      <x:c r="AE121" s="119" t="n">
        <x:f>IF(AB121=0,0,(AB121-IF(2=D121,1,0))*VLOOKUP(INDEX('章节与怪物'!$E$31:$K$37,B121,2),'章节与怪物'!$A$41:$F$44,4,FALSE)+IF(2=D121,'难度参数'!$E$30,0))</x:f>
        <x:v>396</x:v>
      </x:c>
      <x:c r="AF121" s="119" t="n">
        <x:f>IF(3&gt;D121,0,MAX(2,MIN('难度参数'!$E$12,ROUND(('难度参数'!$E$18*POWER(A121,'难度参数'!$E$19)/D121*(0.85+0.3*(3-1)/MAX(1,D121-1))),0)+F121)))</x:f>
        <x:v>24</x:v>
      </x:c>
      <x:c r="AG121" s="119" t="n">
        <x:f>IF(3&gt;D121,0,ROUND(('难度参数'!$E$13*POWER(A121,'难度参数'!$E$20)*MIN('难度参数'!$E$23,1+MAX(0,A121-'难度参数'!$E$21)*'难度参数'!$E$22))*(36+3*7)/(36+7*(D121+1)/2)*E121,0))</x:f>
        <x:v>3486</x:v>
      </x:c>
      <x:c r="AH121" s="119" t="n">
        <x:f>IF(AF121=0,0,(AF121-IF(3=D121,1,0))*ROUND(AG121*VLOOKUP(INDEX('章节与怪物'!$E$31:$K$37,B121,3),'章节与怪物'!$A$41:$F$44,2,FALSE),0)+IF(3=D121,ROUND(AG121*'难度参数'!$E$28*'章节与怪物'!$E$17,0),0))</x:f>
        <x:v>142224</x:v>
      </x:c>
      <x:c r="AI121" s="119" t="n">
        <x:f>IF(AF121=0,0,(AF121-IF(3=D121,1,0))*VLOOKUP(INDEX('章节与怪物'!$E$31:$K$37,B121,3),'章节与怪物'!$A$41:$F$44,4,FALSE)+IF(3=D121,'难度参数'!$E$30,0))</x:f>
        <x:v>672</x:v>
      </x:c>
      <x:c r="AJ121" s="119" t="n">
        <x:f>IF(4&gt;D121,0,MAX(2,MIN('难度参数'!$E$12,ROUND(('难度参数'!$E$18*POWER(A121,'难度参数'!$E$19)/D121*(0.85+0.3*(4-1)/MAX(1,D121-1))),0)+F121)))</x:f>
        <x:v>25</x:v>
      </x:c>
      <x:c r="AK121" s="119" t="n">
        <x:f>IF(4&gt;D121,0,ROUND(('难度参数'!$E$13*POWER(A121,'难度参数'!$E$20)*MIN('难度参数'!$E$23,1+MAX(0,A121-'难度参数'!$E$21)*'难度参数'!$E$22))*(36+4*7)/(36+7*(D121+1)/2)*E121,0))</x:f>
        <x:v>3914</x:v>
      </x:c>
      <x:c r="AL121" s="119" t="n">
        <x:f>IF(AJ121=0,0,(AJ121-IF(4=D121,1,0))*ROUND(AK121*VLOOKUP(INDEX('章节与怪物'!$E$31:$K$37,B121,4),'章节与怪物'!$A$41:$F$44,2,FALSE),0)+IF(4=D121,ROUND(AK121*'难度参数'!$E$28*'章节与怪物'!$E$17,0),0))</x:f>
        <x:v>132100</x:v>
      </x:c>
      <x:c r="AM121" s="119" t="n">
        <x:f>IF(AJ121=0,0,(AJ121-IF(4=D121,1,0))*VLOOKUP(INDEX('章节与怪物'!$E$31:$K$37,B121,4),'章节与怪物'!$A$41:$F$44,4,FALSE)+IF(4=D121,'难度参数'!$E$30,0))</x:f>
        <x:v>850</x:v>
      </x:c>
      <x:c r="AN121" s="119" t="n">
        <x:f>IF(5&gt;D121,0,MAX(2,MIN('难度参数'!$E$12,ROUND(('难度参数'!$E$18*POWER(A121,'难度参数'!$E$19)/D121*(0.85+0.3*(5-1)/MAX(1,D121-1))),0)+F121)))</x:f>
        <x:v>26</x:v>
      </x:c>
      <x:c r="AO121" s="119" t="n">
        <x:f>IF(5&gt;D121,0,ROUND(('难度参数'!$E$13*POWER(A121,'难度参数'!$E$20)*MIN('难度参数'!$E$23,1+MAX(0,A121-'难度参数'!$E$21)*'难度参数'!$E$22))*(36+5*7)/(36+7*(D121+1)/2)*E121,0))</x:f>
        <x:v>4342</x:v>
      </x:c>
      <x:c r="AP121" s="119" t="n">
        <x:f>IF(AN121=0,0,(AN121-IF(5=D121,1,0))*ROUND(AO121*VLOOKUP(INDEX('章节与怪物'!$E$31:$K$37,B121,5),'章节与怪物'!$A$41:$F$44,2,FALSE),0)+IF(5=D121,ROUND(AO121*'难度参数'!$E$28*'章节与怪物'!$E$17,0),0))</x:f>
        <x:v>112892</x:v>
      </x:c>
      <x:c r="AQ121" s="119" t="n">
        <x:f>IF(AN121=0,0,(AN121-IF(5=D121,1,0))*VLOOKUP(INDEX('章节与怪物'!$E$31:$K$37,B121,5),'章节与怪物'!$A$41:$F$44,4,FALSE)+IF(5=D121,'难度参数'!$E$30,0))</x:f>
        <x:v>468</x:v>
      </x:c>
      <x:c r="AR121" s="119" t="n">
        <x:f>IF(6&gt;D121,0,MAX(2,MIN('难度参数'!$E$12,ROUND(('难度参数'!$E$18*POWER(A121,'难度参数'!$E$19)/D121*(0.85+0.3*(6-1)/MAX(1,D121-1))),0)+F121)))</x:f>
        <x:v>27</x:v>
      </x:c>
      <x:c r="AS121" s="119" t="n">
        <x:f>IF(6&gt;D121,0,ROUND(('难度参数'!$E$13*POWER(A121,'难度参数'!$E$20)*MIN('难度参数'!$E$23,1+MAX(0,A121-'难度参数'!$E$21)*'难度参数'!$E$22))*(36+6*7)/(36+7*(D121+1)/2)*E121,0))</x:f>
        <x:v>4770</x:v>
      </x:c>
      <x:c r="AT121" s="119" t="n">
        <x:f>IF(AR121=0,0,(AR121-IF(6=D121,1,0))*ROUND(AS121*VLOOKUP(INDEX('章节与怪物'!$E$31:$K$37,B121,6),'章节与怪物'!$A$41:$F$44,2,FALSE),0)+IF(6=D121,ROUND(AS121*'难度参数'!$E$28*'章节与怪物'!$E$17,0),0))</x:f>
        <x:v>218943</x:v>
      </x:c>
      <x:c r="AU121" s="119" t="n">
        <x:f>IF(AR121=0,0,(AR121-IF(6=D121,1,0))*VLOOKUP(INDEX('章节与怪物'!$E$31:$K$37,B121,6),'章节与怪物'!$A$41:$F$44,4,FALSE)+IF(6=D121,'难度参数'!$E$30,0))</x:f>
        <x:v>756</x:v>
      </x:c>
      <x:c r="AV121" s="119" t="n">
        <x:f>IF(7&gt;D121,0,MAX(2,MIN('难度参数'!$E$12,ROUND(('难度参数'!$E$18*POWER(A121,'难度参数'!$E$19)/D121*(0.85+0.3*(7-1)/MAX(1,D121-1))),0)+F121)))</x:f>
        <x:v>29</x:v>
      </x:c>
      <x:c r="AW121" s="119" t="n">
        <x:f>IF(7&gt;D121,0,ROUND(('难度参数'!$E$13*POWER(A121,'难度参数'!$E$20)*MIN('难度参数'!$E$23,1+MAX(0,A121-'难度参数'!$E$21)*'难度参数'!$E$22))*(36+7*7)/(36+7*(D121+1)/2)*E121,0))</x:f>
        <x:v>5198</x:v>
      </x:c>
      <x:c r="AX121" s="119" t="n">
        <x:f>IF(AV121=0,0,(AV121-IF(7=D121,1,0))*ROUND(AW121*VLOOKUP(INDEX('章节与怪物'!$E$31:$K$37,B121,7),'章节与怪物'!$A$41:$F$44,2,FALSE),0)+IF(7=D121,ROUND(AW121*'难度参数'!$E$28*'章节与怪物'!$E$17,0),0))</x:f>
        <x:v>231822</x:v>
      </x:c>
      <x:c r="AY121" s="119" t="n">
        <x:f>IF(AV121=0,0,(AV121-IF(7=D121,1,0))*VLOOKUP(INDEX('章节与怪物'!$E$31:$K$37,B121,7),'章节与怪物'!$A$41:$F$44,4,FALSE)+IF(7=D121,'难度参数'!$E$30,0))</x:f>
        <x:v>1152</x:v>
      </x:c>
    </x:row>
    <x:row r="122" ht="23" customHeight="1">
      <x:c r="A122" s="119" t="n">
        <x:v>116</x:v>
      </x:c>
      <x:c r="B122" s="119" t="n">
        <x:f>MOD(INT((A122-1)/5),7)+1</x:f>
        <x:v>3</x:v>
      </x:c>
      <x:c r="C122" s="62" t="str">
        <x:f>INDEX('章节与怪物'!$B$31:$B$37,B122)</x:f>
        <x:v>腐沼秘林</x:v>
      </x:c>
      <x:c r="D122" s="119" t="n">
        <x:f>MIN('难度参数'!$E$8,MAX('难度参数'!$E$7,A122))</x:f>
        <x:v>7</x:v>
      </x:c>
      <x:c r="E122" s="106" t="n">
        <x:v>1</x:v>
      </x:c>
      <x:c r="F122" s="106" t="n">
        <x:v>0</x:v>
      </x:c>
      <x:c r="G122" s="106" t="n">
        <x:v>1</x:v>
      </x:c>
      <x:c r="H122" s="119" t="n">
        <x:f>SUM(X122,AB122,AF122,AJ122,AN122,AR122,AV122)</x:f>
        <x:v>174</x:v>
      </x:c>
      <x:c r="I122" s="119" t="n">
        <x:f>SUM(Z122,AD122,AH122,AL122,AP122,AT122,AX122)</x:f>
        <x:v>917877</x:v>
      </x:c>
      <x:c r="J122" s="119" t="n">
        <x:f>ROUND(INDEX(X122:AY122,1,(D122-1)*4+2)*'难度参数'!$E$28*'章节与怪物'!$E$17,0)</x:f>
        <x:v>35652</x:v>
      </x:c>
      <x:c r="K122" s="119" t="n">
        <x:f>SUM(AA122,AE122,AI122,AM122,AQ122,AU122,AY122)</x:f>
        <x:v>4768</x:v>
      </x:c>
      <x:c r="L122" s="62" t="n">
        <x:f>H122*(ROUNDUP('难度参数'!$E$24/('难度参数'!$E$26*'难度参数'!$E$27),0)*'难度参数'!$E$26)/60</x:f>
        <x:v>2.3200000000000003</x:v>
      </x:c>
      <x:c r="M122" s="62" t="n">
        <x:f>L122+D122*('难度参数'!$E$49+'难度参数'!$E$50)/60</x:f>
        <x:v>3.4866666666666672</x:v>
      </x:c>
      <x:c r="N122" s="119" t="n">
        <x:f>ROUNDDOWN(('经济参数'!$E$20+A122*'经济参数'!$E$21)*G122,0)</x:f>
        <x:v>2500</x:v>
      </x:c>
      <x:c r="O122" s="119" t="n">
        <x:f>ROUNDDOWN(MIN('经济参数'!$E$24,'经济参数'!$E$22+A122*'经济参数'!$E$23)*G122,0)</x:f>
        <x:v>0</x:v>
      </x:c>
      <x:c r="P122" s="119" t="n">
        <x:f>ROUNDDOWN((IF(A122&gt;='材料与任务'!$E$31,'材料与任务'!$E$32,IF(A122&gt;='材料与任务'!$E$25,'材料与任务'!$E$26,IF(A122&gt;='材料与任务'!$E$19,'材料与任务'!$E$20,IF(A122&gt;='材料与任务'!$E$13,'材料与任务'!$E$14,'材料与任务'!$E$8)))))*G122,0)</x:f>
        <x:v>5</x:v>
      </x:c>
      <x:c r="Q122" s="119" t="n">
        <x:f>ROUNDDOWN((IF(A122&gt;='材料与任务'!$E$31,'材料与任务'!$E$33,IF(A122&gt;='材料与任务'!$E$25,'材料与任务'!$E$27,IF(A122&gt;='材料与任务'!$E$19,'材料与任务'!$E$21,IF(A122&gt;='材料与任务'!$E$13,'材料与任务'!$E$15,'材料与任务'!$E$9)))))*G122,0)</x:f>
        <x:v>2</x:v>
      </x:c>
      <x:c r="R122" s="110" t="n">
        <x:f>'装备掉落'!$B$38</x:f>
        <x:v>0.6872058758851213</x:v>
      </x:c>
      <x:c r="S122" s="119" t="n">
        <x:f>MAX(IF(VLOOKUP(A122,'装备掉落'!$A$29:$H$34,2,TRUE)&gt;0,1,0),IF(VLOOKUP(A122,'装备掉落'!$A$29:$H$34,3,TRUE)&gt;0,2,0),IF(VLOOKUP(A122,'装备掉落'!$A$29:$H$34,4,TRUE)&gt;0,3,0),IF(VLOOKUP(A122,'装备掉落'!$A$29:$H$34,5,TRUE)&gt;0,4,0),IF(VLOOKUP(A122,'装备掉落'!$A$29:$H$34,6,TRUE)&gt;0,5,0),IF(VLOOKUP(A122,'装备掉落'!$A$29:$H$34,7,TRUE)&gt;0,6,0),IF(VLOOKUP(A122,'装备掉落'!$A$29:$H$34,8,TRUE)&gt;0,7,0))</x:f>
        <x:v>7</x:v>
      </x:c>
      <x:c r="T122" s="119" t="n">
        <x:f>MIN(7,S122+'经济参数'!$E$70)</x:f>
        <x:v>7</x:v>
      </x:c>
      <x:c r="U122" s="119" t="n">
        <x:f>MIN(7,S122+'经济参数'!$E$71)</x:f>
        <x:v>7</x:v>
      </x:c>
      <x:c r="V122" s="119" t="n">
        <x:f>IF(H122&gt;=('难度参数'!$E$52),1,0)+IF(H122&gt;=('难度参数'!$E$52+'难度参数'!$E$53),1,0)+IF(H122&gt;=('难度参数'!$E$52+'难度参数'!$E$53+'难度参数'!$E$54),1,0)+IF(H122&gt;=('难度参数'!$E$52+'难度参数'!$E$53+'难度参数'!$E$54+'难度参数'!$E$55),1,0)+IF(H122&gt;=('难度参数'!$E$52+'难度参数'!$E$53+'难度参数'!$E$54+'难度参数'!$E$55+'难度参数'!$E$56),1,0)+IF(H122&gt;=('难度参数'!$E$52+'难度参数'!$E$53+'难度参数'!$E$54+'难度参数'!$E$55+'难度参数'!$E$56+'难度参数'!$E$57),1,0)</x:f>
        <x:v>6</x:v>
      </x:c>
      <x:c r="W122" s="62" t="str">
        <x:f>IF(L122&gt;'难度参数'!$E$51,"仅出怪已超目标","还需实测")</x:f>
        <x:v>还需实测</x:v>
      </x:c>
      <x:c r="X122" s="119" t="n">
        <x:f>IF(1&gt;D122,0,MAX(2,MIN('难度参数'!$E$12,ROUND(('难度参数'!$E$18*POWER(A122,'难度参数'!$E$19)/D122*(0.85+0.3*(1-1)/MAX(1,D122-1))),0)+F122)))</x:f>
        <x:v>21</x:v>
      </x:c>
      <x:c r="Y122" s="119" t="n">
        <x:f>IF(1&gt;D122,0,ROUND(('难度参数'!$E$13*POWER(A122,'难度参数'!$E$20)*MIN('难度参数'!$E$23,1+MAX(0,A122-'难度参数'!$E$21)*'难度参数'!$E$22))*(36+1*7)/(36+7*(D122+1)/2)*E122,0))</x:f>
        <x:v>2652</x:v>
      </x:c>
      <x:c r="Z122" s="119" t="n">
        <x:f>IF(X122=0,0,(X122-IF(1=D122,1,0))*ROUND(Y122*VLOOKUP(INDEX('章节与怪物'!$E$31:$K$37,B122,1),'章节与怪物'!$A$41:$F$44,2,FALSE),0)+IF(1=D122,ROUND(Y122*'难度参数'!$E$28*'章节与怪物'!$E$17,0),0))</x:f>
        <x:v>55692</x:v>
      </x:c>
      <x:c r="AA122" s="119" t="n">
        <x:f>IF(X122=0,0,(X122-IF(1=D122,1,0))*VLOOKUP(INDEX('章节与怪物'!$E$31:$K$37,B122,1),'章节与怪物'!$A$41:$F$44,4,FALSE)+IF(1=D122,'难度参数'!$E$30,0))</x:f>
        <x:v>378</x:v>
      </x:c>
      <x:c r="AB122" s="119" t="n">
        <x:f>IF(2&gt;D122,0,MAX(2,MIN('难度参数'!$E$12,ROUND(('难度参数'!$E$18*POWER(A122,'难度参数'!$E$19)/D122*(0.85+0.3*(2-1)/MAX(1,D122-1))),0)+F122)))</x:f>
        <x:v>22</x:v>
      </x:c>
      <x:c r="AC122" s="119" t="n">
        <x:f>IF(2&gt;D122,0,ROUND(('难度参数'!$E$13*POWER(A122,'难度参数'!$E$20)*MIN('难度参数'!$E$23,1+MAX(0,A122-'难度参数'!$E$21)*'难度参数'!$E$22))*(36+2*7)/(36+7*(D122+1)/2)*E122,0))</x:f>
        <x:v>3084</x:v>
      </x:c>
      <x:c r="AD122" s="119" t="n">
        <x:f>IF(AB122=0,0,(AB122-IF(2=D122,1,0))*ROUND(AC122*VLOOKUP(INDEX('章节与怪物'!$E$31:$K$37,B122,2),'章节与怪物'!$A$41:$F$44,2,FALSE),0)+IF(2=D122,ROUND(AC122*'难度参数'!$E$28*'章节与怪物'!$E$17,0),0))</x:f>
        <x:v>48840</x:v>
      </x:c>
      <x:c r="AE122" s="119" t="n">
        <x:f>IF(AB122=0,0,(AB122-IF(2=D122,1,0))*VLOOKUP(INDEX('章节与怪物'!$E$31:$K$37,B122,2),'章节与怪物'!$A$41:$F$44,4,FALSE)+IF(2=D122,'难度参数'!$E$30,0))</x:f>
        <x:v>440</x:v>
      </x:c>
      <x:c r="AF122" s="119" t="n">
        <x:f>IF(3&gt;D122,0,MAX(2,MIN('难度参数'!$E$12,ROUND(('难度参数'!$E$18*POWER(A122,'难度参数'!$E$19)/D122*(0.85+0.3*(3-1)/MAX(1,D122-1))),0)+F122)))</x:f>
        <x:v>24</x:v>
      </x:c>
      <x:c r="AG122" s="119" t="n">
        <x:f>IF(3&gt;D122,0,ROUND(('难度参数'!$E$13*POWER(A122,'难度参数'!$E$20)*MIN('难度参数'!$E$23,1+MAX(0,A122-'难度参数'!$E$21)*'难度参数'!$E$22))*(36+3*7)/(36+7*(D122+1)/2)*E122,0))</x:f>
        <x:v>3516</x:v>
      </x:c>
      <x:c r="AH122" s="119" t="n">
        <x:f>IF(AF122=0,0,(AF122-IF(3=D122,1,0))*ROUND(AG122*VLOOKUP(INDEX('章节与怪物'!$E$31:$K$37,B122,3),'章节与怪物'!$A$41:$F$44,2,FALSE),0)+IF(3=D122,ROUND(AG122*'难度参数'!$E$28*'章节与怪物'!$E$17,0),0))</x:f>
        <x:v>143448</x:v>
      </x:c>
      <x:c r="AI122" s="119" t="n">
        <x:f>IF(AF122=0,0,(AF122-IF(3=D122,1,0))*VLOOKUP(INDEX('章节与怪物'!$E$31:$K$37,B122,3),'章节与怪物'!$A$41:$F$44,4,FALSE)+IF(3=D122,'难度参数'!$E$30,0))</x:f>
        <x:v>672</x:v>
      </x:c>
      <x:c r="AJ122" s="119" t="n">
        <x:f>IF(4&gt;D122,0,MAX(2,MIN('难度参数'!$E$12,ROUND(('难度参数'!$E$18*POWER(A122,'难度参数'!$E$19)/D122*(0.85+0.3*(4-1)/MAX(1,D122-1))),0)+F122)))</x:f>
        <x:v>25</x:v>
      </x:c>
      <x:c r="AK122" s="119" t="n">
        <x:f>IF(4&gt;D122,0,ROUND(('难度参数'!$E$13*POWER(A122,'难度参数'!$E$20)*MIN('难度参数'!$E$23,1+MAX(0,A122-'难度参数'!$E$21)*'难度参数'!$E$22))*(36+4*7)/(36+7*(D122+1)/2)*E122,0))</x:f>
        <x:v>3948</x:v>
      </x:c>
      <x:c r="AL122" s="119" t="n">
        <x:f>IF(AJ122=0,0,(AJ122-IF(4=D122,1,0))*ROUND(AK122*VLOOKUP(INDEX('章节与怪物'!$E$31:$K$37,B122,4),'章节与怪物'!$A$41:$F$44,2,FALSE),0)+IF(4=D122,ROUND(AK122*'难度参数'!$E$28*'章节与怪物'!$E$17,0),0))</x:f>
        <x:v>133250</x:v>
      </x:c>
      <x:c r="AM122" s="119" t="n">
        <x:f>IF(AJ122=0,0,(AJ122-IF(4=D122,1,0))*VLOOKUP(INDEX('章节与怪物'!$E$31:$K$37,B122,4),'章节与怪物'!$A$41:$F$44,4,FALSE)+IF(4=D122,'难度参数'!$E$30,0))</x:f>
        <x:v>850</x:v>
      </x:c>
      <x:c r="AN122" s="119" t="n">
        <x:f>IF(5&gt;D122,0,MAX(2,MIN('难度参数'!$E$12,ROUND(('难度参数'!$E$18*POWER(A122,'难度参数'!$E$19)/D122*(0.85+0.3*(5-1)/MAX(1,D122-1))),0)+F122)))</x:f>
        <x:v>26</x:v>
      </x:c>
      <x:c r="AO122" s="119" t="n">
        <x:f>IF(5&gt;D122,0,ROUND(('难度参数'!$E$13*POWER(A122,'难度参数'!$E$20)*MIN('难度参数'!$E$23,1+MAX(0,A122-'难度参数'!$E$21)*'难度参数'!$E$22))*(36+5*7)/(36+7*(D122+1)/2)*E122,0))</x:f>
        <x:v>4379</x:v>
      </x:c>
      <x:c r="AP122" s="119" t="n">
        <x:f>IF(AN122=0,0,(AN122-IF(5=D122,1,0))*ROUND(AO122*VLOOKUP(INDEX('章节与怪物'!$E$31:$K$37,B122,5),'章节与怪物'!$A$41:$F$44,2,FALSE),0)+IF(5=D122,ROUND(AO122*'难度参数'!$E$28*'章节与怪物'!$E$17,0),0))</x:f>
        <x:v>81978</x:v>
      </x:c>
      <x:c r="AQ122" s="119" t="n">
        <x:f>IF(AN122=0,0,(AN122-IF(5=D122,1,0))*VLOOKUP(INDEX('章节与怪物'!$E$31:$K$37,B122,5),'章节与怪物'!$A$41:$F$44,4,FALSE)+IF(5=D122,'难度参数'!$E$30,0))</x:f>
        <x:v>520</x:v>
      </x:c>
      <x:c r="AR122" s="119" t="n">
        <x:f>IF(6&gt;D122,0,MAX(2,MIN('难度参数'!$E$12,ROUND(('难度参数'!$E$18*POWER(A122,'难度参数'!$E$19)/D122*(0.85+0.3*(6-1)/MAX(1,D122-1))),0)+F122)))</x:f>
        <x:v>27</x:v>
      </x:c>
      <x:c r="AS122" s="119" t="n">
        <x:f>IF(6&gt;D122,0,ROUND(('难度参数'!$E$13*POWER(A122,'难度参数'!$E$20)*MIN('难度参数'!$E$23,1+MAX(0,A122-'难度参数'!$E$21)*'难度参数'!$E$22))*(36+6*7)/(36+7*(D122+1)/2)*E122,0))</x:f>
        <x:v>4811</x:v>
      </x:c>
      <x:c r="AT122" s="119" t="n">
        <x:f>IF(AR122=0,0,(AR122-IF(6=D122,1,0))*ROUND(AS122*VLOOKUP(INDEX('章节与怪物'!$E$31:$K$37,B122,6),'章节与怪物'!$A$41:$F$44,2,FALSE),0)+IF(6=D122,ROUND(AS122*'难度参数'!$E$28*'章节与怪物'!$E$17,0),0))</x:f>
        <x:v>220833</x:v>
      </x:c>
      <x:c r="AU122" s="119" t="n">
        <x:f>IF(AR122=0,0,(AR122-IF(6=D122,1,0))*VLOOKUP(INDEX('章节与怪物'!$E$31:$K$37,B122,6),'章节与怪物'!$A$41:$F$44,4,FALSE)+IF(6=D122,'难度参数'!$E$30,0))</x:f>
        <x:v>756</x:v>
      </x:c>
      <x:c r="AV122" s="119" t="n">
        <x:f>IF(7&gt;D122,0,MAX(2,MIN('难度参数'!$E$12,ROUND(('难度参数'!$E$18*POWER(A122,'难度参数'!$E$19)/D122*(0.85+0.3*(7-1)/MAX(1,D122-1))),0)+F122)))</x:f>
        <x:v>29</x:v>
      </x:c>
      <x:c r="AW122" s="119" t="n">
        <x:f>IF(7&gt;D122,0,ROUND(('难度参数'!$E$13*POWER(A122,'难度参数'!$E$20)*MIN('难度参数'!$E$23,1+MAX(0,A122-'难度参数'!$E$21)*'难度参数'!$E$22))*(36+7*7)/(36+7*(D122+1)/2)*E122,0))</x:f>
        <x:v>5243</x:v>
      </x:c>
      <x:c r="AX122" s="119" t="n">
        <x:f>IF(AV122=0,0,(AV122-IF(7=D122,1,0))*ROUND(AW122*VLOOKUP(INDEX('章节与怪物'!$E$31:$K$37,B122,7),'章节与怪物'!$A$41:$F$44,2,FALSE),0)+IF(7=D122,ROUND(AW122*'难度参数'!$E$28*'章节与怪物'!$E$17,0),0))</x:f>
        <x:v>233836</x:v>
      </x:c>
      <x:c r="AY122" s="119" t="n">
        <x:f>IF(AV122=0,0,(AV122-IF(7=D122,1,0))*VLOOKUP(INDEX('章节与怪物'!$E$31:$K$37,B122,7),'章节与怪物'!$A$41:$F$44,4,FALSE)+IF(7=D122,'难度参数'!$E$30,0))</x:f>
        <x:v>1152</x:v>
      </x:c>
    </x:row>
    <x:row r="123" ht="23" customHeight="1">
      <x:c r="A123" s="119" t="n">
        <x:v>117</x:v>
      </x:c>
      <x:c r="B123" s="119" t="n">
        <x:f>MOD(INT((A123-1)/5),7)+1</x:f>
        <x:v>3</x:v>
      </x:c>
      <x:c r="C123" s="62" t="str">
        <x:f>INDEX('章节与怪物'!$B$31:$B$37,B123)</x:f>
        <x:v>腐沼秘林</x:v>
      </x:c>
      <x:c r="D123" s="119" t="n">
        <x:f>MIN('难度参数'!$E$8,MAX('难度参数'!$E$7,A123))</x:f>
        <x:v>7</x:v>
      </x:c>
      <x:c r="E123" s="106" t="n">
        <x:v>1</x:v>
      </x:c>
      <x:c r="F123" s="106" t="n">
        <x:v>0</x:v>
      </x:c>
      <x:c r="G123" s="106" t="n">
        <x:v>1</x:v>
      </x:c>
      <x:c r="H123" s="119" t="n">
        <x:f>SUM(X123,AB123,AF123,AJ123,AN123,AR123,AV123)</x:f>
        <x:v>174</x:v>
      </x:c>
      <x:c r="I123" s="119" t="n">
        <x:f>SUM(Z123,AD123,AH123,AL123,AP123,AT123,AX123)</x:f>
        <x:v>925681</x:v>
      </x:c>
      <x:c r="J123" s="119" t="n">
        <x:f>ROUND(INDEX(X123:AY123,1,(D123-1)*4+2)*'难度参数'!$E$28*'章节与怪物'!$E$17,0)</x:f>
        <x:v>35958</x:v>
      </x:c>
      <x:c r="K123" s="119" t="n">
        <x:f>SUM(AA123,AE123,AI123,AM123,AQ123,AU123,AY123)</x:f>
        <x:v>4768</x:v>
      </x:c>
      <x:c r="L123" s="62" t="n">
        <x:f>H123*(ROUNDUP('难度参数'!$E$24/('难度参数'!$E$26*'难度参数'!$E$27),0)*'难度参数'!$E$26)/60</x:f>
        <x:v>2.3200000000000003</x:v>
      </x:c>
      <x:c r="M123" s="62" t="n">
        <x:f>L123+D123*('难度参数'!$E$49+'难度参数'!$E$50)/60</x:f>
        <x:v>3.4866666666666672</x:v>
      </x:c>
      <x:c r="N123" s="119" t="n">
        <x:f>ROUNDDOWN(('经济参数'!$E$20+A123*'经济参数'!$E$21)*G123,0)</x:f>
        <x:v>2520</x:v>
      </x:c>
      <x:c r="O123" s="119" t="n">
        <x:f>ROUNDDOWN(MIN('经济参数'!$E$24,'经济参数'!$E$22+A123*'经济参数'!$E$23)*G123,0)</x:f>
        <x:v>0</x:v>
      </x:c>
      <x:c r="P123" s="119" t="n">
        <x:f>ROUNDDOWN((IF(A123&gt;='材料与任务'!$E$31,'材料与任务'!$E$32,IF(A123&gt;='材料与任务'!$E$25,'材料与任务'!$E$26,IF(A123&gt;='材料与任务'!$E$19,'材料与任务'!$E$20,IF(A123&gt;='材料与任务'!$E$13,'材料与任务'!$E$14,'材料与任务'!$E$8)))))*G123,0)</x:f>
        <x:v>5</x:v>
      </x:c>
      <x:c r="Q123" s="119" t="n">
        <x:f>ROUNDDOWN((IF(A123&gt;='材料与任务'!$E$31,'材料与任务'!$E$33,IF(A123&gt;='材料与任务'!$E$25,'材料与任务'!$E$27,IF(A123&gt;='材料与任务'!$E$19,'材料与任务'!$E$21,IF(A123&gt;='材料与任务'!$E$13,'材料与任务'!$E$15,'材料与任务'!$E$9)))))*G123,0)</x:f>
        <x:v>2</x:v>
      </x:c>
      <x:c r="R123" s="110" t="n">
        <x:f>'装备掉落'!$B$38</x:f>
        <x:v>0.6872058758851213</x:v>
      </x:c>
      <x:c r="S123" s="119" t="n">
        <x:f>MAX(IF(VLOOKUP(A123,'装备掉落'!$A$29:$H$34,2,TRUE)&gt;0,1,0),IF(VLOOKUP(A123,'装备掉落'!$A$29:$H$34,3,TRUE)&gt;0,2,0),IF(VLOOKUP(A123,'装备掉落'!$A$29:$H$34,4,TRUE)&gt;0,3,0),IF(VLOOKUP(A123,'装备掉落'!$A$29:$H$34,5,TRUE)&gt;0,4,0),IF(VLOOKUP(A123,'装备掉落'!$A$29:$H$34,6,TRUE)&gt;0,5,0),IF(VLOOKUP(A123,'装备掉落'!$A$29:$H$34,7,TRUE)&gt;0,6,0),IF(VLOOKUP(A123,'装备掉落'!$A$29:$H$34,8,TRUE)&gt;0,7,0))</x:f>
        <x:v>7</x:v>
      </x:c>
      <x:c r="T123" s="119" t="n">
        <x:f>MIN(7,S123+'经济参数'!$E$70)</x:f>
        <x:v>7</x:v>
      </x:c>
      <x:c r="U123" s="119" t="n">
        <x:f>MIN(7,S123+'经济参数'!$E$71)</x:f>
        <x:v>7</x:v>
      </x:c>
      <x:c r="V123" s="119" t="n">
        <x:f>IF(H123&gt;=('难度参数'!$E$52),1,0)+IF(H123&gt;=('难度参数'!$E$52+'难度参数'!$E$53),1,0)+IF(H123&gt;=('难度参数'!$E$52+'难度参数'!$E$53+'难度参数'!$E$54),1,0)+IF(H123&gt;=('难度参数'!$E$52+'难度参数'!$E$53+'难度参数'!$E$54+'难度参数'!$E$55),1,0)+IF(H123&gt;=('难度参数'!$E$52+'难度参数'!$E$53+'难度参数'!$E$54+'难度参数'!$E$55+'难度参数'!$E$56),1,0)+IF(H123&gt;=('难度参数'!$E$52+'难度参数'!$E$53+'难度参数'!$E$54+'难度参数'!$E$55+'难度参数'!$E$56+'难度参数'!$E$57),1,0)</x:f>
        <x:v>6</x:v>
      </x:c>
      <x:c r="W123" s="62" t="str">
        <x:f>IF(L123&gt;'难度参数'!$E$51,"仅出怪已超目标","还需实测")</x:f>
        <x:v>还需实测</x:v>
      </x:c>
      <x:c r="X123" s="119" t="n">
        <x:f>IF(1&gt;D123,0,MAX(2,MIN('难度参数'!$E$12,ROUND(('难度参数'!$E$18*POWER(A123,'难度参数'!$E$19)/D123*(0.85+0.3*(1-1)/MAX(1,D123-1))),0)+F123)))</x:f>
        <x:v>21</x:v>
      </x:c>
      <x:c r="Y123" s="119" t="n">
        <x:f>IF(1&gt;D123,0,ROUND(('难度参数'!$E$13*POWER(A123,'难度参数'!$E$20)*MIN('难度参数'!$E$23,1+MAX(0,A123-'难度参数'!$E$21)*'难度参数'!$E$22))*(36+1*7)/(36+7*(D123+1)/2)*E123,0))</x:f>
        <x:v>2675</x:v>
      </x:c>
      <x:c r="Z123" s="119" t="n">
        <x:f>IF(X123=0,0,(X123-IF(1=D123,1,0))*ROUND(Y123*VLOOKUP(INDEX('章节与怪物'!$E$31:$K$37,B123,1),'章节与怪物'!$A$41:$F$44,2,FALSE),0)+IF(1=D123,ROUND(Y123*'难度参数'!$E$28*'章节与怪物'!$E$17,0),0))</x:f>
        <x:v>56175</x:v>
      </x:c>
      <x:c r="AA123" s="119" t="n">
        <x:f>IF(X123=0,0,(X123-IF(1=D123,1,0))*VLOOKUP(INDEX('章节与怪物'!$E$31:$K$37,B123,1),'章节与怪物'!$A$41:$F$44,4,FALSE)+IF(1=D123,'难度参数'!$E$30,0))</x:f>
        <x:v>378</x:v>
      </x:c>
      <x:c r="AB123" s="119" t="n">
        <x:f>IF(2&gt;D123,0,MAX(2,MIN('难度参数'!$E$12,ROUND(('难度参数'!$E$18*POWER(A123,'难度参数'!$E$19)/D123*(0.85+0.3*(2-1)/MAX(1,D123-1))),0)+F123)))</x:f>
        <x:v>22</x:v>
      </x:c>
      <x:c r="AC123" s="119" t="n">
        <x:f>IF(2&gt;D123,0,ROUND(('难度参数'!$E$13*POWER(A123,'难度参数'!$E$20)*MIN('难度参数'!$E$23,1+MAX(0,A123-'难度参数'!$E$21)*'难度参数'!$E$22))*(36+2*7)/(36+7*(D123+1)/2)*E123,0))</x:f>
        <x:v>3110</x:v>
      </x:c>
      <x:c r="AD123" s="119" t="n">
        <x:f>IF(AB123=0,0,(AB123-IF(2=D123,1,0))*ROUND(AC123*VLOOKUP(INDEX('章节与怪物'!$E$31:$K$37,B123,2),'章节与怪物'!$A$41:$F$44,2,FALSE),0)+IF(2=D123,ROUND(AC123*'难度参数'!$E$28*'章节与怪物'!$E$17,0),0))</x:f>
        <x:v>49258</x:v>
      </x:c>
      <x:c r="AE123" s="119" t="n">
        <x:f>IF(AB123=0,0,(AB123-IF(2=D123,1,0))*VLOOKUP(INDEX('章节与怪物'!$E$31:$K$37,B123,2),'章节与怪物'!$A$41:$F$44,4,FALSE)+IF(2=D123,'难度参数'!$E$30,0))</x:f>
        <x:v>440</x:v>
      </x:c>
      <x:c r="AF123" s="119" t="n">
        <x:f>IF(3&gt;D123,0,MAX(2,MIN('难度参数'!$E$12,ROUND(('难度参数'!$E$18*POWER(A123,'难度参数'!$E$19)/D123*(0.85+0.3*(3-1)/MAX(1,D123-1))),0)+F123)))</x:f>
        <x:v>24</x:v>
      </x:c>
      <x:c r="AG123" s="119" t="n">
        <x:f>IF(3&gt;D123,0,ROUND(('难度参数'!$E$13*POWER(A123,'难度参数'!$E$20)*MIN('难度参数'!$E$23,1+MAX(0,A123-'难度参数'!$E$21)*'难度参数'!$E$22))*(36+3*7)/(36+7*(D123+1)/2)*E123,0))</x:f>
        <x:v>3546</x:v>
      </x:c>
      <x:c r="AH123" s="119" t="n">
        <x:f>IF(AF123=0,0,(AF123-IF(3=D123,1,0))*ROUND(AG123*VLOOKUP(INDEX('章节与怪物'!$E$31:$K$37,B123,3),'章节与怪物'!$A$41:$F$44,2,FALSE),0)+IF(3=D123,ROUND(AG123*'难度参数'!$E$28*'章节与怪物'!$E$17,0),0))</x:f>
        <x:v>144672</x:v>
      </x:c>
      <x:c r="AI123" s="119" t="n">
        <x:f>IF(AF123=0,0,(AF123-IF(3=D123,1,0))*VLOOKUP(INDEX('章节与怪物'!$E$31:$K$37,B123,3),'章节与怪物'!$A$41:$F$44,4,FALSE)+IF(3=D123,'难度参数'!$E$30,0))</x:f>
        <x:v>672</x:v>
      </x:c>
      <x:c r="AJ123" s="119" t="n">
        <x:f>IF(4&gt;D123,0,MAX(2,MIN('难度参数'!$E$12,ROUND(('难度参数'!$E$18*POWER(A123,'难度参数'!$E$19)/D123*(0.85+0.3*(4-1)/MAX(1,D123-1))),0)+F123)))</x:f>
        <x:v>25</x:v>
      </x:c>
      <x:c r="AK123" s="119" t="n">
        <x:f>IF(4&gt;D123,0,ROUND(('难度参数'!$E$13*POWER(A123,'难度参数'!$E$20)*MIN('难度参数'!$E$23,1+MAX(0,A123-'难度参数'!$E$21)*'难度参数'!$E$22))*(36+4*7)/(36+7*(D123+1)/2)*E123,0))</x:f>
        <x:v>3981</x:v>
      </x:c>
      <x:c r="AL123" s="119" t="n">
        <x:f>IF(AJ123=0,0,(AJ123-IF(4=D123,1,0))*ROUND(AK123*VLOOKUP(INDEX('章节与怪物'!$E$31:$K$37,B123,4),'章节与怪物'!$A$41:$F$44,2,FALSE),0)+IF(4=D123,ROUND(AK123*'难度参数'!$E$28*'章节与怪物'!$E$17,0),0))</x:f>
        <x:v>134350</x:v>
      </x:c>
      <x:c r="AM123" s="119" t="n">
        <x:f>IF(AJ123=0,0,(AJ123-IF(4=D123,1,0))*VLOOKUP(INDEX('章节与怪物'!$E$31:$K$37,B123,4),'章节与怪物'!$A$41:$F$44,4,FALSE)+IF(4=D123,'难度参数'!$E$30,0))</x:f>
        <x:v>850</x:v>
      </x:c>
      <x:c r="AN123" s="119" t="n">
        <x:f>IF(5&gt;D123,0,MAX(2,MIN('难度参数'!$E$12,ROUND(('难度参数'!$E$18*POWER(A123,'难度参数'!$E$19)/D123*(0.85+0.3*(5-1)/MAX(1,D123-1))),0)+F123)))</x:f>
        <x:v>26</x:v>
      </x:c>
      <x:c r="AO123" s="119" t="n">
        <x:f>IF(5&gt;D123,0,ROUND(('难度参数'!$E$13*POWER(A123,'难度参数'!$E$20)*MIN('难度参数'!$E$23,1+MAX(0,A123-'难度参数'!$E$21)*'难度参数'!$E$22))*(36+5*7)/(36+7*(D123+1)/2)*E123,0))</x:f>
        <x:v>4417</x:v>
      </x:c>
      <x:c r="AP123" s="119" t="n">
        <x:f>IF(AN123=0,0,(AN123-IF(5=D123,1,0))*ROUND(AO123*VLOOKUP(INDEX('章节与怪物'!$E$31:$K$37,B123,5),'章节与怪物'!$A$41:$F$44,2,FALSE),0)+IF(5=D123,ROUND(AO123*'难度参数'!$E$28*'章节与怪物'!$E$17,0),0))</x:f>
        <x:v>82680</x:v>
      </x:c>
      <x:c r="AQ123" s="119" t="n">
        <x:f>IF(AN123=0,0,(AN123-IF(5=D123,1,0))*VLOOKUP(INDEX('章节与怪物'!$E$31:$K$37,B123,5),'章节与怪物'!$A$41:$F$44,4,FALSE)+IF(5=D123,'难度参数'!$E$30,0))</x:f>
        <x:v>520</x:v>
      </x:c>
      <x:c r="AR123" s="119" t="n">
        <x:f>IF(6&gt;D123,0,MAX(2,MIN('难度参数'!$E$12,ROUND(('难度参数'!$E$18*POWER(A123,'难度参数'!$E$19)/D123*(0.85+0.3*(6-1)/MAX(1,D123-1))),0)+F123)))</x:f>
        <x:v>27</x:v>
      </x:c>
      <x:c r="AS123" s="119" t="n">
        <x:f>IF(6&gt;D123,0,ROUND(('难度参数'!$E$13*POWER(A123,'难度参数'!$E$20)*MIN('难度参数'!$E$23,1+MAX(0,A123-'难度参数'!$E$21)*'难度参数'!$E$22))*(36+6*7)/(36+7*(D123+1)/2)*E123,0))</x:f>
        <x:v>4852</x:v>
      </x:c>
      <x:c r="AT123" s="119" t="n">
        <x:f>IF(AR123=0,0,(AR123-IF(6=D123,1,0))*ROUND(AS123*VLOOKUP(INDEX('章节与怪物'!$E$31:$K$37,B123,6),'章节与怪物'!$A$41:$F$44,2,FALSE),0)+IF(6=D123,ROUND(AS123*'难度参数'!$E$28*'章节与怪物'!$E$17,0),0))</x:f>
        <x:v>222696</x:v>
      </x:c>
      <x:c r="AU123" s="119" t="n">
        <x:f>IF(AR123=0,0,(AR123-IF(6=D123,1,0))*VLOOKUP(INDEX('章节与怪物'!$E$31:$K$37,B123,6),'章节与怪物'!$A$41:$F$44,4,FALSE)+IF(6=D123,'难度参数'!$E$30,0))</x:f>
        <x:v>756</x:v>
      </x:c>
      <x:c r="AV123" s="119" t="n">
        <x:f>IF(7&gt;D123,0,MAX(2,MIN('难度参数'!$E$12,ROUND(('难度参数'!$E$18*POWER(A123,'难度参数'!$E$19)/D123*(0.85+0.3*(7-1)/MAX(1,D123-1))),0)+F123)))</x:f>
        <x:v>29</x:v>
      </x:c>
      <x:c r="AW123" s="119" t="n">
        <x:f>IF(7&gt;D123,0,ROUND(('难度参数'!$E$13*POWER(A123,'难度参数'!$E$20)*MIN('难度参数'!$E$23,1+MAX(0,A123-'难度参数'!$E$21)*'难度参数'!$E$22))*(36+7*7)/(36+7*(D123+1)/2)*E123,0))</x:f>
        <x:v>5288</x:v>
      </x:c>
      <x:c r="AX123" s="119" t="n">
        <x:f>IF(AV123=0,0,(AV123-IF(7=D123,1,0))*ROUND(AW123*VLOOKUP(INDEX('章节与怪物'!$E$31:$K$37,B123,7),'章节与怪物'!$A$41:$F$44,2,FALSE),0)+IF(7=D123,ROUND(AW123*'难度参数'!$E$28*'章节与怪物'!$E$17,0),0))</x:f>
        <x:v>235850</x:v>
      </x:c>
      <x:c r="AY123" s="119" t="n">
        <x:f>IF(AV123=0,0,(AV123-IF(7=D123,1,0))*VLOOKUP(INDEX('章节与怪物'!$E$31:$K$37,B123,7),'章节与怪物'!$A$41:$F$44,4,FALSE)+IF(7=D123,'难度参数'!$E$30,0))</x:f>
        <x:v>1152</x:v>
      </x:c>
    </x:row>
    <x:row r="124" ht="23" customHeight="1">
      <x:c r="A124" s="119" t="n">
        <x:v>118</x:v>
      </x:c>
      <x:c r="B124" s="119" t="n">
        <x:f>MOD(INT((A124-1)/5),7)+1</x:f>
        <x:v>3</x:v>
      </x:c>
      <x:c r="C124" s="62" t="str">
        <x:f>INDEX('章节与怪物'!$B$31:$B$37,B124)</x:f>
        <x:v>腐沼秘林</x:v>
      </x:c>
      <x:c r="D124" s="119" t="n">
        <x:f>MIN('难度参数'!$E$8,MAX('难度参数'!$E$7,A124))</x:f>
        <x:v>7</x:v>
      </x:c>
      <x:c r="E124" s="106" t="n">
        <x:v>1</x:v>
      </x:c>
      <x:c r="F124" s="106" t="n">
        <x:v>0</x:v>
      </x:c>
      <x:c r="G124" s="106" t="n">
        <x:v>1</x:v>
      </x:c>
      <x:c r="H124" s="119" t="n">
        <x:f>SUM(X124,AB124,AF124,AJ124,AN124,AR124,AV124)</x:f>
        <x:v>176</x:v>
      </x:c>
      <x:c r="I124" s="119" t="n">
        <x:f>SUM(Z124,AD124,AH124,AL124,AP124,AT124,AX124)</x:f>
        <x:v>944099</x:v>
      </x:c>
      <x:c r="J124" s="119" t="n">
        <x:f>ROUND(INDEX(X124:AY124,1,(D124-1)*4+2)*'难度参数'!$E$28*'章节与怪物'!$E$17,0)</x:f>
        <x:v>36258</x:v>
      </x:c>
      <x:c r="K124" s="119" t="n">
        <x:f>SUM(AA124,AE124,AI124,AM124,AQ124,AU124,AY124)</x:f>
        <x:v>4816</x:v>
      </x:c>
      <x:c r="L124" s="62" t="n">
        <x:f>H124*(ROUNDUP('难度参数'!$E$24/('难度参数'!$E$26*'难度参数'!$E$27),0)*'难度参数'!$E$26)/60</x:f>
        <x:v>2.3466666666666667</x:v>
      </x:c>
      <x:c r="M124" s="62" t="n">
        <x:f>L124+D124*('难度参数'!$E$49+'难度参数'!$E$50)/60</x:f>
        <x:v>3.5133333333333336</x:v>
      </x:c>
      <x:c r="N124" s="119" t="n">
        <x:f>ROUNDDOWN(('经济参数'!$E$20+A124*'经济参数'!$E$21)*G124,0)</x:f>
        <x:v>2540</x:v>
      </x:c>
      <x:c r="O124" s="119" t="n">
        <x:f>ROUNDDOWN(MIN('经济参数'!$E$24,'经济参数'!$E$22+A124*'经济参数'!$E$23)*G124,0)</x:f>
        <x:v>0</x:v>
      </x:c>
      <x:c r="P124" s="119" t="n">
        <x:f>ROUNDDOWN((IF(A124&gt;='材料与任务'!$E$31,'材料与任务'!$E$32,IF(A124&gt;='材料与任务'!$E$25,'材料与任务'!$E$26,IF(A124&gt;='材料与任务'!$E$19,'材料与任务'!$E$20,IF(A124&gt;='材料与任务'!$E$13,'材料与任务'!$E$14,'材料与任务'!$E$8)))))*G124,0)</x:f>
        <x:v>5</x:v>
      </x:c>
      <x:c r="Q124" s="119" t="n">
        <x:f>ROUNDDOWN((IF(A124&gt;='材料与任务'!$E$31,'材料与任务'!$E$33,IF(A124&gt;='材料与任务'!$E$25,'材料与任务'!$E$27,IF(A124&gt;='材料与任务'!$E$19,'材料与任务'!$E$21,IF(A124&gt;='材料与任务'!$E$13,'材料与任务'!$E$15,'材料与任务'!$E$9)))))*G124,0)</x:f>
        <x:v>2</x:v>
      </x:c>
      <x:c r="R124" s="110" t="n">
        <x:f>'装备掉落'!$B$38</x:f>
        <x:v>0.6872058758851213</x:v>
      </x:c>
      <x:c r="S124" s="119" t="n">
        <x:f>MAX(IF(VLOOKUP(A124,'装备掉落'!$A$29:$H$34,2,TRUE)&gt;0,1,0),IF(VLOOKUP(A124,'装备掉落'!$A$29:$H$34,3,TRUE)&gt;0,2,0),IF(VLOOKUP(A124,'装备掉落'!$A$29:$H$34,4,TRUE)&gt;0,3,0),IF(VLOOKUP(A124,'装备掉落'!$A$29:$H$34,5,TRUE)&gt;0,4,0),IF(VLOOKUP(A124,'装备掉落'!$A$29:$H$34,6,TRUE)&gt;0,5,0),IF(VLOOKUP(A124,'装备掉落'!$A$29:$H$34,7,TRUE)&gt;0,6,0),IF(VLOOKUP(A124,'装备掉落'!$A$29:$H$34,8,TRUE)&gt;0,7,0))</x:f>
        <x:v>7</x:v>
      </x:c>
      <x:c r="T124" s="119" t="n">
        <x:f>MIN(7,S124+'经济参数'!$E$70)</x:f>
        <x:v>7</x:v>
      </x:c>
      <x:c r="U124" s="119" t="n">
        <x:f>MIN(7,S124+'经济参数'!$E$71)</x:f>
        <x:v>7</x:v>
      </x:c>
      <x:c r="V124" s="119" t="n">
        <x:f>IF(H124&gt;=('难度参数'!$E$52),1,0)+IF(H124&gt;=('难度参数'!$E$52+'难度参数'!$E$53),1,0)+IF(H124&gt;=('难度参数'!$E$52+'难度参数'!$E$53+'难度参数'!$E$54),1,0)+IF(H124&gt;=('难度参数'!$E$52+'难度参数'!$E$53+'难度参数'!$E$54+'难度参数'!$E$55),1,0)+IF(H124&gt;=('难度参数'!$E$52+'难度参数'!$E$53+'难度参数'!$E$54+'难度参数'!$E$55+'难度参数'!$E$56),1,0)+IF(H124&gt;=('难度参数'!$E$52+'难度参数'!$E$53+'难度参数'!$E$54+'难度参数'!$E$55+'难度参数'!$E$56+'难度参数'!$E$57),1,0)</x:f>
        <x:v>6</x:v>
      </x:c>
      <x:c r="W124" s="62" t="str">
        <x:f>IF(L124&gt;'难度参数'!$E$51,"仅出怪已超目标","还需实测")</x:f>
        <x:v>还需实测</x:v>
      </x:c>
      <x:c r="X124" s="119" t="n">
        <x:f>IF(1&gt;D124,0,MAX(2,MIN('难度参数'!$E$12,ROUND(('难度参数'!$E$18*POWER(A124,'难度参数'!$E$19)/D124*(0.85+0.3*(1-1)/MAX(1,D124-1))),0)+F124)))</x:f>
        <x:v>21</x:v>
      </x:c>
      <x:c r="Y124" s="119" t="n">
        <x:f>IF(1&gt;D124,0,ROUND(('难度参数'!$E$13*POWER(A124,'难度参数'!$E$20)*MIN('难度参数'!$E$23,1+MAX(0,A124-'难度参数'!$E$21)*'难度参数'!$E$22))*(36+1*7)/(36+7*(D124+1)/2)*E124,0))</x:f>
        <x:v>2698</x:v>
      </x:c>
      <x:c r="Z124" s="119" t="n">
        <x:f>IF(X124=0,0,(X124-IF(1=D124,1,0))*ROUND(Y124*VLOOKUP(INDEX('章节与怪物'!$E$31:$K$37,B124,1),'章节与怪物'!$A$41:$F$44,2,FALSE),0)+IF(1=D124,ROUND(Y124*'难度参数'!$E$28*'章节与怪物'!$E$17,0),0))</x:f>
        <x:v>56658</x:v>
      </x:c>
      <x:c r="AA124" s="119" t="n">
        <x:f>IF(X124=0,0,(X124-IF(1=D124,1,0))*VLOOKUP(INDEX('章节与怪物'!$E$31:$K$37,B124,1),'章节与怪物'!$A$41:$F$44,4,FALSE)+IF(1=D124,'难度参数'!$E$30,0))</x:f>
        <x:v>378</x:v>
      </x:c>
      <x:c r="AB124" s="119" t="n">
        <x:f>IF(2&gt;D124,0,MAX(2,MIN('难度参数'!$E$12,ROUND(('难度参数'!$E$18*POWER(A124,'难度参数'!$E$19)/D124*(0.85+0.3*(2-1)/MAX(1,D124-1))),0)+F124)))</x:f>
        <x:v>23</x:v>
      </x:c>
      <x:c r="AC124" s="119" t="n">
        <x:f>IF(2&gt;D124,0,ROUND(('难度参数'!$E$13*POWER(A124,'难度参数'!$E$20)*MIN('难度参数'!$E$23,1+MAX(0,A124-'难度参数'!$E$21)*'难度参数'!$E$22))*(36+2*7)/(36+7*(D124+1)/2)*E124,0))</x:f>
        <x:v>3137</x:v>
      </x:c>
      <x:c r="AD124" s="119" t="n">
        <x:f>IF(AB124=0,0,(AB124-IF(2=D124,1,0))*ROUND(AC124*VLOOKUP(INDEX('章节与怪物'!$E$31:$K$37,B124,2),'章节与怪物'!$A$41:$F$44,2,FALSE),0)+IF(2=D124,ROUND(AC124*'难度参数'!$E$28*'章节与怪物'!$E$17,0),0))</x:f>
        <x:v>51957</x:v>
      </x:c>
      <x:c r="AE124" s="119" t="n">
        <x:f>IF(AB124=0,0,(AB124-IF(2=D124,1,0))*VLOOKUP(INDEX('章节与怪物'!$E$31:$K$37,B124,2),'章节与怪物'!$A$41:$F$44,4,FALSE)+IF(2=D124,'难度参数'!$E$30,0))</x:f>
        <x:v>460</x:v>
      </x:c>
      <x:c r="AF124" s="119" t="n">
        <x:f>IF(3&gt;D124,0,MAX(2,MIN('难度参数'!$E$12,ROUND(('难度参数'!$E$18*POWER(A124,'难度参数'!$E$19)/D124*(0.85+0.3*(3-1)/MAX(1,D124-1))),0)+F124)))</x:f>
        <x:v>24</x:v>
      </x:c>
      <x:c r="AG124" s="119" t="n">
        <x:f>IF(3&gt;D124,0,ROUND(('难度参数'!$E$13*POWER(A124,'难度参数'!$E$20)*MIN('难度参数'!$E$23,1+MAX(0,A124-'难度参数'!$E$21)*'难度参数'!$E$22))*(36+3*7)/(36+7*(D124+1)/2)*E124,0))</x:f>
        <x:v>3576</x:v>
      </x:c>
      <x:c r="AH124" s="119" t="n">
        <x:f>IF(AF124=0,0,(AF124-IF(3=D124,1,0))*ROUND(AG124*VLOOKUP(INDEX('章节与怪物'!$E$31:$K$37,B124,3),'章节与怪物'!$A$41:$F$44,2,FALSE),0)+IF(3=D124,ROUND(AG124*'难度参数'!$E$28*'章节与怪物'!$E$17,0),0))</x:f>
        <x:v>145896</x:v>
      </x:c>
      <x:c r="AI124" s="119" t="n">
        <x:f>IF(AF124=0,0,(AF124-IF(3=D124,1,0))*VLOOKUP(INDEX('章节与怪物'!$E$31:$K$37,B124,3),'章节与怪物'!$A$41:$F$44,4,FALSE)+IF(3=D124,'难度参数'!$E$30,0))</x:f>
        <x:v>672</x:v>
      </x:c>
      <x:c r="AJ124" s="119" t="n">
        <x:f>IF(4&gt;D124,0,MAX(2,MIN('难度参数'!$E$12,ROUND(('难度参数'!$E$18*POWER(A124,'难度参数'!$E$19)/D124*(0.85+0.3*(4-1)/MAX(1,D124-1))),0)+F124)))</x:f>
        <x:v>25</x:v>
      </x:c>
      <x:c r="AK124" s="119" t="n">
        <x:f>IF(4&gt;D124,0,ROUND(('难度参数'!$E$13*POWER(A124,'难度参数'!$E$20)*MIN('难度参数'!$E$23,1+MAX(0,A124-'难度参数'!$E$21)*'难度参数'!$E$22))*(36+4*7)/(36+7*(D124+1)/2)*E124,0))</x:f>
        <x:v>4015</x:v>
      </x:c>
      <x:c r="AL124" s="119" t="n">
        <x:f>IF(AJ124=0,0,(AJ124-IF(4=D124,1,0))*ROUND(AK124*VLOOKUP(INDEX('章节与怪物'!$E$31:$K$37,B124,4),'章节与怪物'!$A$41:$F$44,2,FALSE),0)+IF(4=D124,ROUND(AK124*'难度参数'!$E$28*'章节与怪物'!$E$17,0),0))</x:f>
        <x:v>135500</x:v>
      </x:c>
      <x:c r="AM124" s="119" t="n">
        <x:f>IF(AJ124=0,0,(AJ124-IF(4=D124,1,0))*VLOOKUP(INDEX('章节与怪物'!$E$31:$K$37,B124,4),'章节与怪物'!$A$41:$F$44,4,FALSE)+IF(4=D124,'难度参数'!$E$30,0))</x:f>
        <x:v>850</x:v>
      </x:c>
      <x:c r="AN124" s="119" t="n">
        <x:f>IF(5&gt;D124,0,MAX(2,MIN('难度参数'!$E$12,ROUND(('难度参数'!$E$18*POWER(A124,'难度参数'!$E$19)/D124*(0.85+0.3*(5-1)/MAX(1,D124-1))),0)+F124)))</x:f>
        <x:v>26</x:v>
      </x:c>
      <x:c r="AO124" s="119" t="n">
        <x:f>IF(5&gt;D124,0,ROUND(('难度参数'!$E$13*POWER(A124,'难度参数'!$E$20)*MIN('难度参数'!$E$23,1+MAX(0,A124-'难度参数'!$E$21)*'难度参数'!$E$22))*(36+5*7)/(36+7*(D124+1)/2)*E124,0))</x:f>
        <x:v>4454</x:v>
      </x:c>
      <x:c r="AP124" s="119" t="n">
        <x:f>IF(AN124=0,0,(AN124-IF(5=D124,1,0))*ROUND(AO124*VLOOKUP(INDEX('章节与怪物'!$E$31:$K$37,B124,5),'章节与怪物'!$A$41:$F$44,2,FALSE),0)+IF(5=D124,ROUND(AO124*'难度参数'!$E$28*'章节与怪物'!$E$17,0),0))</x:f>
        <x:v>83382</x:v>
      </x:c>
      <x:c r="AQ124" s="119" t="n">
        <x:f>IF(AN124=0,0,(AN124-IF(5=D124,1,0))*VLOOKUP(INDEX('章节与怪物'!$E$31:$K$37,B124,5),'章节与怪物'!$A$41:$F$44,4,FALSE)+IF(5=D124,'难度参数'!$E$30,0))</x:f>
        <x:v>520</x:v>
      </x:c>
      <x:c r="AR124" s="119" t="n">
        <x:f>IF(6&gt;D124,0,MAX(2,MIN('难度参数'!$E$12,ROUND(('难度参数'!$E$18*POWER(A124,'难度参数'!$E$19)/D124*(0.85+0.3*(6-1)/MAX(1,D124-1))),0)+F124)))</x:f>
        <x:v>28</x:v>
      </x:c>
      <x:c r="AS124" s="119" t="n">
        <x:f>IF(6&gt;D124,0,ROUND(('难度参数'!$E$13*POWER(A124,'难度参数'!$E$20)*MIN('难度参数'!$E$23,1+MAX(0,A124-'难度参数'!$E$21)*'难度参数'!$E$22))*(36+6*7)/(36+7*(D124+1)/2)*E124,0))</x:f>
        <x:v>4893</x:v>
      </x:c>
      <x:c r="AT124" s="119" t="n">
        <x:f>IF(AR124=0,0,(AR124-IF(6=D124,1,0))*ROUND(AS124*VLOOKUP(INDEX('章节与怪物'!$E$31:$K$37,B124,6),'章节与怪物'!$A$41:$F$44,2,FALSE),0)+IF(6=D124,ROUND(AS124*'难度参数'!$E$28*'章节与怪物'!$E$17,0),0))</x:f>
        <x:v>232904</x:v>
      </x:c>
      <x:c r="AU124" s="119" t="n">
        <x:f>IF(AR124=0,0,(AR124-IF(6=D124,1,0))*VLOOKUP(INDEX('章节与怪物'!$E$31:$K$37,B124,6),'章节与怪物'!$A$41:$F$44,4,FALSE)+IF(6=D124,'难度参数'!$E$30,0))</x:f>
        <x:v>784</x:v>
      </x:c>
      <x:c r="AV124" s="119" t="n">
        <x:f>IF(7&gt;D124,0,MAX(2,MIN('难度参数'!$E$12,ROUND(('难度参数'!$E$18*POWER(A124,'难度参数'!$E$19)/D124*(0.85+0.3*(7-1)/MAX(1,D124-1))),0)+F124)))</x:f>
        <x:v>29</x:v>
      </x:c>
      <x:c r="AW124" s="119" t="n">
        <x:f>IF(7&gt;D124,0,ROUND(('难度参数'!$E$13*POWER(A124,'难度参数'!$E$20)*MIN('难度参数'!$E$23,1+MAX(0,A124-'难度参数'!$E$21)*'难度参数'!$E$22))*(36+7*7)/(36+7*(D124+1)/2)*E124,0))</x:f>
        <x:v>5332</x:v>
      </x:c>
      <x:c r="AX124" s="119" t="n">
        <x:f>IF(AV124=0,0,(AV124-IF(7=D124,1,0))*ROUND(AW124*VLOOKUP(INDEX('章节与怪物'!$E$31:$K$37,B124,7),'章节与怪物'!$A$41:$F$44,2,FALSE),0)+IF(7=D124,ROUND(AW124*'难度参数'!$E$28*'章节与怪物'!$E$17,0),0))</x:f>
        <x:v>237802</x:v>
      </x:c>
      <x:c r="AY124" s="119" t="n">
        <x:f>IF(AV124=0,0,(AV124-IF(7=D124,1,0))*VLOOKUP(INDEX('章节与怪物'!$E$31:$K$37,B124,7),'章节与怪物'!$A$41:$F$44,4,FALSE)+IF(7=D124,'难度参数'!$E$30,0))</x:f>
        <x:v>1152</x:v>
      </x:c>
    </x:row>
    <x:row r="125" ht="23" customHeight="1">
      <x:c r="A125" s="119" t="n">
        <x:v>119</x:v>
      </x:c>
      <x:c r="B125" s="119" t="n">
        <x:f>MOD(INT((A125-1)/5),7)+1</x:f>
        <x:v>3</x:v>
      </x:c>
      <x:c r="C125" s="62" t="str">
        <x:f>INDEX('章节与怪物'!$B$31:$B$37,B125)</x:f>
        <x:v>腐沼秘林</x:v>
      </x:c>
      <x:c r="D125" s="119" t="n">
        <x:f>MIN('难度参数'!$E$8,MAX('难度参数'!$E$7,A125))</x:f>
        <x:v>7</x:v>
      </x:c>
      <x:c r="E125" s="106" t="n">
        <x:v>1</x:v>
      </x:c>
      <x:c r="F125" s="106" t="n">
        <x:v>0</x:v>
      </x:c>
      <x:c r="G125" s="106" t="n">
        <x:v>1</x:v>
      </x:c>
      <x:c r="H125" s="119" t="n">
        <x:f>SUM(X125,AB125,AF125,AJ125,AN125,AR125,AV125)</x:f>
        <x:v>176</x:v>
      </x:c>
      <x:c r="I125" s="119" t="n">
        <x:f>SUM(Z125,AD125,AH125,AL125,AP125,AT125,AX125)</x:f>
        <x:v>952081</x:v>
      </x:c>
      <x:c r="J125" s="119" t="n">
        <x:f>ROUND(INDEX(X125:AY125,1,(D125-1)*4+2)*'难度参数'!$E$28*'章节与怪物'!$E$17,0)</x:f>
        <x:v>36564</x:v>
      </x:c>
      <x:c r="K125" s="119" t="n">
        <x:f>SUM(AA125,AE125,AI125,AM125,AQ125,AU125,AY125)</x:f>
        <x:v>4816</x:v>
      </x:c>
      <x:c r="L125" s="62" t="n">
        <x:f>H125*(ROUNDUP('难度参数'!$E$24/('难度参数'!$E$26*'难度参数'!$E$27),0)*'难度参数'!$E$26)/60</x:f>
        <x:v>2.3466666666666667</x:v>
      </x:c>
      <x:c r="M125" s="62" t="n">
        <x:f>L125+D125*('难度参数'!$E$49+'难度参数'!$E$50)/60</x:f>
        <x:v>3.5133333333333336</x:v>
      </x:c>
      <x:c r="N125" s="119" t="n">
        <x:f>ROUNDDOWN(('经济参数'!$E$20+A125*'经济参数'!$E$21)*G125,0)</x:f>
        <x:v>2560</x:v>
      </x:c>
      <x:c r="O125" s="119" t="n">
        <x:f>ROUNDDOWN(MIN('经济参数'!$E$24,'经济参数'!$E$22+A125*'经济参数'!$E$23)*G125,0)</x:f>
        <x:v>0</x:v>
      </x:c>
      <x:c r="P125" s="119" t="n">
        <x:f>ROUNDDOWN((IF(A125&gt;='材料与任务'!$E$31,'材料与任务'!$E$32,IF(A125&gt;='材料与任务'!$E$25,'材料与任务'!$E$26,IF(A125&gt;='材料与任务'!$E$19,'材料与任务'!$E$20,IF(A125&gt;='材料与任务'!$E$13,'材料与任务'!$E$14,'材料与任务'!$E$8)))))*G125,0)</x:f>
        <x:v>5</x:v>
      </x:c>
      <x:c r="Q125" s="119" t="n">
        <x:f>ROUNDDOWN((IF(A125&gt;='材料与任务'!$E$31,'材料与任务'!$E$33,IF(A125&gt;='材料与任务'!$E$25,'材料与任务'!$E$27,IF(A125&gt;='材料与任务'!$E$19,'材料与任务'!$E$21,IF(A125&gt;='材料与任务'!$E$13,'材料与任务'!$E$15,'材料与任务'!$E$9)))))*G125,0)</x:f>
        <x:v>2</x:v>
      </x:c>
      <x:c r="R125" s="110" t="n">
        <x:f>'装备掉落'!$B$38</x:f>
        <x:v>0.6872058758851213</x:v>
      </x:c>
      <x:c r="S125" s="119" t="n">
        <x:f>MAX(IF(VLOOKUP(A125,'装备掉落'!$A$29:$H$34,2,TRUE)&gt;0,1,0),IF(VLOOKUP(A125,'装备掉落'!$A$29:$H$34,3,TRUE)&gt;0,2,0),IF(VLOOKUP(A125,'装备掉落'!$A$29:$H$34,4,TRUE)&gt;0,3,0),IF(VLOOKUP(A125,'装备掉落'!$A$29:$H$34,5,TRUE)&gt;0,4,0),IF(VLOOKUP(A125,'装备掉落'!$A$29:$H$34,6,TRUE)&gt;0,5,0),IF(VLOOKUP(A125,'装备掉落'!$A$29:$H$34,7,TRUE)&gt;0,6,0),IF(VLOOKUP(A125,'装备掉落'!$A$29:$H$34,8,TRUE)&gt;0,7,0))</x:f>
        <x:v>7</x:v>
      </x:c>
      <x:c r="T125" s="119" t="n">
        <x:f>MIN(7,S125+'经济参数'!$E$70)</x:f>
        <x:v>7</x:v>
      </x:c>
      <x:c r="U125" s="119" t="n">
        <x:f>MIN(7,S125+'经济参数'!$E$71)</x:f>
        <x:v>7</x:v>
      </x:c>
      <x:c r="V125" s="119" t="n">
        <x:f>IF(H125&gt;=('难度参数'!$E$52),1,0)+IF(H125&gt;=('难度参数'!$E$52+'难度参数'!$E$53),1,0)+IF(H125&gt;=('难度参数'!$E$52+'难度参数'!$E$53+'难度参数'!$E$54),1,0)+IF(H125&gt;=('难度参数'!$E$52+'难度参数'!$E$53+'难度参数'!$E$54+'难度参数'!$E$55),1,0)+IF(H125&gt;=('难度参数'!$E$52+'难度参数'!$E$53+'难度参数'!$E$54+'难度参数'!$E$55+'难度参数'!$E$56),1,0)+IF(H125&gt;=('难度参数'!$E$52+'难度参数'!$E$53+'难度参数'!$E$54+'难度参数'!$E$55+'难度参数'!$E$56+'难度参数'!$E$57),1,0)</x:f>
        <x:v>6</x:v>
      </x:c>
      <x:c r="W125" s="62" t="str">
        <x:f>IF(L125&gt;'难度参数'!$E$51,"仅出怪已超目标","还需实测")</x:f>
        <x:v>还需实测</x:v>
      </x:c>
      <x:c r="X125" s="119" t="n">
        <x:f>IF(1&gt;D125,0,MAX(2,MIN('难度参数'!$E$12,ROUND(('难度参数'!$E$18*POWER(A125,'难度参数'!$E$19)/D125*(0.85+0.3*(1-1)/MAX(1,D125-1))),0)+F125)))</x:f>
        <x:v>21</x:v>
      </x:c>
      <x:c r="Y125" s="119" t="n">
        <x:f>IF(1&gt;D125,0,ROUND(('难度参数'!$E$13*POWER(A125,'难度参数'!$E$20)*MIN('难度参数'!$E$23,1+MAX(0,A125-'难度参数'!$E$21)*'难度参数'!$E$22))*(36+1*7)/(36+7*(D125+1)/2)*E125,0))</x:f>
        <x:v>2720</x:v>
      </x:c>
      <x:c r="Z125" s="119" t="n">
        <x:f>IF(X125=0,0,(X125-IF(1=D125,1,0))*ROUND(Y125*VLOOKUP(INDEX('章节与怪物'!$E$31:$K$37,B125,1),'章节与怪物'!$A$41:$F$44,2,FALSE),0)+IF(1=D125,ROUND(Y125*'难度参数'!$E$28*'章节与怪物'!$E$17,0),0))</x:f>
        <x:v>57120</x:v>
      </x:c>
      <x:c r="AA125" s="119" t="n">
        <x:f>IF(X125=0,0,(X125-IF(1=D125,1,0))*VLOOKUP(INDEX('章节与怪物'!$E$31:$K$37,B125,1),'章节与怪物'!$A$41:$F$44,4,FALSE)+IF(1=D125,'难度参数'!$E$30,0))</x:f>
        <x:v>378</x:v>
      </x:c>
      <x:c r="AB125" s="119" t="n">
        <x:f>IF(2&gt;D125,0,MAX(2,MIN('难度参数'!$E$12,ROUND(('难度参数'!$E$18*POWER(A125,'难度参数'!$E$19)/D125*(0.85+0.3*(2-1)/MAX(1,D125-1))),0)+F125)))</x:f>
        <x:v>23</x:v>
      </x:c>
      <x:c r="AC125" s="119" t="n">
        <x:f>IF(2&gt;D125,0,ROUND(('难度参数'!$E$13*POWER(A125,'难度参数'!$E$20)*MIN('难度参数'!$E$23,1+MAX(0,A125-'难度参数'!$E$21)*'难度参数'!$E$22))*(36+2*7)/(36+7*(D125+1)/2)*E125,0))</x:f>
        <x:v>3163</x:v>
      </x:c>
      <x:c r="AD125" s="119" t="n">
        <x:f>IF(AB125=0,0,(AB125-IF(2=D125,1,0))*ROUND(AC125*VLOOKUP(INDEX('章节与怪物'!$E$31:$K$37,B125,2),'章节与怪物'!$A$41:$F$44,2,FALSE),0)+IF(2=D125,ROUND(AC125*'难度参数'!$E$28*'章节与怪物'!$E$17,0),0))</x:f>
        <x:v>52371</x:v>
      </x:c>
      <x:c r="AE125" s="119" t="n">
        <x:f>IF(AB125=0,0,(AB125-IF(2=D125,1,0))*VLOOKUP(INDEX('章节与怪物'!$E$31:$K$37,B125,2),'章节与怪物'!$A$41:$F$44,4,FALSE)+IF(2=D125,'难度参数'!$E$30,0))</x:f>
        <x:v>460</x:v>
      </x:c>
      <x:c r="AF125" s="119" t="n">
        <x:f>IF(3&gt;D125,0,MAX(2,MIN('难度参数'!$E$12,ROUND(('难度参数'!$E$18*POWER(A125,'难度参数'!$E$19)/D125*(0.85+0.3*(3-1)/MAX(1,D125-1))),0)+F125)))</x:f>
        <x:v>24</x:v>
      </x:c>
      <x:c r="AG125" s="119" t="n">
        <x:f>IF(3&gt;D125,0,ROUND(('难度参数'!$E$13*POWER(A125,'难度参数'!$E$20)*MIN('难度参数'!$E$23,1+MAX(0,A125-'难度参数'!$E$21)*'难度参数'!$E$22))*(36+3*7)/(36+7*(D125+1)/2)*E125,0))</x:f>
        <x:v>3606</x:v>
      </x:c>
      <x:c r="AH125" s="119" t="n">
        <x:f>IF(AF125=0,0,(AF125-IF(3=D125,1,0))*ROUND(AG125*VLOOKUP(INDEX('章节与怪物'!$E$31:$K$37,B125,3),'章节与怪物'!$A$41:$F$44,2,FALSE),0)+IF(3=D125,ROUND(AG125*'难度参数'!$E$28*'章节与怪物'!$E$17,0),0))</x:f>
        <x:v>147120</x:v>
      </x:c>
      <x:c r="AI125" s="119" t="n">
        <x:f>IF(AF125=0,0,(AF125-IF(3=D125,1,0))*VLOOKUP(INDEX('章节与怪物'!$E$31:$K$37,B125,3),'章节与怪物'!$A$41:$F$44,4,FALSE)+IF(3=D125,'难度参数'!$E$30,0))</x:f>
        <x:v>672</x:v>
      </x:c>
      <x:c r="AJ125" s="119" t="n">
        <x:f>IF(4&gt;D125,0,MAX(2,MIN('难度参数'!$E$12,ROUND(('难度参数'!$E$18*POWER(A125,'难度参数'!$E$19)/D125*(0.85+0.3*(4-1)/MAX(1,D125-1))),0)+F125)))</x:f>
        <x:v>25</x:v>
      </x:c>
      <x:c r="AK125" s="119" t="n">
        <x:f>IF(4&gt;D125,0,ROUND(('难度参数'!$E$13*POWER(A125,'难度参数'!$E$20)*MIN('难度参数'!$E$23,1+MAX(0,A125-'难度参数'!$E$21)*'难度参数'!$E$22))*(36+4*7)/(36+7*(D125+1)/2)*E125,0))</x:f>
        <x:v>4049</x:v>
      </x:c>
      <x:c r="AL125" s="119" t="n">
        <x:f>IF(AJ125=0,0,(AJ125-IF(4=D125,1,0))*ROUND(AK125*VLOOKUP(INDEX('章节与怪物'!$E$31:$K$37,B125,4),'章节与怪物'!$A$41:$F$44,2,FALSE),0)+IF(4=D125,ROUND(AK125*'难度参数'!$E$28*'章节与怪物'!$E$17,0),0))</x:f>
        <x:v>136650</x:v>
      </x:c>
      <x:c r="AM125" s="119" t="n">
        <x:f>IF(AJ125=0,0,(AJ125-IF(4=D125,1,0))*VLOOKUP(INDEX('章节与怪物'!$E$31:$K$37,B125,4),'章节与怪物'!$A$41:$F$44,4,FALSE)+IF(4=D125,'难度参数'!$E$30,0))</x:f>
        <x:v>850</x:v>
      </x:c>
      <x:c r="AN125" s="119" t="n">
        <x:f>IF(5&gt;D125,0,MAX(2,MIN('难度参数'!$E$12,ROUND(('难度参数'!$E$18*POWER(A125,'难度参数'!$E$19)/D125*(0.85+0.3*(5-1)/MAX(1,D125-1))),0)+F125)))</x:f>
        <x:v>26</x:v>
      </x:c>
      <x:c r="AO125" s="119" t="n">
        <x:f>IF(5&gt;D125,0,ROUND(('难度参数'!$E$13*POWER(A125,'难度参数'!$E$20)*MIN('难度参数'!$E$23,1+MAX(0,A125-'难度参数'!$E$21)*'难度参数'!$E$22))*(36+5*7)/(36+7*(D125+1)/2)*E125,0))</x:f>
        <x:v>4492</x:v>
      </x:c>
      <x:c r="AP125" s="119" t="n">
        <x:f>IF(AN125=0,0,(AN125-IF(5=D125,1,0))*ROUND(AO125*VLOOKUP(INDEX('章节与怪物'!$E$31:$K$37,B125,5),'章节与怪物'!$A$41:$F$44,2,FALSE),0)+IF(5=D125,ROUND(AO125*'难度参数'!$E$28*'章节与怪物'!$E$17,0),0))</x:f>
        <x:v>84084</x:v>
      </x:c>
      <x:c r="AQ125" s="119" t="n">
        <x:f>IF(AN125=0,0,(AN125-IF(5=D125,1,0))*VLOOKUP(INDEX('章节与怪物'!$E$31:$K$37,B125,5),'章节与怪物'!$A$41:$F$44,4,FALSE)+IF(5=D125,'难度参数'!$E$30,0))</x:f>
        <x:v>520</x:v>
      </x:c>
      <x:c r="AR125" s="119" t="n">
        <x:f>IF(6&gt;D125,0,MAX(2,MIN('难度参数'!$E$12,ROUND(('难度参数'!$E$18*POWER(A125,'难度参数'!$E$19)/D125*(0.85+0.3*(6-1)/MAX(1,D125-1))),0)+F125)))</x:f>
        <x:v>28</x:v>
      </x:c>
      <x:c r="AS125" s="119" t="n">
        <x:f>IF(6&gt;D125,0,ROUND(('难度参数'!$E$13*POWER(A125,'难度参数'!$E$20)*MIN('难度参数'!$E$23,1+MAX(0,A125-'难度参数'!$E$21)*'难度参数'!$E$22))*(36+6*7)/(36+7*(D125+1)/2)*E125,0))</x:f>
        <x:v>4935</x:v>
      </x:c>
      <x:c r="AT125" s="119" t="n">
        <x:f>IF(AR125=0,0,(AR125-IF(6=D125,1,0))*ROUND(AS125*VLOOKUP(INDEX('章节与怪物'!$E$31:$K$37,B125,6),'章节与怪物'!$A$41:$F$44,2,FALSE),0)+IF(6=D125,ROUND(AS125*'难度参数'!$E$28*'章节与怪物'!$E$17,0),0))</x:f>
        <x:v>234920</x:v>
      </x:c>
      <x:c r="AU125" s="119" t="n">
        <x:f>IF(AR125=0,0,(AR125-IF(6=D125,1,0))*VLOOKUP(INDEX('章节与怪物'!$E$31:$K$37,B125,6),'章节与怪物'!$A$41:$F$44,4,FALSE)+IF(6=D125,'难度参数'!$E$30,0))</x:f>
        <x:v>784</x:v>
      </x:c>
      <x:c r="AV125" s="119" t="n">
        <x:f>IF(7&gt;D125,0,MAX(2,MIN('难度参数'!$E$12,ROUND(('难度参数'!$E$18*POWER(A125,'难度参数'!$E$19)/D125*(0.85+0.3*(7-1)/MAX(1,D125-1))),0)+F125)))</x:f>
        <x:v>29</x:v>
      </x:c>
      <x:c r="AW125" s="119" t="n">
        <x:f>IF(7&gt;D125,0,ROUND(('难度参数'!$E$13*POWER(A125,'难度参数'!$E$20)*MIN('难度参数'!$E$23,1+MAX(0,A125-'难度参数'!$E$21)*'难度参数'!$E$22))*(36+7*7)/(36+7*(D125+1)/2)*E125,0))</x:f>
        <x:v>5377</x:v>
      </x:c>
      <x:c r="AX125" s="119" t="n">
        <x:f>IF(AV125=0,0,(AV125-IF(7=D125,1,0))*ROUND(AW125*VLOOKUP(INDEX('章节与怪物'!$E$31:$K$37,B125,7),'章节与怪物'!$A$41:$F$44,2,FALSE),0)+IF(7=D125,ROUND(AW125*'难度参数'!$E$28*'章节与怪物'!$E$17,0),0))</x:f>
        <x:v>239816</x:v>
      </x:c>
      <x:c r="AY125" s="119" t="n">
        <x:f>IF(AV125=0,0,(AV125-IF(7=D125,1,0))*VLOOKUP(INDEX('章节与怪物'!$E$31:$K$37,B125,7),'章节与怪物'!$A$41:$F$44,4,FALSE)+IF(7=D125,'难度参数'!$E$30,0))</x:f>
        <x:v>1152</x:v>
      </x:c>
    </x:row>
    <x:row r="126" ht="23" customHeight="1">
      <x:c r="A126" s="119" t="n">
        <x:v>120</x:v>
      </x:c>
      <x:c r="B126" s="119" t="n">
        <x:f>MOD(INT((A126-1)/5),7)+1</x:f>
        <x:v>3</x:v>
      </x:c>
      <x:c r="C126" s="62" t="str">
        <x:f>INDEX('章节与怪物'!$B$31:$B$37,B126)</x:f>
        <x:v>腐沼秘林</x:v>
      </x:c>
      <x:c r="D126" s="119" t="n">
        <x:f>MIN('难度参数'!$E$8,MAX('难度参数'!$E$7,A126))</x:f>
        <x:v>7</x:v>
      </x:c>
      <x:c r="E126" s="106" t="n">
        <x:v>1</x:v>
      </x:c>
      <x:c r="F126" s="106" t="n">
        <x:v>0</x:v>
      </x:c>
      <x:c r="G126" s="106" t="n">
        <x:v>1</x:v>
      </x:c>
      <x:c r="H126" s="119" t="n">
        <x:f>SUM(X126,AB126,AF126,AJ126,AN126,AR126,AV126)</x:f>
        <x:v>176</x:v>
      </x:c>
      <x:c r="I126" s="119" t="n">
        <x:f>SUM(Z126,AD126,AH126,AL126,AP126,AT126,AX126)</x:f>
        <x:v>960046</x:v>
      </x:c>
      <x:c r="J126" s="119" t="n">
        <x:f>ROUND(INDEX(X126:AY126,1,(D126-1)*4+2)*'难度参数'!$E$28*'章节与怪物'!$E$17,0)</x:f>
        <x:v>36870</x:v>
      </x:c>
      <x:c r="K126" s="119" t="n">
        <x:f>SUM(AA126,AE126,AI126,AM126,AQ126,AU126,AY126)</x:f>
        <x:v>4816</x:v>
      </x:c>
      <x:c r="L126" s="62" t="n">
        <x:f>H126*(ROUNDUP('难度参数'!$E$24/('难度参数'!$E$26*'难度参数'!$E$27),0)*'难度参数'!$E$26)/60</x:f>
        <x:v>2.3466666666666667</x:v>
      </x:c>
      <x:c r="M126" s="62" t="n">
        <x:f>L126+D126*('难度参数'!$E$49+'难度参数'!$E$50)/60</x:f>
        <x:v>3.5133333333333336</x:v>
      </x:c>
      <x:c r="N126" s="119" t="n">
        <x:f>ROUNDDOWN(('经济参数'!$E$20+A126*'经济参数'!$E$21)*G126,0)</x:f>
        <x:v>2580</x:v>
      </x:c>
      <x:c r="O126" s="119" t="n">
        <x:f>ROUNDDOWN(MIN('经济参数'!$E$24,'经济参数'!$E$22+A126*'经济参数'!$E$23)*G126,0)</x:f>
        <x:v>0</x:v>
      </x:c>
      <x:c r="P126" s="119" t="n">
        <x:f>ROUNDDOWN((IF(A126&gt;='材料与任务'!$E$31,'材料与任务'!$E$32,IF(A126&gt;='材料与任务'!$E$25,'材料与任务'!$E$26,IF(A126&gt;='材料与任务'!$E$19,'材料与任务'!$E$20,IF(A126&gt;='材料与任务'!$E$13,'材料与任务'!$E$14,'材料与任务'!$E$8)))))*G126,0)</x:f>
        <x:v>5</x:v>
      </x:c>
      <x:c r="Q126" s="119" t="n">
        <x:f>ROUNDDOWN((IF(A126&gt;='材料与任务'!$E$31,'材料与任务'!$E$33,IF(A126&gt;='材料与任务'!$E$25,'材料与任务'!$E$27,IF(A126&gt;='材料与任务'!$E$19,'材料与任务'!$E$21,IF(A126&gt;='材料与任务'!$E$13,'材料与任务'!$E$15,'材料与任务'!$E$9)))))*G126,0)</x:f>
        <x:v>2</x:v>
      </x:c>
      <x:c r="R126" s="110" t="n">
        <x:f>'装备掉落'!$B$38</x:f>
        <x:v>0.6872058758851213</x:v>
      </x:c>
      <x:c r="S126" s="119" t="n">
        <x:f>MAX(IF(VLOOKUP(A126,'装备掉落'!$A$29:$H$34,2,TRUE)&gt;0,1,0),IF(VLOOKUP(A126,'装备掉落'!$A$29:$H$34,3,TRUE)&gt;0,2,0),IF(VLOOKUP(A126,'装备掉落'!$A$29:$H$34,4,TRUE)&gt;0,3,0),IF(VLOOKUP(A126,'装备掉落'!$A$29:$H$34,5,TRUE)&gt;0,4,0),IF(VLOOKUP(A126,'装备掉落'!$A$29:$H$34,6,TRUE)&gt;0,5,0),IF(VLOOKUP(A126,'装备掉落'!$A$29:$H$34,7,TRUE)&gt;0,6,0),IF(VLOOKUP(A126,'装备掉落'!$A$29:$H$34,8,TRUE)&gt;0,7,0))</x:f>
        <x:v>7</x:v>
      </x:c>
      <x:c r="T126" s="119" t="n">
        <x:f>MIN(7,S126+'经济参数'!$E$70)</x:f>
        <x:v>7</x:v>
      </x:c>
      <x:c r="U126" s="119" t="n">
        <x:f>MIN(7,S126+'经济参数'!$E$71)</x:f>
        <x:v>7</x:v>
      </x:c>
      <x:c r="V126" s="119" t="n">
        <x:f>IF(H126&gt;=('难度参数'!$E$52),1,0)+IF(H126&gt;=('难度参数'!$E$52+'难度参数'!$E$53),1,0)+IF(H126&gt;=('难度参数'!$E$52+'难度参数'!$E$53+'难度参数'!$E$54),1,0)+IF(H126&gt;=('难度参数'!$E$52+'难度参数'!$E$53+'难度参数'!$E$54+'难度参数'!$E$55),1,0)+IF(H126&gt;=('难度参数'!$E$52+'难度参数'!$E$53+'难度参数'!$E$54+'难度参数'!$E$55+'难度参数'!$E$56),1,0)+IF(H126&gt;=('难度参数'!$E$52+'难度参数'!$E$53+'难度参数'!$E$54+'难度参数'!$E$55+'难度参数'!$E$56+'难度参数'!$E$57),1,0)</x:f>
        <x:v>6</x:v>
      </x:c>
      <x:c r="W126" s="62" t="str">
        <x:f>IF(L126&gt;'难度参数'!$E$51,"仅出怪已超目标","还需实测")</x:f>
        <x:v>还需实测</x:v>
      </x:c>
      <x:c r="X126" s="119" t="n">
        <x:f>IF(1&gt;D126,0,MAX(2,MIN('难度参数'!$E$12,ROUND(('难度参数'!$E$18*POWER(A126,'难度参数'!$E$19)/D126*(0.85+0.3*(1-1)/MAX(1,D126-1))),0)+F126)))</x:f>
        <x:v>21</x:v>
      </x:c>
      <x:c r="Y126" s="119" t="n">
        <x:f>IF(1&gt;D126,0,ROUND(('难度参数'!$E$13*POWER(A126,'难度参数'!$E$20)*MIN('难度参数'!$E$23,1+MAX(0,A126-'难度参数'!$E$21)*'难度参数'!$E$22))*(36+1*7)/(36+7*(D126+1)/2)*E126,0))</x:f>
        <x:v>2743</x:v>
      </x:c>
      <x:c r="Z126" s="119" t="n">
        <x:f>IF(X126=0,0,(X126-IF(1=D126,1,0))*ROUND(Y126*VLOOKUP(INDEX('章节与怪物'!$E$31:$K$37,B126,1),'章节与怪物'!$A$41:$F$44,2,FALSE),0)+IF(1=D126,ROUND(Y126*'难度参数'!$E$28*'章节与怪物'!$E$17,0),0))</x:f>
        <x:v>57603</x:v>
      </x:c>
      <x:c r="AA126" s="119" t="n">
        <x:f>IF(X126=0,0,(X126-IF(1=D126,1,0))*VLOOKUP(INDEX('章节与怪物'!$E$31:$K$37,B126,1),'章节与怪物'!$A$41:$F$44,4,FALSE)+IF(1=D126,'难度参数'!$E$30,0))</x:f>
        <x:v>378</x:v>
      </x:c>
      <x:c r="AB126" s="119" t="n">
        <x:f>IF(2&gt;D126,0,MAX(2,MIN('难度参数'!$E$12,ROUND(('难度参数'!$E$18*POWER(A126,'难度参数'!$E$19)/D126*(0.85+0.3*(2-1)/MAX(1,D126-1))),0)+F126)))</x:f>
        <x:v>23</x:v>
      </x:c>
      <x:c r="AC126" s="119" t="n">
        <x:f>IF(2&gt;D126,0,ROUND(('难度参数'!$E$13*POWER(A126,'难度参数'!$E$20)*MIN('难度参数'!$E$23,1+MAX(0,A126-'难度参数'!$E$21)*'难度参数'!$E$22))*(36+2*7)/(36+7*(D126+1)/2)*E126,0))</x:f>
        <x:v>3190</x:v>
      </x:c>
      <x:c r="AD126" s="119" t="n">
        <x:f>IF(AB126=0,0,(AB126-IF(2=D126,1,0))*ROUND(AC126*VLOOKUP(INDEX('章节与怪物'!$E$31:$K$37,B126,2),'章节与怪物'!$A$41:$F$44,2,FALSE),0)+IF(2=D126,ROUND(AC126*'难度参数'!$E$28*'章节与怪物'!$E$17,0),0))</x:f>
        <x:v>52831</x:v>
      </x:c>
      <x:c r="AE126" s="119" t="n">
        <x:f>IF(AB126=0,0,(AB126-IF(2=D126,1,0))*VLOOKUP(INDEX('章节与怪物'!$E$31:$K$37,B126,2),'章节与怪物'!$A$41:$F$44,4,FALSE)+IF(2=D126,'难度参数'!$E$30,0))</x:f>
        <x:v>460</x:v>
      </x:c>
      <x:c r="AF126" s="119" t="n">
        <x:f>IF(3&gt;D126,0,MAX(2,MIN('难度参数'!$E$12,ROUND(('难度参数'!$E$18*POWER(A126,'难度参数'!$E$19)/D126*(0.85+0.3*(3-1)/MAX(1,D126-1))),0)+F126)))</x:f>
        <x:v>24</x:v>
      </x:c>
      <x:c r="AG126" s="119" t="n">
        <x:f>IF(3&gt;D126,0,ROUND(('难度参数'!$E$13*POWER(A126,'难度参数'!$E$20)*MIN('难度参数'!$E$23,1+MAX(0,A126-'难度参数'!$E$21)*'难度参数'!$E$22))*(36+3*7)/(36+7*(D126+1)/2)*E126,0))</x:f>
        <x:v>3636</x:v>
      </x:c>
      <x:c r="AH126" s="119" t="n">
        <x:f>IF(AF126=0,0,(AF126-IF(3=D126,1,0))*ROUND(AG126*VLOOKUP(INDEX('章节与怪物'!$E$31:$K$37,B126,3),'章节与怪物'!$A$41:$F$44,2,FALSE),0)+IF(3=D126,ROUND(AG126*'难度参数'!$E$28*'章节与怪物'!$E$17,0),0))</x:f>
        <x:v>148344</x:v>
      </x:c>
      <x:c r="AI126" s="119" t="n">
        <x:f>IF(AF126=0,0,(AF126-IF(3=D126,1,0))*VLOOKUP(INDEX('章节与怪物'!$E$31:$K$37,B126,3),'章节与怪物'!$A$41:$F$44,4,FALSE)+IF(3=D126,'难度参数'!$E$30,0))</x:f>
        <x:v>672</x:v>
      </x:c>
      <x:c r="AJ126" s="119" t="n">
        <x:f>IF(4&gt;D126,0,MAX(2,MIN('难度参数'!$E$12,ROUND(('难度参数'!$E$18*POWER(A126,'难度参数'!$E$19)/D126*(0.85+0.3*(4-1)/MAX(1,D126-1))),0)+F126)))</x:f>
        <x:v>25</x:v>
      </x:c>
      <x:c r="AK126" s="119" t="n">
        <x:f>IF(4&gt;D126,0,ROUND(('难度参数'!$E$13*POWER(A126,'难度参数'!$E$20)*MIN('难度参数'!$E$23,1+MAX(0,A126-'难度参数'!$E$21)*'难度参数'!$E$22))*(36+4*7)/(36+7*(D126+1)/2)*E126,0))</x:f>
        <x:v>4083</x:v>
      </x:c>
      <x:c r="AL126" s="119" t="n">
        <x:f>IF(AJ126=0,0,(AJ126-IF(4=D126,1,0))*ROUND(AK126*VLOOKUP(INDEX('章节与怪物'!$E$31:$K$37,B126,4),'章节与怪物'!$A$41:$F$44,2,FALSE),0)+IF(4=D126,ROUND(AK126*'难度参数'!$E$28*'章节与怪物'!$E$17,0),0))</x:f>
        <x:v>137800</x:v>
      </x:c>
      <x:c r="AM126" s="119" t="n">
        <x:f>IF(AJ126=0,0,(AJ126-IF(4=D126,1,0))*VLOOKUP(INDEX('章节与怪物'!$E$31:$K$37,B126,4),'章节与怪物'!$A$41:$F$44,4,FALSE)+IF(4=D126,'难度参数'!$E$30,0))</x:f>
        <x:v>850</x:v>
      </x:c>
      <x:c r="AN126" s="119" t="n">
        <x:f>IF(5&gt;D126,0,MAX(2,MIN('难度参数'!$E$12,ROUND(('难度参数'!$E$18*POWER(A126,'难度参数'!$E$19)/D126*(0.85+0.3*(5-1)/MAX(1,D126-1))),0)+F126)))</x:f>
        <x:v>26</x:v>
      </x:c>
      <x:c r="AO126" s="119" t="n">
        <x:f>IF(5&gt;D126,0,ROUND(('难度参数'!$E$13*POWER(A126,'难度参数'!$E$20)*MIN('难度参数'!$E$23,1+MAX(0,A126-'难度参数'!$E$21)*'难度参数'!$E$22))*(36+5*7)/(36+7*(D126+1)/2)*E126,0))</x:f>
        <x:v>4529</x:v>
      </x:c>
      <x:c r="AP126" s="119" t="n">
        <x:f>IF(AN126=0,0,(AN126-IF(5=D126,1,0))*ROUND(AO126*VLOOKUP(INDEX('章节与怪物'!$E$31:$K$37,B126,5),'章节与怪物'!$A$41:$F$44,2,FALSE),0)+IF(5=D126,ROUND(AO126*'难度参数'!$E$28*'章节与怪物'!$E$17,0),0))</x:f>
        <x:v>84786</x:v>
      </x:c>
      <x:c r="AQ126" s="119" t="n">
        <x:f>IF(AN126=0,0,(AN126-IF(5=D126,1,0))*VLOOKUP(INDEX('章节与怪物'!$E$31:$K$37,B126,5),'章节与怪物'!$A$41:$F$44,4,FALSE)+IF(5=D126,'难度参数'!$E$30,0))</x:f>
        <x:v>520</x:v>
      </x:c>
      <x:c r="AR126" s="119" t="n">
        <x:f>IF(6&gt;D126,0,MAX(2,MIN('难度参数'!$E$12,ROUND(('难度参数'!$E$18*POWER(A126,'难度参数'!$E$19)/D126*(0.85+0.3*(6-1)/MAX(1,D126-1))),0)+F126)))</x:f>
        <x:v>28</x:v>
      </x:c>
      <x:c r="AS126" s="119" t="n">
        <x:f>IF(6&gt;D126,0,ROUND(('难度参数'!$E$13*POWER(A126,'难度参数'!$E$20)*MIN('难度参数'!$E$23,1+MAX(0,A126-'难度参数'!$E$21)*'难度参数'!$E$22))*(36+6*7)/(36+7*(D126+1)/2)*E126,0))</x:f>
        <x:v>4976</x:v>
      </x:c>
      <x:c r="AT126" s="119" t="n">
        <x:f>IF(AR126=0,0,(AR126-IF(6=D126,1,0))*ROUND(AS126*VLOOKUP(INDEX('章节与怪物'!$E$31:$K$37,B126,6),'章节与怪物'!$A$41:$F$44,2,FALSE),0)+IF(6=D126,ROUND(AS126*'难度参数'!$E$28*'章节与怪物'!$E$17,0),0))</x:f>
        <x:v>236852</x:v>
      </x:c>
      <x:c r="AU126" s="119" t="n">
        <x:f>IF(AR126=0,0,(AR126-IF(6=D126,1,0))*VLOOKUP(INDEX('章节与怪物'!$E$31:$K$37,B126,6),'章节与怪物'!$A$41:$F$44,4,FALSE)+IF(6=D126,'难度参数'!$E$30,0))</x:f>
        <x:v>784</x:v>
      </x:c>
      <x:c r="AV126" s="119" t="n">
        <x:f>IF(7&gt;D126,0,MAX(2,MIN('难度参数'!$E$12,ROUND(('难度参数'!$E$18*POWER(A126,'难度参数'!$E$19)/D126*(0.85+0.3*(7-1)/MAX(1,D126-1))),0)+F126)))</x:f>
        <x:v>29</x:v>
      </x:c>
      <x:c r="AW126" s="119" t="n">
        <x:f>IF(7&gt;D126,0,ROUND(('难度参数'!$E$13*POWER(A126,'难度参数'!$E$20)*MIN('难度参数'!$E$23,1+MAX(0,A126-'难度参数'!$E$21)*'难度参数'!$E$22))*(36+7*7)/(36+7*(D126+1)/2)*E126,0))</x:f>
        <x:v>5422</x:v>
      </x:c>
      <x:c r="AX126" s="119" t="n">
        <x:f>IF(AV126=0,0,(AV126-IF(7=D126,1,0))*ROUND(AW126*VLOOKUP(INDEX('章节与怪物'!$E$31:$K$37,B126,7),'章节与怪物'!$A$41:$F$44,2,FALSE),0)+IF(7=D126,ROUND(AW126*'难度参数'!$E$28*'章节与怪物'!$E$17,0),0))</x:f>
        <x:v>241830</x:v>
      </x:c>
      <x:c r="AY126" s="119" t="n">
        <x:f>IF(AV126=0,0,(AV126-IF(7=D126,1,0))*VLOOKUP(INDEX('章节与怪物'!$E$31:$K$37,B126,7),'章节与怪物'!$A$41:$F$44,4,FALSE)+IF(7=D126,'难度参数'!$E$30,0))</x:f>
        <x:v>1152</x:v>
      </x:c>
    </x:row>
    <x:row r="127" ht="23" customHeight="1">
      <x:c r="A127" s="119" t="n">
        <x:v>121</x:v>
      </x:c>
      <x:c r="B127" s="119" t="n">
        <x:f>MOD(INT((A127-1)/5),7)+1</x:f>
        <x:v>4</x:v>
      </x:c>
      <x:c r="C127" s="62" t="str">
        <x:f>INDEX('章节与怪物'!$B$31:$B$37,B127)</x:f>
        <x:v>翠野边城</x:v>
      </x:c>
      <x:c r="D127" s="119" t="n">
        <x:f>MIN('难度参数'!$E$8,MAX('难度参数'!$E$7,A127))</x:f>
        <x:v>7</x:v>
      </x:c>
      <x:c r="E127" s="106" t="n">
        <x:v>1</x:v>
      </x:c>
      <x:c r="F127" s="106" t="n">
        <x:v>0</x:v>
      </x:c>
      <x:c r="G127" s="106" t="n">
        <x:v>1</x:v>
      </x:c>
      <x:c r="H127" s="119" t="n">
        <x:f>SUM(X127,AB127,AF127,AJ127,AN127,AR127,AV127)</x:f>
        <x:v>177</x:v>
      </x:c>
      <x:c r="I127" s="119" t="n">
        <x:f>SUM(Z127,AD127,AH127,AL127,AP127,AT127,AX127)</x:f>
        <x:v>872641</x:v>
      </x:c>
      <x:c r="J127" s="119" t="n">
        <x:f>ROUND(INDEX(X127:AY127,1,(D127-1)*4+2)*'难度参数'!$E$28*'章节与怪物'!$E$17,0)</x:f>
        <x:v>37182</x:v>
      </x:c>
      <x:c r="K127" s="119" t="n">
        <x:f>SUM(AA127,AE127,AI127,AM127,AQ127,AU127,AY127)</x:f>
        <x:v>4554</x:v>
      </x:c>
      <x:c r="L127" s="62" t="n">
        <x:f>H127*(ROUNDUP('难度参数'!$E$24/('难度参数'!$E$26*'难度参数'!$E$27),0)*'难度参数'!$E$26)/60</x:f>
        <x:v>2.36</x:v>
      </x:c>
      <x:c r="M127" s="62" t="n">
        <x:f>L127+D127*('难度参数'!$E$49+'难度参数'!$E$50)/60</x:f>
        <x:v>3.5266666666666664</x:v>
      </x:c>
      <x:c r="N127" s="119" t="n">
        <x:f>ROUNDDOWN(('经济参数'!$E$20+A127*'经济参数'!$E$21)*G127,0)</x:f>
        <x:v>2600</x:v>
      </x:c>
      <x:c r="O127" s="119" t="n">
        <x:f>ROUNDDOWN(MIN('经济参数'!$E$24,'经济参数'!$E$22+A127*'经济参数'!$E$23)*G127,0)</x:f>
        <x:v>0</x:v>
      </x:c>
      <x:c r="P127" s="119" t="n">
        <x:f>ROUNDDOWN((IF(A127&gt;='材料与任务'!$E$31,'材料与任务'!$E$32,IF(A127&gt;='材料与任务'!$E$25,'材料与任务'!$E$26,IF(A127&gt;='材料与任务'!$E$19,'材料与任务'!$E$20,IF(A127&gt;='材料与任务'!$E$13,'材料与任务'!$E$14,'材料与任务'!$E$8)))))*G127,0)</x:f>
        <x:v>6</x:v>
      </x:c>
      <x:c r="Q127" s="119" t="n">
        <x:f>ROUNDDOWN((IF(A127&gt;='材料与任务'!$E$31,'材料与任务'!$E$33,IF(A127&gt;='材料与任务'!$E$25,'材料与任务'!$E$27,IF(A127&gt;='材料与任务'!$E$19,'材料与任务'!$E$21,IF(A127&gt;='材料与任务'!$E$13,'材料与任务'!$E$15,'材料与任务'!$E$9)))))*G127,0)</x:f>
        <x:v>3</x:v>
      </x:c>
      <x:c r="R127" s="110" t="n">
        <x:f>'装备掉落'!$B$38</x:f>
        <x:v>0.6872058758851213</x:v>
      </x:c>
      <x:c r="S127" s="119" t="n">
        <x:f>MAX(IF(VLOOKUP(A127,'装备掉落'!$A$29:$H$34,2,TRUE)&gt;0,1,0),IF(VLOOKUP(A127,'装备掉落'!$A$29:$H$34,3,TRUE)&gt;0,2,0),IF(VLOOKUP(A127,'装备掉落'!$A$29:$H$34,4,TRUE)&gt;0,3,0),IF(VLOOKUP(A127,'装备掉落'!$A$29:$H$34,5,TRUE)&gt;0,4,0),IF(VLOOKUP(A127,'装备掉落'!$A$29:$H$34,6,TRUE)&gt;0,5,0),IF(VLOOKUP(A127,'装备掉落'!$A$29:$H$34,7,TRUE)&gt;0,6,0),IF(VLOOKUP(A127,'装备掉落'!$A$29:$H$34,8,TRUE)&gt;0,7,0))</x:f>
        <x:v>7</x:v>
      </x:c>
      <x:c r="T127" s="119" t="n">
        <x:f>MIN(7,S127+'经济参数'!$E$70)</x:f>
        <x:v>7</x:v>
      </x:c>
      <x:c r="U127" s="119" t="n">
        <x:f>MIN(7,S127+'经济参数'!$E$71)</x:f>
        <x:v>7</x:v>
      </x:c>
      <x:c r="V127" s="119" t="n">
        <x:f>IF(H127&gt;=('难度参数'!$E$52),1,0)+IF(H127&gt;=('难度参数'!$E$52+'难度参数'!$E$53),1,0)+IF(H127&gt;=('难度参数'!$E$52+'难度参数'!$E$53+'难度参数'!$E$54),1,0)+IF(H127&gt;=('难度参数'!$E$52+'难度参数'!$E$53+'难度参数'!$E$54+'难度参数'!$E$55),1,0)+IF(H127&gt;=('难度参数'!$E$52+'难度参数'!$E$53+'难度参数'!$E$54+'难度参数'!$E$55+'难度参数'!$E$56),1,0)+IF(H127&gt;=('难度参数'!$E$52+'难度参数'!$E$53+'难度参数'!$E$54+'难度参数'!$E$55+'难度参数'!$E$56+'难度参数'!$E$57),1,0)</x:f>
        <x:v>6</x:v>
      </x:c>
      <x:c r="W127" s="62" t="str">
        <x:f>IF(L127&gt;'难度参数'!$E$51,"仅出怪已超目标","还需实测")</x:f>
        <x:v>还需实测</x:v>
      </x:c>
      <x:c r="X127" s="119" t="n">
        <x:f>IF(1&gt;D127,0,MAX(2,MIN('难度参数'!$E$12,ROUND(('难度参数'!$E$18*POWER(A127,'难度参数'!$E$19)/D127*(0.85+0.3*(1-1)/MAX(1,D127-1))),0)+F127)))</x:f>
        <x:v>21</x:v>
      </x:c>
      <x:c r="Y127" s="119" t="n">
        <x:f>IF(1&gt;D127,0,ROUND(('难度参数'!$E$13*POWER(A127,'难度参数'!$E$20)*MIN('难度参数'!$E$23,1+MAX(0,A127-'难度参数'!$E$21)*'难度参数'!$E$22))*(36+1*7)/(36+7*(D127+1)/2)*E127,0))</x:f>
        <x:v>2766</x:v>
      </x:c>
      <x:c r="Z127" s="119" t="n">
        <x:f>IF(X127=0,0,(X127-IF(1=D127,1,0))*ROUND(Y127*VLOOKUP(INDEX('章节与怪物'!$E$31:$K$37,B127,1),'章节与怪物'!$A$41:$F$44,2,FALSE),0)+IF(1=D127,ROUND(Y127*'难度参数'!$E$28*'章节与怪物'!$E$17,0),0))</x:f>
        <x:v>41832</x:v>
      </x:c>
      <x:c r="AA127" s="119" t="n">
        <x:f>IF(X127=0,0,(X127-IF(1=D127,1,0))*VLOOKUP(INDEX('章节与怪物'!$E$31:$K$37,B127,1),'章节与怪物'!$A$41:$F$44,4,FALSE)+IF(1=D127,'难度参数'!$E$30,0))</x:f>
        <x:v>420</x:v>
      </x:c>
      <x:c r="AB127" s="119" t="n">
        <x:f>IF(2&gt;D127,0,MAX(2,MIN('难度参数'!$E$12,ROUND(('难度参数'!$E$18*POWER(A127,'难度参数'!$E$19)/D127*(0.85+0.3*(2-1)/MAX(1,D127-1))),0)+F127)))</x:f>
        <x:v>23</x:v>
      </x:c>
      <x:c r="AC127" s="119" t="n">
        <x:f>IF(2&gt;D127,0,ROUND(('难度参数'!$E$13*POWER(A127,'难度参数'!$E$20)*MIN('难度参数'!$E$23,1+MAX(0,A127-'难度参数'!$E$21)*'难度参数'!$E$22))*(36+2*7)/(36+7*(D127+1)/2)*E127,0))</x:f>
        <x:v>3216</x:v>
      </x:c>
      <x:c r="AD127" s="119" t="n">
        <x:f>IF(AB127=0,0,(AB127-IF(2=D127,1,0))*ROUND(AC127*VLOOKUP(INDEX('章节与怪物'!$E$31:$K$37,B127,2),'章节与怪物'!$A$41:$F$44,2,FALSE),0)+IF(2=D127,ROUND(AC127*'难度参数'!$E$28*'章节与怪物'!$E$17,0),0))</x:f>
        <x:v>73968</x:v>
      </x:c>
      <x:c r="AE127" s="119" t="n">
        <x:f>IF(AB127=0,0,(AB127-IF(2=D127,1,0))*VLOOKUP(INDEX('章节与怪物'!$E$31:$K$37,B127,2),'章节与怪物'!$A$41:$F$44,4,FALSE)+IF(2=D127,'难度参数'!$E$30,0))</x:f>
        <x:v>414</x:v>
      </x:c>
      <x:c r="AF127" s="119" t="n">
        <x:f>IF(3&gt;D127,0,MAX(2,MIN('难度参数'!$E$12,ROUND(('难度参数'!$E$18*POWER(A127,'难度参数'!$E$19)/D127*(0.85+0.3*(3-1)/MAX(1,D127-1))),0)+F127)))</x:f>
        <x:v>24</x:v>
      </x:c>
      <x:c r="AG127" s="119" t="n">
        <x:f>IF(3&gt;D127,0,ROUND(('难度参数'!$E$13*POWER(A127,'难度参数'!$E$20)*MIN('难度参数'!$E$23,1+MAX(0,A127-'难度参数'!$E$21)*'难度参数'!$E$22))*(36+3*7)/(36+7*(D127+1)/2)*E127,0))</x:f>
        <x:v>3666</x:v>
      </x:c>
      <x:c r="AH127" s="119" t="n">
        <x:f>IF(AF127=0,0,(AF127-IF(3=D127,1,0))*ROUND(AG127*VLOOKUP(INDEX('章节与怪物'!$E$31:$K$37,B127,3),'章节与怪物'!$A$41:$F$44,2,FALSE),0)+IF(3=D127,ROUND(AG127*'难度参数'!$E$28*'章节与怪物'!$E$17,0),0))</x:f>
        <x:v>149568</x:v>
      </x:c>
      <x:c r="AI127" s="119" t="n">
        <x:f>IF(AF127=0,0,(AF127-IF(3=D127,1,0))*VLOOKUP(INDEX('章节与怪物'!$E$31:$K$37,B127,3),'章节与怪物'!$A$41:$F$44,4,FALSE)+IF(3=D127,'难度参数'!$E$30,0))</x:f>
        <x:v>672</x:v>
      </x:c>
      <x:c r="AJ127" s="119" t="n">
        <x:f>IF(4&gt;D127,0,MAX(2,MIN('难度参数'!$E$12,ROUND(('难度参数'!$E$18*POWER(A127,'难度参数'!$E$19)/D127*(0.85+0.3*(4-1)/MAX(1,D127-1))),0)+F127)))</x:f>
        <x:v>25</x:v>
      </x:c>
      <x:c r="AK127" s="119" t="n">
        <x:f>IF(4&gt;D127,0,ROUND(('难度参数'!$E$13*POWER(A127,'难度参数'!$E$20)*MIN('难度参数'!$E$23,1+MAX(0,A127-'难度参数'!$E$21)*'难度参数'!$E$22))*(36+4*7)/(36+7*(D127+1)/2)*E127,0))</x:f>
        <x:v>4117</x:v>
      </x:c>
      <x:c r="AL127" s="119" t="n">
        <x:f>IF(AJ127=0,0,(AJ127-IF(4=D127,1,0))*ROUND(AK127*VLOOKUP(INDEX('章节与怪物'!$E$31:$K$37,B127,4),'章节与怪物'!$A$41:$F$44,2,FALSE),0)+IF(4=D127,ROUND(AK127*'难度参数'!$E$28*'章节与怪物'!$E$17,0),0))</x:f>
        <x:v>138950</x:v>
      </x:c>
      <x:c r="AM127" s="119" t="n">
        <x:f>IF(AJ127=0,0,(AJ127-IF(4=D127,1,0))*VLOOKUP(INDEX('章节与怪物'!$E$31:$K$37,B127,4),'章节与怪物'!$A$41:$F$44,4,FALSE)+IF(4=D127,'难度参数'!$E$30,0))</x:f>
        <x:v>850</x:v>
      </x:c>
      <x:c r="AN127" s="119" t="n">
        <x:f>IF(5&gt;D127,0,MAX(2,MIN('难度参数'!$E$12,ROUND(('难度参数'!$E$18*POWER(A127,'难度参数'!$E$19)/D127*(0.85+0.3*(5-1)/MAX(1,D127-1))),0)+F127)))</x:f>
        <x:v>27</x:v>
      </x:c>
      <x:c r="AO127" s="119" t="n">
        <x:f>IF(5&gt;D127,0,ROUND(('难度参数'!$E$13*POWER(A127,'难度参数'!$E$20)*MIN('难度参数'!$E$23,1+MAX(0,A127-'难度参数'!$E$21)*'难度参数'!$E$22))*(36+5*7)/(36+7*(D127+1)/2)*E127,0))</x:f>
        <x:v>4567</x:v>
      </x:c>
      <x:c r="AP127" s="119" t="n">
        <x:f>IF(AN127=0,0,(AN127-IF(5=D127,1,0))*ROUND(AO127*VLOOKUP(INDEX('章节与怪物'!$E$31:$K$37,B127,5),'章节与怪物'!$A$41:$F$44,2,FALSE),0)+IF(5=D127,ROUND(AO127*'难度参数'!$E$28*'章节与怪物'!$E$17,0),0))</x:f>
        <x:v>123309</x:v>
      </x:c>
      <x:c r="AQ127" s="119" t="n">
        <x:f>IF(AN127=0,0,(AN127-IF(5=D127,1,0))*VLOOKUP(INDEX('章节与怪物'!$E$31:$K$37,B127,5),'章节与怪物'!$A$41:$F$44,4,FALSE)+IF(5=D127,'难度参数'!$E$30,0))</x:f>
        <x:v>486</x:v>
      </x:c>
      <x:c r="AR127" s="119" t="n">
        <x:f>IF(6&gt;D127,0,MAX(2,MIN('难度参数'!$E$12,ROUND(('难度参数'!$E$18*POWER(A127,'难度参数'!$E$19)/D127*(0.85+0.3*(6-1)/MAX(1,D127-1))),0)+F127)))</x:f>
        <x:v>28</x:v>
      </x:c>
      <x:c r="AS127" s="119" t="n">
        <x:f>IF(6&gt;D127,0,ROUND(('难度参数'!$E$13*POWER(A127,'难度参数'!$E$20)*MIN('难度参数'!$E$23,1+MAX(0,A127-'难度参数'!$E$21)*'难度参数'!$E$22))*(36+6*7)/(36+7*(D127+1)/2)*E127,0))</x:f>
        <x:v>5017</x:v>
      </x:c>
      <x:c r="AT127" s="119" t="n">
        <x:f>IF(AR127=0,0,(AR127-IF(6=D127,1,0))*ROUND(AS127*VLOOKUP(INDEX('章节与怪物'!$E$31:$K$37,B127,6),'章节与怪物'!$A$41:$F$44,2,FALSE),0)+IF(6=D127,ROUND(AS127*'难度参数'!$E$28*'章节与怪物'!$E$17,0),0))</x:f>
        <x:v>101136</x:v>
      </x:c>
      <x:c r="AU127" s="119" t="n">
        <x:f>IF(AR127=0,0,(AR127-IF(6=D127,1,0))*VLOOKUP(INDEX('章节与怪物'!$E$31:$K$37,B127,6),'章节与怪物'!$A$41:$F$44,4,FALSE)+IF(6=D127,'难度参数'!$E$30,0))</x:f>
        <x:v>560</x:v>
      </x:c>
      <x:c r="AV127" s="119" t="n">
        <x:f>IF(7&gt;D127,0,MAX(2,MIN('难度参数'!$E$12,ROUND(('难度参数'!$E$18*POWER(A127,'难度参数'!$E$19)/D127*(0.85+0.3*(7-1)/MAX(1,D127-1))),0)+F127)))</x:f>
        <x:v>29</x:v>
      </x:c>
      <x:c r="AW127" s="119" t="n">
        <x:f>IF(7&gt;D127,0,ROUND(('难度参数'!$E$13*POWER(A127,'难度参数'!$E$20)*MIN('难度参数'!$E$23,1+MAX(0,A127-'难度参数'!$E$21)*'难度参数'!$E$22))*(36+7*7)/(36+7*(D127+1)/2)*E127,0))</x:f>
        <x:v>5468</x:v>
      </x:c>
      <x:c r="AX127" s="119" t="n">
        <x:f>IF(AV127=0,0,(AV127-IF(7=D127,1,0))*ROUND(AW127*VLOOKUP(INDEX('章节与怪物'!$E$31:$K$37,B127,7),'章节与怪物'!$A$41:$F$44,2,FALSE),0)+IF(7=D127,ROUND(AW127*'难度参数'!$E$28*'章节与怪物'!$E$17,0),0))</x:f>
        <x:v>243878</x:v>
      </x:c>
      <x:c r="AY127" s="119" t="n">
        <x:f>IF(AV127=0,0,(AV127-IF(7=D127,1,0))*VLOOKUP(INDEX('章节与怪物'!$E$31:$K$37,B127,7),'章节与怪物'!$A$41:$F$44,4,FALSE)+IF(7=D127,'难度参数'!$E$30,0))</x:f>
        <x:v>1152</x:v>
      </x:c>
    </x:row>
    <x:row r="128" ht="23" customHeight="1">
      <x:c r="A128" s="119" t="n">
        <x:v>122</x:v>
      </x:c>
      <x:c r="B128" s="119" t="n">
        <x:f>MOD(INT((A128-1)/5),7)+1</x:f>
        <x:v>4</x:v>
      </x:c>
      <x:c r="C128" s="62" t="str">
        <x:f>INDEX('章节与怪物'!$B$31:$B$37,B128)</x:f>
        <x:v>翠野边城</x:v>
      </x:c>
      <x:c r="D128" s="119" t="n">
        <x:f>MIN('难度参数'!$E$8,MAX('难度参数'!$E$7,A128))</x:f>
        <x:v>7</x:v>
      </x:c>
      <x:c r="E128" s="106" t="n">
        <x:v>1</x:v>
      </x:c>
      <x:c r="F128" s="106" t="n">
        <x:v>0</x:v>
      </x:c>
      <x:c r="G128" s="106" t="n">
        <x:v>1</x:v>
      </x:c>
      <x:c r="H128" s="119" t="n">
        <x:f>SUM(X128,AB128,AF128,AJ128,AN128,AR128,AV128)</x:f>
        <x:v>178</x:v>
      </x:c>
      <x:c r="I128" s="119" t="n">
        <x:f>SUM(Z128,AD128,AH128,AL128,AP128,AT128,AX128)</x:f>
        <x:v>881908</x:v>
      </x:c>
      <x:c r="J128" s="119" t="n">
        <x:f>ROUND(INDEX(X128:AY128,1,(D128-1)*4+2)*'难度参数'!$E$28*'章节与怪物'!$E$17,0)</x:f>
        <x:v>37488</x:v>
      </x:c>
      <x:c r="K128" s="119" t="n">
        <x:f>SUM(AA128,AE128,AI128,AM128,AQ128,AU128,AY128)</x:f>
        <x:v>4574</x:v>
      </x:c>
      <x:c r="L128" s="62" t="n">
        <x:f>H128*(ROUNDUP('难度参数'!$E$24/('难度参数'!$E$26*'难度参数'!$E$27),0)*'难度参数'!$E$26)/60</x:f>
        <x:v>2.3733333333333335</x:v>
      </x:c>
      <x:c r="M128" s="62" t="n">
        <x:f>L128+D128*('难度参数'!$E$49+'难度参数'!$E$50)/60</x:f>
        <x:v>3.54</x:v>
      </x:c>
      <x:c r="N128" s="119" t="n">
        <x:f>ROUNDDOWN(('经济参数'!$E$20+A128*'经济参数'!$E$21)*G128,0)</x:f>
        <x:v>2620</x:v>
      </x:c>
      <x:c r="O128" s="119" t="n">
        <x:f>ROUNDDOWN(MIN('经济参数'!$E$24,'经济参数'!$E$22+A128*'经济参数'!$E$23)*G128,0)</x:f>
        <x:v>0</x:v>
      </x:c>
      <x:c r="P128" s="119" t="n">
        <x:f>ROUNDDOWN((IF(A128&gt;='材料与任务'!$E$31,'材料与任务'!$E$32,IF(A128&gt;='材料与任务'!$E$25,'材料与任务'!$E$26,IF(A128&gt;='材料与任务'!$E$19,'材料与任务'!$E$20,IF(A128&gt;='材料与任务'!$E$13,'材料与任务'!$E$14,'材料与任务'!$E$8)))))*G128,0)</x:f>
        <x:v>6</x:v>
      </x:c>
      <x:c r="Q128" s="119" t="n">
        <x:f>ROUNDDOWN((IF(A128&gt;='材料与任务'!$E$31,'材料与任务'!$E$33,IF(A128&gt;='材料与任务'!$E$25,'材料与任务'!$E$27,IF(A128&gt;='材料与任务'!$E$19,'材料与任务'!$E$21,IF(A128&gt;='材料与任务'!$E$13,'材料与任务'!$E$15,'材料与任务'!$E$9)))))*G128,0)</x:f>
        <x:v>3</x:v>
      </x:c>
      <x:c r="R128" s="110" t="n">
        <x:f>'装备掉落'!$B$38</x:f>
        <x:v>0.6872058758851213</x:v>
      </x:c>
      <x:c r="S128" s="119" t="n">
        <x:f>MAX(IF(VLOOKUP(A128,'装备掉落'!$A$29:$H$34,2,TRUE)&gt;0,1,0),IF(VLOOKUP(A128,'装备掉落'!$A$29:$H$34,3,TRUE)&gt;0,2,0),IF(VLOOKUP(A128,'装备掉落'!$A$29:$H$34,4,TRUE)&gt;0,3,0),IF(VLOOKUP(A128,'装备掉落'!$A$29:$H$34,5,TRUE)&gt;0,4,0),IF(VLOOKUP(A128,'装备掉落'!$A$29:$H$34,6,TRUE)&gt;0,5,0),IF(VLOOKUP(A128,'装备掉落'!$A$29:$H$34,7,TRUE)&gt;0,6,0),IF(VLOOKUP(A128,'装备掉落'!$A$29:$H$34,8,TRUE)&gt;0,7,0))</x:f>
        <x:v>7</x:v>
      </x:c>
      <x:c r="T128" s="119" t="n">
        <x:f>MIN(7,S128+'经济参数'!$E$70)</x:f>
        <x:v>7</x:v>
      </x:c>
      <x:c r="U128" s="119" t="n">
        <x:f>MIN(7,S128+'经济参数'!$E$71)</x:f>
        <x:v>7</x:v>
      </x:c>
      <x:c r="V128" s="119" t="n">
        <x:f>IF(H128&gt;=('难度参数'!$E$52),1,0)+IF(H128&gt;=('难度参数'!$E$52+'难度参数'!$E$53),1,0)+IF(H128&gt;=('难度参数'!$E$52+'难度参数'!$E$53+'难度参数'!$E$54),1,0)+IF(H128&gt;=('难度参数'!$E$52+'难度参数'!$E$53+'难度参数'!$E$54+'难度参数'!$E$55),1,0)+IF(H128&gt;=('难度参数'!$E$52+'难度参数'!$E$53+'难度参数'!$E$54+'难度参数'!$E$55+'难度参数'!$E$56),1,0)+IF(H128&gt;=('难度参数'!$E$52+'难度参数'!$E$53+'难度参数'!$E$54+'难度参数'!$E$55+'难度参数'!$E$56+'难度参数'!$E$57),1,0)</x:f>
        <x:v>6</x:v>
      </x:c>
      <x:c r="W128" s="62" t="str">
        <x:f>IF(L128&gt;'难度参数'!$E$51,"仅出怪已超目标","还需实测")</x:f>
        <x:v>还需实测</x:v>
      </x:c>
      <x:c r="X128" s="119" t="n">
        <x:f>IF(1&gt;D128,0,MAX(2,MIN('难度参数'!$E$12,ROUND(('难度参数'!$E$18*POWER(A128,'难度参数'!$E$19)/D128*(0.85+0.3*(1-1)/MAX(1,D128-1))),0)+F128)))</x:f>
        <x:v>22</x:v>
      </x:c>
      <x:c r="Y128" s="119" t="n">
        <x:f>IF(1&gt;D128,0,ROUND(('难度参数'!$E$13*POWER(A128,'难度参数'!$E$20)*MIN('难度参数'!$E$23,1+MAX(0,A128-'难度参数'!$E$21)*'难度参数'!$E$22))*(36+1*7)/(36+7*(D128+1)/2)*E128,0))</x:f>
        <x:v>2789</x:v>
      </x:c>
      <x:c r="Z128" s="119" t="n">
        <x:f>IF(X128=0,0,(X128-IF(1=D128,1,0))*ROUND(Y128*VLOOKUP(INDEX('章节与怪物'!$E$31:$K$37,B128,1),'章节与怪物'!$A$41:$F$44,2,FALSE),0)+IF(1=D128,ROUND(Y128*'难度参数'!$E$28*'章节与怪物'!$E$17,0),0))</x:f>
        <x:v>44176</x:v>
      </x:c>
      <x:c r="AA128" s="119" t="n">
        <x:f>IF(X128=0,0,(X128-IF(1=D128,1,0))*VLOOKUP(INDEX('章节与怪物'!$E$31:$K$37,B128,1),'章节与怪物'!$A$41:$F$44,4,FALSE)+IF(1=D128,'难度参数'!$E$30,0))</x:f>
        <x:v>440</x:v>
      </x:c>
      <x:c r="AB128" s="119" t="n">
        <x:f>IF(2&gt;D128,0,MAX(2,MIN('难度参数'!$E$12,ROUND(('难度参数'!$E$18*POWER(A128,'难度参数'!$E$19)/D128*(0.85+0.3*(2-1)/MAX(1,D128-1))),0)+F128)))</x:f>
        <x:v>23</x:v>
      </x:c>
      <x:c r="AC128" s="119" t="n">
        <x:f>IF(2&gt;D128,0,ROUND(('难度参数'!$E$13*POWER(A128,'难度参数'!$E$20)*MIN('难度参数'!$E$23,1+MAX(0,A128-'难度参数'!$E$21)*'难度参数'!$E$22))*(36+2*7)/(36+7*(D128+1)/2)*E128,0))</x:f>
        <x:v>3243</x:v>
      </x:c>
      <x:c r="AD128" s="119" t="n">
        <x:f>IF(AB128=0,0,(AB128-IF(2=D128,1,0))*ROUND(AC128*VLOOKUP(INDEX('章节与怪物'!$E$31:$K$37,B128,2),'章节与怪物'!$A$41:$F$44,2,FALSE),0)+IF(2=D128,ROUND(AC128*'难度参数'!$E$28*'章节与怪物'!$E$17,0),0))</x:f>
        <x:v>74589</x:v>
      </x:c>
      <x:c r="AE128" s="119" t="n">
        <x:f>IF(AB128=0,0,(AB128-IF(2=D128,1,0))*VLOOKUP(INDEX('章节与怪物'!$E$31:$K$37,B128,2),'章节与怪物'!$A$41:$F$44,4,FALSE)+IF(2=D128,'难度参数'!$E$30,0))</x:f>
        <x:v>414</x:v>
      </x:c>
      <x:c r="AF128" s="119" t="n">
        <x:f>IF(3&gt;D128,0,MAX(2,MIN('难度参数'!$E$12,ROUND(('难度参数'!$E$18*POWER(A128,'难度参数'!$E$19)/D128*(0.85+0.3*(3-1)/MAX(1,D128-1))),0)+F128)))</x:f>
        <x:v>24</x:v>
      </x:c>
      <x:c r="AG128" s="119" t="n">
        <x:f>IF(3&gt;D128,0,ROUND(('难度参数'!$E$13*POWER(A128,'难度参数'!$E$20)*MIN('难度参数'!$E$23,1+MAX(0,A128-'难度参数'!$E$21)*'难度参数'!$E$22))*(36+3*7)/(36+7*(D128+1)/2)*E128,0))</x:f>
        <x:v>3697</x:v>
      </x:c>
      <x:c r="AH128" s="119" t="n">
        <x:f>IF(AF128=0,0,(AF128-IF(3=D128,1,0))*ROUND(AG128*VLOOKUP(INDEX('章节与怪物'!$E$31:$K$37,B128,3),'章节与怪物'!$A$41:$F$44,2,FALSE),0)+IF(3=D128,ROUND(AG128*'难度参数'!$E$28*'章节与怪物'!$E$17,0),0))</x:f>
        <x:v>150840</x:v>
      </x:c>
      <x:c r="AI128" s="119" t="n">
        <x:f>IF(AF128=0,0,(AF128-IF(3=D128,1,0))*VLOOKUP(INDEX('章节与怪物'!$E$31:$K$37,B128,3),'章节与怪物'!$A$41:$F$44,4,FALSE)+IF(3=D128,'难度参数'!$E$30,0))</x:f>
        <x:v>672</x:v>
      </x:c>
      <x:c r="AJ128" s="119" t="n">
        <x:f>IF(4&gt;D128,0,MAX(2,MIN('难度参数'!$E$12,ROUND(('难度参数'!$E$18*POWER(A128,'难度参数'!$E$19)/D128*(0.85+0.3*(4-1)/MAX(1,D128-1))),0)+F128)))</x:f>
        <x:v>25</x:v>
      </x:c>
      <x:c r="AK128" s="119" t="n">
        <x:f>IF(4&gt;D128,0,ROUND(('难度参数'!$E$13*POWER(A128,'难度参数'!$E$20)*MIN('难度参数'!$E$23,1+MAX(0,A128-'难度参数'!$E$21)*'难度参数'!$E$22))*(36+4*7)/(36+7*(D128+1)/2)*E128,0))</x:f>
        <x:v>4151</x:v>
      </x:c>
      <x:c r="AL128" s="119" t="n">
        <x:f>IF(AJ128=0,0,(AJ128-IF(4=D128,1,0))*ROUND(AK128*VLOOKUP(INDEX('章节与怪物'!$E$31:$K$37,B128,4),'章节与怪物'!$A$41:$F$44,2,FALSE),0)+IF(4=D128,ROUND(AK128*'难度参数'!$E$28*'章节与怪物'!$E$17,0),0))</x:f>
        <x:v>140100</x:v>
      </x:c>
      <x:c r="AM128" s="119" t="n">
        <x:f>IF(AJ128=0,0,(AJ128-IF(4=D128,1,0))*VLOOKUP(INDEX('章节与怪物'!$E$31:$K$37,B128,4),'章节与怪物'!$A$41:$F$44,4,FALSE)+IF(4=D128,'难度参数'!$E$30,0))</x:f>
        <x:v>850</x:v>
      </x:c>
      <x:c r="AN128" s="119" t="n">
        <x:f>IF(5&gt;D128,0,MAX(2,MIN('难度参数'!$E$12,ROUND(('难度参数'!$E$18*POWER(A128,'难度参数'!$E$19)/D128*(0.85+0.3*(5-1)/MAX(1,D128-1))),0)+F128)))</x:f>
        <x:v>27</x:v>
      </x:c>
      <x:c r="AO128" s="119" t="n">
        <x:f>IF(5&gt;D128,0,ROUND(('难度参数'!$E$13*POWER(A128,'难度参数'!$E$20)*MIN('难度参数'!$E$23,1+MAX(0,A128-'难度参数'!$E$21)*'难度参数'!$E$22))*(36+5*7)/(36+7*(D128+1)/2)*E128,0))</x:f>
        <x:v>4605</x:v>
      </x:c>
      <x:c r="AP128" s="119" t="n">
        <x:f>IF(AN128=0,0,(AN128-IF(5=D128,1,0))*ROUND(AO128*VLOOKUP(INDEX('章节与怪物'!$E$31:$K$37,B128,5),'章节与怪物'!$A$41:$F$44,2,FALSE),0)+IF(5=D128,ROUND(AO128*'难度参数'!$E$28*'章节与怪物'!$E$17,0),0))</x:f>
        <x:v>124335</x:v>
      </x:c>
      <x:c r="AQ128" s="119" t="n">
        <x:f>IF(AN128=0,0,(AN128-IF(5=D128,1,0))*VLOOKUP(INDEX('章节与怪物'!$E$31:$K$37,B128,5),'章节与怪物'!$A$41:$F$44,4,FALSE)+IF(5=D128,'难度参数'!$E$30,0))</x:f>
        <x:v>486</x:v>
      </x:c>
      <x:c r="AR128" s="119" t="n">
        <x:f>IF(6&gt;D128,0,MAX(2,MIN('难度参数'!$E$12,ROUND(('难度参数'!$E$18*POWER(A128,'难度参数'!$E$19)/D128*(0.85+0.3*(6-1)/MAX(1,D128-1))),0)+F128)))</x:f>
        <x:v>28</x:v>
      </x:c>
      <x:c r="AS128" s="119" t="n">
        <x:f>IF(6&gt;D128,0,ROUND(('难度参数'!$E$13*POWER(A128,'难度参数'!$E$20)*MIN('难度参数'!$E$23,1+MAX(0,A128-'难度参数'!$E$21)*'难度参数'!$E$22))*(36+6*7)/(36+7*(D128+1)/2)*E128,0))</x:f>
        <x:v>5059</x:v>
      </x:c>
      <x:c r="AT128" s="119" t="n">
        <x:f>IF(AR128=0,0,(AR128-IF(6=D128,1,0))*ROUND(AS128*VLOOKUP(INDEX('章节与怪物'!$E$31:$K$37,B128,6),'章节与怪物'!$A$41:$F$44,2,FALSE),0)+IF(6=D128,ROUND(AS128*'难度参数'!$E$28*'章节与怪物'!$E$17,0),0))</x:f>
        <x:v>101976</x:v>
      </x:c>
      <x:c r="AU128" s="119" t="n">
        <x:f>IF(AR128=0,0,(AR128-IF(6=D128,1,0))*VLOOKUP(INDEX('章节与怪物'!$E$31:$K$37,B128,6),'章节与怪物'!$A$41:$F$44,4,FALSE)+IF(6=D128,'难度参数'!$E$30,0))</x:f>
        <x:v>560</x:v>
      </x:c>
      <x:c r="AV128" s="119" t="n">
        <x:f>IF(7&gt;D128,0,MAX(2,MIN('难度参数'!$E$12,ROUND(('难度参数'!$E$18*POWER(A128,'难度参数'!$E$19)/D128*(0.85+0.3*(7-1)/MAX(1,D128-1))),0)+F128)))</x:f>
        <x:v>29</x:v>
      </x:c>
      <x:c r="AW128" s="119" t="n">
        <x:f>IF(7&gt;D128,0,ROUND(('难度参数'!$E$13*POWER(A128,'难度参数'!$E$20)*MIN('难度参数'!$E$23,1+MAX(0,A128-'难度参数'!$E$21)*'难度参数'!$E$22))*(36+7*7)/(36+7*(D128+1)/2)*E128,0))</x:f>
        <x:v>5513</x:v>
      </x:c>
      <x:c r="AX128" s="119" t="n">
        <x:f>IF(AV128=0,0,(AV128-IF(7=D128,1,0))*ROUND(AW128*VLOOKUP(INDEX('章节与怪物'!$E$31:$K$37,B128,7),'章节与怪物'!$A$41:$F$44,2,FALSE),0)+IF(7=D128,ROUND(AW128*'难度参数'!$E$28*'章节与怪物'!$E$17,0),0))</x:f>
        <x:v>245892</x:v>
      </x:c>
      <x:c r="AY128" s="119" t="n">
        <x:f>IF(AV128=0,0,(AV128-IF(7=D128,1,0))*VLOOKUP(INDEX('章节与怪物'!$E$31:$K$37,B128,7),'章节与怪物'!$A$41:$F$44,4,FALSE)+IF(7=D128,'难度参数'!$E$30,0))</x:f>
        <x:v>1152</x:v>
      </x:c>
    </x:row>
    <x:row r="129" ht="23" customHeight="1">
      <x:c r="A129" s="119" t="n">
        <x:v>123</x:v>
      </x:c>
      <x:c r="B129" s="119" t="n">
        <x:f>MOD(INT((A129-1)/5),7)+1</x:f>
        <x:v>4</x:v>
      </x:c>
      <x:c r="C129" s="62" t="str">
        <x:f>INDEX('章节与怪物'!$B$31:$B$37,B129)</x:f>
        <x:v>翠野边城</x:v>
      </x:c>
      <x:c r="D129" s="119" t="n">
        <x:f>MIN('难度参数'!$E$8,MAX('难度参数'!$E$7,A129))</x:f>
        <x:v>7</x:v>
      </x:c>
      <x:c r="E129" s="106" t="n">
        <x:v>1</x:v>
      </x:c>
      <x:c r="F129" s="106" t="n">
        <x:v>0</x:v>
      </x:c>
      <x:c r="G129" s="106" t="n">
        <x:v>1</x:v>
      </x:c>
      <x:c r="H129" s="119" t="n">
        <x:f>SUM(X129,AB129,AF129,AJ129,AN129,AR129,AV129)</x:f>
        <x:v>178</x:v>
      </x:c>
      <x:c r="I129" s="119" t="n">
        <x:f>SUM(Z129,AD129,AH129,AL129,AP129,AT129,AX129)</x:f>
        <x:v>889079</x:v>
      </x:c>
      <x:c r="J129" s="119" t="n">
        <x:f>ROUND(INDEX(X129:AY129,1,(D129-1)*4+2)*'难度参数'!$E$28*'章节与怪物'!$E$17,0)</x:f>
        <x:v>37794</x:v>
      </x:c>
      <x:c r="K129" s="119" t="n">
        <x:f>SUM(AA129,AE129,AI129,AM129,AQ129,AU129,AY129)</x:f>
        <x:v>4574</x:v>
      </x:c>
      <x:c r="L129" s="62" t="n">
        <x:f>H129*(ROUNDUP('难度参数'!$E$24/('难度参数'!$E$26*'难度参数'!$E$27),0)*'难度参数'!$E$26)/60</x:f>
        <x:v>2.3733333333333335</x:v>
      </x:c>
      <x:c r="M129" s="62" t="n">
        <x:f>L129+D129*('难度参数'!$E$49+'难度参数'!$E$50)/60</x:f>
        <x:v>3.54</x:v>
      </x:c>
      <x:c r="N129" s="119" t="n">
        <x:f>ROUNDDOWN(('经济参数'!$E$20+A129*'经济参数'!$E$21)*G129,0)</x:f>
        <x:v>2640</x:v>
      </x:c>
      <x:c r="O129" s="119" t="n">
        <x:f>ROUNDDOWN(MIN('经济参数'!$E$24,'经济参数'!$E$22+A129*'经济参数'!$E$23)*G129,0)</x:f>
        <x:v>0</x:v>
      </x:c>
      <x:c r="P129" s="119" t="n">
        <x:f>ROUNDDOWN((IF(A129&gt;='材料与任务'!$E$31,'材料与任务'!$E$32,IF(A129&gt;='材料与任务'!$E$25,'材料与任务'!$E$26,IF(A129&gt;='材料与任务'!$E$19,'材料与任务'!$E$20,IF(A129&gt;='材料与任务'!$E$13,'材料与任务'!$E$14,'材料与任务'!$E$8)))))*G129,0)</x:f>
        <x:v>6</x:v>
      </x:c>
      <x:c r="Q129" s="119" t="n">
        <x:f>ROUNDDOWN((IF(A129&gt;='材料与任务'!$E$31,'材料与任务'!$E$33,IF(A129&gt;='材料与任务'!$E$25,'材料与任务'!$E$27,IF(A129&gt;='材料与任务'!$E$19,'材料与任务'!$E$21,IF(A129&gt;='材料与任务'!$E$13,'材料与任务'!$E$15,'材料与任务'!$E$9)))))*G129,0)</x:f>
        <x:v>3</x:v>
      </x:c>
      <x:c r="R129" s="110" t="n">
        <x:f>'装备掉落'!$B$38</x:f>
        <x:v>0.6872058758851213</x:v>
      </x:c>
      <x:c r="S129" s="119" t="n">
        <x:f>MAX(IF(VLOOKUP(A129,'装备掉落'!$A$29:$H$34,2,TRUE)&gt;0,1,0),IF(VLOOKUP(A129,'装备掉落'!$A$29:$H$34,3,TRUE)&gt;0,2,0),IF(VLOOKUP(A129,'装备掉落'!$A$29:$H$34,4,TRUE)&gt;0,3,0),IF(VLOOKUP(A129,'装备掉落'!$A$29:$H$34,5,TRUE)&gt;0,4,0),IF(VLOOKUP(A129,'装备掉落'!$A$29:$H$34,6,TRUE)&gt;0,5,0),IF(VLOOKUP(A129,'装备掉落'!$A$29:$H$34,7,TRUE)&gt;0,6,0),IF(VLOOKUP(A129,'装备掉落'!$A$29:$H$34,8,TRUE)&gt;0,7,0))</x:f>
        <x:v>7</x:v>
      </x:c>
      <x:c r="T129" s="119" t="n">
        <x:f>MIN(7,S129+'经济参数'!$E$70)</x:f>
        <x:v>7</x:v>
      </x:c>
      <x:c r="U129" s="119" t="n">
        <x:f>MIN(7,S129+'经济参数'!$E$71)</x:f>
        <x:v>7</x:v>
      </x:c>
      <x:c r="V129" s="119" t="n">
        <x:f>IF(H129&gt;=('难度参数'!$E$52),1,0)+IF(H129&gt;=('难度参数'!$E$52+'难度参数'!$E$53),1,0)+IF(H129&gt;=('难度参数'!$E$52+'难度参数'!$E$53+'难度参数'!$E$54),1,0)+IF(H129&gt;=('难度参数'!$E$52+'难度参数'!$E$53+'难度参数'!$E$54+'难度参数'!$E$55),1,0)+IF(H129&gt;=('难度参数'!$E$52+'难度参数'!$E$53+'难度参数'!$E$54+'难度参数'!$E$55+'难度参数'!$E$56),1,0)+IF(H129&gt;=('难度参数'!$E$52+'难度参数'!$E$53+'难度参数'!$E$54+'难度参数'!$E$55+'难度参数'!$E$56+'难度参数'!$E$57),1,0)</x:f>
        <x:v>6</x:v>
      </x:c>
      <x:c r="W129" s="62" t="str">
        <x:f>IF(L129&gt;'难度参数'!$E$51,"仅出怪已超目标","还需实测")</x:f>
        <x:v>还需实测</x:v>
      </x:c>
      <x:c r="X129" s="119" t="n">
        <x:f>IF(1&gt;D129,0,MAX(2,MIN('难度参数'!$E$12,ROUND(('难度参数'!$E$18*POWER(A129,'难度参数'!$E$19)/D129*(0.85+0.3*(1-1)/MAX(1,D129-1))),0)+F129)))</x:f>
        <x:v>22</x:v>
      </x:c>
      <x:c r="Y129" s="119" t="n">
        <x:f>IF(1&gt;D129,0,ROUND(('难度参数'!$E$13*POWER(A129,'难度参数'!$E$20)*MIN('难度参数'!$E$23,1+MAX(0,A129-'难度参数'!$E$21)*'难度参数'!$E$22))*(36+1*7)/(36+7*(D129+1)/2)*E129,0))</x:f>
        <x:v>2812</x:v>
      </x:c>
      <x:c r="Z129" s="119" t="n">
        <x:f>IF(X129=0,0,(X129-IF(1=D129,1,0))*ROUND(Y129*VLOOKUP(INDEX('章节与怪物'!$E$31:$K$37,B129,1),'章节与怪物'!$A$41:$F$44,2,FALSE),0)+IF(1=D129,ROUND(Y129*'难度参数'!$E$28*'章节与怪物'!$E$17,0),0))</x:f>
        <x:v>44550</x:v>
      </x:c>
      <x:c r="AA129" s="119" t="n">
        <x:f>IF(X129=0,0,(X129-IF(1=D129,1,0))*VLOOKUP(INDEX('章节与怪物'!$E$31:$K$37,B129,1),'章节与怪物'!$A$41:$F$44,4,FALSE)+IF(1=D129,'难度参数'!$E$30,0))</x:f>
        <x:v>440</x:v>
      </x:c>
      <x:c r="AB129" s="119" t="n">
        <x:f>IF(2&gt;D129,0,MAX(2,MIN('难度参数'!$E$12,ROUND(('难度参数'!$E$18*POWER(A129,'难度参数'!$E$19)/D129*(0.85+0.3*(2-1)/MAX(1,D129-1))),0)+F129)))</x:f>
        <x:v>23</x:v>
      </x:c>
      <x:c r="AC129" s="119" t="n">
        <x:f>IF(2&gt;D129,0,ROUND(('难度参数'!$E$13*POWER(A129,'难度参数'!$E$20)*MIN('难度参数'!$E$23,1+MAX(0,A129-'难度参数'!$E$21)*'难度参数'!$E$22))*(36+2*7)/(36+7*(D129+1)/2)*E129,0))</x:f>
        <x:v>3269</x:v>
      </x:c>
      <x:c r="AD129" s="119" t="n">
        <x:f>IF(AB129=0,0,(AB129-IF(2=D129,1,0))*ROUND(AC129*VLOOKUP(INDEX('章节与怪物'!$E$31:$K$37,B129,2),'章节与怪物'!$A$41:$F$44,2,FALSE),0)+IF(2=D129,ROUND(AC129*'难度参数'!$E$28*'章节与怪物'!$E$17,0),0))</x:f>
        <x:v>75187</x:v>
      </x:c>
      <x:c r="AE129" s="119" t="n">
        <x:f>IF(AB129=0,0,(AB129-IF(2=D129,1,0))*VLOOKUP(INDEX('章节与怪物'!$E$31:$K$37,B129,2),'章节与怪物'!$A$41:$F$44,4,FALSE)+IF(2=D129,'难度参数'!$E$30,0))</x:f>
        <x:v>414</x:v>
      </x:c>
      <x:c r="AF129" s="119" t="n">
        <x:f>IF(3&gt;D129,0,MAX(2,MIN('难度参数'!$E$12,ROUND(('难度参数'!$E$18*POWER(A129,'难度参数'!$E$19)/D129*(0.85+0.3*(3-1)/MAX(1,D129-1))),0)+F129)))</x:f>
        <x:v>24</x:v>
      </x:c>
      <x:c r="AG129" s="119" t="n">
        <x:f>IF(3&gt;D129,0,ROUND(('难度参数'!$E$13*POWER(A129,'难度参数'!$E$20)*MIN('难度参数'!$E$23,1+MAX(0,A129-'难度参数'!$E$21)*'难度参数'!$E$22))*(36+3*7)/(36+7*(D129+1)/2)*E129,0))</x:f>
        <x:v>3727</x:v>
      </x:c>
      <x:c r="AH129" s="119" t="n">
        <x:f>IF(AF129=0,0,(AF129-IF(3=D129,1,0))*ROUND(AG129*VLOOKUP(INDEX('章节与怪物'!$E$31:$K$37,B129,3),'章节与怪物'!$A$41:$F$44,2,FALSE),0)+IF(3=D129,ROUND(AG129*'难度参数'!$E$28*'章节与怪物'!$E$17,0),0))</x:f>
        <x:v>152064</x:v>
      </x:c>
      <x:c r="AI129" s="119" t="n">
        <x:f>IF(AF129=0,0,(AF129-IF(3=D129,1,0))*VLOOKUP(INDEX('章节与怪物'!$E$31:$K$37,B129,3),'章节与怪物'!$A$41:$F$44,4,FALSE)+IF(3=D129,'难度参数'!$E$30,0))</x:f>
        <x:v>672</x:v>
      </x:c>
      <x:c r="AJ129" s="119" t="n">
        <x:f>IF(4&gt;D129,0,MAX(2,MIN('难度参数'!$E$12,ROUND(('难度参数'!$E$18*POWER(A129,'难度参数'!$E$19)/D129*(0.85+0.3*(4-1)/MAX(1,D129-1))),0)+F129)))</x:f>
        <x:v>25</x:v>
      </x:c>
      <x:c r="AK129" s="119" t="n">
        <x:f>IF(4&gt;D129,0,ROUND(('难度参数'!$E$13*POWER(A129,'难度参数'!$E$20)*MIN('难度参数'!$E$23,1+MAX(0,A129-'难度参数'!$E$21)*'难度参数'!$E$22))*(36+4*7)/(36+7*(D129+1)/2)*E129,0))</x:f>
        <x:v>4185</x:v>
      </x:c>
      <x:c r="AL129" s="119" t="n">
        <x:f>IF(AJ129=0,0,(AJ129-IF(4=D129,1,0))*ROUND(AK129*VLOOKUP(INDEX('章节与怪物'!$E$31:$K$37,B129,4),'章节与怪物'!$A$41:$F$44,2,FALSE),0)+IF(4=D129,ROUND(AK129*'难度参数'!$E$28*'章节与怪物'!$E$17,0),0))</x:f>
        <x:v>141250</x:v>
      </x:c>
      <x:c r="AM129" s="119" t="n">
        <x:f>IF(AJ129=0,0,(AJ129-IF(4=D129,1,0))*VLOOKUP(INDEX('章节与怪物'!$E$31:$K$37,B129,4),'章节与怪物'!$A$41:$F$44,4,FALSE)+IF(4=D129,'难度参数'!$E$30,0))</x:f>
        <x:v>850</x:v>
      </x:c>
      <x:c r="AN129" s="119" t="n">
        <x:f>IF(5&gt;D129,0,MAX(2,MIN('难度参数'!$E$12,ROUND(('难度参数'!$E$18*POWER(A129,'难度参数'!$E$19)/D129*(0.85+0.3*(5-1)/MAX(1,D129-1))),0)+F129)))</x:f>
        <x:v>27</x:v>
      </x:c>
      <x:c r="AO129" s="119" t="n">
        <x:f>IF(5&gt;D129,0,ROUND(('难度参数'!$E$13*POWER(A129,'难度参数'!$E$20)*MIN('难度参数'!$E$23,1+MAX(0,A129-'难度参数'!$E$21)*'难度参数'!$E$22))*(36+5*7)/(36+7*(D129+1)/2)*E129,0))</x:f>
        <x:v>4642</x:v>
      </x:c>
      <x:c r="AP129" s="119" t="n">
        <x:f>IF(AN129=0,0,(AN129-IF(5=D129,1,0))*ROUND(AO129*VLOOKUP(INDEX('章节与怪物'!$E$31:$K$37,B129,5),'章节与怪物'!$A$41:$F$44,2,FALSE),0)+IF(5=D129,ROUND(AO129*'难度参数'!$E$28*'章节与怪物'!$E$17,0),0))</x:f>
        <x:v>125334</x:v>
      </x:c>
      <x:c r="AQ129" s="119" t="n">
        <x:f>IF(AN129=0,0,(AN129-IF(5=D129,1,0))*VLOOKUP(INDEX('章节与怪物'!$E$31:$K$37,B129,5),'章节与怪物'!$A$41:$F$44,4,FALSE)+IF(5=D129,'难度参数'!$E$30,0))</x:f>
        <x:v>486</x:v>
      </x:c>
      <x:c r="AR129" s="119" t="n">
        <x:f>IF(6&gt;D129,0,MAX(2,MIN('难度参数'!$E$12,ROUND(('难度参数'!$E$18*POWER(A129,'难度参数'!$E$19)/D129*(0.85+0.3*(6-1)/MAX(1,D129-1))),0)+F129)))</x:f>
        <x:v>28</x:v>
      </x:c>
      <x:c r="AS129" s="119" t="n">
        <x:f>IF(6&gt;D129,0,ROUND(('难度参数'!$E$13*POWER(A129,'难度参数'!$E$20)*MIN('难度参数'!$E$23,1+MAX(0,A129-'难度参数'!$E$21)*'难度参数'!$E$22))*(36+6*7)/(36+7*(D129+1)/2)*E129,0))</x:f>
        <x:v>5100</x:v>
      </x:c>
      <x:c r="AT129" s="119" t="n">
        <x:f>IF(AR129=0,0,(AR129-IF(6=D129,1,0))*ROUND(AS129*VLOOKUP(INDEX('章节与怪物'!$E$31:$K$37,B129,6),'章节与怪物'!$A$41:$F$44,2,FALSE),0)+IF(6=D129,ROUND(AS129*'难度参数'!$E$28*'章节与怪物'!$E$17,0),0))</x:f>
        <x:v>102816</x:v>
      </x:c>
      <x:c r="AU129" s="119" t="n">
        <x:f>IF(AR129=0,0,(AR129-IF(6=D129,1,0))*VLOOKUP(INDEX('章节与怪物'!$E$31:$K$37,B129,6),'章节与怪物'!$A$41:$F$44,4,FALSE)+IF(6=D129,'难度参数'!$E$30,0))</x:f>
        <x:v>560</x:v>
      </x:c>
      <x:c r="AV129" s="119" t="n">
        <x:f>IF(7&gt;D129,0,MAX(2,MIN('难度参数'!$E$12,ROUND(('难度参数'!$E$18*POWER(A129,'难度参数'!$E$19)/D129*(0.85+0.3*(7-1)/MAX(1,D129-1))),0)+F129)))</x:f>
        <x:v>29</x:v>
      </x:c>
      <x:c r="AW129" s="119" t="n">
        <x:f>IF(7&gt;D129,0,ROUND(('难度参数'!$E$13*POWER(A129,'难度参数'!$E$20)*MIN('难度参数'!$E$23,1+MAX(0,A129-'难度参数'!$E$21)*'难度参数'!$E$22))*(36+7*7)/(36+7*(D129+1)/2)*E129,0))</x:f>
        <x:v>5558</x:v>
      </x:c>
      <x:c r="AX129" s="119" t="n">
        <x:f>IF(AV129=0,0,(AV129-IF(7=D129,1,0))*ROUND(AW129*VLOOKUP(INDEX('章节与怪物'!$E$31:$K$37,B129,7),'章节与怪物'!$A$41:$F$44,2,FALSE),0)+IF(7=D129,ROUND(AW129*'难度参数'!$E$28*'章节与怪物'!$E$17,0),0))</x:f>
        <x:v>247878</x:v>
      </x:c>
      <x:c r="AY129" s="119" t="n">
        <x:f>IF(AV129=0,0,(AV129-IF(7=D129,1,0))*VLOOKUP(INDEX('章节与怪物'!$E$31:$K$37,B129,7),'章节与怪物'!$A$41:$F$44,4,FALSE)+IF(7=D129,'难度参数'!$E$30,0))</x:f>
        <x:v>1152</x:v>
      </x:c>
    </x:row>
    <x:row r="130" ht="23" customHeight="1">
      <x:c r="A130" s="119" t="n">
        <x:v>124</x:v>
      </x:c>
      <x:c r="B130" s="119" t="n">
        <x:f>MOD(INT((A130-1)/5),7)+1</x:f>
        <x:v>4</x:v>
      </x:c>
      <x:c r="C130" s="62" t="str">
        <x:f>INDEX('章节与怪物'!$B$31:$B$37,B130)</x:f>
        <x:v>翠野边城</x:v>
      </x:c>
      <x:c r="D130" s="119" t="n">
        <x:f>MIN('难度参数'!$E$8,MAX('难度参数'!$E$7,A130))</x:f>
        <x:v>7</x:v>
      </x:c>
      <x:c r="E130" s="106" t="n">
        <x:v>1</x:v>
      </x:c>
      <x:c r="F130" s="106" t="n">
        <x:v>0</x:v>
      </x:c>
      <x:c r="G130" s="106" t="n">
        <x:v>1</x:v>
      </x:c>
      <x:c r="H130" s="119" t="n">
        <x:f>SUM(X130,AB130,AF130,AJ130,AN130,AR130,AV130)</x:f>
        <x:v>178</x:v>
      </x:c>
      <x:c r="I130" s="119" t="n">
        <x:f>SUM(Z130,AD130,AH130,AL130,AP130,AT130,AX130)</x:f>
        <x:v>896306</x:v>
      </x:c>
      <x:c r="J130" s="119" t="n">
        <x:f>ROUND(INDEX(X130:AY130,1,(D130-1)*4+2)*'难度参数'!$E$28*'章节与怪物'!$E$17,0)</x:f>
        <x:v>38100</x:v>
      </x:c>
      <x:c r="K130" s="119" t="n">
        <x:f>SUM(AA130,AE130,AI130,AM130,AQ130,AU130,AY130)</x:f>
        <x:v>4574</x:v>
      </x:c>
      <x:c r="L130" s="62" t="n">
        <x:f>H130*(ROUNDUP('难度参数'!$E$24/('难度参数'!$E$26*'难度参数'!$E$27),0)*'难度参数'!$E$26)/60</x:f>
        <x:v>2.3733333333333335</x:v>
      </x:c>
      <x:c r="M130" s="62" t="n">
        <x:f>L130+D130*('难度参数'!$E$49+'难度参数'!$E$50)/60</x:f>
        <x:v>3.54</x:v>
      </x:c>
      <x:c r="N130" s="119" t="n">
        <x:f>ROUNDDOWN(('经济参数'!$E$20+A130*'经济参数'!$E$21)*G130,0)</x:f>
        <x:v>2660</x:v>
      </x:c>
      <x:c r="O130" s="119" t="n">
        <x:f>ROUNDDOWN(MIN('经济参数'!$E$24,'经济参数'!$E$22+A130*'经济参数'!$E$23)*G130,0)</x:f>
        <x:v>0</x:v>
      </x:c>
      <x:c r="P130" s="119" t="n">
        <x:f>ROUNDDOWN((IF(A130&gt;='材料与任务'!$E$31,'材料与任务'!$E$32,IF(A130&gt;='材料与任务'!$E$25,'材料与任务'!$E$26,IF(A130&gt;='材料与任务'!$E$19,'材料与任务'!$E$20,IF(A130&gt;='材料与任务'!$E$13,'材料与任务'!$E$14,'材料与任务'!$E$8)))))*G130,0)</x:f>
        <x:v>6</x:v>
      </x:c>
      <x:c r="Q130" s="119" t="n">
        <x:f>ROUNDDOWN((IF(A130&gt;='材料与任务'!$E$31,'材料与任务'!$E$33,IF(A130&gt;='材料与任务'!$E$25,'材料与任务'!$E$27,IF(A130&gt;='材料与任务'!$E$19,'材料与任务'!$E$21,IF(A130&gt;='材料与任务'!$E$13,'材料与任务'!$E$15,'材料与任务'!$E$9)))))*G130,0)</x:f>
        <x:v>3</x:v>
      </x:c>
      <x:c r="R130" s="110" t="n">
        <x:f>'装备掉落'!$B$38</x:f>
        <x:v>0.6872058758851213</x:v>
      </x:c>
      <x:c r="S130" s="119" t="n">
        <x:f>MAX(IF(VLOOKUP(A130,'装备掉落'!$A$29:$H$34,2,TRUE)&gt;0,1,0),IF(VLOOKUP(A130,'装备掉落'!$A$29:$H$34,3,TRUE)&gt;0,2,0),IF(VLOOKUP(A130,'装备掉落'!$A$29:$H$34,4,TRUE)&gt;0,3,0),IF(VLOOKUP(A130,'装备掉落'!$A$29:$H$34,5,TRUE)&gt;0,4,0),IF(VLOOKUP(A130,'装备掉落'!$A$29:$H$34,6,TRUE)&gt;0,5,0),IF(VLOOKUP(A130,'装备掉落'!$A$29:$H$34,7,TRUE)&gt;0,6,0),IF(VLOOKUP(A130,'装备掉落'!$A$29:$H$34,8,TRUE)&gt;0,7,0))</x:f>
        <x:v>7</x:v>
      </x:c>
      <x:c r="T130" s="119" t="n">
        <x:f>MIN(7,S130+'经济参数'!$E$70)</x:f>
        <x:v>7</x:v>
      </x:c>
      <x:c r="U130" s="119" t="n">
        <x:f>MIN(7,S130+'经济参数'!$E$71)</x:f>
        <x:v>7</x:v>
      </x:c>
      <x:c r="V130" s="119" t="n">
        <x:f>IF(H130&gt;=('难度参数'!$E$52),1,0)+IF(H130&gt;=('难度参数'!$E$52+'难度参数'!$E$53),1,0)+IF(H130&gt;=('难度参数'!$E$52+'难度参数'!$E$53+'难度参数'!$E$54),1,0)+IF(H130&gt;=('难度参数'!$E$52+'难度参数'!$E$53+'难度参数'!$E$54+'难度参数'!$E$55),1,0)+IF(H130&gt;=('难度参数'!$E$52+'难度参数'!$E$53+'难度参数'!$E$54+'难度参数'!$E$55+'难度参数'!$E$56),1,0)+IF(H130&gt;=('难度参数'!$E$52+'难度参数'!$E$53+'难度参数'!$E$54+'难度参数'!$E$55+'难度参数'!$E$56+'难度参数'!$E$57),1,0)</x:f>
        <x:v>6</x:v>
      </x:c>
      <x:c r="W130" s="62" t="str">
        <x:f>IF(L130&gt;'难度参数'!$E$51,"仅出怪已超目标","还需实测")</x:f>
        <x:v>还需实测</x:v>
      </x:c>
      <x:c r="X130" s="119" t="n">
        <x:f>IF(1&gt;D130,0,MAX(2,MIN('难度参数'!$E$12,ROUND(('难度参数'!$E$18*POWER(A130,'难度参数'!$E$19)/D130*(0.85+0.3*(1-1)/MAX(1,D130-1))),0)+F130)))</x:f>
        <x:v>22</x:v>
      </x:c>
      <x:c r="Y130" s="119" t="n">
        <x:f>IF(1&gt;D130,0,ROUND(('难度参数'!$E$13*POWER(A130,'难度参数'!$E$20)*MIN('难度参数'!$E$23,1+MAX(0,A130-'难度参数'!$E$21)*'难度参数'!$E$22))*(36+1*7)/(36+7*(D130+1)/2)*E130,0))</x:f>
        <x:v>2835</x:v>
      </x:c>
      <x:c r="Z130" s="119" t="n">
        <x:f>IF(X130=0,0,(X130-IF(1=D130,1,0))*ROUND(Y130*VLOOKUP(INDEX('章节与怪物'!$E$31:$K$37,B130,1),'章节与怪物'!$A$41:$F$44,2,FALSE),0)+IF(1=D130,ROUND(Y130*'难度参数'!$E$28*'章节与怪物'!$E$17,0),0))</x:f>
        <x:v>44902</x:v>
      </x:c>
      <x:c r="AA130" s="119" t="n">
        <x:f>IF(X130=0,0,(X130-IF(1=D130,1,0))*VLOOKUP(INDEX('章节与怪物'!$E$31:$K$37,B130,1),'章节与怪物'!$A$41:$F$44,4,FALSE)+IF(1=D130,'难度参数'!$E$30,0))</x:f>
        <x:v>440</x:v>
      </x:c>
      <x:c r="AB130" s="119" t="n">
        <x:f>IF(2&gt;D130,0,MAX(2,MIN('难度参数'!$E$12,ROUND(('难度参数'!$E$18*POWER(A130,'难度参数'!$E$19)/D130*(0.85+0.3*(2-1)/MAX(1,D130-1))),0)+F130)))</x:f>
        <x:v>23</x:v>
      </x:c>
      <x:c r="AC130" s="119" t="n">
        <x:f>IF(2&gt;D130,0,ROUND(('难度参数'!$E$13*POWER(A130,'难度参数'!$E$20)*MIN('难度参数'!$E$23,1+MAX(0,A130-'难度参数'!$E$21)*'难度参数'!$E$22))*(36+2*7)/(36+7*(D130+1)/2)*E130,0))</x:f>
        <x:v>3296</x:v>
      </x:c>
      <x:c r="AD130" s="119" t="n">
        <x:f>IF(AB130=0,0,(AB130-IF(2=D130,1,0))*ROUND(AC130*VLOOKUP(INDEX('章节与怪物'!$E$31:$K$37,B130,2),'章节与怪物'!$A$41:$F$44,2,FALSE),0)+IF(2=D130,ROUND(AC130*'难度参数'!$E$28*'章节与怪物'!$E$17,0),0))</x:f>
        <x:v>75808</x:v>
      </x:c>
      <x:c r="AE130" s="119" t="n">
        <x:f>IF(AB130=0,0,(AB130-IF(2=D130,1,0))*VLOOKUP(INDEX('章节与怪物'!$E$31:$K$37,B130,2),'章节与怪物'!$A$41:$F$44,4,FALSE)+IF(2=D130,'难度参数'!$E$30,0))</x:f>
        <x:v>414</x:v>
      </x:c>
      <x:c r="AF130" s="119" t="n">
        <x:f>IF(3&gt;D130,0,MAX(2,MIN('难度参数'!$E$12,ROUND(('难度参数'!$E$18*POWER(A130,'难度参数'!$E$19)/D130*(0.85+0.3*(3-1)/MAX(1,D130-1))),0)+F130)))</x:f>
        <x:v>24</x:v>
      </x:c>
      <x:c r="AG130" s="119" t="n">
        <x:f>IF(3&gt;D130,0,ROUND(('难度参数'!$E$13*POWER(A130,'难度参数'!$E$20)*MIN('难度参数'!$E$23,1+MAX(0,A130-'难度参数'!$E$21)*'难度参数'!$E$22))*(36+3*7)/(36+7*(D130+1)/2)*E130,0))</x:f>
        <x:v>3757</x:v>
      </x:c>
      <x:c r="AH130" s="119" t="n">
        <x:f>IF(AF130=0,0,(AF130-IF(3=D130,1,0))*ROUND(AG130*VLOOKUP(INDEX('章节与怪物'!$E$31:$K$37,B130,3),'章节与怪物'!$A$41:$F$44,2,FALSE),0)+IF(3=D130,ROUND(AG130*'难度参数'!$E$28*'章节与怪物'!$E$17,0),0))</x:f>
        <x:v>153288</x:v>
      </x:c>
      <x:c r="AI130" s="119" t="n">
        <x:f>IF(AF130=0,0,(AF130-IF(3=D130,1,0))*VLOOKUP(INDEX('章节与怪物'!$E$31:$K$37,B130,3),'章节与怪物'!$A$41:$F$44,4,FALSE)+IF(3=D130,'难度参数'!$E$30,0))</x:f>
        <x:v>672</x:v>
      </x:c>
      <x:c r="AJ130" s="119" t="n">
        <x:f>IF(4&gt;D130,0,MAX(2,MIN('难度参数'!$E$12,ROUND(('难度参数'!$E$18*POWER(A130,'难度参数'!$E$19)/D130*(0.85+0.3*(4-1)/MAX(1,D130-1))),0)+F130)))</x:f>
        <x:v>25</x:v>
      </x:c>
      <x:c r="AK130" s="119" t="n">
        <x:f>IF(4&gt;D130,0,ROUND(('难度参数'!$E$13*POWER(A130,'难度参数'!$E$20)*MIN('难度参数'!$E$23,1+MAX(0,A130-'难度参数'!$E$21)*'难度参数'!$E$22))*(36+4*7)/(36+7*(D130+1)/2)*E130,0))</x:f>
        <x:v>4219</x:v>
      </x:c>
      <x:c r="AL130" s="119" t="n">
        <x:f>IF(AJ130=0,0,(AJ130-IF(4=D130,1,0))*ROUND(AK130*VLOOKUP(INDEX('章节与怪物'!$E$31:$K$37,B130,4),'章节与怪物'!$A$41:$F$44,2,FALSE),0)+IF(4=D130,ROUND(AK130*'难度参数'!$E$28*'章节与怪物'!$E$17,0),0))</x:f>
        <x:v>142400</x:v>
      </x:c>
      <x:c r="AM130" s="119" t="n">
        <x:f>IF(AJ130=0,0,(AJ130-IF(4=D130,1,0))*VLOOKUP(INDEX('章节与怪物'!$E$31:$K$37,B130,4),'章节与怪物'!$A$41:$F$44,4,FALSE)+IF(4=D130,'难度参数'!$E$30,0))</x:f>
        <x:v>850</x:v>
      </x:c>
      <x:c r="AN130" s="119" t="n">
        <x:f>IF(5&gt;D130,0,MAX(2,MIN('难度参数'!$E$12,ROUND(('难度参数'!$E$18*POWER(A130,'难度参数'!$E$19)/D130*(0.85+0.3*(5-1)/MAX(1,D130-1))),0)+F130)))</x:f>
        <x:v>27</x:v>
      </x:c>
      <x:c r="AO130" s="119" t="n">
        <x:f>IF(5&gt;D130,0,ROUND(('难度参数'!$E$13*POWER(A130,'难度参数'!$E$20)*MIN('难度参数'!$E$23,1+MAX(0,A130-'难度参数'!$E$21)*'难度参数'!$E$22))*(36+5*7)/(36+7*(D130+1)/2)*E130,0))</x:f>
        <x:v>4680</x:v>
      </x:c>
      <x:c r="AP130" s="119" t="n">
        <x:f>IF(AN130=0,0,(AN130-IF(5=D130,1,0))*ROUND(AO130*VLOOKUP(INDEX('章节与怪物'!$E$31:$K$37,B130,5),'章节与怪物'!$A$41:$F$44,2,FALSE),0)+IF(5=D130,ROUND(AO130*'难度参数'!$E$28*'章节与怪物'!$E$17,0),0))</x:f>
        <x:v>126360</x:v>
      </x:c>
      <x:c r="AQ130" s="119" t="n">
        <x:f>IF(AN130=0,0,(AN130-IF(5=D130,1,0))*VLOOKUP(INDEX('章节与怪物'!$E$31:$K$37,B130,5),'章节与怪物'!$A$41:$F$44,4,FALSE)+IF(5=D130,'难度参数'!$E$30,0))</x:f>
        <x:v>486</x:v>
      </x:c>
      <x:c r="AR130" s="119" t="n">
        <x:f>IF(6&gt;D130,0,MAX(2,MIN('难度参数'!$E$12,ROUND(('难度参数'!$E$18*POWER(A130,'难度参数'!$E$19)/D130*(0.85+0.3*(6-1)/MAX(1,D130-1))),0)+F130)))</x:f>
        <x:v>28</x:v>
      </x:c>
      <x:c r="AS130" s="119" t="n">
        <x:f>IF(6&gt;D130,0,ROUND(('难度参数'!$E$13*POWER(A130,'难度参数'!$E$20)*MIN('难度参数'!$E$23,1+MAX(0,A130-'难度参数'!$E$21)*'难度参数'!$E$22))*(36+6*7)/(36+7*(D130+1)/2)*E130,0))</x:f>
        <x:v>5142</x:v>
      </x:c>
      <x:c r="AT130" s="119" t="n">
        <x:f>IF(AR130=0,0,(AR130-IF(6=D130,1,0))*ROUND(AS130*VLOOKUP(INDEX('章节与怪物'!$E$31:$K$37,B130,6),'章节与怪物'!$A$41:$F$44,2,FALSE),0)+IF(6=D130,ROUND(AS130*'难度参数'!$E$28*'章节与怪物'!$E$17,0),0))</x:f>
        <x:v>103656</x:v>
      </x:c>
      <x:c r="AU130" s="119" t="n">
        <x:f>IF(AR130=0,0,(AR130-IF(6=D130,1,0))*VLOOKUP(INDEX('章节与怪物'!$E$31:$K$37,B130,6),'章节与怪物'!$A$41:$F$44,4,FALSE)+IF(6=D130,'难度参数'!$E$30,0))</x:f>
        <x:v>560</x:v>
      </x:c>
      <x:c r="AV130" s="119" t="n">
        <x:f>IF(7&gt;D130,0,MAX(2,MIN('难度参数'!$E$12,ROUND(('难度参数'!$E$18*POWER(A130,'难度参数'!$E$19)/D130*(0.85+0.3*(7-1)/MAX(1,D130-1))),0)+F130)))</x:f>
        <x:v>29</x:v>
      </x:c>
      <x:c r="AW130" s="119" t="n">
        <x:f>IF(7&gt;D130,0,ROUND(('难度参数'!$E$13*POWER(A130,'难度参数'!$E$20)*MIN('难度参数'!$E$23,1+MAX(0,A130-'难度参数'!$E$21)*'难度参数'!$E$22))*(36+7*7)/(36+7*(D130+1)/2)*E130,0))</x:f>
        <x:v>5603</x:v>
      </x:c>
      <x:c r="AX130" s="119" t="n">
        <x:f>IF(AV130=0,0,(AV130-IF(7=D130,1,0))*ROUND(AW130*VLOOKUP(INDEX('章节与怪物'!$E$31:$K$37,B130,7),'章节与怪物'!$A$41:$F$44,2,FALSE),0)+IF(7=D130,ROUND(AW130*'难度参数'!$E$28*'章节与怪物'!$E$17,0),0))</x:f>
        <x:v>249892</x:v>
      </x:c>
      <x:c r="AY130" s="119" t="n">
        <x:f>IF(AV130=0,0,(AV130-IF(7=D130,1,0))*VLOOKUP(INDEX('章节与怪物'!$E$31:$K$37,B130,7),'章节与怪物'!$A$41:$F$44,4,FALSE)+IF(7=D130,'难度参数'!$E$30,0))</x:f>
        <x:v>1152</x:v>
      </x:c>
    </x:row>
    <x:row r="131" ht="23" customHeight="1">
      <x:c r="A131" s="119" t="n">
        <x:v>125</x:v>
      </x:c>
      <x:c r="B131" s="119" t="n">
        <x:f>MOD(INT((A131-1)/5),7)+1</x:f>
        <x:v>4</x:v>
      </x:c>
      <x:c r="C131" s="62" t="str">
        <x:f>INDEX('章节与怪物'!$B$31:$B$37,B131)</x:f>
        <x:v>翠野边城</x:v>
      </x:c>
      <x:c r="D131" s="119" t="n">
        <x:f>MIN('难度参数'!$E$8,MAX('难度参数'!$E$7,A131))</x:f>
        <x:v>7</x:v>
      </x:c>
      <x:c r="E131" s="106" t="n">
        <x:v>1</x:v>
      </x:c>
      <x:c r="F131" s="106" t="n">
        <x:v>0</x:v>
      </x:c>
      <x:c r="G131" s="106" t="n">
        <x:v>1</x:v>
      </x:c>
      <x:c r="H131" s="119" t="n">
        <x:f>SUM(X131,AB131,AF131,AJ131,AN131,AR131,AV131)</x:f>
        <x:v>179</x:v>
      </x:c>
      <x:c r="I131" s="119" t="n">
        <x:f>SUM(Z131,AD131,AH131,AL131,AP131,AT131,AX131)</x:f>
        <x:v>909380</x:v>
      </x:c>
      <x:c r="J131" s="119" t="n">
        <x:f>ROUND(INDEX(X131:AY131,1,(D131-1)*4+2)*'难度参数'!$E$28*'章节与怪物'!$E$17,0)</x:f>
        <x:v>38413</x:v>
      </x:c>
      <x:c r="K131" s="119" t="n">
        <x:f>SUM(AA131,AE131,AI131,AM131,AQ131,AU131,AY131)</x:f>
        <x:v>4608</x:v>
      </x:c>
      <x:c r="L131" s="62" t="n">
        <x:f>H131*(ROUNDUP('难度参数'!$E$24/('难度参数'!$E$26*'难度参数'!$E$27),0)*'难度参数'!$E$26)/60</x:f>
        <x:v>2.386666666666667</x:v>
      </x:c>
      <x:c r="M131" s="62" t="n">
        <x:f>L131+D131*('难度参数'!$E$49+'难度参数'!$E$50)/60</x:f>
        <x:v>3.5533333333333337</x:v>
      </x:c>
      <x:c r="N131" s="119" t="n">
        <x:f>ROUNDDOWN(('经济参数'!$E$20+A131*'经济参数'!$E$21)*G131,0)</x:f>
        <x:v>2680</x:v>
      </x:c>
      <x:c r="O131" s="119" t="n">
        <x:f>ROUNDDOWN(MIN('经济参数'!$E$24,'经济参数'!$E$22+A131*'经济参数'!$E$23)*G131,0)</x:f>
        <x:v>0</x:v>
      </x:c>
      <x:c r="P131" s="119" t="n">
        <x:f>ROUNDDOWN((IF(A131&gt;='材料与任务'!$E$31,'材料与任务'!$E$32,IF(A131&gt;='材料与任务'!$E$25,'材料与任务'!$E$26,IF(A131&gt;='材料与任务'!$E$19,'材料与任务'!$E$20,IF(A131&gt;='材料与任务'!$E$13,'材料与任务'!$E$14,'材料与任务'!$E$8)))))*G131,0)</x:f>
        <x:v>6</x:v>
      </x:c>
      <x:c r="Q131" s="119" t="n">
        <x:f>ROUNDDOWN((IF(A131&gt;='材料与任务'!$E$31,'材料与任务'!$E$33,IF(A131&gt;='材料与任务'!$E$25,'材料与任务'!$E$27,IF(A131&gt;='材料与任务'!$E$19,'材料与任务'!$E$21,IF(A131&gt;='材料与任务'!$E$13,'材料与任务'!$E$15,'材料与任务'!$E$9)))))*G131,0)</x:f>
        <x:v>3</x:v>
      </x:c>
      <x:c r="R131" s="110" t="n">
        <x:f>'装备掉落'!$B$38</x:f>
        <x:v>0.6872058758851213</x:v>
      </x:c>
      <x:c r="S131" s="119" t="n">
        <x:f>MAX(IF(VLOOKUP(A131,'装备掉落'!$A$29:$H$34,2,TRUE)&gt;0,1,0),IF(VLOOKUP(A131,'装备掉落'!$A$29:$H$34,3,TRUE)&gt;0,2,0),IF(VLOOKUP(A131,'装备掉落'!$A$29:$H$34,4,TRUE)&gt;0,3,0),IF(VLOOKUP(A131,'装备掉落'!$A$29:$H$34,5,TRUE)&gt;0,4,0),IF(VLOOKUP(A131,'装备掉落'!$A$29:$H$34,6,TRUE)&gt;0,5,0),IF(VLOOKUP(A131,'装备掉落'!$A$29:$H$34,7,TRUE)&gt;0,6,0),IF(VLOOKUP(A131,'装备掉落'!$A$29:$H$34,8,TRUE)&gt;0,7,0))</x:f>
        <x:v>7</x:v>
      </x:c>
      <x:c r="T131" s="119" t="n">
        <x:f>MIN(7,S131+'经济参数'!$E$70)</x:f>
        <x:v>7</x:v>
      </x:c>
      <x:c r="U131" s="119" t="n">
        <x:f>MIN(7,S131+'经济参数'!$E$71)</x:f>
        <x:v>7</x:v>
      </x:c>
      <x:c r="V131" s="119" t="n">
        <x:f>IF(H131&gt;=('难度参数'!$E$52),1,0)+IF(H131&gt;=('难度参数'!$E$52+'难度参数'!$E$53),1,0)+IF(H131&gt;=('难度参数'!$E$52+'难度参数'!$E$53+'难度参数'!$E$54),1,0)+IF(H131&gt;=('难度参数'!$E$52+'难度参数'!$E$53+'难度参数'!$E$54+'难度参数'!$E$55),1,0)+IF(H131&gt;=('难度参数'!$E$52+'难度参数'!$E$53+'难度参数'!$E$54+'难度参数'!$E$55+'难度参数'!$E$56),1,0)+IF(H131&gt;=('难度参数'!$E$52+'难度参数'!$E$53+'难度参数'!$E$54+'难度参数'!$E$55+'难度参数'!$E$56+'难度参数'!$E$57),1,0)</x:f>
        <x:v>6</x:v>
      </x:c>
      <x:c r="W131" s="62" t="str">
        <x:f>IF(L131&gt;'难度参数'!$E$51,"仅出怪已超目标","还需实测")</x:f>
        <x:v>还需实测</x:v>
      </x:c>
      <x:c r="X131" s="119" t="n">
        <x:f>IF(1&gt;D131,0,MAX(2,MIN('难度参数'!$E$12,ROUND(('难度参数'!$E$18*POWER(A131,'难度参数'!$E$19)/D131*(0.85+0.3*(1-1)/MAX(1,D131-1))),0)+F131)))</x:f>
        <x:v>22</x:v>
      </x:c>
      <x:c r="Y131" s="119" t="n">
        <x:f>IF(1&gt;D131,0,ROUND(('难度参数'!$E$13*POWER(A131,'难度参数'!$E$20)*MIN('难度参数'!$E$23,1+MAX(0,A131-'难度参数'!$E$21)*'难度参数'!$E$22))*(36+1*7)/(36+7*(D131+1)/2)*E131,0))</x:f>
        <x:v>2858</x:v>
      </x:c>
      <x:c r="Z131" s="119" t="n">
        <x:f>IF(X131=0,0,(X131-IF(1=D131,1,0))*ROUND(Y131*VLOOKUP(INDEX('章节与怪物'!$E$31:$K$37,B131,1),'章节与怪物'!$A$41:$F$44,2,FALSE),0)+IF(1=D131,ROUND(Y131*'难度参数'!$E$28*'章节与怪物'!$E$17,0),0))</x:f>
        <x:v>45276</x:v>
      </x:c>
      <x:c r="AA131" s="119" t="n">
        <x:f>IF(X131=0,0,(X131-IF(1=D131,1,0))*VLOOKUP(INDEX('章节与怪物'!$E$31:$K$37,B131,1),'章节与怪物'!$A$41:$F$44,4,FALSE)+IF(1=D131,'难度参数'!$E$30,0))</x:f>
        <x:v>440</x:v>
      </x:c>
      <x:c r="AB131" s="119" t="n">
        <x:f>IF(2&gt;D131,0,MAX(2,MIN('难度参数'!$E$12,ROUND(('难度参数'!$E$18*POWER(A131,'难度参数'!$E$19)/D131*(0.85+0.3*(2-1)/MAX(1,D131-1))),0)+F131)))</x:f>
        <x:v>23</x:v>
      </x:c>
      <x:c r="AC131" s="119" t="n">
        <x:f>IF(2&gt;D131,0,ROUND(('难度参数'!$E$13*POWER(A131,'难度参数'!$E$20)*MIN('难度参数'!$E$23,1+MAX(0,A131-'难度参数'!$E$21)*'难度参数'!$E$22))*(36+2*7)/(36+7*(D131+1)/2)*E131,0))</x:f>
        <x:v>3323</x:v>
      </x:c>
      <x:c r="AD131" s="119" t="n">
        <x:f>IF(AB131=0,0,(AB131-IF(2=D131,1,0))*ROUND(AC131*VLOOKUP(INDEX('章节与怪物'!$E$31:$K$37,B131,2),'章节与怪物'!$A$41:$F$44,2,FALSE),0)+IF(2=D131,ROUND(AC131*'难度参数'!$E$28*'章节与怪物'!$E$17,0),0))</x:f>
        <x:v>76429</x:v>
      </x:c>
      <x:c r="AE131" s="119" t="n">
        <x:f>IF(AB131=0,0,(AB131-IF(2=D131,1,0))*VLOOKUP(INDEX('章节与怪物'!$E$31:$K$37,B131,2),'章节与怪物'!$A$41:$F$44,4,FALSE)+IF(2=D131,'难度参数'!$E$30,0))</x:f>
        <x:v>414</x:v>
      </x:c>
      <x:c r="AF131" s="119" t="n">
        <x:f>IF(3&gt;D131,0,MAX(2,MIN('难度参数'!$E$12,ROUND(('难度参数'!$E$18*POWER(A131,'难度参数'!$E$19)/D131*(0.85+0.3*(3-1)/MAX(1,D131-1))),0)+F131)))</x:f>
        <x:v>24</x:v>
      </x:c>
      <x:c r="AG131" s="119" t="n">
        <x:f>IF(3&gt;D131,0,ROUND(('难度参数'!$E$13*POWER(A131,'难度参数'!$E$20)*MIN('难度参数'!$E$23,1+MAX(0,A131-'难度参数'!$E$21)*'难度参数'!$E$22))*(36+3*7)/(36+7*(D131+1)/2)*E131,0))</x:f>
        <x:v>3788</x:v>
      </x:c>
      <x:c r="AH131" s="119" t="n">
        <x:f>IF(AF131=0,0,(AF131-IF(3=D131,1,0))*ROUND(AG131*VLOOKUP(INDEX('章节与怪物'!$E$31:$K$37,B131,3),'章节与怪物'!$A$41:$F$44,2,FALSE),0)+IF(3=D131,ROUND(AG131*'难度参数'!$E$28*'章节与怪物'!$E$17,0),0))</x:f>
        <x:v>154560</x:v>
      </x:c>
      <x:c r="AI131" s="119" t="n">
        <x:f>IF(AF131=0,0,(AF131-IF(3=D131,1,0))*VLOOKUP(INDEX('章节与怪物'!$E$31:$K$37,B131,3),'章节与怪物'!$A$41:$F$44,4,FALSE)+IF(3=D131,'难度参数'!$E$30,0))</x:f>
        <x:v>672</x:v>
      </x:c>
      <x:c r="AJ131" s="119" t="n">
        <x:f>IF(4&gt;D131,0,MAX(2,MIN('难度参数'!$E$12,ROUND(('难度参数'!$E$18*POWER(A131,'难度参数'!$E$19)/D131*(0.85+0.3*(4-1)/MAX(1,D131-1))),0)+F131)))</x:f>
        <x:v>26</x:v>
      </x:c>
      <x:c r="AK131" s="119" t="n">
        <x:f>IF(4&gt;D131,0,ROUND(('难度参数'!$E$13*POWER(A131,'难度参数'!$E$20)*MIN('难度参数'!$E$23,1+MAX(0,A131-'难度参数'!$E$21)*'难度参数'!$E$22))*(36+4*7)/(36+7*(D131+1)/2)*E131,0))</x:f>
        <x:v>4253</x:v>
      </x:c>
      <x:c r="AL131" s="119" t="n">
        <x:f>IF(AJ131=0,0,(AJ131-IF(4=D131,1,0))*ROUND(AK131*VLOOKUP(INDEX('章节与怪物'!$E$31:$K$37,B131,4),'章节与怪物'!$A$41:$F$44,2,FALSE),0)+IF(4=D131,ROUND(AK131*'难度参数'!$E$28*'章节与怪物'!$E$17,0),0))</x:f>
        <x:v>149292</x:v>
      </x:c>
      <x:c r="AM131" s="119" t="n">
        <x:f>IF(AJ131=0,0,(AJ131-IF(4=D131,1,0))*VLOOKUP(INDEX('章节与怪物'!$E$31:$K$37,B131,4),'章节与怪物'!$A$41:$F$44,4,FALSE)+IF(4=D131,'难度参数'!$E$30,0))</x:f>
        <x:v>884</x:v>
      </x:c>
      <x:c r="AN131" s="119" t="n">
        <x:f>IF(5&gt;D131,0,MAX(2,MIN('难度参数'!$E$12,ROUND(('难度参数'!$E$18*POWER(A131,'难度参数'!$E$19)/D131*(0.85+0.3*(5-1)/MAX(1,D131-1))),0)+F131)))</x:f>
        <x:v>27</x:v>
      </x:c>
      <x:c r="AO131" s="119" t="n">
        <x:f>IF(5&gt;D131,0,ROUND(('难度参数'!$E$13*POWER(A131,'难度参数'!$E$20)*MIN('难度参数'!$E$23,1+MAX(0,A131-'难度参数'!$E$21)*'难度参数'!$E$22))*(36+5*7)/(36+7*(D131+1)/2)*E131,0))</x:f>
        <x:v>4718</x:v>
      </x:c>
      <x:c r="AP131" s="119" t="n">
        <x:f>IF(AN131=0,0,(AN131-IF(5=D131,1,0))*ROUND(AO131*VLOOKUP(INDEX('章节与怪物'!$E$31:$K$37,B131,5),'章节与怪物'!$A$41:$F$44,2,FALSE),0)+IF(5=D131,ROUND(AO131*'难度参数'!$E$28*'章节与怪物'!$E$17,0),0))</x:f>
        <x:v>127386</x:v>
      </x:c>
      <x:c r="AQ131" s="119" t="n">
        <x:f>IF(AN131=0,0,(AN131-IF(5=D131,1,0))*VLOOKUP(INDEX('章节与怪物'!$E$31:$K$37,B131,5),'章节与怪物'!$A$41:$F$44,4,FALSE)+IF(5=D131,'难度参数'!$E$30,0))</x:f>
        <x:v>486</x:v>
      </x:c>
      <x:c r="AR131" s="119" t="n">
        <x:f>IF(6&gt;D131,0,MAX(2,MIN('难度参数'!$E$12,ROUND(('难度参数'!$E$18*POWER(A131,'难度参数'!$E$19)/D131*(0.85+0.3*(6-1)/MAX(1,D131-1))),0)+F131)))</x:f>
        <x:v>28</x:v>
      </x:c>
      <x:c r="AS131" s="119" t="n">
        <x:f>IF(6&gt;D131,0,ROUND(('难度参数'!$E$13*POWER(A131,'难度参数'!$E$20)*MIN('难度参数'!$E$23,1+MAX(0,A131-'难度参数'!$E$21)*'难度参数'!$E$22))*(36+6*7)/(36+7*(D131+1)/2)*E131,0))</x:f>
        <x:v>5183</x:v>
      </x:c>
      <x:c r="AT131" s="119" t="n">
        <x:f>IF(AR131=0,0,(AR131-IF(6=D131,1,0))*ROUND(AS131*VLOOKUP(INDEX('章节与怪物'!$E$31:$K$37,B131,6),'章节与怪物'!$A$41:$F$44,2,FALSE),0)+IF(6=D131,ROUND(AS131*'难度参数'!$E$28*'章节与怪物'!$E$17,0),0))</x:f>
        <x:v>104496</x:v>
      </x:c>
      <x:c r="AU131" s="119" t="n">
        <x:f>IF(AR131=0,0,(AR131-IF(6=D131,1,0))*VLOOKUP(INDEX('章节与怪物'!$E$31:$K$37,B131,6),'章节与怪物'!$A$41:$F$44,4,FALSE)+IF(6=D131,'难度参数'!$E$30,0))</x:f>
        <x:v>560</x:v>
      </x:c>
      <x:c r="AV131" s="119" t="n">
        <x:f>IF(7&gt;D131,0,MAX(2,MIN('难度参数'!$E$12,ROUND(('难度参数'!$E$18*POWER(A131,'难度参数'!$E$19)/D131*(0.85+0.3*(7-1)/MAX(1,D131-1))),0)+F131)))</x:f>
        <x:v>29</x:v>
      </x:c>
      <x:c r="AW131" s="119" t="n">
        <x:f>IF(7&gt;D131,0,ROUND(('难度参数'!$E$13*POWER(A131,'难度参数'!$E$20)*MIN('难度参数'!$E$23,1+MAX(0,A131-'难度参数'!$E$21)*'难度参数'!$E$22))*(36+7*7)/(36+7*(D131+1)/2)*E131,0))</x:f>
        <x:v>5649</x:v>
      </x:c>
      <x:c r="AX131" s="119" t="n">
        <x:f>IF(AV131=0,0,(AV131-IF(7=D131,1,0))*ROUND(AW131*VLOOKUP(INDEX('章节与怪物'!$E$31:$K$37,B131,7),'章节与怪物'!$A$41:$F$44,2,FALSE),0)+IF(7=D131,ROUND(AW131*'难度参数'!$E$28*'章节与怪物'!$E$17,0),0))</x:f>
        <x:v>251941</x:v>
      </x:c>
      <x:c r="AY131" s="119" t="n">
        <x:f>IF(AV131=0,0,(AV131-IF(7=D131,1,0))*VLOOKUP(INDEX('章节与怪物'!$E$31:$K$37,B131,7),'章节与怪物'!$A$41:$F$44,4,FALSE)+IF(7=D131,'难度参数'!$E$30,0))</x:f>
        <x:v>1152</x:v>
      </x:c>
    </x:row>
    <x:row r="132" ht="23" customHeight="1">
      <x:c r="A132" s="119" t="n">
        <x:v>126</x:v>
      </x:c>
      <x:c r="B132" s="119" t="n">
        <x:f>MOD(INT((A132-1)/5),7)+1</x:f>
        <x:v>5</x:v>
      </x:c>
      <x:c r="C132" s="62" t="str">
        <x:f>INDEX('章节与怪物'!$B$31:$B$37,B132)</x:f>
        <x:v>雨林遗迹</x:v>
      </x:c>
      <x:c r="D132" s="119" t="n">
        <x:f>MIN('难度参数'!$E$8,MAX('难度参数'!$E$7,A132))</x:f>
        <x:v>7</x:v>
      </x:c>
      <x:c r="E132" s="106" t="n">
        <x:v>1</x:v>
      </x:c>
      <x:c r="F132" s="106" t="n">
        <x:v>0</x:v>
      </x:c>
      <x:c r="G132" s="106" t="n">
        <x:v>1</x:v>
      </x:c>
      <x:c r="H132" s="119" t="n">
        <x:f>SUM(X132,AB132,AF132,AJ132,AN132,AR132,AV132)</x:f>
        <x:v>179</x:v>
      </x:c>
      <x:c r="I132" s="119" t="n">
        <x:f>SUM(Z132,AD132,AH132,AL132,AP132,AT132,AX132)</x:f>
        <x:v>1020208</x:v>
      </x:c>
      <x:c r="J132" s="119" t="n">
        <x:f>ROUND(INDEX(X132:AY132,1,(D132-1)*4+2)*'难度参数'!$E$28*'章节与怪物'!$E$17,0)</x:f>
        <x:v>38719</x:v>
      </x:c>
      <x:c r="K132" s="119" t="n">
        <x:f>SUM(AA132,AE132,AI132,AM132,AQ132,AU132,AY132)</x:f>
        <x:v>4888</x:v>
      </x:c>
      <x:c r="L132" s="62" t="n">
        <x:f>H132*(ROUNDUP('难度参数'!$E$24/('难度参数'!$E$26*'难度参数'!$E$27),0)*'难度参数'!$E$26)/60</x:f>
        <x:v>2.386666666666667</x:v>
      </x:c>
      <x:c r="M132" s="62" t="n">
        <x:f>L132+D132*('难度参数'!$E$49+'难度参数'!$E$50)/60</x:f>
        <x:v>3.5533333333333337</x:v>
      </x:c>
      <x:c r="N132" s="119" t="n">
        <x:f>ROUNDDOWN(('经济参数'!$E$20+A132*'经济参数'!$E$21)*G132,0)</x:f>
        <x:v>2700</x:v>
      </x:c>
      <x:c r="O132" s="119" t="n">
        <x:f>ROUNDDOWN(MIN('经济参数'!$E$24,'经济参数'!$E$22+A132*'经济参数'!$E$23)*G132,0)</x:f>
        <x:v>0</x:v>
      </x:c>
      <x:c r="P132" s="119" t="n">
        <x:f>ROUNDDOWN((IF(A132&gt;='材料与任务'!$E$31,'材料与任务'!$E$32,IF(A132&gt;='材料与任务'!$E$25,'材料与任务'!$E$26,IF(A132&gt;='材料与任务'!$E$19,'材料与任务'!$E$20,IF(A132&gt;='材料与任务'!$E$13,'材料与任务'!$E$14,'材料与任务'!$E$8)))))*G132,0)</x:f>
        <x:v>6</x:v>
      </x:c>
      <x:c r="Q132" s="119" t="n">
        <x:f>ROUNDDOWN((IF(A132&gt;='材料与任务'!$E$31,'材料与任务'!$E$33,IF(A132&gt;='材料与任务'!$E$25,'材料与任务'!$E$27,IF(A132&gt;='材料与任务'!$E$19,'材料与任务'!$E$21,IF(A132&gt;='材料与任务'!$E$13,'材料与任务'!$E$15,'材料与任务'!$E$9)))))*G132,0)</x:f>
        <x:v>3</x:v>
      </x:c>
      <x:c r="R132" s="110" t="n">
        <x:f>'装备掉落'!$B$38</x:f>
        <x:v>0.6872058758851213</x:v>
      </x:c>
      <x:c r="S132" s="119" t="n">
        <x:f>MAX(IF(VLOOKUP(A132,'装备掉落'!$A$29:$H$34,2,TRUE)&gt;0,1,0),IF(VLOOKUP(A132,'装备掉落'!$A$29:$H$34,3,TRUE)&gt;0,2,0),IF(VLOOKUP(A132,'装备掉落'!$A$29:$H$34,4,TRUE)&gt;0,3,0),IF(VLOOKUP(A132,'装备掉落'!$A$29:$H$34,5,TRUE)&gt;0,4,0),IF(VLOOKUP(A132,'装备掉落'!$A$29:$H$34,6,TRUE)&gt;0,5,0),IF(VLOOKUP(A132,'装备掉落'!$A$29:$H$34,7,TRUE)&gt;0,6,0),IF(VLOOKUP(A132,'装备掉落'!$A$29:$H$34,8,TRUE)&gt;0,7,0))</x:f>
        <x:v>7</x:v>
      </x:c>
      <x:c r="T132" s="119" t="n">
        <x:f>MIN(7,S132+'经济参数'!$E$70)</x:f>
        <x:v>7</x:v>
      </x:c>
      <x:c r="U132" s="119" t="n">
        <x:f>MIN(7,S132+'经济参数'!$E$71)</x:f>
        <x:v>7</x:v>
      </x:c>
      <x:c r="V132" s="119" t="n">
        <x:f>IF(H132&gt;=('难度参数'!$E$52),1,0)+IF(H132&gt;=('难度参数'!$E$52+'难度参数'!$E$53),1,0)+IF(H132&gt;=('难度参数'!$E$52+'难度参数'!$E$53+'难度参数'!$E$54),1,0)+IF(H132&gt;=('难度参数'!$E$52+'难度参数'!$E$53+'难度参数'!$E$54+'难度参数'!$E$55),1,0)+IF(H132&gt;=('难度参数'!$E$52+'难度参数'!$E$53+'难度参数'!$E$54+'难度参数'!$E$55+'难度参数'!$E$56),1,0)+IF(H132&gt;=('难度参数'!$E$52+'难度参数'!$E$53+'难度参数'!$E$54+'难度参数'!$E$55+'难度参数'!$E$56+'难度参数'!$E$57),1,0)</x:f>
        <x:v>6</x:v>
      </x:c>
      <x:c r="W132" s="62" t="str">
        <x:f>IF(L132&gt;'难度参数'!$E$51,"仅出怪已超目标","还需实测")</x:f>
        <x:v>还需实测</x:v>
      </x:c>
      <x:c r="X132" s="119" t="n">
        <x:f>IF(1&gt;D132,0,MAX(2,MIN('难度参数'!$E$12,ROUND(('难度参数'!$E$18*POWER(A132,'难度参数'!$E$19)/D132*(0.85+0.3*(1-1)/MAX(1,D132-1))),0)+F132)))</x:f>
        <x:v>22</x:v>
      </x:c>
      <x:c r="Y132" s="119" t="n">
        <x:f>IF(1&gt;D132,0,ROUND(('难度参数'!$E$13*POWER(A132,'难度参数'!$E$20)*MIN('难度参数'!$E$23,1+MAX(0,A132-'难度参数'!$E$21)*'难度参数'!$E$22))*(36+1*7)/(36+7*(D132+1)/2)*E132,0))</x:f>
        <x:v>2881</x:v>
      </x:c>
      <x:c r="Z132" s="119" t="n">
        <x:f>IF(X132=0,0,(X132-IF(1=D132,1,0))*ROUND(Y132*VLOOKUP(INDEX('章节与怪物'!$E$31:$K$37,B132,1),'章节与怪物'!$A$41:$F$44,2,FALSE),0)+IF(1=D132,ROUND(Y132*'难度参数'!$E$28*'章节与怪物'!$E$17,0),0))</x:f>
        <x:v>63382</x:v>
      </x:c>
      <x:c r="AA132" s="119" t="n">
        <x:f>IF(X132=0,0,(X132-IF(1=D132,1,0))*VLOOKUP(INDEX('章节与怪物'!$E$31:$K$37,B132,1),'章节与怪物'!$A$41:$F$44,4,FALSE)+IF(1=D132,'难度参数'!$E$30,0))</x:f>
        <x:v>396</x:v>
      </x:c>
      <x:c r="AB132" s="119" t="n">
        <x:f>IF(2&gt;D132,0,MAX(2,MIN('难度参数'!$E$12,ROUND(('难度参数'!$E$18*POWER(A132,'难度参数'!$E$19)/D132*(0.85+0.3*(2-1)/MAX(1,D132-1))),0)+F132)))</x:f>
        <x:v>23</x:v>
      </x:c>
      <x:c r="AC132" s="119" t="n">
        <x:f>IF(2&gt;D132,0,ROUND(('难度参数'!$E$13*POWER(A132,'难度参数'!$E$20)*MIN('难度参数'!$E$23,1+MAX(0,A132-'难度参数'!$E$21)*'难度参数'!$E$22))*(36+2*7)/(36+7*(D132+1)/2)*E132,0))</x:f>
        <x:v>3349</x:v>
      </x:c>
      <x:c r="AD132" s="119" t="n">
        <x:f>IF(AB132=0,0,(AB132-IF(2=D132,1,0))*ROUND(AC132*VLOOKUP(INDEX('章节与怪物'!$E$31:$K$37,B132,2),'章节与怪物'!$A$41:$F$44,2,FALSE),0)+IF(2=D132,ROUND(AC132*'难度参数'!$E$28*'章节与怪物'!$E$17,0),0))</x:f>
        <x:v>55453</x:v>
      </x:c>
      <x:c r="AE132" s="119" t="n">
        <x:f>IF(AB132=0,0,(AB132-IF(2=D132,1,0))*VLOOKUP(INDEX('章节与怪物'!$E$31:$K$37,B132,2),'章节与怪物'!$A$41:$F$44,4,FALSE)+IF(2=D132,'难度参数'!$E$30,0))</x:f>
        <x:v>460</x:v>
      </x:c>
      <x:c r="AF132" s="119" t="n">
        <x:f>IF(3&gt;D132,0,MAX(2,MIN('难度参数'!$E$12,ROUND(('难度参数'!$E$18*POWER(A132,'难度参数'!$E$19)/D132*(0.85+0.3*(3-1)/MAX(1,D132-1))),0)+F132)))</x:f>
        <x:v>24</x:v>
      </x:c>
      <x:c r="AG132" s="119" t="n">
        <x:f>IF(3&gt;D132,0,ROUND(('难度参数'!$E$13*POWER(A132,'难度参数'!$E$20)*MIN('难度参数'!$E$23,1+MAX(0,A132-'难度参数'!$E$21)*'难度参数'!$E$22))*(36+3*7)/(36+7*(D132+1)/2)*E132,0))</x:f>
        <x:v>3818</x:v>
      </x:c>
      <x:c r="AH132" s="119" t="n">
        <x:f>IF(AF132=0,0,(AF132-IF(3=D132,1,0))*ROUND(AG132*VLOOKUP(INDEX('章节与怪物'!$E$31:$K$37,B132,3),'章节与怪物'!$A$41:$F$44,2,FALSE),0)+IF(3=D132,ROUND(AG132*'难度参数'!$E$28*'章节与怪物'!$E$17,0),0))</x:f>
        <x:v>155784</x:v>
      </x:c>
      <x:c r="AI132" s="119" t="n">
        <x:f>IF(AF132=0,0,(AF132-IF(3=D132,1,0))*VLOOKUP(INDEX('章节与怪物'!$E$31:$K$37,B132,3),'章节与怪物'!$A$41:$F$44,4,FALSE)+IF(3=D132,'难度参数'!$E$30,0))</x:f>
        <x:v>672</x:v>
      </x:c>
      <x:c r="AJ132" s="119" t="n">
        <x:f>IF(4&gt;D132,0,MAX(2,MIN('难度参数'!$E$12,ROUND(('难度参数'!$E$18*POWER(A132,'难度参数'!$E$19)/D132*(0.85+0.3*(4-1)/MAX(1,D132-1))),0)+F132)))</x:f>
        <x:v>26</x:v>
      </x:c>
      <x:c r="AK132" s="119" t="n">
        <x:f>IF(4&gt;D132,0,ROUND(('难度参数'!$E$13*POWER(A132,'难度参数'!$E$20)*MIN('难度参数'!$E$23,1+MAX(0,A132-'难度参数'!$E$21)*'难度参数'!$E$22))*(36+4*7)/(36+7*(D132+1)/2)*E132,0))</x:f>
        <x:v>4287</x:v>
      </x:c>
      <x:c r="AL132" s="119" t="n">
        <x:f>IF(AJ132=0,0,(AJ132-IF(4=D132,1,0))*ROUND(AK132*VLOOKUP(INDEX('章节与怪物'!$E$31:$K$37,B132,4),'章节与怪物'!$A$41:$F$44,2,FALSE),0)+IF(4=D132,ROUND(AK132*'难度参数'!$E$28*'章节与怪物'!$E$17,0),0))</x:f>
        <x:v>150462</x:v>
      </x:c>
      <x:c r="AM132" s="119" t="n">
        <x:f>IF(AJ132=0,0,(AJ132-IF(4=D132,1,0))*VLOOKUP(INDEX('章节与怪物'!$E$31:$K$37,B132,4),'章节与怪物'!$A$41:$F$44,4,FALSE)+IF(4=D132,'难度参数'!$E$30,0))</x:f>
        <x:v>884</x:v>
      </x:c>
      <x:c r="AN132" s="119" t="n">
        <x:f>IF(5&gt;D132,0,MAX(2,MIN('难度参数'!$E$12,ROUND(('难度参数'!$E$18*POWER(A132,'难度参数'!$E$19)/D132*(0.85+0.3*(5-1)/MAX(1,D132-1))),0)+F132)))</x:f>
        <x:v>27</x:v>
      </x:c>
      <x:c r="AO132" s="119" t="n">
        <x:f>IF(5&gt;D132,0,ROUND(('难度参数'!$E$13*POWER(A132,'难度参数'!$E$20)*MIN('难度参数'!$E$23,1+MAX(0,A132-'难度参数'!$E$21)*'难度参数'!$E$22))*(36+5*7)/(36+7*(D132+1)/2)*E132,0))</x:f>
        <x:v>4756</x:v>
      </x:c>
      <x:c r="AP132" s="119" t="n">
        <x:f>IF(AN132=0,0,(AN132-IF(5=D132,1,0))*ROUND(AO132*VLOOKUP(INDEX('章节与怪物'!$E$31:$K$37,B132,5),'章节与怪物'!$A$41:$F$44,2,FALSE),0)+IF(5=D132,ROUND(AO132*'难度参数'!$E$28*'章节与怪物'!$E$17,0),0))</x:f>
        <x:v>92448</x:v>
      </x:c>
      <x:c r="AQ132" s="119" t="n">
        <x:f>IF(AN132=0,0,(AN132-IF(5=D132,1,0))*VLOOKUP(INDEX('章节与怪物'!$E$31:$K$37,B132,5),'章节与怪物'!$A$41:$F$44,4,FALSE)+IF(5=D132,'难度参数'!$E$30,0))</x:f>
        <x:v>540</x:v>
      </x:c>
      <x:c r="AR132" s="119" t="n">
        <x:f>IF(6&gt;D132,0,MAX(2,MIN('难度参数'!$E$12,ROUND(('难度参数'!$E$18*POWER(A132,'难度参数'!$E$19)/D132*(0.85+0.3*(6-1)/MAX(1,D132-1))),0)+F132)))</x:f>
        <x:v>28</x:v>
      </x:c>
      <x:c r="AS132" s="119" t="n">
        <x:f>IF(6&gt;D132,0,ROUND(('难度参数'!$E$13*POWER(A132,'难度参数'!$E$20)*MIN('难度参数'!$E$23,1+MAX(0,A132-'难度参数'!$E$21)*'难度参数'!$E$22))*(36+6*7)/(36+7*(D132+1)/2)*E132,0))</x:f>
        <x:v>5225</x:v>
      </x:c>
      <x:c r="AT132" s="119" t="n">
        <x:f>IF(AR132=0,0,(AR132-IF(6=D132,1,0))*ROUND(AS132*VLOOKUP(INDEX('章节与怪物'!$E$31:$K$37,B132,6),'章节与怪物'!$A$41:$F$44,2,FALSE),0)+IF(6=D132,ROUND(AS132*'难度参数'!$E$28*'章节与怪物'!$E$17,0),0))</x:f>
        <x:v>248724</x:v>
      </x:c>
      <x:c r="AU132" s="119" t="n">
        <x:f>IF(AR132=0,0,(AR132-IF(6=D132,1,0))*VLOOKUP(INDEX('章节与怪物'!$E$31:$K$37,B132,6),'章节与怪物'!$A$41:$F$44,4,FALSE)+IF(6=D132,'难度参数'!$E$30,0))</x:f>
        <x:v>784</x:v>
      </x:c>
      <x:c r="AV132" s="119" t="n">
        <x:f>IF(7&gt;D132,0,MAX(2,MIN('难度参数'!$E$12,ROUND(('难度参数'!$E$18*POWER(A132,'难度参数'!$E$19)/D132*(0.85+0.3*(7-1)/MAX(1,D132-1))),0)+F132)))</x:f>
        <x:v>29</x:v>
      </x:c>
      <x:c r="AW132" s="119" t="n">
        <x:f>IF(7&gt;D132,0,ROUND(('难度参数'!$E$13*POWER(A132,'难度参数'!$E$20)*MIN('难度参数'!$E$23,1+MAX(0,A132-'难度参数'!$E$21)*'难度参数'!$E$22))*(36+7*7)/(36+7*(D132+1)/2)*E132,0))</x:f>
        <x:v>5694</x:v>
      </x:c>
      <x:c r="AX132" s="119" t="n">
        <x:f>IF(AV132=0,0,(AV132-IF(7=D132,1,0))*ROUND(AW132*VLOOKUP(INDEX('章节与怪物'!$E$31:$K$37,B132,7),'章节与怪物'!$A$41:$F$44,2,FALSE),0)+IF(7=D132,ROUND(AW132*'难度参数'!$E$28*'章节与怪物'!$E$17,0),0))</x:f>
        <x:v>253955</x:v>
      </x:c>
      <x:c r="AY132" s="119" t="n">
        <x:f>IF(AV132=0,0,(AV132-IF(7=D132,1,0))*VLOOKUP(INDEX('章节与怪物'!$E$31:$K$37,B132,7),'章节与怪物'!$A$41:$F$44,4,FALSE)+IF(7=D132,'难度参数'!$E$30,0))</x:f>
        <x:v>1152</x:v>
      </x:c>
    </x:row>
    <x:row r="133" ht="23" customHeight="1">
      <x:c r="A133" s="119" t="n">
        <x:v>127</x:v>
      </x:c>
      <x:c r="B133" s="119" t="n">
        <x:f>MOD(INT((A133-1)/5),7)+1</x:f>
        <x:v>5</x:v>
      </x:c>
      <x:c r="C133" s="62" t="str">
        <x:f>INDEX('章节与怪物'!$B$31:$B$37,B133)</x:f>
        <x:v>雨林遗迹</x:v>
      </x:c>
      <x:c r="D133" s="119" t="n">
        <x:f>MIN('难度参数'!$E$8,MAX('难度参数'!$E$7,A133))</x:f>
        <x:v>7</x:v>
      </x:c>
      <x:c r="E133" s="106" t="n">
        <x:v>1</x:v>
      </x:c>
      <x:c r="F133" s="106" t="n">
        <x:v>0</x:v>
      </x:c>
      <x:c r="G133" s="106" t="n">
        <x:v>1</x:v>
      </x:c>
      <x:c r="H133" s="119" t="n">
        <x:f>SUM(X133,AB133,AF133,AJ133,AN133,AR133,AV133)</x:f>
        <x:v>180</x:v>
      </x:c>
      <x:c r="I133" s="119" t="n">
        <x:f>SUM(Z133,AD133,AH133,AL133,AP133,AT133,AX133)</x:f>
        <x:v>1036212</x:v>
      </x:c>
      <x:c r="J133" s="119" t="n">
        <x:f>ROUND(INDEX(X133:AY133,1,(D133-1)*4+2)*'难度参数'!$E$28*'章节与怪物'!$E$17,0)</x:f>
        <x:v>39032</x:v>
      </x:c>
      <x:c r="K133" s="119" t="n">
        <x:f>SUM(AA133,AE133,AI133,AM133,AQ133,AU133,AY133)</x:f>
        <x:v>4922</x:v>
      </x:c>
      <x:c r="L133" s="62" t="n">
        <x:f>H133*(ROUNDUP('难度参数'!$E$24/('难度参数'!$E$26*'难度参数'!$E$27),0)*'难度参数'!$E$26)/60</x:f>
        <x:v>2.4</x:v>
      </x:c>
      <x:c r="M133" s="62" t="n">
        <x:f>L133+D133*('难度参数'!$E$49+'难度参数'!$E$50)/60</x:f>
        <x:v>3.5666666666666664</x:v>
      </x:c>
      <x:c r="N133" s="119" t="n">
        <x:f>ROUNDDOWN(('经济参数'!$E$20+A133*'经济参数'!$E$21)*G133,0)</x:f>
        <x:v>2720</x:v>
      </x:c>
      <x:c r="O133" s="119" t="n">
        <x:f>ROUNDDOWN(MIN('经济参数'!$E$24,'经济参数'!$E$22+A133*'经济参数'!$E$23)*G133,0)</x:f>
        <x:v>0</x:v>
      </x:c>
      <x:c r="P133" s="119" t="n">
        <x:f>ROUNDDOWN((IF(A133&gt;='材料与任务'!$E$31,'材料与任务'!$E$32,IF(A133&gt;='材料与任务'!$E$25,'材料与任务'!$E$26,IF(A133&gt;='材料与任务'!$E$19,'材料与任务'!$E$20,IF(A133&gt;='材料与任务'!$E$13,'材料与任务'!$E$14,'材料与任务'!$E$8)))))*G133,0)</x:f>
        <x:v>6</x:v>
      </x:c>
      <x:c r="Q133" s="119" t="n">
        <x:f>ROUNDDOWN((IF(A133&gt;='材料与任务'!$E$31,'材料与任务'!$E$33,IF(A133&gt;='材料与任务'!$E$25,'材料与任务'!$E$27,IF(A133&gt;='材料与任务'!$E$19,'材料与任务'!$E$21,IF(A133&gt;='材料与任务'!$E$13,'材料与任务'!$E$15,'材料与任务'!$E$9)))))*G133,0)</x:f>
        <x:v>3</x:v>
      </x:c>
      <x:c r="R133" s="110" t="n">
        <x:f>'装备掉落'!$B$38</x:f>
        <x:v>0.6872058758851213</x:v>
      </x:c>
      <x:c r="S133" s="119" t="n">
        <x:f>MAX(IF(VLOOKUP(A133,'装备掉落'!$A$29:$H$34,2,TRUE)&gt;0,1,0),IF(VLOOKUP(A133,'装备掉落'!$A$29:$H$34,3,TRUE)&gt;0,2,0),IF(VLOOKUP(A133,'装备掉落'!$A$29:$H$34,4,TRUE)&gt;0,3,0),IF(VLOOKUP(A133,'装备掉落'!$A$29:$H$34,5,TRUE)&gt;0,4,0),IF(VLOOKUP(A133,'装备掉落'!$A$29:$H$34,6,TRUE)&gt;0,5,0),IF(VLOOKUP(A133,'装备掉落'!$A$29:$H$34,7,TRUE)&gt;0,6,0),IF(VLOOKUP(A133,'装备掉落'!$A$29:$H$34,8,TRUE)&gt;0,7,0))</x:f>
        <x:v>7</x:v>
      </x:c>
      <x:c r="T133" s="119" t="n">
        <x:f>MIN(7,S133+'经济参数'!$E$70)</x:f>
        <x:v>7</x:v>
      </x:c>
      <x:c r="U133" s="119" t="n">
        <x:f>MIN(7,S133+'经济参数'!$E$71)</x:f>
        <x:v>7</x:v>
      </x:c>
      <x:c r="V133" s="119" t="n">
        <x:f>IF(H133&gt;=('难度参数'!$E$52),1,0)+IF(H133&gt;=('难度参数'!$E$52+'难度参数'!$E$53),1,0)+IF(H133&gt;=('难度参数'!$E$52+'难度参数'!$E$53+'难度参数'!$E$54),1,0)+IF(H133&gt;=('难度参数'!$E$52+'难度参数'!$E$53+'难度参数'!$E$54+'难度参数'!$E$55),1,0)+IF(H133&gt;=('难度参数'!$E$52+'难度参数'!$E$53+'难度参数'!$E$54+'难度参数'!$E$55+'难度参数'!$E$56),1,0)+IF(H133&gt;=('难度参数'!$E$52+'难度参数'!$E$53+'难度参数'!$E$54+'难度参数'!$E$55+'难度参数'!$E$56+'难度参数'!$E$57),1,0)</x:f>
        <x:v>6</x:v>
      </x:c>
      <x:c r="W133" s="62" t="str">
        <x:f>IF(L133&gt;'难度参数'!$E$51,"仅出怪已超目标","还需实测")</x:f>
        <x:v>还需实测</x:v>
      </x:c>
      <x:c r="X133" s="119" t="n">
        <x:f>IF(1&gt;D133,0,MAX(2,MIN('难度参数'!$E$12,ROUND(('难度参数'!$E$18*POWER(A133,'难度参数'!$E$19)/D133*(0.85+0.3*(1-1)/MAX(1,D133-1))),0)+F133)))</x:f>
        <x:v>22</x:v>
      </x:c>
      <x:c r="Y133" s="119" t="n">
        <x:f>IF(1&gt;D133,0,ROUND(('难度参数'!$E$13*POWER(A133,'难度参数'!$E$20)*MIN('难度参数'!$E$23,1+MAX(0,A133-'难度参数'!$E$21)*'难度参数'!$E$22))*(36+1*7)/(36+7*(D133+1)/2)*E133,0))</x:f>
        <x:v>2904</x:v>
      </x:c>
      <x:c r="Z133" s="119" t="n">
        <x:f>IF(X133=0,0,(X133-IF(1=D133,1,0))*ROUND(Y133*VLOOKUP(INDEX('章节与怪物'!$E$31:$K$37,B133,1),'章节与怪物'!$A$41:$F$44,2,FALSE),0)+IF(1=D133,ROUND(Y133*'难度参数'!$E$28*'章节与怪物'!$E$17,0),0))</x:f>
        <x:v>63888</x:v>
      </x:c>
      <x:c r="AA133" s="119" t="n">
        <x:f>IF(X133=0,0,(X133-IF(1=D133,1,0))*VLOOKUP(INDEX('章节与怪物'!$E$31:$K$37,B133,1),'章节与怪物'!$A$41:$F$44,4,FALSE)+IF(1=D133,'难度参数'!$E$30,0))</x:f>
        <x:v>396</x:v>
      </x:c>
      <x:c r="AB133" s="119" t="n">
        <x:f>IF(2&gt;D133,0,MAX(2,MIN('难度参数'!$E$12,ROUND(('难度参数'!$E$18*POWER(A133,'难度参数'!$E$19)/D133*(0.85+0.3*(2-1)/MAX(1,D133-1))),0)+F133)))</x:f>
        <x:v>23</x:v>
      </x:c>
      <x:c r="AC133" s="119" t="n">
        <x:f>IF(2&gt;D133,0,ROUND(('难度参数'!$E$13*POWER(A133,'难度参数'!$E$20)*MIN('难度参数'!$E$23,1+MAX(0,A133-'难度参数'!$E$21)*'难度参数'!$E$22))*(36+2*7)/(36+7*(D133+1)/2)*E133,0))</x:f>
        <x:v>3376</x:v>
      </x:c>
      <x:c r="AD133" s="119" t="n">
        <x:f>IF(AB133=0,0,(AB133-IF(2=D133,1,0))*ROUND(AC133*VLOOKUP(INDEX('章节与怪物'!$E$31:$K$37,B133,2),'章节与怪物'!$A$41:$F$44,2,FALSE),0)+IF(2=D133,ROUND(AC133*'难度参数'!$E$28*'章节与怪物'!$E$17,0),0))</x:f>
        <x:v>55913</x:v>
      </x:c>
      <x:c r="AE133" s="119" t="n">
        <x:f>IF(AB133=0,0,(AB133-IF(2=D133,1,0))*VLOOKUP(INDEX('章节与怪物'!$E$31:$K$37,B133,2),'章节与怪物'!$A$41:$F$44,4,FALSE)+IF(2=D133,'难度参数'!$E$30,0))</x:f>
        <x:v>460</x:v>
      </x:c>
      <x:c r="AF133" s="119" t="n">
        <x:f>IF(3&gt;D133,0,MAX(2,MIN('难度参数'!$E$12,ROUND(('难度参数'!$E$18*POWER(A133,'难度参数'!$E$19)/D133*(0.85+0.3*(3-1)/MAX(1,D133-1))),0)+F133)))</x:f>
        <x:v>24</x:v>
      </x:c>
      <x:c r="AG133" s="119" t="n">
        <x:f>IF(3&gt;D133,0,ROUND(('难度参数'!$E$13*POWER(A133,'难度参数'!$E$20)*MIN('难度参数'!$E$23,1+MAX(0,A133-'难度参数'!$E$21)*'难度参数'!$E$22))*(36+3*7)/(36+7*(D133+1)/2)*E133,0))</x:f>
        <x:v>3849</x:v>
      </x:c>
      <x:c r="AH133" s="119" t="n">
        <x:f>IF(AF133=0,0,(AF133-IF(3=D133,1,0))*ROUND(AG133*VLOOKUP(INDEX('章节与怪物'!$E$31:$K$37,B133,3),'章节与怪物'!$A$41:$F$44,2,FALSE),0)+IF(3=D133,ROUND(AG133*'难度参数'!$E$28*'章节与怪物'!$E$17,0),0))</x:f>
        <x:v>157032</x:v>
      </x:c>
      <x:c r="AI133" s="119" t="n">
        <x:f>IF(AF133=0,0,(AF133-IF(3=D133,1,0))*VLOOKUP(INDEX('章节与怪物'!$E$31:$K$37,B133,3),'章节与怪物'!$A$41:$F$44,4,FALSE)+IF(3=D133,'难度参数'!$E$30,0))</x:f>
        <x:v>672</x:v>
      </x:c>
      <x:c r="AJ133" s="119" t="n">
        <x:f>IF(4&gt;D133,0,MAX(2,MIN('难度参数'!$E$12,ROUND(('难度参数'!$E$18*POWER(A133,'难度参数'!$E$19)/D133*(0.85+0.3*(4-1)/MAX(1,D133-1))),0)+F133)))</x:f>
        <x:v>26</x:v>
      </x:c>
      <x:c r="AK133" s="119" t="n">
        <x:f>IF(4&gt;D133,0,ROUND(('难度参数'!$E$13*POWER(A133,'难度参数'!$E$20)*MIN('难度参数'!$E$23,1+MAX(0,A133-'难度参数'!$E$21)*'难度参数'!$E$22))*(36+4*7)/(36+7*(D133+1)/2)*E133,0))</x:f>
        <x:v>4322</x:v>
      </x:c>
      <x:c r="AL133" s="119" t="n">
        <x:f>IF(AJ133=0,0,(AJ133-IF(4=D133,1,0))*ROUND(AK133*VLOOKUP(INDEX('章节与怪物'!$E$31:$K$37,B133,4),'章节与怪物'!$A$41:$F$44,2,FALSE),0)+IF(4=D133,ROUND(AK133*'难度参数'!$E$28*'章节与怪物'!$E$17,0),0))</x:f>
        <x:v>151710</x:v>
      </x:c>
      <x:c r="AM133" s="119" t="n">
        <x:f>IF(AJ133=0,0,(AJ133-IF(4=D133,1,0))*VLOOKUP(INDEX('章节与怪物'!$E$31:$K$37,B133,4),'章节与怪物'!$A$41:$F$44,4,FALSE)+IF(4=D133,'难度参数'!$E$30,0))</x:f>
        <x:v>884</x:v>
      </x:c>
      <x:c r="AN133" s="119" t="n">
        <x:f>IF(5&gt;D133,0,MAX(2,MIN('难度参数'!$E$12,ROUND(('难度参数'!$E$18*POWER(A133,'难度参数'!$E$19)/D133*(0.85+0.3*(5-1)/MAX(1,D133-1))),0)+F133)))</x:f>
        <x:v>27</x:v>
      </x:c>
      <x:c r="AO133" s="119" t="n">
        <x:f>IF(5&gt;D133,0,ROUND(('难度参数'!$E$13*POWER(A133,'难度参数'!$E$20)*MIN('难度参数'!$E$23,1+MAX(0,A133-'难度参数'!$E$21)*'难度参数'!$E$22))*(36+5*7)/(36+7*(D133+1)/2)*E133,0))</x:f>
        <x:v>4794</x:v>
      </x:c>
      <x:c r="AP133" s="119" t="n">
        <x:f>IF(AN133=0,0,(AN133-IF(5=D133,1,0))*ROUND(AO133*VLOOKUP(INDEX('章节与怪物'!$E$31:$K$37,B133,5),'章节与怪物'!$A$41:$F$44,2,FALSE),0)+IF(5=D133,ROUND(AO133*'难度参数'!$E$28*'章节与怪物'!$E$17,0),0))</x:f>
        <x:v>93204</x:v>
      </x:c>
      <x:c r="AQ133" s="119" t="n">
        <x:f>IF(AN133=0,0,(AN133-IF(5=D133,1,0))*VLOOKUP(INDEX('章节与怪物'!$E$31:$K$37,B133,5),'章节与怪物'!$A$41:$F$44,4,FALSE)+IF(5=D133,'难度参数'!$E$30,0))</x:f>
        <x:v>540</x:v>
      </x:c>
      <x:c r="AR133" s="119" t="n">
        <x:f>IF(6&gt;D133,0,MAX(2,MIN('难度参数'!$E$12,ROUND(('难度参数'!$E$18*POWER(A133,'难度参数'!$E$19)/D133*(0.85+0.3*(6-1)/MAX(1,D133-1))),0)+F133)))</x:f>
        <x:v>28</x:v>
      </x:c>
      <x:c r="AS133" s="119" t="n">
        <x:f>IF(6&gt;D133,0,ROUND(('难度参数'!$E$13*POWER(A133,'难度参数'!$E$20)*MIN('难度参数'!$E$23,1+MAX(0,A133-'难度参数'!$E$21)*'难度参数'!$E$22))*(36+6*7)/(36+7*(D133+1)/2)*E133,0))</x:f>
        <x:v>5267</x:v>
      </x:c>
      <x:c r="AT133" s="119" t="n">
        <x:f>IF(AR133=0,0,(AR133-IF(6=D133,1,0))*ROUND(AS133*VLOOKUP(INDEX('章节与怪物'!$E$31:$K$37,B133,6),'章节与怪物'!$A$41:$F$44,2,FALSE),0)+IF(6=D133,ROUND(AS133*'难度参数'!$E$28*'章节与怪物'!$E$17,0),0))</x:f>
        <x:v>250712</x:v>
      </x:c>
      <x:c r="AU133" s="119" t="n">
        <x:f>IF(AR133=0,0,(AR133-IF(6=D133,1,0))*VLOOKUP(INDEX('章节与怪物'!$E$31:$K$37,B133,6),'章节与怪物'!$A$41:$F$44,4,FALSE)+IF(6=D133,'难度参数'!$E$30,0))</x:f>
        <x:v>784</x:v>
      </x:c>
      <x:c r="AV133" s="119" t="n">
        <x:f>IF(7&gt;D133,0,MAX(2,MIN('难度参数'!$E$12,ROUND(('难度参数'!$E$18*POWER(A133,'难度参数'!$E$19)/D133*(0.85+0.3*(7-1)/MAX(1,D133-1))),0)+F133)))</x:f>
        <x:v>30</x:v>
      </x:c>
      <x:c r="AW133" s="119" t="n">
        <x:f>IF(7&gt;D133,0,ROUND(('难度参数'!$E$13*POWER(A133,'难度参数'!$E$20)*MIN('难度参数'!$E$23,1+MAX(0,A133-'难度参数'!$E$21)*'难度参数'!$E$22))*(36+7*7)/(36+7*(D133+1)/2)*E133,0))</x:f>
        <x:v>5740</x:v>
      </x:c>
      <x:c r="AX133" s="119" t="n">
        <x:f>IF(AV133=0,0,(AV133-IF(7=D133,1,0))*ROUND(AW133*VLOOKUP(INDEX('章节与怪物'!$E$31:$K$37,B133,7),'章节与怪物'!$A$41:$F$44,2,FALSE),0)+IF(7=D133,ROUND(AW133*'难度参数'!$E$28*'章节与怪物'!$E$17,0),0))</x:f>
        <x:v>263753</x:v>
      </x:c>
      <x:c r="AY133" s="119" t="n">
        <x:f>IF(AV133=0,0,(AV133-IF(7=D133,1,0))*VLOOKUP(INDEX('章节与怪物'!$E$31:$K$37,B133,7),'章节与怪物'!$A$41:$F$44,4,FALSE)+IF(7=D133,'难度参数'!$E$30,0))</x:f>
        <x:v>1186</x:v>
      </x:c>
    </x:row>
    <x:row r="134" ht="23" customHeight="1">
      <x:c r="A134" s="119" t="n">
        <x:v>128</x:v>
      </x:c>
      <x:c r="B134" s="119" t="n">
        <x:f>MOD(INT((A134-1)/5),7)+1</x:f>
        <x:v>5</x:v>
      </x:c>
      <x:c r="C134" s="62" t="str">
        <x:f>INDEX('章节与怪物'!$B$31:$B$37,B134)</x:f>
        <x:v>雨林遗迹</x:v>
      </x:c>
      <x:c r="D134" s="119" t="n">
        <x:f>MIN('难度参数'!$E$8,MAX('难度参数'!$E$7,A134))</x:f>
        <x:v>7</x:v>
      </x:c>
      <x:c r="E134" s="106" t="n">
        <x:v>1</x:v>
      </x:c>
      <x:c r="F134" s="106" t="n">
        <x:v>0</x:v>
      </x:c>
      <x:c r="G134" s="106" t="n">
        <x:v>1</x:v>
      </x:c>
      <x:c r="H134" s="119" t="n">
        <x:f>SUM(X134,AB134,AF134,AJ134,AN134,AR134,AV134)</x:f>
        <x:v>180</x:v>
      </x:c>
      <x:c r="I134" s="119" t="n">
        <x:f>SUM(Z134,AD134,AH134,AL134,AP134,AT134,AX134)</x:f>
        <x:v>1044367</x:v>
      </x:c>
      <x:c r="J134" s="119" t="n">
        <x:f>ROUND(INDEX(X134:AY134,1,(D134-1)*4+2)*'难度参数'!$E$28*'章节与怪物'!$E$17,0)</x:f>
        <x:v>39338</x:v>
      </x:c>
      <x:c r="K134" s="119" t="n">
        <x:f>SUM(AA134,AE134,AI134,AM134,AQ134,AU134,AY134)</x:f>
        <x:v>4922</x:v>
      </x:c>
      <x:c r="L134" s="62" t="n">
        <x:f>H134*(ROUNDUP('难度参数'!$E$24/('难度参数'!$E$26*'难度参数'!$E$27),0)*'难度参数'!$E$26)/60</x:f>
        <x:v>2.4</x:v>
      </x:c>
      <x:c r="M134" s="62" t="n">
        <x:f>L134+D134*('难度参数'!$E$49+'难度参数'!$E$50)/60</x:f>
        <x:v>3.5666666666666664</x:v>
      </x:c>
      <x:c r="N134" s="119" t="n">
        <x:f>ROUNDDOWN(('经济参数'!$E$20+A134*'经济参数'!$E$21)*G134,0)</x:f>
        <x:v>2740</x:v>
      </x:c>
      <x:c r="O134" s="119" t="n">
        <x:f>ROUNDDOWN(MIN('经济参数'!$E$24,'经济参数'!$E$22+A134*'经济参数'!$E$23)*G134,0)</x:f>
        <x:v>0</x:v>
      </x:c>
      <x:c r="P134" s="119" t="n">
        <x:f>ROUNDDOWN((IF(A134&gt;='材料与任务'!$E$31,'材料与任务'!$E$32,IF(A134&gt;='材料与任务'!$E$25,'材料与任务'!$E$26,IF(A134&gt;='材料与任务'!$E$19,'材料与任务'!$E$20,IF(A134&gt;='材料与任务'!$E$13,'材料与任务'!$E$14,'材料与任务'!$E$8)))))*G134,0)</x:f>
        <x:v>6</x:v>
      </x:c>
      <x:c r="Q134" s="119" t="n">
        <x:f>ROUNDDOWN((IF(A134&gt;='材料与任务'!$E$31,'材料与任务'!$E$33,IF(A134&gt;='材料与任务'!$E$25,'材料与任务'!$E$27,IF(A134&gt;='材料与任务'!$E$19,'材料与任务'!$E$21,IF(A134&gt;='材料与任务'!$E$13,'材料与任务'!$E$15,'材料与任务'!$E$9)))))*G134,0)</x:f>
        <x:v>3</x:v>
      </x:c>
      <x:c r="R134" s="110" t="n">
        <x:f>'装备掉落'!$B$38</x:f>
        <x:v>0.6872058758851213</x:v>
      </x:c>
      <x:c r="S134" s="119" t="n">
        <x:f>MAX(IF(VLOOKUP(A134,'装备掉落'!$A$29:$H$34,2,TRUE)&gt;0,1,0),IF(VLOOKUP(A134,'装备掉落'!$A$29:$H$34,3,TRUE)&gt;0,2,0),IF(VLOOKUP(A134,'装备掉落'!$A$29:$H$34,4,TRUE)&gt;0,3,0),IF(VLOOKUP(A134,'装备掉落'!$A$29:$H$34,5,TRUE)&gt;0,4,0),IF(VLOOKUP(A134,'装备掉落'!$A$29:$H$34,6,TRUE)&gt;0,5,0),IF(VLOOKUP(A134,'装备掉落'!$A$29:$H$34,7,TRUE)&gt;0,6,0),IF(VLOOKUP(A134,'装备掉落'!$A$29:$H$34,8,TRUE)&gt;0,7,0))</x:f>
        <x:v>7</x:v>
      </x:c>
      <x:c r="T134" s="119" t="n">
        <x:f>MIN(7,S134+'经济参数'!$E$70)</x:f>
        <x:v>7</x:v>
      </x:c>
      <x:c r="U134" s="119" t="n">
        <x:f>MIN(7,S134+'经济参数'!$E$71)</x:f>
        <x:v>7</x:v>
      </x:c>
      <x:c r="V134" s="119" t="n">
        <x:f>IF(H134&gt;=('难度参数'!$E$52),1,0)+IF(H134&gt;=('难度参数'!$E$52+'难度参数'!$E$53),1,0)+IF(H134&gt;=('难度参数'!$E$52+'难度参数'!$E$53+'难度参数'!$E$54),1,0)+IF(H134&gt;=('难度参数'!$E$52+'难度参数'!$E$53+'难度参数'!$E$54+'难度参数'!$E$55),1,0)+IF(H134&gt;=('难度参数'!$E$52+'难度参数'!$E$53+'难度参数'!$E$54+'难度参数'!$E$55+'难度参数'!$E$56),1,0)+IF(H134&gt;=('难度参数'!$E$52+'难度参数'!$E$53+'难度参数'!$E$54+'难度参数'!$E$55+'难度参数'!$E$56+'难度参数'!$E$57),1,0)</x:f>
        <x:v>6</x:v>
      </x:c>
      <x:c r="W134" s="62" t="str">
        <x:f>IF(L134&gt;'难度参数'!$E$51,"仅出怪已超目标","还需实测")</x:f>
        <x:v>还需实测</x:v>
      </x:c>
      <x:c r="X134" s="119" t="n">
        <x:f>IF(1&gt;D134,0,MAX(2,MIN('难度参数'!$E$12,ROUND(('难度参数'!$E$18*POWER(A134,'难度参数'!$E$19)/D134*(0.85+0.3*(1-1)/MAX(1,D134-1))),0)+F134)))</x:f>
        <x:v>22</x:v>
      </x:c>
      <x:c r="Y134" s="119" t="n">
        <x:f>IF(1&gt;D134,0,ROUND(('难度参数'!$E$13*POWER(A134,'难度参数'!$E$20)*MIN('难度参数'!$E$23,1+MAX(0,A134-'难度参数'!$E$21)*'难度参数'!$E$22))*(36+1*7)/(36+7*(D134+1)/2)*E134,0))</x:f>
        <x:v>2927</x:v>
      </x:c>
      <x:c r="Z134" s="119" t="n">
        <x:f>IF(X134=0,0,(X134-IF(1=D134,1,0))*ROUND(Y134*VLOOKUP(INDEX('章节与怪物'!$E$31:$K$37,B134,1),'章节与怪物'!$A$41:$F$44,2,FALSE),0)+IF(1=D134,ROUND(Y134*'难度参数'!$E$28*'章节与怪物'!$E$17,0),0))</x:f>
        <x:v>64394</x:v>
      </x:c>
      <x:c r="AA134" s="119" t="n">
        <x:f>IF(X134=0,0,(X134-IF(1=D134,1,0))*VLOOKUP(INDEX('章节与怪物'!$E$31:$K$37,B134,1),'章节与怪物'!$A$41:$F$44,4,FALSE)+IF(1=D134,'难度参数'!$E$30,0))</x:f>
        <x:v>396</x:v>
      </x:c>
      <x:c r="AB134" s="119" t="n">
        <x:f>IF(2&gt;D134,0,MAX(2,MIN('难度参数'!$E$12,ROUND(('难度参数'!$E$18*POWER(A134,'难度参数'!$E$19)/D134*(0.85+0.3*(2-1)/MAX(1,D134-1))),0)+F134)))</x:f>
        <x:v>23</x:v>
      </x:c>
      <x:c r="AC134" s="119" t="n">
        <x:f>IF(2&gt;D134,0,ROUND(('难度参数'!$E$13*POWER(A134,'难度参数'!$E$20)*MIN('难度参数'!$E$23,1+MAX(0,A134-'难度参数'!$E$21)*'难度参数'!$E$22))*(36+2*7)/(36+7*(D134+1)/2)*E134,0))</x:f>
        <x:v>3403</x:v>
      </x:c>
      <x:c r="AD134" s="119" t="n">
        <x:f>IF(AB134=0,0,(AB134-IF(2=D134,1,0))*ROUND(AC134*VLOOKUP(INDEX('章节与怪物'!$E$31:$K$37,B134,2),'章节与怪物'!$A$41:$F$44,2,FALSE),0)+IF(2=D134,ROUND(AC134*'难度参数'!$E$28*'章节与怪物'!$E$17,0),0))</x:f>
        <x:v>56350</x:v>
      </x:c>
      <x:c r="AE134" s="119" t="n">
        <x:f>IF(AB134=0,0,(AB134-IF(2=D134,1,0))*VLOOKUP(INDEX('章节与怪物'!$E$31:$K$37,B134,2),'章节与怪物'!$A$41:$F$44,4,FALSE)+IF(2=D134,'难度参数'!$E$30,0))</x:f>
        <x:v>460</x:v>
      </x:c>
      <x:c r="AF134" s="119" t="n">
        <x:f>IF(3&gt;D134,0,MAX(2,MIN('难度参数'!$E$12,ROUND(('难度参数'!$E$18*POWER(A134,'难度参数'!$E$19)/D134*(0.85+0.3*(3-1)/MAX(1,D134-1))),0)+F134)))</x:f>
        <x:v>24</x:v>
      </x:c>
      <x:c r="AG134" s="119" t="n">
        <x:f>IF(3&gt;D134,0,ROUND(('难度参数'!$E$13*POWER(A134,'难度参数'!$E$20)*MIN('难度参数'!$E$23,1+MAX(0,A134-'难度参数'!$E$21)*'难度参数'!$E$22))*(36+3*7)/(36+7*(D134+1)/2)*E134,0))</x:f>
        <x:v>3879</x:v>
      </x:c>
      <x:c r="AH134" s="119" t="n">
        <x:f>IF(AF134=0,0,(AF134-IF(3=D134,1,0))*ROUND(AG134*VLOOKUP(INDEX('章节与怪物'!$E$31:$K$37,B134,3),'章节与怪物'!$A$41:$F$44,2,FALSE),0)+IF(3=D134,ROUND(AG134*'难度参数'!$E$28*'章节与怪物'!$E$17,0),0))</x:f>
        <x:v>158256</x:v>
      </x:c>
      <x:c r="AI134" s="119" t="n">
        <x:f>IF(AF134=0,0,(AF134-IF(3=D134,1,0))*VLOOKUP(INDEX('章节与怪物'!$E$31:$K$37,B134,3),'章节与怪物'!$A$41:$F$44,4,FALSE)+IF(3=D134,'难度参数'!$E$30,0))</x:f>
        <x:v>672</x:v>
      </x:c>
      <x:c r="AJ134" s="119" t="n">
        <x:f>IF(4&gt;D134,0,MAX(2,MIN('难度参数'!$E$12,ROUND(('难度参数'!$E$18*POWER(A134,'难度参数'!$E$19)/D134*(0.85+0.3*(4-1)/MAX(1,D134-1))),0)+F134)))</x:f>
        <x:v>26</x:v>
      </x:c>
      <x:c r="AK134" s="119" t="n">
        <x:f>IF(4&gt;D134,0,ROUND(('难度参数'!$E$13*POWER(A134,'难度参数'!$E$20)*MIN('难度参数'!$E$23,1+MAX(0,A134-'难度参数'!$E$21)*'难度参数'!$E$22))*(36+4*7)/(36+7*(D134+1)/2)*E134,0))</x:f>
        <x:v>4356</x:v>
      </x:c>
      <x:c r="AL134" s="119" t="n">
        <x:f>IF(AJ134=0,0,(AJ134-IF(4=D134,1,0))*ROUND(AK134*VLOOKUP(INDEX('章节与怪物'!$E$31:$K$37,B134,4),'章节与怪物'!$A$41:$F$44,2,FALSE),0)+IF(4=D134,ROUND(AK134*'难度参数'!$E$28*'章节与怪物'!$E$17,0),0))</x:f>
        <x:v>152906</x:v>
      </x:c>
      <x:c r="AM134" s="119" t="n">
        <x:f>IF(AJ134=0,0,(AJ134-IF(4=D134,1,0))*VLOOKUP(INDEX('章节与怪物'!$E$31:$K$37,B134,4),'章节与怪物'!$A$41:$F$44,4,FALSE)+IF(4=D134,'难度参数'!$E$30,0))</x:f>
        <x:v>884</x:v>
      </x:c>
      <x:c r="AN134" s="119" t="n">
        <x:f>IF(5&gt;D134,0,MAX(2,MIN('难度参数'!$E$12,ROUND(('难度参数'!$E$18*POWER(A134,'难度参数'!$E$19)/D134*(0.85+0.3*(5-1)/MAX(1,D134-1))),0)+F134)))</x:f>
        <x:v>27</x:v>
      </x:c>
      <x:c r="AO134" s="119" t="n">
        <x:f>IF(5&gt;D134,0,ROUND(('难度参数'!$E$13*POWER(A134,'难度参数'!$E$20)*MIN('难度参数'!$E$23,1+MAX(0,A134-'难度参数'!$E$21)*'难度参数'!$E$22))*(36+5*7)/(36+7*(D134+1)/2)*E134,0))</x:f>
        <x:v>4832</x:v>
      </x:c>
      <x:c r="AP134" s="119" t="n">
        <x:f>IF(AN134=0,0,(AN134-IF(5=D134,1,0))*ROUND(AO134*VLOOKUP(INDEX('章节与怪物'!$E$31:$K$37,B134,5),'章节与怪物'!$A$41:$F$44,2,FALSE),0)+IF(5=D134,ROUND(AO134*'难度参数'!$E$28*'章节与怪物'!$E$17,0),0))</x:f>
        <x:v>93933</x:v>
      </x:c>
      <x:c r="AQ134" s="119" t="n">
        <x:f>IF(AN134=0,0,(AN134-IF(5=D134,1,0))*VLOOKUP(INDEX('章节与怪物'!$E$31:$K$37,B134,5),'章节与怪物'!$A$41:$F$44,4,FALSE)+IF(5=D134,'难度参数'!$E$30,0))</x:f>
        <x:v>540</x:v>
      </x:c>
      <x:c r="AR134" s="119" t="n">
        <x:f>IF(6&gt;D134,0,MAX(2,MIN('难度参数'!$E$12,ROUND(('难度参数'!$E$18*POWER(A134,'难度参数'!$E$19)/D134*(0.85+0.3*(6-1)/MAX(1,D134-1))),0)+F134)))</x:f>
        <x:v>28</x:v>
      </x:c>
      <x:c r="AS134" s="119" t="n">
        <x:f>IF(6&gt;D134,0,ROUND(('难度参数'!$E$13*POWER(A134,'难度参数'!$E$20)*MIN('难度参数'!$E$23,1+MAX(0,A134-'难度参数'!$E$21)*'难度参数'!$E$22))*(36+6*7)/(36+7*(D134+1)/2)*E134,0))</x:f>
        <x:v>5309</x:v>
      </x:c>
      <x:c r="AT134" s="119" t="n">
        <x:f>IF(AR134=0,0,(AR134-IF(6=D134,1,0))*ROUND(AS134*VLOOKUP(INDEX('章节与怪物'!$E$31:$K$37,B134,6),'章节与怪物'!$A$41:$F$44,2,FALSE),0)+IF(6=D134,ROUND(AS134*'难度参数'!$E$28*'章节与怪物'!$E$17,0),0))</x:f>
        <x:v>252700</x:v>
      </x:c>
      <x:c r="AU134" s="119" t="n">
        <x:f>IF(AR134=0,0,(AR134-IF(6=D134,1,0))*VLOOKUP(INDEX('章节与怪物'!$E$31:$K$37,B134,6),'章节与怪物'!$A$41:$F$44,4,FALSE)+IF(6=D134,'难度参数'!$E$30,0))</x:f>
        <x:v>784</x:v>
      </x:c>
      <x:c r="AV134" s="119" t="n">
        <x:f>IF(7&gt;D134,0,MAX(2,MIN('难度参数'!$E$12,ROUND(('难度参数'!$E$18*POWER(A134,'难度参数'!$E$19)/D134*(0.85+0.3*(7-1)/MAX(1,D134-1))),0)+F134)))</x:f>
        <x:v>30</x:v>
      </x:c>
      <x:c r="AW134" s="119" t="n">
        <x:f>IF(7&gt;D134,0,ROUND(('难度参数'!$E$13*POWER(A134,'难度参数'!$E$20)*MIN('难度参数'!$E$23,1+MAX(0,A134-'难度参数'!$E$21)*'难度参数'!$E$22))*(36+7*7)/(36+7*(D134+1)/2)*E134,0))</x:f>
        <x:v>5785</x:v>
      </x:c>
      <x:c r="AX134" s="119" t="n">
        <x:f>IF(AV134=0,0,(AV134-IF(7=D134,1,0))*ROUND(AW134*VLOOKUP(INDEX('章节与怪物'!$E$31:$K$37,B134,7),'章节与怪物'!$A$41:$F$44,2,FALSE),0)+IF(7=D134,ROUND(AW134*'难度参数'!$E$28*'章节与怪物'!$E$17,0),0))</x:f>
        <x:v>265828</x:v>
      </x:c>
      <x:c r="AY134" s="119" t="n">
        <x:f>IF(AV134=0,0,(AV134-IF(7=D134,1,0))*VLOOKUP(INDEX('章节与怪物'!$E$31:$K$37,B134,7),'章节与怪物'!$A$41:$F$44,4,FALSE)+IF(7=D134,'难度参数'!$E$30,0))</x:f>
        <x:v>1186</x:v>
      </x:c>
    </x:row>
    <x:row r="135" ht="23" customHeight="1">
      <x:c r="A135" s="119" t="n">
        <x:v>129</x:v>
      </x:c>
      <x:c r="B135" s="119" t="n">
        <x:f>MOD(INT((A135-1)/5),7)+1</x:f>
        <x:v>5</x:v>
      </x:c>
      <x:c r="C135" s="62" t="str">
        <x:f>INDEX('章节与怪物'!$B$31:$B$37,B135)</x:f>
        <x:v>雨林遗迹</x:v>
      </x:c>
      <x:c r="D135" s="119" t="n">
        <x:f>MIN('难度参数'!$E$8,MAX('难度参数'!$E$7,A135))</x:f>
        <x:v>7</x:v>
      </x:c>
      <x:c r="E135" s="106" t="n">
        <x:v>1</x:v>
      </x:c>
      <x:c r="F135" s="106" t="n">
        <x:v>0</x:v>
      </x:c>
      <x:c r="G135" s="106" t="n">
        <x:v>1</x:v>
      </x:c>
      <x:c r="H135" s="119" t="n">
        <x:f>SUM(X135,AB135,AF135,AJ135,AN135,AR135,AV135)</x:f>
        <x:v>181</x:v>
      </x:c>
      <x:c r="I135" s="119" t="n">
        <x:f>SUM(Z135,AD135,AH135,AL135,AP135,AT135,AX135)</x:f>
        <x:v>1059331</x:v>
      </x:c>
      <x:c r="J135" s="119" t="n">
        <x:f>ROUND(INDEX(X135:AY135,1,(D135-1)*4+2)*'难度参数'!$E$28*'章节与怪物'!$E$17,0)</x:f>
        <x:v>39651</x:v>
      </x:c>
      <x:c r="K135" s="119" t="n">
        <x:f>SUM(AA135,AE135,AI135,AM135,AQ135,AU135,AY135)</x:f>
        <x:v>4950</x:v>
      </x:c>
      <x:c r="L135" s="62" t="n">
        <x:f>H135*(ROUNDUP('难度参数'!$E$24/('难度参数'!$E$26*'难度参数'!$E$27),0)*'难度参数'!$E$26)/60</x:f>
        <x:v>2.4133333333333336</x:v>
      </x:c>
      <x:c r="M135" s="62" t="n">
        <x:f>L135+D135*('难度参数'!$E$49+'难度参数'!$E$50)/60</x:f>
        <x:v>3.58</x:v>
      </x:c>
      <x:c r="N135" s="119" t="n">
        <x:f>ROUNDDOWN(('经济参数'!$E$20+A135*'经济参数'!$E$21)*G135,0)</x:f>
        <x:v>2760</x:v>
      </x:c>
      <x:c r="O135" s="119" t="n">
        <x:f>ROUNDDOWN(MIN('经济参数'!$E$24,'经济参数'!$E$22+A135*'经济参数'!$E$23)*G135,0)</x:f>
        <x:v>0</x:v>
      </x:c>
      <x:c r="P135" s="119" t="n">
        <x:f>ROUNDDOWN((IF(A135&gt;='材料与任务'!$E$31,'材料与任务'!$E$32,IF(A135&gt;='材料与任务'!$E$25,'材料与任务'!$E$26,IF(A135&gt;='材料与任务'!$E$19,'材料与任务'!$E$20,IF(A135&gt;='材料与任务'!$E$13,'材料与任务'!$E$14,'材料与任务'!$E$8)))))*G135,0)</x:f>
        <x:v>6</x:v>
      </x:c>
      <x:c r="Q135" s="119" t="n">
        <x:f>ROUNDDOWN((IF(A135&gt;='材料与任务'!$E$31,'材料与任务'!$E$33,IF(A135&gt;='材料与任务'!$E$25,'材料与任务'!$E$27,IF(A135&gt;='材料与任务'!$E$19,'材料与任务'!$E$21,IF(A135&gt;='材料与任务'!$E$13,'材料与任务'!$E$15,'材料与任务'!$E$9)))))*G135,0)</x:f>
        <x:v>3</x:v>
      </x:c>
      <x:c r="R135" s="110" t="n">
        <x:f>'装备掉落'!$B$38</x:f>
        <x:v>0.6872058758851213</x:v>
      </x:c>
      <x:c r="S135" s="119" t="n">
        <x:f>MAX(IF(VLOOKUP(A135,'装备掉落'!$A$29:$H$34,2,TRUE)&gt;0,1,0),IF(VLOOKUP(A135,'装备掉落'!$A$29:$H$34,3,TRUE)&gt;0,2,0),IF(VLOOKUP(A135,'装备掉落'!$A$29:$H$34,4,TRUE)&gt;0,3,0),IF(VLOOKUP(A135,'装备掉落'!$A$29:$H$34,5,TRUE)&gt;0,4,0),IF(VLOOKUP(A135,'装备掉落'!$A$29:$H$34,6,TRUE)&gt;0,5,0),IF(VLOOKUP(A135,'装备掉落'!$A$29:$H$34,7,TRUE)&gt;0,6,0),IF(VLOOKUP(A135,'装备掉落'!$A$29:$H$34,8,TRUE)&gt;0,7,0))</x:f>
        <x:v>7</x:v>
      </x:c>
      <x:c r="T135" s="119" t="n">
        <x:f>MIN(7,S135+'经济参数'!$E$70)</x:f>
        <x:v>7</x:v>
      </x:c>
      <x:c r="U135" s="119" t="n">
        <x:f>MIN(7,S135+'经济参数'!$E$71)</x:f>
        <x:v>7</x:v>
      </x:c>
      <x:c r="V135" s="119" t="n">
        <x:f>IF(H135&gt;=('难度参数'!$E$52),1,0)+IF(H135&gt;=('难度参数'!$E$52+'难度参数'!$E$53),1,0)+IF(H135&gt;=('难度参数'!$E$52+'难度参数'!$E$53+'难度参数'!$E$54),1,0)+IF(H135&gt;=('难度参数'!$E$52+'难度参数'!$E$53+'难度参数'!$E$54+'难度参数'!$E$55),1,0)+IF(H135&gt;=('难度参数'!$E$52+'难度参数'!$E$53+'难度参数'!$E$54+'难度参数'!$E$55+'难度参数'!$E$56),1,0)+IF(H135&gt;=('难度参数'!$E$52+'难度参数'!$E$53+'难度参数'!$E$54+'难度参数'!$E$55+'难度参数'!$E$56+'难度参数'!$E$57),1,0)</x:f>
        <x:v>6</x:v>
      </x:c>
      <x:c r="W135" s="62" t="str">
        <x:f>IF(L135&gt;'难度参数'!$E$51,"仅出怪已超目标","还需实测")</x:f>
        <x:v>还需实测</x:v>
      </x:c>
      <x:c r="X135" s="119" t="n">
        <x:f>IF(1&gt;D135,0,MAX(2,MIN('难度参数'!$E$12,ROUND(('难度参数'!$E$18*POWER(A135,'难度参数'!$E$19)/D135*(0.85+0.3*(1-1)/MAX(1,D135-1))),0)+F135)))</x:f>
        <x:v>22</x:v>
      </x:c>
      <x:c r="Y135" s="119" t="n">
        <x:f>IF(1&gt;D135,0,ROUND(('难度参数'!$E$13*POWER(A135,'难度参数'!$E$20)*MIN('难度参数'!$E$23,1+MAX(0,A135-'难度参数'!$E$21)*'难度参数'!$E$22))*(36+1*7)/(36+7*(D135+1)/2)*E135,0))</x:f>
        <x:v>2950</x:v>
      </x:c>
      <x:c r="Z135" s="119" t="n">
        <x:f>IF(X135=0,0,(X135-IF(1=D135,1,0))*ROUND(Y135*VLOOKUP(INDEX('章节与怪物'!$E$31:$K$37,B135,1),'章节与怪物'!$A$41:$F$44,2,FALSE),0)+IF(1=D135,ROUND(Y135*'难度参数'!$E$28*'章节与怪物'!$E$17,0),0))</x:f>
        <x:v>64900</x:v>
      </x:c>
      <x:c r="AA135" s="119" t="n">
        <x:f>IF(X135=0,0,(X135-IF(1=D135,1,0))*VLOOKUP(INDEX('章节与怪物'!$E$31:$K$37,B135,1),'章节与怪物'!$A$41:$F$44,4,FALSE)+IF(1=D135,'难度参数'!$E$30,0))</x:f>
        <x:v>396</x:v>
      </x:c>
      <x:c r="AB135" s="119" t="n">
        <x:f>IF(2&gt;D135,0,MAX(2,MIN('难度参数'!$E$12,ROUND(('难度参数'!$E$18*POWER(A135,'难度参数'!$E$19)/D135*(0.85+0.3*(2-1)/MAX(1,D135-1))),0)+F135)))</x:f>
        <x:v>23</x:v>
      </x:c>
      <x:c r="AC135" s="119" t="n">
        <x:f>IF(2&gt;D135,0,ROUND(('难度参数'!$E$13*POWER(A135,'难度参数'!$E$20)*MIN('难度参数'!$E$23,1+MAX(0,A135-'难度参数'!$E$21)*'难度参数'!$E$22))*(36+2*7)/(36+7*(D135+1)/2)*E135,0))</x:f>
        <x:v>3430</x:v>
      </x:c>
      <x:c r="AD135" s="119" t="n">
        <x:f>IF(AB135=0,0,(AB135-IF(2=D135,1,0))*ROUND(AC135*VLOOKUP(INDEX('章节与怪物'!$E$31:$K$37,B135,2),'章节与怪物'!$A$41:$F$44,2,FALSE),0)+IF(2=D135,ROUND(AC135*'难度参数'!$E$28*'章节与怪物'!$E$17,0),0))</x:f>
        <x:v>56810</x:v>
      </x:c>
      <x:c r="AE135" s="119" t="n">
        <x:f>IF(AB135=0,0,(AB135-IF(2=D135,1,0))*VLOOKUP(INDEX('章节与怪物'!$E$31:$K$37,B135,2),'章节与怪物'!$A$41:$F$44,4,FALSE)+IF(2=D135,'难度参数'!$E$30,0))</x:f>
        <x:v>460</x:v>
      </x:c>
      <x:c r="AF135" s="119" t="n">
        <x:f>IF(3&gt;D135,0,MAX(2,MIN('难度参数'!$E$12,ROUND(('难度参数'!$E$18*POWER(A135,'难度参数'!$E$19)/D135*(0.85+0.3*(3-1)/MAX(1,D135-1))),0)+F135)))</x:f>
        <x:v>25</x:v>
      </x:c>
      <x:c r="AG135" s="119" t="n">
        <x:f>IF(3&gt;D135,0,ROUND(('难度参数'!$E$13*POWER(A135,'难度参数'!$E$20)*MIN('难度参数'!$E$23,1+MAX(0,A135-'难度参数'!$E$21)*'难度参数'!$E$22))*(36+3*7)/(36+7*(D135+1)/2)*E135,0))</x:f>
        <x:v>3910</x:v>
      </x:c>
      <x:c r="AH135" s="119" t="n">
        <x:f>IF(AF135=0,0,(AF135-IF(3=D135,1,0))*ROUND(AG135*VLOOKUP(INDEX('章节与怪物'!$E$31:$K$37,B135,3),'章节与怪物'!$A$41:$F$44,2,FALSE),0)+IF(3=D135,ROUND(AG135*'难度参数'!$E$28*'章节与怪物'!$E$17,0),0))</x:f>
        <x:v>166175</x:v>
      </x:c>
      <x:c r="AI135" s="119" t="n">
        <x:f>IF(AF135=0,0,(AF135-IF(3=D135,1,0))*VLOOKUP(INDEX('章节与怪物'!$E$31:$K$37,B135,3),'章节与怪物'!$A$41:$F$44,4,FALSE)+IF(3=D135,'难度参数'!$E$30,0))</x:f>
        <x:v>700</x:v>
      </x:c>
      <x:c r="AJ135" s="119" t="n">
        <x:f>IF(4&gt;D135,0,MAX(2,MIN('难度参数'!$E$12,ROUND(('难度参数'!$E$18*POWER(A135,'难度参数'!$E$19)/D135*(0.85+0.3*(4-1)/MAX(1,D135-1))),0)+F135)))</x:f>
        <x:v>26</x:v>
      </x:c>
      <x:c r="AK135" s="119" t="n">
        <x:f>IF(4&gt;D135,0,ROUND(('难度参数'!$E$13*POWER(A135,'难度参数'!$E$20)*MIN('难度参数'!$E$23,1+MAX(0,A135-'难度参数'!$E$21)*'难度参数'!$E$22))*(36+4*7)/(36+7*(D135+1)/2)*E135,0))</x:f>
        <x:v>4390</x:v>
      </x:c>
      <x:c r="AL135" s="119" t="n">
        <x:f>IF(AJ135=0,0,(AJ135-IF(4=D135,1,0))*ROUND(AK135*VLOOKUP(INDEX('章节与怪物'!$E$31:$K$37,B135,4),'章节与怪物'!$A$41:$F$44,2,FALSE),0)+IF(4=D135,ROUND(AK135*'难度参数'!$E$28*'章节与怪物'!$E$17,0),0))</x:f>
        <x:v>154102</x:v>
      </x:c>
      <x:c r="AM135" s="119" t="n">
        <x:f>IF(AJ135=0,0,(AJ135-IF(4=D135,1,0))*VLOOKUP(INDEX('章节与怪物'!$E$31:$K$37,B135,4),'章节与怪物'!$A$41:$F$44,4,FALSE)+IF(4=D135,'难度参数'!$E$30,0))</x:f>
        <x:v>884</x:v>
      </x:c>
      <x:c r="AN135" s="119" t="n">
        <x:f>IF(5&gt;D135,0,MAX(2,MIN('难度参数'!$E$12,ROUND(('难度参数'!$E$18*POWER(A135,'难度参数'!$E$19)/D135*(0.85+0.3*(5-1)/MAX(1,D135-1))),0)+F135)))</x:f>
        <x:v>27</x:v>
      </x:c>
      <x:c r="AO135" s="119" t="n">
        <x:f>IF(5&gt;D135,0,ROUND(('难度参数'!$E$13*POWER(A135,'难度参数'!$E$20)*MIN('难度参数'!$E$23,1+MAX(0,A135-'难度参数'!$E$21)*'难度参数'!$E$22))*(36+5*7)/(36+7*(D135+1)/2)*E135,0))</x:f>
        <x:v>4871</x:v>
      </x:c>
      <x:c r="AP135" s="119" t="n">
        <x:f>IF(AN135=0,0,(AN135-IF(5=D135,1,0))*ROUND(AO135*VLOOKUP(INDEX('章节与怪物'!$E$31:$K$37,B135,5),'章节与怪物'!$A$41:$F$44,2,FALSE),0)+IF(5=D135,ROUND(AO135*'难度参数'!$E$28*'章节与怪物'!$E$17,0),0))</x:f>
        <x:v>94689</x:v>
      </x:c>
      <x:c r="AQ135" s="119" t="n">
        <x:f>IF(AN135=0,0,(AN135-IF(5=D135,1,0))*VLOOKUP(INDEX('章节与怪物'!$E$31:$K$37,B135,5),'章节与怪物'!$A$41:$F$44,4,FALSE)+IF(5=D135,'难度参数'!$E$30,0))</x:f>
        <x:v>540</x:v>
      </x:c>
      <x:c r="AR135" s="119" t="n">
        <x:f>IF(6&gt;D135,0,MAX(2,MIN('难度参数'!$E$12,ROUND(('难度参数'!$E$18*POWER(A135,'难度参数'!$E$19)/D135*(0.85+0.3*(6-1)/MAX(1,D135-1))),0)+F135)))</x:f>
        <x:v>28</x:v>
      </x:c>
      <x:c r="AS135" s="119" t="n">
        <x:f>IF(6&gt;D135,0,ROUND(('难度参数'!$E$13*POWER(A135,'难度参数'!$E$20)*MIN('难度参数'!$E$23,1+MAX(0,A135-'难度参数'!$E$21)*'难度参数'!$E$22))*(36+6*7)/(36+7*(D135+1)/2)*E135,0))</x:f>
        <x:v>5351</x:v>
      </x:c>
      <x:c r="AT135" s="119" t="n">
        <x:f>IF(AR135=0,0,(AR135-IF(6=D135,1,0))*ROUND(AS135*VLOOKUP(INDEX('章节与怪物'!$E$31:$K$37,B135,6),'章节与怪物'!$A$41:$F$44,2,FALSE),0)+IF(6=D135,ROUND(AS135*'难度参数'!$E$28*'章节与怪物'!$E$17,0),0))</x:f>
        <x:v>254716</x:v>
      </x:c>
      <x:c r="AU135" s="119" t="n">
        <x:f>IF(AR135=0,0,(AR135-IF(6=D135,1,0))*VLOOKUP(INDEX('章节与怪物'!$E$31:$K$37,B135,6),'章节与怪物'!$A$41:$F$44,4,FALSE)+IF(6=D135,'难度参数'!$E$30,0))</x:f>
        <x:v>784</x:v>
      </x:c>
      <x:c r="AV135" s="119" t="n">
        <x:f>IF(7&gt;D135,0,MAX(2,MIN('难度参数'!$E$12,ROUND(('难度参数'!$E$18*POWER(A135,'难度参数'!$E$19)/D135*(0.85+0.3*(7-1)/MAX(1,D135-1))),0)+F135)))</x:f>
        <x:v>30</x:v>
      </x:c>
      <x:c r="AW135" s="119" t="n">
        <x:f>IF(7&gt;D135,0,ROUND(('难度参数'!$E$13*POWER(A135,'难度参数'!$E$20)*MIN('难度参数'!$E$23,1+MAX(0,A135-'难度参数'!$E$21)*'难度参数'!$E$22))*(36+7*7)/(36+7*(D135+1)/2)*E135,0))</x:f>
        <x:v>5831</x:v>
      </x:c>
      <x:c r="AX135" s="119" t="n">
        <x:f>IF(AV135=0,0,(AV135-IF(7=D135,1,0))*ROUND(AW135*VLOOKUP(INDEX('章节与怪物'!$E$31:$K$37,B135,7),'章节与怪物'!$A$41:$F$44,2,FALSE),0)+IF(7=D135,ROUND(AW135*'难度参数'!$E$28*'章节与怪物'!$E$17,0),0))</x:f>
        <x:v>267939</x:v>
      </x:c>
      <x:c r="AY135" s="119" t="n">
        <x:f>IF(AV135=0,0,(AV135-IF(7=D135,1,0))*VLOOKUP(INDEX('章节与怪物'!$E$31:$K$37,B135,7),'章节与怪物'!$A$41:$F$44,4,FALSE)+IF(7=D135,'难度参数'!$E$30,0))</x:f>
        <x:v>1186</x:v>
      </x:c>
    </x:row>
    <x:row r="136" ht="23" customHeight="1">
      <x:c r="A136" s="119" t="n">
        <x:v>130</x:v>
      </x:c>
      <x:c r="B136" s="119" t="n">
        <x:f>MOD(INT((A136-1)/5),7)+1</x:f>
        <x:v>5</x:v>
      </x:c>
      <x:c r="C136" s="62" t="str">
        <x:f>INDEX('章节与怪物'!$B$31:$B$37,B136)</x:f>
        <x:v>雨林遗迹</x:v>
      </x:c>
      <x:c r="D136" s="119" t="n">
        <x:f>MIN('难度参数'!$E$8,MAX('难度参数'!$E$7,A136))</x:f>
        <x:v>7</x:v>
      </x:c>
      <x:c r="E136" s="106" t="n">
        <x:v>1</x:v>
      </x:c>
      <x:c r="F136" s="106" t="n">
        <x:v>0</x:v>
      </x:c>
      <x:c r="G136" s="106" t="n">
        <x:v>1</x:v>
      </x:c>
      <x:c r="H136" s="119" t="n">
        <x:f>SUM(X136,AB136,AF136,AJ136,AN136,AR136,AV136)</x:f>
        <x:v>181</x:v>
      </x:c>
      <x:c r="I136" s="119" t="n">
        <x:f>SUM(Z136,AD136,AH136,AL136,AP136,AT136,AX136)</x:f>
        <x:v>1067649</x:v>
      </x:c>
      <x:c r="J136" s="119" t="n">
        <x:f>ROUND(INDEX(X136:AY136,1,(D136-1)*4+2)*'难度参数'!$E$28*'章节与怪物'!$E$17,0)</x:f>
        <x:v>39964</x:v>
      </x:c>
      <x:c r="K136" s="119" t="n">
        <x:f>SUM(AA136,AE136,AI136,AM136,AQ136,AU136,AY136)</x:f>
        <x:v>4950</x:v>
      </x:c>
      <x:c r="L136" s="62" t="n">
        <x:f>H136*(ROUNDUP('难度参数'!$E$24/('难度参数'!$E$26*'难度参数'!$E$27),0)*'难度参数'!$E$26)/60</x:f>
        <x:v>2.4133333333333336</x:v>
      </x:c>
      <x:c r="M136" s="62" t="n">
        <x:f>L136+D136*('难度参数'!$E$49+'难度参数'!$E$50)/60</x:f>
        <x:v>3.58</x:v>
      </x:c>
      <x:c r="N136" s="119" t="n">
        <x:f>ROUNDDOWN(('经济参数'!$E$20+A136*'经济参数'!$E$21)*G136,0)</x:f>
        <x:v>2780</x:v>
      </x:c>
      <x:c r="O136" s="119" t="n">
        <x:f>ROUNDDOWN(MIN('经济参数'!$E$24,'经济参数'!$E$22+A136*'经济参数'!$E$23)*G136,0)</x:f>
        <x:v>0</x:v>
      </x:c>
      <x:c r="P136" s="119" t="n">
        <x:f>ROUNDDOWN((IF(A136&gt;='材料与任务'!$E$31,'材料与任务'!$E$32,IF(A136&gt;='材料与任务'!$E$25,'材料与任务'!$E$26,IF(A136&gt;='材料与任务'!$E$19,'材料与任务'!$E$20,IF(A136&gt;='材料与任务'!$E$13,'材料与任务'!$E$14,'材料与任务'!$E$8)))))*G136,0)</x:f>
        <x:v>6</x:v>
      </x:c>
      <x:c r="Q136" s="119" t="n">
        <x:f>ROUNDDOWN((IF(A136&gt;='材料与任务'!$E$31,'材料与任务'!$E$33,IF(A136&gt;='材料与任务'!$E$25,'材料与任务'!$E$27,IF(A136&gt;='材料与任务'!$E$19,'材料与任务'!$E$21,IF(A136&gt;='材料与任务'!$E$13,'材料与任务'!$E$15,'材料与任务'!$E$9)))))*G136,0)</x:f>
        <x:v>3</x:v>
      </x:c>
      <x:c r="R136" s="110" t="n">
        <x:f>'装备掉落'!$B$38</x:f>
        <x:v>0.6872058758851213</x:v>
      </x:c>
      <x:c r="S136" s="119" t="n">
        <x:f>MAX(IF(VLOOKUP(A136,'装备掉落'!$A$29:$H$34,2,TRUE)&gt;0,1,0),IF(VLOOKUP(A136,'装备掉落'!$A$29:$H$34,3,TRUE)&gt;0,2,0),IF(VLOOKUP(A136,'装备掉落'!$A$29:$H$34,4,TRUE)&gt;0,3,0),IF(VLOOKUP(A136,'装备掉落'!$A$29:$H$34,5,TRUE)&gt;0,4,0),IF(VLOOKUP(A136,'装备掉落'!$A$29:$H$34,6,TRUE)&gt;0,5,0),IF(VLOOKUP(A136,'装备掉落'!$A$29:$H$34,7,TRUE)&gt;0,6,0),IF(VLOOKUP(A136,'装备掉落'!$A$29:$H$34,8,TRUE)&gt;0,7,0))</x:f>
        <x:v>7</x:v>
      </x:c>
      <x:c r="T136" s="119" t="n">
        <x:f>MIN(7,S136+'经济参数'!$E$70)</x:f>
        <x:v>7</x:v>
      </x:c>
      <x:c r="U136" s="119" t="n">
        <x:f>MIN(7,S136+'经济参数'!$E$71)</x:f>
        <x:v>7</x:v>
      </x:c>
      <x:c r="V136" s="119" t="n">
        <x:f>IF(H136&gt;=('难度参数'!$E$52),1,0)+IF(H136&gt;=('难度参数'!$E$52+'难度参数'!$E$53),1,0)+IF(H136&gt;=('难度参数'!$E$52+'难度参数'!$E$53+'难度参数'!$E$54),1,0)+IF(H136&gt;=('难度参数'!$E$52+'难度参数'!$E$53+'难度参数'!$E$54+'难度参数'!$E$55),1,0)+IF(H136&gt;=('难度参数'!$E$52+'难度参数'!$E$53+'难度参数'!$E$54+'难度参数'!$E$55+'难度参数'!$E$56),1,0)+IF(H136&gt;=('难度参数'!$E$52+'难度参数'!$E$53+'难度参数'!$E$54+'难度参数'!$E$55+'难度参数'!$E$56+'难度参数'!$E$57),1,0)</x:f>
        <x:v>6</x:v>
      </x:c>
      <x:c r="W136" s="62" t="str">
        <x:f>IF(L136&gt;'难度参数'!$E$51,"仅出怪已超目标","还需实测")</x:f>
        <x:v>还需实测</x:v>
      </x:c>
      <x:c r="X136" s="119" t="n">
        <x:f>IF(1&gt;D136,0,MAX(2,MIN('难度参数'!$E$12,ROUND(('难度参数'!$E$18*POWER(A136,'难度参数'!$E$19)/D136*(0.85+0.3*(1-1)/MAX(1,D136-1))),0)+F136)))</x:f>
        <x:v>22</x:v>
      </x:c>
      <x:c r="Y136" s="119" t="n">
        <x:f>IF(1&gt;D136,0,ROUND(('难度参数'!$E$13*POWER(A136,'难度参数'!$E$20)*MIN('难度参数'!$E$23,1+MAX(0,A136-'难度参数'!$E$21)*'难度参数'!$E$22))*(36+1*7)/(36+7*(D136+1)/2)*E136,0))</x:f>
        <x:v>2973</x:v>
      </x:c>
      <x:c r="Z136" s="119" t="n">
        <x:f>IF(X136=0,0,(X136-IF(1=D136,1,0))*ROUND(Y136*VLOOKUP(INDEX('章节与怪物'!$E$31:$K$37,B136,1),'章节与怪物'!$A$41:$F$44,2,FALSE),0)+IF(1=D136,ROUND(Y136*'难度参数'!$E$28*'章节与怪物'!$E$17,0),0))</x:f>
        <x:v>65406</x:v>
      </x:c>
      <x:c r="AA136" s="119" t="n">
        <x:f>IF(X136=0,0,(X136-IF(1=D136,1,0))*VLOOKUP(INDEX('章节与怪物'!$E$31:$K$37,B136,1),'章节与怪物'!$A$41:$F$44,4,FALSE)+IF(1=D136,'难度参数'!$E$30,0))</x:f>
        <x:v>396</x:v>
      </x:c>
      <x:c r="AB136" s="119" t="n">
        <x:f>IF(2&gt;D136,0,MAX(2,MIN('难度参数'!$E$12,ROUND(('难度参数'!$E$18*POWER(A136,'难度参数'!$E$19)/D136*(0.85+0.3*(2-1)/MAX(1,D136-1))),0)+F136)))</x:f>
        <x:v>23</x:v>
      </x:c>
      <x:c r="AC136" s="119" t="n">
        <x:f>IF(2&gt;D136,0,ROUND(('难度参数'!$E$13*POWER(A136,'难度参数'!$E$20)*MIN('难度参数'!$E$23,1+MAX(0,A136-'难度参数'!$E$21)*'难度参数'!$E$22))*(36+2*7)/(36+7*(D136+1)/2)*E136,0))</x:f>
        <x:v>3457</x:v>
      </x:c>
      <x:c r="AD136" s="119" t="n">
        <x:f>IF(AB136=0,0,(AB136-IF(2=D136,1,0))*ROUND(AC136*VLOOKUP(INDEX('章节与怪物'!$E$31:$K$37,B136,2),'章节与怪物'!$A$41:$F$44,2,FALSE),0)+IF(2=D136,ROUND(AC136*'难度参数'!$E$28*'章节与怪物'!$E$17,0),0))</x:f>
        <x:v>57247</x:v>
      </x:c>
      <x:c r="AE136" s="119" t="n">
        <x:f>IF(AB136=0,0,(AB136-IF(2=D136,1,0))*VLOOKUP(INDEX('章节与怪物'!$E$31:$K$37,B136,2),'章节与怪物'!$A$41:$F$44,4,FALSE)+IF(2=D136,'难度参数'!$E$30,0))</x:f>
        <x:v>460</x:v>
      </x:c>
      <x:c r="AF136" s="119" t="n">
        <x:f>IF(3&gt;D136,0,MAX(2,MIN('难度参数'!$E$12,ROUND(('难度参数'!$E$18*POWER(A136,'难度参数'!$E$19)/D136*(0.85+0.3*(3-1)/MAX(1,D136-1))),0)+F136)))</x:f>
        <x:v>25</x:v>
      </x:c>
      <x:c r="AG136" s="119" t="n">
        <x:f>IF(3&gt;D136,0,ROUND(('难度参数'!$E$13*POWER(A136,'难度参数'!$E$20)*MIN('难度参数'!$E$23,1+MAX(0,A136-'难度参数'!$E$21)*'难度参数'!$E$22))*(36+3*7)/(36+7*(D136+1)/2)*E136,0))</x:f>
        <x:v>3941</x:v>
      </x:c>
      <x:c r="AH136" s="119" t="n">
        <x:f>IF(AF136=0,0,(AF136-IF(3=D136,1,0))*ROUND(AG136*VLOOKUP(INDEX('章节与怪物'!$E$31:$K$37,B136,3),'章节与怪物'!$A$41:$F$44,2,FALSE),0)+IF(3=D136,ROUND(AG136*'难度参数'!$E$28*'章节与怪物'!$E$17,0),0))</x:f>
        <x:v>167500</x:v>
      </x:c>
      <x:c r="AI136" s="119" t="n">
        <x:f>IF(AF136=0,0,(AF136-IF(3=D136,1,0))*VLOOKUP(INDEX('章节与怪物'!$E$31:$K$37,B136,3),'章节与怪物'!$A$41:$F$44,4,FALSE)+IF(3=D136,'难度参数'!$E$30,0))</x:f>
        <x:v>700</x:v>
      </x:c>
      <x:c r="AJ136" s="119" t="n">
        <x:f>IF(4&gt;D136,0,MAX(2,MIN('难度参数'!$E$12,ROUND(('难度参数'!$E$18*POWER(A136,'难度参数'!$E$19)/D136*(0.85+0.3*(4-1)/MAX(1,D136-1))),0)+F136)))</x:f>
        <x:v>26</x:v>
      </x:c>
      <x:c r="AK136" s="119" t="n">
        <x:f>IF(4&gt;D136,0,ROUND(('难度参数'!$E$13*POWER(A136,'难度参数'!$E$20)*MIN('难度参数'!$E$23,1+MAX(0,A136-'难度参数'!$E$21)*'难度参数'!$E$22))*(36+4*7)/(36+7*(D136+1)/2)*E136,0))</x:f>
        <x:v>4425</x:v>
      </x:c>
      <x:c r="AL136" s="119" t="n">
        <x:f>IF(AJ136=0,0,(AJ136-IF(4=D136,1,0))*ROUND(AK136*VLOOKUP(INDEX('章节与怪物'!$E$31:$K$37,B136,4),'章节与怪物'!$A$41:$F$44,2,FALSE),0)+IF(4=D136,ROUND(AK136*'难度参数'!$E$28*'章节与怪物'!$E$17,0),0))</x:f>
        <x:v>155324</x:v>
      </x:c>
      <x:c r="AM136" s="119" t="n">
        <x:f>IF(AJ136=0,0,(AJ136-IF(4=D136,1,0))*VLOOKUP(INDEX('章节与怪物'!$E$31:$K$37,B136,4),'章节与怪物'!$A$41:$F$44,4,FALSE)+IF(4=D136,'难度参数'!$E$30,0))</x:f>
        <x:v>884</x:v>
      </x:c>
      <x:c r="AN136" s="119" t="n">
        <x:f>IF(5&gt;D136,0,MAX(2,MIN('难度参数'!$E$12,ROUND(('难度参数'!$E$18*POWER(A136,'难度参数'!$E$19)/D136*(0.85+0.3*(5-1)/MAX(1,D136-1))),0)+F136)))</x:f>
        <x:v>27</x:v>
      </x:c>
      <x:c r="AO136" s="119" t="n">
        <x:f>IF(5&gt;D136,0,ROUND(('难度参数'!$E$13*POWER(A136,'难度参数'!$E$20)*MIN('难度参数'!$E$23,1+MAX(0,A136-'难度参数'!$E$21)*'难度参数'!$E$22))*(36+5*7)/(36+7*(D136+1)/2)*E136,0))</x:f>
        <x:v>4909</x:v>
      </x:c>
      <x:c r="AP136" s="119" t="n">
        <x:f>IF(AN136=0,0,(AN136-IF(5=D136,1,0))*ROUND(AO136*VLOOKUP(INDEX('章节与怪物'!$E$31:$K$37,B136,5),'章节与怪物'!$A$41:$F$44,2,FALSE),0)+IF(5=D136,ROUND(AO136*'难度参数'!$E$28*'章节与怪物'!$E$17,0),0))</x:f>
        <x:v>95418</x:v>
      </x:c>
      <x:c r="AQ136" s="119" t="n">
        <x:f>IF(AN136=0,0,(AN136-IF(5=D136,1,0))*VLOOKUP(INDEX('章节与怪物'!$E$31:$K$37,B136,5),'章节与怪物'!$A$41:$F$44,4,FALSE)+IF(5=D136,'难度参数'!$E$30,0))</x:f>
        <x:v>540</x:v>
      </x:c>
      <x:c r="AR136" s="119" t="n">
        <x:f>IF(6&gt;D136,0,MAX(2,MIN('难度参数'!$E$12,ROUND(('难度参数'!$E$18*POWER(A136,'难度参数'!$E$19)/D136*(0.85+0.3*(6-1)/MAX(1,D136-1))),0)+F136)))</x:f>
        <x:v>28</x:v>
      </x:c>
      <x:c r="AS136" s="119" t="n">
        <x:f>IF(6&gt;D136,0,ROUND(('难度参数'!$E$13*POWER(A136,'难度参数'!$E$20)*MIN('难度参数'!$E$23,1+MAX(0,A136-'难度参数'!$E$21)*'难度参数'!$E$22))*(36+6*7)/(36+7*(D136+1)/2)*E136,0))</x:f>
        <x:v>5393</x:v>
      </x:c>
      <x:c r="AT136" s="119" t="n">
        <x:f>IF(AR136=0,0,(AR136-IF(6=D136,1,0))*ROUND(AS136*VLOOKUP(INDEX('章节与怪物'!$E$31:$K$37,B136,6),'章节与怪物'!$A$41:$F$44,2,FALSE),0)+IF(6=D136,ROUND(AS136*'难度参数'!$E$28*'章节与怪物'!$E$17,0),0))</x:f>
        <x:v>256704</x:v>
      </x:c>
      <x:c r="AU136" s="119" t="n">
        <x:f>IF(AR136=0,0,(AR136-IF(6=D136,1,0))*VLOOKUP(INDEX('章节与怪物'!$E$31:$K$37,B136,6),'章节与怪物'!$A$41:$F$44,4,FALSE)+IF(6=D136,'难度参数'!$E$30,0))</x:f>
        <x:v>784</x:v>
      </x:c>
      <x:c r="AV136" s="119" t="n">
        <x:f>IF(7&gt;D136,0,MAX(2,MIN('难度参数'!$E$12,ROUND(('难度参数'!$E$18*POWER(A136,'难度参数'!$E$19)/D136*(0.85+0.3*(7-1)/MAX(1,D136-1))),0)+F136)))</x:f>
        <x:v>30</x:v>
      </x:c>
      <x:c r="AW136" s="119" t="n">
        <x:f>IF(7&gt;D136,0,ROUND(('难度参数'!$E$13*POWER(A136,'难度参数'!$E$20)*MIN('难度参数'!$E$23,1+MAX(0,A136-'难度参数'!$E$21)*'难度参数'!$E$22))*(36+7*7)/(36+7*(D136+1)/2)*E136,0))</x:f>
        <x:v>5877</x:v>
      </x:c>
      <x:c r="AX136" s="119" t="n">
        <x:f>IF(AV136=0,0,(AV136-IF(7=D136,1,0))*ROUND(AW136*VLOOKUP(INDEX('章节与怪物'!$E$31:$K$37,B136,7),'章节与怪物'!$A$41:$F$44,2,FALSE),0)+IF(7=D136,ROUND(AW136*'难度参数'!$E$28*'章节与怪物'!$E$17,0),0))</x:f>
        <x:v>270050</x:v>
      </x:c>
      <x:c r="AY136" s="119" t="n">
        <x:f>IF(AV136=0,0,(AV136-IF(7=D136,1,0))*VLOOKUP(INDEX('章节与怪物'!$E$31:$K$37,B136,7),'章节与怪物'!$A$41:$F$44,4,FALSE)+IF(7=D136,'难度参数'!$E$30,0))</x:f>
        <x:v>1186</x:v>
      </x:c>
    </x:row>
    <x:row r="137" ht="23" customHeight="1">
      <x:c r="A137" s="119" t="n">
        <x:v>131</x:v>
      </x:c>
      <x:c r="B137" s="119" t="n">
        <x:f>MOD(INT((A137-1)/5),7)+1</x:f>
        <x:v>6</x:v>
      </x:c>
      <x:c r="C137" s="62" t="str">
        <x:f>INDEX('章节与怪物'!$B$31:$B$37,B137)</x:f>
        <x:v>熔岩山脉</x:v>
      </x:c>
      <x:c r="D137" s="119" t="n">
        <x:f>MIN('难度参数'!$E$8,MAX('难度参数'!$E$7,A137))</x:f>
        <x:v>7</x:v>
      </x:c>
      <x:c r="E137" s="106" t="n">
        <x:v>1</x:v>
      </x:c>
      <x:c r="F137" s="106" t="n">
        <x:v>0</x:v>
      </x:c>
      <x:c r="G137" s="106" t="n">
        <x:v>1</x:v>
      </x:c>
      <x:c r="H137" s="119" t="n">
        <x:f>SUM(X137,AB137,AF137,AJ137,AN137,AR137,AV137)</x:f>
        <x:v>182</x:v>
      </x:c>
      <x:c r="I137" s="119" t="n">
        <x:f>SUM(Z137,AD137,AH137,AL137,AP137,AT137,AX137)</x:f>
        <x:v>1126560</x:v>
      </x:c>
      <x:c r="J137" s="119" t="n">
        <x:f>ROUND(INDEX(X137:AY137,1,(D137-1)*4+2)*'难度参数'!$E$28*'章节与怪物'!$E$17,0)</x:f>
        <x:v>40270</x:v>
      </x:c>
      <x:c r="K137" s="119" t="n">
        <x:f>SUM(AA137,AE137,AI137,AM137,AQ137,AU137,AY137)</x:f>
        <x:v>4922</x:v>
      </x:c>
      <x:c r="L137" s="62" t="n">
        <x:f>H137*(ROUNDUP('难度参数'!$E$24/('难度参数'!$E$26*'难度参数'!$E$27),0)*'难度参数'!$E$26)/60</x:f>
        <x:v>2.4266666666666667</x:v>
      </x:c>
      <x:c r="M137" s="62" t="n">
        <x:f>L137+D137*('难度参数'!$E$49+'难度参数'!$E$50)/60</x:f>
        <x:v>3.5933333333333337</x:v>
      </x:c>
      <x:c r="N137" s="119" t="n">
        <x:f>ROUNDDOWN(('经济参数'!$E$20+A137*'经济参数'!$E$21)*G137,0)</x:f>
        <x:v>2800</x:v>
      </x:c>
      <x:c r="O137" s="119" t="n">
        <x:f>ROUNDDOWN(MIN('经济参数'!$E$24,'经济参数'!$E$22+A137*'经济参数'!$E$23)*G137,0)</x:f>
        <x:v>0</x:v>
      </x:c>
      <x:c r="P137" s="119" t="n">
        <x:f>ROUNDDOWN((IF(A137&gt;='材料与任务'!$E$31,'材料与任务'!$E$32,IF(A137&gt;='材料与任务'!$E$25,'材料与任务'!$E$26,IF(A137&gt;='材料与任务'!$E$19,'材料与任务'!$E$20,IF(A137&gt;='材料与任务'!$E$13,'材料与任务'!$E$14,'材料与任务'!$E$8)))))*G137,0)</x:f>
        <x:v>6</x:v>
      </x:c>
      <x:c r="Q137" s="119" t="n">
        <x:f>ROUNDDOWN((IF(A137&gt;='材料与任务'!$E$31,'材料与任务'!$E$33,IF(A137&gt;='材料与任务'!$E$25,'材料与任务'!$E$27,IF(A137&gt;='材料与任务'!$E$19,'材料与任务'!$E$21,IF(A137&gt;='材料与任务'!$E$13,'材料与任务'!$E$15,'材料与任务'!$E$9)))))*G137,0)</x:f>
        <x:v>3</x:v>
      </x:c>
      <x:c r="R137" s="110" t="n">
        <x:f>'装备掉落'!$B$38</x:f>
        <x:v>0.6872058758851213</x:v>
      </x:c>
      <x:c r="S137" s="119" t="n">
        <x:f>MAX(IF(VLOOKUP(A137,'装备掉落'!$A$29:$H$34,2,TRUE)&gt;0,1,0),IF(VLOOKUP(A137,'装备掉落'!$A$29:$H$34,3,TRUE)&gt;0,2,0),IF(VLOOKUP(A137,'装备掉落'!$A$29:$H$34,4,TRUE)&gt;0,3,0),IF(VLOOKUP(A137,'装备掉落'!$A$29:$H$34,5,TRUE)&gt;0,4,0),IF(VLOOKUP(A137,'装备掉落'!$A$29:$H$34,6,TRUE)&gt;0,5,0),IF(VLOOKUP(A137,'装备掉落'!$A$29:$H$34,7,TRUE)&gt;0,6,0),IF(VLOOKUP(A137,'装备掉落'!$A$29:$H$34,8,TRUE)&gt;0,7,0))</x:f>
        <x:v>7</x:v>
      </x:c>
      <x:c r="T137" s="119" t="n">
        <x:f>MIN(7,S137+'经济参数'!$E$70)</x:f>
        <x:v>7</x:v>
      </x:c>
      <x:c r="U137" s="119" t="n">
        <x:f>MIN(7,S137+'经济参数'!$E$71)</x:f>
        <x:v>7</x:v>
      </x:c>
      <x:c r="V137" s="119" t="n">
        <x:f>IF(H137&gt;=('难度参数'!$E$52),1,0)+IF(H137&gt;=('难度参数'!$E$52+'难度参数'!$E$53),1,0)+IF(H137&gt;=('难度参数'!$E$52+'难度参数'!$E$53+'难度参数'!$E$54),1,0)+IF(H137&gt;=('难度参数'!$E$52+'难度参数'!$E$53+'难度参数'!$E$54+'难度参数'!$E$55),1,0)+IF(H137&gt;=('难度参数'!$E$52+'难度参数'!$E$53+'难度参数'!$E$54+'难度参数'!$E$55+'难度参数'!$E$56),1,0)+IF(H137&gt;=('难度参数'!$E$52+'难度参数'!$E$53+'难度参数'!$E$54+'难度参数'!$E$55+'难度参数'!$E$56+'难度参数'!$E$57),1,0)</x:f>
        <x:v>6</x:v>
      </x:c>
      <x:c r="W137" s="62" t="str">
        <x:f>IF(L137&gt;'难度参数'!$E$51,"仅出怪已超目标","还需实测")</x:f>
        <x:v>还需实测</x:v>
      </x:c>
      <x:c r="X137" s="119" t="n">
        <x:f>IF(1&gt;D137,0,MAX(2,MIN('难度参数'!$E$12,ROUND(('难度参数'!$E$18*POWER(A137,'难度参数'!$E$19)/D137*(0.85+0.3*(1-1)/MAX(1,D137-1))),0)+F137)))</x:f>
        <x:v>22</x:v>
      </x:c>
      <x:c r="Y137" s="119" t="n">
        <x:f>IF(1&gt;D137,0,ROUND(('难度参数'!$E$13*POWER(A137,'难度参数'!$E$20)*MIN('难度参数'!$E$23,1+MAX(0,A137-'难度参数'!$E$21)*'难度参数'!$E$22))*(36+1*7)/(36+7*(D137+1)/2)*E137,0))</x:f>
        <x:v>2996</x:v>
      </x:c>
      <x:c r="Z137" s="119" t="n">
        <x:f>IF(X137=0,0,(X137-IF(1=D137,1,0))*ROUND(Y137*VLOOKUP(INDEX('章节与怪物'!$E$31:$K$37,B137,1),'章节与怪物'!$A$41:$F$44,2,FALSE),0)+IF(1=D137,ROUND(Y137*'难度参数'!$E$28*'章节与怪物'!$E$17,0),0))</x:f>
        <x:v>47454</x:v>
      </x:c>
      <x:c r="AA137" s="119" t="n">
        <x:f>IF(X137=0,0,(X137-IF(1=D137,1,0))*VLOOKUP(INDEX('章节与怪物'!$E$31:$K$37,B137,1),'章节与怪物'!$A$41:$F$44,4,FALSE)+IF(1=D137,'难度参数'!$E$30,0))</x:f>
        <x:v>440</x:v>
      </x:c>
      <x:c r="AB137" s="119" t="n">
        <x:f>IF(2&gt;D137,0,MAX(2,MIN('难度参数'!$E$12,ROUND(('难度参数'!$E$18*POWER(A137,'难度参数'!$E$19)/D137*(0.85+0.3*(2-1)/MAX(1,D137-1))),0)+F137)))</x:f>
        <x:v>23</x:v>
      </x:c>
      <x:c r="AC137" s="119" t="n">
        <x:f>IF(2&gt;D137,0,ROUND(('难度参数'!$E$13*POWER(A137,'难度参数'!$E$20)*MIN('难度参数'!$E$23,1+MAX(0,A137-'难度参数'!$E$21)*'难度参数'!$E$22))*(36+2*7)/(36+7*(D137+1)/2)*E137,0))</x:f>
        <x:v>3484</x:v>
      </x:c>
      <x:c r="AD137" s="119" t="n">
        <x:f>IF(AB137=0,0,(AB137-IF(2=D137,1,0))*ROUND(AC137*VLOOKUP(INDEX('章节与怪物'!$E$31:$K$37,B137,2),'章节与怪物'!$A$41:$F$44,2,FALSE),0)+IF(2=D137,ROUND(AC137*'难度参数'!$E$28*'章节与怪物'!$E$17,0),0))</x:f>
        <x:v>80132</x:v>
      </x:c>
      <x:c r="AE137" s="119" t="n">
        <x:f>IF(AB137=0,0,(AB137-IF(2=D137,1,0))*VLOOKUP(INDEX('章节与怪物'!$E$31:$K$37,B137,2),'章节与怪物'!$A$41:$F$44,4,FALSE)+IF(2=D137,'难度参数'!$E$30,0))</x:f>
        <x:v>414</x:v>
      </x:c>
      <x:c r="AF137" s="119" t="n">
        <x:f>IF(3&gt;D137,0,MAX(2,MIN('难度参数'!$E$12,ROUND(('难度参数'!$E$18*POWER(A137,'难度参数'!$E$19)/D137*(0.85+0.3*(3-1)/MAX(1,D137-1))),0)+F137)))</x:f>
        <x:v>25</x:v>
      </x:c>
      <x:c r="AG137" s="119" t="n">
        <x:f>IF(3&gt;D137,0,ROUND(('难度参数'!$E$13*POWER(A137,'难度参数'!$E$20)*MIN('难度参数'!$E$23,1+MAX(0,A137-'难度参数'!$E$21)*'难度参数'!$E$22))*(36+3*7)/(36+7*(D137+1)/2)*E137,0))</x:f>
        <x:v>3972</x:v>
      </x:c>
      <x:c r="AH137" s="119" t="n">
        <x:f>IF(AF137=0,0,(AF137-IF(3=D137,1,0))*ROUND(AG137*VLOOKUP(INDEX('章节与怪物'!$E$31:$K$37,B137,3),'章节与怪物'!$A$41:$F$44,2,FALSE),0)+IF(3=D137,ROUND(AG137*'难度参数'!$E$28*'章节与怪物'!$E$17,0),0))</x:f>
        <x:v>168800</x:v>
      </x:c>
      <x:c r="AI137" s="119" t="n">
        <x:f>IF(AF137=0,0,(AF137-IF(3=D137,1,0))*VLOOKUP(INDEX('章节与怪物'!$E$31:$K$37,B137,3),'章节与怪物'!$A$41:$F$44,4,FALSE)+IF(3=D137,'难度参数'!$E$30,0))</x:f>
        <x:v>700</x:v>
      </x:c>
      <x:c r="AJ137" s="119" t="n">
        <x:f>IF(4&gt;D137,0,MAX(2,MIN('难度参数'!$E$12,ROUND(('难度参数'!$E$18*POWER(A137,'难度参数'!$E$19)/D137*(0.85+0.3*(4-1)/MAX(1,D137-1))),0)+F137)))</x:f>
        <x:v>26</x:v>
      </x:c>
      <x:c r="AK137" s="119" t="n">
        <x:f>IF(4&gt;D137,0,ROUND(('难度参数'!$E$13*POWER(A137,'难度参数'!$E$20)*MIN('难度参数'!$E$23,1+MAX(0,A137-'难度参数'!$E$21)*'难度参数'!$E$22))*(36+4*7)/(36+7*(D137+1)/2)*E137,0))</x:f>
        <x:v>4459</x:v>
      </x:c>
      <x:c r="AL137" s="119" t="n">
        <x:f>IF(AJ137=0,0,(AJ137-IF(4=D137,1,0))*ROUND(AK137*VLOOKUP(INDEX('章节与怪物'!$E$31:$K$37,B137,4),'章节与怪物'!$A$41:$F$44,2,FALSE),0)+IF(4=D137,ROUND(AK137*'难度参数'!$E$28*'章节与怪物'!$E$17,0),0))</x:f>
        <x:v>156520</x:v>
      </x:c>
      <x:c r="AM137" s="119" t="n">
        <x:f>IF(AJ137=0,0,(AJ137-IF(4=D137,1,0))*VLOOKUP(INDEX('章节与怪物'!$E$31:$K$37,B137,4),'章节与怪物'!$A$41:$F$44,4,FALSE)+IF(4=D137,'难度参数'!$E$30,0))</x:f>
        <x:v>884</x:v>
      </x:c>
      <x:c r="AN137" s="119" t="n">
        <x:f>IF(5&gt;D137,0,MAX(2,MIN('难度参数'!$E$12,ROUND(('难度参数'!$E$18*POWER(A137,'难度参数'!$E$19)/D137*(0.85+0.3*(5-1)/MAX(1,D137-1))),0)+F137)))</x:f>
        <x:v>27</x:v>
      </x:c>
      <x:c r="AO137" s="119" t="n">
        <x:f>IF(5&gt;D137,0,ROUND(('难度参数'!$E$13*POWER(A137,'难度参数'!$E$20)*MIN('难度参数'!$E$23,1+MAX(0,A137-'难度参数'!$E$21)*'难度参数'!$E$22))*(36+5*7)/(36+7*(D137+1)/2)*E137,0))</x:f>
        <x:v>4947</x:v>
      </x:c>
      <x:c r="AP137" s="119" t="n">
        <x:f>IF(AN137=0,0,(AN137-IF(5=D137,1,0))*ROUND(AO137*VLOOKUP(INDEX('章节与怪物'!$E$31:$K$37,B137,5),'章节与怪物'!$A$41:$F$44,2,FALSE),0)+IF(5=D137,ROUND(AO137*'难度参数'!$E$28*'章节与怪物'!$E$17,0),0))</x:f>
        <x:v>133569</x:v>
      </x:c>
      <x:c r="AQ137" s="119" t="n">
        <x:f>IF(AN137=0,0,(AN137-IF(5=D137,1,0))*VLOOKUP(INDEX('章节与怪物'!$E$31:$K$37,B137,5),'章节与怪物'!$A$41:$F$44,4,FALSE)+IF(5=D137,'难度参数'!$E$30,0))</x:f>
        <x:v>486</x:v>
      </x:c>
      <x:c r="AR137" s="119" t="n">
        <x:f>IF(6&gt;D137,0,MAX(2,MIN('难度参数'!$E$12,ROUND(('难度参数'!$E$18*POWER(A137,'难度参数'!$E$19)/D137*(0.85+0.3*(6-1)/MAX(1,D137-1))),0)+F137)))</x:f>
        <x:v>29</x:v>
      </x:c>
      <x:c r="AS137" s="119" t="n">
        <x:f>IF(6&gt;D137,0,ROUND(('难度参数'!$E$13*POWER(A137,'难度参数'!$E$20)*MIN('难度参数'!$E$23,1+MAX(0,A137-'难度参数'!$E$21)*'难度参数'!$E$22))*(36+6*7)/(36+7*(D137+1)/2)*E137,0))</x:f>
        <x:v>5435</x:v>
      </x:c>
      <x:c r="AT137" s="119" t="n">
        <x:f>IF(AR137=0,0,(AR137-IF(6=D137,1,0))*ROUND(AS137*VLOOKUP(INDEX('章节与怪物'!$E$31:$K$37,B137,6),'章节与怪物'!$A$41:$F$44,2,FALSE),0)+IF(6=D137,ROUND(AS137*'难度参数'!$E$28*'章节与怪物'!$E$17,0),0))</x:f>
        <x:v>267960</x:v>
      </x:c>
      <x:c r="AU137" s="119" t="n">
        <x:f>IF(AR137=0,0,(AR137-IF(6=D137,1,0))*VLOOKUP(INDEX('章节与怪物'!$E$31:$K$37,B137,6),'章节与怪物'!$A$41:$F$44,4,FALSE)+IF(6=D137,'难度参数'!$E$30,0))</x:f>
        <x:v>812</x:v>
      </x:c>
      <x:c r="AV137" s="119" t="n">
        <x:f>IF(7&gt;D137,0,MAX(2,MIN('难度参数'!$E$12,ROUND(('难度参数'!$E$18*POWER(A137,'难度参数'!$E$19)/D137*(0.85+0.3*(7-1)/MAX(1,D137-1))),0)+F137)))</x:f>
        <x:v>30</x:v>
      </x:c>
      <x:c r="AW137" s="119" t="n">
        <x:f>IF(7&gt;D137,0,ROUND(('难度参数'!$E$13*POWER(A137,'难度参数'!$E$20)*MIN('难度参数'!$E$23,1+MAX(0,A137-'难度参数'!$E$21)*'难度参数'!$E$22))*(36+7*7)/(36+7*(D137+1)/2)*E137,0))</x:f>
        <x:v>5922</x:v>
      </x:c>
      <x:c r="AX137" s="119" t="n">
        <x:f>IF(AV137=0,0,(AV137-IF(7=D137,1,0))*ROUND(AW137*VLOOKUP(INDEX('章节与怪物'!$E$31:$K$37,B137,7),'章节与怪物'!$A$41:$F$44,2,FALSE),0)+IF(7=D137,ROUND(AW137*'难度参数'!$E$28*'章节与怪物'!$E$17,0),0))</x:f>
        <x:v>272125</x:v>
      </x:c>
      <x:c r="AY137" s="119" t="n">
        <x:f>IF(AV137=0,0,(AV137-IF(7=D137,1,0))*VLOOKUP(INDEX('章节与怪物'!$E$31:$K$37,B137,7),'章节与怪物'!$A$41:$F$44,4,FALSE)+IF(7=D137,'难度参数'!$E$30,0))</x:f>
        <x:v>1186</x:v>
      </x:c>
    </x:row>
    <x:row r="138" ht="23" customHeight="1">
      <x:c r="A138" s="119" t="n">
        <x:v>132</x:v>
      </x:c>
      <x:c r="B138" s="119" t="n">
        <x:f>MOD(INT((A138-1)/5),7)+1</x:f>
        <x:v>6</x:v>
      </x:c>
      <x:c r="C138" s="62" t="str">
        <x:f>INDEX('章节与怪物'!$B$31:$B$37,B138)</x:f>
        <x:v>熔岩山脉</x:v>
      </x:c>
      <x:c r="D138" s="119" t="n">
        <x:f>MIN('难度参数'!$E$8,MAX('难度参数'!$E$7,A138))</x:f>
        <x:v>7</x:v>
      </x:c>
      <x:c r="E138" s="106" t="n">
        <x:v>1</x:v>
      </x:c>
      <x:c r="F138" s="106" t="n">
        <x:v>0</x:v>
      </x:c>
      <x:c r="G138" s="106" t="n">
        <x:v>1</x:v>
      </x:c>
      <x:c r="H138" s="119" t="n">
        <x:f>SUM(X138,AB138,AF138,AJ138,AN138,AR138,AV138)</x:f>
        <x:v>182</x:v>
      </x:c>
      <x:c r="I138" s="119" t="n">
        <x:f>SUM(Z138,AD138,AH138,AL138,AP138,AT138,AX138)</x:f>
        <x:v>1135247</x:v>
      </x:c>
      <x:c r="J138" s="119" t="n">
        <x:f>ROUND(INDEX(X138:AY138,1,(D138-1)*4+2)*'难度参数'!$E$28*'章节与怪物'!$E$17,0)</x:f>
        <x:v>40582</x:v>
      </x:c>
      <x:c r="K138" s="119" t="n">
        <x:f>SUM(AA138,AE138,AI138,AM138,AQ138,AU138,AY138)</x:f>
        <x:v>4922</x:v>
      </x:c>
      <x:c r="L138" s="62" t="n">
        <x:f>H138*(ROUNDUP('难度参数'!$E$24/('难度参数'!$E$26*'难度参数'!$E$27),0)*'难度参数'!$E$26)/60</x:f>
        <x:v>2.4266666666666667</x:v>
      </x:c>
      <x:c r="M138" s="62" t="n">
        <x:f>L138+D138*('难度参数'!$E$49+'难度参数'!$E$50)/60</x:f>
        <x:v>3.5933333333333337</x:v>
      </x:c>
      <x:c r="N138" s="119" t="n">
        <x:f>ROUNDDOWN(('经济参数'!$E$20+A138*'经济参数'!$E$21)*G138,0)</x:f>
        <x:v>2820</x:v>
      </x:c>
      <x:c r="O138" s="119" t="n">
        <x:f>ROUNDDOWN(MIN('经济参数'!$E$24,'经济参数'!$E$22+A138*'经济参数'!$E$23)*G138,0)</x:f>
        <x:v>0</x:v>
      </x:c>
      <x:c r="P138" s="119" t="n">
        <x:f>ROUNDDOWN((IF(A138&gt;='材料与任务'!$E$31,'材料与任务'!$E$32,IF(A138&gt;='材料与任务'!$E$25,'材料与任务'!$E$26,IF(A138&gt;='材料与任务'!$E$19,'材料与任务'!$E$20,IF(A138&gt;='材料与任务'!$E$13,'材料与任务'!$E$14,'材料与任务'!$E$8)))))*G138,0)</x:f>
        <x:v>6</x:v>
      </x:c>
      <x:c r="Q138" s="119" t="n">
        <x:f>ROUNDDOWN((IF(A138&gt;='材料与任务'!$E$31,'材料与任务'!$E$33,IF(A138&gt;='材料与任务'!$E$25,'材料与任务'!$E$27,IF(A138&gt;='材料与任务'!$E$19,'材料与任务'!$E$21,IF(A138&gt;='材料与任务'!$E$13,'材料与任务'!$E$15,'材料与任务'!$E$9)))))*G138,0)</x:f>
        <x:v>3</x:v>
      </x:c>
      <x:c r="R138" s="110" t="n">
        <x:f>'装备掉落'!$B$38</x:f>
        <x:v>0.6872058758851213</x:v>
      </x:c>
      <x:c r="S138" s="119" t="n">
        <x:f>MAX(IF(VLOOKUP(A138,'装备掉落'!$A$29:$H$34,2,TRUE)&gt;0,1,0),IF(VLOOKUP(A138,'装备掉落'!$A$29:$H$34,3,TRUE)&gt;0,2,0),IF(VLOOKUP(A138,'装备掉落'!$A$29:$H$34,4,TRUE)&gt;0,3,0),IF(VLOOKUP(A138,'装备掉落'!$A$29:$H$34,5,TRUE)&gt;0,4,0),IF(VLOOKUP(A138,'装备掉落'!$A$29:$H$34,6,TRUE)&gt;0,5,0),IF(VLOOKUP(A138,'装备掉落'!$A$29:$H$34,7,TRUE)&gt;0,6,0),IF(VLOOKUP(A138,'装备掉落'!$A$29:$H$34,8,TRUE)&gt;0,7,0))</x:f>
        <x:v>7</x:v>
      </x:c>
      <x:c r="T138" s="119" t="n">
        <x:f>MIN(7,S138+'经济参数'!$E$70)</x:f>
        <x:v>7</x:v>
      </x:c>
      <x:c r="U138" s="119" t="n">
        <x:f>MIN(7,S138+'经济参数'!$E$71)</x:f>
        <x:v>7</x:v>
      </x:c>
      <x:c r="V138" s="119" t="n">
        <x:f>IF(H138&gt;=('难度参数'!$E$52),1,0)+IF(H138&gt;=('难度参数'!$E$52+'难度参数'!$E$53),1,0)+IF(H138&gt;=('难度参数'!$E$52+'难度参数'!$E$53+'难度参数'!$E$54),1,0)+IF(H138&gt;=('难度参数'!$E$52+'难度参数'!$E$53+'难度参数'!$E$54+'难度参数'!$E$55),1,0)+IF(H138&gt;=('难度参数'!$E$52+'难度参数'!$E$53+'难度参数'!$E$54+'难度参数'!$E$55+'难度参数'!$E$56),1,0)+IF(H138&gt;=('难度参数'!$E$52+'难度参数'!$E$53+'难度参数'!$E$54+'难度参数'!$E$55+'难度参数'!$E$56+'难度参数'!$E$57),1,0)</x:f>
        <x:v>6</x:v>
      </x:c>
      <x:c r="W138" s="62" t="str">
        <x:f>IF(L138&gt;'难度参数'!$E$51,"仅出怪已超目标","还需实测")</x:f>
        <x:v>还需实测</x:v>
      </x:c>
      <x:c r="X138" s="119" t="n">
        <x:f>IF(1&gt;D138,0,MAX(2,MIN('难度参数'!$E$12,ROUND(('难度参数'!$E$18*POWER(A138,'难度参数'!$E$19)/D138*(0.85+0.3*(1-1)/MAX(1,D138-1))),0)+F138)))</x:f>
        <x:v>22</x:v>
      </x:c>
      <x:c r="Y138" s="119" t="n">
        <x:f>IF(1&gt;D138,0,ROUND(('难度参数'!$E$13*POWER(A138,'难度参数'!$E$20)*MIN('难度参数'!$E$23,1+MAX(0,A138-'难度参数'!$E$21)*'难度参数'!$E$22))*(36+1*7)/(36+7*(D138+1)/2)*E138,0))</x:f>
        <x:v>3019</x:v>
      </x:c>
      <x:c r="Z138" s="119" t="n">
        <x:f>IF(X138=0,0,(X138-IF(1=D138,1,0))*ROUND(Y138*VLOOKUP(INDEX('章节与怪物'!$E$31:$K$37,B138,1),'章节与怪物'!$A$41:$F$44,2,FALSE),0)+IF(1=D138,ROUND(Y138*'难度参数'!$E$28*'章节与怪物'!$E$17,0),0))</x:f>
        <x:v>47828</x:v>
      </x:c>
      <x:c r="AA138" s="119" t="n">
        <x:f>IF(X138=0,0,(X138-IF(1=D138,1,0))*VLOOKUP(INDEX('章节与怪物'!$E$31:$K$37,B138,1),'章节与怪物'!$A$41:$F$44,4,FALSE)+IF(1=D138,'难度参数'!$E$30,0))</x:f>
        <x:v>440</x:v>
      </x:c>
      <x:c r="AB138" s="119" t="n">
        <x:f>IF(2&gt;D138,0,MAX(2,MIN('难度参数'!$E$12,ROUND(('难度参数'!$E$18*POWER(A138,'难度参数'!$E$19)/D138*(0.85+0.3*(2-1)/MAX(1,D138-1))),0)+F138)))</x:f>
        <x:v>23</x:v>
      </x:c>
      <x:c r="AC138" s="119" t="n">
        <x:f>IF(2&gt;D138,0,ROUND(('难度参数'!$E$13*POWER(A138,'难度参数'!$E$20)*MIN('难度参数'!$E$23,1+MAX(0,A138-'难度参数'!$E$21)*'难度参数'!$E$22))*(36+2*7)/(36+7*(D138+1)/2)*E138,0))</x:f>
        <x:v>3511</x:v>
      </x:c>
      <x:c r="AD138" s="119" t="n">
        <x:f>IF(AB138=0,0,(AB138-IF(2=D138,1,0))*ROUND(AC138*VLOOKUP(INDEX('章节与怪物'!$E$31:$K$37,B138,2),'章节与怪物'!$A$41:$F$44,2,FALSE),0)+IF(2=D138,ROUND(AC138*'难度参数'!$E$28*'章节与怪物'!$E$17,0),0))</x:f>
        <x:v>80753</x:v>
      </x:c>
      <x:c r="AE138" s="119" t="n">
        <x:f>IF(AB138=0,0,(AB138-IF(2=D138,1,0))*VLOOKUP(INDEX('章节与怪物'!$E$31:$K$37,B138,2),'章节与怪物'!$A$41:$F$44,4,FALSE)+IF(2=D138,'难度参数'!$E$30,0))</x:f>
        <x:v>414</x:v>
      </x:c>
      <x:c r="AF138" s="119" t="n">
        <x:f>IF(3&gt;D138,0,MAX(2,MIN('难度参数'!$E$12,ROUND(('难度参数'!$E$18*POWER(A138,'难度参数'!$E$19)/D138*(0.85+0.3*(3-1)/MAX(1,D138-1))),0)+F138)))</x:f>
        <x:v>25</x:v>
      </x:c>
      <x:c r="AG138" s="119" t="n">
        <x:f>IF(3&gt;D138,0,ROUND(('难度参数'!$E$13*POWER(A138,'难度参数'!$E$20)*MIN('难度参数'!$E$23,1+MAX(0,A138-'难度参数'!$E$21)*'难度参数'!$E$22))*(36+3*7)/(36+7*(D138+1)/2)*E138,0))</x:f>
        <x:v>4002</x:v>
      </x:c>
      <x:c r="AH138" s="119" t="n">
        <x:f>IF(AF138=0,0,(AF138-IF(3=D138,1,0))*ROUND(AG138*VLOOKUP(INDEX('章节与怪物'!$E$31:$K$37,B138,3),'章节与怪物'!$A$41:$F$44,2,FALSE),0)+IF(3=D138,ROUND(AG138*'难度参数'!$E$28*'章节与怪物'!$E$17,0),0))</x:f>
        <x:v>170075</x:v>
      </x:c>
      <x:c r="AI138" s="119" t="n">
        <x:f>IF(AF138=0,0,(AF138-IF(3=D138,1,0))*VLOOKUP(INDEX('章节与怪物'!$E$31:$K$37,B138,3),'章节与怪物'!$A$41:$F$44,4,FALSE)+IF(3=D138,'难度参数'!$E$30,0))</x:f>
        <x:v>700</x:v>
      </x:c>
      <x:c r="AJ138" s="119" t="n">
        <x:f>IF(4&gt;D138,0,MAX(2,MIN('难度参数'!$E$12,ROUND(('难度参数'!$E$18*POWER(A138,'难度参数'!$E$19)/D138*(0.85+0.3*(4-1)/MAX(1,D138-1))),0)+F138)))</x:f>
        <x:v>26</x:v>
      </x:c>
      <x:c r="AK138" s="119" t="n">
        <x:f>IF(4&gt;D138,0,ROUND(('难度参数'!$E$13*POWER(A138,'难度参数'!$E$20)*MIN('难度参数'!$E$23,1+MAX(0,A138-'难度参数'!$E$21)*'难度参数'!$E$22))*(36+4*7)/(36+7*(D138+1)/2)*E138,0))</x:f>
        <x:v>4494</x:v>
      </x:c>
      <x:c r="AL138" s="119" t="n">
        <x:f>IF(AJ138=0,0,(AJ138-IF(4=D138,1,0))*ROUND(AK138*VLOOKUP(INDEX('章节与怪物'!$E$31:$K$37,B138,4),'章节与怪物'!$A$41:$F$44,2,FALSE),0)+IF(4=D138,ROUND(AK138*'难度参数'!$E$28*'章节与怪物'!$E$17,0),0))</x:f>
        <x:v>157742</x:v>
      </x:c>
      <x:c r="AM138" s="119" t="n">
        <x:f>IF(AJ138=0,0,(AJ138-IF(4=D138,1,0))*VLOOKUP(INDEX('章节与怪物'!$E$31:$K$37,B138,4),'章节与怪物'!$A$41:$F$44,4,FALSE)+IF(4=D138,'难度参数'!$E$30,0))</x:f>
        <x:v>884</x:v>
      </x:c>
      <x:c r="AN138" s="119" t="n">
        <x:f>IF(5&gt;D138,0,MAX(2,MIN('难度参数'!$E$12,ROUND(('难度参数'!$E$18*POWER(A138,'难度参数'!$E$19)/D138*(0.85+0.3*(5-1)/MAX(1,D138-1))),0)+F138)))</x:f>
        <x:v>27</x:v>
      </x:c>
      <x:c r="AO138" s="119" t="n">
        <x:f>IF(5&gt;D138,0,ROUND(('难度参数'!$E$13*POWER(A138,'难度参数'!$E$20)*MIN('难度参数'!$E$23,1+MAX(0,A138-'难度参数'!$E$21)*'难度参数'!$E$22))*(36+5*7)/(36+7*(D138+1)/2)*E138,0))</x:f>
        <x:v>4985</x:v>
      </x:c>
      <x:c r="AP138" s="119" t="n">
        <x:f>IF(AN138=0,0,(AN138-IF(5=D138,1,0))*ROUND(AO138*VLOOKUP(INDEX('章节与怪物'!$E$31:$K$37,B138,5),'章节与怪物'!$A$41:$F$44,2,FALSE),0)+IF(5=D138,ROUND(AO138*'难度参数'!$E$28*'章节与怪物'!$E$17,0),0))</x:f>
        <x:v>134595</x:v>
      </x:c>
      <x:c r="AQ138" s="119" t="n">
        <x:f>IF(AN138=0,0,(AN138-IF(5=D138,1,0))*VLOOKUP(INDEX('章节与怪物'!$E$31:$K$37,B138,5),'章节与怪物'!$A$41:$F$44,4,FALSE)+IF(5=D138,'难度参数'!$E$30,0))</x:f>
        <x:v>486</x:v>
      </x:c>
      <x:c r="AR138" s="119" t="n">
        <x:f>IF(6&gt;D138,0,MAX(2,MIN('难度参数'!$E$12,ROUND(('难度参数'!$E$18*POWER(A138,'难度参数'!$E$19)/D138*(0.85+0.3*(6-1)/MAX(1,D138-1))),0)+F138)))</x:f>
        <x:v>29</x:v>
      </x:c>
      <x:c r="AS138" s="119" t="n">
        <x:f>IF(6&gt;D138,0,ROUND(('难度参数'!$E$13*POWER(A138,'难度参数'!$E$20)*MIN('难度参数'!$E$23,1+MAX(0,A138-'难度参数'!$E$21)*'难度参数'!$E$22))*(36+6*7)/(36+7*(D138+1)/2)*E138,0))</x:f>
        <x:v>5477</x:v>
      </x:c>
      <x:c r="AT138" s="119" t="n">
        <x:f>IF(AR138=0,0,(AR138-IF(6=D138,1,0))*ROUND(AS138*VLOOKUP(INDEX('章节与怪物'!$E$31:$K$37,B138,6),'章节与怪物'!$A$41:$F$44,2,FALSE),0)+IF(6=D138,ROUND(AS138*'难度参数'!$E$28*'章节与怪物'!$E$17,0),0))</x:f>
        <x:v>270019</x:v>
      </x:c>
      <x:c r="AU138" s="119" t="n">
        <x:f>IF(AR138=0,0,(AR138-IF(6=D138,1,0))*VLOOKUP(INDEX('章节与怪物'!$E$31:$K$37,B138,6),'章节与怪物'!$A$41:$F$44,4,FALSE)+IF(6=D138,'难度参数'!$E$30,0))</x:f>
        <x:v>812</x:v>
      </x:c>
      <x:c r="AV138" s="119" t="n">
        <x:f>IF(7&gt;D138,0,MAX(2,MIN('难度参数'!$E$12,ROUND(('难度参数'!$E$18*POWER(A138,'难度参数'!$E$19)/D138*(0.85+0.3*(7-1)/MAX(1,D138-1))),0)+F138)))</x:f>
        <x:v>30</x:v>
      </x:c>
      <x:c r="AW138" s="119" t="n">
        <x:f>IF(7&gt;D138,0,ROUND(('难度参数'!$E$13*POWER(A138,'难度参数'!$E$20)*MIN('难度参数'!$E$23,1+MAX(0,A138-'难度参数'!$E$21)*'难度参数'!$E$22))*(36+7*7)/(36+7*(D138+1)/2)*E138,0))</x:f>
        <x:v>5968</x:v>
      </x:c>
      <x:c r="AX138" s="119" t="n">
        <x:f>IF(AV138=0,0,(AV138-IF(7=D138,1,0))*ROUND(AW138*VLOOKUP(INDEX('章节与怪物'!$E$31:$K$37,B138,7),'章节与怪物'!$A$41:$F$44,2,FALSE),0)+IF(7=D138,ROUND(AW138*'难度参数'!$E$28*'章节与怪物'!$E$17,0),0))</x:f>
        <x:v>274235</x:v>
      </x:c>
      <x:c r="AY138" s="119" t="n">
        <x:f>IF(AV138=0,0,(AV138-IF(7=D138,1,0))*VLOOKUP(INDEX('章节与怪物'!$E$31:$K$37,B138,7),'章节与怪物'!$A$41:$F$44,4,FALSE)+IF(7=D138,'难度参数'!$E$30,0))</x:f>
        <x:v>1186</x:v>
      </x:c>
    </x:row>
    <x:row r="139" ht="23" customHeight="1">
      <x:c r="A139" s="119" t="n">
        <x:v>133</x:v>
      </x:c>
      <x:c r="B139" s="119" t="n">
        <x:f>MOD(INT((A139-1)/5),7)+1</x:f>
        <x:v>6</x:v>
      </x:c>
      <x:c r="C139" s="62" t="str">
        <x:f>INDEX('章节与怪物'!$B$31:$B$37,B139)</x:f>
        <x:v>熔岩山脉</x:v>
      </x:c>
      <x:c r="D139" s="119" t="n">
        <x:f>MIN('难度参数'!$E$8,MAX('难度参数'!$E$7,A139))</x:f>
        <x:v>7</x:v>
      </x:c>
      <x:c r="E139" s="106" t="n">
        <x:v>1</x:v>
      </x:c>
      <x:c r="F139" s="106" t="n">
        <x:v>0</x:v>
      </x:c>
      <x:c r="G139" s="106" t="n">
        <x:v>1</x:v>
      </x:c>
      <x:c r="H139" s="119" t="n">
        <x:f>SUM(X139,AB139,AF139,AJ139,AN139,AR139,AV139)</x:f>
        <x:v>182</x:v>
      </x:c>
      <x:c r="I139" s="119" t="n">
        <x:f>SUM(Z139,AD139,AH139,AL139,AP139,AT139,AX139)</x:f>
        <x:v>1143986</x:v>
      </x:c>
      <x:c r="J139" s="119" t="n">
        <x:f>ROUND(INDEX(X139:AY139,1,(D139-1)*4+2)*'难度参数'!$E$28*'章节与怪物'!$E$17,0)</x:f>
        <x:v>40895</x:v>
      </x:c>
      <x:c r="K139" s="119" t="n">
        <x:f>SUM(AA139,AE139,AI139,AM139,AQ139,AU139,AY139)</x:f>
        <x:v>4922</x:v>
      </x:c>
      <x:c r="L139" s="62" t="n">
        <x:f>H139*(ROUNDUP('难度参数'!$E$24/('难度参数'!$E$26*'难度参数'!$E$27),0)*'难度参数'!$E$26)/60</x:f>
        <x:v>2.4266666666666667</x:v>
      </x:c>
      <x:c r="M139" s="62" t="n">
        <x:f>L139+D139*('难度参数'!$E$49+'难度参数'!$E$50)/60</x:f>
        <x:v>3.5933333333333337</x:v>
      </x:c>
      <x:c r="N139" s="119" t="n">
        <x:f>ROUNDDOWN(('经济参数'!$E$20+A139*'经济参数'!$E$21)*G139,0)</x:f>
        <x:v>2840</x:v>
      </x:c>
      <x:c r="O139" s="119" t="n">
        <x:f>ROUNDDOWN(MIN('经济参数'!$E$24,'经济参数'!$E$22+A139*'经济参数'!$E$23)*G139,0)</x:f>
        <x:v>0</x:v>
      </x:c>
      <x:c r="P139" s="119" t="n">
        <x:f>ROUNDDOWN((IF(A139&gt;='材料与任务'!$E$31,'材料与任务'!$E$32,IF(A139&gt;='材料与任务'!$E$25,'材料与任务'!$E$26,IF(A139&gt;='材料与任务'!$E$19,'材料与任务'!$E$20,IF(A139&gt;='材料与任务'!$E$13,'材料与任务'!$E$14,'材料与任务'!$E$8)))))*G139,0)</x:f>
        <x:v>6</x:v>
      </x:c>
      <x:c r="Q139" s="119" t="n">
        <x:f>ROUNDDOWN((IF(A139&gt;='材料与任务'!$E$31,'材料与任务'!$E$33,IF(A139&gt;='材料与任务'!$E$25,'材料与任务'!$E$27,IF(A139&gt;='材料与任务'!$E$19,'材料与任务'!$E$21,IF(A139&gt;='材料与任务'!$E$13,'材料与任务'!$E$15,'材料与任务'!$E$9)))))*G139,0)</x:f>
        <x:v>3</x:v>
      </x:c>
      <x:c r="R139" s="110" t="n">
        <x:f>'装备掉落'!$B$38</x:f>
        <x:v>0.6872058758851213</x:v>
      </x:c>
      <x:c r="S139" s="119" t="n">
        <x:f>MAX(IF(VLOOKUP(A139,'装备掉落'!$A$29:$H$34,2,TRUE)&gt;0,1,0),IF(VLOOKUP(A139,'装备掉落'!$A$29:$H$34,3,TRUE)&gt;0,2,0),IF(VLOOKUP(A139,'装备掉落'!$A$29:$H$34,4,TRUE)&gt;0,3,0),IF(VLOOKUP(A139,'装备掉落'!$A$29:$H$34,5,TRUE)&gt;0,4,0),IF(VLOOKUP(A139,'装备掉落'!$A$29:$H$34,6,TRUE)&gt;0,5,0),IF(VLOOKUP(A139,'装备掉落'!$A$29:$H$34,7,TRUE)&gt;0,6,0),IF(VLOOKUP(A139,'装备掉落'!$A$29:$H$34,8,TRUE)&gt;0,7,0))</x:f>
        <x:v>7</x:v>
      </x:c>
      <x:c r="T139" s="119" t="n">
        <x:f>MIN(7,S139+'经济参数'!$E$70)</x:f>
        <x:v>7</x:v>
      </x:c>
      <x:c r="U139" s="119" t="n">
        <x:f>MIN(7,S139+'经济参数'!$E$71)</x:f>
        <x:v>7</x:v>
      </x:c>
      <x:c r="V139" s="119" t="n">
        <x:f>IF(H139&gt;=('难度参数'!$E$52),1,0)+IF(H139&gt;=('难度参数'!$E$52+'难度参数'!$E$53),1,0)+IF(H139&gt;=('难度参数'!$E$52+'难度参数'!$E$53+'难度参数'!$E$54),1,0)+IF(H139&gt;=('难度参数'!$E$52+'难度参数'!$E$53+'难度参数'!$E$54+'难度参数'!$E$55),1,0)+IF(H139&gt;=('难度参数'!$E$52+'难度参数'!$E$53+'难度参数'!$E$54+'难度参数'!$E$55+'难度参数'!$E$56),1,0)+IF(H139&gt;=('难度参数'!$E$52+'难度参数'!$E$53+'难度参数'!$E$54+'难度参数'!$E$55+'难度参数'!$E$56+'难度参数'!$E$57),1,0)</x:f>
        <x:v>6</x:v>
      </x:c>
      <x:c r="W139" s="62" t="str">
        <x:f>IF(L139&gt;'难度参数'!$E$51,"仅出怪已超目标","还需实测")</x:f>
        <x:v>还需实测</x:v>
      </x:c>
      <x:c r="X139" s="119" t="n">
        <x:f>IF(1&gt;D139,0,MAX(2,MIN('难度参数'!$E$12,ROUND(('难度参数'!$E$18*POWER(A139,'难度参数'!$E$19)/D139*(0.85+0.3*(1-1)/MAX(1,D139-1))),0)+F139)))</x:f>
        <x:v>22</x:v>
      </x:c>
      <x:c r="Y139" s="119" t="n">
        <x:f>IF(1&gt;D139,0,ROUND(('难度参数'!$E$13*POWER(A139,'难度参数'!$E$20)*MIN('难度参数'!$E$23,1+MAX(0,A139-'难度参数'!$E$21)*'难度参数'!$E$22))*(36+1*7)/(36+7*(D139+1)/2)*E139,0))</x:f>
        <x:v>3043</x:v>
      </x:c>
      <x:c r="Z139" s="119" t="n">
        <x:f>IF(X139=0,0,(X139-IF(1=D139,1,0))*ROUND(Y139*VLOOKUP(INDEX('章节与怪物'!$E$31:$K$37,B139,1),'章节与怪物'!$A$41:$F$44,2,FALSE),0)+IF(1=D139,ROUND(Y139*'难度参数'!$E$28*'章节与怪物'!$E$17,0),0))</x:f>
        <x:v>48202</x:v>
      </x:c>
      <x:c r="AA139" s="119" t="n">
        <x:f>IF(X139=0,0,(X139-IF(1=D139,1,0))*VLOOKUP(INDEX('章节与怪物'!$E$31:$K$37,B139,1),'章节与怪物'!$A$41:$F$44,4,FALSE)+IF(1=D139,'难度参数'!$E$30,0))</x:f>
        <x:v>440</x:v>
      </x:c>
      <x:c r="AB139" s="119" t="n">
        <x:f>IF(2&gt;D139,0,MAX(2,MIN('难度参数'!$E$12,ROUND(('难度参数'!$E$18*POWER(A139,'难度参数'!$E$19)/D139*(0.85+0.3*(2-1)/MAX(1,D139-1))),0)+F139)))</x:f>
        <x:v>23</x:v>
      </x:c>
      <x:c r="AC139" s="119" t="n">
        <x:f>IF(2&gt;D139,0,ROUND(('难度参数'!$E$13*POWER(A139,'难度参数'!$E$20)*MIN('难度参数'!$E$23,1+MAX(0,A139-'难度参数'!$E$21)*'难度参数'!$E$22))*(36+2*7)/(36+7*(D139+1)/2)*E139,0))</x:f>
        <x:v>3538</x:v>
      </x:c>
      <x:c r="AD139" s="119" t="n">
        <x:f>IF(AB139=0,0,(AB139-IF(2=D139,1,0))*ROUND(AC139*VLOOKUP(INDEX('章节与怪物'!$E$31:$K$37,B139,2),'章节与怪物'!$A$41:$F$44,2,FALSE),0)+IF(2=D139,ROUND(AC139*'难度参数'!$E$28*'章节与怪物'!$E$17,0),0))</x:f>
        <x:v>81374</x:v>
      </x:c>
      <x:c r="AE139" s="119" t="n">
        <x:f>IF(AB139=0,0,(AB139-IF(2=D139,1,0))*VLOOKUP(INDEX('章节与怪物'!$E$31:$K$37,B139,2),'章节与怪物'!$A$41:$F$44,4,FALSE)+IF(2=D139,'难度参数'!$E$30,0))</x:f>
        <x:v>414</x:v>
      </x:c>
      <x:c r="AF139" s="119" t="n">
        <x:f>IF(3&gt;D139,0,MAX(2,MIN('难度参数'!$E$12,ROUND(('难度参数'!$E$18*POWER(A139,'难度参数'!$E$19)/D139*(0.85+0.3*(3-1)/MAX(1,D139-1))),0)+F139)))</x:f>
        <x:v>25</x:v>
      </x:c>
      <x:c r="AG139" s="119" t="n">
        <x:f>IF(3&gt;D139,0,ROUND(('难度参数'!$E$13*POWER(A139,'难度参数'!$E$20)*MIN('难度参数'!$E$23,1+MAX(0,A139-'难度参数'!$E$21)*'难度参数'!$E$22))*(36+3*7)/(36+7*(D139+1)/2)*E139,0))</x:f>
        <x:v>4033</x:v>
      </x:c>
      <x:c r="AH139" s="119" t="n">
        <x:f>IF(AF139=0,0,(AF139-IF(3=D139,1,0))*ROUND(AG139*VLOOKUP(INDEX('章节与怪物'!$E$31:$K$37,B139,3),'章节与怪物'!$A$41:$F$44,2,FALSE),0)+IF(3=D139,ROUND(AG139*'难度参数'!$E$28*'章节与怪物'!$E$17,0),0))</x:f>
        <x:v>171400</x:v>
      </x:c>
      <x:c r="AI139" s="119" t="n">
        <x:f>IF(AF139=0,0,(AF139-IF(3=D139,1,0))*VLOOKUP(INDEX('章节与怪物'!$E$31:$K$37,B139,3),'章节与怪物'!$A$41:$F$44,4,FALSE)+IF(3=D139,'难度参数'!$E$30,0))</x:f>
        <x:v>700</x:v>
      </x:c>
      <x:c r="AJ139" s="119" t="n">
        <x:f>IF(4&gt;D139,0,MAX(2,MIN('难度参数'!$E$12,ROUND(('难度参数'!$E$18*POWER(A139,'难度参数'!$E$19)/D139*(0.85+0.3*(4-1)/MAX(1,D139-1))),0)+F139)))</x:f>
        <x:v>26</x:v>
      </x:c>
      <x:c r="AK139" s="119" t="n">
        <x:f>IF(4&gt;D139,0,ROUND(('难度参数'!$E$13*POWER(A139,'难度参数'!$E$20)*MIN('难度参数'!$E$23,1+MAX(0,A139-'难度参数'!$E$21)*'难度参数'!$E$22))*(36+4*7)/(36+7*(D139+1)/2)*E139,0))</x:f>
        <x:v>4528</x:v>
      </x:c>
      <x:c r="AL139" s="119" t="n">
        <x:f>IF(AJ139=0,0,(AJ139-IF(4=D139,1,0))*ROUND(AK139*VLOOKUP(INDEX('章节与怪物'!$E$31:$K$37,B139,4),'章节与怪物'!$A$41:$F$44,2,FALSE),0)+IF(4=D139,ROUND(AK139*'难度参数'!$E$28*'章节与怪物'!$E$17,0),0))</x:f>
        <x:v>158938</x:v>
      </x:c>
      <x:c r="AM139" s="119" t="n">
        <x:f>IF(AJ139=0,0,(AJ139-IF(4=D139,1,0))*VLOOKUP(INDEX('章节与怪物'!$E$31:$K$37,B139,4),'章节与怪物'!$A$41:$F$44,4,FALSE)+IF(4=D139,'难度参数'!$E$30,0))</x:f>
        <x:v>884</x:v>
      </x:c>
      <x:c r="AN139" s="119" t="n">
        <x:f>IF(5&gt;D139,0,MAX(2,MIN('难度参数'!$E$12,ROUND(('难度参数'!$E$18*POWER(A139,'难度参数'!$E$19)/D139*(0.85+0.3*(5-1)/MAX(1,D139-1))),0)+F139)))</x:f>
        <x:v>27</x:v>
      </x:c>
      <x:c r="AO139" s="119" t="n">
        <x:f>IF(5&gt;D139,0,ROUND(('难度参数'!$E$13*POWER(A139,'难度参数'!$E$20)*MIN('难度参数'!$E$23,1+MAX(0,A139-'难度参数'!$E$21)*'难度参数'!$E$22))*(36+5*7)/(36+7*(D139+1)/2)*E139,0))</x:f>
        <x:v>5024</x:v>
      </x:c>
      <x:c r="AP139" s="119" t="n">
        <x:f>IF(AN139=0,0,(AN139-IF(5=D139,1,0))*ROUND(AO139*VLOOKUP(INDEX('章节与怪物'!$E$31:$K$37,B139,5),'章节与怪物'!$A$41:$F$44,2,FALSE),0)+IF(5=D139,ROUND(AO139*'难度参数'!$E$28*'章节与怪物'!$E$17,0),0))</x:f>
        <x:v>135648</x:v>
      </x:c>
      <x:c r="AQ139" s="119" t="n">
        <x:f>IF(AN139=0,0,(AN139-IF(5=D139,1,0))*VLOOKUP(INDEX('章节与怪物'!$E$31:$K$37,B139,5),'章节与怪物'!$A$41:$F$44,4,FALSE)+IF(5=D139,'难度参数'!$E$30,0))</x:f>
        <x:v>486</x:v>
      </x:c>
      <x:c r="AR139" s="119" t="n">
        <x:f>IF(6&gt;D139,0,MAX(2,MIN('难度参数'!$E$12,ROUND(('难度参数'!$E$18*POWER(A139,'难度参数'!$E$19)/D139*(0.85+0.3*(6-1)/MAX(1,D139-1))),0)+F139)))</x:f>
        <x:v>29</x:v>
      </x:c>
      <x:c r="AS139" s="119" t="n">
        <x:f>IF(6&gt;D139,0,ROUND(('难度参数'!$E$13*POWER(A139,'难度参数'!$E$20)*MIN('难度参数'!$E$23,1+MAX(0,A139-'难度参数'!$E$21)*'难度参数'!$E$22))*(36+6*7)/(36+7*(D139+1)/2)*E139,0))</x:f>
        <x:v>5519</x:v>
      </x:c>
      <x:c r="AT139" s="119" t="n">
        <x:f>IF(AR139=0,0,(AR139-IF(6=D139,1,0))*ROUND(AS139*VLOOKUP(INDEX('章节与怪物'!$E$31:$K$37,B139,6),'章节与怪物'!$A$41:$F$44,2,FALSE),0)+IF(6=D139,ROUND(AS139*'难度参数'!$E$28*'章节与怪物'!$E$17,0),0))</x:f>
        <x:v>272078</x:v>
      </x:c>
      <x:c r="AU139" s="119" t="n">
        <x:f>IF(AR139=0,0,(AR139-IF(6=D139,1,0))*VLOOKUP(INDEX('章节与怪物'!$E$31:$K$37,B139,6),'章节与怪物'!$A$41:$F$44,4,FALSE)+IF(6=D139,'难度参数'!$E$30,0))</x:f>
        <x:v>812</x:v>
      </x:c>
      <x:c r="AV139" s="119" t="n">
        <x:f>IF(7&gt;D139,0,MAX(2,MIN('难度参数'!$E$12,ROUND(('难度参数'!$E$18*POWER(A139,'难度参数'!$E$19)/D139*(0.85+0.3*(7-1)/MAX(1,D139-1))),0)+F139)))</x:f>
        <x:v>30</x:v>
      </x:c>
      <x:c r="AW139" s="119" t="n">
        <x:f>IF(7&gt;D139,0,ROUND(('难度参数'!$E$13*POWER(A139,'难度参数'!$E$20)*MIN('难度参数'!$E$23,1+MAX(0,A139-'难度参数'!$E$21)*'难度参数'!$E$22))*(36+7*7)/(36+7*(D139+1)/2)*E139,0))</x:f>
        <x:v>6014</x:v>
      </x:c>
      <x:c r="AX139" s="119" t="n">
        <x:f>IF(AV139=0,0,(AV139-IF(7=D139,1,0))*ROUND(AW139*VLOOKUP(INDEX('章节与怪物'!$E$31:$K$37,B139,7),'章节与怪物'!$A$41:$F$44,2,FALSE),0)+IF(7=D139,ROUND(AW139*'难度参数'!$E$28*'章节与怪物'!$E$17,0),0))</x:f>
        <x:v>276346</x:v>
      </x:c>
      <x:c r="AY139" s="119" t="n">
        <x:f>IF(AV139=0,0,(AV139-IF(7=D139,1,0))*VLOOKUP(INDEX('章节与怪物'!$E$31:$K$37,B139,7),'章节与怪物'!$A$41:$F$44,4,FALSE)+IF(7=D139,'难度参数'!$E$30,0))</x:f>
        <x:v>1186</x:v>
      </x:c>
    </x:row>
    <x:row r="140" ht="23" customHeight="1">
      <x:c r="A140" s="119" t="n">
        <x:v>134</x:v>
      </x:c>
      <x:c r="B140" s="119" t="n">
        <x:f>MOD(INT((A140-1)/5),7)+1</x:f>
        <x:v>6</x:v>
      </x:c>
      <x:c r="C140" s="62" t="str">
        <x:f>INDEX('章节与怪物'!$B$31:$B$37,B140)</x:f>
        <x:v>熔岩山脉</x:v>
      </x:c>
      <x:c r="D140" s="119" t="n">
        <x:f>MIN('难度参数'!$E$8,MAX('难度参数'!$E$7,A140))</x:f>
        <x:v>7</x:v>
      </x:c>
      <x:c r="E140" s="106" t="n">
        <x:v>1</x:v>
      </x:c>
      <x:c r="F140" s="106" t="n">
        <x:v>0</x:v>
      </x:c>
      <x:c r="G140" s="106" t="n">
        <x:v>1</x:v>
      </x:c>
      <x:c r="H140" s="119" t="n">
        <x:f>SUM(X140,AB140,AF140,AJ140,AN140,AR140,AV140)</x:f>
        <x:v>183</x:v>
      </x:c>
      <x:c r="I140" s="119" t="n">
        <x:f>SUM(Z140,AD140,AH140,AL140,AP140,AT140,AX140)</x:f>
        <x:v>1156318</x:v>
      </x:c>
      <x:c r="J140" s="119" t="n">
        <x:f>ROUND(INDEX(X140:AY140,1,(D140-1)*4+2)*'难度参数'!$E$28*'章节与怪物'!$E$17,0)</x:f>
        <x:v>41208</x:v>
      </x:c>
      <x:c r="K140" s="119" t="n">
        <x:f>SUM(AA140,AE140,AI140,AM140,AQ140,AU140,AY140)</x:f>
        <x:v>4940</x:v>
      </x:c>
      <x:c r="L140" s="62" t="n">
        <x:f>H140*(ROUNDUP('难度参数'!$E$24/('难度参数'!$E$26*'难度参数'!$E$27),0)*'难度参数'!$E$26)/60</x:f>
        <x:v>2.44</x:v>
      </x:c>
      <x:c r="M140" s="62" t="n">
        <x:f>L140+D140*('难度参数'!$E$49+'难度参数'!$E$50)/60</x:f>
        <x:v>3.6066666666666665</x:v>
      </x:c>
      <x:c r="N140" s="119" t="n">
        <x:f>ROUNDDOWN(('经济参数'!$E$20+A140*'经济参数'!$E$21)*G140,0)</x:f>
        <x:v>2860</x:v>
      </x:c>
      <x:c r="O140" s="119" t="n">
        <x:f>ROUNDDOWN(MIN('经济参数'!$E$24,'经济参数'!$E$22+A140*'经济参数'!$E$23)*G140,0)</x:f>
        <x:v>0</x:v>
      </x:c>
      <x:c r="P140" s="119" t="n">
        <x:f>ROUNDDOWN((IF(A140&gt;='材料与任务'!$E$31,'材料与任务'!$E$32,IF(A140&gt;='材料与任务'!$E$25,'材料与任务'!$E$26,IF(A140&gt;='材料与任务'!$E$19,'材料与任务'!$E$20,IF(A140&gt;='材料与任务'!$E$13,'材料与任务'!$E$14,'材料与任务'!$E$8)))))*G140,0)</x:f>
        <x:v>6</x:v>
      </x:c>
      <x:c r="Q140" s="119" t="n">
        <x:f>ROUNDDOWN((IF(A140&gt;='材料与任务'!$E$31,'材料与任务'!$E$33,IF(A140&gt;='材料与任务'!$E$25,'材料与任务'!$E$27,IF(A140&gt;='材料与任务'!$E$19,'材料与任务'!$E$21,IF(A140&gt;='材料与任务'!$E$13,'材料与任务'!$E$15,'材料与任务'!$E$9)))))*G140,0)</x:f>
        <x:v>3</x:v>
      </x:c>
      <x:c r="R140" s="110" t="n">
        <x:f>'装备掉落'!$B$38</x:f>
        <x:v>0.6872058758851213</x:v>
      </x:c>
      <x:c r="S140" s="119" t="n">
        <x:f>MAX(IF(VLOOKUP(A140,'装备掉落'!$A$29:$H$34,2,TRUE)&gt;0,1,0),IF(VLOOKUP(A140,'装备掉落'!$A$29:$H$34,3,TRUE)&gt;0,2,0),IF(VLOOKUP(A140,'装备掉落'!$A$29:$H$34,4,TRUE)&gt;0,3,0),IF(VLOOKUP(A140,'装备掉落'!$A$29:$H$34,5,TRUE)&gt;0,4,0),IF(VLOOKUP(A140,'装备掉落'!$A$29:$H$34,6,TRUE)&gt;0,5,0),IF(VLOOKUP(A140,'装备掉落'!$A$29:$H$34,7,TRUE)&gt;0,6,0),IF(VLOOKUP(A140,'装备掉落'!$A$29:$H$34,8,TRUE)&gt;0,7,0))</x:f>
        <x:v>7</x:v>
      </x:c>
      <x:c r="T140" s="119" t="n">
        <x:f>MIN(7,S140+'经济参数'!$E$70)</x:f>
        <x:v>7</x:v>
      </x:c>
      <x:c r="U140" s="119" t="n">
        <x:f>MIN(7,S140+'经济参数'!$E$71)</x:f>
        <x:v>7</x:v>
      </x:c>
      <x:c r="V140" s="119" t="n">
        <x:f>IF(H140&gt;=('难度参数'!$E$52),1,0)+IF(H140&gt;=('难度参数'!$E$52+'难度参数'!$E$53),1,0)+IF(H140&gt;=('难度参数'!$E$52+'难度参数'!$E$53+'难度参数'!$E$54),1,0)+IF(H140&gt;=('难度参数'!$E$52+'难度参数'!$E$53+'难度参数'!$E$54+'难度参数'!$E$55),1,0)+IF(H140&gt;=('难度参数'!$E$52+'难度参数'!$E$53+'难度参数'!$E$54+'难度参数'!$E$55+'难度参数'!$E$56),1,0)+IF(H140&gt;=('难度参数'!$E$52+'难度参数'!$E$53+'难度参数'!$E$54+'难度参数'!$E$55+'难度参数'!$E$56+'难度参数'!$E$57),1,0)</x:f>
        <x:v>6</x:v>
      </x:c>
      <x:c r="W140" s="62" t="str">
        <x:f>IF(L140&gt;'难度参数'!$E$51,"仅出怪已超目标","还需实测")</x:f>
        <x:v>还需实测</x:v>
      </x:c>
      <x:c r="X140" s="119" t="n">
        <x:f>IF(1&gt;D140,0,MAX(2,MIN('难度参数'!$E$12,ROUND(('难度参数'!$E$18*POWER(A140,'难度参数'!$E$19)/D140*(0.85+0.3*(1-1)/MAX(1,D140-1))),0)+F140)))</x:f>
        <x:v>22</x:v>
      </x:c>
      <x:c r="Y140" s="119" t="n">
        <x:f>IF(1&gt;D140,0,ROUND(('难度参数'!$E$13*POWER(A140,'难度参数'!$E$20)*MIN('难度参数'!$E$23,1+MAX(0,A140-'难度参数'!$E$21)*'难度参数'!$E$22))*(36+1*7)/(36+7*(D140+1)/2)*E140,0))</x:f>
        <x:v>3066</x:v>
      </x:c>
      <x:c r="Z140" s="119" t="n">
        <x:f>IF(X140=0,0,(X140-IF(1=D140,1,0))*ROUND(Y140*VLOOKUP(INDEX('章节与怪物'!$E$31:$K$37,B140,1),'章节与怪物'!$A$41:$F$44,2,FALSE),0)+IF(1=D140,ROUND(Y140*'难度参数'!$E$28*'章节与怪物'!$E$17,0),0))</x:f>
        <x:v>48576</x:v>
      </x:c>
      <x:c r="AA140" s="119" t="n">
        <x:f>IF(X140=0,0,(X140-IF(1=D140,1,0))*VLOOKUP(INDEX('章节与怪物'!$E$31:$K$37,B140,1),'章节与怪物'!$A$41:$F$44,4,FALSE)+IF(1=D140,'难度参数'!$E$30,0))</x:f>
        <x:v>440</x:v>
      </x:c>
      <x:c r="AB140" s="119" t="n">
        <x:f>IF(2&gt;D140,0,MAX(2,MIN('难度参数'!$E$12,ROUND(('难度参数'!$E$18*POWER(A140,'难度参数'!$E$19)/D140*(0.85+0.3*(2-1)/MAX(1,D140-1))),0)+F140)))</x:f>
        <x:v>24</x:v>
      </x:c>
      <x:c r="AC140" s="119" t="n">
        <x:f>IF(2&gt;D140,0,ROUND(('难度参数'!$E$13*POWER(A140,'难度参数'!$E$20)*MIN('难度参数'!$E$23,1+MAX(0,A140-'难度参数'!$E$21)*'难度参数'!$E$22))*(36+2*7)/(36+7*(D140+1)/2)*E140,0))</x:f>
        <x:v>3565</x:v>
      </x:c>
      <x:c r="AD140" s="119" t="n">
        <x:f>IF(AB140=0,0,(AB140-IF(2=D140,1,0))*ROUND(AC140*VLOOKUP(INDEX('章节与怪物'!$E$31:$K$37,B140,2),'章节与怪物'!$A$41:$F$44,2,FALSE),0)+IF(2=D140,ROUND(AC140*'难度参数'!$E$28*'章节与怪物'!$E$17,0),0))</x:f>
        <x:v>85560</x:v>
      </x:c>
      <x:c r="AE140" s="119" t="n">
        <x:f>IF(AB140=0,0,(AB140-IF(2=D140,1,0))*VLOOKUP(INDEX('章节与怪物'!$E$31:$K$37,B140,2),'章节与怪物'!$A$41:$F$44,4,FALSE)+IF(2=D140,'难度参数'!$E$30,0))</x:f>
        <x:v>432</x:v>
      </x:c>
      <x:c r="AF140" s="119" t="n">
        <x:f>IF(3&gt;D140,0,MAX(2,MIN('难度参数'!$E$12,ROUND(('难度参数'!$E$18*POWER(A140,'难度参数'!$E$19)/D140*(0.85+0.3*(3-1)/MAX(1,D140-1))),0)+F140)))</x:f>
        <x:v>25</x:v>
      </x:c>
      <x:c r="AG140" s="119" t="n">
        <x:f>IF(3&gt;D140,0,ROUND(('难度参数'!$E$13*POWER(A140,'难度参数'!$E$20)*MIN('难度参数'!$E$23,1+MAX(0,A140-'难度参数'!$E$21)*'难度参数'!$E$22))*(36+3*7)/(36+7*(D140+1)/2)*E140,0))</x:f>
        <x:v>4064</x:v>
      </x:c>
      <x:c r="AH140" s="119" t="n">
        <x:f>IF(AF140=0,0,(AF140-IF(3=D140,1,0))*ROUND(AG140*VLOOKUP(INDEX('章节与怪物'!$E$31:$K$37,B140,3),'章节与怪物'!$A$41:$F$44,2,FALSE),0)+IF(3=D140,ROUND(AG140*'难度参数'!$E$28*'章节与怪物'!$E$17,0),0))</x:f>
        <x:v>172725</x:v>
      </x:c>
      <x:c r="AI140" s="119" t="n">
        <x:f>IF(AF140=0,0,(AF140-IF(3=D140,1,0))*VLOOKUP(INDEX('章节与怪物'!$E$31:$K$37,B140,3),'章节与怪物'!$A$41:$F$44,4,FALSE)+IF(3=D140,'难度参数'!$E$30,0))</x:f>
        <x:v>700</x:v>
      </x:c>
      <x:c r="AJ140" s="119" t="n">
        <x:f>IF(4&gt;D140,0,MAX(2,MIN('难度参数'!$E$12,ROUND(('难度参数'!$E$18*POWER(A140,'难度参数'!$E$19)/D140*(0.85+0.3*(4-1)/MAX(1,D140-1))),0)+F140)))</x:f>
        <x:v>26</x:v>
      </x:c>
      <x:c r="AK140" s="119" t="n">
        <x:f>IF(4&gt;D140,0,ROUND(('难度参数'!$E$13*POWER(A140,'难度参数'!$E$20)*MIN('难度参数'!$E$23,1+MAX(0,A140-'难度参数'!$E$21)*'难度参数'!$E$22))*(36+4*7)/(36+7*(D140+1)/2)*E140,0))</x:f>
        <x:v>4563</x:v>
      </x:c>
      <x:c r="AL140" s="119" t="n">
        <x:f>IF(AJ140=0,0,(AJ140-IF(4=D140,1,0))*ROUND(AK140*VLOOKUP(INDEX('章节与怪物'!$E$31:$K$37,B140,4),'章节与怪物'!$A$41:$F$44,2,FALSE),0)+IF(4=D140,ROUND(AK140*'难度参数'!$E$28*'章节与怪物'!$E$17,0),0))</x:f>
        <x:v>160160</x:v>
      </x:c>
      <x:c r="AM140" s="119" t="n">
        <x:f>IF(AJ140=0,0,(AJ140-IF(4=D140,1,0))*VLOOKUP(INDEX('章节与怪物'!$E$31:$K$37,B140,4),'章节与怪物'!$A$41:$F$44,4,FALSE)+IF(4=D140,'难度参数'!$E$30,0))</x:f>
        <x:v>884</x:v>
      </x:c>
      <x:c r="AN140" s="119" t="n">
        <x:f>IF(5&gt;D140,0,MAX(2,MIN('难度参数'!$E$12,ROUND(('难度参数'!$E$18*POWER(A140,'难度参数'!$E$19)/D140*(0.85+0.3*(5-1)/MAX(1,D140-1))),0)+F140)))</x:f>
        <x:v>27</x:v>
      </x:c>
      <x:c r="AO140" s="119" t="n">
        <x:f>IF(5&gt;D140,0,ROUND(('难度参数'!$E$13*POWER(A140,'难度参数'!$E$20)*MIN('难度参数'!$E$23,1+MAX(0,A140-'难度参数'!$E$21)*'难度参数'!$E$22))*(36+5*7)/(36+7*(D140+1)/2)*E140,0))</x:f>
        <x:v>5062</x:v>
      </x:c>
      <x:c r="AP140" s="119" t="n">
        <x:f>IF(AN140=0,0,(AN140-IF(5=D140,1,0))*ROUND(AO140*VLOOKUP(INDEX('章节与怪物'!$E$31:$K$37,B140,5),'章节与怪物'!$A$41:$F$44,2,FALSE),0)+IF(5=D140,ROUND(AO140*'难度参数'!$E$28*'章节与怪物'!$E$17,0),0))</x:f>
        <x:v>136674</x:v>
      </x:c>
      <x:c r="AQ140" s="119" t="n">
        <x:f>IF(AN140=0,0,(AN140-IF(5=D140,1,0))*VLOOKUP(INDEX('章节与怪物'!$E$31:$K$37,B140,5),'章节与怪物'!$A$41:$F$44,4,FALSE)+IF(5=D140,'难度参数'!$E$30,0))</x:f>
        <x:v>486</x:v>
      </x:c>
      <x:c r="AR140" s="119" t="n">
        <x:f>IF(6&gt;D140,0,MAX(2,MIN('难度参数'!$E$12,ROUND(('难度参数'!$E$18*POWER(A140,'难度参数'!$E$19)/D140*(0.85+0.3*(6-1)/MAX(1,D140-1))),0)+F140)))</x:f>
        <x:v>29</x:v>
      </x:c>
      <x:c r="AS140" s="119" t="n">
        <x:f>IF(6&gt;D140,0,ROUND(('难度参数'!$E$13*POWER(A140,'难度参数'!$E$20)*MIN('难度参数'!$E$23,1+MAX(0,A140-'难度参数'!$E$21)*'难度参数'!$E$22))*(36+6*7)/(36+7*(D140+1)/2)*E140,0))</x:f>
        <x:v>5561</x:v>
      </x:c>
      <x:c r="AT140" s="119" t="n">
        <x:f>IF(AR140=0,0,(AR140-IF(6=D140,1,0))*ROUND(AS140*VLOOKUP(INDEX('章节与怪物'!$E$31:$K$37,B140,6),'章节与怪物'!$A$41:$F$44,2,FALSE),0)+IF(6=D140,ROUND(AS140*'难度参数'!$E$28*'章节与怪物'!$E$17,0),0))</x:f>
        <x:v>274166</x:v>
      </x:c>
      <x:c r="AU140" s="119" t="n">
        <x:f>IF(AR140=0,0,(AR140-IF(6=D140,1,0))*VLOOKUP(INDEX('章节与怪物'!$E$31:$K$37,B140,6),'章节与怪物'!$A$41:$F$44,4,FALSE)+IF(6=D140,'难度参数'!$E$30,0))</x:f>
        <x:v>812</x:v>
      </x:c>
      <x:c r="AV140" s="119" t="n">
        <x:f>IF(7&gt;D140,0,MAX(2,MIN('难度参数'!$E$12,ROUND(('难度参数'!$E$18*POWER(A140,'难度参数'!$E$19)/D140*(0.85+0.3*(7-1)/MAX(1,D140-1))),0)+F140)))</x:f>
        <x:v>30</x:v>
      </x:c>
      <x:c r="AW140" s="119" t="n">
        <x:f>IF(7&gt;D140,0,ROUND(('难度参数'!$E$13*POWER(A140,'难度参数'!$E$20)*MIN('难度参数'!$E$23,1+MAX(0,A140-'难度参数'!$E$21)*'难度参数'!$E$22))*(36+7*7)/(36+7*(D140+1)/2)*E140,0))</x:f>
        <x:v>6060</x:v>
      </x:c>
      <x:c r="AX140" s="119" t="n">
        <x:f>IF(AV140=0,0,(AV140-IF(7=D140,1,0))*ROUND(AW140*VLOOKUP(INDEX('章节与怪物'!$E$31:$K$37,B140,7),'章节与怪物'!$A$41:$F$44,2,FALSE),0)+IF(7=D140,ROUND(AW140*'难度参数'!$E$28*'章节与怪物'!$E$17,0),0))</x:f>
        <x:v>278457</x:v>
      </x:c>
      <x:c r="AY140" s="119" t="n">
        <x:f>IF(AV140=0,0,(AV140-IF(7=D140,1,0))*VLOOKUP(INDEX('章节与怪物'!$E$31:$K$37,B140,7),'章节与怪物'!$A$41:$F$44,4,FALSE)+IF(7=D140,'难度参数'!$E$30,0))</x:f>
        <x:v>1186</x:v>
      </x:c>
    </x:row>
    <x:row r="141" ht="23" customHeight="1">
      <x:c r="A141" s="119" t="n">
        <x:v>135</x:v>
      </x:c>
      <x:c r="B141" s="119" t="n">
        <x:f>MOD(INT((A141-1)/5),7)+1</x:f>
        <x:v>6</x:v>
      </x:c>
      <x:c r="C141" s="62" t="str">
        <x:f>INDEX('章节与怪物'!$B$31:$B$37,B141)</x:f>
        <x:v>熔岩山脉</x:v>
      </x:c>
      <x:c r="D141" s="119" t="n">
        <x:f>MIN('难度参数'!$E$8,MAX('难度参数'!$E$7,A141))</x:f>
        <x:v>7</x:v>
      </x:c>
      <x:c r="E141" s="106" t="n">
        <x:v>1</x:v>
      </x:c>
      <x:c r="F141" s="106" t="n">
        <x:v>0</x:v>
      </x:c>
      <x:c r="G141" s="106" t="n">
        <x:v>1</x:v>
      </x:c>
      <x:c r="H141" s="119" t="n">
        <x:f>SUM(X141,AB141,AF141,AJ141,AN141,AR141,AV141)</x:f>
        <x:v>184</x:v>
      </x:c>
      <x:c r="I141" s="119" t="n">
        <x:f>SUM(Z141,AD141,AH141,AL141,AP141,AT141,AX141)</x:f>
        <x:v>1170283</x:v>
      </x:c>
      <x:c r="J141" s="119" t="n">
        <x:f>ROUND(INDEX(X141:AY141,1,(D141-1)*4+2)*'难度参数'!$E$28*'章节与怪物'!$E$17,0)</x:f>
        <x:v>41528</x:v>
      </x:c>
      <x:c r="K141" s="119" t="n">
        <x:f>SUM(AA141,AE141,AI141,AM141,AQ141,AU141,AY141)</x:f>
        <x:v>4958</x:v>
      </x:c>
      <x:c r="L141" s="62" t="n">
        <x:f>H141*(ROUNDUP('难度参数'!$E$24/('难度参数'!$E$26*'难度参数'!$E$27),0)*'难度参数'!$E$26)/60</x:f>
        <x:v>2.4533333333333336</x:v>
      </x:c>
      <x:c r="M141" s="62" t="n">
        <x:f>L141+D141*('难度参数'!$E$49+'难度参数'!$E$50)/60</x:f>
        <x:v>3.62</x:v>
      </x:c>
      <x:c r="N141" s="119" t="n">
        <x:f>ROUNDDOWN(('经济参数'!$E$20+A141*'经济参数'!$E$21)*G141,0)</x:f>
        <x:v>2880</x:v>
      </x:c>
      <x:c r="O141" s="119" t="n">
        <x:f>ROUNDDOWN(MIN('经济参数'!$E$24,'经济参数'!$E$22+A141*'经济参数'!$E$23)*G141,0)</x:f>
        <x:v>0</x:v>
      </x:c>
      <x:c r="P141" s="119" t="n">
        <x:f>ROUNDDOWN((IF(A141&gt;='材料与任务'!$E$31,'材料与任务'!$E$32,IF(A141&gt;='材料与任务'!$E$25,'材料与任务'!$E$26,IF(A141&gt;='材料与任务'!$E$19,'材料与任务'!$E$20,IF(A141&gt;='材料与任务'!$E$13,'材料与任务'!$E$14,'材料与任务'!$E$8)))))*G141,0)</x:f>
        <x:v>6</x:v>
      </x:c>
      <x:c r="Q141" s="119" t="n">
        <x:f>ROUNDDOWN((IF(A141&gt;='材料与任务'!$E$31,'材料与任务'!$E$33,IF(A141&gt;='材料与任务'!$E$25,'材料与任务'!$E$27,IF(A141&gt;='材料与任务'!$E$19,'材料与任务'!$E$21,IF(A141&gt;='材料与任务'!$E$13,'材料与任务'!$E$15,'材料与任务'!$E$9)))))*G141,0)</x:f>
        <x:v>3</x:v>
      </x:c>
      <x:c r="R141" s="110" t="n">
        <x:f>'装备掉落'!$B$38</x:f>
        <x:v>0.6872058758851213</x:v>
      </x:c>
      <x:c r="S141" s="119" t="n">
        <x:f>MAX(IF(VLOOKUP(A141,'装备掉落'!$A$29:$H$34,2,TRUE)&gt;0,1,0),IF(VLOOKUP(A141,'装备掉落'!$A$29:$H$34,3,TRUE)&gt;0,2,0),IF(VLOOKUP(A141,'装备掉落'!$A$29:$H$34,4,TRUE)&gt;0,3,0),IF(VLOOKUP(A141,'装备掉落'!$A$29:$H$34,5,TRUE)&gt;0,4,0),IF(VLOOKUP(A141,'装备掉落'!$A$29:$H$34,6,TRUE)&gt;0,5,0),IF(VLOOKUP(A141,'装备掉落'!$A$29:$H$34,7,TRUE)&gt;0,6,0),IF(VLOOKUP(A141,'装备掉落'!$A$29:$H$34,8,TRUE)&gt;0,7,0))</x:f>
        <x:v>7</x:v>
      </x:c>
      <x:c r="T141" s="119" t="n">
        <x:f>MIN(7,S141+'经济参数'!$E$70)</x:f>
        <x:v>7</x:v>
      </x:c>
      <x:c r="U141" s="119" t="n">
        <x:f>MIN(7,S141+'经济参数'!$E$71)</x:f>
        <x:v>7</x:v>
      </x:c>
      <x:c r="V141" s="119" t="n">
        <x:f>IF(H141&gt;=('难度参数'!$E$52),1,0)+IF(H141&gt;=('难度参数'!$E$52+'难度参数'!$E$53),1,0)+IF(H141&gt;=('难度参数'!$E$52+'难度参数'!$E$53+'难度参数'!$E$54),1,0)+IF(H141&gt;=('难度参数'!$E$52+'难度参数'!$E$53+'难度参数'!$E$54+'难度参数'!$E$55),1,0)+IF(H141&gt;=('难度参数'!$E$52+'难度参数'!$E$53+'难度参数'!$E$54+'难度参数'!$E$55+'难度参数'!$E$56),1,0)+IF(H141&gt;=('难度参数'!$E$52+'难度参数'!$E$53+'难度参数'!$E$54+'难度参数'!$E$55+'难度参数'!$E$56+'难度参数'!$E$57),1,0)</x:f>
        <x:v>6</x:v>
      </x:c>
      <x:c r="W141" s="62" t="str">
        <x:f>IF(L141&gt;'难度参数'!$E$51,"仅出怪已超目标","还需实测")</x:f>
        <x:v>还需实测</x:v>
      </x:c>
      <x:c r="X141" s="119" t="n">
        <x:f>IF(1&gt;D141,0,MAX(2,MIN('难度参数'!$E$12,ROUND(('难度参数'!$E$18*POWER(A141,'难度参数'!$E$19)/D141*(0.85+0.3*(1-1)/MAX(1,D141-1))),0)+F141)))</x:f>
        <x:v>22</x:v>
      </x:c>
      <x:c r="Y141" s="119" t="n">
        <x:f>IF(1&gt;D141,0,ROUND(('难度参数'!$E$13*POWER(A141,'难度参数'!$E$20)*MIN('难度参数'!$E$23,1+MAX(0,A141-'难度参数'!$E$21)*'难度参数'!$E$22))*(36+1*7)/(36+7*(D141+1)/2)*E141,0))</x:f>
        <x:v>3089</x:v>
      </x:c>
      <x:c r="Z141" s="119" t="n">
        <x:f>IF(X141=0,0,(X141-IF(1=D141,1,0))*ROUND(Y141*VLOOKUP(INDEX('章节与怪物'!$E$31:$K$37,B141,1),'章节与怪物'!$A$41:$F$44,2,FALSE),0)+IF(1=D141,ROUND(Y141*'难度参数'!$E$28*'章节与怪物'!$E$17,0),0))</x:f>
        <x:v>48928</x:v>
      </x:c>
      <x:c r="AA141" s="119" t="n">
        <x:f>IF(X141=0,0,(X141-IF(1=D141,1,0))*VLOOKUP(INDEX('章节与怪物'!$E$31:$K$37,B141,1),'章节与怪物'!$A$41:$F$44,4,FALSE)+IF(1=D141,'难度参数'!$E$30,0))</x:f>
        <x:v>440</x:v>
      </x:c>
      <x:c r="AB141" s="119" t="n">
        <x:f>IF(2&gt;D141,0,MAX(2,MIN('难度参数'!$E$12,ROUND(('难度参数'!$E$18*POWER(A141,'难度参数'!$E$19)/D141*(0.85+0.3*(2-1)/MAX(1,D141-1))),0)+F141)))</x:f>
        <x:v>24</x:v>
      </x:c>
      <x:c r="AC141" s="119" t="n">
        <x:f>IF(2&gt;D141,0,ROUND(('难度参数'!$E$13*POWER(A141,'难度参数'!$E$20)*MIN('难度参数'!$E$23,1+MAX(0,A141-'难度参数'!$E$21)*'难度参数'!$E$22))*(36+2*7)/(36+7*(D141+1)/2)*E141,0))</x:f>
        <x:v>3592</x:v>
      </x:c>
      <x:c r="AD141" s="119" t="n">
        <x:f>IF(AB141=0,0,(AB141-IF(2=D141,1,0))*ROUND(AC141*VLOOKUP(INDEX('章节与怪物'!$E$31:$K$37,B141,2),'章节与怪物'!$A$41:$F$44,2,FALSE),0)+IF(2=D141,ROUND(AC141*'难度参数'!$E$28*'章节与怪物'!$E$17,0),0))</x:f>
        <x:v>86208</x:v>
      </x:c>
      <x:c r="AE141" s="119" t="n">
        <x:f>IF(AB141=0,0,(AB141-IF(2=D141,1,0))*VLOOKUP(INDEX('章节与怪物'!$E$31:$K$37,B141,2),'章节与怪物'!$A$41:$F$44,4,FALSE)+IF(2=D141,'难度参数'!$E$30,0))</x:f>
        <x:v>432</x:v>
      </x:c>
      <x:c r="AF141" s="119" t="n">
        <x:f>IF(3&gt;D141,0,MAX(2,MIN('难度参数'!$E$12,ROUND(('难度参数'!$E$18*POWER(A141,'难度参数'!$E$19)/D141*(0.85+0.3*(3-1)/MAX(1,D141-1))),0)+F141)))</x:f>
        <x:v>25</x:v>
      </x:c>
      <x:c r="AG141" s="119" t="n">
        <x:f>IF(3&gt;D141,0,ROUND(('难度参数'!$E$13*POWER(A141,'难度参数'!$E$20)*MIN('难度参数'!$E$23,1+MAX(0,A141-'难度参数'!$E$21)*'难度参数'!$E$22))*(36+3*7)/(36+7*(D141+1)/2)*E141,0))</x:f>
        <x:v>4095</x:v>
      </x:c>
      <x:c r="AH141" s="119" t="n">
        <x:f>IF(AF141=0,0,(AF141-IF(3=D141,1,0))*ROUND(AG141*VLOOKUP(INDEX('章节与怪物'!$E$31:$K$37,B141,3),'章节与怪物'!$A$41:$F$44,2,FALSE),0)+IF(3=D141,ROUND(AG141*'难度参数'!$E$28*'章节与怪物'!$E$17,0),0))</x:f>
        <x:v>174050</x:v>
      </x:c>
      <x:c r="AI141" s="119" t="n">
        <x:f>IF(AF141=0,0,(AF141-IF(3=D141,1,0))*VLOOKUP(INDEX('章节与怪物'!$E$31:$K$37,B141,3),'章节与怪物'!$A$41:$F$44,4,FALSE)+IF(3=D141,'难度参数'!$E$30,0))</x:f>
        <x:v>700</x:v>
      </x:c>
      <x:c r="AJ141" s="119" t="n">
        <x:f>IF(4&gt;D141,0,MAX(2,MIN('难度参数'!$E$12,ROUND(('难度参数'!$E$18*POWER(A141,'难度参数'!$E$19)/D141*(0.85+0.3*(4-1)/MAX(1,D141-1))),0)+F141)))</x:f>
        <x:v>26</x:v>
      </x:c>
      <x:c r="AK141" s="119" t="n">
        <x:f>IF(4&gt;D141,0,ROUND(('难度参数'!$E$13*POWER(A141,'难度参数'!$E$20)*MIN('难度参数'!$E$23,1+MAX(0,A141-'难度参数'!$E$21)*'难度参数'!$E$22))*(36+4*7)/(36+7*(D141+1)/2)*E141,0))</x:f>
        <x:v>4598</x:v>
      </x:c>
      <x:c r="AL141" s="119" t="n">
        <x:f>IF(AJ141=0,0,(AJ141-IF(4=D141,1,0))*ROUND(AK141*VLOOKUP(INDEX('章节与怪物'!$E$31:$K$37,B141,4),'章节与怪物'!$A$41:$F$44,2,FALSE),0)+IF(4=D141,ROUND(AK141*'难度参数'!$E$28*'章节与怪物'!$E$17,0),0))</x:f>
        <x:v>161382</x:v>
      </x:c>
      <x:c r="AM141" s="119" t="n">
        <x:f>IF(AJ141=0,0,(AJ141-IF(4=D141,1,0))*VLOOKUP(INDEX('章节与怪物'!$E$31:$K$37,B141,4),'章节与怪物'!$A$41:$F$44,4,FALSE)+IF(4=D141,'难度参数'!$E$30,0))</x:f>
        <x:v>884</x:v>
      </x:c>
      <x:c r="AN141" s="119" t="n">
        <x:f>IF(5&gt;D141,0,MAX(2,MIN('难度参数'!$E$12,ROUND(('难度参数'!$E$18*POWER(A141,'难度参数'!$E$19)/D141*(0.85+0.3*(5-1)/MAX(1,D141-1))),0)+F141)))</x:f>
        <x:v>28</x:v>
      </x:c>
      <x:c r="AO141" s="119" t="n">
        <x:f>IF(5&gt;D141,0,ROUND(('难度参数'!$E$13*POWER(A141,'难度参数'!$E$20)*MIN('难度参数'!$E$23,1+MAX(0,A141-'难度参数'!$E$21)*'难度参数'!$E$22))*(36+5*7)/(36+7*(D141+1)/2)*E141,0))</x:f>
        <x:v>5101</x:v>
      </x:c>
      <x:c r="AP141" s="119" t="n">
        <x:f>IF(AN141=0,0,(AN141-IF(5=D141,1,0))*ROUND(AO141*VLOOKUP(INDEX('章节与怪物'!$E$31:$K$37,B141,5),'章节与怪物'!$A$41:$F$44,2,FALSE),0)+IF(5=D141,ROUND(AO141*'难度参数'!$E$28*'章节与怪物'!$E$17,0),0))</x:f>
        <x:v>142828</x:v>
      </x:c>
      <x:c r="AQ141" s="119" t="n">
        <x:f>IF(AN141=0,0,(AN141-IF(5=D141,1,0))*VLOOKUP(INDEX('章节与怪物'!$E$31:$K$37,B141,5),'章节与怪物'!$A$41:$F$44,4,FALSE)+IF(5=D141,'难度参数'!$E$30,0))</x:f>
        <x:v>504</x:v>
      </x:c>
      <x:c r="AR141" s="119" t="n">
        <x:f>IF(6&gt;D141,0,MAX(2,MIN('难度参数'!$E$12,ROUND(('难度参数'!$E$18*POWER(A141,'难度参数'!$E$19)/D141*(0.85+0.3*(6-1)/MAX(1,D141-1))),0)+F141)))</x:f>
        <x:v>29</x:v>
      </x:c>
      <x:c r="AS141" s="119" t="n">
        <x:f>IF(6&gt;D141,0,ROUND(('难度参数'!$E$13*POWER(A141,'难度参数'!$E$20)*MIN('难度参数'!$E$23,1+MAX(0,A141-'难度参数'!$E$21)*'难度参数'!$E$22))*(36+6*7)/(36+7*(D141+1)/2)*E141,0))</x:f>
        <x:v>5604</x:v>
      </x:c>
      <x:c r="AT141" s="119" t="n">
        <x:f>IF(AR141=0,0,(AR141-IF(6=D141,1,0))*ROUND(AS141*VLOOKUP(INDEX('章节与怪物'!$E$31:$K$37,B141,6),'章节与怪物'!$A$41:$F$44,2,FALSE),0)+IF(6=D141,ROUND(AS141*'难度参数'!$E$28*'章节与怪物'!$E$17,0),0))</x:f>
        <x:v>276283</x:v>
      </x:c>
      <x:c r="AU141" s="119" t="n">
        <x:f>IF(AR141=0,0,(AR141-IF(6=D141,1,0))*VLOOKUP(INDEX('章节与怪物'!$E$31:$K$37,B141,6),'章节与怪物'!$A$41:$F$44,4,FALSE)+IF(6=D141,'难度参数'!$E$30,0))</x:f>
        <x:v>812</x:v>
      </x:c>
      <x:c r="AV141" s="119" t="n">
        <x:f>IF(7&gt;D141,0,MAX(2,MIN('难度参数'!$E$12,ROUND(('难度参数'!$E$18*POWER(A141,'难度参数'!$E$19)/D141*(0.85+0.3*(7-1)/MAX(1,D141-1))),0)+F141)))</x:f>
        <x:v>30</x:v>
      </x:c>
      <x:c r="AW141" s="119" t="n">
        <x:f>IF(7&gt;D141,0,ROUND(('难度参数'!$E$13*POWER(A141,'难度参数'!$E$20)*MIN('难度参数'!$E$23,1+MAX(0,A141-'难度参数'!$E$21)*'难度参数'!$E$22))*(36+7*7)/(36+7*(D141+1)/2)*E141,0))</x:f>
        <x:v>6107</x:v>
      </x:c>
      <x:c r="AX141" s="119" t="n">
        <x:f>IF(AV141=0,0,(AV141-IF(7=D141,1,0))*ROUND(AW141*VLOOKUP(INDEX('章节与怪物'!$E$31:$K$37,B141,7),'章节与怪物'!$A$41:$F$44,2,FALSE),0)+IF(7=D141,ROUND(AW141*'难度参数'!$E$28*'章节与怪物'!$E$17,0),0))</x:f>
        <x:v>280604</x:v>
      </x:c>
      <x:c r="AY141" s="119" t="n">
        <x:f>IF(AV141=0,0,(AV141-IF(7=D141,1,0))*VLOOKUP(INDEX('章节与怪物'!$E$31:$K$37,B141,7),'章节与怪物'!$A$41:$F$44,4,FALSE)+IF(7=D141,'难度参数'!$E$30,0))</x:f>
        <x:v>1186</x:v>
      </x:c>
    </x:row>
    <x:row r="142" ht="23" customHeight="1">
      <x:c r="A142" s="119" t="n">
        <x:v>136</x:v>
      </x:c>
      <x:c r="B142" s="119" t="n">
        <x:f>MOD(INT((A142-1)/5),7)+1</x:f>
        <x:v>7</x:v>
      </x:c>
      <x:c r="C142" s="62" t="str">
        <x:f>INDEX('章节与怪物'!$B$31:$B$37,B142)</x:f>
        <x:v>魔法山脊</x:v>
      </x:c>
      <x:c r="D142" s="119" t="n">
        <x:f>MIN('难度参数'!$E$8,MAX('难度参数'!$E$7,A142))</x:f>
        <x:v>7</x:v>
      </x:c>
      <x:c r="E142" s="106" t="n">
        <x:v>1</x:v>
      </x:c>
      <x:c r="F142" s="106" t="n">
        <x:v>0</x:v>
      </x:c>
      <x:c r="G142" s="106" t="n">
        <x:v>1</x:v>
      </x:c>
      <x:c r="H142" s="119" t="n">
        <x:f>SUM(X142,AB142,AF142,AJ142,AN142,AR142,AV142)</x:f>
        <x:v>184</x:v>
      </x:c>
      <x:c r="I142" s="119" t="n">
        <x:f>SUM(Z142,AD142,AH142,AL142,AP142,AT142,AX142)</x:f>
        <x:v>1133695</x:v>
      </x:c>
      <x:c r="J142" s="119" t="n">
        <x:f>ROUND(INDEX(X142:AY142,1,(D142-1)*4+2)*'难度参数'!$E$28*'章节与怪物'!$E$17,0)</x:f>
        <x:v>41840</x:v>
      </x:c>
      <x:c r="K142" s="119" t="n">
        <x:f>SUM(AA142,AE142,AI142,AM142,AQ142,AU142,AY142)</x:f>
        <x:v>5018</x:v>
      </x:c>
      <x:c r="L142" s="62" t="n">
        <x:f>H142*(ROUNDUP('难度参数'!$E$24/('难度参数'!$E$26*'难度参数'!$E$27),0)*'难度参数'!$E$26)/60</x:f>
        <x:v>2.4533333333333336</x:v>
      </x:c>
      <x:c r="M142" s="62" t="n">
        <x:f>L142+D142*('难度参数'!$E$49+'难度参数'!$E$50)/60</x:f>
        <x:v>3.62</x:v>
      </x:c>
      <x:c r="N142" s="119" t="n">
        <x:f>ROUNDDOWN(('经济参数'!$E$20+A142*'经济参数'!$E$21)*G142,0)</x:f>
        <x:v>2900</x:v>
      </x:c>
      <x:c r="O142" s="119" t="n">
        <x:f>ROUNDDOWN(MIN('经济参数'!$E$24,'经济参数'!$E$22+A142*'经济参数'!$E$23)*G142,0)</x:f>
        <x:v>0</x:v>
      </x:c>
      <x:c r="P142" s="119" t="n">
        <x:f>ROUNDDOWN((IF(A142&gt;='材料与任务'!$E$31,'材料与任务'!$E$32,IF(A142&gt;='材料与任务'!$E$25,'材料与任务'!$E$26,IF(A142&gt;='材料与任务'!$E$19,'材料与任务'!$E$20,IF(A142&gt;='材料与任务'!$E$13,'材料与任务'!$E$14,'材料与任务'!$E$8)))))*G142,0)</x:f>
        <x:v>6</x:v>
      </x:c>
      <x:c r="Q142" s="119" t="n">
        <x:f>ROUNDDOWN((IF(A142&gt;='材料与任务'!$E$31,'材料与任务'!$E$33,IF(A142&gt;='材料与任务'!$E$25,'材料与任务'!$E$27,IF(A142&gt;='材料与任务'!$E$19,'材料与任务'!$E$21,IF(A142&gt;='材料与任务'!$E$13,'材料与任务'!$E$15,'材料与任务'!$E$9)))))*G142,0)</x:f>
        <x:v>3</x:v>
      </x:c>
      <x:c r="R142" s="110" t="n">
        <x:f>'装备掉落'!$B$38</x:f>
        <x:v>0.6872058758851213</x:v>
      </x:c>
      <x:c r="S142" s="119" t="n">
        <x:f>MAX(IF(VLOOKUP(A142,'装备掉落'!$A$29:$H$34,2,TRUE)&gt;0,1,0),IF(VLOOKUP(A142,'装备掉落'!$A$29:$H$34,3,TRUE)&gt;0,2,0),IF(VLOOKUP(A142,'装备掉落'!$A$29:$H$34,4,TRUE)&gt;0,3,0),IF(VLOOKUP(A142,'装备掉落'!$A$29:$H$34,5,TRUE)&gt;0,4,0),IF(VLOOKUP(A142,'装备掉落'!$A$29:$H$34,6,TRUE)&gt;0,5,0),IF(VLOOKUP(A142,'装备掉落'!$A$29:$H$34,7,TRUE)&gt;0,6,0),IF(VLOOKUP(A142,'装备掉落'!$A$29:$H$34,8,TRUE)&gt;0,7,0))</x:f>
        <x:v>7</x:v>
      </x:c>
      <x:c r="T142" s="119" t="n">
        <x:f>MIN(7,S142+'经济参数'!$E$70)</x:f>
        <x:v>7</x:v>
      </x:c>
      <x:c r="U142" s="119" t="n">
        <x:f>MIN(7,S142+'经济参数'!$E$71)</x:f>
        <x:v>7</x:v>
      </x:c>
      <x:c r="V142" s="119" t="n">
        <x:f>IF(H142&gt;=('难度参数'!$E$52),1,0)+IF(H142&gt;=('难度参数'!$E$52+'难度参数'!$E$53),1,0)+IF(H142&gt;=('难度参数'!$E$52+'难度参数'!$E$53+'难度参数'!$E$54),1,0)+IF(H142&gt;=('难度参数'!$E$52+'难度参数'!$E$53+'难度参数'!$E$54+'难度参数'!$E$55),1,0)+IF(H142&gt;=('难度参数'!$E$52+'难度参数'!$E$53+'难度参数'!$E$54+'难度参数'!$E$55+'难度参数'!$E$56),1,0)+IF(H142&gt;=('难度参数'!$E$52+'难度参数'!$E$53+'难度参数'!$E$54+'难度参数'!$E$55+'难度参数'!$E$56+'难度参数'!$E$57),1,0)</x:f>
        <x:v>6</x:v>
      </x:c>
      <x:c r="W142" s="62" t="str">
        <x:f>IF(L142&gt;'难度参数'!$E$51,"仅出怪已超目标","还需实测")</x:f>
        <x:v>还需实测</x:v>
      </x:c>
      <x:c r="X142" s="119" t="n">
        <x:f>IF(1&gt;D142,0,MAX(2,MIN('难度参数'!$E$12,ROUND(('难度参数'!$E$18*POWER(A142,'难度参数'!$E$19)/D142*(0.85+0.3*(1-1)/MAX(1,D142-1))),0)+F142)))</x:f>
        <x:v>22</x:v>
      </x:c>
      <x:c r="Y142" s="119" t="n">
        <x:f>IF(1&gt;D142,0,ROUND(('难度参数'!$E$13*POWER(A142,'难度参数'!$E$20)*MIN('难度参数'!$E$23,1+MAX(0,A142-'难度参数'!$E$21)*'难度参数'!$E$22))*(36+1*7)/(36+7*(D142+1)/2)*E142,0))</x:f>
        <x:v>3113</x:v>
      </x:c>
      <x:c r="Z142" s="119" t="n">
        <x:f>IF(X142=0,0,(X142-IF(1=D142,1,0))*ROUND(Y142*VLOOKUP(INDEX('章节与怪物'!$E$31:$K$37,B142,1),'章节与怪物'!$A$41:$F$44,2,FALSE),0)+IF(1=D142,ROUND(Y142*'难度参数'!$E$28*'章节与怪物'!$E$17,0),0))</x:f>
        <x:v>68486</x:v>
      </x:c>
      <x:c r="AA142" s="119" t="n">
        <x:f>IF(X142=0,0,(X142-IF(1=D142,1,0))*VLOOKUP(INDEX('章节与怪物'!$E$31:$K$37,B142,1),'章节与怪物'!$A$41:$F$44,4,FALSE)+IF(1=D142,'难度参数'!$E$30,0))</x:f>
        <x:v>396</x:v>
      </x:c>
      <x:c r="AB142" s="119" t="n">
        <x:f>IF(2&gt;D142,0,MAX(2,MIN('难度参数'!$E$12,ROUND(('难度参数'!$E$18*POWER(A142,'难度参数'!$E$19)/D142*(0.85+0.3*(2-1)/MAX(1,D142-1))),0)+F142)))</x:f>
        <x:v>24</x:v>
      </x:c>
      <x:c r="AC142" s="119" t="n">
        <x:f>IF(2&gt;D142,0,ROUND(('难度参数'!$E$13*POWER(A142,'难度参数'!$E$20)*MIN('难度参数'!$E$23,1+MAX(0,A142-'难度参数'!$E$21)*'难度参数'!$E$22))*(36+2*7)/(36+7*(D142+1)/2)*E142,0))</x:f>
        <x:v>3619</x:v>
      </x:c>
      <x:c r="AD142" s="119" t="n">
        <x:f>IF(AB142=0,0,(AB142-IF(2=D142,1,0))*ROUND(AC142*VLOOKUP(INDEX('章节与怪物'!$E$31:$K$37,B142,2),'章节与怪物'!$A$41:$F$44,2,FALSE),0)+IF(2=D142,ROUND(AC142*'难度参数'!$E$28*'章节与怪物'!$E$17,0),0))</x:f>
        <x:v>62544</x:v>
      </x:c>
      <x:c r="AE142" s="119" t="n">
        <x:f>IF(AB142=0,0,(AB142-IF(2=D142,1,0))*VLOOKUP(INDEX('章节与怪物'!$E$31:$K$37,B142,2),'章节与怪物'!$A$41:$F$44,4,FALSE)+IF(2=D142,'难度参数'!$E$30,0))</x:f>
        <x:v>480</x:v>
      </x:c>
      <x:c r="AF142" s="119" t="n">
        <x:f>IF(3&gt;D142,0,MAX(2,MIN('难度参数'!$E$12,ROUND(('难度参数'!$E$18*POWER(A142,'难度参数'!$E$19)/D142*(0.85+0.3*(3-1)/MAX(1,D142-1))),0)+F142)))</x:f>
        <x:v>25</x:v>
      </x:c>
      <x:c r="AG142" s="119" t="n">
        <x:f>IF(3&gt;D142,0,ROUND(('难度参数'!$E$13*POWER(A142,'难度参数'!$E$20)*MIN('难度参数'!$E$23,1+MAX(0,A142-'难度参数'!$E$21)*'难度参数'!$E$22))*(36+3*7)/(36+7*(D142+1)/2)*E142,0))</x:f>
        <x:v>4126</x:v>
      </x:c>
      <x:c r="AH142" s="119" t="n">
        <x:f>IF(AF142=0,0,(AF142-IF(3=D142,1,0))*ROUND(AG142*VLOOKUP(INDEX('章节与怪物'!$E$31:$K$37,B142,3),'章节与怪物'!$A$41:$F$44,2,FALSE),0)+IF(3=D142,ROUND(AG142*'难度参数'!$E$28*'章节与怪物'!$E$17,0),0))</x:f>
        <x:v>175350</x:v>
      </x:c>
      <x:c r="AI142" s="119" t="n">
        <x:f>IF(AF142=0,0,(AF142-IF(3=D142,1,0))*VLOOKUP(INDEX('章节与怪物'!$E$31:$K$37,B142,3),'章节与怪物'!$A$41:$F$44,4,FALSE)+IF(3=D142,'难度参数'!$E$30,0))</x:f>
        <x:v>700</x:v>
      </x:c>
      <x:c r="AJ142" s="119" t="n">
        <x:f>IF(4&gt;D142,0,MAX(2,MIN('难度参数'!$E$12,ROUND(('难度参数'!$E$18*POWER(A142,'难度参数'!$E$19)/D142*(0.85+0.3*(4-1)/MAX(1,D142-1))),0)+F142)))</x:f>
        <x:v>26</x:v>
      </x:c>
      <x:c r="AK142" s="119" t="n">
        <x:f>IF(4&gt;D142,0,ROUND(('难度参数'!$E$13*POWER(A142,'难度参数'!$E$20)*MIN('难度参数'!$E$23,1+MAX(0,A142-'难度参数'!$E$21)*'难度参数'!$E$22))*(36+4*7)/(36+7*(D142+1)/2)*E142,0))</x:f>
        <x:v>4633</x:v>
      </x:c>
      <x:c r="AL142" s="119" t="n">
        <x:f>IF(AJ142=0,0,(AJ142-IF(4=D142,1,0))*ROUND(AK142*VLOOKUP(INDEX('章节与怪物'!$E$31:$K$37,B142,4),'章节与怪物'!$A$41:$F$44,2,FALSE),0)+IF(4=D142,ROUND(AK142*'难度参数'!$E$28*'章节与怪物'!$E$17,0),0))</x:f>
        <x:v>162630</x:v>
      </x:c>
      <x:c r="AM142" s="119" t="n">
        <x:f>IF(AJ142=0,0,(AJ142-IF(4=D142,1,0))*VLOOKUP(INDEX('章节与怪物'!$E$31:$K$37,B142,4),'章节与怪物'!$A$41:$F$44,4,FALSE)+IF(4=D142,'难度参数'!$E$30,0))</x:f>
        <x:v>884</x:v>
      </x:c>
      <x:c r="AN142" s="119" t="n">
        <x:f>IF(5&gt;D142,0,MAX(2,MIN('难度参数'!$E$12,ROUND(('难度参数'!$E$18*POWER(A142,'难度参数'!$E$19)/D142*(0.85+0.3*(5-1)/MAX(1,D142-1))),0)+F142)))</x:f>
        <x:v>28</x:v>
      </x:c>
      <x:c r="AO142" s="119" t="n">
        <x:f>IF(5&gt;D142,0,ROUND(('难度参数'!$E$13*POWER(A142,'难度参数'!$E$20)*MIN('难度参数'!$E$23,1+MAX(0,A142-'难度参数'!$E$21)*'难度参数'!$E$22))*(36+5*7)/(36+7*(D142+1)/2)*E142,0))</x:f>
        <x:v>5139</x:v>
      </x:c>
      <x:c r="AP142" s="119" t="n">
        <x:f>IF(AN142=0,0,(AN142-IF(5=D142,1,0))*ROUND(AO142*VLOOKUP(INDEX('章节与怪物'!$E$31:$K$37,B142,5),'章节与怪物'!$A$41:$F$44,2,FALSE),0)+IF(5=D142,ROUND(AO142*'难度参数'!$E$28*'章节与怪物'!$E$17,0),0))</x:f>
        <x:v>103600</x:v>
      </x:c>
      <x:c r="AQ142" s="119" t="n">
        <x:f>IF(AN142=0,0,(AN142-IF(5=D142,1,0))*VLOOKUP(INDEX('章节与怪物'!$E$31:$K$37,B142,5),'章节与怪物'!$A$41:$F$44,4,FALSE)+IF(5=D142,'难度参数'!$E$30,0))</x:f>
        <x:v>560</x:v>
      </x:c>
      <x:c r="AR142" s="119" t="n">
        <x:f>IF(6&gt;D142,0,MAX(2,MIN('难度参数'!$E$12,ROUND(('难度参数'!$E$18*POWER(A142,'难度参数'!$E$19)/D142*(0.85+0.3*(6-1)/MAX(1,D142-1))),0)+F142)))</x:f>
        <x:v>29</x:v>
      </x:c>
      <x:c r="AS142" s="119" t="n">
        <x:f>IF(6&gt;D142,0,ROUND(('难度参数'!$E$13*POWER(A142,'难度参数'!$E$20)*MIN('难度参数'!$E$23,1+MAX(0,A142-'难度参数'!$E$21)*'难度参数'!$E$22))*(36+6*7)/(36+7*(D142+1)/2)*E142,0))</x:f>
        <x:v>5646</x:v>
      </x:c>
      <x:c r="AT142" s="119" t="n">
        <x:f>IF(AR142=0,0,(AR142-IF(6=D142,1,0))*ROUND(AS142*VLOOKUP(INDEX('章节与怪物'!$E$31:$K$37,B142,6),'章节与怪物'!$A$41:$F$44,2,FALSE),0)+IF(6=D142,ROUND(AS142*'难度参数'!$E$28*'章节与怪物'!$E$17,0),0))</x:f>
        <x:v>278342</x:v>
      </x:c>
      <x:c r="AU142" s="119" t="n">
        <x:f>IF(AR142=0,0,(AR142-IF(6=D142,1,0))*VLOOKUP(INDEX('章节与怪物'!$E$31:$K$37,B142,6),'章节与怪物'!$A$41:$F$44,4,FALSE)+IF(6=D142,'难度参数'!$E$30,0))</x:f>
        <x:v>812</x:v>
      </x:c>
      <x:c r="AV142" s="119" t="n">
        <x:f>IF(7&gt;D142,0,MAX(2,MIN('难度参数'!$E$12,ROUND(('难度参数'!$E$18*POWER(A142,'难度参数'!$E$19)/D142*(0.85+0.3*(7-1)/MAX(1,D142-1))),0)+F142)))</x:f>
        <x:v>30</x:v>
      </x:c>
      <x:c r="AW142" s="119" t="n">
        <x:f>IF(7&gt;D142,0,ROUND(('难度参数'!$E$13*POWER(A142,'难度参数'!$E$20)*MIN('难度参数'!$E$23,1+MAX(0,A142-'难度参数'!$E$21)*'难度参数'!$E$22))*(36+7*7)/(36+7*(D142+1)/2)*E142,0))</x:f>
        <x:v>6153</x:v>
      </x:c>
      <x:c r="AX142" s="119" t="n">
        <x:f>IF(AV142=0,0,(AV142-IF(7=D142,1,0))*ROUND(AW142*VLOOKUP(INDEX('章节与怪物'!$E$31:$K$37,B142,7),'章节与怪物'!$A$41:$F$44,2,FALSE),0)+IF(7=D142,ROUND(AW142*'难度参数'!$E$28*'章节与怪物'!$E$17,0),0))</x:f>
        <x:v>282743</x:v>
      </x:c>
      <x:c r="AY142" s="119" t="n">
        <x:f>IF(AV142=0,0,(AV142-IF(7=D142,1,0))*VLOOKUP(INDEX('章节与怪物'!$E$31:$K$37,B142,7),'章节与怪物'!$A$41:$F$44,4,FALSE)+IF(7=D142,'难度参数'!$E$30,0))</x:f>
        <x:v>1186</x:v>
      </x:c>
    </x:row>
    <x:row r="143" ht="23" customHeight="1">
      <x:c r="A143" s="119" t="n">
        <x:v>137</x:v>
      </x:c>
      <x:c r="B143" s="119" t="n">
        <x:f>MOD(INT((A143-1)/5),7)+1</x:f>
        <x:v>7</x:v>
      </x:c>
      <x:c r="C143" s="62" t="str">
        <x:f>INDEX('章节与怪物'!$B$31:$B$37,B143)</x:f>
        <x:v>魔法山脊</x:v>
      </x:c>
      <x:c r="D143" s="119" t="n">
        <x:f>MIN('难度参数'!$E$8,MAX('难度参数'!$E$7,A143))</x:f>
        <x:v>7</x:v>
      </x:c>
      <x:c r="E143" s="106" t="n">
        <x:v>1</x:v>
      </x:c>
      <x:c r="F143" s="106" t="n">
        <x:v>0</x:v>
      </x:c>
      <x:c r="G143" s="106" t="n">
        <x:v>1</x:v>
      </x:c>
      <x:c r="H143" s="119" t="n">
        <x:f>SUM(X143,AB143,AF143,AJ143,AN143,AR143,AV143)</x:f>
        <x:v>184</x:v>
      </x:c>
      <x:c r="I143" s="119" t="n">
        <x:f>SUM(Z143,AD143,AH143,AL143,AP143,AT143,AX143)</x:f>
        <x:v>1141350</x:v>
      </x:c>
      <x:c r="J143" s="119" t="n">
        <x:f>ROUND(INDEX(X143:AY143,1,(D143-1)*4+2)*'难度参数'!$E$28*'章节与怪物'!$E$17,0)</x:f>
        <x:v>42126</x:v>
      </x:c>
      <x:c r="K143" s="119" t="n">
        <x:f>SUM(AA143,AE143,AI143,AM143,AQ143,AU143,AY143)</x:f>
        <x:v>5018</x:v>
      </x:c>
      <x:c r="L143" s="62" t="n">
        <x:f>H143*(ROUNDUP('难度参数'!$E$24/('难度参数'!$E$26*'难度参数'!$E$27),0)*'难度参数'!$E$26)/60</x:f>
        <x:v>2.4533333333333336</x:v>
      </x:c>
      <x:c r="M143" s="62" t="n">
        <x:f>L143+D143*('难度参数'!$E$49+'难度参数'!$E$50)/60</x:f>
        <x:v>3.62</x:v>
      </x:c>
      <x:c r="N143" s="119" t="n">
        <x:f>ROUNDDOWN(('经济参数'!$E$20+A143*'经济参数'!$E$21)*G143,0)</x:f>
        <x:v>2920</x:v>
      </x:c>
      <x:c r="O143" s="119" t="n">
        <x:f>ROUNDDOWN(MIN('经济参数'!$E$24,'经济参数'!$E$22+A143*'经济参数'!$E$23)*G143,0)</x:f>
        <x:v>0</x:v>
      </x:c>
      <x:c r="P143" s="119" t="n">
        <x:f>ROUNDDOWN((IF(A143&gt;='材料与任务'!$E$31,'材料与任务'!$E$32,IF(A143&gt;='材料与任务'!$E$25,'材料与任务'!$E$26,IF(A143&gt;='材料与任务'!$E$19,'材料与任务'!$E$20,IF(A143&gt;='材料与任务'!$E$13,'材料与任务'!$E$14,'材料与任务'!$E$8)))))*G143,0)</x:f>
        <x:v>6</x:v>
      </x:c>
      <x:c r="Q143" s="119" t="n">
        <x:f>ROUNDDOWN((IF(A143&gt;='材料与任务'!$E$31,'材料与任务'!$E$33,IF(A143&gt;='材料与任务'!$E$25,'材料与任务'!$E$27,IF(A143&gt;='材料与任务'!$E$19,'材料与任务'!$E$21,IF(A143&gt;='材料与任务'!$E$13,'材料与任务'!$E$15,'材料与任务'!$E$9)))))*G143,0)</x:f>
        <x:v>3</x:v>
      </x:c>
      <x:c r="R143" s="110" t="n">
        <x:f>'装备掉落'!$B$38</x:f>
        <x:v>0.6872058758851213</x:v>
      </x:c>
      <x:c r="S143" s="119" t="n">
        <x:f>MAX(IF(VLOOKUP(A143,'装备掉落'!$A$29:$H$34,2,TRUE)&gt;0,1,0),IF(VLOOKUP(A143,'装备掉落'!$A$29:$H$34,3,TRUE)&gt;0,2,0),IF(VLOOKUP(A143,'装备掉落'!$A$29:$H$34,4,TRUE)&gt;0,3,0),IF(VLOOKUP(A143,'装备掉落'!$A$29:$H$34,5,TRUE)&gt;0,4,0),IF(VLOOKUP(A143,'装备掉落'!$A$29:$H$34,6,TRUE)&gt;0,5,0),IF(VLOOKUP(A143,'装备掉落'!$A$29:$H$34,7,TRUE)&gt;0,6,0),IF(VLOOKUP(A143,'装备掉落'!$A$29:$H$34,8,TRUE)&gt;0,7,0))</x:f>
        <x:v>7</x:v>
      </x:c>
      <x:c r="T143" s="119" t="n">
        <x:f>MIN(7,S143+'经济参数'!$E$70)</x:f>
        <x:v>7</x:v>
      </x:c>
      <x:c r="U143" s="119" t="n">
        <x:f>MIN(7,S143+'经济参数'!$E$71)</x:f>
        <x:v>7</x:v>
      </x:c>
      <x:c r="V143" s="119" t="n">
        <x:f>IF(H143&gt;=('难度参数'!$E$52),1,0)+IF(H143&gt;=('难度参数'!$E$52+'难度参数'!$E$53),1,0)+IF(H143&gt;=('难度参数'!$E$52+'难度参数'!$E$53+'难度参数'!$E$54),1,0)+IF(H143&gt;=('难度参数'!$E$52+'难度参数'!$E$53+'难度参数'!$E$54+'难度参数'!$E$55),1,0)+IF(H143&gt;=('难度参数'!$E$52+'难度参数'!$E$53+'难度参数'!$E$54+'难度参数'!$E$55+'难度参数'!$E$56),1,0)+IF(H143&gt;=('难度参数'!$E$52+'难度参数'!$E$53+'难度参数'!$E$54+'难度参数'!$E$55+'难度参数'!$E$56+'难度参数'!$E$57),1,0)</x:f>
        <x:v>6</x:v>
      </x:c>
      <x:c r="W143" s="62" t="str">
        <x:f>IF(L143&gt;'难度参数'!$E$51,"仅出怪已超目标","还需实测")</x:f>
        <x:v>还需实测</x:v>
      </x:c>
      <x:c r="X143" s="119" t="n">
        <x:f>IF(1&gt;D143,0,MAX(2,MIN('难度参数'!$E$12,ROUND(('难度参数'!$E$18*POWER(A143,'难度参数'!$E$19)/D143*(0.85+0.3*(1-1)/MAX(1,D143-1))),0)+F143)))</x:f>
        <x:v>22</x:v>
      </x:c>
      <x:c r="Y143" s="119" t="n">
        <x:f>IF(1&gt;D143,0,ROUND(('难度参数'!$E$13*POWER(A143,'难度参数'!$E$20)*MIN('难度参数'!$E$23,1+MAX(0,A143-'难度参数'!$E$21)*'难度参数'!$E$22))*(36+1*7)/(36+7*(D143+1)/2)*E143,0))</x:f>
        <x:v>3134</x:v>
      </x:c>
      <x:c r="Z143" s="119" t="n">
        <x:f>IF(X143=0,0,(X143-IF(1=D143,1,0))*ROUND(Y143*VLOOKUP(INDEX('章节与怪物'!$E$31:$K$37,B143,1),'章节与怪物'!$A$41:$F$44,2,FALSE),0)+IF(1=D143,ROUND(Y143*'难度参数'!$E$28*'章节与怪物'!$E$17,0),0))</x:f>
        <x:v>68948</x:v>
      </x:c>
      <x:c r="AA143" s="119" t="n">
        <x:f>IF(X143=0,0,(X143-IF(1=D143,1,0))*VLOOKUP(INDEX('章节与怪物'!$E$31:$K$37,B143,1),'章节与怪物'!$A$41:$F$44,4,FALSE)+IF(1=D143,'难度参数'!$E$30,0))</x:f>
        <x:v>396</x:v>
      </x:c>
      <x:c r="AB143" s="119" t="n">
        <x:f>IF(2&gt;D143,0,MAX(2,MIN('难度参数'!$E$12,ROUND(('难度参数'!$E$18*POWER(A143,'难度参数'!$E$19)/D143*(0.85+0.3*(2-1)/MAX(1,D143-1))),0)+F143)))</x:f>
        <x:v>24</x:v>
      </x:c>
      <x:c r="AC143" s="119" t="n">
        <x:f>IF(2&gt;D143,0,ROUND(('难度参数'!$E$13*POWER(A143,'难度参数'!$E$20)*MIN('难度参数'!$E$23,1+MAX(0,A143-'难度参数'!$E$21)*'难度参数'!$E$22))*(36+2*7)/(36+7*(D143+1)/2)*E143,0))</x:f>
        <x:v>3644</x:v>
      </x:c>
      <x:c r="AD143" s="119" t="n">
        <x:f>IF(AB143=0,0,(AB143-IF(2=D143,1,0))*ROUND(AC143*VLOOKUP(INDEX('章节与怪物'!$E$31:$K$37,B143,2),'章节与怪物'!$A$41:$F$44,2,FALSE),0)+IF(2=D143,ROUND(AC143*'难度参数'!$E$28*'章节与怪物'!$E$17,0),0))</x:f>
        <x:v>62976</x:v>
      </x:c>
      <x:c r="AE143" s="119" t="n">
        <x:f>IF(AB143=0,0,(AB143-IF(2=D143,1,0))*VLOOKUP(INDEX('章节与怪物'!$E$31:$K$37,B143,2),'章节与怪物'!$A$41:$F$44,4,FALSE)+IF(2=D143,'难度参数'!$E$30,0))</x:f>
        <x:v>480</x:v>
      </x:c>
      <x:c r="AF143" s="119" t="n">
        <x:f>IF(3&gt;D143,0,MAX(2,MIN('难度参数'!$E$12,ROUND(('难度参数'!$E$18*POWER(A143,'难度参数'!$E$19)/D143*(0.85+0.3*(3-1)/MAX(1,D143-1))),0)+F143)))</x:f>
        <x:v>25</x:v>
      </x:c>
      <x:c r="AG143" s="119" t="n">
        <x:f>IF(3&gt;D143,0,ROUND(('难度参数'!$E$13*POWER(A143,'难度参数'!$E$20)*MIN('难度参数'!$E$23,1+MAX(0,A143-'难度参数'!$E$21)*'难度参数'!$E$22))*(36+3*7)/(36+7*(D143+1)/2)*E143,0))</x:f>
        <x:v>4154</x:v>
      </x:c>
      <x:c r="AH143" s="119" t="n">
        <x:f>IF(AF143=0,0,(AF143-IF(3=D143,1,0))*ROUND(AG143*VLOOKUP(INDEX('章节与怪物'!$E$31:$K$37,B143,3),'章节与怪物'!$A$41:$F$44,2,FALSE),0)+IF(3=D143,ROUND(AG143*'难度参数'!$E$28*'章节与怪物'!$E$17,0),0))</x:f>
        <x:v>176550</x:v>
      </x:c>
      <x:c r="AI143" s="119" t="n">
        <x:f>IF(AF143=0,0,(AF143-IF(3=D143,1,0))*VLOOKUP(INDEX('章节与怪物'!$E$31:$K$37,B143,3),'章节与怪物'!$A$41:$F$44,4,FALSE)+IF(3=D143,'难度参数'!$E$30,0))</x:f>
        <x:v>700</x:v>
      </x:c>
      <x:c r="AJ143" s="119" t="n">
        <x:f>IF(4&gt;D143,0,MAX(2,MIN('难度参数'!$E$12,ROUND(('难度参数'!$E$18*POWER(A143,'难度参数'!$E$19)/D143*(0.85+0.3*(4-1)/MAX(1,D143-1))),0)+F143)))</x:f>
        <x:v>26</x:v>
      </x:c>
      <x:c r="AK143" s="119" t="n">
        <x:f>IF(4&gt;D143,0,ROUND(('难度参数'!$E$13*POWER(A143,'难度参数'!$E$20)*MIN('难度参数'!$E$23,1+MAX(0,A143-'难度参数'!$E$21)*'难度参数'!$E$22))*(36+4*7)/(36+7*(D143+1)/2)*E143,0))</x:f>
        <x:v>4664</x:v>
      </x:c>
      <x:c r="AL143" s="119" t="n">
        <x:f>IF(AJ143=0,0,(AJ143-IF(4=D143,1,0))*ROUND(AK143*VLOOKUP(INDEX('章节与怪物'!$E$31:$K$37,B143,4),'章节与怪物'!$A$41:$F$44,2,FALSE),0)+IF(4=D143,ROUND(AK143*'难度参数'!$E$28*'章节与怪物'!$E$17,0),0))</x:f>
        <x:v>163696</x:v>
      </x:c>
      <x:c r="AM143" s="119" t="n">
        <x:f>IF(AJ143=0,0,(AJ143-IF(4=D143,1,0))*VLOOKUP(INDEX('章节与怪物'!$E$31:$K$37,B143,4),'章节与怪物'!$A$41:$F$44,4,FALSE)+IF(4=D143,'难度参数'!$E$30,0))</x:f>
        <x:v>884</x:v>
      </x:c>
      <x:c r="AN143" s="119" t="n">
        <x:f>IF(5&gt;D143,0,MAX(2,MIN('难度参数'!$E$12,ROUND(('难度参数'!$E$18*POWER(A143,'难度参数'!$E$19)/D143*(0.85+0.3*(5-1)/MAX(1,D143-1))),0)+F143)))</x:f>
        <x:v>28</x:v>
      </x:c>
      <x:c r="AO143" s="119" t="n">
        <x:f>IF(5&gt;D143,0,ROUND(('难度参数'!$E$13*POWER(A143,'难度参数'!$E$20)*MIN('难度参数'!$E$23,1+MAX(0,A143-'难度参数'!$E$21)*'难度参数'!$E$22))*(36+5*7)/(36+7*(D143+1)/2)*E143,0))</x:f>
        <x:v>5174</x:v>
      </x:c>
      <x:c r="AP143" s="119" t="n">
        <x:f>IF(AN143=0,0,(AN143-IF(5=D143,1,0))*ROUND(AO143*VLOOKUP(INDEX('章节与怪物'!$E$31:$K$37,B143,5),'章节与怪物'!$A$41:$F$44,2,FALSE),0)+IF(5=D143,ROUND(AO143*'难度参数'!$E$28*'章节与怪物'!$E$17,0),0))</x:f>
        <x:v>104300</x:v>
      </x:c>
      <x:c r="AQ143" s="119" t="n">
        <x:f>IF(AN143=0,0,(AN143-IF(5=D143,1,0))*VLOOKUP(INDEX('章节与怪物'!$E$31:$K$37,B143,5),'章节与怪物'!$A$41:$F$44,4,FALSE)+IF(5=D143,'难度参数'!$E$30,0))</x:f>
        <x:v>560</x:v>
      </x:c>
      <x:c r="AR143" s="119" t="n">
        <x:f>IF(6&gt;D143,0,MAX(2,MIN('难度参数'!$E$12,ROUND(('难度参数'!$E$18*POWER(A143,'难度参数'!$E$19)/D143*(0.85+0.3*(6-1)/MAX(1,D143-1))),0)+F143)))</x:f>
        <x:v>29</x:v>
      </x:c>
      <x:c r="AS143" s="119" t="n">
        <x:f>IF(6&gt;D143,0,ROUND(('难度参数'!$E$13*POWER(A143,'难度参数'!$E$20)*MIN('难度参数'!$E$23,1+MAX(0,A143-'难度参数'!$E$21)*'难度参数'!$E$22))*(36+6*7)/(36+7*(D143+1)/2)*E143,0))</x:f>
        <x:v>5684</x:v>
      </x:c>
      <x:c r="AT143" s="119" t="n">
        <x:f>IF(AR143=0,0,(AR143-IF(6=D143,1,0))*ROUND(AS143*VLOOKUP(INDEX('章节与怪物'!$E$31:$K$37,B143,6),'章节与怪物'!$A$41:$F$44,2,FALSE),0)+IF(6=D143,ROUND(AS143*'难度参数'!$E$28*'章节与怪物'!$E$17,0),0))</x:f>
        <x:v>280227</x:v>
      </x:c>
      <x:c r="AU143" s="119" t="n">
        <x:f>IF(AR143=0,0,(AR143-IF(6=D143,1,0))*VLOOKUP(INDEX('章节与怪物'!$E$31:$K$37,B143,6),'章节与怪物'!$A$41:$F$44,4,FALSE)+IF(6=D143,'难度参数'!$E$30,0))</x:f>
        <x:v>812</x:v>
      </x:c>
      <x:c r="AV143" s="119" t="n">
        <x:f>IF(7&gt;D143,0,MAX(2,MIN('难度参数'!$E$12,ROUND(('难度参数'!$E$18*POWER(A143,'难度参数'!$E$19)/D143*(0.85+0.3*(7-1)/MAX(1,D143-1))),0)+F143)))</x:f>
        <x:v>30</x:v>
      </x:c>
      <x:c r="AW143" s="119" t="n">
        <x:f>IF(7&gt;D143,0,ROUND(('难度参数'!$E$13*POWER(A143,'难度参数'!$E$20)*MIN('难度参数'!$E$23,1+MAX(0,A143-'难度参数'!$E$21)*'难度参数'!$E$22))*(36+7*7)/(36+7*(D143+1)/2)*E143,0))</x:f>
        <x:v>6195</x:v>
      </x:c>
      <x:c r="AX143" s="119" t="n">
        <x:f>IF(AV143=0,0,(AV143-IF(7=D143,1,0))*ROUND(AW143*VLOOKUP(INDEX('章节与怪物'!$E$31:$K$37,B143,7),'章节与怪物'!$A$41:$F$44,2,FALSE),0)+IF(7=D143,ROUND(AW143*'难度参数'!$E$28*'章节与怪物'!$E$17,0),0))</x:f>
        <x:v>284653</x:v>
      </x:c>
      <x:c r="AY143" s="119" t="n">
        <x:f>IF(AV143=0,0,(AV143-IF(7=D143,1,0))*VLOOKUP(INDEX('章节与怪物'!$E$31:$K$37,B143,7),'章节与怪物'!$A$41:$F$44,4,FALSE)+IF(7=D143,'难度参数'!$E$30,0))</x:f>
        <x:v>1186</x:v>
      </x:c>
    </x:row>
    <x:row r="144" ht="23" customHeight="1">
      <x:c r="A144" s="119" t="n">
        <x:v>138</x:v>
      </x:c>
      <x:c r="B144" s="119" t="n">
        <x:f>MOD(INT((A144-1)/5),7)+1</x:f>
        <x:v>7</x:v>
      </x:c>
      <x:c r="C144" s="62" t="str">
        <x:f>INDEX('章节与怪物'!$B$31:$B$37,B144)</x:f>
        <x:v>魔法山脊</x:v>
      </x:c>
      <x:c r="D144" s="119" t="n">
        <x:f>MIN('难度参数'!$E$8,MAX('难度参数'!$E$7,A144))</x:f>
        <x:v>7</x:v>
      </x:c>
      <x:c r="E144" s="106" t="n">
        <x:v>1</x:v>
      </x:c>
      <x:c r="F144" s="106" t="n">
        <x:v>0</x:v>
      </x:c>
      <x:c r="G144" s="106" t="n">
        <x:v>1</x:v>
      </x:c>
      <x:c r="H144" s="119" t="n">
        <x:f>SUM(X144,AB144,AF144,AJ144,AN144,AR144,AV144)</x:f>
        <x:v>184</x:v>
      </x:c>
      <x:c r="I144" s="119" t="n">
        <x:f>SUM(Z144,AD144,AH144,AL144,AP144,AT144,AX144)</x:f>
        <x:v>1147327</x:v>
      </x:c>
      <x:c r="J144" s="119" t="n">
        <x:f>ROUND(INDEX(X144:AY144,1,(D144-1)*4+2)*'难度参数'!$E$28*'章节与怪物'!$E$17,0)</x:f>
        <x:v>42344</x:v>
      </x:c>
      <x:c r="K144" s="119" t="n">
        <x:f>SUM(AA144,AE144,AI144,AM144,AQ144,AU144,AY144)</x:f>
        <x:v>5018</x:v>
      </x:c>
      <x:c r="L144" s="62" t="n">
        <x:f>H144*(ROUNDUP('难度参数'!$E$24/('难度参数'!$E$26*'难度参数'!$E$27),0)*'难度参数'!$E$26)/60</x:f>
        <x:v>2.4533333333333336</x:v>
      </x:c>
      <x:c r="M144" s="62" t="n">
        <x:f>L144+D144*('难度参数'!$E$49+'难度参数'!$E$50)/60</x:f>
        <x:v>3.62</x:v>
      </x:c>
      <x:c r="N144" s="119" t="n">
        <x:f>ROUNDDOWN(('经济参数'!$E$20+A144*'经济参数'!$E$21)*G144,0)</x:f>
        <x:v>2940</x:v>
      </x:c>
      <x:c r="O144" s="119" t="n">
        <x:f>ROUNDDOWN(MIN('经济参数'!$E$24,'经济参数'!$E$22+A144*'经济参数'!$E$23)*G144,0)</x:f>
        <x:v>0</x:v>
      </x:c>
      <x:c r="P144" s="119" t="n">
        <x:f>ROUNDDOWN((IF(A144&gt;='材料与任务'!$E$31,'材料与任务'!$E$32,IF(A144&gt;='材料与任务'!$E$25,'材料与任务'!$E$26,IF(A144&gt;='材料与任务'!$E$19,'材料与任务'!$E$20,IF(A144&gt;='材料与任务'!$E$13,'材料与任务'!$E$14,'材料与任务'!$E$8)))))*G144,0)</x:f>
        <x:v>6</x:v>
      </x:c>
      <x:c r="Q144" s="119" t="n">
        <x:f>ROUNDDOWN((IF(A144&gt;='材料与任务'!$E$31,'材料与任务'!$E$33,IF(A144&gt;='材料与任务'!$E$25,'材料与任务'!$E$27,IF(A144&gt;='材料与任务'!$E$19,'材料与任务'!$E$21,IF(A144&gt;='材料与任务'!$E$13,'材料与任务'!$E$15,'材料与任务'!$E$9)))))*G144,0)</x:f>
        <x:v>3</x:v>
      </x:c>
      <x:c r="R144" s="110" t="n">
        <x:f>'装备掉落'!$B$38</x:f>
        <x:v>0.6872058758851213</x:v>
      </x:c>
      <x:c r="S144" s="119" t="n">
        <x:f>MAX(IF(VLOOKUP(A144,'装备掉落'!$A$29:$H$34,2,TRUE)&gt;0,1,0),IF(VLOOKUP(A144,'装备掉落'!$A$29:$H$34,3,TRUE)&gt;0,2,0),IF(VLOOKUP(A144,'装备掉落'!$A$29:$H$34,4,TRUE)&gt;0,3,0),IF(VLOOKUP(A144,'装备掉落'!$A$29:$H$34,5,TRUE)&gt;0,4,0),IF(VLOOKUP(A144,'装备掉落'!$A$29:$H$34,6,TRUE)&gt;0,5,0),IF(VLOOKUP(A144,'装备掉落'!$A$29:$H$34,7,TRUE)&gt;0,6,0),IF(VLOOKUP(A144,'装备掉落'!$A$29:$H$34,8,TRUE)&gt;0,7,0))</x:f>
        <x:v>7</x:v>
      </x:c>
      <x:c r="T144" s="119" t="n">
        <x:f>MIN(7,S144+'经济参数'!$E$70)</x:f>
        <x:v>7</x:v>
      </x:c>
      <x:c r="U144" s="119" t="n">
        <x:f>MIN(7,S144+'经济参数'!$E$71)</x:f>
        <x:v>7</x:v>
      </x:c>
      <x:c r="V144" s="119" t="n">
        <x:f>IF(H144&gt;=('难度参数'!$E$52),1,0)+IF(H144&gt;=('难度参数'!$E$52+'难度参数'!$E$53),1,0)+IF(H144&gt;=('难度参数'!$E$52+'难度参数'!$E$53+'难度参数'!$E$54),1,0)+IF(H144&gt;=('难度参数'!$E$52+'难度参数'!$E$53+'难度参数'!$E$54+'难度参数'!$E$55),1,0)+IF(H144&gt;=('难度参数'!$E$52+'难度参数'!$E$53+'难度参数'!$E$54+'难度参数'!$E$55+'难度参数'!$E$56),1,0)+IF(H144&gt;=('难度参数'!$E$52+'难度参数'!$E$53+'难度参数'!$E$54+'难度参数'!$E$55+'难度参数'!$E$56+'难度参数'!$E$57),1,0)</x:f>
        <x:v>6</x:v>
      </x:c>
      <x:c r="W144" s="62" t="str">
        <x:f>IF(L144&gt;'难度参数'!$E$51,"仅出怪已超目标","还需实测")</x:f>
        <x:v>还需实测</x:v>
      </x:c>
      <x:c r="X144" s="119" t="n">
        <x:f>IF(1&gt;D144,0,MAX(2,MIN('难度参数'!$E$12,ROUND(('难度参数'!$E$18*POWER(A144,'难度参数'!$E$19)/D144*(0.85+0.3*(1-1)/MAX(1,D144-1))),0)+F144)))</x:f>
        <x:v>22</x:v>
      </x:c>
      <x:c r="Y144" s="119" t="n">
        <x:f>IF(1&gt;D144,0,ROUND(('难度参数'!$E$13*POWER(A144,'难度参数'!$E$20)*MIN('难度参数'!$E$23,1+MAX(0,A144-'难度参数'!$E$21)*'难度参数'!$E$22))*(36+1*7)/(36+7*(D144+1)/2)*E144,0))</x:f>
        <x:v>3150</x:v>
      </x:c>
      <x:c r="Z144" s="119" t="n">
        <x:f>IF(X144=0,0,(X144-IF(1=D144,1,0))*ROUND(Y144*VLOOKUP(INDEX('章节与怪物'!$E$31:$K$37,B144,1),'章节与怪物'!$A$41:$F$44,2,FALSE),0)+IF(1=D144,ROUND(Y144*'难度参数'!$E$28*'章节与怪物'!$E$17,0),0))</x:f>
        <x:v>69300</x:v>
      </x:c>
      <x:c r="AA144" s="119" t="n">
        <x:f>IF(X144=0,0,(X144-IF(1=D144,1,0))*VLOOKUP(INDEX('章节与怪物'!$E$31:$K$37,B144,1),'章节与怪物'!$A$41:$F$44,4,FALSE)+IF(1=D144,'难度参数'!$E$30,0))</x:f>
        <x:v>396</x:v>
      </x:c>
      <x:c r="AB144" s="119" t="n">
        <x:f>IF(2&gt;D144,0,MAX(2,MIN('难度参数'!$E$12,ROUND(('难度参数'!$E$18*POWER(A144,'难度参数'!$E$19)/D144*(0.85+0.3*(2-1)/MAX(1,D144-1))),0)+F144)))</x:f>
        <x:v>24</x:v>
      </x:c>
      <x:c r="AC144" s="119" t="n">
        <x:f>IF(2&gt;D144,0,ROUND(('难度参数'!$E$13*POWER(A144,'难度参数'!$E$20)*MIN('难度参数'!$E$23,1+MAX(0,A144-'难度参数'!$E$21)*'难度参数'!$E$22))*(36+2*7)/(36+7*(D144+1)/2)*E144,0))</x:f>
        <x:v>3663</x:v>
      </x:c>
      <x:c r="AD144" s="119" t="n">
        <x:f>IF(AB144=0,0,(AB144-IF(2=D144,1,0))*ROUND(AC144*VLOOKUP(INDEX('章节与怪物'!$E$31:$K$37,B144,2),'章节与怪物'!$A$41:$F$44,2,FALSE),0)+IF(2=D144,ROUND(AC144*'难度参数'!$E$28*'章节与怪物'!$E$17,0),0))</x:f>
        <x:v>63288</x:v>
      </x:c>
      <x:c r="AE144" s="119" t="n">
        <x:f>IF(AB144=0,0,(AB144-IF(2=D144,1,0))*VLOOKUP(INDEX('章节与怪物'!$E$31:$K$37,B144,2),'章节与怪物'!$A$41:$F$44,4,FALSE)+IF(2=D144,'难度参数'!$E$30,0))</x:f>
        <x:v>480</x:v>
      </x:c>
      <x:c r="AF144" s="119" t="n">
        <x:f>IF(3&gt;D144,0,MAX(2,MIN('难度参数'!$E$12,ROUND(('难度参数'!$E$18*POWER(A144,'难度参数'!$E$19)/D144*(0.85+0.3*(3-1)/MAX(1,D144-1))),0)+F144)))</x:f>
        <x:v>25</x:v>
      </x:c>
      <x:c r="AG144" s="119" t="n">
        <x:f>IF(3&gt;D144,0,ROUND(('难度参数'!$E$13*POWER(A144,'难度参数'!$E$20)*MIN('难度参数'!$E$23,1+MAX(0,A144-'难度参数'!$E$21)*'难度参数'!$E$22))*(36+3*7)/(36+7*(D144+1)/2)*E144,0))</x:f>
        <x:v>4176</x:v>
      </x:c>
      <x:c r="AH144" s="119" t="n">
        <x:f>IF(AF144=0,0,(AF144-IF(3=D144,1,0))*ROUND(AG144*VLOOKUP(INDEX('章节与怪物'!$E$31:$K$37,B144,3),'章节与怪物'!$A$41:$F$44,2,FALSE),0)+IF(3=D144,ROUND(AG144*'难度参数'!$E$28*'章节与怪物'!$E$17,0),0))</x:f>
        <x:v>177475</x:v>
      </x:c>
      <x:c r="AI144" s="119" t="n">
        <x:f>IF(AF144=0,0,(AF144-IF(3=D144,1,0))*VLOOKUP(INDEX('章节与怪物'!$E$31:$K$37,B144,3),'章节与怪物'!$A$41:$F$44,4,FALSE)+IF(3=D144,'难度参数'!$E$30,0))</x:f>
        <x:v>700</x:v>
      </x:c>
      <x:c r="AJ144" s="119" t="n">
        <x:f>IF(4&gt;D144,0,MAX(2,MIN('难度参数'!$E$12,ROUND(('难度参数'!$E$18*POWER(A144,'难度参数'!$E$19)/D144*(0.85+0.3*(4-1)/MAX(1,D144-1))),0)+F144)))</x:f>
        <x:v>26</x:v>
      </x:c>
      <x:c r="AK144" s="119" t="n">
        <x:f>IF(4&gt;D144,0,ROUND(('难度参数'!$E$13*POWER(A144,'难度参数'!$E$20)*MIN('难度参数'!$E$23,1+MAX(0,A144-'难度参数'!$E$21)*'难度参数'!$E$22))*(36+4*7)/(36+7*(D144+1)/2)*E144,0))</x:f>
        <x:v>4689</x:v>
      </x:c>
      <x:c r="AL144" s="119" t="n">
        <x:f>IF(AJ144=0,0,(AJ144-IF(4=D144,1,0))*ROUND(AK144*VLOOKUP(INDEX('章节与怪物'!$E$31:$K$37,B144,4),'章节与怪物'!$A$41:$F$44,2,FALSE),0)+IF(4=D144,ROUND(AK144*'难度参数'!$E$28*'章节与怪物'!$E$17,0),0))</x:f>
        <x:v>164580</x:v>
      </x:c>
      <x:c r="AM144" s="119" t="n">
        <x:f>IF(AJ144=0,0,(AJ144-IF(4=D144,1,0))*VLOOKUP(INDEX('章节与怪物'!$E$31:$K$37,B144,4),'章节与怪物'!$A$41:$F$44,4,FALSE)+IF(4=D144,'难度参数'!$E$30,0))</x:f>
        <x:v>884</x:v>
      </x:c>
      <x:c r="AN144" s="119" t="n">
        <x:f>IF(5&gt;D144,0,MAX(2,MIN('难度参数'!$E$12,ROUND(('难度参数'!$E$18*POWER(A144,'难度参数'!$E$19)/D144*(0.85+0.3*(5-1)/MAX(1,D144-1))),0)+F144)))</x:f>
        <x:v>28</x:v>
      </x:c>
      <x:c r="AO144" s="119" t="n">
        <x:f>IF(5&gt;D144,0,ROUND(('难度参数'!$E$13*POWER(A144,'难度参数'!$E$20)*MIN('难度参数'!$E$23,1+MAX(0,A144-'难度参数'!$E$21)*'难度参数'!$E$22))*(36+5*7)/(36+7*(D144+1)/2)*E144,0))</x:f>
        <x:v>5201</x:v>
      </x:c>
      <x:c r="AP144" s="119" t="n">
        <x:f>IF(AN144=0,0,(AN144-IF(5=D144,1,0))*ROUND(AO144*VLOOKUP(INDEX('章节与怪物'!$E$31:$K$37,B144,5),'章节与怪物'!$A$41:$F$44,2,FALSE),0)+IF(5=D144,ROUND(AO144*'难度参数'!$E$28*'章节与怪物'!$E$17,0),0))</x:f>
        <x:v>104860</x:v>
      </x:c>
      <x:c r="AQ144" s="119" t="n">
        <x:f>IF(AN144=0,0,(AN144-IF(5=D144,1,0))*VLOOKUP(INDEX('章节与怪物'!$E$31:$K$37,B144,5),'章节与怪物'!$A$41:$F$44,4,FALSE)+IF(5=D144,'难度参数'!$E$30,0))</x:f>
        <x:v>560</x:v>
      </x:c>
      <x:c r="AR144" s="119" t="n">
        <x:f>IF(6&gt;D144,0,MAX(2,MIN('难度参数'!$E$12,ROUND(('难度参数'!$E$18*POWER(A144,'难度参数'!$E$19)/D144*(0.85+0.3*(6-1)/MAX(1,D144-1))),0)+F144)))</x:f>
        <x:v>29</x:v>
      </x:c>
      <x:c r="AS144" s="119" t="n">
        <x:f>IF(6&gt;D144,0,ROUND(('难度参数'!$E$13*POWER(A144,'难度参数'!$E$20)*MIN('难度参数'!$E$23,1+MAX(0,A144-'难度参数'!$E$21)*'难度参数'!$E$22))*(36+6*7)/(36+7*(D144+1)/2)*E144,0))</x:f>
        <x:v>5714</x:v>
      </x:c>
      <x:c r="AT144" s="119" t="n">
        <x:f>IF(AR144=0,0,(AR144-IF(6=D144,1,0))*ROUND(AS144*VLOOKUP(INDEX('章节与怪物'!$E$31:$K$37,B144,6),'章节与怪物'!$A$41:$F$44,2,FALSE),0)+IF(6=D144,ROUND(AS144*'难度参数'!$E$28*'章节与怪物'!$E$17,0),0))</x:f>
        <x:v>281706</x:v>
      </x:c>
      <x:c r="AU144" s="119" t="n">
        <x:f>IF(AR144=0,0,(AR144-IF(6=D144,1,0))*VLOOKUP(INDEX('章节与怪物'!$E$31:$K$37,B144,6),'章节与怪物'!$A$41:$F$44,4,FALSE)+IF(6=D144,'难度参数'!$E$30,0))</x:f>
        <x:v>812</x:v>
      </x:c>
      <x:c r="AV144" s="119" t="n">
        <x:f>IF(7&gt;D144,0,MAX(2,MIN('难度参数'!$E$12,ROUND(('难度参数'!$E$18*POWER(A144,'难度参数'!$E$19)/D144*(0.85+0.3*(7-1)/MAX(1,D144-1))),0)+F144)))</x:f>
        <x:v>30</x:v>
      </x:c>
      <x:c r="AW144" s="119" t="n">
        <x:f>IF(7&gt;D144,0,ROUND(('难度参数'!$E$13*POWER(A144,'难度参数'!$E$20)*MIN('难度参数'!$E$23,1+MAX(0,A144-'难度参数'!$E$21)*'难度参数'!$E$22))*(36+7*7)/(36+7*(D144+1)/2)*E144,0))</x:f>
        <x:v>6227</x:v>
      </x:c>
      <x:c r="AX144" s="119" t="n">
        <x:f>IF(AV144=0,0,(AV144-IF(7=D144,1,0))*ROUND(AW144*VLOOKUP(INDEX('章节与怪物'!$E$31:$K$37,B144,7),'章节与怪物'!$A$41:$F$44,2,FALSE),0)+IF(7=D144,ROUND(AW144*'难度参数'!$E$28*'章节与怪物'!$E$17,0),0))</x:f>
        <x:v>286118</x:v>
      </x:c>
      <x:c r="AY144" s="119" t="n">
        <x:f>IF(AV144=0,0,(AV144-IF(7=D144,1,0))*VLOOKUP(INDEX('章节与怪物'!$E$31:$K$37,B144,7),'章节与怪物'!$A$41:$F$44,4,FALSE)+IF(7=D144,'难度参数'!$E$30,0))</x:f>
        <x:v>1186</x:v>
      </x:c>
    </x:row>
    <x:row r="145" ht="23" customHeight="1">
      <x:c r="A145" s="119" t="n">
        <x:v>139</x:v>
      </x:c>
      <x:c r="B145" s="119" t="n">
        <x:f>MOD(INT((A145-1)/5),7)+1</x:f>
        <x:v>7</x:v>
      </x:c>
      <x:c r="C145" s="62" t="str">
        <x:f>INDEX('章节与怪物'!$B$31:$B$37,B145)</x:f>
        <x:v>魔法山脊</x:v>
      </x:c>
      <x:c r="D145" s="119" t="n">
        <x:f>MIN('难度参数'!$E$8,MAX('难度参数'!$E$7,A145))</x:f>
        <x:v>7</x:v>
      </x:c>
      <x:c r="E145" s="106" t="n">
        <x:v>1</x:v>
      </x:c>
      <x:c r="F145" s="106" t="n">
        <x:v>0</x:v>
      </x:c>
      <x:c r="G145" s="106" t="n">
        <x:v>1</x:v>
      </x:c>
      <x:c r="H145" s="119" t="n">
        <x:f>SUM(X145,AB145,AF145,AJ145,AN145,AR145,AV145)</x:f>
        <x:v>186</x:v>
      </x:c>
      <x:c r="I145" s="119" t="n">
        <x:f>SUM(Z145,AD145,AH145,AL145,AP145,AT145,AX145)</x:f>
        <x:v>1162943</x:v>
      </x:c>
      <x:c r="J145" s="119" t="n">
        <x:f>ROUND(INDEX(X145:AY145,1,(D145-1)*4+2)*'难度参数'!$E$28*'章节与怪物'!$E$17,0)</x:f>
        <x:v>42568</x:v>
      </x:c>
      <x:c r="K145" s="119" t="n">
        <x:f>SUM(AA145,AE145,AI145,AM145,AQ145,AU145,AY145)</x:f>
        <x:v>5070</x:v>
      </x:c>
      <x:c r="L145" s="62" t="n">
        <x:f>H145*(ROUNDUP('难度参数'!$E$24/('难度参数'!$E$26*'难度参数'!$E$27),0)*'难度参数'!$E$26)/60</x:f>
        <x:v>2.48</x:v>
      </x:c>
      <x:c r="M145" s="62" t="n">
        <x:f>L145+D145*('难度参数'!$E$49+'难度参数'!$E$50)/60</x:f>
        <x:v>3.6466666666666665</x:v>
      </x:c>
      <x:c r="N145" s="119" t="n">
        <x:f>ROUNDDOWN(('经济参数'!$E$20+A145*'经济参数'!$E$21)*G145,0)</x:f>
        <x:v>2960</x:v>
      </x:c>
      <x:c r="O145" s="119" t="n">
        <x:f>ROUNDDOWN(MIN('经济参数'!$E$24,'经济参数'!$E$22+A145*'经济参数'!$E$23)*G145,0)</x:f>
        <x:v>0</x:v>
      </x:c>
      <x:c r="P145" s="119" t="n">
        <x:f>ROUNDDOWN((IF(A145&gt;='材料与任务'!$E$31,'材料与任务'!$E$32,IF(A145&gt;='材料与任务'!$E$25,'材料与任务'!$E$26,IF(A145&gt;='材料与任务'!$E$19,'材料与任务'!$E$20,IF(A145&gt;='材料与任务'!$E$13,'材料与任务'!$E$14,'材料与任务'!$E$8)))))*G145,0)</x:f>
        <x:v>6</x:v>
      </x:c>
      <x:c r="Q145" s="119" t="n">
        <x:f>ROUNDDOWN((IF(A145&gt;='材料与任务'!$E$31,'材料与任务'!$E$33,IF(A145&gt;='材料与任务'!$E$25,'材料与任务'!$E$27,IF(A145&gt;='材料与任务'!$E$19,'材料与任务'!$E$21,IF(A145&gt;='材料与任务'!$E$13,'材料与任务'!$E$15,'材料与任务'!$E$9)))))*G145,0)</x:f>
        <x:v>3</x:v>
      </x:c>
      <x:c r="R145" s="110" t="n">
        <x:f>'装备掉落'!$B$38</x:f>
        <x:v>0.6872058758851213</x:v>
      </x:c>
      <x:c r="S145" s="119" t="n">
        <x:f>MAX(IF(VLOOKUP(A145,'装备掉落'!$A$29:$H$34,2,TRUE)&gt;0,1,0),IF(VLOOKUP(A145,'装备掉落'!$A$29:$H$34,3,TRUE)&gt;0,2,0),IF(VLOOKUP(A145,'装备掉落'!$A$29:$H$34,4,TRUE)&gt;0,3,0),IF(VLOOKUP(A145,'装备掉落'!$A$29:$H$34,5,TRUE)&gt;0,4,0),IF(VLOOKUP(A145,'装备掉落'!$A$29:$H$34,6,TRUE)&gt;0,5,0),IF(VLOOKUP(A145,'装备掉落'!$A$29:$H$34,7,TRUE)&gt;0,6,0),IF(VLOOKUP(A145,'装备掉落'!$A$29:$H$34,8,TRUE)&gt;0,7,0))</x:f>
        <x:v>7</x:v>
      </x:c>
      <x:c r="T145" s="119" t="n">
        <x:f>MIN(7,S145+'经济参数'!$E$70)</x:f>
        <x:v>7</x:v>
      </x:c>
      <x:c r="U145" s="119" t="n">
        <x:f>MIN(7,S145+'经济参数'!$E$71)</x:f>
        <x:v>7</x:v>
      </x:c>
      <x:c r="V145" s="119" t="n">
        <x:f>IF(H145&gt;=('难度参数'!$E$52),1,0)+IF(H145&gt;=('难度参数'!$E$52+'难度参数'!$E$53),1,0)+IF(H145&gt;=('难度参数'!$E$52+'难度参数'!$E$53+'难度参数'!$E$54),1,0)+IF(H145&gt;=('难度参数'!$E$52+'难度参数'!$E$53+'难度参数'!$E$54+'难度参数'!$E$55),1,0)+IF(H145&gt;=('难度参数'!$E$52+'难度参数'!$E$53+'难度参数'!$E$54+'难度参数'!$E$55+'难度参数'!$E$56),1,0)+IF(H145&gt;=('难度参数'!$E$52+'难度参数'!$E$53+'难度参数'!$E$54+'难度参数'!$E$55+'难度参数'!$E$56+'难度参数'!$E$57),1,0)</x:f>
        <x:v>6</x:v>
      </x:c>
      <x:c r="W145" s="62" t="str">
        <x:f>IF(L145&gt;'难度参数'!$E$51,"仅出怪已超目标","还需实测")</x:f>
        <x:v>还需实测</x:v>
      </x:c>
      <x:c r="X145" s="119" t="n">
        <x:f>IF(1&gt;D145,0,MAX(2,MIN('难度参数'!$E$12,ROUND(('难度参数'!$E$18*POWER(A145,'难度参数'!$E$19)/D145*(0.85+0.3*(1-1)/MAX(1,D145-1))),0)+F145)))</x:f>
        <x:v>23</x:v>
      </x:c>
      <x:c r="Y145" s="119" t="n">
        <x:f>IF(1&gt;D145,0,ROUND(('难度参数'!$E$13*POWER(A145,'难度参数'!$E$20)*MIN('难度参数'!$E$23,1+MAX(0,A145-'难度参数'!$E$21)*'难度参数'!$E$22))*(36+1*7)/(36+7*(D145+1)/2)*E145,0))</x:f>
        <x:v>3167</x:v>
      </x:c>
      <x:c r="Z145" s="119" t="n">
        <x:f>IF(X145=0,0,(X145-IF(1=D145,1,0))*ROUND(Y145*VLOOKUP(INDEX('章节与怪物'!$E$31:$K$37,B145,1),'章节与怪物'!$A$41:$F$44,2,FALSE),0)+IF(1=D145,ROUND(Y145*'难度参数'!$E$28*'章节与怪物'!$E$17,0),0))</x:f>
        <x:v>72841</x:v>
      </x:c>
      <x:c r="AA145" s="119" t="n">
        <x:f>IF(X145=0,0,(X145-IF(1=D145,1,0))*VLOOKUP(INDEX('章节与怪物'!$E$31:$K$37,B145,1),'章节与怪物'!$A$41:$F$44,4,FALSE)+IF(1=D145,'难度参数'!$E$30,0))</x:f>
        <x:v>414</x:v>
      </x:c>
      <x:c r="AB145" s="119" t="n">
        <x:f>IF(2&gt;D145,0,MAX(2,MIN('难度参数'!$E$12,ROUND(('难度参数'!$E$18*POWER(A145,'难度参数'!$E$19)/D145*(0.85+0.3*(2-1)/MAX(1,D145-1))),0)+F145)))</x:f>
        <x:v>24</x:v>
      </x:c>
      <x:c r="AC145" s="119" t="n">
        <x:f>IF(2&gt;D145,0,ROUND(('难度参数'!$E$13*POWER(A145,'难度参数'!$E$20)*MIN('难度参数'!$E$23,1+MAX(0,A145-'难度参数'!$E$21)*'难度参数'!$E$22))*(36+2*7)/(36+7*(D145+1)/2)*E145,0))</x:f>
        <x:v>3682</x:v>
      </x:c>
      <x:c r="AD145" s="119" t="n">
        <x:f>IF(AB145=0,0,(AB145-IF(2=D145,1,0))*ROUND(AC145*VLOOKUP(INDEX('章节与怪物'!$E$31:$K$37,B145,2),'章节与怪物'!$A$41:$F$44,2,FALSE),0)+IF(2=D145,ROUND(AC145*'难度参数'!$E$28*'章节与怪物'!$E$17,0),0))</x:f>
        <x:v>63624</x:v>
      </x:c>
      <x:c r="AE145" s="119" t="n">
        <x:f>IF(AB145=0,0,(AB145-IF(2=D145,1,0))*VLOOKUP(INDEX('章节与怪物'!$E$31:$K$37,B145,2),'章节与怪物'!$A$41:$F$44,4,FALSE)+IF(2=D145,'难度参数'!$E$30,0))</x:f>
        <x:v>480</x:v>
      </x:c>
      <x:c r="AF145" s="119" t="n">
        <x:f>IF(3&gt;D145,0,MAX(2,MIN('难度参数'!$E$12,ROUND(('难度参数'!$E$18*POWER(A145,'难度参数'!$E$19)/D145*(0.85+0.3*(3-1)/MAX(1,D145-1))),0)+F145)))</x:f>
        <x:v>25</x:v>
      </x:c>
      <x:c r="AG145" s="119" t="n">
        <x:f>IF(3&gt;D145,0,ROUND(('难度参数'!$E$13*POWER(A145,'难度参数'!$E$20)*MIN('难度参数'!$E$23,1+MAX(0,A145-'难度参数'!$E$21)*'难度参数'!$E$22))*(36+3*7)/(36+7*(D145+1)/2)*E145,0))</x:f>
        <x:v>4198</x:v>
      </x:c>
      <x:c r="AH145" s="119" t="n">
        <x:f>IF(AF145=0,0,(AF145-IF(3=D145,1,0))*ROUND(AG145*VLOOKUP(INDEX('章节与怪物'!$E$31:$K$37,B145,3),'章节与怪物'!$A$41:$F$44,2,FALSE),0)+IF(3=D145,ROUND(AG145*'难度参数'!$E$28*'章节与怪物'!$E$17,0),0))</x:f>
        <x:v>178425</x:v>
      </x:c>
      <x:c r="AI145" s="119" t="n">
        <x:f>IF(AF145=0,0,(AF145-IF(3=D145,1,0))*VLOOKUP(INDEX('章节与怪物'!$E$31:$K$37,B145,3),'章节与怪物'!$A$41:$F$44,4,FALSE)+IF(3=D145,'难度参数'!$E$30,0))</x:f>
        <x:v>700</x:v>
      </x:c>
      <x:c r="AJ145" s="119" t="n">
        <x:f>IF(4&gt;D145,0,MAX(2,MIN('难度参数'!$E$12,ROUND(('难度参数'!$E$18*POWER(A145,'难度参数'!$E$19)/D145*(0.85+0.3*(4-1)/MAX(1,D145-1))),0)+F145)))</x:f>
        <x:v>27</x:v>
      </x:c>
      <x:c r="AK145" s="119" t="n">
        <x:f>IF(4&gt;D145,0,ROUND(('难度参数'!$E$13*POWER(A145,'难度参数'!$E$20)*MIN('难度参数'!$E$23,1+MAX(0,A145-'难度参数'!$E$21)*'难度参数'!$E$22))*(36+4*7)/(36+7*(D145+1)/2)*E145,0))</x:f>
        <x:v>4713</x:v>
      </x:c>
      <x:c r="AL145" s="119" t="n">
        <x:f>IF(AJ145=0,0,(AJ145-IF(4=D145,1,0))*ROUND(AK145*VLOOKUP(INDEX('章节与怪物'!$E$31:$K$37,B145,4),'章节与怪物'!$A$41:$F$44,2,FALSE),0)+IF(4=D145,ROUND(AK145*'难度参数'!$E$28*'章节与怪物'!$E$17,0),0))</x:f>
        <x:v>171801</x:v>
      </x:c>
      <x:c r="AM145" s="119" t="n">
        <x:f>IF(AJ145=0,0,(AJ145-IF(4=D145,1,0))*VLOOKUP(INDEX('章节与怪物'!$E$31:$K$37,B145,4),'章节与怪物'!$A$41:$F$44,4,FALSE)+IF(4=D145,'难度参数'!$E$30,0))</x:f>
        <x:v>918</x:v>
      </x:c>
      <x:c r="AN145" s="119" t="n">
        <x:f>IF(5&gt;D145,0,MAX(2,MIN('难度参数'!$E$12,ROUND(('难度参数'!$E$18*POWER(A145,'难度参数'!$E$19)/D145*(0.85+0.3*(5-1)/MAX(1,D145-1))),0)+F145)))</x:f>
        <x:v>28</x:v>
      </x:c>
      <x:c r="AO145" s="119" t="n">
        <x:f>IF(5&gt;D145,0,ROUND(('难度参数'!$E$13*POWER(A145,'难度参数'!$E$20)*MIN('难度参数'!$E$23,1+MAX(0,A145-'难度参数'!$E$21)*'难度参数'!$E$22))*(36+5*7)/(36+7*(D145+1)/2)*E145,0))</x:f>
        <x:v>5229</x:v>
      </x:c>
      <x:c r="AP145" s="119" t="n">
        <x:f>IF(AN145=0,0,(AN145-IF(5=D145,1,0))*ROUND(AO145*VLOOKUP(INDEX('章节与怪物'!$E$31:$K$37,B145,5),'章节与怪物'!$A$41:$F$44,2,FALSE),0)+IF(5=D145,ROUND(AO145*'难度参数'!$E$28*'章节与怪物'!$E$17,0),0))</x:f>
        <x:v>105420</x:v>
      </x:c>
      <x:c r="AQ145" s="119" t="n">
        <x:f>IF(AN145=0,0,(AN145-IF(5=D145,1,0))*VLOOKUP(INDEX('章节与怪物'!$E$31:$K$37,B145,5),'章节与怪物'!$A$41:$F$44,4,FALSE)+IF(5=D145,'难度参数'!$E$30,0))</x:f>
        <x:v>560</x:v>
      </x:c>
      <x:c r="AR145" s="119" t="n">
        <x:f>IF(6&gt;D145,0,MAX(2,MIN('难度参数'!$E$12,ROUND(('难度参数'!$E$18*POWER(A145,'难度参数'!$E$19)/D145*(0.85+0.3*(6-1)/MAX(1,D145-1))),0)+F145)))</x:f>
        <x:v>29</x:v>
      </x:c>
      <x:c r="AS145" s="119" t="n">
        <x:f>IF(6&gt;D145,0,ROUND(('难度参数'!$E$13*POWER(A145,'难度参数'!$E$20)*MIN('难度参数'!$E$23,1+MAX(0,A145-'难度参数'!$E$21)*'难度参数'!$E$22))*(36+6*7)/(36+7*(D145+1)/2)*E145,0))</x:f>
        <x:v>5744</x:v>
      </x:c>
      <x:c r="AT145" s="119" t="n">
        <x:f>IF(AR145=0,0,(AR145-IF(6=D145,1,0))*ROUND(AS145*VLOOKUP(INDEX('章节与怪物'!$E$31:$K$37,B145,6),'章节与怪物'!$A$41:$F$44,2,FALSE),0)+IF(6=D145,ROUND(AS145*'难度参数'!$E$28*'章节与怪物'!$E$17,0),0))</x:f>
        <x:v>283185</x:v>
      </x:c>
      <x:c r="AU145" s="119" t="n">
        <x:f>IF(AR145=0,0,(AR145-IF(6=D145,1,0))*VLOOKUP(INDEX('章节与怪物'!$E$31:$K$37,B145,6),'章节与怪物'!$A$41:$F$44,4,FALSE)+IF(6=D145,'难度参数'!$E$30,0))</x:f>
        <x:v>812</x:v>
      </x:c>
      <x:c r="AV145" s="119" t="n">
        <x:f>IF(7&gt;D145,0,MAX(2,MIN('难度参数'!$E$12,ROUND(('难度参数'!$E$18*POWER(A145,'难度参数'!$E$19)/D145*(0.85+0.3*(7-1)/MAX(1,D145-1))),0)+F145)))</x:f>
        <x:v>30</x:v>
      </x:c>
      <x:c r="AW145" s="119" t="n">
        <x:f>IF(7&gt;D145,0,ROUND(('难度参数'!$E$13*POWER(A145,'难度参数'!$E$20)*MIN('难度参数'!$E$23,1+MAX(0,A145-'难度参数'!$E$21)*'难度参数'!$E$22))*(36+7*7)/(36+7*(D145+1)/2)*E145,0))</x:f>
        <x:v>6260</x:v>
      </x:c>
      <x:c r="AX145" s="119" t="n">
        <x:f>IF(AV145=0,0,(AV145-IF(7=D145,1,0))*ROUND(AW145*VLOOKUP(INDEX('章节与怪物'!$E$31:$K$37,B145,7),'章节与怪物'!$A$41:$F$44,2,FALSE),0)+IF(7=D145,ROUND(AW145*'难度参数'!$E$28*'章节与怪物'!$E$17,0),0))</x:f>
        <x:v>287647</x:v>
      </x:c>
      <x:c r="AY145" s="119" t="n">
        <x:f>IF(AV145=0,0,(AV145-IF(7=D145,1,0))*VLOOKUP(INDEX('章节与怪物'!$E$31:$K$37,B145,7),'章节与怪物'!$A$41:$F$44,4,FALSE)+IF(7=D145,'难度参数'!$E$30,0))</x:f>
        <x:v>1186</x:v>
      </x:c>
    </x:row>
    <x:row r="146" ht="23" customHeight="1">
      <x:c r="A146" s="119" t="n">
        <x:v>140</x:v>
      </x:c>
      <x:c r="B146" s="119" t="n">
        <x:f>MOD(INT((A146-1)/5),7)+1</x:f>
        <x:v>7</x:v>
      </x:c>
      <x:c r="C146" s="62" t="str">
        <x:f>INDEX('章节与怪物'!$B$31:$B$37,B146)</x:f>
        <x:v>魔法山脊</x:v>
      </x:c>
      <x:c r="D146" s="119" t="n">
        <x:f>MIN('难度参数'!$E$8,MAX('难度参数'!$E$7,A146))</x:f>
        <x:v>7</x:v>
      </x:c>
      <x:c r="E146" s="106" t="n">
        <x:v>1</x:v>
      </x:c>
      <x:c r="F146" s="106" t="n">
        <x:v>0</x:v>
      </x:c>
      <x:c r="G146" s="106" t="n">
        <x:v>1</x:v>
      </x:c>
      <x:c r="H146" s="119" t="n">
        <x:f>SUM(X146,AB146,AF146,AJ146,AN146,AR146,AV146)</x:f>
        <x:v>187</x:v>
      </x:c>
      <x:c r="I146" s="119" t="n">
        <x:f>SUM(Z146,AD146,AH146,AL146,AP146,AT146,AX146)</x:f>
        <x:v>1177356</x:v>
      </x:c>
      <x:c r="J146" s="119" t="n">
        <x:f>ROUND(INDEX(X146:AY146,1,(D146-1)*4+2)*'难度参数'!$E$28*'章节与怪物'!$E$17,0)</x:f>
        <x:v>42786</x:v>
      </x:c>
      <x:c r="K146" s="119" t="n">
        <x:f>SUM(AA146,AE146,AI146,AM146,AQ146,AU146,AY146)</x:f>
        <x:v>5104</x:v>
      </x:c>
      <x:c r="L146" s="62" t="n">
        <x:f>H146*(ROUNDUP('难度参数'!$E$24/('难度参数'!$E$26*'难度参数'!$E$27),0)*'难度参数'!$E$26)/60</x:f>
        <x:v>2.493333333333333</x:v>
      </x:c>
      <x:c r="M146" s="62" t="n">
        <x:f>L146+D146*('难度参数'!$E$49+'难度参数'!$E$50)/60</x:f>
        <x:v>3.66</x:v>
      </x:c>
      <x:c r="N146" s="119" t="n">
        <x:f>ROUNDDOWN(('经济参数'!$E$20+A146*'经济参数'!$E$21)*G146,0)</x:f>
        <x:v>2980</x:v>
      </x:c>
      <x:c r="O146" s="119" t="n">
        <x:f>ROUNDDOWN(MIN('经济参数'!$E$24,'经济参数'!$E$22+A146*'经济参数'!$E$23)*G146,0)</x:f>
        <x:v>0</x:v>
      </x:c>
      <x:c r="P146" s="119" t="n">
        <x:f>ROUNDDOWN((IF(A146&gt;='材料与任务'!$E$31,'材料与任务'!$E$32,IF(A146&gt;='材料与任务'!$E$25,'材料与任务'!$E$26,IF(A146&gt;='材料与任务'!$E$19,'材料与任务'!$E$20,IF(A146&gt;='材料与任务'!$E$13,'材料与任务'!$E$14,'材料与任务'!$E$8)))))*G146,0)</x:f>
        <x:v>6</x:v>
      </x:c>
      <x:c r="Q146" s="119" t="n">
        <x:f>ROUNDDOWN((IF(A146&gt;='材料与任务'!$E$31,'材料与任务'!$E$33,IF(A146&gt;='材料与任务'!$E$25,'材料与任务'!$E$27,IF(A146&gt;='材料与任务'!$E$19,'材料与任务'!$E$21,IF(A146&gt;='材料与任务'!$E$13,'材料与任务'!$E$15,'材料与任务'!$E$9)))))*G146,0)</x:f>
        <x:v>3</x:v>
      </x:c>
      <x:c r="R146" s="110" t="n">
        <x:f>'装备掉落'!$B$38</x:f>
        <x:v>0.6872058758851213</x:v>
      </x:c>
      <x:c r="S146" s="119" t="n">
        <x:f>MAX(IF(VLOOKUP(A146,'装备掉落'!$A$29:$H$34,2,TRUE)&gt;0,1,0),IF(VLOOKUP(A146,'装备掉落'!$A$29:$H$34,3,TRUE)&gt;0,2,0),IF(VLOOKUP(A146,'装备掉落'!$A$29:$H$34,4,TRUE)&gt;0,3,0),IF(VLOOKUP(A146,'装备掉落'!$A$29:$H$34,5,TRUE)&gt;0,4,0),IF(VLOOKUP(A146,'装备掉落'!$A$29:$H$34,6,TRUE)&gt;0,5,0),IF(VLOOKUP(A146,'装备掉落'!$A$29:$H$34,7,TRUE)&gt;0,6,0),IF(VLOOKUP(A146,'装备掉落'!$A$29:$H$34,8,TRUE)&gt;0,7,0))</x:f>
        <x:v>7</x:v>
      </x:c>
      <x:c r="T146" s="119" t="n">
        <x:f>MIN(7,S146+'经济参数'!$E$70)</x:f>
        <x:v>7</x:v>
      </x:c>
      <x:c r="U146" s="119" t="n">
        <x:f>MIN(7,S146+'经济参数'!$E$71)</x:f>
        <x:v>7</x:v>
      </x:c>
      <x:c r="V146" s="119" t="n">
        <x:f>IF(H146&gt;=('难度参数'!$E$52),1,0)+IF(H146&gt;=('难度参数'!$E$52+'难度参数'!$E$53),1,0)+IF(H146&gt;=('难度参数'!$E$52+'难度参数'!$E$53+'难度参数'!$E$54),1,0)+IF(H146&gt;=('难度参数'!$E$52+'难度参数'!$E$53+'难度参数'!$E$54+'难度参数'!$E$55),1,0)+IF(H146&gt;=('难度参数'!$E$52+'难度参数'!$E$53+'难度参数'!$E$54+'难度参数'!$E$55+'难度参数'!$E$56),1,0)+IF(H146&gt;=('难度参数'!$E$52+'难度参数'!$E$53+'难度参数'!$E$54+'难度参数'!$E$55+'难度参数'!$E$56+'难度参数'!$E$57),1,0)</x:f>
        <x:v>6</x:v>
      </x:c>
      <x:c r="W146" s="62" t="str">
        <x:f>IF(L146&gt;'难度参数'!$E$51,"仅出怪已超目标","还需实测")</x:f>
        <x:v>还需实测</x:v>
      </x:c>
      <x:c r="X146" s="119" t="n">
        <x:f>IF(1&gt;D146,0,MAX(2,MIN('难度参数'!$E$12,ROUND(('难度参数'!$E$18*POWER(A146,'难度参数'!$E$19)/D146*(0.85+0.3*(1-1)/MAX(1,D146-1))),0)+F146)))</x:f>
        <x:v>23</x:v>
      </x:c>
      <x:c r="Y146" s="119" t="n">
        <x:f>IF(1&gt;D146,0,ROUND(('难度参数'!$E$13*POWER(A146,'难度参数'!$E$20)*MIN('难度参数'!$E$23,1+MAX(0,A146-'难度参数'!$E$21)*'难度参数'!$E$22))*(36+1*7)/(36+7*(D146+1)/2)*E146,0))</x:f>
        <x:v>3183</x:v>
      </x:c>
      <x:c r="Z146" s="119" t="n">
        <x:f>IF(X146=0,0,(X146-IF(1=D146,1,0))*ROUND(Y146*VLOOKUP(INDEX('章节与怪物'!$E$31:$K$37,B146,1),'章节与怪物'!$A$41:$F$44,2,FALSE),0)+IF(1=D146,ROUND(Y146*'难度参数'!$E$28*'章节与怪物'!$E$17,0),0))</x:f>
        <x:v>73209</x:v>
      </x:c>
      <x:c r="AA146" s="119" t="n">
        <x:f>IF(X146=0,0,(X146-IF(1=D146,1,0))*VLOOKUP(INDEX('章节与怪物'!$E$31:$K$37,B146,1),'章节与怪物'!$A$41:$F$44,4,FALSE)+IF(1=D146,'难度参数'!$E$30,0))</x:f>
        <x:v>414</x:v>
      </x:c>
      <x:c r="AB146" s="119" t="n">
        <x:f>IF(2&gt;D146,0,MAX(2,MIN('难度参数'!$E$12,ROUND(('难度参数'!$E$18*POWER(A146,'难度参数'!$E$19)/D146*(0.85+0.3*(2-1)/MAX(1,D146-1))),0)+F146)))</x:f>
        <x:v>24</x:v>
      </x:c>
      <x:c r="AC146" s="119" t="n">
        <x:f>IF(2&gt;D146,0,ROUND(('难度参数'!$E$13*POWER(A146,'难度参数'!$E$20)*MIN('难度参数'!$E$23,1+MAX(0,A146-'难度参数'!$E$21)*'难度参数'!$E$22))*(36+2*7)/(36+7*(D146+1)/2)*E146,0))</x:f>
        <x:v>3701</x:v>
      </x:c>
      <x:c r="AD146" s="119" t="n">
        <x:f>IF(AB146=0,0,(AB146-IF(2=D146,1,0))*ROUND(AC146*VLOOKUP(INDEX('章节与怪物'!$E$31:$K$37,B146,2),'章节与怪物'!$A$41:$F$44,2,FALSE),0)+IF(2=D146,ROUND(AC146*'难度参数'!$E$28*'章节与怪物'!$E$17,0),0))</x:f>
        <x:v>63960</x:v>
      </x:c>
      <x:c r="AE146" s="119" t="n">
        <x:f>IF(AB146=0,0,(AB146-IF(2=D146,1,0))*VLOOKUP(INDEX('章节与怪物'!$E$31:$K$37,B146,2),'章节与怪物'!$A$41:$F$44,4,FALSE)+IF(2=D146,'难度参数'!$E$30,0))</x:f>
        <x:v>480</x:v>
      </x:c>
      <x:c r="AF146" s="119" t="n">
        <x:f>IF(3&gt;D146,0,MAX(2,MIN('难度参数'!$E$12,ROUND(('难度参数'!$E$18*POWER(A146,'难度参数'!$E$19)/D146*(0.85+0.3*(3-1)/MAX(1,D146-1))),0)+F146)))</x:f>
        <x:v>25</x:v>
      </x:c>
      <x:c r="AG146" s="119" t="n">
        <x:f>IF(3&gt;D146,0,ROUND(('难度参数'!$E$13*POWER(A146,'难度参数'!$E$20)*MIN('难度参数'!$E$23,1+MAX(0,A146-'难度参数'!$E$21)*'难度参数'!$E$22))*(36+3*7)/(36+7*(D146+1)/2)*E146,0))</x:f>
        <x:v>4219</x:v>
      </x:c>
      <x:c r="AH146" s="119" t="n">
        <x:f>IF(AF146=0,0,(AF146-IF(3=D146,1,0))*ROUND(AG146*VLOOKUP(INDEX('章节与怪物'!$E$31:$K$37,B146,3),'章节与怪物'!$A$41:$F$44,2,FALSE),0)+IF(3=D146,ROUND(AG146*'难度参数'!$E$28*'章节与怪物'!$E$17,0),0))</x:f>
        <x:v>179300</x:v>
      </x:c>
      <x:c r="AI146" s="119" t="n">
        <x:f>IF(AF146=0,0,(AF146-IF(3=D146,1,0))*VLOOKUP(INDEX('章节与怪物'!$E$31:$K$37,B146,3),'章节与怪物'!$A$41:$F$44,4,FALSE)+IF(3=D146,'难度参数'!$E$30,0))</x:f>
        <x:v>700</x:v>
      </x:c>
      <x:c r="AJ146" s="119" t="n">
        <x:f>IF(4&gt;D146,0,MAX(2,MIN('难度参数'!$E$12,ROUND(('难度参数'!$E$18*POWER(A146,'难度参数'!$E$19)/D146*(0.85+0.3*(4-1)/MAX(1,D146-1))),0)+F146)))</x:f>
        <x:v>27</x:v>
      </x:c>
      <x:c r="AK146" s="119" t="n">
        <x:f>IF(4&gt;D146,0,ROUND(('难度参数'!$E$13*POWER(A146,'难度参数'!$E$20)*MIN('难度参数'!$E$23,1+MAX(0,A146-'难度参数'!$E$21)*'难度参数'!$E$22))*(36+4*7)/(36+7*(D146+1)/2)*E146,0))</x:f>
        <x:v>4737</x:v>
      </x:c>
      <x:c r="AL146" s="119" t="n">
        <x:f>IF(AJ146=0,0,(AJ146-IF(4=D146,1,0))*ROUND(AK146*VLOOKUP(INDEX('章节与怪物'!$E$31:$K$37,B146,4),'章节与怪物'!$A$41:$F$44,2,FALSE),0)+IF(4=D146,ROUND(AK146*'难度参数'!$E$28*'章节与怪物'!$E$17,0),0))</x:f>
        <x:v>172665</x:v>
      </x:c>
      <x:c r="AM146" s="119" t="n">
        <x:f>IF(AJ146=0,0,(AJ146-IF(4=D146,1,0))*VLOOKUP(INDEX('章节与怪物'!$E$31:$K$37,B146,4),'章节与怪物'!$A$41:$F$44,4,FALSE)+IF(4=D146,'难度参数'!$E$30,0))</x:f>
        <x:v>918</x:v>
      </x:c>
      <x:c r="AN146" s="119" t="n">
        <x:f>IF(5&gt;D146,0,MAX(2,MIN('难度参数'!$E$12,ROUND(('难度参数'!$E$18*POWER(A146,'难度参数'!$E$19)/D146*(0.85+0.3*(5-1)/MAX(1,D146-1))),0)+F146)))</x:f>
        <x:v>28</x:v>
      </x:c>
      <x:c r="AO146" s="119" t="n">
        <x:f>IF(5&gt;D146,0,ROUND(('难度参数'!$E$13*POWER(A146,'难度参数'!$E$20)*MIN('难度参数'!$E$23,1+MAX(0,A146-'难度参数'!$E$21)*'难度参数'!$E$22))*(36+5*7)/(36+7*(D146+1)/2)*E146,0))</x:f>
        <x:v>5256</x:v>
      </x:c>
      <x:c r="AP146" s="119" t="n">
        <x:f>IF(AN146=0,0,(AN146-IF(5=D146,1,0))*ROUND(AO146*VLOOKUP(INDEX('章节与怪物'!$E$31:$K$37,B146,5),'章节与怪物'!$A$41:$F$44,2,FALSE),0)+IF(5=D146,ROUND(AO146*'难度参数'!$E$28*'章节与怪物'!$E$17,0),0))</x:f>
        <x:v>105952</x:v>
      </x:c>
      <x:c r="AQ146" s="119" t="n">
        <x:f>IF(AN146=0,0,(AN146-IF(5=D146,1,0))*VLOOKUP(INDEX('章节与怪物'!$E$31:$K$37,B146,5),'章节与怪物'!$A$41:$F$44,4,FALSE)+IF(5=D146,'难度参数'!$E$30,0))</x:f>
        <x:v>560</x:v>
      </x:c>
      <x:c r="AR146" s="119" t="n">
        <x:f>IF(6&gt;D146,0,MAX(2,MIN('难度参数'!$E$12,ROUND(('难度参数'!$E$18*POWER(A146,'难度参数'!$E$19)/D146*(0.85+0.3*(6-1)/MAX(1,D146-1))),0)+F146)))</x:f>
        <x:v>29</x:v>
      </x:c>
      <x:c r="AS146" s="119" t="n">
        <x:f>IF(6&gt;D146,0,ROUND(('难度参数'!$E$13*POWER(A146,'难度参数'!$E$20)*MIN('难度参数'!$E$23,1+MAX(0,A146-'难度参数'!$E$21)*'难度参数'!$E$22))*(36+6*7)/(36+7*(D146+1)/2)*E146,0))</x:f>
        <x:v>5774</x:v>
      </x:c>
      <x:c r="AT146" s="119" t="n">
        <x:f>IF(AR146=0,0,(AR146-IF(6=D146,1,0))*ROUND(AS146*VLOOKUP(INDEX('章节与怪物'!$E$31:$K$37,B146,6),'章节与怪物'!$A$41:$F$44,2,FALSE),0)+IF(6=D146,ROUND(AS146*'难度参数'!$E$28*'章节与怪物'!$E$17,0),0))</x:f>
        <x:v>284664</x:v>
      </x:c>
      <x:c r="AU146" s="119" t="n">
        <x:f>IF(AR146=0,0,(AR146-IF(6=D146,1,0))*VLOOKUP(INDEX('章节与怪物'!$E$31:$K$37,B146,6),'章节与怪物'!$A$41:$F$44,4,FALSE)+IF(6=D146,'难度参数'!$E$30,0))</x:f>
        <x:v>812</x:v>
      </x:c>
      <x:c r="AV146" s="119" t="n">
        <x:f>IF(7&gt;D146,0,MAX(2,MIN('难度参数'!$E$12,ROUND(('难度参数'!$E$18*POWER(A146,'难度参数'!$E$19)/D146*(0.85+0.3*(7-1)/MAX(1,D146-1))),0)+F146)))</x:f>
        <x:v>31</x:v>
      </x:c>
      <x:c r="AW146" s="119" t="n">
        <x:f>IF(7&gt;D146,0,ROUND(('难度参数'!$E$13*POWER(A146,'难度参数'!$E$20)*MIN('难度参数'!$E$23,1+MAX(0,A146-'难度参数'!$E$21)*'难度参数'!$E$22))*(36+7*7)/(36+7*(D146+1)/2)*E146,0))</x:f>
        <x:v>6292</x:v>
      </x:c>
      <x:c r="AX146" s="119" t="n">
        <x:f>IF(AV146=0,0,(AV146-IF(7=D146,1,0))*ROUND(AW146*VLOOKUP(INDEX('章节与怪物'!$E$31:$K$37,B146,7),'章节与怪物'!$A$41:$F$44,2,FALSE),0)+IF(7=D146,ROUND(AW146*'难度参数'!$E$28*'章节与怪物'!$E$17,0),0))</x:f>
        <x:v>297606</x:v>
      </x:c>
      <x:c r="AY146" s="119" t="n">
        <x:f>IF(AV146=0,0,(AV146-IF(7=D146,1,0))*VLOOKUP(INDEX('章节与怪物'!$E$31:$K$37,B146,7),'章节与怪物'!$A$41:$F$44,4,FALSE)+IF(7=D146,'难度参数'!$E$30,0))</x:f>
        <x:v>1220</x:v>
      </x:c>
    </x:row>
    <x:row r="147" ht="23" customHeight="1">
      <x:c r="A147" s="119" t="n">
        <x:v>141</x:v>
      </x:c>
      <x:c r="B147" s="119" t="n">
        <x:f>MOD(INT((A147-1)/5),7)+1</x:f>
        <x:v>1</x:v>
      </x:c>
      <x:c r="C147" s="62" t="str">
        <x:f>INDEX('章节与怪物'!$B$31:$B$37,B147)</x:f>
        <x:v>冰雪荒原</x:v>
      </x:c>
      <x:c r="D147" s="119" t="n">
        <x:f>MIN('难度参数'!$E$8,MAX('难度参数'!$E$7,A147))</x:f>
        <x:v>7</x:v>
      </x:c>
      <x:c r="E147" s="106" t="n">
        <x:v>1</x:v>
      </x:c>
      <x:c r="F147" s="106" t="n">
        <x:v>0</x:v>
      </x:c>
      <x:c r="G147" s="106" t="n">
        <x:v>1</x:v>
      </x:c>
      <x:c r="H147" s="119" t="n">
        <x:f>SUM(X147,AB147,AF147,AJ147,AN147,AR147,AV147)</x:f>
        <x:v>187</x:v>
      </x:c>
      <x:c r="I147" s="119" t="n">
        <x:f>SUM(Z147,AD147,AH147,AL147,AP147,AT147,AX147)</x:f>
        <x:v>1144163</x:v>
      </x:c>
      <x:c r="J147" s="119" t="n">
        <x:f>ROUND(INDEX(X147:AY147,1,(D147-1)*4+2)*'难度参数'!$E$28*'章节与怪物'!$E$17,0)</x:f>
        <x:v>43003</x:v>
      </x:c>
      <x:c r="K147" s="119" t="n">
        <x:f>SUM(AA147,AE147,AI147,AM147,AQ147,AU147,AY147)</x:f>
        <x:v>4674</x:v>
      </x:c>
      <x:c r="L147" s="62" t="n">
        <x:f>H147*(ROUNDUP('难度参数'!$E$24/('难度参数'!$E$26*'难度参数'!$E$27),0)*'难度参数'!$E$26)/60</x:f>
        <x:v>2.493333333333333</x:v>
      </x:c>
      <x:c r="M147" s="62" t="n">
        <x:f>L147+D147*('难度参数'!$E$49+'难度参数'!$E$50)/60</x:f>
        <x:v>3.66</x:v>
      </x:c>
      <x:c r="N147" s="119" t="n">
        <x:f>ROUNDDOWN(('经济参数'!$E$20+A147*'经济参数'!$E$21)*G147,0)</x:f>
        <x:v>3000</x:v>
      </x:c>
      <x:c r="O147" s="119" t="n">
        <x:f>ROUNDDOWN(MIN('经济参数'!$E$24,'经济参数'!$E$22+A147*'经济参数'!$E$23)*G147,0)</x:f>
        <x:v>0</x:v>
      </x:c>
      <x:c r="P147" s="119" t="n">
        <x:f>ROUNDDOWN((IF(A147&gt;='材料与任务'!$E$31,'材料与任务'!$E$32,IF(A147&gt;='材料与任务'!$E$25,'材料与任务'!$E$26,IF(A147&gt;='材料与任务'!$E$19,'材料与任务'!$E$20,IF(A147&gt;='材料与任务'!$E$13,'材料与任务'!$E$14,'材料与任务'!$E$8)))))*G147,0)</x:f>
        <x:v>6</x:v>
      </x:c>
      <x:c r="Q147" s="119" t="n">
        <x:f>ROUNDDOWN((IF(A147&gt;='材料与任务'!$E$31,'材料与任务'!$E$33,IF(A147&gt;='材料与任务'!$E$25,'材料与任务'!$E$27,IF(A147&gt;='材料与任务'!$E$19,'材料与任务'!$E$21,IF(A147&gt;='材料与任务'!$E$13,'材料与任务'!$E$15,'材料与任务'!$E$9)))))*G147,0)</x:f>
        <x:v>3</x:v>
      </x:c>
      <x:c r="R147" s="110" t="n">
        <x:f>'装备掉落'!$B$38</x:f>
        <x:v>0.6872058758851213</x:v>
      </x:c>
      <x:c r="S147" s="119" t="n">
        <x:f>MAX(IF(VLOOKUP(A147,'装备掉落'!$A$29:$H$34,2,TRUE)&gt;0,1,0),IF(VLOOKUP(A147,'装备掉落'!$A$29:$H$34,3,TRUE)&gt;0,2,0),IF(VLOOKUP(A147,'装备掉落'!$A$29:$H$34,4,TRUE)&gt;0,3,0),IF(VLOOKUP(A147,'装备掉落'!$A$29:$H$34,5,TRUE)&gt;0,4,0),IF(VLOOKUP(A147,'装备掉落'!$A$29:$H$34,6,TRUE)&gt;0,5,0),IF(VLOOKUP(A147,'装备掉落'!$A$29:$H$34,7,TRUE)&gt;0,6,0),IF(VLOOKUP(A147,'装备掉落'!$A$29:$H$34,8,TRUE)&gt;0,7,0))</x:f>
        <x:v>7</x:v>
      </x:c>
      <x:c r="T147" s="119" t="n">
        <x:f>MIN(7,S147+'经济参数'!$E$70)</x:f>
        <x:v>7</x:v>
      </x:c>
      <x:c r="U147" s="119" t="n">
        <x:f>MIN(7,S147+'经济参数'!$E$71)</x:f>
        <x:v>7</x:v>
      </x:c>
      <x:c r="V147" s="119" t="n">
        <x:f>IF(H147&gt;=('难度参数'!$E$52),1,0)+IF(H147&gt;=('难度参数'!$E$52+'难度参数'!$E$53),1,0)+IF(H147&gt;=('难度参数'!$E$52+'难度参数'!$E$53+'难度参数'!$E$54),1,0)+IF(H147&gt;=('难度参数'!$E$52+'难度参数'!$E$53+'难度参数'!$E$54+'难度参数'!$E$55),1,0)+IF(H147&gt;=('难度参数'!$E$52+'难度参数'!$E$53+'难度参数'!$E$54+'难度参数'!$E$55+'难度参数'!$E$56),1,0)+IF(H147&gt;=('难度参数'!$E$52+'难度参数'!$E$53+'难度参数'!$E$54+'难度参数'!$E$55+'难度参数'!$E$56+'难度参数'!$E$57),1,0)</x:f>
        <x:v>6</x:v>
      </x:c>
      <x:c r="W147" s="62" t="str">
        <x:f>IF(L147&gt;'难度参数'!$E$51,"仅出怪已超目标","还需实测")</x:f>
        <x:v>还需实测</x:v>
      </x:c>
      <x:c r="X147" s="119" t="n">
        <x:f>IF(1&gt;D147,0,MAX(2,MIN('难度参数'!$E$12,ROUND(('难度参数'!$E$18*POWER(A147,'难度参数'!$E$19)/D147*(0.85+0.3*(1-1)/MAX(1,D147-1))),0)+F147)))</x:f>
        <x:v>23</x:v>
      </x:c>
      <x:c r="Y147" s="119" t="n">
        <x:f>IF(1&gt;D147,0,ROUND(('难度参数'!$E$13*POWER(A147,'难度参数'!$E$20)*MIN('难度参数'!$E$23,1+MAX(0,A147-'难度参数'!$E$21)*'难度参数'!$E$22))*(36+1*7)/(36+7*(D147+1)/2)*E147,0))</x:f>
        <x:v>3199</x:v>
      </x:c>
      <x:c r="Z147" s="119" t="n">
        <x:f>IF(X147=0,0,(X147-IF(1=D147,1,0))*ROUND(Y147*VLOOKUP(INDEX('章节与怪物'!$E$31:$K$37,B147,1),'章节与怪物'!$A$41:$F$44,2,FALSE),0)+IF(1=D147,ROUND(Y147*'难度参数'!$E$28*'章节与怪物'!$E$17,0),0))</x:f>
        <x:v>73577</x:v>
      </x:c>
      <x:c r="AA147" s="119" t="n">
        <x:f>IF(X147=0,0,(X147-IF(1=D147,1,0))*VLOOKUP(INDEX('章节与怪物'!$E$31:$K$37,B147,1),'章节与怪物'!$A$41:$F$44,4,FALSE)+IF(1=D147,'难度参数'!$E$30,0))</x:f>
        <x:v>414</x:v>
      </x:c>
      <x:c r="AB147" s="119" t="n">
        <x:f>IF(2&gt;D147,0,MAX(2,MIN('难度参数'!$E$12,ROUND(('难度参数'!$E$18*POWER(A147,'难度参数'!$E$19)/D147*(0.85+0.3*(2-1)/MAX(1,D147-1))),0)+F147)))</x:f>
        <x:v>24</x:v>
      </x:c>
      <x:c r="AC147" s="119" t="n">
        <x:f>IF(2&gt;D147,0,ROUND(('难度参数'!$E$13*POWER(A147,'难度参数'!$E$20)*MIN('难度参数'!$E$23,1+MAX(0,A147-'难度参数'!$E$21)*'难度参数'!$E$22))*(36+2*7)/(36+7*(D147+1)/2)*E147,0))</x:f>
        <x:v>3720</x:v>
      </x:c>
      <x:c r="AD147" s="119" t="n">
        <x:f>IF(AB147=0,0,(AB147-IF(2=D147,1,0))*ROUND(AC147*VLOOKUP(INDEX('章节与怪物'!$E$31:$K$37,B147,2),'章节与怪物'!$A$41:$F$44,2,FALSE),0)+IF(2=D147,ROUND(AC147*'难度参数'!$E$28*'章节与怪物'!$E$17,0),0))</x:f>
        <x:v>89280</x:v>
      </x:c>
      <x:c r="AE147" s="119" t="n">
        <x:f>IF(AB147=0,0,(AB147-IF(2=D147,1,0))*VLOOKUP(INDEX('章节与怪物'!$E$31:$K$37,B147,2),'章节与怪物'!$A$41:$F$44,4,FALSE)+IF(2=D147,'难度参数'!$E$30,0))</x:f>
        <x:v>432</x:v>
      </x:c>
      <x:c r="AF147" s="119" t="n">
        <x:f>IF(3&gt;D147,0,MAX(2,MIN('难度参数'!$E$12,ROUND(('难度参数'!$E$18*POWER(A147,'难度参数'!$E$19)/D147*(0.85+0.3*(3-1)/MAX(1,D147-1))),0)+F147)))</x:f>
        <x:v>25</x:v>
      </x:c>
      <x:c r="AG147" s="119" t="n">
        <x:f>IF(3&gt;D147,0,ROUND(('难度参数'!$E$13*POWER(A147,'难度参数'!$E$20)*MIN('难度参数'!$E$23,1+MAX(0,A147-'难度参数'!$E$21)*'难度参数'!$E$22))*(36+3*7)/(36+7*(D147+1)/2)*E147,0))</x:f>
        <x:v>4241</x:v>
      </x:c>
      <x:c r="AH147" s="119" t="n">
        <x:f>IF(AF147=0,0,(AF147-IF(3=D147,1,0))*ROUND(AG147*VLOOKUP(INDEX('章节与怪物'!$E$31:$K$37,B147,3),'章节与怪物'!$A$41:$F$44,2,FALSE),0)+IF(3=D147,ROUND(AG147*'难度参数'!$E$28*'章节与怪物'!$E$17,0),0))</x:f>
        <x:v>76350</x:v>
      </x:c>
      <x:c r="AI147" s="119" t="n">
        <x:f>IF(AF147=0,0,(AF147-IF(3=D147,1,0))*VLOOKUP(INDEX('章节与怪物'!$E$31:$K$37,B147,3),'章节与怪物'!$A$41:$F$44,4,FALSE)+IF(3=D147,'难度参数'!$E$30,0))</x:f>
        <x:v>500</x:v>
      </x:c>
      <x:c r="AJ147" s="119" t="n">
        <x:f>IF(4&gt;D147,0,MAX(2,MIN('难度参数'!$E$12,ROUND(('难度参数'!$E$18*POWER(A147,'难度参数'!$E$19)/D147*(0.85+0.3*(4-1)/MAX(1,D147-1))),0)+F147)))</x:f>
        <x:v>27</x:v>
      </x:c>
      <x:c r="AK147" s="119" t="n">
        <x:f>IF(4&gt;D147,0,ROUND(('难度参数'!$E$13*POWER(A147,'难度参数'!$E$20)*MIN('难度参数'!$E$23,1+MAX(0,A147-'难度参数'!$E$21)*'难度参数'!$E$22))*(36+4*7)/(36+7*(D147+1)/2)*E147,0))</x:f>
        <x:v>4762</x:v>
      </x:c>
      <x:c r="AL147" s="119" t="n">
        <x:f>IF(AJ147=0,0,(AJ147-IF(4=D147,1,0))*ROUND(AK147*VLOOKUP(INDEX('章节与怪物'!$E$31:$K$37,B147,4),'章节与怪物'!$A$41:$F$44,2,FALSE),0)+IF(4=D147,ROUND(AK147*'难度参数'!$E$28*'章节与怪物'!$E$17,0),0))</x:f>
        <x:v>218565</x:v>
      </x:c>
      <x:c r="AM147" s="119" t="n">
        <x:f>IF(AJ147=0,0,(AJ147-IF(4=D147,1,0))*VLOOKUP(INDEX('章节与怪物'!$E$31:$K$37,B147,4),'章节与怪物'!$A$41:$F$44,4,FALSE)+IF(4=D147,'难度参数'!$E$30,0))</x:f>
        <x:v>756</x:v>
      </x:c>
      <x:c r="AN147" s="119" t="n">
        <x:f>IF(5&gt;D147,0,MAX(2,MIN('难度参数'!$E$12,ROUND(('难度参数'!$E$18*POWER(A147,'难度参数'!$E$19)/D147*(0.85+0.3*(5-1)/MAX(1,D147-1))),0)+F147)))</x:f>
        <x:v>28</x:v>
      </x:c>
      <x:c r="AO147" s="119" t="n">
        <x:f>IF(5&gt;D147,0,ROUND(('难度参数'!$E$13*POWER(A147,'难度参数'!$E$20)*MIN('难度参数'!$E$23,1+MAX(0,A147-'难度参数'!$E$21)*'难度参数'!$E$22))*(36+5*7)/(36+7*(D147+1)/2)*E147,0))</x:f>
        <x:v>5283</x:v>
      </x:c>
      <x:c r="AP147" s="119" t="n">
        <x:f>IF(AN147=0,0,(AN147-IF(5=D147,1,0))*ROUND(AO147*VLOOKUP(INDEX('章节与怪物'!$E$31:$K$37,B147,5),'章节与怪物'!$A$41:$F$44,2,FALSE),0)+IF(5=D147,ROUND(AO147*'难度参数'!$E$28*'章节与怪物'!$E$17,0),0))</x:f>
        <x:v>199696</x:v>
      </x:c>
      <x:c r="AQ147" s="119" t="n">
        <x:f>IF(AN147=0,0,(AN147-IF(5=D147,1,0))*VLOOKUP(INDEX('章节与怪物'!$E$31:$K$37,B147,5),'章节与怪物'!$A$41:$F$44,4,FALSE)+IF(5=D147,'难度参数'!$E$30,0))</x:f>
        <x:v>952</x:v>
      </x:c>
      <x:c r="AR147" s="119" t="n">
        <x:f>IF(6&gt;D147,0,MAX(2,MIN('难度参数'!$E$12,ROUND(('难度参数'!$E$18*POWER(A147,'难度参数'!$E$19)/D147*(0.85+0.3*(6-1)/MAX(1,D147-1))),0)+F147)))</x:f>
        <x:v>29</x:v>
      </x:c>
      <x:c r="AS147" s="119" t="n">
        <x:f>IF(6&gt;D147,0,ROUND(('难度参数'!$E$13*POWER(A147,'难度参数'!$E$20)*MIN('难度参数'!$E$23,1+MAX(0,A147-'难度参数'!$E$21)*'难度参数'!$E$22))*(36+6*7)/(36+7*(D147+1)/2)*E147,0))</x:f>
        <x:v>5803</x:v>
      </x:c>
      <x:c r="AT147" s="119" t="n">
        <x:f>IF(AR147=0,0,(AR147-IF(6=D147,1,0))*ROUND(AS147*VLOOKUP(INDEX('章节与怪物'!$E$31:$K$37,B147,6),'章节与怪物'!$A$41:$F$44,2,FALSE),0)+IF(6=D147,ROUND(AS147*'难度参数'!$E$28*'章节与怪物'!$E$17,0),0))</x:f>
        <x:v>121162</x:v>
      </x:c>
      <x:c r="AU147" s="119" t="n">
        <x:f>IF(AR147=0,0,(AR147-IF(6=D147,1,0))*VLOOKUP(INDEX('章节与怪物'!$E$31:$K$37,B147,6),'章节与怪物'!$A$41:$F$44,4,FALSE)+IF(6=D147,'难度参数'!$E$30,0))</x:f>
        <x:v>580</x:v>
      </x:c>
      <x:c r="AV147" s="119" t="n">
        <x:f>IF(7&gt;D147,0,MAX(2,MIN('难度参数'!$E$12,ROUND(('难度参数'!$E$18*POWER(A147,'难度参数'!$E$19)/D147*(0.85+0.3*(7-1)/MAX(1,D147-1))),0)+F147)))</x:f>
        <x:v>31</x:v>
      </x:c>
      <x:c r="AW147" s="119" t="n">
        <x:f>IF(7&gt;D147,0,ROUND(('难度参数'!$E$13*POWER(A147,'难度参数'!$E$20)*MIN('难度参数'!$E$23,1+MAX(0,A147-'难度参数'!$E$21)*'难度参数'!$E$22))*(36+7*7)/(36+7*(D147+1)/2)*E147,0))</x:f>
        <x:v>6324</x:v>
      </x:c>
      <x:c r="AX147" s="119" t="n">
        <x:f>IF(AV147=0,0,(AV147-IF(7=D147,1,0))*ROUND(AW147*VLOOKUP(INDEX('章节与怪物'!$E$31:$K$37,B147,7),'章节与怪物'!$A$41:$F$44,2,FALSE),0)+IF(7=D147,ROUND(AW147*'难度参数'!$E$28*'章节与怪物'!$E$17,0),0))</x:f>
        <x:v>365533</x:v>
      </x:c>
      <x:c r="AY147" s="119" t="n">
        <x:f>IF(AV147=0,0,(AV147-IF(7=D147,1,0))*VLOOKUP(INDEX('章节与怪物'!$E$31:$K$37,B147,7),'章节与怪物'!$A$41:$F$44,4,FALSE)+IF(7=D147,'难度参数'!$E$30,0))</x:f>
        <x:v>1040</x:v>
      </x:c>
    </x:row>
    <x:row r="148" ht="23" customHeight="1">
      <x:c r="A148" s="119" t="n">
        <x:v>142</x:v>
      </x:c>
      <x:c r="B148" s="119" t="n">
        <x:f>MOD(INT((A148-1)/5),7)+1</x:f>
        <x:v>1</x:v>
      </x:c>
      <x:c r="C148" s="62" t="str">
        <x:f>INDEX('章节与怪物'!$B$31:$B$37,B148)</x:f>
        <x:v>冰雪荒原</x:v>
      </x:c>
      <x:c r="D148" s="119" t="n">
        <x:f>MIN('难度参数'!$E$8,MAX('难度参数'!$E$7,A148))</x:f>
        <x:v>7</x:v>
      </x:c>
      <x:c r="E148" s="106" t="n">
        <x:v>1</x:v>
      </x:c>
      <x:c r="F148" s="106" t="n">
        <x:v>0</x:v>
      </x:c>
      <x:c r="G148" s="106" t="n">
        <x:v>1</x:v>
      </x:c>
      <x:c r="H148" s="119" t="n">
        <x:f>SUM(X148,AB148,AF148,AJ148,AN148,AR148,AV148)</x:f>
        <x:v>187</x:v>
      </x:c>
      <x:c r="I148" s="119" t="n">
        <x:f>SUM(Z148,AD148,AH148,AL148,AP148,AT148,AX148)</x:f>
        <x:v>1150071</x:v>
      </x:c>
      <x:c r="J148" s="119" t="n">
        <x:f>ROUND(INDEX(X148:AY148,1,(D148-1)*4+2)*'难度参数'!$E$28*'章节与怪物'!$E$17,0)</x:f>
        <x:v>43228</x:v>
      </x:c>
      <x:c r="K148" s="119" t="n">
        <x:f>SUM(AA148,AE148,AI148,AM148,AQ148,AU148,AY148)</x:f>
        <x:v>4674</x:v>
      </x:c>
      <x:c r="L148" s="62" t="n">
        <x:f>H148*(ROUNDUP('难度参数'!$E$24/('难度参数'!$E$26*'难度参数'!$E$27),0)*'难度参数'!$E$26)/60</x:f>
        <x:v>2.493333333333333</x:v>
      </x:c>
      <x:c r="M148" s="62" t="n">
        <x:f>L148+D148*('难度参数'!$E$49+'难度参数'!$E$50)/60</x:f>
        <x:v>3.66</x:v>
      </x:c>
      <x:c r="N148" s="119" t="n">
        <x:f>ROUNDDOWN(('经济参数'!$E$20+A148*'经济参数'!$E$21)*G148,0)</x:f>
        <x:v>3020</x:v>
      </x:c>
      <x:c r="O148" s="119" t="n">
        <x:f>ROUNDDOWN(MIN('经济参数'!$E$24,'经济参数'!$E$22+A148*'经济参数'!$E$23)*G148,0)</x:f>
        <x:v>0</x:v>
      </x:c>
      <x:c r="P148" s="119" t="n">
        <x:f>ROUNDDOWN((IF(A148&gt;='材料与任务'!$E$31,'材料与任务'!$E$32,IF(A148&gt;='材料与任务'!$E$25,'材料与任务'!$E$26,IF(A148&gt;='材料与任务'!$E$19,'材料与任务'!$E$20,IF(A148&gt;='材料与任务'!$E$13,'材料与任务'!$E$14,'材料与任务'!$E$8)))))*G148,0)</x:f>
        <x:v>6</x:v>
      </x:c>
      <x:c r="Q148" s="119" t="n">
        <x:f>ROUNDDOWN((IF(A148&gt;='材料与任务'!$E$31,'材料与任务'!$E$33,IF(A148&gt;='材料与任务'!$E$25,'材料与任务'!$E$27,IF(A148&gt;='材料与任务'!$E$19,'材料与任务'!$E$21,IF(A148&gt;='材料与任务'!$E$13,'材料与任务'!$E$15,'材料与任务'!$E$9)))))*G148,0)</x:f>
        <x:v>3</x:v>
      </x:c>
      <x:c r="R148" s="110" t="n">
        <x:f>'装备掉落'!$B$38</x:f>
        <x:v>0.6872058758851213</x:v>
      </x:c>
      <x:c r="S148" s="119" t="n">
        <x:f>MAX(IF(VLOOKUP(A148,'装备掉落'!$A$29:$H$34,2,TRUE)&gt;0,1,0),IF(VLOOKUP(A148,'装备掉落'!$A$29:$H$34,3,TRUE)&gt;0,2,0),IF(VLOOKUP(A148,'装备掉落'!$A$29:$H$34,4,TRUE)&gt;0,3,0),IF(VLOOKUP(A148,'装备掉落'!$A$29:$H$34,5,TRUE)&gt;0,4,0),IF(VLOOKUP(A148,'装备掉落'!$A$29:$H$34,6,TRUE)&gt;0,5,0),IF(VLOOKUP(A148,'装备掉落'!$A$29:$H$34,7,TRUE)&gt;0,6,0),IF(VLOOKUP(A148,'装备掉落'!$A$29:$H$34,8,TRUE)&gt;0,7,0))</x:f>
        <x:v>7</x:v>
      </x:c>
      <x:c r="T148" s="119" t="n">
        <x:f>MIN(7,S148+'经济参数'!$E$70)</x:f>
        <x:v>7</x:v>
      </x:c>
      <x:c r="U148" s="119" t="n">
        <x:f>MIN(7,S148+'经济参数'!$E$71)</x:f>
        <x:v>7</x:v>
      </x:c>
      <x:c r="V148" s="119" t="n">
        <x:f>IF(H148&gt;=('难度参数'!$E$52),1,0)+IF(H148&gt;=('难度参数'!$E$52+'难度参数'!$E$53),1,0)+IF(H148&gt;=('难度参数'!$E$52+'难度参数'!$E$53+'难度参数'!$E$54),1,0)+IF(H148&gt;=('难度参数'!$E$52+'难度参数'!$E$53+'难度参数'!$E$54+'难度参数'!$E$55),1,0)+IF(H148&gt;=('难度参数'!$E$52+'难度参数'!$E$53+'难度参数'!$E$54+'难度参数'!$E$55+'难度参数'!$E$56),1,0)+IF(H148&gt;=('难度参数'!$E$52+'难度参数'!$E$53+'难度参数'!$E$54+'难度参数'!$E$55+'难度参数'!$E$56+'难度参数'!$E$57),1,0)</x:f>
        <x:v>6</x:v>
      </x:c>
      <x:c r="W148" s="62" t="str">
        <x:f>IF(L148&gt;'难度参数'!$E$51,"仅出怪已超目标","还需实测")</x:f>
        <x:v>还需实测</x:v>
      </x:c>
      <x:c r="X148" s="119" t="n">
        <x:f>IF(1&gt;D148,0,MAX(2,MIN('难度参数'!$E$12,ROUND(('难度参数'!$E$18*POWER(A148,'难度参数'!$E$19)/D148*(0.85+0.3*(1-1)/MAX(1,D148-1))),0)+F148)))</x:f>
        <x:v>23</x:v>
      </x:c>
      <x:c r="Y148" s="119" t="n">
        <x:f>IF(1&gt;D148,0,ROUND(('难度参数'!$E$13*POWER(A148,'难度参数'!$E$20)*MIN('难度参数'!$E$23,1+MAX(0,A148-'难度参数'!$E$21)*'难度参数'!$E$22))*(36+1*7)/(36+7*(D148+1)/2)*E148,0))</x:f>
        <x:v>3216</x:v>
      </x:c>
      <x:c r="Z148" s="119" t="n">
        <x:f>IF(X148=0,0,(X148-IF(1=D148,1,0))*ROUND(Y148*VLOOKUP(INDEX('章节与怪物'!$E$31:$K$37,B148,1),'章节与怪物'!$A$41:$F$44,2,FALSE),0)+IF(1=D148,ROUND(Y148*'难度参数'!$E$28*'章节与怪物'!$E$17,0),0))</x:f>
        <x:v>73968</x:v>
      </x:c>
      <x:c r="AA148" s="119" t="n">
        <x:f>IF(X148=0,0,(X148-IF(1=D148,1,0))*VLOOKUP(INDEX('章节与怪物'!$E$31:$K$37,B148,1),'章节与怪物'!$A$41:$F$44,4,FALSE)+IF(1=D148,'难度参数'!$E$30,0))</x:f>
        <x:v>414</x:v>
      </x:c>
      <x:c r="AB148" s="119" t="n">
        <x:f>IF(2&gt;D148,0,MAX(2,MIN('难度参数'!$E$12,ROUND(('难度参数'!$E$18*POWER(A148,'难度参数'!$E$19)/D148*(0.85+0.3*(2-1)/MAX(1,D148-1))),0)+F148)))</x:f>
        <x:v>24</x:v>
      </x:c>
      <x:c r="AC148" s="119" t="n">
        <x:f>IF(2&gt;D148,0,ROUND(('难度参数'!$E$13*POWER(A148,'难度参数'!$E$20)*MIN('难度参数'!$E$23,1+MAX(0,A148-'难度参数'!$E$21)*'难度参数'!$E$22))*(36+2*7)/(36+7*(D148+1)/2)*E148,0))</x:f>
        <x:v>3739</x:v>
      </x:c>
      <x:c r="AD148" s="119" t="n">
        <x:f>IF(AB148=0,0,(AB148-IF(2=D148,1,0))*ROUND(AC148*VLOOKUP(INDEX('章节与怪物'!$E$31:$K$37,B148,2),'章节与怪物'!$A$41:$F$44,2,FALSE),0)+IF(2=D148,ROUND(AC148*'难度参数'!$E$28*'章节与怪物'!$E$17,0),0))</x:f>
        <x:v>89736</x:v>
      </x:c>
      <x:c r="AE148" s="119" t="n">
        <x:f>IF(AB148=0,0,(AB148-IF(2=D148,1,0))*VLOOKUP(INDEX('章节与怪物'!$E$31:$K$37,B148,2),'章节与怪物'!$A$41:$F$44,4,FALSE)+IF(2=D148,'难度参数'!$E$30,0))</x:f>
        <x:v>432</x:v>
      </x:c>
      <x:c r="AF148" s="119" t="n">
        <x:f>IF(3&gt;D148,0,MAX(2,MIN('难度参数'!$E$12,ROUND(('难度参数'!$E$18*POWER(A148,'难度参数'!$E$19)/D148*(0.85+0.3*(3-1)/MAX(1,D148-1))),0)+F148)))</x:f>
        <x:v>25</x:v>
      </x:c>
      <x:c r="AG148" s="119" t="n">
        <x:f>IF(3&gt;D148,0,ROUND(('难度参数'!$E$13*POWER(A148,'难度参数'!$E$20)*MIN('难度参数'!$E$23,1+MAX(0,A148-'难度参数'!$E$21)*'难度参数'!$E$22))*(36+3*7)/(36+7*(D148+1)/2)*E148,0))</x:f>
        <x:v>4263</x:v>
      </x:c>
      <x:c r="AH148" s="119" t="n">
        <x:f>IF(AF148=0,0,(AF148-IF(3=D148,1,0))*ROUND(AG148*VLOOKUP(INDEX('章节与怪物'!$E$31:$K$37,B148,3),'章节与怪物'!$A$41:$F$44,2,FALSE),0)+IF(3=D148,ROUND(AG148*'难度参数'!$E$28*'章节与怪物'!$E$17,0),0))</x:f>
        <x:v>76725</x:v>
      </x:c>
      <x:c r="AI148" s="119" t="n">
        <x:f>IF(AF148=0,0,(AF148-IF(3=D148,1,0))*VLOOKUP(INDEX('章节与怪物'!$E$31:$K$37,B148,3),'章节与怪物'!$A$41:$F$44,4,FALSE)+IF(3=D148,'难度参数'!$E$30,0))</x:f>
        <x:v>500</x:v>
      </x:c>
      <x:c r="AJ148" s="119" t="n">
        <x:f>IF(4&gt;D148,0,MAX(2,MIN('难度参数'!$E$12,ROUND(('难度参数'!$E$18*POWER(A148,'难度参数'!$E$19)/D148*(0.85+0.3*(4-1)/MAX(1,D148-1))),0)+F148)))</x:f>
        <x:v>27</x:v>
      </x:c>
      <x:c r="AK148" s="119" t="n">
        <x:f>IF(4&gt;D148,0,ROUND(('难度参数'!$E$13*POWER(A148,'难度参数'!$E$20)*MIN('难度参数'!$E$23,1+MAX(0,A148-'难度参数'!$E$21)*'难度参数'!$E$22))*(36+4*7)/(36+7*(D148+1)/2)*E148,0))</x:f>
        <x:v>4786</x:v>
      </x:c>
      <x:c r="AL148" s="119" t="n">
        <x:f>IF(AJ148=0,0,(AJ148-IF(4=D148,1,0))*ROUND(AK148*VLOOKUP(INDEX('章节与怪物'!$E$31:$K$37,B148,4),'章节与怪物'!$A$41:$F$44,2,FALSE),0)+IF(4=D148,ROUND(AK148*'难度参数'!$E$28*'章节与怪物'!$E$17,0),0))</x:f>
        <x:v>219672</x:v>
      </x:c>
      <x:c r="AM148" s="119" t="n">
        <x:f>IF(AJ148=0,0,(AJ148-IF(4=D148,1,0))*VLOOKUP(INDEX('章节与怪物'!$E$31:$K$37,B148,4),'章节与怪物'!$A$41:$F$44,4,FALSE)+IF(4=D148,'难度参数'!$E$30,0))</x:f>
        <x:v>756</x:v>
      </x:c>
      <x:c r="AN148" s="119" t="n">
        <x:f>IF(5&gt;D148,0,MAX(2,MIN('难度参数'!$E$12,ROUND(('难度参数'!$E$18*POWER(A148,'难度参数'!$E$19)/D148*(0.85+0.3*(5-1)/MAX(1,D148-1))),0)+F148)))</x:f>
        <x:v>28</x:v>
      </x:c>
      <x:c r="AO148" s="119" t="n">
        <x:f>IF(5&gt;D148,0,ROUND(('难度参数'!$E$13*POWER(A148,'难度参数'!$E$20)*MIN('难度参数'!$E$23,1+MAX(0,A148-'难度参数'!$E$21)*'难度参数'!$E$22))*(36+5*7)/(36+7*(D148+1)/2)*E148,0))</x:f>
        <x:v>5310</x:v>
      </x:c>
      <x:c r="AP148" s="119" t="n">
        <x:f>IF(AN148=0,0,(AN148-IF(5=D148,1,0))*ROUND(AO148*VLOOKUP(INDEX('章节与怪物'!$E$31:$K$37,B148,5),'章节与怪物'!$A$41:$F$44,2,FALSE),0)+IF(5=D148,ROUND(AO148*'难度参数'!$E$28*'章节与怪物'!$E$17,0),0))</x:f>
        <x:v>200732</x:v>
      </x:c>
      <x:c r="AQ148" s="119" t="n">
        <x:f>IF(AN148=0,0,(AN148-IF(5=D148,1,0))*VLOOKUP(INDEX('章节与怪物'!$E$31:$K$37,B148,5),'章节与怪物'!$A$41:$F$44,4,FALSE)+IF(5=D148,'难度参数'!$E$30,0))</x:f>
        <x:v>952</x:v>
      </x:c>
      <x:c r="AR148" s="119" t="n">
        <x:f>IF(6&gt;D148,0,MAX(2,MIN('难度参数'!$E$12,ROUND(('难度参数'!$E$18*POWER(A148,'难度参数'!$E$19)/D148*(0.85+0.3*(6-1)/MAX(1,D148-1))),0)+F148)))</x:f>
        <x:v>29</x:v>
      </x:c>
      <x:c r="AS148" s="119" t="n">
        <x:f>IF(6&gt;D148,0,ROUND(('难度参数'!$E$13*POWER(A148,'难度参数'!$E$20)*MIN('难度参数'!$E$23,1+MAX(0,A148-'难度参数'!$E$21)*'难度参数'!$E$22))*(36+6*7)/(36+7*(D148+1)/2)*E148,0))</x:f>
        <x:v>5833</x:v>
      </x:c>
      <x:c r="AT148" s="119" t="n">
        <x:f>IF(AR148=0,0,(AR148-IF(6=D148,1,0))*ROUND(AS148*VLOOKUP(INDEX('章节与怪物'!$E$31:$K$37,B148,6),'章节与怪物'!$A$41:$F$44,2,FALSE),0)+IF(6=D148,ROUND(AS148*'难度参数'!$E$28*'章节与怪物'!$E$17,0),0))</x:f>
        <x:v>121800</x:v>
      </x:c>
      <x:c r="AU148" s="119" t="n">
        <x:f>IF(AR148=0,0,(AR148-IF(6=D148,1,0))*VLOOKUP(INDEX('章节与怪物'!$E$31:$K$37,B148,6),'章节与怪物'!$A$41:$F$44,4,FALSE)+IF(6=D148,'难度参数'!$E$30,0))</x:f>
        <x:v>580</x:v>
      </x:c>
      <x:c r="AV148" s="119" t="n">
        <x:f>IF(7&gt;D148,0,MAX(2,MIN('难度参数'!$E$12,ROUND(('难度参数'!$E$18*POWER(A148,'难度参数'!$E$19)/D148*(0.85+0.3*(7-1)/MAX(1,D148-1))),0)+F148)))</x:f>
        <x:v>31</x:v>
      </x:c>
      <x:c r="AW148" s="119" t="n">
        <x:f>IF(7&gt;D148,0,ROUND(('难度参数'!$E$13*POWER(A148,'难度参数'!$E$20)*MIN('难度参数'!$E$23,1+MAX(0,A148-'难度参数'!$E$21)*'难度参数'!$E$22))*(36+7*7)/(36+7*(D148+1)/2)*E148,0))</x:f>
        <x:v>6357</x:v>
      </x:c>
      <x:c r="AX148" s="119" t="n">
        <x:f>IF(AV148=0,0,(AV148-IF(7=D148,1,0))*ROUND(AW148*VLOOKUP(INDEX('章节与怪物'!$E$31:$K$37,B148,7),'章节与怪物'!$A$41:$F$44,2,FALSE),0)+IF(7=D148,ROUND(AW148*'难度参数'!$E$28*'章节与怪物'!$E$17,0),0))</x:f>
        <x:v>367438</x:v>
      </x:c>
      <x:c r="AY148" s="119" t="n">
        <x:f>IF(AV148=0,0,(AV148-IF(7=D148,1,0))*VLOOKUP(INDEX('章节与怪物'!$E$31:$K$37,B148,7),'章节与怪物'!$A$41:$F$44,4,FALSE)+IF(7=D148,'难度参数'!$E$30,0))</x:f>
        <x:v>1040</x:v>
      </x:c>
    </x:row>
    <x:row r="149" ht="23" customHeight="1">
      <x:c r="A149" s="119" t="n">
        <x:v>143</x:v>
      </x:c>
      <x:c r="B149" s="119" t="n">
        <x:f>MOD(INT((A149-1)/5),7)+1</x:f>
        <x:v>1</x:v>
      </x:c>
      <x:c r="C149" s="62" t="str">
        <x:f>INDEX('章节与怪物'!$B$31:$B$37,B149)</x:f>
        <x:v>冰雪荒原</x:v>
      </x:c>
      <x:c r="D149" s="119" t="n">
        <x:f>MIN('难度参数'!$E$8,MAX('难度参数'!$E$7,A149))</x:f>
        <x:v>7</x:v>
      </x:c>
      <x:c r="E149" s="106" t="n">
        <x:v>1</x:v>
      </x:c>
      <x:c r="F149" s="106" t="n">
        <x:v>0</x:v>
      </x:c>
      <x:c r="G149" s="106" t="n">
        <x:v>1</x:v>
      </x:c>
      <x:c r="H149" s="119" t="n">
        <x:f>SUM(X149,AB149,AF149,AJ149,AN149,AR149,AV149)</x:f>
        <x:v>187</x:v>
      </x:c>
      <x:c r="I149" s="119" t="n">
        <x:f>SUM(Z149,AD149,AH149,AL149,AP149,AT149,AX149)</x:f>
        <x:v>1155803</x:v>
      </x:c>
      <x:c r="J149" s="119" t="n">
        <x:f>ROUND(INDEX(X149:AY149,1,(D149-1)*4+2)*'难度参数'!$E$28*'章节与怪物'!$E$17,0)</x:f>
        <x:v>43445</x:v>
      </x:c>
      <x:c r="K149" s="119" t="n">
        <x:f>SUM(AA149,AE149,AI149,AM149,AQ149,AU149,AY149)</x:f>
        <x:v>4674</x:v>
      </x:c>
      <x:c r="L149" s="62" t="n">
        <x:f>H149*(ROUNDUP('难度参数'!$E$24/('难度参数'!$E$26*'难度参数'!$E$27),0)*'难度参数'!$E$26)/60</x:f>
        <x:v>2.493333333333333</x:v>
      </x:c>
      <x:c r="M149" s="62" t="n">
        <x:f>L149+D149*('难度参数'!$E$49+'难度参数'!$E$50)/60</x:f>
        <x:v>3.66</x:v>
      </x:c>
      <x:c r="N149" s="119" t="n">
        <x:f>ROUNDDOWN(('经济参数'!$E$20+A149*'经济参数'!$E$21)*G149,0)</x:f>
        <x:v>3040</x:v>
      </x:c>
      <x:c r="O149" s="119" t="n">
        <x:f>ROUNDDOWN(MIN('经济参数'!$E$24,'经济参数'!$E$22+A149*'经济参数'!$E$23)*G149,0)</x:f>
        <x:v>0</x:v>
      </x:c>
      <x:c r="P149" s="119" t="n">
        <x:f>ROUNDDOWN((IF(A149&gt;='材料与任务'!$E$31,'材料与任务'!$E$32,IF(A149&gt;='材料与任务'!$E$25,'材料与任务'!$E$26,IF(A149&gt;='材料与任务'!$E$19,'材料与任务'!$E$20,IF(A149&gt;='材料与任务'!$E$13,'材料与任务'!$E$14,'材料与任务'!$E$8)))))*G149,0)</x:f>
        <x:v>6</x:v>
      </x:c>
      <x:c r="Q149" s="119" t="n">
        <x:f>ROUNDDOWN((IF(A149&gt;='材料与任务'!$E$31,'材料与任务'!$E$33,IF(A149&gt;='材料与任务'!$E$25,'材料与任务'!$E$27,IF(A149&gt;='材料与任务'!$E$19,'材料与任务'!$E$21,IF(A149&gt;='材料与任务'!$E$13,'材料与任务'!$E$15,'材料与任务'!$E$9)))))*G149,0)</x:f>
        <x:v>3</x:v>
      </x:c>
      <x:c r="R149" s="110" t="n">
        <x:f>'装备掉落'!$B$38</x:f>
        <x:v>0.6872058758851213</x:v>
      </x:c>
      <x:c r="S149" s="119" t="n">
        <x:f>MAX(IF(VLOOKUP(A149,'装备掉落'!$A$29:$H$34,2,TRUE)&gt;0,1,0),IF(VLOOKUP(A149,'装备掉落'!$A$29:$H$34,3,TRUE)&gt;0,2,0),IF(VLOOKUP(A149,'装备掉落'!$A$29:$H$34,4,TRUE)&gt;0,3,0),IF(VLOOKUP(A149,'装备掉落'!$A$29:$H$34,5,TRUE)&gt;0,4,0),IF(VLOOKUP(A149,'装备掉落'!$A$29:$H$34,6,TRUE)&gt;0,5,0),IF(VLOOKUP(A149,'装备掉落'!$A$29:$H$34,7,TRUE)&gt;0,6,0),IF(VLOOKUP(A149,'装备掉落'!$A$29:$H$34,8,TRUE)&gt;0,7,0))</x:f>
        <x:v>7</x:v>
      </x:c>
      <x:c r="T149" s="119" t="n">
        <x:f>MIN(7,S149+'经济参数'!$E$70)</x:f>
        <x:v>7</x:v>
      </x:c>
      <x:c r="U149" s="119" t="n">
        <x:f>MIN(7,S149+'经济参数'!$E$71)</x:f>
        <x:v>7</x:v>
      </x:c>
      <x:c r="V149" s="119" t="n">
        <x:f>IF(H149&gt;=('难度参数'!$E$52),1,0)+IF(H149&gt;=('难度参数'!$E$52+'难度参数'!$E$53),1,0)+IF(H149&gt;=('难度参数'!$E$52+'难度参数'!$E$53+'难度参数'!$E$54),1,0)+IF(H149&gt;=('难度参数'!$E$52+'难度参数'!$E$53+'难度参数'!$E$54+'难度参数'!$E$55),1,0)+IF(H149&gt;=('难度参数'!$E$52+'难度参数'!$E$53+'难度参数'!$E$54+'难度参数'!$E$55+'难度参数'!$E$56),1,0)+IF(H149&gt;=('难度参数'!$E$52+'难度参数'!$E$53+'难度参数'!$E$54+'难度参数'!$E$55+'难度参数'!$E$56+'难度参数'!$E$57),1,0)</x:f>
        <x:v>6</x:v>
      </x:c>
      <x:c r="W149" s="62" t="str">
        <x:f>IF(L149&gt;'难度参数'!$E$51,"仅出怪已超目标","还需实测")</x:f>
        <x:v>还需实测</x:v>
      </x:c>
      <x:c r="X149" s="119" t="n">
        <x:f>IF(1&gt;D149,0,MAX(2,MIN('难度参数'!$E$12,ROUND(('难度参数'!$E$18*POWER(A149,'难度参数'!$E$19)/D149*(0.85+0.3*(1-1)/MAX(1,D149-1))),0)+F149)))</x:f>
        <x:v>23</x:v>
      </x:c>
      <x:c r="Y149" s="119" t="n">
        <x:f>IF(1&gt;D149,0,ROUND(('难度参数'!$E$13*POWER(A149,'难度参数'!$E$20)*MIN('难度参数'!$E$23,1+MAX(0,A149-'难度参数'!$E$21)*'难度参数'!$E$22))*(36+1*7)/(36+7*(D149+1)/2)*E149,0))</x:f>
        <x:v>3232</x:v>
      </x:c>
      <x:c r="Z149" s="119" t="n">
        <x:f>IF(X149=0,0,(X149-IF(1=D149,1,0))*ROUND(Y149*VLOOKUP(INDEX('章节与怪物'!$E$31:$K$37,B149,1),'章节与怪物'!$A$41:$F$44,2,FALSE),0)+IF(1=D149,ROUND(Y149*'难度参数'!$E$28*'章节与怪物'!$E$17,0),0))</x:f>
        <x:v>74336</x:v>
      </x:c>
      <x:c r="AA149" s="119" t="n">
        <x:f>IF(X149=0,0,(X149-IF(1=D149,1,0))*VLOOKUP(INDEX('章节与怪物'!$E$31:$K$37,B149,1),'章节与怪物'!$A$41:$F$44,4,FALSE)+IF(1=D149,'难度参数'!$E$30,0))</x:f>
        <x:v>414</x:v>
      </x:c>
      <x:c r="AB149" s="119" t="n">
        <x:f>IF(2&gt;D149,0,MAX(2,MIN('难度参数'!$E$12,ROUND(('难度参数'!$E$18*POWER(A149,'难度参数'!$E$19)/D149*(0.85+0.3*(2-1)/MAX(1,D149-1))),0)+F149)))</x:f>
        <x:v>24</x:v>
      </x:c>
      <x:c r="AC149" s="119" t="n">
        <x:f>IF(2&gt;D149,0,ROUND(('难度参数'!$E$13*POWER(A149,'难度参数'!$E$20)*MIN('难度参数'!$E$23,1+MAX(0,A149-'难度参数'!$E$21)*'难度参数'!$E$22))*(36+2*7)/(36+7*(D149+1)/2)*E149,0))</x:f>
        <x:v>3758</x:v>
      </x:c>
      <x:c r="AD149" s="119" t="n">
        <x:f>IF(AB149=0,0,(AB149-IF(2=D149,1,0))*ROUND(AC149*VLOOKUP(INDEX('章节与怪物'!$E$31:$K$37,B149,2),'章节与怪物'!$A$41:$F$44,2,FALSE),0)+IF(2=D149,ROUND(AC149*'难度参数'!$E$28*'章节与怪物'!$E$17,0),0))</x:f>
        <x:v>90192</x:v>
      </x:c>
      <x:c r="AE149" s="119" t="n">
        <x:f>IF(AB149=0,0,(AB149-IF(2=D149,1,0))*VLOOKUP(INDEX('章节与怪物'!$E$31:$K$37,B149,2),'章节与怪物'!$A$41:$F$44,4,FALSE)+IF(2=D149,'难度参数'!$E$30,0))</x:f>
        <x:v>432</x:v>
      </x:c>
      <x:c r="AF149" s="119" t="n">
        <x:f>IF(3&gt;D149,0,MAX(2,MIN('难度参数'!$E$12,ROUND(('难度参数'!$E$18*POWER(A149,'难度参数'!$E$19)/D149*(0.85+0.3*(3-1)/MAX(1,D149-1))),0)+F149)))</x:f>
        <x:v>25</x:v>
      </x:c>
      <x:c r="AG149" s="119" t="n">
        <x:f>IF(3&gt;D149,0,ROUND(('难度参数'!$E$13*POWER(A149,'难度参数'!$E$20)*MIN('难度参数'!$E$23,1+MAX(0,A149-'难度参数'!$E$21)*'难度参数'!$E$22))*(36+3*7)/(36+7*(D149+1)/2)*E149,0))</x:f>
        <x:v>4284</x:v>
      </x:c>
      <x:c r="AH149" s="119" t="n">
        <x:f>IF(AF149=0,0,(AF149-IF(3=D149,1,0))*ROUND(AG149*VLOOKUP(INDEX('章节与怪物'!$E$31:$K$37,B149,3),'章节与怪物'!$A$41:$F$44,2,FALSE),0)+IF(3=D149,ROUND(AG149*'难度参数'!$E$28*'章节与怪物'!$E$17,0),0))</x:f>
        <x:v>77100</x:v>
      </x:c>
      <x:c r="AI149" s="119" t="n">
        <x:f>IF(AF149=0,0,(AF149-IF(3=D149,1,0))*VLOOKUP(INDEX('章节与怪物'!$E$31:$K$37,B149,3),'章节与怪物'!$A$41:$F$44,4,FALSE)+IF(3=D149,'难度参数'!$E$30,0))</x:f>
        <x:v>500</x:v>
      </x:c>
      <x:c r="AJ149" s="119" t="n">
        <x:f>IF(4&gt;D149,0,MAX(2,MIN('难度参数'!$E$12,ROUND(('难度参数'!$E$18*POWER(A149,'难度参数'!$E$19)/D149*(0.85+0.3*(4-1)/MAX(1,D149-1))),0)+F149)))</x:f>
        <x:v>27</x:v>
      </x:c>
      <x:c r="AK149" s="119" t="n">
        <x:f>IF(4&gt;D149,0,ROUND(('难度参数'!$E$13*POWER(A149,'难度参数'!$E$20)*MIN('难度参数'!$E$23,1+MAX(0,A149-'难度参数'!$E$21)*'难度参数'!$E$22))*(36+4*7)/(36+7*(D149+1)/2)*E149,0))</x:f>
        <x:v>4810</x:v>
      </x:c>
      <x:c r="AL149" s="119" t="n">
        <x:f>IF(AJ149=0,0,(AJ149-IF(4=D149,1,0))*ROUND(AK149*VLOOKUP(INDEX('章节与怪物'!$E$31:$K$37,B149,4),'章节与怪物'!$A$41:$F$44,2,FALSE),0)+IF(4=D149,ROUND(AK149*'难度参数'!$E$28*'章节与怪物'!$E$17,0),0))</x:f>
        <x:v>220779</x:v>
      </x:c>
      <x:c r="AM149" s="119" t="n">
        <x:f>IF(AJ149=0,0,(AJ149-IF(4=D149,1,0))*VLOOKUP(INDEX('章节与怪物'!$E$31:$K$37,B149,4),'章节与怪物'!$A$41:$F$44,4,FALSE)+IF(4=D149,'难度参数'!$E$30,0))</x:f>
        <x:v>756</x:v>
      </x:c>
      <x:c r="AN149" s="119" t="n">
        <x:f>IF(5&gt;D149,0,MAX(2,MIN('难度参数'!$E$12,ROUND(('难度参数'!$E$18*POWER(A149,'难度参数'!$E$19)/D149*(0.85+0.3*(5-1)/MAX(1,D149-1))),0)+F149)))</x:f>
        <x:v>28</x:v>
      </x:c>
      <x:c r="AO149" s="119" t="n">
        <x:f>IF(5&gt;D149,0,ROUND(('难度参数'!$E$13*POWER(A149,'难度参数'!$E$20)*MIN('难度参数'!$E$23,1+MAX(0,A149-'难度参数'!$E$21)*'难度参数'!$E$22))*(36+5*7)/(36+7*(D149+1)/2)*E149,0))</x:f>
        <x:v>5336</x:v>
      </x:c>
      <x:c r="AP149" s="119" t="n">
        <x:f>IF(AN149=0,0,(AN149-IF(5=D149,1,0))*ROUND(AO149*VLOOKUP(INDEX('章节与怪物'!$E$31:$K$37,B149,5),'章节与怪物'!$A$41:$F$44,2,FALSE),0)+IF(5=D149,ROUND(AO149*'难度参数'!$E$28*'章节与怪物'!$E$17,0),0))</x:f>
        <x:v>201712</x:v>
      </x:c>
      <x:c r="AQ149" s="119" t="n">
        <x:f>IF(AN149=0,0,(AN149-IF(5=D149,1,0))*VLOOKUP(INDEX('章节与怪物'!$E$31:$K$37,B149,5),'章节与怪物'!$A$41:$F$44,4,FALSE)+IF(5=D149,'难度参数'!$E$30,0))</x:f>
        <x:v>952</x:v>
      </x:c>
      <x:c r="AR149" s="119" t="n">
        <x:f>IF(6&gt;D149,0,MAX(2,MIN('难度参数'!$E$12,ROUND(('难度参数'!$E$18*POWER(A149,'难度参数'!$E$19)/D149*(0.85+0.3*(6-1)/MAX(1,D149-1))),0)+F149)))</x:f>
        <x:v>29</x:v>
      </x:c>
      <x:c r="AS149" s="119" t="n">
        <x:f>IF(6&gt;D149,0,ROUND(('难度参数'!$E$13*POWER(A149,'难度参数'!$E$20)*MIN('难度参数'!$E$23,1+MAX(0,A149-'难度参数'!$E$21)*'难度参数'!$E$22))*(36+6*7)/(36+7*(D149+1)/2)*E149,0))</x:f>
        <x:v>5863</x:v>
      </x:c>
      <x:c r="AT149" s="119" t="n">
        <x:f>IF(AR149=0,0,(AR149-IF(6=D149,1,0))*ROUND(AS149*VLOOKUP(INDEX('章节与怪物'!$E$31:$K$37,B149,6),'章节与怪物'!$A$41:$F$44,2,FALSE),0)+IF(6=D149,ROUND(AS149*'难度参数'!$E$28*'章节与怪物'!$E$17,0),0))</x:f>
        <x:v>122409</x:v>
      </x:c>
      <x:c r="AU149" s="119" t="n">
        <x:f>IF(AR149=0,0,(AR149-IF(6=D149,1,0))*VLOOKUP(INDEX('章节与怪物'!$E$31:$K$37,B149,6),'章节与怪物'!$A$41:$F$44,4,FALSE)+IF(6=D149,'难度参数'!$E$30,0))</x:f>
        <x:v>580</x:v>
      </x:c>
      <x:c r="AV149" s="119" t="n">
        <x:f>IF(7&gt;D149,0,MAX(2,MIN('难度参数'!$E$12,ROUND(('难度参数'!$E$18*POWER(A149,'难度参数'!$E$19)/D149*(0.85+0.3*(7-1)/MAX(1,D149-1))),0)+F149)))</x:f>
        <x:v>31</x:v>
      </x:c>
      <x:c r="AW149" s="119" t="n">
        <x:f>IF(7&gt;D149,0,ROUND(('难度参数'!$E$13*POWER(A149,'难度参数'!$E$20)*MIN('难度参数'!$E$23,1+MAX(0,A149-'难度参数'!$E$21)*'难度参数'!$E$22))*(36+7*7)/(36+7*(D149+1)/2)*E149,0))</x:f>
        <x:v>6389</x:v>
      </x:c>
      <x:c r="AX149" s="119" t="n">
        <x:f>IF(AV149=0,0,(AV149-IF(7=D149,1,0))*ROUND(AW149*VLOOKUP(INDEX('章节与怪物'!$E$31:$K$37,B149,7),'章节与怪物'!$A$41:$F$44,2,FALSE),0)+IF(7=D149,ROUND(AW149*'难度参数'!$E$28*'章节与怪物'!$E$17,0),0))</x:f>
        <x:v>369275</x:v>
      </x:c>
      <x:c r="AY149" s="119" t="n">
        <x:f>IF(AV149=0,0,(AV149-IF(7=D149,1,0))*VLOOKUP(INDEX('章节与怪物'!$E$31:$K$37,B149,7),'章节与怪物'!$A$41:$F$44,4,FALSE)+IF(7=D149,'难度参数'!$E$30,0))</x:f>
        <x:v>1040</x:v>
      </x:c>
    </x:row>
    <x:row r="150" ht="23" customHeight="1">
      <x:c r="A150" s="119" t="n">
        <x:v>144</x:v>
      </x:c>
      <x:c r="B150" s="119" t="n">
        <x:f>MOD(INT((A150-1)/5),7)+1</x:f>
        <x:v>1</x:v>
      </x:c>
      <x:c r="C150" s="62" t="str">
        <x:f>INDEX('章节与怪物'!$B$31:$B$37,B150)</x:f>
        <x:v>冰雪荒原</x:v>
      </x:c>
      <x:c r="D150" s="119" t="n">
        <x:f>MIN('难度参数'!$E$8,MAX('难度参数'!$E$7,A150))</x:f>
        <x:v>7</x:v>
      </x:c>
      <x:c r="E150" s="106" t="n">
        <x:v>1</x:v>
      </x:c>
      <x:c r="F150" s="106" t="n">
        <x:v>0</x:v>
      </x:c>
      <x:c r="G150" s="106" t="n">
        <x:v>1</x:v>
      </x:c>
      <x:c r="H150" s="119" t="n">
        <x:f>SUM(X150,AB150,AF150,AJ150,AN150,AR150,AV150)</x:f>
        <x:v>189</x:v>
      </x:c>
      <x:c r="I150" s="119" t="n">
        <x:f>SUM(Z150,AD150,AH150,AL150,AP150,AT150,AX150)</x:f>
        <x:v>1169015</x:v>
      </x:c>
      <x:c r="J150" s="119" t="n">
        <x:f>ROUND(INDEX(X150:AY150,1,(D150-1)*4+2)*'难度参数'!$E$28*'章节与怪物'!$E$17,0)</x:f>
        <x:v>43663</x:v>
      </x:c>
      <x:c r="K150" s="119" t="n">
        <x:f>SUM(AA150,AE150,AI150,AM150,AQ150,AU150,AY150)</x:f>
        <x:v>4714</x:v>
      </x:c>
      <x:c r="L150" s="62" t="n">
        <x:f>H150*(ROUNDUP('难度参数'!$E$24/('难度参数'!$E$26*'难度参数'!$E$27),0)*'难度参数'!$E$26)/60</x:f>
        <x:v>2.5200000000000005</x:v>
      </x:c>
      <x:c r="M150" s="62" t="n">
        <x:f>L150+D150*('难度参数'!$E$49+'难度参数'!$E$50)/60</x:f>
        <x:v>3.6866666666666674</x:v>
      </x:c>
      <x:c r="N150" s="119" t="n">
        <x:f>ROUNDDOWN(('经济参数'!$E$20+A150*'经济参数'!$E$21)*G150,0)</x:f>
        <x:v>3060</x:v>
      </x:c>
      <x:c r="O150" s="119" t="n">
        <x:f>ROUNDDOWN(MIN('经济参数'!$E$24,'经济参数'!$E$22+A150*'经济参数'!$E$23)*G150,0)</x:f>
        <x:v>0</x:v>
      </x:c>
      <x:c r="P150" s="119" t="n">
        <x:f>ROUNDDOWN((IF(A150&gt;='材料与任务'!$E$31,'材料与任务'!$E$32,IF(A150&gt;='材料与任务'!$E$25,'材料与任务'!$E$26,IF(A150&gt;='材料与任务'!$E$19,'材料与任务'!$E$20,IF(A150&gt;='材料与任务'!$E$13,'材料与任务'!$E$14,'材料与任务'!$E$8)))))*G150,0)</x:f>
        <x:v>6</x:v>
      </x:c>
      <x:c r="Q150" s="119" t="n">
        <x:f>ROUNDDOWN((IF(A150&gt;='材料与任务'!$E$31,'材料与任务'!$E$33,IF(A150&gt;='材料与任务'!$E$25,'材料与任务'!$E$27,IF(A150&gt;='材料与任务'!$E$19,'材料与任务'!$E$21,IF(A150&gt;='材料与任务'!$E$13,'材料与任务'!$E$15,'材料与任务'!$E$9)))))*G150,0)</x:f>
        <x:v>3</x:v>
      </x:c>
      <x:c r="R150" s="110" t="n">
        <x:f>'装备掉落'!$B$38</x:f>
        <x:v>0.6872058758851213</x:v>
      </x:c>
      <x:c r="S150" s="119" t="n">
        <x:f>MAX(IF(VLOOKUP(A150,'装备掉落'!$A$29:$H$34,2,TRUE)&gt;0,1,0),IF(VLOOKUP(A150,'装备掉落'!$A$29:$H$34,3,TRUE)&gt;0,2,0),IF(VLOOKUP(A150,'装备掉落'!$A$29:$H$34,4,TRUE)&gt;0,3,0),IF(VLOOKUP(A150,'装备掉落'!$A$29:$H$34,5,TRUE)&gt;0,4,0),IF(VLOOKUP(A150,'装备掉落'!$A$29:$H$34,6,TRUE)&gt;0,5,0),IF(VLOOKUP(A150,'装备掉落'!$A$29:$H$34,7,TRUE)&gt;0,6,0),IF(VLOOKUP(A150,'装备掉落'!$A$29:$H$34,8,TRUE)&gt;0,7,0))</x:f>
        <x:v>7</x:v>
      </x:c>
      <x:c r="T150" s="119" t="n">
        <x:f>MIN(7,S150+'经济参数'!$E$70)</x:f>
        <x:v>7</x:v>
      </x:c>
      <x:c r="U150" s="119" t="n">
        <x:f>MIN(7,S150+'经济参数'!$E$71)</x:f>
        <x:v>7</x:v>
      </x:c>
      <x:c r="V150" s="119" t="n">
        <x:f>IF(H150&gt;=('难度参数'!$E$52),1,0)+IF(H150&gt;=('难度参数'!$E$52+'难度参数'!$E$53),1,0)+IF(H150&gt;=('难度参数'!$E$52+'难度参数'!$E$53+'难度参数'!$E$54),1,0)+IF(H150&gt;=('难度参数'!$E$52+'难度参数'!$E$53+'难度参数'!$E$54+'难度参数'!$E$55),1,0)+IF(H150&gt;=('难度参数'!$E$52+'难度参数'!$E$53+'难度参数'!$E$54+'难度参数'!$E$55+'难度参数'!$E$56),1,0)+IF(H150&gt;=('难度参数'!$E$52+'难度参数'!$E$53+'难度参数'!$E$54+'难度参数'!$E$55+'难度参数'!$E$56+'难度参数'!$E$57),1,0)</x:f>
        <x:v>6</x:v>
      </x:c>
      <x:c r="W150" s="62" t="str">
        <x:f>IF(L150&gt;'难度参数'!$E$51,"仅出怪已超目标","还需实测")</x:f>
        <x:v>还需实测</x:v>
      </x:c>
      <x:c r="X150" s="119" t="n">
        <x:f>IF(1&gt;D150,0,MAX(2,MIN('难度参数'!$E$12,ROUND(('难度参数'!$E$18*POWER(A150,'难度参数'!$E$19)/D150*(0.85+0.3*(1-1)/MAX(1,D150-1))),0)+F150)))</x:f>
        <x:v>23</x:v>
      </x:c>
      <x:c r="Y150" s="119" t="n">
        <x:f>IF(1&gt;D150,0,ROUND(('难度参数'!$E$13*POWER(A150,'难度参数'!$E$20)*MIN('难度参数'!$E$23,1+MAX(0,A150-'难度参数'!$E$21)*'难度参数'!$E$22))*(36+1*7)/(36+7*(D150+1)/2)*E150,0))</x:f>
        <x:v>3248</x:v>
      </x:c>
      <x:c r="Z150" s="119" t="n">
        <x:f>IF(X150=0,0,(X150-IF(1=D150,1,0))*ROUND(Y150*VLOOKUP(INDEX('章节与怪物'!$E$31:$K$37,B150,1),'章节与怪物'!$A$41:$F$44,2,FALSE),0)+IF(1=D150,ROUND(Y150*'难度参数'!$E$28*'章节与怪物'!$E$17,0),0))</x:f>
        <x:v>74704</x:v>
      </x:c>
      <x:c r="AA150" s="119" t="n">
        <x:f>IF(X150=0,0,(X150-IF(1=D150,1,0))*VLOOKUP(INDEX('章节与怪物'!$E$31:$K$37,B150,1),'章节与怪物'!$A$41:$F$44,4,FALSE)+IF(1=D150,'难度参数'!$E$30,0))</x:f>
        <x:v>414</x:v>
      </x:c>
      <x:c r="AB150" s="119" t="n">
        <x:f>IF(2&gt;D150,0,MAX(2,MIN('难度参数'!$E$12,ROUND(('难度参数'!$E$18*POWER(A150,'难度参数'!$E$19)/D150*(0.85+0.3*(2-1)/MAX(1,D150-1))),0)+F150)))</x:f>
        <x:v>24</x:v>
      </x:c>
      <x:c r="AC150" s="119" t="n">
        <x:f>IF(2&gt;D150,0,ROUND(('难度参数'!$E$13*POWER(A150,'难度参数'!$E$20)*MIN('难度参数'!$E$23,1+MAX(0,A150-'难度参数'!$E$21)*'难度参数'!$E$22))*(36+2*7)/(36+7*(D150+1)/2)*E150,0))</x:f>
        <x:v>3777</x:v>
      </x:c>
      <x:c r="AD150" s="119" t="n">
        <x:f>IF(AB150=0,0,(AB150-IF(2=D150,1,0))*ROUND(AC150*VLOOKUP(INDEX('章节与怪物'!$E$31:$K$37,B150,2),'章节与怪物'!$A$41:$F$44,2,FALSE),0)+IF(2=D150,ROUND(AC150*'难度参数'!$E$28*'章节与怪物'!$E$17,0),0))</x:f>
        <x:v>90648</x:v>
      </x:c>
      <x:c r="AE150" s="119" t="n">
        <x:f>IF(AB150=0,0,(AB150-IF(2=D150,1,0))*VLOOKUP(INDEX('章节与怪物'!$E$31:$K$37,B150,2),'章节与怪物'!$A$41:$F$44,4,FALSE)+IF(2=D150,'难度参数'!$E$30,0))</x:f>
        <x:v>432</x:v>
      </x:c>
      <x:c r="AF150" s="119" t="n">
        <x:f>IF(3&gt;D150,0,MAX(2,MIN('难度参数'!$E$12,ROUND(('难度参数'!$E$18*POWER(A150,'难度参数'!$E$19)/D150*(0.85+0.3*(3-1)/MAX(1,D150-1))),0)+F150)))</x:f>
        <x:v>26</x:v>
      </x:c>
      <x:c r="AG150" s="119" t="n">
        <x:f>IF(3&gt;D150,0,ROUND(('难度参数'!$E$13*POWER(A150,'难度参数'!$E$20)*MIN('难度参数'!$E$23,1+MAX(0,A150-'难度参数'!$E$21)*'难度参数'!$E$22))*(36+3*7)/(36+7*(D150+1)/2)*E150,0))</x:f>
        <x:v>4306</x:v>
      </x:c>
      <x:c r="AH150" s="119" t="n">
        <x:f>IF(AF150=0,0,(AF150-IF(3=D150,1,0))*ROUND(AG150*VLOOKUP(INDEX('章节与怪物'!$E$31:$K$37,B150,3),'章节与怪物'!$A$41:$F$44,2,FALSE),0)+IF(3=D150,ROUND(AG150*'难度参数'!$E$28*'章节与怪物'!$E$17,0),0))</x:f>
        <x:v>80600</x:v>
      </x:c>
      <x:c r="AI150" s="119" t="n">
        <x:f>IF(AF150=0,0,(AF150-IF(3=D150,1,0))*VLOOKUP(INDEX('章节与怪物'!$E$31:$K$37,B150,3),'章节与怪物'!$A$41:$F$44,4,FALSE)+IF(3=D150,'难度参数'!$E$30,0))</x:f>
        <x:v>520</x:v>
      </x:c>
      <x:c r="AJ150" s="119" t="n">
        <x:f>IF(4&gt;D150,0,MAX(2,MIN('难度参数'!$E$12,ROUND(('难度参数'!$E$18*POWER(A150,'难度参数'!$E$19)/D150*(0.85+0.3*(4-1)/MAX(1,D150-1))),0)+F150)))</x:f>
        <x:v>27</x:v>
      </x:c>
      <x:c r="AK150" s="119" t="n">
        <x:f>IF(4&gt;D150,0,ROUND(('难度参数'!$E$13*POWER(A150,'难度参数'!$E$20)*MIN('难度参数'!$E$23,1+MAX(0,A150-'难度参数'!$E$21)*'难度参数'!$E$22))*(36+4*7)/(36+7*(D150+1)/2)*E150,0))</x:f>
        <x:v>4835</x:v>
      </x:c>
      <x:c r="AL150" s="119" t="n">
        <x:f>IF(AJ150=0,0,(AJ150-IF(4=D150,1,0))*ROUND(AK150*VLOOKUP(INDEX('章节与怪物'!$E$31:$K$37,B150,4),'章节与怪物'!$A$41:$F$44,2,FALSE),0)+IF(4=D150,ROUND(AK150*'难度参数'!$E$28*'章节与怪物'!$E$17,0),0))</x:f>
        <x:v>221940</x:v>
      </x:c>
      <x:c r="AM150" s="119" t="n">
        <x:f>IF(AJ150=0,0,(AJ150-IF(4=D150,1,0))*VLOOKUP(INDEX('章节与怪物'!$E$31:$K$37,B150,4),'章节与怪物'!$A$41:$F$44,4,FALSE)+IF(4=D150,'难度参数'!$E$30,0))</x:f>
        <x:v>756</x:v>
      </x:c>
      <x:c r="AN150" s="119" t="n">
        <x:f>IF(5&gt;D150,0,MAX(2,MIN('难度参数'!$E$12,ROUND(('难度参数'!$E$18*POWER(A150,'难度参数'!$E$19)/D150*(0.85+0.3*(5-1)/MAX(1,D150-1))),0)+F150)))</x:f>
        <x:v>28</x:v>
      </x:c>
      <x:c r="AO150" s="119" t="n">
        <x:f>IF(5&gt;D150,0,ROUND(('难度参数'!$E$13*POWER(A150,'难度参数'!$E$20)*MIN('难度参数'!$E$23,1+MAX(0,A150-'难度参数'!$E$21)*'难度参数'!$E$22))*(36+5*7)/(36+7*(D150+1)/2)*E150,0))</x:f>
        <x:v>5363</x:v>
      </x:c>
      <x:c r="AP150" s="119" t="n">
        <x:f>IF(AN150=0,0,(AN150-IF(5=D150,1,0))*ROUND(AO150*VLOOKUP(INDEX('章节与怪物'!$E$31:$K$37,B150,5),'章节与怪物'!$A$41:$F$44,2,FALSE),0)+IF(5=D150,ROUND(AO150*'难度参数'!$E$28*'章节与怪物'!$E$17,0),0))</x:f>
        <x:v>202720</x:v>
      </x:c>
      <x:c r="AQ150" s="119" t="n">
        <x:f>IF(AN150=0,0,(AN150-IF(5=D150,1,0))*VLOOKUP(INDEX('章节与怪物'!$E$31:$K$37,B150,5),'章节与怪物'!$A$41:$F$44,4,FALSE)+IF(5=D150,'难度参数'!$E$30,0))</x:f>
        <x:v>952</x:v>
      </x:c>
      <x:c r="AR150" s="119" t="n">
        <x:f>IF(6&gt;D150,0,MAX(2,MIN('难度参数'!$E$12,ROUND(('难度参数'!$E$18*POWER(A150,'难度参数'!$E$19)/D150*(0.85+0.3*(6-1)/MAX(1,D150-1))),0)+F150)))</x:f>
        <x:v>30</x:v>
      </x:c>
      <x:c r="AS150" s="119" t="n">
        <x:f>IF(6&gt;D150,0,ROUND(('难度参数'!$E$13*POWER(A150,'难度参数'!$E$20)*MIN('难度参数'!$E$23,1+MAX(0,A150-'难度参数'!$E$21)*'难度参数'!$E$22))*(36+6*7)/(36+7*(D150+1)/2)*E150,0))</x:f>
        <x:v>5892</x:v>
      </x:c>
      <x:c r="AT150" s="119" t="n">
        <x:f>IF(AR150=0,0,(AR150-IF(6=D150,1,0))*ROUND(AS150*VLOOKUP(INDEX('章节与怪物'!$E$31:$K$37,B150,6),'章节与怪物'!$A$41:$F$44,2,FALSE),0)+IF(6=D150,ROUND(AS150*'难度参数'!$E$28*'章节与怪物'!$E$17,0),0))</x:f>
        <x:v>127260</x:v>
      </x:c>
      <x:c r="AU150" s="119" t="n">
        <x:f>IF(AR150=0,0,(AR150-IF(6=D150,1,0))*VLOOKUP(INDEX('章节与怪物'!$E$31:$K$37,B150,6),'章节与怪物'!$A$41:$F$44,4,FALSE)+IF(6=D150,'难度参数'!$E$30,0))</x:f>
        <x:v>600</x:v>
      </x:c>
      <x:c r="AV150" s="119" t="n">
        <x:f>IF(7&gt;D150,0,MAX(2,MIN('难度参数'!$E$12,ROUND(('难度参数'!$E$18*POWER(A150,'难度参数'!$E$19)/D150*(0.85+0.3*(7-1)/MAX(1,D150-1))),0)+F150)))</x:f>
        <x:v>31</x:v>
      </x:c>
      <x:c r="AW150" s="119" t="n">
        <x:f>IF(7&gt;D150,0,ROUND(('难度参数'!$E$13*POWER(A150,'难度参数'!$E$20)*MIN('难度参数'!$E$23,1+MAX(0,A150-'难度参数'!$E$21)*'难度参数'!$E$22))*(36+7*7)/(36+7*(D150+1)/2)*E150,0))</x:f>
        <x:v>6421</x:v>
      </x:c>
      <x:c r="AX150" s="119" t="n">
        <x:f>IF(AV150=0,0,(AV150-IF(7=D150,1,0))*ROUND(AW150*VLOOKUP(INDEX('章节与怪物'!$E$31:$K$37,B150,7),'章节与怪物'!$A$41:$F$44,2,FALSE),0)+IF(7=D150,ROUND(AW150*'难度参数'!$E$28*'章节与怪物'!$E$17,0),0))</x:f>
        <x:v>371143</x:v>
      </x:c>
      <x:c r="AY150" s="119" t="n">
        <x:f>IF(AV150=0,0,(AV150-IF(7=D150,1,0))*VLOOKUP(INDEX('章节与怪物'!$E$31:$K$37,B150,7),'章节与怪物'!$A$41:$F$44,4,FALSE)+IF(7=D150,'难度参数'!$E$30,0))</x:f>
        <x:v>1040</x:v>
      </x:c>
    </x:row>
    <x:row r="151" ht="23" customHeight="1">
      <x:c r="A151" s="119" t="n">
        <x:v>145</x:v>
      </x:c>
      <x:c r="B151" s="119" t="n">
        <x:f>MOD(INT((A151-1)/5),7)+1</x:f>
        <x:v>1</x:v>
      </x:c>
      <x:c r="C151" s="62" t="str">
        <x:f>INDEX('章节与怪物'!$B$31:$B$37,B151)</x:f>
        <x:v>冰雪荒原</x:v>
      </x:c>
      <x:c r="D151" s="119" t="n">
        <x:f>MIN('难度参数'!$E$8,MAX('难度参数'!$E$7,A151))</x:f>
        <x:v>7</x:v>
      </x:c>
      <x:c r="E151" s="106" t="n">
        <x:v>1</x:v>
      </x:c>
      <x:c r="F151" s="106" t="n">
        <x:v>0</x:v>
      </x:c>
      <x:c r="G151" s="106" t="n">
        <x:v>1</x:v>
      </x:c>
      <x:c r="H151" s="119" t="n">
        <x:f>SUM(X151,AB151,AF151,AJ151,AN151,AR151,AV151)</x:f>
        <x:v>189</x:v>
      </x:c>
      <x:c r="I151" s="119" t="n">
        <x:f>SUM(Z151,AD151,AH151,AL151,AP151,AT151,AX151)</x:f>
        <x:v>1174842</x:v>
      </x:c>
      <x:c r="J151" s="119" t="n">
        <x:f>ROUND(INDEX(X151:AY151,1,(D151-1)*4+2)*'难度参数'!$E$28*'章节与怪物'!$E$17,0)</x:f>
        <x:v>43880</x:v>
      </x:c>
      <x:c r="K151" s="119" t="n">
        <x:f>SUM(AA151,AE151,AI151,AM151,AQ151,AU151,AY151)</x:f>
        <x:v>4714</x:v>
      </x:c>
      <x:c r="L151" s="62" t="n">
        <x:f>H151*(ROUNDUP('难度参数'!$E$24/('难度参数'!$E$26*'难度参数'!$E$27),0)*'难度参数'!$E$26)/60</x:f>
        <x:v>2.5200000000000005</x:v>
      </x:c>
      <x:c r="M151" s="62" t="n">
        <x:f>L151+D151*('难度参数'!$E$49+'难度参数'!$E$50)/60</x:f>
        <x:v>3.6866666666666674</x:v>
      </x:c>
      <x:c r="N151" s="119" t="n">
        <x:f>ROUNDDOWN(('经济参数'!$E$20+A151*'经济参数'!$E$21)*G151,0)</x:f>
        <x:v>3080</x:v>
      </x:c>
      <x:c r="O151" s="119" t="n">
        <x:f>ROUNDDOWN(MIN('经济参数'!$E$24,'经济参数'!$E$22+A151*'经济参数'!$E$23)*G151,0)</x:f>
        <x:v>0</x:v>
      </x:c>
      <x:c r="P151" s="119" t="n">
        <x:f>ROUNDDOWN((IF(A151&gt;='材料与任务'!$E$31,'材料与任务'!$E$32,IF(A151&gt;='材料与任务'!$E$25,'材料与任务'!$E$26,IF(A151&gt;='材料与任务'!$E$19,'材料与任务'!$E$20,IF(A151&gt;='材料与任务'!$E$13,'材料与任务'!$E$14,'材料与任务'!$E$8)))))*G151,0)</x:f>
        <x:v>6</x:v>
      </x:c>
      <x:c r="Q151" s="119" t="n">
        <x:f>ROUNDDOWN((IF(A151&gt;='材料与任务'!$E$31,'材料与任务'!$E$33,IF(A151&gt;='材料与任务'!$E$25,'材料与任务'!$E$27,IF(A151&gt;='材料与任务'!$E$19,'材料与任务'!$E$21,IF(A151&gt;='材料与任务'!$E$13,'材料与任务'!$E$15,'材料与任务'!$E$9)))))*G151,0)</x:f>
        <x:v>3</x:v>
      </x:c>
      <x:c r="R151" s="110" t="n">
        <x:f>'装备掉落'!$B$38</x:f>
        <x:v>0.6872058758851213</x:v>
      </x:c>
      <x:c r="S151" s="119" t="n">
        <x:f>MAX(IF(VLOOKUP(A151,'装备掉落'!$A$29:$H$34,2,TRUE)&gt;0,1,0),IF(VLOOKUP(A151,'装备掉落'!$A$29:$H$34,3,TRUE)&gt;0,2,0),IF(VLOOKUP(A151,'装备掉落'!$A$29:$H$34,4,TRUE)&gt;0,3,0),IF(VLOOKUP(A151,'装备掉落'!$A$29:$H$34,5,TRUE)&gt;0,4,0),IF(VLOOKUP(A151,'装备掉落'!$A$29:$H$34,6,TRUE)&gt;0,5,0),IF(VLOOKUP(A151,'装备掉落'!$A$29:$H$34,7,TRUE)&gt;0,6,0),IF(VLOOKUP(A151,'装备掉落'!$A$29:$H$34,8,TRUE)&gt;0,7,0))</x:f>
        <x:v>7</x:v>
      </x:c>
      <x:c r="T151" s="119" t="n">
        <x:f>MIN(7,S151+'经济参数'!$E$70)</x:f>
        <x:v>7</x:v>
      </x:c>
      <x:c r="U151" s="119" t="n">
        <x:f>MIN(7,S151+'经济参数'!$E$71)</x:f>
        <x:v>7</x:v>
      </x:c>
      <x:c r="V151" s="119" t="n">
        <x:f>IF(H151&gt;=('难度参数'!$E$52),1,0)+IF(H151&gt;=('难度参数'!$E$52+'难度参数'!$E$53),1,0)+IF(H151&gt;=('难度参数'!$E$52+'难度参数'!$E$53+'难度参数'!$E$54),1,0)+IF(H151&gt;=('难度参数'!$E$52+'难度参数'!$E$53+'难度参数'!$E$54+'难度参数'!$E$55),1,0)+IF(H151&gt;=('难度参数'!$E$52+'难度参数'!$E$53+'难度参数'!$E$54+'难度参数'!$E$55+'难度参数'!$E$56),1,0)+IF(H151&gt;=('难度参数'!$E$52+'难度参数'!$E$53+'难度参数'!$E$54+'难度参数'!$E$55+'难度参数'!$E$56+'难度参数'!$E$57),1,0)</x:f>
        <x:v>6</x:v>
      </x:c>
      <x:c r="W151" s="62" t="str">
        <x:f>IF(L151&gt;'难度参数'!$E$51,"仅出怪已超目标","还需实测")</x:f>
        <x:v>还需实测</x:v>
      </x:c>
      <x:c r="X151" s="119" t="n">
        <x:f>IF(1&gt;D151,0,MAX(2,MIN('难度参数'!$E$12,ROUND(('难度参数'!$E$18*POWER(A151,'难度参数'!$E$19)/D151*(0.85+0.3*(1-1)/MAX(1,D151-1))),0)+F151)))</x:f>
        <x:v>23</x:v>
      </x:c>
      <x:c r="Y151" s="119" t="n">
        <x:f>IF(1&gt;D151,0,ROUND(('难度参数'!$E$13*POWER(A151,'难度参数'!$E$20)*MIN('难度参数'!$E$23,1+MAX(0,A151-'难度参数'!$E$21)*'难度参数'!$E$22))*(36+1*7)/(36+7*(D151+1)/2)*E151,0))</x:f>
        <x:v>3264</x:v>
      </x:c>
      <x:c r="Z151" s="119" t="n">
        <x:f>IF(X151=0,0,(X151-IF(1=D151,1,0))*ROUND(Y151*VLOOKUP(INDEX('章节与怪物'!$E$31:$K$37,B151,1),'章节与怪物'!$A$41:$F$44,2,FALSE),0)+IF(1=D151,ROUND(Y151*'难度参数'!$E$28*'章节与怪物'!$E$17,0),0))</x:f>
        <x:v>75072</x:v>
      </x:c>
      <x:c r="AA151" s="119" t="n">
        <x:f>IF(X151=0,0,(X151-IF(1=D151,1,0))*VLOOKUP(INDEX('章节与怪物'!$E$31:$K$37,B151,1),'章节与怪物'!$A$41:$F$44,4,FALSE)+IF(1=D151,'难度参数'!$E$30,0))</x:f>
        <x:v>414</x:v>
      </x:c>
      <x:c r="AB151" s="119" t="n">
        <x:f>IF(2&gt;D151,0,MAX(2,MIN('难度参数'!$E$12,ROUND(('难度参数'!$E$18*POWER(A151,'难度参数'!$E$19)/D151*(0.85+0.3*(2-1)/MAX(1,D151-1))),0)+F151)))</x:f>
        <x:v>24</x:v>
      </x:c>
      <x:c r="AC151" s="119" t="n">
        <x:f>IF(2&gt;D151,0,ROUND(('难度参数'!$E$13*POWER(A151,'难度参数'!$E$20)*MIN('难度参数'!$E$23,1+MAX(0,A151-'难度参数'!$E$21)*'难度参数'!$E$22))*(36+2*7)/(36+7*(D151+1)/2)*E151,0))</x:f>
        <x:v>3796</x:v>
      </x:c>
      <x:c r="AD151" s="119" t="n">
        <x:f>IF(AB151=0,0,(AB151-IF(2=D151,1,0))*ROUND(AC151*VLOOKUP(INDEX('章节与怪物'!$E$31:$K$37,B151,2),'章节与怪物'!$A$41:$F$44,2,FALSE),0)+IF(2=D151,ROUND(AC151*'难度参数'!$E$28*'章节与怪物'!$E$17,0),0))</x:f>
        <x:v>91104</x:v>
      </x:c>
      <x:c r="AE151" s="119" t="n">
        <x:f>IF(AB151=0,0,(AB151-IF(2=D151,1,0))*VLOOKUP(INDEX('章节与怪物'!$E$31:$K$37,B151,2),'章节与怪物'!$A$41:$F$44,4,FALSE)+IF(2=D151,'难度参数'!$E$30,0))</x:f>
        <x:v>432</x:v>
      </x:c>
      <x:c r="AF151" s="119" t="n">
        <x:f>IF(3&gt;D151,0,MAX(2,MIN('难度参数'!$E$12,ROUND(('难度参数'!$E$18*POWER(A151,'难度参数'!$E$19)/D151*(0.85+0.3*(3-1)/MAX(1,D151-1))),0)+F151)))</x:f>
        <x:v>26</x:v>
      </x:c>
      <x:c r="AG151" s="119" t="n">
        <x:f>IF(3&gt;D151,0,ROUND(('难度参数'!$E$13*POWER(A151,'难度参数'!$E$20)*MIN('难度参数'!$E$23,1+MAX(0,A151-'难度参数'!$E$21)*'难度参数'!$E$22))*(36+3*7)/(36+7*(D151+1)/2)*E151,0))</x:f>
        <x:v>4327</x:v>
      </x:c>
      <x:c r="AH151" s="119" t="n">
        <x:f>IF(AF151=0,0,(AF151-IF(3=D151,1,0))*ROUND(AG151*VLOOKUP(INDEX('章节与怪物'!$E$31:$K$37,B151,3),'章节与怪物'!$A$41:$F$44,2,FALSE),0)+IF(3=D151,ROUND(AG151*'难度参数'!$E$28*'章节与怪物'!$E$17,0),0))</x:f>
        <x:v>80990</x:v>
      </x:c>
      <x:c r="AI151" s="119" t="n">
        <x:f>IF(AF151=0,0,(AF151-IF(3=D151,1,0))*VLOOKUP(INDEX('章节与怪物'!$E$31:$K$37,B151,3),'章节与怪物'!$A$41:$F$44,4,FALSE)+IF(3=D151,'难度参数'!$E$30,0))</x:f>
        <x:v>520</x:v>
      </x:c>
      <x:c r="AJ151" s="119" t="n">
        <x:f>IF(4&gt;D151,0,MAX(2,MIN('难度参数'!$E$12,ROUND(('难度参数'!$E$18*POWER(A151,'难度参数'!$E$19)/D151*(0.85+0.3*(4-1)/MAX(1,D151-1))),0)+F151)))</x:f>
        <x:v>27</x:v>
      </x:c>
      <x:c r="AK151" s="119" t="n">
        <x:f>IF(4&gt;D151,0,ROUND(('难度参数'!$E$13*POWER(A151,'难度参数'!$E$20)*MIN('难度参数'!$E$23,1+MAX(0,A151-'难度参数'!$E$21)*'难度参数'!$E$22))*(36+4*7)/(36+7*(D151+1)/2)*E151,0))</x:f>
        <x:v>4859</x:v>
      </x:c>
      <x:c r="AL151" s="119" t="n">
        <x:f>IF(AJ151=0,0,(AJ151-IF(4=D151,1,0))*ROUND(AK151*VLOOKUP(INDEX('章节与怪物'!$E$31:$K$37,B151,4),'章节与怪物'!$A$41:$F$44,2,FALSE),0)+IF(4=D151,ROUND(AK151*'难度参数'!$E$28*'章节与怪物'!$E$17,0),0))</x:f>
        <x:v>223020</x:v>
      </x:c>
      <x:c r="AM151" s="119" t="n">
        <x:f>IF(AJ151=0,0,(AJ151-IF(4=D151,1,0))*VLOOKUP(INDEX('章节与怪物'!$E$31:$K$37,B151,4),'章节与怪物'!$A$41:$F$44,4,FALSE)+IF(4=D151,'难度参数'!$E$30,0))</x:f>
        <x:v>756</x:v>
      </x:c>
      <x:c r="AN151" s="119" t="n">
        <x:f>IF(5&gt;D151,0,MAX(2,MIN('难度参数'!$E$12,ROUND(('难度参数'!$E$18*POWER(A151,'难度参数'!$E$19)/D151*(0.85+0.3*(5-1)/MAX(1,D151-1))),0)+F151)))</x:f>
        <x:v>28</x:v>
      </x:c>
      <x:c r="AO151" s="119" t="n">
        <x:f>IF(5&gt;D151,0,ROUND(('难度参数'!$E$13*POWER(A151,'难度参数'!$E$20)*MIN('难度参数'!$E$23,1+MAX(0,A151-'难度参数'!$E$21)*'难度参数'!$E$22))*(36+5*7)/(36+7*(D151+1)/2)*E151,0))</x:f>
        <x:v>5390</x:v>
      </x:c>
      <x:c r="AP151" s="119" t="n">
        <x:f>IF(AN151=0,0,(AN151-IF(5=D151,1,0))*ROUND(AO151*VLOOKUP(INDEX('章节与怪物'!$E$31:$K$37,B151,5),'章节与怪物'!$A$41:$F$44,2,FALSE),0)+IF(5=D151,ROUND(AO151*'难度参数'!$E$28*'章节与怪物'!$E$17,0),0))</x:f>
        <x:v>203756</x:v>
      </x:c>
      <x:c r="AQ151" s="119" t="n">
        <x:f>IF(AN151=0,0,(AN151-IF(5=D151,1,0))*VLOOKUP(INDEX('章节与怪物'!$E$31:$K$37,B151,5),'章节与怪物'!$A$41:$F$44,4,FALSE)+IF(5=D151,'难度参数'!$E$30,0))</x:f>
        <x:v>952</x:v>
      </x:c>
      <x:c r="AR151" s="119" t="n">
        <x:f>IF(6&gt;D151,0,MAX(2,MIN('难度参数'!$E$12,ROUND(('难度参数'!$E$18*POWER(A151,'难度参数'!$E$19)/D151*(0.85+0.3*(6-1)/MAX(1,D151-1))),0)+F151)))</x:f>
        <x:v>30</x:v>
      </x:c>
      <x:c r="AS151" s="119" t="n">
        <x:f>IF(6&gt;D151,0,ROUND(('难度参数'!$E$13*POWER(A151,'难度参数'!$E$20)*MIN('难度参数'!$E$23,1+MAX(0,A151-'难度参数'!$E$21)*'难度参数'!$E$22))*(36+6*7)/(36+7*(D151+1)/2)*E151,0))</x:f>
        <x:v>5922</x:v>
      </x:c>
      <x:c r="AT151" s="119" t="n">
        <x:f>IF(AR151=0,0,(AR151-IF(6=D151,1,0))*ROUND(AS151*VLOOKUP(INDEX('章节与怪物'!$E$31:$K$37,B151,6),'章节与怪物'!$A$41:$F$44,2,FALSE),0)+IF(6=D151,ROUND(AS151*'难度参数'!$E$28*'章节与怪物'!$E$17,0),0))</x:f>
        <x:v>127920</x:v>
      </x:c>
      <x:c r="AU151" s="119" t="n">
        <x:f>IF(AR151=0,0,(AR151-IF(6=D151,1,0))*VLOOKUP(INDEX('章节与怪物'!$E$31:$K$37,B151,6),'章节与怪物'!$A$41:$F$44,4,FALSE)+IF(6=D151,'难度参数'!$E$30,0))</x:f>
        <x:v>600</x:v>
      </x:c>
      <x:c r="AV151" s="119" t="n">
        <x:f>IF(7&gt;D151,0,MAX(2,MIN('难度参数'!$E$12,ROUND(('难度参数'!$E$18*POWER(A151,'难度参数'!$E$19)/D151*(0.85+0.3*(7-1)/MAX(1,D151-1))),0)+F151)))</x:f>
        <x:v>31</x:v>
      </x:c>
      <x:c r="AW151" s="119" t="n">
        <x:f>IF(7&gt;D151,0,ROUND(('难度参数'!$E$13*POWER(A151,'难度参数'!$E$20)*MIN('难度参数'!$E$23,1+MAX(0,A151-'难度参数'!$E$21)*'难度参数'!$E$22))*(36+7*7)/(36+7*(D151+1)/2)*E151,0))</x:f>
        <x:v>6453</x:v>
      </x:c>
      <x:c r="AX151" s="119" t="n">
        <x:f>IF(AV151=0,0,(AV151-IF(7=D151,1,0))*ROUND(AW151*VLOOKUP(INDEX('章节与怪物'!$E$31:$K$37,B151,7),'章节与怪物'!$A$41:$F$44,2,FALSE),0)+IF(7=D151,ROUND(AW151*'难度参数'!$E$28*'章节与怪物'!$E$17,0),0))</x:f>
        <x:v>372980</x:v>
      </x:c>
      <x:c r="AY151" s="119" t="n">
        <x:f>IF(AV151=0,0,(AV151-IF(7=D151,1,0))*VLOOKUP(INDEX('章节与怪物'!$E$31:$K$37,B151,7),'章节与怪物'!$A$41:$F$44,4,FALSE)+IF(7=D151,'难度参数'!$E$30,0))</x:f>
        <x:v>1040</x:v>
      </x:c>
    </x:row>
    <x:row r="152" ht="23" customHeight="1">
      <x:c r="A152" s="119" t="n">
        <x:v>146</x:v>
      </x:c>
      <x:c r="B152" s="119" t="n">
        <x:f>MOD(INT((A152-1)/5),7)+1</x:f>
        <x:v>2</x:v>
      </x:c>
      <x:c r="C152" s="62" t="str">
        <x:f>INDEX('章节与怪物'!$B$31:$B$37,B152)</x:f>
        <x:v>黄沙要塞</x:v>
      </x:c>
      <x:c r="D152" s="119" t="n">
        <x:f>MIN('难度参数'!$E$8,MAX('难度参数'!$E$7,A152))</x:f>
        <x:v>7</x:v>
      </x:c>
      <x:c r="E152" s="106" t="n">
        <x:v>1</x:v>
      </x:c>
      <x:c r="F152" s="106" t="n">
        <x:v>0</x:v>
      </x:c>
      <x:c r="G152" s="106" t="n">
        <x:v>1</x:v>
      </x:c>
      <x:c r="H152" s="119" t="n">
        <x:f>SUM(X152,AB152,AF152,AJ152,AN152,AR152,AV152)</x:f>
        <x:v>189</x:v>
      </x:c>
      <x:c r="I152" s="119" t="n">
        <x:f>SUM(Z152,AD152,AH152,AL152,AP152,AT152,AX152)</x:f>
        <x:v>1278022</x:v>
      </x:c>
      <x:c r="J152" s="119" t="n">
        <x:f>ROUND(INDEX(X152:AY152,1,(D152-1)*4+2)*'难度参数'!$E$28*'章节与怪物'!$E$17,0)</x:f>
        <x:v>44098</x:v>
      </x:c>
      <x:c r="K152" s="119" t="n">
        <x:f>SUM(AA152,AE152,AI152,AM152,AQ152,AU152,AY152)</x:f>
        <x:v>5102</x:v>
      </x:c>
      <x:c r="L152" s="62" t="n">
        <x:f>H152*(ROUNDUP('难度参数'!$E$24/('难度参数'!$E$26*'难度参数'!$E$27),0)*'难度参数'!$E$26)/60</x:f>
        <x:v>2.5200000000000005</x:v>
      </x:c>
      <x:c r="M152" s="62" t="n">
        <x:f>L152+D152*('难度参数'!$E$49+'难度参数'!$E$50)/60</x:f>
        <x:v>3.6866666666666674</x:v>
      </x:c>
      <x:c r="N152" s="119" t="n">
        <x:f>ROUNDDOWN(('经济参数'!$E$20+A152*'经济参数'!$E$21)*G152,0)</x:f>
        <x:v>3100</x:v>
      </x:c>
      <x:c r="O152" s="119" t="n">
        <x:f>ROUNDDOWN(MIN('经济参数'!$E$24,'经济参数'!$E$22+A152*'经济参数'!$E$23)*G152,0)</x:f>
        <x:v>0</x:v>
      </x:c>
      <x:c r="P152" s="119" t="n">
        <x:f>ROUNDDOWN((IF(A152&gt;='材料与任务'!$E$31,'材料与任务'!$E$32,IF(A152&gt;='材料与任务'!$E$25,'材料与任务'!$E$26,IF(A152&gt;='材料与任务'!$E$19,'材料与任务'!$E$20,IF(A152&gt;='材料与任务'!$E$13,'材料与任务'!$E$14,'材料与任务'!$E$8)))))*G152,0)</x:f>
        <x:v>6</x:v>
      </x:c>
      <x:c r="Q152" s="119" t="n">
        <x:f>ROUNDDOWN((IF(A152&gt;='材料与任务'!$E$31,'材料与任务'!$E$33,IF(A152&gt;='材料与任务'!$E$25,'材料与任务'!$E$27,IF(A152&gt;='材料与任务'!$E$19,'材料与任务'!$E$21,IF(A152&gt;='材料与任务'!$E$13,'材料与任务'!$E$15,'材料与任务'!$E$9)))))*G152,0)</x:f>
        <x:v>3</x:v>
      </x:c>
      <x:c r="R152" s="110" t="n">
        <x:f>'装备掉落'!$B$38</x:f>
        <x:v>0.6872058758851213</x:v>
      </x:c>
      <x:c r="S152" s="119" t="n">
        <x:f>MAX(IF(VLOOKUP(A152,'装备掉落'!$A$29:$H$34,2,TRUE)&gt;0,1,0),IF(VLOOKUP(A152,'装备掉落'!$A$29:$H$34,3,TRUE)&gt;0,2,0),IF(VLOOKUP(A152,'装备掉落'!$A$29:$H$34,4,TRUE)&gt;0,3,0),IF(VLOOKUP(A152,'装备掉落'!$A$29:$H$34,5,TRUE)&gt;0,4,0),IF(VLOOKUP(A152,'装备掉落'!$A$29:$H$34,6,TRUE)&gt;0,5,0),IF(VLOOKUP(A152,'装备掉落'!$A$29:$H$34,7,TRUE)&gt;0,6,0),IF(VLOOKUP(A152,'装备掉落'!$A$29:$H$34,8,TRUE)&gt;0,7,0))</x:f>
        <x:v>7</x:v>
      </x:c>
      <x:c r="T152" s="119" t="n">
        <x:f>MIN(7,S152+'经济参数'!$E$70)</x:f>
        <x:v>7</x:v>
      </x:c>
      <x:c r="U152" s="119" t="n">
        <x:f>MIN(7,S152+'经济参数'!$E$71)</x:f>
        <x:v>7</x:v>
      </x:c>
      <x:c r="V152" s="119" t="n">
        <x:f>IF(H152&gt;=('难度参数'!$E$52),1,0)+IF(H152&gt;=('难度参数'!$E$52+'难度参数'!$E$53),1,0)+IF(H152&gt;=('难度参数'!$E$52+'难度参数'!$E$53+'难度参数'!$E$54),1,0)+IF(H152&gt;=('难度参数'!$E$52+'难度参数'!$E$53+'难度参数'!$E$54+'难度参数'!$E$55),1,0)+IF(H152&gt;=('难度参数'!$E$52+'难度参数'!$E$53+'难度参数'!$E$54+'难度参数'!$E$55+'难度参数'!$E$56),1,0)+IF(H152&gt;=('难度参数'!$E$52+'难度参数'!$E$53+'难度参数'!$E$54+'难度参数'!$E$55+'难度参数'!$E$56+'难度参数'!$E$57),1,0)</x:f>
        <x:v>6</x:v>
      </x:c>
      <x:c r="W152" s="62" t="str">
        <x:f>IF(L152&gt;'难度参数'!$E$51,"仅出怪已超目标","还需实测")</x:f>
        <x:v>还需实测</x:v>
      </x:c>
      <x:c r="X152" s="119" t="n">
        <x:f>IF(1&gt;D152,0,MAX(2,MIN('难度参数'!$E$12,ROUND(('难度参数'!$E$18*POWER(A152,'难度参数'!$E$19)/D152*(0.85+0.3*(1-1)/MAX(1,D152-1))),0)+F152)))</x:f>
        <x:v>23</x:v>
      </x:c>
      <x:c r="Y152" s="119" t="n">
        <x:f>IF(1&gt;D152,0,ROUND(('难度参数'!$E$13*POWER(A152,'难度参数'!$E$20)*MIN('难度参数'!$E$23,1+MAX(0,A152-'难度参数'!$E$21)*'难度参数'!$E$22))*(36+1*7)/(36+7*(D152+1)/2)*E152,0))</x:f>
        <x:v>3281</x:v>
      </x:c>
      <x:c r="Z152" s="119" t="n">
        <x:f>IF(X152=0,0,(X152-IF(1=D152,1,0))*ROUND(Y152*VLOOKUP(INDEX('章节与怪物'!$E$31:$K$37,B152,1),'章节与怪物'!$A$41:$F$44,2,FALSE),0)+IF(1=D152,ROUND(Y152*'难度参数'!$E$28*'章节与怪物'!$E$17,0),0))</x:f>
        <x:v>54326</x:v>
      </x:c>
      <x:c r="AA152" s="119" t="n">
        <x:f>IF(X152=0,0,(X152-IF(1=D152,1,0))*VLOOKUP(INDEX('章节与怪物'!$E$31:$K$37,B152,1),'章节与怪物'!$A$41:$F$44,4,FALSE)+IF(1=D152,'难度参数'!$E$30,0))</x:f>
        <x:v>460</x:v>
      </x:c>
      <x:c r="AB152" s="119" t="n">
        <x:f>IF(2&gt;D152,0,MAX(2,MIN('难度参数'!$E$12,ROUND(('难度参数'!$E$18*POWER(A152,'难度参数'!$E$19)/D152*(0.85+0.3*(2-1)/MAX(1,D152-1))),0)+F152)))</x:f>
        <x:v>24</x:v>
      </x:c>
      <x:c r="AC152" s="119" t="n">
        <x:f>IF(2&gt;D152,0,ROUND(('难度参数'!$E$13*POWER(A152,'难度参数'!$E$20)*MIN('难度参数'!$E$23,1+MAX(0,A152-'难度参数'!$E$21)*'难度参数'!$E$22))*(36+2*7)/(36+7*(D152+1)/2)*E152,0))</x:f>
        <x:v>3815</x:v>
      </x:c>
      <x:c r="AD152" s="119" t="n">
        <x:f>IF(AB152=0,0,(AB152-IF(2=D152,1,0))*ROUND(AC152*VLOOKUP(INDEX('章节与怪物'!$E$31:$K$37,B152,2),'章节与怪物'!$A$41:$F$44,2,FALSE),0)+IF(2=D152,ROUND(AC152*'难度参数'!$E$28*'章节与怪物'!$E$17,0),0))</x:f>
        <x:v>91560</x:v>
      </x:c>
      <x:c r="AE152" s="119" t="n">
        <x:f>IF(AB152=0,0,(AB152-IF(2=D152,1,0))*VLOOKUP(INDEX('章节与怪物'!$E$31:$K$37,B152,2),'章节与怪物'!$A$41:$F$44,4,FALSE)+IF(2=D152,'难度参数'!$E$30,0))</x:f>
        <x:v>432</x:v>
      </x:c>
      <x:c r="AF152" s="119" t="n">
        <x:f>IF(3&gt;D152,0,MAX(2,MIN('难度参数'!$E$12,ROUND(('难度参数'!$E$18*POWER(A152,'难度参数'!$E$19)/D152*(0.85+0.3*(3-1)/MAX(1,D152-1))),0)+F152)))</x:f>
        <x:v>26</x:v>
      </x:c>
      <x:c r="AG152" s="119" t="n">
        <x:f>IF(3&gt;D152,0,ROUND(('难度参数'!$E$13*POWER(A152,'难度参数'!$E$20)*MIN('难度参数'!$E$23,1+MAX(0,A152-'难度参数'!$E$21)*'难度参数'!$E$22))*(36+3*7)/(36+7*(D152+1)/2)*E152,0))</x:f>
        <x:v>4349</x:v>
      </x:c>
      <x:c r="AH152" s="119" t="n">
        <x:f>IF(AF152=0,0,(AF152-IF(3=D152,1,0))*ROUND(AG152*VLOOKUP(INDEX('章节与怪物'!$E$31:$K$37,B152,3),'章节与怪物'!$A$41:$F$44,2,FALSE),0)+IF(3=D152,ROUND(AG152*'难度参数'!$E$28*'章节与怪物'!$E$17,0),0))</x:f>
        <x:v>192218</x:v>
      </x:c>
      <x:c r="AI152" s="119" t="n">
        <x:f>IF(AF152=0,0,(AF152-IF(3=D152,1,0))*VLOOKUP(INDEX('章节与怪物'!$E$31:$K$37,B152,3),'章节与怪物'!$A$41:$F$44,4,FALSE)+IF(3=D152,'难度参数'!$E$30,0))</x:f>
        <x:v>728</x:v>
      </x:c>
      <x:c r="AJ152" s="119" t="n">
        <x:f>IF(4&gt;D152,0,MAX(2,MIN('难度参数'!$E$12,ROUND(('难度参数'!$E$18*POWER(A152,'难度参数'!$E$19)/D152*(0.85+0.3*(4-1)/MAX(1,D152-1))),0)+F152)))</x:f>
        <x:v>27</x:v>
      </x:c>
      <x:c r="AK152" s="119" t="n">
        <x:f>IF(4&gt;D152,0,ROUND(('难度参数'!$E$13*POWER(A152,'难度参数'!$E$20)*MIN('难度参数'!$E$23,1+MAX(0,A152-'难度参数'!$E$21)*'难度参数'!$E$22))*(36+4*7)/(36+7*(D152+1)/2)*E152,0))</x:f>
        <x:v>4883</x:v>
      </x:c>
      <x:c r="AL152" s="119" t="n">
        <x:f>IF(AJ152=0,0,(AJ152-IF(4=D152,1,0))*ROUND(AK152*VLOOKUP(INDEX('章节与怪物'!$E$31:$K$37,B152,4),'章节与怪物'!$A$41:$F$44,2,FALSE),0)+IF(4=D152,ROUND(AK152*'难度参数'!$E$28*'章节与怪物'!$E$17,0),0))</x:f>
        <x:v>177984</x:v>
      </x:c>
      <x:c r="AM152" s="119" t="n">
        <x:f>IF(AJ152=0,0,(AJ152-IF(4=D152,1,0))*VLOOKUP(INDEX('章节与怪物'!$E$31:$K$37,B152,4),'章节与怪物'!$A$41:$F$44,4,FALSE)+IF(4=D152,'难度参数'!$E$30,0))</x:f>
        <x:v>918</x:v>
      </x:c>
      <x:c r="AN152" s="119" t="n">
        <x:f>IF(5&gt;D152,0,MAX(2,MIN('难度参数'!$E$12,ROUND(('难度参数'!$E$18*POWER(A152,'难度参数'!$E$19)/D152*(0.85+0.3*(5-1)/MAX(1,D152-1))),0)+F152)))</x:f>
        <x:v>28</x:v>
      </x:c>
      <x:c r="AO152" s="119" t="n">
        <x:f>IF(5&gt;D152,0,ROUND(('难度参数'!$E$13*POWER(A152,'难度参数'!$E$20)*MIN('难度参数'!$E$23,1+MAX(0,A152-'难度参数'!$E$21)*'难度参数'!$E$22))*(36+5*7)/(36+7*(D152+1)/2)*E152,0))</x:f>
        <x:v>5417</x:v>
      </x:c>
      <x:c r="AP152" s="119" t="n">
        <x:f>IF(AN152=0,0,(AN152-IF(5=D152,1,0))*ROUND(AO152*VLOOKUP(INDEX('章节与怪物'!$E$31:$K$37,B152,5),'章节与怪物'!$A$41:$F$44,2,FALSE),0)+IF(5=D152,ROUND(AO152*'难度参数'!$E$28*'章节与怪物'!$E$17,0),0))</x:f>
        <x:v>151676</x:v>
      </x:c>
      <x:c r="AQ152" s="119" t="n">
        <x:f>IF(AN152=0,0,(AN152-IF(5=D152,1,0))*VLOOKUP(INDEX('章节与怪物'!$E$31:$K$37,B152,5),'章节与怪物'!$A$41:$F$44,4,FALSE)+IF(5=D152,'难度参数'!$E$30,0))</x:f>
        <x:v>504</x:v>
      </x:c>
      <x:c r="AR152" s="119" t="n">
        <x:f>IF(6&gt;D152,0,MAX(2,MIN('难度参数'!$E$12,ROUND(('难度参数'!$E$18*POWER(A152,'难度参数'!$E$19)/D152*(0.85+0.3*(6-1)/MAX(1,D152-1))),0)+F152)))</x:f>
        <x:v>30</x:v>
      </x:c>
      <x:c r="AS152" s="119" t="n">
        <x:f>IF(6&gt;D152,0,ROUND(('难度参数'!$E$13*POWER(A152,'难度参数'!$E$20)*MIN('难度参数'!$E$23,1+MAX(0,A152-'难度参数'!$E$21)*'难度参数'!$E$22))*(36+6*7)/(36+7*(D152+1)/2)*E152,0))</x:f>
        <x:v>5951</x:v>
      </x:c>
      <x:c r="AT152" s="119" t="n">
        <x:f>IF(AR152=0,0,(AR152-IF(6=D152,1,0))*ROUND(AS152*VLOOKUP(INDEX('章节与怪物'!$E$31:$K$37,B152,6),'章节与怪物'!$A$41:$F$44,2,FALSE),0)+IF(6=D152,ROUND(AS152*'难度参数'!$E$28*'章节与怪物'!$E$17,0),0))</x:f>
        <x:v>303510</x:v>
      </x:c>
      <x:c r="AU152" s="119" t="n">
        <x:f>IF(AR152=0,0,(AR152-IF(6=D152,1,0))*VLOOKUP(INDEX('章节与怪物'!$E$31:$K$37,B152,6),'章节与怪物'!$A$41:$F$44,4,FALSE)+IF(6=D152,'难度参数'!$E$30,0))</x:f>
        <x:v>840</x:v>
      </x:c>
      <x:c r="AV152" s="119" t="n">
        <x:f>IF(7&gt;D152,0,MAX(2,MIN('难度参数'!$E$12,ROUND(('难度参数'!$E$18*POWER(A152,'难度参数'!$E$19)/D152*(0.85+0.3*(7-1)/MAX(1,D152-1))),0)+F152)))</x:f>
        <x:v>31</x:v>
      </x:c>
      <x:c r="AW152" s="119" t="n">
        <x:f>IF(7&gt;D152,0,ROUND(('难度参数'!$E$13*POWER(A152,'难度参数'!$E$20)*MIN('难度参数'!$E$23,1+MAX(0,A152-'难度参数'!$E$21)*'难度参数'!$E$22))*(36+7*7)/(36+7*(D152+1)/2)*E152,0))</x:f>
        <x:v>6485</x:v>
      </x:c>
      <x:c r="AX152" s="119" t="n">
        <x:f>IF(AV152=0,0,(AV152-IF(7=D152,1,0))*ROUND(AW152*VLOOKUP(INDEX('章节与怪物'!$E$31:$K$37,B152,7),'章节与怪物'!$A$41:$F$44,2,FALSE),0)+IF(7=D152,ROUND(AW152*'难度参数'!$E$28*'章节与怪物'!$E$17,0),0))</x:f>
        <x:v>306748</x:v>
      </x:c>
      <x:c r="AY152" s="119" t="n">
        <x:f>IF(AV152=0,0,(AV152-IF(7=D152,1,0))*VLOOKUP(INDEX('章节与怪物'!$E$31:$K$37,B152,7),'章节与怪物'!$A$41:$F$44,4,FALSE)+IF(7=D152,'难度参数'!$E$30,0))</x:f>
        <x:v>1220</x:v>
      </x:c>
    </x:row>
    <x:row r="153" ht="23" customHeight="1">
      <x:c r="A153" s="119" t="n">
        <x:v>147</x:v>
      </x:c>
      <x:c r="B153" s="119" t="n">
        <x:f>MOD(INT((A153-1)/5),7)+1</x:f>
        <x:v>2</x:v>
      </x:c>
      <x:c r="C153" s="62" t="str">
        <x:f>INDEX('章节与怪物'!$B$31:$B$37,B153)</x:f>
        <x:v>黄沙要塞</x:v>
      </x:c>
      <x:c r="D153" s="119" t="n">
        <x:f>MIN('难度参数'!$E$8,MAX('难度参数'!$E$7,A153))</x:f>
        <x:v>7</x:v>
      </x:c>
      <x:c r="E153" s="106" t="n">
        <x:v>1</x:v>
      </x:c>
      <x:c r="F153" s="106" t="n">
        <x:v>0</x:v>
      </x:c>
      <x:c r="G153" s="106" t="n">
        <x:v>1</x:v>
      </x:c>
      <x:c r="H153" s="119" t="n">
        <x:f>SUM(X153,AB153,AF153,AJ153,AN153,AR153,AV153)</x:f>
        <x:v>189</x:v>
      </x:c>
      <x:c r="I153" s="119" t="n">
        <x:f>SUM(Z153,AD153,AH153,AL153,AP153,AT153,AX153)</x:f>
        <x:v>1284264</x:v>
      </x:c>
      <x:c r="J153" s="119" t="n">
        <x:f>ROUND(INDEX(X153:AY153,1,(D153-1)*4+2)*'难度参数'!$E$28*'章节与怪物'!$E$17,0)</x:f>
        <x:v>44316</x:v>
      </x:c>
      <x:c r="K153" s="119" t="n">
        <x:f>SUM(AA153,AE153,AI153,AM153,AQ153,AU153,AY153)</x:f>
        <x:v>5102</x:v>
      </x:c>
      <x:c r="L153" s="62" t="n">
        <x:f>H153*(ROUNDUP('难度参数'!$E$24/('难度参数'!$E$26*'难度参数'!$E$27),0)*'难度参数'!$E$26)/60</x:f>
        <x:v>2.5200000000000005</x:v>
      </x:c>
      <x:c r="M153" s="62" t="n">
        <x:f>L153+D153*('难度参数'!$E$49+'难度参数'!$E$50)/60</x:f>
        <x:v>3.6866666666666674</x:v>
      </x:c>
      <x:c r="N153" s="119" t="n">
        <x:f>ROUNDDOWN(('经济参数'!$E$20+A153*'经济参数'!$E$21)*G153,0)</x:f>
        <x:v>3120</x:v>
      </x:c>
      <x:c r="O153" s="119" t="n">
        <x:f>ROUNDDOWN(MIN('经济参数'!$E$24,'经济参数'!$E$22+A153*'经济参数'!$E$23)*G153,0)</x:f>
        <x:v>0</x:v>
      </x:c>
      <x:c r="P153" s="119" t="n">
        <x:f>ROUNDDOWN((IF(A153&gt;='材料与任务'!$E$31,'材料与任务'!$E$32,IF(A153&gt;='材料与任务'!$E$25,'材料与任务'!$E$26,IF(A153&gt;='材料与任务'!$E$19,'材料与任务'!$E$20,IF(A153&gt;='材料与任务'!$E$13,'材料与任务'!$E$14,'材料与任务'!$E$8)))))*G153,0)</x:f>
        <x:v>6</x:v>
      </x:c>
      <x:c r="Q153" s="119" t="n">
        <x:f>ROUNDDOWN((IF(A153&gt;='材料与任务'!$E$31,'材料与任务'!$E$33,IF(A153&gt;='材料与任务'!$E$25,'材料与任务'!$E$27,IF(A153&gt;='材料与任务'!$E$19,'材料与任务'!$E$21,IF(A153&gt;='材料与任务'!$E$13,'材料与任务'!$E$15,'材料与任务'!$E$9)))))*G153,0)</x:f>
        <x:v>3</x:v>
      </x:c>
      <x:c r="R153" s="110" t="n">
        <x:f>'装备掉落'!$B$38</x:f>
        <x:v>0.6872058758851213</x:v>
      </x:c>
      <x:c r="S153" s="119" t="n">
        <x:f>MAX(IF(VLOOKUP(A153,'装备掉落'!$A$29:$H$34,2,TRUE)&gt;0,1,0),IF(VLOOKUP(A153,'装备掉落'!$A$29:$H$34,3,TRUE)&gt;0,2,0),IF(VLOOKUP(A153,'装备掉落'!$A$29:$H$34,4,TRUE)&gt;0,3,0),IF(VLOOKUP(A153,'装备掉落'!$A$29:$H$34,5,TRUE)&gt;0,4,0),IF(VLOOKUP(A153,'装备掉落'!$A$29:$H$34,6,TRUE)&gt;0,5,0),IF(VLOOKUP(A153,'装备掉落'!$A$29:$H$34,7,TRUE)&gt;0,6,0),IF(VLOOKUP(A153,'装备掉落'!$A$29:$H$34,8,TRUE)&gt;0,7,0))</x:f>
        <x:v>7</x:v>
      </x:c>
      <x:c r="T153" s="119" t="n">
        <x:f>MIN(7,S153+'经济参数'!$E$70)</x:f>
        <x:v>7</x:v>
      </x:c>
      <x:c r="U153" s="119" t="n">
        <x:f>MIN(7,S153+'经济参数'!$E$71)</x:f>
        <x:v>7</x:v>
      </x:c>
      <x:c r="V153" s="119" t="n">
        <x:f>IF(H153&gt;=('难度参数'!$E$52),1,0)+IF(H153&gt;=('难度参数'!$E$52+'难度参数'!$E$53),1,0)+IF(H153&gt;=('难度参数'!$E$52+'难度参数'!$E$53+'难度参数'!$E$54),1,0)+IF(H153&gt;=('难度参数'!$E$52+'难度参数'!$E$53+'难度参数'!$E$54+'难度参数'!$E$55),1,0)+IF(H153&gt;=('难度参数'!$E$52+'难度参数'!$E$53+'难度参数'!$E$54+'难度参数'!$E$55+'难度参数'!$E$56),1,0)+IF(H153&gt;=('难度参数'!$E$52+'难度参数'!$E$53+'难度参数'!$E$54+'难度参数'!$E$55+'难度参数'!$E$56+'难度参数'!$E$57),1,0)</x:f>
        <x:v>6</x:v>
      </x:c>
      <x:c r="W153" s="62" t="str">
        <x:f>IF(L153&gt;'难度参数'!$E$51,"仅出怪已超目标","还需实测")</x:f>
        <x:v>还需实测</x:v>
      </x:c>
      <x:c r="X153" s="119" t="n">
        <x:f>IF(1&gt;D153,0,MAX(2,MIN('难度参数'!$E$12,ROUND(('难度参数'!$E$18*POWER(A153,'难度参数'!$E$19)/D153*(0.85+0.3*(1-1)/MAX(1,D153-1))),0)+F153)))</x:f>
        <x:v>23</x:v>
      </x:c>
      <x:c r="Y153" s="119" t="n">
        <x:f>IF(1&gt;D153,0,ROUND(('难度参数'!$E$13*POWER(A153,'难度参数'!$E$20)*MIN('难度参数'!$E$23,1+MAX(0,A153-'难度参数'!$E$21)*'难度参数'!$E$22))*(36+1*7)/(36+7*(D153+1)/2)*E153,0))</x:f>
        <x:v>3297</x:v>
      </x:c>
      <x:c r="Z153" s="119" t="n">
        <x:f>IF(X153=0,0,(X153-IF(1=D153,1,0))*ROUND(Y153*VLOOKUP(INDEX('章节与怪物'!$E$31:$K$37,B153,1),'章节与怪物'!$A$41:$F$44,2,FALSE),0)+IF(1=D153,ROUND(Y153*'难度参数'!$E$28*'章节与怪物'!$E$17,0),0))</x:f>
        <x:v>54602</x:v>
      </x:c>
      <x:c r="AA153" s="119" t="n">
        <x:f>IF(X153=0,0,(X153-IF(1=D153,1,0))*VLOOKUP(INDEX('章节与怪物'!$E$31:$K$37,B153,1),'章节与怪物'!$A$41:$F$44,4,FALSE)+IF(1=D153,'难度参数'!$E$30,0))</x:f>
        <x:v>460</x:v>
      </x:c>
      <x:c r="AB153" s="119" t="n">
        <x:f>IF(2&gt;D153,0,MAX(2,MIN('难度参数'!$E$12,ROUND(('难度参数'!$E$18*POWER(A153,'难度参数'!$E$19)/D153*(0.85+0.3*(2-1)/MAX(1,D153-1))),0)+F153)))</x:f>
        <x:v>24</x:v>
      </x:c>
      <x:c r="AC153" s="119" t="n">
        <x:f>IF(2&gt;D153,0,ROUND(('难度参数'!$E$13*POWER(A153,'难度参数'!$E$20)*MIN('难度参数'!$E$23,1+MAX(0,A153-'难度参数'!$E$21)*'难度参数'!$E$22))*(36+2*7)/(36+7*(D153+1)/2)*E153,0))</x:f>
        <x:v>3833</x:v>
      </x:c>
      <x:c r="AD153" s="119" t="n">
        <x:f>IF(AB153=0,0,(AB153-IF(2=D153,1,0))*ROUND(AC153*VLOOKUP(INDEX('章节与怪物'!$E$31:$K$37,B153,2),'章节与怪物'!$A$41:$F$44,2,FALSE),0)+IF(2=D153,ROUND(AC153*'难度参数'!$E$28*'章节与怪物'!$E$17,0),0))</x:f>
        <x:v>91992</x:v>
      </x:c>
      <x:c r="AE153" s="119" t="n">
        <x:f>IF(AB153=0,0,(AB153-IF(2=D153,1,0))*VLOOKUP(INDEX('章节与怪物'!$E$31:$K$37,B153,2),'章节与怪物'!$A$41:$F$44,4,FALSE)+IF(2=D153,'难度参数'!$E$30,0))</x:f>
        <x:v>432</x:v>
      </x:c>
      <x:c r="AF153" s="119" t="n">
        <x:f>IF(3&gt;D153,0,MAX(2,MIN('难度参数'!$E$12,ROUND(('难度参数'!$E$18*POWER(A153,'难度参数'!$E$19)/D153*(0.85+0.3*(3-1)/MAX(1,D153-1))),0)+F153)))</x:f>
        <x:v>26</x:v>
      </x:c>
      <x:c r="AG153" s="119" t="n">
        <x:f>IF(3&gt;D153,0,ROUND(('难度参数'!$E$13*POWER(A153,'难度参数'!$E$20)*MIN('难度参数'!$E$23,1+MAX(0,A153-'难度参数'!$E$21)*'难度参数'!$E$22))*(36+3*7)/(36+7*(D153+1)/2)*E153,0))</x:f>
        <x:v>4370</x:v>
      </x:c>
      <x:c r="AH153" s="119" t="n">
        <x:f>IF(AF153=0,0,(AF153-IF(3=D153,1,0))*ROUND(AG153*VLOOKUP(INDEX('章节与怪物'!$E$31:$K$37,B153,3),'章节与怪物'!$A$41:$F$44,2,FALSE),0)+IF(3=D153,ROUND(AG153*'难度参数'!$E$28*'章节与怪物'!$E$17,0),0))</x:f>
        <x:v>193154</x:v>
      </x:c>
      <x:c r="AI153" s="119" t="n">
        <x:f>IF(AF153=0,0,(AF153-IF(3=D153,1,0))*VLOOKUP(INDEX('章节与怪物'!$E$31:$K$37,B153,3),'章节与怪物'!$A$41:$F$44,4,FALSE)+IF(3=D153,'难度参数'!$E$30,0))</x:f>
        <x:v>728</x:v>
      </x:c>
      <x:c r="AJ153" s="119" t="n">
        <x:f>IF(4&gt;D153,0,MAX(2,MIN('难度参数'!$E$12,ROUND(('难度参数'!$E$18*POWER(A153,'难度参数'!$E$19)/D153*(0.85+0.3*(4-1)/MAX(1,D153-1))),0)+F153)))</x:f>
        <x:v>27</x:v>
      </x:c>
      <x:c r="AK153" s="119" t="n">
        <x:f>IF(4&gt;D153,0,ROUND(('难度参数'!$E$13*POWER(A153,'难度参数'!$E$20)*MIN('难度参数'!$E$23,1+MAX(0,A153-'难度参数'!$E$21)*'难度参数'!$E$22))*(36+4*7)/(36+7*(D153+1)/2)*E153,0))</x:f>
        <x:v>4907</x:v>
      </x:c>
      <x:c r="AL153" s="119" t="n">
        <x:f>IF(AJ153=0,0,(AJ153-IF(4=D153,1,0))*ROUND(AK153*VLOOKUP(INDEX('章节与怪物'!$E$31:$K$37,B153,4),'章节与怪物'!$A$41:$F$44,2,FALSE),0)+IF(4=D153,ROUND(AK153*'难度参数'!$E$28*'章节与怪物'!$E$17,0),0))</x:f>
        <x:v>178848</x:v>
      </x:c>
      <x:c r="AM153" s="119" t="n">
        <x:f>IF(AJ153=0,0,(AJ153-IF(4=D153,1,0))*VLOOKUP(INDEX('章节与怪物'!$E$31:$K$37,B153,4),'章节与怪物'!$A$41:$F$44,4,FALSE)+IF(4=D153,'难度参数'!$E$30,0))</x:f>
        <x:v>918</x:v>
      </x:c>
      <x:c r="AN153" s="119" t="n">
        <x:f>IF(5&gt;D153,0,MAX(2,MIN('难度参数'!$E$12,ROUND(('难度参数'!$E$18*POWER(A153,'难度参数'!$E$19)/D153*(0.85+0.3*(5-1)/MAX(1,D153-1))),0)+F153)))</x:f>
        <x:v>28</x:v>
      </x:c>
      <x:c r="AO153" s="119" t="n">
        <x:f>IF(5&gt;D153,0,ROUND(('难度参数'!$E$13*POWER(A153,'难度参数'!$E$20)*MIN('难度参数'!$E$23,1+MAX(0,A153-'难度参数'!$E$21)*'难度参数'!$E$22))*(36+5*7)/(36+7*(D153+1)/2)*E153,0))</x:f>
        <x:v>5444</x:v>
      </x:c>
      <x:c r="AP153" s="119" t="n">
        <x:f>IF(AN153=0,0,(AN153-IF(5=D153,1,0))*ROUND(AO153*VLOOKUP(INDEX('章节与怪物'!$E$31:$K$37,B153,5),'章节与怪物'!$A$41:$F$44,2,FALSE),0)+IF(5=D153,ROUND(AO153*'难度参数'!$E$28*'章节与怪物'!$E$17,0),0))</x:f>
        <x:v>152432</x:v>
      </x:c>
      <x:c r="AQ153" s="119" t="n">
        <x:f>IF(AN153=0,0,(AN153-IF(5=D153,1,0))*VLOOKUP(INDEX('章节与怪物'!$E$31:$K$37,B153,5),'章节与怪物'!$A$41:$F$44,4,FALSE)+IF(5=D153,'难度参数'!$E$30,0))</x:f>
        <x:v>504</x:v>
      </x:c>
      <x:c r="AR153" s="119" t="n">
        <x:f>IF(6&gt;D153,0,MAX(2,MIN('难度参数'!$E$12,ROUND(('难度参数'!$E$18*POWER(A153,'难度参数'!$E$19)/D153*(0.85+0.3*(6-1)/MAX(1,D153-1))),0)+F153)))</x:f>
        <x:v>30</x:v>
      </x:c>
      <x:c r="AS153" s="119" t="n">
        <x:f>IF(6&gt;D153,0,ROUND(('难度参数'!$E$13*POWER(A153,'难度参数'!$E$20)*MIN('难度参数'!$E$23,1+MAX(0,A153-'难度参数'!$E$21)*'难度参数'!$E$22))*(36+6*7)/(36+7*(D153+1)/2)*E153,0))</x:f>
        <x:v>5980</x:v>
      </x:c>
      <x:c r="AT153" s="119" t="n">
        <x:f>IF(AR153=0,0,(AR153-IF(6=D153,1,0))*ROUND(AS153*VLOOKUP(INDEX('章节与怪物'!$E$31:$K$37,B153,6),'章节与怪物'!$A$41:$F$44,2,FALSE),0)+IF(6=D153,ROUND(AS153*'难度参数'!$E$28*'章节与怪物'!$E$17,0),0))</x:f>
        <x:v>304980</x:v>
      </x:c>
      <x:c r="AU153" s="119" t="n">
        <x:f>IF(AR153=0,0,(AR153-IF(6=D153,1,0))*VLOOKUP(INDEX('章节与怪物'!$E$31:$K$37,B153,6),'章节与怪物'!$A$41:$F$44,4,FALSE)+IF(6=D153,'难度参数'!$E$30,0))</x:f>
        <x:v>840</x:v>
      </x:c>
      <x:c r="AV153" s="119" t="n">
        <x:f>IF(7&gt;D153,0,MAX(2,MIN('难度参数'!$E$12,ROUND(('难度参数'!$E$18*POWER(A153,'难度参数'!$E$19)/D153*(0.85+0.3*(7-1)/MAX(1,D153-1))),0)+F153)))</x:f>
        <x:v>31</x:v>
      </x:c>
      <x:c r="AW153" s="119" t="n">
        <x:f>IF(7&gt;D153,0,ROUND(('难度参数'!$E$13*POWER(A153,'难度参数'!$E$20)*MIN('难度参数'!$E$23,1+MAX(0,A153-'难度参数'!$E$21)*'难度参数'!$E$22))*(36+7*7)/(36+7*(D153+1)/2)*E153,0))</x:f>
        <x:v>6517</x:v>
      </x:c>
      <x:c r="AX153" s="119" t="n">
        <x:f>IF(AV153=0,0,(AV153-IF(7=D153,1,0))*ROUND(AW153*VLOOKUP(INDEX('章节与怪物'!$E$31:$K$37,B153,7),'章节与怪物'!$A$41:$F$44,2,FALSE),0)+IF(7=D153,ROUND(AW153*'难度参数'!$E$28*'章节与怪物'!$E$17,0),0))</x:f>
        <x:v>308256</x:v>
      </x:c>
      <x:c r="AY153" s="119" t="n">
        <x:f>IF(AV153=0,0,(AV153-IF(7=D153,1,0))*VLOOKUP(INDEX('章节与怪物'!$E$31:$K$37,B153,7),'章节与怪物'!$A$41:$F$44,4,FALSE)+IF(7=D153,'难度参数'!$E$30,0))</x:f>
        <x:v>1220</x:v>
      </x:c>
    </x:row>
    <x:row r="154" ht="23" customHeight="1">
      <x:c r="A154" s="119" t="n">
        <x:v>148</x:v>
      </x:c>
      <x:c r="B154" s="119" t="n">
        <x:f>MOD(INT((A154-1)/5),7)+1</x:f>
        <x:v>2</x:v>
      </x:c>
      <x:c r="C154" s="62" t="str">
        <x:f>INDEX('章节与怪物'!$B$31:$B$37,B154)</x:f>
        <x:v>黄沙要塞</x:v>
      </x:c>
      <x:c r="D154" s="119" t="n">
        <x:f>MIN('难度参数'!$E$8,MAX('难度参数'!$E$7,A154))</x:f>
        <x:v>7</x:v>
      </x:c>
      <x:c r="E154" s="106" t="n">
        <x:v>1</x:v>
      </x:c>
      <x:c r="F154" s="106" t="n">
        <x:v>0</x:v>
      </x:c>
      <x:c r="G154" s="106" t="n">
        <x:v>1</x:v>
      </x:c>
      <x:c r="H154" s="119" t="n">
        <x:f>SUM(X154,AB154,AF154,AJ154,AN154,AR154,AV154)</x:f>
        <x:v>189</x:v>
      </x:c>
      <x:c r="I154" s="119" t="n">
        <x:f>SUM(Z154,AD154,AH154,AL154,AP154,AT154,AX154)</x:f>
        <x:v>1290531</x:v>
      </x:c>
      <x:c r="J154" s="119" t="n">
        <x:f>ROUND(INDEX(X154:AY154,1,(D154-1)*4+2)*'难度参数'!$E$28*'章节与怪物'!$E$17,0)</x:f>
        <x:v>44533</x:v>
      </x:c>
      <x:c r="K154" s="119" t="n">
        <x:f>SUM(AA154,AE154,AI154,AM154,AQ154,AU154,AY154)</x:f>
        <x:v>5102</x:v>
      </x:c>
      <x:c r="L154" s="62" t="n">
        <x:f>H154*(ROUNDUP('难度参数'!$E$24/('难度参数'!$E$26*'难度参数'!$E$27),0)*'难度参数'!$E$26)/60</x:f>
        <x:v>2.5200000000000005</x:v>
      </x:c>
      <x:c r="M154" s="62" t="n">
        <x:f>L154+D154*('难度参数'!$E$49+'难度参数'!$E$50)/60</x:f>
        <x:v>3.6866666666666674</x:v>
      </x:c>
      <x:c r="N154" s="119" t="n">
        <x:f>ROUNDDOWN(('经济参数'!$E$20+A154*'经济参数'!$E$21)*G154,0)</x:f>
        <x:v>3140</x:v>
      </x:c>
      <x:c r="O154" s="119" t="n">
        <x:f>ROUNDDOWN(MIN('经济参数'!$E$24,'经济参数'!$E$22+A154*'经济参数'!$E$23)*G154,0)</x:f>
        <x:v>0</x:v>
      </x:c>
      <x:c r="P154" s="119" t="n">
        <x:f>ROUNDDOWN((IF(A154&gt;='材料与任务'!$E$31,'材料与任务'!$E$32,IF(A154&gt;='材料与任务'!$E$25,'材料与任务'!$E$26,IF(A154&gt;='材料与任务'!$E$19,'材料与任务'!$E$20,IF(A154&gt;='材料与任务'!$E$13,'材料与任务'!$E$14,'材料与任务'!$E$8)))))*G154,0)</x:f>
        <x:v>6</x:v>
      </x:c>
      <x:c r="Q154" s="119" t="n">
        <x:f>ROUNDDOWN((IF(A154&gt;='材料与任务'!$E$31,'材料与任务'!$E$33,IF(A154&gt;='材料与任务'!$E$25,'材料与任务'!$E$27,IF(A154&gt;='材料与任务'!$E$19,'材料与任务'!$E$21,IF(A154&gt;='材料与任务'!$E$13,'材料与任务'!$E$15,'材料与任务'!$E$9)))))*G154,0)</x:f>
        <x:v>3</x:v>
      </x:c>
      <x:c r="R154" s="110" t="n">
        <x:f>'装备掉落'!$B$38</x:f>
        <x:v>0.6872058758851213</x:v>
      </x:c>
      <x:c r="S154" s="119" t="n">
        <x:f>MAX(IF(VLOOKUP(A154,'装备掉落'!$A$29:$H$34,2,TRUE)&gt;0,1,0),IF(VLOOKUP(A154,'装备掉落'!$A$29:$H$34,3,TRUE)&gt;0,2,0),IF(VLOOKUP(A154,'装备掉落'!$A$29:$H$34,4,TRUE)&gt;0,3,0),IF(VLOOKUP(A154,'装备掉落'!$A$29:$H$34,5,TRUE)&gt;0,4,0),IF(VLOOKUP(A154,'装备掉落'!$A$29:$H$34,6,TRUE)&gt;0,5,0),IF(VLOOKUP(A154,'装备掉落'!$A$29:$H$34,7,TRUE)&gt;0,6,0),IF(VLOOKUP(A154,'装备掉落'!$A$29:$H$34,8,TRUE)&gt;0,7,0))</x:f>
        <x:v>7</x:v>
      </x:c>
      <x:c r="T154" s="119" t="n">
        <x:f>MIN(7,S154+'经济参数'!$E$70)</x:f>
        <x:v>7</x:v>
      </x:c>
      <x:c r="U154" s="119" t="n">
        <x:f>MIN(7,S154+'经济参数'!$E$71)</x:f>
        <x:v>7</x:v>
      </x:c>
      <x:c r="V154" s="119" t="n">
        <x:f>IF(H154&gt;=('难度参数'!$E$52),1,0)+IF(H154&gt;=('难度参数'!$E$52+'难度参数'!$E$53),1,0)+IF(H154&gt;=('难度参数'!$E$52+'难度参数'!$E$53+'难度参数'!$E$54),1,0)+IF(H154&gt;=('难度参数'!$E$52+'难度参数'!$E$53+'难度参数'!$E$54+'难度参数'!$E$55),1,0)+IF(H154&gt;=('难度参数'!$E$52+'难度参数'!$E$53+'难度参数'!$E$54+'难度参数'!$E$55+'难度参数'!$E$56),1,0)+IF(H154&gt;=('难度参数'!$E$52+'难度参数'!$E$53+'难度参数'!$E$54+'难度参数'!$E$55+'难度参数'!$E$56+'难度参数'!$E$57),1,0)</x:f>
        <x:v>6</x:v>
      </x:c>
      <x:c r="W154" s="62" t="str">
        <x:f>IF(L154&gt;'难度参数'!$E$51,"仅出怪已超目标","还需实测")</x:f>
        <x:v>还需实测</x:v>
      </x:c>
      <x:c r="X154" s="119" t="n">
        <x:f>IF(1&gt;D154,0,MAX(2,MIN('难度参数'!$E$12,ROUND(('难度参数'!$E$18*POWER(A154,'难度参数'!$E$19)/D154*(0.85+0.3*(1-1)/MAX(1,D154-1))),0)+F154)))</x:f>
        <x:v>23</x:v>
      </x:c>
      <x:c r="Y154" s="119" t="n">
        <x:f>IF(1&gt;D154,0,ROUND(('难度参数'!$E$13*POWER(A154,'难度参数'!$E$20)*MIN('难度参数'!$E$23,1+MAX(0,A154-'难度参数'!$E$21)*'难度参数'!$E$22))*(36+1*7)/(36+7*(D154+1)/2)*E154,0))</x:f>
        <x:v>3313</x:v>
      </x:c>
      <x:c r="Z154" s="119" t="n">
        <x:f>IF(X154=0,0,(X154-IF(1=D154,1,0))*ROUND(Y154*VLOOKUP(INDEX('章节与怪物'!$E$31:$K$37,B154,1),'章节与怪物'!$A$41:$F$44,2,FALSE),0)+IF(1=D154,ROUND(Y154*'难度参数'!$E$28*'章节与怪物'!$E$17,0),0))</x:f>
        <x:v>54855</x:v>
      </x:c>
      <x:c r="AA154" s="119" t="n">
        <x:f>IF(X154=0,0,(X154-IF(1=D154,1,0))*VLOOKUP(INDEX('章节与怪物'!$E$31:$K$37,B154,1),'章节与怪物'!$A$41:$F$44,4,FALSE)+IF(1=D154,'难度参数'!$E$30,0))</x:f>
        <x:v>460</x:v>
      </x:c>
      <x:c r="AB154" s="119" t="n">
        <x:f>IF(2&gt;D154,0,MAX(2,MIN('难度参数'!$E$12,ROUND(('难度参数'!$E$18*POWER(A154,'难度参数'!$E$19)/D154*(0.85+0.3*(2-1)/MAX(1,D154-1))),0)+F154)))</x:f>
        <x:v>24</x:v>
      </x:c>
      <x:c r="AC154" s="119" t="n">
        <x:f>IF(2&gt;D154,0,ROUND(('难度参数'!$E$13*POWER(A154,'难度参数'!$E$20)*MIN('难度参数'!$E$23,1+MAX(0,A154-'难度参数'!$E$21)*'难度参数'!$E$22))*(36+2*7)/(36+7*(D154+1)/2)*E154,0))</x:f>
        <x:v>3852</x:v>
      </x:c>
      <x:c r="AD154" s="119" t="n">
        <x:f>IF(AB154=0,0,(AB154-IF(2=D154,1,0))*ROUND(AC154*VLOOKUP(INDEX('章节与怪物'!$E$31:$K$37,B154,2),'章节与怪物'!$A$41:$F$44,2,FALSE),0)+IF(2=D154,ROUND(AC154*'难度参数'!$E$28*'章节与怪物'!$E$17,0),0))</x:f>
        <x:v>92448</x:v>
      </x:c>
      <x:c r="AE154" s="119" t="n">
        <x:f>IF(AB154=0,0,(AB154-IF(2=D154,1,0))*VLOOKUP(INDEX('章节与怪物'!$E$31:$K$37,B154,2),'章节与怪物'!$A$41:$F$44,4,FALSE)+IF(2=D154,'难度参数'!$E$30,0))</x:f>
        <x:v>432</x:v>
      </x:c>
      <x:c r="AF154" s="119" t="n">
        <x:f>IF(3&gt;D154,0,MAX(2,MIN('难度参数'!$E$12,ROUND(('难度参数'!$E$18*POWER(A154,'难度参数'!$E$19)/D154*(0.85+0.3*(3-1)/MAX(1,D154-1))),0)+F154)))</x:f>
        <x:v>26</x:v>
      </x:c>
      <x:c r="AG154" s="119" t="n">
        <x:f>IF(3&gt;D154,0,ROUND(('难度参数'!$E$13*POWER(A154,'难度参数'!$E$20)*MIN('难度参数'!$E$23,1+MAX(0,A154-'难度参数'!$E$21)*'难度参数'!$E$22))*(36+3*7)/(36+7*(D154+1)/2)*E154,0))</x:f>
        <x:v>4392</x:v>
      </x:c>
      <x:c r="AH154" s="119" t="n">
        <x:f>IF(AF154=0,0,(AF154-IF(3=D154,1,0))*ROUND(AG154*VLOOKUP(INDEX('章节与怪物'!$E$31:$K$37,B154,3),'章节与怪物'!$A$41:$F$44,2,FALSE),0)+IF(3=D154,ROUND(AG154*'难度参数'!$E$28*'章节与怪物'!$E$17,0),0))</x:f>
        <x:v>194116</x:v>
      </x:c>
      <x:c r="AI154" s="119" t="n">
        <x:f>IF(AF154=0,0,(AF154-IF(3=D154,1,0))*VLOOKUP(INDEX('章节与怪物'!$E$31:$K$37,B154,3),'章节与怪物'!$A$41:$F$44,4,FALSE)+IF(3=D154,'难度参数'!$E$30,0))</x:f>
        <x:v>728</x:v>
      </x:c>
      <x:c r="AJ154" s="119" t="n">
        <x:f>IF(4&gt;D154,0,MAX(2,MIN('难度参数'!$E$12,ROUND(('难度参数'!$E$18*POWER(A154,'难度参数'!$E$19)/D154*(0.85+0.3*(4-1)/MAX(1,D154-1))),0)+F154)))</x:f>
        <x:v>27</x:v>
      </x:c>
      <x:c r="AK154" s="119" t="n">
        <x:f>IF(4&gt;D154,0,ROUND(('难度参数'!$E$13*POWER(A154,'难度参数'!$E$20)*MIN('难度参数'!$E$23,1+MAX(0,A154-'难度参数'!$E$21)*'难度参数'!$E$22))*(36+4*7)/(36+7*(D154+1)/2)*E154,0))</x:f>
        <x:v>4931</x:v>
      </x:c>
      <x:c r="AL154" s="119" t="n">
        <x:f>IF(AJ154=0,0,(AJ154-IF(4=D154,1,0))*ROUND(AK154*VLOOKUP(INDEX('章节与怪物'!$E$31:$K$37,B154,4),'章节与怪物'!$A$41:$F$44,2,FALSE),0)+IF(4=D154,ROUND(AK154*'难度参数'!$E$28*'章节与怪物'!$E$17,0),0))</x:f>
        <x:v>179739</x:v>
      </x:c>
      <x:c r="AM154" s="119" t="n">
        <x:f>IF(AJ154=0,0,(AJ154-IF(4=D154,1,0))*VLOOKUP(INDEX('章节与怪物'!$E$31:$K$37,B154,4),'章节与怪物'!$A$41:$F$44,4,FALSE)+IF(4=D154,'难度参数'!$E$30,0))</x:f>
        <x:v>918</x:v>
      </x:c>
      <x:c r="AN154" s="119" t="n">
        <x:f>IF(5&gt;D154,0,MAX(2,MIN('难度参数'!$E$12,ROUND(('难度参数'!$E$18*POWER(A154,'难度参数'!$E$19)/D154*(0.85+0.3*(5-1)/MAX(1,D154-1))),0)+F154)))</x:f>
        <x:v>28</x:v>
      </x:c>
      <x:c r="AO154" s="119" t="n">
        <x:f>IF(5&gt;D154,0,ROUND(('难度参数'!$E$13*POWER(A154,'难度参数'!$E$20)*MIN('难度参数'!$E$23,1+MAX(0,A154-'难度参数'!$E$21)*'难度参数'!$E$22))*(36+5*7)/(36+7*(D154+1)/2)*E154,0))</x:f>
        <x:v>5470</x:v>
      </x:c>
      <x:c r="AP154" s="119" t="n">
        <x:f>IF(AN154=0,0,(AN154-IF(5=D154,1,0))*ROUND(AO154*VLOOKUP(INDEX('章节与怪物'!$E$31:$K$37,B154,5),'章节与怪物'!$A$41:$F$44,2,FALSE),0)+IF(5=D154,ROUND(AO154*'难度参数'!$E$28*'章节与怪物'!$E$17,0),0))</x:f>
        <x:v>153160</x:v>
      </x:c>
      <x:c r="AQ154" s="119" t="n">
        <x:f>IF(AN154=0,0,(AN154-IF(5=D154,1,0))*VLOOKUP(INDEX('章节与怪物'!$E$31:$K$37,B154,5),'章节与怪物'!$A$41:$F$44,4,FALSE)+IF(5=D154,'难度参数'!$E$30,0))</x:f>
        <x:v>504</x:v>
      </x:c>
      <x:c r="AR154" s="119" t="n">
        <x:f>IF(6&gt;D154,0,MAX(2,MIN('难度参数'!$E$12,ROUND(('难度参数'!$E$18*POWER(A154,'难度参数'!$E$19)/D154*(0.85+0.3*(6-1)/MAX(1,D154-1))),0)+F154)))</x:f>
        <x:v>30</x:v>
      </x:c>
      <x:c r="AS154" s="119" t="n">
        <x:f>IF(6&gt;D154,0,ROUND(('难度参数'!$E$13*POWER(A154,'难度参数'!$E$20)*MIN('难度参数'!$E$23,1+MAX(0,A154-'难度参数'!$E$21)*'难度参数'!$E$22))*(36+6*7)/(36+7*(D154+1)/2)*E154,0))</x:f>
        <x:v>6009</x:v>
      </x:c>
      <x:c r="AT154" s="119" t="n">
        <x:f>IF(AR154=0,0,(AR154-IF(6=D154,1,0))*ROUND(AS154*VLOOKUP(INDEX('章节与怪物'!$E$31:$K$37,B154,6),'章节与怪物'!$A$41:$F$44,2,FALSE),0)+IF(6=D154,ROUND(AS154*'难度参数'!$E$28*'章节与怪物'!$E$17,0),0))</x:f>
        <x:v>306450</x:v>
      </x:c>
      <x:c r="AU154" s="119" t="n">
        <x:f>IF(AR154=0,0,(AR154-IF(6=D154,1,0))*VLOOKUP(INDEX('章节与怪物'!$E$31:$K$37,B154,6),'章节与怪物'!$A$41:$F$44,4,FALSE)+IF(6=D154,'难度参数'!$E$30,0))</x:f>
        <x:v>840</x:v>
      </x:c>
      <x:c r="AV154" s="119" t="n">
        <x:f>IF(7&gt;D154,0,MAX(2,MIN('难度参数'!$E$12,ROUND(('难度参数'!$E$18*POWER(A154,'难度参数'!$E$19)/D154*(0.85+0.3*(7-1)/MAX(1,D154-1))),0)+F154)))</x:f>
        <x:v>31</x:v>
      </x:c>
      <x:c r="AW154" s="119" t="n">
        <x:f>IF(7&gt;D154,0,ROUND(('难度参数'!$E$13*POWER(A154,'难度参数'!$E$20)*MIN('难度参数'!$E$23,1+MAX(0,A154-'难度参数'!$E$21)*'难度参数'!$E$22))*(36+7*7)/(36+7*(D154+1)/2)*E154,0))</x:f>
        <x:v>6549</x:v>
      </x:c>
      <x:c r="AX154" s="119" t="n">
        <x:f>IF(AV154=0,0,(AV154-IF(7=D154,1,0))*ROUND(AW154*VLOOKUP(INDEX('章节与怪物'!$E$31:$K$37,B154,7),'章节与怪物'!$A$41:$F$44,2,FALSE),0)+IF(7=D154,ROUND(AW154*'难度参数'!$E$28*'章节与怪物'!$E$17,0),0))</x:f>
        <x:v>309763</x:v>
      </x:c>
      <x:c r="AY154" s="119" t="n">
        <x:f>IF(AV154=0,0,(AV154-IF(7=D154,1,0))*VLOOKUP(INDEX('章节与怪物'!$E$31:$K$37,B154,7),'章节与怪物'!$A$41:$F$44,4,FALSE)+IF(7=D154,'难度参数'!$E$30,0))</x:f>
        <x:v>1220</x:v>
      </x:c>
    </x:row>
    <x:row r="155" ht="23" customHeight="1">
      <x:c r="A155" s="119" t="n">
        <x:v>149</x:v>
      </x:c>
      <x:c r="B155" s="119" t="n">
        <x:f>MOD(INT((A155-1)/5),7)+1</x:f>
        <x:v>2</x:v>
      </x:c>
      <x:c r="C155" s="62" t="str">
        <x:f>INDEX('章节与怪物'!$B$31:$B$37,B155)</x:f>
        <x:v>黄沙要塞</x:v>
      </x:c>
      <x:c r="D155" s="119" t="n">
        <x:f>MIN('难度参数'!$E$8,MAX('难度参数'!$E$7,A155))</x:f>
        <x:v>7</x:v>
      </x:c>
      <x:c r="E155" s="106" t="n">
        <x:v>1</x:v>
      </x:c>
      <x:c r="F155" s="106" t="n">
        <x:v>0</x:v>
      </x:c>
      <x:c r="G155" s="106" t="n">
        <x:v>1</x:v>
      </x:c>
      <x:c r="H155" s="119" t="n">
        <x:f>SUM(X155,AB155,AF155,AJ155,AN155,AR155,AV155)</x:f>
        <x:v>190</x:v>
      </x:c>
      <x:c r="I155" s="119" t="n">
        <x:f>SUM(Z155,AD155,AH155,AL155,AP155,AT155,AX155)</x:f>
        <x:v>1302354</x:v>
      </x:c>
      <x:c r="J155" s="119" t="n">
        <x:f>ROUND(INDEX(X155:AY155,1,(D155-1)*4+2)*'难度参数'!$E$28*'章节与怪物'!$E$17,0)</x:f>
        <x:v>44751</x:v>
      </x:c>
      <x:c r="K155" s="119" t="n">
        <x:f>SUM(AA155,AE155,AI155,AM155,AQ155,AU155,AY155)</x:f>
        <x:v>5120</x:v>
      </x:c>
      <x:c r="L155" s="62" t="n">
        <x:f>H155*(ROUNDUP('难度参数'!$E$24/('难度参数'!$E$26*'难度参数'!$E$27),0)*'难度参数'!$E$26)/60</x:f>
        <x:v>2.533333333333333</x:v>
      </x:c>
      <x:c r="M155" s="62" t="n">
        <x:f>L155+D155*('难度参数'!$E$49+'难度参数'!$E$50)/60</x:f>
        <x:v>3.7</x:v>
      </x:c>
      <x:c r="N155" s="119" t="n">
        <x:f>ROUNDDOWN(('经济参数'!$E$20+A155*'经济参数'!$E$21)*G155,0)</x:f>
        <x:v>3160</x:v>
      </x:c>
      <x:c r="O155" s="119" t="n">
        <x:f>ROUNDDOWN(MIN('经济参数'!$E$24,'经济参数'!$E$22+A155*'经济参数'!$E$23)*G155,0)</x:f>
        <x:v>0</x:v>
      </x:c>
      <x:c r="P155" s="119" t="n">
        <x:f>ROUNDDOWN((IF(A155&gt;='材料与任务'!$E$31,'材料与任务'!$E$32,IF(A155&gt;='材料与任务'!$E$25,'材料与任务'!$E$26,IF(A155&gt;='材料与任务'!$E$19,'材料与任务'!$E$20,IF(A155&gt;='材料与任务'!$E$13,'材料与任务'!$E$14,'材料与任务'!$E$8)))))*G155,0)</x:f>
        <x:v>6</x:v>
      </x:c>
      <x:c r="Q155" s="119" t="n">
        <x:f>ROUNDDOWN((IF(A155&gt;='材料与任务'!$E$31,'材料与任务'!$E$33,IF(A155&gt;='材料与任务'!$E$25,'材料与任务'!$E$27,IF(A155&gt;='材料与任务'!$E$19,'材料与任务'!$E$21,IF(A155&gt;='材料与任务'!$E$13,'材料与任务'!$E$15,'材料与任务'!$E$9)))))*G155,0)</x:f>
        <x:v>3</x:v>
      </x:c>
      <x:c r="R155" s="110" t="n">
        <x:f>'装备掉落'!$B$38</x:f>
        <x:v>0.6872058758851213</x:v>
      </x:c>
      <x:c r="S155" s="119" t="n">
        <x:f>MAX(IF(VLOOKUP(A155,'装备掉落'!$A$29:$H$34,2,TRUE)&gt;0,1,0),IF(VLOOKUP(A155,'装备掉落'!$A$29:$H$34,3,TRUE)&gt;0,2,0),IF(VLOOKUP(A155,'装备掉落'!$A$29:$H$34,4,TRUE)&gt;0,3,0),IF(VLOOKUP(A155,'装备掉落'!$A$29:$H$34,5,TRUE)&gt;0,4,0),IF(VLOOKUP(A155,'装备掉落'!$A$29:$H$34,6,TRUE)&gt;0,5,0),IF(VLOOKUP(A155,'装备掉落'!$A$29:$H$34,7,TRUE)&gt;0,6,0),IF(VLOOKUP(A155,'装备掉落'!$A$29:$H$34,8,TRUE)&gt;0,7,0))</x:f>
        <x:v>7</x:v>
      </x:c>
      <x:c r="T155" s="119" t="n">
        <x:f>MIN(7,S155+'经济参数'!$E$70)</x:f>
        <x:v>7</x:v>
      </x:c>
      <x:c r="U155" s="119" t="n">
        <x:f>MIN(7,S155+'经济参数'!$E$71)</x:f>
        <x:v>7</x:v>
      </x:c>
      <x:c r="V155" s="119" t="n">
        <x:f>IF(H155&gt;=('难度参数'!$E$52),1,0)+IF(H155&gt;=('难度参数'!$E$52+'难度参数'!$E$53),1,0)+IF(H155&gt;=('难度参数'!$E$52+'难度参数'!$E$53+'难度参数'!$E$54),1,0)+IF(H155&gt;=('难度参数'!$E$52+'难度参数'!$E$53+'难度参数'!$E$54+'难度参数'!$E$55),1,0)+IF(H155&gt;=('难度参数'!$E$52+'难度参数'!$E$53+'难度参数'!$E$54+'难度参数'!$E$55+'难度参数'!$E$56),1,0)+IF(H155&gt;=('难度参数'!$E$52+'难度参数'!$E$53+'难度参数'!$E$54+'难度参数'!$E$55+'难度参数'!$E$56+'难度参数'!$E$57),1,0)</x:f>
        <x:v>6</x:v>
      </x:c>
      <x:c r="W155" s="62" t="str">
        <x:f>IF(L155&gt;'难度参数'!$E$51,"仅出怪已超目标","还需实测")</x:f>
        <x:v>还需实测</x:v>
      </x:c>
      <x:c r="X155" s="119" t="n">
        <x:f>IF(1&gt;D155,0,MAX(2,MIN('难度参数'!$E$12,ROUND(('难度参数'!$E$18*POWER(A155,'难度参数'!$E$19)/D155*(0.85+0.3*(1-1)/MAX(1,D155-1))),0)+F155)))</x:f>
        <x:v>23</x:v>
      </x:c>
      <x:c r="Y155" s="119" t="n">
        <x:f>IF(1&gt;D155,0,ROUND(('难度参数'!$E$13*POWER(A155,'难度参数'!$E$20)*MIN('难度参数'!$E$23,1+MAX(0,A155-'难度参数'!$E$21)*'难度参数'!$E$22))*(36+1*7)/(36+7*(D155+1)/2)*E155,0))</x:f>
        <x:v>3329</x:v>
      </x:c>
      <x:c r="Z155" s="119" t="n">
        <x:f>IF(X155=0,0,(X155-IF(1=D155,1,0))*ROUND(Y155*VLOOKUP(INDEX('章节与怪物'!$E$31:$K$37,B155,1),'章节与怪物'!$A$41:$F$44,2,FALSE),0)+IF(1=D155,ROUND(Y155*'难度参数'!$E$28*'章节与怪物'!$E$17,0),0))</x:f>
        <x:v>55131</x:v>
      </x:c>
      <x:c r="AA155" s="119" t="n">
        <x:f>IF(X155=0,0,(X155-IF(1=D155,1,0))*VLOOKUP(INDEX('章节与怪物'!$E$31:$K$37,B155,1),'章节与怪物'!$A$41:$F$44,4,FALSE)+IF(1=D155,'难度参数'!$E$30,0))</x:f>
        <x:v>460</x:v>
      </x:c>
      <x:c r="AB155" s="119" t="n">
        <x:f>IF(2&gt;D155,0,MAX(2,MIN('难度参数'!$E$12,ROUND(('难度参数'!$E$18*POWER(A155,'难度参数'!$E$19)/D155*(0.85+0.3*(2-1)/MAX(1,D155-1))),0)+F155)))</x:f>
        <x:v>24</x:v>
      </x:c>
      <x:c r="AC155" s="119" t="n">
        <x:f>IF(2&gt;D155,0,ROUND(('难度参数'!$E$13*POWER(A155,'难度参数'!$E$20)*MIN('难度参数'!$E$23,1+MAX(0,A155-'难度参数'!$E$21)*'难度参数'!$E$22))*(36+2*7)/(36+7*(D155+1)/2)*E155,0))</x:f>
        <x:v>3871</x:v>
      </x:c>
      <x:c r="AD155" s="119" t="n">
        <x:f>IF(AB155=0,0,(AB155-IF(2=D155,1,0))*ROUND(AC155*VLOOKUP(INDEX('章节与怪物'!$E$31:$K$37,B155,2),'章节与怪物'!$A$41:$F$44,2,FALSE),0)+IF(2=D155,ROUND(AC155*'难度参数'!$E$28*'章节与怪物'!$E$17,0),0))</x:f>
        <x:v>92904</x:v>
      </x:c>
      <x:c r="AE155" s="119" t="n">
        <x:f>IF(AB155=0,0,(AB155-IF(2=D155,1,0))*VLOOKUP(INDEX('章节与怪物'!$E$31:$K$37,B155,2),'章节与怪物'!$A$41:$F$44,4,FALSE)+IF(2=D155,'难度参数'!$E$30,0))</x:f>
        <x:v>432</x:v>
      </x:c>
      <x:c r="AF155" s="119" t="n">
        <x:f>IF(3&gt;D155,0,MAX(2,MIN('难度参数'!$E$12,ROUND(('难度参数'!$E$18*POWER(A155,'难度参数'!$E$19)/D155*(0.85+0.3*(3-1)/MAX(1,D155-1))),0)+F155)))</x:f>
        <x:v>26</x:v>
      </x:c>
      <x:c r="AG155" s="119" t="n">
        <x:f>IF(3&gt;D155,0,ROUND(('难度参数'!$E$13*POWER(A155,'难度参数'!$E$20)*MIN('难度参数'!$E$23,1+MAX(0,A155-'难度参数'!$E$21)*'难度参数'!$E$22))*(36+3*7)/(36+7*(D155+1)/2)*E155,0))</x:f>
        <x:v>4413</x:v>
      </x:c>
      <x:c r="AH155" s="119" t="n">
        <x:f>IF(AF155=0,0,(AF155-IF(3=D155,1,0))*ROUND(AG155*VLOOKUP(INDEX('章节与怪物'!$E$31:$K$37,B155,3),'章节与怪物'!$A$41:$F$44,2,FALSE),0)+IF(3=D155,ROUND(AG155*'难度参数'!$E$28*'章节与怪物'!$E$17,0),0))</x:f>
        <x:v>195052</x:v>
      </x:c>
      <x:c r="AI155" s="119" t="n">
        <x:f>IF(AF155=0,0,(AF155-IF(3=D155,1,0))*VLOOKUP(INDEX('章节与怪物'!$E$31:$K$37,B155,3),'章节与怪物'!$A$41:$F$44,4,FALSE)+IF(3=D155,'难度参数'!$E$30,0))</x:f>
        <x:v>728</x:v>
      </x:c>
      <x:c r="AJ155" s="119" t="n">
        <x:f>IF(4&gt;D155,0,MAX(2,MIN('难度参数'!$E$12,ROUND(('难度参数'!$E$18*POWER(A155,'难度参数'!$E$19)/D155*(0.85+0.3*(4-1)/MAX(1,D155-1))),0)+F155)))</x:f>
        <x:v>27</x:v>
      </x:c>
      <x:c r="AK155" s="119" t="n">
        <x:f>IF(4&gt;D155,0,ROUND(('难度参数'!$E$13*POWER(A155,'难度参数'!$E$20)*MIN('难度参数'!$E$23,1+MAX(0,A155-'难度参数'!$E$21)*'难度参数'!$E$22))*(36+4*7)/(36+7*(D155+1)/2)*E155,0))</x:f>
        <x:v>4955</x:v>
      </x:c>
      <x:c r="AL155" s="119" t="n">
        <x:f>IF(AJ155=0,0,(AJ155-IF(4=D155,1,0))*ROUND(AK155*VLOOKUP(INDEX('章节与怪物'!$E$31:$K$37,B155,4),'章节与怪物'!$A$41:$F$44,2,FALSE),0)+IF(4=D155,ROUND(AK155*'难度参数'!$E$28*'章节与怪物'!$E$17,0),0))</x:f>
        <x:v>180603</x:v>
      </x:c>
      <x:c r="AM155" s="119" t="n">
        <x:f>IF(AJ155=0,0,(AJ155-IF(4=D155,1,0))*VLOOKUP(INDEX('章节与怪物'!$E$31:$K$37,B155,4),'章节与怪物'!$A$41:$F$44,4,FALSE)+IF(4=D155,'难度参数'!$E$30,0))</x:f>
        <x:v>918</x:v>
      </x:c>
      <x:c r="AN155" s="119" t="n">
        <x:f>IF(5&gt;D155,0,MAX(2,MIN('难度参数'!$E$12,ROUND(('难度参数'!$E$18*POWER(A155,'难度参数'!$E$19)/D155*(0.85+0.3*(5-1)/MAX(1,D155-1))),0)+F155)))</x:f>
        <x:v>29</x:v>
      </x:c>
      <x:c r="AO155" s="119" t="n">
        <x:f>IF(5&gt;D155,0,ROUND(('难度参数'!$E$13*POWER(A155,'难度参数'!$E$20)*MIN('难度参数'!$E$23,1+MAX(0,A155-'难度参数'!$E$21)*'难度参数'!$E$22))*(36+5*7)/(36+7*(D155+1)/2)*E155,0))</x:f>
        <x:v>5497</x:v>
      </x:c>
      <x:c r="AP155" s="119" t="n">
        <x:f>IF(AN155=0,0,(AN155-IF(5=D155,1,0))*ROUND(AO155*VLOOKUP(INDEX('章节与怪物'!$E$31:$K$37,B155,5),'章节与怪物'!$A$41:$F$44,2,FALSE),0)+IF(5=D155,ROUND(AO155*'难度参数'!$E$28*'章节与怪物'!$E$17,0),0))</x:f>
        <x:v>159413</x:v>
      </x:c>
      <x:c r="AQ155" s="119" t="n">
        <x:f>IF(AN155=0,0,(AN155-IF(5=D155,1,0))*VLOOKUP(INDEX('章节与怪物'!$E$31:$K$37,B155,5),'章节与怪物'!$A$41:$F$44,4,FALSE)+IF(5=D155,'难度参数'!$E$30,0))</x:f>
        <x:v>522</x:v>
      </x:c>
      <x:c r="AR155" s="119" t="n">
        <x:f>IF(6&gt;D155,0,MAX(2,MIN('难度参数'!$E$12,ROUND(('难度参数'!$E$18*POWER(A155,'难度参数'!$E$19)/D155*(0.85+0.3*(6-1)/MAX(1,D155-1))),0)+F155)))</x:f>
        <x:v>30</x:v>
      </x:c>
      <x:c r="AS155" s="119" t="n">
        <x:f>IF(6&gt;D155,0,ROUND(('难度参数'!$E$13*POWER(A155,'难度参数'!$E$20)*MIN('难度参数'!$E$23,1+MAX(0,A155-'难度参数'!$E$21)*'难度参数'!$E$22))*(36+6*7)/(36+7*(D155+1)/2)*E155,0))</x:f>
        <x:v>6039</x:v>
      </x:c>
      <x:c r="AT155" s="119" t="n">
        <x:f>IF(AR155=0,0,(AR155-IF(6=D155,1,0))*ROUND(AS155*VLOOKUP(INDEX('章节与怪物'!$E$31:$K$37,B155,6),'章节与怪物'!$A$41:$F$44,2,FALSE),0)+IF(6=D155,ROUND(AS155*'难度参数'!$E$28*'章节与怪物'!$E$17,0),0))</x:f>
        <x:v>307980</x:v>
      </x:c>
      <x:c r="AU155" s="119" t="n">
        <x:f>IF(AR155=0,0,(AR155-IF(6=D155,1,0))*VLOOKUP(INDEX('章节与怪物'!$E$31:$K$37,B155,6),'章节与怪物'!$A$41:$F$44,4,FALSE)+IF(6=D155,'难度参数'!$E$30,0))</x:f>
        <x:v>840</x:v>
      </x:c>
      <x:c r="AV155" s="119" t="n">
        <x:f>IF(7&gt;D155,0,MAX(2,MIN('难度参数'!$E$12,ROUND(('难度参数'!$E$18*POWER(A155,'难度参数'!$E$19)/D155*(0.85+0.3*(7-1)/MAX(1,D155-1))),0)+F155)))</x:f>
        <x:v>31</x:v>
      </x:c>
      <x:c r="AW155" s="119" t="n">
        <x:f>IF(7&gt;D155,0,ROUND(('难度参数'!$E$13*POWER(A155,'难度参数'!$E$20)*MIN('难度参数'!$E$23,1+MAX(0,A155-'难度参数'!$E$21)*'难度参数'!$E$22))*(36+7*7)/(36+7*(D155+1)/2)*E155,0))</x:f>
        <x:v>6581</x:v>
      </x:c>
      <x:c r="AX155" s="119" t="n">
        <x:f>IF(AV155=0,0,(AV155-IF(7=D155,1,0))*ROUND(AW155*VLOOKUP(INDEX('章节与怪物'!$E$31:$K$37,B155,7),'章节与怪物'!$A$41:$F$44,2,FALSE),0)+IF(7=D155,ROUND(AW155*'难度参数'!$E$28*'章节与怪物'!$E$17,0),0))</x:f>
        <x:v>311271</x:v>
      </x:c>
      <x:c r="AY155" s="119" t="n">
        <x:f>IF(AV155=0,0,(AV155-IF(7=D155,1,0))*VLOOKUP(INDEX('章节与怪物'!$E$31:$K$37,B155,7),'章节与怪物'!$A$41:$F$44,4,FALSE)+IF(7=D155,'难度参数'!$E$30,0))</x:f>
        <x:v>1220</x:v>
      </x:c>
    </x:row>
    <x:row r="156" ht="23" customHeight="1">
      <x:c r="A156" s="119" t="n">
        <x:v>150</x:v>
      </x:c>
      <x:c r="B156" s="119" t="n">
        <x:f>MOD(INT((A156-1)/5),7)+1</x:f>
        <x:v>2</x:v>
      </x:c>
      <x:c r="C156" s="62" t="str">
        <x:f>INDEX('章节与怪物'!$B$31:$B$37,B156)</x:f>
        <x:v>黄沙要塞</x:v>
      </x:c>
      <x:c r="D156" s="119" t="n">
        <x:f>MIN('难度参数'!$E$8,MAX('难度参数'!$E$7,A156))</x:f>
        <x:v>7</x:v>
      </x:c>
      <x:c r="E156" s="106" t="n">
        <x:v>1</x:v>
      </x:c>
      <x:c r="F156" s="106" t="n">
        <x:v>0</x:v>
      </x:c>
      <x:c r="G156" s="106" t="n">
        <x:v>1</x:v>
      </x:c>
      <x:c r="H156" s="119" t="n">
        <x:f>SUM(X156,AB156,AF156,AJ156,AN156,AR156,AV156)</x:f>
        <x:v>191</x:v>
      </x:c>
      <x:c r="I156" s="119" t="n">
        <x:f>SUM(Z156,AD156,AH156,AL156,AP156,AT156,AX156)</x:f>
        <x:v>1312505</x:v>
      </x:c>
      <x:c r="J156" s="119" t="n">
        <x:f>ROUND(INDEX(X156:AY156,1,(D156-1)*4+2)*'难度参数'!$E$28*'章节与怪物'!$E$17,0)</x:f>
        <x:v>44962</x:v>
      </x:c>
      <x:c r="K156" s="119" t="n">
        <x:f>SUM(AA156,AE156,AI156,AM156,AQ156,AU156,AY156)</x:f>
        <x:v>5138</x:v>
      </x:c>
      <x:c r="L156" s="62" t="n">
        <x:f>H156*(ROUNDUP('难度参数'!$E$24/('难度参数'!$E$26*'难度参数'!$E$27),0)*'难度参数'!$E$26)/60</x:f>
        <x:v>2.546666666666667</x:v>
      </x:c>
      <x:c r="M156" s="62" t="n">
        <x:f>L156+D156*('难度参数'!$E$49+'难度参数'!$E$50)/60</x:f>
        <x:v>3.713333333333334</x:v>
      </x:c>
      <x:c r="N156" s="119" t="n">
        <x:f>ROUNDDOWN(('经济参数'!$E$20+A156*'经济参数'!$E$21)*G156,0)</x:f>
        <x:v>3180</x:v>
      </x:c>
      <x:c r="O156" s="119" t="n">
        <x:f>ROUNDDOWN(MIN('经济参数'!$E$24,'经济参数'!$E$22+A156*'经济参数'!$E$23)*G156,0)</x:f>
        <x:v>0</x:v>
      </x:c>
      <x:c r="P156" s="119" t="n">
        <x:f>ROUNDDOWN((IF(A156&gt;='材料与任务'!$E$31,'材料与任务'!$E$32,IF(A156&gt;='材料与任务'!$E$25,'材料与任务'!$E$26,IF(A156&gt;='材料与任务'!$E$19,'材料与任务'!$E$20,IF(A156&gt;='材料与任务'!$E$13,'材料与任务'!$E$14,'材料与任务'!$E$8)))))*G156,0)</x:f>
        <x:v>6</x:v>
      </x:c>
      <x:c r="Q156" s="119" t="n">
        <x:f>ROUNDDOWN((IF(A156&gt;='材料与任务'!$E$31,'材料与任务'!$E$33,IF(A156&gt;='材料与任务'!$E$25,'材料与任务'!$E$27,IF(A156&gt;='材料与任务'!$E$19,'材料与任务'!$E$21,IF(A156&gt;='材料与任务'!$E$13,'材料与任务'!$E$15,'材料与任务'!$E$9)))))*G156,0)</x:f>
        <x:v>3</x:v>
      </x:c>
      <x:c r="R156" s="110" t="n">
        <x:f>'装备掉落'!$B$38</x:f>
        <x:v>0.6872058758851213</x:v>
      </x:c>
      <x:c r="S156" s="119" t="n">
        <x:f>MAX(IF(VLOOKUP(A156,'装备掉落'!$A$29:$H$34,2,TRUE)&gt;0,1,0),IF(VLOOKUP(A156,'装备掉落'!$A$29:$H$34,3,TRUE)&gt;0,2,0),IF(VLOOKUP(A156,'装备掉落'!$A$29:$H$34,4,TRUE)&gt;0,3,0),IF(VLOOKUP(A156,'装备掉落'!$A$29:$H$34,5,TRUE)&gt;0,4,0),IF(VLOOKUP(A156,'装备掉落'!$A$29:$H$34,6,TRUE)&gt;0,5,0),IF(VLOOKUP(A156,'装备掉落'!$A$29:$H$34,7,TRUE)&gt;0,6,0),IF(VLOOKUP(A156,'装备掉落'!$A$29:$H$34,8,TRUE)&gt;0,7,0))</x:f>
        <x:v>7</x:v>
      </x:c>
      <x:c r="T156" s="119" t="n">
        <x:f>MIN(7,S156+'经济参数'!$E$70)</x:f>
        <x:v>7</x:v>
      </x:c>
      <x:c r="U156" s="119" t="n">
        <x:f>MIN(7,S156+'经济参数'!$E$71)</x:f>
        <x:v>7</x:v>
      </x:c>
      <x:c r="V156" s="119" t="n">
        <x:f>IF(H156&gt;=('难度参数'!$E$52),1,0)+IF(H156&gt;=('难度参数'!$E$52+'难度参数'!$E$53),1,0)+IF(H156&gt;=('难度参数'!$E$52+'难度参数'!$E$53+'难度参数'!$E$54),1,0)+IF(H156&gt;=('难度参数'!$E$52+'难度参数'!$E$53+'难度参数'!$E$54+'难度参数'!$E$55),1,0)+IF(H156&gt;=('难度参数'!$E$52+'难度参数'!$E$53+'难度参数'!$E$54+'难度参数'!$E$55+'难度参数'!$E$56),1,0)+IF(H156&gt;=('难度参数'!$E$52+'难度参数'!$E$53+'难度参数'!$E$54+'难度参数'!$E$55+'难度参数'!$E$56+'难度参数'!$E$57),1,0)</x:f>
        <x:v>6</x:v>
      </x:c>
      <x:c r="W156" s="62" t="str">
        <x:f>IF(L156&gt;'难度参数'!$E$51,"仅出怪已超目标","还需实测")</x:f>
        <x:v>还需实测</x:v>
      </x:c>
      <x:c r="X156" s="119" t="n">
        <x:f>IF(1&gt;D156,0,MAX(2,MIN('难度参数'!$E$12,ROUND(('难度参数'!$E$18*POWER(A156,'难度参数'!$E$19)/D156*(0.85+0.3*(1-1)/MAX(1,D156-1))),0)+F156)))</x:f>
        <x:v>23</x:v>
      </x:c>
      <x:c r="Y156" s="119" t="n">
        <x:f>IF(1&gt;D156,0,ROUND(('难度参数'!$E$13*POWER(A156,'难度参数'!$E$20)*MIN('难度参数'!$E$23,1+MAX(0,A156-'难度参数'!$E$21)*'难度参数'!$E$22))*(36+1*7)/(36+7*(D156+1)/2)*E156,0))</x:f>
        <x:v>3345</x:v>
      </x:c>
      <x:c r="Z156" s="119" t="n">
        <x:f>IF(X156=0,0,(X156-IF(1=D156,1,0))*ROUND(Y156*VLOOKUP(INDEX('章节与怪物'!$E$31:$K$37,B156,1),'章节与怪物'!$A$41:$F$44,2,FALSE),0)+IF(1=D156,ROUND(Y156*'难度参数'!$E$28*'章节与怪物'!$E$17,0),0))</x:f>
        <x:v>55384</x:v>
      </x:c>
      <x:c r="AA156" s="119" t="n">
        <x:f>IF(X156=0,0,(X156-IF(1=D156,1,0))*VLOOKUP(INDEX('章节与怪物'!$E$31:$K$37,B156,1),'章节与怪物'!$A$41:$F$44,4,FALSE)+IF(1=D156,'难度参数'!$E$30,0))</x:f>
        <x:v>460</x:v>
      </x:c>
      <x:c r="AB156" s="119" t="n">
        <x:f>IF(2&gt;D156,0,MAX(2,MIN('难度参数'!$E$12,ROUND(('难度参数'!$E$18*POWER(A156,'难度参数'!$E$19)/D156*(0.85+0.3*(2-1)/MAX(1,D156-1))),0)+F156)))</x:f>
        <x:v>25</x:v>
      </x:c>
      <x:c r="AC156" s="119" t="n">
        <x:f>IF(2&gt;D156,0,ROUND(('难度参数'!$E$13*POWER(A156,'难度参数'!$E$20)*MIN('难度参数'!$E$23,1+MAX(0,A156-'难度参数'!$E$21)*'难度参数'!$E$22))*(36+2*7)/(36+7*(D156+1)/2)*E156,0))</x:f>
        <x:v>3890</x:v>
      </x:c>
      <x:c r="AD156" s="119" t="n">
        <x:f>IF(AB156=0,0,(AB156-IF(2=D156,1,0))*ROUND(AC156*VLOOKUP(INDEX('章节与怪物'!$E$31:$K$37,B156,2),'章节与怪物'!$A$41:$F$44,2,FALSE),0)+IF(2=D156,ROUND(AC156*'难度参数'!$E$28*'章节与怪物'!$E$17,0),0))</x:f>
        <x:v>97250</x:v>
      </x:c>
      <x:c r="AE156" s="119" t="n">
        <x:f>IF(AB156=0,0,(AB156-IF(2=D156,1,0))*VLOOKUP(INDEX('章节与怪物'!$E$31:$K$37,B156,2),'章节与怪物'!$A$41:$F$44,4,FALSE)+IF(2=D156,'难度参数'!$E$30,0))</x:f>
        <x:v>450</x:v>
      </x:c>
      <x:c r="AF156" s="119" t="n">
        <x:f>IF(3&gt;D156,0,MAX(2,MIN('难度参数'!$E$12,ROUND(('难度参数'!$E$18*POWER(A156,'难度参数'!$E$19)/D156*(0.85+0.3*(3-1)/MAX(1,D156-1))),0)+F156)))</x:f>
        <x:v>26</x:v>
      </x:c>
      <x:c r="AG156" s="119" t="n">
        <x:f>IF(3&gt;D156,0,ROUND(('难度参数'!$E$13*POWER(A156,'难度参数'!$E$20)*MIN('难度参数'!$E$23,1+MAX(0,A156-'难度参数'!$E$21)*'难度参数'!$E$22))*(36+3*7)/(36+7*(D156+1)/2)*E156,0))</x:f>
        <x:v>4434</x:v>
      </x:c>
      <x:c r="AH156" s="119" t="n">
        <x:f>IF(AF156=0,0,(AF156-IF(3=D156,1,0))*ROUND(AG156*VLOOKUP(INDEX('章节与怪物'!$E$31:$K$37,B156,3),'章节与怪物'!$A$41:$F$44,2,FALSE),0)+IF(3=D156,ROUND(AG156*'难度参数'!$E$28*'章节与怪物'!$E$17,0),0))</x:f>
        <x:v>195988</x:v>
      </x:c>
      <x:c r="AI156" s="119" t="n">
        <x:f>IF(AF156=0,0,(AF156-IF(3=D156,1,0))*VLOOKUP(INDEX('章节与怪物'!$E$31:$K$37,B156,3),'章节与怪物'!$A$41:$F$44,4,FALSE)+IF(3=D156,'难度参数'!$E$30,0))</x:f>
        <x:v>728</x:v>
      </x:c>
      <x:c r="AJ156" s="119" t="n">
        <x:f>IF(4&gt;D156,0,MAX(2,MIN('难度参数'!$E$12,ROUND(('难度参数'!$E$18*POWER(A156,'难度参数'!$E$19)/D156*(0.85+0.3*(4-1)/MAX(1,D156-1))),0)+F156)))</x:f>
        <x:v>27</x:v>
      </x:c>
      <x:c r="AK156" s="119" t="n">
        <x:f>IF(4&gt;D156,0,ROUND(('难度参数'!$E$13*POWER(A156,'难度参数'!$E$20)*MIN('难度参数'!$E$23,1+MAX(0,A156-'难度参数'!$E$21)*'难度参数'!$E$22))*(36+4*7)/(36+7*(D156+1)/2)*E156,0))</x:f>
        <x:v>4979</x:v>
      </x:c>
      <x:c r="AL156" s="119" t="n">
        <x:f>IF(AJ156=0,0,(AJ156-IF(4=D156,1,0))*ROUND(AK156*VLOOKUP(INDEX('章节与怪物'!$E$31:$K$37,B156,4),'章节与怪物'!$A$41:$F$44,2,FALSE),0)+IF(4=D156,ROUND(AK156*'难度参数'!$E$28*'章节与怪物'!$E$17,0),0))</x:f>
        <x:v>181494</x:v>
      </x:c>
      <x:c r="AM156" s="119" t="n">
        <x:f>IF(AJ156=0,0,(AJ156-IF(4=D156,1,0))*VLOOKUP(INDEX('章节与怪物'!$E$31:$K$37,B156,4),'章节与怪物'!$A$41:$F$44,4,FALSE)+IF(4=D156,'难度参数'!$E$30,0))</x:f>
        <x:v>918</x:v>
      </x:c>
      <x:c r="AN156" s="119" t="n">
        <x:f>IF(5&gt;D156,0,MAX(2,MIN('难度参数'!$E$12,ROUND(('难度参数'!$E$18*POWER(A156,'难度参数'!$E$19)/D156*(0.85+0.3*(5-1)/MAX(1,D156-1))),0)+F156)))</x:f>
        <x:v>29</x:v>
      </x:c>
      <x:c r="AO156" s="119" t="n">
        <x:f>IF(5&gt;D156,0,ROUND(('难度参数'!$E$13*POWER(A156,'难度参数'!$E$20)*MIN('难度参数'!$E$23,1+MAX(0,A156-'难度参数'!$E$21)*'难度参数'!$E$22))*(36+5*7)/(36+7*(D156+1)/2)*E156,0))</x:f>
        <x:v>5523</x:v>
      </x:c>
      <x:c r="AP156" s="119" t="n">
        <x:f>IF(AN156=0,0,(AN156-IF(5=D156,1,0))*ROUND(AO156*VLOOKUP(INDEX('章节与怪物'!$E$31:$K$37,B156,5),'章节与怪物'!$A$41:$F$44,2,FALSE),0)+IF(5=D156,ROUND(AO156*'难度参数'!$E$28*'章节与怪物'!$E$17,0),0))</x:f>
        <x:v>160167</x:v>
      </x:c>
      <x:c r="AQ156" s="119" t="n">
        <x:f>IF(AN156=0,0,(AN156-IF(5=D156,1,0))*VLOOKUP(INDEX('章节与怪物'!$E$31:$K$37,B156,5),'章节与怪物'!$A$41:$F$44,4,FALSE)+IF(5=D156,'难度参数'!$E$30,0))</x:f>
        <x:v>522</x:v>
      </x:c>
      <x:c r="AR156" s="119" t="n">
        <x:f>IF(6&gt;D156,0,MAX(2,MIN('难度参数'!$E$12,ROUND(('难度参数'!$E$18*POWER(A156,'难度参数'!$E$19)/D156*(0.85+0.3*(6-1)/MAX(1,D156-1))),0)+F156)))</x:f>
        <x:v>30</x:v>
      </x:c>
      <x:c r="AS156" s="119" t="n">
        <x:f>IF(6&gt;D156,0,ROUND(('难度参数'!$E$13*POWER(A156,'难度参数'!$E$20)*MIN('难度参数'!$E$23,1+MAX(0,A156-'难度参数'!$E$21)*'难度参数'!$E$22))*(36+6*7)/(36+7*(D156+1)/2)*E156,0))</x:f>
        <x:v>6068</x:v>
      </x:c>
      <x:c r="AT156" s="119" t="n">
        <x:f>IF(AR156=0,0,(AR156-IF(6=D156,1,0))*ROUND(AS156*VLOOKUP(INDEX('章节与怪物'!$E$31:$K$37,B156,6),'章节与怪物'!$A$41:$F$44,2,FALSE),0)+IF(6=D156,ROUND(AS156*'难度参数'!$E$28*'章节与怪物'!$E$17,0),0))</x:f>
        <x:v>309480</x:v>
      </x:c>
      <x:c r="AU156" s="119" t="n">
        <x:f>IF(AR156=0,0,(AR156-IF(6=D156,1,0))*VLOOKUP(INDEX('章节与怪物'!$E$31:$K$37,B156,6),'章节与怪物'!$A$41:$F$44,4,FALSE)+IF(6=D156,'难度参数'!$E$30,0))</x:f>
        <x:v>840</x:v>
      </x:c>
      <x:c r="AV156" s="119" t="n">
        <x:f>IF(7&gt;D156,0,MAX(2,MIN('难度参数'!$E$12,ROUND(('难度参数'!$E$18*POWER(A156,'难度参数'!$E$19)/D156*(0.85+0.3*(7-1)/MAX(1,D156-1))),0)+F156)))</x:f>
        <x:v>31</x:v>
      </x:c>
      <x:c r="AW156" s="119" t="n">
        <x:f>IF(7&gt;D156,0,ROUND(('难度参数'!$E$13*POWER(A156,'难度参数'!$E$20)*MIN('难度参数'!$E$23,1+MAX(0,A156-'难度参数'!$E$21)*'难度参数'!$E$22))*(36+7*7)/(36+7*(D156+1)/2)*E156,0))</x:f>
        <x:v>6612</x:v>
      </x:c>
      <x:c r="AX156" s="119" t="n">
        <x:f>IF(AV156=0,0,(AV156-IF(7=D156,1,0))*ROUND(AW156*VLOOKUP(INDEX('章节与怪物'!$E$31:$K$37,B156,7),'章节与怪物'!$A$41:$F$44,2,FALSE),0)+IF(7=D156,ROUND(AW156*'难度参数'!$E$28*'章节与怪物'!$E$17,0),0))</x:f>
        <x:v>312742</x:v>
      </x:c>
      <x:c r="AY156" s="119" t="n">
        <x:f>IF(AV156=0,0,(AV156-IF(7=D156,1,0))*VLOOKUP(INDEX('章节与怪物'!$E$31:$K$37,B156,7),'章节与怪物'!$A$41:$F$44,4,FALSE)+IF(7=D156,'难度参数'!$E$30,0))</x:f>
        <x:v>1220</x:v>
      </x:c>
    </x:row>
    <x:row r="157" ht="23" customHeight="1">
      <x:c r="A157" s="119" t="n">
        <x:v>151</x:v>
      </x:c>
      <x:c r="B157" s="119" t="n">
        <x:f>MOD(INT((A157-1)/5),7)+1</x:f>
        <x:v>3</x:v>
      </x:c>
      <x:c r="C157" s="62" t="str">
        <x:f>INDEX('章节与怪物'!$B$31:$B$37,B157)</x:f>
        <x:v>腐沼秘林</x:v>
      </x:c>
      <x:c r="D157" s="119" t="n">
        <x:f>MIN('难度参数'!$E$8,MAX('难度参数'!$E$7,A157))</x:f>
        <x:v>7</x:v>
      </x:c>
      <x:c r="E157" s="106" t="n">
        <x:v>1</x:v>
      </x:c>
      <x:c r="F157" s="106" t="n">
        <x:v>0</x:v>
      </x:c>
      <x:c r="G157" s="106" t="n">
        <x:v>1</x:v>
      </x:c>
      <x:c r="H157" s="119" t="n">
        <x:f>SUM(X157,AB157,AF157,AJ157,AN157,AR157,AV157)</x:f>
        <x:v>191</x:v>
      </x:c>
      <x:c r="I157" s="119" t="n">
        <x:f>SUM(Z157,AD157,AH157,AL157,AP157,AT157,AX157)</x:f>
        <x:v>1268018</x:v>
      </x:c>
      <x:c r="J157" s="119" t="n">
        <x:f>ROUND(INDEX(X157:AY157,1,(D157-1)*4+2)*'难度参数'!$E$28*'章节与怪物'!$E$17,0)</x:f>
        <x:v>45179</x:v>
      </x:c>
      <x:c r="K157" s="119" t="n">
        <x:f>SUM(AA157,AE157,AI157,AM157,AQ157,AU157,AY157)</x:f>
        <x:v>5200</x:v>
      </x:c>
      <x:c r="L157" s="62" t="n">
        <x:f>H157*(ROUNDUP('难度参数'!$E$24/('难度参数'!$E$26*'难度参数'!$E$27),0)*'难度参数'!$E$26)/60</x:f>
        <x:v>2.546666666666667</x:v>
      </x:c>
      <x:c r="M157" s="62" t="n">
        <x:f>L157+D157*('难度参数'!$E$49+'难度参数'!$E$50)/60</x:f>
        <x:v>3.713333333333334</x:v>
      </x:c>
      <x:c r="N157" s="119" t="n">
        <x:f>ROUNDDOWN(('经济参数'!$E$20+A157*'经济参数'!$E$21)*G157,0)</x:f>
        <x:v>3200</x:v>
      </x:c>
      <x:c r="O157" s="119" t="n">
        <x:f>ROUNDDOWN(MIN('经济参数'!$E$24,'经济参数'!$E$22+A157*'经济参数'!$E$23)*G157,0)</x:f>
        <x:v>0</x:v>
      </x:c>
      <x:c r="P157" s="119" t="n">
        <x:f>ROUNDDOWN((IF(A157&gt;='材料与任务'!$E$31,'材料与任务'!$E$32,IF(A157&gt;='材料与任务'!$E$25,'材料与任务'!$E$26,IF(A157&gt;='材料与任务'!$E$19,'材料与任务'!$E$20,IF(A157&gt;='材料与任务'!$E$13,'材料与任务'!$E$14,'材料与任务'!$E$8)))))*G157,0)</x:f>
        <x:v>6</x:v>
      </x:c>
      <x:c r="Q157" s="119" t="n">
        <x:f>ROUNDDOWN((IF(A157&gt;='材料与任务'!$E$31,'材料与任务'!$E$33,IF(A157&gt;='材料与任务'!$E$25,'材料与任务'!$E$27,IF(A157&gt;='材料与任务'!$E$19,'材料与任务'!$E$21,IF(A157&gt;='材料与任务'!$E$13,'材料与任务'!$E$15,'材料与任务'!$E$9)))))*G157,0)</x:f>
        <x:v>3</x:v>
      </x:c>
      <x:c r="R157" s="110" t="n">
        <x:f>'装备掉落'!$B$38</x:f>
        <x:v>0.6872058758851213</x:v>
      </x:c>
      <x:c r="S157" s="119" t="n">
        <x:f>MAX(IF(VLOOKUP(A157,'装备掉落'!$A$29:$H$34,2,TRUE)&gt;0,1,0),IF(VLOOKUP(A157,'装备掉落'!$A$29:$H$34,3,TRUE)&gt;0,2,0),IF(VLOOKUP(A157,'装备掉落'!$A$29:$H$34,4,TRUE)&gt;0,3,0),IF(VLOOKUP(A157,'装备掉落'!$A$29:$H$34,5,TRUE)&gt;0,4,0),IF(VLOOKUP(A157,'装备掉落'!$A$29:$H$34,6,TRUE)&gt;0,5,0),IF(VLOOKUP(A157,'装备掉落'!$A$29:$H$34,7,TRUE)&gt;0,6,0),IF(VLOOKUP(A157,'装备掉落'!$A$29:$H$34,8,TRUE)&gt;0,7,0))</x:f>
        <x:v>7</x:v>
      </x:c>
      <x:c r="T157" s="119" t="n">
        <x:f>MIN(7,S157+'经济参数'!$E$70)</x:f>
        <x:v>7</x:v>
      </x:c>
      <x:c r="U157" s="119" t="n">
        <x:f>MIN(7,S157+'经济参数'!$E$71)</x:f>
        <x:v>7</x:v>
      </x:c>
      <x:c r="V157" s="119" t="n">
        <x:f>IF(H157&gt;=('难度参数'!$E$52),1,0)+IF(H157&gt;=('难度参数'!$E$52+'难度参数'!$E$53),1,0)+IF(H157&gt;=('难度参数'!$E$52+'难度参数'!$E$53+'难度参数'!$E$54),1,0)+IF(H157&gt;=('难度参数'!$E$52+'难度参数'!$E$53+'难度参数'!$E$54+'难度参数'!$E$55),1,0)+IF(H157&gt;=('难度参数'!$E$52+'难度参数'!$E$53+'难度参数'!$E$54+'难度参数'!$E$55+'难度参数'!$E$56),1,0)+IF(H157&gt;=('难度参数'!$E$52+'难度参数'!$E$53+'难度参数'!$E$54+'难度参数'!$E$55+'难度参数'!$E$56+'难度参数'!$E$57),1,0)</x:f>
        <x:v>6</x:v>
      </x:c>
      <x:c r="W157" s="62" t="str">
        <x:f>IF(L157&gt;'难度参数'!$E$51,"仅出怪已超目标","还需实测")</x:f>
        <x:v>还需实测</x:v>
      </x:c>
      <x:c r="X157" s="119" t="n">
        <x:f>IF(1&gt;D157,0,MAX(2,MIN('难度参数'!$E$12,ROUND(('难度参数'!$E$18*POWER(A157,'难度参数'!$E$19)/D157*(0.85+0.3*(1-1)/MAX(1,D157-1))),0)+F157)))</x:f>
        <x:v>23</x:v>
      </x:c>
      <x:c r="Y157" s="119" t="n">
        <x:f>IF(1&gt;D157,0,ROUND(('难度参数'!$E$13*POWER(A157,'难度参数'!$E$20)*MIN('难度参数'!$E$23,1+MAX(0,A157-'难度参数'!$E$21)*'难度参数'!$E$22))*(36+1*7)/(36+7*(D157+1)/2)*E157,0))</x:f>
        <x:v>3361</x:v>
      </x:c>
      <x:c r="Z157" s="119" t="n">
        <x:f>IF(X157=0,0,(X157-IF(1=D157,1,0))*ROUND(Y157*VLOOKUP(INDEX('章节与怪物'!$E$31:$K$37,B157,1),'章节与怪物'!$A$41:$F$44,2,FALSE),0)+IF(1=D157,ROUND(Y157*'难度参数'!$E$28*'章节与怪物'!$E$17,0),0))</x:f>
        <x:v>77303</x:v>
      </x:c>
      <x:c r="AA157" s="119" t="n">
        <x:f>IF(X157=0,0,(X157-IF(1=D157,1,0))*VLOOKUP(INDEX('章节与怪物'!$E$31:$K$37,B157,1),'章节与怪物'!$A$41:$F$44,4,FALSE)+IF(1=D157,'难度参数'!$E$30,0))</x:f>
        <x:v>414</x:v>
      </x:c>
      <x:c r="AB157" s="119" t="n">
        <x:f>IF(2&gt;D157,0,MAX(2,MIN('难度参数'!$E$12,ROUND(('难度参数'!$E$18*POWER(A157,'难度参数'!$E$19)/D157*(0.85+0.3*(2-1)/MAX(1,D157-1))),0)+F157)))</x:f>
        <x:v>25</x:v>
      </x:c>
      <x:c r="AC157" s="119" t="n">
        <x:f>IF(2&gt;D157,0,ROUND(('难度参数'!$E$13*POWER(A157,'难度参数'!$E$20)*MIN('难度参数'!$E$23,1+MAX(0,A157-'难度参数'!$E$21)*'难度参数'!$E$22))*(36+2*7)/(36+7*(D157+1)/2)*E157,0))</x:f>
        <x:v>3908</x:v>
      </x:c>
      <x:c r="AD157" s="119" t="n">
        <x:f>IF(AB157=0,0,(AB157-IF(2=D157,1,0))*ROUND(AC157*VLOOKUP(INDEX('章节与怪物'!$E$31:$K$37,B157,2),'章节与怪物'!$A$41:$F$44,2,FALSE),0)+IF(2=D157,ROUND(AC157*'难度参数'!$E$28*'章节与怪物'!$E$17,0),0))</x:f>
        <x:v>70350</x:v>
      </x:c>
      <x:c r="AE157" s="119" t="n">
        <x:f>IF(AB157=0,0,(AB157-IF(2=D157,1,0))*VLOOKUP(INDEX('章节与怪物'!$E$31:$K$37,B157,2),'章节与怪物'!$A$41:$F$44,4,FALSE)+IF(2=D157,'难度参数'!$E$30,0))</x:f>
        <x:v>500</x:v>
      </x:c>
      <x:c r="AF157" s="119" t="n">
        <x:f>IF(3&gt;D157,0,MAX(2,MIN('难度参数'!$E$12,ROUND(('难度参数'!$E$18*POWER(A157,'难度参数'!$E$19)/D157*(0.85+0.3*(3-1)/MAX(1,D157-1))),0)+F157)))</x:f>
        <x:v>26</x:v>
      </x:c>
      <x:c r="AG157" s="119" t="n">
        <x:f>IF(3&gt;D157,0,ROUND(('难度参数'!$E$13*POWER(A157,'难度参数'!$E$20)*MIN('难度参数'!$E$23,1+MAX(0,A157-'难度参数'!$E$21)*'难度参数'!$E$22))*(36+3*7)/(36+7*(D157+1)/2)*E157,0))</x:f>
        <x:v>4455</x:v>
      </x:c>
      <x:c r="AH157" s="119" t="n">
        <x:f>IF(AF157=0,0,(AF157-IF(3=D157,1,0))*ROUND(AG157*VLOOKUP(INDEX('章节与怪物'!$E$31:$K$37,B157,3),'章节与怪物'!$A$41:$F$44,2,FALSE),0)+IF(3=D157,ROUND(AG157*'难度参数'!$E$28*'章节与怪物'!$E$17,0),0))</x:f>
        <x:v>196924</x:v>
      </x:c>
      <x:c r="AI157" s="119" t="n">
        <x:f>IF(AF157=0,0,(AF157-IF(3=D157,1,0))*VLOOKUP(INDEX('章节与怪物'!$E$31:$K$37,B157,3),'章节与怪物'!$A$41:$F$44,4,FALSE)+IF(3=D157,'难度参数'!$E$30,0))</x:f>
        <x:v>728</x:v>
      </x:c>
      <x:c r="AJ157" s="119" t="n">
        <x:f>IF(4&gt;D157,0,MAX(2,MIN('难度参数'!$E$12,ROUND(('难度参数'!$E$18*POWER(A157,'难度参数'!$E$19)/D157*(0.85+0.3*(4-1)/MAX(1,D157-1))),0)+F157)))</x:f>
        <x:v>27</x:v>
      </x:c>
      <x:c r="AK157" s="119" t="n">
        <x:f>IF(4&gt;D157,0,ROUND(('难度参数'!$E$13*POWER(A157,'难度参数'!$E$20)*MIN('难度参数'!$E$23,1+MAX(0,A157-'难度参数'!$E$21)*'难度参数'!$E$22))*(36+4*7)/(36+7*(D157+1)/2)*E157,0))</x:f>
        <x:v>5003</x:v>
      </x:c>
      <x:c r="AL157" s="119" t="n">
        <x:f>IF(AJ157=0,0,(AJ157-IF(4=D157,1,0))*ROUND(AK157*VLOOKUP(INDEX('章节与怪物'!$E$31:$K$37,B157,4),'章节与怪物'!$A$41:$F$44,2,FALSE),0)+IF(4=D157,ROUND(AK157*'难度参数'!$E$28*'章节与怪物'!$E$17,0),0))</x:f>
        <x:v>182358</x:v>
      </x:c>
      <x:c r="AM157" s="119" t="n">
        <x:f>IF(AJ157=0,0,(AJ157-IF(4=D157,1,0))*VLOOKUP(INDEX('章节与怪物'!$E$31:$K$37,B157,4),'章节与怪物'!$A$41:$F$44,4,FALSE)+IF(4=D157,'难度参数'!$E$30,0))</x:f>
        <x:v>918</x:v>
      </x:c>
      <x:c r="AN157" s="119" t="n">
        <x:f>IF(5&gt;D157,0,MAX(2,MIN('难度参数'!$E$12,ROUND(('难度参数'!$E$18*POWER(A157,'难度参数'!$E$19)/D157*(0.85+0.3*(5-1)/MAX(1,D157-1))),0)+F157)))</x:f>
        <x:v>29</x:v>
      </x:c>
      <x:c r="AO157" s="119" t="n">
        <x:f>IF(5&gt;D157,0,ROUND(('难度参数'!$E$13*POWER(A157,'难度参数'!$E$20)*MIN('难度参数'!$E$23,1+MAX(0,A157-'难度参数'!$E$21)*'难度参数'!$E$22))*(36+5*7)/(36+7*(D157+1)/2)*E157,0))</x:f>
        <x:v>5550</x:v>
      </x:c>
      <x:c r="AP157" s="119" t="n">
        <x:f>IF(AN157=0,0,(AN157-IF(5=D157,1,0))*ROUND(AO157*VLOOKUP(INDEX('章节与怪物'!$E$31:$K$37,B157,5),'章节与怪物'!$A$41:$F$44,2,FALSE),0)+IF(5=D157,ROUND(AO157*'难度参数'!$E$28*'章节与怪物'!$E$17,0),0))</x:f>
        <x:v>115884</x:v>
      </x:c>
      <x:c r="AQ157" s="119" t="n">
        <x:f>IF(AN157=0,0,(AN157-IF(5=D157,1,0))*VLOOKUP(INDEX('章节与怪物'!$E$31:$K$37,B157,5),'章节与怪物'!$A$41:$F$44,4,FALSE)+IF(5=D157,'难度参数'!$E$30,0))</x:f>
        <x:v>580</x:v>
      </x:c>
      <x:c r="AR157" s="119" t="n">
        <x:f>IF(6&gt;D157,0,MAX(2,MIN('难度参数'!$E$12,ROUND(('难度参数'!$E$18*POWER(A157,'难度参数'!$E$19)/D157*(0.85+0.3*(6-1)/MAX(1,D157-1))),0)+F157)))</x:f>
        <x:v>30</x:v>
      </x:c>
      <x:c r="AS157" s="119" t="n">
        <x:f>IF(6&gt;D157,0,ROUND(('难度参数'!$E$13*POWER(A157,'难度参数'!$E$20)*MIN('难度参数'!$E$23,1+MAX(0,A157-'难度参数'!$E$21)*'难度参数'!$E$22))*(36+6*7)/(36+7*(D157+1)/2)*E157,0))</x:f>
        <x:v>6097</x:v>
      </x:c>
      <x:c r="AT157" s="119" t="n">
        <x:f>IF(AR157=0,0,(AR157-IF(6=D157,1,0))*ROUND(AS157*VLOOKUP(INDEX('章节与怪物'!$E$31:$K$37,B157,6),'章节与怪物'!$A$41:$F$44,2,FALSE),0)+IF(6=D157,ROUND(AS157*'难度参数'!$E$28*'章节与怪物'!$E$17,0),0))</x:f>
        <x:v>310950</x:v>
      </x:c>
      <x:c r="AU157" s="119" t="n">
        <x:f>IF(AR157=0,0,(AR157-IF(6=D157,1,0))*VLOOKUP(INDEX('章节与怪物'!$E$31:$K$37,B157,6),'章节与怪物'!$A$41:$F$44,4,FALSE)+IF(6=D157,'难度参数'!$E$30,0))</x:f>
        <x:v>840</x:v>
      </x:c>
      <x:c r="AV157" s="119" t="n">
        <x:f>IF(7&gt;D157,0,MAX(2,MIN('难度参数'!$E$12,ROUND(('难度参数'!$E$18*POWER(A157,'难度参数'!$E$19)/D157*(0.85+0.3*(7-1)/MAX(1,D157-1))),0)+F157)))</x:f>
        <x:v>31</x:v>
      </x:c>
      <x:c r="AW157" s="119" t="n">
        <x:f>IF(7&gt;D157,0,ROUND(('难度参数'!$E$13*POWER(A157,'难度参数'!$E$20)*MIN('难度参数'!$E$23,1+MAX(0,A157-'难度参数'!$E$21)*'难度参数'!$E$22))*(36+7*7)/(36+7*(D157+1)/2)*E157,0))</x:f>
        <x:v>6644</x:v>
      </x:c>
      <x:c r="AX157" s="119" t="n">
        <x:f>IF(AV157=0,0,(AV157-IF(7=D157,1,0))*ROUND(AW157*VLOOKUP(INDEX('章节与怪物'!$E$31:$K$37,B157,7),'章节与怪物'!$A$41:$F$44,2,FALSE),0)+IF(7=D157,ROUND(AW157*'难度参数'!$E$28*'章节与怪物'!$E$17,0),0))</x:f>
        <x:v>314249</x:v>
      </x:c>
      <x:c r="AY157" s="119" t="n">
        <x:f>IF(AV157=0,0,(AV157-IF(7=D157,1,0))*VLOOKUP(INDEX('章节与怪物'!$E$31:$K$37,B157,7),'章节与怪物'!$A$41:$F$44,4,FALSE)+IF(7=D157,'难度参数'!$E$30,0))</x:f>
        <x:v>1220</x:v>
      </x:c>
    </x:row>
    <x:row r="158" ht="23" customHeight="1">
      <x:c r="A158" s="119" t="n">
        <x:v>152</x:v>
      </x:c>
      <x:c r="B158" s="119" t="n">
        <x:f>MOD(INT((A158-1)/5),7)+1</x:f>
        <x:v>3</x:v>
      </x:c>
      <x:c r="C158" s="62" t="str">
        <x:f>INDEX('章节与怪物'!$B$31:$B$37,B158)</x:f>
        <x:v>腐沼秘林</x:v>
      </x:c>
      <x:c r="D158" s="119" t="n">
        <x:f>MIN('难度参数'!$E$8,MAX('难度参数'!$E$7,A158))</x:f>
        <x:v>7</x:v>
      </x:c>
      <x:c r="E158" s="106" t="n">
        <x:v>1</x:v>
      </x:c>
      <x:c r="F158" s="106" t="n">
        <x:v>0</x:v>
      </x:c>
      <x:c r="G158" s="106" t="n">
        <x:v>1</x:v>
      </x:c>
      <x:c r="H158" s="119" t="n">
        <x:f>SUM(X158,AB158,AF158,AJ158,AN158,AR158,AV158)</x:f>
        <x:v>191</x:v>
      </x:c>
      <x:c r="I158" s="119" t="n">
        <x:f>SUM(Z158,AD158,AH158,AL158,AP158,AT158,AX158)</x:f>
        <x:v>1274069</x:v>
      </x:c>
      <x:c r="J158" s="119" t="n">
        <x:f>ROUND(INDEX(X158:AY158,1,(D158-1)*4+2)*'难度参数'!$E$28*'章节与怪物'!$E$17,0)</x:f>
        <x:v>45397</x:v>
      </x:c>
      <x:c r="K158" s="119" t="n">
        <x:f>SUM(AA158,AE158,AI158,AM158,AQ158,AU158,AY158)</x:f>
        <x:v>5200</x:v>
      </x:c>
      <x:c r="L158" s="62" t="n">
        <x:f>H158*(ROUNDUP('难度参数'!$E$24/('难度参数'!$E$26*'难度参数'!$E$27),0)*'难度参数'!$E$26)/60</x:f>
        <x:v>2.546666666666667</x:v>
      </x:c>
      <x:c r="M158" s="62" t="n">
        <x:f>L158+D158*('难度参数'!$E$49+'难度参数'!$E$50)/60</x:f>
        <x:v>3.713333333333334</x:v>
      </x:c>
      <x:c r="N158" s="119" t="n">
        <x:f>ROUNDDOWN(('经济参数'!$E$20+A158*'经济参数'!$E$21)*G158,0)</x:f>
        <x:v>3220</x:v>
      </x:c>
      <x:c r="O158" s="119" t="n">
        <x:f>ROUNDDOWN(MIN('经济参数'!$E$24,'经济参数'!$E$22+A158*'经济参数'!$E$23)*G158,0)</x:f>
        <x:v>0</x:v>
      </x:c>
      <x:c r="P158" s="119" t="n">
        <x:f>ROUNDDOWN((IF(A158&gt;='材料与任务'!$E$31,'材料与任务'!$E$32,IF(A158&gt;='材料与任务'!$E$25,'材料与任务'!$E$26,IF(A158&gt;='材料与任务'!$E$19,'材料与任务'!$E$20,IF(A158&gt;='材料与任务'!$E$13,'材料与任务'!$E$14,'材料与任务'!$E$8)))))*G158,0)</x:f>
        <x:v>6</x:v>
      </x:c>
      <x:c r="Q158" s="119" t="n">
        <x:f>ROUNDDOWN((IF(A158&gt;='材料与任务'!$E$31,'材料与任务'!$E$33,IF(A158&gt;='材料与任务'!$E$25,'材料与任务'!$E$27,IF(A158&gt;='材料与任务'!$E$19,'材料与任务'!$E$21,IF(A158&gt;='材料与任务'!$E$13,'材料与任务'!$E$15,'材料与任务'!$E$9)))))*G158,0)</x:f>
        <x:v>3</x:v>
      </x:c>
      <x:c r="R158" s="110" t="n">
        <x:f>'装备掉落'!$B$38</x:f>
        <x:v>0.6872058758851213</x:v>
      </x:c>
      <x:c r="S158" s="119" t="n">
        <x:f>MAX(IF(VLOOKUP(A158,'装备掉落'!$A$29:$H$34,2,TRUE)&gt;0,1,0),IF(VLOOKUP(A158,'装备掉落'!$A$29:$H$34,3,TRUE)&gt;0,2,0),IF(VLOOKUP(A158,'装备掉落'!$A$29:$H$34,4,TRUE)&gt;0,3,0),IF(VLOOKUP(A158,'装备掉落'!$A$29:$H$34,5,TRUE)&gt;0,4,0),IF(VLOOKUP(A158,'装备掉落'!$A$29:$H$34,6,TRUE)&gt;0,5,0),IF(VLOOKUP(A158,'装备掉落'!$A$29:$H$34,7,TRUE)&gt;0,6,0),IF(VLOOKUP(A158,'装备掉落'!$A$29:$H$34,8,TRUE)&gt;0,7,0))</x:f>
        <x:v>7</x:v>
      </x:c>
      <x:c r="T158" s="119" t="n">
        <x:f>MIN(7,S158+'经济参数'!$E$70)</x:f>
        <x:v>7</x:v>
      </x:c>
      <x:c r="U158" s="119" t="n">
        <x:f>MIN(7,S158+'经济参数'!$E$71)</x:f>
        <x:v>7</x:v>
      </x:c>
      <x:c r="V158" s="119" t="n">
        <x:f>IF(H158&gt;=('难度参数'!$E$52),1,0)+IF(H158&gt;=('难度参数'!$E$52+'难度参数'!$E$53),1,0)+IF(H158&gt;=('难度参数'!$E$52+'难度参数'!$E$53+'难度参数'!$E$54),1,0)+IF(H158&gt;=('难度参数'!$E$52+'难度参数'!$E$53+'难度参数'!$E$54+'难度参数'!$E$55),1,0)+IF(H158&gt;=('难度参数'!$E$52+'难度参数'!$E$53+'难度参数'!$E$54+'难度参数'!$E$55+'难度参数'!$E$56),1,0)+IF(H158&gt;=('难度参数'!$E$52+'难度参数'!$E$53+'难度参数'!$E$54+'难度参数'!$E$55+'难度参数'!$E$56+'难度参数'!$E$57),1,0)</x:f>
        <x:v>6</x:v>
      </x:c>
      <x:c r="W158" s="62" t="str">
        <x:f>IF(L158&gt;'难度参数'!$E$51,"仅出怪已超目标","还需实测")</x:f>
        <x:v>还需实测</x:v>
      </x:c>
      <x:c r="X158" s="119" t="n">
        <x:f>IF(1&gt;D158,0,MAX(2,MIN('难度参数'!$E$12,ROUND(('难度参数'!$E$18*POWER(A158,'难度参数'!$E$19)/D158*(0.85+0.3*(1-1)/MAX(1,D158-1))),0)+F158)))</x:f>
        <x:v>23</x:v>
      </x:c>
      <x:c r="Y158" s="119" t="n">
        <x:f>IF(1&gt;D158,0,ROUND(('难度参数'!$E$13*POWER(A158,'难度参数'!$E$20)*MIN('难度参数'!$E$23,1+MAX(0,A158-'难度参数'!$E$21)*'难度参数'!$E$22))*(36+1*7)/(36+7*(D158+1)/2)*E158,0))</x:f>
        <x:v>3377</x:v>
      </x:c>
      <x:c r="Z158" s="119" t="n">
        <x:f>IF(X158=0,0,(X158-IF(1=D158,1,0))*ROUND(Y158*VLOOKUP(INDEX('章节与怪物'!$E$31:$K$37,B158,1),'章节与怪物'!$A$41:$F$44,2,FALSE),0)+IF(1=D158,ROUND(Y158*'难度参数'!$E$28*'章节与怪物'!$E$17,0),0))</x:f>
        <x:v>77671</x:v>
      </x:c>
      <x:c r="AA158" s="119" t="n">
        <x:f>IF(X158=0,0,(X158-IF(1=D158,1,0))*VLOOKUP(INDEX('章节与怪物'!$E$31:$K$37,B158,1),'章节与怪物'!$A$41:$F$44,4,FALSE)+IF(1=D158,'难度参数'!$E$30,0))</x:f>
        <x:v>414</x:v>
      </x:c>
      <x:c r="AB158" s="119" t="n">
        <x:f>IF(2&gt;D158,0,MAX(2,MIN('难度参数'!$E$12,ROUND(('难度参数'!$E$18*POWER(A158,'难度参数'!$E$19)/D158*(0.85+0.3*(2-1)/MAX(1,D158-1))),0)+F158)))</x:f>
        <x:v>25</x:v>
      </x:c>
      <x:c r="AC158" s="119" t="n">
        <x:f>IF(2&gt;D158,0,ROUND(('难度参数'!$E$13*POWER(A158,'难度参数'!$E$20)*MIN('难度参数'!$E$23,1+MAX(0,A158-'难度参数'!$E$21)*'难度参数'!$E$22))*(36+2*7)/(36+7*(D158+1)/2)*E158,0))</x:f>
        <x:v>3927</x:v>
      </x:c>
      <x:c r="AD158" s="119" t="n">
        <x:f>IF(AB158=0,0,(AB158-IF(2=D158,1,0))*ROUND(AC158*VLOOKUP(INDEX('章节与怪物'!$E$31:$K$37,B158,2),'章节与怪物'!$A$41:$F$44,2,FALSE),0)+IF(2=D158,ROUND(AC158*'难度参数'!$E$28*'章节与怪物'!$E$17,0),0))</x:f>
        <x:v>70675</x:v>
      </x:c>
      <x:c r="AE158" s="119" t="n">
        <x:f>IF(AB158=0,0,(AB158-IF(2=D158,1,0))*VLOOKUP(INDEX('章节与怪物'!$E$31:$K$37,B158,2),'章节与怪物'!$A$41:$F$44,4,FALSE)+IF(2=D158,'难度参数'!$E$30,0))</x:f>
        <x:v>500</x:v>
      </x:c>
      <x:c r="AF158" s="119" t="n">
        <x:f>IF(3&gt;D158,0,MAX(2,MIN('难度参数'!$E$12,ROUND(('难度参数'!$E$18*POWER(A158,'难度参数'!$E$19)/D158*(0.85+0.3*(3-1)/MAX(1,D158-1))),0)+F158)))</x:f>
        <x:v>26</x:v>
      </x:c>
      <x:c r="AG158" s="119" t="n">
        <x:f>IF(3&gt;D158,0,ROUND(('难度参数'!$E$13*POWER(A158,'难度参数'!$E$20)*MIN('难度参数'!$E$23,1+MAX(0,A158-'难度参数'!$E$21)*'难度参数'!$E$22))*(36+3*7)/(36+7*(D158+1)/2)*E158,0))</x:f>
        <x:v>4477</x:v>
      </x:c>
      <x:c r="AH158" s="119" t="n">
        <x:f>IF(AF158=0,0,(AF158-IF(3=D158,1,0))*ROUND(AG158*VLOOKUP(INDEX('章节与怪物'!$E$31:$K$37,B158,3),'章节与怪物'!$A$41:$F$44,2,FALSE),0)+IF(3=D158,ROUND(AG158*'难度参数'!$E$28*'章节与怪物'!$E$17,0),0))</x:f>
        <x:v>197886</x:v>
      </x:c>
      <x:c r="AI158" s="119" t="n">
        <x:f>IF(AF158=0,0,(AF158-IF(3=D158,1,0))*VLOOKUP(INDEX('章节与怪物'!$E$31:$K$37,B158,3),'章节与怪物'!$A$41:$F$44,4,FALSE)+IF(3=D158,'难度参数'!$E$30,0))</x:f>
        <x:v>728</x:v>
      </x:c>
      <x:c r="AJ158" s="119" t="n">
        <x:f>IF(4&gt;D158,0,MAX(2,MIN('难度参数'!$E$12,ROUND(('难度参数'!$E$18*POWER(A158,'难度参数'!$E$19)/D158*(0.85+0.3*(4-1)/MAX(1,D158-1))),0)+F158)))</x:f>
        <x:v>27</x:v>
      </x:c>
      <x:c r="AK158" s="119" t="n">
        <x:f>IF(4&gt;D158,0,ROUND(('难度参数'!$E$13*POWER(A158,'难度参数'!$E$20)*MIN('难度参数'!$E$23,1+MAX(0,A158-'难度参数'!$E$21)*'难度参数'!$E$22))*(36+4*7)/(36+7*(D158+1)/2)*E158,0))</x:f>
        <x:v>5026</x:v>
      </x:c>
      <x:c r="AL158" s="119" t="n">
        <x:f>IF(AJ158=0,0,(AJ158-IF(4=D158,1,0))*ROUND(AK158*VLOOKUP(INDEX('章节与怪物'!$E$31:$K$37,B158,4),'章节与怪物'!$A$41:$F$44,2,FALSE),0)+IF(4=D158,ROUND(AK158*'难度参数'!$E$28*'章节与怪物'!$E$17,0),0))</x:f>
        <x:v>183195</x:v>
      </x:c>
      <x:c r="AM158" s="119" t="n">
        <x:f>IF(AJ158=0,0,(AJ158-IF(4=D158,1,0))*VLOOKUP(INDEX('章节与怪物'!$E$31:$K$37,B158,4),'章节与怪物'!$A$41:$F$44,4,FALSE)+IF(4=D158,'难度参数'!$E$30,0))</x:f>
        <x:v>918</x:v>
      </x:c>
      <x:c r="AN158" s="119" t="n">
        <x:f>IF(5&gt;D158,0,MAX(2,MIN('难度参数'!$E$12,ROUND(('难度参数'!$E$18*POWER(A158,'难度参数'!$E$19)/D158*(0.85+0.3*(5-1)/MAX(1,D158-1))),0)+F158)))</x:f>
        <x:v>29</x:v>
      </x:c>
      <x:c r="AO158" s="119" t="n">
        <x:f>IF(5&gt;D158,0,ROUND(('难度参数'!$E$13*POWER(A158,'难度参数'!$E$20)*MIN('难度参数'!$E$23,1+MAX(0,A158-'难度参数'!$E$21)*'难度参数'!$E$22))*(36+5*7)/(36+7*(D158+1)/2)*E158,0))</x:f>
        <x:v>5576</x:v>
      </x:c>
      <x:c r="AP158" s="119" t="n">
        <x:f>IF(AN158=0,0,(AN158-IF(5=D158,1,0))*ROUND(AO158*VLOOKUP(INDEX('章节与怪物'!$E$31:$K$37,B158,5),'章节与怪物'!$A$41:$F$44,2,FALSE),0)+IF(5=D158,ROUND(AO158*'难度参数'!$E$28*'章节与怪物'!$E$17,0),0))</x:f>
        <x:v>116435</x:v>
      </x:c>
      <x:c r="AQ158" s="119" t="n">
        <x:f>IF(AN158=0,0,(AN158-IF(5=D158,1,0))*VLOOKUP(INDEX('章节与怪物'!$E$31:$K$37,B158,5),'章节与怪物'!$A$41:$F$44,4,FALSE)+IF(5=D158,'难度参数'!$E$30,0))</x:f>
        <x:v>580</x:v>
      </x:c>
      <x:c r="AR158" s="119" t="n">
        <x:f>IF(6&gt;D158,0,MAX(2,MIN('难度参数'!$E$12,ROUND(('难度参数'!$E$18*POWER(A158,'难度参数'!$E$19)/D158*(0.85+0.3*(6-1)/MAX(1,D158-1))),0)+F158)))</x:f>
        <x:v>30</x:v>
      </x:c>
      <x:c r="AS158" s="119" t="n">
        <x:f>IF(6&gt;D158,0,ROUND(('难度参数'!$E$13*POWER(A158,'难度参数'!$E$20)*MIN('难度参数'!$E$23,1+MAX(0,A158-'难度参数'!$E$21)*'难度参数'!$E$22))*(36+6*7)/(36+7*(D158+1)/2)*E158,0))</x:f>
        <x:v>6126</x:v>
      </x:c>
      <x:c r="AT158" s="119" t="n">
        <x:f>IF(AR158=0,0,(AR158-IF(6=D158,1,0))*ROUND(AS158*VLOOKUP(INDEX('章节与怪物'!$E$31:$K$37,B158,6),'章节与怪物'!$A$41:$F$44,2,FALSE),0)+IF(6=D158,ROUND(AS158*'难度参数'!$E$28*'章节与怪物'!$E$17,0),0))</x:f>
        <x:v>312420</x:v>
      </x:c>
      <x:c r="AU158" s="119" t="n">
        <x:f>IF(AR158=0,0,(AR158-IF(6=D158,1,0))*VLOOKUP(INDEX('章节与怪物'!$E$31:$K$37,B158,6),'章节与怪物'!$A$41:$F$44,4,FALSE)+IF(6=D158,'难度参数'!$E$30,0))</x:f>
        <x:v>840</x:v>
      </x:c>
      <x:c r="AV158" s="119" t="n">
        <x:f>IF(7&gt;D158,0,MAX(2,MIN('难度参数'!$E$12,ROUND(('难度参数'!$E$18*POWER(A158,'难度参数'!$E$19)/D158*(0.85+0.3*(7-1)/MAX(1,D158-1))),0)+F158)))</x:f>
        <x:v>31</x:v>
      </x:c>
      <x:c r="AW158" s="119" t="n">
        <x:f>IF(7&gt;D158,0,ROUND(('难度参数'!$E$13*POWER(A158,'难度参数'!$E$20)*MIN('难度参数'!$E$23,1+MAX(0,A158-'难度参数'!$E$21)*'难度参数'!$E$22))*(36+7*7)/(36+7*(D158+1)/2)*E158,0))</x:f>
        <x:v>6676</x:v>
      </x:c>
      <x:c r="AX158" s="119" t="n">
        <x:f>IF(AV158=0,0,(AV158-IF(7=D158,1,0))*ROUND(AW158*VLOOKUP(INDEX('章节与怪物'!$E$31:$K$37,B158,7),'章节与怪物'!$A$41:$F$44,2,FALSE),0)+IF(7=D158,ROUND(AW158*'难度参数'!$E$28*'章节与怪物'!$E$17,0),0))</x:f>
        <x:v>315787</x:v>
      </x:c>
      <x:c r="AY158" s="119" t="n">
        <x:f>IF(AV158=0,0,(AV158-IF(7=D158,1,0))*VLOOKUP(INDEX('章节与怪物'!$E$31:$K$37,B158,7),'章节与怪物'!$A$41:$F$44,4,FALSE)+IF(7=D158,'难度参数'!$E$30,0))</x:f>
        <x:v>1220</x:v>
      </x:c>
    </x:row>
    <x:row r="159" ht="23" customHeight="1">
      <x:c r="A159" s="119" t="n">
        <x:v>153</x:v>
      </x:c>
      <x:c r="B159" s="119" t="n">
        <x:f>MOD(INT((A159-1)/5),7)+1</x:f>
        <x:v>3</x:v>
      </x:c>
      <x:c r="C159" s="62" t="str">
        <x:f>INDEX('章节与怪物'!$B$31:$B$37,B159)</x:f>
        <x:v>腐沼秘林</x:v>
      </x:c>
      <x:c r="D159" s="119" t="n">
        <x:f>MIN('难度参数'!$E$8,MAX('难度参数'!$E$7,A159))</x:f>
        <x:v>7</x:v>
      </x:c>
      <x:c r="E159" s="106" t="n">
        <x:v>1</x:v>
      </x:c>
      <x:c r="F159" s="106" t="n">
        <x:v>0</x:v>
      </x:c>
      <x:c r="G159" s="106" t="n">
        <x:v>1</x:v>
      </x:c>
      <x:c r="H159" s="119" t="n">
        <x:f>SUM(X159,AB159,AF159,AJ159,AN159,AR159,AV159)</x:f>
        <x:v>192</x:v>
      </x:c>
      <x:c r="I159" s="119" t="n">
        <x:f>SUM(Z159,AD159,AH159,AL159,AP159,AT159,AX159)</x:f>
        <x:v>1289135</x:v>
      </x:c>
      <x:c r="J159" s="119" t="n">
        <x:f>ROUND(INDEX(X159:AY159,1,(D159-1)*4+2)*'难度参数'!$E$28*'章节与怪物'!$E$17,0)</x:f>
        <x:v>45608</x:v>
      </x:c>
      <x:c r="K159" s="119" t="n">
        <x:f>SUM(AA159,AE159,AI159,AM159,AQ159,AU159,AY159)</x:f>
        <x:v>5234</x:v>
      </x:c>
      <x:c r="L159" s="62" t="n">
        <x:f>H159*(ROUNDUP('难度参数'!$E$24/('难度参数'!$E$26*'难度参数'!$E$27),0)*'难度参数'!$E$26)/60</x:f>
        <x:v>2.5600000000000005</x:v>
      </x:c>
      <x:c r="M159" s="62" t="n">
        <x:f>L159+D159*('难度参数'!$E$49+'难度参数'!$E$50)/60</x:f>
        <x:v>3.7266666666666675</x:v>
      </x:c>
      <x:c r="N159" s="119" t="n">
        <x:f>ROUNDDOWN(('经济参数'!$E$20+A159*'经济参数'!$E$21)*G159,0)</x:f>
        <x:v>3240</x:v>
      </x:c>
      <x:c r="O159" s="119" t="n">
        <x:f>ROUNDDOWN(MIN('经济参数'!$E$24,'经济参数'!$E$22+A159*'经济参数'!$E$23)*G159,0)</x:f>
        <x:v>0</x:v>
      </x:c>
      <x:c r="P159" s="119" t="n">
        <x:f>ROUNDDOWN((IF(A159&gt;='材料与任务'!$E$31,'材料与任务'!$E$32,IF(A159&gt;='材料与任务'!$E$25,'材料与任务'!$E$26,IF(A159&gt;='材料与任务'!$E$19,'材料与任务'!$E$20,IF(A159&gt;='材料与任务'!$E$13,'材料与任务'!$E$14,'材料与任务'!$E$8)))))*G159,0)</x:f>
        <x:v>6</x:v>
      </x:c>
      <x:c r="Q159" s="119" t="n">
        <x:f>ROUNDDOWN((IF(A159&gt;='材料与任务'!$E$31,'材料与任务'!$E$33,IF(A159&gt;='材料与任务'!$E$25,'材料与任务'!$E$27,IF(A159&gt;='材料与任务'!$E$19,'材料与任务'!$E$21,IF(A159&gt;='材料与任务'!$E$13,'材料与任务'!$E$15,'材料与任务'!$E$9)))))*G159,0)</x:f>
        <x:v>3</x:v>
      </x:c>
      <x:c r="R159" s="110" t="n">
        <x:f>'装备掉落'!$B$38</x:f>
        <x:v>0.6872058758851213</x:v>
      </x:c>
      <x:c r="S159" s="119" t="n">
        <x:f>MAX(IF(VLOOKUP(A159,'装备掉落'!$A$29:$H$34,2,TRUE)&gt;0,1,0),IF(VLOOKUP(A159,'装备掉落'!$A$29:$H$34,3,TRUE)&gt;0,2,0),IF(VLOOKUP(A159,'装备掉落'!$A$29:$H$34,4,TRUE)&gt;0,3,0),IF(VLOOKUP(A159,'装备掉落'!$A$29:$H$34,5,TRUE)&gt;0,4,0),IF(VLOOKUP(A159,'装备掉落'!$A$29:$H$34,6,TRUE)&gt;0,5,0),IF(VLOOKUP(A159,'装备掉落'!$A$29:$H$34,7,TRUE)&gt;0,6,0),IF(VLOOKUP(A159,'装备掉落'!$A$29:$H$34,8,TRUE)&gt;0,7,0))</x:f>
        <x:v>7</x:v>
      </x:c>
      <x:c r="T159" s="119" t="n">
        <x:f>MIN(7,S159+'经济参数'!$E$70)</x:f>
        <x:v>7</x:v>
      </x:c>
      <x:c r="U159" s="119" t="n">
        <x:f>MIN(7,S159+'经济参数'!$E$71)</x:f>
        <x:v>7</x:v>
      </x:c>
      <x:c r="V159" s="119" t="n">
        <x:f>IF(H159&gt;=('难度参数'!$E$52),1,0)+IF(H159&gt;=('难度参数'!$E$52+'难度参数'!$E$53),1,0)+IF(H159&gt;=('难度参数'!$E$52+'难度参数'!$E$53+'难度参数'!$E$54),1,0)+IF(H159&gt;=('难度参数'!$E$52+'难度参数'!$E$53+'难度参数'!$E$54+'难度参数'!$E$55),1,0)+IF(H159&gt;=('难度参数'!$E$52+'难度参数'!$E$53+'难度参数'!$E$54+'难度参数'!$E$55+'难度参数'!$E$56),1,0)+IF(H159&gt;=('难度参数'!$E$52+'难度参数'!$E$53+'难度参数'!$E$54+'难度参数'!$E$55+'难度参数'!$E$56+'难度参数'!$E$57),1,0)</x:f>
        <x:v>6</x:v>
      </x:c>
      <x:c r="W159" s="62" t="str">
        <x:f>IF(L159&gt;'难度参数'!$E$51,"仅出怪已超目标","还需实测")</x:f>
        <x:v>还需实测</x:v>
      </x:c>
      <x:c r="X159" s="119" t="n">
        <x:f>IF(1&gt;D159,0,MAX(2,MIN('难度参数'!$E$12,ROUND(('难度参数'!$E$18*POWER(A159,'难度参数'!$E$19)/D159*(0.85+0.3*(1-1)/MAX(1,D159-1))),0)+F159)))</x:f>
        <x:v>23</x:v>
      </x:c>
      <x:c r="Y159" s="119" t="n">
        <x:f>IF(1&gt;D159,0,ROUND(('难度参数'!$E$13*POWER(A159,'难度参数'!$E$20)*MIN('难度参数'!$E$23,1+MAX(0,A159-'难度参数'!$E$21)*'难度参数'!$E$22))*(36+1*7)/(36+7*(D159+1)/2)*E159,0))</x:f>
        <x:v>3393</x:v>
      </x:c>
      <x:c r="Z159" s="119" t="n">
        <x:f>IF(X159=0,0,(X159-IF(1=D159,1,0))*ROUND(Y159*VLOOKUP(INDEX('章节与怪物'!$E$31:$K$37,B159,1),'章节与怪物'!$A$41:$F$44,2,FALSE),0)+IF(1=D159,ROUND(Y159*'难度参数'!$E$28*'章节与怪物'!$E$17,0),0))</x:f>
        <x:v>78039</x:v>
      </x:c>
      <x:c r="AA159" s="119" t="n">
        <x:f>IF(X159=0,0,(X159-IF(1=D159,1,0))*VLOOKUP(INDEX('章节与怪物'!$E$31:$K$37,B159,1),'章节与怪物'!$A$41:$F$44,4,FALSE)+IF(1=D159,'难度参数'!$E$30,0))</x:f>
        <x:v>414</x:v>
      </x:c>
      <x:c r="AB159" s="119" t="n">
        <x:f>IF(2&gt;D159,0,MAX(2,MIN('难度参数'!$E$12,ROUND(('难度参数'!$E$18*POWER(A159,'难度参数'!$E$19)/D159*(0.85+0.3*(2-1)/MAX(1,D159-1))),0)+F159)))</x:f>
        <x:v>25</x:v>
      </x:c>
      <x:c r="AC159" s="119" t="n">
        <x:f>IF(2&gt;D159,0,ROUND(('难度参数'!$E$13*POWER(A159,'难度参数'!$E$20)*MIN('难度参数'!$E$23,1+MAX(0,A159-'难度参数'!$E$21)*'难度参数'!$E$22))*(36+2*7)/(36+7*(D159+1)/2)*E159,0))</x:f>
        <x:v>3945</x:v>
      </x:c>
      <x:c r="AD159" s="119" t="n">
        <x:f>IF(AB159=0,0,(AB159-IF(2=D159,1,0))*ROUND(AC159*VLOOKUP(INDEX('章节与怪物'!$E$31:$K$37,B159,2),'章节与怪物'!$A$41:$F$44,2,FALSE),0)+IF(2=D159,ROUND(AC159*'难度参数'!$E$28*'章节与怪物'!$E$17,0),0))</x:f>
        <x:v>71000</x:v>
      </x:c>
      <x:c r="AE159" s="119" t="n">
        <x:f>IF(AB159=0,0,(AB159-IF(2=D159,1,0))*VLOOKUP(INDEX('章节与怪物'!$E$31:$K$37,B159,2),'章节与怪物'!$A$41:$F$44,4,FALSE)+IF(2=D159,'难度参数'!$E$30,0))</x:f>
        <x:v>500</x:v>
      </x:c>
      <x:c r="AF159" s="119" t="n">
        <x:f>IF(3&gt;D159,0,MAX(2,MIN('难度参数'!$E$12,ROUND(('难度参数'!$E$18*POWER(A159,'难度参数'!$E$19)/D159*(0.85+0.3*(3-1)/MAX(1,D159-1))),0)+F159)))</x:f>
        <x:v>26</x:v>
      </x:c>
      <x:c r="AG159" s="119" t="n">
        <x:f>IF(3&gt;D159,0,ROUND(('难度参数'!$E$13*POWER(A159,'难度参数'!$E$20)*MIN('难度参数'!$E$23,1+MAX(0,A159-'难度参数'!$E$21)*'难度参数'!$E$22))*(36+3*7)/(36+7*(D159+1)/2)*E159,0))</x:f>
        <x:v>4498</x:v>
      </x:c>
      <x:c r="AH159" s="119" t="n">
        <x:f>IF(AF159=0,0,(AF159-IF(3=D159,1,0))*ROUND(AG159*VLOOKUP(INDEX('章节与怪物'!$E$31:$K$37,B159,3),'章节与怪物'!$A$41:$F$44,2,FALSE),0)+IF(3=D159,ROUND(AG159*'难度参数'!$E$28*'章节与怪物'!$E$17,0),0))</x:f>
        <x:v>198822</x:v>
      </x:c>
      <x:c r="AI159" s="119" t="n">
        <x:f>IF(AF159=0,0,(AF159-IF(3=D159,1,0))*VLOOKUP(INDEX('章节与怪物'!$E$31:$K$37,B159,3),'章节与怪物'!$A$41:$F$44,4,FALSE)+IF(3=D159,'难度参数'!$E$30,0))</x:f>
        <x:v>728</x:v>
      </x:c>
      <x:c r="AJ159" s="119" t="n">
        <x:f>IF(4&gt;D159,0,MAX(2,MIN('难度参数'!$E$12,ROUND(('难度参数'!$E$18*POWER(A159,'难度参数'!$E$19)/D159*(0.85+0.3*(4-1)/MAX(1,D159-1))),0)+F159)))</x:f>
        <x:v>27</x:v>
      </x:c>
      <x:c r="AK159" s="119" t="n">
        <x:f>IF(4&gt;D159,0,ROUND(('难度参数'!$E$13*POWER(A159,'难度参数'!$E$20)*MIN('难度参数'!$E$23,1+MAX(0,A159-'难度参数'!$E$21)*'难度参数'!$E$22))*(36+4*7)/(36+7*(D159+1)/2)*E159,0))</x:f>
        <x:v>5050</x:v>
      </x:c>
      <x:c r="AL159" s="119" t="n">
        <x:f>IF(AJ159=0,0,(AJ159-IF(4=D159,1,0))*ROUND(AK159*VLOOKUP(INDEX('章节与怪物'!$E$31:$K$37,B159,4),'章节与怪物'!$A$41:$F$44,2,FALSE),0)+IF(4=D159,ROUND(AK159*'难度参数'!$E$28*'章节与怪物'!$E$17,0),0))</x:f>
        <x:v>184086</x:v>
      </x:c>
      <x:c r="AM159" s="119" t="n">
        <x:f>IF(AJ159=0,0,(AJ159-IF(4=D159,1,0))*VLOOKUP(INDEX('章节与怪物'!$E$31:$K$37,B159,4),'章节与怪物'!$A$41:$F$44,4,FALSE)+IF(4=D159,'难度参数'!$E$30,0))</x:f>
        <x:v>918</x:v>
      </x:c>
      <x:c r="AN159" s="119" t="n">
        <x:f>IF(5&gt;D159,0,MAX(2,MIN('难度参数'!$E$12,ROUND(('难度参数'!$E$18*POWER(A159,'难度参数'!$E$19)/D159*(0.85+0.3*(5-1)/MAX(1,D159-1))),0)+F159)))</x:f>
        <x:v>29</x:v>
      </x:c>
      <x:c r="AO159" s="119" t="n">
        <x:f>IF(5&gt;D159,0,ROUND(('难度参数'!$E$13*POWER(A159,'难度参数'!$E$20)*MIN('难度参数'!$E$23,1+MAX(0,A159-'难度参数'!$E$21)*'难度参数'!$E$22))*(36+5*7)/(36+7*(D159+1)/2)*E159,0))</x:f>
        <x:v>5603</x:v>
      </x:c>
      <x:c r="AP159" s="119" t="n">
        <x:f>IF(AN159=0,0,(AN159-IF(5=D159,1,0))*ROUND(AO159*VLOOKUP(INDEX('章节与怪物'!$E$31:$K$37,B159,5),'章节与怪物'!$A$41:$F$44,2,FALSE),0)+IF(5=D159,ROUND(AO159*'难度参数'!$E$28*'章节与怪物'!$E$17,0),0))</x:f>
        <x:v>116986</x:v>
      </x:c>
      <x:c r="AQ159" s="119" t="n">
        <x:f>IF(AN159=0,0,(AN159-IF(5=D159,1,0))*VLOOKUP(INDEX('章节与怪物'!$E$31:$K$37,B159,5),'章节与怪物'!$A$41:$F$44,4,FALSE)+IF(5=D159,'难度参数'!$E$30,0))</x:f>
        <x:v>580</x:v>
      </x:c>
      <x:c r="AR159" s="119" t="n">
        <x:f>IF(6&gt;D159,0,MAX(2,MIN('难度参数'!$E$12,ROUND(('难度参数'!$E$18*POWER(A159,'难度参数'!$E$19)/D159*(0.85+0.3*(6-1)/MAX(1,D159-1))),0)+F159)))</x:f>
        <x:v>30</x:v>
      </x:c>
      <x:c r="AS159" s="119" t="n">
        <x:f>IF(6&gt;D159,0,ROUND(('难度参数'!$E$13*POWER(A159,'难度参数'!$E$20)*MIN('难度参数'!$E$23,1+MAX(0,A159-'难度参数'!$E$21)*'难度参数'!$E$22))*(36+6*7)/(36+7*(D159+1)/2)*E159,0))</x:f>
        <x:v>6155</x:v>
      </x:c>
      <x:c r="AT159" s="119" t="n">
        <x:f>IF(AR159=0,0,(AR159-IF(6=D159,1,0))*ROUND(AS159*VLOOKUP(INDEX('章节与怪物'!$E$31:$K$37,B159,6),'章节与怪物'!$A$41:$F$44,2,FALSE),0)+IF(6=D159,ROUND(AS159*'难度参数'!$E$28*'章节与怪物'!$E$17,0),0))</x:f>
        <x:v>313920</x:v>
      </x:c>
      <x:c r="AU159" s="119" t="n">
        <x:f>IF(AR159=0,0,(AR159-IF(6=D159,1,0))*VLOOKUP(INDEX('章节与怪物'!$E$31:$K$37,B159,6),'章节与怪物'!$A$41:$F$44,4,FALSE)+IF(6=D159,'难度参数'!$E$30,0))</x:f>
        <x:v>840</x:v>
      </x:c>
      <x:c r="AV159" s="119" t="n">
        <x:f>IF(7&gt;D159,0,MAX(2,MIN('难度参数'!$E$12,ROUND(('难度参数'!$E$18*POWER(A159,'难度参数'!$E$19)/D159*(0.85+0.3*(7-1)/MAX(1,D159-1))),0)+F159)))</x:f>
        <x:v>32</x:v>
      </x:c>
      <x:c r="AW159" s="119" t="n">
        <x:f>IF(7&gt;D159,0,ROUND(('难度参数'!$E$13*POWER(A159,'难度参数'!$E$20)*MIN('难度参数'!$E$23,1+MAX(0,A159-'难度参数'!$E$21)*'难度参数'!$E$22))*(36+7*7)/(36+7*(D159+1)/2)*E159,0))</x:f>
        <x:v>6707</x:v>
      </x:c>
      <x:c r="AX159" s="119" t="n">
        <x:f>IF(AV159=0,0,(AV159-IF(7=D159,1,0))*ROUND(AW159*VLOOKUP(INDEX('章节与怪物'!$E$31:$K$37,B159,7),'章节与怪物'!$A$41:$F$44,2,FALSE),0)+IF(7=D159,ROUND(AW159*'难度参数'!$E$28*'章节与怪物'!$E$17,0),0))</x:f>
        <x:v>326282</x:v>
      </x:c>
      <x:c r="AY159" s="119" t="n">
        <x:f>IF(AV159=0,0,(AV159-IF(7=D159,1,0))*VLOOKUP(INDEX('章节与怪物'!$E$31:$K$37,B159,7),'章节与怪物'!$A$41:$F$44,4,FALSE)+IF(7=D159,'难度参数'!$E$30,0))</x:f>
        <x:v>1254</x:v>
      </x:c>
    </x:row>
    <x:row r="160" ht="23" customHeight="1">
      <x:c r="A160" s="119" t="n">
        <x:v>154</x:v>
      </x:c>
      <x:c r="B160" s="119" t="n">
        <x:f>MOD(INT((A160-1)/5),7)+1</x:f>
        <x:v>3</x:v>
      </x:c>
      <x:c r="C160" s="62" t="str">
        <x:f>INDEX('章节与怪物'!$B$31:$B$37,B160)</x:f>
        <x:v>腐沼秘林</x:v>
      </x:c>
      <x:c r="D160" s="119" t="n">
        <x:f>MIN('难度参数'!$E$8,MAX('难度参数'!$E$7,A160))</x:f>
        <x:v>7</x:v>
      </x:c>
      <x:c r="E160" s="106" t="n">
        <x:v>1</x:v>
      </x:c>
      <x:c r="F160" s="106" t="n">
        <x:v>0</x:v>
      </x:c>
      <x:c r="G160" s="106" t="n">
        <x:v>1</x:v>
      </x:c>
      <x:c r="H160" s="119" t="n">
        <x:f>SUM(X160,AB160,AF160,AJ160,AN160,AR160,AV160)</x:f>
        <x:v>192</x:v>
      </x:c>
      <x:c r="I160" s="119" t="n">
        <x:f>SUM(Z160,AD160,AH160,AL160,AP160,AT160,AX160)</x:f>
        <x:v>1295229</x:v>
      </x:c>
      <x:c r="J160" s="119" t="n">
        <x:f>ROUND(INDEX(X160:AY160,1,(D160-1)*4+2)*'难度参数'!$E$28*'章节与怪物'!$E$17,0)</x:f>
        <x:v>45825</x:v>
      </x:c>
      <x:c r="K160" s="119" t="n">
        <x:f>SUM(AA160,AE160,AI160,AM160,AQ160,AU160,AY160)</x:f>
        <x:v>5234</x:v>
      </x:c>
      <x:c r="L160" s="62" t="n">
        <x:f>H160*(ROUNDUP('难度参数'!$E$24/('难度参数'!$E$26*'难度参数'!$E$27),0)*'难度参数'!$E$26)/60</x:f>
        <x:v>2.5600000000000005</x:v>
      </x:c>
      <x:c r="M160" s="62" t="n">
        <x:f>L160+D160*('难度参数'!$E$49+'难度参数'!$E$50)/60</x:f>
        <x:v>3.7266666666666675</x:v>
      </x:c>
      <x:c r="N160" s="119" t="n">
        <x:f>ROUNDDOWN(('经济参数'!$E$20+A160*'经济参数'!$E$21)*G160,0)</x:f>
        <x:v>3260</x:v>
      </x:c>
      <x:c r="O160" s="119" t="n">
        <x:f>ROUNDDOWN(MIN('经济参数'!$E$24,'经济参数'!$E$22+A160*'经济参数'!$E$23)*G160,0)</x:f>
        <x:v>0</x:v>
      </x:c>
      <x:c r="P160" s="119" t="n">
        <x:f>ROUNDDOWN((IF(A160&gt;='材料与任务'!$E$31,'材料与任务'!$E$32,IF(A160&gt;='材料与任务'!$E$25,'材料与任务'!$E$26,IF(A160&gt;='材料与任务'!$E$19,'材料与任务'!$E$20,IF(A160&gt;='材料与任务'!$E$13,'材料与任务'!$E$14,'材料与任务'!$E$8)))))*G160,0)</x:f>
        <x:v>6</x:v>
      </x:c>
      <x:c r="Q160" s="119" t="n">
        <x:f>ROUNDDOWN((IF(A160&gt;='材料与任务'!$E$31,'材料与任务'!$E$33,IF(A160&gt;='材料与任务'!$E$25,'材料与任务'!$E$27,IF(A160&gt;='材料与任务'!$E$19,'材料与任务'!$E$21,IF(A160&gt;='材料与任务'!$E$13,'材料与任务'!$E$15,'材料与任务'!$E$9)))))*G160,0)</x:f>
        <x:v>3</x:v>
      </x:c>
      <x:c r="R160" s="110" t="n">
        <x:f>'装备掉落'!$B$38</x:f>
        <x:v>0.6872058758851213</x:v>
      </x:c>
      <x:c r="S160" s="119" t="n">
        <x:f>MAX(IF(VLOOKUP(A160,'装备掉落'!$A$29:$H$34,2,TRUE)&gt;0,1,0),IF(VLOOKUP(A160,'装备掉落'!$A$29:$H$34,3,TRUE)&gt;0,2,0),IF(VLOOKUP(A160,'装备掉落'!$A$29:$H$34,4,TRUE)&gt;0,3,0),IF(VLOOKUP(A160,'装备掉落'!$A$29:$H$34,5,TRUE)&gt;0,4,0),IF(VLOOKUP(A160,'装备掉落'!$A$29:$H$34,6,TRUE)&gt;0,5,0),IF(VLOOKUP(A160,'装备掉落'!$A$29:$H$34,7,TRUE)&gt;0,6,0),IF(VLOOKUP(A160,'装备掉落'!$A$29:$H$34,8,TRUE)&gt;0,7,0))</x:f>
        <x:v>7</x:v>
      </x:c>
      <x:c r="T160" s="119" t="n">
        <x:f>MIN(7,S160+'经济参数'!$E$70)</x:f>
        <x:v>7</x:v>
      </x:c>
      <x:c r="U160" s="119" t="n">
        <x:f>MIN(7,S160+'经济参数'!$E$71)</x:f>
        <x:v>7</x:v>
      </x:c>
      <x:c r="V160" s="119" t="n">
        <x:f>IF(H160&gt;=('难度参数'!$E$52),1,0)+IF(H160&gt;=('难度参数'!$E$52+'难度参数'!$E$53),1,0)+IF(H160&gt;=('难度参数'!$E$52+'难度参数'!$E$53+'难度参数'!$E$54),1,0)+IF(H160&gt;=('难度参数'!$E$52+'难度参数'!$E$53+'难度参数'!$E$54+'难度参数'!$E$55),1,0)+IF(H160&gt;=('难度参数'!$E$52+'难度参数'!$E$53+'难度参数'!$E$54+'难度参数'!$E$55+'难度参数'!$E$56),1,0)+IF(H160&gt;=('难度参数'!$E$52+'难度参数'!$E$53+'难度参数'!$E$54+'难度参数'!$E$55+'难度参数'!$E$56+'难度参数'!$E$57),1,0)</x:f>
        <x:v>6</x:v>
      </x:c>
      <x:c r="W160" s="62" t="str">
        <x:f>IF(L160&gt;'难度参数'!$E$51,"仅出怪已超目标","还需实测")</x:f>
        <x:v>还需实测</x:v>
      </x:c>
      <x:c r="X160" s="119" t="n">
        <x:f>IF(1&gt;D160,0,MAX(2,MIN('难度参数'!$E$12,ROUND(('难度参数'!$E$18*POWER(A160,'难度参数'!$E$19)/D160*(0.85+0.3*(1-1)/MAX(1,D160-1))),0)+F160)))</x:f>
        <x:v>23</x:v>
      </x:c>
      <x:c r="Y160" s="119" t="n">
        <x:f>IF(1&gt;D160,0,ROUND(('难度参数'!$E$13*POWER(A160,'难度参数'!$E$20)*MIN('难度参数'!$E$23,1+MAX(0,A160-'难度参数'!$E$21)*'难度参数'!$E$22))*(36+1*7)/(36+7*(D160+1)/2)*E160,0))</x:f>
        <x:v>3409</x:v>
      </x:c>
      <x:c r="Z160" s="119" t="n">
        <x:f>IF(X160=0,0,(X160-IF(1=D160,1,0))*ROUND(Y160*VLOOKUP(INDEX('章节与怪物'!$E$31:$K$37,B160,1),'章节与怪物'!$A$41:$F$44,2,FALSE),0)+IF(1=D160,ROUND(Y160*'难度参数'!$E$28*'章节与怪物'!$E$17,0),0))</x:f>
        <x:v>78407</x:v>
      </x:c>
      <x:c r="AA160" s="119" t="n">
        <x:f>IF(X160=0,0,(X160-IF(1=D160,1,0))*VLOOKUP(INDEX('章节与怪物'!$E$31:$K$37,B160,1),'章节与怪物'!$A$41:$F$44,4,FALSE)+IF(1=D160,'难度参数'!$E$30,0))</x:f>
        <x:v>414</x:v>
      </x:c>
      <x:c r="AB160" s="119" t="n">
        <x:f>IF(2&gt;D160,0,MAX(2,MIN('难度参数'!$E$12,ROUND(('难度参数'!$E$18*POWER(A160,'难度参数'!$E$19)/D160*(0.85+0.3*(2-1)/MAX(1,D160-1))),0)+F160)))</x:f>
        <x:v>25</x:v>
      </x:c>
      <x:c r="AC160" s="119" t="n">
        <x:f>IF(2&gt;D160,0,ROUND(('难度参数'!$E$13*POWER(A160,'难度参数'!$E$20)*MIN('难度参数'!$E$23,1+MAX(0,A160-'难度参数'!$E$21)*'难度参数'!$E$22))*(36+2*7)/(36+7*(D160+1)/2)*E160,0))</x:f>
        <x:v>3964</x:v>
      </x:c>
      <x:c r="AD160" s="119" t="n">
        <x:f>IF(AB160=0,0,(AB160-IF(2=D160,1,0))*ROUND(AC160*VLOOKUP(INDEX('章节与怪物'!$E$31:$K$37,B160,2),'章节与怪物'!$A$41:$F$44,2,FALSE),0)+IF(2=D160,ROUND(AC160*'难度参数'!$E$28*'章节与怪物'!$E$17,0),0))</x:f>
        <x:v>71350</x:v>
      </x:c>
      <x:c r="AE160" s="119" t="n">
        <x:f>IF(AB160=0,0,(AB160-IF(2=D160,1,0))*VLOOKUP(INDEX('章节与怪物'!$E$31:$K$37,B160,2),'章节与怪物'!$A$41:$F$44,4,FALSE)+IF(2=D160,'难度参数'!$E$30,0))</x:f>
        <x:v>500</x:v>
      </x:c>
      <x:c r="AF160" s="119" t="n">
        <x:f>IF(3&gt;D160,0,MAX(2,MIN('难度参数'!$E$12,ROUND(('难度参数'!$E$18*POWER(A160,'难度参数'!$E$19)/D160*(0.85+0.3*(3-1)/MAX(1,D160-1))),0)+F160)))</x:f>
        <x:v>26</x:v>
      </x:c>
      <x:c r="AG160" s="119" t="n">
        <x:f>IF(3&gt;D160,0,ROUND(('难度参数'!$E$13*POWER(A160,'难度参数'!$E$20)*MIN('难度参数'!$E$23,1+MAX(0,A160-'难度参数'!$E$21)*'难度参数'!$E$22))*(36+3*7)/(36+7*(D160+1)/2)*E160,0))</x:f>
        <x:v>4519</x:v>
      </x:c>
      <x:c r="AH160" s="119" t="n">
        <x:f>IF(AF160=0,0,(AF160-IF(3=D160,1,0))*ROUND(AG160*VLOOKUP(INDEX('章节与怪物'!$E$31:$K$37,B160,3),'章节与怪物'!$A$41:$F$44,2,FALSE),0)+IF(3=D160,ROUND(AG160*'难度参数'!$E$28*'章节与怪物'!$E$17,0),0))</x:f>
        <x:v>199732</x:v>
      </x:c>
      <x:c r="AI160" s="119" t="n">
        <x:f>IF(AF160=0,0,(AF160-IF(3=D160,1,0))*VLOOKUP(INDEX('章节与怪物'!$E$31:$K$37,B160,3),'章节与怪物'!$A$41:$F$44,4,FALSE)+IF(3=D160,'难度参数'!$E$30,0))</x:f>
        <x:v>728</x:v>
      </x:c>
      <x:c r="AJ160" s="119" t="n">
        <x:f>IF(4&gt;D160,0,MAX(2,MIN('难度参数'!$E$12,ROUND(('难度参数'!$E$18*POWER(A160,'难度参数'!$E$19)/D160*(0.85+0.3*(4-1)/MAX(1,D160-1))),0)+F160)))</x:f>
        <x:v>27</x:v>
      </x:c>
      <x:c r="AK160" s="119" t="n">
        <x:f>IF(4&gt;D160,0,ROUND(('难度参数'!$E$13*POWER(A160,'难度参数'!$E$20)*MIN('难度参数'!$E$23,1+MAX(0,A160-'难度参数'!$E$21)*'难度参数'!$E$22))*(36+4*7)/(36+7*(D160+1)/2)*E160,0))</x:f>
        <x:v>5074</x:v>
      </x:c>
      <x:c r="AL160" s="119" t="n">
        <x:f>IF(AJ160=0,0,(AJ160-IF(4=D160,1,0))*ROUND(AK160*VLOOKUP(INDEX('章节与怪物'!$E$31:$K$37,B160,4),'章节与怪物'!$A$41:$F$44,2,FALSE),0)+IF(4=D160,ROUND(AK160*'难度参数'!$E$28*'章节与怪物'!$E$17,0),0))</x:f>
        <x:v>184950</x:v>
      </x:c>
      <x:c r="AM160" s="119" t="n">
        <x:f>IF(AJ160=0,0,(AJ160-IF(4=D160,1,0))*VLOOKUP(INDEX('章节与怪物'!$E$31:$K$37,B160,4),'章节与怪物'!$A$41:$F$44,4,FALSE)+IF(4=D160,'难度参数'!$E$30,0))</x:f>
        <x:v>918</x:v>
      </x:c>
      <x:c r="AN160" s="119" t="n">
        <x:f>IF(5&gt;D160,0,MAX(2,MIN('难度参数'!$E$12,ROUND(('难度参数'!$E$18*POWER(A160,'难度参数'!$E$19)/D160*(0.85+0.3*(5-1)/MAX(1,D160-1))),0)+F160)))</x:f>
        <x:v>29</x:v>
      </x:c>
      <x:c r="AO160" s="119" t="n">
        <x:f>IF(5&gt;D160,0,ROUND(('难度参数'!$E$13*POWER(A160,'难度参数'!$E$20)*MIN('难度参数'!$E$23,1+MAX(0,A160-'难度参数'!$E$21)*'难度参数'!$E$22))*(36+5*7)/(36+7*(D160+1)/2)*E160,0))</x:f>
        <x:v>5629</x:v>
      </x:c>
      <x:c r="AP160" s="119" t="n">
        <x:f>IF(AN160=0,0,(AN160-IF(5=D160,1,0))*ROUND(AO160*VLOOKUP(INDEX('章节与怪物'!$E$31:$K$37,B160,5),'章节与怪物'!$A$41:$F$44,2,FALSE),0)+IF(5=D160,ROUND(AO160*'难度参数'!$E$28*'章节与怪物'!$E$17,0),0))</x:f>
        <x:v>117537</x:v>
      </x:c>
      <x:c r="AQ160" s="119" t="n">
        <x:f>IF(AN160=0,0,(AN160-IF(5=D160,1,0))*VLOOKUP(INDEX('章节与怪物'!$E$31:$K$37,B160,5),'章节与怪物'!$A$41:$F$44,4,FALSE)+IF(5=D160,'难度参数'!$E$30,0))</x:f>
        <x:v>580</x:v>
      </x:c>
      <x:c r="AR160" s="119" t="n">
        <x:f>IF(6&gt;D160,0,MAX(2,MIN('难度参数'!$E$12,ROUND(('难度参数'!$E$18*POWER(A160,'难度参数'!$E$19)/D160*(0.85+0.3*(6-1)/MAX(1,D160-1))),0)+F160)))</x:f>
        <x:v>30</x:v>
      </x:c>
      <x:c r="AS160" s="119" t="n">
        <x:f>IF(6&gt;D160,0,ROUND(('难度参数'!$E$13*POWER(A160,'难度参数'!$E$20)*MIN('难度参数'!$E$23,1+MAX(0,A160-'难度参数'!$E$21)*'难度参数'!$E$22))*(36+6*7)/(36+7*(D160+1)/2)*E160,0))</x:f>
        <x:v>6184</x:v>
      </x:c>
      <x:c r="AT160" s="119" t="n">
        <x:f>IF(AR160=0,0,(AR160-IF(6=D160,1,0))*ROUND(AS160*VLOOKUP(INDEX('章节与怪物'!$E$31:$K$37,B160,6),'章节与怪物'!$A$41:$F$44,2,FALSE),0)+IF(6=D160,ROUND(AS160*'难度参数'!$E$28*'章节与怪物'!$E$17,0),0))</x:f>
        <x:v>315390</x:v>
      </x:c>
      <x:c r="AU160" s="119" t="n">
        <x:f>IF(AR160=0,0,(AR160-IF(6=D160,1,0))*VLOOKUP(INDEX('章节与怪物'!$E$31:$K$37,B160,6),'章节与怪物'!$A$41:$F$44,4,FALSE)+IF(6=D160,'难度参数'!$E$30,0))</x:f>
        <x:v>840</x:v>
      </x:c>
      <x:c r="AV160" s="119" t="n">
        <x:f>IF(7&gt;D160,0,MAX(2,MIN('难度参数'!$E$12,ROUND(('难度参数'!$E$18*POWER(A160,'难度参数'!$E$19)/D160*(0.85+0.3*(7-1)/MAX(1,D160-1))),0)+F160)))</x:f>
        <x:v>32</x:v>
      </x:c>
      <x:c r="AW160" s="119" t="n">
        <x:f>IF(7&gt;D160,0,ROUND(('难度参数'!$E$13*POWER(A160,'难度参数'!$E$20)*MIN('难度参数'!$E$23,1+MAX(0,A160-'难度参数'!$E$21)*'难度参数'!$E$22))*(36+7*7)/(36+7*(D160+1)/2)*E160,0))</x:f>
        <x:v>6739</x:v>
      </x:c>
      <x:c r="AX160" s="119" t="n">
        <x:f>IF(AV160=0,0,(AV160-IF(7=D160,1,0))*ROUND(AW160*VLOOKUP(INDEX('章节与怪物'!$E$31:$K$37,B160,7),'章节与怪物'!$A$41:$F$44,2,FALSE),0)+IF(7=D160,ROUND(AW160*'难度参数'!$E$28*'章节与怪物'!$E$17,0),0))</x:f>
        <x:v>327863</x:v>
      </x:c>
      <x:c r="AY160" s="119" t="n">
        <x:f>IF(AV160=0,0,(AV160-IF(7=D160,1,0))*VLOOKUP(INDEX('章节与怪物'!$E$31:$K$37,B160,7),'章节与怪物'!$A$41:$F$44,4,FALSE)+IF(7=D160,'难度参数'!$E$30,0))</x:f>
        <x:v>1254</x:v>
      </x:c>
    </x:row>
    <x:row r="161" ht="23" customHeight="1">
      <x:c r="A161" s="119" t="n">
        <x:v>155</x:v>
      </x:c>
      <x:c r="B161" s="119" t="n">
        <x:f>MOD(INT((A161-1)/5),7)+1</x:f>
        <x:v>3</x:v>
      </x:c>
      <x:c r="C161" s="62" t="str">
        <x:f>INDEX('章节与怪物'!$B$31:$B$37,B161)</x:f>
        <x:v>腐沼秘林</x:v>
      </x:c>
      <x:c r="D161" s="119" t="n">
        <x:f>MIN('难度参数'!$E$8,MAX('难度参数'!$E$7,A161))</x:f>
        <x:v>7</x:v>
      </x:c>
      <x:c r="E161" s="106" t="n">
        <x:v>1</x:v>
      </x:c>
      <x:c r="F161" s="106" t="n">
        <x:v>0</x:v>
      </x:c>
      <x:c r="G161" s="106" t="n">
        <x:v>1</x:v>
      </x:c>
      <x:c r="H161" s="119" t="n">
        <x:f>SUM(X161,AB161,AF161,AJ161,AN161,AR161,AV161)</x:f>
        <x:v>193</x:v>
      </x:c>
      <x:c r="I161" s="119" t="n">
        <x:f>SUM(Z161,AD161,AH161,AL161,AP161,AT161,AX161)</x:f>
        <x:v>1308163</x:v>
      </x:c>
      <x:c r="J161" s="119" t="n">
        <x:f>ROUND(INDEX(X161:AY161,1,(D161-1)*4+2)*'难度参数'!$E$28*'章节与怪物'!$E$17,0)</x:f>
        <x:v>46036</x:v>
      </x:c>
      <x:c r="K161" s="119" t="n">
        <x:f>SUM(AA161,AE161,AI161,AM161,AQ161,AU161,AY161)</x:f>
        <x:v>5268</x:v>
      </x:c>
      <x:c r="L161" s="62" t="n">
        <x:f>H161*(ROUNDUP('难度参数'!$E$24/('难度参数'!$E$26*'难度参数'!$E$27),0)*'难度参数'!$E$26)/60</x:f>
        <x:v>2.5733333333333333</x:v>
      </x:c>
      <x:c r="M161" s="62" t="n">
        <x:f>L161+D161*('难度参数'!$E$49+'难度参数'!$E$50)/60</x:f>
        <x:v>3.74</x:v>
      </x:c>
      <x:c r="N161" s="119" t="n">
        <x:f>ROUNDDOWN(('经济参数'!$E$20+A161*'经济参数'!$E$21)*G161,0)</x:f>
        <x:v>3280</x:v>
      </x:c>
      <x:c r="O161" s="119" t="n">
        <x:f>ROUNDDOWN(MIN('经济参数'!$E$24,'经济参数'!$E$22+A161*'经济参数'!$E$23)*G161,0)</x:f>
        <x:v>0</x:v>
      </x:c>
      <x:c r="P161" s="119" t="n">
        <x:f>ROUNDDOWN((IF(A161&gt;='材料与任务'!$E$31,'材料与任务'!$E$32,IF(A161&gt;='材料与任务'!$E$25,'材料与任务'!$E$26,IF(A161&gt;='材料与任务'!$E$19,'材料与任务'!$E$20,IF(A161&gt;='材料与任务'!$E$13,'材料与任务'!$E$14,'材料与任务'!$E$8)))))*G161,0)</x:f>
        <x:v>6</x:v>
      </x:c>
      <x:c r="Q161" s="119" t="n">
        <x:f>ROUNDDOWN((IF(A161&gt;='材料与任务'!$E$31,'材料与任务'!$E$33,IF(A161&gt;='材料与任务'!$E$25,'材料与任务'!$E$27,IF(A161&gt;='材料与任务'!$E$19,'材料与任务'!$E$21,IF(A161&gt;='材料与任务'!$E$13,'材料与任务'!$E$15,'材料与任务'!$E$9)))))*G161,0)</x:f>
        <x:v>3</x:v>
      </x:c>
      <x:c r="R161" s="110" t="n">
        <x:f>'装备掉落'!$B$38</x:f>
        <x:v>0.6872058758851213</x:v>
      </x:c>
      <x:c r="S161" s="119" t="n">
        <x:f>MAX(IF(VLOOKUP(A161,'装备掉落'!$A$29:$H$34,2,TRUE)&gt;0,1,0),IF(VLOOKUP(A161,'装备掉落'!$A$29:$H$34,3,TRUE)&gt;0,2,0),IF(VLOOKUP(A161,'装备掉落'!$A$29:$H$34,4,TRUE)&gt;0,3,0),IF(VLOOKUP(A161,'装备掉落'!$A$29:$H$34,5,TRUE)&gt;0,4,0),IF(VLOOKUP(A161,'装备掉落'!$A$29:$H$34,6,TRUE)&gt;0,5,0),IF(VLOOKUP(A161,'装备掉落'!$A$29:$H$34,7,TRUE)&gt;0,6,0),IF(VLOOKUP(A161,'装备掉落'!$A$29:$H$34,8,TRUE)&gt;0,7,0))</x:f>
        <x:v>7</x:v>
      </x:c>
      <x:c r="T161" s="119" t="n">
        <x:f>MIN(7,S161+'经济参数'!$E$70)</x:f>
        <x:v>7</x:v>
      </x:c>
      <x:c r="U161" s="119" t="n">
        <x:f>MIN(7,S161+'经济参数'!$E$71)</x:f>
        <x:v>7</x:v>
      </x:c>
      <x:c r="V161" s="119" t="n">
        <x:f>IF(H161&gt;=('难度参数'!$E$52),1,0)+IF(H161&gt;=('难度参数'!$E$52+'难度参数'!$E$53),1,0)+IF(H161&gt;=('难度参数'!$E$52+'难度参数'!$E$53+'难度参数'!$E$54),1,0)+IF(H161&gt;=('难度参数'!$E$52+'难度参数'!$E$53+'难度参数'!$E$54+'难度参数'!$E$55),1,0)+IF(H161&gt;=('难度参数'!$E$52+'难度参数'!$E$53+'难度参数'!$E$54+'难度参数'!$E$55+'难度参数'!$E$56),1,0)+IF(H161&gt;=('难度参数'!$E$52+'难度参数'!$E$53+'难度参数'!$E$54+'难度参数'!$E$55+'难度参数'!$E$56+'难度参数'!$E$57),1,0)</x:f>
        <x:v>6</x:v>
      </x:c>
      <x:c r="W161" s="62" t="str">
        <x:f>IF(L161&gt;'难度参数'!$E$51,"仅出怪已超目标","还需实测")</x:f>
        <x:v>还需实测</x:v>
      </x:c>
      <x:c r="X161" s="119" t="n">
        <x:f>IF(1&gt;D161,0,MAX(2,MIN('难度参数'!$E$12,ROUND(('难度参数'!$E$18*POWER(A161,'难度参数'!$E$19)/D161*(0.85+0.3*(1-1)/MAX(1,D161-1))),0)+F161)))</x:f>
        <x:v>23</x:v>
      </x:c>
      <x:c r="Y161" s="119" t="n">
        <x:f>IF(1&gt;D161,0,ROUND(('难度参数'!$E$13*POWER(A161,'难度参数'!$E$20)*MIN('难度参数'!$E$23,1+MAX(0,A161-'难度参数'!$E$21)*'难度参数'!$E$22))*(36+1*7)/(36+7*(D161+1)/2)*E161,0))</x:f>
        <x:v>3425</x:v>
      </x:c>
      <x:c r="Z161" s="119" t="n">
        <x:f>IF(X161=0,0,(X161-IF(1=D161,1,0))*ROUND(Y161*VLOOKUP(INDEX('章节与怪物'!$E$31:$K$37,B161,1),'章节与怪物'!$A$41:$F$44,2,FALSE),0)+IF(1=D161,ROUND(Y161*'难度参数'!$E$28*'章节与怪物'!$E$17,0),0))</x:f>
        <x:v>78775</x:v>
      </x:c>
      <x:c r="AA161" s="119" t="n">
        <x:f>IF(X161=0,0,(X161-IF(1=D161,1,0))*VLOOKUP(INDEX('章节与怪物'!$E$31:$K$37,B161,1),'章节与怪物'!$A$41:$F$44,4,FALSE)+IF(1=D161,'难度参数'!$E$30,0))</x:f>
        <x:v>414</x:v>
      </x:c>
      <x:c r="AB161" s="119" t="n">
        <x:f>IF(2&gt;D161,0,MAX(2,MIN('难度参数'!$E$12,ROUND(('难度参数'!$E$18*POWER(A161,'难度参数'!$E$19)/D161*(0.85+0.3*(2-1)/MAX(1,D161-1))),0)+F161)))</x:f>
        <x:v>25</x:v>
      </x:c>
      <x:c r="AC161" s="119" t="n">
        <x:f>IF(2&gt;D161,0,ROUND(('难度参数'!$E$13*POWER(A161,'难度参数'!$E$20)*MIN('难度参数'!$E$23,1+MAX(0,A161-'难度参数'!$E$21)*'难度参数'!$E$22))*(36+2*7)/(36+7*(D161+1)/2)*E161,0))</x:f>
        <x:v>3983</x:v>
      </x:c>
      <x:c r="AD161" s="119" t="n">
        <x:f>IF(AB161=0,0,(AB161-IF(2=D161,1,0))*ROUND(AC161*VLOOKUP(INDEX('章节与怪物'!$E$31:$K$37,B161,2),'章节与怪物'!$A$41:$F$44,2,FALSE),0)+IF(2=D161,ROUND(AC161*'难度参数'!$E$28*'章节与怪物'!$E$17,0),0))</x:f>
        <x:v>71700</x:v>
      </x:c>
      <x:c r="AE161" s="119" t="n">
        <x:f>IF(AB161=0,0,(AB161-IF(2=D161,1,0))*VLOOKUP(INDEX('章节与怪物'!$E$31:$K$37,B161,2),'章节与怪物'!$A$41:$F$44,4,FALSE)+IF(2=D161,'难度参数'!$E$30,0))</x:f>
        <x:v>500</x:v>
      </x:c>
      <x:c r="AF161" s="119" t="n">
        <x:f>IF(3&gt;D161,0,MAX(2,MIN('难度参数'!$E$12,ROUND(('难度参数'!$E$18*POWER(A161,'难度参数'!$E$19)/D161*(0.85+0.3*(3-1)/MAX(1,D161-1))),0)+F161)))</x:f>
        <x:v>26</x:v>
      </x:c>
      <x:c r="AG161" s="119" t="n">
        <x:f>IF(3&gt;D161,0,ROUND(('难度参数'!$E$13*POWER(A161,'难度参数'!$E$20)*MIN('难度参数'!$E$23,1+MAX(0,A161-'难度参数'!$E$21)*'难度参数'!$E$22))*(36+3*7)/(36+7*(D161+1)/2)*E161,0))</x:f>
        <x:v>4540</x:v>
      </x:c>
      <x:c r="AH161" s="119" t="n">
        <x:f>IF(AF161=0,0,(AF161-IF(3=D161,1,0))*ROUND(AG161*VLOOKUP(INDEX('章节与怪物'!$E$31:$K$37,B161,3),'章节与怪物'!$A$41:$F$44,2,FALSE),0)+IF(3=D161,ROUND(AG161*'难度参数'!$E$28*'章节与怪物'!$E$17,0),0))</x:f>
        <x:v>200668</x:v>
      </x:c>
      <x:c r="AI161" s="119" t="n">
        <x:f>IF(AF161=0,0,(AF161-IF(3=D161,1,0))*VLOOKUP(INDEX('章节与怪物'!$E$31:$K$37,B161,3),'章节与怪物'!$A$41:$F$44,4,FALSE)+IF(3=D161,'难度参数'!$E$30,0))</x:f>
        <x:v>728</x:v>
      </x:c>
      <x:c r="AJ161" s="119" t="n">
        <x:f>IF(4&gt;D161,0,MAX(2,MIN('难度参数'!$E$12,ROUND(('难度参数'!$E$18*POWER(A161,'难度参数'!$E$19)/D161*(0.85+0.3*(4-1)/MAX(1,D161-1))),0)+F161)))</x:f>
        <x:v>28</x:v>
      </x:c>
      <x:c r="AK161" s="119" t="n">
        <x:f>IF(4&gt;D161,0,ROUND(('难度参数'!$E$13*POWER(A161,'难度参数'!$E$20)*MIN('难度参数'!$E$23,1+MAX(0,A161-'难度参数'!$E$21)*'难度参数'!$E$22))*(36+4*7)/(36+7*(D161+1)/2)*E161,0))</x:f>
        <x:v>5098</x:v>
      </x:c>
      <x:c r="AL161" s="119" t="n">
        <x:f>IF(AJ161=0,0,(AJ161-IF(4=D161,1,0))*ROUND(AK161*VLOOKUP(INDEX('章节与怪物'!$E$31:$K$37,B161,4),'章节与怪物'!$A$41:$F$44,2,FALSE),0)+IF(4=D161,ROUND(AK161*'难度参数'!$E$28*'章节与怪物'!$E$17,0),0))</x:f>
        <x:v>192696</x:v>
      </x:c>
      <x:c r="AM161" s="119" t="n">
        <x:f>IF(AJ161=0,0,(AJ161-IF(4=D161,1,0))*VLOOKUP(INDEX('章节与怪物'!$E$31:$K$37,B161,4),'章节与怪物'!$A$41:$F$44,4,FALSE)+IF(4=D161,'难度参数'!$E$30,0))</x:f>
        <x:v>952</x:v>
      </x:c>
      <x:c r="AN161" s="119" t="n">
        <x:f>IF(5&gt;D161,0,MAX(2,MIN('难度参数'!$E$12,ROUND(('难度参数'!$E$18*POWER(A161,'难度参数'!$E$19)/D161*(0.85+0.3*(5-1)/MAX(1,D161-1))),0)+F161)))</x:f>
        <x:v>29</x:v>
      </x:c>
      <x:c r="AO161" s="119" t="n">
        <x:f>IF(5&gt;D161,0,ROUND(('难度参数'!$E$13*POWER(A161,'难度参数'!$E$20)*MIN('难度参数'!$E$23,1+MAX(0,A161-'难度参数'!$E$21)*'难度参数'!$E$22))*(36+5*7)/(36+7*(D161+1)/2)*E161,0))</x:f>
        <x:v>5655</x:v>
      </x:c>
      <x:c r="AP161" s="119" t="n">
        <x:f>IF(AN161=0,0,(AN161-IF(5=D161,1,0))*ROUND(AO161*VLOOKUP(INDEX('章节与怪物'!$E$31:$K$37,B161,5),'章节与怪物'!$A$41:$F$44,2,FALSE),0)+IF(5=D161,ROUND(AO161*'难度参数'!$E$28*'章节与怪物'!$E$17,0),0))</x:f>
        <x:v>118088</x:v>
      </x:c>
      <x:c r="AQ161" s="119" t="n">
        <x:f>IF(AN161=0,0,(AN161-IF(5=D161,1,0))*VLOOKUP(INDEX('章节与怪物'!$E$31:$K$37,B161,5),'章节与怪物'!$A$41:$F$44,4,FALSE)+IF(5=D161,'难度参数'!$E$30,0))</x:f>
        <x:v>580</x:v>
      </x:c>
      <x:c r="AR161" s="119" t="n">
        <x:f>IF(6&gt;D161,0,MAX(2,MIN('难度参数'!$E$12,ROUND(('难度参数'!$E$18*POWER(A161,'难度参数'!$E$19)/D161*(0.85+0.3*(6-1)/MAX(1,D161-1))),0)+F161)))</x:f>
        <x:v>30</x:v>
      </x:c>
      <x:c r="AS161" s="119" t="n">
        <x:f>IF(6&gt;D161,0,ROUND(('难度参数'!$E$13*POWER(A161,'难度参数'!$E$20)*MIN('难度参数'!$E$23,1+MAX(0,A161-'难度参数'!$E$21)*'难度参数'!$E$22))*(36+6*7)/(36+7*(D161+1)/2)*E161,0))</x:f>
        <x:v>6213</x:v>
      </x:c>
      <x:c r="AT161" s="119" t="n">
        <x:f>IF(AR161=0,0,(AR161-IF(6=D161,1,0))*ROUND(AS161*VLOOKUP(INDEX('章节与怪物'!$E$31:$K$37,B161,6),'章节与怪物'!$A$41:$F$44,2,FALSE),0)+IF(6=D161,ROUND(AS161*'难度参数'!$E$28*'章节与怪物'!$E$17,0),0))</x:f>
        <x:v>316860</x:v>
      </x:c>
      <x:c r="AU161" s="119" t="n">
        <x:f>IF(AR161=0,0,(AR161-IF(6=D161,1,0))*VLOOKUP(INDEX('章节与怪物'!$E$31:$K$37,B161,6),'章节与怪物'!$A$41:$F$44,4,FALSE)+IF(6=D161,'难度参数'!$E$30,0))</x:f>
        <x:v>840</x:v>
      </x:c>
      <x:c r="AV161" s="119" t="n">
        <x:f>IF(7&gt;D161,0,MAX(2,MIN('难度参数'!$E$12,ROUND(('难度参数'!$E$18*POWER(A161,'难度参数'!$E$19)/D161*(0.85+0.3*(7-1)/MAX(1,D161-1))),0)+F161)))</x:f>
        <x:v>32</x:v>
      </x:c>
      <x:c r="AW161" s="119" t="n">
        <x:f>IF(7&gt;D161,0,ROUND(('难度参数'!$E$13*POWER(A161,'难度参数'!$E$20)*MIN('难度参数'!$E$23,1+MAX(0,A161-'难度参数'!$E$21)*'难度参数'!$E$22))*(36+7*7)/(36+7*(D161+1)/2)*E161,0))</x:f>
        <x:v>6770</x:v>
      </x:c>
      <x:c r="AX161" s="119" t="n">
        <x:f>IF(AV161=0,0,(AV161-IF(7=D161,1,0))*ROUND(AW161*VLOOKUP(INDEX('章节与怪物'!$E$31:$K$37,B161,7),'章节与怪物'!$A$41:$F$44,2,FALSE),0)+IF(7=D161,ROUND(AW161*'难度参数'!$E$28*'章节与怪物'!$E$17,0),0))</x:f>
        <x:v>329376</x:v>
      </x:c>
      <x:c r="AY161" s="119" t="n">
        <x:f>IF(AV161=0,0,(AV161-IF(7=D161,1,0))*VLOOKUP(INDEX('章节与怪物'!$E$31:$K$37,B161,7),'章节与怪物'!$A$41:$F$44,4,FALSE)+IF(7=D161,'难度参数'!$E$30,0))</x:f>
        <x:v>1254</x:v>
      </x:c>
    </x:row>
    <x:row r="162" ht="23" customHeight="1">
      <x:c r="A162" s="119" t="n">
        <x:v>156</x:v>
      </x:c>
      <x:c r="B162" s="119" t="n">
        <x:f>MOD(INT((A162-1)/5),7)+1</x:f>
        <x:v>4</x:v>
      </x:c>
      <x:c r="C162" s="62" t="str">
        <x:f>INDEX('章节与怪物'!$B$31:$B$37,B162)</x:f>
        <x:v>翠野边城</x:v>
      </x:c>
      <x:c r="D162" s="119" t="n">
        <x:f>MIN('难度参数'!$E$8,MAX('难度参数'!$E$7,A162))</x:f>
        <x:v>7</x:v>
      </x:c>
      <x:c r="E162" s="106" t="n">
        <x:v>1</x:v>
      </x:c>
      <x:c r="F162" s="106" t="n">
        <x:v>0</x:v>
      </x:c>
      <x:c r="G162" s="106" t="n">
        <x:v>1</x:v>
      </x:c>
      <x:c r="H162" s="119" t="n">
        <x:f>SUM(X162,AB162,AF162,AJ162,AN162,AR162,AV162)</x:f>
        <x:v>193</x:v>
      </x:c>
      <x:c r="I162" s="119" t="n">
        <x:f>SUM(Z162,AD162,AH162,AL162,AP162,AT162,AX162)</x:f>
        <x:v>1182683</x:v>
      </x:c>
      <x:c r="J162" s="119" t="n">
        <x:f>ROUND(INDEX(X162:AY162,1,(D162-1)*4+2)*'难度参数'!$E$28*'章节与怪物'!$E$17,0)</x:f>
        <x:v>46254</x:v>
      </x:c>
      <x:c r="K162" s="119" t="n">
        <x:f>SUM(AA162,AE162,AI162,AM162,AQ162,AU162,AY162)</x:f>
        <x:v>4966</x:v>
      </x:c>
      <x:c r="L162" s="62" t="n">
        <x:f>H162*(ROUNDUP('难度参数'!$E$24/('难度参数'!$E$26*'难度参数'!$E$27),0)*'难度参数'!$E$26)/60</x:f>
        <x:v>2.5733333333333333</x:v>
      </x:c>
      <x:c r="M162" s="62" t="n">
        <x:f>L162+D162*('难度参数'!$E$49+'难度参数'!$E$50)/60</x:f>
        <x:v>3.74</x:v>
      </x:c>
      <x:c r="N162" s="119" t="n">
        <x:f>ROUNDDOWN(('经济参数'!$E$20+A162*'经济参数'!$E$21)*G162,0)</x:f>
        <x:v>3300</x:v>
      </x:c>
      <x:c r="O162" s="119" t="n">
        <x:f>ROUNDDOWN(MIN('经济参数'!$E$24,'经济参数'!$E$22+A162*'经济参数'!$E$23)*G162,0)</x:f>
        <x:v>0</x:v>
      </x:c>
      <x:c r="P162" s="119" t="n">
        <x:f>ROUNDDOWN((IF(A162&gt;='材料与任务'!$E$31,'材料与任务'!$E$32,IF(A162&gt;='材料与任务'!$E$25,'材料与任务'!$E$26,IF(A162&gt;='材料与任务'!$E$19,'材料与任务'!$E$20,IF(A162&gt;='材料与任务'!$E$13,'材料与任务'!$E$14,'材料与任务'!$E$8)))))*G162,0)</x:f>
        <x:v>6</x:v>
      </x:c>
      <x:c r="Q162" s="119" t="n">
        <x:f>ROUNDDOWN((IF(A162&gt;='材料与任务'!$E$31,'材料与任务'!$E$33,IF(A162&gt;='材料与任务'!$E$25,'材料与任务'!$E$27,IF(A162&gt;='材料与任务'!$E$19,'材料与任务'!$E$21,IF(A162&gt;='材料与任务'!$E$13,'材料与任务'!$E$15,'材料与任务'!$E$9)))))*G162,0)</x:f>
        <x:v>3</x:v>
      </x:c>
      <x:c r="R162" s="110" t="n">
        <x:f>'装备掉落'!$B$38</x:f>
        <x:v>0.6872058758851213</x:v>
      </x:c>
      <x:c r="S162" s="119" t="n">
        <x:f>MAX(IF(VLOOKUP(A162,'装备掉落'!$A$29:$H$34,2,TRUE)&gt;0,1,0),IF(VLOOKUP(A162,'装备掉落'!$A$29:$H$34,3,TRUE)&gt;0,2,0),IF(VLOOKUP(A162,'装备掉落'!$A$29:$H$34,4,TRUE)&gt;0,3,0),IF(VLOOKUP(A162,'装备掉落'!$A$29:$H$34,5,TRUE)&gt;0,4,0),IF(VLOOKUP(A162,'装备掉落'!$A$29:$H$34,6,TRUE)&gt;0,5,0),IF(VLOOKUP(A162,'装备掉落'!$A$29:$H$34,7,TRUE)&gt;0,6,0),IF(VLOOKUP(A162,'装备掉落'!$A$29:$H$34,8,TRUE)&gt;0,7,0))</x:f>
        <x:v>7</x:v>
      </x:c>
      <x:c r="T162" s="119" t="n">
        <x:f>MIN(7,S162+'经济参数'!$E$70)</x:f>
        <x:v>7</x:v>
      </x:c>
      <x:c r="U162" s="119" t="n">
        <x:f>MIN(7,S162+'经济参数'!$E$71)</x:f>
        <x:v>7</x:v>
      </x:c>
      <x:c r="V162" s="119" t="n">
        <x:f>IF(H162&gt;=('难度参数'!$E$52),1,0)+IF(H162&gt;=('难度参数'!$E$52+'难度参数'!$E$53),1,0)+IF(H162&gt;=('难度参数'!$E$52+'难度参数'!$E$53+'难度参数'!$E$54),1,0)+IF(H162&gt;=('难度参数'!$E$52+'难度参数'!$E$53+'难度参数'!$E$54+'难度参数'!$E$55),1,0)+IF(H162&gt;=('难度参数'!$E$52+'难度参数'!$E$53+'难度参数'!$E$54+'难度参数'!$E$55+'难度参数'!$E$56),1,0)+IF(H162&gt;=('难度参数'!$E$52+'难度参数'!$E$53+'难度参数'!$E$54+'难度参数'!$E$55+'难度参数'!$E$56+'难度参数'!$E$57),1,0)</x:f>
        <x:v>6</x:v>
      </x:c>
      <x:c r="W162" s="62" t="str">
        <x:f>IF(L162&gt;'难度参数'!$E$51,"仅出怪已超目标","还需实测")</x:f>
        <x:v>还需实测</x:v>
      </x:c>
      <x:c r="X162" s="119" t="n">
        <x:f>IF(1&gt;D162,0,MAX(2,MIN('难度参数'!$E$12,ROUND(('难度参数'!$E$18*POWER(A162,'难度参数'!$E$19)/D162*(0.85+0.3*(1-1)/MAX(1,D162-1))),0)+F162)))</x:f>
        <x:v>23</x:v>
      </x:c>
      <x:c r="Y162" s="119" t="n">
        <x:f>IF(1&gt;D162,0,ROUND(('难度参数'!$E$13*POWER(A162,'难度参数'!$E$20)*MIN('难度参数'!$E$23,1+MAX(0,A162-'难度参数'!$E$21)*'难度参数'!$E$22))*(36+1*7)/(36+7*(D162+1)/2)*E162,0))</x:f>
        <x:v>3441</x:v>
      </x:c>
      <x:c r="Z162" s="119" t="n">
        <x:f>IF(X162=0,0,(X162-IF(1=D162,1,0))*ROUND(Y162*VLOOKUP(INDEX('章节与怪物'!$E$31:$K$37,B162,1),'章节与怪物'!$A$41:$F$44,2,FALSE),0)+IF(1=D162,ROUND(Y162*'难度参数'!$E$28*'章节与怪物'!$E$17,0),0))</x:f>
        <x:v>56994</x:v>
      </x:c>
      <x:c r="AA162" s="119" t="n">
        <x:f>IF(X162=0,0,(X162-IF(1=D162,1,0))*VLOOKUP(INDEX('章节与怪物'!$E$31:$K$37,B162,1),'章节与怪物'!$A$41:$F$44,4,FALSE)+IF(1=D162,'难度参数'!$E$30,0))</x:f>
        <x:v>460</x:v>
      </x:c>
      <x:c r="AB162" s="119" t="n">
        <x:f>IF(2&gt;D162,0,MAX(2,MIN('难度参数'!$E$12,ROUND(('难度参数'!$E$18*POWER(A162,'难度参数'!$E$19)/D162*(0.85+0.3*(2-1)/MAX(1,D162-1))),0)+F162)))</x:f>
        <x:v>25</x:v>
      </x:c>
      <x:c r="AC162" s="119" t="n">
        <x:f>IF(2&gt;D162,0,ROUND(('难度参数'!$E$13*POWER(A162,'难度参数'!$E$20)*MIN('难度参数'!$E$23,1+MAX(0,A162-'难度参数'!$E$21)*'难度参数'!$E$22))*(36+2*7)/(36+7*(D162+1)/2)*E162,0))</x:f>
        <x:v>4001</x:v>
      </x:c>
      <x:c r="AD162" s="119" t="n">
        <x:f>IF(AB162=0,0,(AB162-IF(2=D162,1,0))*ROUND(AC162*VLOOKUP(INDEX('章节与怪物'!$E$31:$K$37,B162,2),'章节与怪物'!$A$41:$F$44,2,FALSE),0)+IF(2=D162,ROUND(AC162*'难度参数'!$E$28*'章节与怪物'!$E$17,0),0))</x:f>
        <x:v>100025</x:v>
      </x:c>
      <x:c r="AE162" s="119" t="n">
        <x:f>IF(AB162=0,0,(AB162-IF(2=D162,1,0))*VLOOKUP(INDEX('章节与怪物'!$E$31:$K$37,B162,2),'章节与怪物'!$A$41:$F$44,4,FALSE)+IF(2=D162,'难度参数'!$E$30,0))</x:f>
        <x:v>450</x:v>
      </x:c>
      <x:c r="AF162" s="119" t="n">
        <x:f>IF(3&gt;D162,0,MAX(2,MIN('难度参数'!$E$12,ROUND(('难度参数'!$E$18*POWER(A162,'难度参数'!$E$19)/D162*(0.85+0.3*(3-1)/MAX(1,D162-1))),0)+F162)))</x:f>
        <x:v>26</x:v>
      </x:c>
      <x:c r="AG162" s="119" t="n">
        <x:f>IF(3&gt;D162,0,ROUND(('难度参数'!$E$13*POWER(A162,'难度参数'!$E$20)*MIN('难度参数'!$E$23,1+MAX(0,A162-'难度参数'!$E$21)*'难度参数'!$E$22))*(36+3*7)/(36+7*(D162+1)/2)*E162,0))</x:f>
        <x:v>4561</x:v>
      </x:c>
      <x:c r="AH162" s="119" t="n">
        <x:f>IF(AF162=0,0,(AF162-IF(3=D162,1,0))*ROUND(AG162*VLOOKUP(INDEX('章节与怪物'!$E$31:$K$37,B162,3),'章节与怪物'!$A$41:$F$44,2,FALSE),0)+IF(3=D162,ROUND(AG162*'难度参数'!$E$28*'章节与怪物'!$E$17,0),0))</x:f>
        <x:v>201604</x:v>
      </x:c>
      <x:c r="AI162" s="119" t="n">
        <x:f>IF(AF162=0,0,(AF162-IF(3=D162,1,0))*VLOOKUP(INDEX('章节与怪物'!$E$31:$K$37,B162,3),'章节与怪物'!$A$41:$F$44,4,FALSE)+IF(3=D162,'难度参数'!$E$30,0))</x:f>
        <x:v>728</x:v>
      </x:c>
      <x:c r="AJ162" s="119" t="n">
        <x:f>IF(4&gt;D162,0,MAX(2,MIN('难度参数'!$E$12,ROUND(('难度参数'!$E$18*POWER(A162,'难度参数'!$E$19)/D162*(0.85+0.3*(4-1)/MAX(1,D162-1))),0)+F162)))</x:f>
        <x:v>28</x:v>
      </x:c>
      <x:c r="AK162" s="119" t="n">
        <x:f>IF(4&gt;D162,0,ROUND(('难度参数'!$E$13*POWER(A162,'难度参数'!$E$20)*MIN('难度参数'!$E$23,1+MAX(0,A162-'难度参数'!$E$21)*'难度参数'!$E$22))*(36+4*7)/(36+7*(D162+1)/2)*E162,0))</x:f>
        <x:v>5121</x:v>
      </x:c>
      <x:c r="AL162" s="119" t="n">
        <x:f>IF(AJ162=0,0,(AJ162-IF(4=D162,1,0))*ROUND(AK162*VLOOKUP(INDEX('章节与怪物'!$E$31:$K$37,B162,4),'章节与怪物'!$A$41:$F$44,2,FALSE),0)+IF(4=D162,ROUND(AK162*'难度参数'!$E$28*'章节与怪物'!$E$17,0),0))</x:f>
        <x:v>193564</x:v>
      </x:c>
      <x:c r="AM162" s="119" t="n">
        <x:f>IF(AJ162=0,0,(AJ162-IF(4=D162,1,0))*VLOOKUP(INDEX('章节与怪物'!$E$31:$K$37,B162,4),'章节与怪物'!$A$41:$F$44,4,FALSE)+IF(4=D162,'难度参数'!$E$30,0))</x:f>
        <x:v>952</x:v>
      </x:c>
      <x:c r="AN162" s="119" t="n">
        <x:f>IF(5&gt;D162,0,MAX(2,MIN('难度参数'!$E$12,ROUND(('难度参数'!$E$18*POWER(A162,'难度参数'!$E$19)/D162*(0.85+0.3*(5-1)/MAX(1,D162-1))),0)+F162)))</x:f>
        <x:v>29</x:v>
      </x:c>
      <x:c r="AO162" s="119" t="n">
        <x:f>IF(5&gt;D162,0,ROUND(('难度参数'!$E$13*POWER(A162,'难度参数'!$E$20)*MIN('难度参数'!$E$23,1+MAX(0,A162-'难度参数'!$E$21)*'难度参数'!$E$22))*(36+5*7)/(36+7*(D162+1)/2)*E162,0))</x:f>
        <x:v>5681</x:v>
      </x:c>
      <x:c r="AP162" s="119" t="n">
        <x:f>IF(AN162=0,0,(AN162-IF(5=D162,1,0))*ROUND(AO162*VLOOKUP(INDEX('章节与怪物'!$E$31:$K$37,B162,5),'章节与怪物'!$A$41:$F$44,2,FALSE),0)+IF(5=D162,ROUND(AO162*'难度参数'!$E$28*'章节与怪物'!$E$17,0),0))</x:f>
        <x:v>164749</x:v>
      </x:c>
      <x:c r="AQ162" s="119" t="n">
        <x:f>IF(AN162=0,0,(AN162-IF(5=D162,1,0))*VLOOKUP(INDEX('章节与怪物'!$E$31:$K$37,B162,5),'章节与怪物'!$A$41:$F$44,4,FALSE)+IF(5=D162,'难度参数'!$E$30,0))</x:f>
        <x:v>522</x:v>
      </x:c>
      <x:c r="AR162" s="119" t="n">
        <x:f>IF(6&gt;D162,0,MAX(2,MIN('难度参数'!$E$12,ROUND(('难度参数'!$E$18*POWER(A162,'难度参数'!$E$19)/D162*(0.85+0.3*(6-1)/MAX(1,D162-1))),0)+F162)))</x:f>
        <x:v>30</x:v>
      </x:c>
      <x:c r="AS162" s="119" t="n">
        <x:f>IF(6&gt;D162,0,ROUND(('难度参数'!$E$13*POWER(A162,'难度参数'!$E$20)*MIN('难度参数'!$E$23,1+MAX(0,A162-'难度参数'!$E$21)*'难度参数'!$E$22))*(36+6*7)/(36+7*(D162+1)/2)*E162,0))</x:f>
        <x:v>6242</x:v>
      </x:c>
      <x:c r="AT162" s="119" t="n">
        <x:f>IF(AR162=0,0,(AR162-IF(6=D162,1,0))*ROUND(AS162*VLOOKUP(INDEX('章节与怪物'!$E$31:$K$37,B162,6),'章节与怪物'!$A$41:$F$44,2,FALSE),0)+IF(6=D162,ROUND(AS162*'难度参数'!$E$28*'章节与怪物'!$E$17,0),0))</x:f>
        <x:v>134820</x:v>
      </x:c>
      <x:c r="AU162" s="119" t="n">
        <x:f>IF(AR162=0,0,(AR162-IF(6=D162,1,0))*VLOOKUP(INDEX('章节与怪物'!$E$31:$K$37,B162,6),'章节与怪物'!$A$41:$F$44,4,FALSE)+IF(6=D162,'难度参数'!$E$30,0))</x:f>
        <x:v>600</x:v>
      </x:c>
      <x:c r="AV162" s="119" t="n">
        <x:f>IF(7&gt;D162,0,MAX(2,MIN('难度参数'!$E$12,ROUND(('难度参数'!$E$18*POWER(A162,'难度参数'!$E$19)/D162*(0.85+0.3*(7-1)/MAX(1,D162-1))),0)+F162)))</x:f>
        <x:v>32</x:v>
      </x:c>
      <x:c r="AW162" s="119" t="n">
        <x:f>IF(7&gt;D162,0,ROUND(('难度参数'!$E$13*POWER(A162,'难度参数'!$E$20)*MIN('难度参数'!$E$23,1+MAX(0,A162-'难度参数'!$E$21)*'难度参数'!$E$22))*(36+7*7)/(36+7*(D162+1)/2)*E162,0))</x:f>
        <x:v>6802</x:v>
      </x:c>
      <x:c r="AX162" s="119" t="n">
        <x:f>IF(AV162=0,0,(AV162-IF(7=D162,1,0))*ROUND(AW162*VLOOKUP(INDEX('章节与怪物'!$E$31:$K$37,B162,7),'章节与怪物'!$A$41:$F$44,2,FALSE),0)+IF(7=D162,ROUND(AW162*'难度参数'!$E$28*'章节与怪物'!$E$17,0),0))</x:f>
        <x:v>330927</x:v>
      </x:c>
      <x:c r="AY162" s="119" t="n">
        <x:f>IF(AV162=0,0,(AV162-IF(7=D162,1,0))*VLOOKUP(INDEX('章节与怪物'!$E$31:$K$37,B162,7),'章节与怪物'!$A$41:$F$44,4,FALSE)+IF(7=D162,'难度参数'!$E$30,0))</x:f>
        <x:v>1254</x:v>
      </x:c>
    </x:row>
    <x:row r="163" ht="23" customHeight="1">
      <x:c r="A163" s="119" t="n">
        <x:v>157</x:v>
      </x:c>
      <x:c r="B163" s="119" t="n">
        <x:f>MOD(INT((A163-1)/5),7)+1</x:f>
        <x:v>4</x:v>
      </x:c>
      <x:c r="C163" s="62" t="str">
        <x:f>INDEX('章节与怪物'!$B$31:$B$37,B163)</x:f>
        <x:v>翠野边城</x:v>
      </x:c>
      <x:c r="D163" s="119" t="n">
        <x:f>MIN('难度参数'!$E$8,MAX('难度参数'!$E$7,A163))</x:f>
        <x:v>7</x:v>
      </x:c>
      <x:c r="E163" s="106" t="n">
        <x:v>1</x:v>
      </x:c>
      <x:c r="F163" s="106" t="n">
        <x:v>0</x:v>
      </x:c>
      <x:c r="G163" s="106" t="n">
        <x:v>1</x:v>
      </x:c>
      <x:c r="H163" s="119" t="n">
        <x:f>SUM(X163,AB163,AF163,AJ163,AN163,AR163,AV163)</x:f>
        <x:v>194</x:v>
      </x:c>
      <x:c r="I163" s="119" t="n">
        <x:f>SUM(Z163,AD163,AH163,AL163,AP163,AT163,AX163)</x:f>
        <x:v>1190604</x:v>
      </x:c>
      <x:c r="J163" s="119" t="n">
        <x:f>ROUND(INDEX(X163:AY163,1,(D163-1)*4+2)*'难度参数'!$E$28*'章节与怪物'!$E$17,0)</x:f>
        <x:v>46464</x:v>
      </x:c>
      <x:c r="K163" s="119" t="n">
        <x:f>SUM(AA163,AE163,AI163,AM163,AQ163,AU163,AY163)</x:f>
        <x:v>4986</x:v>
      </x:c>
      <x:c r="L163" s="62" t="n">
        <x:f>H163*(ROUNDUP('难度参数'!$E$24/('难度参数'!$E$26*'难度参数'!$E$27),0)*'难度参数'!$E$26)/60</x:f>
        <x:v>2.586666666666667</x:v>
      </x:c>
      <x:c r="M163" s="62" t="n">
        <x:f>L163+D163*('难度参数'!$E$49+'难度参数'!$E$50)/60</x:f>
        <x:v>3.753333333333334</x:v>
      </x:c>
      <x:c r="N163" s="119" t="n">
        <x:f>ROUNDDOWN(('经济参数'!$E$20+A163*'经济参数'!$E$21)*G163,0)</x:f>
        <x:v>3320</x:v>
      </x:c>
      <x:c r="O163" s="119" t="n">
        <x:f>ROUNDDOWN(MIN('经济参数'!$E$24,'经济参数'!$E$22+A163*'经济参数'!$E$23)*G163,0)</x:f>
        <x:v>0</x:v>
      </x:c>
      <x:c r="P163" s="119" t="n">
        <x:f>ROUNDDOWN((IF(A163&gt;='材料与任务'!$E$31,'材料与任务'!$E$32,IF(A163&gt;='材料与任务'!$E$25,'材料与任务'!$E$26,IF(A163&gt;='材料与任务'!$E$19,'材料与任务'!$E$20,IF(A163&gt;='材料与任务'!$E$13,'材料与任务'!$E$14,'材料与任务'!$E$8)))))*G163,0)</x:f>
        <x:v>6</x:v>
      </x:c>
      <x:c r="Q163" s="119" t="n">
        <x:f>ROUNDDOWN((IF(A163&gt;='材料与任务'!$E$31,'材料与任务'!$E$33,IF(A163&gt;='材料与任务'!$E$25,'材料与任务'!$E$27,IF(A163&gt;='材料与任务'!$E$19,'材料与任务'!$E$21,IF(A163&gt;='材料与任务'!$E$13,'材料与任务'!$E$15,'材料与任务'!$E$9)))))*G163,0)</x:f>
        <x:v>3</x:v>
      </x:c>
      <x:c r="R163" s="110" t="n">
        <x:f>'装备掉落'!$B$38</x:f>
        <x:v>0.6872058758851213</x:v>
      </x:c>
      <x:c r="S163" s="119" t="n">
        <x:f>MAX(IF(VLOOKUP(A163,'装备掉落'!$A$29:$H$34,2,TRUE)&gt;0,1,0),IF(VLOOKUP(A163,'装备掉落'!$A$29:$H$34,3,TRUE)&gt;0,2,0),IF(VLOOKUP(A163,'装备掉落'!$A$29:$H$34,4,TRUE)&gt;0,3,0),IF(VLOOKUP(A163,'装备掉落'!$A$29:$H$34,5,TRUE)&gt;0,4,0),IF(VLOOKUP(A163,'装备掉落'!$A$29:$H$34,6,TRUE)&gt;0,5,0),IF(VLOOKUP(A163,'装备掉落'!$A$29:$H$34,7,TRUE)&gt;0,6,0),IF(VLOOKUP(A163,'装备掉落'!$A$29:$H$34,8,TRUE)&gt;0,7,0))</x:f>
        <x:v>7</x:v>
      </x:c>
      <x:c r="T163" s="119" t="n">
        <x:f>MIN(7,S163+'经济参数'!$E$70)</x:f>
        <x:v>7</x:v>
      </x:c>
      <x:c r="U163" s="119" t="n">
        <x:f>MIN(7,S163+'经济参数'!$E$71)</x:f>
        <x:v>7</x:v>
      </x:c>
      <x:c r="V163" s="119" t="n">
        <x:f>IF(H163&gt;=('难度参数'!$E$52),1,0)+IF(H163&gt;=('难度参数'!$E$52+'难度参数'!$E$53),1,0)+IF(H163&gt;=('难度参数'!$E$52+'难度参数'!$E$53+'难度参数'!$E$54),1,0)+IF(H163&gt;=('难度参数'!$E$52+'难度参数'!$E$53+'难度参数'!$E$54+'难度参数'!$E$55),1,0)+IF(H163&gt;=('难度参数'!$E$52+'难度参数'!$E$53+'难度参数'!$E$54+'难度参数'!$E$55+'难度参数'!$E$56),1,0)+IF(H163&gt;=('难度参数'!$E$52+'难度参数'!$E$53+'难度参数'!$E$54+'难度参数'!$E$55+'难度参数'!$E$56+'难度参数'!$E$57),1,0)</x:f>
        <x:v>6</x:v>
      </x:c>
      <x:c r="W163" s="62" t="str">
        <x:f>IF(L163&gt;'难度参数'!$E$51,"仅出怪已超目标","还需实测")</x:f>
        <x:v>还需实测</x:v>
      </x:c>
      <x:c r="X163" s="119" t="n">
        <x:f>IF(1&gt;D163,0,MAX(2,MIN('难度参数'!$E$12,ROUND(('难度参数'!$E$18*POWER(A163,'难度参数'!$E$19)/D163*(0.85+0.3*(1-1)/MAX(1,D163-1))),0)+F163)))</x:f>
        <x:v>24</x:v>
      </x:c>
      <x:c r="Y163" s="119" t="n">
        <x:f>IF(1&gt;D163,0,ROUND(('难度参数'!$E$13*POWER(A163,'难度参数'!$E$20)*MIN('难度参数'!$E$23,1+MAX(0,A163-'难度参数'!$E$21)*'难度参数'!$E$22))*(36+1*7)/(36+7*(D163+1)/2)*E163,0))</x:f>
        <x:v>3457</x:v>
      </x:c>
      <x:c r="Z163" s="119" t="n">
        <x:f>IF(X163=0,0,(X163-IF(1=D163,1,0))*ROUND(Y163*VLOOKUP(INDEX('章节与怪物'!$E$31:$K$37,B163,1),'章节与怪物'!$A$41:$F$44,2,FALSE),0)+IF(1=D163,ROUND(Y163*'难度参数'!$E$28*'章节与怪物'!$E$17,0),0))</x:f>
        <x:v>59736</x:v>
      </x:c>
      <x:c r="AA163" s="119" t="n">
        <x:f>IF(X163=0,0,(X163-IF(1=D163,1,0))*VLOOKUP(INDEX('章节与怪物'!$E$31:$K$37,B163,1),'章节与怪物'!$A$41:$F$44,4,FALSE)+IF(1=D163,'难度参数'!$E$30,0))</x:f>
        <x:v>480</x:v>
      </x:c>
      <x:c r="AB163" s="119" t="n">
        <x:f>IF(2&gt;D163,0,MAX(2,MIN('难度参数'!$E$12,ROUND(('难度参数'!$E$18*POWER(A163,'难度参数'!$E$19)/D163*(0.85+0.3*(2-1)/MAX(1,D163-1))),0)+F163)))</x:f>
        <x:v>25</x:v>
      </x:c>
      <x:c r="AC163" s="119" t="n">
        <x:f>IF(2&gt;D163,0,ROUND(('难度参数'!$E$13*POWER(A163,'难度参数'!$E$20)*MIN('难度参数'!$E$23,1+MAX(0,A163-'难度参数'!$E$21)*'难度参数'!$E$22))*(36+2*7)/(36+7*(D163+1)/2)*E163,0))</x:f>
        <x:v>4019</x:v>
      </x:c>
      <x:c r="AD163" s="119" t="n">
        <x:f>IF(AB163=0,0,(AB163-IF(2=D163,1,0))*ROUND(AC163*VLOOKUP(INDEX('章节与怪物'!$E$31:$K$37,B163,2),'章节与怪物'!$A$41:$F$44,2,FALSE),0)+IF(2=D163,ROUND(AC163*'难度参数'!$E$28*'章节与怪物'!$E$17,0),0))</x:f>
        <x:v>100475</x:v>
      </x:c>
      <x:c r="AE163" s="119" t="n">
        <x:f>IF(AB163=0,0,(AB163-IF(2=D163,1,0))*VLOOKUP(INDEX('章节与怪物'!$E$31:$K$37,B163,2),'章节与怪物'!$A$41:$F$44,4,FALSE)+IF(2=D163,'难度参数'!$E$30,0))</x:f>
        <x:v>450</x:v>
      </x:c>
      <x:c r="AF163" s="119" t="n">
        <x:f>IF(3&gt;D163,0,MAX(2,MIN('难度参数'!$E$12,ROUND(('难度参数'!$E$18*POWER(A163,'难度参数'!$E$19)/D163*(0.85+0.3*(3-1)/MAX(1,D163-1))),0)+F163)))</x:f>
        <x:v>26</x:v>
      </x:c>
      <x:c r="AG163" s="119" t="n">
        <x:f>IF(3&gt;D163,0,ROUND(('难度参数'!$E$13*POWER(A163,'难度参数'!$E$20)*MIN('难度参数'!$E$23,1+MAX(0,A163-'难度参数'!$E$21)*'难度参数'!$E$22))*(36+3*7)/(36+7*(D163+1)/2)*E163,0))</x:f>
        <x:v>4582</x:v>
      </x:c>
      <x:c r="AH163" s="119" t="n">
        <x:f>IF(AF163=0,0,(AF163-IF(3=D163,1,0))*ROUND(AG163*VLOOKUP(INDEX('章节与怪物'!$E$31:$K$37,B163,3),'章节与怪物'!$A$41:$F$44,2,FALSE),0)+IF(3=D163,ROUND(AG163*'难度参数'!$E$28*'章节与怪物'!$E$17,0),0))</x:f>
        <x:v>202514</x:v>
      </x:c>
      <x:c r="AI163" s="119" t="n">
        <x:f>IF(AF163=0,0,(AF163-IF(3=D163,1,0))*VLOOKUP(INDEX('章节与怪物'!$E$31:$K$37,B163,3),'章节与怪物'!$A$41:$F$44,4,FALSE)+IF(3=D163,'难度参数'!$E$30,0))</x:f>
        <x:v>728</x:v>
      </x:c>
      <x:c r="AJ163" s="119" t="n">
        <x:f>IF(4&gt;D163,0,MAX(2,MIN('难度参数'!$E$12,ROUND(('难度参数'!$E$18*POWER(A163,'难度参数'!$E$19)/D163*(0.85+0.3*(4-1)/MAX(1,D163-1))),0)+F163)))</x:f>
        <x:v>28</x:v>
      </x:c>
      <x:c r="AK163" s="119" t="n">
        <x:f>IF(4&gt;D163,0,ROUND(('难度参数'!$E$13*POWER(A163,'难度参数'!$E$20)*MIN('难度参数'!$E$23,1+MAX(0,A163-'难度参数'!$E$21)*'难度参数'!$E$22))*(36+4*7)/(36+7*(D163+1)/2)*E163,0))</x:f>
        <x:v>5145</x:v>
      </x:c>
      <x:c r="AL163" s="119" t="n">
        <x:f>IF(AJ163=0,0,(AJ163-IF(4=D163,1,0))*ROUND(AK163*VLOOKUP(INDEX('章节与怪物'!$E$31:$K$37,B163,4),'章节与怪物'!$A$41:$F$44,2,FALSE),0)+IF(4=D163,ROUND(AK163*'难度参数'!$E$28*'章节与怪物'!$E$17,0),0))</x:f>
        <x:v>194488</x:v>
      </x:c>
      <x:c r="AM163" s="119" t="n">
        <x:f>IF(AJ163=0,0,(AJ163-IF(4=D163,1,0))*VLOOKUP(INDEX('章节与怪物'!$E$31:$K$37,B163,4),'章节与怪物'!$A$41:$F$44,4,FALSE)+IF(4=D163,'难度参数'!$E$30,0))</x:f>
        <x:v>952</x:v>
      </x:c>
      <x:c r="AN163" s="119" t="n">
        <x:f>IF(5&gt;D163,0,MAX(2,MIN('难度参数'!$E$12,ROUND(('难度参数'!$E$18*POWER(A163,'难度参数'!$E$19)/D163*(0.85+0.3*(5-1)/MAX(1,D163-1))),0)+F163)))</x:f>
        <x:v>29</x:v>
      </x:c>
      <x:c r="AO163" s="119" t="n">
        <x:f>IF(5&gt;D163,0,ROUND(('难度参数'!$E$13*POWER(A163,'难度参数'!$E$20)*MIN('难度参数'!$E$23,1+MAX(0,A163-'难度参数'!$E$21)*'难度参数'!$E$22))*(36+5*7)/(36+7*(D163+1)/2)*E163,0))</x:f>
        <x:v>5708</x:v>
      </x:c>
      <x:c r="AP163" s="119" t="n">
        <x:f>IF(AN163=0,0,(AN163-IF(5=D163,1,0))*ROUND(AO163*VLOOKUP(INDEX('章节与怪物'!$E$31:$K$37,B163,5),'章节与怪物'!$A$41:$F$44,2,FALSE),0)+IF(5=D163,ROUND(AO163*'难度参数'!$E$28*'章节与怪物'!$E$17,0),0))</x:f>
        <x:v>165532</x:v>
      </x:c>
      <x:c r="AQ163" s="119" t="n">
        <x:f>IF(AN163=0,0,(AN163-IF(5=D163,1,0))*VLOOKUP(INDEX('章节与怪物'!$E$31:$K$37,B163,5),'章节与怪物'!$A$41:$F$44,4,FALSE)+IF(5=D163,'难度参数'!$E$30,0))</x:f>
        <x:v>522</x:v>
      </x:c>
      <x:c r="AR163" s="119" t="n">
        <x:f>IF(6&gt;D163,0,MAX(2,MIN('难度参数'!$E$12,ROUND(('难度参数'!$E$18*POWER(A163,'难度参数'!$E$19)/D163*(0.85+0.3*(6-1)/MAX(1,D163-1))),0)+F163)))</x:f>
        <x:v>30</x:v>
      </x:c>
      <x:c r="AS163" s="119" t="n">
        <x:f>IF(6&gt;D163,0,ROUND(('难度参数'!$E$13*POWER(A163,'难度参数'!$E$20)*MIN('难度参数'!$E$23,1+MAX(0,A163-'难度参数'!$E$21)*'难度参数'!$E$22))*(36+6*7)/(36+7*(D163+1)/2)*E163,0))</x:f>
        <x:v>6270</x:v>
      </x:c>
      <x:c r="AT163" s="119" t="n">
        <x:f>IF(AR163=0,0,(AR163-IF(6=D163,1,0))*ROUND(AS163*VLOOKUP(INDEX('章节与怪物'!$E$31:$K$37,B163,6),'章节与怪物'!$A$41:$F$44,2,FALSE),0)+IF(6=D163,ROUND(AS163*'难度参数'!$E$28*'章节与怪物'!$E$17,0),0))</x:f>
        <x:v>135420</x:v>
      </x:c>
      <x:c r="AU163" s="119" t="n">
        <x:f>IF(AR163=0,0,(AR163-IF(6=D163,1,0))*VLOOKUP(INDEX('章节与怪物'!$E$31:$K$37,B163,6),'章节与怪物'!$A$41:$F$44,4,FALSE)+IF(6=D163,'难度参数'!$E$30,0))</x:f>
        <x:v>600</x:v>
      </x:c>
      <x:c r="AV163" s="119" t="n">
        <x:f>IF(7&gt;D163,0,MAX(2,MIN('难度参数'!$E$12,ROUND(('难度参数'!$E$18*POWER(A163,'难度参数'!$E$19)/D163*(0.85+0.3*(7-1)/MAX(1,D163-1))),0)+F163)))</x:f>
        <x:v>32</x:v>
      </x:c>
      <x:c r="AW163" s="119" t="n">
        <x:f>IF(7&gt;D163,0,ROUND(('难度参数'!$E$13*POWER(A163,'难度参数'!$E$20)*MIN('难度参数'!$E$23,1+MAX(0,A163-'难度参数'!$E$21)*'难度参数'!$E$22))*(36+7*7)/(36+7*(D163+1)/2)*E163,0))</x:f>
        <x:v>6833</x:v>
      </x:c>
      <x:c r="AX163" s="119" t="n">
        <x:f>IF(AV163=0,0,(AV163-IF(7=D163,1,0))*ROUND(AW163*VLOOKUP(INDEX('章节与怪物'!$E$31:$K$37,B163,7),'章节与怪物'!$A$41:$F$44,2,FALSE),0)+IF(7=D163,ROUND(AW163*'难度参数'!$E$28*'章节与怪物'!$E$17,0),0))</x:f>
        <x:v>332439</x:v>
      </x:c>
      <x:c r="AY163" s="119" t="n">
        <x:f>IF(AV163=0,0,(AV163-IF(7=D163,1,0))*VLOOKUP(INDEX('章节与怪物'!$E$31:$K$37,B163,7),'章节与怪物'!$A$41:$F$44,4,FALSE)+IF(7=D163,'难度参数'!$E$30,0))</x:f>
        <x:v>1254</x:v>
      </x:c>
    </x:row>
    <x:row r="164" ht="23" customHeight="1">
      <x:c r="A164" s="119" t="n">
        <x:v>158</x:v>
      </x:c>
      <x:c r="B164" s="119" t="n">
        <x:f>MOD(INT((A164-1)/5),7)+1</x:f>
        <x:v>4</x:v>
      </x:c>
      <x:c r="C164" s="62" t="str">
        <x:f>INDEX('章节与怪物'!$B$31:$B$37,B164)</x:f>
        <x:v>翠野边城</x:v>
      </x:c>
      <x:c r="D164" s="119" t="n">
        <x:f>MIN('难度参数'!$E$8,MAX('难度参数'!$E$7,A164))</x:f>
        <x:v>7</x:v>
      </x:c>
      <x:c r="E164" s="106" t="n">
        <x:v>1</x:v>
      </x:c>
      <x:c r="F164" s="106" t="n">
        <x:v>0</x:v>
      </x:c>
      <x:c r="G164" s="106" t="n">
        <x:v>1</x:v>
      </x:c>
      <x:c r="H164" s="119" t="n">
        <x:f>SUM(X164,AB164,AF164,AJ164,AN164,AR164,AV164)</x:f>
        <x:v>195</x:v>
      </x:c>
      <x:c r="I164" s="119" t="n">
        <x:f>SUM(Z164,AD164,AH164,AL164,AP164,AT164,AX164)</x:f>
        <x:v>1200600</x:v>
      </x:c>
      <x:c r="J164" s="119" t="n">
        <x:f>ROUND(INDEX(X164:AY164,1,(D164-1)*4+2)*'难度参数'!$E$28*'章节与怪物'!$E$17,0)</x:f>
        <x:v>46675</x:v>
      </x:c>
      <x:c r="K164" s="119" t="n">
        <x:f>SUM(AA164,AE164,AI164,AM164,AQ164,AU164,AY164)</x:f>
        <x:v>5006</x:v>
      </x:c>
      <x:c r="L164" s="62" t="n">
        <x:f>H164*(ROUNDUP('难度参数'!$E$24/('难度参数'!$E$26*'难度参数'!$E$27),0)*'难度参数'!$E$26)/60</x:f>
        <x:v>2.6</x:v>
      </x:c>
      <x:c r="M164" s="62" t="n">
        <x:f>L164+D164*('难度参数'!$E$49+'难度参数'!$E$50)/60</x:f>
        <x:v>3.7666666666666666</x:v>
      </x:c>
      <x:c r="N164" s="119" t="n">
        <x:f>ROUNDDOWN(('经济参数'!$E$20+A164*'经济参数'!$E$21)*G164,0)</x:f>
        <x:v>3340</x:v>
      </x:c>
      <x:c r="O164" s="119" t="n">
        <x:f>ROUNDDOWN(MIN('经济参数'!$E$24,'经济参数'!$E$22+A164*'经济参数'!$E$23)*G164,0)</x:f>
        <x:v>0</x:v>
      </x:c>
      <x:c r="P164" s="119" t="n">
        <x:f>ROUNDDOWN((IF(A164&gt;='材料与任务'!$E$31,'材料与任务'!$E$32,IF(A164&gt;='材料与任务'!$E$25,'材料与任务'!$E$26,IF(A164&gt;='材料与任务'!$E$19,'材料与任务'!$E$20,IF(A164&gt;='材料与任务'!$E$13,'材料与任务'!$E$14,'材料与任务'!$E$8)))))*G164,0)</x:f>
        <x:v>6</x:v>
      </x:c>
      <x:c r="Q164" s="119" t="n">
        <x:f>ROUNDDOWN((IF(A164&gt;='材料与任务'!$E$31,'材料与任务'!$E$33,IF(A164&gt;='材料与任务'!$E$25,'材料与任务'!$E$27,IF(A164&gt;='材料与任务'!$E$19,'材料与任务'!$E$21,IF(A164&gt;='材料与任务'!$E$13,'材料与任务'!$E$15,'材料与任务'!$E$9)))))*G164,0)</x:f>
        <x:v>3</x:v>
      </x:c>
      <x:c r="R164" s="110" t="n">
        <x:f>'装备掉落'!$B$38</x:f>
        <x:v>0.6872058758851213</x:v>
      </x:c>
      <x:c r="S164" s="119" t="n">
        <x:f>MAX(IF(VLOOKUP(A164,'装备掉落'!$A$29:$H$34,2,TRUE)&gt;0,1,0),IF(VLOOKUP(A164,'装备掉落'!$A$29:$H$34,3,TRUE)&gt;0,2,0),IF(VLOOKUP(A164,'装备掉落'!$A$29:$H$34,4,TRUE)&gt;0,3,0),IF(VLOOKUP(A164,'装备掉落'!$A$29:$H$34,5,TRUE)&gt;0,4,0),IF(VLOOKUP(A164,'装备掉落'!$A$29:$H$34,6,TRUE)&gt;0,5,0),IF(VLOOKUP(A164,'装备掉落'!$A$29:$H$34,7,TRUE)&gt;0,6,0),IF(VLOOKUP(A164,'装备掉落'!$A$29:$H$34,8,TRUE)&gt;0,7,0))</x:f>
        <x:v>7</x:v>
      </x:c>
      <x:c r="T164" s="119" t="n">
        <x:f>MIN(7,S164+'经济参数'!$E$70)</x:f>
        <x:v>7</x:v>
      </x:c>
      <x:c r="U164" s="119" t="n">
        <x:f>MIN(7,S164+'经济参数'!$E$71)</x:f>
        <x:v>7</x:v>
      </x:c>
      <x:c r="V164" s="119" t="n">
        <x:f>IF(H164&gt;=('难度参数'!$E$52),1,0)+IF(H164&gt;=('难度参数'!$E$52+'难度参数'!$E$53),1,0)+IF(H164&gt;=('难度参数'!$E$52+'难度参数'!$E$53+'难度参数'!$E$54),1,0)+IF(H164&gt;=('难度参数'!$E$52+'难度参数'!$E$53+'难度参数'!$E$54+'难度参数'!$E$55),1,0)+IF(H164&gt;=('难度参数'!$E$52+'难度参数'!$E$53+'难度参数'!$E$54+'难度参数'!$E$55+'难度参数'!$E$56),1,0)+IF(H164&gt;=('难度参数'!$E$52+'难度参数'!$E$53+'难度参数'!$E$54+'难度参数'!$E$55+'难度参数'!$E$56+'难度参数'!$E$57),1,0)</x:f>
        <x:v>6</x:v>
      </x:c>
      <x:c r="W164" s="62" t="str">
        <x:f>IF(L164&gt;'难度参数'!$E$51,"仅出怪已超目标","还需实测")</x:f>
        <x:v>还需实测</x:v>
      </x:c>
      <x:c r="X164" s="119" t="n">
        <x:f>IF(1&gt;D164,0,MAX(2,MIN('难度参数'!$E$12,ROUND(('难度参数'!$E$18*POWER(A164,'难度参数'!$E$19)/D164*(0.85+0.3*(1-1)/MAX(1,D164-1))),0)+F164)))</x:f>
        <x:v>24</x:v>
      </x:c>
      <x:c r="Y164" s="119" t="n">
        <x:f>IF(1&gt;D164,0,ROUND(('难度参数'!$E$13*POWER(A164,'难度参数'!$E$20)*MIN('难度参数'!$E$23,1+MAX(0,A164-'难度参数'!$E$21)*'难度参数'!$E$22))*(36+1*7)/(36+7*(D164+1)/2)*E164,0))</x:f>
        <x:v>3473</x:v>
      </x:c>
      <x:c r="Z164" s="119" t="n">
        <x:f>IF(X164=0,0,(X164-IF(1=D164,1,0))*ROUND(Y164*VLOOKUP(INDEX('章节与怪物'!$E$31:$K$37,B164,1),'章节与怪物'!$A$41:$F$44,2,FALSE),0)+IF(1=D164,ROUND(Y164*'难度参数'!$E$28*'章节与怪物'!$E$17,0),0))</x:f>
        <x:v>60024</x:v>
      </x:c>
      <x:c r="AA164" s="119" t="n">
        <x:f>IF(X164=0,0,(X164-IF(1=D164,1,0))*VLOOKUP(INDEX('章节与怪物'!$E$31:$K$37,B164,1),'章节与怪物'!$A$41:$F$44,4,FALSE)+IF(1=D164,'难度参数'!$E$30,0))</x:f>
        <x:v>480</x:v>
      </x:c>
      <x:c r="AB164" s="119" t="n">
        <x:f>IF(2&gt;D164,0,MAX(2,MIN('难度参数'!$E$12,ROUND(('难度参数'!$E$18*POWER(A164,'难度参数'!$E$19)/D164*(0.85+0.3*(2-1)/MAX(1,D164-1))),0)+F164)))</x:f>
        <x:v>25</x:v>
      </x:c>
      <x:c r="AC164" s="119" t="n">
        <x:f>IF(2&gt;D164,0,ROUND(('难度参数'!$E$13*POWER(A164,'难度参数'!$E$20)*MIN('难度参数'!$E$23,1+MAX(0,A164-'难度参数'!$E$21)*'难度参数'!$E$22))*(36+2*7)/(36+7*(D164+1)/2)*E164,0))</x:f>
        <x:v>4038</x:v>
      </x:c>
      <x:c r="AD164" s="119" t="n">
        <x:f>IF(AB164=0,0,(AB164-IF(2=D164,1,0))*ROUND(AC164*VLOOKUP(INDEX('章节与怪物'!$E$31:$K$37,B164,2),'章节与怪物'!$A$41:$F$44,2,FALSE),0)+IF(2=D164,ROUND(AC164*'难度参数'!$E$28*'章节与怪物'!$E$17,0),0))</x:f>
        <x:v>100950</x:v>
      </x:c>
      <x:c r="AE164" s="119" t="n">
        <x:f>IF(AB164=0,0,(AB164-IF(2=D164,1,0))*VLOOKUP(INDEX('章节与怪物'!$E$31:$K$37,B164,2),'章节与怪物'!$A$41:$F$44,4,FALSE)+IF(2=D164,'难度参数'!$E$30,0))</x:f>
        <x:v>450</x:v>
      </x:c>
      <x:c r="AF164" s="119" t="n">
        <x:f>IF(3&gt;D164,0,MAX(2,MIN('难度参数'!$E$12,ROUND(('难度参数'!$E$18*POWER(A164,'难度参数'!$E$19)/D164*(0.85+0.3*(3-1)/MAX(1,D164-1))),0)+F164)))</x:f>
        <x:v>26</x:v>
      </x:c>
      <x:c r="AG164" s="119" t="n">
        <x:f>IF(3&gt;D164,0,ROUND(('难度参数'!$E$13*POWER(A164,'难度参数'!$E$20)*MIN('难度参数'!$E$23,1+MAX(0,A164-'难度参数'!$E$21)*'难度参数'!$E$22))*(36+3*7)/(36+7*(D164+1)/2)*E164,0))</x:f>
        <x:v>4603</x:v>
      </x:c>
      <x:c r="AH164" s="119" t="n">
        <x:f>IF(AF164=0,0,(AF164-IF(3=D164,1,0))*ROUND(AG164*VLOOKUP(INDEX('章节与怪物'!$E$31:$K$37,B164,3),'章节与怪物'!$A$41:$F$44,2,FALSE),0)+IF(3=D164,ROUND(AG164*'难度参数'!$E$28*'章节与怪物'!$E$17,0),0))</x:f>
        <x:v>203450</x:v>
      </x:c>
      <x:c r="AI164" s="119" t="n">
        <x:f>IF(AF164=0,0,(AF164-IF(3=D164,1,0))*VLOOKUP(INDEX('章节与怪物'!$E$31:$K$37,B164,3),'章节与怪物'!$A$41:$F$44,4,FALSE)+IF(3=D164,'难度参数'!$E$30,0))</x:f>
        <x:v>728</x:v>
      </x:c>
      <x:c r="AJ164" s="119" t="n">
        <x:f>IF(4&gt;D164,0,MAX(2,MIN('难度参数'!$E$12,ROUND(('难度参数'!$E$18*POWER(A164,'难度参数'!$E$19)/D164*(0.85+0.3*(4-1)/MAX(1,D164-1))),0)+F164)))</x:f>
        <x:v>28</x:v>
      </x:c>
      <x:c r="AK164" s="119" t="n">
        <x:f>IF(4&gt;D164,0,ROUND(('难度参数'!$E$13*POWER(A164,'难度参数'!$E$20)*MIN('难度参数'!$E$23,1+MAX(0,A164-'难度参数'!$E$21)*'难度参数'!$E$22))*(36+4*7)/(36+7*(D164+1)/2)*E164,0))</x:f>
        <x:v>5169</x:v>
      </x:c>
      <x:c r="AL164" s="119" t="n">
        <x:f>IF(AJ164=0,0,(AJ164-IF(4=D164,1,0))*ROUND(AK164*VLOOKUP(INDEX('章节与怪物'!$E$31:$K$37,B164,4),'章节与怪物'!$A$41:$F$44,2,FALSE),0)+IF(4=D164,ROUND(AK164*'难度参数'!$E$28*'章节与怪物'!$E$17,0),0))</x:f>
        <x:v>195384</x:v>
      </x:c>
      <x:c r="AM164" s="119" t="n">
        <x:f>IF(AJ164=0,0,(AJ164-IF(4=D164,1,0))*VLOOKUP(INDEX('章节与怪物'!$E$31:$K$37,B164,4),'章节与怪物'!$A$41:$F$44,4,FALSE)+IF(4=D164,'难度参数'!$E$30,0))</x:f>
        <x:v>952</x:v>
      </x:c>
      <x:c r="AN164" s="119" t="n">
        <x:f>IF(5&gt;D164,0,MAX(2,MIN('难度参数'!$E$12,ROUND(('难度参数'!$E$18*POWER(A164,'难度参数'!$E$19)/D164*(0.85+0.3*(5-1)/MAX(1,D164-1))),0)+F164)))</x:f>
        <x:v>29</x:v>
      </x:c>
      <x:c r="AO164" s="119" t="n">
        <x:f>IF(5&gt;D164,0,ROUND(('难度参数'!$E$13*POWER(A164,'难度参数'!$E$20)*MIN('难度参数'!$E$23,1+MAX(0,A164-'难度参数'!$E$21)*'难度参数'!$E$22))*(36+5*7)/(36+7*(D164+1)/2)*E164,0))</x:f>
        <x:v>5734</x:v>
      </x:c>
      <x:c r="AP164" s="119" t="n">
        <x:f>IF(AN164=0,0,(AN164-IF(5=D164,1,0))*ROUND(AO164*VLOOKUP(INDEX('章节与怪物'!$E$31:$K$37,B164,5),'章节与怪物'!$A$41:$F$44,2,FALSE),0)+IF(5=D164,ROUND(AO164*'难度参数'!$E$28*'章节与怪物'!$E$17,0),0))</x:f>
        <x:v>166286</x:v>
      </x:c>
      <x:c r="AQ164" s="119" t="n">
        <x:f>IF(AN164=0,0,(AN164-IF(5=D164,1,0))*VLOOKUP(INDEX('章节与怪物'!$E$31:$K$37,B164,5),'章节与怪物'!$A$41:$F$44,4,FALSE)+IF(5=D164,'难度参数'!$E$30,0))</x:f>
        <x:v>522</x:v>
      </x:c>
      <x:c r="AR164" s="119" t="n">
        <x:f>IF(6&gt;D164,0,MAX(2,MIN('难度参数'!$E$12,ROUND(('难度参数'!$E$18*POWER(A164,'难度参数'!$E$19)/D164*(0.85+0.3*(6-1)/MAX(1,D164-1))),0)+F164)))</x:f>
        <x:v>31</x:v>
      </x:c>
      <x:c r="AS164" s="119" t="n">
        <x:f>IF(6&gt;D164,0,ROUND(('难度参数'!$E$13*POWER(A164,'难度参数'!$E$20)*MIN('难度参数'!$E$23,1+MAX(0,A164-'难度参数'!$E$21)*'难度参数'!$E$22))*(36+6*7)/(36+7*(D164+1)/2)*E164,0))</x:f>
        <x:v>6299</x:v>
      </x:c>
      <x:c r="AT164" s="119" t="n">
        <x:f>IF(AR164=0,0,(AR164-IF(6=D164,1,0))*ROUND(AS164*VLOOKUP(INDEX('章节与怪物'!$E$31:$K$37,B164,6),'章节与怪物'!$A$41:$F$44,2,FALSE),0)+IF(6=D164,ROUND(AS164*'难度参数'!$E$28*'章节与怪物'!$E$17,0),0))</x:f>
        <x:v>140585</x:v>
      </x:c>
      <x:c r="AU164" s="119" t="n">
        <x:f>IF(AR164=0,0,(AR164-IF(6=D164,1,0))*VLOOKUP(INDEX('章节与怪物'!$E$31:$K$37,B164,6),'章节与怪物'!$A$41:$F$44,4,FALSE)+IF(6=D164,'难度参数'!$E$30,0))</x:f>
        <x:v>620</x:v>
      </x:c>
      <x:c r="AV164" s="119" t="n">
        <x:f>IF(7&gt;D164,0,MAX(2,MIN('难度参数'!$E$12,ROUND(('难度参数'!$E$18*POWER(A164,'难度参数'!$E$19)/D164*(0.85+0.3*(7-1)/MAX(1,D164-1))),0)+F164)))</x:f>
        <x:v>32</x:v>
      </x:c>
      <x:c r="AW164" s="119" t="n">
        <x:f>IF(7&gt;D164,0,ROUND(('难度参数'!$E$13*POWER(A164,'难度参数'!$E$20)*MIN('难度参数'!$E$23,1+MAX(0,A164-'难度参数'!$E$21)*'难度参数'!$E$22))*(36+7*7)/(36+7*(D164+1)/2)*E164,0))</x:f>
        <x:v>6864</x:v>
      </x:c>
      <x:c r="AX164" s="119" t="n">
        <x:f>IF(AV164=0,0,(AV164-IF(7=D164,1,0))*ROUND(AW164*VLOOKUP(INDEX('章节与怪物'!$E$31:$K$37,B164,7),'章节与怪物'!$A$41:$F$44,2,FALSE),0)+IF(7=D164,ROUND(AW164*'难度参数'!$E$28*'章节与怪物'!$E$17,0),0))</x:f>
        <x:v>333921</x:v>
      </x:c>
      <x:c r="AY164" s="119" t="n">
        <x:f>IF(AV164=0,0,(AV164-IF(7=D164,1,0))*VLOOKUP(INDEX('章节与怪物'!$E$31:$K$37,B164,7),'章节与怪物'!$A$41:$F$44,4,FALSE)+IF(7=D164,'难度参数'!$E$30,0))</x:f>
        <x:v>1254</x:v>
      </x:c>
    </x:row>
    <x:row r="165" ht="23" customHeight="1">
      <x:c r="A165" s="119" t="n">
        <x:v>159</x:v>
      </x:c>
      <x:c r="B165" s="119" t="n">
        <x:f>MOD(INT((A165-1)/5),7)+1</x:f>
        <x:v>4</x:v>
      </x:c>
      <x:c r="C165" s="62" t="str">
        <x:f>INDEX('章节与怪物'!$B$31:$B$37,B165)</x:f>
        <x:v>翠野边城</x:v>
      </x:c>
      <x:c r="D165" s="119" t="n">
        <x:f>MIN('难度参数'!$E$8,MAX('难度参数'!$E$7,A165))</x:f>
        <x:v>7</x:v>
      </x:c>
      <x:c r="E165" s="106" t="n">
        <x:v>1</x:v>
      </x:c>
      <x:c r="F165" s="106" t="n">
        <x:v>0</x:v>
      </x:c>
      <x:c r="G165" s="106" t="n">
        <x:v>1</x:v>
      </x:c>
      <x:c r="H165" s="119" t="n">
        <x:f>SUM(X165,AB165,AF165,AJ165,AN165,AR165,AV165)</x:f>
        <x:v>195</x:v>
      </x:c>
      <x:c r="I165" s="119" t="n">
        <x:f>SUM(Z165,AD165,AH165,AL165,AP165,AT165,AX165)</x:f>
        <x:v>1206081</x:v>
      </x:c>
      <x:c r="J165" s="119" t="n">
        <x:f>ROUND(INDEX(X165:AY165,1,(D165-1)*4+2)*'难度参数'!$E$28*'章节与怪物'!$E$17,0)</x:f>
        <x:v>46893</x:v>
      </x:c>
      <x:c r="K165" s="119" t="n">
        <x:f>SUM(AA165,AE165,AI165,AM165,AQ165,AU165,AY165)</x:f>
        <x:v>5006</x:v>
      </x:c>
      <x:c r="L165" s="62" t="n">
        <x:f>H165*(ROUNDUP('难度参数'!$E$24/('难度参数'!$E$26*'难度参数'!$E$27),0)*'难度参数'!$E$26)/60</x:f>
        <x:v>2.6</x:v>
      </x:c>
      <x:c r="M165" s="62" t="n">
        <x:f>L165+D165*('难度参数'!$E$49+'难度参数'!$E$50)/60</x:f>
        <x:v>3.7666666666666666</x:v>
      </x:c>
      <x:c r="N165" s="119" t="n">
        <x:f>ROUNDDOWN(('经济参数'!$E$20+A165*'经济参数'!$E$21)*G165,0)</x:f>
        <x:v>3360</x:v>
      </x:c>
      <x:c r="O165" s="119" t="n">
        <x:f>ROUNDDOWN(MIN('经济参数'!$E$24,'经济参数'!$E$22+A165*'经济参数'!$E$23)*G165,0)</x:f>
        <x:v>0</x:v>
      </x:c>
      <x:c r="P165" s="119" t="n">
        <x:f>ROUNDDOWN((IF(A165&gt;='材料与任务'!$E$31,'材料与任务'!$E$32,IF(A165&gt;='材料与任务'!$E$25,'材料与任务'!$E$26,IF(A165&gt;='材料与任务'!$E$19,'材料与任务'!$E$20,IF(A165&gt;='材料与任务'!$E$13,'材料与任务'!$E$14,'材料与任务'!$E$8)))))*G165,0)</x:f>
        <x:v>6</x:v>
      </x:c>
      <x:c r="Q165" s="119" t="n">
        <x:f>ROUNDDOWN((IF(A165&gt;='材料与任务'!$E$31,'材料与任务'!$E$33,IF(A165&gt;='材料与任务'!$E$25,'材料与任务'!$E$27,IF(A165&gt;='材料与任务'!$E$19,'材料与任务'!$E$21,IF(A165&gt;='材料与任务'!$E$13,'材料与任务'!$E$15,'材料与任务'!$E$9)))))*G165,0)</x:f>
        <x:v>3</x:v>
      </x:c>
      <x:c r="R165" s="110" t="n">
        <x:f>'装备掉落'!$B$38</x:f>
        <x:v>0.6872058758851213</x:v>
      </x:c>
      <x:c r="S165" s="119" t="n">
        <x:f>MAX(IF(VLOOKUP(A165,'装备掉落'!$A$29:$H$34,2,TRUE)&gt;0,1,0),IF(VLOOKUP(A165,'装备掉落'!$A$29:$H$34,3,TRUE)&gt;0,2,0),IF(VLOOKUP(A165,'装备掉落'!$A$29:$H$34,4,TRUE)&gt;0,3,0),IF(VLOOKUP(A165,'装备掉落'!$A$29:$H$34,5,TRUE)&gt;0,4,0),IF(VLOOKUP(A165,'装备掉落'!$A$29:$H$34,6,TRUE)&gt;0,5,0),IF(VLOOKUP(A165,'装备掉落'!$A$29:$H$34,7,TRUE)&gt;0,6,0),IF(VLOOKUP(A165,'装备掉落'!$A$29:$H$34,8,TRUE)&gt;0,7,0))</x:f>
        <x:v>7</x:v>
      </x:c>
      <x:c r="T165" s="119" t="n">
        <x:f>MIN(7,S165+'经济参数'!$E$70)</x:f>
        <x:v>7</x:v>
      </x:c>
      <x:c r="U165" s="119" t="n">
        <x:f>MIN(7,S165+'经济参数'!$E$71)</x:f>
        <x:v>7</x:v>
      </x:c>
      <x:c r="V165" s="119" t="n">
        <x:f>IF(H165&gt;=('难度参数'!$E$52),1,0)+IF(H165&gt;=('难度参数'!$E$52+'难度参数'!$E$53),1,0)+IF(H165&gt;=('难度参数'!$E$52+'难度参数'!$E$53+'难度参数'!$E$54),1,0)+IF(H165&gt;=('难度参数'!$E$52+'难度参数'!$E$53+'难度参数'!$E$54+'难度参数'!$E$55),1,0)+IF(H165&gt;=('难度参数'!$E$52+'难度参数'!$E$53+'难度参数'!$E$54+'难度参数'!$E$55+'难度参数'!$E$56),1,0)+IF(H165&gt;=('难度参数'!$E$52+'难度参数'!$E$53+'难度参数'!$E$54+'难度参数'!$E$55+'难度参数'!$E$56+'难度参数'!$E$57),1,0)</x:f>
        <x:v>6</x:v>
      </x:c>
      <x:c r="W165" s="62" t="str">
        <x:f>IF(L165&gt;'难度参数'!$E$51,"仅出怪已超目标","还需实测")</x:f>
        <x:v>还需实测</x:v>
      </x:c>
      <x:c r="X165" s="119" t="n">
        <x:f>IF(1&gt;D165,0,MAX(2,MIN('难度参数'!$E$12,ROUND(('难度参数'!$E$18*POWER(A165,'难度参数'!$E$19)/D165*(0.85+0.3*(1-1)/MAX(1,D165-1))),0)+F165)))</x:f>
        <x:v>24</x:v>
      </x:c>
      <x:c r="Y165" s="119" t="n">
        <x:f>IF(1&gt;D165,0,ROUND(('难度参数'!$E$13*POWER(A165,'难度参数'!$E$20)*MIN('难度参数'!$E$23,1+MAX(0,A165-'难度参数'!$E$21)*'难度参数'!$E$22))*(36+1*7)/(36+7*(D165+1)/2)*E165,0))</x:f>
        <x:v>3488</x:v>
      </x:c>
      <x:c r="Z165" s="119" t="n">
        <x:f>IF(X165=0,0,(X165-IF(1=D165,1,0))*ROUND(Y165*VLOOKUP(INDEX('章节与怪物'!$E$31:$K$37,B165,1),'章节与怪物'!$A$41:$F$44,2,FALSE),0)+IF(1=D165,ROUND(Y165*'难度参数'!$E$28*'章节与怪物'!$E$17,0),0))</x:f>
        <x:v>60264</x:v>
      </x:c>
      <x:c r="AA165" s="119" t="n">
        <x:f>IF(X165=0,0,(X165-IF(1=D165,1,0))*VLOOKUP(INDEX('章节与怪物'!$E$31:$K$37,B165,1),'章节与怪物'!$A$41:$F$44,4,FALSE)+IF(1=D165,'难度参数'!$E$30,0))</x:f>
        <x:v>480</x:v>
      </x:c>
      <x:c r="AB165" s="119" t="n">
        <x:f>IF(2&gt;D165,0,MAX(2,MIN('难度参数'!$E$12,ROUND(('难度参数'!$E$18*POWER(A165,'难度参数'!$E$19)/D165*(0.85+0.3*(2-1)/MAX(1,D165-1))),0)+F165)))</x:f>
        <x:v>25</x:v>
      </x:c>
      <x:c r="AC165" s="119" t="n">
        <x:f>IF(2&gt;D165,0,ROUND(('难度参数'!$E$13*POWER(A165,'难度参数'!$E$20)*MIN('难度参数'!$E$23,1+MAX(0,A165-'难度参数'!$E$21)*'难度参数'!$E$22))*(36+2*7)/(36+7*(D165+1)/2)*E165,0))</x:f>
        <x:v>4056</x:v>
      </x:c>
      <x:c r="AD165" s="119" t="n">
        <x:f>IF(AB165=0,0,(AB165-IF(2=D165,1,0))*ROUND(AC165*VLOOKUP(INDEX('章节与怪物'!$E$31:$K$37,B165,2),'章节与怪物'!$A$41:$F$44,2,FALSE),0)+IF(2=D165,ROUND(AC165*'难度参数'!$E$28*'章节与怪物'!$E$17,0),0))</x:f>
        <x:v>101400</x:v>
      </x:c>
      <x:c r="AE165" s="119" t="n">
        <x:f>IF(AB165=0,0,(AB165-IF(2=D165,1,0))*VLOOKUP(INDEX('章节与怪物'!$E$31:$K$37,B165,2),'章节与怪物'!$A$41:$F$44,4,FALSE)+IF(2=D165,'难度参数'!$E$30,0))</x:f>
        <x:v>450</x:v>
      </x:c>
      <x:c r="AF165" s="119" t="n">
        <x:f>IF(3&gt;D165,0,MAX(2,MIN('难度参数'!$E$12,ROUND(('难度参数'!$E$18*POWER(A165,'难度参数'!$E$19)/D165*(0.85+0.3*(3-1)/MAX(1,D165-1))),0)+F165)))</x:f>
        <x:v>26</x:v>
      </x:c>
      <x:c r="AG165" s="119" t="n">
        <x:f>IF(3&gt;D165,0,ROUND(('难度参数'!$E$13*POWER(A165,'难度参数'!$E$20)*MIN('难度参数'!$E$23,1+MAX(0,A165-'难度参数'!$E$21)*'难度参数'!$E$22))*(36+3*7)/(36+7*(D165+1)/2)*E165,0))</x:f>
        <x:v>4624</x:v>
      </x:c>
      <x:c r="AH165" s="119" t="n">
        <x:f>IF(AF165=0,0,(AF165-IF(3=D165,1,0))*ROUND(AG165*VLOOKUP(INDEX('章节与怪物'!$E$31:$K$37,B165,3),'章节与怪物'!$A$41:$F$44,2,FALSE),0)+IF(3=D165,ROUND(AG165*'难度参数'!$E$28*'章节与怪物'!$E$17,0),0))</x:f>
        <x:v>204386</x:v>
      </x:c>
      <x:c r="AI165" s="119" t="n">
        <x:f>IF(AF165=0,0,(AF165-IF(3=D165,1,0))*VLOOKUP(INDEX('章节与怪物'!$E$31:$K$37,B165,3),'章节与怪物'!$A$41:$F$44,4,FALSE)+IF(3=D165,'难度参数'!$E$30,0))</x:f>
        <x:v>728</x:v>
      </x:c>
      <x:c r="AJ165" s="119" t="n">
        <x:f>IF(4&gt;D165,0,MAX(2,MIN('难度参数'!$E$12,ROUND(('难度参数'!$E$18*POWER(A165,'难度参数'!$E$19)/D165*(0.85+0.3*(4-1)/MAX(1,D165-1))),0)+F165)))</x:f>
        <x:v>28</x:v>
      </x:c>
      <x:c r="AK165" s="119" t="n">
        <x:f>IF(4&gt;D165,0,ROUND(('难度参数'!$E$13*POWER(A165,'难度参数'!$E$20)*MIN('难度参数'!$E$23,1+MAX(0,A165-'难度参数'!$E$21)*'难度参数'!$E$22))*(36+4*7)/(36+7*(D165+1)/2)*E165,0))</x:f>
        <x:v>5192</x:v>
      </x:c>
      <x:c r="AL165" s="119" t="n">
        <x:f>IF(AJ165=0,0,(AJ165-IF(4=D165,1,0))*ROUND(AK165*VLOOKUP(INDEX('章节与怪物'!$E$31:$K$37,B165,4),'章节与怪物'!$A$41:$F$44,2,FALSE),0)+IF(4=D165,ROUND(AK165*'难度参数'!$E$28*'章节与怪物'!$E$17,0),0))</x:f>
        <x:v>196252</x:v>
      </x:c>
      <x:c r="AM165" s="119" t="n">
        <x:f>IF(AJ165=0,0,(AJ165-IF(4=D165,1,0))*VLOOKUP(INDEX('章节与怪物'!$E$31:$K$37,B165,4),'章节与怪物'!$A$41:$F$44,4,FALSE)+IF(4=D165,'难度参数'!$E$30,0))</x:f>
        <x:v>952</x:v>
      </x:c>
      <x:c r="AN165" s="119" t="n">
        <x:f>IF(5&gt;D165,0,MAX(2,MIN('难度参数'!$E$12,ROUND(('难度参数'!$E$18*POWER(A165,'难度参数'!$E$19)/D165*(0.85+0.3*(5-1)/MAX(1,D165-1))),0)+F165)))</x:f>
        <x:v>29</x:v>
      </x:c>
      <x:c r="AO165" s="119" t="n">
        <x:f>IF(5&gt;D165,0,ROUND(('难度参数'!$E$13*POWER(A165,'难度参数'!$E$20)*MIN('难度参数'!$E$23,1+MAX(0,A165-'难度参数'!$E$21)*'难度参数'!$E$22))*(36+5*7)/(36+7*(D165+1)/2)*E165,0))</x:f>
        <x:v>5760</x:v>
      </x:c>
      <x:c r="AP165" s="119" t="n">
        <x:f>IF(AN165=0,0,(AN165-IF(5=D165,1,0))*ROUND(AO165*VLOOKUP(INDEX('章节与怪物'!$E$31:$K$37,B165,5),'章节与怪物'!$A$41:$F$44,2,FALSE),0)+IF(5=D165,ROUND(AO165*'难度参数'!$E$28*'章节与怪物'!$E$17,0),0))</x:f>
        <x:v>167040</x:v>
      </x:c>
      <x:c r="AQ165" s="119" t="n">
        <x:f>IF(AN165=0,0,(AN165-IF(5=D165,1,0))*VLOOKUP(INDEX('章节与怪物'!$E$31:$K$37,B165,5),'章节与怪物'!$A$41:$F$44,4,FALSE)+IF(5=D165,'难度参数'!$E$30,0))</x:f>
        <x:v>522</x:v>
      </x:c>
      <x:c r="AR165" s="119" t="n">
        <x:f>IF(6&gt;D165,0,MAX(2,MIN('难度参数'!$E$12,ROUND(('难度参数'!$E$18*POWER(A165,'难度参数'!$E$19)/D165*(0.85+0.3*(6-1)/MAX(1,D165-1))),0)+F165)))</x:f>
        <x:v>31</x:v>
      </x:c>
      <x:c r="AS165" s="119" t="n">
        <x:f>IF(6&gt;D165,0,ROUND(('难度参数'!$E$13*POWER(A165,'难度参数'!$E$20)*MIN('难度参数'!$E$23,1+MAX(0,A165-'难度参数'!$E$21)*'难度参数'!$E$22))*(36+6*7)/(36+7*(D165+1)/2)*E165,0))</x:f>
        <x:v>6328</x:v>
      </x:c>
      <x:c r="AT165" s="119" t="n">
        <x:f>IF(AR165=0,0,(AR165-IF(6=D165,1,0))*ROUND(AS165*VLOOKUP(INDEX('章节与怪物'!$E$31:$K$37,B165,6),'章节与怪物'!$A$41:$F$44,2,FALSE),0)+IF(6=D165,ROUND(AS165*'难度参数'!$E$28*'章节与怪物'!$E$17,0),0))</x:f>
        <x:v>141236</x:v>
      </x:c>
      <x:c r="AU165" s="119" t="n">
        <x:f>IF(AR165=0,0,(AR165-IF(6=D165,1,0))*VLOOKUP(INDEX('章节与怪物'!$E$31:$K$37,B165,6),'章节与怪物'!$A$41:$F$44,4,FALSE)+IF(6=D165,'难度参数'!$E$30,0))</x:f>
        <x:v>620</x:v>
      </x:c>
      <x:c r="AV165" s="119" t="n">
        <x:f>IF(7&gt;D165,0,MAX(2,MIN('难度参数'!$E$12,ROUND(('难度参数'!$E$18*POWER(A165,'难度参数'!$E$19)/D165*(0.85+0.3*(7-1)/MAX(1,D165-1))),0)+F165)))</x:f>
        <x:v>32</x:v>
      </x:c>
      <x:c r="AW165" s="119" t="n">
        <x:f>IF(7&gt;D165,0,ROUND(('难度参数'!$E$13*POWER(A165,'难度参数'!$E$20)*MIN('难度参数'!$E$23,1+MAX(0,A165-'难度参数'!$E$21)*'难度参数'!$E$22))*(36+7*7)/(36+7*(D165+1)/2)*E165,0))</x:f>
        <x:v>6896</x:v>
      </x:c>
      <x:c r="AX165" s="119" t="n">
        <x:f>IF(AV165=0,0,(AV165-IF(7=D165,1,0))*ROUND(AW165*VLOOKUP(INDEX('章节与怪物'!$E$31:$K$37,B165,7),'章节与怪物'!$A$41:$F$44,2,FALSE),0)+IF(7=D165,ROUND(AW165*'难度参数'!$E$28*'章节与怪物'!$E$17,0),0))</x:f>
        <x:v>335503</x:v>
      </x:c>
      <x:c r="AY165" s="119" t="n">
        <x:f>IF(AV165=0,0,(AV165-IF(7=D165,1,0))*VLOOKUP(INDEX('章节与怪物'!$E$31:$K$37,B165,7),'章节与怪物'!$A$41:$F$44,4,FALSE)+IF(7=D165,'难度参数'!$E$30,0))</x:f>
        <x:v>1254</x:v>
      </x:c>
    </x:row>
    <x:row r="166" ht="23" customHeight="1">
      <x:c r="A166" s="119" t="n">
        <x:v>160</x:v>
      </x:c>
      <x:c r="B166" s="119" t="n">
        <x:f>MOD(INT((A166-1)/5),7)+1</x:f>
        <x:v>4</x:v>
      </x:c>
      <x:c r="C166" s="62" t="str">
        <x:f>INDEX('章节与怪物'!$B$31:$B$37,B166)</x:f>
        <x:v>翠野边城</x:v>
      </x:c>
      <x:c r="D166" s="119" t="n">
        <x:f>MIN('难度参数'!$E$8,MAX('难度参数'!$E$7,A166))</x:f>
        <x:v>7</x:v>
      </x:c>
      <x:c r="E166" s="106" t="n">
        <x:v>1</x:v>
      </x:c>
      <x:c r="F166" s="106" t="n">
        <x:v>0</x:v>
      </x:c>
      <x:c r="G166" s="106" t="n">
        <x:v>1</x:v>
      </x:c>
      <x:c r="H166" s="119" t="n">
        <x:f>SUM(X166,AB166,AF166,AJ166,AN166,AR166,AV166)</x:f>
        <x:v>195</x:v>
      </x:c>
      <x:c r="I166" s="119" t="n">
        <x:f>SUM(Z166,AD166,AH166,AL166,AP166,AT166,AX166)</x:f>
        <x:v>1211560</x:v>
      </x:c>
      <x:c r="J166" s="119" t="n">
        <x:f>ROUND(INDEX(X166:AY166,1,(D166-1)*4+2)*'难度参数'!$E$28*'章节与怪物'!$E$17,0)</x:f>
        <x:v>47104</x:v>
      </x:c>
      <x:c r="K166" s="119" t="n">
        <x:f>SUM(AA166,AE166,AI166,AM166,AQ166,AU166,AY166)</x:f>
        <x:v>5006</x:v>
      </x:c>
      <x:c r="L166" s="62" t="n">
        <x:f>H166*(ROUNDUP('难度参数'!$E$24/('难度参数'!$E$26*'难度参数'!$E$27),0)*'难度参数'!$E$26)/60</x:f>
        <x:v>2.6</x:v>
      </x:c>
      <x:c r="M166" s="62" t="n">
        <x:f>L166+D166*('难度参数'!$E$49+'难度参数'!$E$50)/60</x:f>
        <x:v>3.7666666666666666</x:v>
      </x:c>
      <x:c r="N166" s="119" t="n">
        <x:f>ROUNDDOWN(('经济参数'!$E$20+A166*'经济参数'!$E$21)*G166,0)</x:f>
        <x:v>3380</x:v>
      </x:c>
      <x:c r="O166" s="119" t="n">
        <x:f>ROUNDDOWN(MIN('经济参数'!$E$24,'经济参数'!$E$22+A166*'经济参数'!$E$23)*G166,0)</x:f>
        <x:v>0</x:v>
      </x:c>
      <x:c r="P166" s="119" t="n">
        <x:f>ROUNDDOWN((IF(A166&gt;='材料与任务'!$E$31,'材料与任务'!$E$32,IF(A166&gt;='材料与任务'!$E$25,'材料与任务'!$E$26,IF(A166&gt;='材料与任务'!$E$19,'材料与任务'!$E$20,IF(A166&gt;='材料与任务'!$E$13,'材料与任务'!$E$14,'材料与任务'!$E$8)))))*G166,0)</x:f>
        <x:v>6</x:v>
      </x:c>
      <x:c r="Q166" s="119" t="n">
        <x:f>ROUNDDOWN((IF(A166&gt;='材料与任务'!$E$31,'材料与任务'!$E$33,IF(A166&gt;='材料与任务'!$E$25,'材料与任务'!$E$27,IF(A166&gt;='材料与任务'!$E$19,'材料与任务'!$E$21,IF(A166&gt;='材料与任务'!$E$13,'材料与任务'!$E$15,'材料与任务'!$E$9)))))*G166,0)</x:f>
        <x:v>3</x:v>
      </x:c>
      <x:c r="R166" s="110" t="n">
        <x:f>'装备掉落'!$B$38</x:f>
        <x:v>0.6872058758851213</x:v>
      </x:c>
      <x:c r="S166" s="119" t="n">
        <x:f>MAX(IF(VLOOKUP(A166,'装备掉落'!$A$29:$H$34,2,TRUE)&gt;0,1,0),IF(VLOOKUP(A166,'装备掉落'!$A$29:$H$34,3,TRUE)&gt;0,2,0),IF(VLOOKUP(A166,'装备掉落'!$A$29:$H$34,4,TRUE)&gt;0,3,0),IF(VLOOKUP(A166,'装备掉落'!$A$29:$H$34,5,TRUE)&gt;0,4,0),IF(VLOOKUP(A166,'装备掉落'!$A$29:$H$34,6,TRUE)&gt;0,5,0),IF(VLOOKUP(A166,'装备掉落'!$A$29:$H$34,7,TRUE)&gt;0,6,0),IF(VLOOKUP(A166,'装备掉落'!$A$29:$H$34,8,TRUE)&gt;0,7,0))</x:f>
        <x:v>7</x:v>
      </x:c>
      <x:c r="T166" s="119" t="n">
        <x:f>MIN(7,S166+'经济参数'!$E$70)</x:f>
        <x:v>7</x:v>
      </x:c>
      <x:c r="U166" s="119" t="n">
        <x:f>MIN(7,S166+'经济参数'!$E$71)</x:f>
        <x:v>7</x:v>
      </x:c>
      <x:c r="V166" s="119" t="n">
        <x:f>IF(H166&gt;=('难度参数'!$E$52),1,0)+IF(H166&gt;=('难度参数'!$E$52+'难度参数'!$E$53),1,0)+IF(H166&gt;=('难度参数'!$E$52+'难度参数'!$E$53+'难度参数'!$E$54),1,0)+IF(H166&gt;=('难度参数'!$E$52+'难度参数'!$E$53+'难度参数'!$E$54+'难度参数'!$E$55),1,0)+IF(H166&gt;=('难度参数'!$E$52+'难度参数'!$E$53+'难度参数'!$E$54+'难度参数'!$E$55+'难度参数'!$E$56),1,0)+IF(H166&gt;=('难度参数'!$E$52+'难度参数'!$E$53+'难度参数'!$E$54+'难度参数'!$E$55+'难度参数'!$E$56+'难度参数'!$E$57),1,0)</x:f>
        <x:v>6</x:v>
      </x:c>
      <x:c r="W166" s="62" t="str">
        <x:f>IF(L166&gt;'难度参数'!$E$51,"仅出怪已超目标","还需实测")</x:f>
        <x:v>还需实测</x:v>
      </x:c>
      <x:c r="X166" s="119" t="n">
        <x:f>IF(1&gt;D166,0,MAX(2,MIN('难度参数'!$E$12,ROUND(('难度参数'!$E$18*POWER(A166,'难度参数'!$E$19)/D166*(0.85+0.3*(1-1)/MAX(1,D166-1))),0)+F166)))</x:f>
        <x:v>24</x:v>
      </x:c>
      <x:c r="Y166" s="119" t="n">
        <x:f>IF(1&gt;D166,0,ROUND(('难度参数'!$E$13*POWER(A166,'难度参数'!$E$20)*MIN('难度参数'!$E$23,1+MAX(0,A166-'难度参数'!$E$21)*'难度参数'!$E$22))*(36+1*7)/(36+7*(D166+1)/2)*E166,0))</x:f>
        <x:v>3504</x:v>
      </x:c>
      <x:c r="Z166" s="119" t="n">
        <x:f>IF(X166=0,0,(X166-IF(1=D166,1,0))*ROUND(Y166*VLOOKUP(INDEX('章节与怪物'!$E$31:$K$37,B166,1),'章节与怪物'!$A$41:$F$44,2,FALSE),0)+IF(1=D166,ROUND(Y166*'难度参数'!$E$28*'章节与怪物'!$E$17,0),0))</x:f>
        <x:v>60552</x:v>
      </x:c>
      <x:c r="AA166" s="119" t="n">
        <x:f>IF(X166=0,0,(X166-IF(1=D166,1,0))*VLOOKUP(INDEX('章节与怪物'!$E$31:$K$37,B166,1),'章节与怪物'!$A$41:$F$44,4,FALSE)+IF(1=D166,'难度参数'!$E$30,0))</x:f>
        <x:v>480</x:v>
      </x:c>
      <x:c r="AB166" s="119" t="n">
        <x:f>IF(2&gt;D166,0,MAX(2,MIN('难度参数'!$E$12,ROUND(('难度参数'!$E$18*POWER(A166,'难度参数'!$E$19)/D166*(0.85+0.3*(2-1)/MAX(1,D166-1))),0)+F166)))</x:f>
        <x:v>25</x:v>
      </x:c>
      <x:c r="AC166" s="119" t="n">
        <x:f>IF(2&gt;D166,0,ROUND(('难度参数'!$E$13*POWER(A166,'难度参数'!$E$20)*MIN('难度参数'!$E$23,1+MAX(0,A166-'难度参数'!$E$21)*'难度参数'!$E$22))*(36+2*7)/(36+7*(D166+1)/2)*E166,0))</x:f>
        <x:v>4075</x:v>
      </x:c>
      <x:c r="AD166" s="119" t="n">
        <x:f>IF(AB166=0,0,(AB166-IF(2=D166,1,0))*ROUND(AC166*VLOOKUP(INDEX('章节与怪物'!$E$31:$K$37,B166,2),'章节与怪物'!$A$41:$F$44,2,FALSE),0)+IF(2=D166,ROUND(AC166*'难度参数'!$E$28*'章节与怪物'!$E$17,0),0))</x:f>
        <x:v>101875</x:v>
      </x:c>
      <x:c r="AE166" s="119" t="n">
        <x:f>IF(AB166=0,0,(AB166-IF(2=D166,1,0))*VLOOKUP(INDEX('章节与怪物'!$E$31:$K$37,B166,2),'章节与怪物'!$A$41:$F$44,4,FALSE)+IF(2=D166,'难度参数'!$E$30,0))</x:f>
        <x:v>450</x:v>
      </x:c>
      <x:c r="AF166" s="119" t="n">
        <x:f>IF(3&gt;D166,0,MAX(2,MIN('难度参数'!$E$12,ROUND(('难度参数'!$E$18*POWER(A166,'难度参数'!$E$19)/D166*(0.85+0.3*(3-1)/MAX(1,D166-1))),0)+F166)))</x:f>
        <x:v>26</x:v>
      </x:c>
      <x:c r="AG166" s="119" t="n">
        <x:f>IF(3&gt;D166,0,ROUND(('难度参数'!$E$13*POWER(A166,'难度参数'!$E$20)*MIN('难度参数'!$E$23,1+MAX(0,A166-'难度参数'!$E$21)*'难度参数'!$E$22))*(36+3*7)/(36+7*(D166+1)/2)*E166,0))</x:f>
        <x:v>4645</x:v>
      </x:c>
      <x:c r="AH166" s="119" t="n">
        <x:f>IF(AF166=0,0,(AF166-IF(3=D166,1,0))*ROUND(AG166*VLOOKUP(INDEX('章节与怪物'!$E$31:$K$37,B166,3),'章节与怪物'!$A$41:$F$44,2,FALSE),0)+IF(3=D166,ROUND(AG166*'难度参数'!$E$28*'章节与怪物'!$E$17,0),0))</x:f>
        <x:v>205322</x:v>
      </x:c>
      <x:c r="AI166" s="119" t="n">
        <x:f>IF(AF166=0,0,(AF166-IF(3=D166,1,0))*VLOOKUP(INDEX('章节与怪物'!$E$31:$K$37,B166,3),'章节与怪物'!$A$41:$F$44,4,FALSE)+IF(3=D166,'难度参数'!$E$30,0))</x:f>
        <x:v>728</x:v>
      </x:c>
      <x:c r="AJ166" s="119" t="n">
        <x:f>IF(4&gt;D166,0,MAX(2,MIN('难度参数'!$E$12,ROUND(('难度参数'!$E$18*POWER(A166,'难度参数'!$E$19)/D166*(0.85+0.3*(4-1)/MAX(1,D166-1))),0)+F166)))</x:f>
        <x:v>28</x:v>
      </x:c>
      <x:c r="AK166" s="119" t="n">
        <x:f>IF(4&gt;D166,0,ROUND(('难度参数'!$E$13*POWER(A166,'难度参数'!$E$20)*MIN('难度参数'!$E$23,1+MAX(0,A166-'难度参数'!$E$21)*'难度参数'!$E$22))*(36+4*7)/(36+7*(D166+1)/2)*E166,0))</x:f>
        <x:v>5216</x:v>
      </x:c>
      <x:c r="AL166" s="119" t="n">
        <x:f>IF(AJ166=0,0,(AJ166-IF(4=D166,1,0))*ROUND(AK166*VLOOKUP(INDEX('章节与怪物'!$E$31:$K$37,B166,4),'章节与怪物'!$A$41:$F$44,2,FALSE),0)+IF(4=D166,ROUND(AK166*'难度参数'!$E$28*'章节与怪物'!$E$17,0),0))</x:f>
        <x:v>197176</x:v>
      </x:c>
      <x:c r="AM166" s="119" t="n">
        <x:f>IF(AJ166=0,0,(AJ166-IF(4=D166,1,0))*VLOOKUP(INDEX('章节与怪物'!$E$31:$K$37,B166,4),'章节与怪物'!$A$41:$F$44,4,FALSE)+IF(4=D166,'难度参数'!$E$30,0))</x:f>
        <x:v>952</x:v>
      </x:c>
      <x:c r="AN166" s="119" t="n">
        <x:f>IF(5&gt;D166,0,MAX(2,MIN('难度参数'!$E$12,ROUND(('难度参数'!$E$18*POWER(A166,'难度参数'!$E$19)/D166*(0.85+0.3*(5-1)/MAX(1,D166-1))),0)+F166)))</x:f>
        <x:v>29</x:v>
      </x:c>
      <x:c r="AO166" s="119" t="n">
        <x:f>IF(5&gt;D166,0,ROUND(('难度参数'!$E$13*POWER(A166,'难度参数'!$E$20)*MIN('难度参数'!$E$23,1+MAX(0,A166-'难度参数'!$E$21)*'难度参数'!$E$22))*(36+5*7)/(36+7*(D166+1)/2)*E166,0))</x:f>
        <x:v>5786</x:v>
      </x:c>
      <x:c r="AP166" s="119" t="n">
        <x:f>IF(AN166=0,0,(AN166-IF(5=D166,1,0))*ROUND(AO166*VLOOKUP(INDEX('章节与怪物'!$E$31:$K$37,B166,5),'章节与怪物'!$A$41:$F$44,2,FALSE),0)+IF(5=D166,ROUND(AO166*'难度参数'!$E$28*'章节与怪物'!$E$17,0),0))</x:f>
        <x:v>167794</x:v>
      </x:c>
      <x:c r="AQ166" s="119" t="n">
        <x:f>IF(AN166=0,0,(AN166-IF(5=D166,1,0))*VLOOKUP(INDEX('章节与怪物'!$E$31:$K$37,B166,5),'章节与怪物'!$A$41:$F$44,4,FALSE)+IF(5=D166,'难度参数'!$E$30,0))</x:f>
        <x:v>522</x:v>
      </x:c>
      <x:c r="AR166" s="119" t="n">
        <x:f>IF(6&gt;D166,0,MAX(2,MIN('难度参数'!$E$12,ROUND(('难度参数'!$E$18*POWER(A166,'难度参数'!$E$19)/D166*(0.85+0.3*(6-1)/MAX(1,D166-1))),0)+F166)))</x:f>
        <x:v>31</x:v>
      </x:c>
      <x:c r="AS166" s="119" t="n">
        <x:f>IF(6&gt;D166,0,ROUND(('难度参数'!$E$13*POWER(A166,'难度参数'!$E$20)*MIN('难度参数'!$E$23,1+MAX(0,A166-'难度参数'!$E$21)*'难度参数'!$E$22))*(36+6*7)/(36+7*(D166+1)/2)*E166,0))</x:f>
        <x:v>6356</x:v>
      </x:c>
      <x:c r="AT166" s="119" t="n">
        <x:f>IF(AR166=0,0,(AR166-IF(6=D166,1,0))*ROUND(AS166*VLOOKUP(INDEX('章节与怪物'!$E$31:$K$37,B166,6),'章节与怪物'!$A$41:$F$44,2,FALSE),0)+IF(6=D166,ROUND(AS166*'难度参数'!$E$28*'章节与怪物'!$E$17,0),0))</x:f>
        <x:v>141856</x:v>
      </x:c>
      <x:c r="AU166" s="119" t="n">
        <x:f>IF(AR166=0,0,(AR166-IF(6=D166,1,0))*VLOOKUP(INDEX('章节与怪物'!$E$31:$K$37,B166,6),'章节与怪物'!$A$41:$F$44,4,FALSE)+IF(6=D166,'难度参数'!$E$30,0))</x:f>
        <x:v>620</x:v>
      </x:c>
      <x:c r="AV166" s="119" t="n">
        <x:f>IF(7&gt;D166,0,MAX(2,MIN('难度参数'!$E$12,ROUND(('难度参数'!$E$18*POWER(A166,'难度参数'!$E$19)/D166*(0.85+0.3*(7-1)/MAX(1,D166-1))),0)+F166)))</x:f>
        <x:v>32</x:v>
      </x:c>
      <x:c r="AW166" s="119" t="n">
        <x:f>IF(7&gt;D166,0,ROUND(('难度参数'!$E$13*POWER(A166,'难度参数'!$E$20)*MIN('难度参数'!$E$23,1+MAX(0,A166-'难度参数'!$E$21)*'难度参数'!$E$22))*(36+7*7)/(36+7*(D166+1)/2)*E166,0))</x:f>
        <x:v>6927</x:v>
      </x:c>
      <x:c r="AX166" s="119" t="n">
        <x:f>IF(AV166=0,0,(AV166-IF(7=D166,1,0))*ROUND(AW166*VLOOKUP(INDEX('章节与怪物'!$E$31:$K$37,B166,7),'章节与怪物'!$A$41:$F$44,2,FALSE),0)+IF(7=D166,ROUND(AW166*'难度参数'!$E$28*'章节与怪物'!$E$17,0),0))</x:f>
        <x:v>336985</x:v>
      </x:c>
      <x:c r="AY166" s="119" t="n">
        <x:f>IF(AV166=0,0,(AV166-IF(7=D166,1,0))*VLOOKUP(INDEX('章节与怪物'!$E$31:$K$37,B166,7),'章节与怪物'!$A$41:$F$44,4,FALSE)+IF(7=D166,'难度参数'!$E$30,0))</x:f>
        <x:v>1254</x:v>
      </x:c>
    </x:row>
    <x:row r="167" ht="23" customHeight="1">
      <x:c r="A167" s="119" t="n">
        <x:v>161</x:v>
      </x:c>
      <x:c r="B167" s="119" t="n">
        <x:f>MOD(INT((A167-1)/5),7)+1</x:f>
        <x:v>5</x:v>
      </x:c>
      <x:c r="C167" s="62" t="str">
        <x:f>INDEX('章节与怪物'!$B$31:$B$37,B167)</x:f>
        <x:v>雨林遗迹</x:v>
      </x:c>
      <x:c r="D167" s="119" t="n">
        <x:f>MIN('难度参数'!$E$8,MAX('难度参数'!$E$7,A167))</x:f>
        <x:v>7</x:v>
      </x:c>
      <x:c r="E167" s="106" t="n">
        <x:v>1</x:v>
      </x:c>
      <x:c r="F167" s="106" t="n">
        <x:v>0</x:v>
      </x:c>
      <x:c r="G167" s="106" t="n">
        <x:v>1</x:v>
      </x:c>
      <x:c r="H167" s="119" t="n">
        <x:f>SUM(X167,AB167,AF167,AJ167,AN167,AR167,AV167)</x:f>
        <x:v>196</x:v>
      </x:c>
      <x:c r="I167" s="119" t="n">
        <x:f>SUM(Z167,AD167,AH167,AL167,AP167,AT167,AX167)</x:f>
        <x:v>1366730</x:v>
      </x:c>
      <x:c r="J167" s="119" t="n">
        <x:f>ROUND(INDEX(X167:AY167,1,(D167-1)*4+2)*'难度参数'!$E$28*'章节与怪物'!$E$17,0)</x:f>
        <x:v>47314</x:v>
      </x:c>
      <x:c r="K167" s="119" t="n">
        <x:f>SUM(AA167,AE167,AI167,AM167,AQ167,AU167,AY167)</x:f>
        <x:v>5342</x:v>
      </x:c>
      <x:c r="L167" s="62" t="n">
        <x:f>H167*(ROUNDUP('难度参数'!$E$24/('难度参数'!$E$26*'难度参数'!$E$27),0)*'难度参数'!$E$26)/60</x:f>
        <x:v>2.6133333333333337</x:v>
      </x:c>
      <x:c r="M167" s="62" t="n">
        <x:f>L167+D167*('难度参数'!$E$49+'难度参数'!$E$50)/60</x:f>
        <x:v>3.7800000000000002</x:v>
      </x:c>
      <x:c r="N167" s="119" t="n">
        <x:f>ROUNDDOWN(('经济参数'!$E$20+A167*'经济参数'!$E$21)*G167,0)</x:f>
        <x:v>3400</x:v>
      </x:c>
      <x:c r="O167" s="119" t="n">
        <x:f>ROUNDDOWN(MIN('经济参数'!$E$24,'经济参数'!$E$22+A167*'经济参数'!$E$23)*G167,0)</x:f>
        <x:v>0</x:v>
      </x:c>
      <x:c r="P167" s="119" t="n">
        <x:f>ROUNDDOWN((IF(A167&gt;='材料与任务'!$E$31,'材料与任务'!$E$32,IF(A167&gt;='材料与任务'!$E$25,'材料与任务'!$E$26,IF(A167&gt;='材料与任务'!$E$19,'材料与任务'!$E$20,IF(A167&gt;='材料与任务'!$E$13,'材料与任务'!$E$14,'材料与任务'!$E$8)))))*G167,0)</x:f>
        <x:v>6</x:v>
      </x:c>
      <x:c r="Q167" s="119" t="n">
        <x:f>ROUNDDOWN((IF(A167&gt;='材料与任务'!$E$31,'材料与任务'!$E$33,IF(A167&gt;='材料与任务'!$E$25,'材料与任务'!$E$27,IF(A167&gt;='材料与任务'!$E$19,'材料与任务'!$E$21,IF(A167&gt;='材料与任务'!$E$13,'材料与任务'!$E$15,'材料与任务'!$E$9)))))*G167,0)</x:f>
        <x:v>3</x:v>
      </x:c>
      <x:c r="R167" s="110" t="n">
        <x:f>'装备掉落'!$B$38</x:f>
        <x:v>0.6872058758851213</x:v>
      </x:c>
      <x:c r="S167" s="119" t="n">
        <x:f>MAX(IF(VLOOKUP(A167,'装备掉落'!$A$29:$H$34,2,TRUE)&gt;0,1,0),IF(VLOOKUP(A167,'装备掉落'!$A$29:$H$34,3,TRUE)&gt;0,2,0),IF(VLOOKUP(A167,'装备掉落'!$A$29:$H$34,4,TRUE)&gt;0,3,0),IF(VLOOKUP(A167,'装备掉落'!$A$29:$H$34,5,TRUE)&gt;0,4,0),IF(VLOOKUP(A167,'装备掉落'!$A$29:$H$34,6,TRUE)&gt;0,5,0),IF(VLOOKUP(A167,'装备掉落'!$A$29:$H$34,7,TRUE)&gt;0,6,0),IF(VLOOKUP(A167,'装备掉落'!$A$29:$H$34,8,TRUE)&gt;0,7,0))</x:f>
        <x:v>7</x:v>
      </x:c>
      <x:c r="T167" s="119" t="n">
        <x:f>MIN(7,S167+'经济参数'!$E$70)</x:f>
        <x:v>7</x:v>
      </x:c>
      <x:c r="U167" s="119" t="n">
        <x:f>MIN(7,S167+'经济参数'!$E$71)</x:f>
        <x:v>7</x:v>
      </x:c>
      <x:c r="V167" s="119" t="n">
        <x:f>IF(H167&gt;=('难度参数'!$E$52),1,0)+IF(H167&gt;=('难度参数'!$E$52+'难度参数'!$E$53),1,0)+IF(H167&gt;=('难度参数'!$E$52+'难度参数'!$E$53+'难度参数'!$E$54),1,0)+IF(H167&gt;=('难度参数'!$E$52+'难度参数'!$E$53+'难度参数'!$E$54+'难度参数'!$E$55),1,0)+IF(H167&gt;=('难度参数'!$E$52+'难度参数'!$E$53+'难度参数'!$E$54+'难度参数'!$E$55+'难度参数'!$E$56),1,0)+IF(H167&gt;=('难度参数'!$E$52+'难度参数'!$E$53+'难度参数'!$E$54+'难度参数'!$E$55+'难度参数'!$E$56+'难度参数'!$E$57),1,0)</x:f>
        <x:v>6</x:v>
      </x:c>
      <x:c r="W167" s="62" t="str">
        <x:f>IF(L167&gt;'难度参数'!$E$51,"仅出怪已超目标","还需实测")</x:f>
        <x:v>还需实测</x:v>
      </x:c>
      <x:c r="X167" s="119" t="n">
        <x:f>IF(1&gt;D167,0,MAX(2,MIN('难度参数'!$E$12,ROUND(('难度参数'!$E$18*POWER(A167,'难度参数'!$E$19)/D167*(0.85+0.3*(1-1)/MAX(1,D167-1))),0)+F167)))</x:f>
        <x:v>24</x:v>
      </x:c>
      <x:c r="Y167" s="119" t="n">
        <x:f>IF(1&gt;D167,0,ROUND(('难度参数'!$E$13*POWER(A167,'难度参数'!$E$20)*MIN('难度参数'!$E$23,1+MAX(0,A167-'难度参数'!$E$21)*'难度参数'!$E$22))*(36+1*7)/(36+7*(D167+1)/2)*E167,0))</x:f>
        <x:v>3520</x:v>
      </x:c>
      <x:c r="Z167" s="119" t="n">
        <x:f>IF(X167=0,0,(X167-IF(1=D167,1,0))*ROUND(Y167*VLOOKUP(INDEX('章节与怪物'!$E$31:$K$37,B167,1),'章节与怪物'!$A$41:$F$44,2,FALSE),0)+IF(1=D167,ROUND(Y167*'难度参数'!$E$28*'章节与怪物'!$E$17,0),0))</x:f>
        <x:v>84480</x:v>
      </x:c>
      <x:c r="AA167" s="119" t="n">
        <x:f>IF(X167=0,0,(X167-IF(1=D167,1,0))*VLOOKUP(INDEX('章节与怪物'!$E$31:$K$37,B167,1),'章节与怪物'!$A$41:$F$44,4,FALSE)+IF(1=D167,'难度参数'!$E$30,0))</x:f>
        <x:v>432</x:v>
      </x:c>
      <x:c r="AB167" s="119" t="n">
        <x:f>IF(2&gt;D167,0,MAX(2,MIN('难度参数'!$E$12,ROUND(('难度参数'!$E$18*POWER(A167,'难度参数'!$E$19)/D167*(0.85+0.3*(2-1)/MAX(1,D167-1))),0)+F167)))</x:f>
        <x:v>25</x:v>
      </x:c>
      <x:c r="AC167" s="119" t="n">
        <x:f>IF(2&gt;D167,0,ROUND(('难度参数'!$E$13*POWER(A167,'难度参数'!$E$20)*MIN('难度参数'!$E$23,1+MAX(0,A167-'难度参数'!$E$21)*'难度参数'!$E$22))*(36+2*7)/(36+7*(D167+1)/2)*E167,0))</x:f>
        <x:v>4093</x:v>
      </x:c>
      <x:c r="AD167" s="119" t="n">
        <x:f>IF(AB167=0,0,(AB167-IF(2=D167,1,0))*ROUND(AC167*VLOOKUP(INDEX('章节与怪物'!$E$31:$K$37,B167,2),'章节与怪物'!$A$41:$F$44,2,FALSE),0)+IF(2=D167,ROUND(AC167*'难度参数'!$E$28*'章节与怪物'!$E$17,0),0))</x:f>
        <x:v>73675</x:v>
      </x:c>
      <x:c r="AE167" s="119" t="n">
        <x:f>IF(AB167=0,0,(AB167-IF(2=D167,1,0))*VLOOKUP(INDEX('章节与怪物'!$E$31:$K$37,B167,2),'章节与怪物'!$A$41:$F$44,4,FALSE)+IF(2=D167,'难度参数'!$E$30,0))</x:f>
        <x:v>500</x:v>
      </x:c>
      <x:c r="AF167" s="119" t="n">
        <x:f>IF(3&gt;D167,0,MAX(2,MIN('难度参数'!$E$12,ROUND(('难度参数'!$E$18*POWER(A167,'难度参数'!$E$19)/D167*(0.85+0.3*(3-1)/MAX(1,D167-1))),0)+F167)))</x:f>
        <x:v>27</x:v>
      </x:c>
      <x:c r="AG167" s="119" t="n">
        <x:f>IF(3&gt;D167,0,ROUND(('难度参数'!$E$13*POWER(A167,'难度参数'!$E$20)*MIN('难度参数'!$E$23,1+MAX(0,A167-'难度参数'!$E$21)*'难度参数'!$E$22))*(36+3*7)/(36+7*(D167+1)/2)*E167,0))</x:f>
        <x:v>4666</x:v>
      </x:c>
      <x:c r="AH167" s="119" t="n">
        <x:f>IF(AF167=0,0,(AF167-IF(3=D167,1,0))*ROUND(AG167*VLOOKUP(INDEX('章节与怪物'!$E$31:$K$37,B167,3),'章节与怪物'!$A$41:$F$44,2,FALSE),0)+IF(3=D167,ROUND(AG167*'难度参数'!$E$28*'章节与怪物'!$E$17,0),0))</x:f>
        <x:v>214164</x:v>
      </x:c>
      <x:c r="AI167" s="119" t="n">
        <x:f>IF(AF167=0,0,(AF167-IF(3=D167,1,0))*VLOOKUP(INDEX('章节与怪物'!$E$31:$K$37,B167,3),'章节与怪物'!$A$41:$F$44,4,FALSE)+IF(3=D167,'难度参数'!$E$30,0))</x:f>
        <x:v>756</x:v>
      </x:c>
      <x:c r="AJ167" s="119" t="n">
        <x:f>IF(4&gt;D167,0,MAX(2,MIN('难度参数'!$E$12,ROUND(('难度参数'!$E$18*POWER(A167,'难度参数'!$E$19)/D167*(0.85+0.3*(4-1)/MAX(1,D167-1))),0)+F167)))</x:f>
        <x:v>28</x:v>
      </x:c>
      <x:c r="AK167" s="119" t="n">
        <x:f>IF(4&gt;D167,0,ROUND(('难度参数'!$E$13*POWER(A167,'难度参数'!$E$20)*MIN('难度参数'!$E$23,1+MAX(0,A167-'难度参数'!$E$21)*'难度参数'!$E$22))*(36+4*7)/(36+7*(D167+1)/2)*E167,0))</x:f>
        <x:v>5239</x:v>
      </x:c>
      <x:c r="AL167" s="119" t="n">
        <x:f>IF(AJ167=0,0,(AJ167-IF(4=D167,1,0))*ROUND(AK167*VLOOKUP(INDEX('章节与怪物'!$E$31:$K$37,B167,4),'章节与怪物'!$A$41:$F$44,2,FALSE),0)+IF(4=D167,ROUND(AK167*'难度参数'!$E$28*'章节与怪物'!$E$17,0),0))</x:f>
        <x:v>198044</x:v>
      </x:c>
      <x:c r="AM167" s="119" t="n">
        <x:f>IF(AJ167=0,0,(AJ167-IF(4=D167,1,0))*VLOOKUP(INDEX('章节与怪物'!$E$31:$K$37,B167,4),'章节与怪物'!$A$41:$F$44,4,FALSE)+IF(4=D167,'难度参数'!$E$30,0))</x:f>
        <x:v>952</x:v>
      </x:c>
      <x:c r="AN167" s="119" t="n">
        <x:f>IF(5&gt;D167,0,MAX(2,MIN('难度参数'!$E$12,ROUND(('难度参数'!$E$18*POWER(A167,'难度参数'!$E$19)/D167*(0.85+0.3*(5-1)/MAX(1,D167-1))),0)+F167)))</x:f>
        <x:v>29</x:v>
      </x:c>
      <x:c r="AO167" s="119" t="n">
        <x:f>IF(5&gt;D167,0,ROUND(('难度参数'!$E$13*POWER(A167,'难度参数'!$E$20)*MIN('难度参数'!$E$23,1+MAX(0,A167-'难度参数'!$E$21)*'难度参数'!$E$22))*(36+5*7)/(36+7*(D167+1)/2)*E167,0))</x:f>
        <x:v>5812</x:v>
      </x:c>
      <x:c r="AP167" s="119" t="n">
        <x:f>IF(AN167=0,0,(AN167-IF(5=D167,1,0))*ROUND(AO167*VLOOKUP(INDEX('章节与怪物'!$E$31:$K$37,B167,5),'章节与怪物'!$A$41:$F$44,2,FALSE),0)+IF(5=D167,ROUND(AO167*'难度参数'!$E$28*'章节与怪物'!$E$17,0),0))</x:f>
        <x:v>121365</x:v>
      </x:c>
      <x:c r="AQ167" s="119" t="n">
        <x:f>IF(AN167=0,0,(AN167-IF(5=D167,1,0))*VLOOKUP(INDEX('章节与怪物'!$E$31:$K$37,B167,5),'章节与怪物'!$A$41:$F$44,4,FALSE)+IF(5=D167,'难度参数'!$E$30,0))</x:f>
        <x:v>580</x:v>
      </x:c>
      <x:c r="AR167" s="119" t="n">
        <x:f>IF(6&gt;D167,0,MAX(2,MIN('难度参数'!$E$12,ROUND(('难度参数'!$E$18*POWER(A167,'难度参数'!$E$19)/D167*(0.85+0.3*(6-1)/MAX(1,D167-1))),0)+F167)))</x:f>
        <x:v>31</x:v>
      </x:c>
      <x:c r="AS167" s="119" t="n">
        <x:f>IF(6&gt;D167,0,ROUND(('难度参数'!$E$13*POWER(A167,'难度参数'!$E$20)*MIN('难度参数'!$E$23,1+MAX(0,A167-'难度参数'!$E$21)*'难度参数'!$E$22))*(36+6*7)/(36+7*(D167+1)/2)*E167,0))</x:f>
        <x:v>6385</x:v>
      </x:c>
      <x:c r="AT167" s="119" t="n">
        <x:f>IF(AR167=0,0,(AR167-IF(6=D167,1,0))*ROUND(AS167*VLOOKUP(INDEX('章节与怪物'!$E$31:$K$37,B167,6),'章节与怪物'!$A$41:$F$44,2,FALSE),0)+IF(6=D167,ROUND(AS167*'难度参数'!$E$28*'章节与怪物'!$E$17,0),0))</x:f>
        <x:v>336505</x:v>
      </x:c>
      <x:c r="AU167" s="119" t="n">
        <x:f>IF(AR167=0,0,(AR167-IF(6=D167,1,0))*VLOOKUP(INDEX('章节与怪物'!$E$31:$K$37,B167,6),'章节与怪物'!$A$41:$F$44,4,FALSE)+IF(6=D167,'难度参数'!$E$30,0))</x:f>
        <x:v>868</x:v>
      </x:c>
      <x:c r="AV167" s="119" t="n">
        <x:f>IF(7&gt;D167,0,MAX(2,MIN('难度参数'!$E$12,ROUND(('难度参数'!$E$18*POWER(A167,'难度参数'!$E$19)/D167*(0.85+0.3*(7-1)/MAX(1,D167-1))),0)+F167)))</x:f>
        <x:v>32</x:v>
      </x:c>
      <x:c r="AW167" s="119" t="n">
        <x:f>IF(7&gt;D167,0,ROUND(('难度参数'!$E$13*POWER(A167,'难度参数'!$E$20)*MIN('难度参数'!$E$23,1+MAX(0,A167-'难度参数'!$E$21)*'难度参数'!$E$22))*(36+7*7)/(36+7*(D167+1)/2)*E167,0))</x:f>
        <x:v>6958</x:v>
      </x:c>
      <x:c r="AX167" s="119" t="n">
        <x:f>IF(AV167=0,0,(AV167-IF(7=D167,1,0))*ROUND(AW167*VLOOKUP(INDEX('章节与怪物'!$E$31:$K$37,B167,7),'章节与怪物'!$A$41:$F$44,2,FALSE),0)+IF(7=D167,ROUND(AW167*'难度参数'!$E$28*'章节与怪物'!$E$17,0),0))</x:f>
        <x:v>338497</x:v>
      </x:c>
      <x:c r="AY167" s="119" t="n">
        <x:f>IF(AV167=0,0,(AV167-IF(7=D167,1,0))*VLOOKUP(INDEX('章节与怪物'!$E$31:$K$37,B167,7),'章节与怪物'!$A$41:$F$44,4,FALSE)+IF(7=D167,'难度参数'!$E$30,0))</x:f>
        <x:v>1254</x:v>
      </x:c>
    </x:row>
    <x:row r="168" ht="23" customHeight="1">
      <x:c r="A168" s="119" t="n">
        <x:v>162</x:v>
      </x:c>
      <x:c r="B168" s="119" t="n">
        <x:f>MOD(INT((A168-1)/5),7)+1</x:f>
        <x:v>5</x:v>
      </x:c>
      <x:c r="C168" s="62" t="str">
        <x:f>INDEX('章节与怪物'!$B$31:$B$37,B168)</x:f>
        <x:v>雨林遗迹</x:v>
      </x:c>
      <x:c r="D168" s="119" t="n">
        <x:f>MIN('难度参数'!$E$8,MAX('难度参数'!$E$7,A168))</x:f>
        <x:v>7</x:v>
      </x:c>
      <x:c r="E168" s="106" t="n">
        <x:v>1</x:v>
      </x:c>
      <x:c r="F168" s="106" t="n">
        <x:v>0</x:v>
      </x:c>
      <x:c r="G168" s="106" t="n">
        <x:v>1</x:v>
      </x:c>
      <x:c r="H168" s="119" t="n">
        <x:f>SUM(X168,AB168,AF168,AJ168,AN168,AR168,AV168)</x:f>
        <x:v>196</x:v>
      </x:c>
      <x:c r="I168" s="119" t="n">
        <x:f>SUM(Z168,AD168,AH168,AL168,AP168,AT168,AX168)</x:f>
        <x:v>1372833</x:v>
      </x:c>
      <x:c r="J168" s="119" t="n">
        <x:f>ROUND(INDEX(X168:AY168,1,(D168-1)*4+2)*'难度参数'!$E$28*'章节与怪物'!$E$17,0)</x:f>
        <x:v>47525</x:v>
      </x:c>
      <x:c r="K168" s="119" t="n">
        <x:f>SUM(AA168,AE168,AI168,AM168,AQ168,AU168,AY168)</x:f>
        <x:v>5342</x:v>
      </x:c>
      <x:c r="L168" s="62" t="n">
        <x:f>H168*(ROUNDUP('难度参数'!$E$24/('难度参数'!$E$26*'难度参数'!$E$27),0)*'难度参数'!$E$26)/60</x:f>
        <x:v>2.6133333333333337</x:v>
      </x:c>
      <x:c r="M168" s="62" t="n">
        <x:f>L168+D168*('难度参数'!$E$49+'难度参数'!$E$50)/60</x:f>
        <x:v>3.7800000000000002</x:v>
      </x:c>
      <x:c r="N168" s="119" t="n">
        <x:f>ROUNDDOWN(('经济参数'!$E$20+A168*'经济参数'!$E$21)*G168,0)</x:f>
        <x:v>3420</x:v>
      </x:c>
      <x:c r="O168" s="119" t="n">
        <x:f>ROUNDDOWN(MIN('经济参数'!$E$24,'经济参数'!$E$22+A168*'经济参数'!$E$23)*G168,0)</x:f>
        <x:v>0</x:v>
      </x:c>
      <x:c r="P168" s="119" t="n">
        <x:f>ROUNDDOWN((IF(A168&gt;='材料与任务'!$E$31,'材料与任务'!$E$32,IF(A168&gt;='材料与任务'!$E$25,'材料与任务'!$E$26,IF(A168&gt;='材料与任务'!$E$19,'材料与任务'!$E$20,IF(A168&gt;='材料与任务'!$E$13,'材料与任务'!$E$14,'材料与任务'!$E$8)))))*G168,0)</x:f>
        <x:v>6</x:v>
      </x:c>
      <x:c r="Q168" s="119" t="n">
        <x:f>ROUNDDOWN((IF(A168&gt;='材料与任务'!$E$31,'材料与任务'!$E$33,IF(A168&gt;='材料与任务'!$E$25,'材料与任务'!$E$27,IF(A168&gt;='材料与任务'!$E$19,'材料与任务'!$E$21,IF(A168&gt;='材料与任务'!$E$13,'材料与任务'!$E$15,'材料与任务'!$E$9)))))*G168,0)</x:f>
        <x:v>3</x:v>
      </x:c>
      <x:c r="R168" s="110" t="n">
        <x:f>'装备掉落'!$B$38</x:f>
        <x:v>0.6872058758851213</x:v>
      </x:c>
      <x:c r="S168" s="119" t="n">
        <x:f>MAX(IF(VLOOKUP(A168,'装备掉落'!$A$29:$H$34,2,TRUE)&gt;0,1,0),IF(VLOOKUP(A168,'装备掉落'!$A$29:$H$34,3,TRUE)&gt;0,2,0),IF(VLOOKUP(A168,'装备掉落'!$A$29:$H$34,4,TRUE)&gt;0,3,0),IF(VLOOKUP(A168,'装备掉落'!$A$29:$H$34,5,TRUE)&gt;0,4,0),IF(VLOOKUP(A168,'装备掉落'!$A$29:$H$34,6,TRUE)&gt;0,5,0),IF(VLOOKUP(A168,'装备掉落'!$A$29:$H$34,7,TRUE)&gt;0,6,0),IF(VLOOKUP(A168,'装备掉落'!$A$29:$H$34,8,TRUE)&gt;0,7,0))</x:f>
        <x:v>7</x:v>
      </x:c>
      <x:c r="T168" s="119" t="n">
        <x:f>MIN(7,S168+'经济参数'!$E$70)</x:f>
        <x:v>7</x:v>
      </x:c>
      <x:c r="U168" s="119" t="n">
        <x:f>MIN(7,S168+'经济参数'!$E$71)</x:f>
        <x:v>7</x:v>
      </x:c>
      <x:c r="V168" s="119" t="n">
        <x:f>IF(H168&gt;=('难度参数'!$E$52),1,0)+IF(H168&gt;=('难度参数'!$E$52+'难度参数'!$E$53),1,0)+IF(H168&gt;=('难度参数'!$E$52+'难度参数'!$E$53+'难度参数'!$E$54),1,0)+IF(H168&gt;=('难度参数'!$E$52+'难度参数'!$E$53+'难度参数'!$E$54+'难度参数'!$E$55),1,0)+IF(H168&gt;=('难度参数'!$E$52+'难度参数'!$E$53+'难度参数'!$E$54+'难度参数'!$E$55+'难度参数'!$E$56),1,0)+IF(H168&gt;=('难度参数'!$E$52+'难度参数'!$E$53+'难度参数'!$E$54+'难度参数'!$E$55+'难度参数'!$E$56+'难度参数'!$E$57),1,0)</x:f>
        <x:v>6</x:v>
      </x:c>
      <x:c r="W168" s="62" t="str">
        <x:f>IF(L168&gt;'难度参数'!$E$51,"仅出怪已超目标","还需实测")</x:f>
        <x:v>还需实测</x:v>
      </x:c>
      <x:c r="X168" s="119" t="n">
        <x:f>IF(1&gt;D168,0,MAX(2,MIN('难度参数'!$E$12,ROUND(('难度参数'!$E$18*POWER(A168,'难度参数'!$E$19)/D168*(0.85+0.3*(1-1)/MAX(1,D168-1))),0)+F168)))</x:f>
        <x:v>24</x:v>
      </x:c>
      <x:c r="Y168" s="119" t="n">
        <x:f>IF(1&gt;D168,0,ROUND(('难度参数'!$E$13*POWER(A168,'难度参数'!$E$20)*MIN('难度参数'!$E$23,1+MAX(0,A168-'难度参数'!$E$21)*'难度参数'!$E$22))*(36+1*7)/(36+7*(D168+1)/2)*E168,0))</x:f>
        <x:v>3536</x:v>
      </x:c>
      <x:c r="Z168" s="119" t="n">
        <x:f>IF(X168=0,0,(X168-IF(1=D168,1,0))*ROUND(Y168*VLOOKUP(INDEX('章节与怪物'!$E$31:$K$37,B168,1),'章节与怪物'!$A$41:$F$44,2,FALSE),0)+IF(1=D168,ROUND(Y168*'难度参数'!$E$28*'章节与怪物'!$E$17,0),0))</x:f>
        <x:v>84864</x:v>
      </x:c>
      <x:c r="AA168" s="119" t="n">
        <x:f>IF(X168=0,0,(X168-IF(1=D168,1,0))*VLOOKUP(INDEX('章节与怪物'!$E$31:$K$37,B168,1),'章节与怪物'!$A$41:$F$44,4,FALSE)+IF(1=D168,'难度参数'!$E$30,0))</x:f>
        <x:v>432</x:v>
      </x:c>
      <x:c r="AB168" s="119" t="n">
        <x:f>IF(2&gt;D168,0,MAX(2,MIN('难度参数'!$E$12,ROUND(('难度参数'!$E$18*POWER(A168,'难度参数'!$E$19)/D168*(0.85+0.3*(2-1)/MAX(1,D168-1))),0)+F168)))</x:f>
        <x:v>25</x:v>
      </x:c>
      <x:c r="AC168" s="119" t="n">
        <x:f>IF(2&gt;D168,0,ROUND(('难度参数'!$E$13*POWER(A168,'难度参数'!$E$20)*MIN('难度参数'!$E$23,1+MAX(0,A168-'难度参数'!$E$21)*'难度参数'!$E$22))*(36+2*7)/(36+7*(D168+1)/2)*E168,0))</x:f>
        <x:v>4111</x:v>
      </x:c>
      <x:c r="AD168" s="119" t="n">
        <x:f>IF(AB168=0,0,(AB168-IF(2=D168,1,0))*ROUND(AC168*VLOOKUP(INDEX('章节与怪物'!$E$31:$K$37,B168,2),'章节与怪物'!$A$41:$F$44,2,FALSE),0)+IF(2=D168,ROUND(AC168*'难度参数'!$E$28*'章节与怪物'!$E$17,0),0))</x:f>
        <x:v>74000</x:v>
      </x:c>
      <x:c r="AE168" s="119" t="n">
        <x:f>IF(AB168=0,0,(AB168-IF(2=D168,1,0))*VLOOKUP(INDEX('章节与怪物'!$E$31:$K$37,B168,2),'章节与怪物'!$A$41:$F$44,4,FALSE)+IF(2=D168,'难度参数'!$E$30,0))</x:f>
        <x:v>500</x:v>
      </x:c>
      <x:c r="AF168" s="119" t="n">
        <x:f>IF(3&gt;D168,0,MAX(2,MIN('难度参数'!$E$12,ROUND(('难度参数'!$E$18*POWER(A168,'难度参数'!$E$19)/D168*(0.85+0.3*(3-1)/MAX(1,D168-1))),0)+F168)))</x:f>
        <x:v>27</x:v>
      </x:c>
      <x:c r="AG168" s="119" t="n">
        <x:f>IF(3&gt;D168,0,ROUND(('难度参数'!$E$13*POWER(A168,'难度参数'!$E$20)*MIN('难度参数'!$E$23,1+MAX(0,A168-'难度参数'!$E$21)*'难度参数'!$E$22))*(36+3*7)/(36+7*(D168+1)/2)*E168,0))</x:f>
        <x:v>4687</x:v>
      </x:c>
      <x:c r="AH168" s="119" t="n">
        <x:f>IF(AF168=0,0,(AF168-IF(3=D168,1,0))*ROUND(AG168*VLOOKUP(INDEX('章节与怪物'!$E$31:$K$37,B168,3),'章节与怪物'!$A$41:$F$44,2,FALSE),0)+IF(3=D168,ROUND(AG168*'难度参数'!$E$28*'章节与怪物'!$E$17,0),0))</x:f>
        <x:v>215136</x:v>
      </x:c>
      <x:c r="AI168" s="119" t="n">
        <x:f>IF(AF168=0,0,(AF168-IF(3=D168,1,0))*VLOOKUP(INDEX('章节与怪物'!$E$31:$K$37,B168,3),'章节与怪物'!$A$41:$F$44,4,FALSE)+IF(3=D168,'难度参数'!$E$30,0))</x:f>
        <x:v>756</x:v>
      </x:c>
      <x:c r="AJ168" s="119" t="n">
        <x:f>IF(4&gt;D168,0,MAX(2,MIN('难度参数'!$E$12,ROUND(('难度参数'!$E$18*POWER(A168,'难度参数'!$E$19)/D168*(0.85+0.3*(4-1)/MAX(1,D168-1))),0)+F168)))</x:f>
        <x:v>28</x:v>
      </x:c>
      <x:c r="AK168" s="119" t="n">
        <x:f>IF(4&gt;D168,0,ROUND(('难度参数'!$E$13*POWER(A168,'难度参数'!$E$20)*MIN('难度参数'!$E$23,1+MAX(0,A168-'难度参数'!$E$21)*'难度参数'!$E$22))*(36+4*7)/(36+7*(D168+1)/2)*E168,0))</x:f>
        <x:v>5262</x:v>
      </x:c>
      <x:c r="AL168" s="119" t="n">
        <x:f>IF(AJ168=0,0,(AJ168-IF(4=D168,1,0))*ROUND(AK168*VLOOKUP(INDEX('章节与怪物'!$E$31:$K$37,B168,4),'章节与怪物'!$A$41:$F$44,2,FALSE),0)+IF(4=D168,ROUND(AK168*'难度参数'!$E$28*'章节与怪物'!$E$17,0),0))</x:f>
        <x:v>198912</x:v>
      </x:c>
      <x:c r="AM168" s="119" t="n">
        <x:f>IF(AJ168=0,0,(AJ168-IF(4=D168,1,0))*VLOOKUP(INDEX('章节与怪物'!$E$31:$K$37,B168,4),'章节与怪物'!$A$41:$F$44,4,FALSE)+IF(4=D168,'难度参数'!$E$30,0))</x:f>
        <x:v>952</x:v>
      </x:c>
      <x:c r="AN168" s="119" t="n">
        <x:f>IF(5&gt;D168,0,MAX(2,MIN('难度参数'!$E$12,ROUND(('难度参数'!$E$18*POWER(A168,'难度参数'!$E$19)/D168*(0.85+0.3*(5-1)/MAX(1,D168-1))),0)+F168)))</x:f>
        <x:v>29</x:v>
      </x:c>
      <x:c r="AO168" s="119" t="n">
        <x:f>IF(5&gt;D168,0,ROUND(('难度参数'!$E$13*POWER(A168,'难度参数'!$E$20)*MIN('难度参数'!$E$23,1+MAX(0,A168-'难度参数'!$E$21)*'难度参数'!$E$22))*(36+5*7)/(36+7*(D168+1)/2)*E168,0))</x:f>
        <x:v>5838</x:v>
      </x:c>
      <x:c r="AP168" s="119" t="n">
        <x:f>IF(AN168=0,0,(AN168-IF(5=D168,1,0))*ROUND(AO168*VLOOKUP(INDEX('章节与怪物'!$E$31:$K$37,B168,5),'章节与怪物'!$A$41:$F$44,2,FALSE),0)+IF(5=D168,ROUND(AO168*'难度参数'!$E$28*'章节与怪物'!$E$17,0),0))</x:f>
        <x:v>121887</x:v>
      </x:c>
      <x:c r="AQ168" s="119" t="n">
        <x:f>IF(AN168=0,0,(AN168-IF(5=D168,1,0))*VLOOKUP(INDEX('章节与怪物'!$E$31:$K$37,B168,5),'章节与怪物'!$A$41:$F$44,4,FALSE)+IF(5=D168,'难度参数'!$E$30,0))</x:f>
        <x:v>580</x:v>
      </x:c>
      <x:c r="AR168" s="119" t="n">
        <x:f>IF(6&gt;D168,0,MAX(2,MIN('难度参数'!$E$12,ROUND(('难度参数'!$E$18*POWER(A168,'难度参数'!$E$19)/D168*(0.85+0.3*(6-1)/MAX(1,D168-1))),0)+F168)))</x:f>
        <x:v>31</x:v>
      </x:c>
      <x:c r="AS168" s="119" t="n">
        <x:f>IF(6&gt;D168,0,ROUND(('难度参数'!$E$13*POWER(A168,'难度参数'!$E$20)*MIN('难度参数'!$E$23,1+MAX(0,A168-'难度参数'!$E$21)*'难度参数'!$E$22))*(36+6*7)/(36+7*(D168+1)/2)*E168,0))</x:f>
        <x:v>6414</x:v>
      </x:c>
      <x:c r="AT168" s="119" t="n">
        <x:f>IF(AR168=0,0,(AR168-IF(6=D168,1,0))*ROUND(AS168*VLOOKUP(INDEX('章节与怪物'!$E$31:$K$37,B168,6),'章节与怪物'!$A$41:$F$44,2,FALSE),0)+IF(6=D168,ROUND(AS168*'难度参数'!$E$28*'章节与怪物'!$E$17,0),0))</x:f>
        <x:v>338024</x:v>
      </x:c>
      <x:c r="AU168" s="119" t="n">
        <x:f>IF(AR168=0,0,(AR168-IF(6=D168,1,0))*VLOOKUP(INDEX('章节与怪物'!$E$31:$K$37,B168,6),'章节与怪物'!$A$41:$F$44,4,FALSE)+IF(6=D168,'难度参数'!$E$30,0))</x:f>
        <x:v>868</x:v>
      </x:c>
      <x:c r="AV168" s="119" t="n">
        <x:f>IF(7&gt;D168,0,MAX(2,MIN('难度参数'!$E$12,ROUND(('难度参数'!$E$18*POWER(A168,'难度参数'!$E$19)/D168*(0.85+0.3*(7-1)/MAX(1,D168-1))),0)+F168)))</x:f>
        <x:v>32</x:v>
      </x:c>
      <x:c r="AW168" s="119" t="n">
        <x:f>IF(7&gt;D168,0,ROUND(('难度参数'!$E$13*POWER(A168,'难度参数'!$E$20)*MIN('难度参数'!$E$23,1+MAX(0,A168-'难度参数'!$E$21)*'难度参数'!$E$22))*(36+7*7)/(36+7*(D168+1)/2)*E168,0))</x:f>
        <x:v>6989</x:v>
      </x:c>
      <x:c r="AX168" s="119" t="n">
        <x:f>IF(AV168=0,0,(AV168-IF(7=D168,1,0))*ROUND(AW168*VLOOKUP(INDEX('章节与怪物'!$E$31:$K$37,B168,7),'章节与怪物'!$A$41:$F$44,2,FALSE),0)+IF(7=D168,ROUND(AW168*'难度参数'!$E$28*'章节与怪物'!$E$17,0),0))</x:f>
        <x:v>340010</x:v>
      </x:c>
      <x:c r="AY168" s="119" t="n">
        <x:f>IF(AV168=0,0,(AV168-IF(7=D168,1,0))*VLOOKUP(INDEX('章节与怪物'!$E$31:$K$37,B168,7),'章节与怪物'!$A$41:$F$44,4,FALSE)+IF(7=D168,'难度参数'!$E$30,0))</x:f>
        <x:v>1254</x:v>
      </x:c>
    </x:row>
    <x:row r="169" ht="23" customHeight="1">
      <x:c r="A169" s="119" t="n">
        <x:v>163</x:v>
      </x:c>
      <x:c r="B169" s="119" t="n">
        <x:f>MOD(INT((A169-1)/5),7)+1</x:f>
        <x:v>5</x:v>
      </x:c>
      <x:c r="C169" s="62" t="str">
        <x:f>INDEX('章节与怪物'!$B$31:$B$37,B169)</x:f>
        <x:v>雨林遗迹</x:v>
      </x:c>
      <x:c r="D169" s="119" t="n">
        <x:f>MIN('难度参数'!$E$8,MAX('难度参数'!$E$7,A169))</x:f>
        <x:v>7</x:v>
      </x:c>
      <x:c r="E169" s="106" t="n">
        <x:v>1</x:v>
      </x:c>
      <x:c r="F169" s="106" t="n">
        <x:v>0</x:v>
      </x:c>
      <x:c r="G169" s="106" t="n">
        <x:v>1</x:v>
      </x:c>
      <x:c r="H169" s="119" t="n">
        <x:f>SUM(X169,AB169,AF169,AJ169,AN169,AR169,AV169)</x:f>
        <x:v>196</x:v>
      </x:c>
      <x:c r="I169" s="119" t="n">
        <x:f>SUM(Z169,AD169,AH169,AL169,AP169,AT169,AX169)</x:f>
        <x:v>1378932</x:v>
      </x:c>
      <x:c r="J169" s="119" t="n">
        <x:f>ROUND(INDEX(X169:AY169,1,(D169-1)*4+2)*'难度参数'!$E$28*'章节与怪物'!$E$17,0)</x:f>
        <x:v>47736</x:v>
      </x:c>
      <x:c r="K169" s="119" t="n">
        <x:f>SUM(AA169,AE169,AI169,AM169,AQ169,AU169,AY169)</x:f>
        <x:v>5342</x:v>
      </x:c>
      <x:c r="L169" s="62" t="n">
        <x:f>H169*(ROUNDUP('难度参数'!$E$24/('难度参数'!$E$26*'难度参数'!$E$27),0)*'难度参数'!$E$26)/60</x:f>
        <x:v>2.6133333333333337</x:v>
      </x:c>
      <x:c r="M169" s="62" t="n">
        <x:f>L169+D169*('难度参数'!$E$49+'难度参数'!$E$50)/60</x:f>
        <x:v>3.7800000000000002</x:v>
      </x:c>
      <x:c r="N169" s="119" t="n">
        <x:f>ROUNDDOWN(('经济参数'!$E$20+A169*'经济参数'!$E$21)*G169,0)</x:f>
        <x:v>3440</x:v>
      </x:c>
      <x:c r="O169" s="119" t="n">
        <x:f>ROUNDDOWN(MIN('经济参数'!$E$24,'经济参数'!$E$22+A169*'经济参数'!$E$23)*G169,0)</x:f>
        <x:v>0</x:v>
      </x:c>
      <x:c r="P169" s="119" t="n">
        <x:f>ROUNDDOWN((IF(A169&gt;='材料与任务'!$E$31,'材料与任务'!$E$32,IF(A169&gt;='材料与任务'!$E$25,'材料与任务'!$E$26,IF(A169&gt;='材料与任务'!$E$19,'材料与任务'!$E$20,IF(A169&gt;='材料与任务'!$E$13,'材料与任务'!$E$14,'材料与任务'!$E$8)))))*G169,0)</x:f>
        <x:v>6</x:v>
      </x:c>
      <x:c r="Q169" s="119" t="n">
        <x:f>ROUNDDOWN((IF(A169&gt;='材料与任务'!$E$31,'材料与任务'!$E$33,IF(A169&gt;='材料与任务'!$E$25,'材料与任务'!$E$27,IF(A169&gt;='材料与任务'!$E$19,'材料与任务'!$E$21,IF(A169&gt;='材料与任务'!$E$13,'材料与任务'!$E$15,'材料与任务'!$E$9)))))*G169,0)</x:f>
        <x:v>3</x:v>
      </x:c>
      <x:c r="R169" s="110" t="n">
        <x:f>'装备掉落'!$B$38</x:f>
        <x:v>0.6872058758851213</x:v>
      </x:c>
      <x:c r="S169" s="119" t="n">
        <x:f>MAX(IF(VLOOKUP(A169,'装备掉落'!$A$29:$H$34,2,TRUE)&gt;0,1,0),IF(VLOOKUP(A169,'装备掉落'!$A$29:$H$34,3,TRUE)&gt;0,2,0),IF(VLOOKUP(A169,'装备掉落'!$A$29:$H$34,4,TRUE)&gt;0,3,0),IF(VLOOKUP(A169,'装备掉落'!$A$29:$H$34,5,TRUE)&gt;0,4,0),IF(VLOOKUP(A169,'装备掉落'!$A$29:$H$34,6,TRUE)&gt;0,5,0),IF(VLOOKUP(A169,'装备掉落'!$A$29:$H$34,7,TRUE)&gt;0,6,0),IF(VLOOKUP(A169,'装备掉落'!$A$29:$H$34,8,TRUE)&gt;0,7,0))</x:f>
        <x:v>7</x:v>
      </x:c>
      <x:c r="T169" s="119" t="n">
        <x:f>MIN(7,S169+'经济参数'!$E$70)</x:f>
        <x:v>7</x:v>
      </x:c>
      <x:c r="U169" s="119" t="n">
        <x:f>MIN(7,S169+'经济参数'!$E$71)</x:f>
        <x:v>7</x:v>
      </x:c>
      <x:c r="V169" s="119" t="n">
        <x:f>IF(H169&gt;=('难度参数'!$E$52),1,0)+IF(H169&gt;=('难度参数'!$E$52+'难度参数'!$E$53),1,0)+IF(H169&gt;=('难度参数'!$E$52+'难度参数'!$E$53+'难度参数'!$E$54),1,0)+IF(H169&gt;=('难度参数'!$E$52+'难度参数'!$E$53+'难度参数'!$E$54+'难度参数'!$E$55),1,0)+IF(H169&gt;=('难度参数'!$E$52+'难度参数'!$E$53+'难度参数'!$E$54+'难度参数'!$E$55+'难度参数'!$E$56),1,0)+IF(H169&gt;=('难度参数'!$E$52+'难度参数'!$E$53+'难度参数'!$E$54+'难度参数'!$E$55+'难度参数'!$E$56+'难度参数'!$E$57),1,0)</x:f>
        <x:v>6</x:v>
      </x:c>
      <x:c r="W169" s="62" t="str">
        <x:f>IF(L169&gt;'难度参数'!$E$51,"仅出怪已超目标","还需实测")</x:f>
        <x:v>还需实测</x:v>
      </x:c>
      <x:c r="X169" s="119" t="n">
        <x:f>IF(1&gt;D169,0,MAX(2,MIN('难度参数'!$E$12,ROUND(('难度参数'!$E$18*POWER(A169,'难度参数'!$E$19)/D169*(0.85+0.3*(1-1)/MAX(1,D169-1))),0)+F169)))</x:f>
        <x:v>24</x:v>
      </x:c>
      <x:c r="Y169" s="119" t="n">
        <x:f>IF(1&gt;D169,0,ROUND(('难度参数'!$E$13*POWER(A169,'难度参数'!$E$20)*MIN('难度参数'!$E$23,1+MAX(0,A169-'难度参数'!$E$21)*'难度参数'!$E$22))*(36+1*7)/(36+7*(D169+1)/2)*E169,0))</x:f>
        <x:v>3551</x:v>
      </x:c>
      <x:c r="Z169" s="119" t="n">
        <x:f>IF(X169=0,0,(X169-IF(1=D169,1,0))*ROUND(Y169*VLOOKUP(INDEX('章节与怪物'!$E$31:$K$37,B169,1),'章节与怪物'!$A$41:$F$44,2,FALSE),0)+IF(1=D169,ROUND(Y169*'难度参数'!$E$28*'章节与怪物'!$E$17,0),0))</x:f>
        <x:v>85224</x:v>
      </x:c>
      <x:c r="AA169" s="119" t="n">
        <x:f>IF(X169=0,0,(X169-IF(1=D169,1,0))*VLOOKUP(INDEX('章节与怪物'!$E$31:$K$37,B169,1),'章节与怪物'!$A$41:$F$44,4,FALSE)+IF(1=D169,'难度参数'!$E$30,0))</x:f>
        <x:v>432</x:v>
      </x:c>
      <x:c r="AB169" s="119" t="n">
        <x:f>IF(2&gt;D169,0,MAX(2,MIN('难度参数'!$E$12,ROUND(('难度参数'!$E$18*POWER(A169,'难度参数'!$E$19)/D169*(0.85+0.3*(2-1)/MAX(1,D169-1))),0)+F169)))</x:f>
        <x:v>25</x:v>
      </x:c>
      <x:c r="AC169" s="119" t="n">
        <x:f>IF(2&gt;D169,0,ROUND(('难度参数'!$E$13*POWER(A169,'难度参数'!$E$20)*MIN('难度参数'!$E$23,1+MAX(0,A169-'难度参数'!$E$21)*'难度参数'!$E$22))*(36+2*7)/(36+7*(D169+1)/2)*E169,0))</x:f>
        <x:v>4130</x:v>
      </x:c>
      <x:c r="AD169" s="119" t="n">
        <x:f>IF(AB169=0,0,(AB169-IF(2=D169,1,0))*ROUND(AC169*VLOOKUP(INDEX('章节与怪物'!$E$31:$K$37,B169,2),'章节与怪物'!$A$41:$F$44,2,FALSE),0)+IF(2=D169,ROUND(AC169*'难度参数'!$E$28*'章节与怪物'!$E$17,0),0))</x:f>
        <x:v>74350</x:v>
      </x:c>
      <x:c r="AE169" s="119" t="n">
        <x:f>IF(AB169=0,0,(AB169-IF(2=D169,1,0))*VLOOKUP(INDEX('章节与怪物'!$E$31:$K$37,B169,2),'章节与怪物'!$A$41:$F$44,4,FALSE)+IF(2=D169,'难度参数'!$E$30,0))</x:f>
        <x:v>500</x:v>
      </x:c>
      <x:c r="AF169" s="119" t="n">
        <x:f>IF(3&gt;D169,0,MAX(2,MIN('难度参数'!$E$12,ROUND(('难度参数'!$E$18*POWER(A169,'难度参数'!$E$19)/D169*(0.85+0.3*(3-1)/MAX(1,D169-1))),0)+F169)))</x:f>
        <x:v>27</x:v>
      </x:c>
      <x:c r="AG169" s="119" t="n">
        <x:f>IF(3&gt;D169,0,ROUND(('难度参数'!$E$13*POWER(A169,'难度参数'!$E$20)*MIN('难度参数'!$E$23,1+MAX(0,A169-'难度参数'!$E$21)*'难度参数'!$E$22))*(36+3*7)/(36+7*(D169+1)/2)*E169,0))</x:f>
        <x:v>4708</x:v>
      </x:c>
      <x:c r="AH169" s="119" t="n">
        <x:f>IF(AF169=0,0,(AF169-IF(3=D169,1,0))*ROUND(AG169*VLOOKUP(INDEX('章节与怪物'!$E$31:$K$37,B169,3),'章节与怪物'!$A$41:$F$44,2,FALSE),0)+IF(3=D169,ROUND(AG169*'难度参数'!$E$28*'章节与怪物'!$E$17,0),0))</x:f>
        <x:v>216108</x:v>
      </x:c>
      <x:c r="AI169" s="119" t="n">
        <x:f>IF(AF169=0,0,(AF169-IF(3=D169,1,0))*VLOOKUP(INDEX('章节与怪物'!$E$31:$K$37,B169,3),'章节与怪物'!$A$41:$F$44,4,FALSE)+IF(3=D169,'难度参数'!$E$30,0))</x:f>
        <x:v>756</x:v>
      </x:c>
      <x:c r="AJ169" s="119" t="n">
        <x:f>IF(4&gt;D169,0,MAX(2,MIN('难度参数'!$E$12,ROUND(('难度参数'!$E$18*POWER(A169,'难度参数'!$E$19)/D169*(0.85+0.3*(4-1)/MAX(1,D169-1))),0)+F169)))</x:f>
        <x:v>28</x:v>
      </x:c>
      <x:c r="AK169" s="119" t="n">
        <x:f>IF(4&gt;D169,0,ROUND(('难度参数'!$E$13*POWER(A169,'难度参数'!$E$20)*MIN('难度参数'!$E$23,1+MAX(0,A169-'难度参数'!$E$21)*'难度参数'!$E$22))*(36+4*7)/(36+7*(D169+1)/2)*E169,0))</x:f>
        <x:v>5286</x:v>
      </x:c>
      <x:c r="AL169" s="119" t="n">
        <x:f>IF(AJ169=0,0,(AJ169-IF(4=D169,1,0))*ROUND(AK169*VLOOKUP(INDEX('章节与怪物'!$E$31:$K$37,B169,4),'章节与怪物'!$A$41:$F$44,2,FALSE),0)+IF(4=D169,ROUND(AK169*'难度参数'!$E$28*'章节与怪物'!$E$17,0),0))</x:f>
        <x:v>199808</x:v>
      </x:c>
      <x:c r="AM169" s="119" t="n">
        <x:f>IF(AJ169=0,0,(AJ169-IF(4=D169,1,0))*VLOOKUP(INDEX('章节与怪物'!$E$31:$K$37,B169,4),'章节与怪物'!$A$41:$F$44,4,FALSE)+IF(4=D169,'难度参数'!$E$30,0))</x:f>
        <x:v>952</x:v>
      </x:c>
      <x:c r="AN169" s="119" t="n">
        <x:f>IF(5&gt;D169,0,MAX(2,MIN('难度参数'!$E$12,ROUND(('难度参数'!$E$18*POWER(A169,'难度参数'!$E$19)/D169*(0.85+0.3*(5-1)/MAX(1,D169-1))),0)+F169)))</x:f>
        <x:v>29</x:v>
      </x:c>
      <x:c r="AO169" s="119" t="n">
        <x:f>IF(5&gt;D169,0,ROUND(('难度参数'!$E$13*POWER(A169,'难度参数'!$E$20)*MIN('难度参数'!$E$23,1+MAX(0,A169-'难度参数'!$E$21)*'难度参数'!$E$22))*(36+5*7)/(36+7*(D169+1)/2)*E169,0))</x:f>
        <x:v>5864</x:v>
      </x:c>
      <x:c r="AP169" s="119" t="n">
        <x:f>IF(AN169=0,0,(AN169-IF(5=D169,1,0))*ROUND(AO169*VLOOKUP(INDEX('章节与怪物'!$E$31:$K$37,B169,5),'章节与怪物'!$A$41:$F$44,2,FALSE),0)+IF(5=D169,ROUND(AO169*'难度参数'!$E$28*'章节与怪物'!$E$17,0),0))</x:f>
        <x:v>122438</x:v>
      </x:c>
      <x:c r="AQ169" s="119" t="n">
        <x:f>IF(AN169=0,0,(AN169-IF(5=D169,1,0))*VLOOKUP(INDEX('章节与怪物'!$E$31:$K$37,B169,5),'章节与怪物'!$A$41:$F$44,4,FALSE)+IF(5=D169,'难度参数'!$E$30,0))</x:f>
        <x:v>580</x:v>
      </x:c>
      <x:c r="AR169" s="119" t="n">
        <x:f>IF(6&gt;D169,0,MAX(2,MIN('难度参数'!$E$12,ROUND(('难度参数'!$E$18*POWER(A169,'难度参数'!$E$19)/D169*(0.85+0.3*(6-1)/MAX(1,D169-1))),0)+F169)))</x:f>
        <x:v>31</x:v>
      </x:c>
      <x:c r="AS169" s="119" t="n">
        <x:f>IF(6&gt;D169,0,ROUND(('难度参数'!$E$13*POWER(A169,'难度参数'!$E$20)*MIN('难度参数'!$E$23,1+MAX(0,A169-'难度参数'!$E$21)*'难度参数'!$E$22))*(36+6*7)/(36+7*(D169+1)/2)*E169,0))</x:f>
        <x:v>6442</x:v>
      </x:c>
      <x:c r="AT169" s="119" t="n">
        <x:f>IF(AR169=0,0,(AR169-IF(6=D169,1,0))*ROUND(AS169*VLOOKUP(INDEX('章节与怪物'!$E$31:$K$37,B169,6),'章节与怪物'!$A$41:$F$44,2,FALSE),0)+IF(6=D169,ROUND(AS169*'难度参数'!$E$28*'章节与怪物'!$E$17,0),0))</x:f>
        <x:v>339481</x:v>
      </x:c>
      <x:c r="AU169" s="119" t="n">
        <x:f>IF(AR169=0,0,(AR169-IF(6=D169,1,0))*VLOOKUP(INDEX('章节与怪物'!$E$31:$K$37,B169,6),'章节与怪物'!$A$41:$F$44,4,FALSE)+IF(6=D169,'难度参数'!$E$30,0))</x:f>
        <x:v>868</x:v>
      </x:c>
      <x:c r="AV169" s="119" t="n">
        <x:f>IF(7&gt;D169,0,MAX(2,MIN('难度参数'!$E$12,ROUND(('难度参数'!$E$18*POWER(A169,'难度参数'!$E$19)/D169*(0.85+0.3*(7-1)/MAX(1,D169-1))),0)+F169)))</x:f>
        <x:v>32</x:v>
      </x:c>
      <x:c r="AW169" s="119" t="n">
        <x:f>IF(7&gt;D169,0,ROUND(('难度参数'!$E$13*POWER(A169,'难度参数'!$E$20)*MIN('难度参数'!$E$23,1+MAX(0,A169-'难度参数'!$E$21)*'难度参数'!$E$22))*(36+7*7)/(36+7*(D169+1)/2)*E169,0))</x:f>
        <x:v>7020</x:v>
      </x:c>
      <x:c r="AX169" s="119" t="n">
        <x:f>IF(AV169=0,0,(AV169-IF(7=D169,1,0))*ROUND(AW169*VLOOKUP(INDEX('章节与怪物'!$E$31:$K$37,B169,7),'章节与怪物'!$A$41:$F$44,2,FALSE),0)+IF(7=D169,ROUND(AW169*'难度参数'!$E$28*'章节与怪物'!$E$17,0),0))</x:f>
        <x:v>341523</x:v>
      </x:c>
      <x:c r="AY169" s="119" t="n">
        <x:f>IF(AV169=0,0,(AV169-IF(7=D169,1,0))*VLOOKUP(INDEX('章节与怪物'!$E$31:$K$37,B169,7),'章节与怪物'!$A$41:$F$44,4,FALSE)+IF(7=D169,'难度参数'!$E$30,0))</x:f>
        <x:v>1254</x:v>
      </x:c>
    </x:row>
    <x:row r="170" ht="23" customHeight="1">
      <x:c r="A170" s="119" t="n">
        <x:v>164</x:v>
      </x:c>
      <x:c r="B170" s="119" t="n">
        <x:f>MOD(INT((A170-1)/5),7)+1</x:f>
        <x:v>5</x:v>
      </x:c>
      <x:c r="C170" s="62" t="str">
        <x:f>INDEX('章节与怪物'!$B$31:$B$37,B170)</x:f>
        <x:v>雨林遗迹</x:v>
      </x:c>
      <x:c r="D170" s="119" t="n">
        <x:f>MIN('难度参数'!$E$8,MAX('难度参数'!$E$7,A170))</x:f>
        <x:v>7</x:v>
      </x:c>
      <x:c r="E170" s="106" t="n">
        <x:v>1</x:v>
      </x:c>
      <x:c r="F170" s="106" t="n">
        <x:v>0</x:v>
      </x:c>
      <x:c r="G170" s="106" t="n">
        <x:v>1</x:v>
      </x:c>
      <x:c r="H170" s="119" t="n">
        <x:f>SUM(X170,AB170,AF170,AJ170,AN170,AR170,AV170)</x:f>
        <x:v>196</x:v>
      </x:c>
      <x:c r="I170" s="119" t="n">
        <x:f>SUM(Z170,AD170,AH170,AL170,AP170,AT170,AX170)</x:f>
        <x:v>1384979</x:v>
      </x:c>
      <x:c r="J170" s="119" t="n">
        <x:f>ROUND(INDEX(X170:AY170,1,(D170-1)*4+2)*'难度参数'!$E$28*'章节与怪物'!$E$17,0)</x:f>
        <x:v>47947</x:v>
      </x:c>
      <x:c r="K170" s="119" t="n">
        <x:f>SUM(AA170,AE170,AI170,AM170,AQ170,AU170,AY170)</x:f>
        <x:v>5342</x:v>
      </x:c>
      <x:c r="L170" s="62" t="n">
        <x:f>H170*(ROUNDUP('难度参数'!$E$24/('难度参数'!$E$26*'难度参数'!$E$27),0)*'难度参数'!$E$26)/60</x:f>
        <x:v>2.6133333333333337</x:v>
      </x:c>
      <x:c r="M170" s="62" t="n">
        <x:f>L170+D170*('难度参数'!$E$49+'难度参数'!$E$50)/60</x:f>
        <x:v>3.7800000000000002</x:v>
      </x:c>
      <x:c r="N170" s="119" t="n">
        <x:f>ROUNDDOWN(('经济参数'!$E$20+A170*'经济参数'!$E$21)*G170,0)</x:f>
        <x:v>3460</x:v>
      </x:c>
      <x:c r="O170" s="119" t="n">
        <x:f>ROUNDDOWN(MIN('经济参数'!$E$24,'经济参数'!$E$22+A170*'经济参数'!$E$23)*G170,0)</x:f>
        <x:v>0</x:v>
      </x:c>
      <x:c r="P170" s="119" t="n">
        <x:f>ROUNDDOWN((IF(A170&gt;='材料与任务'!$E$31,'材料与任务'!$E$32,IF(A170&gt;='材料与任务'!$E$25,'材料与任务'!$E$26,IF(A170&gt;='材料与任务'!$E$19,'材料与任务'!$E$20,IF(A170&gt;='材料与任务'!$E$13,'材料与任务'!$E$14,'材料与任务'!$E$8)))))*G170,0)</x:f>
        <x:v>6</x:v>
      </x:c>
      <x:c r="Q170" s="119" t="n">
        <x:f>ROUNDDOWN((IF(A170&gt;='材料与任务'!$E$31,'材料与任务'!$E$33,IF(A170&gt;='材料与任务'!$E$25,'材料与任务'!$E$27,IF(A170&gt;='材料与任务'!$E$19,'材料与任务'!$E$21,IF(A170&gt;='材料与任务'!$E$13,'材料与任务'!$E$15,'材料与任务'!$E$9)))))*G170,0)</x:f>
        <x:v>3</x:v>
      </x:c>
      <x:c r="R170" s="110" t="n">
        <x:f>'装备掉落'!$B$38</x:f>
        <x:v>0.6872058758851213</x:v>
      </x:c>
      <x:c r="S170" s="119" t="n">
        <x:f>MAX(IF(VLOOKUP(A170,'装备掉落'!$A$29:$H$34,2,TRUE)&gt;0,1,0),IF(VLOOKUP(A170,'装备掉落'!$A$29:$H$34,3,TRUE)&gt;0,2,0),IF(VLOOKUP(A170,'装备掉落'!$A$29:$H$34,4,TRUE)&gt;0,3,0),IF(VLOOKUP(A170,'装备掉落'!$A$29:$H$34,5,TRUE)&gt;0,4,0),IF(VLOOKUP(A170,'装备掉落'!$A$29:$H$34,6,TRUE)&gt;0,5,0),IF(VLOOKUP(A170,'装备掉落'!$A$29:$H$34,7,TRUE)&gt;0,6,0),IF(VLOOKUP(A170,'装备掉落'!$A$29:$H$34,8,TRUE)&gt;0,7,0))</x:f>
        <x:v>7</x:v>
      </x:c>
      <x:c r="T170" s="119" t="n">
        <x:f>MIN(7,S170+'经济参数'!$E$70)</x:f>
        <x:v>7</x:v>
      </x:c>
      <x:c r="U170" s="119" t="n">
        <x:f>MIN(7,S170+'经济参数'!$E$71)</x:f>
        <x:v>7</x:v>
      </x:c>
      <x:c r="V170" s="119" t="n">
        <x:f>IF(H170&gt;=('难度参数'!$E$52),1,0)+IF(H170&gt;=('难度参数'!$E$52+'难度参数'!$E$53),1,0)+IF(H170&gt;=('难度参数'!$E$52+'难度参数'!$E$53+'难度参数'!$E$54),1,0)+IF(H170&gt;=('难度参数'!$E$52+'难度参数'!$E$53+'难度参数'!$E$54+'难度参数'!$E$55),1,0)+IF(H170&gt;=('难度参数'!$E$52+'难度参数'!$E$53+'难度参数'!$E$54+'难度参数'!$E$55+'难度参数'!$E$56),1,0)+IF(H170&gt;=('难度参数'!$E$52+'难度参数'!$E$53+'难度参数'!$E$54+'难度参数'!$E$55+'难度参数'!$E$56+'难度参数'!$E$57),1,0)</x:f>
        <x:v>6</x:v>
      </x:c>
      <x:c r="W170" s="62" t="str">
        <x:f>IF(L170&gt;'难度参数'!$E$51,"仅出怪已超目标","还需实测")</x:f>
        <x:v>还需实测</x:v>
      </x:c>
      <x:c r="X170" s="119" t="n">
        <x:f>IF(1&gt;D170,0,MAX(2,MIN('难度参数'!$E$12,ROUND(('难度参数'!$E$18*POWER(A170,'难度参数'!$E$19)/D170*(0.85+0.3*(1-1)/MAX(1,D170-1))),0)+F170)))</x:f>
        <x:v>24</x:v>
      </x:c>
      <x:c r="Y170" s="119" t="n">
        <x:f>IF(1&gt;D170,0,ROUND(('难度参数'!$E$13*POWER(A170,'难度参数'!$E$20)*MIN('难度参数'!$E$23,1+MAX(0,A170-'难度参数'!$E$21)*'难度参数'!$E$22))*(36+1*7)/(36+7*(D170+1)/2)*E170,0))</x:f>
        <x:v>3567</x:v>
      </x:c>
      <x:c r="Z170" s="119" t="n">
        <x:f>IF(X170=0,0,(X170-IF(1=D170,1,0))*ROUND(Y170*VLOOKUP(INDEX('章节与怪物'!$E$31:$K$37,B170,1),'章节与怪物'!$A$41:$F$44,2,FALSE),0)+IF(1=D170,ROUND(Y170*'难度参数'!$E$28*'章节与怪物'!$E$17,0),0))</x:f>
        <x:v>85608</x:v>
      </x:c>
      <x:c r="AA170" s="119" t="n">
        <x:f>IF(X170=0,0,(X170-IF(1=D170,1,0))*VLOOKUP(INDEX('章节与怪物'!$E$31:$K$37,B170,1),'章节与怪物'!$A$41:$F$44,4,FALSE)+IF(1=D170,'难度参数'!$E$30,0))</x:f>
        <x:v>432</x:v>
      </x:c>
      <x:c r="AB170" s="119" t="n">
        <x:f>IF(2&gt;D170,0,MAX(2,MIN('难度参数'!$E$12,ROUND(('难度参数'!$E$18*POWER(A170,'难度参数'!$E$19)/D170*(0.85+0.3*(2-1)/MAX(1,D170-1))),0)+F170)))</x:f>
        <x:v>25</x:v>
      </x:c>
      <x:c r="AC170" s="119" t="n">
        <x:f>IF(2&gt;D170,0,ROUND(('难度参数'!$E$13*POWER(A170,'难度参数'!$E$20)*MIN('难度参数'!$E$23,1+MAX(0,A170-'难度参数'!$E$21)*'难度参数'!$E$22))*(36+2*7)/(36+7*(D170+1)/2)*E170,0))</x:f>
        <x:v>4148</x:v>
      </x:c>
      <x:c r="AD170" s="119" t="n">
        <x:f>IF(AB170=0,0,(AB170-IF(2=D170,1,0))*ROUND(AC170*VLOOKUP(INDEX('章节与怪物'!$E$31:$K$37,B170,2),'章节与怪物'!$A$41:$F$44,2,FALSE),0)+IF(2=D170,ROUND(AC170*'难度参数'!$E$28*'章节与怪物'!$E$17,0),0))</x:f>
        <x:v>74675</x:v>
      </x:c>
      <x:c r="AE170" s="119" t="n">
        <x:f>IF(AB170=0,0,(AB170-IF(2=D170,1,0))*VLOOKUP(INDEX('章节与怪物'!$E$31:$K$37,B170,2),'章节与怪物'!$A$41:$F$44,4,FALSE)+IF(2=D170,'难度参数'!$E$30,0))</x:f>
        <x:v>500</x:v>
      </x:c>
      <x:c r="AF170" s="119" t="n">
        <x:f>IF(3&gt;D170,0,MAX(2,MIN('难度参数'!$E$12,ROUND(('难度参数'!$E$18*POWER(A170,'难度参数'!$E$19)/D170*(0.85+0.3*(3-1)/MAX(1,D170-1))),0)+F170)))</x:f>
        <x:v>27</x:v>
      </x:c>
      <x:c r="AG170" s="119" t="n">
        <x:f>IF(3&gt;D170,0,ROUND(('难度参数'!$E$13*POWER(A170,'难度参数'!$E$20)*MIN('难度参数'!$E$23,1+MAX(0,A170-'难度参数'!$E$21)*'难度参数'!$E$22))*(36+3*7)/(36+7*(D170+1)/2)*E170,0))</x:f>
        <x:v>4728</x:v>
      </x:c>
      <x:c r="AH170" s="119" t="n">
        <x:f>IF(AF170=0,0,(AF170-IF(3=D170,1,0))*ROUND(AG170*VLOOKUP(INDEX('章节与怪物'!$E$31:$K$37,B170,3),'章节与怪物'!$A$41:$F$44,2,FALSE),0)+IF(3=D170,ROUND(AG170*'难度参数'!$E$28*'章节与怪物'!$E$17,0),0))</x:f>
        <x:v>217026</x:v>
      </x:c>
      <x:c r="AI170" s="119" t="n">
        <x:f>IF(AF170=0,0,(AF170-IF(3=D170,1,0))*VLOOKUP(INDEX('章节与怪物'!$E$31:$K$37,B170,3),'章节与怪物'!$A$41:$F$44,4,FALSE)+IF(3=D170,'难度参数'!$E$30,0))</x:f>
        <x:v>756</x:v>
      </x:c>
      <x:c r="AJ170" s="119" t="n">
        <x:f>IF(4&gt;D170,0,MAX(2,MIN('难度参数'!$E$12,ROUND(('难度参数'!$E$18*POWER(A170,'难度参数'!$E$19)/D170*(0.85+0.3*(4-1)/MAX(1,D170-1))),0)+F170)))</x:f>
        <x:v>28</x:v>
      </x:c>
      <x:c r="AK170" s="119" t="n">
        <x:f>IF(4&gt;D170,0,ROUND(('难度参数'!$E$13*POWER(A170,'难度参数'!$E$20)*MIN('难度参数'!$E$23,1+MAX(0,A170-'难度参数'!$E$21)*'难度参数'!$E$22))*(36+4*7)/(36+7*(D170+1)/2)*E170,0))</x:f>
        <x:v>5309</x:v>
      </x:c>
      <x:c r="AL170" s="119" t="n">
        <x:f>IF(AJ170=0,0,(AJ170-IF(4=D170,1,0))*ROUND(AK170*VLOOKUP(INDEX('章节与怪物'!$E$31:$K$37,B170,4),'章节与怪物'!$A$41:$F$44,2,FALSE),0)+IF(4=D170,ROUND(AK170*'难度参数'!$E$28*'章节与怪物'!$E$17,0),0))</x:f>
        <x:v>200676</x:v>
      </x:c>
      <x:c r="AM170" s="119" t="n">
        <x:f>IF(AJ170=0,0,(AJ170-IF(4=D170,1,0))*VLOOKUP(INDEX('章节与怪物'!$E$31:$K$37,B170,4),'章节与怪物'!$A$41:$F$44,4,FALSE)+IF(4=D170,'难度参数'!$E$30,0))</x:f>
        <x:v>952</x:v>
      </x:c>
      <x:c r="AN170" s="119" t="n">
        <x:f>IF(5&gt;D170,0,MAX(2,MIN('难度参数'!$E$12,ROUND(('难度参数'!$E$18*POWER(A170,'难度参数'!$E$19)/D170*(0.85+0.3*(5-1)/MAX(1,D170-1))),0)+F170)))</x:f>
        <x:v>29</x:v>
      </x:c>
      <x:c r="AO170" s="119" t="n">
        <x:f>IF(5&gt;D170,0,ROUND(('难度参数'!$E$13*POWER(A170,'难度参数'!$E$20)*MIN('难度参数'!$E$23,1+MAX(0,A170-'难度参数'!$E$21)*'难度参数'!$E$22))*(36+5*7)/(36+7*(D170+1)/2)*E170,0))</x:f>
        <x:v>5890</x:v>
      </x:c>
      <x:c r="AP170" s="119" t="n">
        <x:f>IF(AN170=0,0,(AN170-IF(5=D170,1,0))*ROUND(AO170*VLOOKUP(INDEX('章节与怪物'!$E$31:$K$37,B170,5),'章节与怪物'!$A$41:$F$44,2,FALSE),0)+IF(5=D170,ROUND(AO170*'难度参数'!$E$28*'章节与怪物'!$E$17,0),0))</x:f>
        <x:v>122989</x:v>
      </x:c>
      <x:c r="AQ170" s="119" t="n">
        <x:f>IF(AN170=0,0,(AN170-IF(5=D170,1,0))*VLOOKUP(INDEX('章节与怪物'!$E$31:$K$37,B170,5),'章节与怪物'!$A$41:$F$44,4,FALSE)+IF(5=D170,'难度参数'!$E$30,0))</x:f>
        <x:v>580</x:v>
      </x:c>
      <x:c r="AR170" s="119" t="n">
        <x:f>IF(6&gt;D170,0,MAX(2,MIN('难度参数'!$E$12,ROUND(('难度参数'!$E$18*POWER(A170,'难度参数'!$E$19)/D170*(0.85+0.3*(6-1)/MAX(1,D170-1))),0)+F170)))</x:f>
        <x:v>31</x:v>
      </x:c>
      <x:c r="AS170" s="119" t="n">
        <x:f>IF(6&gt;D170,0,ROUND(('难度参数'!$E$13*POWER(A170,'难度参数'!$E$20)*MIN('难度参数'!$E$23,1+MAX(0,A170-'难度参数'!$E$21)*'难度参数'!$E$22))*(36+6*7)/(36+7*(D170+1)/2)*E170,0))</x:f>
        <x:v>6470</x:v>
      </x:c>
      <x:c r="AT170" s="119" t="n">
        <x:f>IF(AR170=0,0,(AR170-IF(6=D170,1,0))*ROUND(AS170*VLOOKUP(INDEX('章节与怪物'!$E$31:$K$37,B170,6),'章节与怪物'!$A$41:$F$44,2,FALSE),0)+IF(6=D170,ROUND(AS170*'难度参数'!$E$28*'章节与怪物'!$E$17,0),0))</x:f>
        <x:v>340969</x:v>
      </x:c>
      <x:c r="AU170" s="119" t="n">
        <x:f>IF(AR170=0,0,(AR170-IF(6=D170,1,0))*VLOOKUP(INDEX('章节与怪物'!$E$31:$K$37,B170,6),'章节与怪物'!$A$41:$F$44,4,FALSE)+IF(6=D170,'难度参数'!$E$30,0))</x:f>
        <x:v>868</x:v>
      </x:c>
      <x:c r="AV170" s="119" t="n">
        <x:f>IF(7&gt;D170,0,MAX(2,MIN('难度参数'!$E$12,ROUND(('难度参数'!$E$18*POWER(A170,'难度参数'!$E$19)/D170*(0.85+0.3*(7-1)/MAX(1,D170-1))),0)+F170)))</x:f>
        <x:v>32</x:v>
      </x:c>
      <x:c r="AW170" s="119" t="n">
        <x:f>IF(7&gt;D170,0,ROUND(('难度参数'!$E$13*POWER(A170,'难度参数'!$E$20)*MIN('难度参数'!$E$23,1+MAX(0,A170-'难度参数'!$E$21)*'难度参数'!$E$22))*(36+7*7)/(36+7*(D170+1)/2)*E170,0))</x:f>
        <x:v>7051</x:v>
      </x:c>
      <x:c r="AX170" s="119" t="n">
        <x:f>IF(AV170=0,0,(AV170-IF(7=D170,1,0))*ROUND(AW170*VLOOKUP(INDEX('章节与怪物'!$E$31:$K$37,B170,7),'章节与怪物'!$A$41:$F$44,2,FALSE),0)+IF(7=D170,ROUND(AW170*'难度参数'!$E$28*'章节与怪物'!$E$17,0),0))</x:f>
        <x:v>343036</x:v>
      </x:c>
      <x:c r="AY170" s="119" t="n">
        <x:f>IF(AV170=0,0,(AV170-IF(7=D170,1,0))*VLOOKUP(INDEX('章节与怪物'!$E$31:$K$37,B170,7),'章节与怪物'!$A$41:$F$44,4,FALSE)+IF(7=D170,'难度参数'!$E$30,0))</x:f>
        <x:v>1254</x:v>
      </x:c>
    </x:row>
    <x:row r="171" ht="23" customHeight="1">
      <x:c r="A171" s="119" t="n">
        <x:v>165</x:v>
      </x:c>
      <x:c r="B171" s="119" t="n">
        <x:f>MOD(INT((A171-1)/5),7)+1</x:f>
        <x:v>5</x:v>
      </x:c>
      <x:c r="C171" s="62" t="str">
        <x:f>INDEX('章节与怪物'!$B$31:$B$37,B171)</x:f>
        <x:v>雨林遗迹</x:v>
      </x:c>
      <x:c r="D171" s="119" t="n">
        <x:f>MIN('难度参数'!$E$8,MAX('难度参数'!$E$7,A171))</x:f>
        <x:v>7</x:v>
      </x:c>
      <x:c r="E171" s="106" t="n">
        <x:v>1</x:v>
      </x:c>
      <x:c r="F171" s="106" t="n">
        <x:v>0</x:v>
      </x:c>
      <x:c r="G171" s="106" t="n">
        <x:v>1</x:v>
      </x:c>
      <x:c r="H171" s="119" t="n">
        <x:f>SUM(X171,AB171,AF171,AJ171,AN171,AR171,AV171)</x:f>
        <x:v>197</x:v>
      </x:c>
      <x:c r="I171" s="119" t="n">
        <x:f>SUM(Z171,AD171,AH171,AL171,AP171,AT171,AX171)</x:f>
        <x:v>1395344</x:v>
      </x:c>
      <x:c r="J171" s="119" t="n">
        <x:f>ROUND(INDEX(X171:AY171,1,(D171-1)*4+2)*'难度参数'!$E$28*'章节与怪物'!$E$17,0)</x:f>
        <x:v>48158</x:v>
      </x:c>
      <x:c r="K171" s="119" t="n">
        <x:f>SUM(AA171,AE171,AI171,AM171,AQ171,AU171,AY171)</x:f>
        <x:v>5362</x:v>
      </x:c>
      <x:c r="L171" s="62" t="n">
        <x:f>H171*(ROUNDUP('难度参数'!$E$24/('难度参数'!$E$26*'难度参数'!$E$27),0)*'难度参数'!$E$26)/60</x:f>
        <x:v>2.626666666666667</x:v>
      </x:c>
      <x:c r="M171" s="62" t="n">
        <x:f>L171+D171*('难度参数'!$E$49+'难度参数'!$E$50)/60</x:f>
        <x:v>3.793333333333334</x:v>
      </x:c>
      <x:c r="N171" s="119" t="n">
        <x:f>ROUNDDOWN(('经济参数'!$E$20+A171*'经济参数'!$E$21)*G171,0)</x:f>
        <x:v>3480</x:v>
      </x:c>
      <x:c r="O171" s="119" t="n">
        <x:f>ROUNDDOWN(MIN('经济参数'!$E$24,'经济参数'!$E$22+A171*'经济参数'!$E$23)*G171,0)</x:f>
        <x:v>0</x:v>
      </x:c>
      <x:c r="P171" s="119" t="n">
        <x:f>ROUNDDOWN((IF(A171&gt;='材料与任务'!$E$31,'材料与任务'!$E$32,IF(A171&gt;='材料与任务'!$E$25,'材料与任务'!$E$26,IF(A171&gt;='材料与任务'!$E$19,'材料与任务'!$E$20,IF(A171&gt;='材料与任务'!$E$13,'材料与任务'!$E$14,'材料与任务'!$E$8)))))*G171,0)</x:f>
        <x:v>6</x:v>
      </x:c>
      <x:c r="Q171" s="119" t="n">
        <x:f>ROUNDDOWN((IF(A171&gt;='材料与任务'!$E$31,'材料与任务'!$E$33,IF(A171&gt;='材料与任务'!$E$25,'材料与任务'!$E$27,IF(A171&gt;='材料与任务'!$E$19,'材料与任务'!$E$21,IF(A171&gt;='材料与任务'!$E$13,'材料与任务'!$E$15,'材料与任务'!$E$9)))))*G171,0)</x:f>
        <x:v>3</x:v>
      </x:c>
      <x:c r="R171" s="110" t="n">
        <x:f>'装备掉落'!$B$38</x:f>
        <x:v>0.6872058758851213</x:v>
      </x:c>
      <x:c r="S171" s="119" t="n">
        <x:f>MAX(IF(VLOOKUP(A171,'装备掉落'!$A$29:$H$34,2,TRUE)&gt;0,1,0),IF(VLOOKUP(A171,'装备掉落'!$A$29:$H$34,3,TRUE)&gt;0,2,0),IF(VLOOKUP(A171,'装备掉落'!$A$29:$H$34,4,TRUE)&gt;0,3,0),IF(VLOOKUP(A171,'装备掉落'!$A$29:$H$34,5,TRUE)&gt;0,4,0),IF(VLOOKUP(A171,'装备掉落'!$A$29:$H$34,6,TRUE)&gt;0,5,0),IF(VLOOKUP(A171,'装备掉落'!$A$29:$H$34,7,TRUE)&gt;0,6,0),IF(VLOOKUP(A171,'装备掉落'!$A$29:$H$34,8,TRUE)&gt;0,7,0))</x:f>
        <x:v>7</x:v>
      </x:c>
      <x:c r="T171" s="119" t="n">
        <x:f>MIN(7,S171+'经济参数'!$E$70)</x:f>
        <x:v>7</x:v>
      </x:c>
      <x:c r="U171" s="119" t="n">
        <x:f>MIN(7,S171+'经济参数'!$E$71)</x:f>
        <x:v>7</x:v>
      </x:c>
      <x:c r="V171" s="119" t="n">
        <x:f>IF(H171&gt;=('难度参数'!$E$52),1,0)+IF(H171&gt;=('难度参数'!$E$52+'难度参数'!$E$53),1,0)+IF(H171&gt;=('难度参数'!$E$52+'难度参数'!$E$53+'难度参数'!$E$54),1,0)+IF(H171&gt;=('难度参数'!$E$52+'难度参数'!$E$53+'难度参数'!$E$54+'难度参数'!$E$55),1,0)+IF(H171&gt;=('难度参数'!$E$52+'难度参数'!$E$53+'难度参数'!$E$54+'难度参数'!$E$55+'难度参数'!$E$56),1,0)+IF(H171&gt;=('难度参数'!$E$52+'难度参数'!$E$53+'难度参数'!$E$54+'难度参数'!$E$55+'难度参数'!$E$56+'难度参数'!$E$57),1,0)</x:f>
        <x:v>6</x:v>
      </x:c>
      <x:c r="W171" s="62" t="str">
        <x:f>IF(L171&gt;'难度参数'!$E$51,"仅出怪已超目标","还需实测")</x:f>
        <x:v>还需实测</x:v>
      </x:c>
      <x:c r="X171" s="119" t="n">
        <x:f>IF(1&gt;D171,0,MAX(2,MIN('难度参数'!$E$12,ROUND(('难度参数'!$E$18*POWER(A171,'难度参数'!$E$19)/D171*(0.85+0.3*(1-1)/MAX(1,D171-1))),0)+F171)))</x:f>
        <x:v>24</x:v>
      </x:c>
      <x:c r="Y171" s="119" t="n">
        <x:f>IF(1&gt;D171,0,ROUND(('难度参数'!$E$13*POWER(A171,'难度参数'!$E$20)*MIN('难度参数'!$E$23,1+MAX(0,A171-'难度参数'!$E$21)*'难度参数'!$E$22))*(36+1*7)/(36+7*(D171+1)/2)*E171,0))</x:f>
        <x:v>3583</x:v>
      </x:c>
      <x:c r="Z171" s="119" t="n">
        <x:f>IF(X171=0,0,(X171-IF(1=D171,1,0))*ROUND(Y171*VLOOKUP(INDEX('章节与怪物'!$E$31:$K$37,B171,1),'章节与怪物'!$A$41:$F$44,2,FALSE),0)+IF(1=D171,ROUND(Y171*'难度参数'!$E$28*'章节与怪物'!$E$17,0),0))</x:f>
        <x:v>85992</x:v>
      </x:c>
      <x:c r="AA171" s="119" t="n">
        <x:f>IF(X171=0,0,(X171-IF(1=D171,1,0))*VLOOKUP(INDEX('章节与怪物'!$E$31:$K$37,B171,1),'章节与怪物'!$A$41:$F$44,4,FALSE)+IF(1=D171,'难度参数'!$E$30,0))</x:f>
        <x:v>432</x:v>
      </x:c>
      <x:c r="AB171" s="119" t="n">
        <x:f>IF(2&gt;D171,0,MAX(2,MIN('难度参数'!$E$12,ROUND(('难度参数'!$E$18*POWER(A171,'难度参数'!$E$19)/D171*(0.85+0.3*(2-1)/MAX(1,D171-1))),0)+F171)))</x:f>
        <x:v>25</x:v>
      </x:c>
      <x:c r="AC171" s="119" t="n">
        <x:f>IF(2&gt;D171,0,ROUND(('难度参数'!$E$13*POWER(A171,'难度参数'!$E$20)*MIN('难度参数'!$E$23,1+MAX(0,A171-'难度参数'!$E$21)*'难度参数'!$E$22))*(36+2*7)/(36+7*(D171+1)/2)*E171,0))</x:f>
        <x:v>4166</x:v>
      </x:c>
      <x:c r="AD171" s="119" t="n">
        <x:f>IF(AB171=0,0,(AB171-IF(2=D171,1,0))*ROUND(AC171*VLOOKUP(INDEX('章节与怪物'!$E$31:$K$37,B171,2),'章节与怪物'!$A$41:$F$44,2,FALSE),0)+IF(2=D171,ROUND(AC171*'难度参数'!$E$28*'章节与怪物'!$E$17,0),0))</x:f>
        <x:v>75000</x:v>
      </x:c>
      <x:c r="AE171" s="119" t="n">
        <x:f>IF(AB171=0,0,(AB171-IF(2=D171,1,0))*VLOOKUP(INDEX('章节与怪物'!$E$31:$K$37,B171,2),'章节与怪物'!$A$41:$F$44,4,FALSE)+IF(2=D171,'难度参数'!$E$30,0))</x:f>
        <x:v>500</x:v>
      </x:c>
      <x:c r="AF171" s="119" t="n">
        <x:f>IF(3&gt;D171,0,MAX(2,MIN('难度参数'!$E$12,ROUND(('难度参数'!$E$18*POWER(A171,'难度参数'!$E$19)/D171*(0.85+0.3*(3-1)/MAX(1,D171-1))),0)+F171)))</x:f>
        <x:v>27</x:v>
      </x:c>
      <x:c r="AG171" s="119" t="n">
        <x:f>IF(3&gt;D171,0,ROUND(('难度参数'!$E$13*POWER(A171,'难度参数'!$E$20)*MIN('难度参数'!$E$23,1+MAX(0,A171-'难度参数'!$E$21)*'难度参数'!$E$22))*(36+3*7)/(36+7*(D171+1)/2)*E171,0))</x:f>
        <x:v>4749</x:v>
      </x:c>
      <x:c r="AH171" s="119" t="n">
        <x:f>IF(AF171=0,0,(AF171-IF(3=D171,1,0))*ROUND(AG171*VLOOKUP(INDEX('章节与怪物'!$E$31:$K$37,B171,3),'章节与怪物'!$A$41:$F$44,2,FALSE),0)+IF(3=D171,ROUND(AG171*'难度参数'!$E$28*'章节与怪物'!$E$17,0),0))</x:f>
        <x:v>217971</x:v>
      </x:c>
      <x:c r="AI171" s="119" t="n">
        <x:f>IF(AF171=0,0,(AF171-IF(3=D171,1,0))*VLOOKUP(INDEX('章节与怪物'!$E$31:$K$37,B171,3),'章节与怪物'!$A$41:$F$44,4,FALSE)+IF(3=D171,'难度参数'!$E$30,0))</x:f>
        <x:v>756</x:v>
      </x:c>
      <x:c r="AJ171" s="119" t="n">
        <x:f>IF(4&gt;D171,0,MAX(2,MIN('难度参数'!$E$12,ROUND(('难度参数'!$E$18*POWER(A171,'难度参数'!$E$19)/D171*(0.85+0.3*(4-1)/MAX(1,D171-1))),0)+F171)))</x:f>
        <x:v>28</x:v>
      </x:c>
      <x:c r="AK171" s="119" t="n">
        <x:f>IF(4&gt;D171,0,ROUND(('难度参数'!$E$13*POWER(A171,'难度参数'!$E$20)*MIN('难度参数'!$E$23,1+MAX(0,A171-'难度参数'!$E$21)*'难度参数'!$E$22))*(36+4*7)/(36+7*(D171+1)/2)*E171,0))</x:f>
        <x:v>5332</x:v>
      </x:c>
      <x:c r="AL171" s="119" t="n">
        <x:f>IF(AJ171=0,0,(AJ171-IF(4=D171,1,0))*ROUND(AK171*VLOOKUP(INDEX('章节与怪物'!$E$31:$K$37,B171,4),'章节与怪物'!$A$41:$F$44,2,FALSE),0)+IF(4=D171,ROUND(AK171*'难度参数'!$E$28*'章节与怪物'!$E$17,0),0))</x:f>
        <x:v>201544</x:v>
      </x:c>
      <x:c r="AM171" s="119" t="n">
        <x:f>IF(AJ171=0,0,(AJ171-IF(4=D171,1,0))*VLOOKUP(INDEX('章节与怪物'!$E$31:$K$37,B171,4),'章节与怪物'!$A$41:$F$44,4,FALSE)+IF(4=D171,'难度参数'!$E$30,0))</x:f>
        <x:v>952</x:v>
      </x:c>
      <x:c r="AN171" s="119" t="n">
        <x:f>IF(5&gt;D171,0,MAX(2,MIN('难度参数'!$E$12,ROUND(('难度参数'!$E$18*POWER(A171,'难度参数'!$E$19)/D171*(0.85+0.3*(5-1)/MAX(1,D171-1))),0)+F171)))</x:f>
        <x:v>30</x:v>
      </x:c>
      <x:c r="AO171" s="119" t="n">
        <x:f>IF(5&gt;D171,0,ROUND(('难度参数'!$E$13*POWER(A171,'难度参数'!$E$20)*MIN('难度参数'!$E$23,1+MAX(0,A171-'难度参数'!$E$21)*'难度参数'!$E$22))*(36+5*7)/(36+7*(D171+1)/2)*E171,0))</x:f>
        <x:v>5916</x:v>
      </x:c>
      <x:c r="AP171" s="119" t="n">
        <x:f>IF(AN171=0,0,(AN171-IF(5=D171,1,0))*ROUND(AO171*VLOOKUP(INDEX('章节与怪物'!$E$31:$K$37,B171,5),'章节与怪物'!$A$41:$F$44,2,FALSE),0)+IF(5=D171,ROUND(AO171*'难度参数'!$E$28*'章节与怪物'!$E$17,0),0))</x:f>
        <x:v>127800</x:v>
      </x:c>
      <x:c r="AQ171" s="119" t="n">
        <x:f>IF(AN171=0,0,(AN171-IF(5=D171,1,0))*VLOOKUP(INDEX('章节与怪物'!$E$31:$K$37,B171,5),'章节与怪物'!$A$41:$F$44,4,FALSE)+IF(5=D171,'难度参数'!$E$30,0))</x:f>
        <x:v>600</x:v>
      </x:c>
      <x:c r="AR171" s="119" t="n">
        <x:f>IF(6&gt;D171,0,MAX(2,MIN('难度参数'!$E$12,ROUND(('难度参数'!$E$18*POWER(A171,'难度参数'!$E$19)/D171*(0.85+0.3*(6-1)/MAX(1,D171-1))),0)+F171)))</x:f>
        <x:v>31</x:v>
      </x:c>
      <x:c r="AS171" s="119" t="n">
        <x:f>IF(6&gt;D171,0,ROUND(('难度参数'!$E$13*POWER(A171,'难度参数'!$E$20)*MIN('难度参数'!$E$23,1+MAX(0,A171-'难度参数'!$E$21)*'难度参数'!$E$22))*(36+6*7)/(36+7*(D171+1)/2)*E171,0))</x:f>
        <x:v>6499</x:v>
      </x:c>
      <x:c r="AT171" s="119" t="n">
        <x:f>IF(AR171=0,0,(AR171-IF(6=D171,1,0))*ROUND(AS171*VLOOKUP(INDEX('章节与怪物'!$E$31:$K$37,B171,6),'章节与怪物'!$A$41:$F$44,2,FALSE),0)+IF(6=D171,ROUND(AS171*'难度参数'!$E$28*'章节与怪物'!$E$17,0),0))</x:f>
        <x:v>342488</x:v>
      </x:c>
      <x:c r="AU171" s="119" t="n">
        <x:f>IF(AR171=0,0,(AR171-IF(6=D171,1,0))*VLOOKUP(INDEX('章节与怪物'!$E$31:$K$37,B171,6),'章节与怪物'!$A$41:$F$44,4,FALSE)+IF(6=D171,'难度参数'!$E$30,0))</x:f>
        <x:v>868</x:v>
      </x:c>
      <x:c r="AV171" s="119" t="n">
        <x:f>IF(7&gt;D171,0,MAX(2,MIN('难度参数'!$E$12,ROUND(('难度参数'!$E$18*POWER(A171,'难度参数'!$E$19)/D171*(0.85+0.3*(7-1)/MAX(1,D171-1))),0)+F171)))</x:f>
        <x:v>32</x:v>
      </x:c>
      <x:c r="AW171" s="119" t="n">
        <x:f>IF(7&gt;D171,0,ROUND(('难度参数'!$E$13*POWER(A171,'难度参数'!$E$20)*MIN('难度参数'!$E$23,1+MAX(0,A171-'难度参数'!$E$21)*'难度参数'!$E$22))*(36+7*7)/(36+7*(D171+1)/2)*E171,0))</x:f>
        <x:v>7082</x:v>
      </x:c>
      <x:c r="AX171" s="119" t="n">
        <x:f>IF(AV171=0,0,(AV171-IF(7=D171,1,0))*ROUND(AW171*VLOOKUP(INDEX('章节与怪物'!$E$31:$K$37,B171,7),'章节与怪物'!$A$41:$F$44,2,FALSE),0)+IF(7=D171,ROUND(AW171*'难度参数'!$E$28*'章节与怪物'!$E$17,0),0))</x:f>
        <x:v>344549</x:v>
      </x:c>
      <x:c r="AY171" s="119" t="n">
        <x:f>IF(AV171=0,0,(AV171-IF(7=D171,1,0))*VLOOKUP(INDEX('章节与怪物'!$E$31:$K$37,B171,7),'章节与怪物'!$A$41:$F$44,4,FALSE)+IF(7=D171,'难度参数'!$E$30,0))</x:f>
        <x:v>1254</x:v>
      </x:c>
    </x:row>
    <x:row r="172" ht="23" customHeight="1">
      <x:c r="A172" s="119" t="n">
        <x:v>166</x:v>
      </x:c>
      <x:c r="B172" s="119" t="n">
        <x:f>MOD(INT((A172-1)/5),7)+1</x:f>
        <x:v>6</x:v>
      </x:c>
      <x:c r="C172" s="62" t="str">
        <x:f>INDEX('章节与怪物'!$B$31:$B$37,B172)</x:f>
        <x:v>熔岩山脉</x:v>
      </x:c>
      <x:c r="D172" s="119" t="n">
        <x:f>MIN('难度参数'!$E$8,MAX('难度参数'!$E$7,A172))</x:f>
        <x:v>7</x:v>
      </x:c>
      <x:c r="E172" s="106" t="n">
        <x:v>1</x:v>
      </x:c>
      <x:c r="F172" s="106" t="n">
        <x:v>0</x:v>
      </x:c>
      <x:c r="G172" s="106" t="n">
        <x:v>1</x:v>
      </x:c>
      <x:c r="H172" s="119" t="n">
        <x:f>SUM(X172,AB172,AF172,AJ172,AN172,AR172,AV172)</x:f>
        <x:v>197</x:v>
      </x:c>
      <x:c r="I172" s="119" t="n">
        <x:f>SUM(Z172,AD172,AH172,AL172,AP172,AT172,AX172)</x:f>
        <x:v>1456462</x:v>
      </x:c>
      <x:c r="J172" s="119" t="n">
        <x:f>ROUND(INDEX(X172:AY172,1,(D172-1)*4+2)*'难度参数'!$E$28*'章节与怪物'!$E$17,0)</x:f>
        <x:v>48368</x:v>
      </x:c>
      <x:c r="K172" s="119" t="n">
        <x:f>SUM(AA172,AE172,AI172,AM172,AQ172,AU172,AY172)</x:f>
        <x:v>5300</x:v>
      </x:c>
      <x:c r="L172" s="62" t="n">
        <x:f>H172*(ROUNDUP('难度参数'!$E$24/('难度参数'!$E$26*'难度参数'!$E$27),0)*'难度参数'!$E$26)/60</x:f>
        <x:v>2.626666666666667</x:v>
      </x:c>
      <x:c r="M172" s="62" t="n">
        <x:f>L172+D172*('难度参数'!$E$49+'难度参数'!$E$50)/60</x:f>
        <x:v>3.793333333333334</x:v>
      </x:c>
      <x:c r="N172" s="119" t="n">
        <x:f>ROUNDDOWN(('经济参数'!$E$20+A172*'经济参数'!$E$21)*G172,0)</x:f>
        <x:v>3500</x:v>
      </x:c>
      <x:c r="O172" s="119" t="n">
        <x:f>ROUNDDOWN(MIN('经济参数'!$E$24,'经济参数'!$E$22+A172*'经济参数'!$E$23)*G172,0)</x:f>
        <x:v>0</x:v>
      </x:c>
      <x:c r="P172" s="119" t="n">
        <x:f>ROUNDDOWN((IF(A172&gt;='材料与任务'!$E$31,'材料与任务'!$E$32,IF(A172&gt;='材料与任务'!$E$25,'材料与任务'!$E$26,IF(A172&gt;='材料与任务'!$E$19,'材料与任务'!$E$20,IF(A172&gt;='材料与任务'!$E$13,'材料与任务'!$E$14,'材料与任务'!$E$8)))))*G172,0)</x:f>
        <x:v>6</x:v>
      </x:c>
      <x:c r="Q172" s="119" t="n">
        <x:f>ROUNDDOWN((IF(A172&gt;='材料与任务'!$E$31,'材料与任务'!$E$33,IF(A172&gt;='材料与任务'!$E$25,'材料与任务'!$E$27,IF(A172&gt;='材料与任务'!$E$19,'材料与任务'!$E$21,IF(A172&gt;='材料与任务'!$E$13,'材料与任务'!$E$15,'材料与任务'!$E$9)))))*G172,0)</x:f>
        <x:v>3</x:v>
      </x:c>
      <x:c r="R172" s="110" t="n">
        <x:f>'装备掉落'!$B$38</x:f>
        <x:v>0.6872058758851213</x:v>
      </x:c>
      <x:c r="S172" s="119" t="n">
        <x:f>MAX(IF(VLOOKUP(A172,'装备掉落'!$A$29:$H$34,2,TRUE)&gt;0,1,0),IF(VLOOKUP(A172,'装备掉落'!$A$29:$H$34,3,TRUE)&gt;0,2,0),IF(VLOOKUP(A172,'装备掉落'!$A$29:$H$34,4,TRUE)&gt;0,3,0),IF(VLOOKUP(A172,'装备掉落'!$A$29:$H$34,5,TRUE)&gt;0,4,0),IF(VLOOKUP(A172,'装备掉落'!$A$29:$H$34,6,TRUE)&gt;0,5,0),IF(VLOOKUP(A172,'装备掉落'!$A$29:$H$34,7,TRUE)&gt;0,6,0),IF(VLOOKUP(A172,'装备掉落'!$A$29:$H$34,8,TRUE)&gt;0,7,0))</x:f>
        <x:v>7</x:v>
      </x:c>
      <x:c r="T172" s="119" t="n">
        <x:f>MIN(7,S172+'经济参数'!$E$70)</x:f>
        <x:v>7</x:v>
      </x:c>
      <x:c r="U172" s="119" t="n">
        <x:f>MIN(7,S172+'经济参数'!$E$71)</x:f>
        <x:v>7</x:v>
      </x:c>
      <x:c r="V172" s="119" t="n">
        <x:f>IF(H172&gt;=('难度参数'!$E$52),1,0)+IF(H172&gt;=('难度参数'!$E$52+'难度参数'!$E$53),1,0)+IF(H172&gt;=('难度参数'!$E$52+'难度参数'!$E$53+'难度参数'!$E$54),1,0)+IF(H172&gt;=('难度参数'!$E$52+'难度参数'!$E$53+'难度参数'!$E$54+'难度参数'!$E$55),1,0)+IF(H172&gt;=('难度参数'!$E$52+'难度参数'!$E$53+'难度参数'!$E$54+'难度参数'!$E$55+'难度参数'!$E$56),1,0)+IF(H172&gt;=('难度参数'!$E$52+'难度参数'!$E$53+'难度参数'!$E$54+'难度参数'!$E$55+'难度参数'!$E$56+'难度参数'!$E$57),1,0)</x:f>
        <x:v>6</x:v>
      </x:c>
      <x:c r="W172" s="62" t="str">
        <x:f>IF(L172&gt;'难度参数'!$E$51,"仅出怪已超目标","还需实测")</x:f>
        <x:v>还需实测</x:v>
      </x:c>
      <x:c r="X172" s="119" t="n">
        <x:f>IF(1&gt;D172,0,MAX(2,MIN('难度参数'!$E$12,ROUND(('难度参数'!$E$18*POWER(A172,'难度参数'!$E$19)/D172*(0.85+0.3*(1-1)/MAX(1,D172-1))),0)+F172)))</x:f>
        <x:v>24</x:v>
      </x:c>
      <x:c r="Y172" s="119" t="n">
        <x:f>IF(1&gt;D172,0,ROUND(('难度参数'!$E$13*POWER(A172,'难度参数'!$E$20)*MIN('难度参数'!$E$23,1+MAX(0,A172-'难度参数'!$E$21)*'难度参数'!$E$22))*(36+1*7)/(36+7*(D172+1)/2)*E172,0))</x:f>
        <x:v>3598</x:v>
      </x:c>
      <x:c r="Z172" s="119" t="n">
        <x:f>IF(X172=0,0,(X172-IF(1=D172,1,0))*ROUND(Y172*VLOOKUP(INDEX('章节与怪物'!$E$31:$K$37,B172,1),'章节与怪物'!$A$41:$F$44,2,FALSE),0)+IF(1=D172,ROUND(Y172*'难度参数'!$E$28*'章节与怪物'!$E$17,0),0))</x:f>
        <x:v>62184</x:v>
      </x:c>
      <x:c r="AA172" s="119" t="n">
        <x:f>IF(X172=0,0,(X172-IF(1=D172,1,0))*VLOOKUP(INDEX('章节与怪物'!$E$31:$K$37,B172,1),'章节与怪物'!$A$41:$F$44,4,FALSE)+IF(1=D172,'难度参数'!$E$30,0))</x:f>
        <x:v>480</x:v>
      </x:c>
      <x:c r="AB172" s="119" t="n">
        <x:f>IF(2&gt;D172,0,MAX(2,MIN('难度参数'!$E$12,ROUND(('难度参数'!$E$18*POWER(A172,'难度参数'!$E$19)/D172*(0.85+0.3*(2-1)/MAX(1,D172-1))),0)+F172)))</x:f>
        <x:v>25</x:v>
      </x:c>
      <x:c r="AC172" s="119" t="n">
        <x:f>IF(2&gt;D172,0,ROUND(('难度参数'!$E$13*POWER(A172,'难度参数'!$E$20)*MIN('难度参数'!$E$23,1+MAX(0,A172-'难度参数'!$E$21)*'难度参数'!$E$22))*(36+2*7)/(36+7*(D172+1)/2)*E172,0))</x:f>
        <x:v>4184</x:v>
      </x:c>
      <x:c r="AD172" s="119" t="n">
        <x:f>IF(AB172=0,0,(AB172-IF(2=D172,1,0))*ROUND(AC172*VLOOKUP(INDEX('章节与怪物'!$E$31:$K$37,B172,2),'章节与怪物'!$A$41:$F$44,2,FALSE),0)+IF(2=D172,ROUND(AC172*'难度参数'!$E$28*'章节与怪物'!$E$17,0),0))</x:f>
        <x:v>104600</x:v>
      </x:c>
      <x:c r="AE172" s="119" t="n">
        <x:f>IF(AB172=0,0,(AB172-IF(2=D172,1,0))*VLOOKUP(INDEX('章节与怪物'!$E$31:$K$37,B172,2),'章节与怪物'!$A$41:$F$44,4,FALSE)+IF(2=D172,'难度参数'!$E$30,0))</x:f>
        <x:v>450</x:v>
      </x:c>
      <x:c r="AF172" s="119" t="n">
        <x:f>IF(3&gt;D172,0,MAX(2,MIN('难度参数'!$E$12,ROUND(('难度参数'!$E$18*POWER(A172,'难度参数'!$E$19)/D172*(0.85+0.3*(3-1)/MAX(1,D172-1))),0)+F172)))</x:f>
        <x:v>27</x:v>
      </x:c>
      <x:c r="AG172" s="119" t="n">
        <x:f>IF(3&gt;D172,0,ROUND(('难度参数'!$E$13*POWER(A172,'难度参数'!$E$20)*MIN('难度参数'!$E$23,1+MAX(0,A172-'难度参数'!$E$21)*'难度参数'!$E$22))*(36+3*7)/(36+7*(D172+1)/2)*E172,0))</x:f>
        <x:v>4770</x:v>
      </x:c>
      <x:c r="AH172" s="119" t="n">
        <x:f>IF(AF172=0,0,(AF172-IF(3=D172,1,0))*ROUND(AG172*VLOOKUP(INDEX('章节与怪物'!$E$31:$K$37,B172,3),'章节与怪物'!$A$41:$F$44,2,FALSE),0)+IF(3=D172,ROUND(AG172*'难度参数'!$E$28*'章节与怪物'!$E$17,0),0))</x:f>
        <x:v>218943</x:v>
      </x:c>
      <x:c r="AI172" s="119" t="n">
        <x:f>IF(AF172=0,0,(AF172-IF(3=D172,1,0))*VLOOKUP(INDEX('章节与怪物'!$E$31:$K$37,B172,3),'章节与怪物'!$A$41:$F$44,4,FALSE)+IF(3=D172,'难度参数'!$E$30,0))</x:f>
        <x:v>756</x:v>
      </x:c>
      <x:c r="AJ172" s="119" t="n">
        <x:f>IF(4&gt;D172,0,MAX(2,MIN('难度参数'!$E$12,ROUND(('难度参数'!$E$18*POWER(A172,'难度参数'!$E$19)/D172*(0.85+0.3*(4-1)/MAX(1,D172-1))),0)+F172)))</x:f>
        <x:v>28</x:v>
      </x:c>
      <x:c r="AK172" s="119" t="n">
        <x:f>IF(4&gt;D172,0,ROUND(('难度参数'!$E$13*POWER(A172,'难度参数'!$E$20)*MIN('难度参数'!$E$23,1+MAX(0,A172-'难度参数'!$E$21)*'难度参数'!$E$22))*(36+4*7)/(36+7*(D172+1)/2)*E172,0))</x:f>
        <x:v>5356</x:v>
      </x:c>
      <x:c r="AL172" s="119" t="n">
        <x:f>IF(AJ172=0,0,(AJ172-IF(4=D172,1,0))*ROUND(AK172*VLOOKUP(INDEX('章节与怪物'!$E$31:$K$37,B172,4),'章节与怪物'!$A$41:$F$44,2,FALSE),0)+IF(4=D172,ROUND(AK172*'难度参数'!$E$28*'章节与怪物'!$E$17,0),0))</x:f>
        <x:v>202468</x:v>
      </x:c>
      <x:c r="AM172" s="119" t="n">
        <x:f>IF(AJ172=0,0,(AJ172-IF(4=D172,1,0))*VLOOKUP(INDEX('章节与怪物'!$E$31:$K$37,B172,4),'章节与怪物'!$A$41:$F$44,4,FALSE)+IF(4=D172,'难度参数'!$E$30,0))</x:f>
        <x:v>952</x:v>
      </x:c>
      <x:c r="AN172" s="119" t="n">
        <x:f>IF(5&gt;D172,0,MAX(2,MIN('难度参数'!$E$12,ROUND(('难度参数'!$E$18*POWER(A172,'难度参数'!$E$19)/D172*(0.85+0.3*(5-1)/MAX(1,D172-1))),0)+F172)))</x:f>
        <x:v>30</x:v>
      </x:c>
      <x:c r="AO172" s="119" t="n">
        <x:f>IF(5&gt;D172,0,ROUND(('难度参数'!$E$13*POWER(A172,'难度参数'!$E$20)*MIN('难度参数'!$E$23,1+MAX(0,A172-'难度参数'!$E$21)*'难度参数'!$E$22))*(36+5*7)/(36+7*(D172+1)/2)*E172,0))</x:f>
        <x:v>5941</x:v>
      </x:c>
      <x:c r="AP172" s="119" t="n">
        <x:f>IF(AN172=0,0,(AN172-IF(5=D172,1,0))*ROUND(AO172*VLOOKUP(INDEX('章节与怪物'!$E$31:$K$37,B172,5),'章节与怪物'!$A$41:$F$44,2,FALSE),0)+IF(5=D172,ROUND(AO172*'难度参数'!$E$28*'章节与怪物'!$E$17,0),0))</x:f>
        <x:v>178230</x:v>
      </x:c>
      <x:c r="AQ172" s="119" t="n">
        <x:f>IF(AN172=0,0,(AN172-IF(5=D172,1,0))*VLOOKUP(INDEX('章节与怪物'!$E$31:$K$37,B172,5),'章节与怪物'!$A$41:$F$44,4,FALSE)+IF(5=D172,'难度参数'!$E$30,0))</x:f>
        <x:v>540</x:v>
      </x:c>
      <x:c r="AR172" s="119" t="n">
        <x:f>IF(6&gt;D172,0,MAX(2,MIN('难度参数'!$E$12,ROUND(('难度参数'!$E$18*POWER(A172,'难度参数'!$E$19)/D172*(0.85+0.3*(6-1)/MAX(1,D172-1))),0)+F172)))</x:f>
        <x:v>31</x:v>
      </x:c>
      <x:c r="AS172" s="119" t="n">
        <x:f>IF(6&gt;D172,0,ROUND(('难度参数'!$E$13*POWER(A172,'难度参数'!$E$20)*MIN('难度参数'!$E$23,1+MAX(0,A172-'难度参数'!$E$21)*'难度参数'!$E$22))*(36+6*7)/(36+7*(D172+1)/2)*E172,0))</x:f>
        <x:v>6527</x:v>
      </x:c>
      <x:c r="AT172" s="119" t="n">
        <x:f>IF(AR172=0,0,(AR172-IF(6=D172,1,0))*ROUND(AS172*VLOOKUP(INDEX('章节与怪物'!$E$31:$K$37,B172,6),'章节与怪物'!$A$41:$F$44,2,FALSE),0)+IF(6=D172,ROUND(AS172*'难度参数'!$E$28*'章节与怪物'!$E$17,0),0))</x:f>
        <x:v>343976</x:v>
      </x:c>
      <x:c r="AU172" s="119" t="n">
        <x:f>IF(AR172=0,0,(AR172-IF(6=D172,1,0))*VLOOKUP(INDEX('章节与怪物'!$E$31:$K$37,B172,6),'章节与怪物'!$A$41:$F$44,4,FALSE)+IF(6=D172,'难度参数'!$E$30,0))</x:f>
        <x:v>868</x:v>
      </x:c>
      <x:c r="AV172" s="119" t="n">
        <x:f>IF(7&gt;D172,0,MAX(2,MIN('难度参数'!$E$12,ROUND(('难度参数'!$E$18*POWER(A172,'难度参数'!$E$19)/D172*(0.85+0.3*(7-1)/MAX(1,D172-1))),0)+F172)))</x:f>
        <x:v>32</x:v>
      </x:c>
      <x:c r="AW172" s="119" t="n">
        <x:f>IF(7&gt;D172,0,ROUND(('难度参数'!$E$13*POWER(A172,'难度参数'!$E$20)*MIN('难度参数'!$E$23,1+MAX(0,A172-'难度参数'!$E$21)*'难度参数'!$E$22))*(36+7*7)/(36+7*(D172+1)/2)*E172,0))</x:f>
        <x:v>7113</x:v>
      </x:c>
      <x:c r="AX172" s="119" t="n">
        <x:f>IF(AV172=0,0,(AV172-IF(7=D172,1,0))*ROUND(AW172*VLOOKUP(INDEX('章节与怪物'!$E$31:$K$37,B172,7),'章节与怪物'!$A$41:$F$44,2,FALSE),0)+IF(7=D172,ROUND(AW172*'难度参数'!$E$28*'章节与怪物'!$E$17,0),0))</x:f>
        <x:v>346061</x:v>
      </x:c>
      <x:c r="AY172" s="119" t="n">
        <x:f>IF(AV172=0,0,(AV172-IF(7=D172,1,0))*VLOOKUP(INDEX('章节与怪物'!$E$31:$K$37,B172,7),'章节与怪物'!$A$41:$F$44,4,FALSE)+IF(7=D172,'难度参数'!$E$30,0))</x:f>
        <x:v>1254</x:v>
      </x:c>
    </x:row>
    <x:row r="173" ht="23" customHeight="1">
      <x:c r="A173" s="119" t="n">
        <x:v>167</x:v>
      </x:c>
      <x:c r="B173" s="119" t="n">
        <x:f>MOD(INT((A173-1)/5),7)+1</x:f>
        <x:v>6</x:v>
      </x:c>
      <x:c r="C173" s="62" t="str">
        <x:f>INDEX('章节与怪物'!$B$31:$B$37,B173)</x:f>
        <x:v>熔岩山脉</x:v>
      </x:c>
      <x:c r="D173" s="119" t="n">
        <x:f>MIN('难度参数'!$E$8,MAX('难度参数'!$E$7,A173))</x:f>
        <x:v>7</x:v>
      </x:c>
      <x:c r="E173" s="106" t="n">
        <x:v>1</x:v>
      </x:c>
      <x:c r="F173" s="106" t="n">
        <x:v>0</x:v>
      </x:c>
      <x:c r="G173" s="106" t="n">
        <x:v>1</x:v>
      </x:c>
      <x:c r="H173" s="119" t="n">
        <x:f>SUM(X173,AB173,AF173,AJ173,AN173,AR173,AV173)</x:f>
        <x:v>198</x:v>
      </x:c>
      <x:c r="I173" s="119" t="n">
        <x:f>SUM(Z173,AD173,AH173,AL173,AP173,AT173,AX173)</x:f>
        <x:v>1472410</x:v>
      </x:c>
      <x:c r="J173" s="119" t="n">
        <x:f>ROUND(INDEX(X173:AY173,1,(D173-1)*4+2)*'难度参数'!$E$28*'章节与怪物'!$E$17,0)</x:f>
        <x:v>48579</x:v>
      </x:c>
      <x:c r="K173" s="119" t="n">
        <x:f>SUM(AA173,AE173,AI173,AM173,AQ173,AU173,AY173)</x:f>
        <x:v>5334</x:v>
      </x:c>
      <x:c r="L173" s="62" t="n">
        <x:f>H173*(ROUNDUP('难度参数'!$E$24/('难度参数'!$E$26*'难度参数'!$E$27),0)*'难度参数'!$E$26)/60</x:f>
        <x:v>2.64</x:v>
      </x:c>
      <x:c r="M173" s="62" t="n">
        <x:f>L173+D173*('难度参数'!$E$49+'难度参数'!$E$50)/60</x:f>
        <x:v>3.8066666666666666</x:v>
      </x:c>
      <x:c r="N173" s="119" t="n">
        <x:f>ROUNDDOWN(('经济参数'!$E$20+A173*'经济参数'!$E$21)*G173,0)</x:f>
        <x:v>3520</x:v>
      </x:c>
      <x:c r="O173" s="119" t="n">
        <x:f>ROUNDDOWN(MIN('经济参数'!$E$24,'经济参数'!$E$22+A173*'经济参数'!$E$23)*G173,0)</x:f>
        <x:v>0</x:v>
      </x:c>
      <x:c r="P173" s="119" t="n">
        <x:f>ROUNDDOWN((IF(A173&gt;='材料与任务'!$E$31,'材料与任务'!$E$32,IF(A173&gt;='材料与任务'!$E$25,'材料与任务'!$E$26,IF(A173&gt;='材料与任务'!$E$19,'材料与任务'!$E$20,IF(A173&gt;='材料与任务'!$E$13,'材料与任务'!$E$14,'材料与任务'!$E$8)))))*G173,0)</x:f>
        <x:v>6</x:v>
      </x:c>
      <x:c r="Q173" s="119" t="n">
        <x:f>ROUNDDOWN((IF(A173&gt;='材料与任务'!$E$31,'材料与任务'!$E$33,IF(A173&gt;='材料与任务'!$E$25,'材料与任务'!$E$27,IF(A173&gt;='材料与任务'!$E$19,'材料与任务'!$E$21,IF(A173&gt;='材料与任务'!$E$13,'材料与任务'!$E$15,'材料与任务'!$E$9)))))*G173,0)</x:f>
        <x:v>3</x:v>
      </x:c>
      <x:c r="R173" s="110" t="n">
        <x:f>'装备掉落'!$B$38</x:f>
        <x:v>0.6872058758851213</x:v>
      </x:c>
      <x:c r="S173" s="119" t="n">
        <x:f>MAX(IF(VLOOKUP(A173,'装备掉落'!$A$29:$H$34,2,TRUE)&gt;0,1,0),IF(VLOOKUP(A173,'装备掉落'!$A$29:$H$34,3,TRUE)&gt;0,2,0),IF(VLOOKUP(A173,'装备掉落'!$A$29:$H$34,4,TRUE)&gt;0,3,0),IF(VLOOKUP(A173,'装备掉落'!$A$29:$H$34,5,TRUE)&gt;0,4,0),IF(VLOOKUP(A173,'装备掉落'!$A$29:$H$34,6,TRUE)&gt;0,5,0),IF(VLOOKUP(A173,'装备掉落'!$A$29:$H$34,7,TRUE)&gt;0,6,0),IF(VLOOKUP(A173,'装备掉落'!$A$29:$H$34,8,TRUE)&gt;0,7,0))</x:f>
        <x:v>7</x:v>
      </x:c>
      <x:c r="T173" s="119" t="n">
        <x:f>MIN(7,S173+'经济参数'!$E$70)</x:f>
        <x:v>7</x:v>
      </x:c>
      <x:c r="U173" s="119" t="n">
        <x:f>MIN(7,S173+'经济参数'!$E$71)</x:f>
        <x:v>7</x:v>
      </x:c>
      <x:c r="V173" s="119" t="n">
        <x:f>IF(H173&gt;=('难度参数'!$E$52),1,0)+IF(H173&gt;=('难度参数'!$E$52+'难度参数'!$E$53),1,0)+IF(H173&gt;=('难度参数'!$E$52+'难度参数'!$E$53+'难度参数'!$E$54),1,0)+IF(H173&gt;=('难度参数'!$E$52+'难度参数'!$E$53+'难度参数'!$E$54+'难度参数'!$E$55),1,0)+IF(H173&gt;=('难度参数'!$E$52+'难度参数'!$E$53+'难度参数'!$E$54+'难度参数'!$E$55+'难度参数'!$E$56),1,0)+IF(H173&gt;=('难度参数'!$E$52+'难度参数'!$E$53+'难度参数'!$E$54+'难度参数'!$E$55+'难度参数'!$E$56+'难度参数'!$E$57),1,0)</x:f>
        <x:v>6</x:v>
      </x:c>
      <x:c r="W173" s="62" t="str">
        <x:f>IF(L173&gt;'难度参数'!$E$51,"仅出怪已超目标","还需实测")</x:f>
        <x:v>还需实测</x:v>
      </x:c>
      <x:c r="X173" s="119" t="n">
        <x:f>IF(1&gt;D173,0,MAX(2,MIN('难度参数'!$E$12,ROUND(('难度参数'!$E$18*POWER(A173,'难度参数'!$E$19)/D173*(0.85+0.3*(1-1)/MAX(1,D173-1))),0)+F173)))</x:f>
        <x:v>24</x:v>
      </x:c>
      <x:c r="Y173" s="119" t="n">
        <x:f>IF(1&gt;D173,0,ROUND(('难度参数'!$E$13*POWER(A173,'难度参数'!$E$20)*MIN('难度参数'!$E$23,1+MAX(0,A173-'难度参数'!$E$21)*'难度参数'!$E$22))*(36+1*7)/(36+7*(D173+1)/2)*E173,0))</x:f>
        <x:v>3614</x:v>
      </x:c>
      <x:c r="Z173" s="119" t="n">
        <x:f>IF(X173=0,0,(X173-IF(1=D173,1,0))*ROUND(Y173*VLOOKUP(INDEX('章节与怪物'!$E$31:$K$37,B173,1),'章节与怪物'!$A$41:$F$44,2,FALSE),0)+IF(1=D173,ROUND(Y173*'难度参数'!$E$28*'章节与怪物'!$E$17,0),0))</x:f>
        <x:v>62448</x:v>
      </x:c>
      <x:c r="AA173" s="119" t="n">
        <x:f>IF(X173=0,0,(X173-IF(1=D173,1,0))*VLOOKUP(INDEX('章节与怪物'!$E$31:$K$37,B173,1),'章节与怪物'!$A$41:$F$44,4,FALSE)+IF(1=D173,'难度参数'!$E$30,0))</x:f>
        <x:v>480</x:v>
      </x:c>
      <x:c r="AB173" s="119" t="n">
        <x:f>IF(2&gt;D173,0,MAX(2,MIN('难度参数'!$E$12,ROUND(('难度参数'!$E$18*POWER(A173,'难度参数'!$E$19)/D173*(0.85+0.3*(2-1)/MAX(1,D173-1))),0)+F173)))</x:f>
        <x:v>25</x:v>
      </x:c>
      <x:c r="AC173" s="119" t="n">
        <x:f>IF(2&gt;D173,0,ROUND(('难度参数'!$E$13*POWER(A173,'难度参数'!$E$20)*MIN('难度参数'!$E$23,1+MAX(0,A173-'难度参数'!$E$21)*'难度参数'!$E$22))*(36+2*7)/(36+7*(D173+1)/2)*E173,0))</x:f>
        <x:v>4202</x:v>
      </x:c>
      <x:c r="AD173" s="119" t="n">
        <x:f>IF(AB173=0,0,(AB173-IF(2=D173,1,0))*ROUND(AC173*VLOOKUP(INDEX('章节与怪物'!$E$31:$K$37,B173,2),'章节与怪物'!$A$41:$F$44,2,FALSE),0)+IF(2=D173,ROUND(AC173*'难度参数'!$E$28*'章节与怪物'!$E$17,0),0))</x:f>
        <x:v>105050</x:v>
      </x:c>
      <x:c r="AE173" s="119" t="n">
        <x:f>IF(AB173=0,0,(AB173-IF(2=D173,1,0))*VLOOKUP(INDEX('章节与怪物'!$E$31:$K$37,B173,2),'章节与怪物'!$A$41:$F$44,4,FALSE)+IF(2=D173,'难度参数'!$E$30,0))</x:f>
        <x:v>450</x:v>
      </x:c>
      <x:c r="AF173" s="119" t="n">
        <x:f>IF(3&gt;D173,0,MAX(2,MIN('难度参数'!$E$12,ROUND(('难度参数'!$E$18*POWER(A173,'难度参数'!$E$19)/D173*(0.85+0.3*(3-1)/MAX(1,D173-1))),0)+F173)))</x:f>
        <x:v>27</x:v>
      </x:c>
      <x:c r="AG173" s="119" t="n">
        <x:f>IF(3&gt;D173,0,ROUND(('难度参数'!$E$13*POWER(A173,'难度参数'!$E$20)*MIN('难度参数'!$E$23,1+MAX(0,A173-'难度参数'!$E$21)*'难度参数'!$E$22))*(36+3*7)/(36+7*(D173+1)/2)*E173,0))</x:f>
        <x:v>4791</x:v>
      </x:c>
      <x:c r="AH173" s="119" t="n">
        <x:f>IF(AF173=0,0,(AF173-IF(3=D173,1,0))*ROUND(AG173*VLOOKUP(INDEX('章节与怪物'!$E$31:$K$37,B173,3),'章节与怪物'!$A$41:$F$44,2,FALSE),0)+IF(3=D173,ROUND(AG173*'难度参数'!$E$28*'章节与怪物'!$E$17,0),0))</x:f>
        <x:v>219915</x:v>
      </x:c>
      <x:c r="AI173" s="119" t="n">
        <x:f>IF(AF173=0,0,(AF173-IF(3=D173,1,0))*VLOOKUP(INDEX('章节与怪物'!$E$31:$K$37,B173,3),'章节与怪物'!$A$41:$F$44,4,FALSE)+IF(3=D173,'难度参数'!$E$30,0))</x:f>
        <x:v>756</x:v>
      </x:c>
      <x:c r="AJ173" s="119" t="n">
        <x:f>IF(4&gt;D173,0,MAX(2,MIN('难度参数'!$E$12,ROUND(('难度参数'!$E$18*POWER(A173,'难度参数'!$E$19)/D173*(0.85+0.3*(4-1)/MAX(1,D173-1))),0)+F173)))</x:f>
        <x:v>28</x:v>
      </x:c>
      <x:c r="AK173" s="119" t="n">
        <x:f>IF(4&gt;D173,0,ROUND(('难度参数'!$E$13*POWER(A173,'难度参数'!$E$20)*MIN('难度参数'!$E$23,1+MAX(0,A173-'难度参数'!$E$21)*'难度参数'!$E$22))*(36+4*7)/(36+7*(D173+1)/2)*E173,0))</x:f>
        <x:v>5379</x:v>
      </x:c>
      <x:c r="AL173" s="119" t="n">
        <x:f>IF(AJ173=0,0,(AJ173-IF(4=D173,1,0))*ROUND(AK173*VLOOKUP(INDEX('章节与怪物'!$E$31:$K$37,B173,4),'章节与怪物'!$A$41:$F$44,2,FALSE),0)+IF(4=D173,ROUND(AK173*'难度参数'!$E$28*'章节与怪物'!$E$17,0),0))</x:f>
        <x:v>203336</x:v>
      </x:c>
      <x:c r="AM173" s="119" t="n">
        <x:f>IF(AJ173=0,0,(AJ173-IF(4=D173,1,0))*VLOOKUP(INDEX('章节与怪物'!$E$31:$K$37,B173,4),'章节与怪物'!$A$41:$F$44,4,FALSE)+IF(4=D173,'难度参数'!$E$30,0))</x:f>
        <x:v>952</x:v>
      </x:c>
      <x:c r="AN173" s="119" t="n">
        <x:f>IF(5&gt;D173,0,MAX(2,MIN('难度参数'!$E$12,ROUND(('难度参数'!$E$18*POWER(A173,'难度参数'!$E$19)/D173*(0.85+0.3*(5-1)/MAX(1,D173-1))),0)+F173)))</x:f>
        <x:v>30</x:v>
      </x:c>
      <x:c r="AO173" s="119" t="n">
        <x:f>IF(5&gt;D173,0,ROUND(('难度参数'!$E$13*POWER(A173,'难度参数'!$E$20)*MIN('难度参数'!$E$23,1+MAX(0,A173-'难度参数'!$E$21)*'难度参数'!$E$22))*(36+5*7)/(36+7*(D173+1)/2)*E173,0))</x:f>
        <x:v>5967</x:v>
      </x:c>
      <x:c r="AP173" s="119" t="n">
        <x:f>IF(AN173=0,0,(AN173-IF(5=D173,1,0))*ROUND(AO173*VLOOKUP(INDEX('章节与怪物'!$E$31:$K$37,B173,5),'章节与怪物'!$A$41:$F$44,2,FALSE),0)+IF(5=D173,ROUND(AO173*'难度参数'!$E$28*'章节与怪物'!$E$17,0),0))</x:f>
        <x:v>179010</x:v>
      </x:c>
      <x:c r="AQ173" s="119" t="n">
        <x:f>IF(AN173=0,0,(AN173-IF(5=D173,1,0))*VLOOKUP(INDEX('章节与怪物'!$E$31:$K$37,B173,5),'章节与怪物'!$A$41:$F$44,4,FALSE)+IF(5=D173,'难度参数'!$E$30,0))</x:f>
        <x:v>540</x:v>
      </x:c>
      <x:c r="AR173" s="119" t="n">
        <x:f>IF(6&gt;D173,0,MAX(2,MIN('难度参数'!$E$12,ROUND(('难度参数'!$E$18*POWER(A173,'难度参数'!$E$19)/D173*(0.85+0.3*(6-1)/MAX(1,D173-1))),0)+F173)))</x:f>
        <x:v>31</x:v>
      </x:c>
      <x:c r="AS173" s="119" t="n">
        <x:f>IF(6&gt;D173,0,ROUND(('难度参数'!$E$13*POWER(A173,'难度参数'!$E$20)*MIN('难度参数'!$E$23,1+MAX(0,A173-'难度参数'!$E$21)*'难度参数'!$E$22))*(36+6*7)/(36+7*(D173+1)/2)*E173,0))</x:f>
        <x:v>6555</x:v>
      </x:c>
      <x:c r="AT173" s="119" t="n">
        <x:f>IF(AR173=0,0,(AR173-IF(6=D173,1,0))*ROUND(AS173*VLOOKUP(INDEX('章节与怪物'!$E$31:$K$37,B173,6),'章节与怪物'!$A$41:$F$44,2,FALSE),0)+IF(6=D173,ROUND(AS173*'难度参数'!$E$28*'章节与怪物'!$E$17,0),0))</x:f>
        <x:v>345464</x:v>
      </x:c>
      <x:c r="AU173" s="119" t="n">
        <x:f>IF(AR173=0,0,(AR173-IF(6=D173,1,0))*VLOOKUP(INDEX('章节与怪物'!$E$31:$K$37,B173,6),'章节与怪物'!$A$41:$F$44,4,FALSE)+IF(6=D173,'难度参数'!$E$30,0))</x:f>
        <x:v>868</x:v>
      </x:c>
      <x:c r="AV173" s="119" t="n">
        <x:f>IF(7&gt;D173,0,MAX(2,MIN('难度参数'!$E$12,ROUND(('难度参数'!$E$18*POWER(A173,'难度参数'!$E$19)/D173*(0.85+0.3*(7-1)/MAX(1,D173-1))),0)+F173)))</x:f>
        <x:v>33</x:v>
      </x:c>
      <x:c r="AW173" s="119" t="n">
        <x:f>IF(7&gt;D173,0,ROUND(('难度参数'!$E$13*POWER(A173,'难度参数'!$E$20)*MIN('难度参数'!$E$23,1+MAX(0,A173-'难度参数'!$E$21)*'难度参数'!$E$22))*(36+7*7)/(36+7*(D173+1)/2)*E173,0))</x:f>
        <x:v>7144</x:v>
      </x:c>
      <x:c r="AX173" s="119" t="n">
        <x:f>IF(AV173=0,0,(AV173-IF(7=D173,1,0))*ROUND(AW173*VLOOKUP(INDEX('章节与怪物'!$E$31:$K$37,B173,7),'章节与怪物'!$A$41:$F$44,2,FALSE),0)+IF(7=D173,ROUND(AW173*'难度参数'!$E$28*'章节与怪物'!$E$17,0),0))</x:f>
        <x:v>357187</x:v>
      </x:c>
      <x:c r="AY173" s="119" t="n">
        <x:f>IF(AV173=0,0,(AV173-IF(7=D173,1,0))*VLOOKUP(INDEX('章节与怪物'!$E$31:$K$37,B173,7),'章节与怪物'!$A$41:$F$44,4,FALSE)+IF(7=D173,'难度参数'!$E$30,0))</x:f>
        <x:v>1288</x:v>
      </x:c>
    </x:row>
    <x:row r="174" ht="23" customHeight="1">
      <x:c r="A174" s="119" t="n">
        <x:v>168</x:v>
      </x:c>
      <x:c r="B174" s="119" t="n">
        <x:f>MOD(INT((A174-1)/5),7)+1</x:f>
        <x:v>6</x:v>
      </x:c>
      <x:c r="C174" s="62" t="str">
        <x:f>INDEX('章节与怪物'!$B$31:$B$37,B174)</x:f>
        <x:v>熔岩山脉</x:v>
      </x:c>
      <x:c r="D174" s="119" t="n">
        <x:f>MIN('难度参数'!$E$8,MAX('难度参数'!$E$7,A174))</x:f>
        <x:v>7</x:v>
      </x:c>
      <x:c r="E174" s="106" t="n">
        <x:v>1</x:v>
      </x:c>
      <x:c r="F174" s="106" t="n">
        <x:v>0</x:v>
      </x:c>
      <x:c r="G174" s="106" t="n">
        <x:v>1</x:v>
      </x:c>
      <x:c r="H174" s="119" t="n">
        <x:f>SUM(X174,AB174,AF174,AJ174,AN174,AR174,AV174)</x:f>
        <x:v>198</x:v>
      </x:c>
      <x:c r="I174" s="119" t="n">
        <x:f>SUM(Z174,AD174,AH174,AL174,AP174,AT174,AX174)</x:f>
        <x:v>1478764</x:v>
      </x:c>
      <x:c r="J174" s="119" t="n">
        <x:f>ROUND(INDEX(X174:AY174,1,(D174-1)*4+2)*'难度参数'!$E$28*'章节与怪物'!$E$17,0)</x:f>
        <x:v>48790</x:v>
      </x:c>
      <x:c r="K174" s="119" t="n">
        <x:f>SUM(AA174,AE174,AI174,AM174,AQ174,AU174,AY174)</x:f>
        <x:v>5334</x:v>
      </x:c>
      <x:c r="L174" s="62" t="n">
        <x:f>H174*(ROUNDUP('难度参数'!$E$24/('难度参数'!$E$26*'难度参数'!$E$27),0)*'难度参数'!$E$26)/60</x:f>
        <x:v>2.64</x:v>
      </x:c>
      <x:c r="M174" s="62" t="n">
        <x:f>L174+D174*('难度参数'!$E$49+'难度参数'!$E$50)/60</x:f>
        <x:v>3.8066666666666666</x:v>
      </x:c>
      <x:c r="N174" s="119" t="n">
        <x:f>ROUNDDOWN(('经济参数'!$E$20+A174*'经济参数'!$E$21)*G174,0)</x:f>
        <x:v>3540</x:v>
      </x:c>
      <x:c r="O174" s="119" t="n">
        <x:f>ROUNDDOWN(MIN('经济参数'!$E$24,'经济参数'!$E$22+A174*'经济参数'!$E$23)*G174,0)</x:f>
        <x:v>0</x:v>
      </x:c>
      <x:c r="P174" s="119" t="n">
        <x:f>ROUNDDOWN((IF(A174&gt;='材料与任务'!$E$31,'材料与任务'!$E$32,IF(A174&gt;='材料与任务'!$E$25,'材料与任务'!$E$26,IF(A174&gt;='材料与任务'!$E$19,'材料与任务'!$E$20,IF(A174&gt;='材料与任务'!$E$13,'材料与任务'!$E$14,'材料与任务'!$E$8)))))*G174,0)</x:f>
        <x:v>6</x:v>
      </x:c>
      <x:c r="Q174" s="119" t="n">
        <x:f>ROUNDDOWN((IF(A174&gt;='材料与任务'!$E$31,'材料与任务'!$E$33,IF(A174&gt;='材料与任务'!$E$25,'材料与任务'!$E$27,IF(A174&gt;='材料与任务'!$E$19,'材料与任务'!$E$21,IF(A174&gt;='材料与任务'!$E$13,'材料与任务'!$E$15,'材料与任务'!$E$9)))))*G174,0)</x:f>
        <x:v>3</x:v>
      </x:c>
      <x:c r="R174" s="110" t="n">
        <x:f>'装备掉落'!$B$38</x:f>
        <x:v>0.6872058758851213</x:v>
      </x:c>
      <x:c r="S174" s="119" t="n">
        <x:f>MAX(IF(VLOOKUP(A174,'装备掉落'!$A$29:$H$34,2,TRUE)&gt;0,1,0),IF(VLOOKUP(A174,'装备掉落'!$A$29:$H$34,3,TRUE)&gt;0,2,0),IF(VLOOKUP(A174,'装备掉落'!$A$29:$H$34,4,TRUE)&gt;0,3,0),IF(VLOOKUP(A174,'装备掉落'!$A$29:$H$34,5,TRUE)&gt;0,4,0),IF(VLOOKUP(A174,'装备掉落'!$A$29:$H$34,6,TRUE)&gt;0,5,0),IF(VLOOKUP(A174,'装备掉落'!$A$29:$H$34,7,TRUE)&gt;0,6,0),IF(VLOOKUP(A174,'装备掉落'!$A$29:$H$34,8,TRUE)&gt;0,7,0))</x:f>
        <x:v>7</x:v>
      </x:c>
      <x:c r="T174" s="119" t="n">
        <x:f>MIN(7,S174+'经济参数'!$E$70)</x:f>
        <x:v>7</x:v>
      </x:c>
      <x:c r="U174" s="119" t="n">
        <x:f>MIN(7,S174+'经济参数'!$E$71)</x:f>
        <x:v>7</x:v>
      </x:c>
      <x:c r="V174" s="119" t="n">
        <x:f>IF(H174&gt;=('难度参数'!$E$52),1,0)+IF(H174&gt;=('难度参数'!$E$52+'难度参数'!$E$53),1,0)+IF(H174&gt;=('难度参数'!$E$52+'难度参数'!$E$53+'难度参数'!$E$54),1,0)+IF(H174&gt;=('难度参数'!$E$52+'难度参数'!$E$53+'难度参数'!$E$54+'难度参数'!$E$55),1,0)+IF(H174&gt;=('难度参数'!$E$52+'难度参数'!$E$53+'难度参数'!$E$54+'难度参数'!$E$55+'难度参数'!$E$56),1,0)+IF(H174&gt;=('难度参数'!$E$52+'难度参数'!$E$53+'难度参数'!$E$54+'难度参数'!$E$55+'难度参数'!$E$56+'难度参数'!$E$57),1,0)</x:f>
        <x:v>6</x:v>
      </x:c>
      <x:c r="W174" s="62" t="str">
        <x:f>IF(L174&gt;'难度参数'!$E$51,"仅出怪已超目标","还需实测")</x:f>
        <x:v>还需实测</x:v>
      </x:c>
      <x:c r="X174" s="119" t="n">
        <x:f>IF(1&gt;D174,0,MAX(2,MIN('难度参数'!$E$12,ROUND(('难度参数'!$E$18*POWER(A174,'难度参数'!$E$19)/D174*(0.85+0.3*(1-1)/MAX(1,D174-1))),0)+F174)))</x:f>
        <x:v>24</x:v>
      </x:c>
      <x:c r="Y174" s="119" t="n">
        <x:f>IF(1&gt;D174,0,ROUND(('难度参数'!$E$13*POWER(A174,'难度参数'!$E$20)*MIN('难度参数'!$E$23,1+MAX(0,A174-'难度参数'!$E$21)*'难度参数'!$E$22))*(36+1*7)/(36+7*(D174+1)/2)*E174,0))</x:f>
        <x:v>3629</x:v>
      </x:c>
      <x:c r="Z174" s="119" t="n">
        <x:f>IF(X174=0,0,(X174-IF(1=D174,1,0))*ROUND(Y174*VLOOKUP(INDEX('章节与怪物'!$E$31:$K$37,B174,1),'章节与怪物'!$A$41:$F$44,2,FALSE),0)+IF(1=D174,ROUND(Y174*'难度参数'!$E$28*'章节与怪物'!$E$17,0),0))</x:f>
        <x:v>62712</x:v>
      </x:c>
      <x:c r="AA174" s="119" t="n">
        <x:f>IF(X174=0,0,(X174-IF(1=D174,1,0))*VLOOKUP(INDEX('章节与怪物'!$E$31:$K$37,B174,1),'章节与怪物'!$A$41:$F$44,4,FALSE)+IF(1=D174,'难度参数'!$E$30,0))</x:f>
        <x:v>480</x:v>
      </x:c>
      <x:c r="AB174" s="119" t="n">
        <x:f>IF(2&gt;D174,0,MAX(2,MIN('难度参数'!$E$12,ROUND(('难度参数'!$E$18*POWER(A174,'难度参数'!$E$19)/D174*(0.85+0.3*(2-1)/MAX(1,D174-1))),0)+F174)))</x:f>
        <x:v>25</x:v>
      </x:c>
      <x:c r="AC174" s="119" t="n">
        <x:f>IF(2&gt;D174,0,ROUND(('难度参数'!$E$13*POWER(A174,'难度参数'!$E$20)*MIN('难度参数'!$E$23,1+MAX(0,A174-'难度参数'!$E$21)*'难度参数'!$E$22))*(36+2*7)/(36+7*(D174+1)/2)*E174,0))</x:f>
        <x:v>4220</x:v>
      </x:c>
      <x:c r="AD174" s="119" t="n">
        <x:f>IF(AB174=0,0,(AB174-IF(2=D174,1,0))*ROUND(AC174*VLOOKUP(INDEX('章节与怪物'!$E$31:$K$37,B174,2),'章节与怪物'!$A$41:$F$44,2,FALSE),0)+IF(2=D174,ROUND(AC174*'难度参数'!$E$28*'章节与怪物'!$E$17,0),0))</x:f>
        <x:v>105500</x:v>
      </x:c>
      <x:c r="AE174" s="119" t="n">
        <x:f>IF(AB174=0,0,(AB174-IF(2=D174,1,0))*VLOOKUP(INDEX('章节与怪物'!$E$31:$K$37,B174,2),'章节与怪物'!$A$41:$F$44,4,FALSE)+IF(2=D174,'难度参数'!$E$30,0))</x:f>
        <x:v>450</x:v>
      </x:c>
      <x:c r="AF174" s="119" t="n">
        <x:f>IF(3&gt;D174,0,MAX(2,MIN('难度参数'!$E$12,ROUND(('难度参数'!$E$18*POWER(A174,'难度参数'!$E$19)/D174*(0.85+0.3*(3-1)/MAX(1,D174-1))),0)+F174)))</x:f>
        <x:v>27</x:v>
      </x:c>
      <x:c r="AG174" s="119" t="n">
        <x:f>IF(3&gt;D174,0,ROUND(('难度参数'!$E$13*POWER(A174,'难度参数'!$E$20)*MIN('难度参数'!$E$23,1+MAX(0,A174-'难度参数'!$E$21)*'难度参数'!$E$22))*(36+3*7)/(36+7*(D174+1)/2)*E174,0))</x:f>
        <x:v>4811</x:v>
      </x:c>
      <x:c r="AH174" s="119" t="n">
        <x:f>IF(AF174=0,0,(AF174-IF(3=D174,1,0))*ROUND(AG174*VLOOKUP(INDEX('章节与怪物'!$E$31:$K$37,B174,3),'章节与怪物'!$A$41:$F$44,2,FALSE),0)+IF(3=D174,ROUND(AG174*'难度参数'!$E$28*'章节与怪物'!$E$17,0),0))</x:f>
        <x:v>220833</x:v>
      </x:c>
      <x:c r="AI174" s="119" t="n">
        <x:f>IF(AF174=0,0,(AF174-IF(3=D174,1,0))*VLOOKUP(INDEX('章节与怪物'!$E$31:$K$37,B174,3),'章节与怪物'!$A$41:$F$44,4,FALSE)+IF(3=D174,'难度参数'!$E$30,0))</x:f>
        <x:v>756</x:v>
      </x:c>
      <x:c r="AJ174" s="119" t="n">
        <x:f>IF(4&gt;D174,0,MAX(2,MIN('难度参数'!$E$12,ROUND(('难度参数'!$E$18*POWER(A174,'难度参数'!$E$19)/D174*(0.85+0.3*(4-1)/MAX(1,D174-1))),0)+F174)))</x:f>
        <x:v>28</x:v>
      </x:c>
      <x:c r="AK174" s="119" t="n">
        <x:f>IF(4&gt;D174,0,ROUND(('难度参数'!$E$13*POWER(A174,'难度参数'!$E$20)*MIN('难度参数'!$E$23,1+MAX(0,A174-'难度参数'!$E$21)*'难度参数'!$E$22))*(36+4*7)/(36+7*(D174+1)/2)*E174,0))</x:f>
        <x:v>5402</x:v>
      </x:c>
      <x:c r="AL174" s="119" t="n">
        <x:f>IF(AJ174=0,0,(AJ174-IF(4=D174,1,0))*ROUND(AK174*VLOOKUP(INDEX('章节与怪物'!$E$31:$K$37,B174,4),'章节与怪物'!$A$41:$F$44,2,FALSE),0)+IF(4=D174,ROUND(AK174*'难度参数'!$E$28*'章节与怪物'!$E$17,0),0))</x:f>
        <x:v>204204</x:v>
      </x:c>
      <x:c r="AM174" s="119" t="n">
        <x:f>IF(AJ174=0,0,(AJ174-IF(4=D174,1,0))*VLOOKUP(INDEX('章节与怪物'!$E$31:$K$37,B174,4),'章节与怪物'!$A$41:$F$44,4,FALSE)+IF(4=D174,'难度参数'!$E$30,0))</x:f>
        <x:v>952</x:v>
      </x:c>
      <x:c r="AN174" s="119" t="n">
        <x:f>IF(5&gt;D174,0,MAX(2,MIN('难度参数'!$E$12,ROUND(('难度参数'!$E$18*POWER(A174,'难度参数'!$E$19)/D174*(0.85+0.3*(5-1)/MAX(1,D174-1))),0)+F174)))</x:f>
        <x:v>30</x:v>
      </x:c>
      <x:c r="AO174" s="119" t="n">
        <x:f>IF(5&gt;D174,0,ROUND(('难度参数'!$E$13*POWER(A174,'难度参数'!$E$20)*MIN('难度参数'!$E$23,1+MAX(0,A174-'难度参数'!$E$21)*'难度参数'!$E$22))*(36+5*7)/(36+7*(D174+1)/2)*E174,0))</x:f>
        <x:v>5993</x:v>
      </x:c>
      <x:c r="AP174" s="119" t="n">
        <x:f>IF(AN174=0,0,(AN174-IF(5=D174,1,0))*ROUND(AO174*VLOOKUP(INDEX('章节与怪物'!$E$31:$K$37,B174,5),'章节与怪物'!$A$41:$F$44,2,FALSE),0)+IF(5=D174,ROUND(AO174*'难度参数'!$E$28*'章节与怪物'!$E$17,0),0))</x:f>
        <x:v>179790</x:v>
      </x:c>
      <x:c r="AQ174" s="119" t="n">
        <x:f>IF(AN174=0,0,(AN174-IF(5=D174,1,0))*VLOOKUP(INDEX('章节与怪物'!$E$31:$K$37,B174,5),'章节与怪物'!$A$41:$F$44,4,FALSE)+IF(5=D174,'难度参数'!$E$30,0))</x:f>
        <x:v>540</x:v>
      </x:c>
      <x:c r="AR174" s="119" t="n">
        <x:f>IF(6&gt;D174,0,MAX(2,MIN('难度参数'!$E$12,ROUND(('难度参数'!$E$18*POWER(A174,'难度参数'!$E$19)/D174*(0.85+0.3*(6-1)/MAX(1,D174-1))),0)+F174)))</x:f>
        <x:v>31</x:v>
      </x:c>
      <x:c r="AS174" s="119" t="n">
        <x:f>IF(6&gt;D174,0,ROUND(('难度参数'!$E$13*POWER(A174,'难度参数'!$E$20)*MIN('难度参数'!$E$23,1+MAX(0,A174-'难度参数'!$E$21)*'难度参数'!$E$22))*(36+6*7)/(36+7*(D174+1)/2)*E174,0))</x:f>
        <x:v>6584</x:v>
      </x:c>
      <x:c r="AT174" s="119" t="n">
        <x:f>IF(AR174=0,0,(AR174-IF(6=D174,1,0))*ROUND(AS174*VLOOKUP(INDEX('章节与怪物'!$E$31:$K$37,B174,6),'章节与怪物'!$A$41:$F$44,2,FALSE),0)+IF(6=D174,ROUND(AS174*'难度参数'!$E$28*'章节与怪物'!$E$17,0),0))</x:f>
        <x:v>346983</x:v>
      </x:c>
      <x:c r="AU174" s="119" t="n">
        <x:f>IF(AR174=0,0,(AR174-IF(6=D174,1,0))*VLOOKUP(INDEX('章节与怪物'!$E$31:$K$37,B174,6),'章节与怪物'!$A$41:$F$44,4,FALSE)+IF(6=D174,'难度参数'!$E$30,0))</x:f>
        <x:v>868</x:v>
      </x:c>
      <x:c r="AV174" s="119" t="n">
        <x:f>IF(7&gt;D174,0,MAX(2,MIN('难度参数'!$E$12,ROUND(('难度参数'!$E$18*POWER(A174,'难度参数'!$E$19)/D174*(0.85+0.3*(7-1)/MAX(1,D174-1))),0)+F174)))</x:f>
        <x:v>33</x:v>
      </x:c>
      <x:c r="AW174" s="119" t="n">
        <x:f>IF(7&gt;D174,0,ROUND(('难度参数'!$E$13*POWER(A174,'难度参数'!$E$20)*MIN('难度参数'!$E$23,1+MAX(0,A174-'难度参数'!$E$21)*'难度参数'!$E$22))*(36+7*7)/(36+7*(D174+1)/2)*E174,0))</x:f>
        <x:v>7175</x:v>
      </x:c>
      <x:c r="AX174" s="119" t="n">
        <x:f>IF(AV174=0,0,(AV174-IF(7=D174,1,0))*ROUND(AW174*VLOOKUP(INDEX('章节与怪物'!$E$31:$K$37,B174,7),'章节与怪物'!$A$41:$F$44,2,FALSE),0)+IF(7=D174,ROUND(AW174*'难度参数'!$E$28*'章节与怪物'!$E$17,0),0))</x:f>
        <x:v>358742</x:v>
      </x:c>
      <x:c r="AY174" s="119" t="n">
        <x:f>IF(AV174=0,0,(AV174-IF(7=D174,1,0))*VLOOKUP(INDEX('章节与怪物'!$E$31:$K$37,B174,7),'章节与怪物'!$A$41:$F$44,4,FALSE)+IF(7=D174,'难度参数'!$E$30,0))</x:f>
        <x:v>1288</x:v>
      </x:c>
    </x:row>
    <x:row r="175" ht="23" customHeight="1">
      <x:c r="A175" s="119" t="n">
        <x:v>169</x:v>
      </x:c>
      <x:c r="B175" s="119" t="n">
        <x:f>MOD(INT((A175-1)/5),7)+1</x:f>
        <x:v>6</x:v>
      </x:c>
      <x:c r="C175" s="62" t="str">
        <x:f>INDEX('章节与怪物'!$B$31:$B$37,B175)</x:f>
        <x:v>熔岩山脉</x:v>
      </x:c>
      <x:c r="D175" s="119" t="n">
        <x:f>MIN('难度参数'!$E$8,MAX('难度参数'!$E$7,A175))</x:f>
        <x:v>7</x:v>
      </x:c>
      <x:c r="E175" s="106" t="n">
        <x:v>1</x:v>
      </x:c>
      <x:c r="F175" s="106" t="n">
        <x:v>0</x:v>
      </x:c>
      <x:c r="G175" s="106" t="n">
        <x:v>1</x:v>
      </x:c>
      <x:c r="H175" s="119" t="n">
        <x:f>SUM(X175,AB175,AF175,AJ175,AN175,AR175,AV175)</x:f>
        <x:v>199</x:v>
      </x:c>
      <x:c r="I175" s="119" t="n">
        <x:f>SUM(Z175,AD175,AH175,AL175,AP175,AT175,AX175)</x:f>
        <x:v>1489282</x:v>
      </x:c>
      <x:c r="J175" s="119" t="n">
        <x:f>ROUND(INDEX(X175:AY175,1,(D175-1)*4+2)*'难度参数'!$E$28*'章节与怪物'!$E$17,0)</x:f>
        <x:v>48994</x:v>
      </x:c>
      <x:c r="K175" s="119" t="n">
        <x:f>SUM(AA175,AE175,AI175,AM175,AQ175,AU175,AY175)</x:f>
        <x:v>5352</x:v>
      </x:c>
      <x:c r="L175" s="62" t="n">
        <x:f>H175*(ROUNDUP('难度参数'!$E$24/('难度参数'!$E$26*'难度参数'!$E$27),0)*'难度参数'!$E$26)/60</x:f>
        <x:v>2.6533333333333338</x:v>
      </x:c>
      <x:c r="M175" s="62" t="n">
        <x:f>L175+D175*('难度参数'!$E$49+'难度参数'!$E$50)/60</x:f>
        <x:v>3.8200000000000003</x:v>
      </x:c>
      <x:c r="N175" s="119" t="n">
        <x:f>ROUNDDOWN(('经济参数'!$E$20+A175*'经济参数'!$E$21)*G175,0)</x:f>
        <x:v>3560</x:v>
      </x:c>
      <x:c r="O175" s="119" t="n">
        <x:f>ROUNDDOWN(MIN('经济参数'!$E$24,'经济参数'!$E$22+A175*'经济参数'!$E$23)*G175,0)</x:f>
        <x:v>0</x:v>
      </x:c>
      <x:c r="P175" s="119" t="n">
        <x:f>ROUNDDOWN((IF(A175&gt;='材料与任务'!$E$31,'材料与任务'!$E$32,IF(A175&gt;='材料与任务'!$E$25,'材料与任务'!$E$26,IF(A175&gt;='材料与任务'!$E$19,'材料与任务'!$E$20,IF(A175&gt;='材料与任务'!$E$13,'材料与任务'!$E$14,'材料与任务'!$E$8)))))*G175,0)</x:f>
        <x:v>6</x:v>
      </x:c>
      <x:c r="Q175" s="119" t="n">
        <x:f>ROUNDDOWN((IF(A175&gt;='材料与任务'!$E$31,'材料与任务'!$E$33,IF(A175&gt;='材料与任务'!$E$25,'材料与任务'!$E$27,IF(A175&gt;='材料与任务'!$E$19,'材料与任务'!$E$21,IF(A175&gt;='材料与任务'!$E$13,'材料与任务'!$E$15,'材料与任务'!$E$9)))))*G175,0)</x:f>
        <x:v>3</x:v>
      </x:c>
      <x:c r="R175" s="110" t="n">
        <x:f>'装备掉落'!$B$38</x:f>
        <x:v>0.6872058758851213</x:v>
      </x:c>
      <x:c r="S175" s="119" t="n">
        <x:f>MAX(IF(VLOOKUP(A175,'装备掉落'!$A$29:$H$34,2,TRUE)&gt;0,1,0),IF(VLOOKUP(A175,'装备掉落'!$A$29:$H$34,3,TRUE)&gt;0,2,0),IF(VLOOKUP(A175,'装备掉落'!$A$29:$H$34,4,TRUE)&gt;0,3,0),IF(VLOOKUP(A175,'装备掉落'!$A$29:$H$34,5,TRUE)&gt;0,4,0),IF(VLOOKUP(A175,'装备掉落'!$A$29:$H$34,6,TRUE)&gt;0,5,0),IF(VLOOKUP(A175,'装备掉落'!$A$29:$H$34,7,TRUE)&gt;0,6,0),IF(VLOOKUP(A175,'装备掉落'!$A$29:$H$34,8,TRUE)&gt;0,7,0))</x:f>
        <x:v>7</x:v>
      </x:c>
      <x:c r="T175" s="119" t="n">
        <x:f>MIN(7,S175+'经济参数'!$E$70)</x:f>
        <x:v>7</x:v>
      </x:c>
      <x:c r="U175" s="119" t="n">
        <x:f>MIN(7,S175+'经济参数'!$E$71)</x:f>
        <x:v>7</x:v>
      </x:c>
      <x:c r="V175" s="119" t="n">
        <x:f>IF(H175&gt;=('难度参数'!$E$52),1,0)+IF(H175&gt;=('难度参数'!$E$52+'难度参数'!$E$53),1,0)+IF(H175&gt;=('难度参数'!$E$52+'难度参数'!$E$53+'难度参数'!$E$54),1,0)+IF(H175&gt;=('难度参数'!$E$52+'难度参数'!$E$53+'难度参数'!$E$54+'难度参数'!$E$55),1,0)+IF(H175&gt;=('难度参数'!$E$52+'难度参数'!$E$53+'难度参数'!$E$54+'难度参数'!$E$55+'难度参数'!$E$56),1,0)+IF(H175&gt;=('难度参数'!$E$52+'难度参数'!$E$53+'难度参数'!$E$54+'难度参数'!$E$55+'难度参数'!$E$56+'难度参数'!$E$57),1,0)</x:f>
        <x:v>6</x:v>
      </x:c>
      <x:c r="W175" s="62" t="str">
        <x:f>IF(L175&gt;'难度参数'!$E$51,"仅出怪已超目标","还需实测")</x:f>
        <x:v>还需实测</x:v>
      </x:c>
      <x:c r="X175" s="119" t="n">
        <x:f>IF(1&gt;D175,0,MAX(2,MIN('难度参数'!$E$12,ROUND(('难度参数'!$E$18*POWER(A175,'难度参数'!$E$19)/D175*(0.85+0.3*(1-1)/MAX(1,D175-1))),0)+F175)))</x:f>
        <x:v>24</x:v>
      </x:c>
      <x:c r="Y175" s="119" t="n">
        <x:f>IF(1&gt;D175,0,ROUND(('难度参数'!$E$13*POWER(A175,'难度参数'!$E$20)*MIN('难度参数'!$E$23,1+MAX(0,A175-'难度参数'!$E$21)*'难度参数'!$E$22))*(36+1*7)/(36+7*(D175+1)/2)*E175,0))</x:f>
        <x:v>3645</x:v>
      </x:c>
      <x:c r="Z175" s="119" t="n">
        <x:f>IF(X175=0,0,(X175-IF(1=D175,1,0))*ROUND(Y175*VLOOKUP(INDEX('章节与怪物'!$E$31:$K$37,B175,1),'章节与怪物'!$A$41:$F$44,2,FALSE),0)+IF(1=D175,ROUND(Y175*'难度参数'!$E$28*'章节与怪物'!$E$17,0),0))</x:f>
        <x:v>62976</x:v>
      </x:c>
      <x:c r="AA175" s="119" t="n">
        <x:f>IF(X175=0,0,(X175-IF(1=D175,1,0))*VLOOKUP(INDEX('章节与怪物'!$E$31:$K$37,B175,1),'章节与怪物'!$A$41:$F$44,4,FALSE)+IF(1=D175,'难度参数'!$E$30,0))</x:f>
        <x:v>480</x:v>
      </x:c>
      <x:c r="AB175" s="119" t="n">
        <x:f>IF(2&gt;D175,0,MAX(2,MIN('难度参数'!$E$12,ROUND(('难度参数'!$E$18*POWER(A175,'难度参数'!$E$19)/D175*(0.85+0.3*(2-1)/MAX(1,D175-1))),0)+F175)))</x:f>
        <x:v>26</x:v>
      </x:c>
      <x:c r="AC175" s="119" t="n">
        <x:f>IF(2&gt;D175,0,ROUND(('难度参数'!$E$13*POWER(A175,'难度参数'!$E$20)*MIN('难度参数'!$E$23,1+MAX(0,A175-'难度参数'!$E$21)*'难度参数'!$E$22))*(36+2*7)/(36+7*(D175+1)/2)*E175,0))</x:f>
        <x:v>4238</x:v>
      </x:c>
      <x:c r="AD175" s="119" t="n">
        <x:f>IF(AB175=0,0,(AB175-IF(2=D175,1,0))*ROUND(AC175*VLOOKUP(INDEX('章节与怪物'!$E$31:$K$37,B175,2),'章节与怪物'!$A$41:$F$44,2,FALSE),0)+IF(2=D175,ROUND(AC175*'难度参数'!$E$28*'章节与怪物'!$E$17,0),0))</x:f>
        <x:v>110188</x:v>
      </x:c>
      <x:c r="AE175" s="119" t="n">
        <x:f>IF(AB175=0,0,(AB175-IF(2=D175,1,0))*VLOOKUP(INDEX('章节与怪物'!$E$31:$K$37,B175,2),'章节与怪物'!$A$41:$F$44,4,FALSE)+IF(2=D175,'难度参数'!$E$30,0))</x:f>
        <x:v>468</x:v>
      </x:c>
      <x:c r="AF175" s="119" t="n">
        <x:f>IF(3&gt;D175,0,MAX(2,MIN('难度参数'!$E$12,ROUND(('难度参数'!$E$18*POWER(A175,'难度参数'!$E$19)/D175*(0.85+0.3*(3-1)/MAX(1,D175-1))),0)+F175)))</x:f>
        <x:v>27</x:v>
      </x:c>
      <x:c r="AG175" s="119" t="n">
        <x:f>IF(3&gt;D175,0,ROUND(('难度参数'!$E$13*POWER(A175,'难度参数'!$E$20)*MIN('难度参数'!$E$23,1+MAX(0,A175-'难度参数'!$E$21)*'难度参数'!$E$22))*(36+3*7)/(36+7*(D175+1)/2)*E175,0))</x:f>
        <x:v>4832</x:v>
      </x:c>
      <x:c r="AH175" s="119" t="n">
        <x:f>IF(AF175=0,0,(AF175-IF(3=D175,1,0))*ROUND(AG175*VLOOKUP(INDEX('章节与怪物'!$E$31:$K$37,B175,3),'章节与怪物'!$A$41:$F$44,2,FALSE),0)+IF(3=D175,ROUND(AG175*'难度参数'!$E$28*'章节与怪物'!$E$17,0),0))</x:f>
        <x:v>221778</x:v>
      </x:c>
      <x:c r="AI175" s="119" t="n">
        <x:f>IF(AF175=0,0,(AF175-IF(3=D175,1,0))*VLOOKUP(INDEX('章节与怪物'!$E$31:$K$37,B175,3),'章节与怪物'!$A$41:$F$44,4,FALSE)+IF(3=D175,'难度参数'!$E$30,0))</x:f>
        <x:v>756</x:v>
      </x:c>
      <x:c r="AJ175" s="119" t="n">
        <x:f>IF(4&gt;D175,0,MAX(2,MIN('难度参数'!$E$12,ROUND(('难度参数'!$E$18*POWER(A175,'难度参数'!$E$19)/D175*(0.85+0.3*(4-1)/MAX(1,D175-1))),0)+F175)))</x:f>
        <x:v>28</x:v>
      </x:c>
      <x:c r="AK175" s="119" t="n">
        <x:f>IF(4&gt;D175,0,ROUND(('难度参数'!$E$13*POWER(A175,'难度参数'!$E$20)*MIN('难度参数'!$E$23,1+MAX(0,A175-'难度参数'!$E$21)*'难度参数'!$E$22))*(36+4*7)/(36+7*(D175+1)/2)*E175,0))</x:f>
        <x:v>5425</x:v>
      </x:c>
      <x:c r="AL175" s="119" t="n">
        <x:f>IF(AJ175=0,0,(AJ175-IF(4=D175,1,0))*ROUND(AK175*VLOOKUP(INDEX('章节与怪物'!$E$31:$K$37,B175,4),'章节与怪物'!$A$41:$F$44,2,FALSE),0)+IF(4=D175,ROUND(AK175*'难度参数'!$E$28*'章节与怪物'!$E$17,0),0))</x:f>
        <x:v>205072</x:v>
      </x:c>
      <x:c r="AM175" s="119" t="n">
        <x:f>IF(AJ175=0,0,(AJ175-IF(4=D175,1,0))*VLOOKUP(INDEX('章节与怪物'!$E$31:$K$37,B175,4),'章节与怪物'!$A$41:$F$44,4,FALSE)+IF(4=D175,'难度参数'!$E$30,0))</x:f>
        <x:v>952</x:v>
      </x:c>
      <x:c r="AN175" s="119" t="n">
        <x:f>IF(5&gt;D175,0,MAX(2,MIN('难度参数'!$E$12,ROUND(('难度参数'!$E$18*POWER(A175,'难度参数'!$E$19)/D175*(0.85+0.3*(5-1)/MAX(1,D175-1))),0)+F175)))</x:f>
        <x:v>30</x:v>
      </x:c>
      <x:c r="AO175" s="119" t="n">
        <x:f>IF(5&gt;D175,0,ROUND(('难度参数'!$E$13*POWER(A175,'难度参数'!$E$20)*MIN('难度参数'!$E$23,1+MAX(0,A175-'难度参数'!$E$21)*'难度参数'!$E$22))*(36+5*7)/(36+7*(D175+1)/2)*E175,0))</x:f>
        <x:v>6019</x:v>
      </x:c>
      <x:c r="AP175" s="119" t="n">
        <x:f>IF(AN175=0,0,(AN175-IF(5=D175,1,0))*ROUND(AO175*VLOOKUP(INDEX('章节与怪物'!$E$31:$K$37,B175,5),'章节与怪物'!$A$41:$F$44,2,FALSE),0)+IF(5=D175,ROUND(AO175*'难度参数'!$E$28*'章节与怪物'!$E$17,0),0))</x:f>
        <x:v>180570</x:v>
      </x:c>
      <x:c r="AQ175" s="119" t="n">
        <x:f>IF(AN175=0,0,(AN175-IF(5=D175,1,0))*VLOOKUP(INDEX('章节与怪物'!$E$31:$K$37,B175,5),'章节与怪物'!$A$41:$F$44,4,FALSE)+IF(5=D175,'难度参数'!$E$30,0))</x:f>
        <x:v>540</x:v>
      </x:c>
      <x:c r="AR175" s="119" t="n">
        <x:f>IF(6&gt;D175,0,MAX(2,MIN('难度参数'!$E$12,ROUND(('难度参数'!$E$18*POWER(A175,'难度参数'!$E$19)/D175*(0.85+0.3*(6-1)/MAX(1,D175-1))),0)+F175)))</x:f>
        <x:v>31</x:v>
      </x:c>
      <x:c r="AS175" s="119" t="n">
        <x:f>IF(6&gt;D175,0,ROUND(('难度参数'!$E$13*POWER(A175,'难度参数'!$E$20)*MIN('难度参数'!$E$23,1+MAX(0,A175-'难度参数'!$E$21)*'难度参数'!$E$22))*(36+6*7)/(36+7*(D175+1)/2)*E175,0))</x:f>
        <x:v>6612</x:v>
      </x:c>
      <x:c r="AT175" s="119" t="n">
        <x:f>IF(AR175=0,0,(AR175-IF(6=D175,1,0))*ROUND(AS175*VLOOKUP(INDEX('章节与怪物'!$E$31:$K$37,B175,6),'章节与怪物'!$A$41:$F$44,2,FALSE),0)+IF(6=D175,ROUND(AS175*'难度参数'!$E$28*'章节与怪物'!$E$17,0),0))</x:f>
        <x:v>348440</x:v>
      </x:c>
      <x:c r="AU175" s="119" t="n">
        <x:f>IF(AR175=0,0,(AR175-IF(6=D175,1,0))*VLOOKUP(INDEX('章节与怪物'!$E$31:$K$37,B175,6),'章节与怪物'!$A$41:$F$44,4,FALSE)+IF(6=D175,'难度参数'!$E$30,0))</x:f>
        <x:v>868</x:v>
      </x:c>
      <x:c r="AV175" s="119" t="n">
        <x:f>IF(7&gt;D175,0,MAX(2,MIN('难度参数'!$E$12,ROUND(('难度参数'!$E$18*POWER(A175,'难度参数'!$E$19)/D175*(0.85+0.3*(7-1)/MAX(1,D175-1))),0)+F175)))</x:f>
        <x:v>33</x:v>
      </x:c>
      <x:c r="AW175" s="119" t="n">
        <x:f>IF(7&gt;D175,0,ROUND(('难度参数'!$E$13*POWER(A175,'难度参数'!$E$20)*MIN('难度参数'!$E$23,1+MAX(0,A175-'难度参数'!$E$21)*'难度参数'!$E$22))*(36+7*7)/(36+7*(D175+1)/2)*E175,0))</x:f>
        <x:v>7205</x:v>
      </x:c>
      <x:c r="AX175" s="119" t="n">
        <x:f>IF(AV175=0,0,(AV175-IF(7=D175,1,0))*ROUND(AW175*VLOOKUP(INDEX('章节与怪物'!$E$31:$K$37,B175,7),'章节与怪物'!$A$41:$F$44,2,FALSE),0)+IF(7=D175,ROUND(AW175*'难度参数'!$E$28*'章节与怪物'!$E$17,0),0))</x:f>
        <x:v>360258</x:v>
      </x:c>
      <x:c r="AY175" s="119" t="n">
        <x:f>IF(AV175=0,0,(AV175-IF(7=D175,1,0))*VLOOKUP(INDEX('章节与怪物'!$E$31:$K$37,B175,7),'章节与怪物'!$A$41:$F$44,4,FALSE)+IF(7=D175,'难度参数'!$E$30,0))</x:f>
        <x:v>1288</x:v>
      </x:c>
    </x:row>
    <x:row r="176" ht="23" customHeight="1">
      <x:c r="A176" s="119" t="n">
        <x:v>170</x:v>
      </x:c>
      <x:c r="B176" s="119" t="n">
        <x:f>MOD(INT((A176-1)/5),7)+1</x:f>
        <x:v>6</x:v>
      </x:c>
      <x:c r="C176" s="62" t="str">
        <x:f>INDEX('章节与怪物'!$B$31:$B$37,B176)</x:f>
        <x:v>熔岩山脉</x:v>
      </x:c>
      <x:c r="D176" s="119" t="n">
        <x:f>MIN('难度参数'!$E$8,MAX('难度参数'!$E$7,A176))</x:f>
        <x:v>7</x:v>
      </x:c>
      <x:c r="E176" s="106" t="n">
        <x:v>1</x:v>
      </x:c>
      <x:c r="F176" s="106" t="n">
        <x:v>0</x:v>
      </x:c>
      <x:c r="G176" s="106" t="n">
        <x:v>1</x:v>
      </x:c>
      <x:c r="H176" s="119" t="n">
        <x:f>SUM(X176,AB176,AF176,AJ176,AN176,AR176,AV176)</x:f>
        <x:v>199</x:v>
      </x:c>
      <x:c r="I176" s="119" t="n">
        <x:f>SUM(Z176,AD176,AH176,AL176,AP176,AT176,AX176)</x:f>
        <x:v>1495617</x:v>
      </x:c>
      <x:c r="J176" s="119" t="n">
        <x:f>ROUND(INDEX(X176:AY176,1,(D176-1)*4+2)*'难度参数'!$E$28*'章节与怪物'!$E$17,0)</x:f>
        <x:v>49205</x:v>
      </x:c>
      <x:c r="K176" s="119" t="n">
        <x:f>SUM(AA176,AE176,AI176,AM176,AQ176,AU176,AY176)</x:f>
        <x:v>5352</x:v>
      </x:c>
      <x:c r="L176" s="62" t="n">
        <x:f>H176*(ROUNDUP('难度参数'!$E$24/('难度参数'!$E$26*'难度参数'!$E$27),0)*'难度参数'!$E$26)/60</x:f>
        <x:v>2.6533333333333338</x:v>
      </x:c>
      <x:c r="M176" s="62" t="n">
        <x:f>L176+D176*('难度参数'!$E$49+'难度参数'!$E$50)/60</x:f>
        <x:v>3.8200000000000003</x:v>
      </x:c>
      <x:c r="N176" s="119" t="n">
        <x:f>ROUNDDOWN(('经济参数'!$E$20+A176*'经济参数'!$E$21)*G176,0)</x:f>
        <x:v>3580</x:v>
      </x:c>
      <x:c r="O176" s="119" t="n">
        <x:f>ROUNDDOWN(MIN('经济参数'!$E$24,'经济参数'!$E$22+A176*'经济参数'!$E$23)*G176,0)</x:f>
        <x:v>0</x:v>
      </x:c>
      <x:c r="P176" s="119" t="n">
        <x:f>ROUNDDOWN((IF(A176&gt;='材料与任务'!$E$31,'材料与任务'!$E$32,IF(A176&gt;='材料与任务'!$E$25,'材料与任务'!$E$26,IF(A176&gt;='材料与任务'!$E$19,'材料与任务'!$E$20,IF(A176&gt;='材料与任务'!$E$13,'材料与任务'!$E$14,'材料与任务'!$E$8)))))*G176,0)</x:f>
        <x:v>6</x:v>
      </x:c>
      <x:c r="Q176" s="119" t="n">
        <x:f>ROUNDDOWN((IF(A176&gt;='材料与任务'!$E$31,'材料与任务'!$E$33,IF(A176&gt;='材料与任务'!$E$25,'材料与任务'!$E$27,IF(A176&gt;='材料与任务'!$E$19,'材料与任务'!$E$21,IF(A176&gt;='材料与任务'!$E$13,'材料与任务'!$E$15,'材料与任务'!$E$9)))))*G176,0)</x:f>
        <x:v>3</x:v>
      </x:c>
      <x:c r="R176" s="110" t="n">
        <x:f>'装备掉落'!$B$38</x:f>
        <x:v>0.6872058758851213</x:v>
      </x:c>
      <x:c r="S176" s="119" t="n">
        <x:f>MAX(IF(VLOOKUP(A176,'装备掉落'!$A$29:$H$34,2,TRUE)&gt;0,1,0),IF(VLOOKUP(A176,'装备掉落'!$A$29:$H$34,3,TRUE)&gt;0,2,0),IF(VLOOKUP(A176,'装备掉落'!$A$29:$H$34,4,TRUE)&gt;0,3,0),IF(VLOOKUP(A176,'装备掉落'!$A$29:$H$34,5,TRUE)&gt;0,4,0),IF(VLOOKUP(A176,'装备掉落'!$A$29:$H$34,6,TRUE)&gt;0,5,0),IF(VLOOKUP(A176,'装备掉落'!$A$29:$H$34,7,TRUE)&gt;0,6,0),IF(VLOOKUP(A176,'装备掉落'!$A$29:$H$34,8,TRUE)&gt;0,7,0))</x:f>
        <x:v>7</x:v>
      </x:c>
      <x:c r="T176" s="119" t="n">
        <x:f>MIN(7,S176+'经济参数'!$E$70)</x:f>
        <x:v>7</x:v>
      </x:c>
      <x:c r="U176" s="119" t="n">
        <x:f>MIN(7,S176+'经济参数'!$E$71)</x:f>
        <x:v>7</x:v>
      </x:c>
      <x:c r="V176" s="119" t="n">
        <x:f>IF(H176&gt;=('难度参数'!$E$52),1,0)+IF(H176&gt;=('难度参数'!$E$52+'难度参数'!$E$53),1,0)+IF(H176&gt;=('难度参数'!$E$52+'难度参数'!$E$53+'难度参数'!$E$54),1,0)+IF(H176&gt;=('难度参数'!$E$52+'难度参数'!$E$53+'难度参数'!$E$54+'难度参数'!$E$55),1,0)+IF(H176&gt;=('难度参数'!$E$52+'难度参数'!$E$53+'难度参数'!$E$54+'难度参数'!$E$55+'难度参数'!$E$56),1,0)+IF(H176&gt;=('难度参数'!$E$52+'难度参数'!$E$53+'难度参数'!$E$54+'难度参数'!$E$55+'难度参数'!$E$56+'难度参数'!$E$57),1,0)</x:f>
        <x:v>6</x:v>
      </x:c>
      <x:c r="W176" s="62" t="str">
        <x:f>IF(L176&gt;'难度参数'!$E$51,"仅出怪已超目标","还需实测")</x:f>
        <x:v>还需实测</x:v>
      </x:c>
      <x:c r="X176" s="119" t="n">
        <x:f>IF(1&gt;D176,0,MAX(2,MIN('难度参数'!$E$12,ROUND(('难度参数'!$E$18*POWER(A176,'难度参数'!$E$19)/D176*(0.85+0.3*(1-1)/MAX(1,D176-1))),0)+F176)))</x:f>
        <x:v>24</x:v>
      </x:c>
      <x:c r="Y176" s="119" t="n">
        <x:f>IF(1&gt;D176,0,ROUND(('难度参数'!$E$13*POWER(A176,'难度参数'!$E$20)*MIN('难度参数'!$E$23,1+MAX(0,A176-'难度参数'!$E$21)*'难度参数'!$E$22))*(36+1*7)/(36+7*(D176+1)/2)*E176,0))</x:f>
        <x:v>3661</x:v>
      </x:c>
      <x:c r="Z176" s="119" t="n">
        <x:f>IF(X176=0,0,(X176-IF(1=D176,1,0))*ROUND(Y176*VLOOKUP(INDEX('章节与怪物'!$E$31:$K$37,B176,1),'章节与怪物'!$A$41:$F$44,2,FALSE),0)+IF(1=D176,ROUND(Y176*'难度参数'!$E$28*'章节与怪物'!$E$17,0),0))</x:f>
        <x:v>63264</x:v>
      </x:c>
      <x:c r="AA176" s="119" t="n">
        <x:f>IF(X176=0,0,(X176-IF(1=D176,1,0))*VLOOKUP(INDEX('章节与怪物'!$E$31:$K$37,B176,1),'章节与怪物'!$A$41:$F$44,4,FALSE)+IF(1=D176,'难度参数'!$E$30,0))</x:f>
        <x:v>480</x:v>
      </x:c>
      <x:c r="AB176" s="119" t="n">
        <x:f>IF(2&gt;D176,0,MAX(2,MIN('难度参数'!$E$12,ROUND(('难度参数'!$E$18*POWER(A176,'难度参数'!$E$19)/D176*(0.85+0.3*(2-1)/MAX(1,D176-1))),0)+F176)))</x:f>
        <x:v>26</x:v>
      </x:c>
      <x:c r="AC176" s="119" t="n">
        <x:f>IF(2&gt;D176,0,ROUND(('难度参数'!$E$13*POWER(A176,'难度参数'!$E$20)*MIN('难度参数'!$E$23,1+MAX(0,A176-'难度参数'!$E$21)*'难度参数'!$E$22))*(36+2*7)/(36+7*(D176+1)/2)*E176,0))</x:f>
        <x:v>4256</x:v>
      </x:c>
      <x:c r="AD176" s="119" t="n">
        <x:f>IF(AB176=0,0,(AB176-IF(2=D176,1,0))*ROUND(AC176*VLOOKUP(INDEX('章节与怪物'!$E$31:$K$37,B176,2),'章节与怪物'!$A$41:$F$44,2,FALSE),0)+IF(2=D176,ROUND(AC176*'难度参数'!$E$28*'章节与怪物'!$E$17,0),0))</x:f>
        <x:v>110656</x:v>
      </x:c>
      <x:c r="AE176" s="119" t="n">
        <x:f>IF(AB176=0,0,(AB176-IF(2=D176,1,0))*VLOOKUP(INDEX('章节与怪物'!$E$31:$K$37,B176,2),'章节与怪物'!$A$41:$F$44,4,FALSE)+IF(2=D176,'难度参数'!$E$30,0))</x:f>
        <x:v>468</x:v>
      </x:c>
      <x:c r="AF176" s="119" t="n">
        <x:f>IF(3&gt;D176,0,MAX(2,MIN('难度参数'!$E$12,ROUND(('难度参数'!$E$18*POWER(A176,'难度参数'!$E$19)/D176*(0.85+0.3*(3-1)/MAX(1,D176-1))),0)+F176)))</x:f>
        <x:v>27</x:v>
      </x:c>
      <x:c r="AG176" s="119" t="n">
        <x:f>IF(3&gt;D176,0,ROUND(('难度参数'!$E$13*POWER(A176,'难度参数'!$E$20)*MIN('难度参数'!$E$23,1+MAX(0,A176-'难度参数'!$E$21)*'难度参数'!$E$22))*(36+3*7)/(36+7*(D176+1)/2)*E176,0))</x:f>
        <x:v>4852</x:v>
      </x:c>
      <x:c r="AH176" s="119" t="n">
        <x:f>IF(AF176=0,0,(AF176-IF(3=D176,1,0))*ROUND(AG176*VLOOKUP(INDEX('章节与怪物'!$E$31:$K$37,B176,3),'章节与怪物'!$A$41:$F$44,2,FALSE),0)+IF(3=D176,ROUND(AG176*'难度参数'!$E$28*'章节与怪物'!$E$17,0),0))</x:f>
        <x:v>222696</x:v>
      </x:c>
      <x:c r="AI176" s="119" t="n">
        <x:f>IF(AF176=0,0,(AF176-IF(3=D176,1,0))*VLOOKUP(INDEX('章节与怪物'!$E$31:$K$37,B176,3),'章节与怪物'!$A$41:$F$44,4,FALSE)+IF(3=D176,'难度参数'!$E$30,0))</x:f>
        <x:v>756</x:v>
      </x:c>
      <x:c r="AJ176" s="119" t="n">
        <x:f>IF(4&gt;D176,0,MAX(2,MIN('难度参数'!$E$12,ROUND(('难度参数'!$E$18*POWER(A176,'难度参数'!$E$19)/D176*(0.85+0.3*(4-1)/MAX(1,D176-1))),0)+F176)))</x:f>
        <x:v>28</x:v>
      </x:c>
      <x:c r="AK176" s="119" t="n">
        <x:f>IF(4&gt;D176,0,ROUND(('难度参数'!$E$13*POWER(A176,'难度参数'!$E$20)*MIN('难度参数'!$E$23,1+MAX(0,A176-'难度参数'!$E$21)*'难度参数'!$E$22))*(36+4*7)/(36+7*(D176+1)/2)*E176,0))</x:f>
        <x:v>5448</x:v>
      </x:c>
      <x:c r="AL176" s="119" t="n">
        <x:f>IF(AJ176=0,0,(AJ176-IF(4=D176,1,0))*ROUND(AK176*VLOOKUP(INDEX('章节与怪物'!$E$31:$K$37,B176,4),'章节与怪物'!$A$41:$F$44,2,FALSE),0)+IF(4=D176,ROUND(AK176*'难度参数'!$E$28*'章节与怪物'!$E$17,0),0))</x:f>
        <x:v>205940</x:v>
      </x:c>
      <x:c r="AM176" s="119" t="n">
        <x:f>IF(AJ176=0,0,(AJ176-IF(4=D176,1,0))*VLOOKUP(INDEX('章节与怪物'!$E$31:$K$37,B176,4),'章节与怪物'!$A$41:$F$44,4,FALSE)+IF(4=D176,'难度参数'!$E$30,0))</x:f>
        <x:v>952</x:v>
      </x:c>
      <x:c r="AN176" s="119" t="n">
        <x:f>IF(5&gt;D176,0,MAX(2,MIN('难度参数'!$E$12,ROUND(('难度参数'!$E$18*POWER(A176,'难度参数'!$E$19)/D176*(0.85+0.3*(5-1)/MAX(1,D176-1))),0)+F176)))</x:f>
        <x:v>30</x:v>
      </x:c>
      <x:c r="AO176" s="119" t="n">
        <x:f>IF(5&gt;D176,0,ROUND(('难度参数'!$E$13*POWER(A176,'难度参数'!$E$20)*MIN('难度参数'!$E$23,1+MAX(0,A176-'难度参数'!$E$21)*'难度参数'!$E$22))*(36+5*7)/(36+7*(D176+1)/2)*E176,0))</x:f>
        <x:v>6044</x:v>
      </x:c>
      <x:c r="AP176" s="119" t="n">
        <x:f>IF(AN176=0,0,(AN176-IF(5=D176,1,0))*ROUND(AO176*VLOOKUP(INDEX('章节与怪物'!$E$31:$K$37,B176,5),'章节与怪物'!$A$41:$F$44,2,FALSE),0)+IF(5=D176,ROUND(AO176*'难度参数'!$E$28*'章节与怪物'!$E$17,0),0))</x:f>
        <x:v>181320</x:v>
      </x:c>
      <x:c r="AQ176" s="119" t="n">
        <x:f>IF(AN176=0,0,(AN176-IF(5=D176,1,0))*VLOOKUP(INDEX('章节与怪物'!$E$31:$K$37,B176,5),'章节与怪物'!$A$41:$F$44,4,FALSE)+IF(5=D176,'难度参数'!$E$30,0))</x:f>
        <x:v>540</x:v>
      </x:c>
      <x:c r="AR176" s="119" t="n">
        <x:f>IF(6&gt;D176,0,MAX(2,MIN('难度参数'!$E$12,ROUND(('难度参数'!$E$18*POWER(A176,'难度参数'!$E$19)/D176*(0.85+0.3*(6-1)/MAX(1,D176-1))),0)+F176)))</x:f>
        <x:v>31</x:v>
      </x:c>
      <x:c r="AS176" s="119" t="n">
        <x:f>IF(6&gt;D176,0,ROUND(('难度参数'!$E$13*POWER(A176,'难度参数'!$E$20)*MIN('难度参数'!$E$23,1+MAX(0,A176-'难度参数'!$E$21)*'难度参数'!$E$22))*(36+6*7)/(36+7*(D176+1)/2)*E176,0))</x:f>
        <x:v>6640</x:v>
      </x:c>
      <x:c r="AT176" s="119" t="n">
        <x:f>IF(AR176=0,0,(AR176-IF(6=D176,1,0))*ROUND(AS176*VLOOKUP(INDEX('章节与怪物'!$E$31:$K$37,B176,6),'章节与怪物'!$A$41:$F$44,2,FALSE),0)+IF(6=D176,ROUND(AS176*'难度参数'!$E$28*'章节与怪物'!$E$17,0),0))</x:f>
        <x:v>349928</x:v>
      </x:c>
      <x:c r="AU176" s="119" t="n">
        <x:f>IF(AR176=0,0,(AR176-IF(6=D176,1,0))*VLOOKUP(INDEX('章节与怪物'!$E$31:$K$37,B176,6),'章节与怪物'!$A$41:$F$44,4,FALSE)+IF(6=D176,'难度参数'!$E$30,0))</x:f>
        <x:v>868</x:v>
      </x:c>
      <x:c r="AV176" s="119" t="n">
        <x:f>IF(7&gt;D176,0,MAX(2,MIN('难度参数'!$E$12,ROUND(('难度参数'!$E$18*POWER(A176,'难度参数'!$E$19)/D176*(0.85+0.3*(7-1)/MAX(1,D176-1))),0)+F176)))</x:f>
        <x:v>33</x:v>
      </x:c>
      <x:c r="AW176" s="119" t="n">
        <x:f>IF(7&gt;D176,0,ROUND(('难度参数'!$E$13*POWER(A176,'难度参数'!$E$20)*MIN('难度参数'!$E$23,1+MAX(0,A176-'难度参数'!$E$21)*'难度参数'!$E$22))*(36+7*7)/(36+7*(D176+1)/2)*E176,0))</x:f>
        <x:v>7236</x:v>
      </x:c>
      <x:c r="AX176" s="119" t="n">
        <x:f>IF(AV176=0,0,(AV176-IF(7=D176,1,0))*ROUND(AW176*VLOOKUP(INDEX('章节与怪物'!$E$31:$K$37,B176,7),'章节与怪物'!$A$41:$F$44,2,FALSE),0)+IF(7=D176,ROUND(AW176*'难度参数'!$E$28*'章节与怪物'!$E$17,0),0))</x:f>
        <x:v>361813</x:v>
      </x:c>
      <x:c r="AY176" s="119" t="n">
        <x:f>IF(AV176=0,0,(AV176-IF(7=D176,1,0))*VLOOKUP(INDEX('章节与怪物'!$E$31:$K$37,B176,7),'章节与怪物'!$A$41:$F$44,4,FALSE)+IF(7=D176,'难度参数'!$E$30,0))</x:f>
        <x:v>1288</x:v>
      </x:c>
    </x:row>
    <x:row r="177" ht="23" customHeight="1">
      <x:c r="A177" s="119" t="n">
        <x:v>171</x:v>
      </x:c>
      <x:c r="B177" s="119" t="n">
        <x:f>MOD(INT((A177-1)/5),7)+1</x:f>
        <x:v>7</x:v>
      </x:c>
      <x:c r="C177" s="62" t="str">
        <x:f>INDEX('章节与怪物'!$B$31:$B$37,B177)</x:f>
        <x:v>魔法山脊</x:v>
      </x:c>
      <x:c r="D177" s="119" t="n">
        <x:f>MIN('难度参数'!$E$8,MAX('难度参数'!$E$7,A177))</x:f>
        <x:v>7</x:v>
      </x:c>
      <x:c r="E177" s="106" t="n">
        <x:v>1</x:v>
      </x:c>
      <x:c r="F177" s="106" t="n">
        <x:v>0</x:v>
      </x:c>
      <x:c r="G177" s="106" t="n">
        <x:v>1</x:v>
      </x:c>
      <x:c r="H177" s="119" t="n">
        <x:f>SUM(X177,AB177,AF177,AJ177,AN177,AR177,AV177)</x:f>
        <x:v>200</x:v>
      </x:c>
      <x:c r="I177" s="119" t="n">
        <x:f>SUM(Z177,AD177,AH177,AL177,AP177,AT177,AX177)</x:f>
        <x:v>1451940</x:v>
      </x:c>
      <x:c r="J177" s="119" t="n">
        <x:f>ROUND(INDEX(X177:AY177,1,(D177-1)*4+2)*'难度参数'!$E$28*'章节与怪物'!$E$17,0)</x:f>
        <x:v>49416</x:v>
      </x:c>
      <x:c r="K177" s="119" t="n">
        <x:f>SUM(AA177,AE177,AI177,AM177,AQ177,AU177,AY177)</x:f>
        <x:v>5450</x:v>
      </x:c>
      <x:c r="L177" s="62" t="n">
        <x:f>H177*(ROUNDUP('难度参数'!$E$24/('难度参数'!$E$26*'难度参数'!$E$27),0)*'难度参数'!$E$26)/60</x:f>
        <x:v>2.6666666666666665</x:v>
      </x:c>
      <x:c r="M177" s="62" t="n">
        <x:f>L177+D177*('难度参数'!$E$49+'难度参数'!$E$50)/60</x:f>
        <x:v>3.833333333333333</x:v>
      </x:c>
      <x:c r="N177" s="119" t="n">
        <x:f>ROUNDDOWN(('经济参数'!$E$20+A177*'经济参数'!$E$21)*G177,0)</x:f>
        <x:v>3600</x:v>
      </x:c>
      <x:c r="O177" s="119" t="n">
        <x:f>ROUNDDOWN(MIN('经济参数'!$E$24,'经济参数'!$E$22+A177*'经济参数'!$E$23)*G177,0)</x:f>
        <x:v>0</x:v>
      </x:c>
      <x:c r="P177" s="119" t="n">
        <x:f>ROUNDDOWN((IF(A177&gt;='材料与任务'!$E$31,'材料与任务'!$E$32,IF(A177&gt;='材料与任务'!$E$25,'材料与任务'!$E$26,IF(A177&gt;='材料与任务'!$E$19,'材料与任务'!$E$20,IF(A177&gt;='材料与任务'!$E$13,'材料与任务'!$E$14,'材料与任务'!$E$8)))))*G177,0)</x:f>
        <x:v>6</x:v>
      </x:c>
      <x:c r="Q177" s="119" t="n">
        <x:f>ROUNDDOWN((IF(A177&gt;='材料与任务'!$E$31,'材料与任务'!$E$33,IF(A177&gt;='材料与任务'!$E$25,'材料与任务'!$E$27,IF(A177&gt;='材料与任务'!$E$19,'材料与任务'!$E$21,IF(A177&gt;='材料与任务'!$E$13,'材料与任务'!$E$15,'材料与任务'!$E$9)))))*G177,0)</x:f>
        <x:v>3</x:v>
      </x:c>
      <x:c r="R177" s="110" t="n">
        <x:f>'装备掉落'!$B$38</x:f>
        <x:v>0.6872058758851213</x:v>
      </x:c>
      <x:c r="S177" s="119" t="n">
        <x:f>MAX(IF(VLOOKUP(A177,'装备掉落'!$A$29:$H$34,2,TRUE)&gt;0,1,0),IF(VLOOKUP(A177,'装备掉落'!$A$29:$H$34,3,TRUE)&gt;0,2,0),IF(VLOOKUP(A177,'装备掉落'!$A$29:$H$34,4,TRUE)&gt;0,3,0),IF(VLOOKUP(A177,'装备掉落'!$A$29:$H$34,5,TRUE)&gt;0,4,0),IF(VLOOKUP(A177,'装备掉落'!$A$29:$H$34,6,TRUE)&gt;0,5,0),IF(VLOOKUP(A177,'装备掉落'!$A$29:$H$34,7,TRUE)&gt;0,6,0),IF(VLOOKUP(A177,'装备掉落'!$A$29:$H$34,8,TRUE)&gt;0,7,0))</x:f>
        <x:v>7</x:v>
      </x:c>
      <x:c r="T177" s="119" t="n">
        <x:f>MIN(7,S177+'经济参数'!$E$70)</x:f>
        <x:v>7</x:v>
      </x:c>
      <x:c r="U177" s="119" t="n">
        <x:f>MIN(7,S177+'经济参数'!$E$71)</x:f>
        <x:v>7</x:v>
      </x:c>
      <x:c r="V177" s="119" t="n">
        <x:f>IF(H177&gt;=('难度参数'!$E$52),1,0)+IF(H177&gt;=('难度参数'!$E$52+'难度参数'!$E$53),1,0)+IF(H177&gt;=('难度参数'!$E$52+'难度参数'!$E$53+'难度参数'!$E$54),1,0)+IF(H177&gt;=('难度参数'!$E$52+'难度参数'!$E$53+'难度参数'!$E$54+'难度参数'!$E$55),1,0)+IF(H177&gt;=('难度参数'!$E$52+'难度参数'!$E$53+'难度参数'!$E$54+'难度参数'!$E$55+'难度参数'!$E$56),1,0)+IF(H177&gt;=('难度参数'!$E$52+'难度参数'!$E$53+'难度参数'!$E$54+'难度参数'!$E$55+'难度参数'!$E$56+'难度参数'!$E$57),1,0)</x:f>
        <x:v>6</x:v>
      </x:c>
      <x:c r="W177" s="62" t="str">
        <x:f>IF(L177&gt;'难度参数'!$E$51,"仅出怪已超目标","还需实测")</x:f>
        <x:v>还需实测</x:v>
      </x:c>
      <x:c r="X177" s="119" t="n">
        <x:f>IF(1&gt;D177,0,MAX(2,MIN('难度参数'!$E$12,ROUND(('难度参数'!$E$18*POWER(A177,'难度参数'!$E$19)/D177*(0.85+0.3*(1-1)/MAX(1,D177-1))),0)+F177)))</x:f>
        <x:v>24</x:v>
      </x:c>
      <x:c r="Y177" s="119" t="n">
        <x:f>IF(1&gt;D177,0,ROUND(('难度参数'!$E$13*POWER(A177,'难度参数'!$E$20)*MIN('难度参数'!$E$23,1+MAX(0,A177-'难度参数'!$E$21)*'难度参数'!$E$22))*(36+1*7)/(36+7*(D177+1)/2)*E177,0))</x:f>
        <x:v>3676</x:v>
      </x:c>
      <x:c r="Z177" s="119" t="n">
        <x:f>IF(X177=0,0,(X177-IF(1=D177,1,0))*ROUND(Y177*VLOOKUP(INDEX('章节与怪物'!$E$31:$K$37,B177,1),'章节与怪物'!$A$41:$F$44,2,FALSE),0)+IF(1=D177,ROUND(Y177*'难度参数'!$E$28*'章节与怪物'!$E$17,0),0))</x:f>
        <x:v>88224</x:v>
      </x:c>
      <x:c r="AA177" s="119" t="n">
        <x:f>IF(X177=0,0,(X177-IF(1=D177,1,0))*VLOOKUP(INDEX('章节与怪物'!$E$31:$K$37,B177,1),'章节与怪物'!$A$41:$F$44,4,FALSE)+IF(1=D177,'难度参数'!$E$30,0))</x:f>
        <x:v>432</x:v>
      </x:c>
      <x:c r="AB177" s="119" t="n">
        <x:f>IF(2&gt;D177,0,MAX(2,MIN('难度参数'!$E$12,ROUND(('难度参数'!$E$18*POWER(A177,'难度参数'!$E$19)/D177*(0.85+0.3*(2-1)/MAX(1,D177-1))),0)+F177)))</x:f>
        <x:v>26</x:v>
      </x:c>
      <x:c r="AC177" s="119" t="n">
        <x:f>IF(2&gt;D177,0,ROUND(('难度参数'!$E$13*POWER(A177,'难度参数'!$E$20)*MIN('难度参数'!$E$23,1+MAX(0,A177-'难度参数'!$E$21)*'难度参数'!$E$22))*(36+2*7)/(36+7*(D177+1)/2)*E177,0))</x:f>
        <x:v>4274</x:v>
      </x:c>
      <x:c r="AD177" s="119" t="n">
        <x:f>IF(AB177=0,0,(AB177-IF(2=D177,1,0))*ROUND(AC177*VLOOKUP(INDEX('章节与怪物'!$E$31:$K$37,B177,2),'章节与怪物'!$A$41:$F$44,2,FALSE),0)+IF(2=D177,ROUND(AC177*'难度参数'!$E$28*'章节与怪物'!$E$17,0),0))</x:f>
        <x:v>80002</x:v>
      </x:c>
      <x:c r="AE177" s="119" t="n">
        <x:f>IF(AB177=0,0,(AB177-IF(2=D177,1,0))*VLOOKUP(INDEX('章节与怪物'!$E$31:$K$37,B177,2),'章节与怪物'!$A$41:$F$44,4,FALSE)+IF(2=D177,'难度参数'!$E$30,0))</x:f>
        <x:v>520</x:v>
      </x:c>
      <x:c r="AF177" s="119" t="n">
        <x:f>IF(3&gt;D177,0,MAX(2,MIN('难度参数'!$E$12,ROUND(('难度参数'!$E$18*POWER(A177,'难度参数'!$E$19)/D177*(0.85+0.3*(3-1)/MAX(1,D177-1))),0)+F177)))</x:f>
        <x:v>27</x:v>
      </x:c>
      <x:c r="AG177" s="119" t="n">
        <x:f>IF(3&gt;D177,0,ROUND(('难度参数'!$E$13*POWER(A177,'难度参数'!$E$20)*MIN('难度参数'!$E$23,1+MAX(0,A177-'难度参数'!$E$21)*'难度参数'!$E$22))*(36+3*7)/(36+7*(D177+1)/2)*E177,0))</x:f>
        <x:v>4873</x:v>
      </x:c>
      <x:c r="AH177" s="119" t="n">
        <x:f>IF(AF177=0,0,(AF177-IF(3=D177,1,0))*ROUND(AG177*VLOOKUP(INDEX('章节与怪物'!$E$31:$K$37,B177,3),'章节与怪物'!$A$41:$F$44,2,FALSE),0)+IF(3=D177,ROUND(AG177*'难度参数'!$E$28*'章节与怪物'!$E$17,0),0))</x:f>
        <x:v>223668</x:v>
      </x:c>
      <x:c r="AI177" s="119" t="n">
        <x:f>IF(AF177=0,0,(AF177-IF(3=D177,1,0))*VLOOKUP(INDEX('章节与怪物'!$E$31:$K$37,B177,3),'章节与怪物'!$A$41:$F$44,4,FALSE)+IF(3=D177,'难度参数'!$E$30,0))</x:f>
        <x:v>756</x:v>
      </x:c>
      <x:c r="AJ177" s="119" t="n">
        <x:f>IF(4&gt;D177,0,MAX(2,MIN('难度参数'!$E$12,ROUND(('难度参数'!$E$18*POWER(A177,'难度参数'!$E$19)/D177*(0.85+0.3*(4-1)/MAX(1,D177-1))),0)+F177)))</x:f>
        <x:v>29</x:v>
      </x:c>
      <x:c r="AK177" s="119" t="n">
        <x:f>IF(4&gt;D177,0,ROUND(('难度参数'!$E$13*POWER(A177,'难度参数'!$E$20)*MIN('难度参数'!$E$23,1+MAX(0,A177-'难度参数'!$E$21)*'难度参数'!$E$22))*(36+4*7)/(36+7*(D177+1)/2)*E177,0))</x:f>
        <x:v>5471</x:v>
      </x:c>
      <x:c r="AL177" s="119" t="n">
        <x:f>IF(AJ177=0,0,(AJ177-IF(4=D177,1,0))*ROUND(AK177*VLOOKUP(INDEX('章节与怪物'!$E$31:$K$37,B177,4),'章节与怪物'!$A$41:$F$44,2,FALSE),0)+IF(4=D177,ROUND(AK177*'难度参数'!$E$28*'章节与怪物'!$E$17,0),0))</x:f>
        <x:v>214194</x:v>
      </x:c>
      <x:c r="AM177" s="119" t="n">
        <x:f>IF(AJ177=0,0,(AJ177-IF(4=D177,1,0))*VLOOKUP(INDEX('章节与怪物'!$E$31:$K$37,B177,4),'章节与怪物'!$A$41:$F$44,4,FALSE)+IF(4=D177,'难度参数'!$E$30,0))</x:f>
        <x:v>986</x:v>
      </x:c>
      <x:c r="AN177" s="119" t="n">
        <x:f>IF(5&gt;D177,0,MAX(2,MIN('难度参数'!$E$12,ROUND(('难度参数'!$E$18*POWER(A177,'难度参数'!$E$19)/D177*(0.85+0.3*(5-1)/MAX(1,D177-1))),0)+F177)))</x:f>
        <x:v>30</x:v>
      </x:c>
      <x:c r="AO177" s="119" t="n">
        <x:f>IF(5&gt;D177,0,ROUND(('难度参数'!$E$13*POWER(A177,'难度参数'!$E$20)*MIN('难度参数'!$E$23,1+MAX(0,A177-'难度参数'!$E$21)*'难度参数'!$E$22))*(36+5*7)/(36+7*(D177+1)/2)*E177,0))</x:f>
        <x:v>6070</x:v>
      </x:c>
      <x:c r="AP177" s="119" t="n">
        <x:f>IF(AN177=0,0,(AN177-IF(5=D177,1,0))*ROUND(AO177*VLOOKUP(INDEX('章节与怪物'!$E$31:$K$37,B177,5),'章节与怪物'!$A$41:$F$44,2,FALSE),0)+IF(5=D177,ROUND(AO177*'难度参数'!$E$28*'章节与怪物'!$E$17,0),0))</x:f>
        <x:v>131100</x:v>
      </x:c>
      <x:c r="AQ177" s="119" t="n">
        <x:f>IF(AN177=0,0,(AN177-IF(5=D177,1,0))*VLOOKUP(INDEX('章节与怪物'!$E$31:$K$37,B177,5),'章节与怪物'!$A$41:$F$44,4,FALSE)+IF(5=D177,'难度参数'!$E$30,0))</x:f>
        <x:v>600</x:v>
      </x:c>
      <x:c r="AR177" s="119" t="n">
        <x:f>IF(6&gt;D177,0,MAX(2,MIN('难度参数'!$E$12,ROUND(('难度参数'!$E$18*POWER(A177,'难度参数'!$E$19)/D177*(0.85+0.3*(6-1)/MAX(1,D177-1))),0)+F177)))</x:f>
        <x:v>31</x:v>
      </x:c>
      <x:c r="AS177" s="119" t="n">
        <x:f>IF(6&gt;D177,0,ROUND(('难度参数'!$E$13*POWER(A177,'难度参数'!$E$20)*MIN('难度参数'!$E$23,1+MAX(0,A177-'难度参数'!$E$21)*'难度参数'!$E$22))*(36+6*7)/(36+7*(D177+1)/2)*E177,0))</x:f>
        <x:v>6668</x:v>
      </x:c>
      <x:c r="AT177" s="119" t="n">
        <x:f>IF(AR177=0,0,(AR177-IF(6=D177,1,0))*ROUND(AS177*VLOOKUP(INDEX('章节与怪物'!$E$31:$K$37,B177,6),'章节与怪物'!$A$41:$F$44,2,FALSE),0)+IF(6=D177,ROUND(AS177*'难度参数'!$E$28*'章节与怪物'!$E$17,0),0))</x:f>
        <x:v>351416</x:v>
      </x:c>
      <x:c r="AU177" s="119" t="n">
        <x:f>IF(AR177=0,0,(AR177-IF(6=D177,1,0))*VLOOKUP(INDEX('章节与怪物'!$E$31:$K$37,B177,6),'章节与怪物'!$A$41:$F$44,4,FALSE)+IF(6=D177,'难度参数'!$E$30,0))</x:f>
        <x:v>868</x:v>
      </x:c>
      <x:c r="AV177" s="119" t="n">
        <x:f>IF(7&gt;D177,0,MAX(2,MIN('难度参数'!$E$12,ROUND(('难度参数'!$E$18*POWER(A177,'难度参数'!$E$19)/D177*(0.85+0.3*(7-1)/MAX(1,D177-1))),0)+F177)))</x:f>
        <x:v>33</x:v>
      </x:c>
      <x:c r="AW177" s="119" t="n">
        <x:f>IF(7&gt;D177,0,ROUND(('难度参数'!$E$13*POWER(A177,'难度参数'!$E$20)*MIN('难度参数'!$E$23,1+MAX(0,A177-'难度参数'!$E$21)*'难度参数'!$E$22))*(36+7*7)/(36+7*(D177+1)/2)*E177,0))</x:f>
        <x:v>7267</x:v>
      </x:c>
      <x:c r="AX177" s="119" t="n">
        <x:f>IF(AV177=0,0,(AV177-IF(7=D177,1,0))*ROUND(AW177*VLOOKUP(INDEX('章节与怪物'!$E$31:$K$37,B177,7),'章节与怪物'!$A$41:$F$44,2,FALSE),0)+IF(7=D177,ROUND(AW177*'难度参数'!$E$28*'章节与怪物'!$E$17,0),0))</x:f>
        <x:v>363336</x:v>
      </x:c>
      <x:c r="AY177" s="119" t="n">
        <x:f>IF(AV177=0,0,(AV177-IF(7=D177,1,0))*VLOOKUP(INDEX('章节与怪物'!$E$31:$K$37,B177,7),'章节与怪物'!$A$41:$F$44,4,FALSE)+IF(7=D177,'难度参数'!$E$30,0))</x:f>
        <x:v>1288</x:v>
      </x:c>
    </x:row>
    <x:row r="178" ht="23" customHeight="1">
      <x:c r="A178" s="119" t="n">
        <x:v>172</x:v>
      </x:c>
      <x:c r="B178" s="119" t="n">
        <x:f>MOD(INT((A178-1)/5),7)+1</x:f>
        <x:v>7</x:v>
      </x:c>
      <x:c r="C178" s="62" t="str">
        <x:f>INDEX('章节与怪物'!$B$31:$B$37,B178)</x:f>
        <x:v>魔法山脊</x:v>
      </x:c>
      <x:c r="D178" s="119" t="n">
        <x:f>MIN('难度参数'!$E$8,MAX('难度参数'!$E$7,A178))</x:f>
        <x:v>7</x:v>
      </x:c>
      <x:c r="E178" s="106" t="n">
        <x:v>1</x:v>
      </x:c>
      <x:c r="F178" s="106" t="n">
        <x:v>0</x:v>
      </x:c>
      <x:c r="G178" s="106" t="n">
        <x:v>1</x:v>
      </x:c>
      <x:c r="H178" s="119" t="n">
        <x:f>SUM(X178,AB178,AF178,AJ178,AN178,AR178,AV178)</x:f>
        <x:v>200</x:v>
      </x:c>
      <x:c r="I178" s="119" t="n">
        <x:f>SUM(Z178,AD178,AH178,AL178,AP178,AT178,AX178)</x:f>
        <x:v>1457968</x:v>
      </x:c>
      <x:c r="J178" s="119" t="n">
        <x:f>ROUND(INDEX(X178:AY178,1,(D178-1)*4+2)*'难度参数'!$E$28*'章节与怪物'!$E$17,0)</x:f>
        <x:v>49620</x:v>
      </x:c>
      <x:c r="K178" s="119" t="n">
        <x:f>SUM(AA178,AE178,AI178,AM178,AQ178,AU178,AY178)</x:f>
        <x:v>5450</x:v>
      </x:c>
      <x:c r="L178" s="62" t="n">
        <x:f>H178*(ROUNDUP('难度参数'!$E$24/('难度参数'!$E$26*'难度参数'!$E$27),0)*'难度参数'!$E$26)/60</x:f>
        <x:v>2.6666666666666665</x:v>
      </x:c>
      <x:c r="M178" s="62" t="n">
        <x:f>L178+D178*('难度参数'!$E$49+'难度参数'!$E$50)/60</x:f>
        <x:v>3.833333333333333</x:v>
      </x:c>
      <x:c r="N178" s="119" t="n">
        <x:f>ROUNDDOWN(('经济参数'!$E$20+A178*'经济参数'!$E$21)*G178,0)</x:f>
        <x:v>3620</x:v>
      </x:c>
      <x:c r="O178" s="119" t="n">
        <x:f>ROUNDDOWN(MIN('经济参数'!$E$24,'经济参数'!$E$22+A178*'经济参数'!$E$23)*G178,0)</x:f>
        <x:v>0</x:v>
      </x:c>
      <x:c r="P178" s="119" t="n">
        <x:f>ROUNDDOWN((IF(A178&gt;='材料与任务'!$E$31,'材料与任务'!$E$32,IF(A178&gt;='材料与任务'!$E$25,'材料与任务'!$E$26,IF(A178&gt;='材料与任务'!$E$19,'材料与任务'!$E$20,IF(A178&gt;='材料与任务'!$E$13,'材料与任务'!$E$14,'材料与任务'!$E$8)))))*G178,0)</x:f>
        <x:v>6</x:v>
      </x:c>
      <x:c r="Q178" s="119" t="n">
        <x:f>ROUNDDOWN((IF(A178&gt;='材料与任务'!$E$31,'材料与任务'!$E$33,IF(A178&gt;='材料与任务'!$E$25,'材料与任务'!$E$27,IF(A178&gt;='材料与任务'!$E$19,'材料与任务'!$E$21,IF(A178&gt;='材料与任务'!$E$13,'材料与任务'!$E$15,'材料与任务'!$E$9)))))*G178,0)</x:f>
        <x:v>3</x:v>
      </x:c>
      <x:c r="R178" s="110" t="n">
        <x:f>'装备掉落'!$B$38</x:f>
        <x:v>0.6872058758851213</x:v>
      </x:c>
      <x:c r="S178" s="119" t="n">
        <x:f>MAX(IF(VLOOKUP(A178,'装备掉落'!$A$29:$H$34,2,TRUE)&gt;0,1,0),IF(VLOOKUP(A178,'装备掉落'!$A$29:$H$34,3,TRUE)&gt;0,2,0),IF(VLOOKUP(A178,'装备掉落'!$A$29:$H$34,4,TRUE)&gt;0,3,0),IF(VLOOKUP(A178,'装备掉落'!$A$29:$H$34,5,TRUE)&gt;0,4,0),IF(VLOOKUP(A178,'装备掉落'!$A$29:$H$34,6,TRUE)&gt;0,5,0),IF(VLOOKUP(A178,'装备掉落'!$A$29:$H$34,7,TRUE)&gt;0,6,0),IF(VLOOKUP(A178,'装备掉落'!$A$29:$H$34,8,TRUE)&gt;0,7,0))</x:f>
        <x:v>7</x:v>
      </x:c>
      <x:c r="T178" s="119" t="n">
        <x:f>MIN(7,S178+'经济参数'!$E$70)</x:f>
        <x:v>7</x:v>
      </x:c>
      <x:c r="U178" s="119" t="n">
        <x:f>MIN(7,S178+'经济参数'!$E$71)</x:f>
        <x:v>7</x:v>
      </x:c>
      <x:c r="V178" s="119" t="n">
        <x:f>IF(H178&gt;=('难度参数'!$E$52),1,0)+IF(H178&gt;=('难度参数'!$E$52+'难度参数'!$E$53),1,0)+IF(H178&gt;=('难度参数'!$E$52+'难度参数'!$E$53+'难度参数'!$E$54),1,0)+IF(H178&gt;=('难度参数'!$E$52+'难度参数'!$E$53+'难度参数'!$E$54+'难度参数'!$E$55),1,0)+IF(H178&gt;=('难度参数'!$E$52+'难度参数'!$E$53+'难度参数'!$E$54+'难度参数'!$E$55+'难度参数'!$E$56),1,0)+IF(H178&gt;=('难度参数'!$E$52+'难度参数'!$E$53+'难度参数'!$E$54+'难度参数'!$E$55+'难度参数'!$E$56+'难度参数'!$E$57),1,0)</x:f>
        <x:v>6</x:v>
      </x:c>
      <x:c r="W178" s="62" t="str">
        <x:f>IF(L178&gt;'难度参数'!$E$51,"仅出怪已超目标","还需实测")</x:f>
        <x:v>还需实测</x:v>
      </x:c>
      <x:c r="X178" s="119" t="n">
        <x:f>IF(1&gt;D178,0,MAX(2,MIN('难度参数'!$E$12,ROUND(('难度参数'!$E$18*POWER(A178,'难度参数'!$E$19)/D178*(0.85+0.3*(1-1)/MAX(1,D178-1))),0)+F178)))</x:f>
        <x:v>24</x:v>
      </x:c>
      <x:c r="Y178" s="119" t="n">
        <x:f>IF(1&gt;D178,0,ROUND(('难度参数'!$E$13*POWER(A178,'难度参数'!$E$20)*MIN('难度参数'!$E$23,1+MAX(0,A178-'难度参数'!$E$21)*'难度参数'!$E$22))*(36+1*7)/(36+7*(D178+1)/2)*E178,0))</x:f>
        <x:v>3691</x:v>
      </x:c>
      <x:c r="Z178" s="119" t="n">
        <x:f>IF(X178=0,0,(X178-IF(1=D178,1,0))*ROUND(Y178*VLOOKUP(INDEX('章节与怪物'!$E$31:$K$37,B178,1),'章节与怪物'!$A$41:$F$44,2,FALSE),0)+IF(1=D178,ROUND(Y178*'难度参数'!$E$28*'章节与怪物'!$E$17,0),0))</x:f>
        <x:v>88584</x:v>
      </x:c>
      <x:c r="AA178" s="119" t="n">
        <x:f>IF(X178=0,0,(X178-IF(1=D178,1,0))*VLOOKUP(INDEX('章节与怪物'!$E$31:$K$37,B178,1),'章节与怪物'!$A$41:$F$44,4,FALSE)+IF(1=D178,'难度参数'!$E$30,0))</x:f>
        <x:v>432</x:v>
      </x:c>
      <x:c r="AB178" s="119" t="n">
        <x:f>IF(2&gt;D178,0,MAX(2,MIN('难度参数'!$E$12,ROUND(('难度参数'!$E$18*POWER(A178,'难度参数'!$E$19)/D178*(0.85+0.3*(2-1)/MAX(1,D178-1))),0)+F178)))</x:f>
        <x:v>26</x:v>
      </x:c>
      <x:c r="AC178" s="119" t="n">
        <x:f>IF(2&gt;D178,0,ROUND(('难度参数'!$E$13*POWER(A178,'难度参数'!$E$20)*MIN('难度参数'!$E$23,1+MAX(0,A178-'难度参数'!$E$21)*'难度参数'!$E$22))*(36+2*7)/(36+7*(D178+1)/2)*E178,0))</x:f>
        <x:v>4292</x:v>
      </x:c>
      <x:c r="AD178" s="119" t="n">
        <x:f>IF(AB178=0,0,(AB178-IF(2=D178,1,0))*ROUND(AC178*VLOOKUP(INDEX('章节与怪物'!$E$31:$K$37,B178,2),'章节与怪物'!$A$41:$F$44,2,FALSE),0)+IF(2=D178,ROUND(AC178*'难度参数'!$E$28*'章节与怪物'!$E$17,0),0))</x:f>
        <x:v>80340</x:v>
      </x:c>
      <x:c r="AE178" s="119" t="n">
        <x:f>IF(AB178=0,0,(AB178-IF(2=D178,1,0))*VLOOKUP(INDEX('章节与怪物'!$E$31:$K$37,B178,2),'章节与怪物'!$A$41:$F$44,4,FALSE)+IF(2=D178,'难度参数'!$E$30,0))</x:f>
        <x:v>520</x:v>
      </x:c>
      <x:c r="AF178" s="119" t="n">
        <x:f>IF(3&gt;D178,0,MAX(2,MIN('难度参数'!$E$12,ROUND(('难度参数'!$E$18*POWER(A178,'难度参数'!$E$19)/D178*(0.85+0.3*(3-1)/MAX(1,D178-1))),0)+F178)))</x:f>
        <x:v>27</x:v>
      </x:c>
      <x:c r="AG178" s="119" t="n">
        <x:f>IF(3&gt;D178,0,ROUND(('难度参数'!$E$13*POWER(A178,'难度参数'!$E$20)*MIN('难度参数'!$E$23,1+MAX(0,A178-'难度参数'!$E$21)*'难度参数'!$E$22))*(36+3*7)/(36+7*(D178+1)/2)*E178,0))</x:f>
        <x:v>4893</x:v>
      </x:c>
      <x:c r="AH178" s="119" t="n">
        <x:f>IF(AF178=0,0,(AF178-IF(3=D178,1,0))*ROUND(AG178*VLOOKUP(INDEX('章节与怪物'!$E$31:$K$37,B178,3),'章节与怪物'!$A$41:$F$44,2,FALSE),0)+IF(3=D178,ROUND(AG178*'难度参数'!$E$28*'章节与怪物'!$E$17,0),0))</x:f>
        <x:v>224586</x:v>
      </x:c>
      <x:c r="AI178" s="119" t="n">
        <x:f>IF(AF178=0,0,(AF178-IF(3=D178,1,0))*VLOOKUP(INDEX('章节与怪物'!$E$31:$K$37,B178,3),'章节与怪物'!$A$41:$F$44,4,FALSE)+IF(3=D178,'难度参数'!$E$30,0))</x:f>
        <x:v>756</x:v>
      </x:c>
      <x:c r="AJ178" s="119" t="n">
        <x:f>IF(4&gt;D178,0,MAX(2,MIN('难度参数'!$E$12,ROUND(('难度参数'!$E$18*POWER(A178,'难度参数'!$E$19)/D178*(0.85+0.3*(4-1)/MAX(1,D178-1))),0)+F178)))</x:f>
        <x:v>29</x:v>
      </x:c>
      <x:c r="AK178" s="119" t="n">
        <x:f>IF(4&gt;D178,0,ROUND(('难度参数'!$E$13*POWER(A178,'难度参数'!$E$20)*MIN('难度参数'!$E$23,1+MAX(0,A178-'难度参数'!$E$21)*'难度参数'!$E$22))*(36+4*7)/(36+7*(D178+1)/2)*E178,0))</x:f>
        <x:v>5494</x:v>
      </x:c>
      <x:c r="AL178" s="119" t="n">
        <x:f>IF(AJ178=0,0,(AJ178-IF(4=D178,1,0))*ROUND(AK178*VLOOKUP(INDEX('章节与怪物'!$E$31:$K$37,B178,4),'章节与怪物'!$A$41:$F$44,2,FALSE),0)+IF(4=D178,ROUND(AK178*'难度参数'!$E$28*'章节与怪物'!$E$17,0),0))</x:f>
        <x:v>215093</x:v>
      </x:c>
      <x:c r="AM178" s="119" t="n">
        <x:f>IF(AJ178=0,0,(AJ178-IF(4=D178,1,0))*VLOOKUP(INDEX('章节与怪物'!$E$31:$K$37,B178,4),'章节与怪物'!$A$41:$F$44,4,FALSE)+IF(4=D178,'难度参数'!$E$30,0))</x:f>
        <x:v>986</x:v>
      </x:c>
      <x:c r="AN178" s="119" t="n">
        <x:f>IF(5&gt;D178,0,MAX(2,MIN('难度参数'!$E$12,ROUND(('难度参数'!$E$18*POWER(A178,'难度参数'!$E$19)/D178*(0.85+0.3*(5-1)/MAX(1,D178-1))),0)+F178)))</x:f>
        <x:v>30</x:v>
      </x:c>
      <x:c r="AO178" s="119" t="n">
        <x:f>IF(5&gt;D178,0,ROUND(('难度参数'!$E$13*POWER(A178,'难度参数'!$E$20)*MIN('难度参数'!$E$23,1+MAX(0,A178-'难度参数'!$E$21)*'难度参数'!$E$22))*(36+5*7)/(36+7*(D178+1)/2)*E178,0))</x:f>
        <x:v>6095</x:v>
      </x:c>
      <x:c r="AP178" s="119" t="n">
        <x:f>IF(AN178=0,0,(AN178-IF(5=D178,1,0))*ROUND(AO178*VLOOKUP(INDEX('章节与怪物'!$E$31:$K$37,B178,5),'章节与怪物'!$A$41:$F$44,2,FALSE),0)+IF(5=D178,ROUND(AO178*'难度参数'!$E$28*'章节与怪物'!$E$17,0),0))</x:f>
        <x:v>131640</x:v>
      </x:c>
      <x:c r="AQ178" s="119" t="n">
        <x:f>IF(AN178=0,0,(AN178-IF(5=D178,1,0))*VLOOKUP(INDEX('章节与怪物'!$E$31:$K$37,B178,5),'章节与怪物'!$A$41:$F$44,4,FALSE)+IF(5=D178,'难度参数'!$E$30,0))</x:f>
        <x:v>600</x:v>
      </x:c>
      <x:c r="AR178" s="119" t="n">
        <x:f>IF(6&gt;D178,0,MAX(2,MIN('难度参数'!$E$12,ROUND(('难度参数'!$E$18*POWER(A178,'难度参数'!$E$19)/D178*(0.85+0.3*(6-1)/MAX(1,D178-1))),0)+F178)))</x:f>
        <x:v>31</x:v>
      </x:c>
      <x:c r="AS178" s="119" t="n">
        <x:f>IF(6&gt;D178,0,ROUND(('难度参数'!$E$13*POWER(A178,'难度参数'!$E$20)*MIN('难度参数'!$E$23,1+MAX(0,A178-'难度参数'!$E$21)*'难度参数'!$E$22))*(36+6*7)/(36+7*(D178+1)/2)*E178,0))</x:f>
        <x:v>6696</x:v>
      </x:c>
      <x:c r="AT178" s="119" t="n">
        <x:f>IF(AR178=0,0,(AR178-IF(6=D178,1,0))*ROUND(AS178*VLOOKUP(INDEX('章节与怪物'!$E$31:$K$37,B178,6),'章节与怪物'!$A$41:$F$44,2,FALSE),0)+IF(6=D178,ROUND(AS178*'难度参数'!$E$28*'章节与怪物'!$E$17,0),0))</x:f>
        <x:v>352873</x:v>
      </x:c>
      <x:c r="AU178" s="119" t="n">
        <x:f>IF(AR178=0,0,(AR178-IF(6=D178,1,0))*VLOOKUP(INDEX('章节与怪物'!$E$31:$K$37,B178,6),'章节与怪物'!$A$41:$F$44,4,FALSE)+IF(6=D178,'难度参数'!$E$30,0))</x:f>
        <x:v>868</x:v>
      </x:c>
      <x:c r="AV178" s="119" t="n">
        <x:f>IF(7&gt;D178,0,MAX(2,MIN('难度参数'!$E$12,ROUND(('难度参数'!$E$18*POWER(A178,'难度参数'!$E$19)/D178*(0.85+0.3*(7-1)/MAX(1,D178-1))),0)+F178)))</x:f>
        <x:v>33</x:v>
      </x:c>
      <x:c r="AW178" s="119" t="n">
        <x:f>IF(7&gt;D178,0,ROUND(('难度参数'!$E$13*POWER(A178,'难度参数'!$E$20)*MIN('难度参数'!$E$23,1+MAX(0,A178-'难度参数'!$E$21)*'难度参数'!$E$22))*(36+7*7)/(36+7*(D178+1)/2)*E178,0))</x:f>
        <x:v>7297</x:v>
      </x:c>
      <x:c r="AX178" s="119" t="n">
        <x:f>IF(AV178=0,0,(AV178-IF(7=D178,1,0))*ROUND(AW178*VLOOKUP(INDEX('章节与怪物'!$E$31:$K$37,B178,7),'章节与怪物'!$A$41:$F$44,2,FALSE),0)+IF(7=D178,ROUND(AW178*'难度参数'!$E$28*'章节与怪物'!$E$17,0),0))</x:f>
        <x:v>364852</x:v>
      </x:c>
      <x:c r="AY178" s="119" t="n">
        <x:f>IF(AV178=0,0,(AV178-IF(7=D178,1,0))*VLOOKUP(INDEX('章节与怪物'!$E$31:$K$37,B178,7),'章节与怪物'!$A$41:$F$44,4,FALSE)+IF(7=D178,'难度参数'!$E$30,0))</x:f>
        <x:v>1288</x:v>
      </x:c>
    </x:row>
    <x:row r="179" ht="23" customHeight="1">
      <x:c r="A179" s="119" t="n">
        <x:v>173</x:v>
      </x:c>
      <x:c r="B179" s="119" t="n">
        <x:f>MOD(INT((A179-1)/5),7)+1</x:f>
        <x:v>7</x:v>
      </x:c>
      <x:c r="C179" s="62" t="str">
        <x:f>INDEX('章节与怪物'!$B$31:$B$37,B179)</x:f>
        <x:v>魔法山脊</x:v>
      </x:c>
      <x:c r="D179" s="119" t="n">
        <x:f>MIN('难度参数'!$E$8,MAX('难度参数'!$E$7,A179))</x:f>
        <x:v>7</x:v>
      </x:c>
      <x:c r="E179" s="106" t="n">
        <x:v>1</x:v>
      </x:c>
      <x:c r="F179" s="106" t="n">
        <x:v>0</x:v>
      </x:c>
      <x:c r="G179" s="106" t="n">
        <x:v>1</x:v>
      </x:c>
      <x:c r="H179" s="119" t="n">
        <x:f>SUM(X179,AB179,AF179,AJ179,AN179,AR179,AV179)</x:f>
        <x:v>200</x:v>
      </x:c>
      <x:c r="I179" s="119" t="n">
        <x:f>SUM(Z179,AD179,AH179,AL179,AP179,AT179,AX179)</x:f>
        <x:v>1464173</x:v>
      </x:c>
      <x:c r="J179" s="119" t="n">
        <x:f>ROUND(INDEX(X179:AY179,1,(D179-1)*4+2)*'难度参数'!$E$28*'章节与怪物'!$E$17,0)</x:f>
        <x:v>49830</x:v>
      </x:c>
      <x:c r="K179" s="119" t="n">
        <x:f>SUM(AA179,AE179,AI179,AM179,AQ179,AU179,AY179)</x:f>
        <x:v>5450</x:v>
      </x:c>
      <x:c r="L179" s="62" t="n">
        <x:f>H179*(ROUNDUP('难度参数'!$E$24/('难度参数'!$E$26*'难度参数'!$E$27),0)*'难度参数'!$E$26)/60</x:f>
        <x:v>2.6666666666666665</x:v>
      </x:c>
      <x:c r="M179" s="62" t="n">
        <x:f>L179+D179*('难度参数'!$E$49+'难度参数'!$E$50)/60</x:f>
        <x:v>3.833333333333333</x:v>
      </x:c>
      <x:c r="N179" s="119" t="n">
        <x:f>ROUNDDOWN(('经济参数'!$E$20+A179*'经济参数'!$E$21)*G179,0)</x:f>
        <x:v>3640</x:v>
      </x:c>
      <x:c r="O179" s="119" t="n">
        <x:f>ROUNDDOWN(MIN('经济参数'!$E$24,'经济参数'!$E$22+A179*'经济参数'!$E$23)*G179,0)</x:f>
        <x:v>0</x:v>
      </x:c>
      <x:c r="P179" s="119" t="n">
        <x:f>ROUNDDOWN((IF(A179&gt;='材料与任务'!$E$31,'材料与任务'!$E$32,IF(A179&gt;='材料与任务'!$E$25,'材料与任务'!$E$26,IF(A179&gt;='材料与任务'!$E$19,'材料与任务'!$E$20,IF(A179&gt;='材料与任务'!$E$13,'材料与任务'!$E$14,'材料与任务'!$E$8)))))*G179,0)</x:f>
        <x:v>6</x:v>
      </x:c>
      <x:c r="Q179" s="119" t="n">
        <x:f>ROUNDDOWN((IF(A179&gt;='材料与任务'!$E$31,'材料与任务'!$E$33,IF(A179&gt;='材料与任务'!$E$25,'材料与任务'!$E$27,IF(A179&gt;='材料与任务'!$E$19,'材料与任务'!$E$21,IF(A179&gt;='材料与任务'!$E$13,'材料与任务'!$E$15,'材料与任务'!$E$9)))))*G179,0)</x:f>
        <x:v>3</x:v>
      </x:c>
      <x:c r="R179" s="110" t="n">
        <x:f>'装备掉落'!$B$38</x:f>
        <x:v>0.6872058758851213</x:v>
      </x:c>
      <x:c r="S179" s="119" t="n">
        <x:f>MAX(IF(VLOOKUP(A179,'装备掉落'!$A$29:$H$34,2,TRUE)&gt;0,1,0),IF(VLOOKUP(A179,'装备掉落'!$A$29:$H$34,3,TRUE)&gt;0,2,0),IF(VLOOKUP(A179,'装备掉落'!$A$29:$H$34,4,TRUE)&gt;0,3,0),IF(VLOOKUP(A179,'装备掉落'!$A$29:$H$34,5,TRUE)&gt;0,4,0),IF(VLOOKUP(A179,'装备掉落'!$A$29:$H$34,6,TRUE)&gt;0,5,0),IF(VLOOKUP(A179,'装备掉落'!$A$29:$H$34,7,TRUE)&gt;0,6,0),IF(VLOOKUP(A179,'装备掉落'!$A$29:$H$34,8,TRUE)&gt;0,7,0))</x:f>
        <x:v>7</x:v>
      </x:c>
      <x:c r="T179" s="119" t="n">
        <x:f>MIN(7,S179+'经济参数'!$E$70)</x:f>
        <x:v>7</x:v>
      </x:c>
      <x:c r="U179" s="119" t="n">
        <x:f>MIN(7,S179+'经济参数'!$E$71)</x:f>
        <x:v>7</x:v>
      </x:c>
      <x:c r="V179" s="119" t="n">
        <x:f>IF(H179&gt;=('难度参数'!$E$52),1,0)+IF(H179&gt;=('难度参数'!$E$52+'难度参数'!$E$53),1,0)+IF(H179&gt;=('难度参数'!$E$52+'难度参数'!$E$53+'难度参数'!$E$54),1,0)+IF(H179&gt;=('难度参数'!$E$52+'难度参数'!$E$53+'难度参数'!$E$54+'难度参数'!$E$55),1,0)+IF(H179&gt;=('难度参数'!$E$52+'难度参数'!$E$53+'难度参数'!$E$54+'难度参数'!$E$55+'难度参数'!$E$56),1,0)+IF(H179&gt;=('难度参数'!$E$52+'难度参数'!$E$53+'难度参数'!$E$54+'难度参数'!$E$55+'难度参数'!$E$56+'难度参数'!$E$57),1,0)</x:f>
        <x:v>6</x:v>
      </x:c>
      <x:c r="W179" s="62" t="str">
        <x:f>IF(L179&gt;'难度参数'!$E$51,"仅出怪已超目标","还需实测")</x:f>
        <x:v>还需实测</x:v>
      </x:c>
      <x:c r="X179" s="119" t="n">
        <x:f>IF(1&gt;D179,0,MAX(2,MIN('难度参数'!$E$12,ROUND(('难度参数'!$E$18*POWER(A179,'难度参数'!$E$19)/D179*(0.85+0.3*(1-1)/MAX(1,D179-1))),0)+F179)))</x:f>
        <x:v>24</x:v>
      </x:c>
      <x:c r="Y179" s="119" t="n">
        <x:f>IF(1&gt;D179,0,ROUND(('难度参数'!$E$13*POWER(A179,'难度参数'!$E$20)*MIN('难度参数'!$E$23,1+MAX(0,A179-'难度参数'!$E$21)*'难度参数'!$E$22))*(36+1*7)/(36+7*(D179+1)/2)*E179,0))</x:f>
        <x:v>3707</x:v>
      </x:c>
      <x:c r="Z179" s="119" t="n">
        <x:f>IF(X179=0,0,(X179-IF(1=D179,1,0))*ROUND(Y179*VLOOKUP(INDEX('章节与怪物'!$E$31:$K$37,B179,1),'章节与怪物'!$A$41:$F$44,2,FALSE),0)+IF(1=D179,ROUND(Y179*'难度参数'!$E$28*'章节与怪物'!$E$17,0),0))</x:f>
        <x:v>88968</x:v>
      </x:c>
      <x:c r="AA179" s="119" t="n">
        <x:f>IF(X179=0,0,(X179-IF(1=D179,1,0))*VLOOKUP(INDEX('章节与怪物'!$E$31:$K$37,B179,1),'章节与怪物'!$A$41:$F$44,4,FALSE)+IF(1=D179,'难度参数'!$E$30,0))</x:f>
        <x:v>432</x:v>
      </x:c>
      <x:c r="AB179" s="119" t="n">
        <x:f>IF(2&gt;D179,0,MAX(2,MIN('难度参数'!$E$12,ROUND(('难度参数'!$E$18*POWER(A179,'难度参数'!$E$19)/D179*(0.85+0.3*(2-1)/MAX(1,D179-1))),0)+F179)))</x:f>
        <x:v>26</x:v>
      </x:c>
      <x:c r="AC179" s="119" t="n">
        <x:f>IF(2&gt;D179,0,ROUND(('难度参数'!$E$13*POWER(A179,'难度参数'!$E$20)*MIN('难度参数'!$E$23,1+MAX(0,A179-'难度参数'!$E$21)*'难度参数'!$E$22))*(36+2*7)/(36+7*(D179+1)/2)*E179,0))</x:f>
        <x:v>4310</x:v>
      </x:c>
      <x:c r="AD179" s="119" t="n">
        <x:f>IF(AB179=0,0,(AB179-IF(2=D179,1,0))*ROUND(AC179*VLOOKUP(INDEX('章节与怪物'!$E$31:$K$37,B179,2),'章节与怪物'!$A$41:$F$44,2,FALSE),0)+IF(2=D179,ROUND(AC179*'难度参数'!$E$28*'章节与怪物'!$E$17,0),0))</x:f>
        <x:v>80678</x:v>
      </x:c>
      <x:c r="AE179" s="119" t="n">
        <x:f>IF(AB179=0,0,(AB179-IF(2=D179,1,0))*VLOOKUP(INDEX('章节与怪物'!$E$31:$K$37,B179,2),'章节与怪物'!$A$41:$F$44,4,FALSE)+IF(2=D179,'难度参数'!$E$30,0))</x:f>
        <x:v>520</x:v>
      </x:c>
      <x:c r="AF179" s="119" t="n">
        <x:f>IF(3&gt;D179,0,MAX(2,MIN('难度参数'!$E$12,ROUND(('难度参数'!$E$18*POWER(A179,'难度参数'!$E$19)/D179*(0.85+0.3*(3-1)/MAX(1,D179-1))),0)+F179)))</x:f>
        <x:v>27</x:v>
      </x:c>
      <x:c r="AG179" s="119" t="n">
        <x:f>IF(3&gt;D179,0,ROUND(('难度参数'!$E$13*POWER(A179,'难度参数'!$E$20)*MIN('难度参数'!$E$23,1+MAX(0,A179-'难度参数'!$E$21)*'难度参数'!$E$22))*(36+3*7)/(36+7*(D179+1)/2)*E179,0))</x:f>
        <x:v>4914</x:v>
      </x:c>
      <x:c r="AH179" s="119" t="n">
        <x:f>IF(AF179=0,0,(AF179-IF(3=D179,1,0))*ROUND(AG179*VLOOKUP(INDEX('章节与怪物'!$E$31:$K$37,B179,3),'章节与怪物'!$A$41:$F$44,2,FALSE),0)+IF(3=D179,ROUND(AG179*'难度参数'!$E$28*'章节与怪物'!$E$17,0),0))</x:f>
        <x:v>225558</x:v>
      </x:c>
      <x:c r="AI179" s="119" t="n">
        <x:f>IF(AF179=0,0,(AF179-IF(3=D179,1,0))*VLOOKUP(INDEX('章节与怪物'!$E$31:$K$37,B179,3),'章节与怪物'!$A$41:$F$44,4,FALSE)+IF(3=D179,'难度参数'!$E$30,0))</x:f>
        <x:v>756</x:v>
      </x:c>
      <x:c r="AJ179" s="119" t="n">
        <x:f>IF(4&gt;D179,0,MAX(2,MIN('难度参数'!$E$12,ROUND(('难度参数'!$E$18*POWER(A179,'难度参数'!$E$19)/D179*(0.85+0.3*(4-1)/MAX(1,D179-1))),0)+F179)))</x:f>
        <x:v>29</x:v>
      </x:c>
      <x:c r="AK179" s="119" t="n">
        <x:f>IF(4&gt;D179,0,ROUND(('难度参数'!$E$13*POWER(A179,'难度参数'!$E$20)*MIN('难度参数'!$E$23,1+MAX(0,A179-'难度参数'!$E$21)*'难度参数'!$E$22))*(36+4*7)/(36+7*(D179+1)/2)*E179,0))</x:f>
        <x:v>5517</x:v>
      </x:c>
      <x:c r="AL179" s="119" t="n">
        <x:f>IF(AJ179=0,0,(AJ179-IF(4=D179,1,0))*ROUND(AK179*VLOOKUP(INDEX('章节与怪物'!$E$31:$K$37,B179,4),'章节与怪物'!$A$41:$F$44,2,FALSE),0)+IF(4=D179,ROUND(AK179*'难度参数'!$E$28*'章节与怪物'!$E$17,0),0))</x:f>
        <x:v>215992</x:v>
      </x:c>
      <x:c r="AM179" s="119" t="n">
        <x:f>IF(AJ179=0,0,(AJ179-IF(4=D179,1,0))*VLOOKUP(INDEX('章节与怪物'!$E$31:$K$37,B179,4),'章节与怪物'!$A$41:$F$44,4,FALSE)+IF(4=D179,'难度参数'!$E$30,0))</x:f>
        <x:v>986</x:v>
      </x:c>
      <x:c r="AN179" s="119" t="n">
        <x:f>IF(5&gt;D179,0,MAX(2,MIN('难度参数'!$E$12,ROUND(('难度参数'!$E$18*POWER(A179,'难度参数'!$E$19)/D179*(0.85+0.3*(5-1)/MAX(1,D179-1))),0)+F179)))</x:f>
        <x:v>30</x:v>
      </x:c>
      <x:c r="AO179" s="119" t="n">
        <x:f>IF(5&gt;D179,0,ROUND(('难度参数'!$E$13*POWER(A179,'难度参数'!$E$20)*MIN('难度参数'!$E$23,1+MAX(0,A179-'难度参数'!$E$21)*'难度参数'!$E$22))*(36+5*7)/(36+7*(D179+1)/2)*E179,0))</x:f>
        <x:v>6121</x:v>
      </x:c>
      <x:c r="AP179" s="119" t="n">
        <x:f>IF(AN179=0,0,(AN179-IF(5=D179,1,0))*ROUND(AO179*VLOOKUP(INDEX('章节与怪物'!$E$31:$K$37,B179,5),'章节与怪物'!$A$41:$F$44,2,FALSE),0)+IF(5=D179,ROUND(AO179*'难度参数'!$E$28*'章节与怪物'!$E$17,0),0))</x:f>
        <x:v>132210</x:v>
      </x:c>
      <x:c r="AQ179" s="119" t="n">
        <x:f>IF(AN179=0,0,(AN179-IF(5=D179,1,0))*VLOOKUP(INDEX('章节与怪物'!$E$31:$K$37,B179,5),'章节与怪物'!$A$41:$F$44,4,FALSE)+IF(5=D179,'难度参数'!$E$30,0))</x:f>
        <x:v>600</x:v>
      </x:c>
      <x:c r="AR179" s="119" t="n">
        <x:f>IF(6&gt;D179,0,MAX(2,MIN('难度参数'!$E$12,ROUND(('难度参数'!$E$18*POWER(A179,'难度参数'!$E$19)/D179*(0.85+0.3*(6-1)/MAX(1,D179-1))),0)+F179)))</x:f>
        <x:v>31</x:v>
      </x:c>
      <x:c r="AS179" s="119" t="n">
        <x:f>IF(6&gt;D179,0,ROUND(('难度参数'!$E$13*POWER(A179,'难度参数'!$E$20)*MIN('难度参数'!$E$23,1+MAX(0,A179-'难度参数'!$E$21)*'难度参数'!$E$22))*(36+6*7)/(36+7*(D179+1)/2)*E179,0))</x:f>
        <x:v>6724</x:v>
      </x:c>
      <x:c r="AT179" s="119" t="n">
        <x:f>IF(AR179=0,0,(AR179-IF(6=D179,1,0))*ROUND(AS179*VLOOKUP(INDEX('章节与怪物'!$E$31:$K$37,B179,6),'章节与怪物'!$A$41:$F$44,2,FALSE),0)+IF(6=D179,ROUND(AS179*'难度参数'!$E$28*'章节与怪物'!$E$17,0),0))</x:f>
        <x:v>354361</x:v>
      </x:c>
      <x:c r="AU179" s="119" t="n">
        <x:f>IF(AR179=0,0,(AR179-IF(6=D179,1,0))*VLOOKUP(INDEX('章节与怪物'!$E$31:$K$37,B179,6),'章节与怪物'!$A$41:$F$44,4,FALSE)+IF(6=D179,'难度参数'!$E$30,0))</x:f>
        <x:v>868</x:v>
      </x:c>
      <x:c r="AV179" s="119" t="n">
        <x:f>IF(7&gt;D179,0,MAX(2,MIN('难度参数'!$E$12,ROUND(('难度参数'!$E$18*POWER(A179,'难度参数'!$E$19)/D179*(0.85+0.3*(7-1)/MAX(1,D179-1))),0)+F179)))</x:f>
        <x:v>33</x:v>
      </x:c>
      <x:c r="AW179" s="119" t="n">
        <x:f>IF(7&gt;D179,0,ROUND(('难度参数'!$E$13*POWER(A179,'难度参数'!$E$20)*MIN('难度参数'!$E$23,1+MAX(0,A179-'难度参数'!$E$21)*'难度参数'!$E$22))*(36+7*7)/(36+7*(D179+1)/2)*E179,0))</x:f>
        <x:v>7328</x:v>
      </x:c>
      <x:c r="AX179" s="119" t="n">
        <x:f>IF(AV179=0,0,(AV179-IF(7=D179,1,0))*ROUND(AW179*VLOOKUP(INDEX('章节与怪物'!$E$31:$K$37,B179,7),'章节与怪物'!$A$41:$F$44,2,FALSE),0)+IF(7=D179,ROUND(AW179*'难度参数'!$E$28*'章节与怪物'!$E$17,0),0))</x:f>
        <x:v>366406</x:v>
      </x:c>
      <x:c r="AY179" s="119" t="n">
        <x:f>IF(AV179=0,0,(AV179-IF(7=D179,1,0))*VLOOKUP(INDEX('章节与怪物'!$E$31:$K$37,B179,7),'章节与怪物'!$A$41:$F$44,4,FALSE)+IF(7=D179,'难度参数'!$E$30,0))</x:f>
        <x:v>1288</x:v>
      </x:c>
    </x:row>
    <x:row r="180" ht="23" customHeight="1">
      <x:c r="A180" s="119" t="n">
        <x:v>174</x:v>
      </x:c>
      <x:c r="B180" s="119" t="n">
        <x:f>MOD(INT((A180-1)/5),7)+1</x:f>
        <x:v>7</x:v>
      </x:c>
      <x:c r="C180" s="62" t="str">
        <x:f>INDEX('章节与怪物'!$B$31:$B$37,B180)</x:f>
        <x:v>魔法山脊</x:v>
      </x:c>
      <x:c r="D180" s="119" t="n">
        <x:f>MIN('难度参数'!$E$8,MAX('难度参数'!$E$7,A180))</x:f>
        <x:v>7</x:v>
      </x:c>
      <x:c r="E180" s="106" t="n">
        <x:v>1</x:v>
      </x:c>
      <x:c r="F180" s="106" t="n">
        <x:v>0</x:v>
      </x:c>
      <x:c r="G180" s="106" t="n">
        <x:v>1</x:v>
      </x:c>
      <x:c r="H180" s="119" t="n">
        <x:f>SUM(X180,AB180,AF180,AJ180,AN180,AR180,AV180)</x:f>
        <x:v>201</x:v>
      </x:c>
      <x:c r="I180" s="119" t="n">
        <x:f>SUM(Z180,AD180,AH180,AL180,AP180,AT180,AX180)</x:f>
        <x:v>1481647</x:v>
      </x:c>
      <x:c r="J180" s="119" t="n">
        <x:f>ROUND(INDEX(X180:AY180,1,(D180-1)*4+2)*'难度参数'!$E$28*'章节与怪物'!$E$17,0)</x:f>
        <x:v>50034</x:v>
      </x:c>
      <x:c r="K180" s="119" t="n">
        <x:f>SUM(AA180,AE180,AI180,AM180,AQ180,AU180,AY180)</x:f>
        <x:v>5478</x:v>
      </x:c>
      <x:c r="L180" s="62" t="n">
        <x:f>H180*(ROUNDUP('难度参数'!$E$24/('难度参数'!$E$26*'难度参数'!$E$27),0)*'难度参数'!$E$26)/60</x:f>
        <x:v>2.68</x:v>
      </x:c>
      <x:c r="M180" s="62" t="n">
        <x:f>L180+D180*('难度参数'!$E$49+'难度参数'!$E$50)/60</x:f>
        <x:v>3.8466666666666667</x:v>
      </x:c>
      <x:c r="N180" s="119" t="n">
        <x:f>ROUNDDOWN(('经济参数'!$E$20+A180*'经济参数'!$E$21)*G180,0)</x:f>
        <x:v>3660</x:v>
      </x:c>
      <x:c r="O180" s="119" t="n">
        <x:f>ROUNDDOWN(MIN('经济参数'!$E$24,'经济参数'!$E$22+A180*'经济参数'!$E$23)*G180,0)</x:f>
        <x:v>0</x:v>
      </x:c>
      <x:c r="P180" s="119" t="n">
        <x:f>ROUNDDOWN((IF(A180&gt;='材料与任务'!$E$31,'材料与任务'!$E$32,IF(A180&gt;='材料与任务'!$E$25,'材料与任务'!$E$26,IF(A180&gt;='材料与任务'!$E$19,'材料与任务'!$E$20,IF(A180&gt;='材料与任务'!$E$13,'材料与任务'!$E$14,'材料与任务'!$E$8)))))*G180,0)</x:f>
        <x:v>6</x:v>
      </x:c>
      <x:c r="Q180" s="119" t="n">
        <x:f>ROUNDDOWN((IF(A180&gt;='材料与任务'!$E$31,'材料与任务'!$E$33,IF(A180&gt;='材料与任务'!$E$25,'材料与任务'!$E$27,IF(A180&gt;='材料与任务'!$E$19,'材料与任务'!$E$21,IF(A180&gt;='材料与任务'!$E$13,'材料与任务'!$E$15,'材料与任务'!$E$9)))))*G180,0)</x:f>
        <x:v>3</x:v>
      </x:c>
      <x:c r="R180" s="110" t="n">
        <x:f>'装备掉落'!$B$38</x:f>
        <x:v>0.6872058758851213</x:v>
      </x:c>
      <x:c r="S180" s="119" t="n">
        <x:f>MAX(IF(VLOOKUP(A180,'装备掉落'!$A$29:$H$34,2,TRUE)&gt;0,1,0),IF(VLOOKUP(A180,'装备掉落'!$A$29:$H$34,3,TRUE)&gt;0,2,0),IF(VLOOKUP(A180,'装备掉落'!$A$29:$H$34,4,TRUE)&gt;0,3,0),IF(VLOOKUP(A180,'装备掉落'!$A$29:$H$34,5,TRUE)&gt;0,4,0),IF(VLOOKUP(A180,'装备掉落'!$A$29:$H$34,6,TRUE)&gt;0,5,0),IF(VLOOKUP(A180,'装备掉落'!$A$29:$H$34,7,TRUE)&gt;0,6,0),IF(VLOOKUP(A180,'装备掉落'!$A$29:$H$34,8,TRUE)&gt;0,7,0))</x:f>
        <x:v>7</x:v>
      </x:c>
      <x:c r="T180" s="119" t="n">
        <x:f>MIN(7,S180+'经济参数'!$E$70)</x:f>
        <x:v>7</x:v>
      </x:c>
      <x:c r="U180" s="119" t="n">
        <x:f>MIN(7,S180+'经济参数'!$E$71)</x:f>
        <x:v>7</x:v>
      </x:c>
      <x:c r="V180" s="119" t="n">
        <x:f>IF(H180&gt;=('难度参数'!$E$52),1,0)+IF(H180&gt;=('难度参数'!$E$52+'难度参数'!$E$53),1,0)+IF(H180&gt;=('难度参数'!$E$52+'难度参数'!$E$53+'难度参数'!$E$54),1,0)+IF(H180&gt;=('难度参数'!$E$52+'难度参数'!$E$53+'难度参数'!$E$54+'难度参数'!$E$55),1,0)+IF(H180&gt;=('难度参数'!$E$52+'难度参数'!$E$53+'难度参数'!$E$54+'难度参数'!$E$55+'难度参数'!$E$56),1,0)+IF(H180&gt;=('难度参数'!$E$52+'难度参数'!$E$53+'难度参数'!$E$54+'难度参数'!$E$55+'难度参数'!$E$56+'难度参数'!$E$57),1,0)</x:f>
        <x:v>6</x:v>
      </x:c>
      <x:c r="W180" s="62" t="str">
        <x:f>IF(L180&gt;'难度参数'!$E$51,"仅出怪已超目标","还需实测")</x:f>
        <x:v>还需实测</x:v>
      </x:c>
      <x:c r="X180" s="119" t="n">
        <x:f>IF(1&gt;D180,0,MAX(2,MIN('难度参数'!$E$12,ROUND(('难度参数'!$E$18*POWER(A180,'难度参数'!$E$19)/D180*(0.85+0.3*(1-1)/MAX(1,D180-1))),0)+F180)))</x:f>
        <x:v>24</x:v>
      </x:c>
      <x:c r="Y180" s="119" t="n">
        <x:f>IF(1&gt;D180,0,ROUND(('难度参数'!$E$13*POWER(A180,'难度参数'!$E$20)*MIN('难度参数'!$E$23,1+MAX(0,A180-'难度参数'!$E$21)*'难度参数'!$E$22))*(36+1*7)/(36+7*(D180+1)/2)*E180,0))</x:f>
        <x:v>3722</x:v>
      </x:c>
      <x:c r="Z180" s="119" t="n">
        <x:f>IF(X180=0,0,(X180-IF(1=D180,1,0))*ROUND(Y180*VLOOKUP(INDEX('章节与怪物'!$E$31:$K$37,B180,1),'章节与怪物'!$A$41:$F$44,2,FALSE),0)+IF(1=D180,ROUND(Y180*'难度参数'!$E$28*'章节与怪物'!$E$17,0),0))</x:f>
        <x:v>89328</x:v>
      </x:c>
      <x:c r="AA180" s="119" t="n">
        <x:f>IF(X180=0,0,(X180-IF(1=D180,1,0))*VLOOKUP(INDEX('章节与怪物'!$E$31:$K$37,B180,1),'章节与怪物'!$A$41:$F$44,4,FALSE)+IF(1=D180,'难度参数'!$E$30,0))</x:f>
        <x:v>432</x:v>
      </x:c>
      <x:c r="AB180" s="119" t="n">
        <x:f>IF(2&gt;D180,0,MAX(2,MIN('难度参数'!$E$12,ROUND(('难度参数'!$E$18*POWER(A180,'难度参数'!$E$19)/D180*(0.85+0.3*(2-1)/MAX(1,D180-1))),0)+F180)))</x:f>
        <x:v>26</x:v>
      </x:c>
      <x:c r="AC180" s="119" t="n">
        <x:f>IF(2&gt;D180,0,ROUND(('难度参数'!$E$13*POWER(A180,'难度参数'!$E$20)*MIN('难度参数'!$E$23,1+MAX(0,A180-'难度参数'!$E$21)*'难度参数'!$E$22))*(36+2*7)/(36+7*(D180+1)/2)*E180,0))</x:f>
        <x:v>4328</x:v>
      </x:c>
      <x:c r="AD180" s="119" t="n">
        <x:f>IF(AB180=0,0,(AB180-IF(2=D180,1,0))*ROUND(AC180*VLOOKUP(INDEX('章节与怪物'!$E$31:$K$37,B180,2),'章节与怪物'!$A$41:$F$44,2,FALSE),0)+IF(2=D180,ROUND(AC180*'难度参数'!$E$28*'章节与怪物'!$E$17,0),0))</x:f>
        <x:v>81016</x:v>
      </x:c>
      <x:c r="AE180" s="119" t="n">
        <x:f>IF(AB180=0,0,(AB180-IF(2=D180,1,0))*VLOOKUP(INDEX('章节与怪物'!$E$31:$K$37,B180,2),'章节与怪物'!$A$41:$F$44,4,FALSE)+IF(2=D180,'难度参数'!$E$30,0))</x:f>
        <x:v>520</x:v>
      </x:c>
      <x:c r="AF180" s="119" t="n">
        <x:f>IF(3&gt;D180,0,MAX(2,MIN('难度参数'!$E$12,ROUND(('难度参数'!$E$18*POWER(A180,'难度参数'!$E$19)/D180*(0.85+0.3*(3-1)/MAX(1,D180-1))),0)+F180)))</x:f>
        <x:v>27</x:v>
      </x:c>
      <x:c r="AG180" s="119" t="n">
        <x:f>IF(3&gt;D180,0,ROUND(('难度参数'!$E$13*POWER(A180,'难度参数'!$E$20)*MIN('难度参数'!$E$23,1+MAX(0,A180-'难度参数'!$E$21)*'难度参数'!$E$22))*(36+3*7)/(36+7*(D180+1)/2)*E180,0))</x:f>
        <x:v>4934</x:v>
      </x:c>
      <x:c r="AH180" s="119" t="n">
        <x:f>IF(AF180=0,0,(AF180-IF(3=D180,1,0))*ROUND(AG180*VLOOKUP(INDEX('章节与怪物'!$E$31:$K$37,B180,3),'章节与怪物'!$A$41:$F$44,2,FALSE),0)+IF(3=D180,ROUND(AG180*'难度参数'!$E$28*'章节与怪物'!$E$17,0),0))</x:f>
        <x:v>226476</x:v>
      </x:c>
      <x:c r="AI180" s="119" t="n">
        <x:f>IF(AF180=0,0,(AF180-IF(3=D180,1,0))*VLOOKUP(INDEX('章节与怪物'!$E$31:$K$37,B180,3),'章节与怪物'!$A$41:$F$44,4,FALSE)+IF(3=D180,'难度参数'!$E$30,0))</x:f>
        <x:v>756</x:v>
      </x:c>
      <x:c r="AJ180" s="119" t="n">
        <x:f>IF(4&gt;D180,0,MAX(2,MIN('难度参数'!$E$12,ROUND(('难度参数'!$E$18*POWER(A180,'难度参数'!$E$19)/D180*(0.85+0.3*(4-1)/MAX(1,D180-1))),0)+F180)))</x:f>
        <x:v>29</x:v>
      </x:c>
      <x:c r="AK180" s="119" t="n">
        <x:f>IF(4&gt;D180,0,ROUND(('难度参数'!$E$13*POWER(A180,'难度参数'!$E$20)*MIN('难度参数'!$E$23,1+MAX(0,A180-'难度参数'!$E$21)*'难度参数'!$E$22))*(36+4*7)/(36+7*(D180+1)/2)*E180,0))</x:f>
        <x:v>5540</x:v>
      </x:c>
      <x:c r="AL180" s="119" t="n">
        <x:f>IF(AJ180=0,0,(AJ180-IF(4=D180,1,0))*ROUND(AK180*VLOOKUP(INDEX('章节与怪物'!$E$31:$K$37,B180,4),'章节与怪物'!$A$41:$F$44,2,FALSE),0)+IF(4=D180,ROUND(AK180*'难度参数'!$E$28*'章节与怪物'!$E$17,0),0))</x:f>
        <x:v>216891</x:v>
      </x:c>
      <x:c r="AM180" s="119" t="n">
        <x:f>IF(AJ180=0,0,(AJ180-IF(4=D180,1,0))*VLOOKUP(INDEX('章节与怪物'!$E$31:$K$37,B180,4),'章节与怪物'!$A$41:$F$44,4,FALSE)+IF(4=D180,'难度参数'!$E$30,0))</x:f>
        <x:v>986</x:v>
      </x:c>
      <x:c r="AN180" s="119" t="n">
        <x:f>IF(5&gt;D180,0,MAX(2,MIN('难度参数'!$E$12,ROUND(('难度参数'!$E$18*POWER(A180,'难度参数'!$E$19)/D180*(0.85+0.3*(5-1)/MAX(1,D180-1))),0)+F180)))</x:f>
        <x:v>30</x:v>
      </x:c>
      <x:c r="AO180" s="119" t="n">
        <x:f>IF(5&gt;D180,0,ROUND(('难度参数'!$E$13*POWER(A180,'难度参数'!$E$20)*MIN('难度参数'!$E$23,1+MAX(0,A180-'难度参数'!$E$21)*'难度参数'!$E$22))*(36+5*7)/(36+7*(D180+1)/2)*E180,0))</x:f>
        <x:v>6146</x:v>
      </x:c>
      <x:c r="AP180" s="119" t="n">
        <x:f>IF(AN180=0,0,(AN180-IF(5=D180,1,0))*ROUND(AO180*VLOOKUP(INDEX('章节与怪物'!$E$31:$K$37,B180,5),'章节与怪物'!$A$41:$F$44,2,FALSE),0)+IF(5=D180,ROUND(AO180*'难度参数'!$E$28*'章节与怪物'!$E$17,0),0))</x:f>
        <x:v>132750</x:v>
      </x:c>
      <x:c r="AQ180" s="119" t="n">
        <x:f>IF(AN180=0,0,(AN180-IF(5=D180,1,0))*VLOOKUP(INDEX('章节与怪物'!$E$31:$K$37,B180,5),'章节与怪物'!$A$41:$F$44,4,FALSE)+IF(5=D180,'难度参数'!$E$30,0))</x:f>
        <x:v>600</x:v>
      </x:c>
      <x:c r="AR180" s="119" t="n">
        <x:f>IF(6&gt;D180,0,MAX(2,MIN('难度参数'!$E$12,ROUND(('难度参数'!$E$18*POWER(A180,'难度参数'!$E$19)/D180*(0.85+0.3*(6-1)/MAX(1,D180-1))),0)+F180)))</x:f>
        <x:v>32</x:v>
      </x:c>
      <x:c r="AS180" s="119" t="n">
        <x:f>IF(6&gt;D180,0,ROUND(('难度参数'!$E$13*POWER(A180,'难度参数'!$E$20)*MIN('难度参数'!$E$23,1+MAX(0,A180-'难度参数'!$E$21)*'难度参数'!$E$22))*(36+6*7)/(36+7*(D180+1)/2)*E180,0))</x:f>
        <x:v>6752</x:v>
      </x:c>
      <x:c r="AT180" s="119" t="n">
        <x:f>IF(AR180=0,0,(AR180-IF(6=D180,1,0))*ROUND(AS180*VLOOKUP(INDEX('章节与怪物'!$E$31:$K$37,B180,6),'章节与怪物'!$A$41:$F$44,2,FALSE),0)+IF(6=D180,ROUND(AS180*'难度参数'!$E$28*'章节与怪物'!$E$17,0),0))</x:f>
        <x:v>367296</x:v>
      </x:c>
      <x:c r="AU180" s="119" t="n">
        <x:f>IF(AR180=0,0,(AR180-IF(6=D180,1,0))*VLOOKUP(INDEX('章节与怪物'!$E$31:$K$37,B180,6),'章节与怪物'!$A$41:$F$44,4,FALSE)+IF(6=D180,'难度参数'!$E$30,0))</x:f>
        <x:v>896</x:v>
      </x:c>
      <x:c r="AV180" s="119" t="n">
        <x:f>IF(7&gt;D180,0,MAX(2,MIN('难度参数'!$E$12,ROUND(('难度参数'!$E$18*POWER(A180,'难度参数'!$E$19)/D180*(0.85+0.3*(7-1)/MAX(1,D180-1))),0)+F180)))</x:f>
        <x:v>33</x:v>
      </x:c>
      <x:c r="AW180" s="119" t="n">
        <x:f>IF(7&gt;D180,0,ROUND(('难度参数'!$E$13*POWER(A180,'难度参数'!$E$20)*MIN('难度参数'!$E$23,1+MAX(0,A180-'难度参数'!$E$21)*'难度参数'!$E$22))*(36+7*7)/(36+7*(D180+1)/2)*E180,0))</x:f>
        <x:v>7358</x:v>
      </x:c>
      <x:c r="AX180" s="119" t="n">
        <x:f>IF(AV180=0,0,(AV180-IF(7=D180,1,0))*ROUND(AW180*VLOOKUP(INDEX('章节与怪物'!$E$31:$K$37,B180,7),'章节与怪物'!$A$41:$F$44,2,FALSE),0)+IF(7=D180,ROUND(AW180*'难度参数'!$E$28*'章节与怪物'!$E$17,0),0))</x:f>
        <x:v>367890</x:v>
      </x:c>
      <x:c r="AY180" s="119" t="n">
        <x:f>IF(AV180=0,0,(AV180-IF(7=D180,1,0))*VLOOKUP(INDEX('章节与怪物'!$E$31:$K$37,B180,7),'章节与怪物'!$A$41:$F$44,4,FALSE)+IF(7=D180,'难度参数'!$E$30,0))</x:f>
        <x:v>1288</x:v>
      </x:c>
    </x:row>
    <x:row r="181" ht="23" customHeight="1">
      <x:c r="A181" s="119" t="n">
        <x:v>175</x:v>
      </x:c>
      <x:c r="B181" s="119" t="n">
        <x:f>MOD(INT((A181-1)/5),7)+1</x:f>
        <x:v>7</x:v>
      </x:c>
      <x:c r="C181" s="62" t="str">
        <x:f>INDEX('章节与怪物'!$B$31:$B$37,B181)</x:f>
        <x:v>魔法山脊</x:v>
      </x:c>
      <x:c r="D181" s="119" t="n">
        <x:f>MIN('难度参数'!$E$8,MAX('难度参数'!$E$7,A181))</x:f>
        <x:v>7</x:v>
      </x:c>
      <x:c r="E181" s="106" t="n">
        <x:v>1</x:v>
      </x:c>
      <x:c r="F181" s="106" t="n">
        <x:v>0</x:v>
      </x:c>
      <x:c r="G181" s="106" t="n">
        <x:v>1</x:v>
      </x:c>
      <x:c r="H181" s="119" t="n">
        <x:f>SUM(X181,AB181,AF181,AJ181,AN181,AR181,AV181)</x:f>
        <x:v>201</x:v>
      </x:c>
      <x:c r="I181" s="119" t="n">
        <x:f>SUM(Z181,AD181,AH181,AL181,AP181,AT181,AX181)</x:f>
        <x:v>1487901</x:v>
      </x:c>
      <x:c r="J181" s="119" t="n">
        <x:f>ROUND(INDEX(X181:AY181,1,(D181-1)*4+2)*'难度参数'!$E$28*'章节与怪物'!$E$17,0)</x:f>
        <x:v>50245</x:v>
      </x:c>
      <x:c r="K181" s="119" t="n">
        <x:f>SUM(AA181,AE181,AI181,AM181,AQ181,AU181,AY181)</x:f>
        <x:v>5478</x:v>
      </x:c>
      <x:c r="L181" s="62" t="n">
        <x:f>H181*(ROUNDUP('难度参数'!$E$24/('难度参数'!$E$26*'难度参数'!$E$27),0)*'难度参数'!$E$26)/60</x:f>
        <x:v>2.68</x:v>
      </x:c>
      <x:c r="M181" s="62" t="n">
        <x:f>L181+D181*('难度参数'!$E$49+'难度参数'!$E$50)/60</x:f>
        <x:v>3.8466666666666667</x:v>
      </x:c>
      <x:c r="N181" s="119" t="n">
        <x:f>ROUNDDOWN(('经济参数'!$E$20+A181*'经济参数'!$E$21)*G181,0)</x:f>
        <x:v>3680</x:v>
      </x:c>
      <x:c r="O181" s="119" t="n">
        <x:f>ROUNDDOWN(MIN('经济参数'!$E$24,'经济参数'!$E$22+A181*'经济参数'!$E$23)*G181,0)</x:f>
        <x:v>0</x:v>
      </x:c>
      <x:c r="P181" s="119" t="n">
        <x:f>ROUNDDOWN((IF(A181&gt;='材料与任务'!$E$31,'材料与任务'!$E$32,IF(A181&gt;='材料与任务'!$E$25,'材料与任务'!$E$26,IF(A181&gt;='材料与任务'!$E$19,'材料与任务'!$E$20,IF(A181&gt;='材料与任务'!$E$13,'材料与任务'!$E$14,'材料与任务'!$E$8)))))*G181,0)</x:f>
        <x:v>6</x:v>
      </x:c>
      <x:c r="Q181" s="119" t="n">
        <x:f>ROUNDDOWN((IF(A181&gt;='材料与任务'!$E$31,'材料与任务'!$E$33,IF(A181&gt;='材料与任务'!$E$25,'材料与任务'!$E$27,IF(A181&gt;='材料与任务'!$E$19,'材料与任务'!$E$21,IF(A181&gt;='材料与任务'!$E$13,'材料与任务'!$E$15,'材料与任务'!$E$9)))))*G181,0)</x:f>
        <x:v>3</x:v>
      </x:c>
      <x:c r="R181" s="110" t="n">
        <x:f>'装备掉落'!$B$38</x:f>
        <x:v>0.6872058758851213</x:v>
      </x:c>
      <x:c r="S181" s="119" t="n">
        <x:f>MAX(IF(VLOOKUP(A181,'装备掉落'!$A$29:$H$34,2,TRUE)&gt;0,1,0),IF(VLOOKUP(A181,'装备掉落'!$A$29:$H$34,3,TRUE)&gt;0,2,0),IF(VLOOKUP(A181,'装备掉落'!$A$29:$H$34,4,TRUE)&gt;0,3,0),IF(VLOOKUP(A181,'装备掉落'!$A$29:$H$34,5,TRUE)&gt;0,4,0),IF(VLOOKUP(A181,'装备掉落'!$A$29:$H$34,6,TRUE)&gt;0,5,0),IF(VLOOKUP(A181,'装备掉落'!$A$29:$H$34,7,TRUE)&gt;0,6,0),IF(VLOOKUP(A181,'装备掉落'!$A$29:$H$34,8,TRUE)&gt;0,7,0))</x:f>
        <x:v>7</x:v>
      </x:c>
      <x:c r="T181" s="119" t="n">
        <x:f>MIN(7,S181+'经济参数'!$E$70)</x:f>
        <x:v>7</x:v>
      </x:c>
      <x:c r="U181" s="119" t="n">
        <x:f>MIN(7,S181+'经济参数'!$E$71)</x:f>
        <x:v>7</x:v>
      </x:c>
      <x:c r="V181" s="119" t="n">
        <x:f>IF(H181&gt;=('难度参数'!$E$52),1,0)+IF(H181&gt;=('难度参数'!$E$52+'难度参数'!$E$53),1,0)+IF(H181&gt;=('难度参数'!$E$52+'难度参数'!$E$53+'难度参数'!$E$54),1,0)+IF(H181&gt;=('难度参数'!$E$52+'难度参数'!$E$53+'难度参数'!$E$54+'难度参数'!$E$55),1,0)+IF(H181&gt;=('难度参数'!$E$52+'难度参数'!$E$53+'难度参数'!$E$54+'难度参数'!$E$55+'难度参数'!$E$56),1,0)+IF(H181&gt;=('难度参数'!$E$52+'难度参数'!$E$53+'难度参数'!$E$54+'难度参数'!$E$55+'难度参数'!$E$56+'难度参数'!$E$57),1,0)</x:f>
        <x:v>6</x:v>
      </x:c>
      <x:c r="W181" s="62" t="str">
        <x:f>IF(L181&gt;'难度参数'!$E$51,"仅出怪已超目标","还需实测")</x:f>
        <x:v>还需实测</x:v>
      </x:c>
      <x:c r="X181" s="119" t="n">
        <x:f>IF(1&gt;D181,0,MAX(2,MIN('难度参数'!$E$12,ROUND(('难度参数'!$E$18*POWER(A181,'难度参数'!$E$19)/D181*(0.85+0.3*(1-1)/MAX(1,D181-1))),0)+F181)))</x:f>
        <x:v>24</x:v>
      </x:c>
      <x:c r="Y181" s="119" t="n">
        <x:f>IF(1&gt;D181,0,ROUND(('难度参数'!$E$13*POWER(A181,'难度参数'!$E$20)*MIN('难度参数'!$E$23,1+MAX(0,A181-'难度参数'!$E$21)*'难度参数'!$E$22))*(36+1*7)/(36+7*(D181+1)/2)*E181,0))</x:f>
        <x:v>3738</x:v>
      </x:c>
      <x:c r="Z181" s="119" t="n">
        <x:f>IF(X181=0,0,(X181-IF(1=D181,1,0))*ROUND(Y181*VLOOKUP(INDEX('章节与怪物'!$E$31:$K$37,B181,1),'章节与怪物'!$A$41:$F$44,2,FALSE),0)+IF(1=D181,ROUND(Y181*'难度参数'!$E$28*'章节与怪物'!$E$17,0),0))</x:f>
        <x:v>89712</x:v>
      </x:c>
      <x:c r="AA181" s="119" t="n">
        <x:f>IF(X181=0,0,(X181-IF(1=D181,1,0))*VLOOKUP(INDEX('章节与怪物'!$E$31:$K$37,B181,1),'章节与怪物'!$A$41:$F$44,4,FALSE)+IF(1=D181,'难度参数'!$E$30,0))</x:f>
        <x:v>432</x:v>
      </x:c>
      <x:c r="AB181" s="119" t="n">
        <x:f>IF(2&gt;D181,0,MAX(2,MIN('难度参数'!$E$12,ROUND(('难度参数'!$E$18*POWER(A181,'难度参数'!$E$19)/D181*(0.85+0.3*(2-1)/MAX(1,D181-1))),0)+F181)))</x:f>
        <x:v>26</x:v>
      </x:c>
      <x:c r="AC181" s="119" t="n">
        <x:f>IF(2&gt;D181,0,ROUND(('难度参数'!$E$13*POWER(A181,'难度参数'!$E$20)*MIN('难度参数'!$E$23,1+MAX(0,A181-'难度参数'!$E$21)*'难度参数'!$E$22))*(36+2*7)/(36+7*(D181+1)/2)*E181,0))</x:f>
        <x:v>4346</x:v>
      </x:c>
      <x:c r="AD181" s="119" t="n">
        <x:f>IF(AB181=0,0,(AB181-IF(2=D181,1,0))*ROUND(AC181*VLOOKUP(INDEX('章节与怪物'!$E$31:$K$37,B181,2),'章节与怪物'!$A$41:$F$44,2,FALSE),0)+IF(2=D181,ROUND(AC181*'难度参数'!$E$28*'章节与怪物'!$E$17,0),0))</x:f>
        <x:v>81354</x:v>
      </x:c>
      <x:c r="AE181" s="119" t="n">
        <x:f>IF(AB181=0,0,(AB181-IF(2=D181,1,0))*VLOOKUP(INDEX('章节与怪物'!$E$31:$K$37,B181,2),'章节与怪物'!$A$41:$F$44,4,FALSE)+IF(2=D181,'难度参数'!$E$30,0))</x:f>
        <x:v>520</x:v>
      </x:c>
      <x:c r="AF181" s="119" t="n">
        <x:f>IF(3&gt;D181,0,MAX(2,MIN('难度参数'!$E$12,ROUND(('难度参数'!$E$18*POWER(A181,'难度参数'!$E$19)/D181*(0.85+0.3*(3-1)/MAX(1,D181-1))),0)+F181)))</x:f>
        <x:v>27</x:v>
      </x:c>
      <x:c r="AG181" s="119" t="n">
        <x:f>IF(3&gt;D181,0,ROUND(('难度参数'!$E$13*POWER(A181,'难度参数'!$E$20)*MIN('难度参数'!$E$23,1+MAX(0,A181-'难度参数'!$E$21)*'难度参数'!$E$22))*(36+3*7)/(36+7*(D181+1)/2)*E181,0))</x:f>
        <x:v>4955</x:v>
      </x:c>
      <x:c r="AH181" s="119" t="n">
        <x:f>IF(AF181=0,0,(AF181-IF(3=D181,1,0))*ROUND(AG181*VLOOKUP(INDEX('章节与怪物'!$E$31:$K$37,B181,3),'章节与怪物'!$A$41:$F$44,2,FALSE),0)+IF(3=D181,ROUND(AG181*'难度参数'!$E$28*'章节与怪物'!$E$17,0),0))</x:f>
        <x:v>227448</x:v>
      </x:c>
      <x:c r="AI181" s="119" t="n">
        <x:f>IF(AF181=0,0,(AF181-IF(3=D181,1,0))*VLOOKUP(INDEX('章节与怪物'!$E$31:$K$37,B181,3),'章节与怪物'!$A$41:$F$44,4,FALSE)+IF(3=D181,'难度参数'!$E$30,0))</x:f>
        <x:v>756</x:v>
      </x:c>
      <x:c r="AJ181" s="119" t="n">
        <x:f>IF(4&gt;D181,0,MAX(2,MIN('难度参数'!$E$12,ROUND(('难度参数'!$E$18*POWER(A181,'难度参数'!$E$19)/D181*(0.85+0.3*(4-1)/MAX(1,D181-1))),0)+F181)))</x:f>
        <x:v>29</x:v>
      </x:c>
      <x:c r="AK181" s="119" t="n">
        <x:f>IF(4&gt;D181,0,ROUND(('难度参数'!$E$13*POWER(A181,'难度参数'!$E$20)*MIN('难度参数'!$E$23,1+MAX(0,A181-'难度参数'!$E$21)*'难度参数'!$E$22))*(36+4*7)/(36+7*(D181+1)/2)*E181,0))</x:f>
        <x:v>5563</x:v>
      </x:c>
      <x:c r="AL181" s="119" t="n">
        <x:f>IF(AJ181=0,0,(AJ181-IF(4=D181,1,0))*ROUND(AK181*VLOOKUP(INDEX('章节与怪物'!$E$31:$K$37,B181,4),'章节与怪物'!$A$41:$F$44,2,FALSE),0)+IF(4=D181,ROUND(AK181*'难度参数'!$E$28*'章节与怪物'!$E$17,0),0))</x:f>
        <x:v>217790</x:v>
      </x:c>
      <x:c r="AM181" s="119" t="n">
        <x:f>IF(AJ181=0,0,(AJ181-IF(4=D181,1,0))*VLOOKUP(INDEX('章节与怪物'!$E$31:$K$37,B181,4),'章节与怪物'!$A$41:$F$44,4,FALSE)+IF(4=D181,'难度参数'!$E$30,0))</x:f>
        <x:v>986</x:v>
      </x:c>
      <x:c r="AN181" s="119" t="n">
        <x:f>IF(5&gt;D181,0,MAX(2,MIN('难度参数'!$E$12,ROUND(('难度参数'!$E$18*POWER(A181,'难度参数'!$E$19)/D181*(0.85+0.3*(5-1)/MAX(1,D181-1))),0)+F181)))</x:f>
        <x:v>30</x:v>
      </x:c>
      <x:c r="AO181" s="119" t="n">
        <x:f>IF(5&gt;D181,0,ROUND(('难度参数'!$E$13*POWER(A181,'难度参数'!$E$20)*MIN('难度参数'!$E$23,1+MAX(0,A181-'难度参数'!$E$21)*'难度参数'!$E$22))*(36+5*7)/(36+7*(D181+1)/2)*E181,0))</x:f>
        <x:v>6172</x:v>
      </x:c>
      <x:c r="AP181" s="119" t="n">
        <x:f>IF(AN181=0,0,(AN181-IF(5=D181,1,0))*ROUND(AO181*VLOOKUP(INDEX('章节与怪物'!$E$31:$K$37,B181,5),'章节与怪物'!$A$41:$F$44,2,FALSE),0)+IF(5=D181,ROUND(AO181*'难度参数'!$E$28*'章节与怪物'!$E$17,0),0))</x:f>
        <x:v>133320</x:v>
      </x:c>
      <x:c r="AQ181" s="119" t="n">
        <x:f>IF(AN181=0,0,(AN181-IF(5=D181,1,0))*VLOOKUP(INDEX('章节与怪物'!$E$31:$K$37,B181,5),'章节与怪物'!$A$41:$F$44,4,FALSE)+IF(5=D181,'难度参数'!$E$30,0))</x:f>
        <x:v>600</x:v>
      </x:c>
      <x:c r="AR181" s="119" t="n">
        <x:f>IF(6&gt;D181,0,MAX(2,MIN('难度参数'!$E$12,ROUND(('难度参数'!$E$18*POWER(A181,'难度参数'!$E$19)/D181*(0.85+0.3*(6-1)/MAX(1,D181-1))),0)+F181)))</x:f>
        <x:v>32</x:v>
      </x:c>
      <x:c r="AS181" s="119" t="n">
        <x:f>IF(6&gt;D181,0,ROUND(('难度参数'!$E$13*POWER(A181,'难度参数'!$E$20)*MIN('难度参数'!$E$23,1+MAX(0,A181-'难度参数'!$E$21)*'难度参数'!$E$22))*(36+6*7)/(36+7*(D181+1)/2)*E181,0))</x:f>
        <x:v>6780</x:v>
      </x:c>
      <x:c r="AT181" s="119" t="n">
        <x:f>IF(AR181=0,0,(AR181-IF(6=D181,1,0))*ROUND(AS181*VLOOKUP(INDEX('章节与怪物'!$E$31:$K$37,B181,6),'章节与怪物'!$A$41:$F$44,2,FALSE),0)+IF(6=D181,ROUND(AS181*'难度参数'!$E$28*'章节与怪物'!$E$17,0),0))</x:f>
        <x:v>368832</x:v>
      </x:c>
      <x:c r="AU181" s="119" t="n">
        <x:f>IF(AR181=0,0,(AR181-IF(6=D181,1,0))*VLOOKUP(INDEX('章节与怪物'!$E$31:$K$37,B181,6),'章节与怪物'!$A$41:$F$44,4,FALSE)+IF(6=D181,'难度参数'!$E$30,0))</x:f>
        <x:v>896</x:v>
      </x:c>
      <x:c r="AV181" s="119" t="n">
        <x:f>IF(7&gt;D181,0,MAX(2,MIN('难度参数'!$E$12,ROUND(('难度参数'!$E$18*POWER(A181,'难度参数'!$E$19)/D181*(0.85+0.3*(7-1)/MAX(1,D181-1))),0)+F181)))</x:f>
        <x:v>33</x:v>
      </x:c>
      <x:c r="AW181" s="119" t="n">
        <x:f>IF(7&gt;D181,0,ROUND(('难度参数'!$E$13*POWER(A181,'难度参数'!$E$20)*MIN('难度参数'!$E$23,1+MAX(0,A181-'难度参数'!$E$21)*'难度参数'!$E$22))*(36+7*7)/(36+7*(D181+1)/2)*E181,0))</x:f>
        <x:v>7389</x:v>
      </x:c>
      <x:c r="AX181" s="119" t="n">
        <x:f>IF(AV181=0,0,(AV181-IF(7=D181,1,0))*ROUND(AW181*VLOOKUP(INDEX('章节与怪物'!$E$31:$K$37,B181,7),'章节与怪物'!$A$41:$F$44,2,FALSE),0)+IF(7=D181,ROUND(AW181*'难度参数'!$E$28*'章节与怪物'!$E$17,0),0))</x:f>
        <x:v>369445</x:v>
      </x:c>
      <x:c r="AY181" s="119" t="n">
        <x:f>IF(AV181=0,0,(AV181-IF(7=D181,1,0))*VLOOKUP(INDEX('章节与怪物'!$E$31:$K$37,B181,7),'章节与怪物'!$A$41:$F$44,4,FALSE)+IF(7=D181,'难度参数'!$E$30,0))</x:f>
        <x:v>1288</x:v>
      </x:c>
    </x:row>
    <x:row r="182" ht="23" customHeight="1">
      <x:c r="A182" s="119" t="n">
        <x:v>176</x:v>
      </x:c>
      <x:c r="B182" s="119" t="n">
        <x:f>MOD(INT((A182-1)/5),7)+1</x:f>
        <x:v>1</x:v>
      </x:c>
      <x:c r="C182" s="62" t="str">
        <x:f>INDEX('章节与怪物'!$B$31:$B$37,B182)</x:f>
        <x:v>冰雪荒原</x:v>
      </x:c>
      <x:c r="D182" s="119" t="n">
        <x:f>MIN('难度参数'!$E$8,MAX('难度参数'!$E$7,A182))</x:f>
        <x:v>7</x:v>
      </x:c>
      <x:c r="E182" s="106" t="n">
        <x:v>1</x:v>
      </x:c>
      <x:c r="F182" s="106" t="n">
        <x:v>0</x:v>
      </x:c>
      <x:c r="G182" s="106" t="n">
        <x:v>1</x:v>
      </x:c>
      <x:c r="H182" s="119" t="n">
        <x:f>SUM(X182,AB182,AF182,AJ182,AN182,AR182,AV182)</x:f>
        <x:v>201</x:v>
      </x:c>
      <x:c r="I182" s="119" t="n">
        <x:f>SUM(Z182,AD182,AH182,AL182,AP182,AT182,AX182)</x:f>
        <x:v>1437511</x:v>
      </x:c>
      <x:c r="J182" s="119" t="n">
        <x:f>ROUND(INDEX(X182:AY182,1,(D182-1)*4+2)*'难度参数'!$E$28*'章节与怪物'!$E$17,0)</x:f>
        <x:v>50449</x:v>
      </x:c>
      <x:c r="K182" s="119" t="n">
        <x:f>SUM(AA182,AE182,AI182,AM182,AQ182,AU182,AY182)</x:f>
        <x:v>5008</x:v>
      </x:c>
      <x:c r="L182" s="62" t="n">
        <x:f>H182*(ROUNDUP('难度参数'!$E$24/('难度参数'!$E$26*'难度参数'!$E$27),0)*'难度参数'!$E$26)/60</x:f>
        <x:v>2.68</x:v>
      </x:c>
      <x:c r="M182" s="62" t="n">
        <x:f>L182+D182*('难度参数'!$E$49+'难度参数'!$E$50)/60</x:f>
        <x:v>3.8466666666666667</x:v>
      </x:c>
      <x:c r="N182" s="119" t="n">
        <x:f>ROUNDDOWN(('经济参数'!$E$20+A182*'经济参数'!$E$21)*G182,0)</x:f>
        <x:v>3700</x:v>
      </x:c>
      <x:c r="O182" s="119" t="n">
        <x:f>ROUNDDOWN(MIN('经济参数'!$E$24,'经济参数'!$E$22+A182*'经济参数'!$E$23)*G182,0)</x:f>
        <x:v>0</x:v>
      </x:c>
      <x:c r="P182" s="119" t="n">
        <x:f>ROUNDDOWN((IF(A182&gt;='材料与任务'!$E$31,'材料与任务'!$E$32,IF(A182&gt;='材料与任务'!$E$25,'材料与任务'!$E$26,IF(A182&gt;='材料与任务'!$E$19,'材料与任务'!$E$20,IF(A182&gt;='材料与任务'!$E$13,'材料与任务'!$E$14,'材料与任务'!$E$8)))))*G182,0)</x:f>
        <x:v>6</x:v>
      </x:c>
      <x:c r="Q182" s="119" t="n">
        <x:f>ROUNDDOWN((IF(A182&gt;='材料与任务'!$E$31,'材料与任务'!$E$33,IF(A182&gt;='材料与任务'!$E$25,'材料与任务'!$E$27,IF(A182&gt;='材料与任务'!$E$19,'材料与任务'!$E$21,IF(A182&gt;='材料与任务'!$E$13,'材料与任务'!$E$15,'材料与任务'!$E$9)))))*G182,0)</x:f>
        <x:v>3</x:v>
      </x:c>
      <x:c r="R182" s="110" t="n">
        <x:f>'装备掉落'!$B$38</x:f>
        <x:v>0.6872058758851213</x:v>
      </x:c>
      <x:c r="S182" s="119" t="n">
        <x:f>MAX(IF(VLOOKUP(A182,'装备掉落'!$A$29:$H$34,2,TRUE)&gt;0,1,0),IF(VLOOKUP(A182,'装备掉落'!$A$29:$H$34,3,TRUE)&gt;0,2,0),IF(VLOOKUP(A182,'装备掉落'!$A$29:$H$34,4,TRUE)&gt;0,3,0),IF(VLOOKUP(A182,'装备掉落'!$A$29:$H$34,5,TRUE)&gt;0,4,0),IF(VLOOKUP(A182,'装备掉落'!$A$29:$H$34,6,TRUE)&gt;0,5,0),IF(VLOOKUP(A182,'装备掉落'!$A$29:$H$34,7,TRUE)&gt;0,6,0),IF(VLOOKUP(A182,'装备掉落'!$A$29:$H$34,8,TRUE)&gt;0,7,0))</x:f>
        <x:v>7</x:v>
      </x:c>
      <x:c r="T182" s="119" t="n">
        <x:f>MIN(7,S182+'经济参数'!$E$70)</x:f>
        <x:v>7</x:v>
      </x:c>
      <x:c r="U182" s="119" t="n">
        <x:f>MIN(7,S182+'经济参数'!$E$71)</x:f>
        <x:v>7</x:v>
      </x:c>
      <x:c r="V182" s="119" t="n">
        <x:f>IF(H182&gt;=('难度参数'!$E$52),1,0)+IF(H182&gt;=('难度参数'!$E$52+'难度参数'!$E$53),1,0)+IF(H182&gt;=('难度参数'!$E$52+'难度参数'!$E$53+'难度参数'!$E$54),1,0)+IF(H182&gt;=('难度参数'!$E$52+'难度参数'!$E$53+'难度参数'!$E$54+'难度参数'!$E$55),1,0)+IF(H182&gt;=('难度参数'!$E$52+'难度参数'!$E$53+'难度参数'!$E$54+'难度参数'!$E$55+'难度参数'!$E$56),1,0)+IF(H182&gt;=('难度参数'!$E$52+'难度参数'!$E$53+'难度参数'!$E$54+'难度参数'!$E$55+'难度参数'!$E$56+'难度参数'!$E$57),1,0)</x:f>
        <x:v>6</x:v>
      </x:c>
      <x:c r="W182" s="62" t="str">
        <x:f>IF(L182&gt;'难度参数'!$E$51,"仅出怪已超目标","还需实测")</x:f>
        <x:v>还需实测</x:v>
      </x:c>
      <x:c r="X182" s="119" t="n">
        <x:f>IF(1&gt;D182,0,MAX(2,MIN('难度参数'!$E$12,ROUND(('难度参数'!$E$18*POWER(A182,'难度参数'!$E$19)/D182*(0.85+0.3*(1-1)/MAX(1,D182-1))),0)+F182)))</x:f>
        <x:v>24</x:v>
      </x:c>
      <x:c r="Y182" s="119" t="n">
        <x:f>IF(1&gt;D182,0,ROUND(('难度参数'!$E$13*POWER(A182,'难度参数'!$E$20)*MIN('难度参数'!$E$23,1+MAX(0,A182-'难度参数'!$E$21)*'难度参数'!$E$22))*(36+1*7)/(36+7*(D182+1)/2)*E182,0))</x:f>
        <x:v>3753</x:v>
      </x:c>
      <x:c r="Z182" s="119" t="n">
        <x:f>IF(X182=0,0,(X182-IF(1=D182,1,0))*ROUND(Y182*VLOOKUP(INDEX('章节与怪物'!$E$31:$K$37,B182,1),'章节与怪物'!$A$41:$F$44,2,FALSE),0)+IF(1=D182,ROUND(Y182*'难度参数'!$E$28*'章节与怪物'!$E$17,0),0))</x:f>
        <x:v>90072</x:v>
      </x:c>
      <x:c r="AA182" s="119" t="n">
        <x:f>IF(X182=0,0,(X182-IF(1=D182,1,0))*VLOOKUP(INDEX('章节与怪物'!$E$31:$K$37,B182,1),'章节与怪物'!$A$41:$F$44,4,FALSE)+IF(1=D182,'难度参数'!$E$30,0))</x:f>
        <x:v>432</x:v>
      </x:c>
      <x:c r="AB182" s="119" t="n">
        <x:f>IF(2&gt;D182,0,MAX(2,MIN('难度参数'!$E$12,ROUND(('难度参数'!$E$18*POWER(A182,'难度参数'!$E$19)/D182*(0.85+0.3*(2-1)/MAX(1,D182-1))),0)+F182)))</x:f>
        <x:v>26</x:v>
      </x:c>
      <x:c r="AC182" s="119" t="n">
        <x:f>IF(2&gt;D182,0,ROUND(('难度参数'!$E$13*POWER(A182,'难度参数'!$E$20)*MIN('难度参数'!$E$23,1+MAX(0,A182-'难度参数'!$E$21)*'难度参数'!$E$22))*(36+2*7)/(36+7*(D182+1)/2)*E182,0))</x:f>
        <x:v>4364</x:v>
      </x:c>
      <x:c r="AD182" s="119" t="n">
        <x:f>IF(AB182=0,0,(AB182-IF(2=D182,1,0))*ROUND(AC182*VLOOKUP(INDEX('章节与怪物'!$E$31:$K$37,B182,2),'章节与怪物'!$A$41:$F$44,2,FALSE),0)+IF(2=D182,ROUND(AC182*'难度参数'!$E$28*'章节与怪物'!$E$17,0),0))</x:f>
        <x:v>113464</x:v>
      </x:c>
      <x:c r="AE182" s="119" t="n">
        <x:f>IF(AB182=0,0,(AB182-IF(2=D182,1,0))*VLOOKUP(INDEX('章节与怪物'!$E$31:$K$37,B182,2),'章节与怪物'!$A$41:$F$44,4,FALSE)+IF(2=D182,'难度参数'!$E$30,0))</x:f>
        <x:v>468</x:v>
      </x:c>
      <x:c r="AF182" s="119" t="n">
        <x:f>IF(3&gt;D182,0,MAX(2,MIN('难度参数'!$E$12,ROUND(('难度参数'!$E$18*POWER(A182,'难度参数'!$E$19)/D182*(0.85+0.3*(3-1)/MAX(1,D182-1))),0)+F182)))</x:f>
        <x:v>27</x:v>
      </x:c>
      <x:c r="AG182" s="119" t="n">
        <x:f>IF(3&gt;D182,0,ROUND(('难度参数'!$E$13*POWER(A182,'难度参数'!$E$20)*MIN('难度参数'!$E$23,1+MAX(0,A182-'难度参数'!$E$21)*'难度参数'!$E$22))*(36+3*7)/(36+7*(D182+1)/2)*E182,0))</x:f>
        <x:v>4975</x:v>
      </x:c>
      <x:c r="AH182" s="119" t="n">
        <x:f>IF(AF182=0,0,(AF182-IF(3=D182,1,0))*ROUND(AG182*VLOOKUP(INDEX('章节与怪物'!$E$31:$K$37,B182,3),'章节与怪物'!$A$41:$F$44,2,FALSE),0)+IF(3=D182,ROUND(AG182*'难度参数'!$E$28*'章节与怪物'!$E$17,0),0))</x:f>
        <x:v>96714</x:v>
      </x:c>
      <x:c r="AI182" s="119" t="n">
        <x:f>IF(AF182=0,0,(AF182-IF(3=D182,1,0))*VLOOKUP(INDEX('章节与怪物'!$E$31:$K$37,B182,3),'章节与怪物'!$A$41:$F$44,4,FALSE)+IF(3=D182,'难度参数'!$E$30,0))</x:f>
        <x:v>540</x:v>
      </x:c>
      <x:c r="AJ182" s="119" t="n">
        <x:f>IF(4&gt;D182,0,MAX(2,MIN('难度参数'!$E$12,ROUND(('难度参数'!$E$18*POWER(A182,'难度参数'!$E$19)/D182*(0.85+0.3*(4-1)/MAX(1,D182-1))),0)+F182)))</x:f>
        <x:v>29</x:v>
      </x:c>
      <x:c r="AK182" s="119" t="n">
        <x:f>IF(4&gt;D182,0,ROUND(('难度参数'!$E$13*POWER(A182,'难度参数'!$E$20)*MIN('难度参数'!$E$23,1+MAX(0,A182-'难度参数'!$E$21)*'难度参数'!$E$22))*(36+4*7)/(36+7*(D182+1)/2)*E182,0))</x:f>
        <x:v>5586</x:v>
      </x:c>
      <x:c r="AL182" s="119" t="n">
        <x:f>IF(AJ182=0,0,(AJ182-IF(4=D182,1,0))*ROUND(AK182*VLOOKUP(INDEX('章节与怪物'!$E$31:$K$37,B182,4),'章节与怪物'!$A$41:$F$44,2,FALSE),0)+IF(4=D182,ROUND(AK182*'难度参数'!$E$28*'章节与怪物'!$E$17,0),0))</x:f>
        <x:v>275384</x:v>
      </x:c>
      <x:c r="AM182" s="119" t="n">
        <x:f>IF(AJ182=0,0,(AJ182-IF(4=D182,1,0))*VLOOKUP(INDEX('章节与怪物'!$E$31:$K$37,B182,4),'章节与怪物'!$A$41:$F$44,4,FALSE)+IF(4=D182,'难度参数'!$E$30,0))</x:f>
        <x:v>812</x:v>
      </x:c>
      <x:c r="AN182" s="119" t="n">
        <x:f>IF(5&gt;D182,0,MAX(2,MIN('难度参数'!$E$12,ROUND(('难度参数'!$E$18*POWER(A182,'难度参数'!$E$19)/D182*(0.85+0.3*(5-1)/MAX(1,D182-1))),0)+F182)))</x:f>
        <x:v>30</x:v>
      </x:c>
      <x:c r="AO182" s="119" t="n">
        <x:f>IF(5&gt;D182,0,ROUND(('难度参数'!$E$13*POWER(A182,'难度参数'!$E$20)*MIN('难度参数'!$E$23,1+MAX(0,A182-'难度参数'!$E$21)*'难度参数'!$E$22))*(36+5*7)/(36+7*(D182+1)/2)*E182,0))</x:f>
        <x:v>6197</x:v>
      </x:c>
      <x:c r="AP182" s="119" t="n">
        <x:f>IF(AN182=0,0,(AN182-IF(5=D182,1,0))*ROUND(AO182*VLOOKUP(INDEX('章节与怪物'!$E$31:$K$37,B182,5),'章节与怪物'!$A$41:$F$44,2,FALSE),0)+IF(5=D182,ROUND(AO182*'难度参数'!$E$28*'章节与怪物'!$E$17,0),0))</x:f>
        <x:v>250980</x:v>
      </x:c>
      <x:c r="AQ182" s="119" t="n">
        <x:f>IF(AN182=0,0,(AN182-IF(5=D182,1,0))*VLOOKUP(INDEX('章节与怪物'!$E$31:$K$37,B182,5),'章节与怪物'!$A$41:$F$44,4,FALSE)+IF(5=D182,'难度参数'!$E$30,0))</x:f>
        <x:v>1020</x:v>
      </x:c>
      <x:c r="AR182" s="119" t="n">
        <x:f>IF(6&gt;D182,0,MAX(2,MIN('难度参数'!$E$12,ROUND(('难度参数'!$E$18*POWER(A182,'难度参数'!$E$19)/D182*(0.85+0.3*(6-1)/MAX(1,D182-1))),0)+F182)))</x:f>
        <x:v>32</x:v>
      </x:c>
      <x:c r="AS182" s="119" t="n">
        <x:f>IF(6&gt;D182,0,ROUND(('难度参数'!$E$13*POWER(A182,'难度参数'!$E$20)*MIN('难度参数'!$E$23,1+MAX(0,A182-'难度参数'!$E$21)*'难度参数'!$E$22))*(36+6*7)/(36+7*(D182+1)/2)*E182,0))</x:f>
        <x:v>6808</x:v>
      </x:c>
      <x:c r="AT182" s="119" t="n">
        <x:f>IF(AR182=0,0,(AR182-IF(6=D182,1,0))*ROUND(AS182*VLOOKUP(INDEX('章节与怪物'!$E$31:$K$37,B182,6),'章节与怪物'!$A$41:$F$44,2,FALSE),0)+IF(6=D182,ROUND(AS182*'难度参数'!$E$28*'章节与怪物'!$E$17,0),0))</x:f>
        <x:v>156864</x:v>
      </x:c>
      <x:c r="AU182" s="119" t="n">
        <x:f>IF(AR182=0,0,(AR182-IF(6=D182,1,0))*VLOOKUP(INDEX('章节与怪物'!$E$31:$K$37,B182,6),'章节与怪物'!$A$41:$F$44,4,FALSE)+IF(6=D182,'难度参数'!$E$30,0))</x:f>
        <x:v>640</x:v>
      </x:c>
      <x:c r="AV182" s="119" t="n">
        <x:f>IF(7&gt;D182,0,MAX(2,MIN('难度参数'!$E$12,ROUND(('难度参数'!$E$18*POWER(A182,'难度参数'!$E$19)/D182*(0.85+0.3*(7-1)/MAX(1,D182-1))),0)+F182)))</x:f>
        <x:v>33</x:v>
      </x:c>
      <x:c r="AW182" s="119" t="n">
        <x:f>IF(7&gt;D182,0,ROUND(('难度参数'!$E$13*POWER(A182,'难度参数'!$E$20)*MIN('难度参数'!$E$23,1+MAX(0,A182-'难度参数'!$E$21)*'难度参数'!$E$22))*(36+7*7)/(36+7*(D182+1)/2)*E182,0))</x:f>
        <x:v>7419</x:v>
      </x:c>
      <x:c r="AX182" s="119" t="n">
        <x:f>IF(AV182=0,0,(AV182-IF(7=D182,1,0))*ROUND(AW182*VLOOKUP(INDEX('章节与怪物'!$E$31:$K$37,B182,7),'章节与怪物'!$A$41:$F$44,2,FALSE),0)+IF(7=D182,ROUND(AW182*'难度参数'!$E$28*'章节与怪物'!$E$17,0),0))</x:f>
        <x:v>454033</x:v>
      </x:c>
      <x:c r="AY182" s="119" t="n">
        <x:f>IF(AV182=0,0,(AV182-IF(7=D182,1,0))*VLOOKUP(INDEX('章节与怪物'!$E$31:$K$37,B182,7),'章节与怪物'!$A$41:$F$44,4,FALSE)+IF(7=D182,'难度参数'!$E$30,0))</x:f>
        <x:v>1096</x:v>
      </x:c>
    </x:row>
    <x:row r="183" ht="23" customHeight="1">
      <x:c r="A183" s="119" t="n">
        <x:v>177</x:v>
      </x:c>
      <x:c r="B183" s="119" t="n">
        <x:f>MOD(INT((A183-1)/5),7)+1</x:f>
        <x:v>1</x:v>
      </x:c>
      <x:c r="C183" s="62" t="str">
        <x:f>INDEX('章节与怪物'!$B$31:$B$37,B183)</x:f>
        <x:v>冰雪荒原</x:v>
      </x:c>
      <x:c r="D183" s="119" t="n">
        <x:f>MIN('难度参数'!$E$8,MAX('难度参数'!$E$7,A183))</x:f>
        <x:v>7</x:v>
      </x:c>
      <x:c r="E183" s="106" t="n">
        <x:v>1</x:v>
      </x:c>
      <x:c r="F183" s="106" t="n">
        <x:v>0</x:v>
      </x:c>
      <x:c r="G183" s="106" t="n">
        <x:v>1</x:v>
      </x:c>
      <x:c r="H183" s="119" t="n">
        <x:f>SUM(X183,AB183,AF183,AJ183,AN183,AR183,AV183)</x:f>
        <x:v>202</x:v>
      </x:c>
      <x:c r="I183" s="119" t="n">
        <x:f>SUM(Z183,AD183,AH183,AL183,AP183,AT183,AX183)</x:f>
        <x:v>1447112</x:v>
      </x:c>
      <x:c r="J183" s="119" t="n">
        <x:f>ROUND(INDEX(X183:AY183,1,(D183-1)*4+2)*'难度参数'!$E$28*'章节与怪物'!$E$17,0)</x:f>
        <x:v>50653</x:v>
      </x:c>
      <x:c r="K183" s="119" t="n">
        <x:f>SUM(AA183,AE183,AI183,AM183,AQ183,AU183,AY183)</x:f>
        <x:v>5026</x:v>
      </x:c>
      <x:c r="L183" s="62" t="n">
        <x:f>H183*(ROUNDUP('难度参数'!$E$24/('难度参数'!$E$26*'难度参数'!$E$27),0)*'难度参数'!$E$26)/60</x:f>
        <x:v>2.693333333333334</x:v>
      </x:c>
      <x:c r="M183" s="62" t="n">
        <x:f>L183+D183*('难度参数'!$E$49+'难度参数'!$E$50)/60</x:f>
        <x:v>3.8600000000000003</x:v>
      </x:c>
      <x:c r="N183" s="119" t="n">
        <x:f>ROUNDDOWN(('经济参数'!$E$20+A183*'经济参数'!$E$21)*G183,0)</x:f>
        <x:v>3720</x:v>
      </x:c>
      <x:c r="O183" s="119" t="n">
        <x:f>ROUNDDOWN(MIN('经济参数'!$E$24,'经济参数'!$E$22+A183*'经济参数'!$E$23)*G183,0)</x:f>
        <x:v>0</x:v>
      </x:c>
      <x:c r="P183" s="119" t="n">
        <x:f>ROUNDDOWN((IF(A183&gt;='材料与任务'!$E$31,'材料与任务'!$E$32,IF(A183&gt;='材料与任务'!$E$25,'材料与任务'!$E$26,IF(A183&gt;='材料与任务'!$E$19,'材料与任务'!$E$20,IF(A183&gt;='材料与任务'!$E$13,'材料与任务'!$E$14,'材料与任务'!$E$8)))))*G183,0)</x:f>
        <x:v>6</x:v>
      </x:c>
      <x:c r="Q183" s="119" t="n">
        <x:f>ROUNDDOWN((IF(A183&gt;='材料与任务'!$E$31,'材料与任务'!$E$33,IF(A183&gt;='材料与任务'!$E$25,'材料与任务'!$E$27,IF(A183&gt;='材料与任务'!$E$19,'材料与任务'!$E$21,IF(A183&gt;='材料与任务'!$E$13,'材料与任务'!$E$15,'材料与任务'!$E$9)))))*G183,0)</x:f>
        <x:v>3</x:v>
      </x:c>
      <x:c r="R183" s="110" t="n">
        <x:f>'装备掉落'!$B$38</x:f>
        <x:v>0.6872058758851213</x:v>
      </x:c>
      <x:c r="S183" s="119" t="n">
        <x:f>MAX(IF(VLOOKUP(A183,'装备掉落'!$A$29:$H$34,2,TRUE)&gt;0,1,0),IF(VLOOKUP(A183,'装备掉落'!$A$29:$H$34,3,TRUE)&gt;0,2,0),IF(VLOOKUP(A183,'装备掉落'!$A$29:$H$34,4,TRUE)&gt;0,3,0),IF(VLOOKUP(A183,'装备掉落'!$A$29:$H$34,5,TRUE)&gt;0,4,0),IF(VLOOKUP(A183,'装备掉落'!$A$29:$H$34,6,TRUE)&gt;0,5,0),IF(VLOOKUP(A183,'装备掉落'!$A$29:$H$34,7,TRUE)&gt;0,6,0),IF(VLOOKUP(A183,'装备掉落'!$A$29:$H$34,8,TRUE)&gt;0,7,0))</x:f>
        <x:v>7</x:v>
      </x:c>
      <x:c r="T183" s="119" t="n">
        <x:f>MIN(7,S183+'经济参数'!$E$70)</x:f>
        <x:v>7</x:v>
      </x:c>
      <x:c r="U183" s="119" t="n">
        <x:f>MIN(7,S183+'经济参数'!$E$71)</x:f>
        <x:v>7</x:v>
      </x:c>
      <x:c r="V183" s="119" t="n">
        <x:f>IF(H183&gt;=('难度参数'!$E$52),1,0)+IF(H183&gt;=('难度参数'!$E$52+'难度参数'!$E$53),1,0)+IF(H183&gt;=('难度参数'!$E$52+'难度参数'!$E$53+'难度参数'!$E$54),1,0)+IF(H183&gt;=('难度参数'!$E$52+'难度参数'!$E$53+'难度参数'!$E$54+'难度参数'!$E$55),1,0)+IF(H183&gt;=('难度参数'!$E$52+'难度参数'!$E$53+'难度参数'!$E$54+'难度参数'!$E$55+'难度参数'!$E$56),1,0)+IF(H183&gt;=('难度参数'!$E$52+'难度参数'!$E$53+'难度参数'!$E$54+'难度参数'!$E$55+'难度参数'!$E$56+'难度参数'!$E$57),1,0)</x:f>
        <x:v>6</x:v>
      </x:c>
      <x:c r="W183" s="62" t="str">
        <x:f>IF(L183&gt;'难度参数'!$E$51,"仅出怪已超目标","还需实测")</x:f>
        <x:v>还需实测</x:v>
      </x:c>
      <x:c r="X183" s="119" t="n">
        <x:f>IF(1&gt;D183,0,MAX(2,MIN('难度参数'!$E$12,ROUND(('难度参数'!$E$18*POWER(A183,'难度参数'!$E$19)/D183*(0.85+0.3*(1-1)/MAX(1,D183-1))),0)+F183)))</x:f>
        <x:v>25</x:v>
      </x:c>
      <x:c r="Y183" s="119" t="n">
        <x:f>IF(1&gt;D183,0,ROUND(('难度参数'!$E$13*POWER(A183,'难度参数'!$E$20)*MIN('难度参数'!$E$23,1+MAX(0,A183-'难度参数'!$E$21)*'难度参数'!$E$22))*(36+1*7)/(36+7*(D183+1)/2)*E183,0))</x:f>
        <x:v>3768</x:v>
      </x:c>
      <x:c r="Z183" s="119" t="n">
        <x:f>IF(X183=0,0,(X183-IF(1=D183,1,0))*ROUND(Y183*VLOOKUP(INDEX('章节与怪物'!$E$31:$K$37,B183,1),'章节与怪物'!$A$41:$F$44,2,FALSE),0)+IF(1=D183,ROUND(Y183*'难度参数'!$E$28*'章节与怪物'!$E$17,0),0))</x:f>
        <x:v>94200</x:v>
      </x:c>
      <x:c r="AA183" s="119" t="n">
        <x:f>IF(X183=0,0,(X183-IF(1=D183,1,0))*VLOOKUP(INDEX('章节与怪物'!$E$31:$K$37,B183,1),'章节与怪物'!$A$41:$F$44,4,FALSE)+IF(1=D183,'难度参数'!$E$30,0))</x:f>
        <x:v>450</x:v>
      </x:c>
      <x:c r="AB183" s="119" t="n">
        <x:f>IF(2&gt;D183,0,MAX(2,MIN('难度参数'!$E$12,ROUND(('难度参数'!$E$18*POWER(A183,'难度参数'!$E$19)/D183*(0.85+0.3*(2-1)/MAX(1,D183-1))),0)+F183)))</x:f>
        <x:v>26</x:v>
      </x:c>
      <x:c r="AC183" s="119" t="n">
        <x:f>IF(2&gt;D183,0,ROUND(('难度参数'!$E$13*POWER(A183,'难度参数'!$E$20)*MIN('难度参数'!$E$23,1+MAX(0,A183-'难度参数'!$E$21)*'难度参数'!$E$22))*(36+2*7)/(36+7*(D183+1)/2)*E183,0))</x:f>
        <x:v>4382</x:v>
      </x:c>
      <x:c r="AD183" s="119" t="n">
        <x:f>IF(AB183=0,0,(AB183-IF(2=D183,1,0))*ROUND(AC183*VLOOKUP(INDEX('章节与怪物'!$E$31:$K$37,B183,2),'章节与怪物'!$A$41:$F$44,2,FALSE),0)+IF(2=D183,ROUND(AC183*'难度参数'!$E$28*'章节与怪物'!$E$17,0),0))</x:f>
        <x:v>113932</x:v>
      </x:c>
      <x:c r="AE183" s="119" t="n">
        <x:f>IF(AB183=0,0,(AB183-IF(2=D183,1,0))*VLOOKUP(INDEX('章节与怪物'!$E$31:$K$37,B183,2),'章节与怪物'!$A$41:$F$44,4,FALSE)+IF(2=D183,'难度参数'!$E$30,0))</x:f>
        <x:v>468</x:v>
      </x:c>
      <x:c r="AF183" s="119" t="n">
        <x:f>IF(3&gt;D183,0,MAX(2,MIN('难度参数'!$E$12,ROUND(('难度参数'!$E$18*POWER(A183,'难度参数'!$E$19)/D183*(0.85+0.3*(3-1)/MAX(1,D183-1))),0)+F183)))</x:f>
        <x:v>27</x:v>
      </x:c>
      <x:c r="AG183" s="119" t="n">
        <x:f>IF(3&gt;D183,0,ROUND(('难度参数'!$E$13*POWER(A183,'难度参数'!$E$20)*MIN('难度参数'!$E$23,1+MAX(0,A183-'难度参数'!$E$21)*'难度参数'!$E$22))*(36+3*7)/(36+7*(D183+1)/2)*E183,0))</x:f>
        <x:v>4995</x:v>
      </x:c>
      <x:c r="AH183" s="119" t="n">
        <x:f>IF(AF183=0,0,(AF183-IF(3=D183,1,0))*ROUND(AG183*VLOOKUP(INDEX('章节与怪物'!$E$31:$K$37,B183,3),'章节与怪物'!$A$41:$F$44,2,FALSE),0)+IF(3=D183,ROUND(AG183*'难度参数'!$E$28*'章节与怪物'!$E$17,0),0))</x:f>
        <x:v>97092</x:v>
      </x:c>
      <x:c r="AI183" s="119" t="n">
        <x:f>IF(AF183=0,0,(AF183-IF(3=D183,1,0))*VLOOKUP(INDEX('章节与怪物'!$E$31:$K$37,B183,3),'章节与怪物'!$A$41:$F$44,4,FALSE)+IF(3=D183,'难度参数'!$E$30,0))</x:f>
        <x:v>540</x:v>
      </x:c>
      <x:c r="AJ183" s="119" t="n">
        <x:f>IF(4&gt;D183,0,MAX(2,MIN('难度参数'!$E$12,ROUND(('难度参数'!$E$18*POWER(A183,'难度参数'!$E$19)/D183*(0.85+0.3*(4-1)/MAX(1,D183-1))),0)+F183)))</x:f>
        <x:v>29</x:v>
      </x:c>
      <x:c r="AK183" s="119" t="n">
        <x:f>IF(4&gt;D183,0,ROUND(('难度参数'!$E$13*POWER(A183,'难度参数'!$E$20)*MIN('难度参数'!$E$23,1+MAX(0,A183-'难度参数'!$E$21)*'难度参数'!$E$22))*(36+4*7)/(36+7*(D183+1)/2)*E183,0))</x:f>
        <x:v>5609</x:v>
      </x:c>
      <x:c r="AL183" s="119" t="n">
        <x:f>IF(AJ183=0,0,(AJ183-IF(4=D183,1,0))*ROUND(AK183*VLOOKUP(INDEX('章节与怪物'!$E$31:$K$37,B183,4),'章节与怪物'!$A$41:$F$44,2,FALSE),0)+IF(4=D183,ROUND(AK183*'难度参数'!$E$28*'章节与怪物'!$E$17,0),0))</x:f>
        <x:v>276515</x:v>
      </x:c>
      <x:c r="AM183" s="119" t="n">
        <x:f>IF(AJ183=0,0,(AJ183-IF(4=D183,1,0))*VLOOKUP(INDEX('章节与怪物'!$E$31:$K$37,B183,4),'章节与怪物'!$A$41:$F$44,4,FALSE)+IF(4=D183,'难度参数'!$E$30,0))</x:f>
        <x:v>812</x:v>
      </x:c>
      <x:c r="AN183" s="119" t="n">
        <x:f>IF(5&gt;D183,0,MAX(2,MIN('难度参数'!$E$12,ROUND(('难度参数'!$E$18*POWER(A183,'难度参数'!$E$19)/D183*(0.85+0.3*(5-1)/MAX(1,D183-1))),0)+F183)))</x:f>
        <x:v>30</x:v>
      </x:c>
      <x:c r="AO183" s="119" t="n">
        <x:f>IF(5&gt;D183,0,ROUND(('难度参数'!$E$13*POWER(A183,'难度参数'!$E$20)*MIN('难度参数'!$E$23,1+MAX(0,A183-'难度参数'!$E$21)*'难度参数'!$E$22))*(36+5*7)/(36+7*(D183+1)/2)*E183,0))</x:f>
        <x:v>6222</x:v>
      </x:c>
      <x:c r="AP183" s="119" t="n">
        <x:f>IF(AN183=0,0,(AN183-IF(5=D183,1,0))*ROUND(AO183*VLOOKUP(INDEX('章节与怪物'!$E$31:$K$37,B183,5),'章节与怪物'!$A$41:$F$44,2,FALSE),0)+IF(5=D183,ROUND(AO183*'难度参数'!$E$28*'章节与怪物'!$E$17,0),0))</x:f>
        <x:v>252000</x:v>
      </x:c>
      <x:c r="AQ183" s="119" t="n">
        <x:f>IF(AN183=0,0,(AN183-IF(5=D183,1,0))*VLOOKUP(INDEX('章节与怪物'!$E$31:$K$37,B183,5),'章节与怪物'!$A$41:$F$44,4,FALSE)+IF(5=D183,'难度参数'!$E$30,0))</x:f>
        <x:v>1020</x:v>
      </x:c>
      <x:c r="AR183" s="119" t="n">
        <x:f>IF(6&gt;D183,0,MAX(2,MIN('难度参数'!$E$12,ROUND(('难度参数'!$E$18*POWER(A183,'难度参数'!$E$19)/D183*(0.85+0.3*(6-1)/MAX(1,D183-1))),0)+F183)))</x:f>
        <x:v>32</x:v>
      </x:c>
      <x:c r="AS183" s="119" t="n">
        <x:f>IF(6&gt;D183,0,ROUND(('难度参数'!$E$13*POWER(A183,'难度参数'!$E$20)*MIN('难度参数'!$E$23,1+MAX(0,A183-'难度参数'!$E$21)*'难度参数'!$E$22))*(36+6*7)/(36+7*(D183+1)/2)*E183,0))</x:f>
        <x:v>6836</x:v>
      </x:c>
      <x:c r="AT183" s="119" t="n">
        <x:f>IF(AR183=0,0,(AR183-IF(6=D183,1,0))*ROUND(AS183*VLOOKUP(INDEX('章节与怪物'!$E$31:$K$37,B183,6),'章节与怪物'!$A$41:$F$44,2,FALSE),0)+IF(6=D183,ROUND(AS183*'难度参数'!$E$28*'章节与怪物'!$E$17,0),0))</x:f>
        <x:v>157504</x:v>
      </x:c>
      <x:c r="AU183" s="119" t="n">
        <x:f>IF(AR183=0,0,(AR183-IF(6=D183,1,0))*VLOOKUP(INDEX('章节与怪物'!$E$31:$K$37,B183,6),'章节与怪物'!$A$41:$F$44,4,FALSE)+IF(6=D183,'难度参数'!$E$30,0))</x:f>
        <x:v>640</x:v>
      </x:c>
      <x:c r="AV183" s="119" t="n">
        <x:f>IF(7&gt;D183,0,MAX(2,MIN('难度参数'!$E$12,ROUND(('难度参数'!$E$18*POWER(A183,'难度参数'!$E$19)/D183*(0.85+0.3*(7-1)/MAX(1,D183-1))),0)+F183)))</x:f>
        <x:v>33</x:v>
      </x:c>
      <x:c r="AW183" s="119" t="n">
        <x:f>IF(7&gt;D183,0,ROUND(('难度参数'!$E$13*POWER(A183,'难度参数'!$E$20)*MIN('难度参数'!$E$23,1+MAX(0,A183-'难度参数'!$E$21)*'难度参数'!$E$22))*(36+7*7)/(36+7*(D183+1)/2)*E183,0))</x:f>
        <x:v>7449</x:v>
      </x:c>
      <x:c r="AX183" s="119" t="n">
        <x:f>IF(AV183=0,0,(AV183-IF(7=D183,1,0))*ROUND(AW183*VLOOKUP(INDEX('章节与怪物'!$E$31:$K$37,B183,7),'章节与怪物'!$A$41:$F$44,2,FALSE),0)+IF(7=D183,ROUND(AW183*'难度参数'!$E$28*'章节与怪物'!$E$17,0),0))</x:f>
        <x:v>455869</x:v>
      </x:c>
      <x:c r="AY183" s="119" t="n">
        <x:f>IF(AV183=0,0,(AV183-IF(7=D183,1,0))*VLOOKUP(INDEX('章节与怪物'!$E$31:$K$37,B183,7),'章节与怪物'!$A$41:$F$44,4,FALSE)+IF(7=D183,'难度参数'!$E$30,0))</x:f>
        <x:v>1096</x:v>
      </x:c>
    </x:row>
    <x:row r="184" ht="23" customHeight="1">
      <x:c r="A184" s="119" t="n">
        <x:v>178</x:v>
      </x:c>
      <x:c r="B184" s="119" t="n">
        <x:f>MOD(INT((A184-1)/5),7)+1</x:f>
        <x:v>1</x:v>
      </x:c>
      <x:c r="C184" s="62" t="str">
        <x:f>INDEX('章节与怪物'!$B$31:$B$37,B184)</x:f>
        <x:v>冰雪荒原</x:v>
      </x:c>
      <x:c r="D184" s="119" t="n">
        <x:f>MIN('难度参数'!$E$8,MAX('难度参数'!$E$7,A184))</x:f>
        <x:v>7</x:v>
      </x:c>
      <x:c r="E184" s="106" t="n">
        <x:v>1</x:v>
      </x:c>
      <x:c r="F184" s="106" t="n">
        <x:v>0</x:v>
      </x:c>
      <x:c r="G184" s="106" t="n">
        <x:v>1</x:v>
      </x:c>
      <x:c r="H184" s="119" t="n">
        <x:f>SUM(X184,AB184,AF184,AJ184,AN184,AR184,AV184)</x:f>
        <x:v>202</x:v>
      </x:c>
      <x:c r="I184" s="119" t="n">
        <x:f>SUM(Z184,AD184,AH184,AL184,AP184,AT184,AX184)</x:f>
        <x:v>1453140</x:v>
      </x:c>
      <x:c r="J184" s="119" t="n">
        <x:f>ROUND(INDEX(X184:AY184,1,(D184-1)*4+2)*'难度参数'!$E$28*'章节与怪物'!$E$17,0)</x:f>
        <x:v>50864</x:v>
      </x:c>
      <x:c r="K184" s="119" t="n">
        <x:f>SUM(AA184,AE184,AI184,AM184,AQ184,AU184,AY184)</x:f>
        <x:v>5026</x:v>
      </x:c>
      <x:c r="L184" s="62" t="n">
        <x:f>H184*(ROUNDUP('难度参数'!$E$24/('难度参数'!$E$26*'难度参数'!$E$27),0)*'难度参数'!$E$26)/60</x:f>
        <x:v>2.693333333333334</x:v>
      </x:c>
      <x:c r="M184" s="62" t="n">
        <x:f>L184+D184*('难度参数'!$E$49+'难度参数'!$E$50)/60</x:f>
        <x:v>3.8600000000000003</x:v>
      </x:c>
      <x:c r="N184" s="119" t="n">
        <x:f>ROUNDDOWN(('经济参数'!$E$20+A184*'经济参数'!$E$21)*G184,0)</x:f>
        <x:v>3740</x:v>
      </x:c>
      <x:c r="O184" s="119" t="n">
        <x:f>ROUNDDOWN(MIN('经济参数'!$E$24,'经济参数'!$E$22+A184*'经济参数'!$E$23)*G184,0)</x:f>
        <x:v>0</x:v>
      </x:c>
      <x:c r="P184" s="119" t="n">
        <x:f>ROUNDDOWN((IF(A184&gt;='材料与任务'!$E$31,'材料与任务'!$E$32,IF(A184&gt;='材料与任务'!$E$25,'材料与任务'!$E$26,IF(A184&gt;='材料与任务'!$E$19,'材料与任务'!$E$20,IF(A184&gt;='材料与任务'!$E$13,'材料与任务'!$E$14,'材料与任务'!$E$8)))))*G184,0)</x:f>
        <x:v>6</x:v>
      </x:c>
      <x:c r="Q184" s="119" t="n">
        <x:f>ROUNDDOWN((IF(A184&gt;='材料与任务'!$E$31,'材料与任务'!$E$33,IF(A184&gt;='材料与任务'!$E$25,'材料与任务'!$E$27,IF(A184&gt;='材料与任务'!$E$19,'材料与任务'!$E$21,IF(A184&gt;='材料与任务'!$E$13,'材料与任务'!$E$15,'材料与任务'!$E$9)))))*G184,0)</x:f>
        <x:v>3</x:v>
      </x:c>
      <x:c r="R184" s="110" t="n">
        <x:f>'装备掉落'!$B$38</x:f>
        <x:v>0.6872058758851213</x:v>
      </x:c>
      <x:c r="S184" s="119" t="n">
        <x:f>MAX(IF(VLOOKUP(A184,'装备掉落'!$A$29:$H$34,2,TRUE)&gt;0,1,0),IF(VLOOKUP(A184,'装备掉落'!$A$29:$H$34,3,TRUE)&gt;0,2,0),IF(VLOOKUP(A184,'装备掉落'!$A$29:$H$34,4,TRUE)&gt;0,3,0),IF(VLOOKUP(A184,'装备掉落'!$A$29:$H$34,5,TRUE)&gt;0,4,0),IF(VLOOKUP(A184,'装备掉落'!$A$29:$H$34,6,TRUE)&gt;0,5,0),IF(VLOOKUP(A184,'装备掉落'!$A$29:$H$34,7,TRUE)&gt;0,6,0),IF(VLOOKUP(A184,'装备掉落'!$A$29:$H$34,8,TRUE)&gt;0,7,0))</x:f>
        <x:v>7</x:v>
      </x:c>
      <x:c r="T184" s="119" t="n">
        <x:f>MIN(7,S184+'经济参数'!$E$70)</x:f>
        <x:v>7</x:v>
      </x:c>
      <x:c r="U184" s="119" t="n">
        <x:f>MIN(7,S184+'经济参数'!$E$71)</x:f>
        <x:v>7</x:v>
      </x:c>
      <x:c r="V184" s="119" t="n">
        <x:f>IF(H184&gt;=('难度参数'!$E$52),1,0)+IF(H184&gt;=('难度参数'!$E$52+'难度参数'!$E$53),1,0)+IF(H184&gt;=('难度参数'!$E$52+'难度参数'!$E$53+'难度参数'!$E$54),1,0)+IF(H184&gt;=('难度参数'!$E$52+'难度参数'!$E$53+'难度参数'!$E$54+'难度参数'!$E$55),1,0)+IF(H184&gt;=('难度参数'!$E$52+'难度参数'!$E$53+'难度参数'!$E$54+'难度参数'!$E$55+'难度参数'!$E$56),1,0)+IF(H184&gt;=('难度参数'!$E$52+'难度参数'!$E$53+'难度参数'!$E$54+'难度参数'!$E$55+'难度参数'!$E$56+'难度参数'!$E$57),1,0)</x:f>
        <x:v>6</x:v>
      </x:c>
      <x:c r="W184" s="62" t="str">
        <x:f>IF(L184&gt;'难度参数'!$E$51,"仅出怪已超目标","还需实测")</x:f>
        <x:v>还需实测</x:v>
      </x:c>
      <x:c r="X184" s="119" t="n">
        <x:f>IF(1&gt;D184,0,MAX(2,MIN('难度参数'!$E$12,ROUND(('难度参数'!$E$18*POWER(A184,'难度参数'!$E$19)/D184*(0.85+0.3*(1-1)/MAX(1,D184-1))),0)+F184)))</x:f>
        <x:v>25</x:v>
      </x:c>
      <x:c r="Y184" s="119" t="n">
        <x:f>IF(1&gt;D184,0,ROUND(('难度参数'!$E$13*POWER(A184,'难度参数'!$E$20)*MIN('难度参数'!$E$23,1+MAX(0,A184-'难度参数'!$E$21)*'难度参数'!$E$22))*(36+1*7)/(36+7*(D184+1)/2)*E184,0))</x:f>
        <x:v>3784</x:v>
      </x:c>
      <x:c r="Z184" s="119" t="n">
        <x:f>IF(X184=0,0,(X184-IF(1=D184,1,0))*ROUND(Y184*VLOOKUP(INDEX('章节与怪物'!$E$31:$K$37,B184,1),'章节与怪物'!$A$41:$F$44,2,FALSE),0)+IF(1=D184,ROUND(Y184*'难度参数'!$E$28*'章节与怪物'!$E$17,0),0))</x:f>
        <x:v>94600</x:v>
      </x:c>
      <x:c r="AA184" s="119" t="n">
        <x:f>IF(X184=0,0,(X184-IF(1=D184,1,0))*VLOOKUP(INDEX('章节与怪物'!$E$31:$K$37,B184,1),'章节与怪物'!$A$41:$F$44,4,FALSE)+IF(1=D184,'难度参数'!$E$30,0))</x:f>
        <x:v>450</x:v>
      </x:c>
      <x:c r="AB184" s="119" t="n">
        <x:f>IF(2&gt;D184,0,MAX(2,MIN('难度参数'!$E$12,ROUND(('难度参数'!$E$18*POWER(A184,'难度参数'!$E$19)/D184*(0.85+0.3*(2-1)/MAX(1,D184-1))),0)+F184)))</x:f>
        <x:v>26</x:v>
      </x:c>
      <x:c r="AC184" s="119" t="n">
        <x:f>IF(2&gt;D184,0,ROUND(('难度参数'!$E$13*POWER(A184,'难度参数'!$E$20)*MIN('难度参数'!$E$23,1+MAX(0,A184-'难度参数'!$E$21)*'难度参数'!$E$22))*(36+2*7)/(36+7*(D184+1)/2)*E184,0))</x:f>
        <x:v>4400</x:v>
      </x:c>
      <x:c r="AD184" s="119" t="n">
        <x:f>IF(AB184=0,0,(AB184-IF(2=D184,1,0))*ROUND(AC184*VLOOKUP(INDEX('章节与怪物'!$E$31:$K$37,B184,2),'章节与怪物'!$A$41:$F$44,2,FALSE),0)+IF(2=D184,ROUND(AC184*'难度参数'!$E$28*'章节与怪物'!$E$17,0),0))</x:f>
        <x:v>114400</x:v>
      </x:c>
      <x:c r="AE184" s="119" t="n">
        <x:f>IF(AB184=0,0,(AB184-IF(2=D184,1,0))*VLOOKUP(INDEX('章节与怪物'!$E$31:$K$37,B184,2),'章节与怪物'!$A$41:$F$44,4,FALSE)+IF(2=D184,'难度参数'!$E$30,0))</x:f>
        <x:v>468</x:v>
      </x:c>
      <x:c r="AF184" s="119" t="n">
        <x:f>IF(3&gt;D184,0,MAX(2,MIN('难度参数'!$E$12,ROUND(('难度参数'!$E$18*POWER(A184,'难度参数'!$E$19)/D184*(0.85+0.3*(3-1)/MAX(1,D184-1))),0)+F184)))</x:f>
        <x:v>27</x:v>
      </x:c>
      <x:c r="AG184" s="119" t="n">
        <x:f>IF(3&gt;D184,0,ROUND(('难度参数'!$E$13*POWER(A184,'难度参数'!$E$20)*MIN('难度参数'!$E$23,1+MAX(0,A184-'难度参数'!$E$21)*'难度参数'!$E$22))*(36+3*7)/(36+7*(D184+1)/2)*E184,0))</x:f>
        <x:v>5016</x:v>
      </x:c>
      <x:c r="AH184" s="119" t="n">
        <x:f>IF(AF184=0,0,(AF184-IF(3=D184,1,0))*ROUND(AG184*VLOOKUP(INDEX('章节与怪物'!$E$31:$K$37,B184,3),'章节与怪物'!$A$41:$F$44,2,FALSE),0)+IF(3=D184,ROUND(AG184*'难度参数'!$E$28*'章节与怪物'!$E$17,0),0))</x:f>
        <x:v>97524</x:v>
      </x:c>
      <x:c r="AI184" s="119" t="n">
        <x:f>IF(AF184=0,0,(AF184-IF(3=D184,1,0))*VLOOKUP(INDEX('章节与怪物'!$E$31:$K$37,B184,3),'章节与怪物'!$A$41:$F$44,4,FALSE)+IF(3=D184,'难度参数'!$E$30,0))</x:f>
        <x:v>540</x:v>
      </x:c>
      <x:c r="AJ184" s="119" t="n">
        <x:f>IF(4&gt;D184,0,MAX(2,MIN('难度参数'!$E$12,ROUND(('难度参数'!$E$18*POWER(A184,'难度参数'!$E$19)/D184*(0.85+0.3*(4-1)/MAX(1,D184-1))),0)+F184)))</x:f>
        <x:v>29</x:v>
      </x:c>
      <x:c r="AK184" s="119" t="n">
        <x:f>IF(4&gt;D184,0,ROUND(('难度参数'!$E$13*POWER(A184,'难度参数'!$E$20)*MIN('难度参数'!$E$23,1+MAX(0,A184-'难度参数'!$E$21)*'难度参数'!$E$22))*(36+4*7)/(36+7*(D184+1)/2)*E184,0))</x:f>
        <x:v>5632</x:v>
      </x:c>
      <x:c r="AL184" s="119" t="n">
        <x:f>IF(AJ184=0,0,(AJ184-IF(4=D184,1,0))*ROUND(AK184*VLOOKUP(INDEX('章节与怪物'!$E$31:$K$37,B184,4),'章节与怪物'!$A$41:$F$44,2,FALSE),0)+IF(4=D184,ROUND(AK184*'难度参数'!$E$28*'章节与怪物'!$E$17,0),0))</x:f>
        <x:v>277646</x:v>
      </x:c>
      <x:c r="AM184" s="119" t="n">
        <x:f>IF(AJ184=0,0,(AJ184-IF(4=D184,1,0))*VLOOKUP(INDEX('章节与怪物'!$E$31:$K$37,B184,4),'章节与怪物'!$A$41:$F$44,4,FALSE)+IF(4=D184,'难度参数'!$E$30,0))</x:f>
        <x:v>812</x:v>
      </x:c>
      <x:c r="AN184" s="119" t="n">
        <x:f>IF(5&gt;D184,0,MAX(2,MIN('难度参数'!$E$12,ROUND(('难度参数'!$E$18*POWER(A184,'难度参数'!$E$19)/D184*(0.85+0.3*(5-1)/MAX(1,D184-1))),0)+F184)))</x:f>
        <x:v>30</x:v>
      </x:c>
      <x:c r="AO184" s="119" t="n">
        <x:f>IF(5&gt;D184,0,ROUND(('难度参数'!$E$13*POWER(A184,'难度参数'!$E$20)*MIN('难度参数'!$E$23,1+MAX(0,A184-'难度参数'!$E$21)*'难度参数'!$E$22))*(36+5*7)/(36+7*(D184+1)/2)*E184,0))</x:f>
        <x:v>6248</x:v>
      </x:c>
      <x:c r="AP184" s="119" t="n">
        <x:f>IF(AN184=0,0,(AN184-IF(5=D184,1,0))*ROUND(AO184*VLOOKUP(INDEX('章节与怪物'!$E$31:$K$37,B184,5),'章节与怪物'!$A$41:$F$44,2,FALSE),0)+IF(5=D184,ROUND(AO184*'难度参数'!$E$28*'章节与怪物'!$E$17,0),0))</x:f>
        <x:v>253050</x:v>
      </x:c>
      <x:c r="AQ184" s="119" t="n">
        <x:f>IF(AN184=0,0,(AN184-IF(5=D184,1,0))*VLOOKUP(INDEX('章节与怪物'!$E$31:$K$37,B184,5),'章节与怪物'!$A$41:$F$44,4,FALSE)+IF(5=D184,'难度参数'!$E$30,0))</x:f>
        <x:v>1020</x:v>
      </x:c>
      <x:c r="AR184" s="119" t="n">
        <x:f>IF(6&gt;D184,0,MAX(2,MIN('难度参数'!$E$12,ROUND(('难度参数'!$E$18*POWER(A184,'难度参数'!$E$19)/D184*(0.85+0.3*(6-1)/MAX(1,D184-1))),0)+F184)))</x:f>
        <x:v>32</x:v>
      </x:c>
      <x:c r="AS184" s="119" t="n">
        <x:f>IF(6&gt;D184,0,ROUND(('难度参数'!$E$13*POWER(A184,'难度参数'!$E$20)*MIN('难度参数'!$E$23,1+MAX(0,A184-'难度参数'!$E$21)*'难度参数'!$E$22))*(36+6*7)/(36+7*(D184+1)/2)*E184,0))</x:f>
        <x:v>6864</x:v>
      </x:c>
      <x:c r="AT184" s="119" t="n">
        <x:f>IF(AR184=0,0,(AR184-IF(6=D184,1,0))*ROUND(AS184*VLOOKUP(INDEX('章节与怪物'!$E$31:$K$37,B184,6),'章节与怪物'!$A$41:$F$44,2,FALSE),0)+IF(6=D184,ROUND(AS184*'难度参数'!$E$28*'章节与怪物'!$E$17,0),0))</x:f>
        <x:v>158144</x:v>
      </x:c>
      <x:c r="AU184" s="119" t="n">
        <x:f>IF(AR184=0,0,(AR184-IF(6=D184,1,0))*VLOOKUP(INDEX('章节与怪物'!$E$31:$K$37,B184,6),'章节与怪物'!$A$41:$F$44,4,FALSE)+IF(6=D184,'难度参数'!$E$30,0))</x:f>
        <x:v>640</x:v>
      </x:c>
      <x:c r="AV184" s="119" t="n">
        <x:f>IF(7&gt;D184,0,MAX(2,MIN('难度参数'!$E$12,ROUND(('难度参数'!$E$18*POWER(A184,'难度参数'!$E$19)/D184*(0.85+0.3*(7-1)/MAX(1,D184-1))),0)+F184)))</x:f>
        <x:v>33</x:v>
      </x:c>
      <x:c r="AW184" s="119" t="n">
        <x:f>IF(7&gt;D184,0,ROUND(('难度参数'!$E$13*POWER(A184,'难度参数'!$E$20)*MIN('难度参数'!$E$23,1+MAX(0,A184-'难度参数'!$E$21)*'难度参数'!$E$22))*(36+7*7)/(36+7*(D184+1)/2)*E184,0))</x:f>
        <x:v>7480</x:v>
      </x:c>
      <x:c r="AX184" s="119" t="n">
        <x:f>IF(AV184=0,0,(AV184-IF(7=D184,1,0))*ROUND(AW184*VLOOKUP(INDEX('章节与怪物'!$E$31:$K$37,B184,7),'章节与怪物'!$A$41:$F$44,2,FALSE),0)+IF(7=D184,ROUND(AW184*'难度参数'!$E$28*'章节与怪物'!$E$17,0),0))</x:f>
        <x:v>457776</x:v>
      </x:c>
      <x:c r="AY184" s="119" t="n">
        <x:f>IF(AV184=0,0,(AV184-IF(7=D184,1,0))*VLOOKUP(INDEX('章节与怪物'!$E$31:$K$37,B184,7),'章节与怪物'!$A$41:$F$44,4,FALSE)+IF(7=D184,'难度参数'!$E$30,0))</x:f>
        <x:v>1096</x:v>
      </x:c>
    </x:row>
    <x:row r="185" ht="23" customHeight="1">
      <x:c r="A185" s="119" t="n">
        <x:v>179</x:v>
      </x:c>
      <x:c r="B185" s="119" t="n">
        <x:f>MOD(INT((A185-1)/5),7)+1</x:f>
        <x:v>1</x:v>
      </x:c>
      <x:c r="C185" s="62" t="str">
        <x:f>INDEX('章节与怪物'!$B$31:$B$37,B185)</x:f>
        <x:v>冰雪荒原</x:v>
      </x:c>
      <x:c r="D185" s="119" t="n">
        <x:f>MIN('难度参数'!$E$8,MAX('难度参数'!$E$7,A185))</x:f>
        <x:v>7</x:v>
      </x:c>
      <x:c r="E185" s="106" t="n">
        <x:v>1</x:v>
      </x:c>
      <x:c r="F185" s="106" t="n">
        <x:v>0</x:v>
      </x:c>
      <x:c r="G185" s="106" t="n">
        <x:v>1</x:v>
      </x:c>
      <x:c r="H185" s="119" t="n">
        <x:f>SUM(X185,AB185,AF185,AJ185,AN185,AR185,AV185)</x:f>
        <x:v>203</x:v>
      </x:c>
      <x:c r="I185" s="119" t="n">
        <x:f>SUM(Z185,AD185,AH185,AL185,AP185,AT185,AX185)</x:f>
        <x:v>1462585</x:v>
      </x:c>
      <x:c r="J185" s="119" t="n">
        <x:f>ROUND(INDEX(X185:AY185,1,(D185-1)*4+2)*'难度参数'!$E$28*'章节与怪物'!$E$17,0)</x:f>
        <x:v>51068</x:v>
      </x:c>
      <x:c r="K185" s="119" t="n">
        <x:f>SUM(AA185,AE185,AI185,AM185,AQ185,AU185,AY185)</x:f>
        <x:v>5046</x:v>
      </x:c>
      <x:c r="L185" s="62" t="n">
        <x:f>H185*(ROUNDUP('难度参数'!$E$24/('难度参数'!$E$26*'难度参数'!$E$27),0)*'难度参数'!$E$26)/60</x:f>
        <x:v>2.7066666666666666</x:v>
      </x:c>
      <x:c r="M185" s="62" t="n">
        <x:f>L185+D185*('难度参数'!$E$49+'难度参数'!$E$50)/60</x:f>
        <x:v>3.873333333333333</x:v>
      </x:c>
      <x:c r="N185" s="119" t="n">
        <x:f>ROUNDDOWN(('经济参数'!$E$20+A185*'经济参数'!$E$21)*G185,0)</x:f>
        <x:v>3760</x:v>
      </x:c>
      <x:c r="O185" s="119" t="n">
        <x:f>ROUNDDOWN(MIN('经济参数'!$E$24,'经济参数'!$E$22+A185*'经济参数'!$E$23)*G185,0)</x:f>
        <x:v>0</x:v>
      </x:c>
      <x:c r="P185" s="119" t="n">
        <x:f>ROUNDDOWN((IF(A185&gt;='材料与任务'!$E$31,'材料与任务'!$E$32,IF(A185&gt;='材料与任务'!$E$25,'材料与任务'!$E$26,IF(A185&gt;='材料与任务'!$E$19,'材料与任务'!$E$20,IF(A185&gt;='材料与任务'!$E$13,'材料与任务'!$E$14,'材料与任务'!$E$8)))))*G185,0)</x:f>
        <x:v>6</x:v>
      </x:c>
      <x:c r="Q185" s="119" t="n">
        <x:f>ROUNDDOWN((IF(A185&gt;='材料与任务'!$E$31,'材料与任务'!$E$33,IF(A185&gt;='材料与任务'!$E$25,'材料与任务'!$E$27,IF(A185&gt;='材料与任务'!$E$19,'材料与任务'!$E$21,IF(A185&gt;='材料与任务'!$E$13,'材料与任务'!$E$15,'材料与任务'!$E$9)))))*G185,0)</x:f>
        <x:v>3</x:v>
      </x:c>
      <x:c r="R185" s="110" t="n">
        <x:f>'装备掉落'!$B$38</x:f>
        <x:v>0.6872058758851213</x:v>
      </x:c>
      <x:c r="S185" s="119" t="n">
        <x:f>MAX(IF(VLOOKUP(A185,'装备掉落'!$A$29:$H$34,2,TRUE)&gt;0,1,0),IF(VLOOKUP(A185,'装备掉落'!$A$29:$H$34,3,TRUE)&gt;0,2,0),IF(VLOOKUP(A185,'装备掉落'!$A$29:$H$34,4,TRUE)&gt;0,3,0),IF(VLOOKUP(A185,'装备掉落'!$A$29:$H$34,5,TRUE)&gt;0,4,0),IF(VLOOKUP(A185,'装备掉落'!$A$29:$H$34,6,TRUE)&gt;0,5,0),IF(VLOOKUP(A185,'装备掉落'!$A$29:$H$34,7,TRUE)&gt;0,6,0),IF(VLOOKUP(A185,'装备掉落'!$A$29:$H$34,8,TRUE)&gt;0,7,0))</x:f>
        <x:v>7</x:v>
      </x:c>
      <x:c r="T185" s="119" t="n">
        <x:f>MIN(7,S185+'经济参数'!$E$70)</x:f>
        <x:v>7</x:v>
      </x:c>
      <x:c r="U185" s="119" t="n">
        <x:f>MIN(7,S185+'经济参数'!$E$71)</x:f>
        <x:v>7</x:v>
      </x:c>
      <x:c r="V185" s="119" t="n">
        <x:f>IF(H185&gt;=('难度参数'!$E$52),1,0)+IF(H185&gt;=('难度参数'!$E$52+'难度参数'!$E$53),1,0)+IF(H185&gt;=('难度参数'!$E$52+'难度参数'!$E$53+'难度参数'!$E$54),1,0)+IF(H185&gt;=('难度参数'!$E$52+'难度参数'!$E$53+'难度参数'!$E$54+'难度参数'!$E$55),1,0)+IF(H185&gt;=('难度参数'!$E$52+'难度参数'!$E$53+'难度参数'!$E$54+'难度参数'!$E$55+'难度参数'!$E$56),1,0)+IF(H185&gt;=('难度参数'!$E$52+'难度参数'!$E$53+'难度参数'!$E$54+'难度参数'!$E$55+'难度参数'!$E$56+'难度参数'!$E$57),1,0)</x:f>
        <x:v>6</x:v>
      </x:c>
      <x:c r="W185" s="62" t="str">
        <x:f>IF(L185&gt;'难度参数'!$E$51,"仅出怪已超目标","还需实测")</x:f>
        <x:v>还需实测</x:v>
      </x:c>
      <x:c r="X185" s="119" t="n">
        <x:f>IF(1&gt;D185,0,MAX(2,MIN('难度参数'!$E$12,ROUND(('难度参数'!$E$18*POWER(A185,'难度参数'!$E$19)/D185*(0.85+0.3*(1-1)/MAX(1,D185-1))),0)+F185)))</x:f>
        <x:v>25</x:v>
      </x:c>
      <x:c r="Y185" s="119" t="n">
        <x:f>IF(1&gt;D185,0,ROUND(('难度参数'!$E$13*POWER(A185,'难度参数'!$E$20)*MIN('难度参数'!$E$23,1+MAX(0,A185-'难度参数'!$E$21)*'难度参数'!$E$22))*(36+1*7)/(36+7*(D185+1)/2)*E185,0))</x:f>
        <x:v>3799</x:v>
      </x:c>
      <x:c r="Z185" s="119" t="n">
        <x:f>IF(X185=0,0,(X185-IF(1=D185,1,0))*ROUND(Y185*VLOOKUP(INDEX('章节与怪物'!$E$31:$K$37,B185,1),'章节与怪物'!$A$41:$F$44,2,FALSE),0)+IF(1=D185,ROUND(Y185*'难度参数'!$E$28*'章节与怪物'!$E$17,0),0))</x:f>
        <x:v>94975</x:v>
      </x:c>
      <x:c r="AA185" s="119" t="n">
        <x:f>IF(X185=0,0,(X185-IF(1=D185,1,0))*VLOOKUP(INDEX('章节与怪物'!$E$31:$K$37,B185,1),'章节与怪物'!$A$41:$F$44,4,FALSE)+IF(1=D185,'难度参数'!$E$30,0))</x:f>
        <x:v>450</x:v>
      </x:c>
      <x:c r="AB185" s="119" t="n">
        <x:f>IF(2&gt;D185,0,MAX(2,MIN('难度参数'!$E$12,ROUND(('难度参数'!$E$18*POWER(A185,'难度参数'!$E$19)/D185*(0.85+0.3*(2-1)/MAX(1,D185-1))),0)+F185)))</x:f>
        <x:v>26</x:v>
      </x:c>
      <x:c r="AC185" s="119" t="n">
        <x:f>IF(2&gt;D185,0,ROUND(('难度参数'!$E$13*POWER(A185,'难度参数'!$E$20)*MIN('难度参数'!$E$23,1+MAX(0,A185-'难度参数'!$E$21)*'难度参数'!$E$22))*(36+2*7)/(36+7*(D185+1)/2)*E185,0))</x:f>
        <x:v>4418</x:v>
      </x:c>
      <x:c r="AD185" s="119" t="n">
        <x:f>IF(AB185=0,0,(AB185-IF(2=D185,1,0))*ROUND(AC185*VLOOKUP(INDEX('章节与怪物'!$E$31:$K$37,B185,2),'章节与怪物'!$A$41:$F$44,2,FALSE),0)+IF(2=D185,ROUND(AC185*'难度参数'!$E$28*'章节与怪物'!$E$17,0),0))</x:f>
        <x:v>114868</x:v>
      </x:c>
      <x:c r="AE185" s="119" t="n">
        <x:f>IF(AB185=0,0,(AB185-IF(2=D185,1,0))*VLOOKUP(INDEX('章节与怪物'!$E$31:$K$37,B185,2),'章节与怪物'!$A$41:$F$44,4,FALSE)+IF(2=D185,'难度参数'!$E$30,0))</x:f>
        <x:v>468</x:v>
      </x:c>
      <x:c r="AF185" s="119" t="n">
        <x:f>IF(3&gt;D185,0,MAX(2,MIN('难度参数'!$E$12,ROUND(('难度参数'!$E$18*POWER(A185,'难度参数'!$E$19)/D185*(0.85+0.3*(3-1)/MAX(1,D185-1))),0)+F185)))</x:f>
        <x:v>28</x:v>
      </x:c>
      <x:c r="AG185" s="119" t="n">
        <x:f>IF(3&gt;D185,0,ROUND(('难度参数'!$E$13*POWER(A185,'难度参数'!$E$20)*MIN('难度参数'!$E$23,1+MAX(0,A185-'难度参数'!$E$21)*'难度参数'!$E$22))*(36+3*7)/(36+7*(D185+1)/2)*E185,0))</x:f>
        <x:v>5036</x:v>
      </x:c>
      <x:c r="AH185" s="119" t="n">
        <x:f>IF(AF185=0,0,(AF185-IF(3=D185,1,0))*ROUND(AG185*VLOOKUP(INDEX('章节与怪物'!$E$31:$K$37,B185,3),'章节与怪物'!$A$41:$F$44,2,FALSE),0)+IF(3=D185,ROUND(AG185*'难度参数'!$E$28*'章节与怪物'!$E$17,0),0))</x:f>
        <x:v>101528</x:v>
      </x:c>
      <x:c r="AI185" s="119" t="n">
        <x:f>IF(AF185=0,0,(AF185-IF(3=D185,1,0))*VLOOKUP(INDEX('章节与怪物'!$E$31:$K$37,B185,3),'章节与怪物'!$A$41:$F$44,4,FALSE)+IF(3=D185,'难度参数'!$E$30,0))</x:f>
        <x:v>560</x:v>
      </x:c>
      <x:c r="AJ185" s="119" t="n">
        <x:f>IF(4&gt;D185,0,MAX(2,MIN('难度参数'!$E$12,ROUND(('难度参数'!$E$18*POWER(A185,'难度参数'!$E$19)/D185*(0.85+0.3*(4-1)/MAX(1,D185-1))),0)+F185)))</x:f>
        <x:v>29</x:v>
      </x:c>
      <x:c r="AK185" s="119" t="n">
        <x:f>IF(4&gt;D185,0,ROUND(('难度参数'!$E$13*POWER(A185,'难度参数'!$E$20)*MIN('难度参数'!$E$23,1+MAX(0,A185-'难度参数'!$E$21)*'难度参数'!$E$22))*(36+4*7)/(36+7*(D185+1)/2)*E185,0))</x:f>
        <x:v>5654</x:v>
      </x:c>
      <x:c r="AL185" s="119" t="n">
        <x:f>IF(AJ185=0,0,(AJ185-IF(4=D185,1,0))*ROUND(AK185*VLOOKUP(INDEX('章节与怪物'!$E$31:$K$37,B185,4),'章节与怪物'!$A$41:$F$44,2,FALSE),0)+IF(4=D185,ROUND(AK185*'难度参数'!$E$28*'章节与怪物'!$E$17,0),0))</x:f>
        <x:v>278748</x:v>
      </x:c>
      <x:c r="AM185" s="119" t="n">
        <x:f>IF(AJ185=0,0,(AJ185-IF(4=D185,1,0))*VLOOKUP(INDEX('章节与怪物'!$E$31:$K$37,B185,4),'章节与怪物'!$A$41:$F$44,4,FALSE)+IF(4=D185,'难度参数'!$E$30,0))</x:f>
        <x:v>812</x:v>
      </x:c>
      <x:c r="AN185" s="119" t="n">
        <x:f>IF(5&gt;D185,0,MAX(2,MIN('难度参数'!$E$12,ROUND(('难度参数'!$E$18*POWER(A185,'难度参数'!$E$19)/D185*(0.85+0.3*(5-1)/MAX(1,D185-1))),0)+F185)))</x:f>
        <x:v>30</x:v>
      </x:c>
      <x:c r="AO185" s="119" t="n">
        <x:f>IF(5&gt;D185,0,ROUND(('难度参数'!$E$13*POWER(A185,'难度参数'!$E$20)*MIN('难度参数'!$E$23,1+MAX(0,A185-'难度参数'!$E$21)*'难度参数'!$E$22))*(36+5*7)/(36+7*(D185+1)/2)*E185,0))</x:f>
        <x:v>6273</x:v>
      </x:c>
      <x:c r="AP185" s="119" t="n">
        <x:f>IF(AN185=0,0,(AN185-IF(5=D185,1,0))*ROUND(AO185*VLOOKUP(INDEX('章节与怪物'!$E$31:$K$37,B185,5),'章节与怪物'!$A$41:$F$44,2,FALSE),0)+IF(5=D185,ROUND(AO185*'难度参数'!$E$28*'章节与怪物'!$E$17,0),0))</x:f>
        <x:v>254070</x:v>
      </x:c>
      <x:c r="AQ185" s="119" t="n">
        <x:f>IF(AN185=0,0,(AN185-IF(5=D185,1,0))*VLOOKUP(INDEX('章节与怪物'!$E$31:$K$37,B185,5),'章节与怪物'!$A$41:$F$44,4,FALSE)+IF(5=D185,'难度参数'!$E$30,0))</x:f>
        <x:v>1020</x:v>
      </x:c>
      <x:c r="AR185" s="119" t="n">
        <x:f>IF(6&gt;D185,0,MAX(2,MIN('难度参数'!$E$12,ROUND(('难度参数'!$E$18*POWER(A185,'难度参数'!$E$19)/D185*(0.85+0.3*(6-1)/MAX(1,D185-1))),0)+F185)))</x:f>
        <x:v>32</x:v>
      </x:c>
      <x:c r="AS185" s="119" t="n">
        <x:f>IF(6&gt;D185,0,ROUND(('难度参数'!$E$13*POWER(A185,'难度参数'!$E$20)*MIN('难度参数'!$E$23,1+MAX(0,A185-'难度参数'!$E$21)*'难度参数'!$E$22))*(36+6*7)/(36+7*(D185+1)/2)*E185,0))</x:f>
        <x:v>6891</x:v>
      </x:c>
      <x:c r="AT185" s="119" t="n">
        <x:f>IF(AR185=0,0,(AR185-IF(6=D185,1,0))*ROUND(AS185*VLOOKUP(INDEX('章节与怪物'!$E$31:$K$37,B185,6),'章节与怪物'!$A$41:$F$44,2,FALSE),0)+IF(6=D185,ROUND(AS185*'难度参数'!$E$28*'章节与怪物'!$E$17,0),0))</x:f>
        <x:v>158784</x:v>
      </x:c>
      <x:c r="AU185" s="119" t="n">
        <x:f>IF(AR185=0,0,(AR185-IF(6=D185,1,0))*VLOOKUP(INDEX('章节与怪物'!$E$31:$K$37,B185,6),'章节与怪物'!$A$41:$F$44,4,FALSE)+IF(6=D185,'难度参数'!$E$30,0))</x:f>
        <x:v>640</x:v>
      </x:c>
      <x:c r="AV185" s="119" t="n">
        <x:f>IF(7&gt;D185,0,MAX(2,MIN('难度参数'!$E$12,ROUND(('难度参数'!$E$18*POWER(A185,'难度参数'!$E$19)/D185*(0.85+0.3*(7-1)/MAX(1,D185-1))),0)+F185)))</x:f>
        <x:v>33</x:v>
      </x:c>
      <x:c r="AW185" s="119" t="n">
        <x:f>IF(7&gt;D185,0,ROUND(('难度参数'!$E$13*POWER(A185,'难度参数'!$E$20)*MIN('难度参数'!$E$23,1+MAX(0,A185-'难度参数'!$E$21)*'难度参数'!$E$22))*(36+7*7)/(36+7*(D185+1)/2)*E185,0))</x:f>
        <x:v>7510</x:v>
      </x:c>
      <x:c r="AX185" s="119" t="n">
        <x:f>IF(AV185=0,0,(AV185-IF(7=D185,1,0))*ROUND(AW185*VLOOKUP(INDEX('章节与怪物'!$E$31:$K$37,B185,7),'章节与怪物'!$A$41:$F$44,2,FALSE),0)+IF(7=D185,ROUND(AW185*'难度参数'!$E$28*'章节与怪物'!$E$17,0),0))</x:f>
        <x:v>459612</x:v>
      </x:c>
      <x:c r="AY185" s="119" t="n">
        <x:f>IF(AV185=0,0,(AV185-IF(7=D185,1,0))*VLOOKUP(INDEX('章节与怪物'!$E$31:$K$37,B185,7),'章节与怪物'!$A$41:$F$44,4,FALSE)+IF(7=D185,'难度参数'!$E$30,0))</x:f>
        <x:v>1096</x:v>
      </x:c>
    </x:row>
    <x:row r="186" ht="23" customHeight="1">
      <x:c r="A186" s="119" t="n">
        <x:v>180</x:v>
      </x:c>
      <x:c r="B186" s="119" t="n">
        <x:f>MOD(INT((A186-1)/5),7)+1</x:f>
        <x:v>1</x:v>
      </x:c>
      <x:c r="C186" s="62" t="str">
        <x:f>INDEX('章节与怪物'!$B$31:$B$37,B186)</x:f>
        <x:v>冰雪荒原</x:v>
      </x:c>
      <x:c r="D186" s="119" t="n">
        <x:f>MIN('难度参数'!$E$8,MAX('难度参数'!$E$7,A186))</x:f>
        <x:v>7</x:v>
      </x:c>
      <x:c r="E186" s="106" t="n">
        <x:v>1</x:v>
      </x:c>
      <x:c r="F186" s="106" t="n">
        <x:v>0</x:v>
      </x:c>
      <x:c r="G186" s="106" t="n">
        <x:v>1</x:v>
      </x:c>
      <x:c r="H186" s="119" t="n">
        <x:f>SUM(X186,AB186,AF186,AJ186,AN186,AR186,AV186)</x:f>
        <x:v>203</x:v>
      </x:c>
      <x:c r="I186" s="119" t="n">
        <x:f>SUM(Z186,AD186,AH186,AL186,AP186,AT186,AX186)</x:f>
        <x:v>1468391</x:v>
      </x:c>
      <x:c r="J186" s="119" t="n">
        <x:f>ROUND(INDEX(X186:AY186,1,(D186-1)*4+2)*'难度参数'!$E$28*'章节与怪物'!$E$17,0)</x:f>
        <x:v>51272</x:v>
      </x:c>
      <x:c r="K186" s="119" t="n">
        <x:f>SUM(AA186,AE186,AI186,AM186,AQ186,AU186,AY186)</x:f>
        <x:v>5046</x:v>
      </x:c>
      <x:c r="L186" s="62" t="n">
        <x:f>H186*(ROUNDUP('难度参数'!$E$24/('难度参数'!$E$26*'难度参数'!$E$27),0)*'难度参数'!$E$26)/60</x:f>
        <x:v>2.7066666666666666</x:v>
      </x:c>
      <x:c r="M186" s="62" t="n">
        <x:f>L186+D186*('难度参数'!$E$49+'难度参数'!$E$50)/60</x:f>
        <x:v>3.873333333333333</x:v>
      </x:c>
      <x:c r="N186" s="119" t="n">
        <x:f>ROUNDDOWN(('经济参数'!$E$20+A186*'经济参数'!$E$21)*G186,0)</x:f>
        <x:v>3780</x:v>
      </x:c>
      <x:c r="O186" s="119" t="n">
        <x:f>ROUNDDOWN(MIN('经济参数'!$E$24,'经济参数'!$E$22+A186*'经济参数'!$E$23)*G186,0)</x:f>
        <x:v>0</x:v>
      </x:c>
      <x:c r="P186" s="119" t="n">
        <x:f>ROUNDDOWN((IF(A186&gt;='材料与任务'!$E$31,'材料与任务'!$E$32,IF(A186&gt;='材料与任务'!$E$25,'材料与任务'!$E$26,IF(A186&gt;='材料与任务'!$E$19,'材料与任务'!$E$20,IF(A186&gt;='材料与任务'!$E$13,'材料与任务'!$E$14,'材料与任务'!$E$8)))))*G186,0)</x:f>
        <x:v>6</x:v>
      </x:c>
      <x:c r="Q186" s="119" t="n">
        <x:f>ROUNDDOWN((IF(A186&gt;='材料与任务'!$E$31,'材料与任务'!$E$33,IF(A186&gt;='材料与任务'!$E$25,'材料与任务'!$E$27,IF(A186&gt;='材料与任务'!$E$19,'材料与任务'!$E$21,IF(A186&gt;='材料与任务'!$E$13,'材料与任务'!$E$15,'材料与任务'!$E$9)))))*G186,0)</x:f>
        <x:v>3</x:v>
      </x:c>
      <x:c r="R186" s="110" t="n">
        <x:f>'装备掉落'!$B$38</x:f>
        <x:v>0.6872058758851213</x:v>
      </x:c>
      <x:c r="S186" s="119" t="n">
        <x:f>MAX(IF(VLOOKUP(A186,'装备掉落'!$A$29:$H$34,2,TRUE)&gt;0,1,0),IF(VLOOKUP(A186,'装备掉落'!$A$29:$H$34,3,TRUE)&gt;0,2,0),IF(VLOOKUP(A186,'装备掉落'!$A$29:$H$34,4,TRUE)&gt;0,3,0),IF(VLOOKUP(A186,'装备掉落'!$A$29:$H$34,5,TRUE)&gt;0,4,0),IF(VLOOKUP(A186,'装备掉落'!$A$29:$H$34,6,TRUE)&gt;0,5,0),IF(VLOOKUP(A186,'装备掉落'!$A$29:$H$34,7,TRUE)&gt;0,6,0),IF(VLOOKUP(A186,'装备掉落'!$A$29:$H$34,8,TRUE)&gt;0,7,0))</x:f>
        <x:v>7</x:v>
      </x:c>
      <x:c r="T186" s="119" t="n">
        <x:f>MIN(7,S186+'经济参数'!$E$70)</x:f>
        <x:v>7</x:v>
      </x:c>
      <x:c r="U186" s="119" t="n">
        <x:f>MIN(7,S186+'经济参数'!$E$71)</x:f>
        <x:v>7</x:v>
      </x:c>
      <x:c r="V186" s="119" t="n">
        <x:f>IF(H186&gt;=('难度参数'!$E$52),1,0)+IF(H186&gt;=('难度参数'!$E$52+'难度参数'!$E$53),1,0)+IF(H186&gt;=('难度参数'!$E$52+'难度参数'!$E$53+'难度参数'!$E$54),1,0)+IF(H186&gt;=('难度参数'!$E$52+'难度参数'!$E$53+'难度参数'!$E$54+'难度参数'!$E$55),1,0)+IF(H186&gt;=('难度参数'!$E$52+'难度参数'!$E$53+'难度参数'!$E$54+'难度参数'!$E$55+'难度参数'!$E$56),1,0)+IF(H186&gt;=('难度参数'!$E$52+'难度参数'!$E$53+'难度参数'!$E$54+'难度参数'!$E$55+'难度参数'!$E$56+'难度参数'!$E$57),1,0)</x:f>
        <x:v>6</x:v>
      </x:c>
      <x:c r="W186" s="62" t="str">
        <x:f>IF(L186&gt;'难度参数'!$E$51,"仅出怪已超目标","还需实测")</x:f>
        <x:v>还需实测</x:v>
      </x:c>
      <x:c r="X186" s="119" t="n">
        <x:f>IF(1&gt;D186,0,MAX(2,MIN('难度参数'!$E$12,ROUND(('难度参数'!$E$18*POWER(A186,'难度参数'!$E$19)/D186*(0.85+0.3*(1-1)/MAX(1,D186-1))),0)+F186)))</x:f>
        <x:v>25</x:v>
      </x:c>
      <x:c r="Y186" s="119" t="n">
        <x:f>IF(1&gt;D186,0,ROUND(('难度参数'!$E$13*POWER(A186,'难度参数'!$E$20)*MIN('难度参数'!$E$23,1+MAX(0,A186-'难度参数'!$E$21)*'难度参数'!$E$22))*(36+1*7)/(36+7*(D186+1)/2)*E186,0))</x:f>
        <x:v>3814</x:v>
      </x:c>
      <x:c r="Z186" s="119" t="n">
        <x:f>IF(X186=0,0,(X186-IF(1=D186,1,0))*ROUND(Y186*VLOOKUP(INDEX('章节与怪物'!$E$31:$K$37,B186,1),'章节与怪物'!$A$41:$F$44,2,FALSE),0)+IF(1=D186,ROUND(Y186*'难度参数'!$E$28*'章节与怪物'!$E$17,0),0))</x:f>
        <x:v>95350</x:v>
      </x:c>
      <x:c r="AA186" s="119" t="n">
        <x:f>IF(X186=0,0,(X186-IF(1=D186,1,0))*VLOOKUP(INDEX('章节与怪物'!$E$31:$K$37,B186,1),'章节与怪物'!$A$41:$F$44,4,FALSE)+IF(1=D186,'难度参数'!$E$30,0))</x:f>
        <x:v>450</x:v>
      </x:c>
      <x:c r="AB186" s="119" t="n">
        <x:f>IF(2&gt;D186,0,MAX(2,MIN('难度参数'!$E$12,ROUND(('难度参数'!$E$18*POWER(A186,'难度参数'!$E$19)/D186*(0.85+0.3*(2-1)/MAX(1,D186-1))),0)+F186)))</x:f>
        <x:v>26</x:v>
      </x:c>
      <x:c r="AC186" s="119" t="n">
        <x:f>IF(2&gt;D186,0,ROUND(('难度参数'!$E$13*POWER(A186,'难度参数'!$E$20)*MIN('难度参数'!$E$23,1+MAX(0,A186-'难度参数'!$E$21)*'难度参数'!$E$22))*(36+2*7)/(36+7*(D186+1)/2)*E186,0))</x:f>
        <x:v>4435</x:v>
      </x:c>
      <x:c r="AD186" s="119" t="n">
        <x:f>IF(AB186=0,0,(AB186-IF(2=D186,1,0))*ROUND(AC186*VLOOKUP(INDEX('章节与怪物'!$E$31:$K$37,B186,2),'章节与怪物'!$A$41:$F$44,2,FALSE),0)+IF(2=D186,ROUND(AC186*'难度参数'!$E$28*'章节与怪物'!$E$17,0),0))</x:f>
        <x:v>115310</x:v>
      </x:c>
      <x:c r="AE186" s="119" t="n">
        <x:f>IF(AB186=0,0,(AB186-IF(2=D186,1,0))*VLOOKUP(INDEX('章节与怪物'!$E$31:$K$37,B186,2),'章节与怪物'!$A$41:$F$44,4,FALSE)+IF(2=D186,'难度参数'!$E$30,0))</x:f>
        <x:v>468</x:v>
      </x:c>
      <x:c r="AF186" s="119" t="n">
        <x:f>IF(3&gt;D186,0,MAX(2,MIN('难度参数'!$E$12,ROUND(('难度参数'!$E$18*POWER(A186,'难度参数'!$E$19)/D186*(0.85+0.3*(3-1)/MAX(1,D186-1))),0)+F186)))</x:f>
        <x:v>28</x:v>
      </x:c>
      <x:c r="AG186" s="119" t="n">
        <x:f>IF(3&gt;D186,0,ROUND(('难度参数'!$E$13*POWER(A186,'难度参数'!$E$20)*MIN('难度参数'!$E$23,1+MAX(0,A186-'难度参数'!$E$21)*'难度参数'!$E$22))*(36+3*7)/(36+7*(D186+1)/2)*E186,0))</x:f>
        <x:v>5056</x:v>
      </x:c>
      <x:c r="AH186" s="119" t="n">
        <x:f>IF(AF186=0,0,(AF186-IF(3=D186,1,0))*ROUND(AG186*VLOOKUP(INDEX('章节与怪物'!$E$31:$K$37,B186,3),'章节与怪物'!$A$41:$F$44,2,FALSE),0)+IF(3=D186,ROUND(AG186*'难度参数'!$E$28*'章节与怪物'!$E$17,0),0))</x:f>
        <x:v>101920</x:v>
      </x:c>
      <x:c r="AI186" s="119" t="n">
        <x:f>IF(AF186=0,0,(AF186-IF(3=D186,1,0))*VLOOKUP(INDEX('章节与怪物'!$E$31:$K$37,B186,3),'章节与怪物'!$A$41:$F$44,4,FALSE)+IF(3=D186,'难度参数'!$E$30,0))</x:f>
        <x:v>560</x:v>
      </x:c>
      <x:c r="AJ186" s="119" t="n">
        <x:f>IF(4&gt;D186,0,MAX(2,MIN('难度参数'!$E$12,ROUND(('难度参数'!$E$18*POWER(A186,'难度参数'!$E$19)/D186*(0.85+0.3*(4-1)/MAX(1,D186-1))),0)+F186)))</x:f>
        <x:v>29</x:v>
      </x:c>
      <x:c r="AK186" s="119" t="n">
        <x:f>IF(4&gt;D186,0,ROUND(('难度参数'!$E$13*POWER(A186,'难度参数'!$E$20)*MIN('难度参数'!$E$23,1+MAX(0,A186-'难度参数'!$E$21)*'难度参数'!$E$22))*(36+4*7)/(36+7*(D186+1)/2)*E186,0))</x:f>
        <x:v>5677</x:v>
      </x:c>
      <x:c r="AL186" s="119" t="n">
        <x:f>IF(AJ186=0,0,(AJ186-IF(4=D186,1,0))*ROUND(AK186*VLOOKUP(INDEX('章节与怪物'!$E$31:$K$37,B186,4),'章节与怪物'!$A$41:$F$44,2,FALSE),0)+IF(4=D186,ROUND(AK186*'难度参数'!$E$28*'章节与怪物'!$E$17,0),0))</x:f>
        <x:v>279879</x:v>
      </x:c>
      <x:c r="AM186" s="119" t="n">
        <x:f>IF(AJ186=0,0,(AJ186-IF(4=D186,1,0))*VLOOKUP(INDEX('章节与怪物'!$E$31:$K$37,B186,4),'章节与怪物'!$A$41:$F$44,4,FALSE)+IF(4=D186,'难度参数'!$E$30,0))</x:f>
        <x:v>812</x:v>
      </x:c>
      <x:c r="AN186" s="119" t="n">
        <x:f>IF(5&gt;D186,0,MAX(2,MIN('难度参数'!$E$12,ROUND(('难度参数'!$E$18*POWER(A186,'难度参数'!$E$19)/D186*(0.85+0.3*(5-1)/MAX(1,D186-1))),0)+F186)))</x:f>
        <x:v>30</x:v>
      </x:c>
      <x:c r="AO186" s="119" t="n">
        <x:f>IF(5&gt;D186,0,ROUND(('难度参数'!$E$13*POWER(A186,'难度参数'!$E$20)*MIN('难度参数'!$E$23,1+MAX(0,A186-'难度参数'!$E$21)*'难度参数'!$E$22))*(36+5*7)/(36+7*(D186+1)/2)*E186,0))</x:f>
        <x:v>6298</x:v>
      </x:c>
      <x:c r="AP186" s="119" t="n">
        <x:f>IF(AN186=0,0,(AN186-IF(5=D186,1,0))*ROUND(AO186*VLOOKUP(INDEX('章节与怪物'!$E$31:$K$37,B186,5),'章节与怪物'!$A$41:$F$44,2,FALSE),0)+IF(5=D186,ROUND(AO186*'难度参数'!$E$28*'章节与怪物'!$E$17,0),0))</x:f>
        <x:v>255060</x:v>
      </x:c>
      <x:c r="AQ186" s="119" t="n">
        <x:f>IF(AN186=0,0,(AN186-IF(5=D186,1,0))*VLOOKUP(INDEX('章节与怪物'!$E$31:$K$37,B186,5),'章节与怪物'!$A$41:$F$44,4,FALSE)+IF(5=D186,'难度参数'!$E$30,0))</x:f>
        <x:v>1020</x:v>
      </x:c>
      <x:c r="AR186" s="119" t="n">
        <x:f>IF(6&gt;D186,0,MAX(2,MIN('难度参数'!$E$12,ROUND(('难度参数'!$E$18*POWER(A186,'难度参数'!$E$19)/D186*(0.85+0.3*(6-1)/MAX(1,D186-1))),0)+F186)))</x:f>
        <x:v>32</x:v>
      </x:c>
      <x:c r="AS186" s="119" t="n">
        <x:f>IF(6&gt;D186,0,ROUND(('难度参数'!$E$13*POWER(A186,'难度参数'!$E$20)*MIN('难度参数'!$E$23,1+MAX(0,A186-'难度参数'!$E$21)*'难度参数'!$E$22))*(36+6*7)/(36+7*(D186+1)/2)*E186,0))</x:f>
        <x:v>6919</x:v>
      </x:c>
      <x:c r="AT186" s="119" t="n">
        <x:f>IF(AR186=0,0,(AR186-IF(6=D186,1,0))*ROUND(AS186*VLOOKUP(INDEX('章节与怪物'!$E$31:$K$37,B186,6),'章节与怪物'!$A$41:$F$44,2,FALSE),0)+IF(6=D186,ROUND(AS186*'难度参数'!$E$28*'章节与怪物'!$E$17,0),0))</x:f>
        <x:v>159424</x:v>
      </x:c>
      <x:c r="AU186" s="119" t="n">
        <x:f>IF(AR186=0,0,(AR186-IF(6=D186,1,0))*VLOOKUP(INDEX('章节与怪物'!$E$31:$K$37,B186,6),'章节与怪物'!$A$41:$F$44,4,FALSE)+IF(6=D186,'难度参数'!$E$30,0))</x:f>
        <x:v>640</x:v>
      </x:c>
      <x:c r="AV186" s="119" t="n">
        <x:f>IF(7&gt;D186,0,MAX(2,MIN('难度参数'!$E$12,ROUND(('难度参数'!$E$18*POWER(A186,'难度参数'!$E$19)/D186*(0.85+0.3*(7-1)/MAX(1,D186-1))),0)+F186)))</x:f>
        <x:v>33</x:v>
      </x:c>
      <x:c r="AW186" s="119" t="n">
        <x:f>IF(7&gt;D186,0,ROUND(('难度参数'!$E$13*POWER(A186,'难度参数'!$E$20)*MIN('难度参数'!$E$23,1+MAX(0,A186-'难度参数'!$E$21)*'难度参数'!$E$22))*(36+7*7)/(36+7*(D186+1)/2)*E186,0))</x:f>
        <x:v>7540</x:v>
      </x:c>
      <x:c r="AX186" s="119" t="n">
        <x:f>IF(AV186=0,0,(AV186-IF(7=D186,1,0))*ROUND(AW186*VLOOKUP(INDEX('章节与怪物'!$E$31:$K$37,B186,7),'章节与怪物'!$A$41:$F$44,2,FALSE),0)+IF(7=D186,ROUND(AW186*'难度参数'!$E$28*'章节与怪物'!$E$17,0),0))</x:f>
        <x:v>461448</x:v>
      </x:c>
      <x:c r="AY186" s="119" t="n">
        <x:f>IF(AV186=0,0,(AV186-IF(7=D186,1,0))*VLOOKUP(INDEX('章节与怪物'!$E$31:$K$37,B186,7),'章节与怪物'!$A$41:$F$44,4,FALSE)+IF(7=D186,'难度参数'!$E$30,0))</x:f>
        <x:v>1096</x:v>
      </x:c>
    </x:row>
    <x:row r="187" ht="23" customHeight="1">
      <x:c r="A187" s="119" t="n">
        <x:v>181</x:v>
      </x:c>
      <x:c r="B187" s="119" t="n">
        <x:f>MOD(INT((A187-1)/5),7)+1</x:f>
        <x:v>2</x:v>
      </x:c>
      <x:c r="C187" s="62" t="str">
        <x:f>INDEX('章节与怪物'!$B$31:$B$37,B187)</x:f>
        <x:v>黄沙要塞</x:v>
      </x:c>
      <x:c r="D187" s="119" t="n">
        <x:f>MIN('难度参数'!$E$8,MAX('难度参数'!$E$7,A187))</x:f>
        <x:v>7</x:v>
      </x:c>
      <x:c r="E187" s="106" t="n">
        <x:v>1</x:v>
      </x:c>
      <x:c r="F187" s="106" t="n">
        <x:v>0</x:v>
      </x:c>
      <x:c r="G187" s="106" t="n">
        <x:v>1</x:v>
      </x:c>
      <x:c r="H187" s="119" t="n">
        <x:f>SUM(X187,AB187,AF187,AJ187,AN187,AR187,AV187)</x:f>
        <x:v>204</x:v>
      </x:c>
      <x:c r="I187" s="119" t="n">
        <x:f>SUM(Z187,AD187,AH187,AL187,AP187,AT187,AX187)</x:f>
        <x:v>1601944</x:v>
      </x:c>
      <x:c r="J187" s="119" t="n">
        <x:f>ROUND(INDEX(X187:AY187,1,(D187-1)*4+2)*'难度参数'!$E$28*'章节与怪物'!$E$17,0)</x:f>
        <x:v>51476</x:v>
      </x:c>
      <x:c r="K187" s="119" t="n">
        <x:f>SUM(AA187,AE187,AI187,AM187,AQ187,AU187,AY187)</x:f>
        <x:v>5480</x:v>
      </x:c>
      <x:c r="L187" s="62" t="n">
        <x:f>H187*(ROUNDUP('难度参数'!$E$24/('难度参数'!$E$26*'难度参数'!$E$27),0)*'难度参数'!$E$26)/60</x:f>
        <x:v>2.72</x:v>
      </x:c>
      <x:c r="M187" s="62" t="n">
        <x:f>L187+D187*('难度参数'!$E$49+'难度参数'!$E$50)/60</x:f>
        <x:v>3.8866666666666667</x:v>
      </x:c>
      <x:c r="N187" s="119" t="n">
        <x:f>ROUNDDOWN(('经济参数'!$E$20+A187*'经济参数'!$E$21)*G187,0)</x:f>
        <x:v>3800</x:v>
      </x:c>
      <x:c r="O187" s="119" t="n">
        <x:f>ROUNDDOWN(MIN('经济参数'!$E$24,'经济参数'!$E$22+A187*'经济参数'!$E$23)*G187,0)</x:f>
        <x:v>0</x:v>
      </x:c>
      <x:c r="P187" s="119" t="n">
        <x:f>ROUNDDOWN((IF(A187&gt;='材料与任务'!$E$31,'材料与任务'!$E$32,IF(A187&gt;='材料与任务'!$E$25,'材料与任务'!$E$26,IF(A187&gt;='材料与任务'!$E$19,'材料与任务'!$E$20,IF(A187&gt;='材料与任务'!$E$13,'材料与任务'!$E$14,'材料与任务'!$E$8)))))*G187,0)</x:f>
        <x:v>6</x:v>
      </x:c>
      <x:c r="Q187" s="119" t="n">
        <x:f>ROUNDDOWN((IF(A187&gt;='材料与任务'!$E$31,'材料与任务'!$E$33,IF(A187&gt;='材料与任务'!$E$25,'材料与任务'!$E$27,IF(A187&gt;='材料与任务'!$E$19,'材料与任务'!$E$21,IF(A187&gt;='材料与任务'!$E$13,'材料与任务'!$E$15,'材料与任务'!$E$9)))))*G187,0)</x:f>
        <x:v>3</x:v>
      </x:c>
      <x:c r="R187" s="110" t="n">
        <x:f>'装备掉落'!$B$38</x:f>
        <x:v>0.6872058758851213</x:v>
      </x:c>
      <x:c r="S187" s="119" t="n">
        <x:f>MAX(IF(VLOOKUP(A187,'装备掉落'!$A$29:$H$34,2,TRUE)&gt;0,1,0),IF(VLOOKUP(A187,'装备掉落'!$A$29:$H$34,3,TRUE)&gt;0,2,0),IF(VLOOKUP(A187,'装备掉落'!$A$29:$H$34,4,TRUE)&gt;0,3,0),IF(VLOOKUP(A187,'装备掉落'!$A$29:$H$34,5,TRUE)&gt;0,4,0),IF(VLOOKUP(A187,'装备掉落'!$A$29:$H$34,6,TRUE)&gt;0,5,0),IF(VLOOKUP(A187,'装备掉落'!$A$29:$H$34,7,TRUE)&gt;0,6,0),IF(VLOOKUP(A187,'装备掉落'!$A$29:$H$34,8,TRUE)&gt;0,7,0))</x:f>
        <x:v>7</x:v>
      </x:c>
      <x:c r="T187" s="119" t="n">
        <x:f>MIN(7,S187+'经济参数'!$E$70)</x:f>
        <x:v>7</x:v>
      </x:c>
      <x:c r="U187" s="119" t="n">
        <x:f>MIN(7,S187+'经济参数'!$E$71)</x:f>
        <x:v>7</x:v>
      </x:c>
      <x:c r="V187" s="119" t="n">
        <x:f>IF(H187&gt;=('难度参数'!$E$52),1,0)+IF(H187&gt;=('难度参数'!$E$52+'难度参数'!$E$53),1,0)+IF(H187&gt;=('难度参数'!$E$52+'难度参数'!$E$53+'难度参数'!$E$54),1,0)+IF(H187&gt;=('难度参数'!$E$52+'难度参数'!$E$53+'难度参数'!$E$54+'难度参数'!$E$55),1,0)+IF(H187&gt;=('难度参数'!$E$52+'难度参数'!$E$53+'难度参数'!$E$54+'难度参数'!$E$55+'难度参数'!$E$56),1,0)+IF(H187&gt;=('难度参数'!$E$52+'难度参数'!$E$53+'难度参数'!$E$54+'难度参数'!$E$55+'难度参数'!$E$56+'难度参数'!$E$57),1,0)</x:f>
        <x:v>6</x:v>
      </x:c>
      <x:c r="W187" s="62" t="str">
        <x:f>IF(L187&gt;'难度参数'!$E$51,"仅出怪已超目标","还需实测")</x:f>
        <x:v>还需实测</x:v>
      </x:c>
      <x:c r="X187" s="119" t="n">
        <x:f>IF(1&gt;D187,0,MAX(2,MIN('难度参数'!$E$12,ROUND(('难度参数'!$E$18*POWER(A187,'难度参数'!$E$19)/D187*(0.85+0.3*(1-1)/MAX(1,D187-1))),0)+F187)))</x:f>
        <x:v>25</x:v>
      </x:c>
      <x:c r="Y187" s="119" t="n">
        <x:f>IF(1&gt;D187,0,ROUND(('难度参数'!$E$13*POWER(A187,'难度参数'!$E$20)*MIN('难度参数'!$E$23,1+MAX(0,A187-'难度参数'!$E$21)*'难度参数'!$E$22))*(36+1*7)/(36+7*(D187+1)/2)*E187,0))</x:f>
        <x:v>3830</x:v>
      </x:c>
      <x:c r="Z187" s="119" t="n">
        <x:f>IF(X187=0,0,(X187-IF(1=D187,1,0))*ROUND(Y187*VLOOKUP(INDEX('章节与怪物'!$E$31:$K$37,B187,1),'章节与怪物'!$A$41:$F$44,2,FALSE),0)+IF(1=D187,ROUND(Y187*'难度参数'!$E$28*'章节与怪物'!$E$17,0),0))</x:f>
        <x:v>68950</x:v>
      </x:c>
      <x:c r="AA187" s="119" t="n">
        <x:f>IF(X187=0,0,(X187-IF(1=D187,1,0))*VLOOKUP(INDEX('章节与怪物'!$E$31:$K$37,B187,1),'章节与怪物'!$A$41:$F$44,4,FALSE)+IF(1=D187,'难度参数'!$E$30,0))</x:f>
        <x:v>500</x:v>
      </x:c>
      <x:c r="AB187" s="119" t="n">
        <x:f>IF(2&gt;D187,0,MAX(2,MIN('难度参数'!$E$12,ROUND(('难度参数'!$E$18*POWER(A187,'难度参数'!$E$19)/D187*(0.85+0.3*(2-1)/MAX(1,D187-1))),0)+F187)))</x:f>
        <x:v>26</x:v>
      </x:c>
      <x:c r="AC187" s="119" t="n">
        <x:f>IF(2&gt;D187,0,ROUND(('难度参数'!$E$13*POWER(A187,'难度参数'!$E$20)*MIN('难度参数'!$E$23,1+MAX(0,A187-'难度参数'!$E$21)*'难度参数'!$E$22))*(36+2*7)/(36+7*(D187+1)/2)*E187,0))</x:f>
        <x:v>4453</x:v>
      </x:c>
      <x:c r="AD187" s="119" t="n">
        <x:f>IF(AB187=0,0,(AB187-IF(2=D187,1,0))*ROUND(AC187*VLOOKUP(INDEX('章节与怪物'!$E$31:$K$37,B187,2),'章节与怪物'!$A$41:$F$44,2,FALSE),0)+IF(2=D187,ROUND(AC187*'难度参数'!$E$28*'章节与怪物'!$E$17,0),0))</x:f>
        <x:v>115778</x:v>
      </x:c>
      <x:c r="AE187" s="119" t="n">
        <x:f>IF(AB187=0,0,(AB187-IF(2=D187,1,0))*VLOOKUP(INDEX('章节与怪物'!$E$31:$K$37,B187,2),'章节与怪物'!$A$41:$F$44,4,FALSE)+IF(2=D187,'难度参数'!$E$30,0))</x:f>
        <x:v>468</x:v>
      </x:c>
      <x:c r="AF187" s="119" t="n">
        <x:f>IF(3&gt;D187,0,MAX(2,MIN('难度参数'!$E$12,ROUND(('难度参数'!$E$18*POWER(A187,'难度参数'!$E$19)/D187*(0.85+0.3*(3-1)/MAX(1,D187-1))),0)+F187)))</x:f>
        <x:v>28</x:v>
      </x:c>
      <x:c r="AG187" s="119" t="n">
        <x:f>IF(3&gt;D187,0,ROUND(('难度参数'!$E$13*POWER(A187,'难度参数'!$E$20)*MIN('难度参数'!$E$23,1+MAX(0,A187-'难度参数'!$E$21)*'难度参数'!$E$22))*(36+3*7)/(36+7*(D187+1)/2)*E187,0))</x:f>
        <x:v>5076</x:v>
      </x:c>
      <x:c r="AH187" s="119" t="n">
        <x:f>IF(AF187=0,0,(AF187-IF(3=D187,1,0))*ROUND(AG187*VLOOKUP(INDEX('章节与怪物'!$E$31:$K$37,B187,3),'章节与怪物'!$A$41:$F$44,2,FALSE),0)+IF(3=D187,ROUND(AG187*'难度参数'!$E$28*'章节与怪物'!$E$17,0),0))</x:f>
        <x:v>241612</x:v>
      </x:c>
      <x:c r="AI187" s="119" t="n">
        <x:f>IF(AF187=0,0,(AF187-IF(3=D187,1,0))*VLOOKUP(INDEX('章节与怪物'!$E$31:$K$37,B187,3),'章节与怪物'!$A$41:$F$44,4,FALSE)+IF(3=D187,'难度参数'!$E$30,0))</x:f>
        <x:v>784</x:v>
      </x:c>
      <x:c r="AJ187" s="119" t="n">
        <x:f>IF(4&gt;D187,0,MAX(2,MIN('难度参数'!$E$12,ROUND(('难度参数'!$E$18*POWER(A187,'难度参数'!$E$19)/D187*(0.85+0.3*(4-1)/MAX(1,D187-1))),0)+F187)))</x:f>
        <x:v>29</x:v>
      </x:c>
      <x:c r="AK187" s="119" t="n">
        <x:f>IF(4&gt;D187,0,ROUND(('难度参数'!$E$13*POWER(A187,'难度参数'!$E$20)*MIN('难度参数'!$E$23,1+MAX(0,A187-'难度参数'!$E$21)*'难度参数'!$E$22))*(36+4*7)/(36+7*(D187+1)/2)*E187,0))</x:f>
        <x:v>5700</x:v>
      </x:c>
      <x:c r="AL187" s="119" t="n">
        <x:f>IF(AJ187=0,0,(AJ187-IF(4=D187,1,0))*ROUND(AK187*VLOOKUP(INDEX('章节与怪物'!$E$31:$K$37,B187,4),'章节与怪物'!$A$41:$F$44,2,FALSE),0)+IF(4=D187,ROUND(AK187*'难度参数'!$E$28*'章节与怪物'!$E$17,0),0))</x:f>
        <x:v>223155</x:v>
      </x:c>
      <x:c r="AM187" s="119" t="n">
        <x:f>IF(AJ187=0,0,(AJ187-IF(4=D187,1,0))*VLOOKUP(INDEX('章节与怪物'!$E$31:$K$37,B187,4),'章节与怪物'!$A$41:$F$44,4,FALSE)+IF(4=D187,'难度参数'!$E$30,0))</x:f>
        <x:v>986</x:v>
      </x:c>
      <x:c r="AN187" s="119" t="n">
        <x:f>IF(5&gt;D187,0,MAX(2,MIN('难度参数'!$E$12,ROUND(('难度参数'!$E$18*POWER(A187,'难度参数'!$E$19)/D187*(0.85+0.3*(5-1)/MAX(1,D187-1))),0)+F187)))</x:f>
        <x:v>31</x:v>
      </x:c>
      <x:c r="AO187" s="119" t="n">
        <x:f>IF(5&gt;D187,0,ROUND(('难度参数'!$E$13*POWER(A187,'难度参数'!$E$20)*MIN('难度参数'!$E$23,1+MAX(0,A187-'难度参数'!$E$21)*'难度参数'!$E$22))*(36+5*7)/(36+7*(D187+1)/2)*E187,0))</x:f>
        <x:v>6323</x:v>
      </x:c>
      <x:c r="AP187" s="119" t="n">
        <x:f>IF(AN187=0,0,(AN187-IF(5=D187,1,0))*ROUND(AO187*VLOOKUP(INDEX('章节与怪物'!$E$31:$K$37,B187,5),'章节与怪物'!$A$41:$F$44,2,FALSE),0)+IF(5=D187,ROUND(AO187*'难度参数'!$E$28*'章节与怪物'!$E$17,0),0))</x:f>
        <x:v>196013</x:v>
      </x:c>
      <x:c r="AQ187" s="119" t="n">
        <x:f>IF(AN187=0,0,(AN187-IF(5=D187,1,0))*VLOOKUP(INDEX('章节与怪物'!$E$31:$K$37,B187,5),'章节与怪物'!$A$41:$F$44,4,FALSE)+IF(5=D187,'难度参数'!$E$30,0))</x:f>
        <x:v>558</x:v>
      </x:c>
      <x:c r="AR187" s="119" t="n">
        <x:f>IF(6&gt;D187,0,MAX(2,MIN('难度参数'!$E$12,ROUND(('难度参数'!$E$18*POWER(A187,'难度参数'!$E$19)/D187*(0.85+0.3*(6-1)/MAX(1,D187-1))),0)+F187)))</x:f>
        <x:v>32</x:v>
      </x:c>
      <x:c r="AS187" s="119" t="n">
        <x:f>IF(6&gt;D187,0,ROUND(('难度参数'!$E$13*POWER(A187,'难度参数'!$E$20)*MIN('难度参数'!$E$23,1+MAX(0,A187-'难度参数'!$E$21)*'难度参数'!$E$22))*(36+6*7)/(36+7*(D187+1)/2)*E187,0))</x:f>
        <x:v>6947</x:v>
      </x:c>
      <x:c r="AT187" s="119" t="n">
        <x:f>IF(AR187=0,0,(AR187-IF(6=D187,1,0))*ROUND(AS187*VLOOKUP(INDEX('章节与怪物'!$E$31:$K$37,B187,6),'章节与怪物'!$A$41:$F$44,2,FALSE),0)+IF(6=D187,ROUND(AS187*'难度参数'!$E$28*'章节与怪物'!$E$17,0),0))</x:f>
        <x:v>377920</x:v>
      </x:c>
      <x:c r="AU187" s="119" t="n">
        <x:f>IF(AR187=0,0,(AR187-IF(6=D187,1,0))*VLOOKUP(INDEX('章节与怪物'!$E$31:$K$37,B187,6),'章节与怪物'!$A$41:$F$44,4,FALSE)+IF(6=D187,'难度参数'!$E$30,0))</x:f>
        <x:v>896</x:v>
      </x:c>
      <x:c r="AV187" s="119" t="n">
        <x:f>IF(7&gt;D187,0,MAX(2,MIN('难度参数'!$E$12,ROUND(('难度参数'!$E$18*POWER(A187,'难度参数'!$E$19)/D187*(0.85+0.3*(7-1)/MAX(1,D187-1))),0)+F187)))</x:f>
        <x:v>33</x:v>
      </x:c>
      <x:c r="AW187" s="119" t="n">
        <x:f>IF(7&gt;D187,0,ROUND(('难度参数'!$E$13*POWER(A187,'难度参数'!$E$20)*MIN('难度参数'!$E$23,1+MAX(0,A187-'难度参数'!$E$21)*'难度参数'!$E$22))*(36+7*7)/(36+7*(D187+1)/2)*E187,0))</x:f>
        <x:v>7570</x:v>
      </x:c>
      <x:c r="AX187" s="119" t="n">
        <x:f>IF(AV187=0,0,(AV187-IF(7=D187,1,0))*ROUND(AW187*VLOOKUP(INDEX('章节与怪物'!$E$31:$K$37,B187,7),'章节与怪物'!$A$41:$F$44,2,FALSE),0)+IF(7=D187,ROUND(AW187*'难度参数'!$E$28*'章节与怪物'!$E$17,0),0))</x:f>
        <x:v>378516</x:v>
      </x:c>
      <x:c r="AY187" s="119" t="n">
        <x:f>IF(AV187=0,0,(AV187-IF(7=D187,1,0))*VLOOKUP(INDEX('章节与怪物'!$E$31:$K$37,B187,7),'章节与怪物'!$A$41:$F$44,4,FALSE)+IF(7=D187,'难度参数'!$E$30,0))</x:f>
        <x:v>1288</x:v>
      </x:c>
    </x:row>
    <x:row r="188" ht="23" customHeight="1">
      <x:c r="A188" s="119" t="n">
        <x:v>182</x:v>
      </x:c>
      <x:c r="B188" s="119" t="n">
        <x:f>MOD(INT((A188-1)/5),7)+1</x:f>
        <x:v>2</x:v>
      </x:c>
      <x:c r="C188" s="62" t="str">
        <x:f>INDEX('章节与怪物'!$B$31:$B$37,B188)</x:f>
        <x:v>黄沙要塞</x:v>
      </x:c>
      <x:c r="D188" s="119" t="n">
        <x:f>MIN('难度参数'!$E$8,MAX('难度参数'!$E$7,A188))</x:f>
        <x:v>7</x:v>
      </x:c>
      <x:c r="E188" s="106" t="n">
        <x:v>1</x:v>
      </x:c>
      <x:c r="F188" s="106" t="n">
        <x:v>0</x:v>
      </x:c>
      <x:c r="G188" s="106" t="n">
        <x:v>1</x:v>
      </x:c>
      <x:c r="H188" s="119" t="n">
        <x:f>SUM(X188,AB188,AF188,AJ188,AN188,AR188,AV188)</x:f>
        <x:v>205</x:v>
      </x:c>
      <x:c r="I188" s="119" t="n">
        <x:f>SUM(Z188,AD188,AH188,AL188,AP188,AT188,AX188)</x:f>
        <x:v>1618531</x:v>
      </x:c>
      <x:c r="J188" s="119" t="n">
        <x:f>ROUND(INDEX(X188:AY188,1,(D188-1)*4+2)*'难度参数'!$E$28*'章节与怪物'!$E$17,0)</x:f>
        <x:v>51680</x:v>
      </x:c>
      <x:c r="K188" s="119" t="n">
        <x:f>SUM(AA188,AE188,AI188,AM188,AQ188,AU188,AY188)</x:f>
        <x:v>5514</x:v>
      </x:c>
      <x:c r="L188" s="62" t="n">
        <x:f>H188*(ROUNDUP('难度参数'!$E$24/('难度参数'!$E$26*'难度参数'!$E$27),0)*'难度参数'!$E$26)/60</x:f>
        <x:v>2.7333333333333334</x:v>
      </x:c>
      <x:c r="M188" s="62" t="n">
        <x:f>L188+D188*('难度参数'!$E$49+'难度参数'!$E$50)/60</x:f>
        <x:v>3.9000000000000004</x:v>
      </x:c>
      <x:c r="N188" s="119" t="n">
        <x:f>ROUNDDOWN(('经济参数'!$E$20+A188*'经济参数'!$E$21)*G188,0)</x:f>
        <x:v>3820</x:v>
      </x:c>
      <x:c r="O188" s="119" t="n">
        <x:f>ROUNDDOWN(MIN('经济参数'!$E$24,'经济参数'!$E$22+A188*'经济参数'!$E$23)*G188,0)</x:f>
        <x:v>0</x:v>
      </x:c>
      <x:c r="P188" s="119" t="n">
        <x:f>ROUNDDOWN((IF(A188&gt;='材料与任务'!$E$31,'材料与任务'!$E$32,IF(A188&gt;='材料与任务'!$E$25,'材料与任务'!$E$26,IF(A188&gt;='材料与任务'!$E$19,'材料与任务'!$E$20,IF(A188&gt;='材料与任务'!$E$13,'材料与任务'!$E$14,'材料与任务'!$E$8)))))*G188,0)</x:f>
        <x:v>6</x:v>
      </x:c>
      <x:c r="Q188" s="119" t="n">
        <x:f>ROUNDDOWN((IF(A188&gt;='材料与任务'!$E$31,'材料与任务'!$E$33,IF(A188&gt;='材料与任务'!$E$25,'材料与任务'!$E$27,IF(A188&gt;='材料与任务'!$E$19,'材料与任务'!$E$21,IF(A188&gt;='材料与任务'!$E$13,'材料与任务'!$E$15,'材料与任务'!$E$9)))))*G188,0)</x:f>
        <x:v>3</x:v>
      </x:c>
      <x:c r="R188" s="110" t="n">
        <x:f>'装备掉落'!$B$38</x:f>
        <x:v>0.6872058758851213</x:v>
      </x:c>
      <x:c r="S188" s="119" t="n">
        <x:f>MAX(IF(VLOOKUP(A188,'装备掉落'!$A$29:$H$34,2,TRUE)&gt;0,1,0),IF(VLOOKUP(A188,'装备掉落'!$A$29:$H$34,3,TRUE)&gt;0,2,0),IF(VLOOKUP(A188,'装备掉落'!$A$29:$H$34,4,TRUE)&gt;0,3,0),IF(VLOOKUP(A188,'装备掉落'!$A$29:$H$34,5,TRUE)&gt;0,4,0),IF(VLOOKUP(A188,'装备掉落'!$A$29:$H$34,6,TRUE)&gt;0,5,0),IF(VLOOKUP(A188,'装备掉落'!$A$29:$H$34,7,TRUE)&gt;0,6,0),IF(VLOOKUP(A188,'装备掉落'!$A$29:$H$34,8,TRUE)&gt;0,7,0))</x:f>
        <x:v>7</x:v>
      </x:c>
      <x:c r="T188" s="119" t="n">
        <x:f>MIN(7,S188+'经济参数'!$E$70)</x:f>
        <x:v>7</x:v>
      </x:c>
      <x:c r="U188" s="119" t="n">
        <x:f>MIN(7,S188+'经济参数'!$E$71)</x:f>
        <x:v>7</x:v>
      </x:c>
      <x:c r="V188" s="119" t="n">
        <x:f>IF(H188&gt;=('难度参数'!$E$52),1,0)+IF(H188&gt;=('难度参数'!$E$52+'难度参数'!$E$53),1,0)+IF(H188&gt;=('难度参数'!$E$52+'难度参数'!$E$53+'难度参数'!$E$54),1,0)+IF(H188&gt;=('难度参数'!$E$52+'难度参数'!$E$53+'难度参数'!$E$54+'难度参数'!$E$55),1,0)+IF(H188&gt;=('难度参数'!$E$52+'难度参数'!$E$53+'难度参数'!$E$54+'难度参数'!$E$55+'难度参数'!$E$56),1,0)+IF(H188&gt;=('难度参数'!$E$52+'难度参数'!$E$53+'难度参数'!$E$54+'难度参数'!$E$55+'难度参数'!$E$56+'难度参数'!$E$57),1,0)</x:f>
        <x:v>6</x:v>
      </x:c>
      <x:c r="W188" s="62" t="str">
        <x:f>IF(L188&gt;'难度参数'!$E$51,"仅出怪已超目标","还需实测")</x:f>
        <x:v>还需实测</x:v>
      </x:c>
      <x:c r="X188" s="119" t="n">
        <x:f>IF(1&gt;D188,0,MAX(2,MIN('难度参数'!$E$12,ROUND(('难度参数'!$E$18*POWER(A188,'难度参数'!$E$19)/D188*(0.85+0.3*(1-1)/MAX(1,D188-1))),0)+F188)))</x:f>
        <x:v>25</x:v>
      </x:c>
      <x:c r="Y188" s="119" t="n">
        <x:f>IF(1&gt;D188,0,ROUND(('难度参数'!$E$13*POWER(A188,'难度参数'!$E$20)*MIN('难度参数'!$E$23,1+MAX(0,A188-'难度参数'!$E$21)*'难度参数'!$E$22))*(36+1*7)/(36+7*(D188+1)/2)*E188,0))</x:f>
        <x:v>3845</x:v>
      </x:c>
      <x:c r="Z188" s="119" t="n">
        <x:f>IF(X188=0,0,(X188-IF(1=D188,1,0))*ROUND(Y188*VLOOKUP(INDEX('章节与怪物'!$E$31:$K$37,B188,1),'章节与怪物'!$A$41:$F$44,2,FALSE),0)+IF(1=D188,ROUND(Y188*'难度参数'!$E$28*'章节与怪物'!$E$17,0),0))</x:f>
        <x:v>69200</x:v>
      </x:c>
      <x:c r="AA188" s="119" t="n">
        <x:f>IF(X188=0,0,(X188-IF(1=D188,1,0))*VLOOKUP(INDEX('章节与怪物'!$E$31:$K$37,B188,1),'章节与怪物'!$A$41:$F$44,4,FALSE)+IF(1=D188,'难度参数'!$E$30,0))</x:f>
        <x:v>500</x:v>
      </x:c>
      <x:c r="AB188" s="119" t="n">
        <x:f>IF(2&gt;D188,0,MAX(2,MIN('难度参数'!$E$12,ROUND(('难度参数'!$E$18*POWER(A188,'难度参数'!$E$19)/D188*(0.85+0.3*(2-1)/MAX(1,D188-1))),0)+F188)))</x:f>
        <x:v>26</x:v>
      </x:c>
      <x:c r="AC188" s="119" t="n">
        <x:f>IF(2&gt;D188,0,ROUND(('难度参数'!$E$13*POWER(A188,'难度参数'!$E$20)*MIN('难度参数'!$E$23,1+MAX(0,A188-'难度参数'!$E$21)*'难度参数'!$E$22))*(36+2*7)/(36+7*(D188+1)/2)*E188,0))</x:f>
        <x:v>4471</x:v>
      </x:c>
      <x:c r="AD188" s="119" t="n">
        <x:f>IF(AB188=0,0,(AB188-IF(2=D188,1,0))*ROUND(AC188*VLOOKUP(INDEX('章节与怪物'!$E$31:$K$37,B188,2),'章节与怪物'!$A$41:$F$44,2,FALSE),0)+IF(2=D188,ROUND(AC188*'难度参数'!$E$28*'章节与怪物'!$E$17,0),0))</x:f>
        <x:v>116246</x:v>
      </x:c>
      <x:c r="AE188" s="119" t="n">
        <x:f>IF(AB188=0,0,(AB188-IF(2=D188,1,0))*VLOOKUP(INDEX('章节与怪物'!$E$31:$K$37,B188,2),'章节与怪物'!$A$41:$F$44,4,FALSE)+IF(2=D188,'难度参数'!$E$30,0))</x:f>
        <x:v>468</x:v>
      </x:c>
      <x:c r="AF188" s="119" t="n">
        <x:f>IF(3&gt;D188,0,MAX(2,MIN('难度参数'!$E$12,ROUND(('难度参数'!$E$18*POWER(A188,'难度参数'!$E$19)/D188*(0.85+0.3*(3-1)/MAX(1,D188-1))),0)+F188)))</x:f>
        <x:v>28</x:v>
      </x:c>
      <x:c r="AG188" s="119" t="n">
        <x:f>IF(3&gt;D188,0,ROUND(('难度参数'!$E$13*POWER(A188,'难度参数'!$E$20)*MIN('难度参数'!$E$23,1+MAX(0,A188-'难度参数'!$E$21)*'难度参数'!$E$22))*(36+3*7)/(36+7*(D188+1)/2)*E188,0))</x:f>
        <x:v>5097</x:v>
      </x:c>
      <x:c r="AH188" s="119" t="n">
        <x:f>IF(AF188=0,0,(AF188-IF(3=D188,1,0))*ROUND(AG188*VLOOKUP(INDEX('章节与怪物'!$E$31:$K$37,B188,3),'章节与怪物'!$A$41:$F$44,2,FALSE),0)+IF(3=D188,ROUND(AG188*'难度参数'!$E$28*'章节与怪物'!$E$17,0),0))</x:f>
        <x:v>242620</x:v>
      </x:c>
      <x:c r="AI188" s="119" t="n">
        <x:f>IF(AF188=0,0,(AF188-IF(3=D188,1,0))*VLOOKUP(INDEX('章节与怪物'!$E$31:$K$37,B188,3),'章节与怪物'!$A$41:$F$44,4,FALSE)+IF(3=D188,'难度参数'!$E$30,0))</x:f>
        <x:v>784</x:v>
      </x:c>
      <x:c r="AJ188" s="119" t="n">
        <x:f>IF(4&gt;D188,0,MAX(2,MIN('难度参数'!$E$12,ROUND(('难度参数'!$E$18*POWER(A188,'难度参数'!$E$19)/D188*(0.85+0.3*(4-1)/MAX(1,D188-1))),0)+F188)))</x:f>
        <x:v>29</x:v>
      </x:c>
      <x:c r="AK188" s="119" t="n">
        <x:f>IF(4&gt;D188,0,ROUND(('难度参数'!$E$13*POWER(A188,'难度参数'!$E$20)*MIN('难度参数'!$E$23,1+MAX(0,A188-'难度参数'!$E$21)*'难度参数'!$E$22))*(36+4*7)/(36+7*(D188+1)/2)*E188,0))</x:f>
        <x:v>5722</x:v>
      </x:c>
      <x:c r="AL188" s="119" t="n">
        <x:f>IF(AJ188=0,0,(AJ188-IF(4=D188,1,0))*ROUND(AK188*VLOOKUP(INDEX('章节与怪物'!$E$31:$K$37,B188,4),'章节与怪物'!$A$41:$F$44,2,FALSE),0)+IF(4=D188,ROUND(AK188*'难度参数'!$E$28*'章节与怪物'!$E$17,0),0))</x:f>
        <x:v>224025</x:v>
      </x:c>
      <x:c r="AM188" s="119" t="n">
        <x:f>IF(AJ188=0,0,(AJ188-IF(4=D188,1,0))*VLOOKUP(INDEX('章节与怪物'!$E$31:$K$37,B188,4),'章节与怪物'!$A$41:$F$44,4,FALSE)+IF(4=D188,'难度参数'!$E$30,0))</x:f>
        <x:v>986</x:v>
      </x:c>
      <x:c r="AN188" s="119" t="n">
        <x:f>IF(5&gt;D188,0,MAX(2,MIN('难度参数'!$E$12,ROUND(('难度参数'!$E$18*POWER(A188,'难度参数'!$E$19)/D188*(0.85+0.3*(5-1)/MAX(1,D188-1))),0)+F188)))</x:f>
        <x:v>31</x:v>
      </x:c>
      <x:c r="AO188" s="119" t="n">
        <x:f>IF(5&gt;D188,0,ROUND(('难度参数'!$E$13*POWER(A188,'难度参数'!$E$20)*MIN('难度参数'!$E$23,1+MAX(0,A188-'难度参数'!$E$21)*'难度参数'!$E$22))*(36+5*7)/(36+7*(D188+1)/2)*E188,0))</x:f>
        <x:v>6348</x:v>
      </x:c>
      <x:c r="AP188" s="119" t="n">
        <x:f>IF(AN188=0,0,(AN188-IF(5=D188,1,0))*ROUND(AO188*VLOOKUP(INDEX('章节与怪物'!$E$31:$K$37,B188,5),'章节与怪物'!$A$41:$F$44,2,FALSE),0)+IF(5=D188,ROUND(AO188*'难度参数'!$E$28*'章节与怪物'!$E$17,0),0))</x:f>
        <x:v>196788</x:v>
      </x:c>
      <x:c r="AQ188" s="119" t="n">
        <x:f>IF(AN188=0,0,(AN188-IF(5=D188,1,0))*VLOOKUP(INDEX('章节与怪物'!$E$31:$K$37,B188,5),'章节与怪物'!$A$41:$F$44,4,FALSE)+IF(5=D188,'难度参数'!$E$30,0))</x:f>
        <x:v>558</x:v>
      </x:c>
      <x:c r="AR188" s="119" t="n">
        <x:f>IF(6&gt;D188,0,MAX(2,MIN('难度参数'!$E$12,ROUND(('难度参数'!$E$18*POWER(A188,'难度参数'!$E$19)/D188*(0.85+0.3*(6-1)/MAX(1,D188-1))),0)+F188)))</x:f>
        <x:v>32</x:v>
      </x:c>
      <x:c r="AS188" s="119" t="n">
        <x:f>IF(6&gt;D188,0,ROUND(('难度参数'!$E$13*POWER(A188,'难度参数'!$E$20)*MIN('难度参数'!$E$23,1+MAX(0,A188-'难度参数'!$E$21)*'难度参数'!$E$22))*(36+6*7)/(36+7*(D188+1)/2)*E188,0))</x:f>
        <x:v>6974</x:v>
      </x:c>
      <x:c r="AT188" s="119" t="n">
        <x:f>IF(AR188=0,0,(AR188-IF(6=D188,1,0))*ROUND(AS188*VLOOKUP(INDEX('章节与怪物'!$E$31:$K$37,B188,6),'章节与怪物'!$A$41:$F$44,2,FALSE),0)+IF(6=D188,ROUND(AS188*'难度参数'!$E$28*'章节与怪物'!$E$17,0),0))</x:f>
        <x:v>379392</x:v>
      </x:c>
      <x:c r="AU188" s="119" t="n">
        <x:f>IF(AR188=0,0,(AR188-IF(6=D188,1,0))*VLOOKUP(INDEX('章节与怪物'!$E$31:$K$37,B188,6),'章节与怪物'!$A$41:$F$44,4,FALSE)+IF(6=D188,'难度参数'!$E$30,0))</x:f>
        <x:v>896</x:v>
      </x:c>
      <x:c r="AV188" s="119" t="n">
        <x:f>IF(7&gt;D188,0,MAX(2,MIN('难度参数'!$E$12,ROUND(('难度参数'!$E$18*POWER(A188,'难度参数'!$E$19)/D188*(0.85+0.3*(7-1)/MAX(1,D188-1))),0)+F188)))</x:f>
        <x:v>34</x:v>
      </x:c>
      <x:c r="AW188" s="119" t="n">
        <x:f>IF(7&gt;D188,0,ROUND(('难度参数'!$E$13*POWER(A188,'难度参数'!$E$20)*MIN('难度参数'!$E$23,1+MAX(0,A188-'难度参数'!$E$21)*'难度参数'!$E$22))*(36+7*7)/(36+7*(D188+1)/2)*E188,0))</x:f>
        <x:v>7600</x:v>
      </x:c>
      <x:c r="AX188" s="119" t="n">
        <x:f>IF(AV188=0,0,(AV188-IF(7=D188,1,0))*ROUND(AW188*VLOOKUP(INDEX('章节与怪物'!$E$31:$K$37,B188,7),'章节与怪物'!$A$41:$F$44,2,FALSE),0)+IF(7=D188,ROUND(AW188*'难度参数'!$E$28*'章节与怪物'!$E$17,0),0))</x:f>
        <x:v>390260</x:v>
      </x:c>
      <x:c r="AY188" s="119" t="n">
        <x:f>IF(AV188=0,0,(AV188-IF(7=D188,1,0))*VLOOKUP(INDEX('章节与怪物'!$E$31:$K$37,B188,7),'章节与怪物'!$A$41:$F$44,4,FALSE)+IF(7=D188,'难度参数'!$E$30,0))</x:f>
        <x:v>1322</x:v>
      </x:c>
    </x:row>
    <x:row r="189" ht="23" customHeight="1">
      <x:c r="A189" s="119" t="n">
        <x:v>183</x:v>
      </x:c>
      <x:c r="B189" s="119" t="n">
        <x:f>MOD(INT((A189-1)/5),7)+1</x:f>
        <x:v>2</x:v>
      </x:c>
      <x:c r="C189" s="62" t="str">
        <x:f>INDEX('章节与怪物'!$B$31:$B$37,B189)</x:f>
        <x:v>黄沙要塞</x:v>
      </x:c>
      <x:c r="D189" s="119" t="n">
        <x:f>MIN('难度参数'!$E$8,MAX('难度参数'!$E$7,A189))</x:f>
        <x:v>7</x:v>
      </x:c>
      <x:c r="E189" s="106" t="n">
        <x:v>1</x:v>
      </x:c>
      <x:c r="F189" s="106" t="n">
        <x:v>0</x:v>
      </x:c>
      <x:c r="G189" s="106" t="n">
        <x:v>1</x:v>
      </x:c>
      <x:c r="H189" s="119" t="n">
        <x:f>SUM(X189,AB189,AF189,AJ189,AN189,AR189,AV189)</x:f>
        <x:v>205</x:v>
      </x:c>
      <x:c r="I189" s="119" t="n">
        <x:f>SUM(Z189,AD189,AH189,AL189,AP189,AT189,AX189)</x:f>
        <x:v>1624935</x:v>
      </x:c>
      <x:c r="J189" s="119" t="n">
        <x:f>ROUND(INDEX(X189:AY189,1,(D189-1)*4+2)*'难度参数'!$E$28*'章节与怪物'!$E$17,0)</x:f>
        <x:v>51884</x:v>
      </x:c>
      <x:c r="K189" s="119" t="n">
        <x:f>SUM(AA189,AE189,AI189,AM189,AQ189,AU189,AY189)</x:f>
        <x:v>5514</x:v>
      </x:c>
      <x:c r="L189" s="62" t="n">
        <x:f>H189*(ROUNDUP('难度参数'!$E$24/('难度参数'!$E$26*'难度参数'!$E$27),0)*'难度参数'!$E$26)/60</x:f>
        <x:v>2.7333333333333334</x:v>
      </x:c>
      <x:c r="M189" s="62" t="n">
        <x:f>L189+D189*('难度参数'!$E$49+'难度参数'!$E$50)/60</x:f>
        <x:v>3.9000000000000004</x:v>
      </x:c>
      <x:c r="N189" s="119" t="n">
        <x:f>ROUNDDOWN(('经济参数'!$E$20+A189*'经济参数'!$E$21)*G189,0)</x:f>
        <x:v>3840</x:v>
      </x:c>
      <x:c r="O189" s="119" t="n">
        <x:f>ROUNDDOWN(MIN('经济参数'!$E$24,'经济参数'!$E$22+A189*'经济参数'!$E$23)*G189,0)</x:f>
        <x:v>0</x:v>
      </x:c>
      <x:c r="P189" s="119" t="n">
        <x:f>ROUNDDOWN((IF(A189&gt;='材料与任务'!$E$31,'材料与任务'!$E$32,IF(A189&gt;='材料与任务'!$E$25,'材料与任务'!$E$26,IF(A189&gt;='材料与任务'!$E$19,'材料与任务'!$E$20,IF(A189&gt;='材料与任务'!$E$13,'材料与任务'!$E$14,'材料与任务'!$E$8)))))*G189,0)</x:f>
        <x:v>6</x:v>
      </x:c>
      <x:c r="Q189" s="119" t="n">
        <x:f>ROUNDDOWN((IF(A189&gt;='材料与任务'!$E$31,'材料与任务'!$E$33,IF(A189&gt;='材料与任务'!$E$25,'材料与任务'!$E$27,IF(A189&gt;='材料与任务'!$E$19,'材料与任务'!$E$21,IF(A189&gt;='材料与任务'!$E$13,'材料与任务'!$E$15,'材料与任务'!$E$9)))))*G189,0)</x:f>
        <x:v>3</x:v>
      </x:c>
      <x:c r="R189" s="110" t="n">
        <x:f>'装备掉落'!$B$38</x:f>
        <x:v>0.6872058758851213</x:v>
      </x:c>
      <x:c r="S189" s="119" t="n">
        <x:f>MAX(IF(VLOOKUP(A189,'装备掉落'!$A$29:$H$34,2,TRUE)&gt;0,1,0),IF(VLOOKUP(A189,'装备掉落'!$A$29:$H$34,3,TRUE)&gt;0,2,0),IF(VLOOKUP(A189,'装备掉落'!$A$29:$H$34,4,TRUE)&gt;0,3,0),IF(VLOOKUP(A189,'装备掉落'!$A$29:$H$34,5,TRUE)&gt;0,4,0),IF(VLOOKUP(A189,'装备掉落'!$A$29:$H$34,6,TRUE)&gt;0,5,0),IF(VLOOKUP(A189,'装备掉落'!$A$29:$H$34,7,TRUE)&gt;0,6,0),IF(VLOOKUP(A189,'装备掉落'!$A$29:$H$34,8,TRUE)&gt;0,7,0))</x:f>
        <x:v>7</x:v>
      </x:c>
      <x:c r="T189" s="119" t="n">
        <x:f>MIN(7,S189+'经济参数'!$E$70)</x:f>
        <x:v>7</x:v>
      </x:c>
      <x:c r="U189" s="119" t="n">
        <x:f>MIN(7,S189+'经济参数'!$E$71)</x:f>
        <x:v>7</x:v>
      </x:c>
      <x:c r="V189" s="119" t="n">
        <x:f>IF(H189&gt;=('难度参数'!$E$52),1,0)+IF(H189&gt;=('难度参数'!$E$52+'难度参数'!$E$53),1,0)+IF(H189&gt;=('难度参数'!$E$52+'难度参数'!$E$53+'难度参数'!$E$54),1,0)+IF(H189&gt;=('难度参数'!$E$52+'难度参数'!$E$53+'难度参数'!$E$54+'难度参数'!$E$55),1,0)+IF(H189&gt;=('难度参数'!$E$52+'难度参数'!$E$53+'难度参数'!$E$54+'难度参数'!$E$55+'难度参数'!$E$56),1,0)+IF(H189&gt;=('难度参数'!$E$52+'难度参数'!$E$53+'难度参数'!$E$54+'难度参数'!$E$55+'难度参数'!$E$56+'难度参数'!$E$57),1,0)</x:f>
        <x:v>6</x:v>
      </x:c>
      <x:c r="W189" s="62" t="str">
        <x:f>IF(L189&gt;'难度参数'!$E$51,"仅出怪已超目标","还需实测")</x:f>
        <x:v>还需实测</x:v>
      </x:c>
      <x:c r="X189" s="119" t="n">
        <x:f>IF(1&gt;D189,0,MAX(2,MIN('难度参数'!$E$12,ROUND(('难度参数'!$E$18*POWER(A189,'难度参数'!$E$19)/D189*(0.85+0.3*(1-1)/MAX(1,D189-1))),0)+F189)))</x:f>
        <x:v>25</x:v>
      </x:c>
      <x:c r="Y189" s="119" t="n">
        <x:f>IF(1&gt;D189,0,ROUND(('难度参数'!$E$13*POWER(A189,'难度参数'!$E$20)*MIN('难度参数'!$E$23,1+MAX(0,A189-'难度参数'!$E$21)*'难度参数'!$E$22))*(36+1*7)/(36+7*(D189+1)/2)*E189,0))</x:f>
        <x:v>3860</x:v>
      </x:c>
      <x:c r="Z189" s="119" t="n">
        <x:f>IF(X189=0,0,(X189-IF(1=D189,1,0))*ROUND(Y189*VLOOKUP(INDEX('章节与怪物'!$E$31:$K$37,B189,1),'章节与怪物'!$A$41:$F$44,2,FALSE),0)+IF(1=D189,ROUND(Y189*'难度参数'!$E$28*'章节与怪物'!$E$17,0),0))</x:f>
        <x:v>69475</x:v>
      </x:c>
      <x:c r="AA189" s="119" t="n">
        <x:f>IF(X189=0,0,(X189-IF(1=D189,1,0))*VLOOKUP(INDEX('章节与怪物'!$E$31:$K$37,B189,1),'章节与怪物'!$A$41:$F$44,4,FALSE)+IF(1=D189,'难度参数'!$E$30,0))</x:f>
        <x:v>500</x:v>
      </x:c>
      <x:c r="AB189" s="119" t="n">
        <x:f>IF(2&gt;D189,0,MAX(2,MIN('难度参数'!$E$12,ROUND(('难度参数'!$E$18*POWER(A189,'难度参数'!$E$19)/D189*(0.85+0.3*(2-1)/MAX(1,D189-1))),0)+F189)))</x:f>
        <x:v>26</x:v>
      </x:c>
      <x:c r="AC189" s="119" t="n">
        <x:f>IF(2&gt;D189,0,ROUND(('难度参数'!$E$13*POWER(A189,'难度参数'!$E$20)*MIN('难度参数'!$E$23,1+MAX(0,A189-'难度参数'!$E$21)*'难度参数'!$E$22))*(36+2*7)/(36+7*(D189+1)/2)*E189,0))</x:f>
        <x:v>4488</x:v>
      </x:c>
      <x:c r="AD189" s="119" t="n">
        <x:f>IF(AB189=0,0,(AB189-IF(2=D189,1,0))*ROUND(AC189*VLOOKUP(INDEX('章节与怪物'!$E$31:$K$37,B189,2),'章节与怪物'!$A$41:$F$44,2,FALSE),0)+IF(2=D189,ROUND(AC189*'难度参数'!$E$28*'章节与怪物'!$E$17,0),0))</x:f>
        <x:v>116688</x:v>
      </x:c>
      <x:c r="AE189" s="119" t="n">
        <x:f>IF(AB189=0,0,(AB189-IF(2=D189,1,0))*VLOOKUP(INDEX('章节与怪物'!$E$31:$K$37,B189,2),'章节与怪物'!$A$41:$F$44,4,FALSE)+IF(2=D189,'难度参数'!$E$30,0))</x:f>
        <x:v>468</x:v>
      </x:c>
      <x:c r="AF189" s="119" t="n">
        <x:f>IF(3&gt;D189,0,MAX(2,MIN('难度参数'!$E$12,ROUND(('难度参数'!$E$18*POWER(A189,'难度参数'!$E$19)/D189*(0.85+0.3*(3-1)/MAX(1,D189-1))),0)+F189)))</x:f>
        <x:v>28</x:v>
      </x:c>
      <x:c r="AG189" s="119" t="n">
        <x:f>IF(3&gt;D189,0,ROUND(('难度参数'!$E$13*POWER(A189,'难度参数'!$E$20)*MIN('难度参数'!$E$23,1+MAX(0,A189-'难度参数'!$E$21)*'难度参数'!$E$22))*(36+3*7)/(36+7*(D189+1)/2)*E189,0))</x:f>
        <x:v>5117</x:v>
      </x:c>
      <x:c r="AH189" s="119" t="n">
        <x:f>IF(AF189=0,0,(AF189-IF(3=D189,1,0))*ROUND(AG189*VLOOKUP(INDEX('章节与怪物'!$E$31:$K$37,B189,3),'章节与怪物'!$A$41:$F$44,2,FALSE),0)+IF(3=D189,ROUND(AG189*'难度参数'!$E$28*'章节与怪物'!$E$17,0),0))</x:f>
        <x:v>243572</x:v>
      </x:c>
      <x:c r="AI189" s="119" t="n">
        <x:f>IF(AF189=0,0,(AF189-IF(3=D189,1,0))*VLOOKUP(INDEX('章节与怪物'!$E$31:$K$37,B189,3),'章节与怪物'!$A$41:$F$44,4,FALSE)+IF(3=D189,'难度参数'!$E$30,0))</x:f>
        <x:v>784</x:v>
      </x:c>
      <x:c r="AJ189" s="119" t="n">
        <x:f>IF(4&gt;D189,0,MAX(2,MIN('难度参数'!$E$12,ROUND(('难度参数'!$E$18*POWER(A189,'难度参数'!$E$19)/D189*(0.85+0.3*(4-1)/MAX(1,D189-1))),0)+F189)))</x:f>
        <x:v>29</x:v>
      </x:c>
      <x:c r="AK189" s="119" t="n">
        <x:f>IF(4&gt;D189,0,ROUND(('难度参数'!$E$13*POWER(A189,'难度参数'!$E$20)*MIN('难度参数'!$E$23,1+MAX(0,A189-'难度参数'!$E$21)*'难度参数'!$E$22))*(36+4*7)/(36+7*(D189+1)/2)*E189,0))</x:f>
        <x:v>5745</x:v>
      </x:c>
      <x:c r="AL189" s="119" t="n">
        <x:f>IF(AJ189=0,0,(AJ189-IF(4=D189,1,0))*ROUND(AK189*VLOOKUP(INDEX('章节与怪物'!$E$31:$K$37,B189,4),'章节与怪物'!$A$41:$F$44,2,FALSE),0)+IF(4=D189,ROUND(AK189*'难度参数'!$E$28*'章节与怪物'!$E$17,0),0))</x:f>
        <x:v>224924</x:v>
      </x:c>
      <x:c r="AM189" s="119" t="n">
        <x:f>IF(AJ189=0,0,(AJ189-IF(4=D189,1,0))*VLOOKUP(INDEX('章节与怪物'!$E$31:$K$37,B189,4),'章节与怪物'!$A$41:$F$44,4,FALSE)+IF(4=D189,'难度参数'!$E$30,0))</x:f>
        <x:v>986</x:v>
      </x:c>
      <x:c r="AN189" s="119" t="n">
        <x:f>IF(5&gt;D189,0,MAX(2,MIN('难度参数'!$E$12,ROUND(('难度参数'!$E$18*POWER(A189,'难度参数'!$E$19)/D189*(0.85+0.3*(5-1)/MAX(1,D189-1))),0)+F189)))</x:f>
        <x:v>31</x:v>
      </x:c>
      <x:c r="AO189" s="119" t="n">
        <x:f>IF(5&gt;D189,0,ROUND(('难度参数'!$E$13*POWER(A189,'难度参数'!$E$20)*MIN('难度参数'!$E$23,1+MAX(0,A189-'难度参数'!$E$21)*'难度参数'!$E$22))*(36+5*7)/(36+7*(D189+1)/2)*E189,0))</x:f>
        <x:v>6373</x:v>
      </x:c>
      <x:c r="AP189" s="119" t="n">
        <x:f>IF(AN189=0,0,(AN189-IF(5=D189,1,0))*ROUND(AO189*VLOOKUP(INDEX('章节与怪物'!$E$31:$K$37,B189,5),'章节与怪物'!$A$41:$F$44,2,FALSE),0)+IF(5=D189,ROUND(AO189*'难度参数'!$E$28*'章节与怪物'!$E$17,0),0))</x:f>
        <x:v>197563</x:v>
      </x:c>
      <x:c r="AQ189" s="119" t="n">
        <x:f>IF(AN189=0,0,(AN189-IF(5=D189,1,0))*VLOOKUP(INDEX('章节与怪物'!$E$31:$K$37,B189,5),'章节与怪物'!$A$41:$F$44,4,FALSE)+IF(5=D189,'难度参数'!$E$30,0))</x:f>
        <x:v>558</x:v>
      </x:c>
      <x:c r="AR189" s="119" t="n">
        <x:f>IF(6&gt;D189,0,MAX(2,MIN('难度参数'!$E$12,ROUND(('难度参数'!$E$18*POWER(A189,'难度参数'!$E$19)/D189*(0.85+0.3*(6-1)/MAX(1,D189-1))),0)+F189)))</x:f>
        <x:v>32</x:v>
      </x:c>
      <x:c r="AS189" s="119" t="n">
        <x:f>IF(6&gt;D189,0,ROUND(('难度参数'!$E$13*POWER(A189,'难度参数'!$E$20)*MIN('难度参数'!$E$23,1+MAX(0,A189-'难度参数'!$E$21)*'难度参数'!$E$22))*(36+6*7)/(36+7*(D189+1)/2)*E189,0))</x:f>
        <x:v>7002</x:v>
      </x:c>
      <x:c r="AT189" s="119" t="n">
        <x:f>IF(AR189=0,0,(AR189-IF(6=D189,1,0))*ROUND(AS189*VLOOKUP(INDEX('章节与怪物'!$E$31:$K$37,B189,6),'章节与怪物'!$A$41:$F$44,2,FALSE),0)+IF(6=D189,ROUND(AS189*'难度参数'!$E$28*'章节与怪物'!$E$17,0),0))</x:f>
        <x:v>380896</x:v>
      </x:c>
      <x:c r="AU189" s="119" t="n">
        <x:f>IF(AR189=0,0,(AR189-IF(6=D189,1,0))*VLOOKUP(INDEX('章节与怪物'!$E$31:$K$37,B189,6),'章节与怪物'!$A$41:$F$44,4,FALSE)+IF(6=D189,'难度参数'!$E$30,0))</x:f>
        <x:v>896</x:v>
      </x:c>
      <x:c r="AV189" s="119" t="n">
        <x:f>IF(7&gt;D189,0,MAX(2,MIN('难度参数'!$E$12,ROUND(('难度参数'!$E$18*POWER(A189,'难度参数'!$E$19)/D189*(0.85+0.3*(7-1)/MAX(1,D189-1))),0)+F189)))</x:f>
        <x:v>34</x:v>
      </x:c>
      <x:c r="AW189" s="119" t="n">
        <x:f>IF(7&gt;D189,0,ROUND(('难度参数'!$E$13*POWER(A189,'难度参数'!$E$20)*MIN('难度参数'!$E$23,1+MAX(0,A189-'难度参数'!$E$21)*'难度参数'!$E$22))*(36+7*7)/(36+7*(D189+1)/2)*E189,0))</x:f>
        <x:v>7630</x:v>
      </x:c>
      <x:c r="AX189" s="119" t="n">
        <x:f>IF(AV189=0,0,(AV189-IF(7=D189,1,0))*ROUND(AW189*VLOOKUP(INDEX('章节与怪物'!$E$31:$K$37,B189,7),'章节与怪物'!$A$41:$F$44,2,FALSE),0)+IF(7=D189,ROUND(AW189*'难度参数'!$E$28*'章节与怪物'!$E$17,0),0))</x:f>
        <x:v>391817</x:v>
      </x:c>
      <x:c r="AY189" s="119" t="n">
        <x:f>IF(AV189=0,0,(AV189-IF(7=D189,1,0))*VLOOKUP(INDEX('章节与怪物'!$E$31:$K$37,B189,7),'章节与怪物'!$A$41:$F$44,4,FALSE)+IF(7=D189,'难度参数'!$E$30,0))</x:f>
        <x:v>1322</x:v>
      </x:c>
    </x:row>
    <x:row r="190" ht="23" customHeight="1">
      <x:c r="A190" s="119" t="n">
        <x:v>184</x:v>
      </x:c>
      <x:c r="B190" s="119" t="n">
        <x:f>MOD(INT((A190-1)/5),7)+1</x:f>
        <x:v>2</x:v>
      </x:c>
      <x:c r="C190" s="62" t="str">
        <x:f>INDEX('章节与怪物'!$B$31:$B$37,B190)</x:f>
        <x:v>黄沙要塞</x:v>
      </x:c>
      <x:c r="D190" s="119" t="n">
        <x:f>MIN('难度参数'!$E$8,MAX('难度参数'!$E$7,A190))</x:f>
        <x:v>7</x:v>
      </x:c>
      <x:c r="E190" s="106" t="n">
        <x:v>1</x:v>
      </x:c>
      <x:c r="F190" s="106" t="n">
        <x:v>0</x:v>
      </x:c>
      <x:c r="G190" s="106" t="n">
        <x:v>1</x:v>
      </x:c>
      <x:c r="H190" s="119" t="n">
        <x:f>SUM(X190,AB190,AF190,AJ190,AN190,AR190,AV190)</x:f>
        <x:v>205</x:v>
      </x:c>
      <x:c r="I190" s="119" t="n">
        <x:f>SUM(Z190,AD190,AH190,AL190,AP190,AT190,AX190)</x:f>
        <x:v>1631331</x:v>
      </x:c>
      <x:c r="J190" s="119" t="n">
        <x:f>ROUND(INDEX(X190:AY190,1,(D190-1)*4+2)*'难度参数'!$E$28*'章节与怪物'!$E$17,0)</x:f>
        <x:v>52088</x:v>
      </x:c>
      <x:c r="K190" s="119" t="n">
        <x:f>SUM(AA190,AE190,AI190,AM190,AQ190,AU190,AY190)</x:f>
        <x:v>5514</x:v>
      </x:c>
      <x:c r="L190" s="62" t="n">
        <x:f>H190*(ROUNDUP('难度参数'!$E$24/('难度参数'!$E$26*'难度参数'!$E$27),0)*'难度参数'!$E$26)/60</x:f>
        <x:v>2.7333333333333334</x:v>
      </x:c>
      <x:c r="M190" s="62" t="n">
        <x:f>L190+D190*('难度参数'!$E$49+'难度参数'!$E$50)/60</x:f>
        <x:v>3.9000000000000004</x:v>
      </x:c>
      <x:c r="N190" s="119" t="n">
        <x:f>ROUNDDOWN(('经济参数'!$E$20+A190*'经济参数'!$E$21)*G190,0)</x:f>
        <x:v>3860</x:v>
      </x:c>
      <x:c r="O190" s="119" t="n">
        <x:f>ROUNDDOWN(MIN('经济参数'!$E$24,'经济参数'!$E$22+A190*'经济参数'!$E$23)*G190,0)</x:f>
        <x:v>0</x:v>
      </x:c>
      <x:c r="P190" s="119" t="n">
        <x:f>ROUNDDOWN((IF(A190&gt;='材料与任务'!$E$31,'材料与任务'!$E$32,IF(A190&gt;='材料与任务'!$E$25,'材料与任务'!$E$26,IF(A190&gt;='材料与任务'!$E$19,'材料与任务'!$E$20,IF(A190&gt;='材料与任务'!$E$13,'材料与任务'!$E$14,'材料与任务'!$E$8)))))*G190,0)</x:f>
        <x:v>6</x:v>
      </x:c>
      <x:c r="Q190" s="119" t="n">
        <x:f>ROUNDDOWN((IF(A190&gt;='材料与任务'!$E$31,'材料与任务'!$E$33,IF(A190&gt;='材料与任务'!$E$25,'材料与任务'!$E$27,IF(A190&gt;='材料与任务'!$E$19,'材料与任务'!$E$21,IF(A190&gt;='材料与任务'!$E$13,'材料与任务'!$E$15,'材料与任务'!$E$9)))))*G190,0)</x:f>
        <x:v>3</x:v>
      </x:c>
      <x:c r="R190" s="110" t="n">
        <x:f>'装备掉落'!$B$38</x:f>
        <x:v>0.6872058758851213</x:v>
      </x:c>
      <x:c r="S190" s="119" t="n">
        <x:f>MAX(IF(VLOOKUP(A190,'装备掉落'!$A$29:$H$34,2,TRUE)&gt;0,1,0),IF(VLOOKUP(A190,'装备掉落'!$A$29:$H$34,3,TRUE)&gt;0,2,0),IF(VLOOKUP(A190,'装备掉落'!$A$29:$H$34,4,TRUE)&gt;0,3,0),IF(VLOOKUP(A190,'装备掉落'!$A$29:$H$34,5,TRUE)&gt;0,4,0),IF(VLOOKUP(A190,'装备掉落'!$A$29:$H$34,6,TRUE)&gt;0,5,0),IF(VLOOKUP(A190,'装备掉落'!$A$29:$H$34,7,TRUE)&gt;0,6,0),IF(VLOOKUP(A190,'装备掉落'!$A$29:$H$34,8,TRUE)&gt;0,7,0))</x:f>
        <x:v>7</x:v>
      </x:c>
      <x:c r="T190" s="119" t="n">
        <x:f>MIN(7,S190+'经济参数'!$E$70)</x:f>
        <x:v>7</x:v>
      </x:c>
      <x:c r="U190" s="119" t="n">
        <x:f>MIN(7,S190+'经济参数'!$E$71)</x:f>
        <x:v>7</x:v>
      </x:c>
      <x:c r="V190" s="119" t="n">
        <x:f>IF(H190&gt;=('难度参数'!$E$52),1,0)+IF(H190&gt;=('难度参数'!$E$52+'难度参数'!$E$53),1,0)+IF(H190&gt;=('难度参数'!$E$52+'难度参数'!$E$53+'难度参数'!$E$54),1,0)+IF(H190&gt;=('难度参数'!$E$52+'难度参数'!$E$53+'难度参数'!$E$54+'难度参数'!$E$55),1,0)+IF(H190&gt;=('难度参数'!$E$52+'难度参数'!$E$53+'难度参数'!$E$54+'难度参数'!$E$55+'难度参数'!$E$56),1,0)+IF(H190&gt;=('难度参数'!$E$52+'难度参数'!$E$53+'难度参数'!$E$54+'难度参数'!$E$55+'难度参数'!$E$56+'难度参数'!$E$57),1,0)</x:f>
        <x:v>6</x:v>
      </x:c>
      <x:c r="W190" s="62" t="str">
        <x:f>IF(L190&gt;'难度参数'!$E$51,"仅出怪已超目标","还需实测")</x:f>
        <x:v>还需实测</x:v>
      </x:c>
      <x:c r="X190" s="119" t="n">
        <x:f>IF(1&gt;D190,0,MAX(2,MIN('难度参数'!$E$12,ROUND(('难度参数'!$E$18*POWER(A190,'难度参数'!$E$19)/D190*(0.85+0.3*(1-1)/MAX(1,D190-1))),0)+F190)))</x:f>
        <x:v>25</x:v>
      </x:c>
      <x:c r="Y190" s="119" t="n">
        <x:f>IF(1&gt;D190,0,ROUND(('难度参数'!$E$13*POWER(A190,'难度参数'!$E$20)*MIN('难度参数'!$E$23,1+MAX(0,A190-'难度参数'!$E$21)*'难度参数'!$E$22))*(36+1*7)/(36+7*(D190+1)/2)*E190,0))</x:f>
        <x:v>3875</x:v>
      </x:c>
      <x:c r="Z190" s="119" t="n">
        <x:f>IF(X190=0,0,(X190-IF(1=D190,1,0))*ROUND(Y190*VLOOKUP(INDEX('章节与怪物'!$E$31:$K$37,B190,1),'章节与怪物'!$A$41:$F$44,2,FALSE),0)+IF(1=D190,ROUND(Y190*'难度参数'!$E$28*'章节与怪物'!$E$17,0),0))</x:f>
        <x:v>69750</x:v>
      </x:c>
      <x:c r="AA190" s="119" t="n">
        <x:f>IF(X190=0,0,(X190-IF(1=D190,1,0))*VLOOKUP(INDEX('章节与怪物'!$E$31:$K$37,B190,1),'章节与怪物'!$A$41:$F$44,4,FALSE)+IF(1=D190,'难度参数'!$E$30,0))</x:f>
        <x:v>500</x:v>
      </x:c>
      <x:c r="AB190" s="119" t="n">
        <x:f>IF(2&gt;D190,0,MAX(2,MIN('难度参数'!$E$12,ROUND(('难度参数'!$E$18*POWER(A190,'难度参数'!$E$19)/D190*(0.85+0.3*(2-1)/MAX(1,D190-1))),0)+F190)))</x:f>
        <x:v>26</x:v>
      </x:c>
      <x:c r="AC190" s="119" t="n">
        <x:f>IF(2&gt;D190,0,ROUND(('难度参数'!$E$13*POWER(A190,'难度参数'!$E$20)*MIN('难度参数'!$E$23,1+MAX(0,A190-'难度参数'!$E$21)*'难度参数'!$E$22))*(36+2*7)/(36+7*(D190+1)/2)*E190,0))</x:f>
        <x:v>4506</x:v>
      </x:c>
      <x:c r="AD190" s="119" t="n">
        <x:f>IF(AB190=0,0,(AB190-IF(2=D190,1,0))*ROUND(AC190*VLOOKUP(INDEX('章节与怪物'!$E$31:$K$37,B190,2),'章节与怪物'!$A$41:$F$44,2,FALSE),0)+IF(2=D190,ROUND(AC190*'难度参数'!$E$28*'章节与怪物'!$E$17,0),0))</x:f>
        <x:v>117156</x:v>
      </x:c>
      <x:c r="AE190" s="119" t="n">
        <x:f>IF(AB190=0,0,(AB190-IF(2=D190,1,0))*VLOOKUP(INDEX('章节与怪物'!$E$31:$K$37,B190,2),'章节与怪物'!$A$41:$F$44,4,FALSE)+IF(2=D190,'难度参数'!$E$30,0))</x:f>
        <x:v>468</x:v>
      </x:c>
      <x:c r="AF190" s="119" t="n">
        <x:f>IF(3&gt;D190,0,MAX(2,MIN('难度参数'!$E$12,ROUND(('难度参数'!$E$18*POWER(A190,'难度参数'!$E$19)/D190*(0.85+0.3*(3-1)/MAX(1,D190-1))),0)+F190)))</x:f>
        <x:v>28</x:v>
      </x:c>
      <x:c r="AG190" s="119" t="n">
        <x:f>IF(3&gt;D190,0,ROUND(('难度参数'!$E$13*POWER(A190,'难度参数'!$E$20)*MIN('难度参数'!$E$23,1+MAX(0,A190-'难度参数'!$E$21)*'难度参数'!$E$22))*(36+3*7)/(36+7*(D190+1)/2)*E190,0))</x:f>
        <x:v>5137</x:v>
      </x:c>
      <x:c r="AH190" s="119" t="n">
        <x:f>IF(AF190=0,0,(AF190-IF(3=D190,1,0))*ROUND(AG190*VLOOKUP(INDEX('章节与怪物'!$E$31:$K$37,B190,3),'章节与怪物'!$A$41:$F$44,2,FALSE),0)+IF(3=D190,ROUND(AG190*'难度参数'!$E$28*'章节与怪物'!$E$17,0),0))</x:f>
        <x:v>244524</x:v>
      </x:c>
      <x:c r="AI190" s="119" t="n">
        <x:f>IF(AF190=0,0,(AF190-IF(3=D190,1,0))*VLOOKUP(INDEX('章节与怪物'!$E$31:$K$37,B190,3),'章节与怪物'!$A$41:$F$44,4,FALSE)+IF(3=D190,'难度参数'!$E$30,0))</x:f>
        <x:v>784</x:v>
      </x:c>
      <x:c r="AJ190" s="119" t="n">
        <x:f>IF(4&gt;D190,0,MAX(2,MIN('难度参数'!$E$12,ROUND(('难度参数'!$E$18*POWER(A190,'难度参数'!$E$19)/D190*(0.85+0.3*(4-1)/MAX(1,D190-1))),0)+F190)))</x:f>
        <x:v>29</x:v>
      </x:c>
      <x:c r="AK190" s="119" t="n">
        <x:f>IF(4&gt;D190,0,ROUND(('难度参数'!$E$13*POWER(A190,'难度参数'!$E$20)*MIN('难度参数'!$E$23,1+MAX(0,A190-'难度参数'!$E$21)*'难度参数'!$E$22))*(36+4*7)/(36+7*(D190+1)/2)*E190,0))</x:f>
        <x:v>5768</x:v>
      </x:c>
      <x:c r="AL190" s="119" t="n">
        <x:f>IF(AJ190=0,0,(AJ190-IF(4=D190,1,0))*ROUND(AK190*VLOOKUP(INDEX('章节与怪物'!$E$31:$K$37,B190,4),'章节与怪物'!$A$41:$F$44,2,FALSE),0)+IF(4=D190,ROUND(AK190*'难度参数'!$E$28*'章节与怪物'!$E$17,0),0))</x:f>
        <x:v>225823</x:v>
      </x:c>
      <x:c r="AM190" s="119" t="n">
        <x:f>IF(AJ190=0,0,(AJ190-IF(4=D190,1,0))*VLOOKUP(INDEX('章节与怪物'!$E$31:$K$37,B190,4),'章节与怪物'!$A$41:$F$44,4,FALSE)+IF(4=D190,'难度参数'!$E$30,0))</x:f>
        <x:v>986</x:v>
      </x:c>
      <x:c r="AN190" s="119" t="n">
        <x:f>IF(5&gt;D190,0,MAX(2,MIN('难度参数'!$E$12,ROUND(('难度参数'!$E$18*POWER(A190,'难度参数'!$E$19)/D190*(0.85+0.3*(5-1)/MAX(1,D190-1))),0)+F190)))</x:f>
        <x:v>31</x:v>
      </x:c>
      <x:c r="AO190" s="119" t="n">
        <x:f>IF(5&gt;D190,0,ROUND(('难度参数'!$E$13*POWER(A190,'难度参数'!$E$20)*MIN('难度参数'!$E$23,1+MAX(0,A190-'难度参数'!$E$21)*'难度参数'!$E$22))*(36+5*7)/(36+7*(D190+1)/2)*E190,0))</x:f>
        <x:v>6399</x:v>
      </x:c>
      <x:c r="AP190" s="119" t="n">
        <x:f>IF(AN190=0,0,(AN190-IF(5=D190,1,0))*ROUND(AO190*VLOOKUP(INDEX('章节与怪物'!$E$31:$K$37,B190,5),'章节与怪物'!$A$41:$F$44,2,FALSE),0)+IF(5=D190,ROUND(AO190*'难度参数'!$E$28*'章节与怪物'!$E$17,0),0))</x:f>
        <x:v>198369</x:v>
      </x:c>
      <x:c r="AQ190" s="119" t="n">
        <x:f>IF(AN190=0,0,(AN190-IF(5=D190,1,0))*VLOOKUP(INDEX('章节与怪物'!$E$31:$K$37,B190,5),'章节与怪物'!$A$41:$F$44,4,FALSE)+IF(5=D190,'难度参数'!$E$30,0))</x:f>
        <x:v>558</x:v>
      </x:c>
      <x:c r="AR190" s="119" t="n">
        <x:f>IF(6&gt;D190,0,MAX(2,MIN('难度参数'!$E$12,ROUND(('难度参数'!$E$18*POWER(A190,'难度参数'!$E$19)/D190*(0.85+0.3*(6-1)/MAX(1,D190-1))),0)+F190)))</x:f>
        <x:v>32</x:v>
      </x:c>
      <x:c r="AS190" s="119" t="n">
        <x:f>IF(6&gt;D190,0,ROUND(('难度参数'!$E$13*POWER(A190,'难度参数'!$E$20)*MIN('难度参数'!$E$23,1+MAX(0,A190-'难度参数'!$E$21)*'难度参数'!$E$22))*(36+6*7)/(36+7*(D190+1)/2)*E190,0))</x:f>
        <x:v>7029</x:v>
      </x:c>
      <x:c r="AT190" s="119" t="n">
        <x:f>IF(AR190=0,0,(AR190-IF(6=D190,1,0))*ROUND(AS190*VLOOKUP(INDEX('章节与怪物'!$E$31:$K$37,B190,6),'章节与怪物'!$A$41:$F$44,2,FALSE),0)+IF(6=D190,ROUND(AS190*'难度参数'!$E$28*'章节与怪物'!$E$17,0),0))</x:f>
        <x:v>382368</x:v>
      </x:c>
      <x:c r="AU190" s="119" t="n">
        <x:f>IF(AR190=0,0,(AR190-IF(6=D190,1,0))*VLOOKUP(INDEX('章节与怪物'!$E$31:$K$37,B190,6),'章节与怪物'!$A$41:$F$44,4,FALSE)+IF(6=D190,'难度参数'!$E$30,0))</x:f>
        <x:v>896</x:v>
      </x:c>
      <x:c r="AV190" s="119" t="n">
        <x:f>IF(7&gt;D190,0,MAX(2,MIN('难度参数'!$E$12,ROUND(('难度参数'!$E$18*POWER(A190,'难度参数'!$E$19)/D190*(0.85+0.3*(7-1)/MAX(1,D190-1))),0)+F190)))</x:f>
        <x:v>34</x:v>
      </x:c>
      <x:c r="AW190" s="119" t="n">
        <x:f>IF(7&gt;D190,0,ROUND(('难度参数'!$E$13*POWER(A190,'难度参数'!$E$20)*MIN('难度参数'!$E$23,1+MAX(0,A190-'难度参数'!$E$21)*'难度参数'!$E$22))*(36+7*7)/(36+7*(D190+1)/2)*E190,0))</x:f>
        <x:v>7660</x:v>
      </x:c>
      <x:c r="AX190" s="119" t="n">
        <x:f>IF(AV190=0,0,(AV190-IF(7=D190,1,0))*ROUND(AW190*VLOOKUP(INDEX('章节与怪物'!$E$31:$K$37,B190,7),'章节与怪物'!$A$41:$F$44,2,FALSE),0)+IF(7=D190,ROUND(AW190*'难度参数'!$E$28*'章节与怪物'!$E$17,0),0))</x:f>
        <x:v>393341</x:v>
      </x:c>
      <x:c r="AY190" s="119" t="n">
        <x:f>IF(AV190=0,0,(AV190-IF(7=D190,1,0))*VLOOKUP(INDEX('章节与怪物'!$E$31:$K$37,B190,7),'章节与怪物'!$A$41:$F$44,4,FALSE)+IF(7=D190,'难度参数'!$E$30,0))</x:f>
        <x:v>1322</x:v>
      </x:c>
    </x:row>
    <x:row r="191" ht="23" customHeight="1">
      <x:c r="A191" s="119" t="n">
        <x:v>185</x:v>
      </x:c>
      <x:c r="B191" s="119" t="n">
        <x:f>MOD(INT((A191-1)/5),7)+1</x:f>
        <x:v>2</x:v>
      </x:c>
      <x:c r="C191" s="62" t="str">
        <x:f>INDEX('章节与怪物'!$B$31:$B$37,B191)</x:f>
        <x:v>黄沙要塞</x:v>
      </x:c>
      <x:c r="D191" s="119" t="n">
        <x:f>MIN('难度参数'!$E$8,MAX('难度参数'!$E$7,A191))</x:f>
        <x:v>7</x:v>
      </x:c>
      <x:c r="E191" s="106" t="n">
        <x:v>1</x:v>
      </x:c>
      <x:c r="F191" s="106" t="n">
        <x:v>0</x:v>
      </x:c>
      <x:c r="G191" s="106" t="n">
        <x:v>1</x:v>
      </x:c>
      <x:c r="H191" s="119" t="n">
        <x:f>SUM(X191,AB191,AF191,AJ191,AN191,AR191,AV191)</x:f>
        <x:v>205</x:v>
      </x:c>
      <x:c r="I191" s="119" t="n">
        <x:f>SUM(Z191,AD191,AH191,AL191,AP191,AT191,AX191)</x:f>
        <x:v>1637764</x:v>
      </x:c>
      <x:c r="J191" s="119" t="n">
        <x:f>ROUND(INDEX(X191:AY191,1,(D191-1)*4+2)*'难度参数'!$E$28*'章节与怪物'!$E$17,0)</x:f>
        <x:v>52292</x:v>
      </x:c>
      <x:c r="K191" s="119" t="n">
        <x:f>SUM(AA191,AE191,AI191,AM191,AQ191,AU191,AY191)</x:f>
        <x:v>5514</x:v>
      </x:c>
      <x:c r="L191" s="62" t="n">
        <x:f>H191*(ROUNDUP('难度参数'!$E$24/('难度参数'!$E$26*'难度参数'!$E$27),0)*'难度参数'!$E$26)/60</x:f>
        <x:v>2.7333333333333334</x:v>
      </x:c>
      <x:c r="M191" s="62" t="n">
        <x:f>L191+D191*('难度参数'!$E$49+'难度参数'!$E$50)/60</x:f>
        <x:v>3.9000000000000004</x:v>
      </x:c>
      <x:c r="N191" s="119" t="n">
        <x:f>ROUNDDOWN(('经济参数'!$E$20+A191*'经济参数'!$E$21)*G191,0)</x:f>
        <x:v>3880</x:v>
      </x:c>
      <x:c r="O191" s="119" t="n">
        <x:f>ROUNDDOWN(MIN('经济参数'!$E$24,'经济参数'!$E$22+A191*'经济参数'!$E$23)*G191,0)</x:f>
        <x:v>0</x:v>
      </x:c>
      <x:c r="P191" s="119" t="n">
        <x:f>ROUNDDOWN((IF(A191&gt;='材料与任务'!$E$31,'材料与任务'!$E$32,IF(A191&gt;='材料与任务'!$E$25,'材料与任务'!$E$26,IF(A191&gt;='材料与任务'!$E$19,'材料与任务'!$E$20,IF(A191&gt;='材料与任务'!$E$13,'材料与任务'!$E$14,'材料与任务'!$E$8)))))*G191,0)</x:f>
        <x:v>6</x:v>
      </x:c>
      <x:c r="Q191" s="119" t="n">
        <x:f>ROUNDDOWN((IF(A191&gt;='材料与任务'!$E$31,'材料与任务'!$E$33,IF(A191&gt;='材料与任务'!$E$25,'材料与任务'!$E$27,IF(A191&gt;='材料与任务'!$E$19,'材料与任务'!$E$21,IF(A191&gt;='材料与任务'!$E$13,'材料与任务'!$E$15,'材料与任务'!$E$9)))))*G191,0)</x:f>
        <x:v>3</x:v>
      </x:c>
      <x:c r="R191" s="110" t="n">
        <x:f>'装备掉落'!$B$38</x:f>
        <x:v>0.6872058758851213</x:v>
      </x:c>
      <x:c r="S191" s="119" t="n">
        <x:f>MAX(IF(VLOOKUP(A191,'装备掉落'!$A$29:$H$34,2,TRUE)&gt;0,1,0),IF(VLOOKUP(A191,'装备掉落'!$A$29:$H$34,3,TRUE)&gt;0,2,0),IF(VLOOKUP(A191,'装备掉落'!$A$29:$H$34,4,TRUE)&gt;0,3,0),IF(VLOOKUP(A191,'装备掉落'!$A$29:$H$34,5,TRUE)&gt;0,4,0),IF(VLOOKUP(A191,'装备掉落'!$A$29:$H$34,6,TRUE)&gt;0,5,0),IF(VLOOKUP(A191,'装备掉落'!$A$29:$H$34,7,TRUE)&gt;0,6,0),IF(VLOOKUP(A191,'装备掉落'!$A$29:$H$34,8,TRUE)&gt;0,7,0))</x:f>
        <x:v>7</x:v>
      </x:c>
      <x:c r="T191" s="119" t="n">
        <x:f>MIN(7,S191+'经济参数'!$E$70)</x:f>
        <x:v>7</x:v>
      </x:c>
      <x:c r="U191" s="119" t="n">
        <x:f>MIN(7,S191+'经济参数'!$E$71)</x:f>
        <x:v>7</x:v>
      </x:c>
      <x:c r="V191" s="119" t="n">
        <x:f>IF(H191&gt;=('难度参数'!$E$52),1,0)+IF(H191&gt;=('难度参数'!$E$52+'难度参数'!$E$53),1,0)+IF(H191&gt;=('难度参数'!$E$52+'难度参数'!$E$53+'难度参数'!$E$54),1,0)+IF(H191&gt;=('难度参数'!$E$52+'难度参数'!$E$53+'难度参数'!$E$54+'难度参数'!$E$55),1,0)+IF(H191&gt;=('难度参数'!$E$52+'难度参数'!$E$53+'难度参数'!$E$54+'难度参数'!$E$55+'难度参数'!$E$56),1,0)+IF(H191&gt;=('难度参数'!$E$52+'难度参数'!$E$53+'难度参数'!$E$54+'难度参数'!$E$55+'难度参数'!$E$56+'难度参数'!$E$57),1,0)</x:f>
        <x:v>6</x:v>
      </x:c>
      <x:c r="W191" s="62" t="str">
        <x:f>IF(L191&gt;'难度参数'!$E$51,"仅出怪已超目标","还需实测")</x:f>
        <x:v>还需实测</x:v>
      </x:c>
      <x:c r="X191" s="119" t="n">
        <x:f>IF(1&gt;D191,0,MAX(2,MIN('难度参数'!$E$12,ROUND(('难度参数'!$E$18*POWER(A191,'难度参数'!$E$19)/D191*(0.85+0.3*(1-1)/MAX(1,D191-1))),0)+F191)))</x:f>
        <x:v>25</x:v>
      </x:c>
      <x:c r="Y191" s="119" t="n">
        <x:f>IF(1&gt;D191,0,ROUND(('难度参数'!$E$13*POWER(A191,'难度参数'!$E$20)*MIN('难度参数'!$E$23,1+MAX(0,A191-'难度参数'!$E$21)*'难度参数'!$E$22))*(36+1*7)/(36+7*(D191+1)/2)*E191,0))</x:f>
        <x:v>3890</x:v>
      </x:c>
      <x:c r="Z191" s="119" t="n">
        <x:f>IF(X191=0,0,(X191-IF(1=D191,1,0))*ROUND(Y191*VLOOKUP(INDEX('章节与怪物'!$E$31:$K$37,B191,1),'章节与怪物'!$A$41:$F$44,2,FALSE),0)+IF(1=D191,ROUND(Y191*'难度参数'!$E$28*'章节与怪物'!$E$17,0),0))</x:f>
        <x:v>70025</x:v>
      </x:c>
      <x:c r="AA191" s="119" t="n">
        <x:f>IF(X191=0,0,(X191-IF(1=D191,1,0))*VLOOKUP(INDEX('章节与怪物'!$E$31:$K$37,B191,1),'章节与怪物'!$A$41:$F$44,4,FALSE)+IF(1=D191,'难度参数'!$E$30,0))</x:f>
        <x:v>500</x:v>
      </x:c>
      <x:c r="AB191" s="119" t="n">
        <x:f>IF(2&gt;D191,0,MAX(2,MIN('难度参数'!$E$12,ROUND(('难度参数'!$E$18*POWER(A191,'难度参数'!$E$19)/D191*(0.85+0.3*(2-1)/MAX(1,D191-1))),0)+F191)))</x:f>
        <x:v>26</x:v>
      </x:c>
      <x:c r="AC191" s="119" t="n">
        <x:f>IF(2&gt;D191,0,ROUND(('难度参数'!$E$13*POWER(A191,'难度参数'!$E$20)*MIN('难度参数'!$E$23,1+MAX(0,A191-'难度参数'!$E$21)*'难度参数'!$E$22))*(36+2*7)/(36+7*(D191+1)/2)*E191,0))</x:f>
        <x:v>4524</x:v>
      </x:c>
      <x:c r="AD191" s="119" t="n">
        <x:f>IF(AB191=0,0,(AB191-IF(2=D191,1,0))*ROUND(AC191*VLOOKUP(INDEX('章节与怪物'!$E$31:$K$37,B191,2),'章节与怪物'!$A$41:$F$44,2,FALSE),0)+IF(2=D191,ROUND(AC191*'难度参数'!$E$28*'章节与怪物'!$E$17,0),0))</x:f>
        <x:v>117624</x:v>
      </x:c>
      <x:c r="AE191" s="119" t="n">
        <x:f>IF(AB191=0,0,(AB191-IF(2=D191,1,0))*VLOOKUP(INDEX('章节与怪物'!$E$31:$K$37,B191,2),'章节与怪物'!$A$41:$F$44,4,FALSE)+IF(2=D191,'难度参数'!$E$30,0))</x:f>
        <x:v>468</x:v>
      </x:c>
      <x:c r="AF191" s="119" t="n">
        <x:f>IF(3&gt;D191,0,MAX(2,MIN('难度参数'!$E$12,ROUND(('难度参数'!$E$18*POWER(A191,'难度参数'!$E$19)/D191*(0.85+0.3*(3-1)/MAX(1,D191-1))),0)+F191)))</x:f>
        <x:v>28</x:v>
      </x:c>
      <x:c r="AG191" s="119" t="n">
        <x:f>IF(3&gt;D191,0,ROUND(('难度参数'!$E$13*POWER(A191,'难度参数'!$E$20)*MIN('难度参数'!$E$23,1+MAX(0,A191-'难度参数'!$E$21)*'难度参数'!$E$22))*(36+3*7)/(36+7*(D191+1)/2)*E191,0))</x:f>
        <x:v>5157</x:v>
      </x:c>
      <x:c r="AH191" s="119" t="n">
        <x:f>IF(AF191=0,0,(AF191-IF(3=D191,1,0))*ROUND(AG191*VLOOKUP(INDEX('章节与怪物'!$E$31:$K$37,B191,3),'章节与怪物'!$A$41:$F$44,2,FALSE),0)+IF(3=D191,ROUND(AG191*'难度参数'!$E$28*'章节与怪物'!$E$17,0),0))</x:f>
        <x:v>245476</x:v>
      </x:c>
      <x:c r="AI191" s="119" t="n">
        <x:f>IF(AF191=0,0,(AF191-IF(3=D191,1,0))*VLOOKUP(INDEX('章节与怪物'!$E$31:$K$37,B191,3),'章节与怪物'!$A$41:$F$44,4,FALSE)+IF(3=D191,'难度参数'!$E$30,0))</x:f>
        <x:v>784</x:v>
      </x:c>
      <x:c r="AJ191" s="119" t="n">
        <x:f>IF(4&gt;D191,0,MAX(2,MIN('难度参数'!$E$12,ROUND(('难度参数'!$E$18*POWER(A191,'难度参数'!$E$19)/D191*(0.85+0.3*(4-1)/MAX(1,D191-1))),0)+F191)))</x:f>
        <x:v>29</x:v>
      </x:c>
      <x:c r="AK191" s="119" t="n">
        <x:f>IF(4&gt;D191,0,ROUND(('难度参数'!$E$13*POWER(A191,'难度参数'!$E$20)*MIN('难度参数'!$E$23,1+MAX(0,A191-'难度参数'!$E$21)*'难度参数'!$E$22))*(36+4*7)/(36+7*(D191+1)/2)*E191,0))</x:f>
        <x:v>5790</x:v>
      </x:c>
      <x:c r="AL191" s="119" t="n">
        <x:f>IF(AJ191=0,0,(AJ191-IF(4=D191,1,0))*ROUND(AK191*VLOOKUP(INDEX('章节与怪物'!$E$31:$K$37,B191,4),'章节与怪物'!$A$41:$F$44,2,FALSE),0)+IF(4=D191,ROUND(AK191*'难度参数'!$E$28*'章节与怪物'!$E$17,0),0))</x:f>
        <x:v>226693</x:v>
      </x:c>
      <x:c r="AM191" s="119" t="n">
        <x:f>IF(AJ191=0,0,(AJ191-IF(4=D191,1,0))*VLOOKUP(INDEX('章节与怪物'!$E$31:$K$37,B191,4),'章节与怪物'!$A$41:$F$44,4,FALSE)+IF(4=D191,'难度参数'!$E$30,0))</x:f>
        <x:v>986</x:v>
      </x:c>
      <x:c r="AN191" s="119" t="n">
        <x:f>IF(5&gt;D191,0,MAX(2,MIN('难度参数'!$E$12,ROUND(('难度参数'!$E$18*POWER(A191,'难度参数'!$E$19)/D191*(0.85+0.3*(5-1)/MAX(1,D191-1))),0)+F191)))</x:f>
        <x:v>31</x:v>
      </x:c>
      <x:c r="AO191" s="119" t="n">
        <x:f>IF(5&gt;D191,0,ROUND(('难度参数'!$E$13*POWER(A191,'难度参数'!$E$20)*MIN('难度参数'!$E$23,1+MAX(0,A191-'难度参数'!$E$21)*'难度参数'!$E$22))*(36+5*7)/(36+7*(D191+1)/2)*E191,0))</x:f>
        <x:v>6424</x:v>
      </x:c>
      <x:c r="AP191" s="119" t="n">
        <x:f>IF(AN191=0,0,(AN191-IF(5=D191,1,0))*ROUND(AO191*VLOOKUP(INDEX('章节与怪物'!$E$31:$K$37,B191,5),'章节与怪物'!$A$41:$F$44,2,FALSE),0)+IF(5=D191,ROUND(AO191*'难度参数'!$E$28*'章节与怪物'!$E$17,0),0))</x:f>
        <x:v>199144</x:v>
      </x:c>
      <x:c r="AQ191" s="119" t="n">
        <x:f>IF(AN191=0,0,(AN191-IF(5=D191,1,0))*VLOOKUP(INDEX('章节与怪物'!$E$31:$K$37,B191,5),'章节与怪物'!$A$41:$F$44,4,FALSE)+IF(5=D191,'难度参数'!$E$30,0))</x:f>
        <x:v>558</x:v>
      </x:c>
      <x:c r="AR191" s="119" t="n">
        <x:f>IF(6&gt;D191,0,MAX(2,MIN('难度参数'!$E$12,ROUND(('难度参数'!$E$18*POWER(A191,'难度参数'!$E$19)/D191*(0.85+0.3*(6-1)/MAX(1,D191-1))),0)+F191)))</x:f>
        <x:v>32</x:v>
      </x:c>
      <x:c r="AS191" s="119" t="n">
        <x:f>IF(6&gt;D191,0,ROUND(('难度参数'!$E$13*POWER(A191,'难度参数'!$E$20)*MIN('难度参数'!$E$23,1+MAX(0,A191-'难度参数'!$E$21)*'难度参数'!$E$22))*(36+6*7)/(36+7*(D191+1)/2)*E191,0))</x:f>
        <x:v>7057</x:v>
      </x:c>
      <x:c r="AT191" s="119" t="n">
        <x:f>IF(AR191=0,0,(AR191-IF(6=D191,1,0))*ROUND(AS191*VLOOKUP(INDEX('章节与怪物'!$E$31:$K$37,B191,6),'章节与怪物'!$A$41:$F$44,2,FALSE),0)+IF(6=D191,ROUND(AS191*'难度参数'!$E$28*'章节与怪物'!$E$17,0),0))</x:f>
        <x:v>383904</x:v>
      </x:c>
      <x:c r="AU191" s="119" t="n">
        <x:f>IF(AR191=0,0,(AR191-IF(6=D191,1,0))*VLOOKUP(INDEX('章节与怪物'!$E$31:$K$37,B191,6),'章节与怪物'!$A$41:$F$44,4,FALSE)+IF(6=D191,'难度参数'!$E$30,0))</x:f>
        <x:v>896</x:v>
      </x:c>
      <x:c r="AV191" s="119" t="n">
        <x:f>IF(7&gt;D191,0,MAX(2,MIN('难度参数'!$E$12,ROUND(('难度参数'!$E$18*POWER(A191,'难度参数'!$E$19)/D191*(0.85+0.3*(7-1)/MAX(1,D191-1))),0)+F191)))</x:f>
        <x:v>34</x:v>
      </x:c>
      <x:c r="AW191" s="119" t="n">
        <x:f>IF(7&gt;D191,0,ROUND(('难度参数'!$E$13*POWER(A191,'难度参数'!$E$20)*MIN('难度参数'!$E$23,1+MAX(0,A191-'难度参数'!$E$21)*'难度参数'!$E$22))*(36+7*7)/(36+7*(D191+1)/2)*E191,0))</x:f>
        <x:v>7690</x:v>
      </x:c>
      <x:c r="AX191" s="119" t="n">
        <x:f>IF(AV191=0,0,(AV191-IF(7=D191,1,0))*ROUND(AW191*VLOOKUP(INDEX('章节与怪物'!$E$31:$K$37,B191,7),'章节与怪物'!$A$41:$F$44,2,FALSE),0)+IF(7=D191,ROUND(AW191*'难度参数'!$E$28*'章节与怪物'!$E$17,0),0))</x:f>
        <x:v>394898</x:v>
      </x:c>
      <x:c r="AY191" s="119" t="n">
        <x:f>IF(AV191=0,0,(AV191-IF(7=D191,1,0))*VLOOKUP(INDEX('章节与怪物'!$E$31:$K$37,B191,7),'章节与怪物'!$A$41:$F$44,4,FALSE)+IF(7=D191,'难度参数'!$E$30,0))</x:f>
        <x:v>1322</x:v>
      </x:c>
    </x:row>
    <x:row r="192" ht="23" customHeight="1">
      <x:c r="A192" s="119" t="n">
        <x:v>186</x:v>
      </x:c>
      <x:c r="B192" s="119" t="n">
        <x:f>MOD(INT((A192-1)/5),7)+1</x:f>
        <x:v>3</x:v>
      </x:c>
      <x:c r="C192" s="62" t="str">
        <x:f>INDEX('章节与怪物'!$B$31:$B$37,B192)</x:f>
        <x:v>腐沼秘林</x:v>
      </x:c>
      <x:c r="D192" s="119" t="n">
        <x:f>MIN('难度参数'!$E$8,MAX('难度参数'!$E$7,A192))</x:f>
        <x:v>7</x:v>
      </x:c>
      <x:c r="E192" s="106" t="n">
        <x:v>1</x:v>
      </x:c>
      <x:c r="F192" s="106" t="n">
        <x:v>0</x:v>
      </x:c>
      <x:c r="G192" s="106" t="n">
        <x:v>1</x:v>
      </x:c>
      <x:c r="H192" s="119" t="n">
        <x:f>SUM(X192,AB192,AF192,AJ192,AN192,AR192,AV192)</x:f>
        <x:v>205</x:v>
      </x:c>
      <x:c r="I192" s="119" t="n">
        <x:f>SUM(Z192,AD192,AH192,AL192,AP192,AT192,AX192)</x:f>
        <x:v>1582396</x:v>
      </x:c>
      <x:c r="J192" s="119" t="n">
        <x:f>ROUND(INDEX(X192:AY192,1,(D192-1)*4+2)*'难度参数'!$E$28*'章节与怪物'!$E$17,0)</x:f>
        <x:v>52496</x:v>
      </x:c>
      <x:c r="K192" s="119" t="n">
        <x:f>SUM(AA192,AE192,AI192,AM192,AQ192,AU192,AY192)</x:f>
        <x:v>5578</x:v>
      </x:c>
      <x:c r="L192" s="62" t="n">
        <x:f>H192*(ROUNDUP('难度参数'!$E$24/('难度参数'!$E$26*'难度参数'!$E$27),0)*'难度参数'!$E$26)/60</x:f>
        <x:v>2.7333333333333334</x:v>
      </x:c>
      <x:c r="M192" s="62" t="n">
        <x:f>L192+D192*('难度参数'!$E$49+'难度参数'!$E$50)/60</x:f>
        <x:v>3.9000000000000004</x:v>
      </x:c>
      <x:c r="N192" s="119" t="n">
        <x:f>ROUNDDOWN(('经济参数'!$E$20+A192*'经济参数'!$E$21)*G192,0)</x:f>
        <x:v>3900</x:v>
      </x:c>
      <x:c r="O192" s="119" t="n">
        <x:f>ROUNDDOWN(MIN('经济参数'!$E$24,'经济参数'!$E$22+A192*'经济参数'!$E$23)*G192,0)</x:f>
        <x:v>0</x:v>
      </x:c>
      <x:c r="P192" s="119" t="n">
        <x:f>ROUNDDOWN((IF(A192&gt;='材料与任务'!$E$31,'材料与任务'!$E$32,IF(A192&gt;='材料与任务'!$E$25,'材料与任务'!$E$26,IF(A192&gt;='材料与任务'!$E$19,'材料与任务'!$E$20,IF(A192&gt;='材料与任务'!$E$13,'材料与任务'!$E$14,'材料与任务'!$E$8)))))*G192,0)</x:f>
        <x:v>6</x:v>
      </x:c>
      <x:c r="Q192" s="119" t="n">
        <x:f>ROUNDDOWN((IF(A192&gt;='材料与任务'!$E$31,'材料与任务'!$E$33,IF(A192&gt;='材料与任务'!$E$25,'材料与任务'!$E$27,IF(A192&gt;='材料与任务'!$E$19,'材料与任务'!$E$21,IF(A192&gt;='材料与任务'!$E$13,'材料与任务'!$E$15,'材料与任务'!$E$9)))))*G192,0)</x:f>
        <x:v>3</x:v>
      </x:c>
      <x:c r="R192" s="110" t="n">
        <x:f>'装备掉落'!$B$38</x:f>
        <x:v>0.6872058758851213</x:v>
      </x:c>
      <x:c r="S192" s="119" t="n">
        <x:f>MAX(IF(VLOOKUP(A192,'装备掉落'!$A$29:$H$34,2,TRUE)&gt;0,1,0),IF(VLOOKUP(A192,'装备掉落'!$A$29:$H$34,3,TRUE)&gt;0,2,0),IF(VLOOKUP(A192,'装备掉落'!$A$29:$H$34,4,TRUE)&gt;0,3,0),IF(VLOOKUP(A192,'装备掉落'!$A$29:$H$34,5,TRUE)&gt;0,4,0),IF(VLOOKUP(A192,'装备掉落'!$A$29:$H$34,6,TRUE)&gt;0,5,0),IF(VLOOKUP(A192,'装备掉落'!$A$29:$H$34,7,TRUE)&gt;0,6,0),IF(VLOOKUP(A192,'装备掉落'!$A$29:$H$34,8,TRUE)&gt;0,7,0))</x:f>
        <x:v>7</x:v>
      </x:c>
      <x:c r="T192" s="119" t="n">
        <x:f>MIN(7,S192+'经济参数'!$E$70)</x:f>
        <x:v>7</x:v>
      </x:c>
      <x:c r="U192" s="119" t="n">
        <x:f>MIN(7,S192+'经济参数'!$E$71)</x:f>
        <x:v>7</x:v>
      </x:c>
      <x:c r="V192" s="119" t="n">
        <x:f>IF(H192&gt;=('难度参数'!$E$52),1,0)+IF(H192&gt;=('难度参数'!$E$52+'难度参数'!$E$53),1,0)+IF(H192&gt;=('难度参数'!$E$52+'难度参数'!$E$53+'难度参数'!$E$54),1,0)+IF(H192&gt;=('难度参数'!$E$52+'难度参数'!$E$53+'难度参数'!$E$54+'难度参数'!$E$55),1,0)+IF(H192&gt;=('难度参数'!$E$52+'难度参数'!$E$53+'难度参数'!$E$54+'难度参数'!$E$55+'难度参数'!$E$56),1,0)+IF(H192&gt;=('难度参数'!$E$52+'难度参数'!$E$53+'难度参数'!$E$54+'难度参数'!$E$55+'难度参数'!$E$56+'难度参数'!$E$57),1,0)</x:f>
        <x:v>6</x:v>
      </x:c>
      <x:c r="W192" s="62" t="str">
        <x:f>IF(L192&gt;'难度参数'!$E$51,"仅出怪已超目标","还需实测")</x:f>
        <x:v>还需实测</x:v>
      </x:c>
      <x:c r="X192" s="119" t="n">
        <x:f>IF(1&gt;D192,0,MAX(2,MIN('难度参数'!$E$12,ROUND(('难度参数'!$E$18*POWER(A192,'难度参数'!$E$19)/D192*(0.85+0.3*(1-1)/MAX(1,D192-1))),0)+F192)))</x:f>
        <x:v>25</x:v>
      </x:c>
      <x:c r="Y192" s="119" t="n">
        <x:f>IF(1&gt;D192,0,ROUND(('难度参数'!$E$13*POWER(A192,'难度参数'!$E$20)*MIN('难度参数'!$E$23,1+MAX(0,A192-'难度参数'!$E$21)*'难度参数'!$E$22))*(36+1*7)/(36+7*(D192+1)/2)*E192,0))</x:f>
        <x:v>3905</x:v>
      </x:c>
      <x:c r="Z192" s="119" t="n">
        <x:f>IF(X192=0,0,(X192-IF(1=D192,1,0))*ROUND(Y192*VLOOKUP(INDEX('章节与怪物'!$E$31:$K$37,B192,1),'章节与怪物'!$A$41:$F$44,2,FALSE),0)+IF(1=D192,ROUND(Y192*'难度参数'!$E$28*'章节与怪物'!$E$17,0),0))</x:f>
        <x:v>97625</x:v>
      </x:c>
      <x:c r="AA192" s="119" t="n">
        <x:f>IF(X192=0,0,(X192-IF(1=D192,1,0))*VLOOKUP(INDEX('章节与怪物'!$E$31:$K$37,B192,1),'章节与怪物'!$A$41:$F$44,4,FALSE)+IF(1=D192,'难度参数'!$E$30,0))</x:f>
        <x:v>450</x:v>
      </x:c>
      <x:c r="AB192" s="119" t="n">
        <x:f>IF(2&gt;D192,0,MAX(2,MIN('难度参数'!$E$12,ROUND(('难度参数'!$E$18*POWER(A192,'难度参数'!$E$19)/D192*(0.85+0.3*(2-1)/MAX(1,D192-1))),0)+F192)))</x:f>
        <x:v>26</x:v>
      </x:c>
      <x:c r="AC192" s="119" t="n">
        <x:f>IF(2&gt;D192,0,ROUND(('难度参数'!$E$13*POWER(A192,'难度参数'!$E$20)*MIN('难度参数'!$E$23,1+MAX(0,A192-'难度参数'!$E$21)*'难度参数'!$E$22))*(36+2*7)/(36+7*(D192+1)/2)*E192,0))</x:f>
        <x:v>4541</x:v>
      </x:c>
      <x:c r="AD192" s="119" t="n">
        <x:f>IF(AB192=0,0,(AB192-IF(2=D192,1,0))*ROUND(AC192*VLOOKUP(INDEX('章节与怪物'!$E$31:$K$37,B192,2),'章节与怪物'!$A$41:$F$44,2,FALSE),0)+IF(2=D192,ROUND(AC192*'难度参数'!$E$28*'章节与怪物'!$E$17,0),0))</x:f>
        <x:v>85020</x:v>
      </x:c>
      <x:c r="AE192" s="119" t="n">
        <x:f>IF(AB192=0,0,(AB192-IF(2=D192,1,0))*VLOOKUP(INDEX('章节与怪物'!$E$31:$K$37,B192,2),'章节与怪物'!$A$41:$F$44,4,FALSE)+IF(2=D192,'难度参数'!$E$30,0))</x:f>
        <x:v>520</x:v>
      </x:c>
      <x:c r="AF192" s="119" t="n">
        <x:f>IF(3&gt;D192,0,MAX(2,MIN('难度参数'!$E$12,ROUND(('难度参数'!$E$18*POWER(A192,'难度参数'!$E$19)/D192*(0.85+0.3*(3-1)/MAX(1,D192-1))),0)+F192)))</x:f>
        <x:v>28</x:v>
      </x:c>
      <x:c r="AG192" s="119" t="n">
        <x:f>IF(3&gt;D192,0,ROUND(('难度参数'!$E$13*POWER(A192,'难度参数'!$E$20)*MIN('难度参数'!$E$23,1+MAX(0,A192-'难度参数'!$E$21)*'难度参数'!$E$22))*(36+3*7)/(36+7*(D192+1)/2)*E192,0))</x:f>
        <x:v>5177</x:v>
      </x:c>
      <x:c r="AH192" s="119" t="n">
        <x:f>IF(AF192=0,0,(AF192-IF(3=D192,1,0))*ROUND(AG192*VLOOKUP(INDEX('章节与怪物'!$E$31:$K$37,B192,3),'章节与怪物'!$A$41:$F$44,2,FALSE),0)+IF(3=D192,ROUND(AG192*'难度参数'!$E$28*'章节与怪物'!$E$17,0),0))</x:f>
        <x:v>246428</x:v>
      </x:c>
      <x:c r="AI192" s="119" t="n">
        <x:f>IF(AF192=0,0,(AF192-IF(3=D192,1,0))*VLOOKUP(INDEX('章节与怪物'!$E$31:$K$37,B192,3),'章节与怪物'!$A$41:$F$44,4,FALSE)+IF(3=D192,'难度参数'!$E$30,0))</x:f>
        <x:v>784</x:v>
      </x:c>
      <x:c r="AJ192" s="119" t="n">
        <x:f>IF(4&gt;D192,0,MAX(2,MIN('难度参数'!$E$12,ROUND(('难度参数'!$E$18*POWER(A192,'难度参数'!$E$19)/D192*(0.85+0.3*(4-1)/MAX(1,D192-1))),0)+F192)))</x:f>
        <x:v>29</x:v>
      </x:c>
      <x:c r="AK192" s="119" t="n">
        <x:f>IF(4&gt;D192,0,ROUND(('难度参数'!$E$13*POWER(A192,'难度参数'!$E$20)*MIN('难度参数'!$E$23,1+MAX(0,A192-'难度参数'!$E$21)*'难度参数'!$E$22))*(36+4*7)/(36+7*(D192+1)/2)*E192,0))</x:f>
        <x:v>5813</x:v>
      </x:c>
      <x:c r="AL192" s="119" t="n">
        <x:f>IF(AJ192=0,0,(AJ192-IF(4=D192,1,0))*ROUND(AK192*VLOOKUP(INDEX('章节与怪物'!$E$31:$K$37,B192,4),'章节与怪物'!$A$41:$F$44,2,FALSE),0)+IF(4=D192,ROUND(AK192*'难度参数'!$E$28*'章节与怪物'!$E$17,0),0))</x:f>
        <x:v>227592</x:v>
      </x:c>
      <x:c r="AM192" s="119" t="n">
        <x:f>IF(AJ192=0,0,(AJ192-IF(4=D192,1,0))*VLOOKUP(INDEX('章节与怪物'!$E$31:$K$37,B192,4),'章节与怪物'!$A$41:$F$44,4,FALSE)+IF(4=D192,'难度参数'!$E$30,0))</x:f>
        <x:v>986</x:v>
      </x:c>
      <x:c r="AN192" s="119" t="n">
        <x:f>IF(5&gt;D192,0,MAX(2,MIN('难度参数'!$E$12,ROUND(('难度参数'!$E$18*POWER(A192,'难度参数'!$E$19)/D192*(0.85+0.3*(5-1)/MAX(1,D192-1))),0)+F192)))</x:f>
        <x:v>31</x:v>
      </x:c>
      <x:c r="AO192" s="119" t="n">
        <x:f>IF(5&gt;D192,0,ROUND(('难度参数'!$E$13*POWER(A192,'难度参数'!$E$20)*MIN('难度参数'!$E$23,1+MAX(0,A192-'难度参数'!$E$21)*'难度参数'!$E$22))*(36+5*7)/(36+7*(D192+1)/2)*E192,0))</x:f>
        <x:v>6449</x:v>
      </x:c>
      <x:c r="AP192" s="119" t="n">
        <x:f>IF(AN192=0,0,(AN192-IF(5=D192,1,0))*ROUND(AO192*VLOOKUP(INDEX('章节与怪物'!$E$31:$K$37,B192,5),'章节与怪物'!$A$41:$F$44,2,FALSE),0)+IF(5=D192,ROUND(AO192*'难度参数'!$E$28*'章节与怪物'!$E$17,0),0))</x:f>
        <x:v>143933</x:v>
      </x:c>
      <x:c r="AQ192" s="119" t="n">
        <x:f>IF(AN192=0,0,(AN192-IF(5=D192,1,0))*VLOOKUP(INDEX('章节与怪物'!$E$31:$K$37,B192,5),'章节与怪物'!$A$41:$F$44,4,FALSE)+IF(5=D192,'难度参数'!$E$30,0))</x:f>
        <x:v>620</x:v>
      </x:c>
      <x:c r="AR192" s="119" t="n">
        <x:f>IF(6&gt;D192,0,MAX(2,MIN('难度参数'!$E$12,ROUND(('难度参数'!$E$18*POWER(A192,'难度参数'!$E$19)/D192*(0.85+0.3*(6-1)/MAX(1,D192-1))),0)+F192)))</x:f>
        <x:v>32</x:v>
      </x:c>
      <x:c r="AS192" s="119" t="n">
        <x:f>IF(6&gt;D192,0,ROUND(('难度参数'!$E$13*POWER(A192,'难度参数'!$E$20)*MIN('难度参数'!$E$23,1+MAX(0,A192-'难度参数'!$E$21)*'难度参数'!$E$22))*(36+6*7)/(36+7*(D192+1)/2)*E192,0))</x:f>
        <x:v>7084</x:v>
      </x:c>
      <x:c r="AT192" s="119" t="n">
        <x:f>IF(AR192=0,0,(AR192-IF(6=D192,1,0))*ROUND(AS192*VLOOKUP(INDEX('章节与怪物'!$E$31:$K$37,B192,6),'章节与怪物'!$A$41:$F$44,2,FALSE),0)+IF(6=D192,ROUND(AS192*'难度参数'!$E$28*'章节与怪物'!$E$17,0),0))</x:f>
        <x:v>385376</x:v>
      </x:c>
      <x:c r="AU192" s="119" t="n">
        <x:f>IF(AR192=0,0,(AR192-IF(6=D192,1,0))*VLOOKUP(INDEX('章节与怪物'!$E$31:$K$37,B192,6),'章节与怪物'!$A$41:$F$44,4,FALSE)+IF(6=D192,'难度参数'!$E$30,0))</x:f>
        <x:v>896</x:v>
      </x:c>
      <x:c r="AV192" s="119" t="n">
        <x:f>IF(7&gt;D192,0,MAX(2,MIN('难度参数'!$E$12,ROUND(('难度参数'!$E$18*POWER(A192,'难度参数'!$E$19)/D192*(0.85+0.3*(7-1)/MAX(1,D192-1))),0)+F192)))</x:f>
        <x:v>34</x:v>
      </x:c>
      <x:c r="AW192" s="119" t="n">
        <x:f>IF(7&gt;D192,0,ROUND(('难度参数'!$E$13*POWER(A192,'难度参数'!$E$20)*MIN('难度参数'!$E$23,1+MAX(0,A192-'难度参数'!$E$21)*'难度参数'!$E$22))*(36+7*7)/(36+7*(D192+1)/2)*E192,0))</x:f>
        <x:v>7720</x:v>
      </x:c>
      <x:c r="AX192" s="119" t="n">
        <x:f>IF(AV192=0,0,(AV192-IF(7=D192,1,0))*ROUND(AW192*VLOOKUP(INDEX('章节与怪物'!$E$31:$K$37,B192,7),'章节与怪物'!$A$41:$F$44,2,FALSE),0)+IF(7=D192,ROUND(AW192*'难度参数'!$E$28*'章节与怪物'!$E$17,0),0))</x:f>
        <x:v>396422</x:v>
      </x:c>
      <x:c r="AY192" s="119" t="n">
        <x:f>IF(AV192=0,0,(AV192-IF(7=D192,1,0))*VLOOKUP(INDEX('章节与怪物'!$E$31:$K$37,B192,7),'章节与怪物'!$A$41:$F$44,4,FALSE)+IF(7=D192,'难度参数'!$E$30,0))</x:f>
        <x:v>1322</x:v>
      </x:c>
    </x:row>
    <x:row r="193" ht="23" customHeight="1">
      <x:c r="A193" s="119" t="n">
        <x:v>187</x:v>
      </x:c>
      <x:c r="B193" s="119" t="n">
        <x:f>MOD(INT((A193-1)/5),7)+1</x:f>
        <x:v>3</x:v>
      </x:c>
      <x:c r="C193" s="62" t="str">
        <x:f>INDEX('章节与怪物'!$B$31:$B$37,B193)</x:f>
        <x:v>腐沼秘林</x:v>
      </x:c>
      <x:c r="D193" s="119" t="n">
        <x:f>MIN('难度参数'!$E$8,MAX('难度参数'!$E$7,A193))</x:f>
        <x:v>7</x:v>
      </x:c>
      <x:c r="E193" s="106" t="n">
        <x:v>1</x:v>
      </x:c>
      <x:c r="F193" s="106" t="n">
        <x:v>0</x:v>
      </x:c>
      <x:c r="G193" s="106" t="n">
        <x:v>1</x:v>
      </x:c>
      <x:c r="H193" s="119" t="n">
        <x:f>SUM(X193,AB193,AF193,AJ193,AN193,AR193,AV193)</x:f>
        <x:v>205</x:v>
      </x:c>
      <x:c r="I193" s="119" t="n">
        <x:f>SUM(Z193,AD193,AH193,AL193,AP193,AT193,AX193)</x:f>
        <x:v>1588520</x:v>
      </x:c>
      <x:c r="J193" s="119" t="n">
        <x:f>ROUND(INDEX(X193:AY193,1,(D193-1)*4+2)*'难度参数'!$E$28*'章节与怪物'!$E$17,0)</x:f>
        <x:v>52700</x:v>
      </x:c>
      <x:c r="K193" s="119" t="n">
        <x:f>SUM(AA193,AE193,AI193,AM193,AQ193,AU193,AY193)</x:f>
        <x:v>5578</x:v>
      </x:c>
      <x:c r="L193" s="62" t="n">
        <x:f>H193*(ROUNDUP('难度参数'!$E$24/('难度参数'!$E$26*'难度参数'!$E$27),0)*'难度参数'!$E$26)/60</x:f>
        <x:v>2.7333333333333334</x:v>
      </x:c>
      <x:c r="M193" s="62" t="n">
        <x:f>L193+D193*('难度参数'!$E$49+'难度参数'!$E$50)/60</x:f>
        <x:v>3.9000000000000004</x:v>
      </x:c>
      <x:c r="N193" s="119" t="n">
        <x:f>ROUNDDOWN(('经济参数'!$E$20+A193*'经济参数'!$E$21)*G193,0)</x:f>
        <x:v>3920</x:v>
      </x:c>
      <x:c r="O193" s="119" t="n">
        <x:f>ROUNDDOWN(MIN('经济参数'!$E$24,'经济参数'!$E$22+A193*'经济参数'!$E$23)*G193,0)</x:f>
        <x:v>0</x:v>
      </x:c>
      <x:c r="P193" s="119" t="n">
        <x:f>ROUNDDOWN((IF(A193&gt;='材料与任务'!$E$31,'材料与任务'!$E$32,IF(A193&gt;='材料与任务'!$E$25,'材料与任务'!$E$26,IF(A193&gt;='材料与任务'!$E$19,'材料与任务'!$E$20,IF(A193&gt;='材料与任务'!$E$13,'材料与任务'!$E$14,'材料与任务'!$E$8)))))*G193,0)</x:f>
        <x:v>6</x:v>
      </x:c>
      <x:c r="Q193" s="119" t="n">
        <x:f>ROUNDDOWN((IF(A193&gt;='材料与任务'!$E$31,'材料与任务'!$E$33,IF(A193&gt;='材料与任务'!$E$25,'材料与任务'!$E$27,IF(A193&gt;='材料与任务'!$E$19,'材料与任务'!$E$21,IF(A193&gt;='材料与任务'!$E$13,'材料与任务'!$E$15,'材料与任务'!$E$9)))))*G193,0)</x:f>
        <x:v>3</x:v>
      </x:c>
      <x:c r="R193" s="110" t="n">
        <x:f>'装备掉落'!$B$38</x:f>
        <x:v>0.6872058758851213</x:v>
      </x:c>
      <x:c r="S193" s="119" t="n">
        <x:f>MAX(IF(VLOOKUP(A193,'装备掉落'!$A$29:$H$34,2,TRUE)&gt;0,1,0),IF(VLOOKUP(A193,'装备掉落'!$A$29:$H$34,3,TRUE)&gt;0,2,0),IF(VLOOKUP(A193,'装备掉落'!$A$29:$H$34,4,TRUE)&gt;0,3,0),IF(VLOOKUP(A193,'装备掉落'!$A$29:$H$34,5,TRUE)&gt;0,4,0),IF(VLOOKUP(A193,'装备掉落'!$A$29:$H$34,6,TRUE)&gt;0,5,0),IF(VLOOKUP(A193,'装备掉落'!$A$29:$H$34,7,TRUE)&gt;0,6,0),IF(VLOOKUP(A193,'装备掉落'!$A$29:$H$34,8,TRUE)&gt;0,7,0))</x:f>
        <x:v>7</x:v>
      </x:c>
      <x:c r="T193" s="119" t="n">
        <x:f>MIN(7,S193+'经济参数'!$E$70)</x:f>
        <x:v>7</x:v>
      </x:c>
      <x:c r="U193" s="119" t="n">
        <x:f>MIN(7,S193+'经济参数'!$E$71)</x:f>
        <x:v>7</x:v>
      </x:c>
      <x:c r="V193" s="119" t="n">
        <x:f>IF(H193&gt;=('难度参数'!$E$52),1,0)+IF(H193&gt;=('难度参数'!$E$52+'难度参数'!$E$53),1,0)+IF(H193&gt;=('难度参数'!$E$52+'难度参数'!$E$53+'难度参数'!$E$54),1,0)+IF(H193&gt;=('难度参数'!$E$52+'难度参数'!$E$53+'难度参数'!$E$54+'难度参数'!$E$55),1,0)+IF(H193&gt;=('难度参数'!$E$52+'难度参数'!$E$53+'难度参数'!$E$54+'难度参数'!$E$55+'难度参数'!$E$56),1,0)+IF(H193&gt;=('难度参数'!$E$52+'难度参数'!$E$53+'难度参数'!$E$54+'难度参数'!$E$55+'难度参数'!$E$56+'难度参数'!$E$57),1,0)</x:f>
        <x:v>6</x:v>
      </x:c>
      <x:c r="W193" s="62" t="str">
        <x:f>IF(L193&gt;'难度参数'!$E$51,"仅出怪已超目标","还需实测")</x:f>
        <x:v>还需实测</x:v>
      </x:c>
      <x:c r="X193" s="119" t="n">
        <x:f>IF(1&gt;D193,0,MAX(2,MIN('难度参数'!$E$12,ROUND(('难度参数'!$E$18*POWER(A193,'难度参数'!$E$19)/D193*(0.85+0.3*(1-1)/MAX(1,D193-1))),0)+F193)))</x:f>
        <x:v>25</x:v>
      </x:c>
      <x:c r="Y193" s="119" t="n">
        <x:f>IF(1&gt;D193,0,ROUND(('难度参数'!$E$13*POWER(A193,'难度参数'!$E$20)*MIN('难度参数'!$E$23,1+MAX(0,A193-'难度参数'!$E$21)*'难度参数'!$E$22))*(36+1*7)/(36+7*(D193+1)/2)*E193,0))</x:f>
        <x:v>3921</x:v>
      </x:c>
      <x:c r="Z193" s="119" t="n">
        <x:f>IF(X193=0,0,(X193-IF(1=D193,1,0))*ROUND(Y193*VLOOKUP(INDEX('章节与怪物'!$E$31:$K$37,B193,1),'章节与怪物'!$A$41:$F$44,2,FALSE),0)+IF(1=D193,ROUND(Y193*'难度参数'!$E$28*'章节与怪物'!$E$17,0),0))</x:f>
        <x:v>98025</x:v>
      </x:c>
      <x:c r="AA193" s="119" t="n">
        <x:f>IF(X193=0,0,(X193-IF(1=D193,1,0))*VLOOKUP(INDEX('章节与怪物'!$E$31:$K$37,B193,1),'章节与怪物'!$A$41:$F$44,4,FALSE)+IF(1=D193,'难度参数'!$E$30,0))</x:f>
        <x:v>450</x:v>
      </x:c>
      <x:c r="AB193" s="119" t="n">
        <x:f>IF(2&gt;D193,0,MAX(2,MIN('难度参数'!$E$12,ROUND(('难度参数'!$E$18*POWER(A193,'难度参数'!$E$19)/D193*(0.85+0.3*(2-1)/MAX(1,D193-1))),0)+F193)))</x:f>
        <x:v>26</x:v>
      </x:c>
      <x:c r="AC193" s="119" t="n">
        <x:f>IF(2&gt;D193,0,ROUND(('难度参数'!$E$13*POWER(A193,'难度参数'!$E$20)*MIN('难度参数'!$E$23,1+MAX(0,A193-'难度参数'!$E$21)*'难度参数'!$E$22))*(36+2*7)/(36+7*(D193+1)/2)*E193,0))</x:f>
        <x:v>4559</x:v>
      </x:c>
      <x:c r="AD193" s="119" t="n">
        <x:f>IF(AB193=0,0,(AB193-IF(2=D193,1,0))*ROUND(AC193*VLOOKUP(INDEX('章节与怪物'!$E$31:$K$37,B193,2),'章节与怪物'!$A$41:$F$44,2,FALSE),0)+IF(2=D193,ROUND(AC193*'难度参数'!$E$28*'章节与怪物'!$E$17,0),0))</x:f>
        <x:v>85332</x:v>
      </x:c>
      <x:c r="AE193" s="119" t="n">
        <x:f>IF(AB193=0,0,(AB193-IF(2=D193,1,0))*VLOOKUP(INDEX('章节与怪物'!$E$31:$K$37,B193,2),'章节与怪物'!$A$41:$F$44,4,FALSE)+IF(2=D193,'难度参数'!$E$30,0))</x:f>
        <x:v>520</x:v>
      </x:c>
      <x:c r="AF193" s="119" t="n">
        <x:f>IF(3&gt;D193,0,MAX(2,MIN('难度参数'!$E$12,ROUND(('难度参数'!$E$18*POWER(A193,'难度参数'!$E$19)/D193*(0.85+0.3*(3-1)/MAX(1,D193-1))),0)+F193)))</x:f>
        <x:v>28</x:v>
      </x:c>
      <x:c r="AG193" s="119" t="n">
        <x:f>IF(3&gt;D193,0,ROUND(('难度参数'!$E$13*POWER(A193,'难度参数'!$E$20)*MIN('难度参数'!$E$23,1+MAX(0,A193-'难度参数'!$E$21)*'难度参数'!$E$22))*(36+3*7)/(36+7*(D193+1)/2)*E193,0))</x:f>
        <x:v>5197</x:v>
      </x:c>
      <x:c r="AH193" s="119" t="n">
        <x:f>IF(AF193=0,0,(AF193-IF(3=D193,1,0))*ROUND(AG193*VLOOKUP(INDEX('章节与怪物'!$E$31:$K$37,B193,3),'章节与怪物'!$A$41:$F$44,2,FALSE),0)+IF(3=D193,ROUND(AG193*'难度参数'!$E$28*'章节与怪物'!$E$17,0),0))</x:f>
        <x:v>247380</x:v>
      </x:c>
      <x:c r="AI193" s="119" t="n">
        <x:f>IF(AF193=0,0,(AF193-IF(3=D193,1,0))*VLOOKUP(INDEX('章节与怪物'!$E$31:$K$37,B193,3),'章节与怪物'!$A$41:$F$44,4,FALSE)+IF(3=D193,'难度参数'!$E$30,0))</x:f>
        <x:v>784</x:v>
      </x:c>
      <x:c r="AJ193" s="119" t="n">
        <x:f>IF(4&gt;D193,0,MAX(2,MIN('难度参数'!$E$12,ROUND(('难度参数'!$E$18*POWER(A193,'难度参数'!$E$19)/D193*(0.85+0.3*(4-1)/MAX(1,D193-1))),0)+F193)))</x:f>
        <x:v>29</x:v>
      </x:c>
      <x:c r="AK193" s="119" t="n">
        <x:f>IF(4&gt;D193,0,ROUND(('难度参数'!$E$13*POWER(A193,'难度参数'!$E$20)*MIN('难度参数'!$E$23,1+MAX(0,A193-'难度参数'!$E$21)*'难度参数'!$E$22))*(36+4*7)/(36+7*(D193+1)/2)*E193,0))</x:f>
        <x:v>5835</x:v>
      </x:c>
      <x:c r="AL193" s="119" t="n">
        <x:f>IF(AJ193=0,0,(AJ193-IF(4=D193,1,0))*ROUND(AK193*VLOOKUP(INDEX('章节与怪物'!$E$31:$K$37,B193,4),'章节与怪物'!$A$41:$F$44,2,FALSE),0)+IF(4=D193,ROUND(AK193*'难度参数'!$E$28*'章节与怪物'!$E$17,0),0))</x:f>
        <x:v>228433</x:v>
      </x:c>
      <x:c r="AM193" s="119" t="n">
        <x:f>IF(AJ193=0,0,(AJ193-IF(4=D193,1,0))*VLOOKUP(INDEX('章节与怪物'!$E$31:$K$37,B193,4),'章节与怪物'!$A$41:$F$44,4,FALSE)+IF(4=D193,'难度参数'!$E$30,0))</x:f>
        <x:v>986</x:v>
      </x:c>
      <x:c r="AN193" s="119" t="n">
        <x:f>IF(5&gt;D193,0,MAX(2,MIN('难度参数'!$E$12,ROUND(('难度参数'!$E$18*POWER(A193,'难度参数'!$E$19)/D193*(0.85+0.3*(5-1)/MAX(1,D193-1))),0)+F193)))</x:f>
        <x:v>31</x:v>
      </x:c>
      <x:c r="AO193" s="119" t="n">
        <x:f>IF(5&gt;D193,0,ROUND(('难度参数'!$E$13*POWER(A193,'难度参数'!$E$20)*MIN('难度参数'!$E$23,1+MAX(0,A193-'难度参数'!$E$21)*'难度参数'!$E$22))*(36+5*7)/(36+7*(D193+1)/2)*E193,0))</x:f>
        <x:v>6473</x:v>
      </x:c>
      <x:c r="AP193" s="119" t="n">
        <x:f>IF(AN193=0,0,(AN193-IF(5=D193,1,0))*ROUND(AO193*VLOOKUP(INDEX('章节与怪物'!$E$31:$K$37,B193,5),'章节与怪物'!$A$41:$F$44,2,FALSE),0)+IF(5=D193,ROUND(AO193*'难度参数'!$E$28*'章节与怪物'!$E$17,0),0))</x:f>
        <x:v>144491</x:v>
      </x:c>
      <x:c r="AQ193" s="119" t="n">
        <x:f>IF(AN193=0,0,(AN193-IF(5=D193,1,0))*VLOOKUP(INDEX('章节与怪物'!$E$31:$K$37,B193,5),'章节与怪物'!$A$41:$F$44,4,FALSE)+IF(5=D193,'难度参数'!$E$30,0))</x:f>
        <x:v>620</x:v>
      </x:c>
      <x:c r="AR193" s="119" t="n">
        <x:f>IF(6&gt;D193,0,MAX(2,MIN('难度参数'!$E$12,ROUND(('难度参数'!$E$18*POWER(A193,'难度参数'!$E$19)/D193*(0.85+0.3*(6-1)/MAX(1,D193-1))),0)+F193)))</x:f>
        <x:v>32</x:v>
      </x:c>
      <x:c r="AS193" s="119" t="n">
        <x:f>IF(6&gt;D193,0,ROUND(('难度参数'!$E$13*POWER(A193,'难度参数'!$E$20)*MIN('难度参数'!$E$23,1+MAX(0,A193-'难度参数'!$E$21)*'难度参数'!$E$22))*(36+6*7)/(36+7*(D193+1)/2)*E193,0))</x:f>
        <x:v>7112</x:v>
      </x:c>
      <x:c r="AT193" s="119" t="n">
        <x:f>IF(AR193=0,0,(AR193-IF(6=D193,1,0))*ROUND(AS193*VLOOKUP(INDEX('章节与怪物'!$E$31:$K$37,B193,6),'章节与怪物'!$A$41:$F$44,2,FALSE),0)+IF(6=D193,ROUND(AS193*'难度参数'!$E$28*'章节与怪物'!$E$17,0),0))</x:f>
        <x:v>386880</x:v>
      </x:c>
      <x:c r="AU193" s="119" t="n">
        <x:f>IF(AR193=0,0,(AR193-IF(6=D193,1,0))*VLOOKUP(INDEX('章节与怪物'!$E$31:$K$37,B193,6),'章节与怪物'!$A$41:$F$44,4,FALSE)+IF(6=D193,'难度参数'!$E$30,0))</x:f>
        <x:v>896</x:v>
      </x:c>
      <x:c r="AV193" s="119" t="n">
        <x:f>IF(7&gt;D193,0,MAX(2,MIN('难度参数'!$E$12,ROUND(('难度参数'!$E$18*POWER(A193,'难度参数'!$E$19)/D193*(0.85+0.3*(7-1)/MAX(1,D193-1))),0)+F193)))</x:f>
        <x:v>34</x:v>
      </x:c>
      <x:c r="AW193" s="119" t="n">
        <x:f>IF(7&gt;D193,0,ROUND(('难度参数'!$E$13*POWER(A193,'难度参数'!$E$20)*MIN('难度参数'!$E$23,1+MAX(0,A193-'难度参数'!$E$21)*'难度参数'!$E$22))*(36+7*7)/(36+7*(D193+1)/2)*E193,0))</x:f>
        <x:v>7750</x:v>
      </x:c>
      <x:c r="AX193" s="119" t="n">
        <x:f>IF(AV193=0,0,(AV193-IF(7=D193,1,0))*ROUND(AW193*VLOOKUP(INDEX('章节与怪物'!$E$31:$K$37,B193,7),'章节与怪物'!$A$41:$F$44,2,FALSE),0)+IF(7=D193,ROUND(AW193*'难度参数'!$E$28*'章节与怪物'!$E$17,0),0))</x:f>
        <x:v>397979</x:v>
      </x:c>
      <x:c r="AY193" s="119" t="n">
        <x:f>IF(AV193=0,0,(AV193-IF(7=D193,1,0))*VLOOKUP(INDEX('章节与怪物'!$E$31:$K$37,B193,7),'章节与怪物'!$A$41:$F$44,4,FALSE)+IF(7=D193,'难度参数'!$E$30,0))</x:f>
        <x:v>1322</x:v>
      </x:c>
    </x:row>
    <x:row r="194" ht="23" customHeight="1">
      <x:c r="A194" s="119" t="n">
        <x:v>188</x:v>
      </x:c>
      <x:c r="B194" s="119" t="n">
        <x:f>MOD(INT((A194-1)/5),7)+1</x:f>
        <x:v>3</x:v>
      </x:c>
      <x:c r="C194" s="62" t="str">
        <x:f>INDEX('章节与怪物'!$B$31:$B$37,B194)</x:f>
        <x:v>腐沼秘林</x:v>
      </x:c>
      <x:c r="D194" s="119" t="n">
        <x:f>MIN('难度参数'!$E$8,MAX('难度参数'!$E$7,A194))</x:f>
        <x:v>7</x:v>
      </x:c>
      <x:c r="E194" s="106" t="n">
        <x:v>1</x:v>
      </x:c>
      <x:c r="F194" s="106" t="n">
        <x:v>0</x:v>
      </x:c>
      <x:c r="G194" s="106" t="n">
        <x:v>1</x:v>
      </x:c>
      <x:c r="H194" s="119" t="n">
        <x:f>SUM(X194,AB194,AF194,AJ194,AN194,AR194,AV194)</x:f>
        <x:v>206</x:v>
      </x:c>
      <x:c r="I194" s="119" t="n">
        <x:f>SUM(Z194,AD194,AH194,AL194,AP194,AT194,AX194)</x:f>
        <x:v>1597933</x:v>
      </x:c>
      <x:c r="J194" s="119" t="n">
        <x:f>ROUND(INDEX(X194:AY194,1,(D194-1)*4+2)*'难度参数'!$E$28*'章节与怪物'!$E$17,0)</x:f>
        <x:v>52904</x:v>
      </x:c>
      <x:c r="K194" s="119" t="n">
        <x:f>SUM(AA194,AE194,AI194,AM194,AQ194,AU194,AY194)</x:f>
        <x:v>5598</x:v>
      </x:c>
      <x:c r="L194" s="62" t="n">
        <x:f>H194*(ROUNDUP('难度参数'!$E$24/('难度参数'!$E$26*'难度参数'!$E$27),0)*'难度参数'!$E$26)/60</x:f>
        <x:v>2.746666666666667</x:v>
      </x:c>
      <x:c r="M194" s="62" t="n">
        <x:f>L194+D194*('难度参数'!$E$49+'难度参数'!$E$50)/60</x:f>
        <x:v>3.913333333333334</x:v>
      </x:c>
      <x:c r="N194" s="119" t="n">
        <x:f>ROUNDDOWN(('经济参数'!$E$20+A194*'经济参数'!$E$21)*G194,0)</x:f>
        <x:v>3940</x:v>
      </x:c>
      <x:c r="O194" s="119" t="n">
        <x:f>ROUNDDOWN(MIN('经济参数'!$E$24,'经济参数'!$E$22+A194*'经济参数'!$E$23)*G194,0)</x:f>
        <x:v>0</x:v>
      </x:c>
      <x:c r="P194" s="119" t="n">
        <x:f>ROUNDDOWN((IF(A194&gt;='材料与任务'!$E$31,'材料与任务'!$E$32,IF(A194&gt;='材料与任务'!$E$25,'材料与任务'!$E$26,IF(A194&gt;='材料与任务'!$E$19,'材料与任务'!$E$20,IF(A194&gt;='材料与任务'!$E$13,'材料与任务'!$E$14,'材料与任务'!$E$8)))))*G194,0)</x:f>
        <x:v>6</x:v>
      </x:c>
      <x:c r="Q194" s="119" t="n">
        <x:f>ROUNDDOWN((IF(A194&gt;='材料与任务'!$E$31,'材料与任务'!$E$33,IF(A194&gt;='材料与任务'!$E$25,'材料与任务'!$E$27,IF(A194&gt;='材料与任务'!$E$19,'材料与任务'!$E$21,IF(A194&gt;='材料与任务'!$E$13,'材料与任务'!$E$15,'材料与任务'!$E$9)))))*G194,0)</x:f>
        <x:v>3</x:v>
      </x:c>
      <x:c r="R194" s="110" t="n">
        <x:f>'装备掉落'!$B$38</x:f>
        <x:v>0.6872058758851213</x:v>
      </x:c>
      <x:c r="S194" s="119" t="n">
        <x:f>MAX(IF(VLOOKUP(A194,'装备掉落'!$A$29:$H$34,2,TRUE)&gt;0,1,0),IF(VLOOKUP(A194,'装备掉落'!$A$29:$H$34,3,TRUE)&gt;0,2,0),IF(VLOOKUP(A194,'装备掉落'!$A$29:$H$34,4,TRUE)&gt;0,3,0),IF(VLOOKUP(A194,'装备掉落'!$A$29:$H$34,5,TRUE)&gt;0,4,0),IF(VLOOKUP(A194,'装备掉落'!$A$29:$H$34,6,TRUE)&gt;0,5,0),IF(VLOOKUP(A194,'装备掉落'!$A$29:$H$34,7,TRUE)&gt;0,6,0),IF(VLOOKUP(A194,'装备掉落'!$A$29:$H$34,8,TRUE)&gt;0,7,0))</x:f>
        <x:v>7</x:v>
      </x:c>
      <x:c r="T194" s="119" t="n">
        <x:f>MIN(7,S194+'经济参数'!$E$70)</x:f>
        <x:v>7</x:v>
      </x:c>
      <x:c r="U194" s="119" t="n">
        <x:f>MIN(7,S194+'经济参数'!$E$71)</x:f>
        <x:v>7</x:v>
      </x:c>
      <x:c r="V194" s="119" t="n">
        <x:f>IF(H194&gt;=('难度参数'!$E$52),1,0)+IF(H194&gt;=('难度参数'!$E$52+'难度参数'!$E$53),1,0)+IF(H194&gt;=('难度参数'!$E$52+'难度参数'!$E$53+'难度参数'!$E$54),1,0)+IF(H194&gt;=('难度参数'!$E$52+'难度参数'!$E$53+'难度参数'!$E$54+'难度参数'!$E$55),1,0)+IF(H194&gt;=('难度参数'!$E$52+'难度参数'!$E$53+'难度参数'!$E$54+'难度参数'!$E$55+'难度参数'!$E$56),1,0)+IF(H194&gt;=('难度参数'!$E$52+'难度参数'!$E$53+'难度参数'!$E$54+'难度参数'!$E$55+'难度参数'!$E$56+'难度参数'!$E$57),1,0)</x:f>
        <x:v>6</x:v>
      </x:c>
      <x:c r="W194" s="62" t="str">
        <x:f>IF(L194&gt;'难度参数'!$E$51,"仅出怪已超目标","还需实测")</x:f>
        <x:v>还需实测</x:v>
      </x:c>
      <x:c r="X194" s="119" t="n">
        <x:f>IF(1&gt;D194,0,MAX(2,MIN('难度参数'!$E$12,ROUND(('难度参数'!$E$18*POWER(A194,'难度参数'!$E$19)/D194*(0.85+0.3*(1-1)/MAX(1,D194-1))),0)+F194)))</x:f>
        <x:v>25</x:v>
      </x:c>
      <x:c r="Y194" s="119" t="n">
        <x:f>IF(1&gt;D194,0,ROUND(('难度参数'!$E$13*POWER(A194,'难度参数'!$E$20)*MIN('难度参数'!$E$23,1+MAX(0,A194-'难度参数'!$E$21)*'难度参数'!$E$22))*(36+1*7)/(36+7*(D194+1)/2)*E194,0))</x:f>
        <x:v>3936</x:v>
      </x:c>
      <x:c r="Z194" s="119" t="n">
        <x:f>IF(X194=0,0,(X194-IF(1=D194,1,0))*ROUND(Y194*VLOOKUP(INDEX('章节与怪物'!$E$31:$K$37,B194,1),'章节与怪物'!$A$41:$F$44,2,FALSE),0)+IF(1=D194,ROUND(Y194*'难度参数'!$E$28*'章节与怪物'!$E$17,0),0))</x:f>
        <x:v>98400</x:v>
      </x:c>
      <x:c r="AA194" s="119" t="n">
        <x:f>IF(X194=0,0,(X194-IF(1=D194,1,0))*VLOOKUP(INDEX('章节与怪物'!$E$31:$K$37,B194,1),'章节与怪物'!$A$41:$F$44,4,FALSE)+IF(1=D194,'难度参数'!$E$30,0))</x:f>
        <x:v>450</x:v>
      </x:c>
      <x:c r="AB194" s="119" t="n">
        <x:f>IF(2&gt;D194,0,MAX(2,MIN('难度参数'!$E$12,ROUND(('难度参数'!$E$18*POWER(A194,'难度参数'!$E$19)/D194*(0.85+0.3*(2-1)/MAX(1,D194-1))),0)+F194)))</x:f>
        <x:v>27</x:v>
      </x:c>
      <x:c r="AC194" s="119" t="n">
        <x:f>IF(2&gt;D194,0,ROUND(('难度参数'!$E$13*POWER(A194,'难度参数'!$E$20)*MIN('难度参数'!$E$23,1+MAX(0,A194-'难度参数'!$E$21)*'难度参数'!$E$22))*(36+2*7)/(36+7*(D194+1)/2)*E194,0))</x:f>
        <x:v>4576</x:v>
      </x:c>
      <x:c r="AD194" s="119" t="n">
        <x:f>IF(AB194=0,0,(AB194-IF(2=D194,1,0))*ROUND(AC194*VLOOKUP(INDEX('章节与怪物'!$E$31:$K$37,B194,2),'章节与怪物'!$A$41:$F$44,2,FALSE),0)+IF(2=D194,ROUND(AC194*'难度参数'!$E$28*'章节与怪物'!$E$17,0),0))</x:f>
        <x:v>88965</x:v>
      </x:c>
      <x:c r="AE194" s="119" t="n">
        <x:f>IF(AB194=0,0,(AB194-IF(2=D194,1,0))*VLOOKUP(INDEX('章节与怪物'!$E$31:$K$37,B194,2),'章节与怪物'!$A$41:$F$44,4,FALSE)+IF(2=D194,'难度参数'!$E$30,0))</x:f>
        <x:v>540</x:v>
      </x:c>
      <x:c r="AF194" s="119" t="n">
        <x:f>IF(3&gt;D194,0,MAX(2,MIN('难度参数'!$E$12,ROUND(('难度参数'!$E$18*POWER(A194,'难度参数'!$E$19)/D194*(0.85+0.3*(3-1)/MAX(1,D194-1))),0)+F194)))</x:f>
        <x:v>28</x:v>
      </x:c>
      <x:c r="AG194" s="119" t="n">
        <x:f>IF(3&gt;D194,0,ROUND(('难度参数'!$E$13*POWER(A194,'难度参数'!$E$20)*MIN('难度参数'!$E$23,1+MAX(0,A194-'难度参数'!$E$21)*'难度参数'!$E$22))*(36+3*7)/(36+7*(D194+1)/2)*E194,0))</x:f>
        <x:v>5217</x:v>
      </x:c>
      <x:c r="AH194" s="119" t="n">
        <x:f>IF(AF194=0,0,(AF194-IF(3=D194,1,0))*ROUND(AG194*VLOOKUP(INDEX('章节与怪物'!$E$31:$K$37,B194,3),'章节与怪物'!$A$41:$F$44,2,FALSE),0)+IF(3=D194,ROUND(AG194*'难度参数'!$E$28*'章节与怪物'!$E$17,0),0))</x:f>
        <x:v>248332</x:v>
      </x:c>
      <x:c r="AI194" s="119" t="n">
        <x:f>IF(AF194=0,0,(AF194-IF(3=D194,1,0))*VLOOKUP(INDEX('章节与怪物'!$E$31:$K$37,B194,3),'章节与怪物'!$A$41:$F$44,4,FALSE)+IF(3=D194,'难度参数'!$E$30,0))</x:f>
        <x:v>784</x:v>
      </x:c>
      <x:c r="AJ194" s="119" t="n">
        <x:f>IF(4&gt;D194,0,MAX(2,MIN('难度参数'!$E$12,ROUND(('难度参数'!$E$18*POWER(A194,'难度参数'!$E$19)/D194*(0.85+0.3*(4-1)/MAX(1,D194-1))),0)+F194)))</x:f>
        <x:v>29</x:v>
      </x:c>
      <x:c r="AK194" s="119" t="n">
        <x:f>IF(4&gt;D194,0,ROUND(('难度参数'!$E$13*POWER(A194,'难度参数'!$E$20)*MIN('难度参数'!$E$23,1+MAX(0,A194-'难度参数'!$E$21)*'难度参数'!$E$22))*(36+4*7)/(36+7*(D194+1)/2)*E194,0))</x:f>
        <x:v>5858</x:v>
      </x:c>
      <x:c r="AL194" s="119" t="n">
        <x:f>IF(AJ194=0,0,(AJ194-IF(4=D194,1,0))*ROUND(AK194*VLOOKUP(INDEX('章节与怪物'!$E$31:$K$37,B194,4),'章节与怪物'!$A$41:$F$44,2,FALSE),0)+IF(4=D194,ROUND(AK194*'难度参数'!$E$28*'章节与怪物'!$E$17,0),0))</x:f>
        <x:v>229332</x:v>
      </x:c>
      <x:c r="AM194" s="119" t="n">
        <x:f>IF(AJ194=0,0,(AJ194-IF(4=D194,1,0))*VLOOKUP(INDEX('章节与怪物'!$E$31:$K$37,B194,4),'章节与怪物'!$A$41:$F$44,4,FALSE)+IF(4=D194,'难度参数'!$E$30,0))</x:f>
        <x:v>986</x:v>
      </x:c>
      <x:c r="AN194" s="119" t="n">
        <x:f>IF(5&gt;D194,0,MAX(2,MIN('难度参数'!$E$12,ROUND(('难度参数'!$E$18*POWER(A194,'难度参数'!$E$19)/D194*(0.85+0.3*(5-1)/MAX(1,D194-1))),0)+F194)))</x:f>
        <x:v>31</x:v>
      </x:c>
      <x:c r="AO194" s="119" t="n">
        <x:f>IF(5&gt;D194,0,ROUND(('难度参数'!$E$13*POWER(A194,'难度参数'!$E$20)*MIN('难度参数'!$E$23,1+MAX(0,A194-'难度参数'!$E$21)*'难度参数'!$E$22))*(36+5*7)/(36+7*(D194+1)/2)*E194,0))</x:f>
        <x:v>6498</x:v>
      </x:c>
      <x:c r="AP194" s="119" t="n">
        <x:f>IF(AN194=0,0,(AN194-IF(5=D194,1,0))*ROUND(AO194*VLOOKUP(INDEX('章节与怪物'!$E$31:$K$37,B194,5),'章节与怪物'!$A$41:$F$44,2,FALSE),0)+IF(5=D194,ROUND(AO194*'难度参数'!$E$28*'章节与怪物'!$E$17,0),0))</x:f>
        <x:v>145049</x:v>
      </x:c>
      <x:c r="AQ194" s="119" t="n">
        <x:f>IF(AN194=0,0,(AN194-IF(5=D194,1,0))*VLOOKUP(INDEX('章节与怪物'!$E$31:$K$37,B194,5),'章节与怪物'!$A$41:$F$44,4,FALSE)+IF(5=D194,'难度参数'!$E$30,0))</x:f>
        <x:v>620</x:v>
      </x:c>
      <x:c r="AR194" s="119" t="n">
        <x:f>IF(6&gt;D194,0,MAX(2,MIN('难度参数'!$E$12,ROUND(('难度参数'!$E$18*POWER(A194,'难度参数'!$E$19)/D194*(0.85+0.3*(6-1)/MAX(1,D194-1))),0)+F194)))</x:f>
        <x:v>32</x:v>
      </x:c>
      <x:c r="AS194" s="119" t="n">
        <x:f>IF(6&gt;D194,0,ROUND(('难度参数'!$E$13*POWER(A194,'难度参数'!$E$20)*MIN('难度参数'!$E$23,1+MAX(0,A194-'难度参数'!$E$21)*'难度参数'!$E$22))*(36+6*7)/(36+7*(D194+1)/2)*E194,0))</x:f>
        <x:v>7139</x:v>
      </x:c>
      <x:c r="AT194" s="119" t="n">
        <x:f>IF(AR194=0,0,(AR194-IF(6=D194,1,0))*ROUND(AS194*VLOOKUP(INDEX('章节与怪物'!$E$31:$K$37,B194,6),'章节与怪物'!$A$41:$F$44,2,FALSE),0)+IF(6=D194,ROUND(AS194*'难度参数'!$E$28*'章节与怪物'!$E$17,0),0))</x:f>
        <x:v>388352</x:v>
      </x:c>
      <x:c r="AU194" s="119" t="n">
        <x:f>IF(AR194=0,0,(AR194-IF(6=D194,1,0))*VLOOKUP(INDEX('章节与怪物'!$E$31:$K$37,B194,6),'章节与怪物'!$A$41:$F$44,4,FALSE)+IF(6=D194,'难度参数'!$E$30,0))</x:f>
        <x:v>896</x:v>
      </x:c>
      <x:c r="AV194" s="119" t="n">
        <x:f>IF(7&gt;D194,0,MAX(2,MIN('难度参数'!$E$12,ROUND(('难度参数'!$E$18*POWER(A194,'难度参数'!$E$19)/D194*(0.85+0.3*(7-1)/MAX(1,D194-1))),0)+F194)))</x:f>
        <x:v>34</x:v>
      </x:c>
      <x:c r="AW194" s="119" t="n">
        <x:f>IF(7&gt;D194,0,ROUND(('难度参数'!$E$13*POWER(A194,'难度参数'!$E$20)*MIN('难度参数'!$E$23,1+MAX(0,A194-'难度参数'!$E$21)*'难度参数'!$E$22))*(36+7*7)/(36+7*(D194+1)/2)*E194,0))</x:f>
        <x:v>7780</x:v>
      </x:c>
      <x:c r="AX194" s="119" t="n">
        <x:f>IF(AV194=0,0,(AV194-IF(7=D194,1,0))*ROUND(AW194*VLOOKUP(INDEX('章节与怪物'!$E$31:$K$37,B194,7),'章节与怪物'!$A$41:$F$44,2,FALSE),0)+IF(7=D194,ROUND(AW194*'难度参数'!$E$28*'章节与怪物'!$E$17,0),0))</x:f>
        <x:v>399503</x:v>
      </x:c>
      <x:c r="AY194" s="119" t="n">
        <x:f>IF(AV194=0,0,(AV194-IF(7=D194,1,0))*VLOOKUP(INDEX('章节与怪物'!$E$31:$K$37,B194,7),'章节与怪物'!$A$41:$F$44,4,FALSE)+IF(7=D194,'难度参数'!$E$30,0))</x:f>
        <x:v>1322</x:v>
      </x:c>
    </x:row>
    <x:row r="195" ht="23" customHeight="1">
      <x:c r="A195" s="119" t="n">
        <x:v>189</x:v>
      </x:c>
      <x:c r="B195" s="119" t="n">
        <x:f>MOD(INT((A195-1)/5),7)+1</x:f>
        <x:v>3</x:v>
      </x:c>
      <x:c r="C195" s="62" t="str">
        <x:f>INDEX('章节与怪物'!$B$31:$B$37,B195)</x:f>
        <x:v>腐沼秘林</x:v>
      </x:c>
      <x:c r="D195" s="119" t="n">
        <x:f>MIN('难度参数'!$E$8,MAX('难度参数'!$E$7,A195))</x:f>
        <x:v>7</x:v>
      </x:c>
      <x:c r="E195" s="106" t="n">
        <x:v>1</x:v>
      </x:c>
      <x:c r="F195" s="106" t="n">
        <x:v>0</x:v>
      </x:c>
      <x:c r="G195" s="106" t="n">
        <x:v>1</x:v>
      </x:c>
      <x:c r="H195" s="119" t="n">
        <x:f>SUM(X195,AB195,AF195,AJ195,AN195,AR195,AV195)</x:f>
        <x:v>207</x:v>
      </x:c>
      <x:c r="I195" s="119" t="n">
        <x:f>SUM(Z195,AD195,AH195,AL195,AP195,AT195,AX195)</x:f>
        <x:v>1612006</x:v>
      </x:c>
      <x:c r="J195" s="119" t="n">
        <x:f>ROUND(INDEX(X195:AY195,1,(D195-1)*4+2)*'难度参数'!$E$28*'章节与怪物'!$E$17,0)</x:f>
        <x:v>53108</x:v>
      </x:c>
      <x:c r="K195" s="119" t="n">
        <x:f>SUM(AA195,AE195,AI195,AM195,AQ195,AU195,AY195)</x:f>
        <x:v>5632</x:v>
      </x:c>
      <x:c r="L195" s="62" t="n">
        <x:f>H195*(ROUNDUP('难度参数'!$E$24/('难度参数'!$E$26*'难度参数'!$E$27),0)*'难度参数'!$E$26)/60</x:f>
        <x:v>2.7600000000000002</x:v>
      </x:c>
      <x:c r="M195" s="62" t="n">
        <x:f>L195+D195*('难度参数'!$E$49+'难度参数'!$E$50)/60</x:f>
        <x:v>3.9266666666666667</x:v>
      </x:c>
      <x:c r="N195" s="119" t="n">
        <x:f>ROUNDDOWN(('经济参数'!$E$20+A195*'经济参数'!$E$21)*G195,0)</x:f>
        <x:v>3960</x:v>
      </x:c>
      <x:c r="O195" s="119" t="n">
        <x:f>ROUNDDOWN(MIN('经济参数'!$E$24,'经济参数'!$E$22+A195*'经济参数'!$E$23)*G195,0)</x:f>
        <x:v>0</x:v>
      </x:c>
      <x:c r="P195" s="119" t="n">
        <x:f>ROUNDDOWN((IF(A195&gt;='材料与任务'!$E$31,'材料与任务'!$E$32,IF(A195&gt;='材料与任务'!$E$25,'材料与任务'!$E$26,IF(A195&gt;='材料与任务'!$E$19,'材料与任务'!$E$20,IF(A195&gt;='材料与任务'!$E$13,'材料与任务'!$E$14,'材料与任务'!$E$8)))))*G195,0)</x:f>
        <x:v>6</x:v>
      </x:c>
      <x:c r="Q195" s="119" t="n">
        <x:f>ROUNDDOWN((IF(A195&gt;='材料与任务'!$E$31,'材料与任务'!$E$33,IF(A195&gt;='材料与任务'!$E$25,'材料与任务'!$E$27,IF(A195&gt;='材料与任务'!$E$19,'材料与任务'!$E$21,IF(A195&gt;='材料与任务'!$E$13,'材料与任务'!$E$15,'材料与任务'!$E$9)))))*G195,0)</x:f>
        <x:v>3</x:v>
      </x:c>
      <x:c r="R195" s="110" t="n">
        <x:f>'装备掉落'!$B$38</x:f>
        <x:v>0.6872058758851213</x:v>
      </x:c>
      <x:c r="S195" s="119" t="n">
        <x:f>MAX(IF(VLOOKUP(A195,'装备掉落'!$A$29:$H$34,2,TRUE)&gt;0,1,0),IF(VLOOKUP(A195,'装备掉落'!$A$29:$H$34,3,TRUE)&gt;0,2,0),IF(VLOOKUP(A195,'装备掉落'!$A$29:$H$34,4,TRUE)&gt;0,3,0),IF(VLOOKUP(A195,'装备掉落'!$A$29:$H$34,5,TRUE)&gt;0,4,0),IF(VLOOKUP(A195,'装备掉落'!$A$29:$H$34,6,TRUE)&gt;0,5,0),IF(VLOOKUP(A195,'装备掉落'!$A$29:$H$34,7,TRUE)&gt;0,6,0),IF(VLOOKUP(A195,'装备掉落'!$A$29:$H$34,8,TRUE)&gt;0,7,0))</x:f>
        <x:v>7</x:v>
      </x:c>
      <x:c r="T195" s="119" t="n">
        <x:f>MIN(7,S195+'经济参数'!$E$70)</x:f>
        <x:v>7</x:v>
      </x:c>
      <x:c r="U195" s="119" t="n">
        <x:f>MIN(7,S195+'经济参数'!$E$71)</x:f>
        <x:v>7</x:v>
      </x:c>
      <x:c r="V195" s="119" t="n">
        <x:f>IF(H195&gt;=('难度参数'!$E$52),1,0)+IF(H195&gt;=('难度参数'!$E$52+'难度参数'!$E$53),1,0)+IF(H195&gt;=('难度参数'!$E$52+'难度参数'!$E$53+'难度参数'!$E$54),1,0)+IF(H195&gt;=('难度参数'!$E$52+'难度参数'!$E$53+'难度参数'!$E$54+'难度参数'!$E$55),1,0)+IF(H195&gt;=('难度参数'!$E$52+'难度参数'!$E$53+'难度参数'!$E$54+'难度参数'!$E$55+'难度参数'!$E$56),1,0)+IF(H195&gt;=('难度参数'!$E$52+'难度参数'!$E$53+'难度参数'!$E$54+'难度参数'!$E$55+'难度参数'!$E$56+'难度参数'!$E$57),1,0)</x:f>
        <x:v>6</x:v>
      </x:c>
      <x:c r="W195" s="62" t="str">
        <x:f>IF(L195&gt;'难度参数'!$E$51,"仅出怪已超目标","还需实测")</x:f>
        <x:v>还需实测</x:v>
      </x:c>
      <x:c r="X195" s="119" t="n">
        <x:f>IF(1&gt;D195,0,MAX(2,MIN('难度参数'!$E$12,ROUND(('难度参数'!$E$18*POWER(A195,'难度参数'!$E$19)/D195*(0.85+0.3*(1-1)/MAX(1,D195-1))),0)+F195)))</x:f>
        <x:v>25</x:v>
      </x:c>
      <x:c r="Y195" s="119" t="n">
        <x:f>IF(1&gt;D195,0,ROUND(('难度参数'!$E$13*POWER(A195,'难度参数'!$E$20)*MIN('难度参数'!$E$23,1+MAX(0,A195-'难度参数'!$E$21)*'难度参数'!$E$22))*(36+1*7)/(36+7*(D195+1)/2)*E195,0))</x:f>
        <x:v>3951</x:v>
      </x:c>
      <x:c r="Z195" s="119" t="n">
        <x:f>IF(X195=0,0,(X195-IF(1=D195,1,0))*ROUND(Y195*VLOOKUP(INDEX('章节与怪物'!$E$31:$K$37,B195,1),'章节与怪物'!$A$41:$F$44,2,FALSE),0)+IF(1=D195,ROUND(Y195*'难度参数'!$E$28*'章节与怪物'!$E$17,0),0))</x:f>
        <x:v>98775</x:v>
      </x:c>
      <x:c r="AA195" s="119" t="n">
        <x:f>IF(X195=0,0,(X195-IF(1=D195,1,0))*VLOOKUP(INDEX('章节与怪物'!$E$31:$K$37,B195,1),'章节与怪物'!$A$41:$F$44,4,FALSE)+IF(1=D195,'难度参数'!$E$30,0))</x:f>
        <x:v>450</x:v>
      </x:c>
      <x:c r="AB195" s="119" t="n">
        <x:f>IF(2&gt;D195,0,MAX(2,MIN('难度参数'!$E$12,ROUND(('难度参数'!$E$18*POWER(A195,'难度参数'!$E$19)/D195*(0.85+0.3*(2-1)/MAX(1,D195-1))),0)+F195)))</x:f>
        <x:v>27</x:v>
      </x:c>
      <x:c r="AC195" s="119" t="n">
        <x:f>IF(2&gt;D195,0,ROUND(('难度参数'!$E$13*POWER(A195,'难度参数'!$E$20)*MIN('难度参数'!$E$23,1+MAX(0,A195-'难度参数'!$E$21)*'难度参数'!$E$22))*(36+2*7)/(36+7*(D195+1)/2)*E195,0))</x:f>
        <x:v>4594</x:v>
      </x:c>
      <x:c r="AD195" s="119" t="n">
        <x:f>IF(AB195=0,0,(AB195-IF(2=D195,1,0))*ROUND(AC195*VLOOKUP(INDEX('章节与怪物'!$E$31:$K$37,B195,2),'章节与怪物'!$A$41:$F$44,2,FALSE),0)+IF(2=D195,ROUND(AC195*'难度参数'!$E$28*'章节与怪物'!$E$17,0),0))</x:f>
        <x:v>89316</x:v>
      </x:c>
      <x:c r="AE195" s="119" t="n">
        <x:f>IF(AB195=0,0,(AB195-IF(2=D195,1,0))*VLOOKUP(INDEX('章节与怪物'!$E$31:$K$37,B195,2),'章节与怪物'!$A$41:$F$44,4,FALSE)+IF(2=D195,'难度参数'!$E$30,0))</x:f>
        <x:v>540</x:v>
      </x:c>
      <x:c r="AF195" s="119" t="n">
        <x:f>IF(3&gt;D195,0,MAX(2,MIN('难度参数'!$E$12,ROUND(('难度参数'!$E$18*POWER(A195,'难度参数'!$E$19)/D195*(0.85+0.3*(3-1)/MAX(1,D195-1))),0)+F195)))</x:f>
        <x:v>28</x:v>
      </x:c>
      <x:c r="AG195" s="119" t="n">
        <x:f>IF(3&gt;D195,0,ROUND(('难度参数'!$E$13*POWER(A195,'难度参数'!$E$20)*MIN('难度参数'!$E$23,1+MAX(0,A195-'难度参数'!$E$21)*'难度参数'!$E$22))*(36+3*7)/(36+7*(D195+1)/2)*E195,0))</x:f>
        <x:v>5237</x:v>
      </x:c>
      <x:c r="AH195" s="119" t="n">
        <x:f>IF(AF195=0,0,(AF195-IF(3=D195,1,0))*ROUND(AG195*VLOOKUP(INDEX('章节与怪物'!$E$31:$K$37,B195,3),'章节与怪物'!$A$41:$F$44,2,FALSE),0)+IF(3=D195,ROUND(AG195*'难度参数'!$E$28*'章节与怪物'!$E$17,0),0))</x:f>
        <x:v>249284</x:v>
      </x:c>
      <x:c r="AI195" s="119" t="n">
        <x:f>IF(AF195=0,0,(AF195-IF(3=D195,1,0))*VLOOKUP(INDEX('章节与怪物'!$E$31:$K$37,B195,3),'章节与怪物'!$A$41:$F$44,4,FALSE)+IF(3=D195,'难度参数'!$E$30,0))</x:f>
        <x:v>784</x:v>
      </x:c>
      <x:c r="AJ195" s="119" t="n">
        <x:f>IF(4&gt;D195,0,MAX(2,MIN('难度参数'!$E$12,ROUND(('难度参数'!$E$18*POWER(A195,'难度参数'!$E$19)/D195*(0.85+0.3*(4-1)/MAX(1,D195-1))),0)+F195)))</x:f>
        <x:v>30</x:v>
      </x:c>
      <x:c r="AK195" s="119" t="n">
        <x:f>IF(4&gt;D195,0,ROUND(('难度参数'!$E$13*POWER(A195,'难度参数'!$E$20)*MIN('难度参数'!$E$23,1+MAX(0,A195-'难度参数'!$E$21)*'难度参数'!$E$22))*(36+4*7)/(36+7*(D195+1)/2)*E195,0))</x:f>
        <x:v>5880</x:v>
      </x:c>
      <x:c r="AL195" s="119" t="n">
        <x:f>IF(AJ195=0,0,(AJ195-IF(4=D195,1,0))*ROUND(AK195*VLOOKUP(INDEX('章节与怪物'!$E$31:$K$37,B195,4),'章节与怪物'!$A$41:$F$44,2,FALSE),0)+IF(4=D195,ROUND(AK195*'难度参数'!$E$28*'章节与怪物'!$E$17,0),0))</x:f>
        <x:v>238140</x:v>
      </x:c>
      <x:c r="AM195" s="119" t="n">
        <x:f>IF(AJ195=0,0,(AJ195-IF(4=D195,1,0))*VLOOKUP(INDEX('章节与怪物'!$E$31:$K$37,B195,4),'章节与怪物'!$A$41:$F$44,4,FALSE)+IF(4=D195,'难度参数'!$E$30,0))</x:f>
        <x:v>1020</x:v>
      </x:c>
      <x:c r="AN195" s="119" t="n">
        <x:f>IF(5&gt;D195,0,MAX(2,MIN('难度参数'!$E$12,ROUND(('难度参数'!$E$18*POWER(A195,'难度参数'!$E$19)/D195*(0.85+0.3*(5-1)/MAX(1,D195-1))),0)+F195)))</x:f>
        <x:v>31</x:v>
      </x:c>
      <x:c r="AO195" s="119" t="n">
        <x:f>IF(5&gt;D195,0,ROUND(('难度参数'!$E$13*POWER(A195,'难度参数'!$E$20)*MIN('难度参数'!$E$23,1+MAX(0,A195-'难度参数'!$E$21)*'难度参数'!$E$22))*(36+5*7)/(36+7*(D195+1)/2)*E195,0))</x:f>
        <x:v>6523</x:v>
      </x:c>
      <x:c r="AP195" s="119" t="n">
        <x:f>IF(AN195=0,0,(AN195-IF(5=D195,1,0))*ROUND(AO195*VLOOKUP(INDEX('章节与怪物'!$E$31:$K$37,B195,5),'章节与怪物'!$A$41:$F$44,2,FALSE),0)+IF(5=D195,ROUND(AO195*'难度参数'!$E$28*'章节与怪物'!$E$17,0),0))</x:f>
        <x:v>145607</x:v>
      </x:c>
      <x:c r="AQ195" s="119" t="n">
        <x:f>IF(AN195=0,0,(AN195-IF(5=D195,1,0))*VLOOKUP(INDEX('章节与怪物'!$E$31:$K$37,B195,5),'章节与怪物'!$A$41:$F$44,4,FALSE)+IF(5=D195,'难度参数'!$E$30,0))</x:f>
        <x:v>620</x:v>
      </x:c>
      <x:c r="AR195" s="119" t="n">
        <x:f>IF(6&gt;D195,0,MAX(2,MIN('难度参数'!$E$12,ROUND(('难度参数'!$E$18*POWER(A195,'难度参数'!$E$19)/D195*(0.85+0.3*(6-1)/MAX(1,D195-1))),0)+F195)))</x:f>
        <x:v>32</x:v>
      </x:c>
      <x:c r="AS195" s="119" t="n">
        <x:f>IF(6&gt;D195,0,ROUND(('难度参数'!$E$13*POWER(A195,'难度参数'!$E$20)*MIN('难度参数'!$E$23,1+MAX(0,A195-'难度参数'!$E$21)*'难度参数'!$E$22))*(36+6*7)/(36+7*(D195+1)/2)*E195,0))</x:f>
        <x:v>7166</x:v>
      </x:c>
      <x:c r="AT195" s="119" t="n">
        <x:f>IF(AR195=0,0,(AR195-IF(6=D195,1,0))*ROUND(AS195*VLOOKUP(INDEX('章节与怪物'!$E$31:$K$37,B195,6),'章节与怪物'!$A$41:$F$44,2,FALSE),0)+IF(6=D195,ROUND(AS195*'难度参数'!$E$28*'章节与怪物'!$E$17,0),0))</x:f>
        <x:v>389824</x:v>
      </x:c>
      <x:c r="AU195" s="119" t="n">
        <x:f>IF(AR195=0,0,(AR195-IF(6=D195,1,0))*VLOOKUP(INDEX('章节与怪物'!$E$31:$K$37,B195,6),'章节与怪物'!$A$41:$F$44,4,FALSE)+IF(6=D195,'难度参数'!$E$30,0))</x:f>
        <x:v>896</x:v>
      </x:c>
      <x:c r="AV195" s="119" t="n">
        <x:f>IF(7&gt;D195,0,MAX(2,MIN('难度参数'!$E$12,ROUND(('难度参数'!$E$18*POWER(A195,'难度参数'!$E$19)/D195*(0.85+0.3*(7-1)/MAX(1,D195-1))),0)+F195)))</x:f>
        <x:v>34</x:v>
      </x:c>
      <x:c r="AW195" s="119" t="n">
        <x:f>IF(7&gt;D195,0,ROUND(('难度参数'!$E$13*POWER(A195,'难度参数'!$E$20)*MIN('难度参数'!$E$23,1+MAX(0,A195-'难度参数'!$E$21)*'难度参数'!$E$22))*(36+7*7)/(36+7*(D195+1)/2)*E195,0))</x:f>
        <x:v>7810</x:v>
      </x:c>
      <x:c r="AX195" s="119" t="n">
        <x:f>IF(AV195=0,0,(AV195-IF(7=D195,1,0))*ROUND(AW195*VLOOKUP(INDEX('章节与怪物'!$E$31:$K$37,B195,7),'章节与怪物'!$A$41:$F$44,2,FALSE),0)+IF(7=D195,ROUND(AW195*'难度参数'!$E$28*'章节与怪物'!$E$17,0),0))</x:f>
        <x:v>401060</x:v>
      </x:c>
      <x:c r="AY195" s="119" t="n">
        <x:f>IF(AV195=0,0,(AV195-IF(7=D195,1,0))*VLOOKUP(INDEX('章节与怪物'!$E$31:$K$37,B195,7),'章节与怪物'!$A$41:$F$44,4,FALSE)+IF(7=D195,'难度参数'!$E$30,0))</x:f>
        <x:v>1322</x:v>
      </x:c>
    </x:row>
    <x:row r="196" ht="23" customHeight="1">
      <x:c r="A196" s="119" t="n">
        <x:v>190</x:v>
      </x:c>
      <x:c r="B196" s="119" t="n">
        <x:f>MOD(INT((A196-1)/5),7)+1</x:f>
        <x:v>3</x:v>
      </x:c>
      <x:c r="C196" s="62" t="str">
        <x:f>INDEX('章节与怪物'!$B$31:$B$37,B196)</x:f>
        <x:v>腐沼秘林</x:v>
      </x:c>
      <x:c r="D196" s="119" t="n">
        <x:f>MIN('难度参数'!$E$8,MAX('难度参数'!$E$7,A196))</x:f>
        <x:v>7</x:v>
      </x:c>
      <x:c r="E196" s="106" t="n">
        <x:v>1</x:v>
      </x:c>
      <x:c r="F196" s="106" t="n">
        <x:v>0</x:v>
      </x:c>
      <x:c r="G196" s="106" t="n">
        <x:v>1</x:v>
      </x:c>
      <x:c r="H196" s="119" t="n">
        <x:f>SUM(X196,AB196,AF196,AJ196,AN196,AR196,AV196)</x:f>
        <x:v>208</x:v>
      </x:c>
      <x:c r="I196" s="119" t="n">
        <x:f>SUM(Z196,AD196,AH196,AL196,AP196,AT196,AX196)</x:f>
        <x:v>1630395</x:v>
      </x:c>
      <x:c r="J196" s="119" t="n">
        <x:f>ROUND(INDEX(X196:AY196,1,(D196-1)*4+2)*'难度参数'!$E$28*'章节与怪物'!$E$17,0)</x:f>
        <x:v>53305</x:v>
      </x:c>
      <x:c r="K196" s="119" t="n">
        <x:f>SUM(AA196,AE196,AI196,AM196,AQ196,AU196,AY196)</x:f>
        <x:v>5660</x:v>
      </x:c>
      <x:c r="L196" s="62" t="n">
        <x:f>H196*(ROUNDUP('难度参数'!$E$24/('难度参数'!$E$26*'难度参数'!$E$27),0)*'难度参数'!$E$26)/60</x:f>
        <x:v>2.7733333333333334</x:v>
      </x:c>
      <x:c r="M196" s="62" t="n">
        <x:f>L196+D196*('难度参数'!$E$49+'难度参数'!$E$50)/60</x:f>
        <x:v>3.9400000000000004</x:v>
      </x:c>
      <x:c r="N196" s="119" t="n">
        <x:f>ROUNDDOWN(('经济参数'!$E$20+A196*'经济参数'!$E$21)*G196,0)</x:f>
        <x:v>3980</x:v>
      </x:c>
      <x:c r="O196" s="119" t="n">
        <x:f>ROUNDDOWN(MIN('经济参数'!$E$24,'经济参数'!$E$22+A196*'经济参数'!$E$23)*G196,0)</x:f>
        <x:v>0</x:v>
      </x:c>
      <x:c r="P196" s="119" t="n">
        <x:f>ROUNDDOWN((IF(A196&gt;='材料与任务'!$E$31,'材料与任务'!$E$32,IF(A196&gt;='材料与任务'!$E$25,'材料与任务'!$E$26,IF(A196&gt;='材料与任务'!$E$19,'材料与任务'!$E$20,IF(A196&gt;='材料与任务'!$E$13,'材料与任务'!$E$14,'材料与任务'!$E$8)))))*G196,0)</x:f>
        <x:v>6</x:v>
      </x:c>
      <x:c r="Q196" s="119" t="n">
        <x:f>ROUNDDOWN((IF(A196&gt;='材料与任务'!$E$31,'材料与任务'!$E$33,IF(A196&gt;='材料与任务'!$E$25,'材料与任务'!$E$27,IF(A196&gt;='材料与任务'!$E$19,'材料与任务'!$E$21,IF(A196&gt;='材料与任务'!$E$13,'材料与任务'!$E$15,'材料与任务'!$E$9)))))*G196,0)</x:f>
        <x:v>3</x:v>
      </x:c>
      <x:c r="R196" s="110" t="n">
        <x:f>'装备掉落'!$B$38</x:f>
        <x:v>0.6872058758851213</x:v>
      </x:c>
      <x:c r="S196" s="119" t="n">
        <x:f>MAX(IF(VLOOKUP(A196,'装备掉落'!$A$29:$H$34,2,TRUE)&gt;0,1,0),IF(VLOOKUP(A196,'装备掉落'!$A$29:$H$34,3,TRUE)&gt;0,2,0),IF(VLOOKUP(A196,'装备掉落'!$A$29:$H$34,4,TRUE)&gt;0,3,0),IF(VLOOKUP(A196,'装备掉落'!$A$29:$H$34,5,TRUE)&gt;0,4,0),IF(VLOOKUP(A196,'装备掉落'!$A$29:$H$34,6,TRUE)&gt;0,5,0),IF(VLOOKUP(A196,'装备掉落'!$A$29:$H$34,7,TRUE)&gt;0,6,0),IF(VLOOKUP(A196,'装备掉落'!$A$29:$H$34,8,TRUE)&gt;0,7,0))</x:f>
        <x:v>7</x:v>
      </x:c>
      <x:c r="T196" s="119" t="n">
        <x:f>MIN(7,S196+'经济参数'!$E$70)</x:f>
        <x:v>7</x:v>
      </x:c>
      <x:c r="U196" s="119" t="n">
        <x:f>MIN(7,S196+'经济参数'!$E$71)</x:f>
        <x:v>7</x:v>
      </x:c>
      <x:c r="V196" s="119" t="n">
        <x:f>IF(H196&gt;=('难度参数'!$E$52),1,0)+IF(H196&gt;=('难度参数'!$E$52+'难度参数'!$E$53),1,0)+IF(H196&gt;=('难度参数'!$E$52+'难度参数'!$E$53+'难度参数'!$E$54),1,0)+IF(H196&gt;=('难度参数'!$E$52+'难度参数'!$E$53+'难度参数'!$E$54+'难度参数'!$E$55),1,0)+IF(H196&gt;=('难度参数'!$E$52+'难度参数'!$E$53+'难度参数'!$E$54+'难度参数'!$E$55+'难度参数'!$E$56),1,0)+IF(H196&gt;=('难度参数'!$E$52+'难度参数'!$E$53+'难度参数'!$E$54+'难度参数'!$E$55+'难度参数'!$E$56+'难度参数'!$E$57),1,0)</x:f>
        <x:v>6</x:v>
      </x:c>
      <x:c r="W196" s="62" t="str">
        <x:f>IF(L196&gt;'难度参数'!$E$51,"仅出怪已超目标","还需实测")</x:f>
        <x:v>还需实测</x:v>
      </x:c>
      <x:c r="X196" s="119" t="n">
        <x:f>IF(1&gt;D196,0,MAX(2,MIN('难度参数'!$E$12,ROUND(('难度参数'!$E$18*POWER(A196,'难度参数'!$E$19)/D196*(0.85+0.3*(1-1)/MAX(1,D196-1))),0)+F196)))</x:f>
        <x:v>25</x:v>
      </x:c>
      <x:c r="Y196" s="119" t="n">
        <x:f>IF(1&gt;D196,0,ROUND(('难度参数'!$E$13*POWER(A196,'难度参数'!$E$20)*MIN('难度参数'!$E$23,1+MAX(0,A196-'难度参数'!$E$21)*'难度参数'!$E$22))*(36+1*7)/(36+7*(D196+1)/2)*E196,0))</x:f>
        <x:v>3966</x:v>
      </x:c>
      <x:c r="Z196" s="119" t="n">
        <x:f>IF(X196=0,0,(X196-IF(1=D196,1,0))*ROUND(Y196*VLOOKUP(INDEX('章节与怪物'!$E$31:$K$37,B196,1),'章节与怪物'!$A$41:$F$44,2,FALSE),0)+IF(1=D196,ROUND(Y196*'难度参数'!$E$28*'章节与怪物'!$E$17,0),0))</x:f>
        <x:v>99150</x:v>
      </x:c>
      <x:c r="AA196" s="119" t="n">
        <x:f>IF(X196=0,0,(X196-IF(1=D196,1,0))*VLOOKUP(INDEX('章节与怪物'!$E$31:$K$37,B196,1),'章节与怪物'!$A$41:$F$44,4,FALSE)+IF(1=D196,'难度参数'!$E$30,0))</x:f>
        <x:v>450</x:v>
      </x:c>
      <x:c r="AB196" s="119" t="n">
        <x:f>IF(2&gt;D196,0,MAX(2,MIN('难度参数'!$E$12,ROUND(('难度参数'!$E$18*POWER(A196,'难度参数'!$E$19)/D196*(0.85+0.3*(2-1)/MAX(1,D196-1))),0)+F196)))</x:f>
        <x:v>27</x:v>
      </x:c>
      <x:c r="AC196" s="119" t="n">
        <x:f>IF(2&gt;D196,0,ROUND(('难度参数'!$E$13*POWER(A196,'难度参数'!$E$20)*MIN('难度参数'!$E$23,1+MAX(0,A196-'难度参数'!$E$21)*'难度参数'!$E$22))*(36+2*7)/(36+7*(D196+1)/2)*E196,0))</x:f>
        <x:v>4611</x:v>
      </x:c>
      <x:c r="AD196" s="119" t="n">
        <x:f>IF(AB196=0,0,(AB196-IF(2=D196,1,0))*ROUND(AC196*VLOOKUP(INDEX('章节与怪物'!$E$31:$K$37,B196,2),'章节与怪物'!$A$41:$F$44,2,FALSE),0)+IF(2=D196,ROUND(AC196*'难度参数'!$E$28*'章节与怪物'!$E$17,0),0))</x:f>
        <x:v>89640</x:v>
      </x:c>
      <x:c r="AE196" s="119" t="n">
        <x:f>IF(AB196=0,0,(AB196-IF(2=D196,1,0))*VLOOKUP(INDEX('章节与怪物'!$E$31:$K$37,B196,2),'章节与怪物'!$A$41:$F$44,4,FALSE)+IF(2=D196,'难度参数'!$E$30,0))</x:f>
        <x:v>540</x:v>
      </x:c>
      <x:c r="AF196" s="119" t="n">
        <x:f>IF(3&gt;D196,0,MAX(2,MIN('难度参数'!$E$12,ROUND(('难度参数'!$E$18*POWER(A196,'难度参数'!$E$19)/D196*(0.85+0.3*(3-1)/MAX(1,D196-1))),0)+F196)))</x:f>
        <x:v>28</x:v>
      </x:c>
      <x:c r="AG196" s="119" t="n">
        <x:f>IF(3&gt;D196,0,ROUND(('难度参数'!$E$13*POWER(A196,'难度参数'!$E$20)*MIN('难度参数'!$E$23,1+MAX(0,A196-'难度参数'!$E$21)*'难度参数'!$E$22))*(36+3*7)/(36+7*(D196+1)/2)*E196,0))</x:f>
        <x:v>5257</x:v>
      </x:c>
      <x:c r="AH196" s="119" t="n">
        <x:f>IF(AF196=0,0,(AF196-IF(3=D196,1,0))*ROUND(AG196*VLOOKUP(INDEX('章节与怪物'!$E$31:$K$37,B196,3),'章节与怪物'!$A$41:$F$44,2,FALSE),0)+IF(3=D196,ROUND(AG196*'难度参数'!$E$28*'章节与怪物'!$E$17,0),0))</x:f>
        <x:v>250236</x:v>
      </x:c>
      <x:c r="AI196" s="119" t="n">
        <x:f>IF(AF196=0,0,(AF196-IF(3=D196,1,0))*VLOOKUP(INDEX('章节与怪物'!$E$31:$K$37,B196,3),'章节与怪物'!$A$41:$F$44,4,FALSE)+IF(3=D196,'难度参数'!$E$30,0))</x:f>
        <x:v>784</x:v>
      </x:c>
      <x:c r="AJ196" s="119" t="n">
        <x:f>IF(4&gt;D196,0,MAX(2,MIN('难度参数'!$E$12,ROUND(('难度参数'!$E$18*POWER(A196,'难度参数'!$E$19)/D196*(0.85+0.3*(4-1)/MAX(1,D196-1))),0)+F196)))</x:f>
        <x:v>30</x:v>
      </x:c>
      <x:c r="AK196" s="119" t="n">
        <x:f>IF(4&gt;D196,0,ROUND(('难度参数'!$E$13*POWER(A196,'难度参数'!$E$20)*MIN('难度参数'!$E$23,1+MAX(0,A196-'难度参数'!$E$21)*'难度参数'!$E$22))*(36+4*7)/(36+7*(D196+1)/2)*E196,0))</x:f>
        <x:v>5903</x:v>
      </x:c>
      <x:c r="AL196" s="119" t="n">
        <x:f>IF(AJ196=0,0,(AJ196-IF(4=D196,1,0))*ROUND(AK196*VLOOKUP(INDEX('章节与怪物'!$E$31:$K$37,B196,4),'章节与怪物'!$A$41:$F$44,2,FALSE),0)+IF(4=D196,ROUND(AK196*'难度参数'!$E$28*'章节与怪物'!$E$17,0),0))</x:f>
        <x:v>239070</x:v>
      </x:c>
      <x:c r="AM196" s="119" t="n">
        <x:f>IF(AJ196=0,0,(AJ196-IF(4=D196,1,0))*VLOOKUP(INDEX('章节与怪物'!$E$31:$K$37,B196,4),'章节与怪物'!$A$41:$F$44,4,FALSE)+IF(4=D196,'难度参数'!$E$30,0))</x:f>
        <x:v>1020</x:v>
      </x:c>
      <x:c r="AN196" s="119" t="n">
        <x:f>IF(5&gt;D196,0,MAX(2,MIN('难度参数'!$E$12,ROUND(('难度参数'!$E$18*POWER(A196,'难度参数'!$E$19)/D196*(0.85+0.3*(5-1)/MAX(1,D196-1))),0)+F196)))</x:f>
        <x:v>31</x:v>
      </x:c>
      <x:c r="AO196" s="119" t="n">
        <x:f>IF(5&gt;D196,0,ROUND(('难度参数'!$E$13*POWER(A196,'难度参数'!$E$20)*MIN('难度参数'!$E$23,1+MAX(0,A196-'难度参数'!$E$21)*'难度参数'!$E$22))*(36+5*7)/(36+7*(D196+1)/2)*E196,0))</x:f>
        <x:v>6548</x:v>
      </x:c>
      <x:c r="AP196" s="119" t="n">
        <x:f>IF(AN196=0,0,(AN196-IF(5=D196,1,0))*ROUND(AO196*VLOOKUP(INDEX('章节与怪物'!$E$31:$K$37,B196,5),'章节与怪物'!$A$41:$F$44,2,FALSE),0)+IF(5=D196,ROUND(AO196*'难度参数'!$E$28*'章节与怪物'!$E$17,0),0))</x:f>
        <x:v>146165</x:v>
      </x:c>
      <x:c r="AQ196" s="119" t="n">
        <x:f>IF(AN196=0,0,(AN196-IF(5=D196,1,0))*VLOOKUP(INDEX('章节与怪物'!$E$31:$K$37,B196,5),'章节与怪物'!$A$41:$F$44,4,FALSE)+IF(5=D196,'难度参数'!$E$30,0))</x:f>
        <x:v>620</x:v>
      </x:c>
      <x:c r="AR196" s="119" t="n">
        <x:f>IF(6&gt;D196,0,MAX(2,MIN('难度参数'!$E$12,ROUND(('难度参数'!$E$18*POWER(A196,'难度参数'!$E$19)/D196*(0.85+0.3*(6-1)/MAX(1,D196-1))),0)+F196)))</x:f>
        <x:v>33</x:v>
      </x:c>
      <x:c r="AS196" s="119" t="n">
        <x:f>IF(6&gt;D196,0,ROUND(('难度参数'!$E$13*POWER(A196,'难度参数'!$E$20)*MIN('难度参数'!$E$23,1+MAX(0,A196-'难度参数'!$E$21)*'难度参数'!$E$22))*(36+6*7)/(36+7*(D196+1)/2)*E196,0))</x:f>
        <x:v>7194</x:v>
      </x:c>
      <x:c r="AT196" s="119" t="n">
        <x:f>IF(AR196=0,0,(AR196-IF(6=D196,1,0))*ROUND(AS196*VLOOKUP(INDEX('章节与怪物'!$E$31:$K$37,B196,6),'章节与怪物'!$A$41:$F$44,2,FALSE),0)+IF(6=D196,ROUND(AS196*'难度参数'!$E$28*'章节与怪物'!$E$17,0),0))</x:f>
        <x:v>403590</x:v>
      </x:c>
      <x:c r="AU196" s="119" t="n">
        <x:f>IF(AR196=0,0,(AR196-IF(6=D196,1,0))*VLOOKUP(INDEX('章节与怪物'!$E$31:$K$37,B196,6),'章节与怪物'!$A$41:$F$44,4,FALSE)+IF(6=D196,'难度参数'!$E$30,0))</x:f>
        <x:v>924</x:v>
      </x:c>
      <x:c r="AV196" s="119" t="n">
        <x:f>IF(7&gt;D196,0,MAX(2,MIN('难度参数'!$E$12,ROUND(('难度参数'!$E$18*POWER(A196,'难度参数'!$E$19)/D196*(0.85+0.3*(7-1)/MAX(1,D196-1))),0)+F196)))</x:f>
        <x:v>34</x:v>
      </x:c>
      <x:c r="AW196" s="119" t="n">
        <x:f>IF(7&gt;D196,0,ROUND(('难度参数'!$E$13*POWER(A196,'难度参数'!$E$20)*MIN('难度参数'!$E$23,1+MAX(0,A196-'难度参数'!$E$21)*'难度参数'!$E$22))*(36+7*7)/(36+7*(D196+1)/2)*E196,0))</x:f>
        <x:v>7839</x:v>
      </x:c>
      <x:c r="AX196" s="119" t="n">
        <x:f>IF(AV196=0,0,(AV196-IF(7=D196,1,0))*ROUND(AW196*VLOOKUP(INDEX('章节与怪物'!$E$31:$K$37,B196,7),'章节与怪物'!$A$41:$F$44,2,FALSE),0)+IF(7=D196,ROUND(AW196*'难度参数'!$E$28*'章节与怪物'!$E$17,0),0))</x:f>
        <x:v>402544</x:v>
      </x:c>
      <x:c r="AY196" s="119" t="n">
        <x:f>IF(AV196=0,0,(AV196-IF(7=D196,1,0))*VLOOKUP(INDEX('章节与怪物'!$E$31:$K$37,B196,7),'章节与怪物'!$A$41:$F$44,4,FALSE)+IF(7=D196,'难度参数'!$E$30,0))</x:f>
        <x:v>1322</x:v>
      </x:c>
    </x:row>
    <x:row r="197" ht="23" customHeight="1">
      <x:c r="A197" s="119" t="n">
        <x:v>191</x:v>
      </x:c>
      <x:c r="B197" s="119" t="n">
        <x:f>MOD(INT((A197-1)/5),7)+1</x:f>
        <x:v>4</x:v>
      </x:c>
      <x:c r="C197" s="62" t="str">
        <x:f>INDEX('章节与怪物'!$B$31:$B$37,B197)</x:f>
        <x:v>翠野边城</x:v>
      </x:c>
      <x:c r="D197" s="119" t="n">
        <x:f>MIN('难度参数'!$E$8,MAX('难度参数'!$E$7,A197))</x:f>
        <x:v>7</x:v>
      </x:c>
      <x:c r="E197" s="106" t="n">
        <x:v>1</x:v>
      </x:c>
      <x:c r="F197" s="106" t="n">
        <x:v>0</x:v>
      </x:c>
      <x:c r="G197" s="106" t="n">
        <x:v>1</x:v>
      </x:c>
      <x:c r="H197" s="119" t="n">
        <x:f>SUM(X197,AB197,AF197,AJ197,AN197,AR197,AV197)</x:f>
        <x:v>208</x:v>
      </x:c>
      <x:c r="I197" s="119" t="n">
        <x:f>SUM(Z197,AD197,AH197,AL197,AP197,AT197,AX197)</x:f>
        <x:v>1467189</x:v>
      </x:c>
      <x:c r="J197" s="119" t="n">
        <x:f>ROUND(INDEX(X197:AY197,1,(D197-1)*4+2)*'难度参数'!$E$28*'章节与怪物'!$E$17,0)</x:f>
        <x:v>53509</x:v>
      </x:c>
      <x:c r="K197" s="119" t="n">
        <x:f>SUM(AA197,AE197,AI197,AM197,AQ197,AU197,AY197)</x:f>
        <x:v>5330</x:v>
      </x:c>
      <x:c r="L197" s="62" t="n">
        <x:f>H197*(ROUNDUP('难度参数'!$E$24/('难度参数'!$E$26*'难度参数'!$E$27),0)*'难度参数'!$E$26)/60</x:f>
        <x:v>2.7733333333333334</x:v>
      </x:c>
      <x:c r="M197" s="62" t="n">
        <x:f>L197+D197*('难度参数'!$E$49+'难度参数'!$E$50)/60</x:f>
        <x:v>3.9400000000000004</x:v>
      </x:c>
      <x:c r="N197" s="119" t="n">
        <x:f>ROUNDDOWN(('经济参数'!$E$20+A197*'经济参数'!$E$21)*G197,0)</x:f>
        <x:v>4000</x:v>
      </x:c>
      <x:c r="O197" s="119" t="n">
        <x:f>ROUNDDOWN(MIN('经济参数'!$E$24,'经济参数'!$E$22+A197*'经济参数'!$E$23)*G197,0)</x:f>
        <x:v>0</x:v>
      </x:c>
      <x:c r="P197" s="119" t="n">
        <x:f>ROUNDDOWN((IF(A197&gt;='材料与任务'!$E$31,'材料与任务'!$E$32,IF(A197&gt;='材料与任务'!$E$25,'材料与任务'!$E$26,IF(A197&gt;='材料与任务'!$E$19,'材料与任务'!$E$20,IF(A197&gt;='材料与任务'!$E$13,'材料与任务'!$E$14,'材料与任务'!$E$8)))))*G197,0)</x:f>
        <x:v>6</x:v>
      </x:c>
      <x:c r="Q197" s="119" t="n">
        <x:f>ROUNDDOWN((IF(A197&gt;='材料与任务'!$E$31,'材料与任务'!$E$33,IF(A197&gt;='材料与任务'!$E$25,'材料与任务'!$E$27,IF(A197&gt;='材料与任务'!$E$19,'材料与任务'!$E$21,IF(A197&gt;='材料与任务'!$E$13,'材料与任务'!$E$15,'材料与任务'!$E$9)))))*G197,0)</x:f>
        <x:v>3</x:v>
      </x:c>
      <x:c r="R197" s="110" t="n">
        <x:f>'装备掉落'!$B$38</x:f>
        <x:v>0.6872058758851213</x:v>
      </x:c>
      <x:c r="S197" s="119" t="n">
        <x:f>MAX(IF(VLOOKUP(A197,'装备掉落'!$A$29:$H$34,2,TRUE)&gt;0,1,0),IF(VLOOKUP(A197,'装备掉落'!$A$29:$H$34,3,TRUE)&gt;0,2,0),IF(VLOOKUP(A197,'装备掉落'!$A$29:$H$34,4,TRUE)&gt;0,3,0),IF(VLOOKUP(A197,'装备掉落'!$A$29:$H$34,5,TRUE)&gt;0,4,0),IF(VLOOKUP(A197,'装备掉落'!$A$29:$H$34,6,TRUE)&gt;0,5,0),IF(VLOOKUP(A197,'装备掉落'!$A$29:$H$34,7,TRUE)&gt;0,6,0),IF(VLOOKUP(A197,'装备掉落'!$A$29:$H$34,8,TRUE)&gt;0,7,0))</x:f>
        <x:v>7</x:v>
      </x:c>
      <x:c r="T197" s="119" t="n">
        <x:f>MIN(7,S197+'经济参数'!$E$70)</x:f>
        <x:v>7</x:v>
      </x:c>
      <x:c r="U197" s="119" t="n">
        <x:f>MIN(7,S197+'经济参数'!$E$71)</x:f>
        <x:v>7</x:v>
      </x:c>
      <x:c r="V197" s="119" t="n">
        <x:f>IF(H197&gt;=('难度参数'!$E$52),1,0)+IF(H197&gt;=('难度参数'!$E$52+'难度参数'!$E$53),1,0)+IF(H197&gt;=('难度参数'!$E$52+'难度参数'!$E$53+'难度参数'!$E$54),1,0)+IF(H197&gt;=('难度参数'!$E$52+'难度参数'!$E$53+'难度参数'!$E$54+'难度参数'!$E$55),1,0)+IF(H197&gt;=('难度参数'!$E$52+'难度参数'!$E$53+'难度参数'!$E$54+'难度参数'!$E$55+'难度参数'!$E$56),1,0)+IF(H197&gt;=('难度参数'!$E$52+'难度参数'!$E$53+'难度参数'!$E$54+'难度参数'!$E$55+'难度参数'!$E$56+'难度参数'!$E$57),1,0)</x:f>
        <x:v>6</x:v>
      </x:c>
      <x:c r="W197" s="62" t="str">
        <x:f>IF(L197&gt;'难度参数'!$E$51,"仅出怪已超目标","还需实测")</x:f>
        <x:v>还需实测</x:v>
      </x:c>
      <x:c r="X197" s="119" t="n">
        <x:f>IF(1&gt;D197,0,MAX(2,MIN('难度参数'!$E$12,ROUND(('难度参数'!$E$18*POWER(A197,'难度参数'!$E$19)/D197*(0.85+0.3*(1-1)/MAX(1,D197-1))),0)+F197)))</x:f>
        <x:v>25</x:v>
      </x:c>
      <x:c r="Y197" s="119" t="n">
        <x:f>IF(1&gt;D197,0,ROUND(('难度参数'!$E$13*POWER(A197,'难度参数'!$E$20)*MIN('难度参数'!$E$23,1+MAX(0,A197-'难度参数'!$E$21)*'难度参数'!$E$22))*(36+1*7)/(36+7*(D197+1)/2)*E197,0))</x:f>
        <x:v>3981</x:v>
      </x:c>
      <x:c r="Z197" s="119" t="n">
        <x:f>IF(X197=0,0,(X197-IF(1=D197,1,0))*ROUND(Y197*VLOOKUP(INDEX('章节与怪物'!$E$31:$K$37,B197,1),'章节与怪物'!$A$41:$F$44,2,FALSE),0)+IF(1=D197,ROUND(Y197*'难度参数'!$E$28*'章节与怪物'!$E$17,0),0))</x:f>
        <x:v>71650</x:v>
      </x:c>
      <x:c r="AA197" s="119" t="n">
        <x:f>IF(X197=0,0,(X197-IF(1=D197,1,0))*VLOOKUP(INDEX('章节与怪物'!$E$31:$K$37,B197,1),'章节与怪物'!$A$41:$F$44,4,FALSE)+IF(1=D197,'难度参数'!$E$30,0))</x:f>
        <x:v>500</x:v>
      </x:c>
      <x:c r="AB197" s="119" t="n">
        <x:f>IF(2&gt;D197,0,MAX(2,MIN('难度参数'!$E$12,ROUND(('难度参数'!$E$18*POWER(A197,'难度参数'!$E$19)/D197*(0.85+0.3*(2-1)/MAX(1,D197-1))),0)+F197)))</x:f>
        <x:v>27</x:v>
      </x:c>
      <x:c r="AC197" s="119" t="n">
        <x:f>IF(2&gt;D197,0,ROUND(('难度参数'!$E$13*POWER(A197,'难度参数'!$E$20)*MIN('难度参数'!$E$23,1+MAX(0,A197-'难度参数'!$E$21)*'难度参数'!$E$22))*(36+2*7)/(36+7*(D197+1)/2)*E197,0))</x:f>
        <x:v>4629</x:v>
      </x:c>
      <x:c r="AD197" s="119" t="n">
        <x:f>IF(AB197=0,0,(AB197-IF(2=D197,1,0))*ROUND(AC197*VLOOKUP(INDEX('章节与怪物'!$E$31:$K$37,B197,2),'章节与怪物'!$A$41:$F$44,2,FALSE),0)+IF(2=D197,ROUND(AC197*'难度参数'!$E$28*'章节与怪物'!$E$17,0),0))</x:f>
        <x:v>124983</x:v>
      </x:c>
      <x:c r="AE197" s="119" t="n">
        <x:f>IF(AB197=0,0,(AB197-IF(2=D197,1,0))*VLOOKUP(INDEX('章节与怪物'!$E$31:$K$37,B197,2),'章节与怪物'!$A$41:$F$44,4,FALSE)+IF(2=D197,'难度参数'!$E$30,0))</x:f>
        <x:v>486</x:v>
      </x:c>
      <x:c r="AF197" s="119" t="n">
        <x:f>IF(3&gt;D197,0,MAX(2,MIN('难度参数'!$E$12,ROUND(('难度参数'!$E$18*POWER(A197,'难度参数'!$E$19)/D197*(0.85+0.3*(3-1)/MAX(1,D197-1))),0)+F197)))</x:f>
        <x:v>28</x:v>
      </x:c>
      <x:c r="AG197" s="119" t="n">
        <x:f>IF(3&gt;D197,0,ROUND(('难度参数'!$E$13*POWER(A197,'难度参数'!$E$20)*MIN('难度参数'!$E$23,1+MAX(0,A197-'难度参数'!$E$21)*'难度参数'!$E$22))*(36+3*7)/(36+7*(D197+1)/2)*E197,0))</x:f>
        <x:v>5277</x:v>
      </x:c>
      <x:c r="AH197" s="119" t="n">
        <x:f>IF(AF197=0,0,(AF197-IF(3=D197,1,0))*ROUND(AG197*VLOOKUP(INDEX('章节与怪物'!$E$31:$K$37,B197,3),'章节与怪物'!$A$41:$F$44,2,FALSE),0)+IF(3=D197,ROUND(AG197*'难度参数'!$E$28*'章节与怪物'!$E$17,0),0))</x:f>
        <x:v>251188</x:v>
      </x:c>
      <x:c r="AI197" s="119" t="n">
        <x:f>IF(AF197=0,0,(AF197-IF(3=D197,1,0))*VLOOKUP(INDEX('章节与怪物'!$E$31:$K$37,B197,3),'章节与怪物'!$A$41:$F$44,4,FALSE)+IF(3=D197,'难度参数'!$E$30,0))</x:f>
        <x:v>784</x:v>
      </x:c>
      <x:c r="AJ197" s="119" t="n">
        <x:f>IF(4&gt;D197,0,MAX(2,MIN('难度参数'!$E$12,ROUND(('难度参数'!$E$18*POWER(A197,'难度参数'!$E$19)/D197*(0.85+0.3*(4-1)/MAX(1,D197-1))),0)+F197)))</x:f>
        <x:v>30</x:v>
      </x:c>
      <x:c r="AK197" s="119" t="n">
        <x:f>IF(4&gt;D197,0,ROUND(('难度参数'!$E$13*POWER(A197,'难度参数'!$E$20)*MIN('难度参数'!$E$23,1+MAX(0,A197-'难度参数'!$E$21)*'难度参数'!$E$22))*(36+4*7)/(36+7*(D197+1)/2)*E197,0))</x:f>
        <x:v>5925</x:v>
      </x:c>
      <x:c r="AL197" s="119" t="n">
        <x:f>IF(AJ197=0,0,(AJ197-IF(4=D197,1,0))*ROUND(AK197*VLOOKUP(INDEX('章节与怪物'!$E$31:$K$37,B197,4),'章节与怪物'!$A$41:$F$44,2,FALSE),0)+IF(4=D197,ROUND(AK197*'难度参数'!$E$28*'章节与怪物'!$E$17,0),0))</x:f>
        <x:v>239970</x:v>
      </x:c>
      <x:c r="AM197" s="119" t="n">
        <x:f>IF(AJ197=0,0,(AJ197-IF(4=D197,1,0))*VLOOKUP(INDEX('章节与怪物'!$E$31:$K$37,B197,4),'章节与怪物'!$A$41:$F$44,4,FALSE)+IF(4=D197,'难度参数'!$E$30,0))</x:f>
        <x:v>1020</x:v>
      </x:c>
      <x:c r="AN197" s="119" t="n">
        <x:f>IF(5&gt;D197,0,MAX(2,MIN('难度参数'!$E$12,ROUND(('难度参数'!$E$18*POWER(A197,'难度参数'!$E$19)/D197*(0.85+0.3*(5-1)/MAX(1,D197-1))),0)+F197)))</x:f>
        <x:v>31</x:v>
      </x:c>
      <x:c r="AO197" s="119" t="n">
        <x:f>IF(5&gt;D197,0,ROUND(('难度参数'!$E$13*POWER(A197,'难度参数'!$E$20)*MIN('难度参数'!$E$23,1+MAX(0,A197-'难度参数'!$E$21)*'难度参数'!$E$22))*(36+5*7)/(36+7*(D197+1)/2)*E197,0))</x:f>
        <x:v>6573</x:v>
      </x:c>
      <x:c r="AP197" s="119" t="n">
        <x:f>IF(AN197=0,0,(AN197-IF(5=D197,1,0))*ROUND(AO197*VLOOKUP(INDEX('章节与怪物'!$E$31:$K$37,B197,5),'章节与怪物'!$A$41:$F$44,2,FALSE),0)+IF(5=D197,ROUND(AO197*'难度参数'!$E$28*'章节与怪物'!$E$17,0),0))</x:f>
        <x:v>203763</x:v>
      </x:c>
      <x:c r="AQ197" s="119" t="n">
        <x:f>IF(AN197=0,0,(AN197-IF(5=D197,1,0))*VLOOKUP(INDEX('章节与怪物'!$E$31:$K$37,B197,5),'章节与怪物'!$A$41:$F$44,4,FALSE)+IF(5=D197,'难度参数'!$E$30,0))</x:f>
        <x:v>558</x:v>
      </x:c>
      <x:c r="AR197" s="119" t="n">
        <x:f>IF(6&gt;D197,0,MAX(2,MIN('难度参数'!$E$12,ROUND(('难度参数'!$E$18*POWER(A197,'难度参数'!$E$19)/D197*(0.85+0.3*(6-1)/MAX(1,D197-1))),0)+F197)))</x:f>
        <x:v>33</x:v>
      </x:c>
      <x:c r="AS197" s="119" t="n">
        <x:f>IF(6&gt;D197,0,ROUND(('难度参数'!$E$13*POWER(A197,'难度参数'!$E$20)*MIN('难度参数'!$E$23,1+MAX(0,A197-'难度参数'!$E$21)*'难度参数'!$E$22))*(36+6*7)/(36+7*(D197+1)/2)*E197,0))</x:f>
        <x:v>7221</x:v>
      </x:c>
      <x:c r="AT197" s="119" t="n">
        <x:f>IF(AR197=0,0,(AR197-IF(6=D197,1,0))*ROUND(AS197*VLOOKUP(INDEX('章节与怪物'!$E$31:$K$37,B197,6),'章节与怪物'!$A$41:$F$44,2,FALSE),0)+IF(6=D197,ROUND(AS197*'难度参数'!$E$28*'章节与怪物'!$E$17,0),0))</x:f>
        <x:v>171567</x:v>
      </x:c>
      <x:c r="AU197" s="119" t="n">
        <x:f>IF(AR197=0,0,(AR197-IF(6=D197,1,0))*VLOOKUP(INDEX('章节与怪物'!$E$31:$K$37,B197,6),'章节与怪物'!$A$41:$F$44,4,FALSE)+IF(6=D197,'难度参数'!$E$30,0))</x:f>
        <x:v>660</x:v>
      </x:c>
      <x:c r="AV197" s="119" t="n">
        <x:f>IF(7&gt;D197,0,MAX(2,MIN('难度参数'!$E$12,ROUND(('难度参数'!$E$18*POWER(A197,'难度参数'!$E$19)/D197*(0.85+0.3*(7-1)/MAX(1,D197-1))),0)+F197)))</x:f>
        <x:v>34</x:v>
      </x:c>
      <x:c r="AW197" s="119" t="n">
        <x:f>IF(7&gt;D197,0,ROUND(('难度参数'!$E$13*POWER(A197,'难度参数'!$E$20)*MIN('难度参数'!$E$23,1+MAX(0,A197-'难度参数'!$E$21)*'难度参数'!$E$22))*(36+7*7)/(36+7*(D197+1)/2)*E197,0))</x:f>
        <x:v>7869</x:v>
      </x:c>
      <x:c r="AX197" s="119" t="n">
        <x:f>IF(AV197=0,0,(AV197-IF(7=D197,1,0))*ROUND(AW197*VLOOKUP(INDEX('章节与怪物'!$E$31:$K$37,B197,7),'章节与怪物'!$A$41:$F$44,2,FALSE),0)+IF(7=D197,ROUND(AW197*'难度参数'!$E$28*'章节与怪物'!$E$17,0),0))</x:f>
        <x:v>404068</x:v>
      </x:c>
      <x:c r="AY197" s="119" t="n">
        <x:f>IF(AV197=0,0,(AV197-IF(7=D197,1,0))*VLOOKUP(INDEX('章节与怪物'!$E$31:$K$37,B197,7),'章节与怪物'!$A$41:$F$44,4,FALSE)+IF(7=D197,'难度参数'!$E$30,0))</x:f>
        <x:v>1322</x:v>
      </x:c>
    </x:row>
    <x:row r="198" ht="23" customHeight="1">
      <x:c r="A198" s="119" t="n">
        <x:v>192</x:v>
      </x:c>
      <x:c r="B198" s="119" t="n">
        <x:f>MOD(INT((A198-1)/5),7)+1</x:f>
        <x:v>4</x:v>
      </x:c>
      <x:c r="C198" s="62" t="str">
        <x:f>INDEX('章节与怪物'!$B$31:$B$37,B198)</x:f>
        <x:v>翠野边城</x:v>
      </x:c>
      <x:c r="D198" s="119" t="n">
        <x:f>MIN('难度参数'!$E$8,MAX('难度参数'!$E$7,A198))</x:f>
        <x:v>7</x:v>
      </x:c>
      <x:c r="E198" s="106" t="n">
        <x:v>1</x:v>
      </x:c>
      <x:c r="F198" s="106" t="n">
        <x:v>0</x:v>
      </x:c>
      <x:c r="G198" s="106" t="n">
        <x:v>1</x:v>
      </x:c>
      <x:c r="H198" s="119" t="n">
        <x:f>SUM(X198,AB198,AF198,AJ198,AN198,AR198,AV198)</x:f>
        <x:v>208</x:v>
      </x:c>
      <x:c r="I198" s="119" t="n">
        <x:f>SUM(Z198,AD198,AH198,AL198,AP198,AT198,AX198)</x:f>
        <x:v>1472737</x:v>
      </x:c>
      <x:c r="J198" s="119" t="n">
        <x:f>ROUND(INDEX(X198:AY198,1,(D198-1)*4+2)*'难度参数'!$E$28*'章节与怪物'!$E$17,0)</x:f>
        <x:v>53713</x:v>
      </x:c>
      <x:c r="K198" s="119" t="n">
        <x:f>SUM(AA198,AE198,AI198,AM198,AQ198,AU198,AY198)</x:f>
        <x:v>5330</x:v>
      </x:c>
      <x:c r="L198" s="62" t="n">
        <x:f>H198*(ROUNDUP('难度参数'!$E$24/('难度参数'!$E$26*'难度参数'!$E$27),0)*'难度参数'!$E$26)/60</x:f>
        <x:v>2.7733333333333334</x:v>
      </x:c>
      <x:c r="M198" s="62" t="n">
        <x:f>L198+D198*('难度参数'!$E$49+'难度参数'!$E$50)/60</x:f>
        <x:v>3.9400000000000004</x:v>
      </x:c>
      <x:c r="N198" s="119" t="n">
        <x:f>ROUNDDOWN(('经济参数'!$E$20+A198*'经济参数'!$E$21)*G198,0)</x:f>
        <x:v>4020</x:v>
      </x:c>
      <x:c r="O198" s="119" t="n">
        <x:f>ROUNDDOWN(MIN('经济参数'!$E$24,'经济参数'!$E$22+A198*'经济参数'!$E$23)*G198,0)</x:f>
        <x:v>0</x:v>
      </x:c>
      <x:c r="P198" s="119" t="n">
        <x:f>ROUNDDOWN((IF(A198&gt;='材料与任务'!$E$31,'材料与任务'!$E$32,IF(A198&gt;='材料与任务'!$E$25,'材料与任务'!$E$26,IF(A198&gt;='材料与任务'!$E$19,'材料与任务'!$E$20,IF(A198&gt;='材料与任务'!$E$13,'材料与任务'!$E$14,'材料与任务'!$E$8)))))*G198,0)</x:f>
        <x:v>6</x:v>
      </x:c>
      <x:c r="Q198" s="119" t="n">
        <x:f>ROUNDDOWN((IF(A198&gt;='材料与任务'!$E$31,'材料与任务'!$E$33,IF(A198&gt;='材料与任务'!$E$25,'材料与任务'!$E$27,IF(A198&gt;='材料与任务'!$E$19,'材料与任务'!$E$21,IF(A198&gt;='材料与任务'!$E$13,'材料与任务'!$E$15,'材料与任务'!$E$9)))))*G198,0)</x:f>
        <x:v>3</x:v>
      </x:c>
      <x:c r="R198" s="110" t="n">
        <x:f>'装备掉落'!$B$38</x:f>
        <x:v>0.6872058758851213</x:v>
      </x:c>
      <x:c r="S198" s="119" t="n">
        <x:f>MAX(IF(VLOOKUP(A198,'装备掉落'!$A$29:$H$34,2,TRUE)&gt;0,1,0),IF(VLOOKUP(A198,'装备掉落'!$A$29:$H$34,3,TRUE)&gt;0,2,0),IF(VLOOKUP(A198,'装备掉落'!$A$29:$H$34,4,TRUE)&gt;0,3,0),IF(VLOOKUP(A198,'装备掉落'!$A$29:$H$34,5,TRUE)&gt;0,4,0),IF(VLOOKUP(A198,'装备掉落'!$A$29:$H$34,6,TRUE)&gt;0,5,0),IF(VLOOKUP(A198,'装备掉落'!$A$29:$H$34,7,TRUE)&gt;0,6,0),IF(VLOOKUP(A198,'装备掉落'!$A$29:$H$34,8,TRUE)&gt;0,7,0))</x:f>
        <x:v>7</x:v>
      </x:c>
      <x:c r="T198" s="119" t="n">
        <x:f>MIN(7,S198+'经济参数'!$E$70)</x:f>
        <x:v>7</x:v>
      </x:c>
      <x:c r="U198" s="119" t="n">
        <x:f>MIN(7,S198+'经济参数'!$E$71)</x:f>
        <x:v>7</x:v>
      </x:c>
      <x:c r="V198" s="119" t="n">
        <x:f>IF(H198&gt;=('难度参数'!$E$52),1,0)+IF(H198&gt;=('难度参数'!$E$52+'难度参数'!$E$53),1,0)+IF(H198&gt;=('难度参数'!$E$52+'难度参数'!$E$53+'难度参数'!$E$54),1,0)+IF(H198&gt;=('难度参数'!$E$52+'难度参数'!$E$53+'难度参数'!$E$54+'难度参数'!$E$55),1,0)+IF(H198&gt;=('难度参数'!$E$52+'难度参数'!$E$53+'难度参数'!$E$54+'难度参数'!$E$55+'难度参数'!$E$56),1,0)+IF(H198&gt;=('难度参数'!$E$52+'难度参数'!$E$53+'难度参数'!$E$54+'难度参数'!$E$55+'难度参数'!$E$56+'难度参数'!$E$57),1,0)</x:f>
        <x:v>6</x:v>
      </x:c>
      <x:c r="W198" s="62" t="str">
        <x:f>IF(L198&gt;'难度参数'!$E$51,"仅出怪已超目标","还需实测")</x:f>
        <x:v>还需实测</x:v>
      </x:c>
      <x:c r="X198" s="119" t="n">
        <x:f>IF(1&gt;D198,0,MAX(2,MIN('难度参数'!$E$12,ROUND(('难度参数'!$E$18*POWER(A198,'难度参数'!$E$19)/D198*(0.85+0.3*(1-1)/MAX(1,D198-1))),0)+F198)))</x:f>
        <x:v>25</x:v>
      </x:c>
      <x:c r="Y198" s="119" t="n">
        <x:f>IF(1&gt;D198,0,ROUND(('难度参数'!$E$13*POWER(A198,'难度参数'!$E$20)*MIN('难度参数'!$E$23,1+MAX(0,A198-'难度参数'!$E$21)*'难度参数'!$E$22))*(36+1*7)/(36+7*(D198+1)/2)*E198,0))</x:f>
        <x:v>3996</x:v>
      </x:c>
      <x:c r="Z198" s="119" t="n">
        <x:f>IF(X198=0,0,(X198-IF(1=D198,1,0))*ROUND(Y198*VLOOKUP(INDEX('章节与怪物'!$E$31:$K$37,B198,1),'章节与怪物'!$A$41:$F$44,2,FALSE),0)+IF(1=D198,ROUND(Y198*'难度参数'!$E$28*'章节与怪物'!$E$17,0),0))</x:f>
        <x:v>71925</x:v>
      </x:c>
      <x:c r="AA198" s="119" t="n">
        <x:f>IF(X198=0,0,(X198-IF(1=D198,1,0))*VLOOKUP(INDEX('章节与怪物'!$E$31:$K$37,B198,1),'章节与怪物'!$A$41:$F$44,4,FALSE)+IF(1=D198,'难度参数'!$E$30,0))</x:f>
        <x:v>500</x:v>
      </x:c>
      <x:c r="AB198" s="119" t="n">
        <x:f>IF(2&gt;D198,0,MAX(2,MIN('难度参数'!$E$12,ROUND(('难度参数'!$E$18*POWER(A198,'难度参数'!$E$19)/D198*(0.85+0.3*(2-1)/MAX(1,D198-1))),0)+F198)))</x:f>
        <x:v>27</x:v>
      </x:c>
      <x:c r="AC198" s="119" t="n">
        <x:f>IF(2&gt;D198,0,ROUND(('难度参数'!$E$13*POWER(A198,'难度参数'!$E$20)*MIN('难度参数'!$E$23,1+MAX(0,A198-'难度参数'!$E$21)*'难度参数'!$E$22))*(36+2*7)/(36+7*(D198+1)/2)*E198,0))</x:f>
        <x:v>4646</x:v>
      </x:c>
      <x:c r="AD198" s="119" t="n">
        <x:f>IF(AB198=0,0,(AB198-IF(2=D198,1,0))*ROUND(AC198*VLOOKUP(INDEX('章节与怪物'!$E$31:$K$37,B198,2),'章节与怪物'!$A$41:$F$44,2,FALSE),0)+IF(2=D198,ROUND(AC198*'难度参数'!$E$28*'章节与怪物'!$E$17,0),0))</x:f>
        <x:v>125442</x:v>
      </x:c>
      <x:c r="AE198" s="119" t="n">
        <x:f>IF(AB198=0,0,(AB198-IF(2=D198,1,0))*VLOOKUP(INDEX('章节与怪物'!$E$31:$K$37,B198,2),'章节与怪物'!$A$41:$F$44,4,FALSE)+IF(2=D198,'难度参数'!$E$30,0))</x:f>
        <x:v>486</x:v>
      </x:c>
      <x:c r="AF198" s="119" t="n">
        <x:f>IF(3&gt;D198,0,MAX(2,MIN('难度参数'!$E$12,ROUND(('难度参数'!$E$18*POWER(A198,'难度参数'!$E$19)/D198*(0.85+0.3*(3-1)/MAX(1,D198-1))),0)+F198)))</x:f>
        <x:v>28</x:v>
      </x:c>
      <x:c r="AG198" s="119" t="n">
        <x:f>IF(3&gt;D198,0,ROUND(('难度参数'!$E$13*POWER(A198,'难度参数'!$E$20)*MIN('难度参数'!$E$23,1+MAX(0,A198-'难度参数'!$E$21)*'难度参数'!$E$22))*(36+3*7)/(36+7*(D198+1)/2)*E198,0))</x:f>
        <x:v>5297</x:v>
      </x:c>
      <x:c r="AH198" s="119" t="n">
        <x:f>IF(AF198=0,0,(AF198-IF(3=D198,1,0))*ROUND(AG198*VLOOKUP(INDEX('章节与怪物'!$E$31:$K$37,B198,3),'章节与怪物'!$A$41:$F$44,2,FALSE),0)+IF(3=D198,ROUND(AG198*'难度参数'!$E$28*'章节与怪物'!$E$17,0),0))</x:f>
        <x:v>252140</x:v>
      </x:c>
      <x:c r="AI198" s="119" t="n">
        <x:f>IF(AF198=0,0,(AF198-IF(3=D198,1,0))*VLOOKUP(INDEX('章节与怪物'!$E$31:$K$37,B198,3),'章节与怪物'!$A$41:$F$44,4,FALSE)+IF(3=D198,'难度参数'!$E$30,0))</x:f>
        <x:v>784</x:v>
      </x:c>
      <x:c r="AJ198" s="119" t="n">
        <x:f>IF(4&gt;D198,0,MAX(2,MIN('难度参数'!$E$12,ROUND(('难度参数'!$E$18*POWER(A198,'难度参数'!$E$19)/D198*(0.85+0.3*(4-1)/MAX(1,D198-1))),0)+F198)))</x:f>
        <x:v>30</x:v>
      </x:c>
      <x:c r="AK198" s="119" t="n">
        <x:f>IF(4&gt;D198,0,ROUND(('难度参数'!$E$13*POWER(A198,'难度参数'!$E$20)*MIN('难度参数'!$E$23,1+MAX(0,A198-'难度参数'!$E$21)*'难度参数'!$E$22))*(36+4*7)/(36+7*(D198+1)/2)*E198,0))</x:f>
        <x:v>5947</x:v>
      </x:c>
      <x:c r="AL198" s="119" t="n">
        <x:f>IF(AJ198=0,0,(AJ198-IF(4=D198,1,0))*ROUND(AK198*VLOOKUP(INDEX('章节与怪物'!$E$31:$K$37,B198,4),'章节与怪物'!$A$41:$F$44,2,FALSE),0)+IF(4=D198,ROUND(AK198*'难度参数'!$E$28*'章节与怪物'!$E$17,0),0))</x:f>
        <x:v>240840</x:v>
      </x:c>
      <x:c r="AM198" s="119" t="n">
        <x:f>IF(AJ198=0,0,(AJ198-IF(4=D198,1,0))*VLOOKUP(INDEX('章节与怪物'!$E$31:$K$37,B198,4),'章节与怪物'!$A$41:$F$44,4,FALSE)+IF(4=D198,'难度参数'!$E$30,0))</x:f>
        <x:v>1020</x:v>
      </x:c>
      <x:c r="AN198" s="119" t="n">
        <x:f>IF(5&gt;D198,0,MAX(2,MIN('难度参数'!$E$12,ROUND(('难度参数'!$E$18*POWER(A198,'难度参数'!$E$19)/D198*(0.85+0.3*(5-1)/MAX(1,D198-1))),0)+F198)))</x:f>
        <x:v>31</x:v>
      </x:c>
      <x:c r="AO198" s="119" t="n">
        <x:f>IF(5&gt;D198,0,ROUND(('难度参数'!$E$13*POWER(A198,'难度参数'!$E$20)*MIN('难度参数'!$E$23,1+MAX(0,A198-'难度参数'!$E$21)*'难度参数'!$E$22))*(36+5*7)/(36+7*(D198+1)/2)*E198,0))</x:f>
        <x:v>6598</x:v>
      </x:c>
      <x:c r="AP198" s="119" t="n">
        <x:f>IF(AN198=0,0,(AN198-IF(5=D198,1,0))*ROUND(AO198*VLOOKUP(INDEX('章节与怪物'!$E$31:$K$37,B198,5),'章节与怪物'!$A$41:$F$44,2,FALSE),0)+IF(5=D198,ROUND(AO198*'难度参数'!$E$28*'章节与怪物'!$E$17,0),0))</x:f>
        <x:v>204538</x:v>
      </x:c>
      <x:c r="AQ198" s="119" t="n">
        <x:f>IF(AN198=0,0,(AN198-IF(5=D198,1,0))*VLOOKUP(INDEX('章节与怪物'!$E$31:$K$37,B198,5),'章节与怪物'!$A$41:$F$44,4,FALSE)+IF(5=D198,'难度参数'!$E$30,0))</x:f>
        <x:v>558</x:v>
      </x:c>
      <x:c r="AR198" s="119" t="n">
        <x:f>IF(6&gt;D198,0,MAX(2,MIN('难度参数'!$E$12,ROUND(('难度参数'!$E$18*POWER(A198,'难度参数'!$E$19)/D198*(0.85+0.3*(6-1)/MAX(1,D198-1))),0)+F198)))</x:f>
        <x:v>33</x:v>
      </x:c>
      <x:c r="AS198" s="119" t="n">
        <x:f>IF(6&gt;D198,0,ROUND(('难度参数'!$E$13*POWER(A198,'难度参数'!$E$20)*MIN('难度参数'!$E$23,1+MAX(0,A198-'难度参数'!$E$21)*'难度参数'!$E$22))*(36+6*7)/(36+7*(D198+1)/2)*E198,0))</x:f>
        <x:v>7248</x:v>
      </x:c>
      <x:c r="AT198" s="119" t="n">
        <x:f>IF(AR198=0,0,(AR198-IF(6=D198,1,0))*ROUND(AS198*VLOOKUP(INDEX('章节与怪物'!$E$31:$K$37,B198,6),'章节与怪物'!$A$41:$F$44,2,FALSE),0)+IF(6=D198,ROUND(AS198*'难度参数'!$E$28*'章节与怪物'!$E$17,0),0))</x:f>
        <x:v>172227</x:v>
      </x:c>
      <x:c r="AU198" s="119" t="n">
        <x:f>IF(AR198=0,0,(AR198-IF(6=D198,1,0))*VLOOKUP(INDEX('章节与怪物'!$E$31:$K$37,B198,6),'章节与怪物'!$A$41:$F$44,4,FALSE)+IF(6=D198,'难度参数'!$E$30,0))</x:f>
        <x:v>660</x:v>
      </x:c>
      <x:c r="AV198" s="119" t="n">
        <x:f>IF(7&gt;D198,0,MAX(2,MIN('难度参数'!$E$12,ROUND(('难度参数'!$E$18*POWER(A198,'难度参数'!$E$19)/D198*(0.85+0.3*(7-1)/MAX(1,D198-1))),0)+F198)))</x:f>
        <x:v>34</x:v>
      </x:c>
      <x:c r="AW198" s="119" t="n">
        <x:f>IF(7&gt;D198,0,ROUND(('难度参数'!$E$13*POWER(A198,'难度参数'!$E$20)*MIN('难度参数'!$E$23,1+MAX(0,A198-'难度参数'!$E$21)*'难度参数'!$E$22))*(36+7*7)/(36+7*(D198+1)/2)*E198,0))</x:f>
        <x:v>7899</x:v>
      </x:c>
      <x:c r="AX198" s="119" t="n">
        <x:f>IF(AV198=0,0,(AV198-IF(7=D198,1,0))*ROUND(AW198*VLOOKUP(INDEX('章节与怪物'!$E$31:$K$37,B198,7),'章节与怪物'!$A$41:$F$44,2,FALSE),0)+IF(7=D198,ROUND(AW198*'难度参数'!$E$28*'章节与怪物'!$E$17,0),0))</x:f>
        <x:v>405625</x:v>
      </x:c>
      <x:c r="AY198" s="119" t="n">
        <x:f>IF(AV198=0,0,(AV198-IF(7=D198,1,0))*VLOOKUP(INDEX('章节与怪物'!$E$31:$K$37,B198,7),'章节与怪物'!$A$41:$F$44,4,FALSE)+IF(7=D198,'难度参数'!$E$30,0))</x:f>
        <x:v>1322</x:v>
      </x:c>
    </x:row>
    <x:row r="199" ht="23" customHeight="1">
      <x:c r="A199" s="119" t="n">
        <x:v>193</x:v>
      </x:c>
      <x:c r="B199" s="119" t="n">
        <x:f>MOD(INT((A199-1)/5),7)+1</x:f>
        <x:v>4</x:v>
      </x:c>
      <x:c r="C199" s="62" t="str">
        <x:f>INDEX('章节与怪物'!$B$31:$B$37,B199)</x:f>
        <x:v>翠野边城</x:v>
      </x:c>
      <x:c r="D199" s="119" t="n">
        <x:f>MIN('难度参数'!$E$8,MAX('难度参数'!$E$7,A199))</x:f>
        <x:v>7</x:v>
      </x:c>
      <x:c r="E199" s="106" t="n">
        <x:v>1</x:v>
      </x:c>
      <x:c r="F199" s="106" t="n">
        <x:v>0</x:v>
      </x:c>
      <x:c r="G199" s="106" t="n">
        <x:v>1</x:v>
      </x:c>
      <x:c r="H199" s="119" t="n">
        <x:f>SUM(X199,AB199,AF199,AJ199,AN199,AR199,AV199)</x:f>
        <x:v>208</x:v>
      </x:c>
      <x:c r="I199" s="119" t="n">
        <x:f>SUM(Z199,AD199,AH199,AL199,AP199,AT199,AX199)</x:f>
        <x:v>1478205</x:v>
      </x:c>
      <x:c r="J199" s="119" t="n">
        <x:f>ROUND(INDEX(X199:AY199,1,(D199-1)*4+2)*'难度参数'!$E$28*'章节与怪物'!$E$17,0)</x:f>
        <x:v>53910</x:v>
      </x:c>
      <x:c r="K199" s="119" t="n">
        <x:f>SUM(AA199,AE199,AI199,AM199,AQ199,AU199,AY199)</x:f>
        <x:v>5330</x:v>
      </x:c>
      <x:c r="L199" s="62" t="n">
        <x:f>H199*(ROUNDUP('难度参数'!$E$24/('难度参数'!$E$26*'难度参数'!$E$27),0)*'难度参数'!$E$26)/60</x:f>
        <x:v>2.7733333333333334</x:v>
      </x:c>
      <x:c r="M199" s="62" t="n">
        <x:f>L199+D199*('难度参数'!$E$49+'难度参数'!$E$50)/60</x:f>
        <x:v>3.9400000000000004</x:v>
      </x:c>
      <x:c r="N199" s="119" t="n">
        <x:f>ROUNDDOWN(('经济参数'!$E$20+A199*'经济参数'!$E$21)*G199,0)</x:f>
        <x:v>4040</x:v>
      </x:c>
      <x:c r="O199" s="119" t="n">
        <x:f>ROUNDDOWN(MIN('经济参数'!$E$24,'经济参数'!$E$22+A199*'经济参数'!$E$23)*G199,0)</x:f>
        <x:v>0</x:v>
      </x:c>
      <x:c r="P199" s="119" t="n">
        <x:f>ROUNDDOWN((IF(A199&gt;='材料与任务'!$E$31,'材料与任务'!$E$32,IF(A199&gt;='材料与任务'!$E$25,'材料与任务'!$E$26,IF(A199&gt;='材料与任务'!$E$19,'材料与任务'!$E$20,IF(A199&gt;='材料与任务'!$E$13,'材料与任务'!$E$14,'材料与任务'!$E$8)))))*G199,0)</x:f>
        <x:v>6</x:v>
      </x:c>
      <x:c r="Q199" s="119" t="n">
        <x:f>ROUNDDOWN((IF(A199&gt;='材料与任务'!$E$31,'材料与任务'!$E$33,IF(A199&gt;='材料与任务'!$E$25,'材料与任务'!$E$27,IF(A199&gt;='材料与任务'!$E$19,'材料与任务'!$E$21,IF(A199&gt;='材料与任务'!$E$13,'材料与任务'!$E$15,'材料与任务'!$E$9)))))*G199,0)</x:f>
        <x:v>3</x:v>
      </x:c>
      <x:c r="R199" s="110" t="n">
        <x:f>'装备掉落'!$B$38</x:f>
        <x:v>0.6872058758851213</x:v>
      </x:c>
      <x:c r="S199" s="119" t="n">
        <x:f>MAX(IF(VLOOKUP(A199,'装备掉落'!$A$29:$H$34,2,TRUE)&gt;0,1,0),IF(VLOOKUP(A199,'装备掉落'!$A$29:$H$34,3,TRUE)&gt;0,2,0),IF(VLOOKUP(A199,'装备掉落'!$A$29:$H$34,4,TRUE)&gt;0,3,0),IF(VLOOKUP(A199,'装备掉落'!$A$29:$H$34,5,TRUE)&gt;0,4,0),IF(VLOOKUP(A199,'装备掉落'!$A$29:$H$34,6,TRUE)&gt;0,5,0),IF(VLOOKUP(A199,'装备掉落'!$A$29:$H$34,7,TRUE)&gt;0,6,0),IF(VLOOKUP(A199,'装备掉落'!$A$29:$H$34,8,TRUE)&gt;0,7,0))</x:f>
        <x:v>7</x:v>
      </x:c>
      <x:c r="T199" s="119" t="n">
        <x:f>MIN(7,S199+'经济参数'!$E$70)</x:f>
        <x:v>7</x:v>
      </x:c>
      <x:c r="U199" s="119" t="n">
        <x:f>MIN(7,S199+'经济参数'!$E$71)</x:f>
        <x:v>7</x:v>
      </x:c>
      <x:c r="V199" s="119" t="n">
        <x:f>IF(H199&gt;=('难度参数'!$E$52),1,0)+IF(H199&gt;=('难度参数'!$E$52+'难度参数'!$E$53),1,0)+IF(H199&gt;=('难度参数'!$E$52+'难度参数'!$E$53+'难度参数'!$E$54),1,0)+IF(H199&gt;=('难度参数'!$E$52+'难度参数'!$E$53+'难度参数'!$E$54+'难度参数'!$E$55),1,0)+IF(H199&gt;=('难度参数'!$E$52+'难度参数'!$E$53+'难度参数'!$E$54+'难度参数'!$E$55+'难度参数'!$E$56),1,0)+IF(H199&gt;=('难度参数'!$E$52+'难度参数'!$E$53+'难度参数'!$E$54+'难度参数'!$E$55+'难度参数'!$E$56+'难度参数'!$E$57),1,0)</x:f>
        <x:v>6</x:v>
      </x:c>
      <x:c r="W199" s="62" t="str">
        <x:f>IF(L199&gt;'难度参数'!$E$51,"仅出怪已超目标","还需实测")</x:f>
        <x:v>还需实测</x:v>
      </x:c>
      <x:c r="X199" s="119" t="n">
        <x:f>IF(1&gt;D199,0,MAX(2,MIN('难度参数'!$E$12,ROUND(('难度参数'!$E$18*POWER(A199,'难度参数'!$E$19)/D199*(0.85+0.3*(1-1)/MAX(1,D199-1))),0)+F199)))</x:f>
        <x:v>25</x:v>
      </x:c>
      <x:c r="Y199" s="119" t="n">
        <x:f>IF(1&gt;D199,0,ROUND(('难度参数'!$E$13*POWER(A199,'难度参数'!$E$20)*MIN('难度参数'!$E$23,1+MAX(0,A199-'难度参数'!$E$21)*'难度参数'!$E$22))*(36+1*7)/(36+7*(D199+1)/2)*E199,0))</x:f>
        <x:v>4011</x:v>
      </x:c>
      <x:c r="Z199" s="119" t="n">
        <x:f>IF(X199=0,0,(X199-IF(1=D199,1,0))*ROUND(Y199*VLOOKUP(INDEX('章节与怪物'!$E$31:$K$37,B199,1),'章节与怪物'!$A$41:$F$44,2,FALSE),0)+IF(1=D199,ROUND(Y199*'难度参数'!$E$28*'章节与怪物'!$E$17,0),0))</x:f>
        <x:v>72200</x:v>
      </x:c>
      <x:c r="AA199" s="119" t="n">
        <x:f>IF(X199=0,0,(X199-IF(1=D199,1,0))*VLOOKUP(INDEX('章节与怪物'!$E$31:$K$37,B199,1),'章节与怪物'!$A$41:$F$44,4,FALSE)+IF(1=D199,'难度参数'!$E$30,0))</x:f>
        <x:v>500</x:v>
      </x:c>
      <x:c r="AB199" s="119" t="n">
        <x:f>IF(2&gt;D199,0,MAX(2,MIN('难度参数'!$E$12,ROUND(('难度参数'!$E$18*POWER(A199,'难度参数'!$E$19)/D199*(0.85+0.3*(2-1)/MAX(1,D199-1))),0)+F199)))</x:f>
        <x:v>27</x:v>
      </x:c>
      <x:c r="AC199" s="119" t="n">
        <x:f>IF(2&gt;D199,0,ROUND(('难度参数'!$E$13*POWER(A199,'难度参数'!$E$20)*MIN('难度参数'!$E$23,1+MAX(0,A199-'难度参数'!$E$21)*'难度参数'!$E$22))*(36+2*7)/(36+7*(D199+1)/2)*E199,0))</x:f>
        <x:v>4664</x:v>
      </x:c>
      <x:c r="AD199" s="119" t="n">
        <x:f>IF(AB199=0,0,(AB199-IF(2=D199,1,0))*ROUND(AC199*VLOOKUP(INDEX('章节与怪物'!$E$31:$K$37,B199,2),'章节与怪物'!$A$41:$F$44,2,FALSE),0)+IF(2=D199,ROUND(AC199*'难度参数'!$E$28*'章节与怪物'!$E$17,0),0))</x:f>
        <x:v>125928</x:v>
      </x:c>
      <x:c r="AE199" s="119" t="n">
        <x:f>IF(AB199=0,0,(AB199-IF(2=D199,1,0))*VLOOKUP(INDEX('章节与怪物'!$E$31:$K$37,B199,2),'章节与怪物'!$A$41:$F$44,4,FALSE)+IF(2=D199,'难度参数'!$E$30,0))</x:f>
        <x:v>486</x:v>
      </x:c>
      <x:c r="AF199" s="119" t="n">
        <x:f>IF(3&gt;D199,0,MAX(2,MIN('难度参数'!$E$12,ROUND(('难度参数'!$E$18*POWER(A199,'难度参数'!$E$19)/D199*(0.85+0.3*(3-1)/MAX(1,D199-1))),0)+F199)))</x:f>
        <x:v>28</x:v>
      </x:c>
      <x:c r="AG199" s="119" t="n">
        <x:f>IF(3&gt;D199,0,ROUND(('难度参数'!$E$13*POWER(A199,'难度参数'!$E$20)*MIN('难度参数'!$E$23,1+MAX(0,A199-'难度参数'!$E$21)*'难度参数'!$E$22))*(36+3*7)/(36+7*(D199+1)/2)*E199,0))</x:f>
        <x:v>5317</x:v>
      </x:c>
      <x:c r="AH199" s="119" t="n">
        <x:f>IF(AF199=0,0,(AF199-IF(3=D199,1,0))*ROUND(AG199*VLOOKUP(INDEX('章节与怪物'!$E$31:$K$37,B199,3),'章节与怪物'!$A$41:$F$44,2,FALSE),0)+IF(3=D199,ROUND(AG199*'难度参数'!$E$28*'章节与怪物'!$E$17,0),0))</x:f>
        <x:v>253092</x:v>
      </x:c>
      <x:c r="AI199" s="119" t="n">
        <x:f>IF(AF199=0,0,(AF199-IF(3=D199,1,0))*VLOOKUP(INDEX('章节与怪物'!$E$31:$K$37,B199,3),'章节与怪物'!$A$41:$F$44,4,FALSE)+IF(3=D199,'难度参数'!$E$30,0))</x:f>
        <x:v>784</x:v>
      </x:c>
      <x:c r="AJ199" s="119" t="n">
        <x:f>IF(4&gt;D199,0,MAX(2,MIN('难度参数'!$E$12,ROUND(('难度参数'!$E$18*POWER(A199,'难度参数'!$E$19)/D199*(0.85+0.3*(4-1)/MAX(1,D199-1))),0)+F199)))</x:f>
        <x:v>30</x:v>
      </x:c>
      <x:c r="AK199" s="119" t="n">
        <x:f>IF(4&gt;D199,0,ROUND(('难度参数'!$E$13*POWER(A199,'难度参数'!$E$20)*MIN('难度参数'!$E$23,1+MAX(0,A199-'难度参数'!$E$21)*'难度参数'!$E$22))*(36+4*7)/(36+7*(D199+1)/2)*E199,0))</x:f>
        <x:v>5969</x:v>
      </x:c>
      <x:c r="AL199" s="119" t="n">
        <x:f>IF(AJ199=0,0,(AJ199-IF(4=D199,1,0))*ROUND(AK199*VLOOKUP(INDEX('章节与怪物'!$E$31:$K$37,B199,4),'章节与怪物'!$A$41:$F$44,2,FALSE),0)+IF(4=D199,ROUND(AK199*'难度参数'!$E$28*'章节与怪物'!$E$17,0),0))</x:f>
        <x:v>241740</x:v>
      </x:c>
      <x:c r="AM199" s="119" t="n">
        <x:f>IF(AJ199=0,0,(AJ199-IF(4=D199,1,0))*VLOOKUP(INDEX('章节与怪物'!$E$31:$K$37,B199,4),'章节与怪物'!$A$41:$F$44,4,FALSE)+IF(4=D199,'难度参数'!$E$30,0))</x:f>
        <x:v>1020</x:v>
      </x:c>
      <x:c r="AN199" s="119" t="n">
        <x:f>IF(5&gt;D199,0,MAX(2,MIN('难度参数'!$E$12,ROUND(('难度参数'!$E$18*POWER(A199,'难度参数'!$E$19)/D199*(0.85+0.3*(5-1)/MAX(1,D199-1))),0)+F199)))</x:f>
        <x:v>31</x:v>
      </x:c>
      <x:c r="AO199" s="119" t="n">
        <x:f>IF(5&gt;D199,0,ROUND(('难度参数'!$E$13*POWER(A199,'难度参数'!$E$20)*MIN('难度参数'!$E$23,1+MAX(0,A199-'难度参数'!$E$21)*'难度参数'!$E$22))*(36+5*7)/(36+7*(D199+1)/2)*E199,0))</x:f>
        <x:v>6622</x:v>
      </x:c>
      <x:c r="AP199" s="119" t="n">
        <x:f>IF(AN199=0,0,(AN199-IF(5=D199,1,0))*ROUND(AO199*VLOOKUP(INDEX('章节与怪物'!$E$31:$K$37,B199,5),'章节与怪物'!$A$41:$F$44,2,FALSE),0)+IF(5=D199,ROUND(AO199*'难度参数'!$E$28*'章节与怪物'!$E$17,0),0))</x:f>
        <x:v>205282</x:v>
      </x:c>
      <x:c r="AQ199" s="119" t="n">
        <x:f>IF(AN199=0,0,(AN199-IF(5=D199,1,0))*VLOOKUP(INDEX('章节与怪物'!$E$31:$K$37,B199,5),'章节与怪物'!$A$41:$F$44,4,FALSE)+IF(5=D199,'难度参数'!$E$30,0))</x:f>
        <x:v>558</x:v>
      </x:c>
      <x:c r="AR199" s="119" t="n">
        <x:f>IF(6&gt;D199,0,MAX(2,MIN('难度参数'!$E$12,ROUND(('难度参数'!$E$18*POWER(A199,'难度参数'!$E$19)/D199*(0.85+0.3*(6-1)/MAX(1,D199-1))),0)+F199)))</x:f>
        <x:v>33</x:v>
      </x:c>
      <x:c r="AS199" s="119" t="n">
        <x:f>IF(6&gt;D199,0,ROUND(('难度参数'!$E$13*POWER(A199,'难度参数'!$E$20)*MIN('难度参数'!$E$23,1+MAX(0,A199-'难度参数'!$E$21)*'难度参数'!$E$22))*(36+6*7)/(36+7*(D199+1)/2)*E199,0))</x:f>
        <x:v>7275</x:v>
      </x:c>
      <x:c r="AT199" s="119" t="n">
        <x:f>IF(AR199=0,0,(AR199-IF(6=D199,1,0))*ROUND(AS199*VLOOKUP(INDEX('章节与怪物'!$E$31:$K$37,B199,6),'章节与怪物'!$A$41:$F$44,2,FALSE),0)+IF(6=D199,ROUND(AS199*'难度参数'!$E$28*'章节与怪物'!$E$17,0),0))</x:f>
        <x:v>172854</x:v>
      </x:c>
      <x:c r="AU199" s="119" t="n">
        <x:f>IF(AR199=0,0,(AR199-IF(6=D199,1,0))*VLOOKUP(INDEX('章节与怪物'!$E$31:$K$37,B199,6),'章节与怪物'!$A$41:$F$44,4,FALSE)+IF(6=D199,'难度参数'!$E$30,0))</x:f>
        <x:v>660</x:v>
      </x:c>
      <x:c r="AV199" s="119" t="n">
        <x:f>IF(7&gt;D199,0,MAX(2,MIN('难度参数'!$E$12,ROUND(('难度参数'!$E$18*POWER(A199,'难度参数'!$E$19)/D199*(0.85+0.3*(7-1)/MAX(1,D199-1))),0)+F199)))</x:f>
        <x:v>34</x:v>
      </x:c>
      <x:c r="AW199" s="119" t="n">
        <x:f>IF(7&gt;D199,0,ROUND(('难度参数'!$E$13*POWER(A199,'难度参数'!$E$20)*MIN('难度参数'!$E$23,1+MAX(0,A199-'难度参数'!$E$21)*'难度参数'!$E$22))*(36+7*7)/(36+7*(D199+1)/2)*E199,0))</x:f>
        <x:v>7928</x:v>
      </x:c>
      <x:c r="AX199" s="119" t="n">
        <x:f>IF(AV199=0,0,(AV199-IF(7=D199,1,0))*ROUND(AW199*VLOOKUP(INDEX('章节与怪物'!$E$31:$K$37,B199,7),'章节与怪物'!$A$41:$F$44,2,FALSE),0)+IF(7=D199,ROUND(AW199*'难度参数'!$E$28*'章节与怪物'!$E$17,0),0))</x:f>
        <x:v>407109</x:v>
      </x:c>
      <x:c r="AY199" s="119" t="n">
        <x:f>IF(AV199=0,0,(AV199-IF(7=D199,1,0))*VLOOKUP(INDEX('章节与怪物'!$E$31:$K$37,B199,7),'章节与怪物'!$A$41:$F$44,4,FALSE)+IF(7=D199,'难度参数'!$E$30,0))</x:f>
        <x:v>1322</x:v>
      </x:c>
    </x:row>
    <x:row r="200" ht="23" customHeight="1">
      <x:c r="A200" s="119" t="n">
        <x:v>194</x:v>
      </x:c>
      <x:c r="B200" s="119" t="n">
        <x:f>MOD(INT((A200-1)/5),7)+1</x:f>
        <x:v>4</x:v>
      </x:c>
      <x:c r="C200" s="62" t="str">
        <x:f>INDEX('章节与怪物'!$B$31:$B$37,B200)</x:f>
        <x:v>翠野边城</x:v>
      </x:c>
      <x:c r="D200" s="119" t="n">
        <x:f>MIN('难度参数'!$E$8,MAX('难度参数'!$E$7,A200))</x:f>
        <x:v>7</x:v>
      </x:c>
      <x:c r="E200" s="106" t="n">
        <x:v>1</x:v>
      </x:c>
      <x:c r="F200" s="106" t="n">
        <x:v>0</x:v>
      </x:c>
      <x:c r="G200" s="106" t="n">
        <x:v>1</x:v>
      </x:c>
      <x:c r="H200" s="119" t="n">
        <x:f>SUM(X200,AB200,AF200,AJ200,AN200,AR200,AV200)</x:f>
        <x:v>208</x:v>
      </x:c>
      <x:c r="I200" s="119" t="n">
        <x:f>SUM(Z200,AD200,AH200,AL200,AP200,AT200,AX200)</x:f>
        <x:v>1483691</x:v>
      </x:c>
      <x:c r="J200" s="119" t="n">
        <x:f>ROUND(INDEX(X200:AY200,1,(D200-1)*4+2)*'难度参数'!$E$28*'章节与怪物'!$E$17,0)</x:f>
        <x:v>54114</x:v>
      </x:c>
      <x:c r="K200" s="119" t="n">
        <x:f>SUM(AA200,AE200,AI200,AM200,AQ200,AU200,AY200)</x:f>
        <x:v>5330</x:v>
      </x:c>
      <x:c r="L200" s="62" t="n">
        <x:f>H200*(ROUNDUP('难度参数'!$E$24/('难度参数'!$E$26*'难度参数'!$E$27),0)*'难度参数'!$E$26)/60</x:f>
        <x:v>2.7733333333333334</x:v>
      </x:c>
      <x:c r="M200" s="62" t="n">
        <x:f>L200+D200*('难度参数'!$E$49+'难度参数'!$E$50)/60</x:f>
        <x:v>3.9400000000000004</x:v>
      </x:c>
      <x:c r="N200" s="119" t="n">
        <x:f>ROUNDDOWN(('经济参数'!$E$20+A200*'经济参数'!$E$21)*G200,0)</x:f>
        <x:v>4060</x:v>
      </x:c>
      <x:c r="O200" s="119" t="n">
        <x:f>ROUNDDOWN(MIN('经济参数'!$E$24,'经济参数'!$E$22+A200*'经济参数'!$E$23)*G200,0)</x:f>
        <x:v>0</x:v>
      </x:c>
      <x:c r="P200" s="119" t="n">
        <x:f>ROUNDDOWN((IF(A200&gt;='材料与任务'!$E$31,'材料与任务'!$E$32,IF(A200&gt;='材料与任务'!$E$25,'材料与任务'!$E$26,IF(A200&gt;='材料与任务'!$E$19,'材料与任务'!$E$20,IF(A200&gt;='材料与任务'!$E$13,'材料与任务'!$E$14,'材料与任务'!$E$8)))))*G200,0)</x:f>
        <x:v>6</x:v>
      </x:c>
      <x:c r="Q200" s="119" t="n">
        <x:f>ROUNDDOWN((IF(A200&gt;='材料与任务'!$E$31,'材料与任务'!$E$33,IF(A200&gt;='材料与任务'!$E$25,'材料与任务'!$E$27,IF(A200&gt;='材料与任务'!$E$19,'材料与任务'!$E$21,IF(A200&gt;='材料与任务'!$E$13,'材料与任务'!$E$15,'材料与任务'!$E$9)))))*G200,0)</x:f>
        <x:v>3</x:v>
      </x:c>
      <x:c r="R200" s="110" t="n">
        <x:f>'装备掉落'!$B$38</x:f>
        <x:v>0.6872058758851213</x:v>
      </x:c>
      <x:c r="S200" s="119" t="n">
        <x:f>MAX(IF(VLOOKUP(A200,'装备掉落'!$A$29:$H$34,2,TRUE)&gt;0,1,0),IF(VLOOKUP(A200,'装备掉落'!$A$29:$H$34,3,TRUE)&gt;0,2,0),IF(VLOOKUP(A200,'装备掉落'!$A$29:$H$34,4,TRUE)&gt;0,3,0),IF(VLOOKUP(A200,'装备掉落'!$A$29:$H$34,5,TRUE)&gt;0,4,0),IF(VLOOKUP(A200,'装备掉落'!$A$29:$H$34,6,TRUE)&gt;0,5,0),IF(VLOOKUP(A200,'装备掉落'!$A$29:$H$34,7,TRUE)&gt;0,6,0),IF(VLOOKUP(A200,'装备掉落'!$A$29:$H$34,8,TRUE)&gt;0,7,0))</x:f>
        <x:v>7</x:v>
      </x:c>
      <x:c r="T200" s="119" t="n">
        <x:f>MIN(7,S200+'经济参数'!$E$70)</x:f>
        <x:v>7</x:v>
      </x:c>
      <x:c r="U200" s="119" t="n">
        <x:f>MIN(7,S200+'经济参数'!$E$71)</x:f>
        <x:v>7</x:v>
      </x:c>
      <x:c r="V200" s="119" t="n">
        <x:f>IF(H200&gt;=('难度参数'!$E$52),1,0)+IF(H200&gt;=('难度参数'!$E$52+'难度参数'!$E$53),1,0)+IF(H200&gt;=('难度参数'!$E$52+'难度参数'!$E$53+'难度参数'!$E$54),1,0)+IF(H200&gt;=('难度参数'!$E$52+'难度参数'!$E$53+'难度参数'!$E$54+'难度参数'!$E$55),1,0)+IF(H200&gt;=('难度参数'!$E$52+'难度参数'!$E$53+'难度参数'!$E$54+'难度参数'!$E$55+'难度参数'!$E$56),1,0)+IF(H200&gt;=('难度参数'!$E$52+'难度参数'!$E$53+'难度参数'!$E$54+'难度参数'!$E$55+'难度参数'!$E$56+'难度参数'!$E$57),1,0)</x:f>
        <x:v>6</x:v>
      </x:c>
      <x:c r="W200" s="62" t="str">
        <x:f>IF(L200&gt;'难度参数'!$E$51,"仅出怪已超目标","还需实测")</x:f>
        <x:v>还需实测</x:v>
      </x:c>
      <x:c r="X200" s="119" t="n">
        <x:f>IF(1&gt;D200,0,MAX(2,MIN('难度参数'!$E$12,ROUND(('难度参数'!$E$18*POWER(A200,'难度参数'!$E$19)/D200*(0.85+0.3*(1-1)/MAX(1,D200-1))),0)+F200)))</x:f>
        <x:v>25</x:v>
      </x:c>
      <x:c r="Y200" s="119" t="n">
        <x:f>IF(1&gt;D200,0,ROUND(('难度参数'!$E$13*POWER(A200,'难度参数'!$E$20)*MIN('难度参数'!$E$23,1+MAX(0,A200-'难度参数'!$E$21)*'难度参数'!$E$22))*(36+1*7)/(36+7*(D200+1)/2)*E200,0))</x:f>
        <x:v>4026</x:v>
      </x:c>
      <x:c r="Z200" s="119" t="n">
        <x:f>IF(X200=0,0,(X200-IF(1=D200,1,0))*ROUND(Y200*VLOOKUP(INDEX('章节与怪物'!$E$31:$K$37,B200,1),'章节与怪物'!$A$41:$F$44,2,FALSE),0)+IF(1=D200,ROUND(Y200*'难度参数'!$E$28*'章节与怪物'!$E$17,0),0))</x:f>
        <x:v>72475</x:v>
      </x:c>
      <x:c r="AA200" s="119" t="n">
        <x:f>IF(X200=0,0,(X200-IF(1=D200,1,0))*VLOOKUP(INDEX('章节与怪物'!$E$31:$K$37,B200,1),'章节与怪物'!$A$41:$F$44,4,FALSE)+IF(1=D200,'难度参数'!$E$30,0))</x:f>
        <x:v>500</x:v>
      </x:c>
      <x:c r="AB200" s="119" t="n">
        <x:f>IF(2&gt;D200,0,MAX(2,MIN('难度参数'!$E$12,ROUND(('难度参数'!$E$18*POWER(A200,'难度参数'!$E$19)/D200*(0.85+0.3*(2-1)/MAX(1,D200-1))),0)+F200)))</x:f>
        <x:v>27</x:v>
      </x:c>
      <x:c r="AC200" s="119" t="n">
        <x:f>IF(2&gt;D200,0,ROUND(('难度参数'!$E$13*POWER(A200,'难度参数'!$E$20)*MIN('难度参数'!$E$23,1+MAX(0,A200-'难度参数'!$E$21)*'难度参数'!$E$22))*(36+2*7)/(36+7*(D200+1)/2)*E200,0))</x:f>
        <x:v>4681</x:v>
      </x:c>
      <x:c r="AD200" s="119" t="n">
        <x:f>IF(AB200=0,0,(AB200-IF(2=D200,1,0))*ROUND(AC200*VLOOKUP(INDEX('章节与怪物'!$E$31:$K$37,B200,2),'章节与怪物'!$A$41:$F$44,2,FALSE),0)+IF(2=D200,ROUND(AC200*'难度参数'!$E$28*'章节与怪物'!$E$17,0),0))</x:f>
        <x:v>126387</x:v>
      </x:c>
      <x:c r="AE200" s="119" t="n">
        <x:f>IF(AB200=0,0,(AB200-IF(2=D200,1,0))*VLOOKUP(INDEX('章节与怪物'!$E$31:$K$37,B200,2),'章节与怪物'!$A$41:$F$44,4,FALSE)+IF(2=D200,'难度参数'!$E$30,0))</x:f>
        <x:v>486</x:v>
      </x:c>
      <x:c r="AF200" s="119" t="n">
        <x:f>IF(3&gt;D200,0,MAX(2,MIN('难度参数'!$E$12,ROUND(('难度参数'!$E$18*POWER(A200,'难度参数'!$E$19)/D200*(0.85+0.3*(3-1)/MAX(1,D200-1))),0)+F200)))</x:f>
        <x:v>28</x:v>
      </x:c>
      <x:c r="AG200" s="119" t="n">
        <x:f>IF(3&gt;D200,0,ROUND(('难度参数'!$E$13*POWER(A200,'难度参数'!$E$20)*MIN('难度参数'!$E$23,1+MAX(0,A200-'难度参数'!$E$21)*'难度参数'!$E$22))*(36+3*7)/(36+7*(D200+1)/2)*E200,0))</x:f>
        <x:v>5336</x:v>
      </x:c>
      <x:c r="AH200" s="119" t="n">
        <x:f>IF(AF200=0,0,(AF200-IF(3=D200,1,0))*ROUND(AG200*VLOOKUP(INDEX('章节与怪物'!$E$31:$K$37,B200,3),'章节与怪物'!$A$41:$F$44,2,FALSE),0)+IF(3=D200,ROUND(AG200*'难度参数'!$E$28*'章节与怪物'!$E$17,0),0))</x:f>
        <x:v>253988</x:v>
      </x:c>
      <x:c r="AI200" s="119" t="n">
        <x:f>IF(AF200=0,0,(AF200-IF(3=D200,1,0))*VLOOKUP(INDEX('章节与怪物'!$E$31:$K$37,B200,3),'章节与怪物'!$A$41:$F$44,4,FALSE)+IF(3=D200,'难度参数'!$E$30,0))</x:f>
        <x:v>784</x:v>
      </x:c>
      <x:c r="AJ200" s="119" t="n">
        <x:f>IF(4&gt;D200,0,MAX(2,MIN('难度参数'!$E$12,ROUND(('难度参数'!$E$18*POWER(A200,'难度参数'!$E$19)/D200*(0.85+0.3*(4-1)/MAX(1,D200-1))),0)+F200)))</x:f>
        <x:v>30</x:v>
      </x:c>
      <x:c r="AK200" s="119" t="n">
        <x:f>IF(4&gt;D200,0,ROUND(('难度参数'!$E$13*POWER(A200,'难度参数'!$E$20)*MIN('难度参数'!$E$23,1+MAX(0,A200-'难度参数'!$E$21)*'难度参数'!$E$22))*(36+4*7)/(36+7*(D200+1)/2)*E200,0))</x:f>
        <x:v>5992</x:v>
      </x:c>
      <x:c r="AL200" s="119" t="n">
        <x:f>IF(AJ200=0,0,(AJ200-IF(4=D200,1,0))*ROUND(AK200*VLOOKUP(INDEX('章节与怪物'!$E$31:$K$37,B200,4),'章节与怪物'!$A$41:$F$44,2,FALSE),0)+IF(4=D200,ROUND(AK200*'难度参数'!$E$28*'章节与怪物'!$E$17,0),0))</x:f>
        <x:v>242670</x:v>
      </x:c>
      <x:c r="AM200" s="119" t="n">
        <x:f>IF(AJ200=0,0,(AJ200-IF(4=D200,1,0))*VLOOKUP(INDEX('章节与怪物'!$E$31:$K$37,B200,4),'章节与怪物'!$A$41:$F$44,4,FALSE)+IF(4=D200,'难度参数'!$E$30,0))</x:f>
        <x:v>1020</x:v>
      </x:c>
      <x:c r="AN200" s="119" t="n">
        <x:f>IF(5&gt;D200,0,MAX(2,MIN('难度参数'!$E$12,ROUND(('难度参数'!$E$18*POWER(A200,'难度参数'!$E$19)/D200*(0.85+0.3*(5-1)/MAX(1,D200-1))),0)+F200)))</x:f>
        <x:v>31</x:v>
      </x:c>
      <x:c r="AO200" s="119" t="n">
        <x:f>IF(5&gt;D200,0,ROUND(('难度参数'!$E$13*POWER(A200,'难度参数'!$E$20)*MIN('难度参数'!$E$23,1+MAX(0,A200-'难度参数'!$E$21)*'难度参数'!$E$22))*(36+5*7)/(36+7*(D200+1)/2)*E200,0))</x:f>
        <x:v>6647</x:v>
      </x:c>
      <x:c r="AP200" s="119" t="n">
        <x:f>IF(AN200=0,0,(AN200-IF(5=D200,1,0))*ROUND(AO200*VLOOKUP(INDEX('章节与怪物'!$E$31:$K$37,B200,5),'章节与怪物'!$A$41:$F$44,2,FALSE),0)+IF(5=D200,ROUND(AO200*'难度参数'!$E$28*'章节与怪物'!$E$17,0),0))</x:f>
        <x:v>206057</x:v>
      </x:c>
      <x:c r="AQ200" s="119" t="n">
        <x:f>IF(AN200=0,0,(AN200-IF(5=D200,1,0))*VLOOKUP(INDEX('章节与怪物'!$E$31:$K$37,B200,5),'章节与怪物'!$A$41:$F$44,4,FALSE)+IF(5=D200,'难度参数'!$E$30,0))</x:f>
        <x:v>558</x:v>
      </x:c>
      <x:c r="AR200" s="119" t="n">
        <x:f>IF(6&gt;D200,0,MAX(2,MIN('难度参数'!$E$12,ROUND(('难度参数'!$E$18*POWER(A200,'难度参数'!$E$19)/D200*(0.85+0.3*(6-1)/MAX(1,D200-1))),0)+F200)))</x:f>
        <x:v>33</x:v>
      </x:c>
      <x:c r="AS200" s="119" t="n">
        <x:f>IF(6&gt;D200,0,ROUND(('难度参数'!$E$13*POWER(A200,'难度参数'!$E$20)*MIN('难度参数'!$E$23,1+MAX(0,A200-'难度参数'!$E$21)*'难度参数'!$E$22))*(36+6*7)/(36+7*(D200+1)/2)*E200,0))</x:f>
        <x:v>7302</x:v>
      </x:c>
      <x:c r="AT200" s="119" t="n">
        <x:f>IF(AR200=0,0,(AR200-IF(6=D200,1,0))*ROUND(AS200*VLOOKUP(INDEX('章节与怪物'!$E$31:$K$37,B200,6),'章节与怪物'!$A$41:$F$44,2,FALSE),0)+IF(6=D200,ROUND(AS200*'难度参数'!$E$28*'章节与怪物'!$E$17,0),0))</x:f>
        <x:v>173481</x:v>
      </x:c>
      <x:c r="AU200" s="119" t="n">
        <x:f>IF(AR200=0,0,(AR200-IF(6=D200,1,0))*VLOOKUP(INDEX('章节与怪物'!$E$31:$K$37,B200,6),'章节与怪物'!$A$41:$F$44,4,FALSE)+IF(6=D200,'难度参数'!$E$30,0))</x:f>
        <x:v>660</x:v>
      </x:c>
      <x:c r="AV200" s="119" t="n">
        <x:f>IF(7&gt;D200,0,MAX(2,MIN('难度参数'!$E$12,ROUND(('难度参数'!$E$18*POWER(A200,'难度参数'!$E$19)/D200*(0.85+0.3*(7-1)/MAX(1,D200-1))),0)+F200)))</x:f>
        <x:v>34</x:v>
      </x:c>
      <x:c r="AW200" s="119" t="n">
        <x:f>IF(7&gt;D200,0,ROUND(('难度参数'!$E$13*POWER(A200,'难度参数'!$E$20)*MIN('难度参数'!$E$23,1+MAX(0,A200-'难度参数'!$E$21)*'难度参数'!$E$22))*(36+7*7)/(36+7*(D200+1)/2)*E200,0))</x:f>
        <x:v>7958</x:v>
      </x:c>
      <x:c r="AX200" s="119" t="n">
        <x:f>IF(AV200=0,0,(AV200-IF(7=D200,1,0))*ROUND(AW200*VLOOKUP(INDEX('章节与怪物'!$E$31:$K$37,B200,7),'章节与怪物'!$A$41:$F$44,2,FALSE),0)+IF(7=D200,ROUND(AW200*'难度参数'!$E$28*'章节与怪物'!$E$17,0),0))</x:f>
        <x:v>408633</x:v>
      </x:c>
      <x:c r="AY200" s="119" t="n">
        <x:f>IF(AV200=0,0,(AV200-IF(7=D200,1,0))*VLOOKUP(INDEX('章节与怪物'!$E$31:$K$37,B200,7),'章节与怪物'!$A$41:$F$44,4,FALSE)+IF(7=D200,'难度参数'!$E$30,0))</x:f>
        <x:v>1322</x:v>
      </x:c>
    </x:row>
    <x:row r="201" ht="23" customHeight="1">
      <x:c r="A201" s="119" t="n">
        <x:v>195</x:v>
      </x:c>
      <x:c r="B201" s="119" t="n">
        <x:f>MOD(INT((A201-1)/5),7)+1</x:f>
        <x:v>4</x:v>
      </x:c>
      <x:c r="C201" s="62" t="str">
        <x:f>INDEX('章节与怪物'!$B$31:$B$37,B201)</x:f>
        <x:v>翠野边城</x:v>
      </x:c>
      <x:c r="D201" s="119" t="n">
        <x:f>MIN('难度参数'!$E$8,MAX('难度参数'!$E$7,A201))</x:f>
        <x:v>7</x:v>
      </x:c>
      <x:c r="E201" s="106" t="n">
        <x:v>1</x:v>
      </x:c>
      <x:c r="F201" s="106" t="n">
        <x:v>0</x:v>
      </x:c>
      <x:c r="G201" s="106" t="n">
        <x:v>1</x:v>
      </x:c>
      <x:c r="H201" s="119" t="n">
        <x:f>SUM(X201,AB201,AF201,AJ201,AN201,AR201,AV201)</x:f>
        <x:v>208</x:v>
      </x:c>
      <x:c r="I201" s="119" t="n">
        <x:f>SUM(Z201,AD201,AH201,AL201,AP201,AT201,AX201)</x:f>
        <x:v>1489197</x:v>
      </x:c>
      <x:c r="J201" s="119" t="n">
        <x:f>ROUND(INDEX(X201:AY201,1,(D201-1)*4+2)*'难度参数'!$E$28*'章节与怪物'!$E$17,0)</x:f>
        <x:v>54312</x:v>
      </x:c>
      <x:c r="K201" s="119" t="n">
        <x:f>SUM(AA201,AE201,AI201,AM201,AQ201,AU201,AY201)</x:f>
        <x:v>5330</x:v>
      </x:c>
      <x:c r="L201" s="62" t="n">
        <x:f>H201*(ROUNDUP('难度参数'!$E$24/('难度参数'!$E$26*'难度参数'!$E$27),0)*'难度参数'!$E$26)/60</x:f>
        <x:v>2.7733333333333334</x:v>
      </x:c>
      <x:c r="M201" s="62" t="n">
        <x:f>L201+D201*('难度参数'!$E$49+'难度参数'!$E$50)/60</x:f>
        <x:v>3.9400000000000004</x:v>
      </x:c>
      <x:c r="N201" s="119" t="n">
        <x:f>ROUNDDOWN(('经济参数'!$E$20+A201*'经济参数'!$E$21)*G201,0)</x:f>
        <x:v>4080</x:v>
      </x:c>
      <x:c r="O201" s="119" t="n">
        <x:f>ROUNDDOWN(MIN('经济参数'!$E$24,'经济参数'!$E$22+A201*'经济参数'!$E$23)*G201,0)</x:f>
        <x:v>0</x:v>
      </x:c>
      <x:c r="P201" s="119" t="n">
        <x:f>ROUNDDOWN((IF(A201&gt;='材料与任务'!$E$31,'材料与任务'!$E$32,IF(A201&gt;='材料与任务'!$E$25,'材料与任务'!$E$26,IF(A201&gt;='材料与任务'!$E$19,'材料与任务'!$E$20,IF(A201&gt;='材料与任务'!$E$13,'材料与任务'!$E$14,'材料与任务'!$E$8)))))*G201,0)</x:f>
        <x:v>6</x:v>
      </x:c>
      <x:c r="Q201" s="119" t="n">
        <x:f>ROUNDDOWN((IF(A201&gt;='材料与任务'!$E$31,'材料与任务'!$E$33,IF(A201&gt;='材料与任务'!$E$25,'材料与任务'!$E$27,IF(A201&gt;='材料与任务'!$E$19,'材料与任务'!$E$21,IF(A201&gt;='材料与任务'!$E$13,'材料与任务'!$E$15,'材料与任务'!$E$9)))))*G201,0)</x:f>
        <x:v>3</x:v>
      </x:c>
      <x:c r="R201" s="110" t="n">
        <x:f>'装备掉落'!$B$38</x:f>
        <x:v>0.6872058758851213</x:v>
      </x:c>
      <x:c r="S201" s="119" t="n">
        <x:f>MAX(IF(VLOOKUP(A201,'装备掉落'!$A$29:$H$34,2,TRUE)&gt;0,1,0),IF(VLOOKUP(A201,'装备掉落'!$A$29:$H$34,3,TRUE)&gt;0,2,0),IF(VLOOKUP(A201,'装备掉落'!$A$29:$H$34,4,TRUE)&gt;0,3,0),IF(VLOOKUP(A201,'装备掉落'!$A$29:$H$34,5,TRUE)&gt;0,4,0),IF(VLOOKUP(A201,'装备掉落'!$A$29:$H$34,6,TRUE)&gt;0,5,0),IF(VLOOKUP(A201,'装备掉落'!$A$29:$H$34,7,TRUE)&gt;0,6,0),IF(VLOOKUP(A201,'装备掉落'!$A$29:$H$34,8,TRUE)&gt;0,7,0))</x:f>
        <x:v>7</x:v>
      </x:c>
      <x:c r="T201" s="119" t="n">
        <x:f>MIN(7,S201+'经济参数'!$E$70)</x:f>
        <x:v>7</x:v>
      </x:c>
      <x:c r="U201" s="119" t="n">
        <x:f>MIN(7,S201+'经济参数'!$E$71)</x:f>
        <x:v>7</x:v>
      </x:c>
      <x:c r="V201" s="119" t="n">
        <x:f>IF(H201&gt;=('难度参数'!$E$52),1,0)+IF(H201&gt;=('难度参数'!$E$52+'难度参数'!$E$53),1,0)+IF(H201&gt;=('难度参数'!$E$52+'难度参数'!$E$53+'难度参数'!$E$54),1,0)+IF(H201&gt;=('难度参数'!$E$52+'难度参数'!$E$53+'难度参数'!$E$54+'难度参数'!$E$55),1,0)+IF(H201&gt;=('难度参数'!$E$52+'难度参数'!$E$53+'难度参数'!$E$54+'难度参数'!$E$55+'难度参数'!$E$56),1,0)+IF(H201&gt;=('难度参数'!$E$52+'难度参数'!$E$53+'难度参数'!$E$54+'难度参数'!$E$55+'难度参数'!$E$56+'难度参数'!$E$57),1,0)</x:f>
        <x:v>6</x:v>
      </x:c>
      <x:c r="W201" s="62" t="str">
        <x:f>IF(L201&gt;'难度参数'!$E$51,"仅出怪已超目标","还需实测")</x:f>
        <x:v>还需实测</x:v>
      </x:c>
      <x:c r="X201" s="119" t="n">
        <x:f>IF(1&gt;D201,0,MAX(2,MIN('难度参数'!$E$12,ROUND(('难度参数'!$E$18*POWER(A201,'难度参数'!$E$19)/D201*(0.85+0.3*(1-1)/MAX(1,D201-1))),0)+F201)))</x:f>
        <x:v>25</x:v>
      </x:c>
      <x:c r="Y201" s="119" t="n">
        <x:f>IF(1&gt;D201,0,ROUND(('难度参数'!$E$13*POWER(A201,'难度参数'!$E$20)*MIN('难度参数'!$E$23,1+MAX(0,A201-'难度参数'!$E$21)*'难度参数'!$E$22))*(36+1*7)/(36+7*(D201+1)/2)*E201,0))</x:f>
        <x:v>4041</x:v>
      </x:c>
      <x:c r="Z201" s="119" t="n">
        <x:f>IF(X201=0,0,(X201-IF(1=D201,1,0))*ROUND(Y201*VLOOKUP(INDEX('章节与怪物'!$E$31:$K$37,B201,1),'章节与怪物'!$A$41:$F$44,2,FALSE),0)+IF(1=D201,ROUND(Y201*'难度参数'!$E$28*'章节与怪物'!$E$17,0),0))</x:f>
        <x:v>72750</x:v>
      </x:c>
      <x:c r="AA201" s="119" t="n">
        <x:f>IF(X201=0,0,(X201-IF(1=D201,1,0))*VLOOKUP(INDEX('章节与怪物'!$E$31:$K$37,B201,1),'章节与怪物'!$A$41:$F$44,4,FALSE)+IF(1=D201,'难度参数'!$E$30,0))</x:f>
        <x:v>500</x:v>
      </x:c>
      <x:c r="AB201" s="119" t="n">
        <x:f>IF(2&gt;D201,0,MAX(2,MIN('难度参数'!$E$12,ROUND(('难度参数'!$E$18*POWER(A201,'难度参数'!$E$19)/D201*(0.85+0.3*(2-1)/MAX(1,D201-1))),0)+F201)))</x:f>
        <x:v>27</x:v>
      </x:c>
      <x:c r="AC201" s="119" t="n">
        <x:f>IF(2&gt;D201,0,ROUND(('难度参数'!$E$13*POWER(A201,'难度参数'!$E$20)*MIN('难度参数'!$E$23,1+MAX(0,A201-'难度参数'!$E$21)*'难度参数'!$E$22))*(36+2*7)/(36+7*(D201+1)/2)*E201,0))</x:f>
        <x:v>4698</x:v>
      </x:c>
      <x:c r="AD201" s="119" t="n">
        <x:f>IF(AB201=0,0,(AB201-IF(2=D201,1,0))*ROUND(AC201*VLOOKUP(INDEX('章节与怪物'!$E$31:$K$37,B201,2),'章节与怪物'!$A$41:$F$44,2,FALSE),0)+IF(2=D201,ROUND(AC201*'难度参数'!$E$28*'章节与怪物'!$E$17,0),0))</x:f>
        <x:v>126846</x:v>
      </x:c>
      <x:c r="AE201" s="119" t="n">
        <x:f>IF(AB201=0,0,(AB201-IF(2=D201,1,0))*VLOOKUP(INDEX('章节与怪物'!$E$31:$K$37,B201,2),'章节与怪物'!$A$41:$F$44,4,FALSE)+IF(2=D201,'难度参数'!$E$30,0))</x:f>
        <x:v>486</x:v>
      </x:c>
      <x:c r="AF201" s="119" t="n">
        <x:f>IF(3&gt;D201,0,MAX(2,MIN('难度参数'!$E$12,ROUND(('难度参数'!$E$18*POWER(A201,'难度参数'!$E$19)/D201*(0.85+0.3*(3-1)/MAX(1,D201-1))),0)+F201)))</x:f>
        <x:v>28</x:v>
      </x:c>
      <x:c r="AG201" s="119" t="n">
        <x:f>IF(3&gt;D201,0,ROUND(('难度参数'!$E$13*POWER(A201,'难度参数'!$E$20)*MIN('难度参数'!$E$23,1+MAX(0,A201-'难度参数'!$E$21)*'难度参数'!$E$22))*(36+3*7)/(36+7*(D201+1)/2)*E201,0))</x:f>
        <x:v>5356</x:v>
      </x:c>
      <x:c r="AH201" s="119" t="n">
        <x:f>IF(AF201=0,0,(AF201-IF(3=D201,1,0))*ROUND(AG201*VLOOKUP(INDEX('章节与怪物'!$E$31:$K$37,B201,3),'章节与怪物'!$A$41:$F$44,2,FALSE),0)+IF(3=D201,ROUND(AG201*'难度参数'!$E$28*'章节与怪物'!$E$17,0),0))</x:f>
        <x:v>254940</x:v>
      </x:c>
      <x:c r="AI201" s="119" t="n">
        <x:f>IF(AF201=0,0,(AF201-IF(3=D201,1,0))*VLOOKUP(INDEX('章节与怪物'!$E$31:$K$37,B201,3),'章节与怪物'!$A$41:$F$44,4,FALSE)+IF(3=D201,'难度参数'!$E$30,0))</x:f>
        <x:v>784</x:v>
      </x:c>
      <x:c r="AJ201" s="119" t="n">
        <x:f>IF(4&gt;D201,0,MAX(2,MIN('难度参数'!$E$12,ROUND(('难度参数'!$E$18*POWER(A201,'难度参数'!$E$19)/D201*(0.85+0.3*(4-1)/MAX(1,D201-1))),0)+F201)))</x:f>
        <x:v>30</x:v>
      </x:c>
      <x:c r="AK201" s="119" t="n">
        <x:f>IF(4&gt;D201,0,ROUND(('难度参数'!$E$13*POWER(A201,'难度参数'!$E$20)*MIN('难度参数'!$E$23,1+MAX(0,A201-'难度参数'!$E$21)*'难度参数'!$E$22))*(36+4*7)/(36+7*(D201+1)/2)*E201,0))</x:f>
        <x:v>6014</x:v>
      </x:c>
      <x:c r="AL201" s="119" t="n">
        <x:f>IF(AJ201=0,0,(AJ201-IF(4=D201,1,0))*ROUND(AK201*VLOOKUP(INDEX('章节与怪物'!$E$31:$K$37,B201,4),'章节与怪物'!$A$41:$F$44,2,FALSE),0)+IF(4=D201,ROUND(AK201*'难度参数'!$E$28*'章节与怪物'!$E$17,0),0))</x:f>
        <x:v>243570</x:v>
      </x:c>
      <x:c r="AM201" s="119" t="n">
        <x:f>IF(AJ201=0,0,(AJ201-IF(4=D201,1,0))*VLOOKUP(INDEX('章节与怪物'!$E$31:$K$37,B201,4),'章节与怪物'!$A$41:$F$44,4,FALSE)+IF(4=D201,'难度参数'!$E$30,0))</x:f>
        <x:v>1020</x:v>
      </x:c>
      <x:c r="AN201" s="119" t="n">
        <x:f>IF(5&gt;D201,0,MAX(2,MIN('难度参数'!$E$12,ROUND(('难度参数'!$E$18*POWER(A201,'难度参数'!$E$19)/D201*(0.85+0.3*(5-1)/MAX(1,D201-1))),0)+F201)))</x:f>
        <x:v>31</x:v>
      </x:c>
      <x:c r="AO201" s="119" t="n">
        <x:f>IF(5&gt;D201,0,ROUND(('难度参数'!$E$13*POWER(A201,'难度参数'!$E$20)*MIN('难度参数'!$E$23,1+MAX(0,A201-'难度参数'!$E$21)*'难度参数'!$E$22))*(36+5*7)/(36+7*(D201+1)/2)*E201,0))</x:f>
        <x:v>6672</x:v>
      </x:c>
      <x:c r="AP201" s="119" t="n">
        <x:f>IF(AN201=0,0,(AN201-IF(5=D201,1,0))*ROUND(AO201*VLOOKUP(INDEX('章节与怪物'!$E$31:$K$37,B201,5),'章节与怪物'!$A$41:$F$44,2,FALSE),0)+IF(5=D201,ROUND(AO201*'难度参数'!$E$28*'章节与怪物'!$E$17,0),0))</x:f>
        <x:v>206832</x:v>
      </x:c>
      <x:c r="AQ201" s="119" t="n">
        <x:f>IF(AN201=0,0,(AN201-IF(5=D201,1,0))*VLOOKUP(INDEX('章节与怪物'!$E$31:$K$37,B201,5),'章节与怪物'!$A$41:$F$44,4,FALSE)+IF(5=D201,'难度参数'!$E$30,0))</x:f>
        <x:v>558</x:v>
      </x:c>
      <x:c r="AR201" s="119" t="n">
        <x:f>IF(6&gt;D201,0,MAX(2,MIN('难度参数'!$E$12,ROUND(('难度参数'!$E$18*POWER(A201,'难度参数'!$E$19)/D201*(0.85+0.3*(6-1)/MAX(1,D201-1))),0)+F201)))</x:f>
        <x:v>33</x:v>
      </x:c>
      <x:c r="AS201" s="119" t="n">
        <x:f>IF(6&gt;D201,0,ROUND(('难度参数'!$E$13*POWER(A201,'难度参数'!$E$20)*MIN('难度参数'!$E$23,1+MAX(0,A201-'难度参数'!$E$21)*'难度参数'!$E$22))*(36+6*7)/(36+7*(D201+1)/2)*E201,0))</x:f>
        <x:v>7329</x:v>
      </x:c>
      <x:c r="AT201" s="119" t="n">
        <x:f>IF(AR201=0,0,(AR201-IF(6=D201,1,0))*ROUND(AS201*VLOOKUP(INDEX('章节与怪物'!$E$31:$K$37,B201,6),'章节与怪物'!$A$41:$F$44,2,FALSE),0)+IF(6=D201,ROUND(AS201*'难度参数'!$E$28*'章节与怪物'!$E$17,0),0))</x:f>
        <x:v>174141</x:v>
      </x:c>
      <x:c r="AU201" s="119" t="n">
        <x:f>IF(AR201=0,0,(AR201-IF(6=D201,1,0))*VLOOKUP(INDEX('章节与怪物'!$E$31:$K$37,B201,6),'章节与怪物'!$A$41:$F$44,4,FALSE)+IF(6=D201,'难度参数'!$E$30,0))</x:f>
        <x:v>660</x:v>
      </x:c>
      <x:c r="AV201" s="119" t="n">
        <x:f>IF(7&gt;D201,0,MAX(2,MIN('难度参数'!$E$12,ROUND(('难度参数'!$E$18*POWER(A201,'难度参数'!$E$19)/D201*(0.85+0.3*(7-1)/MAX(1,D201-1))),0)+F201)))</x:f>
        <x:v>34</x:v>
      </x:c>
      <x:c r="AW201" s="119" t="n">
        <x:f>IF(7&gt;D201,0,ROUND(('难度参数'!$E$13*POWER(A201,'难度参数'!$E$20)*MIN('难度参数'!$E$23,1+MAX(0,A201-'难度参数'!$E$21)*'难度参数'!$E$22))*(36+7*7)/(36+7*(D201+1)/2)*E201,0))</x:f>
        <x:v>7987</x:v>
      </x:c>
      <x:c r="AX201" s="119" t="n">
        <x:f>IF(AV201=0,0,(AV201-IF(7=D201,1,0))*ROUND(AW201*VLOOKUP(INDEX('章节与怪物'!$E$31:$K$37,B201,7),'章节与怪物'!$A$41:$F$44,2,FALSE),0)+IF(7=D201,ROUND(AW201*'难度参数'!$E$28*'章节与怪物'!$E$17,0),0))</x:f>
        <x:v>410118</x:v>
      </x:c>
      <x:c r="AY201" s="119" t="n">
        <x:f>IF(AV201=0,0,(AV201-IF(7=D201,1,0))*VLOOKUP(INDEX('章节与怪物'!$E$31:$K$37,B201,7),'章节与怪物'!$A$41:$F$44,4,FALSE)+IF(7=D201,'难度参数'!$E$30,0))</x:f>
        <x:v>1322</x:v>
      </x:c>
    </x:row>
    <x:row r="202" ht="23" customHeight="1">
      <x:c r="A202" s="119" t="n">
        <x:v>196</x:v>
      </x:c>
      <x:c r="B202" s="119" t="n">
        <x:f>MOD(INT((A202-1)/5),7)+1</x:f>
        <x:v>5</x:v>
      </x:c>
      <x:c r="C202" s="62" t="str">
        <x:f>INDEX('章节与怪物'!$B$31:$B$37,B202)</x:f>
        <x:v>雨林遗迹</x:v>
      </x:c>
      <x:c r="D202" s="119" t="n">
        <x:f>MIN('难度参数'!$E$8,MAX('难度参数'!$E$7,A202))</x:f>
        <x:v>7</x:v>
      </x:c>
      <x:c r="E202" s="106" t="n">
        <x:v>1</x:v>
      </x:c>
      <x:c r="F202" s="106" t="n">
        <x:v>0</x:v>
      </x:c>
      <x:c r="G202" s="106" t="n">
        <x:v>1</x:v>
      </x:c>
      <x:c r="H202" s="119" t="n">
        <x:f>SUM(X202,AB202,AF202,AJ202,AN202,AR202,AV202)</x:f>
        <x:v>208</x:v>
      </x:c>
      <x:c r="I202" s="119" t="n">
        <x:f>SUM(Z202,AD202,AH202,AL202,AP202,AT202,AX202)</x:f>
        <x:v>1667311</x:v>
      </x:c>
      <x:c r="J202" s="119" t="n">
        <x:f>ROUND(INDEX(X202:AY202,1,(D202-1)*4+2)*'难度参数'!$E$28*'章节与怪物'!$E$17,0)</x:f>
        <x:v>54516</x:v>
      </x:c>
      <x:c r="K202" s="119" t="n">
        <x:f>SUM(AA202,AE202,AI202,AM202,AQ202,AU202,AY202)</x:f>
        <x:v>5660</x:v>
      </x:c>
      <x:c r="L202" s="62" t="n">
        <x:f>H202*(ROUNDUP('难度参数'!$E$24/('难度参数'!$E$26*'难度参数'!$E$27),0)*'难度参数'!$E$26)/60</x:f>
        <x:v>2.7733333333333334</x:v>
      </x:c>
      <x:c r="M202" s="62" t="n">
        <x:f>L202+D202*('难度参数'!$E$49+'难度参数'!$E$50)/60</x:f>
        <x:v>3.9400000000000004</x:v>
      </x:c>
      <x:c r="N202" s="119" t="n">
        <x:f>ROUNDDOWN(('经济参数'!$E$20+A202*'经济参数'!$E$21)*G202,0)</x:f>
        <x:v>4100</x:v>
      </x:c>
      <x:c r="O202" s="119" t="n">
        <x:f>ROUNDDOWN(MIN('经济参数'!$E$24,'经济参数'!$E$22+A202*'经济参数'!$E$23)*G202,0)</x:f>
        <x:v>0</x:v>
      </x:c>
      <x:c r="P202" s="119" t="n">
        <x:f>ROUNDDOWN((IF(A202&gt;='材料与任务'!$E$31,'材料与任务'!$E$32,IF(A202&gt;='材料与任务'!$E$25,'材料与任务'!$E$26,IF(A202&gt;='材料与任务'!$E$19,'材料与任务'!$E$20,IF(A202&gt;='材料与任务'!$E$13,'材料与任务'!$E$14,'材料与任务'!$E$8)))))*G202,0)</x:f>
        <x:v>6</x:v>
      </x:c>
      <x:c r="Q202" s="119" t="n">
        <x:f>ROUNDDOWN((IF(A202&gt;='材料与任务'!$E$31,'材料与任务'!$E$33,IF(A202&gt;='材料与任务'!$E$25,'材料与任务'!$E$27,IF(A202&gt;='材料与任务'!$E$19,'材料与任务'!$E$21,IF(A202&gt;='材料与任务'!$E$13,'材料与任务'!$E$15,'材料与任务'!$E$9)))))*G202,0)</x:f>
        <x:v>3</x:v>
      </x:c>
      <x:c r="R202" s="110" t="n">
        <x:f>'装备掉落'!$B$38</x:f>
        <x:v>0.6872058758851213</x:v>
      </x:c>
      <x:c r="S202" s="119" t="n">
        <x:f>MAX(IF(VLOOKUP(A202,'装备掉落'!$A$29:$H$34,2,TRUE)&gt;0,1,0),IF(VLOOKUP(A202,'装备掉落'!$A$29:$H$34,3,TRUE)&gt;0,2,0),IF(VLOOKUP(A202,'装备掉落'!$A$29:$H$34,4,TRUE)&gt;0,3,0),IF(VLOOKUP(A202,'装备掉落'!$A$29:$H$34,5,TRUE)&gt;0,4,0),IF(VLOOKUP(A202,'装备掉落'!$A$29:$H$34,6,TRUE)&gt;0,5,0),IF(VLOOKUP(A202,'装备掉落'!$A$29:$H$34,7,TRUE)&gt;0,6,0),IF(VLOOKUP(A202,'装备掉落'!$A$29:$H$34,8,TRUE)&gt;0,7,0))</x:f>
        <x:v>7</x:v>
      </x:c>
      <x:c r="T202" s="119" t="n">
        <x:f>MIN(7,S202+'经济参数'!$E$70)</x:f>
        <x:v>7</x:v>
      </x:c>
      <x:c r="U202" s="119" t="n">
        <x:f>MIN(7,S202+'经济参数'!$E$71)</x:f>
        <x:v>7</x:v>
      </x:c>
      <x:c r="V202" s="119" t="n">
        <x:f>IF(H202&gt;=('难度参数'!$E$52),1,0)+IF(H202&gt;=('难度参数'!$E$52+'难度参数'!$E$53),1,0)+IF(H202&gt;=('难度参数'!$E$52+'难度参数'!$E$53+'难度参数'!$E$54),1,0)+IF(H202&gt;=('难度参数'!$E$52+'难度参数'!$E$53+'难度参数'!$E$54+'难度参数'!$E$55),1,0)+IF(H202&gt;=('难度参数'!$E$52+'难度参数'!$E$53+'难度参数'!$E$54+'难度参数'!$E$55+'难度参数'!$E$56),1,0)+IF(H202&gt;=('难度参数'!$E$52+'难度参数'!$E$53+'难度参数'!$E$54+'难度参数'!$E$55+'难度参数'!$E$56+'难度参数'!$E$57),1,0)</x:f>
        <x:v>6</x:v>
      </x:c>
      <x:c r="W202" s="62" t="str">
        <x:f>IF(L202&gt;'难度参数'!$E$51,"仅出怪已超目标","还需实测")</x:f>
        <x:v>还需实测</x:v>
      </x:c>
      <x:c r="X202" s="119" t="n">
        <x:f>IF(1&gt;D202,0,MAX(2,MIN('难度参数'!$E$12,ROUND(('难度参数'!$E$18*POWER(A202,'难度参数'!$E$19)/D202*(0.85+0.3*(1-1)/MAX(1,D202-1))),0)+F202)))</x:f>
        <x:v>25</x:v>
      </x:c>
      <x:c r="Y202" s="119" t="n">
        <x:f>IF(1&gt;D202,0,ROUND(('难度参数'!$E$13*POWER(A202,'难度参数'!$E$20)*MIN('难度参数'!$E$23,1+MAX(0,A202-'难度参数'!$E$21)*'难度参数'!$E$22))*(36+1*7)/(36+7*(D202+1)/2)*E202,0))</x:f>
        <x:v>4056</x:v>
      </x:c>
      <x:c r="Z202" s="119" t="n">
        <x:f>IF(X202=0,0,(X202-IF(1=D202,1,0))*ROUND(Y202*VLOOKUP(INDEX('章节与怪物'!$E$31:$K$37,B202,1),'章节与怪物'!$A$41:$F$44,2,FALSE),0)+IF(1=D202,ROUND(Y202*'难度参数'!$E$28*'章节与怪物'!$E$17,0),0))</x:f>
        <x:v>101400</x:v>
      </x:c>
      <x:c r="AA202" s="119" t="n">
        <x:f>IF(X202=0,0,(X202-IF(1=D202,1,0))*VLOOKUP(INDEX('章节与怪物'!$E$31:$K$37,B202,1),'章节与怪物'!$A$41:$F$44,4,FALSE)+IF(1=D202,'难度参数'!$E$30,0))</x:f>
        <x:v>450</x:v>
      </x:c>
      <x:c r="AB202" s="119" t="n">
        <x:f>IF(2&gt;D202,0,MAX(2,MIN('难度参数'!$E$12,ROUND(('难度参数'!$E$18*POWER(A202,'难度参数'!$E$19)/D202*(0.85+0.3*(2-1)/MAX(1,D202-1))),0)+F202)))</x:f>
        <x:v>27</x:v>
      </x:c>
      <x:c r="AC202" s="119" t="n">
        <x:f>IF(2&gt;D202,0,ROUND(('难度参数'!$E$13*POWER(A202,'难度参数'!$E$20)*MIN('难度参数'!$E$23,1+MAX(0,A202-'难度参数'!$E$21)*'难度参数'!$E$22))*(36+2*7)/(36+7*(D202+1)/2)*E202,0))</x:f>
        <x:v>4716</x:v>
      </x:c>
      <x:c r="AD202" s="119" t="n">
        <x:f>IF(AB202=0,0,(AB202-IF(2=D202,1,0))*ROUND(AC202*VLOOKUP(INDEX('章节与怪物'!$E$31:$K$37,B202,2),'章节与怪物'!$A$41:$F$44,2,FALSE),0)+IF(2=D202,ROUND(AC202*'难度参数'!$E$28*'章节与怪物'!$E$17,0),0))</x:f>
        <x:v>91692</x:v>
      </x:c>
      <x:c r="AE202" s="119" t="n">
        <x:f>IF(AB202=0,0,(AB202-IF(2=D202,1,0))*VLOOKUP(INDEX('章节与怪物'!$E$31:$K$37,B202,2),'章节与怪物'!$A$41:$F$44,4,FALSE)+IF(2=D202,'难度参数'!$E$30,0))</x:f>
        <x:v>540</x:v>
      </x:c>
      <x:c r="AF202" s="119" t="n">
        <x:f>IF(3&gt;D202,0,MAX(2,MIN('难度参数'!$E$12,ROUND(('难度参数'!$E$18*POWER(A202,'难度参数'!$E$19)/D202*(0.85+0.3*(3-1)/MAX(1,D202-1))),0)+F202)))</x:f>
        <x:v>28</x:v>
      </x:c>
      <x:c r="AG202" s="119" t="n">
        <x:f>IF(3&gt;D202,0,ROUND(('难度参数'!$E$13*POWER(A202,'难度参数'!$E$20)*MIN('难度参数'!$E$23,1+MAX(0,A202-'难度参数'!$E$21)*'难度参数'!$E$22))*(36+3*7)/(36+7*(D202+1)/2)*E202,0))</x:f>
        <x:v>5376</x:v>
      </x:c>
      <x:c r="AH202" s="119" t="n">
        <x:f>IF(AF202=0,0,(AF202-IF(3=D202,1,0))*ROUND(AG202*VLOOKUP(INDEX('章节与怪物'!$E$31:$K$37,B202,3),'章节与怪物'!$A$41:$F$44,2,FALSE),0)+IF(3=D202,ROUND(AG202*'难度参数'!$E$28*'章节与怪物'!$E$17,0),0))</x:f>
        <x:v>255892</x:v>
      </x:c>
      <x:c r="AI202" s="119" t="n">
        <x:f>IF(AF202=0,0,(AF202-IF(3=D202,1,0))*VLOOKUP(INDEX('章节与怪物'!$E$31:$K$37,B202,3),'章节与怪物'!$A$41:$F$44,4,FALSE)+IF(3=D202,'难度参数'!$E$30,0))</x:f>
        <x:v>784</x:v>
      </x:c>
      <x:c r="AJ202" s="119" t="n">
        <x:f>IF(4&gt;D202,0,MAX(2,MIN('难度参数'!$E$12,ROUND(('难度参数'!$E$18*POWER(A202,'难度参数'!$E$19)/D202*(0.85+0.3*(4-1)/MAX(1,D202-1))),0)+F202)))</x:f>
        <x:v>30</x:v>
      </x:c>
      <x:c r="AK202" s="119" t="n">
        <x:f>IF(4&gt;D202,0,ROUND(('难度参数'!$E$13*POWER(A202,'难度参数'!$E$20)*MIN('难度参数'!$E$23,1+MAX(0,A202-'难度参数'!$E$21)*'难度参数'!$E$22))*(36+4*7)/(36+7*(D202+1)/2)*E202,0))</x:f>
        <x:v>6036</x:v>
      </x:c>
      <x:c r="AL202" s="119" t="n">
        <x:f>IF(AJ202=0,0,(AJ202-IF(4=D202,1,0))*ROUND(AK202*VLOOKUP(INDEX('章节与怪物'!$E$31:$K$37,B202,4),'章节与怪物'!$A$41:$F$44,2,FALSE),0)+IF(4=D202,ROUND(AK202*'难度参数'!$E$28*'章节与怪物'!$E$17,0),0))</x:f>
        <x:v>244470</x:v>
      </x:c>
      <x:c r="AM202" s="119" t="n">
        <x:f>IF(AJ202=0,0,(AJ202-IF(4=D202,1,0))*VLOOKUP(INDEX('章节与怪物'!$E$31:$K$37,B202,4),'章节与怪物'!$A$41:$F$44,4,FALSE)+IF(4=D202,'难度参数'!$E$30,0))</x:f>
        <x:v>1020</x:v>
      </x:c>
      <x:c r="AN202" s="119" t="n">
        <x:f>IF(5&gt;D202,0,MAX(2,MIN('难度参数'!$E$12,ROUND(('难度参数'!$E$18*POWER(A202,'难度参数'!$E$19)/D202*(0.85+0.3*(5-1)/MAX(1,D202-1))),0)+F202)))</x:f>
        <x:v>31</x:v>
      </x:c>
      <x:c r="AO202" s="119" t="n">
        <x:f>IF(5&gt;D202,0,ROUND(('难度参数'!$E$13*POWER(A202,'难度参数'!$E$20)*MIN('难度参数'!$E$23,1+MAX(0,A202-'难度参数'!$E$21)*'难度参数'!$E$22))*(36+5*7)/(36+7*(D202+1)/2)*E202,0))</x:f>
        <x:v>6696</x:v>
      </x:c>
      <x:c r="AP202" s="119" t="n">
        <x:f>IF(AN202=0,0,(AN202-IF(5=D202,1,0))*ROUND(AO202*VLOOKUP(INDEX('章节与怪物'!$E$31:$K$37,B202,5),'章节与怪物'!$A$41:$F$44,2,FALSE),0)+IF(5=D202,ROUND(AO202*'难度参数'!$E$28*'章节与怪物'!$E$17,0),0))</x:f>
        <x:v>149451</x:v>
      </x:c>
      <x:c r="AQ202" s="119" t="n">
        <x:f>IF(AN202=0,0,(AN202-IF(5=D202,1,0))*VLOOKUP(INDEX('章节与怪物'!$E$31:$K$37,B202,5),'章节与怪物'!$A$41:$F$44,4,FALSE)+IF(5=D202,'难度参数'!$E$30,0))</x:f>
        <x:v>620</x:v>
      </x:c>
      <x:c r="AR202" s="119" t="n">
        <x:f>IF(6&gt;D202,0,MAX(2,MIN('难度参数'!$E$12,ROUND(('难度参数'!$E$18*POWER(A202,'难度参数'!$E$19)/D202*(0.85+0.3*(6-1)/MAX(1,D202-1))),0)+F202)))</x:f>
        <x:v>33</x:v>
      </x:c>
      <x:c r="AS202" s="119" t="n">
        <x:f>IF(6&gt;D202,0,ROUND(('难度参数'!$E$13*POWER(A202,'难度参数'!$E$20)*MIN('难度参数'!$E$23,1+MAX(0,A202-'难度参数'!$E$21)*'难度参数'!$E$22))*(36+6*7)/(36+7*(D202+1)/2)*E202,0))</x:f>
        <x:v>7357</x:v>
      </x:c>
      <x:c r="AT202" s="119" t="n">
        <x:f>IF(AR202=0,0,(AR202-IF(6=D202,1,0))*ROUND(AS202*VLOOKUP(INDEX('章节与怪物'!$E$31:$K$37,B202,6),'章节与怪物'!$A$41:$F$44,2,FALSE),0)+IF(6=D202,ROUND(AS202*'难度参数'!$E$28*'章节与怪物'!$E$17,0),0))</x:f>
        <x:v>412731</x:v>
      </x:c>
      <x:c r="AU202" s="119" t="n">
        <x:f>IF(AR202=0,0,(AR202-IF(6=D202,1,0))*VLOOKUP(INDEX('章节与怪物'!$E$31:$K$37,B202,6),'章节与怪物'!$A$41:$F$44,4,FALSE)+IF(6=D202,'难度参数'!$E$30,0))</x:f>
        <x:v>924</x:v>
      </x:c>
      <x:c r="AV202" s="119" t="n">
        <x:f>IF(7&gt;D202,0,MAX(2,MIN('难度参数'!$E$12,ROUND(('难度参数'!$E$18*POWER(A202,'难度参数'!$E$19)/D202*(0.85+0.3*(7-1)/MAX(1,D202-1))),0)+F202)))</x:f>
        <x:v>34</x:v>
      </x:c>
      <x:c r="AW202" s="119" t="n">
        <x:f>IF(7&gt;D202,0,ROUND(('难度参数'!$E$13*POWER(A202,'难度参数'!$E$20)*MIN('难度参数'!$E$23,1+MAX(0,A202-'难度参数'!$E$21)*'难度参数'!$E$22))*(36+7*7)/(36+7*(D202+1)/2)*E202,0))</x:f>
        <x:v>8017</x:v>
      </x:c>
      <x:c r="AX202" s="119" t="n">
        <x:f>IF(AV202=0,0,(AV202-IF(7=D202,1,0))*ROUND(AW202*VLOOKUP(INDEX('章节与怪物'!$E$31:$K$37,B202,7),'章节与怪物'!$A$41:$F$44,2,FALSE),0)+IF(7=D202,ROUND(AW202*'难度参数'!$E$28*'章节与怪物'!$E$17,0),0))</x:f>
        <x:v>411675</x:v>
      </x:c>
      <x:c r="AY202" s="119" t="n">
        <x:f>IF(AV202=0,0,(AV202-IF(7=D202,1,0))*VLOOKUP(INDEX('章节与怪物'!$E$31:$K$37,B202,7),'章节与怪物'!$A$41:$F$44,4,FALSE)+IF(7=D202,'难度参数'!$E$30,0))</x:f>
        <x:v>1322</x:v>
      </x:c>
    </x:row>
    <x:row r="203" ht="23" customHeight="1">
      <x:c r="A203" s="119" t="n">
        <x:v>197</x:v>
      </x:c>
      <x:c r="B203" s="119" t="n">
        <x:f>MOD(INT((A203-1)/5),7)+1</x:f>
        <x:v>5</x:v>
      </x:c>
      <x:c r="C203" s="62" t="str">
        <x:f>INDEX('章节与怪物'!$B$31:$B$37,B203)</x:f>
        <x:v>雨林遗迹</x:v>
      </x:c>
      <x:c r="D203" s="119" t="n">
        <x:f>MIN('难度参数'!$E$8,MAX('难度参数'!$E$7,A203))</x:f>
        <x:v>7</x:v>
      </x:c>
      <x:c r="E203" s="106" t="n">
        <x:v>1</x:v>
      </x:c>
      <x:c r="F203" s="106" t="n">
        <x:v>0</x:v>
      </x:c>
      <x:c r="G203" s="106" t="n">
        <x:v>1</x:v>
      </x:c>
      <x:c r="H203" s="119" t="n">
        <x:f>SUM(X203,AB203,AF203,AJ203,AN203,AR203,AV203)</x:f>
        <x:v>208</x:v>
      </x:c>
      <x:c r="I203" s="119" t="n">
        <x:f>SUM(Z203,AD203,AH203,AL203,AP203,AT203,AX203)</x:f>
        <x:v>1673367</x:v>
      </x:c>
      <x:c r="J203" s="119" t="n">
        <x:f>ROUND(INDEX(X203:AY203,1,(D203-1)*4+2)*'难度参数'!$E$28*'章节与怪物'!$E$17,0)</x:f>
        <x:v>54713</x:v>
      </x:c>
      <x:c r="K203" s="119" t="n">
        <x:f>SUM(AA203,AE203,AI203,AM203,AQ203,AU203,AY203)</x:f>
        <x:v>5660</x:v>
      </x:c>
      <x:c r="L203" s="62" t="n">
        <x:f>H203*(ROUNDUP('难度参数'!$E$24/('难度参数'!$E$26*'难度参数'!$E$27),0)*'难度参数'!$E$26)/60</x:f>
        <x:v>2.7733333333333334</x:v>
      </x:c>
      <x:c r="M203" s="62" t="n">
        <x:f>L203+D203*('难度参数'!$E$49+'难度参数'!$E$50)/60</x:f>
        <x:v>3.9400000000000004</x:v>
      </x:c>
      <x:c r="N203" s="119" t="n">
        <x:f>ROUNDDOWN(('经济参数'!$E$20+A203*'经济参数'!$E$21)*G203,0)</x:f>
        <x:v>4120</x:v>
      </x:c>
      <x:c r="O203" s="119" t="n">
        <x:f>ROUNDDOWN(MIN('经济参数'!$E$24,'经济参数'!$E$22+A203*'经济参数'!$E$23)*G203,0)</x:f>
        <x:v>0</x:v>
      </x:c>
      <x:c r="P203" s="119" t="n">
        <x:f>ROUNDDOWN((IF(A203&gt;='材料与任务'!$E$31,'材料与任务'!$E$32,IF(A203&gt;='材料与任务'!$E$25,'材料与任务'!$E$26,IF(A203&gt;='材料与任务'!$E$19,'材料与任务'!$E$20,IF(A203&gt;='材料与任务'!$E$13,'材料与任务'!$E$14,'材料与任务'!$E$8)))))*G203,0)</x:f>
        <x:v>6</x:v>
      </x:c>
      <x:c r="Q203" s="119" t="n">
        <x:f>ROUNDDOWN((IF(A203&gt;='材料与任务'!$E$31,'材料与任务'!$E$33,IF(A203&gt;='材料与任务'!$E$25,'材料与任务'!$E$27,IF(A203&gt;='材料与任务'!$E$19,'材料与任务'!$E$21,IF(A203&gt;='材料与任务'!$E$13,'材料与任务'!$E$15,'材料与任务'!$E$9)))))*G203,0)</x:f>
        <x:v>3</x:v>
      </x:c>
      <x:c r="R203" s="110" t="n">
        <x:f>'装备掉落'!$B$38</x:f>
        <x:v>0.6872058758851213</x:v>
      </x:c>
      <x:c r="S203" s="119" t="n">
        <x:f>MAX(IF(VLOOKUP(A203,'装备掉落'!$A$29:$H$34,2,TRUE)&gt;0,1,0),IF(VLOOKUP(A203,'装备掉落'!$A$29:$H$34,3,TRUE)&gt;0,2,0),IF(VLOOKUP(A203,'装备掉落'!$A$29:$H$34,4,TRUE)&gt;0,3,0),IF(VLOOKUP(A203,'装备掉落'!$A$29:$H$34,5,TRUE)&gt;0,4,0),IF(VLOOKUP(A203,'装备掉落'!$A$29:$H$34,6,TRUE)&gt;0,5,0),IF(VLOOKUP(A203,'装备掉落'!$A$29:$H$34,7,TRUE)&gt;0,6,0),IF(VLOOKUP(A203,'装备掉落'!$A$29:$H$34,8,TRUE)&gt;0,7,0))</x:f>
        <x:v>7</x:v>
      </x:c>
      <x:c r="T203" s="119" t="n">
        <x:f>MIN(7,S203+'经济参数'!$E$70)</x:f>
        <x:v>7</x:v>
      </x:c>
      <x:c r="U203" s="119" t="n">
        <x:f>MIN(7,S203+'经济参数'!$E$71)</x:f>
        <x:v>7</x:v>
      </x:c>
      <x:c r="V203" s="119" t="n">
        <x:f>IF(H203&gt;=('难度参数'!$E$52),1,0)+IF(H203&gt;=('难度参数'!$E$52+'难度参数'!$E$53),1,0)+IF(H203&gt;=('难度参数'!$E$52+'难度参数'!$E$53+'难度参数'!$E$54),1,0)+IF(H203&gt;=('难度参数'!$E$52+'难度参数'!$E$53+'难度参数'!$E$54+'难度参数'!$E$55),1,0)+IF(H203&gt;=('难度参数'!$E$52+'难度参数'!$E$53+'难度参数'!$E$54+'难度参数'!$E$55+'难度参数'!$E$56),1,0)+IF(H203&gt;=('难度参数'!$E$52+'难度参数'!$E$53+'难度参数'!$E$54+'难度参数'!$E$55+'难度参数'!$E$56+'难度参数'!$E$57),1,0)</x:f>
        <x:v>6</x:v>
      </x:c>
      <x:c r="W203" s="62" t="str">
        <x:f>IF(L203&gt;'难度参数'!$E$51,"仅出怪已超目标","还需实测")</x:f>
        <x:v>还需实测</x:v>
      </x:c>
      <x:c r="X203" s="119" t="n">
        <x:f>IF(1&gt;D203,0,MAX(2,MIN('难度参数'!$E$12,ROUND(('难度参数'!$E$18*POWER(A203,'难度参数'!$E$19)/D203*(0.85+0.3*(1-1)/MAX(1,D203-1))),0)+F203)))</x:f>
        <x:v>25</x:v>
      </x:c>
      <x:c r="Y203" s="119" t="n">
        <x:f>IF(1&gt;D203,0,ROUND(('难度参数'!$E$13*POWER(A203,'难度参数'!$E$20)*MIN('难度参数'!$E$23,1+MAX(0,A203-'难度参数'!$E$21)*'难度参数'!$E$22))*(36+1*7)/(36+7*(D203+1)/2)*E203,0))</x:f>
        <x:v>4070</x:v>
      </x:c>
      <x:c r="Z203" s="119" t="n">
        <x:f>IF(X203=0,0,(X203-IF(1=D203,1,0))*ROUND(Y203*VLOOKUP(INDEX('章节与怪物'!$E$31:$K$37,B203,1),'章节与怪物'!$A$41:$F$44,2,FALSE),0)+IF(1=D203,ROUND(Y203*'难度参数'!$E$28*'章节与怪物'!$E$17,0),0))</x:f>
        <x:v>101750</x:v>
      </x:c>
      <x:c r="AA203" s="119" t="n">
        <x:f>IF(X203=0,0,(X203-IF(1=D203,1,0))*VLOOKUP(INDEX('章节与怪物'!$E$31:$K$37,B203,1),'章节与怪物'!$A$41:$F$44,4,FALSE)+IF(1=D203,'难度参数'!$E$30,0))</x:f>
        <x:v>450</x:v>
      </x:c>
      <x:c r="AB203" s="119" t="n">
        <x:f>IF(2&gt;D203,0,MAX(2,MIN('难度参数'!$E$12,ROUND(('难度参数'!$E$18*POWER(A203,'难度参数'!$E$19)/D203*(0.85+0.3*(2-1)/MAX(1,D203-1))),0)+F203)))</x:f>
        <x:v>27</x:v>
      </x:c>
      <x:c r="AC203" s="119" t="n">
        <x:f>IF(2&gt;D203,0,ROUND(('难度参数'!$E$13*POWER(A203,'难度参数'!$E$20)*MIN('难度参数'!$E$23,1+MAX(0,A203-'难度参数'!$E$21)*'难度参数'!$E$22))*(36+2*7)/(36+7*(D203+1)/2)*E203,0))</x:f>
        <x:v>4733</x:v>
      </x:c>
      <x:c r="AD203" s="119" t="n">
        <x:f>IF(AB203=0,0,(AB203-IF(2=D203,1,0))*ROUND(AC203*VLOOKUP(INDEX('章节与怪物'!$E$31:$K$37,B203,2),'章节与怪物'!$A$41:$F$44,2,FALSE),0)+IF(2=D203,ROUND(AC203*'难度参数'!$E$28*'章节与怪物'!$E$17,0),0))</x:f>
        <x:v>92016</x:v>
      </x:c>
      <x:c r="AE203" s="119" t="n">
        <x:f>IF(AB203=0,0,(AB203-IF(2=D203,1,0))*VLOOKUP(INDEX('章节与怪物'!$E$31:$K$37,B203,2),'章节与怪物'!$A$41:$F$44,4,FALSE)+IF(2=D203,'难度参数'!$E$30,0))</x:f>
        <x:v>540</x:v>
      </x:c>
      <x:c r="AF203" s="119" t="n">
        <x:f>IF(3&gt;D203,0,MAX(2,MIN('难度参数'!$E$12,ROUND(('难度参数'!$E$18*POWER(A203,'难度参数'!$E$19)/D203*(0.85+0.3*(3-1)/MAX(1,D203-1))),0)+F203)))</x:f>
        <x:v>28</x:v>
      </x:c>
      <x:c r="AG203" s="119" t="n">
        <x:f>IF(3&gt;D203,0,ROUND(('难度参数'!$E$13*POWER(A203,'难度参数'!$E$20)*MIN('难度参数'!$E$23,1+MAX(0,A203-'难度参数'!$E$21)*'难度参数'!$E$22))*(36+3*7)/(36+7*(D203+1)/2)*E203,0))</x:f>
        <x:v>5396</x:v>
      </x:c>
      <x:c r="AH203" s="119" t="n">
        <x:f>IF(AF203=0,0,(AF203-IF(3=D203,1,0))*ROUND(AG203*VLOOKUP(INDEX('章节与怪物'!$E$31:$K$37,B203,3),'章节与怪物'!$A$41:$F$44,2,FALSE),0)+IF(3=D203,ROUND(AG203*'难度参数'!$E$28*'章节与怪物'!$E$17,0),0))</x:f>
        <x:v>256844</x:v>
      </x:c>
      <x:c r="AI203" s="119" t="n">
        <x:f>IF(AF203=0,0,(AF203-IF(3=D203,1,0))*VLOOKUP(INDEX('章节与怪物'!$E$31:$K$37,B203,3),'章节与怪物'!$A$41:$F$44,4,FALSE)+IF(3=D203,'难度参数'!$E$30,0))</x:f>
        <x:v>784</x:v>
      </x:c>
      <x:c r="AJ203" s="119" t="n">
        <x:f>IF(4&gt;D203,0,MAX(2,MIN('难度参数'!$E$12,ROUND(('难度参数'!$E$18*POWER(A203,'难度参数'!$E$19)/D203*(0.85+0.3*(4-1)/MAX(1,D203-1))),0)+F203)))</x:f>
        <x:v>30</x:v>
      </x:c>
      <x:c r="AK203" s="119" t="n">
        <x:f>IF(4&gt;D203,0,ROUND(('难度参数'!$E$13*POWER(A203,'难度参数'!$E$20)*MIN('难度参数'!$E$23,1+MAX(0,A203-'难度参数'!$E$21)*'难度参数'!$E$22))*(36+4*7)/(36+7*(D203+1)/2)*E203,0))</x:f>
        <x:v>6058</x:v>
      </x:c>
      <x:c r="AL203" s="119" t="n">
        <x:f>IF(AJ203=0,0,(AJ203-IF(4=D203,1,0))*ROUND(AK203*VLOOKUP(INDEX('章节与怪物'!$E$31:$K$37,B203,4),'章节与怪物'!$A$41:$F$44,2,FALSE),0)+IF(4=D203,ROUND(AK203*'难度参数'!$E$28*'章节与怪物'!$E$17,0),0))</x:f>
        <x:v>245340</x:v>
      </x:c>
      <x:c r="AM203" s="119" t="n">
        <x:f>IF(AJ203=0,0,(AJ203-IF(4=D203,1,0))*VLOOKUP(INDEX('章节与怪物'!$E$31:$K$37,B203,4),'章节与怪物'!$A$41:$F$44,4,FALSE)+IF(4=D203,'难度参数'!$E$30,0))</x:f>
        <x:v>1020</x:v>
      </x:c>
      <x:c r="AN203" s="119" t="n">
        <x:f>IF(5&gt;D203,0,MAX(2,MIN('难度参数'!$E$12,ROUND(('难度参数'!$E$18*POWER(A203,'难度参数'!$E$19)/D203*(0.85+0.3*(5-1)/MAX(1,D203-1))),0)+F203)))</x:f>
        <x:v>31</x:v>
      </x:c>
      <x:c r="AO203" s="119" t="n">
        <x:f>IF(5&gt;D203,0,ROUND(('难度参数'!$E$13*POWER(A203,'难度参数'!$E$20)*MIN('难度参数'!$E$23,1+MAX(0,A203-'难度参数'!$E$21)*'难度参数'!$E$22))*(36+5*7)/(36+7*(D203+1)/2)*E203,0))</x:f>
        <x:v>6721</x:v>
      </x:c>
      <x:c r="AP203" s="119" t="n">
        <x:f>IF(AN203=0,0,(AN203-IF(5=D203,1,0))*ROUND(AO203*VLOOKUP(INDEX('章节与怪物'!$E$31:$K$37,B203,5),'章节与怪物'!$A$41:$F$44,2,FALSE),0)+IF(5=D203,ROUND(AO203*'难度参数'!$E$28*'章节与怪物'!$E$17,0),0))</x:f>
        <x:v>150009</x:v>
      </x:c>
      <x:c r="AQ203" s="119" t="n">
        <x:f>IF(AN203=0,0,(AN203-IF(5=D203,1,0))*VLOOKUP(INDEX('章节与怪物'!$E$31:$K$37,B203,5),'章节与怪物'!$A$41:$F$44,4,FALSE)+IF(5=D203,'难度参数'!$E$30,0))</x:f>
        <x:v>620</x:v>
      </x:c>
      <x:c r="AR203" s="119" t="n">
        <x:f>IF(6&gt;D203,0,MAX(2,MIN('难度参数'!$E$12,ROUND(('难度参数'!$E$18*POWER(A203,'难度参数'!$E$19)/D203*(0.85+0.3*(6-1)/MAX(1,D203-1))),0)+F203)))</x:f>
        <x:v>33</x:v>
      </x:c>
      <x:c r="AS203" s="119" t="n">
        <x:f>IF(6&gt;D203,0,ROUND(('难度参数'!$E$13*POWER(A203,'难度参数'!$E$20)*MIN('难度参数'!$E$23,1+MAX(0,A203-'难度参数'!$E$21)*'难度参数'!$E$22))*(36+6*7)/(36+7*(D203+1)/2)*E203,0))</x:f>
        <x:v>7384</x:v>
      </x:c>
      <x:c r="AT203" s="119" t="n">
        <x:f>IF(AR203=0,0,(AR203-IF(6=D203,1,0))*ROUND(AS203*VLOOKUP(INDEX('章节与怪物'!$E$31:$K$37,B203,6),'章节与怪物'!$A$41:$F$44,2,FALSE),0)+IF(6=D203,ROUND(AS203*'难度参数'!$E$28*'章节与怪物'!$E$17,0),0))</x:f>
        <x:v>414249</x:v>
      </x:c>
      <x:c r="AU203" s="119" t="n">
        <x:f>IF(AR203=0,0,(AR203-IF(6=D203,1,0))*VLOOKUP(INDEX('章节与怪物'!$E$31:$K$37,B203,6),'章节与怪物'!$A$41:$F$44,4,FALSE)+IF(6=D203,'难度参数'!$E$30,0))</x:f>
        <x:v>924</x:v>
      </x:c>
      <x:c r="AV203" s="119" t="n">
        <x:f>IF(7&gt;D203,0,MAX(2,MIN('难度参数'!$E$12,ROUND(('难度参数'!$E$18*POWER(A203,'难度参数'!$E$19)/D203*(0.85+0.3*(7-1)/MAX(1,D203-1))),0)+F203)))</x:f>
        <x:v>34</x:v>
      </x:c>
      <x:c r="AW203" s="119" t="n">
        <x:f>IF(7&gt;D203,0,ROUND(('难度参数'!$E$13*POWER(A203,'难度参数'!$E$20)*MIN('难度参数'!$E$23,1+MAX(0,A203-'难度参数'!$E$21)*'难度参数'!$E$22))*(36+7*7)/(36+7*(D203+1)/2)*E203,0))</x:f>
        <x:v>8046</x:v>
      </x:c>
      <x:c r="AX203" s="119" t="n">
        <x:f>IF(AV203=0,0,(AV203-IF(7=D203,1,0))*ROUND(AW203*VLOOKUP(INDEX('章节与怪物'!$E$31:$K$37,B203,7),'章节与怪物'!$A$41:$F$44,2,FALSE),0)+IF(7=D203,ROUND(AW203*'难度参数'!$E$28*'章节与怪物'!$E$17,0),0))</x:f>
        <x:v>413159</x:v>
      </x:c>
      <x:c r="AY203" s="119" t="n">
        <x:f>IF(AV203=0,0,(AV203-IF(7=D203,1,0))*VLOOKUP(INDEX('章节与怪物'!$E$31:$K$37,B203,7),'章节与怪物'!$A$41:$F$44,4,FALSE)+IF(7=D203,'难度参数'!$E$30,0))</x:f>
        <x:v>1322</x:v>
      </x:c>
    </x:row>
    <x:row r="204" ht="23" customHeight="1">
      <x:c r="A204" s="119" t="n">
        <x:v>198</x:v>
      </x:c>
      <x:c r="B204" s="119" t="n">
        <x:f>MOD(INT((A204-1)/5),7)+1</x:f>
        <x:v>5</x:v>
      </x:c>
      <x:c r="C204" s="62" t="str">
        <x:f>INDEX('章节与怪物'!$B$31:$B$37,B204)</x:f>
        <x:v>雨林遗迹</x:v>
      </x:c>
      <x:c r="D204" s="119" t="n">
        <x:f>MIN('难度参数'!$E$8,MAX('难度参数'!$E$7,A204))</x:f>
        <x:v>7</x:v>
      </x:c>
      <x:c r="E204" s="106" t="n">
        <x:v>1</x:v>
      </x:c>
      <x:c r="F204" s="106" t="n">
        <x:v>0</x:v>
      </x:c>
      <x:c r="G204" s="106" t="n">
        <x:v>1</x:v>
      </x:c>
      <x:c r="H204" s="119" t="n">
        <x:f>SUM(X204,AB204,AF204,AJ204,AN204,AR204,AV204)</x:f>
        <x:v>212</x:v>
      </x:c>
      <x:c r="I204" s="119" t="n">
        <x:f>SUM(Z204,AD204,AH204,AL204,AP204,AT204,AX204)</x:f>
        <x:v>1708476</x:v>
      </x:c>
      <x:c r="J204" s="119" t="n">
        <x:f>ROUND(INDEX(X204:AY204,1,(D204-1)*4+2)*'难度参数'!$E$28*'章节与怪物'!$E$17,0)</x:f>
        <x:v>54917</x:v>
      </x:c>
      <x:c r="K204" s="119" t="n">
        <x:f>SUM(AA204,AE204,AI204,AM204,AQ204,AU204,AY204)</x:f>
        <x:v>5760</x:v>
      </x:c>
      <x:c r="L204" s="62" t="n">
        <x:f>H204*(ROUNDUP('难度参数'!$E$24/('难度参数'!$E$26*'难度参数'!$E$27),0)*'难度参数'!$E$26)/60</x:f>
        <x:v>2.826666666666667</x:v>
      </x:c>
      <x:c r="M204" s="62" t="n">
        <x:f>L204+D204*('难度参数'!$E$49+'难度参数'!$E$50)/60</x:f>
        <x:v>3.993333333333334</x:v>
      </x:c>
      <x:c r="N204" s="119" t="n">
        <x:f>ROUNDDOWN(('经济参数'!$E$20+A204*'经济参数'!$E$21)*G204,0)</x:f>
        <x:v>4140</x:v>
      </x:c>
      <x:c r="O204" s="119" t="n">
        <x:f>ROUNDDOWN(MIN('经济参数'!$E$24,'经济参数'!$E$22+A204*'经济参数'!$E$23)*G204,0)</x:f>
        <x:v>0</x:v>
      </x:c>
      <x:c r="P204" s="119" t="n">
        <x:f>ROUNDDOWN((IF(A204&gt;='材料与任务'!$E$31,'材料与任务'!$E$32,IF(A204&gt;='材料与任务'!$E$25,'材料与任务'!$E$26,IF(A204&gt;='材料与任务'!$E$19,'材料与任务'!$E$20,IF(A204&gt;='材料与任务'!$E$13,'材料与任务'!$E$14,'材料与任务'!$E$8)))))*G204,0)</x:f>
        <x:v>6</x:v>
      </x:c>
      <x:c r="Q204" s="119" t="n">
        <x:f>ROUNDDOWN((IF(A204&gt;='材料与任务'!$E$31,'材料与任务'!$E$33,IF(A204&gt;='材料与任务'!$E$25,'材料与任务'!$E$27,IF(A204&gt;='材料与任务'!$E$19,'材料与任务'!$E$21,IF(A204&gt;='材料与任务'!$E$13,'材料与任务'!$E$15,'材料与任务'!$E$9)))))*G204,0)</x:f>
        <x:v>3</x:v>
      </x:c>
      <x:c r="R204" s="110" t="n">
        <x:f>'装备掉落'!$B$38</x:f>
        <x:v>0.6872058758851213</x:v>
      </x:c>
      <x:c r="S204" s="119" t="n">
        <x:f>MAX(IF(VLOOKUP(A204,'装备掉落'!$A$29:$H$34,2,TRUE)&gt;0,1,0),IF(VLOOKUP(A204,'装备掉落'!$A$29:$H$34,3,TRUE)&gt;0,2,0),IF(VLOOKUP(A204,'装备掉落'!$A$29:$H$34,4,TRUE)&gt;0,3,0),IF(VLOOKUP(A204,'装备掉落'!$A$29:$H$34,5,TRUE)&gt;0,4,0),IF(VLOOKUP(A204,'装备掉落'!$A$29:$H$34,6,TRUE)&gt;0,5,0),IF(VLOOKUP(A204,'装备掉落'!$A$29:$H$34,7,TRUE)&gt;0,6,0),IF(VLOOKUP(A204,'装备掉落'!$A$29:$H$34,8,TRUE)&gt;0,7,0))</x:f>
        <x:v>7</x:v>
      </x:c>
      <x:c r="T204" s="119" t="n">
        <x:f>MIN(7,S204+'经济参数'!$E$70)</x:f>
        <x:v>7</x:v>
      </x:c>
      <x:c r="U204" s="119" t="n">
        <x:f>MIN(7,S204+'经济参数'!$E$71)</x:f>
        <x:v>7</x:v>
      </x:c>
      <x:c r="V204" s="119" t="n">
        <x:f>IF(H204&gt;=('难度参数'!$E$52),1,0)+IF(H204&gt;=('难度参数'!$E$52+'难度参数'!$E$53),1,0)+IF(H204&gt;=('难度参数'!$E$52+'难度参数'!$E$53+'难度参数'!$E$54),1,0)+IF(H204&gt;=('难度参数'!$E$52+'难度参数'!$E$53+'难度参数'!$E$54+'难度参数'!$E$55),1,0)+IF(H204&gt;=('难度参数'!$E$52+'难度参数'!$E$53+'难度参数'!$E$54+'难度参数'!$E$55+'难度参数'!$E$56),1,0)+IF(H204&gt;=('难度参数'!$E$52+'难度参数'!$E$53+'难度参数'!$E$54+'难度参数'!$E$55+'难度参数'!$E$56+'难度参数'!$E$57),1,0)</x:f>
        <x:v>6</x:v>
      </x:c>
      <x:c r="W204" s="62" t="str">
        <x:f>IF(L204&gt;'难度参数'!$E$51,"仅出怪已超目标","还需实测")</x:f>
        <x:v>还需实测</x:v>
      </x:c>
      <x:c r="X204" s="119" t="n">
        <x:f>IF(1&gt;D204,0,MAX(2,MIN('难度参数'!$E$12,ROUND(('难度参数'!$E$18*POWER(A204,'难度参数'!$E$19)/D204*(0.85+0.3*(1-1)/MAX(1,D204-1))),0)+F204)))</x:f>
        <x:v>26</x:v>
      </x:c>
      <x:c r="Y204" s="119" t="n">
        <x:f>IF(1&gt;D204,0,ROUND(('难度参数'!$E$13*POWER(A204,'难度参数'!$E$20)*MIN('难度参数'!$E$23,1+MAX(0,A204-'难度参数'!$E$21)*'难度参数'!$E$22))*(36+1*7)/(36+7*(D204+1)/2)*E204,0))</x:f>
        <x:v>4085</x:v>
      </x:c>
      <x:c r="Z204" s="119" t="n">
        <x:f>IF(X204=0,0,(X204-IF(1=D204,1,0))*ROUND(Y204*VLOOKUP(INDEX('章节与怪物'!$E$31:$K$37,B204,1),'章节与怪物'!$A$41:$F$44,2,FALSE),0)+IF(1=D204,ROUND(Y204*'难度参数'!$E$28*'章节与怪物'!$E$17,0),0))</x:f>
        <x:v>106210</x:v>
      </x:c>
      <x:c r="AA204" s="119" t="n">
        <x:f>IF(X204=0,0,(X204-IF(1=D204,1,0))*VLOOKUP(INDEX('章节与怪物'!$E$31:$K$37,B204,1),'章节与怪物'!$A$41:$F$44,4,FALSE)+IF(1=D204,'难度参数'!$E$30,0))</x:f>
        <x:v>468</x:v>
      </x:c>
      <x:c r="AB204" s="119" t="n">
        <x:f>IF(2&gt;D204,0,MAX(2,MIN('难度参数'!$E$12,ROUND(('难度参数'!$E$18*POWER(A204,'难度参数'!$E$19)/D204*(0.85+0.3*(2-1)/MAX(1,D204-1))),0)+F204)))</x:f>
        <x:v>27</x:v>
      </x:c>
      <x:c r="AC204" s="119" t="n">
        <x:f>IF(2&gt;D204,0,ROUND(('难度参数'!$E$13*POWER(A204,'难度参数'!$E$20)*MIN('难度参数'!$E$23,1+MAX(0,A204-'难度参数'!$E$21)*'难度参数'!$E$22))*(36+2*7)/(36+7*(D204+1)/2)*E204,0))</x:f>
        <x:v>4750</x:v>
      </x:c>
      <x:c r="AD204" s="119" t="n">
        <x:f>IF(AB204=0,0,(AB204-IF(2=D204,1,0))*ROUND(AC204*VLOOKUP(INDEX('章节与怪物'!$E$31:$K$37,B204,2),'章节与怪物'!$A$41:$F$44,2,FALSE),0)+IF(2=D204,ROUND(AC204*'难度参数'!$E$28*'章节与怪物'!$E$17,0),0))</x:f>
        <x:v>92340</x:v>
      </x:c>
      <x:c r="AE204" s="119" t="n">
        <x:f>IF(AB204=0,0,(AB204-IF(2=D204,1,0))*VLOOKUP(INDEX('章节与怪物'!$E$31:$K$37,B204,2),'章节与怪物'!$A$41:$F$44,4,FALSE)+IF(2=D204,'难度参数'!$E$30,0))</x:f>
        <x:v>540</x:v>
      </x:c>
      <x:c r="AF204" s="119" t="n">
        <x:f>IF(3&gt;D204,0,MAX(2,MIN('难度参数'!$E$12,ROUND(('难度参数'!$E$18*POWER(A204,'难度参数'!$E$19)/D204*(0.85+0.3*(3-1)/MAX(1,D204-1))),0)+F204)))</x:f>
        <x:v>29</x:v>
      </x:c>
      <x:c r="AG204" s="119" t="n">
        <x:f>IF(3&gt;D204,0,ROUND(('难度参数'!$E$13*POWER(A204,'难度参数'!$E$20)*MIN('难度参数'!$E$23,1+MAX(0,A204-'难度参数'!$E$21)*'难度参数'!$E$22))*(36+3*7)/(36+7*(D204+1)/2)*E204,0))</x:f>
        <x:v>5415</x:v>
      </x:c>
      <x:c r="AH204" s="119" t="n">
        <x:f>IF(AF204=0,0,(AF204-IF(3=D204,1,0))*ROUND(AG204*VLOOKUP(INDEX('章节与怪物'!$E$31:$K$37,B204,3),'章节与怪物'!$A$41:$F$44,2,FALSE),0)+IF(3=D204,ROUND(AG204*'难度参数'!$E$28*'章节与怪物'!$E$17,0),0))</x:f>
        <x:v>266974</x:v>
      </x:c>
      <x:c r="AI204" s="119" t="n">
        <x:f>IF(AF204=0,0,(AF204-IF(3=D204,1,0))*VLOOKUP(INDEX('章节与怪物'!$E$31:$K$37,B204,3),'章节与怪物'!$A$41:$F$44,4,FALSE)+IF(3=D204,'难度参数'!$E$30,0))</x:f>
        <x:v>812</x:v>
      </x:c>
      <x:c r="AJ204" s="119" t="n">
        <x:f>IF(4&gt;D204,0,MAX(2,MIN('难度参数'!$E$12,ROUND(('难度参数'!$E$18*POWER(A204,'难度参数'!$E$19)/D204*(0.85+0.3*(4-1)/MAX(1,D204-1))),0)+F204)))</x:f>
        <x:v>30</x:v>
      </x:c>
      <x:c r="AK204" s="119" t="n">
        <x:f>IF(4&gt;D204,0,ROUND(('难度参数'!$E$13*POWER(A204,'难度参数'!$E$20)*MIN('难度参数'!$E$23,1+MAX(0,A204-'难度参数'!$E$21)*'难度参数'!$E$22))*(36+4*7)/(36+7*(D204+1)/2)*E204,0))</x:f>
        <x:v>6080</x:v>
      </x:c>
      <x:c r="AL204" s="119" t="n">
        <x:f>IF(AJ204=0,0,(AJ204-IF(4=D204,1,0))*ROUND(AK204*VLOOKUP(INDEX('章节与怪物'!$E$31:$K$37,B204,4),'章节与怪物'!$A$41:$F$44,2,FALSE),0)+IF(4=D204,ROUND(AK204*'难度参数'!$E$28*'章节与怪物'!$E$17,0),0))</x:f>
        <x:v>246240</x:v>
      </x:c>
      <x:c r="AM204" s="119" t="n">
        <x:f>IF(AJ204=0,0,(AJ204-IF(4=D204,1,0))*VLOOKUP(INDEX('章节与怪物'!$E$31:$K$37,B204,4),'章节与怪物'!$A$41:$F$44,4,FALSE)+IF(4=D204,'难度参数'!$E$30,0))</x:f>
        <x:v>1020</x:v>
      </x:c>
      <x:c r="AN204" s="119" t="n">
        <x:f>IF(5&gt;D204,0,MAX(2,MIN('难度参数'!$E$12,ROUND(('难度参数'!$E$18*POWER(A204,'难度参数'!$E$19)/D204*(0.85+0.3*(5-1)/MAX(1,D204-1))),0)+F204)))</x:f>
        <x:v>32</x:v>
      </x:c>
      <x:c r="AO204" s="119" t="n">
        <x:f>IF(5&gt;D204,0,ROUND(('难度参数'!$E$13*POWER(A204,'难度参数'!$E$20)*MIN('难度参数'!$E$23,1+MAX(0,A204-'难度参数'!$E$21)*'难度参数'!$E$22))*(36+5*7)/(36+7*(D204+1)/2)*E204,0))</x:f>
        <x:v>6745</x:v>
      </x:c>
      <x:c r="AP204" s="119" t="n">
        <x:f>IF(AN204=0,0,(AN204-IF(5=D204,1,0))*ROUND(AO204*VLOOKUP(INDEX('章节与怪物'!$E$31:$K$37,B204,5),'章节与怪物'!$A$41:$F$44,2,FALSE),0)+IF(5=D204,ROUND(AO204*'难度参数'!$E$28*'章节与怪物'!$E$17,0),0))</x:f>
        <x:v>155392</x:v>
      </x:c>
      <x:c r="AQ204" s="119" t="n">
        <x:f>IF(AN204=0,0,(AN204-IF(5=D204,1,0))*VLOOKUP(INDEX('章节与怪物'!$E$31:$K$37,B204,5),'章节与怪物'!$A$41:$F$44,4,FALSE)+IF(5=D204,'难度参数'!$E$30,0))</x:f>
        <x:v>640</x:v>
      </x:c>
      <x:c r="AR204" s="119" t="n">
        <x:f>IF(6&gt;D204,0,MAX(2,MIN('难度参数'!$E$12,ROUND(('难度参数'!$E$18*POWER(A204,'难度参数'!$E$19)/D204*(0.85+0.3*(6-1)/MAX(1,D204-1))),0)+F204)))</x:f>
        <x:v>33</x:v>
      </x:c>
      <x:c r="AS204" s="119" t="n">
        <x:f>IF(6&gt;D204,0,ROUND(('难度参数'!$E$13*POWER(A204,'难度参数'!$E$20)*MIN('难度参数'!$E$23,1+MAX(0,A204-'难度参数'!$E$21)*'难度参数'!$E$22))*(36+6*7)/(36+7*(D204+1)/2)*E204,0))</x:f>
        <x:v>7410</x:v>
      </x:c>
      <x:c r="AT204" s="119" t="n">
        <x:f>IF(AR204=0,0,(AR204-IF(6=D204,1,0))*ROUND(AS204*VLOOKUP(INDEX('章节与怪物'!$E$31:$K$37,B204,6),'章节与怪物'!$A$41:$F$44,2,FALSE),0)+IF(6=D204,ROUND(AS204*'难度参数'!$E$28*'章节与怪物'!$E$17,0),0))</x:f>
        <x:v>415701</x:v>
      </x:c>
      <x:c r="AU204" s="119" t="n">
        <x:f>IF(AR204=0,0,(AR204-IF(6=D204,1,0))*VLOOKUP(INDEX('章节与怪物'!$E$31:$K$37,B204,6),'章节与怪物'!$A$41:$F$44,4,FALSE)+IF(6=D204,'难度参数'!$E$30,0))</x:f>
        <x:v>924</x:v>
      </x:c>
      <x:c r="AV204" s="119" t="n">
        <x:f>IF(7&gt;D204,0,MAX(2,MIN('难度参数'!$E$12,ROUND(('难度参数'!$E$18*POWER(A204,'难度参数'!$E$19)/D204*(0.85+0.3*(7-1)/MAX(1,D204-1))),0)+F204)))</x:f>
        <x:v>35</x:v>
      </x:c>
      <x:c r="AW204" s="119" t="n">
        <x:f>IF(7&gt;D204,0,ROUND(('难度参数'!$E$13*POWER(A204,'难度参数'!$E$20)*MIN('难度参数'!$E$23,1+MAX(0,A204-'难度参数'!$E$21)*'难度参数'!$E$22))*(36+7*7)/(36+7*(D204+1)/2)*E204,0))</x:f>
        <x:v>8076</x:v>
      </x:c>
      <x:c r="AX204" s="119" t="n">
        <x:f>IF(AV204=0,0,(AV204-IF(7=D204,1,0))*ROUND(AW204*VLOOKUP(INDEX('章节与怪物'!$E$31:$K$37,B204,7),'章节与怪物'!$A$41:$F$44,2,FALSE),0)+IF(7=D204,ROUND(AW204*'难度参数'!$E$28*'章节与怪物'!$E$17,0),0))</x:f>
        <x:v>425619</x:v>
      </x:c>
      <x:c r="AY204" s="119" t="n">
        <x:f>IF(AV204=0,0,(AV204-IF(7=D204,1,0))*VLOOKUP(INDEX('章节与怪物'!$E$31:$K$37,B204,7),'章节与怪物'!$A$41:$F$44,4,FALSE)+IF(7=D204,'难度参数'!$E$30,0))</x:f>
        <x:v>1356</x:v>
      </x:c>
    </x:row>
    <x:row r="205" ht="23" customHeight="1">
      <x:c r="A205" s="119" t="n">
        <x:v>199</x:v>
      </x:c>
      <x:c r="B205" s="119" t="n">
        <x:f>MOD(INT((A205-1)/5),7)+1</x:f>
        <x:v>5</x:v>
      </x:c>
      <x:c r="C205" s="62" t="str">
        <x:f>INDEX('章节与怪物'!$B$31:$B$37,B205)</x:f>
        <x:v>雨林遗迹</x:v>
      </x:c>
      <x:c r="D205" s="119" t="n">
        <x:f>MIN('难度参数'!$E$8,MAX('难度参数'!$E$7,A205))</x:f>
        <x:v>7</x:v>
      </x:c>
      <x:c r="E205" s="106" t="n">
        <x:v>1</x:v>
      </x:c>
      <x:c r="F205" s="106" t="n">
        <x:v>0</x:v>
      </x:c>
      <x:c r="G205" s="106" t="n">
        <x:v>1</x:v>
      </x:c>
      <x:c r="H205" s="119" t="n">
        <x:f>SUM(X205,AB205,AF205,AJ205,AN205,AR205,AV205)</x:f>
        <x:v>212</x:v>
      </x:c>
      <x:c r="I205" s="119" t="n">
        <x:f>SUM(Z205,AD205,AH205,AL205,AP205,AT205,AX205)</x:f>
        <x:v>1714750</x:v>
      </x:c>
      <x:c r="J205" s="119" t="n">
        <x:f>ROUND(INDEX(X205:AY205,1,(D205-1)*4+2)*'难度参数'!$E$28*'章节与怪物'!$E$17,0)</x:f>
        <x:v>55114</x:v>
      </x:c>
      <x:c r="K205" s="119" t="n">
        <x:f>SUM(AA205,AE205,AI205,AM205,AQ205,AU205,AY205)</x:f>
        <x:v>5760</x:v>
      </x:c>
      <x:c r="L205" s="62" t="n">
        <x:f>H205*(ROUNDUP('难度参数'!$E$24/('难度参数'!$E$26*'难度参数'!$E$27),0)*'难度参数'!$E$26)/60</x:f>
        <x:v>2.826666666666667</x:v>
      </x:c>
      <x:c r="M205" s="62" t="n">
        <x:f>L205+D205*('难度参数'!$E$49+'难度参数'!$E$50)/60</x:f>
        <x:v>3.993333333333334</x:v>
      </x:c>
      <x:c r="N205" s="119" t="n">
        <x:f>ROUNDDOWN(('经济参数'!$E$20+A205*'经济参数'!$E$21)*G205,0)</x:f>
        <x:v>4160</x:v>
      </x:c>
      <x:c r="O205" s="119" t="n">
        <x:f>ROUNDDOWN(MIN('经济参数'!$E$24,'经济参数'!$E$22+A205*'经济参数'!$E$23)*G205,0)</x:f>
        <x:v>0</x:v>
      </x:c>
      <x:c r="P205" s="119" t="n">
        <x:f>ROUNDDOWN((IF(A205&gt;='材料与任务'!$E$31,'材料与任务'!$E$32,IF(A205&gt;='材料与任务'!$E$25,'材料与任务'!$E$26,IF(A205&gt;='材料与任务'!$E$19,'材料与任务'!$E$20,IF(A205&gt;='材料与任务'!$E$13,'材料与任务'!$E$14,'材料与任务'!$E$8)))))*G205,0)</x:f>
        <x:v>6</x:v>
      </x:c>
      <x:c r="Q205" s="119" t="n">
        <x:f>ROUNDDOWN((IF(A205&gt;='材料与任务'!$E$31,'材料与任务'!$E$33,IF(A205&gt;='材料与任务'!$E$25,'材料与任务'!$E$27,IF(A205&gt;='材料与任务'!$E$19,'材料与任务'!$E$21,IF(A205&gt;='材料与任务'!$E$13,'材料与任务'!$E$15,'材料与任务'!$E$9)))))*G205,0)</x:f>
        <x:v>3</x:v>
      </x:c>
      <x:c r="R205" s="110" t="n">
        <x:f>'装备掉落'!$B$38</x:f>
        <x:v>0.6872058758851213</x:v>
      </x:c>
      <x:c r="S205" s="119" t="n">
        <x:f>MAX(IF(VLOOKUP(A205,'装备掉落'!$A$29:$H$34,2,TRUE)&gt;0,1,0),IF(VLOOKUP(A205,'装备掉落'!$A$29:$H$34,3,TRUE)&gt;0,2,0),IF(VLOOKUP(A205,'装备掉落'!$A$29:$H$34,4,TRUE)&gt;0,3,0),IF(VLOOKUP(A205,'装备掉落'!$A$29:$H$34,5,TRUE)&gt;0,4,0),IF(VLOOKUP(A205,'装备掉落'!$A$29:$H$34,6,TRUE)&gt;0,5,0),IF(VLOOKUP(A205,'装备掉落'!$A$29:$H$34,7,TRUE)&gt;0,6,0),IF(VLOOKUP(A205,'装备掉落'!$A$29:$H$34,8,TRUE)&gt;0,7,0))</x:f>
        <x:v>7</x:v>
      </x:c>
      <x:c r="T205" s="119" t="n">
        <x:f>MIN(7,S205+'经济参数'!$E$70)</x:f>
        <x:v>7</x:v>
      </x:c>
      <x:c r="U205" s="119" t="n">
        <x:f>MIN(7,S205+'经济参数'!$E$71)</x:f>
        <x:v>7</x:v>
      </x:c>
      <x:c r="V205" s="119" t="n">
        <x:f>IF(H205&gt;=('难度参数'!$E$52),1,0)+IF(H205&gt;=('难度参数'!$E$52+'难度参数'!$E$53),1,0)+IF(H205&gt;=('难度参数'!$E$52+'难度参数'!$E$53+'难度参数'!$E$54),1,0)+IF(H205&gt;=('难度参数'!$E$52+'难度参数'!$E$53+'难度参数'!$E$54+'难度参数'!$E$55),1,0)+IF(H205&gt;=('难度参数'!$E$52+'难度参数'!$E$53+'难度参数'!$E$54+'难度参数'!$E$55+'难度参数'!$E$56),1,0)+IF(H205&gt;=('难度参数'!$E$52+'难度参数'!$E$53+'难度参数'!$E$54+'难度参数'!$E$55+'难度参数'!$E$56+'难度参数'!$E$57),1,0)</x:f>
        <x:v>6</x:v>
      </x:c>
      <x:c r="W205" s="62" t="str">
        <x:f>IF(L205&gt;'难度参数'!$E$51,"仅出怪已超目标","还需实测")</x:f>
        <x:v>还需实测</x:v>
      </x:c>
      <x:c r="X205" s="119" t="n">
        <x:f>IF(1&gt;D205,0,MAX(2,MIN('难度参数'!$E$12,ROUND(('难度参数'!$E$18*POWER(A205,'难度参数'!$E$19)/D205*(0.85+0.3*(1-1)/MAX(1,D205-1))),0)+F205)))</x:f>
        <x:v>26</x:v>
      </x:c>
      <x:c r="Y205" s="119" t="n">
        <x:f>IF(1&gt;D205,0,ROUND(('难度参数'!$E$13*POWER(A205,'难度参数'!$E$20)*MIN('难度参数'!$E$23,1+MAX(0,A205-'难度参数'!$E$21)*'难度参数'!$E$22))*(36+1*7)/(36+7*(D205+1)/2)*E205,0))</x:f>
        <x:v>4100</x:v>
      </x:c>
      <x:c r="Z205" s="119" t="n">
        <x:f>IF(X205=0,0,(X205-IF(1=D205,1,0))*ROUND(Y205*VLOOKUP(INDEX('章节与怪物'!$E$31:$K$37,B205,1),'章节与怪物'!$A$41:$F$44,2,FALSE),0)+IF(1=D205,ROUND(Y205*'难度参数'!$E$28*'章节与怪物'!$E$17,0),0))</x:f>
        <x:v>106600</x:v>
      </x:c>
      <x:c r="AA205" s="119" t="n">
        <x:f>IF(X205=0,0,(X205-IF(1=D205,1,0))*VLOOKUP(INDEX('章节与怪物'!$E$31:$K$37,B205,1),'章节与怪物'!$A$41:$F$44,4,FALSE)+IF(1=D205,'难度参数'!$E$30,0))</x:f>
        <x:v>468</x:v>
      </x:c>
      <x:c r="AB205" s="119" t="n">
        <x:f>IF(2&gt;D205,0,MAX(2,MIN('难度参数'!$E$12,ROUND(('难度参数'!$E$18*POWER(A205,'难度参数'!$E$19)/D205*(0.85+0.3*(2-1)/MAX(1,D205-1))),0)+F205)))</x:f>
        <x:v>27</x:v>
      </x:c>
      <x:c r="AC205" s="119" t="n">
        <x:f>IF(2&gt;D205,0,ROUND(('难度参数'!$E$13*POWER(A205,'难度参数'!$E$20)*MIN('难度参数'!$E$23,1+MAX(0,A205-'难度参数'!$E$21)*'难度参数'!$E$22))*(36+2*7)/(36+7*(D205+1)/2)*E205,0))</x:f>
        <x:v>4768</x:v>
      </x:c>
      <x:c r="AD205" s="119" t="n">
        <x:f>IF(AB205=0,0,(AB205-IF(2=D205,1,0))*ROUND(AC205*VLOOKUP(INDEX('章节与怪物'!$E$31:$K$37,B205,2),'章节与怪物'!$A$41:$F$44,2,FALSE),0)+IF(2=D205,ROUND(AC205*'难度参数'!$E$28*'章节与怪物'!$E$17,0),0))</x:f>
        <x:v>92691</x:v>
      </x:c>
      <x:c r="AE205" s="119" t="n">
        <x:f>IF(AB205=0,0,(AB205-IF(2=D205,1,0))*VLOOKUP(INDEX('章节与怪物'!$E$31:$K$37,B205,2),'章节与怪物'!$A$41:$F$44,4,FALSE)+IF(2=D205,'难度参数'!$E$30,0))</x:f>
        <x:v>540</x:v>
      </x:c>
      <x:c r="AF205" s="119" t="n">
        <x:f>IF(3&gt;D205,0,MAX(2,MIN('难度参数'!$E$12,ROUND(('难度参数'!$E$18*POWER(A205,'难度参数'!$E$19)/D205*(0.85+0.3*(3-1)/MAX(1,D205-1))),0)+F205)))</x:f>
        <x:v>29</x:v>
      </x:c>
      <x:c r="AG205" s="119" t="n">
        <x:f>IF(3&gt;D205,0,ROUND(('难度参数'!$E$13*POWER(A205,'难度参数'!$E$20)*MIN('难度参数'!$E$23,1+MAX(0,A205-'难度参数'!$E$21)*'难度参数'!$E$22))*(36+3*7)/(36+7*(D205+1)/2)*E205,0))</x:f>
        <x:v>5435</x:v>
      </x:c>
      <x:c r="AH205" s="119" t="n">
        <x:f>IF(AF205=0,0,(AF205-IF(3=D205,1,0))*ROUND(AG205*VLOOKUP(INDEX('章节与怪物'!$E$31:$K$37,B205,3),'章节与怪物'!$A$41:$F$44,2,FALSE),0)+IF(3=D205,ROUND(AG205*'难度参数'!$E$28*'章节与怪物'!$E$17,0),0))</x:f>
        <x:v>267960</x:v>
      </x:c>
      <x:c r="AI205" s="119" t="n">
        <x:f>IF(AF205=0,0,(AF205-IF(3=D205,1,0))*VLOOKUP(INDEX('章节与怪物'!$E$31:$K$37,B205,3),'章节与怪物'!$A$41:$F$44,4,FALSE)+IF(3=D205,'难度参数'!$E$30,0))</x:f>
        <x:v>812</x:v>
      </x:c>
      <x:c r="AJ205" s="119" t="n">
        <x:f>IF(4&gt;D205,0,MAX(2,MIN('难度参数'!$E$12,ROUND(('难度参数'!$E$18*POWER(A205,'难度参数'!$E$19)/D205*(0.85+0.3*(4-1)/MAX(1,D205-1))),0)+F205)))</x:f>
        <x:v>30</x:v>
      </x:c>
      <x:c r="AK205" s="119" t="n">
        <x:f>IF(4&gt;D205,0,ROUND(('难度参数'!$E$13*POWER(A205,'难度参数'!$E$20)*MIN('难度参数'!$E$23,1+MAX(0,A205-'难度参数'!$E$21)*'难度参数'!$E$22))*(36+4*7)/(36+7*(D205+1)/2)*E205,0))</x:f>
        <x:v>6103</x:v>
      </x:c>
      <x:c r="AL205" s="119" t="n">
        <x:f>IF(AJ205=0,0,(AJ205-IF(4=D205,1,0))*ROUND(AK205*VLOOKUP(INDEX('章节与怪物'!$E$31:$K$37,B205,4),'章节与怪物'!$A$41:$F$44,2,FALSE),0)+IF(4=D205,ROUND(AK205*'难度参数'!$E$28*'章节与怪物'!$E$17,0),0))</x:f>
        <x:v>247170</x:v>
      </x:c>
      <x:c r="AM205" s="119" t="n">
        <x:f>IF(AJ205=0,0,(AJ205-IF(4=D205,1,0))*VLOOKUP(INDEX('章节与怪物'!$E$31:$K$37,B205,4),'章节与怪物'!$A$41:$F$44,4,FALSE)+IF(4=D205,'难度参数'!$E$30,0))</x:f>
        <x:v>1020</x:v>
      </x:c>
      <x:c r="AN205" s="119" t="n">
        <x:f>IF(5&gt;D205,0,MAX(2,MIN('难度参数'!$E$12,ROUND(('难度参数'!$E$18*POWER(A205,'难度参数'!$E$19)/D205*(0.85+0.3*(5-1)/MAX(1,D205-1))),0)+F205)))</x:f>
        <x:v>32</x:v>
      </x:c>
      <x:c r="AO205" s="119" t="n">
        <x:f>IF(5&gt;D205,0,ROUND(('难度参数'!$E$13*POWER(A205,'难度参数'!$E$20)*MIN('难度参数'!$E$23,1+MAX(0,A205-'难度参数'!$E$21)*'难度参数'!$E$22))*(36+5*7)/(36+7*(D205+1)/2)*E205,0))</x:f>
        <x:v>6770</x:v>
      </x:c>
      <x:c r="AP205" s="119" t="n">
        <x:f>IF(AN205=0,0,(AN205-IF(5=D205,1,0))*ROUND(AO205*VLOOKUP(INDEX('章节与怪物'!$E$31:$K$37,B205,5),'章节与怪物'!$A$41:$F$44,2,FALSE),0)+IF(5=D205,ROUND(AO205*'难度参数'!$E$28*'章节与怪物'!$E$17,0),0))</x:f>
        <x:v>155968</x:v>
      </x:c>
      <x:c r="AQ205" s="119" t="n">
        <x:f>IF(AN205=0,0,(AN205-IF(5=D205,1,0))*VLOOKUP(INDEX('章节与怪物'!$E$31:$K$37,B205,5),'章节与怪物'!$A$41:$F$44,4,FALSE)+IF(5=D205,'难度参数'!$E$30,0))</x:f>
        <x:v>640</x:v>
      </x:c>
      <x:c r="AR205" s="119" t="n">
        <x:f>IF(6&gt;D205,0,MAX(2,MIN('难度参数'!$E$12,ROUND(('难度参数'!$E$18*POWER(A205,'难度参数'!$E$19)/D205*(0.85+0.3*(6-1)/MAX(1,D205-1))),0)+F205)))</x:f>
        <x:v>33</x:v>
      </x:c>
      <x:c r="AS205" s="119" t="n">
        <x:f>IF(6&gt;D205,0,ROUND(('难度参数'!$E$13*POWER(A205,'难度参数'!$E$20)*MIN('难度参数'!$E$23,1+MAX(0,A205-'难度参数'!$E$21)*'难度参数'!$E$22))*(36+6*7)/(36+7*(D205+1)/2)*E205,0))</x:f>
        <x:v>7437</x:v>
      </x:c>
      <x:c r="AT205" s="119" t="n">
        <x:f>IF(AR205=0,0,(AR205-IF(6=D205,1,0))*ROUND(AS205*VLOOKUP(INDEX('章节与怪物'!$E$31:$K$37,B205,6),'章节与怪物'!$A$41:$F$44,2,FALSE),0)+IF(6=D205,ROUND(AS205*'难度参数'!$E$28*'章节与怪物'!$E$17,0),0))</x:f>
        <x:v>417219</x:v>
      </x:c>
      <x:c r="AU205" s="119" t="n">
        <x:f>IF(AR205=0,0,(AR205-IF(6=D205,1,0))*VLOOKUP(INDEX('章节与怪物'!$E$31:$K$37,B205,6),'章节与怪物'!$A$41:$F$44,4,FALSE)+IF(6=D205,'难度参数'!$E$30,0))</x:f>
        <x:v>924</x:v>
      </x:c>
      <x:c r="AV205" s="119" t="n">
        <x:f>IF(7&gt;D205,0,MAX(2,MIN('难度参数'!$E$12,ROUND(('难度参数'!$E$18*POWER(A205,'难度参数'!$E$19)/D205*(0.85+0.3*(7-1)/MAX(1,D205-1))),0)+F205)))</x:f>
        <x:v>35</x:v>
      </x:c>
      <x:c r="AW205" s="119" t="n">
        <x:f>IF(7&gt;D205,0,ROUND(('难度参数'!$E$13*POWER(A205,'难度参数'!$E$20)*MIN('难度参数'!$E$23,1+MAX(0,A205-'难度参数'!$E$21)*'难度参数'!$E$22))*(36+7*7)/(36+7*(D205+1)/2)*E205,0))</x:f>
        <x:v>8105</x:v>
      </x:c>
      <x:c r="AX205" s="119" t="n">
        <x:f>IF(AV205=0,0,(AV205-IF(7=D205,1,0))*ROUND(AW205*VLOOKUP(INDEX('章节与怪物'!$E$31:$K$37,B205,7),'章节与怪物'!$A$41:$F$44,2,FALSE),0)+IF(7=D205,ROUND(AW205*'难度参数'!$E$28*'章节与怪物'!$E$17,0),0))</x:f>
        <x:v>427142</x:v>
      </x:c>
      <x:c r="AY205" s="119" t="n">
        <x:f>IF(AV205=0,0,(AV205-IF(7=D205,1,0))*VLOOKUP(INDEX('章节与怪物'!$E$31:$K$37,B205,7),'章节与怪物'!$A$41:$F$44,4,FALSE)+IF(7=D205,'难度参数'!$E$30,0))</x:f>
        <x:v>1356</x:v>
      </x:c>
    </x:row>
    <x:row r="206" ht="23" customHeight="1">
      <x:c r="A206" s="119" t="n">
        <x:v>200</x:v>
      </x:c>
      <x:c r="B206" s="119" t="n">
        <x:f>MOD(INT((A206-1)/5),7)+1</x:f>
        <x:v>5</x:v>
      </x:c>
      <x:c r="C206" s="62" t="str">
        <x:f>INDEX('章节与怪物'!$B$31:$B$37,B206)</x:f>
        <x:v>雨林遗迹</x:v>
      </x:c>
      <x:c r="D206" s="119" t="n">
        <x:f>MIN('难度参数'!$E$8,MAX('难度参数'!$E$7,A206))</x:f>
        <x:v>7</x:v>
      </x:c>
      <x:c r="E206" s="106" t="n">
        <x:v>1</x:v>
      </x:c>
      <x:c r="F206" s="106" t="n">
        <x:v>0</x:v>
      </x:c>
      <x:c r="G206" s="106" t="n">
        <x:v>1</x:v>
      </x:c>
      <x:c r="H206" s="119" t="n">
        <x:f>SUM(X206,AB206,AF206,AJ206,AN206,AR206,AV206)</x:f>
        <x:v>212</x:v>
      </x:c>
      <x:c r="I206" s="119" t="n">
        <x:f>SUM(Z206,AD206,AH206,AL206,AP206,AT206,AX206)</x:f>
        <x:v>1720967</x:v>
      </x:c>
      <x:c r="J206" s="119" t="n">
        <x:f>ROUND(INDEX(X206:AY206,1,(D206-1)*4+2)*'难度参数'!$E$28*'章节与怪物'!$E$17,0)</x:f>
        <x:v>55311</x:v>
      </x:c>
      <x:c r="K206" s="119" t="n">
        <x:f>SUM(AA206,AE206,AI206,AM206,AQ206,AU206,AY206)</x:f>
        <x:v>5760</x:v>
      </x:c>
      <x:c r="L206" s="62" t="n">
        <x:f>H206*(ROUNDUP('难度参数'!$E$24/('难度参数'!$E$26*'难度参数'!$E$27),0)*'难度参数'!$E$26)/60</x:f>
        <x:v>2.826666666666667</x:v>
      </x:c>
      <x:c r="M206" s="62" t="n">
        <x:f>L206+D206*('难度参数'!$E$49+'难度参数'!$E$50)/60</x:f>
        <x:v>3.993333333333334</x:v>
      </x:c>
      <x:c r="N206" s="119" t="n">
        <x:f>ROUNDDOWN(('经济参数'!$E$20+A206*'经济参数'!$E$21)*G206,0)</x:f>
        <x:v>4180</x:v>
      </x:c>
      <x:c r="O206" s="119" t="n">
        <x:f>ROUNDDOWN(MIN('经济参数'!$E$24,'经济参数'!$E$22+A206*'经济参数'!$E$23)*G206,0)</x:f>
        <x:v>0</x:v>
      </x:c>
      <x:c r="P206" s="119" t="n">
        <x:f>ROUNDDOWN((IF(A206&gt;='材料与任务'!$E$31,'材料与任务'!$E$32,IF(A206&gt;='材料与任务'!$E$25,'材料与任务'!$E$26,IF(A206&gt;='材料与任务'!$E$19,'材料与任务'!$E$20,IF(A206&gt;='材料与任务'!$E$13,'材料与任务'!$E$14,'材料与任务'!$E$8)))))*G206,0)</x:f>
        <x:v>6</x:v>
      </x:c>
      <x:c r="Q206" s="119" t="n">
        <x:f>ROUNDDOWN((IF(A206&gt;='材料与任务'!$E$31,'材料与任务'!$E$33,IF(A206&gt;='材料与任务'!$E$25,'材料与任务'!$E$27,IF(A206&gt;='材料与任务'!$E$19,'材料与任务'!$E$21,IF(A206&gt;='材料与任务'!$E$13,'材料与任务'!$E$15,'材料与任务'!$E$9)))))*G206,0)</x:f>
        <x:v>3</x:v>
      </x:c>
      <x:c r="R206" s="110" t="n">
        <x:f>'装备掉落'!$B$38</x:f>
        <x:v>0.6872058758851213</x:v>
      </x:c>
      <x:c r="S206" s="119" t="n">
        <x:f>MAX(IF(VLOOKUP(A206,'装备掉落'!$A$29:$H$34,2,TRUE)&gt;0,1,0),IF(VLOOKUP(A206,'装备掉落'!$A$29:$H$34,3,TRUE)&gt;0,2,0),IF(VLOOKUP(A206,'装备掉落'!$A$29:$H$34,4,TRUE)&gt;0,3,0),IF(VLOOKUP(A206,'装备掉落'!$A$29:$H$34,5,TRUE)&gt;0,4,0),IF(VLOOKUP(A206,'装备掉落'!$A$29:$H$34,6,TRUE)&gt;0,5,0),IF(VLOOKUP(A206,'装备掉落'!$A$29:$H$34,7,TRUE)&gt;0,6,0),IF(VLOOKUP(A206,'装备掉落'!$A$29:$H$34,8,TRUE)&gt;0,7,0))</x:f>
        <x:v>7</x:v>
      </x:c>
      <x:c r="T206" s="119" t="n">
        <x:f>MIN(7,S206+'经济参数'!$E$70)</x:f>
        <x:v>7</x:v>
      </x:c>
      <x:c r="U206" s="119" t="n">
        <x:f>MIN(7,S206+'经济参数'!$E$71)</x:f>
        <x:v>7</x:v>
      </x:c>
      <x:c r="V206" s="119" t="n">
        <x:f>IF(H206&gt;=('难度参数'!$E$52),1,0)+IF(H206&gt;=('难度参数'!$E$52+'难度参数'!$E$53),1,0)+IF(H206&gt;=('难度参数'!$E$52+'难度参数'!$E$53+'难度参数'!$E$54),1,0)+IF(H206&gt;=('难度参数'!$E$52+'难度参数'!$E$53+'难度参数'!$E$54+'难度参数'!$E$55),1,0)+IF(H206&gt;=('难度参数'!$E$52+'难度参数'!$E$53+'难度参数'!$E$54+'难度参数'!$E$55+'难度参数'!$E$56),1,0)+IF(H206&gt;=('难度参数'!$E$52+'难度参数'!$E$53+'难度参数'!$E$54+'难度参数'!$E$55+'难度参数'!$E$56+'难度参数'!$E$57),1,0)</x:f>
        <x:v>6</x:v>
      </x:c>
      <x:c r="W206" s="62" t="str">
        <x:f>IF(L206&gt;'难度参数'!$E$51,"仅出怪已超目标","还需实测")</x:f>
        <x:v>还需实测</x:v>
      </x:c>
      <x:c r="X206" s="119" t="n">
        <x:f>IF(1&gt;D206,0,MAX(2,MIN('难度参数'!$E$12,ROUND(('难度参数'!$E$18*POWER(A206,'难度参数'!$E$19)/D206*(0.85+0.3*(1-1)/MAX(1,D206-1))),0)+F206)))</x:f>
        <x:v>26</x:v>
      </x:c>
      <x:c r="Y206" s="119" t="n">
        <x:f>IF(1&gt;D206,0,ROUND(('难度参数'!$E$13*POWER(A206,'难度参数'!$E$20)*MIN('难度参数'!$E$23,1+MAX(0,A206-'难度参数'!$E$21)*'难度参数'!$E$22))*(36+1*7)/(36+7*(D206+1)/2)*E206,0))</x:f>
        <x:v>4115</x:v>
      </x:c>
      <x:c r="Z206" s="119" t="n">
        <x:f>IF(X206=0,0,(X206-IF(1=D206,1,0))*ROUND(Y206*VLOOKUP(INDEX('章节与怪物'!$E$31:$K$37,B206,1),'章节与怪物'!$A$41:$F$44,2,FALSE),0)+IF(1=D206,ROUND(Y206*'难度参数'!$E$28*'章节与怪物'!$E$17,0),0))</x:f>
        <x:v>106990</x:v>
      </x:c>
      <x:c r="AA206" s="119" t="n">
        <x:f>IF(X206=0,0,(X206-IF(1=D206,1,0))*VLOOKUP(INDEX('章节与怪物'!$E$31:$K$37,B206,1),'章节与怪物'!$A$41:$F$44,4,FALSE)+IF(1=D206,'难度参数'!$E$30,0))</x:f>
        <x:v>468</x:v>
      </x:c>
      <x:c r="AB206" s="119" t="n">
        <x:f>IF(2&gt;D206,0,MAX(2,MIN('难度参数'!$E$12,ROUND(('难度参数'!$E$18*POWER(A206,'难度参数'!$E$19)/D206*(0.85+0.3*(2-1)/MAX(1,D206-1))),0)+F206)))</x:f>
        <x:v>27</x:v>
      </x:c>
      <x:c r="AC206" s="119" t="n">
        <x:f>IF(2&gt;D206,0,ROUND(('难度参数'!$E$13*POWER(A206,'难度参数'!$E$20)*MIN('难度参数'!$E$23,1+MAX(0,A206-'难度参数'!$E$21)*'难度参数'!$E$22))*(36+2*7)/(36+7*(D206+1)/2)*E206,0))</x:f>
        <x:v>4785</x:v>
      </x:c>
      <x:c r="AD206" s="119" t="n">
        <x:f>IF(AB206=0,0,(AB206-IF(2=D206,1,0))*ROUND(AC206*VLOOKUP(INDEX('章节与怪物'!$E$31:$K$37,B206,2),'章节与怪物'!$A$41:$F$44,2,FALSE),0)+IF(2=D206,ROUND(AC206*'难度参数'!$E$28*'章节与怪物'!$E$17,0),0))</x:f>
        <x:v>93015</x:v>
      </x:c>
      <x:c r="AE206" s="119" t="n">
        <x:f>IF(AB206=0,0,(AB206-IF(2=D206,1,0))*VLOOKUP(INDEX('章节与怪物'!$E$31:$K$37,B206,2),'章节与怪物'!$A$41:$F$44,4,FALSE)+IF(2=D206,'难度参数'!$E$30,0))</x:f>
        <x:v>540</x:v>
      </x:c>
      <x:c r="AF206" s="119" t="n">
        <x:f>IF(3&gt;D206,0,MAX(2,MIN('难度参数'!$E$12,ROUND(('难度参数'!$E$18*POWER(A206,'难度参数'!$E$19)/D206*(0.85+0.3*(3-1)/MAX(1,D206-1))),0)+F206)))</x:f>
        <x:v>29</x:v>
      </x:c>
      <x:c r="AG206" s="119" t="n">
        <x:f>IF(3&gt;D206,0,ROUND(('难度参数'!$E$13*POWER(A206,'难度参数'!$E$20)*MIN('难度参数'!$E$23,1+MAX(0,A206-'难度参数'!$E$21)*'难度参数'!$E$22))*(36+3*7)/(36+7*(D206+1)/2)*E206,0))</x:f>
        <x:v>5455</x:v>
      </x:c>
      <x:c r="AH206" s="119" t="n">
        <x:f>IF(AF206=0,0,(AF206-IF(3=D206,1,0))*ROUND(AG206*VLOOKUP(INDEX('章节与怪物'!$E$31:$K$37,B206,3),'章节与怪物'!$A$41:$F$44,2,FALSE),0)+IF(3=D206,ROUND(AG206*'难度参数'!$E$28*'章节与怪物'!$E$17,0),0))</x:f>
        <x:v>268946</x:v>
      </x:c>
      <x:c r="AI206" s="119" t="n">
        <x:f>IF(AF206=0,0,(AF206-IF(3=D206,1,0))*VLOOKUP(INDEX('章节与怪物'!$E$31:$K$37,B206,3),'章节与怪物'!$A$41:$F$44,4,FALSE)+IF(3=D206,'难度参数'!$E$30,0))</x:f>
        <x:v>812</x:v>
      </x:c>
      <x:c r="AJ206" s="119" t="n">
        <x:f>IF(4&gt;D206,0,MAX(2,MIN('难度参数'!$E$12,ROUND(('难度参数'!$E$18*POWER(A206,'难度参数'!$E$19)/D206*(0.85+0.3*(4-1)/MAX(1,D206-1))),0)+F206)))</x:f>
        <x:v>30</x:v>
      </x:c>
      <x:c r="AK206" s="119" t="n">
        <x:f>IF(4&gt;D206,0,ROUND(('难度参数'!$E$13*POWER(A206,'难度参数'!$E$20)*MIN('难度参数'!$E$23,1+MAX(0,A206-'难度参数'!$E$21)*'难度参数'!$E$22))*(36+4*7)/(36+7*(D206+1)/2)*E206,0))</x:f>
        <x:v>6125</x:v>
      </x:c>
      <x:c r="AL206" s="119" t="n">
        <x:f>IF(AJ206=0,0,(AJ206-IF(4=D206,1,0))*ROUND(AK206*VLOOKUP(INDEX('章节与怪物'!$E$31:$K$37,B206,4),'章节与怪物'!$A$41:$F$44,2,FALSE),0)+IF(4=D206,ROUND(AK206*'难度参数'!$E$28*'章节与怪物'!$E$17,0),0))</x:f>
        <x:v>248070</x:v>
      </x:c>
      <x:c r="AM206" s="119" t="n">
        <x:f>IF(AJ206=0,0,(AJ206-IF(4=D206,1,0))*VLOOKUP(INDEX('章节与怪物'!$E$31:$K$37,B206,4),'章节与怪物'!$A$41:$F$44,4,FALSE)+IF(4=D206,'难度参数'!$E$30,0))</x:f>
        <x:v>1020</x:v>
      </x:c>
      <x:c r="AN206" s="119" t="n">
        <x:f>IF(5&gt;D206,0,MAX(2,MIN('难度参数'!$E$12,ROUND(('难度参数'!$E$18*POWER(A206,'难度参数'!$E$19)/D206*(0.85+0.3*(5-1)/MAX(1,D206-1))),0)+F206)))</x:f>
        <x:v>32</x:v>
      </x:c>
      <x:c r="AO206" s="119" t="n">
        <x:f>IF(5&gt;D206,0,ROUND(('难度参数'!$E$13*POWER(A206,'难度参数'!$E$20)*MIN('难度参数'!$E$23,1+MAX(0,A206-'难度参数'!$E$21)*'难度参数'!$E$22))*(36+5*7)/(36+7*(D206+1)/2)*E206,0))</x:f>
        <x:v>6794</x:v>
      </x:c>
      <x:c r="AP206" s="119" t="n">
        <x:f>IF(AN206=0,0,(AN206-IF(5=D206,1,0))*ROUND(AO206*VLOOKUP(INDEX('章节与怪物'!$E$31:$K$37,B206,5),'章节与怪物'!$A$41:$F$44,2,FALSE),0)+IF(5=D206,ROUND(AO206*'难度参数'!$E$28*'章节与怪物'!$E$17,0),0))</x:f>
        <x:v>156544</x:v>
      </x:c>
      <x:c r="AQ206" s="119" t="n">
        <x:f>IF(AN206=0,0,(AN206-IF(5=D206,1,0))*VLOOKUP(INDEX('章节与怪物'!$E$31:$K$37,B206,5),'章节与怪物'!$A$41:$F$44,4,FALSE)+IF(5=D206,'难度参数'!$E$30,0))</x:f>
        <x:v>640</x:v>
      </x:c>
      <x:c r="AR206" s="119" t="n">
        <x:f>IF(6&gt;D206,0,MAX(2,MIN('难度参数'!$E$12,ROUND(('难度参数'!$E$18*POWER(A206,'难度参数'!$E$19)/D206*(0.85+0.3*(6-1)/MAX(1,D206-1))),0)+F206)))</x:f>
        <x:v>33</x:v>
      </x:c>
      <x:c r="AS206" s="119" t="n">
        <x:f>IF(6&gt;D206,0,ROUND(('难度参数'!$E$13*POWER(A206,'难度参数'!$E$20)*MIN('难度参数'!$E$23,1+MAX(0,A206-'难度参数'!$E$21)*'难度参数'!$E$22))*(36+6*7)/(36+7*(D206+1)/2)*E206,0))</x:f>
        <x:v>7464</x:v>
      </x:c>
      <x:c r="AT206" s="119" t="n">
        <x:f>IF(AR206=0,0,(AR206-IF(6=D206,1,0))*ROUND(AS206*VLOOKUP(INDEX('章节与怪物'!$E$31:$K$37,B206,6),'章节与怪物'!$A$41:$F$44,2,FALSE),0)+IF(6=D206,ROUND(AS206*'难度参数'!$E$28*'章节与怪物'!$E$17,0),0))</x:f>
        <x:v>418737</x:v>
      </x:c>
      <x:c r="AU206" s="119" t="n">
        <x:f>IF(AR206=0,0,(AR206-IF(6=D206,1,0))*VLOOKUP(INDEX('章节与怪物'!$E$31:$K$37,B206,6),'章节与怪物'!$A$41:$F$44,4,FALSE)+IF(6=D206,'难度参数'!$E$30,0))</x:f>
        <x:v>924</x:v>
      </x:c>
      <x:c r="AV206" s="119" t="n">
        <x:f>IF(7&gt;D206,0,MAX(2,MIN('难度参数'!$E$12,ROUND(('难度参数'!$E$18*POWER(A206,'难度参数'!$E$19)/D206*(0.85+0.3*(7-1)/MAX(1,D206-1))),0)+F206)))</x:f>
        <x:v>35</x:v>
      </x:c>
      <x:c r="AW206" s="119" t="n">
        <x:f>IF(7&gt;D206,0,ROUND(('难度参数'!$E$13*POWER(A206,'难度参数'!$E$20)*MIN('难度参数'!$E$23,1+MAX(0,A206-'难度参数'!$E$21)*'难度参数'!$E$22))*(36+7*7)/(36+7*(D206+1)/2)*E206,0))</x:f>
        <x:v>8134</x:v>
      </x:c>
      <x:c r="AX206" s="119" t="n">
        <x:f>IF(AV206=0,0,(AV206-IF(7=D206,1,0))*ROUND(AW206*VLOOKUP(INDEX('章节与怪物'!$E$31:$K$37,B206,7),'章节与怪物'!$A$41:$F$44,2,FALSE),0)+IF(7=D206,ROUND(AW206*'难度参数'!$E$28*'章节与怪物'!$E$17,0),0))</x:f>
        <x:v>428665</x:v>
      </x:c>
      <x:c r="AY206" s="119" t="n">
        <x:f>IF(AV206=0,0,(AV206-IF(7=D206,1,0))*VLOOKUP(INDEX('章节与怪物'!$E$31:$K$37,B206,7),'章节与怪物'!$A$41:$F$44,4,FALSE)+IF(7=D206,'难度参数'!$E$30,0))</x:f>
        <x:v>1356</x:v>
      </x:c>
    </x:row>
    <x:row r="207" ht="23" customHeight="1">
      <x:c r="A207" s="119" t="n">
        <x:v>201</x:v>
      </x:c>
      <x:c r="B207" s="119" t="n">
        <x:f>MOD(INT((A207-1)/5),7)+1</x:f>
        <x:v>6</x:v>
      </x:c>
      <x:c r="C207" s="62" t="str">
        <x:f>INDEX('章节与怪物'!$B$31:$B$37,B207)</x:f>
        <x:v>熔岩山脉</x:v>
      </x:c>
      <x:c r="D207" s="119" t="n">
        <x:f>MIN('难度参数'!$E$8,MAX('难度参数'!$E$7,A207))</x:f>
        <x:v>7</x:v>
      </x:c>
      <x:c r="E207" s="106" t="n">
        <x:v>1</x:v>
      </x:c>
      <x:c r="F207" s="106" t="n">
        <x:v>0</x:v>
      </x:c>
      <x:c r="G207" s="106" t="n">
        <x:v>1</x:v>
      </x:c>
      <x:c r="H207" s="119" t="n">
        <x:f>SUM(X207,AB207,AF207,AJ207,AN207,AR207,AV207)</x:f>
        <x:v>212</x:v>
      </x:c>
      <x:c r="I207" s="119" t="n">
        <x:f>SUM(Z207,AD207,AH207,AL207,AP207,AT207,AX207)</x:f>
        <x:v>1794443</x:v>
      </x:c>
      <x:c r="J207" s="119" t="n">
        <x:f>ROUND(INDEX(X207:AY207,1,(D207-1)*4+2)*'难度参数'!$E$28*'章节与怪物'!$E$17,0)</x:f>
        <x:v>55508</x:v>
      </x:c>
      <x:c r="K207" s="119" t="n">
        <x:f>SUM(AA207,AE207,AI207,AM207,AQ207,AU207,AY207)</x:f>
        <x:v>5694</x:v>
      </x:c>
      <x:c r="L207" s="62" t="n">
        <x:f>H207*(ROUNDUP('难度参数'!$E$24/('难度参数'!$E$26*'难度参数'!$E$27),0)*'难度参数'!$E$26)/60</x:f>
        <x:v>2.826666666666667</x:v>
      </x:c>
      <x:c r="M207" s="62" t="n">
        <x:f>L207+D207*('难度参数'!$E$49+'难度参数'!$E$50)/60</x:f>
        <x:v>3.993333333333334</x:v>
      </x:c>
      <x:c r="N207" s="119" t="n">
        <x:f>ROUNDDOWN(('经济参数'!$E$20+A207*'经济参数'!$E$21)*G207,0)</x:f>
        <x:v>4200</x:v>
      </x:c>
      <x:c r="O207" s="119" t="n">
        <x:f>ROUNDDOWN(MIN('经济参数'!$E$24,'经济参数'!$E$22+A207*'经济参数'!$E$23)*G207,0)</x:f>
        <x:v>0</x:v>
      </x:c>
      <x:c r="P207" s="119" t="n">
        <x:f>ROUNDDOWN((IF(A207&gt;='材料与任务'!$E$31,'材料与任务'!$E$32,IF(A207&gt;='材料与任务'!$E$25,'材料与任务'!$E$26,IF(A207&gt;='材料与任务'!$E$19,'材料与任务'!$E$20,IF(A207&gt;='材料与任务'!$E$13,'材料与任务'!$E$14,'材料与任务'!$E$8)))))*G207,0)</x:f>
        <x:v>6</x:v>
      </x:c>
      <x:c r="Q207" s="119" t="n">
        <x:f>ROUNDDOWN((IF(A207&gt;='材料与任务'!$E$31,'材料与任务'!$E$33,IF(A207&gt;='材料与任务'!$E$25,'材料与任务'!$E$27,IF(A207&gt;='材料与任务'!$E$19,'材料与任务'!$E$21,IF(A207&gt;='材料与任务'!$E$13,'材料与任务'!$E$15,'材料与任务'!$E$9)))))*G207,0)</x:f>
        <x:v>3</x:v>
      </x:c>
      <x:c r="R207" s="110" t="n">
        <x:f>'装备掉落'!$B$38</x:f>
        <x:v>0.6872058758851213</x:v>
      </x:c>
      <x:c r="S207" s="119" t="n">
        <x:f>MAX(IF(VLOOKUP(A207,'装备掉落'!$A$29:$H$34,2,TRUE)&gt;0,1,0),IF(VLOOKUP(A207,'装备掉落'!$A$29:$H$34,3,TRUE)&gt;0,2,0),IF(VLOOKUP(A207,'装备掉落'!$A$29:$H$34,4,TRUE)&gt;0,3,0),IF(VLOOKUP(A207,'装备掉落'!$A$29:$H$34,5,TRUE)&gt;0,4,0),IF(VLOOKUP(A207,'装备掉落'!$A$29:$H$34,6,TRUE)&gt;0,5,0),IF(VLOOKUP(A207,'装备掉落'!$A$29:$H$34,7,TRUE)&gt;0,6,0),IF(VLOOKUP(A207,'装备掉落'!$A$29:$H$34,8,TRUE)&gt;0,7,0))</x:f>
        <x:v>7</x:v>
      </x:c>
      <x:c r="T207" s="119" t="n">
        <x:f>MIN(7,S207+'经济参数'!$E$70)</x:f>
        <x:v>7</x:v>
      </x:c>
      <x:c r="U207" s="119" t="n">
        <x:f>MIN(7,S207+'经济参数'!$E$71)</x:f>
        <x:v>7</x:v>
      </x:c>
      <x:c r="V207" s="119" t="n">
        <x:f>IF(H207&gt;=('难度参数'!$E$52),1,0)+IF(H207&gt;=('难度参数'!$E$52+'难度参数'!$E$53),1,0)+IF(H207&gt;=('难度参数'!$E$52+'难度参数'!$E$53+'难度参数'!$E$54),1,0)+IF(H207&gt;=('难度参数'!$E$52+'难度参数'!$E$53+'难度参数'!$E$54+'难度参数'!$E$55),1,0)+IF(H207&gt;=('难度参数'!$E$52+'难度参数'!$E$53+'难度参数'!$E$54+'难度参数'!$E$55+'难度参数'!$E$56),1,0)+IF(H207&gt;=('难度参数'!$E$52+'难度参数'!$E$53+'难度参数'!$E$54+'难度参数'!$E$55+'难度参数'!$E$56+'难度参数'!$E$57),1,0)</x:f>
        <x:v>6</x:v>
      </x:c>
      <x:c r="W207" s="62" t="str">
        <x:f>IF(L207&gt;'难度参数'!$E$51,"仅出怪已超目标","还需实测")</x:f>
        <x:v>还需实测</x:v>
      </x:c>
      <x:c r="X207" s="119" t="n">
        <x:f>IF(1&gt;D207,0,MAX(2,MIN('难度参数'!$E$12,ROUND(('难度参数'!$E$18*POWER(A207,'难度参数'!$E$19)/D207*(0.85+0.3*(1-1)/MAX(1,D207-1))),0)+F207)))</x:f>
        <x:v>26</x:v>
      </x:c>
      <x:c r="Y207" s="119" t="n">
        <x:f>IF(1&gt;D207,0,ROUND(('难度参数'!$E$13*POWER(A207,'难度参数'!$E$20)*MIN('难度参数'!$E$23,1+MAX(0,A207-'难度参数'!$E$21)*'难度参数'!$E$22))*(36+1*7)/(36+7*(D207+1)/2)*E207,0))</x:f>
        <x:v>4130</x:v>
      </x:c>
      <x:c r="Z207" s="119" t="n">
        <x:f>IF(X207=0,0,(X207-IF(1=D207,1,0))*ROUND(Y207*VLOOKUP(INDEX('章节与怪物'!$E$31:$K$37,B207,1),'章节与怪物'!$A$41:$F$44,2,FALSE),0)+IF(1=D207,ROUND(Y207*'难度参数'!$E$28*'章节与怪物'!$E$17,0),0))</x:f>
        <x:v>77324</x:v>
      </x:c>
      <x:c r="AA207" s="119" t="n">
        <x:f>IF(X207=0,0,(X207-IF(1=D207,1,0))*VLOOKUP(INDEX('章节与怪物'!$E$31:$K$37,B207,1),'章节与怪物'!$A$41:$F$44,4,FALSE)+IF(1=D207,'难度参数'!$E$30,0))</x:f>
        <x:v>520</x:v>
      </x:c>
      <x:c r="AB207" s="119" t="n">
        <x:f>IF(2&gt;D207,0,MAX(2,MIN('难度参数'!$E$12,ROUND(('难度参数'!$E$18*POWER(A207,'难度参数'!$E$19)/D207*(0.85+0.3*(2-1)/MAX(1,D207-1))),0)+F207)))</x:f>
        <x:v>27</x:v>
      </x:c>
      <x:c r="AC207" s="119" t="n">
        <x:f>IF(2&gt;D207,0,ROUND(('难度参数'!$E$13*POWER(A207,'难度参数'!$E$20)*MIN('难度参数'!$E$23,1+MAX(0,A207-'难度参数'!$E$21)*'难度参数'!$E$22))*(36+2*7)/(36+7*(D207+1)/2)*E207,0))</x:f>
        <x:v>4802</x:v>
      </x:c>
      <x:c r="AD207" s="119" t="n">
        <x:f>IF(AB207=0,0,(AB207-IF(2=D207,1,0))*ROUND(AC207*VLOOKUP(INDEX('章节与怪物'!$E$31:$K$37,B207,2),'章节与怪物'!$A$41:$F$44,2,FALSE),0)+IF(2=D207,ROUND(AC207*'难度参数'!$E$28*'章节与怪物'!$E$17,0),0))</x:f>
        <x:v>129654</x:v>
      </x:c>
      <x:c r="AE207" s="119" t="n">
        <x:f>IF(AB207=0,0,(AB207-IF(2=D207,1,0))*VLOOKUP(INDEX('章节与怪物'!$E$31:$K$37,B207,2),'章节与怪物'!$A$41:$F$44,4,FALSE)+IF(2=D207,'难度参数'!$E$30,0))</x:f>
        <x:v>486</x:v>
      </x:c>
      <x:c r="AF207" s="119" t="n">
        <x:f>IF(3&gt;D207,0,MAX(2,MIN('难度参数'!$E$12,ROUND(('难度参数'!$E$18*POWER(A207,'难度参数'!$E$19)/D207*(0.85+0.3*(3-1)/MAX(1,D207-1))),0)+F207)))</x:f>
        <x:v>29</x:v>
      </x:c>
      <x:c r="AG207" s="119" t="n">
        <x:f>IF(3&gt;D207,0,ROUND(('难度参数'!$E$13*POWER(A207,'难度参数'!$E$20)*MIN('难度参数'!$E$23,1+MAX(0,A207-'难度参数'!$E$21)*'难度参数'!$E$22))*(36+3*7)/(36+7*(D207+1)/2)*E207,0))</x:f>
        <x:v>5474</x:v>
      </x:c>
      <x:c r="AH207" s="119" t="n">
        <x:f>IF(AF207=0,0,(AF207-IF(3=D207,1,0))*ROUND(AG207*VLOOKUP(INDEX('章节与怪物'!$E$31:$K$37,B207,3),'章节与怪物'!$A$41:$F$44,2,FALSE),0)+IF(3=D207,ROUND(AG207*'难度参数'!$E$28*'章节与怪物'!$E$17,0),0))</x:f>
        <x:v>269874</x:v>
      </x:c>
      <x:c r="AI207" s="119" t="n">
        <x:f>IF(AF207=0,0,(AF207-IF(3=D207,1,0))*VLOOKUP(INDEX('章节与怪物'!$E$31:$K$37,B207,3),'章节与怪物'!$A$41:$F$44,4,FALSE)+IF(3=D207,'难度参数'!$E$30,0))</x:f>
        <x:v>812</x:v>
      </x:c>
      <x:c r="AJ207" s="119" t="n">
        <x:f>IF(4&gt;D207,0,MAX(2,MIN('难度参数'!$E$12,ROUND(('难度参数'!$E$18*POWER(A207,'难度参数'!$E$19)/D207*(0.85+0.3*(4-1)/MAX(1,D207-1))),0)+F207)))</x:f>
        <x:v>30</x:v>
      </x:c>
      <x:c r="AK207" s="119" t="n">
        <x:f>IF(4&gt;D207,0,ROUND(('难度参数'!$E$13*POWER(A207,'难度参数'!$E$20)*MIN('难度参数'!$E$23,1+MAX(0,A207-'难度参数'!$E$21)*'难度参数'!$E$22))*(36+4*7)/(36+7*(D207+1)/2)*E207,0))</x:f>
        <x:v>6147</x:v>
      </x:c>
      <x:c r="AL207" s="119" t="n">
        <x:f>IF(AJ207=0,0,(AJ207-IF(4=D207,1,0))*ROUND(AK207*VLOOKUP(INDEX('章节与怪物'!$E$31:$K$37,B207,4),'章节与怪物'!$A$41:$F$44,2,FALSE),0)+IF(4=D207,ROUND(AK207*'难度参数'!$E$28*'章节与怪物'!$E$17,0),0))</x:f>
        <x:v>248940</x:v>
      </x:c>
      <x:c r="AM207" s="119" t="n">
        <x:f>IF(AJ207=0,0,(AJ207-IF(4=D207,1,0))*VLOOKUP(INDEX('章节与怪物'!$E$31:$K$37,B207,4),'章节与怪物'!$A$41:$F$44,4,FALSE)+IF(4=D207,'难度参数'!$E$30,0))</x:f>
        <x:v>1020</x:v>
      </x:c>
      <x:c r="AN207" s="119" t="n">
        <x:f>IF(5&gt;D207,0,MAX(2,MIN('难度参数'!$E$12,ROUND(('难度参数'!$E$18*POWER(A207,'难度参数'!$E$19)/D207*(0.85+0.3*(5-1)/MAX(1,D207-1))),0)+F207)))</x:f>
        <x:v>32</x:v>
      </x:c>
      <x:c r="AO207" s="119" t="n">
        <x:f>IF(5&gt;D207,0,ROUND(('难度参数'!$E$13*POWER(A207,'难度参数'!$E$20)*MIN('难度参数'!$E$23,1+MAX(0,A207-'难度参数'!$E$21)*'难度参数'!$E$22))*(36+5*7)/(36+7*(D207+1)/2)*E207,0))</x:f>
        <x:v>6819</x:v>
      </x:c>
      <x:c r="AP207" s="119" t="n">
        <x:f>IF(AN207=0,0,(AN207-IF(5=D207,1,0))*ROUND(AO207*VLOOKUP(INDEX('章节与怪物'!$E$31:$K$37,B207,5),'章节与怪物'!$A$41:$F$44,2,FALSE),0)+IF(5=D207,ROUND(AO207*'难度参数'!$E$28*'章节与怪物'!$E$17,0),0))</x:f>
        <x:v>218208</x:v>
      </x:c>
      <x:c r="AQ207" s="119" t="n">
        <x:f>IF(AN207=0,0,(AN207-IF(5=D207,1,0))*VLOOKUP(INDEX('章节与怪物'!$E$31:$K$37,B207,5),'章节与怪物'!$A$41:$F$44,4,FALSE)+IF(5=D207,'难度参数'!$E$30,0))</x:f>
        <x:v>576</x:v>
      </x:c>
      <x:c r="AR207" s="119" t="n">
        <x:f>IF(6&gt;D207,0,MAX(2,MIN('难度参数'!$E$12,ROUND(('难度参数'!$E$18*POWER(A207,'难度参数'!$E$19)/D207*(0.85+0.3*(6-1)/MAX(1,D207-1))),0)+F207)))</x:f>
        <x:v>33</x:v>
      </x:c>
      <x:c r="AS207" s="119" t="n">
        <x:f>IF(6&gt;D207,0,ROUND(('难度参数'!$E$13*POWER(A207,'难度参数'!$E$20)*MIN('难度参数'!$E$23,1+MAX(0,A207-'难度参数'!$E$21)*'难度参数'!$E$22))*(36+6*7)/(36+7*(D207+1)/2)*E207,0))</x:f>
        <x:v>7491</x:v>
      </x:c>
      <x:c r="AT207" s="119" t="n">
        <x:f>IF(AR207=0,0,(AR207-IF(6=D207,1,0))*ROUND(AS207*VLOOKUP(INDEX('章节与怪物'!$E$31:$K$37,B207,6),'章节与怪物'!$A$41:$F$44,2,FALSE),0)+IF(6=D207,ROUND(AS207*'难度参数'!$E$28*'章节与怪物'!$E$17,0),0))</x:f>
        <x:v>420255</x:v>
      </x:c>
      <x:c r="AU207" s="119" t="n">
        <x:f>IF(AR207=0,0,(AR207-IF(6=D207,1,0))*VLOOKUP(INDEX('章节与怪物'!$E$31:$K$37,B207,6),'章节与怪物'!$A$41:$F$44,4,FALSE)+IF(6=D207,'难度参数'!$E$30,0))</x:f>
        <x:v>924</x:v>
      </x:c>
      <x:c r="AV207" s="119" t="n">
        <x:f>IF(7&gt;D207,0,MAX(2,MIN('难度参数'!$E$12,ROUND(('难度参数'!$E$18*POWER(A207,'难度参数'!$E$19)/D207*(0.85+0.3*(7-1)/MAX(1,D207-1))),0)+F207)))</x:f>
        <x:v>35</x:v>
      </x:c>
      <x:c r="AW207" s="119" t="n">
        <x:f>IF(7&gt;D207,0,ROUND(('难度参数'!$E$13*POWER(A207,'难度参数'!$E$20)*MIN('难度参数'!$E$23,1+MAX(0,A207-'难度参数'!$E$21)*'难度参数'!$E$22))*(36+7*7)/(36+7*(D207+1)/2)*E207,0))</x:f>
        <x:v>8163</x:v>
      </x:c>
      <x:c r="AX207" s="119" t="n">
        <x:f>IF(AV207=0,0,(AV207-IF(7=D207,1,0))*ROUND(AW207*VLOOKUP(INDEX('章节与怪物'!$E$31:$K$37,B207,7),'章节与怪物'!$A$41:$F$44,2,FALSE),0)+IF(7=D207,ROUND(AW207*'难度参数'!$E$28*'章节与怪物'!$E$17,0),0))</x:f>
        <x:v>430188</x:v>
      </x:c>
      <x:c r="AY207" s="119" t="n">
        <x:f>IF(AV207=0,0,(AV207-IF(7=D207,1,0))*VLOOKUP(INDEX('章节与怪物'!$E$31:$K$37,B207,7),'章节与怪物'!$A$41:$F$44,4,FALSE)+IF(7=D207,'难度参数'!$E$30,0))</x:f>
        <x:v>1356</x:v>
      </x:c>
    </x:row>
    <x:row r="208" ht="23" customHeight="1">
      <x:c r="A208" s="119" t="n">
        <x:v>202</x:v>
      </x:c>
      <x:c r="B208" s="119" t="n">
        <x:f>MOD(INT((A208-1)/5),7)+1</x:f>
        <x:v>6</x:v>
      </x:c>
      <x:c r="C208" s="62" t="str">
        <x:f>INDEX('章节与怪物'!$B$31:$B$37,B208)</x:f>
        <x:v>熔岩山脉</x:v>
      </x:c>
      <x:c r="D208" s="119" t="n">
        <x:f>MIN('难度参数'!$E$8,MAX('难度参数'!$E$7,A208))</x:f>
        <x:v>7</x:v>
      </x:c>
      <x:c r="E208" s="106" t="n">
        <x:v>1</x:v>
      </x:c>
      <x:c r="F208" s="106" t="n">
        <x:v>0</x:v>
      </x:c>
      <x:c r="G208" s="106" t="n">
        <x:v>1</x:v>
      </x:c>
      <x:c r="H208" s="119" t="n">
        <x:f>SUM(X208,AB208,AF208,AJ208,AN208,AR208,AV208)</x:f>
        <x:v>212</x:v>
      </x:c>
      <x:c r="I208" s="119" t="n">
        <x:f>SUM(Z208,AD208,AH208,AL208,AP208,AT208,AX208)</x:f>
        <x:v>1800932</x:v>
      </x:c>
      <x:c r="J208" s="119" t="n">
        <x:f>ROUND(INDEX(X208:AY208,1,(D208-1)*4+2)*'难度参数'!$E$28*'章节与怪物'!$E$17,0)</x:f>
        <x:v>55712</x:v>
      </x:c>
      <x:c r="K208" s="119" t="n">
        <x:f>SUM(AA208,AE208,AI208,AM208,AQ208,AU208,AY208)</x:f>
        <x:v>5694</x:v>
      </x:c>
      <x:c r="L208" s="62" t="n">
        <x:f>H208*(ROUNDUP('难度参数'!$E$24/('难度参数'!$E$26*'难度参数'!$E$27),0)*'难度参数'!$E$26)/60</x:f>
        <x:v>2.826666666666667</x:v>
      </x:c>
      <x:c r="M208" s="62" t="n">
        <x:f>L208+D208*('难度参数'!$E$49+'难度参数'!$E$50)/60</x:f>
        <x:v>3.993333333333334</x:v>
      </x:c>
      <x:c r="N208" s="119" t="n">
        <x:f>ROUNDDOWN(('经济参数'!$E$20+A208*'经济参数'!$E$21)*G208,0)</x:f>
        <x:v>4220</x:v>
      </x:c>
      <x:c r="O208" s="119" t="n">
        <x:f>ROUNDDOWN(MIN('经济参数'!$E$24,'经济参数'!$E$22+A208*'经济参数'!$E$23)*G208,0)</x:f>
        <x:v>0</x:v>
      </x:c>
      <x:c r="P208" s="119" t="n">
        <x:f>ROUNDDOWN((IF(A208&gt;='材料与任务'!$E$31,'材料与任务'!$E$32,IF(A208&gt;='材料与任务'!$E$25,'材料与任务'!$E$26,IF(A208&gt;='材料与任务'!$E$19,'材料与任务'!$E$20,IF(A208&gt;='材料与任务'!$E$13,'材料与任务'!$E$14,'材料与任务'!$E$8)))))*G208,0)</x:f>
        <x:v>6</x:v>
      </x:c>
      <x:c r="Q208" s="119" t="n">
        <x:f>ROUNDDOWN((IF(A208&gt;='材料与任务'!$E$31,'材料与任务'!$E$33,IF(A208&gt;='材料与任务'!$E$25,'材料与任务'!$E$27,IF(A208&gt;='材料与任务'!$E$19,'材料与任务'!$E$21,IF(A208&gt;='材料与任务'!$E$13,'材料与任务'!$E$15,'材料与任务'!$E$9)))))*G208,0)</x:f>
        <x:v>3</x:v>
      </x:c>
      <x:c r="R208" s="110" t="n">
        <x:f>'装备掉落'!$B$38</x:f>
        <x:v>0.6872058758851213</x:v>
      </x:c>
      <x:c r="S208" s="119" t="n">
        <x:f>MAX(IF(VLOOKUP(A208,'装备掉落'!$A$29:$H$34,2,TRUE)&gt;0,1,0),IF(VLOOKUP(A208,'装备掉落'!$A$29:$H$34,3,TRUE)&gt;0,2,0),IF(VLOOKUP(A208,'装备掉落'!$A$29:$H$34,4,TRUE)&gt;0,3,0),IF(VLOOKUP(A208,'装备掉落'!$A$29:$H$34,5,TRUE)&gt;0,4,0),IF(VLOOKUP(A208,'装备掉落'!$A$29:$H$34,6,TRUE)&gt;0,5,0),IF(VLOOKUP(A208,'装备掉落'!$A$29:$H$34,7,TRUE)&gt;0,6,0),IF(VLOOKUP(A208,'装备掉落'!$A$29:$H$34,8,TRUE)&gt;0,7,0))</x:f>
        <x:v>7</x:v>
      </x:c>
      <x:c r="T208" s="119" t="n">
        <x:f>MIN(7,S208+'经济参数'!$E$70)</x:f>
        <x:v>7</x:v>
      </x:c>
      <x:c r="U208" s="119" t="n">
        <x:f>MIN(7,S208+'经济参数'!$E$71)</x:f>
        <x:v>7</x:v>
      </x:c>
      <x:c r="V208" s="119" t="n">
        <x:f>IF(H208&gt;=('难度参数'!$E$52),1,0)+IF(H208&gt;=('难度参数'!$E$52+'难度参数'!$E$53),1,0)+IF(H208&gt;=('难度参数'!$E$52+'难度参数'!$E$53+'难度参数'!$E$54),1,0)+IF(H208&gt;=('难度参数'!$E$52+'难度参数'!$E$53+'难度参数'!$E$54+'难度参数'!$E$55),1,0)+IF(H208&gt;=('难度参数'!$E$52+'难度参数'!$E$53+'难度参数'!$E$54+'难度参数'!$E$55+'难度参数'!$E$56),1,0)+IF(H208&gt;=('难度参数'!$E$52+'难度参数'!$E$53+'难度参数'!$E$54+'难度参数'!$E$55+'难度参数'!$E$56+'难度参数'!$E$57),1,0)</x:f>
        <x:v>6</x:v>
      </x:c>
      <x:c r="W208" s="62" t="str">
        <x:f>IF(L208&gt;'难度参数'!$E$51,"仅出怪已超目标","还需实测")</x:f>
        <x:v>还需实测</x:v>
      </x:c>
      <x:c r="X208" s="119" t="n">
        <x:f>IF(1&gt;D208,0,MAX(2,MIN('难度参数'!$E$12,ROUND(('难度参数'!$E$18*POWER(A208,'难度参数'!$E$19)/D208*(0.85+0.3*(1-1)/MAX(1,D208-1))),0)+F208)))</x:f>
        <x:v>26</x:v>
      </x:c>
      <x:c r="Y208" s="119" t="n">
        <x:f>IF(1&gt;D208,0,ROUND(('难度参数'!$E$13*POWER(A208,'难度参数'!$E$20)*MIN('难度参数'!$E$23,1+MAX(0,A208-'难度参数'!$E$21)*'难度参数'!$E$22))*(36+1*7)/(36+7*(D208+1)/2)*E208,0))</x:f>
        <x:v>4145</x:v>
      </x:c>
      <x:c r="Z208" s="119" t="n">
        <x:f>IF(X208=0,0,(X208-IF(1=D208,1,0))*ROUND(Y208*VLOOKUP(INDEX('章节与怪物'!$E$31:$K$37,B208,1),'章节与怪物'!$A$41:$F$44,2,FALSE),0)+IF(1=D208,ROUND(Y208*'难度参数'!$E$28*'章节与怪物'!$E$17,0),0))</x:f>
        <x:v>77584</x:v>
      </x:c>
      <x:c r="AA208" s="119" t="n">
        <x:f>IF(X208=0,0,(X208-IF(1=D208,1,0))*VLOOKUP(INDEX('章节与怪物'!$E$31:$K$37,B208,1),'章节与怪物'!$A$41:$F$44,4,FALSE)+IF(1=D208,'难度参数'!$E$30,0))</x:f>
        <x:v>520</x:v>
      </x:c>
      <x:c r="AB208" s="119" t="n">
        <x:f>IF(2&gt;D208,0,MAX(2,MIN('难度参数'!$E$12,ROUND(('难度参数'!$E$18*POWER(A208,'难度参数'!$E$19)/D208*(0.85+0.3*(2-1)/MAX(1,D208-1))),0)+F208)))</x:f>
        <x:v>27</x:v>
      </x:c>
      <x:c r="AC208" s="119" t="n">
        <x:f>IF(2&gt;D208,0,ROUND(('难度参数'!$E$13*POWER(A208,'难度参数'!$E$20)*MIN('难度参数'!$E$23,1+MAX(0,A208-'难度参数'!$E$21)*'难度参数'!$E$22))*(36+2*7)/(36+7*(D208+1)/2)*E208,0))</x:f>
        <x:v>4819</x:v>
      </x:c>
      <x:c r="AD208" s="119" t="n">
        <x:f>IF(AB208=0,0,(AB208-IF(2=D208,1,0))*ROUND(AC208*VLOOKUP(INDEX('章节与怪物'!$E$31:$K$37,B208,2),'章节与怪物'!$A$41:$F$44,2,FALSE),0)+IF(2=D208,ROUND(AC208*'难度参数'!$E$28*'章节与怪物'!$E$17,0),0))</x:f>
        <x:v>130113</x:v>
      </x:c>
      <x:c r="AE208" s="119" t="n">
        <x:f>IF(AB208=0,0,(AB208-IF(2=D208,1,0))*VLOOKUP(INDEX('章节与怪物'!$E$31:$K$37,B208,2),'章节与怪物'!$A$41:$F$44,4,FALSE)+IF(2=D208,'难度参数'!$E$30,0))</x:f>
        <x:v>486</x:v>
      </x:c>
      <x:c r="AF208" s="119" t="n">
        <x:f>IF(3&gt;D208,0,MAX(2,MIN('难度参数'!$E$12,ROUND(('难度参数'!$E$18*POWER(A208,'难度参数'!$E$19)/D208*(0.85+0.3*(3-1)/MAX(1,D208-1))),0)+F208)))</x:f>
        <x:v>29</x:v>
      </x:c>
      <x:c r="AG208" s="119" t="n">
        <x:f>IF(3&gt;D208,0,ROUND(('难度参数'!$E$13*POWER(A208,'难度参数'!$E$20)*MIN('难度参数'!$E$23,1+MAX(0,A208-'难度参数'!$E$21)*'难度参数'!$E$22))*(36+3*7)/(36+7*(D208+1)/2)*E208,0))</x:f>
        <x:v>5494</x:v>
      </x:c>
      <x:c r="AH208" s="119" t="n">
        <x:f>IF(AF208=0,0,(AF208-IF(3=D208,1,0))*ROUND(AG208*VLOOKUP(INDEX('章节与怪物'!$E$31:$K$37,B208,3),'章节与怪物'!$A$41:$F$44,2,FALSE),0)+IF(3=D208,ROUND(AG208*'难度参数'!$E$28*'章节与怪物'!$E$17,0),0))</x:f>
        <x:v>270860</x:v>
      </x:c>
      <x:c r="AI208" s="119" t="n">
        <x:f>IF(AF208=0,0,(AF208-IF(3=D208,1,0))*VLOOKUP(INDEX('章节与怪物'!$E$31:$K$37,B208,3),'章节与怪物'!$A$41:$F$44,4,FALSE)+IF(3=D208,'难度参数'!$E$30,0))</x:f>
        <x:v>812</x:v>
      </x:c>
      <x:c r="AJ208" s="119" t="n">
        <x:f>IF(4&gt;D208,0,MAX(2,MIN('难度参数'!$E$12,ROUND(('难度参数'!$E$18*POWER(A208,'难度参数'!$E$19)/D208*(0.85+0.3*(4-1)/MAX(1,D208-1))),0)+F208)))</x:f>
        <x:v>30</x:v>
      </x:c>
      <x:c r="AK208" s="119" t="n">
        <x:f>IF(4&gt;D208,0,ROUND(('难度参数'!$E$13*POWER(A208,'难度参数'!$E$20)*MIN('难度参数'!$E$23,1+MAX(0,A208-'难度参数'!$E$21)*'难度参数'!$E$22))*(36+4*7)/(36+7*(D208+1)/2)*E208,0))</x:f>
        <x:v>6169</x:v>
      </x:c>
      <x:c r="AL208" s="119" t="n">
        <x:f>IF(AJ208=0,0,(AJ208-IF(4=D208,1,0))*ROUND(AK208*VLOOKUP(INDEX('章节与怪物'!$E$31:$K$37,B208,4),'章节与怪物'!$A$41:$F$44,2,FALSE),0)+IF(4=D208,ROUND(AK208*'难度参数'!$E$28*'章节与怪物'!$E$17,0),0))</x:f>
        <x:v>249840</x:v>
      </x:c>
      <x:c r="AM208" s="119" t="n">
        <x:f>IF(AJ208=0,0,(AJ208-IF(4=D208,1,0))*VLOOKUP(INDEX('章节与怪物'!$E$31:$K$37,B208,4),'章节与怪物'!$A$41:$F$44,4,FALSE)+IF(4=D208,'难度参数'!$E$30,0))</x:f>
        <x:v>1020</x:v>
      </x:c>
      <x:c r="AN208" s="119" t="n">
        <x:f>IF(5&gt;D208,0,MAX(2,MIN('难度参数'!$E$12,ROUND(('难度参数'!$E$18*POWER(A208,'难度参数'!$E$19)/D208*(0.85+0.3*(5-1)/MAX(1,D208-1))),0)+F208)))</x:f>
        <x:v>32</x:v>
      </x:c>
      <x:c r="AO208" s="119" t="n">
        <x:f>IF(5&gt;D208,0,ROUND(('难度参数'!$E$13*POWER(A208,'难度参数'!$E$20)*MIN('难度参数'!$E$23,1+MAX(0,A208-'难度参数'!$E$21)*'难度参数'!$E$22))*(36+5*7)/(36+7*(D208+1)/2)*E208,0))</x:f>
        <x:v>6843</x:v>
      </x:c>
      <x:c r="AP208" s="119" t="n">
        <x:f>IF(AN208=0,0,(AN208-IF(5=D208,1,0))*ROUND(AO208*VLOOKUP(INDEX('章节与怪物'!$E$31:$K$37,B208,5),'章节与怪物'!$A$41:$F$44,2,FALSE),0)+IF(5=D208,ROUND(AO208*'难度参数'!$E$28*'章节与怪物'!$E$17,0),0))</x:f>
        <x:v>218976</x:v>
      </x:c>
      <x:c r="AQ208" s="119" t="n">
        <x:f>IF(AN208=0,0,(AN208-IF(5=D208,1,0))*VLOOKUP(INDEX('章节与怪物'!$E$31:$K$37,B208,5),'章节与怪物'!$A$41:$F$44,4,FALSE)+IF(5=D208,'难度参数'!$E$30,0))</x:f>
        <x:v>576</x:v>
      </x:c>
      <x:c r="AR208" s="119" t="n">
        <x:f>IF(6&gt;D208,0,MAX(2,MIN('难度参数'!$E$12,ROUND(('难度参数'!$E$18*POWER(A208,'难度参数'!$E$19)/D208*(0.85+0.3*(6-1)/MAX(1,D208-1))),0)+F208)))</x:f>
        <x:v>33</x:v>
      </x:c>
      <x:c r="AS208" s="119" t="n">
        <x:f>IF(6&gt;D208,0,ROUND(('难度参数'!$E$13*POWER(A208,'难度参数'!$E$20)*MIN('难度参数'!$E$23,1+MAX(0,A208-'难度参数'!$E$21)*'难度参数'!$E$22))*(36+6*7)/(36+7*(D208+1)/2)*E208,0))</x:f>
        <x:v>7518</x:v>
      </x:c>
      <x:c r="AT208" s="119" t="n">
        <x:f>IF(AR208=0,0,(AR208-IF(6=D208,1,0))*ROUND(AS208*VLOOKUP(INDEX('章节与怪物'!$E$31:$K$37,B208,6),'章节与怪物'!$A$41:$F$44,2,FALSE),0)+IF(6=D208,ROUND(AS208*'难度参数'!$E$28*'章节与怪物'!$E$17,0),0))</x:f>
        <x:v>421773</x:v>
      </x:c>
      <x:c r="AU208" s="119" t="n">
        <x:f>IF(AR208=0,0,(AR208-IF(6=D208,1,0))*VLOOKUP(INDEX('章节与怪物'!$E$31:$K$37,B208,6),'章节与怪物'!$A$41:$F$44,4,FALSE)+IF(6=D208,'难度参数'!$E$30,0))</x:f>
        <x:v>924</x:v>
      </x:c>
      <x:c r="AV208" s="119" t="n">
        <x:f>IF(7&gt;D208,0,MAX(2,MIN('难度参数'!$E$12,ROUND(('难度参数'!$E$18*POWER(A208,'难度参数'!$E$19)/D208*(0.85+0.3*(7-1)/MAX(1,D208-1))),0)+F208)))</x:f>
        <x:v>35</x:v>
      </x:c>
      <x:c r="AW208" s="119" t="n">
        <x:f>IF(7&gt;D208,0,ROUND(('难度参数'!$E$13*POWER(A208,'难度参数'!$E$20)*MIN('难度参数'!$E$23,1+MAX(0,A208-'难度参数'!$E$21)*'难度参数'!$E$22))*(36+7*7)/(36+7*(D208+1)/2)*E208,0))</x:f>
        <x:v>8193</x:v>
      </x:c>
      <x:c r="AX208" s="119" t="n">
        <x:f>IF(AV208=0,0,(AV208-IF(7=D208,1,0))*ROUND(AW208*VLOOKUP(INDEX('章节与怪物'!$E$31:$K$37,B208,7),'章节与怪物'!$A$41:$F$44,2,FALSE),0)+IF(7=D208,ROUND(AW208*'难度参数'!$E$28*'章节与怪物'!$E$17,0),0))</x:f>
        <x:v>431786</x:v>
      </x:c>
      <x:c r="AY208" s="119" t="n">
        <x:f>IF(AV208=0,0,(AV208-IF(7=D208,1,0))*VLOOKUP(INDEX('章节与怪物'!$E$31:$K$37,B208,7),'章节与怪物'!$A$41:$F$44,4,FALSE)+IF(7=D208,'难度参数'!$E$30,0))</x:f>
        <x:v>1356</x:v>
      </x:c>
    </x:row>
    <x:row r="209" ht="23" customHeight="1">
      <x:c r="A209" s="119" t="n">
        <x:v>203</x:v>
      </x:c>
      <x:c r="B209" s="119" t="n">
        <x:f>MOD(INT((A209-1)/5),7)+1</x:f>
        <x:v>6</x:v>
      </x:c>
      <x:c r="C209" s="62" t="str">
        <x:f>INDEX('章节与怪物'!$B$31:$B$37,B209)</x:f>
        <x:v>熔岩山脉</x:v>
      </x:c>
      <x:c r="D209" s="119" t="n">
        <x:f>MIN('难度参数'!$E$8,MAX('难度参数'!$E$7,A209))</x:f>
        <x:v>7</x:v>
      </x:c>
      <x:c r="E209" s="106" t="n">
        <x:v>1</x:v>
      </x:c>
      <x:c r="F209" s="106" t="n">
        <x:v>0</x:v>
      </x:c>
      <x:c r="G209" s="106" t="n">
        <x:v>1</x:v>
      </x:c>
      <x:c r="H209" s="119" t="n">
        <x:f>SUM(X209,AB209,AF209,AJ209,AN209,AR209,AV209)</x:f>
        <x:v>212</x:v>
      </x:c>
      <x:c r="I209" s="119" t="n">
        <x:f>SUM(Z209,AD209,AH209,AL209,AP209,AT209,AX209)</x:f>
        <x:v>1807321</x:v>
      </x:c>
      <x:c r="J209" s="119" t="n">
        <x:f>ROUND(INDEX(X209:AY209,1,(D209-1)*4+2)*'难度参数'!$E$28*'章节与怪物'!$E$17,0)</x:f>
        <x:v>55910</x:v>
      </x:c>
      <x:c r="K209" s="119" t="n">
        <x:f>SUM(AA209,AE209,AI209,AM209,AQ209,AU209,AY209)</x:f>
        <x:v>5694</x:v>
      </x:c>
      <x:c r="L209" s="62" t="n">
        <x:f>H209*(ROUNDUP('难度参数'!$E$24/('难度参数'!$E$26*'难度参数'!$E$27),0)*'难度参数'!$E$26)/60</x:f>
        <x:v>2.826666666666667</x:v>
      </x:c>
      <x:c r="M209" s="62" t="n">
        <x:f>L209+D209*('难度参数'!$E$49+'难度参数'!$E$50)/60</x:f>
        <x:v>3.993333333333334</x:v>
      </x:c>
      <x:c r="N209" s="119" t="n">
        <x:f>ROUNDDOWN(('经济参数'!$E$20+A209*'经济参数'!$E$21)*G209,0)</x:f>
        <x:v>4240</x:v>
      </x:c>
      <x:c r="O209" s="119" t="n">
        <x:f>ROUNDDOWN(MIN('经济参数'!$E$24,'经济参数'!$E$22+A209*'经济参数'!$E$23)*G209,0)</x:f>
        <x:v>0</x:v>
      </x:c>
      <x:c r="P209" s="119" t="n">
        <x:f>ROUNDDOWN((IF(A209&gt;='材料与任务'!$E$31,'材料与任务'!$E$32,IF(A209&gt;='材料与任务'!$E$25,'材料与任务'!$E$26,IF(A209&gt;='材料与任务'!$E$19,'材料与任务'!$E$20,IF(A209&gt;='材料与任务'!$E$13,'材料与任务'!$E$14,'材料与任务'!$E$8)))))*G209,0)</x:f>
        <x:v>6</x:v>
      </x:c>
      <x:c r="Q209" s="119" t="n">
        <x:f>ROUNDDOWN((IF(A209&gt;='材料与任务'!$E$31,'材料与任务'!$E$33,IF(A209&gt;='材料与任务'!$E$25,'材料与任务'!$E$27,IF(A209&gt;='材料与任务'!$E$19,'材料与任务'!$E$21,IF(A209&gt;='材料与任务'!$E$13,'材料与任务'!$E$15,'材料与任务'!$E$9)))))*G209,0)</x:f>
        <x:v>3</x:v>
      </x:c>
      <x:c r="R209" s="110" t="n">
        <x:f>'装备掉落'!$B$38</x:f>
        <x:v>0.6872058758851213</x:v>
      </x:c>
      <x:c r="S209" s="119" t="n">
        <x:f>MAX(IF(VLOOKUP(A209,'装备掉落'!$A$29:$H$34,2,TRUE)&gt;0,1,0),IF(VLOOKUP(A209,'装备掉落'!$A$29:$H$34,3,TRUE)&gt;0,2,0),IF(VLOOKUP(A209,'装备掉落'!$A$29:$H$34,4,TRUE)&gt;0,3,0),IF(VLOOKUP(A209,'装备掉落'!$A$29:$H$34,5,TRUE)&gt;0,4,0),IF(VLOOKUP(A209,'装备掉落'!$A$29:$H$34,6,TRUE)&gt;0,5,0),IF(VLOOKUP(A209,'装备掉落'!$A$29:$H$34,7,TRUE)&gt;0,6,0),IF(VLOOKUP(A209,'装备掉落'!$A$29:$H$34,8,TRUE)&gt;0,7,0))</x:f>
        <x:v>7</x:v>
      </x:c>
      <x:c r="T209" s="119" t="n">
        <x:f>MIN(7,S209+'经济参数'!$E$70)</x:f>
        <x:v>7</x:v>
      </x:c>
      <x:c r="U209" s="119" t="n">
        <x:f>MIN(7,S209+'经济参数'!$E$71)</x:f>
        <x:v>7</x:v>
      </x:c>
      <x:c r="V209" s="119" t="n">
        <x:f>IF(H209&gt;=('难度参数'!$E$52),1,0)+IF(H209&gt;=('难度参数'!$E$52+'难度参数'!$E$53),1,0)+IF(H209&gt;=('难度参数'!$E$52+'难度参数'!$E$53+'难度参数'!$E$54),1,0)+IF(H209&gt;=('难度参数'!$E$52+'难度参数'!$E$53+'难度参数'!$E$54+'难度参数'!$E$55),1,0)+IF(H209&gt;=('难度参数'!$E$52+'难度参数'!$E$53+'难度参数'!$E$54+'难度参数'!$E$55+'难度参数'!$E$56),1,0)+IF(H209&gt;=('难度参数'!$E$52+'难度参数'!$E$53+'难度参数'!$E$54+'难度参数'!$E$55+'难度参数'!$E$56+'难度参数'!$E$57),1,0)</x:f>
        <x:v>6</x:v>
      </x:c>
      <x:c r="W209" s="62" t="str">
        <x:f>IF(L209&gt;'难度参数'!$E$51,"仅出怪已超目标","还需实测")</x:f>
        <x:v>还需实测</x:v>
      </x:c>
      <x:c r="X209" s="119" t="n">
        <x:f>IF(1&gt;D209,0,MAX(2,MIN('难度参数'!$E$12,ROUND(('难度参数'!$E$18*POWER(A209,'难度参数'!$E$19)/D209*(0.85+0.3*(1-1)/MAX(1,D209-1))),0)+F209)))</x:f>
        <x:v>26</x:v>
      </x:c>
      <x:c r="Y209" s="119" t="n">
        <x:f>IF(1&gt;D209,0,ROUND(('难度参数'!$E$13*POWER(A209,'难度参数'!$E$20)*MIN('难度参数'!$E$23,1+MAX(0,A209-'难度参数'!$E$21)*'难度参数'!$E$22))*(36+1*7)/(36+7*(D209+1)/2)*E209,0))</x:f>
        <x:v>4159</x:v>
      </x:c>
      <x:c r="Z209" s="119" t="n">
        <x:f>IF(X209=0,0,(X209-IF(1=D209,1,0))*ROUND(Y209*VLOOKUP(INDEX('章节与怪物'!$E$31:$K$37,B209,1),'章节与怪物'!$A$41:$F$44,2,FALSE),0)+IF(1=D209,ROUND(Y209*'难度参数'!$E$28*'章节与怪物'!$E$17,0),0))</x:f>
        <x:v>77844</x:v>
      </x:c>
      <x:c r="AA209" s="119" t="n">
        <x:f>IF(X209=0,0,(X209-IF(1=D209,1,0))*VLOOKUP(INDEX('章节与怪物'!$E$31:$K$37,B209,1),'章节与怪物'!$A$41:$F$44,4,FALSE)+IF(1=D209,'难度参数'!$E$30,0))</x:f>
        <x:v>520</x:v>
      </x:c>
      <x:c r="AB209" s="119" t="n">
        <x:f>IF(2&gt;D209,0,MAX(2,MIN('难度参数'!$E$12,ROUND(('难度参数'!$E$18*POWER(A209,'难度参数'!$E$19)/D209*(0.85+0.3*(2-1)/MAX(1,D209-1))),0)+F209)))</x:f>
        <x:v>27</x:v>
      </x:c>
      <x:c r="AC209" s="119" t="n">
        <x:f>IF(2&gt;D209,0,ROUND(('难度参数'!$E$13*POWER(A209,'难度参数'!$E$20)*MIN('难度参数'!$E$23,1+MAX(0,A209-'难度参数'!$E$21)*'难度参数'!$E$22))*(36+2*7)/(36+7*(D209+1)/2)*E209,0))</x:f>
        <x:v>4836</x:v>
      </x:c>
      <x:c r="AD209" s="119" t="n">
        <x:f>IF(AB209=0,0,(AB209-IF(2=D209,1,0))*ROUND(AC209*VLOOKUP(INDEX('章节与怪物'!$E$31:$K$37,B209,2),'章节与怪物'!$A$41:$F$44,2,FALSE),0)+IF(2=D209,ROUND(AC209*'难度参数'!$E$28*'章节与怪物'!$E$17,0),0))</x:f>
        <x:v>130572</x:v>
      </x:c>
      <x:c r="AE209" s="119" t="n">
        <x:f>IF(AB209=0,0,(AB209-IF(2=D209,1,0))*VLOOKUP(INDEX('章节与怪物'!$E$31:$K$37,B209,2),'章节与怪物'!$A$41:$F$44,4,FALSE)+IF(2=D209,'难度参数'!$E$30,0))</x:f>
        <x:v>486</x:v>
      </x:c>
      <x:c r="AF209" s="119" t="n">
        <x:f>IF(3&gt;D209,0,MAX(2,MIN('难度参数'!$E$12,ROUND(('难度参数'!$E$18*POWER(A209,'难度参数'!$E$19)/D209*(0.85+0.3*(3-1)/MAX(1,D209-1))),0)+F209)))</x:f>
        <x:v>29</x:v>
      </x:c>
      <x:c r="AG209" s="119" t="n">
        <x:f>IF(3&gt;D209,0,ROUND(('难度参数'!$E$13*POWER(A209,'难度参数'!$E$20)*MIN('难度参数'!$E$23,1+MAX(0,A209-'难度参数'!$E$21)*'难度参数'!$E$22))*(36+3*7)/(36+7*(D209+1)/2)*E209,0))</x:f>
        <x:v>5513</x:v>
      </x:c>
      <x:c r="AH209" s="119" t="n">
        <x:f>IF(AF209=0,0,(AF209-IF(3=D209,1,0))*ROUND(AG209*VLOOKUP(INDEX('章节与怪物'!$E$31:$K$37,B209,3),'章节与怪物'!$A$41:$F$44,2,FALSE),0)+IF(3=D209,ROUND(AG209*'难度参数'!$E$28*'章节与怪物'!$E$17,0),0))</x:f>
        <x:v>271788</x:v>
      </x:c>
      <x:c r="AI209" s="119" t="n">
        <x:f>IF(AF209=0,0,(AF209-IF(3=D209,1,0))*VLOOKUP(INDEX('章节与怪物'!$E$31:$K$37,B209,3),'章节与怪物'!$A$41:$F$44,4,FALSE)+IF(3=D209,'难度参数'!$E$30,0))</x:f>
        <x:v>812</x:v>
      </x:c>
      <x:c r="AJ209" s="119" t="n">
        <x:f>IF(4&gt;D209,0,MAX(2,MIN('难度参数'!$E$12,ROUND(('难度参数'!$E$18*POWER(A209,'难度参数'!$E$19)/D209*(0.85+0.3*(4-1)/MAX(1,D209-1))),0)+F209)))</x:f>
        <x:v>30</x:v>
      </x:c>
      <x:c r="AK209" s="119" t="n">
        <x:f>IF(4&gt;D209,0,ROUND(('难度参数'!$E$13*POWER(A209,'难度参数'!$E$20)*MIN('难度参数'!$E$23,1+MAX(0,A209-'难度参数'!$E$21)*'难度参数'!$E$22))*(36+4*7)/(36+7*(D209+1)/2)*E209,0))</x:f>
        <x:v>6191</x:v>
      </x:c>
      <x:c r="AL209" s="119" t="n">
        <x:f>IF(AJ209=0,0,(AJ209-IF(4=D209,1,0))*ROUND(AK209*VLOOKUP(INDEX('章节与怪物'!$E$31:$K$37,B209,4),'章节与怪物'!$A$41:$F$44,2,FALSE),0)+IF(4=D209,ROUND(AK209*'难度参数'!$E$28*'章节与怪物'!$E$17,0),0))</x:f>
        <x:v>250740</x:v>
      </x:c>
      <x:c r="AM209" s="119" t="n">
        <x:f>IF(AJ209=0,0,(AJ209-IF(4=D209,1,0))*VLOOKUP(INDEX('章节与怪物'!$E$31:$K$37,B209,4),'章节与怪物'!$A$41:$F$44,4,FALSE)+IF(4=D209,'难度参数'!$E$30,0))</x:f>
        <x:v>1020</x:v>
      </x:c>
      <x:c r="AN209" s="119" t="n">
        <x:f>IF(5&gt;D209,0,MAX(2,MIN('难度参数'!$E$12,ROUND(('难度参数'!$E$18*POWER(A209,'难度参数'!$E$19)/D209*(0.85+0.3*(5-1)/MAX(1,D209-1))),0)+F209)))</x:f>
        <x:v>32</x:v>
      </x:c>
      <x:c r="AO209" s="119" t="n">
        <x:f>IF(5&gt;D209,0,ROUND(('难度参数'!$E$13*POWER(A209,'难度参数'!$E$20)*MIN('难度参数'!$E$23,1+MAX(0,A209-'难度参数'!$E$21)*'难度参数'!$E$22))*(36+5*7)/(36+7*(D209+1)/2)*E209,0))</x:f>
        <x:v>6868</x:v>
      </x:c>
      <x:c r="AP209" s="119" t="n">
        <x:f>IF(AN209=0,0,(AN209-IF(5=D209,1,0))*ROUND(AO209*VLOOKUP(INDEX('章节与怪物'!$E$31:$K$37,B209,5),'章节与怪物'!$A$41:$F$44,2,FALSE),0)+IF(5=D209,ROUND(AO209*'难度参数'!$E$28*'章节与怪物'!$E$17,0),0))</x:f>
        <x:v>219776</x:v>
      </x:c>
      <x:c r="AQ209" s="119" t="n">
        <x:f>IF(AN209=0,0,(AN209-IF(5=D209,1,0))*VLOOKUP(INDEX('章节与怪物'!$E$31:$K$37,B209,5),'章节与怪物'!$A$41:$F$44,4,FALSE)+IF(5=D209,'难度参数'!$E$30,0))</x:f>
        <x:v>576</x:v>
      </x:c>
      <x:c r="AR209" s="119" t="n">
        <x:f>IF(6&gt;D209,0,MAX(2,MIN('难度参数'!$E$12,ROUND(('难度参数'!$E$18*POWER(A209,'难度参数'!$E$19)/D209*(0.85+0.3*(6-1)/MAX(1,D209-1))),0)+F209)))</x:f>
        <x:v>33</x:v>
      </x:c>
      <x:c r="AS209" s="119" t="n">
        <x:f>IF(6&gt;D209,0,ROUND(('难度参数'!$E$13*POWER(A209,'难度参数'!$E$20)*MIN('难度参数'!$E$23,1+MAX(0,A209-'难度参数'!$E$21)*'难度参数'!$E$22))*(36+6*7)/(36+7*(D209+1)/2)*E209,0))</x:f>
        <x:v>7545</x:v>
      </x:c>
      <x:c r="AT209" s="119" t="n">
        <x:f>IF(AR209=0,0,(AR209-IF(6=D209,1,0))*ROUND(AS209*VLOOKUP(INDEX('章节与怪物'!$E$31:$K$37,B209,6),'章节与怪物'!$A$41:$F$44,2,FALSE),0)+IF(6=D209,ROUND(AS209*'难度参数'!$E$28*'章节与怪物'!$E$17,0),0))</x:f>
        <x:v>423291</x:v>
      </x:c>
      <x:c r="AU209" s="119" t="n">
        <x:f>IF(AR209=0,0,(AR209-IF(6=D209,1,0))*VLOOKUP(INDEX('章节与怪物'!$E$31:$K$37,B209,6),'章节与怪物'!$A$41:$F$44,4,FALSE)+IF(6=D209,'难度参数'!$E$30,0))</x:f>
        <x:v>924</x:v>
      </x:c>
      <x:c r="AV209" s="119" t="n">
        <x:f>IF(7&gt;D209,0,MAX(2,MIN('难度参数'!$E$12,ROUND(('难度参数'!$E$18*POWER(A209,'难度参数'!$E$19)/D209*(0.85+0.3*(7-1)/MAX(1,D209-1))),0)+F209)))</x:f>
        <x:v>35</x:v>
      </x:c>
      <x:c r="AW209" s="119" t="n">
        <x:f>IF(7&gt;D209,0,ROUND(('难度参数'!$E$13*POWER(A209,'难度参数'!$E$20)*MIN('难度参数'!$E$23,1+MAX(0,A209-'难度参数'!$E$21)*'难度参数'!$E$22))*(36+7*7)/(36+7*(D209+1)/2)*E209,0))</x:f>
        <x:v>8222</x:v>
      </x:c>
      <x:c r="AX209" s="119" t="n">
        <x:f>IF(AV209=0,0,(AV209-IF(7=D209,1,0))*ROUND(AW209*VLOOKUP(INDEX('章节与怪物'!$E$31:$K$37,B209,7),'章节与怪物'!$A$41:$F$44,2,FALSE),0)+IF(7=D209,ROUND(AW209*'难度参数'!$E$28*'章节与怪物'!$E$17,0),0))</x:f>
        <x:v>433310</x:v>
      </x:c>
      <x:c r="AY209" s="119" t="n">
        <x:f>IF(AV209=0,0,(AV209-IF(7=D209,1,0))*VLOOKUP(INDEX('章节与怪物'!$E$31:$K$37,B209,7),'章节与怪物'!$A$41:$F$44,4,FALSE)+IF(7=D209,'难度参数'!$E$30,0))</x:f>
        <x:v>1356</x:v>
      </x:c>
    </x:row>
    <x:row r="210" ht="23" customHeight="1">
      <x:c r="A210" s="119" t="n">
        <x:v>204</x:v>
      </x:c>
      <x:c r="B210" s="119" t="n">
        <x:f>MOD(INT((A210-1)/5),7)+1</x:f>
        <x:v>6</x:v>
      </x:c>
      <x:c r="C210" s="62" t="str">
        <x:f>INDEX('章节与怪物'!$B$31:$B$37,B210)</x:f>
        <x:v>熔岩山脉</x:v>
      </x:c>
      <x:c r="D210" s="119" t="n">
        <x:f>MIN('难度参数'!$E$8,MAX('难度参数'!$E$7,A210))</x:f>
        <x:v>7</x:v>
      </x:c>
      <x:c r="E210" s="106" t="n">
        <x:v>1</x:v>
      </x:c>
      <x:c r="F210" s="106" t="n">
        <x:v>0</x:v>
      </x:c>
      <x:c r="G210" s="106" t="n">
        <x:v>1</x:v>
      </x:c>
      <x:c r="H210" s="119" t="n">
        <x:f>SUM(X210,AB210,AF210,AJ210,AN210,AR210,AV210)</x:f>
        <x:v>212</x:v>
      </x:c>
      <x:c r="I210" s="119" t="n">
        <x:f>SUM(Z210,AD210,AH210,AL210,AP210,AT210,AX210)</x:f>
        <x:v>1813755</x:v>
      </x:c>
      <x:c r="J210" s="119" t="n">
        <x:f>ROUND(INDEX(X210:AY210,1,(D210-1)*4+2)*'难度参数'!$E$28*'章节与怪物'!$E$17,0)</x:f>
        <x:v>56107</x:v>
      </x:c>
      <x:c r="K210" s="119" t="n">
        <x:f>SUM(AA210,AE210,AI210,AM210,AQ210,AU210,AY210)</x:f>
        <x:v>5694</x:v>
      </x:c>
      <x:c r="L210" s="62" t="n">
        <x:f>H210*(ROUNDUP('难度参数'!$E$24/('难度参数'!$E$26*'难度参数'!$E$27),0)*'难度参数'!$E$26)/60</x:f>
        <x:v>2.826666666666667</x:v>
      </x:c>
      <x:c r="M210" s="62" t="n">
        <x:f>L210+D210*('难度参数'!$E$49+'难度参数'!$E$50)/60</x:f>
        <x:v>3.993333333333334</x:v>
      </x:c>
      <x:c r="N210" s="119" t="n">
        <x:f>ROUNDDOWN(('经济参数'!$E$20+A210*'经济参数'!$E$21)*G210,0)</x:f>
        <x:v>4260</x:v>
      </x:c>
      <x:c r="O210" s="119" t="n">
        <x:f>ROUNDDOWN(MIN('经济参数'!$E$24,'经济参数'!$E$22+A210*'经济参数'!$E$23)*G210,0)</x:f>
        <x:v>0</x:v>
      </x:c>
      <x:c r="P210" s="119" t="n">
        <x:f>ROUNDDOWN((IF(A210&gt;='材料与任务'!$E$31,'材料与任务'!$E$32,IF(A210&gt;='材料与任务'!$E$25,'材料与任务'!$E$26,IF(A210&gt;='材料与任务'!$E$19,'材料与任务'!$E$20,IF(A210&gt;='材料与任务'!$E$13,'材料与任务'!$E$14,'材料与任务'!$E$8)))))*G210,0)</x:f>
        <x:v>6</x:v>
      </x:c>
      <x:c r="Q210" s="119" t="n">
        <x:f>ROUNDDOWN((IF(A210&gt;='材料与任务'!$E$31,'材料与任务'!$E$33,IF(A210&gt;='材料与任务'!$E$25,'材料与任务'!$E$27,IF(A210&gt;='材料与任务'!$E$19,'材料与任务'!$E$21,IF(A210&gt;='材料与任务'!$E$13,'材料与任务'!$E$15,'材料与任务'!$E$9)))))*G210,0)</x:f>
        <x:v>3</x:v>
      </x:c>
      <x:c r="R210" s="110" t="n">
        <x:f>'装备掉落'!$B$38</x:f>
        <x:v>0.6872058758851213</x:v>
      </x:c>
      <x:c r="S210" s="119" t="n">
        <x:f>MAX(IF(VLOOKUP(A210,'装备掉落'!$A$29:$H$34,2,TRUE)&gt;0,1,0),IF(VLOOKUP(A210,'装备掉落'!$A$29:$H$34,3,TRUE)&gt;0,2,0),IF(VLOOKUP(A210,'装备掉落'!$A$29:$H$34,4,TRUE)&gt;0,3,0),IF(VLOOKUP(A210,'装备掉落'!$A$29:$H$34,5,TRUE)&gt;0,4,0),IF(VLOOKUP(A210,'装备掉落'!$A$29:$H$34,6,TRUE)&gt;0,5,0),IF(VLOOKUP(A210,'装备掉落'!$A$29:$H$34,7,TRUE)&gt;0,6,0),IF(VLOOKUP(A210,'装备掉落'!$A$29:$H$34,8,TRUE)&gt;0,7,0))</x:f>
        <x:v>7</x:v>
      </x:c>
      <x:c r="T210" s="119" t="n">
        <x:f>MIN(7,S210+'经济参数'!$E$70)</x:f>
        <x:v>7</x:v>
      </x:c>
      <x:c r="U210" s="119" t="n">
        <x:f>MIN(7,S210+'经济参数'!$E$71)</x:f>
        <x:v>7</x:v>
      </x:c>
      <x:c r="V210" s="119" t="n">
        <x:f>IF(H210&gt;=('难度参数'!$E$52),1,0)+IF(H210&gt;=('难度参数'!$E$52+'难度参数'!$E$53),1,0)+IF(H210&gt;=('难度参数'!$E$52+'难度参数'!$E$53+'难度参数'!$E$54),1,0)+IF(H210&gt;=('难度参数'!$E$52+'难度参数'!$E$53+'难度参数'!$E$54+'难度参数'!$E$55),1,0)+IF(H210&gt;=('难度参数'!$E$52+'难度参数'!$E$53+'难度参数'!$E$54+'难度参数'!$E$55+'难度参数'!$E$56),1,0)+IF(H210&gt;=('难度参数'!$E$52+'难度参数'!$E$53+'难度参数'!$E$54+'难度参数'!$E$55+'难度参数'!$E$56+'难度参数'!$E$57),1,0)</x:f>
        <x:v>6</x:v>
      </x:c>
      <x:c r="W210" s="62" t="str">
        <x:f>IF(L210&gt;'难度参数'!$E$51,"仅出怪已超目标","还需实测")</x:f>
        <x:v>还需实测</x:v>
      </x:c>
      <x:c r="X210" s="119" t="n">
        <x:f>IF(1&gt;D210,0,MAX(2,MIN('难度参数'!$E$12,ROUND(('难度参数'!$E$18*POWER(A210,'难度参数'!$E$19)/D210*(0.85+0.3*(1-1)/MAX(1,D210-1))),0)+F210)))</x:f>
        <x:v>26</x:v>
      </x:c>
      <x:c r="Y210" s="119" t="n">
        <x:f>IF(1&gt;D210,0,ROUND(('难度参数'!$E$13*POWER(A210,'难度参数'!$E$20)*MIN('难度参数'!$E$23,1+MAX(0,A210-'难度参数'!$E$21)*'难度参数'!$E$22))*(36+1*7)/(36+7*(D210+1)/2)*E210,0))</x:f>
        <x:v>4174</x:v>
      </x:c>
      <x:c r="Z210" s="119" t="n">
        <x:f>IF(X210=0,0,(X210-IF(1=D210,1,0))*ROUND(Y210*VLOOKUP(INDEX('章节与怪物'!$E$31:$K$37,B210,1),'章节与怪物'!$A$41:$F$44,2,FALSE),0)+IF(1=D210,ROUND(Y210*'难度参数'!$E$28*'章节与怪物'!$E$17,0),0))</x:f>
        <x:v>78130</x:v>
      </x:c>
      <x:c r="AA210" s="119" t="n">
        <x:f>IF(X210=0,0,(X210-IF(1=D210,1,0))*VLOOKUP(INDEX('章节与怪物'!$E$31:$K$37,B210,1),'章节与怪物'!$A$41:$F$44,4,FALSE)+IF(1=D210,'难度参数'!$E$30,0))</x:f>
        <x:v>520</x:v>
      </x:c>
      <x:c r="AB210" s="119" t="n">
        <x:f>IF(2&gt;D210,0,MAX(2,MIN('难度参数'!$E$12,ROUND(('难度参数'!$E$18*POWER(A210,'难度参数'!$E$19)/D210*(0.85+0.3*(2-1)/MAX(1,D210-1))),0)+F210)))</x:f>
        <x:v>27</x:v>
      </x:c>
      <x:c r="AC210" s="119" t="n">
        <x:f>IF(2&gt;D210,0,ROUND(('难度参数'!$E$13*POWER(A210,'难度参数'!$E$20)*MIN('难度参数'!$E$23,1+MAX(0,A210-'难度参数'!$E$21)*'难度参数'!$E$22))*(36+2*7)/(36+7*(D210+1)/2)*E210,0))</x:f>
        <x:v>4854</x:v>
      </x:c>
      <x:c r="AD210" s="119" t="n">
        <x:f>IF(AB210=0,0,(AB210-IF(2=D210,1,0))*ROUND(AC210*VLOOKUP(INDEX('章节与怪物'!$E$31:$K$37,B210,2),'章节与怪物'!$A$41:$F$44,2,FALSE),0)+IF(2=D210,ROUND(AC210*'难度参数'!$E$28*'章节与怪物'!$E$17,0),0))</x:f>
        <x:v>131058</x:v>
      </x:c>
      <x:c r="AE210" s="119" t="n">
        <x:f>IF(AB210=0,0,(AB210-IF(2=D210,1,0))*VLOOKUP(INDEX('章节与怪物'!$E$31:$K$37,B210,2),'章节与怪物'!$A$41:$F$44,4,FALSE)+IF(2=D210,'难度参数'!$E$30,0))</x:f>
        <x:v>486</x:v>
      </x:c>
      <x:c r="AF210" s="119" t="n">
        <x:f>IF(3&gt;D210,0,MAX(2,MIN('难度参数'!$E$12,ROUND(('难度参数'!$E$18*POWER(A210,'难度参数'!$E$19)/D210*(0.85+0.3*(3-1)/MAX(1,D210-1))),0)+F210)))</x:f>
        <x:v>29</x:v>
      </x:c>
      <x:c r="AG210" s="119" t="n">
        <x:f>IF(3&gt;D210,0,ROUND(('难度参数'!$E$13*POWER(A210,'难度参数'!$E$20)*MIN('难度参数'!$E$23,1+MAX(0,A210-'难度参数'!$E$21)*'难度参数'!$E$22))*(36+3*7)/(36+7*(D210+1)/2)*E210,0))</x:f>
        <x:v>5533</x:v>
      </x:c>
      <x:c r="AH210" s="119" t="n">
        <x:f>IF(AF210=0,0,(AF210-IF(3=D210,1,0))*ROUND(AG210*VLOOKUP(INDEX('章节与怪物'!$E$31:$K$37,B210,3),'章节与怪物'!$A$41:$F$44,2,FALSE),0)+IF(3=D210,ROUND(AG210*'难度参数'!$E$28*'章节与怪物'!$E$17,0),0))</x:f>
        <x:v>272774</x:v>
      </x:c>
      <x:c r="AI210" s="119" t="n">
        <x:f>IF(AF210=0,0,(AF210-IF(3=D210,1,0))*VLOOKUP(INDEX('章节与怪物'!$E$31:$K$37,B210,3),'章节与怪物'!$A$41:$F$44,4,FALSE)+IF(3=D210,'难度参数'!$E$30,0))</x:f>
        <x:v>812</x:v>
      </x:c>
      <x:c r="AJ210" s="119" t="n">
        <x:f>IF(4&gt;D210,0,MAX(2,MIN('难度参数'!$E$12,ROUND(('难度参数'!$E$18*POWER(A210,'难度参数'!$E$19)/D210*(0.85+0.3*(4-1)/MAX(1,D210-1))),0)+F210)))</x:f>
        <x:v>30</x:v>
      </x:c>
      <x:c r="AK210" s="119" t="n">
        <x:f>IF(4&gt;D210,0,ROUND(('难度参数'!$E$13*POWER(A210,'难度参数'!$E$20)*MIN('难度参数'!$E$23,1+MAX(0,A210-'难度参数'!$E$21)*'难度参数'!$E$22))*(36+4*7)/(36+7*(D210+1)/2)*E210,0))</x:f>
        <x:v>6213</x:v>
      </x:c>
      <x:c r="AL210" s="119" t="n">
        <x:f>IF(AJ210=0,0,(AJ210-IF(4=D210,1,0))*ROUND(AK210*VLOOKUP(INDEX('章节与怪物'!$E$31:$K$37,B210,4),'章节与怪物'!$A$41:$F$44,2,FALSE),0)+IF(4=D210,ROUND(AK210*'难度参数'!$E$28*'章节与怪物'!$E$17,0),0))</x:f>
        <x:v>251640</x:v>
      </x:c>
      <x:c r="AM210" s="119" t="n">
        <x:f>IF(AJ210=0,0,(AJ210-IF(4=D210,1,0))*VLOOKUP(INDEX('章节与怪物'!$E$31:$K$37,B210,4),'章节与怪物'!$A$41:$F$44,4,FALSE)+IF(4=D210,'难度参数'!$E$30,0))</x:f>
        <x:v>1020</x:v>
      </x:c>
      <x:c r="AN210" s="119" t="n">
        <x:f>IF(5&gt;D210,0,MAX(2,MIN('难度参数'!$E$12,ROUND(('难度参数'!$E$18*POWER(A210,'难度参数'!$E$19)/D210*(0.85+0.3*(5-1)/MAX(1,D210-1))),0)+F210)))</x:f>
        <x:v>32</x:v>
      </x:c>
      <x:c r="AO210" s="119" t="n">
        <x:f>IF(5&gt;D210,0,ROUND(('难度参数'!$E$13*POWER(A210,'难度参数'!$E$20)*MIN('难度参数'!$E$23,1+MAX(0,A210-'难度参数'!$E$21)*'难度参数'!$E$22))*(36+5*7)/(36+7*(D210+1)/2)*E210,0))</x:f>
        <x:v>6892</x:v>
      </x:c>
      <x:c r="AP210" s="119" t="n">
        <x:f>IF(AN210=0,0,(AN210-IF(5=D210,1,0))*ROUND(AO210*VLOOKUP(INDEX('章节与怪物'!$E$31:$K$37,B210,5),'章节与怪物'!$A$41:$F$44,2,FALSE),0)+IF(5=D210,ROUND(AO210*'难度参数'!$E$28*'章节与怪物'!$E$17,0),0))</x:f>
        <x:v>220544</x:v>
      </x:c>
      <x:c r="AQ210" s="119" t="n">
        <x:f>IF(AN210=0,0,(AN210-IF(5=D210,1,0))*VLOOKUP(INDEX('章节与怪物'!$E$31:$K$37,B210,5),'章节与怪物'!$A$41:$F$44,4,FALSE)+IF(5=D210,'难度参数'!$E$30,0))</x:f>
        <x:v>576</x:v>
      </x:c>
      <x:c r="AR210" s="119" t="n">
        <x:f>IF(6&gt;D210,0,MAX(2,MIN('难度参数'!$E$12,ROUND(('难度参数'!$E$18*POWER(A210,'难度参数'!$E$19)/D210*(0.85+0.3*(6-1)/MAX(1,D210-1))),0)+F210)))</x:f>
        <x:v>33</x:v>
      </x:c>
      <x:c r="AS210" s="119" t="n">
        <x:f>IF(6&gt;D210,0,ROUND(('难度参数'!$E$13*POWER(A210,'难度参数'!$E$20)*MIN('难度参数'!$E$23,1+MAX(0,A210-'难度参数'!$E$21)*'难度参数'!$E$22))*(36+6*7)/(36+7*(D210+1)/2)*E210,0))</x:f>
        <x:v>7572</x:v>
      </x:c>
      <x:c r="AT210" s="119" t="n">
        <x:f>IF(AR210=0,0,(AR210-IF(6=D210,1,0))*ROUND(AS210*VLOOKUP(INDEX('章节与怪物'!$E$31:$K$37,B210,6),'章节与怪物'!$A$41:$F$44,2,FALSE),0)+IF(6=D210,ROUND(AS210*'难度参数'!$E$28*'章节与怪物'!$E$17,0),0))</x:f>
        <x:v>424776</x:v>
      </x:c>
      <x:c r="AU210" s="119" t="n">
        <x:f>IF(AR210=0,0,(AR210-IF(6=D210,1,0))*VLOOKUP(INDEX('章节与怪物'!$E$31:$K$37,B210,6),'章节与怪物'!$A$41:$F$44,4,FALSE)+IF(6=D210,'难度参数'!$E$30,0))</x:f>
        <x:v>924</x:v>
      </x:c>
      <x:c r="AV210" s="119" t="n">
        <x:f>IF(7&gt;D210,0,MAX(2,MIN('难度参数'!$E$12,ROUND(('难度参数'!$E$18*POWER(A210,'难度参数'!$E$19)/D210*(0.85+0.3*(7-1)/MAX(1,D210-1))),0)+F210)))</x:f>
        <x:v>35</x:v>
      </x:c>
      <x:c r="AW210" s="119" t="n">
        <x:f>IF(7&gt;D210,0,ROUND(('难度参数'!$E$13*POWER(A210,'难度参数'!$E$20)*MIN('难度参数'!$E$23,1+MAX(0,A210-'难度参数'!$E$21)*'难度参数'!$E$22))*(36+7*7)/(36+7*(D210+1)/2)*E210,0))</x:f>
        <x:v>8251</x:v>
      </x:c>
      <x:c r="AX210" s="119" t="n">
        <x:f>IF(AV210=0,0,(AV210-IF(7=D210,1,0))*ROUND(AW210*VLOOKUP(INDEX('章节与怪物'!$E$31:$K$37,B210,7),'章节与怪物'!$A$41:$F$44,2,FALSE),0)+IF(7=D210,ROUND(AW210*'难度参数'!$E$28*'章节与怪物'!$E$17,0),0))</x:f>
        <x:v>434833</x:v>
      </x:c>
      <x:c r="AY210" s="119" t="n">
        <x:f>IF(AV210=0,0,(AV210-IF(7=D210,1,0))*VLOOKUP(INDEX('章节与怪物'!$E$31:$K$37,B210,7),'章节与怪物'!$A$41:$F$44,4,FALSE)+IF(7=D210,'难度参数'!$E$30,0))</x:f>
        <x:v>1356</x:v>
      </x:c>
    </x:row>
    <x:row r="211" ht="23" customHeight="1">
      <x:c r="A211" s="119" t="n">
        <x:v>205</x:v>
      </x:c>
      <x:c r="B211" s="119" t="n">
        <x:f>MOD(INT((A211-1)/5),7)+1</x:f>
        <x:v>6</x:v>
      </x:c>
      <x:c r="C211" s="62" t="str">
        <x:f>INDEX('章节与怪物'!$B$31:$B$37,B211)</x:f>
        <x:v>熔岩山脉</x:v>
      </x:c>
      <x:c r="D211" s="119" t="n">
        <x:f>MIN('难度参数'!$E$8,MAX('难度参数'!$E$7,A211))</x:f>
        <x:v>7</x:v>
      </x:c>
      <x:c r="E211" s="106" t="n">
        <x:v>1</x:v>
      </x:c>
      <x:c r="F211" s="106" t="n">
        <x:v>0</x:v>
      </x:c>
      <x:c r="G211" s="106" t="n">
        <x:v>1</x:v>
      </x:c>
      <x:c r="H211" s="119" t="n">
        <x:f>SUM(X211,AB211,AF211,AJ211,AN211,AR211,AV211)</x:f>
        <x:v>212</x:v>
      </x:c>
      <x:c r="I211" s="119" t="n">
        <x:f>SUM(Z211,AD211,AH211,AL211,AP211,AT211,AX211)</x:f>
        <x:v>1820102</x:v>
      </x:c>
      <x:c r="J211" s="119" t="n">
        <x:f>ROUND(INDEX(X211:AY211,1,(D211-1)*4+2)*'难度参数'!$E$28*'章节与怪物'!$E$17,0)</x:f>
        <x:v>56304</x:v>
      </x:c>
      <x:c r="K211" s="119" t="n">
        <x:f>SUM(AA211,AE211,AI211,AM211,AQ211,AU211,AY211)</x:f>
        <x:v>5694</x:v>
      </x:c>
      <x:c r="L211" s="62" t="n">
        <x:f>H211*(ROUNDUP('难度参数'!$E$24/('难度参数'!$E$26*'难度参数'!$E$27),0)*'难度参数'!$E$26)/60</x:f>
        <x:v>2.826666666666667</x:v>
      </x:c>
      <x:c r="M211" s="62" t="n">
        <x:f>L211+D211*('难度参数'!$E$49+'难度参数'!$E$50)/60</x:f>
        <x:v>3.993333333333334</x:v>
      </x:c>
      <x:c r="N211" s="119" t="n">
        <x:f>ROUNDDOWN(('经济参数'!$E$20+A211*'经济参数'!$E$21)*G211,0)</x:f>
        <x:v>4280</x:v>
      </x:c>
      <x:c r="O211" s="119" t="n">
        <x:f>ROUNDDOWN(MIN('经济参数'!$E$24,'经济参数'!$E$22+A211*'经济参数'!$E$23)*G211,0)</x:f>
        <x:v>0</x:v>
      </x:c>
      <x:c r="P211" s="119" t="n">
        <x:f>ROUNDDOWN((IF(A211&gt;='材料与任务'!$E$31,'材料与任务'!$E$32,IF(A211&gt;='材料与任务'!$E$25,'材料与任务'!$E$26,IF(A211&gt;='材料与任务'!$E$19,'材料与任务'!$E$20,IF(A211&gt;='材料与任务'!$E$13,'材料与任务'!$E$14,'材料与任务'!$E$8)))))*G211,0)</x:f>
        <x:v>6</x:v>
      </x:c>
      <x:c r="Q211" s="119" t="n">
        <x:f>ROUNDDOWN((IF(A211&gt;='材料与任务'!$E$31,'材料与任务'!$E$33,IF(A211&gt;='材料与任务'!$E$25,'材料与任务'!$E$27,IF(A211&gt;='材料与任务'!$E$19,'材料与任务'!$E$21,IF(A211&gt;='材料与任务'!$E$13,'材料与任务'!$E$15,'材料与任务'!$E$9)))))*G211,0)</x:f>
        <x:v>3</x:v>
      </x:c>
      <x:c r="R211" s="110" t="n">
        <x:f>'装备掉落'!$B$38</x:f>
        <x:v>0.6872058758851213</x:v>
      </x:c>
      <x:c r="S211" s="119" t="n">
        <x:f>MAX(IF(VLOOKUP(A211,'装备掉落'!$A$29:$H$34,2,TRUE)&gt;0,1,0),IF(VLOOKUP(A211,'装备掉落'!$A$29:$H$34,3,TRUE)&gt;0,2,0),IF(VLOOKUP(A211,'装备掉落'!$A$29:$H$34,4,TRUE)&gt;0,3,0),IF(VLOOKUP(A211,'装备掉落'!$A$29:$H$34,5,TRUE)&gt;0,4,0),IF(VLOOKUP(A211,'装备掉落'!$A$29:$H$34,6,TRUE)&gt;0,5,0),IF(VLOOKUP(A211,'装备掉落'!$A$29:$H$34,7,TRUE)&gt;0,6,0),IF(VLOOKUP(A211,'装备掉落'!$A$29:$H$34,8,TRUE)&gt;0,7,0))</x:f>
        <x:v>7</x:v>
      </x:c>
      <x:c r="T211" s="119" t="n">
        <x:f>MIN(7,S211+'经济参数'!$E$70)</x:f>
        <x:v>7</x:v>
      </x:c>
      <x:c r="U211" s="119" t="n">
        <x:f>MIN(7,S211+'经济参数'!$E$71)</x:f>
        <x:v>7</x:v>
      </x:c>
      <x:c r="V211" s="119" t="n">
        <x:f>IF(H211&gt;=('难度参数'!$E$52),1,0)+IF(H211&gt;=('难度参数'!$E$52+'难度参数'!$E$53),1,0)+IF(H211&gt;=('难度参数'!$E$52+'难度参数'!$E$53+'难度参数'!$E$54),1,0)+IF(H211&gt;=('难度参数'!$E$52+'难度参数'!$E$53+'难度参数'!$E$54+'难度参数'!$E$55),1,0)+IF(H211&gt;=('难度参数'!$E$52+'难度参数'!$E$53+'难度参数'!$E$54+'难度参数'!$E$55+'难度参数'!$E$56),1,0)+IF(H211&gt;=('难度参数'!$E$52+'难度参数'!$E$53+'难度参数'!$E$54+'难度参数'!$E$55+'难度参数'!$E$56+'难度参数'!$E$57),1,0)</x:f>
        <x:v>6</x:v>
      </x:c>
      <x:c r="W211" s="62" t="str">
        <x:f>IF(L211&gt;'难度参数'!$E$51,"仅出怪已超目标","还需实测")</x:f>
        <x:v>还需实测</x:v>
      </x:c>
      <x:c r="X211" s="119" t="n">
        <x:f>IF(1&gt;D211,0,MAX(2,MIN('难度参数'!$E$12,ROUND(('难度参数'!$E$18*POWER(A211,'难度参数'!$E$19)/D211*(0.85+0.3*(1-1)/MAX(1,D211-1))),0)+F211)))</x:f>
        <x:v>26</x:v>
      </x:c>
      <x:c r="Y211" s="119" t="n">
        <x:f>IF(1&gt;D211,0,ROUND(('难度参数'!$E$13*POWER(A211,'难度参数'!$E$20)*MIN('难度参数'!$E$23,1+MAX(0,A211-'难度参数'!$E$21)*'难度参数'!$E$22))*(36+1*7)/(36+7*(D211+1)/2)*E211,0))</x:f>
        <x:v>4189</x:v>
      </x:c>
      <x:c r="Z211" s="119" t="n">
        <x:f>IF(X211=0,0,(X211-IF(1=D211,1,0))*ROUND(Y211*VLOOKUP(INDEX('章节与怪物'!$E$31:$K$37,B211,1),'章节与怪物'!$A$41:$F$44,2,FALSE),0)+IF(1=D211,ROUND(Y211*'难度参数'!$E$28*'章节与怪物'!$E$17,0),0))</x:f>
        <x:v>78416</x:v>
      </x:c>
      <x:c r="AA211" s="119" t="n">
        <x:f>IF(X211=0,0,(X211-IF(1=D211,1,0))*VLOOKUP(INDEX('章节与怪物'!$E$31:$K$37,B211,1),'章节与怪物'!$A$41:$F$44,4,FALSE)+IF(1=D211,'难度参数'!$E$30,0))</x:f>
        <x:v>520</x:v>
      </x:c>
      <x:c r="AB211" s="119" t="n">
        <x:f>IF(2&gt;D211,0,MAX(2,MIN('难度参数'!$E$12,ROUND(('难度参数'!$E$18*POWER(A211,'难度参数'!$E$19)/D211*(0.85+0.3*(2-1)/MAX(1,D211-1))),0)+F211)))</x:f>
        <x:v>27</x:v>
      </x:c>
      <x:c r="AC211" s="119" t="n">
        <x:f>IF(2&gt;D211,0,ROUND(('难度参数'!$E$13*POWER(A211,'难度参数'!$E$20)*MIN('难度参数'!$E$23,1+MAX(0,A211-'难度参数'!$E$21)*'难度参数'!$E$22))*(36+2*7)/(36+7*(D211+1)/2)*E211,0))</x:f>
        <x:v>4871</x:v>
      </x:c>
      <x:c r="AD211" s="119" t="n">
        <x:f>IF(AB211=0,0,(AB211-IF(2=D211,1,0))*ROUND(AC211*VLOOKUP(INDEX('章节与怪物'!$E$31:$K$37,B211,2),'章节与怪物'!$A$41:$F$44,2,FALSE),0)+IF(2=D211,ROUND(AC211*'难度参数'!$E$28*'章节与怪物'!$E$17,0),0))</x:f>
        <x:v>131517</x:v>
      </x:c>
      <x:c r="AE211" s="119" t="n">
        <x:f>IF(AB211=0,0,(AB211-IF(2=D211,1,0))*VLOOKUP(INDEX('章节与怪物'!$E$31:$K$37,B211,2),'章节与怪物'!$A$41:$F$44,4,FALSE)+IF(2=D211,'难度参数'!$E$30,0))</x:f>
        <x:v>486</x:v>
      </x:c>
      <x:c r="AF211" s="119" t="n">
        <x:f>IF(3&gt;D211,0,MAX(2,MIN('难度参数'!$E$12,ROUND(('难度参数'!$E$18*POWER(A211,'难度参数'!$E$19)/D211*(0.85+0.3*(3-1)/MAX(1,D211-1))),0)+F211)))</x:f>
        <x:v>29</x:v>
      </x:c>
      <x:c r="AG211" s="119" t="n">
        <x:f>IF(3&gt;D211,0,ROUND(('难度参数'!$E$13*POWER(A211,'难度参数'!$E$20)*MIN('难度参数'!$E$23,1+MAX(0,A211-'难度参数'!$E$21)*'难度参数'!$E$22))*(36+3*7)/(36+7*(D211+1)/2)*E211,0))</x:f>
        <x:v>5553</x:v>
      </x:c>
      <x:c r="AH211" s="119" t="n">
        <x:f>IF(AF211=0,0,(AF211-IF(3=D211,1,0))*ROUND(AG211*VLOOKUP(INDEX('章节与怪物'!$E$31:$K$37,B211,3),'章节与怪物'!$A$41:$F$44,2,FALSE),0)+IF(3=D211,ROUND(AG211*'难度参数'!$E$28*'章节与怪物'!$E$17,0),0))</x:f>
        <x:v>273760</x:v>
      </x:c>
      <x:c r="AI211" s="119" t="n">
        <x:f>IF(AF211=0,0,(AF211-IF(3=D211,1,0))*VLOOKUP(INDEX('章节与怪物'!$E$31:$K$37,B211,3),'章节与怪物'!$A$41:$F$44,4,FALSE)+IF(3=D211,'难度参数'!$E$30,0))</x:f>
        <x:v>812</x:v>
      </x:c>
      <x:c r="AJ211" s="119" t="n">
        <x:f>IF(4&gt;D211,0,MAX(2,MIN('难度参数'!$E$12,ROUND(('难度参数'!$E$18*POWER(A211,'难度参数'!$E$19)/D211*(0.85+0.3*(4-1)/MAX(1,D211-1))),0)+F211)))</x:f>
        <x:v>30</x:v>
      </x:c>
      <x:c r="AK211" s="119" t="n">
        <x:f>IF(4&gt;D211,0,ROUND(('难度参数'!$E$13*POWER(A211,'难度参数'!$E$20)*MIN('难度参数'!$E$23,1+MAX(0,A211-'难度参数'!$E$21)*'难度参数'!$E$22))*(36+4*7)/(36+7*(D211+1)/2)*E211,0))</x:f>
        <x:v>6234</x:v>
      </x:c>
      <x:c r="AL211" s="119" t="n">
        <x:f>IF(AJ211=0,0,(AJ211-IF(4=D211,1,0))*ROUND(AK211*VLOOKUP(INDEX('章节与怪物'!$E$31:$K$37,B211,4),'章节与怪物'!$A$41:$F$44,2,FALSE),0)+IF(4=D211,ROUND(AK211*'难度参数'!$E$28*'章节与怪物'!$E$17,0),0))</x:f>
        <x:v>252480</x:v>
      </x:c>
      <x:c r="AM211" s="119" t="n">
        <x:f>IF(AJ211=0,0,(AJ211-IF(4=D211,1,0))*VLOOKUP(INDEX('章节与怪物'!$E$31:$K$37,B211,4),'章节与怪物'!$A$41:$F$44,4,FALSE)+IF(4=D211,'难度参数'!$E$30,0))</x:f>
        <x:v>1020</x:v>
      </x:c>
      <x:c r="AN211" s="119" t="n">
        <x:f>IF(5&gt;D211,0,MAX(2,MIN('难度参数'!$E$12,ROUND(('难度参数'!$E$18*POWER(A211,'难度参数'!$E$19)/D211*(0.85+0.3*(5-1)/MAX(1,D211-1))),0)+F211)))</x:f>
        <x:v>32</x:v>
      </x:c>
      <x:c r="AO211" s="119" t="n">
        <x:f>IF(5&gt;D211,0,ROUND(('难度参数'!$E$13*POWER(A211,'难度参数'!$E$20)*MIN('难度参数'!$E$23,1+MAX(0,A211-'难度参数'!$E$21)*'难度参数'!$E$22))*(36+5*7)/(36+7*(D211+1)/2)*E211,0))</x:f>
        <x:v>6916</x:v>
      </x:c>
      <x:c r="AP211" s="119" t="n">
        <x:f>IF(AN211=0,0,(AN211-IF(5=D211,1,0))*ROUND(AO211*VLOOKUP(INDEX('章节与怪物'!$E$31:$K$37,B211,5),'章节与怪物'!$A$41:$F$44,2,FALSE),0)+IF(5=D211,ROUND(AO211*'难度参数'!$E$28*'章节与怪物'!$E$17,0),0))</x:f>
        <x:v>221312</x:v>
      </x:c>
      <x:c r="AQ211" s="119" t="n">
        <x:f>IF(AN211=0,0,(AN211-IF(5=D211,1,0))*VLOOKUP(INDEX('章节与怪物'!$E$31:$K$37,B211,5),'章节与怪物'!$A$41:$F$44,4,FALSE)+IF(5=D211,'难度参数'!$E$30,0))</x:f>
        <x:v>576</x:v>
      </x:c>
      <x:c r="AR211" s="119" t="n">
        <x:f>IF(6&gt;D211,0,MAX(2,MIN('难度参数'!$E$12,ROUND(('难度参数'!$E$18*POWER(A211,'难度参数'!$E$19)/D211*(0.85+0.3*(6-1)/MAX(1,D211-1))),0)+F211)))</x:f>
        <x:v>33</x:v>
      </x:c>
      <x:c r="AS211" s="119" t="n">
        <x:f>IF(6&gt;D211,0,ROUND(('难度参数'!$E$13*POWER(A211,'难度参数'!$E$20)*MIN('难度参数'!$E$23,1+MAX(0,A211-'难度参数'!$E$21)*'难度参数'!$E$22))*(36+6*7)/(36+7*(D211+1)/2)*E211,0))</x:f>
        <x:v>7598</x:v>
      </x:c>
      <x:c r="AT211" s="119" t="n">
        <x:f>IF(AR211=0,0,(AR211-IF(6=D211,1,0))*ROUND(AS211*VLOOKUP(INDEX('章节与怪物'!$E$31:$K$37,B211,6),'章节与怪物'!$A$41:$F$44,2,FALSE),0)+IF(6=D211,ROUND(AS211*'难度参数'!$E$28*'章节与怪物'!$E$17,0),0))</x:f>
        <x:v>426261</x:v>
      </x:c>
      <x:c r="AU211" s="119" t="n">
        <x:f>IF(AR211=0,0,(AR211-IF(6=D211,1,0))*VLOOKUP(INDEX('章节与怪物'!$E$31:$K$37,B211,6),'章节与怪物'!$A$41:$F$44,4,FALSE)+IF(6=D211,'难度参数'!$E$30,0))</x:f>
        <x:v>924</x:v>
      </x:c>
      <x:c r="AV211" s="119" t="n">
        <x:f>IF(7&gt;D211,0,MAX(2,MIN('难度参数'!$E$12,ROUND(('难度参数'!$E$18*POWER(A211,'难度参数'!$E$19)/D211*(0.85+0.3*(7-1)/MAX(1,D211-1))),0)+F211)))</x:f>
        <x:v>35</x:v>
      </x:c>
      <x:c r="AW211" s="119" t="n">
        <x:f>IF(7&gt;D211,0,ROUND(('难度参数'!$E$13*POWER(A211,'难度参数'!$E$20)*MIN('难度参数'!$E$23,1+MAX(0,A211-'难度参数'!$E$21)*'难度参数'!$E$22))*(36+7*7)/(36+7*(D211+1)/2)*E211,0))</x:f>
        <x:v>8280</x:v>
      </x:c>
      <x:c r="AX211" s="119" t="n">
        <x:f>IF(AV211=0,0,(AV211-IF(7=D211,1,0))*ROUND(AW211*VLOOKUP(INDEX('章节与怪物'!$E$31:$K$37,B211,7),'章节与怪物'!$A$41:$F$44,2,FALSE),0)+IF(7=D211,ROUND(AW211*'难度参数'!$E$28*'章节与怪物'!$E$17,0),0))</x:f>
        <x:v>436356</x:v>
      </x:c>
      <x:c r="AY211" s="119" t="n">
        <x:f>IF(AV211=0,0,(AV211-IF(7=D211,1,0))*VLOOKUP(INDEX('章节与怪物'!$E$31:$K$37,B211,7),'章节与怪物'!$A$41:$F$44,4,FALSE)+IF(7=D211,'难度参数'!$E$30,0))</x:f>
        <x:v>1356</x:v>
      </x:c>
    </x:row>
    <x:row r="212" ht="23" customHeight="1">
      <x:c r="A212" s="119" t="n">
        <x:v>206</x:v>
      </x:c>
      <x:c r="B212" s="119" t="n">
        <x:f>MOD(INT((A212-1)/5),7)+1</x:f>
        <x:v>7</x:v>
      </x:c>
      <x:c r="C212" s="62" t="str">
        <x:f>INDEX('章节与怪物'!$B$31:$B$37,B212)</x:f>
        <x:v>魔法山脊</x:v>
      </x:c>
      <x:c r="D212" s="119" t="n">
        <x:f>MIN('难度参数'!$E$8,MAX('难度参数'!$E$7,A212))</x:f>
        <x:v>7</x:v>
      </x:c>
      <x:c r="E212" s="106" t="n">
        <x:v>1</x:v>
      </x:c>
      <x:c r="F212" s="106" t="n">
        <x:v>0</x:v>
      </x:c>
      <x:c r="G212" s="106" t="n">
        <x:v>1</x:v>
      </x:c>
      <x:c r="H212" s="119" t="n">
        <x:f>SUM(X212,AB212,AF212,AJ212,AN212,AR212,AV212)</x:f>
        <x:v>212</x:v>
      </x:c>
      <x:c r="I212" s="119" t="n">
        <x:f>SUM(Z212,AD212,AH212,AL212,AP212,AT212,AX212)</x:f>
        <x:v>1757953</x:v>
      </x:c>
      <x:c r="J212" s="119" t="n">
        <x:f>ROUND(INDEX(X212:AY212,1,(D212-1)*4+2)*'难度参数'!$E$28*'章节与怪物'!$E$17,0)</x:f>
        <x:v>56501</x:v>
      </x:c>
      <x:c r="K212" s="119" t="n">
        <x:f>SUM(AA212,AE212,AI212,AM212,AQ212,AU212,AY212)</x:f>
        <x:v>5760</x:v>
      </x:c>
      <x:c r="L212" s="62" t="n">
        <x:f>H212*(ROUNDUP('难度参数'!$E$24/('难度参数'!$E$26*'难度参数'!$E$27),0)*'难度参数'!$E$26)/60</x:f>
        <x:v>2.826666666666667</x:v>
      </x:c>
      <x:c r="M212" s="62" t="n">
        <x:f>L212+D212*('难度参数'!$E$49+'难度参数'!$E$50)/60</x:f>
        <x:v>3.993333333333334</x:v>
      </x:c>
      <x:c r="N212" s="119" t="n">
        <x:f>ROUNDDOWN(('经济参数'!$E$20+A212*'经济参数'!$E$21)*G212,0)</x:f>
        <x:v>4300</x:v>
      </x:c>
      <x:c r="O212" s="119" t="n">
        <x:f>ROUNDDOWN(MIN('经济参数'!$E$24,'经济参数'!$E$22+A212*'经济参数'!$E$23)*G212,0)</x:f>
        <x:v>0</x:v>
      </x:c>
      <x:c r="P212" s="119" t="n">
        <x:f>ROUNDDOWN((IF(A212&gt;='材料与任务'!$E$31,'材料与任务'!$E$32,IF(A212&gt;='材料与任务'!$E$25,'材料与任务'!$E$26,IF(A212&gt;='材料与任务'!$E$19,'材料与任务'!$E$20,IF(A212&gt;='材料与任务'!$E$13,'材料与任务'!$E$14,'材料与任务'!$E$8)))))*G212,0)</x:f>
        <x:v>6</x:v>
      </x:c>
      <x:c r="Q212" s="119" t="n">
        <x:f>ROUNDDOWN((IF(A212&gt;='材料与任务'!$E$31,'材料与任务'!$E$33,IF(A212&gt;='材料与任务'!$E$25,'材料与任务'!$E$27,IF(A212&gt;='材料与任务'!$E$19,'材料与任务'!$E$21,IF(A212&gt;='材料与任务'!$E$13,'材料与任务'!$E$15,'材料与任务'!$E$9)))))*G212,0)</x:f>
        <x:v>3</x:v>
      </x:c>
      <x:c r="R212" s="110" t="n">
        <x:f>'装备掉落'!$B$38</x:f>
        <x:v>0.6872058758851213</x:v>
      </x:c>
      <x:c r="S212" s="119" t="n">
        <x:f>MAX(IF(VLOOKUP(A212,'装备掉落'!$A$29:$H$34,2,TRUE)&gt;0,1,0),IF(VLOOKUP(A212,'装备掉落'!$A$29:$H$34,3,TRUE)&gt;0,2,0),IF(VLOOKUP(A212,'装备掉落'!$A$29:$H$34,4,TRUE)&gt;0,3,0),IF(VLOOKUP(A212,'装备掉落'!$A$29:$H$34,5,TRUE)&gt;0,4,0),IF(VLOOKUP(A212,'装备掉落'!$A$29:$H$34,6,TRUE)&gt;0,5,0),IF(VLOOKUP(A212,'装备掉落'!$A$29:$H$34,7,TRUE)&gt;0,6,0),IF(VLOOKUP(A212,'装备掉落'!$A$29:$H$34,8,TRUE)&gt;0,7,0))</x:f>
        <x:v>7</x:v>
      </x:c>
      <x:c r="T212" s="119" t="n">
        <x:f>MIN(7,S212+'经济参数'!$E$70)</x:f>
        <x:v>7</x:v>
      </x:c>
      <x:c r="U212" s="119" t="n">
        <x:f>MIN(7,S212+'经济参数'!$E$71)</x:f>
        <x:v>7</x:v>
      </x:c>
      <x:c r="V212" s="119" t="n">
        <x:f>IF(H212&gt;=('难度参数'!$E$52),1,0)+IF(H212&gt;=('难度参数'!$E$52+'难度参数'!$E$53),1,0)+IF(H212&gt;=('难度参数'!$E$52+'难度参数'!$E$53+'难度参数'!$E$54),1,0)+IF(H212&gt;=('难度参数'!$E$52+'难度参数'!$E$53+'难度参数'!$E$54+'难度参数'!$E$55),1,0)+IF(H212&gt;=('难度参数'!$E$52+'难度参数'!$E$53+'难度参数'!$E$54+'难度参数'!$E$55+'难度参数'!$E$56),1,0)+IF(H212&gt;=('难度参数'!$E$52+'难度参数'!$E$53+'难度参数'!$E$54+'难度参数'!$E$55+'难度参数'!$E$56+'难度参数'!$E$57),1,0)</x:f>
        <x:v>6</x:v>
      </x:c>
      <x:c r="W212" s="62" t="str">
        <x:f>IF(L212&gt;'难度参数'!$E$51,"仅出怪已超目标","还需实测")</x:f>
        <x:v>还需实测</x:v>
      </x:c>
      <x:c r="X212" s="119" t="n">
        <x:f>IF(1&gt;D212,0,MAX(2,MIN('难度参数'!$E$12,ROUND(('难度参数'!$E$18*POWER(A212,'难度参数'!$E$19)/D212*(0.85+0.3*(1-1)/MAX(1,D212-1))),0)+F212)))</x:f>
        <x:v>26</x:v>
      </x:c>
      <x:c r="Y212" s="119" t="n">
        <x:f>IF(1&gt;D212,0,ROUND(('难度参数'!$E$13*POWER(A212,'难度参数'!$E$20)*MIN('难度参数'!$E$23,1+MAX(0,A212-'难度参数'!$E$21)*'难度参数'!$E$22))*(36+1*7)/(36+7*(D212+1)/2)*E212,0))</x:f>
        <x:v>4203</x:v>
      </x:c>
      <x:c r="Z212" s="119" t="n">
        <x:f>IF(X212=0,0,(X212-IF(1=D212,1,0))*ROUND(Y212*VLOOKUP(INDEX('章节与怪物'!$E$31:$K$37,B212,1),'章节与怪物'!$A$41:$F$44,2,FALSE),0)+IF(1=D212,ROUND(Y212*'难度参数'!$E$28*'章节与怪物'!$E$17,0),0))</x:f>
        <x:v>109278</x:v>
      </x:c>
      <x:c r="AA212" s="119" t="n">
        <x:f>IF(X212=0,0,(X212-IF(1=D212,1,0))*VLOOKUP(INDEX('章节与怪物'!$E$31:$K$37,B212,1),'章节与怪物'!$A$41:$F$44,4,FALSE)+IF(1=D212,'难度参数'!$E$30,0))</x:f>
        <x:v>468</x:v>
      </x:c>
      <x:c r="AB212" s="119" t="n">
        <x:f>IF(2&gt;D212,0,MAX(2,MIN('难度参数'!$E$12,ROUND(('难度参数'!$E$18*POWER(A212,'难度参数'!$E$19)/D212*(0.85+0.3*(2-1)/MAX(1,D212-1))),0)+F212)))</x:f>
        <x:v>27</x:v>
      </x:c>
      <x:c r="AC212" s="119" t="n">
        <x:f>IF(2&gt;D212,0,ROUND(('难度参数'!$E$13*POWER(A212,'难度参数'!$E$20)*MIN('难度参数'!$E$23,1+MAX(0,A212-'难度参数'!$E$21)*'难度参数'!$E$22))*(36+2*7)/(36+7*(D212+1)/2)*E212,0))</x:f>
        <x:v>4888</x:v>
      </x:c>
      <x:c r="AD212" s="119" t="n">
        <x:f>IF(AB212=0,0,(AB212-IF(2=D212,1,0))*ROUND(AC212*VLOOKUP(INDEX('章节与怪物'!$E$31:$K$37,B212,2),'章节与怪物'!$A$41:$F$44,2,FALSE),0)+IF(2=D212,ROUND(AC212*'难度参数'!$E$28*'章节与怪物'!$E$17,0),0))</x:f>
        <x:v>95013</x:v>
      </x:c>
      <x:c r="AE212" s="119" t="n">
        <x:f>IF(AB212=0,0,(AB212-IF(2=D212,1,0))*VLOOKUP(INDEX('章节与怪物'!$E$31:$K$37,B212,2),'章节与怪物'!$A$41:$F$44,4,FALSE)+IF(2=D212,'难度参数'!$E$30,0))</x:f>
        <x:v>540</x:v>
      </x:c>
      <x:c r="AF212" s="119" t="n">
        <x:f>IF(3&gt;D212,0,MAX(2,MIN('难度参数'!$E$12,ROUND(('难度参数'!$E$18*POWER(A212,'难度参数'!$E$19)/D212*(0.85+0.3*(3-1)/MAX(1,D212-1))),0)+F212)))</x:f>
        <x:v>29</x:v>
      </x:c>
      <x:c r="AG212" s="119" t="n">
        <x:f>IF(3&gt;D212,0,ROUND(('难度参数'!$E$13*POWER(A212,'难度参数'!$E$20)*MIN('难度参数'!$E$23,1+MAX(0,A212-'难度参数'!$E$21)*'难度参数'!$E$22))*(36+3*7)/(36+7*(D212+1)/2)*E212,0))</x:f>
        <x:v>5572</x:v>
      </x:c>
      <x:c r="AH212" s="119" t="n">
        <x:f>IF(AF212=0,0,(AF212-IF(3=D212,1,0))*ROUND(AG212*VLOOKUP(INDEX('章节与怪物'!$E$31:$K$37,B212,3),'章节与怪物'!$A$41:$F$44,2,FALSE),0)+IF(3=D212,ROUND(AG212*'难度参数'!$E$28*'章节与怪物'!$E$17,0),0))</x:f>
        <x:v>274688</x:v>
      </x:c>
      <x:c r="AI212" s="119" t="n">
        <x:f>IF(AF212=0,0,(AF212-IF(3=D212,1,0))*VLOOKUP(INDEX('章节与怪物'!$E$31:$K$37,B212,3),'章节与怪物'!$A$41:$F$44,4,FALSE)+IF(3=D212,'难度参数'!$E$30,0))</x:f>
        <x:v>812</x:v>
      </x:c>
      <x:c r="AJ212" s="119" t="n">
        <x:f>IF(4&gt;D212,0,MAX(2,MIN('难度参数'!$E$12,ROUND(('难度参数'!$E$18*POWER(A212,'难度参数'!$E$19)/D212*(0.85+0.3*(4-1)/MAX(1,D212-1))),0)+F212)))</x:f>
        <x:v>30</x:v>
      </x:c>
      <x:c r="AK212" s="119" t="n">
        <x:f>IF(4&gt;D212,0,ROUND(('难度参数'!$E$13*POWER(A212,'难度参数'!$E$20)*MIN('难度参数'!$E$23,1+MAX(0,A212-'难度参数'!$E$21)*'难度参数'!$E$22))*(36+4*7)/(36+7*(D212+1)/2)*E212,0))</x:f>
        <x:v>6256</x:v>
      </x:c>
      <x:c r="AL212" s="119" t="n">
        <x:f>IF(AJ212=0,0,(AJ212-IF(4=D212,1,0))*ROUND(AK212*VLOOKUP(INDEX('章节与怪物'!$E$31:$K$37,B212,4),'章节与怪物'!$A$41:$F$44,2,FALSE),0)+IF(4=D212,ROUND(AK212*'难度参数'!$E$28*'章节与怪物'!$E$17,0),0))</x:f>
        <x:v>253380</x:v>
      </x:c>
      <x:c r="AM212" s="119" t="n">
        <x:f>IF(AJ212=0,0,(AJ212-IF(4=D212,1,0))*VLOOKUP(INDEX('章节与怪物'!$E$31:$K$37,B212,4),'章节与怪物'!$A$41:$F$44,4,FALSE)+IF(4=D212,'难度参数'!$E$30,0))</x:f>
        <x:v>1020</x:v>
      </x:c>
      <x:c r="AN212" s="119" t="n">
        <x:f>IF(5&gt;D212,0,MAX(2,MIN('难度参数'!$E$12,ROUND(('难度参数'!$E$18*POWER(A212,'难度参数'!$E$19)/D212*(0.85+0.3*(5-1)/MAX(1,D212-1))),0)+F212)))</x:f>
        <x:v>32</x:v>
      </x:c>
      <x:c r="AO212" s="119" t="n">
        <x:f>IF(5&gt;D212,0,ROUND(('难度参数'!$E$13*POWER(A212,'难度参数'!$E$20)*MIN('难度参数'!$E$23,1+MAX(0,A212-'难度参数'!$E$21)*'难度参数'!$E$22))*(36+5*7)/(36+7*(D212+1)/2)*E212,0))</x:f>
        <x:v>6941</x:v>
      </x:c>
      <x:c r="AP212" s="119" t="n">
        <x:f>IF(AN212=0,0,(AN212-IF(5=D212,1,0))*ROUND(AO212*VLOOKUP(INDEX('章节与怪物'!$E$31:$K$37,B212,5),'章节与怪物'!$A$41:$F$44,2,FALSE),0)+IF(5=D212,ROUND(AO212*'难度参数'!$E$28*'章节与怪物'!$E$17,0),0))</x:f>
        <x:v>159936</x:v>
      </x:c>
      <x:c r="AQ212" s="119" t="n">
        <x:f>IF(AN212=0,0,(AN212-IF(5=D212,1,0))*VLOOKUP(INDEX('章节与怪物'!$E$31:$K$37,B212,5),'章节与怪物'!$A$41:$F$44,4,FALSE)+IF(5=D212,'难度参数'!$E$30,0))</x:f>
        <x:v>640</x:v>
      </x:c>
      <x:c r="AR212" s="119" t="n">
        <x:f>IF(6&gt;D212,0,MAX(2,MIN('难度参数'!$E$12,ROUND(('难度参数'!$E$18*POWER(A212,'难度参数'!$E$19)/D212*(0.85+0.3*(6-1)/MAX(1,D212-1))),0)+F212)))</x:f>
        <x:v>33</x:v>
      </x:c>
      <x:c r="AS212" s="119" t="n">
        <x:f>IF(6&gt;D212,0,ROUND(('难度参数'!$E$13*POWER(A212,'难度参数'!$E$20)*MIN('难度参数'!$E$23,1+MAX(0,A212-'难度参数'!$E$21)*'难度参数'!$E$22))*(36+6*7)/(36+7*(D212+1)/2)*E212,0))</x:f>
        <x:v>7625</x:v>
      </x:c>
      <x:c r="AT212" s="119" t="n">
        <x:f>IF(AR212=0,0,(AR212-IF(6=D212,1,0))*ROUND(AS212*VLOOKUP(INDEX('章节与怪物'!$E$31:$K$37,B212,6),'章节与怪物'!$A$41:$F$44,2,FALSE),0)+IF(6=D212,ROUND(AS212*'难度参数'!$E$28*'章节与怪物'!$E$17,0),0))</x:f>
        <x:v>427779</x:v>
      </x:c>
      <x:c r="AU212" s="119" t="n">
        <x:f>IF(AR212=0,0,(AR212-IF(6=D212,1,0))*VLOOKUP(INDEX('章节与怪物'!$E$31:$K$37,B212,6),'章节与怪物'!$A$41:$F$44,4,FALSE)+IF(6=D212,'难度参数'!$E$30,0))</x:f>
        <x:v>924</x:v>
      </x:c>
      <x:c r="AV212" s="119" t="n">
        <x:f>IF(7&gt;D212,0,MAX(2,MIN('难度参数'!$E$12,ROUND(('难度参数'!$E$18*POWER(A212,'难度参数'!$E$19)/D212*(0.85+0.3*(7-1)/MAX(1,D212-1))),0)+F212)))</x:f>
        <x:v>35</x:v>
      </x:c>
      <x:c r="AW212" s="119" t="n">
        <x:f>IF(7&gt;D212,0,ROUND(('难度参数'!$E$13*POWER(A212,'难度参数'!$E$20)*MIN('难度参数'!$E$23,1+MAX(0,A212-'难度参数'!$E$21)*'难度参数'!$E$22))*(36+7*7)/(36+7*(D212+1)/2)*E212,0))</x:f>
        <x:v>8309</x:v>
      </x:c>
      <x:c r="AX212" s="119" t="n">
        <x:f>IF(AV212=0,0,(AV212-IF(7=D212,1,0))*ROUND(AW212*VLOOKUP(INDEX('章节与怪物'!$E$31:$K$37,B212,7),'章节与怪物'!$A$41:$F$44,2,FALSE),0)+IF(7=D212,ROUND(AW212*'难度参数'!$E$28*'章节与怪物'!$E$17,0),0))</x:f>
        <x:v>437879</x:v>
      </x:c>
      <x:c r="AY212" s="119" t="n">
        <x:f>IF(AV212=0,0,(AV212-IF(7=D212,1,0))*VLOOKUP(INDEX('章节与怪物'!$E$31:$K$37,B212,7),'章节与怪物'!$A$41:$F$44,4,FALSE)+IF(7=D212,'难度参数'!$E$30,0))</x:f>
        <x:v>1356</x:v>
      </x:c>
    </x:row>
    <x:row r="213" ht="23" customHeight="1">
      <x:c r="A213" s="119" t="n">
        <x:v>207</x:v>
      </x:c>
      <x:c r="B213" s="119" t="n">
        <x:f>MOD(INT((A213-1)/5),7)+1</x:f>
        <x:v>7</x:v>
      </x:c>
      <x:c r="C213" s="62" t="str">
        <x:f>INDEX('章节与怪物'!$B$31:$B$37,B213)</x:f>
        <x:v>魔法山脊</x:v>
      </x:c>
      <x:c r="D213" s="119" t="n">
        <x:f>MIN('难度参数'!$E$8,MAX('难度参数'!$E$7,A213))</x:f>
        <x:v>7</x:v>
      </x:c>
      <x:c r="E213" s="106" t="n">
        <x:v>1</x:v>
      </x:c>
      <x:c r="F213" s="106" t="n">
        <x:v>0</x:v>
      </x:c>
      <x:c r="G213" s="106" t="n">
        <x:v>1</x:v>
      </x:c>
      <x:c r="H213" s="119" t="n">
        <x:f>SUM(X213,AB213,AF213,AJ213,AN213,AR213,AV213)</x:f>
        <x:v>213</x:v>
      </x:c>
      <x:c r="I213" s="119" t="n">
        <x:f>SUM(Z213,AD213,AH213,AL213,AP213,AT213,AX213)</x:f>
        <x:v>1777081</x:v>
      </x:c>
      <x:c r="J213" s="119" t="n">
        <x:f>ROUND(INDEX(X213:AY213,1,(D213-1)*4+2)*'难度参数'!$E$28*'章节与怪物'!$E$17,0)</x:f>
        <x:v>56698</x:v>
      </x:c>
      <x:c r="K213" s="119" t="n">
        <x:f>SUM(AA213,AE213,AI213,AM213,AQ213,AU213,AY213)</x:f>
        <x:v>5788</x:v>
      </x:c>
      <x:c r="L213" s="62" t="n">
        <x:f>H213*(ROUNDUP('难度参数'!$E$24/('难度参数'!$E$26*'难度参数'!$E$27),0)*'难度参数'!$E$26)/60</x:f>
        <x:v>2.8400000000000003</x:v>
      </x:c>
      <x:c r="M213" s="62" t="n">
        <x:f>L213+D213*('难度参数'!$E$49+'难度参数'!$E$50)/60</x:f>
        <x:v>4.006666666666667</x:v>
      </x:c>
      <x:c r="N213" s="119" t="n">
        <x:f>ROUNDDOWN(('经济参数'!$E$20+A213*'经济参数'!$E$21)*G213,0)</x:f>
        <x:v>4320</x:v>
      </x:c>
      <x:c r="O213" s="119" t="n">
        <x:f>ROUNDDOWN(MIN('经济参数'!$E$24,'经济参数'!$E$22+A213*'经济参数'!$E$23)*G213,0)</x:f>
        <x:v>0</x:v>
      </x:c>
      <x:c r="P213" s="119" t="n">
        <x:f>ROUNDDOWN((IF(A213&gt;='材料与任务'!$E$31,'材料与任务'!$E$32,IF(A213&gt;='材料与任务'!$E$25,'材料与任务'!$E$26,IF(A213&gt;='材料与任务'!$E$19,'材料与任务'!$E$20,IF(A213&gt;='材料与任务'!$E$13,'材料与任务'!$E$14,'材料与任务'!$E$8)))))*G213,0)</x:f>
        <x:v>6</x:v>
      </x:c>
      <x:c r="Q213" s="119" t="n">
        <x:f>ROUNDDOWN((IF(A213&gt;='材料与任务'!$E$31,'材料与任务'!$E$33,IF(A213&gt;='材料与任务'!$E$25,'材料与任务'!$E$27,IF(A213&gt;='材料与任务'!$E$19,'材料与任务'!$E$21,IF(A213&gt;='材料与任务'!$E$13,'材料与任务'!$E$15,'材料与任务'!$E$9)))))*G213,0)</x:f>
        <x:v>3</x:v>
      </x:c>
      <x:c r="R213" s="110" t="n">
        <x:f>'装备掉落'!$B$38</x:f>
        <x:v>0.6872058758851213</x:v>
      </x:c>
      <x:c r="S213" s="119" t="n">
        <x:f>MAX(IF(VLOOKUP(A213,'装备掉落'!$A$29:$H$34,2,TRUE)&gt;0,1,0),IF(VLOOKUP(A213,'装备掉落'!$A$29:$H$34,3,TRUE)&gt;0,2,0),IF(VLOOKUP(A213,'装备掉落'!$A$29:$H$34,4,TRUE)&gt;0,3,0),IF(VLOOKUP(A213,'装备掉落'!$A$29:$H$34,5,TRUE)&gt;0,4,0),IF(VLOOKUP(A213,'装备掉落'!$A$29:$H$34,6,TRUE)&gt;0,5,0),IF(VLOOKUP(A213,'装备掉落'!$A$29:$H$34,7,TRUE)&gt;0,6,0),IF(VLOOKUP(A213,'装备掉落'!$A$29:$H$34,8,TRUE)&gt;0,7,0))</x:f>
        <x:v>7</x:v>
      </x:c>
      <x:c r="T213" s="119" t="n">
        <x:f>MIN(7,S213+'经济参数'!$E$70)</x:f>
        <x:v>7</x:v>
      </x:c>
      <x:c r="U213" s="119" t="n">
        <x:f>MIN(7,S213+'经济参数'!$E$71)</x:f>
        <x:v>7</x:v>
      </x:c>
      <x:c r="V213" s="119" t="n">
        <x:f>IF(H213&gt;=('难度参数'!$E$52),1,0)+IF(H213&gt;=('难度参数'!$E$52+'难度参数'!$E$53),1,0)+IF(H213&gt;=('难度参数'!$E$52+'难度参数'!$E$53+'难度参数'!$E$54),1,0)+IF(H213&gt;=('难度参数'!$E$52+'难度参数'!$E$53+'难度参数'!$E$54+'难度参数'!$E$55),1,0)+IF(H213&gt;=('难度参数'!$E$52+'难度参数'!$E$53+'难度参数'!$E$54+'难度参数'!$E$55+'难度参数'!$E$56),1,0)+IF(H213&gt;=('难度参数'!$E$52+'难度参数'!$E$53+'难度参数'!$E$54+'难度参数'!$E$55+'难度参数'!$E$56+'难度参数'!$E$57),1,0)</x:f>
        <x:v>6</x:v>
      </x:c>
      <x:c r="W213" s="62" t="str">
        <x:f>IF(L213&gt;'难度参数'!$E$51,"仅出怪已超目标","还需实测")</x:f>
        <x:v>还需实测</x:v>
      </x:c>
      <x:c r="X213" s="119" t="n">
        <x:f>IF(1&gt;D213,0,MAX(2,MIN('难度参数'!$E$12,ROUND(('难度参数'!$E$18*POWER(A213,'难度参数'!$E$19)/D213*(0.85+0.3*(1-1)/MAX(1,D213-1))),0)+F213)))</x:f>
        <x:v>26</x:v>
      </x:c>
      <x:c r="Y213" s="119" t="n">
        <x:f>IF(1&gt;D213,0,ROUND(('难度参数'!$E$13*POWER(A213,'难度参数'!$E$20)*MIN('难度参数'!$E$23,1+MAX(0,A213-'难度参数'!$E$21)*'难度参数'!$E$22))*(36+1*7)/(36+7*(D213+1)/2)*E213,0))</x:f>
        <x:v>4218</x:v>
      </x:c>
      <x:c r="Z213" s="119" t="n">
        <x:f>IF(X213=0,0,(X213-IF(1=D213,1,0))*ROUND(Y213*VLOOKUP(INDEX('章节与怪物'!$E$31:$K$37,B213,1),'章节与怪物'!$A$41:$F$44,2,FALSE),0)+IF(1=D213,ROUND(Y213*'难度参数'!$E$28*'章节与怪物'!$E$17,0),0))</x:f>
        <x:v>109668</x:v>
      </x:c>
      <x:c r="AA213" s="119" t="n">
        <x:f>IF(X213=0,0,(X213-IF(1=D213,1,0))*VLOOKUP(INDEX('章节与怪物'!$E$31:$K$37,B213,1),'章节与怪物'!$A$41:$F$44,4,FALSE)+IF(1=D213,'难度参数'!$E$30,0))</x:f>
        <x:v>468</x:v>
      </x:c>
      <x:c r="AB213" s="119" t="n">
        <x:f>IF(2&gt;D213,0,MAX(2,MIN('难度参数'!$E$12,ROUND(('难度参数'!$E$18*POWER(A213,'难度参数'!$E$19)/D213*(0.85+0.3*(2-1)/MAX(1,D213-1))),0)+F213)))</x:f>
        <x:v>27</x:v>
      </x:c>
      <x:c r="AC213" s="119" t="n">
        <x:f>IF(2&gt;D213,0,ROUND(('难度参数'!$E$13*POWER(A213,'难度参数'!$E$20)*MIN('难度参数'!$E$23,1+MAX(0,A213-'难度参数'!$E$21)*'难度参数'!$E$22))*(36+2*7)/(36+7*(D213+1)/2)*E213,0))</x:f>
        <x:v>4905</x:v>
      </x:c>
      <x:c r="AD213" s="119" t="n">
        <x:f>IF(AB213=0,0,(AB213-IF(2=D213,1,0))*ROUND(AC213*VLOOKUP(INDEX('章节与怪物'!$E$31:$K$37,B213,2),'章节与怪物'!$A$41:$F$44,2,FALSE),0)+IF(2=D213,ROUND(AC213*'难度参数'!$E$28*'章节与怪物'!$E$17,0),0))</x:f>
        <x:v>95364</x:v>
      </x:c>
      <x:c r="AE213" s="119" t="n">
        <x:f>IF(AB213=0,0,(AB213-IF(2=D213,1,0))*VLOOKUP(INDEX('章节与怪物'!$E$31:$K$37,B213,2),'章节与怪物'!$A$41:$F$44,4,FALSE)+IF(2=D213,'难度参数'!$E$30,0))</x:f>
        <x:v>540</x:v>
      </x:c>
      <x:c r="AF213" s="119" t="n">
        <x:f>IF(3&gt;D213,0,MAX(2,MIN('难度参数'!$E$12,ROUND(('难度参数'!$E$18*POWER(A213,'难度参数'!$E$19)/D213*(0.85+0.3*(3-1)/MAX(1,D213-1))),0)+F213)))</x:f>
        <x:v>29</x:v>
      </x:c>
      <x:c r="AG213" s="119" t="n">
        <x:f>IF(3&gt;D213,0,ROUND(('难度参数'!$E$13*POWER(A213,'难度参数'!$E$20)*MIN('难度参数'!$E$23,1+MAX(0,A213-'难度参数'!$E$21)*'难度参数'!$E$22))*(36+3*7)/(36+7*(D213+1)/2)*E213,0))</x:f>
        <x:v>5591</x:v>
      </x:c>
      <x:c r="AH213" s="119" t="n">
        <x:f>IF(AF213=0,0,(AF213-IF(3=D213,1,0))*ROUND(AG213*VLOOKUP(INDEX('章节与怪物'!$E$31:$K$37,B213,3),'章节与怪物'!$A$41:$F$44,2,FALSE),0)+IF(3=D213,ROUND(AG213*'难度参数'!$E$28*'章节与怪物'!$E$17,0),0))</x:f>
        <x:v>275645</x:v>
      </x:c>
      <x:c r="AI213" s="119" t="n">
        <x:f>IF(AF213=0,0,(AF213-IF(3=D213,1,0))*VLOOKUP(INDEX('章节与怪物'!$E$31:$K$37,B213,3),'章节与怪物'!$A$41:$F$44,4,FALSE)+IF(3=D213,'难度参数'!$E$30,0))</x:f>
        <x:v>812</x:v>
      </x:c>
      <x:c r="AJ213" s="119" t="n">
        <x:f>IF(4&gt;D213,0,MAX(2,MIN('难度参数'!$E$12,ROUND(('难度参数'!$E$18*POWER(A213,'难度参数'!$E$19)/D213*(0.85+0.3*(4-1)/MAX(1,D213-1))),0)+F213)))</x:f>
        <x:v>30</x:v>
      </x:c>
      <x:c r="AK213" s="119" t="n">
        <x:f>IF(4&gt;D213,0,ROUND(('难度参数'!$E$13*POWER(A213,'难度参数'!$E$20)*MIN('难度参数'!$E$23,1+MAX(0,A213-'难度参数'!$E$21)*'难度参数'!$E$22))*(36+4*7)/(36+7*(D213+1)/2)*E213,0))</x:f>
        <x:v>6278</x:v>
      </x:c>
      <x:c r="AL213" s="119" t="n">
        <x:f>IF(AJ213=0,0,(AJ213-IF(4=D213,1,0))*ROUND(AK213*VLOOKUP(INDEX('章节与怪物'!$E$31:$K$37,B213,4),'章节与怪物'!$A$41:$F$44,2,FALSE),0)+IF(4=D213,ROUND(AK213*'难度参数'!$E$28*'章节与怪物'!$E$17,0),0))</x:f>
        <x:v>254250</x:v>
      </x:c>
      <x:c r="AM213" s="119" t="n">
        <x:f>IF(AJ213=0,0,(AJ213-IF(4=D213,1,0))*VLOOKUP(INDEX('章节与怪物'!$E$31:$K$37,B213,4),'章节与怪物'!$A$41:$F$44,4,FALSE)+IF(4=D213,'难度参数'!$E$30,0))</x:f>
        <x:v>1020</x:v>
      </x:c>
      <x:c r="AN213" s="119" t="n">
        <x:f>IF(5&gt;D213,0,MAX(2,MIN('难度参数'!$E$12,ROUND(('难度参数'!$E$18*POWER(A213,'难度参数'!$E$19)/D213*(0.85+0.3*(5-1)/MAX(1,D213-1))),0)+F213)))</x:f>
        <x:v>32</x:v>
      </x:c>
      <x:c r="AO213" s="119" t="n">
        <x:f>IF(5&gt;D213,0,ROUND(('难度参数'!$E$13*POWER(A213,'难度参数'!$E$20)*MIN('难度参数'!$E$23,1+MAX(0,A213-'难度参数'!$E$21)*'难度参数'!$E$22))*(36+5*7)/(36+7*(D213+1)/2)*E213,0))</x:f>
        <x:v>6965</x:v>
      </x:c>
      <x:c r="AP213" s="119" t="n">
        <x:f>IF(AN213=0,0,(AN213-IF(5=D213,1,0))*ROUND(AO213*VLOOKUP(INDEX('章节与怪物'!$E$31:$K$37,B213,5),'章节与怪物'!$A$41:$F$44,2,FALSE),0)+IF(5=D213,ROUND(AO213*'难度参数'!$E$28*'章节与怪物'!$E$17,0),0))</x:f>
        <x:v>160480</x:v>
      </x:c>
      <x:c r="AQ213" s="119" t="n">
        <x:f>IF(AN213=0,0,(AN213-IF(5=D213,1,0))*VLOOKUP(INDEX('章节与怪物'!$E$31:$K$37,B213,5),'章节与怪物'!$A$41:$F$44,4,FALSE)+IF(5=D213,'难度参数'!$E$30,0))</x:f>
        <x:v>640</x:v>
      </x:c>
      <x:c r="AR213" s="119" t="n">
        <x:f>IF(6&gt;D213,0,MAX(2,MIN('难度参数'!$E$12,ROUND(('难度参数'!$E$18*POWER(A213,'难度参数'!$E$19)/D213*(0.85+0.3*(6-1)/MAX(1,D213-1))),0)+F213)))</x:f>
        <x:v>34</x:v>
      </x:c>
      <x:c r="AS213" s="119" t="n">
        <x:f>IF(6&gt;D213,0,ROUND(('难度参数'!$E$13*POWER(A213,'难度参数'!$E$20)*MIN('难度参数'!$E$23,1+MAX(0,A213-'难度参数'!$E$21)*'难度参数'!$E$22))*(36+6*7)/(36+7*(D213+1)/2)*E213,0))</x:f>
        <x:v>7652</x:v>
      </x:c>
      <x:c r="AT213" s="119" t="n">
        <x:f>IF(AR213=0,0,(AR213-IF(6=D213,1,0))*ROUND(AS213*VLOOKUP(INDEX('章节与怪物'!$E$31:$K$37,B213,6),'章节与怪物'!$A$41:$F$44,2,FALSE),0)+IF(6=D213,ROUND(AS213*'难度参数'!$E$28*'章节与怪物'!$E$17,0),0))</x:f>
        <x:v>442272</x:v>
      </x:c>
      <x:c r="AU213" s="119" t="n">
        <x:f>IF(AR213=0,0,(AR213-IF(6=D213,1,0))*VLOOKUP(INDEX('章节与怪物'!$E$31:$K$37,B213,6),'章节与怪物'!$A$41:$F$44,4,FALSE)+IF(6=D213,'难度参数'!$E$30,0))</x:f>
        <x:v>952</x:v>
      </x:c>
      <x:c r="AV213" s="119" t="n">
        <x:f>IF(7&gt;D213,0,MAX(2,MIN('难度参数'!$E$12,ROUND(('难度参数'!$E$18*POWER(A213,'难度参数'!$E$19)/D213*(0.85+0.3*(7-1)/MAX(1,D213-1))),0)+F213)))</x:f>
        <x:v>35</x:v>
      </x:c>
      <x:c r="AW213" s="119" t="n">
        <x:f>IF(7&gt;D213,0,ROUND(('难度参数'!$E$13*POWER(A213,'难度参数'!$E$20)*MIN('难度参数'!$E$23,1+MAX(0,A213-'难度参数'!$E$21)*'难度参数'!$E$22))*(36+7*7)/(36+7*(D213+1)/2)*E213,0))</x:f>
        <x:v>8338</x:v>
      </x:c>
      <x:c r="AX213" s="119" t="n">
        <x:f>IF(AV213=0,0,(AV213-IF(7=D213,1,0))*ROUND(AW213*VLOOKUP(INDEX('章节与怪物'!$E$31:$K$37,B213,7),'章节与怪物'!$A$41:$F$44,2,FALSE),0)+IF(7=D213,ROUND(AW213*'难度参数'!$E$28*'章节与怪物'!$E$17,0),0))</x:f>
        <x:v>439402</x:v>
      </x:c>
      <x:c r="AY213" s="119" t="n">
        <x:f>IF(AV213=0,0,(AV213-IF(7=D213,1,0))*VLOOKUP(INDEX('章节与怪物'!$E$31:$K$37,B213,7),'章节与怪物'!$A$41:$F$44,4,FALSE)+IF(7=D213,'难度参数'!$E$30,0))</x:f>
        <x:v>1356</x:v>
      </x:c>
    </x:row>
    <x:row r="214" ht="23" customHeight="1">
      <x:c r="A214" s="119" t="n">
        <x:v>208</x:v>
      </x:c>
      <x:c r="B214" s="119" t="n">
        <x:f>MOD(INT((A214-1)/5),7)+1</x:f>
        <x:v>7</x:v>
      </x:c>
      <x:c r="C214" s="62" t="str">
        <x:f>INDEX('章节与怪物'!$B$31:$B$37,B214)</x:f>
        <x:v>魔法山脊</x:v>
      </x:c>
      <x:c r="D214" s="119" t="n">
        <x:f>MIN('难度参数'!$E$8,MAX('难度参数'!$E$7,A214))</x:f>
        <x:v>7</x:v>
      </x:c>
      <x:c r="E214" s="106" t="n">
        <x:v>1</x:v>
      </x:c>
      <x:c r="F214" s="106" t="n">
        <x:v>0</x:v>
      </x:c>
      <x:c r="G214" s="106" t="n">
        <x:v>1</x:v>
      </x:c>
      <x:c r="H214" s="119" t="n">
        <x:f>SUM(X214,AB214,AF214,AJ214,AN214,AR214,AV214)</x:f>
        <x:v>214</x:v>
      </x:c>
      <x:c r="I214" s="119" t="n">
        <x:f>SUM(Z214,AD214,AH214,AL214,AP214,AT214,AX214)</x:f>
        <x:v>1791784</x:v>
      </x:c>
      <x:c r="J214" s="119" t="n">
        <x:f>ROUND(INDEX(X214:AY214,1,(D214-1)*4+2)*'难度参数'!$E$28*'章节与怪物'!$E$17,0)</x:f>
        <x:v>56896</x:v>
      </x:c>
      <x:c r="K214" s="119" t="n">
        <x:f>SUM(AA214,AE214,AI214,AM214,AQ214,AU214,AY214)</x:f>
        <x:v>5822</x:v>
      </x:c>
      <x:c r="L214" s="62" t="n">
        <x:f>H214*(ROUNDUP('难度参数'!$E$24/('难度参数'!$E$26*'难度参数'!$E$27),0)*'难度参数'!$E$26)/60</x:f>
        <x:v>2.8533333333333335</x:v>
      </x:c>
      <x:c r="M214" s="62" t="n">
        <x:f>L214+D214*('难度参数'!$E$49+'难度参数'!$E$50)/60</x:f>
        <x:v>4.0200000000000005</x:v>
      </x:c>
      <x:c r="N214" s="119" t="n">
        <x:f>ROUNDDOWN(('经济参数'!$E$20+A214*'经济参数'!$E$21)*G214,0)</x:f>
        <x:v>4340</x:v>
      </x:c>
      <x:c r="O214" s="119" t="n">
        <x:f>ROUNDDOWN(MIN('经济参数'!$E$24,'经济参数'!$E$22+A214*'经济参数'!$E$23)*G214,0)</x:f>
        <x:v>0</x:v>
      </x:c>
      <x:c r="P214" s="119" t="n">
        <x:f>ROUNDDOWN((IF(A214&gt;='材料与任务'!$E$31,'材料与任务'!$E$32,IF(A214&gt;='材料与任务'!$E$25,'材料与任务'!$E$26,IF(A214&gt;='材料与任务'!$E$19,'材料与任务'!$E$20,IF(A214&gt;='材料与任务'!$E$13,'材料与任务'!$E$14,'材料与任务'!$E$8)))))*G214,0)</x:f>
        <x:v>6</x:v>
      </x:c>
      <x:c r="Q214" s="119" t="n">
        <x:f>ROUNDDOWN((IF(A214&gt;='材料与任务'!$E$31,'材料与任务'!$E$33,IF(A214&gt;='材料与任务'!$E$25,'材料与任务'!$E$27,IF(A214&gt;='材料与任务'!$E$19,'材料与任务'!$E$21,IF(A214&gt;='材料与任务'!$E$13,'材料与任务'!$E$15,'材料与任务'!$E$9)))))*G214,0)</x:f>
        <x:v>3</x:v>
      </x:c>
      <x:c r="R214" s="110" t="n">
        <x:f>'装备掉落'!$B$38</x:f>
        <x:v>0.6872058758851213</x:v>
      </x:c>
      <x:c r="S214" s="119" t="n">
        <x:f>MAX(IF(VLOOKUP(A214,'装备掉落'!$A$29:$H$34,2,TRUE)&gt;0,1,0),IF(VLOOKUP(A214,'装备掉落'!$A$29:$H$34,3,TRUE)&gt;0,2,0),IF(VLOOKUP(A214,'装备掉落'!$A$29:$H$34,4,TRUE)&gt;0,3,0),IF(VLOOKUP(A214,'装备掉落'!$A$29:$H$34,5,TRUE)&gt;0,4,0),IF(VLOOKUP(A214,'装备掉落'!$A$29:$H$34,6,TRUE)&gt;0,5,0),IF(VLOOKUP(A214,'装备掉落'!$A$29:$H$34,7,TRUE)&gt;0,6,0),IF(VLOOKUP(A214,'装备掉落'!$A$29:$H$34,8,TRUE)&gt;0,7,0))</x:f>
        <x:v>7</x:v>
      </x:c>
      <x:c r="T214" s="119" t="n">
        <x:f>MIN(7,S214+'经济参数'!$E$70)</x:f>
        <x:v>7</x:v>
      </x:c>
      <x:c r="U214" s="119" t="n">
        <x:f>MIN(7,S214+'经济参数'!$E$71)</x:f>
        <x:v>7</x:v>
      </x:c>
      <x:c r="V214" s="119" t="n">
        <x:f>IF(H214&gt;=('难度参数'!$E$52),1,0)+IF(H214&gt;=('难度参数'!$E$52+'难度参数'!$E$53),1,0)+IF(H214&gt;=('难度参数'!$E$52+'难度参数'!$E$53+'难度参数'!$E$54),1,0)+IF(H214&gt;=('难度参数'!$E$52+'难度参数'!$E$53+'难度参数'!$E$54+'难度参数'!$E$55),1,0)+IF(H214&gt;=('难度参数'!$E$52+'难度参数'!$E$53+'难度参数'!$E$54+'难度参数'!$E$55+'难度参数'!$E$56),1,0)+IF(H214&gt;=('难度参数'!$E$52+'难度参数'!$E$53+'难度参数'!$E$54+'难度参数'!$E$55+'难度参数'!$E$56+'难度参数'!$E$57),1,0)</x:f>
        <x:v>6</x:v>
      </x:c>
      <x:c r="W214" s="62" t="str">
        <x:f>IF(L214&gt;'难度参数'!$E$51,"仅出怪已超目标","还需实测")</x:f>
        <x:v>还需实测</x:v>
      </x:c>
      <x:c r="X214" s="119" t="n">
        <x:f>IF(1&gt;D214,0,MAX(2,MIN('难度参数'!$E$12,ROUND(('难度参数'!$E$18*POWER(A214,'难度参数'!$E$19)/D214*(0.85+0.3*(1-1)/MAX(1,D214-1))),0)+F214)))</x:f>
        <x:v>26</x:v>
      </x:c>
      <x:c r="Y214" s="119" t="n">
        <x:f>IF(1&gt;D214,0,ROUND(('难度参数'!$E$13*POWER(A214,'难度参数'!$E$20)*MIN('难度参数'!$E$23,1+MAX(0,A214-'难度参数'!$E$21)*'难度参数'!$E$22))*(36+1*7)/(36+7*(D214+1)/2)*E214,0))</x:f>
        <x:v>4233</x:v>
      </x:c>
      <x:c r="Z214" s="119" t="n">
        <x:f>IF(X214=0,0,(X214-IF(1=D214,1,0))*ROUND(Y214*VLOOKUP(INDEX('章节与怪物'!$E$31:$K$37,B214,1),'章节与怪物'!$A$41:$F$44,2,FALSE),0)+IF(1=D214,ROUND(Y214*'难度参数'!$E$28*'章节与怪物'!$E$17,0),0))</x:f>
        <x:v>110058</x:v>
      </x:c>
      <x:c r="AA214" s="119" t="n">
        <x:f>IF(X214=0,0,(X214-IF(1=D214,1,0))*VLOOKUP(INDEX('章节与怪物'!$E$31:$K$37,B214,1),'章节与怪物'!$A$41:$F$44,4,FALSE)+IF(1=D214,'难度参数'!$E$30,0))</x:f>
        <x:v>468</x:v>
      </x:c>
      <x:c r="AB214" s="119" t="n">
        <x:f>IF(2&gt;D214,0,MAX(2,MIN('难度参数'!$E$12,ROUND(('难度参数'!$E$18*POWER(A214,'难度参数'!$E$19)/D214*(0.85+0.3*(2-1)/MAX(1,D214-1))),0)+F214)))</x:f>
        <x:v>27</x:v>
      </x:c>
      <x:c r="AC214" s="119" t="n">
        <x:f>IF(2&gt;D214,0,ROUND(('难度参数'!$E$13*POWER(A214,'难度参数'!$E$20)*MIN('难度参数'!$E$23,1+MAX(0,A214-'难度参数'!$E$21)*'难度参数'!$E$22))*(36+2*7)/(36+7*(D214+1)/2)*E214,0))</x:f>
        <x:v>4922</x:v>
      </x:c>
      <x:c r="AD214" s="119" t="n">
        <x:f>IF(AB214=0,0,(AB214-IF(2=D214,1,0))*ROUND(AC214*VLOOKUP(INDEX('章节与怪物'!$E$31:$K$37,B214,2),'章节与怪物'!$A$41:$F$44,2,FALSE),0)+IF(2=D214,ROUND(AC214*'难度参数'!$E$28*'章节与怪物'!$E$17,0),0))</x:f>
        <x:v>95688</x:v>
      </x:c>
      <x:c r="AE214" s="119" t="n">
        <x:f>IF(AB214=0,0,(AB214-IF(2=D214,1,0))*VLOOKUP(INDEX('章节与怪物'!$E$31:$K$37,B214,2),'章节与怪物'!$A$41:$F$44,4,FALSE)+IF(2=D214,'难度参数'!$E$30,0))</x:f>
        <x:v>540</x:v>
      </x:c>
      <x:c r="AF214" s="119" t="n">
        <x:f>IF(3&gt;D214,0,MAX(2,MIN('难度参数'!$E$12,ROUND(('难度参数'!$E$18*POWER(A214,'难度参数'!$E$19)/D214*(0.85+0.3*(3-1)/MAX(1,D214-1))),0)+F214)))</x:f>
        <x:v>29</x:v>
      </x:c>
      <x:c r="AG214" s="119" t="n">
        <x:f>IF(3&gt;D214,0,ROUND(('难度参数'!$E$13*POWER(A214,'难度参数'!$E$20)*MIN('难度参数'!$E$23,1+MAX(0,A214-'难度参数'!$E$21)*'难度参数'!$E$22))*(36+3*7)/(36+7*(D214+1)/2)*E214,0))</x:f>
        <x:v>5611</x:v>
      </x:c>
      <x:c r="AH214" s="119" t="n">
        <x:f>IF(AF214=0,0,(AF214-IF(3=D214,1,0))*ROUND(AG214*VLOOKUP(INDEX('章节与怪物'!$E$31:$K$37,B214,3),'章节与怪物'!$A$41:$F$44,2,FALSE),0)+IF(3=D214,ROUND(AG214*'难度参数'!$E$28*'章节与怪物'!$E$17,0),0))</x:f>
        <x:v>276631</x:v>
      </x:c>
      <x:c r="AI214" s="119" t="n">
        <x:f>IF(AF214=0,0,(AF214-IF(3=D214,1,0))*VLOOKUP(INDEX('章节与怪物'!$E$31:$K$37,B214,3),'章节与怪物'!$A$41:$F$44,4,FALSE)+IF(3=D214,'难度参数'!$E$30,0))</x:f>
        <x:v>812</x:v>
      </x:c>
      <x:c r="AJ214" s="119" t="n">
        <x:f>IF(4&gt;D214,0,MAX(2,MIN('难度参数'!$E$12,ROUND(('难度参数'!$E$18*POWER(A214,'难度参数'!$E$19)/D214*(0.85+0.3*(4-1)/MAX(1,D214-1))),0)+F214)))</x:f>
        <x:v>31</x:v>
      </x:c>
      <x:c r="AK214" s="119" t="n">
        <x:f>IF(4&gt;D214,0,ROUND(('难度参数'!$E$13*POWER(A214,'难度参数'!$E$20)*MIN('难度参数'!$E$23,1+MAX(0,A214-'难度参数'!$E$21)*'难度参数'!$E$22))*(36+4*7)/(36+7*(D214+1)/2)*E214,0))</x:f>
        <x:v>6300</x:v>
      </x:c>
      <x:c r="AL214" s="119" t="n">
        <x:f>IF(AJ214=0,0,(AJ214-IF(4=D214,1,0))*ROUND(AK214*VLOOKUP(INDEX('章节与怪物'!$E$31:$K$37,B214,4),'章节与怪物'!$A$41:$F$44,2,FALSE),0)+IF(4=D214,ROUND(AK214*'难度参数'!$E$28*'章节与怪物'!$E$17,0),0))</x:f>
        <x:v>263655</x:v>
      </x:c>
      <x:c r="AM214" s="119" t="n">
        <x:f>IF(AJ214=0,0,(AJ214-IF(4=D214,1,0))*VLOOKUP(INDEX('章节与怪物'!$E$31:$K$37,B214,4),'章节与怪物'!$A$41:$F$44,4,FALSE)+IF(4=D214,'难度参数'!$E$30,0))</x:f>
        <x:v>1054</x:v>
      </x:c>
      <x:c r="AN214" s="119" t="n">
        <x:f>IF(5&gt;D214,0,MAX(2,MIN('难度参数'!$E$12,ROUND(('难度参数'!$E$18*POWER(A214,'难度参数'!$E$19)/D214*(0.85+0.3*(5-1)/MAX(1,D214-1))),0)+F214)))</x:f>
        <x:v>32</x:v>
      </x:c>
      <x:c r="AO214" s="119" t="n">
        <x:f>IF(5&gt;D214,0,ROUND(('难度参数'!$E$13*POWER(A214,'难度参数'!$E$20)*MIN('难度参数'!$E$23,1+MAX(0,A214-'难度参数'!$E$21)*'难度参数'!$E$22))*(36+5*7)/(36+7*(D214+1)/2)*E214,0))</x:f>
        <x:v>6989</x:v>
      </x:c>
      <x:c r="AP214" s="119" t="n">
        <x:f>IF(AN214=0,0,(AN214-IF(5=D214,1,0))*ROUND(AO214*VLOOKUP(INDEX('章节与怪物'!$E$31:$K$37,B214,5),'章节与怪物'!$A$41:$F$44,2,FALSE),0)+IF(5=D214,ROUND(AO214*'难度参数'!$E$28*'章节与怪物'!$E$17,0),0))</x:f>
        <x:v>161024</x:v>
      </x:c>
      <x:c r="AQ214" s="119" t="n">
        <x:f>IF(AN214=0,0,(AN214-IF(5=D214,1,0))*VLOOKUP(INDEX('章节与怪物'!$E$31:$K$37,B214,5),'章节与怪物'!$A$41:$F$44,4,FALSE)+IF(5=D214,'难度参数'!$E$30,0))</x:f>
        <x:v>640</x:v>
      </x:c>
      <x:c r="AR214" s="119" t="n">
        <x:f>IF(6&gt;D214,0,MAX(2,MIN('难度参数'!$E$12,ROUND(('难度参数'!$E$18*POWER(A214,'难度参数'!$E$19)/D214*(0.85+0.3*(6-1)/MAX(1,D214-1))),0)+F214)))</x:f>
        <x:v>34</x:v>
      </x:c>
      <x:c r="AS214" s="119" t="n">
        <x:f>IF(6&gt;D214,0,ROUND(('难度参数'!$E$13*POWER(A214,'难度参数'!$E$20)*MIN('难度参数'!$E$23,1+MAX(0,A214-'难度参数'!$E$21)*'难度参数'!$E$22))*(36+6*7)/(36+7*(D214+1)/2)*E214,0))</x:f>
        <x:v>7678</x:v>
      </x:c>
      <x:c r="AT214" s="119" t="n">
        <x:f>IF(AR214=0,0,(AR214-IF(6=D214,1,0))*ROUND(AS214*VLOOKUP(INDEX('章节与怪物'!$E$31:$K$37,B214,6),'章节与怪物'!$A$41:$F$44,2,FALSE),0)+IF(6=D214,ROUND(AS214*'难度参数'!$E$28*'章节与怪物'!$E$17,0),0))</x:f>
        <x:v>443802</x:v>
      </x:c>
      <x:c r="AU214" s="119" t="n">
        <x:f>IF(AR214=0,0,(AR214-IF(6=D214,1,0))*VLOOKUP(INDEX('章节与怪物'!$E$31:$K$37,B214,6),'章节与怪物'!$A$41:$F$44,4,FALSE)+IF(6=D214,'难度参数'!$E$30,0))</x:f>
        <x:v>952</x:v>
      </x:c>
      <x:c r="AV214" s="119" t="n">
        <x:f>IF(7&gt;D214,0,MAX(2,MIN('难度参数'!$E$12,ROUND(('难度参数'!$E$18*POWER(A214,'难度参数'!$E$19)/D214*(0.85+0.3*(7-1)/MAX(1,D214-1))),0)+F214)))</x:f>
        <x:v>35</x:v>
      </x:c>
      <x:c r="AW214" s="119" t="n">
        <x:f>IF(7&gt;D214,0,ROUND(('难度参数'!$E$13*POWER(A214,'难度参数'!$E$20)*MIN('难度参数'!$E$23,1+MAX(0,A214-'难度参数'!$E$21)*'难度参数'!$E$22))*(36+7*7)/(36+7*(D214+1)/2)*E214,0))</x:f>
        <x:v>8367</x:v>
      </x:c>
      <x:c r="AX214" s="119" t="n">
        <x:f>IF(AV214=0,0,(AV214-IF(7=D214,1,0))*ROUND(AW214*VLOOKUP(INDEX('章节与怪物'!$E$31:$K$37,B214,7),'章节与怪物'!$A$41:$F$44,2,FALSE),0)+IF(7=D214,ROUND(AW214*'难度参数'!$E$28*'章节与怪物'!$E$17,0),0))</x:f>
        <x:v>440926</x:v>
      </x:c>
      <x:c r="AY214" s="119" t="n">
        <x:f>IF(AV214=0,0,(AV214-IF(7=D214,1,0))*VLOOKUP(INDEX('章节与怪物'!$E$31:$K$37,B214,7),'章节与怪物'!$A$41:$F$44,4,FALSE)+IF(7=D214,'难度参数'!$E$30,0))</x:f>
        <x:v>1356</x:v>
      </x:c>
    </x:row>
    <x:row r="215" ht="23" customHeight="1">
      <x:c r="A215" s="119" t="n">
        <x:v>209</x:v>
      </x:c>
      <x:c r="B215" s="119" t="n">
        <x:f>MOD(INT((A215-1)/5),7)+1</x:f>
        <x:v>7</x:v>
      </x:c>
      <x:c r="C215" s="62" t="str">
        <x:f>INDEX('章节与怪物'!$B$31:$B$37,B215)</x:f>
        <x:v>魔法山脊</x:v>
      </x:c>
      <x:c r="D215" s="119" t="n">
        <x:f>MIN('难度参数'!$E$8,MAX('难度参数'!$E$7,A215))</x:f>
        <x:v>7</x:v>
      </x:c>
      <x:c r="E215" s="106" t="n">
        <x:v>1</x:v>
      </x:c>
      <x:c r="F215" s="106" t="n">
        <x:v>0</x:v>
      </x:c>
      <x:c r="G215" s="106" t="n">
        <x:v>1</x:v>
      </x:c>
      <x:c r="H215" s="119" t="n">
        <x:f>SUM(X215,AB215,AF215,AJ215,AN215,AR215,AV215)</x:f>
        <x:v>215</x:v>
      </x:c>
      <x:c r="I215" s="119" t="n">
        <x:f>SUM(Z215,AD215,AH215,AL215,AP215,AT215,AX215)</x:f>
        <x:v>1801551</x:v>
      </x:c>
      <x:c r="J215" s="119" t="n">
        <x:f>ROUND(INDEX(X215:AY215,1,(D215-1)*4+2)*'难度参数'!$E$28*'章节与怪物'!$E$17,0)</x:f>
        <x:v>57093</x:v>
      </x:c>
      <x:c r="K215" s="119" t="n">
        <x:f>SUM(AA215,AE215,AI215,AM215,AQ215,AU215,AY215)</x:f>
        <x:v>5842</x:v>
      </x:c>
      <x:c r="L215" s="62" t="n">
        <x:f>H215*(ROUNDUP('难度参数'!$E$24/('难度参数'!$E$26*'难度参数'!$E$27),0)*'难度参数'!$E$26)/60</x:f>
        <x:v>2.8666666666666667</x:v>
      </x:c>
      <x:c r="M215" s="62" t="n">
        <x:f>L215+D215*('难度参数'!$E$49+'难度参数'!$E$50)/60</x:f>
        <x:v>4.033333333333333</x:v>
      </x:c>
      <x:c r="N215" s="119" t="n">
        <x:f>ROUNDDOWN(('经济参数'!$E$20+A215*'经济参数'!$E$21)*G215,0)</x:f>
        <x:v>4360</x:v>
      </x:c>
      <x:c r="O215" s="119" t="n">
        <x:f>ROUNDDOWN(MIN('经济参数'!$E$24,'经济参数'!$E$22+A215*'经济参数'!$E$23)*G215,0)</x:f>
        <x:v>0</x:v>
      </x:c>
      <x:c r="P215" s="119" t="n">
        <x:f>ROUNDDOWN((IF(A215&gt;='材料与任务'!$E$31,'材料与任务'!$E$32,IF(A215&gt;='材料与任务'!$E$25,'材料与任务'!$E$26,IF(A215&gt;='材料与任务'!$E$19,'材料与任务'!$E$20,IF(A215&gt;='材料与任务'!$E$13,'材料与任务'!$E$14,'材料与任务'!$E$8)))))*G215,0)</x:f>
        <x:v>6</x:v>
      </x:c>
      <x:c r="Q215" s="119" t="n">
        <x:f>ROUNDDOWN((IF(A215&gt;='材料与任务'!$E$31,'材料与任务'!$E$33,IF(A215&gt;='材料与任务'!$E$25,'材料与任务'!$E$27,IF(A215&gt;='材料与任务'!$E$19,'材料与任务'!$E$21,IF(A215&gt;='材料与任务'!$E$13,'材料与任务'!$E$15,'材料与任务'!$E$9)))))*G215,0)</x:f>
        <x:v>3</x:v>
      </x:c>
      <x:c r="R215" s="110" t="n">
        <x:f>'装备掉落'!$B$38</x:f>
        <x:v>0.6872058758851213</x:v>
      </x:c>
      <x:c r="S215" s="119" t="n">
        <x:f>MAX(IF(VLOOKUP(A215,'装备掉落'!$A$29:$H$34,2,TRUE)&gt;0,1,0),IF(VLOOKUP(A215,'装备掉落'!$A$29:$H$34,3,TRUE)&gt;0,2,0),IF(VLOOKUP(A215,'装备掉落'!$A$29:$H$34,4,TRUE)&gt;0,3,0),IF(VLOOKUP(A215,'装备掉落'!$A$29:$H$34,5,TRUE)&gt;0,4,0),IF(VLOOKUP(A215,'装备掉落'!$A$29:$H$34,6,TRUE)&gt;0,5,0),IF(VLOOKUP(A215,'装备掉落'!$A$29:$H$34,7,TRUE)&gt;0,6,0),IF(VLOOKUP(A215,'装备掉落'!$A$29:$H$34,8,TRUE)&gt;0,7,0))</x:f>
        <x:v>7</x:v>
      </x:c>
      <x:c r="T215" s="119" t="n">
        <x:f>MIN(7,S215+'经济参数'!$E$70)</x:f>
        <x:v>7</x:v>
      </x:c>
      <x:c r="U215" s="119" t="n">
        <x:f>MIN(7,S215+'经济参数'!$E$71)</x:f>
        <x:v>7</x:v>
      </x:c>
      <x:c r="V215" s="119" t="n">
        <x:f>IF(H215&gt;=('难度参数'!$E$52),1,0)+IF(H215&gt;=('难度参数'!$E$52+'难度参数'!$E$53),1,0)+IF(H215&gt;=('难度参数'!$E$52+'难度参数'!$E$53+'难度参数'!$E$54),1,0)+IF(H215&gt;=('难度参数'!$E$52+'难度参数'!$E$53+'难度参数'!$E$54+'难度参数'!$E$55),1,0)+IF(H215&gt;=('难度参数'!$E$52+'难度参数'!$E$53+'难度参数'!$E$54+'难度参数'!$E$55+'难度参数'!$E$56),1,0)+IF(H215&gt;=('难度参数'!$E$52+'难度参数'!$E$53+'难度参数'!$E$54+'难度参数'!$E$55+'难度参数'!$E$56+'难度参数'!$E$57),1,0)</x:f>
        <x:v>6</x:v>
      </x:c>
      <x:c r="W215" s="62" t="str">
        <x:f>IF(L215&gt;'难度参数'!$E$51,"仅出怪已超目标","还需实测")</x:f>
        <x:v>还需实测</x:v>
      </x:c>
      <x:c r="X215" s="119" t="n">
        <x:f>IF(1&gt;D215,0,MAX(2,MIN('难度参数'!$E$12,ROUND(('难度参数'!$E$18*POWER(A215,'难度参数'!$E$19)/D215*(0.85+0.3*(1-1)/MAX(1,D215-1))),0)+F215)))</x:f>
        <x:v>26</x:v>
      </x:c>
      <x:c r="Y215" s="119" t="n">
        <x:f>IF(1&gt;D215,0,ROUND(('难度参数'!$E$13*POWER(A215,'难度参数'!$E$20)*MIN('难度参数'!$E$23,1+MAX(0,A215-'难度参数'!$E$21)*'难度参数'!$E$22))*(36+1*7)/(36+7*(D215+1)/2)*E215,0))</x:f>
        <x:v>4247</x:v>
      </x:c>
      <x:c r="Z215" s="119" t="n">
        <x:f>IF(X215=0,0,(X215-IF(1=D215,1,0))*ROUND(Y215*VLOOKUP(INDEX('章节与怪物'!$E$31:$K$37,B215,1),'章节与怪物'!$A$41:$F$44,2,FALSE),0)+IF(1=D215,ROUND(Y215*'难度参数'!$E$28*'章节与怪物'!$E$17,0),0))</x:f>
        <x:v>110422</x:v>
      </x:c>
      <x:c r="AA215" s="119" t="n">
        <x:f>IF(X215=0,0,(X215-IF(1=D215,1,0))*VLOOKUP(INDEX('章节与怪物'!$E$31:$K$37,B215,1),'章节与怪物'!$A$41:$F$44,4,FALSE)+IF(1=D215,'难度参数'!$E$30,0))</x:f>
        <x:v>468</x:v>
      </x:c>
      <x:c r="AB215" s="119" t="n">
        <x:f>IF(2&gt;D215,0,MAX(2,MIN('难度参数'!$E$12,ROUND(('难度参数'!$E$18*POWER(A215,'难度参数'!$E$19)/D215*(0.85+0.3*(2-1)/MAX(1,D215-1))),0)+F215)))</x:f>
        <x:v>28</x:v>
      </x:c>
      <x:c r="AC215" s="119" t="n">
        <x:f>IF(2&gt;D215,0,ROUND(('难度参数'!$E$13*POWER(A215,'难度参数'!$E$20)*MIN('难度参数'!$E$23,1+MAX(0,A215-'难度参数'!$E$21)*'难度参数'!$E$22))*(36+2*7)/(36+7*(D215+1)/2)*E215,0))</x:f>
        <x:v>4939</x:v>
      </x:c>
      <x:c r="AD215" s="119" t="n">
        <x:f>IF(AB215=0,0,(AB215-IF(2=D215,1,0))*ROUND(AC215*VLOOKUP(INDEX('章节与怪物'!$E$31:$K$37,B215,2),'章节与怪物'!$A$41:$F$44,2,FALSE),0)+IF(2=D215,ROUND(AC215*'难度参数'!$E$28*'章节与怪物'!$E$17,0),0))</x:f>
        <x:v>99568</x:v>
      </x:c>
      <x:c r="AE215" s="119" t="n">
        <x:f>IF(AB215=0,0,(AB215-IF(2=D215,1,0))*VLOOKUP(INDEX('章节与怪物'!$E$31:$K$37,B215,2),'章节与怪物'!$A$41:$F$44,4,FALSE)+IF(2=D215,'难度参数'!$E$30,0))</x:f>
        <x:v>560</x:v>
      </x:c>
      <x:c r="AF215" s="119" t="n">
        <x:f>IF(3&gt;D215,0,MAX(2,MIN('难度参数'!$E$12,ROUND(('难度参数'!$E$18*POWER(A215,'难度参数'!$E$19)/D215*(0.85+0.3*(3-1)/MAX(1,D215-1))),0)+F215)))</x:f>
        <x:v>29</x:v>
      </x:c>
      <x:c r="AG215" s="119" t="n">
        <x:f>IF(3&gt;D215,0,ROUND(('难度参数'!$E$13*POWER(A215,'难度参数'!$E$20)*MIN('难度参数'!$E$23,1+MAX(0,A215-'难度参数'!$E$21)*'难度参数'!$E$22))*(36+3*7)/(36+7*(D215+1)/2)*E215,0))</x:f>
        <x:v>5630</x:v>
      </x:c>
      <x:c r="AH215" s="119" t="n">
        <x:f>IF(AF215=0,0,(AF215-IF(3=D215,1,0))*ROUND(AG215*VLOOKUP(INDEX('章节与怪物'!$E$31:$K$37,B215,3),'章节与怪物'!$A$41:$F$44,2,FALSE),0)+IF(3=D215,ROUND(AG215*'难度参数'!$E$28*'章节与怪物'!$E$17,0),0))</x:f>
        <x:v>277559</x:v>
      </x:c>
      <x:c r="AI215" s="119" t="n">
        <x:f>IF(AF215=0,0,(AF215-IF(3=D215,1,0))*VLOOKUP(INDEX('章节与怪物'!$E$31:$K$37,B215,3),'章节与怪物'!$A$41:$F$44,4,FALSE)+IF(3=D215,'难度参数'!$E$30,0))</x:f>
        <x:v>812</x:v>
      </x:c>
      <x:c r="AJ215" s="119" t="n">
        <x:f>IF(4&gt;D215,0,MAX(2,MIN('难度参数'!$E$12,ROUND(('难度参数'!$E$18*POWER(A215,'难度参数'!$E$19)/D215*(0.85+0.3*(4-1)/MAX(1,D215-1))),0)+F215)))</x:f>
        <x:v>31</x:v>
      </x:c>
      <x:c r="AK215" s="119" t="n">
        <x:f>IF(4&gt;D215,0,ROUND(('难度参数'!$E$13*POWER(A215,'难度参数'!$E$20)*MIN('难度参数'!$E$23,1+MAX(0,A215-'难度参数'!$E$21)*'难度参数'!$E$22))*(36+4*7)/(36+7*(D215+1)/2)*E215,0))</x:f>
        <x:v>6322</x:v>
      </x:c>
      <x:c r="AL215" s="119" t="n">
        <x:f>IF(AJ215=0,0,(AJ215-IF(4=D215,1,0))*ROUND(AK215*VLOOKUP(INDEX('章节与怪物'!$E$31:$K$37,B215,4),'章节与怪物'!$A$41:$F$44,2,FALSE),0)+IF(4=D215,ROUND(AK215*'难度参数'!$E$28*'章节与怪物'!$E$17,0),0))</x:f>
        <x:v>264585</x:v>
      </x:c>
      <x:c r="AM215" s="119" t="n">
        <x:f>IF(AJ215=0,0,(AJ215-IF(4=D215,1,0))*VLOOKUP(INDEX('章节与怪物'!$E$31:$K$37,B215,4),'章节与怪物'!$A$41:$F$44,4,FALSE)+IF(4=D215,'难度参数'!$E$30,0))</x:f>
        <x:v>1054</x:v>
      </x:c>
      <x:c r="AN215" s="119" t="n">
        <x:f>IF(5&gt;D215,0,MAX(2,MIN('难度参数'!$E$12,ROUND(('难度参数'!$E$18*POWER(A215,'难度参数'!$E$19)/D215*(0.85+0.3*(5-1)/MAX(1,D215-1))),0)+F215)))</x:f>
        <x:v>32</x:v>
      </x:c>
      <x:c r="AO215" s="119" t="n">
        <x:f>IF(5&gt;D215,0,ROUND(('难度参数'!$E$13*POWER(A215,'难度参数'!$E$20)*MIN('难度参数'!$E$23,1+MAX(0,A215-'难度参数'!$E$21)*'难度参数'!$E$22))*(36+5*7)/(36+7*(D215+1)/2)*E215,0))</x:f>
        <x:v>7013</x:v>
      </x:c>
      <x:c r="AP215" s="119" t="n">
        <x:f>IF(AN215=0,0,(AN215-IF(5=D215,1,0))*ROUND(AO215*VLOOKUP(INDEX('章节与怪物'!$E$31:$K$37,B215,5),'章节与怪物'!$A$41:$F$44,2,FALSE),0)+IF(5=D215,ROUND(AO215*'难度参数'!$E$28*'章节与怪物'!$E$17,0),0))</x:f>
        <x:v>161568</x:v>
      </x:c>
      <x:c r="AQ215" s="119" t="n">
        <x:f>IF(AN215=0,0,(AN215-IF(5=D215,1,0))*VLOOKUP(INDEX('章节与怪物'!$E$31:$K$37,B215,5),'章节与怪物'!$A$41:$F$44,4,FALSE)+IF(5=D215,'难度参数'!$E$30,0))</x:f>
        <x:v>640</x:v>
      </x:c>
      <x:c r="AR215" s="119" t="n">
        <x:f>IF(6&gt;D215,0,MAX(2,MIN('难度参数'!$E$12,ROUND(('难度参数'!$E$18*POWER(A215,'难度参数'!$E$19)/D215*(0.85+0.3*(6-1)/MAX(1,D215-1))),0)+F215)))</x:f>
        <x:v>34</x:v>
      </x:c>
      <x:c r="AS215" s="119" t="n">
        <x:f>IF(6&gt;D215,0,ROUND(('难度参数'!$E$13*POWER(A215,'难度参数'!$E$20)*MIN('难度参数'!$E$23,1+MAX(0,A215-'难度参数'!$E$21)*'难度参数'!$E$22))*(36+6*7)/(36+7*(D215+1)/2)*E215,0))</x:f>
        <x:v>7705</x:v>
      </x:c>
      <x:c r="AT215" s="119" t="n">
        <x:f>IF(AR215=0,0,(AR215-IF(6=D215,1,0))*ROUND(AS215*VLOOKUP(INDEX('章节与怪物'!$E$31:$K$37,B215,6),'章节与怪物'!$A$41:$F$44,2,FALSE),0)+IF(6=D215,ROUND(AS215*'难度参数'!$E$28*'章节与怪物'!$E$17,0),0))</x:f>
        <x:v>445366</x:v>
      </x:c>
      <x:c r="AU215" s="119" t="n">
        <x:f>IF(AR215=0,0,(AR215-IF(6=D215,1,0))*VLOOKUP(INDEX('章节与怪物'!$E$31:$K$37,B215,6),'章节与怪物'!$A$41:$F$44,4,FALSE)+IF(6=D215,'难度参数'!$E$30,0))</x:f>
        <x:v>952</x:v>
      </x:c>
      <x:c r="AV215" s="119" t="n">
        <x:f>IF(7&gt;D215,0,MAX(2,MIN('难度参数'!$E$12,ROUND(('难度参数'!$E$18*POWER(A215,'难度参数'!$E$19)/D215*(0.85+0.3*(7-1)/MAX(1,D215-1))),0)+F215)))</x:f>
        <x:v>35</x:v>
      </x:c>
      <x:c r="AW215" s="119" t="n">
        <x:f>IF(7&gt;D215,0,ROUND(('难度参数'!$E$13*POWER(A215,'难度参数'!$E$20)*MIN('难度参数'!$E$23,1+MAX(0,A215-'难度参数'!$E$21)*'难度参数'!$E$22))*(36+7*7)/(36+7*(D215+1)/2)*E215,0))</x:f>
        <x:v>8396</x:v>
      </x:c>
      <x:c r="AX215" s="119" t="n">
        <x:f>IF(AV215=0,0,(AV215-IF(7=D215,1,0))*ROUND(AW215*VLOOKUP(INDEX('章节与怪物'!$E$31:$K$37,B215,7),'章节与怪物'!$A$41:$F$44,2,FALSE),0)+IF(7=D215,ROUND(AW215*'难度参数'!$E$28*'章节与怪物'!$E$17,0),0))</x:f>
        <x:v>442483</x:v>
      </x:c>
      <x:c r="AY215" s="119" t="n">
        <x:f>IF(AV215=0,0,(AV215-IF(7=D215,1,0))*VLOOKUP(INDEX('章节与怪物'!$E$31:$K$37,B215,7),'章节与怪物'!$A$41:$F$44,4,FALSE)+IF(7=D215,'难度参数'!$E$30,0))</x:f>
        <x:v>1356</x:v>
      </x:c>
    </x:row>
    <x:row r="216" ht="23" customHeight="1">
      <x:c r="A216" s="119" t="n">
        <x:v>210</x:v>
      </x:c>
      <x:c r="B216" s="119" t="n">
        <x:f>MOD(INT((A216-1)/5),7)+1</x:f>
        <x:v>7</x:v>
      </x:c>
      <x:c r="C216" s="62" t="str">
        <x:f>INDEX('章节与怪物'!$B$31:$B$37,B216)</x:f>
        <x:v>魔法山脊</x:v>
      </x:c>
      <x:c r="D216" s="119" t="n">
        <x:f>MIN('难度参数'!$E$8,MAX('难度参数'!$E$7,A216))</x:f>
        <x:v>7</x:v>
      </x:c>
      <x:c r="E216" s="106" t="n">
        <x:v>1</x:v>
      </x:c>
      <x:c r="F216" s="106" t="n">
        <x:v>0</x:v>
      </x:c>
      <x:c r="G216" s="106" t="n">
        <x:v>1</x:v>
      </x:c>
      <x:c r="H216" s="119" t="n">
        <x:f>SUM(X216,AB216,AF216,AJ216,AN216,AR216,AV216)</x:f>
        <x:v>215</x:v>
      </x:c>
      <x:c r="I216" s="119" t="n">
        <x:f>SUM(Z216,AD216,AH216,AL216,AP216,AT216,AX216)</x:f>
        <x:v>1807757</x:v>
      </x:c>
      <x:c r="J216" s="119" t="n">
        <x:f>ROUND(INDEX(X216:AY216,1,(D216-1)*4+2)*'难度参数'!$E$28*'章节与怪物'!$E$17,0)</x:f>
        <x:v>57290</x:v>
      </x:c>
      <x:c r="K216" s="119" t="n">
        <x:f>SUM(AA216,AE216,AI216,AM216,AQ216,AU216,AY216)</x:f>
        <x:v>5842</x:v>
      </x:c>
      <x:c r="L216" s="62" t="n">
        <x:f>H216*(ROUNDUP('难度参数'!$E$24/('难度参数'!$E$26*'难度参数'!$E$27),0)*'难度参数'!$E$26)/60</x:f>
        <x:v>2.8666666666666667</x:v>
      </x:c>
      <x:c r="M216" s="62" t="n">
        <x:f>L216+D216*('难度参数'!$E$49+'难度参数'!$E$50)/60</x:f>
        <x:v>4.033333333333333</x:v>
      </x:c>
      <x:c r="N216" s="119" t="n">
        <x:f>ROUNDDOWN(('经济参数'!$E$20+A216*'经济参数'!$E$21)*G216,0)</x:f>
        <x:v>4380</x:v>
      </x:c>
      <x:c r="O216" s="119" t="n">
        <x:f>ROUNDDOWN(MIN('经济参数'!$E$24,'经济参数'!$E$22+A216*'经济参数'!$E$23)*G216,0)</x:f>
        <x:v>0</x:v>
      </x:c>
      <x:c r="P216" s="119" t="n">
        <x:f>ROUNDDOWN((IF(A216&gt;='材料与任务'!$E$31,'材料与任务'!$E$32,IF(A216&gt;='材料与任务'!$E$25,'材料与任务'!$E$26,IF(A216&gt;='材料与任务'!$E$19,'材料与任务'!$E$20,IF(A216&gt;='材料与任务'!$E$13,'材料与任务'!$E$14,'材料与任务'!$E$8)))))*G216,0)</x:f>
        <x:v>6</x:v>
      </x:c>
      <x:c r="Q216" s="119" t="n">
        <x:f>ROUNDDOWN((IF(A216&gt;='材料与任务'!$E$31,'材料与任务'!$E$33,IF(A216&gt;='材料与任务'!$E$25,'材料与任务'!$E$27,IF(A216&gt;='材料与任务'!$E$19,'材料与任务'!$E$21,IF(A216&gt;='材料与任务'!$E$13,'材料与任务'!$E$15,'材料与任务'!$E$9)))))*G216,0)</x:f>
        <x:v>3</x:v>
      </x:c>
      <x:c r="R216" s="110" t="n">
        <x:f>'装备掉落'!$B$38</x:f>
        <x:v>0.6872058758851213</x:v>
      </x:c>
      <x:c r="S216" s="119" t="n">
        <x:f>MAX(IF(VLOOKUP(A216,'装备掉落'!$A$29:$H$34,2,TRUE)&gt;0,1,0),IF(VLOOKUP(A216,'装备掉落'!$A$29:$H$34,3,TRUE)&gt;0,2,0),IF(VLOOKUP(A216,'装备掉落'!$A$29:$H$34,4,TRUE)&gt;0,3,0),IF(VLOOKUP(A216,'装备掉落'!$A$29:$H$34,5,TRUE)&gt;0,4,0),IF(VLOOKUP(A216,'装备掉落'!$A$29:$H$34,6,TRUE)&gt;0,5,0),IF(VLOOKUP(A216,'装备掉落'!$A$29:$H$34,7,TRUE)&gt;0,6,0),IF(VLOOKUP(A216,'装备掉落'!$A$29:$H$34,8,TRUE)&gt;0,7,0))</x:f>
        <x:v>7</x:v>
      </x:c>
      <x:c r="T216" s="119" t="n">
        <x:f>MIN(7,S216+'经济参数'!$E$70)</x:f>
        <x:v>7</x:v>
      </x:c>
      <x:c r="U216" s="119" t="n">
        <x:f>MIN(7,S216+'经济参数'!$E$71)</x:f>
        <x:v>7</x:v>
      </x:c>
      <x:c r="V216" s="119" t="n">
        <x:f>IF(H216&gt;=('难度参数'!$E$52),1,0)+IF(H216&gt;=('难度参数'!$E$52+'难度参数'!$E$53),1,0)+IF(H216&gt;=('难度参数'!$E$52+'难度参数'!$E$53+'难度参数'!$E$54),1,0)+IF(H216&gt;=('难度参数'!$E$52+'难度参数'!$E$53+'难度参数'!$E$54+'难度参数'!$E$55),1,0)+IF(H216&gt;=('难度参数'!$E$52+'难度参数'!$E$53+'难度参数'!$E$54+'难度参数'!$E$55+'难度参数'!$E$56),1,0)+IF(H216&gt;=('难度参数'!$E$52+'难度参数'!$E$53+'难度参数'!$E$54+'难度参数'!$E$55+'难度参数'!$E$56+'难度参数'!$E$57),1,0)</x:f>
        <x:v>6</x:v>
      </x:c>
      <x:c r="W216" s="62" t="str">
        <x:f>IF(L216&gt;'难度参数'!$E$51,"仅出怪已超目标","还需实测")</x:f>
        <x:v>还需实测</x:v>
      </x:c>
      <x:c r="X216" s="119" t="n">
        <x:f>IF(1&gt;D216,0,MAX(2,MIN('难度参数'!$E$12,ROUND(('难度参数'!$E$18*POWER(A216,'难度参数'!$E$19)/D216*(0.85+0.3*(1-1)/MAX(1,D216-1))),0)+F216)))</x:f>
        <x:v>26</x:v>
      </x:c>
      <x:c r="Y216" s="119" t="n">
        <x:f>IF(1&gt;D216,0,ROUND(('难度参数'!$E$13*POWER(A216,'难度参数'!$E$20)*MIN('难度参数'!$E$23,1+MAX(0,A216-'难度参数'!$E$21)*'难度参数'!$E$22))*(36+1*7)/(36+7*(D216+1)/2)*E216,0))</x:f>
        <x:v>4262</x:v>
      </x:c>
      <x:c r="Z216" s="119" t="n">
        <x:f>IF(X216=0,0,(X216-IF(1=D216,1,0))*ROUND(Y216*VLOOKUP(INDEX('章节与怪物'!$E$31:$K$37,B216,1),'章节与怪物'!$A$41:$F$44,2,FALSE),0)+IF(1=D216,ROUND(Y216*'难度参数'!$E$28*'章节与怪物'!$E$17,0),0))</x:f>
        <x:v>110812</x:v>
      </x:c>
      <x:c r="AA216" s="119" t="n">
        <x:f>IF(X216=0,0,(X216-IF(1=D216,1,0))*VLOOKUP(INDEX('章节与怪物'!$E$31:$K$37,B216,1),'章节与怪物'!$A$41:$F$44,4,FALSE)+IF(1=D216,'难度参数'!$E$30,0))</x:f>
        <x:v>468</x:v>
      </x:c>
      <x:c r="AB216" s="119" t="n">
        <x:f>IF(2&gt;D216,0,MAX(2,MIN('难度参数'!$E$12,ROUND(('难度参数'!$E$18*POWER(A216,'难度参数'!$E$19)/D216*(0.85+0.3*(2-1)/MAX(1,D216-1))),0)+F216)))</x:f>
        <x:v>28</x:v>
      </x:c>
      <x:c r="AC216" s="119" t="n">
        <x:f>IF(2&gt;D216,0,ROUND(('难度参数'!$E$13*POWER(A216,'难度参数'!$E$20)*MIN('难度参数'!$E$23,1+MAX(0,A216-'难度参数'!$E$21)*'难度参数'!$E$22))*(36+2*7)/(36+7*(D216+1)/2)*E216,0))</x:f>
        <x:v>4956</x:v>
      </x:c>
      <x:c r="AD216" s="119" t="n">
        <x:f>IF(AB216=0,0,(AB216-IF(2=D216,1,0))*ROUND(AC216*VLOOKUP(INDEX('章节与怪物'!$E$31:$K$37,B216,2),'章节与怪物'!$A$41:$F$44,2,FALSE),0)+IF(2=D216,ROUND(AC216*'难度参数'!$E$28*'章节与怪物'!$E$17,0),0))</x:f>
        <x:v>99904</x:v>
      </x:c>
      <x:c r="AE216" s="119" t="n">
        <x:f>IF(AB216=0,0,(AB216-IF(2=D216,1,0))*VLOOKUP(INDEX('章节与怪物'!$E$31:$K$37,B216,2),'章节与怪物'!$A$41:$F$44,4,FALSE)+IF(2=D216,'难度参数'!$E$30,0))</x:f>
        <x:v>560</x:v>
      </x:c>
      <x:c r="AF216" s="119" t="n">
        <x:f>IF(3&gt;D216,0,MAX(2,MIN('难度参数'!$E$12,ROUND(('难度参数'!$E$18*POWER(A216,'难度参数'!$E$19)/D216*(0.85+0.3*(3-1)/MAX(1,D216-1))),0)+F216)))</x:f>
        <x:v>29</x:v>
      </x:c>
      <x:c r="AG216" s="119" t="n">
        <x:f>IF(3&gt;D216,0,ROUND(('难度参数'!$E$13*POWER(A216,'难度参数'!$E$20)*MIN('难度参数'!$E$23,1+MAX(0,A216-'难度参数'!$E$21)*'难度参数'!$E$22))*(36+3*7)/(36+7*(D216+1)/2)*E216,0))</x:f>
        <x:v>5650</x:v>
      </x:c>
      <x:c r="AH216" s="119" t="n">
        <x:f>IF(AF216=0,0,(AF216-IF(3=D216,1,0))*ROUND(AG216*VLOOKUP(INDEX('章节与怪物'!$E$31:$K$37,B216,3),'章节与怪物'!$A$41:$F$44,2,FALSE),0)+IF(3=D216,ROUND(AG216*'难度参数'!$E$28*'章节与怪物'!$E$17,0),0))</x:f>
        <x:v>278545</x:v>
      </x:c>
      <x:c r="AI216" s="119" t="n">
        <x:f>IF(AF216=0,0,(AF216-IF(3=D216,1,0))*VLOOKUP(INDEX('章节与怪物'!$E$31:$K$37,B216,3),'章节与怪物'!$A$41:$F$44,4,FALSE)+IF(3=D216,'难度参数'!$E$30,0))</x:f>
        <x:v>812</x:v>
      </x:c>
      <x:c r="AJ216" s="119" t="n">
        <x:f>IF(4&gt;D216,0,MAX(2,MIN('难度参数'!$E$12,ROUND(('难度参数'!$E$18*POWER(A216,'难度参数'!$E$19)/D216*(0.85+0.3*(4-1)/MAX(1,D216-1))),0)+F216)))</x:f>
        <x:v>31</x:v>
      </x:c>
      <x:c r="AK216" s="119" t="n">
        <x:f>IF(4&gt;D216,0,ROUND(('难度参数'!$E$13*POWER(A216,'难度参数'!$E$20)*MIN('难度参数'!$E$23,1+MAX(0,A216-'难度参数'!$E$21)*'难度参数'!$E$22))*(36+4*7)/(36+7*(D216+1)/2)*E216,0))</x:f>
        <x:v>6344</x:v>
      </x:c>
      <x:c r="AL216" s="119" t="n">
        <x:f>IF(AJ216=0,0,(AJ216-IF(4=D216,1,0))*ROUND(AK216*VLOOKUP(INDEX('章节与怪物'!$E$31:$K$37,B216,4),'章节与怪物'!$A$41:$F$44,2,FALSE),0)+IF(4=D216,ROUND(AK216*'难度参数'!$E$28*'章节与怪物'!$E$17,0),0))</x:f>
        <x:v>265484</x:v>
      </x:c>
      <x:c r="AM216" s="119" t="n">
        <x:f>IF(AJ216=0,0,(AJ216-IF(4=D216,1,0))*VLOOKUP(INDEX('章节与怪物'!$E$31:$K$37,B216,4),'章节与怪物'!$A$41:$F$44,4,FALSE)+IF(4=D216,'难度参数'!$E$30,0))</x:f>
        <x:v>1054</x:v>
      </x:c>
      <x:c r="AN216" s="119" t="n">
        <x:f>IF(5&gt;D216,0,MAX(2,MIN('难度参数'!$E$12,ROUND(('难度参数'!$E$18*POWER(A216,'难度参数'!$E$19)/D216*(0.85+0.3*(5-1)/MAX(1,D216-1))),0)+F216)))</x:f>
        <x:v>32</x:v>
      </x:c>
      <x:c r="AO216" s="119" t="n">
        <x:f>IF(5&gt;D216,0,ROUND(('难度参数'!$E$13*POWER(A216,'难度参数'!$E$20)*MIN('难度参数'!$E$23,1+MAX(0,A216-'难度参数'!$E$21)*'难度参数'!$E$22))*(36+5*7)/(36+7*(D216+1)/2)*E216,0))</x:f>
        <x:v>7037</x:v>
      </x:c>
      <x:c r="AP216" s="119" t="n">
        <x:f>IF(AN216=0,0,(AN216-IF(5=D216,1,0))*ROUND(AO216*VLOOKUP(INDEX('章节与怪物'!$E$31:$K$37,B216,5),'章节与怪物'!$A$41:$F$44,2,FALSE),0)+IF(5=D216,ROUND(AO216*'难度参数'!$E$28*'章节与怪物'!$E$17,0),0))</x:f>
        <x:v>162144</x:v>
      </x:c>
      <x:c r="AQ216" s="119" t="n">
        <x:f>IF(AN216=0,0,(AN216-IF(5=D216,1,0))*VLOOKUP(INDEX('章节与怪物'!$E$31:$K$37,B216,5),'章节与怪物'!$A$41:$F$44,4,FALSE)+IF(5=D216,'难度参数'!$E$30,0))</x:f>
        <x:v>640</x:v>
      </x:c>
      <x:c r="AR216" s="119" t="n">
        <x:f>IF(6&gt;D216,0,MAX(2,MIN('难度参数'!$E$12,ROUND(('难度参数'!$E$18*POWER(A216,'难度参数'!$E$19)/D216*(0.85+0.3*(6-1)/MAX(1,D216-1))),0)+F216)))</x:f>
        <x:v>34</x:v>
      </x:c>
      <x:c r="AS216" s="119" t="n">
        <x:f>IF(6&gt;D216,0,ROUND(('难度参数'!$E$13*POWER(A216,'难度参数'!$E$20)*MIN('难度参数'!$E$23,1+MAX(0,A216-'难度参数'!$E$21)*'难度参数'!$E$22))*(36+6*7)/(36+7*(D216+1)/2)*E216,0))</x:f>
        <x:v>7731</x:v>
      </x:c>
      <x:c r="AT216" s="119" t="n">
        <x:f>IF(AR216=0,0,(AR216-IF(6=D216,1,0))*ROUND(AS216*VLOOKUP(INDEX('章节与怪物'!$E$31:$K$37,B216,6),'章节与怪物'!$A$41:$F$44,2,FALSE),0)+IF(6=D216,ROUND(AS216*'难度参数'!$E$28*'章节与怪物'!$E$17,0),0))</x:f>
        <x:v>446862</x:v>
      </x:c>
      <x:c r="AU216" s="119" t="n">
        <x:f>IF(AR216=0,0,(AR216-IF(6=D216,1,0))*VLOOKUP(INDEX('章节与怪物'!$E$31:$K$37,B216,6),'章节与怪物'!$A$41:$F$44,4,FALSE)+IF(6=D216,'难度参数'!$E$30,0))</x:f>
        <x:v>952</x:v>
      </x:c>
      <x:c r="AV216" s="119" t="n">
        <x:f>IF(7&gt;D216,0,MAX(2,MIN('难度参数'!$E$12,ROUND(('难度参数'!$E$18*POWER(A216,'难度参数'!$E$19)/D216*(0.85+0.3*(7-1)/MAX(1,D216-1))),0)+F216)))</x:f>
        <x:v>35</x:v>
      </x:c>
      <x:c r="AW216" s="119" t="n">
        <x:f>IF(7&gt;D216,0,ROUND(('难度参数'!$E$13*POWER(A216,'难度参数'!$E$20)*MIN('难度参数'!$E$23,1+MAX(0,A216-'难度参数'!$E$21)*'难度参数'!$E$22))*(36+7*7)/(36+7*(D216+1)/2)*E216,0))</x:f>
        <x:v>8425</x:v>
      </x:c>
      <x:c r="AX216" s="119" t="n">
        <x:f>IF(AV216=0,0,(AV216-IF(7=D216,1,0))*ROUND(AW216*VLOOKUP(INDEX('章节与怪物'!$E$31:$K$37,B216,7),'章节与怪物'!$A$41:$F$44,2,FALSE),0)+IF(7=D216,ROUND(AW216*'难度参数'!$E$28*'章节与怪物'!$E$17,0),0))</x:f>
        <x:v>444006</x:v>
      </x:c>
      <x:c r="AY216" s="119" t="n">
        <x:f>IF(AV216=0,0,(AV216-IF(7=D216,1,0))*VLOOKUP(INDEX('章节与怪物'!$E$31:$K$37,B216,7),'章节与怪物'!$A$41:$F$44,4,FALSE)+IF(7=D216,'难度参数'!$E$30,0))</x:f>
        <x:v>1356</x:v>
      </x:c>
    </x:row>
    <x:row r="217" ht="23" customHeight="1">
      <x:c r="A217" s="119" t="n">
        <x:v>211</x:v>
      </x:c>
      <x:c r="B217" s="119" t="n">
        <x:f>MOD(INT((A217-1)/5),7)+1</x:f>
        <x:v>1</x:v>
      </x:c>
      <x:c r="C217" s="62" t="str">
        <x:f>INDEX('章节与怪物'!$B$31:$B$37,B217)</x:f>
        <x:v>冰雪荒原</x:v>
      </x:c>
      <x:c r="D217" s="119" t="n">
        <x:f>MIN('难度参数'!$E$8,MAX('难度参数'!$E$7,A217))</x:f>
        <x:v>7</x:v>
      </x:c>
      <x:c r="E217" s="106" t="n">
        <x:v>1</x:v>
      </x:c>
      <x:c r="F217" s="106" t="n">
        <x:v>0</x:v>
      </x:c>
      <x:c r="G217" s="106" t="n">
        <x:v>1</x:v>
      </x:c>
      <x:c r="H217" s="119" t="n">
        <x:f>SUM(X217,AB217,AF217,AJ217,AN217,AR217,AV217)</x:f>
        <x:v>215</x:v>
      </x:c>
      <x:c r="I217" s="119" t="n">
        <x:f>SUM(Z217,AD217,AH217,AL217,AP217,AT217,AX217)</x:f>
        <x:v>1745358</x:v>
      </x:c>
      <x:c r="J217" s="119" t="n">
        <x:f>ROUND(INDEX(X217:AY217,1,(D217-1)*4+2)*'难度参数'!$E$28*'章节与怪物'!$E$17,0)</x:f>
        <x:v>57487</x:v>
      </x:c>
      <x:c r="K217" s="119" t="n">
        <x:f>SUM(AA217,AE217,AI217,AM217,AQ217,AU217,AY217)</x:f>
        <x:v>5340</x:v>
      </x:c>
      <x:c r="L217" s="62" t="n">
        <x:f>H217*(ROUNDUP('难度参数'!$E$24/('难度参数'!$E$26*'难度参数'!$E$27),0)*'难度参数'!$E$26)/60</x:f>
        <x:v>2.8666666666666667</x:v>
      </x:c>
      <x:c r="M217" s="62" t="n">
        <x:f>L217+D217*('难度参数'!$E$49+'难度参数'!$E$50)/60</x:f>
        <x:v>4.033333333333333</x:v>
      </x:c>
      <x:c r="N217" s="119" t="n">
        <x:f>ROUNDDOWN(('经济参数'!$E$20+A217*'经济参数'!$E$21)*G217,0)</x:f>
        <x:v>4400</x:v>
      </x:c>
      <x:c r="O217" s="119" t="n">
        <x:f>ROUNDDOWN(MIN('经济参数'!$E$24,'经济参数'!$E$22+A217*'经济参数'!$E$23)*G217,0)</x:f>
        <x:v>0</x:v>
      </x:c>
      <x:c r="P217" s="119" t="n">
        <x:f>ROUNDDOWN((IF(A217&gt;='材料与任务'!$E$31,'材料与任务'!$E$32,IF(A217&gt;='材料与任务'!$E$25,'材料与任务'!$E$26,IF(A217&gt;='材料与任务'!$E$19,'材料与任务'!$E$20,IF(A217&gt;='材料与任务'!$E$13,'材料与任务'!$E$14,'材料与任务'!$E$8)))))*G217,0)</x:f>
        <x:v>6</x:v>
      </x:c>
      <x:c r="Q217" s="119" t="n">
        <x:f>ROUNDDOWN((IF(A217&gt;='材料与任务'!$E$31,'材料与任务'!$E$33,IF(A217&gt;='材料与任务'!$E$25,'材料与任务'!$E$27,IF(A217&gt;='材料与任务'!$E$19,'材料与任务'!$E$21,IF(A217&gt;='材料与任务'!$E$13,'材料与任务'!$E$15,'材料与任务'!$E$9)))))*G217,0)</x:f>
        <x:v>3</x:v>
      </x:c>
      <x:c r="R217" s="110" t="n">
        <x:f>'装备掉落'!$B$38</x:f>
        <x:v>0.6872058758851213</x:v>
      </x:c>
      <x:c r="S217" s="119" t="n">
        <x:f>MAX(IF(VLOOKUP(A217,'装备掉落'!$A$29:$H$34,2,TRUE)&gt;0,1,0),IF(VLOOKUP(A217,'装备掉落'!$A$29:$H$34,3,TRUE)&gt;0,2,0),IF(VLOOKUP(A217,'装备掉落'!$A$29:$H$34,4,TRUE)&gt;0,3,0),IF(VLOOKUP(A217,'装备掉落'!$A$29:$H$34,5,TRUE)&gt;0,4,0),IF(VLOOKUP(A217,'装备掉落'!$A$29:$H$34,6,TRUE)&gt;0,5,0),IF(VLOOKUP(A217,'装备掉落'!$A$29:$H$34,7,TRUE)&gt;0,6,0),IF(VLOOKUP(A217,'装备掉落'!$A$29:$H$34,8,TRUE)&gt;0,7,0))</x:f>
        <x:v>7</x:v>
      </x:c>
      <x:c r="T217" s="119" t="n">
        <x:f>MIN(7,S217+'经济参数'!$E$70)</x:f>
        <x:v>7</x:v>
      </x:c>
      <x:c r="U217" s="119" t="n">
        <x:f>MIN(7,S217+'经济参数'!$E$71)</x:f>
        <x:v>7</x:v>
      </x:c>
      <x:c r="V217" s="119" t="n">
        <x:f>IF(H217&gt;=('难度参数'!$E$52),1,0)+IF(H217&gt;=('难度参数'!$E$52+'难度参数'!$E$53),1,0)+IF(H217&gt;=('难度参数'!$E$52+'难度参数'!$E$53+'难度参数'!$E$54),1,0)+IF(H217&gt;=('难度参数'!$E$52+'难度参数'!$E$53+'难度参数'!$E$54+'难度参数'!$E$55),1,0)+IF(H217&gt;=('难度参数'!$E$52+'难度参数'!$E$53+'难度参数'!$E$54+'难度参数'!$E$55+'难度参数'!$E$56),1,0)+IF(H217&gt;=('难度参数'!$E$52+'难度参数'!$E$53+'难度参数'!$E$54+'难度参数'!$E$55+'难度参数'!$E$56+'难度参数'!$E$57),1,0)</x:f>
        <x:v>6</x:v>
      </x:c>
      <x:c r="W217" s="62" t="str">
        <x:f>IF(L217&gt;'难度参数'!$E$51,"仅出怪已超目标","还需实测")</x:f>
        <x:v>还需实测</x:v>
      </x:c>
      <x:c r="X217" s="119" t="n">
        <x:f>IF(1&gt;D217,0,MAX(2,MIN('难度参数'!$E$12,ROUND(('难度参数'!$E$18*POWER(A217,'难度参数'!$E$19)/D217*(0.85+0.3*(1-1)/MAX(1,D217-1))),0)+F217)))</x:f>
        <x:v>26</x:v>
      </x:c>
      <x:c r="Y217" s="119" t="n">
        <x:f>IF(1&gt;D217,0,ROUND(('难度参数'!$E$13*POWER(A217,'难度参数'!$E$20)*MIN('难度参数'!$E$23,1+MAX(0,A217-'难度参数'!$E$21)*'难度参数'!$E$22))*(36+1*7)/(36+7*(D217+1)/2)*E217,0))</x:f>
        <x:v>4277</x:v>
      </x:c>
      <x:c r="Z217" s="119" t="n">
        <x:f>IF(X217=0,0,(X217-IF(1=D217,1,0))*ROUND(Y217*VLOOKUP(INDEX('章节与怪物'!$E$31:$K$37,B217,1),'章节与怪物'!$A$41:$F$44,2,FALSE),0)+IF(1=D217,ROUND(Y217*'难度参数'!$E$28*'章节与怪物'!$E$17,0),0))</x:f>
        <x:v>111202</x:v>
      </x:c>
      <x:c r="AA217" s="119" t="n">
        <x:f>IF(X217=0,0,(X217-IF(1=D217,1,0))*VLOOKUP(INDEX('章节与怪物'!$E$31:$K$37,B217,1),'章节与怪物'!$A$41:$F$44,4,FALSE)+IF(1=D217,'难度参数'!$E$30,0))</x:f>
        <x:v>468</x:v>
      </x:c>
      <x:c r="AB217" s="119" t="n">
        <x:f>IF(2&gt;D217,0,MAX(2,MIN('难度参数'!$E$12,ROUND(('难度参数'!$E$18*POWER(A217,'难度参数'!$E$19)/D217*(0.85+0.3*(2-1)/MAX(1,D217-1))),0)+F217)))</x:f>
        <x:v>28</x:v>
      </x:c>
      <x:c r="AC217" s="119" t="n">
        <x:f>IF(2&gt;D217,0,ROUND(('难度参数'!$E$13*POWER(A217,'难度参数'!$E$20)*MIN('难度参数'!$E$23,1+MAX(0,A217-'难度参数'!$E$21)*'难度参数'!$E$22))*(36+2*7)/(36+7*(D217+1)/2)*E217,0))</x:f>
        <x:v>4973</x:v>
      </x:c>
      <x:c r="AD217" s="119" t="n">
        <x:f>IF(AB217=0,0,(AB217-IF(2=D217,1,0))*ROUND(AC217*VLOOKUP(INDEX('章节与怪物'!$E$31:$K$37,B217,2),'章节与怪物'!$A$41:$F$44,2,FALSE),0)+IF(2=D217,ROUND(AC217*'难度参数'!$E$28*'章节与怪物'!$E$17,0),0))</x:f>
        <x:v>139244</x:v>
      </x:c>
      <x:c r="AE217" s="119" t="n">
        <x:f>IF(AB217=0,0,(AB217-IF(2=D217,1,0))*VLOOKUP(INDEX('章节与怪物'!$E$31:$K$37,B217,2),'章节与怪物'!$A$41:$F$44,4,FALSE)+IF(2=D217,'难度参数'!$E$30,0))</x:f>
        <x:v>504</x:v>
      </x:c>
      <x:c r="AF217" s="119" t="n">
        <x:f>IF(3&gt;D217,0,MAX(2,MIN('难度参数'!$E$12,ROUND(('难度参数'!$E$18*POWER(A217,'难度参数'!$E$19)/D217*(0.85+0.3*(3-1)/MAX(1,D217-1))),0)+F217)))</x:f>
        <x:v>29</x:v>
      </x:c>
      <x:c r="AG217" s="119" t="n">
        <x:f>IF(3&gt;D217,0,ROUND(('难度参数'!$E$13*POWER(A217,'难度参数'!$E$20)*MIN('难度参数'!$E$23,1+MAX(0,A217-'难度参数'!$E$21)*'难度参数'!$E$22))*(36+3*7)/(36+7*(D217+1)/2)*E217,0))</x:f>
        <x:v>5669</x:v>
      </x:c>
      <x:c r="AH217" s="119" t="n">
        <x:f>IF(AF217=0,0,(AF217-IF(3=D217,1,0))*ROUND(AG217*VLOOKUP(INDEX('章节与怪物'!$E$31:$K$37,B217,3),'章节与怪物'!$A$41:$F$44,2,FALSE),0)+IF(3=D217,ROUND(AG217*'难度参数'!$E$28*'章节与怪物'!$E$17,0),0))</x:f>
        <x:v>118378</x:v>
      </x:c>
      <x:c r="AI217" s="119" t="n">
        <x:f>IF(AF217=0,0,(AF217-IF(3=D217,1,0))*VLOOKUP(INDEX('章节与怪物'!$E$31:$K$37,B217,3),'章节与怪物'!$A$41:$F$44,4,FALSE)+IF(3=D217,'难度参数'!$E$30,0))</x:f>
        <x:v>580</x:v>
      </x:c>
      <x:c r="AJ217" s="119" t="n">
        <x:f>IF(4&gt;D217,0,MAX(2,MIN('难度参数'!$E$12,ROUND(('难度参数'!$E$18*POWER(A217,'难度参数'!$E$19)/D217*(0.85+0.3*(4-1)/MAX(1,D217-1))),0)+F217)))</x:f>
        <x:v>31</x:v>
      </x:c>
      <x:c r="AK217" s="119" t="n">
        <x:f>IF(4&gt;D217,0,ROUND(('难度参数'!$E$13*POWER(A217,'难度参数'!$E$20)*MIN('难度参数'!$E$23,1+MAX(0,A217-'难度参数'!$E$21)*'难度参数'!$E$22))*(36+4*7)/(36+7*(D217+1)/2)*E217,0))</x:f>
        <x:v>6365</x:v>
      </x:c>
      <x:c r="AL217" s="119" t="n">
        <x:f>IF(AJ217=0,0,(AJ217-IF(4=D217,1,0))*ROUND(AK217*VLOOKUP(INDEX('章节与怪物'!$E$31:$K$37,B217,4),'章节与怪物'!$A$41:$F$44,2,FALSE),0)+IF(4=D217,ROUND(AK217*'难度参数'!$E$28*'章节与怪物'!$E$17,0),0))</x:f>
        <x:v>335451</x:v>
      </x:c>
      <x:c r="AM217" s="119" t="n">
        <x:f>IF(AJ217=0,0,(AJ217-IF(4=D217,1,0))*VLOOKUP(INDEX('章节与怪物'!$E$31:$K$37,B217,4),'章节与怪物'!$A$41:$F$44,4,FALSE)+IF(4=D217,'难度参数'!$E$30,0))</x:f>
        <x:v>868</x:v>
      </x:c>
      <x:c r="AN217" s="119" t="n">
        <x:f>IF(5&gt;D217,0,MAX(2,MIN('难度参数'!$E$12,ROUND(('难度参数'!$E$18*POWER(A217,'难度参数'!$E$19)/D217*(0.85+0.3*(5-1)/MAX(1,D217-1))),0)+F217)))</x:f>
        <x:v>32</x:v>
      </x:c>
      <x:c r="AO217" s="119" t="n">
        <x:f>IF(5&gt;D217,0,ROUND(('难度参数'!$E$13*POWER(A217,'难度参数'!$E$20)*MIN('难度参数'!$E$23,1+MAX(0,A217-'难度参数'!$E$21)*'难度参数'!$E$22))*(36+5*7)/(36+7*(D217+1)/2)*E217,0))</x:f>
        <x:v>7061</x:v>
      </x:c>
      <x:c r="AP217" s="119" t="n">
        <x:f>IF(AN217=0,0,(AN217-IF(5=D217,1,0))*ROUND(AO217*VLOOKUP(INDEX('章节与怪物'!$E$31:$K$37,B217,5),'章节与怪物'!$A$41:$F$44,2,FALSE),0)+IF(5=D217,ROUND(AO217*'难度参数'!$E$28*'章节与怪物'!$E$17,0),0))</x:f>
        <x:v>305024</x:v>
      </x:c>
      <x:c r="AQ217" s="119" t="n">
        <x:f>IF(AN217=0,0,(AN217-IF(5=D217,1,0))*VLOOKUP(INDEX('章节与怪物'!$E$31:$K$37,B217,5),'章节与怪物'!$A$41:$F$44,4,FALSE)+IF(5=D217,'难度参数'!$E$30,0))</x:f>
        <x:v>1088</x:v>
      </x:c>
      <x:c r="AR217" s="119" t="n">
        <x:f>IF(6&gt;D217,0,MAX(2,MIN('难度参数'!$E$12,ROUND(('难度参数'!$E$18*POWER(A217,'难度参数'!$E$19)/D217*(0.85+0.3*(6-1)/MAX(1,D217-1))),0)+F217)))</x:f>
        <x:v>34</x:v>
      </x:c>
      <x:c r="AS217" s="119" t="n">
        <x:f>IF(6&gt;D217,0,ROUND(('难度参数'!$E$13*POWER(A217,'难度参数'!$E$20)*MIN('难度参数'!$E$23,1+MAX(0,A217-'难度参数'!$E$21)*'难度参数'!$E$22))*(36+6*7)/(36+7*(D217+1)/2)*E217,0))</x:f>
        <x:v>7758</x:v>
      </x:c>
      <x:c r="AT217" s="119" t="n">
        <x:f>IF(AR217=0,0,(AR217-IF(6=D217,1,0))*ROUND(AS217*VLOOKUP(INDEX('章节与怪物'!$E$31:$K$37,B217,6),'章节与怪物'!$A$41:$F$44,2,FALSE),0)+IF(6=D217,ROUND(AS217*'难度参数'!$E$28*'章节与怪物'!$E$17,0),0))</x:f>
        <x:v>189924</x:v>
      </x:c>
      <x:c r="AU217" s="119" t="n">
        <x:f>IF(AR217=0,0,(AR217-IF(6=D217,1,0))*VLOOKUP(INDEX('章节与怪物'!$E$31:$K$37,B217,6),'章节与怪物'!$A$41:$F$44,4,FALSE)+IF(6=D217,'难度参数'!$E$30,0))</x:f>
        <x:v>680</x:v>
      </x:c>
      <x:c r="AV217" s="119" t="n">
        <x:f>IF(7&gt;D217,0,MAX(2,MIN('难度参数'!$E$12,ROUND(('难度参数'!$E$18*POWER(A217,'难度参数'!$E$19)/D217*(0.85+0.3*(7-1)/MAX(1,D217-1))),0)+F217)))</x:f>
        <x:v>35</x:v>
      </x:c>
      <x:c r="AW217" s="119" t="n">
        <x:f>IF(7&gt;D217,0,ROUND(('难度参数'!$E$13*POWER(A217,'难度参数'!$E$20)*MIN('难度参数'!$E$23,1+MAX(0,A217-'难度参数'!$E$21)*'难度参数'!$E$22))*(36+7*7)/(36+7*(D217+1)/2)*E217,0))</x:f>
        <x:v>8454</x:v>
      </x:c>
      <x:c r="AX217" s="119" t="n">
        <x:f>IF(AV217=0,0,(AV217-IF(7=D217,1,0))*ROUND(AW217*VLOOKUP(INDEX('章节与怪物'!$E$31:$K$37,B217,7),'章节与怪物'!$A$41:$F$44,2,FALSE),0)+IF(7=D217,ROUND(AW217*'难度参数'!$E$28*'章节与怪物'!$E$17,0),0))</x:f>
        <x:v>546135</x:v>
      </x:c>
      <x:c r="AY217" s="119" t="n">
        <x:f>IF(AV217=0,0,(AV217-IF(7=D217,1,0))*VLOOKUP(INDEX('章节与怪物'!$E$31:$K$37,B217,7),'章节与怪物'!$A$41:$F$44,4,FALSE)+IF(7=D217,'难度参数'!$E$30,0))</x:f>
        <x:v>1152</x:v>
      </x:c>
    </x:row>
    <x:row r="218" ht="23" customHeight="1">
      <x:c r="A218" s="119" t="n">
        <x:v>212</x:v>
      </x:c>
      <x:c r="B218" s="119" t="n">
        <x:f>MOD(INT((A218-1)/5),7)+1</x:f>
        <x:v>1</x:v>
      </x:c>
      <x:c r="C218" s="62" t="str">
        <x:f>INDEX('章节与怪物'!$B$31:$B$37,B218)</x:f>
        <x:v>冰雪荒原</x:v>
      </x:c>
      <x:c r="D218" s="119" t="n">
        <x:f>MIN('难度参数'!$E$8,MAX('难度参数'!$E$7,A218))</x:f>
        <x:v>7</x:v>
      </x:c>
      <x:c r="E218" s="106" t="n">
        <x:v>1</x:v>
      </x:c>
      <x:c r="F218" s="106" t="n">
        <x:v>0</x:v>
      </x:c>
      <x:c r="G218" s="106" t="n">
        <x:v>1</x:v>
      </x:c>
      <x:c r="H218" s="119" t="n">
        <x:f>SUM(X218,AB218,AF218,AJ218,AN218,AR218,AV218)</x:f>
        <x:v>215</x:v>
      </x:c>
      <x:c r="I218" s="119" t="n">
        <x:f>SUM(Z218,AD218,AH218,AL218,AP218,AT218,AX218)</x:f>
        <x:v>1751285</x:v>
      </x:c>
      <x:c r="J218" s="119" t="n">
        <x:f>ROUND(INDEX(X218:AY218,1,(D218-1)*4+2)*'难度参数'!$E$28*'章节与怪物'!$E$17,0)</x:f>
        <x:v>57684</x:v>
      </x:c>
      <x:c r="K218" s="119" t="n">
        <x:f>SUM(AA218,AE218,AI218,AM218,AQ218,AU218,AY218)</x:f>
        <x:v>5340</x:v>
      </x:c>
      <x:c r="L218" s="62" t="n">
        <x:f>H218*(ROUNDUP('难度参数'!$E$24/('难度参数'!$E$26*'难度参数'!$E$27),0)*'难度参数'!$E$26)/60</x:f>
        <x:v>2.8666666666666667</x:v>
      </x:c>
      <x:c r="M218" s="62" t="n">
        <x:f>L218+D218*('难度参数'!$E$49+'难度参数'!$E$50)/60</x:f>
        <x:v>4.033333333333333</x:v>
      </x:c>
      <x:c r="N218" s="119" t="n">
        <x:f>ROUNDDOWN(('经济参数'!$E$20+A218*'经济参数'!$E$21)*G218,0)</x:f>
        <x:v>4420</x:v>
      </x:c>
      <x:c r="O218" s="119" t="n">
        <x:f>ROUNDDOWN(MIN('经济参数'!$E$24,'经济参数'!$E$22+A218*'经济参数'!$E$23)*G218,0)</x:f>
        <x:v>0</x:v>
      </x:c>
      <x:c r="P218" s="119" t="n">
        <x:f>ROUNDDOWN((IF(A218&gt;='材料与任务'!$E$31,'材料与任务'!$E$32,IF(A218&gt;='材料与任务'!$E$25,'材料与任务'!$E$26,IF(A218&gt;='材料与任务'!$E$19,'材料与任务'!$E$20,IF(A218&gt;='材料与任务'!$E$13,'材料与任务'!$E$14,'材料与任务'!$E$8)))))*G218,0)</x:f>
        <x:v>6</x:v>
      </x:c>
      <x:c r="Q218" s="119" t="n">
        <x:f>ROUNDDOWN((IF(A218&gt;='材料与任务'!$E$31,'材料与任务'!$E$33,IF(A218&gt;='材料与任务'!$E$25,'材料与任务'!$E$27,IF(A218&gt;='材料与任务'!$E$19,'材料与任务'!$E$21,IF(A218&gt;='材料与任务'!$E$13,'材料与任务'!$E$15,'材料与任务'!$E$9)))))*G218,0)</x:f>
        <x:v>3</x:v>
      </x:c>
      <x:c r="R218" s="110" t="n">
        <x:f>'装备掉落'!$B$38</x:f>
        <x:v>0.6872058758851213</x:v>
      </x:c>
      <x:c r="S218" s="119" t="n">
        <x:f>MAX(IF(VLOOKUP(A218,'装备掉落'!$A$29:$H$34,2,TRUE)&gt;0,1,0),IF(VLOOKUP(A218,'装备掉落'!$A$29:$H$34,3,TRUE)&gt;0,2,0),IF(VLOOKUP(A218,'装备掉落'!$A$29:$H$34,4,TRUE)&gt;0,3,0),IF(VLOOKUP(A218,'装备掉落'!$A$29:$H$34,5,TRUE)&gt;0,4,0),IF(VLOOKUP(A218,'装备掉落'!$A$29:$H$34,6,TRUE)&gt;0,5,0),IF(VLOOKUP(A218,'装备掉落'!$A$29:$H$34,7,TRUE)&gt;0,6,0),IF(VLOOKUP(A218,'装备掉落'!$A$29:$H$34,8,TRUE)&gt;0,7,0))</x:f>
        <x:v>7</x:v>
      </x:c>
      <x:c r="T218" s="119" t="n">
        <x:f>MIN(7,S218+'经济参数'!$E$70)</x:f>
        <x:v>7</x:v>
      </x:c>
      <x:c r="U218" s="119" t="n">
        <x:f>MIN(7,S218+'经济参数'!$E$71)</x:f>
        <x:v>7</x:v>
      </x:c>
      <x:c r="V218" s="119" t="n">
        <x:f>IF(H218&gt;=('难度参数'!$E$52),1,0)+IF(H218&gt;=('难度参数'!$E$52+'难度参数'!$E$53),1,0)+IF(H218&gt;=('难度参数'!$E$52+'难度参数'!$E$53+'难度参数'!$E$54),1,0)+IF(H218&gt;=('难度参数'!$E$52+'难度参数'!$E$53+'难度参数'!$E$54+'难度参数'!$E$55),1,0)+IF(H218&gt;=('难度参数'!$E$52+'难度参数'!$E$53+'难度参数'!$E$54+'难度参数'!$E$55+'难度参数'!$E$56),1,0)+IF(H218&gt;=('难度参数'!$E$52+'难度参数'!$E$53+'难度参数'!$E$54+'难度参数'!$E$55+'难度参数'!$E$56+'难度参数'!$E$57),1,0)</x:f>
        <x:v>6</x:v>
      </x:c>
      <x:c r="W218" s="62" t="str">
        <x:f>IF(L218&gt;'难度参数'!$E$51,"仅出怪已超目标","还需实测")</x:f>
        <x:v>还需实测</x:v>
      </x:c>
      <x:c r="X218" s="119" t="n">
        <x:f>IF(1&gt;D218,0,MAX(2,MIN('难度参数'!$E$12,ROUND(('难度参数'!$E$18*POWER(A218,'难度参数'!$E$19)/D218*(0.85+0.3*(1-1)/MAX(1,D218-1))),0)+F218)))</x:f>
        <x:v>26</x:v>
      </x:c>
      <x:c r="Y218" s="119" t="n">
        <x:f>IF(1&gt;D218,0,ROUND(('难度参数'!$E$13*POWER(A218,'难度参数'!$E$20)*MIN('难度参数'!$E$23,1+MAX(0,A218-'难度参数'!$E$21)*'难度参数'!$E$22))*(36+1*7)/(36+7*(D218+1)/2)*E218,0))</x:f>
        <x:v>4291</x:v>
      </x:c>
      <x:c r="Z218" s="119" t="n">
        <x:f>IF(X218=0,0,(X218-IF(1=D218,1,0))*ROUND(Y218*VLOOKUP(INDEX('章节与怪物'!$E$31:$K$37,B218,1),'章节与怪物'!$A$41:$F$44,2,FALSE),0)+IF(1=D218,ROUND(Y218*'难度参数'!$E$28*'章节与怪物'!$E$17,0),0))</x:f>
        <x:v>111566</x:v>
      </x:c>
      <x:c r="AA218" s="119" t="n">
        <x:f>IF(X218=0,0,(X218-IF(1=D218,1,0))*VLOOKUP(INDEX('章节与怪物'!$E$31:$K$37,B218,1),'章节与怪物'!$A$41:$F$44,4,FALSE)+IF(1=D218,'难度参数'!$E$30,0))</x:f>
        <x:v>468</x:v>
      </x:c>
      <x:c r="AB218" s="119" t="n">
        <x:f>IF(2&gt;D218,0,MAX(2,MIN('难度参数'!$E$12,ROUND(('难度参数'!$E$18*POWER(A218,'难度参数'!$E$19)/D218*(0.85+0.3*(2-1)/MAX(1,D218-1))),0)+F218)))</x:f>
        <x:v>28</x:v>
      </x:c>
      <x:c r="AC218" s="119" t="n">
        <x:f>IF(2&gt;D218,0,ROUND(('难度参数'!$E$13*POWER(A218,'难度参数'!$E$20)*MIN('难度参数'!$E$23,1+MAX(0,A218-'难度参数'!$E$21)*'难度参数'!$E$22))*(36+2*7)/(36+7*(D218+1)/2)*E218,0))</x:f>
        <x:v>4990</x:v>
      </x:c>
      <x:c r="AD218" s="119" t="n">
        <x:f>IF(AB218=0,0,(AB218-IF(2=D218,1,0))*ROUND(AC218*VLOOKUP(INDEX('章节与怪物'!$E$31:$K$37,B218,2),'章节与怪物'!$A$41:$F$44,2,FALSE),0)+IF(2=D218,ROUND(AC218*'难度参数'!$E$28*'章节与怪物'!$E$17,0),0))</x:f>
        <x:v>139720</x:v>
      </x:c>
      <x:c r="AE218" s="119" t="n">
        <x:f>IF(AB218=0,0,(AB218-IF(2=D218,1,0))*VLOOKUP(INDEX('章节与怪物'!$E$31:$K$37,B218,2),'章节与怪物'!$A$41:$F$44,4,FALSE)+IF(2=D218,'难度参数'!$E$30,0))</x:f>
        <x:v>504</x:v>
      </x:c>
      <x:c r="AF218" s="119" t="n">
        <x:f>IF(3&gt;D218,0,MAX(2,MIN('难度参数'!$E$12,ROUND(('难度参数'!$E$18*POWER(A218,'难度参数'!$E$19)/D218*(0.85+0.3*(3-1)/MAX(1,D218-1))),0)+F218)))</x:f>
        <x:v>29</x:v>
      </x:c>
      <x:c r="AG218" s="119" t="n">
        <x:f>IF(3&gt;D218,0,ROUND(('难度参数'!$E$13*POWER(A218,'难度参数'!$E$20)*MIN('难度参数'!$E$23,1+MAX(0,A218-'难度参数'!$E$21)*'难度参数'!$E$22))*(36+3*7)/(36+7*(D218+1)/2)*E218,0))</x:f>
        <x:v>5688</x:v>
      </x:c>
      <x:c r="AH218" s="119" t="n">
        <x:f>IF(AF218=0,0,(AF218-IF(3=D218,1,0))*ROUND(AG218*VLOOKUP(INDEX('章节与怪物'!$E$31:$K$37,B218,3),'章节与怪物'!$A$41:$F$44,2,FALSE),0)+IF(3=D218,ROUND(AG218*'难度参数'!$E$28*'章节与怪物'!$E$17,0),0))</x:f>
        <x:v>118755</x:v>
      </x:c>
      <x:c r="AI218" s="119" t="n">
        <x:f>IF(AF218=0,0,(AF218-IF(3=D218,1,0))*VLOOKUP(INDEX('章节与怪物'!$E$31:$K$37,B218,3),'章节与怪物'!$A$41:$F$44,4,FALSE)+IF(3=D218,'难度参数'!$E$30,0))</x:f>
        <x:v>580</x:v>
      </x:c>
      <x:c r="AJ218" s="119" t="n">
        <x:f>IF(4&gt;D218,0,MAX(2,MIN('难度参数'!$E$12,ROUND(('难度参数'!$E$18*POWER(A218,'难度参数'!$E$19)/D218*(0.85+0.3*(4-1)/MAX(1,D218-1))),0)+F218)))</x:f>
        <x:v>31</x:v>
      </x:c>
      <x:c r="AK218" s="119" t="n">
        <x:f>IF(4&gt;D218,0,ROUND(('难度参数'!$E$13*POWER(A218,'难度参数'!$E$20)*MIN('难度参数'!$E$23,1+MAX(0,A218-'难度参数'!$E$21)*'难度参数'!$E$22))*(36+4*7)/(36+7*(D218+1)/2)*E218,0))</x:f>
        <x:v>6387</x:v>
      </x:c>
      <x:c r="AL218" s="119" t="n">
        <x:f>IF(AJ218=0,0,(AJ218-IF(4=D218,1,0))*ROUND(AK218*VLOOKUP(INDEX('章节与怪物'!$E$31:$K$37,B218,4),'章节与怪物'!$A$41:$F$44,2,FALSE),0)+IF(4=D218,ROUND(AK218*'难度参数'!$E$28*'章节与怪物'!$E$17,0),0))</x:f>
        <x:v>336598</x:v>
      </x:c>
      <x:c r="AM218" s="119" t="n">
        <x:f>IF(AJ218=0,0,(AJ218-IF(4=D218,1,0))*VLOOKUP(INDEX('章节与怪物'!$E$31:$K$37,B218,4),'章节与怪物'!$A$41:$F$44,4,FALSE)+IF(4=D218,'难度参数'!$E$30,0))</x:f>
        <x:v>868</x:v>
      </x:c>
      <x:c r="AN218" s="119" t="n">
        <x:f>IF(5&gt;D218,0,MAX(2,MIN('难度参数'!$E$12,ROUND(('难度参数'!$E$18*POWER(A218,'难度参数'!$E$19)/D218*(0.85+0.3*(5-1)/MAX(1,D218-1))),0)+F218)))</x:f>
        <x:v>32</x:v>
      </x:c>
      <x:c r="AO218" s="119" t="n">
        <x:f>IF(5&gt;D218,0,ROUND(('难度参数'!$E$13*POWER(A218,'难度参数'!$E$20)*MIN('难度参数'!$E$23,1+MAX(0,A218-'难度参数'!$E$21)*'难度参数'!$E$22))*(36+5*7)/(36+7*(D218+1)/2)*E218,0))</x:f>
        <x:v>7086</x:v>
      </x:c>
      <x:c r="AP218" s="119" t="n">
        <x:f>IF(AN218=0,0,(AN218-IF(5=D218,1,0))*ROUND(AO218*VLOOKUP(INDEX('章节与怪物'!$E$31:$K$37,B218,5),'章节与怪物'!$A$41:$F$44,2,FALSE),0)+IF(5=D218,ROUND(AO218*'难度参数'!$E$28*'章节与怪物'!$E$17,0),0))</x:f>
        <x:v>306112</x:v>
      </x:c>
      <x:c r="AQ218" s="119" t="n">
        <x:f>IF(AN218=0,0,(AN218-IF(5=D218,1,0))*VLOOKUP(INDEX('章节与怪物'!$E$31:$K$37,B218,5),'章节与怪物'!$A$41:$F$44,4,FALSE)+IF(5=D218,'难度参数'!$E$30,0))</x:f>
        <x:v>1088</x:v>
      </x:c>
      <x:c r="AR218" s="119" t="n">
        <x:f>IF(6&gt;D218,0,MAX(2,MIN('难度参数'!$E$12,ROUND(('难度参数'!$E$18*POWER(A218,'难度参数'!$E$19)/D218*(0.85+0.3*(6-1)/MAX(1,D218-1))),0)+F218)))</x:f>
        <x:v>34</x:v>
      </x:c>
      <x:c r="AS218" s="119" t="n">
        <x:f>IF(6&gt;D218,0,ROUND(('难度参数'!$E$13*POWER(A218,'难度参数'!$E$20)*MIN('难度参数'!$E$23,1+MAX(0,A218-'难度参数'!$E$21)*'难度参数'!$E$22))*(36+6*7)/(36+7*(D218+1)/2)*E218,0))</x:f>
        <x:v>7784</x:v>
      </x:c>
      <x:c r="AT218" s="119" t="n">
        <x:f>IF(AR218=0,0,(AR218-IF(6=D218,1,0))*ROUND(AS218*VLOOKUP(INDEX('章节与怪物'!$E$31:$K$37,B218,6),'章节与怪物'!$A$41:$F$44,2,FALSE),0)+IF(6=D218,ROUND(AS218*'难度参数'!$E$28*'章节与怪物'!$E$17,0),0))</x:f>
        <x:v>190536</x:v>
      </x:c>
      <x:c r="AU218" s="119" t="n">
        <x:f>IF(AR218=0,0,(AR218-IF(6=D218,1,0))*VLOOKUP(INDEX('章节与怪物'!$E$31:$K$37,B218,6),'章节与怪物'!$A$41:$F$44,4,FALSE)+IF(6=D218,'难度参数'!$E$30,0))</x:f>
        <x:v>680</x:v>
      </x:c>
      <x:c r="AV218" s="119" t="n">
        <x:f>IF(7&gt;D218,0,MAX(2,MIN('难度参数'!$E$12,ROUND(('难度参数'!$E$18*POWER(A218,'难度参数'!$E$19)/D218*(0.85+0.3*(7-1)/MAX(1,D218-1))),0)+F218)))</x:f>
        <x:v>35</x:v>
      </x:c>
      <x:c r="AW218" s="119" t="n">
        <x:f>IF(7&gt;D218,0,ROUND(('难度参数'!$E$13*POWER(A218,'难度参数'!$E$20)*MIN('难度参数'!$E$23,1+MAX(0,A218-'难度参数'!$E$21)*'难度参数'!$E$22))*(36+7*7)/(36+7*(D218+1)/2)*E218,0))</x:f>
        <x:v>8483</x:v>
      </x:c>
      <x:c r="AX218" s="119" t="n">
        <x:f>IF(AV218=0,0,(AV218-IF(7=D218,1,0))*ROUND(AW218*VLOOKUP(INDEX('章节与怪物'!$E$31:$K$37,B218,7),'章节与怪物'!$A$41:$F$44,2,FALSE),0)+IF(7=D218,ROUND(AW218*'难度参数'!$E$28*'章节与怪物'!$E$17,0),0))</x:f>
        <x:v>547998</x:v>
      </x:c>
      <x:c r="AY218" s="119" t="n">
        <x:f>IF(AV218=0,0,(AV218-IF(7=D218,1,0))*VLOOKUP(INDEX('章节与怪物'!$E$31:$K$37,B218,7),'章节与怪物'!$A$41:$F$44,4,FALSE)+IF(7=D218,'难度参数'!$E$30,0))</x:f>
        <x:v>1152</x:v>
      </x:c>
    </x:row>
    <x:row r="219" ht="23" customHeight="1">
      <x:c r="A219" s="119" t="n">
        <x:v>213</x:v>
      </x:c>
      <x:c r="B219" s="119" t="n">
        <x:f>MOD(INT((A219-1)/5),7)+1</x:f>
        <x:v>1</x:v>
      </x:c>
      <x:c r="C219" s="62" t="str">
        <x:f>INDEX('章节与怪物'!$B$31:$B$37,B219)</x:f>
        <x:v>冰雪荒原</x:v>
      </x:c>
      <x:c r="D219" s="119" t="n">
        <x:f>MIN('难度参数'!$E$8,MAX('难度参数'!$E$7,A219))</x:f>
        <x:v>7</x:v>
      </x:c>
      <x:c r="E219" s="106" t="n">
        <x:v>1</x:v>
      </x:c>
      <x:c r="F219" s="106" t="n">
        <x:v>0</x:v>
      </x:c>
      <x:c r="G219" s="106" t="n">
        <x:v>1</x:v>
      </x:c>
      <x:c r="H219" s="119" t="n">
        <x:f>SUM(X219,AB219,AF219,AJ219,AN219,AR219,AV219)</x:f>
        <x:v>215</x:v>
      </x:c>
      <x:c r="I219" s="119" t="n">
        <x:f>SUM(Z219,AD219,AH219,AL219,AP219,AT219,AX219)</x:f>
        <x:v>1757292</x:v>
      </x:c>
      <x:c r="J219" s="119" t="n">
        <x:f>ROUND(INDEX(X219:AY219,1,(D219-1)*4+2)*'难度参数'!$E$28*'章节与怪物'!$E$17,0)</x:f>
        <x:v>57875</x:v>
      </x:c>
      <x:c r="K219" s="119" t="n">
        <x:f>SUM(AA219,AE219,AI219,AM219,AQ219,AU219,AY219)</x:f>
        <x:v>5340</x:v>
      </x:c>
      <x:c r="L219" s="62" t="n">
        <x:f>H219*(ROUNDUP('难度参数'!$E$24/('难度参数'!$E$26*'难度参数'!$E$27),0)*'难度参数'!$E$26)/60</x:f>
        <x:v>2.8666666666666667</x:v>
      </x:c>
      <x:c r="M219" s="62" t="n">
        <x:f>L219+D219*('难度参数'!$E$49+'难度参数'!$E$50)/60</x:f>
        <x:v>4.033333333333333</x:v>
      </x:c>
      <x:c r="N219" s="119" t="n">
        <x:f>ROUNDDOWN(('经济参数'!$E$20+A219*'经济参数'!$E$21)*G219,0)</x:f>
        <x:v>4440</x:v>
      </x:c>
      <x:c r="O219" s="119" t="n">
        <x:f>ROUNDDOWN(MIN('经济参数'!$E$24,'经济参数'!$E$22+A219*'经济参数'!$E$23)*G219,0)</x:f>
        <x:v>0</x:v>
      </x:c>
      <x:c r="P219" s="119" t="n">
        <x:f>ROUNDDOWN((IF(A219&gt;='材料与任务'!$E$31,'材料与任务'!$E$32,IF(A219&gt;='材料与任务'!$E$25,'材料与任务'!$E$26,IF(A219&gt;='材料与任务'!$E$19,'材料与任务'!$E$20,IF(A219&gt;='材料与任务'!$E$13,'材料与任务'!$E$14,'材料与任务'!$E$8)))))*G219,0)</x:f>
        <x:v>6</x:v>
      </x:c>
      <x:c r="Q219" s="119" t="n">
        <x:f>ROUNDDOWN((IF(A219&gt;='材料与任务'!$E$31,'材料与任务'!$E$33,IF(A219&gt;='材料与任务'!$E$25,'材料与任务'!$E$27,IF(A219&gt;='材料与任务'!$E$19,'材料与任务'!$E$21,IF(A219&gt;='材料与任务'!$E$13,'材料与任务'!$E$15,'材料与任务'!$E$9)))))*G219,0)</x:f>
        <x:v>3</x:v>
      </x:c>
      <x:c r="R219" s="110" t="n">
        <x:f>'装备掉落'!$B$38</x:f>
        <x:v>0.6872058758851213</x:v>
      </x:c>
      <x:c r="S219" s="119" t="n">
        <x:f>MAX(IF(VLOOKUP(A219,'装备掉落'!$A$29:$H$34,2,TRUE)&gt;0,1,0),IF(VLOOKUP(A219,'装备掉落'!$A$29:$H$34,3,TRUE)&gt;0,2,0),IF(VLOOKUP(A219,'装备掉落'!$A$29:$H$34,4,TRUE)&gt;0,3,0),IF(VLOOKUP(A219,'装备掉落'!$A$29:$H$34,5,TRUE)&gt;0,4,0),IF(VLOOKUP(A219,'装备掉落'!$A$29:$H$34,6,TRUE)&gt;0,5,0),IF(VLOOKUP(A219,'装备掉落'!$A$29:$H$34,7,TRUE)&gt;0,6,0),IF(VLOOKUP(A219,'装备掉落'!$A$29:$H$34,8,TRUE)&gt;0,7,0))</x:f>
        <x:v>7</x:v>
      </x:c>
      <x:c r="T219" s="119" t="n">
        <x:f>MIN(7,S219+'经济参数'!$E$70)</x:f>
        <x:v>7</x:v>
      </x:c>
      <x:c r="U219" s="119" t="n">
        <x:f>MIN(7,S219+'经济参数'!$E$71)</x:f>
        <x:v>7</x:v>
      </x:c>
      <x:c r="V219" s="119" t="n">
        <x:f>IF(H219&gt;=('难度参数'!$E$52),1,0)+IF(H219&gt;=('难度参数'!$E$52+'难度参数'!$E$53),1,0)+IF(H219&gt;=('难度参数'!$E$52+'难度参数'!$E$53+'难度参数'!$E$54),1,0)+IF(H219&gt;=('难度参数'!$E$52+'难度参数'!$E$53+'难度参数'!$E$54+'难度参数'!$E$55),1,0)+IF(H219&gt;=('难度参数'!$E$52+'难度参数'!$E$53+'难度参数'!$E$54+'难度参数'!$E$55+'难度参数'!$E$56),1,0)+IF(H219&gt;=('难度参数'!$E$52+'难度参数'!$E$53+'难度参数'!$E$54+'难度参数'!$E$55+'难度参数'!$E$56+'难度参数'!$E$57),1,0)</x:f>
        <x:v>6</x:v>
      </x:c>
      <x:c r="W219" s="62" t="str">
        <x:f>IF(L219&gt;'难度参数'!$E$51,"仅出怪已超目标","还需实测")</x:f>
        <x:v>还需实测</x:v>
      </x:c>
      <x:c r="X219" s="119" t="n">
        <x:f>IF(1&gt;D219,0,MAX(2,MIN('难度参数'!$E$12,ROUND(('难度参数'!$E$18*POWER(A219,'难度参数'!$E$19)/D219*(0.85+0.3*(1-1)/MAX(1,D219-1))),0)+F219)))</x:f>
        <x:v>26</x:v>
      </x:c>
      <x:c r="Y219" s="119" t="n">
        <x:f>IF(1&gt;D219,0,ROUND(('难度参数'!$E$13*POWER(A219,'难度参数'!$E$20)*MIN('难度参数'!$E$23,1+MAX(0,A219-'难度参数'!$E$21)*'难度参数'!$E$22))*(36+1*7)/(36+7*(D219+1)/2)*E219,0))</x:f>
        <x:v>4306</x:v>
      </x:c>
      <x:c r="Z219" s="119" t="n">
        <x:f>IF(X219=0,0,(X219-IF(1=D219,1,0))*ROUND(Y219*VLOOKUP(INDEX('章节与怪物'!$E$31:$K$37,B219,1),'章节与怪物'!$A$41:$F$44,2,FALSE),0)+IF(1=D219,ROUND(Y219*'难度参数'!$E$28*'章节与怪物'!$E$17,0),0))</x:f>
        <x:v>111956</x:v>
      </x:c>
      <x:c r="AA219" s="119" t="n">
        <x:f>IF(X219=0,0,(X219-IF(1=D219,1,0))*VLOOKUP(INDEX('章节与怪物'!$E$31:$K$37,B219,1),'章节与怪物'!$A$41:$F$44,4,FALSE)+IF(1=D219,'难度参数'!$E$30,0))</x:f>
        <x:v>468</x:v>
      </x:c>
      <x:c r="AB219" s="119" t="n">
        <x:f>IF(2&gt;D219,0,MAX(2,MIN('难度参数'!$E$12,ROUND(('难度参数'!$E$18*POWER(A219,'难度参数'!$E$19)/D219*(0.85+0.3*(2-1)/MAX(1,D219-1))),0)+F219)))</x:f>
        <x:v>28</x:v>
      </x:c>
      <x:c r="AC219" s="119" t="n">
        <x:f>IF(2&gt;D219,0,ROUND(('难度参数'!$E$13*POWER(A219,'难度参数'!$E$20)*MIN('难度参数'!$E$23,1+MAX(0,A219-'难度参数'!$E$21)*'难度参数'!$E$22))*(36+2*7)/(36+7*(D219+1)/2)*E219,0))</x:f>
        <x:v>5007</x:v>
      </x:c>
      <x:c r="AD219" s="119" t="n">
        <x:f>IF(AB219=0,0,(AB219-IF(2=D219,1,0))*ROUND(AC219*VLOOKUP(INDEX('章节与怪物'!$E$31:$K$37,B219,2),'章节与怪物'!$A$41:$F$44,2,FALSE),0)+IF(2=D219,ROUND(AC219*'难度参数'!$E$28*'章节与怪物'!$E$17,0),0))</x:f>
        <x:v>140196</x:v>
      </x:c>
      <x:c r="AE219" s="119" t="n">
        <x:f>IF(AB219=0,0,(AB219-IF(2=D219,1,0))*VLOOKUP(INDEX('章节与怪物'!$E$31:$K$37,B219,2),'章节与怪物'!$A$41:$F$44,4,FALSE)+IF(2=D219,'难度参数'!$E$30,0))</x:f>
        <x:v>504</x:v>
      </x:c>
      <x:c r="AF219" s="119" t="n">
        <x:f>IF(3&gt;D219,0,MAX(2,MIN('难度参数'!$E$12,ROUND(('难度参数'!$E$18*POWER(A219,'难度参数'!$E$19)/D219*(0.85+0.3*(3-1)/MAX(1,D219-1))),0)+F219)))</x:f>
        <x:v>29</x:v>
      </x:c>
      <x:c r="AG219" s="119" t="n">
        <x:f>IF(3&gt;D219,0,ROUND(('难度参数'!$E$13*POWER(A219,'难度参数'!$E$20)*MIN('难度参数'!$E$23,1+MAX(0,A219-'难度参数'!$E$21)*'难度参数'!$E$22))*(36+3*7)/(36+7*(D219+1)/2)*E219,0))</x:f>
        <x:v>5708</x:v>
      </x:c>
      <x:c r="AH219" s="119" t="n">
        <x:f>IF(AF219=0,0,(AF219-IF(3=D219,1,0))*ROUND(AG219*VLOOKUP(INDEX('章节与怪物'!$E$31:$K$37,B219,3),'章节与怪物'!$A$41:$F$44,2,FALSE),0)+IF(3=D219,ROUND(AG219*'难度参数'!$E$28*'章节与怪物'!$E$17,0),0))</x:f>
        <x:v>119190</x:v>
      </x:c>
      <x:c r="AI219" s="119" t="n">
        <x:f>IF(AF219=0,0,(AF219-IF(3=D219,1,0))*VLOOKUP(INDEX('章节与怪物'!$E$31:$K$37,B219,3),'章节与怪物'!$A$41:$F$44,4,FALSE)+IF(3=D219,'难度参数'!$E$30,0))</x:f>
        <x:v>580</x:v>
      </x:c>
      <x:c r="AJ219" s="119" t="n">
        <x:f>IF(4&gt;D219,0,MAX(2,MIN('难度参数'!$E$12,ROUND(('难度参数'!$E$18*POWER(A219,'难度参数'!$E$19)/D219*(0.85+0.3*(4-1)/MAX(1,D219-1))),0)+F219)))</x:f>
        <x:v>31</x:v>
      </x:c>
      <x:c r="AK219" s="119" t="n">
        <x:f>IF(4&gt;D219,0,ROUND(('难度参数'!$E$13*POWER(A219,'难度参数'!$E$20)*MIN('难度参数'!$E$23,1+MAX(0,A219-'难度参数'!$E$21)*'难度参数'!$E$22))*(36+4*7)/(36+7*(D219+1)/2)*E219,0))</x:f>
        <x:v>6409</x:v>
      </x:c>
      <x:c r="AL219" s="119" t="n">
        <x:f>IF(AJ219=0,0,(AJ219-IF(4=D219,1,0))*ROUND(AK219*VLOOKUP(INDEX('章节与怪物'!$E$31:$K$37,B219,4),'章节与怪物'!$A$41:$F$44,2,FALSE),0)+IF(4=D219,ROUND(AK219*'难度参数'!$E$28*'章节与怪物'!$E$17,0),0))</x:f>
        <x:v>337745</x:v>
      </x:c>
      <x:c r="AM219" s="119" t="n">
        <x:f>IF(AJ219=0,0,(AJ219-IF(4=D219,1,0))*VLOOKUP(INDEX('章节与怪物'!$E$31:$K$37,B219,4),'章节与怪物'!$A$41:$F$44,4,FALSE)+IF(4=D219,'难度参数'!$E$30,0))</x:f>
        <x:v>868</x:v>
      </x:c>
      <x:c r="AN219" s="119" t="n">
        <x:f>IF(5&gt;D219,0,MAX(2,MIN('难度参数'!$E$12,ROUND(('难度参数'!$E$18*POWER(A219,'难度参数'!$E$19)/D219*(0.85+0.3*(5-1)/MAX(1,D219-1))),0)+F219)))</x:f>
        <x:v>32</x:v>
      </x:c>
      <x:c r="AO219" s="119" t="n">
        <x:f>IF(5&gt;D219,0,ROUND(('难度参数'!$E$13*POWER(A219,'难度参数'!$E$20)*MIN('难度参数'!$E$23,1+MAX(0,A219-'难度参数'!$E$21)*'难度参数'!$E$22))*(36+5*7)/(36+7*(D219+1)/2)*E219,0))</x:f>
        <x:v>7110</x:v>
      </x:c>
      <x:c r="AP219" s="119" t="n">
        <x:f>IF(AN219=0,0,(AN219-IF(5=D219,1,0))*ROUND(AO219*VLOOKUP(INDEX('章节与怪物'!$E$31:$K$37,B219,5),'章节与怪物'!$A$41:$F$44,2,FALSE),0)+IF(5=D219,ROUND(AO219*'难度参数'!$E$28*'章节与怪物'!$E$17,0),0))</x:f>
        <x:v>307168</x:v>
      </x:c>
      <x:c r="AQ219" s="119" t="n">
        <x:f>IF(AN219=0,0,(AN219-IF(5=D219,1,0))*VLOOKUP(INDEX('章节与怪物'!$E$31:$K$37,B219,5),'章节与怪物'!$A$41:$F$44,4,FALSE)+IF(5=D219,'难度参数'!$E$30,0))</x:f>
        <x:v>1088</x:v>
      </x:c>
      <x:c r="AR219" s="119" t="n">
        <x:f>IF(6&gt;D219,0,MAX(2,MIN('难度参数'!$E$12,ROUND(('难度参数'!$E$18*POWER(A219,'难度参数'!$E$19)/D219*(0.85+0.3*(6-1)/MAX(1,D219-1))),0)+F219)))</x:f>
        <x:v>34</x:v>
      </x:c>
      <x:c r="AS219" s="119" t="n">
        <x:f>IF(6&gt;D219,0,ROUND(('难度参数'!$E$13*POWER(A219,'难度参数'!$E$20)*MIN('难度参数'!$E$23,1+MAX(0,A219-'难度参数'!$E$21)*'难度参数'!$E$22))*(36+6*7)/(36+7*(D219+1)/2)*E219,0))</x:f>
        <x:v>7811</x:v>
      </x:c>
      <x:c r="AT219" s="119" t="n">
        <x:f>IF(AR219=0,0,(AR219-IF(6=D219,1,0))*ROUND(AS219*VLOOKUP(INDEX('章节与怪物'!$E$31:$K$37,B219,6),'章节与怪物'!$A$41:$F$44,2,FALSE),0)+IF(6=D219,ROUND(AS219*'难度参数'!$E$28*'章节与怪物'!$E$17,0),0))</x:f>
        <x:v>191216</x:v>
      </x:c>
      <x:c r="AU219" s="119" t="n">
        <x:f>IF(AR219=0,0,(AR219-IF(6=D219,1,0))*VLOOKUP(INDEX('章节与怪物'!$E$31:$K$37,B219,6),'章节与怪物'!$A$41:$F$44,4,FALSE)+IF(6=D219,'难度参数'!$E$30,0))</x:f>
        <x:v>680</x:v>
      </x:c>
      <x:c r="AV219" s="119" t="n">
        <x:f>IF(7&gt;D219,0,MAX(2,MIN('难度参数'!$E$12,ROUND(('难度参数'!$E$18*POWER(A219,'难度参数'!$E$19)/D219*(0.85+0.3*(7-1)/MAX(1,D219-1))),0)+F219)))</x:f>
        <x:v>35</x:v>
      </x:c>
      <x:c r="AW219" s="119" t="n">
        <x:f>IF(7&gt;D219,0,ROUND(('难度参数'!$E$13*POWER(A219,'难度参数'!$E$20)*MIN('难度参数'!$E$23,1+MAX(0,A219-'难度参数'!$E$21)*'难度参数'!$E$22))*(36+7*7)/(36+7*(D219+1)/2)*E219,0))</x:f>
        <x:v>8511</x:v>
      </x:c>
      <x:c r="AX219" s="119" t="n">
        <x:f>IF(AV219=0,0,(AV219-IF(7=D219,1,0))*ROUND(AW219*VLOOKUP(INDEX('章节与怪物'!$E$31:$K$37,B219,7),'章节与怪物'!$A$41:$F$44,2,FALSE),0)+IF(7=D219,ROUND(AW219*'难度参数'!$E$28*'章节与怪物'!$E$17,0),0))</x:f>
        <x:v>549821</x:v>
      </x:c>
      <x:c r="AY219" s="119" t="n">
        <x:f>IF(AV219=0,0,(AV219-IF(7=D219,1,0))*VLOOKUP(INDEX('章节与怪物'!$E$31:$K$37,B219,7),'章节与怪物'!$A$41:$F$44,4,FALSE)+IF(7=D219,'难度参数'!$E$30,0))</x:f>
        <x:v>1152</x:v>
      </x:c>
    </x:row>
    <x:row r="220" ht="23" customHeight="1">
      <x:c r="A220" s="119" t="n">
        <x:v>214</x:v>
      </x:c>
      <x:c r="B220" s="119" t="n">
        <x:f>MOD(INT((A220-1)/5),7)+1</x:f>
        <x:v>1</x:v>
      </x:c>
      <x:c r="C220" s="62" t="str">
        <x:f>INDEX('章节与怪物'!$B$31:$B$37,B220)</x:f>
        <x:v>冰雪荒原</x:v>
      </x:c>
      <x:c r="D220" s="119" t="n">
        <x:f>MIN('难度参数'!$E$8,MAX('难度参数'!$E$7,A220))</x:f>
        <x:v>7</x:v>
      </x:c>
      <x:c r="E220" s="106" t="n">
        <x:v>1</x:v>
      </x:c>
      <x:c r="F220" s="106" t="n">
        <x:v>0</x:v>
      </x:c>
      <x:c r="G220" s="106" t="n">
        <x:v>1</x:v>
      </x:c>
      <x:c r="H220" s="119" t="n">
        <x:f>SUM(X220,AB220,AF220,AJ220,AN220,AR220,AV220)</x:f>
        <x:v>215</x:v>
      </x:c>
      <x:c r="I220" s="119" t="n">
        <x:f>SUM(Z220,AD220,AH220,AL220,AP220,AT220,AX220)</x:f>
        <x:v>1763158</x:v>
      </x:c>
      <x:c r="J220" s="119" t="n">
        <x:f>ROUND(INDEX(X220:AY220,1,(D220-1)*4+2)*'难度参数'!$E$28*'章节与怪物'!$E$17,0)</x:f>
        <x:v>58072</x:v>
      </x:c>
      <x:c r="K220" s="119" t="n">
        <x:f>SUM(AA220,AE220,AI220,AM220,AQ220,AU220,AY220)</x:f>
        <x:v>5340</x:v>
      </x:c>
      <x:c r="L220" s="62" t="n">
        <x:f>H220*(ROUNDUP('难度参数'!$E$24/('难度参数'!$E$26*'难度参数'!$E$27),0)*'难度参数'!$E$26)/60</x:f>
        <x:v>2.8666666666666667</x:v>
      </x:c>
      <x:c r="M220" s="62" t="n">
        <x:f>L220+D220*('难度参数'!$E$49+'难度参数'!$E$50)/60</x:f>
        <x:v>4.033333333333333</x:v>
      </x:c>
      <x:c r="N220" s="119" t="n">
        <x:f>ROUNDDOWN(('经济参数'!$E$20+A220*'经济参数'!$E$21)*G220,0)</x:f>
        <x:v>4460</x:v>
      </x:c>
      <x:c r="O220" s="119" t="n">
        <x:f>ROUNDDOWN(MIN('经济参数'!$E$24,'经济参数'!$E$22+A220*'经济参数'!$E$23)*G220,0)</x:f>
        <x:v>0</x:v>
      </x:c>
      <x:c r="P220" s="119" t="n">
        <x:f>ROUNDDOWN((IF(A220&gt;='材料与任务'!$E$31,'材料与任务'!$E$32,IF(A220&gt;='材料与任务'!$E$25,'材料与任务'!$E$26,IF(A220&gt;='材料与任务'!$E$19,'材料与任务'!$E$20,IF(A220&gt;='材料与任务'!$E$13,'材料与任务'!$E$14,'材料与任务'!$E$8)))))*G220,0)</x:f>
        <x:v>6</x:v>
      </x:c>
      <x:c r="Q220" s="119" t="n">
        <x:f>ROUNDDOWN((IF(A220&gt;='材料与任务'!$E$31,'材料与任务'!$E$33,IF(A220&gt;='材料与任务'!$E$25,'材料与任务'!$E$27,IF(A220&gt;='材料与任务'!$E$19,'材料与任务'!$E$21,IF(A220&gt;='材料与任务'!$E$13,'材料与任务'!$E$15,'材料与任务'!$E$9)))))*G220,0)</x:f>
        <x:v>3</x:v>
      </x:c>
      <x:c r="R220" s="110" t="n">
        <x:f>'装备掉落'!$B$38</x:f>
        <x:v>0.6872058758851213</x:v>
      </x:c>
      <x:c r="S220" s="119" t="n">
        <x:f>MAX(IF(VLOOKUP(A220,'装备掉落'!$A$29:$H$34,2,TRUE)&gt;0,1,0),IF(VLOOKUP(A220,'装备掉落'!$A$29:$H$34,3,TRUE)&gt;0,2,0),IF(VLOOKUP(A220,'装备掉落'!$A$29:$H$34,4,TRUE)&gt;0,3,0),IF(VLOOKUP(A220,'装备掉落'!$A$29:$H$34,5,TRUE)&gt;0,4,0),IF(VLOOKUP(A220,'装备掉落'!$A$29:$H$34,6,TRUE)&gt;0,5,0),IF(VLOOKUP(A220,'装备掉落'!$A$29:$H$34,7,TRUE)&gt;0,6,0),IF(VLOOKUP(A220,'装备掉落'!$A$29:$H$34,8,TRUE)&gt;0,7,0))</x:f>
        <x:v>7</x:v>
      </x:c>
      <x:c r="T220" s="119" t="n">
        <x:f>MIN(7,S220+'经济参数'!$E$70)</x:f>
        <x:v>7</x:v>
      </x:c>
      <x:c r="U220" s="119" t="n">
        <x:f>MIN(7,S220+'经济参数'!$E$71)</x:f>
        <x:v>7</x:v>
      </x:c>
      <x:c r="V220" s="119" t="n">
        <x:f>IF(H220&gt;=('难度参数'!$E$52),1,0)+IF(H220&gt;=('难度参数'!$E$52+'难度参数'!$E$53),1,0)+IF(H220&gt;=('难度参数'!$E$52+'难度参数'!$E$53+'难度参数'!$E$54),1,0)+IF(H220&gt;=('难度参数'!$E$52+'难度参数'!$E$53+'难度参数'!$E$54+'难度参数'!$E$55),1,0)+IF(H220&gt;=('难度参数'!$E$52+'难度参数'!$E$53+'难度参数'!$E$54+'难度参数'!$E$55+'难度参数'!$E$56),1,0)+IF(H220&gt;=('难度参数'!$E$52+'难度参数'!$E$53+'难度参数'!$E$54+'难度参数'!$E$55+'难度参数'!$E$56+'难度参数'!$E$57),1,0)</x:f>
        <x:v>6</x:v>
      </x:c>
      <x:c r="W220" s="62" t="str">
        <x:f>IF(L220&gt;'难度参数'!$E$51,"仅出怪已超目标","还需实测")</x:f>
        <x:v>还需实测</x:v>
      </x:c>
      <x:c r="X220" s="119" t="n">
        <x:f>IF(1&gt;D220,0,MAX(2,MIN('难度参数'!$E$12,ROUND(('难度参数'!$E$18*POWER(A220,'难度参数'!$E$19)/D220*(0.85+0.3*(1-1)/MAX(1,D220-1))),0)+F220)))</x:f>
        <x:v>26</x:v>
      </x:c>
      <x:c r="Y220" s="119" t="n">
        <x:f>IF(1&gt;D220,0,ROUND(('难度参数'!$E$13*POWER(A220,'难度参数'!$E$20)*MIN('难度参数'!$E$23,1+MAX(0,A220-'难度参数'!$E$21)*'难度参数'!$E$22))*(36+1*7)/(36+7*(D220+1)/2)*E220,0))</x:f>
        <x:v>4320</x:v>
      </x:c>
      <x:c r="Z220" s="119" t="n">
        <x:f>IF(X220=0,0,(X220-IF(1=D220,1,0))*ROUND(Y220*VLOOKUP(INDEX('章节与怪物'!$E$31:$K$37,B220,1),'章节与怪物'!$A$41:$F$44,2,FALSE),0)+IF(1=D220,ROUND(Y220*'难度参数'!$E$28*'章节与怪物'!$E$17,0),0))</x:f>
        <x:v>112320</x:v>
      </x:c>
      <x:c r="AA220" s="119" t="n">
        <x:f>IF(X220=0,0,(X220-IF(1=D220,1,0))*VLOOKUP(INDEX('章节与怪物'!$E$31:$K$37,B220,1),'章节与怪物'!$A$41:$F$44,4,FALSE)+IF(1=D220,'难度参数'!$E$30,0))</x:f>
        <x:v>468</x:v>
      </x:c>
      <x:c r="AB220" s="119" t="n">
        <x:f>IF(2&gt;D220,0,MAX(2,MIN('难度参数'!$E$12,ROUND(('难度参数'!$E$18*POWER(A220,'难度参数'!$E$19)/D220*(0.85+0.3*(2-1)/MAX(1,D220-1))),0)+F220)))</x:f>
        <x:v>28</x:v>
      </x:c>
      <x:c r="AC220" s="119" t="n">
        <x:f>IF(2&gt;D220,0,ROUND(('难度参数'!$E$13*POWER(A220,'难度参数'!$E$20)*MIN('难度参数'!$E$23,1+MAX(0,A220-'难度参数'!$E$21)*'难度参数'!$E$22))*(36+2*7)/(36+7*(D220+1)/2)*E220,0))</x:f>
        <x:v>5024</x:v>
      </x:c>
      <x:c r="AD220" s="119" t="n">
        <x:f>IF(AB220=0,0,(AB220-IF(2=D220,1,0))*ROUND(AC220*VLOOKUP(INDEX('章节与怪物'!$E$31:$K$37,B220,2),'章节与怪物'!$A$41:$F$44,2,FALSE),0)+IF(2=D220,ROUND(AC220*'难度参数'!$E$28*'章节与怪物'!$E$17,0),0))</x:f>
        <x:v>140672</x:v>
      </x:c>
      <x:c r="AE220" s="119" t="n">
        <x:f>IF(AB220=0,0,(AB220-IF(2=D220,1,0))*VLOOKUP(INDEX('章节与怪物'!$E$31:$K$37,B220,2),'章节与怪物'!$A$41:$F$44,4,FALSE)+IF(2=D220,'难度参数'!$E$30,0))</x:f>
        <x:v>504</x:v>
      </x:c>
      <x:c r="AF220" s="119" t="n">
        <x:f>IF(3&gt;D220,0,MAX(2,MIN('难度参数'!$E$12,ROUND(('难度参数'!$E$18*POWER(A220,'难度参数'!$E$19)/D220*(0.85+0.3*(3-1)/MAX(1,D220-1))),0)+F220)))</x:f>
        <x:v>29</x:v>
      </x:c>
      <x:c r="AG220" s="119" t="n">
        <x:f>IF(3&gt;D220,0,ROUND(('难度参数'!$E$13*POWER(A220,'难度参数'!$E$20)*MIN('难度参数'!$E$23,1+MAX(0,A220-'难度参数'!$E$21)*'难度参数'!$E$22))*(36+3*7)/(36+7*(D220+1)/2)*E220,0))</x:f>
        <x:v>5727</x:v>
      </x:c>
      <x:c r="AH220" s="119" t="n">
        <x:f>IF(AF220=0,0,(AF220-IF(3=D220,1,0))*ROUND(AG220*VLOOKUP(INDEX('章节与怪物'!$E$31:$K$37,B220,3),'章节与怪物'!$A$41:$F$44,2,FALSE),0)+IF(3=D220,ROUND(AG220*'难度参数'!$E$28*'章节与怪物'!$E$17,0),0))</x:f>
        <x:v>119567</x:v>
      </x:c>
      <x:c r="AI220" s="119" t="n">
        <x:f>IF(AF220=0,0,(AF220-IF(3=D220,1,0))*VLOOKUP(INDEX('章节与怪物'!$E$31:$K$37,B220,3),'章节与怪物'!$A$41:$F$44,4,FALSE)+IF(3=D220,'难度参数'!$E$30,0))</x:f>
        <x:v>580</x:v>
      </x:c>
      <x:c r="AJ220" s="119" t="n">
        <x:f>IF(4&gt;D220,0,MAX(2,MIN('难度参数'!$E$12,ROUND(('难度参数'!$E$18*POWER(A220,'难度参数'!$E$19)/D220*(0.85+0.3*(4-1)/MAX(1,D220-1))),0)+F220)))</x:f>
        <x:v>31</x:v>
      </x:c>
      <x:c r="AK220" s="119" t="n">
        <x:f>IF(4&gt;D220,0,ROUND(('难度参数'!$E$13*POWER(A220,'难度参数'!$E$20)*MIN('难度参数'!$E$23,1+MAX(0,A220-'难度参数'!$E$21)*'难度参数'!$E$22))*(36+4*7)/(36+7*(D220+1)/2)*E220,0))</x:f>
        <x:v>6430</x:v>
      </x:c>
      <x:c r="AL220" s="119" t="n">
        <x:f>IF(AJ220=0,0,(AJ220-IF(4=D220,1,0))*ROUND(AK220*VLOOKUP(INDEX('章节与怪物'!$E$31:$K$37,B220,4),'章节与怪物'!$A$41:$F$44,2,FALSE),0)+IF(4=D220,ROUND(AK220*'难度参数'!$E$28*'章节与怪物'!$E$17,0),0))</x:f>
        <x:v>338861</x:v>
      </x:c>
      <x:c r="AM220" s="119" t="n">
        <x:f>IF(AJ220=0,0,(AJ220-IF(4=D220,1,0))*VLOOKUP(INDEX('章节与怪物'!$E$31:$K$37,B220,4),'章节与怪物'!$A$41:$F$44,4,FALSE)+IF(4=D220,'难度参数'!$E$30,0))</x:f>
        <x:v>868</x:v>
      </x:c>
      <x:c r="AN220" s="119" t="n">
        <x:f>IF(5&gt;D220,0,MAX(2,MIN('难度参数'!$E$12,ROUND(('难度参数'!$E$18*POWER(A220,'难度参数'!$E$19)/D220*(0.85+0.3*(5-1)/MAX(1,D220-1))),0)+F220)))</x:f>
        <x:v>32</x:v>
      </x:c>
      <x:c r="AO220" s="119" t="n">
        <x:f>IF(5&gt;D220,0,ROUND(('难度参数'!$E$13*POWER(A220,'难度参数'!$E$20)*MIN('难度参数'!$E$23,1+MAX(0,A220-'难度参数'!$E$21)*'难度参数'!$E$22))*(36+5*7)/(36+7*(D220+1)/2)*E220,0))</x:f>
        <x:v>7134</x:v>
      </x:c>
      <x:c r="AP220" s="119" t="n">
        <x:f>IF(AN220=0,0,(AN220-IF(5=D220,1,0))*ROUND(AO220*VLOOKUP(INDEX('章节与怪物'!$E$31:$K$37,B220,5),'章节与怪物'!$A$41:$F$44,2,FALSE),0)+IF(5=D220,ROUND(AO220*'难度参数'!$E$28*'章节与怪物'!$E$17,0),0))</x:f>
        <x:v>308192</x:v>
      </x:c>
      <x:c r="AQ220" s="119" t="n">
        <x:f>IF(AN220=0,0,(AN220-IF(5=D220,1,0))*VLOOKUP(INDEX('章节与怪物'!$E$31:$K$37,B220,5),'章节与怪物'!$A$41:$F$44,4,FALSE)+IF(5=D220,'难度参数'!$E$30,0))</x:f>
        <x:v>1088</x:v>
      </x:c>
      <x:c r="AR220" s="119" t="n">
        <x:f>IF(6&gt;D220,0,MAX(2,MIN('难度参数'!$E$12,ROUND(('难度参数'!$E$18*POWER(A220,'难度参数'!$E$19)/D220*(0.85+0.3*(6-1)/MAX(1,D220-1))),0)+F220)))</x:f>
        <x:v>34</x:v>
      </x:c>
      <x:c r="AS220" s="119" t="n">
        <x:f>IF(6&gt;D220,0,ROUND(('难度参数'!$E$13*POWER(A220,'难度参数'!$E$20)*MIN('难度参数'!$E$23,1+MAX(0,A220-'难度参数'!$E$21)*'难度参数'!$E$22))*(36+6*7)/(36+7*(D220+1)/2)*E220,0))</x:f>
        <x:v>7837</x:v>
      </x:c>
      <x:c r="AT220" s="119" t="n">
        <x:f>IF(AR220=0,0,(AR220-IF(6=D220,1,0))*ROUND(AS220*VLOOKUP(INDEX('章节与怪物'!$E$31:$K$37,B220,6),'章节与怪物'!$A$41:$F$44,2,FALSE),0)+IF(6=D220,ROUND(AS220*'难度参数'!$E$28*'章节与怪物'!$E$17,0),0))</x:f>
        <x:v>191862</x:v>
      </x:c>
      <x:c r="AU220" s="119" t="n">
        <x:f>IF(AR220=0,0,(AR220-IF(6=D220,1,0))*VLOOKUP(INDEX('章节与怪物'!$E$31:$K$37,B220,6),'章节与怪物'!$A$41:$F$44,4,FALSE)+IF(6=D220,'难度参数'!$E$30,0))</x:f>
        <x:v>680</x:v>
      </x:c>
      <x:c r="AV220" s="119" t="n">
        <x:f>IF(7&gt;D220,0,MAX(2,MIN('难度参数'!$E$12,ROUND(('难度参数'!$E$18*POWER(A220,'难度参数'!$E$19)/D220*(0.85+0.3*(7-1)/MAX(1,D220-1))),0)+F220)))</x:f>
        <x:v>35</x:v>
      </x:c>
      <x:c r="AW220" s="119" t="n">
        <x:f>IF(7&gt;D220,0,ROUND(('难度参数'!$E$13*POWER(A220,'难度参数'!$E$20)*MIN('难度参数'!$E$23,1+MAX(0,A220-'难度参数'!$E$21)*'难度参数'!$E$22))*(36+7*7)/(36+7*(D220+1)/2)*E220,0))</x:f>
        <x:v>8540</x:v>
      </x:c>
      <x:c r="AX220" s="119" t="n">
        <x:f>IF(AV220=0,0,(AV220-IF(7=D220,1,0))*ROUND(AW220*VLOOKUP(INDEX('章节与怪物'!$E$31:$K$37,B220,7),'章节与怪物'!$A$41:$F$44,2,FALSE),0)+IF(7=D220,ROUND(AW220*'难度参数'!$E$28*'章节与怪物'!$E$17,0),0))</x:f>
        <x:v>551684</x:v>
      </x:c>
      <x:c r="AY220" s="119" t="n">
        <x:f>IF(AV220=0,0,(AV220-IF(7=D220,1,0))*VLOOKUP(INDEX('章节与怪物'!$E$31:$K$37,B220,7),'章节与怪物'!$A$41:$F$44,4,FALSE)+IF(7=D220,'难度参数'!$E$30,0))</x:f>
        <x:v>1152</x:v>
      </x:c>
    </x:row>
    <x:row r="221" ht="23" customHeight="1">
      <x:c r="A221" s="119" t="n">
        <x:v>215</x:v>
      </x:c>
      <x:c r="B221" s="119" t="n">
        <x:f>MOD(INT((A221-1)/5),7)+1</x:f>
        <x:v>1</x:v>
      </x:c>
      <x:c r="C221" s="62" t="str">
        <x:f>INDEX('章节与怪物'!$B$31:$B$37,B221)</x:f>
        <x:v>冰雪荒原</x:v>
      </x:c>
      <x:c r="D221" s="119" t="n">
        <x:f>MIN('难度参数'!$E$8,MAX('难度参数'!$E$7,A221))</x:f>
        <x:v>7</x:v>
      </x:c>
      <x:c r="E221" s="106" t="n">
        <x:v>1</x:v>
      </x:c>
      <x:c r="F221" s="106" t="n">
        <x:v>0</x:v>
      </x:c>
      <x:c r="G221" s="106" t="n">
        <x:v>1</x:v>
      </x:c>
      <x:c r="H221" s="119" t="n">
        <x:f>SUM(X221,AB221,AF221,AJ221,AN221,AR221,AV221)</x:f>
        <x:v>216</x:v>
      </x:c>
      <x:c r="I221" s="119" t="n">
        <x:f>SUM(Z221,AD221,AH221,AL221,AP221,AT221,AX221)</x:f>
        <x:v>1783643</x:v>
      </x:c>
      <x:c r="J221" s="119" t="n">
        <x:f>ROUND(INDEX(X221:AY221,1,(D221-1)*4+2)*'难度参数'!$E$28*'章节与怪物'!$E$17,0)</x:f>
        <x:v>58269</x:v>
      </x:c>
      <x:c r="K221" s="119" t="n">
        <x:f>SUM(AA221,AE221,AI221,AM221,AQ221,AU221,AY221)</x:f>
        <x:v>5368</x:v>
      </x:c>
      <x:c r="L221" s="62" t="n">
        <x:f>H221*(ROUNDUP('难度参数'!$E$24/('难度参数'!$E$26*'难度参数'!$E$27),0)*'难度参数'!$E$26)/60</x:f>
        <x:v>2.8800000000000003</x:v>
      </x:c>
      <x:c r="M221" s="62" t="n">
        <x:f>L221+D221*('难度参数'!$E$49+'难度参数'!$E$50)/60</x:f>
        <x:v>4.046666666666667</x:v>
      </x:c>
      <x:c r="N221" s="119" t="n">
        <x:f>ROUNDDOWN(('经济参数'!$E$20+A221*'经济参数'!$E$21)*G221,0)</x:f>
        <x:v>4480</x:v>
      </x:c>
      <x:c r="O221" s="119" t="n">
        <x:f>ROUNDDOWN(MIN('经济参数'!$E$24,'经济参数'!$E$22+A221*'经济参数'!$E$23)*G221,0)</x:f>
        <x:v>0</x:v>
      </x:c>
      <x:c r="P221" s="119" t="n">
        <x:f>ROUNDDOWN((IF(A221&gt;='材料与任务'!$E$31,'材料与任务'!$E$32,IF(A221&gt;='材料与任务'!$E$25,'材料与任务'!$E$26,IF(A221&gt;='材料与任务'!$E$19,'材料与任务'!$E$20,IF(A221&gt;='材料与任务'!$E$13,'材料与任务'!$E$14,'材料与任务'!$E$8)))))*G221,0)</x:f>
        <x:v>6</x:v>
      </x:c>
      <x:c r="Q221" s="119" t="n">
        <x:f>ROUNDDOWN((IF(A221&gt;='材料与任务'!$E$31,'材料与任务'!$E$33,IF(A221&gt;='材料与任务'!$E$25,'材料与任务'!$E$27,IF(A221&gt;='材料与任务'!$E$19,'材料与任务'!$E$21,IF(A221&gt;='材料与任务'!$E$13,'材料与任务'!$E$15,'材料与任务'!$E$9)))))*G221,0)</x:f>
        <x:v>3</x:v>
      </x:c>
      <x:c r="R221" s="110" t="n">
        <x:f>'装备掉落'!$B$38</x:f>
        <x:v>0.6872058758851213</x:v>
      </x:c>
      <x:c r="S221" s="119" t="n">
        <x:f>MAX(IF(VLOOKUP(A221,'装备掉落'!$A$29:$H$34,2,TRUE)&gt;0,1,0),IF(VLOOKUP(A221,'装备掉落'!$A$29:$H$34,3,TRUE)&gt;0,2,0),IF(VLOOKUP(A221,'装备掉落'!$A$29:$H$34,4,TRUE)&gt;0,3,0),IF(VLOOKUP(A221,'装备掉落'!$A$29:$H$34,5,TRUE)&gt;0,4,0),IF(VLOOKUP(A221,'装备掉落'!$A$29:$H$34,6,TRUE)&gt;0,5,0),IF(VLOOKUP(A221,'装备掉落'!$A$29:$H$34,7,TRUE)&gt;0,6,0),IF(VLOOKUP(A221,'装备掉落'!$A$29:$H$34,8,TRUE)&gt;0,7,0))</x:f>
        <x:v>7</x:v>
      </x:c>
      <x:c r="T221" s="119" t="n">
        <x:f>MIN(7,S221+'经济参数'!$E$70)</x:f>
        <x:v>7</x:v>
      </x:c>
      <x:c r="U221" s="119" t="n">
        <x:f>MIN(7,S221+'经济参数'!$E$71)</x:f>
        <x:v>7</x:v>
      </x:c>
      <x:c r="V221" s="119" t="n">
        <x:f>IF(H221&gt;=('难度参数'!$E$52),1,0)+IF(H221&gt;=('难度参数'!$E$52+'难度参数'!$E$53),1,0)+IF(H221&gt;=('难度参数'!$E$52+'难度参数'!$E$53+'难度参数'!$E$54),1,0)+IF(H221&gt;=('难度参数'!$E$52+'难度参数'!$E$53+'难度参数'!$E$54+'难度参数'!$E$55),1,0)+IF(H221&gt;=('难度参数'!$E$52+'难度参数'!$E$53+'难度参数'!$E$54+'难度参数'!$E$55+'难度参数'!$E$56),1,0)+IF(H221&gt;=('难度参数'!$E$52+'难度参数'!$E$53+'难度参数'!$E$54+'难度参数'!$E$55+'难度参数'!$E$56+'难度参数'!$E$57),1,0)</x:f>
        <x:v>6</x:v>
      </x:c>
      <x:c r="W221" s="62" t="str">
        <x:f>IF(L221&gt;'难度参数'!$E$51,"仅出怪已超目标","还需实测")</x:f>
        <x:v>还需实测</x:v>
      </x:c>
      <x:c r="X221" s="119" t="n">
        <x:f>IF(1&gt;D221,0,MAX(2,MIN('难度参数'!$E$12,ROUND(('难度参数'!$E$18*POWER(A221,'难度参数'!$E$19)/D221*(0.85+0.3*(1-1)/MAX(1,D221-1))),0)+F221)))</x:f>
        <x:v>26</x:v>
      </x:c>
      <x:c r="Y221" s="119" t="n">
        <x:f>IF(1&gt;D221,0,ROUND(('难度参数'!$E$13*POWER(A221,'难度参数'!$E$20)*MIN('难度参数'!$E$23,1+MAX(0,A221-'难度参数'!$E$21)*'难度参数'!$E$22))*(36+1*7)/(36+7*(D221+1)/2)*E221,0))</x:f>
        <x:v>4335</x:v>
      </x:c>
      <x:c r="Z221" s="119" t="n">
        <x:f>IF(X221=0,0,(X221-IF(1=D221,1,0))*ROUND(Y221*VLOOKUP(INDEX('章节与怪物'!$E$31:$K$37,B221,1),'章节与怪物'!$A$41:$F$44,2,FALSE),0)+IF(1=D221,ROUND(Y221*'难度参数'!$E$28*'章节与怪物'!$E$17,0),0))</x:f>
        <x:v>112710</x:v>
      </x:c>
      <x:c r="AA221" s="119" t="n">
        <x:f>IF(X221=0,0,(X221-IF(1=D221,1,0))*VLOOKUP(INDEX('章节与怪物'!$E$31:$K$37,B221,1),'章节与怪物'!$A$41:$F$44,4,FALSE)+IF(1=D221,'难度参数'!$E$30,0))</x:f>
        <x:v>468</x:v>
      </x:c>
      <x:c r="AB221" s="119" t="n">
        <x:f>IF(2&gt;D221,0,MAX(2,MIN('难度参数'!$E$12,ROUND(('难度参数'!$E$18*POWER(A221,'难度参数'!$E$19)/D221*(0.85+0.3*(2-1)/MAX(1,D221-1))),0)+F221)))</x:f>
        <x:v>28</x:v>
      </x:c>
      <x:c r="AC221" s="119" t="n">
        <x:f>IF(2&gt;D221,0,ROUND(('难度参数'!$E$13*POWER(A221,'难度参数'!$E$20)*MIN('难度参数'!$E$23,1+MAX(0,A221-'难度参数'!$E$21)*'难度参数'!$E$22))*(36+2*7)/(36+7*(D221+1)/2)*E221,0))</x:f>
        <x:v>5041</x:v>
      </x:c>
      <x:c r="AD221" s="119" t="n">
        <x:f>IF(AB221=0,0,(AB221-IF(2=D221,1,0))*ROUND(AC221*VLOOKUP(INDEX('章节与怪物'!$E$31:$K$37,B221,2),'章节与怪物'!$A$41:$F$44,2,FALSE),0)+IF(2=D221,ROUND(AC221*'难度参数'!$E$28*'章节与怪物'!$E$17,0),0))</x:f>
        <x:v>141148</x:v>
      </x:c>
      <x:c r="AE221" s="119" t="n">
        <x:f>IF(AB221=0,0,(AB221-IF(2=D221,1,0))*VLOOKUP(INDEX('章节与怪物'!$E$31:$K$37,B221,2),'章节与怪物'!$A$41:$F$44,4,FALSE)+IF(2=D221,'难度参数'!$E$30,0))</x:f>
        <x:v>504</x:v>
      </x:c>
      <x:c r="AF221" s="119" t="n">
        <x:f>IF(3&gt;D221,0,MAX(2,MIN('难度参数'!$E$12,ROUND(('难度参数'!$E$18*POWER(A221,'难度参数'!$E$19)/D221*(0.85+0.3*(3-1)/MAX(1,D221-1))),0)+F221)))</x:f>
        <x:v>29</x:v>
      </x:c>
      <x:c r="AG221" s="119" t="n">
        <x:f>IF(3&gt;D221,0,ROUND(('难度参数'!$E$13*POWER(A221,'难度参数'!$E$20)*MIN('难度参数'!$E$23,1+MAX(0,A221-'难度参数'!$E$21)*'难度参数'!$E$22))*(36+3*7)/(36+7*(D221+1)/2)*E221,0))</x:f>
        <x:v>5746</x:v>
      </x:c>
      <x:c r="AH221" s="119" t="n">
        <x:f>IF(AF221=0,0,(AF221-IF(3=D221,1,0))*ROUND(AG221*VLOOKUP(INDEX('章节与怪物'!$E$31:$K$37,B221,3),'章节与怪物'!$A$41:$F$44,2,FALSE),0)+IF(3=D221,ROUND(AG221*'难度参数'!$E$28*'章节与怪物'!$E$17,0),0))</x:f>
        <x:v>119973</x:v>
      </x:c>
      <x:c r="AI221" s="119" t="n">
        <x:f>IF(AF221=0,0,(AF221-IF(3=D221,1,0))*VLOOKUP(INDEX('章节与怪物'!$E$31:$K$37,B221,3),'章节与怪物'!$A$41:$F$44,4,FALSE)+IF(3=D221,'难度参数'!$E$30,0))</x:f>
        <x:v>580</x:v>
      </x:c>
      <x:c r="AJ221" s="119" t="n">
        <x:f>IF(4&gt;D221,0,MAX(2,MIN('难度参数'!$E$12,ROUND(('难度参数'!$E$18*POWER(A221,'难度参数'!$E$19)/D221*(0.85+0.3*(4-1)/MAX(1,D221-1))),0)+F221)))</x:f>
        <x:v>31</x:v>
      </x:c>
      <x:c r="AK221" s="119" t="n">
        <x:f>IF(4&gt;D221,0,ROUND(('难度参数'!$E$13*POWER(A221,'难度参数'!$E$20)*MIN('难度参数'!$E$23,1+MAX(0,A221-'难度参数'!$E$21)*'难度参数'!$E$22))*(36+4*7)/(36+7*(D221+1)/2)*E221,0))</x:f>
        <x:v>6452</x:v>
      </x:c>
      <x:c r="AL221" s="119" t="n">
        <x:f>IF(AJ221=0,0,(AJ221-IF(4=D221,1,0))*ROUND(AK221*VLOOKUP(INDEX('章节与怪物'!$E$31:$K$37,B221,4),'章节与怪物'!$A$41:$F$44,2,FALSE),0)+IF(4=D221,ROUND(AK221*'难度参数'!$E$28*'章节与怪物'!$E$17,0),0))</x:f>
        <x:v>340008</x:v>
      </x:c>
      <x:c r="AM221" s="119" t="n">
        <x:f>IF(AJ221=0,0,(AJ221-IF(4=D221,1,0))*VLOOKUP(INDEX('章节与怪物'!$E$31:$K$37,B221,4),'章节与怪物'!$A$41:$F$44,4,FALSE)+IF(4=D221,'难度参数'!$E$30,0))</x:f>
        <x:v>868</x:v>
      </x:c>
      <x:c r="AN221" s="119" t="n">
        <x:f>IF(5&gt;D221,0,MAX(2,MIN('难度参数'!$E$12,ROUND(('难度参数'!$E$18*POWER(A221,'难度参数'!$E$19)/D221*(0.85+0.3*(5-1)/MAX(1,D221-1))),0)+F221)))</x:f>
        <x:v>32</x:v>
      </x:c>
      <x:c r="AO221" s="119" t="n">
        <x:f>IF(5&gt;D221,0,ROUND(('难度参数'!$E$13*POWER(A221,'难度参数'!$E$20)*MIN('难度参数'!$E$23,1+MAX(0,A221-'难度参数'!$E$21)*'难度参数'!$E$22))*(36+5*7)/(36+7*(D221+1)/2)*E221,0))</x:f>
        <x:v>7158</x:v>
      </x:c>
      <x:c r="AP221" s="119" t="n">
        <x:f>IF(AN221=0,0,(AN221-IF(5=D221,1,0))*ROUND(AO221*VLOOKUP(INDEX('章节与怪物'!$E$31:$K$37,B221,5),'章节与怪物'!$A$41:$F$44,2,FALSE),0)+IF(5=D221,ROUND(AO221*'难度参数'!$E$28*'章节与怪物'!$E$17,0),0))</x:f>
        <x:v>309216</x:v>
      </x:c>
      <x:c r="AQ221" s="119" t="n">
        <x:f>IF(AN221=0,0,(AN221-IF(5=D221,1,0))*VLOOKUP(INDEX('章节与怪物'!$E$31:$K$37,B221,5),'章节与怪物'!$A$41:$F$44,4,FALSE)+IF(5=D221,'难度参数'!$E$30,0))</x:f>
        <x:v>1088</x:v>
      </x:c>
      <x:c r="AR221" s="119" t="n">
        <x:f>IF(6&gt;D221,0,MAX(2,MIN('难度参数'!$E$12,ROUND(('难度参数'!$E$18*POWER(A221,'难度参数'!$E$19)/D221*(0.85+0.3*(6-1)/MAX(1,D221-1))),0)+F221)))</x:f>
        <x:v>34</x:v>
      </x:c>
      <x:c r="AS221" s="119" t="n">
        <x:f>IF(6&gt;D221,0,ROUND(('难度参数'!$E$13*POWER(A221,'难度参数'!$E$20)*MIN('难度参数'!$E$23,1+MAX(0,A221-'难度参数'!$E$21)*'难度参数'!$E$22))*(36+6*7)/(36+7*(D221+1)/2)*E221,0))</x:f>
        <x:v>7863</x:v>
      </x:c>
      <x:c r="AT221" s="119" t="n">
        <x:f>IF(AR221=0,0,(AR221-IF(6=D221,1,0))*ROUND(AS221*VLOOKUP(INDEX('章节与怪物'!$E$31:$K$37,B221,6),'章节与怪物'!$A$41:$F$44,2,FALSE),0)+IF(6=D221,ROUND(AS221*'难度参数'!$E$28*'章节与怪物'!$E$17,0),0))</x:f>
        <x:v>192474</x:v>
      </x:c>
      <x:c r="AU221" s="119" t="n">
        <x:f>IF(AR221=0,0,(AR221-IF(6=D221,1,0))*VLOOKUP(INDEX('章节与怪物'!$E$31:$K$37,B221,6),'章节与怪物'!$A$41:$F$44,4,FALSE)+IF(6=D221,'难度参数'!$E$30,0))</x:f>
        <x:v>680</x:v>
      </x:c>
      <x:c r="AV221" s="119" t="n">
        <x:f>IF(7&gt;D221,0,MAX(2,MIN('难度参数'!$E$12,ROUND(('难度参数'!$E$18*POWER(A221,'难度参数'!$E$19)/D221*(0.85+0.3*(7-1)/MAX(1,D221-1))),0)+F221)))</x:f>
        <x:v>36</x:v>
      </x:c>
      <x:c r="AW221" s="119" t="n">
        <x:f>IF(7&gt;D221,0,ROUND(('难度参数'!$E$13*POWER(A221,'难度参数'!$E$20)*MIN('难度参数'!$E$23,1+MAX(0,A221-'难度参数'!$E$21)*'难度参数'!$E$22))*(36+7*7)/(36+7*(D221+1)/2)*E221,0))</x:f>
        <x:v>8569</x:v>
      </x:c>
      <x:c r="AX221" s="119" t="n">
        <x:f>IF(AV221=0,0,(AV221-IF(7=D221,1,0))*ROUND(AW221*VLOOKUP(INDEX('章节与怪物'!$E$31:$K$37,B221,7),'章节与怪物'!$A$41:$F$44,2,FALSE),0)+IF(7=D221,ROUND(AW221*'难度参数'!$E$28*'章节与怪物'!$E$17,0),0))</x:f>
        <x:v>568114</x:v>
      </x:c>
      <x:c r="AY221" s="119" t="n">
        <x:f>IF(AV221=0,0,(AV221-IF(7=D221,1,0))*VLOOKUP(INDEX('章节与怪物'!$E$31:$K$37,B221,7),'章节与怪物'!$A$41:$F$44,4,FALSE)+IF(7=D221,'难度参数'!$E$30,0))</x:f>
        <x:v>1180</x:v>
      </x:c>
    </x:row>
    <x:row r="222" ht="23" customHeight="1">
      <x:c r="A222" s="119" t="n">
        <x:v>216</x:v>
      </x:c>
      <x:c r="B222" s="119" t="n">
        <x:f>MOD(INT((A222-1)/5),7)+1</x:f>
        <x:v>2</x:v>
      </x:c>
      <x:c r="C222" s="62" t="str">
        <x:f>INDEX('章节与怪物'!$B$31:$B$37,B222)</x:f>
        <x:v>黄沙要塞</x:v>
      </x:c>
      <x:c r="D222" s="119" t="n">
        <x:f>MIN('难度参数'!$E$8,MAX('难度参数'!$E$7,A222))</x:f>
        <x:v>7</x:v>
      </x:c>
      <x:c r="E222" s="106" t="n">
        <x:v>1</x:v>
      </x:c>
      <x:c r="F222" s="106" t="n">
        <x:v>0</x:v>
      </x:c>
      <x:c r="G222" s="106" t="n">
        <x:v>1</x:v>
      </x:c>
      <x:c r="H222" s="119" t="n">
        <x:f>SUM(X222,AB222,AF222,AJ222,AN222,AR222,AV222)</x:f>
        <x:v>216</x:v>
      </x:c>
      <x:c r="I222" s="119" t="n">
        <x:f>SUM(Z222,AD222,AH222,AL222,AP222,AT222,AX222)</x:f>
        <x:v>1928748</x:v>
      </x:c>
      <x:c r="J222" s="119" t="n">
        <x:f>ROUND(INDEX(X222:AY222,1,(D222-1)*4+2)*'难度参数'!$E$28*'章节与怪物'!$E$17,0)</x:f>
        <x:v>58466</x:v>
      </x:c>
      <x:c r="K222" s="119" t="n">
        <x:f>SUM(AA222,AE222,AI222,AM222,AQ222,AU222,AY222)</x:f>
        <x:v>5808</x:v>
      </x:c>
      <x:c r="L222" s="62" t="n">
        <x:f>H222*(ROUNDUP('难度参数'!$E$24/('难度参数'!$E$26*'难度参数'!$E$27),0)*'难度参数'!$E$26)/60</x:f>
        <x:v>2.8800000000000003</x:v>
      </x:c>
      <x:c r="M222" s="62" t="n">
        <x:f>L222+D222*('难度参数'!$E$49+'难度参数'!$E$50)/60</x:f>
        <x:v>4.046666666666667</x:v>
      </x:c>
      <x:c r="N222" s="119" t="n">
        <x:f>ROUNDDOWN(('经济参数'!$E$20+A222*'经济参数'!$E$21)*G222,0)</x:f>
        <x:v>4500</x:v>
      </x:c>
      <x:c r="O222" s="119" t="n">
        <x:f>ROUNDDOWN(MIN('经济参数'!$E$24,'经济参数'!$E$22+A222*'经济参数'!$E$23)*G222,0)</x:f>
        <x:v>0</x:v>
      </x:c>
      <x:c r="P222" s="119" t="n">
        <x:f>ROUNDDOWN((IF(A222&gt;='材料与任务'!$E$31,'材料与任务'!$E$32,IF(A222&gt;='材料与任务'!$E$25,'材料与任务'!$E$26,IF(A222&gt;='材料与任务'!$E$19,'材料与任务'!$E$20,IF(A222&gt;='材料与任务'!$E$13,'材料与任务'!$E$14,'材料与任务'!$E$8)))))*G222,0)</x:f>
        <x:v>6</x:v>
      </x:c>
      <x:c r="Q222" s="119" t="n">
        <x:f>ROUNDDOWN((IF(A222&gt;='材料与任务'!$E$31,'材料与任务'!$E$33,IF(A222&gt;='材料与任务'!$E$25,'材料与任务'!$E$27,IF(A222&gt;='材料与任务'!$E$19,'材料与任务'!$E$21,IF(A222&gt;='材料与任务'!$E$13,'材料与任务'!$E$15,'材料与任务'!$E$9)))))*G222,0)</x:f>
        <x:v>3</x:v>
      </x:c>
      <x:c r="R222" s="110" t="n">
        <x:f>'装备掉落'!$B$38</x:f>
        <x:v>0.6872058758851213</x:v>
      </x:c>
      <x:c r="S222" s="119" t="n">
        <x:f>MAX(IF(VLOOKUP(A222,'装备掉落'!$A$29:$H$34,2,TRUE)&gt;0,1,0),IF(VLOOKUP(A222,'装备掉落'!$A$29:$H$34,3,TRUE)&gt;0,2,0),IF(VLOOKUP(A222,'装备掉落'!$A$29:$H$34,4,TRUE)&gt;0,3,0),IF(VLOOKUP(A222,'装备掉落'!$A$29:$H$34,5,TRUE)&gt;0,4,0),IF(VLOOKUP(A222,'装备掉落'!$A$29:$H$34,6,TRUE)&gt;0,5,0),IF(VLOOKUP(A222,'装备掉落'!$A$29:$H$34,7,TRUE)&gt;0,6,0),IF(VLOOKUP(A222,'装备掉落'!$A$29:$H$34,8,TRUE)&gt;0,7,0))</x:f>
        <x:v>7</x:v>
      </x:c>
      <x:c r="T222" s="119" t="n">
        <x:f>MIN(7,S222+'经济参数'!$E$70)</x:f>
        <x:v>7</x:v>
      </x:c>
      <x:c r="U222" s="119" t="n">
        <x:f>MIN(7,S222+'经济参数'!$E$71)</x:f>
        <x:v>7</x:v>
      </x:c>
      <x:c r="V222" s="119" t="n">
        <x:f>IF(H222&gt;=('难度参数'!$E$52),1,0)+IF(H222&gt;=('难度参数'!$E$52+'难度参数'!$E$53),1,0)+IF(H222&gt;=('难度参数'!$E$52+'难度参数'!$E$53+'难度参数'!$E$54),1,0)+IF(H222&gt;=('难度参数'!$E$52+'难度参数'!$E$53+'难度参数'!$E$54+'难度参数'!$E$55),1,0)+IF(H222&gt;=('难度参数'!$E$52+'难度参数'!$E$53+'难度参数'!$E$54+'难度参数'!$E$55+'难度参数'!$E$56),1,0)+IF(H222&gt;=('难度参数'!$E$52+'难度参数'!$E$53+'难度参数'!$E$54+'难度参数'!$E$55+'难度参数'!$E$56+'难度参数'!$E$57),1,0)</x:f>
        <x:v>6</x:v>
      </x:c>
      <x:c r="W222" s="62" t="str">
        <x:f>IF(L222&gt;'难度参数'!$E$51,"仅出怪已超目标","还需实测")</x:f>
        <x:v>还需实测</x:v>
      </x:c>
      <x:c r="X222" s="119" t="n">
        <x:f>IF(1&gt;D222,0,MAX(2,MIN('难度参数'!$E$12,ROUND(('难度参数'!$E$18*POWER(A222,'难度参数'!$E$19)/D222*(0.85+0.3*(1-1)/MAX(1,D222-1))),0)+F222)))</x:f>
        <x:v>26</x:v>
      </x:c>
      <x:c r="Y222" s="119" t="n">
        <x:f>IF(1&gt;D222,0,ROUND(('难度参数'!$E$13*POWER(A222,'难度参数'!$E$20)*MIN('难度参数'!$E$23,1+MAX(0,A222-'难度参数'!$E$21)*'难度参数'!$E$22))*(36+1*7)/(36+7*(D222+1)/2)*E222,0))</x:f>
        <x:v>4349</x:v>
      </x:c>
      <x:c r="Z222" s="119" t="n">
        <x:f>IF(X222=0,0,(X222-IF(1=D222,1,0))*ROUND(Y222*VLOOKUP(INDEX('章节与怪物'!$E$31:$K$37,B222,1),'章节与怪物'!$A$41:$F$44,2,FALSE),0)+IF(1=D222,ROUND(Y222*'难度参数'!$E$28*'章节与怪物'!$E$17,0),0))</x:f>
        <x:v>81406</x:v>
      </x:c>
      <x:c r="AA222" s="119" t="n">
        <x:f>IF(X222=0,0,(X222-IF(1=D222,1,0))*VLOOKUP(INDEX('章节与怪物'!$E$31:$K$37,B222,1),'章节与怪物'!$A$41:$F$44,4,FALSE)+IF(1=D222,'难度参数'!$E$30,0))</x:f>
        <x:v>520</x:v>
      </x:c>
      <x:c r="AB222" s="119" t="n">
        <x:f>IF(2&gt;D222,0,MAX(2,MIN('难度参数'!$E$12,ROUND(('难度参数'!$E$18*POWER(A222,'难度参数'!$E$19)/D222*(0.85+0.3*(2-1)/MAX(1,D222-1))),0)+F222)))</x:f>
        <x:v>28</x:v>
      </x:c>
      <x:c r="AC222" s="119" t="n">
        <x:f>IF(2&gt;D222,0,ROUND(('难度参数'!$E$13*POWER(A222,'难度参数'!$E$20)*MIN('难度参数'!$E$23,1+MAX(0,A222-'难度参数'!$E$21)*'难度参数'!$E$22))*(36+2*7)/(36+7*(D222+1)/2)*E222,0))</x:f>
        <x:v>5057</x:v>
      </x:c>
      <x:c r="AD222" s="119" t="n">
        <x:f>IF(AB222=0,0,(AB222-IF(2=D222,1,0))*ROUND(AC222*VLOOKUP(INDEX('章节与怪物'!$E$31:$K$37,B222,2),'章节与怪物'!$A$41:$F$44,2,FALSE),0)+IF(2=D222,ROUND(AC222*'难度参数'!$E$28*'章节与怪物'!$E$17,0),0))</x:f>
        <x:v>141596</x:v>
      </x:c>
      <x:c r="AE222" s="119" t="n">
        <x:f>IF(AB222=0,0,(AB222-IF(2=D222,1,0))*VLOOKUP(INDEX('章节与怪物'!$E$31:$K$37,B222,2),'章节与怪物'!$A$41:$F$44,4,FALSE)+IF(2=D222,'难度参数'!$E$30,0))</x:f>
        <x:v>504</x:v>
      </x:c>
      <x:c r="AF222" s="119" t="n">
        <x:f>IF(3&gt;D222,0,MAX(2,MIN('难度参数'!$E$12,ROUND(('难度参数'!$E$18*POWER(A222,'难度参数'!$E$19)/D222*(0.85+0.3*(3-1)/MAX(1,D222-1))),0)+F222)))</x:f>
        <x:v>29</x:v>
      </x:c>
      <x:c r="AG222" s="119" t="n">
        <x:f>IF(3&gt;D222,0,ROUND(('难度参数'!$E$13*POWER(A222,'难度参数'!$E$20)*MIN('难度参数'!$E$23,1+MAX(0,A222-'难度参数'!$E$21)*'难度参数'!$E$22))*(36+3*7)/(36+7*(D222+1)/2)*E222,0))</x:f>
        <x:v>5765</x:v>
      </x:c>
      <x:c r="AH222" s="119" t="n">
        <x:f>IF(AF222=0,0,(AF222-IF(3=D222,1,0))*ROUND(AG222*VLOOKUP(INDEX('章节与怪物'!$E$31:$K$37,B222,3),'章节与怪物'!$A$41:$F$44,2,FALSE),0)+IF(3=D222,ROUND(AG222*'难度参数'!$E$28*'章节与怪物'!$E$17,0),0))</x:f>
        <x:v>284229</x:v>
      </x:c>
      <x:c r="AI222" s="119" t="n">
        <x:f>IF(AF222=0,0,(AF222-IF(3=D222,1,0))*VLOOKUP(INDEX('章节与怪物'!$E$31:$K$37,B222,3),'章节与怪物'!$A$41:$F$44,4,FALSE)+IF(3=D222,'难度参数'!$E$30,0))</x:f>
        <x:v>812</x:v>
      </x:c>
      <x:c r="AJ222" s="119" t="n">
        <x:f>IF(4&gt;D222,0,MAX(2,MIN('难度参数'!$E$12,ROUND(('难度参数'!$E$18*POWER(A222,'难度参数'!$E$19)/D222*(0.85+0.3*(4-1)/MAX(1,D222-1))),0)+F222)))</x:f>
        <x:v>31</x:v>
      </x:c>
      <x:c r="AK222" s="119" t="n">
        <x:f>IF(4&gt;D222,0,ROUND(('难度参数'!$E$13*POWER(A222,'难度参数'!$E$20)*MIN('难度参数'!$E$23,1+MAX(0,A222-'难度参数'!$E$21)*'难度参数'!$E$22))*(36+4*7)/(36+7*(D222+1)/2)*E222,0))</x:f>
        <x:v>6474</x:v>
      </x:c>
      <x:c r="AL222" s="119" t="n">
        <x:f>IF(AJ222=0,0,(AJ222-IF(4=D222,1,0))*ROUND(AK222*VLOOKUP(INDEX('章节与怪物'!$E$31:$K$37,B222,4),'章节与怪物'!$A$41:$F$44,2,FALSE),0)+IF(4=D222,ROUND(AK222*'难度参数'!$E$28*'章节与怪物'!$E$17,0),0))</x:f>
        <x:v>270940</x:v>
      </x:c>
      <x:c r="AM222" s="119" t="n">
        <x:f>IF(AJ222=0,0,(AJ222-IF(4=D222,1,0))*VLOOKUP(INDEX('章节与怪物'!$E$31:$K$37,B222,4),'章节与怪物'!$A$41:$F$44,4,FALSE)+IF(4=D222,'难度参数'!$E$30,0))</x:f>
        <x:v>1054</x:v>
      </x:c>
      <x:c r="AN222" s="119" t="n">
        <x:f>IF(5&gt;D222,0,MAX(2,MIN('难度参数'!$E$12,ROUND(('难度参数'!$E$18*POWER(A222,'难度参数'!$E$19)/D222*(0.85+0.3*(5-1)/MAX(1,D222-1))),0)+F222)))</x:f>
        <x:v>32</x:v>
      </x:c>
      <x:c r="AO222" s="119" t="n">
        <x:f>IF(5&gt;D222,0,ROUND(('难度参数'!$E$13*POWER(A222,'难度参数'!$E$20)*MIN('难度参数'!$E$23,1+MAX(0,A222-'难度参数'!$E$21)*'难度参数'!$E$22))*(36+5*7)/(36+7*(D222+1)/2)*E222,0))</x:f>
        <x:v>7182</x:v>
      </x:c>
      <x:c r="AP222" s="119" t="n">
        <x:f>IF(AN222=0,0,(AN222-IF(5=D222,1,0))*ROUND(AO222*VLOOKUP(INDEX('章节与怪物'!$E$31:$K$37,B222,5),'章节与怪物'!$A$41:$F$44,2,FALSE),0)+IF(5=D222,ROUND(AO222*'难度参数'!$E$28*'章节与怪物'!$E$17,0),0))</x:f>
        <x:v>229824</x:v>
      </x:c>
      <x:c r="AQ222" s="119" t="n">
        <x:f>IF(AN222=0,0,(AN222-IF(5=D222,1,0))*VLOOKUP(INDEX('章节与怪物'!$E$31:$K$37,B222,5),'章节与怪物'!$A$41:$F$44,4,FALSE)+IF(5=D222,'难度参数'!$E$30,0))</x:f>
        <x:v>576</x:v>
      </x:c>
      <x:c r="AR222" s="119" t="n">
        <x:f>IF(6&gt;D222,0,MAX(2,MIN('难度参数'!$E$12,ROUND(('难度参数'!$E$18*POWER(A222,'难度参数'!$E$19)/D222*(0.85+0.3*(6-1)/MAX(1,D222-1))),0)+F222)))</x:f>
        <x:v>34</x:v>
      </x:c>
      <x:c r="AS222" s="119" t="n">
        <x:f>IF(6&gt;D222,0,ROUND(('难度参数'!$E$13*POWER(A222,'难度参数'!$E$20)*MIN('难度参数'!$E$23,1+MAX(0,A222-'难度参数'!$E$21)*'难度参数'!$E$22))*(36+6*7)/(36+7*(D222+1)/2)*E222,0))</x:f>
        <x:v>7890</x:v>
      </x:c>
      <x:c r="AT222" s="119" t="n">
        <x:f>IF(AR222=0,0,(AR222-IF(6=D222,1,0))*ROUND(AS222*VLOOKUP(INDEX('章节与怪物'!$E$31:$K$37,B222,6),'章节与怪物'!$A$41:$F$44,2,FALSE),0)+IF(6=D222,ROUND(AS222*'难度参数'!$E$28*'章节与怪物'!$E$17,0),0))</x:f>
        <x:v>456042</x:v>
      </x:c>
      <x:c r="AU222" s="119" t="n">
        <x:f>IF(AR222=0,0,(AR222-IF(6=D222,1,0))*VLOOKUP(INDEX('章节与怪物'!$E$31:$K$37,B222,6),'章节与怪物'!$A$41:$F$44,4,FALSE)+IF(6=D222,'难度参数'!$E$30,0))</x:f>
        <x:v>952</x:v>
      </x:c>
      <x:c r="AV222" s="119" t="n">
        <x:f>IF(7&gt;D222,0,MAX(2,MIN('难度参数'!$E$12,ROUND(('难度参数'!$E$18*POWER(A222,'难度参数'!$E$19)/D222*(0.85+0.3*(7-1)/MAX(1,D222-1))),0)+F222)))</x:f>
        <x:v>36</x:v>
      </x:c>
      <x:c r="AW222" s="119" t="n">
        <x:f>IF(7&gt;D222,0,ROUND(('难度参数'!$E$13*POWER(A222,'难度参数'!$E$20)*MIN('难度参数'!$E$23,1+MAX(0,A222-'难度参数'!$E$21)*'难度参数'!$E$22))*(36+7*7)/(36+7*(D222+1)/2)*E222,0))</x:f>
        <x:v>8598</x:v>
      </x:c>
      <x:c r="AX222" s="119" t="n">
        <x:f>IF(AV222=0,0,(AV222-IF(7=D222,1,0))*ROUND(AW222*VLOOKUP(INDEX('章节与怪物'!$E$31:$K$37,B222,7),'章节与怪物'!$A$41:$F$44,2,FALSE),0)+IF(7=D222,ROUND(AW222*'难度参数'!$E$28*'章节与怪物'!$E$17,0),0))</x:f>
        <x:v>464711</x:v>
      </x:c>
      <x:c r="AY222" s="119" t="n">
        <x:f>IF(AV222=0,0,(AV222-IF(7=D222,1,0))*VLOOKUP(INDEX('章节与怪物'!$E$31:$K$37,B222,7),'章节与怪物'!$A$41:$F$44,4,FALSE)+IF(7=D222,'难度参数'!$E$30,0))</x:f>
        <x:v>1390</x:v>
      </x:c>
    </x:row>
    <x:row r="223" ht="23" customHeight="1">
      <x:c r="A223" s="119" t="n">
        <x:v>217</x:v>
      </x:c>
      <x:c r="B223" s="119" t="n">
        <x:f>MOD(INT((A223-1)/5),7)+1</x:f>
        <x:v>2</x:v>
      </x:c>
      <x:c r="C223" s="62" t="str">
        <x:f>INDEX('章节与怪物'!$B$31:$B$37,B223)</x:f>
        <x:v>黄沙要塞</x:v>
      </x:c>
      <x:c r="D223" s="119" t="n">
        <x:f>MIN('难度参数'!$E$8,MAX('难度参数'!$E$7,A223))</x:f>
        <x:v>7</x:v>
      </x:c>
      <x:c r="E223" s="106" t="n">
        <x:v>1</x:v>
      </x:c>
      <x:c r="F223" s="106" t="n">
        <x:v>0</x:v>
      </x:c>
      <x:c r="G223" s="106" t="n">
        <x:v>1</x:v>
      </x:c>
      <x:c r="H223" s="119" t="n">
        <x:f>SUM(X223,AB223,AF223,AJ223,AN223,AR223,AV223)</x:f>
        <x:v>217</x:v>
      </x:c>
      <x:c r="I223" s="119" t="n">
        <x:f>SUM(Z223,AD223,AH223,AL223,AP223,AT223,AX223)</x:f>
        <x:v>1942322</x:v>
      </x:c>
      <x:c r="J223" s="119" t="n">
        <x:f>ROUND(INDEX(X223:AY223,1,(D223-1)*4+2)*'难度参数'!$E$28*'章节与怪物'!$E$17,0)</x:f>
        <x:v>58657</x:v>
      </x:c>
      <x:c r="K223" s="119" t="n">
        <x:f>SUM(AA223,AE223,AI223,AM223,AQ223,AU223,AY223)</x:f>
        <x:v>5826</x:v>
      </x:c>
      <x:c r="L223" s="62" t="n">
        <x:f>H223*(ROUNDUP('难度参数'!$E$24/('难度参数'!$E$26*'难度参数'!$E$27),0)*'难度参数'!$E$26)/60</x:f>
        <x:v>2.8933333333333335</x:v>
      </x:c>
      <x:c r="M223" s="62" t="n">
        <x:f>L223+D223*('难度参数'!$E$49+'难度参数'!$E$50)/60</x:f>
        <x:v>4.0600000000000005</x:v>
      </x:c>
      <x:c r="N223" s="119" t="n">
        <x:f>ROUNDDOWN(('经济参数'!$E$20+A223*'经济参数'!$E$21)*G223,0)</x:f>
        <x:v>4520</x:v>
      </x:c>
      <x:c r="O223" s="119" t="n">
        <x:f>ROUNDDOWN(MIN('经济参数'!$E$24,'经济参数'!$E$22+A223*'经济参数'!$E$23)*G223,0)</x:f>
        <x:v>0</x:v>
      </x:c>
      <x:c r="P223" s="119" t="n">
        <x:f>ROUNDDOWN((IF(A223&gt;='材料与任务'!$E$31,'材料与任务'!$E$32,IF(A223&gt;='材料与任务'!$E$25,'材料与任务'!$E$26,IF(A223&gt;='材料与任务'!$E$19,'材料与任务'!$E$20,IF(A223&gt;='材料与任务'!$E$13,'材料与任务'!$E$14,'材料与任务'!$E$8)))))*G223,0)</x:f>
        <x:v>6</x:v>
      </x:c>
      <x:c r="Q223" s="119" t="n">
        <x:f>ROUNDDOWN((IF(A223&gt;='材料与任务'!$E$31,'材料与任务'!$E$33,IF(A223&gt;='材料与任务'!$E$25,'材料与任务'!$E$27,IF(A223&gt;='材料与任务'!$E$19,'材料与任务'!$E$21,IF(A223&gt;='材料与任务'!$E$13,'材料与任务'!$E$15,'材料与任务'!$E$9)))))*G223,0)</x:f>
        <x:v>3</x:v>
      </x:c>
      <x:c r="R223" s="110" t="n">
        <x:f>'装备掉落'!$B$38</x:f>
        <x:v>0.6872058758851213</x:v>
      </x:c>
      <x:c r="S223" s="119" t="n">
        <x:f>MAX(IF(VLOOKUP(A223,'装备掉落'!$A$29:$H$34,2,TRUE)&gt;0,1,0),IF(VLOOKUP(A223,'装备掉落'!$A$29:$H$34,3,TRUE)&gt;0,2,0),IF(VLOOKUP(A223,'装备掉落'!$A$29:$H$34,4,TRUE)&gt;0,3,0),IF(VLOOKUP(A223,'装备掉落'!$A$29:$H$34,5,TRUE)&gt;0,4,0),IF(VLOOKUP(A223,'装备掉落'!$A$29:$H$34,6,TRUE)&gt;0,5,0),IF(VLOOKUP(A223,'装备掉落'!$A$29:$H$34,7,TRUE)&gt;0,6,0),IF(VLOOKUP(A223,'装备掉落'!$A$29:$H$34,8,TRUE)&gt;0,7,0))</x:f>
        <x:v>7</x:v>
      </x:c>
      <x:c r="T223" s="119" t="n">
        <x:f>MIN(7,S223+'经济参数'!$E$70)</x:f>
        <x:v>7</x:v>
      </x:c>
      <x:c r="U223" s="119" t="n">
        <x:f>MIN(7,S223+'经济参数'!$E$71)</x:f>
        <x:v>7</x:v>
      </x:c>
      <x:c r="V223" s="119" t="n">
        <x:f>IF(H223&gt;=('难度参数'!$E$52),1,0)+IF(H223&gt;=('难度参数'!$E$52+'难度参数'!$E$53),1,0)+IF(H223&gt;=('难度参数'!$E$52+'难度参数'!$E$53+'难度参数'!$E$54),1,0)+IF(H223&gt;=('难度参数'!$E$52+'难度参数'!$E$53+'难度参数'!$E$54+'难度参数'!$E$55),1,0)+IF(H223&gt;=('难度参数'!$E$52+'难度参数'!$E$53+'难度参数'!$E$54+'难度参数'!$E$55+'难度参数'!$E$56),1,0)+IF(H223&gt;=('难度参数'!$E$52+'难度参数'!$E$53+'难度参数'!$E$54+'难度参数'!$E$55+'难度参数'!$E$56+'难度参数'!$E$57),1,0)</x:f>
        <x:v>6</x:v>
      </x:c>
      <x:c r="W223" s="62" t="str">
        <x:f>IF(L223&gt;'难度参数'!$E$51,"仅出怪已超目标","还需实测")</x:f>
        <x:v>还需实测</x:v>
      </x:c>
      <x:c r="X223" s="119" t="n">
        <x:f>IF(1&gt;D223,0,MAX(2,MIN('难度参数'!$E$12,ROUND(('难度参数'!$E$18*POWER(A223,'难度参数'!$E$19)/D223*(0.85+0.3*(1-1)/MAX(1,D223-1))),0)+F223)))</x:f>
        <x:v>26</x:v>
      </x:c>
      <x:c r="Y223" s="119" t="n">
        <x:f>IF(1&gt;D223,0,ROUND(('难度参数'!$E$13*POWER(A223,'难度参数'!$E$20)*MIN('难度参数'!$E$23,1+MAX(0,A223-'难度参数'!$E$21)*'难度参数'!$E$22))*(36+1*7)/(36+7*(D223+1)/2)*E223,0))</x:f>
        <x:v>4364</x:v>
      </x:c>
      <x:c r="Z223" s="119" t="n">
        <x:f>IF(X223=0,0,(X223-IF(1=D223,1,0))*ROUND(Y223*VLOOKUP(INDEX('章节与怪物'!$E$31:$K$37,B223,1),'章节与怪物'!$A$41:$F$44,2,FALSE),0)+IF(1=D223,ROUND(Y223*'难度参数'!$E$28*'章节与怪物'!$E$17,0),0))</x:f>
        <x:v>81692</x:v>
      </x:c>
      <x:c r="AA223" s="119" t="n">
        <x:f>IF(X223=0,0,(X223-IF(1=D223,1,0))*VLOOKUP(INDEX('章节与怪物'!$E$31:$K$37,B223,1),'章节与怪物'!$A$41:$F$44,4,FALSE)+IF(1=D223,'难度参数'!$E$30,0))</x:f>
        <x:v>520</x:v>
      </x:c>
      <x:c r="AB223" s="119" t="n">
        <x:f>IF(2&gt;D223,0,MAX(2,MIN('难度参数'!$E$12,ROUND(('难度参数'!$E$18*POWER(A223,'难度参数'!$E$19)/D223*(0.85+0.3*(2-1)/MAX(1,D223-1))),0)+F223)))</x:f>
        <x:v>28</x:v>
      </x:c>
      <x:c r="AC223" s="119" t="n">
        <x:f>IF(2&gt;D223,0,ROUND(('难度参数'!$E$13*POWER(A223,'难度参数'!$E$20)*MIN('难度参数'!$E$23,1+MAX(0,A223-'难度参数'!$E$21)*'难度参数'!$E$22))*(36+2*7)/(36+7*(D223+1)/2)*E223,0))</x:f>
        <x:v>5074</x:v>
      </x:c>
      <x:c r="AD223" s="119" t="n">
        <x:f>IF(AB223=0,0,(AB223-IF(2=D223,1,0))*ROUND(AC223*VLOOKUP(INDEX('章节与怪物'!$E$31:$K$37,B223,2),'章节与怪物'!$A$41:$F$44,2,FALSE),0)+IF(2=D223,ROUND(AC223*'难度参数'!$E$28*'章节与怪物'!$E$17,0),0))</x:f>
        <x:v>142072</x:v>
      </x:c>
      <x:c r="AE223" s="119" t="n">
        <x:f>IF(AB223=0,0,(AB223-IF(2=D223,1,0))*VLOOKUP(INDEX('章节与怪物'!$E$31:$K$37,B223,2),'章节与怪物'!$A$41:$F$44,4,FALSE)+IF(2=D223,'难度参数'!$E$30,0))</x:f>
        <x:v>504</x:v>
      </x:c>
      <x:c r="AF223" s="119" t="n">
        <x:f>IF(3&gt;D223,0,MAX(2,MIN('难度参数'!$E$12,ROUND(('难度参数'!$E$18*POWER(A223,'难度参数'!$E$19)/D223*(0.85+0.3*(3-1)/MAX(1,D223-1))),0)+F223)))</x:f>
        <x:v>29</x:v>
      </x:c>
      <x:c r="AG223" s="119" t="n">
        <x:f>IF(3&gt;D223,0,ROUND(('难度参数'!$E$13*POWER(A223,'难度参数'!$E$20)*MIN('难度参数'!$E$23,1+MAX(0,A223-'难度参数'!$E$21)*'难度参数'!$E$22))*(36+3*7)/(36+7*(D223+1)/2)*E223,0))</x:f>
        <x:v>5785</x:v>
      </x:c>
      <x:c r="AH223" s="119" t="n">
        <x:f>IF(AF223=0,0,(AF223-IF(3=D223,1,0))*ROUND(AG223*VLOOKUP(INDEX('章节与怪物'!$E$31:$K$37,B223,3),'章节与怪物'!$A$41:$F$44,2,FALSE),0)+IF(3=D223,ROUND(AG223*'难度参数'!$E$28*'章节与怪物'!$E$17,0),0))</x:f>
        <x:v>285215</x:v>
      </x:c>
      <x:c r="AI223" s="119" t="n">
        <x:f>IF(AF223=0,0,(AF223-IF(3=D223,1,0))*VLOOKUP(INDEX('章节与怪物'!$E$31:$K$37,B223,3),'章节与怪物'!$A$41:$F$44,4,FALSE)+IF(3=D223,'难度参数'!$E$30,0))</x:f>
        <x:v>812</x:v>
      </x:c>
      <x:c r="AJ223" s="119" t="n">
        <x:f>IF(4&gt;D223,0,MAX(2,MIN('难度参数'!$E$12,ROUND(('难度参数'!$E$18*POWER(A223,'难度参数'!$E$19)/D223*(0.85+0.3*(4-1)/MAX(1,D223-1))),0)+F223)))</x:f>
        <x:v>31</x:v>
      </x:c>
      <x:c r="AK223" s="119" t="n">
        <x:f>IF(4&gt;D223,0,ROUND(('难度参数'!$E$13*POWER(A223,'难度参数'!$E$20)*MIN('难度参数'!$E$23,1+MAX(0,A223-'难度参数'!$E$21)*'难度参数'!$E$22))*(36+4*7)/(36+7*(D223+1)/2)*E223,0))</x:f>
        <x:v>6495</x:v>
      </x:c>
      <x:c r="AL223" s="119" t="n">
        <x:f>IF(AJ223=0,0,(AJ223-IF(4=D223,1,0))*ROUND(AK223*VLOOKUP(INDEX('章节与怪物'!$E$31:$K$37,B223,4),'章节与怪物'!$A$41:$F$44,2,FALSE),0)+IF(4=D223,ROUND(AK223*'难度参数'!$E$28*'章节与怪物'!$E$17,0),0))</x:f>
        <x:v>271808</x:v>
      </x:c>
      <x:c r="AM223" s="119" t="n">
        <x:f>IF(AJ223=0,0,(AJ223-IF(4=D223,1,0))*VLOOKUP(INDEX('章节与怪物'!$E$31:$K$37,B223,4),'章节与怪物'!$A$41:$F$44,4,FALSE)+IF(4=D223,'难度参数'!$E$30,0))</x:f>
        <x:v>1054</x:v>
      </x:c>
      <x:c r="AN223" s="119" t="n">
        <x:f>IF(5&gt;D223,0,MAX(2,MIN('难度参数'!$E$12,ROUND(('难度参数'!$E$18*POWER(A223,'难度参数'!$E$19)/D223*(0.85+0.3*(5-1)/MAX(1,D223-1))),0)+F223)))</x:f>
        <x:v>33</x:v>
      </x:c>
      <x:c r="AO223" s="119" t="n">
        <x:f>IF(5&gt;D223,0,ROUND(('难度参数'!$E$13*POWER(A223,'难度参数'!$E$20)*MIN('难度参数'!$E$23,1+MAX(0,A223-'难度参数'!$E$21)*'难度参数'!$E$22))*(36+5*7)/(36+7*(D223+1)/2)*E223,0))</x:f>
        <x:v>7205</x:v>
      </x:c>
      <x:c r="AP223" s="119" t="n">
        <x:f>IF(AN223=0,0,(AN223-IF(5=D223,1,0))*ROUND(AO223*VLOOKUP(INDEX('章节与怪物'!$E$31:$K$37,B223,5),'章节与怪物'!$A$41:$F$44,2,FALSE),0)+IF(5=D223,ROUND(AO223*'难度参数'!$E$28*'章节与怪物'!$E$17,0),0))</x:f>
        <x:v>237765</x:v>
      </x:c>
      <x:c r="AQ223" s="119" t="n">
        <x:f>IF(AN223=0,0,(AN223-IF(5=D223,1,0))*VLOOKUP(INDEX('章节与怪物'!$E$31:$K$37,B223,5),'章节与怪物'!$A$41:$F$44,4,FALSE)+IF(5=D223,'难度参数'!$E$30,0))</x:f>
        <x:v>594</x:v>
      </x:c>
      <x:c r="AR223" s="119" t="n">
        <x:f>IF(6&gt;D223,0,MAX(2,MIN('难度参数'!$E$12,ROUND(('难度参数'!$E$18*POWER(A223,'难度参数'!$E$19)/D223*(0.85+0.3*(6-1)/MAX(1,D223-1))),0)+F223)))</x:f>
        <x:v>34</x:v>
      </x:c>
      <x:c r="AS223" s="119" t="n">
        <x:f>IF(6&gt;D223,0,ROUND(('难度参数'!$E$13*POWER(A223,'难度参数'!$E$20)*MIN('难度参数'!$E$23,1+MAX(0,A223-'难度参数'!$E$21)*'难度参数'!$E$22))*(36+6*7)/(36+7*(D223+1)/2)*E223,0))</x:f>
        <x:v>7916</x:v>
      </x:c>
      <x:c r="AT223" s="119" t="n">
        <x:f>IF(AR223=0,0,(AR223-IF(6=D223,1,0))*ROUND(AS223*VLOOKUP(INDEX('章节与怪物'!$E$31:$K$37,B223,6),'章节与怪物'!$A$41:$F$44,2,FALSE),0)+IF(6=D223,ROUND(AS223*'难度参数'!$E$28*'章节与怪物'!$E$17,0),0))</x:f>
        <x:v>457538</x:v>
      </x:c>
      <x:c r="AU223" s="119" t="n">
        <x:f>IF(AR223=0,0,(AR223-IF(6=D223,1,0))*VLOOKUP(INDEX('章节与怪物'!$E$31:$K$37,B223,6),'章节与怪物'!$A$41:$F$44,4,FALSE)+IF(6=D223,'难度参数'!$E$30,0))</x:f>
        <x:v>952</x:v>
      </x:c>
      <x:c r="AV223" s="119" t="n">
        <x:f>IF(7&gt;D223,0,MAX(2,MIN('难度参数'!$E$12,ROUND(('难度参数'!$E$18*POWER(A223,'难度参数'!$E$19)/D223*(0.85+0.3*(7-1)/MAX(1,D223-1))),0)+F223)))</x:f>
        <x:v>36</x:v>
      </x:c>
      <x:c r="AW223" s="119" t="n">
        <x:f>IF(7&gt;D223,0,ROUND(('难度参数'!$E$13*POWER(A223,'难度参数'!$E$20)*MIN('难度参数'!$E$23,1+MAX(0,A223-'难度参数'!$E$21)*'难度参数'!$E$22))*(36+7*7)/(36+7*(D223+1)/2)*E223,0))</x:f>
        <x:v>8626</x:v>
      </x:c>
      <x:c r="AX223" s="119" t="n">
        <x:f>IF(AV223=0,0,(AV223-IF(7=D223,1,0))*ROUND(AW223*VLOOKUP(INDEX('章节与怪物'!$E$31:$K$37,B223,7),'章节与怪物'!$A$41:$F$44,2,FALSE),0)+IF(7=D223,ROUND(AW223*'难度参数'!$E$28*'章节与怪物'!$E$17,0),0))</x:f>
        <x:v>466232</x:v>
      </x:c>
      <x:c r="AY223" s="119" t="n">
        <x:f>IF(AV223=0,0,(AV223-IF(7=D223,1,0))*VLOOKUP(INDEX('章节与怪物'!$E$31:$K$37,B223,7),'章节与怪物'!$A$41:$F$44,4,FALSE)+IF(7=D223,'难度参数'!$E$30,0))</x:f>
        <x:v>1390</x:v>
      </x:c>
    </x:row>
    <x:row r="224" ht="23" customHeight="1">
      <x:c r="A224" s="119" t="n">
        <x:v>218</x:v>
      </x:c>
      <x:c r="B224" s="119" t="n">
        <x:f>MOD(INT((A224-1)/5),7)+1</x:f>
        <x:v>2</x:v>
      </x:c>
      <x:c r="C224" s="62" t="str">
        <x:f>INDEX('章节与怪物'!$B$31:$B$37,B224)</x:f>
        <x:v>黄沙要塞</x:v>
      </x:c>
      <x:c r="D224" s="119" t="n">
        <x:f>MIN('难度参数'!$E$8,MAX('难度参数'!$E$7,A224))</x:f>
        <x:v>7</x:v>
      </x:c>
      <x:c r="E224" s="106" t="n">
        <x:v>1</x:v>
      </x:c>
      <x:c r="F224" s="106" t="n">
        <x:v>0</x:v>
      </x:c>
      <x:c r="G224" s="106" t="n">
        <x:v>1</x:v>
      </x:c>
      <x:c r="H224" s="119" t="n">
        <x:f>SUM(X224,AB224,AF224,AJ224,AN224,AR224,AV224)</x:f>
        <x:v>217</x:v>
      </x:c>
      <x:c r="I224" s="119" t="n">
        <x:f>SUM(Z224,AD224,AH224,AL224,AP224,AT224,AX224)</x:f>
        <x:v>1948766</x:v>
      </x:c>
      <x:c r="J224" s="119" t="n">
        <x:f>ROUND(INDEX(X224:AY224,1,(D224-1)*4+2)*'难度参数'!$E$28*'章节与怪物'!$E$17,0)</x:f>
        <x:v>58854</x:v>
      </x:c>
      <x:c r="K224" s="119" t="n">
        <x:f>SUM(AA224,AE224,AI224,AM224,AQ224,AU224,AY224)</x:f>
        <x:v>5826</x:v>
      </x:c>
      <x:c r="L224" s="62" t="n">
        <x:f>H224*(ROUNDUP('难度参数'!$E$24/('难度参数'!$E$26*'难度参数'!$E$27),0)*'难度参数'!$E$26)/60</x:f>
        <x:v>2.8933333333333335</x:v>
      </x:c>
      <x:c r="M224" s="62" t="n">
        <x:f>L224+D224*('难度参数'!$E$49+'难度参数'!$E$50)/60</x:f>
        <x:v>4.0600000000000005</x:v>
      </x:c>
      <x:c r="N224" s="119" t="n">
        <x:f>ROUNDDOWN(('经济参数'!$E$20+A224*'经济参数'!$E$21)*G224,0)</x:f>
        <x:v>4540</x:v>
      </x:c>
      <x:c r="O224" s="119" t="n">
        <x:f>ROUNDDOWN(MIN('经济参数'!$E$24,'经济参数'!$E$22+A224*'经济参数'!$E$23)*G224,0)</x:f>
        <x:v>0</x:v>
      </x:c>
      <x:c r="P224" s="119" t="n">
        <x:f>ROUNDDOWN((IF(A224&gt;='材料与任务'!$E$31,'材料与任务'!$E$32,IF(A224&gt;='材料与任务'!$E$25,'材料与任务'!$E$26,IF(A224&gt;='材料与任务'!$E$19,'材料与任务'!$E$20,IF(A224&gt;='材料与任务'!$E$13,'材料与任务'!$E$14,'材料与任务'!$E$8)))))*G224,0)</x:f>
        <x:v>6</x:v>
      </x:c>
      <x:c r="Q224" s="119" t="n">
        <x:f>ROUNDDOWN((IF(A224&gt;='材料与任务'!$E$31,'材料与任务'!$E$33,IF(A224&gt;='材料与任务'!$E$25,'材料与任务'!$E$27,IF(A224&gt;='材料与任务'!$E$19,'材料与任务'!$E$21,IF(A224&gt;='材料与任务'!$E$13,'材料与任务'!$E$15,'材料与任务'!$E$9)))))*G224,0)</x:f>
        <x:v>3</x:v>
      </x:c>
      <x:c r="R224" s="110" t="n">
        <x:f>'装备掉落'!$B$38</x:f>
        <x:v>0.6872058758851213</x:v>
      </x:c>
      <x:c r="S224" s="119" t="n">
        <x:f>MAX(IF(VLOOKUP(A224,'装备掉落'!$A$29:$H$34,2,TRUE)&gt;0,1,0),IF(VLOOKUP(A224,'装备掉落'!$A$29:$H$34,3,TRUE)&gt;0,2,0),IF(VLOOKUP(A224,'装备掉落'!$A$29:$H$34,4,TRUE)&gt;0,3,0),IF(VLOOKUP(A224,'装备掉落'!$A$29:$H$34,5,TRUE)&gt;0,4,0),IF(VLOOKUP(A224,'装备掉落'!$A$29:$H$34,6,TRUE)&gt;0,5,0),IF(VLOOKUP(A224,'装备掉落'!$A$29:$H$34,7,TRUE)&gt;0,6,0),IF(VLOOKUP(A224,'装备掉落'!$A$29:$H$34,8,TRUE)&gt;0,7,0))</x:f>
        <x:v>7</x:v>
      </x:c>
      <x:c r="T224" s="119" t="n">
        <x:f>MIN(7,S224+'经济参数'!$E$70)</x:f>
        <x:v>7</x:v>
      </x:c>
      <x:c r="U224" s="119" t="n">
        <x:f>MIN(7,S224+'经济参数'!$E$71)</x:f>
        <x:v>7</x:v>
      </x:c>
      <x:c r="V224" s="119" t="n">
        <x:f>IF(H224&gt;=('难度参数'!$E$52),1,0)+IF(H224&gt;=('难度参数'!$E$52+'难度参数'!$E$53),1,0)+IF(H224&gt;=('难度参数'!$E$52+'难度参数'!$E$53+'难度参数'!$E$54),1,0)+IF(H224&gt;=('难度参数'!$E$52+'难度参数'!$E$53+'难度参数'!$E$54+'难度参数'!$E$55),1,0)+IF(H224&gt;=('难度参数'!$E$52+'难度参数'!$E$53+'难度参数'!$E$54+'难度参数'!$E$55+'难度参数'!$E$56),1,0)+IF(H224&gt;=('难度参数'!$E$52+'难度参数'!$E$53+'难度参数'!$E$54+'难度参数'!$E$55+'难度参数'!$E$56+'难度参数'!$E$57),1,0)</x:f>
        <x:v>6</x:v>
      </x:c>
      <x:c r="W224" s="62" t="str">
        <x:f>IF(L224&gt;'难度参数'!$E$51,"仅出怪已超目标","还需实测")</x:f>
        <x:v>还需实测</x:v>
      </x:c>
      <x:c r="X224" s="119" t="n">
        <x:f>IF(1&gt;D224,0,MAX(2,MIN('难度参数'!$E$12,ROUND(('难度参数'!$E$18*POWER(A224,'难度参数'!$E$19)/D224*(0.85+0.3*(1-1)/MAX(1,D224-1))),0)+F224)))</x:f>
        <x:v>26</x:v>
      </x:c>
      <x:c r="Y224" s="119" t="n">
        <x:f>IF(1&gt;D224,0,ROUND(('难度参数'!$E$13*POWER(A224,'难度参数'!$E$20)*MIN('难度参数'!$E$23,1+MAX(0,A224-'难度参数'!$E$21)*'难度参数'!$E$22))*(36+1*7)/(36+7*(D224+1)/2)*E224,0))</x:f>
        <x:v>4378</x:v>
      </x:c>
      <x:c r="Z224" s="119" t="n">
        <x:f>IF(X224=0,0,(X224-IF(1=D224,1,0))*ROUND(Y224*VLOOKUP(INDEX('章节与怪物'!$E$31:$K$37,B224,1),'章节与怪物'!$A$41:$F$44,2,FALSE),0)+IF(1=D224,ROUND(Y224*'难度参数'!$E$28*'章节与怪物'!$E$17,0),0))</x:f>
        <x:v>81952</x:v>
      </x:c>
      <x:c r="AA224" s="119" t="n">
        <x:f>IF(X224=0,0,(X224-IF(1=D224,1,0))*VLOOKUP(INDEX('章节与怪物'!$E$31:$K$37,B224,1),'章节与怪物'!$A$41:$F$44,4,FALSE)+IF(1=D224,'难度参数'!$E$30,0))</x:f>
        <x:v>520</x:v>
      </x:c>
      <x:c r="AB224" s="119" t="n">
        <x:f>IF(2&gt;D224,0,MAX(2,MIN('难度参数'!$E$12,ROUND(('难度参数'!$E$18*POWER(A224,'难度参数'!$E$19)/D224*(0.85+0.3*(2-1)/MAX(1,D224-1))),0)+F224)))</x:f>
        <x:v>28</x:v>
      </x:c>
      <x:c r="AC224" s="119" t="n">
        <x:f>IF(2&gt;D224,0,ROUND(('难度参数'!$E$13*POWER(A224,'难度参数'!$E$20)*MIN('难度参数'!$E$23,1+MAX(0,A224-'难度参数'!$E$21)*'难度参数'!$E$22))*(36+2*7)/(36+7*(D224+1)/2)*E224,0))</x:f>
        <x:v>5091</x:v>
      </x:c>
      <x:c r="AD224" s="119" t="n">
        <x:f>IF(AB224=0,0,(AB224-IF(2=D224,1,0))*ROUND(AC224*VLOOKUP(INDEX('章节与怪物'!$E$31:$K$37,B224,2),'章节与怪物'!$A$41:$F$44,2,FALSE),0)+IF(2=D224,ROUND(AC224*'难度参数'!$E$28*'章节与怪物'!$E$17,0),0))</x:f>
        <x:v>142548</x:v>
      </x:c>
      <x:c r="AE224" s="119" t="n">
        <x:f>IF(AB224=0,0,(AB224-IF(2=D224,1,0))*VLOOKUP(INDEX('章节与怪物'!$E$31:$K$37,B224,2),'章节与怪物'!$A$41:$F$44,4,FALSE)+IF(2=D224,'难度参数'!$E$30,0))</x:f>
        <x:v>504</x:v>
      </x:c>
      <x:c r="AF224" s="119" t="n">
        <x:f>IF(3&gt;D224,0,MAX(2,MIN('难度参数'!$E$12,ROUND(('难度参数'!$E$18*POWER(A224,'难度参数'!$E$19)/D224*(0.85+0.3*(3-1)/MAX(1,D224-1))),0)+F224)))</x:f>
        <x:v>29</x:v>
      </x:c>
      <x:c r="AG224" s="119" t="n">
        <x:f>IF(3&gt;D224,0,ROUND(('难度参数'!$E$13*POWER(A224,'难度参数'!$E$20)*MIN('难度参数'!$E$23,1+MAX(0,A224-'难度参数'!$E$21)*'难度参数'!$E$22))*(36+3*7)/(36+7*(D224+1)/2)*E224,0))</x:f>
        <x:v>5804</x:v>
      </x:c>
      <x:c r="AH224" s="119" t="n">
        <x:f>IF(AF224=0,0,(AF224-IF(3=D224,1,0))*ROUND(AG224*VLOOKUP(INDEX('章节与怪物'!$E$31:$K$37,B224,3),'章节与怪物'!$A$41:$F$44,2,FALSE),0)+IF(3=D224,ROUND(AG224*'难度参数'!$E$28*'章节与怪物'!$E$17,0),0))</x:f>
        <x:v>286143</x:v>
      </x:c>
      <x:c r="AI224" s="119" t="n">
        <x:f>IF(AF224=0,0,(AF224-IF(3=D224,1,0))*VLOOKUP(INDEX('章节与怪物'!$E$31:$K$37,B224,3),'章节与怪物'!$A$41:$F$44,4,FALSE)+IF(3=D224,'难度参数'!$E$30,0))</x:f>
        <x:v>812</x:v>
      </x:c>
      <x:c r="AJ224" s="119" t="n">
        <x:f>IF(4&gt;D224,0,MAX(2,MIN('难度参数'!$E$12,ROUND(('难度参数'!$E$18*POWER(A224,'难度参数'!$E$19)/D224*(0.85+0.3*(4-1)/MAX(1,D224-1))),0)+F224)))</x:f>
        <x:v>31</x:v>
      </x:c>
      <x:c r="AK224" s="119" t="n">
        <x:f>IF(4&gt;D224,0,ROUND(('难度参数'!$E$13*POWER(A224,'难度参数'!$E$20)*MIN('难度参数'!$E$23,1+MAX(0,A224-'难度参数'!$E$21)*'难度参数'!$E$22))*(36+4*7)/(36+7*(D224+1)/2)*E224,0))</x:f>
        <x:v>6517</x:v>
      </x:c>
      <x:c r="AL224" s="119" t="n">
        <x:f>IF(AJ224=0,0,(AJ224-IF(4=D224,1,0))*ROUND(AK224*VLOOKUP(INDEX('章节与怪物'!$E$31:$K$37,B224,4),'章节与怪物'!$A$41:$F$44,2,FALSE),0)+IF(4=D224,ROUND(AK224*'难度参数'!$E$28*'章节与怪物'!$E$17,0),0))</x:f>
        <x:v>272738</x:v>
      </x:c>
      <x:c r="AM224" s="119" t="n">
        <x:f>IF(AJ224=0,0,(AJ224-IF(4=D224,1,0))*VLOOKUP(INDEX('章节与怪物'!$E$31:$K$37,B224,4),'章节与怪物'!$A$41:$F$44,4,FALSE)+IF(4=D224,'难度参数'!$E$30,0))</x:f>
        <x:v>1054</x:v>
      </x:c>
      <x:c r="AN224" s="119" t="n">
        <x:f>IF(5&gt;D224,0,MAX(2,MIN('难度参数'!$E$12,ROUND(('难度参数'!$E$18*POWER(A224,'难度参数'!$E$19)/D224*(0.85+0.3*(5-1)/MAX(1,D224-1))),0)+F224)))</x:f>
        <x:v>33</x:v>
      </x:c>
      <x:c r="AO224" s="119" t="n">
        <x:f>IF(5&gt;D224,0,ROUND(('难度参数'!$E$13*POWER(A224,'难度参数'!$E$20)*MIN('难度参数'!$E$23,1+MAX(0,A224-'难度参数'!$E$21)*'难度参数'!$E$22))*(36+5*7)/(36+7*(D224+1)/2)*E224,0))</x:f>
        <x:v>7229</x:v>
      </x:c>
      <x:c r="AP224" s="119" t="n">
        <x:f>IF(AN224=0,0,(AN224-IF(5=D224,1,0))*ROUND(AO224*VLOOKUP(INDEX('章节与怪物'!$E$31:$K$37,B224,5),'章节与怪物'!$A$41:$F$44,2,FALSE),0)+IF(5=D224,ROUND(AO224*'难度参数'!$E$28*'章节与怪物'!$E$17,0),0))</x:f>
        <x:v>238557</x:v>
      </x:c>
      <x:c r="AQ224" s="119" t="n">
        <x:f>IF(AN224=0,0,(AN224-IF(5=D224,1,0))*VLOOKUP(INDEX('章节与怪物'!$E$31:$K$37,B224,5),'章节与怪物'!$A$41:$F$44,4,FALSE)+IF(5=D224,'难度参数'!$E$30,0))</x:f>
        <x:v>594</x:v>
      </x:c>
      <x:c r="AR224" s="119" t="n">
        <x:f>IF(6&gt;D224,0,MAX(2,MIN('难度参数'!$E$12,ROUND(('难度参数'!$E$18*POWER(A224,'难度参数'!$E$19)/D224*(0.85+0.3*(6-1)/MAX(1,D224-1))),0)+F224)))</x:f>
        <x:v>34</x:v>
      </x:c>
      <x:c r="AS224" s="119" t="n">
        <x:f>IF(6&gt;D224,0,ROUND(('难度参数'!$E$13*POWER(A224,'难度参数'!$E$20)*MIN('难度参数'!$E$23,1+MAX(0,A224-'难度参数'!$E$21)*'难度参数'!$E$22))*(36+6*7)/(36+7*(D224+1)/2)*E224,0))</x:f>
        <x:v>7942</x:v>
      </x:c>
      <x:c r="AT224" s="119" t="n">
        <x:f>IF(AR224=0,0,(AR224-IF(6=D224,1,0))*ROUND(AS224*VLOOKUP(INDEX('章节与怪物'!$E$31:$K$37,B224,6),'章节与怪物'!$A$41:$F$44,2,FALSE),0)+IF(6=D224,ROUND(AS224*'难度参数'!$E$28*'章节与怪物'!$E$17,0),0))</x:f>
        <x:v>459034</x:v>
      </x:c>
      <x:c r="AU224" s="119" t="n">
        <x:f>IF(AR224=0,0,(AR224-IF(6=D224,1,0))*VLOOKUP(INDEX('章节与怪物'!$E$31:$K$37,B224,6),'章节与怪物'!$A$41:$F$44,4,FALSE)+IF(6=D224,'难度参数'!$E$30,0))</x:f>
        <x:v>952</x:v>
      </x:c>
      <x:c r="AV224" s="119" t="n">
        <x:f>IF(7&gt;D224,0,MAX(2,MIN('难度参数'!$E$12,ROUND(('难度参数'!$E$18*POWER(A224,'难度参数'!$E$19)/D224*(0.85+0.3*(7-1)/MAX(1,D224-1))),0)+F224)))</x:f>
        <x:v>36</x:v>
      </x:c>
      <x:c r="AW224" s="119" t="n">
        <x:f>IF(7&gt;D224,0,ROUND(('难度参数'!$E$13*POWER(A224,'难度参数'!$E$20)*MIN('难度参数'!$E$23,1+MAX(0,A224-'难度参数'!$E$21)*'难度参数'!$E$22))*(36+7*7)/(36+7*(D224+1)/2)*E224,0))</x:f>
        <x:v>8655</x:v>
      </x:c>
      <x:c r="AX224" s="119" t="n">
        <x:f>IF(AV224=0,0,(AV224-IF(7=D224,1,0))*ROUND(AW224*VLOOKUP(INDEX('章节与怪物'!$E$31:$K$37,B224,7),'章节与怪物'!$A$41:$F$44,2,FALSE),0)+IF(7=D224,ROUND(AW224*'难度参数'!$E$28*'章节与怪物'!$E$17,0),0))</x:f>
        <x:v>467794</x:v>
      </x:c>
      <x:c r="AY224" s="119" t="n">
        <x:f>IF(AV224=0,0,(AV224-IF(7=D224,1,0))*VLOOKUP(INDEX('章节与怪物'!$E$31:$K$37,B224,7),'章节与怪物'!$A$41:$F$44,4,FALSE)+IF(7=D224,'难度参数'!$E$30,0))</x:f>
        <x:v>1390</x:v>
      </x:c>
    </x:row>
    <x:row r="225" ht="23" customHeight="1">
      <x:c r="A225" s="119" t="n">
        <x:v>219</x:v>
      </x:c>
      <x:c r="B225" s="119" t="n">
        <x:f>MOD(INT((A225-1)/5),7)+1</x:f>
        <x:v>2</x:v>
      </x:c>
      <x:c r="C225" s="62" t="str">
        <x:f>INDEX('章节与怪物'!$B$31:$B$37,B225)</x:f>
        <x:v>黄沙要塞</x:v>
      </x:c>
      <x:c r="D225" s="119" t="n">
        <x:f>MIN('难度参数'!$E$8,MAX('难度参数'!$E$7,A225))</x:f>
        <x:v>7</x:v>
      </x:c>
      <x:c r="E225" s="106" t="n">
        <x:v>1</x:v>
      </x:c>
      <x:c r="F225" s="106" t="n">
        <x:v>0</x:v>
      </x:c>
      <x:c r="G225" s="106" t="n">
        <x:v>1</x:v>
      </x:c>
      <x:c r="H225" s="119" t="n">
        <x:f>SUM(X225,AB225,AF225,AJ225,AN225,AR225,AV225)</x:f>
        <x:v>218</x:v>
      </x:c>
      <x:c r="I225" s="119" t="n">
        <x:f>SUM(Z225,AD225,AH225,AL225,AP225,AT225,AX225)</x:f>
        <x:v>1965065</x:v>
      </x:c>
      <x:c r="J225" s="119" t="n">
        <x:f>ROUND(INDEX(X225:AY225,1,(D225-1)*4+2)*'难度参数'!$E$28*'章节与怪物'!$E$17,0)</x:f>
        <x:v>59044</x:v>
      </x:c>
      <x:c r="K225" s="119" t="n">
        <x:f>SUM(AA225,AE225,AI225,AM225,AQ225,AU225,AY225)</x:f>
        <x:v>5854</x:v>
      </x:c>
      <x:c r="L225" s="62" t="n">
        <x:f>H225*(ROUNDUP('难度参数'!$E$24/('难度参数'!$E$26*'难度参数'!$E$27),0)*'难度参数'!$E$26)/60</x:f>
        <x:v>2.9066666666666667</x:v>
      </x:c>
      <x:c r="M225" s="62" t="n">
        <x:f>L225+D225*('难度参数'!$E$49+'难度参数'!$E$50)/60</x:f>
        <x:v>4.073333333333333</x:v>
      </x:c>
      <x:c r="N225" s="119" t="n">
        <x:f>ROUNDDOWN(('经济参数'!$E$20+A225*'经济参数'!$E$21)*G225,0)</x:f>
        <x:v>4560</x:v>
      </x:c>
      <x:c r="O225" s="119" t="n">
        <x:f>ROUNDDOWN(MIN('经济参数'!$E$24,'经济参数'!$E$22+A225*'经济参数'!$E$23)*G225,0)</x:f>
        <x:v>0</x:v>
      </x:c>
      <x:c r="P225" s="119" t="n">
        <x:f>ROUNDDOWN((IF(A225&gt;='材料与任务'!$E$31,'材料与任务'!$E$32,IF(A225&gt;='材料与任务'!$E$25,'材料与任务'!$E$26,IF(A225&gt;='材料与任务'!$E$19,'材料与任务'!$E$20,IF(A225&gt;='材料与任务'!$E$13,'材料与任务'!$E$14,'材料与任务'!$E$8)))))*G225,0)</x:f>
        <x:v>6</x:v>
      </x:c>
      <x:c r="Q225" s="119" t="n">
        <x:f>ROUNDDOWN((IF(A225&gt;='材料与任务'!$E$31,'材料与任务'!$E$33,IF(A225&gt;='材料与任务'!$E$25,'材料与任务'!$E$27,IF(A225&gt;='材料与任务'!$E$19,'材料与任务'!$E$21,IF(A225&gt;='材料与任务'!$E$13,'材料与任务'!$E$15,'材料与任务'!$E$9)))))*G225,0)</x:f>
        <x:v>3</x:v>
      </x:c>
      <x:c r="R225" s="110" t="n">
        <x:f>'装备掉落'!$B$38</x:f>
        <x:v>0.6872058758851213</x:v>
      </x:c>
      <x:c r="S225" s="119" t="n">
        <x:f>MAX(IF(VLOOKUP(A225,'装备掉落'!$A$29:$H$34,2,TRUE)&gt;0,1,0),IF(VLOOKUP(A225,'装备掉落'!$A$29:$H$34,3,TRUE)&gt;0,2,0),IF(VLOOKUP(A225,'装备掉落'!$A$29:$H$34,4,TRUE)&gt;0,3,0),IF(VLOOKUP(A225,'装备掉落'!$A$29:$H$34,5,TRUE)&gt;0,4,0),IF(VLOOKUP(A225,'装备掉落'!$A$29:$H$34,6,TRUE)&gt;0,5,0),IF(VLOOKUP(A225,'装备掉落'!$A$29:$H$34,7,TRUE)&gt;0,6,0),IF(VLOOKUP(A225,'装备掉落'!$A$29:$H$34,8,TRUE)&gt;0,7,0))</x:f>
        <x:v>7</x:v>
      </x:c>
      <x:c r="T225" s="119" t="n">
        <x:f>MIN(7,S225+'经济参数'!$E$70)</x:f>
        <x:v>7</x:v>
      </x:c>
      <x:c r="U225" s="119" t="n">
        <x:f>MIN(7,S225+'经济参数'!$E$71)</x:f>
        <x:v>7</x:v>
      </x:c>
      <x:c r="V225" s="119" t="n">
        <x:f>IF(H225&gt;=('难度参数'!$E$52),1,0)+IF(H225&gt;=('难度参数'!$E$52+'难度参数'!$E$53),1,0)+IF(H225&gt;=('难度参数'!$E$52+'难度参数'!$E$53+'难度参数'!$E$54),1,0)+IF(H225&gt;=('难度参数'!$E$52+'难度参数'!$E$53+'难度参数'!$E$54+'难度参数'!$E$55),1,0)+IF(H225&gt;=('难度参数'!$E$52+'难度参数'!$E$53+'难度参数'!$E$54+'难度参数'!$E$55+'难度参数'!$E$56),1,0)+IF(H225&gt;=('难度参数'!$E$52+'难度参数'!$E$53+'难度参数'!$E$54+'难度参数'!$E$55+'难度参数'!$E$56+'难度参数'!$E$57),1,0)</x:f>
        <x:v>6</x:v>
      </x:c>
      <x:c r="W225" s="62" t="str">
        <x:f>IF(L225&gt;'难度参数'!$E$51,"仅出怪已超目标","还需实测")</x:f>
        <x:v>还需实测</x:v>
      </x:c>
      <x:c r="X225" s="119" t="n">
        <x:f>IF(1&gt;D225,0,MAX(2,MIN('难度参数'!$E$12,ROUND(('难度参数'!$E$18*POWER(A225,'难度参数'!$E$19)/D225*(0.85+0.3*(1-1)/MAX(1,D225-1))),0)+F225)))</x:f>
        <x:v>26</x:v>
      </x:c>
      <x:c r="Y225" s="119" t="n">
        <x:f>IF(1&gt;D225,0,ROUND(('难度参数'!$E$13*POWER(A225,'难度参数'!$E$20)*MIN('难度参数'!$E$23,1+MAX(0,A225-'难度参数'!$E$21)*'难度参数'!$E$22))*(36+1*7)/(36+7*(D225+1)/2)*E225,0))</x:f>
        <x:v>4393</x:v>
      </x:c>
      <x:c r="Z225" s="119" t="n">
        <x:f>IF(X225=0,0,(X225-IF(1=D225,1,0))*ROUND(Y225*VLOOKUP(INDEX('章节与怪物'!$E$31:$K$37,B225,1),'章节与怪物'!$A$41:$F$44,2,FALSE),0)+IF(1=D225,ROUND(Y225*'难度参数'!$E$28*'章节与怪物'!$E$17,0),0))</x:f>
        <x:v>82238</x:v>
      </x:c>
      <x:c r="AA225" s="119" t="n">
        <x:f>IF(X225=0,0,(X225-IF(1=D225,1,0))*VLOOKUP(INDEX('章节与怪物'!$E$31:$K$37,B225,1),'章节与怪物'!$A$41:$F$44,4,FALSE)+IF(1=D225,'难度参数'!$E$30,0))</x:f>
        <x:v>520</x:v>
      </x:c>
      <x:c r="AB225" s="119" t="n">
        <x:f>IF(2&gt;D225,0,MAX(2,MIN('难度参数'!$E$12,ROUND(('难度参数'!$E$18*POWER(A225,'难度参数'!$E$19)/D225*(0.85+0.3*(2-1)/MAX(1,D225-1))),0)+F225)))</x:f>
        <x:v>28</x:v>
      </x:c>
      <x:c r="AC225" s="119" t="n">
        <x:f>IF(2&gt;D225,0,ROUND(('难度参数'!$E$13*POWER(A225,'难度参数'!$E$20)*MIN('难度参数'!$E$23,1+MAX(0,A225-'难度参数'!$E$21)*'难度参数'!$E$22))*(36+2*7)/(36+7*(D225+1)/2)*E225,0))</x:f>
        <x:v>5108</x:v>
      </x:c>
      <x:c r="AD225" s="119" t="n">
        <x:f>IF(AB225=0,0,(AB225-IF(2=D225,1,0))*ROUND(AC225*VLOOKUP(INDEX('章节与怪物'!$E$31:$K$37,B225,2),'章节与怪物'!$A$41:$F$44,2,FALSE),0)+IF(2=D225,ROUND(AC225*'难度参数'!$E$28*'章节与怪物'!$E$17,0),0))</x:f>
        <x:v>143024</x:v>
      </x:c>
      <x:c r="AE225" s="119" t="n">
        <x:f>IF(AB225=0,0,(AB225-IF(2=D225,1,0))*VLOOKUP(INDEX('章节与怪物'!$E$31:$K$37,B225,2),'章节与怪物'!$A$41:$F$44,4,FALSE)+IF(2=D225,'难度参数'!$E$30,0))</x:f>
        <x:v>504</x:v>
      </x:c>
      <x:c r="AF225" s="119" t="n">
        <x:f>IF(3&gt;D225,0,MAX(2,MIN('难度参数'!$E$12,ROUND(('难度参数'!$E$18*POWER(A225,'难度参数'!$E$19)/D225*(0.85+0.3*(3-1)/MAX(1,D225-1))),0)+F225)))</x:f>
        <x:v>30</x:v>
      </x:c>
      <x:c r="AG225" s="119" t="n">
        <x:f>IF(3&gt;D225,0,ROUND(('难度参数'!$E$13*POWER(A225,'难度参数'!$E$20)*MIN('难度参数'!$E$23,1+MAX(0,A225-'难度参数'!$E$21)*'难度参数'!$E$22))*(36+3*7)/(36+7*(D225+1)/2)*E225,0))</x:f>
        <x:v>5823</x:v>
      </x:c>
      <x:c r="AH225" s="119" t="n">
        <x:f>IF(AF225=0,0,(AF225-IF(3=D225,1,0))*ROUND(AG225*VLOOKUP(INDEX('章节与怪物'!$E$31:$K$37,B225,3),'章节与怪物'!$A$41:$F$44,2,FALSE),0)+IF(3=D225,ROUND(AG225*'难度参数'!$E$28*'章节与怪物'!$E$17,0),0))</x:f>
        <x:v>296970</x:v>
      </x:c>
      <x:c r="AI225" s="119" t="n">
        <x:f>IF(AF225=0,0,(AF225-IF(3=D225,1,0))*VLOOKUP(INDEX('章节与怪物'!$E$31:$K$37,B225,3),'章节与怪物'!$A$41:$F$44,4,FALSE)+IF(3=D225,'难度参数'!$E$30,0))</x:f>
        <x:v>840</x:v>
      </x:c>
      <x:c r="AJ225" s="119" t="n">
        <x:f>IF(4&gt;D225,0,MAX(2,MIN('难度参数'!$E$12,ROUND(('难度参数'!$E$18*POWER(A225,'难度参数'!$E$19)/D225*(0.85+0.3*(4-1)/MAX(1,D225-1))),0)+F225)))</x:f>
        <x:v>31</x:v>
      </x:c>
      <x:c r="AK225" s="119" t="n">
        <x:f>IF(4&gt;D225,0,ROUND(('难度参数'!$E$13*POWER(A225,'难度参数'!$E$20)*MIN('难度参数'!$E$23,1+MAX(0,A225-'难度参数'!$E$21)*'难度参数'!$E$22))*(36+4*7)/(36+7*(D225+1)/2)*E225,0))</x:f>
        <x:v>6538</x:v>
      </x:c>
      <x:c r="AL225" s="119" t="n">
        <x:f>IF(AJ225=0,0,(AJ225-IF(4=D225,1,0))*ROUND(AK225*VLOOKUP(INDEX('章节与怪物'!$E$31:$K$37,B225,4),'章节与怪物'!$A$41:$F$44,2,FALSE),0)+IF(4=D225,ROUND(AK225*'难度参数'!$E$28*'章节与怪物'!$E$17,0),0))</x:f>
        <x:v>273606</x:v>
      </x:c>
      <x:c r="AM225" s="119" t="n">
        <x:f>IF(AJ225=0,0,(AJ225-IF(4=D225,1,0))*VLOOKUP(INDEX('章节与怪物'!$E$31:$K$37,B225,4),'章节与怪物'!$A$41:$F$44,4,FALSE)+IF(4=D225,'难度参数'!$E$30,0))</x:f>
        <x:v>1054</x:v>
      </x:c>
      <x:c r="AN225" s="119" t="n">
        <x:f>IF(5&gt;D225,0,MAX(2,MIN('难度参数'!$E$12,ROUND(('难度参数'!$E$18*POWER(A225,'难度参数'!$E$19)/D225*(0.85+0.3*(5-1)/MAX(1,D225-1))),0)+F225)))</x:f>
        <x:v>33</x:v>
      </x:c>
      <x:c r="AO225" s="119" t="n">
        <x:f>IF(5&gt;D225,0,ROUND(('难度参数'!$E$13*POWER(A225,'难度参数'!$E$20)*MIN('难度参数'!$E$23,1+MAX(0,A225-'难度参数'!$E$21)*'难度参数'!$E$22))*(36+5*7)/(36+7*(D225+1)/2)*E225,0))</x:f>
        <x:v>7253</x:v>
      </x:c>
      <x:c r="AP225" s="119" t="n">
        <x:f>IF(AN225=0,0,(AN225-IF(5=D225,1,0))*ROUND(AO225*VLOOKUP(INDEX('章节与怪物'!$E$31:$K$37,B225,5),'章节与怪物'!$A$41:$F$44,2,FALSE),0)+IF(5=D225,ROUND(AO225*'难度参数'!$E$28*'章节与怪物'!$E$17,0),0))</x:f>
        <x:v>239349</x:v>
      </x:c>
      <x:c r="AQ225" s="119" t="n">
        <x:f>IF(AN225=0,0,(AN225-IF(5=D225,1,0))*VLOOKUP(INDEX('章节与怪物'!$E$31:$K$37,B225,5),'章节与怪物'!$A$41:$F$44,4,FALSE)+IF(5=D225,'难度参数'!$E$30,0))</x:f>
        <x:v>594</x:v>
      </x:c>
      <x:c r="AR225" s="119" t="n">
        <x:f>IF(6&gt;D225,0,MAX(2,MIN('难度参数'!$E$12,ROUND(('难度参数'!$E$18*POWER(A225,'难度参数'!$E$19)/D225*(0.85+0.3*(6-1)/MAX(1,D225-1))),0)+F225)))</x:f>
        <x:v>34</x:v>
      </x:c>
      <x:c r="AS225" s="119" t="n">
        <x:f>IF(6&gt;D225,0,ROUND(('难度参数'!$E$13*POWER(A225,'难度参数'!$E$20)*MIN('难度参数'!$E$23,1+MAX(0,A225-'难度参数'!$E$21)*'难度参数'!$E$22))*(36+6*7)/(36+7*(D225+1)/2)*E225,0))</x:f>
        <x:v>7968</x:v>
      </x:c>
      <x:c r="AT225" s="119" t="n">
        <x:f>IF(AR225=0,0,(AR225-IF(6=D225,1,0))*ROUND(AS225*VLOOKUP(INDEX('章节与怪物'!$E$31:$K$37,B225,6),'章节与怪物'!$A$41:$F$44,2,FALSE),0)+IF(6=D225,ROUND(AS225*'难度参数'!$E$28*'章节与怪物'!$E$17,0),0))</x:f>
        <x:v>460564</x:v>
      </x:c>
      <x:c r="AU225" s="119" t="n">
        <x:f>IF(AR225=0,0,(AR225-IF(6=D225,1,0))*VLOOKUP(INDEX('章节与怪物'!$E$31:$K$37,B225,6),'章节与怪物'!$A$41:$F$44,4,FALSE)+IF(6=D225,'难度参数'!$E$30,0))</x:f>
        <x:v>952</x:v>
      </x:c>
      <x:c r="AV225" s="119" t="n">
        <x:f>IF(7&gt;D225,0,MAX(2,MIN('难度参数'!$E$12,ROUND(('难度参数'!$E$18*POWER(A225,'难度参数'!$E$19)/D225*(0.85+0.3*(7-1)/MAX(1,D225-1))),0)+F225)))</x:f>
        <x:v>36</x:v>
      </x:c>
      <x:c r="AW225" s="119" t="n">
        <x:f>IF(7&gt;D225,0,ROUND(('难度参数'!$E$13*POWER(A225,'难度参数'!$E$20)*MIN('难度参数'!$E$23,1+MAX(0,A225-'难度参数'!$E$21)*'难度参数'!$E$22))*(36+7*7)/(36+7*(D225+1)/2)*E225,0))</x:f>
        <x:v>8683</x:v>
      </x:c>
      <x:c r="AX225" s="119" t="n">
        <x:f>IF(AV225=0,0,(AV225-IF(7=D225,1,0))*ROUND(AW225*VLOOKUP(INDEX('章节与怪物'!$E$31:$K$37,B225,7),'章节与怪物'!$A$41:$F$44,2,FALSE),0)+IF(7=D225,ROUND(AW225*'难度参数'!$E$28*'章节与怪物'!$E$17,0),0))</x:f>
        <x:v>469314</x:v>
      </x:c>
      <x:c r="AY225" s="119" t="n">
        <x:f>IF(AV225=0,0,(AV225-IF(7=D225,1,0))*VLOOKUP(INDEX('章节与怪物'!$E$31:$K$37,B225,7),'章节与怪物'!$A$41:$F$44,4,FALSE)+IF(7=D225,'难度参数'!$E$30,0))</x:f>
        <x:v>1390</x:v>
      </x:c>
    </x:row>
    <x:row r="226" ht="23" customHeight="1">
      <x:c r="A226" s="119" t="n">
        <x:v>220</x:v>
      </x:c>
      <x:c r="B226" s="119" t="n">
        <x:f>MOD(INT((A226-1)/5),7)+1</x:f>
        <x:v>2</x:v>
      </x:c>
      <x:c r="C226" s="62" t="str">
        <x:f>INDEX('章节与怪物'!$B$31:$B$37,B226)</x:f>
        <x:v>黄沙要塞</x:v>
      </x:c>
      <x:c r="D226" s="119" t="n">
        <x:f>MIN('难度参数'!$E$8,MAX('难度参数'!$E$7,A226))</x:f>
        <x:v>7</x:v>
      </x:c>
      <x:c r="E226" s="106" t="n">
        <x:v>1</x:v>
      </x:c>
      <x:c r="F226" s="106" t="n">
        <x:v>0</x:v>
      </x:c>
      <x:c r="G226" s="106" t="n">
        <x:v>1</x:v>
      </x:c>
      <x:c r="H226" s="119" t="n">
        <x:f>SUM(X226,AB226,AF226,AJ226,AN226,AR226,AV226)</x:f>
        <x:v>218</x:v>
      </x:c>
      <x:c r="I226" s="119" t="n">
        <x:f>SUM(Z226,AD226,AH226,AL226,AP226,AT226,AX226)</x:f>
        <x:v>1971610</x:v>
      </x:c>
      <x:c r="J226" s="119" t="n">
        <x:f>ROUND(INDEX(X226:AY226,1,(D226-1)*4+2)*'难度参数'!$E$28*'章节与怪物'!$E$17,0)</x:f>
        <x:v>59242</x:v>
      </x:c>
      <x:c r="K226" s="119" t="n">
        <x:f>SUM(AA226,AE226,AI226,AM226,AQ226,AU226,AY226)</x:f>
        <x:v>5854</x:v>
      </x:c>
      <x:c r="L226" s="62" t="n">
        <x:f>H226*(ROUNDUP('难度参数'!$E$24/('难度参数'!$E$26*'难度参数'!$E$27),0)*'难度参数'!$E$26)/60</x:f>
        <x:v>2.9066666666666667</x:v>
      </x:c>
      <x:c r="M226" s="62" t="n">
        <x:f>L226+D226*('难度参数'!$E$49+'难度参数'!$E$50)/60</x:f>
        <x:v>4.073333333333333</x:v>
      </x:c>
      <x:c r="N226" s="119" t="n">
        <x:f>ROUNDDOWN(('经济参数'!$E$20+A226*'经济参数'!$E$21)*G226,0)</x:f>
        <x:v>4580</x:v>
      </x:c>
      <x:c r="O226" s="119" t="n">
        <x:f>ROUNDDOWN(MIN('经济参数'!$E$24,'经济参数'!$E$22+A226*'经济参数'!$E$23)*G226,0)</x:f>
        <x:v>0</x:v>
      </x:c>
      <x:c r="P226" s="119" t="n">
        <x:f>ROUNDDOWN((IF(A226&gt;='材料与任务'!$E$31,'材料与任务'!$E$32,IF(A226&gt;='材料与任务'!$E$25,'材料与任务'!$E$26,IF(A226&gt;='材料与任务'!$E$19,'材料与任务'!$E$20,IF(A226&gt;='材料与任务'!$E$13,'材料与任务'!$E$14,'材料与任务'!$E$8)))))*G226,0)</x:f>
        <x:v>6</x:v>
      </x:c>
      <x:c r="Q226" s="119" t="n">
        <x:f>ROUNDDOWN((IF(A226&gt;='材料与任务'!$E$31,'材料与任务'!$E$33,IF(A226&gt;='材料与任务'!$E$25,'材料与任务'!$E$27,IF(A226&gt;='材料与任务'!$E$19,'材料与任务'!$E$21,IF(A226&gt;='材料与任务'!$E$13,'材料与任务'!$E$15,'材料与任务'!$E$9)))))*G226,0)</x:f>
        <x:v>3</x:v>
      </x:c>
      <x:c r="R226" s="110" t="n">
        <x:f>'装备掉落'!$B$38</x:f>
        <x:v>0.6872058758851213</x:v>
      </x:c>
      <x:c r="S226" s="119" t="n">
        <x:f>MAX(IF(VLOOKUP(A226,'装备掉落'!$A$29:$H$34,2,TRUE)&gt;0,1,0),IF(VLOOKUP(A226,'装备掉落'!$A$29:$H$34,3,TRUE)&gt;0,2,0),IF(VLOOKUP(A226,'装备掉落'!$A$29:$H$34,4,TRUE)&gt;0,3,0),IF(VLOOKUP(A226,'装备掉落'!$A$29:$H$34,5,TRUE)&gt;0,4,0),IF(VLOOKUP(A226,'装备掉落'!$A$29:$H$34,6,TRUE)&gt;0,5,0),IF(VLOOKUP(A226,'装备掉落'!$A$29:$H$34,7,TRUE)&gt;0,6,0),IF(VLOOKUP(A226,'装备掉落'!$A$29:$H$34,8,TRUE)&gt;0,7,0))</x:f>
        <x:v>7</x:v>
      </x:c>
      <x:c r="T226" s="119" t="n">
        <x:f>MIN(7,S226+'经济参数'!$E$70)</x:f>
        <x:v>7</x:v>
      </x:c>
      <x:c r="U226" s="119" t="n">
        <x:f>MIN(7,S226+'经济参数'!$E$71)</x:f>
        <x:v>7</x:v>
      </x:c>
      <x:c r="V226" s="119" t="n">
        <x:f>IF(H226&gt;=('难度参数'!$E$52),1,0)+IF(H226&gt;=('难度参数'!$E$52+'难度参数'!$E$53),1,0)+IF(H226&gt;=('难度参数'!$E$52+'难度参数'!$E$53+'难度参数'!$E$54),1,0)+IF(H226&gt;=('难度参数'!$E$52+'难度参数'!$E$53+'难度参数'!$E$54+'难度参数'!$E$55),1,0)+IF(H226&gt;=('难度参数'!$E$52+'难度参数'!$E$53+'难度参数'!$E$54+'难度参数'!$E$55+'难度参数'!$E$56),1,0)+IF(H226&gt;=('难度参数'!$E$52+'难度参数'!$E$53+'难度参数'!$E$54+'难度参数'!$E$55+'难度参数'!$E$56+'难度参数'!$E$57),1,0)</x:f>
        <x:v>6</x:v>
      </x:c>
      <x:c r="W226" s="62" t="str">
        <x:f>IF(L226&gt;'难度参数'!$E$51,"仅出怪已超目标","还需实测")</x:f>
        <x:v>还需实测</x:v>
      </x:c>
      <x:c r="X226" s="119" t="n">
        <x:f>IF(1&gt;D226,0,MAX(2,MIN('难度参数'!$E$12,ROUND(('难度参数'!$E$18*POWER(A226,'难度参数'!$E$19)/D226*(0.85+0.3*(1-1)/MAX(1,D226-1))),0)+F226)))</x:f>
        <x:v>26</x:v>
      </x:c>
      <x:c r="Y226" s="119" t="n">
        <x:f>IF(1&gt;D226,0,ROUND(('难度参数'!$E$13*POWER(A226,'难度参数'!$E$20)*MIN('难度参数'!$E$23,1+MAX(0,A226-'难度参数'!$E$21)*'难度参数'!$E$22))*(36+1*7)/(36+7*(D226+1)/2)*E226,0))</x:f>
        <x:v>4407</x:v>
      </x:c>
      <x:c r="Z226" s="119" t="n">
        <x:f>IF(X226=0,0,(X226-IF(1=D226,1,0))*ROUND(Y226*VLOOKUP(INDEX('章节与怪物'!$E$31:$K$37,B226,1),'章节与怪物'!$A$41:$F$44,2,FALSE),0)+IF(1=D226,ROUND(Y226*'难度参数'!$E$28*'章节与怪物'!$E$17,0),0))</x:f>
        <x:v>82498</x:v>
      </x:c>
      <x:c r="AA226" s="119" t="n">
        <x:f>IF(X226=0,0,(X226-IF(1=D226,1,0))*VLOOKUP(INDEX('章节与怪物'!$E$31:$K$37,B226,1),'章节与怪物'!$A$41:$F$44,4,FALSE)+IF(1=D226,'难度参数'!$E$30,0))</x:f>
        <x:v>520</x:v>
      </x:c>
      <x:c r="AB226" s="119" t="n">
        <x:f>IF(2&gt;D226,0,MAX(2,MIN('难度参数'!$E$12,ROUND(('难度参数'!$E$18*POWER(A226,'难度参数'!$E$19)/D226*(0.85+0.3*(2-1)/MAX(1,D226-1))),0)+F226)))</x:f>
        <x:v>28</x:v>
      </x:c>
      <x:c r="AC226" s="119" t="n">
        <x:f>IF(2&gt;D226,0,ROUND(('难度参数'!$E$13*POWER(A226,'难度参数'!$E$20)*MIN('难度参数'!$E$23,1+MAX(0,A226-'难度参数'!$E$21)*'难度参数'!$E$22))*(36+2*7)/(36+7*(D226+1)/2)*E226,0))</x:f>
        <x:v>5125</x:v>
      </x:c>
      <x:c r="AD226" s="119" t="n">
        <x:f>IF(AB226=0,0,(AB226-IF(2=D226,1,0))*ROUND(AC226*VLOOKUP(INDEX('章节与怪物'!$E$31:$K$37,B226,2),'章节与怪物'!$A$41:$F$44,2,FALSE),0)+IF(2=D226,ROUND(AC226*'难度参数'!$E$28*'章节与怪物'!$E$17,0),0))</x:f>
        <x:v>143500</x:v>
      </x:c>
      <x:c r="AE226" s="119" t="n">
        <x:f>IF(AB226=0,0,(AB226-IF(2=D226,1,0))*VLOOKUP(INDEX('章节与怪物'!$E$31:$K$37,B226,2),'章节与怪物'!$A$41:$F$44,4,FALSE)+IF(2=D226,'难度参数'!$E$30,0))</x:f>
        <x:v>504</x:v>
      </x:c>
      <x:c r="AF226" s="119" t="n">
        <x:f>IF(3&gt;D226,0,MAX(2,MIN('难度参数'!$E$12,ROUND(('难度参数'!$E$18*POWER(A226,'难度参数'!$E$19)/D226*(0.85+0.3*(3-1)/MAX(1,D226-1))),0)+F226)))</x:f>
        <x:v>30</x:v>
      </x:c>
      <x:c r="AG226" s="119" t="n">
        <x:f>IF(3&gt;D226,0,ROUND(('难度参数'!$E$13*POWER(A226,'难度参数'!$E$20)*MIN('难度参数'!$E$23,1+MAX(0,A226-'难度参数'!$E$21)*'难度参数'!$E$22))*(36+3*7)/(36+7*(D226+1)/2)*E226,0))</x:f>
        <x:v>5842</x:v>
      </x:c>
      <x:c r="AH226" s="119" t="n">
        <x:f>IF(AF226=0,0,(AF226-IF(3=D226,1,0))*ROUND(AG226*VLOOKUP(INDEX('章节与怪物'!$E$31:$K$37,B226,3),'章节与怪物'!$A$41:$F$44,2,FALSE),0)+IF(3=D226,ROUND(AG226*'难度参数'!$E$28*'章节与怪物'!$E$17,0),0))</x:f>
        <x:v>297930</x:v>
      </x:c>
      <x:c r="AI226" s="119" t="n">
        <x:f>IF(AF226=0,0,(AF226-IF(3=D226,1,0))*VLOOKUP(INDEX('章节与怪物'!$E$31:$K$37,B226,3),'章节与怪物'!$A$41:$F$44,4,FALSE)+IF(3=D226,'难度参数'!$E$30,0))</x:f>
        <x:v>840</x:v>
      </x:c>
      <x:c r="AJ226" s="119" t="n">
        <x:f>IF(4&gt;D226,0,MAX(2,MIN('难度参数'!$E$12,ROUND(('难度参数'!$E$18*POWER(A226,'难度参数'!$E$19)/D226*(0.85+0.3*(4-1)/MAX(1,D226-1))),0)+F226)))</x:f>
        <x:v>31</x:v>
      </x:c>
      <x:c r="AK226" s="119" t="n">
        <x:f>IF(4&gt;D226,0,ROUND(('难度参数'!$E$13*POWER(A226,'难度参数'!$E$20)*MIN('难度参数'!$E$23,1+MAX(0,A226-'难度参数'!$E$21)*'难度参数'!$E$22))*(36+4*7)/(36+7*(D226+1)/2)*E226,0))</x:f>
        <x:v>6560</x:v>
      </x:c>
      <x:c r="AL226" s="119" t="n">
        <x:f>IF(AJ226=0,0,(AJ226-IF(4=D226,1,0))*ROUND(AK226*VLOOKUP(INDEX('章节与怪物'!$E$31:$K$37,B226,4),'章节与怪物'!$A$41:$F$44,2,FALSE),0)+IF(4=D226,ROUND(AK226*'难度参数'!$E$28*'章节与怪物'!$E$17,0),0))</x:f>
        <x:v>274536</x:v>
      </x:c>
      <x:c r="AM226" s="119" t="n">
        <x:f>IF(AJ226=0,0,(AJ226-IF(4=D226,1,0))*VLOOKUP(INDEX('章节与怪物'!$E$31:$K$37,B226,4),'章节与怪物'!$A$41:$F$44,4,FALSE)+IF(4=D226,'难度参数'!$E$30,0))</x:f>
        <x:v>1054</x:v>
      </x:c>
      <x:c r="AN226" s="119" t="n">
        <x:f>IF(5&gt;D226,0,MAX(2,MIN('难度参数'!$E$12,ROUND(('难度参数'!$E$18*POWER(A226,'难度参数'!$E$19)/D226*(0.85+0.3*(5-1)/MAX(1,D226-1))),0)+F226)))</x:f>
        <x:v>33</x:v>
      </x:c>
      <x:c r="AO226" s="119" t="n">
        <x:f>IF(5&gt;D226,0,ROUND(('难度参数'!$E$13*POWER(A226,'难度参数'!$E$20)*MIN('难度参数'!$E$23,1+MAX(0,A226-'难度参数'!$E$21)*'难度参数'!$E$22))*(36+5*7)/(36+7*(D226+1)/2)*E226,0))</x:f>
        <x:v>7277</x:v>
      </x:c>
      <x:c r="AP226" s="119" t="n">
        <x:f>IF(AN226=0,0,(AN226-IF(5=D226,1,0))*ROUND(AO226*VLOOKUP(INDEX('章节与怪物'!$E$31:$K$37,B226,5),'章节与怪物'!$A$41:$F$44,2,FALSE),0)+IF(5=D226,ROUND(AO226*'难度参数'!$E$28*'章节与怪物'!$E$17,0),0))</x:f>
        <x:v>240141</x:v>
      </x:c>
      <x:c r="AQ226" s="119" t="n">
        <x:f>IF(AN226=0,0,(AN226-IF(5=D226,1,0))*VLOOKUP(INDEX('章节与怪物'!$E$31:$K$37,B226,5),'章节与怪物'!$A$41:$F$44,4,FALSE)+IF(5=D226,'难度参数'!$E$30,0))</x:f>
        <x:v>594</x:v>
      </x:c>
      <x:c r="AR226" s="119" t="n">
        <x:f>IF(6&gt;D226,0,MAX(2,MIN('难度参数'!$E$12,ROUND(('难度参数'!$E$18*POWER(A226,'难度参数'!$E$19)/D226*(0.85+0.3*(6-1)/MAX(1,D226-1))),0)+F226)))</x:f>
        <x:v>34</x:v>
      </x:c>
      <x:c r="AS226" s="119" t="n">
        <x:f>IF(6&gt;D226,0,ROUND(('难度参数'!$E$13*POWER(A226,'难度参数'!$E$20)*MIN('难度参数'!$E$23,1+MAX(0,A226-'难度参数'!$E$21)*'难度参数'!$E$22))*(36+6*7)/(36+7*(D226+1)/2)*E226,0))</x:f>
        <x:v>7995</x:v>
      </x:c>
      <x:c r="AT226" s="119" t="n">
        <x:f>IF(AR226=0,0,(AR226-IF(6=D226,1,0))*ROUND(AS226*VLOOKUP(INDEX('章节与怪物'!$E$31:$K$37,B226,6),'章节与怪物'!$A$41:$F$44,2,FALSE),0)+IF(6=D226,ROUND(AS226*'难度参数'!$E$28*'章节与怪物'!$E$17,0),0))</x:f>
        <x:v>462128</x:v>
      </x:c>
      <x:c r="AU226" s="119" t="n">
        <x:f>IF(AR226=0,0,(AR226-IF(6=D226,1,0))*VLOOKUP(INDEX('章节与怪物'!$E$31:$K$37,B226,6),'章节与怪物'!$A$41:$F$44,4,FALSE)+IF(6=D226,'难度参数'!$E$30,0))</x:f>
        <x:v>952</x:v>
      </x:c>
      <x:c r="AV226" s="119" t="n">
        <x:f>IF(7&gt;D226,0,MAX(2,MIN('难度参数'!$E$12,ROUND(('难度参数'!$E$18*POWER(A226,'难度参数'!$E$19)/D226*(0.85+0.3*(7-1)/MAX(1,D226-1))),0)+F226)))</x:f>
        <x:v>36</x:v>
      </x:c>
      <x:c r="AW226" s="119" t="n">
        <x:f>IF(7&gt;D226,0,ROUND(('难度参数'!$E$13*POWER(A226,'难度参数'!$E$20)*MIN('难度参数'!$E$23,1+MAX(0,A226-'难度参数'!$E$21)*'难度参数'!$E$22))*(36+7*7)/(36+7*(D226+1)/2)*E226,0))</x:f>
        <x:v>8712</x:v>
      </x:c>
      <x:c r="AX226" s="119" t="n">
        <x:f>IF(AV226=0,0,(AV226-IF(7=D226,1,0))*ROUND(AW226*VLOOKUP(INDEX('章节与怪物'!$E$31:$K$37,B226,7),'章节与怪物'!$A$41:$F$44,2,FALSE),0)+IF(7=D226,ROUND(AW226*'难度参数'!$E$28*'章节与怪物'!$E$17,0),0))</x:f>
        <x:v>470877</x:v>
      </x:c>
      <x:c r="AY226" s="119" t="n">
        <x:f>IF(AV226=0,0,(AV226-IF(7=D226,1,0))*VLOOKUP(INDEX('章节与怪物'!$E$31:$K$37,B226,7),'章节与怪物'!$A$41:$F$44,4,FALSE)+IF(7=D226,'难度参数'!$E$30,0))</x:f>
        <x:v>1390</x:v>
      </x:c>
    </x:row>
    <x:row r="227" ht="23" customHeight="1">
      <x:c r="A227" s="119" t="n">
        <x:v>221</x:v>
      </x:c>
      <x:c r="B227" s="119" t="n">
        <x:f>MOD(INT((A227-1)/5),7)+1</x:f>
        <x:v>3</x:v>
      </x:c>
      <x:c r="C227" s="62" t="str">
        <x:f>INDEX('章节与怪物'!$B$31:$B$37,B227)</x:f>
        <x:v>腐沼秘林</x:v>
      </x:c>
      <x:c r="D227" s="119" t="n">
        <x:f>MIN('难度参数'!$E$8,MAX('难度参数'!$E$7,A227))</x:f>
        <x:v>7</x:v>
      </x:c>
      <x:c r="E227" s="106" t="n">
        <x:v>1</x:v>
      </x:c>
      <x:c r="F227" s="106" t="n">
        <x:v>0</x:v>
      </x:c>
      <x:c r="G227" s="106" t="n">
        <x:v>1</x:v>
      </x:c>
      <x:c r="H227" s="119" t="n">
        <x:f>SUM(X227,AB227,AF227,AJ227,AN227,AR227,AV227)</x:f>
        <x:v>219</x:v>
      </x:c>
      <x:c r="I227" s="119" t="n">
        <x:f>SUM(Z227,AD227,AH227,AL227,AP227,AT227,AX227)</x:f>
        <x:v>1906876</x:v>
      </x:c>
      <x:c r="J227" s="119" t="n">
        <x:f>ROUND(INDEX(X227:AY227,1,(D227-1)*4+2)*'难度参数'!$E$28*'章节与怪物'!$E$17,0)</x:f>
        <x:v>59432</x:v>
      </x:c>
      <x:c r="K227" s="119" t="n">
        <x:f>SUM(AA227,AE227,AI227,AM227,AQ227,AU227,AY227)</x:f>
        <x:v>5942</x:v>
      </x:c>
      <x:c r="L227" s="62" t="n">
        <x:f>H227*(ROUNDUP('难度参数'!$E$24/('难度参数'!$E$26*'难度参数'!$E$27),0)*'难度参数'!$E$26)/60</x:f>
        <x:v>2.9200000000000004</x:v>
      </x:c>
      <x:c r="M227" s="62" t="n">
        <x:f>L227+D227*('难度参数'!$E$49+'难度参数'!$E$50)/60</x:f>
        <x:v>4.086666666666667</x:v>
      </x:c>
      <x:c r="N227" s="119" t="n">
        <x:f>ROUNDDOWN(('经济参数'!$E$20+A227*'经济参数'!$E$21)*G227,0)</x:f>
        <x:v>4600</x:v>
      </x:c>
      <x:c r="O227" s="119" t="n">
        <x:f>ROUNDDOWN(MIN('经济参数'!$E$24,'经济参数'!$E$22+A227*'经济参数'!$E$23)*G227,0)</x:f>
        <x:v>0</x:v>
      </x:c>
      <x:c r="P227" s="119" t="n">
        <x:f>ROUNDDOWN((IF(A227&gt;='材料与任务'!$E$31,'材料与任务'!$E$32,IF(A227&gt;='材料与任务'!$E$25,'材料与任务'!$E$26,IF(A227&gt;='材料与任务'!$E$19,'材料与任务'!$E$20,IF(A227&gt;='材料与任务'!$E$13,'材料与任务'!$E$14,'材料与任务'!$E$8)))))*G227,0)</x:f>
        <x:v>6</x:v>
      </x:c>
      <x:c r="Q227" s="119" t="n">
        <x:f>ROUNDDOWN((IF(A227&gt;='材料与任务'!$E$31,'材料与任务'!$E$33,IF(A227&gt;='材料与任务'!$E$25,'材料与任务'!$E$27,IF(A227&gt;='材料与任务'!$E$19,'材料与任务'!$E$21,IF(A227&gt;='材料与任务'!$E$13,'材料与任务'!$E$15,'材料与任务'!$E$9)))))*G227,0)</x:f>
        <x:v>3</x:v>
      </x:c>
      <x:c r="R227" s="110" t="n">
        <x:f>'装备掉落'!$B$38</x:f>
        <x:v>0.6872058758851213</x:v>
      </x:c>
      <x:c r="S227" s="119" t="n">
        <x:f>MAX(IF(VLOOKUP(A227,'装备掉落'!$A$29:$H$34,2,TRUE)&gt;0,1,0),IF(VLOOKUP(A227,'装备掉落'!$A$29:$H$34,3,TRUE)&gt;0,2,0),IF(VLOOKUP(A227,'装备掉落'!$A$29:$H$34,4,TRUE)&gt;0,3,0),IF(VLOOKUP(A227,'装备掉落'!$A$29:$H$34,5,TRUE)&gt;0,4,0),IF(VLOOKUP(A227,'装备掉落'!$A$29:$H$34,6,TRUE)&gt;0,5,0),IF(VLOOKUP(A227,'装备掉落'!$A$29:$H$34,7,TRUE)&gt;0,6,0),IF(VLOOKUP(A227,'装备掉落'!$A$29:$H$34,8,TRUE)&gt;0,7,0))</x:f>
        <x:v>7</x:v>
      </x:c>
      <x:c r="T227" s="119" t="n">
        <x:f>MIN(7,S227+'经济参数'!$E$70)</x:f>
        <x:v>7</x:v>
      </x:c>
      <x:c r="U227" s="119" t="n">
        <x:f>MIN(7,S227+'经济参数'!$E$71)</x:f>
        <x:v>7</x:v>
      </x:c>
      <x:c r="V227" s="119" t="n">
        <x:f>IF(H227&gt;=('难度参数'!$E$52),1,0)+IF(H227&gt;=('难度参数'!$E$52+'难度参数'!$E$53),1,0)+IF(H227&gt;=('难度参数'!$E$52+'难度参数'!$E$53+'难度参数'!$E$54),1,0)+IF(H227&gt;=('难度参数'!$E$52+'难度参数'!$E$53+'难度参数'!$E$54+'难度参数'!$E$55),1,0)+IF(H227&gt;=('难度参数'!$E$52+'难度参数'!$E$53+'难度参数'!$E$54+'难度参数'!$E$55+'难度参数'!$E$56),1,0)+IF(H227&gt;=('难度参数'!$E$52+'难度参数'!$E$53+'难度参数'!$E$54+'难度参数'!$E$55+'难度参数'!$E$56+'难度参数'!$E$57),1,0)</x:f>
        <x:v>6</x:v>
      </x:c>
      <x:c r="W227" s="62" t="str">
        <x:f>IF(L227&gt;'难度参数'!$E$51,"仅出怪已超目标","还需实测")</x:f>
        <x:v>还需实测</x:v>
      </x:c>
      <x:c r="X227" s="119" t="n">
        <x:f>IF(1&gt;D227,0,MAX(2,MIN('难度参数'!$E$12,ROUND(('难度参数'!$E$18*POWER(A227,'难度参数'!$E$19)/D227*(0.85+0.3*(1-1)/MAX(1,D227-1))),0)+F227)))</x:f>
        <x:v>27</x:v>
      </x:c>
      <x:c r="Y227" s="119" t="n">
        <x:f>IF(1&gt;D227,0,ROUND(('难度参数'!$E$13*POWER(A227,'难度参数'!$E$20)*MIN('难度参数'!$E$23,1+MAX(0,A227-'难度参数'!$E$21)*'难度参数'!$E$22))*(36+1*7)/(36+7*(D227+1)/2)*E227,0))</x:f>
        <x:v>4422</x:v>
      </x:c>
      <x:c r="Z227" s="119" t="n">
        <x:f>IF(X227=0,0,(X227-IF(1=D227,1,0))*ROUND(Y227*VLOOKUP(INDEX('章节与怪物'!$E$31:$K$37,B227,1),'章节与怪物'!$A$41:$F$44,2,FALSE),0)+IF(1=D227,ROUND(Y227*'难度参数'!$E$28*'章节与怪物'!$E$17,0),0))</x:f>
        <x:v>119394</x:v>
      </x:c>
      <x:c r="AA227" s="119" t="n">
        <x:f>IF(X227=0,0,(X227-IF(1=D227,1,0))*VLOOKUP(INDEX('章节与怪物'!$E$31:$K$37,B227,1),'章节与怪物'!$A$41:$F$44,4,FALSE)+IF(1=D227,'难度参数'!$E$30,0))</x:f>
        <x:v>486</x:v>
      </x:c>
      <x:c r="AB227" s="119" t="n">
        <x:f>IF(2&gt;D227,0,MAX(2,MIN('难度参数'!$E$12,ROUND(('难度参数'!$E$18*POWER(A227,'难度参数'!$E$19)/D227*(0.85+0.3*(2-1)/MAX(1,D227-1))),0)+F227)))</x:f>
        <x:v>28</x:v>
      </x:c>
      <x:c r="AC227" s="119" t="n">
        <x:f>IF(2&gt;D227,0,ROUND(('难度参数'!$E$13*POWER(A227,'难度参数'!$E$20)*MIN('难度参数'!$E$23,1+MAX(0,A227-'难度参数'!$E$21)*'难度参数'!$E$22))*(36+2*7)/(36+7*(D227+1)/2)*E227,0))</x:f>
        <x:v>5141</x:v>
      </x:c>
      <x:c r="AD227" s="119" t="n">
        <x:f>IF(AB227=0,0,(AB227-IF(2=D227,1,0))*ROUND(AC227*VLOOKUP(INDEX('章节与怪物'!$E$31:$K$37,B227,2),'章节与怪物'!$A$41:$F$44,2,FALSE),0)+IF(2=D227,ROUND(AC227*'难度参数'!$E$28*'章节与怪物'!$E$17,0),0))</x:f>
        <x:v>103656</x:v>
      </x:c>
      <x:c r="AE227" s="119" t="n">
        <x:f>IF(AB227=0,0,(AB227-IF(2=D227,1,0))*VLOOKUP(INDEX('章节与怪物'!$E$31:$K$37,B227,2),'章节与怪物'!$A$41:$F$44,4,FALSE)+IF(2=D227,'难度参数'!$E$30,0))</x:f>
        <x:v>560</x:v>
      </x:c>
      <x:c r="AF227" s="119" t="n">
        <x:f>IF(3&gt;D227,0,MAX(2,MIN('难度参数'!$E$12,ROUND(('难度参数'!$E$18*POWER(A227,'难度参数'!$E$19)/D227*(0.85+0.3*(3-1)/MAX(1,D227-1))),0)+F227)))</x:f>
        <x:v>30</x:v>
      </x:c>
      <x:c r="AG227" s="119" t="n">
        <x:f>IF(3&gt;D227,0,ROUND(('难度参数'!$E$13*POWER(A227,'难度参数'!$E$20)*MIN('难度参数'!$E$23,1+MAX(0,A227-'难度参数'!$E$21)*'难度参数'!$E$22))*(36+3*7)/(36+7*(D227+1)/2)*E227,0))</x:f>
        <x:v>5861</x:v>
      </x:c>
      <x:c r="AH227" s="119" t="n">
        <x:f>IF(AF227=0,0,(AF227-IF(3=D227,1,0))*ROUND(AG227*VLOOKUP(INDEX('章节与怪物'!$E$31:$K$37,B227,3),'章节与怪物'!$A$41:$F$44,2,FALSE),0)+IF(3=D227,ROUND(AG227*'难度参数'!$E$28*'章节与怪物'!$E$17,0),0))</x:f>
        <x:v>298920</x:v>
      </x:c>
      <x:c r="AI227" s="119" t="n">
        <x:f>IF(AF227=0,0,(AF227-IF(3=D227,1,0))*VLOOKUP(INDEX('章节与怪物'!$E$31:$K$37,B227,3),'章节与怪物'!$A$41:$F$44,4,FALSE)+IF(3=D227,'难度参数'!$E$30,0))</x:f>
        <x:v>840</x:v>
      </x:c>
      <x:c r="AJ227" s="119" t="n">
        <x:f>IF(4&gt;D227,0,MAX(2,MIN('难度参数'!$E$12,ROUND(('难度参数'!$E$18*POWER(A227,'难度参数'!$E$19)/D227*(0.85+0.3*(4-1)/MAX(1,D227-1))),0)+F227)))</x:f>
        <x:v>31</x:v>
      </x:c>
      <x:c r="AK227" s="119" t="n">
        <x:f>IF(4&gt;D227,0,ROUND(('难度参数'!$E$13*POWER(A227,'难度参数'!$E$20)*MIN('难度参数'!$E$23,1+MAX(0,A227-'难度参数'!$E$21)*'难度参数'!$E$22))*(36+4*7)/(36+7*(D227+1)/2)*E227,0))</x:f>
        <x:v>6581</x:v>
      </x:c>
      <x:c r="AL227" s="119" t="n">
        <x:f>IF(AJ227=0,0,(AJ227-IF(4=D227,1,0))*ROUND(AK227*VLOOKUP(INDEX('章节与怪物'!$E$31:$K$37,B227,4),'章节与怪物'!$A$41:$F$44,2,FALSE),0)+IF(4=D227,ROUND(AK227*'难度参数'!$E$28*'章节与怪物'!$E$17,0),0))</x:f>
        <x:v>275404</x:v>
      </x:c>
      <x:c r="AM227" s="119" t="n">
        <x:f>IF(AJ227=0,0,(AJ227-IF(4=D227,1,0))*VLOOKUP(INDEX('章节与怪物'!$E$31:$K$37,B227,4),'章节与怪物'!$A$41:$F$44,4,FALSE)+IF(4=D227,'难度参数'!$E$30,0))</x:f>
        <x:v>1054</x:v>
      </x:c>
      <x:c r="AN227" s="119" t="n">
        <x:f>IF(5&gt;D227,0,MAX(2,MIN('难度参数'!$E$12,ROUND(('难度参数'!$E$18*POWER(A227,'难度参数'!$E$19)/D227*(0.85+0.3*(5-1)/MAX(1,D227-1))),0)+F227)))</x:f>
        <x:v>33</x:v>
      </x:c>
      <x:c r="AO227" s="119" t="n">
        <x:f>IF(5&gt;D227,0,ROUND(('难度参数'!$E$13*POWER(A227,'难度参数'!$E$20)*MIN('难度参数'!$E$23,1+MAX(0,A227-'难度参数'!$E$21)*'难度参数'!$E$22))*(36+5*7)/(36+7*(D227+1)/2)*E227,0))</x:f>
        <x:v>7301</x:v>
      </x:c>
      <x:c r="AP227" s="119" t="n">
        <x:f>IF(AN227=0,0,(AN227-IF(5=D227,1,0))*ROUND(AO227*VLOOKUP(INDEX('章节与怪物'!$E$31:$K$37,B227,5),'章节与怪物'!$A$41:$F$44,2,FALSE),0)+IF(5=D227,ROUND(AO227*'难度参数'!$E$28*'章节与怪物'!$E$17,0),0))</x:f>
        <x:v>173481</x:v>
      </x:c>
      <x:c r="AQ227" s="119" t="n">
        <x:f>IF(AN227=0,0,(AN227-IF(5=D227,1,0))*VLOOKUP(INDEX('章节与怪物'!$E$31:$K$37,B227,5),'章节与怪物'!$A$41:$F$44,4,FALSE)+IF(5=D227,'难度参数'!$E$30,0))</x:f>
        <x:v>660</x:v>
      </x:c>
      <x:c r="AR227" s="119" t="n">
        <x:f>IF(6&gt;D227,0,MAX(2,MIN('难度参数'!$E$12,ROUND(('难度参数'!$E$18*POWER(A227,'难度参数'!$E$19)/D227*(0.85+0.3*(6-1)/MAX(1,D227-1))),0)+F227)))</x:f>
        <x:v>34</x:v>
      </x:c>
      <x:c r="AS227" s="119" t="n">
        <x:f>IF(6&gt;D227,0,ROUND(('难度参数'!$E$13*POWER(A227,'难度参数'!$E$20)*MIN('难度参数'!$E$23,1+MAX(0,A227-'难度参数'!$E$21)*'难度参数'!$E$22))*(36+6*7)/(36+7*(D227+1)/2)*E227,0))</x:f>
        <x:v>8021</x:v>
      </x:c>
      <x:c r="AT227" s="119" t="n">
        <x:f>IF(AR227=0,0,(AR227-IF(6=D227,1,0))*ROUND(AS227*VLOOKUP(INDEX('章节与怪物'!$E$31:$K$37,B227,6),'章节与怪物'!$A$41:$F$44,2,FALSE),0)+IF(6=D227,ROUND(AS227*'难度参数'!$E$28*'章节与怪物'!$E$17,0),0))</x:f>
        <x:v>463624</x:v>
      </x:c>
      <x:c r="AU227" s="119" t="n">
        <x:f>IF(AR227=0,0,(AR227-IF(6=D227,1,0))*VLOOKUP(INDEX('章节与怪物'!$E$31:$K$37,B227,6),'章节与怪物'!$A$41:$F$44,4,FALSE)+IF(6=D227,'难度参数'!$E$30,0))</x:f>
        <x:v>952</x:v>
      </x:c>
      <x:c r="AV227" s="119" t="n">
        <x:f>IF(7&gt;D227,0,MAX(2,MIN('难度参数'!$E$12,ROUND(('难度参数'!$E$18*POWER(A227,'难度参数'!$E$19)/D227*(0.85+0.3*(7-1)/MAX(1,D227-1))),0)+F227)))</x:f>
        <x:v>36</x:v>
      </x:c>
      <x:c r="AW227" s="119" t="n">
        <x:f>IF(7&gt;D227,0,ROUND(('难度参数'!$E$13*POWER(A227,'难度参数'!$E$20)*MIN('难度参数'!$E$23,1+MAX(0,A227-'难度参数'!$E$21)*'难度参数'!$E$22))*(36+7*7)/(36+7*(D227+1)/2)*E227,0))</x:f>
        <x:v>8740</x:v>
      </x:c>
      <x:c r="AX227" s="119" t="n">
        <x:f>IF(AV227=0,0,(AV227-IF(7=D227,1,0))*ROUND(AW227*VLOOKUP(INDEX('章节与怪物'!$E$31:$K$37,B227,7),'章节与怪物'!$A$41:$F$44,2,FALSE),0)+IF(7=D227,ROUND(AW227*'难度参数'!$E$28*'章节与怪物'!$E$17,0),0))</x:f>
        <x:v>472397</x:v>
      </x:c>
      <x:c r="AY227" s="119" t="n">
        <x:f>IF(AV227=0,0,(AV227-IF(7=D227,1,0))*VLOOKUP(INDEX('章节与怪物'!$E$31:$K$37,B227,7),'章节与怪物'!$A$41:$F$44,4,FALSE)+IF(7=D227,'难度参数'!$E$30,0))</x:f>
        <x:v>1390</x:v>
      </x:c>
    </x:row>
    <x:row r="228" ht="23" customHeight="1">
      <x:c r="A228" s="119" t="n">
        <x:v>222</x:v>
      </x:c>
      <x:c r="B228" s="119" t="n">
        <x:f>MOD(INT((A228-1)/5),7)+1</x:f>
        <x:v>3</x:v>
      </x:c>
      <x:c r="C228" s="62" t="str">
        <x:f>INDEX('章节与怪物'!$B$31:$B$37,B228)</x:f>
        <x:v>腐沼秘林</x:v>
      </x:c>
      <x:c r="D228" s="119" t="n">
        <x:f>MIN('难度参数'!$E$8,MAX('难度参数'!$E$7,A228))</x:f>
        <x:v>7</x:v>
      </x:c>
      <x:c r="E228" s="106" t="n">
        <x:v>1</x:v>
      </x:c>
      <x:c r="F228" s="106" t="n">
        <x:v>0</x:v>
      </x:c>
      <x:c r="G228" s="106" t="n">
        <x:v>1</x:v>
      </x:c>
      <x:c r="H228" s="119" t="n">
        <x:f>SUM(X228,AB228,AF228,AJ228,AN228,AR228,AV228)</x:f>
        <x:v>219</x:v>
      </x:c>
      <x:c r="I228" s="119" t="n">
        <x:f>SUM(Z228,AD228,AH228,AL228,AP228,AT228,AX228)</x:f>
        <x:v>1913068</x:v>
      </x:c>
      <x:c r="J228" s="119" t="n">
        <x:f>ROUND(INDEX(X228:AY228,1,(D228-1)*4+2)*'难度参数'!$E$28*'章节与怪物'!$E$17,0)</x:f>
        <x:v>59629</x:v>
      </x:c>
      <x:c r="K228" s="119" t="n">
        <x:f>SUM(AA228,AE228,AI228,AM228,AQ228,AU228,AY228)</x:f>
        <x:v>5942</x:v>
      </x:c>
      <x:c r="L228" s="62" t="n">
        <x:f>H228*(ROUNDUP('难度参数'!$E$24/('难度参数'!$E$26*'难度参数'!$E$27),0)*'难度参数'!$E$26)/60</x:f>
        <x:v>2.9200000000000004</x:v>
      </x:c>
      <x:c r="M228" s="62" t="n">
        <x:f>L228+D228*('难度参数'!$E$49+'难度参数'!$E$50)/60</x:f>
        <x:v>4.086666666666667</x:v>
      </x:c>
      <x:c r="N228" s="119" t="n">
        <x:f>ROUNDDOWN(('经济参数'!$E$20+A228*'经济参数'!$E$21)*G228,0)</x:f>
        <x:v>4620</x:v>
      </x:c>
      <x:c r="O228" s="119" t="n">
        <x:f>ROUNDDOWN(MIN('经济参数'!$E$24,'经济参数'!$E$22+A228*'经济参数'!$E$23)*G228,0)</x:f>
        <x:v>0</x:v>
      </x:c>
      <x:c r="P228" s="119" t="n">
        <x:f>ROUNDDOWN((IF(A228&gt;='材料与任务'!$E$31,'材料与任务'!$E$32,IF(A228&gt;='材料与任务'!$E$25,'材料与任务'!$E$26,IF(A228&gt;='材料与任务'!$E$19,'材料与任务'!$E$20,IF(A228&gt;='材料与任务'!$E$13,'材料与任务'!$E$14,'材料与任务'!$E$8)))))*G228,0)</x:f>
        <x:v>6</x:v>
      </x:c>
      <x:c r="Q228" s="119" t="n">
        <x:f>ROUNDDOWN((IF(A228&gt;='材料与任务'!$E$31,'材料与任务'!$E$33,IF(A228&gt;='材料与任务'!$E$25,'材料与任务'!$E$27,IF(A228&gt;='材料与任务'!$E$19,'材料与任务'!$E$21,IF(A228&gt;='材料与任务'!$E$13,'材料与任务'!$E$15,'材料与任务'!$E$9)))))*G228,0)</x:f>
        <x:v>3</x:v>
      </x:c>
      <x:c r="R228" s="110" t="n">
        <x:f>'装备掉落'!$B$38</x:f>
        <x:v>0.6872058758851213</x:v>
      </x:c>
      <x:c r="S228" s="119" t="n">
        <x:f>MAX(IF(VLOOKUP(A228,'装备掉落'!$A$29:$H$34,2,TRUE)&gt;0,1,0),IF(VLOOKUP(A228,'装备掉落'!$A$29:$H$34,3,TRUE)&gt;0,2,0),IF(VLOOKUP(A228,'装备掉落'!$A$29:$H$34,4,TRUE)&gt;0,3,0),IF(VLOOKUP(A228,'装备掉落'!$A$29:$H$34,5,TRUE)&gt;0,4,0),IF(VLOOKUP(A228,'装备掉落'!$A$29:$H$34,6,TRUE)&gt;0,5,0),IF(VLOOKUP(A228,'装备掉落'!$A$29:$H$34,7,TRUE)&gt;0,6,0),IF(VLOOKUP(A228,'装备掉落'!$A$29:$H$34,8,TRUE)&gt;0,7,0))</x:f>
        <x:v>7</x:v>
      </x:c>
      <x:c r="T228" s="119" t="n">
        <x:f>MIN(7,S228+'经济参数'!$E$70)</x:f>
        <x:v>7</x:v>
      </x:c>
      <x:c r="U228" s="119" t="n">
        <x:f>MIN(7,S228+'经济参数'!$E$71)</x:f>
        <x:v>7</x:v>
      </x:c>
      <x:c r="V228" s="119" t="n">
        <x:f>IF(H228&gt;=('难度参数'!$E$52),1,0)+IF(H228&gt;=('难度参数'!$E$52+'难度参数'!$E$53),1,0)+IF(H228&gt;=('难度参数'!$E$52+'难度参数'!$E$53+'难度参数'!$E$54),1,0)+IF(H228&gt;=('难度参数'!$E$52+'难度参数'!$E$53+'难度参数'!$E$54+'难度参数'!$E$55),1,0)+IF(H228&gt;=('难度参数'!$E$52+'难度参数'!$E$53+'难度参数'!$E$54+'难度参数'!$E$55+'难度参数'!$E$56),1,0)+IF(H228&gt;=('难度参数'!$E$52+'难度参数'!$E$53+'难度参数'!$E$54+'难度参数'!$E$55+'难度参数'!$E$56+'难度参数'!$E$57),1,0)</x:f>
        <x:v>6</x:v>
      </x:c>
      <x:c r="W228" s="62" t="str">
        <x:f>IF(L228&gt;'难度参数'!$E$51,"仅出怪已超目标","还需实测")</x:f>
        <x:v>还需实测</x:v>
      </x:c>
      <x:c r="X228" s="119" t="n">
        <x:f>IF(1&gt;D228,0,MAX(2,MIN('难度参数'!$E$12,ROUND(('难度参数'!$E$18*POWER(A228,'难度参数'!$E$19)/D228*(0.85+0.3*(1-1)/MAX(1,D228-1))),0)+F228)))</x:f>
        <x:v>27</x:v>
      </x:c>
      <x:c r="Y228" s="119" t="n">
        <x:f>IF(1&gt;D228,0,ROUND(('难度参数'!$E$13*POWER(A228,'难度参数'!$E$20)*MIN('难度参数'!$E$23,1+MAX(0,A228-'难度参数'!$E$21)*'难度参数'!$E$22))*(36+1*7)/(36+7*(D228+1)/2)*E228,0))</x:f>
        <x:v>4436</x:v>
      </x:c>
      <x:c r="Z228" s="119" t="n">
        <x:f>IF(X228=0,0,(X228-IF(1=D228,1,0))*ROUND(Y228*VLOOKUP(INDEX('章节与怪物'!$E$31:$K$37,B228,1),'章节与怪物'!$A$41:$F$44,2,FALSE),0)+IF(1=D228,ROUND(Y228*'难度参数'!$E$28*'章节与怪物'!$E$17,0),0))</x:f>
        <x:v>119772</x:v>
      </x:c>
      <x:c r="AA228" s="119" t="n">
        <x:f>IF(X228=0,0,(X228-IF(1=D228,1,0))*VLOOKUP(INDEX('章节与怪物'!$E$31:$K$37,B228,1),'章节与怪物'!$A$41:$F$44,4,FALSE)+IF(1=D228,'难度参数'!$E$30,0))</x:f>
        <x:v>486</x:v>
      </x:c>
      <x:c r="AB228" s="119" t="n">
        <x:f>IF(2&gt;D228,0,MAX(2,MIN('难度参数'!$E$12,ROUND(('难度参数'!$E$18*POWER(A228,'难度参数'!$E$19)/D228*(0.85+0.3*(2-1)/MAX(1,D228-1))),0)+F228)))</x:f>
        <x:v>28</x:v>
      </x:c>
      <x:c r="AC228" s="119" t="n">
        <x:f>IF(2&gt;D228,0,ROUND(('难度参数'!$E$13*POWER(A228,'难度参数'!$E$20)*MIN('难度参数'!$E$23,1+MAX(0,A228-'难度参数'!$E$21)*'难度参数'!$E$22))*(36+2*7)/(36+7*(D228+1)/2)*E228,0))</x:f>
        <x:v>5158</x:v>
      </x:c>
      <x:c r="AD228" s="119" t="n">
        <x:f>IF(AB228=0,0,(AB228-IF(2=D228,1,0))*ROUND(AC228*VLOOKUP(INDEX('章节与怪物'!$E$31:$K$37,B228,2),'章节与怪物'!$A$41:$F$44,2,FALSE),0)+IF(2=D228,ROUND(AC228*'难度参数'!$E$28*'章节与怪物'!$E$17,0),0))</x:f>
        <x:v>103992</x:v>
      </x:c>
      <x:c r="AE228" s="119" t="n">
        <x:f>IF(AB228=0,0,(AB228-IF(2=D228,1,0))*VLOOKUP(INDEX('章节与怪物'!$E$31:$K$37,B228,2),'章节与怪物'!$A$41:$F$44,4,FALSE)+IF(2=D228,'难度参数'!$E$30,0))</x:f>
        <x:v>560</x:v>
      </x:c>
      <x:c r="AF228" s="119" t="n">
        <x:f>IF(3&gt;D228,0,MAX(2,MIN('难度参数'!$E$12,ROUND(('难度参数'!$E$18*POWER(A228,'难度参数'!$E$19)/D228*(0.85+0.3*(3-1)/MAX(1,D228-1))),0)+F228)))</x:f>
        <x:v>30</x:v>
      </x:c>
      <x:c r="AG228" s="119" t="n">
        <x:f>IF(3&gt;D228,0,ROUND(('难度参数'!$E$13*POWER(A228,'难度参数'!$E$20)*MIN('难度参数'!$E$23,1+MAX(0,A228-'难度参数'!$E$21)*'难度参数'!$E$22))*(36+3*7)/(36+7*(D228+1)/2)*E228,0))</x:f>
        <x:v>5880</x:v>
      </x:c>
      <x:c r="AH228" s="119" t="n">
        <x:f>IF(AF228=0,0,(AF228-IF(3=D228,1,0))*ROUND(AG228*VLOOKUP(INDEX('章节与怪物'!$E$31:$K$37,B228,3),'章节与怪物'!$A$41:$F$44,2,FALSE),0)+IF(3=D228,ROUND(AG228*'难度参数'!$E$28*'章节与怪物'!$E$17,0),0))</x:f>
        <x:v>299880</x:v>
      </x:c>
      <x:c r="AI228" s="119" t="n">
        <x:f>IF(AF228=0,0,(AF228-IF(3=D228,1,0))*VLOOKUP(INDEX('章节与怪物'!$E$31:$K$37,B228,3),'章节与怪物'!$A$41:$F$44,4,FALSE)+IF(3=D228,'难度参数'!$E$30,0))</x:f>
        <x:v>840</x:v>
      </x:c>
      <x:c r="AJ228" s="119" t="n">
        <x:f>IF(4&gt;D228,0,MAX(2,MIN('难度参数'!$E$12,ROUND(('难度参数'!$E$18*POWER(A228,'难度参数'!$E$19)/D228*(0.85+0.3*(4-1)/MAX(1,D228-1))),0)+F228)))</x:f>
        <x:v>31</x:v>
      </x:c>
      <x:c r="AK228" s="119" t="n">
        <x:f>IF(4&gt;D228,0,ROUND(('难度参数'!$E$13*POWER(A228,'难度参数'!$E$20)*MIN('难度参数'!$E$23,1+MAX(0,A228-'难度参数'!$E$21)*'难度参数'!$E$22))*(36+4*7)/(36+7*(D228+1)/2)*E228,0))</x:f>
        <x:v>6602</x:v>
      </x:c>
      <x:c r="AL228" s="119" t="n">
        <x:f>IF(AJ228=0,0,(AJ228-IF(4=D228,1,0))*ROUND(AK228*VLOOKUP(INDEX('章节与怪物'!$E$31:$K$37,B228,4),'章节与怪物'!$A$41:$F$44,2,FALSE),0)+IF(4=D228,ROUND(AK228*'难度参数'!$E$28*'章节与怪物'!$E$17,0),0))</x:f>
        <x:v>276303</x:v>
      </x:c>
      <x:c r="AM228" s="119" t="n">
        <x:f>IF(AJ228=0,0,(AJ228-IF(4=D228,1,0))*VLOOKUP(INDEX('章节与怪物'!$E$31:$K$37,B228,4),'章节与怪物'!$A$41:$F$44,4,FALSE)+IF(4=D228,'难度参数'!$E$30,0))</x:f>
        <x:v>1054</x:v>
      </x:c>
      <x:c r="AN228" s="119" t="n">
        <x:f>IF(5&gt;D228,0,MAX(2,MIN('难度参数'!$E$12,ROUND(('难度参数'!$E$18*POWER(A228,'难度参数'!$E$19)/D228*(0.85+0.3*(5-1)/MAX(1,D228-1))),0)+F228)))</x:f>
        <x:v>33</x:v>
      </x:c>
      <x:c r="AO228" s="119" t="n">
        <x:f>IF(5&gt;D228,0,ROUND(('难度参数'!$E$13*POWER(A228,'难度参数'!$E$20)*MIN('难度参数'!$E$23,1+MAX(0,A228-'难度参数'!$E$21)*'难度参数'!$E$22))*(36+5*7)/(36+7*(D228+1)/2)*E228,0))</x:f>
        <x:v>7325</x:v>
      </x:c>
      <x:c r="AP228" s="119" t="n">
        <x:f>IF(AN228=0,0,(AN228-IF(5=D228,1,0))*ROUND(AO228*VLOOKUP(INDEX('章节与怪物'!$E$31:$K$37,B228,5),'章节与怪物'!$A$41:$F$44,2,FALSE),0)+IF(5=D228,ROUND(AO228*'难度参数'!$E$28*'章节与怪物'!$E$17,0),0))</x:f>
        <x:v>174042</x:v>
      </x:c>
      <x:c r="AQ228" s="119" t="n">
        <x:f>IF(AN228=0,0,(AN228-IF(5=D228,1,0))*VLOOKUP(INDEX('章节与怪物'!$E$31:$K$37,B228,5),'章节与怪物'!$A$41:$F$44,4,FALSE)+IF(5=D228,'难度参数'!$E$30,0))</x:f>
        <x:v>660</x:v>
      </x:c>
      <x:c r="AR228" s="119" t="n">
        <x:f>IF(6&gt;D228,0,MAX(2,MIN('难度参数'!$E$12,ROUND(('难度参数'!$E$18*POWER(A228,'难度参数'!$E$19)/D228*(0.85+0.3*(6-1)/MAX(1,D228-1))),0)+F228)))</x:f>
        <x:v>34</x:v>
      </x:c>
      <x:c r="AS228" s="119" t="n">
        <x:f>IF(6&gt;D228,0,ROUND(('难度参数'!$E$13*POWER(A228,'难度参数'!$E$20)*MIN('难度参数'!$E$23,1+MAX(0,A228-'难度参数'!$E$21)*'难度参数'!$E$22))*(36+6*7)/(36+7*(D228+1)/2)*E228,0))</x:f>
        <x:v>8047</x:v>
      </x:c>
      <x:c r="AT228" s="119" t="n">
        <x:f>IF(AR228=0,0,(AR228-IF(6=D228,1,0))*ROUND(AS228*VLOOKUP(INDEX('章节与怪物'!$E$31:$K$37,B228,6),'章节与怪物'!$A$41:$F$44,2,FALSE),0)+IF(6=D228,ROUND(AS228*'难度参数'!$E$28*'章节与怪物'!$E$17,0),0))</x:f>
        <x:v>465120</x:v>
      </x:c>
      <x:c r="AU228" s="119" t="n">
        <x:f>IF(AR228=0,0,(AR228-IF(6=D228,1,0))*VLOOKUP(INDEX('章节与怪物'!$E$31:$K$37,B228,6),'章节与怪物'!$A$41:$F$44,4,FALSE)+IF(6=D228,'难度参数'!$E$30,0))</x:f>
        <x:v>952</x:v>
      </x:c>
      <x:c r="AV228" s="119" t="n">
        <x:f>IF(7&gt;D228,0,MAX(2,MIN('难度参数'!$E$12,ROUND(('难度参数'!$E$18*POWER(A228,'难度参数'!$E$19)/D228*(0.85+0.3*(7-1)/MAX(1,D228-1))),0)+F228)))</x:f>
        <x:v>36</x:v>
      </x:c>
      <x:c r="AW228" s="119" t="n">
        <x:f>IF(7&gt;D228,0,ROUND(('难度参数'!$E$13*POWER(A228,'难度参数'!$E$20)*MIN('难度参数'!$E$23,1+MAX(0,A228-'难度参数'!$E$21)*'难度参数'!$E$22))*(36+7*7)/(36+7*(D228+1)/2)*E228,0))</x:f>
        <x:v>8769</x:v>
      </x:c>
      <x:c r="AX228" s="119" t="n">
        <x:f>IF(AV228=0,0,(AV228-IF(7=D228,1,0))*ROUND(AW228*VLOOKUP(INDEX('章节与怪物'!$E$31:$K$37,B228,7),'章节与怪物'!$A$41:$F$44,2,FALSE),0)+IF(7=D228,ROUND(AW228*'难度参数'!$E$28*'章节与怪物'!$E$17,0),0))</x:f>
        <x:v>473959</x:v>
      </x:c>
      <x:c r="AY228" s="119" t="n">
        <x:f>IF(AV228=0,0,(AV228-IF(7=D228,1,0))*VLOOKUP(INDEX('章节与怪物'!$E$31:$K$37,B228,7),'章节与怪物'!$A$41:$F$44,4,FALSE)+IF(7=D228,'难度参数'!$E$30,0))</x:f>
        <x:v>1390</x:v>
      </x:c>
    </x:row>
    <x:row r="229" ht="23" customHeight="1">
      <x:c r="A229" s="119" t="n">
        <x:v>223</x:v>
      </x:c>
      <x:c r="B229" s="119" t="n">
        <x:f>MOD(INT((A229-1)/5),7)+1</x:f>
        <x:v>3</x:v>
      </x:c>
      <x:c r="C229" s="62" t="str">
        <x:f>INDEX('章节与怪物'!$B$31:$B$37,B229)</x:f>
        <x:v>腐沼秘林</x:v>
      </x:c>
      <x:c r="D229" s="119" t="n">
        <x:f>MIN('难度参数'!$E$8,MAX('难度参数'!$E$7,A229))</x:f>
        <x:v>7</x:v>
      </x:c>
      <x:c r="E229" s="106" t="n">
        <x:v>1</x:v>
      </x:c>
      <x:c r="F229" s="106" t="n">
        <x:v>0</x:v>
      </x:c>
      <x:c r="G229" s="106" t="n">
        <x:v>1</x:v>
      </x:c>
      <x:c r="H229" s="119" t="n">
        <x:f>SUM(X229,AB229,AF229,AJ229,AN229,AR229,AV229)</x:f>
        <x:v>219</x:v>
      </x:c>
      <x:c r="I229" s="119" t="n">
        <x:f>SUM(Z229,AD229,AH229,AL229,AP229,AT229,AX229)</x:f>
        <x:v>1919219</x:v>
      </x:c>
      <x:c r="J229" s="119" t="n">
        <x:f>ROUND(INDEX(X229:AY229,1,(D229-1)*4+2)*'难度参数'!$E$28*'章节与怪物'!$E$17,0)</x:f>
        <x:v>59820</x:v>
      </x:c>
      <x:c r="K229" s="119" t="n">
        <x:f>SUM(AA229,AE229,AI229,AM229,AQ229,AU229,AY229)</x:f>
        <x:v>5942</x:v>
      </x:c>
      <x:c r="L229" s="62" t="n">
        <x:f>H229*(ROUNDUP('难度参数'!$E$24/('难度参数'!$E$26*'难度参数'!$E$27),0)*'难度参数'!$E$26)/60</x:f>
        <x:v>2.9200000000000004</x:v>
      </x:c>
      <x:c r="M229" s="62" t="n">
        <x:f>L229+D229*('难度参数'!$E$49+'难度参数'!$E$50)/60</x:f>
        <x:v>4.086666666666667</x:v>
      </x:c>
      <x:c r="N229" s="119" t="n">
        <x:f>ROUNDDOWN(('经济参数'!$E$20+A229*'经济参数'!$E$21)*G229,0)</x:f>
        <x:v>4640</x:v>
      </x:c>
      <x:c r="O229" s="119" t="n">
        <x:f>ROUNDDOWN(MIN('经济参数'!$E$24,'经济参数'!$E$22+A229*'经济参数'!$E$23)*G229,0)</x:f>
        <x:v>0</x:v>
      </x:c>
      <x:c r="P229" s="119" t="n">
        <x:f>ROUNDDOWN((IF(A229&gt;='材料与任务'!$E$31,'材料与任务'!$E$32,IF(A229&gt;='材料与任务'!$E$25,'材料与任务'!$E$26,IF(A229&gt;='材料与任务'!$E$19,'材料与任务'!$E$20,IF(A229&gt;='材料与任务'!$E$13,'材料与任务'!$E$14,'材料与任务'!$E$8)))))*G229,0)</x:f>
        <x:v>6</x:v>
      </x:c>
      <x:c r="Q229" s="119" t="n">
        <x:f>ROUNDDOWN((IF(A229&gt;='材料与任务'!$E$31,'材料与任务'!$E$33,IF(A229&gt;='材料与任务'!$E$25,'材料与任务'!$E$27,IF(A229&gt;='材料与任务'!$E$19,'材料与任务'!$E$21,IF(A229&gt;='材料与任务'!$E$13,'材料与任务'!$E$15,'材料与任务'!$E$9)))))*G229,0)</x:f>
        <x:v>3</x:v>
      </x:c>
      <x:c r="R229" s="110" t="n">
        <x:f>'装备掉落'!$B$38</x:f>
        <x:v>0.6872058758851213</x:v>
      </x:c>
      <x:c r="S229" s="119" t="n">
        <x:f>MAX(IF(VLOOKUP(A229,'装备掉落'!$A$29:$H$34,2,TRUE)&gt;0,1,0),IF(VLOOKUP(A229,'装备掉落'!$A$29:$H$34,3,TRUE)&gt;0,2,0),IF(VLOOKUP(A229,'装备掉落'!$A$29:$H$34,4,TRUE)&gt;0,3,0),IF(VLOOKUP(A229,'装备掉落'!$A$29:$H$34,5,TRUE)&gt;0,4,0),IF(VLOOKUP(A229,'装备掉落'!$A$29:$H$34,6,TRUE)&gt;0,5,0),IF(VLOOKUP(A229,'装备掉落'!$A$29:$H$34,7,TRUE)&gt;0,6,0),IF(VLOOKUP(A229,'装备掉落'!$A$29:$H$34,8,TRUE)&gt;0,7,0))</x:f>
        <x:v>7</x:v>
      </x:c>
      <x:c r="T229" s="119" t="n">
        <x:f>MIN(7,S229+'经济参数'!$E$70)</x:f>
        <x:v>7</x:v>
      </x:c>
      <x:c r="U229" s="119" t="n">
        <x:f>MIN(7,S229+'经济参数'!$E$71)</x:f>
        <x:v>7</x:v>
      </x:c>
      <x:c r="V229" s="119" t="n">
        <x:f>IF(H229&gt;=('难度参数'!$E$52),1,0)+IF(H229&gt;=('难度参数'!$E$52+'难度参数'!$E$53),1,0)+IF(H229&gt;=('难度参数'!$E$52+'难度参数'!$E$53+'难度参数'!$E$54),1,0)+IF(H229&gt;=('难度参数'!$E$52+'难度参数'!$E$53+'难度参数'!$E$54+'难度参数'!$E$55),1,0)+IF(H229&gt;=('难度参数'!$E$52+'难度参数'!$E$53+'难度参数'!$E$54+'难度参数'!$E$55+'难度参数'!$E$56),1,0)+IF(H229&gt;=('难度参数'!$E$52+'难度参数'!$E$53+'难度参数'!$E$54+'难度参数'!$E$55+'难度参数'!$E$56+'难度参数'!$E$57),1,0)</x:f>
        <x:v>6</x:v>
      </x:c>
      <x:c r="W229" s="62" t="str">
        <x:f>IF(L229&gt;'难度参数'!$E$51,"仅出怪已超目标","还需实测")</x:f>
        <x:v>还需实测</x:v>
      </x:c>
      <x:c r="X229" s="119" t="n">
        <x:f>IF(1&gt;D229,0,MAX(2,MIN('难度参数'!$E$12,ROUND(('难度参数'!$E$18*POWER(A229,'难度参数'!$E$19)/D229*(0.85+0.3*(1-1)/MAX(1,D229-1))),0)+F229)))</x:f>
        <x:v>27</x:v>
      </x:c>
      <x:c r="Y229" s="119" t="n">
        <x:f>IF(1&gt;D229,0,ROUND(('难度参数'!$E$13*POWER(A229,'难度参数'!$E$20)*MIN('难度参数'!$E$23,1+MAX(0,A229-'难度参数'!$E$21)*'难度参数'!$E$22))*(36+1*7)/(36+7*(D229+1)/2)*E229,0))</x:f>
        <x:v>4450</x:v>
      </x:c>
      <x:c r="Z229" s="119" t="n">
        <x:f>IF(X229=0,0,(X229-IF(1=D229,1,0))*ROUND(Y229*VLOOKUP(INDEX('章节与怪物'!$E$31:$K$37,B229,1),'章节与怪物'!$A$41:$F$44,2,FALSE),0)+IF(1=D229,ROUND(Y229*'难度参数'!$E$28*'章节与怪物'!$E$17,0),0))</x:f>
        <x:v>120150</x:v>
      </x:c>
      <x:c r="AA229" s="119" t="n">
        <x:f>IF(X229=0,0,(X229-IF(1=D229,1,0))*VLOOKUP(INDEX('章节与怪物'!$E$31:$K$37,B229,1),'章节与怪物'!$A$41:$F$44,4,FALSE)+IF(1=D229,'难度参数'!$E$30,0))</x:f>
        <x:v>486</x:v>
      </x:c>
      <x:c r="AB229" s="119" t="n">
        <x:f>IF(2&gt;D229,0,MAX(2,MIN('难度参数'!$E$12,ROUND(('难度参数'!$E$18*POWER(A229,'难度参数'!$E$19)/D229*(0.85+0.3*(2-1)/MAX(1,D229-1))),0)+F229)))</x:f>
        <x:v>28</x:v>
      </x:c>
      <x:c r="AC229" s="119" t="n">
        <x:f>IF(2&gt;D229,0,ROUND(('难度参数'!$E$13*POWER(A229,'难度参数'!$E$20)*MIN('难度参数'!$E$23,1+MAX(0,A229-'难度参数'!$E$21)*'难度参数'!$E$22))*(36+2*7)/(36+7*(D229+1)/2)*E229,0))</x:f>
        <x:v>5175</x:v>
      </x:c>
      <x:c r="AD229" s="119" t="n">
        <x:f>IF(AB229=0,0,(AB229-IF(2=D229,1,0))*ROUND(AC229*VLOOKUP(INDEX('章节与怪物'!$E$31:$K$37,B229,2),'章节与怪物'!$A$41:$F$44,2,FALSE),0)+IF(2=D229,ROUND(AC229*'难度参数'!$E$28*'章节与怪物'!$E$17,0),0))</x:f>
        <x:v>104328</x:v>
      </x:c>
      <x:c r="AE229" s="119" t="n">
        <x:f>IF(AB229=0,0,(AB229-IF(2=D229,1,0))*VLOOKUP(INDEX('章节与怪物'!$E$31:$K$37,B229,2),'章节与怪物'!$A$41:$F$44,4,FALSE)+IF(2=D229,'难度参数'!$E$30,0))</x:f>
        <x:v>560</x:v>
      </x:c>
      <x:c r="AF229" s="119" t="n">
        <x:f>IF(3&gt;D229,0,MAX(2,MIN('难度参数'!$E$12,ROUND(('难度参数'!$E$18*POWER(A229,'难度参数'!$E$19)/D229*(0.85+0.3*(3-1)/MAX(1,D229-1))),0)+F229)))</x:f>
        <x:v>30</x:v>
      </x:c>
      <x:c r="AG229" s="119" t="n">
        <x:f>IF(3&gt;D229,0,ROUND(('难度参数'!$E$13*POWER(A229,'难度参数'!$E$20)*MIN('难度参数'!$E$23,1+MAX(0,A229-'难度参数'!$E$21)*'难度参数'!$E$22))*(36+3*7)/(36+7*(D229+1)/2)*E229,0))</x:f>
        <x:v>5899</x:v>
      </x:c>
      <x:c r="AH229" s="119" t="n">
        <x:f>IF(AF229=0,0,(AF229-IF(3=D229,1,0))*ROUND(AG229*VLOOKUP(INDEX('章节与怪物'!$E$31:$K$37,B229,3),'章节与怪物'!$A$41:$F$44,2,FALSE),0)+IF(3=D229,ROUND(AG229*'难度参数'!$E$28*'章节与怪物'!$E$17,0),0))</x:f>
        <x:v>300840</x:v>
      </x:c>
      <x:c r="AI229" s="119" t="n">
        <x:f>IF(AF229=0,0,(AF229-IF(3=D229,1,0))*VLOOKUP(INDEX('章节与怪物'!$E$31:$K$37,B229,3),'章节与怪物'!$A$41:$F$44,4,FALSE)+IF(3=D229,'难度参数'!$E$30,0))</x:f>
        <x:v>840</x:v>
      </x:c>
      <x:c r="AJ229" s="119" t="n">
        <x:f>IF(4&gt;D229,0,MAX(2,MIN('难度参数'!$E$12,ROUND(('难度参数'!$E$18*POWER(A229,'难度参数'!$E$19)/D229*(0.85+0.3*(4-1)/MAX(1,D229-1))),0)+F229)))</x:f>
        <x:v>31</x:v>
      </x:c>
      <x:c r="AK229" s="119" t="n">
        <x:f>IF(4&gt;D229,0,ROUND(('难度参数'!$E$13*POWER(A229,'难度参数'!$E$20)*MIN('难度参数'!$E$23,1+MAX(0,A229-'难度参数'!$E$21)*'难度参数'!$E$22))*(36+4*7)/(36+7*(D229+1)/2)*E229,0))</x:f>
        <x:v>6624</x:v>
      </x:c>
      <x:c r="AL229" s="119" t="n">
        <x:f>IF(AJ229=0,0,(AJ229-IF(4=D229,1,0))*ROUND(AK229*VLOOKUP(INDEX('章节与怪物'!$E$31:$K$37,B229,4),'章节与怪物'!$A$41:$F$44,2,FALSE),0)+IF(4=D229,ROUND(AK229*'难度参数'!$E$28*'章节与怪物'!$E$17,0),0))</x:f>
        <x:v>277202</x:v>
      </x:c>
      <x:c r="AM229" s="119" t="n">
        <x:f>IF(AJ229=0,0,(AJ229-IF(4=D229,1,0))*VLOOKUP(INDEX('章节与怪物'!$E$31:$K$37,B229,4),'章节与怪物'!$A$41:$F$44,4,FALSE)+IF(4=D229,'难度参数'!$E$30,0))</x:f>
        <x:v>1054</x:v>
      </x:c>
      <x:c r="AN229" s="119" t="n">
        <x:f>IF(5&gt;D229,0,MAX(2,MIN('难度参数'!$E$12,ROUND(('难度参数'!$E$18*POWER(A229,'难度参数'!$E$19)/D229*(0.85+0.3*(5-1)/MAX(1,D229-1))),0)+F229)))</x:f>
        <x:v>33</x:v>
      </x:c>
      <x:c r="AO229" s="119" t="n">
        <x:f>IF(5&gt;D229,0,ROUND(('难度参数'!$E$13*POWER(A229,'难度参数'!$E$20)*MIN('难度参数'!$E$23,1+MAX(0,A229-'难度参数'!$E$21)*'难度参数'!$E$22))*(36+5*7)/(36+7*(D229+1)/2)*E229,0))</x:f>
        <x:v>7348</x:v>
      </x:c>
      <x:c r="AP229" s="119" t="n">
        <x:f>IF(AN229=0,0,(AN229-IF(5=D229,1,0))*ROUND(AO229*VLOOKUP(INDEX('章节与怪物'!$E$31:$K$37,B229,5),'章节与怪物'!$A$41:$F$44,2,FALSE),0)+IF(5=D229,ROUND(AO229*'难度参数'!$E$28*'章节与怪物'!$E$17,0),0))</x:f>
        <x:v>174603</x:v>
      </x:c>
      <x:c r="AQ229" s="119" t="n">
        <x:f>IF(AN229=0,0,(AN229-IF(5=D229,1,0))*VLOOKUP(INDEX('章节与怪物'!$E$31:$K$37,B229,5),'章节与怪物'!$A$41:$F$44,4,FALSE)+IF(5=D229,'难度参数'!$E$30,0))</x:f>
        <x:v>660</x:v>
      </x:c>
      <x:c r="AR229" s="119" t="n">
        <x:f>IF(6&gt;D229,0,MAX(2,MIN('难度参数'!$E$12,ROUND(('难度参数'!$E$18*POWER(A229,'难度参数'!$E$19)/D229*(0.85+0.3*(6-1)/MAX(1,D229-1))),0)+F229)))</x:f>
        <x:v>34</x:v>
      </x:c>
      <x:c r="AS229" s="119" t="n">
        <x:f>IF(6&gt;D229,0,ROUND(('难度参数'!$E$13*POWER(A229,'难度参数'!$E$20)*MIN('难度参数'!$E$23,1+MAX(0,A229-'难度参数'!$E$21)*'难度参数'!$E$22))*(36+6*7)/(36+7*(D229+1)/2)*E229,0))</x:f>
        <x:v>8073</x:v>
      </x:c>
      <x:c r="AT229" s="119" t="n">
        <x:f>IF(AR229=0,0,(AR229-IF(6=D229,1,0))*ROUND(AS229*VLOOKUP(INDEX('章节与怪物'!$E$31:$K$37,B229,6),'章节与怪物'!$A$41:$F$44,2,FALSE),0)+IF(6=D229,ROUND(AS229*'难度参数'!$E$28*'章节与怪物'!$E$17,0),0))</x:f>
        <x:v>466616</x:v>
      </x:c>
      <x:c r="AU229" s="119" t="n">
        <x:f>IF(AR229=0,0,(AR229-IF(6=D229,1,0))*VLOOKUP(INDEX('章节与怪物'!$E$31:$K$37,B229,6),'章节与怪物'!$A$41:$F$44,4,FALSE)+IF(6=D229,'难度参数'!$E$30,0))</x:f>
        <x:v>952</x:v>
      </x:c>
      <x:c r="AV229" s="119" t="n">
        <x:f>IF(7&gt;D229,0,MAX(2,MIN('难度参数'!$E$12,ROUND(('难度参数'!$E$18*POWER(A229,'难度参数'!$E$19)/D229*(0.85+0.3*(7-1)/MAX(1,D229-1))),0)+F229)))</x:f>
        <x:v>36</x:v>
      </x:c>
      <x:c r="AW229" s="119" t="n">
        <x:f>IF(7&gt;D229,0,ROUND(('难度参数'!$E$13*POWER(A229,'难度参数'!$E$20)*MIN('难度参数'!$E$23,1+MAX(0,A229-'难度参数'!$E$21)*'难度参数'!$E$22))*(36+7*7)/(36+7*(D229+1)/2)*E229,0))</x:f>
        <x:v>8797</x:v>
      </x:c>
      <x:c r="AX229" s="119" t="n">
        <x:f>IF(AV229=0,0,(AV229-IF(7=D229,1,0))*ROUND(AW229*VLOOKUP(INDEX('章节与怪物'!$E$31:$K$37,B229,7),'章节与怪物'!$A$41:$F$44,2,FALSE),0)+IF(7=D229,ROUND(AW229*'难度参数'!$E$28*'章节与怪物'!$E$17,0),0))</x:f>
        <x:v>475480</x:v>
      </x:c>
      <x:c r="AY229" s="119" t="n">
        <x:f>IF(AV229=0,0,(AV229-IF(7=D229,1,0))*VLOOKUP(INDEX('章节与怪物'!$E$31:$K$37,B229,7),'章节与怪物'!$A$41:$F$44,4,FALSE)+IF(7=D229,'难度参数'!$E$30,0))</x:f>
        <x:v>1390</x:v>
      </x:c>
    </x:row>
    <x:row r="230" ht="23" customHeight="1">
      <x:c r="A230" s="119" t="n">
        <x:v>224</x:v>
      </x:c>
      <x:c r="B230" s="119" t="n">
        <x:f>MOD(INT((A230-1)/5),7)+1</x:f>
        <x:v>3</x:v>
      </x:c>
      <x:c r="C230" s="62" t="str">
        <x:f>INDEX('章节与怪物'!$B$31:$B$37,B230)</x:f>
        <x:v>腐沼秘林</x:v>
      </x:c>
      <x:c r="D230" s="119" t="n">
        <x:f>MIN('难度参数'!$E$8,MAX('难度参数'!$E$7,A230))</x:f>
        <x:v>7</x:v>
      </x:c>
      <x:c r="E230" s="106" t="n">
        <x:v>1</x:v>
      </x:c>
      <x:c r="F230" s="106" t="n">
        <x:v>0</x:v>
      </x:c>
      <x:c r="G230" s="106" t="n">
        <x:v>1</x:v>
      </x:c>
      <x:c r="H230" s="119" t="n">
        <x:f>SUM(X230,AB230,AF230,AJ230,AN230,AR230,AV230)</x:f>
        <x:v>219</x:v>
      </x:c>
      <x:c r="I230" s="119" t="n">
        <x:f>SUM(Z230,AD230,AH230,AL230,AP230,AT230,AX230)</x:f>
        <x:v>1925468</x:v>
      </x:c>
      <x:c r="J230" s="119" t="n">
        <x:f>ROUND(INDEX(X230:AY230,1,(D230-1)*4+2)*'难度参数'!$E$28*'章节与怪物'!$E$17,0)</x:f>
        <x:v>60017</x:v>
      </x:c>
      <x:c r="K230" s="119" t="n">
        <x:f>SUM(AA230,AE230,AI230,AM230,AQ230,AU230,AY230)</x:f>
        <x:v>5942</x:v>
      </x:c>
      <x:c r="L230" s="62" t="n">
        <x:f>H230*(ROUNDUP('难度参数'!$E$24/('难度参数'!$E$26*'难度参数'!$E$27),0)*'难度参数'!$E$26)/60</x:f>
        <x:v>2.9200000000000004</x:v>
      </x:c>
      <x:c r="M230" s="62" t="n">
        <x:f>L230+D230*('难度参数'!$E$49+'难度参数'!$E$50)/60</x:f>
        <x:v>4.086666666666667</x:v>
      </x:c>
      <x:c r="N230" s="119" t="n">
        <x:f>ROUNDDOWN(('经济参数'!$E$20+A230*'经济参数'!$E$21)*G230,0)</x:f>
        <x:v>4660</x:v>
      </x:c>
      <x:c r="O230" s="119" t="n">
        <x:f>ROUNDDOWN(MIN('经济参数'!$E$24,'经济参数'!$E$22+A230*'经济参数'!$E$23)*G230,0)</x:f>
        <x:v>0</x:v>
      </x:c>
      <x:c r="P230" s="119" t="n">
        <x:f>ROUNDDOWN((IF(A230&gt;='材料与任务'!$E$31,'材料与任务'!$E$32,IF(A230&gt;='材料与任务'!$E$25,'材料与任务'!$E$26,IF(A230&gt;='材料与任务'!$E$19,'材料与任务'!$E$20,IF(A230&gt;='材料与任务'!$E$13,'材料与任务'!$E$14,'材料与任务'!$E$8)))))*G230,0)</x:f>
        <x:v>6</x:v>
      </x:c>
      <x:c r="Q230" s="119" t="n">
        <x:f>ROUNDDOWN((IF(A230&gt;='材料与任务'!$E$31,'材料与任务'!$E$33,IF(A230&gt;='材料与任务'!$E$25,'材料与任务'!$E$27,IF(A230&gt;='材料与任务'!$E$19,'材料与任务'!$E$21,IF(A230&gt;='材料与任务'!$E$13,'材料与任务'!$E$15,'材料与任务'!$E$9)))))*G230,0)</x:f>
        <x:v>3</x:v>
      </x:c>
      <x:c r="R230" s="110" t="n">
        <x:f>'装备掉落'!$B$38</x:f>
        <x:v>0.6872058758851213</x:v>
      </x:c>
      <x:c r="S230" s="119" t="n">
        <x:f>MAX(IF(VLOOKUP(A230,'装备掉落'!$A$29:$H$34,2,TRUE)&gt;0,1,0),IF(VLOOKUP(A230,'装备掉落'!$A$29:$H$34,3,TRUE)&gt;0,2,0),IF(VLOOKUP(A230,'装备掉落'!$A$29:$H$34,4,TRUE)&gt;0,3,0),IF(VLOOKUP(A230,'装备掉落'!$A$29:$H$34,5,TRUE)&gt;0,4,0),IF(VLOOKUP(A230,'装备掉落'!$A$29:$H$34,6,TRUE)&gt;0,5,0),IF(VLOOKUP(A230,'装备掉落'!$A$29:$H$34,7,TRUE)&gt;0,6,0),IF(VLOOKUP(A230,'装备掉落'!$A$29:$H$34,8,TRUE)&gt;0,7,0))</x:f>
        <x:v>7</x:v>
      </x:c>
      <x:c r="T230" s="119" t="n">
        <x:f>MIN(7,S230+'经济参数'!$E$70)</x:f>
        <x:v>7</x:v>
      </x:c>
      <x:c r="U230" s="119" t="n">
        <x:f>MIN(7,S230+'经济参数'!$E$71)</x:f>
        <x:v>7</x:v>
      </x:c>
      <x:c r="V230" s="119" t="n">
        <x:f>IF(H230&gt;=('难度参数'!$E$52),1,0)+IF(H230&gt;=('难度参数'!$E$52+'难度参数'!$E$53),1,0)+IF(H230&gt;=('难度参数'!$E$52+'难度参数'!$E$53+'难度参数'!$E$54),1,0)+IF(H230&gt;=('难度参数'!$E$52+'难度参数'!$E$53+'难度参数'!$E$54+'难度参数'!$E$55),1,0)+IF(H230&gt;=('难度参数'!$E$52+'难度参数'!$E$53+'难度参数'!$E$54+'难度参数'!$E$55+'难度参数'!$E$56),1,0)+IF(H230&gt;=('难度参数'!$E$52+'难度参数'!$E$53+'难度参数'!$E$54+'难度参数'!$E$55+'难度参数'!$E$56+'难度参数'!$E$57),1,0)</x:f>
        <x:v>6</x:v>
      </x:c>
      <x:c r="W230" s="62" t="str">
        <x:f>IF(L230&gt;'难度参数'!$E$51,"仅出怪已超目标","还需实测")</x:f>
        <x:v>还需实测</x:v>
      </x:c>
      <x:c r="X230" s="119" t="n">
        <x:f>IF(1&gt;D230,0,MAX(2,MIN('难度参数'!$E$12,ROUND(('难度参数'!$E$18*POWER(A230,'难度参数'!$E$19)/D230*(0.85+0.3*(1-1)/MAX(1,D230-1))),0)+F230)))</x:f>
        <x:v>27</x:v>
      </x:c>
      <x:c r="Y230" s="119" t="n">
        <x:f>IF(1&gt;D230,0,ROUND(('难度参数'!$E$13*POWER(A230,'难度参数'!$E$20)*MIN('难度参数'!$E$23,1+MAX(0,A230-'难度参数'!$E$21)*'难度参数'!$E$22))*(36+1*7)/(36+7*(D230+1)/2)*E230,0))</x:f>
        <x:v>4465</x:v>
      </x:c>
      <x:c r="Z230" s="119" t="n">
        <x:f>IF(X230=0,0,(X230-IF(1=D230,1,0))*ROUND(Y230*VLOOKUP(INDEX('章节与怪物'!$E$31:$K$37,B230,1),'章节与怪物'!$A$41:$F$44,2,FALSE),0)+IF(1=D230,ROUND(Y230*'难度参数'!$E$28*'章节与怪物'!$E$17,0),0))</x:f>
        <x:v>120555</x:v>
      </x:c>
      <x:c r="AA230" s="119" t="n">
        <x:f>IF(X230=0,0,(X230-IF(1=D230,1,0))*VLOOKUP(INDEX('章节与怪物'!$E$31:$K$37,B230,1),'章节与怪物'!$A$41:$F$44,4,FALSE)+IF(1=D230,'难度参数'!$E$30,0))</x:f>
        <x:v>486</x:v>
      </x:c>
      <x:c r="AB230" s="119" t="n">
        <x:f>IF(2&gt;D230,0,MAX(2,MIN('难度参数'!$E$12,ROUND(('难度参数'!$E$18*POWER(A230,'难度参数'!$E$19)/D230*(0.85+0.3*(2-1)/MAX(1,D230-1))),0)+F230)))</x:f>
        <x:v>28</x:v>
      </x:c>
      <x:c r="AC230" s="119" t="n">
        <x:f>IF(2&gt;D230,0,ROUND(('难度参数'!$E$13*POWER(A230,'难度参数'!$E$20)*MIN('难度参数'!$E$23,1+MAX(0,A230-'难度参数'!$E$21)*'难度参数'!$E$22))*(36+2*7)/(36+7*(D230+1)/2)*E230,0))</x:f>
        <x:v>5192</x:v>
      </x:c>
      <x:c r="AD230" s="119" t="n">
        <x:f>IF(AB230=0,0,(AB230-IF(2=D230,1,0))*ROUND(AC230*VLOOKUP(INDEX('章节与怪物'!$E$31:$K$37,B230,2),'章节与怪物'!$A$41:$F$44,2,FALSE),0)+IF(2=D230,ROUND(AC230*'难度参数'!$E$28*'章节与怪物'!$E$17,0),0))</x:f>
        <x:v>104664</x:v>
      </x:c>
      <x:c r="AE230" s="119" t="n">
        <x:f>IF(AB230=0,0,(AB230-IF(2=D230,1,0))*VLOOKUP(INDEX('章节与怪物'!$E$31:$K$37,B230,2),'章节与怪物'!$A$41:$F$44,4,FALSE)+IF(2=D230,'难度参数'!$E$30,0))</x:f>
        <x:v>560</x:v>
      </x:c>
      <x:c r="AF230" s="119" t="n">
        <x:f>IF(3&gt;D230,0,MAX(2,MIN('难度参数'!$E$12,ROUND(('难度参数'!$E$18*POWER(A230,'难度参数'!$E$19)/D230*(0.85+0.3*(3-1)/MAX(1,D230-1))),0)+F230)))</x:f>
        <x:v>30</x:v>
      </x:c>
      <x:c r="AG230" s="119" t="n">
        <x:f>IF(3&gt;D230,0,ROUND(('难度参数'!$E$13*POWER(A230,'难度参数'!$E$20)*MIN('难度参数'!$E$23,1+MAX(0,A230-'难度参数'!$E$21)*'难度参数'!$E$22))*(36+3*7)/(36+7*(D230+1)/2)*E230,0))</x:f>
        <x:v>5918</x:v>
      </x:c>
      <x:c r="AH230" s="119" t="n">
        <x:f>IF(AF230=0,0,(AF230-IF(3=D230,1,0))*ROUND(AG230*VLOOKUP(INDEX('章节与怪物'!$E$31:$K$37,B230,3),'章节与怪物'!$A$41:$F$44,2,FALSE),0)+IF(3=D230,ROUND(AG230*'难度参数'!$E$28*'章节与怪物'!$E$17,0),0))</x:f>
        <x:v>301830</x:v>
      </x:c>
      <x:c r="AI230" s="119" t="n">
        <x:f>IF(AF230=0,0,(AF230-IF(3=D230,1,0))*VLOOKUP(INDEX('章节与怪物'!$E$31:$K$37,B230,3),'章节与怪物'!$A$41:$F$44,4,FALSE)+IF(3=D230,'难度参数'!$E$30,0))</x:f>
        <x:v>840</x:v>
      </x:c>
      <x:c r="AJ230" s="119" t="n">
        <x:f>IF(4&gt;D230,0,MAX(2,MIN('难度参数'!$E$12,ROUND(('难度参数'!$E$18*POWER(A230,'难度参数'!$E$19)/D230*(0.85+0.3*(4-1)/MAX(1,D230-1))),0)+F230)))</x:f>
        <x:v>31</x:v>
      </x:c>
      <x:c r="AK230" s="119" t="n">
        <x:f>IF(4&gt;D230,0,ROUND(('难度参数'!$E$13*POWER(A230,'难度参数'!$E$20)*MIN('难度参数'!$E$23,1+MAX(0,A230-'难度参数'!$E$21)*'难度参数'!$E$22))*(36+4*7)/(36+7*(D230+1)/2)*E230,0))</x:f>
        <x:v>6645</x:v>
      </x:c>
      <x:c r="AL230" s="119" t="n">
        <x:f>IF(AJ230=0,0,(AJ230-IF(4=D230,1,0))*ROUND(AK230*VLOOKUP(INDEX('章节与怪物'!$E$31:$K$37,B230,4),'章节与怪物'!$A$41:$F$44,2,FALSE),0)+IF(4=D230,ROUND(AK230*'难度参数'!$E$28*'章节与怪物'!$E$17,0),0))</x:f>
        <x:v>278101</x:v>
      </x:c>
      <x:c r="AM230" s="119" t="n">
        <x:f>IF(AJ230=0,0,(AJ230-IF(4=D230,1,0))*VLOOKUP(INDEX('章节与怪物'!$E$31:$K$37,B230,4),'章节与怪物'!$A$41:$F$44,4,FALSE)+IF(4=D230,'难度参数'!$E$30,0))</x:f>
        <x:v>1054</x:v>
      </x:c>
      <x:c r="AN230" s="119" t="n">
        <x:f>IF(5&gt;D230,0,MAX(2,MIN('难度参数'!$E$12,ROUND(('难度参数'!$E$18*POWER(A230,'难度参数'!$E$19)/D230*(0.85+0.3*(5-1)/MAX(1,D230-1))),0)+F230)))</x:f>
        <x:v>33</x:v>
      </x:c>
      <x:c r="AO230" s="119" t="n">
        <x:f>IF(5&gt;D230,0,ROUND(('难度参数'!$E$13*POWER(A230,'难度参数'!$E$20)*MIN('难度参数'!$E$23,1+MAX(0,A230-'难度参数'!$E$21)*'难度参数'!$E$22))*(36+5*7)/(36+7*(D230+1)/2)*E230,0))</x:f>
        <x:v>7372</x:v>
      </x:c>
      <x:c r="AP230" s="119" t="n">
        <x:f>IF(AN230=0,0,(AN230-IF(5=D230,1,0))*ROUND(AO230*VLOOKUP(INDEX('章节与怪物'!$E$31:$K$37,B230,5),'章节与怪物'!$A$41:$F$44,2,FALSE),0)+IF(5=D230,ROUND(AO230*'难度参数'!$E$28*'章节与怪物'!$E$17,0),0))</x:f>
        <x:v>175164</x:v>
      </x:c>
      <x:c r="AQ230" s="119" t="n">
        <x:f>IF(AN230=0,0,(AN230-IF(5=D230,1,0))*VLOOKUP(INDEX('章节与怪物'!$E$31:$K$37,B230,5),'章节与怪物'!$A$41:$F$44,4,FALSE)+IF(5=D230,'难度参数'!$E$30,0))</x:f>
        <x:v>660</x:v>
      </x:c>
      <x:c r="AR230" s="119" t="n">
        <x:f>IF(6&gt;D230,0,MAX(2,MIN('难度参数'!$E$12,ROUND(('难度参数'!$E$18*POWER(A230,'难度参数'!$E$19)/D230*(0.85+0.3*(6-1)/MAX(1,D230-1))),0)+F230)))</x:f>
        <x:v>34</x:v>
      </x:c>
      <x:c r="AS230" s="119" t="n">
        <x:f>IF(6&gt;D230,0,ROUND(('难度参数'!$E$13*POWER(A230,'难度参数'!$E$20)*MIN('难度参数'!$E$23,1+MAX(0,A230-'难度参数'!$E$21)*'难度参数'!$E$22))*(36+6*7)/(36+7*(D230+1)/2)*E230,0))</x:f>
        <x:v>8099</x:v>
      </x:c>
      <x:c r="AT230" s="119" t="n">
        <x:f>IF(AR230=0,0,(AR230-IF(6=D230,1,0))*ROUND(AS230*VLOOKUP(INDEX('章节与怪物'!$E$31:$K$37,B230,6),'章节与怪物'!$A$41:$F$44,2,FALSE),0)+IF(6=D230,ROUND(AS230*'难度参数'!$E$28*'章节与怪物'!$E$17,0),0))</x:f>
        <x:v>468112</x:v>
      </x:c>
      <x:c r="AU230" s="119" t="n">
        <x:f>IF(AR230=0,0,(AR230-IF(6=D230,1,0))*VLOOKUP(INDEX('章节与怪物'!$E$31:$K$37,B230,6),'章节与怪物'!$A$41:$F$44,4,FALSE)+IF(6=D230,'难度参数'!$E$30,0))</x:f>
        <x:v>952</x:v>
      </x:c>
      <x:c r="AV230" s="119" t="n">
        <x:f>IF(7&gt;D230,0,MAX(2,MIN('难度参数'!$E$12,ROUND(('难度参数'!$E$18*POWER(A230,'难度参数'!$E$19)/D230*(0.85+0.3*(7-1)/MAX(1,D230-1))),0)+F230)))</x:f>
        <x:v>36</x:v>
      </x:c>
      <x:c r="AW230" s="119" t="n">
        <x:f>IF(7&gt;D230,0,ROUND(('难度参数'!$E$13*POWER(A230,'难度参数'!$E$20)*MIN('难度参数'!$E$23,1+MAX(0,A230-'难度参数'!$E$21)*'难度参数'!$E$22))*(36+7*7)/(36+7*(D230+1)/2)*E230,0))</x:f>
        <x:v>8826</x:v>
      </x:c>
      <x:c r="AX230" s="119" t="n">
        <x:f>IF(AV230=0,0,(AV230-IF(7=D230,1,0))*ROUND(AW230*VLOOKUP(INDEX('章节与怪物'!$E$31:$K$37,B230,7),'章节与怪物'!$A$41:$F$44,2,FALSE),0)+IF(7=D230,ROUND(AW230*'难度参数'!$E$28*'章节与怪物'!$E$17,0),0))</x:f>
        <x:v>477042</x:v>
      </x:c>
      <x:c r="AY230" s="119" t="n">
        <x:f>IF(AV230=0,0,(AV230-IF(7=D230,1,0))*VLOOKUP(INDEX('章节与怪物'!$E$31:$K$37,B230,7),'章节与怪物'!$A$41:$F$44,4,FALSE)+IF(7=D230,'难度参数'!$E$30,0))</x:f>
        <x:v>1390</x:v>
      </x:c>
    </x:row>
    <x:row r="231" ht="23" customHeight="1">
      <x:c r="A231" s="119" t="n">
        <x:v>225</x:v>
      </x:c>
      <x:c r="B231" s="119" t="n">
        <x:f>MOD(INT((A231-1)/5),7)+1</x:f>
        <x:v>3</x:v>
      </x:c>
      <x:c r="C231" s="62" t="str">
        <x:f>INDEX('章节与怪物'!$B$31:$B$37,B231)</x:f>
        <x:v>腐沼秘林</x:v>
      </x:c>
      <x:c r="D231" s="119" t="n">
        <x:f>MIN('难度参数'!$E$8,MAX('难度参数'!$E$7,A231))</x:f>
        <x:v>7</x:v>
      </x:c>
      <x:c r="E231" s="106" t="n">
        <x:v>1</x:v>
      </x:c>
      <x:c r="F231" s="106" t="n">
        <x:v>0</x:v>
      </x:c>
      <x:c r="G231" s="106" t="n">
        <x:v>1</x:v>
      </x:c>
      <x:c r="H231" s="119" t="n">
        <x:f>SUM(X231,AB231,AF231,AJ231,AN231,AR231,AV231)</x:f>
        <x:v>220</x:v>
      </x:c>
      <x:c r="I231" s="119" t="n">
        <x:f>SUM(Z231,AD231,AH231,AL231,AP231,AT231,AX231)</x:f>
        <x:v>1945465</x:v>
      </x:c>
      <x:c r="J231" s="119" t="n">
        <x:f>ROUND(INDEX(X231:AY231,1,(D231-1)*4+2)*'难度参数'!$E$28*'章节与怪物'!$E$17,0)</x:f>
        <x:v>60207</x:v>
      </x:c>
      <x:c r="K231" s="119" t="n">
        <x:f>SUM(AA231,AE231,AI231,AM231,AQ231,AU231,AY231)</x:f>
        <x:v>5970</x:v>
      </x:c>
      <x:c r="L231" s="62" t="n">
        <x:f>H231*(ROUNDUP('难度参数'!$E$24/('难度参数'!$E$26*'难度参数'!$E$27),0)*'难度参数'!$E$26)/60</x:f>
        <x:v>2.933333333333333</x:v>
      </x:c>
      <x:c r="M231" s="62" t="n">
        <x:f>L231+D231*('难度参数'!$E$49+'难度参数'!$E$50)/60</x:f>
        <x:v>4.1</x:v>
      </x:c>
      <x:c r="N231" s="119" t="n">
        <x:f>ROUNDDOWN(('经济参数'!$E$20+A231*'经济参数'!$E$21)*G231,0)</x:f>
        <x:v>4680</x:v>
      </x:c>
      <x:c r="O231" s="119" t="n">
        <x:f>ROUNDDOWN(MIN('经济参数'!$E$24,'经济参数'!$E$22+A231*'经济参数'!$E$23)*G231,0)</x:f>
        <x:v>0</x:v>
      </x:c>
      <x:c r="P231" s="119" t="n">
        <x:f>ROUNDDOWN((IF(A231&gt;='材料与任务'!$E$31,'材料与任务'!$E$32,IF(A231&gt;='材料与任务'!$E$25,'材料与任务'!$E$26,IF(A231&gt;='材料与任务'!$E$19,'材料与任务'!$E$20,IF(A231&gt;='材料与任务'!$E$13,'材料与任务'!$E$14,'材料与任务'!$E$8)))))*G231,0)</x:f>
        <x:v>6</x:v>
      </x:c>
      <x:c r="Q231" s="119" t="n">
        <x:f>ROUNDDOWN((IF(A231&gt;='材料与任务'!$E$31,'材料与任务'!$E$33,IF(A231&gt;='材料与任务'!$E$25,'材料与任务'!$E$27,IF(A231&gt;='材料与任务'!$E$19,'材料与任务'!$E$21,IF(A231&gt;='材料与任务'!$E$13,'材料与任务'!$E$15,'材料与任务'!$E$9)))))*G231,0)</x:f>
        <x:v>3</x:v>
      </x:c>
      <x:c r="R231" s="110" t="n">
        <x:f>'装备掉落'!$B$38</x:f>
        <x:v>0.6872058758851213</x:v>
      </x:c>
      <x:c r="S231" s="119" t="n">
        <x:f>MAX(IF(VLOOKUP(A231,'装备掉落'!$A$29:$H$34,2,TRUE)&gt;0,1,0),IF(VLOOKUP(A231,'装备掉落'!$A$29:$H$34,3,TRUE)&gt;0,2,0),IF(VLOOKUP(A231,'装备掉落'!$A$29:$H$34,4,TRUE)&gt;0,3,0),IF(VLOOKUP(A231,'装备掉落'!$A$29:$H$34,5,TRUE)&gt;0,4,0),IF(VLOOKUP(A231,'装备掉落'!$A$29:$H$34,6,TRUE)&gt;0,5,0),IF(VLOOKUP(A231,'装备掉落'!$A$29:$H$34,7,TRUE)&gt;0,6,0),IF(VLOOKUP(A231,'装备掉落'!$A$29:$H$34,8,TRUE)&gt;0,7,0))</x:f>
        <x:v>7</x:v>
      </x:c>
      <x:c r="T231" s="119" t="n">
        <x:f>MIN(7,S231+'经济参数'!$E$70)</x:f>
        <x:v>7</x:v>
      </x:c>
      <x:c r="U231" s="119" t="n">
        <x:f>MIN(7,S231+'经济参数'!$E$71)</x:f>
        <x:v>7</x:v>
      </x:c>
      <x:c r="V231" s="119" t="n">
        <x:f>IF(H231&gt;=('难度参数'!$E$52),1,0)+IF(H231&gt;=('难度参数'!$E$52+'难度参数'!$E$53),1,0)+IF(H231&gt;=('难度参数'!$E$52+'难度参数'!$E$53+'难度参数'!$E$54),1,0)+IF(H231&gt;=('难度参数'!$E$52+'难度参数'!$E$53+'难度参数'!$E$54+'难度参数'!$E$55),1,0)+IF(H231&gt;=('难度参数'!$E$52+'难度参数'!$E$53+'难度参数'!$E$54+'难度参数'!$E$55+'难度参数'!$E$56),1,0)+IF(H231&gt;=('难度参数'!$E$52+'难度参数'!$E$53+'难度参数'!$E$54+'难度参数'!$E$55+'难度参数'!$E$56+'难度参数'!$E$57),1,0)</x:f>
        <x:v>6</x:v>
      </x:c>
      <x:c r="W231" s="62" t="str">
        <x:f>IF(L231&gt;'难度参数'!$E$51,"仅出怪已超目标","还需实测")</x:f>
        <x:v>还需实测</x:v>
      </x:c>
      <x:c r="X231" s="119" t="n">
        <x:f>IF(1&gt;D231,0,MAX(2,MIN('难度参数'!$E$12,ROUND(('难度参数'!$E$18*POWER(A231,'难度参数'!$E$19)/D231*(0.85+0.3*(1-1)/MAX(1,D231-1))),0)+F231)))</x:f>
        <x:v>27</x:v>
      </x:c>
      <x:c r="Y231" s="119" t="n">
        <x:f>IF(1&gt;D231,0,ROUND(('难度参数'!$E$13*POWER(A231,'难度参数'!$E$20)*MIN('难度参数'!$E$23,1+MAX(0,A231-'难度参数'!$E$21)*'难度参数'!$E$22))*(36+1*7)/(36+7*(D231+1)/2)*E231,0))</x:f>
        <x:v>4479</x:v>
      </x:c>
      <x:c r="Z231" s="119" t="n">
        <x:f>IF(X231=0,0,(X231-IF(1=D231,1,0))*ROUND(Y231*VLOOKUP(INDEX('章节与怪物'!$E$31:$K$37,B231,1),'章节与怪物'!$A$41:$F$44,2,FALSE),0)+IF(1=D231,ROUND(Y231*'难度参数'!$E$28*'章节与怪物'!$E$17,0),0))</x:f>
        <x:v>120933</x:v>
      </x:c>
      <x:c r="AA231" s="119" t="n">
        <x:f>IF(X231=0,0,(X231-IF(1=D231,1,0))*VLOOKUP(INDEX('章节与怪物'!$E$31:$K$37,B231,1),'章节与怪物'!$A$41:$F$44,4,FALSE)+IF(1=D231,'难度参数'!$E$30,0))</x:f>
        <x:v>486</x:v>
      </x:c>
      <x:c r="AB231" s="119" t="n">
        <x:f>IF(2&gt;D231,0,MAX(2,MIN('难度参数'!$E$12,ROUND(('难度参数'!$E$18*POWER(A231,'难度参数'!$E$19)/D231*(0.85+0.3*(2-1)/MAX(1,D231-1))),0)+F231)))</x:f>
        <x:v>28</x:v>
      </x:c>
      <x:c r="AC231" s="119" t="n">
        <x:f>IF(2&gt;D231,0,ROUND(('难度参数'!$E$13*POWER(A231,'难度参数'!$E$20)*MIN('难度参数'!$E$23,1+MAX(0,A231-'难度参数'!$E$21)*'难度参数'!$E$22))*(36+2*7)/(36+7*(D231+1)/2)*E231,0))</x:f>
        <x:v>5208</x:v>
      </x:c>
      <x:c r="AD231" s="119" t="n">
        <x:f>IF(AB231=0,0,(AB231-IF(2=D231,1,0))*ROUND(AC231*VLOOKUP(INDEX('章节与怪物'!$E$31:$K$37,B231,2),'章节与怪物'!$A$41:$F$44,2,FALSE),0)+IF(2=D231,ROUND(AC231*'难度参数'!$E$28*'章节与怪物'!$E$17,0),0))</x:f>
        <x:v>105000</x:v>
      </x:c>
      <x:c r="AE231" s="119" t="n">
        <x:f>IF(AB231=0,0,(AB231-IF(2=D231,1,0))*VLOOKUP(INDEX('章节与怪物'!$E$31:$K$37,B231,2),'章节与怪物'!$A$41:$F$44,4,FALSE)+IF(2=D231,'难度参数'!$E$30,0))</x:f>
        <x:v>560</x:v>
      </x:c>
      <x:c r="AF231" s="119" t="n">
        <x:f>IF(3&gt;D231,0,MAX(2,MIN('难度参数'!$E$12,ROUND(('难度参数'!$E$18*POWER(A231,'难度参数'!$E$19)/D231*(0.85+0.3*(3-1)/MAX(1,D231-1))),0)+F231)))</x:f>
        <x:v>30</x:v>
      </x:c>
      <x:c r="AG231" s="119" t="n">
        <x:f>IF(3&gt;D231,0,ROUND(('难度参数'!$E$13*POWER(A231,'难度参数'!$E$20)*MIN('难度参数'!$E$23,1+MAX(0,A231-'难度参数'!$E$21)*'难度参数'!$E$22))*(36+3*7)/(36+7*(D231+1)/2)*E231,0))</x:f>
        <x:v>5937</x:v>
      </x:c>
      <x:c r="AH231" s="119" t="n">
        <x:f>IF(AF231=0,0,(AF231-IF(3=D231,1,0))*ROUND(AG231*VLOOKUP(INDEX('章节与怪物'!$E$31:$K$37,B231,3),'章节与怪物'!$A$41:$F$44,2,FALSE),0)+IF(3=D231,ROUND(AG231*'难度参数'!$E$28*'章节与怪物'!$E$17,0),0))</x:f>
        <x:v>302790</x:v>
      </x:c>
      <x:c r="AI231" s="119" t="n">
        <x:f>IF(AF231=0,0,(AF231-IF(3=D231,1,0))*VLOOKUP(INDEX('章节与怪物'!$E$31:$K$37,B231,3),'章节与怪物'!$A$41:$F$44,4,FALSE)+IF(3=D231,'难度参数'!$E$30,0))</x:f>
        <x:v>840</x:v>
      </x:c>
      <x:c r="AJ231" s="119" t="n">
        <x:f>IF(4&gt;D231,0,MAX(2,MIN('难度参数'!$E$12,ROUND(('难度参数'!$E$18*POWER(A231,'难度参数'!$E$19)/D231*(0.85+0.3*(4-1)/MAX(1,D231-1))),0)+F231)))</x:f>
        <x:v>31</x:v>
      </x:c>
      <x:c r="AK231" s="119" t="n">
        <x:f>IF(4&gt;D231,0,ROUND(('难度参数'!$E$13*POWER(A231,'难度参数'!$E$20)*MIN('难度参数'!$E$23,1+MAX(0,A231-'难度参数'!$E$21)*'难度参数'!$E$22))*(36+4*7)/(36+7*(D231+1)/2)*E231,0))</x:f>
        <x:v>6667</x:v>
      </x:c>
      <x:c r="AL231" s="119" t="n">
        <x:f>IF(AJ231=0,0,(AJ231-IF(4=D231,1,0))*ROUND(AK231*VLOOKUP(INDEX('章节与怪物'!$E$31:$K$37,B231,4),'章节与怪物'!$A$41:$F$44,2,FALSE),0)+IF(4=D231,ROUND(AK231*'难度参数'!$E$28*'章节与怪物'!$E$17,0),0))</x:f>
        <x:v>279000</x:v>
      </x:c>
      <x:c r="AM231" s="119" t="n">
        <x:f>IF(AJ231=0,0,(AJ231-IF(4=D231,1,0))*VLOOKUP(INDEX('章节与怪物'!$E$31:$K$37,B231,4),'章节与怪物'!$A$41:$F$44,4,FALSE)+IF(4=D231,'难度参数'!$E$30,0))</x:f>
        <x:v>1054</x:v>
      </x:c>
      <x:c r="AN231" s="119" t="n">
        <x:f>IF(5&gt;D231,0,MAX(2,MIN('难度参数'!$E$12,ROUND(('难度参数'!$E$18*POWER(A231,'难度参数'!$E$19)/D231*(0.85+0.3*(5-1)/MAX(1,D231-1))),0)+F231)))</x:f>
        <x:v>33</x:v>
      </x:c>
      <x:c r="AO231" s="119" t="n">
        <x:f>IF(5&gt;D231,0,ROUND(('难度参数'!$E$13*POWER(A231,'难度参数'!$E$20)*MIN('难度参数'!$E$23,1+MAX(0,A231-'难度参数'!$E$21)*'难度参数'!$E$22))*(36+5*7)/(36+7*(D231+1)/2)*E231,0))</x:f>
        <x:v>7396</x:v>
      </x:c>
      <x:c r="AP231" s="119" t="n">
        <x:f>IF(AN231=0,0,(AN231-IF(5=D231,1,0))*ROUND(AO231*VLOOKUP(INDEX('章节与怪物'!$E$31:$K$37,B231,5),'章节与怪物'!$A$41:$F$44,2,FALSE),0)+IF(5=D231,ROUND(AO231*'难度参数'!$E$28*'章节与怪物'!$E$17,0),0))</x:f>
        <x:v>175725</x:v>
      </x:c>
      <x:c r="AQ231" s="119" t="n">
        <x:f>IF(AN231=0,0,(AN231-IF(5=D231,1,0))*VLOOKUP(INDEX('章节与怪物'!$E$31:$K$37,B231,5),'章节与怪物'!$A$41:$F$44,4,FALSE)+IF(5=D231,'难度参数'!$E$30,0))</x:f>
        <x:v>660</x:v>
      </x:c>
      <x:c r="AR231" s="119" t="n">
        <x:f>IF(6&gt;D231,0,MAX(2,MIN('难度参数'!$E$12,ROUND(('难度参数'!$E$18*POWER(A231,'难度参数'!$E$19)/D231*(0.85+0.3*(6-1)/MAX(1,D231-1))),0)+F231)))</x:f>
        <x:v>35</x:v>
      </x:c>
      <x:c r="AS231" s="119" t="n">
        <x:f>IF(6&gt;D231,0,ROUND(('难度参数'!$E$13*POWER(A231,'难度参数'!$E$20)*MIN('难度参数'!$E$23,1+MAX(0,A231-'难度参数'!$E$21)*'难度参数'!$E$22))*(36+6*7)/(36+7*(D231+1)/2)*E231,0))</x:f>
        <x:v>8125</x:v>
      </x:c>
      <x:c r="AT231" s="119" t="n">
        <x:f>IF(AR231=0,0,(AR231-IF(6=D231,1,0))*ROUND(AS231*VLOOKUP(INDEX('章节与怪物'!$E$31:$K$37,B231,6),'章节与怪物'!$A$41:$F$44,2,FALSE),0)+IF(6=D231,ROUND(AS231*'难度参数'!$E$28*'章节与怪物'!$E$17,0),0))</x:f>
        <x:v>483455</x:v>
      </x:c>
      <x:c r="AU231" s="119" t="n">
        <x:f>IF(AR231=0,0,(AR231-IF(6=D231,1,0))*VLOOKUP(INDEX('章节与怪物'!$E$31:$K$37,B231,6),'章节与怪物'!$A$41:$F$44,4,FALSE)+IF(6=D231,'难度参数'!$E$30,0))</x:f>
        <x:v>980</x:v>
      </x:c>
      <x:c r="AV231" s="119" t="n">
        <x:f>IF(7&gt;D231,0,MAX(2,MIN('难度参数'!$E$12,ROUND(('难度参数'!$E$18*POWER(A231,'难度参数'!$E$19)/D231*(0.85+0.3*(7-1)/MAX(1,D231-1))),0)+F231)))</x:f>
        <x:v>36</x:v>
      </x:c>
      <x:c r="AW231" s="119" t="n">
        <x:f>IF(7&gt;D231,0,ROUND(('难度参数'!$E$13*POWER(A231,'难度参数'!$E$20)*MIN('难度参数'!$E$23,1+MAX(0,A231-'难度参数'!$E$21)*'难度参数'!$E$22))*(36+7*7)/(36+7*(D231+1)/2)*E231,0))</x:f>
        <x:v>8854</x:v>
      </x:c>
      <x:c r="AX231" s="119" t="n">
        <x:f>IF(AV231=0,0,(AV231-IF(7=D231,1,0))*ROUND(AW231*VLOOKUP(INDEX('章节与怪物'!$E$31:$K$37,B231,7),'章节与怪物'!$A$41:$F$44,2,FALSE),0)+IF(7=D231,ROUND(AW231*'难度参数'!$E$28*'章节与怪物'!$E$17,0),0))</x:f>
        <x:v>478562</x:v>
      </x:c>
      <x:c r="AY231" s="119" t="n">
        <x:f>IF(AV231=0,0,(AV231-IF(7=D231,1,0))*VLOOKUP(INDEX('章节与怪物'!$E$31:$K$37,B231,7),'章节与怪物'!$A$41:$F$44,4,FALSE)+IF(7=D231,'难度参数'!$E$30,0))</x:f>
        <x:v>1390</x:v>
      </x:c>
    </x:row>
    <x:row r="232" ht="23" customHeight="1">
      <x:c r="A232" s="119" t="n">
        <x:v>226</x:v>
      </x:c>
      <x:c r="B232" s="119" t="n">
        <x:f>MOD(INT((A232-1)/5),7)+1</x:f>
        <x:v>4</x:v>
      </x:c>
      <x:c r="C232" s="62" t="str">
        <x:f>INDEX('章节与怪物'!$B$31:$B$37,B232)</x:f>
        <x:v>翠野边城</x:v>
      </x:c>
      <x:c r="D232" s="119" t="n">
        <x:f>MIN('难度参数'!$E$8,MAX('难度参数'!$E$7,A232))</x:f>
        <x:v>7</x:v>
      </x:c>
      <x:c r="E232" s="106" t="n">
        <x:v>1</x:v>
      </x:c>
      <x:c r="F232" s="106" t="n">
        <x:v>0</x:v>
      </x:c>
      <x:c r="G232" s="106" t="n">
        <x:v>1</x:v>
      </x:c>
      <x:c r="H232" s="119" t="n">
        <x:f>SUM(X232,AB232,AF232,AJ232,AN232,AR232,AV232)</x:f>
        <x:v>220</x:v>
      </x:c>
      <x:c r="I232" s="119" t="n">
        <x:f>SUM(Z232,AD232,AH232,AL232,AP232,AT232,AX232)</x:f>
        <x:v>1747619</x:v>
      </x:c>
      <x:c r="J232" s="119" t="n">
        <x:f>ROUND(INDEX(X232:AY232,1,(D232-1)*4+2)*'难度参数'!$E$28*'章节与怪物'!$E$17,0)</x:f>
        <x:v>60398</x:v>
      </x:c>
      <x:c r="K232" s="119" t="n">
        <x:f>SUM(AA232,AE232,AI232,AM232,AQ232,AU232,AY232)</x:f>
        <x:v>5622</x:v>
      </x:c>
      <x:c r="L232" s="62" t="n">
        <x:f>H232*(ROUNDUP('难度参数'!$E$24/('难度参数'!$E$26*'难度参数'!$E$27),0)*'难度参数'!$E$26)/60</x:f>
        <x:v>2.933333333333333</x:v>
      </x:c>
      <x:c r="M232" s="62" t="n">
        <x:f>L232+D232*('难度参数'!$E$49+'难度参数'!$E$50)/60</x:f>
        <x:v>4.1</x:v>
      </x:c>
      <x:c r="N232" s="119" t="n">
        <x:f>ROUNDDOWN(('经济参数'!$E$20+A232*'经济参数'!$E$21)*G232,0)</x:f>
        <x:v>4700</x:v>
      </x:c>
      <x:c r="O232" s="119" t="n">
        <x:f>ROUNDDOWN(MIN('经济参数'!$E$24,'经济参数'!$E$22+A232*'经济参数'!$E$23)*G232,0)</x:f>
        <x:v>0</x:v>
      </x:c>
      <x:c r="P232" s="119" t="n">
        <x:f>ROUNDDOWN((IF(A232&gt;='材料与任务'!$E$31,'材料与任务'!$E$32,IF(A232&gt;='材料与任务'!$E$25,'材料与任务'!$E$26,IF(A232&gt;='材料与任务'!$E$19,'材料与任务'!$E$20,IF(A232&gt;='材料与任务'!$E$13,'材料与任务'!$E$14,'材料与任务'!$E$8)))))*G232,0)</x:f>
        <x:v>6</x:v>
      </x:c>
      <x:c r="Q232" s="119" t="n">
        <x:f>ROUNDDOWN((IF(A232&gt;='材料与任务'!$E$31,'材料与任务'!$E$33,IF(A232&gt;='材料与任务'!$E$25,'材料与任务'!$E$27,IF(A232&gt;='材料与任务'!$E$19,'材料与任务'!$E$21,IF(A232&gt;='材料与任务'!$E$13,'材料与任务'!$E$15,'材料与任务'!$E$9)))))*G232,0)</x:f>
        <x:v>3</x:v>
      </x:c>
      <x:c r="R232" s="110" t="n">
        <x:f>'装备掉落'!$B$38</x:f>
        <x:v>0.6872058758851213</x:v>
      </x:c>
      <x:c r="S232" s="119" t="n">
        <x:f>MAX(IF(VLOOKUP(A232,'装备掉落'!$A$29:$H$34,2,TRUE)&gt;0,1,0),IF(VLOOKUP(A232,'装备掉落'!$A$29:$H$34,3,TRUE)&gt;0,2,0),IF(VLOOKUP(A232,'装备掉落'!$A$29:$H$34,4,TRUE)&gt;0,3,0),IF(VLOOKUP(A232,'装备掉落'!$A$29:$H$34,5,TRUE)&gt;0,4,0),IF(VLOOKUP(A232,'装备掉落'!$A$29:$H$34,6,TRUE)&gt;0,5,0),IF(VLOOKUP(A232,'装备掉落'!$A$29:$H$34,7,TRUE)&gt;0,6,0),IF(VLOOKUP(A232,'装备掉落'!$A$29:$H$34,8,TRUE)&gt;0,7,0))</x:f>
        <x:v>7</x:v>
      </x:c>
      <x:c r="T232" s="119" t="n">
        <x:f>MIN(7,S232+'经济参数'!$E$70)</x:f>
        <x:v>7</x:v>
      </x:c>
      <x:c r="U232" s="119" t="n">
        <x:f>MIN(7,S232+'经济参数'!$E$71)</x:f>
        <x:v>7</x:v>
      </x:c>
      <x:c r="V232" s="119" t="n">
        <x:f>IF(H232&gt;=('难度参数'!$E$52),1,0)+IF(H232&gt;=('难度参数'!$E$52+'难度参数'!$E$53),1,0)+IF(H232&gt;=('难度参数'!$E$52+'难度参数'!$E$53+'难度参数'!$E$54),1,0)+IF(H232&gt;=('难度参数'!$E$52+'难度参数'!$E$53+'难度参数'!$E$54+'难度参数'!$E$55),1,0)+IF(H232&gt;=('难度参数'!$E$52+'难度参数'!$E$53+'难度参数'!$E$54+'难度参数'!$E$55+'难度参数'!$E$56),1,0)+IF(H232&gt;=('难度参数'!$E$52+'难度参数'!$E$53+'难度参数'!$E$54+'难度参数'!$E$55+'难度参数'!$E$56+'难度参数'!$E$57),1,0)</x:f>
        <x:v>6</x:v>
      </x:c>
      <x:c r="W232" s="62" t="str">
        <x:f>IF(L232&gt;'难度参数'!$E$51,"仅出怪已超目标","还需实测")</x:f>
        <x:v>还需实测</x:v>
      </x:c>
      <x:c r="X232" s="119" t="n">
        <x:f>IF(1&gt;D232,0,MAX(2,MIN('难度参数'!$E$12,ROUND(('难度参数'!$E$18*POWER(A232,'难度参数'!$E$19)/D232*(0.85+0.3*(1-1)/MAX(1,D232-1))),0)+F232)))</x:f>
        <x:v>27</x:v>
      </x:c>
      <x:c r="Y232" s="119" t="n">
        <x:f>IF(1&gt;D232,0,ROUND(('难度参数'!$E$13*POWER(A232,'难度参数'!$E$20)*MIN('难度参数'!$E$23,1+MAX(0,A232-'难度参数'!$E$21)*'难度参数'!$E$22))*(36+1*7)/(36+7*(D232+1)/2)*E232,0))</x:f>
        <x:v>4493</x:v>
      </x:c>
      <x:c r="Z232" s="119" t="n">
        <x:f>IF(X232=0,0,(X232-IF(1=D232,1,0))*ROUND(Y232*VLOOKUP(INDEX('章节与怪物'!$E$31:$K$37,B232,1),'章节与怪物'!$A$41:$F$44,2,FALSE),0)+IF(1=D232,ROUND(Y232*'难度参数'!$E$28*'章节与怪物'!$E$17,0),0))</x:f>
        <x:v>87345</x:v>
      </x:c>
      <x:c r="AA232" s="119" t="n">
        <x:f>IF(X232=0,0,(X232-IF(1=D232,1,0))*VLOOKUP(INDEX('章节与怪物'!$E$31:$K$37,B232,1),'章节与怪物'!$A$41:$F$44,4,FALSE)+IF(1=D232,'难度参数'!$E$30,0))</x:f>
        <x:v>540</x:v>
      </x:c>
      <x:c r="AB232" s="119" t="n">
        <x:f>IF(2&gt;D232,0,MAX(2,MIN('难度参数'!$E$12,ROUND(('难度参数'!$E$18*POWER(A232,'难度参数'!$E$19)/D232*(0.85+0.3*(2-1)/MAX(1,D232-1))),0)+F232)))</x:f>
        <x:v>28</x:v>
      </x:c>
      <x:c r="AC232" s="119" t="n">
        <x:f>IF(2&gt;D232,0,ROUND(('难度参数'!$E$13*POWER(A232,'难度参数'!$E$20)*MIN('难度参数'!$E$23,1+MAX(0,A232-'难度参数'!$E$21)*'难度参数'!$E$22))*(36+2*7)/(36+7*(D232+1)/2)*E232,0))</x:f>
        <x:v>5225</x:v>
      </x:c>
      <x:c r="AD232" s="119" t="n">
        <x:f>IF(AB232=0,0,(AB232-IF(2=D232,1,0))*ROUND(AC232*VLOOKUP(INDEX('章节与怪物'!$E$31:$K$37,B232,2),'章节与怪物'!$A$41:$F$44,2,FALSE),0)+IF(2=D232,ROUND(AC232*'难度参数'!$E$28*'章节与怪物'!$E$17,0),0))</x:f>
        <x:v>146300</x:v>
      </x:c>
      <x:c r="AE232" s="119" t="n">
        <x:f>IF(AB232=0,0,(AB232-IF(2=D232,1,0))*VLOOKUP(INDEX('章节与怪物'!$E$31:$K$37,B232,2),'章节与怪物'!$A$41:$F$44,4,FALSE)+IF(2=D232,'难度参数'!$E$30,0))</x:f>
        <x:v>504</x:v>
      </x:c>
      <x:c r="AF232" s="119" t="n">
        <x:f>IF(3&gt;D232,0,MAX(2,MIN('难度参数'!$E$12,ROUND(('难度参数'!$E$18*POWER(A232,'难度参数'!$E$19)/D232*(0.85+0.3*(3-1)/MAX(1,D232-1))),0)+F232)))</x:f>
        <x:v>30</x:v>
      </x:c>
      <x:c r="AG232" s="119" t="n">
        <x:f>IF(3&gt;D232,0,ROUND(('难度参数'!$E$13*POWER(A232,'难度参数'!$E$20)*MIN('难度参数'!$E$23,1+MAX(0,A232-'难度参数'!$E$21)*'难度参数'!$E$22))*(36+3*7)/(36+7*(D232+1)/2)*E232,0))</x:f>
        <x:v>5956</x:v>
      </x:c>
      <x:c r="AH232" s="119" t="n">
        <x:f>IF(AF232=0,0,(AF232-IF(3=D232,1,0))*ROUND(AG232*VLOOKUP(INDEX('章节与怪物'!$E$31:$K$37,B232,3),'章节与怪物'!$A$41:$F$44,2,FALSE),0)+IF(3=D232,ROUND(AG232*'难度参数'!$E$28*'章节与怪物'!$E$17,0),0))</x:f>
        <x:v>303750</x:v>
      </x:c>
      <x:c r="AI232" s="119" t="n">
        <x:f>IF(AF232=0,0,(AF232-IF(3=D232,1,0))*VLOOKUP(INDEX('章节与怪物'!$E$31:$K$37,B232,3),'章节与怪物'!$A$41:$F$44,4,FALSE)+IF(3=D232,'难度参数'!$E$30,0))</x:f>
        <x:v>840</x:v>
      </x:c>
      <x:c r="AJ232" s="119" t="n">
        <x:f>IF(4&gt;D232,0,MAX(2,MIN('难度参数'!$E$12,ROUND(('难度参数'!$E$18*POWER(A232,'难度参数'!$E$19)/D232*(0.85+0.3*(4-1)/MAX(1,D232-1))),0)+F232)))</x:f>
        <x:v>31</x:v>
      </x:c>
      <x:c r="AK232" s="119" t="n">
        <x:f>IF(4&gt;D232,0,ROUND(('难度参数'!$E$13*POWER(A232,'难度参数'!$E$20)*MIN('难度参数'!$E$23,1+MAX(0,A232-'难度参数'!$E$21)*'难度参数'!$E$22))*(36+4*7)/(36+7*(D232+1)/2)*E232,0))</x:f>
        <x:v>6688</x:v>
      </x:c>
      <x:c r="AL232" s="119" t="n">
        <x:f>IF(AJ232=0,0,(AJ232-IF(4=D232,1,0))*ROUND(AK232*VLOOKUP(INDEX('章节与怪物'!$E$31:$K$37,B232,4),'章节与怪物'!$A$41:$F$44,2,FALSE),0)+IF(4=D232,ROUND(AK232*'难度参数'!$E$28*'章节与怪物'!$E$17,0),0))</x:f>
        <x:v>279899</x:v>
      </x:c>
      <x:c r="AM232" s="119" t="n">
        <x:f>IF(AJ232=0,0,(AJ232-IF(4=D232,1,0))*VLOOKUP(INDEX('章节与怪物'!$E$31:$K$37,B232,4),'章节与怪物'!$A$41:$F$44,4,FALSE)+IF(4=D232,'难度参数'!$E$30,0))</x:f>
        <x:v>1054</x:v>
      </x:c>
      <x:c r="AN232" s="119" t="n">
        <x:f>IF(5&gt;D232,0,MAX(2,MIN('难度参数'!$E$12,ROUND(('难度参数'!$E$18*POWER(A232,'难度参数'!$E$19)/D232*(0.85+0.3*(5-1)/MAX(1,D232-1))),0)+F232)))</x:f>
        <x:v>33</x:v>
      </x:c>
      <x:c r="AO232" s="119" t="n">
        <x:f>IF(5&gt;D232,0,ROUND(('难度参数'!$E$13*POWER(A232,'难度参数'!$E$20)*MIN('难度参数'!$E$23,1+MAX(0,A232-'难度参数'!$E$21)*'难度参数'!$E$22))*(36+5*7)/(36+7*(D232+1)/2)*E232,0))</x:f>
        <x:v>7419</x:v>
      </x:c>
      <x:c r="AP232" s="119" t="n">
        <x:f>IF(AN232=0,0,(AN232-IF(5=D232,1,0))*ROUND(AO232*VLOOKUP(INDEX('章节与怪物'!$E$31:$K$37,B232,5),'章节与怪物'!$A$41:$F$44,2,FALSE),0)+IF(5=D232,ROUND(AO232*'难度参数'!$E$28*'章节与怪物'!$E$17,0),0))</x:f>
        <x:v>244827</x:v>
      </x:c>
      <x:c r="AQ232" s="119" t="n">
        <x:f>IF(AN232=0,0,(AN232-IF(5=D232,1,0))*VLOOKUP(INDEX('章节与怪物'!$E$31:$K$37,B232,5),'章节与怪物'!$A$41:$F$44,4,FALSE)+IF(5=D232,'难度参数'!$E$30,0))</x:f>
        <x:v>594</x:v>
      </x:c>
      <x:c r="AR232" s="119" t="n">
        <x:f>IF(6&gt;D232,0,MAX(2,MIN('难度参数'!$E$12,ROUND(('难度参数'!$E$18*POWER(A232,'难度参数'!$E$19)/D232*(0.85+0.3*(6-1)/MAX(1,D232-1))),0)+F232)))</x:f>
        <x:v>35</x:v>
      </x:c>
      <x:c r="AS232" s="119" t="n">
        <x:f>IF(6&gt;D232,0,ROUND(('难度参数'!$E$13*POWER(A232,'难度参数'!$E$20)*MIN('难度参数'!$E$23,1+MAX(0,A232-'难度参数'!$E$21)*'难度参数'!$E$22))*(36+6*7)/(36+7*(D232+1)/2)*E232,0))</x:f>
        <x:v>8151</x:v>
      </x:c>
      <x:c r="AT232" s="119" t="n">
        <x:f>IF(AR232=0,0,(AR232-IF(6=D232,1,0))*ROUND(AS232*VLOOKUP(INDEX('章节与怪物'!$E$31:$K$37,B232,6),'章节与怪物'!$A$41:$F$44,2,FALSE),0)+IF(6=D232,ROUND(AS232*'难度参数'!$E$28*'章节与怪物'!$E$17,0),0))</x:f>
        <x:v>205415</x:v>
      </x:c>
      <x:c r="AU232" s="119" t="n">
        <x:f>IF(AR232=0,0,(AR232-IF(6=D232,1,0))*VLOOKUP(INDEX('章节与怪物'!$E$31:$K$37,B232,6),'章节与怪物'!$A$41:$F$44,4,FALSE)+IF(6=D232,'难度参数'!$E$30,0))</x:f>
        <x:v>700</x:v>
      </x:c>
      <x:c r="AV232" s="119" t="n">
        <x:f>IF(7&gt;D232,0,MAX(2,MIN('难度参数'!$E$12,ROUND(('难度参数'!$E$18*POWER(A232,'难度参数'!$E$19)/D232*(0.85+0.3*(7-1)/MAX(1,D232-1))),0)+F232)))</x:f>
        <x:v>36</x:v>
      </x:c>
      <x:c r="AW232" s="119" t="n">
        <x:f>IF(7&gt;D232,0,ROUND(('难度参数'!$E$13*POWER(A232,'难度参数'!$E$20)*MIN('难度参数'!$E$23,1+MAX(0,A232-'难度参数'!$E$21)*'难度参数'!$E$22))*(36+7*7)/(36+7*(D232+1)/2)*E232,0))</x:f>
        <x:v>8882</x:v>
      </x:c>
      <x:c r="AX232" s="119" t="n">
        <x:f>IF(AV232=0,0,(AV232-IF(7=D232,1,0))*ROUND(AW232*VLOOKUP(INDEX('章节与怪物'!$E$31:$K$37,B232,7),'章节与怪物'!$A$41:$F$44,2,FALSE),0)+IF(7=D232,ROUND(AW232*'难度参数'!$E$28*'章节与怪物'!$E$17,0),0))</x:f>
        <x:v>480083</x:v>
      </x:c>
      <x:c r="AY232" s="119" t="n">
        <x:f>IF(AV232=0,0,(AV232-IF(7=D232,1,0))*VLOOKUP(INDEX('章节与怪物'!$E$31:$K$37,B232,7),'章节与怪物'!$A$41:$F$44,4,FALSE)+IF(7=D232,'难度参数'!$E$30,0))</x:f>
        <x:v>1390</x:v>
      </x:c>
    </x:row>
    <x:row r="233" ht="23" customHeight="1">
      <x:c r="A233" s="119" t="n">
        <x:v>227</x:v>
      </x:c>
      <x:c r="B233" s="119" t="n">
        <x:f>MOD(INT((A233-1)/5),7)+1</x:f>
        <x:v>4</x:v>
      </x:c>
      <x:c r="C233" s="62" t="str">
        <x:f>INDEX('章节与怪物'!$B$31:$B$37,B233)</x:f>
        <x:v>翠野边城</x:v>
      </x:c>
      <x:c r="D233" s="119" t="n">
        <x:f>MIN('难度参数'!$E$8,MAX('难度参数'!$E$7,A233))</x:f>
        <x:v>7</x:v>
      </x:c>
      <x:c r="E233" s="106" t="n">
        <x:v>1</x:v>
      </x:c>
      <x:c r="F233" s="106" t="n">
        <x:v>0</x:v>
      </x:c>
      <x:c r="G233" s="106" t="n">
        <x:v>1</x:v>
      </x:c>
      <x:c r="H233" s="119" t="n">
        <x:f>SUM(X233,AB233,AF233,AJ233,AN233,AR233,AV233)</x:f>
        <x:v>220</x:v>
      </x:c>
      <x:c r="I233" s="119" t="n">
        <x:f>SUM(Z233,AD233,AH233,AL233,AP233,AT233,AX233)</x:f>
        <x:v>1753234</x:v>
      </x:c>
      <x:c r="J233" s="119" t="n">
        <x:f>ROUND(INDEX(X233:AY233,1,(D233-1)*4+2)*'难度参数'!$E$28*'章节与怪物'!$E$17,0)</x:f>
        <x:v>60595</x:v>
      </x:c>
      <x:c r="K233" s="119" t="n">
        <x:f>SUM(AA233,AE233,AI233,AM233,AQ233,AU233,AY233)</x:f>
        <x:v>5622</x:v>
      </x:c>
      <x:c r="L233" s="62" t="n">
        <x:f>H233*(ROUNDUP('难度参数'!$E$24/('难度参数'!$E$26*'难度参数'!$E$27),0)*'难度参数'!$E$26)/60</x:f>
        <x:v>2.933333333333333</x:v>
      </x:c>
      <x:c r="M233" s="62" t="n">
        <x:f>L233+D233*('难度参数'!$E$49+'难度参数'!$E$50)/60</x:f>
        <x:v>4.1</x:v>
      </x:c>
      <x:c r="N233" s="119" t="n">
        <x:f>ROUNDDOWN(('经济参数'!$E$20+A233*'经济参数'!$E$21)*G233,0)</x:f>
        <x:v>4720</x:v>
      </x:c>
      <x:c r="O233" s="119" t="n">
        <x:f>ROUNDDOWN(MIN('经济参数'!$E$24,'经济参数'!$E$22+A233*'经济参数'!$E$23)*G233,0)</x:f>
        <x:v>0</x:v>
      </x:c>
      <x:c r="P233" s="119" t="n">
        <x:f>ROUNDDOWN((IF(A233&gt;='材料与任务'!$E$31,'材料与任务'!$E$32,IF(A233&gt;='材料与任务'!$E$25,'材料与任务'!$E$26,IF(A233&gt;='材料与任务'!$E$19,'材料与任务'!$E$20,IF(A233&gt;='材料与任务'!$E$13,'材料与任务'!$E$14,'材料与任务'!$E$8)))))*G233,0)</x:f>
        <x:v>6</x:v>
      </x:c>
      <x:c r="Q233" s="119" t="n">
        <x:f>ROUNDDOWN((IF(A233&gt;='材料与任务'!$E$31,'材料与任务'!$E$33,IF(A233&gt;='材料与任务'!$E$25,'材料与任务'!$E$27,IF(A233&gt;='材料与任务'!$E$19,'材料与任务'!$E$21,IF(A233&gt;='材料与任务'!$E$13,'材料与任务'!$E$15,'材料与任务'!$E$9)))))*G233,0)</x:f>
        <x:v>3</x:v>
      </x:c>
      <x:c r="R233" s="110" t="n">
        <x:f>'装备掉落'!$B$38</x:f>
        <x:v>0.6872058758851213</x:v>
      </x:c>
      <x:c r="S233" s="119" t="n">
        <x:f>MAX(IF(VLOOKUP(A233,'装备掉落'!$A$29:$H$34,2,TRUE)&gt;0,1,0),IF(VLOOKUP(A233,'装备掉落'!$A$29:$H$34,3,TRUE)&gt;0,2,0),IF(VLOOKUP(A233,'装备掉落'!$A$29:$H$34,4,TRUE)&gt;0,3,0),IF(VLOOKUP(A233,'装备掉落'!$A$29:$H$34,5,TRUE)&gt;0,4,0),IF(VLOOKUP(A233,'装备掉落'!$A$29:$H$34,6,TRUE)&gt;0,5,0),IF(VLOOKUP(A233,'装备掉落'!$A$29:$H$34,7,TRUE)&gt;0,6,0),IF(VLOOKUP(A233,'装备掉落'!$A$29:$H$34,8,TRUE)&gt;0,7,0))</x:f>
        <x:v>7</x:v>
      </x:c>
      <x:c r="T233" s="119" t="n">
        <x:f>MIN(7,S233+'经济参数'!$E$70)</x:f>
        <x:v>7</x:v>
      </x:c>
      <x:c r="U233" s="119" t="n">
        <x:f>MIN(7,S233+'经济参数'!$E$71)</x:f>
        <x:v>7</x:v>
      </x:c>
      <x:c r="V233" s="119" t="n">
        <x:f>IF(H233&gt;=('难度参数'!$E$52),1,0)+IF(H233&gt;=('难度参数'!$E$52+'难度参数'!$E$53),1,0)+IF(H233&gt;=('难度参数'!$E$52+'难度参数'!$E$53+'难度参数'!$E$54),1,0)+IF(H233&gt;=('难度参数'!$E$52+'难度参数'!$E$53+'难度参数'!$E$54+'难度参数'!$E$55),1,0)+IF(H233&gt;=('难度参数'!$E$52+'难度参数'!$E$53+'难度参数'!$E$54+'难度参数'!$E$55+'难度参数'!$E$56),1,0)+IF(H233&gt;=('难度参数'!$E$52+'难度参数'!$E$53+'难度参数'!$E$54+'难度参数'!$E$55+'难度参数'!$E$56+'难度参数'!$E$57),1,0)</x:f>
        <x:v>6</x:v>
      </x:c>
      <x:c r="W233" s="62" t="str">
        <x:f>IF(L233&gt;'难度参数'!$E$51,"仅出怪已超目标","还需实测")</x:f>
        <x:v>还需实测</x:v>
      </x:c>
      <x:c r="X233" s="119" t="n">
        <x:f>IF(1&gt;D233,0,MAX(2,MIN('难度参数'!$E$12,ROUND(('难度参数'!$E$18*POWER(A233,'难度参数'!$E$19)/D233*(0.85+0.3*(1-1)/MAX(1,D233-1))),0)+F233)))</x:f>
        <x:v>27</x:v>
      </x:c>
      <x:c r="Y233" s="119" t="n">
        <x:f>IF(1&gt;D233,0,ROUND(('难度参数'!$E$13*POWER(A233,'难度参数'!$E$20)*MIN('难度参数'!$E$23,1+MAX(0,A233-'难度参数'!$E$21)*'难度参数'!$E$22))*(36+1*7)/(36+7*(D233+1)/2)*E233,0))</x:f>
        <x:v>4508</x:v>
      </x:c>
      <x:c r="Z233" s="119" t="n">
        <x:f>IF(X233=0,0,(X233-IF(1=D233,1,0))*ROUND(Y233*VLOOKUP(INDEX('章节与怪物'!$E$31:$K$37,B233,1),'章节与怪物'!$A$41:$F$44,2,FALSE),0)+IF(1=D233,ROUND(Y233*'难度参数'!$E$28*'章节与怪物'!$E$17,0),0))</x:f>
        <x:v>87642</x:v>
      </x:c>
      <x:c r="AA233" s="119" t="n">
        <x:f>IF(X233=0,0,(X233-IF(1=D233,1,0))*VLOOKUP(INDEX('章节与怪物'!$E$31:$K$37,B233,1),'章节与怪物'!$A$41:$F$44,4,FALSE)+IF(1=D233,'难度参数'!$E$30,0))</x:f>
        <x:v>540</x:v>
      </x:c>
      <x:c r="AB233" s="119" t="n">
        <x:f>IF(2&gt;D233,0,MAX(2,MIN('难度参数'!$E$12,ROUND(('难度参数'!$E$18*POWER(A233,'难度参数'!$E$19)/D233*(0.85+0.3*(2-1)/MAX(1,D233-1))),0)+F233)))</x:f>
        <x:v>28</x:v>
      </x:c>
      <x:c r="AC233" s="119" t="n">
        <x:f>IF(2&gt;D233,0,ROUND(('难度参数'!$E$13*POWER(A233,'难度参数'!$E$20)*MIN('难度参数'!$E$23,1+MAX(0,A233-'难度参数'!$E$21)*'难度参数'!$E$22))*(36+2*7)/(36+7*(D233+1)/2)*E233,0))</x:f>
        <x:v>5242</x:v>
      </x:c>
      <x:c r="AD233" s="119" t="n">
        <x:f>IF(AB233=0,0,(AB233-IF(2=D233,1,0))*ROUND(AC233*VLOOKUP(INDEX('章节与怪物'!$E$31:$K$37,B233,2),'章节与怪物'!$A$41:$F$44,2,FALSE),0)+IF(2=D233,ROUND(AC233*'难度参数'!$E$28*'章节与怪物'!$E$17,0),0))</x:f>
        <x:v>146776</x:v>
      </x:c>
      <x:c r="AE233" s="119" t="n">
        <x:f>IF(AB233=0,0,(AB233-IF(2=D233,1,0))*VLOOKUP(INDEX('章节与怪物'!$E$31:$K$37,B233,2),'章节与怪物'!$A$41:$F$44,4,FALSE)+IF(2=D233,'难度参数'!$E$30,0))</x:f>
        <x:v>504</x:v>
      </x:c>
      <x:c r="AF233" s="119" t="n">
        <x:f>IF(3&gt;D233,0,MAX(2,MIN('难度参数'!$E$12,ROUND(('难度参数'!$E$18*POWER(A233,'难度参数'!$E$19)/D233*(0.85+0.3*(3-1)/MAX(1,D233-1))),0)+F233)))</x:f>
        <x:v>30</x:v>
      </x:c>
      <x:c r="AG233" s="119" t="n">
        <x:f>IF(3&gt;D233,0,ROUND(('难度参数'!$E$13*POWER(A233,'难度参数'!$E$20)*MIN('难度参数'!$E$23,1+MAX(0,A233-'难度参数'!$E$21)*'难度参数'!$E$22))*(36+3*7)/(36+7*(D233+1)/2)*E233,0))</x:f>
        <x:v>5975</x:v>
      </x:c>
      <x:c r="AH233" s="119" t="n">
        <x:f>IF(AF233=0,0,(AF233-IF(3=D233,1,0))*ROUND(AG233*VLOOKUP(INDEX('章节与怪物'!$E$31:$K$37,B233,3),'章节与怪物'!$A$41:$F$44,2,FALSE),0)+IF(3=D233,ROUND(AG233*'难度参数'!$E$28*'章节与怪物'!$E$17,0),0))</x:f>
        <x:v>304740</x:v>
      </x:c>
      <x:c r="AI233" s="119" t="n">
        <x:f>IF(AF233=0,0,(AF233-IF(3=D233,1,0))*VLOOKUP(INDEX('章节与怪物'!$E$31:$K$37,B233,3),'章节与怪物'!$A$41:$F$44,4,FALSE)+IF(3=D233,'难度参数'!$E$30,0))</x:f>
        <x:v>840</x:v>
      </x:c>
      <x:c r="AJ233" s="119" t="n">
        <x:f>IF(4&gt;D233,0,MAX(2,MIN('难度参数'!$E$12,ROUND(('难度参数'!$E$18*POWER(A233,'难度参数'!$E$19)/D233*(0.85+0.3*(4-1)/MAX(1,D233-1))),0)+F233)))</x:f>
        <x:v>31</x:v>
      </x:c>
      <x:c r="AK233" s="119" t="n">
        <x:f>IF(4&gt;D233,0,ROUND(('难度参数'!$E$13*POWER(A233,'难度参数'!$E$20)*MIN('难度参数'!$E$23,1+MAX(0,A233-'难度参数'!$E$21)*'难度参数'!$E$22))*(36+4*7)/(36+7*(D233+1)/2)*E233,0))</x:f>
        <x:v>6709</x:v>
      </x:c>
      <x:c r="AL233" s="119" t="n">
        <x:f>IF(AJ233=0,0,(AJ233-IF(4=D233,1,0))*ROUND(AK233*VLOOKUP(INDEX('章节与怪物'!$E$31:$K$37,B233,4),'章节与怪物'!$A$41:$F$44,2,FALSE),0)+IF(4=D233,ROUND(AK233*'难度参数'!$E$28*'章节与怪物'!$E$17,0),0))</x:f>
        <x:v>280767</x:v>
      </x:c>
      <x:c r="AM233" s="119" t="n">
        <x:f>IF(AJ233=0,0,(AJ233-IF(4=D233,1,0))*VLOOKUP(INDEX('章节与怪物'!$E$31:$K$37,B233,4),'章节与怪物'!$A$41:$F$44,4,FALSE)+IF(4=D233,'难度参数'!$E$30,0))</x:f>
        <x:v>1054</x:v>
      </x:c>
      <x:c r="AN233" s="119" t="n">
        <x:f>IF(5&gt;D233,0,MAX(2,MIN('难度参数'!$E$12,ROUND(('难度参数'!$E$18*POWER(A233,'难度参数'!$E$19)/D233*(0.85+0.3*(5-1)/MAX(1,D233-1))),0)+F233)))</x:f>
        <x:v>33</x:v>
      </x:c>
      <x:c r="AO233" s="119" t="n">
        <x:f>IF(5&gt;D233,0,ROUND(('难度参数'!$E$13*POWER(A233,'难度参数'!$E$20)*MIN('难度参数'!$E$23,1+MAX(0,A233-'难度参数'!$E$21)*'难度参数'!$E$22))*(36+5*7)/(36+7*(D233+1)/2)*E233,0))</x:f>
        <x:v>7443</x:v>
      </x:c>
      <x:c r="AP233" s="119" t="n">
        <x:f>IF(AN233=0,0,(AN233-IF(5=D233,1,0))*ROUND(AO233*VLOOKUP(INDEX('章节与怪物'!$E$31:$K$37,B233,5),'章节与怪物'!$A$41:$F$44,2,FALSE),0)+IF(5=D233,ROUND(AO233*'难度参数'!$E$28*'章节与怪物'!$E$17,0),0))</x:f>
        <x:v>245619</x:v>
      </x:c>
      <x:c r="AQ233" s="119" t="n">
        <x:f>IF(AN233=0,0,(AN233-IF(5=D233,1,0))*VLOOKUP(INDEX('章节与怪物'!$E$31:$K$37,B233,5),'章节与怪物'!$A$41:$F$44,4,FALSE)+IF(5=D233,'难度参数'!$E$30,0))</x:f>
        <x:v>594</x:v>
      </x:c>
      <x:c r="AR233" s="119" t="n">
        <x:f>IF(6&gt;D233,0,MAX(2,MIN('难度参数'!$E$12,ROUND(('难度参数'!$E$18*POWER(A233,'难度参数'!$E$19)/D233*(0.85+0.3*(6-1)/MAX(1,D233-1))),0)+F233)))</x:f>
        <x:v>35</x:v>
      </x:c>
      <x:c r="AS233" s="119" t="n">
        <x:f>IF(6&gt;D233,0,ROUND(('难度参数'!$E$13*POWER(A233,'难度参数'!$E$20)*MIN('难度参数'!$E$23,1+MAX(0,A233-'难度参数'!$E$21)*'难度参数'!$E$22))*(36+6*7)/(36+7*(D233+1)/2)*E233,0))</x:f>
        <x:v>8177</x:v>
      </x:c>
      <x:c r="AT233" s="119" t="n">
        <x:f>IF(AR233=0,0,(AR233-IF(6=D233,1,0))*ROUND(AS233*VLOOKUP(INDEX('章节与怪物'!$E$31:$K$37,B233,6),'章节与怪物'!$A$41:$F$44,2,FALSE),0)+IF(6=D233,ROUND(AS233*'难度参数'!$E$28*'章节与怪物'!$E$17,0),0))</x:f>
        <x:v>206045</x:v>
      </x:c>
      <x:c r="AU233" s="119" t="n">
        <x:f>IF(AR233=0,0,(AR233-IF(6=D233,1,0))*VLOOKUP(INDEX('章节与怪物'!$E$31:$K$37,B233,6),'章节与怪物'!$A$41:$F$44,4,FALSE)+IF(6=D233,'难度参数'!$E$30,0))</x:f>
        <x:v>700</x:v>
      </x:c>
      <x:c r="AV233" s="119" t="n">
        <x:f>IF(7&gt;D233,0,MAX(2,MIN('难度参数'!$E$12,ROUND(('难度参数'!$E$18*POWER(A233,'难度参数'!$E$19)/D233*(0.85+0.3*(7-1)/MAX(1,D233-1))),0)+F233)))</x:f>
        <x:v>36</x:v>
      </x:c>
      <x:c r="AW233" s="119" t="n">
        <x:f>IF(7&gt;D233,0,ROUND(('难度参数'!$E$13*POWER(A233,'难度参数'!$E$20)*MIN('难度参数'!$E$23,1+MAX(0,A233-'难度参数'!$E$21)*'难度参数'!$E$22))*(36+7*7)/(36+7*(D233+1)/2)*E233,0))</x:f>
        <x:v>8911</x:v>
      </x:c>
      <x:c r="AX233" s="119" t="n">
        <x:f>IF(AV233=0,0,(AV233-IF(7=D233,1,0))*ROUND(AW233*VLOOKUP(INDEX('章节与怪物'!$E$31:$K$37,B233,7),'章节与怪物'!$A$41:$F$44,2,FALSE),0)+IF(7=D233,ROUND(AW233*'难度参数'!$E$28*'章节与怪物'!$E$17,0),0))</x:f>
        <x:v>481645</x:v>
      </x:c>
      <x:c r="AY233" s="119" t="n">
        <x:f>IF(AV233=0,0,(AV233-IF(7=D233,1,0))*VLOOKUP(INDEX('章节与怪物'!$E$31:$K$37,B233,7),'章节与怪物'!$A$41:$F$44,4,FALSE)+IF(7=D233,'难度参数'!$E$30,0))</x:f>
        <x:v>1390</x:v>
      </x:c>
    </x:row>
    <x:row r="234" ht="23" customHeight="1">
      <x:c r="A234" s="119" t="n">
        <x:v>228</x:v>
      </x:c>
      <x:c r="B234" s="119" t="n">
        <x:f>MOD(INT((A234-1)/5),7)+1</x:f>
        <x:v>4</x:v>
      </x:c>
      <x:c r="C234" s="62" t="str">
        <x:f>INDEX('章节与怪物'!$B$31:$B$37,B234)</x:f>
        <x:v>翠野边城</x:v>
      </x:c>
      <x:c r="D234" s="119" t="n">
        <x:f>MIN('难度参数'!$E$8,MAX('难度参数'!$E$7,A234))</x:f>
        <x:v>7</x:v>
      </x:c>
      <x:c r="E234" s="106" t="n">
        <x:v>1</x:v>
      </x:c>
      <x:c r="F234" s="106" t="n">
        <x:v>0</x:v>
      </x:c>
      <x:c r="G234" s="106" t="n">
        <x:v>1</x:v>
      </x:c>
      <x:c r="H234" s="119" t="n">
        <x:f>SUM(X234,AB234,AF234,AJ234,AN234,AR234,AV234)</x:f>
        <x:v>221</x:v>
      </x:c>
      <x:c r="I234" s="119" t="n">
        <x:f>SUM(Z234,AD234,AH234,AL234,AP234,AT234,AX234)</x:f>
        <x:v>1767874</x:v>
      </x:c>
      <x:c r="J234" s="119" t="n">
        <x:f>ROUND(INDEX(X234:AY234,1,(D234-1)*4+2)*'难度参数'!$E$28*'章节与怪物'!$E$17,0)</x:f>
        <x:v>60785</x:v>
      </x:c>
      <x:c r="K234" s="119" t="n">
        <x:f>SUM(AA234,AE234,AI234,AM234,AQ234,AU234,AY234)</x:f>
        <x:v>5656</x:v>
      </x:c>
      <x:c r="L234" s="62" t="n">
        <x:f>H234*(ROUNDUP('难度参数'!$E$24/('难度参数'!$E$26*'难度参数'!$E$27),0)*'难度参数'!$E$26)/60</x:f>
        <x:v>2.9466666666666668</x:v>
      </x:c>
      <x:c r="M234" s="62" t="n">
        <x:f>L234+D234*('难度参数'!$E$49+'难度参数'!$E$50)/60</x:f>
        <x:v>4.113333333333333</x:v>
      </x:c>
      <x:c r="N234" s="119" t="n">
        <x:f>ROUNDDOWN(('经济参数'!$E$20+A234*'经济参数'!$E$21)*G234,0)</x:f>
        <x:v>4740</x:v>
      </x:c>
      <x:c r="O234" s="119" t="n">
        <x:f>ROUNDDOWN(MIN('经济参数'!$E$24,'经济参数'!$E$22+A234*'经济参数'!$E$23)*G234,0)</x:f>
        <x:v>0</x:v>
      </x:c>
      <x:c r="P234" s="119" t="n">
        <x:f>ROUNDDOWN((IF(A234&gt;='材料与任务'!$E$31,'材料与任务'!$E$32,IF(A234&gt;='材料与任务'!$E$25,'材料与任务'!$E$26,IF(A234&gt;='材料与任务'!$E$19,'材料与任务'!$E$20,IF(A234&gt;='材料与任务'!$E$13,'材料与任务'!$E$14,'材料与任务'!$E$8)))))*G234,0)</x:f>
        <x:v>6</x:v>
      </x:c>
      <x:c r="Q234" s="119" t="n">
        <x:f>ROUNDDOWN((IF(A234&gt;='材料与任务'!$E$31,'材料与任务'!$E$33,IF(A234&gt;='材料与任务'!$E$25,'材料与任务'!$E$27,IF(A234&gt;='材料与任务'!$E$19,'材料与任务'!$E$21,IF(A234&gt;='材料与任务'!$E$13,'材料与任务'!$E$15,'材料与任务'!$E$9)))))*G234,0)</x:f>
        <x:v>3</x:v>
      </x:c>
      <x:c r="R234" s="110" t="n">
        <x:f>'装备掉落'!$B$38</x:f>
        <x:v>0.6872058758851213</x:v>
      </x:c>
      <x:c r="S234" s="119" t="n">
        <x:f>MAX(IF(VLOOKUP(A234,'装备掉落'!$A$29:$H$34,2,TRUE)&gt;0,1,0),IF(VLOOKUP(A234,'装备掉落'!$A$29:$H$34,3,TRUE)&gt;0,2,0),IF(VLOOKUP(A234,'装备掉落'!$A$29:$H$34,4,TRUE)&gt;0,3,0),IF(VLOOKUP(A234,'装备掉落'!$A$29:$H$34,5,TRUE)&gt;0,4,0),IF(VLOOKUP(A234,'装备掉落'!$A$29:$H$34,6,TRUE)&gt;0,5,0),IF(VLOOKUP(A234,'装备掉落'!$A$29:$H$34,7,TRUE)&gt;0,6,0),IF(VLOOKUP(A234,'装备掉落'!$A$29:$H$34,8,TRUE)&gt;0,7,0))</x:f>
        <x:v>7</x:v>
      </x:c>
      <x:c r="T234" s="119" t="n">
        <x:f>MIN(7,S234+'经济参数'!$E$70)</x:f>
        <x:v>7</x:v>
      </x:c>
      <x:c r="U234" s="119" t="n">
        <x:f>MIN(7,S234+'经济参数'!$E$71)</x:f>
        <x:v>7</x:v>
      </x:c>
      <x:c r="V234" s="119" t="n">
        <x:f>IF(H234&gt;=('难度参数'!$E$52),1,0)+IF(H234&gt;=('难度参数'!$E$52+'难度参数'!$E$53),1,0)+IF(H234&gt;=('难度参数'!$E$52+'难度参数'!$E$53+'难度参数'!$E$54),1,0)+IF(H234&gt;=('难度参数'!$E$52+'难度参数'!$E$53+'难度参数'!$E$54+'难度参数'!$E$55),1,0)+IF(H234&gt;=('难度参数'!$E$52+'难度参数'!$E$53+'难度参数'!$E$54+'难度参数'!$E$55+'难度参数'!$E$56),1,0)+IF(H234&gt;=('难度参数'!$E$52+'难度参数'!$E$53+'难度参数'!$E$54+'难度参数'!$E$55+'难度参数'!$E$56+'难度参数'!$E$57),1,0)</x:f>
        <x:v>6</x:v>
      </x:c>
      <x:c r="W234" s="62" t="str">
        <x:f>IF(L234&gt;'难度参数'!$E$51,"仅出怪已超目标","还需实测")</x:f>
        <x:v>还需实测</x:v>
      </x:c>
      <x:c r="X234" s="119" t="n">
        <x:f>IF(1&gt;D234,0,MAX(2,MIN('难度参数'!$E$12,ROUND(('难度参数'!$E$18*POWER(A234,'难度参数'!$E$19)/D234*(0.85+0.3*(1-1)/MAX(1,D234-1))),0)+F234)))</x:f>
        <x:v>27</x:v>
      </x:c>
      <x:c r="Y234" s="119" t="n">
        <x:f>IF(1&gt;D234,0,ROUND(('难度参数'!$E$13*POWER(A234,'难度参数'!$E$20)*MIN('难度参数'!$E$23,1+MAX(0,A234-'难度参数'!$E$21)*'难度参数'!$E$22))*(36+1*7)/(36+7*(D234+1)/2)*E234,0))</x:f>
        <x:v>4522</x:v>
      </x:c>
      <x:c r="Z234" s="119" t="n">
        <x:f>IF(X234=0,0,(X234-IF(1=D234,1,0))*ROUND(Y234*VLOOKUP(INDEX('章节与怪物'!$E$31:$K$37,B234,1),'章节与怪物'!$A$41:$F$44,2,FALSE),0)+IF(1=D234,ROUND(Y234*'难度参数'!$E$28*'章节与怪物'!$E$17,0),0))</x:f>
        <x:v>87912</x:v>
      </x:c>
      <x:c r="AA234" s="119" t="n">
        <x:f>IF(X234=0,0,(X234-IF(1=D234,1,0))*VLOOKUP(INDEX('章节与怪物'!$E$31:$K$37,B234,1),'章节与怪物'!$A$41:$F$44,4,FALSE)+IF(1=D234,'难度参数'!$E$30,0))</x:f>
        <x:v>540</x:v>
      </x:c>
      <x:c r="AB234" s="119" t="n">
        <x:f>IF(2&gt;D234,0,MAX(2,MIN('难度参数'!$E$12,ROUND(('难度参数'!$E$18*POWER(A234,'难度参数'!$E$19)/D234*(0.85+0.3*(2-1)/MAX(1,D234-1))),0)+F234)))</x:f>
        <x:v>28</x:v>
      </x:c>
      <x:c r="AC234" s="119" t="n">
        <x:f>IF(2&gt;D234,0,ROUND(('难度参数'!$E$13*POWER(A234,'难度参数'!$E$20)*MIN('难度参数'!$E$23,1+MAX(0,A234-'难度参数'!$E$21)*'难度参数'!$E$22))*(36+2*7)/(36+7*(D234+1)/2)*E234,0))</x:f>
        <x:v>5258</x:v>
      </x:c>
      <x:c r="AD234" s="119" t="n">
        <x:f>IF(AB234=0,0,(AB234-IF(2=D234,1,0))*ROUND(AC234*VLOOKUP(INDEX('章节与怪物'!$E$31:$K$37,B234,2),'章节与怪物'!$A$41:$F$44,2,FALSE),0)+IF(2=D234,ROUND(AC234*'难度参数'!$E$28*'章节与怪物'!$E$17,0),0))</x:f>
        <x:v>147224</x:v>
      </x:c>
      <x:c r="AE234" s="119" t="n">
        <x:f>IF(AB234=0,0,(AB234-IF(2=D234,1,0))*VLOOKUP(INDEX('章节与怪物'!$E$31:$K$37,B234,2),'章节与怪物'!$A$41:$F$44,4,FALSE)+IF(2=D234,'难度参数'!$E$30,0))</x:f>
        <x:v>504</x:v>
      </x:c>
      <x:c r="AF234" s="119" t="n">
        <x:f>IF(3&gt;D234,0,MAX(2,MIN('难度参数'!$E$12,ROUND(('难度参数'!$E$18*POWER(A234,'难度参数'!$E$19)/D234*(0.85+0.3*(3-1)/MAX(1,D234-1))),0)+F234)))</x:f>
        <x:v>30</x:v>
      </x:c>
      <x:c r="AG234" s="119" t="n">
        <x:f>IF(3&gt;D234,0,ROUND(('难度参数'!$E$13*POWER(A234,'难度参数'!$E$20)*MIN('难度参数'!$E$23,1+MAX(0,A234-'难度参数'!$E$21)*'难度参数'!$E$22))*(36+3*7)/(36+7*(D234+1)/2)*E234,0))</x:f>
        <x:v>5994</x:v>
      </x:c>
      <x:c r="AH234" s="119" t="n">
        <x:f>IF(AF234=0,0,(AF234-IF(3=D234,1,0))*ROUND(AG234*VLOOKUP(INDEX('章节与怪物'!$E$31:$K$37,B234,3),'章节与怪物'!$A$41:$F$44,2,FALSE),0)+IF(3=D234,ROUND(AG234*'难度参数'!$E$28*'章节与怪物'!$E$17,0),0))</x:f>
        <x:v>305700</x:v>
      </x:c>
      <x:c r="AI234" s="119" t="n">
        <x:f>IF(AF234=0,0,(AF234-IF(3=D234,1,0))*VLOOKUP(INDEX('章节与怪物'!$E$31:$K$37,B234,3),'章节与怪物'!$A$41:$F$44,4,FALSE)+IF(3=D234,'难度参数'!$E$30,0))</x:f>
        <x:v>840</x:v>
      </x:c>
      <x:c r="AJ234" s="119" t="n">
        <x:f>IF(4&gt;D234,0,MAX(2,MIN('难度参数'!$E$12,ROUND(('难度参数'!$E$18*POWER(A234,'难度参数'!$E$19)/D234*(0.85+0.3*(4-1)/MAX(1,D234-1))),0)+F234)))</x:f>
        <x:v>32</x:v>
      </x:c>
      <x:c r="AK234" s="119" t="n">
        <x:f>IF(4&gt;D234,0,ROUND(('难度参数'!$E$13*POWER(A234,'难度参数'!$E$20)*MIN('难度参数'!$E$23,1+MAX(0,A234-'难度参数'!$E$21)*'难度参数'!$E$22))*(36+4*7)/(36+7*(D234+1)/2)*E234,0))</x:f>
        <x:v>6730</x:v>
      </x:c>
      <x:c r="AL234" s="119" t="n">
        <x:f>IF(AJ234=0,0,(AJ234-IF(4=D234,1,0))*ROUND(AK234*VLOOKUP(INDEX('章节与怪物'!$E$31:$K$37,B234,4),'章节与怪物'!$A$41:$F$44,2,FALSE),0)+IF(4=D234,ROUND(AK234*'难度参数'!$E$28*'章节与怪物'!$E$17,0),0))</x:f>
        <x:v>290752</x:v>
      </x:c>
      <x:c r="AM234" s="119" t="n">
        <x:f>IF(AJ234=0,0,(AJ234-IF(4=D234,1,0))*VLOOKUP(INDEX('章节与怪物'!$E$31:$K$37,B234,4),'章节与怪物'!$A$41:$F$44,4,FALSE)+IF(4=D234,'难度参数'!$E$30,0))</x:f>
        <x:v>1088</x:v>
      </x:c>
      <x:c r="AN234" s="119" t="n">
        <x:f>IF(5&gt;D234,0,MAX(2,MIN('难度参数'!$E$12,ROUND(('难度参数'!$E$18*POWER(A234,'难度参数'!$E$19)/D234*(0.85+0.3*(5-1)/MAX(1,D234-1))),0)+F234)))</x:f>
        <x:v>33</x:v>
      </x:c>
      <x:c r="AO234" s="119" t="n">
        <x:f>IF(5&gt;D234,0,ROUND(('难度参数'!$E$13*POWER(A234,'难度参数'!$E$20)*MIN('难度参数'!$E$23,1+MAX(0,A234-'难度参数'!$E$21)*'难度参数'!$E$22))*(36+5*7)/(36+7*(D234+1)/2)*E234,0))</x:f>
        <x:v>7467</x:v>
      </x:c>
      <x:c r="AP234" s="119" t="n">
        <x:f>IF(AN234=0,0,(AN234-IF(5=D234,1,0))*ROUND(AO234*VLOOKUP(INDEX('章节与怪物'!$E$31:$K$37,B234,5),'章节与怪物'!$A$41:$F$44,2,FALSE),0)+IF(5=D234,ROUND(AO234*'难度参数'!$E$28*'章节与怪物'!$E$17,0),0))</x:f>
        <x:v>246411</x:v>
      </x:c>
      <x:c r="AQ234" s="119" t="n">
        <x:f>IF(AN234=0,0,(AN234-IF(5=D234,1,0))*VLOOKUP(INDEX('章节与怪物'!$E$31:$K$37,B234,5),'章节与怪物'!$A$41:$F$44,4,FALSE)+IF(5=D234,'难度参数'!$E$30,0))</x:f>
        <x:v>594</x:v>
      </x:c>
      <x:c r="AR234" s="119" t="n">
        <x:f>IF(6&gt;D234,0,MAX(2,MIN('难度参数'!$E$12,ROUND(('难度参数'!$E$18*POWER(A234,'难度参数'!$E$19)/D234*(0.85+0.3*(6-1)/MAX(1,D234-1))),0)+F234)))</x:f>
        <x:v>35</x:v>
      </x:c>
      <x:c r="AS234" s="119" t="n">
        <x:f>IF(6&gt;D234,0,ROUND(('难度参数'!$E$13*POWER(A234,'难度参数'!$E$20)*MIN('难度参数'!$E$23,1+MAX(0,A234-'难度参数'!$E$21)*'难度参数'!$E$22))*(36+6*7)/(36+7*(D234+1)/2)*E234,0))</x:f>
        <x:v>8203</x:v>
      </x:c>
      <x:c r="AT234" s="119" t="n">
        <x:f>IF(AR234=0,0,(AR234-IF(6=D234,1,0))*ROUND(AS234*VLOOKUP(INDEX('章节与怪物'!$E$31:$K$37,B234,6),'章节与怪物'!$A$41:$F$44,2,FALSE),0)+IF(6=D234,ROUND(AS234*'难度参数'!$E$28*'章节与怪物'!$E$17,0),0))</x:f>
        <x:v>206710</x:v>
      </x:c>
      <x:c r="AU234" s="119" t="n">
        <x:f>IF(AR234=0,0,(AR234-IF(6=D234,1,0))*VLOOKUP(INDEX('章节与怪物'!$E$31:$K$37,B234,6),'章节与怪物'!$A$41:$F$44,4,FALSE)+IF(6=D234,'难度参数'!$E$30,0))</x:f>
        <x:v>700</x:v>
      </x:c>
      <x:c r="AV234" s="119" t="n">
        <x:f>IF(7&gt;D234,0,MAX(2,MIN('难度参数'!$E$12,ROUND(('难度参数'!$E$18*POWER(A234,'难度参数'!$E$19)/D234*(0.85+0.3*(7-1)/MAX(1,D234-1))),0)+F234)))</x:f>
        <x:v>36</x:v>
      </x:c>
      <x:c r="AW234" s="119" t="n">
        <x:f>IF(7&gt;D234,0,ROUND(('难度参数'!$E$13*POWER(A234,'难度参数'!$E$20)*MIN('难度参数'!$E$23,1+MAX(0,A234-'难度参数'!$E$21)*'难度参数'!$E$22))*(36+7*7)/(36+7*(D234+1)/2)*E234,0))</x:f>
        <x:v>8939</x:v>
      </x:c>
      <x:c r="AX234" s="119" t="n">
        <x:f>IF(AV234=0,0,(AV234-IF(7=D234,1,0))*ROUND(AW234*VLOOKUP(INDEX('章节与怪物'!$E$31:$K$37,B234,7),'章节与怪物'!$A$41:$F$44,2,FALSE),0)+IF(7=D234,ROUND(AW234*'难度参数'!$E$28*'章节与怪物'!$E$17,0),0))</x:f>
        <x:v>483165</x:v>
      </x:c>
      <x:c r="AY234" s="119" t="n">
        <x:f>IF(AV234=0,0,(AV234-IF(7=D234,1,0))*VLOOKUP(INDEX('章节与怪物'!$E$31:$K$37,B234,7),'章节与怪物'!$A$41:$F$44,4,FALSE)+IF(7=D234,'难度参数'!$E$30,0))</x:f>
        <x:v>1390</x:v>
      </x:c>
    </x:row>
    <x:row r="235" ht="23" customHeight="1">
      <x:c r="A235" s="119" t="n">
        <x:v>229</x:v>
      </x:c>
      <x:c r="B235" s="119" t="n">
        <x:f>MOD(INT((A235-1)/5),7)+1</x:f>
        <x:v>4</x:v>
      </x:c>
      <x:c r="C235" s="62" t="str">
        <x:f>INDEX('章节与怪物'!$B$31:$B$37,B235)</x:f>
        <x:v>翠野边城</x:v>
      </x:c>
      <x:c r="D235" s="119" t="n">
        <x:f>MIN('难度参数'!$E$8,MAX('难度参数'!$E$7,A235))</x:f>
        <x:v>7</x:v>
      </x:c>
      <x:c r="E235" s="106" t="n">
        <x:v>1</x:v>
      </x:c>
      <x:c r="F235" s="106" t="n">
        <x:v>0</x:v>
      </x:c>
      <x:c r="G235" s="106" t="n">
        <x:v>1</x:v>
      </x:c>
      <x:c r="H235" s="119" t="n">
        <x:f>SUM(X235,AB235,AF235,AJ235,AN235,AR235,AV235)</x:f>
        <x:v>221</x:v>
      </x:c>
      <x:c r="I235" s="119" t="n">
        <x:f>SUM(Z235,AD235,AH235,AL235,AP235,AT235,AX235)</x:f>
        <x:v>1773418</x:v>
      </x:c>
      <x:c r="J235" s="119" t="n">
        <x:f>ROUND(INDEX(X235:AY235,1,(D235-1)*4+2)*'难度参数'!$E$28*'章节与怪物'!$E$17,0)</x:f>
        <x:v>60976</x:v>
      </x:c>
      <x:c r="K235" s="119" t="n">
        <x:f>SUM(AA235,AE235,AI235,AM235,AQ235,AU235,AY235)</x:f>
        <x:v>5656</x:v>
      </x:c>
      <x:c r="L235" s="62" t="n">
        <x:f>H235*(ROUNDUP('难度参数'!$E$24/('难度参数'!$E$26*'难度参数'!$E$27),0)*'难度参数'!$E$26)/60</x:f>
        <x:v>2.9466666666666668</x:v>
      </x:c>
      <x:c r="M235" s="62" t="n">
        <x:f>L235+D235*('难度参数'!$E$49+'难度参数'!$E$50)/60</x:f>
        <x:v>4.113333333333333</x:v>
      </x:c>
      <x:c r="N235" s="119" t="n">
        <x:f>ROUNDDOWN(('经济参数'!$E$20+A235*'经济参数'!$E$21)*G235,0)</x:f>
        <x:v>4760</x:v>
      </x:c>
      <x:c r="O235" s="119" t="n">
        <x:f>ROUNDDOWN(MIN('经济参数'!$E$24,'经济参数'!$E$22+A235*'经济参数'!$E$23)*G235,0)</x:f>
        <x:v>0</x:v>
      </x:c>
      <x:c r="P235" s="119" t="n">
        <x:f>ROUNDDOWN((IF(A235&gt;='材料与任务'!$E$31,'材料与任务'!$E$32,IF(A235&gt;='材料与任务'!$E$25,'材料与任务'!$E$26,IF(A235&gt;='材料与任务'!$E$19,'材料与任务'!$E$20,IF(A235&gt;='材料与任务'!$E$13,'材料与任务'!$E$14,'材料与任务'!$E$8)))))*G235,0)</x:f>
        <x:v>6</x:v>
      </x:c>
      <x:c r="Q235" s="119" t="n">
        <x:f>ROUNDDOWN((IF(A235&gt;='材料与任务'!$E$31,'材料与任务'!$E$33,IF(A235&gt;='材料与任务'!$E$25,'材料与任务'!$E$27,IF(A235&gt;='材料与任务'!$E$19,'材料与任务'!$E$21,IF(A235&gt;='材料与任务'!$E$13,'材料与任务'!$E$15,'材料与任务'!$E$9)))))*G235,0)</x:f>
        <x:v>3</x:v>
      </x:c>
      <x:c r="R235" s="110" t="n">
        <x:f>'装备掉落'!$B$38</x:f>
        <x:v>0.6872058758851213</x:v>
      </x:c>
      <x:c r="S235" s="119" t="n">
        <x:f>MAX(IF(VLOOKUP(A235,'装备掉落'!$A$29:$H$34,2,TRUE)&gt;0,1,0),IF(VLOOKUP(A235,'装备掉落'!$A$29:$H$34,3,TRUE)&gt;0,2,0),IF(VLOOKUP(A235,'装备掉落'!$A$29:$H$34,4,TRUE)&gt;0,3,0),IF(VLOOKUP(A235,'装备掉落'!$A$29:$H$34,5,TRUE)&gt;0,4,0),IF(VLOOKUP(A235,'装备掉落'!$A$29:$H$34,6,TRUE)&gt;0,5,0),IF(VLOOKUP(A235,'装备掉落'!$A$29:$H$34,7,TRUE)&gt;0,6,0),IF(VLOOKUP(A235,'装备掉落'!$A$29:$H$34,8,TRUE)&gt;0,7,0))</x:f>
        <x:v>7</x:v>
      </x:c>
      <x:c r="T235" s="119" t="n">
        <x:f>MIN(7,S235+'经济参数'!$E$70)</x:f>
        <x:v>7</x:v>
      </x:c>
      <x:c r="U235" s="119" t="n">
        <x:f>MIN(7,S235+'经济参数'!$E$71)</x:f>
        <x:v>7</x:v>
      </x:c>
      <x:c r="V235" s="119" t="n">
        <x:f>IF(H235&gt;=('难度参数'!$E$52),1,0)+IF(H235&gt;=('难度参数'!$E$52+'难度参数'!$E$53),1,0)+IF(H235&gt;=('难度参数'!$E$52+'难度参数'!$E$53+'难度参数'!$E$54),1,0)+IF(H235&gt;=('难度参数'!$E$52+'难度参数'!$E$53+'难度参数'!$E$54+'难度参数'!$E$55),1,0)+IF(H235&gt;=('难度参数'!$E$52+'难度参数'!$E$53+'难度参数'!$E$54+'难度参数'!$E$55+'难度参数'!$E$56),1,0)+IF(H235&gt;=('难度参数'!$E$52+'难度参数'!$E$53+'难度参数'!$E$54+'难度参数'!$E$55+'难度参数'!$E$56+'难度参数'!$E$57),1,0)</x:f>
        <x:v>6</x:v>
      </x:c>
      <x:c r="W235" s="62" t="str">
        <x:f>IF(L235&gt;'难度参数'!$E$51,"仅出怪已超目标","还需实测")</x:f>
        <x:v>还需实测</x:v>
      </x:c>
      <x:c r="X235" s="119" t="n">
        <x:f>IF(1&gt;D235,0,MAX(2,MIN('难度参数'!$E$12,ROUND(('难度参数'!$E$18*POWER(A235,'难度参数'!$E$19)/D235*(0.85+0.3*(1-1)/MAX(1,D235-1))),0)+F235)))</x:f>
        <x:v>27</x:v>
      </x:c>
      <x:c r="Y235" s="119" t="n">
        <x:f>IF(1&gt;D235,0,ROUND(('难度参数'!$E$13*POWER(A235,'难度参数'!$E$20)*MIN('难度参数'!$E$23,1+MAX(0,A235-'难度参数'!$E$21)*'难度参数'!$E$22))*(36+1*7)/(36+7*(D235+1)/2)*E235,0))</x:f>
        <x:v>4536</x:v>
      </x:c>
      <x:c r="Z235" s="119" t="n">
        <x:f>IF(X235=0,0,(X235-IF(1=D235,1,0))*ROUND(Y235*VLOOKUP(INDEX('章节与怪物'!$E$31:$K$37,B235,1),'章节与怪物'!$A$41:$F$44,2,FALSE),0)+IF(1=D235,ROUND(Y235*'难度参数'!$E$28*'章节与怪物'!$E$17,0),0))</x:f>
        <x:v>88182</x:v>
      </x:c>
      <x:c r="AA235" s="119" t="n">
        <x:f>IF(X235=0,0,(X235-IF(1=D235,1,0))*VLOOKUP(INDEX('章节与怪物'!$E$31:$K$37,B235,1),'章节与怪物'!$A$41:$F$44,4,FALSE)+IF(1=D235,'难度参数'!$E$30,0))</x:f>
        <x:v>540</x:v>
      </x:c>
      <x:c r="AB235" s="119" t="n">
        <x:f>IF(2&gt;D235,0,MAX(2,MIN('难度参数'!$E$12,ROUND(('难度参数'!$E$18*POWER(A235,'难度参数'!$E$19)/D235*(0.85+0.3*(2-1)/MAX(1,D235-1))),0)+F235)))</x:f>
        <x:v>28</x:v>
      </x:c>
      <x:c r="AC235" s="119" t="n">
        <x:f>IF(2&gt;D235,0,ROUND(('难度参数'!$E$13*POWER(A235,'难度参数'!$E$20)*MIN('难度参数'!$E$23,1+MAX(0,A235-'难度参数'!$E$21)*'难度参数'!$E$22))*(36+2*7)/(36+7*(D235+1)/2)*E235,0))</x:f>
        <x:v>5275</x:v>
      </x:c>
      <x:c r="AD235" s="119" t="n">
        <x:f>IF(AB235=0,0,(AB235-IF(2=D235,1,0))*ROUND(AC235*VLOOKUP(INDEX('章节与怪物'!$E$31:$K$37,B235,2),'章节与怪物'!$A$41:$F$44,2,FALSE),0)+IF(2=D235,ROUND(AC235*'难度参数'!$E$28*'章节与怪物'!$E$17,0),0))</x:f>
        <x:v>147700</x:v>
      </x:c>
      <x:c r="AE235" s="119" t="n">
        <x:f>IF(AB235=0,0,(AB235-IF(2=D235,1,0))*VLOOKUP(INDEX('章节与怪物'!$E$31:$K$37,B235,2),'章节与怪物'!$A$41:$F$44,4,FALSE)+IF(2=D235,'难度参数'!$E$30,0))</x:f>
        <x:v>504</x:v>
      </x:c>
      <x:c r="AF235" s="119" t="n">
        <x:f>IF(3&gt;D235,0,MAX(2,MIN('难度参数'!$E$12,ROUND(('难度参数'!$E$18*POWER(A235,'难度参数'!$E$19)/D235*(0.85+0.3*(3-1)/MAX(1,D235-1))),0)+F235)))</x:f>
        <x:v>30</x:v>
      </x:c>
      <x:c r="AG235" s="119" t="n">
        <x:f>IF(3&gt;D235,0,ROUND(('难度参数'!$E$13*POWER(A235,'难度参数'!$E$20)*MIN('难度参数'!$E$23,1+MAX(0,A235-'难度参数'!$E$21)*'难度参数'!$E$22))*(36+3*7)/(36+7*(D235+1)/2)*E235,0))</x:f>
        <x:v>6013</x:v>
      </x:c>
      <x:c r="AH235" s="119" t="n">
        <x:f>IF(AF235=0,0,(AF235-IF(3=D235,1,0))*ROUND(AG235*VLOOKUP(INDEX('章节与怪物'!$E$31:$K$37,B235,3),'章节与怪物'!$A$41:$F$44,2,FALSE),0)+IF(3=D235,ROUND(AG235*'难度参数'!$E$28*'章节与怪物'!$E$17,0),0))</x:f>
        <x:v>306660</x:v>
      </x:c>
      <x:c r="AI235" s="119" t="n">
        <x:f>IF(AF235=0,0,(AF235-IF(3=D235,1,0))*VLOOKUP(INDEX('章节与怪物'!$E$31:$K$37,B235,3),'章节与怪物'!$A$41:$F$44,4,FALSE)+IF(3=D235,'难度参数'!$E$30,0))</x:f>
        <x:v>840</x:v>
      </x:c>
      <x:c r="AJ235" s="119" t="n">
        <x:f>IF(4&gt;D235,0,MAX(2,MIN('难度参数'!$E$12,ROUND(('难度参数'!$E$18*POWER(A235,'难度参数'!$E$19)/D235*(0.85+0.3*(4-1)/MAX(1,D235-1))),0)+F235)))</x:f>
        <x:v>32</x:v>
      </x:c>
      <x:c r="AK235" s="119" t="n">
        <x:f>IF(4&gt;D235,0,ROUND(('难度参数'!$E$13*POWER(A235,'难度参数'!$E$20)*MIN('难度参数'!$E$23,1+MAX(0,A235-'难度参数'!$E$21)*'难度参数'!$E$22))*(36+4*7)/(36+7*(D235+1)/2)*E235,0))</x:f>
        <x:v>6752</x:v>
      </x:c>
      <x:c r="AL235" s="119" t="n">
        <x:f>IF(AJ235=0,0,(AJ235-IF(4=D235,1,0))*ROUND(AK235*VLOOKUP(INDEX('章节与怪物'!$E$31:$K$37,B235,4),'章节与怪物'!$A$41:$F$44,2,FALSE),0)+IF(4=D235,ROUND(AK235*'难度参数'!$E$28*'章节与怪物'!$E$17,0),0))</x:f>
        <x:v>291680</x:v>
      </x:c>
      <x:c r="AM235" s="119" t="n">
        <x:f>IF(AJ235=0,0,(AJ235-IF(4=D235,1,0))*VLOOKUP(INDEX('章节与怪物'!$E$31:$K$37,B235,4),'章节与怪物'!$A$41:$F$44,4,FALSE)+IF(4=D235,'难度参数'!$E$30,0))</x:f>
        <x:v>1088</x:v>
      </x:c>
      <x:c r="AN235" s="119" t="n">
        <x:f>IF(5&gt;D235,0,MAX(2,MIN('难度参数'!$E$12,ROUND(('难度参数'!$E$18*POWER(A235,'难度参数'!$E$19)/D235*(0.85+0.3*(5-1)/MAX(1,D235-1))),0)+F235)))</x:f>
        <x:v>33</x:v>
      </x:c>
      <x:c r="AO235" s="119" t="n">
        <x:f>IF(5&gt;D235,0,ROUND(('难度参数'!$E$13*POWER(A235,'难度参数'!$E$20)*MIN('难度参数'!$E$23,1+MAX(0,A235-'难度参数'!$E$21)*'难度参数'!$E$22))*(36+5*7)/(36+7*(D235+1)/2)*E235,0))</x:f>
        <x:v>7490</x:v>
      </x:c>
      <x:c r="AP235" s="119" t="n">
        <x:f>IF(AN235=0,0,(AN235-IF(5=D235,1,0))*ROUND(AO235*VLOOKUP(INDEX('章节与怪物'!$E$31:$K$37,B235,5),'章节与怪物'!$A$41:$F$44,2,FALSE),0)+IF(5=D235,ROUND(AO235*'难度参数'!$E$28*'章节与怪物'!$E$17,0),0))</x:f>
        <x:v>247170</x:v>
      </x:c>
      <x:c r="AQ235" s="119" t="n">
        <x:f>IF(AN235=0,0,(AN235-IF(5=D235,1,0))*VLOOKUP(INDEX('章节与怪物'!$E$31:$K$37,B235,5),'章节与怪物'!$A$41:$F$44,4,FALSE)+IF(5=D235,'难度参数'!$E$30,0))</x:f>
        <x:v>594</x:v>
      </x:c>
      <x:c r="AR235" s="119" t="n">
        <x:f>IF(6&gt;D235,0,MAX(2,MIN('难度参数'!$E$12,ROUND(('难度参数'!$E$18*POWER(A235,'难度参数'!$E$19)/D235*(0.85+0.3*(6-1)/MAX(1,D235-1))),0)+F235)))</x:f>
        <x:v>35</x:v>
      </x:c>
      <x:c r="AS235" s="119" t="n">
        <x:f>IF(6&gt;D235,0,ROUND(('难度参数'!$E$13*POWER(A235,'难度参数'!$E$20)*MIN('难度参数'!$E$23,1+MAX(0,A235-'难度参数'!$E$21)*'难度参数'!$E$22))*(36+6*7)/(36+7*(D235+1)/2)*E235,0))</x:f>
        <x:v>8229</x:v>
      </x:c>
      <x:c r="AT235" s="119" t="n">
        <x:f>IF(AR235=0,0,(AR235-IF(6=D235,1,0))*ROUND(AS235*VLOOKUP(INDEX('章节与怪物'!$E$31:$K$37,B235,6),'章节与怪物'!$A$41:$F$44,2,FALSE),0)+IF(6=D235,ROUND(AS235*'难度参数'!$E$28*'章节与怪物'!$E$17,0),0))</x:f>
        <x:v>207375</x:v>
      </x:c>
      <x:c r="AU235" s="119" t="n">
        <x:f>IF(AR235=0,0,(AR235-IF(6=D235,1,0))*VLOOKUP(INDEX('章节与怪物'!$E$31:$K$37,B235,6),'章节与怪物'!$A$41:$F$44,4,FALSE)+IF(6=D235,'难度参数'!$E$30,0))</x:f>
        <x:v>700</x:v>
      </x:c>
      <x:c r="AV235" s="119" t="n">
        <x:f>IF(7&gt;D235,0,MAX(2,MIN('难度参数'!$E$12,ROUND(('难度参数'!$E$18*POWER(A235,'难度参数'!$E$19)/D235*(0.85+0.3*(7-1)/MAX(1,D235-1))),0)+F235)))</x:f>
        <x:v>36</x:v>
      </x:c>
      <x:c r="AW235" s="119" t="n">
        <x:f>IF(7&gt;D235,0,ROUND(('难度参数'!$E$13*POWER(A235,'难度参数'!$E$20)*MIN('难度参数'!$E$23,1+MAX(0,A235-'难度参数'!$E$21)*'难度参数'!$E$22))*(36+7*7)/(36+7*(D235+1)/2)*E235,0))</x:f>
        <x:v>8967</x:v>
      </x:c>
      <x:c r="AX235" s="119" t="n">
        <x:f>IF(AV235=0,0,(AV235-IF(7=D235,1,0))*ROUND(AW235*VLOOKUP(INDEX('章节与怪物'!$E$31:$K$37,B235,7),'章节与怪物'!$A$41:$F$44,2,FALSE),0)+IF(7=D235,ROUND(AW235*'难度参数'!$E$28*'章节与怪物'!$E$17,0),0))</x:f>
        <x:v>484651</x:v>
      </x:c>
      <x:c r="AY235" s="119" t="n">
        <x:f>IF(AV235=0,0,(AV235-IF(7=D235,1,0))*VLOOKUP(INDEX('章节与怪物'!$E$31:$K$37,B235,7),'章节与怪物'!$A$41:$F$44,4,FALSE)+IF(7=D235,'难度参数'!$E$30,0))</x:f>
        <x:v>1390</x:v>
      </x:c>
    </x:row>
    <x:row r="236" ht="23" customHeight="1">
      <x:c r="A236" s="119" t="n">
        <x:v>230</x:v>
      </x:c>
      <x:c r="B236" s="119" t="n">
        <x:f>MOD(INT((A236-1)/5),7)+1</x:f>
        <x:v>4</x:v>
      </x:c>
      <x:c r="C236" s="62" t="str">
        <x:f>INDEX('章节与怪物'!$B$31:$B$37,B236)</x:f>
        <x:v>翠野边城</x:v>
      </x:c>
      <x:c r="D236" s="119" t="n">
        <x:f>MIN('难度参数'!$E$8,MAX('难度参数'!$E$7,A236))</x:f>
        <x:v>7</x:v>
      </x:c>
      <x:c r="E236" s="106" t="n">
        <x:v>1</x:v>
      </x:c>
      <x:c r="F236" s="106" t="n">
        <x:v>0</x:v>
      </x:c>
      <x:c r="G236" s="106" t="n">
        <x:v>1</x:v>
      </x:c>
      <x:c r="H236" s="119" t="n">
        <x:f>SUM(X236,AB236,AF236,AJ236,AN236,AR236,AV236)</x:f>
        <x:v>221</x:v>
      </x:c>
      <x:c r="I236" s="119" t="n">
        <x:f>SUM(Z236,AD236,AH236,AL236,AP236,AT236,AX236)</x:f>
        <x:v>1779028</x:v>
      </x:c>
      <x:c r="J236" s="119" t="n">
        <x:f>ROUND(INDEX(X236:AY236,1,(D236-1)*4+2)*'难度参数'!$E$28*'章节与怪物'!$E$17,0)</x:f>
        <x:v>61166</x:v>
      </x:c>
      <x:c r="K236" s="119" t="n">
        <x:f>SUM(AA236,AE236,AI236,AM236,AQ236,AU236,AY236)</x:f>
        <x:v>5656</x:v>
      </x:c>
      <x:c r="L236" s="62" t="n">
        <x:f>H236*(ROUNDUP('难度参数'!$E$24/('难度参数'!$E$26*'难度参数'!$E$27),0)*'难度参数'!$E$26)/60</x:f>
        <x:v>2.9466666666666668</x:v>
      </x:c>
      <x:c r="M236" s="62" t="n">
        <x:f>L236+D236*('难度参数'!$E$49+'难度参数'!$E$50)/60</x:f>
        <x:v>4.113333333333333</x:v>
      </x:c>
      <x:c r="N236" s="119" t="n">
        <x:f>ROUNDDOWN(('经济参数'!$E$20+A236*'经济参数'!$E$21)*G236,0)</x:f>
        <x:v>4780</x:v>
      </x:c>
      <x:c r="O236" s="119" t="n">
        <x:f>ROUNDDOWN(MIN('经济参数'!$E$24,'经济参数'!$E$22+A236*'经济参数'!$E$23)*G236,0)</x:f>
        <x:v>0</x:v>
      </x:c>
      <x:c r="P236" s="119" t="n">
        <x:f>ROUNDDOWN((IF(A236&gt;='材料与任务'!$E$31,'材料与任务'!$E$32,IF(A236&gt;='材料与任务'!$E$25,'材料与任务'!$E$26,IF(A236&gt;='材料与任务'!$E$19,'材料与任务'!$E$20,IF(A236&gt;='材料与任务'!$E$13,'材料与任务'!$E$14,'材料与任务'!$E$8)))))*G236,0)</x:f>
        <x:v>6</x:v>
      </x:c>
      <x:c r="Q236" s="119" t="n">
        <x:f>ROUNDDOWN((IF(A236&gt;='材料与任务'!$E$31,'材料与任务'!$E$33,IF(A236&gt;='材料与任务'!$E$25,'材料与任务'!$E$27,IF(A236&gt;='材料与任务'!$E$19,'材料与任务'!$E$21,IF(A236&gt;='材料与任务'!$E$13,'材料与任务'!$E$15,'材料与任务'!$E$9)))))*G236,0)</x:f>
        <x:v>3</x:v>
      </x:c>
      <x:c r="R236" s="110" t="n">
        <x:f>'装备掉落'!$B$38</x:f>
        <x:v>0.6872058758851213</x:v>
      </x:c>
      <x:c r="S236" s="119" t="n">
        <x:f>MAX(IF(VLOOKUP(A236,'装备掉落'!$A$29:$H$34,2,TRUE)&gt;0,1,0),IF(VLOOKUP(A236,'装备掉落'!$A$29:$H$34,3,TRUE)&gt;0,2,0),IF(VLOOKUP(A236,'装备掉落'!$A$29:$H$34,4,TRUE)&gt;0,3,0),IF(VLOOKUP(A236,'装备掉落'!$A$29:$H$34,5,TRUE)&gt;0,4,0),IF(VLOOKUP(A236,'装备掉落'!$A$29:$H$34,6,TRUE)&gt;0,5,0),IF(VLOOKUP(A236,'装备掉落'!$A$29:$H$34,7,TRUE)&gt;0,6,0),IF(VLOOKUP(A236,'装备掉落'!$A$29:$H$34,8,TRUE)&gt;0,7,0))</x:f>
        <x:v>7</x:v>
      </x:c>
      <x:c r="T236" s="119" t="n">
        <x:f>MIN(7,S236+'经济参数'!$E$70)</x:f>
        <x:v>7</x:v>
      </x:c>
      <x:c r="U236" s="119" t="n">
        <x:f>MIN(7,S236+'经济参数'!$E$71)</x:f>
        <x:v>7</x:v>
      </x:c>
      <x:c r="V236" s="119" t="n">
        <x:f>IF(H236&gt;=('难度参数'!$E$52),1,0)+IF(H236&gt;=('难度参数'!$E$52+'难度参数'!$E$53),1,0)+IF(H236&gt;=('难度参数'!$E$52+'难度参数'!$E$53+'难度参数'!$E$54),1,0)+IF(H236&gt;=('难度参数'!$E$52+'难度参数'!$E$53+'难度参数'!$E$54+'难度参数'!$E$55),1,0)+IF(H236&gt;=('难度参数'!$E$52+'难度参数'!$E$53+'难度参数'!$E$54+'难度参数'!$E$55+'难度参数'!$E$56),1,0)+IF(H236&gt;=('难度参数'!$E$52+'难度参数'!$E$53+'难度参数'!$E$54+'难度参数'!$E$55+'难度参数'!$E$56+'难度参数'!$E$57),1,0)</x:f>
        <x:v>6</x:v>
      </x:c>
      <x:c r="W236" s="62" t="str">
        <x:f>IF(L236&gt;'难度参数'!$E$51,"仅出怪已超目标","还需实测")</x:f>
        <x:v>还需实测</x:v>
      </x:c>
      <x:c r="X236" s="119" t="n">
        <x:f>IF(1&gt;D236,0,MAX(2,MIN('难度参数'!$E$12,ROUND(('难度参数'!$E$18*POWER(A236,'难度参数'!$E$19)/D236*(0.85+0.3*(1-1)/MAX(1,D236-1))),0)+F236)))</x:f>
        <x:v>27</x:v>
      </x:c>
      <x:c r="Y236" s="119" t="n">
        <x:f>IF(1&gt;D236,0,ROUND(('难度参数'!$E$13*POWER(A236,'难度参数'!$E$20)*MIN('难度参数'!$E$23,1+MAX(0,A236-'难度参数'!$E$21)*'难度参数'!$E$22))*(36+1*7)/(36+7*(D236+1)/2)*E236,0))</x:f>
        <x:v>4551</x:v>
      </x:c>
      <x:c r="Z236" s="119" t="n">
        <x:f>IF(X236=0,0,(X236-IF(1=D236,1,0))*ROUND(Y236*VLOOKUP(INDEX('章节与怪物'!$E$31:$K$37,B236,1),'章节与怪物'!$A$41:$F$44,2,FALSE),0)+IF(1=D236,ROUND(Y236*'难度参数'!$E$28*'章节与怪物'!$E$17,0),0))</x:f>
        <x:v>88479</x:v>
      </x:c>
      <x:c r="AA236" s="119" t="n">
        <x:f>IF(X236=0,0,(X236-IF(1=D236,1,0))*VLOOKUP(INDEX('章节与怪物'!$E$31:$K$37,B236,1),'章节与怪物'!$A$41:$F$44,4,FALSE)+IF(1=D236,'难度参数'!$E$30,0))</x:f>
        <x:v>540</x:v>
      </x:c>
      <x:c r="AB236" s="119" t="n">
        <x:f>IF(2&gt;D236,0,MAX(2,MIN('难度参数'!$E$12,ROUND(('难度参数'!$E$18*POWER(A236,'难度参数'!$E$19)/D236*(0.85+0.3*(2-1)/MAX(1,D236-1))),0)+F236)))</x:f>
        <x:v>28</x:v>
      </x:c>
      <x:c r="AC236" s="119" t="n">
        <x:f>IF(2&gt;D236,0,ROUND(('难度参数'!$E$13*POWER(A236,'难度参数'!$E$20)*MIN('难度参数'!$E$23,1+MAX(0,A236-'难度参数'!$E$21)*'难度参数'!$E$22))*(36+2*7)/(36+7*(D236+1)/2)*E236,0))</x:f>
        <x:v>5291</x:v>
      </x:c>
      <x:c r="AD236" s="119" t="n">
        <x:f>IF(AB236=0,0,(AB236-IF(2=D236,1,0))*ROUND(AC236*VLOOKUP(INDEX('章节与怪物'!$E$31:$K$37,B236,2),'章节与怪物'!$A$41:$F$44,2,FALSE),0)+IF(2=D236,ROUND(AC236*'难度参数'!$E$28*'章节与怪物'!$E$17,0),0))</x:f>
        <x:v>148148</x:v>
      </x:c>
      <x:c r="AE236" s="119" t="n">
        <x:f>IF(AB236=0,0,(AB236-IF(2=D236,1,0))*VLOOKUP(INDEX('章节与怪物'!$E$31:$K$37,B236,2),'章节与怪物'!$A$41:$F$44,4,FALSE)+IF(2=D236,'难度参数'!$E$30,0))</x:f>
        <x:v>504</x:v>
      </x:c>
      <x:c r="AF236" s="119" t="n">
        <x:f>IF(3&gt;D236,0,MAX(2,MIN('难度参数'!$E$12,ROUND(('难度参数'!$E$18*POWER(A236,'难度参数'!$E$19)/D236*(0.85+0.3*(3-1)/MAX(1,D236-1))),0)+F236)))</x:f>
        <x:v>30</x:v>
      </x:c>
      <x:c r="AG236" s="119" t="n">
        <x:f>IF(3&gt;D236,0,ROUND(('难度参数'!$E$13*POWER(A236,'难度参数'!$E$20)*MIN('难度参数'!$E$23,1+MAX(0,A236-'难度参数'!$E$21)*'难度参数'!$E$22))*(36+3*7)/(36+7*(D236+1)/2)*E236,0))</x:f>
        <x:v>6032</x:v>
      </x:c>
      <x:c r="AH236" s="119" t="n">
        <x:f>IF(AF236=0,0,(AF236-IF(3=D236,1,0))*ROUND(AG236*VLOOKUP(INDEX('章节与怪物'!$E$31:$K$37,B236,3),'章节与怪物'!$A$41:$F$44,2,FALSE),0)+IF(3=D236,ROUND(AG236*'难度参数'!$E$28*'章节与怪物'!$E$17,0),0))</x:f>
        <x:v>307620</x:v>
      </x:c>
      <x:c r="AI236" s="119" t="n">
        <x:f>IF(AF236=0,0,(AF236-IF(3=D236,1,0))*VLOOKUP(INDEX('章节与怪物'!$E$31:$K$37,B236,3),'章节与怪物'!$A$41:$F$44,4,FALSE)+IF(3=D236,'难度参数'!$E$30,0))</x:f>
        <x:v>840</x:v>
      </x:c>
      <x:c r="AJ236" s="119" t="n">
        <x:f>IF(4&gt;D236,0,MAX(2,MIN('难度参数'!$E$12,ROUND(('难度参数'!$E$18*POWER(A236,'难度参数'!$E$19)/D236*(0.85+0.3*(4-1)/MAX(1,D236-1))),0)+F236)))</x:f>
        <x:v>32</x:v>
      </x:c>
      <x:c r="AK236" s="119" t="n">
        <x:f>IF(4&gt;D236,0,ROUND(('难度参数'!$E$13*POWER(A236,'难度参数'!$E$20)*MIN('难度参数'!$E$23,1+MAX(0,A236-'难度参数'!$E$21)*'难度参数'!$E$22))*(36+4*7)/(36+7*(D236+1)/2)*E236,0))</x:f>
        <x:v>6773</x:v>
      </x:c>
      <x:c r="AL236" s="119" t="n">
        <x:f>IF(AJ236=0,0,(AJ236-IF(4=D236,1,0))*ROUND(AK236*VLOOKUP(INDEX('章节与怪物'!$E$31:$K$37,B236,4),'章节与怪物'!$A$41:$F$44,2,FALSE),0)+IF(4=D236,ROUND(AK236*'难度参数'!$E$28*'章节与怪物'!$E$17,0),0))</x:f>
        <x:v>292608</x:v>
      </x:c>
      <x:c r="AM236" s="119" t="n">
        <x:f>IF(AJ236=0,0,(AJ236-IF(4=D236,1,0))*VLOOKUP(INDEX('章节与怪物'!$E$31:$K$37,B236,4),'章节与怪物'!$A$41:$F$44,4,FALSE)+IF(4=D236,'难度参数'!$E$30,0))</x:f>
        <x:v>1088</x:v>
      </x:c>
      <x:c r="AN236" s="119" t="n">
        <x:f>IF(5&gt;D236,0,MAX(2,MIN('难度参数'!$E$12,ROUND(('难度参数'!$E$18*POWER(A236,'难度参数'!$E$19)/D236*(0.85+0.3*(5-1)/MAX(1,D236-1))),0)+F236)))</x:f>
        <x:v>33</x:v>
      </x:c>
      <x:c r="AO236" s="119" t="n">
        <x:f>IF(5&gt;D236,0,ROUND(('难度参数'!$E$13*POWER(A236,'难度参数'!$E$20)*MIN('难度参数'!$E$23,1+MAX(0,A236-'难度参数'!$E$21)*'难度参数'!$E$22))*(36+5*7)/(36+7*(D236+1)/2)*E236,0))</x:f>
        <x:v>7514</x:v>
      </x:c>
      <x:c r="AP236" s="119" t="n">
        <x:f>IF(AN236=0,0,(AN236-IF(5=D236,1,0))*ROUND(AO236*VLOOKUP(INDEX('章节与怪物'!$E$31:$K$37,B236,5),'章节与怪物'!$A$41:$F$44,2,FALSE),0)+IF(5=D236,ROUND(AO236*'难度参数'!$E$28*'章节与怪物'!$E$17,0),0))</x:f>
        <x:v>247962</x:v>
      </x:c>
      <x:c r="AQ236" s="119" t="n">
        <x:f>IF(AN236=0,0,(AN236-IF(5=D236,1,0))*VLOOKUP(INDEX('章节与怪物'!$E$31:$K$37,B236,5),'章节与怪物'!$A$41:$F$44,4,FALSE)+IF(5=D236,'难度参数'!$E$30,0))</x:f>
        <x:v>594</x:v>
      </x:c>
      <x:c r="AR236" s="119" t="n">
        <x:f>IF(6&gt;D236,0,MAX(2,MIN('难度参数'!$E$12,ROUND(('难度参数'!$E$18*POWER(A236,'难度参数'!$E$19)/D236*(0.85+0.3*(6-1)/MAX(1,D236-1))),0)+F236)))</x:f>
        <x:v>35</x:v>
      </x:c>
      <x:c r="AS236" s="119" t="n">
        <x:f>IF(6&gt;D236,0,ROUND(('难度参数'!$E$13*POWER(A236,'难度参数'!$E$20)*MIN('难度参数'!$E$23,1+MAX(0,A236-'难度参数'!$E$21)*'难度参数'!$E$22))*(36+6*7)/(36+7*(D236+1)/2)*E236,0))</x:f>
        <x:v>8255</x:v>
      </x:c>
      <x:c r="AT236" s="119" t="n">
        <x:f>IF(AR236=0,0,(AR236-IF(6=D236,1,0))*ROUND(AS236*VLOOKUP(INDEX('章节与怪物'!$E$31:$K$37,B236,6),'章节与怪物'!$A$41:$F$44,2,FALSE),0)+IF(6=D236,ROUND(AS236*'难度参数'!$E$28*'章节与怪物'!$E$17,0),0))</x:f>
        <x:v>208040</x:v>
      </x:c>
      <x:c r="AU236" s="119" t="n">
        <x:f>IF(AR236=0,0,(AR236-IF(6=D236,1,0))*VLOOKUP(INDEX('章节与怪物'!$E$31:$K$37,B236,6),'章节与怪物'!$A$41:$F$44,4,FALSE)+IF(6=D236,'难度参数'!$E$30,0))</x:f>
        <x:v>700</x:v>
      </x:c>
      <x:c r="AV236" s="119" t="n">
        <x:f>IF(7&gt;D236,0,MAX(2,MIN('难度参数'!$E$12,ROUND(('难度参数'!$E$18*POWER(A236,'难度参数'!$E$19)/D236*(0.85+0.3*(7-1)/MAX(1,D236-1))),0)+F236)))</x:f>
        <x:v>36</x:v>
      </x:c>
      <x:c r="AW236" s="119" t="n">
        <x:f>IF(7&gt;D236,0,ROUND(('难度参数'!$E$13*POWER(A236,'难度参数'!$E$20)*MIN('难度参数'!$E$23,1+MAX(0,A236-'难度参数'!$E$21)*'难度参数'!$E$22))*(36+7*7)/(36+7*(D236+1)/2)*E236,0))</x:f>
        <x:v>8995</x:v>
      </x:c>
      <x:c r="AX236" s="119" t="n">
        <x:f>IF(AV236=0,0,(AV236-IF(7=D236,1,0))*ROUND(AW236*VLOOKUP(INDEX('章节与怪物'!$E$31:$K$37,B236,7),'章节与怪物'!$A$41:$F$44,2,FALSE),0)+IF(7=D236,ROUND(AW236*'难度参数'!$E$28*'章节与怪物'!$E$17,0),0))</x:f>
        <x:v>486171</x:v>
      </x:c>
      <x:c r="AY236" s="119" t="n">
        <x:f>IF(AV236=0,0,(AV236-IF(7=D236,1,0))*VLOOKUP(INDEX('章节与怪物'!$E$31:$K$37,B236,7),'章节与怪物'!$A$41:$F$44,4,FALSE)+IF(7=D236,'难度参数'!$E$30,0))</x:f>
        <x:v>1390</x:v>
      </x:c>
    </x:row>
    <x:row r="237" ht="23" customHeight="1">
      <x:c r="A237" s="119" t="n">
        <x:v>231</x:v>
      </x:c>
      <x:c r="B237" s="119" t="n">
        <x:f>MOD(INT((A237-1)/5),7)+1</x:f>
        <x:v>5</x:v>
      </x:c>
      <x:c r="C237" s="62" t="str">
        <x:f>INDEX('章节与怪物'!$B$31:$B$37,B237)</x:f>
        <x:v>雨林遗迹</x:v>
      </x:c>
      <x:c r="D237" s="119" t="n">
        <x:f>MIN('难度参数'!$E$8,MAX('难度参数'!$E$7,A237))</x:f>
        <x:v>7</x:v>
      </x:c>
      <x:c r="E237" s="106" t="n">
        <x:v>1</x:v>
      </x:c>
      <x:c r="F237" s="106" t="n">
        <x:v>0</x:v>
      </x:c>
      <x:c r="G237" s="106" t="n">
        <x:v>1</x:v>
      </x:c>
      <x:c r="H237" s="119" t="n">
        <x:f>SUM(X237,AB237,AF237,AJ237,AN237,AR237,AV237)</x:f>
        <x:v>222</x:v>
      </x:c>
      <x:c r="I237" s="119" t="n">
        <x:f>SUM(Z237,AD237,AH237,AL237,AP237,AT237,AX237)</x:f>
        <x:v>1995649</x:v>
      </x:c>
      <x:c r="J237" s="119" t="n">
        <x:f>ROUND(INDEX(X237:AY237,1,(D237-1)*4+2)*'难度参数'!$E$28*'章节与怪物'!$E$17,0)</x:f>
        <x:v>61356</x:v>
      </x:c>
      <x:c r="K237" s="119" t="n">
        <x:f>SUM(AA237,AE237,AI237,AM237,AQ237,AU237,AY237)</x:f>
        <x:v>6024</x:v>
      </x:c>
      <x:c r="L237" s="62" t="n">
        <x:f>H237*(ROUNDUP('难度参数'!$E$24/('难度参数'!$E$26*'难度参数'!$E$27),0)*'难度参数'!$E$26)/60</x:f>
        <x:v>2.9600000000000004</x:v>
      </x:c>
      <x:c r="M237" s="62" t="n">
        <x:f>L237+D237*('难度参数'!$E$49+'难度参数'!$E$50)/60</x:f>
        <x:v>4.126666666666667</x:v>
      </x:c>
      <x:c r="N237" s="119" t="n">
        <x:f>ROUNDDOWN(('经济参数'!$E$20+A237*'经济参数'!$E$21)*G237,0)</x:f>
        <x:v>4800</x:v>
      </x:c>
      <x:c r="O237" s="119" t="n">
        <x:f>ROUNDDOWN(MIN('经济参数'!$E$24,'经济参数'!$E$22+A237*'经济参数'!$E$23)*G237,0)</x:f>
        <x:v>0</x:v>
      </x:c>
      <x:c r="P237" s="119" t="n">
        <x:f>ROUNDDOWN((IF(A237&gt;='材料与任务'!$E$31,'材料与任务'!$E$32,IF(A237&gt;='材料与任务'!$E$25,'材料与任务'!$E$26,IF(A237&gt;='材料与任务'!$E$19,'材料与任务'!$E$20,IF(A237&gt;='材料与任务'!$E$13,'材料与任务'!$E$14,'材料与任务'!$E$8)))))*G237,0)</x:f>
        <x:v>6</x:v>
      </x:c>
      <x:c r="Q237" s="119" t="n">
        <x:f>ROUNDDOWN((IF(A237&gt;='材料与任务'!$E$31,'材料与任务'!$E$33,IF(A237&gt;='材料与任务'!$E$25,'材料与任务'!$E$27,IF(A237&gt;='材料与任务'!$E$19,'材料与任务'!$E$21,IF(A237&gt;='材料与任务'!$E$13,'材料与任务'!$E$15,'材料与任务'!$E$9)))))*G237,0)</x:f>
        <x:v>3</x:v>
      </x:c>
      <x:c r="R237" s="110" t="n">
        <x:f>'装备掉落'!$B$38</x:f>
        <x:v>0.6872058758851213</x:v>
      </x:c>
      <x:c r="S237" s="119" t="n">
        <x:f>MAX(IF(VLOOKUP(A237,'装备掉落'!$A$29:$H$34,2,TRUE)&gt;0,1,0),IF(VLOOKUP(A237,'装备掉落'!$A$29:$H$34,3,TRUE)&gt;0,2,0),IF(VLOOKUP(A237,'装备掉落'!$A$29:$H$34,4,TRUE)&gt;0,3,0),IF(VLOOKUP(A237,'装备掉落'!$A$29:$H$34,5,TRUE)&gt;0,4,0),IF(VLOOKUP(A237,'装备掉落'!$A$29:$H$34,6,TRUE)&gt;0,5,0),IF(VLOOKUP(A237,'装备掉落'!$A$29:$H$34,7,TRUE)&gt;0,6,0),IF(VLOOKUP(A237,'装备掉落'!$A$29:$H$34,8,TRUE)&gt;0,7,0))</x:f>
        <x:v>7</x:v>
      </x:c>
      <x:c r="T237" s="119" t="n">
        <x:f>MIN(7,S237+'经济参数'!$E$70)</x:f>
        <x:v>7</x:v>
      </x:c>
      <x:c r="U237" s="119" t="n">
        <x:f>MIN(7,S237+'经济参数'!$E$71)</x:f>
        <x:v>7</x:v>
      </x:c>
      <x:c r="V237" s="119" t="n">
        <x:f>IF(H237&gt;=('难度参数'!$E$52),1,0)+IF(H237&gt;=('难度参数'!$E$52+'难度参数'!$E$53),1,0)+IF(H237&gt;=('难度参数'!$E$52+'难度参数'!$E$53+'难度参数'!$E$54),1,0)+IF(H237&gt;=('难度参数'!$E$52+'难度参数'!$E$53+'难度参数'!$E$54+'难度参数'!$E$55),1,0)+IF(H237&gt;=('难度参数'!$E$52+'难度参数'!$E$53+'难度参数'!$E$54+'难度参数'!$E$55+'难度参数'!$E$56),1,0)+IF(H237&gt;=('难度参数'!$E$52+'难度参数'!$E$53+'难度参数'!$E$54+'难度参数'!$E$55+'难度参数'!$E$56+'难度参数'!$E$57),1,0)</x:f>
        <x:v>6</x:v>
      </x:c>
      <x:c r="W237" s="62" t="str">
        <x:f>IF(L237&gt;'难度参数'!$E$51,"仅出怪已超目标","还需实测")</x:f>
        <x:v>还需实测</x:v>
      </x:c>
      <x:c r="X237" s="119" t="n">
        <x:f>IF(1&gt;D237,0,MAX(2,MIN('难度参数'!$E$12,ROUND(('难度参数'!$E$18*POWER(A237,'难度参数'!$E$19)/D237*(0.85+0.3*(1-1)/MAX(1,D237-1))),0)+F237)))</x:f>
        <x:v>27</x:v>
      </x:c>
      <x:c r="Y237" s="119" t="n">
        <x:f>IF(1&gt;D237,0,ROUND(('难度参数'!$E$13*POWER(A237,'难度参数'!$E$20)*MIN('难度参数'!$E$23,1+MAX(0,A237-'难度参数'!$E$21)*'难度参数'!$E$22))*(36+1*7)/(36+7*(D237+1)/2)*E237,0))</x:f>
        <x:v>4565</x:v>
      </x:c>
      <x:c r="Z237" s="119" t="n">
        <x:f>IF(X237=0,0,(X237-IF(1=D237,1,0))*ROUND(Y237*VLOOKUP(INDEX('章节与怪物'!$E$31:$K$37,B237,1),'章节与怪物'!$A$41:$F$44,2,FALSE),0)+IF(1=D237,ROUND(Y237*'难度参数'!$E$28*'章节与怪物'!$E$17,0),0))</x:f>
        <x:v>123255</x:v>
      </x:c>
      <x:c r="AA237" s="119" t="n">
        <x:f>IF(X237=0,0,(X237-IF(1=D237,1,0))*VLOOKUP(INDEX('章节与怪物'!$E$31:$K$37,B237,1),'章节与怪物'!$A$41:$F$44,4,FALSE)+IF(1=D237,'难度参数'!$E$30,0))</x:f>
        <x:v>486</x:v>
      </x:c>
      <x:c r="AB237" s="119" t="n">
        <x:f>IF(2&gt;D237,0,MAX(2,MIN('难度参数'!$E$12,ROUND(('难度参数'!$E$18*POWER(A237,'难度参数'!$E$19)/D237*(0.85+0.3*(2-1)/MAX(1,D237-1))),0)+F237)))</x:f>
        <x:v>29</x:v>
      </x:c>
      <x:c r="AC237" s="119" t="n">
        <x:f>IF(2&gt;D237,0,ROUND(('难度参数'!$E$13*POWER(A237,'难度参数'!$E$20)*MIN('难度参数'!$E$23,1+MAX(0,A237-'难度参数'!$E$21)*'难度参数'!$E$22))*(36+2*7)/(36+7*(D237+1)/2)*E237,0))</x:f>
        <x:v>5308</x:v>
      </x:c>
      <x:c r="AD237" s="119" t="n">
        <x:f>IF(AB237=0,0,(AB237-IF(2=D237,1,0))*ROUND(AC237*VLOOKUP(INDEX('章节与怪物'!$E$31:$K$37,B237,2),'章节与怪物'!$A$41:$F$44,2,FALSE),0)+IF(2=D237,ROUND(AC237*'难度参数'!$E$28*'章节与怪物'!$E$17,0),0))</x:f>
        <x:v>110838</x:v>
      </x:c>
      <x:c r="AE237" s="119" t="n">
        <x:f>IF(AB237=0,0,(AB237-IF(2=D237,1,0))*VLOOKUP(INDEX('章节与怪物'!$E$31:$K$37,B237,2),'章节与怪物'!$A$41:$F$44,4,FALSE)+IF(2=D237,'难度参数'!$E$30,0))</x:f>
        <x:v>580</x:v>
      </x:c>
      <x:c r="AF237" s="119" t="n">
        <x:f>IF(3&gt;D237,0,MAX(2,MIN('难度参数'!$E$12,ROUND(('难度参数'!$E$18*POWER(A237,'难度参数'!$E$19)/D237*(0.85+0.3*(3-1)/MAX(1,D237-1))),0)+F237)))</x:f>
        <x:v>30</x:v>
      </x:c>
      <x:c r="AG237" s="119" t="n">
        <x:f>IF(3&gt;D237,0,ROUND(('难度参数'!$E$13*POWER(A237,'难度参数'!$E$20)*MIN('难度参数'!$E$23,1+MAX(0,A237-'难度参数'!$E$21)*'难度参数'!$E$22))*(36+3*7)/(36+7*(D237+1)/2)*E237,0))</x:f>
        <x:v>6051</x:v>
      </x:c>
      <x:c r="AH237" s="119" t="n">
        <x:f>IF(AF237=0,0,(AF237-IF(3=D237,1,0))*ROUND(AG237*VLOOKUP(INDEX('章节与怪物'!$E$31:$K$37,B237,3),'章节与怪物'!$A$41:$F$44,2,FALSE),0)+IF(3=D237,ROUND(AG237*'难度参数'!$E$28*'章节与怪物'!$E$17,0),0))</x:f>
        <x:v>308610</x:v>
      </x:c>
      <x:c r="AI237" s="119" t="n">
        <x:f>IF(AF237=0,0,(AF237-IF(3=D237,1,0))*VLOOKUP(INDEX('章节与怪物'!$E$31:$K$37,B237,3),'章节与怪物'!$A$41:$F$44,4,FALSE)+IF(3=D237,'难度参数'!$E$30,0))</x:f>
        <x:v>840</x:v>
      </x:c>
      <x:c r="AJ237" s="119" t="n">
        <x:f>IF(4&gt;D237,0,MAX(2,MIN('难度参数'!$E$12,ROUND(('难度参数'!$E$18*POWER(A237,'难度参数'!$E$19)/D237*(0.85+0.3*(4-1)/MAX(1,D237-1))),0)+F237)))</x:f>
        <x:v>32</x:v>
      </x:c>
      <x:c r="AK237" s="119" t="n">
        <x:f>IF(4&gt;D237,0,ROUND(('难度参数'!$E$13*POWER(A237,'难度参数'!$E$20)*MIN('难度参数'!$E$23,1+MAX(0,A237-'难度参数'!$E$21)*'难度参数'!$E$22))*(36+4*7)/(36+7*(D237+1)/2)*E237,0))</x:f>
        <x:v>6794</x:v>
      </x:c>
      <x:c r="AL237" s="119" t="n">
        <x:f>IF(AJ237=0,0,(AJ237-IF(4=D237,1,0))*ROUND(AK237*VLOOKUP(INDEX('章节与怪物'!$E$31:$K$37,B237,4),'章节与怪物'!$A$41:$F$44,2,FALSE),0)+IF(4=D237,ROUND(AK237*'难度参数'!$E$28*'章节与怪物'!$E$17,0),0))</x:f>
        <x:v>293504</x:v>
      </x:c>
      <x:c r="AM237" s="119" t="n">
        <x:f>IF(AJ237=0,0,(AJ237-IF(4=D237,1,0))*VLOOKUP(INDEX('章节与怪物'!$E$31:$K$37,B237,4),'章节与怪物'!$A$41:$F$44,4,FALSE)+IF(4=D237,'难度参数'!$E$30,0))</x:f>
        <x:v>1088</x:v>
      </x:c>
      <x:c r="AN237" s="119" t="n">
        <x:f>IF(5&gt;D237,0,MAX(2,MIN('难度参数'!$E$12,ROUND(('难度参数'!$E$18*POWER(A237,'难度参数'!$E$19)/D237*(0.85+0.3*(5-1)/MAX(1,D237-1))),0)+F237)))</x:f>
        <x:v>33</x:v>
      </x:c>
      <x:c r="AO237" s="119" t="n">
        <x:f>IF(5&gt;D237,0,ROUND(('难度参数'!$E$13*POWER(A237,'难度参数'!$E$20)*MIN('难度参数'!$E$23,1+MAX(0,A237-'难度参数'!$E$21)*'难度参数'!$E$22))*(36+5*7)/(36+7*(D237+1)/2)*E237,0))</x:f>
        <x:v>7537</x:v>
      </x:c>
      <x:c r="AP237" s="119" t="n">
        <x:f>IF(AN237=0,0,(AN237-IF(5=D237,1,0))*ROUND(AO237*VLOOKUP(INDEX('章节与怪物'!$E$31:$K$37,B237,5),'章节与怪物'!$A$41:$F$44,2,FALSE),0)+IF(5=D237,ROUND(AO237*'难度参数'!$E$28*'章节与怪物'!$E$17,0),0))</x:f>
        <x:v>179091</x:v>
      </x:c>
      <x:c r="AQ237" s="119" t="n">
        <x:f>IF(AN237=0,0,(AN237-IF(5=D237,1,0))*VLOOKUP(INDEX('章节与怪物'!$E$31:$K$37,B237,5),'章节与怪物'!$A$41:$F$44,4,FALSE)+IF(5=D237,'难度参数'!$E$30,0))</x:f>
        <x:v>660</x:v>
      </x:c>
      <x:c r="AR237" s="119" t="n">
        <x:f>IF(6&gt;D237,0,MAX(2,MIN('难度参数'!$E$12,ROUND(('难度参数'!$E$18*POWER(A237,'难度参数'!$E$19)/D237*(0.85+0.3*(6-1)/MAX(1,D237-1))),0)+F237)))</x:f>
        <x:v>35</x:v>
      </x:c>
      <x:c r="AS237" s="119" t="n">
        <x:f>IF(6&gt;D237,0,ROUND(('难度参数'!$E$13*POWER(A237,'难度参数'!$E$20)*MIN('难度参数'!$E$23,1+MAX(0,A237-'难度参数'!$E$21)*'难度参数'!$E$22))*(36+6*7)/(36+7*(D237+1)/2)*E237,0))</x:f>
        <x:v>8280</x:v>
      </x:c>
      <x:c r="AT237" s="119" t="n">
        <x:f>IF(AR237=0,0,(AR237-IF(6=D237,1,0))*ROUND(AS237*VLOOKUP(INDEX('章节与怪物'!$E$31:$K$37,B237,6),'章节与怪物'!$A$41:$F$44,2,FALSE),0)+IF(6=D237,ROUND(AS237*'难度参数'!$E$28*'章节与怪物'!$E$17,0),0))</x:f>
        <x:v>492660</x:v>
      </x:c>
      <x:c r="AU237" s="119" t="n">
        <x:f>IF(AR237=0,0,(AR237-IF(6=D237,1,0))*VLOOKUP(INDEX('章节与怪物'!$E$31:$K$37,B237,6),'章节与怪物'!$A$41:$F$44,4,FALSE)+IF(6=D237,'难度参数'!$E$30,0))</x:f>
        <x:v>980</x:v>
      </x:c>
      <x:c r="AV237" s="119" t="n">
        <x:f>IF(7&gt;D237,0,MAX(2,MIN('难度参数'!$E$12,ROUND(('难度参数'!$E$18*POWER(A237,'难度参数'!$E$19)/D237*(0.85+0.3*(7-1)/MAX(1,D237-1))),0)+F237)))</x:f>
        <x:v>36</x:v>
      </x:c>
      <x:c r="AW237" s="119" t="n">
        <x:f>IF(7&gt;D237,0,ROUND(('难度参数'!$E$13*POWER(A237,'难度参数'!$E$20)*MIN('难度参数'!$E$23,1+MAX(0,A237-'难度参数'!$E$21)*'难度参数'!$E$22))*(36+7*7)/(36+7*(D237+1)/2)*E237,0))</x:f>
        <x:v>9023</x:v>
      </x:c>
      <x:c r="AX237" s="119" t="n">
        <x:f>IF(AV237=0,0,(AV237-IF(7=D237,1,0))*ROUND(AW237*VLOOKUP(INDEX('章节与怪物'!$E$31:$K$37,B237,7),'章节与怪物'!$A$41:$F$44,2,FALSE),0)+IF(7=D237,ROUND(AW237*'难度参数'!$E$28*'章节与怪物'!$E$17,0),0))</x:f>
        <x:v>487691</x:v>
      </x:c>
      <x:c r="AY237" s="119" t="n">
        <x:f>IF(AV237=0,0,(AV237-IF(7=D237,1,0))*VLOOKUP(INDEX('章节与怪物'!$E$31:$K$37,B237,7),'章节与怪物'!$A$41:$F$44,4,FALSE)+IF(7=D237,'难度参数'!$E$30,0))</x:f>
        <x:v>1390</x:v>
      </x:c>
    </x:row>
    <x:row r="238" ht="23" customHeight="1">
      <x:c r="A238" s="119" t="n">
        <x:v>232</x:v>
      </x:c>
      <x:c r="B238" s="119" t="n">
        <x:f>MOD(INT((A238-1)/5),7)+1</x:f>
        <x:v>5</x:v>
      </x:c>
      <x:c r="C238" s="62" t="str">
        <x:f>INDEX('章节与怪物'!$B$31:$B$37,B238)</x:f>
        <x:v>雨林遗迹</x:v>
      </x:c>
      <x:c r="D238" s="119" t="n">
        <x:f>MIN('难度参数'!$E$8,MAX('难度参数'!$E$7,A238))</x:f>
        <x:v>7</x:v>
      </x:c>
      <x:c r="E238" s="106" t="n">
        <x:v>1</x:v>
      </x:c>
      <x:c r="F238" s="106" t="n">
        <x:v>0</x:v>
      </x:c>
      <x:c r="G238" s="106" t="n">
        <x:v>1</x:v>
      </x:c>
      <x:c r="H238" s="119" t="n">
        <x:f>SUM(X238,AB238,AF238,AJ238,AN238,AR238,AV238)</x:f>
        <x:v>222</x:v>
      </x:c>
      <x:c r="I238" s="119" t="n">
        <x:f>SUM(Z238,AD238,AH238,AL238,AP238,AT238,AX238)</x:f>
        <x:v>2001866</x:v>
      </x:c>
      <x:c r="J238" s="119" t="n">
        <x:f>ROUND(INDEX(X238:AY238,1,(D238-1)*4+2)*'难度参数'!$E$28*'章节与怪物'!$E$17,0)</x:f>
        <x:v>61554</x:v>
      </x:c>
      <x:c r="K238" s="119" t="n">
        <x:f>SUM(AA238,AE238,AI238,AM238,AQ238,AU238,AY238)</x:f>
        <x:v>6024</x:v>
      </x:c>
      <x:c r="L238" s="62" t="n">
        <x:f>H238*(ROUNDUP('难度参数'!$E$24/('难度参数'!$E$26*'难度参数'!$E$27),0)*'难度参数'!$E$26)/60</x:f>
        <x:v>2.9600000000000004</x:v>
      </x:c>
      <x:c r="M238" s="62" t="n">
        <x:f>L238+D238*('难度参数'!$E$49+'难度参数'!$E$50)/60</x:f>
        <x:v>4.126666666666667</x:v>
      </x:c>
      <x:c r="N238" s="119" t="n">
        <x:f>ROUNDDOWN(('经济参数'!$E$20+A238*'经济参数'!$E$21)*G238,0)</x:f>
        <x:v>4820</x:v>
      </x:c>
      <x:c r="O238" s="119" t="n">
        <x:f>ROUNDDOWN(MIN('经济参数'!$E$24,'经济参数'!$E$22+A238*'经济参数'!$E$23)*G238,0)</x:f>
        <x:v>0</x:v>
      </x:c>
      <x:c r="P238" s="119" t="n">
        <x:f>ROUNDDOWN((IF(A238&gt;='材料与任务'!$E$31,'材料与任务'!$E$32,IF(A238&gt;='材料与任务'!$E$25,'材料与任务'!$E$26,IF(A238&gt;='材料与任务'!$E$19,'材料与任务'!$E$20,IF(A238&gt;='材料与任务'!$E$13,'材料与任务'!$E$14,'材料与任务'!$E$8)))))*G238,0)</x:f>
        <x:v>6</x:v>
      </x:c>
      <x:c r="Q238" s="119" t="n">
        <x:f>ROUNDDOWN((IF(A238&gt;='材料与任务'!$E$31,'材料与任务'!$E$33,IF(A238&gt;='材料与任务'!$E$25,'材料与任务'!$E$27,IF(A238&gt;='材料与任务'!$E$19,'材料与任务'!$E$21,IF(A238&gt;='材料与任务'!$E$13,'材料与任务'!$E$15,'材料与任务'!$E$9)))))*G238,0)</x:f>
        <x:v>3</x:v>
      </x:c>
      <x:c r="R238" s="110" t="n">
        <x:f>'装备掉落'!$B$38</x:f>
        <x:v>0.6872058758851213</x:v>
      </x:c>
      <x:c r="S238" s="119" t="n">
        <x:f>MAX(IF(VLOOKUP(A238,'装备掉落'!$A$29:$H$34,2,TRUE)&gt;0,1,0),IF(VLOOKUP(A238,'装备掉落'!$A$29:$H$34,3,TRUE)&gt;0,2,0),IF(VLOOKUP(A238,'装备掉落'!$A$29:$H$34,4,TRUE)&gt;0,3,0),IF(VLOOKUP(A238,'装备掉落'!$A$29:$H$34,5,TRUE)&gt;0,4,0),IF(VLOOKUP(A238,'装备掉落'!$A$29:$H$34,6,TRUE)&gt;0,5,0),IF(VLOOKUP(A238,'装备掉落'!$A$29:$H$34,7,TRUE)&gt;0,6,0),IF(VLOOKUP(A238,'装备掉落'!$A$29:$H$34,8,TRUE)&gt;0,7,0))</x:f>
        <x:v>7</x:v>
      </x:c>
      <x:c r="T238" s="119" t="n">
        <x:f>MIN(7,S238+'经济参数'!$E$70)</x:f>
        <x:v>7</x:v>
      </x:c>
      <x:c r="U238" s="119" t="n">
        <x:f>MIN(7,S238+'经济参数'!$E$71)</x:f>
        <x:v>7</x:v>
      </x:c>
      <x:c r="V238" s="119" t="n">
        <x:f>IF(H238&gt;=('难度参数'!$E$52),1,0)+IF(H238&gt;=('难度参数'!$E$52+'难度参数'!$E$53),1,0)+IF(H238&gt;=('难度参数'!$E$52+'难度参数'!$E$53+'难度参数'!$E$54),1,0)+IF(H238&gt;=('难度参数'!$E$52+'难度参数'!$E$53+'难度参数'!$E$54+'难度参数'!$E$55),1,0)+IF(H238&gt;=('难度参数'!$E$52+'难度参数'!$E$53+'难度参数'!$E$54+'难度参数'!$E$55+'难度参数'!$E$56),1,0)+IF(H238&gt;=('难度参数'!$E$52+'难度参数'!$E$53+'难度参数'!$E$54+'难度参数'!$E$55+'难度参数'!$E$56+'难度参数'!$E$57),1,0)</x:f>
        <x:v>6</x:v>
      </x:c>
      <x:c r="W238" s="62" t="str">
        <x:f>IF(L238&gt;'难度参数'!$E$51,"仅出怪已超目标","还需实测")</x:f>
        <x:v>还需实测</x:v>
      </x:c>
      <x:c r="X238" s="119" t="n">
        <x:f>IF(1&gt;D238,0,MAX(2,MIN('难度参数'!$E$12,ROUND(('难度参数'!$E$18*POWER(A238,'难度参数'!$E$19)/D238*(0.85+0.3*(1-1)/MAX(1,D238-1))),0)+F238)))</x:f>
        <x:v>27</x:v>
      </x:c>
      <x:c r="Y238" s="119" t="n">
        <x:f>IF(1&gt;D238,0,ROUND(('难度参数'!$E$13*POWER(A238,'难度参数'!$E$20)*MIN('难度参数'!$E$23,1+MAX(0,A238-'难度参数'!$E$21)*'难度参数'!$E$22))*(36+1*7)/(36+7*(D238+1)/2)*E238,0))</x:f>
        <x:v>4579</x:v>
      </x:c>
      <x:c r="Z238" s="119" t="n">
        <x:f>IF(X238=0,0,(X238-IF(1=D238,1,0))*ROUND(Y238*VLOOKUP(INDEX('章节与怪物'!$E$31:$K$37,B238,1),'章节与怪物'!$A$41:$F$44,2,FALSE),0)+IF(1=D238,ROUND(Y238*'难度参数'!$E$28*'章节与怪物'!$E$17,0),0))</x:f>
        <x:v>123633</x:v>
      </x:c>
      <x:c r="AA238" s="119" t="n">
        <x:f>IF(X238=0,0,(X238-IF(1=D238,1,0))*VLOOKUP(INDEX('章节与怪物'!$E$31:$K$37,B238,1),'章节与怪物'!$A$41:$F$44,4,FALSE)+IF(1=D238,'难度参数'!$E$30,0))</x:f>
        <x:v>486</x:v>
      </x:c>
      <x:c r="AB238" s="119" t="n">
        <x:f>IF(2&gt;D238,0,MAX(2,MIN('难度参数'!$E$12,ROUND(('难度参数'!$E$18*POWER(A238,'难度参数'!$E$19)/D238*(0.85+0.3*(2-1)/MAX(1,D238-1))),0)+F238)))</x:f>
        <x:v>29</x:v>
      </x:c>
      <x:c r="AC238" s="119" t="n">
        <x:f>IF(2&gt;D238,0,ROUND(('难度参数'!$E$13*POWER(A238,'难度参数'!$E$20)*MIN('难度参数'!$E$23,1+MAX(0,A238-'难度参数'!$E$21)*'难度参数'!$E$22))*(36+2*7)/(36+7*(D238+1)/2)*E238,0))</x:f>
        <x:v>5324</x:v>
      </x:c>
      <x:c r="AD238" s="119" t="n">
        <x:f>IF(AB238=0,0,(AB238-IF(2=D238,1,0))*ROUND(AC238*VLOOKUP(INDEX('章节与怪物'!$E$31:$K$37,B238,2),'章节与怪物'!$A$41:$F$44,2,FALSE),0)+IF(2=D238,ROUND(AC238*'难度参数'!$E$28*'章节与怪物'!$E$17,0),0))</x:f>
        <x:v>111157</x:v>
      </x:c>
      <x:c r="AE238" s="119" t="n">
        <x:f>IF(AB238=0,0,(AB238-IF(2=D238,1,0))*VLOOKUP(INDEX('章节与怪物'!$E$31:$K$37,B238,2),'章节与怪物'!$A$41:$F$44,4,FALSE)+IF(2=D238,'难度参数'!$E$30,0))</x:f>
        <x:v>580</x:v>
      </x:c>
      <x:c r="AF238" s="119" t="n">
        <x:f>IF(3&gt;D238,0,MAX(2,MIN('难度参数'!$E$12,ROUND(('难度参数'!$E$18*POWER(A238,'难度参数'!$E$19)/D238*(0.85+0.3*(3-1)/MAX(1,D238-1))),0)+F238)))</x:f>
        <x:v>30</x:v>
      </x:c>
      <x:c r="AG238" s="119" t="n">
        <x:f>IF(3&gt;D238,0,ROUND(('难度参数'!$E$13*POWER(A238,'难度参数'!$E$20)*MIN('难度参数'!$E$23,1+MAX(0,A238-'难度参数'!$E$21)*'难度参数'!$E$22))*(36+3*7)/(36+7*(D238+1)/2)*E238,0))</x:f>
        <x:v>6070</x:v>
      </x:c>
      <x:c r="AH238" s="119" t="n">
        <x:f>IF(AF238=0,0,(AF238-IF(3=D238,1,0))*ROUND(AG238*VLOOKUP(INDEX('章节与怪物'!$E$31:$K$37,B238,3),'章节与怪物'!$A$41:$F$44,2,FALSE),0)+IF(3=D238,ROUND(AG238*'难度参数'!$E$28*'章节与怪物'!$E$17,0),0))</x:f>
        <x:v>309570</x:v>
      </x:c>
      <x:c r="AI238" s="119" t="n">
        <x:f>IF(AF238=0,0,(AF238-IF(3=D238,1,0))*VLOOKUP(INDEX('章节与怪物'!$E$31:$K$37,B238,3),'章节与怪物'!$A$41:$F$44,4,FALSE)+IF(3=D238,'难度参数'!$E$30,0))</x:f>
        <x:v>840</x:v>
      </x:c>
      <x:c r="AJ238" s="119" t="n">
        <x:f>IF(4&gt;D238,0,MAX(2,MIN('难度参数'!$E$12,ROUND(('难度参数'!$E$18*POWER(A238,'难度参数'!$E$19)/D238*(0.85+0.3*(4-1)/MAX(1,D238-1))),0)+F238)))</x:f>
        <x:v>32</x:v>
      </x:c>
      <x:c r="AK238" s="119" t="n">
        <x:f>IF(4&gt;D238,0,ROUND(('难度参数'!$E$13*POWER(A238,'难度参数'!$E$20)*MIN('难度参数'!$E$23,1+MAX(0,A238-'难度参数'!$E$21)*'难度参数'!$E$22))*(36+4*7)/(36+7*(D238+1)/2)*E238,0))</x:f>
        <x:v>6815</x:v>
      </x:c>
      <x:c r="AL238" s="119" t="n">
        <x:f>IF(AJ238=0,0,(AJ238-IF(4=D238,1,0))*ROUND(AK238*VLOOKUP(INDEX('章节与怪物'!$E$31:$K$37,B238,4),'章节与怪物'!$A$41:$F$44,2,FALSE),0)+IF(4=D238,ROUND(AK238*'难度参数'!$E$28*'章节与怪物'!$E$17,0),0))</x:f>
        <x:v>294400</x:v>
      </x:c>
      <x:c r="AM238" s="119" t="n">
        <x:f>IF(AJ238=0,0,(AJ238-IF(4=D238,1,0))*VLOOKUP(INDEX('章节与怪物'!$E$31:$K$37,B238,4),'章节与怪物'!$A$41:$F$44,4,FALSE)+IF(4=D238,'难度参数'!$E$30,0))</x:f>
        <x:v>1088</x:v>
      </x:c>
      <x:c r="AN238" s="119" t="n">
        <x:f>IF(5&gt;D238,0,MAX(2,MIN('难度参数'!$E$12,ROUND(('难度参数'!$E$18*POWER(A238,'难度参数'!$E$19)/D238*(0.85+0.3*(5-1)/MAX(1,D238-1))),0)+F238)))</x:f>
        <x:v>33</x:v>
      </x:c>
      <x:c r="AO238" s="119" t="n">
        <x:f>IF(5&gt;D238,0,ROUND(('难度参数'!$E$13*POWER(A238,'难度参数'!$E$20)*MIN('难度参数'!$E$23,1+MAX(0,A238-'难度参数'!$E$21)*'难度参数'!$E$22))*(36+5*7)/(36+7*(D238+1)/2)*E238,0))</x:f>
        <x:v>7561</x:v>
      </x:c>
      <x:c r="AP238" s="119" t="n">
        <x:f>IF(AN238=0,0,(AN238-IF(5=D238,1,0))*ROUND(AO238*VLOOKUP(INDEX('章节与怪物'!$E$31:$K$37,B238,5),'章节与怪物'!$A$41:$F$44,2,FALSE),0)+IF(5=D238,ROUND(AO238*'难度参数'!$E$28*'章节与怪物'!$E$17,0),0))</x:f>
        <x:v>179652</x:v>
      </x:c>
      <x:c r="AQ238" s="119" t="n">
        <x:f>IF(AN238=0,0,(AN238-IF(5=D238,1,0))*VLOOKUP(INDEX('章节与怪物'!$E$31:$K$37,B238,5),'章节与怪物'!$A$41:$F$44,4,FALSE)+IF(5=D238,'难度参数'!$E$30,0))</x:f>
        <x:v>660</x:v>
      </x:c>
      <x:c r="AR238" s="119" t="n">
        <x:f>IF(6&gt;D238,0,MAX(2,MIN('难度参数'!$E$12,ROUND(('难度参数'!$E$18*POWER(A238,'难度参数'!$E$19)/D238*(0.85+0.3*(6-1)/MAX(1,D238-1))),0)+F238)))</x:f>
        <x:v>35</x:v>
      </x:c>
      <x:c r="AS238" s="119" t="n">
        <x:f>IF(6&gt;D238,0,ROUND(('难度参数'!$E$13*POWER(A238,'难度参数'!$E$20)*MIN('难度参数'!$E$23,1+MAX(0,A238-'难度参数'!$E$21)*'难度参数'!$E$22))*(36+6*7)/(36+7*(D238+1)/2)*E238,0))</x:f>
        <x:v>8306</x:v>
      </x:c>
      <x:c r="AT238" s="119" t="n">
        <x:f>IF(AR238=0,0,(AR238-IF(6=D238,1,0))*ROUND(AS238*VLOOKUP(INDEX('章节与怪物'!$E$31:$K$37,B238,6),'章节与怪物'!$A$41:$F$44,2,FALSE),0)+IF(6=D238,ROUND(AS238*'难度参数'!$E$28*'章节与怪物'!$E$17,0),0))</x:f>
        <x:v>494200</x:v>
      </x:c>
      <x:c r="AU238" s="119" t="n">
        <x:f>IF(AR238=0,0,(AR238-IF(6=D238,1,0))*VLOOKUP(INDEX('章节与怪物'!$E$31:$K$37,B238,6),'章节与怪物'!$A$41:$F$44,4,FALSE)+IF(6=D238,'难度参数'!$E$30,0))</x:f>
        <x:v>980</x:v>
      </x:c>
      <x:c r="AV238" s="119" t="n">
        <x:f>IF(7&gt;D238,0,MAX(2,MIN('难度参数'!$E$12,ROUND(('难度参数'!$E$18*POWER(A238,'难度参数'!$E$19)/D238*(0.85+0.3*(7-1)/MAX(1,D238-1))),0)+F238)))</x:f>
        <x:v>36</x:v>
      </x:c>
      <x:c r="AW238" s="119" t="n">
        <x:f>IF(7&gt;D238,0,ROUND(('难度参数'!$E$13*POWER(A238,'难度参数'!$E$20)*MIN('难度参数'!$E$23,1+MAX(0,A238-'难度参数'!$E$21)*'难度参数'!$E$22))*(36+7*7)/(36+7*(D238+1)/2)*E238,0))</x:f>
        <x:v>9052</x:v>
      </x:c>
      <x:c r="AX238" s="119" t="n">
        <x:f>IF(AV238=0,0,(AV238-IF(7=D238,1,0))*ROUND(AW238*VLOOKUP(INDEX('章节与怪物'!$E$31:$K$37,B238,7),'章节与怪物'!$A$41:$F$44,2,FALSE),0)+IF(7=D238,ROUND(AW238*'难度参数'!$E$28*'章节与怪物'!$E$17,0),0))</x:f>
        <x:v>489254</x:v>
      </x:c>
      <x:c r="AY238" s="119" t="n">
        <x:f>IF(AV238=0,0,(AV238-IF(7=D238,1,0))*VLOOKUP(INDEX('章节与怪物'!$E$31:$K$37,B238,7),'章节与怪物'!$A$41:$F$44,4,FALSE)+IF(7=D238,'难度参数'!$E$30,0))</x:f>
        <x:v>1390</x:v>
      </x:c>
    </x:row>
    <x:row r="239" ht="23" customHeight="1">
      <x:c r="A239" s="119" t="n">
        <x:v>233</x:v>
      </x:c>
      <x:c r="B239" s="119" t="n">
        <x:f>MOD(INT((A239-1)/5),7)+1</x:f>
        <x:v>5</x:v>
      </x:c>
      <x:c r="C239" s="62" t="str">
        <x:f>INDEX('章节与怪物'!$B$31:$B$37,B239)</x:f>
        <x:v>雨林遗迹</x:v>
      </x:c>
      <x:c r="D239" s="119" t="n">
        <x:f>MIN('难度参数'!$E$8,MAX('难度参数'!$E$7,A239))</x:f>
        <x:v>7</x:v>
      </x:c>
      <x:c r="E239" s="106" t="n">
        <x:v>1</x:v>
      </x:c>
      <x:c r="F239" s="106" t="n">
        <x:v>0</x:v>
      </x:c>
      <x:c r="G239" s="106" t="n">
        <x:v>1</x:v>
      </x:c>
      <x:c r="H239" s="119" t="n">
        <x:f>SUM(X239,AB239,AF239,AJ239,AN239,AR239,AV239)</x:f>
        <x:v>223</x:v>
      </x:c>
      <x:c r="I239" s="119" t="n">
        <x:f>SUM(Z239,AD239,AH239,AL239,AP239,AT239,AX239)</x:f>
        <x:v>2020355</x:v>
      </x:c>
      <x:c r="J239" s="119" t="n">
        <x:f>ROUND(INDEX(X239:AY239,1,(D239-1)*4+2)*'难度参数'!$E$28*'章节与怪物'!$E$17,0)</x:f>
        <x:v>61744</x:v>
      </x:c>
      <x:c r="K239" s="119" t="n">
        <x:f>SUM(AA239,AE239,AI239,AM239,AQ239,AU239,AY239)</x:f>
        <x:v>6058</x:v>
      </x:c>
      <x:c r="L239" s="62" t="n">
        <x:f>H239*(ROUNDUP('难度参数'!$E$24/('难度参数'!$E$26*'难度参数'!$E$27),0)*'难度参数'!$E$26)/60</x:f>
        <x:v>2.9733333333333336</x:v>
      </x:c>
      <x:c r="M239" s="62" t="n">
        <x:f>L239+D239*('难度参数'!$E$49+'难度参数'!$E$50)/60</x:f>
        <x:v>4.140000000000001</x:v>
      </x:c>
      <x:c r="N239" s="119" t="n">
        <x:f>ROUNDDOWN(('经济参数'!$E$20+A239*'经济参数'!$E$21)*G239,0)</x:f>
        <x:v>4840</x:v>
      </x:c>
      <x:c r="O239" s="119" t="n">
        <x:f>ROUNDDOWN(MIN('经济参数'!$E$24,'经济参数'!$E$22+A239*'经济参数'!$E$23)*G239,0)</x:f>
        <x:v>0</x:v>
      </x:c>
      <x:c r="P239" s="119" t="n">
        <x:f>ROUNDDOWN((IF(A239&gt;='材料与任务'!$E$31,'材料与任务'!$E$32,IF(A239&gt;='材料与任务'!$E$25,'材料与任务'!$E$26,IF(A239&gt;='材料与任务'!$E$19,'材料与任务'!$E$20,IF(A239&gt;='材料与任务'!$E$13,'材料与任务'!$E$14,'材料与任务'!$E$8)))))*G239,0)</x:f>
        <x:v>6</x:v>
      </x:c>
      <x:c r="Q239" s="119" t="n">
        <x:f>ROUNDDOWN((IF(A239&gt;='材料与任务'!$E$31,'材料与任务'!$E$33,IF(A239&gt;='材料与任务'!$E$25,'材料与任务'!$E$27,IF(A239&gt;='材料与任务'!$E$19,'材料与任务'!$E$21,IF(A239&gt;='材料与任务'!$E$13,'材料与任务'!$E$15,'材料与任务'!$E$9)))))*G239,0)</x:f>
        <x:v>3</x:v>
      </x:c>
      <x:c r="R239" s="110" t="n">
        <x:f>'装备掉落'!$B$38</x:f>
        <x:v>0.6872058758851213</x:v>
      </x:c>
      <x:c r="S239" s="119" t="n">
        <x:f>MAX(IF(VLOOKUP(A239,'装备掉落'!$A$29:$H$34,2,TRUE)&gt;0,1,0),IF(VLOOKUP(A239,'装备掉落'!$A$29:$H$34,3,TRUE)&gt;0,2,0),IF(VLOOKUP(A239,'装备掉落'!$A$29:$H$34,4,TRUE)&gt;0,3,0),IF(VLOOKUP(A239,'装备掉落'!$A$29:$H$34,5,TRUE)&gt;0,4,0),IF(VLOOKUP(A239,'装备掉落'!$A$29:$H$34,6,TRUE)&gt;0,5,0),IF(VLOOKUP(A239,'装备掉落'!$A$29:$H$34,7,TRUE)&gt;0,6,0),IF(VLOOKUP(A239,'装备掉落'!$A$29:$H$34,8,TRUE)&gt;0,7,0))</x:f>
        <x:v>7</x:v>
      </x:c>
      <x:c r="T239" s="119" t="n">
        <x:f>MIN(7,S239+'经济参数'!$E$70)</x:f>
        <x:v>7</x:v>
      </x:c>
      <x:c r="U239" s="119" t="n">
        <x:f>MIN(7,S239+'经济参数'!$E$71)</x:f>
        <x:v>7</x:v>
      </x:c>
      <x:c r="V239" s="119" t="n">
        <x:f>IF(H239&gt;=('难度参数'!$E$52),1,0)+IF(H239&gt;=('难度参数'!$E$52+'难度参数'!$E$53),1,0)+IF(H239&gt;=('难度参数'!$E$52+'难度参数'!$E$53+'难度参数'!$E$54),1,0)+IF(H239&gt;=('难度参数'!$E$52+'难度参数'!$E$53+'难度参数'!$E$54+'难度参数'!$E$55),1,0)+IF(H239&gt;=('难度参数'!$E$52+'难度参数'!$E$53+'难度参数'!$E$54+'难度参数'!$E$55+'难度参数'!$E$56),1,0)+IF(H239&gt;=('难度参数'!$E$52+'难度参数'!$E$53+'难度参数'!$E$54+'难度参数'!$E$55+'难度参数'!$E$56+'难度参数'!$E$57),1,0)</x:f>
        <x:v>6</x:v>
      </x:c>
      <x:c r="W239" s="62" t="str">
        <x:f>IF(L239&gt;'难度参数'!$E$51,"仅出怪已超目标","还需实测")</x:f>
        <x:v>还需实测</x:v>
      </x:c>
      <x:c r="X239" s="119" t="n">
        <x:f>IF(1&gt;D239,0,MAX(2,MIN('难度参数'!$E$12,ROUND(('难度参数'!$E$18*POWER(A239,'难度参数'!$E$19)/D239*(0.85+0.3*(1-1)/MAX(1,D239-1))),0)+F239)))</x:f>
        <x:v>27</x:v>
      </x:c>
      <x:c r="Y239" s="119" t="n">
        <x:f>IF(1&gt;D239,0,ROUND(('难度参数'!$E$13*POWER(A239,'难度参数'!$E$20)*MIN('难度参数'!$E$23,1+MAX(0,A239-'难度参数'!$E$21)*'难度参数'!$E$22))*(36+1*7)/(36+7*(D239+1)/2)*E239,0))</x:f>
        <x:v>4593</x:v>
      </x:c>
      <x:c r="Z239" s="119" t="n">
        <x:f>IF(X239=0,0,(X239-IF(1=D239,1,0))*ROUND(Y239*VLOOKUP(INDEX('章节与怪物'!$E$31:$K$37,B239,1),'章节与怪物'!$A$41:$F$44,2,FALSE),0)+IF(1=D239,ROUND(Y239*'难度参数'!$E$28*'章节与怪物'!$E$17,0),0))</x:f>
        <x:v>124011</x:v>
      </x:c>
      <x:c r="AA239" s="119" t="n">
        <x:f>IF(X239=0,0,(X239-IF(1=D239,1,0))*VLOOKUP(INDEX('章节与怪物'!$E$31:$K$37,B239,1),'章节与怪物'!$A$41:$F$44,4,FALSE)+IF(1=D239,'难度参数'!$E$30,0))</x:f>
        <x:v>486</x:v>
      </x:c>
      <x:c r="AB239" s="119" t="n">
        <x:f>IF(2&gt;D239,0,MAX(2,MIN('难度参数'!$E$12,ROUND(('难度参数'!$E$18*POWER(A239,'难度参数'!$E$19)/D239*(0.85+0.3*(2-1)/MAX(1,D239-1))),0)+F239)))</x:f>
        <x:v>29</x:v>
      </x:c>
      <x:c r="AC239" s="119" t="n">
        <x:f>IF(2&gt;D239,0,ROUND(('难度参数'!$E$13*POWER(A239,'难度参数'!$E$20)*MIN('难度参数'!$E$23,1+MAX(0,A239-'难度参数'!$E$21)*'难度参数'!$E$22))*(36+2*7)/(36+7*(D239+1)/2)*E239,0))</x:f>
        <x:v>5341</x:v>
      </x:c>
      <x:c r="AD239" s="119" t="n">
        <x:f>IF(AB239=0,0,(AB239-IF(2=D239,1,0))*ROUND(AC239*VLOOKUP(INDEX('章节与怪物'!$E$31:$K$37,B239,2),'章节与怪物'!$A$41:$F$44,2,FALSE),0)+IF(2=D239,ROUND(AC239*'难度参数'!$E$28*'章节与怪物'!$E$17,0),0))</x:f>
        <x:v>111534</x:v>
      </x:c>
      <x:c r="AE239" s="119" t="n">
        <x:f>IF(AB239=0,0,(AB239-IF(2=D239,1,0))*VLOOKUP(INDEX('章节与怪物'!$E$31:$K$37,B239,2),'章节与怪物'!$A$41:$F$44,4,FALSE)+IF(2=D239,'难度参数'!$E$30,0))</x:f>
        <x:v>580</x:v>
      </x:c>
      <x:c r="AF239" s="119" t="n">
        <x:f>IF(3&gt;D239,0,MAX(2,MIN('难度参数'!$E$12,ROUND(('难度参数'!$E$18*POWER(A239,'难度参数'!$E$19)/D239*(0.85+0.3*(3-1)/MAX(1,D239-1))),0)+F239)))</x:f>
        <x:v>30</x:v>
      </x:c>
      <x:c r="AG239" s="119" t="n">
        <x:f>IF(3&gt;D239,0,ROUND(('难度参数'!$E$13*POWER(A239,'难度参数'!$E$20)*MIN('难度参数'!$E$23,1+MAX(0,A239-'难度参数'!$E$21)*'难度参数'!$E$22))*(36+3*7)/(36+7*(D239+1)/2)*E239,0))</x:f>
        <x:v>6089</x:v>
      </x:c>
      <x:c r="AH239" s="119" t="n">
        <x:f>IF(AF239=0,0,(AF239-IF(3=D239,1,0))*ROUND(AG239*VLOOKUP(INDEX('章节与怪物'!$E$31:$K$37,B239,3),'章节与怪物'!$A$41:$F$44,2,FALSE),0)+IF(3=D239,ROUND(AG239*'难度参数'!$E$28*'章节与怪物'!$E$17,0),0))</x:f>
        <x:v>310530</x:v>
      </x:c>
      <x:c r="AI239" s="119" t="n">
        <x:f>IF(AF239=0,0,(AF239-IF(3=D239,1,0))*VLOOKUP(INDEX('章节与怪物'!$E$31:$K$37,B239,3),'章节与怪物'!$A$41:$F$44,4,FALSE)+IF(3=D239,'难度参数'!$E$30,0))</x:f>
        <x:v>840</x:v>
      </x:c>
      <x:c r="AJ239" s="119" t="n">
        <x:f>IF(4&gt;D239,0,MAX(2,MIN('难度参数'!$E$12,ROUND(('难度参数'!$E$18*POWER(A239,'难度参数'!$E$19)/D239*(0.85+0.3*(4-1)/MAX(1,D239-1))),0)+F239)))</x:f>
        <x:v>32</x:v>
      </x:c>
      <x:c r="AK239" s="119" t="n">
        <x:f>IF(4&gt;D239,0,ROUND(('难度参数'!$E$13*POWER(A239,'难度参数'!$E$20)*MIN('难度参数'!$E$23,1+MAX(0,A239-'难度参数'!$E$21)*'难度参数'!$E$22))*(36+4*7)/(36+7*(D239+1)/2)*E239,0))</x:f>
        <x:v>6836</x:v>
      </x:c>
      <x:c r="AL239" s="119" t="n">
        <x:f>IF(AJ239=0,0,(AJ239-IF(4=D239,1,0))*ROUND(AK239*VLOOKUP(INDEX('章节与怪物'!$E$31:$K$37,B239,4),'章节与怪物'!$A$41:$F$44,2,FALSE),0)+IF(4=D239,ROUND(AK239*'难度参数'!$E$28*'章节与怪物'!$E$17,0),0))</x:f>
        <x:v>295328</x:v>
      </x:c>
      <x:c r="AM239" s="119" t="n">
        <x:f>IF(AJ239=0,0,(AJ239-IF(4=D239,1,0))*VLOOKUP(INDEX('章节与怪物'!$E$31:$K$37,B239,4),'章节与怪物'!$A$41:$F$44,4,FALSE)+IF(4=D239,'难度参数'!$E$30,0))</x:f>
        <x:v>1088</x:v>
      </x:c>
      <x:c r="AN239" s="119" t="n">
        <x:f>IF(5&gt;D239,0,MAX(2,MIN('难度参数'!$E$12,ROUND(('难度参数'!$E$18*POWER(A239,'难度参数'!$E$19)/D239*(0.85+0.3*(5-1)/MAX(1,D239-1))),0)+F239)))</x:f>
        <x:v>33</x:v>
      </x:c>
      <x:c r="AO239" s="119" t="n">
        <x:f>IF(5&gt;D239,0,ROUND(('难度参数'!$E$13*POWER(A239,'难度参数'!$E$20)*MIN('难度参数'!$E$23,1+MAX(0,A239-'难度参数'!$E$21)*'难度参数'!$E$22))*(36+5*7)/(36+7*(D239+1)/2)*E239,0))</x:f>
        <x:v>7584</x:v>
      </x:c>
      <x:c r="AP239" s="119" t="n">
        <x:f>IF(AN239=0,0,(AN239-IF(5=D239,1,0))*ROUND(AO239*VLOOKUP(INDEX('章节与怪物'!$E$31:$K$37,B239,5),'章节与怪物'!$A$41:$F$44,2,FALSE),0)+IF(5=D239,ROUND(AO239*'难度参数'!$E$28*'章节与怪物'!$E$17,0),0))</x:f>
        <x:v>180180</x:v>
      </x:c>
      <x:c r="AQ239" s="119" t="n">
        <x:f>IF(AN239=0,0,(AN239-IF(5=D239,1,0))*VLOOKUP(INDEX('章节与怪物'!$E$31:$K$37,B239,5),'章节与怪物'!$A$41:$F$44,4,FALSE)+IF(5=D239,'难度参数'!$E$30,0))</x:f>
        <x:v>660</x:v>
      </x:c>
      <x:c r="AR239" s="119" t="n">
        <x:f>IF(6&gt;D239,0,MAX(2,MIN('难度参数'!$E$12,ROUND(('难度参数'!$E$18*POWER(A239,'难度参数'!$E$19)/D239*(0.85+0.3*(6-1)/MAX(1,D239-1))),0)+F239)))</x:f>
        <x:v>35</x:v>
      </x:c>
      <x:c r="AS239" s="119" t="n">
        <x:f>IF(6&gt;D239,0,ROUND(('难度参数'!$E$13*POWER(A239,'难度参数'!$E$20)*MIN('难度参数'!$E$23,1+MAX(0,A239-'难度参数'!$E$21)*'难度参数'!$E$22))*(36+6*7)/(36+7*(D239+1)/2)*E239,0))</x:f>
        <x:v>8332</x:v>
      </x:c>
      <x:c r="AT239" s="119" t="n">
        <x:f>IF(AR239=0,0,(AR239-IF(6=D239,1,0))*ROUND(AS239*VLOOKUP(INDEX('章节与怪物'!$E$31:$K$37,B239,6),'章节与怪物'!$A$41:$F$44,2,FALSE),0)+IF(6=D239,ROUND(AS239*'难度参数'!$E$28*'章节与怪物'!$E$17,0),0))</x:f>
        <x:v>495740</x:v>
      </x:c>
      <x:c r="AU239" s="119" t="n">
        <x:f>IF(AR239=0,0,(AR239-IF(6=D239,1,0))*VLOOKUP(INDEX('章节与怪物'!$E$31:$K$37,B239,6),'章节与怪物'!$A$41:$F$44,4,FALSE)+IF(6=D239,'难度参数'!$E$30,0))</x:f>
        <x:v>980</x:v>
      </x:c>
      <x:c r="AV239" s="119" t="n">
        <x:f>IF(7&gt;D239,0,MAX(2,MIN('难度参数'!$E$12,ROUND(('难度参数'!$E$18*POWER(A239,'难度参数'!$E$19)/D239*(0.85+0.3*(7-1)/MAX(1,D239-1))),0)+F239)))</x:f>
        <x:v>37</x:v>
      </x:c>
      <x:c r="AW239" s="119" t="n">
        <x:f>IF(7&gt;D239,0,ROUND(('难度参数'!$E$13*POWER(A239,'难度参数'!$E$20)*MIN('难度参数'!$E$23,1+MAX(0,A239-'难度参数'!$E$21)*'难度参数'!$E$22))*(36+7*7)/(36+7*(D239+1)/2)*E239,0))</x:f>
        <x:v>9080</x:v>
      </x:c>
      <x:c r="AX239" s="119" t="n">
        <x:f>IF(AV239=0,0,(AV239-IF(7=D239,1,0))*ROUND(AW239*VLOOKUP(INDEX('章节与怪物'!$E$31:$K$37,B239,7),'章节与怪物'!$A$41:$F$44,2,FALSE),0)+IF(7=D239,ROUND(AW239*'难度参数'!$E$28*'章节与怪物'!$E$17,0),0))</x:f>
        <x:v>503032</x:v>
      </x:c>
      <x:c r="AY239" s="119" t="n">
        <x:f>IF(AV239=0,0,(AV239-IF(7=D239,1,0))*VLOOKUP(INDEX('章节与怪物'!$E$31:$K$37,B239,7),'章节与怪物'!$A$41:$F$44,4,FALSE)+IF(7=D239,'难度参数'!$E$30,0))</x:f>
        <x:v>1424</x:v>
      </x:c>
    </x:row>
    <x:row r="240" ht="23" customHeight="1">
      <x:c r="A240" s="119" t="n">
        <x:v>234</x:v>
      </x:c>
      <x:c r="B240" s="119" t="n">
        <x:f>MOD(INT((A240-1)/5),7)+1</x:f>
        <x:v>5</x:v>
      </x:c>
      <x:c r="C240" s="62" t="str">
        <x:f>INDEX('章节与怪物'!$B$31:$B$37,B240)</x:f>
        <x:v>雨林遗迹</x:v>
      </x:c>
      <x:c r="D240" s="119" t="n">
        <x:f>MIN('难度参数'!$E$8,MAX('难度参数'!$E$7,A240))</x:f>
        <x:v>7</x:v>
      </x:c>
      <x:c r="E240" s="106" t="n">
        <x:v>1</x:v>
      </x:c>
      <x:c r="F240" s="106" t="n">
        <x:v>0</x:v>
      </x:c>
      <x:c r="G240" s="106" t="n">
        <x:v>1</x:v>
      </x:c>
      <x:c r="H240" s="119" t="n">
        <x:f>SUM(X240,AB240,AF240,AJ240,AN240,AR240,AV240)</x:f>
        <x:v>223</x:v>
      </x:c>
      <x:c r="I240" s="119" t="n">
        <x:f>SUM(Z240,AD240,AH240,AL240,AP240,AT240,AX240)</x:f>
        <x:v>2026697</x:v>
      </x:c>
      <x:c r="J240" s="119" t="n">
        <x:f>ROUND(INDEX(X240:AY240,1,(D240-1)*4+2)*'难度参数'!$E$28*'章节与怪物'!$E$17,0)</x:f>
        <x:v>61934</x:v>
      </x:c>
      <x:c r="K240" s="119" t="n">
        <x:f>SUM(AA240,AE240,AI240,AM240,AQ240,AU240,AY240)</x:f>
        <x:v>6058</x:v>
      </x:c>
      <x:c r="L240" s="62" t="n">
        <x:f>H240*(ROUNDUP('难度参数'!$E$24/('难度参数'!$E$26*'难度参数'!$E$27),0)*'难度参数'!$E$26)/60</x:f>
        <x:v>2.9733333333333336</x:v>
      </x:c>
      <x:c r="M240" s="62" t="n">
        <x:f>L240+D240*('难度参数'!$E$49+'难度参数'!$E$50)/60</x:f>
        <x:v>4.140000000000001</x:v>
      </x:c>
      <x:c r="N240" s="119" t="n">
        <x:f>ROUNDDOWN(('经济参数'!$E$20+A240*'经济参数'!$E$21)*G240,0)</x:f>
        <x:v>4860</x:v>
      </x:c>
      <x:c r="O240" s="119" t="n">
        <x:f>ROUNDDOWN(MIN('经济参数'!$E$24,'经济参数'!$E$22+A240*'经济参数'!$E$23)*G240,0)</x:f>
        <x:v>0</x:v>
      </x:c>
      <x:c r="P240" s="119" t="n">
        <x:f>ROUNDDOWN((IF(A240&gt;='材料与任务'!$E$31,'材料与任务'!$E$32,IF(A240&gt;='材料与任务'!$E$25,'材料与任务'!$E$26,IF(A240&gt;='材料与任务'!$E$19,'材料与任务'!$E$20,IF(A240&gt;='材料与任务'!$E$13,'材料与任务'!$E$14,'材料与任务'!$E$8)))))*G240,0)</x:f>
        <x:v>6</x:v>
      </x:c>
      <x:c r="Q240" s="119" t="n">
        <x:f>ROUNDDOWN((IF(A240&gt;='材料与任务'!$E$31,'材料与任务'!$E$33,IF(A240&gt;='材料与任务'!$E$25,'材料与任务'!$E$27,IF(A240&gt;='材料与任务'!$E$19,'材料与任务'!$E$21,IF(A240&gt;='材料与任务'!$E$13,'材料与任务'!$E$15,'材料与任务'!$E$9)))))*G240,0)</x:f>
        <x:v>3</x:v>
      </x:c>
      <x:c r="R240" s="110" t="n">
        <x:f>'装备掉落'!$B$38</x:f>
        <x:v>0.6872058758851213</x:v>
      </x:c>
      <x:c r="S240" s="119" t="n">
        <x:f>MAX(IF(VLOOKUP(A240,'装备掉落'!$A$29:$H$34,2,TRUE)&gt;0,1,0),IF(VLOOKUP(A240,'装备掉落'!$A$29:$H$34,3,TRUE)&gt;0,2,0),IF(VLOOKUP(A240,'装备掉落'!$A$29:$H$34,4,TRUE)&gt;0,3,0),IF(VLOOKUP(A240,'装备掉落'!$A$29:$H$34,5,TRUE)&gt;0,4,0),IF(VLOOKUP(A240,'装备掉落'!$A$29:$H$34,6,TRUE)&gt;0,5,0),IF(VLOOKUP(A240,'装备掉落'!$A$29:$H$34,7,TRUE)&gt;0,6,0),IF(VLOOKUP(A240,'装备掉落'!$A$29:$H$34,8,TRUE)&gt;0,7,0))</x:f>
        <x:v>7</x:v>
      </x:c>
      <x:c r="T240" s="119" t="n">
        <x:f>MIN(7,S240+'经济参数'!$E$70)</x:f>
        <x:v>7</x:v>
      </x:c>
      <x:c r="U240" s="119" t="n">
        <x:f>MIN(7,S240+'经济参数'!$E$71)</x:f>
        <x:v>7</x:v>
      </x:c>
      <x:c r="V240" s="119" t="n">
        <x:f>IF(H240&gt;=('难度参数'!$E$52),1,0)+IF(H240&gt;=('难度参数'!$E$52+'难度参数'!$E$53),1,0)+IF(H240&gt;=('难度参数'!$E$52+'难度参数'!$E$53+'难度参数'!$E$54),1,0)+IF(H240&gt;=('难度参数'!$E$52+'难度参数'!$E$53+'难度参数'!$E$54+'难度参数'!$E$55),1,0)+IF(H240&gt;=('难度参数'!$E$52+'难度参数'!$E$53+'难度参数'!$E$54+'难度参数'!$E$55+'难度参数'!$E$56),1,0)+IF(H240&gt;=('难度参数'!$E$52+'难度参数'!$E$53+'难度参数'!$E$54+'难度参数'!$E$55+'难度参数'!$E$56+'难度参数'!$E$57),1,0)</x:f>
        <x:v>6</x:v>
      </x:c>
      <x:c r="W240" s="62" t="str">
        <x:f>IF(L240&gt;'难度参数'!$E$51,"仅出怪已超目标","还需实测")</x:f>
        <x:v>还需实测</x:v>
      </x:c>
      <x:c r="X240" s="119" t="n">
        <x:f>IF(1&gt;D240,0,MAX(2,MIN('难度参数'!$E$12,ROUND(('难度参数'!$E$18*POWER(A240,'难度参数'!$E$19)/D240*(0.85+0.3*(1-1)/MAX(1,D240-1))),0)+F240)))</x:f>
        <x:v>27</x:v>
      </x:c>
      <x:c r="Y240" s="119" t="n">
        <x:f>IF(1&gt;D240,0,ROUND(('难度参数'!$E$13*POWER(A240,'难度参数'!$E$20)*MIN('难度参数'!$E$23,1+MAX(0,A240-'难度参数'!$E$21)*'难度参数'!$E$22))*(36+1*7)/(36+7*(D240+1)/2)*E240,0))</x:f>
        <x:v>4607</x:v>
      </x:c>
      <x:c r="Z240" s="119" t="n">
        <x:f>IF(X240=0,0,(X240-IF(1=D240,1,0))*ROUND(Y240*VLOOKUP(INDEX('章节与怪物'!$E$31:$K$37,B240,1),'章节与怪物'!$A$41:$F$44,2,FALSE),0)+IF(1=D240,ROUND(Y240*'难度参数'!$E$28*'章节与怪物'!$E$17,0),0))</x:f>
        <x:v>124389</x:v>
      </x:c>
      <x:c r="AA240" s="119" t="n">
        <x:f>IF(X240=0,0,(X240-IF(1=D240,1,0))*VLOOKUP(INDEX('章节与怪物'!$E$31:$K$37,B240,1),'章节与怪物'!$A$41:$F$44,4,FALSE)+IF(1=D240,'难度参数'!$E$30,0))</x:f>
        <x:v>486</x:v>
      </x:c>
      <x:c r="AB240" s="119" t="n">
        <x:f>IF(2&gt;D240,0,MAX(2,MIN('难度参数'!$E$12,ROUND(('难度参数'!$E$18*POWER(A240,'难度参数'!$E$19)/D240*(0.85+0.3*(2-1)/MAX(1,D240-1))),0)+F240)))</x:f>
        <x:v>29</x:v>
      </x:c>
      <x:c r="AC240" s="119" t="n">
        <x:f>IF(2&gt;D240,0,ROUND(('难度参数'!$E$13*POWER(A240,'难度参数'!$E$20)*MIN('难度参数'!$E$23,1+MAX(0,A240-'难度参数'!$E$21)*'难度参数'!$E$22))*(36+2*7)/(36+7*(D240+1)/2)*E240,0))</x:f>
        <x:v>5357</x:v>
      </x:c>
      <x:c r="AD240" s="119" t="n">
        <x:f>IF(AB240=0,0,(AB240-IF(2=D240,1,0))*ROUND(AC240*VLOOKUP(INDEX('章节与怪物'!$E$31:$K$37,B240,2),'章节与怪物'!$A$41:$F$44,2,FALSE),0)+IF(2=D240,ROUND(AC240*'难度参数'!$E$28*'章节与怪物'!$E$17,0),0))</x:f>
        <x:v>111853</x:v>
      </x:c>
      <x:c r="AE240" s="119" t="n">
        <x:f>IF(AB240=0,0,(AB240-IF(2=D240,1,0))*VLOOKUP(INDEX('章节与怪物'!$E$31:$K$37,B240,2),'章节与怪物'!$A$41:$F$44,4,FALSE)+IF(2=D240,'难度参数'!$E$30,0))</x:f>
        <x:v>580</x:v>
      </x:c>
      <x:c r="AF240" s="119" t="n">
        <x:f>IF(3&gt;D240,0,MAX(2,MIN('难度参数'!$E$12,ROUND(('难度参数'!$E$18*POWER(A240,'难度参数'!$E$19)/D240*(0.85+0.3*(3-1)/MAX(1,D240-1))),0)+F240)))</x:f>
        <x:v>30</x:v>
      </x:c>
      <x:c r="AG240" s="119" t="n">
        <x:f>IF(3&gt;D240,0,ROUND(('难度参数'!$E$13*POWER(A240,'难度参数'!$E$20)*MIN('难度参数'!$E$23,1+MAX(0,A240-'难度参数'!$E$21)*'难度参数'!$E$22))*(36+3*7)/(36+7*(D240+1)/2)*E240,0))</x:f>
        <x:v>6108</x:v>
      </x:c>
      <x:c r="AH240" s="119" t="n">
        <x:f>IF(AF240=0,0,(AF240-IF(3=D240,1,0))*ROUND(AG240*VLOOKUP(INDEX('章节与怪物'!$E$31:$K$37,B240,3),'章节与怪物'!$A$41:$F$44,2,FALSE),0)+IF(3=D240,ROUND(AG240*'难度参数'!$E$28*'章节与怪物'!$E$17,0),0))</x:f>
        <x:v>311520</x:v>
      </x:c>
      <x:c r="AI240" s="119" t="n">
        <x:f>IF(AF240=0,0,(AF240-IF(3=D240,1,0))*VLOOKUP(INDEX('章节与怪物'!$E$31:$K$37,B240,3),'章节与怪物'!$A$41:$F$44,4,FALSE)+IF(3=D240,'难度参数'!$E$30,0))</x:f>
        <x:v>840</x:v>
      </x:c>
      <x:c r="AJ240" s="119" t="n">
        <x:f>IF(4&gt;D240,0,MAX(2,MIN('难度参数'!$E$12,ROUND(('难度参数'!$E$18*POWER(A240,'难度参数'!$E$19)/D240*(0.85+0.3*(4-1)/MAX(1,D240-1))),0)+F240)))</x:f>
        <x:v>32</x:v>
      </x:c>
      <x:c r="AK240" s="119" t="n">
        <x:f>IF(4&gt;D240,0,ROUND(('难度参数'!$E$13*POWER(A240,'难度参数'!$E$20)*MIN('难度参数'!$E$23,1+MAX(0,A240-'难度参数'!$E$21)*'难度参数'!$E$22))*(36+4*7)/(36+7*(D240+1)/2)*E240,0))</x:f>
        <x:v>6858</x:v>
      </x:c>
      <x:c r="AL240" s="119" t="n">
        <x:f>IF(AJ240=0,0,(AJ240-IF(4=D240,1,0))*ROUND(AK240*VLOOKUP(INDEX('章节与怪物'!$E$31:$K$37,B240,4),'章节与怪物'!$A$41:$F$44,2,FALSE),0)+IF(4=D240,ROUND(AK240*'难度参数'!$E$28*'章节与怪物'!$E$17,0),0))</x:f>
        <x:v>296256</x:v>
      </x:c>
      <x:c r="AM240" s="119" t="n">
        <x:f>IF(AJ240=0,0,(AJ240-IF(4=D240,1,0))*VLOOKUP(INDEX('章节与怪物'!$E$31:$K$37,B240,4),'章节与怪物'!$A$41:$F$44,4,FALSE)+IF(4=D240,'难度参数'!$E$30,0))</x:f>
        <x:v>1088</x:v>
      </x:c>
      <x:c r="AN240" s="119" t="n">
        <x:f>IF(5&gt;D240,0,MAX(2,MIN('难度参数'!$E$12,ROUND(('难度参数'!$E$18*POWER(A240,'难度参数'!$E$19)/D240*(0.85+0.3*(5-1)/MAX(1,D240-1))),0)+F240)))</x:f>
        <x:v>33</x:v>
      </x:c>
      <x:c r="AO240" s="119" t="n">
        <x:f>IF(5&gt;D240,0,ROUND(('难度参数'!$E$13*POWER(A240,'难度参数'!$E$20)*MIN('难度参数'!$E$23,1+MAX(0,A240-'难度参数'!$E$21)*'难度参数'!$E$22))*(36+5*7)/(36+7*(D240+1)/2)*E240,0))</x:f>
        <x:v>7608</x:v>
      </x:c>
      <x:c r="AP240" s="119" t="n">
        <x:f>IF(AN240=0,0,(AN240-IF(5=D240,1,0))*ROUND(AO240*VLOOKUP(INDEX('章节与怪物'!$E$31:$K$37,B240,5),'章节与怪物'!$A$41:$F$44,2,FALSE),0)+IF(5=D240,ROUND(AO240*'难度参数'!$E$28*'章节与怪物'!$E$17,0),0))</x:f>
        <x:v>180774</x:v>
      </x:c>
      <x:c r="AQ240" s="119" t="n">
        <x:f>IF(AN240=0,0,(AN240-IF(5=D240,1,0))*VLOOKUP(INDEX('章节与怪物'!$E$31:$K$37,B240,5),'章节与怪物'!$A$41:$F$44,4,FALSE)+IF(5=D240,'难度参数'!$E$30,0))</x:f>
        <x:v>660</x:v>
      </x:c>
      <x:c r="AR240" s="119" t="n">
        <x:f>IF(6&gt;D240,0,MAX(2,MIN('难度参数'!$E$12,ROUND(('难度参数'!$E$18*POWER(A240,'难度参数'!$E$19)/D240*(0.85+0.3*(6-1)/MAX(1,D240-1))),0)+F240)))</x:f>
        <x:v>35</x:v>
      </x:c>
      <x:c r="AS240" s="119" t="n">
        <x:f>IF(6&gt;D240,0,ROUND(('难度参数'!$E$13*POWER(A240,'难度参数'!$E$20)*MIN('难度参数'!$E$23,1+MAX(0,A240-'难度参数'!$E$21)*'难度参数'!$E$22))*(36+6*7)/(36+7*(D240+1)/2)*E240,0))</x:f>
        <x:v>8358</x:v>
      </x:c>
      <x:c r="AT240" s="119" t="n">
        <x:f>IF(AR240=0,0,(AR240-IF(6=D240,1,0))*ROUND(AS240*VLOOKUP(INDEX('章节与怪物'!$E$31:$K$37,B240,6),'章节与怪物'!$A$41:$F$44,2,FALSE),0)+IF(6=D240,ROUND(AS240*'难度参数'!$E$28*'章节与怪物'!$E$17,0),0))</x:f>
        <x:v>497315</x:v>
      </x:c>
      <x:c r="AU240" s="119" t="n">
        <x:f>IF(AR240=0,0,(AR240-IF(6=D240,1,0))*VLOOKUP(INDEX('章节与怪物'!$E$31:$K$37,B240,6),'章节与怪物'!$A$41:$F$44,4,FALSE)+IF(6=D240,'难度参数'!$E$30,0))</x:f>
        <x:v>980</x:v>
      </x:c>
      <x:c r="AV240" s="119" t="n">
        <x:f>IF(7&gt;D240,0,MAX(2,MIN('难度参数'!$E$12,ROUND(('难度参数'!$E$18*POWER(A240,'难度参数'!$E$19)/D240*(0.85+0.3*(7-1)/MAX(1,D240-1))),0)+F240)))</x:f>
        <x:v>37</x:v>
      </x:c>
      <x:c r="AW240" s="119" t="n">
        <x:f>IF(7&gt;D240,0,ROUND(('难度参数'!$E$13*POWER(A240,'难度参数'!$E$20)*MIN('难度参数'!$E$23,1+MAX(0,A240-'难度参数'!$E$21)*'难度参数'!$E$22))*(36+7*7)/(36+7*(D240+1)/2)*E240,0))</x:f>
        <x:v>9108</x:v>
      </x:c>
      <x:c r="AX240" s="119" t="n">
        <x:f>IF(AV240=0,0,(AV240-IF(7=D240,1,0))*ROUND(AW240*VLOOKUP(INDEX('章节与怪物'!$E$31:$K$37,B240,7),'章节与怪物'!$A$41:$F$44,2,FALSE),0)+IF(7=D240,ROUND(AW240*'难度参数'!$E$28*'章节与怪物'!$E$17,0),0))</x:f>
        <x:v>504590</x:v>
      </x:c>
      <x:c r="AY240" s="119" t="n">
        <x:f>IF(AV240=0,0,(AV240-IF(7=D240,1,0))*VLOOKUP(INDEX('章节与怪物'!$E$31:$K$37,B240,7),'章节与怪物'!$A$41:$F$44,4,FALSE)+IF(7=D240,'难度参数'!$E$30,0))</x:f>
        <x:v>1424</x:v>
      </x:c>
    </x:row>
    <x:row r="241" ht="23" customHeight="1">
      <x:c r="A241" s="119" t="n">
        <x:v>235</x:v>
      </x:c>
      <x:c r="B241" s="119" t="n">
        <x:f>MOD(INT((A241-1)/5),7)+1</x:f>
        <x:v>5</x:v>
      </x:c>
      <x:c r="C241" s="62" t="str">
        <x:f>INDEX('章节与怪物'!$B$31:$B$37,B241)</x:f>
        <x:v>雨林遗迹</x:v>
      </x:c>
      <x:c r="D241" s="119" t="n">
        <x:f>MIN('难度参数'!$E$8,MAX('难度参数'!$E$7,A241))</x:f>
        <x:v>7</x:v>
      </x:c>
      <x:c r="E241" s="106" t="n">
        <x:v>1</x:v>
      </x:c>
      <x:c r="F241" s="106" t="n">
        <x:v>0</x:v>
      </x:c>
      <x:c r="G241" s="106" t="n">
        <x:v>1</x:v>
      </x:c>
      <x:c r="H241" s="119" t="n">
        <x:f>SUM(X241,AB241,AF241,AJ241,AN241,AR241,AV241)</x:f>
        <x:v>223</x:v>
      </x:c>
      <x:c r="I241" s="119" t="n">
        <x:f>SUM(Z241,AD241,AH241,AL241,AP241,AT241,AX241)</x:f>
        <x:v>2032835</x:v>
      </x:c>
      <x:c r="J241" s="119" t="n">
        <x:f>ROUND(INDEX(X241:AY241,1,(D241-1)*4+2)*'难度参数'!$E$28*'章节与怪物'!$E$17,0)</x:f>
        <x:v>62125</x:v>
      </x:c>
      <x:c r="K241" s="119" t="n">
        <x:f>SUM(AA241,AE241,AI241,AM241,AQ241,AU241,AY241)</x:f>
        <x:v>6058</x:v>
      </x:c>
      <x:c r="L241" s="62" t="n">
        <x:f>H241*(ROUNDUP('难度参数'!$E$24/('难度参数'!$E$26*'难度参数'!$E$27),0)*'难度参数'!$E$26)/60</x:f>
        <x:v>2.9733333333333336</x:v>
      </x:c>
      <x:c r="M241" s="62" t="n">
        <x:f>L241+D241*('难度参数'!$E$49+'难度参数'!$E$50)/60</x:f>
        <x:v>4.140000000000001</x:v>
      </x:c>
      <x:c r="N241" s="119" t="n">
        <x:f>ROUNDDOWN(('经济参数'!$E$20+A241*'经济参数'!$E$21)*G241,0)</x:f>
        <x:v>4880</x:v>
      </x:c>
      <x:c r="O241" s="119" t="n">
        <x:f>ROUNDDOWN(MIN('经济参数'!$E$24,'经济参数'!$E$22+A241*'经济参数'!$E$23)*G241,0)</x:f>
        <x:v>0</x:v>
      </x:c>
      <x:c r="P241" s="119" t="n">
        <x:f>ROUNDDOWN((IF(A241&gt;='材料与任务'!$E$31,'材料与任务'!$E$32,IF(A241&gt;='材料与任务'!$E$25,'材料与任务'!$E$26,IF(A241&gt;='材料与任务'!$E$19,'材料与任务'!$E$20,IF(A241&gt;='材料与任务'!$E$13,'材料与任务'!$E$14,'材料与任务'!$E$8)))))*G241,0)</x:f>
        <x:v>6</x:v>
      </x:c>
      <x:c r="Q241" s="119" t="n">
        <x:f>ROUNDDOWN((IF(A241&gt;='材料与任务'!$E$31,'材料与任务'!$E$33,IF(A241&gt;='材料与任务'!$E$25,'材料与任务'!$E$27,IF(A241&gt;='材料与任务'!$E$19,'材料与任务'!$E$21,IF(A241&gt;='材料与任务'!$E$13,'材料与任务'!$E$15,'材料与任务'!$E$9)))))*G241,0)</x:f>
        <x:v>3</x:v>
      </x:c>
      <x:c r="R241" s="110" t="n">
        <x:f>'装备掉落'!$B$38</x:f>
        <x:v>0.6872058758851213</x:v>
      </x:c>
      <x:c r="S241" s="119" t="n">
        <x:f>MAX(IF(VLOOKUP(A241,'装备掉落'!$A$29:$H$34,2,TRUE)&gt;0,1,0),IF(VLOOKUP(A241,'装备掉落'!$A$29:$H$34,3,TRUE)&gt;0,2,0),IF(VLOOKUP(A241,'装备掉落'!$A$29:$H$34,4,TRUE)&gt;0,3,0),IF(VLOOKUP(A241,'装备掉落'!$A$29:$H$34,5,TRUE)&gt;0,4,0),IF(VLOOKUP(A241,'装备掉落'!$A$29:$H$34,6,TRUE)&gt;0,5,0),IF(VLOOKUP(A241,'装备掉落'!$A$29:$H$34,7,TRUE)&gt;0,6,0),IF(VLOOKUP(A241,'装备掉落'!$A$29:$H$34,8,TRUE)&gt;0,7,0))</x:f>
        <x:v>7</x:v>
      </x:c>
      <x:c r="T241" s="119" t="n">
        <x:f>MIN(7,S241+'经济参数'!$E$70)</x:f>
        <x:v>7</x:v>
      </x:c>
      <x:c r="U241" s="119" t="n">
        <x:f>MIN(7,S241+'经济参数'!$E$71)</x:f>
        <x:v>7</x:v>
      </x:c>
      <x:c r="V241" s="119" t="n">
        <x:f>IF(H241&gt;=('难度参数'!$E$52),1,0)+IF(H241&gt;=('难度参数'!$E$52+'难度参数'!$E$53),1,0)+IF(H241&gt;=('难度参数'!$E$52+'难度参数'!$E$53+'难度参数'!$E$54),1,0)+IF(H241&gt;=('难度参数'!$E$52+'难度参数'!$E$53+'难度参数'!$E$54+'难度参数'!$E$55),1,0)+IF(H241&gt;=('难度参数'!$E$52+'难度参数'!$E$53+'难度参数'!$E$54+'难度参数'!$E$55+'难度参数'!$E$56),1,0)+IF(H241&gt;=('难度参数'!$E$52+'难度参数'!$E$53+'难度参数'!$E$54+'难度参数'!$E$55+'难度参数'!$E$56+'难度参数'!$E$57),1,0)</x:f>
        <x:v>6</x:v>
      </x:c>
      <x:c r="W241" s="62" t="str">
        <x:f>IF(L241&gt;'难度参数'!$E$51,"仅出怪已超目标","还需实测")</x:f>
        <x:v>还需实测</x:v>
      </x:c>
      <x:c r="X241" s="119" t="n">
        <x:f>IF(1&gt;D241,0,MAX(2,MIN('难度参数'!$E$12,ROUND(('难度参数'!$E$18*POWER(A241,'难度参数'!$E$19)/D241*(0.85+0.3*(1-1)/MAX(1,D241-1))),0)+F241)))</x:f>
        <x:v>27</x:v>
      </x:c>
      <x:c r="Y241" s="119" t="n">
        <x:f>IF(1&gt;D241,0,ROUND(('难度参数'!$E$13*POWER(A241,'难度参数'!$E$20)*MIN('难度参数'!$E$23,1+MAX(0,A241-'难度参数'!$E$21)*'难度参数'!$E$22))*(36+1*7)/(36+7*(D241+1)/2)*E241,0))</x:f>
        <x:v>4622</x:v>
      </x:c>
      <x:c r="Z241" s="119" t="n">
        <x:f>IF(X241=0,0,(X241-IF(1=D241,1,0))*ROUND(Y241*VLOOKUP(INDEX('章节与怪物'!$E$31:$K$37,B241,1),'章节与怪物'!$A$41:$F$44,2,FALSE),0)+IF(1=D241,ROUND(Y241*'难度参数'!$E$28*'章节与怪物'!$E$17,0),0))</x:f>
        <x:v>124794</x:v>
      </x:c>
      <x:c r="AA241" s="119" t="n">
        <x:f>IF(X241=0,0,(X241-IF(1=D241,1,0))*VLOOKUP(INDEX('章节与怪物'!$E$31:$K$37,B241,1),'章节与怪物'!$A$41:$F$44,4,FALSE)+IF(1=D241,'难度参数'!$E$30,0))</x:f>
        <x:v>486</x:v>
      </x:c>
      <x:c r="AB241" s="119" t="n">
        <x:f>IF(2&gt;D241,0,MAX(2,MIN('难度参数'!$E$12,ROUND(('难度参数'!$E$18*POWER(A241,'难度参数'!$E$19)/D241*(0.85+0.3*(2-1)/MAX(1,D241-1))),0)+F241)))</x:f>
        <x:v>29</x:v>
      </x:c>
      <x:c r="AC241" s="119" t="n">
        <x:f>IF(2&gt;D241,0,ROUND(('难度参数'!$E$13*POWER(A241,'难度参数'!$E$20)*MIN('难度参数'!$E$23,1+MAX(0,A241-'难度参数'!$E$21)*'难度参数'!$E$22))*(36+2*7)/(36+7*(D241+1)/2)*E241,0))</x:f>
        <x:v>5374</x:v>
      </x:c>
      <x:c r="AD241" s="119" t="n">
        <x:f>IF(AB241=0,0,(AB241-IF(2=D241,1,0))*ROUND(AC241*VLOOKUP(INDEX('章节与怪物'!$E$31:$K$37,B241,2),'章节与怪物'!$A$41:$F$44,2,FALSE),0)+IF(2=D241,ROUND(AC241*'难度参数'!$E$28*'章节与怪物'!$E$17,0),0))</x:f>
        <x:v>112201</x:v>
      </x:c>
      <x:c r="AE241" s="119" t="n">
        <x:f>IF(AB241=0,0,(AB241-IF(2=D241,1,0))*VLOOKUP(INDEX('章节与怪物'!$E$31:$K$37,B241,2),'章节与怪物'!$A$41:$F$44,4,FALSE)+IF(2=D241,'难度参数'!$E$30,0))</x:f>
        <x:v>580</x:v>
      </x:c>
      <x:c r="AF241" s="119" t="n">
        <x:f>IF(3&gt;D241,0,MAX(2,MIN('难度参数'!$E$12,ROUND(('难度参数'!$E$18*POWER(A241,'难度参数'!$E$19)/D241*(0.85+0.3*(3-1)/MAX(1,D241-1))),0)+F241)))</x:f>
        <x:v>30</x:v>
      </x:c>
      <x:c r="AG241" s="119" t="n">
        <x:f>IF(3&gt;D241,0,ROUND(('难度参数'!$E$13*POWER(A241,'难度参数'!$E$20)*MIN('难度参数'!$E$23,1+MAX(0,A241-'难度参数'!$E$21)*'难度参数'!$E$22))*(36+3*7)/(36+7*(D241+1)/2)*E241,0))</x:f>
        <x:v>6126</x:v>
      </x:c>
      <x:c r="AH241" s="119" t="n">
        <x:f>IF(AF241=0,0,(AF241-IF(3=D241,1,0))*ROUND(AG241*VLOOKUP(INDEX('章节与怪物'!$E$31:$K$37,B241,3),'章节与怪物'!$A$41:$F$44,2,FALSE),0)+IF(3=D241,ROUND(AG241*'难度参数'!$E$28*'章节与怪物'!$E$17,0),0))</x:f>
        <x:v>312420</x:v>
      </x:c>
      <x:c r="AI241" s="119" t="n">
        <x:f>IF(AF241=0,0,(AF241-IF(3=D241,1,0))*VLOOKUP(INDEX('章节与怪物'!$E$31:$K$37,B241,3),'章节与怪物'!$A$41:$F$44,4,FALSE)+IF(3=D241,'难度参数'!$E$30,0))</x:f>
        <x:v>840</x:v>
      </x:c>
      <x:c r="AJ241" s="119" t="n">
        <x:f>IF(4&gt;D241,0,MAX(2,MIN('难度参数'!$E$12,ROUND(('难度参数'!$E$18*POWER(A241,'难度参数'!$E$19)/D241*(0.85+0.3*(4-1)/MAX(1,D241-1))),0)+F241)))</x:f>
        <x:v>32</x:v>
      </x:c>
      <x:c r="AK241" s="119" t="n">
        <x:f>IF(4&gt;D241,0,ROUND(('难度参数'!$E$13*POWER(A241,'难度参数'!$E$20)*MIN('难度参数'!$E$23,1+MAX(0,A241-'难度参数'!$E$21)*'难度参数'!$E$22))*(36+4*7)/(36+7*(D241+1)/2)*E241,0))</x:f>
        <x:v>6879</x:v>
      </x:c>
      <x:c r="AL241" s="119" t="n">
        <x:f>IF(AJ241=0,0,(AJ241-IF(4=D241,1,0))*ROUND(AK241*VLOOKUP(INDEX('章节与怪物'!$E$31:$K$37,B241,4),'章节与怪物'!$A$41:$F$44,2,FALSE),0)+IF(4=D241,ROUND(AK241*'难度参数'!$E$28*'章节与怪物'!$E$17,0),0))</x:f>
        <x:v>297184</x:v>
      </x:c>
      <x:c r="AM241" s="119" t="n">
        <x:f>IF(AJ241=0,0,(AJ241-IF(4=D241,1,0))*VLOOKUP(INDEX('章节与怪物'!$E$31:$K$37,B241,4),'章节与怪物'!$A$41:$F$44,4,FALSE)+IF(4=D241,'难度参数'!$E$30,0))</x:f>
        <x:v>1088</x:v>
      </x:c>
      <x:c r="AN241" s="119" t="n">
        <x:f>IF(5&gt;D241,0,MAX(2,MIN('难度参数'!$E$12,ROUND(('难度参数'!$E$18*POWER(A241,'难度参数'!$E$19)/D241*(0.85+0.3*(5-1)/MAX(1,D241-1))),0)+F241)))</x:f>
        <x:v>33</x:v>
      </x:c>
      <x:c r="AO241" s="119" t="n">
        <x:f>IF(5&gt;D241,0,ROUND(('难度参数'!$E$13*POWER(A241,'难度参数'!$E$20)*MIN('难度参数'!$E$23,1+MAX(0,A241-'难度参数'!$E$21)*'难度参数'!$E$22))*(36+5*7)/(36+7*(D241+1)/2)*E241,0))</x:f>
        <x:v>7631</x:v>
      </x:c>
      <x:c r="AP241" s="119" t="n">
        <x:f>IF(AN241=0,0,(AN241-IF(5=D241,1,0))*ROUND(AO241*VLOOKUP(INDEX('章节与怪物'!$E$31:$K$37,B241,5),'章节与怪物'!$A$41:$F$44,2,FALSE),0)+IF(5=D241,ROUND(AO241*'难度参数'!$E$28*'章节与怪物'!$E$17,0),0))</x:f>
        <x:v>181302</x:v>
      </x:c>
      <x:c r="AQ241" s="119" t="n">
        <x:f>IF(AN241=0,0,(AN241-IF(5=D241,1,0))*VLOOKUP(INDEX('章节与怪物'!$E$31:$K$37,B241,5),'章节与怪物'!$A$41:$F$44,4,FALSE)+IF(5=D241,'难度参数'!$E$30,0))</x:f>
        <x:v>660</x:v>
      </x:c>
      <x:c r="AR241" s="119" t="n">
        <x:f>IF(6&gt;D241,0,MAX(2,MIN('难度参数'!$E$12,ROUND(('难度参数'!$E$18*POWER(A241,'难度参数'!$E$19)/D241*(0.85+0.3*(6-1)/MAX(1,D241-1))),0)+F241)))</x:f>
        <x:v>35</x:v>
      </x:c>
      <x:c r="AS241" s="119" t="n">
        <x:f>IF(6&gt;D241,0,ROUND(('难度参数'!$E$13*POWER(A241,'难度参数'!$E$20)*MIN('难度参数'!$E$23,1+MAX(0,A241-'难度参数'!$E$21)*'难度参数'!$E$22))*(36+6*7)/(36+7*(D241+1)/2)*E241,0))</x:f>
        <x:v>8383</x:v>
      </x:c>
      <x:c r="AT241" s="119" t="n">
        <x:f>IF(AR241=0,0,(AR241-IF(6=D241,1,0))*ROUND(AS241*VLOOKUP(INDEX('章节与怪物'!$E$31:$K$37,B241,6),'章节与怪物'!$A$41:$F$44,2,FALSE),0)+IF(6=D241,ROUND(AS241*'难度参数'!$E$28*'章节与怪物'!$E$17,0),0))</x:f>
        <x:v>498785</x:v>
      </x:c>
      <x:c r="AU241" s="119" t="n">
        <x:f>IF(AR241=0,0,(AR241-IF(6=D241,1,0))*VLOOKUP(INDEX('章节与怪物'!$E$31:$K$37,B241,6),'章节与怪物'!$A$41:$F$44,4,FALSE)+IF(6=D241,'难度参数'!$E$30,0))</x:f>
        <x:v>980</x:v>
      </x:c>
      <x:c r="AV241" s="119" t="n">
        <x:f>IF(7&gt;D241,0,MAX(2,MIN('难度参数'!$E$12,ROUND(('难度参数'!$E$18*POWER(A241,'难度参数'!$E$19)/D241*(0.85+0.3*(7-1)/MAX(1,D241-1))),0)+F241)))</x:f>
        <x:v>37</x:v>
      </x:c>
      <x:c r="AW241" s="119" t="n">
        <x:f>IF(7&gt;D241,0,ROUND(('难度参数'!$E$13*POWER(A241,'难度参数'!$E$20)*MIN('难度参数'!$E$23,1+MAX(0,A241-'难度参数'!$E$21)*'难度参数'!$E$22))*(36+7*7)/(36+7*(D241+1)/2)*E241,0))</x:f>
        <x:v>9136</x:v>
      </x:c>
      <x:c r="AX241" s="119" t="n">
        <x:f>IF(AV241=0,0,(AV241-IF(7=D241,1,0))*ROUND(AW241*VLOOKUP(INDEX('章节与怪物'!$E$31:$K$37,B241,7),'章节与怪物'!$A$41:$F$44,2,FALSE),0)+IF(7=D241,ROUND(AW241*'难度参数'!$E$28*'章节与怪物'!$E$17,0),0))</x:f>
        <x:v>506149</x:v>
      </x:c>
      <x:c r="AY241" s="119" t="n">
        <x:f>IF(AV241=0,0,(AV241-IF(7=D241,1,0))*VLOOKUP(INDEX('章节与怪物'!$E$31:$K$37,B241,7),'章节与怪物'!$A$41:$F$44,4,FALSE)+IF(7=D241,'难度参数'!$E$30,0))</x:f>
        <x:v>1424</x:v>
      </x:c>
    </x:row>
    <x:row r="242" ht="23" customHeight="1">
      <x:c r="A242" s="119" t="n">
        <x:v>236</x:v>
      </x:c>
      <x:c r="B242" s="119" t="n">
        <x:f>MOD(INT((A242-1)/5),7)+1</x:f>
        <x:v>6</x:v>
      </x:c>
      <x:c r="C242" s="62" t="str">
        <x:f>INDEX('章节与怪物'!$B$31:$B$37,B242)</x:f>
        <x:v>熔岩山脉</x:v>
      </x:c>
      <x:c r="D242" s="119" t="n">
        <x:f>MIN('难度参数'!$E$8,MAX('难度参数'!$E$7,A242))</x:f>
        <x:v>7</x:v>
      </x:c>
      <x:c r="E242" s="106" t="n">
        <x:v>1</x:v>
      </x:c>
      <x:c r="F242" s="106" t="n">
        <x:v>0</x:v>
      </x:c>
      <x:c r="G242" s="106" t="n">
        <x:v>1</x:v>
      </x:c>
      <x:c r="H242" s="119" t="n">
        <x:f>SUM(X242,AB242,AF242,AJ242,AN242,AR242,AV242)</x:f>
        <x:v>224</x:v>
      </x:c>
      <x:c r="I242" s="119" t="n">
        <x:f>SUM(Z242,AD242,AH242,AL242,AP242,AT242,AX242)</x:f>
        <x:v>2126158</x:v>
      </x:c>
      <x:c r="J242" s="119" t="n">
        <x:f>ROUND(INDEX(X242:AY242,1,(D242-1)*4+2)*'难度参数'!$E$28*'章节与怪物'!$E$17,0)</x:f>
        <x:v>62315</x:v>
      </x:c>
      <x:c r="K242" s="119" t="n">
        <x:f>SUM(AA242,AE242,AI242,AM242,AQ242,AU242,AY242)</x:f>
        <x:v>6006</x:v>
      </x:c>
      <x:c r="L242" s="62" t="n">
        <x:f>H242*(ROUNDUP('难度参数'!$E$24/('难度参数'!$E$26*'难度参数'!$E$27),0)*'难度参数'!$E$26)/60</x:f>
        <x:v>2.986666666666667</x:v>
      </x:c>
      <x:c r="M242" s="62" t="n">
        <x:f>L242+D242*('难度参数'!$E$49+'难度参数'!$E$50)/60</x:f>
        <x:v>4.153333333333333</x:v>
      </x:c>
      <x:c r="N242" s="119" t="n">
        <x:f>ROUNDDOWN(('经济参数'!$E$20+A242*'经济参数'!$E$21)*G242,0)</x:f>
        <x:v>4900</x:v>
      </x:c>
      <x:c r="O242" s="119" t="n">
        <x:f>ROUNDDOWN(MIN('经济参数'!$E$24,'经济参数'!$E$22+A242*'经济参数'!$E$23)*G242,0)</x:f>
        <x:v>0</x:v>
      </x:c>
      <x:c r="P242" s="119" t="n">
        <x:f>ROUNDDOWN((IF(A242&gt;='材料与任务'!$E$31,'材料与任务'!$E$32,IF(A242&gt;='材料与任务'!$E$25,'材料与任务'!$E$26,IF(A242&gt;='材料与任务'!$E$19,'材料与任务'!$E$20,IF(A242&gt;='材料与任务'!$E$13,'材料与任务'!$E$14,'材料与任务'!$E$8)))))*G242,0)</x:f>
        <x:v>6</x:v>
      </x:c>
      <x:c r="Q242" s="119" t="n">
        <x:f>ROUNDDOWN((IF(A242&gt;='材料与任务'!$E$31,'材料与任务'!$E$33,IF(A242&gt;='材料与任务'!$E$25,'材料与任务'!$E$27,IF(A242&gt;='材料与任务'!$E$19,'材料与任务'!$E$21,IF(A242&gt;='材料与任务'!$E$13,'材料与任务'!$E$15,'材料与任务'!$E$9)))))*G242,0)</x:f>
        <x:v>3</x:v>
      </x:c>
      <x:c r="R242" s="110" t="n">
        <x:f>'装备掉落'!$B$38</x:f>
        <x:v>0.6872058758851213</x:v>
      </x:c>
      <x:c r="S242" s="119" t="n">
        <x:f>MAX(IF(VLOOKUP(A242,'装备掉落'!$A$29:$H$34,2,TRUE)&gt;0,1,0),IF(VLOOKUP(A242,'装备掉落'!$A$29:$H$34,3,TRUE)&gt;0,2,0),IF(VLOOKUP(A242,'装备掉落'!$A$29:$H$34,4,TRUE)&gt;0,3,0),IF(VLOOKUP(A242,'装备掉落'!$A$29:$H$34,5,TRUE)&gt;0,4,0),IF(VLOOKUP(A242,'装备掉落'!$A$29:$H$34,6,TRUE)&gt;0,5,0),IF(VLOOKUP(A242,'装备掉落'!$A$29:$H$34,7,TRUE)&gt;0,6,0),IF(VLOOKUP(A242,'装备掉落'!$A$29:$H$34,8,TRUE)&gt;0,7,0))</x:f>
        <x:v>7</x:v>
      </x:c>
      <x:c r="T242" s="119" t="n">
        <x:f>MIN(7,S242+'经济参数'!$E$70)</x:f>
        <x:v>7</x:v>
      </x:c>
      <x:c r="U242" s="119" t="n">
        <x:f>MIN(7,S242+'经济参数'!$E$71)</x:f>
        <x:v>7</x:v>
      </x:c>
      <x:c r="V242" s="119" t="n">
        <x:f>IF(H242&gt;=('难度参数'!$E$52),1,0)+IF(H242&gt;=('难度参数'!$E$52+'难度参数'!$E$53),1,0)+IF(H242&gt;=('难度参数'!$E$52+'难度参数'!$E$53+'难度参数'!$E$54),1,0)+IF(H242&gt;=('难度参数'!$E$52+'难度参数'!$E$53+'难度参数'!$E$54+'难度参数'!$E$55),1,0)+IF(H242&gt;=('难度参数'!$E$52+'难度参数'!$E$53+'难度参数'!$E$54+'难度参数'!$E$55+'难度参数'!$E$56),1,0)+IF(H242&gt;=('难度参数'!$E$52+'难度参数'!$E$53+'难度参数'!$E$54+'难度参数'!$E$55+'难度参数'!$E$56+'难度参数'!$E$57),1,0)</x:f>
        <x:v>6</x:v>
      </x:c>
      <x:c r="W242" s="62" t="str">
        <x:f>IF(L242&gt;'难度参数'!$E$51,"仅出怪已超目标","还需实测")</x:f>
        <x:v>还需实测</x:v>
      </x:c>
      <x:c r="X242" s="119" t="n">
        <x:f>IF(1&gt;D242,0,MAX(2,MIN('难度参数'!$E$12,ROUND(('难度参数'!$E$18*POWER(A242,'难度参数'!$E$19)/D242*(0.85+0.3*(1-1)/MAX(1,D242-1))),0)+F242)))</x:f>
        <x:v>27</x:v>
      </x:c>
      <x:c r="Y242" s="119" t="n">
        <x:f>IF(1&gt;D242,0,ROUND(('难度参数'!$E$13*POWER(A242,'难度参数'!$E$20)*MIN('难度参数'!$E$23,1+MAX(0,A242-'难度参数'!$E$21)*'难度参数'!$E$22))*(36+1*7)/(36+7*(D242+1)/2)*E242,0))</x:f>
        <x:v>4636</x:v>
      </x:c>
      <x:c r="Z242" s="119" t="n">
        <x:f>IF(X242=0,0,(X242-IF(1=D242,1,0))*ROUND(Y242*VLOOKUP(INDEX('章节与怪物'!$E$31:$K$37,B242,1),'章节与怪物'!$A$41:$F$44,2,FALSE),0)+IF(1=D242,ROUND(Y242*'难度参数'!$E$28*'章节与怪物'!$E$17,0),0))</x:f>
        <x:v>90126</x:v>
      </x:c>
      <x:c r="AA242" s="119" t="n">
        <x:f>IF(X242=0,0,(X242-IF(1=D242,1,0))*VLOOKUP(INDEX('章节与怪物'!$E$31:$K$37,B242,1),'章节与怪物'!$A$41:$F$44,4,FALSE)+IF(1=D242,'难度参数'!$E$30,0))</x:f>
        <x:v>540</x:v>
      </x:c>
      <x:c r="AB242" s="119" t="n">
        <x:f>IF(2&gt;D242,0,MAX(2,MIN('难度参数'!$E$12,ROUND(('难度参数'!$E$18*POWER(A242,'难度参数'!$E$19)/D242*(0.85+0.3*(2-1)/MAX(1,D242-1))),0)+F242)))</x:f>
        <x:v>29</x:v>
      </x:c>
      <x:c r="AC242" s="119" t="n">
        <x:f>IF(2&gt;D242,0,ROUND(('难度参数'!$E$13*POWER(A242,'难度参数'!$E$20)*MIN('难度参数'!$E$23,1+MAX(0,A242-'难度参数'!$E$21)*'难度参数'!$E$22))*(36+2*7)/(36+7*(D242+1)/2)*E242,0))</x:f>
        <x:v>5390</x:v>
      </x:c>
      <x:c r="AD242" s="119" t="n">
        <x:f>IF(AB242=0,0,(AB242-IF(2=D242,1,0))*ROUND(AC242*VLOOKUP(INDEX('章节与怪物'!$E$31:$K$37,B242,2),'章节与怪物'!$A$41:$F$44,2,FALSE),0)+IF(2=D242,ROUND(AC242*'难度参数'!$E$28*'章节与怪物'!$E$17,0),0))</x:f>
        <x:v>156310</x:v>
      </x:c>
      <x:c r="AE242" s="119" t="n">
        <x:f>IF(AB242=0,0,(AB242-IF(2=D242,1,0))*VLOOKUP(INDEX('章节与怪物'!$E$31:$K$37,B242,2),'章节与怪物'!$A$41:$F$44,4,FALSE)+IF(2=D242,'难度参数'!$E$30,0))</x:f>
        <x:v>522</x:v>
      </x:c>
      <x:c r="AF242" s="119" t="n">
        <x:f>IF(3&gt;D242,0,MAX(2,MIN('难度参数'!$E$12,ROUND(('难度参数'!$E$18*POWER(A242,'难度参数'!$E$19)/D242*(0.85+0.3*(3-1)/MAX(1,D242-1))),0)+F242)))</x:f>
        <x:v>30</x:v>
      </x:c>
      <x:c r="AG242" s="119" t="n">
        <x:f>IF(3&gt;D242,0,ROUND(('难度参数'!$E$13*POWER(A242,'难度参数'!$E$20)*MIN('难度参数'!$E$23,1+MAX(0,A242-'难度参数'!$E$21)*'难度参数'!$E$22))*(36+3*7)/(36+7*(D242+1)/2)*E242,0))</x:f>
        <x:v>6145</x:v>
      </x:c>
      <x:c r="AH242" s="119" t="n">
        <x:f>IF(AF242=0,0,(AF242-IF(3=D242,1,0))*ROUND(AG242*VLOOKUP(INDEX('章节与怪物'!$E$31:$K$37,B242,3),'章节与怪物'!$A$41:$F$44,2,FALSE),0)+IF(3=D242,ROUND(AG242*'难度参数'!$E$28*'章节与怪物'!$E$17,0),0))</x:f>
        <x:v>313410</x:v>
      </x:c>
      <x:c r="AI242" s="119" t="n">
        <x:f>IF(AF242=0,0,(AF242-IF(3=D242,1,0))*VLOOKUP(INDEX('章节与怪物'!$E$31:$K$37,B242,3),'章节与怪物'!$A$41:$F$44,4,FALSE)+IF(3=D242,'难度参数'!$E$30,0))</x:f>
        <x:v>840</x:v>
      </x:c>
      <x:c r="AJ242" s="119" t="n">
        <x:f>IF(4&gt;D242,0,MAX(2,MIN('难度参数'!$E$12,ROUND(('难度参数'!$E$18*POWER(A242,'难度参数'!$E$19)/D242*(0.85+0.3*(4-1)/MAX(1,D242-1))),0)+F242)))</x:f>
        <x:v>32</x:v>
      </x:c>
      <x:c r="AK242" s="119" t="n">
        <x:f>IF(4&gt;D242,0,ROUND(('难度参数'!$E$13*POWER(A242,'难度参数'!$E$20)*MIN('难度参数'!$E$23,1+MAX(0,A242-'难度参数'!$E$21)*'难度参数'!$E$22))*(36+4*7)/(36+7*(D242+1)/2)*E242,0))</x:f>
        <x:v>6900</x:v>
      </x:c>
      <x:c r="AL242" s="119" t="n">
        <x:f>IF(AJ242=0,0,(AJ242-IF(4=D242,1,0))*ROUND(AK242*VLOOKUP(INDEX('章节与怪物'!$E$31:$K$37,B242,4),'章节与怪物'!$A$41:$F$44,2,FALSE),0)+IF(4=D242,ROUND(AK242*'难度参数'!$E$28*'章节与怪物'!$E$17,0),0))</x:f>
        <x:v>298080</x:v>
      </x:c>
      <x:c r="AM242" s="119" t="n">
        <x:f>IF(AJ242=0,0,(AJ242-IF(4=D242,1,0))*VLOOKUP(INDEX('章节与怪物'!$E$31:$K$37,B242,4),'章节与怪物'!$A$41:$F$44,4,FALSE)+IF(4=D242,'难度参数'!$E$30,0))</x:f>
        <x:v>1088</x:v>
      </x:c>
      <x:c r="AN242" s="119" t="n">
        <x:f>IF(5&gt;D242,0,MAX(2,MIN('难度参数'!$E$12,ROUND(('难度参数'!$E$18*POWER(A242,'难度参数'!$E$19)/D242*(0.85+0.3*(5-1)/MAX(1,D242-1))),0)+F242)))</x:f>
        <x:v>34</x:v>
      </x:c>
      <x:c r="AO242" s="119" t="n">
        <x:f>IF(5&gt;D242,0,ROUND(('难度参数'!$E$13*POWER(A242,'难度参数'!$E$20)*MIN('难度参数'!$E$23,1+MAX(0,A242-'难度参数'!$E$21)*'难度参数'!$E$22))*(36+5*7)/(36+7*(D242+1)/2)*E242,0))</x:f>
        <x:v>7654</x:v>
      </x:c>
      <x:c r="AP242" s="119" t="n">
        <x:f>IF(AN242=0,0,(AN242-IF(5=D242,1,0))*ROUND(AO242*VLOOKUP(INDEX('章节与怪物'!$E$31:$K$37,B242,5),'章节与怪物'!$A$41:$F$44,2,FALSE),0)+IF(5=D242,ROUND(AO242*'难度参数'!$E$28*'章节与怪物'!$E$17,0),0))</x:f>
        <x:v>260236</x:v>
      </x:c>
      <x:c r="AQ242" s="119" t="n">
        <x:f>IF(AN242=0,0,(AN242-IF(5=D242,1,0))*VLOOKUP(INDEX('章节与怪物'!$E$31:$K$37,B242,5),'章节与怪物'!$A$41:$F$44,4,FALSE)+IF(5=D242,'难度参数'!$E$30,0))</x:f>
        <x:v>612</x:v>
      </x:c>
      <x:c r="AR242" s="119" t="n">
        <x:f>IF(6&gt;D242,0,MAX(2,MIN('难度参数'!$E$12,ROUND(('难度参数'!$E$18*POWER(A242,'难度参数'!$E$19)/D242*(0.85+0.3*(6-1)/MAX(1,D242-1))),0)+F242)))</x:f>
        <x:v>35</x:v>
      </x:c>
      <x:c r="AS242" s="119" t="n">
        <x:f>IF(6&gt;D242,0,ROUND(('难度参数'!$E$13*POWER(A242,'难度参数'!$E$20)*MIN('难度参数'!$E$23,1+MAX(0,A242-'难度参数'!$E$21)*'难度参数'!$E$22))*(36+6*7)/(36+7*(D242+1)/2)*E242,0))</x:f>
        <x:v>8409</x:v>
      </x:c>
      <x:c r="AT242" s="119" t="n">
        <x:f>IF(AR242=0,0,(AR242-IF(6=D242,1,0))*ROUND(AS242*VLOOKUP(INDEX('章节与怪物'!$E$31:$K$37,B242,6),'章节与怪物'!$A$41:$F$44,2,FALSE),0)+IF(6=D242,ROUND(AS242*'难度参数'!$E$28*'章节与怪物'!$E$17,0),0))</x:f>
        <x:v>500325</x:v>
      </x:c>
      <x:c r="AU242" s="119" t="n">
        <x:f>IF(AR242=0,0,(AR242-IF(6=D242,1,0))*VLOOKUP(INDEX('章节与怪物'!$E$31:$K$37,B242,6),'章节与怪物'!$A$41:$F$44,4,FALSE)+IF(6=D242,'难度参数'!$E$30,0))</x:f>
        <x:v>980</x:v>
      </x:c>
      <x:c r="AV242" s="119" t="n">
        <x:f>IF(7&gt;D242,0,MAX(2,MIN('难度参数'!$E$12,ROUND(('难度参数'!$E$18*POWER(A242,'难度参数'!$E$19)/D242*(0.85+0.3*(7-1)/MAX(1,D242-1))),0)+F242)))</x:f>
        <x:v>37</x:v>
      </x:c>
      <x:c r="AW242" s="119" t="n">
        <x:f>IF(7&gt;D242,0,ROUND(('难度参数'!$E$13*POWER(A242,'难度参数'!$E$20)*MIN('难度参数'!$E$23,1+MAX(0,A242-'难度参数'!$E$21)*'难度参数'!$E$22))*(36+7*7)/(36+7*(D242+1)/2)*E242,0))</x:f>
        <x:v>9164</x:v>
      </x:c>
      <x:c r="AX242" s="119" t="n">
        <x:f>IF(AV242=0,0,(AV242-IF(7=D242,1,0))*ROUND(AW242*VLOOKUP(INDEX('章节与怪物'!$E$31:$K$37,B242,7),'章节与怪物'!$A$41:$F$44,2,FALSE),0)+IF(7=D242,ROUND(AW242*'难度参数'!$E$28*'章节与怪物'!$E$17,0),0))</x:f>
        <x:v>507671</x:v>
      </x:c>
      <x:c r="AY242" s="119" t="n">
        <x:f>IF(AV242=0,0,(AV242-IF(7=D242,1,0))*VLOOKUP(INDEX('章节与怪物'!$E$31:$K$37,B242,7),'章节与怪物'!$A$41:$F$44,4,FALSE)+IF(7=D242,'难度参数'!$E$30,0))</x:f>
        <x:v>1424</x:v>
      </x:c>
    </x:row>
    <x:row r="243" ht="23" customHeight="1">
      <x:c r="A243" s="119" t="n">
        <x:v>237</x:v>
      </x:c>
      <x:c r="B243" s="119" t="n">
        <x:f>MOD(INT((A243-1)/5),7)+1</x:f>
        <x:v>6</x:v>
      </x:c>
      <x:c r="C243" s="62" t="str">
        <x:f>INDEX('章节与怪物'!$B$31:$B$37,B243)</x:f>
        <x:v>熔岩山脉</x:v>
      </x:c>
      <x:c r="D243" s="119" t="n">
        <x:f>MIN('难度参数'!$E$8,MAX('难度参数'!$E$7,A243))</x:f>
        <x:v>7</x:v>
      </x:c>
      <x:c r="E243" s="106" t="n">
        <x:v>1</x:v>
      </x:c>
      <x:c r="F243" s="106" t="n">
        <x:v>0</x:v>
      </x:c>
      <x:c r="G243" s="106" t="n">
        <x:v>1</x:v>
      </x:c>
      <x:c r="H243" s="119" t="n">
        <x:f>SUM(X243,AB243,AF243,AJ243,AN243,AR243,AV243)</x:f>
        <x:v>224</x:v>
      </x:c>
      <x:c r="I243" s="119" t="n">
        <x:f>SUM(Z243,AD243,AH243,AL243,AP243,AT243,AX243)</x:f>
        <x:v>2132727</x:v>
      </x:c>
      <x:c r="J243" s="119" t="n">
        <x:f>ROUND(INDEX(X243:AY243,1,(D243-1)*4+2)*'难度参数'!$E$28*'章节与怪物'!$E$17,0)</x:f>
        <x:v>62506</x:v>
      </x:c>
      <x:c r="K243" s="119" t="n">
        <x:f>SUM(AA243,AE243,AI243,AM243,AQ243,AU243,AY243)</x:f>
        <x:v>6006</x:v>
      </x:c>
      <x:c r="L243" s="62" t="n">
        <x:f>H243*(ROUNDUP('难度参数'!$E$24/('难度参数'!$E$26*'难度参数'!$E$27),0)*'难度参数'!$E$26)/60</x:f>
        <x:v>2.986666666666667</x:v>
      </x:c>
      <x:c r="M243" s="62" t="n">
        <x:f>L243+D243*('难度参数'!$E$49+'难度参数'!$E$50)/60</x:f>
        <x:v>4.153333333333333</x:v>
      </x:c>
      <x:c r="N243" s="119" t="n">
        <x:f>ROUNDDOWN(('经济参数'!$E$20+A243*'经济参数'!$E$21)*G243,0)</x:f>
        <x:v>4920</x:v>
      </x:c>
      <x:c r="O243" s="119" t="n">
        <x:f>ROUNDDOWN(MIN('经济参数'!$E$24,'经济参数'!$E$22+A243*'经济参数'!$E$23)*G243,0)</x:f>
        <x:v>0</x:v>
      </x:c>
      <x:c r="P243" s="119" t="n">
        <x:f>ROUNDDOWN((IF(A243&gt;='材料与任务'!$E$31,'材料与任务'!$E$32,IF(A243&gt;='材料与任务'!$E$25,'材料与任务'!$E$26,IF(A243&gt;='材料与任务'!$E$19,'材料与任务'!$E$20,IF(A243&gt;='材料与任务'!$E$13,'材料与任务'!$E$14,'材料与任务'!$E$8)))))*G243,0)</x:f>
        <x:v>6</x:v>
      </x:c>
      <x:c r="Q243" s="119" t="n">
        <x:f>ROUNDDOWN((IF(A243&gt;='材料与任务'!$E$31,'材料与任务'!$E$33,IF(A243&gt;='材料与任务'!$E$25,'材料与任务'!$E$27,IF(A243&gt;='材料与任务'!$E$19,'材料与任务'!$E$21,IF(A243&gt;='材料与任务'!$E$13,'材料与任务'!$E$15,'材料与任务'!$E$9)))))*G243,0)</x:f>
        <x:v>3</x:v>
      </x:c>
      <x:c r="R243" s="110" t="n">
        <x:f>'装备掉落'!$B$38</x:f>
        <x:v>0.6872058758851213</x:v>
      </x:c>
      <x:c r="S243" s="119" t="n">
        <x:f>MAX(IF(VLOOKUP(A243,'装备掉落'!$A$29:$H$34,2,TRUE)&gt;0,1,0),IF(VLOOKUP(A243,'装备掉落'!$A$29:$H$34,3,TRUE)&gt;0,2,0),IF(VLOOKUP(A243,'装备掉落'!$A$29:$H$34,4,TRUE)&gt;0,3,0),IF(VLOOKUP(A243,'装备掉落'!$A$29:$H$34,5,TRUE)&gt;0,4,0),IF(VLOOKUP(A243,'装备掉落'!$A$29:$H$34,6,TRUE)&gt;0,5,0),IF(VLOOKUP(A243,'装备掉落'!$A$29:$H$34,7,TRUE)&gt;0,6,0),IF(VLOOKUP(A243,'装备掉落'!$A$29:$H$34,8,TRUE)&gt;0,7,0))</x:f>
        <x:v>7</x:v>
      </x:c>
      <x:c r="T243" s="119" t="n">
        <x:f>MIN(7,S243+'经济参数'!$E$70)</x:f>
        <x:v>7</x:v>
      </x:c>
      <x:c r="U243" s="119" t="n">
        <x:f>MIN(7,S243+'经济参数'!$E$71)</x:f>
        <x:v>7</x:v>
      </x:c>
      <x:c r="V243" s="119" t="n">
        <x:f>IF(H243&gt;=('难度参数'!$E$52),1,0)+IF(H243&gt;=('难度参数'!$E$52+'难度参数'!$E$53),1,0)+IF(H243&gt;=('难度参数'!$E$52+'难度参数'!$E$53+'难度参数'!$E$54),1,0)+IF(H243&gt;=('难度参数'!$E$52+'难度参数'!$E$53+'难度参数'!$E$54+'难度参数'!$E$55),1,0)+IF(H243&gt;=('难度参数'!$E$52+'难度参数'!$E$53+'难度参数'!$E$54+'难度参数'!$E$55+'难度参数'!$E$56),1,0)+IF(H243&gt;=('难度参数'!$E$52+'难度参数'!$E$53+'难度参数'!$E$54+'难度参数'!$E$55+'难度参数'!$E$56+'难度参数'!$E$57),1,0)</x:f>
        <x:v>6</x:v>
      </x:c>
      <x:c r="W243" s="62" t="str">
        <x:f>IF(L243&gt;'难度参数'!$E$51,"仅出怪已超目标","还需实测")</x:f>
        <x:v>还需实测</x:v>
      </x:c>
      <x:c r="X243" s="119" t="n">
        <x:f>IF(1&gt;D243,0,MAX(2,MIN('难度参数'!$E$12,ROUND(('难度参数'!$E$18*POWER(A243,'难度参数'!$E$19)/D243*(0.85+0.3*(1-1)/MAX(1,D243-1))),0)+F243)))</x:f>
        <x:v>27</x:v>
      </x:c>
      <x:c r="Y243" s="119" t="n">
        <x:f>IF(1&gt;D243,0,ROUND(('难度参数'!$E$13*POWER(A243,'难度参数'!$E$20)*MIN('难度参数'!$E$23,1+MAX(0,A243-'难度参数'!$E$21)*'难度参数'!$E$22))*(36+1*7)/(36+7*(D243+1)/2)*E243,0))</x:f>
        <x:v>4650</x:v>
      </x:c>
      <x:c r="Z243" s="119" t="n">
        <x:f>IF(X243=0,0,(X243-IF(1=D243,1,0))*ROUND(Y243*VLOOKUP(INDEX('章节与怪物'!$E$31:$K$37,B243,1),'章节与怪物'!$A$41:$F$44,2,FALSE),0)+IF(1=D243,ROUND(Y243*'难度参数'!$E$28*'章节与怪物'!$E$17,0),0))</x:f>
        <x:v>90396</x:v>
      </x:c>
      <x:c r="AA243" s="119" t="n">
        <x:f>IF(X243=0,0,(X243-IF(1=D243,1,0))*VLOOKUP(INDEX('章节与怪物'!$E$31:$K$37,B243,1),'章节与怪物'!$A$41:$F$44,4,FALSE)+IF(1=D243,'难度参数'!$E$30,0))</x:f>
        <x:v>540</x:v>
      </x:c>
      <x:c r="AB243" s="119" t="n">
        <x:f>IF(2&gt;D243,0,MAX(2,MIN('难度参数'!$E$12,ROUND(('难度参数'!$E$18*POWER(A243,'难度参数'!$E$19)/D243*(0.85+0.3*(2-1)/MAX(1,D243-1))),0)+F243)))</x:f>
        <x:v>29</x:v>
      </x:c>
      <x:c r="AC243" s="119" t="n">
        <x:f>IF(2&gt;D243,0,ROUND(('难度参数'!$E$13*POWER(A243,'难度参数'!$E$20)*MIN('难度参数'!$E$23,1+MAX(0,A243-'难度参数'!$E$21)*'难度参数'!$E$22))*(36+2*7)/(36+7*(D243+1)/2)*E243,0))</x:f>
        <x:v>5407</x:v>
      </x:c>
      <x:c r="AD243" s="119" t="n">
        <x:f>IF(AB243=0,0,(AB243-IF(2=D243,1,0))*ROUND(AC243*VLOOKUP(INDEX('章节与怪物'!$E$31:$K$37,B243,2),'章节与怪物'!$A$41:$F$44,2,FALSE),0)+IF(2=D243,ROUND(AC243*'难度参数'!$E$28*'章节与怪物'!$E$17,0),0))</x:f>
        <x:v>156803</x:v>
      </x:c>
      <x:c r="AE243" s="119" t="n">
        <x:f>IF(AB243=0,0,(AB243-IF(2=D243,1,0))*VLOOKUP(INDEX('章节与怪物'!$E$31:$K$37,B243,2),'章节与怪物'!$A$41:$F$44,4,FALSE)+IF(2=D243,'难度参数'!$E$30,0))</x:f>
        <x:v>522</x:v>
      </x:c>
      <x:c r="AF243" s="119" t="n">
        <x:f>IF(3&gt;D243,0,MAX(2,MIN('难度参数'!$E$12,ROUND(('难度参数'!$E$18*POWER(A243,'难度参数'!$E$19)/D243*(0.85+0.3*(3-1)/MAX(1,D243-1))),0)+F243)))</x:f>
        <x:v>30</x:v>
      </x:c>
      <x:c r="AG243" s="119" t="n">
        <x:f>IF(3&gt;D243,0,ROUND(('难度参数'!$E$13*POWER(A243,'难度参数'!$E$20)*MIN('难度参数'!$E$23,1+MAX(0,A243-'难度参数'!$E$21)*'难度参数'!$E$22))*(36+3*7)/(36+7*(D243+1)/2)*E243,0))</x:f>
        <x:v>6164</x:v>
      </x:c>
      <x:c r="AH243" s="119" t="n">
        <x:f>IF(AF243=0,0,(AF243-IF(3=D243,1,0))*ROUND(AG243*VLOOKUP(INDEX('章节与怪物'!$E$31:$K$37,B243,3),'章节与怪物'!$A$41:$F$44,2,FALSE),0)+IF(3=D243,ROUND(AG243*'难度参数'!$E$28*'章节与怪物'!$E$17,0),0))</x:f>
        <x:v>314370</x:v>
      </x:c>
      <x:c r="AI243" s="119" t="n">
        <x:f>IF(AF243=0,0,(AF243-IF(3=D243,1,0))*VLOOKUP(INDEX('章节与怪物'!$E$31:$K$37,B243,3),'章节与怪物'!$A$41:$F$44,4,FALSE)+IF(3=D243,'难度参数'!$E$30,0))</x:f>
        <x:v>840</x:v>
      </x:c>
      <x:c r="AJ243" s="119" t="n">
        <x:f>IF(4&gt;D243,0,MAX(2,MIN('难度参数'!$E$12,ROUND(('难度参数'!$E$18*POWER(A243,'难度参数'!$E$19)/D243*(0.85+0.3*(4-1)/MAX(1,D243-1))),0)+F243)))</x:f>
        <x:v>32</x:v>
      </x:c>
      <x:c r="AK243" s="119" t="n">
        <x:f>IF(4&gt;D243,0,ROUND(('难度参数'!$E$13*POWER(A243,'难度参数'!$E$20)*MIN('难度参数'!$E$23,1+MAX(0,A243-'难度参数'!$E$21)*'难度参数'!$E$22))*(36+4*7)/(36+7*(D243+1)/2)*E243,0))</x:f>
        <x:v>6921</x:v>
      </x:c>
      <x:c r="AL243" s="119" t="n">
        <x:f>IF(AJ243=0,0,(AJ243-IF(4=D243,1,0))*ROUND(AK243*VLOOKUP(INDEX('章节与怪物'!$E$31:$K$37,B243,4),'章节与怪物'!$A$41:$F$44,2,FALSE),0)+IF(4=D243,ROUND(AK243*'难度参数'!$E$28*'章节与怪物'!$E$17,0),0))</x:f>
        <x:v>298976</x:v>
      </x:c>
      <x:c r="AM243" s="119" t="n">
        <x:f>IF(AJ243=0,0,(AJ243-IF(4=D243,1,0))*VLOOKUP(INDEX('章节与怪物'!$E$31:$K$37,B243,4),'章节与怪物'!$A$41:$F$44,4,FALSE)+IF(4=D243,'难度参数'!$E$30,0))</x:f>
        <x:v>1088</x:v>
      </x:c>
      <x:c r="AN243" s="119" t="n">
        <x:f>IF(5&gt;D243,0,MAX(2,MIN('难度参数'!$E$12,ROUND(('难度参数'!$E$18*POWER(A243,'难度参数'!$E$19)/D243*(0.85+0.3*(5-1)/MAX(1,D243-1))),0)+F243)))</x:f>
        <x:v>34</x:v>
      </x:c>
      <x:c r="AO243" s="119" t="n">
        <x:f>IF(5&gt;D243,0,ROUND(('难度参数'!$E$13*POWER(A243,'难度参数'!$E$20)*MIN('难度参数'!$E$23,1+MAX(0,A243-'难度参数'!$E$21)*'难度参数'!$E$22))*(36+5*7)/(36+7*(D243+1)/2)*E243,0))</x:f>
        <x:v>7678</x:v>
      </x:c>
      <x:c r="AP243" s="119" t="n">
        <x:f>IF(AN243=0,0,(AN243-IF(5=D243,1,0))*ROUND(AO243*VLOOKUP(INDEX('章节与怪物'!$E$31:$K$37,B243,5),'章节与怪物'!$A$41:$F$44,2,FALSE),0)+IF(5=D243,ROUND(AO243*'难度参数'!$E$28*'章节与怪物'!$E$17,0),0))</x:f>
        <x:v>261052</x:v>
      </x:c>
      <x:c r="AQ243" s="119" t="n">
        <x:f>IF(AN243=0,0,(AN243-IF(5=D243,1,0))*VLOOKUP(INDEX('章节与怪物'!$E$31:$K$37,B243,5),'章节与怪物'!$A$41:$F$44,4,FALSE)+IF(5=D243,'难度参数'!$E$30,0))</x:f>
        <x:v>612</x:v>
      </x:c>
      <x:c r="AR243" s="119" t="n">
        <x:f>IF(6&gt;D243,0,MAX(2,MIN('难度参数'!$E$12,ROUND(('难度参数'!$E$18*POWER(A243,'难度参数'!$E$19)/D243*(0.85+0.3*(6-1)/MAX(1,D243-1))),0)+F243)))</x:f>
        <x:v>35</x:v>
      </x:c>
      <x:c r="AS243" s="119" t="n">
        <x:f>IF(6&gt;D243,0,ROUND(('难度参数'!$E$13*POWER(A243,'难度参数'!$E$20)*MIN('难度参数'!$E$23,1+MAX(0,A243-'难度参数'!$E$21)*'难度参数'!$E$22))*(36+6*7)/(36+7*(D243+1)/2)*E243,0))</x:f>
        <x:v>8435</x:v>
      </x:c>
      <x:c r="AT243" s="119" t="n">
        <x:f>IF(AR243=0,0,(AR243-IF(6=D243,1,0))*ROUND(AS243*VLOOKUP(INDEX('章节与怪物'!$E$31:$K$37,B243,6),'章节与怪物'!$A$41:$F$44,2,FALSE),0)+IF(6=D243,ROUND(AS243*'难度参数'!$E$28*'章节与怪物'!$E$17,0),0))</x:f>
        <x:v>501900</x:v>
      </x:c>
      <x:c r="AU243" s="119" t="n">
        <x:f>IF(AR243=0,0,(AR243-IF(6=D243,1,0))*VLOOKUP(INDEX('章节与怪物'!$E$31:$K$37,B243,6),'章节与怪物'!$A$41:$F$44,4,FALSE)+IF(6=D243,'难度参数'!$E$30,0))</x:f>
        <x:v>980</x:v>
      </x:c>
      <x:c r="AV243" s="119" t="n">
        <x:f>IF(7&gt;D243,0,MAX(2,MIN('难度参数'!$E$12,ROUND(('难度参数'!$E$18*POWER(A243,'难度参数'!$E$19)/D243*(0.85+0.3*(7-1)/MAX(1,D243-1))),0)+F243)))</x:f>
        <x:v>37</x:v>
      </x:c>
      <x:c r="AW243" s="119" t="n">
        <x:f>IF(7&gt;D243,0,ROUND(('难度参数'!$E$13*POWER(A243,'难度参数'!$E$20)*MIN('难度参数'!$E$23,1+MAX(0,A243-'难度参数'!$E$21)*'难度参数'!$E$22))*(36+7*7)/(36+7*(D243+1)/2)*E243,0))</x:f>
        <x:v>9192</x:v>
      </x:c>
      <x:c r="AX243" s="119" t="n">
        <x:f>IF(AV243=0,0,(AV243-IF(7=D243,1,0))*ROUND(AW243*VLOOKUP(INDEX('章节与怪物'!$E$31:$K$37,B243,7),'章节与怪物'!$A$41:$F$44,2,FALSE),0)+IF(7=D243,ROUND(AW243*'难度参数'!$E$28*'章节与怪物'!$E$17,0),0))</x:f>
        <x:v>509230</x:v>
      </x:c>
      <x:c r="AY243" s="119" t="n">
        <x:f>IF(AV243=0,0,(AV243-IF(7=D243,1,0))*VLOOKUP(INDEX('章节与怪物'!$E$31:$K$37,B243,7),'章节与怪物'!$A$41:$F$44,4,FALSE)+IF(7=D243,'难度参数'!$E$30,0))</x:f>
        <x:v>1424</x:v>
      </x:c>
    </x:row>
    <x:row r="244" ht="23" customHeight="1">
      <x:c r="A244" s="119" t="n">
        <x:v>238</x:v>
      </x:c>
      <x:c r="B244" s="119" t="n">
        <x:f>MOD(INT((A244-1)/5),7)+1</x:f>
        <x:v>6</x:v>
      </x:c>
      <x:c r="C244" s="62" t="str">
        <x:f>INDEX('章节与怪物'!$B$31:$B$37,B244)</x:f>
        <x:v>熔岩山脉</x:v>
      </x:c>
      <x:c r="D244" s="119" t="n">
        <x:f>MIN('难度参数'!$E$8,MAX('难度参数'!$E$7,A244))</x:f>
        <x:v>7</x:v>
      </x:c>
      <x:c r="E244" s="106" t="n">
        <x:v>1</x:v>
      </x:c>
      <x:c r="F244" s="106" t="n">
        <x:v>0</x:v>
      </x:c>
      <x:c r="G244" s="106" t="n">
        <x:v>1</x:v>
      </x:c>
      <x:c r="H244" s="119" t="n">
        <x:f>SUM(X244,AB244,AF244,AJ244,AN244,AR244,AV244)</x:f>
        <x:v>224</x:v>
      </x:c>
      <x:c r="I244" s="119" t="n">
        <x:f>SUM(Z244,AD244,AH244,AL244,AP244,AT244,AX244)</x:f>
        <x:v>2139099</x:v>
      </x:c>
      <x:c r="J244" s="119" t="n">
        <x:f>ROUND(INDEX(X244:AY244,1,(D244-1)*4+2)*'难度参数'!$E$28*'章节与怪物'!$E$17,0)</x:f>
        <x:v>62696</x:v>
      </x:c>
      <x:c r="K244" s="119" t="n">
        <x:f>SUM(AA244,AE244,AI244,AM244,AQ244,AU244,AY244)</x:f>
        <x:v>6006</x:v>
      </x:c>
      <x:c r="L244" s="62" t="n">
        <x:f>H244*(ROUNDUP('难度参数'!$E$24/('难度参数'!$E$26*'难度参数'!$E$27),0)*'难度参数'!$E$26)/60</x:f>
        <x:v>2.986666666666667</x:v>
      </x:c>
      <x:c r="M244" s="62" t="n">
        <x:f>L244+D244*('难度参数'!$E$49+'难度参数'!$E$50)/60</x:f>
        <x:v>4.153333333333333</x:v>
      </x:c>
      <x:c r="N244" s="119" t="n">
        <x:f>ROUNDDOWN(('经济参数'!$E$20+A244*'经济参数'!$E$21)*G244,0)</x:f>
        <x:v>4940</x:v>
      </x:c>
      <x:c r="O244" s="119" t="n">
        <x:f>ROUNDDOWN(MIN('经济参数'!$E$24,'经济参数'!$E$22+A244*'经济参数'!$E$23)*G244,0)</x:f>
        <x:v>0</x:v>
      </x:c>
      <x:c r="P244" s="119" t="n">
        <x:f>ROUNDDOWN((IF(A244&gt;='材料与任务'!$E$31,'材料与任务'!$E$32,IF(A244&gt;='材料与任务'!$E$25,'材料与任务'!$E$26,IF(A244&gt;='材料与任务'!$E$19,'材料与任务'!$E$20,IF(A244&gt;='材料与任务'!$E$13,'材料与任务'!$E$14,'材料与任务'!$E$8)))))*G244,0)</x:f>
        <x:v>6</x:v>
      </x:c>
      <x:c r="Q244" s="119" t="n">
        <x:f>ROUNDDOWN((IF(A244&gt;='材料与任务'!$E$31,'材料与任务'!$E$33,IF(A244&gt;='材料与任务'!$E$25,'材料与任务'!$E$27,IF(A244&gt;='材料与任务'!$E$19,'材料与任务'!$E$21,IF(A244&gt;='材料与任务'!$E$13,'材料与任务'!$E$15,'材料与任务'!$E$9)))))*G244,0)</x:f>
        <x:v>3</x:v>
      </x:c>
      <x:c r="R244" s="110" t="n">
        <x:f>'装备掉落'!$B$38</x:f>
        <x:v>0.6872058758851213</x:v>
      </x:c>
      <x:c r="S244" s="119" t="n">
        <x:f>MAX(IF(VLOOKUP(A244,'装备掉落'!$A$29:$H$34,2,TRUE)&gt;0,1,0),IF(VLOOKUP(A244,'装备掉落'!$A$29:$H$34,3,TRUE)&gt;0,2,0),IF(VLOOKUP(A244,'装备掉落'!$A$29:$H$34,4,TRUE)&gt;0,3,0),IF(VLOOKUP(A244,'装备掉落'!$A$29:$H$34,5,TRUE)&gt;0,4,0),IF(VLOOKUP(A244,'装备掉落'!$A$29:$H$34,6,TRUE)&gt;0,5,0),IF(VLOOKUP(A244,'装备掉落'!$A$29:$H$34,7,TRUE)&gt;0,6,0),IF(VLOOKUP(A244,'装备掉落'!$A$29:$H$34,8,TRUE)&gt;0,7,0))</x:f>
        <x:v>7</x:v>
      </x:c>
      <x:c r="T244" s="119" t="n">
        <x:f>MIN(7,S244+'经济参数'!$E$70)</x:f>
        <x:v>7</x:v>
      </x:c>
      <x:c r="U244" s="119" t="n">
        <x:f>MIN(7,S244+'经济参数'!$E$71)</x:f>
        <x:v>7</x:v>
      </x:c>
      <x:c r="V244" s="119" t="n">
        <x:f>IF(H244&gt;=('难度参数'!$E$52),1,0)+IF(H244&gt;=('难度参数'!$E$52+'难度参数'!$E$53),1,0)+IF(H244&gt;=('难度参数'!$E$52+'难度参数'!$E$53+'难度参数'!$E$54),1,0)+IF(H244&gt;=('难度参数'!$E$52+'难度参数'!$E$53+'难度参数'!$E$54+'难度参数'!$E$55),1,0)+IF(H244&gt;=('难度参数'!$E$52+'难度参数'!$E$53+'难度参数'!$E$54+'难度参数'!$E$55+'难度参数'!$E$56),1,0)+IF(H244&gt;=('难度参数'!$E$52+'难度参数'!$E$53+'难度参数'!$E$54+'难度参数'!$E$55+'难度参数'!$E$56+'难度参数'!$E$57),1,0)</x:f>
        <x:v>6</x:v>
      </x:c>
      <x:c r="W244" s="62" t="str">
        <x:f>IF(L244&gt;'难度参数'!$E$51,"仅出怪已超目标","还需实测")</x:f>
        <x:v>还需实测</x:v>
      </x:c>
      <x:c r="X244" s="119" t="n">
        <x:f>IF(1&gt;D244,0,MAX(2,MIN('难度参数'!$E$12,ROUND(('难度参数'!$E$18*POWER(A244,'难度参数'!$E$19)/D244*(0.85+0.3*(1-1)/MAX(1,D244-1))),0)+F244)))</x:f>
        <x:v>27</x:v>
      </x:c>
      <x:c r="Y244" s="119" t="n">
        <x:f>IF(1&gt;D244,0,ROUND(('难度参数'!$E$13*POWER(A244,'难度参数'!$E$20)*MIN('难度参数'!$E$23,1+MAX(0,A244-'难度参数'!$E$21)*'难度参数'!$E$22))*(36+1*7)/(36+7*(D244+1)/2)*E244,0))</x:f>
        <x:v>4664</x:v>
      </x:c>
      <x:c r="Z244" s="119" t="n">
        <x:f>IF(X244=0,0,(X244-IF(1=D244,1,0))*ROUND(Y244*VLOOKUP(INDEX('章节与怪物'!$E$31:$K$37,B244,1),'章节与怪物'!$A$41:$F$44,2,FALSE),0)+IF(1=D244,ROUND(Y244*'难度参数'!$E$28*'章节与怪物'!$E$17,0),0))</x:f>
        <x:v>90666</x:v>
      </x:c>
      <x:c r="AA244" s="119" t="n">
        <x:f>IF(X244=0,0,(X244-IF(1=D244,1,0))*VLOOKUP(INDEX('章节与怪物'!$E$31:$K$37,B244,1),'章节与怪物'!$A$41:$F$44,4,FALSE)+IF(1=D244,'难度参数'!$E$30,0))</x:f>
        <x:v>540</x:v>
      </x:c>
      <x:c r="AB244" s="119" t="n">
        <x:f>IF(2&gt;D244,0,MAX(2,MIN('难度参数'!$E$12,ROUND(('难度参数'!$E$18*POWER(A244,'难度参数'!$E$19)/D244*(0.85+0.3*(2-1)/MAX(1,D244-1))),0)+F244)))</x:f>
        <x:v>29</x:v>
      </x:c>
      <x:c r="AC244" s="119" t="n">
        <x:f>IF(2&gt;D244,0,ROUND(('难度参数'!$E$13*POWER(A244,'难度参数'!$E$20)*MIN('难度参数'!$E$23,1+MAX(0,A244-'难度参数'!$E$21)*'难度参数'!$E$22))*(36+2*7)/(36+7*(D244+1)/2)*E244,0))</x:f>
        <x:v>5423</x:v>
      </x:c>
      <x:c r="AD244" s="119" t="n">
        <x:f>IF(AB244=0,0,(AB244-IF(2=D244,1,0))*ROUND(AC244*VLOOKUP(INDEX('章节与怪物'!$E$31:$K$37,B244,2),'章节与怪物'!$A$41:$F$44,2,FALSE),0)+IF(2=D244,ROUND(AC244*'难度参数'!$E$28*'章节与怪物'!$E$17,0),0))</x:f>
        <x:v>157267</x:v>
      </x:c>
      <x:c r="AE244" s="119" t="n">
        <x:f>IF(AB244=0,0,(AB244-IF(2=D244,1,0))*VLOOKUP(INDEX('章节与怪物'!$E$31:$K$37,B244,2),'章节与怪物'!$A$41:$F$44,4,FALSE)+IF(2=D244,'难度参数'!$E$30,0))</x:f>
        <x:v>522</x:v>
      </x:c>
      <x:c r="AF244" s="119" t="n">
        <x:f>IF(3&gt;D244,0,MAX(2,MIN('难度参数'!$E$12,ROUND(('难度参数'!$E$18*POWER(A244,'难度参数'!$E$19)/D244*(0.85+0.3*(3-1)/MAX(1,D244-1))),0)+F244)))</x:f>
        <x:v>30</x:v>
      </x:c>
      <x:c r="AG244" s="119" t="n">
        <x:f>IF(3&gt;D244,0,ROUND(('难度参数'!$E$13*POWER(A244,'难度参数'!$E$20)*MIN('难度参数'!$E$23,1+MAX(0,A244-'难度参数'!$E$21)*'难度参数'!$E$22))*(36+3*7)/(36+7*(D244+1)/2)*E244,0))</x:f>
        <x:v>6182</x:v>
      </x:c>
      <x:c r="AH244" s="119" t="n">
        <x:f>IF(AF244=0,0,(AF244-IF(3=D244,1,0))*ROUND(AG244*VLOOKUP(INDEX('章节与怪物'!$E$31:$K$37,B244,3),'章节与怪物'!$A$41:$F$44,2,FALSE),0)+IF(3=D244,ROUND(AG244*'难度参数'!$E$28*'章节与怪物'!$E$17,0),0))</x:f>
        <x:v>315270</x:v>
      </x:c>
      <x:c r="AI244" s="119" t="n">
        <x:f>IF(AF244=0,0,(AF244-IF(3=D244,1,0))*VLOOKUP(INDEX('章节与怪物'!$E$31:$K$37,B244,3),'章节与怪物'!$A$41:$F$44,4,FALSE)+IF(3=D244,'难度参数'!$E$30,0))</x:f>
        <x:v>840</x:v>
      </x:c>
      <x:c r="AJ244" s="119" t="n">
        <x:f>IF(4&gt;D244,0,MAX(2,MIN('难度参数'!$E$12,ROUND(('难度参数'!$E$18*POWER(A244,'难度参数'!$E$19)/D244*(0.85+0.3*(4-1)/MAX(1,D244-1))),0)+F244)))</x:f>
        <x:v>32</x:v>
      </x:c>
      <x:c r="AK244" s="119" t="n">
        <x:f>IF(4&gt;D244,0,ROUND(('难度参数'!$E$13*POWER(A244,'难度参数'!$E$20)*MIN('难度参数'!$E$23,1+MAX(0,A244-'难度参数'!$E$21)*'难度参数'!$E$22))*(36+4*7)/(36+7*(D244+1)/2)*E244,0))</x:f>
        <x:v>6942</x:v>
      </x:c>
      <x:c r="AL244" s="119" t="n">
        <x:f>IF(AJ244=0,0,(AJ244-IF(4=D244,1,0))*ROUND(AK244*VLOOKUP(INDEX('章节与怪物'!$E$31:$K$37,B244,4),'章节与怪物'!$A$41:$F$44,2,FALSE),0)+IF(4=D244,ROUND(AK244*'难度参数'!$E$28*'章节与怪物'!$E$17,0),0))</x:f>
        <x:v>299904</x:v>
      </x:c>
      <x:c r="AM244" s="119" t="n">
        <x:f>IF(AJ244=0,0,(AJ244-IF(4=D244,1,0))*VLOOKUP(INDEX('章节与怪物'!$E$31:$K$37,B244,4),'章节与怪物'!$A$41:$F$44,4,FALSE)+IF(4=D244,'难度参数'!$E$30,0))</x:f>
        <x:v>1088</x:v>
      </x:c>
      <x:c r="AN244" s="119" t="n">
        <x:f>IF(5&gt;D244,0,MAX(2,MIN('难度参数'!$E$12,ROUND(('难度参数'!$E$18*POWER(A244,'难度参数'!$E$19)/D244*(0.85+0.3*(5-1)/MAX(1,D244-1))),0)+F244)))</x:f>
        <x:v>34</x:v>
      </x:c>
      <x:c r="AO244" s="119" t="n">
        <x:f>IF(5&gt;D244,0,ROUND(('难度参数'!$E$13*POWER(A244,'难度参数'!$E$20)*MIN('难度参数'!$E$23,1+MAX(0,A244-'难度参数'!$E$21)*'难度参数'!$E$22))*(36+5*7)/(36+7*(D244+1)/2)*E244,0))</x:f>
        <x:v>7701</x:v>
      </x:c>
      <x:c r="AP244" s="119" t="n">
        <x:f>IF(AN244=0,0,(AN244-IF(5=D244,1,0))*ROUND(AO244*VLOOKUP(INDEX('章节与怪物'!$E$31:$K$37,B244,5),'章节与怪物'!$A$41:$F$44,2,FALSE),0)+IF(5=D244,ROUND(AO244*'难度参数'!$E$28*'章节与怪物'!$E$17,0),0))</x:f>
        <x:v>261834</x:v>
      </x:c>
      <x:c r="AQ244" s="119" t="n">
        <x:f>IF(AN244=0,0,(AN244-IF(5=D244,1,0))*VLOOKUP(INDEX('章节与怪物'!$E$31:$K$37,B244,5),'章节与怪物'!$A$41:$F$44,4,FALSE)+IF(5=D244,'难度参数'!$E$30,0))</x:f>
        <x:v>612</x:v>
      </x:c>
      <x:c r="AR244" s="119" t="n">
        <x:f>IF(6&gt;D244,0,MAX(2,MIN('难度参数'!$E$12,ROUND(('难度参数'!$E$18*POWER(A244,'难度参数'!$E$19)/D244*(0.85+0.3*(6-1)/MAX(1,D244-1))),0)+F244)))</x:f>
        <x:v>35</x:v>
      </x:c>
      <x:c r="AS244" s="119" t="n">
        <x:f>IF(6&gt;D244,0,ROUND(('难度参数'!$E$13*POWER(A244,'难度参数'!$E$20)*MIN('难度参数'!$E$23,1+MAX(0,A244-'难度参数'!$E$21)*'难度参数'!$E$22))*(36+6*7)/(36+7*(D244+1)/2)*E244,0))</x:f>
        <x:v>8460</x:v>
      </x:c>
      <x:c r="AT244" s="119" t="n">
        <x:f>IF(AR244=0,0,(AR244-IF(6=D244,1,0))*ROUND(AS244*VLOOKUP(INDEX('章节与怪物'!$E$31:$K$37,B244,6),'章节与怪物'!$A$41:$F$44,2,FALSE),0)+IF(6=D244,ROUND(AS244*'难度参数'!$E$28*'章节与怪物'!$E$17,0),0))</x:f>
        <x:v>503370</x:v>
      </x:c>
      <x:c r="AU244" s="119" t="n">
        <x:f>IF(AR244=0,0,(AR244-IF(6=D244,1,0))*VLOOKUP(INDEX('章节与怪物'!$E$31:$K$37,B244,6),'章节与怪物'!$A$41:$F$44,4,FALSE)+IF(6=D244,'难度参数'!$E$30,0))</x:f>
        <x:v>980</x:v>
      </x:c>
      <x:c r="AV244" s="119" t="n">
        <x:f>IF(7&gt;D244,0,MAX(2,MIN('难度参数'!$E$12,ROUND(('难度参数'!$E$18*POWER(A244,'难度参数'!$E$19)/D244*(0.85+0.3*(7-1)/MAX(1,D244-1))),0)+F244)))</x:f>
        <x:v>37</x:v>
      </x:c>
      <x:c r="AW244" s="119" t="n">
        <x:f>IF(7&gt;D244,0,ROUND(('难度参数'!$E$13*POWER(A244,'难度参数'!$E$20)*MIN('难度参数'!$E$23,1+MAX(0,A244-'难度参数'!$E$21)*'难度参数'!$E$22))*(36+7*7)/(36+7*(D244+1)/2)*E244,0))</x:f>
        <x:v>9220</x:v>
      </x:c>
      <x:c r="AX244" s="119" t="n">
        <x:f>IF(AV244=0,0,(AV244-IF(7=D244,1,0))*ROUND(AW244*VLOOKUP(INDEX('章节与怪物'!$E$31:$K$37,B244,7),'章节与怪物'!$A$41:$F$44,2,FALSE),0)+IF(7=D244,ROUND(AW244*'难度参数'!$E$28*'章节与怪物'!$E$17,0),0))</x:f>
        <x:v>510788</x:v>
      </x:c>
      <x:c r="AY244" s="119" t="n">
        <x:f>IF(AV244=0,0,(AV244-IF(7=D244,1,0))*VLOOKUP(INDEX('章节与怪物'!$E$31:$K$37,B244,7),'章节与怪物'!$A$41:$F$44,4,FALSE)+IF(7=D244,'难度参数'!$E$30,0))</x:f>
        <x:v>1424</x:v>
      </x:c>
    </x:row>
    <x:row r="245" ht="23" customHeight="1">
      <x:c r="A245" s="119" t="n">
        <x:v>239</x:v>
      </x:c>
      <x:c r="B245" s="119" t="n">
        <x:f>MOD(INT((A245-1)/5),7)+1</x:f>
        <x:v>6</x:v>
      </x:c>
      <x:c r="C245" s="62" t="str">
        <x:f>INDEX('章节与怪物'!$B$31:$B$37,B245)</x:f>
        <x:v>熔岩山脉</x:v>
      </x:c>
      <x:c r="D245" s="119" t="n">
        <x:f>MIN('难度参数'!$E$8,MAX('难度参数'!$E$7,A245))</x:f>
        <x:v>7</x:v>
      </x:c>
      <x:c r="E245" s="106" t="n">
        <x:v>1</x:v>
      </x:c>
      <x:c r="F245" s="106" t="n">
        <x:v>0</x:v>
      </x:c>
      <x:c r="G245" s="106" t="n">
        <x:v>1</x:v>
      </x:c>
      <x:c r="H245" s="119" t="n">
        <x:f>SUM(X245,AB245,AF245,AJ245,AN245,AR245,AV245)</x:f>
        <x:v>224</x:v>
      </x:c>
      <x:c r="I245" s="119" t="n">
        <x:f>SUM(Z245,AD245,AH245,AL245,AP245,AT245,AX245)</x:f>
        <x:v>2145550</x:v>
      </x:c>
      <x:c r="J245" s="119" t="n">
        <x:f>ROUND(INDEX(X245:AY245,1,(D245-1)*4+2)*'难度参数'!$E$28*'章节与怪物'!$E$17,0)</x:f>
        <x:v>62880</x:v>
      </x:c>
      <x:c r="K245" s="119" t="n">
        <x:f>SUM(AA245,AE245,AI245,AM245,AQ245,AU245,AY245)</x:f>
        <x:v>6006</x:v>
      </x:c>
      <x:c r="L245" s="62" t="n">
        <x:f>H245*(ROUNDUP('难度参数'!$E$24/('难度参数'!$E$26*'难度参数'!$E$27),0)*'难度参数'!$E$26)/60</x:f>
        <x:v>2.986666666666667</x:v>
      </x:c>
      <x:c r="M245" s="62" t="n">
        <x:f>L245+D245*('难度参数'!$E$49+'难度参数'!$E$50)/60</x:f>
        <x:v>4.153333333333333</x:v>
      </x:c>
      <x:c r="N245" s="119" t="n">
        <x:f>ROUNDDOWN(('经济参数'!$E$20+A245*'经济参数'!$E$21)*G245,0)</x:f>
        <x:v>4960</x:v>
      </x:c>
      <x:c r="O245" s="119" t="n">
        <x:f>ROUNDDOWN(MIN('经济参数'!$E$24,'经济参数'!$E$22+A245*'经济参数'!$E$23)*G245,0)</x:f>
        <x:v>0</x:v>
      </x:c>
      <x:c r="P245" s="119" t="n">
        <x:f>ROUNDDOWN((IF(A245&gt;='材料与任务'!$E$31,'材料与任务'!$E$32,IF(A245&gt;='材料与任务'!$E$25,'材料与任务'!$E$26,IF(A245&gt;='材料与任务'!$E$19,'材料与任务'!$E$20,IF(A245&gt;='材料与任务'!$E$13,'材料与任务'!$E$14,'材料与任务'!$E$8)))))*G245,0)</x:f>
        <x:v>6</x:v>
      </x:c>
      <x:c r="Q245" s="119" t="n">
        <x:f>ROUNDDOWN((IF(A245&gt;='材料与任务'!$E$31,'材料与任务'!$E$33,IF(A245&gt;='材料与任务'!$E$25,'材料与任务'!$E$27,IF(A245&gt;='材料与任务'!$E$19,'材料与任务'!$E$21,IF(A245&gt;='材料与任务'!$E$13,'材料与任务'!$E$15,'材料与任务'!$E$9)))))*G245,0)</x:f>
        <x:v>3</x:v>
      </x:c>
      <x:c r="R245" s="110" t="n">
        <x:f>'装备掉落'!$B$38</x:f>
        <x:v>0.6872058758851213</x:v>
      </x:c>
      <x:c r="S245" s="119" t="n">
        <x:f>MAX(IF(VLOOKUP(A245,'装备掉落'!$A$29:$H$34,2,TRUE)&gt;0,1,0),IF(VLOOKUP(A245,'装备掉落'!$A$29:$H$34,3,TRUE)&gt;0,2,0),IF(VLOOKUP(A245,'装备掉落'!$A$29:$H$34,4,TRUE)&gt;0,3,0),IF(VLOOKUP(A245,'装备掉落'!$A$29:$H$34,5,TRUE)&gt;0,4,0),IF(VLOOKUP(A245,'装备掉落'!$A$29:$H$34,6,TRUE)&gt;0,5,0),IF(VLOOKUP(A245,'装备掉落'!$A$29:$H$34,7,TRUE)&gt;0,6,0),IF(VLOOKUP(A245,'装备掉落'!$A$29:$H$34,8,TRUE)&gt;0,7,0))</x:f>
        <x:v>7</x:v>
      </x:c>
      <x:c r="T245" s="119" t="n">
        <x:f>MIN(7,S245+'经济参数'!$E$70)</x:f>
        <x:v>7</x:v>
      </x:c>
      <x:c r="U245" s="119" t="n">
        <x:f>MIN(7,S245+'经济参数'!$E$71)</x:f>
        <x:v>7</x:v>
      </x:c>
      <x:c r="V245" s="119" t="n">
        <x:f>IF(H245&gt;=('难度参数'!$E$52),1,0)+IF(H245&gt;=('难度参数'!$E$52+'难度参数'!$E$53),1,0)+IF(H245&gt;=('难度参数'!$E$52+'难度参数'!$E$53+'难度参数'!$E$54),1,0)+IF(H245&gt;=('难度参数'!$E$52+'难度参数'!$E$53+'难度参数'!$E$54+'难度参数'!$E$55),1,0)+IF(H245&gt;=('难度参数'!$E$52+'难度参数'!$E$53+'难度参数'!$E$54+'难度参数'!$E$55+'难度参数'!$E$56),1,0)+IF(H245&gt;=('难度参数'!$E$52+'难度参数'!$E$53+'难度参数'!$E$54+'难度参数'!$E$55+'难度参数'!$E$56+'难度参数'!$E$57),1,0)</x:f>
        <x:v>6</x:v>
      </x:c>
      <x:c r="W245" s="62" t="str">
        <x:f>IF(L245&gt;'难度参数'!$E$51,"仅出怪已超目标","还需实测")</x:f>
        <x:v>还需实测</x:v>
      </x:c>
      <x:c r="X245" s="119" t="n">
        <x:f>IF(1&gt;D245,0,MAX(2,MIN('难度参数'!$E$12,ROUND(('难度参数'!$E$18*POWER(A245,'难度参数'!$E$19)/D245*(0.85+0.3*(1-1)/MAX(1,D245-1))),0)+F245)))</x:f>
        <x:v>27</x:v>
      </x:c>
      <x:c r="Y245" s="119" t="n">
        <x:f>IF(1&gt;D245,0,ROUND(('难度参数'!$E$13*POWER(A245,'难度参数'!$E$20)*MIN('难度参数'!$E$23,1+MAX(0,A245-'难度参数'!$E$21)*'难度参数'!$E$22))*(36+1*7)/(36+7*(D245+1)/2)*E245,0))</x:f>
        <x:v>4678</x:v>
      </x:c>
      <x:c r="Z245" s="119" t="n">
        <x:f>IF(X245=0,0,(X245-IF(1=D245,1,0))*ROUND(Y245*VLOOKUP(INDEX('章节与怪物'!$E$31:$K$37,B245,1),'章节与怪物'!$A$41:$F$44,2,FALSE),0)+IF(1=D245,ROUND(Y245*'难度参数'!$E$28*'章节与怪物'!$E$17,0),0))</x:f>
        <x:v>90936</x:v>
      </x:c>
      <x:c r="AA245" s="119" t="n">
        <x:f>IF(X245=0,0,(X245-IF(1=D245,1,0))*VLOOKUP(INDEX('章节与怪物'!$E$31:$K$37,B245,1),'章节与怪物'!$A$41:$F$44,4,FALSE)+IF(1=D245,'难度参数'!$E$30,0))</x:f>
        <x:v>540</x:v>
      </x:c>
      <x:c r="AB245" s="119" t="n">
        <x:f>IF(2&gt;D245,0,MAX(2,MIN('难度参数'!$E$12,ROUND(('难度参数'!$E$18*POWER(A245,'难度参数'!$E$19)/D245*(0.85+0.3*(2-1)/MAX(1,D245-1))),0)+F245)))</x:f>
        <x:v>29</x:v>
      </x:c>
      <x:c r="AC245" s="119" t="n">
        <x:f>IF(2&gt;D245,0,ROUND(('难度参数'!$E$13*POWER(A245,'难度参数'!$E$20)*MIN('难度参数'!$E$23,1+MAX(0,A245-'难度参数'!$E$21)*'难度参数'!$E$22))*(36+2*7)/(36+7*(D245+1)/2)*E245,0))</x:f>
        <x:v>5440</x:v>
      </x:c>
      <x:c r="AD245" s="119" t="n">
        <x:f>IF(AB245=0,0,(AB245-IF(2=D245,1,0))*ROUND(AC245*VLOOKUP(INDEX('章节与怪物'!$E$31:$K$37,B245,2),'章节与怪物'!$A$41:$F$44,2,FALSE),0)+IF(2=D245,ROUND(AC245*'难度参数'!$E$28*'章节与怪物'!$E$17,0),0))</x:f>
        <x:v>157760</x:v>
      </x:c>
      <x:c r="AE245" s="119" t="n">
        <x:f>IF(AB245=0,0,(AB245-IF(2=D245,1,0))*VLOOKUP(INDEX('章节与怪物'!$E$31:$K$37,B245,2),'章节与怪物'!$A$41:$F$44,4,FALSE)+IF(2=D245,'难度参数'!$E$30,0))</x:f>
        <x:v>522</x:v>
      </x:c>
      <x:c r="AF245" s="119" t="n">
        <x:f>IF(3&gt;D245,0,MAX(2,MIN('难度参数'!$E$12,ROUND(('难度参数'!$E$18*POWER(A245,'难度参数'!$E$19)/D245*(0.85+0.3*(3-1)/MAX(1,D245-1))),0)+F245)))</x:f>
        <x:v>30</x:v>
      </x:c>
      <x:c r="AG245" s="119" t="n">
        <x:f>IF(3&gt;D245,0,ROUND(('难度参数'!$E$13*POWER(A245,'难度参数'!$E$20)*MIN('难度参数'!$E$23,1+MAX(0,A245-'难度参数'!$E$21)*'难度参数'!$E$22))*(36+3*7)/(36+7*(D245+1)/2)*E245,0))</x:f>
        <x:v>6201</x:v>
      </x:c>
      <x:c r="AH245" s="119" t="n">
        <x:f>IF(AF245=0,0,(AF245-IF(3=D245,1,0))*ROUND(AG245*VLOOKUP(INDEX('章节与怪物'!$E$31:$K$37,B245,3),'章节与怪物'!$A$41:$F$44,2,FALSE),0)+IF(3=D245,ROUND(AG245*'难度参数'!$E$28*'章节与怪物'!$E$17,0),0))</x:f>
        <x:v>316260</x:v>
      </x:c>
      <x:c r="AI245" s="119" t="n">
        <x:f>IF(AF245=0,0,(AF245-IF(3=D245,1,0))*VLOOKUP(INDEX('章节与怪物'!$E$31:$K$37,B245,3),'章节与怪物'!$A$41:$F$44,4,FALSE)+IF(3=D245,'难度参数'!$E$30,0))</x:f>
        <x:v>840</x:v>
      </x:c>
      <x:c r="AJ245" s="119" t="n">
        <x:f>IF(4&gt;D245,0,MAX(2,MIN('难度参数'!$E$12,ROUND(('难度参数'!$E$18*POWER(A245,'难度参数'!$E$19)/D245*(0.85+0.3*(4-1)/MAX(1,D245-1))),0)+F245)))</x:f>
        <x:v>32</x:v>
      </x:c>
      <x:c r="AK245" s="119" t="n">
        <x:f>IF(4&gt;D245,0,ROUND(('难度参数'!$E$13*POWER(A245,'难度参数'!$E$20)*MIN('难度参数'!$E$23,1+MAX(0,A245-'难度参数'!$E$21)*'难度参数'!$E$22))*(36+4*7)/(36+7*(D245+1)/2)*E245,0))</x:f>
        <x:v>6963</x:v>
      </x:c>
      <x:c r="AL245" s="119" t="n">
        <x:f>IF(AJ245=0,0,(AJ245-IF(4=D245,1,0))*ROUND(AK245*VLOOKUP(INDEX('章节与怪物'!$E$31:$K$37,B245,4),'章节与怪物'!$A$41:$F$44,2,FALSE),0)+IF(4=D245,ROUND(AK245*'难度参数'!$E$28*'章节与怪物'!$E$17,0),0))</x:f>
        <x:v>300800</x:v>
      </x:c>
      <x:c r="AM245" s="119" t="n">
        <x:f>IF(AJ245=0,0,(AJ245-IF(4=D245,1,0))*VLOOKUP(INDEX('章节与怪物'!$E$31:$K$37,B245,4),'章节与怪物'!$A$41:$F$44,4,FALSE)+IF(4=D245,'难度参数'!$E$30,0))</x:f>
        <x:v>1088</x:v>
      </x:c>
      <x:c r="AN245" s="119" t="n">
        <x:f>IF(5&gt;D245,0,MAX(2,MIN('难度参数'!$E$12,ROUND(('难度参数'!$E$18*POWER(A245,'难度参数'!$E$19)/D245*(0.85+0.3*(5-1)/MAX(1,D245-1))),0)+F245)))</x:f>
        <x:v>34</x:v>
      </x:c>
      <x:c r="AO245" s="119" t="n">
        <x:f>IF(5&gt;D245,0,ROUND(('难度参数'!$E$13*POWER(A245,'难度参数'!$E$20)*MIN('难度参数'!$E$23,1+MAX(0,A245-'难度参数'!$E$21)*'难度参数'!$E$22))*(36+5*7)/(36+7*(D245+1)/2)*E245,0))</x:f>
        <x:v>7724</x:v>
      </x:c>
      <x:c r="AP245" s="119" t="n">
        <x:f>IF(AN245=0,0,(AN245-IF(5=D245,1,0))*ROUND(AO245*VLOOKUP(INDEX('章节与怪物'!$E$31:$K$37,B245,5),'章节与怪物'!$A$41:$F$44,2,FALSE),0)+IF(5=D245,ROUND(AO245*'难度参数'!$E$28*'章节与怪物'!$E$17,0),0))</x:f>
        <x:v>262616</x:v>
      </x:c>
      <x:c r="AQ245" s="119" t="n">
        <x:f>IF(AN245=0,0,(AN245-IF(5=D245,1,0))*VLOOKUP(INDEX('章节与怪物'!$E$31:$K$37,B245,5),'章节与怪物'!$A$41:$F$44,4,FALSE)+IF(5=D245,'难度参数'!$E$30,0))</x:f>
        <x:v>612</x:v>
      </x:c>
      <x:c r="AR245" s="119" t="n">
        <x:f>IF(6&gt;D245,0,MAX(2,MIN('难度参数'!$E$12,ROUND(('难度参数'!$E$18*POWER(A245,'难度参数'!$E$19)/D245*(0.85+0.3*(6-1)/MAX(1,D245-1))),0)+F245)))</x:f>
        <x:v>35</x:v>
      </x:c>
      <x:c r="AS245" s="119" t="n">
        <x:f>IF(6&gt;D245,0,ROUND(('难度参数'!$E$13*POWER(A245,'难度参数'!$E$20)*MIN('难度参数'!$E$23,1+MAX(0,A245-'难度参数'!$E$21)*'难度参数'!$E$22))*(36+6*7)/(36+7*(D245+1)/2)*E245,0))</x:f>
        <x:v>8486</x:v>
      </x:c>
      <x:c r="AT245" s="119" t="n">
        <x:f>IF(AR245=0,0,(AR245-IF(6=D245,1,0))*ROUND(AS245*VLOOKUP(INDEX('章节与怪物'!$E$31:$K$37,B245,6),'章节与怪物'!$A$41:$F$44,2,FALSE),0)+IF(6=D245,ROUND(AS245*'难度参数'!$E$28*'章节与怪物'!$E$17,0),0))</x:f>
        <x:v>504910</x:v>
      </x:c>
      <x:c r="AU245" s="119" t="n">
        <x:f>IF(AR245=0,0,(AR245-IF(6=D245,1,0))*VLOOKUP(INDEX('章节与怪物'!$E$31:$K$37,B245,6),'章节与怪物'!$A$41:$F$44,4,FALSE)+IF(6=D245,'难度参数'!$E$30,0))</x:f>
        <x:v>980</x:v>
      </x:c>
      <x:c r="AV245" s="119" t="n">
        <x:f>IF(7&gt;D245,0,MAX(2,MIN('难度参数'!$E$12,ROUND(('难度参数'!$E$18*POWER(A245,'难度参数'!$E$19)/D245*(0.85+0.3*(7-1)/MAX(1,D245-1))),0)+F245)))</x:f>
        <x:v>37</x:v>
      </x:c>
      <x:c r="AW245" s="119" t="n">
        <x:f>IF(7&gt;D245,0,ROUND(('难度参数'!$E$13*POWER(A245,'难度参数'!$E$20)*MIN('难度参数'!$E$23,1+MAX(0,A245-'难度参数'!$E$21)*'难度参数'!$E$22))*(36+7*7)/(36+7*(D245+1)/2)*E245,0))</x:f>
        <x:v>9247</x:v>
      </x:c>
      <x:c r="AX245" s="119" t="n">
        <x:f>IF(AV245=0,0,(AV245-IF(7=D245,1,0))*ROUND(AW245*VLOOKUP(INDEX('章节与怪物'!$E$31:$K$37,B245,7),'章节与怪物'!$A$41:$F$44,2,FALSE),0)+IF(7=D245,ROUND(AW245*'难度参数'!$E$28*'章节与怪物'!$E$17,0),0))</x:f>
        <x:v>512268</x:v>
      </x:c>
      <x:c r="AY245" s="119" t="n">
        <x:f>IF(AV245=0,0,(AV245-IF(7=D245,1,0))*VLOOKUP(INDEX('章节与怪物'!$E$31:$K$37,B245,7),'章节与怪物'!$A$41:$F$44,4,FALSE)+IF(7=D245,'难度参数'!$E$30,0))</x:f>
        <x:v>1424</x:v>
      </x:c>
    </x:row>
    <x:row r="246" ht="23" customHeight="1">
      <x:c r="A246" s="119" t="n">
        <x:v>240</x:v>
      </x:c>
      <x:c r="B246" s="119" t="n">
        <x:f>MOD(INT((A246-1)/5),7)+1</x:f>
        <x:v>6</x:v>
      </x:c>
      <x:c r="C246" s="62" t="str">
        <x:f>INDEX('章节与怪物'!$B$31:$B$37,B246)</x:f>
        <x:v>熔岩山脉</x:v>
      </x:c>
      <x:c r="D246" s="119" t="n">
        <x:f>MIN('难度参数'!$E$8,MAX('难度参数'!$E$7,A246))</x:f>
        <x:v>7</x:v>
      </x:c>
      <x:c r="E246" s="106" t="n">
        <x:v>1</x:v>
      </x:c>
      <x:c r="F246" s="106" t="n">
        <x:v>0</x:v>
      </x:c>
      <x:c r="G246" s="106" t="n">
        <x:v>1</x:v>
      </x:c>
      <x:c r="H246" s="119" t="n">
        <x:f>SUM(X246,AB246,AF246,AJ246,AN246,AR246,AV246)</x:f>
        <x:v>224</x:v>
      </x:c>
      <x:c r="I246" s="119" t="n">
        <x:f>SUM(Z246,AD246,AH246,AL246,AP246,AT246,AX246)</x:f>
        <x:v>2152019</x:v>
      </x:c>
      <x:c r="J246" s="119" t="n">
        <x:f>ROUND(INDEX(X246:AY246,1,(D246-1)*4+2)*'难度参数'!$E$28*'章节与怪物'!$E$17,0)</x:f>
        <x:v>63070</x:v>
      </x:c>
      <x:c r="K246" s="119" t="n">
        <x:f>SUM(AA246,AE246,AI246,AM246,AQ246,AU246,AY246)</x:f>
        <x:v>6006</x:v>
      </x:c>
      <x:c r="L246" s="62" t="n">
        <x:f>H246*(ROUNDUP('难度参数'!$E$24/('难度参数'!$E$26*'难度参数'!$E$27),0)*'难度参数'!$E$26)/60</x:f>
        <x:v>2.986666666666667</x:v>
      </x:c>
      <x:c r="M246" s="62" t="n">
        <x:f>L246+D246*('难度参数'!$E$49+'难度参数'!$E$50)/60</x:f>
        <x:v>4.153333333333333</x:v>
      </x:c>
      <x:c r="N246" s="119" t="n">
        <x:f>ROUNDDOWN(('经济参数'!$E$20+A246*'经济参数'!$E$21)*G246,0)</x:f>
        <x:v>4980</x:v>
      </x:c>
      <x:c r="O246" s="119" t="n">
        <x:f>ROUNDDOWN(MIN('经济参数'!$E$24,'经济参数'!$E$22+A246*'经济参数'!$E$23)*G246,0)</x:f>
        <x:v>0</x:v>
      </x:c>
      <x:c r="P246" s="119" t="n">
        <x:f>ROUNDDOWN((IF(A246&gt;='材料与任务'!$E$31,'材料与任务'!$E$32,IF(A246&gt;='材料与任务'!$E$25,'材料与任务'!$E$26,IF(A246&gt;='材料与任务'!$E$19,'材料与任务'!$E$20,IF(A246&gt;='材料与任务'!$E$13,'材料与任务'!$E$14,'材料与任务'!$E$8)))))*G246,0)</x:f>
        <x:v>6</x:v>
      </x:c>
      <x:c r="Q246" s="119" t="n">
        <x:f>ROUNDDOWN((IF(A246&gt;='材料与任务'!$E$31,'材料与任务'!$E$33,IF(A246&gt;='材料与任务'!$E$25,'材料与任务'!$E$27,IF(A246&gt;='材料与任务'!$E$19,'材料与任务'!$E$21,IF(A246&gt;='材料与任务'!$E$13,'材料与任务'!$E$15,'材料与任务'!$E$9)))))*G246,0)</x:f>
        <x:v>3</x:v>
      </x:c>
      <x:c r="R246" s="110" t="n">
        <x:f>'装备掉落'!$B$38</x:f>
        <x:v>0.6872058758851213</x:v>
      </x:c>
      <x:c r="S246" s="119" t="n">
        <x:f>MAX(IF(VLOOKUP(A246,'装备掉落'!$A$29:$H$34,2,TRUE)&gt;0,1,0),IF(VLOOKUP(A246,'装备掉落'!$A$29:$H$34,3,TRUE)&gt;0,2,0),IF(VLOOKUP(A246,'装备掉落'!$A$29:$H$34,4,TRUE)&gt;0,3,0),IF(VLOOKUP(A246,'装备掉落'!$A$29:$H$34,5,TRUE)&gt;0,4,0),IF(VLOOKUP(A246,'装备掉落'!$A$29:$H$34,6,TRUE)&gt;0,5,0),IF(VLOOKUP(A246,'装备掉落'!$A$29:$H$34,7,TRUE)&gt;0,6,0),IF(VLOOKUP(A246,'装备掉落'!$A$29:$H$34,8,TRUE)&gt;0,7,0))</x:f>
        <x:v>7</x:v>
      </x:c>
      <x:c r="T246" s="119" t="n">
        <x:f>MIN(7,S246+'经济参数'!$E$70)</x:f>
        <x:v>7</x:v>
      </x:c>
      <x:c r="U246" s="119" t="n">
        <x:f>MIN(7,S246+'经济参数'!$E$71)</x:f>
        <x:v>7</x:v>
      </x:c>
      <x:c r="V246" s="119" t="n">
        <x:f>IF(H246&gt;=('难度参数'!$E$52),1,0)+IF(H246&gt;=('难度参数'!$E$52+'难度参数'!$E$53),1,0)+IF(H246&gt;=('难度参数'!$E$52+'难度参数'!$E$53+'难度参数'!$E$54),1,0)+IF(H246&gt;=('难度参数'!$E$52+'难度参数'!$E$53+'难度参数'!$E$54+'难度参数'!$E$55),1,0)+IF(H246&gt;=('难度参数'!$E$52+'难度参数'!$E$53+'难度参数'!$E$54+'难度参数'!$E$55+'难度参数'!$E$56),1,0)+IF(H246&gt;=('难度参数'!$E$52+'难度参数'!$E$53+'难度参数'!$E$54+'难度参数'!$E$55+'难度参数'!$E$56+'难度参数'!$E$57),1,0)</x:f>
        <x:v>6</x:v>
      </x:c>
      <x:c r="W246" s="62" t="str">
        <x:f>IF(L246&gt;'难度参数'!$E$51,"仅出怪已超目标","还需实测")</x:f>
        <x:v>还需实测</x:v>
      </x:c>
      <x:c r="X246" s="119" t="n">
        <x:f>IF(1&gt;D246,0,MAX(2,MIN('难度参数'!$E$12,ROUND(('难度参数'!$E$18*POWER(A246,'难度参数'!$E$19)/D246*(0.85+0.3*(1-1)/MAX(1,D246-1))),0)+F246)))</x:f>
        <x:v>27</x:v>
      </x:c>
      <x:c r="Y246" s="119" t="n">
        <x:f>IF(1&gt;D246,0,ROUND(('难度参数'!$E$13*POWER(A246,'难度参数'!$E$20)*MIN('难度参数'!$E$23,1+MAX(0,A246-'难度参数'!$E$21)*'难度参数'!$E$22))*(36+1*7)/(36+7*(D246+1)/2)*E246,0))</x:f>
        <x:v>4692</x:v>
      </x:c>
      <x:c r="Z246" s="119" t="n">
        <x:f>IF(X246=0,0,(X246-IF(1=D246,1,0))*ROUND(Y246*VLOOKUP(INDEX('章节与怪物'!$E$31:$K$37,B246,1),'章节与怪物'!$A$41:$F$44,2,FALSE),0)+IF(1=D246,ROUND(Y246*'难度参数'!$E$28*'章节与怪物'!$E$17,0),0))</x:f>
        <x:v>91206</x:v>
      </x:c>
      <x:c r="AA246" s="119" t="n">
        <x:f>IF(X246=0,0,(X246-IF(1=D246,1,0))*VLOOKUP(INDEX('章节与怪物'!$E$31:$K$37,B246,1),'章节与怪物'!$A$41:$F$44,4,FALSE)+IF(1=D246,'难度参数'!$E$30,0))</x:f>
        <x:v>540</x:v>
      </x:c>
      <x:c r="AB246" s="119" t="n">
        <x:f>IF(2&gt;D246,0,MAX(2,MIN('难度参数'!$E$12,ROUND(('难度参数'!$E$18*POWER(A246,'难度参数'!$E$19)/D246*(0.85+0.3*(2-1)/MAX(1,D246-1))),0)+F246)))</x:f>
        <x:v>29</x:v>
      </x:c>
      <x:c r="AC246" s="119" t="n">
        <x:f>IF(2&gt;D246,0,ROUND(('难度参数'!$E$13*POWER(A246,'难度参数'!$E$20)*MIN('难度参数'!$E$23,1+MAX(0,A246-'难度参数'!$E$21)*'难度参数'!$E$22))*(36+2*7)/(36+7*(D246+1)/2)*E246,0))</x:f>
        <x:v>5456</x:v>
      </x:c>
      <x:c r="AD246" s="119" t="n">
        <x:f>IF(AB246=0,0,(AB246-IF(2=D246,1,0))*ROUND(AC246*VLOOKUP(INDEX('章节与怪物'!$E$31:$K$37,B246,2),'章节与怪物'!$A$41:$F$44,2,FALSE),0)+IF(2=D246,ROUND(AC246*'难度参数'!$E$28*'章节与怪物'!$E$17,0),0))</x:f>
        <x:v>158224</x:v>
      </x:c>
      <x:c r="AE246" s="119" t="n">
        <x:f>IF(AB246=0,0,(AB246-IF(2=D246,1,0))*VLOOKUP(INDEX('章节与怪物'!$E$31:$K$37,B246,2),'章节与怪物'!$A$41:$F$44,4,FALSE)+IF(2=D246,'难度参数'!$E$30,0))</x:f>
        <x:v>522</x:v>
      </x:c>
      <x:c r="AF246" s="119" t="n">
        <x:f>IF(3&gt;D246,0,MAX(2,MIN('难度参数'!$E$12,ROUND(('难度参数'!$E$18*POWER(A246,'难度参数'!$E$19)/D246*(0.85+0.3*(3-1)/MAX(1,D246-1))),0)+F246)))</x:f>
        <x:v>30</x:v>
      </x:c>
      <x:c r="AG246" s="119" t="n">
        <x:f>IF(3&gt;D246,0,ROUND(('难度参数'!$E$13*POWER(A246,'难度参数'!$E$20)*MIN('难度参数'!$E$23,1+MAX(0,A246-'难度参数'!$E$21)*'难度参数'!$E$22))*(36+3*7)/(36+7*(D246+1)/2)*E246,0))</x:f>
        <x:v>6220</x:v>
      </x:c>
      <x:c r="AH246" s="119" t="n">
        <x:f>IF(AF246=0,0,(AF246-IF(3=D246,1,0))*ROUND(AG246*VLOOKUP(INDEX('章节与怪物'!$E$31:$K$37,B246,3),'章节与怪物'!$A$41:$F$44,2,FALSE),0)+IF(3=D246,ROUND(AG246*'难度参数'!$E$28*'章节与怪物'!$E$17,0),0))</x:f>
        <x:v>317220</x:v>
      </x:c>
      <x:c r="AI246" s="119" t="n">
        <x:f>IF(AF246=0,0,(AF246-IF(3=D246,1,0))*VLOOKUP(INDEX('章节与怪物'!$E$31:$K$37,B246,3),'章节与怪物'!$A$41:$F$44,4,FALSE)+IF(3=D246,'难度参数'!$E$30,0))</x:f>
        <x:v>840</x:v>
      </x:c>
      <x:c r="AJ246" s="119" t="n">
        <x:f>IF(4&gt;D246,0,MAX(2,MIN('难度参数'!$E$12,ROUND(('难度参数'!$E$18*POWER(A246,'难度参数'!$E$19)/D246*(0.85+0.3*(4-1)/MAX(1,D246-1))),0)+F246)))</x:f>
        <x:v>32</x:v>
      </x:c>
      <x:c r="AK246" s="119" t="n">
        <x:f>IF(4&gt;D246,0,ROUND(('难度参数'!$E$13*POWER(A246,'难度参数'!$E$20)*MIN('难度参数'!$E$23,1+MAX(0,A246-'难度参数'!$E$21)*'难度参数'!$E$22))*(36+4*7)/(36+7*(D246+1)/2)*E246,0))</x:f>
        <x:v>6984</x:v>
      </x:c>
      <x:c r="AL246" s="119" t="n">
        <x:f>IF(AJ246=0,0,(AJ246-IF(4=D246,1,0))*ROUND(AK246*VLOOKUP(INDEX('章节与怪物'!$E$31:$K$37,B246,4),'章节与怪物'!$A$41:$F$44,2,FALSE),0)+IF(4=D246,ROUND(AK246*'难度参数'!$E$28*'章节与怪物'!$E$17,0),0))</x:f>
        <x:v>301696</x:v>
      </x:c>
      <x:c r="AM246" s="119" t="n">
        <x:f>IF(AJ246=0,0,(AJ246-IF(4=D246,1,0))*VLOOKUP(INDEX('章节与怪物'!$E$31:$K$37,B246,4),'章节与怪物'!$A$41:$F$44,4,FALSE)+IF(4=D246,'难度参数'!$E$30,0))</x:f>
        <x:v>1088</x:v>
      </x:c>
      <x:c r="AN246" s="119" t="n">
        <x:f>IF(5&gt;D246,0,MAX(2,MIN('难度参数'!$E$12,ROUND(('难度参数'!$E$18*POWER(A246,'难度参数'!$E$19)/D246*(0.85+0.3*(5-1)/MAX(1,D246-1))),0)+F246)))</x:f>
        <x:v>34</x:v>
      </x:c>
      <x:c r="AO246" s="119" t="n">
        <x:f>IF(5&gt;D246,0,ROUND(('难度参数'!$E$13*POWER(A246,'难度参数'!$E$20)*MIN('难度参数'!$E$23,1+MAX(0,A246-'难度参数'!$E$21)*'难度参数'!$E$22))*(36+5*7)/(36+7*(D246+1)/2)*E246,0))</x:f>
        <x:v>7748</x:v>
      </x:c>
      <x:c r="AP246" s="119" t="n">
        <x:f>IF(AN246=0,0,(AN246-IF(5=D246,1,0))*ROUND(AO246*VLOOKUP(INDEX('章节与怪物'!$E$31:$K$37,B246,5),'章节与怪物'!$A$41:$F$44,2,FALSE),0)+IF(5=D246,ROUND(AO246*'难度参数'!$E$28*'章节与怪物'!$E$17,0),0))</x:f>
        <x:v>263432</x:v>
      </x:c>
      <x:c r="AQ246" s="119" t="n">
        <x:f>IF(AN246=0,0,(AN246-IF(5=D246,1,0))*VLOOKUP(INDEX('章节与怪物'!$E$31:$K$37,B246,5),'章节与怪物'!$A$41:$F$44,4,FALSE)+IF(5=D246,'难度参数'!$E$30,0))</x:f>
        <x:v>612</x:v>
      </x:c>
      <x:c r="AR246" s="119" t="n">
        <x:f>IF(6&gt;D246,0,MAX(2,MIN('难度参数'!$E$12,ROUND(('难度参数'!$E$18*POWER(A246,'难度参数'!$E$19)/D246*(0.85+0.3*(6-1)/MAX(1,D246-1))),0)+F246)))</x:f>
        <x:v>35</x:v>
      </x:c>
      <x:c r="AS246" s="119" t="n">
        <x:f>IF(6&gt;D246,0,ROUND(('难度参数'!$E$13*POWER(A246,'难度参数'!$E$20)*MIN('难度参数'!$E$23,1+MAX(0,A246-'难度参数'!$E$21)*'难度参数'!$E$22))*(36+6*7)/(36+7*(D246+1)/2)*E246,0))</x:f>
        <x:v>8511</x:v>
      </x:c>
      <x:c r="AT246" s="119" t="n">
        <x:f>IF(AR246=0,0,(AR246-IF(6=D246,1,0))*ROUND(AS246*VLOOKUP(INDEX('章节与怪物'!$E$31:$K$37,B246,6),'章节与怪物'!$A$41:$F$44,2,FALSE),0)+IF(6=D246,ROUND(AS246*'难度参数'!$E$28*'章节与怪物'!$E$17,0),0))</x:f>
        <x:v>506415</x:v>
      </x:c>
      <x:c r="AU246" s="119" t="n">
        <x:f>IF(AR246=0,0,(AR246-IF(6=D246,1,0))*VLOOKUP(INDEX('章节与怪物'!$E$31:$K$37,B246,6),'章节与怪物'!$A$41:$F$44,4,FALSE)+IF(6=D246,'难度参数'!$E$30,0))</x:f>
        <x:v>980</x:v>
      </x:c>
      <x:c r="AV246" s="119" t="n">
        <x:f>IF(7&gt;D246,0,MAX(2,MIN('难度参数'!$E$12,ROUND(('难度参数'!$E$18*POWER(A246,'难度参数'!$E$19)/D246*(0.85+0.3*(7-1)/MAX(1,D246-1))),0)+F246)))</x:f>
        <x:v>37</x:v>
      </x:c>
      <x:c r="AW246" s="119" t="n">
        <x:f>IF(7&gt;D246,0,ROUND(('难度参数'!$E$13*POWER(A246,'难度参数'!$E$20)*MIN('难度参数'!$E$23,1+MAX(0,A246-'难度参数'!$E$21)*'难度参数'!$E$22))*(36+7*7)/(36+7*(D246+1)/2)*E246,0))</x:f>
        <x:v>9275</x:v>
      </x:c>
      <x:c r="AX246" s="119" t="n">
        <x:f>IF(AV246=0,0,(AV246-IF(7=D246,1,0))*ROUND(AW246*VLOOKUP(INDEX('章节与怪物'!$E$31:$K$37,B246,7),'章节与怪物'!$A$41:$F$44,2,FALSE),0)+IF(7=D246,ROUND(AW246*'难度参数'!$E$28*'章节与怪物'!$E$17,0),0))</x:f>
        <x:v>513826</x:v>
      </x:c>
      <x:c r="AY246" s="119" t="n">
        <x:f>IF(AV246=0,0,(AV246-IF(7=D246,1,0))*VLOOKUP(INDEX('章节与怪物'!$E$31:$K$37,B246,7),'章节与怪物'!$A$41:$F$44,4,FALSE)+IF(7=D246,'难度参数'!$E$30,0))</x:f>
        <x:v>1424</x:v>
      </x:c>
    </x:row>
    <x:row r="247" ht="23" customHeight="1">
      <x:c r="A247" s="119" t="n">
        <x:v>241</x:v>
      </x:c>
      <x:c r="B247" s="119" t="n">
        <x:f>MOD(INT((A247-1)/5),7)+1</x:f>
        <x:v>7</x:v>
      </x:c>
      <x:c r="C247" s="62" t="str">
        <x:f>INDEX('章节与怪物'!$B$31:$B$37,B247)</x:f>
        <x:v>魔法山脊</x:v>
      </x:c>
      <x:c r="D247" s="119" t="n">
        <x:f>MIN('难度参数'!$E$8,MAX('难度参数'!$E$7,A247))</x:f>
        <x:v>7</x:v>
      </x:c>
      <x:c r="E247" s="106" t="n">
        <x:v>1</x:v>
      </x:c>
      <x:c r="F247" s="106" t="n">
        <x:v>0</x:v>
      </x:c>
      <x:c r="G247" s="106" t="n">
        <x:v>1</x:v>
      </x:c>
      <x:c r="H247" s="119" t="n">
        <x:f>SUM(X247,AB247,AF247,AJ247,AN247,AR247,AV247)</x:f>
        <x:v>225</x:v>
      </x:c>
      <x:c r="I247" s="119" t="n">
        <x:f>SUM(Z247,AD247,AH247,AL247,AP247,AT247,AX247)</x:f>
        <x:v>2086301</x:v>
      </x:c>
      <x:c r="J247" s="119" t="n">
        <x:f>ROUND(INDEX(X247:AY247,1,(D247-1)*4+2)*'难度参数'!$E$28*'章节与怪物'!$E$17,0)</x:f>
        <x:v>63260</x:v>
      </x:c>
      <x:c r="K247" s="119" t="n">
        <x:f>SUM(AA247,AE247,AI247,AM247,AQ247,AU247,AY247)</x:f>
        <x:v>6106</x:v>
      </x:c>
      <x:c r="L247" s="62" t="n">
        <x:f>H247*(ROUNDUP('难度参数'!$E$24/('难度参数'!$E$26*'难度参数'!$E$27),0)*'难度参数'!$E$26)/60</x:f>
        <x:v>3</x:v>
      </x:c>
      <x:c r="M247" s="62" t="n">
        <x:f>L247+D247*('难度参数'!$E$49+'难度参数'!$E$50)/60</x:f>
        <x:v>4.166666666666667</x:v>
      </x:c>
      <x:c r="N247" s="119" t="n">
        <x:f>ROUNDDOWN(('经济参数'!$E$20+A247*'经济参数'!$E$21)*G247,0)</x:f>
        <x:v>5000</x:v>
      </x:c>
      <x:c r="O247" s="119" t="n">
        <x:f>ROUNDDOWN(MIN('经济参数'!$E$24,'经济参数'!$E$22+A247*'经济参数'!$E$23)*G247,0)</x:f>
        <x:v>0</x:v>
      </x:c>
      <x:c r="P247" s="119" t="n">
        <x:f>ROUNDDOWN((IF(A247&gt;='材料与任务'!$E$31,'材料与任务'!$E$32,IF(A247&gt;='材料与任务'!$E$25,'材料与任务'!$E$26,IF(A247&gt;='材料与任务'!$E$19,'材料与任务'!$E$20,IF(A247&gt;='材料与任务'!$E$13,'材料与任务'!$E$14,'材料与任务'!$E$8)))))*G247,0)</x:f>
        <x:v>6</x:v>
      </x:c>
      <x:c r="Q247" s="119" t="n">
        <x:f>ROUNDDOWN((IF(A247&gt;='材料与任务'!$E$31,'材料与任务'!$E$33,IF(A247&gt;='材料与任务'!$E$25,'材料与任务'!$E$27,IF(A247&gt;='材料与任务'!$E$19,'材料与任务'!$E$21,IF(A247&gt;='材料与任务'!$E$13,'材料与任务'!$E$15,'材料与任务'!$E$9)))))*G247,0)</x:f>
        <x:v>3</x:v>
      </x:c>
      <x:c r="R247" s="110" t="n">
        <x:f>'装备掉落'!$B$38</x:f>
        <x:v>0.6872058758851213</x:v>
      </x:c>
      <x:c r="S247" s="119" t="n">
        <x:f>MAX(IF(VLOOKUP(A247,'装备掉落'!$A$29:$H$34,2,TRUE)&gt;0,1,0),IF(VLOOKUP(A247,'装备掉落'!$A$29:$H$34,3,TRUE)&gt;0,2,0),IF(VLOOKUP(A247,'装备掉落'!$A$29:$H$34,4,TRUE)&gt;0,3,0),IF(VLOOKUP(A247,'装备掉落'!$A$29:$H$34,5,TRUE)&gt;0,4,0),IF(VLOOKUP(A247,'装备掉落'!$A$29:$H$34,6,TRUE)&gt;0,5,0),IF(VLOOKUP(A247,'装备掉落'!$A$29:$H$34,7,TRUE)&gt;0,6,0),IF(VLOOKUP(A247,'装备掉落'!$A$29:$H$34,8,TRUE)&gt;0,7,0))</x:f>
        <x:v>7</x:v>
      </x:c>
      <x:c r="T247" s="119" t="n">
        <x:f>MIN(7,S247+'经济参数'!$E$70)</x:f>
        <x:v>7</x:v>
      </x:c>
      <x:c r="U247" s="119" t="n">
        <x:f>MIN(7,S247+'经济参数'!$E$71)</x:f>
        <x:v>7</x:v>
      </x:c>
      <x:c r="V247" s="119" t="n">
        <x:f>IF(H247&gt;=('难度参数'!$E$52),1,0)+IF(H247&gt;=('难度参数'!$E$52+'难度参数'!$E$53),1,0)+IF(H247&gt;=('难度参数'!$E$52+'难度参数'!$E$53+'难度参数'!$E$54),1,0)+IF(H247&gt;=('难度参数'!$E$52+'难度参数'!$E$53+'难度参数'!$E$54+'难度参数'!$E$55),1,0)+IF(H247&gt;=('难度参数'!$E$52+'难度参数'!$E$53+'难度参数'!$E$54+'难度参数'!$E$55+'难度参数'!$E$56),1,0)+IF(H247&gt;=('难度参数'!$E$52+'难度参数'!$E$53+'难度参数'!$E$54+'难度参数'!$E$55+'难度参数'!$E$56+'难度参数'!$E$57),1,0)</x:f>
        <x:v>6</x:v>
      </x:c>
      <x:c r="W247" s="62" t="str">
        <x:f>IF(L247&gt;'难度参数'!$E$51,"仅出怪已超目标","还需实测")</x:f>
        <x:v>还需实测</x:v>
      </x:c>
      <x:c r="X247" s="119" t="n">
        <x:f>IF(1&gt;D247,0,MAX(2,MIN('难度参数'!$E$12,ROUND(('难度参数'!$E$18*POWER(A247,'难度参数'!$E$19)/D247*(0.85+0.3*(1-1)/MAX(1,D247-1))),0)+F247)))</x:f>
        <x:v>27</x:v>
      </x:c>
      <x:c r="Y247" s="119" t="n">
        <x:f>IF(1&gt;D247,0,ROUND(('难度参数'!$E$13*POWER(A247,'难度参数'!$E$20)*MIN('难度参数'!$E$23,1+MAX(0,A247-'难度参数'!$E$21)*'难度参数'!$E$22))*(36+1*7)/(36+7*(D247+1)/2)*E247,0))</x:f>
        <x:v>4706</x:v>
      </x:c>
      <x:c r="Z247" s="119" t="n">
        <x:f>IF(X247=0,0,(X247-IF(1=D247,1,0))*ROUND(Y247*VLOOKUP(INDEX('章节与怪物'!$E$31:$K$37,B247,1),'章节与怪物'!$A$41:$F$44,2,FALSE),0)+IF(1=D247,ROUND(Y247*'难度参数'!$E$28*'章节与怪物'!$E$17,0),0))</x:f>
        <x:v>127062</x:v>
      </x:c>
      <x:c r="AA247" s="119" t="n">
        <x:f>IF(X247=0,0,(X247-IF(1=D247,1,0))*VLOOKUP(INDEX('章节与怪物'!$E$31:$K$37,B247,1),'章节与怪物'!$A$41:$F$44,4,FALSE)+IF(1=D247,'难度参数'!$E$30,0))</x:f>
        <x:v>486</x:v>
      </x:c>
      <x:c r="AB247" s="119" t="n">
        <x:f>IF(2&gt;D247,0,MAX(2,MIN('难度参数'!$E$12,ROUND(('难度参数'!$E$18*POWER(A247,'难度参数'!$E$19)/D247*(0.85+0.3*(2-1)/MAX(1,D247-1))),0)+F247)))</x:f>
        <x:v>29</x:v>
      </x:c>
      <x:c r="AC247" s="119" t="n">
        <x:f>IF(2&gt;D247,0,ROUND(('难度参数'!$E$13*POWER(A247,'难度参数'!$E$20)*MIN('难度参数'!$E$23,1+MAX(0,A247-'难度参数'!$E$21)*'难度参数'!$E$22))*(36+2*7)/(36+7*(D247+1)/2)*E247,0))</x:f>
        <x:v>5472</x:v>
      </x:c>
      <x:c r="AD247" s="119" t="n">
        <x:f>IF(AB247=0,0,(AB247-IF(2=D247,1,0))*ROUND(AC247*VLOOKUP(INDEX('章节与怪物'!$E$31:$K$37,B247,2),'章节与怪物'!$A$41:$F$44,2,FALSE),0)+IF(2=D247,ROUND(AC247*'难度参数'!$E$28*'章节与怪物'!$E$17,0),0))</x:f>
        <x:v>114260</x:v>
      </x:c>
      <x:c r="AE247" s="119" t="n">
        <x:f>IF(AB247=0,0,(AB247-IF(2=D247,1,0))*VLOOKUP(INDEX('章节与怪物'!$E$31:$K$37,B247,2),'章节与怪物'!$A$41:$F$44,4,FALSE)+IF(2=D247,'难度参数'!$E$30,0))</x:f>
        <x:v>580</x:v>
      </x:c>
      <x:c r="AF247" s="119" t="n">
        <x:f>IF(3&gt;D247,0,MAX(2,MIN('难度参数'!$E$12,ROUND(('难度参数'!$E$18*POWER(A247,'难度参数'!$E$19)/D247*(0.85+0.3*(3-1)/MAX(1,D247-1))),0)+F247)))</x:f>
        <x:v>31</x:v>
      </x:c>
      <x:c r="AG247" s="119" t="n">
        <x:f>IF(3&gt;D247,0,ROUND(('难度参数'!$E$13*POWER(A247,'难度参数'!$E$20)*MIN('难度参数'!$E$23,1+MAX(0,A247-'难度参数'!$E$21)*'难度参数'!$E$22))*(36+3*7)/(36+7*(D247+1)/2)*E247,0))</x:f>
        <x:v>6239</x:v>
      </x:c>
      <x:c r="AH247" s="119" t="n">
        <x:f>IF(AF247=0,0,(AF247-IF(3=D247,1,0))*ROUND(AG247*VLOOKUP(INDEX('章节与怪物'!$E$31:$K$37,B247,3),'章节与怪物'!$A$41:$F$44,2,FALSE),0)+IF(3=D247,ROUND(AG247*'难度参数'!$E$28*'章节与怪物'!$E$17,0),0))</x:f>
        <x:v>328786</x:v>
      </x:c>
      <x:c r="AI247" s="119" t="n">
        <x:f>IF(AF247=0,0,(AF247-IF(3=D247,1,0))*VLOOKUP(INDEX('章节与怪物'!$E$31:$K$37,B247,3),'章节与怪物'!$A$41:$F$44,4,FALSE)+IF(3=D247,'难度参数'!$E$30,0))</x:f>
        <x:v>868</x:v>
      </x:c>
      <x:c r="AJ247" s="119" t="n">
        <x:f>IF(4&gt;D247,0,MAX(2,MIN('难度参数'!$E$12,ROUND(('难度参数'!$E$18*POWER(A247,'难度参数'!$E$19)/D247*(0.85+0.3*(4-1)/MAX(1,D247-1))),0)+F247)))</x:f>
        <x:v>32</x:v>
      </x:c>
      <x:c r="AK247" s="119" t="n">
        <x:f>IF(4&gt;D247,0,ROUND(('难度参数'!$E$13*POWER(A247,'难度参数'!$E$20)*MIN('难度参数'!$E$23,1+MAX(0,A247-'难度参数'!$E$21)*'难度参数'!$E$22))*(36+4*7)/(36+7*(D247+1)/2)*E247,0))</x:f>
        <x:v>7005</x:v>
      </x:c>
      <x:c r="AL247" s="119" t="n">
        <x:f>IF(AJ247=0,0,(AJ247-IF(4=D247,1,0))*ROUND(AK247*VLOOKUP(INDEX('章节与怪物'!$E$31:$K$37,B247,4),'章节与怪物'!$A$41:$F$44,2,FALSE),0)+IF(4=D247,ROUND(AK247*'难度参数'!$E$28*'章节与怪物'!$E$17,0),0))</x:f>
        <x:v>302624</x:v>
      </x:c>
      <x:c r="AM247" s="119" t="n">
        <x:f>IF(AJ247=0,0,(AJ247-IF(4=D247,1,0))*VLOOKUP(INDEX('章节与怪物'!$E$31:$K$37,B247,4),'章节与怪物'!$A$41:$F$44,4,FALSE)+IF(4=D247,'难度参数'!$E$30,0))</x:f>
        <x:v>1088</x:v>
      </x:c>
      <x:c r="AN247" s="119" t="n">
        <x:f>IF(5&gt;D247,0,MAX(2,MIN('难度参数'!$E$12,ROUND(('难度参数'!$E$18*POWER(A247,'难度参数'!$E$19)/D247*(0.85+0.3*(5-1)/MAX(1,D247-1))),0)+F247)))</x:f>
        <x:v>34</x:v>
      </x:c>
      <x:c r="AO247" s="119" t="n">
        <x:f>IF(5&gt;D247,0,ROUND(('难度参数'!$E$13*POWER(A247,'难度参数'!$E$20)*MIN('难度参数'!$E$23,1+MAX(0,A247-'难度参数'!$E$21)*'难度参数'!$E$22))*(36+5*7)/(36+7*(D247+1)/2)*E247,0))</x:f>
        <x:v>7771</x:v>
      </x:c>
      <x:c r="AP247" s="119" t="n">
        <x:f>IF(AN247=0,0,(AN247-IF(5=D247,1,0))*ROUND(AO247*VLOOKUP(INDEX('章节与怪物'!$E$31:$K$37,B247,5),'章节与怪物'!$A$41:$F$44,2,FALSE),0)+IF(5=D247,ROUND(AO247*'难度参数'!$E$28*'章节与怪物'!$E$17,0),0))</x:f>
        <x:v>190230</x:v>
      </x:c>
      <x:c r="AQ247" s="119" t="n">
        <x:f>IF(AN247=0,0,(AN247-IF(5=D247,1,0))*VLOOKUP(INDEX('章节与怪物'!$E$31:$K$37,B247,5),'章节与怪物'!$A$41:$F$44,4,FALSE)+IF(5=D247,'难度参数'!$E$30,0))</x:f>
        <x:v>680</x:v>
      </x:c>
      <x:c r="AR247" s="119" t="n">
        <x:f>IF(6&gt;D247,0,MAX(2,MIN('难度参数'!$E$12,ROUND(('难度参数'!$E$18*POWER(A247,'难度参数'!$E$19)/D247*(0.85+0.3*(6-1)/MAX(1,D247-1))),0)+F247)))</x:f>
        <x:v>35</x:v>
      </x:c>
      <x:c r="AS247" s="119" t="n">
        <x:f>IF(6&gt;D247,0,ROUND(('难度参数'!$E$13*POWER(A247,'难度参数'!$E$20)*MIN('难度参数'!$E$23,1+MAX(0,A247-'难度参数'!$E$21)*'难度参数'!$E$22))*(36+6*7)/(36+7*(D247+1)/2)*E247,0))</x:f>
        <x:v>8537</x:v>
      </x:c>
      <x:c r="AT247" s="119" t="n">
        <x:f>IF(AR247=0,0,(AR247-IF(6=D247,1,0))*ROUND(AS247*VLOOKUP(INDEX('章节与怪物'!$E$31:$K$37,B247,6),'章节与怪物'!$A$41:$F$44,2,FALSE),0)+IF(6=D247,ROUND(AS247*'难度参数'!$E$28*'章节与怪物'!$E$17,0),0))</x:f>
        <x:v>507955</x:v>
      </x:c>
      <x:c r="AU247" s="119" t="n">
        <x:f>IF(AR247=0,0,(AR247-IF(6=D247,1,0))*VLOOKUP(INDEX('章节与怪物'!$E$31:$K$37,B247,6),'章节与怪物'!$A$41:$F$44,4,FALSE)+IF(6=D247,'难度参数'!$E$30,0))</x:f>
        <x:v>980</x:v>
      </x:c>
      <x:c r="AV247" s="119" t="n">
        <x:f>IF(7&gt;D247,0,MAX(2,MIN('难度参数'!$E$12,ROUND(('难度参数'!$E$18*POWER(A247,'难度参数'!$E$19)/D247*(0.85+0.3*(7-1)/MAX(1,D247-1))),0)+F247)))</x:f>
        <x:v>37</x:v>
      </x:c>
      <x:c r="AW247" s="119" t="n">
        <x:f>IF(7&gt;D247,0,ROUND(('难度参数'!$E$13*POWER(A247,'难度参数'!$E$20)*MIN('难度参数'!$E$23,1+MAX(0,A247-'难度参数'!$E$21)*'难度参数'!$E$22))*(36+7*7)/(36+7*(D247+1)/2)*E247,0))</x:f>
        <x:v>9303</x:v>
      </x:c>
      <x:c r="AX247" s="119" t="n">
        <x:f>IF(AV247=0,0,(AV247-IF(7=D247,1,0))*ROUND(AW247*VLOOKUP(INDEX('章节与怪物'!$E$31:$K$37,B247,7),'章节与怪物'!$A$41:$F$44,2,FALSE),0)+IF(7=D247,ROUND(AW247*'难度参数'!$E$28*'章节与怪物'!$E$17,0),0))</x:f>
        <x:v>515384</x:v>
      </x:c>
      <x:c r="AY247" s="119" t="n">
        <x:f>IF(AV247=0,0,(AV247-IF(7=D247,1,0))*VLOOKUP(INDEX('章节与怪物'!$E$31:$K$37,B247,7),'章节与怪物'!$A$41:$F$44,4,FALSE)+IF(7=D247,'难度参数'!$E$30,0))</x:f>
        <x:v>1424</x:v>
      </x:c>
    </x:row>
    <x:row r="248" ht="23" customHeight="1">
      <x:c r="A248" s="119" t="n">
        <x:v>242</x:v>
      </x:c>
      <x:c r="B248" s="119" t="n">
        <x:f>MOD(INT((A248-1)/5),7)+1</x:f>
        <x:v>7</x:v>
      </x:c>
      <x:c r="C248" s="62" t="str">
        <x:f>INDEX('章节与怪物'!$B$31:$B$37,B248)</x:f>
        <x:v>魔法山脊</x:v>
      </x:c>
      <x:c r="D248" s="119" t="n">
        <x:f>MIN('难度参数'!$E$8,MAX('难度参数'!$E$7,A248))</x:f>
        <x:v>7</x:v>
      </x:c>
      <x:c r="E248" s="106" t="n">
        <x:v>1</x:v>
      </x:c>
      <x:c r="F248" s="106" t="n">
        <x:v>0</x:v>
      </x:c>
      <x:c r="G248" s="106" t="n">
        <x:v>1</x:v>
      </x:c>
      <x:c r="H248" s="119" t="n">
        <x:f>SUM(X248,AB248,AF248,AJ248,AN248,AR248,AV248)</x:f>
        <x:v>225</x:v>
      </x:c>
      <x:c r="I248" s="119" t="n">
        <x:f>SUM(Z248,AD248,AH248,AL248,AP248,AT248,AX248)</x:f>
        <x:v>2092491</x:v>
      </x:c>
      <x:c r="J248" s="119" t="n">
        <x:f>ROUND(INDEX(X248:AY248,1,(D248-1)*4+2)*'难度参数'!$E$28*'章节与怪物'!$E$17,0)</x:f>
        <x:v>63451</x:v>
      </x:c>
      <x:c r="K248" s="119" t="n">
        <x:f>SUM(AA248,AE248,AI248,AM248,AQ248,AU248,AY248)</x:f>
        <x:v>6106</x:v>
      </x:c>
      <x:c r="L248" s="62" t="n">
        <x:f>H248*(ROUNDUP('难度参数'!$E$24/('难度参数'!$E$26*'难度参数'!$E$27),0)*'难度参数'!$E$26)/60</x:f>
        <x:v>3</x:v>
      </x:c>
      <x:c r="M248" s="62" t="n">
        <x:f>L248+D248*('难度参数'!$E$49+'难度参数'!$E$50)/60</x:f>
        <x:v>4.166666666666667</x:v>
      </x:c>
      <x:c r="N248" s="119" t="n">
        <x:f>ROUNDDOWN(('经济参数'!$E$20+A248*'经济参数'!$E$21)*G248,0)</x:f>
        <x:v>5020</x:v>
      </x:c>
      <x:c r="O248" s="119" t="n">
        <x:f>ROUNDDOWN(MIN('经济参数'!$E$24,'经济参数'!$E$22+A248*'经济参数'!$E$23)*G248,0)</x:f>
        <x:v>0</x:v>
      </x:c>
      <x:c r="P248" s="119" t="n">
        <x:f>ROUNDDOWN((IF(A248&gt;='材料与任务'!$E$31,'材料与任务'!$E$32,IF(A248&gt;='材料与任务'!$E$25,'材料与任务'!$E$26,IF(A248&gt;='材料与任务'!$E$19,'材料与任务'!$E$20,IF(A248&gt;='材料与任务'!$E$13,'材料与任务'!$E$14,'材料与任务'!$E$8)))))*G248,0)</x:f>
        <x:v>6</x:v>
      </x:c>
      <x:c r="Q248" s="119" t="n">
        <x:f>ROUNDDOWN((IF(A248&gt;='材料与任务'!$E$31,'材料与任务'!$E$33,IF(A248&gt;='材料与任务'!$E$25,'材料与任务'!$E$27,IF(A248&gt;='材料与任务'!$E$19,'材料与任务'!$E$21,IF(A248&gt;='材料与任务'!$E$13,'材料与任务'!$E$15,'材料与任务'!$E$9)))))*G248,0)</x:f>
        <x:v>3</x:v>
      </x:c>
      <x:c r="R248" s="110" t="n">
        <x:f>'装备掉落'!$B$38</x:f>
        <x:v>0.6872058758851213</x:v>
      </x:c>
      <x:c r="S248" s="119" t="n">
        <x:f>MAX(IF(VLOOKUP(A248,'装备掉落'!$A$29:$H$34,2,TRUE)&gt;0,1,0),IF(VLOOKUP(A248,'装备掉落'!$A$29:$H$34,3,TRUE)&gt;0,2,0),IF(VLOOKUP(A248,'装备掉落'!$A$29:$H$34,4,TRUE)&gt;0,3,0),IF(VLOOKUP(A248,'装备掉落'!$A$29:$H$34,5,TRUE)&gt;0,4,0),IF(VLOOKUP(A248,'装备掉落'!$A$29:$H$34,6,TRUE)&gt;0,5,0),IF(VLOOKUP(A248,'装备掉落'!$A$29:$H$34,7,TRUE)&gt;0,6,0),IF(VLOOKUP(A248,'装备掉落'!$A$29:$H$34,8,TRUE)&gt;0,7,0))</x:f>
        <x:v>7</x:v>
      </x:c>
      <x:c r="T248" s="119" t="n">
        <x:f>MIN(7,S248+'经济参数'!$E$70)</x:f>
        <x:v>7</x:v>
      </x:c>
      <x:c r="U248" s="119" t="n">
        <x:f>MIN(7,S248+'经济参数'!$E$71)</x:f>
        <x:v>7</x:v>
      </x:c>
      <x:c r="V248" s="119" t="n">
        <x:f>IF(H248&gt;=('难度参数'!$E$52),1,0)+IF(H248&gt;=('难度参数'!$E$52+'难度参数'!$E$53),1,0)+IF(H248&gt;=('难度参数'!$E$52+'难度参数'!$E$53+'难度参数'!$E$54),1,0)+IF(H248&gt;=('难度参数'!$E$52+'难度参数'!$E$53+'难度参数'!$E$54+'难度参数'!$E$55),1,0)+IF(H248&gt;=('难度参数'!$E$52+'难度参数'!$E$53+'难度参数'!$E$54+'难度参数'!$E$55+'难度参数'!$E$56),1,0)+IF(H248&gt;=('难度参数'!$E$52+'难度参数'!$E$53+'难度参数'!$E$54+'难度参数'!$E$55+'难度参数'!$E$56+'难度参数'!$E$57),1,0)</x:f>
        <x:v>6</x:v>
      </x:c>
      <x:c r="W248" s="62" t="str">
        <x:f>IF(L248&gt;'难度参数'!$E$51,"仅出怪已超目标","还需实测")</x:f>
        <x:v>还需实测</x:v>
      </x:c>
      <x:c r="X248" s="119" t="n">
        <x:f>IF(1&gt;D248,0,MAX(2,MIN('难度参数'!$E$12,ROUND(('难度参数'!$E$18*POWER(A248,'难度参数'!$E$19)/D248*(0.85+0.3*(1-1)/MAX(1,D248-1))),0)+F248)))</x:f>
        <x:v>27</x:v>
      </x:c>
      <x:c r="Y248" s="119" t="n">
        <x:f>IF(1&gt;D248,0,ROUND(('难度参数'!$E$13*POWER(A248,'难度参数'!$E$20)*MIN('难度参数'!$E$23,1+MAX(0,A248-'难度参数'!$E$21)*'难度参数'!$E$22))*(36+1*7)/(36+7*(D248+1)/2)*E248,0))</x:f>
        <x:v>4720</x:v>
      </x:c>
      <x:c r="Z248" s="119" t="n">
        <x:f>IF(X248=0,0,(X248-IF(1=D248,1,0))*ROUND(Y248*VLOOKUP(INDEX('章节与怪物'!$E$31:$K$37,B248,1),'章节与怪物'!$A$41:$F$44,2,FALSE),0)+IF(1=D248,ROUND(Y248*'难度参数'!$E$28*'章节与怪物'!$E$17,0),0))</x:f>
        <x:v>127440</x:v>
      </x:c>
      <x:c r="AA248" s="119" t="n">
        <x:f>IF(X248=0,0,(X248-IF(1=D248,1,0))*VLOOKUP(INDEX('章节与怪物'!$E$31:$K$37,B248,1),'章节与怪物'!$A$41:$F$44,4,FALSE)+IF(1=D248,'难度参数'!$E$30,0))</x:f>
        <x:v>486</x:v>
      </x:c>
      <x:c r="AB248" s="119" t="n">
        <x:f>IF(2&gt;D248,0,MAX(2,MIN('难度参数'!$E$12,ROUND(('难度参数'!$E$18*POWER(A248,'难度参数'!$E$19)/D248*(0.85+0.3*(2-1)/MAX(1,D248-1))),0)+F248)))</x:f>
        <x:v>29</x:v>
      </x:c>
      <x:c r="AC248" s="119" t="n">
        <x:f>IF(2&gt;D248,0,ROUND(('难度参数'!$E$13*POWER(A248,'难度参数'!$E$20)*MIN('难度参数'!$E$23,1+MAX(0,A248-'难度参数'!$E$21)*'难度参数'!$E$22))*(36+2*7)/(36+7*(D248+1)/2)*E248,0))</x:f>
        <x:v>5489</x:v>
      </x:c>
      <x:c r="AD248" s="119" t="n">
        <x:f>IF(AB248=0,0,(AB248-IF(2=D248,1,0))*ROUND(AC248*VLOOKUP(INDEX('章节与怪物'!$E$31:$K$37,B248,2),'章节与怪物'!$A$41:$F$44,2,FALSE),0)+IF(2=D248,ROUND(AC248*'难度参数'!$E$28*'章节与怪物'!$E$17,0),0))</x:f>
        <x:v>114608</x:v>
      </x:c>
      <x:c r="AE248" s="119" t="n">
        <x:f>IF(AB248=0,0,(AB248-IF(2=D248,1,0))*VLOOKUP(INDEX('章节与怪物'!$E$31:$K$37,B248,2),'章节与怪物'!$A$41:$F$44,4,FALSE)+IF(2=D248,'难度参数'!$E$30,0))</x:f>
        <x:v>580</x:v>
      </x:c>
      <x:c r="AF248" s="119" t="n">
        <x:f>IF(3&gt;D248,0,MAX(2,MIN('难度参数'!$E$12,ROUND(('难度参数'!$E$18*POWER(A248,'难度参数'!$E$19)/D248*(0.85+0.3*(3-1)/MAX(1,D248-1))),0)+F248)))</x:f>
        <x:v>31</x:v>
      </x:c>
      <x:c r="AG248" s="119" t="n">
        <x:f>IF(3&gt;D248,0,ROUND(('难度参数'!$E$13*POWER(A248,'难度参数'!$E$20)*MIN('难度参数'!$E$23,1+MAX(0,A248-'难度参数'!$E$21)*'难度参数'!$E$22))*(36+3*7)/(36+7*(D248+1)/2)*E248,0))</x:f>
        <x:v>6257</x:v>
      </x:c>
      <x:c r="AH248" s="119" t="n">
        <x:f>IF(AF248=0,0,(AF248-IF(3=D248,1,0))*ROUND(AG248*VLOOKUP(INDEX('章节与怪物'!$E$31:$K$37,B248,3),'章节与怪物'!$A$41:$F$44,2,FALSE),0)+IF(3=D248,ROUND(AG248*'难度参数'!$E$28*'章节与怪物'!$E$17,0),0))</x:f>
        <x:v>329747</x:v>
      </x:c>
      <x:c r="AI248" s="119" t="n">
        <x:f>IF(AF248=0,0,(AF248-IF(3=D248,1,0))*VLOOKUP(INDEX('章节与怪物'!$E$31:$K$37,B248,3),'章节与怪物'!$A$41:$F$44,4,FALSE)+IF(3=D248,'难度参数'!$E$30,0))</x:f>
        <x:v>868</x:v>
      </x:c>
      <x:c r="AJ248" s="119" t="n">
        <x:f>IF(4&gt;D248,0,MAX(2,MIN('难度参数'!$E$12,ROUND(('难度参数'!$E$18*POWER(A248,'难度参数'!$E$19)/D248*(0.85+0.3*(4-1)/MAX(1,D248-1))),0)+F248)))</x:f>
        <x:v>32</x:v>
      </x:c>
      <x:c r="AK248" s="119" t="n">
        <x:f>IF(4&gt;D248,0,ROUND(('难度参数'!$E$13*POWER(A248,'难度参数'!$E$20)*MIN('难度参数'!$E$23,1+MAX(0,A248-'难度参数'!$E$21)*'难度参数'!$E$22))*(36+4*7)/(36+7*(D248+1)/2)*E248,0))</x:f>
        <x:v>7026</x:v>
      </x:c>
      <x:c r="AL248" s="119" t="n">
        <x:f>IF(AJ248=0,0,(AJ248-IF(4=D248,1,0))*ROUND(AK248*VLOOKUP(INDEX('章节与怪物'!$E$31:$K$37,B248,4),'章节与怪物'!$A$41:$F$44,2,FALSE),0)+IF(4=D248,ROUND(AK248*'难度参数'!$E$28*'章节与怪物'!$E$17,0),0))</x:f>
        <x:v>303520</x:v>
      </x:c>
      <x:c r="AM248" s="119" t="n">
        <x:f>IF(AJ248=0,0,(AJ248-IF(4=D248,1,0))*VLOOKUP(INDEX('章节与怪物'!$E$31:$K$37,B248,4),'章节与怪物'!$A$41:$F$44,4,FALSE)+IF(4=D248,'难度参数'!$E$30,0))</x:f>
        <x:v>1088</x:v>
      </x:c>
      <x:c r="AN248" s="119" t="n">
        <x:f>IF(5&gt;D248,0,MAX(2,MIN('难度参数'!$E$12,ROUND(('难度参数'!$E$18*POWER(A248,'难度参数'!$E$19)/D248*(0.85+0.3*(5-1)/MAX(1,D248-1))),0)+F248)))</x:f>
        <x:v>34</x:v>
      </x:c>
      <x:c r="AO248" s="119" t="n">
        <x:f>IF(5&gt;D248,0,ROUND(('难度参数'!$E$13*POWER(A248,'难度参数'!$E$20)*MIN('难度参数'!$E$23,1+MAX(0,A248-'难度参数'!$E$21)*'难度参数'!$E$22))*(36+5*7)/(36+7*(D248+1)/2)*E248,0))</x:f>
        <x:v>7794</x:v>
      </x:c>
      <x:c r="AP248" s="119" t="n">
        <x:f>IF(AN248=0,0,(AN248-IF(5=D248,1,0))*ROUND(AO248*VLOOKUP(INDEX('章节与怪物'!$E$31:$K$37,B248,5),'章节与怪物'!$A$41:$F$44,2,FALSE),0)+IF(5=D248,ROUND(AO248*'难度参数'!$E$28*'章节与怪物'!$E$17,0),0))</x:f>
        <x:v>190808</x:v>
      </x:c>
      <x:c r="AQ248" s="119" t="n">
        <x:f>IF(AN248=0,0,(AN248-IF(5=D248,1,0))*VLOOKUP(INDEX('章节与怪物'!$E$31:$K$37,B248,5),'章节与怪物'!$A$41:$F$44,4,FALSE)+IF(5=D248,'难度参数'!$E$30,0))</x:f>
        <x:v>680</x:v>
      </x:c>
      <x:c r="AR248" s="119" t="n">
        <x:f>IF(6&gt;D248,0,MAX(2,MIN('难度参数'!$E$12,ROUND(('难度参数'!$E$18*POWER(A248,'难度参数'!$E$19)/D248*(0.85+0.3*(6-1)/MAX(1,D248-1))),0)+F248)))</x:f>
        <x:v>35</x:v>
      </x:c>
      <x:c r="AS248" s="119" t="n">
        <x:f>IF(6&gt;D248,0,ROUND(('难度参数'!$E$13*POWER(A248,'难度参数'!$E$20)*MIN('难度参数'!$E$23,1+MAX(0,A248-'难度参数'!$E$21)*'难度参数'!$E$22))*(36+6*7)/(36+7*(D248+1)/2)*E248,0))</x:f>
        <x:v>8562</x:v>
      </x:c>
      <x:c r="AT248" s="119" t="n">
        <x:f>IF(AR248=0,0,(AR248-IF(6=D248,1,0))*ROUND(AS248*VLOOKUP(INDEX('章节与怪物'!$E$31:$K$37,B248,6),'章节与怪物'!$A$41:$F$44,2,FALSE),0)+IF(6=D248,ROUND(AS248*'难度参数'!$E$28*'章节与怪物'!$E$17,0),0))</x:f>
        <x:v>509425</x:v>
      </x:c>
      <x:c r="AU248" s="119" t="n">
        <x:f>IF(AR248=0,0,(AR248-IF(6=D248,1,0))*VLOOKUP(INDEX('章节与怪物'!$E$31:$K$37,B248,6),'章节与怪物'!$A$41:$F$44,4,FALSE)+IF(6=D248,'难度参数'!$E$30,0))</x:f>
        <x:v>980</x:v>
      </x:c>
      <x:c r="AV248" s="119" t="n">
        <x:f>IF(7&gt;D248,0,MAX(2,MIN('难度参数'!$E$12,ROUND(('难度参数'!$E$18*POWER(A248,'难度参数'!$E$19)/D248*(0.85+0.3*(7-1)/MAX(1,D248-1))),0)+F248)))</x:f>
        <x:v>37</x:v>
      </x:c>
      <x:c r="AW248" s="119" t="n">
        <x:f>IF(7&gt;D248,0,ROUND(('难度参数'!$E$13*POWER(A248,'难度参数'!$E$20)*MIN('难度参数'!$E$23,1+MAX(0,A248-'难度参数'!$E$21)*'难度参数'!$E$22))*(36+7*7)/(36+7*(D248+1)/2)*E248,0))</x:f>
        <x:v>9331</x:v>
      </x:c>
      <x:c r="AX248" s="119" t="n">
        <x:f>IF(AV248=0,0,(AV248-IF(7=D248,1,0))*ROUND(AW248*VLOOKUP(INDEX('章节与怪物'!$E$31:$K$37,B248,7),'章节与怪物'!$A$41:$F$44,2,FALSE),0)+IF(7=D248,ROUND(AW248*'难度参数'!$E$28*'章节与怪物'!$E$17,0),0))</x:f>
        <x:v>516943</x:v>
      </x:c>
      <x:c r="AY248" s="119" t="n">
        <x:f>IF(AV248=0,0,(AV248-IF(7=D248,1,0))*VLOOKUP(INDEX('章节与怪物'!$E$31:$K$37,B248,7),'章节与怪物'!$A$41:$F$44,4,FALSE)+IF(7=D248,'难度参数'!$E$30,0))</x:f>
        <x:v>1424</x:v>
      </x:c>
    </x:row>
    <x:row r="249" ht="23" customHeight="1">
      <x:c r="A249" s="119" t="n">
        <x:v>243</x:v>
      </x:c>
      <x:c r="B249" s="119" t="n">
        <x:f>MOD(INT((A249-1)/5),7)+1</x:f>
        <x:v>7</x:v>
      </x:c>
      <x:c r="C249" s="62" t="str">
        <x:f>INDEX('章节与怪物'!$B$31:$B$37,B249)</x:f>
        <x:v>魔法山脊</x:v>
      </x:c>
      <x:c r="D249" s="119" t="n">
        <x:f>MIN('难度参数'!$E$8,MAX('难度参数'!$E$7,A249))</x:f>
        <x:v>7</x:v>
      </x:c>
      <x:c r="E249" s="106" t="n">
        <x:v>1</x:v>
      </x:c>
      <x:c r="F249" s="106" t="n">
        <x:v>0</x:v>
      </x:c>
      <x:c r="G249" s="106" t="n">
        <x:v>1</x:v>
      </x:c>
      <x:c r="H249" s="119" t="n">
        <x:f>SUM(X249,AB249,AF249,AJ249,AN249,AR249,AV249)</x:f>
        <x:v>225</x:v>
      </x:c>
      <x:c r="I249" s="119" t="n">
        <x:f>SUM(Z249,AD249,AH249,AL249,AP249,AT249,AX249)</x:f>
        <x:v>2098750</x:v>
      </x:c>
      <x:c r="J249" s="119" t="n">
        <x:f>ROUND(INDEX(X249:AY249,1,(D249-1)*4+2)*'难度参数'!$E$28*'章节与怪物'!$E$17,0)</x:f>
        <x:v>63641</x:v>
      </x:c>
      <x:c r="K249" s="119" t="n">
        <x:f>SUM(AA249,AE249,AI249,AM249,AQ249,AU249,AY249)</x:f>
        <x:v>6106</x:v>
      </x:c>
      <x:c r="L249" s="62" t="n">
        <x:f>H249*(ROUNDUP('难度参数'!$E$24/('难度参数'!$E$26*'难度参数'!$E$27),0)*'难度参数'!$E$26)/60</x:f>
        <x:v>3</x:v>
      </x:c>
      <x:c r="M249" s="62" t="n">
        <x:f>L249+D249*('难度参数'!$E$49+'难度参数'!$E$50)/60</x:f>
        <x:v>4.166666666666667</x:v>
      </x:c>
      <x:c r="N249" s="119" t="n">
        <x:f>ROUNDDOWN(('经济参数'!$E$20+A249*'经济参数'!$E$21)*G249,0)</x:f>
        <x:v>5040</x:v>
      </x:c>
      <x:c r="O249" s="119" t="n">
        <x:f>ROUNDDOWN(MIN('经济参数'!$E$24,'经济参数'!$E$22+A249*'经济参数'!$E$23)*G249,0)</x:f>
        <x:v>0</x:v>
      </x:c>
      <x:c r="P249" s="119" t="n">
        <x:f>ROUNDDOWN((IF(A249&gt;='材料与任务'!$E$31,'材料与任务'!$E$32,IF(A249&gt;='材料与任务'!$E$25,'材料与任务'!$E$26,IF(A249&gt;='材料与任务'!$E$19,'材料与任务'!$E$20,IF(A249&gt;='材料与任务'!$E$13,'材料与任务'!$E$14,'材料与任务'!$E$8)))))*G249,0)</x:f>
        <x:v>6</x:v>
      </x:c>
      <x:c r="Q249" s="119" t="n">
        <x:f>ROUNDDOWN((IF(A249&gt;='材料与任务'!$E$31,'材料与任务'!$E$33,IF(A249&gt;='材料与任务'!$E$25,'材料与任务'!$E$27,IF(A249&gt;='材料与任务'!$E$19,'材料与任务'!$E$21,IF(A249&gt;='材料与任务'!$E$13,'材料与任务'!$E$15,'材料与任务'!$E$9)))))*G249,0)</x:f>
        <x:v>3</x:v>
      </x:c>
      <x:c r="R249" s="110" t="n">
        <x:f>'装备掉落'!$B$38</x:f>
        <x:v>0.6872058758851213</x:v>
      </x:c>
      <x:c r="S249" s="119" t="n">
        <x:f>MAX(IF(VLOOKUP(A249,'装备掉落'!$A$29:$H$34,2,TRUE)&gt;0,1,0),IF(VLOOKUP(A249,'装备掉落'!$A$29:$H$34,3,TRUE)&gt;0,2,0),IF(VLOOKUP(A249,'装备掉落'!$A$29:$H$34,4,TRUE)&gt;0,3,0),IF(VLOOKUP(A249,'装备掉落'!$A$29:$H$34,5,TRUE)&gt;0,4,0),IF(VLOOKUP(A249,'装备掉落'!$A$29:$H$34,6,TRUE)&gt;0,5,0),IF(VLOOKUP(A249,'装备掉落'!$A$29:$H$34,7,TRUE)&gt;0,6,0),IF(VLOOKUP(A249,'装备掉落'!$A$29:$H$34,8,TRUE)&gt;0,7,0))</x:f>
        <x:v>7</x:v>
      </x:c>
      <x:c r="T249" s="119" t="n">
        <x:f>MIN(7,S249+'经济参数'!$E$70)</x:f>
        <x:v>7</x:v>
      </x:c>
      <x:c r="U249" s="119" t="n">
        <x:f>MIN(7,S249+'经济参数'!$E$71)</x:f>
        <x:v>7</x:v>
      </x:c>
      <x:c r="V249" s="119" t="n">
        <x:f>IF(H249&gt;=('难度参数'!$E$52),1,0)+IF(H249&gt;=('难度参数'!$E$52+'难度参数'!$E$53),1,0)+IF(H249&gt;=('难度参数'!$E$52+'难度参数'!$E$53+'难度参数'!$E$54),1,0)+IF(H249&gt;=('难度参数'!$E$52+'难度参数'!$E$53+'难度参数'!$E$54+'难度参数'!$E$55),1,0)+IF(H249&gt;=('难度参数'!$E$52+'难度参数'!$E$53+'难度参数'!$E$54+'难度参数'!$E$55+'难度参数'!$E$56),1,0)+IF(H249&gt;=('难度参数'!$E$52+'难度参数'!$E$53+'难度参数'!$E$54+'难度参数'!$E$55+'难度参数'!$E$56+'难度参数'!$E$57),1,0)</x:f>
        <x:v>6</x:v>
      </x:c>
      <x:c r="W249" s="62" t="str">
        <x:f>IF(L249&gt;'难度参数'!$E$51,"仅出怪已超目标","还需实测")</x:f>
        <x:v>还需实测</x:v>
      </x:c>
      <x:c r="X249" s="119" t="n">
        <x:f>IF(1&gt;D249,0,MAX(2,MIN('难度参数'!$E$12,ROUND(('难度参数'!$E$18*POWER(A249,'难度参数'!$E$19)/D249*(0.85+0.3*(1-1)/MAX(1,D249-1))),0)+F249)))</x:f>
        <x:v>27</x:v>
      </x:c>
      <x:c r="Y249" s="119" t="n">
        <x:f>IF(1&gt;D249,0,ROUND(('难度参数'!$E$13*POWER(A249,'难度参数'!$E$20)*MIN('难度参数'!$E$23,1+MAX(0,A249-'难度参数'!$E$21)*'难度参数'!$E$22))*(36+1*7)/(36+7*(D249+1)/2)*E249,0))</x:f>
        <x:v>4734</x:v>
      </x:c>
      <x:c r="Z249" s="119" t="n">
        <x:f>IF(X249=0,0,(X249-IF(1=D249,1,0))*ROUND(Y249*VLOOKUP(INDEX('章节与怪物'!$E$31:$K$37,B249,1),'章节与怪物'!$A$41:$F$44,2,FALSE),0)+IF(1=D249,ROUND(Y249*'难度参数'!$E$28*'章节与怪物'!$E$17,0),0))</x:f>
        <x:v>127818</x:v>
      </x:c>
      <x:c r="AA249" s="119" t="n">
        <x:f>IF(X249=0,0,(X249-IF(1=D249,1,0))*VLOOKUP(INDEX('章节与怪物'!$E$31:$K$37,B249,1),'章节与怪物'!$A$41:$F$44,4,FALSE)+IF(1=D249,'难度参数'!$E$30,0))</x:f>
        <x:v>486</x:v>
      </x:c>
      <x:c r="AB249" s="119" t="n">
        <x:f>IF(2&gt;D249,0,MAX(2,MIN('难度参数'!$E$12,ROUND(('难度参数'!$E$18*POWER(A249,'难度参数'!$E$19)/D249*(0.85+0.3*(2-1)/MAX(1,D249-1))),0)+F249)))</x:f>
        <x:v>29</x:v>
      </x:c>
      <x:c r="AC249" s="119" t="n">
        <x:f>IF(2&gt;D249,0,ROUND(('难度参数'!$E$13*POWER(A249,'难度参数'!$E$20)*MIN('难度参数'!$E$23,1+MAX(0,A249-'难度参数'!$E$21)*'难度参数'!$E$22))*(36+2*7)/(36+7*(D249+1)/2)*E249,0))</x:f>
        <x:v>5505</x:v>
      </x:c>
      <x:c r="AD249" s="119" t="n">
        <x:f>IF(AB249=0,0,(AB249-IF(2=D249,1,0))*ROUND(AC249*VLOOKUP(INDEX('章节与怪物'!$E$31:$K$37,B249,2),'章节与怪物'!$A$41:$F$44,2,FALSE),0)+IF(2=D249,ROUND(AC249*'难度参数'!$E$28*'章节与怪物'!$E$17,0),0))</x:f>
        <x:v>114956</x:v>
      </x:c>
      <x:c r="AE249" s="119" t="n">
        <x:f>IF(AB249=0,0,(AB249-IF(2=D249,1,0))*VLOOKUP(INDEX('章节与怪物'!$E$31:$K$37,B249,2),'章节与怪物'!$A$41:$F$44,4,FALSE)+IF(2=D249,'难度参数'!$E$30,0))</x:f>
        <x:v>580</x:v>
      </x:c>
      <x:c r="AF249" s="119" t="n">
        <x:f>IF(3&gt;D249,0,MAX(2,MIN('难度参数'!$E$12,ROUND(('难度参数'!$E$18*POWER(A249,'难度参数'!$E$19)/D249*(0.85+0.3*(3-1)/MAX(1,D249-1))),0)+F249)))</x:f>
        <x:v>31</x:v>
      </x:c>
      <x:c r="AG249" s="119" t="n">
        <x:f>IF(3&gt;D249,0,ROUND(('难度参数'!$E$13*POWER(A249,'难度参数'!$E$20)*MIN('难度参数'!$E$23,1+MAX(0,A249-'难度参数'!$E$21)*'难度参数'!$E$22))*(36+3*7)/(36+7*(D249+1)/2)*E249,0))</x:f>
        <x:v>6276</x:v>
      </x:c>
      <x:c r="AH249" s="119" t="n">
        <x:f>IF(AF249=0,0,(AF249-IF(3=D249,1,0))*ROUND(AG249*VLOOKUP(INDEX('章节与怪物'!$E$31:$K$37,B249,3),'章节与怪物'!$A$41:$F$44,2,FALSE),0)+IF(3=D249,ROUND(AG249*'难度参数'!$E$28*'章节与怪物'!$E$17,0),0))</x:f>
        <x:v>330739</x:v>
      </x:c>
      <x:c r="AI249" s="119" t="n">
        <x:f>IF(AF249=0,0,(AF249-IF(3=D249,1,0))*VLOOKUP(INDEX('章节与怪物'!$E$31:$K$37,B249,3),'章节与怪物'!$A$41:$F$44,4,FALSE)+IF(3=D249,'难度参数'!$E$30,0))</x:f>
        <x:v>868</x:v>
      </x:c>
      <x:c r="AJ249" s="119" t="n">
        <x:f>IF(4&gt;D249,0,MAX(2,MIN('难度参数'!$E$12,ROUND(('难度参数'!$E$18*POWER(A249,'难度参数'!$E$19)/D249*(0.85+0.3*(4-1)/MAX(1,D249-1))),0)+F249)))</x:f>
        <x:v>32</x:v>
      </x:c>
      <x:c r="AK249" s="119" t="n">
        <x:f>IF(4&gt;D249,0,ROUND(('难度参数'!$E$13*POWER(A249,'难度参数'!$E$20)*MIN('难度参数'!$E$23,1+MAX(0,A249-'难度参数'!$E$21)*'难度参数'!$E$22))*(36+4*7)/(36+7*(D249+1)/2)*E249,0))</x:f>
        <x:v>7046</x:v>
      </x:c>
      <x:c r="AL249" s="119" t="n">
        <x:f>IF(AJ249=0,0,(AJ249-IF(4=D249,1,0))*ROUND(AK249*VLOOKUP(INDEX('章节与怪物'!$E$31:$K$37,B249,4),'章节与怪物'!$A$41:$F$44,2,FALSE),0)+IF(4=D249,ROUND(AK249*'难度参数'!$E$28*'章节与怪物'!$E$17,0),0))</x:f>
        <x:v>304384</x:v>
      </x:c>
      <x:c r="AM249" s="119" t="n">
        <x:f>IF(AJ249=0,0,(AJ249-IF(4=D249,1,0))*VLOOKUP(INDEX('章节与怪物'!$E$31:$K$37,B249,4),'章节与怪物'!$A$41:$F$44,4,FALSE)+IF(4=D249,'难度参数'!$E$30,0))</x:f>
        <x:v>1088</x:v>
      </x:c>
      <x:c r="AN249" s="119" t="n">
        <x:f>IF(5&gt;D249,0,MAX(2,MIN('难度参数'!$E$12,ROUND(('难度参数'!$E$18*POWER(A249,'难度参数'!$E$19)/D249*(0.85+0.3*(5-1)/MAX(1,D249-1))),0)+F249)))</x:f>
        <x:v>34</x:v>
      </x:c>
      <x:c r="AO249" s="119" t="n">
        <x:f>IF(5&gt;D249,0,ROUND(('难度参数'!$E$13*POWER(A249,'难度参数'!$E$20)*MIN('难度参数'!$E$23,1+MAX(0,A249-'难度参数'!$E$21)*'难度参数'!$E$22))*(36+5*7)/(36+7*(D249+1)/2)*E249,0))</x:f>
        <x:v>7817</x:v>
      </x:c>
      <x:c r="AP249" s="119" t="n">
        <x:f>IF(AN249=0,0,(AN249-IF(5=D249,1,0))*ROUND(AO249*VLOOKUP(INDEX('章节与怪物'!$E$31:$K$37,B249,5),'章节与怪物'!$A$41:$F$44,2,FALSE),0)+IF(5=D249,ROUND(AO249*'难度参数'!$E$28*'章节与怪物'!$E$17,0),0))</x:f>
        <x:v>191352</x:v>
      </x:c>
      <x:c r="AQ249" s="119" t="n">
        <x:f>IF(AN249=0,0,(AN249-IF(5=D249,1,0))*VLOOKUP(INDEX('章节与怪物'!$E$31:$K$37,B249,5),'章节与怪物'!$A$41:$F$44,4,FALSE)+IF(5=D249,'难度参数'!$E$30,0))</x:f>
        <x:v>680</x:v>
      </x:c>
      <x:c r="AR249" s="119" t="n">
        <x:f>IF(6&gt;D249,0,MAX(2,MIN('难度参数'!$E$12,ROUND(('难度参数'!$E$18*POWER(A249,'难度参数'!$E$19)/D249*(0.85+0.3*(6-1)/MAX(1,D249-1))),0)+F249)))</x:f>
        <x:v>35</x:v>
      </x:c>
      <x:c r="AS249" s="119" t="n">
        <x:f>IF(6&gt;D249,0,ROUND(('难度参数'!$E$13*POWER(A249,'难度参数'!$E$20)*MIN('难度参数'!$E$23,1+MAX(0,A249-'难度参数'!$E$21)*'难度参数'!$E$22))*(36+6*7)/(36+7*(D249+1)/2)*E249,0))</x:f>
        <x:v>8588</x:v>
      </x:c>
      <x:c r="AT249" s="119" t="n">
        <x:f>IF(AR249=0,0,(AR249-IF(6=D249,1,0))*ROUND(AS249*VLOOKUP(INDEX('章节与怪物'!$E$31:$K$37,B249,6),'章节与怪物'!$A$41:$F$44,2,FALSE),0)+IF(6=D249,ROUND(AS249*'难度参数'!$E$28*'章节与怪物'!$E$17,0),0))</x:f>
        <x:v>511000</x:v>
      </x:c>
      <x:c r="AU249" s="119" t="n">
        <x:f>IF(AR249=0,0,(AR249-IF(6=D249,1,0))*VLOOKUP(INDEX('章节与怪物'!$E$31:$K$37,B249,6),'章节与怪物'!$A$41:$F$44,4,FALSE)+IF(6=D249,'难度参数'!$E$30,0))</x:f>
        <x:v>980</x:v>
      </x:c>
      <x:c r="AV249" s="119" t="n">
        <x:f>IF(7&gt;D249,0,MAX(2,MIN('难度参数'!$E$12,ROUND(('难度参数'!$E$18*POWER(A249,'难度参数'!$E$19)/D249*(0.85+0.3*(7-1)/MAX(1,D249-1))),0)+F249)))</x:f>
        <x:v>37</x:v>
      </x:c>
      <x:c r="AW249" s="119" t="n">
        <x:f>IF(7&gt;D249,0,ROUND(('难度参数'!$E$13*POWER(A249,'难度参数'!$E$20)*MIN('难度参数'!$E$23,1+MAX(0,A249-'难度参数'!$E$21)*'难度参数'!$E$22))*(36+7*7)/(36+7*(D249+1)/2)*E249,0))</x:f>
        <x:v>9359</x:v>
      </x:c>
      <x:c r="AX249" s="119" t="n">
        <x:f>IF(AV249=0,0,(AV249-IF(7=D249,1,0))*ROUND(AW249*VLOOKUP(INDEX('章节与怪物'!$E$31:$K$37,B249,7),'章节与怪物'!$A$41:$F$44,2,FALSE),0)+IF(7=D249,ROUND(AW249*'难度参数'!$E$28*'章节与怪物'!$E$17,0),0))</x:f>
        <x:v>518501</x:v>
      </x:c>
      <x:c r="AY249" s="119" t="n">
        <x:f>IF(AV249=0,0,(AV249-IF(7=D249,1,0))*VLOOKUP(INDEX('章节与怪物'!$E$31:$K$37,B249,7),'章节与怪物'!$A$41:$F$44,4,FALSE)+IF(7=D249,'难度参数'!$E$30,0))</x:f>
        <x:v>1424</x:v>
      </x:c>
    </x:row>
    <x:row r="250" ht="23" customHeight="1">
      <x:c r="A250" s="119" t="n">
        <x:v>244</x:v>
      </x:c>
      <x:c r="B250" s="119" t="n">
        <x:f>MOD(INT((A250-1)/5),7)+1</x:f>
        <x:v>7</x:v>
      </x:c>
      <x:c r="C250" s="62" t="str">
        <x:f>INDEX('章节与怪物'!$B$31:$B$37,B250)</x:f>
        <x:v>魔法山脊</x:v>
      </x:c>
      <x:c r="D250" s="119" t="n">
        <x:f>MIN('难度参数'!$E$8,MAX('难度参数'!$E$7,A250))</x:f>
        <x:v>7</x:v>
      </x:c>
      <x:c r="E250" s="106" t="n">
        <x:v>1</x:v>
      </x:c>
      <x:c r="F250" s="106" t="n">
        <x:v>0</x:v>
      </x:c>
      <x:c r="G250" s="106" t="n">
        <x:v>1</x:v>
      </x:c>
      <x:c r="H250" s="119" t="n">
        <x:f>SUM(X250,AB250,AF250,AJ250,AN250,AR250,AV250)</x:f>
        <x:v>226</x:v>
      </x:c>
      <x:c r="I250" s="119" t="n">
        <x:f>SUM(Z250,AD250,AH250,AL250,AP250,AT250,AX250)</x:f>
        <x:v>2119474</x:v>
      </x:c>
      <x:c r="J250" s="119" t="n">
        <x:f>ROUND(INDEX(X250:AY250,1,(D250-1)*4+2)*'难度参数'!$E$28*'章节与怪物'!$E$17,0)</x:f>
        <x:v>63825</x:v>
      </x:c>
      <x:c r="K250" s="119" t="n">
        <x:f>SUM(AA250,AE250,AI250,AM250,AQ250,AU250,AY250)</x:f>
        <x:v>6134</x:v>
      </x:c>
      <x:c r="L250" s="62" t="n">
        <x:f>H250*(ROUNDUP('难度参数'!$E$24/('难度参数'!$E$26*'难度参数'!$E$27),0)*'难度参数'!$E$26)/60</x:f>
        <x:v>3.0133333333333336</x:v>
      </x:c>
      <x:c r="M250" s="62" t="n">
        <x:f>L250+D250*('难度参数'!$E$49+'难度参数'!$E$50)/60</x:f>
        <x:v>4.180000000000001</x:v>
      </x:c>
      <x:c r="N250" s="119" t="n">
        <x:f>ROUNDDOWN(('经济参数'!$E$20+A250*'经济参数'!$E$21)*G250,0)</x:f>
        <x:v>5060</x:v>
      </x:c>
      <x:c r="O250" s="119" t="n">
        <x:f>ROUNDDOWN(MIN('经济参数'!$E$24,'经济参数'!$E$22+A250*'经济参数'!$E$23)*G250,0)</x:f>
        <x:v>0</x:v>
      </x:c>
      <x:c r="P250" s="119" t="n">
        <x:f>ROUNDDOWN((IF(A250&gt;='材料与任务'!$E$31,'材料与任务'!$E$32,IF(A250&gt;='材料与任务'!$E$25,'材料与任务'!$E$26,IF(A250&gt;='材料与任务'!$E$19,'材料与任务'!$E$20,IF(A250&gt;='材料与任务'!$E$13,'材料与任务'!$E$14,'材料与任务'!$E$8)))))*G250,0)</x:f>
        <x:v>6</x:v>
      </x:c>
      <x:c r="Q250" s="119" t="n">
        <x:f>ROUNDDOWN((IF(A250&gt;='材料与任务'!$E$31,'材料与任务'!$E$33,IF(A250&gt;='材料与任务'!$E$25,'材料与任务'!$E$27,IF(A250&gt;='材料与任务'!$E$19,'材料与任务'!$E$21,IF(A250&gt;='材料与任务'!$E$13,'材料与任务'!$E$15,'材料与任务'!$E$9)))))*G250,0)</x:f>
        <x:v>3</x:v>
      </x:c>
      <x:c r="R250" s="110" t="n">
        <x:f>'装备掉落'!$B$38</x:f>
        <x:v>0.6872058758851213</x:v>
      </x:c>
      <x:c r="S250" s="119" t="n">
        <x:f>MAX(IF(VLOOKUP(A250,'装备掉落'!$A$29:$H$34,2,TRUE)&gt;0,1,0),IF(VLOOKUP(A250,'装备掉落'!$A$29:$H$34,3,TRUE)&gt;0,2,0),IF(VLOOKUP(A250,'装备掉落'!$A$29:$H$34,4,TRUE)&gt;0,3,0),IF(VLOOKUP(A250,'装备掉落'!$A$29:$H$34,5,TRUE)&gt;0,4,0),IF(VLOOKUP(A250,'装备掉落'!$A$29:$H$34,6,TRUE)&gt;0,5,0),IF(VLOOKUP(A250,'装备掉落'!$A$29:$H$34,7,TRUE)&gt;0,6,0),IF(VLOOKUP(A250,'装备掉落'!$A$29:$H$34,8,TRUE)&gt;0,7,0))</x:f>
        <x:v>7</x:v>
      </x:c>
      <x:c r="T250" s="119" t="n">
        <x:f>MIN(7,S250+'经济参数'!$E$70)</x:f>
        <x:v>7</x:v>
      </x:c>
      <x:c r="U250" s="119" t="n">
        <x:f>MIN(7,S250+'经济参数'!$E$71)</x:f>
        <x:v>7</x:v>
      </x:c>
      <x:c r="V250" s="119" t="n">
        <x:f>IF(H250&gt;=('难度参数'!$E$52),1,0)+IF(H250&gt;=('难度参数'!$E$52+'难度参数'!$E$53),1,0)+IF(H250&gt;=('难度参数'!$E$52+'难度参数'!$E$53+'难度参数'!$E$54),1,0)+IF(H250&gt;=('难度参数'!$E$52+'难度参数'!$E$53+'难度参数'!$E$54+'难度参数'!$E$55),1,0)+IF(H250&gt;=('难度参数'!$E$52+'难度参数'!$E$53+'难度参数'!$E$54+'难度参数'!$E$55+'难度参数'!$E$56),1,0)+IF(H250&gt;=('难度参数'!$E$52+'难度参数'!$E$53+'难度参数'!$E$54+'难度参数'!$E$55+'难度参数'!$E$56+'难度参数'!$E$57),1,0)</x:f>
        <x:v>6</x:v>
      </x:c>
      <x:c r="W250" s="62" t="str">
        <x:f>IF(L250&gt;'难度参数'!$E$51,"仅出怪已超目标","还需实测")</x:f>
        <x:v>仅出怪已超目标</x:v>
      </x:c>
      <x:c r="X250" s="119" t="n">
        <x:f>IF(1&gt;D250,0,MAX(2,MIN('难度参数'!$E$12,ROUND(('难度参数'!$E$18*POWER(A250,'难度参数'!$E$19)/D250*(0.85+0.3*(1-1)/MAX(1,D250-1))),0)+F250)))</x:f>
        <x:v>27</x:v>
      </x:c>
      <x:c r="Y250" s="119" t="n">
        <x:f>IF(1&gt;D250,0,ROUND(('难度参数'!$E$13*POWER(A250,'难度参数'!$E$20)*MIN('难度参数'!$E$23,1+MAX(0,A250-'难度参数'!$E$21)*'难度参数'!$E$22))*(36+1*7)/(36+7*(D250+1)/2)*E250,0))</x:f>
        <x:v>4748</x:v>
      </x:c>
      <x:c r="Z250" s="119" t="n">
        <x:f>IF(X250=0,0,(X250-IF(1=D250,1,0))*ROUND(Y250*VLOOKUP(INDEX('章节与怪物'!$E$31:$K$37,B250,1),'章节与怪物'!$A$41:$F$44,2,FALSE),0)+IF(1=D250,ROUND(Y250*'难度参数'!$E$28*'章节与怪物'!$E$17,0),0))</x:f>
        <x:v>128196</x:v>
      </x:c>
      <x:c r="AA250" s="119" t="n">
        <x:f>IF(X250=0,0,(X250-IF(1=D250,1,0))*VLOOKUP(INDEX('章节与怪物'!$E$31:$K$37,B250,1),'章节与怪物'!$A$41:$F$44,4,FALSE)+IF(1=D250,'难度参数'!$E$30,0))</x:f>
        <x:v>486</x:v>
      </x:c>
      <x:c r="AB250" s="119" t="n">
        <x:f>IF(2&gt;D250,0,MAX(2,MIN('难度参数'!$E$12,ROUND(('难度参数'!$E$18*POWER(A250,'难度参数'!$E$19)/D250*(0.85+0.3*(2-1)/MAX(1,D250-1))),0)+F250)))</x:f>
        <x:v>29</x:v>
      </x:c>
      <x:c r="AC250" s="119" t="n">
        <x:f>IF(2&gt;D250,0,ROUND(('难度参数'!$E$13*POWER(A250,'难度参数'!$E$20)*MIN('难度参数'!$E$23,1+MAX(0,A250-'难度参数'!$E$21)*'难度参数'!$E$22))*(36+2*7)/(36+7*(D250+1)/2)*E250,0))</x:f>
        <x:v>5521</x:v>
      </x:c>
      <x:c r="AD250" s="119" t="n">
        <x:f>IF(AB250=0,0,(AB250-IF(2=D250,1,0))*ROUND(AC250*VLOOKUP(INDEX('章节与怪物'!$E$31:$K$37,B250,2),'章节与怪物'!$A$41:$F$44,2,FALSE),0)+IF(2=D250,ROUND(AC250*'难度参数'!$E$28*'章节与怪物'!$E$17,0),0))</x:f>
        <x:v>115275</x:v>
      </x:c>
      <x:c r="AE250" s="119" t="n">
        <x:f>IF(AB250=0,0,(AB250-IF(2=D250,1,0))*VLOOKUP(INDEX('章节与怪物'!$E$31:$K$37,B250,2),'章节与怪物'!$A$41:$F$44,4,FALSE)+IF(2=D250,'难度参数'!$E$30,0))</x:f>
        <x:v>580</x:v>
      </x:c>
      <x:c r="AF250" s="119" t="n">
        <x:f>IF(3&gt;D250,0,MAX(2,MIN('难度参数'!$E$12,ROUND(('难度参数'!$E$18*POWER(A250,'难度参数'!$E$19)/D250*(0.85+0.3*(3-1)/MAX(1,D250-1))),0)+F250)))</x:f>
        <x:v>31</x:v>
      </x:c>
      <x:c r="AG250" s="119" t="n">
        <x:f>IF(3&gt;D250,0,ROUND(('难度参数'!$E$13*POWER(A250,'难度参数'!$E$20)*MIN('难度参数'!$E$23,1+MAX(0,A250-'难度参数'!$E$21)*'难度参数'!$E$22))*(36+3*7)/(36+7*(D250+1)/2)*E250,0))</x:f>
        <x:v>6294</x:v>
      </x:c>
      <x:c r="AH250" s="119" t="n">
        <x:f>IF(AF250=0,0,(AF250-IF(3=D250,1,0))*ROUND(AG250*VLOOKUP(INDEX('章节与怪物'!$E$31:$K$37,B250,3),'章节与怪物'!$A$41:$F$44,2,FALSE),0)+IF(3=D250,ROUND(AG250*'难度参数'!$E$28*'章节与怪物'!$E$17,0),0))</x:f>
        <x:v>331700</x:v>
      </x:c>
      <x:c r="AI250" s="119" t="n">
        <x:f>IF(AF250=0,0,(AF250-IF(3=D250,1,0))*VLOOKUP(INDEX('章节与怪物'!$E$31:$K$37,B250,3),'章节与怪物'!$A$41:$F$44,4,FALSE)+IF(3=D250,'难度参数'!$E$30,0))</x:f>
        <x:v>868</x:v>
      </x:c>
      <x:c r="AJ250" s="119" t="n">
        <x:f>IF(4&gt;D250,0,MAX(2,MIN('难度参数'!$E$12,ROUND(('难度参数'!$E$18*POWER(A250,'难度参数'!$E$19)/D250*(0.85+0.3*(4-1)/MAX(1,D250-1))),0)+F250)))</x:f>
        <x:v>32</x:v>
      </x:c>
      <x:c r="AK250" s="119" t="n">
        <x:f>IF(4&gt;D250,0,ROUND(('难度参数'!$E$13*POWER(A250,'难度参数'!$E$20)*MIN('难度参数'!$E$23,1+MAX(0,A250-'难度参数'!$E$21)*'难度参数'!$E$22))*(36+4*7)/(36+7*(D250+1)/2)*E250,0))</x:f>
        <x:v>7067</x:v>
      </x:c>
      <x:c r="AL250" s="119" t="n">
        <x:f>IF(AJ250=0,0,(AJ250-IF(4=D250,1,0))*ROUND(AK250*VLOOKUP(INDEX('章节与怪物'!$E$31:$K$37,B250,4),'章节与怪物'!$A$41:$F$44,2,FALSE),0)+IF(4=D250,ROUND(AK250*'难度参数'!$E$28*'章节与怪物'!$E$17,0),0))</x:f>
        <x:v>305280</x:v>
      </x:c>
      <x:c r="AM250" s="119" t="n">
        <x:f>IF(AJ250=0,0,(AJ250-IF(4=D250,1,0))*VLOOKUP(INDEX('章节与怪物'!$E$31:$K$37,B250,4),'章节与怪物'!$A$41:$F$44,4,FALSE)+IF(4=D250,'难度参数'!$E$30,0))</x:f>
        <x:v>1088</x:v>
      </x:c>
      <x:c r="AN250" s="119" t="n">
        <x:f>IF(5&gt;D250,0,MAX(2,MIN('难度参数'!$E$12,ROUND(('难度参数'!$E$18*POWER(A250,'难度参数'!$E$19)/D250*(0.85+0.3*(5-1)/MAX(1,D250-1))),0)+F250)))</x:f>
        <x:v>34</x:v>
      </x:c>
      <x:c r="AO250" s="119" t="n">
        <x:f>IF(5&gt;D250,0,ROUND(('难度参数'!$E$13*POWER(A250,'难度参数'!$E$20)*MIN('难度参数'!$E$23,1+MAX(0,A250-'难度参数'!$E$21)*'难度参数'!$E$22))*(36+5*7)/(36+7*(D250+1)/2)*E250,0))</x:f>
        <x:v>7840</x:v>
      </x:c>
      <x:c r="AP250" s="119" t="n">
        <x:f>IF(AN250=0,0,(AN250-IF(5=D250,1,0))*ROUND(AO250*VLOOKUP(INDEX('章节与怪物'!$E$31:$K$37,B250,5),'章节与怪物'!$A$41:$F$44,2,FALSE),0)+IF(5=D250,ROUND(AO250*'难度参数'!$E$28*'章节与怪物'!$E$17,0),0))</x:f>
        <x:v>191930</x:v>
      </x:c>
      <x:c r="AQ250" s="119" t="n">
        <x:f>IF(AN250=0,0,(AN250-IF(5=D250,1,0))*VLOOKUP(INDEX('章节与怪物'!$E$31:$K$37,B250,5),'章节与怪物'!$A$41:$F$44,4,FALSE)+IF(5=D250,'难度参数'!$E$30,0))</x:f>
        <x:v>680</x:v>
      </x:c>
      <x:c r="AR250" s="119" t="n">
        <x:f>IF(6&gt;D250,0,MAX(2,MIN('难度参数'!$E$12,ROUND(('难度参数'!$E$18*POWER(A250,'难度参数'!$E$19)/D250*(0.85+0.3*(6-1)/MAX(1,D250-1))),0)+F250)))</x:f>
        <x:v>36</x:v>
      </x:c>
      <x:c r="AS250" s="119" t="n">
        <x:f>IF(6&gt;D250,0,ROUND(('难度参数'!$E$13*POWER(A250,'难度参数'!$E$20)*MIN('难度参数'!$E$23,1+MAX(0,A250-'难度参数'!$E$21)*'难度参数'!$E$22))*(36+6*7)/(36+7*(D250+1)/2)*E250,0))</x:f>
        <x:v>8613</x:v>
      </x:c>
      <x:c r="AT250" s="119" t="n">
        <x:f>IF(AR250=0,0,(AR250-IF(6=D250,1,0))*ROUND(AS250*VLOOKUP(INDEX('章节与怪物'!$E$31:$K$37,B250,6),'章节与怪物'!$A$41:$F$44,2,FALSE),0)+IF(6=D250,ROUND(AS250*'难度参数'!$E$28*'章节与怪物'!$E$17,0),0))</x:f>
        <x:v>527112</x:v>
      </x:c>
      <x:c r="AU250" s="119" t="n">
        <x:f>IF(AR250=0,0,(AR250-IF(6=D250,1,0))*VLOOKUP(INDEX('章节与怪物'!$E$31:$K$37,B250,6),'章节与怪物'!$A$41:$F$44,4,FALSE)+IF(6=D250,'难度参数'!$E$30,0))</x:f>
        <x:v>1008</x:v>
      </x:c>
      <x:c r="AV250" s="119" t="n">
        <x:f>IF(7&gt;D250,0,MAX(2,MIN('难度参数'!$E$12,ROUND(('难度参数'!$E$18*POWER(A250,'难度参数'!$E$19)/D250*(0.85+0.3*(7-1)/MAX(1,D250-1))),0)+F250)))</x:f>
        <x:v>37</x:v>
      </x:c>
      <x:c r="AW250" s="119" t="n">
        <x:f>IF(7&gt;D250,0,ROUND(('难度参数'!$E$13*POWER(A250,'难度参数'!$E$20)*MIN('难度参数'!$E$23,1+MAX(0,A250-'难度参数'!$E$21)*'难度参数'!$E$22))*(36+7*7)/(36+7*(D250+1)/2)*E250,0))</x:f>
        <x:v>9386</x:v>
      </x:c>
      <x:c r="AX250" s="119" t="n">
        <x:f>IF(AV250=0,0,(AV250-IF(7=D250,1,0))*ROUND(AW250*VLOOKUP(INDEX('章节与怪物'!$E$31:$K$37,B250,7),'章节与怪物'!$A$41:$F$44,2,FALSE),0)+IF(7=D250,ROUND(AW250*'难度参数'!$E$28*'章节与怪物'!$E$17,0),0))</x:f>
        <x:v>519981</x:v>
      </x:c>
      <x:c r="AY250" s="119" t="n">
        <x:f>IF(AV250=0,0,(AV250-IF(7=D250,1,0))*VLOOKUP(INDEX('章节与怪物'!$E$31:$K$37,B250,7),'章节与怪物'!$A$41:$F$44,4,FALSE)+IF(7=D250,'难度参数'!$E$30,0))</x:f>
        <x:v>1424</x:v>
      </x:c>
    </x:row>
    <x:row r="251" ht="23" customHeight="1">
      <x:c r="A251" s="119" t="n">
        <x:v>245</x:v>
      </x:c>
      <x:c r="B251" s="119" t="n">
        <x:f>MOD(INT((A251-1)/5),7)+1</x:f>
        <x:v>7</x:v>
      </x:c>
      <x:c r="C251" s="62" t="str">
        <x:f>INDEX('章节与怪物'!$B$31:$B$37,B251)</x:f>
        <x:v>魔法山脊</x:v>
      </x:c>
      <x:c r="D251" s="119" t="n">
        <x:f>MIN('难度参数'!$E$8,MAX('难度参数'!$E$7,A251))</x:f>
        <x:v>7</x:v>
      </x:c>
      <x:c r="E251" s="106" t="n">
        <x:v>1</x:v>
      </x:c>
      <x:c r="F251" s="106" t="n">
        <x:v>0</x:v>
      </x:c>
      <x:c r="G251" s="106" t="n">
        <x:v>1</x:v>
      </x:c>
      <x:c r="H251" s="119" t="n">
        <x:f>SUM(X251,AB251,AF251,AJ251,AN251,AR251,AV251)</x:f>
        <x:v>226</x:v>
      </x:c>
      <x:c r="I251" s="119" t="n">
        <x:f>SUM(Z251,AD251,AH251,AL251,AP251,AT251,AX251)</x:f>
        <x:v>2125806</x:v>
      </x:c>
      <x:c r="J251" s="119" t="n">
        <x:f>ROUND(INDEX(X251:AY251,1,(D251-1)*4+2)*'难度参数'!$E$28*'章节与怪物'!$E$17,0)</x:f>
        <x:v>64015</x:v>
      </x:c>
      <x:c r="K251" s="119" t="n">
        <x:f>SUM(AA251,AE251,AI251,AM251,AQ251,AU251,AY251)</x:f>
        <x:v>6134</x:v>
      </x:c>
      <x:c r="L251" s="62" t="n">
        <x:f>H251*(ROUNDUP('难度参数'!$E$24/('难度参数'!$E$26*'难度参数'!$E$27),0)*'难度参数'!$E$26)/60</x:f>
        <x:v>3.0133333333333336</x:v>
      </x:c>
      <x:c r="M251" s="62" t="n">
        <x:f>L251+D251*('难度参数'!$E$49+'难度参数'!$E$50)/60</x:f>
        <x:v>4.180000000000001</x:v>
      </x:c>
      <x:c r="N251" s="119" t="n">
        <x:f>ROUNDDOWN(('经济参数'!$E$20+A251*'经济参数'!$E$21)*G251,0)</x:f>
        <x:v>5080</x:v>
      </x:c>
      <x:c r="O251" s="119" t="n">
        <x:f>ROUNDDOWN(MIN('经济参数'!$E$24,'经济参数'!$E$22+A251*'经济参数'!$E$23)*G251,0)</x:f>
        <x:v>0</x:v>
      </x:c>
      <x:c r="P251" s="119" t="n">
        <x:f>ROUNDDOWN((IF(A251&gt;='材料与任务'!$E$31,'材料与任务'!$E$32,IF(A251&gt;='材料与任务'!$E$25,'材料与任务'!$E$26,IF(A251&gt;='材料与任务'!$E$19,'材料与任务'!$E$20,IF(A251&gt;='材料与任务'!$E$13,'材料与任务'!$E$14,'材料与任务'!$E$8)))))*G251,0)</x:f>
        <x:v>6</x:v>
      </x:c>
      <x:c r="Q251" s="119" t="n">
        <x:f>ROUNDDOWN((IF(A251&gt;='材料与任务'!$E$31,'材料与任务'!$E$33,IF(A251&gt;='材料与任务'!$E$25,'材料与任务'!$E$27,IF(A251&gt;='材料与任务'!$E$19,'材料与任务'!$E$21,IF(A251&gt;='材料与任务'!$E$13,'材料与任务'!$E$15,'材料与任务'!$E$9)))))*G251,0)</x:f>
        <x:v>3</x:v>
      </x:c>
      <x:c r="R251" s="110" t="n">
        <x:f>'装备掉落'!$B$38</x:f>
        <x:v>0.6872058758851213</x:v>
      </x:c>
      <x:c r="S251" s="119" t="n">
        <x:f>MAX(IF(VLOOKUP(A251,'装备掉落'!$A$29:$H$34,2,TRUE)&gt;0,1,0),IF(VLOOKUP(A251,'装备掉落'!$A$29:$H$34,3,TRUE)&gt;0,2,0),IF(VLOOKUP(A251,'装备掉落'!$A$29:$H$34,4,TRUE)&gt;0,3,0),IF(VLOOKUP(A251,'装备掉落'!$A$29:$H$34,5,TRUE)&gt;0,4,0),IF(VLOOKUP(A251,'装备掉落'!$A$29:$H$34,6,TRUE)&gt;0,5,0),IF(VLOOKUP(A251,'装备掉落'!$A$29:$H$34,7,TRUE)&gt;0,6,0),IF(VLOOKUP(A251,'装备掉落'!$A$29:$H$34,8,TRUE)&gt;0,7,0))</x:f>
        <x:v>7</x:v>
      </x:c>
      <x:c r="T251" s="119" t="n">
        <x:f>MIN(7,S251+'经济参数'!$E$70)</x:f>
        <x:v>7</x:v>
      </x:c>
      <x:c r="U251" s="119" t="n">
        <x:f>MIN(7,S251+'经济参数'!$E$71)</x:f>
        <x:v>7</x:v>
      </x:c>
      <x:c r="V251" s="119" t="n">
        <x:f>IF(H251&gt;=('难度参数'!$E$52),1,0)+IF(H251&gt;=('难度参数'!$E$52+'难度参数'!$E$53),1,0)+IF(H251&gt;=('难度参数'!$E$52+'难度参数'!$E$53+'难度参数'!$E$54),1,0)+IF(H251&gt;=('难度参数'!$E$52+'难度参数'!$E$53+'难度参数'!$E$54+'难度参数'!$E$55),1,0)+IF(H251&gt;=('难度参数'!$E$52+'难度参数'!$E$53+'难度参数'!$E$54+'难度参数'!$E$55+'难度参数'!$E$56),1,0)+IF(H251&gt;=('难度参数'!$E$52+'难度参数'!$E$53+'难度参数'!$E$54+'难度参数'!$E$55+'难度参数'!$E$56+'难度参数'!$E$57),1,0)</x:f>
        <x:v>6</x:v>
      </x:c>
      <x:c r="W251" s="62" t="str">
        <x:f>IF(L251&gt;'难度参数'!$E$51,"仅出怪已超目标","还需实测")</x:f>
        <x:v>仅出怪已超目标</x:v>
      </x:c>
      <x:c r="X251" s="119" t="n">
        <x:f>IF(1&gt;D251,0,MAX(2,MIN('难度参数'!$E$12,ROUND(('难度参数'!$E$18*POWER(A251,'难度参数'!$E$19)/D251*(0.85+0.3*(1-1)/MAX(1,D251-1))),0)+F251)))</x:f>
        <x:v>27</x:v>
      </x:c>
      <x:c r="Y251" s="119" t="n">
        <x:f>IF(1&gt;D251,0,ROUND(('难度参数'!$E$13*POWER(A251,'难度参数'!$E$20)*MIN('难度参数'!$E$23,1+MAX(0,A251-'难度参数'!$E$21)*'难度参数'!$E$22))*(36+1*7)/(36+7*(D251+1)/2)*E251,0))</x:f>
        <x:v>4762</x:v>
      </x:c>
      <x:c r="Z251" s="119" t="n">
        <x:f>IF(X251=0,0,(X251-IF(1=D251,1,0))*ROUND(Y251*VLOOKUP(INDEX('章节与怪物'!$E$31:$K$37,B251,1),'章节与怪物'!$A$41:$F$44,2,FALSE),0)+IF(1=D251,ROUND(Y251*'难度参数'!$E$28*'章节与怪物'!$E$17,0),0))</x:f>
        <x:v>128574</x:v>
      </x:c>
      <x:c r="AA251" s="119" t="n">
        <x:f>IF(X251=0,0,(X251-IF(1=D251,1,0))*VLOOKUP(INDEX('章节与怪物'!$E$31:$K$37,B251,1),'章节与怪物'!$A$41:$F$44,4,FALSE)+IF(1=D251,'难度参数'!$E$30,0))</x:f>
        <x:v>486</x:v>
      </x:c>
      <x:c r="AB251" s="119" t="n">
        <x:f>IF(2&gt;D251,0,MAX(2,MIN('难度参数'!$E$12,ROUND(('难度参数'!$E$18*POWER(A251,'难度参数'!$E$19)/D251*(0.85+0.3*(2-1)/MAX(1,D251-1))),0)+F251)))</x:f>
        <x:v>29</x:v>
      </x:c>
      <x:c r="AC251" s="119" t="n">
        <x:f>IF(2&gt;D251,0,ROUND(('难度参数'!$E$13*POWER(A251,'难度参数'!$E$20)*MIN('难度参数'!$E$23,1+MAX(0,A251-'难度参数'!$E$21)*'难度参数'!$E$22))*(36+2*7)/(36+7*(D251+1)/2)*E251,0))</x:f>
        <x:v>5538</x:v>
      </x:c>
      <x:c r="AD251" s="119" t="n">
        <x:f>IF(AB251=0,0,(AB251-IF(2=D251,1,0))*ROUND(AC251*VLOOKUP(INDEX('章节与怪物'!$E$31:$K$37,B251,2),'章节与怪物'!$A$41:$F$44,2,FALSE),0)+IF(2=D251,ROUND(AC251*'难度参数'!$E$28*'章节与怪物'!$E$17,0),0))</x:f>
        <x:v>115623</x:v>
      </x:c>
      <x:c r="AE251" s="119" t="n">
        <x:f>IF(AB251=0,0,(AB251-IF(2=D251,1,0))*VLOOKUP(INDEX('章节与怪物'!$E$31:$K$37,B251,2),'章节与怪物'!$A$41:$F$44,4,FALSE)+IF(2=D251,'难度参数'!$E$30,0))</x:f>
        <x:v>580</x:v>
      </x:c>
      <x:c r="AF251" s="119" t="n">
        <x:f>IF(3&gt;D251,0,MAX(2,MIN('难度参数'!$E$12,ROUND(('难度参数'!$E$18*POWER(A251,'难度参数'!$E$19)/D251*(0.85+0.3*(3-1)/MAX(1,D251-1))),0)+F251)))</x:f>
        <x:v>31</x:v>
      </x:c>
      <x:c r="AG251" s="119" t="n">
        <x:f>IF(3&gt;D251,0,ROUND(('难度参数'!$E$13*POWER(A251,'难度参数'!$E$20)*MIN('难度参数'!$E$23,1+MAX(0,A251-'难度参数'!$E$21)*'难度参数'!$E$22))*(36+3*7)/(36+7*(D251+1)/2)*E251,0))</x:f>
        <x:v>6313</x:v>
      </x:c>
      <x:c r="AH251" s="119" t="n">
        <x:f>IF(AF251=0,0,(AF251-IF(3=D251,1,0))*ROUND(AG251*VLOOKUP(INDEX('章节与怪物'!$E$31:$K$37,B251,3),'章节与怪物'!$A$41:$F$44,2,FALSE),0)+IF(3=D251,ROUND(AG251*'难度参数'!$E$28*'章节与怪物'!$E$17,0),0))</x:f>
        <x:v>332692</x:v>
      </x:c>
      <x:c r="AI251" s="119" t="n">
        <x:f>IF(AF251=0,0,(AF251-IF(3=D251,1,0))*VLOOKUP(INDEX('章节与怪物'!$E$31:$K$37,B251,3),'章节与怪物'!$A$41:$F$44,4,FALSE)+IF(3=D251,'难度参数'!$E$30,0))</x:f>
        <x:v>868</x:v>
      </x:c>
      <x:c r="AJ251" s="119" t="n">
        <x:f>IF(4&gt;D251,0,MAX(2,MIN('难度参数'!$E$12,ROUND(('难度参数'!$E$18*POWER(A251,'难度参数'!$E$19)/D251*(0.85+0.3*(4-1)/MAX(1,D251-1))),0)+F251)))</x:f>
        <x:v>32</x:v>
      </x:c>
      <x:c r="AK251" s="119" t="n">
        <x:f>IF(4&gt;D251,0,ROUND(('难度参数'!$E$13*POWER(A251,'难度参数'!$E$20)*MIN('难度参数'!$E$23,1+MAX(0,A251-'难度参数'!$E$21)*'难度参数'!$E$22))*(36+4*7)/(36+7*(D251+1)/2)*E251,0))</x:f>
        <x:v>7088</x:v>
      </x:c>
      <x:c r="AL251" s="119" t="n">
        <x:f>IF(AJ251=0,0,(AJ251-IF(4=D251,1,0))*ROUND(AK251*VLOOKUP(INDEX('章节与怪物'!$E$31:$K$37,B251,4),'章节与怪物'!$A$41:$F$44,2,FALSE),0)+IF(4=D251,ROUND(AK251*'难度参数'!$E$28*'章节与怪物'!$E$17,0),0))</x:f>
        <x:v>306208</x:v>
      </x:c>
      <x:c r="AM251" s="119" t="n">
        <x:f>IF(AJ251=0,0,(AJ251-IF(4=D251,1,0))*VLOOKUP(INDEX('章节与怪物'!$E$31:$K$37,B251,4),'章节与怪物'!$A$41:$F$44,4,FALSE)+IF(4=D251,'难度参数'!$E$30,0))</x:f>
        <x:v>1088</x:v>
      </x:c>
      <x:c r="AN251" s="119" t="n">
        <x:f>IF(5&gt;D251,0,MAX(2,MIN('难度参数'!$E$12,ROUND(('难度参数'!$E$18*POWER(A251,'难度参数'!$E$19)/D251*(0.85+0.3*(5-1)/MAX(1,D251-1))),0)+F251)))</x:f>
        <x:v>34</x:v>
      </x:c>
      <x:c r="AO251" s="119" t="n">
        <x:f>IF(5&gt;D251,0,ROUND(('难度参数'!$E$13*POWER(A251,'难度参数'!$E$20)*MIN('难度参数'!$E$23,1+MAX(0,A251-'难度参数'!$E$21)*'难度参数'!$E$22))*(36+5*7)/(36+7*(D251+1)/2)*E251,0))</x:f>
        <x:v>7863</x:v>
      </x:c>
      <x:c r="AP251" s="119" t="n">
        <x:f>IF(AN251=0,0,(AN251-IF(5=D251,1,0))*ROUND(AO251*VLOOKUP(INDEX('章节与怪物'!$E$31:$K$37,B251,5),'章节与怪物'!$A$41:$F$44,2,FALSE),0)+IF(5=D251,ROUND(AO251*'难度参数'!$E$28*'章节与怪物'!$E$17,0),0))</x:f>
        <x:v>192474</x:v>
      </x:c>
      <x:c r="AQ251" s="119" t="n">
        <x:f>IF(AN251=0,0,(AN251-IF(5=D251,1,0))*VLOOKUP(INDEX('章节与怪物'!$E$31:$K$37,B251,5),'章节与怪物'!$A$41:$F$44,4,FALSE)+IF(5=D251,'难度参数'!$E$30,0))</x:f>
        <x:v>680</x:v>
      </x:c>
      <x:c r="AR251" s="119" t="n">
        <x:f>IF(6&gt;D251,0,MAX(2,MIN('难度参数'!$E$12,ROUND(('难度参数'!$E$18*POWER(A251,'难度参数'!$E$19)/D251*(0.85+0.3*(6-1)/MAX(1,D251-1))),0)+F251)))</x:f>
        <x:v>36</x:v>
      </x:c>
      <x:c r="AS251" s="119" t="n">
        <x:f>IF(6&gt;D251,0,ROUND(('难度参数'!$E$13*POWER(A251,'难度参数'!$E$20)*MIN('难度参数'!$E$23,1+MAX(0,A251-'难度参数'!$E$21)*'难度参数'!$E$22))*(36+6*7)/(36+7*(D251+1)/2)*E251,0))</x:f>
        <x:v>8639</x:v>
      </x:c>
      <x:c r="AT251" s="119" t="n">
        <x:f>IF(AR251=0,0,(AR251-IF(6=D251,1,0))*ROUND(AS251*VLOOKUP(INDEX('章节与怪物'!$E$31:$K$37,B251,6),'章节与怪物'!$A$41:$F$44,2,FALSE),0)+IF(6=D251,ROUND(AS251*'难度参数'!$E$28*'章节与怪物'!$E$17,0),0))</x:f>
        <x:v>528696</x:v>
      </x:c>
      <x:c r="AU251" s="119" t="n">
        <x:f>IF(AR251=0,0,(AR251-IF(6=D251,1,0))*VLOOKUP(INDEX('章节与怪物'!$E$31:$K$37,B251,6),'章节与怪物'!$A$41:$F$44,4,FALSE)+IF(6=D251,'难度参数'!$E$30,0))</x:f>
        <x:v>1008</x:v>
      </x:c>
      <x:c r="AV251" s="119" t="n">
        <x:f>IF(7&gt;D251,0,MAX(2,MIN('难度参数'!$E$12,ROUND(('难度参数'!$E$18*POWER(A251,'难度参数'!$E$19)/D251*(0.85+0.3*(7-1)/MAX(1,D251-1))),0)+F251)))</x:f>
        <x:v>37</x:v>
      </x:c>
      <x:c r="AW251" s="119" t="n">
        <x:f>IF(7&gt;D251,0,ROUND(('难度参数'!$E$13*POWER(A251,'难度参数'!$E$20)*MIN('难度参数'!$E$23,1+MAX(0,A251-'难度参数'!$E$21)*'难度参数'!$E$22))*(36+7*7)/(36+7*(D251+1)/2)*E251,0))</x:f>
        <x:v>9414</x:v>
      </x:c>
      <x:c r="AX251" s="119" t="n">
        <x:f>IF(AV251=0,0,(AV251-IF(7=D251,1,0))*ROUND(AW251*VLOOKUP(INDEX('章节与怪物'!$E$31:$K$37,B251,7),'章节与怪物'!$A$41:$F$44,2,FALSE),0)+IF(7=D251,ROUND(AW251*'难度参数'!$E$28*'章节与怪物'!$E$17,0),0))</x:f>
        <x:v>521539</x:v>
      </x:c>
      <x:c r="AY251" s="119" t="n">
        <x:f>IF(AV251=0,0,(AV251-IF(7=D251,1,0))*VLOOKUP(INDEX('章节与怪物'!$E$31:$K$37,B251,7),'章节与怪物'!$A$41:$F$44,4,FALSE)+IF(7=D251,'难度参数'!$E$30,0))</x:f>
        <x:v>1424</x:v>
      </x:c>
    </x:row>
    <x:row r="252" ht="23" customHeight="1">
      <x:c r="A252" s="119" t="n">
        <x:v>246</x:v>
      </x:c>
      <x:c r="B252" s="119" t="n">
        <x:f>MOD(INT((A252-1)/5),7)+1</x:f>
        <x:v>1</x:v>
      </x:c>
      <x:c r="C252" s="62" t="str">
        <x:f>INDEX('章节与怪物'!$B$31:$B$37,B252)</x:f>
        <x:v>冰雪荒原</x:v>
      </x:c>
      <x:c r="D252" s="119" t="n">
        <x:f>MIN('难度参数'!$E$8,MAX('难度参数'!$E$7,A252))</x:f>
        <x:v>7</x:v>
      </x:c>
      <x:c r="E252" s="106" t="n">
        <x:v>1</x:v>
      </x:c>
      <x:c r="F252" s="106" t="n">
        <x:v>0</x:v>
      </x:c>
      <x:c r="G252" s="106" t="n">
        <x:v>1</x:v>
      </x:c>
      <x:c r="H252" s="119" t="n">
        <x:f>SUM(X252,AB252,AF252,AJ252,AN252,AR252,AV252)</x:f>
        <x:v>227</x:v>
      </x:c>
      <x:c r="I252" s="119" t="n">
        <x:f>SUM(Z252,AD252,AH252,AL252,AP252,AT252,AX252)</x:f>
        <x:v>2051420</x:v>
      </x:c>
      <x:c r="J252" s="119" t="n">
        <x:f>ROUND(INDEX(X252:AY252,1,(D252-1)*4+2)*'难度参数'!$E$28*'章节与怪物'!$E$17,0)</x:f>
        <x:v>64206</x:v>
      </x:c>
      <x:c r="K252" s="119" t="n">
        <x:f>SUM(AA252,AE252,AI252,AM252,AQ252,AU252,AY252)</x:f>
        <x:v>5626</x:v>
      </x:c>
      <x:c r="L252" s="62" t="n">
        <x:f>H252*(ROUNDUP('难度参数'!$E$24/('难度参数'!$E$26*'难度参数'!$E$27),0)*'难度参数'!$E$26)/60</x:f>
        <x:v>3.026666666666667</x:v>
      </x:c>
      <x:c r="M252" s="62" t="n">
        <x:f>L252+D252*('难度参数'!$E$49+'难度参数'!$E$50)/60</x:f>
        <x:v>4.193333333333333</x:v>
      </x:c>
      <x:c r="N252" s="119" t="n">
        <x:f>ROUNDDOWN(('经济参数'!$E$20+A252*'经济参数'!$E$21)*G252,0)</x:f>
        <x:v>5100</x:v>
      </x:c>
      <x:c r="O252" s="119" t="n">
        <x:f>ROUNDDOWN(MIN('经济参数'!$E$24,'经济参数'!$E$22+A252*'经济参数'!$E$23)*G252,0)</x:f>
        <x:v>0</x:v>
      </x:c>
      <x:c r="P252" s="119" t="n">
        <x:f>ROUNDDOWN((IF(A252&gt;='材料与任务'!$E$31,'材料与任务'!$E$32,IF(A252&gt;='材料与任务'!$E$25,'材料与任务'!$E$26,IF(A252&gt;='材料与任务'!$E$19,'材料与任务'!$E$20,IF(A252&gt;='材料与任务'!$E$13,'材料与任务'!$E$14,'材料与任务'!$E$8)))))*G252,0)</x:f>
        <x:v>6</x:v>
      </x:c>
      <x:c r="Q252" s="119" t="n">
        <x:f>ROUNDDOWN((IF(A252&gt;='材料与任务'!$E$31,'材料与任务'!$E$33,IF(A252&gt;='材料与任务'!$E$25,'材料与任务'!$E$27,IF(A252&gt;='材料与任务'!$E$19,'材料与任务'!$E$21,IF(A252&gt;='材料与任务'!$E$13,'材料与任务'!$E$15,'材料与任务'!$E$9)))))*G252,0)</x:f>
        <x:v>3</x:v>
      </x:c>
      <x:c r="R252" s="110" t="n">
        <x:f>'装备掉落'!$B$38</x:f>
        <x:v>0.6872058758851213</x:v>
      </x:c>
      <x:c r="S252" s="119" t="n">
        <x:f>MAX(IF(VLOOKUP(A252,'装备掉落'!$A$29:$H$34,2,TRUE)&gt;0,1,0),IF(VLOOKUP(A252,'装备掉落'!$A$29:$H$34,3,TRUE)&gt;0,2,0),IF(VLOOKUP(A252,'装备掉落'!$A$29:$H$34,4,TRUE)&gt;0,3,0),IF(VLOOKUP(A252,'装备掉落'!$A$29:$H$34,5,TRUE)&gt;0,4,0),IF(VLOOKUP(A252,'装备掉落'!$A$29:$H$34,6,TRUE)&gt;0,5,0),IF(VLOOKUP(A252,'装备掉落'!$A$29:$H$34,7,TRUE)&gt;0,6,0),IF(VLOOKUP(A252,'装备掉落'!$A$29:$H$34,8,TRUE)&gt;0,7,0))</x:f>
        <x:v>7</x:v>
      </x:c>
      <x:c r="T252" s="119" t="n">
        <x:f>MIN(7,S252+'经济参数'!$E$70)</x:f>
        <x:v>7</x:v>
      </x:c>
      <x:c r="U252" s="119" t="n">
        <x:f>MIN(7,S252+'经济参数'!$E$71)</x:f>
        <x:v>7</x:v>
      </x:c>
      <x:c r="V252" s="119" t="n">
        <x:f>IF(H252&gt;=('难度参数'!$E$52),1,0)+IF(H252&gt;=('难度参数'!$E$52+'难度参数'!$E$53),1,0)+IF(H252&gt;=('难度参数'!$E$52+'难度参数'!$E$53+'难度参数'!$E$54),1,0)+IF(H252&gt;=('难度参数'!$E$52+'难度参数'!$E$53+'难度参数'!$E$54+'难度参数'!$E$55),1,0)+IF(H252&gt;=('难度参数'!$E$52+'难度参数'!$E$53+'难度参数'!$E$54+'难度参数'!$E$55+'难度参数'!$E$56),1,0)+IF(H252&gt;=('难度参数'!$E$52+'难度参数'!$E$53+'难度参数'!$E$54+'难度参数'!$E$55+'难度参数'!$E$56+'难度参数'!$E$57),1,0)</x:f>
        <x:v>6</x:v>
      </x:c>
      <x:c r="W252" s="62" t="str">
        <x:f>IF(L252&gt;'难度参数'!$E$51,"仅出怪已超目标","还需实测")</x:f>
        <x:v>仅出怪已超目标</x:v>
      </x:c>
      <x:c r="X252" s="119" t="n">
        <x:f>IF(1&gt;D252,0,MAX(2,MIN('难度参数'!$E$12,ROUND(('难度参数'!$E$18*POWER(A252,'难度参数'!$E$19)/D252*(0.85+0.3*(1-1)/MAX(1,D252-1))),0)+F252)))</x:f>
        <x:v>28</x:v>
      </x:c>
      <x:c r="Y252" s="119" t="n">
        <x:f>IF(1&gt;D252,0,ROUND(('难度参数'!$E$13*POWER(A252,'难度参数'!$E$20)*MIN('难度参数'!$E$23,1+MAX(0,A252-'难度参数'!$E$21)*'难度参数'!$E$22))*(36+1*7)/(36+7*(D252+1)/2)*E252,0))</x:f>
        <x:v>4776</x:v>
      </x:c>
      <x:c r="Z252" s="119" t="n">
        <x:f>IF(X252=0,0,(X252-IF(1=D252,1,0))*ROUND(Y252*VLOOKUP(INDEX('章节与怪物'!$E$31:$K$37,B252,1),'章节与怪物'!$A$41:$F$44,2,FALSE),0)+IF(1=D252,ROUND(Y252*'难度参数'!$E$28*'章节与怪物'!$E$17,0),0))</x:f>
        <x:v>133728</x:v>
      </x:c>
      <x:c r="AA252" s="119" t="n">
        <x:f>IF(X252=0,0,(X252-IF(1=D252,1,0))*VLOOKUP(INDEX('章节与怪物'!$E$31:$K$37,B252,1),'章节与怪物'!$A$41:$F$44,4,FALSE)+IF(1=D252,'难度参数'!$E$30,0))</x:f>
        <x:v>504</x:v>
      </x:c>
      <x:c r="AB252" s="119" t="n">
        <x:f>IF(2&gt;D252,0,MAX(2,MIN('难度参数'!$E$12,ROUND(('难度参数'!$E$18*POWER(A252,'难度参数'!$E$19)/D252*(0.85+0.3*(2-1)/MAX(1,D252-1))),0)+F252)))</x:f>
        <x:v>29</x:v>
      </x:c>
      <x:c r="AC252" s="119" t="n">
        <x:f>IF(2&gt;D252,0,ROUND(('难度参数'!$E$13*POWER(A252,'难度参数'!$E$20)*MIN('难度参数'!$E$23,1+MAX(0,A252-'难度参数'!$E$21)*'难度参数'!$E$22))*(36+2*7)/(36+7*(D252+1)/2)*E252,0))</x:f>
        <x:v>5554</x:v>
      </x:c>
      <x:c r="AD252" s="119" t="n">
        <x:f>IF(AB252=0,0,(AB252-IF(2=D252,1,0))*ROUND(AC252*VLOOKUP(INDEX('章节与怪物'!$E$31:$K$37,B252,2),'章节与怪物'!$A$41:$F$44,2,FALSE),0)+IF(2=D252,ROUND(AC252*'难度参数'!$E$28*'章节与怪物'!$E$17,0),0))</x:f>
        <x:v>161066</x:v>
      </x:c>
      <x:c r="AE252" s="119" t="n">
        <x:f>IF(AB252=0,0,(AB252-IF(2=D252,1,0))*VLOOKUP(INDEX('章节与怪物'!$E$31:$K$37,B252,2),'章节与怪物'!$A$41:$F$44,4,FALSE)+IF(2=D252,'难度参数'!$E$30,0))</x:f>
        <x:v>522</x:v>
      </x:c>
      <x:c r="AF252" s="119" t="n">
        <x:f>IF(3&gt;D252,0,MAX(2,MIN('难度参数'!$E$12,ROUND(('难度参数'!$E$18*POWER(A252,'难度参数'!$E$19)/D252*(0.85+0.3*(3-1)/MAX(1,D252-1))),0)+F252)))</x:f>
        <x:v>31</x:v>
      </x:c>
      <x:c r="AG252" s="119" t="n">
        <x:f>IF(3&gt;D252,0,ROUND(('难度参数'!$E$13*POWER(A252,'难度参数'!$E$20)*MIN('难度参数'!$E$23,1+MAX(0,A252-'难度参数'!$E$21)*'难度参数'!$E$22))*(36+3*7)/(36+7*(D252+1)/2)*E252,0))</x:f>
        <x:v>6331</x:v>
      </x:c>
      <x:c r="AH252" s="119" t="n">
        <x:f>IF(AF252=0,0,(AF252-IF(3=D252,1,0))*ROUND(AG252*VLOOKUP(INDEX('章节与怪物'!$E$31:$K$37,B252,3),'章节与怪物'!$A$41:$F$44,2,FALSE),0)+IF(3=D252,ROUND(AG252*'难度参数'!$E$28*'章节与怪物'!$E$17,0),0))</x:f>
        <x:v>141298</x:v>
      </x:c>
      <x:c r="AI252" s="119" t="n">
        <x:f>IF(AF252=0,0,(AF252-IF(3=D252,1,0))*VLOOKUP(INDEX('章节与怪物'!$E$31:$K$37,B252,3),'章节与怪物'!$A$41:$F$44,4,FALSE)+IF(3=D252,'难度参数'!$E$30,0))</x:f>
        <x:v>620</x:v>
      </x:c>
      <x:c r="AJ252" s="119" t="n">
        <x:f>IF(4&gt;D252,0,MAX(2,MIN('难度参数'!$E$12,ROUND(('难度参数'!$E$18*POWER(A252,'难度参数'!$E$19)/D252*(0.85+0.3*(4-1)/MAX(1,D252-1))),0)+F252)))</x:f>
        <x:v>32</x:v>
      </x:c>
      <x:c r="AK252" s="119" t="n">
        <x:f>IF(4&gt;D252,0,ROUND(('难度参数'!$E$13*POWER(A252,'难度参数'!$E$20)*MIN('难度参数'!$E$23,1+MAX(0,A252-'难度参数'!$E$21)*'难度参数'!$E$22))*(36+4*7)/(36+7*(D252+1)/2)*E252,0))</x:f>
        <x:v>7109</x:v>
      </x:c>
      <x:c r="AL252" s="119" t="n">
        <x:f>IF(AJ252=0,0,(AJ252-IF(4=D252,1,0))*ROUND(AK252*VLOOKUP(INDEX('章节与怪物'!$E$31:$K$37,B252,4),'章节与怪物'!$A$41:$F$44,2,FALSE),0)+IF(4=D252,ROUND(AK252*'难度参数'!$E$28*'章节与怪物'!$E$17,0),0))</x:f>
        <x:v>386720</x:v>
      </x:c>
      <x:c r="AM252" s="119" t="n">
        <x:f>IF(AJ252=0,0,(AJ252-IF(4=D252,1,0))*VLOOKUP(INDEX('章节与怪物'!$E$31:$K$37,B252,4),'章节与怪物'!$A$41:$F$44,4,FALSE)+IF(4=D252,'难度参数'!$E$30,0))</x:f>
        <x:v>896</x:v>
      </x:c>
      <x:c r="AN252" s="119" t="n">
        <x:f>IF(5&gt;D252,0,MAX(2,MIN('难度参数'!$E$12,ROUND(('难度参数'!$E$18*POWER(A252,'难度参数'!$E$19)/D252*(0.85+0.3*(5-1)/MAX(1,D252-1))),0)+F252)))</x:f>
        <x:v>34</x:v>
      </x:c>
      <x:c r="AO252" s="119" t="n">
        <x:f>IF(5&gt;D252,0,ROUND(('难度参数'!$E$13*POWER(A252,'难度参数'!$E$20)*MIN('难度参数'!$E$23,1+MAX(0,A252-'难度参数'!$E$21)*'难度参数'!$E$22))*(36+5*7)/(36+7*(D252+1)/2)*E252,0))</x:f>
        <x:v>7887</x:v>
      </x:c>
      <x:c r="AP252" s="119" t="n">
        <x:f>IF(AN252=0,0,(AN252-IF(5=D252,1,0))*ROUND(AO252*VLOOKUP(INDEX('章节与怪物'!$E$31:$K$37,B252,5),'章节与怪物'!$A$41:$F$44,2,FALSE),0)+IF(5=D252,ROUND(AO252*'难度参数'!$E$28*'章节与怪物'!$E$17,0),0))</x:f>
        <x:v>361998</x:v>
      </x:c>
      <x:c r="AQ252" s="119" t="n">
        <x:f>IF(AN252=0,0,(AN252-IF(5=D252,1,0))*VLOOKUP(INDEX('章节与怪物'!$E$31:$K$37,B252,5),'章节与怪物'!$A$41:$F$44,4,FALSE)+IF(5=D252,'难度参数'!$E$30,0))</x:f>
        <x:v>1156</x:v>
      </x:c>
      <x:c r="AR252" s="119" t="n">
        <x:f>IF(6&gt;D252,0,MAX(2,MIN('难度参数'!$E$12,ROUND(('难度参数'!$E$18*POWER(A252,'难度参数'!$E$19)/D252*(0.85+0.3*(6-1)/MAX(1,D252-1))),0)+F252)))</x:f>
        <x:v>36</x:v>
      </x:c>
      <x:c r="AS252" s="119" t="n">
        <x:f>IF(6&gt;D252,0,ROUND(('难度参数'!$E$13*POWER(A252,'难度参数'!$E$20)*MIN('难度参数'!$E$23,1+MAX(0,A252-'难度参数'!$E$21)*'难度参数'!$E$22))*(36+6*7)/(36+7*(D252+1)/2)*E252,0))</x:f>
        <x:v>8664</x:v>
      </x:c>
      <x:c r="AT252" s="119" t="n">
        <x:f>IF(AR252=0,0,(AR252-IF(6=D252,1,0))*ROUND(AS252*VLOOKUP(INDEX('章节与怪物'!$E$31:$K$37,B252,6),'章节与怪物'!$A$41:$F$44,2,FALSE),0)+IF(6=D252,ROUND(AS252*'难度参数'!$E$28*'章节与怪物'!$E$17,0),0))</x:f>
        <x:v>224568</x:v>
      </x:c>
      <x:c r="AU252" s="119" t="n">
        <x:f>IF(AR252=0,0,(AR252-IF(6=D252,1,0))*VLOOKUP(INDEX('章节与怪物'!$E$31:$K$37,B252,6),'章节与怪物'!$A$41:$F$44,4,FALSE)+IF(6=D252,'难度参数'!$E$30,0))</x:f>
        <x:v>720</x:v>
      </x:c>
      <x:c r="AV252" s="119" t="n">
        <x:f>IF(7&gt;D252,0,MAX(2,MIN('难度参数'!$E$12,ROUND(('难度参数'!$E$18*POWER(A252,'难度参数'!$E$19)/D252*(0.85+0.3*(7-1)/MAX(1,D252-1))),0)+F252)))</x:f>
        <x:v>37</x:v>
      </x:c>
      <x:c r="AW252" s="119" t="n">
        <x:f>IF(7&gt;D252,0,ROUND(('难度参数'!$E$13*POWER(A252,'难度参数'!$E$20)*MIN('难度参数'!$E$23,1+MAX(0,A252-'难度参数'!$E$21)*'难度参数'!$E$22))*(36+7*7)/(36+7*(D252+1)/2)*E252,0))</x:f>
        <x:v>9442</x:v>
      </x:c>
      <x:c r="AX252" s="119" t="n">
        <x:f>IF(AV252=0,0,(AV252-IF(7=D252,1,0))*ROUND(AW252*VLOOKUP(INDEX('章节与怪物'!$E$31:$K$37,B252,7),'章节与怪物'!$A$41:$F$44,2,FALSE),0)+IF(7=D252,ROUND(AW252*'难度参数'!$E$28*'章节与怪物'!$E$17,0),0))</x:f>
        <x:v>642042</x:v>
      </x:c>
      <x:c r="AY252" s="119" t="n">
        <x:f>IF(AV252=0,0,(AV252-IF(7=D252,1,0))*VLOOKUP(INDEX('章节与怪物'!$E$31:$K$37,B252,7),'章节与怪物'!$A$41:$F$44,4,FALSE)+IF(7=D252,'难度参数'!$E$30,0))</x:f>
        <x:v>1208</x:v>
      </x:c>
    </x:row>
    <x:row r="253" ht="23" customHeight="1">
      <x:c r="A253" s="119" t="n">
        <x:v>247</x:v>
      </x:c>
      <x:c r="B253" s="119" t="n">
        <x:f>MOD(INT((A253-1)/5),7)+1</x:f>
        <x:v>1</x:v>
      </x:c>
      <x:c r="C253" s="62" t="str">
        <x:f>INDEX('章节与怪物'!$B$31:$B$37,B253)</x:f>
        <x:v>冰雪荒原</x:v>
      </x:c>
      <x:c r="D253" s="119" t="n">
        <x:f>MIN('难度参数'!$E$8,MAX('难度参数'!$E$7,A253))</x:f>
        <x:v>7</x:v>
      </x:c>
      <x:c r="E253" s="106" t="n">
        <x:v>1</x:v>
      </x:c>
      <x:c r="F253" s="106" t="n">
        <x:v>0</x:v>
      </x:c>
      <x:c r="G253" s="106" t="n">
        <x:v>1</x:v>
      </x:c>
      <x:c r="H253" s="119" t="n">
        <x:f>SUM(X253,AB253,AF253,AJ253,AN253,AR253,AV253)</x:f>
        <x:v>227</x:v>
      </x:c>
      <x:c r="I253" s="119" t="n">
        <x:f>SUM(Z253,AD253,AH253,AL253,AP253,AT253,AX253)</x:f>
        <x:v>2057437</x:v>
      </x:c>
      <x:c r="J253" s="119" t="n">
        <x:f>ROUND(INDEX(X253:AY253,1,(D253-1)*4+2)*'难度参数'!$E$28*'章节与怪物'!$E$17,0)</x:f>
        <x:v>64389</x:v>
      </x:c>
      <x:c r="K253" s="119" t="n">
        <x:f>SUM(AA253,AE253,AI253,AM253,AQ253,AU253,AY253)</x:f>
        <x:v>5626</x:v>
      </x:c>
      <x:c r="L253" s="62" t="n">
        <x:f>H253*(ROUNDUP('难度参数'!$E$24/('难度参数'!$E$26*'难度参数'!$E$27),0)*'难度参数'!$E$26)/60</x:f>
        <x:v>3.026666666666667</x:v>
      </x:c>
      <x:c r="M253" s="62" t="n">
        <x:f>L253+D253*('难度参数'!$E$49+'难度参数'!$E$50)/60</x:f>
        <x:v>4.193333333333333</x:v>
      </x:c>
      <x:c r="N253" s="119" t="n">
        <x:f>ROUNDDOWN(('经济参数'!$E$20+A253*'经济参数'!$E$21)*G253,0)</x:f>
        <x:v>5120</x:v>
      </x:c>
      <x:c r="O253" s="119" t="n">
        <x:f>ROUNDDOWN(MIN('经济参数'!$E$24,'经济参数'!$E$22+A253*'经济参数'!$E$23)*G253,0)</x:f>
        <x:v>0</x:v>
      </x:c>
      <x:c r="P253" s="119" t="n">
        <x:f>ROUNDDOWN((IF(A253&gt;='材料与任务'!$E$31,'材料与任务'!$E$32,IF(A253&gt;='材料与任务'!$E$25,'材料与任务'!$E$26,IF(A253&gt;='材料与任务'!$E$19,'材料与任务'!$E$20,IF(A253&gt;='材料与任务'!$E$13,'材料与任务'!$E$14,'材料与任务'!$E$8)))))*G253,0)</x:f>
        <x:v>6</x:v>
      </x:c>
      <x:c r="Q253" s="119" t="n">
        <x:f>ROUNDDOWN((IF(A253&gt;='材料与任务'!$E$31,'材料与任务'!$E$33,IF(A253&gt;='材料与任务'!$E$25,'材料与任务'!$E$27,IF(A253&gt;='材料与任务'!$E$19,'材料与任务'!$E$21,IF(A253&gt;='材料与任务'!$E$13,'材料与任务'!$E$15,'材料与任务'!$E$9)))))*G253,0)</x:f>
        <x:v>3</x:v>
      </x:c>
      <x:c r="R253" s="110" t="n">
        <x:f>'装备掉落'!$B$38</x:f>
        <x:v>0.6872058758851213</x:v>
      </x:c>
      <x:c r="S253" s="119" t="n">
        <x:f>MAX(IF(VLOOKUP(A253,'装备掉落'!$A$29:$H$34,2,TRUE)&gt;0,1,0),IF(VLOOKUP(A253,'装备掉落'!$A$29:$H$34,3,TRUE)&gt;0,2,0),IF(VLOOKUP(A253,'装备掉落'!$A$29:$H$34,4,TRUE)&gt;0,3,0),IF(VLOOKUP(A253,'装备掉落'!$A$29:$H$34,5,TRUE)&gt;0,4,0),IF(VLOOKUP(A253,'装备掉落'!$A$29:$H$34,6,TRUE)&gt;0,5,0),IF(VLOOKUP(A253,'装备掉落'!$A$29:$H$34,7,TRUE)&gt;0,6,0),IF(VLOOKUP(A253,'装备掉落'!$A$29:$H$34,8,TRUE)&gt;0,7,0))</x:f>
        <x:v>7</x:v>
      </x:c>
      <x:c r="T253" s="119" t="n">
        <x:f>MIN(7,S253+'经济参数'!$E$70)</x:f>
        <x:v>7</x:v>
      </x:c>
      <x:c r="U253" s="119" t="n">
        <x:f>MIN(7,S253+'经济参数'!$E$71)</x:f>
        <x:v>7</x:v>
      </x:c>
      <x:c r="V253" s="119" t="n">
        <x:f>IF(H253&gt;=('难度参数'!$E$52),1,0)+IF(H253&gt;=('难度参数'!$E$52+'难度参数'!$E$53),1,0)+IF(H253&gt;=('难度参数'!$E$52+'难度参数'!$E$53+'难度参数'!$E$54),1,0)+IF(H253&gt;=('难度参数'!$E$52+'难度参数'!$E$53+'难度参数'!$E$54+'难度参数'!$E$55),1,0)+IF(H253&gt;=('难度参数'!$E$52+'难度参数'!$E$53+'难度参数'!$E$54+'难度参数'!$E$55+'难度参数'!$E$56),1,0)+IF(H253&gt;=('难度参数'!$E$52+'难度参数'!$E$53+'难度参数'!$E$54+'难度参数'!$E$55+'难度参数'!$E$56+'难度参数'!$E$57),1,0)</x:f>
        <x:v>6</x:v>
      </x:c>
      <x:c r="W253" s="62" t="str">
        <x:f>IF(L253&gt;'难度参数'!$E$51,"仅出怪已超目标","还需实测")</x:f>
        <x:v>仅出怪已超目标</x:v>
      </x:c>
      <x:c r="X253" s="119" t="n">
        <x:f>IF(1&gt;D253,0,MAX(2,MIN('难度参数'!$E$12,ROUND(('难度参数'!$E$18*POWER(A253,'难度参数'!$E$19)/D253*(0.85+0.3*(1-1)/MAX(1,D253-1))),0)+F253)))</x:f>
        <x:v>28</x:v>
      </x:c>
      <x:c r="Y253" s="119" t="n">
        <x:f>IF(1&gt;D253,0,ROUND(('难度参数'!$E$13*POWER(A253,'难度参数'!$E$20)*MIN('难度参数'!$E$23,1+MAX(0,A253-'难度参数'!$E$21)*'难度参数'!$E$22))*(36+1*7)/(36+7*(D253+1)/2)*E253,0))</x:f>
        <x:v>4790</x:v>
      </x:c>
      <x:c r="Z253" s="119" t="n">
        <x:f>IF(X253=0,0,(X253-IF(1=D253,1,0))*ROUND(Y253*VLOOKUP(INDEX('章节与怪物'!$E$31:$K$37,B253,1),'章节与怪物'!$A$41:$F$44,2,FALSE),0)+IF(1=D253,ROUND(Y253*'难度参数'!$E$28*'章节与怪物'!$E$17,0),0))</x:f>
        <x:v>134120</x:v>
      </x:c>
      <x:c r="AA253" s="119" t="n">
        <x:f>IF(X253=0,0,(X253-IF(1=D253,1,0))*VLOOKUP(INDEX('章节与怪物'!$E$31:$K$37,B253,1),'章节与怪物'!$A$41:$F$44,4,FALSE)+IF(1=D253,'难度参数'!$E$30,0))</x:f>
        <x:v>504</x:v>
      </x:c>
      <x:c r="AB253" s="119" t="n">
        <x:f>IF(2&gt;D253,0,MAX(2,MIN('难度参数'!$E$12,ROUND(('难度参数'!$E$18*POWER(A253,'难度参数'!$E$19)/D253*(0.85+0.3*(2-1)/MAX(1,D253-1))),0)+F253)))</x:f>
        <x:v>29</x:v>
      </x:c>
      <x:c r="AC253" s="119" t="n">
        <x:f>IF(2&gt;D253,0,ROUND(('难度参数'!$E$13*POWER(A253,'难度参数'!$E$20)*MIN('难度参数'!$E$23,1+MAX(0,A253-'难度参数'!$E$21)*'难度参数'!$E$22))*(36+2*7)/(36+7*(D253+1)/2)*E253,0))</x:f>
        <x:v>5570</x:v>
      </x:c>
      <x:c r="AD253" s="119" t="n">
        <x:f>IF(AB253=0,0,(AB253-IF(2=D253,1,0))*ROUND(AC253*VLOOKUP(INDEX('章节与怪物'!$E$31:$K$37,B253,2),'章节与怪物'!$A$41:$F$44,2,FALSE),0)+IF(2=D253,ROUND(AC253*'难度参数'!$E$28*'章节与怪物'!$E$17,0),0))</x:f>
        <x:v>161530</x:v>
      </x:c>
      <x:c r="AE253" s="119" t="n">
        <x:f>IF(AB253=0,0,(AB253-IF(2=D253,1,0))*VLOOKUP(INDEX('章节与怪物'!$E$31:$K$37,B253,2),'章节与怪物'!$A$41:$F$44,4,FALSE)+IF(2=D253,'难度参数'!$E$30,0))</x:f>
        <x:v>522</x:v>
      </x:c>
      <x:c r="AF253" s="119" t="n">
        <x:f>IF(3&gt;D253,0,MAX(2,MIN('难度参数'!$E$12,ROUND(('难度参数'!$E$18*POWER(A253,'难度参数'!$E$19)/D253*(0.85+0.3*(3-1)/MAX(1,D253-1))),0)+F253)))</x:f>
        <x:v>31</x:v>
      </x:c>
      <x:c r="AG253" s="119" t="n">
        <x:f>IF(3&gt;D253,0,ROUND(('难度参数'!$E$13*POWER(A253,'难度参数'!$E$20)*MIN('难度参数'!$E$23,1+MAX(0,A253-'难度参数'!$E$21)*'难度参数'!$E$22))*(36+3*7)/(36+7*(D253+1)/2)*E253,0))</x:f>
        <x:v>6350</x:v>
      </x:c>
      <x:c r="AH253" s="119" t="n">
        <x:f>IF(AF253=0,0,(AF253-IF(3=D253,1,0))*ROUND(AG253*VLOOKUP(INDEX('章节与怪物'!$E$31:$K$37,B253,3),'章节与怪物'!$A$41:$F$44,2,FALSE),0)+IF(3=D253,ROUND(AG253*'难度参数'!$E$28*'章节与怪物'!$E$17,0),0))</x:f>
        <x:v>141732</x:v>
      </x:c>
      <x:c r="AI253" s="119" t="n">
        <x:f>IF(AF253=0,0,(AF253-IF(3=D253,1,0))*VLOOKUP(INDEX('章节与怪物'!$E$31:$K$37,B253,3),'章节与怪物'!$A$41:$F$44,4,FALSE)+IF(3=D253,'难度参数'!$E$30,0))</x:f>
        <x:v>620</x:v>
      </x:c>
      <x:c r="AJ253" s="119" t="n">
        <x:f>IF(4&gt;D253,0,MAX(2,MIN('难度参数'!$E$12,ROUND(('难度参数'!$E$18*POWER(A253,'难度参数'!$E$19)/D253*(0.85+0.3*(4-1)/MAX(1,D253-1))),0)+F253)))</x:f>
        <x:v>32</x:v>
      </x:c>
      <x:c r="AK253" s="119" t="n">
        <x:f>IF(4&gt;D253,0,ROUND(('难度参数'!$E$13*POWER(A253,'难度参数'!$E$20)*MIN('难度参数'!$E$23,1+MAX(0,A253-'难度参数'!$E$21)*'难度参数'!$E$22))*(36+4*7)/(36+7*(D253+1)/2)*E253,0))</x:f>
        <x:v>7130</x:v>
      </x:c>
      <x:c r="AL253" s="119" t="n">
        <x:f>IF(AJ253=0,0,(AJ253-IF(4=D253,1,0))*ROUND(AK253*VLOOKUP(INDEX('章节与怪物'!$E$31:$K$37,B253,4),'章节与怪物'!$A$41:$F$44,2,FALSE),0)+IF(4=D253,ROUND(AK253*'难度参数'!$E$28*'章节与怪物'!$E$17,0),0))</x:f>
        <x:v>387872</x:v>
      </x:c>
      <x:c r="AM253" s="119" t="n">
        <x:f>IF(AJ253=0,0,(AJ253-IF(4=D253,1,0))*VLOOKUP(INDEX('章节与怪物'!$E$31:$K$37,B253,4),'章节与怪物'!$A$41:$F$44,4,FALSE)+IF(4=D253,'难度参数'!$E$30,0))</x:f>
        <x:v>896</x:v>
      </x:c>
      <x:c r="AN253" s="119" t="n">
        <x:f>IF(5&gt;D253,0,MAX(2,MIN('难度参数'!$E$12,ROUND(('难度参数'!$E$18*POWER(A253,'难度参数'!$E$19)/D253*(0.85+0.3*(5-1)/MAX(1,D253-1))),0)+F253)))</x:f>
        <x:v>34</x:v>
      </x:c>
      <x:c r="AO253" s="119" t="n">
        <x:f>IF(5&gt;D253,0,ROUND(('难度参数'!$E$13*POWER(A253,'难度参数'!$E$20)*MIN('难度参数'!$E$23,1+MAX(0,A253-'难度参数'!$E$21)*'难度参数'!$E$22))*(36+5*7)/(36+7*(D253+1)/2)*E253,0))</x:f>
        <x:v>7910</x:v>
      </x:c>
      <x:c r="AP253" s="119" t="n">
        <x:f>IF(AN253=0,0,(AN253-IF(5=D253,1,0))*ROUND(AO253*VLOOKUP(INDEX('章节与怪物'!$E$31:$K$37,B253,5),'章节与怪物'!$A$41:$F$44,2,FALSE),0)+IF(5=D253,ROUND(AO253*'难度参数'!$E$28*'章节与怪物'!$E$17,0),0))</x:f>
        <x:v>363086</x:v>
      </x:c>
      <x:c r="AQ253" s="119" t="n">
        <x:f>IF(AN253=0,0,(AN253-IF(5=D253,1,0))*VLOOKUP(INDEX('章节与怪物'!$E$31:$K$37,B253,5),'章节与怪物'!$A$41:$F$44,4,FALSE)+IF(5=D253,'难度参数'!$E$30,0))</x:f>
        <x:v>1156</x:v>
      </x:c>
      <x:c r="AR253" s="119" t="n">
        <x:f>IF(6&gt;D253,0,MAX(2,MIN('难度参数'!$E$12,ROUND(('难度参数'!$E$18*POWER(A253,'难度参数'!$E$19)/D253*(0.85+0.3*(6-1)/MAX(1,D253-1))),0)+F253)))</x:f>
        <x:v>36</x:v>
      </x:c>
      <x:c r="AS253" s="119" t="n">
        <x:f>IF(6&gt;D253,0,ROUND(('难度参数'!$E$13*POWER(A253,'难度参数'!$E$20)*MIN('难度参数'!$E$23,1+MAX(0,A253-'难度参数'!$E$21)*'难度参数'!$E$22))*(36+6*7)/(36+7*(D253+1)/2)*E253,0))</x:f>
        <x:v>8689</x:v>
      </x:c>
      <x:c r="AT253" s="119" t="n">
        <x:f>IF(AR253=0,0,(AR253-IF(6=D253,1,0))*ROUND(AS253*VLOOKUP(INDEX('章节与怪物'!$E$31:$K$37,B253,6),'章节与怪物'!$A$41:$F$44,2,FALSE),0)+IF(6=D253,ROUND(AS253*'难度参数'!$E$28*'章节与怪物'!$E$17,0),0))</x:f>
        <x:v>225216</x:v>
      </x:c>
      <x:c r="AU253" s="119" t="n">
        <x:f>IF(AR253=0,0,(AR253-IF(6=D253,1,0))*VLOOKUP(INDEX('章节与怪物'!$E$31:$K$37,B253,6),'章节与怪物'!$A$41:$F$44,4,FALSE)+IF(6=D253,'难度参数'!$E$30,0))</x:f>
        <x:v>720</x:v>
      </x:c>
      <x:c r="AV253" s="119" t="n">
        <x:f>IF(7&gt;D253,0,MAX(2,MIN('难度参数'!$E$12,ROUND(('难度参数'!$E$18*POWER(A253,'难度参数'!$E$19)/D253*(0.85+0.3*(7-1)/MAX(1,D253-1))),0)+F253)))</x:f>
        <x:v>37</x:v>
      </x:c>
      <x:c r="AW253" s="119" t="n">
        <x:f>IF(7&gt;D253,0,ROUND(('难度参数'!$E$13*POWER(A253,'难度参数'!$E$20)*MIN('难度参数'!$E$23,1+MAX(0,A253-'难度参数'!$E$21)*'难度参数'!$E$22))*(36+7*7)/(36+7*(D253+1)/2)*E253,0))</x:f>
        <x:v>9469</x:v>
      </x:c>
      <x:c r="AX253" s="119" t="n">
        <x:f>IF(AV253=0,0,(AV253-IF(7=D253,1,0))*ROUND(AW253*VLOOKUP(INDEX('章节与怪物'!$E$31:$K$37,B253,7),'章节与怪物'!$A$41:$F$44,2,FALSE),0)+IF(7=D253,ROUND(AW253*'难度参数'!$E$28*'章节与怪物'!$E$17,0),0))</x:f>
        <x:v>643881</x:v>
      </x:c>
      <x:c r="AY253" s="119" t="n">
        <x:f>IF(AV253=0,0,(AV253-IF(7=D253,1,0))*VLOOKUP(INDEX('章节与怪物'!$E$31:$K$37,B253,7),'章节与怪物'!$A$41:$F$44,4,FALSE)+IF(7=D253,'难度参数'!$E$30,0))</x:f>
        <x:v>1208</x:v>
      </x:c>
    </x:row>
    <x:row r="254" ht="23" customHeight="1">
      <x:c r="A254" s="119" t="n">
        <x:v>248</x:v>
      </x:c>
      <x:c r="B254" s="119" t="n">
        <x:f>MOD(INT((A254-1)/5),7)+1</x:f>
        <x:v>1</x:v>
      </x:c>
      <x:c r="C254" s="62" t="str">
        <x:f>INDEX('章节与怪物'!$B$31:$B$37,B254)</x:f>
        <x:v>冰雪荒原</x:v>
      </x:c>
      <x:c r="D254" s="119" t="n">
        <x:f>MIN('难度参数'!$E$8,MAX('难度参数'!$E$7,A254))</x:f>
        <x:v>7</x:v>
      </x:c>
      <x:c r="E254" s="106" t="n">
        <x:v>1</x:v>
      </x:c>
      <x:c r="F254" s="106" t="n">
        <x:v>0</x:v>
      </x:c>
      <x:c r="G254" s="106" t="n">
        <x:v>1</x:v>
      </x:c>
      <x:c r="H254" s="119" t="n">
        <x:f>SUM(X254,AB254,AF254,AJ254,AN254,AR254,AV254)</x:f>
        <x:v>227</x:v>
      </x:c>
      <x:c r="I254" s="119" t="n">
        <x:f>SUM(Z254,AD254,AH254,AL254,AP254,AT254,AX254)</x:f>
        <x:v>2063505</x:v>
      </x:c>
      <x:c r="J254" s="119" t="n">
        <x:f>ROUND(INDEX(X254:AY254,1,(D254-1)*4+2)*'难度参数'!$E$28*'章节与怪物'!$E$17,0)</x:f>
        <x:v>64580</x:v>
      </x:c>
      <x:c r="K254" s="119" t="n">
        <x:f>SUM(AA254,AE254,AI254,AM254,AQ254,AU254,AY254)</x:f>
        <x:v>5626</x:v>
      </x:c>
      <x:c r="L254" s="62" t="n">
        <x:f>H254*(ROUNDUP('难度参数'!$E$24/('难度参数'!$E$26*'难度参数'!$E$27),0)*'难度参数'!$E$26)/60</x:f>
        <x:v>3.026666666666667</x:v>
      </x:c>
      <x:c r="M254" s="62" t="n">
        <x:f>L254+D254*('难度参数'!$E$49+'难度参数'!$E$50)/60</x:f>
        <x:v>4.193333333333333</x:v>
      </x:c>
      <x:c r="N254" s="119" t="n">
        <x:f>ROUNDDOWN(('经济参数'!$E$20+A254*'经济参数'!$E$21)*G254,0)</x:f>
        <x:v>5140</x:v>
      </x:c>
      <x:c r="O254" s="119" t="n">
        <x:f>ROUNDDOWN(MIN('经济参数'!$E$24,'经济参数'!$E$22+A254*'经济参数'!$E$23)*G254,0)</x:f>
        <x:v>0</x:v>
      </x:c>
      <x:c r="P254" s="119" t="n">
        <x:f>ROUNDDOWN((IF(A254&gt;='材料与任务'!$E$31,'材料与任务'!$E$32,IF(A254&gt;='材料与任务'!$E$25,'材料与任务'!$E$26,IF(A254&gt;='材料与任务'!$E$19,'材料与任务'!$E$20,IF(A254&gt;='材料与任务'!$E$13,'材料与任务'!$E$14,'材料与任务'!$E$8)))))*G254,0)</x:f>
        <x:v>6</x:v>
      </x:c>
      <x:c r="Q254" s="119" t="n">
        <x:f>ROUNDDOWN((IF(A254&gt;='材料与任务'!$E$31,'材料与任务'!$E$33,IF(A254&gt;='材料与任务'!$E$25,'材料与任务'!$E$27,IF(A254&gt;='材料与任务'!$E$19,'材料与任务'!$E$21,IF(A254&gt;='材料与任务'!$E$13,'材料与任务'!$E$15,'材料与任务'!$E$9)))))*G254,0)</x:f>
        <x:v>3</x:v>
      </x:c>
      <x:c r="R254" s="110" t="n">
        <x:f>'装备掉落'!$B$38</x:f>
        <x:v>0.6872058758851213</x:v>
      </x:c>
      <x:c r="S254" s="119" t="n">
        <x:f>MAX(IF(VLOOKUP(A254,'装备掉落'!$A$29:$H$34,2,TRUE)&gt;0,1,0),IF(VLOOKUP(A254,'装备掉落'!$A$29:$H$34,3,TRUE)&gt;0,2,0),IF(VLOOKUP(A254,'装备掉落'!$A$29:$H$34,4,TRUE)&gt;0,3,0),IF(VLOOKUP(A254,'装备掉落'!$A$29:$H$34,5,TRUE)&gt;0,4,0),IF(VLOOKUP(A254,'装备掉落'!$A$29:$H$34,6,TRUE)&gt;0,5,0),IF(VLOOKUP(A254,'装备掉落'!$A$29:$H$34,7,TRUE)&gt;0,6,0),IF(VLOOKUP(A254,'装备掉落'!$A$29:$H$34,8,TRUE)&gt;0,7,0))</x:f>
        <x:v>7</x:v>
      </x:c>
      <x:c r="T254" s="119" t="n">
        <x:f>MIN(7,S254+'经济参数'!$E$70)</x:f>
        <x:v>7</x:v>
      </x:c>
      <x:c r="U254" s="119" t="n">
        <x:f>MIN(7,S254+'经济参数'!$E$71)</x:f>
        <x:v>7</x:v>
      </x:c>
      <x:c r="V254" s="119" t="n">
        <x:f>IF(H254&gt;=('难度参数'!$E$52),1,0)+IF(H254&gt;=('难度参数'!$E$52+'难度参数'!$E$53),1,0)+IF(H254&gt;=('难度参数'!$E$52+'难度参数'!$E$53+'难度参数'!$E$54),1,0)+IF(H254&gt;=('难度参数'!$E$52+'难度参数'!$E$53+'难度参数'!$E$54+'难度参数'!$E$55),1,0)+IF(H254&gt;=('难度参数'!$E$52+'难度参数'!$E$53+'难度参数'!$E$54+'难度参数'!$E$55+'难度参数'!$E$56),1,0)+IF(H254&gt;=('难度参数'!$E$52+'难度参数'!$E$53+'难度参数'!$E$54+'难度参数'!$E$55+'难度参数'!$E$56+'难度参数'!$E$57),1,0)</x:f>
        <x:v>6</x:v>
      </x:c>
      <x:c r="W254" s="62" t="str">
        <x:f>IF(L254&gt;'难度参数'!$E$51,"仅出怪已超目标","还需实测")</x:f>
        <x:v>仅出怪已超目标</x:v>
      </x:c>
      <x:c r="X254" s="119" t="n">
        <x:f>IF(1&gt;D254,0,MAX(2,MIN('难度参数'!$E$12,ROUND(('难度参数'!$E$18*POWER(A254,'难度参数'!$E$19)/D254*(0.85+0.3*(1-1)/MAX(1,D254-1))),0)+F254)))</x:f>
        <x:v>28</x:v>
      </x:c>
      <x:c r="Y254" s="119" t="n">
        <x:f>IF(1&gt;D254,0,ROUND(('难度参数'!$E$13*POWER(A254,'难度参数'!$E$20)*MIN('难度参数'!$E$23,1+MAX(0,A254-'难度参数'!$E$21)*'难度参数'!$E$22))*(36+1*7)/(36+7*(D254+1)/2)*E254,0))</x:f>
        <x:v>4804</x:v>
      </x:c>
      <x:c r="Z254" s="119" t="n">
        <x:f>IF(X254=0,0,(X254-IF(1=D254,1,0))*ROUND(Y254*VLOOKUP(INDEX('章节与怪物'!$E$31:$K$37,B254,1),'章节与怪物'!$A$41:$F$44,2,FALSE),0)+IF(1=D254,ROUND(Y254*'难度参数'!$E$28*'章节与怪物'!$E$17,0),0))</x:f>
        <x:v>134512</x:v>
      </x:c>
      <x:c r="AA254" s="119" t="n">
        <x:f>IF(X254=0,0,(X254-IF(1=D254,1,0))*VLOOKUP(INDEX('章节与怪物'!$E$31:$K$37,B254,1),'章节与怪物'!$A$41:$F$44,4,FALSE)+IF(1=D254,'难度参数'!$E$30,0))</x:f>
        <x:v>504</x:v>
      </x:c>
      <x:c r="AB254" s="119" t="n">
        <x:f>IF(2&gt;D254,0,MAX(2,MIN('难度参数'!$E$12,ROUND(('难度参数'!$E$18*POWER(A254,'难度参数'!$E$19)/D254*(0.85+0.3*(2-1)/MAX(1,D254-1))),0)+F254)))</x:f>
        <x:v>29</x:v>
      </x:c>
      <x:c r="AC254" s="119" t="n">
        <x:f>IF(2&gt;D254,0,ROUND(('难度参数'!$E$13*POWER(A254,'难度参数'!$E$20)*MIN('难度参数'!$E$23,1+MAX(0,A254-'难度参数'!$E$21)*'难度参数'!$E$22))*(36+2*7)/(36+7*(D254+1)/2)*E254,0))</x:f>
        <x:v>5586</x:v>
      </x:c>
      <x:c r="AD254" s="119" t="n">
        <x:f>IF(AB254=0,0,(AB254-IF(2=D254,1,0))*ROUND(AC254*VLOOKUP(INDEX('章节与怪物'!$E$31:$K$37,B254,2),'章节与怪物'!$A$41:$F$44,2,FALSE),0)+IF(2=D254,ROUND(AC254*'难度参数'!$E$28*'章节与怪物'!$E$17,0),0))</x:f>
        <x:v>161994</x:v>
      </x:c>
      <x:c r="AE254" s="119" t="n">
        <x:f>IF(AB254=0,0,(AB254-IF(2=D254,1,0))*VLOOKUP(INDEX('章节与怪物'!$E$31:$K$37,B254,2),'章节与怪物'!$A$41:$F$44,4,FALSE)+IF(2=D254,'难度参数'!$E$30,0))</x:f>
        <x:v>522</x:v>
      </x:c>
      <x:c r="AF254" s="119" t="n">
        <x:f>IF(3&gt;D254,0,MAX(2,MIN('难度参数'!$E$12,ROUND(('难度参数'!$E$18*POWER(A254,'难度参数'!$E$19)/D254*(0.85+0.3*(3-1)/MAX(1,D254-1))),0)+F254)))</x:f>
        <x:v>31</x:v>
      </x:c>
      <x:c r="AG254" s="119" t="n">
        <x:f>IF(3&gt;D254,0,ROUND(('难度参数'!$E$13*POWER(A254,'难度参数'!$E$20)*MIN('难度参数'!$E$23,1+MAX(0,A254-'难度参数'!$E$21)*'难度参数'!$E$22))*(36+3*7)/(36+7*(D254+1)/2)*E254,0))</x:f>
        <x:v>6368</x:v>
      </x:c>
      <x:c r="AH254" s="119" t="n">
        <x:f>IF(AF254=0,0,(AF254-IF(3=D254,1,0))*ROUND(AG254*VLOOKUP(INDEX('章节与怪物'!$E$31:$K$37,B254,3),'章节与怪物'!$A$41:$F$44,2,FALSE),0)+IF(3=D254,ROUND(AG254*'难度参数'!$E$28*'章节与怪物'!$E$17,0),0))</x:f>
        <x:v>142135</x:v>
      </x:c>
      <x:c r="AI254" s="119" t="n">
        <x:f>IF(AF254=0,0,(AF254-IF(3=D254,1,0))*VLOOKUP(INDEX('章节与怪物'!$E$31:$K$37,B254,3),'章节与怪物'!$A$41:$F$44,4,FALSE)+IF(3=D254,'难度参数'!$E$30,0))</x:f>
        <x:v>620</x:v>
      </x:c>
      <x:c r="AJ254" s="119" t="n">
        <x:f>IF(4&gt;D254,0,MAX(2,MIN('难度参数'!$E$12,ROUND(('难度参数'!$E$18*POWER(A254,'难度参数'!$E$19)/D254*(0.85+0.3*(4-1)/MAX(1,D254-1))),0)+F254)))</x:f>
        <x:v>32</x:v>
      </x:c>
      <x:c r="AK254" s="119" t="n">
        <x:f>IF(4&gt;D254,0,ROUND(('难度参数'!$E$13*POWER(A254,'难度参数'!$E$20)*MIN('难度参数'!$E$23,1+MAX(0,A254-'难度参数'!$E$21)*'难度参数'!$E$22))*(36+4*7)/(36+7*(D254+1)/2)*E254,0))</x:f>
        <x:v>7151</x:v>
      </x:c>
      <x:c r="AL254" s="119" t="n">
        <x:f>IF(AJ254=0,0,(AJ254-IF(4=D254,1,0))*ROUND(AK254*VLOOKUP(INDEX('章节与怪物'!$E$31:$K$37,B254,4),'章节与怪物'!$A$41:$F$44,2,FALSE),0)+IF(4=D254,ROUND(AK254*'难度参数'!$E$28*'章节与怪物'!$E$17,0),0))</x:f>
        <x:v>389024</x:v>
      </x:c>
      <x:c r="AM254" s="119" t="n">
        <x:f>IF(AJ254=0,0,(AJ254-IF(4=D254,1,0))*VLOOKUP(INDEX('章节与怪物'!$E$31:$K$37,B254,4),'章节与怪物'!$A$41:$F$44,4,FALSE)+IF(4=D254,'难度参数'!$E$30,0))</x:f>
        <x:v>896</x:v>
      </x:c>
      <x:c r="AN254" s="119" t="n">
        <x:f>IF(5&gt;D254,0,MAX(2,MIN('难度参数'!$E$12,ROUND(('难度参数'!$E$18*POWER(A254,'难度参数'!$E$19)/D254*(0.85+0.3*(5-1)/MAX(1,D254-1))),0)+F254)))</x:f>
        <x:v>34</x:v>
      </x:c>
      <x:c r="AO254" s="119" t="n">
        <x:f>IF(5&gt;D254,0,ROUND(('难度参数'!$E$13*POWER(A254,'难度参数'!$E$20)*MIN('难度参数'!$E$23,1+MAX(0,A254-'难度参数'!$E$21)*'难度参数'!$E$22))*(36+5*7)/(36+7*(D254+1)/2)*E254,0))</x:f>
        <x:v>7933</x:v>
      </x:c>
      <x:c r="AP254" s="119" t="n">
        <x:f>IF(AN254=0,0,(AN254-IF(5=D254,1,0))*ROUND(AO254*VLOOKUP(INDEX('章节与怪物'!$E$31:$K$37,B254,5),'章节与怪物'!$A$41:$F$44,2,FALSE),0)+IF(5=D254,ROUND(AO254*'难度参数'!$E$28*'章节与怪物'!$E$17,0),0))</x:f>
        <x:v>364140</x:v>
      </x:c>
      <x:c r="AQ254" s="119" t="n">
        <x:f>IF(AN254=0,0,(AN254-IF(5=D254,1,0))*VLOOKUP(INDEX('章节与怪物'!$E$31:$K$37,B254,5),'章节与怪物'!$A$41:$F$44,4,FALSE)+IF(5=D254,'难度参数'!$E$30,0))</x:f>
        <x:v>1156</x:v>
      </x:c>
      <x:c r="AR254" s="119" t="n">
        <x:f>IF(6&gt;D254,0,MAX(2,MIN('难度参数'!$E$12,ROUND(('难度参数'!$E$18*POWER(A254,'难度参数'!$E$19)/D254*(0.85+0.3*(6-1)/MAX(1,D254-1))),0)+F254)))</x:f>
        <x:v>36</x:v>
      </x:c>
      <x:c r="AS254" s="119" t="n">
        <x:f>IF(6&gt;D254,0,ROUND(('难度参数'!$E$13*POWER(A254,'难度参数'!$E$20)*MIN('难度参数'!$E$23,1+MAX(0,A254-'难度参数'!$E$21)*'难度参数'!$E$22))*(36+6*7)/(36+7*(D254+1)/2)*E254,0))</x:f>
        <x:v>8715</x:v>
      </x:c>
      <x:c r="AT254" s="119" t="n">
        <x:f>IF(AR254=0,0,(AR254-IF(6=D254,1,0))*ROUND(AS254*VLOOKUP(INDEX('章节与怪物'!$E$31:$K$37,B254,6),'章节与怪物'!$A$41:$F$44,2,FALSE),0)+IF(6=D254,ROUND(AS254*'难度参数'!$E$28*'章节与怪物'!$E$17,0),0))</x:f>
        <x:v>225900</x:v>
      </x:c>
      <x:c r="AU254" s="119" t="n">
        <x:f>IF(AR254=0,0,(AR254-IF(6=D254,1,0))*VLOOKUP(INDEX('章节与怪物'!$E$31:$K$37,B254,6),'章节与怪物'!$A$41:$F$44,4,FALSE)+IF(6=D254,'难度参数'!$E$30,0))</x:f>
        <x:v>720</x:v>
      </x:c>
      <x:c r="AV254" s="119" t="n">
        <x:f>IF(7&gt;D254,0,MAX(2,MIN('难度参数'!$E$12,ROUND(('难度参数'!$E$18*POWER(A254,'难度参数'!$E$19)/D254*(0.85+0.3*(7-1)/MAX(1,D254-1))),0)+F254)))</x:f>
        <x:v>37</x:v>
      </x:c>
      <x:c r="AW254" s="119" t="n">
        <x:f>IF(7&gt;D254,0,ROUND(('难度参数'!$E$13*POWER(A254,'难度参数'!$E$20)*MIN('难度参数'!$E$23,1+MAX(0,A254-'难度参数'!$E$21)*'难度参数'!$E$22))*(36+7*7)/(36+7*(D254+1)/2)*E254,0))</x:f>
        <x:v>9497</x:v>
      </x:c>
      <x:c r="AX254" s="119" t="n">
        <x:f>IF(AV254=0,0,(AV254-IF(7=D254,1,0))*ROUND(AW254*VLOOKUP(INDEX('章节与怪物'!$E$31:$K$37,B254,7),'章节与怪物'!$A$41:$F$44,2,FALSE),0)+IF(7=D254,ROUND(AW254*'难度参数'!$E$28*'章节与怪物'!$E$17,0),0))</x:f>
        <x:v>645800</x:v>
      </x:c>
      <x:c r="AY254" s="119" t="n">
        <x:f>IF(AV254=0,0,(AV254-IF(7=D254,1,0))*VLOOKUP(INDEX('章节与怪物'!$E$31:$K$37,B254,7),'章节与怪物'!$A$41:$F$44,4,FALSE)+IF(7=D254,'难度参数'!$E$30,0))</x:f>
        <x:v>1208</x:v>
      </x:c>
    </x:row>
    <x:row r="255" ht="23" customHeight="1">
      <x:c r="A255" s="119" t="n">
        <x:v>249</x:v>
      </x:c>
      <x:c r="B255" s="119" t="n">
        <x:f>MOD(INT((A255-1)/5),7)+1</x:f>
        <x:v>1</x:v>
      </x:c>
      <x:c r="C255" s="62" t="str">
        <x:f>INDEX('章节与怪物'!$B$31:$B$37,B255)</x:f>
        <x:v>冰雪荒原</x:v>
      </x:c>
      <x:c r="D255" s="119" t="n">
        <x:f>MIN('难度参数'!$E$8,MAX('难度参数'!$E$7,A255))</x:f>
        <x:v>7</x:v>
      </x:c>
      <x:c r="E255" s="106" t="n">
        <x:v>1</x:v>
      </x:c>
      <x:c r="F255" s="106" t="n">
        <x:v>0</x:v>
      </x:c>
      <x:c r="G255" s="106" t="n">
        <x:v>1</x:v>
      </x:c>
      <x:c r="H255" s="119" t="n">
        <x:f>SUM(X255,AB255,AF255,AJ255,AN255,AR255,AV255)</x:f>
        <x:v>228</x:v>
      </x:c>
      <x:c r="I255" s="119" t="n">
        <x:f>SUM(Z255,AD255,AH255,AL255,AP255,AT255,AX255)</x:f>
        <x:v>2081644</x:v>
      </x:c>
      <x:c r="J255" s="119" t="n">
        <x:f>ROUND(INDEX(X255:AY255,1,(D255-1)*4+2)*'难度参数'!$E$28*'章节与怪物'!$E$17,0)</x:f>
        <x:v>64763</x:v>
      </x:c>
      <x:c r="K255" s="119" t="n">
        <x:f>SUM(AA255,AE255,AI255,AM255,AQ255,AU255,AY255)</x:f>
        <x:v>5654</x:v>
      </x:c>
      <x:c r="L255" s="62" t="n">
        <x:f>H255*(ROUNDUP('难度参数'!$E$24/('难度参数'!$E$26*'难度参数'!$E$27),0)*'难度参数'!$E$26)/60</x:f>
        <x:v>3.04</x:v>
      </x:c>
      <x:c r="M255" s="62" t="n">
        <x:f>L255+D255*('难度参数'!$E$49+'难度参数'!$E$50)/60</x:f>
        <x:v>4.206666666666667</x:v>
      </x:c>
      <x:c r="N255" s="119" t="n">
        <x:f>ROUNDDOWN(('经济参数'!$E$20+A255*'经济参数'!$E$21)*G255,0)</x:f>
        <x:v>5160</x:v>
      </x:c>
      <x:c r="O255" s="119" t="n">
        <x:f>ROUNDDOWN(MIN('经济参数'!$E$24,'经济参数'!$E$22+A255*'经济参数'!$E$23)*G255,0)</x:f>
        <x:v>0</x:v>
      </x:c>
      <x:c r="P255" s="119" t="n">
        <x:f>ROUNDDOWN((IF(A255&gt;='材料与任务'!$E$31,'材料与任务'!$E$32,IF(A255&gt;='材料与任务'!$E$25,'材料与任务'!$E$26,IF(A255&gt;='材料与任务'!$E$19,'材料与任务'!$E$20,IF(A255&gt;='材料与任务'!$E$13,'材料与任务'!$E$14,'材料与任务'!$E$8)))))*G255,0)</x:f>
        <x:v>6</x:v>
      </x:c>
      <x:c r="Q255" s="119" t="n">
        <x:f>ROUNDDOWN((IF(A255&gt;='材料与任务'!$E$31,'材料与任务'!$E$33,IF(A255&gt;='材料与任务'!$E$25,'材料与任务'!$E$27,IF(A255&gt;='材料与任务'!$E$19,'材料与任务'!$E$21,IF(A255&gt;='材料与任务'!$E$13,'材料与任务'!$E$15,'材料与任务'!$E$9)))))*G255,0)</x:f>
        <x:v>3</x:v>
      </x:c>
      <x:c r="R255" s="110" t="n">
        <x:f>'装备掉落'!$B$38</x:f>
        <x:v>0.6872058758851213</x:v>
      </x:c>
      <x:c r="S255" s="119" t="n">
        <x:f>MAX(IF(VLOOKUP(A255,'装备掉落'!$A$29:$H$34,2,TRUE)&gt;0,1,0),IF(VLOOKUP(A255,'装备掉落'!$A$29:$H$34,3,TRUE)&gt;0,2,0),IF(VLOOKUP(A255,'装备掉落'!$A$29:$H$34,4,TRUE)&gt;0,3,0),IF(VLOOKUP(A255,'装备掉落'!$A$29:$H$34,5,TRUE)&gt;0,4,0),IF(VLOOKUP(A255,'装备掉落'!$A$29:$H$34,6,TRUE)&gt;0,5,0),IF(VLOOKUP(A255,'装备掉落'!$A$29:$H$34,7,TRUE)&gt;0,6,0),IF(VLOOKUP(A255,'装备掉落'!$A$29:$H$34,8,TRUE)&gt;0,7,0))</x:f>
        <x:v>7</x:v>
      </x:c>
      <x:c r="T255" s="119" t="n">
        <x:f>MIN(7,S255+'经济参数'!$E$70)</x:f>
        <x:v>7</x:v>
      </x:c>
      <x:c r="U255" s="119" t="n">
        <x:f>MIN(7,S255+'经济参数'!$E$71)</x:f>
        <x:v>7</x:v>
      </x:c>
      <x:c r="V255" s="119" t="n">
        <x:f>IF(H255&gt;=('难度参数'!$E$52),1,0)+IF(H255&gt;=('难度参数'!$E$52+'难度参数'!$E$53),1,0)+IF(H255&gt;=('难度参数'!$E$52+'难度参数'!$E$53+'难度参数'!$E$54),1,0)+IF(H255&gt;=('难度参数'!$E$52+'难度参数'!$E$53+'难度参数'!$E$54+'难度参数'!$E$55),1,0)+IF(H255&gt;=('难度参数'!$E$52+'难度参数'!$E$53+'难度参数'!$E$54+'难度参数'!$E$55+'难度参数'!$E$56),1,0)+IF(H255&gt;=('难度参数'!$E$52+'难度参数'!$E$53+'难度参数'!$E$54+'难度参数'!$E$55+'难度参数'!$E$56+'难度参数'!$E$57),1,0)</x:f>
        <x:v>6</x:v>
      </x:c>
      <x:c r="W255" s="62" t="str">
        <x:f>IF(L255&gt;'难度参数'!$E$51,"仅出怪已超目标","还需实测")</x:f>
        <x:v>仅出怪已超目标</x:v>
      </x:c>
      <x:c r="X255" s="119" t="n">
        <x:f>IF(1&gt;D255,0,MAX(2,MIN('难度参数'!$E$12,ROUND(('难度参数'!$E$18*POWER(A255,'难度参数'!$E$19)/D255*(0.85+0.3*(1-1)/MAX(1,D255-1))),0)+F255)))</x:f>
        <x:v>28</x:v>
      </x:c>
      <x:c r="Y255" s="119" t="n">
        <x:f>IF(1&gt;D255,0,ROUND(('难度参数'!$E$13*POWER(A255,'难度参数'!$E$20)*MIN('难度参数'!$E$23,1+MAX(0,A255-'难度参数'!$E$21)*'难度参数'!$E$22))*(36+1*7)/(36+7*(D255+1)/2)*E255,0))</x:f>
        <x:v>4818</x:v>
      </x:c>
      <x:c r="Z255" s="119" t="n">
        <x:f>IF(X255=0,0,(X255-IF(1=D255,1,0))*ROUND(Y255*VLOOKUP(INDEX('章节与怪物'!$E$31:$K$37,B255,1),'章节与怪物'!$A$41:$F$44,2,FALSE),0)+IF(1=D255,ROUND(Y255*'难度参数'!$E$28*'章节与怪物'!$E$17,0),0))</x:f>
        <x:v>134904</x:v>
      </x:c>
      <x:c r="AA255" s="119" t="n">
        <x:f>IF(X255=0,0,(X255-IF(1=D255,1,0))*VLOOKUP(INDEX('章节与怪物'!$E$31:$K$37,B255,1),'章节与怪物'!$A$41:$F$44,4,FALSE)+IF(1=D255,'难度参数'!$E$30,0))</x:f>
        <x:v>504</x:v>
      </x:c>
      <x:c r="AB255" s="119" t="n">
        <x:f>IF(2&gt;D255,0,MAX(2,MIN('难度参数'!$E$12,ROUND(('难度参数'!$E$18*POWER(A255,'难度参数'!$E$19)/D255*(0.85+0.3*(2-1)/MAX(1,D255-1))),0)+F255)))</x:f>
        <x:v>29</x:v>
      </x:c>
      <x:c r="AC255" s="119" t="n">
        <x:f>IF(2&gt;D255,0,ROUND(('难度参数'!$E$13*POWER(A255,'难度参数'!$E$20)*MIN('难度参数'!$E$23,1+MAX(0,A255-'难度参数'!$E$21)*'难度参数'!$E$22))*(36+2*7)/(36+7*(D255+1)/2)*E255,0))</x:f>
        <x:v>5603</x:v>
      </x:c>
      <x:c r="AD255" s="119" t="n">
        <x:f>IF(AB255=0,0,(AB255-IF(2=D255,1,0))*ROUND(AC255*VLOOKUP(INDEX('章节与怪物'!$E$31:$K$37,B255,2),'章节与怪物'!$A$41:$F$44,2,FALSE),0)+IF(2=D255,ROUND(AC255*'难度参数'!$E$28*'章节与怪物'!$E$17,0),0))</x:f>
        <x:v>162487</x:v>
      </x:c>
      <x:c r="AE255" s="119" t="n">
        <x:f>IF(AB255=0,0,(AB255-IF(2=D255,1,0))*VLOOKUP(INDEX('章节与怪物'!$E$31:$K$37,B255,2),'章节与怪物'!$A$41:$F$44,4,FALSE)+IF(2=D255,'难度参数'!$E$30,0))</x:f>
        <x:v>522</x:v>
      </x:c>
      <x:c r="AF255" s="119" t="n">
        <x:f>IF(3&gt;D255,0,MAX(2,MIN('难度参数'!$E$12,ROUND(('难度参数'!$E$18*POWER(A255,'难度参数'!$E$19)/D255*(0.85+0.3*(3-1)/MAX(1,D255-1))),0)+F255)))</x:f>
        <x:v>31</x:v>
      </x:c>
      <x:c r="AG255" s="119" t="n">
        <x:f>IF(3&gt;D255,0,ROUND(('难度参数'!$E$13*POWER(A255,'难度参数'!$E$20)*MIN('难度参数'!$E$23,1+MAX(0,A255-'难度参数'!$E$21)*'难度参数'!$E$22))*(36+3*7)/(36+7*(D255+1)/2)*E255,0))</x:f>
        <x:v>6387</x:v>
      </x:c>
      <x:c r="AH255" s="119" t="n">
        <x:f>IF(AF255=0,0,(AF255-IF(3=D255,1,0))*ROUND(AG255*VLOOKUP(INDEX('章节与怪物'!$E$31:$K$37,B255,3),'章节与怪物'!$A$41:$F$44,2,FALSE),0)+IF(3=D255,ROUND(AG255*'难度参数'!$E$28*'章节与怪物'!$E$17,0),0))</x:f>
        <x:v>142569</x:v>
      </x:c>
      <x:c r="AI255" s="119" t="n">
        <x:f>IF(AF255=0,0,(AF255-IF(3=D255,1,0))*VLOOKUP(INDEX('章节与怪物'!$E$31:$K$37,B255,3),'章节与怪物'!$A$41:$F$44,4,FALSE)+IF(3=D255,'难度参数'!$E$30,0))</x:f>
        <x:v>620</x:v>
      </x:c>
      <x:c r="AJ255" s="119" t="n">
        <x:f>IF(4&gt;D255,0,MAX(2,MIN('难度参数'!$E$12,ROUND(('难度参数'!$E$18*POWER(A255,'难度参数'!$E$19)/D255*(0.85+0.3*(4-1)/MAX(1,D255-1))),0)+F255)))</x:f>
        <x:v>33</x:v>
      </x:c>
      <x:c r="AK255" s="119" t="n">
        <x:f>IF(4&gt;D255,0,ROUND(('难度参数'!$E$13*POWER(A255,'难度参数'!$E$20)*MIN('难度参数'!$E$23,1+MAX(0,A255-'难度参数'!$E$21)*'难度参数'!$E$22))*(36+4*7)/(36+7*(D255+1)/2)*E255,0))</x:f>
        <x:v>7171</x:v>
      </x:c>
      <x:c r="AL255" s="119" t="n">
        <x:f>IF(AJ255=0,0,(AJ255-IF(4=D255,1,0))*ROUND(AK255*VLOOKUP(INDEX('章节与怪物'!$E$31:$K$37,B255,4),'章节与怪物'!$A$41:$F$44,2,FALSE),0)+IF(4=D255,ROUND(AK255*'难度参数'!$E$28*'章节与怪物'!$E$17,0),0))</x:f>
        <x:v>402303</x:v>
      </x:c>
      <x:c r="AM255" s="119" t="n">
        <x:f>IF(AJ255=0,0,(AJ255-IF(4=D255,1,0))*VLOOKUP(INDEX('章节与怪物'!$E$31:$K$37,B255,4),'章节与怪物'!$A$41:$F$44,4,FALSE)+IF(4=D255,'难度参数'!$E$30,0))</x:f>
        <x:v>924</x:v>
      </x:c>
      <x:c r="AN255" s="119" t="n">
        <x:f>IF(5&gt;D255,0,MAX(2,MIN('难度参数'!$E$12,ROUND(('难度参数'!$E$18*POWER(A255,'难度参数'!$E$19)/D255*(0.85+0.3*(5-1)/MAX(1,D255-1))),0)+F255)))</x:f>
        <x:v>34</x:v>
      </x:c>
      <x:c r="AO255" s="119" t="n">
        <x:f>IF(5&gt;D255,0,ROUND(('难度参数'!$E$13*POWER(A255,'难度参数'!$E$20)*MIN('难度参数'!$E$23,1+MAX(0,A255-'难度参数'!$E$21)*'难度参数'!$E$22))*(36+5*7)/(36+7*(D255+1)/2)*E255,0))</x:f>
        <x:v>7956</x:v>
      </x:c>
      <x:c r="AP255" s="119" t="n">
        <x:f>IF(AN255=0,0,(AN255-IF(5=D255,1,0))*ROUND(AO255*VLOOKUP(INDEX('章节与怪物'!$E$31:$K$37,B255,5),'章节与怪物'!$A$41:$F$44,2,FALSE),0)+IF(5=D255,ROUND(AO255*'难度参数'!$E$28*'章节与怪物'!$E$17,0),0))</x:f>
        <x:v>365194</x:v>
      </x:c>
      <x:c r="AQ255" s="119" t="n">
        <x:f>IF(AN255=0,0,(AN255-IF(5=D255,1,0))*VLOOKUP(INDEX('章节与怪物'!$E$31:$K$37,B255,5),'章节与怪物'!$A$41:$F$44,4,FALSE)+IF(5=D255,'难度参数'!$E$30,0))</x:f>
        <x:v>1156</x:v>
      </x:c>
      <x:c r="AR255" s="119" t="n">
        <x:f>IF(6&gt;D255,0,MAX(2,MIN('难度参数'!$E$12,ROUND(('难度参数'!$E$18*POWER(A255,'难度参数'!$E$19)/D255*(0.85+0.3*(6-1)/MAX(1,D255-1))),0)+F255)))</x:f>
        <x:v>36</x:v>
      </x:c>
      <x:c r="AS255" s="119" t="n">
        <x:f>IF(6&gt;D255,0,ROUND(('难度参数'!$E$13*POWER(A255,'难度参数'!$E$20)*MIN('难度参数'!$E$23,1+MAX(0,A255-'难度参数'!$E$21)*'难度参数'!$E$22))*(36+6*7)/(36+7*(D255+1)/2)*E255,0))</x:f>
        <x:v>8740</x:v>
      </x:c>
      <x:c r="AT255" s="119" t="n">
        <x:f>IF(AR255=0,0,(AR255-IF(6=D255,1,0))*ROUND(AS255*VLOOKUP(INDEX('章节与怪物'!$E$31:$K$37,B255,6),'章节与怪物'!$A$41:$F$44,2,FALSE),0)+IF(6=D255,ROUND(AS255*'难度参数'!$E$28*'章节与怪物'!$E$17,0),0))</x:f>
        <x:v>226548</x:v>
      </x:c>
      <x:c r="AU255" s="119" t="n">
        <x:f>IF(AR255=0,0,(AR255-IF(6=D255,1,0))*VLOOKUP(INDEX('章节与怪物'!$E$31:$K$37,B255,6),'章节与怪物'!$A$41:$F$44,4,FALSE)+IF(6=D255,'难度参数'!$E$30,0))</x:f>
        <x:v>720</x:v>
      </x:c>
      <x:c r="AV255" s="119" t="n">
        <x:f>IF(7&gt;D255,0,MAX(2,MIN('难度参数'!$E$12,ROUND(('难度参数'!$E$18*POWER(A255,'难度参数'!$E$19)/D255*(0.85+0.3*(7-1)/MAX(1,D255-1))),0)+F255)))</x:f>
        <x:v>37</x:v>
      </x:c>
      <x:c r="AW255" s="119" t="n">
        <x:f>IF(7&gt;D255,0,ROUND(('难度参数'!$E$13*POWER(A255,'难度参数'!$E$20)*MIN('难度参数'!$E$23,1+MAX(0,A255-'难度参数'!$E$21)*'难度参数'!$E$22))*(36+7*7)/(36+7*(D255+1)/2)*E255,0))</x:f>
        <x:v>9524</x:v>
      </x:c>
      <x:c r="AX255" s="119" t="n">
        <x:f>IF(AV255=0,0,(AV255-IF(7=D255,1,0))*ROUND(AW255*VLOOKUP(INDEX('章节与怪物'!$E$31:$K$37,B255,7),'章节与怪物'!$A$41:$F$44,2,FALSE),0)+IF(7=D255,ROUND(AW255*'难度参数'!$E$28*'章节与怪物'!$E$17,0),0))</x:f>
        <x:v>647639</x:v>
      </x:c>
      <x:c r="AY255" s="119" t="n">
        <x:f>IF(AV255=0,0,(AV255-IF(7=D255,1,0))*VLOOKUP(INDEX('章节与怪物'!$E$31:$K$37,B255,7),'章节与怪物'!$A$41:$F$44,4,FALSE)+IF(7=D255,'难度参数'!$E$30,0))</x:f>
        <x:v>1208</x:v>
      </x:c>
    </x:row>
    <x:row r="256" ht="23" customHeight="1">
      <x:c r="A256" s="119" t="n">
        <x:v>250</x:v>
      </x:c>
      <x:c r="B256" s="119" t="n">
        <x:f>MOD(INT((A256-1)/5),7)+1</x:f>
        <x:v>1</x:v>
      </x:c>
      <x:c r="C256" s="62" t="str">
        <x:f>INDEX('章节与怪物'!$B$31:$B$37,B256)</x:f>
        <x:v>冰雪荒原</x:v>
      </x:c>
      <x:c r="D256" s="119" t="n">
        <x:f>MIN('难度参数'!$E$8,MAX('难度参数'!$E$7,A256))</x:f>
        <x:v>7</x:v>
      </x:c>
      <x:c r="E256" s="106" t="n">
        <x:v>1</x:v>
      </x:c>
      <x:c r="F256" s="106" t="n">
        <x:v>0</x:v>
      </x:c>
      <x:c r="G256" s="106" t="n">
        <x:v>1</x:v>
      </x:c>
      <x:c r="H256" s="119" t="n">
        <x:f>SUM(X256,AB256,AF256,AJ256,AN256,AR256,AV256)</x:f>
        <x:v>228</x:v>
      </x:c>
      <x:c r="I256" s="119" t="n">
        <x:f>SUM(Z256,AD256,AH256,AL256,AP256,AT256,AX256)</x:f>
        <x:v>2087643</x:v>
      </x:c>
      <x:c r="J256" s="119" t="n">
        <x:f>ROUND(INDEX(X256:AY256,1,(D256-1)*4+2)*'难度参数'!$E$28*'章节与怪物'!$E$17,0)</x:f>
        <x:v>64954</x:v>
      </x:c>
      <x:c r="K256" s="119" t="n">
        <x:f>SUM(AA256,AE256,AI256,AM256,AQ256,AU256,AY256)</x:f>
        <x:v>5654</x:v>
      </x:c>
      <x:c r="L256" s="62" t="n">
        <x:f>H256*(ROUNDUP('难度参数'!$E$24/('难度参数'!$E$26*'难度参数'!$E$27),0)*'难度参数'!$E$26)/60</x:f>
        <x:v>3.04</x:v>
      </x:c>
      <x:c r="M256" s="62" t="n">
        <x:f>L256+D256*('难度参数'!$E$49+'难度参数'!$E$50)/60</x:f>
        <x:v>4.206666666666667</x:v>
      </x:c>
      <x:c r="N256" s="119" t="n">
        <x:f>ROUNDDOWN(('经济参数'!$E$20+A256*'经济参数'!$E$21)*G256,0)</x:f>
        <x:v>5180</x:v>
      </x:c>
      <x:c r="O256" s="119" t="n">
        <x:f>ROUNDDOWN(MIN('经济参数'!$E$24,'经济参数'!$E$22+A256*'经济参数'!$E$23)*G256,0)</x:f>
        <x:v>0</x:v>
      </x:c>
      <x:c r="P256" s="119" t="n">
        <x:f>ROUNDDOWN((IF(A256&gt;='材料与任务'!$E$31,'材料与任务'!$E$32,IF(A256&gt;='材料与任务'!$E$25,'材料与任务'!$E$26,IF(A256&gt;='材料与任务'!$E$19,'材料与任务'!$E$20,IF(A256&gt;='材料与任务'!$E$13,'材料与任务'!$E$14,'材料与任务'!$E$8)))))*G256,0)</x:f>
        <x:v>6</x:v>
      </x:c>
      <x:c r="Q256" s="119" t="n">
        <x:f>ROUNDDOWN((IF(A256&gt;='材料与任务'!$E$31,'材料与任务'!$E$33,IF(A256&gt;='材料与任务'!$E$25,'材料与任务'!$E$27,IF(A256&gt;='材料与任务'!$E$19,'材料与任务'!$E$21,IF(A256&gt;='材料与任务'!$E$13,'材料与任务'!$E$15,'材料与任务'!$E$9)))))*G256,0)</x:f>
        <x:v>3</x:v>
      </x:c>
      <x:c r="R256" s="110" t="n">
        <x:f>'装备掉落'!$B$38</x:f>
        <x:v>0.6872058758851213</x:v>
      </x:c>
      <x:c r="S256" s="119" t="n">
        <x:f>MAX(IF(VLOOKUP(A256,'装备掉落'!$A$29:$H$34,2,TRUE)&gt;0,1,0),IF(VLOOKUP(A256,'装备掉落'!$A$29:$H$34,3,TRUE)&gt;0,2,0),IF(VLOOKUP(A256,'装备掉落'!$A$29:$H$34,4,TRUE)&gt;0,3,0),IF(VLOOKUP(A256,'装备掉落'!$A$29:$H$34,5,TRUE)&gt;0,4,0),IF(VLOOKUP(A256,'装备掉落'!$A$29:$H$34,6,TRUE)&gt;0,5,0),IF(VLOOKUP(A256,'装备掉落'!$A$29:$H$34,7,TRUE)&gt;0,6,0),IF(VLOOKUP(A256,'装备掉落'!$A$29:$H$34,8,TRUE)&gt;0,7,0))</x:f>
        <x:v>7</x:v>
      </x:c>
      <x:c r="T256" s="119" t="n">
        <x:f>MIN(7,S256+'经济参数'!$E$70)</x:f>
        <x:v>7</x:v>
      </x:c>
      <x:c r="U256" s="119" t="n">
        <x:f>MIN(7,S256+'经济参数'!$E$71)</x:f>
        <x:v>7</x:v>
      </x:c>
      <x:c r="V256" s="119" t="n">
        <x:f>IF(H256&gt;=('难度参数'!$E$52),1,0)+IF(H256&gt;=('难度参数'!$E$52+'难度参数'!$E$53),1,0)+IF(H256&gt;=('难度参数'!$E$52+'难度参数'!$E$53+'难度参数'!$E$54),1,0)+IF(H256&gt;=('难度参数'!$E$52+'难度参数'!$E$53+'难度参数'!$E$54+'难度参数'!$E$55),1,0)+IF(H256&gt;=('难度参数'!$E$52+'难度参数'!$E$53+'难度参数'!$E$54+'难度参数'!$E$55+'难度参数'!$E$56),1,0)+IF(H256&gt;=('难度参数'!$E$52+'难度参数'!$E$53+'难度参数'!$E$54+'难度参数'!$E$55+'难度参数'!$E$56+'难度参数'!$E$57),1,0)</x:f>
        <x:v>6</x:v>
      </x:c>
      <x:c r="W256" s="62" t="str">
        <x:f>IF(L256&gt;'难度参数'!$E$51,"仅出怪已超目标","还需实测")</x:f>
        <x:v>仅出怪已超目标</x:v>
      </x:c>
      <x:c r="X256" s="119" t="n">
        <x:f>IF(1&gt;D256,0,MAX(2,MIN('难度参数'!$E$12,ROUND(('难度参数'!$E$18*POWER(A256,'难度参数'!$E$19)/D256*(0.85+0.3*(1-1)/MAX(1,D256-1))),0)+F256)))</x:f>
        <x:v>28</x:v>
      </x:c>
      <x:c r="Y256" s="119" t="n">
        <x:f>IF(1&gt;D256,0,ROUND(('难度参数'!$E$13*POWER(A256,'难度参数'!$E$20)*MIN('难度参数'!$E$23,1+MAX(0,A256-'难度参数'!$E$21)*'难度参数'!$E$22))*(36+1*7)/(36+7*(D256+1)/2)*E256,0))</x:f>
        <x:v>4832</x:v>
      </x:c>
      <x:c r="Z256" s="119" t="n">
        <x:f>IF(X256=0,0,(X256-IF(1=D256,1,0))*ROUND(Y256*VLOOKUP(INDEX('章节与怪物'!$E$31:$K$37,B256,1),'章节与怪物'!$A$41:$F$44,2,FALSE),0)+IF(1=D256,ROUND(Y256*'难度参数'!$E$28*'章节与怪物'!$E$17,0),0))</x:f>
        <x:v>135296</x:v>
      </x:c>
      <x:c r="AA256" s="119" t="n">
        <x:f>IF(X256=0,0,(X256-IF(1=D256,1,0))*VLOOKUP(INDEX('章节与怪物'!$E$31:$K$37,B256,1),'章节与怪物'!$A$41:$F$44,4,FALSE)+IF(1=D256,'难度参数'!$E$30,0))</x:f>
        <x:v>504</x:v>
      </x:c>
      <x:c r="AB256" s="119" t="n">
        <x:f>IF(2&gt;D256,0,MAX(2,MIN('难度参数'!$E$12,ROUND(('难度参数'!$E$18*POWER(A256,'难度参数'!$E$19)/D256*(0.85+0.3*(2-1)/MAX(1,D256-1))),0)+F256)))</x:f>
        <x:v>29</x:v>
      </x:c>
      <x:c r="AC256" s="119" t="n">
        <x:f>IF(2&gt;D256,0,ROUND(('难度参数'!$E$13*POWER(A256,'难度参数'!$E$20)*MIN('难度参数'!$E$23,1+MAX(0,A256-'难度参数'!$E$21)*'难度参数'!$E$22))*(36+2*7)/(36+7*(D256+1)/2)*E256,0))</x:f>
        <x:v>5619</x:v>
      </x:c>
      <x:c r="AD256" s="119" t="n">
        <x:f>IF(AB256=0,0,(AB256-IF(2=D256,1,0))*ROUND(AC256*VLOOKUP(INDEX('章节与怪物'!$E$31:$K$37,B256,2),'章节与怪物'!$A$41:$F$44,2,FALSE),0)+IF(2=D256,ROUND(AC256*'难度参数'!$E$28*'章节与怪物'!$E$17,0),0))</x:f>
        <x:v>162951</x:v>
      </x:c>
      <x:c r="AE256" s="119" t="n">
        <x:f>IF(AB256=0,0,(AB256-IF(2=D256,1,0))*VLOOKUP(INDEX('章节与怪物'!$E$31:$K$37,B256,2),'章节与怪物'!$A$41:$F$44,4,FALSE)+IF(2=D256,'难度参数'!$E$30,0))</x:f>
        <x:v>522</x:v>
      </x:c>
      <x:c r="AF256" s="119" t="n">
        <x:f>IF(3&gt;D256,0,MAX(2,MIN('难度参数'!$E$12,ROUND(('难度参数'!$E$18*POWER(A256,'难度参数'!$E$19)/D256*(0.85+0.3*(3-1)/MAX(1,D256-1))),0)+F256)))</x:f>
        <x:v>31</x:v>
      </x:c>
      <x:c r="AG256" s="119" t="n">
        <x:f>IF(3&gt;D256,0,ROUND(('难度参数'!$E$13*POWER(A256,'难度参数'!$E$20)*MIN('难度参数'!$E$23,1+MAX(0,A256-'难度参数'!$E$21)*'难度参数'!$E$22))*(36+3*7)/(36+7*(D256+1)/2)*E256,0))</x:f>
        <x:v>6405</x:v>
      </x:c>
      <x:c r="AH256" s="119" t="n">
        <x:f>IF(AF256=0,0,(AF256-IF(3=D256,1,0))*ROUND(AG256*VLOOKUP(INDEX('章节与怪物'!$E$31:$K$37,B256,3),'章节与怪物'!$A$41:$F$44,2,FALSE),0)+IF(3=D256,ROUND(AG256*'难度参数'!$E$28*'章节与怪物'!$E$17,0),0))</x:f>
        <x:v>142972</x:v>
      </x:c>
      <x:c r="AI256" s="119" t="n">
        <x:f>IF(AF256=0,0,(AF256-IF(3=D256,1,0))*VLOOKUP(INDEX('章节与怪物'!$E$31:$K$37,B256,3),'章节与怪物'!$A$41:$F$44,4,FALSE)+IF(3=D256,'难度参数'!$E$30,0))</x:f>
        <x:v>620</x:v>
      </x:c>
      <x:c r="AJ256" s="119" t="n">
        <x:f>IF(4&gt;D256,0,MAX(2,MIN('难度参数'!$E$12,ROUND(('难度参数'!$E$18*POWER(A256,'难度参数'!$E$19)/D256*(0.85+0.3*(4-1)/MAX(1,D256-1))),0)+F256)))</x:f>
        <x:v>33</x:v>
      </x:c>
      <x:c r="AK256" s="119" t="n">
        <x:f>IF(4&gt;D256,0,ROUND(('难度参数'!$E$13*POWER(A256,'难度参数'!$E$20)*MIN('难度参数'!$E$23,1+MAX(0,A256-'难度参数'!$E$21)*'难度参数'!$E$22))*(36+4*7)/(36+7*(D256+1)/2)*E256,0))</x:f>
        <x:v>7192</x:v>
      </x:c>
      <x:c r="AL256" s="119" t="n">
        <x:f>IF(AJ256=0,0,(AJ256-IF(4=D256,1,0))*ROUND(AK256*VLOOKUP(INDEX('章节与怪物'!$E$31:$K$37,B256,4),'章节与怪物'!$A$41:$F$44,2,FALSE),0)+IF(4=D256,ROUND(AK256*'难度参数'!$E$28*'章节与怪物'!$E$17,0),0))</x:f>
        <x:v>403458</x:v>
      </x:c>
      <x:c r="AM256" s="119" t="n">
        <x:f>IF(AJ256=0,0,(AJ256-IF(4=D256,1,0))*VLOOKUP(INDEX('章节与怪物'!$E$31:$K$37,B256,4),'章节与怪物'!$A$41:$F$44,4,FALSE)+IF(4=D256,'难度参数'!$E$30,0))</x:f>
        <x:v>924</x:v>
      </x:c>
      <x:c r="AN256" s="119" t="n">
        <x:f>IF(5&gt;D256,0,MAX(2,MIN('难度参数'!$E$12,ROUND(('难度参数'!$E$18*POWER(A256,'难度参数'!$E$19)/D256*(0.85+0.3*(5-1)/MAX(1,D256-1))),0)+F256)))</x:f>
        <x:v>34</x:v>
      </x:c>
      <x:c r="AO256" s="119" t="n">
        <x:f>IF(5&gt;D256,0,ROUND(('难度参数'!$E$13*POWER(A256,'难度参数'!$E$20)*MIN('难度参数'!$E$23,1+MAX(0,A256-'难度参数'!$E$21)*'难度参数'!$E$22))*(36+5*7)/(36+7*(D256+1)/2)*E256,0))</x:f>
        <x:v>7979</x:v>
      </x:c>
      <x:c r="AP256" s="119" t="n">
        <x:f>IF(AN256=0,0,(AN256-IF(5=D256,1,0))*ROUND(AO256*VLOOKUP(INDEX('章节与怪物'!$E$31:$K$37,B256,5),'章节与怪物'!$A$41:$F$44,2,FALSE),0)+IF(5=D256,ROUND(AO256*'难度参数'!$E$28*'章节与怪物'!$E$17,0),0))</x:f>
        <x:v>366248</x:v>
      </x:c>
      <x:c r="AQ256" s="119" t="n">
        <x:f>IF(AN256=0,0,(AN256-IF(5=D256,1,0))*VLOOKUP(INDEX('章节与怪物'!$E$31:$K$37,B256,5),'章节与怪物'!$A$41:$F$44,4,FALSE)+IF(5=D256,'难度参数'!$E$30,0))</x:f>
        <x:v>1156</x:v>
      </x:c>
      <x:c r="AR256" s="119" t="n">
        <x:f>IF(6&gt;D256,0,MAX(2,MIN('难度参数'!$E$12,ROUND(('难度参数'!$E$18*POWER(A256,'难度参数'!$E$19)/D256*(0.85+0.3*(6-1)/MAX(1,D256-1))),0)+F256)))</x:f>
        <x:v>36</x:v>
      </x:c>
      <x:c r="AS256" s="119" t="n">
        <x:f>IF(6&gt;D256,0,ROUND(('难度参数'!$E$13*POWER(A256,'难度参数'!$E$20)*MIN('难度参数'!$E$23,1+MAX(0,A256-'难度参数'!$E$21)*'难度参数'!$E$22))*(36+6*7)/(36+7*(D256+1)/2)*E256,0))</x:f>
        <x:v>8765</x:v>
      </x:c>
      <x:c r="AT256" s="119" t="n">
        <x:f>IF(AR256=0,0,(AR256-IF(6=D256,1,0))*ROUND(AS256*VLOOKUP(INDEX('章节与怪物'!$E$31:$K$37,B256,6),'章节与怪物'!$A$41:$F$44,2,FALSE),0)+IF(6=D256,ROUND(AS256*'难度参数'!$E$28*'章节与怪物'!$E$17,0),0))</x:f>
        <x:v>227196</x:v>
      </x:c>
      <x:c r="AU256" s="119" t="n">
        <x:f>IF(AR256=0,0,(AR256-IF(6=D256,1,0))*VLOOKUP(INDEX('章节与怪物'!$E$31:$K$37,B256,6),'章节与怪物'!$A$41:$F$44,4,FALSE)+IF(6=D256,'难度参数'!$E$30,0))</x:f>
        <x:v>720</x:v>
      </x:c>
      <x:c r="AV256" s="119" t="n">
        <x:f>IF(7&gt;D256,0,MAX(2,MIN('难度参数'!$E$12,ROUND(('难度参数'!$E$18*POWER(A256,'难度参数'!$E$19)/D256*(0.85+0.3*(7-1)/MAX(1,D256-1))),0)+F256)))</x:f>
        <x:v>37</x:v>
      </x:c>
      <x:c r="AW256" s="119" t="n">
        <x:f>IF(7&gt;D256,0,ROUND(('难度参数'!$E$13*POWER(A256,'难度参数'!$E$20)*MIN('难度参数'!$E$23,1+MAX(0,A256-'难度参数'!$E$21)*'难度参数'!$E$22))*(36+7*7)/(36+7*(D256+1)/2)*E256,0))</x:f>
        <x:v>9552</x:v>
      </x:c>
      <x:c r="AX256" s="119" t="n">
        <x:f>IF(AV256=0,0,(AV256-IF(7=D256,1,0))*ROUND(AW256*VLOOKUP(INDEX('章节与怪物'!$E$31:$K$37,B256,7),'章节与怪物'!$A$41:$F$44,2,FALSE),0)+IF(7=D256,ROUND(AW256*'难度参数'!$E$28*'章节与怪物'!$E$17,0),0))</x:f>
        <x:v>649522</x:v>
      </x:c>
      <x:c r="AY256" s="119" t="n">
        <x:f>IF(AV256=0,0,(AV256-IF(7=D256,1,0))*VLOOKUP(INDEX('章节与怪物'!$E$31:$K$37,B256,7),'章节与怪物'!$A$41:$F$44,4,FALSE)+IF(7=D256,'难度参数'!$E$30,0))</x:f>
        <x:v>1208</x:v>
      </x:c>
    </x:row>
    <x:row r="257" ht="23" customHeight="1">
      <x:c r="A257" s="119" t="n">
        <x:v>251</x:v>
      </x:c>
      <x:c r="B257" s="119" t="n">
        <x:f>MOD(INT((A257-1)/5),7)+1</x:f>
        <x:v>2</x:v>
      </x:c>
      <x:c r="C257" s="62" t="str">
        <x:f>INDEX('章节与怪物'!$B$31:$B$37,B257)</x:f>
        <x:v>黄沙要塞</x:v>
      </x:c>
      <x:c r="D257" s="119" t="n">
        <x:f>MIN('难度参数'!$E$8,MAX('难度参数'!$E$7,A257))</x:f>
        <x:v>7</x:v>
      </x:c>
      <x:c r="E257" s="106" t="n">
        <x:v>1</x:v>
      </x:c>
      <x:c r="F257" s="106" t="n">
        <x:v>0</x:v>
      </x:c>
      <x:c r="G257" s="106" t="n">
        <x:v>1</x:v>
      </x:c>
      <x:c r="H257" s="119" t="n">
        <x:f>SUM(X257,AB257,AF257,AJ257,AN257,AR257,AV257)</x:f>
        <x:v>228</x:v>
      </x:c>
      <x:c r="I257" s="119" t="n">
        <x:f>SUM(Z257,AD257,AH257,AL257,AP257,AT257,AX257)</x:f>
        <x:v>2261717</x:v>
      </x:c>
      <x:c r="J257" s="119" t="n">
        <x:f>ROUND(INDEX(X257:AY257,1,(D257-1)*4+2)*'难度参数'!$E$28*'章节与怪物'!$E$17,0)</x:f>
        <x:v>65137</x:v>
      </x:c>
      <x:c r="K257" s="119" t="n">
        <x:f>SUM(AA257,AE257,AI257,AM257,AQ257,AU257,AY257)</x:f>
        <x:v>6116</x:v>
      </x:c>
      <x:c r="L257" s="62" t="n">
        <x:f>H257*(ROUNDUP('难度参数'!$E$24/('难度参数'!$E$26*'难度参数'!$E$27),0)*'难度参数'!$E$26)/60</x:f>
        <x:v>3.04</x:v>
      </x:c>
      <x:c r="M257" s="62" t="n">
        <x:f>L257+D257*('难度参数'!$E$49+'难度参数'!$E$50)/60</x:f>
        <x:v>4.206666666666667</x:v>
      </x:c>
      <x:c r="N257" s="119" t="n">
        <x:f>ROUNDDOWN(('经济参数'!$E$20+A257*'经济参数'!$E$21)*G257,0)</x:f>
        <x:v>5200</x:v>
      </x:c>
      <x:c r="O257" s="119" t="n">
        <x:f>ROUNDDOWN(MIN('经济参数'!$E$24,'经济参数'!$E$22+A257*'经济参数'!$E$23)*G257,0)</x:f>
        <x:v>0</x:v>
      </x:c>
      <x:c r="P257" s="119" t="n">
        <x:f>ROUNDDOWN((IF(A257&gt;='材料与任务'!$E$31,'材料与任务'!$E$32,IF(A257&gt;='材料与任务'!$E$25,'材料与任务'!$E$26,IF(A257&gt;='材料与任务'!$E$19,'材料与任务'!$E$20,IF(A257&gt;='材料与任务'!$E$13,'材料与任务'!$E$14,'材料与任务'!$E$8)))))*G257,0)</x:f>
        <x:v>6</x:v>
      </x:c>
      <x:c r="Q257" s="119" t="n">
        <x:f>ROUNDDOWN((IF(A257&gt;='材料与任务'!$E$31,'材料与任务'!$E$33,IF(A257&gt;='材料与任务'!$E$25,'材料与任务'!$E$27,IF(A257&gt;='材料与任务'!$E$19,'材料与任务'!$E$21,IF(A257&gt;='材料与任务'!$E$13,'材料与任务'!$E$15,'材料与任务'!$E$9)))))*G257,0)</x:f>
        <x:v>3</x:v>
      </x:c>
      <x:c r="R257" s="110" t="n">
        <x:f>'装备掉落'!$B$38</x:f>
        <x:v>0.6872058758851213</x:v>
      </x:c>
      <x:c r="S257" s="119" t="n">
        <x:f>MAX(IF(VLOOKUP(A257,'装备掉落'!$A$29:$H$34,2,TRUE)&gt;0,1,0),IF(VLOOKUP(A257,'装备掉落'!$A$29:$H$34,3,TRUE)&gt;0,2,0),IF(VLOOKUP(A257,'装备掉落'!$A$29:$H$34,4,TRUE)&gt;0,3,0),IF(VLOOKUP(A257,'装备掉落'!$A$29:$H$34,5,TRUE)&gt;0,4,0),IF(VLOOKUP(A257,'装备掉落'!$A$29:$H$34,6,TRUE)&gt;0,5,0),IF(VLOOKUP(A257,'装备掉落'!$A$29:$H$34,7,TRUE)&gt;0,6,0),IF(VLOOKUP(A257,'装备掉落'!$A$29:$H$34,8,TRUE)&gt;0,7,0))</x:f>
        <x:v>7</x:v>
      </x:c>
      <x:c r="T257" s="119" t="n">
        <x:f>MIN(7,S257+'经济参数'!$E$70)</x:f>
        <x:v>7</x:v>
      </x:c>
      <x:c r="U257" s="119" t="n">
        <x:f>MIN(7,S257+'经济参数'!$E$71)</x:f>
        <x:v>7</x:v>
      </x:c>
      <x:c r="V257" s="119" t="n">
        <x:f>IF(H257&gt;=('难度参数'!$E$52),1,0)+IF(H257&gt;=('难度参数'!$E$52+'难度参数'!$E$53),1,0)+IF(H257&gt;=('难度参数'!$E$52+'难度参数'!$E$53+'难度参数'!$E$54),1,0)+IF(H257&gt;=('难度参数'!$E$52+'难度参数'!$E$53+'难度参数'!$E$54+'难度参数'!$E$55),1,0)+IF(H257&gt;=('难度参数'!$E$52+'难度参数'!$E$53+'难度参数'!$E$54+'难度参数'!$E$55+'难度参数'!$E$56),1,0)+IF(H257&gt;=('难度参数'!$E$52+'难度参数'!$E$53+'难度参数'!$E$54+'难度参数'!$E$55+'难度参数'!$E$56+'难度参数'!$E$57),1,0)</x:f>
        <x:v>6</x:v>
      </x:c>
      <x:c r="W257" s="62" t="str">
        <x:f>IF(L257&gt;'难度参数'!$E$51,"仅出怪已超目标","还需实测")</x:f>
        <x:v>仅出怪已超目标</x:v>
      </x:c>
      <x:c r="X257" s="119" t="n">
        <x:f>IF(1&gt;D257,0,MAX(2,MIN('难度参数'!$E$12,ROUND(('难度参数'!$E$18*POWER(A257,'难度参数'!$E$19)/D257*(0.85+0.3*(1-1)/MAX(1,D257-1))),0)+F257)))</x:f>
        <x:v>28</x:v>
      </x:c>
      <x:c r="Y257" s="119" t="n">
        <x:f>IF(1&gt;D257,0,ROUND(('难度参数'!$E$13*POWER(A257,'难度参数'!$E$20)*MIN('难度参数'!$E$23,1+MAX(0,A257-'难度参数'!$E$21)*'难度参数'!$E$22))*(36+1*7)/(36+7*(D257+1)/2)*E257,0))</x:f>
        <x:v>4846</x:v>
      </x:c>
      <x:c r="Z257" s="119" t="n">
        <x:f>IF(X257=0,0,(X257-IF(1=D257,1,0))*ROUND(Y257*VLOOKUP(INDEX('章节与怪物'!$E$31:$K$37,B257,1),'章节与怪物'!$A$41:$F$44,2,FALSE),0)+IF(1=D257,ROUND(Y257*'难度参数'!$E$28*'章节与怪物'!$E$17,0),0))</x:f>
        <x:v>97692</x:v>
      </x:c>
      <x:c r="AA257" s="119" t="n">
        <x:f>IF(X257=0,0,(X257-IF(1=D257,1,0))*VLOOKUP(INDEX('章节与怪物'!$E$31:$K$37,B257,1),'章节与怪物'!$A$41:$F$44,4,FALSE)+IF(1=D257,'难度参数'!$E$30,0))</x:f>
        <x:v>560</x:v>
      </x:c>
      <x:c r="AB257" s="119" t="n">
        <x:f>IF(2&gt;D257,0,MAX(2,MIN('难度参数'!$E$12,ROUND(('难度参数'!$E$18*POWER(A257,'难度参数'!$E$19)/D257*(0.85+0.3*(2-1)/MAX(1,D257-1))),0)+F257)))</x:f>
        <x:v>29</x:v>
      </x:c>
      <x:c r="AC257" s="119" t="n">
        <x:f>IF(2&gt;D257,0,ROUND(('难度参数'!$E$13*POWER(A257,'难度参数'!$E$20)*MIN('难度参数'!$E$23,1+MAX(0,A257-'难度参数'!$E$21)*'难度参数'!$E$22))*(36+2*7)/(36+7*(D257+1)/2)*E257,0))</x:f>
        <x:v>5635</x:v>
      </x:c>
      <x:c r="AD257" s="119" t="n">
        <x:f>IF(AB257=0,0,(AB257-IF(2=D257,1,0))*ROUND(AC257*VLOOKUP(INDEX('章节与怪物'!$E$31:$K$37,B257,2),'章节与怪物'!$A$41:$F$44,2,FALSE),0)+IF(2=D257,ROUND(AC257*'难度参数'!$E$28*'章节与怪物'!$E$17,0),0))</x:f>
        <x:v>163415</x:v>
      </x:c>
      <x:c r="AE257" s="119" t="n">
        <x:f>IF(AB257=0,0,(AB257-IF(2=D257,1,0))*VLOOKUP(INDEX('章节与怪物'!$E$31:$K$37,B257,2),'章节与怪物'!$A$41:$F$44,4,FALSE)+IF(2=D257,'难度参数'!$E$30,0))</x:f>
        <x:v>522</x:v>
      </x:c>
      <x:c r="AF257" s="119" t="n">
        <x:f>IF(3&gt;D257,0,MAX(2,MIN('难度参数'!$E$12,ROUND(('难度参数'!$E$18*POWER(A257,'难度参数'!$E$19)/D257*(0.85+0.3*(3-1)/MAX(1,D257-1))),0)+F257)))</x:f>
        <x:v>31</x:v>
      </x:c>
      <x:c r="AG257" s="119" t="n">
        <x:f>IF(3&gt;D257,0,ROUND(('难度参数'!$E$13*POWER(A257,'难度参数'!$E$20)*MIN('难度参数'!$E$23,1+MAX(0,A257-'难度参数'!$E$21)*'难度参数'!$E$22))*(36+3*7)/(36+7*(D257+1)/2)*E257,0))</x:f>
        <x:v>6424</x:v>
      </x:c>
      <x:c r="AH257" s="119" t="n">
        <x:f>IF(AF257=0,0,(AF257-IF(3=D257,1,0))*ROUND(AG257*VLOOKUP(INDEX('章节与怪物'!$E$31:$K$37,B257,3),'章节与怪物'!$A$41:$F$44,2,FALSE),0)+IF(3=D257,ROUND(AG257*'难度参数'!$E$28*'章节与怪物'!$E$17,0),0))</x:f>
        <x:v>338551</x:v>
      </x:c>
      <x:c r="AI257" s="119" t="n">
        <x:f>IF(AF257=0,0,(AF257-IF(3=D257,1,0))*VLOOKUP(INDEX('章节与怪物'!$E$31:$K$37,B257,3),'章节与怪物'!$A$41:$F$44,4,FALSE)+IF(3=D257,'难度参数'!$E$30,0))</x:f>
        <x:v>868</x:v>
      </x:c>
      <x:c r="AJ257" s="119" t="n">
        <x:f>IF(4&gt;D257,0,MAX(2,MIN('难度参数'!$E$12,ROUND(('难度参数'!$E$18*POWER(A257,'难度参数'!$E$19)/D257*(0.85+0.3*(4-1)/MAX(1,D257-1))),0)+F257)))</x:f>
        <x:v>33</x:v>
      </x:c>
      <x:c r="AK257" s="119" t="n">
        <x:f>IF(4&gt;D257,0,ROUND(('难度参数'!$E$13*POWER(A257,'难度参数'!$E$20)*MIN('难度参数'!$E$23,1+MAX(0,A257-'难度参数'!$E$21)*'难度参数'!$E$22))*(36+4*7)/(36+7*(D257+1)/2)*E257,0))</x:f>
        <x:v>7213</x:v>
      </x:c>
      <x:c r="AL257" s="119" t="n">
        <x:f>IF(AJ257=0,0,(AJ257-IF(4=D257,1,0))*ROUND(AK257*VLOOKUP(INDEX('章节与怪物'!$E$31:$K$37,B257,4),'章节与怪物'!$A$41:$F$44,2,FALSE),0)+IF(4=D257,ROUND(AK257*'难度参数'!$E$28*'章节与怪物'!$E$17,0),0))</x:f>
        <x:v>321354</x:v>
      </x:c>
      <x:c r="AM257" s="119" t="n">
        <x:f>IF(AJ257=0,0,(AJ257-IF(4=D257,1,0))*VLOOKUP(INDEX('章节与怪物'!$E$31:$K$37,B257,4),'章节与怪物'!$A$41:$F$44,4,FALSE)+IF(4=D257,'难度参数'!$E$30,0))</x:f>
        <x:v>1122</x:v>
      </x:c>
      <x:c r="AN257" s="119" t="n">
        <x:f>IF(5&gt;D257,0,MAX(2,MIN('难度参数'!$E$12,ROUND(('难度参数'!$E$18*POWER(A257,'难度参数'!$E$19)/D257*(0.85+0.3*(5-1)/MAX(1,D257-1))),0)+F257)))</x:f>
        <x:v>34</x:v>
      </x:c>
      <x:c r="AO257" s="119" t="n">
        <x:f>IF(5&gt;D257,0,ROUND(('难度参数'!$E$13*POWER(A257,'难度参数'!$E$20)*MIN('难度参数'!$E$23,1+MAX(0,A257-'难度参数'!$E$21)*'难度参数'!$E$22))*(36+5*7)/(36+7*(D257+1)/2)*E257,0))</x:f>
        <x:v>8002</x:v>
      </x:c>
      <x:c r="AP257" s="119" t="n">
        <x:f>IF(AN257=0,0,(AN257-IF(5=D257,1,0))*ROUND(AO257*VLOOKUP(INDEX('章节与怪物'!$E$31:$K$37,B257,5),'章节与怪物'!$A$41:$F$44,2,FALSE),0)+IF(5=D257,ROUND(AO257*'难度参数'!$E$28*'章节与怪物'!$E$17,0),0))</x:f>
        <x:v>272068</x:v>
      </x:c>
      <x:c r="AQ257" s="119" t="n">
        <x:f>IF(AN257=0,0,(AN257-IF(5=D257,1,0))*VLOOKUP(INDEX('章节与怪物'!$E$31:$K$37,B257,5),'章节与怪物'!$A$41:$F$44,4,FALSE)+IF(5=D257,'难度参数'!$E$30,0))</x:f>
        <x:v>612</x:v>
      </x:c>
      <x:c r="AR257" s="119" t="n">
        <x:f>IF(6&gt;D257,0,MAX(2,MIN('难度参数'!$E$12,ROUND(('难度参数'!$E$18*POWER(A257,'难度参数'!$E$19)/D257*(0.85+0.3*(6-1)/MAX(1,D257-1))),0)+F257)))</x:f>
        <x:v>36</x:v>
      </x:c>
      <x:c r="AS257" s="119" t="n">
        <x:f>IF(6&gt;D257,0,ROUND(('难度参数'!$E$13*POWER(A257,'难度参数'!$E$20)*MIN('难度参数'!$E$23,1+MAX(0,A257-'难度参数'!$E$21)*'难度参数'!$E$22))*(36+6*7)/(36+7*(D257+1)/2)*E257,0))</x:f>
        <x:v>8790</x:v>
      </x:c>
      <x:c r="AT257" s="119" t="n">
        <x:f>IF(AR257=0,0,(AR257-IF(6=D257,1,0))*ROUND(AS257*VLOOKUP(INDEX('章节与怪物'!$E$31:$K$37,B257,6),'章节与怪物'!$A$41:$F$44,2,FALSE),0)+IF(6=D257,ROUND(AS257*'难度参数'!$E$28*'章节与怪物'!$E$17,0),0))</x:f>
        <x:v>537948</x:v>
      </x:c>
      <x:c r="AU257" s="119" t="n">
        <x:f>IF(AR257=0,0,(AR257-IF(6=D257,1,0))*VLOOKUP(INDEX('章节与怪物'!$E$31:$K$37,B257,6),'章节与怪物'!$A$41:$F$44,4,FALSE)+IF(6=D257,'难度参数'!$E$30,0))</x:f>
        <x:v>1008</x:v>
      </x:c>
      <x:c r="AV257" s="119" t="n">
        <x:f>IF(7&gt;D257,0,MAX(2,MIN('难度参数'!$E$12,ROUND(('难度参数'!$E$18*POWER(A257,'难度参数'!$E$19)/D257*(0.85+0.3*(7-1)/MAX(1,D257-1))),0)+F257)))</x:f>
        <x:v>37</x:v>
      </x:c>
      <x:c r="AW257" s="119" t="n">
        <x:f>IF(7&gt;D257,0,ROUND(('难度参数'!$E$13*POWER(A257,'难度参数'!$E$20)*MIN('难度参数'!$E$23,1+MAX(0,A257-'难度参数'!$E$21)*'难度参数'!$E$22))*(36+7*7)/(36+7*(D257+1)/2)*E257,0))</x:f>
        <x:v>9579</x:v>
      </x:c>
      <x:c r="AX257" s="119" t="n">
        <x:f>IF(AV257=0,0,(AV257-IF(7=D257,1,0))*ROUND(AW257*VLOOKUP(INDEX('章节与怪物'!$E$31:$K$37,B257,7),'章节与怪物'!$A$41:$F$44,2,FALSE),0)+IF(7=D257,ROUND(AW257*'难度参数'!$E$28*'章节与怪物'!$E$17,0),0))</x:f>
        <x:v>530689</x:v>
      </x:c>
      <x:c r="AY257" s="119" t="n">
        <x:f>IF(AV257=0,0,(AV257-IF(7=D257,1,0))*VLOOKUP(INDEX('章节与怪物'!$E$31:$K$37,B257,7),'章节与怪物'!$A$41:$F$44,4,FALSE)+IF(7=D257,'难度参数'!$E$30,0))</x:f>
        <x:v>1424</x:v>
      </x:c>
    </x:row>
    <x:row r="258" ht="23" customHeight="1">
      <x:c r="A258" s="119" t="n">
        <x:v>252</x:v>
      </x:c>
      <x:c r="B258" s="119" t="n">
        <x:f>MOD(INT((A258-1)/5),7)+1</x:f>
        <x:v>2</x:v>
      </x:c>
      <x:c r="C258" s="62" t="str">
        <x:f>INDEX('章节与怪物'!$B$31:$B$37,B258)</x:f>
        <x:v>黄沙要塞</x:v>
      </x:c>
      <x:c r="D258" s="119" t="n">
        <x:f>MIN('难度参数'!$E$8,MAX('难度参数'!$E$7,A258))</x:f>
        <x:v>7</x:v>
      </x:c>
      <x:c r="E258" s="106" t="n">
        <x:v>1</x:v>
      </x:c>
      <x:c r="F258" s="106" t="n">
        <x:v>0</x:v>
      </x:c>
      <x:c r="G258" s="106" t="n">
        <x:v>1</x:v>
      </x:c>
      <x:c r="H258" s="119" t="n">
        <x:f>SUM(X258,AB258,AF258,AJ258,AN258,AR258,AV258)</x:f>
        <x:v>229</x:v>
      </x:c>
      <x:c r="I258" s="119" t="n">
        <x:f>SUM(Z258,AD258,AH258,AL258,AP258,AT258,AX258)</x:f>
        <x:v>2281140</x:v>
      </x:c>
      <x:c r="J258" s="119" t="n">
        <x:f>ROUND(INDEX(X258:AY258,1,(D258-1)*4+2)*'难度参数'!$E$28*'章节与怪物'!$E$17,0)</x:f>
        <x:v>65328</x:v>
      </x:c>
      <x:c r="K258" s="119" t="n">
        <x:f>SUM(AA258,AE258,AI258,AM258,AQ258,AU258,AY258)</x:f>
        <x:v>6150</x:v>
      </x:c>
      <x:c r="L258" s="62" t="n">
        <x:f>H258*(ROUNDUP('难度参数'!$E$24/('难度参数'!$E$26*'难度参数'!$E$27),0)*'难度参数'!$E$26)/60</x:f>
        <x:v>3.0533333333333337</x:v>
      </x:c>
      <x:c r="M258" s="62" t="n">
        <x:f>L258+D258*('难度参数'!$E$49+'难度参数'!$E$50)/60</x:f>
        <x:v>4.220000000000001</x:v>
      </x:c>
      <x:c r="N258" s="119" t="n">
        <x:f>ROUNDDOWN(('经济参数'!$E$20+A258*'经济参数'!$E$21)*G258,0)</x:f>
        <x:v>5220</x:v>
      </x:c>
      <x:c r="O258" s="119" t="n">
        <x:f>ROUNDDOWN(MIN('经济参数'!$E$24,'经济参数'!$E$22+A258*'经济参数'!$E$23)*G258,0)</x:f>
        <x:v>0</x:v>
      </x:c>
      <x:c r="P258" s="119" t="n">
        <x:f>ROUNDDOWN((IF(A258&gt;='材料与任务'!$E$31,'材料与任务'!$E$32,IF(A258&gt;='材料与任务'!$E$25,'材料与任务'!$E$26,IF(A258&gt;='材料与任务'!$E$19,'材料与任务'!$E$20,IF(A258&gt;='材料与任务'!$E$13,'材料与任务'!$E$14,'材料与任务'!$E$8)))))*G258,0)</x:f>
        <x:v>6</x:v>
      </x:c>
      <x:c r="Q258" s="119" t="n">
        <x:f>ROUNDDOWN((IF(A258&gt;='材料与任务'!$E$31,'材料与任务'!$E$33,IF(A258&gt;='材料与任务'!$E$25,'材料与任务'!$E$27,IF(A258&gt;='材料与任务'!$E$19,'材料与任务'!$E$21,IF(A258&gt;='材料与任务'!$E$13,'材料与任务'!$E$15,'材料与任务'!$E$9)))))*G258,0)</x:f>
        <x:v>3</x:v>
      </x:c>
      <x:c r="R258" s="110" t="n">
        <x:f>'装备掉落'!$B$38</x:f>
        <x:v>0.6872058758851213</x:v>
      </x:c>
      <x:c r="S258" s="119" t="n">
        <x:f>MAX(IF(VLOOKUP(A258,'装备掉落'!$A$29:$H$34,2,TRUE)&gt;0,1,0),IF(VLOOKUP(A258,'装备掉落'!$A$29:$H$34,3,TRUE)&gt;0,2,0),IF(VLOOKUP(A258,'装备掉落'!$A$29:$H$34,4,TRUE)&gt;0,3,0),IF(VLOOKUP(A258,'装备掉落'!$A$29:$H$34,5,TRUE)&gt;0,4,0),IF(VLOOKUP(A258,'装备掉落'!$A$29:$H$34,6,TRUE)&gt;0,5,0),IF(VLOOKUP(A258,'装备掉落'!$A$29:$H$34,7,TRUE)&gt;0,6,0),IF(VLOOKUP(A258,'装备掉落'!$A$29:$H$34,8,TRUE)&gt;0,7,0))</x:f>
        <x:v>7</x:v>
      </x:c>
      <x:c r="T258" s="119" t="n">
        <x:f>MIN(7,S258+'经济参数'!$E$70)</x:f>
        <x:v>7</x:v>
      </x:c>
      <x:c r="U258" s="119" t="n">
        <x:f>MIN(7,S258+'经济参数'!$E$71)</x:f>
        <x:v>7</x:v>
      </x:c>
      <x:c r="V258" s="119" t="n">
        <x:f>IF(H258&gt;=('难度参数'!$E$52),1,0)+IF(H258&gt;=('难度参数'!$E$52+'难度参数'!$E$53),1,0)+IF(H258&gt;=('难度参数'!$E$52+'难度参数'!$E$53+'难度参数'!$E$54),1,0)+IF(H258&gt;=('难度参数'!$E$52+'难度参数'!$E$53+'难度参数'!$E$54+'难度参数'!$E$55),1,0)+IF(H258&gt;=('难度参数'!$E$52+'难度参数'!$E$53+'难度参数'!$E$54+'难度参数'!$E$55+'难度参数'!$E$56),1,0)+IF(H258&gt;=('难度参数'!$E$52+'难度参数'!$E$53+'难度参数'!$E$54+'难度参数'!$E$55+'难度参数'!$E$56+'难度参数'!$E$57),1,0)</x:f>
        <x:v>6</x:v>
      </x:c>
      <x:c r="W258" s="62" t="str">
        <x:f>IF(L258&gt;'难度参数'!$E$51,"仅出怪已超目标","还需实测")</x:f>
        <x:v>仅出怪已超目标</x:v>
      </x:c>
      <x:c r="X258" s="119" t="n">
        <x:f>IF(1&gt;D258,0,MAX(2,MIN('难度参数'!$E$12,ROUND(('难度参数'!$E$18*POWER(A258,'难度参数'!$E$19)/D258*(0.85+0.3*(1-1)/MAX(1,D258-1))),0)+F258)))</x:f>
        <x:v>28</x:v>
      </x:c>
      <x:c r="Y258" s="119" t="n">
        <x:f>IF(1&gt;D258,0,ROUND(('难度参数'!$E$13*POWER(A258,'难度参数'!$E$20)*MIN('难度参数'!$E$23,1+MAX(0,A258-'难度参数'!$E$21)*'难度参数'!$E$22))*(36+1*7)/(36+7*(D258+1)/2)*E258,0))</x:f>
        <x:v>4860</x:v>
      </x:c>
      <x:c r="Z258" s="119" t="n">
        <x:f>IF(X258=0,0,(X258-IF(1=D258,1,0))*ROUND(Y258*VLOOKUP(INDEX('章节与怪物'!$E$31:$K$37,B258,1),'章节与怪物'!$A$41:$F$44,2,FALSE),0)+IF(1=D258,ROUND(Y258*'难度参数'!$E$28*'章节与怪物'!$E$17,0),0))</x:f>
        <x:v>97972</x:v>
      </x:c>
      <x:c r="AA258" s="119" t="n">
        <x:f>IF(X258=0,0,(X258-IF(1=D258,1,0))*VLOOKUP(INDEX('章节与怪物'!$E$31:$K$37,B258,1),'章节与怪物'!$A$41:$F$44,4,FALSE)+IF(1=D258,'难度参数'!$E$30,0))</x:f>
        <x:v>560</x:v>
      </x:c>
      <x:c r="AB258" s="119" t="n">
        <x:f>IF(2&gt;D258,0,MAX(2,MIN('难度参数'!$E$12,ROUND(('难度参数'!$E$18*POWER(A258,'难度参数'!$E$19)/D258*(0.85+0.3*(2-1)/MAX(1,D258-1))),0)+F258)))</x:f>
        <x:v>29</x:v>
      </x:c>
      <x:c r="AC258" s="119" t="n">
        <x:f>IF(2&gt;D258,0,ROUND(('难度参数'!$E$13*POWER(A258,'难度参数'!$E$20)*MIN('难度参数'!$E$23,1+MAX(0,A258-'难度参数'!$E$21)*'难度参数'!$E$22))*(36+2*7)/(36+7*(D258+1)/2)*E258,0))</x:f>
        <x:v>5651</x:v>
      </x:c>
      <x:c r="AD258" s="119" t="n">
        <x:f>IF(AB258=0,0,(AB258-IF(2=D258,1,0))*ROUND(AC258*VLOOKUP(INDEX('章节与怪物'!$E$31:$K$37,B258,2),'章节与怪物'!$A$41:$F$44,2,FALSE),0)+IF(2=D258,ROUND(AC258*'难度参数'!$E$28*'章节与怪物'!$E$17,0),0))</x:f>
        <x:v>163879</x:v>
      </x:c>
      <x:c r="AE258" s="119" t="n">
        <x:f>IF(AB258=0,0,(AB258-IF(2=D258,1,0))*VLOOKUP(INDEX('章节与怪物'!$E$31:$K$37,B258,2),'章节与怪物'!$A$41:$F$44,4,FALSE)+IF(2=D258,'难度参数'!$E$30,0))</x:f>
        <x:v>522</x:v>
      </x:c>
      <x:c r="AF258" s="119" t="n">
        <x:f>IF(3&gt;D258,0,MAX(2,MIN('难度参数'!$E$12,ROUND(('难度参数'!$E$18*POWER(A258,'难度参数'!$E$19)/D258*(0.85+0.3*(3-1)/MAX(1,D258-1))),0)+F258)))</x:f>
        <x:v>31</x:v>
      </x:c>
      <x:c r="AG258" s="119" t="n">
        <x:f>IF(3&gt;D258,0,ROUND(('难度参数'!$E$13*POWER(A258,'难度参数'!$E$20)*MIN('难度参数'!$E$23,1+MAX(0,A258-'难度参数'!$E$21)*'难度参数'!$E$22))*(36+3*7)/(36+7*(D258+1)/2)*E258,0))</x:f>
        <x:v>6442</x:v>
      </x:c>
      <x:c r="AH258" s="119" t="n">
        <x:f>IF(AF258=0,0,(AF258-IF(3=D258,1,0))*ROUND(AG258*VLOOKUP(INDEX('章节与怪物'!$E$31:$K$37,B258,3),'章节与怪物'!$A$41:$F$44,2,FALSE),0)+IF(3=D258,ROUND(AG258*'难度参数'!$E$28*'章节与怪物'!$E$17,0),0))</x:f>
        <x:v>339481</x:v>
      </x:c>
      <x:c r="AI258" s="119" t="n">
        <x:f>IF(AF258=0,0,(AF258-IF(3=D258,1,0))*VLOOKUP(INDEX('章节与怪物'!$E$31:$K$37,B258,3),'章节与怪物'!$A$41:$F$44,4,FALSE)+IF(3=D258,'难度参数'!$E$30,0))</x:f>
        <x:v>868</x:v>
      </x:c>
      <x:c r="AJ258" s="119" t="n">
        <x:f>IF(4&gt;D258,0,MAX(2,MIN('难度参数'!$E$12,ROUND(('难度参数'!$E$18*POWER(A258,'难度参数'!$E$19)/D258*(0.85+0.3*(4-1)/MAX(1,D258-1))),0)+F258)))</x:f>
        <x:v>33</x:v>
      </x:c>
      <x:c r="AK258" s="119" t="n">
        <x:f>IF(4&gt;D258,0,ROUND(('难度参数'!$E$13*POWER(A258,'难度参数'!$E$20)*MIN('难度参数'!$E$23,1+MAX(0,A258-'难度参数'!$E$21)*'难度参数'!$E$22))*(36+4*7)/(36+7*(D258+1)/2)*E258,0))</x:f>
        <x:v>7233</x:v>
      </x:c>
      <x:c r="AL258" s="119" t="n">
        <x:f>IF(AJ258=0,0,(AJ258-IF(4=D258,1,0))*ROUND(AK258*VLOOKUP(INDEX('章节与怪物'!$E$31:$K$37,B258,4),'章节与怪物'!$A$41:$F$44,2,FALSE),0)+IF(4=D258,ROUND(AK258*'难度参数'!$E$28*'章节与怪物'!$E$17,0),0))</x:f>
        <x:v>322245</x:v>
      </x:c>
      <x:c r="AM258" s="119" t="n">
        <x:f>IF(AJ258=0,0,(AJ258-IF(4=D258,1,0))*VLOOKUP(INDEX('章节与怪物'!$E$31:$K$37,B258,4),'章节与怪物'!$A$41:$F$44,4,FALSE)+IF(4=D258,'难度参数'!$E$30,0))</x:f>
        <x:v>1122</x:v>
      </x:c>
      <x:c r="AN258" s="119" t="n">
        <x:f>IF(5&gt;D258,0,MAX(2,MIN('难度参数'!$E$12,ROUND(('难度参数'!$E$18*POWER(A258,'难度参数'!$E$19)/D258*(0.85+0.3*(5-1)/MAX(1,D258-1))),0)+F258)))</x:f>
        <x:v>34</x:v>
      </x:c>
      <x:c r="AO258" s="119" t="n">
        <x:f>IF(5&gt;D258,0,ROUND(('难度参数'!$E$13*POWER(A258,'难度参数'!$E$20)*MIN('难度参数'!$E$23,1+MAX(0,A258-'难度参数'!$E$21)*'难度参数'!$E$22))*(36+5*7)/(36+7*(D258+1)/2)*E258,0))</x:f>
        <x:v>8025</x:v>
      </x:c>
      <x:c r="AP258" s="119" t="n">
        <x:f>IF(AN258=0,0,(AN258-IF(5=D258,1,0))*ROUND(AO258*VLOOKUP(INDEX('章节与怪物'!$E$31:$K$37,B258,5),'章节与怪物'!$A$41:$F$44,2,FALSE),0)+IF(5=D258,ROUND(AO258*'难度参数'!$E$28*'章节与怪物'!$E$17,0),0))</x:f>
        <x:v>272850</x:v>
      </x:c>
      <x:c r="AQ258" s="119" t="n">
        <x:f>IF(AN258=0,0,(AN258-IF(5=D258,1,0))*VLOOKUP(INDEX('章节与怪物'!$E$31:$K$37,B258,5),'章节与怪物'!$A$41:$F$44,4,FALSE)+IF(5=D258,'难度参数'!$E$30,0))</x:f>
        <x:v>612</x:v>
      </x:c>
      <x:c r="AR258" s="119" t="n">
        <x:f>IF(6&gt;D258,0,MAX(2,MIN('难度参数'!$E$12,ROUND(('难度参数'!$E$18*POWER(A258,'难度参数'!$E$19)/D258*(0.85+0.3*(6-1)/MAX(1,D258-1))),0)+F258)))</x:f>
        <x:v>36</x:v>
      </x:c>
      <x:c r="AS258" s="119" t="n">
        <x:f>IF(6&gt;D258,0,ROUND(('难度参数'!$E$13*POWER(A258,'难度参数'!$E$20)*MIN('难度参数'!$E$23,1+MAX(0,A258-'难度参数'!$E$21)*'难度参数'!$E$22))*(36+6*7)/(36+7*(D258+1)/2)*E258,0))</x:f>
        <x:v>8816</x:v>
      </x:c>
      <x:c r="AT258" s="119" t="n">
        <x:f>IF(AR258=0,0,(AR258-IF(6=D258,1,0))*ROUND(AS258*VLOOKUP(INDEX('章节与怪物'!$E$31:$K$37,B258,6),'章节与怪物'!$A$41:$F$44,2,FALSE),0)+IF(6=D258,ROUND(AS258*'难度参数'!$E$28*'章节与怪物'!$E$17,0),0))</x:f>
        <x:v>539532</x:v>
      </x:c>
      <x:c r="AU258" s="119" t="n">
        <x:f>IF(AR258=0,0,(AR258-IF(6=D258,1,0))*VLOOKUP(INDEX('章节与怪物'!$E$31:$K$37,B258,6),'章节与怪物'!$A$41:$F$44,4,FALSE)+IF(6=D258,'难度参数'!$E$30,0))</x:f>
        <x:v>1008</x:v>
      </x:c>
      <x:c r="AV258" s="119" t="n">
        <x:f>IF(7&gt;D258,0,MAX(2,MIN('难度参数'!$E$12,ROUND(('难度参数'!$E$18*POWER(A258,'难度参数'!$E$19)/D258*(0.85+0.3*(7-1)/MAX(1,D258-1))),0)+F258)))</x:f>
        <x:v>38</x:v>
      </x:c>
      <x:c r="AW258" s="119" t="n">
        <x:f>IF(7&gt;D258,0,ROUND(('难度参数'!$E$13*POWER(A258,'难度参数'!$E$20)*MIN('难度参数'!$E$23,1+MAX(0,A258-'难度参数'!$E$21)*'难度参数'!$E$22))*(36+7*7)/(36+7*(D258+1)/2)*E258,0))</x:f>
        <x:v>9607</x:v>
      </x:c>
      <x:c r="AX258" s="119" t="n">
        <x:f>IF(AV258=0,0,(AV258-IF(7=D258,1,0))*ROUND(AW258*VLOOKUP(INDEX('章节与怪物'!$E$31:$K$37,B258,7),'章节与怪物'!$A$41:$F$44,2,FALSE),0)+IF(7=D258,ROUND(AW258*'难度参数'!$E$28*'章节与怪物'!$E$17,0),0))</x:f>
        <x:v>545181</x:v>
      </x:c>
      <x:c r="AY258" s="119" t="n">
        <x:f>IF(AV258=0,0,(AV258-IF(7=D258,1,0))*VLOOKUP(INDEX('章节与怪物'!$E$31:$K$37,B258,7),'章节与怪物'!$A$41:$F$44,4,FALSE)+IF(7=D258,'难度参数'!$E$30,0))</x:f>
        <x:v>1458</x:v>
      </x:c>
    </x:row>
    <x:row r="259" ht="23" customHeight="1">
      <x:c r="A259" s="119" t="n">
        <x:v>253</x:v>
      </x:c>
      <x:c r="B259" s="119" t="n">
        <x:f>MOD(INT((A259-1)/5),7)+1</x:f>
        <x:v>2</x:v>
      </x:c>
      <x:c r="C259" s="62" t="str">
        <x:f>INDEX('章节与怪物'!$B$31:$B$37,B259)</x:f>
        <x:v>黄沙要塞</x:v>
      </x:c>
      <x:c r="D259" s="119" t="n">
        <x:f>MIN('难度参数'!$E$8,MAX('难度参数'!$E$7,A259))</x:f>
        <x:v>7</x:v>
      </x:c>
      <x:c r="E259" s="106" t="n">
        <x:v>1</x:v>
      </x:c>
      <x:c r="F259" s="106" t="n">
        <x:v>0</x:v>
      </x:c>
      <x:c r="G259" s="106" t="n">
        <x:v>1</x:v>
      </x:c>
      <x:c r="H259" s="119" t="n">
        <x:f>SUM(X259,AB259,AF259,AJ259,AN259,AR259,AV259)</x:f>
        <x:v>229</x:v>
      </x:c>
      <x:c r="I259" s="119" t="n">
        <x:f>SUM(Z259,AD259,AH259,AL259,AP259,AT259,AX259)</x:f>
        <x:v>2287679</x:v>
      </x:c>
      <x:c r="J259" s="119" t="n">
        <x:f>ROUND(INDEX(X259:AY259,1,(D259-1)*4+2)*'难度参数'!$E$28*'章节与怪物'!$E$17,0)</x:f>
        <x:v>65511</x:v>
      </x:c>
      <x:c r="K259" s="119" t="n">
        <x:f>SUM(AA259,AE259,AI259,AM259,AQ259,AU259,AY259)</x:f>
        <x:v>6150</x:v>
      </x:c>
      <x:c r="L259" s="62" t="n">
        <x:f>H259*(ROUNDUP('难度参数'!$E$24/('难度参数'!$E$26*'难度参数'!$E$27),0)*'难度参数'!$E$26)/60</x:f>
        <x:v>3.0533333333333337</x:v>
      </x:c>
      <x:c r="M259" s="62" t="n">
        <x:f>L259+D259*('难度参数'!$E$49+'难度参数'!$E$50)/60</x:f>
        <x:v>4.220000000000001</x:v>
      </x:c>
      <x:c r="N259" s="119" t="n">
        <x:f>ROUNDDOWN(('经济参数'!$E$20+A259*'经济参数'!$E$21)*G259,0)</x:f>
        <x:v>5240</x:v>
      </x:c>
      <x:c r="O259" s="119" t="n">
        <x:f>ROUNDDOWN(MIN('经济参数'!$E$24,'经济参数'!$E$22+A259*'经济参数'!$E$23)*G259,0)</x:f>
        <x:v>0</x:v>
      </x:c>
      <x:c r="P259" s="119" t="n">
        <x:f>ROUNDDOWN((IF(A259&gt;='材料与任务'!$E$31,'材料与任务'!$E$32,IF(A259&gt;='材料与任务'!$E$25,'材料与任务'!$E$26,IF(A259&gt;='材料与任务'!$E$19,'材料与任务'!$E$20,IF(A259&gt;='材料与任务'!$E$13,'材料与任务'!$E$14,'材料与任务'!$E$8)))))*G259,0)</x:f>
        <x:v>6</x:v>
      </x:c>
      <x:c r="Q259" s="119" t="n">
        <x:f>ROUNDDOWN((IF(A259&gt;='材料与任务'!$E$31,'材料与任务'!$E$33,IF(A259&gt;='材料与任务'!$E$25,'材料与任务'!$E$27,IF(A259&gt;='材料与任务'!$E$19,'材料与任务'!$E$21,IF(A259&gt;='材料与任务'!$E$13,'材料与任务'!$E$15,'材料与任务'!$E$9)))))*G259,0)</x:f>
        <x:v>3</x:v>
      </x:c>
      <x:c r="R259" s="110" t="n">
        <x:f>'装备掉落'!$B$38</x:f>
        <x:v>0.6872058758851213</x:v>
      </x:c>
      <x:c r="S259" s="119" t="n">
        <x:f>MAX(IF(VLOOKUP(A259,'装备掉落'!$A$29:$H$34,2,TRUE)&gt;0,1,0),IF(VLOOKUP(A259,'装备掉落'!$A$29:$H$34,3,TRUE)&gt;0,2,0),IF(VLOOKUP(A259,'装备掉落'!$A$29:$H$34,4,TRUE)&gt;0,3,0),IF(VLOOKUP(A259,'装备掉落'!$A$29:$H$34,5,TRUE)&gt;0,4,0),IF(VLOOKUP(A259,'装备掉落'!$A$29:$H$34,6,TRUE)&gt;0,5,0),IF(VLOOKUP(A259,'装备掉落'!$A$29:$H$34,7,TRUE)&gt;0,6,0),IF(VLOOKUP(A259,'装备掉落'!$A$29:$H$34,8,TRUE)&gt;0,7,0))</x:f>
        <x:v>7</x:v>
      </x:c>
      <x:c r="T259" s="119" t="n">
        <x:f>MIN(7,S259+'经济参数'!$E$70)</x:f>
        <x:v>7</x:v>
      </x:c>
      <x:c r="U259" s="119" t="n">
        <x:f>MIN(7,S259+'经济参数'!$E$71)</x:f>
        <x:v>7</x:v>
      </x:c>
      <x:c r="V259" s="119" t="n">
        <x:f>IF(H259&gt;=('难度参数'!$E$52),1,0)+IF(H259&gt;=('难度参数'!$E$52+'难度参数'!$E$53),1,0)+IF(H259&gt;=('难度参数'!$E$52+'难度参数'!$E$53+'难度参数'!$E$54),1,0)+IF(H259&gt;=('难度参数'!$E$52+'难度参数'!$E$53+'难度参数'!$E$54+'难度参数'!$E$55),1,0)+IF(H259&gt;=('难度参数'!$E$52+'难度参数'!$E$53+'难度参数'!$E$54+'难度参数'!$E$55+'难度参数'!$E$56),1,0)+IF(H259&gt;=('难度参数'!$E$52+'难度参数'!$E$53+'难度参数'!$E$54+'难度参数'!$E$55+'难度参数'!$E$56+'难度参数'!$E$57),1,0)</x:f>
        <x:v>6</x:v>
      </x:c>
      <x:c r="W259" s="62" t="str">
        <x:f>IF(L259&gt;'难度参数'!$E$51,"仅出怪已超目标","还需实测")</x:f>
        <x:v>仅出怪已超目标</x:v>
      </x:c>
      <x:c r="X259" s="119" t="n">
        <x:f>IF(1&gt;D259,0,MAX(2,MIN('难度参数'!$E$12,ROUND(('难度参数'!$E$18*POWER(A259,'难度参数'!$E$19)/D259*(0.85+0.3*(1-1)/MAX(1,D259-1))),0)+F259)))</x:f>
        <x:v>28</x:v>
      </x:c>
      <x:c r="Y259" s="119" t="n">
        <x:f>IF(1&gt;D259,0,ROUND(('难度参数'!$E$13*POWER(A259,'难度参数'!$E$20)*MIN('难度参数'!$E$23,1+MAX(0,A259-'难度参数'!$E$21)*'难度参数'!$E$22))*(36+1*7)/(36+7*(D259+1)/2)*E259,0))</x:f>
        <x:v>4874</x:v>
      </x:c>
      <x:c r="Z259" s="119" t="n">
        <x:f>IF(X259=0,0,(X259-IF(1=D259,1,0))*ROUND(Y259*VLOOKUP(INDEX('章节与怪物'!$E$31:$K$37,B259,1),'章节与怪物'!$A$41:$F$44,2,FALSE),0)+IF(1=D259,ROUND(Y259*'难度参数'!$E$28*'章节与怪物'!$E$17,0),0))</x:f>
        <x:v>98252</x:v>
      </x:c>
      <x:c r="AA259" s="119" t="n">
        <x:f>IF(X259=0,0,(X259-IF(1=D259,1,0))*VLOOKUP(INDEX('章节与怪物'!$E$31:$K$37,B259,1),'章节与怪物'!$A$41:$F$44,4,FALSE)+IF(1=D259,'难度参数'!$E$30,0))</x:f>
        <x:v>560</x:v>
      </x:c>
      <x:c r="AB259" s="119" t="n">
        <x:f>IF(2&gt;D259,0,MAX(2,MIN('难度参数'!$E$12,ROUND(('难度参数'!$E$18*POWER(A259,'难度参数'!$E$19)/D259*(0.85+0.3*(2-1)/MAX(1,D259-1))),0)+F259)))</x:f>
        <x:v>29</x:v>
      </x:c>
      <x:c r="AC259" s="119" t="n">
        <x:f>IF(2&gt;D259,0,ROUND(('难度参数'!$E$13*POWER(A259,'难度参数'!$E$20)*MIN('难度参数'!$E$23,1+MAX(0,A259-'难度参数'!$E$21)*'难度参数'!$E$22))*(36+2*7)/(36+7*(D259+1)/2)*E259,0))</x:f>
        <x:v>5667</x:v>
      </x:c>
      <x:c r="AD259" s="119" t="n">
        <x:f>IF(AB259=0,0,(AB259-IF(2=D259,1,0))*ROUND(AC259*VLOOKUP(INDEX('章节与怪物'!$E$31:$K$37,B259,2),'章节与怪物'!$A$41:$F$44,2,FALSE),0)+IF(2=D259,ROUND(AC259*'难度参数'!$E$28*'章节与怪物'!$E$17,0),0))</x:f>
        <x:v>164343</x:v>
      </x:c>
      <x:c r="AE259" s="119" t="n">
        <x:f>IF(AB259=0,0,(AB259-IF(2=D259,1,0))*VLOOKUP(INDEX('章节与怪物'!$E$31:$K$37,B259,2),'章节与怪物'!$A$41:$F$44,4,FALSE)+IF(2=D259,'难度参数'!$E$30,0))</x:f>
        <x:v>522</x:v>
      </x:c>
      <x:c r="AF259" s="119" t="n">
        <x:f>IF(3&gt;D259,0,MAX(2,MIN('难度参数'!$E$12,ROUND(('难度参数'!$E$18*POWER(A259,'难度参数'!$E$19)/D259*(0.85+0.3*(3-1)/MAX(1,D259-1))),0)+F259)))</x:f>
        <x:v>31</x:v>
      </x:c>
      <x:c r="AG259" s="119" t="n">
        <x:f>IF(3&gt;D259,0,ROUND(('难度参数'!$E$13*POWER(A259,'难度参数'!$E$20)*MIN('难度参数'!$E$23,1+MAX(0,A259-'难度参数'!$E$21)*'难度参数'!$E$22))*(36+3*7)/(36+7*(D259+1)/2)*E259,0))</x:f>
        <x:v>6461</x:v>
      </x:c>
      <x:c r="AH259" s="119" t="n">
        <x:f>IF(AF259=0,0,(AF259-IF(3=D259,1,0))*ROUND(AG259*VLOOKUP(INDEX('章节与怪物'!$E$31:$K$37,B259,3),'章节与怪物'!$A$41:$F$44,2,FALSE),0)+IF(3=D259,ROUND(AG259*'难度参数'!$E$28*'章节与怪物'!$E$17,0),0))</x:f>
        <x:v>340504</x:v>
      </x:c>
      <x:c r="AI259" s="119" t="n">
        <x:f>IF(AF259=0,0,(AF259-IF(3=D259,1,0))*VLOOKUP(INDEX('章节与怪物'!$E$31:$K$37,B259,3),'章节与怪物'!$A$41:$F$44,4,FALSE)+IF(3=D259,'难度参数'!$E$30,0))</x:f>
        <x:v>868</x:v>
      </x:c>
      <x:c r="AJ259" s="119" t="n">
        <x:f>IF(4&gt;D259,0,MAX(2,MIN('难度参数'!$E$12,ROUND(('难度参数'!$E$18*POWER(A259,'难度参数'!$E$19)/D259*(0.85+0.3*(4-1)/MAX(1,D259-1))),0)+F259)))</x:f>
        <x:v>33</x:v>
      </x:c>
      <x:c r="AK259" s="119" t="n">
        <x:f>IF(4&gt;D259,0,ROUND(('难度参数'!$E$13*POWER(A259,'难度参数'!$E$20)*MIN('难度参数'!$E$23,1+MAX(0,A259-'难度参数'!$E$21)*'难度参数'!$E$22))*(36+4*7)/(36+7*(D259+1)/2)*E259,0))</x:f>
        <x:v>7254</x:v>
      </x:c>
      <x:c r="AL259" s="119" t="n">
        <x:f>IF(AJ259=0,0,(AJ259-IF(4=D259,1,0))*ROUND(AK259*VLOOKUP(INDEX('章节与怪物'!$E$31:$K$37,B259,4),'章节与怪物'!$A$41:$F$44,2,FALSE),0)+IF(4=D259,ROUND(AK259*'难度参数'!$E$28*'章节与怪物'!$E$17,0),0))</x:f>
        <x:v>323169</x:v>
      </x:c>
      <x:c r="AM259" s="119" t="n">
        <x:f>IF(AJ259=0,0,(AJ259-IF(4=D259,1,0))*VLOOKUP(INDEX('章节与怪物'!$E$31:$K$37,B259,4),'章节与怪物'!$A$41:$F$44,4,FALSE)+IF(4=D259,'难度参数'!$E$30,0))</x:f>
        <x:v>1122</x:v>
      </x:c>
      <x:c r="AN259" s="119" t="n">
        <x:f>IF(5&gt;D259,0,MAX(2,MIN('难度参数'!$E$12,ROUND(('难度参数'!$E$18*POWER(A259,'难度参数'!$E$19)/D259*(0.85+0.3*(5-1)/MAX(1,D259-1))),0)+F259)))</x:f>
        <x:v>34</x:v>
      </x:c>
      <x:c r="AO259" s="119" t="n">
        <x:f>IF(5&gt;D259,0,ROUND(('难度参数'!$E$13*POWER(A259,'难度参数'!$E$20)*MIN('难度参数'!$E$23,1+MAX(0,A259-'难度参数'!$E$21)*'难度参数'!$E$22))*(36+5*7)/(36+7*(D259+1)/2)*E259,0))</x:f>
        <x:v>8047</x:v>
      </x:c>
      <x:c r="AP259" s="119" t="n">
        <x:f>IF(AN259=0,0,(AN259-IF(5=D259,1,0))*ROUND(AO259*VLOOKUP(INDEX('章节与怪物'!$E$31:$K$37,B259,5),'章节与怪物'!$A$41:$F$44,2,FALSE),0)+IF(5=D259,ROUND(AO259*'难度参数'!$E$28*'章节与怪物'!$E$17,0),0))</x:f>
        <x:v>273598</x:v>
      </x:c>
      <x:c r="AQ259" s="119" t="n">
        <x:f>IF(AN259=0,0,(AN259-IF(5=D259,1,0))*VLOOKUP(INDEX('章节与怪物'!$E$31:$K$37,B259,5),'章节与怪物'!$A$41:$F$44,4,FALSE)+IF(5=D259,'难度参数'!$E$30,0))</x:f>
        <x:v>612</x:v>
      </x:c>
      <x:c r="AR259" s="119" t="n">
        <x:f>IF(6&gt;D259,0,MAX(2,MIN('难度参数'!$E$12,ROUND(('难度参数'!$E$18*POWER(A259,'难度参数'!$E$19)/D259*(0.85+0.3*(6-1)/MAX(1,D259-1))),0)+F259)))</x:f>
        <x:v>36</x:v>
      </x:c>
      <x:c r="AS259" s="119" t="n">
        <x:f>IF(6&gt;D259,0,ROUND(('难度参数'!$E$13*POWER(A259,'难度参数'!$E$20)*MIN('难度参数'!$E$23,1+MAX(0,A259-'难度参数'!$E$21)*'难度参数'!$E$22))*(36+6*7)/(36+7*(D259+1)/2)*E259,0))</x:f>
        <x:v>8841</x:v>
      </x:c>
      <x:c r="AT259" s="119" t="n">
        <x:f>IF(AR259=0,0,(AR259-IF(6=D259,1,0))*ROUND(AS259*VLOOKUP(INDEX('章节与怪物'!$E$31:$K$37,B259,6),'章节与怪物'!$A$41:$F$44,2,FALSE),0)+IF(6=D259,ROUND(AS259*'难度参数'!$E$28*'章节与怪物'!$E$17,0),0))</x:f>
        <x:v>541080</x:v>
      </x:c>
      <x:c r="AU259" s="119" t="n">
        <x:f>IF(AR259=0,0,(AR259-IF(6=D259,1,0))*VLOOKUP(INDEX('章节与怪物'!$E$31:$K$37,B259,6),'章节与怪物'!$A$41:$F$44,4,FALSE)+IF(6=D259,'难度参数'!$E$30,0))</x:f>
        <x:v>1008</x:v>
      </x:c>
      <x:c r="AV259" s="119" t="n">
        <x:f>IF(7&gt;D259,0,MAX(2,MIN('难度参数'!$E$12,ROUND(('难度参数'!$E$18*POWER(A259,'难度参数'!$E$19)/D259*(0.85+0.3*(7-1)/MAX(1,D259-1))),0)+F259)))</x:f>
        <x:v>38</x:v>
      </x:c>
      <x:c r="AW259" s="119" t="n">
        <x:f>IF(7&gt;D259,0,ROUND(('难度参数'!$E$13*POWER(A259,'难度参数'!$E$20)*MIN('难度参数'!$E$23,1+MAX(0,A259-'难度参数'!$E$21)*'难度参数'!$E$22))*(36+7*7)/(36+7*(D259+1)/2)*E259,0))</x:f>
        <x:v>9634</x:v>
      </x:c>
      <x:c r="AX259" s="119" t="n">
        <x:f>IF(AV259=0,0,(AV259-IF(7=D259,1,0))*ROUND(AW259*VLOOKUP(INDEX('章节与怪物'!$E$31:$K$37,B259,7),'章节与怪物'!$A$41:$F$44,2,FALSE),0)+IF(7=D259,ROUND(AW259*'难度参数'!$E$28*'章节与怪物'!$E$17,0),0))</x:f>
        <x:v>546733</x:v>
      </x:c>
      <x:c r="AY259" s="119" t="n">
        <x:f>IF(AV259=0,0,(AV259-IF(7=D259,1,0))*VLOOKUP(INDEX('章节与怪物'!$E$31:$K$37,B259,7),'章节与怪物'!$A$41:$F$44,4,FALSE)+IF(7=D259,'难度参数'!$E$30,0))</x:f>
        <x:v>1458</x:v>
      </x:c>
    </x:row>
    <x:row r="260" ht="23" customHeight="1">
      <x:c r="A260" s="119" t="n">
        <x:v>254</x:v>
      </x:c>
      <x:c r="B260" s="119" t="n">
        <x:f>MOD(INT((A260-1)/5),7)+1</x:f>
        <x:v>2</x:v>
      </x:c>
      <x:c r="C260" s="62" t="str">
        <x:f>INDEX('章节与怪物'!$B$31:$B$37,B260)</x:f>
        <x:v>黄沙要塞</x:v>
      </x:c>
      <x:c r="D260" s="119" t="n">
        <x:f>MIN('难度参数'!$E$8,MAX('难度参数'!$E$7,A260))</x:f>
        <x:v>7</x:v>
      </x:c>
      <x:c r="E260" s="106" t="n">
        <x:v>1</x:v>
      </x:c>
      <x:c r="F260" s="106" t="n">
        <x:v>0</x:v>
      </x:c>
      <x:c r="G260" s="106" t="n">
        <x:v>1</x:v>
      </x:c>
      <x:c r="H260" s="119" t="n">
        <x:f>SUM(X260,AB260,AF260,AJ260,AN260,AR260,AV260)</x:f>
        <x:v>229</x:v>
      </x:c>
      <x:c r="I260" s="119" t="n">
        <x:f>SUM(Z260,AD260,AH260,AL260,AP260,AT260,AX260)</x:f>
        <x:v>2294168</x:v>
      </x:c>
      <x:c r="J260" s="119" t="n">
        <x:f>ROUND(INDEX(X260:AY260,1,(D260-1)*4+2)*'难度参数'!$E$28*'章节与怪物'!$E$17,0)</x:f>
        <x:v>65702</x:v>
      </x:c>
      <x:c r="K260" s="119" t="n">
        <x:f>SUM(AA260,AE260,AI260,AM260,AQ260,AU260,AY260)</x:f>
        <x:v>6150</x:v>
      </x:c>
      <x:c r="L260" s="62" t="n">
        <x:f>H260*(ROUNDUP('难度参数'!$E$24/('难度参数'!$E$26*'难度参数'!$E$27),0)*'难度参数'!$E$26)/60</x:f>
        <x:v>3.0533333333333337</x:v>
      </x:c>
      <x:c r="M260" s="62" t="n">
        <x:f>L260+D260*('难度参数'!$E$49+'难度参数'!$E$50)/60</x:f>
        <x:v>4.220000000000001</x:v>
      </x:c>
      <x:c r="N260" s="119" t="n">
        <x:f>ROUNDDOWN(('经济参数'!$E$20+A260*'经济参数'!$E$21)*G260,0)</x:f>
        <x:v>5260</x:v>
      </x:c>
      <x:c r="O260" s="119" t="n">
        <x:f>ROUNDDOWN(MIN('经济参数'!$E$24,'经济参数'!$E$22+A260*'经济参数'!$E$23)*G260,0)</x:f>
        <x:v>0</x:v>
      </x:c>
      <x:c r="P260" s="119" t="n">
        <x:f>ROUNDDOWN((IF(A260&gt;='材料与任务'!$E$31,'材料与任务'!$E$32,IF(A260&gt;='材料与任务'!$E$25,'材料与任务'!$E$26,IF(A260&gt;='材料与任务'!$E$19,'材料与任务'!$E$20,IF(A260&gt;='材料与任务'!$E$13,'材料与任务'!$E$14,'材料与任务'!$E$8)))))*G260,0)</x:f>
        <x:v>6</x:v>
      </x:c>
      <x:c r="Q260" s="119" t="n">
        <x:f>ROUNDDOWN((IF(A260&gt;='材料与任务'!$E$31,'材料与任务'!$E$33,IF(A260&gt;='材料与任务'!$E$25,'材料与任务'!$E$27,IF(A260&gt;='材料与任务'!$E$19,'材料与任务'!$E$21,IF(A260&gt;='材料与任务'!$E$13,'材料与任务'!$E$15,'材料与任务'!$E$9)))))*G260,0)</x:f>
        <x:v>3</x:v>
      </x:c>
      <x:c r="R260" s="110" t="n">
        <x:f>'装备掉落'!$B$38</x:f>
        <x:v>0.6872058758851213</x:v>
      </x:c>
      <x:c r="S260" s="119" t="n">
        <x:f>MAX(IF(VLOOKUP(A260,'装备掉落'!$A$29:$H$34,2,TRUE)&gt;0,1,0),IF(VLOOKUP(A260,'装备掉落'!$A$29:$H$34,3,TRUE)&gt;0,2,0),IF(VLOOKUP(A260,'装备掉落'!$A$29:$H$34,4,TRUE)&gt;0,3,0),IF(VLOOKUP(A260,'装备掉落'!$A$29:$H$34,5,TRUE)&gt;0,4,0),IF(VLOOKUP(A260,'装备掉落'!$A$29:$H$34,6,TRUE)&gt;0,5,0),IF(VLOOKUP(A260,'装备掉落'!$A$29:$H$34,7,TRUE)&gt;0,6,0),IF(VLOOKUP(A260,'装备掉落'!$A$29:$H$34,8,TRUE)&gt;0,7,0))</x:f>
        <x:v>7</x:v>
      </x:c>
      <x:c r="T260" s="119" t="n">
        <x:f>MIN(7,S260+'经济参数'!$E$70)</x:f>
        <x:v>7</x:v>
      </x:c>
      <x:c r="U260" s="119" t="n">
        <x:f>MIN(7,S260+'经济参数'!$E$71)</x:f>
        <x:v>7</x:v>
      </x:c>
      <x:c r="V260" s="119" t="n">
        <x:f>IF(H260&gt;=('难度参数'!$E$52),1,0)+IF(H260&gt;=('难度参数'!$E$52+'难度参数'!$E$53),1,0)+IF(H260&gt;=('难度参数'!$E$52+'难度参数'!$E$53+'难度参数'!$E$54),1,0)+IF(H260&gt;=('难度参数'!$E$52+'难度参数'!$E$53+'难度参数'!$E$54+'难度参数'!$E$55),1,0)+IF(H260&gt;=('难度参数'!$E$52+'难度参数'!$E$53+'难度参数'!$E$54+'难度参数'!$E$55+'难度参数'!$E$56),1,0)+IF(H260&gt;=('难度参数'!$E$52+'难度参数'!$E$53+'难度参数'!$E$54+'难度参数'!$E$55+'难度参数'!$E$56+'难度参数'!$E$57),1,0)</x:f>
        <x:v>6</x:v>
      </x:c>
      <x:c r="W260" s="62" t="str">
        <x:f>IF(L260&gt;'难度参数'!$E$51,"仅出怪已超目标","还需实测")</x:f>
        <x:v>仅出怪已超目标</x:v>
      </x:c>
      <x:c r="X260" s="119" t="n">
        <x:f>IF(1&gt;D260,0,MAX(2,MIN('难度参数'!$E$12,ROUND(('难度参数'!$E$18*POWER(A260,'难度参数'!$E$19)/D260*(0.85+0.3*(1-1)/MAX(1,D260-1))),0)+F260)))</x:f>
        <x:v>28</x:v>
      </x:c>
      <x:c r="Y260" s="119" t="n">
        <x:f>IF(1&gt;D260,0,ROUND(('难度参数'!$E$13*POWER(A260,'难度参数'!$E$20)*MIN('难度参数'!$E$23,1+MAX(0,A260-'难度参数'!$E$21)*'难度参数'!$E$22))*(36+1*7)/(36+7*(D260+1)/2)*E260,0))</x:f>
        <x:v>4888</x:v>
      </x:c>
      <x:c r="Z260" s="119" t="n">
        <x:f>IF(X260=0,0,(X260-IF(1=D260,1,0))*ROUND(Y260*VLOOKUP(INDEX('章节与怪物'!$E$31:$K$37,B260,1),'章节与怪物'!$A$41:$F$44,2,FALSE),0)+IF(1=D260,ROUND(Y260*'难度参数'!$E$28*'章节与怪物'!$E$17,0),0))</x:f>
        <x:v>98532</x:v>
      </x:c>
      <x:c r="AA260" s="119" t="n">
        <x:f>IF(X260=0,0,(X260-IF(1=D260,1,0))*VLOOKUP(INDEX('章节与怪物'!$E$31:$K$37,B260,1),'章节与怪物'!$A$41:$F$44,4,FALSE)+IF(1=D260,'难度参数'!$E$30,0))</x:f>
        <x:v>560</x:v>
      </x:c>
      <x:c r="AB260" s="119" t="n">
        <x:f>IF(2&gt;D260,0,MAX(2,MIN('难度参数'!$E$12,ROUND(('难度参数'!$E$18*POWER(A260,'难度参数'!$E$19)/D260*(0.85+0.3*(2-1)/MAX(1,D260-1))),0)+F260)))</x:f>
        <x:v>29</x:v>
      </x:c>
      <x:c r="AC260" s="119" t="n">
        <x:f>IF(2&gt;D260,0,ROUND(('难度参数'!$E$13*POWER(A260,'难度参数'!$E$20)*MIN('难度参数'!$E$23,1+MAX(0,A260-'难度参数'!$E$21)*'难度参数'!$E$22))*(36+2*7)/(36+7*(D260+1)/2)*E260,0))</x:f>
        <x:v>5683</x:v>
      </x:c>
      <x:c r="AD260" s="119" t="n">
        <x:f>IF(AB260=0,0,(AB260-IF(2=D260,1,0))*ROUND(AC260*VLOOKUP(INDEX('章节与怪物'!$E$31:$K$37,B260,2),'章节与怪物'!$A$41:$F$44,2,FALSE),0)+IF(2=D260,ROUND(AC260*'难度参数'!$E$28*'章节与怪物'!$E$17,0),0))</x:f>
        <x:v>164807</x:v>
      </x:c>
      <x:c r="AE260" s="119" t="n">
        <x:f>IF(AB260=0,0,(AB260-IF(2=D260,1,0))*VLOOKUP(INDEX('章节与怪物'!$E$31:$K$37,B260,2),'章节与怪物'!$A$41:$F$44,4,FALSE)+IF(2=D260,'难度参数'!$E$30,0))</x:f>
        <x:v>522</x:v>
      </x:c>
      <x:c r="AF260" s="119" t="n">
        <x:f>IF(3&gt;D260,0,MAX(2,MIN('难度参数'!$E$12,ROUND(('难度参数'!$E$18*POWER(A260,'难度参数'!$E$19)/D260*(0.85+0.3*(3-1)/MAX(1,D260-1))),0)+F260)))</x:f>
        <x:v>31</x:v>
      </x:c>
      <x:c r="AG260" s="119" t="n">
        <x:f>IF(3&gt;D260,0,ROUND(('难度参数'!$E$13*POWER(A260,'难度参数'!$E$20)*MIN('难度参数'!$E$23,1+MAX(0,A260-'难度参数'!$E$21)*'难度参数'!$E$22))*(36+3*7)/(36+7*(D260+1)/2)*E260,0))</x:f>
        <x:v>6479</x:v>
      </x:c>
      <x:c r="AH260" s="119" t="n">
        <x:f>IF(AF260=0,0,(AF260-IF(3=D260,1,0))*ROUND(AG260*VLOOKUP(INDEX('章节与怪物'!$E$31:$K$37,B260,3),'章节与怪物'!$A$41:$F$44,2,FALSE),0)+IF(3=D260,ROUND(AG260*'难度参数'!$E$28*'章节与怪物'!$E$17,0),0))</x:f>
        <x:v>341434</x:v>
      </x:c>
      <x:c r="AI260" s="119" t="n">
        <x:f>IF(AF260=0,0,(AF260-IF(3=D260,1,0))*VLOOKUP(INDEX('章节与怪物'!$E$31:$K$37,B260,3),'章节与怪物'!$A$41:$F$44,4,FALSE)+IF(3=D260,'难度参数'!$E$30,0))</x:f>
        <x:v>868</x:v>
      </x:c>
      <x:c r="AJ260" s="119" t="n">
        <x:f>IF(4&gt;D260,0,MAX(2,MIN('难度参数'!$E$12,ROUND(('难度参数'!$E$18*POWER(A260,'难度参数'!$E$19)/D260*(0.85+0.3*(4-1)/MAX(1,D260-1))),0)+F260)))</x:f>
        <x:v>33</x:v>
      </x:c>
      <x:c r="AK260" s="119" t="n">
        <x:f>IF(4&gt;D260,0,ROUND(('难度参数'!$E$13*POWER(A260,'难度参数'!$E$20)*MIN('难度参数'!$E$23,1+MAX(0,A260-'难度参数'!$E$21)*'难度参数'!$E$22))*(36+4*7)/(36+7*(D260+1)/2)*E260,0))</x:f>
        <x:v>7275</x:v>
      </x:c>
      <x:c r="AL260" s="119" t="n">
        <x:f>IF(AJ260=0,0,(AJ260-IF(4=D260,1,0))*ROUND(AK260*VLOOKUP(INDEX('章节与怪物'!$E$31:$K$37,B260,4),'章节与怪物'!$A$41:$F$44,2,FALSE),0)+IF(4=D260,ROUND(AK260*'难度参数'!$E$28*'章节与怪物'!$E$17,0),0))</x:f>
        <x:v>324093</x:v>
      </x:c>
      <x:c r="AM260" s="119" t="n">
        <x:f>IF(AJ260=0,0,(AJ260-IF(4=D260,1,0))*VLOOKUP(INDEX('章节与怪物'!$E$31:$K$37,B260,4),'章节与怪物'!$A$41:$F$44,4,FALSE)+IF(4=D260,'难度参数'!$E$30,0))</x:f>
        <x:v>1122</x:v>
      </x:c>
      <x:c r="AN260" s="119" t="n">
        <x:f>IF(5&gt;D260,0,MAX(2,MIN('难度参数'!$E$12,ROUND(('难度参数'!$E$18*POWER(A260,'难度参数'!$E$19)/D260*(0.85+0.3*(5-1)/MAX(1,D260-1))),0)+F260)))</x:f>
        <x:v>34</x:v>
      </x:c>
      <x:c r="AO260" s="119" t="n">
        <x:f>IF(5&gt;D260,0,ROUND(('难度参数'!$E$13*POWER(A260,'难度参数'!$E$20)*MIN('难度参数'!$E$23,1+MAX(0,A260-'难度参数'!$E$21)*'难度参数'!$E$22))*(36+5*7)/(36+7*(D260+1)/2)*E260,0))</x:f>
        <x:v>8070</x:v>
      </x:c>
      <x:c r="AP260" s="119" t="n">
        <x:f>IF(AN260=0,0,(AN260-IF(5=D260,1,0))*ROUND(AO260*VLOOKUP(INDEX('章节与怪物'!$E$31:$K$37,B260,5),'章节与怪物'!$A$41:$F$44,2,FALSE),0)+IF(5=D260,ROUND(AO260*'难度参数'!$E$28*'章节与怪物'!$E$17,0),0))</x:f>
        <x:v>274380</x:v>
      </x:c>
      <x:c r="AQ260" s="119" t="n">
        <x:f>IF(AN260=0,0,(AN260-IF(5=D260,1,0))*VLOOKUP(INDEX('章节与怪物'!$E$31:$K$37,B260,5),'章节与怪物'!$A$41:$F$44,4,FALSE)+IF(5=D260,'难度参数'!$E$30,0))</x:f>
        <x:v>612</x:v>
      </x:c>
      <x:c r="AR260" s="119" t="n">
        <x:f>IF(6&gt;D260,0,MAX(2,MIN('难度参数'!$E$12,ROUND(('难度参数'!$E$18*POWER(A260,'难度参数'!$E$19)/D260*(0.85+0.3*(6-1)/MAX(1,D260-1))),0)+F260)))</x:f>
        <x:v>36</x:v>
      </x:c>
      <x:c r="AS260" s="119" t="n">
        <x:f>IF(6&gt;D260,0,ROUND(('难度参数'!$E$13*POWER(A260,'难度参数'!$E$20)*MIN('难度参数'!$E$23,1+MAX(0,A260-'难度参数'!$E$21)*'难度参数'!$E$22))*(36+6*7)/(36+7*(D260+1)/2)*E260,0))</x:f>
        <x:v>8866</x:v>
      </x:c>
      <x:c r="AT260" s="119" t="n">
        <x:f>IF(AR260=0,0,(AR260-IF(6=D260,1,0))*ROUND(AS260*VLOOKUP(INDEX('章节与怪物'!$E$31:$K$37,B260,6),'章节与怪物'!$A$41:$F$44,2,FALSE),0)+IF(6=D260,ROUND(AS260*'难度参数'!$E$28*'章节与怪物'!$E$17,0),0))</x:f>
        <x:v>542592</x:v>
      </x:c>
      <x:c r="AU260" s="119" t="n">
        <x:f>IF(AR260=0,0,(AR260-IF(6=D260,1,0))*VLOOKUP(INDEX('章节与怪物'!$E$31:$K$37,B260,6),'章节与怪物'!$A$41:$F$44,4,FALSE)+IF(6=D260,'难度参数'!$E$30,0))</x:f>
        <x:v>1008</x:v>
      </x:c>
      <x:c r="AV260" s="119" t="n">
        <x:f>IF(7&gt;D260,0,MAX(2,MIN('难度参数'!$E$12,ROUND(('难度参数'!$E$18*POWER(A260,'难度参数'!$E$19)/D260*(0.85+0.3*(7-1)/MAX(1,D260-1))),0)+F260)))</x:f>
        <x:v>38</x:v>
      </x:c>
      <x:c r="AW260" s="119" t="n">
        <x:f>IF(7&gt;D260,0,ROUND(('难度参数'!$E$13*POWER(A260,'难度参数'!$E$20)*MIN('难度参数'!$E$23,1+MAX(0,A260-'难度参数'!$E$21)*'难度参数'!$E$22))*(36+7*7)/(36+7*(D260+1)/2)*E260,0))</x:f>
        <x:v>9662</x:v>
      </x:c>
      <x:c r="AX260" s="119" t="n">
        <x:f>IF(AV260=0,0,(AV260-IF(7=D260,1,0))*ROUND(AW260*VLOOKUP(INDEX('章节与怪物'!$E$31:$K$37,B260,7),'章节与怪物'!$A$41:$F$44,2,FALSE),0)+IF(7=D260,ROUND(AW260*'难度参数'!$E$28*'章节与怪物'!$E$17,0),0))</x:f>
        <x:v>548330</x:v>
      </x:c>
      <x:c r="AY260" s="119" t="n">
        <x:f>IF(AV260=0,0,(AV260-IF(7=D260,1,0))*VLOOKUP(INDEX('章节与怪物'!$E$31:$K$37,B260,7),'章节与怪物'!$A$41:$F$44,4,FALSE)+IF(7=D260,'难度参数'!$E$30,0))</x:f>
        <x:v>1458</x:v>
      </x:c>
    </x:row>
    <x:row r="261" ht="23" customHeight="1">
      <x:c r="A261" s="119" t="n">
        <x:v>255</x:v>
      </x:c>
      <x:c r="B261" s="119" t="n">
        <x:f>MOD(INT((A261-1)/5),7)+1</x:f>
        <x:v>2</x:v>
      </x:c>
      <x:c r="C261" s="62" t="str">
        <x:f>INDEX('章节与怪物'!$B$31:$B$37,B261)</x:f>
        <x:v>黄沙要塞</x:v>
      </x:c>
      <x:c r="D261" s="119" t="n">
        <x:f>MIN('难度参数'!$E$8,MAX('难度参数'!$E$7,A261))</x:f>
        <x:v>7</x:v>
      </x:c>
      <x:c r="E261" s="106" t="n">
        <x:v>1</x:v>
      </x:c>
      <x:c r="F261" s="106" t="n">
        <x:v>0</x:v>
      </x:c>
      <x:c r="G261" s="106" t="n">
        <x:v>1</x:v>
      </x:c>
      <x:c r="H261" s="119" t="n">
        <x:f>SUM(X261,AB261,AF261,AJ261,AN261,AR261,AV261)</x:f>
        <x:v>230</x:v>
      </x:c>
      <x:c r="I261" s="119" t="n">
        <x:f>SUM(Z261,AD261,AH261,AL261,AP261,AT261,AX261)</x:f>
        <x:v>2306308</x:v>
      </x:c>
      <x:c r="J261" s="119" t="n">
        <x:f>ROUND(INDEX(X261:AY261,1,(D261-1)*4+2)*'难度参数'!$E$28*'章节与怪物'!$E$17,0)</x:f>
        <x:v>65885</x:v>
      </x:c>
      <x:c r="K261" s="119" t="n">
        <x:f>SUM(AA261,AE261,AI261,AM261,AQ261,AU261,AY261)</x:f>
        <x:v>6168</x:v>
      </x:c>
      <x:c r="L261" s="62" t="n">
        <x:f>H261*(ROUNDUP('难度参数'!$E$24/('难度参数'!$E$26*'难度参数'!$E$27),0)*'难度参数'!$E$26)/60</x:f>
        <x:v>3.066666666666667</x:v>
      </x:c>
      <x:c r="M261" s="62" t="n">
        <x:f>L261+D261*('难度参数'!$E$49+'难度参数'!$E$50)/60</x:f>
        <x:v>4.233333333333333</x:v>
      </x:c>
      <x:c r="N261" s="119" t="n">
        <x:f>ROUNDDOWN(('经济参数'!$E$20+A261*'经济参数'!$E$21)*G261,0)</x:f>
        <x:v>5280</x:v>
      </x:c>
      <x:c r="O261" s="119" t="n">
        <x:f>ROUNDDOWN(MIN('经济参数'!$E$24,'经济参数'!$E$22+A261*'经济参数'!$E$23)*G261,0)</x:f>
        <x:v>0</x:v>
      </x:c>
      <x:c r="P261" s="119" t="n">
        <x:f>ROUNDDOWN((IF(A261&gt;='材料与任务'!$E$31,'材料与任务'!$E$32,IF(A261&gt;='材料与任务'!$E$25,'材料与任务'!$E$26,IF(A261&gt;='材料与任务'!$E$19,'材料与任务'!$E$20,IF(A261&gt;='材料与任务'!$E$13,'材料与任务'!$E$14,'材料与任务'!$E$8)))))*G261,0)</x:f>
        <x:v>6</x:v>
      </x:c>
      <x:c r="Q261" s="119" t="n">
        <x:f>ROUNDDOWN((IF(A261&gt;='材料与任务'!$E$31,'材料与任务'!$E$33,IF(A261&gt;='材料与任务'!$E$25,'材料与任务'!$E$27,IF(A261&gt;='材料与任务'!$E$19,'材料与任务'!$E$21,IF(A261&gt;='材料与任务'!$E$13,'材料与任务'!$E$15,'材料与任务'!$E$9)))))*G261,0)</x:f>
        <x:v>3</x:v>
      </x:c>
      <x:c r="R261" s="110" t="n">
        <x:f>'装备掉落'!$B$38</x:f>
        <x:v>0.6872058758851213</x:v>
      </x:c>
      <x:c r="S261" s="119" t="n">
        <x:f>MAX(IF(VLOOKUP(A261,'装备掉落'!$A$29:$H$34,2,TRUE)&gt;0,1,0),IF(VLOOKUP(A261,'装备掉落'!$A$29:$H$34,3,TRUE)&gt;0,2,0),IF(VLOOKUP(A261,'装备掉落'!$A$29:$H$34,4,TRUE)&gt;0,3,0),IF(VLOOKUP(A261,'装备掉落'!$A$29:$H$34,5,TRUE)&gt;0,4,0),IF(VLOOKUP(A261,'装备掉落'!$A$29:$H$34,6,TRUE)&gt;0,5,0),IF(VLOOKUP(A261,'装备掉落'!$A$29:$H$34,7,TRUE)&gt;0,6,0),IF(VLOOKUP(A261,'装备掉落'!$A$29:$H$34,8,TRUE)&gt;0,7,0))</x:f>
        <x:v>7</x:v>
      </x:c>
      <x:c r="T261" s="119" t="n">
        <x:f>MIN(7,S261+'经济参数'!$E$70)</x:f>
        <x:v>7</x:v>
      </x:c>
      <x:c r="U261" s="119" t="n">
        <x:f>MIN(7,S261+'经济参数'!$E$71)</x:f>
        <x:v>7</x:v>
      </x:c>
      <x:c r="V261" s="119" t="n">
        <x:f>IF(H261&gt;=('难度参数'!$E$52),1,0)+IF(H261&gt;=('难度参数'!$E$52+'难度参数'!$E$53),1,0)+IF(H261&gt;=('难度参数'!$E$52+'难度参数'!$E$53+'难度参数'!$E$54),1,0)+IF(H261&gt;=('难度参数'!$E$52+'难度参数'!$E$53+'难度参数'!$E$54+'难度参数'!$E$55),1,0)+IF(H261&gt;=('难度参数'!$E$52+'难度参数'!$E$53+'难度参数'!$E$54+'难度参数'!$E$55+'难度参数'!$E$56),1,0)+IF(H261&gt;=('难度参数'!$E$52+'难度参数'!$E$53+'难度参数'!$E$54+'难度参数'!$E$55+'难度参数'!$E$56+'难度参数'!$E$57),1,0)</x:f>
        <x:v>6</x:v>
      </x:c>
      <x:c r="W261" s="62" t="str">
        <x:f>IF(L261&gt;'难度参数'!$E$51,"仅出怪已超目标","还需实测")</x:f>
        <x:v>仅出怪已超目标</x:v>
      </x:c>
      <x:c r="X261" s="119" t="n">
        <x:f>IF(1&gt;D261,0,MAX(2,MIN('难度参数'!$E$12,ROUND(('难度参数'!$E$18*POWER(A261,'难度参数'!$E$19)/D261*(0.85+0.3*(1-1)/MAX(1,D261-1))),0)+F261)))</x:f>
        <x:v>28</x:v>
      </x:c>
      <x:c r="Y261" s="119" t="n">
        <x:f>IF(1&gt;D261,0,ROUND(('难度参数'!$E$13*POWER(A261,'难度参数'!$E$20)*MIN('难度参数'!$E$23,1+MAX(0,A261-'难度参数'!$E$21)*'难度参数'!$E$22))*(36+1*7)/(36+7*(D261+1)/2)*E261,0))</x:f>
        <x:v>4902</x:v>
      </x:c>
      <x:c r="Z261" s="119" t="n">
        <x:f>IF(X261=0,0,(X261-IF(1=D261,1,0))*ROUND(Y261*VLOOKUP(INDEX('章节与怪物'!$E$31:$K$37,B261,1),'章节与怪物'!$A$41:$F$44,2,FALSE),0)+IF(1=D261,ROUND(Y261*'难度参数'!$E$28*'章节与怪物'!$E$17,0),0))</x:f>
        <x:v>98812</x:v>
      </x:c>
      <x:c r="AA261" s="119" t="n">
        <x:f>IF(X261=0,0,(X261-IF(1=D261,1,0))*VLOOKUP(INDEX('章节与怪物'!$E$31:$K$37,B261,1),'章节与怪物'!$A$41:$F$44,4,FALSE)+IF(1=D261,'难度参数'!$E$30,0))</x:f>
        <x:v>560</x:v>
      </x:c>
      <x:c r="AB261" s="119" t="n">
        <x:f>IF(2&gt;D261,0,MAX(2,MIN('难度参数'!$E$12,ROUND(('难度参数'!$E$18*POWER(A261,'难度参数'!$E$19)/D261*(0.85+0.3*(2-1)/MAX(1,D261-1))),0)+F261)))</x:f>
        <x:v>30</x:v>
      </x:c>
      <x:c r="AC261" s="119" t="n">
        <x:f>IF(2&gt;D261,0,ROUND(('难度参数'!$E$13*POWER(A261,'难度参数'!$E$20)*MIN('难度参数'!$E$23,1+MAX(0,A261-'难度参数'!$E$21)*'难度参数'!$E$22))*(36+2*7)/(36+7*(D261+1)/2)*E261,0))</x:f>
        <x:v>5699</x:v>
      </x:c>
      <x:c r="AD261" s="119" t="n">
        <x:f>IF(AB261=0,0,(AB261-IF(2=D261,1,0))*ROUND(AC261*VLOOKUP(INDEX('章节与怪物'!$E$31:$K$37,B261,2),'章节与怪物'!$A$41:$F$44,2,FALSE),0)+IF(2=D261,ROUND(AC261*'难度参数'!$E$28*'章节与怪物'!$E$17,0),0))</x:f>
        <x:v>170970</x:v>
      </x:c>
      <x:c r="AE261" s="119" t="n">
        <x:f>IF(AB261=0,0,(AB261-IF(2=D261,1,0))*VLOOKUP(INDEX('章节与怪物'!$E$31:$K$37,B261,2),'章节与怪物'!$A$41:$F$44,4,FALSE)+IF(2=D261,'难度参数'!$E$30,0))</x:f>
        <x:v>540</x:v>
      </x:c>
      <x:c r="AF261" s="119" t="n">
        <x:f>IF(3&gt;D261,0,MAX(2,MIN('难度参数'!$E$12,ROUND(('难度参数'!$E$18*POWER(A261,'难度参数'!$E$19)/D261*(0.85+0.3*(3-1)/MAX(1,D261-1))),0)+F261)))</x:f>
        <x:v>31</x:v>
      </x:c>
      <x:c r="AG261" s="119" t="n">
        <x:f>IF(3&gt;D261,0,ROUND(('难度参数'!$E$13*POWER(A261,'难度参数'!$E$20)*MIN('难度参数'!$E$23,1+MAX(0,A261-'难度参数'!$E$21)*'难度参数'!$E$22))*(36+3*7)/(36+7*(D261+1)/2)*E261,0))</x:f>
        <x:v>6497</x:v>
      </x:c>
      <x:c r="AH261" s="119" t="n">
        <x:f>IF(AF261=0,0,(AF261-IF(3=D261,1,0))*ROUND(AG261*VLOOKUP(INDEX('章节与怪物'!$E$31:$K$37,B261,3),'章节与怪物'!$A$41:$F$44,2,FALSE),0)+IF(3=D261,ROUND(AG261*'难度参数'!$E$28*'章节与怪物'!$E$17,0),0))</x:f>
        <x:v>342395</x:v>
      </x:c>
      <x:c r="AI261" s="119" t="n">
        <x:f>IF(AF261=0,0,(AF261-IF(3=D261,1,0))*VLOOKUP(INDEX('章节与怪物'!$E$31:$K$37,B261,3),'章节与怪物'!$A$41:$F$44,4,FALSE)+IF(3=D261,'难度参数'!$E$30,0))</x:f>
        <x:v>868</x:v>
      </x:c>
      <x:c r="AJ261" s="119" t="n">
        <x:f>IF(4&gt;D261,0,MAX(2,MIN('难度参数'!$E$12,ROUND(('难度参数'!$E$18*POWER(A261,'难度参数'!$E$19)/D261*(0.85+0.3*(4-1)/MAX(1,D261-1))),0)+F261)))</x:f>
        <x:v>33</x:v>
      </x:c>
      <x:c r="AK261" s="119" t="n">
        <x:f>IF(4&gt;D261,0,ROUND(('难度参数'!$E$13*POWER(A261,'难度参数'!$E$20)*MIN('难度参数'!$E$23,1+MAX(0,A261-'难度参数'!$E$21)*'难度参数'!$E$22))*(36+4*7)/(36+7*(D261+1)/2)*E261,0))</x:f>
        <x:v>7295</x:v>
      </x:c>
      <x:c r="AL261" s="119" t="n">
        <x:f>IF(AJ261=0,0,(AJ261-IF(4=D261,1,0))*ROUND(AK261*VLOOKUP(INDEX('章节与怪物'!$E$31:$K$37,B261,4),'章节与怪物'!$A$41:$F$44,2,FALSE),0)+IF(4=D261,ROUND(AK261*'难度参数'!$E$28*'章节与怪物'!$E$17,0),0))</x:f>
        <x:v>324984</x:v>
      </x:c>
      <x:c r="AM261" s="119" t="n">
        <x:f>IF(AJ261=0,0,(AJ261-IF(4=D261,1,0))*VLOOKUP(INDEX('章节与怪物'!$E$31:$K$37,B261,4),'章节与怪物'!$A$41:$F$44,4,FALSE)+IF(4=D261,'难度参数'!$E$30,0))</x:f>
        <x:v>1122</x:v>
      </x:c>
      <x:c r="AN261" s="119" t="n">
        <x:f>IF(5&gt;D261,0,MAX(2,MIN('难度参数'!$E$12,ROUND(('难度参数'!$E$18*POWER(A261,'难度参数'!$E$19)/D261*(0.85+0.3*(5-1)/MAX(1,D261-1))),0)+F261)))</x:f>
        <x:v>34</x:v>
      </x:c>
      <x:c r="AO261" s="119" t="n">
        <x:f>IF(5&gt;D261,0,ROUND(('难度参数'!$E$13*POWER(A261,'难度参数'!$E$20)*MIN('难度参数'!$E$23,1+MAX(0,A261-'难度参数'!$E$21)*'难度参数'!$E$22))*(36+5*7)/(36+7*(D261+1)/2)*E261,0))</x:f>
        <x:v>8093</x:v>
      </x:c>
      <x:c r="AP261" s="119" t="n">
        <x:f>IF(AN261=0,0,(AN261-IF(5=D261,1,0))*ROUND(AO261*VLOOKUP(INDEX('章节与怪物'!$E$31:$K$37,B261,5),'章节与怪物'!$A$41:$F$44,2,FALSE),0)+IF(5=D261,ROUND(AO261*'难度参数'!$E$28*'章节与怪物'!$E$17,0),0))</x:f>
        <x:v>275162</x:v>
      </x:c>
      <x:c r="AQ261" s="119" t="n">
        <x:f>IF(AN261=0,0,(AN261-IF(5=D261,1,0))*VLOOKUP(INDEX('章节与怪物'!$E$31:$K$37,B261,5),'章节与怪物'!$A$41:$F$44,4,FALSE)+IF(5=D261,'难度参数'!$E$30,0))</x:f>
        <x:v>612</x:v>
      </x:c>
      <x:c r="AR261" s="119" t="n">
        <x:f>IF(6&gt;D261,0,MAX(2,MIN('难度参数'!$E$12,ROUND(('难度参数'!$E$18*POWER(A261,'难度参数'!$E$19)/D261*(0.85+0.3*(6-1)/MAX(1,D261-1))),0)+F261)))</x:f>
        <x:v>36</x:v>
      </x:c>
      <x:c r="AS261" s="119" t="n">
        <x:f>IF(6&gt;D261,0,ROUND(('难度参数'!$E$13*POWER(A261,'难度参数'!$E$20)*MIN('难度参数'!$E$23,1+MAX(0,A261-'难度参数'!$E$21)*'难度参数'!$E$22))*(36+6*7)/(36+7*(D261+1)/2)*E261,0))</x:f>
        <x:v>8891</x:v>
      </x:c>
      <x:c r="AT261" s="119" t="n">
        <x:f>IF(AR261=0,0,(AR261-IF(6=D261,1,0))*ROUND(AS261*VLOOKUP(INDEX('章节与怪物'!$E$31:$K$37,B261,6),'章节与怪物'!$A$41:$F$44,2,FALSE),0)+IF(6=D261,ROUND(AS261*'难度参数'!$E$28*'章节与怪物'!$E$17,0),0))</x:f>
        <x:v>544140</x:v>
      </x:c>
      <x:c r="AU261" s="119" t="n">
        <x:f>IF(AR261=0,0,(AR261-IF(6=D261,1,0))*VLOOKUP(INDEX('章节与怪物'!$E$31:$K$37,B261,6),'章节与怪物'!$A$41:$F$44,4,FALSE)+IF(6=D261,'难度参数'!$E$30,0))</x:f>
        <x:v>1008</x:v>
      </x:c>
      <x:c r="AV261" s="119" t="n">
        <x:f>IF(7&gt;D261,0,MAX(2,MIN('难度参数'!$E$12,ROUND(('难度参数'!$E$18*POWER(A261,'难度参数'!$E$19)/D261*(0.85+0.3*(7-1)/MAX(1,D261-1))),0)+F261)))</x:f>
        <x:v>38</x:v>
      </x:c>
      <x:c r="AW261" s="119" t="n">
        <x:f>IF(7&gt;D261,0,ROUND(('难度参数'!$E$13*POWER(A261,'难度参数'!$E$20)*MIN('难度参数'!$E$23,1+MAX(0,A261-'难度参数'!$E$21)*'难度参数'!$E$22))*(36+7*7)/(36+7*(D261+1)/2)*E261,0))</x:f>
        <x:v>9689</x:v>
      </x:c>
      <x:c r="AX261" s="119" t="n">
        <x:f>IF(AV261=0,0,(AV261-IF(7=D261,1,0))*ROUND(AW261*VLOOKUP(INDEX('章节与怪物'!$E$31:$K$37,B261,7),'章节与怪物'!$A$41:$F$44,2,FALSE),0)+IF(7=D261,ROUND(AW261*'难度参数'!$E$28*'章节与怪物'!$E$17,0),0))</x:f>
        <x:v>549845</x:v>
      </x:c>
      <x:c r="AY261" s="119" t="n">
        <x:f>IF(AV261=0,0,(AV261-IF(7=D261,1,0))*VLOOKUP(INDEX('章节与怪物'!$E$31:$K$37,B261,7),'章节与怪物'!$A$41:$F$44,4,FALSE)+IF(7=D261,'难度参数'!$E$30,0))</x:f>
        <x:v>1458</x:v>
      </x:c>
    </x:row>
    <x:row r="262" ht="23" customHeight="1">
      <x:c r="A262" s="119" t="n">
        <x:v>256</x:v>
      </x:c>
      <x:c r="B262" s="119" t="n">
        <x:f>MOD(INT((A262-1)/5),7)+1</x:f>
        <x:v>3</x:v>
      </x:c>
      <x:c r="C262" s="62" t="str">
        <x:f>INDEX('章节与怪物'!$B$31:$B$37,B262)</x:f>
        <x:v>腐沼秘林</x:v>
      </x:c>
      <x:c r="D262" s="119" t="n">
        <x:f>MIN('难度参数'!$E$8,MAX('难度参数'!$E$7,A262))</x:f>
        <x:v>7</x:v>
      </x:c>
      <x:c r="E262" s="106" t="n">
        <x:v>1</x:v>
      </x:c>
      <x:c r="F262" s="106" t="n">
        <x:v>0</x:v>
      </x:c>
      <x:c r="G262" s="106" t="n">
        <x:v>1</x:v>
      </x:c>
      <x:c r="H262" s="119" t="n">
        <x:f>SUM(X262,AB262,AF262,AJ262,AN262,AR262,AV262)</x:f>
        <x:v>230</x:v>
      </x:c>
      <x:c r="I262" s="119" t="n">
        <x:f>SUM(Z262,AD262,AH262,AL262,AP262,AT262,AX262)</x:f>
        <x:v>2226174</x:v>
      </x:c>
      <x:c r="J262" s="119" t="n">
        <x:f>ROUND(INDEX(X262:AY262,1,(D262-1)*4+2)*'难度参数'!$E$28*'章节与怪物'!$E$17,0)</x:f>
        <x:v>66069</x:v>
      </x:c>
      <x:c r="K262" s="119" t="n">
        <x:f>SUM(AA262,AE262,AI262,AM262,AQ262,AU262,AY262)</x:f>
        <x:v>6240</x:v>
      </x:c>
      <x:c r="L262" s="62" t="n">
        <x:f>H262*(ROUNDUP('难度参数'!$E$24/('难度参数'!$E$26*'难度参数'!$E$27),0)*'难度参数'!$E$26)/60</x:f>
        <x:v>3.066666666666667</x:v>
      </x:c>
      <x:c r="M262" s="62" t="n">
        <x:f>L262+D262*('难度参数'!$E$49+'难度参数'!$E$50)/60</x:f>
        <x:v>4.233333333333333</x:v>
      </x:c>
      <x:c r="N262" s="119" t="n">
        <x:f>ROUNDDOWN(('经济参数'!$E$20+A262*'经济参数'!$E$21)*G262,0)</x:f>
        <x:v>5300</x:v>
      </x:c>
      <x:c r="O262" s="119" t="n">
        <x:f>ROUNDDOWN(MIN('经济参数'!$E$24,'经济参数'!$E$22+A262*'经济参数'!$E$23)*G262,0)</x:f>
        <x:v>0</x:v>
      </x:c>
      <x:c r="P262" s="119" t="n">
        <x:f>ROUNDDOWN((IF(A262&gt;='材料与任务'!$E$31,'材料与任务'!$E$32,IF(A262&gt;='材料与任务'!$E$25,'材料与任务'!$E$26,IF(A262&gt;='材料与任务'!$E$19,'材料与任务'!$E$20,IF(A262&gt;='材料与任务'!$E$13,'材料与任务'!$E$14,'材料与任务'!$E$8)))))*G262,0)</x:f>
        <x:v>6</x:v>
      </x:c>
      <x:c r="Q262" s="119" t="n">
        <x:f>ROUNDDOWN((IF(A262&gt;='材料与任务'!$E$31,'材料与任务'!$E$33,IF(A262&gt;='材料与任务'!$E$25,'材料与任务'!$E$27,IF(A262&gt;='材料与任务'!$E$19,'材料与任务'!$E$21,IF(A262&gt;='材料与任务'!$E$13,'材料与任务'!$E$15,'材料与任务'!$E$9)))))*G262,0)</x:f>
        <x:v>3</x:v>
      </x:c>
      <x:c r="R262" s="110" t="n">
        <x:f>'装备掉落'!$B$38</x:f>
        <x:v>0.6872058758851213</x:v>
      </x:c>
      <x:c r="S262" s="119" t="n">
        <x:f>MAX(IF(VLOOKUP(A262,'装备掉落'!$A$29:$H$34,2,TRUE)&gt;0,1,0),IF(VLOOKUP(A262,'装备掉落'!$A$29:$H$34,3,TRUE)&gt;0,2,0),IF(VLOOKUP(A262,'装备掉落'!$A$29:$H$34,4,TRUE)&gt;0,3,0),IF(VLOOKUP(A262,'装备掉落'!$A$29:$H$34,5,TRUE)&gt;0,4,0),IF(VLOOKUP(A262,'装备掉落'!$A$29:$H$34,6,TRUE)&gt;0,5,0),IF(VLOOKUP(A262,'装备掉落'!$A$29:$H$34,7,TRUE)&gt;0,6,0),IF(VLOOKUP(A262,'装备掉落'!$A$29:$H$34,8,TRUE)&gt;0,7,0))</x:f>
        <x:v>7</x:v>
      </x:c>
      <x:c r="T262" s="119" t="n">
        <x:f>MIN(7,S262+'经济参数'!$E$70)</x:f>
        <x:v>7</x:v>
      </x:c>
      <x:c r="U262" s="119" t="n">
        <x:f>MIN(7,S262+'经济参数'!$E$71)</x:f>
        <x:v>7</x:v>
      </x:c>
      <x:c r="V262" s="119" t="n">
        <x:f>IF(H262&gt;=('难度参数'!$E$52),1,0)+IF(H262&gt;=('难度参数'!$E$52+'难度参数'!$E$53),1,0)+IF(H262&gt;=('难度参数'!$E$52+'难度参数'!$E$53+'难度参数'!$E$54),1,0)+IF(H262&gt;=('难度参数'!$E$52+'难度参数'!$E$53+'难度参数'!$E$54+'难度参数'!$E$55),1,0)+IF(H262&gt;=('难度参数'!$E$52+'难度参数'!$E$53+'难度参数'!$E$54+'难度参数'!$E$55+'难度参数'!$E$56),1,0)+IF(H262&gt;=('难度参数'!$E$52+'难度参数'!$E$53+'难度参数'!$E$54+'难度参数'!$E$55+'难度参数'!$E$56+'难度参数'!$E$57),1,0)</x:f>
        <x:v>6</x:v>
      </x:c>
      <x:c r="W262" s="62" t="str">
        <x:f>IF(L262&gt;'难度参数'!$E$51,"仅出怪已超目标","还需实测")</x:f>
        <x:v>仅出怪已超目标</x:v>
      </x:c>
      <x:c r="X262" s="119" t="n">
        <x:f>IF(1&gt;D262,0,MAX(2,MIN('难度参数'!$E$12,ROUND(('难度参数'!$E$18*POWER(A262,'难度参数'!$E$19)/D262*(0.85+0.3*(1-1)/MAX(1,D262-1))),0)+F262)))</x:f>
        <x:v>28</x:v>
      </x:c>
      <x:c r="Y262" s="119" t="n">
        <x:f>IF(1&gt;D262,0,ROUND(('难度参数'!$E$13*POWER(A262,'难度参数'!$E$20)*MIN('难度参数'!$E$23,1+MAX(0,A262-'难度参数'!$E$21)*'难度参数'!$E$22))*(36+1*7)/(36+7*(D262+1)/2)*E262,0))</x:f>
        <x:v>4915</x:v>
      </x:c>
      <x:c r="Z262" s="119" t="n">
        <x:f>IF(X262=0,0,(X262-IF(1=D262,1,0))*ROUND(Y262*VLOOKUP(INDEX('章节与怪物'!$E$31:$K$37,B262,1),'章节与怪物'!$A$41:$F$44,2,FALSE),0)+IF(1=D262,ROUND(Y262*'难度参数'!$E$28*'章节与怪物'!$E$17,0),0))</x:f>
        <x:v>137620</x:v>
      </x:c>
      <x:c r="AA262" s="119" t="n">
        <x:f>IF(X262=0,0,(X262-IF(1=D262,1,0))*VLOOKUP(INDEX('章节与怪物'!$E$31:$K$37,B262,1),'章节与怪物'!$A$41:$F$44,4,FALSE)+IF(1=D262,'难度参数'!$E$30,0))</x:f>
        <x:v>504</x:v>
      </x:c>
      <x:c r="AB262" s="119" t="n">
        <x:f>IF(2&gt;D262,0,MAX(2,MIN('难度参数'!$E$12,ROUND(('难度参数'!$E$18*POWER(A262,'难度参数'!$E$19)/D262*(0.85+0.3*(2-1)/MAX(1,D262-1))),0)+F262)))</x:f>
        <x:v>30</x:v>
      </x:c>
      <x:c r="AC262" s="119" t="n">
        <x:f>IF(2&gt;D262,0,ROUND(('难度参数'!$E$13*POWER(A262,'难度参数'!$E$20)*MIN('难度参数'!$E$23,1+MAX(0,A262-'难度参数'!$E$21)*'难度参数'!$E$22))*(36+2*7)/(36+7*(D262+1)/2)*E262,0))</x:f>
        <x:v>5716</x:v>
      </x:c>
      <x:c r="AD262" s="119" t="n">
        <x:f>IF(AB262=0,0,(AB262-IF(2=D262,1,0))*ROUND(AC262*VLOOKUP(INDEX('章节与怪物'!$E$31:$K$37,B262,2),'章节与怪物'!$A$41:$F$44,2,FALSE),0)+IF(2=D262,ROUND(AC262*'难度参数'!$E$28*'章节与怪物'!$E$17,0),0))</x:f>
        <x:v>123480</x:v>
      </x:c>
      <x:c r="AE262" s="119" t="n">
        <x:f>IF(AB262=0,0,(AB262-IF(2=D262,1,0))*VLOOKUP(INDEX('章节与怪物'!$E$31:$K$37,B262,2),'章节与怪物'!$A$41:$F$44,4,FALSE)+IF(2=D262,'难度参数'!$E$30,0))</x:f>
        <x:v>600</x:v>
      </x:c>
      <x:c r="AF262" s="119" t="n">
        <x:f>IF(3&gt;D262,0,MAX(2,MIN('难度参数'!$E$12,ROUND(('难度参数'!$E$18*POWER(A262,'难度参数'!$E$19)/D262*(0.85+0.3*(3-1)/MAX(1,D262-1))),0)+F262)))</x:f>
        <x:v>31</x:v>
      </x:c>
      <x:c r="AG262" s="119" t="n">
        <x:f>IF(3&gt;D262,0,ROUND(('难度参数'!$E$13*POWER(A262,'难度参数'!$E$20)*MIN('难度参数'!$E$23,1+MAX(0,A262-'难度参数'!$E$21)*'难度参数'!$E$22))*(36+3*7)/(36+7*(D262+1)/2)*E262,0))</x:f>
        <x:v>6516</x:v>
      </x:c>
      <x:c r="AH262" s="119" t="n">
        <x:f>IF(AF262=0,0,(AF262-IF(3=D262,1,0))*ROUND(AG262*VLOOKUP(INDEX('章节与怪物'!$E$31:$K$37,B262,3),'章节与怪物'!$A$41:$F$44,2,FALSE),0)+IF(3=D262,ROUND(AG262*'难度参数'!$E$28*'章节与怪物'!$E$17,0),0))</x:f>
        <x:v>343387</x:v>
      </x:c>
      <x:c r="AI262" s="119" t="n">
        <x:f>IF(AF262=0,0,(AF262-IF(3=D262,1,0))*VLOOKUP(INDEX('章节与怪物'!$E$31:$K$37,B262,3),'章节与怪物'!$A$41:$F$44,4,FALSE)+IF(3=D262,'难度参数'!$E$30,0))</x:f>
        <x:v>868</x:v>
      </x:c>
      <x:c r="AJ262" s="119" t="n">
        <x:f>IF(4&gt;D262,0,MAX(2,MIN('难度参数'!$E$12,ROUND(('难度参数'!$E$18*POWER(A262,'难度参数'!$E$19)/D262*(0.85+0.3*(4-1)/MAX(1,D262-1))),0)+F262)))</x:f>
        <x:v>33</x:v>
      </x:c>
      <x:c r="AK262" s="119" t="n">
        <x:f>IF(4&gt;D262,0,ROUND(('难度参数'!$E$13*POWER(A262,'难度参数'!$E$20)*MIN('难度参数'!$E$23,1+MAX(0,A262-'难度参数'!$E$21)*'难度参数'!$E$22))*(36+4*7)/(36+7*(D262+1)/2)*E262,0))</x:f>
        <x:v>7316</x:v>
      </x:c>
      <x:c r="AL262" s="119" t="n">
        <x:f>IF(AJ262=0,0,(AJ262-IF(4=D262,1,0))*ROUND(AK262*VLOOKUP(INDEX('章节与怪物'!$E$31:$K$37,B262,4),'章节与怪物'!$A$41:$F$44,2,FALSE),0)+IF(4=D262,ROUND(AK262*'难度参数'!$E$28*'章节与怪物'!$E$17,0),0))</x:f>
        <x:v>325941</x:v>
      </x:c>
      <x:c r="AM262" s="119" t="n">
        <x:f>IF(AJ262=0,0,(AJ262-IF(4=D262,1,0))*VLOOKUP(INDEX('章节与怪物'!$E$31:$K$37,B262,4),'章节与怪物'!$A$41:$F$44,4,FALSE)+IF(4=D262,'难度参数'!$E$30,0))</x:f>
        <x:v>1122</x:v>
      </x:c>
      <x:c r="AN262" s="119" t="n">
        <x:f>IF(5&gt;D262,0,MAX(2,MIN('难度参数'!$E$12,ROUND(('难度参数'!$E$18*POWER(A262,'难度参数'!$E$19)/D262*(0.85+0.3*(5-1)/MAX(1,D262-1))),0)+F262)))</x:f>
        <x:v>34</x:v>
      </x:c>
      <x:c r="AO262" s="119" t="n">
        <x:f>IF(5&gt;D262,0,ROUND(('难度参数'!$E$13*POWER(A262,'难度参数'!$E$20)*MIN('难度参数'!$E$23,1+MAX(0,A262-'难度参数'!$E$21)*'难度参数'!$E$22))*(36+5*7)/(36+7*(D262+1)/2)*E262,0))</x:f>
        <x:v>8116</x:v>
      </x:c>
      <x:c r="AP262" s="119" t="n">
        <x:f>IF(AN262=0,0,(AN262-IF(5=D262,1,0))*ROUND(AO262*VLOOKUP(INDEX('章节与怪物'!$E$31:$K$37,B262,5),'章节与怪物'!$A$41:$F$44,2,FALSE),0)+IF(5=D262,ROUND(AO262*'难度参数'!$E$28*'章节与怪物'!$E$17,0),0))</x:f>
        <x:v>198696</x:v>
      </x:c>
      <x:c r="AQ262" s="119" t="n">
        <x:f>IF(AN262=0,0,(AN262-IF(5=D262,1,0))*VLOOKUP(INDEX('章节与怪物'!$E$31:$K$37,B262,5),'章节与怪物'!$A$41:$F$44,4,FALSE)+IF(5=D262,'难度参数'!$E$30,0))</x:f>
        <x:v>680</x:v>
      </x:c>
      <x:c r="AR262" s="119" t="n">
        <x:f>IF(6&gt;D262,0,MAX(2,MIN('难度参数'!$E$12,ROUND(('难度参数'!$E$18*POWER(A262,'难度参数'!$E$19)/D262*(0.85+0.3*(6-1)/MAX(1,D262-1))),0)+F262)))</x:f>
        <x:v>36</x:v>
      </x:c>
      <x:c r="AS262" s="119" t="n">
        <x:f>IF(6&gt;D262,0,ROUND(('难度参数'!$E$13*POWER(A262,'难度参数'!$E$20)*MIN('难度参数'!$E$23,1+MAX(0,A262-'难度参数'!$E$21)*'难度参数'!$E$22))*(36+6*7)/(36+7*(D262+1)/2)*E262,0))</x:f>
        <x:v>8916</x:v>
      </x:c>
      <x:c r="AT262" s="119" t="n">
        <x:f>IF(AR262=0,0,(AR262-IF(6=D262,1,0))*ROUND(AS262*VLOOKUP(INDEX('章节与怪物'!$E$31:$K$37,B262,6),'章节与怪物'!$A$41:$F$44,2,FALSE),0)+IF(6=D262,ROUND(AS262*'难度参数'!$E$28*'章节与怪物'!$E$17,0),0))</x:f>
        <x:v>545652</x:v>
      </x:c>
      <x:c r="AU262" s="119" t="n">
        <x:f>IF(AR262=0,0,(AR262-IF(6=D262,1,0))*VLOOKUP(INDEX('章节与怪物'!$E$31:$K$37,B262,6),'章节与怪物'!$A$41:$F$44,4,FALSE)+IF(6=D262,'难度参数'!$E$30,0))</x:f>
        <x:v>1008</x:v>
      </x:c>
      <x:c r="AV262" s="119" t="n">
        <x:f>IF(7&gt;D262,0,MAX(2,MIN('难度参数'!$E$12,ROUND(('难度参数'!$E$18*POWER(A262,'难度参数'!$E$19)/D262*(0.85+0.3*(7-1)/MAX(1,D262-1))),0)+F262)))</x:f>
        <x:v>38</x:v>
      </x:c>
      <x:c r="AW262" s="119" t="n">
        <x:f>IF(7&gt;D262,0,ROUND(('难度参数'!$E$13*POWER(A262,'难度参数'!$E$20)*MIN('难度参数'!$E$23,1+MAX(0,A262-'难度参数'!$E$21)*'难度参数'!$E$22))*(36+7*7)/(36+7*(D262+1)/2)*E262,0))</x:f>
        <x:v>9716</x:v>
      </x:c>
      <x:c r="AX262" s="119" t="n">
        <x:f>IF(AV262=0,0,(AV262-IF(7=D262,1,0))*ROUND(AW262*VLOOKUP(INDEX('章节与怪物'!$E$31:$K$37,B262,7),'章节与怪物'!$A$41:$F$44,2,FALSE),0)+IF(7=D262,ROUND(AW262*'难度参数'!$E$28*'章节与怪物'!$E$17,0),0))</x:f>
        <x:v>551398</x:v>
      </x:c>
      <x:c r="AY262" s="119" t="n">
        <x:f>IF(AV262=0,0,(AV262-IF(7=D262,1,0))*VLOOKUP(INDEX('章节与怪物'!$E$31:$K$37,B262,7),'章节与怪物'!$A$41:$F$44,4,FALSE)+IF(7=D262,'难度参数'!$E$30,0))</x:f>
        <x:v>1458</x:v>
      </x:c>
    </x:row>
    <x:row r="263" ht="23" customHeight="1">
      <x:c r="A263" s="119" t="n">
        <x:v>257</x:v>
      </x:c>
      <x:c r="B263" s="119" t="n">
        <x:f>MOD(INT((A263-1)/5),7)+1</x:f>
        <x:v>3</x:v>
      </x:c>
      <x:c r="C263" s="62" t="str">
        <x:f>INDEX('章节与怪物'!$B$31:$B$37,B263)</x:f>
        <x:v>腐沼秘林</x:v>
      </x:c>
      <x:c r="D263" s="119" t="n">
        <x:f>MIN('难度参数'!$E$8,MAX('难度参数'!$E$7,A263))</x:f>
        <x:v>7</x:v>
      </x:c>
      <x:c r="E263" s="106" t="n">
        <x:v>1</x:v>
      </x:c>
      <x:c r="F263" s="106" t="n">
        <x:v>0</x:v>
      </x:c>
      <x:c r="G263" s="106" t="n">
        <x:v>1</x:v>
      </x:c>
      <x:c r="H263" s="119" t="n">
        <x:f>SUM(X263,AB263,AF263,AJ263,AN263,AR263,AV263)</x:f>
        <x:v>231</x:v>
      </x:c>
      <x:c r="I263" s="119" t="n">
        <x:f>SUM(Z263,AD263,AH263,AL263,AP263,AT263,AX263)</x:f>
        <x:v>2238259</x:v>
      </x:c>
      <x:c r="J263" s="119" t="n">
        <x:f>ROUND(INDEX(X263:AY263,1,(D263-1)*4+2)*'难度参数'!$E$28*'章节与怪物'!$E$17,0)</x:f>
        <x:v>66259</x:v>
      </x:c>
      <x:c r="K263" s="119" t="n">
        <x:f>SUM(AA263,AE263,AI263,AM263,AQ263,AU263,AY263)</x:f>
        <x:v>6260</x:v>
      </x:c>
      <x:c r="L263" s="62" t="n">
        <x:f>H263*(ROUNDUP('难度参数'!$E$24/('难度参数'!$E$26*'难度参数'!$E$27),0)*'难度参数'!$E$26)/60</x:f>
        <x:v>3.08</x:v>
      </x:c>
      <x:c r="M263" s="62" t="n">
        <x:f>L263+D263*('难度参数'!$E$49+'难度参数'!$E$50)/60</x:f>
        <x:v>4.246666666666667</x:v>
      </x:c>
      <x:c r="N263" s="119" t="n">
        <x:f>ROUNDDOWN(('经济参数'!$E$20+A263*'经济参数'!$E$21)*G263,0)</x:f>
        <x:v>5320</x:v>
      </x:c>
      <x:c r="O263" s="119" t="n">
        <x:f>ROUNDDOWN(MIN('经济参数'!$E$24,'经济参数'!$E$22+A263*'经济参数'!$E$23)*G263,0)</x:f>
        <x:v>0</x:v>
      </x:c>
      <x:c r="P263" s="119" t="n">
        <x:f>ROUNDDOWN((IF(A263&gt;='材料与任务'!$E$31,'材料与任务'!$E$32,IF(A263&gt;='材料与任务'!$E$25,'材料与任务'!$E$26,IF(A263&gt;='材料与任务'!$E$19,'材料与任务'!$E$20,IF(A263&gt;='材料与任务'!$E$13,'材料与任务'!$E$14,'材料与任务'!$E$8)))))*G263,0)</x:f>
        <x:v>6</x:v>
      </x:c>
      <x:c r="Q263" s="119" t="n">
        <x:f>ROUNDDOWN((IF(A263&gt;='材料与任务'!$E$31,'材料与任务'!$E$33,IF(A263&gt;='材料与任务'!$E$25,'材料与任务'!$E$27,IF(A263&gt;='材料与任务'!$E$19,'材料与任务'!$E$21,IF(A263&gt;='材料与任务'!$E$13,'材料与任务'!$E$15,'材料与任务'!$E$9)))))*G263,0)</x:f>
        <x:v>3</x:v>
      </x:c>
      <x:c r="R263" s="110" t="n">
        <x:f>'装备掉落'!$B$38</x:f>
        <x:v>0.6872058758851213</x:v>
      </x:c>
      <x:c r="S263" s="119" t="n">
        <x:f>MAX(IF(VLOOKUP(A263,'装备掉落'!$A$29:$H$34,2,TRUE)&gt;0,1,0),IF(VLOOKUP(A263,'装备掉落'!$A$29:$H$34,3,TRUE)&gt;0,2,0),IF(VLOOKUP(A263,'装备掉落'!$A$29:$H$34,4,TRUE)&gt;0,3,0),IF(VLOOKUP(A263,'装备掉落'!$A$29:$H$34,5,TRUE)&gt;0,4,0),IF(VLOOKUP(A263,'装备掉落'!$A$29:$H$34,6,TRUE)&gt;0,5,0),IF(VLOOKUP(A263,'装备掉落'!$A$29:$H$34,7,TRUE)&gt;0,6,0),IF(VLOOKUP(A263,'装备掉落'!$A$29:$H$34,8,TRUE)&gt;0,7,0))</x:f>
        <x:v>7</x:v>
      </x:c>
      <x:c r="T263" s="119" t="n">
        <x:f>MIN(7,S263+'经济参数'!$E$70)</x:f>
        <x:v>7</x:v>
      </x:c>
      <x:c r="U263" s="119" t="n">
        <x:f>MIN(7,S263+'经济参数'!$E$71)</x:f>
        <x:v>7</x:v>
      </x:c>
      <x:c r="V263" s="119" t="n">
        <x:f>IF(H263&gt;=('难度参数'!$E$52),1,0)+IF(H263&gt;=('难度参数'!$E$52+'难度参数'!$E$53),1,0)+IF(H263&gt;=('难度参数'!$E$52+'难度参数'!$E$53+'难度参数'!$E$54),1,0)+IF(H263&gt;=('难度参数'!$E$52+'难度参数'!$E$53+'难度参数'!$E$54+'难度参数'!$E$55),1,0)+IF(H263&gt;=('难度参数'!$E$52+'难度参数'!$E$53+'难度参数'!$E$54+'难度参数'!$E$55+'难度参数'!$E$56),1,0)+IF(H263&gt;=('难度参数'!$E$52+'难度参数'!$E$53+'难度参数'!$E$54+'难度参数'!$E$55+'难度参数'!$E$56+'难度参数'!$E$57),1,0)</x:f>
        <x:v>6</x:v>
      </x:c>
      <x:c r="W263" s="62" t="str">
        <x:f>IF(L263&gt;'难度参数'!$E$51,"仅出怪已超目标","还需实测")</x:f>
        <x:v>仅出怪已超目标</x:v>
      </x:c>
      <x:c r="X263" s="119" t="n">
        <x:f>IF(1&gt;D263,0,MAX(2,MIN('难度参数'!$E$12,ROUND(('难度参数'!$E$18*POWER(A263,'难度参数'!$E$19)/D263*(0.85+0.3*(1-1)/MAX(1,D263-1))),0)+F263)))</x:f>
        <x:v>28</x:v>
      </x:c>
      <x:c r="Y263" s="119" t="n">
        <x:f>IF(1&gt;D263,0,ROUND(('难度参数'!$E$13*POWER(A263,'难度参数'!$E$20)*MIN('难度参数'!$E$23,1+MAX(0,A263-'难度参数'!$E$21)*'难度参数'!$E$22))*(36+1*7)/(36+7*(D263+1)/2)*E263,0))</x:f>
        <x:v>4929</x:v>
      </x:c>
      <x:c r="Z263" s="119" t="n">
        <x:f>IF(X263=0,0,(X263-IF(1=D263,1,0))*ROUND(Y263*VLOOKUP(INDEX('章节与怪物'!$E$31:$K$37,B263,1),'章节与怪物'!$A$41:$F$44,2,FALSE),0)+IF(1=D263,ROUND(Y263*'难度参数'!$E$28*'章节与怪物'!$E$17,0),0))</x:f>
        <x:v>138012</x:v>
      </x:c>
      <x:c r="AA263" s="119" t="n">
        <x:f>IF(X263=0,0,(X263-IF(1=D263,1,0))*VLOOKUP(INDEX('章节与怪物'!$E$31:$K$37,B263,1),'章节与怪物'!$A$41:$F$44,4,FALSE)+IF(1=D263,'难度参数'!$E$30,0))</x:f>
        <x:v>504</x:v>
      </x:c>
      <x:c r="AB263" s="119" t="n">
        <x:f>IF(2&gt;D263,0,MAX(2,MIN('难度参数'!$E$12,ROUND(('难度参数'!$E$18*POWER(A263,'难度参数'!$E$19)/D263*(0.85+0.3*(2-1)/MAX(1,D263-1))),0)+F263)))</x:f>
        <x:v>30</x:v>
      </x:c>
      <x:c r="AC263" s="119" t="n">
        <x:f>IF(2&gt;D263,0,ROUND(('难度参数'!$E$13*POWER(A263,'难度参数'!$E$20)*MIN('难度参数'!$E$23,1+MAX(0,A263-'难度参数'!$E$21)*'难度参数'!$E$22))*(36+2*7)/(36+7*(D263+1)/2)*E263,0))</x:f>
        <x:v>5732</x:v>
      </x:c>
      <x:c r="AD263" s="119" t="n">
        <x:f>IF(AB263=0,0,(AB263-IF(2=D263,1,0))*ROUND(AC263*VLOOKUP(INDEX('章节与怪物'!$E$31:$K$37,B263,2),'章节与怪物'!$A$41:$F$44,2,FALSE),0)+IF(2=D263,ROUND(AC263*'难度参数'!$E$28*'章节与怪物'!$E$17,0),0))</x:f>
        <x:v>123810</x:v>
      </x:c>
      <x:c r="AE263" s="119" t="n">
        <x:f>IF(AB263=0,0,(AB263-IF(2=D263,1,0))*VLOOKUP(INDEX('章节与怪物'!$E$31:$K$37,B263,2),'章节与怪物'!$A$41:$F$44,4,FALSE)+IF(2=D263,'难度参数'!$E$30,0))</x:f>
        <x:v>600</x:v>
      </x:c>
      <x:c r="AF263" s="119" t="n">
        <x:f>IF(3&gt;D263,0,MAX(2,MIN('难度参数'!$E$12,ROUND(('难度参数'!$E$18*POWER(A263,'难度参数'!$E$19)/D263*(0.85+0.3*(3-1)/MAX(1,D263-1))),0)+F263)))</x:f>
        <x:v>31</x:v>
      </x:c>
      <x:c r="AG263" s="119" t="n">
        <x:f>IF(3&gt;D263,0,ROUND(('难度参数'!$E$13*POWER(A263,'难度参数'!$E$20)*MIN('难度参数'!$E$23,1+MAX(0,A263-'难度参数'!$E$21)*'难度参数'!$E$22))*(36+3*7)/(36+7*(D263+1)/2)*E263,0))</x:f>
        <x:v>6534</x:v>
      </x:c>
      <x:c r="AH263" s="119" t="n">
        <x:f>IF(AF263=0,0,(AF263-IF(3=D263,1,0))*ROUND(AG263*VLOOKUP(INDEX('章节与怪物'!$E$31:$K$37,B263,3),'章节与怪物'!$A$41:$F$44,2,FALSE),0)+IF(3=D263,ROUND(AG263*'难度参数'!$E$28*'章节与怪物'!$E$17,0),0))</x:f>
        <x:v>344348</x:v>
      </x:c>
      <x:c r="AI263" s="119" t="n">
        <x:f>IF(AF263=0,0,(AF263-IF(3=D263,1,0))*VLOOKUP(INDEX('章节与怪物'!$E$31:$K$37,B263,3),'章节与怪物'!$A$41:$F$44,4,FALSE)+IF(3=D263,'难度参数'!$E$30,0))</x:f>
        <x:v>868</x:v>
      </x:c>
      <x:c r="AJ263" s="119" t="n">
        <x:f>IF(4&gt;D263,0,MAX(2,MIN('难度参数'!$E$12,ROUND(('难度参数'!$E$18*POWER(A263,'难度参数'!$E$19)/D263*(0.85+0.3*(4-1)/MAX(1,D263-1))),0)+F263)))</x:f>
        <x:v>33</x:v>
      </x:c>
      <x:c r="AK263" s="119" t="n">
        <x:f>IF(4&gt;D263,0,ROUND(('难度参数'!$E$13*POWER(A263,'难度参数'!$E$20)*MIN('难度参数'!$E$23,1+MAX(0,A263-'难度参数'!$E$21)*'难度参数'!$E$22))*(36+4*7)/(36+7*(D263+1)/2)*E263,0))</x:f>
        <x:v>7336</x:v>
      </x:c>
      <x:c r="AL263" s="119" t="n">
        <x:f>IF(AJ263=0,0,(AJ263-IF(4=D263,1,0))*ROUND(AK263*VLOOKUP(INDEX('章节与怪物'!$E$31:$K$37,B263,4),'章节与怪物'!$A$41:$F$44,2,FALSE),0)+IF(4=D263,ROUND(AK263*'难度参数'!$E$28*'章节与怪物'!$E$17,0),0))</x:f>
        <x:v>326832</x:v>
      </x:c>
      <x:c r="AM263" s="119" t="n">
        <x:f>IF(AJ263=0,0,(AJ263-IF(4=D263,1,0))*VLOOKUP(INDEX('章节与怪物'!$E$31:$K$37,B263,4),'章节与怪物'!$A$41:$F$44,4,FALSE)+IF(4=D263,'难度参数'!$E$30,0))</x:f>
        <x:v>1122</x:v>
      </x:c>
      <x:c r="AN263" s="119" t="n">
        <x:f>IF(5&gt;D263,0,MAX(2,MIN('难度参数'!$E$12,ROUND(('难度参数'!$E$18*POWER(A263,'难度参数'!$E$19)/D263*(0.85+0.3*(5-1)/MAX(1,D263-1))),0)+F263)))</x:f>
        <x:v>35</x:v>
      </x:c>
      <x:c r="AO263" s="119" t="n">
        <x:f>IF(5&gt;D263,0,ROUND(('难度参数'!$E$13*POWER(A263,'难度参数'!$E$20)*MIN('难度参数'!$E$23,1+MAX(0,A263-'难度参数'!$E$21)*'难度参数'!$E$22))*(36+5*7)/(36+7*(D263+1)/2)*E263,0))</x:f>
        <x:v>8139</x:v>
      </x:c>
      <x:c r="AP263" s="119" t="n">
        <x:f>IF(AN263=0,0,(AN263-IF(5=D263,1,0))*ROUND(AO263*VLOOKUP(INDEX('章节与怪物'!$E$31:$K$37,B263,5),'章节与怪物'!$A$41:$F$44,2,FALSE),0)+IF(5=D263,ROUND(AO263*'难度参数'!$E$28*'章节与怪物'!$E$17,0),0))</x:f>
        <x:v>205100</x:v>
      </x:c>
      <x:c r="AQ263" s="119" t="n">
        <x:f>IF(AN263=0,0,(AN263-IF(5=D263,1,0))*VLOOKUP(INDEX('章节与怪物'!$E$31:$K$37,B263,5),'章节与怪物'!$A$41:$F$44,4,FALSE)+IF(5=D263,'难度参数'!$E$30,0))</x:f>
        <x:v>700</x:v>
      </x:c>
      <x:c r="AR263" s="119" t="n">
        <x:f>IF(6&gt;D263,0,MAX(2,MIN('难度参数'!$E$12,ROUND(('难度参数'!$E$18*POWER(A263,'难度参数'!$E$19)/D263*(0.85+0.3*(6-1)/MAX(1,D263-1))),0)+F263)))</x:f>
        <x:v>36</x:v>
      </x:c>
      <x:c r="AS263" s="119" t="n">
        <x:f>IF(6&gt;D263,0,ROUND(('难度参数'!$E$13*POWER(A263,'难度参数'!$E$20)*MIN('难度参数'!$E$23,1+MAX(0,A263-'难度参数'!$E$21)*'难度参数'!$E$22))*(36+6*7)/(36+7*(D263+1)/2)*E263,0))</x:f>
        <x:v>8941</x:v>
      </x:c>
      <x:c r="AT263" s="119" t="n">
        <x:f>IF(AR263=0,0,(AR263-IF(6=D263,1,0))*ROUND(AS263*VLOOKUP(INDEX('章节与怪物'!$E$31:$K$37,B263,6),'章节与怪物'!$A$41:$F$44,2,FALSE),0)+IF(6=D263,ROUND(AS263*'难度参数'!$E$28*'章节与怪物'!$E$17,0),0))</x:f>
        <x:v>547200</x:v>
      </x:c>
      <x:c r="AU263" s="119" t="n">
        <x:f>IF(AR263=0,0,(AR263-IF(6=D263,1,0))*VLOOKUP(INDEX('章节与怪物'!$E$31:$K$37,B263,6),'章节与怪物'!$A$41:$F$44,4,FALSE)+IF(6=D263,'难度参数'!$E$30,0))</x:f>
        <x:v>1008</x:v>
      </x:c>
      <x:c r="AV263" s="119" t="n">
        <x:f>IF(7&gt;D263,0,MAX(2,MIN('难度参数'!$E$12,ROUND(('难度参数'!$E$18*POWER(A263,'难度参数'!$E$19)/D263*(0.85+0.3*(7-1)/MAX(1,D263-1))),0)+F263)))</x:f>
        <x:v>38</x:v>
      </x:c>
      <x:c r="AW263" s="119" t="n">
        <x:f>IF(7&gt;D263,0,ROUND(('难度参数'!$E$13*POWER(A263,'难度参数'!$E$20)*MIN('难度参数'!$E$23,1+MAX(0,A263-'难度参数'!$E$21)*'难度参数'!$E$22))*(36+7*7)/(36+7*(D263+1)/2)*E263,0))</x:f>
        <x:v>9744</x:v>
      </x:c>
      <x:c r="AX263" s="119" t="n">
        <x:f>IF(AV263=0,0,(AV263-IF(7=D263,1,0))*ROUND(AW263*VLOOKUP(INDEX('章节与怪物'!$E$31:$K$37,B263,7),'章节与怪物'!$A$41:$F$44,2,FALSE),0)+IF(7=D263,ROUND(AW263*'难度参数'!$E$28*'章节与怪物'!$E$17,0),0))</x:f>
        <x:v>552957</x:v>
      </x:c>
      <x:c r="AY263" s="119" t="n">
        <x:f>IF(AV263=0,0,(AV263-IF(7=D263,1,0))*VLOOKUP(INDEX('章节与怪物'!$E$31:$K$37,B263,7),'章节与怪物'!$A$41:$F$44,4,FALSE)+IF(7=D263,'难度参数'!$E$30,0))</x:f>
        <x:v>1458</x:v>
      </x:c>
    </x:row>
    <x:row r="264" ht="23" customHeight="1">
      <x:c r="A264" s="119" t="n">
        <x:v>258</x:v>
      </x:c>
      <x:c r="B264" s="119" t="n">
        <x:f>MOD(INT((A264-1)/5),7)+1</x:f>
        <x:v>3</x:v>
      </x:c>
      <x:c r="C264" s="62" t="str">
        <x:f>INDEX('章节与怪物'!$B$31:$B$37,B264)</x:f>
        <x:v>腐沼秘林</x:v>
      </x:c>
      <x:c r="D264" s="119" t="n">
        <x:f>MIN('难度参数'!$E$8,MAX('难度参数'!$E$7,A264))</x:f>
        <x:v>7</x:v>
      </x:c>
      <x:c r="E264" s="106" t="n">
        <x:v>1</x:v>
      </x:c>
      <x:c r="F264" s="106" t="n">
        <x:v>0</x:v>
      </x:c>
      <x:c r="G264" s="106" t="n">
        <x:v>1</x:v>
      </x:c>
      <x:c r="H264" s="119" t="n">
        <x:f>SUM(X264,AB264,AF264,AJ264,AN264,AR264,AV264)</x:f>
        <x:v>231</x:v>
      </x:c>
      <x:c r="I264" s="119" t="n">
        <x:f>SUM(Z264,AD264,AH264,AL264,AP264,AT264,AX264)</x:f>
        <x:v>2244525</x:v>
      </x:c>
      <x:c r="J264" s="119" t="n">
        <x:f>ROUND(INDEX(X264:AY264,1,(D264-1)*4+2)*'难度参数'!$E$28*'章节与怪物'!$E$17,0)</x:f>
        <x:v>66443</x:v>
      </x:c>
      <x:c r="K264" s="119" t="n">
        <x:f>SUM(AA264,AE264,AI264,AM264,AQ264,AU264,AY264)</x:f>
        <x:v>6260</x:v>
      </x:c>
      <x:c r="L264" s="62" t="n">
        <x:f>H264*(ROUNDUP('难度参数'!$E$24/('难度参数'!$E$26*'难度参数'!$E$27),0)*'难度参数'!$E$26)/60</x:f>
        <x:v>3.08</x:v>
      </x:c>
      <x:c r="M264" s="62" t="n">
        <x:f>L264+D264*('难度参数'!$E$49+'难度参数'!$E$50)/60</x:f>
        <x:v>4.246666666666667</x:v>
      </x:c>
      <x:c r="N264" s="119" t="n">
        <x:f>ROUNDDOWN(('经济参数'!$E$20+A264*'经济参数'!$E$21)*G264,0)</x:f>
        <x:v>5340</x:v>
      </x:c>
      <x:c r="O264" s="119" t="n">
        <x:f>ROUNDDOWN(MIN('经济参数'!$E$24,'经济参数'!$E$22+A264*'经济参数'!$E$23)*G264,0)</x:f>
        <x:v>0</x:v>
      </x:c>
      <x:c r="P264" s="119" t="n">
        <x:f>ROUNDDOWN((IF(A264&gt;='材料与任务'!$E$31,'材料与任务'!$E$32,IF(A264&gt;='材料与任务'!$E$25,'材料与任务'!$E$26,IF(A264&gt;='材料与任务'!$E$19,'材料与任务'!$E$20,IF(A264&gt;='材料与任务'!$E$13,'材料与任务'!$E$14,'材料与任务'!$E$8)))))*G264,0)</x:f>
        <x:v>6</x:v>
      </x:c>
      <x:c r="Q264" s="119" t="n">
        <x:f>ROUNDDOWN((IF(A264&gt;='材料与任务'!$E$31,'材料与任务'!$E$33,IF(A264&gt;='材料与任务'!$E$25,'材料与任务'!$E$27,IF(A264&gt;='材料与任务'!$E$19,'材料与任务'!$E$21,IF(A264&gt;='材料与任务'!$E$13,'材料与任务'!$E$15,'材料与任务'!$E$9)))))*G264,0)</x:f>
        <x:v>3</x:v>
      </x:c>
      <x:c r="R264" s="110" t="n">
        <x:f>'装备掉落'!$B$38</x:f>
        <x:v>0.6872058758851213</x:v>
      </x:c>
      <x:c r="S264" s="119" t="n">
        <x:f>MAX(IF(VLOOKUP(A264,'装备掉落'!$A$29:$H$34,2,TRUE)&gt;0,1,0),IF(VLOOKUP(A264,'装备掉落'!$A$29:$H$34,3,TRUE)&gt;0,2,0),IF(VLOOKUP(A264,'装备掉落'!$A$29:$H$34,4,TRUE)&gt;0,3,0),IF(VLOOKUP(A264,'装备掉落'!$A$29:$H$34,5,TRUE)&gt;0,4,0),IF(VLOOKUP(A264,'装备掉落'!$A$29:$H$34,6,TRUE)&gt;0,5,0),IF(VLOOKUP(A264,'装备掉落'!$A$29:$H$34,7,TRUE)&gt;0,6,0),IF(VLOOKUP(A264,'装备掉落'!$A$29:$H$34,8,TRUE)&gt;0,7,0))</x:f>
        <x:v>7</x:v>
      </x:c>
      <x:c r="T264" s="119" t="n">
        <x:f>MIN(7,S264+'经济参数'!$E$70)</x:f>
        <x:v>7</x:v>
      </x:c>
      <x:c r="U264" s="119" t="n">
        <x:f>MIN(7,S264+'经济参数'!$E$71)</x:f>
        <x:v>7</x:v>
      </x:c>
      <x:c r="V264" s="119" t="n">
        <x:f>IF(H264&gt;=('难度参数'!$E$52),1,0)+IF(H264&gt;=('难度参数'!$E$52+'难度参数'!$E$53),1,0)+IF(H264&gt;=('难度参数'!$E$52+'难度参数'!$E$53+'难度参数'!$E$54),1,0)+IF(H264&gt;=('难度参数'!$E$52+'难度参数'!$E$53+'难度参数'!$E$54+'难度参数'!$E$55),1,0)+IF(H264&gt;=('难度参数'!$E$52+'难度参数'!$E$53+'难度参数'!$E$54+'难度参数'!$E$55+'难度参数'!$E$56),1,0)+IF(H264&gt;=('难度参数'!$E$52+'难度参数'!$E$53+'难度参数'!$E$54+'难度参数'!$E$55+'难度参数'!$E$56+'难度参数'!$E$57),1,0)</x:f>
        <x:v>6</x:v>
      </x:c>
      <x:c r="W264" s="62" t="str">
        <x:f>IF(L264&gt;'难度参数'!$E$51,"仅出怪已超目标","还需实测")</x:f>
        <x:v>仅出怪已超目标</x:v>
      </x:c>
      <x:c r="X264" s="119" t="n">
        <x:f>IF(1&gt;D264,0,MAX(2,MIN('难度参数'!$E$12,ROUND(('难度参数'!$E$18*POWER(A264,'难度参数'!$E$19)/D264*(0.85+0.3*(1-1)/MAX(1,D264-1))),0)+F264)))</x:f>
        <x:v>28</x:v>
      </x:c>
      <x:c r="Y264" s="119" t="n">
        <x:f>IF(1&gt;D264,0,ROUND(('难度参数'!$E$13*POWER(A264,'难度参数'!$E$20)*MIN('难度参数'!$E$23,1+MAX(0,A264-'难度参数'!$E$21)*'难度参数'!$E$22))*(36+1*7)/(36+7*(D264+1)/2)*E264,0))</x:f>
        <x:v>4943</x:v>
      </x:c>
      <x:c r="Z264" s="119" t="n">
        <x:f>IF(X264=0,0,(X264-IF(1=D264,1,0))*ROUND(Y264*VLOOKUP(INDEX('章节与怪物'!$E$31:$K$37,B264,1),'章节与怪物'!$A$41:$F$44,2,FALSE),0)+IF(1=D264,ROUND(Y264*'难度参数'!$E$28*'章节与怪物'!$E$17,0),0))</x:f>
        <x:v>138404</x:v>
      </x:c>
      <x:c r="AA264" s="119" t="n">
        <x:f>IF(X264=0,0,(X264-IF(1=D264,1,0))*VLOOKUP(INDEX('章节与怪物'!$E$31:$K$37,B264,1),'章节与怪物'!$A$41:$F$44,4,FALSE)+IF(1=D264,'难度参数'!$E$30,0))</x:f>
        <x:v>504</x:v>
      </x:c>
      <x:c r="AB264" s="119" t="n">
        <x:f>IF(2&gt;D264,0,MAX(2,MIN('难度参数'!$E$12,ROUND(('难度参数'!$E$18*POWER(A264,'难度参数'!$E$19)/D264*(0.85+0.3*(2-1)/MAX(1,D264-1))),0)+F264)))</x:f>
        <x:v>30</x:v>
      </x:c>
      <x:c r="AC264" s="119" t="n">
        <x:f>IF(2&gt;D264,0,ROUND(('难度参数'!$E$13*POWER(A264,'难度参数'!$E$20)*MIN('难度参数'!$E$23,1+MAX(0,A264-'难度参数'!$E$21)*'难度参数'!$E$22))*(36+2*7)/(36+7*(D264+1)/2)*E264,0))</x:f>
        <x:v>5748</x:v>
      </x:c>
      <x:c r="AD264" s="119" t="n">
        <x:f>IF(AB264=0,0,(AB264-IF(2=D264,1,0))*ROUND(AC264*VLOOKUP(INDEX('章节与怪物'!$E$31:$K$37,B264,2),'章节与怪物'!$A$41:$F$44,2,FALSE),0)+IF(2=D264,ROUND(AC264*'难度参数'!$E$28*'章节与怪物'!$E$17,0),0))</x:f>
        <x:v>124170</x:v>
      </x:c>
      <x:c r="AE264" s="119" t="n">
        <x:f>IF(AB264=0,0,(AB264-IF(2=D264,1,0))*VLOOKUP(INDEX('章节与怪物'!$E$31:$K$37,B264,2),'章节与怪物'!$A$41:$F$44,4,FALSE)+IF(2=D264,'难度参数'!$E$30,0))</x:f>
        <x:v>600</x:v>
      </x:c>
      <x:c r="AF264" s="119" t="n">
        <x:f>IF(3&gt;D264,0,MAX(2,MIN('难度参数'!$E$12,ROUND(('难度参数'!$E$18*POWER(A264,'难度参数'!$E$19)/D264*(0.85+0.3*(3-1)/MAX(1,D264-1))),0)+F264)))</x:f>
        <x:v>31</x:v>
      </x:c>
      <x:c r="AG264" s="119" t="n">
        <x:f>IF(3&gt;D264,0,ROUND(('难度参数'!$E$13*POWER(A264,'难度参数'!$E$20)*MIN('难度参数'!$E$23,1+MAX(0,A264-'难度参数'!$E$21)*'难度参数'!$E$22))*(36+3*7)/(36+7*(D264+1)/2)*E264,0))</x:f>
        <x:v>6552</x:v>
      </x:c>
      <x:c r="AH264" s="119" t="n">
        <x:f>IF(AF264=0,0,(AF264-IF(3=D264,1,0))*ROUND(AG264*VLOOKUP(INDEX('章节与怪物'!$E$31:$K$37,B264,3),'章节与怪物'!$A$41:$F$44,2,FALSE),0)+IF(3=D264,ROUND(AG264*'难度参数'!$E$28*'章节与怪物'!$E$17,0),0))</x:f>
        <x:v>345278</x:v>
      </x:c>
      <x:c r="AI264" s="119" t="n">
        <x:f>IF(AF264=0,0,(AF264-IF(3=D264,1,0))*VLOOKUP(INDEX('章节与怪物'!$E$31:$K$37,B264,3),'章节与怪物'!$A$41:$F$44,4,FALSE)+IF(3=D264,'难度参数'!$E$30,0))</x:f>
        <x:v>868</x:v>
      </x:c>
      <x:c r="AJ264" s="119" t="n">
        <x:f>IF(4&gt;D264,0,MAX(2,MIN('难度参数'!$E$12,ROUND(('难度参数'!$E$18*POWER(A264,'难度参数'!$E$19)/D264*(0.85+0.3*(4-1)/MAX(1,D264-1))),0)+F264)))</x:f>
        <x:v>33</x:v>
      </x:c>
      <x:c r="AK264" s="119" t="n">
        <x:f>IF(4&gt;D264,0,ROUND(('难度参数'!$E$13*POWER(A264,'难度参数'!$E$20)*MIN('难度参数'!$E$23,1+MAX(0,A264-'难度参数'!$E$21)*'难度参数'!$E$22))*(36+4*7)/(36+7*(D264+1)/2)*E264,0))</x:f>
        <x:v>7357</x:v>
      </x:c>
      <x:c r="AL264" s="119" t="n">
        <x:f>IF(AJ264=0,0,(AJ264-IF(4=D264,1,0))*ROUND(AK264*VLOOKUP(INDEX('章节与怪物'!$E$31:$K$37,B264,4),'章节与怪物'!$A$41:$F$44,2,FALSE),0)+IF(4=D264,ROUND(AK264*'难度参数'!$E$28*'章节与怪物'!$E$17,0),0))</x:f>
        <x:v>327756</x:v>
      </x:c>
      <x:c r="AM264" s="119" t="n">
        <x:f>IF(AJ264=0,0,(AJ264-IF(4=D264,1,0))*VLOOKUP(INDEX('章节与怪物'!$E$31:$K$37,B264,4),'章节与怪物'!$A$41:$F$44,4,FALSE)+IF(4=D264,'难度参数'!$E$30,0))</x:f>
        <x:v>1122</x:v>
      </x:c>
      <x:c r="AN264" s="119" t="n">
        <x:f>IF(5&gt;D264,0,MAX(2,MIN('难度参数'!$E$12,ROUND(('难度参数'!$E$18*POWER(A264,'难度参数'!$E$19)/D264*(0.85+0.3*(5-1)/MAX(1,D264-1))),0)+F264)))</x:f>
        <x:v>35</x:v>
      </x:c>
      <x:c r="AO264" s="119" t="n">
        <x:f>IF(5&gt;D264,0,ROUND(('难度参数'!$E$13*POWER(A264,'难度参数'!$E$20)*MIN('难度参数'!$E$23,1+MAX(0,A264-'难度参数'!$E$21)*'难度参数'!$E$22))*(36+5*7)/(36+7*(D264+1)/2)*E264,0))</x:f>
        <x:v>8162</x:v>
      </x:c>
      <x:c r="AP264" s="119" t="n">
        <x:f>IF(AN264=0,0,(AN264-IF(5=D264,1,0))*ROUND(AO264*VLOOKUP(INDEX('章节与怪物'!$E$31:$K$37,B264,5),'章节与怪物'!$A$41:$F$44,2,FALSE),0)+IF(5=D264,ROUND(AO264*'难度参数'!$E$28*'章节与怪物'!$E$17,0),0))</x:f>
        <x:v>205695</x:v>
      </x:c>
      <x:c r="AQ264" s="119" t="n">
        <x:f>IF(AN264=0,0,(AN264-IF(5=D264,1,0))*VLOOKUP(INDEX('章节与怪物'!$E$31:$K$37,B264,5),'章节与怪物'!$A$41:$F$44,4,FALSE)+IF(5=D264,'难度参数'!$E$30,0))</x:f>
        <x:v>700</x:v>
      </x:c>
      <x:c r="AR264" s="119" t="n">
        <x:f>IF(6&gt;D264,0,MAX(2,MIN('难度参数'!$E$12,ROUND(('难度参数'!$E$18*POWER(A264,'难度参数'!$E$19)/D264*(0.85+0.3*(6-1)/MAX(1,D264-1))),0)+F264)))</x:f>
        <x:v>36</x:v>
      </x:c>
      <x:c r="AS264" s="119" t="n">
        <x:f>IF(6&gt;D264,0,ROUND(('难度参数'!$E$13*POWER(A264,'难度参数'!$E$20)*MIN('难度参数'!$E$23,1+MAX(0,A264-'难度参数'!$E$21)*'难度参数'!$E$22))*(36+6*7)/(36+7*(D264+1)/2)*E264,0))</x:f>
        <x:v>8966</x:v>
      </x:c>
      <x:c r="AT264" s="119" t="n">
        <x:f>IF(AR264=0,0,(AR264-IF(6=D264,1,0))*ROUND(AS264*VLOOKUP(INDEX('章节与怪物'!$E$31:$K$37,B264,6),'章节与怪物'!$A$41:$F$44,2,FALSE),0)+IF(6=D264,ROUND(AS264*'难度参数'!$E$28*'章节与怪物'!$E$17,0),0))</x:f>
        <x:v>548712</x:v>
      </x:c>
      <x:c r="AU264" s="119" t="n">
        <x:f>IF(AR264=0,0,(AR264-IF(6=D264,1,0))*VLOOKUP(INDEX('章节与怪物'!$E$31:$K$37,B264,6),'章节与怪物'!$A$41:$F$44,4,FALSE)+IF(6=D264,'难度参数'!$E$30,0))</x:f>
        <x:v>1008</x:v>
      </x:c>
      <x:c r="AV264" s="119" t="n">
        <x:f>IF(7&gt;D264,0,MAX(2,MIN('难度参数'!$E$12,ROUND(('难度参数'!$E$18*POWER(A264,'难度参数'!$E$19)/D264*(0.85+0.3*(7-1)/MAX(1,D264-1))),0)+F264)))</x:f>
        <x:v>38</x:v>
      </x:c>
      <x:c r="AW264" s="119" t="n">
        <x:f>IF(7&gt;D264,0,ROUND(('难度参数'!$E$13*POWER(A264,'难度参数'!$E$20)*MIN('难度参数'!$E$23,1+MAX(0,A264-'难度参数'!$E$21)*'难度参数'!$E$22))*(36+7*7)/(36+7*(D264+1)/2)*E264,0))</x:f>
        <x:v>9771</x:v>
      </x:c>
      <x:c r="AX264" s="119" t="n">
        <x:f>IF(AV264=0,0,(AV264-IF(7=D264,1,0))*ROUND(AW264*VLOOKUP(INDEX('章节与怪物'!$E$31:$K$37,B264,7),'章节与怪物'!$A$41:$F$44,2,FALSE),0)+IF(7=D264,ROUND(AW264*'难度参数'!$E$28*'章节与怪物'!$E$17,0),0))</x:f>
        <x:v>554510</x:v>
      </x:c>
      <x:c r="AY264" s="119" t="n">
        <x:f>IF(AV264=0,0,(AV264-IF(7=D264,1,0))*VLOOKUP(INDEX('章节与怪物'!$E$31:$K$37,B264,7),'章节与怪物'!$A$41:$F$44,4,FALSE)+IF(7=D264,'难度参数'!$E$30,0))</x:f>
        <x:v>1458</x:v>
      </x:c>
    </x:row>
    <x:row r="265" ht="23" customHeight="1">
      <x:c r="A265" s="119" t="n">
        <x:v>259</x:v>
      </x:c>
      <x:c r="B265" s="119" t="n">
        <x:f>MOD(INT((A265-1)/5),7)+1</x:f>
        <x:v>3</x:v>
      </x:c>
      <x:c r="C265" s="62" t="str">
        <x:f>INDEX('章节与怪物'!$B$31:$B$37,B265)</x:f>
        <x:v>腐沼秘林</x:v>
      </x:c>
      <x:c r="D265" s="119" t="n">
        <x:f>MIN('难度参数'!$E$8,MAX('难度参数'!$E$7,A265))</x:f>
        <x:v>7</x:v>
      </x:c>
      <x:c r="E265" s="106" t="n">
        <x:v>1</x:v>
      </x:c>
      <x:c r="F265" s="106" t="n">
        <x:v>0</x:v>
      </x:c>
      <x:c r="G265" s="106" t="n">
        <x:v>1</x:v>
      </x:c>
      <x:c r="H265" s="119" t="n">
        <x:f>SUM(X265,AB265,AF265,AJ265,AN265,AR265,AV265)</x:f>
        <x:v>231</x:v>
      </x:c>
      <x:c r="I265" s="119" t="n">
        <x:f>SUM(Z265,AD265,AH265,AL265,AP265,AT265,AX265)</x:f>
        <x:v>2250782</x:v>
      </x:c>
      <x:c r="J265" s="119" t="n">
        <x:f>ROUND(INDEX(X265:AY265,1,(D265-1)*4+2)*'难度参数'!$E$28*'章节与怪物'!$E$17,0)</x:f>
        <x:v>66626</x:v>
      </x:c>
      <x:c r="K265" s="119" t="n">
        <x:f>SUM(AA265,AE265,AI265,AM265,AQ265,AU265,AY265)</x:f>
        <x:v>6260</x:v>
      </x:c>
      <x:c r="L265" s="62" t="n">
        <x:f>H265*(ROUNDUP('难度参数'!$E$24/('难度参数'!$E$26*'难度参数'!$E$27),0)*'难度参数'!$E$26)/60</x:f>
        <x:v>3.08</x:v>
      </x:c>
      <x:c r="M265" s="62" t="n">
        <x:f>L265+D265*('难度参数'!$E$49+'难度参数'!$E$50)/60</x:f>
        <x:v>4.246666666666667</x:v>
      </x:c>
      <x:c r="N265" s="119" t="n">
        <x:f>ROUNDDOWN(('经济参数'!$E$20+A265*'经济参数'!$E$21)*G265,0)</x:f>
        <x:v>5360</x:v>
      </x:c>
      <x:c r="O265" s="119" t="n">
        <x:f>ROUNDDOWN(MIN('经济参数'!$E$24,'经济参数'!$E$22+A265*'经济参数'!$E$23)*G265,0)</x:f>
        <x:v>0</x:v>
      </x:c>
      <x:c r="P265" s="119" t="n">
        <x:f>ROUNDDOWN((IF(A265&gt;='材料与任务'!$E$31,'材料与任务'!$E$32,IF(A265&gt;='材料与任务'!$E$25,'材料与任务'!$E$26,IF(A265&gt;='材料与任务'!$E$19,'材料与任务'!$E$20,IF(A265&gt;='材料与任务'!$E$13,'材料与任务'!$E$14,'材料与任务'!$E$8)))))*G265,0)</x:f>
        <x:v>6</x:v>
      </x:c>
      <x:c r="Q265" s="119" t="n">
        <x:f>ROUNDDOWN((IF(A265&gt;='材料与任务'!$E$31,'材料与任务'!$E$33,IF(A265&gt;='材料与任务'!$E$25,'材料与任务'!$E$27,IF(A265&gt;='材料与任务'!$E$19,'材料与任务'!$E$21,IF(A265&gt;='材料与任务'!$E$13,'材料与任务'!$E$15,'材料与任务'!$E$9)))))*G265,0)</x:f>
        <x:v>3</x:v>
      </x:c>
      <x:c r="R265" s="110" t="n">
        <x:f>'装备掉落'!$B$38</x:f>
        <x:v>0.6872058758851213</x:v>
      </x:c>
      <x:c r="S265" s="119" t="n">
        <x:f>MAX(IF(VLOOKUP(A265,'装备掉落'!$A$29:$H$34,2,TRUE)&gt;0,1,0),IF(VLOOKUP(A265,'装备掉落'!$A$29:$H$34,3,TRUE)&gt;0,2,0),IF(VLOOKUP(A265,'装备掉落'!$A$29:$H$34,4,TRUE)&gt;0,3,0),IF(VLOOKUP(A265,'装备掉落'!$A$29:$H$34,5,TRUE)&gt;0,4,0),IF(VLOOKUP(A265,'装备掉落'!$A$29:$H$34,6,TRUE)&gt;0,5,0),IF(VLOOKUP(A265,'装备掉落'!$A$29:$H$34,7,TRUE)&gt;0,6,0),IF(VLOOKUP(A265,'装备掉落'!$A$29:$H$34,8,TRUE)&gt;0,7,0))</x:f>
        <x:v>7</x:v>
      </x:c>
      <x:c r="T265" s="119" t="n">
        <x:f>MIN(7,S265+'经济参数'!$E$70)</x:f>
        <x:v>7</x:v>
      </x:c>
      <x:c r="U265" s="119" t="n">
        <x:f>MIN(7,S265+'经济参数'!$E$71)</x:f>
        <x:v>7</x:v>
      </x:c>
      <x:c r="V265" s="119" t="n">
        <x:f>IF(H265&gt;=('难度参数'!$E$52),1,0)+IF(H265&gt;=('难度参数'!$E$52+'难度参数'!$E$53),1,0)+IF(H265&gt;=('难度参数'!$E$52+'难度参数'!$E$53+'难度参数'!$E$54),1,0)+IF(H265&gt;=('难度参数'!$E$52+'难度参数'!$E$53+'难度参数'!$E$54+'难度参数'!$E$55),1,0)+IF(H265&gt;=('难度参数'!$E$52+'难度参数'!$E$53+'难度参数'!$E$54+'难度参数'!$E$55+'难度参数'!$E$56),1,0)+IF(H265&gt;=('难度参数'!$E$52+'难度参数'!$E$53+'难度参数'!$E$54+'难度参数'!$E$55+'难度参数'!$E$56+'难度参数'!$E$57),1,0)</x:f>
        <x:v>6</x:v>
      </x:c>
      <x:c r="W265" s="62" t="str">
        <x:f>IF(L265&gt;'难度参数'!$E$51,"仅出怪已超目标","还需实测")</x:f>
        <x:v>仅出怪已超目标</x:v>
      </x:c>
      <x:c r="X265" s="119" t="n">
        <x:f>IF(1&gt;D265,0,MAX(2,MIN('难度参数'!$E$12,ROUND(('难度参数'!$E$18*POWER(A265,'难度参数'!$E$19)/D265*(0.85+0.3*(1-1)/MAX(1,D265-1))),0)+F265)))</x:f>
        <x:v>28</x:v>
      </x:c>
      <x:c r="Y265" s="119" t="n">
        <x:f>IF(1&gt;D265,0,ROUND(('难度参数'!$E$13*POWER(A265,'难度参数'!$E$20)*MIN('难度参数'!$E$23,1+MAX(0,A265-'难度参数'!$E$21)*'难度参数'!$E$22))*(36+1*7)/(36+7*(D265+1)/2)*E265,0))</x:f>
        <x:v>4957</x:v>
      </x:c>
      <x:c r="Z265" s="119" t="n">
        <x:f>IF(X265=0,0,(X265-IF(1=D265,1,0))*ROUND(Y265*VLOOKUP(INDEX('章节与怪物'!$E$31:$K$37,B265,1),'章节与怪物'!$A$41:$F$44,2,FALSE),0)+IF(1=D265,ROUND(Y265*'难度参数'!$E$28*'章节与怪物'!$E$17,0),0))</x:f>
        <x:v>138796</x:v>
      </x:c>
      <x:c r="AA265" s="119" t="n">
        <x:f>IF(X265=0,0,(X265-IF(1=D265,1,0))*VLOOKUP(INDEX('章节与怪物'!$E$31:$K$37,B265,1),'章节与怪物'!$A$41:$F$44,4,FALSE)+IF(1=D265,'难度参数'!$E$30,0))</x:f>
        <x:v>504</x:v>
      </x:c>
      <x:c r="AB265" s="119" t="n">
        <x:f>IF(2&gt;D265,0,MAX(2,MIN('难度参数'!$E$12,ROUND(('难度参数'!$E$18*POWER(A265,'难度参数'!$E$19)/D265*(0.85+0.3*(2-1)/MAX(1,D265-1))),0)+F265)))</x:f>
        <x:v>30</x:v>
      </x:c>
      <x:c r="AC265" s="119" t="n">
        <x:f>IF(2&gt;D265,0,ROUND(('难度参数'!$E$13*POWER(A265,'难度参数'!$E$20)*MIN('难度参数'!$E$23,1+MAX(0,A265-'难度参数'!$E$21)*'难度参数'!$E$22))*(36+2*7)/(36+7*(D265+1)/2)*E265,0))</x:f>
        <x:v>5764</x:v>
      </x:c>
      <x:c r="AD265" s="119" t="n">
        <x:f>IF(AB265=0,0,(AB265-IF(2=D265,1,0))*ROUND(AC265*VLOOKUP(INDEX('章节与怪物'!$E$31:$K$37,B265,2),'章节与怪物'!$A$41:$F$44,2,FALSE),0)+IF(2=D265,ROUND(AC265*'难度参数'!$E$28*'章节与怪物'!$E$17,0),0))</x:f>
        <x:v>124500</x:v>
      </x:c>
      <x:c r="AE265" s="119" t="n">
        <x:f>IF(AB265=0,0,(AB265-IF(2=D265,1,0))*VLOOKUP(INDEX('章节与怪物'!$E$31:$K$37,B265,2),'章节与怪物'!$A$41:$F$44,4,FALSE)+IF(2=D265,'难度参数'!$E$30,0))</x:f>
        <x:v>600</x:v>
      </x:c>
      <x:c r="AF265" s="119" t="n">
        <x:f>IF(3&gt;D265,0,MAX(2,MIN('难度参数'!$E$12,ROUND(('难度参数'!$E$18*POWER(A265,'难度参数'!$E$19)/D265*(0.85+0.3*(3-1)/MAX(1,D265-1))),0)+F265)))</x:f>
        <x:v>31</x:v>
      </x:c>
      <x:c r="AG265" s="119" t="n">
        <x:f>IF(3&gt;D265,0,ROUND(('难度参数'!$E$13*POWER(A265,'难度参数'!$E$20)*MIN('难度参数'!$E$23,1+MAX(0,A265-'难度参数'!$E$21)*'难度参数'!$E$22))*(36+3*7)/(36+7*(D265+1)/2)*E265,0))</x:f>
        <x:v>6571</x:v>
      </x:c>
      <x:c r="AH265" s="119" t="n">
        <x:f>IF(AF265=0,0,(AF265-IF(3=D265,1,0))*ROUND(AG265*VLOOKUP(INDEX('章节与怪物'!$E$31:$K$37,B265,3),'章节与怪物'!$A$41:$F$44,2,FALSE),0)+IF(3=D265,ROUND(AG265*'难度参数'!$E$28*'章节与怪物'!$E$17,0),0))</x:f>
        <x:v>346301</x:v>
      </x:c>
      <x:c r="AI265" s="119" t="n">
        <x:f>IF(AF265=0,0,(AF265-IF(3=D265,1,0))*VLOOKUP(INDEX('章节与怪物'!$E$31:$K$37,B265,3),'章节与怪物'!$A$41:$F$44,4,FALSE)+IF(3=D265,'难度参数'!$E$30,0))</x:f>
        <x:v>868</x:v>
      </x:c>
      <x:c r="AJ265" s="119" t="n">
        <x:f>IF(4&gt;D265,0,MAX(2,MIN('难度参数'!$E$12,ROUND(('难度参数'!$E$18*POWER(A265,'难度参数'!$E$19)/D265*(0.85+0.3*(4-1)/MAX(1,D265-1))),0)+F265)))</x:f>
        <x:v>33</x:v>
      </x:c>
      <x:c r="AK265" s="119" t="n">
        <x:f>IF(4&gt;D265,0,ROUND(('难度参数'!$E$13*POWER(A265,'难度参数'!$E$20)*MIN('难度参数'!$E$23,1+MAX(0,A265-'难度参数'!$E$21)*'难度参数'!$E$22))*(36+4*7)/(36+7*(D265+1)/2)*E265,0))</x:f>
        <x:v>7378</x:v>
      </x:c>
      <x:c r="AL265" s="119" t="n">
        <x:f>IF(AJ265=0,0,(AJ265-IF(4=D265,1,0))*ROUND(AK265*VLOOKUP(INDEX('章节与怪物'!$E$31:$K$37,B265,4),'章节与怪物'!$A$41:$F$44,2,FALSE),0)+IF(4=D265,ROUND(AK265*'难度参数'!$E$28*'章节与怪物'!$E$17,0),0))</x:f>
        <x:v>328680</x:v>
      </x:c>
      <x:c r="AM265" s="119" t="n">
        <x:f>IF(AJ265=0,0,(AJ265-IF(4=D265,1,0))*VLOOKUP(INDEX('章节与怪物'!$E$31:$K$37,B265,4),'章节与怪物'!$A$41:$F$44,4,FALSE)+IF(4=D265,'难度参数'!$E$30,0))</x:f>
        <x:v>1122</x:v>
      </x:c>
      <x:c r="AN265" s="119" t="n">
        <x:f>IF(5&gt;D265,0,MAX(2,MIN('难度参数'!$E$12,ROUND(('难度参数'!$E$18*POWER(A265,'难度参数'!$E$19)/D265*(0.85+0.3*(5-1)/MAX(1,D265-1))),0)+F265)))</x:f>
        <x:v>35</x:v>
      </x:c>
      <x:c r="AO265" s="119" t="n">
        <x:f>IF(5&gt;D265,0,ROUND(('难度参数'!$E$13*POWER(A265,'难度参数'!$E$20)*MIN('难度参数'!$E$23,1+MAX(0,A265-'难度参数'!$E$21)*'难度参数'!$E$22))*(36+5*7)/(36+7*(D265+1)/2)*E265,0))</x:f>
        <x:v>8184</x:v>
      </x:c>
      <x:c r="AP265" s="119" t="n">
        <x:f>IF(AN265=0,0,(AN265-IF(5=D265,1,0))*ROUND(AO265*VLOOKUP(INDEX('章节与怪物'!$E$31:$K$37,B265,5),'章节与怪物'!$A$41:$F$44,2,FALSE),0)+IF(5=D265,ROUND(AO265*'难度参数'!$E$28*'章节与怪物'!$E$17,0),0))</x:f>
        <x:v>206220</x:v>
      </x:c>
      <x:c r="AQ265" s="119" t="n">
        <x:f>IF(AN265=0,0,(AN265-IF(5=D265,1,0))*VLOOKUP(INDEX('章节与怪物'!$E$31:$K$37,B265,5),'章节与怪物'!$A$41:$F$44,4,FALSE)+IF(5=D265,'难度参数'!$E$30,0))</x:f>
        <x:v>700</x:v>
      </x:c>
      <x:c r="AR265" s="119" t="n">
        <x:f>IF(6&gt;D265,0,MAX(2,MIN('难度参数'!$E$12,ROUND(('难度参数'!$E$18*POWER(A265,'难度参数'!$E$19)/D265*(0.85+0.3*(6-1)/MAX(1,D265-1))),0)+F265)))</x:f>
        <x:v>36</x:v>
      </x:c>
      <x:c r="AS265" s="119" t="n">
        <x:f>IF(6&gt;D265,0,ROUND(('难度参数'!$E$13*POWER(A265,'难度参数'!$E$20)*MIN('难度参数'!$E$23,1+MAX(0,A265-'难度参数'!$E$21)*'难度参数'!$E$22))*(36+6*7)/(36+7*(D265+1)/2)*E265,0))</x:f>
        <x:v>8991</x:v>
      </x:c>
      <x:c r="AT265" s="119" t="n">
        <x:f>IF(AR265=0,0,(AR265-IF(6=D265,1,0))*ROUND(AS265*VLOOKUP(INDEX('章节与怪物'!$E$31:$K$37,B265,6),'章节与怪物'!$A$41:$F$44,2,FALSE),0)+IF(6=D265,ROUND(AS265*'难度参数'!$E$28*'章节与怪物'!$E$17,0),0))</x:f>
        <x:v>550260</x:v>
      </x:c>
      <x:c r="AU265" s="119" t="n">
        <x:f>IF(AR265=0,0,(AR265-IF(6=D265,1,0))*VLOOKUP(INDEX('章节与怪物'!$E$31:$K$37,B265,6),'章节与怪物'!$A$41:$F$44,4,FALSE)+IF(6=D265,'难度参数'!$E$30,0))</x:f>
        <x:v>1008</x:v>
      </x:c>
      <x:c r="AV265" s="119" t="n">
        <x:f>IF(7&gt;D265,0,MAX(2,MIN('难度参数'!$E$12,ROUND(('难度参数'!$E$18*POWER(A265,'难度参数'!$E$19)/D265*(0.85+0.3*(7-1)/MAX(1,D265-1))),0)+F265)))</x:f>
        <x:v>38</x:v>
      </x:c>
      <x:c r="AW265" s="119" t="n">
        <x:f>IF(7&gt;D265,0,ROUND(('难度参数'!$E$13*POWER(A265,'难度参数'!$E$20)*MIN('难度参数'!$E$23,1+MAX(0,A265-'难度参数'!$E$21)*'难度参数'!$E$22))*(36+7*7)/(36+7*(D265+1)/2)*E265,0))</x:f>
        <x:v>9798</x:v>
      </x:c>
      <x:c r="AX265" s="119" t="n">
        <x:f>IF(AV265=0,0,(AV265-IF(7=D265,1,0))*ROUND(AW265*VLOOKUP(INDEX('章节与怪物'!$E$31:$K$37,B265,7),'章节与怪物'!$A$41:$F$44,2,FALSE),0)+IF(7=D265,ROUND(AW265*'难度参数'!$E$28*'章节与怪物'!$E$17,0),0))</x:f>
        <x:v>556025</x:v>
      </x:c>
      <x:c r="AY265" s="119" t="n">
        <x:f>IF(AV265=0,0,(AV265-IF(7=D265,1,0))*VLOOKUP(INDEX('章节与怪物'!$E$31:$K$37,B265,7),'章节与怪物'!$A$41:$F$44,4,FALSE)+IF(7=D265,'难度参数'!$E$30,0))</x:f>
        <x:v>1458</x:v>
      </x:c>
    </x:row>
    <x:row r="266" ht="23" customHeight="1">
      <x:c r="A266" s="119" t="n">
        <x:v>260</x:v>
      </x:c>
      <x:c r="B266" s="119" t="n">
        <x:f>MOD(INT((A266-1)/5),7)+1</x:f>
        <x:v>3</x:v>
      </x:c>
      <x:c r="C266" s="62" t="str">
        <x:f>INDEX('章节与怪物'!$B$31:$B$37,B266)</x:f>
        <x:v>腐沼秘林</x:v>
      </x:c>
      <x:c r="D266" s="119" t="n">
        <x:f>MIN('难度参数'!$E$8,MAX('难度参数'!$E$7,A266))</x:f>
        <x:v>7</x:v>
      </x:c>
      <x:c r="E266" s="106" t="n">
        <x:v>1</x:v>
      </x:c>
      <x:c r="F266" s="106" t="n">
        <x:v>0</x:v>
      </x:c>
      <x:c r="G266" s="106" t="n">
        <x:v>1</x:v>
      </x:c>
      <x:c r="H266" s="119" t="n">
        <x:f>SUM(X266,AB266,AF266,AJ266,AN266,AR266,AV266)</x:f>
        <x:v>231</x:v>
      </x:c>
      <x:c r="I266" s="119" t="n">
        <x:f>SUM(Z266,AD266,AH266,AL266,AP266,AT266,AX266)</x:f>
        <x:v>2257015</x:v>
      </x:c>
      <x:c r="J266" s="119" t="n">
        <x:f>ROUND(INDEX(X266:AY266,1,(D266-1)*4+2)*'难度参数'!$E$28*'章节与怪物'!$E$17,0)</x:f>
        <x:v>66810</x:v>
      </x:c>
      <x:c r="K266" s="119" t="n">
        <x:f>SUM(AA266,AE266,AI266,AM266,AQ266,AU266,AY266)</x:f>
        <x:v>6260</x:v>
      </x:c>
      <x:c r="L266" s="62" t="n">
        <x:f>H266*(ROUNDUP('难度参数'!$E$24/('难度参数'!$E$26*'难度参数'!$E$27),0)*'难度参数'!$E$26)/60</x:f>
        <x:v>3.08</x:v>
      </x:c>
      <x:c r="M266" s="62" t="n">
        <x:f>L266+D266*('难度参数'!$E$49+'难度参数'!$E$50)/60</x:f>
        <x:v>4.246666666666667</x:v>
      </x:c>
      <x:c r="N266" s="119" t="n">
        <x:f>ROUNDDOWN(('经济参数'!$E$20+A266*'经济参数'!$E$21)*G266,0)</x:f>
        <x:v>5380</x:v>
      </x:c>
      <x:c r="O266" s="119" t="n">
        <x:f>ROUNDDOWN(MIN('经济参数'!$E$24,'经济参数'!$E$22+A266*'经济参数'!$E$23)*G266,0)</x:f>
        <x:v>0</x:v>
      </x:c>
      <x:c r="P266" s="119" t="n">
        <x:f>ROUNDDOWN((IF(A266&gt;='材料与任务'!$E$31,'材料与任务'!$E$32,IF(A266&gt;='材料与任务'!$E$25,'材料与任务'!$E$26,IF(A266&gt;='材料与任务'!$E$19,'材料与任务'!$E$20,IF(A266&gt;='材料与任务'!$E$13,'材料与任务'!$E$14,'材料与任务'!$E$8)))))*G266,0)</x:f>
        <x:v>6</x:v>
      </x:c>
      <x:c r="Q266" s="119" t="n">
        <x:f>ROUNDDOWN((IF(A266&gt;='材料与任务'!$E$31,'材料与任务'!$E$33,IF(A266&gt;='材料与任务'!$E$25,'材料与任务'!$E$27,IF(A266&gt;='材料与任务'!$E$19,'材料与任务'!$E$21,IF(A266&gt;='材料与任务'!$E$13,'材料与任务'!$E$15,'材料与任务'!$E$9)))))*G266,0)</x:f>
        <x:v>3</x:v>
      </x:c>
      <x:c r="R266" s="110" t="n">
        <x:f>'装备掉落'!$B$38</x:f>
        <x:v>0.6872058758851213</x:v>
      </x:c>
      <x:c r="S266" s="119" t="n">
        <x:f>MAX(IF(VLOOKUP(A266,'装备掉落'!$A$29:$H$34,2,TRUE)&gt;0,1,0),IF(VLOOKUP(A266,'装备掉落'!$A$29:$H$34,3,TRUE)&gt;0,2,0),IF(VLOOKUP(A266,'装备掉落'!$A$29:$H$34,4,TRUE)&gt;0,3,0),IF(VLOOKUP(A266,'装备掉落'!$A$29:$H$34,5,TRUE)&gt;0,4,0),IF(VLOOKUP(A266,'装备掉落'!$A$29:$H$34,6,TRUE)&gt;0,5,0),IF(VLOOKUP(A266,'装备掉落'!$A$29:$H$34,7,TRUE)&gt;0,6,0),IF(VLOOKUP(A266,'装备掉落'!$A$29:$H$34,8,TRUE)&gt;0,7,0))</x:f>
        <x:v>7</x:v>
      </x:c>
      <x:c r="T266" s="119" t="n">
        <x:f>MIN(7,S266+'经济参数'!$E$70)</x:f>
        <x:v>7</x:v>
      </x:c>
      <x:c r="U266" s="119" t="n">
        <x:f>MIN(7,S266+'经济参数'!$E$71)</x:f>
        <x:v>7</x:v>
      </x:c>
      <x:c r="V266" s="119" t="n">
        <x:f>IF(H266&gt;=('难度参数'!$E$52),1,0)+IF(H266&gt;=('难度参数'!$E$52+'难度参数'!$E$53),1,0)+IF(H266&gt;=('难度参数'!$E$52+'难度参数'!$E$53+'难度参数'!$E$54),1,0)+IF(H266&gt;=('难度参数'!$E$52+'难度参数'!$E$53+'难度参数'!$E$54+'难度参数'!$E$55),1,0)+IF(H266&gt;=('难度参数'!$E$52+'难度参数'!$E$53+'难度参数'!$E$54+'难度参数'!$E$55+'难度参数'!$E$56),1,0)+IF(H266&gt;=('难度参数'!$E$52+'难度参数'!$E$53+'难度参数'!$E$54+'难度参数'!$E$55+'难度参数'!$E$56+'难度参数'!$E$57),1,0)</x:f>
        <x:v>6</x:v>
      </x:c>
      <x:c r="W266" s="62" t="str">
        <x:f>IF(L266&gt;'难度参数'!$E$51,"仅出怪已超目标","还需实测")</x:f>
        <x:v>仅出怪已超目标</x:v>
      </x:c>
      <x:c r="X266" s="119" t="n">
        <x:f>IF(1&gt;D266,0,MAX(2,MIN('难度参数'!$E$12,ROUND(('难度参数'!$E$18*POWER(A266,'难度参数'!$E$19)/D266*(0.85+0.3*(1-1)/MAX(1,D266-1))),0)+F266)))</x:f>
        <x:v>28</x:v>
      </x:c>
      <x:c r="Y266" s="119" t="n">
        <x:f>IF(1&gt;D266,0,ROUND(('难度参数'!$E$13*POWER(A266,'难度参数'!$E$20)*MIN('难度参数'!$E$23,1+MAX(0,A266-'难度参数'!$E$21)*'难度参数'!$E$22))*(36+1*7)/(36+7*(D266+1)/2)*E266,0))</x:f>
        <x:v>4971</x:v>
      </x:c>
      <x:c r="Z266" s="119" t="n">
        <x:f>IF(X266=0,0,(X266-IF(1=D266,1,0))*ROUND(Y266*VLOOKUP(INDEX('章节与怪物'!$E$31:$K$37,B266,1),'章节与怪物'!$A$41:$F$44,2,FALSE),0)+IF(1=D266,ROUND(Y266*'难度参数'!$E$28*'章节与怪物'!$E$17,0),0))</x:f>
        <x:v>139188</x:v>
      </x:c>
      <x:c r="AA266" s="119" t="n">
        <x:f>IF(X266=0,0,(X266-IF(1=D266,1,0))*VLOOKUP(INDEX('章节与怪物'!$E$31:$K$37,B266,1),'章节与怪物'!$A$41:$F$44,4,FALSE)+IF(1=D266,'难度参数'!$E$30,0))</x:f>
        <x:v>504</x:v>
      </x:c>
      <x:c r="AB266" s="119" t="n">
        <x:f>IF(2&gt;D266,0,MAX(2,MIN('难度参数'!$E$12,ROUND(('难度参数'!$E$18*POWER(A266,'难度参数'!$E$19)/D266*(0.85+0.3*(2-1)/MAX(1,D266-1))),0)+F266)))</x:f>
        <x:v>30</x:v>
      </x:c>
      <x:c r="AC266" s="119" t="n">
        <x:f>IF(2&gt;D266,0,ROUND(('难度参数'!$E$13*POWER(A266,'难度参数'!$E$20)*MIN('难度参数'!$E$23,1+MAX(0,A266-'难度参数'!$E$21)*'难度参数'!$E$22))*(36+2*7)/(36+7*(D266+1)/2)*E266,0))</x:f>
        <x:v>5780</x:v>
      </x:c>
      <x:c r="AD266" s="119" t="n">
        <x:f>IF(AB266=0,0,(AB266-IF(2=D266,1,0))*ROUND(AC266*VLOOKUP(INDEX('章节与怪物'!$E$31:$K$37,B266,2),'章节与怪物'!$A$41:$F$44,2,FALSE),0)+IF(2=D266,ROUND(AC266*'难度参数'!$E$28*'章节与怪物'!$E$17,0),0))</x:f>
        <x:v>124860</x:v>
      </x:c>
      <x:c r="AE266" s="119" t="n">
        <x:f>IF(AB266=0,0,(AB266-IF(2=D266,1,0))*VLOOKUP(INDEX('章节与怪物'!$E$31:$K$37,B266,2),'章节与怪物'!$A$41:$F$44,4,FALSE)+IF(2=D266,'难度参数'!$E$30,0))</x:f>
        <x:v>600</x:v>
      </x:c>
      <x:c r="AF266" s="119" t="n">
        <x:f>IF(3&gt;D266,0,MAX(2,MIN('难度参数'!$E$12,ROUND(('难度参数'!$E$18*POWER(A266,'难度参数'!$E$19)/D266*(0.85+0.3*(3-1)/MAX(1,D266-1))),0)+F266)))</x:f>
        <x:v>31</x:v>
      </x:c>
      <x:c r="AG266" s="119" t="n">
        <x:f>IF(3&gt;D266,0,ROUND(('难度参数'!$E$13*POWER(A266,'难度参数'!$E$20)*MIN('难度参数'!$E$23,1+MAX(0,A266-'难度参数'!$E$21)*'难度参数'!$E$22))*(36+3*7)/(36+7*(D266+1)/2)*E266,0))</x:f>
        <x:v>6589</x:v>
      </x:c>
      <x:c r="AH266" s="119" t="n">
        <x:f>IF(AF266=0,0,(AF266-IF(3=D266,1,0))*ROUND(AG266*VLOOKUP(INDEX('章节与怪物'!$E$31:$K$37,B266,3),'章节与怪物'!$A$41:$F$44,2,FALSE),0)+IF(3=D266,ROUND(AG266*'难度参数'!$E$28*'章节与怪物'!$E$17,0),0))</x:f>
        <x:v>347231</x:v>
      </x:c>
      <x:c r="AI266" s="119" t="n">
        <x:f>IF(AF266=0,0,(AF266-IF(3=D266,1,0))*VLOOKUP(INDEX('章节与怪物'!$E$31:$K$37,B266,3),'章节与怪物'!$A$41:$F$44,4,FALSE)+IF(3=D266,'难度参数'!$E$30,0))</x:f>
        <x:v>868</x:v>
      </x:c>
      <x:c r="AJ266" s="119" t="n">
        <x:f>IF(4&gt;D266,0,MAX(2,MIN('难度参数'!$E$12,ROUND(('难度参数'!$E$18*POWER(A266,'难度参数'!$E$19)/D266*(0.85+0.3*(4-1)/MAX(1,D266-1))),0)+F266)))</x:f>
        <x:v>33</x:v>
      </x:c>
      <x:c r="AK266" s="119" t="n">
        <x:f>IF(4&gt;D266,0,ROUND(('难度参数'!$E$13*POWER(A266,'难度参数'!$E$20)*MIN('难度参数'!$E$23,1+MAX(0,A266-'难度参数'!$E$21)*'难度参数'!$E$22))*(36+4*7)/(36+7*(D266+1)/2)*E266,0))</x:f>
        <x:v>7398</x:v>
      </x:c>
      <x:c r="AL266" s="119" t="n">
        <x:f>IF(AJ266=0,0,(AJ266-IF(4=D266,1,0))*ROUND(AK266*VLOOKUP(INDEX('章节与怪物'!$E$31:$K$37,B266,4),'章节与怪物'!$A$41:$F$44,2,FALSE),0)+IF(4=D266,ROUND(AK266*'难度参数'!$E$28*'章节与怪物'!$E$17,0),0))</x:f>
        <x:v>329571</x:v>
      </x:c>
      <x:c r="AM266" s="119" t="n">
        <x:f>IF(AJ266=0,0,(AJ266-IF(4=D266,1,0))*VLOOKUP(INDEX('章节与怪物'!$E$31:$K$37,B266,4),'章节与怪物'!$A$41:$F$44,4,FALSE)+IF(4=D266,'难度参数'!$E$30,0))</x:f>
        <x:v>1122</x:v>
      </x:c>
      <x:c r="AN266" s="119" t="n">
        <x:f>IF(5&gt;D266,0,MAX(2,MIN('难度参数'!$E$12,ROUND(('难度参数'!$E$18*POWER(A266,'难度参数'!$E$19)/D266*(0.85+0.3*(5-1)/MAX(1,D266-1))),0)+F266)))</x:f>
        <x:v>35</x:v>
      </x:c>
      <x:c r="AO266" s="119" t="n">
        <x:f>IF(5&gt;D266,0,ROUND(('难度参数'!$E$13*POWER(A266,'难度参数'!$E$20)*MIN('难度参数'!$E$23,1+MAX(0,A266-'难度参数'!$E$21)*'难度参数'!$E$22))*(36+5*7)/(36+7*(D266+1)/2)*E266,0))</x:f>
        <x:v>8207</x:v>
      </x:c>
      <x:c r="AP266" s="119" t="n">
        <x:f>IF(AN266=0,0,(AN266-IF(5=D266,1,0))*ROUND(AO266*VLOOKUP(INDEX('章节与怪物'!$E$31:$K$37,B266,5),'章节与怪物'!$A$41:$F$44,2,FALSE),0)+IF(5=D266,ROUND(AO266*'难度参数'!$E$28*'章节与怪物'!$E$17,0),0))</x:f>
        <x:v>206815</x:v>
      </x:c>
      <x:c r="AQ266" s="119" t="n">
        <x:f>IF(AN266=0,0,(AN266-IF(5=D266,1,0))*VLOOKUP(INDEX('章节与怪物'!$E$31:$K$37,B266,5),'章节与怪物'!$A$41:$F$44,4,FALSE)+IF(5=D266,'难度参数'!$E$30,0))</x:f>
        <x:v>700</x:v>
      </x:c>
      <x:c r="AR266" s="119" t="n">
        <x:f>IF(6&gt;D266,0,MAX(2,MIN('难度参数'!$E$12,ROUND(('难度参数'!$E$18*POWER(A266,'难度参数'!$E$19)/D266*(0.85+0.3*(6-1)/MAX(1,D266-1))),0)+F266)))</x:f>
        <x:v>36</x:v>
      </x:c>
      <x:c r="AS266" s="119" t="n">
        <x:f>IF(6&gt;D266,0,ROUND(('难度参数'!$E$13*POWER(A266,'难度参数'!$E$20)*MIN('难度参数'!$E$23,1+MAX(0,A266-'难度参数'!$E$21)*'难度参数'!$E$22))*(36+6*7)/(36+7*(D266+1)/2)*E266,0))</x:f>
        <x:v>9016</x:v>
      </x:c>
      <x:c r="AT266" s="119" t="n">
        <x:f>IF(AR266=0,0,(AR266-IF(6=D266,1,0))*ROUND(AS266*VLOOKUP(INDEX('章节与怪物'!$E$31:$K$37,B266,6),'章节与怪物'!$A$41:$F$44,2,FALSE),0)+IF(6=D266,ROUND(AS266*'难度参数'!$E$28*'章节与怪物'!$E$17,0),0))</x:f>
        <x:v>551772</x:v>
      </x:c>
      <x:c r="AU266" s="119" t="n">
        <x:f>IF(AR266=0,0,(AR266-IF(6=D266,1,0))*VLOOKUP(INDEX('章节与怪物'!$E$31:$K$37,B266,6),'章节与怪物'!$A$41:$F$44,4,FALSE)+IF(6=D266,'难度参数'!$E$30,0))</x:f>
        <x:v>1008</x:v>
      </x:c>
      <x:c r="AV266" s="119" t="n">
        <x:f>IF(7&gt;D266,0,MAX(2,MIN('难度参数'!$E$12,ROUND(('难度参数'!$E$18*POWER(A266,'难度参数'!$E$19)/D266*(0.85+0.3*(7-1)/MAX(1,D266-1))),0)+F266)))</x:f>
        <x:v>38</x:v>
      </x:c>
      <x:c r="AW266" s="119" t="n">
        <x:f>IF(7&gt;D266,0,ROUND(('难度参数'!$E$13*POWER(A266,'难度参数'!$E$20)*MIN('难度参数'!$E$23,1+MAX(0,A266-'难度参数'!$E$21)*'难度参数'!$E$22))*(36+7*7)/(36+7*(D266+1)/2)*E266,0))</x:f>
        <x:v>9825</x:v>
      </x:c>
      <x:c r="AX266" s="119" t="n">
        <x:f>IF(AV266=0,0,(AV266-IF(7=D266,1,0))*ROUND(AW266*VLOOKUP(INDEX('章节与怪物'!$E$31:$K$37,B266,7),'章节与怪物'!$A$41:$F$44,2,FALSE),0)+IF(7=D266,ROUND(AW266*'难度参数'!$E$28*'章节与怪物'!$E$17,0),0))</x:f>
        <x:v>557578</x:v>
      </x:c>
      <x:c r="AY266" s="119" t="n">
        <x:f>IF(AV266=0,0,(AV266-IF(7=D266,1,0))*VLOOKUP(INDEX('章节与怪物'!$E$31:$K$37,B266,7),'章节与怪物'!$A$41:$F$44,4,FALSE)+IF(7=D266,'难度参数'!$E$30,0))</x:f>
        <x:v>1458</x:v>
      </x:c>
    </x:row>
    <x:row r="267" ht="23" customHeight="1">
      <x:c r="A267" s="119" t="n">
        <x:v>261</x:v>
      </x:c>
      <x:c r="B267" s="119" t="n">
        <x:f>MOD(INT((A267-1)/5),7)+1</x:f>
        <x:v>4</x:v>
      </x:c>
      <x:c r="C267" s="62" t="str">
        <x:f>INDEX('章节与怪物'!$B$31:$B$37,B267)</x:f>
        <x:v>翠野边城</x:v>
      </x:c>
      <x:c r="D267" s="119" t="n">
        <x:f>MIN('难度参数'!$E$8,MAX('难度参数'!$E$7,A267))</x:f>
        <x:v>7</x:v>
      </x:c>
      <x:c r="E267" s="106" t="n">
        <x:v>1</x:v>
      </x:c>
      <x:c r="F267" s="106" t="n">
        <x:v>0</x:v>
      </x:c>
      <x:c r="G267" s="106" t="n">
        <x:v>1</x:v>
      </x:c>
      <x:c r="H267" s="119" t="n">
        <x:f>SUM(X267,AB267,AF267,AJ267,AN267,AR267,AV267)</x:f>
        <x:v>231</x:v>
      </x:c>
      <x:c r="I267" s="119" t="n">
        <x:f>SUM(Z267,AD267,AH267,AL267,AP267,AT267,AX267)</x:f>
        <x:v>2034582</x:v>
      </x:c>
      <x:c r="J267" s="119" t="n">
        <x:f>ROUND(INDEX(X267:AY267,1,(D267-1)*4+2)*'难度参数'!$E$28*'章节与怪物'!$E$17,0)</x:f>
        <x:v>67000</x:v>
      </x:c>
      <x:c r="K267" s="119" t="n">
        <x:f>SUM(AA267,AE267,AI267,AM267,AQ267,AU267,AY267)</x:f>
        <x:v>5898</x:v>
      </x:c>
      <x:c r="L267" s="62" t="n">
        <x:f>H267*(ROUNDUP('难度参数'!$E$24/('难度参数'!$E$26*'难度参数'!$E$27),0)*'难度参数'!$E$26)/60</x:f>
        <x:v>3.08</x:v>
      </x:c>
      <x:c r="M267" s="62" t="n">
        <x:f>L267+D267*('难度参数'!$E$49+'难度参数'!$E$50)/60</x:f>
        <x:v>4.246666666666667</x:v>
      </x:c>
      <x:c r="N267" s="119" t="n">
        <x:f>ROUNDDOWN(('经济参数'!$E$20+A267*'经济参数'!$E$21)*G267,0)</x:f>
        <x:v>5400</x:v>
      </x:c>
      <x:c r="O267" s="119" t="n">
        <x:f>ROUNDDOWN(MIN('经济参数'!$E$24,'经济参数'!$E$22+A267*'经济参数'!$E$23)*G267,0)</x:f>
        <x:v>0</x:v>
      </x:c>
      <x:c r="P267" s="119" t="n">
        <x:f>ROUNDDOWN((IF(A267&gt;='材料与任务'!$E$31,'材料与任务'!$E$32,IF(A267&gt;='材料与任务'!$E$25,'材料与任务'!$E$26,IF(A267&gt;='材料与任务'!$E$19,'材料与任务'!$E$20,IF(A267&gt;='材料与任务'!$E$13,'材料与任务'!$E$14,'材料与任务'!$E$8)))))*G267,0)</x:f>
        <x:v>6</x:v>
      </x:c>
      <x:c r="Q267" s="119" t="n">
        <x:f>ROUNDDOWN((IF(A267&gt;='材料与任务'!$E$31,'材料与任务'!$E$33,IF(A267&gt;='材料与任务'!$E$25,'材料与任务'!$E$27,IF(A267&gt;='材料与任务'!$E$19,'材料与任务'!$E$21,IF(A267&gt;='材料与任务'!$E$13,'材料与任务'!$E$15,'材料与任务'!$E$9)))))*G267,0)</x:f>
        <x:v>3</x:v>
      </x:c>
      <x:c r="R267" s="110" t="n">
        <x:f>'装备掉落'!$B$38</x:f>
        <x:v>0.6872058758851213</x:v>
      </x:c>
      <x:c r="S267" s="119" t="n">
        <x:f>MAX(IF(VLOOKUP(A267,'装备掉落'!$A$29:$H$34,2,TRUE)&gt;0,1,0),IF(VLOOKUP(A267,'装备掉落'!$A$29:$H$34,3,TRUE)&gt;0,2,0),IF(VLOOKUP(A267,'装备掉落'!$A$29:$H$34,4,TRUE)&gt;0,3,0),IF(VLOOKUP(A267,'装备掉落'!$A$29:$H$34,5,TRUE)&gt;0,4,0),IF(VLOOKUP(A267,'装备掉落'!$A$29:$H$34,6,TRUE)&gt;0,5,0),IF(VLOOKUP(A267,'装备掉落'!$A$29:$H$34,7,TRUE)&gt;0,6,0),IF(VLOOKUP(A267,'装备掉落'!$A$29:$H$34,8,TRUE)&gt;0,7,0))</x:f>
        <x:v>7</x:v>
      </x:c>
      <x:c r="T267" s="119" t="n">
        <x:f>MIN(7,S267+'经济参数'!$E$70)</x:f>
        <x:v>7</x:v>
      </x:c>
      <x:c r="U267" s="119" t="n">
        <x:f>MIN(7,S267+'经济参数'!$E$71)</x:f>
        <x:v>7</x:v>
      </x:c>
      <x:c r="V267" s="119" t="n">
        <x:f>IF(H267&gt;=('难度参数'!$E$52),1,0)+IF(H267&gt;=('难度参数'!$E$52+'难度参数'!$E$53),1,0)+IF(H267&gt;=('难度参数'!$E$52+'难度参数'!$E$53+'难度参数'!$E$54),1,0)+IF(H267&gt;=('难度参数'!$E$52+'难度参数'!$E$53+'难度参数'!$E$54+'难度参数'!$E$55),1,0)+IF(H267&gt;=('难度参数'!$E$52+'难度参数'!$E$53+'难度参数'!$E$54+'难度参数'!$E$55+'难度参数'!$E$56),1,0)+IF(H267&gt;=('难度参数'!$E$52+'难度参数'!$E$53+'难度参数'!$E$54+'难度参数'!$E$55+'难度参数'!$E$56+'难度参数'!$E$57),1,0)</x:f>
        <x:v>6</x:v>
      </x:c>
      <x:c r="W267" s="62" t="str">
        <x:f>IF(L267&gt;'难度参数'!$E$51,"仅出怪已超目标","还需实测")</x:f>
        <x:v>仅出怪已超目标</x:v>
      </x:c>
      <x:c r="X267" s="119" t="n">
        <x:f>IF(1&gt;D267,0,MAX(2,MIN('难度参数'!$E$12,ROUND(('难度参数'!$E$18*POWER(A267,'难度参数'!$E$19)/D267*(0.85+0.3*(1-1)/MAX(1,D267-1))),0)+F267)))</x:f>
        <x:v>28</x:v>
      </x:c>
      <x:c r="Y267" s="119" t="n">
        <x:f>IF(1&gt;D267,0,ROUND(('难度参数'!$E$13*POWER(A267,'难度参数'!$E$20)*MIN('难度参数'!$E$23,1+MAX(0,A267-'难度参数'!$E$21)*'难度参数'!$E$22))*(36+1*7)/(36+7*(D267+1)/2)*E267,0))</x:f>
        <x:v>4984</x:v>
      </x:c>
      <x:c r="Z267" s="119" t="n">
        <x:f>IF(X267=0,0,(X267-IF(1=D267,1,0))*ROUND(Y267*VLOOKUP(INDEX('章节与怪物'!$E$31:$K$37,B267,1),'章节与怪物'!$A$41:$F$44,2,FALSE),0)+IF(1=D267,ROUND(Y267*'难度参数'!$E$28*'章节与怪物'!$E$17,0),0))</x:f>
        <x:v>100464</x:v>
      </x:c>
      <x:c r="AA267" s="119" t="n">
        <x:f>IF(X267=0,0,(X267-IF(1=D267,1,0))*VLOOKUP(INDEX('章节与怪物'!$E$31:$K$37,B267,1),'章节与怪物'!$A$41:$F$44,4,FALSE)+IF(1=D267,'难度参数'!$E$30,0))</x:f>
        <x:v>560</x:v>
      </x:c>
      <x:c r="AB267" s="119" t="n">
        <x:f>IF(2&gt;D267,0,MAX(2,MIN('难度参数'!$E$12,ROUND(('难度参数'!$E$18*POWER(A267,'难度参数'!$E$19)/D267*(0.85+0.3*(2-1)/MAX(1,D267-1))),0)+F267)))</x:f>
        <x:v>30</x:v>
      </x:c>
      <x:c r="AC267" s="119" t="n">
        <x:f>IF(2&gt;D267,0,ROUND(('难度参数'!$E$13*POWER(A267,'难度参数'!$E$20)*MIN('难度参数'!$E$23,1+MAX(0,A267-'难度参数'!$E$21)*'难度参数'!$E$22))*(36+2*7)/(36+7*(D267+1)/2)*E267,0))</x:f>
        <x:v>5796</x:v>
      </x:c>
      <x:c r="AD267" s="119" t="n">
        <x:f>IF(AB267=0,0,(AB267-IF(2=D267,1,0))*ROUND(AC267*VLOOKUP(INDEX('章节与怪物'!$E$31:$K$37,B267,2),'章节与怪物'!$A$41:$F$44,2,FALSE),0)+IF(2=D267,ROUND(AC267*'难度参数'!$E$28*'章节与怪物'!$E$17,0),0))</x:f>
        <x:v>173880</x:v>
      </x:c>
      <x:c r="AE267" s="119" t="n">
        <x:f>IF(AB267=0,0,(AB267-IF(2=D267,1,0))*VLOOKUP(INDEX('章节与怪物'!$E$31:$K$37,B267,2),'章节与怪物'!$A$41:$F$44,4,FALSE)+IF(2=D267,'难度参数'!$E$30,0))</x:f>
        <x:v>540</x:v>
      </x:c>
      <x:c r="AF267" s="119" t="n">
        <x:f>IF(3&gt;D267,0,MAX(2,MIN('难度参数'!$E$12,ROUND(('难度参数'!$E$18*POWER(A267,'难度参数'!$E$19)/D267*(0.85+0.3*(3-1)/MAX(1,D267-1))),0)+F267)))</x:f>
        <x:v>31</x:v>
      </x:c>
      <x:c r="AG267" s="119" t="n">
        <x:f>IF(3&gt;D267,0,ROUND(('难度参数'!$E$13*POWER(A267,'难度参数'!$E$20)*MIN('难度参数'!$E$23,1+MAX(0,A267-'难度参数'!$E$21)*'难度参数'!$E$22))*(36+3*7)/(36+7*(D267+1)/2)*E267,0))</x:f>
        <x:v>6607</x:v>
      </x:c>
      <x:c r="AH267" s="119" t="n">
        <x:f>IF(AF267=0,0,(AF267-IF(3=D267,1,0))*ROUND(AG267*VLOOKUP(INDEX('章节与怪物'!$E$31:$K$37,B267,3),'章节与怪物'!$A$41:$F$44,2,FALSE),0)+IF(3=D267,ROUND(AG267*'难度参数'!$E$28*'章节与怪物'!$E$17,0),0))</x:f>
        <x:v>348192</x:v>
      </x:c>
      <x:c r="AI267" s="119" t="n">
        <x:f>IF(AF267=0,0,(AF267-IF(3=D267,1,0))*VLOOKUP(INDEX('章节与怪物'!$E$31:$K$37,B267,3),'章节与怪物'!$A$41:$F$44,4,FALSE)+IF(3=D267,'难度参数'!$E$30,0))</x:f>
        <x:v>868</x:v>
      </x:c>
      <x:c r="AJ267" s="119" t="n">
        <x:f>IF(4&gt;D267,0,MAX(2,MIN('难度参数'!$E$12,ROUND(('难度参数'!$E$18*POWER(A267,'难度参数'!$E$19)/D267*(0.85+0.3*(4-1)/MAX(1,D267-1))),0)+F267)))</x:f>
        <x:v>33</x:v>
      </x:c>
      <x:c r="AK267" s="119" t="n">
        <x:f>IF(4&gt;D267,0,ROUND(('难度参数'!$E$13*POWER(A267,'难度参数'!$E$20)*MIN('难度参数'!$E$23,1+MAX(0,A267-'难度参数'!$E$21)*'难度参数'!$E$22))*(36+4*7)/(36+7*(D267+1)/2)*E267,0))</x:f>
        <x:v>7418</x:v>
      </x:c>
      <x:c r="AL267" s="119" t="n">
        <x:f>IF(AJ267=0,0,(AJ267-IF(4=D267,1,0))*ROUND(AK267*VLOOKUP(INDEX('章节与怪物'!$E$31:$K$37,B267,4),'章节与怪物'!$A$41:$F$44,2,FALSE),0)+IF(4=D267,ROUND(AK267*'难度参数'!$E$28*'章节与怪物'!$E$17,0),0))</x:f>
        <x:v>330462</x:v>
      </x:c>
      <x:c r="AM267" s="119" t="n">
        <x:f>IF(AJ267=0,0,(AJ267-IF(4=D267,1,0))*VLOOKUP(INDEX('章节与怪物'!$E$31:$K$37,B267,4),'章节与怪物'!$A$41:$F$44,4,FALSE)+IF(4=D267,'难度参数'!$E$30,0))</x:f>
        <x:v>1122</x:v>
      </x:c>
      <x:c r="AN267" s="119" t="n">
        <x:f>IF(5&gt;D267,0,MAX(2,MIN('难度参数'!$E$12,ROUND(('难度参数'!$E$18*POWER(A267,'难度参数'!$E$19)/D267*(0.85+0.3*(5-1)/MAX(1,D267-1))),0)+F267)))</x:f>
        <x:v>35</x:v>
      </x:c>
      <x:c r="AO267" s="119" t="n">
        <x:f>IF(5&gt;D267,0,ROUND(('难度参数'!$E$13*POWER(A267,'难度参数'!$E$20)*MIN('难度参数'!$E$23,1+MAX(0,A267-'难度参数'!$E$21)*'难度参数'!$E$22))*(36+5*7)/(36+7*(D267+1)/2)*E267,0))</x:f>
        <x:v>8230</x:v>
      </x:c>
      <x:c r="AP267" s="119" t="n">
        <x:f>IF(AN267=0,0,(AN267-IF(5=D267,1,0))*ROUND(AO267*VLOOKUP(INDEX('章节与怪物'!$E$31:$K$37,B267,5),'章节与怪物'!$A$41:$F$44,2,FALSE),0)+IF(5=D267,ROUND(AO267*'难度参数'!$E$28*'章节与怪物'!$E$17,0),0))</x:f>
        <x:v>288050</x:v>
      </x:c>
      <x:c r="AQ267" s="119" t="n">
        <x:f>IF(AN267=0,0,(AN267-IF(5=D267,1,0))*VLOOKUP(INDEX('章节与怪物'!$E$31:$K$37,B267,5),'章节与怪物'!$A$41:$F$44,4,FALSE)+IF(5=D267,'难度参数'!$E$30,0))</x:f>
        <x:v>630</x:v>
      </x:c>
      <x:c r="AR267" s="119" t="n">
        <x:f>IF(6&gt;D267,0,MAX(2,MIN('难度参数'!$E$12,ROUND(('难度参数'!$E$18*POWER(A267,'难度参数'!$E$19)/D267*(0.85+0.3*(6-1)/MAX(1,D267-1))),0)+F267)))</x:f>
        <x:v>36</x:v>
      </x:c>
      <x:c r="AS267" s="119" t="n">
        <x:f>IF(6&gt;D267,0,ROUND(('难度参数'!$E$13*POWER(A267,'难度参数'!$E$20)*MIN('难度参数'!$E$23,1+MAX(0,A267-'难度参数'!$E$21)*'难度参数'!$E$22))*(36+6*7)/(36+7*(D267+1)/2)*E267,0))</x:f>
        <x:v>9041</x:v>
      </x:c>
      <x:c r="AT267" s="119" t="n">
        <x:f>IF(AR267=0,0,(AR267-IF(6=D267,1,0))*ROUND(AS267*VLOOKUP(INDEX('章节与怪物'!$E$31:$K$37,B267,6),'章节与怪物'!$A$41:$F$44,2,FALSE),0)+IF(6=D267,ROUND(AS267*'难度参数'!$E$28*'章节与怪物'!$E$17,0),0))</x:f>
        <x:v>234360</x:v>
      </x:c>
      <x:c r="AU267" s="119" t="n">
        <x:f>IF(AR267=0,0,(AR267-IF(6=D267,1,0))*VLOOKUP(INDEX('章节与怪物'!$E$31:$K$37,B267,6),'章节与怪物'!$A$41:$F$44,4,FALSE)+IF(6=D267,'难度参数'!$E$30,0))</x:f>
        <x:v>720</x:v>
      </x:c>
      <x:c r="AV267" s="119" t="n">
        <x:f>IF(7&gt;D267,0,MAX(2,MIN('难度参数'!$E$12,ROUND(('难度参数'!$E$18*POWER(A267,'难度参数'!$E$19)/D267*(0.85+0.3*(7-1)/MAX(1,D267-1))),0)+F267)))</x:f>
        <x:v>38</x:v>
      </x:c>
      <x:c r="AW267" s="119" t="n">
        <x:f>IF(7&gt;D267,0,ROUND(('难度参数'!$E$13*POWER(A267,'难度参数'!$E$20)*MIN('难度参数'!$E$23,1+MAX(0,A267-'难度参数'!$E$21)*'难度参数'!$E$22))*(36+7*7)/(36+7*(D267+1)/2)*E267,0))</x:f>
        <x:v>9853</x:v>
      </x:c>
      <x:c r="AX267" s="119" t="n">
        <x:f>IF(AV267=0,0,(AV267-IF(7=D267,1,0))*ROUND(AW267*VLOOKUP(INDEX('章节与怪物'!$E$31:$K$37,B267,7),'章节与怪物'!$A$41:$F$44,2,FALSE),0)+IF(7=D267,ROUND(AW267*'难度参数'!$E$28*'章节与怪物'!$E$17,0),0))</x:f>
        <x:v>559174</x:v>
      </x:c>
      <x:c r="AY267" s="119" t="n">
        <x:f>IF(AV267=0,0,(AV267-IF(7=D267,1,0))*VLOOKUP(INDEX('章节与怪物'!$E$31:$K$37,B267,7),'章节与怪物'!$A$41:$F$44,4,FALSE)+IF(7=D267,'难度参数'!$E$30,0))</x:f>
        <x:v>1458</x:v>
      </x:c>
    </x:row>
    <x:row r="268" ht="23" customHeight="1">
      <x:c r="A268" s="119" t="n">
        <x:v>262</x:v>
      </x:c>
      <x:c r="B268" s="119" t="n">
        <x:f>MOD(INT((A268-1)/5),7)+1</x:f>
        <x:v>4</x:v>
      </x:c>
      <x:c r="C268" s="62" t="str">
        <x:f>INDEX('章节与怪物'!$B$31:$B$37,B268)</x:f>
        <x:v>翠野边城</x:v>
      </x:c>
      <x:c r="D268" s="119" t="n">
        <x:f>MIN('难度参数'!$E$8,MAX('难度参数'!$E$7,A268))</x:f>
        <x:v>7</x:v>
      </x:c>
      <x:c r="E268" s="106" t="n">
        <x:v>1</x:v>
      </x:c>
      <x:c r="F268" s="106" t="n">
        <x:v>0</x:v>
      </x:c>
      <x:c r="G268" s="106" t="n">
        <x:v>1</x:v>
      </x:c>
      <x:c r="H268" s="119" t="n">
        <x:f>SUM(X268,AB268,AF268,AJ268,AN268,AR268,AV268)</x:f>
        <x:v>231</x:v>
      </x:c>
      <x:c r="I268" s="119" t="n">
        <x:f>SUM(Z268,AD268,AH268,AL268,AP268,AT268,AX268)</x:f>
        <x:v>2040257</x:v>
      </x:c>
      <x:c r="J268" s="119" t="n">
        <x:f>ROUND(INDEX(X268:AY268,1,(D268-1)*4+2)*'难度参数'!$E$28*'章节与怪物'!$E$17,0)</x:f>
        <x:v>67184</x:v>
      </x:c>
      <x:c r="K268" s="119" t="n">
        <x:f>SUM(AA268,AE268,AI268,AM268,AQ268,AU268,AY268)</x:f>
        <x:v>5898</x:v>
      </x:c>
      <x:c r="L268" s="62" t="n">
        <x:f>H268*(ROUNDUP('难度参数'!$E$24/('难度参数'!$E$26*'难度参数'!$E$27),0)*'难度参数'!$E$26)/60</x:f>
        <x:v>3.08</x:v>
      </x:c>
      <x:c r="M268" s="62" t="n">
        <x:f>L268+D268*('难度参数'!$E$49+'难度参数'!$E$50)/60</x:f>
        <x:v>4.246666666666667</x:v>
      </x:c>
      <x:c r="N268" s="119" t="n">
        <x:f>ROUNDDOWN(('经济参数'!$E$20+A268*'经济参数'!$E$21)*G268,0)</x:f>
        <x:v>5420</x:v>
      </x:c>
      <x:c r="O268" s="119" t="n">
        <x:f>ROUNDDOWN(MIN('经济参数'!$E$24,'经济参数'!$E$22+A268*'经济参数'!$E$23)*G268,0)</x:f>
        <x:v>0</x:v>
      </x:c>
      <x:c r="P268" s="119" t="n">
        <x:f>ROUNDDOWN((IF(A268&gt;='材料与任务'!$E$31,'材料与任务'!$E$32,IF(A268&gt;='材料与任务'!$E$25,'材料与任务'!$E$26,IF(A268&gt;='材料与任务'!$E$19,'材料与任务'!$E$20,IF(A268&gt;='材料与任务'!$E$13,'材料与任务'!$E$14,'材料与任务'!$E$8)))))*G268,0)</x:f>
        <x:v>6</x:v>
      </x:c>
      <x:c r="Q268" s="119" t="n">
        <x:f>ROUNDDOWN((IF(A268&gt;='材料与任务'!$E$31,'材料与任务'!$E$33,IF(A268&gt;='材料与任务'!$E$25,'材料与任务'!$E$27,IF(A268&gt;='材料与任务'!$E$19,'材料与任务'!$E$21,IF(A268&gt;='材料与任务'!$E$13,'材料与任务'!$E$15,'材料与任务'!$E$9)))))*G268,0)</x:f>
        <x:v>3</x:v>
      </x:c>
      <x:c r="R268" s="110" t="n">
        <x:f>'装备掉落'!$B$38</x:f>
        <x:v>0.6872058758851213</x:v>
      </x:c>
      <x:c r="S268" s="119" t="n">
        <x:f>MAX(IF(VLOOKUP(A268,'装备掉落'!$A$29:$H$34,2,TRUE)&gt;0,1,0),IF(VLOOKUP(A268,'装备掉落'!$A$29:$H$34,3,TRUE)&gt;0,2,0),IF(VLOOKUP(A268,'装备掉落'!$A$29:$H$34,4,TRUE)&gt;0,3,0),IF(VLOOKUP(A268,'装备掉落'!$A$29:$H$34,5,TRUE)&gt;0,4,0),IF(VLOOKUP(A268,'装备掉落'!$A$29:$H$34,6,TRUE)&gt;0,5,0),IF(VLOOKUP(A268,'装备掉落'!$A$29:$H$34,7,TRUE)&gt;0,6,0),IF(VLOOKUP(A268,'装备掉落'!$A$29:$H$34,8,TRUE)&gt;0,7,0))</x:f>
        <x:v>7</x:v>
      </x:c>
      <x:c r="T268" s="119" t="n">
        <x:f>MIN(7,S268+'经济参数'!$E$70)</x:f>
        <x:v>7</x:v>
      </x:c>
      <x:c r="U268" s="119" t="n">
        <x:f>MIN(7,S268+'经济参数'!$E$71)</x:f>
        <x:v>7</x:v>
      </x:c>
      <x:c r="V268" s="119" t="n">
        <x:f>IF(H268&gt;=('难度参数'!$E$52),1,0)+IF(H268&gt;=('难度参数'!$E$52+'难度参数'!$E$53),1,0)+IF(H268&gt;=('难度参数'!$E$52+'难度参数'!$E$53+'难度参数'!$E$54),1,0)+IF(H268&gt;=('难度参数'!$E$52+'难度参数'!$E$53+'难度参数'!$E$54+'难度参数'!$E$55),1,0)+IF(H268&gt;=('难度参数'!$E$52+'难度参数'!$E$53+'难度参数'!$E$54+'难度参数'!$E$55+'难度参数'!$E$56),1,0)+IF(H268&gt;=('难度参数'!$E$52+'难度参数'!$E$53+'难度参数'!$E$54+'难度参数'!$E$55+'难度参数'!$E$56+'难度参数'!$E$57),1,0)</x:f>
        <x:v>6</x:v>
      </x:c>
      <x:c r="W268" s="62" t="str">
        <x:f>IF(L268&gt;'难度参数'!$E$51,"仅出怪已超目标","还需实测")</x:f>
        <x:v>仅出怪已超目标</x:v>
      </x:c>
      <x:c r="X268" s="119" t="n">
        <x:f>IF(1&gt;D268,0,MAX(2,MIN('难度参数'!$E$12,ROUND(('难度参数'!$E$18*POWER(A268,'难度参数'!$E$19)/D268*(0.85+0.3*(1-1)/MAX(1,D268-1))),0)+F268)))</x:f>
        <x:v>28</x:v>
      </x:c>
      <x:c r="Y268" s="119" t="n">
        <x:f>IF(1&gt;D268,0,ROUND(('难度参数'!$E$13*POWER(A268,'难度参数'!$E$20)*MIN('难度参数'!$E$23,1+MAX(0,A268-'难度参数'!$E$21)*'难度参数'!$E$22))*(36+1*7)/(36+7*(D268+1)/2)*E268,0))</x:f>
        <x:v>4998</x:v>
      </x:c>
      <x:c r="Z268" s="119" t="n">
        <x:f>IF(X268=0,0,(X268-IF(1=D268,1,0))*ROUND(Y268*VLOOKUP(INDEX('章节与怪物'!$E$31:$K$37,B268,1),'章节与怪物'!$A$41:$F$44,2,FALSE),0)+IF(1=D268,ROUND(Y268*'难度参数'!$E$28*'章节与怪物'!$E$17,0),0))</x:f>
        <x:v>100772</x:v>
      </x:c>
      <x:c r="AA268" s="119" t="n">
        <x:f>IF(X268=0,0,(X268-IF(1=D268,1,0))*VLOOKUP(INDEX('章节与怪物'!$E$31:$K$37,B268,1),'章节与怪物'!$A$41:$F$44,4,FALSE)+IF(1=D268,'难度参数'!$E$30,0))</x:f>
        <x:v>560</x:v>
      </x:c>
      <x:c r="AB268" s="119" t="n">
        <x:f>IF(2&gt;D268,0,MAX(2,MIN('难度参数'!$E$12,ROUND(('难度参数'!$E$18*POWER(A268,'难度参数'!$E$19)/D268*(0.85+0.3*(2-1)/MAX(1,D268-1))),0)+F268)))</x:f>
        <x:v>30</x:v>
      </x:c>
      <x:c r="AC268" s="119" t="n">
        <x:f>IF(2&gt;D268,0,ROUND(('难度参数'!$E$13*POWER(A268,'难度参数'!$E$20)*MIN('难度参数'!$E$23,1+MAX(0,A268-'难度参数'!$E$21)*'难度参数'!$E$22))*(36+2*7)/(36+7*(D268+1)/2)*E268,0))</x:f>
        <x:v>5812</x:v>
      </x:c>
      <x:c r="AD268" s="119" t="n">
        <x:f>IF(AB268=0,0,(AB268-IF(2=D268,1,0))*ROUND(AC268*VLOOKUP(INDEX('章节与怪物'!$E$31:$K$37,B268,2),'章节与怪物'!$A$41:$F$44,2,FALSE),0)+IF(2=D268,ROUND(AC268*'难度参数'!$E$28*'章节与怪物'!$E$17,0),0))</x:f>
        <x:v>174360</x:v>
      </x:c>
      <x:c r="AE268" s="119" t="n">
        <x:f>IF(AB268=0,0,(AB268-IF(2=D268,1,0))*VLOOKUP(INDEX('章节与怪物'!$E$31:$K$37,B268,2),'章节与怪物'!$A$41:$F$44,4,FALSE)+IF(2=D268,'难度参数'!$E$30,0))</x:f>
        <x:v>540</x:v>
      </x:c>
      <x:c r="AF268" s="119" t="n">
        <x:f>IF(3&gt;D268,0,MAX(2,MIN('难度参数'!$E$12,ROUND(('难度参数'!$E$18*POWER(A268,'难度参数'!$E$19)/D268*(0.85+0.3*(3-1)/MAX(1,D268-1))),0)+F268)))</x:f>
        <x:v>31</x:v>
      </x:c>
      <x:c r="AG268" s="119" t="n">
        <x:f>IF(3&gt;D268,0,ROUND(('难度参数'!$E$13*POWER(A268,'难度参数'!$E$20)*MIN('难度参数'!$E$23,1+MAX(0,A268-'难度参数'!$E$21)*'难度参数'!$E$22))*(36+3*7)/(36+7*(D268+1)/2)*E268,0))</x:f>
        <x:v>6625</x:v>
      </x:c>
      <x:c r="AH268" s="119" t="n">
        <x:f>IF(AF268=0,0,(AF268-IF(3=D268,1,0))*ROUND(AG268*VLOOKUP(INDEX('章节与怪物'!$E$31:$K$37,B268,3),'章节与怪物'!$A$41:$F$44,2,FALSE),0)+IF(3=D268,ROUND(AG268*'难度参数'!$E$28*'章节与怪物'!$E$17,0),0))</x:f>
        <x:v>349153</x:v>
      </x:c>
      <x:c r="AI268" s="119" t="n">
        <x:f>IF(AF268=0,0,(AF268-IF(3=D268,1,0))*VLOOKUP(INDEX('章节与怪物'!$E$31:$K$37,B268,3),'章节与怪物'!$A$41:$F$44,4,FALSE)+IF(3=D268,'难度参数'!$E$30,0))</x:f>
        <x:v>868</x:v>
      </x:c>
      <x:c r="AJ268" s="119" t="n">
        <x:f>IF(4&gt;D268,0,MAX(2,MIN('难度参数'!$E$12,ROUND(('难度参数'!$E$18*POWER(A268,'难度参数'!$E$19)/D268*(0.85+0.3*(4-1)/MAX(1,D268-1))),0)+F268)))</x:f>
        <x:v>33</x:v>
      </x:c>
      <x:c r="AK268" s="119" t="n">
        <x:f>IF(4&gt;D268,0,ROUND(('难度参数'!$E$13*POWER(A268,'难度参数'!$E$20)*MIN('难度参数'!$E$23,1+MAX(0,A268-'难度参数'!$E$21)*'难度参数'!$E$22))*(36+4*7)/(36+7*(D268+1)/2)*E268,0))</x:f>
        <x:v>7439</x:v>
      </x:c>
      <x:c r="AL268" s="119" t="n">
        <x:f>IF(AJ268=0,0,(AJ268-IF(4=D268,1,0))*ROUND(AK268*VLOOKUP(INDEX('章节与怪物'!$E$31:$K$37,B268,4),'章节与怪物'!$A$41:$F$44,2,FALSE),0)+IF(4=D268,ROUND(AK268*'难度参数'!$E$28*'章节与怪物'!$E$17,0),0))</x:f>
        <x:v>331419</x:v>
      </x:c>
      <x:c r="AM268" s="119" t="n">
        <x:f>IF(AJ268=0,0,(AJ268-IF(4=D268,1,0))*VLOOKUP(INDEX('章节与怪物'!$E$31:$K$37,B268,4),'章节与怪物'!$A$41:$F$44,4,FALSE)+IF(4=D268,'难度参数'!$E$30,0))</x:f>
        <x:v>1122</x:v>
      </x:c>
      <x:c r="AN268" s="119" t="n">
        <x:f>IF(5&gt;D268,0,MAX(2,MIN('难度参数'!$E$12,ROUND(('难度参数'!$E$18*POWER(A268,'难度参数'!$E$19)/D268*(0.85+0.3*(5-1)/MAX(1,D268-1))),0)+F268)))</x:f>
        <x:v>35</x:v>
      </x:c>
      <x:c r="AO268" s="119" t="n">
        <x:f>IF(5&gt;D268,0,ROUND(('难度参数'!$E$13*POWER(A268,'难度参数'!$E$20)*MIN('难度参数'!$E$23,1+MAX(0,A268-'难度参数'!$E$21)*'难度参数'!$E$22))*(36+5*7)/(36+7*(D268+1)/2)*E268,0))</x:f>
        <x:v>8253</x:v>
      </x:c>
      <x:c r="AP268" s="119" t="n">
        <x:f>IF(AN268=0,0,(AN268-IF(5=D268,1,0))*ROUND(AO268*VLOOKUP(INDEX('章节与怪物'!$E$31:$K$37,B268,5),'章节与怪物'!$A$41:$F$44,2,FALSE),0)+IF(5=D268,ROUND(AO268*'难度参数'!$E$28*'章节与怪物'!$E$17,0),0))</x:f>
        <x:v>288855</x:v>
      </x:c>
      <x:c r="AQ268" s="119" t="n">
        <x:f>IF(AN268=0,0,(AN268-IF(5=D268,1,0))*VLOOKUP(INDEX('章节与怪物'!$E$31:$K$37,B268,5),'章节与怪物'!$A$41:$F$44,4,FALSE)+IF(5=D268,'难度参数'!$E$30,0))</x:f>
        <x:v>630</x:v>
      </x:c>
      <x:c r="AR268" s="119" t="n">
        <x:f>IF(6&gt;D268,0,MAX(2,MIN('难度参数'!$E$12,ROUND(('难度参数'!$E$18*POWER(A268,'难度参数'!$E$19)/D268*(0.85+0.3*(6-1)/MAX(1,D268-1))),0)+F268)))</x:f>
        <x:v>36</x:v>
      </x:c>
      <x:c r="AS268" s="119" t="n">
        <x:f>IF(6&gt;D268,0,ROUND(('难度参数'!$E$13*POWER(A268,'难度参数'!$E$20)*MIN('难度参数'!$E$23,1+MAX(0,A268-'难度参数'!$E$21)*'难度参数'!$E$22))*(36+6*7)/(36+7*(D268+1)/2)*E268,0))</x:f>
        <x:v>9066</x:v>
      </x:c>
      <x:c r="AT268" s="119" t="n">
        <x:f>IF(AR268=0,0,(AR268-IF(6=D268,1,0))*ROUND(AS268*VLOOKUP(INDEX('章节与怪物'!$E$31:$K$37,B268,6),'章节与怪物'!$A$41:$F$44,2,FALSE),0)+IF(6=D268,ROUND(AS268*'难度参数'!$E$28*'章节与怪物'!$E$17,0),0))</x:f>
        <x:v>235008</x:v>
      </x:c>
      <x:c r="AU268" s="119" t="n">
        <x:f>IF(AR268=0,0,(AR268-IF(6=D268,1,0))*VLOOKUP(INDEX('章节与怪物'!$E$31:$K$37,B268,6),'章节与怪物'!$A$41:$F$44,4,FALSE)+IF(6=D268,'难度参数'!$E$30,0))</x:f>
        <x:v>720</x:v>
      </x:c>
      <x:c r="AV268" s="119" t="n">
        <x:f>IF(7&gt;D268,0,MAX(2,MIN('难度参数'!$E$12,ROUND(('难度参数'!$E$18*POWER(A268,'难度参数'!$E$19)/D268*(0.85+0.3*(7-1)/MAX(1,D268-1))),0)+F268)))</x:f>
        <x:v>38</x:v>
      </x:c>
      <x:c r="AW268" s="119" t="n">
        <x:f>IF(7&gt;D268,0,ROUND(('难度参数'!$E$13*POWER(A268,'难度参数'!$E$20)*MIN('难度参数'!$E$23,1+MAX(0,A268-'难度参数'!$E$21)*'难度参数'!$E$22))*(36+7*7)/(36+7*(D268+1)/2)*E268,0))</x:f>
        <x:v>9880</x:v>
      </x:c>
      <x:c r="AX268" s="119" t="n">
        <x:f>IF(AV268=0,0,(AV268-IF(7=D268,1,0))*ROUND(AW268*VLOOKUP(INDEX('章节与怪物'!$E$31:$K$37,B268,7),'章节与怪物'!$A$41:$F$44,2,FALSE),0)+IF(7=D268,ROUND(AW268*'难度参数'!$E$28*'章节与怪物'!$E$17,0),0))</x:f>
        <x:v>560690</x:v>
      </x:c>
      <x:c r="AY268" s="119" t="n">
        <x:f>IF(AV268=0,0,(AV268-IF(7=D268,1,0))*VLOOKUP(INDEX('章节与怪物'!$E$31:$K$37,B268,7),'章节与怪物'!$A$41:$F$44,4,FALSE)+IF(7=D268,'难度参数'!$E$30,0))</x:f>
        <x:v>1458</x:v>
      </x:c>
    </x:row>
    <x:row r="269" ht="23" customHeight="1">
      <x:c r="A269" s="119" t="n">
        <x:v>263</x:v>
      </x:c>
      <x:c r="B269" s="119" t="n">
        <x:f>MOD(INT((A269-1)/5),7)+1</x:f>
        <x:v>4</x:v>
      </x:c>
      <x:c r="C269" s="62" t="str">
        <x:f>INDEX('章节与怪物'!$B$31:$B$37,B269)</x:f>
        <x:v>翠野边城</x:v>
      </x:c>
      <x:c r="D269" s="119" t="n">
        <x:f>MIN('难度参数'!$E$8,MAX('难度参数'!$E$7,A269))</x:f>
        <x:v>7</x:v>
      </x:c>
      <x:c r="E269" s="106" t="n">
        <x:v>1</x:v>
      </x:c>
      <x:c r="F269" s="106" t="n">
        <x:v>0</x:v>
      </x:c>
      <x:c r="G269" s="106" t="n">
        <x:v>1</x:v>
      </x:c>
      <x:c r="H269" s="119" t="n">
        <x:f>SUM(X269,AB269,AF269,AJ269,AN269,AR269,AV269)</x:f>
        <x:v>231</x:v>
      </x:c>
      <x:c r="I269" s="119" t="n">
        <x:f>SUM(Z269,AD269,AH269,AL269,AP269,AT269,AX269)</x:f>
        <x:v>2045772</x:v>
      </x:c>
      <x:c r="J269" s="119" t="n">
        <x:f>ROUND(INDEX(X269:AY269,1,(D269-1)*4+2)*'难度参数'!$E$28*'章节与怪物'!$E$17,0)</x:f>
        <x:v>67368</x:v>
      </x:c>
      <x:c r="K269" s="119" t="n">
        <x:f>SUM(AA269,AE269,AI269,AM269,AQ269,AU269,AY269)</x:f>
        <x:v>5898</x:v>
      </x:c>
      <x:c r="L269" s="62" t="n">
        <x:f>H269*(ROUNDUP('难度参数'!$E$24/('难度参数'!$E$26*'难度参数'!$E$27),0)*'难度参数'!$E$26)/60</x:f>
        <x:v>3.08</x:v>
      </x:c>
      <x:c r="M269" s="62" t="n">
        <x:f>L269+D269*('难度参数'!$E$49+'难度参数'!$E$50)/60</x:f>
        <x:v>4.246666666666667</x:v>
      </x:c>
      <x:c r="N269" s="119" t="n">
        <x:f>ROUNDDOWN(('经济参数'!$E$20+A269*'经济参数'!$E$21)*G269,0)</x:f>
        <x:v>5440</x:v>
      </x:c>
      <x:c r="O269" s="119" t="n">
        <x:f>ROUNDDOWN(MIN('经济参数'!$E$24,'经济参数'!$E$22+A269*'经济参数'!$E$23)*G269,0)</x:f>
        <x:v>0</x:v>
      </x:c>
      <x:c r="P269" s="119" t="n">
        <x:f>ROUNDDOWN((IF(A269&gt;='材料与任务'!$E$31,'材料与任务'!$E$32,IF(A269&gt;='材料与任务'!$E$25,'材料与任务'!$E$26,IF(A269&gt;='材料与任务'!$E$19,'材料与任务'!$E$20,IF(A269&gt;='材料与任务'!$E$13,'材料与任务'!$E$14,'材料与任务'!$E$8)))))*G269,0)</x:f>
        <x:v>6</x:v>
      </x:c>
      <x:c r="Q269" s="119" t="n">
        <x:f>ROUNDDOWN((IF(A269&gt;='材料与任务'!$E$31,'材料与任务'!$E$33,IF(A269&gt;='材料与任务'!$E$25,'材料与任务'!$E$27,IF(A269&gt;='材料与任务'!$E$19,'材料与任务'!$E$21,IF(A269&gt;='材料与任务'!$E$13,'材料与任务'!$E$15,'材料与任务'!$E$9)))))*G269,0)</x:f>
        <x:v>3</x:v>
      </x:c>
      <x:c r="R269" s="110" t="n">
        <x:f>'装备掉落'!$B$38</x:f>
        <x:v>0.6872058758851213</x:v>
      </x:c>
      <x:c r="S269" s="119" t="n">
        <x:f>MAX(IF(VLOOKUP(A269,'装备掉落'!$A$29:$H$34,2,TRUE)&gt;0,1,0),IF(VLOOKUP(A269,'装备掉落'!$A$29:$H$34,3,TRUE)&gt;0,2,0),IF(VLOOKUP(A269,'装备掉落'!$A$29:$H$34,4,TRUE)&gt;0,3,0),IF(VLOOKUP(A269,'装备掉落'!$A$29:$H$34,5,TRUE)&gt;0,4,0),IF(VLOOKUP(A269,'装备掉落'!$A$29:$H$34,6,TRUE)&gt;0,5,0),IF(VLOOKUP(A269,'装备掉落'!$A$29:$H$34,7,TRUE)&gt;0,6,0),IF(VLOOKUP(A269,'装备掉落'!$A$29:$H$34,8,TRUE)&gt;0,7,0))</x:f>
        <x:v>7</x:v>
      </x:c>
      <x:c r="T269" s="119" t="n">
        <x:f>MIN(7,S269+'经济参数'!$E$70)</x:f>
        <x:v>7</x:v>
      </x:c>
      <x:c r="U269" s="119" t="n">
        <x:f>MIN(7,S269+'经济参数'!$E$71)</x:f>
        <x:v>7</x:v>
      </x:c>
      <x:c r="V269" s="119" t="n">
        <x:f>IF(H269&gt;=('难度参数'!$E$52),1,0)+IF(H269&gt;=('难度参数'!$E$52+'难度参数'!$E$53),1,0)+IF(H269&gt;=('难度参数'!$E$52+'难度参数'!$E$53+'难度参数'!$E$54),1,0)+IF(H269&gt;=('难度参数'!$E$52+'难度参数'!$E$53+'难度参数'!$E$54+'难度参数'!$E$55),1,0)+IF(H269&gt;=('难度参数'!$E$52+'难度参数'!$E$53+'难度参数'!$E$54+'难度参数'!$E$55+'难度参数'!$E$56),1,0)+IF(H269&gt;=('难度参数'!$E$52+'难度参数'!$E$53+'难度参数'!$E$54+'难度参数'!$E$55+'难度参数'!$E$56+'难度参数'!$E$57),1,0)</x:f>
        <x:v>6</x:v>
      </x:c>
      <x:c r="W269" s="62" t="str">
        <x:f>IF(L269&gt;'难度参数'!$E$51,"仅出怪已超目标","还需实测")</x:f>
        <x:v>仅出怪已超目标</x:v>
      </x:c>
      <x:c r="X269" s="119" t="n">
        <x:f>IF(1&gt;D269,0,MAX(2,MIN('难度参数'!$E$12,ROUND(('难度参数'!$E$18*POWER(A269,'难度参数'!$E$19)/D269*(0.85+0.3*(1-1)/MAX(1,D269-1))),0)+F269)))</x:f>
        <x:v>28</x:v>
      </x:c>
      <x:c r="Y269" s="119" t="n">
        <x:f>IF(1&gt;D269,0,ROUND(('难度参数'!$E$13*POWER(A269,'难度参数'!$E$20)*MIN('难度参数'!$E$23,1+MAX(0,A269-'难度参数'!$E$21)*'难度参数'!$E$22))*(36+1*7)/(36+7*(D269+1)/2)*E269,0))</x:f>
        <x:v>5012</x:v>
      </x:c>
      <x:c r="Z269" s="119" t="n">
        <x:f>IF(X269=0,0,(X269-IF(1=D269,1,0))*ROUND(Y269*VLOOKUP(INDEX('章节与怪物'!$E$31:$K$37,B269,1),'章节与怪物'!$A$41:$F$44,2,FALSE),0)+IF(1=D269,ROUND(Y269*'难度参数'!$E$28*'章节与怪物'!$E$17,0),0))</x:f>
        <x:v>101052</x:v>
      </x:c>
      <x:c r="AA269" s="119" t="n">
        <x:f>IF(X269=0,0,(X269-IF(1=D269,1,0))*VLOOKUP(INDEX('章节与怪物'!$E$31:$K$37,B269,1),'章节与怪物'!$A$41:$F$44,4,FALSE)+IF(1=D269,'难度参数'!$E$30,0))</x:f>
        <x:v>560</x:v>
      </x:c>
      <x:c r="AB269" s="119" t="n">
        <x:f>IF(2&gt;D269,0,MAX(2,MIN('难度参数'!$E$12,ROUND(('难度参数'!$E$18*POWER(A269,'难度参数'!$E$19)/D269*(0.85+0.3*(2-1)/MAX(1,D269-1))),0)+F269)))</x:f>
        <x:v>30</x:v>
      </x:c>
      <x:c r="AC269" s="119" t="n">
        <x:f>IF(2&gt;D269,0,ROUND(('难度参数'!$E$13*POWER(A269,'难度参数'!$E$20)*MIN('难度参数'!$E$23,1+MAX(0,A269-'难度参数'!$E$21)*'难度参数'!$E$22))*(36+2*7)/(36+7*(D269+1)/2)*E269,0))</x:f>
        <x:v>5828</x:v>
      </x:c>
      <x:c r="AD269" s="119" t="n">
        <x:f>IF(AB269=0,0,(AB269-IF(2=D269,1,0))*ROUND(AC269*VLOOKUP(INDEX('章节与怪物'!$E$31:$K$37,B269,2),'章节与怪物'!$A$41:$F$44,2,FALSE),0)+IF(2=D269,ROUND(AC269*'难度参数'!$E$28*'章节与怪物'!$E$17,0),0))</x:f>
        <x:v>174840</x:v>
      </x:c>
      <x:c r="AE269" s="119" t="n">
        <x:f>IF(AB269=0,0,(AB269-IF(2=D269,1,0))*VLOOKUP(INDEX('章节与怪物'!$E$31:$K$37,B269,2),'章节与怪物'!$A$41:$F$44,4,FALSE)+IF(2=D269,'难度参数'!$E$30,0))</x:f>
        <x:v>540</x:v>
      </x:c>
      <x:c r="AF269" s="119" t="n">
        <x:f>IF(3&gt;D269,0,MAX(2,MIN('难度参数'!$E$12,ROUND(('难度参数'!$E$18*POWER(A269,'难度参数'!$E$19)/D269*(0.85+0.3*(3-1)/MAX(1,D269-1))),0)+F269)))</x:f>
        <x:v>31</x:v>
      </x:c>
      <x:c r="AG269" s="119" t="n">
        <x:f>IF(3&gt;D269,0,ROUND(('难度参数'!$E$13*POWER(A269,'难度参数'!$E$20)*MIN('难度参数'!$E$23,1+MAX(0,A269-'难度参数'!$E$21)*'难度参数'!$E$22))*(36+3*7)/(36+7*(D269+1)/2)*E269,0))</x:f>
        <x:v>6643</x:v>
      </x:c>
      <x:c r="AH269" s="119" t="n">
        <x:f>IF(AF269=0,0,(AF269-IF(3=D269,1,0))*ROUND(AG269*VLOOKUP(INDEX('章节与怪物'!$E$31:$K$37,B269,3),'章节与怪物'!$A$41:$F$44,2,FALSE),0)+IF(3=D269,ROUND(AG269*'难度参数'!$E$28*'章节与怪物'!$E$17,0),0))</x:f>
        <x:v>350083</x:v>
      </x:c>
      <x:c r="AI269" s="119" t="n">
        <x:f>IF(AF269=0,0,(AF269-IF(3=D269,1,0))*VLOOKUP(INDEX('章节与怪物'!$E$31:$K$37,B269,3),'章节与怪物'!$A$41:$F$44,4,FALSE)+IF(3=D269,'难度参数'!$E$30,0))</x:f>
        <x:v>868</x:v>
      </x:c>
      <x:c r="AJ269" s="119" t="n">
        <x:f>IF(4&gt;D269,0,MAX(2,MIN('难度参数'!$E$12,ROUND(('难度参数'!$E$18*POWER(A269,'难度参数'!$E$19)/D269*(0.85+0.3*(4-1)/MAX(1,D269-1))),0)+F269)))</x:f>
        <x:v>33</x:v>
      </x:c>
      <x:c r="AK269" s="119" t="n">
        <x:f>IF(4&gt;D269,0,ROUND(('难度参数'!$E$13*POWER(A269,'难度参数'!$E$20)*MIN('难度参数'!$E$23,1+MAX(0,A269-'难度参数'!$E$21)*'难度参数'!$E$22))*(36+4*7)/(36+7*(D269+1)/2)*E269,0))</x:f>
        <x:v>7459</x:v>
      </x:c>
      <x:c r="AL269" s="119" t="n">
        <x:f>IF(AJ269=0,0,(AJ269-IF(4=D269,1,0))*ROUND(AK269*VLOOKUP(INDEX('章节与怪物'!$E$31:$K$37,B269,4),'章节与怪物'!$A$41:$F$44,2,FALSE),0)+IF(4=D269,ROUND(AK269*'难度参数'!$E$28*'章节与怪物'!$E$17,0),0))</x:f>
        <x:v>332310</x:v>
      </x:c>
      <x:c r="AM269" s="119" t="n">
        <x:f>IF(AJ269=0,0,(AJ269-IF(4=D269,1,0))*VLOOKUP(INDEX('章节与怪物'!$E$31:$K$37,B269,4),'章节与怪物'!$A$41:$F$44,4,FALSE)+IF(4=D269,'难度参数'!$E$30,0))</x:f>
        <x:v>1122</x:v>
      </x:c>
      <x:c r="AN269" s="119" t="n">
        <x:f>IF(5&gt;D269,0,MAX(2,MIN('难度参数'!$E$12,ROUND(('难度参数'!$E$18*POWER(A269,'难度参数'!$E$19)/D269*(0.85+0.3*(5-1)/MAX(1,D269-1))),0)+F269)))</x:f>
        <x:v>35</x:v>
      </x:c>
      <x:c r="AO269" s="119" t="n">
        <x:f>IF(5&gt;D269,0,ROUND(('难度参数'!$E$13*POWER(A269,'难度参数'!$E$20)*MIN('难度参数'!$E$23,1+MAX(0,A269-'难度参数'!$E$21)*'难度参数'!$E$22))*(36+5*7)/(36+7*(D269+1)/2)*E269,0))</x:f>
        <x:v>8275</x:v>
      </x:c>
      <x:c r="AP269" s="119" t="n">
        <x:f>IF(AN269=0,0,(AN269-IF(5=D269,1,0))*ROUND(AO269*VLOOKUP(INDEX('章节与怪物'!$E$31:$K$37,B269,5),'章节与怪物'!$A$41:$F$44,2,FALSE),0)+IF(5=D269,ROUND(AO269*'难度参数'!$E$28*'章节与怪物'!$E$17,0),0))</x:f>
        <x:v>289625</x:v>
      </x:c>
      <x:c r="AQ269" s="119" t="n">
        <x:f>IF(AN269=0,0,(AN269-IF(5=D269,1,0))*VLOOKUP(INDEX('章节与怪物'!$E$31:$K$37,B269,5),'章节与怪物'!$A$41:$F$44,4,FALSE)+IF(5=D269,'难度参数'!$E$30,0))</x:f>
        <x:v>630</x:v>
      </x:c>
      <x:c r="AR269" s="119" t="n">
        <x:f>IF(6&gt;D269,0,MAX(2,MIN('难度参数'!$E$12,ROUND(('难度参数'!$E$18*POWER(A269,'难度参数'!$E$19)/D269*(0.85+0.3*(6-1)/MAX(1,D269-1))),0)+F269)))</x:f>
        <x:v>36</x:v>
      </x:c>
      <x:c r="AS269" s="119" t="n">
        <x:f>IF(6&gt;D269,0,ROUND(('难度参数'!$E$13*POWER(A269,'难度参数'!$E$20)*MIN('难度参数'!$E$23,1+MAX(0,A269-'难度参数'!$E$21)*'难度参数'!$E$22))*(36+6*7)/(36+7*(D269+1)/2)*E269,0))</x:f>
        <x:v>9091</x:v>
      </x:c>
      <x:c r="AT269" s="119" t="n">
        <x:f>IF(AR269=0,0,(AR269-IF(6=D269,1,0))*ROUND(AS269*VLOOKUP(INDEX('章节与怪物'!$E$31:$K$37,B269,6),'章节与怪物'!$A$41:$F$44,2,FALSE),0)+IF(6=D269,ROUND(AS269*'难度参数'!$E$28*'章节与怪物'!$E$17,0),0))</x:f>
        <x:v>235656</x:v>
      </x:c>
      <x:c r="AU269" s="119" t="n">
        <x:f>IF(AR269=0,0,(AR269-IF(6=D269,1,0))*VLOOKUP(INDEX('章节与怪物'!$E$31:$K$37,B269,6),'章节与怪物'!$A$41:$F$44,4,FALSE)+IF(6=D269,'难度参数'!$E$30,0))</x:f>
        <x:v>720</x:v>
      </x:c>
      <x:c r="AV269" s="119" t="n">
        <x:f>IF(7&gt;D269,0,MAX(2,MIN('难度参数'!$E$12,ROUND(('难度参数'!$E$18*POWER(A269,'难度参数'!$E$19)/D269*(0.85+0.3*(7-1)/MAX(1,D269-1))),0)+F269)))</x:f>
        <x:v>38</x:v>
      </x:c>
      <x:c r="AW269" s="119" t="n">
        <x:f>IF(7&gt;D269,0,ROUND(('难度参数'!$E$13*POWER(A269,'难度参数'!$E$20)*MIN('难度参数'!$E$23,1+MAX(0,A269-'难度参数'!$E$21)*'难度参数'!$E$22))*(36+7*7)/(36+7*(D269+1)/2)*E269,0))</x:f>
        <x:v>9907</x:v>
      </x:c>
      <x:c r="AX269" s="119" t="n">
        <x:f>IF(AV269=0,0,(AV269-IF(7=D269,1,0))*ROUND(AW269*VLOOKUP(INDEX('章节与怪物'!$E$31:$K$37,B269,7),'章节与怪物'!$A$41:$F$44,2,FALSE),0)+IF(7=D269,ROUND(AW269*'难度参数'!$E$28*'章节与怪物'!$E$17,0),0))</x:f>
        <x:v>562206</x:v>
      </x:c>
      <x:c r="AY269" s="119" t="n">
        <x:f>IF(AV269=0,0,(AV269-IF(7=D269,1,0))*VLOOKUP(INDEX('章节与怪物'!$E$31:$K$37,B269,7),'章节与怪物'!$A$41:$F$44,4,FALSE)+IF(7=D269,'难度参数'!$E$30,0))</x:f>
        <x:v>1458</x:v>
      </x:c>
    </x:row>
    <x:row r="270" ht="23" customHeight="1">
      <x:c r="A270" s="119" t="n">
        <x:v>264</x:v>
      </x:c>
      <x:c r="B270" s="119" t="n">
        <x:f>MOD(INT((A270-1)/5),7)+1</x:f>
        <x:v>4</x:v>
      </x:c>
      <x:c r="C270" s="62" t="str">
        <x:f>INDEX('章节与怪物'!$B$31:$B$37,B270)</x:f>
        <x:v>翠野边城</x:v>
      </x:c>
      <x:c r="D270" s="119" t="n">
        <x:f>MIN('难度参数'!$E$8,MAX('难度参数'!$E$7,A270))</x:f>
        <x:v>7</x:v>
      </x:c>
      <x:c r="E270" s="106" t="n">
        <x:v>1</x:v>
      </x:c>
      <x:c r="F270" s="106" t="n">
        <x:v>0</x:v>
      </x:c>
      <x:c r="G270" s="106" t="n">
        <x:v>1</x:v>
      </x:c>
      <x:c r="H270" s="119" t="n">
        <x:f>SUM(X270,AB270,AF270,AJ270,AN270,AR270,AV270)</x:f>
        <x:v>233</x:v>
      </x:c>
      <x:c r="I270" s="119" t="n">
        <x:f>SUM(Z270,AD270,AH270,AL270,AP270,AT270,AX270)</x:f>
        <x:v>2069314</x:v>
      </x:c>
      <x:c r="J270" s="119" t="n">
        <x:f>ROUND(INDEX(X270:AY270,1,(D270-1)*4+2)*'难度参数'!$E$28*'章节与怪物'!$E$17,0)</x:f>
        <x:v>67551</x:v>
      </x:c>
      <x:c r="K270" s="119" t="n">
        <x:f>SUM(AA270,AE270,AI270,AM270,AQ270,AU270,AY270)</x:f>
        <x:v>5946</x:v>
      </x:c>
      <x:c r="L270" s="62" t="n">
        <x:f>H270*(ROUNDUP('难度参数'!$E$24/('难度参数'!$E$26*'难度参数'!$E$27),0)*'难度参数'!$E$26)/60</x:f>
        <x:v>3.106666666666667</x:v>
      </x:c>
      <x:c r="M270" s="62" t="n">
        <x:f>L270+D270*('难度参数'!$E$49+'难度参数'!$E$50)/60</x:f>
        <x:v>4.273333333333333</x:v>
      </x:c>
      <x:c r="N270" s="119" t="n">
        <x:f>ROUNDDOWN(('经济参数'!$E$20+A270*'经济参数'!$E$21)*G270,0)</x:f>
        <x:v>5460</x:v>
      </x:c>
      <x:c r="O270" s="119" t="n">
        <x:f>ROUNDDOWN(MIN('经济参数'!$E$24,'经济参数'!$E$22+A270*'经济参数'!$E$23)*G270,0)</x:f>
        <x:v>0</x:v>
      </x:c>
      <x:c r="P270" s="119" t="n">
        <x:f>ROUNDDOWN((IF(A270&gt;='材料与任务'!$E$31,'材料与任务'!$E$32,IF(A270&gt;='材料与任务'!$E$25,'材料与任务'!$E$26,IF(A270&gt;='材料与任务'!$E$19,'材料与任务'!$E$20,IF(A270&gt;='材料与任务'!$E$13,'材料与任务'!$E$14,'材料与任务'!$E$8)))))*G270,0)</x:f>
        <x:v>6</x:v>
      </x:c>
      <x:c r="Q270" s="119" t="n">
        <x:f>ROUNDDOWN((IF(A270&gt;='材料与任务'!$E$31,'材料与任务'!$E$33,IF(A270&gt;='材料与任务'!$E$25,'材料与任务'!$E$27,IF(A270&gt;='材料与任务'!$E$19,'材料与任务'!$E$21,IF(A270&gt;='材料与任务'!$E$13,'材料与任务'!$E$15,'材料与任务'!$E$9)))))*G270,0)</x:f>
        <x:v>3</x:v>
      </x:c>
      <x:c r="R270" s="110" t="n">
        <x:f>'装备掉落'!$B$38</x:f>
        <x:v>0.6872058758851213</x:v>
      </x:c>
      <x:c r="S270" s="119" t="n">
        <x:f>MAX(IF(VLOOKUP(A270,'装备掉落'!$A$29:$H$34,2,TRUE)&gt;0,1,0),IF(VLOOKUP(A270,'装备掉落'!$A$29:$H$34,3,TRUE)&gt;0,2,0),IF(VLOOKUP(A270,'装备掉落'!$A$29:$H$34,4,TRUE)&gt;0,3,0),IF(VLOOKUP(A270,'装备掉落'!$A$29:$H$34,5,TRUE)&gt;0,4,0),IF(VLOOKUP(A270,'装备掉落'!$A$29:$H$34,6,TRUE)&gt;0,5,0),IF(VLOOKUP(A270,'装备掉落'!$A$29:$H$34,7,TRUE)&gt;0,6,0),IF(VLOOKUP(A270,'装备掉落'!$A$29:$H$34,8,TRUE)&gt;0,7,0))</x:f>
        <x:v>7</x:v>
      </x:c>
      <x:c r="T270" s="119" t="n">
        <x:f>MIN(7,S270+'经济参数'!$E$70)</x:f>
        <x:v>7</x:v>
      </x:c>
      <x:c r="U270" s="119" t="n">
        <x:f>MIN(7,S270+'经济参数'!$E$71)</x:f>
        <x:v>7</x:v>
      </x:c>
      <x:c r="V270" s="119" t="n">
        <x:f>IF(H270&gt;=('难度参数'!$E$52),1,0)+IF(H270&gt;=('难度参数'!$E$52+'难度参数'!$E$53),1,0)+IF(H270&gt;=('难度参数'!$E$52+'难度参数'!$E$53+'难度参数'!$E$54),1,0)+IF(H270&gt;=('难度参数'!$E$52+'难度参数'!$E$53+'难度参数'!$E$54+'难度参数'!$E$55),1,0)+IF(H270&gt;=('难度参数'!$E$52+'难度参数'!$E$53+'难度参数'!$E$54+'难度参数'!$E$55+'难度参数'!$E$56),1,0)+IF(H270&gt;=('难度参数'!$E$52+'难度参数'!$E$53+'难度参数'!$E$54+'难度参数'!$E$55+'难度参数'!$E$56+'难度参数'!$E$57),1,0)</x:f>
        <x:v>6</x:v>
      </x:c>
      <x:c r="W270" s="62" t="str">
        <x:f>IF(L270&gt;'难度参数'!$E$51,"仅出怪已超目标","还需实测")</x:f>
        <x:v>仅出怪已超目标</x:v>
      </x:c>
      <x:c r="X270" s="119" t="n">
        <x:f>IF(1&gt;D270,0,MAX(2,MIN('难度参数'!$E$12,ROUND(('难度参数'!$E$18*POWER(A270,'难度参数'!$E$19)/D270*(0.85+0.3*(1-1)/MAX(1,D270-1))),0)+F270)))</x:f>
        <x:v>28</x:v>
      </x:c>
      <x:c r="Y270" s="119" t="n">
        <x:f>IF(1&gt;D270,0,ROUND(('难度参数'!$E$13*POWER(A270,'难度参数'!$E$20)*MIN('难度参数'!$E$23,1+MAX(0,A270-'难度参数'!$E$21)*'难度参数'!$E$22))*(36+1*7)/(36+7*(D270+1)/2)*E270,0))</x:f>
        <x:v>5025</x:v>
      </x:c>
      <x:c r="Z270" s="119" t="n">
        <x:f>IF(X270=0,0,(X270-IF(1=D270,1,0))*ROUND(Y270*VLOOKUP(INDEX('章节与怪物'!$E$31:$K$37,B270,1),'章节与怪物'!$A$41:$F$44,2,FALSE),0)+IF(1=D270,ROUND(Y270*'难度参数'!$E$28*'章节与怪物'!$E$17,0),0))</x:f>
        <x:v>101304</x:v>
      </x:c>
      <x:c r="AA270" s="119" t="n">
        <x:f>IF(X270=0,0,(X270-IF(1=D270,1,0))*VLOOKUP(INDEX('章节与怪物'!$E$31:$K$37,B270,1),'章节与怪物'!$A$41:$F$44,4,FALSE)+IF(1=D270,'难度参数'!$E$30,0))</x:f>
        <x:v>560</x:v>
      </x:c>
      <x:c r="AB270" s="119" t="n">
        <x:f>IF(2&gt;D270,0,MAX(2,MIN('难度参数'!$E$12,ROUND(('难度参数'!$E$18*POWER(A270,'难度参数'!$E$19)/D270*(0.85+0.3*(2-1)/MAX(1,D270-1))),0)+F270)))</x:f>
        <x:v>30</x:v>
      </x:c>
      <x:c r="AC270" s="119" t="n">
        <x:f>IF(2&gt;D270,0,ROUND(('难度参数'!$E$13*POWER(A270,'难度参数'!$E$20)*MIN('难度参数'!$E$23,1+MAX(0,A270-'难度参数'!$E$21)*'难度参数'!$E$22))*(36+2*7)/(36+7*(D270+1)/2)*E270,0))</x:f>
        <x:v>5844</x:v>
      </x:c>
      <x:c r="AD270" s="119" t="n">
        <x:f>IF(AB270=0,0,(AB270-IF(2=D270,1,0))*ROUND(AC270*VLOOKUP(INDEX('章节与怪物'!$E$31:$K$37,B270,2),'章节与怪物'!$A$41:$F$44,2,FALSE),0)+IF(2=D270,ROUND(AC270*'难度参数'!$E$28*'章节与怪物'!$E$17,0),0))</x:f>
        <x:v>175320</x:v>
      </x:c>
      <x:c r="AE270" s="119" t="n">
        <x:f>IF(AB270=0,0,(AB270-IF(2=D270,1,0))*VLOOKUP(INDEX('章节与怪物'!$E$31:$K$37,B270,2),'章节与怪物'!$A$41:$F$44,4,FALSE)+IF(2=D270,'难度参数'!$E$30,0))</x:f>
        <x:v>540</x:v>
      </x:c>
      <x:c r="AF270" s="119" t="n">
        <x:f>IF(3&gt;D270,0,MAX(2,MIN('难度参数'!$E$12,ROUND(('难度参数'!$E$18*POWER(A270,'难度参数'!$E$19)/D270*(0.85+0.3*(3-1)/MAX(1,D270-1))),0)+F270)))</x:f>
        <x:v>32</x:v>
      </x:c>
      <x:c r="AG270" s="119" t="n">
        <x:f>IF(3&gt;D270,0,ROUND(('难度参数'!$E$13*POWER(A270,'难度参数'!$E$20)*MIN('难度参数'!$E$23,1+MAX(0,A270-'难度参数'!$E$21)*'难度参数'!$E$22))*(36+3*7)/(36+7*(D270+1)/2)*E270,0))</x:f>
        <x:v>6662</x:v>
      </x:c>
      <x:c r="AH270" s="119" t="n">
        <x:f>IF(AF270=0,0,(AF270-IF(3=D270,1,0))*ROUND(AG270*VLOOKUP(INDEX('章节与怪物'!$E$31:$K$37,B270,3),'章节与怪物'!$A$41:$F$44,2,FALSE),0)+IF(3=D270,ROUND(AG270*'难度参数'!$E$28*'章节与怪物'!$E$17,0),0))</x:f>
        <x:v>362400</x:v>
      </x:c>
      <x:c r="AI270" s="119" t="n">
        <x:f>IF(AF270=0,0,(AF270-IF(3=D270,1,0))*VLOOKUP(INDEX('章节与怪物'!$E$31:$K$37,B270,3),'章节与怪物'!$A$41:$F$44,4,FALSE)+IF(3=D270,'难度参数'!$E$30,0))</x:f>
        <x:v>896</x:v>
      </x:c>
      <x:c r="AJ270" s="119" t="n">
        <x:f>IF(4&gt;D270,0,MAX(2,MIN('难度参数'!$E$12,ROUND(('难度参数'!$E$18*POWER(A270,'难度参数'!$E$19)/D270*(0.85+0.3*(4-1)/MAX(1,D270-1))),0)+F270)))</x:f>
        <x:v>33</x:v>
      </x:c>
      <x:c r="AK270" s="119" t="n">
        <x:f>IF(4&gt;D270,0,ROUND(('难度参数'!$E$13*POWER(A270,'难度参数'!$E$20)*MIN('难度参数'!$E$23,1+MAX(0,A270-'难度参数'!$E$21)*'难度参数'!$E$22))*(36+4*7)/(36+7*(D270+1)/2)*E270,0))</x:f>
        <x:v>7480</x:v>
      </x:c>
      <x:c r="AL270" s="119" t="n">
        <x:f>IF(AJ270=0,0,(AJ270-IF(4=D270,1,0))*ROUND(AK270*VLOOKUP(INDEX('章节与怪物'!$E$31:$K$37,B270,4),'章节与怪物'!$A$41:$F$44,2,FALSE),0)+IF(4=D270,ROUND(AK270*'难度参数'!$E$28*'章节与怪物'!$E$17,0),0))</x:f>
        <x:v>333234</x:v>
      </x:c>
      <x:c r="AM270" s="119" t="n">
        <x:f>IF(AJ270=0,0,(AJ270-IF(4=D270,1,0))*VLOOKUP(INDEX('章节与怪物'!$E$31:$K$37,B270,4),'章节与怪物'!$A$41:$F$44,4,FALSE)+IF(4=D270,'难度参数'!$E$30,0))</x:f>
        <x:v>1122</x:v>
      </x:c>
      <x:c r="AN270" s="119" t="n">
        <x:f>IF(5&gt;D270,0,MAX(2,MIN('难度参数'!$E$12,ROUND(('难度参数'!$E$18*POWER(A270,'难度参数'!$E$19)/D270*(0.85+0.3*(5-1)/MAX(1,D270-1))),0)+F270)))</x:f>
        <x:v>35</x:v>
      </x:c>
      <x:c r="AO270" s="119" t="n">
        <x:f>IF(5&gt;D270,0,ROUND(('难度参数'!$E$13*POWER(A270,'难度参数'!$E$20)*MIN('难度参数'!$E$23,1+MAX(0,A270-'难度参数'!$E$21)*'难度参数'!$E$22))*(36+5*7)/(36+7*(D270+1)/2)*E270,0))</x:f>
        <x:v>8298</x:v>
      </x:c>
      <x:c r="AP270" s="119" t="n">
        <x:f>IF(AN270=0,0,(AN270-IF(5=D270,1,0))*ROUND(AO270*VLOOKUP(INDEX('章节与怪物'!$E$31:$K$37,B270,5),'章节与怪物'!$A$41:$F$44,2,FALSE),0)+IF(5=D270,ROUND(AO270*'难度参数'!$E$28*'章节与怪物'!$E$17,0),0))</x:f>
        <x:v>290430</x:v>
      </x:c>
      <x:c r="AQ270" s="119" t="n">
        <x:f>IF(AN270=0,0,(AN270-IF(5=D270,1,0))*VLOOKUP(INDEX('章节与怪物'!$E$31:$K$37,B270,5),'章节与怪物'!$A$41:$F$44,4,FALSE)+IF(5=D270,'难度参数'!$E$30,0))</x:f>
        <x:v>630</x:v>
      </x:c>
      <x:c r="AR270" s="119" t="n">
        <x:f>IF(6&gt;D270,0,MAX(2,MIN('难度参数'!$E$12,ROUND(('难度参数'!$E$18*POWER(A270,'难度参数'!$E$19)/D270*(0.85+0.3*(6-1)/MAX(1,D270-1))),0)+F270)))</x:f>
        <x:v>37</x:v>
      </x:c>
      <x:c r="AS270" s="119" t="n">
        <x:f>IF(6&gt;D270,0,ROUND(('难度参数'!$E$13*POWER(A270,'难度参数'!$E$20)*MIN('难度参数'!$E$23,1+MAX(0,A270-'难度参数'!$E$21)*'难度参数'!$E$22))*(36+6*7)/(36+7*(D270+1)/2)*E270,0))</x:f>
        <x:v>9116</x:v>
      </x:c>
      <x:c r="AT270" s="119" t="n">
        <x:f>IF(AR270=0,0,(AR270-IF(6=D270,1,0))*ROUND(AS270*VLOOKUP(INDEX('章节与怪物'!$E$31:$K$37,B270,6),'章节与怪物'!$A$41:$F$44,2,FALSE),0)+IF(6=D270,ROUND(AS270*'难度参数'!$E$28*'章节与怪物'!$E$17,0),0))</x:f>
        <x:v>242868</x:v>
      </x:c>
      <x:c r="AU270" s="119" t="n">
        <x:f>IF(AR270=0,0,(AR270-IF(6=D270,1,0))*VLOOKUP(INDEX('章节与怪物'!$E$31:$K$37,B270,6),'章节与怪物'!$A$41:$F$44,4,FALSE)+IF(6=D270,'难度参数'!$E$30,0))</x:f>
        <x:v>740</x:v>
      </x:c>
      <x:c r="AV270" s="119" t="n">
        <x:f>IF(7&gt;D270,0,MAX(2,MIN('难度参数'!$E$12,ROUND(('难度参数'!$E$18*POWER(A270,'难度参数'!$E$19)/D270*(0.85+0.3*(7-1)/MAX(1,D270-1))),0)+F270)))</x:f>
        <x:v>38</x:v>
      </x:c>
      <x:c r="AW270" s="119" t="n">
        <x:f>IF(7&gt;D270,0,ROUND(('难度参数'!$E$13*POWER(A270,'难度参数'!$E$20)*MIN('难度参数'!$E$23,1+MAX(0,A270-'难度参数'!$E$21)*'难度参数'!$E$22))*(36+7*7)/(36+7*(D270+1)/2)*E270,0))</x:f>
        <x:v>9934</x:v>
      </x:c>
      <x:c r="AX270" s="119" t="n">
        <x:f>IF(AV270=0,0,(AV270-IF(7=D270,1,0))*ROUND(AW270*VLOOKUP(INDEX('章节与怪物'!$E$31:$K$37,B270,7),'章节与怪物'!$A$41:$F$44,2,FALSE),0)+IF(7=D270,ROUND(AW270*'难度参数'!$E$28*'章节与怪物'!$E$17,0),0))</x:f>
        <x:v>563758</x:v>
      </x:c>
      <x:c r="AY270" s="119" t="n">
        <x:f>IF(AV270=0,0,(AV270-IF(7=D270,1,0))*VLOOKUP(INDEX('章节与怪物'!$E$31:$K$37,B270,7),'章节与怪物'!$A$41:$F$44,4,FALSE)+IF(7=D270,'难度参数'!$E$30,0))</x:f>
        <x:v>1458</x:v>
      </x:c>
    </x:row>
    <x:row r="271" ht="23" customHeight="1">
      <x:c r="A271" s="119" t="n">
        <x:v>265</x:v>
      </x:c>
      <x:c r="B271" s="119" t="n">
        <x:f>MOD(INT((A271-1)/5),7)+1</x:f>
        <x:v>4</x:v>
      </x:c>
      <x:c r="C271" s="62" t="str">
        <x:f>INDEX('章节与怪物'!$B$31:$B$37,B271)</x:f>
        <x:v>翠野边城</x:v>
      </x:c>
      <x:c r="D271" s="119" t="n">
        <x:f>MIN('难度参数'!$E$8,MAX('难度参数'!$E$7,A271))</x:f>
        <x:v>7</x:v>
      </x:c>
      <x:c r="E271" s="106" t="n">
        <x:v>1</x:v>
      </x:c>
      <x:c r="F271" s="106" t="n">
        <x:v>0</x:v>
      </x:c>
      <x:c r="G271" s="106" t="n">
        <x:v>1</x:v>
      </x:c>
      <x:c r="H271" s="119" t="n">
        <x:f>SUM(X271,AB271,AF271,AJ271,AN271,AR271,AV271)</x:f>
        <x:v>233</x:v>
      </x:c>
      <x:c r="I271" s="119" t="n">
        <x:f>SUM(Z271,AD271,AH271,AL271,AP271,AT271,AX271)</x:f>
        <x:v>2074909</x:v>
      </x:c>
      <x:c r="J271" s="119" t="n">
        <x:f>ROUND(INDEX(X271:AY271,1,(D271-1)*4+2)*'难度参数'!$E$28*'章节与怪物'!$E$17,0)</x:f>
        <x:v>67735</x:v>
      </x:c>
      <x:c r="K271" s="119" t="n">
        <x:f>SUM(AA271,AE271,AI271,AM271,AQ271,AU271,AY271)</x:f>
        <x:v>5946</x:v>
      </x:c>
      <x:c r="L271" s="62" t="n">
        <x:f>H271*(ROUNDUP('难度参数'!$E$24/('难度参数'!$E$26*'难度参数'!$E$27),0)*'难度参数'!$E$26)/60</x:f>
        <x:v>3.106666666666667</x:v>
      </x:c>
      <x:c r="M271" s="62" t="n">
        <x:f>L271+D271*('难度参数'!$E$49+'难度参数'!$E$50)/60</x:f>
        <x:v>4.273333333333333</x:v>
      </x:c>
      <x:c r="N271" s="119" t="n">
        <x:f>ROUNDDOWN(('经济参数'!$E$20+A271*'经济参数'!$E$21)*G271,0)</x:f>
        <x:v>5480</x:v>
      </x:c>
      <x:c r="O271" s="119" t="n">
        <x:f>ROUNDDOWN(MIN('经济参数'!$E$24,'经济参数'!$E$22+A271*'经济参数'!$E$23)*G271,0)</x:f>
        <x:v>0</x:v>
      </x:c>
      <x:c r="P271" s="119" t="n">
        <x:f>ROUNDDOWN((IF(A271&gt;='材料与任务'!$E$31,'材料与任务'!$E$32,IF(A271&gt;='材料与任务'!$E$25,'材料与任务'!$E$26,IF(A271&gt;='材料与任务'!$E$19,'材料与任务'!$E$20,IF(A271&gt;='材料与任务'!$E$13,'材料与任务'!$E$14,'材料与任务'!$E$8)))))*G271,0)</x:f>
        <x:v>6</x:v>
      </x:c>
      <x:c r="Q271" s="119" t="n">
        <x:f>ROUNDDOWN((IF(A271&gt;='材料与任务'!$E$31,'材料与任务'!$E$33,IF(A271&gt;='材料与任务'!$E$25,'材料与任务'!$E$27,IF(A271&gt;='材料与任务'!$E$19,'材料与任务'!$E$21,IF(A271&gt;='材料与任务'!$E$13,'材料与任务'!$E$15,'材料与任务'!$E$9)))))*G271,0)</x:f>
        <x:v>3</x:v>
      </x:c>
      <x:c r="R271" s="110" t="n">
        <x:f>'装备掉落'!$B$38</x:f>
        <x:v>0.6872058758851213</x:v>
      </x:c>
      <x:c r="S271" s="119" t="n">
        <x:f>MAX(IF(VLOOKUP(A271,'装备掉落'!$A$29:$H$34,2,TRUE)&gt;0,1,0),IF(VLOOKUP(A271,'装备掉落'!$A$29:$H$34,3,TRUE)&gt;0,2,0),IF(VLOOKUP(A271,'装备掉落'!$A$29:$H$34,4,TRUE)&gt;0,3,0),IF(VLOOKUP(A271,'装备掉落'!$A$29:$H$34,5,TRUE)&gt;0,4,0),IF(VLOOKUP(A271,'装备掉落'!$A$29:$H$34,6,TRUE)&gt;0,5,0),IF(VLOOKUP(A271,'装备掉落'!$A$29:$H$34,7,TRUE)&gt;0,6,0),IF(VLOOKUP(A271,'装备掉落'!$A$29:$H$34,8,TRUE)&gt;0,7,0))</x:f>
        <x:v>7</x:v>
      </x:c>
      <x:c r="T271" s="119" t="n">
        <x:f>MIN(7,S271+'经济参数'!$E$70)</x:f>
        <x:v>7</x:v>
      </x:c>
      <x:c r="U271" s="119" t="n">
        <x:f>MIN(7,S271+'经济参数'!$E$71)</x:f>
        <x:v>7</x:v>
      </x:c>
      <x:c r="V271" s="119" t="n">
        <x:f>IF(H271&gt;=('难度参数'!$E$52),1,0)+IF(H271&gt;=('难度参数'!$E$52+'难度参数'!$E$53),1,0)+IF(H271&gt;=('难度参数'!$E$52+'难度参数'!$E$53+'难度参数'!$E$54),1,0)+IF(H271&gt;=('难度参数'!$E$52+'难度参数'!$E$53+'难度参数'!$E$54+'难度参数'!$E$55),1,0)+IF(H271&gt;=('难度参数'!$E$52+'难度参数'!$E$53+'难度参数'!$E$54+'难度参数'!$E$55+'难度参数'!$E$56),1,0)+IF(H271&gt;=('难度参数'!$E$52+'难度参数'!$E$53+'难度参数'!$E$54+'难度参数'!$E$55+'难度参数'!$E$56+'难度参数'!$E$57),1,0)</x:f>
        <x:v>6</x:v>
      </x:c>
      <x:c r="W271" s="62" t="str">
        <x:f>IF(L271&gt;'难度参数'!$E$51,"仅出怪已超目标","还需实测")</x:f>
        <x:v>仅出怪已超目标</x:v>
      </x:c>
      <x:c r="X271" s="119" t="n">
        <x:f>IF(1&gt;D271,0,MAX(2,MIN('难度参数'!$E$12,ROUND(('难度参数'!$E$18*POWER(A271,'难度参数'!$E$19)/D271*(0.85+0.3*(1-1)/MAX(1,D271-1))),0)+F271)))</x:f>
        <x:v>28</x:v>
      </x:c>
      <x:c r="Y271" s="119" t="n">
        <x:f>IF(1&gt;D271,0,ROUND(('难度参数'!$E$13*POWER(A271,'难度参数'!$E$20)*MIN('难度参数'!$E$23,1+MAX(0,A271-'难度参数'!$E$21)*'难度参数'!$E$22))*(36+1*7)/(36+7*(D271+1)/2)*E271,0))</x:f>
        <x:v>5039</x:v>
      </x:c>
      <x:c r="Z271" s="119" t="n">
        <x:f>IF(X271=0,0,(X271-IF(1=D271,1,0))*ROUND(Y271*VLOOKUP(INDEX('章节与怪物'!$E$31:$K$37,B271,1),'章节与怪物'!$A$41:$F$44,2,FALSE),0)+IF(1=D271,ROUND(Y271*'难度参数'!$E$28*'章节与怪物'!$E$17,0),0))</x:f>
        <x:v>101584</x:v>
      </x:c>
      <x:c r="AA271" s="119" t="n">
        <x:f>IF(X271=0,0,(X271-IF(1=D271,1,0))*VLOOKUP(INDEX('章节与怪物'!$E$31:$K$37,B271,1),'章节与怪物'!$A$41:$F$44,4,FALSE)+IF(1=D271,'难度参数'!$E$30,0))</x:f>
        <x:v>560</x:v>
      </x:c>
      <x:c r="AB271" s="119" t="n">
        <x:f>IF(2&gt;D271,0,MAX(2,MIN('难度参数'!$E$12,ROUND(('难度参数'!$E$18*POWER(A271,'难度参数'!$E$19)/D271*(0.85+0.3*(2-1)/MAX(1,D271-1))),0)+F271)))</x:f>
        <x:v>30</x:v>
      </x:c>
      <x:c r="AC271" s="119" t="n">
        <x:f>IF(2&gt;D271,0,ROUND(('难度参数'!$E$13*POWER(A271,'难度参数'!$E$20)*MIN('难度参数'!$E$23,1+MAX(0,A271-'难度参数'!$E$21)*'难度参数'!$E$22))*(36+2*7)/(36+7*(D271+1)/2)*E271,0))</x:f>
        <x:v>5860</x:v>
      </x:c>
      <x:c r="AD271" s="119" t="n">
        <x:f>IF(AB271=0,0,(AB271-IF(2=D271,1,0))*ROUND(AC271*VLOOKUP(INDEX('章节与怪物'!$E$31:$K$37,B271,2),'章节与怪物'!$A$41:$F$44,2,FALSE),0)+IF(2=D271,ROUND(AC271*'难度参数'!$E$28*'章节与怪物'!$E$17,0),0))</x:f>
        <x:v>175800</x:v>
      </x:c>
      <x:c r="AE271" s="119" t="n">
        <x:f>IF(AB271=0,0,(AB271-IF(2=D271,1,0))*VLOOKUP(INDEX('章节与怪物'!$E$31:$K$37,B271,2),'章节与怪物'!$A$41:$F$44,4,FALSE)+IF(2=D271,'难度参数'!$E$30,0))</x:f>
        <x:v>540</x:v>
      </x:c>
      <x:c r="AF271" s="119" t="n">
        <x:f>IF(3&gt;D271,0,MAX(2,MIN('难度参数'!$E$12,ROUND(('难度参数'!$E$18*POWER(A271,'难度参数'!$E$19)/D271*(0.85+0.3*(3-1)/MAX(1,D271-1))),0)+F271)))</x:f>
        <x:v>32</x:v>
      </x:c>
      <x:c r="AG271" s="119" t="n">
        <x:f>IF(3&gt;D271,0,ROUND(('难度参数'!$E$13*POWER(A271,'难度参数'!$E$20)*MIN('难度参数'!$E$23,1+MAX(0,A271-'难度参数'!$E$21)*'难度参数'!$E$22))*(36+3*7)/(36+7*(D271+1)/2)*E271,0))</x:f>
        <x:v>6680</x:v>
      </x:c>
      <x:c r="AH271" s="119" t="n">
        <x:f>IF(AF271=0,0,(AF271-IF(3=D271,1,0))*ROUND(AG271*VLOOKUP(INDEX('章节与怪物'!$E$31:$K$37,B271,3),'章节与怪物'!$A$41:$F$44,2,FALSE),0)+IF(3=D271,ROUND(AG271*'难度参数'!$E$28*'章节与怪物'!$E$17,0),0))</x:f>
        <x:v>363392</x:v>
      </x:c>
      <x:c r="AI271" s="119" t="n">
        <x:f>IF(AF271=0,0,(AF271-IF(3=D271,1,0))*VLOOKUP(INDEX('章节与怪物'!$E$31:$K$37,B271,3),'章节与怪物'!$A$41:$F$44,4,FALSE)+IF(3=D271,'难度参数'!$E$30,0))</x:f>
        <x:v>896</x:v>
      </x:c>
      <x:c r="AJ271" s="119" t="n">
        <x:f>IF(4&gt;D271,0,MAX(2,MIN('难度参数'!$E$12,ROUND(('难度参数'!$E$18*POWER(A271,'难度参数'!$E$19)/D271*(0.85+0.3*(4-1)/MAX(1,D271-1))),0)+F271)))</x:f>
        <x:v>33</x:v>
      </x:c>
      <x:c r="AK271" s="119" t="n">
        <x:f>IF(4&gt;D271,0,ROUND(('难度参数'!$E$13*POWER(A271,'难度参数'!$E$20)*MIN('难度参数'!$E$23,1+MAX(0,A271-'难度参数'!$E$21)*'难度参数'!$E$22))*(36+4*7)/(36+7*(D271+1)/2)*E271,0))</x:f>
        <x:v>7500</x:v>
      </x:c>
      <x:c r="AL271" s="119" t="n">
        <x:f>IF(AJ271=0,0,(AJ271-IF(4=D271,1,0))*ROUND(AK271*VLOOKUP(INDEX('章节与怪物'!$E$31:$K$37,B271,4),'章节与怪物'!$A$41:$F$44,2,FALSE),0)+IF(4=D271,ROUND(AK271*'难度参数'!$E$28*'章节与怪物'!$E$17,0),0))</x:f>
        <x:v>334125</x:v>
      </x:c>
      <x:c r="AM271" s="119" t="n">
        <x:f>IF(AJ271=0,0,(AJ271-IF(4=D271,1,0))*VLOOKUP(INDEX('章节与怪物'!$E$31:$K$37,B271,4),'章节与怪物'!$A$41:$F$44,4,FALSE)+IF(4=D271,'难度参数'!$E$30,0))</x:f>
        <x:v>1122</x:v>
      </x:c>
      <x:c r="AN271" s="119" t="n">
        <x:f>IF(5&gt;D271,0,MAX(2,MIN('难度参数'!$E$12,ROUND(('难度参数'!$E$18*POWER(A271,'难度参数'!$E$19)/D271*(0.85+0.3*(5-1)/MAX(1,D271-1))),0)+F271)))</x:f>
        <x:v>35</x:v>
      </x:c>
      <x:c r="AO271" s="119" t="n">
        <x:f>IF(5&gt;D271,0,ROUND(('难度参数'!$E$13*POWER(A271,'难度参数'!$E$20)*MIN('难度参数'!$E$23,1+MAX(0,A271-'难度参数'!$E$21)*'难度参数'!$E$22))*(36+5*7)/(36+7*(D271+1)/2)*E271,0))</x:f>
        <x:v>8320</x:v>
      </x:c>
      <x:c r="AP271" s="119" t="n">
        <x:f>IF(AN271=0,0,(AN271-IF(5=D271,1,0))*ROUND(AO271*VLOOKUP(INDEX('章节与怪物'!$E$31:$K$37,B271,5),'章节与怪物'!$A$41:$F$44,2,FALSE),0)+IF(5=D271,ROUND(AO271*'难度参数'!$E$28*'章节与怪物'!$E$17,0),0))</x:f>
        <x:v>291200</x:v>
      </x:c>
      <x:c r="AQ271" s="119" t="n">
        <x:f>IF(AN271=0,0,(AN271-IF(5=D271,1,0))*VLOOKUP(INDEX('章节与怪物'!$E$31:$K$37,B271,5),'章节与怪物'!$A$41:$F$44,4,FALSE)+IF(5=D271,'难度参数'!$E$30,0))</x:f>
        <x:v>630</x:v>
      </x:c>
      <x:c r="AR271" s="119" t="n">
        <x:f>IF(6&gt;D271,0,MAX(2,MIN('难度参数'!$E$12,ROUND(('难度参数'!$E$18*POWER(A271,'难度参数'!$E$19)/D271*(0.85+0.3*(6-1)/MAX(1,D271-1))),0)+F271)))</x:f>
        <x:v>37</x:v>
      </x:c>
      <x:c r="AS271" s="119" t="n">
        <x:f>IF(6&gt;D271,0,ROUND(('难度参数'!$E$13*POWER(A271,'难度参数'!$E$20)*MIN('难度参数'!$E$23,1+MAX(0,A271-'难度参数'!$E$21)*'难度参数'!$E$22))*(36+6*7)/(36+7*(D271+1)/2)*E271,0))</x:f>
        <x:v>9141</x:v>
      </x:c>
      <x:c r="AT271" s="119" t="n">
        <x:f>IF(AR271=0,0,(AR271-IF(6=D271,1,0))*ROUND(AS271*VLOOKUP(INDEX('章节与怪物'!$E$31:$K$37,B271,6),'章节与怪物'!$A$41:$F$44,2,FALSE),0)+IF(6=D271,ROUND(AS271*'难度参数'!$E$28*'章节与怪物'!$E$17,0),0))</x:f>
        <x:v>243534</x:v>
      </x:c>
      <x:c r="AU271" s="119" t="n">
        <x:f>IF(AR271=0,0,(AR271-IF(6=D271,1,0))*VLOOKUP(INDEX('章节与怪物'!$E$31:$K$37,B271,6),'章节与怪物'!$A$41:$F$44,4,FALSE)+IF(6=D271,'难度参数'!$E$30,0))</x:f>
        <x:v>740</x:v>
      </x:c>
      <x:c r="AV271" s="119" t="n">
        <x:f>IF(7&gt;D271,0,MAX(2,MIN('难度参数'!$E$12,ROUND(('难度参数'!$E$18*POWER(A271,'难度参数'!$E$19)/D271*(0.85+0.3*(7-1)/MAX(1,D271-1))),0)+F271)))</x:f>
        <x:v>38</x:v>
      </x:c>
      <x:c r="AW271" s="119" t="n">
        <x:f>IF(7&gt;D271,0,ROUND(('难度参数'!$E$13*POWER(A271,'难度参数'!$E$20)*MIN('难度参数'!$E$23,1+MAX(0,A271-'难度参数'!$E$21)*'难度参数'!$E$22))*(36+7*7)/(36+7*(D271+1)/2)*E271,0))</x:f>
        <x:v>9961</x:v>
      </x:c>
      <x:c r="AX271" s="119" t="n">
        <x:f>IF(AV271=0,0,(AV271-IF(7=D271,1,0))*ROUND(AW271*VLOOKUP(INDEX('章节与怪物'!$E$31:$K$37,B271,7),'章节与怪物'!$A$41:$F$44,2,FALSE),0)+IF(7=D271,ROUND(AW271*'难度参数'!$E$28*'章节与怪物'!$E$17,0),0))</x:f>
        <x:v>565274</x:v>
      </x:c>
      <x:c r="AY271" s="119" t="n">
        <x:f>IF(AV271=0,0,(AV271-IF(7=D271,1,0))*VLOOKUP(INDEX('章节与怪物'!$E$31:$K$37,B271,7),'章节与怪物'!$A$41:$F$44,4,FALSE)+IF(7=D271,'难度参数'!$E$30,0))</x:f>
        <x:v>1458</x:v>
      </x:c>
    </x:row>
    <x:row r="272" ht="23" customHeight="1">
      <x:c r="A272" s="119" t="n">
        <x:v>266</x:v>
      </x:c>
      <x:c r="B272" s="119" t="n">
        <x:f>MOD(INT((A272-1)/5),7)+1</x:f>
        <x:v>5</x:v>
      </x:c>
      <x:c r="C272" s="62" t="str">
        <x:f>INDEX('章节与怪物'!$B$31:$B$37,B272)</x:f>
        <x:v>雨林遗迹</x:v>
      </x:c>
      <x:c r="D272" s="119" t="n">
        <x:f>MIN('难度参数'!$E$8,MAX('难度参数'!$E$7,A272))</x:f>
        <x:v>7</x:v>
      </x:c>
      <x:c r="E272" s="106" t="n">
        <x:v>1</x:v>
      </x:c>
      <x:c r="F272" s="106" t="n">
        <x:v>0</x:v>
      </x:c>
      <x:c r="G272" s="106" t="n">
        <x:v>1</x:v>
      </x:c>
      <x:c r="H272" s="119" t="n">
        <x:f>SUM(X272,AB272,AF272,AJ272,AN272,AR272,AV272)</x:f>
        <x:v>233</x:v>
      </x:c>
      <x:c r="I272" s="119" t="n">
        <x:f>SUM(Z272,AD272,AH272,AL272,AP272,AT272,AX272)</x:f>
        <x:v>2321422</x:v>
      </x:c>
      <x:c r="J272" s="119" t="n">
        <x:f>ROUND(INDEX(X272:AY272,1,(D272-1)*4+2)*'难度参数'!$E$28*'章节与怪物'!$E$17,0)</x:f>
        <x:v>67918</x:v>
      </x:c>
      <x:c r="K272" s="119" t="n">
        <x:f>SUM(AA272,AE272,AI272,AM272,AQ272,AU272,AY272)</x:f>
        <x:v>6316</x:v>
      </x:c>
      <x:c r="L272" s="62" t="n">
        <x:f>H272*(ROUNDUP('难度参数'!$E$24/('难度参数'!$E$26*'难度参数'!$E$27),0)*'难度参数'!$E$26)/60</x:f>
        <x:v>3.106666666666667</x:v>
      </x:c>
      <x:c r="M272" s="62" t="n">
        <x:f>L272+D272*('难度参数'!$E$49+'难度参数'!$E$50)/60</x:f>
        <x:v>4.273333333333333</x:v>
      </x:c>
      <x:c r="N272" s="119" t="n">
        <x:f>ROUNDDOWN(('经济参数'!$E$20+A272*'经济参数'!$E$21)*G272,0)</x:f>
        <x:v>5500</x:v>
      </x:c>
      <x:c r="O272" s="119" t="n">
        <x:f>ROUNDDOWN(MIN('经济参数'!$E$24,'经济参数'!$E$22+A272*'经济参数'!$E$23)*G272,0)</x:f>
        <x:v>0</x:v>
      </x:c>
      <x:c r="P272" s="119" t="n">
        <x:f>ROUNDDOWN((IF(A272&gt;='材料与任务'!$E$31,'材料与任务'!$E$32,IF(A272&gt;='材料与任务'!$E$25,'材料与任务'!$E$26,IF(A272&gt;='材料与任务'!$E$19,'材料与任务'!$E$20,IF(A272&gt;='材料与任务'!$E$13,'材料与任务'!$E$14,'材料与任务'!$E$8)))))*G272,0)</x:f>
        <x:v>6</x:v>
      </x:c>
      <x:c r="Q272" s="119" t="n">
        <x:f>ROUNDDOWN((IF(A272&gt;='材料与任务'!$E$31,'材料与任务'!$E$33,IF(A272&gt;='材料与任务'!$E$25,'材料与任务'!$E$27,IF(A272&gt;='材料与任务'!$E$19,'材料与任务'!$E$21,IF(A272&gt;='材料与任务'!$E$13,'材料与任务'!$E$15,'材料与任务'!$E$9)))))*G272,0)</x:f>
        <x:v>3</x:v>
      </x:c>
      <x:c r="R272" s="110" t="n">
        <x:f>'装备掉落'!$B$38</x:f>
        <x:v>0.6872058758851213</x:v>
      </x:c>
      <x:c r="S272" s="119" t="n">
        <x:f>MAX(IF(VLOOKUP(A272,'装备掉落'!$A$29:$H$34,2,TRUE)&gt;0,1,0),IF(VLOOKUP(A272,'装备掉落'!$A$29:$H$34,3,TRUE)&gt;0,2,0),IF(VLOOKUP(A272,'装备掉落'!$A$29:$H$34,4,TRUE)&gt;0,3,0),IF(VLOOKUP(A272,'装备掉落'!$A$29:$H$34,5,TRUE)&gt;0,4,0),IF(VLOOKUP(A272,'装备掉落'!$A$29:$H$34,6,TRUE)&gt;0,5,0),IF(VLOOKUP(A272,'装备掉落'!$A$29:$H$34,7,TRUE)&gt;0,6,0),IF(VLOOKUP(A272,'装备掉落'!$A$29:$H$34,8,TRUE)&gt;0,7,0))</x:f>
        <x:v>7</x:v>
      </x:c>
      <x:c r="T272" s="119" t="n">
        <x:f>MIN(7,S272+'经济参数'!$E$70)</x:f>
        <x:v>7</x:v>
      </x:c>
      <x:c r="U272" s="119" t="n">
        <x:f>MIN(7,S272+'经济参数'!$E$71)</x:f>
        <x:v>7</x:v>
      </x:c>
      <x:c r="V272" s="119" t="n">
        <x:f>IF(H272&gt;=('难度参数'!$E$52),1,0)+IF(H272&gt;=('难度参数'!$E$52+'难度参数'!$E$53),1,0)+IF(H272&gt;=('难度参数'!$E$52+'难度参数'!$E$53+'难度参数'!$E$54),1,0)+IF(H272&gt;=('难度参数'!$E$52+'难度参数'!$E$53+'难度参数'!$E$54+'难度参数'!$E$55),1,0)+IF(H272&gt;=('难度参数'!$E$52+'难度参数'!$E$53+'难度参数'!$E$54+'难度参数'!$E$55+'难度参数'!$E$56),1,0)+IF(H272&gt;=('难度参数'!$E$52+'难度参数'!$E$53+'难度参数'!$E$54+'难度参数'!$E$55+'难度参数'!$E$56+'难度参数'!$E$57),1,0)</x:f>
        <x:v>6</x:v>
      </x:c>
      <x:c r="W272" s="62" t="str">
        <x:f>IF(L272&gt;'难度参数'!$E$51,"仅出怪已超目标","还需实测")</x:f>
        <x:v>仅出怪已超目标</x:v>
      </x:c>
      <x:c r="X272" s="119" t="n">
        <x:f>IF(1&gt;D272,0,MAX(2,MIN('难度参数'!$E$12,ROUND(('难度参数'!$E$18*POWER(A272,'难度参数'!$E$19)/D272*(0.85+0.3*(1-1)/MAX(1,D272-1))),0)+F272)))</x:f>
        <x:v>28</x:v>
      </x:c>
      <x:c r="Y272" s="119" t="n">
        <x:f>IF(1&gt;D272,0,ROUND(('难度参数'!$E$13*POWER(A272,'难度参数'!$E$20)*MIN('难度参数'!$E$23,1+MAX(0,A272-'难度参数'!$E$21)*'难度参数'!$E$22))*(36+1*7)/(36+7*(D272+1)/2)*E272,0))</x:f>
        <x:v>5053</x:v>
      </x:c>
      <x:c r="Z272" s="119" t="n">
        <x:f>IF(X272=0,0,(X272-IF(1=D272,1,0))*ROUND(Y272*VLOOKUP(INDEX('章节与怪物'!$E$31:$K$37,B272,1),'章节与怪物'!$A$41:$F$44,2,FALSE),0)+IF(1=D272,ROUND(Y272*'难度参数'!$E$28*'章节与怪物'!$E$17,0),0))</x:f>
        <x:v>141484</x:v>
      </x:c>
      <x:c r="AA272" s="119" t="n">
        <x:f>IF(X272=0,0,(X272-IF(1=D272,1,0))*VLOOKUP(INDEX('章节与怪物'!$E$31:$K$37,B272,1),'章节与怪物'!$A$41:$F$44,4,FALSE)+IF(1=D272,'难度参数'!$E$30,0))</x:f>
        <x:v>504</x:v>
      </x:c>
      <x:c r="AB272" s="119" t="n">
        <x:f>IF(2&gt;D272,0,MAX(2,MIN('难度参数'!$E$12,ROUND(('难度参数'!$E$18*POWER(A272,'难度参数'!$E$19)/D272*(0.85+0.3*(2-1)/MAX(1,D272-1))),0)+F272)))</x:f>
        <x:v>30</x:v>
      </x:c>
      <x:c r="AC272" s="119" t="n">
        <x:f>IF(2&gt;D272,0,ROUND(('难度参数'!$E$13*POWER(A272,'难度参数'!$E$20)*MIN('难度参数'!$E$23,1+MAX(0,A272-'难度参数'!$E$21)*'难度参数'!$E$22))*(36+2*7)/(36+7*(D272+1)/2)*E272,0))</x:f>
        <x:v>5875</x:v>
      </x:c>
      <x:c r="AD272" s="119" t="n">
        <x:f>IF(AB272=0,0,(AB272-IF(2=D272,1,0))*ROUND(AC272*VLOOKUP(INDEX('章节与怪物'!$E$31:$K$37,B272,2),'章节与怪物'!$A$41:$F$44,2,FALSE),0)+IF(2=D272,ROUND(AC272*'难度参数'!$E$28*'章节与怪物'!$E$17,0),0))</x:f>
        <x:v>126900</x:v>
      </x:c>
      <x:c r="AE272" s="119" t="n">
        <x:f>IF(AB272=0,0,(AB272-IF(2=D272,1,0))*VLOOKUP(INDEX('章节与怪物'!$E$31:$K$37,B272,2),'章节与怪物'!$A$41:$F$44,4,FALSE)+IF(2=D272,'难度参数'!$E$30,0))</x:f>
        <x:v>600</x:v>
      </x:c>
      <x:c r="AF272" s="119" t="n">
        <x:f>IF(3&gt;D272,0,MAX(2,MIN('难度参数'!$E$12,ROUND(('难度参数'!$E$18*POWER(A272,'难度参数'!$E$19)/D272*(0.85+0.3*(3-1)/MAX(1,D272-1))),0)+F272)))</x:f>
        <x:v>32</x:v>
      </x:c>
      <x:c r="AG272" s="119" t="n">
        <x:f>IF(3&gt;D272,0,ROUND(('难度参数'!$E$13*POWER(A272,'难度参数'!$E$20)*MIN('难度参数'!$E$23,1+MAX(0,A272-'难度参数'!$E$21)*'难度参数'!$E$22))*(36+3*7)/(36+7*(D272+1)/2)*E272,0))</x:f>
        <x:v>6698</x:v>
      </x:c>
      <x:c r="AH272" s="119" t="n">
        <x:f>IF(AF272=0,0,(AF272-IF(3=D272,1,0))*ROUND(AG272*VLOOKUP(INDEX('章节与怪物'!$E$31:$K$37,B272,3),'章节与怪物'!$A$41:$F$44,2,FALSE),0)+IF(3=D272,ROUND(AG272*'难度参数'!$E$28*'章节与怪物'!$E$17,0),0))</x:f>
        <x:v>364384</x:v>
      </x:c>
      <x:c r="AI272" s="119" t="n">
        <x:f>IF(AF272=0,0,(AF272-IF(3=D272,1,0))*VLOOKUP(INDEX('章节与怪物'!$E$31:$K$37,B272,3),'章节与怪物'!$A$41:$F$44,4,FALSE)+IF(3=D272,'难度参数'!$E$30,0))</x:f>
        <x:v>896</x:v>
      </x:c>
      <x:c r="AJ272" s="119" t="n">
        <x:f>IF(4&gt;D272,0,MAX(2,MIN('难度参数'!$E$12,ROUND(('难度参数'!$E$18*POWER(A272,'难度参数'!$E$19)/D272*(0.85+0.3*(4-1)/MAX(1,D272-1))),0)+F272)))</x:f>
        <x:v>33</x:v>
      </x:c>
      <x:c r="AK272" s="119" t="n">
        <x:f>IF(4&gt;D272,0,ROUND(('难度参数'!$E$13*POWER(A272,'难度参数'!$E$20)*MIN('难度参数'!$E$23,1+MAX(0,A272-'难度参数'!$E$21)*'难度参数'!$E$22))*(36+4*7)/(36+7*(D272+1)/2)*E272,0))</x:f>
        <x:v>7521</x:v>
      </x:c>
      <x:c r="AL272" s="119" t="n">
        <x:f>IF(AJ272=0,0,(AJ272-IF(4=D272,1,0))*ROUND(AK272*VLOOKUP(INDEX('章节与怪物'!$E$31:$K$37,B272,4),'章节与怪物'!$A$41:$F$44,2,FALSE),0)+IF(4=D272,ROUND(AK272*'难度参数'!$E$28*'章节与怪物'!$E$17,0),0))</x:f>
        <x:v>335049</x:v>
      </x:c>
      <x:c r="AM272" s="119" t="n">
        <x:f>IF(AJ272=0,0,(AJ272-IF(4=D272,1,0))*VLOOKUP(INDEX('章节与怪物'!$E$31:$K$37,B272,4),'章节与怪物'!$A$41:$F$44,4,FALSE)+IF(4=D272,'难度参数'!$E$30,0))</x:f>
        <x:v>1122</x:v>
      </x:c>
      <x:c r="AN272" s="119" t="n">
        <x:f>IF(5&gt;D272,0,MAX(2,MIN('难度参数'!$E$12,ROUND(('难度参数'!$E$18*POWER(A272,'难度参数'!$E$19)/D272*(0.85+0.3*(5-1)/MAX(1,D272-1))),0)+F272)))</x:f>
        <x:v>35</x:v>
      </x:c>
      <x:c r="AO272" s="119" t="n">
        <x:f>IF(5&gt;D272,0,ROUND(('难度参数'!$E$13*POWER(A272,'难度参数'!$E$20)*MIN('难度参数'!$E$23,1+MAX(0,A272-'难度参数'!$E$21)*'难度参数'!$E$22))*(36+5*7)/(36+7*(D272+1)/2)*E272,0))</x:f>
        <x:v>8343</x:v>
      </x:c>
      <x:c r="AP272" s="119" t="n">
        <x:f>IF(AN272=0,0,(AN272-IF(5=D272,1,0))*ROUND(AO272*VLOOKUP(INDEX('章节与怪物'!$E$31:$K$37,B272,5),'章节与怪物'!$A$41:$F$44,2,FALSE),0)+IF(5=D272,ROUND(AO272*'难度参数'!$E$28*'章节与怪物'!$E$17,0),0))</x:f>
        <x:v>210245</x:v>
      </x:c>
      <x:c r="AQ272" s="119" t="n">
        <x:f>IF(AN272=0,0,(AN272-IF(5=D272,1,0))*VLOOKUP(INDEX('章节与怪物'!$E$31:$K$37,B272,5),'章节与怪物'!$A$41:$F$44,4,FALSE)+IF(5=D272,'难度参数'!$E$30,0))</x:f>
        <x:v>700</x:v>
      </x:c>
      <x:c r="AR272" s="119" t="n">
        <x:f>IF(6&gt;D272,0,MAX(2,MIN('难度参数'!$E$12,ROUND(('难度参数'!$E$18*POWER(A272,'难度参数'!$E$19)/D272*(0.85+0.3*(6-1)/MAX(1,D272-1))),0)+F272)))</x:f>
        <x:v>37</x:v>
      </x:c>
      <x:c r="AS272" s="119" t="n">
        <x:f>IF(6&gt;D272,0,ROUND(('难度参数'!$E$13*POWER(A272,'难度参数'!$E$20)*MIN('难度参数'!$E$23,1+MAX(0,A272-'难度参数'!$E$21)*'难度参数'!$E$22))*(36+6*7)/(36+7*(D272+1)/2)*E272,0))</x:f>
        <x:v>9166</x:v>
      </x:c>
      <x:c r="AT272" s="119" t="n">
        <x:f>IF(AR272=0,0,(AR272-IF(6=D272,1,0))*ROUND(AS272*VLOOKUP(INDEX('章节与怪物'!$E$31:$K$37,B272,6),'章节与怪物'!$A$41:$F$44,2,FALSE),0)+IF(6=D272,ROUND(AS272*'难度参数'!$E$28*'章节与怪物'!$E$17,0),0))</x:f>
        <x:v>576534</x:v>
      </x:c>
      <x:c r="AU272" s="119" t="n">
        <x:f>IF(AR272=0,0,(AR272-IF(6=D272,1,0))*VLOOKUP(INDEX('章节与怪物'!$E$31:$K$37,B272,6),'章节与怪物'!$A$41:$F$44,4,FALSE)+IF(6=D272,'难度参数'!$E$30,0))</x:f>
        <x:v>1036</x:v>
      </x:c>
      <x:c r="AV272" s="119" t="n">
        <x:f>IF(7&gt;D272,0,MAX(2,MIN('难度参数'!$E$12,ROUND(('难度参数'!$E$18*POWER(A272,'难度参数'!$E$19)/D272*(0.85+0.3*(7-1)/MAX(1,D272-1))),0)+F272)))</x:f>
        <x:v>38</x:v>
      </x:c>
      <x:c r="AW272" s="119" t="n">
        <x:f>IF(7&gt;D272,0,ROUND(('难度参数'!$E$13*POWER(A272,'难度参数'!$E$20)*MIN('难度参数'!$E$23,1+MAX(0,A272-'难度参数'!$E$21)*'难度参数'!$E$22))*(36+7*7)/(36+7*(D272+1)/2)*E272,0))</x:f>
        <x:v>9988</x:v>
      </x:c>
      <x:c r="AX272" s="119" t="n">
        <x:f>IF(AV272=0,0,(AV272-IF(7=D272,1,0))*ROUND(AW272*VLOOKUP(INDEX('章节与怪物'!$E$31:$K$37,B272,7),'章节与怪物'!$A$41:$F$44,2,FALSE),0)+IF(7=D272,ROUND(AW272*'难度参数'!$E$28*'章节与怪物'!$E$17,0),0))</x:f>
        <x:v>566826</x:v>
      </x:c>
      <x:c r="AY272" s="119" t="n">
        <x:f>IF(AV272=0,0,(AV272-IF(7=D272,1,0))*VLOOKUP(INDEX('章节与怪物'!$E$31:$K$37,B272,7),'章节与怪物'!$A$41:$F$44,4,FALSE)+IF(7=D272,'难度参数'!$E$30,0))</x:f>
        <x:v>1458</x:v>
      </x:c>
    </x:row>
    <x:row r="273" ht="23" customHeight="1">
      <x:c r="A273" s="119" t="n">
        <x:v>267</x:v>
      </x:c>
      <x:c r="B273" s="119" t="n">
        <x:f>MOD(INT((A273-1)/5),7)+1</x:f>
        <x:v>5</x:v>
      </x:c>
      <x:c r="C273" s="62" t="str">
        <x:f>INDEX('章节与怪物'!$B$31:$B$37,B273)</x:f>
        <x:v>雨林遗迹</x:v>
      </x:c>
      <x:c r="D273" s="119" t="n">
        <x:f>MIN('难度参数'!$E$8,MAX('难度参数'!$E$7,A273))</x:f>
        <x:v>7</x:v>
      </x:c>
      <x:c r="E273" s="106" t="n">
        <x:v>1</x:v>
      </x:c>
      <x:c r="F273" s="106" t="n">
        <x:v>0</x:v>
      </x:c>
      <x:c r="G273" s="106" t="n">
        <x:v>1</x:v>
      </x:c>
      <x:c r="H273" s="119" t="n">
        <x:f>SUM(X273,AB273,AF273,AJ273,AN273,AR273,AV273)</x:f>
        <x:v>233</x:v>
      </x:c>
      <x:c r="I273" s="119" t="n">
        <x:f>SUM(Z273,AD273,AH273,AL273,AP273,AT273,AX273)</x:f>
        <x:v>2327653</x:v>
      </x:c>
      <x:c r="J273" s="119" t="n">
        <x:f>ROUND(INDEX(X273:AY273,1,(D273-1)*4+2)*'难度参数'!$E$28*'章节与怪物'!$E$17,0)</x:f>
        <x:v>68102</x:v>
      </x:c>
      <x:c r="K273" s="119" t="n">
        <x:f>SUM(AA273,AE273,AI273,AM273,AQ273,AU273,AY273)</x:f>
        <x:v>6316</x:v>
      </x:c>
      <x:c r="L273" s="62" t="n">
        <x:f>H273*(ROUNDUP('难度参数'!$E$24/('难度参数'!$E$26*'难度参数'!$E$27),0)*'难度参数'!$E$26)/60</x:f>
        <x:v>3.106666666666667</x:v>
      </x:c>
      <x:c r="M273" s="62" t="n">
        <x:f>L273+D273*('难度参数'!$E$49+'难度参数'!$E$50)/60</x:f>
        <x:v>4.273333333333333</x:v>
      </x:c>
      <x:c r="N273" s="119" t="n">
        <x:f>ROUNDDOWN(('经济参数'!$E$20+A273*'经济参数'!$E$21)*G273,0)</x:f>
        <x:v>5520</x:v>
      </x:c>
      <x:c r="O273" s="119" t="n">
        <x:f>ROUNDDOWN(MIN('经济参数'!$E$24,'经济参数'!$E$22+A273*'经济参数'!$E$23)*G273,0)</x:f>
        <x:v>0</x:v>
      </x:c>
      <x:c r="P273" s="119" t="n">
        <x:f>ROUNDDOWN((IF(A273&gt;='材料与任务'!$E$31,'材料与任务'!$E$32,IF(A273&gt;='材料与任务'!$E$25,'材料与任务'!$E$26,IF(A273&gt;='材料与任务'!$E$19,'材料与任务'!$E$20,IF(A273&gt;='材料与任务'!$E$13,'材料与任务'!$E$14,'材料与任务'!$E$8)))))*G273,0)</x:f>
        <x:v>6</x:v>
      </x:c>
      <x:c r="Q273" s="119" t="n">
        <x:f>ROUNDDOWN((IF(A273&gt;='材料与任务'!$E$31,'材料与任务'!$E$33,IF(A273&gt;='材料与任务'!$E$25,'材料与任务'!$E$27,IF(A273&gt;='材料与任务'!$E$19,'材料与任务'!$E$21,IF(A273&gt;='材料与任务'!$E$13,'材料与任务'!$E$15,'材料与任务'!$E$9)))))*G273,0)</x:f>
        <x:v>3</x:v>
      </x:c>
      <x:c r="R273" s="110" t="n">
        <x:f>'装备掉落'!$B$38</x:f>
        <x:v>0.6872058758851213</x:v>
      </x:c>
      <x:c r="S273" s="119" t="n">
        <x:f>MAX(IF(VLOOKUP(A273,'装备掉落'!$A$29:$H$34,2,TRUE)&gt;0,1,0),IF(VLOOKUP(A273,'装备掉落'!$A$29:$H$34,3,TRUE)&gt;0,2,0),IF(VLOOKUP(A273,'装备掉落'!$A$29:$H$34,4,TRUE)&gt;0,3,0),IF(VLOOKUP(A273,'装备掉落'!$A$29:$H$34,5,TRUE)&gt;0,4,0),IF(VLOOKUP(A273,'装备掉落'!$A$29:$H$34,6,TRUE)&gt;0,5,0),IF(VLOOKUP(A273,'装备掉落'!$A$29:$H$34,7,TRUE)&gt;0,6,0),IF(VLOOKUP(A273,'装备掉落'!$A$29:$H$34,8,TRUE)&gt;0,7,0))</x:f>
        <x:v>7</x:v>
      </x:c>
      <x:c r="T273" s="119" t="n">
        <x:f>MIN(7,S273+'经济参数'!$E$70)</x:f>
        <x:v>7</x:v>
      </x:c>
      <x:c r="U273" s="119" t="n">
        <x:f>MIN(7,S273+'经济参数'!$E$71)</x:f>
        <x:v>7</x:v>
      </x:c>
      <x:c r="V273" s="119" t="n">
        <x:f>IF(H273&gt;=('难度参数'!$E$52),1,0)+IF(H273&gt;=('难度参数'!$E$52+'难度参数'!$E$53),1,0)+IF(H273&gt;=('难度参数'!$E$52+'难度参数'!$E$53+'难度参数'!$E$54),1,0)+IF(H273&gt;=('难度参数'!$E$52+'难度参数'!$E$53+'难度参数'!$E$54+'难度参数'!$E$55),1,0)+IF(H273&gt;=('难度参数'!$E$52+'难度参数'!$E$53+'难度参数'!$E$54+'难度参数'!$E$55+'难度参数'!$E$56),1,0)+IF(H273&gt;=('难度参数'!$E$52+'难度参数'!$E$53+'难度参数'!$E$54+'难度参数'!$E$55+'难度参数'!$E$56+'难度参数'!$E$57),1,0)</x:f>
        <x:v>6</x:v>
      </x:c>
      <x:c r="W273" s="62" t="str">
        <x:f>IF(L273&gt;'难度参数'!$E$51,"仅出怪已超目标","还需实测")</x:f>
        <x:v>仅出怪已超目标</x:v>
      </x:c>
      <x:c r="X273" s="119" t="n">
        <x:f>IF(1&gt;D273,0,MAX(2,MIN('难度参数'!$E$12,ROUND(('难度参数'!$E$18*POWER(A273,'难度参数'!$E$19)/D273*(0.85+0.3*(1-1)/MAX(1,D273-1))),0)+F273)))</x:f>
        <x:v>28</x:v>
      </x:c>
      <x:c r="Y273" s="119" t="n">
        <x:f>IF(1&gt;D273,0,ROUND(('难度参数'!$E$13*POWER(A273,'难度参数'!$E$20)*MIN('难度参数'!$E$23,1+MAX(0,A273-'难度参数'!$E$21)*'难度参数'!$E$22))*(36+1*7)/(36+7*(D273+1)/2)*E273,0))</x:f>
        <x:v>5067</x:v>
      </x:c>
      <x:c r="Z273" s="119" t="n">
        <x:f>IF(X273=0,0,(X273-IF(1=D273,1,0))*ROUND(Y273*VLOOKUP(INDEX('章节与怪物'!$E$31:$K$37,B273,1),'章节与怪物'!$A$41:$F$44,2,FALSE),0)+IF(1=D273,ROUND(Y273*'难度参数'!$E$28*'章节与怪物'!$E$17,0),0))</x:f>
        <x:v>141876</x:v>
      </x:c>
      <x:c r="AA273" s="119" t="n">
        <x:f>IF(X273=0,0,(X273-IF(1=D273,1,0))*VLOOKUP(INDEX('章节与怪物'!$E$31:$K$37,B273,1),'章节与怪物'!$A$41:$F$44,4,FALSE)+IF(1=D273,'难度参数'!$E$30,0))</x:f>
        <x:v>504</x:v>
      </x:c>
      <x:c r="AB273" s="119" t="n">
        <x:f>IF(2&gt;D273,0,MAX(2,MIN('难度参数'!$E$12,ROUND(('难度参数'!$E$18*POWER(A273,'难度参数'!$E$19)/D273*(0.85+0.3*(2-1)/MAX(1,D273-1))),0)+F273)))</x:f>
        <x:v>30</x:v>
      </x:c>
      <x:c r="AC273" s="119" t="n">
        <x:f>IF(2&gt;D273,0,ROUND(('难度参数'!$E$13*POWER(A273,'难度参数'!$E$20)*MIN('难度参数'!$E$23,1+MAX(0,A273-'难度参数'!$E$21)*'难度参数'!$E$22))*(36+2*7)/(36+7*(D273+1)/2)*E273,0))</x:f>
        <x:v>5891</x:v>
      </x:c>
      <x:c r="AD273" s="119" t="n">
        <x:f>IF(AB273=0,0,(AB273-IF(2=D273,1,0))*ROUND(AC273*VLOOKUP(INDEX('章节与怪物'!$E$31:$K$37,B273,2),'章节与怪物'!$A$41:$F$44,2,FALSE),0)+IF(2=D273,ROUND(AC273*'难度参数'!$E$28*'章节与怪物'!$E$17,0),0))</x:f>
        <x:v>127260</x:v>
      </x:c>
      <x:c r="AE273" s="119" t="n">
        <x:f>IF(AB273=0,0,(AB273-IF(2=D273,1,0))*VLOOKUP(INDEX('章节与怪物'!$E$31:$K$37,B273,2),'章节与怪物'!$A$41:$F$44,4,FALSE)+IF(2=D273,'难度参数'!$E$30,0))</x:f>
        <x:v>600</x:v>
      </x:c>
      <x:c r="AF273" s="119" t="n">
        <x:f>IF(3&gt;D273,0,MAX(2,MIN('难度参数'!$E$12,ROUND(('难度参数'!$E$18*POWER(A273,'难度参数'!$E$19)/D273*(0.85+0.3*(3-1)/MAX(1,D273-1))),0)+F273)))</x:f>
        <x:v>32</x:v>
      </x:c>
      <x:c r="AG273" s="119" t="n">
        <x:f>IF(3&gt;D273,0,ROUND(('难度参数'!$E$13*POWER(A273,'难度参数'!$E$20)*MIN('难度参数'!$E$23,1+MAX(0,A273-'难度参数'!$E$21)*'难度参数'!$E$22))*(36+3*7)/(36+7*(D273+1)/2)*E273,0))</x:f>
        <x:v>6716</x:v>
      </x:c>
      <x:c r="AH273" s="119" t="n">
        <x:f>IF(AF273=0,0,(AF273-IF(3=D273,1,0))*ROUND(AG273*VLOOKUP(INDEX('章节与怪物'!$E$31:$K$37,B273,3),'章节与怪物'!$A$41:$F$44,2,FALSE),0)+IF(3=D273,ROUND(AG273*'难度参数'!$E$28*'章节与怪物'!$E$17,0),0))</x:f>
        <x:v>365344</x:v>
      </x:c>
      <x:c r="AI273" s="119" t="n">
        <x:f>IF(AF273=0,0,(AF273-IF(3=D273,1,0))*VLOOKUP(INDEX('章节与怪物'!$E$31:$K$37,B273,3),'章节与怪物'!$A$41:$F$44,4,FALSE)+IF(3=D273,'难度参数'!$E$30,0))</x:f>
        <x:v>896</x:v>
      </x:c>
      <x:c r="AJ273" s="119" t="n">
        <x:f>IF(4&gt;D273,0,MAX(2,MIN('难度参数'!$E$12,ROUND(('难度参数'!$E$18*POWER(A273,'难度参数'!$E$19)/D273*(0.85+0.3*(4-1)/MAX(1,D273-1))),0)+F273)))</x:f>
        <x:v>33</x:v>
      </x:c>
      <x:c r="AK273" s="119" t="n">
        <x:f>IF(4&gt;D273,0,ROUND(('难度参数'!$E$13*POWER(A273,'难度参数'!$E$20)*MIN('难度参数'!$E$23,1+MAX(0,A273-'难度参数'!$E$21)*'难度参数'!$E$22))*(36+4*7)/(36+7*(D273+1)/2)*E273,0))</x:f>
        <x:v>7541</x:v>
      </x:c>
      <x:c r="AL273" s="119" t="n">
        <x:f>IF(AJ273=0,0,(AJ273-IF(4=D273,1,0))*ROUND(AK273*VLOOKUP(INDEX('章节与怪物'!$E$31:$K$37,B273,4),'章节与怪物'!$A$41:$F$44,2,FALSE),0)+IF(4=D273,ROUND(AK273*'难度参数'!$E$28*'章节与怪物'!$E$17,0),0))</x:f>
        <x:v>335940</x:v>
      </x:c>
      <x:c r="AM273" s="119" t="n">
        <x:f>IF(AJ273=0,0,(AJ273-IF(4=D273,1,0))*VLOOKUP(INDEX('章节与怪物'!$E$31:$K$37,B273,4),'章节与怪物'!$A$41:$F$44,4,FALSE)+IF(4=D273,'难度参数'!$E$30,0))</x:f>
        <x:v>1122</x:v>
      </x:c>
      <x:c r="AN273" s="119" t="n">
        <x:f>IF(5&gt;D273,0,MAX(2,MIN('难度参数'!$E$12,ROUND(('难度参数'!$E$18*POWER(A273,'难度参数'!$E$19)/D273*(0.85+0.3*(5-1)/MAX(1,D273-1))),0)+F273)))</x:f>
        <x:v>35</x:v>
      </x:c>
      <x:c r="AO273" s="119" t="n">
        <x:f>IF(5&gt;D273,0,ROUND(('难度参数'!$E$13*POWER(A273,'难度参数'!$E$20)*MIN('难度参数'!$E$23,1+MAX(0,A273-'难度参数'!$E$21)*'难度参数'!$E$22))*(36+5*7)/(36+7*(D273+1)/2)*E273,0))</x:f>
        <x:v>8366</x:v>
      </x:c>
      <x:c r="AP273" s="119" t="n">
        <x:f>IF(AN273=0,0,(AN273-IF(5=D273,1,0))*ROUND(AO273*VLOOKUP(INDEX('章节与怪物'!$E$31:$K$37,B273,5),'章节与怪物'!$A$41:$F$44,2,FALSE),0)+IF(5=D273,ROUND(AO273*'难度参数'!$E$28*'章节与怪物'!$E$17,0),0))</x:f>
        <x:v>210840</x:v>
      </x:c>
      <x:c r="AQ273" s="119" t="n">
        <x:f>IF(AN273=0,0,(AN273-IF(5=D273,1,0))*VLOOKUP(INDEX('章节与怪物'!$E$31:$K$37,B273,5),'章节与怪物'!$A$41:$F$44,4,FALSE)+IF(5=D273,'难度参数'!$E$30,0))</x:f>
        <x:v>700</x:v>
      </x:c>
      <x:c r="AR273" s="119" t="n">
        <x:f>IF(6&gt;D273,0,MAX(2,MIN('难度参数'!$E$12,ROUND(('难度参数'!$E$18*POWER(A273,'难度参数'!$E$19)/D273*(0.85+0.3*(6-1)/MAX(1,D273-1))),0)+F273)))</x:f>
        <x:v>37</x:v>
      </x:c>
      <x:c r="AS273" s="119" t="n">
        <x:f>IF(6&gt;D273,0,ROUND(('难度参数'!$E$13*POWER(A273,'难度参数'!$E$20)*MIN('难度参数'!$E$23,1+MAX(0,A273-'难度参数'!$E$21)*'难度参数'!$E$22))*(36+6*7)/(36+7*(D273+1)/2)*E273,0))</x:f>
        <x:v>9190</x:v>
      </x:c>
      <x:c r="AT273" s="119" t="n">
        <x:f>IF(AR273=0,0,(AR273-IF(6=D273,1,0))*ROUND(AS273*VLOOKUP(INDEX('章节与怪物'!$E$31:$K$37,B273,6),'章节与怪物'!$A$41:$F$44,2,FALSE),0)+IF(6=D273,ROUND(AS273*'难度参数'!$E$28*'章节与怪物'!$E$17,0),0))</x:f>
        <x:v>578051</x:v>
      </x:c>
      <x:c r="AU273" s="119" t="n">
        <x:f>IF(AR273=0,0,(AR273-IF(6=D273,1,0))*VLOOKUP(INDEX('章节与怪物'!$E$31:$K$37,B273,6),'章节与怪物'!$A$41:$F$44,4,FALSE)+IF(6=D273,'难度参数'!$E$30,0))</x:f>
        <x:v>1036</x:v>
      </x:c>
      <x:c r="AV273" s="119" t="n">
        <x:f>IF(7&gt;D273,0,MAX(2,MIN('难度参数'!$E$12,ROUND(('难度参数'!$E$18*POWER(A273,'难度参数'!$E$19)/D273*(0.85+0.3*(7-1)/MAX(1,D273-1))),0)+F273)))</x:f>
        <x:v>38</x:v>
      </x:c>
      <x:c r="AW273" s="119" t="n">
        <x:f>IF(7&gt;D273,0,ROUND(('难度参数'!$E$13*POWER(A273,'难度参数'!$E$20)*MIN('难度参数'!$E$23,1+MAX(0,A273-'难度参数'!$E$21)*'难度参数'!$E$22))*(36+7*7)/(36+7*(D273+1)/2)*E273,0))</x:f>
        <x:v>10015</x:v>
      </x:c>
      <x:c r="AX273" s="119" t="n">
        <x:f>IF(AV273=0,0,(AV273-IF(7=D273,1,0))*ROUND(AW273*VLOOKUP(INDEX('章节与怪物'!$E$31:$K$37,B273,7),'章节与怪物'!$A$41:$F$44,2,FALSE),0)+IF(7=D273,ROUND(AW273*'难度参数'!$E$28*'章节与怪物'!$E$17,0),0))</x:f>
        <x:v>568342</x:v>
      </x:c>
      <x:c r="AY273" s="119" t="n">
        <x:f>IF(AV273=0,0,(AV273-IF(7=D273,1,0))*VLOOKUP(INDEX('章节与怪物'!$E$31:$K$37,B273,7),'章节与怪物'!$A$41:$F$44,4,FALSE)+IF(7=D273,'难度参数'!$E$30,0))</x:f>
        <x:v>1458</x:v>
      </x:c>
    </x:row>
    <x:row r="274" ht="23" customHeight="1">
      <x:c r="A274" s="119" t="n">
        <x:v>268</x:v>
      </x:c>
      <x:c r="B274" s="119" t="n">
        <x:f>MOD(INT((A274-1)/5),7)+1</x:f>
        <x:v>5</x:v>
      </x:c>
      <x:c r="C274" s="62" t="str">
        <x:f>INDEX('章节与怪物'!$B$31:$B$37,B274)</x:f>
        <x:v>雨林遗迹</x:v>
      </x:c>
      <x:c r="D274" s="119" t="n">
        <x:f>MIN('难度参数'!$E$8,MAX('难度参数'!$E$7,A274))</x:f>
        <x:v>7</x:v>
      </x:c>
      <x:c r="E274" s="106" t="n">
        <x:v>1</x:v>
      </x:c>
      <x:c r="F274" s="106" t="n">
        <x:v>0</x:v>
      </x:c>
      <x:c r="G274" s="106" t="n">
        <x:v>1</x:v>
      </x:c>
      <x:c r="H274" s="119" t="n">
        <x:f>SUM(X274,AB274,AF274,AJ274,AN274,AR274,AV274)</x:f>
        <x:v>233</x:v>
      </x:c>
      <x:c r="I274" s="119" t="n">
        <x:f>SUM(Z274,AD274,AH274,AL274,AP274,AT274,AX274)</x:f>
        <x:v>2333899</x:v>
      </x:c>
      <x:c r="J274" s="119" t="n">
        <x:f>ROUND(INDEX(X274:AY274,1,(D274-1)*4+2)*'难度参数'!$E$28*'章节与怪物'!$E$17,0)</x:f>
        <x:v>68286</x:v>
      </x:c>
      <x:c r="K274" s="119" t="n">
        <x:f>SUM(AA274,AE274,AI274,AM274,AQ274,AU274,AY274)</x:f>
        <x:v>6316</x:v>
      </x:c>
      <x:c r="L274" s="62" t="n">
        <x:f>H274*(ROUNDUP('难度参数'!$E$24/('难度参数'!$E$26*'难度参数'!$E$27),0)*'难度参数'!$E$26)/60</x:f>
        <x:v>3.106666666666667</x:v>
      </x:c>
      <x:c r="M274" s="62" t="n">
        <x:f>L274+D274*('难度参数'!$E$49+'难度参数'!$E$50)/60</x:f>
        <x:v>4.273333333333333</x:v>
      </x:c>
      <x:c r="N274" s="119" t="n">
        <x:f>ROUNDDOWN(('经济参数'!$E$20+A274*'经济参数'!$E$21)*G274,0)</x:f>
        <x:v>5540</x:v>
      </x:c>
      <x:c r="O274" s="119" t="n">
        <x:f>ROUNDDOWN(MIN('经济参数'!$E$24,'经济参数'!$E$22+A274*'经济参数'!$E$23)*G274,0)</x:f>
        <x:v>0</x:v>
      </x:c>
      <x:c r="P274" s="119" t="n">
        <x:f>ROUNDDOWN((IF(A274&gt;='材料与任务'!$E$31,'材料与任务'!$E$32,IF(A274&gt;='材料与任务'!$E$25,'材料与任务'!$E$26,IF(A274&gt;='材料与任务'!$E$19,'材料与任务'!$E$20,IF(A274&gt;='材料与任务'!$E$13,'材料与任务'!$E$14,'材料与任务'!$E$8)))))*G274,0)</x:f>
        <x:v>6</x:v>
      </x:c>
      <x:c r="Q274" s="119" t="n">
        <x:f>ROUNDDOWN((IF(A274&gt;='材料与任务'!$E$31,'材料与任务'!$E$33,IF(A274&gt;='材料与任务'!$E$25,'材料与任务'!$E$27,IF(A274&gt;='材料与任务'!$E$19,'材料与任务'!$E$21,IF(A274&gt;='材料与任务'!$E$13,'材料与任务'!$E$15,'材料与任务'!$E$9)))))*G274,0)</x:f>
        <x:v>3</x:v>
      </x:c>
      <x:c r="R274" s="110" t="n">
        <x:f>'装备掉落'!$B$38</x:f>
        <x:v>0.6872058758851213</x:v>
      </x:c>
      <x:c r="S274" s="119" t="n">
        <x:f>MAX(IF(VLOOKUP(A274,'装备掉落'!$A$29:$H$34,2,TRUE)&gt;0,1,0),IF(VLOOKUP(A274,'装备掉落'!$A$29:$H$34,3,TRUE)&gt;0,2,0),IF(VLOOKUP(A274,'装备掉落'!$A$29:$H$34,4,TRUE)&gt;0,3,0),IF(VLOOKUP(A274,'装备掉落'!$A$29:$H$34,5,TRUE)&gt;0,4,0),IF(VLOOKUP(A274,'装备掉落'!$A$29:$H$34,6,TRUE)&gt;0,5,0),IF(VLOOKUP(A274,'装备掉落'!$A$29:$H$34,7,TRUE)&gt;0,6,0),IF(VLOOKUP(A274,'装备掉落'!$A$29:$H$34,8,TRUE)&gt;0,7,0))</x:f>
        <x:v>7</x:v>
      </x:c>
      <x:c r="T274" s="119" t="n">
        <x:f>MIN(7,S274+'经济参数'!$E$70)</x:f>
        <x:v>7</x:v>
      </x:c>
      <x:c r="U274" s="119" t="n">
        <x:f>MIN(7,S274+'经济参数'!$E$71)</x:f>
        <x:v>7</x:v>
      </x:c>
      <x:c r="V274" s="119" t="n">
        <x:f>IF(H274&gt;=('难度参数'!$E$52),1,0)+IF(H274&gt;=('难度参数'!$E$52+'难度参数'!$E$53),1,0)+IF(H274&gt;=('难度参数'!$E$52+'难度参数'!$E$53+'难度参数'!$E$54),1,0)+IF(H274&gt;=('难度参数'!$E$52+'难度参数'!$E$53+'难度参数'!$E$54+'难度参数'!$E$55),1,0)+IF(H274&gt;=('难度参数'!$E$52+'难度参数'!$E$53+'难度参数'!$E$54+'难度参数'!$E$55+'难度参数'!$E$56),1,0)+IF(H274&gt;=('难度参数'!$E$52+'难度参数'!$E$53+'难度参数'!$E$54+'难度参数'!$E$55+'难度参数'!$E$56+'难度参数'!$E$57),1,0)</x:f>
        <x:v>6</x:v>
      </x:c>
      <x:c r="W274" s="62" t="str">
        <x:f>IF(L274&gt;'难度参数'!$E$51,"仅出怪已超目标","还需实测")</x:f>
        <x:v>仅出怪已超目标</x:v>
      </x:c>
      <x:c r="X274" s="119" t="n">
        <x:f>IF(1&gt;D274,0,MAX(2,MIN('难度参数'!$E$12,ROUND(('难度参数'!$E$18*POWER(A274,'难度参数'!$E$19)/D274*(0.85+0.3*(1-1)/MAX(1,D274-1))),0)+F274)))</x:f>
        <x:v>28</x:v>
      </x:c>
      <x:c r="Y274" s="119" t="n">
        <x:f>IF(1&gt;D274,0,ROUND(('难度参数'!$E$13*POWER(A274,'难度参数'!$E$20)*MIN('难度参数'!$E$23,1+MAX(0,A274-'难度参数'!$E$21)*'难度参数'!$E$22))*(36+1*7)/(36+7*(D274+1)/2)*E274,0))</x:f>
        <x:v>5080</x:v>
      </x:c>
      <x:c r="Z274" s="119" t="n">
        <x:f>IF(X274=0,0,(X274-IF(1=D274,1,0))*ROUND(Y274*VLOOKUP(INDEX('章节与怪物'!$E$31:$K$37,B274,1),'章节与怪物'!$A$41:$F$44,2,FALSE),0)+IF(1=D274,ROUND(Y274*'难度参数'!$E$28*'章节与怪物'!$E$17,0),0))</x:f>
        <x:v>142240</x:v>
      </x:c>
      <x:c r="AA274" s="119" t="n">
        <x:f>IF(X274=0,0,(X274-IF(1=D274,1,0))*VLOOKUP(INDEX('章节与怪物'!$E$31:$K$37,B274,1),'章节与怪物'!$A$41:$F$44,4,FALSE)+IF(1=D274,'难度参数'!$E$30,0))</x:f>
        <x:v>504</x:v>
      </x:c>
      <x:c r="AB274" s="119" t="n">
        <x:f>IF(2&gt;D274,0,MAX(2,MIN('难度参数'!$E$12,ROUND(('难度参数'!$E$18*POWER(A274,'难度参数'!$E$19)/D274*(0.85+0.3*(2-1)/MAX(1,D274-1))),0)+F274)))</x:f>
        <x:v>30</x:v>
      </x:c>
      <x:c r="AC274" s="119" t="n">
        <x:f>IF(2&gt;D274,0,ROUND(('难度参数'!$E$13*POWER(A274,'难度参数'!$E$20)*MIN('难度参数'!$E$23,1+MAX(0,A274-'难度参数'!$E$21)*'难度参数'!$E$22))*(36+2*7)/(36+7*(D274+1)/2)*E274,0))</x:f>
        <x:v>5907</x:v>
      </x:c>
      <x:c r="AD274" s="119" t="n">
        <x:f>IF(AB274=0,0,(AB274-IF(2=D274,1,0))*ROUND(AC274*VLOOKUP(INDEX('章节与怪物'!$E$31:$K$37,B274,2),'章节与怪物'!$A$41:$F$44,2,FALSE),0)+IF(2=D274,ROUND(AC274*'难度参数'!$E$28*'章节与怪物'!$E$17,0),0))</x:f>
        <x:v>127590</x:v>
      </x:c>
      <x:c r="AE274" s="119" t="n">
        <x:f>IF(AB274=0,0,(AB274-IF(2=D274,1,0))*VLOOKUP(INDEX('章节与怪物'!$E$31:$K$37,B274,2),'章节与怪物'!$A$41:$F$44,4,FALSE)+IF(2=D274,'难度参数'!$E$30,0))</x:f>
        <x:v>600</x:v>
      </x:c>
      <x:c r="AF274" s="119" t="n">
        <x:f>IF(3&gt;D274,0,MAX(2,MIN('难度参数'!$E$12,ROUND(('难度参数'!$E$18*POWER(A274,'难度参数'!$E$19)/D274*(0.85+0.3*(3-1)/MAX(1,D274-1))),0)+F274)))</x:f>
        <x:v>32</x:v>
      </x:c>
      <x:c r="AG274" s="119" t="n">
        <x:f>IF(3&gt;D274,0,ROUND(('难度参数'!$E$13*POWER(A274,'难度参数'!$E$20)*MIN('难度参数'!$E$23,1+MAX(0,A274-'难度参数'!$E$21)*'难度参数'!$E$22))*(36+3*7)/(36+7*(D274+1)/2)*E274,0))</x:f>
        <x:v>6734</x:v>
      </x:c>
      <x:c r="AH274" s="119" t="n">
        <x:f>IF(AF274=0,0,(AF274-IF(3=D274,1,0))*ROUND(AG274*VLOOKUP(INDEX('章节与怪物'!$E$31:$K$37,B274,3),'章节与怪物'!$A$41:$F$44,2,FALSE),0)+IF(3=D274,ROUND(AG274*'难度参数'!$E$28*'章节与怪物'!$E$17,0),0))</x:f>
        <x:v>366336</x:v>
      </x:c>
      <x:c r="AI274" s="119" t="n">
        <x:f>IF(AF274=0,0,(AF274-IF(3=D274,1,0))*VLOOKUP(INDEX('章节与怪物'!$E$31:$K$37,B274,3),'章节与怪物'!$A$41:$F$44,4,FALSE)+IF(3=D274,'难度参数'!$E$30,0))</x:f>
        <x:v>896</x:v>
      </x:c>
      <x:c r="AJ274" s="119" t="n">
        <x:f>IF(4&gt;D274,0,MAX(2,MIN('难度参数'!$E$12,ROUND(('难度参数'!$E$18*POWER(A274,'难度参数'!$E$19)/D274*(0.85+0.3*(4-1)/MAX(1,D274-1))),0)+F274)))</x:f>
        <x:v>33</x:v>
      </x:c>
      <x:c r="AK274" s="119" t="n">
        <x:f>IF(4&gt;D274,0,ROUND(('难度参数'!$E$13*POWER(A274,'难度参数'!$E$20)*MIN('难度参数'!$E$23,1+MAX(0,A274-'难度参数'!$E$21)*'难度参数'!$E$22))*(36+4*7)/(36+7*(D274+1)/2)*E274,0))</x:f>
        <x:v>7561</x:v>
      </x:c>
      <x:c r="AL274" s="119" t="n">
        <x:f>IF(AJ274=0,0,(AJ274-IF(4=D274,1,0))*ROUND(AK274*VLOOKUP(INDEX('章节与怪物'!$E$31:$K$37,B274,4),'章节与怪物'!$A$41:$F$44,2,FALSE),0)+IF(4=D274,ROUND(AK274*'难度参数'!$E$28*'章节与怪物'!$E$17,0),0))</x:f>
        <x:v>336831</x:v>
      </x:c>
      <x:c r="AM274" s="119" t="n">
        <x:f>IF(AJ274=0,0,(AJ274-IF(4=D274,1,0))*VLOOKUP(INDEX('章节与怪物'!$E$31:$K$37,B274,4),'章节与怪物'!$A$41:$F$44,4,FALSE)+IF(4=D274,'难度参数'!$E$30,0))</x:f>
        <x:v>1122</x:v>
      </x:c>
      <x:c r="AN274" s="119" t="n">
        <x:f>IF(5&gt;D274,0,MAX(2,MIN('难度参数'!$E$12,ROUND(('难度参数'!$E$18*POWER(A274,'难度参数'!$E$19)/D274*(0.85+0.3*(5-1)/MAX(1,D274-1))),0)+F274)))</x:f>
        <x:v>35</x:v>
      </x:c>
      <x:c r="AO274" s="119" t="n">
        <x:f>IF(5&gt;D274,0,ROUND(('难度参数'!$E$13*POWER(A274,'难度参数'!$E$20)*MIN('难度参数'!$E$23,1+MAX(0,A274-'难度参数'!$E$21)*'难度参数'!$E$22))*(36+5*7)/(36+7*(D274+1)/2)*E274,0))</x:f>
        <x:v>8388</x:v>
      </x:c>
      <x:c r="AP274" s="119" t="n">
        <x:f>IF(AN274=0,0,(AN274-IF(5=D274,1,0))*ROUND(AO274*VLOOKUP(INDEX('章节与怪物'!$E$31:$K$37,B274,5),'章节与怪物'!$A$41:$F$44,2,FALSE),0)+IF(5=D274,ROUND(AO274*'难度参数'!$E$28*'章节与怪物'!$E$17,0),0))</x:f>
        <x:v>211365</x:v>
      </x:c>
      <x:c r="AQ274" s="119" t="n">
        <x:f>IF(AN274=0,0,(AN274-IF(5=D274,1,0))*VLOOKUP(INDEX('章节与怪物'!$E$31:$K$37,B274,5),'章节与怪物'!$A$41:$F$44,4,FALSE)+IF(5=D274,'难度参数'!$E$30,0))</x:f>
        <x:v>700</x:v>
      </x:c>
      <x:c r="AR274" s="119" t="n">
        <x:f>IF(6&gt;D274,0,MAX(2,MIN('难度参数'!$E$12,ROUND(('难度参数'!$E$18*POWER(A274,'难度参数'!$E$19)/D274*(0.85+0.3*(6-1)/MAX(1,D274-1))),0)+F274)))</x:f>
        <x:v>37</x:v>
      </x:c>
      <x:c r="AS274" s="119" t="n">
        <x:f>IF(6&gt;D274,0,ROUND(('难度参数'!$E$13*POWER(A274,'难度参数'!$E$20)*MIN('难度参数'!$E$23,1+MAX(0,A274-'难度参数'!$E$21)*'难度参数'!$E$22))*(36+6*7)/(36+7*(D274+1)/2)*E274,0))</x:f>
        <x:v>9215</x:v>
      </x:c>
      <x:c r="AT274" s="119" t="n">
        <x:f>IF(AR274=0,0,(AR274-IF(6=D274,1,0))*ROUND(AS274*VLOOKUP(INDEX('章节与怪物'!$E$31:$K$37,B274,6),'章节与怪物'!$A$41:$F$44,2,FALSE),0)+IF(6=D274,ROUND(AS274*'难度参数'!$E$28*'章节与怪物'!$E$17,0),0))</x:f>
        <x:v>579642</x:v>
      </x:c>
      <x:c r="AU274" s="119" t="n">
        <x:f>IF(AR274=0,0,(AR274-IF(6=D274,1,0))*VLOOKUP(INDEX('章节与怪物'!$E$31:$K$37,B274,6),'章节与怪物'!$A$41:$F$44,4,FALSE)+IF(6=D274,'难度参数'!$E$30,0))</x:f>
        <x:v>1036</x:v>
      </x:c>
      <x:c r="AV274" s="119" t="n">
        <x:f>IF(7&gt;D274,0,MAX(2,MIN('难度参数'!$E$12,ROUND(('难度参数'!$E$18*POWER(A274,'难度参数'!$E$19)/D274*(0.85+0.3*(7-1)/MAX(1,D274-1))),0)+F274)))</x:f>
        <x:v>38</x:v>
      </x:c>
      <x:c r="AW274" s="119" t="n">
        <x:f>IF(7&gt;D274,0,ROUND(('难度参数'!$E$13*POWER(A274,'难度参数'!$E$20)*MIN('难度参数'!$E$23,1+MAX(0,A274-'难度参数'!$E$21)*'难度参数'!$E$22))*(36+7*7)/(36+7*(D274+1)/2)*E274,0))</x:f>
        <x:v>10042</x:v>
      </x:c>
      <x:c r="AX274" s="119" t="n">
        <x:f>IF(AV274=0,0,(AV274-IF(7=D274,1,0))*ROUND(AW274*VLOOKUP(INDEX('章节与怪物'!$E$31:$K$37,B274,7),'章节与怪物'!$A$41:$F$44,2,FALSE),0)+IF(7=D274,ROUND(AW274*'难度参数'!$E$28*'章节与怪物'!$E$17,0),0))</x:f>
        <x:v>569895</x:v>
      </x:c>
      <x:c r="AY274" s="119" t="n">
        <x:f>IF(AV274=0,0,(AV274-IF(7=D274,1,0))*VLOOKUP(INDEX('章节与怪物'!$E$31:$K$37,B274,7),'章节与怪物'!$A$41:$F$44,4,FALSE)+IF(7=D274,'难度参数'!$E$30,0))</x:f>
        <x:v>1458</x:v>
      </x:c>
    </x:row>
    <x:row r="275" ht="23" customHeight="1">
      <x:c r="A275" s="119" t="n">
        <x:v>269</x:v>
      </x:c>
      <x:c r="B275" s="119" t="n">
        <x:f>MOD(INT((A275-1)/5),7)+1</x:f>
        <x:v>5</x:v>
      </x:c>
      <x:c r="C275" s="62" t="str">
        <x:f>INDEX('章节与怪物'!$B$31:$B$37,B275)</x:f>
        <x:v>雨林遗迹</x:v>
      </x:c>
      <x:c r="D275" s="119" t="n">
        <x:f>MIN('难度参数'!$E$8,MAX('难度参数'!$E$7,A275))</x:f>
        <x:v>7</x:v>
      </x:c>
      <x:c r="E275" s="106" t="n">
        <x:v>1</x:v>
      </x:c>
      <x:c r="F275" s="106" t="n">
        <x:v>0</x:v>
      </x:c>
      <x:c r="G275" s="106" t="n">
        <x:v>1</x:v>
      </x:c>
      <x:c r="H275" s="119" t="n">
        <x:f>SUM(X275,AB275,AF275,AJ275,AN275,AR275,AV275)</x:f>
        <x:v>233</x:v>
      </x:c>
      <x:c r="I275" s="119" t="n">
        <x:f>SUM(Z275,AD275,AH275,AL275,AP275,AT275,AX275)</x:f>
        <x:v>2340232</x:v>
      </x:c>
      <x:c r="J275" s="119" t="n">
        <x:f>ROUND(INDEX(X275:AY275,1,(D275-1)*4+2)*'难度参数'!$E$28*'章节与怪物'!$E$17,0)</x:f>
        <x:v>68469</x:v>
      </x:c>
      <x:c r="K275" s="119" t="n">
        <x:f>SUM(AA275,AE275,AI275,AM275,AQ275,AU275,AY275)</x:f>
        <x:v>6316</x:v>
      </x:c>
      <x:c r="L275" s="62" t="n">
        <x:f>H275*(ROUNDUP('难度参数'!$E$24/('难度参数'!$E$26*'难度参数'!$E$27),0)*'难度参数'!$E$26)/60</x:f>
        <x:v>3.106666666666667</x:v>
      </x:c>
      <x:c r="M275" s="62" t="n">
        <x:f>L275+D275*('难度参数'!$E$49+'难度参数'!$E$50)/60</x:f>
        <x:v>4.273333333333333</x:v>
      </x:c>
      <x:c r="N275" s="119" t="n">
        <x:f>ROUNDDOWN(('经济参数'!$E$20+A275*'经济参数'!$E$21)*G275,0)</x:f>
        <x:v>5560</x:v>
      </x:c>
      <x:c r="O275" s="119" t="n">
        <x:f>ROUNDDOWN(MIN('经济参数'!$E$24,'经济参数'!$E$22+A275*'经济参数'!$E$23)*G275,0)</x:f>
        <x:v>0</x:v>
      </x:c>
      <x:c r="P275" s="119" t="n">
        <x:f>ROUNDDOWN((IF(A275&gt;='材料与任务'!$E$31,'材料与任务'!$E$32,IF(A275&gt;='材料与任务'!$E$25,'材料与任务'!$E$26,IF(A275&gt;='材料与任务'!$E$19,'材料与任务'!$E$20,IF(A275&gt;='材料与任务'!$E$13,'材料与任务'!$E$14,'材料与任务'!$E$8)))))*G275,0)</x:f>
        <x:v>6</x:v>
      </x:c>
      <x:c r="Q275" s="119" t="n">
        <x:f>ROUNDDOWN((IF(A275&gt;='材料与任务'!$E$31,'材料与任务'!$E$33,IF(A275&gt;='材料与任务'!$E$25,'材料与任务'!$E$27,IF(A275&gt;='材料与任务'!$E$19,'材料与任务'!$E$21,IF(A275&gt;='材料与任务'!$E$13,'材料与任务'!$E$15,'材料与任务'!$E$9)))))*G275,0)</x:f>
        <x:v>3</x:v>
      </x:c>
      <x:c r="R275" s="110" t="n">
        <x:f>'装备掉落'!$B$38</x:f>
        <x:v>0.6872058758851213</x:v>
      </x:c>
      <x:c r="S275" s="119" t="n">
        <x:f>MAX(IF(VLOOKUP(A275,'装备掉落'!$A$29:$H$34,2,TRUE)&gt;0,1,0),IF(VLOOKUP(A275,'装备掉落'!$A$29:$H$34,3,TRUE)&gt;0,2,0),IF(VLOOKUP(A275,'装备掉落'!$A$29:$H$34,4,TRUE)&gt;0,3,0),IF(VLOOKUP(A275,'装备掉落'!$A$29:$H$34,5,TRUE)&gt;0,4,0),IF(VLOOKUP(A275,'装备掉落'!$A$29:$H$34,6,TRUE)&gt;0,5,0),IF(VLOOKUP(A275,'装备掉落'!$A$29:$H$34,7,TRUE)&gt;0,6,0),IF(VLOOKUP(A275,'装备掉落'!$A$29:$H$34,8,TRUE)&gt;0,7,0))</x:f>
        <x:v>7</x:v>
      </x:c>
      <x:c r="T275" s="119" t="n">
        <x:f>MIN(7,S275+'经济参数'!$E$70)</x:f>
        <x:v>7</x:v>
      </x:c>
      <x:c r="U275" s="119" t="n">
        <x:f>MIN(7,S275+'经济参数'!$E$71)</x:f>
        <x:v>7</x:v>
      </x:c>
      <x:c r="V275" s="119" t="n">
        <x:f>IF(H275&gt;=('难度参数'!$E$52),1,0)+IF(H275&gt;=('难度参数'!$E$52+'难度参数'!$E$53),1,0)+IF(H275&gt;=('难度参数'!$E$52+'难度参数'!$E$53+'难度参数'!$E$54),1,0)+IF(H275&gt;=('难度参数'!$E$52+'难度参数'!$E$53+'难度参数'!$E$54+'难度参数'!$E$55),1,0)+IF(H275&gt;=('难度参数'!$E$52+'难度参数'!$E$53+'难度参数'!$E$54+'难度参数'!$E$55+'难度参数'!$E$56),1,0)+IF(H275&gt;=('难度参数'!$E$52+'难度参数'!$E$53+'难度参数'!$E$54+'难度参数'!$E$55+'难度参数'!$E$56+'难度参数'!$E$57),1,0)</x:f>
        <x:v>6</x:v>
      </x:c>
      <x:c r="W275" s="62" t="str">
        <x:f>IF(L275&gt;'难度参数'!$E$51,"仅出怪已超目标","还需实测")</x:f>
        <x:v>仅出怪已超目标</x:v>
      </x:c>
      <x:c r="X275" s="119" t="n">
        <x:f>IF(1&gt;D275,0,MAX(2,MIN('难度参数'!$E$12,ROUND(('难度参数'!$E$18*POWER(A275,'难度参数'!$E$19)/D275*(0.85+0.3*(1-1)/MAX(1,D275-1))),0)+F275)))</x:f>
        <x:v>28</x:v>
      </x:c>
      <x:c r="Y275" s="119" t="n">
        <x:f>IF(1&gt;D275,0,ROUND(('难度参数'!$E$13*POWER(A275,'难度参数'!$E$20)*MIN('难度参数'!$E$23,1+MAX(0,A275-'难度参数'!$E$21)*'难度参数'!$E$22))*(36+1*7)/(36+7*(D275+1)/2)*E275,0))</x:f>
        <x:v>5094</x:v>
      </x:c>
      <x:c r="Z275" s="119" t="n">
        <x:f>IF(X275=0,0,(X275-IF(1=D275,1,0))*ROUND(Y275*VLOOKUP(INDEX('章节与怪物'!$E$31:$K$37,B275,1),'章节与怪物'!$A$41:$F$44,2,FALSE),0)+IF(1=D275,ROUND(Y275*'难度参数'!$E$28*'章节与怪物'!$E$17,0),0))</x:f>
        <x:v>142632</x:v>
      </x:c>
      <x:c r="AA275" s="119" t="n">
        <x:f>IF(X275=0,0,(X275-IF(1=D275,1,0))*VLOOKUP(INDEX('章节与怪物'!$E$31:$K$37,B275,1),'章节与怪物'!$A$41:$F$44,4,FALSE)+IF(1=D275,'难度参数'!$E$30,0))</x:f>
        <x:v>504</x:v>
      </x:c>
      <x:c r="AB275" s="119" t="n">
        <x:f>IF(2&gt;D275,0,MAX(2,MIN('难度参数'!$E$12,ROUND(('难度参数'!$E$18*POWER(A275,'难度参数'!$E$19)/D275*(0.85+0.3*(2-1)/MAX(1,D275-1))),0)+F275)))</x:f>
        <x:v>30</x:v>
      </x:c>
      <x:c r="AC275" s="119" t="n">
        <x:f>IF(2&gt;D275,0,ROUND(('难度参数'!$E$13*POWER(A275,'难度参数'!$E$20)*MIN('难度参数'!$E$23,1+MAX(0,A275-'难度参数'!$E$21)*'难度参数'!$E$22))*(36+2*7)/(36+7*(D275+1)/2)*E275,0))</x:f>
        <x:v>5923</x:v>
      </x:c>
      <x:c r="AD275" s="119" t="n">
        <x:f>IF(AB275=0,0,(AB275-IF(2=D275,1,0))*ROUND(AC275*VLOOKUP(INDEX('章节与怪物'!$E$31:$K$37,B275,2),'章节与怪物'!$A$41:$F$44,2,FALSE),0)+IF(2=D275,ROUND(AC275*'难度参数'!$E$28*'章节与怪物'!$E$17,0),0))</x:f>
        <x:v>127950</x:v>
      </x:c>
      <x:c r="AE275" s="119" t="n">
        <x:f>IF(AB275=0,0,(AB275-IF(2=D275,1,0))*VLOOKUP(INDEX('章节与怪物'!$E$31:$K$37,B275,2),'章节与怪物'!$A$41:$F$44,4,FALSE)+IF(2=D275,'难度参数'!$E$30,0))</x:f>
        <x:v>600</x:v>
      </x:c>
      <x:c r="AF275" s="119" t="n">
        <x:f>IF(3&gt;D275,0,MAX(2,MIN('难度参数'!$E$12,ROUND(('难度参数'!$E$18*POWER(A275,'难度参数'!$E$19)/D275*(0.85+0.3*(3-1)/MAX(1,D275-1))),0)+F275)))</x:f>
        <x:v>32</x:v>
      </x:c>
      <x:c r="AG275" s="119" t="n">
        <x:f>IF(3&gt;D275,0,ROUND(('难度参数'!$E$13*POWER(A275,'难度参数'!$E$20)*MIN('难度参数'!$E$23,1+MAX(0,A275-'难度参数'!$E$21)*'难度参数'!$E$22))*(36+3*7)/(36+7*(D275+1)/2)*E275,0))</x:f>
        <x:v>6752</x:v>
      </x:c>
      <x:c r="AH275" s="119" t="n">
        <x:f>IF(AF275=0,0,(AF275-IF(3=D275,1,0))*ROUND(AG275*VLOOKUP(INDEX('章节与怪物'!$E$31:$K$37,B275,3),'章节与怪物'!$A$41:$F$44,2,FALSE),0)+IF(3=D275,ROUND(AG275*'难度参数'!$E$28*'章节与怪物'!$E$17,0),0))</x:f>
        <x:v>367296</x:v>
      </x:c>
      <x:c r="AI275" s="119" t="n">
        <x:f>IF(AF275=0,0,(AF275-IF(3=D275,1,0))*VLOOKUP(INDEX('章节与怪物'!$E$31:$K$37,B275,3),'章节与怪物'!$A$41:$F$44,4,FALSE)+IF(3=D275,'难度参数'!$E$30,0))</x:f>
        <x:v>896</x:v>
      </x:c>
      <x:c r="AJ275" s="119" t="n">
        <x:f>IF(4&gt;D275,0,MAX(2,MIN('难度参数'!$E$12,ROUND(('难度参数'!$E$18*POWER(A275,'难度参数'!$E$19)/D275*(0.85+0.3*(4-1)/MAX(1,D275-1))),0)+F275)))</x:f>
        <x:v>33</x:v>
      </x:c>
      <x:c r="AK275" s="119" t="n">
        <x:f>IF(4&gt;D275,0,ROUND(('难度参数'!$E$13*POWER(A275,'难度参数'!$E$20)*MIN('难度参数'!$E$23,1+MAX(0,A275-'难度参数'!$E$21)*'难度参数'!$E$22))*(36+4*7)/(36+7*(D275+1)/2)*E275,0))</x:f>
        <x:v>7582</x:v>
      </x:c>
      <x:c r="AL275" s="119" t="n">
        <x:f>IF(AJ275=0,0,(AJ275-IF(4=D275,1,0))*ROUND(AK275*VLOOKUP(INDEX('章节与怪物'!$E$31:$K$37,B275,4),'章节与怪物'!$A$41:$F$44,2,FALSE),0)+IF(4=D275,ROUND(AK275*'难度参数'!$E$28*'章节与怪物'!$E$17,0),0))</x:f>
        <x:v>337788</x:v>
      </x:c>
      <x:c r="AM275" s="119" t="n">
        <x:f>IF(AJ275=0,0,(AJ275-IF(4=D275,1,0))*VLOOKUP(INDEX('章节与怪物'!$E$31:$K$37,B275,4),'章节与怪物'!$A$41:$F$44,4,FALSE)+IF(4=D275,'难度参数'!$E$30,0))</x:f>
        <x:v>1122</x:v>
      </x:c>
      <x:c r="AN275" s="119" t="n">
        <x:f>IF(5&gt;D275,0,MAX(2,MIN('难度参数'!$E$12,ROUND(('难度参数'!$E$18*POWER(A275,'难度参数'!$E$19)/D275*(0.85+0.3*(5-1)/MAX(1,D275-1))),0)+F275)))</x:f>
        <x:v>35</x:v>
      </x:c>
      <x:c r="AO275" s="119" t="n">
        <x:f>IF(5&gt;D275,0,ROUND(('难度参数'!$E$13*POWER(A275,'难度参数'!$E$20)*MIN('难度参数'!$E$23,1+MAX(0,A275-'难度参数'!$E$21)*'难度参数'!$E$22))*(36+5*7)/(36+7*(D275+1)/2)*E275,0))</x:f>
        <x:v>8411</x:v>
      </x:c>
      <x:c r="AP275" s="119" t="n">
        <x:f>IF(AN275=0,0,(AN275-IF(5=D275,1,0))*ROUND(AO275*VLOOKUP(INDEX('章节与怪物'!$E$31:$K$37,B275,5),'章节与怪物'!$A$41:$F$44,2,FALSE),0)+IF(5=D275,ROUND(AO275*'难度参数'!$E$28*'章节与怪物'!$E$17,0),0))</x:f>
        <x:v>211960</x:v>
      </x:c>
      <x:c r="AQ275" s="119" t="n">
        <x:f>IF(AN275=0,0,(AN275-IF(5=D275,1,0))*VLOOKUP(INDEX('章节与怪物'!$E$31:$K$37,B275,5),'章节与怪物'!$A$41:$F$44,4,FALSE)+IF(5=D275,'难度参数'!$E$30,0))</x:f>
        <x:v>700</x:v>
      </x:c>
      <x:c r="AR275" s="119" t="n">
        <x:f>IF(6&gt;D275,0,MAX(2,MIN('难度参数'!$E$12,ROUND(('难度参数'!$E$18*POWER(A275,'难度参数'!$E$19)/D275*(0.85+0.3*(6-1)/MAX(1,D275-1))),0)+F275)))</x:f>
        <x:v>37</x:v>
      </x:c>
      <x:c r="AS275" s="119" t="n">
        <x:f>IF(6&gt;D275,0,ROUND(('难度参数'!$E$13*POWER(A275,'难度参数'!$E$20)*MIN('难度参数'!$E$23,1+MAX(0,A275-'难度参数'!$E$21)*'难度参数'!$E$22))*(36+6*7)/(36+7*(D275+1)/2)*E275,0))</x:f>
        <x:v>9240</x:v>
      </x:c>
      <x:c r="AT275" s="119" t="n">
        <x:f>IF(AR275=0,0,(AR275-IF(6=D275,1,0))*ROUND(AS275*VLOOKUP(INDEX('章节与怪物'!$E$31:$K$37,B275,6),'章节与怪物'!$A$41:$F$44,2,FALSE),0)+IF(6=D275,ROUND(AS275*'难度参数'!$E$28*'章节与怪物'!$E$17,0),0))</x:f>
        <x:v>581196</x:v>
      </x:c>
      <x:c r="AU275" s="119" t="n">
        <x:f>IF(AR275=0,0,(AR275-IF(6=D275,1,0))*VLOOKUP(INDEX('章节与怪物'!$E$31:$K$37,B275,6),'章节与怪物'!$A$41:$F$44,4,FALSE)+IF(6=D275,'难度参数'!$E$30,0))</x:f>
        <x:v>1036</x:v>
      </x:c>
      <x:c r="AV275" s="119" t="n">
        <x:f>IF(7&gt;D275,0,MAX(2,MIN('难度参数'!$E$12,ROUND(('难度参数'!$E$18*POWER(A275,'难度参数'!$E$19)/D275*(0.85+0.3*(7-1)/MAX(1,D275-1))),0)+F275)))</x:f>
        <x:v>38</x:v>
      </x:c>
      <x:c r="AW275" s="119" t="n">
        <x:f>IF(7&gt;D275,0,ROUND(('难度参数'!$E$13*POWER(A275,'难度参数'!$E$20)*MIN('难度参数'!$E$23,1+MAX(0,A275-'难度参数'!$E$21)*'难度参数'!$E$22))*(36+7*7)/(36+7*(D275+1)/2)*E275,0))</x:f>
        <x:v>10069</x:v>
      </x:c>
      <x:c r="AX275" s="119" t="n">
        <x:f>IF(AV275=0,0,(AV275-IF(7=D275,1,0))*ROUND(AW275*VLOOKUP(INDEX('章节与怪物'!$E$31:$K$37,B275,7),'章节与怪物'!$A$41:$F$44,2,FALSE),0)+IF(7=D275,ROUND(AW275*'难度参数'!$E$28*'章节与怪物'!$E$17,0),0))</x:f>
        <x:v>571410</x:v>
      </x:c>
      <x:c r="AY275" s="119" t="n">
        <x:f>IF(AV275=0,0,(AV275-IF(7=D275,1,0))*VLOOKUP(INDEX('章节与怪物'!$E$31:$K$37,B275,7),'章节与怪物'!$A$41:$F$44,4,FALSE)+IF(7=D275,'难度参数'!$E$30,0))</x:f>
        <x:v>1458</x:v>
      </x:c>
    </x:row>
    <x:row r="276" ht="23" customHeight="1">
      <x:c r="A276" s="119" t="n">
        <x:v>270</x:v>
      </x:c>
      <x:c r="B276" s="119" t="n">
        <x:f>MOD(INT((A276-1)/5),7)+1</x:f>
        <x:v>5</x:v>
      </x:c>
      <x:c r="C276" s="62" t="str">
        <x:f>INDEX('章节与怪物'!$B$31:$B$37,B276)</x:f>
        <x:v>雨林遗迹</x:v>
      </x:c>
      <x:c r="D276" s="119" t="n">
        <x:f>MIN('难度参数'!$E$8,MAX('难度参数'!$E$7,A276))</x:f>
        <x:v>7</x:v>
      </x:c>
      <x:c r="E276" s="106" t="n">
        <x:v>1</x:v>
      </x:c>
      <x:c r="F276" s="106" t="n">
        <x:v>0</x:v>
      </x:c>
      <x:c r="G276" s="106" t="n">
        <x:v>1</x:v>
      </x:c>
      <x:c r="H276" s="119" t="n">
        <x:f>SUM(X276,AB276,AF276,AJ276,AN276,AR276,AV276)</x:f>
        <x:v>233</x:v>
      </x:c>
      <x:c r="I276" s="119" t="n">
        <x:f>SUM(Z276,AD276,AH276,AL276,AP276,AT276,AX276)</x:f>
        <x:v>2346513</x:v>
      </x:c>
      <x:c r="J276" s="119" t="n">
        <x:f>ROUND(INDEX(X276:AY276,1,(D276-1)*4+2)*'难度参数'!$E$28*'章节与怪物'!$E$17,0)</x:f>
        <x:v>68653</x:v>
      </x:c>
      <x:c r="K276" s="119" t="n">
        <x:f>SUM(AA276,AE276,AI276,AM276,AQ276,AU276,AY276)</x:f>
        <x:v>6316</x:v>
      </x:c>
      <x:c r="L276" s="62" t="n">
        <x:f>H276*(ROUNDUP('难度参数'!$E$24/('难度参数'!$E$26*'难度参数'!$E$27),0)*'难度参数'!$E$26)/60</x:f>
        <x:v>3.106666666666667</x:v>
      </x:c>
      <x:c r="M276" s="62" t="n">
        <x:f>L276+D276*('难度参数'!$E$49+'难度参数'!$E$50)/60</x:f>
        <x:v>4.273333333333333</x:v>
      </x:c>
      <x:c r="N276" s="119" t="n">
        <x:f>ROUNDDOWN(('经济参数'!$E$20+A276*'经济参数'!$E$21)*G276,0)</x:f>
        <x:v>5580</x:v>
      </x:c>
      <x:c r="O276" s="119" t="n">
        <x:f>ROUNDDOWN(MIN('经济参数'!$E$24,'经济参数'!$E$22+A276*'经济参数'!$E$23)*G276,0)</x:f>
        <x:v>0</x:v>
      </x:c>
      <x:c r="P276" s="119" t="n">
        <x:f>ROUNDDOWN((IF(A276&gt;='材料与任务'!$E$31,'材料与任务'!$E$32,IF(A276&gt;='材料与任务'!$E$25,'材料与任务'!$E$26,IF(A276&gt;='材料与任务'!$E$19,'材料与任务'!$E$20,IF(A276&gt;='材料与任务'!$E$13,'材料与任务'!$E$14,'材料与任务'!$E$8)))))*G276,0)</x:f>
        <x:v>6</x:v>
      </x:c>
      <x:c r="Q276" s="119" t="n">
        <x:f>ROUNDDOWN((IF(A276&gt;='材料与任务'!$E$31,'材料与任务'!$E$33,IF(A276&gt;='材料与任务'!$E$25,'材料与任务'!$E$27,IF(A276&gt;='材料与任务'!$E$19,'材料与任务'!$E$21,IF(A276&gt;='材料与任务'!$E$13,'材料与任务'!$E$15,'材料与任务'!$E$9)))))*G276,0)</x:f>
        <x:v>3</x:v>
      </x:c>
      <x:c r="R276" s="110" t="n">
        <x:f>'装备掉落'!$B$38</x:f>
        <x:v>0.6872058758851213</x:v>
      </x:c>
      <x:c r="S276" s="119" t="n">
        <x:f>MAX(IF(VLOOKUP(A276,'装备掉落'!$A$29:$H$34,2,TRUE)&gt;0,1,0),IF(VLOOKUP(A276,'装备掉落'!$A$29:$H$34,3,TRUE)&gt;0,2,0),IF(VLOOKUP(A276,'装备掉落'!$A$29:$H$34,4,TRUE)&gt;0,3,0),IF(VLOOKUP(A276,'装备掉落'!$A$29:$H$34,5,TRUE)&gt;0,4,0),IF(VLOOKUP(A276,'装备掉落'!$A$29:$H$34,6,TRUE)&gt;0,5,0),IF(VLOOKUP(A276,'装备掉落'!$A$29:$H$34,7,TRUE)&gt;0,6,0),IF(VLOOKUP(A276,'装备掉落'!$A$29:$H$34,8,TRUE)&gt;0,7,0))</x:f>
        <x:v>7</x:v>
      </x:c>
      <x:c r="T276" s="119" t="n">
        <x:f>MIN(7,S276+'经济参数'!$E$70)</x:f>
        <x:v>7</x:v>
      </x:c>
      <x:c r="U276" s="119" t="n">
        <x:f>MIN(7,S276+'经济参数'!$E$71)</x:f>
        <x:v>7</x:v>
      </x:c>
      <x:c r="V276" s="119" t="n">
        <x:f>IF(H276&gt;=('难度参数'!$E$52),1,0)+IF(H276&gt;=('难度参数'!$E$52+'难度参数'!$E$53),1,0)+IF(H276&gt;=('难度参数'!$E$52+'难度参数'!$E$53+'难度参数'!$E$54),1,0)+IF(H276&gt;=('难度参数'!$E$52+'难度参数'!$E$53+'难度参数'!$E$54+'难度参数'!$E$55),1,0)+IF(H276&gt;=('难度参数'!$E$52+'难度参数'!$E$53+'难度参数'!$E$54+'难度参数'!$E$55+'难度参数'!$E$56),1,0)+IF(H276&gt;=('难度参数'!$E$52+'难度参数'!$E$53+'难度参数'!$E$54+'难度参数'!$E$55+'难度参数'!$E$56+'难度参数'!$E$57),1,0)</x:f>
        <x:v>6</x:v>
      </x:c>
      <x:c r="W276" s="62" t="str">
        <x:f>IF(L276&gt;'难度参数'!$E$51,"仅出怪已超目标","还需实测")</x:f>
        <x:v>仅出怪已超目标</x:v>
      </x:c>
      <x:c r="X276" s="119" t="n">
        <x:f>IF(1&gt;D276,0,MAX(2,MIN('难度参数'!$E$12,ROUND(('难度参数'!$E$18*POWER(A276,'难度参数'!$E$19)/D276*(0.85+0.3*(1-1)/MAX(1,D276-1))),0)+F276)))</x:f>
        <x:v>28</x:v>
      </x:c>
      <x:c r="Y276" s="119" t="n">
        <x:f>IF(1&gt;D276,0,ROUND(('难度参数'!$E$13*POWER(A276,'难度参数'!$E$20)*MIN('难度参数'!$E$23,1+MAX(0,A276-'难度参数'!$E$21)*'难度参数'!$E$22))*(36+1*7)/(36+7*(D276+1)/2)*E276,0))</x:f>
        <x:v>5107</x:v>
      </x:c>
      <x:c r="Z276" s="119" t="n">
        <x:f>IF(X276=0,0,(X276-IF(1=D276,1,0))*ROUND(Y276*VLOOKUP(INDEX('章节与怪物'!$E$31:$K$37,B276,1),'章节与怪物'!$A$41:$F$44,2,FALSE),0)+IF(1=D276,ROUND(Y276*'难度参数'!$E$28*'章节与怪物'!$E$17,0),0))</x:f>
        <x:v>142996</x:v>
      </x:c>
      <x:c r="AA276" s="119" t="n">
        <x:f>IF(X276=0,0,(X276-IF(1=D276,1,0))*VLOOKUP(INDEX('章节与怪物'!$E$31:$K$37,B276,1),'章节与怪物'!$A$41:$F$44,4,FALSE)+IF(1=D276,'难度参数'!$E$30,0))</x:f>
        <x:v>504</x:v>
      </x:c>
      <x:c r="AB276" s="119" t="n">
        <x:f>IF(2&gt;D276,0,MAX(2,MIN('难度参数'!$E$12,ROUND(('难度参数'!$E$18*POWER(A276,'难度参数'!$E$19)/D276*(0.85+0.3*(2-1)/MAX(1,D276-1))),0)+F276)))</x:f>
        <x:v>30</x:v>
      </x:c>
      <x:c r="AC276" s="119" t="n">
        <x:f>IF(2&gt;D276,0,ROUND(('难度参数'!$E$13*POWER(A276,'难度参数'!$E$20)*MIN('难度参数'!$E$23,1+MAX(0,A276-'难度参数'!$E$21)*'难度参数'!$E$22))*(36+2*7)/(36+7*(D276+1)/2)*E276,0))</x:f>
        <x:v>5939</x:v>
      </x:c>
      <x:c r="AD276" s="119" t="n">
        <x:f>IF(AB276=0,0,(AB276-IF(2=D276,1,0))*ROUND(AC276*VLOOKUP(INDEX('章节与怪物'!$E$31:$K$37,B276,2),'章节与怪物'!$A$41:$F$44,2,FALSE),0)+IF(2=D276,ROUND(AC276*'难度参数'!$E$28*'章节与怪物'!$E$17,0),0))</x:f>
        <x:v>128280</x:v>
      </x:c>
      <x:c r="AE276" s="119" t="n">
        <x:f>IF(AB276=0,0,(AB276-IF(2=D276,1,0))*VLOOKUP(INDEX('章节与怪物'!$E$31:$K$37,B276,2),'章节与怪物'!$A$41:$F$44,4,FALSE)+IF(2=D276,'难度参数'!$E$30,0))</x:f>
        <x:v>600</x:v>
      </x:c>
      <x:c r="AF276" s="119" t="n">
        <x:f>IF(3&gt;D276,0,MAX(2,MIN('难度参数'!$E$12,ROUND(('难度参数'!$E$18*POWER(A276,'难度参数'!$E$19)/D276*(0.85+0.3*(3-1)/MAX(1,D276-1))),0)+F276)))</x:f>
        <x:v>32</x:v>
      </x:c>
      <x:c r="AG276" s="119" t="n">
        <x:f>IF(3&gt;D276,0,ROUND(('难度参数'!$E$13*POWER(A276,'难度参数'!$E$20)*MIN('难度参数'!$E$23,1+MAX(0,A276-'难度参数'!$E$21)*'难度参数'!$E$22))*(36+3*7)/(36+7*(D276+1)/2)*E276,0))</x:f>
        <x:v>6770</x:v>
      </x:c>
      <x:c r="AH276" s="119" t="n">
        <x:f>IF(AF276=0,0,(AF276-IF(3=D276,1,0))*ROUND(AG276*VLOOKUP(INDEX('章节与怪物'!$E$31:$K$37,B276,3),'章节与怪物'!$A$41:$F$44,2,FALSE),0)+IF(3=D276,ROUND(AG276*'难度参数'!$E$28*'章节与怪物'!$E$17,0),0))</x:f>
        <x:v>368288</x:v>
      </x:c>
      <x:c r="AI276" s="119" t="n">
        <x:f>IF(AF276=0,0,(AF276-IF(3=D276,1,0))*VLOOKUP(INDEX('章节与怪物'!$E$31:$K$37,B276,3),'章节与怪物'!$A$41:$F$44,4,FALSE)+IF(3=D276,'难度参数'!$E$30,0))</x:f>
        <x:v>896</x:v>
      </x:c>
      <x:c r="AJ276" s="119" t="n">
        <x:f>IF(4&gt;D276,0,MAX(2,MIN('难度参数'!$E$12,ROUND(('难度参数'!$E$18*POWER(A276,'难度参数'!$E$19)/D276*(0.85+0.3*(4-1)/MAX(1,D276-1))),0)+F276)))</x:f>
        <x:v>33</x:v>
      </x:c>
      <x:c r="AK276" s="119" t="n">
        <x:f>IF(4&gt;D276,0,ROUND(('难度参数'!$E$13*POWER(A276,'难度参数'!$E$20)*MIN('难度参数'!$E$23,1+MAX(0,A276-'难度参数'!$E$21)*'难度参数'!$E$22))*(36+4*7)/(36+7*(D276+1)/2)*E276,0))</x:f>
        <x:v>7602</x:v>
      </x:c>
      <x:c r="AL276" s="119" t="n">
        <x:f>IF(AJ276=0,0,(AJ276-IF(4=D276,1,0))*ROUND(AK276*VLOOKUP(INDEX('章节与怪物'!$E$31:$K$37,B276,4),'章节与怪物'!$A$41:$F$44,2,FALSE),0)+IF(4=D276,ROUND(AK276*'难度参数'!$E$28*'章节与怪物'!$E$17,0),0))</x:f>
        <x:v>338679</x:v>
      </x:c>
      <x:c r="AM276" s="119" t="n">
        <x:f>IF(AJ276=0,0,(AJ276-IF(4=D276,1,0))*VLOOKUP(INDEX('章节与怪物'!$E$31:$K$37,B276,4),'章节与怪物'!$A$41:$F$44,4,FALSE)+IF(4=D276,'难度参数'!$E$30,0))</x:f>
        <x:v>1122</x:v>
      </x:c>
      <x:c r="AN276" s="119" t="n">
        <x:f>IF(5&gt;D276,0,MAX(2,MIN('难度参数'!$E$12,ROUND(('难度参数'!$E$18*POWER(A276,'难度参数'!$E$19)/D276*(0.85+0.3*(5-1)/MAX(1,D276-1))),0)+F276)))</x:f>
        <x:v>35</x:v>
      </x:c>
      <x:c r="AO276" s="119" t="n">
        <x:f>IF(5&gt;D276,0,ROUND(('难度参数'!$E$13*POWER(A276,'难度参数'!$E$20)*MIN('难度参数'!$E$23,1+MAX(0,A276-'难度参数'!$E$21)*'难度参数'!$E$22))*(36+5*7)/(36+7*(D276+1)/2)*E276,0))</x:f>
        <x:v>8433</x:v>
      </x:c>
      <x:c r="AP276" s="119" t="n">
        <x:f>IF(AN276=0,0,(AN276-IF(5=D276,1,0))*ROUND(AO276*VLOOKUP(INDEX('章节与怪物'!$E$31:$K$37,B276,5),'章节与怪物'!$A$41:$F$44,2,FALSE),0)+IF(5=D276,ROUND(AO276*'难度参数'!$E$28*'章节与怪物'!$E$17,0),0))</x:f>
        <x:v>212520</x:v>
      </x:c>
      <x:c r="AQ276" s="119" t="n">
        <x:f>IF(AN276=0,0,(AN276-IF(5=D276,1,0))*VLOOKUP(INDEX('章节与怪物'!$E$31:$K$37,B276,5),'章节与怪物'!$A$41:$F$44,4,FALSE)+IF(5=D276,'难度参数'!$E$30,0))</x:f>
        <x:v>700</x:v>
      </x:c>
      <x:c r="AR276" s="119" t="n">
        <x:f>IF(6&gt;D276,0,MAX(2,MIN('难度参数'!$E$12,ROUND(('难度参数'!$E$18*POWER(A276,'难度参数'!$E$19)/D276*(0.85+0.3*(6-1)/MAX(1,D276-1))),0)+F276)))</x:f>
        <x:v>37</x:v>
      </x:c>
      <x:c r="AS276" s="119" t="n">
        <x:f>IF(6&gt;D276,0,ROUND(('难度参数'!$E$13*POWER(A276,'难度参数'!$E$20)*MIN('难度参数'!$E$23,1+MAX(0,A276-'难度参数'!$E$21)*'难度参数'!$E$22))*(36+6*7)/(36+7*(D276+1)/2)*E276,0))</x:f>
        <x:v>9265</x:v>
      </x:c>
      <x:c r="AT276" s="119" t="n">
        <x:f>IF(AR276=0,0,(AR276-IF(6=D276,1,0))*ROUND(AS276*VLOOKUP(INDEX('章节与怪物'!$E$31:$K$37,B276,6),'章节与怪物'!$A$41:$F$44,2,FALSE),0)+IF(6=D276,ROUND(AS276*'难度参数'!$E$28*'章节与怪物'!$E$17,0),0))</x:f>
        <x:v>582787</x:v>
      </x:c>
      <x:c r="AU276" s="119" t="n">
        <x:f>IF(AR276=0,0,(AR276-IF(6=D276,1,0))*VLOOKUP(INDEX('章节与怪物'!$E$31:$K$37,B276,6),'章节与怪物'!$A$41:$F$44,4,FALSE)+IF(6=D276,'难度参数'!$E$30,0))</x:f>
        <x:v>1036</x:v>
      </x:c>
      <x:c r="AV276" s="119" t="n">
        <x:f>IF(7&gt;D276,0,MAX(2,MIN('难度参数'!$E$12,ROUND(('难度参数'!$E$18*POWER(A276,'难度参数'!$E$19)/D276*(0.85+0.3*(7-1)/MAX(1,D276-1))),0)+F276)))</x:f>
        <x:v>38</x:v>
      </x:c>
      <x:c r="AW276" s="119" t="n">
        <x:f>IF(7&gt;D276,0,ROUND(('难度参数'!$E$13*POWER(A276,'难度参数'!$E$20)*MIN('难度参数'!$E$23,1+MAX(0,A276-'难度参数'!$E$21)*'难度参数'!$E$22))*(36+7*7)/(36+7*(D276+1)/2)*E276,0))</x:f>
        <x:v>10096</x:v>
      </x:c>
      <x:c r="AX276" s="119" t="n">
        <x:f>IF(AV276=0,0,(AV276-IF(7=D276,1,0))*ROUND(AW276*VLOOKUP(INDEX('章节与怪物'!$E$31:$K$37,B276,7),'章节与怪物'!$A$41:$F$44,2,FALSE),0)+IF(7=D276,ROUND(AW276*'难度参数'!$E$28*'章节与怪物'!$E$17,0),0))</x:f>
        <x:v>572963</x:v>
      </x:c>
      <x:c r="AY276" s="119" t="n">
        <x:f>IF(AV276=0,0,(AV276-IF(7=D276,1,0))*VLOOKUP(INDEX('章节与怪物'!$E$31:$K$37,B276,7),'章节与怪物'!$A$41:$F$44,4,FALSE)+IF(7=D276,'难度参数'!$E$30,0))</x:f>
        <x:v>1458</x:v>
      </x:c>
    </x:row>
    <x:row r="277" ht="23" customHeight="1">
      <x:c r="A277" s="119" t="n">
        <x:v>271</x:v>
      </x:c>
      <x:c r="B277" s="119" t="n">
        <x:f>MOD(INT((A277-1)/5),7)+1</x:f>
        <x:v>6</x:v>
      </x:c>
      <x:c r="C277" s="62" t="str">
        <x:f>INDEX('章节与怪物'!$B$31:$B$37,B277)</x:f>
        <x:v>熔岩山脉</x:v>
      </x:c>
      <x:c r="D277" s="119" t="n">
        <x:f>MIN('难度参数'!$E$8,MAX('难度参数'!$E$7,A277))</x:f>
        <x:v>7</x:v>
      </x:c>
      <x:c r="E277" s="106" t="n">
        <x:v>1</x:v>
      </x:c>
      <x:c r="F277" s="106" t="n">
        <x:v>0</x:v>
      </x:c>
      <x:c r="G277" s="106" t="n">
        <x:v>1</x:v>
      </x:c>
      <x:c r="H277" s="119" t="n">
        <x:f>SUM(X277,AB277,AF277,AJ277,AN277,AR277,AV277)</x:f>
        <x:v>234</x:v>
      </x:c>
      <x:c r="I277" s="119" t="n">
        <x:f>SUM(Z277,AD277,AH277,AL277,AP277,AT277,AX277)</x:f>
        <x:v>2459107</x:v>
      </x:c>
      <x:c r="J277" s="119" t="n">
        <x:f>ROUND(INDEX(X277:AY277,1,(D277-1)*4+2)*'难度参数'!$E$28*'章节与怪物'!$E$17,0)</x:f>
        <x:v>68836</x:v>
      </x:c>
      <x:c r="K277" s="119" t="n">
        <x:f>SUM(AA277,AE277,AI277,AM277,AQ277,AU277,AY277)</x:f>
        <x:v>6276</x:v>
      </x:c>
      <x:c r="L277" s="62" t="n">
        <x:f>H277*(ROUNDUP('难度参数'!$E$24/('难度参数'!$E$26*'难度参数'!$E$27),0)*'难度参数'!$E$26)/60</x:f>
        <x:v>3.12</x:v>
      </x:c>
      <x:c r="M277" s="62" t="n">
        <x:f>L277+D277*('难度参数'!$E$49+'难度参数'!$E$50)/60</x:f>
        <x:v>4.286666666666667</x:v>
      </x:c>
      <x:c r="N277" s="119" t="n">
        <x:f>ROUNDDOWN(('经济参数'!$E$20+A277*'经济参数'!$E$21)*G277,0)</x:f>
        <x:v>5600</x:v>
      </x:c>
      <x:c r="O277" s="119" t="n">
        <x:f>ROUNDDOWN(MIN('经济参数'!$E$24,'经济参数'!$E$22+A277*'经济参数'!$E$23)*G277,0)</x:f>
        <x:v>0</x:v>
      </x:c>
      <x:c r="P277" s="119" t="n">
        <x:f>ROUNDDOWN((IF(A277&gt;='材料与任务'!$E$31,'材料与任务'!$E$32,IF(A277&gt;='材料与任务'!$E$25,'材料与任务'!$E$26,IF(A277&gt;='材料与任务'!$E$19,'材料与任务'!$E$20,IF(A277&gt;='材料与任务'!$E$13,'材料与任务'!$E$14,'材料与任务'!$E$8)))))*G277,0)</x:f>
        <x:v>6</x:v>
      </x:c>
      <x:c r="Q277" s="119" t="n">
        <x:f>ROUNDDOWN((IF(A277&gt;='材料与任务'!$E$31,'材料与任务'!$E$33,IF(A277&gt;='材料与任务'!$E$25,'材料与任务'!$E$27,IF(A277&gt;='材料与任务'!$E$19,'材料与任务'!$E$21,IF(A277&gt;='材料与任务'!$E$13,'材料与任务'!$E$15,'材料与任务'!$E$9)))))*G277,0)</x:f>
        <x:v>3</x:v>
      </x:c>
      <x:c r="R277" s="110" t="n">
        <x:f>'装备掉落'!$B$38</x:f>
        <x:v>0.6872058758851213</x:v>
      </x:c>
      <x:c r="S277" s="119" t="n">
        <x:f>MAX(IF(VLOOKUP(A277,'装备掉落'!$A$29:$H$34,2,TRUE)&gt;0,1,0),IF(VLOOKUP(A277,'装备掉落'!$A$29:$H$34,3,TRUE)&gt;0,2,0),IF(VLOOKUP(A277,'装备掉落'!$A$29:$H$34,4,TRUE)&gt;0,3,0),IF(VLOOKUP(A277,'装备掉落'!$A$29:$H$34,5,TRUE)&gt;0,4,0),IF(VLOOKUP(A277,'装备掉落'!$A$29:$H$34,6,TRUE)&gt;0,5,0),IF(VLOOKUP(A277,'装备掉落'!$A$29:$H$34,7,TRUE)&gt;0,6,0),IF(VLOOKUP(A277,'装备掉落'!$A$29:$H$34,8,TRUE)&gt;0,7,0))</x:f>
        <x:v>7</x:v>
      </x:c>
      <x:c r="T277" s="119" t="n">
        <x:f>MIN(7,S277+'经济参数'!$E$70)</x:f>
        <x:v>7</x:v>
      </x:c>
      <x:c r="U277" s="119" t="n">
        <x:f>MIN(7,S277+'经济参数'!$E$71)</x:f>
        <x:v>7</x:v>
      </x:c>
      <x:c r="V277" s="119" t="n">
        <x:f>IF(H277&gt;=('难度参数'!$E$52),1,0)+IF(H277&gt;=('难度参数'!$E$52+'难度参数'!$E$53),1,0)+IF(H277&gt;=('难度参数'!$E$52+'难度参数'!$E$53+'难度参数'!$E$54),1,0)+IF(H277&gt;=('难度参数'!$E$52+'难度参数'!$E$53+'难度参数'!$E$54+'难度参数'!$E$55),1,0)+IF(H277&gt;=('难度参数'!$E$52+'难度参数'!$E$53+'难度参数'!$E$54+'难度参数'!$E$55+'难度参数'!$E$56),1,0)+IF(H277&gt;=('难度参数'!$E$52+'难度参数'!$E$53+'难度参数'!$E$54+'难度参数'!$E$55+'难度参数'!$E$56+'难度参数'!$E$57),1,0)</x:f>
        <x:v>6</x:v>
      </x:c>
      <x:c r="W277" s="62" t="str">
        <x:f>IF(L277&gt;'难度参数'!$E$51,"仅出怪已超目标","还需实测")</x:f>
        <x:v>仅出怪已超目标</x:v>
      </x:c>
      <x:c r="X277" s="119" t="n">
        <x:f>IF(1&gt;D277,0,MAX(2,MIN('难度参数'!$E$12,ROUND(('难度参数'!$E$18*POWER(A277,'难度参数'!$E$19)/D277*(0.85+0.3*(1-1)/MAX(1,D277-1))),0)+F277)))</x:f>
        <x:v>28</x:v>
      </x:c>
      <x:c r="Y277" s="119" t="n">
        <x:f>IF(1&gt;D277,0,ROUND(('难度参数'!$E$13*POWER(A277,'难度参数'!$E$20)*MIN('难度参数'!$E$23,1+MAX(0,A277-'难度参数'!$E$21)*'难度参数'!$E$22))*(36+1*7)/(36+7*(D277+1)/2)*E277,0))</x:f>
        <x:v>5121</x:v>
      </x:c>
      <x:c r="Z277" s="119" t="n">
        <x:f>IF(X277=0,0,(X277-IF(1=D277,1,0))*ROUND(Y277*VLOOKUP(INDEX('章节与怪物'!$E$31:$K$37,B277,1),'章节与怪物'!$A$41:$F$44,2,FALSE),0)+IF(1=D277,ROUND(Y277*'难度参数'!$E$28*'章节与怪物'!$E$17,0),0))</x:f>
        <x:v>103236</x:v>
      </x:c>
      <x:c r="AA277" s="119" t="n">
        <x:f>IF(X277=0,0,(X277-IF(1=D277,1,0))*VLOOKUP(INDEX('章节与怪物'!$E$31:$K$37,B277,1),'章节与怪物'!$A$41:$F$44,4,FALSE)+IF(1=D277,'难度参数'!$E$30,0))</x:f>
        <x:v>560</x:v>
      </x:c>
      <x:c r="AB277" s="119" t="n">
        <x:f>IF(2&gt;D277,0,MAX(2,MIN('难度参数'!$E$12,ROUND(('难度参数'!$E$18*POWER(A277,'难度参数'!$E$19)/D277*(0.85+0.3*(2-1)/MAX(1,D277-1))),0)+F277)))</x:f>
        <x:v>30</x:v>
      </x:c>
      <x:c r="AC277" s="119" t="n">
        <x:f>IF(2&gt;D277,0,ROUND(('难度参数'!$E$13*POWER(A277,'难度参数'!$E$20)*MIN('难度参数'!$E$23,1+MAX(0,A277-'难度参数'!$E$21)*'难度参数'!$E$22))*(36+2*7)/(36+7*(D277+1)/2)*E277,0))</x:f>
        <x:v>5955</x:v>
      </x:c>
      <x:c r="AD277" s="119" t="n">
        <x:f>IF(AB277=0,0,(AB277-IF(2=D277,1,0))*ROUND(AC277*VLOOKUP(INDEX('章节与怪物'!$E$31:$K$37,B277,2),'章节与怪物'!$A$41:$F$44,2,FALSE),0)+IF(2=D277,ROUND(AC277*'难度参数'!$E$28*'章节与怪物'!$E$17,0),0))</x:f>
        <x:v>178650</x:v>
      </x:c>
      <x:c r="AE277" s="119" t="n">
        <x:f>IF(AB277=0,0,(AB277-IF(2=D277,1,0))*VLOOKUP(INDEX('章节与怪物'!$E$31:$K$37,B277,2),'章节与怪物'!$A$41:$F$44,4,FALSE)+IF(2=D277,'难度参数'!$E$30,0))</x:f>
        <x:v>540</x:v>
      </x:c>
      <x:c r="AF277" s="119" t="n">
        <x:f>IF(3&gt;D277,0,MAX(2,MIN('难度参数'!$E$12,ROUND(('难度参数'!$E$18*POWER(A277,'难度参数'!$E$19)/D277*(0.85+0.3*(3-1)/MAX(1,D277-1))),0)+F277)))</x:f>
        <x:v>32</x:v>
      </x:c>
      <x:c r="AG277" s="119" t="n">
        <x:f>IF(3&gt;D277,0,ROUND(('难度参数'!$E$13*POWER(A277,'难度参数'!$E$20)*MIN('难度参数'!$E$23,1+MAX(0,A277-'难度参数'!$E$21)*'难度参数'!$E$22))*(36+3*7)/(36+7*(D277+1)/2)*E277,0))</x:f>
        <x:v>6788</x:v>
      </x:c>
      <x:c r="AH277" s="119" t="n">
        <x:f>IF(AF277=0,0,(AF277-IF(3=D277,1,0))*ROUND(AG277*VLOOKUP(INDEX('章节与怪物'!$E$31:$K$37,B277,3),'章节与怪物'!$A$41:$F$44,2,FALSE),0)+IF(3=D277,ROUND(AG277*'难度参数'!$E$28*'章节与怪物'!$E$17,0),0))</x:f>
        <x:v>369280</x:v>
      </x:c>
      <x:c r="AI277" s="119" t="n">
        <x:f>IF(AF277=0,0,(AF277-IF(3=D277,1,0))*VLOOKUP(INDEX('章节与怪物'!$E$31:$K$37,B277,3),'章节与怪物'!$A$41:$F$44,4,FALSE)+IF(3=D277,'难度参数'!$E$30,0))</x:f>
        <x:v>896</x:v>
      </x:c>
      <x:c r="AJ277" s="119" t="n">
        <x:f>IF(4&gt;D277,0,MAX(2,MIN('难度参数'!$E$12,ROUND(('难度参数'!$E$18*POWER(A277,'难度参数'!$E$19)/D277*(0.85+0.3*(4-1)/MAX(1,D277-1))),0)+F277)))</x:f>
        <x:v>33</x:v>
      </x:c>
      <x:c r="AK277" s="119" t="n">
        <x:f>IF(4&gt;D277,0,ROUND(('难度参数'!$E$13*POWER(A277,'难度参数'!$E$20)*MIN('难度参数'!$E$23,1+MAX(0,A277-'难度参数'!$E$21)*'难度参数'!$E$22))*(36+4*7)/(36+7*(D277+1)/2)*E277,0))</x:f>
        <x:v>7622</x:v>
      </x:c>
      <x:c r="AL277" s="119" t="n">
        <x:f>IF(AJ277=0,0,(AJ277-IF(4=D277,1,0))*ROUND(AK277*VLOOKUP(INDEX('章节与怪物'!$E$31:$K$37,B277,4),'章节与怪物'!$A$41:$F$44,2,FALSE),0)+IF(4=D277,ROUND(AK277*'难度参数'!$E$28*'章节与怪物'!$E$17,0),0))</x:f>
        <x:v>339570</x:v>
      </x:c>
      <x:c r="AM277" s="119" t="n">
        <x:f>IF(AJ277=0,0,(AJ277-IF(4=D277,1,0))*VLOOKUP(INDEX('章节与怪物'!$E$31:$K$37,B277,4),'章节与怪物'!$A$41:$F$44,4,FALSE)+IF(4=D277,'难度参数'!$E$30,0))</x:f>
        <x:v>1122</x:v>
      </x:c>
      <x:c r="AN277" s="119" t="n">
        <x:f>IF(5&gt;D277,0,MAX(2,MIN('难度参数'!$E$12,ROUND(('难度参数'!$E$18*POWER(A277,'难度参数'!$E$19)/D277*(0.85+0.3*(5-1)/MAX(1,D277-1))),0)+F277)))</x:f>
        <x:v>35</x:v>
      </x:c>
      <x:c r="AO277" s="119" t="n">
        <x:f>IF(5&gt;D277,0,ROUND(('难度参数'!$E$13*POWER(A277,'难度参数'!$E$20)*MIN('难度参数'!$E$23,1+MAX(0,A277-'难度参数'!$E$21)*'难度参数'!$E$22))*(36+5*7)/(36+7*(D277+1)/2)*E277,0))</x:f>
        <x:v>8456</x:v>
      </x:c>
      <x:c r="AP277" s="119" t="n">
        <x:f>IF(AN277=0,0,(AN277-IF(5=D277,1,0))*ROUND(AO277*VLOOKUP(INDEX('章节与怪物'!$E$31:$K$37,B277,5),'章节与怪物'!$A$41:$F$44,2,FALSE),0)+IF(5=D277,ROUND(AO277*'难度参数'!$E$28*'章节与怪物'!$E$17,0),0))</x:f>
        <x:v>295960</x:v>
      </x:c>
      <x:c r="AQ277" s="119" t="n">
        <x:f>IF(AN277=0,0,(AN277-IF(5=D277,1,0))*VLOOKUP(INDEX('章节与怪物'!$E$31:$K$37,B277,5),'章节与怪物'!$A$41:$F$44,4,FALSE)+IF(5=D277,'难度参数'!$E$30,0))</x:f>
        <x:v>630</x:v>
      </x:c>
      <x:c r="AR277" s="119" t="n">
        <x:f>IF(6&gt;D277,0,MAX(2,MIN('难度参数'!$E$12,ROUND(('难度参数'!$E$18*POWER(A277,'难度参数'!$E$19)/D277*(0.85+0.3*(6-1)/MAX(1,D277-1))),0)+F277)))</x:f>
        <x:v>37</x:v>
      </x:c>
      <x:c r="AS277" s="119" t="n">
        <x:f>IF(6&gt;D277,0,ROUND(('难度参数'!$E$13*POWER(A277,'难度参数'!$E$20)*MIN('难度参数'!$E$23,1+MAX(0,A277-'难度参数'!$E$21)*'难度参数'!$E$22))*(36+6*7)/(36+7*(D277+1)/2)*E277,0))</x:f>
        <x:v>9289</x:v>
      </x:c>
      <x:c r="AT277" s="119" t="n">
        <x:f>IF(AR277=0,0,(AR277-IF(6=D277,1,0))*ROUND(AS277*VLOOKUP(INDEX('章节与怪物'!$E$31:$K$37,B277,6),'章节与怪物'!$A$41:$F$44,2,FALSE),0)+IF(6=D277,ROUND(AS277*'难度参数'!$E$28*'章节与怪物'!$E$17,0),0))</x:f>
        <x:v>584267</x:v>
      </x:c>
      <x:c r="AU277" s="119" t="n">
        <x:f>IF(AR277=0,0,(AR277-IF(6=D277,1,0))*VLOOKUP(INDEX('章节与怪物'!$E$31:$K$37,B277,6),'章节与怪物'!$A$41:$F$44,4,FALSE)+IF(6=D277,'难度参数'!$E$30,0))</x:f>
        <x:v>1036</x:v>
      </x:c>
      <x:c r="AV277" s="119" t="n">
        <x:f>IF(7&gt;D277,0,MAX(2,MIN('难度参数'!$E$12,ROUND(('难度参数'!$E$18*POWER(A277,'难度参数'!$E$19)/D277*(0.85+0.3*(7-1)/MAX(1,D277-1))),0)+F277)))</x:f>
        <x:v>39</x:v>
      </x:c>
      <x:c r="AW277" s="119" t="n">
        <x:f>IF(7&gt;D277,0,ROUND(('难度参数'!$E$13*POWER(A277,'难度参数'!$E$20)*MIN('难度参数'!$E$23,1+MAX(0,A277-'难度参数'!$E$21)*'难度参数'!$E$22))*(36+7*7)/(36+7*(D277+1)/2)*E277,0))</x:f>
        <x:v>10123</x:v>
      </x:c>
      <x:c r="AX277" s="119" t="n">
        <x:f>IF(AV277=0,0,(AV277-IF(7=D277,1,0))*ROUND(AW277*VLOOKUP(INDEX('章节与怪物'!$E$31:$K$37,B277,7),'章节与怪物'!$A$41:$F$44,2,FALSE),0)+IF(7=D277,ROUND(AW277*'难度参数'!$E$28*'章节与怪物'!$E$17,0),0))</x:f>
        <x:v>588144</x:v>
      </x:c>
      <x:c r="AY277" s="119" t="n">
        <x:f>IF(AV277=0,0,(AV277-IF(7=D277,1,0))*VLOOKUP(INDEX('章节与怪物'!$E$31:$K$37,B277,7),'章节与怪物'!$A$41:$F$44,4,FALSE)+IF(7=D277,'难度参数'!$E$30,0))</x:f>
        <x:v>1492</x:v>
      </x:c>
    </x:row>
    <x:row r="278" ht="23" customHeight="1">
      <x:c r="A278" s="119" t="n">
        <x:v>272</x:v>
      </x:c>
      <x:c r="B278" s="119" t="n">
        <x:f>MOD(INT((A278-1)/5),7)+1</x:f>
        <x:v>6</x:v>
      </x:c>
      <x:c r="C278" s="62" t="str">
        <x:f>INDEX('章节与怪物'!$B$31:$B$37,B278)</x:f>
        <x:v>熔岩山脉</x:v>
      </x:c>
      <x:c r="D278" s="119" t="n">
        <x:f>MIN('难度参数'!$E$8,MAX('难度参数'!$E$7,A278))</x:f>
        <x:v>7</x:v>
      </x:c>
      <x:c r="E278" s="106" t="n">
        <x:v>1</x:v>
      </x:c>
      <x:c r="F278" s="106" t="n">
        <x:v>0</x:v>
      </x:c>
      <x:c r="G278" s="106" t="n">
        <x:v>1</x:v>
      </x:c>
      <x:c r="H278" s="119" t="n">
        <x:f>SUM(X278,AB278,AF278,AJ278,AN278,AR278,AV278)</x:f>
        <x:v>236</x:v>
      </x:c>
      <x:c r="I278" s="119" t="n">
        <x:f>SUM(Z278,AD278,AH278,AL278,AP278,AT278,AX278)</x:f>
        <x:v>2479683</x:v>
      </x:c>
      <x:c r="J278" s="119" t="n">
        <x:f>ROUND(INDEX(X278:AY278,1,(D278-1)*4+2)*'难度参数'!$E$28*'章节与怪物'!$E$17,0)</x:f>
        <x:v>69020</x:v>
      </x:c>
      <x:c r="K278" s="119" t="n">
        <x:f>SUM(AA278,AE278,AI278,AM278,AQ278,AU278,AY278)</x:f>
        <x:v>6330</x:v>
      </x:c>
      <x:c r="L278" s="62" t="n">
        <x:f>H278*(ROUNDUP('难度参数'!$E$24/('难度参数'!$E$26*'难度参数'!$E$27),0)*'难度参数'!$E$26)/60</x:f>
        <x:v>3.146666666666667</x:v>
      </x:c>
      <x:c r="M278" s="62" t="n">
        <x:f>L278+D278*('难度参数'!$E$49+'难度参数'!$E$50)/60</x:f>
        <x:v>4.3133333333333335</x:v>
      </x:c>
      <x:c r="N278" s="119" t="n">
        <x:f>ROUNDDOWN(('经济参数'!$E$20+A278*'经济参数'!$E$21)*G278,0)</x:f>
        <x:v>5620</x:v>
      </x:c>
      <x:c r="O278" s="119" t="n">
        <x:f>ROUNDDOWN(MIN('经济参数'!$E$24,'经济参数'!$E$22+A278*'经济参数'!$E$23)*G278,0)</x:f>
        <x:v>0</x:v>
      </x:c>
      <x:c r="P278" s="119" t="n">
        <x:f>ROUNDDOWN((IF(A278&gt;='材料与任务'!$E$31,'材料与任务'!$E$32,IF(A278&gt;='材料与任务'!$E$25,'材料与任务'!$E$26,IF(A278&gt;='材料与任务'!$E$19,'材料与任务'!$E$20,IF(A278&gt;='材料与任务'!$E$13,'材料与任务'!$E$14,'材料与任务'!$E$8)))))*G278,0)</x:f>
        <x:v>6</x:v>
      </x:c>
      <x:c r="Q278" s="119" t="n">
        <x:f>ROUNDDOWN((IF(A278&gt;='材料与任务'!$E$31,'材料与任务'!$E$33,IF(A278&gt;='材料与任务'!$E$25,'材料与任务'!$E$27,IF(A278&gt;='材料与任务'!$E$19,'材料与任务'!$E$21,IF(A278&gt;='材料与任务'!$E$13,'材料与任务'!$E$15,'材料与任务'!$E$9)))))*G278,0)</x:f>
        <x:v>3</x:v>
      </x:c>
      <x:c r="R278" s="110" t="n">
        <x:f>'装备掉落'!$B$38</x:f>
        <x:v>0.6872058758851213</x:v>
      </x:c>
      <x:c r="S278" s="119" t="n">
        <x:f>MAX(IF(VLOOKUP(A278,'装备掉落'!$A$29:$H$34,2,TRUE)&gt;0,1,0),IF(VLOOKUP(A278,'装备掉落'!$A$29:$H$34,3,TRUE)&gt;0,2,0),IF(VLOOKUP(A278,'装备掉落'!$A$29:$H$34,4,TRUE)&gt;0,3,0),IF(VLOOKUP(A278,'装备掉落'!$A$29:$H$34,5,TRUE)&gt;0,4,0),IF(VLOOKUP(A278,'装备掉落'!$A$29:$H$34,6,TRUE)&gt;0,5,0),IF(VLOOKUP(A278,'装备掉落'!$A$29:$H$34,7,TRUE)&gt;0,6,0),IF(VLOOKUP(A278,'装备掉落'!$A$29:$H$34,8,TRUE)&gt;0,7,0))</x:f>
        <x:v>7</x:v>
      </x:c>
      <x:c r="T278" s="119" t="n">
        <x:f>MIN(7,S278+'经济参数'!$E$70)</x:f>
        <x:v>7</x:v>
      </x:c>
      <x:c r="U278" s="119" t="n">
        <x:f>MIN(7,S278+'经济参数'!$E$71)</x:f>
        <x:v>7</x:v>
      </x:c>
      <x:c r="V278" s="119" t="n">
        <x:f>IF(H278&gt;=('难度参数'!$E$52),1,0)+IF(H278&gt;=('难度参数'!$E$52+'难度参数'!$E$53),1,0)+IF(H278&gt;=('难度参数'!$E$52+'难度参数'!$E$53+'难度参数'!$E$54),1,0)+IF(H278&gt;=('难度参数'!$E$52+'难度参数'!$E$53+'难度参数'!$E$54+'难度参数'!$E$55),1,0)+IF(H278&gt;=('难度参数'!$E$52+'难度参数'!$E$53+'难度参数'!$E$54+'难度参数'!$E$55+'难度参数'!$E$56),1,0)+IF(H278&gt;=('难度参数'!$E$52+'难度参数'!$E$53+'难度参数'!$E$54+'难度参数'!$E$55+'难度参数'!$E$56+'难度参数'!$E$57),1,0)</x:f>
        <x:v>6</x:v>
      </x:c>
      <x:c r="W278" s="62" t="str">
        <x:f>IF(L278&gt;'难度参数'!$E$51,"仅出怪已超目标","还需实测")</x:f>
        <x:v>仅出怪已超目标</x:v>
      </x:c>
      <x:c r="X278" s="119" t="n">
        <x:f>IF(1&gt;D278,0,MAX(2,MIN('难度参数'!$E$12,ROUND(('难度参数'!$E$18*POWER(A278,'难度参数'!$E$19)/D278*(0.85+0.3*(1-1)/MAX(1,D278-1))),0)+F278)))</x:f>
        <x:v>29</x:v>
      </x:c>
      <x:c r="Y278" s="119" t="n">
        <x:f>IF(1&gt;D278,0,ROUND(('难度参数'!$E$13*POWER(A278,'难度参数'!$E$20)*MIN('难度参数'!$E$23,1+MAX(0,A278-'难度参数'!$E$21)*'难度参数'!$E$22))*(36+1*7)/(36+7*(D278+1)/2)*E278,0))</x:f>
        <x:v>5135</x:v>
      </x:c>
      <x:c r="Z278" s="119" t="n">
        <x:f>IF(X278=0,0,(X278-IF(1=D278,1,0))*ROUND(Y278*VLOOKUP(INDEX('章节与怪物'!$E$31:$K$37,B278,1),'章节与怪物'!$A$41:$F$44,2,FALSE),0)+IF(1=D278,ROUND(Y278*'难度参数'!$E$28*'章节与怪物'!$E$17,0),0))</x:f>
        <x:v>107213</x:v>
      </x:c>
      <x:c r="AA278" s="119" t="n">
        <x:f>IF(X278=0,0,(X278-IF(1=D278,1,0))*VLOOKUP(INDEX('章节与怪物'!$E$31:$K$37,B278,1),'章节与怪物'!$A$41:$F$44,4,FALSE)+IF(1=D278,'难度参数'!$E$30,0))</x:f>
        <x:v>580</x:v>
      </x:c>
      <x:c r="AB278" s="119" t="n">
        <x:f>IF(2&gt;D278,0,MAX(2,MIN('难度参数'!$E$12,ROUND(('难度参数'!$E$18*POWER(A278,'难度参数'!$E$19)/D278*(0.85+0.3*(2-1)/MAX(1,D278-1))),0)+F278)))</x:f>
        <x:v>30</x:v>
      </x:c>
      <x:c r="AC278" s="119" t="n">
        <x:f>IF(2&gt;D278,0,ROUND(('难度参数'!$E$13*POWER(A278,'难度参数'!$E$20)*MIN('难度参数'!$E$23,1+MAX(0,A278-'难度参数'!$E$21)*'难度参数'!$E$22))*(36+2*7)/(36+7*(D278+1)/2)*E278,0))</x:f>
        <x:v>5971</x:v>
      </x:c>
      <x:c r="AD278" s="119" t="n">
        <x:f>IF(AB278=0,0,(AB278-IF(2=D278,1,0))*ROUND(AC278*VLOOKUP(INDEX('章节与怪物'!$E$31:$K$37,B278,2),'章节与怪物'!$A$41:$F$44,2,FALSE),0)+IF(2=D278,ROUND(AC278*'难度参数'!$E$28*'章节与怪物'!$E$17,0),0))</x:f>
        <x:v>179130</x:v>
      </x:c>
      <x:c r="AE278" s="119" t="n">
        <x:f>IF(AB278=0,0,(AB278-IF(2=D278,1,0))*VLOOKUP(INDEX('章节与怪物'!$E$31:$K$37,B278,2),'章节与怪物'!$A$41:$F$44,4,FALSE)+IF(2=D278,'难度参数'!$E$30,0))</x:f>
        <x:v>540</x:v>
      </x:c>
      <x:c r="AF278" s="119" t="n">
        <x:f>IF(3&gt;D278,0,MAX(2,MIN('难度参数'!$E$12,ROUND(('难度参数'!$E$18*POWER(A278,'难度参数'!$E$19)/D278*(0.85+0.3*(3-1)/MAX(1,D278-1))),0)+F278)))</x:f>
        <x:v>32</x:v>
      </x:c>
      <x:c r="AG278" s="119" t="n">
        <x:f>IF(3&gt;D278,0,ROUND(('难度参数'!$E$13*POWER(A278,'难度参数'!$E$20)*MIN('难度参数'!$E$23,1+MAX(0,A278-'难度参数'!$E$21)*'难度参数'!$E$22))*(36+3*7)/(36+7*(D278+1)/2)*E278,0))</x:f>
        <x:v>6806</x:v>
      </x:c>
      <x:c r="AH278" s="119" t="n">
        <x:f>IF(AF278=0,0,(AF278-IF(3=D278,1,0))*ROUND(AG278*VLOOKUP(INDEX('章节与怪物'!$E$31:$K$37,B278,3),'章节与怪物'!$A$41:$F$44,2,FALSE),0)+IF(3=D278,ROUND(AG278*'难度参数'!$E$28*'章节与怪物'!$E$17,0),0))</x:f>
        <x:v>370240</x:v>
      </x:c>
      <x:c r="AI278" s="119" t="n">
        <x:f>IF(AF278=0,0,(AF278-IF(3=D278,1,0))*VLOOKUP(INDEX('章节与怪物'!$E$31:$K$37,B278,3),'章节与怪物'!$A$41:$F$44,4,FALSE)+IF(3=D278,'难度参数'!$E$30,0))</x:f>
        <x:v>896</x:v>
      </x:c>
      <x:c r="AJ278" s="119" t="n">
        <x:f>IF(4&gt;D278,0,MAX(2,MIN('难度参数'!$E$12,ROUND(('难度参数'!$E$18*POWER(A278,'难度参数'!$E$19)/D278*(0.85+0.3*(4-1)/MAX(1,D278-1))),0)+F278)))</x:f>
        <x:v>34</x:v>
      </x:c>
      <x:c r="AK278" s="119" t="n">
        <x:f>IF(4&gt;D278,0,ROUND(('难度参数'!$E$13*POWER(A278,'难度参数'!$E$20)*MIN('难度参数'!$E$23,1+MAX(0,A278-'难度参数'!$E$21)*'难度参数'!$E$22))*(36+4*7)/(36+7*(D278+1)/2)*E278,0))</x:f>
        <x:v>7642</x:v>
      </x:c>
      <x:c r="AL278" s="119" t="n">
        <x:f>IF(AJ278=0,0,(AJ278-IF(4=D278,1,0))*ROUND(AK278*VLOOKUP(INDEX('章节与怪物'!$E$31:$K$37,B278,4),'章节与怪物'!$A$41:$F$44,2,FALSE),0)+IF(4=D278,ROUND(AK278*'难度参数'!$E$28*'章节与怪物'!$E$17,0),0))</x:f>
        <x:v>350778</x:v>
      </x:c>
      <x:c r="AM278" s="119" t="n">
        <x:f>IF(AJ278=0,0,(AJ278-IF(4=D278,1,0))*VLOOKUP(INDEX('章节与怪物'!$E$31:$K$37,B278,4),'章节与怪物'!$A$41:$F$44,4,FALSE)+IF(4=D278,'难度参数'!$E$30,0))</x:f>
        <x:v>1156</x:v>
      </x:c>
      <x:c r="AN278" s="119" t="n">
        <x:f>IF(5&gt;D278,0,MAX(2,MIN('难度参数'!$E$12,ROUND(('难度参数'!$E$18*POWER(A278,'难度参数'!$E$19)/D278*(0.85+0.3*(5-1)/MAX(1,D278-1))),0)+F278)))</x:f>
        <x:v>35</x:v>
      </x:c>
      <x:c r="AO278" s="119" t="n">
        <x:f>IF(5&gt;D278,0,ROUND(('难度参数'!$E$13*POWER(A278,'难度参数'!$E$20)*MIN('难度参数'!$E$23,1+MAX(0,A278-'难度参数'!$E$21)*'难度参数'!$E$22))*(36+5*7)/(36+7*(D278+1)/2)*E278,0))</x:f>
        <x:v>8478</x:v>
      </x:c>
      <x:c r="AP278" s="119" t="n">
        <x:f>IF(AN278=0,0,(AN278-IF(5=D278,1,0))*ROUND(AO278*VLOOKUP(INDEX('章节与怪物'!$E$31:$K$37,B278,5),'章节与怪物'!$A$41:$F$44,2,FALSE),0)+IF(5=D278,ROUND(AO278*'难度参数'!$E$28*'章节与怪物'!$E$17,0),0))</x:f>
        <x:v>296730</x:v>
      </x:c>
      <x:c r="AQ278" s="119" t="n">
        <x:f>IF(AN278=0,0,(AN278-IF(5=D278,1,0))*VLOOKUP(INDEX('章节与怪物'!$E$31:$K$37,B278,5),'章节与怪物'!$A$41:$F$44,4,FALSE)+IF(5=D278,'难度参数'!$E$30,0))</x:f>
        <x:v>630</x:v>
      </x:c>
      <x:c r="AR278" s="119" t="n">
        <x:f>IF(6&gt;D278,0,MAX(2,MIN('难度参数'!$E$12,ROUND(('难度参数'!$E$18*POWER(A278,'难度参数'!$E$19)/D278*(0.85+0.3*(6-1)/MAX(1,D278-1))),0)+F278)))</x:f>
        <x:v>37</x:v>
      </x:c>
      <x:c r="AS278" s="119" t="n">
        <x:f>IF(6&gt;D278,0,ROUND(('难度参数'!$E$13*POWER(A278,'难度参数'!$E$20)*MIN('难度参数'!$E$23,1+MAX(0,A278-'难度参数'!$E$21)*'难度参数'!$E$22))*(36+6*7)/(36+7*(D278+1)/2)*E278,0))</x:f>
        <x:v>9314</x:v>
      </x:c>
      <x:c r="AT278" s="119" t="n">
        <x:f>IF(AR278=0,0,(AR278-IF(6=D278,1,0))*ROUND(AS278*VLOOKUP(INDEX('章节与怪物'!$E$31:$K$37,B278,6),'章节与怪物'!$A$41:$F$44,2,FALSE),0)+IF(6=D278,ROUND(AS278*'难度参数'!$E$28*'章节与怪物'!$E$17,0),0))</x:f>
        <x:v>585858</x:v>
      </x:c>
      <x:c r="AU278" s="119" t="n">
        <x:f>IF(AR278=0,0,(AR278-IF(6=D278,1,0))*VLOOKUP(INDEX('章节与怪物'!$E$31:$K$37,B278,6),'章节与怪物'!$A$41:$F$44,4,FALSE)+IF(6=D278,'难度参数'!$E$30,0))</x:f>
        <x:v>1036</x:v>
      </x:c>
      <x:c r="AV278" s="119" t="n">
        <x:f>IF(7&gt;D278,0,MAX(2,MIN('难度参数'!$E$12,ROUND(('难度参数'!$E$18*POWER(A278,'难度参数'!$E$19)/D278*(0.85+0.3*(7-1)/MAX(1,D278-1))),0)+F278)))</x:f>
        <x:v>39</x:v>
      </x:c>
      <x:c r="AW278" s="119" t="n">
        <x:f>IF(7&gt;D278,0,ROUND(('难度参数'!$E$13*POWER(A278,'难度参数'!$E$20)*MIN('难度参数'!$E$23,1+MAX(0,A278-'难度参数'!$E$21)*'难度参数'!$E$22))*(36+7*7)/(36+7*(D278+1)/2)*E278,0))</x:f>
        <x:v>10150</x:v>
      </x:c>
      <x:c r="AX278" s="119" t="n">
        <x:f>IF(AV278=0,0,(AV278-IF(7=D278,1,0))*ROUND(AW278*VLOOKUP(INDEX('章节与怪物'!$E$31:$K$37,B278,7),'章节与怪物'!$A$41:$F$44,2,FALSE),0)+IF(7=D278,ROUND(AW278*'难度参数'!$E$28*'章节与怪物'!$E$17,0),0))</x:f>
        <x:v>589734</x:v>
      </x:c>
      <x:c r="AY278" s="119" t="n">
        <x:f>IF(AV278=0,0,(AV278-IF(7=D278,1,0))*VLOOKUP(INDEX('章节与怪物'!$E$31:$K$37,B278,7),'章节与怪物'!$A$41:$F$44,4,FALSE)+IF(7=D278,'难度参数'!$E$30,0))</x:f>
        <x:v>1492</x:v>
      </x:c>
    </x:row>
    <x:row r="279" ht="23" customHeight="1">
      <x:c r="A279" s="119" t="n">
        <x:v>273</x:v>
      </x:c>
      <x:c r="B279" s="119" t="n">
        <x:f>MOD(INT((A279-1)/5),7)+1</x:f>
        <x:v>6</x:v>
      </x:c>
      <x:c r="C279" s="62" t="str">
        <x:f>INDEX('章节与怪物'!$B$31:$B$37,B279)</x:f>
        <x:v>熔岩山脉</x:v>
      </x:c>
      <x:c r="D279" s="119" t="n">
        <x:f>MIN('难度参数'!$E$8,MAX('难度参数'!$E$7,A279))</x:f>
        <x:v>7</x:v>
      </x:c>
      <x:c r="E279" s="106" t="n">
        <x:v>1</x:v>
      </x:c>
      <x:c r="F279" s="106" t="n">
        <x:v>0</x:v>
      </x:c>
      <x:c r="G279" s="106" t="n">
        <x:v>1</x:v>
      </x:c>
      <x:c r="H279" s="119" t="n">
        <x:f>SUM(X279,AB279,AF279,AJ279,AN279,AR279,AV279)</x:f>
        <x:v>236</x:v>
      </x:c>
      <x:c r="I279" s="119" t="n">
        <x:f>SUM(Z279,AD279,AH279,AL279,AP279,AT279,AX279)</x:f>
        <x:v>2486278</x:v>
      </x:c>
      <x:c r="J279" s="119" t="n">
        <x:f>ROUND(INDEX(X279:AY279,1,(D279-1)*4+2)*'难度参数'!$E$28*'章节与怪物'!$E$17,0)</x:f>
        <x:v>69204</x:v>
      </x:c>
      <x:c r="K279" s="119" t="n">
        <x:f>SUM(AA279,AE279,AI279,AM279,AQ279,AU279,AY279)</x:f>
        <x:v>6330</x:v>
      </x:c>
      <x:c r="L279" s="62" t="n">
        <x:f>H279*(ROUNDUP('难度参数'!$E$24/('难度参数'!$E$26*'难度参数'!$E$27),0)*'难度参数'!$E$26)/60</x:f>
        <x:v>3.146666666666667</x:v>
      </x:c>
      <x:c r="M279" s="62" t="n">
        <x:f>L279+D279*('难度参数'!$E$49+'难度参数'!$E$50)/60</x:f>
        <x:v>4.3133333333333335</x:v>
      </x:c>
      <x:c r="N279" s="119" t="n">
        <x:f>ROUNDDOWN(('经济参数'!$E$20+A279*'经济参数'!$E$21)*G279,0)</x:f>
        <x:v>5640</x:v>
      </x:c>
      <x:c r="O279" s="119" t="n">
        <x:f>ROUNDDOWN(MIN('经济参数'!$E$24,'经济参数'!$E$22+A279*'经济参数'!$E$23)*G279,0)</x:f>
        <x:v>0</x:v>
      </x:c>
      <x:c r="P279" s="119" t="n">
        <x:f>ROUNDDOWN((IF(A279&gt;='材料与任务'!$E$31,'材料与任务'!$E$32,IF(A279&gt;='材料与任务'!$E$25,'材料与任务'!$E$26,IF(A279&gt;='材料与任务'!$E$19,'材料与任务'!$E$20,IF(A279&gt;='材料与任务'!$E$13,'材料与任务'!$E$14,'材料与任务'!$E$8)))))*G279,0)</x:f>
        <x:v>6</x:v>
      </x:c>
      <x:c r="Q279" s="119" t="n">
        <x:f>ROUNDDOWN((IF(A279&gt;='材料与任务'!$E$31,'材料与任务'!$E$33,IF(A279&gt;='材料与任务'!$E$25,'材料与任务'!$E$27,IF(A279&gt;='材料与任务'!$E$19,'材料与任务'!$E$21,IF(A279&gt;='材料与任务'!$E$13,'材料与任务'!$E$15,'材料与任务'!$E$9)))))*G279,0)</x:f>
        <x:v>3</x:v>
      </x:c>
      <x:c r="R279" s="110" t="n">
        <x:f>'装备掉落'!$B$38</x:f>
        <x:v>0.6872058758851213</x:v>
      </x:c>
      <x:c r="S279" s="119" t="n">
        <x:f>MAX(IF(VLOOKUP(A279,'装备掉落'!$A$29:$H$34,2,TRUE)&gt;0,1,0),IF(VLOOKUP(A279,'装备掉落'!$A$29:$H$34,3,TRUE)&gt;0,2,0),IF(VLOOKUP(A279,'装备掉落'!$A$29:$H$34,4,TRUE)&gt;0,3,0),IF(VLOOKUP(A279,'装备掉落'!$A$29:$H$34,5,TRUE)&gt;0,4,0),IF(VLOOKUP(A279,'装备掉落'!$A$29:$H$34,6,TRUE)&gt;0,5,0),IF(VLOOKUP(A279,'装备掉落'!$A$29:$H$34,7,TRUE)&gt;0,6,0),IF(VLOOKUP(A279,'装备掉落'!$A$29:$H$34,8,TRUE)&gt;0,7,0))</x:f>
        <x:v>7</x:v>
      </x:c>
      <x:c r="T279" s="119" t="n">
        <x:f>MIN(7,S279+'经济参数'!$E$70)</x:f>
        <x:v>7</x:v>
      </x:c>
      <x:c r="U279" s="119" t="n">
        <x:f>MIN(7,S279+'经济参数'!$E$71)</x:f>
        <x:v>7</x:v>
      </x:c>
      <x:c r="V279" s="119" t="n">
        <x:f>IF(H279&gt;=('难度参数'!$E$52),1,0)+IF(H279&gt;=('难度参数'!$E$52+'难度参数'!$E$53),1,0)+IF(H279&gt;=('难度参数'!$E$52+'难度参数'!$E$53+'难度参数'!$E$54),1,0)+IF(H279&gt;=('难度参数'!$E$52+'难度参数'!$E$53+'难度参数'!$E$54+'难度参数'!$E$55),1,0)+IF(H279&gt;=('难度参数'!$E$52+'难度参数'!$E$53+'难度参数'!$E$54+'难度参数'!$E$55+'难度参数'!$E$56),1,0)+IF(H279&gt;=('难度参数'!$E$52+'难度参数'!$E$53+'难度参数'!$E$54+'难度参数'!$E$55+'难度参数'!$E$56+'难度参数'!$E$57),1,0)</x:f>
        <x:v>6</x:v>
      </x:c>
      <x:c r="W279" s="62" t="str">
        <x:f>IF(L279&gt;'难度参数'!$E$51,"仅出怪已超目标","还需实测")</x:f>
        <x:v>仅出怪已超目标</x:v>
      </x:c>
      <x:c r="X279" s="119" t="n">
        <x:f>IF(1&gt;D279,0,MAX(2,MIN('难度参数'!$E$12,ROUND(('难度参数'!$E$18*POWER(A279,'难度参数'!$E$19)/D279*(0.85+0.3*(1-1)/MAX(1,D279-1))),0)+F279)))</x:f>
        <x:v>29</x:v>
      </x:c>
      <x:c r="Y279" s="119" t="n">
        <x:f>IF(1&gt;D279,0,ROUND(('难度参数'!$E$13*POWER(A279,'难度参数'!$E$20)*MIN('难度参数'!$E$23,1+MAX(0,A279-'难度参数'!$E$21)*'难度参数'!$E$22))*(36+1*7)/(36+7*(D279+1)/2)*E279,0))</x:f>
        <x:v>5148</x:v>
      </x:c>
      <x:c r="Z279" s="119" t="n">
        <x:f>IF(X279=0,0,(X279-IF(1=D279,1,0))*ROUND(Y279*VLOOKUP(INDEX('章节与怪物'!$E$31:$K$37,B279,1),'章节与怪物'!$A$41:$F$44,2,FALSE),0)+IF(1=D279,ROUND(Y279*'难度参数'!$E$28*'章节与怪物'!$E$17,0),0))</x:f>
        <x:v>107503</x:v>
      </x:c>
      <x:c r="AA279" s="119" t="n">
        <x:f>IF(X279=0,0,(X279-IF(1=D279,1,0))*VLOOKUP(INDEX('章节与怪物'!$E$31:$K$37,B279,1),'章节与怪物'!$A$41:$F$44,4,FALSE)+IF(1=D279,'难度参数'!$E$30,0))</x:f>
        <x:v>580</x:v>
      </x:c>
      <x:c r="AB279" s="119" t="n">
        <x:f>IF(2&gt;D279,0,MAX(2,MIN('难度参数'!$E$12,ROUND(('难度参数'!$E$18*POWER(A279,'难度参数'!$E$19)/D279*(0.85+0.3*(2-1)/MAX(1,D279-1))),0)+F279)))</x:f>
        <x:v>30</x:v>
      </x:c>
      <x:c r="AC279" s="119" t="n">
        <x:f>IF(2&gt;D279,0,ROUND(('难度参数'!$E$13*POWER(A279,'难度参数'!$E$20)*MIN('难度参数'!$E$23,1+MAX(0,A279-'难度参数'!$E$21)*'难度参数'!$E$22))*(36+2*7)/(36+7*(D279+1)/2)*E279,0))</x:f>
        <x:v>5986</x:v>
      </x:c>
      <x:c r="AD279" s="119" t="n">
        <x:f>IF(AB279=0,0,(AB279-IF(2=D279,1,0))*ROUND(AC279*VLOOKUP(INDEX('章节与怪物'!$E$31:$K$37,B279,2),'章节与怪物'!$A$41:$F$44,2,FALSE),0)+IF(2=D279,ROUND(AC279*'难度参数'!$E$28*'章节与怪物'!$E$17,0),0))</x:f>
        <x:v>179580</x:v>
      </x:c>
      <x:c r="AE279" s="119" t="n">
        <x:f>IF(AB279=0,0,(AB279-IF(2=D279,1,0))*VLOOKUP(INDEX('章节与怪物'!$E$31:$K$37,B279,2),'章节与怪物'!$A$41:$F$44,4,FALSE)+IF(2=D279,'难度参数'!$E$30,0))</x:f>
        <x:v>540</x:v>
      </x:c>
      <x:c r="AF279" s="119" t="n">
        <x:f>IF(3&gt;D279,0,MAX(2,MIN('难度参数'!$E$12,ROUND(('难度参数'!$E$18*POWER(A279,'难度参数'!$E$19)/D279*(0.85+0.3*(3-1)/MAX(1,D279-1))),0)+F279)))</x:f>
        <x:v>32</x:v>
      </x:c>
      <x:c r="AG279" s="119" t="n">
        <x:f>IF(3&gt;D279,0,ROUND(('难度参数'!$E$13*POWER(A279,'难度参数'!$E$20)*MIN('难度参数'!$E$23,1+MAX(0,A279-'难度参数'!$E$21)*'难度参数'!$E$22))*(36+3*7)/(36+7*(D279+1)/2)*E279,0))</x:f>
        <x:v>6824</x:v>
      </x:c>
      <x:c r="AH279" s="119" t="n">
        <x:f>IF(AF279=0,0,(AF279-IF(3=D279,1,0))*ROUND(AG279*VLOOKUP(INDEX('章节与怪物'!$E$31:$K$37,B279,3),'章节与怪物'!$A$41:$F$44,2,FALSE),0)+IF(3=D279,ROUND(AG279*'难度参数'!$E$28*'章节与怪物'!$E$17,0),0))</x:f>
        <x:v>371232</x:v>
      </x:c>
      <x:c r="AI279" s="119" t="n">
        <x:f>IF(AF279=0,0,(AF279-IF(3=D279,1,0))*VLOOKUP(INDEX('章节与怪物'!$E$31:$K$37,B279,3),'章节与怪物'!$A$41:$F$44,4,FALSE)+IF(3=D279,'难度参数'!$E$30,0))</x:f>
        <x:v>896</x:v>
      </x:c>
      <x:c r="AJ279" s="119" t="n">
        <x:f>IF(4&gt;D279,0,MAX(2,MIN('难度参数'!$E$12,ROUND(('难度参数'!$E$18*POWER(A279,'难度参数'!$E$19)/D279*(0.85+0.3*(4-1)/MAX(1,D279-1))),0)+F279)))</x:f>
        <x:v>34</x:v>
      </x:c>
      <x:c r="AK279" s="119" t="n">
        <x:f>IF(4&gt;D279,0,ROUND(('难度参数'!$E$13*POWER(A279,'难度参数'!$E$20)*MIN('难度参数'!$E$23,1+MAX(0,A279-'难度参数'!$E$21)*'难度参数'!$E$22))*(36+4*7)/(36+7*(D279+1)/2)*E279,0))</x:f>
        <x:v>7663</x:v>
      </x:c>
      <x:c r="AL279" s="119" t="n">
        <x:f>IF(AJ279=0,0,(AJ279-IF(4=D279,1,0))*ROUND(AK279*VLOOKUP(INDEX('章节与怪物'!$E$31:$K$37,B279,4),'章节与怪物'!$A$41:$F$44,2,FALSE),0)+IF(4=D279,ROUND(AK279*'难度参数'!$E$28*'章节与怪物'!$E$17,0),0))</x:f>
        <x:v>351730</x:v>
      </x:c>
      <x:c r="AM279" s="119" t="n">
        <x:f>IF(AJ279=0,0,(AJ279-IF(4=D279,1,0))*VLOOKUP(INDEX('章节与怪物'!$E$31:$K$37,B279,4),'章节与怪物'!$A$41:$F$44,4,FALSE)+IF(4=D279,'难度参数'!$E$30,0))</x:f>
        <x:v>1156</x:v>
      </x:c>
      <x:c r="AN279" s="119" t="n">
        <x:f>IF(5&gt;D279,0,MAX(2,MIN('难度参数'!$E$12,ROUND(('难度参数'!$E$18*POWER(A279,'难度参数'!$E$19)/D279*(0.85+0.3*(5-1)/MAX(1,D279-1))),0)+F279)))</x:f>
        <x:v>35</x:v>
      </x:c>
      <x:c r="AO279" s="119" t="n">
        <x:f>IF(5&gt;D279,0,ROUND(('难度参数'!$E$13*POWER(A279,'难度参数'!$E$20)*MIN('难度参数'!$E$23,1+MAX(0,A279-'难度参数'!$E$21)*'难度参数'!$E$22))*(36+5*7)/(36+7*(D279+1)/2)*E279,0))</x:f>
        <x:v>8501</x:v>
      </x:c>
      <x:c r="AP279" s="119" t="n">
        <x:f>IF(AN279=0,0,(AN279-IF(5=D279,1,0))*ROUND(AO279*VLOOKUP(INDEX('章节与怪物'!$E$31:$K$37,B279,5),'章节与怪物'!$A$41:$F$44,2,FALSE),0)+IF(5=D279,ROUND(AO279*'难度参数'!$E$28*'章节与怪物'!$E$17,0),0))</x:f>
        <x:v>297535</x:v>
      </x:c>
      <x:c r="AQ279" s="119" t="n">
        <x:f>IF(AN279=0,0,(AN279-IF(5=D279,1,0))*VLOOKUP(INDEX('章节与怪物'!$E$31:$K$37,B279,5),'章节与怪物'!$A$41:$F$44,4,FALSE)+IF(5=D279,'难度参数'!$E$30,0))</x:f>
        <x:v>630</x:v>
      </x:c>
      <x:c r="AR279" s="119" t="n">
        <x:f>IF(6&gt;D279,0,MAX(2,MIN('难度参数'!$E$12,ROUND(('难度参数'!$E$18*POWER(A279,'难度参数'!$E$19)/D279*(0.85+0.3*(6-1)/MAX(1,D279-1))),0)+F279)))</x:f>
        <x:v>37</x:v>
      </x:c>
      <x:c r="AS279" s="119" t="n">
        <x:f>IF(6&gt;D279,0,ROUND(('难度参数'!$E$13*POWER(A279,'难度参数'!$E$20)*MIN('难度参数'!$E$23,1+MAX(0,A279-'难度参数'!$E$21)*'难度参数'!$E$22))*(36+6*7)/(36+7*(D279+1)/2)*E279,0))</x:f>
        <x:v>9339</x:v>
      </x:c>
      <x:c r="AT279" s="119" t="n">
        <x:f>IF(AR279=0,0,(AR279-IF(6=D279,1,0))*ROUND(AS279*VLOOKUP(INDEX('章节与怪物'!$E$31:$K$37,B279,6),'章节与怪物'!$A$41:$F$44,2,FALSE),0)+IF(6=D279,ROUND(AS279*'难度参数'!$E$28*'章节与怪物'!$E$17,0),0))</x:f>
        <x:v>587412</x:v>
      </x:c>
      <x:c r="AU279" s="119" t="n">
        <x:f>IF(AR279=0,0,(AR279-IF(6=D279,1,0))*VLOOKUP(INDEX('章节与怪物'!$E$31:$K$37,B279,6),'章节与怪物'!$A$41:$F$44,4,FALSE)+IF(6=D279,'难度参数'!$E$30,0))</x:f>
        <x:v>1036</x:v>
      </x:c>
      <x:c r="AV279" s="119" t="n">
        <x:f>IF(7&gt;D279,0,MAX(2,MIN('难度参数'!$E$12,ROUND(('难度参数'!$E$18*POWER(A279,'难度参数'!$E$19)/D279*(0.85+0.3*(7-1)/MAX(1,D279-1))),0)+F279)))</x:f>
        <x:v>39</x:v>
      </x:c>
      <x:c r="AW279" s="119" t="n">
        <x:f>IF(7&gt;D279,0,ROUND(('难度参数'!$E$13*POWER(A279,'难度参数'!$E$20)*MIN('难度参数'!$E$23,1+MAX(0,A279-'难度参数'!$E$21)*'难度参数'!$E$22))*(36+7*7)/(36+7*(D279+1)/2)*E279,0))</x:f>
        <x:v>10177</x:v>
      </x:c>
      <x:c r="AX279" s="119" t="n">
        <x:f>IF(AV279=0,0,(AV279-IF(7=D279,1,0))*ROUND(AW279*VLOOKUP(INDEX('章节与怪物'!$E$31:$K$37,B279,7),'章节与怪物'!$A$41:$F$44,2,FALSE),0)+IF(7=D279,ROUND(AW279*'难度参数'!$E$28*'章节与怪物'!$E$17,0),0))</x:f>
        <x:v>591286</x:v>
      </x:c>
      <x:c r="AY279" s="119" t="n">
        <x:f>IF(AV279=0,0,(AV279-IF(7=D279,1,0))*VLOOKUP(INDEX('章节与怪物'!$E$31:$K$37,B279,7),'章节与怪物'!$A$41:$F$44,4,FALSE)+IF(7=D279,'难度参数'!$E$30,0))</x:f>
        <x:v>1492</x:v>
      </x:c>
    </x:row>
    <x:row r="280" ht="23" customHeight="1">
      <x:c r="A280" s="119" t="n">
        <x:v>274</x:v>
      </x:c>
      <x:c r="B280" s="119" t="n">
        <x:f>MOD(INT((A280-1)/5),7)+1</x:f>
        <x:v>6</x:v>
      </x:c>
      <x:c r="C280" s="62" t="str">
        <x:f>INDEX('章节与怪物'!$B$31:$B$37,B280)</x:f>
        <x:v>熔岩山脉</x:v>
      </x:c>
      <x:c r="D280" s="119" t="n">
        <x:f>MIN('难度参数'!$E$8,MAX('难度参数'!$E$7,A280))</x:f>
        <x:v>7</x:v>
      </x:c>
      <x:c r="E280" s="106" t="n">
        <x:v>1</x:v>
      </x:c>
      <x:c r="F280" s="106" t="n">
        <x:v>0</x:v>
      </x:c>
      <x:c r="G280" s="106" t="n">
        <x:v>1</x:v>
      </x:c>
      <x:c r="H280" s="119" t="n">
        <x:f>SUM(X280,AB280,AF280,AJ280,AN280,AR280,AV280)</x:f>
        <x:v>236</x:v>
      </x:c>
      <x:c r="I280" s="119" t="n">
        <x:f>SUM(Z280,AD280,AH280,AL280,AP280,AT280,AX280)</x:f>
        <x:v>2492764</x:v>
      </x:c>
      <x:c r="J280" s="119" t="n">
        <x:f>ROUND(INDEX(X280:AY280,1,(D280-1)*4+2)*'难度参数'!$E$28*'章节与怪物'!$E$17,0)</x:f>
        <x:v>69387</x:v>
      </x:c>
      <x:c r="K280" s="119" t="n">
        <x:f>SUM(AA280,AE280,AI280,AM280,AQ280,AU280,AY280)</x:f>
        <x:v>6330</x:v>
      </x:c>
      <x:c r="L280" s="62" t="n">
        <x:f>H280*(ROUNDUP('难度参数'!$E$24/('难度参数'!$E$26*'难度参数'!$E$27),0)*'难度参数'!$E$26)/60</x:f>
        <x:v>3.146666666666667</x:v>
      </x:c>
      <x:c r="M280" s="62" t="n">
        <x:f>L280+D280*('难度参数'!$E$49+'难度参数'!$E$50)/60</x:f>
        <x:v>4.3133333333333335</x:v>
      </x:c>
      <x:c r="N280" s="119" t="n">
        <x:f>ROUNDDOWN(('经济参数'!$E$20+A280*'经济参数'!$E$21)*G280,0)</x:f>
        <x:v>5660</x:v>
      </x:c>
      <x:c r="O280" s="119" t="n">
        <x:f>ROUNDDOWN(MIN('经济参数'!$E$24,'经济参数'!$E$22+A280*'经济参数'!$E$23)*G280,0)</x:f>
        <x:v>0</x:v>
      </x:c>
      <x:c r="P280" s="119" t="n">
        <x:f>ROUNDDOWN((IF(A280&gt;='材料与任务'!$E$31,'材料与任务'!$E$32,IF(A280&gt;='材料与任务'!$E$25,'材料与任务'!$E$26,IF(A280&gt;='材料与任务'!$E$19,'材料与任务'!$E$20,IF(A280&gt;='材料与任务'!$E$13,'材料与任务'!$E$14,'材料与任务'!$E$8)))))*G280,0)</x:f>
        <x:v>6</x:v>
      </x:c>
      <x:c r="Q280" s="119" t="n">
        <x:f>ROUNDDOWN((IF(A280&gt;='材料与任务'!$E$31,'材料与任务'!$E$33,IF(A280&gt;='材料与任务'!$E$25,'材料与任务'!$E$27,IF(A280&gt;='材料与任务'!$E$19,'材料与任务'!$E$21,IF(A280&gt;='材料与任务'!$E$13,'材料与任务'!$E$15,'材料与任务'!$E$9)))))*G280,0)</x:f>
        <x:v>3</x:v>
      </x:c>
      <x:c r="R280" s="110" t="n">
        <x:f>'装备掉落'!$B$38</x:f>
        <x:v>0.6872058758851213</x:v>
      </x:c>
      <x:c r="S280" s="119" t="n">
        <x:f>MAX(IF(VLOOKUP(A280,'装备掉落'!$A$29:$H$34,2,TRUE)&gt;0,1,0),IF(VLOOKUP(A280,'装备掉落'!$A$29:$H$34,3,TRUE)&gt;0,2,0),IF(VLOOKUP(A280,'装备掉落'!$A$29:$H$34,4,TRUE)&gt;0,3,0),IF(VLOOKUP(A280,'装备掉落'!$A$29:$H$34,5,TRUE)&gt;0,4,0),IF(VLOOKUP(A280,'装备掉落'!$A$29:$H$34,6,TRUE)&gt;0,5,0),IF(VLOOKUP(A280,'装备掉落'!$A$29:$H$34,7,TRUE)&gt;0,6,0),IF(VLOOKUP(A280,'装备掉落'!$A$29:$H$34,8,TRUE)&gt;0,7,0))</x:f>
        <x:v>7</x:v>
      </x:c>
      <x:c r="T280" s="119" t="n">
        <x:f>MIN(7,S280+'经济参数'!$E$70)</x:f>
        <x:v>7</x:v>
      </x:c>
      <x:c r="U280" s="119" t="n">
        <x:f>MIN(7,S280+'经济参数'!$E$71)</x:f>
        <x:v>7</x:v>
      </x:c>
      <x:c r="V280" s="119" t="n">
        <x:f>IF(H280&gt;=('难度参数'!$E$52),1,0)+IF(H280&gt;=('难度参数'!$E$52+'难度参数'!$E$53),1,0)+IF(H280&gt;=('难度参数'!$E$52+'难度参数'!$E$53+'难度参数'!$E$54),1,0)+IF(H280&gt;=('难度参数'!$E$52+'难度参数'!$E$53+'难度参数'!$E$54+'难度参数'!$E$55),1,0)+IF(H280&gt;=('难度参数'!$E$52+'难度参数'!$E$53+'难度参数'!$E$54+'难度参数'!$E$55+'难度参数'!$E$56),1,0)+IF(H280&gt;=('难度参数'!$E$52+'难度参数'!$E$53+'难度参数'!$E$54+'难度参数'!$E$55+'难度参数'!$E$56+'难度参数'!$E$57),1,0)</x:f>
        <x:v>6</x:v>
      </x:c>
      <x:c r="W280" s="62" t="str">
        <x:f>IF(L280&gt;'难度参数'!$E$51,"仅出怪已超目标","还需实测")</x:f>
        <x:v>仅出怪已超目标</x:v>
      </x:c>
      <x:c r="X280" s="119" t="n">
        <x:f>IF(1&gt;D280,0,MAX(2,MIN('难度参数'!$E$12,ROUND(('难度参数'!$E$18*POWER(A280,'难度参数'!$E$19)/D280*(0.85+0.3*(1-1)/MAX(1,D280-1))),0)+F280)))</x:f>
        <x:v>29</x:v>
      </x:c>
      <x:c r="Y280" s="119" t="n">
        <x:f>IF(1&gt;D280,0,ROUND(('难度参数'!$E$13*POWER(A280,'难度参数'!$E$20)*MIN('难度参数'!$E$23,1+MAX(0,A280-'难度参数'!$E$21)*'难度参数'!$E$22))*(36+1*7)/(36+7*(D280+1)/2)*E280,0))</x:f>
        <x:v>5162</x:v>
      </x:c>
      <x:c r="Z280" s="119" t="n">
        <x:f>IF(X280=0,0,(X280-IF(1=D280,1,0))*ROUND(Y280*VLOOKUP(INDEX('章节与怪物'!$E$31:$K$37,B280,1),'章节与怪物'!$A$41:$F$44,2,FALSE),0)+IF(1=D280,ROUND(Y280*'难度参数'!$E$28*'章节与怪物'!$E$17,0),0))</x:f>
        <x:v>107793</x:v>
      </x:c>
      <x:c r="AA280" s="119" t="n">
        <x:f>IF(X280=0,0,(X280-IF(1=D280,1,0))*VLOOKUP(INDEX('章节与怪物'!$E$31:$K$37,B280,1),'章节与怪物'!$A$41:$F$44,4,FALSE)+IF(1=D280,'难度参数'!$E$30,0))</x:f>
        <x:v>580</x:v>
      </x:c>
      <x:c r="AB280" s="119" t="n">
        <x:f>IF(2&gt;D280,0,MAX(2,MIN('难度参数'!$E$12,ROUND(('难度参数'!$E$18*POWER(A280,'难度参数'!$E$19)/D280*(0.85+0.3*(2-1)/MAX(1,D280-1))),0)+F280)))</x:f>
        <x:v>30</x:v>
      </x:c>
      <x:c r="AC280" s="119" t="n">
        <x:f>IF(2&gt;D280,0,ROUND(('难度参数'!$E$13*POWER(A280,'难度参数'!$E$20)*MIN('难度参数'!$E$23,1+MAX(0,A280-'难度参数'!$E$21)*'难度参数'!$E$22))*(36+2*7)/(36+7*(D280+1)/2)*E280,0))</x:f>
        <x:v>6002</x:v>
      </x:c>
      <x:c r="AD280" s="119" t="n">
        <x:f>IF(AB280=0,0,(AB280-IF(2=D280,1,0))*ROUND(AC280*VLOOKUP(INDEX('章节与怪物'!$E$31:$K$37,B280,2),'章节与怪物'!$A$41:$F$44,2,FALSE),0)+IF(2=D280,ROUND(AC280*'难度参数'!$E$28*'章节与怪物'!$E$17,0),0))</x:f>
        <x:v>180060</x:v>
      </x:c>
      <x:c r="AE280" s="119" t="n">
        <x:f>IF(AB280=0,0,(AB280-IF(2=D280,1,0))*VLOOKUP(INDEX('章节与怪物'!$E$31:$K$37,B280,2),'章节与怪物'!$A$41:$F$44,4,FALSE)+IF(2=D280,'难度参数'!$E$30,0))</x:f>
        <x:v>540</x:v>
      </x:c>
      <x:c r="AF280" s="119" t="n">
        <x:f>IF(3&gt;D280,0,MAX(2,MIN('难度参数'!$E$12,ROUND(('难度参数'!$E$18*POWER(A280,'难度参数'!$E$19)/D280*(0.85+0.3*(3-1)/MAX(1,D280-1))),0)+F280)))</x:f>
        <x:v>32</x:v>
      </x:c>
      <x:c r="AG280" s="119" t="n">
        <x:f>IF(3&gt;D280,0,ROUND(('难度参数'!$E$13*POWER(A280,'难度参数'!$E$20)*MIN('难度参数'!$E$23,1+MAX(0,A280-'难度参数'!$E$21)*'难度参数'!$E$22))*(36+3*7)/(36+7*(D280+1)/2)*E280,0))</x:f>
        <x:v>6842</x:v>
      </x:c>
      <x:c r="AH280" s="119" t="n">
        <x:f>IF(AF280=0,0,(AF280-IF(3=D280,1,0))*ROUND(AG280*VLOOKUP(INDEX('章节与怪物'!$E$31:$K$37,B280,3),'章节与怪物'!$A$41:$F$44,2,FALSE),0)+IF(3=D280,ROUND(AG280*'难度参数'!$E$28*'章节与怪物'!$E$17,0),0))</x:f>
        <x:v>372192</x:v>
      </x:c>
      <x:c r="AI280" s="119" t="n">
        <x:f>IF(AF280=0,0,(AF280-IF(3=D280,1,0))*VLOOKUP(INDEX('章节与怪物'!$E$31:$K$37,B280,3),'章节与怪物'!$A$41:$F$44,4,FALSE)+IF(3=D280,'难度参数'!$E$30,0))</x:f>
        <x:v>896</x:v>
      </x:c>
      <x:c r="AJ280" s="119" t="n">
        <x:f>IF(4&gt;D280,0,MAX(2,MIN('难度参数'!$E$12,ROUND(('难度参数'!$E$18*POWER(A280,'难度参数'!$E$19)/D280*(0.85+0.3*(4-1)/MAX(1,D280-1))),0)+F280)))</x:f>
        <x:v>34</x:v>
      </x:c>
      <x:c r="AK280" s="119" t="n">
        <x:f>IF(4&gt;D280,0,ROUND(('难度参数'!$E$13*POWER(A280,'难度参数'!$E$20)*MIN('难度参数'!$E$23,1+MAX(0,A280-'难度参数'!$E$21)*'难度参数'!$E$22))*(36+4*7)/(36+7*(D280+1)/2)*E280,0))</x:f>
        <x:v>7683</x:v>
      </x:c>
      <x:c r="AL280" s="119" t="n">
        <x:f>IF(AJ280=0,0,(AJ280-IF(4=D280,1,0))*ROUND(AK280*VLOOKUP(INDEX('章节与怪物'!$E$31:$K$37,B280,4),'章节与怪物'!$A$41:$F$44,2,FALSE),0)+IF(4=D280,ROUND(AK280*'难度参数'!$E$28*'章节与怪物'!$E$17,0),0))</x:f>
        <x:v>352648</x:v>
      </x:c>
      <x:c r="AM280" s="119" t="n">
        <x:f>IF(AJ280=0,0,(AJ280-IF(4=D280,1,0))*VLOOKUP(INDEX('章节与怪物'!$E$31:$K$37,B280,4),'章节与怪物'!$A$41:$F$44,4,FALSE)+IF(4=D280,'难度参数'!$E$30,0))</x:f>
        <x:v>1156</x:v>
      </x:c>
      <x:c r="AN280" s="119" t="n">
        <x:f>IF(5&gt;D280,0,MAX(2,MIN('难度参数'!$E$12,ROUND(('难度参数'!$E$18*POWER(A280,'难度参数'!$E$19)/D280*(0.85+0.3*(5-1)/MAX(1,D280-1))),0)+F280)))</x:f>
        <x:v>35</x:v>
      </x:c>
      <x:c r="AO280" s="119" t="n">
        <x:f>IF(5&gt;D280,0,ROUND(('难度参数'!$E$13*POWER(A280,'难度参数'!$E$20)*MIN('难度参数'!$E$23,1+MAX(0,A280-'难度参数'!$E$21)*'难度参数'!$E$22))*(36+5*7)/(36+7*(D280+1)/2)*E280,0))</x:f>
        <x:v>8523</x:v>
      </x:c>
      <x:c r="AP280" s="119" t="n">
        <x:f>IF(AN280=0,0,(AN280-IF(5=D280,1,0))*ROUND(AO280*VLOOKUP(INDEX('章节与怪物'!$E$31:$K$37,B280,5),'章节与怪物'!$A$41:$F$44,2,FALSE),0)+IF(5=D280,ROUND(AO280*'难度参数'!$E$28*'章节与怪物'!$E$17,0),0))</x:f>
        <x:v>298305</x:v>
      </x:c>
      <x:c r="AQ280" s="119" t="n">
        <x:f>IF(AN280=0,0,(AN280-IF(5=D280,1,0))*VLOOKUP(INDEX('章节与怪物'!$E$31:$K$37,B280,5),'章节与怪物'!$A$41:$F$44,4,FALSE)+IF(5=D280,'难度参数'!$E$30,0))</x:f>
        <x:v>630</x:v>
      </x:c>
      <x:c r="AR280" s="119" t="n">
        <x:f>IF(6&gt;D280,0,MAX(2,MIN('难度参数'!$E$12,ROUND(('难度参数'!$E$18*POWER(A280,'难度参数'!$E$19)/D280*(0.85+0.3*(6-1)/MAX(1,D280-1))),0)+F280)))</x:f>
        <x:v>37</x:v>
      </x:c>
      <x:c r="AS280" s="119" t="n">
        <x:f>IF(6&gt;D280,0,ROUND(('难度参数'!$E$13*POWER(A280,'难度参数'!$E$20)*MIN('难度参数'!$E$23,1+MAX(0,A280-'难度参数'!$E$21)*'难度参数'!$E$22))*(36+6*7)/(36+7*(D280+1)/2)*E280,0))</x:f>
        <x:v>9363</x:v>
      </x:c>
      <x:c r="AT280" s="119" t="n">
        <x:f>IF(AR280=0,0,(AR280-IF(6=D280,1,0))*ROUND(AS280*VLOOKUP(INDEX('章节与怪物'!$E$31:$K$37,B280,6),'章节与怪物'!$A$41:$F$44,2,FALSE),0)+IF(6=D280,ROUND(AS280*'难度参数'!$E$28*'章节与怪物'!$E$17,0),0))</x:f>
        <x:v>588929</x:v>
      </x:c>
      <x:c r="AU280" s="119" t="n">
        <x:f>IF(AR280=0,0,(AR280-IF(6=D280,1,0))*VLOOKUP(INDEX('章节与怪物'!$E$31:$K$37,B280,6),'章节与怪物'!$A$41:$F$44,4,FALSE)+IF(6=D280,'难度参数'!$E$30,0))</x:f>
        <x:v>1036</x:v>
      </x:c>
      <x:c r="AV280" s="119" t="n">
        <x:f>IF(7&gt;D280,0,MAX(2,MIN('难度参数'!$E$12,ROUND(('难度参数'!$E$18*POWER(A280,'难度参数'!$E$19)/D280*(0.85+0.3*(7-1)/MAX(1,D280-1))),0)+F280)))</x:f>
        <x:v>39</x:v>
      </x:c>
      <x:c r="AW280" s="119" t="n">
        <x:f>IF(7&gt;D280,0,ROUND(('难度参数'!$E$13*POWER(A280,'难度参数'!$E$20)*MIN('难度参数'!$E$23,1+MAX(0,A280-'难度参数'!$E$21)*'难度参数'!$E$22))*(36+7*7)/(36+7*(D280+1)/2)*E280,0))</x:f>
        <x:v>10204</x:v>
      </x:c>
      <x:c r="AX280" s="119" t="n">
        <x:f>IF(AV280=0,0,(AV280-IF(7=D280,1,0))*ROUND(AW280*VLOOKUP(INDEX('章节与怪物'!$E$31:$K$37,B280,7),'章节与怪物'!$A$41:$F$44,2,FALSE),0)+IF(7=D280,ROUND(AW280*'难度参数'!$E$28*'章节与怪物'!$E$17,0),0))</x:f>
        <x:v>592837</x:v>
      </x:c>
      <x:c r="AY280" s="119" t="n">
        <x:f>IF(AV280=0,0,(AV280-IF(7=D280,1,0))*VLOOKUP(INDEX('章节与怪物'!$E$31:$K$37,B280,7),'章节与怪物'!$A$41:$F$44,4,FALSE)+IF(7=D280,'难度参数'!$E$30,0))</x:f>
        <x:v>1492</x:v>
      </x:c>
    </x:row>
    <x:row r="281" ht="23" customHeight="1">
      <x:c r="A281" s="119" t="n">
        <x:v>275</x:v>
      </x:c>
      <x:c r="B281" s="119" t="n">
        <x:f>MOD(INT((A281-1)/5),7)+1</x:f>
        <x:v>6</x:v>
      </x:c>
      <x:c r="C281" s="62" t="str">
        <x:f>INDEX('章节与怪物'!$B$31:$B$37,B281)</x:f>
        <x:v>熔岩山脉</x:v>
      </x:c>
      <x:c r="D281" s="119" t="n">
        <x:f>MIN('难度参数'!$E$8,MAX('难度参数'!$E$7,A281))</x:f>
        <x:v>7</x:v>
      </x:c>
      <x:c r="E281" s="106" t="n">
        <x:v>1</x:v>
      </x:c>
      <x:c r="F281" s="106" t="n">
        <x:v>0</x:v>
      </x:c>
      <x:c r="G281" s="106" t="n">
        <x:v>1</x:v>
      </x:c>
      <x:c r="H281" s="119" t="n">
        <x:f>SUM(X281,AB281,AF281,AJ281,AN281,AR281,AV281)</x:f>
        <x:v>236</x:v>
      </x:c>
      <x:c r="I281" s="119" t="n">
        <x:f>SUM(Z281,AD281,AH281,AL281,AP281,AT281,AX281)</x:f>
        <x:v>2499321</x:v>
      </x:c>
      <x:c r="J281" s="119" t="n">
        <x:f>ROUND(INDEX(X281:AY281,1,(D281-1)*4+2)*'难度参数'!$E$28*'章节与怪物'!$E$17,0)</x:f>
        <x:v>69564</x:v>
      </x:c>
      <x:c r="K281" s="119" t="n">
        <x:f>SUM(AA281,AE281,AI281,AM281,AQ281,AU281,AY281)</x:f>
        <x:v>6330</x:v>
      </x:c>
      <x:c r="L281" s="62" t="n">
        <x:f>H281*(ROUNDUP('难度参数'!$E$24/('难度参数'!$E$26*'难度参数'!$E$27),0)*'难度参数'!$E$26)/60</x:f>
        <x:v>3.146666666666667</x:v>
      </x:c>
      <x:c r="M281" s="62" t="n">
        <x:f>L281+D281*('难度参数'!$E$49+'难度参数'!$E$50)/60</x:f>
        <x:v>4.3133333333333335</x:v>
      </x:c>
      <x:c r="N281" s="119" t="n">
        <x:f>ROUNDDOWN(('经济参数'!$E$20+A281*'经济参数'!$E$21)*G281,0)</x:f>
        <x:v>5680</x:v>
      </x:c>
      <x:c r="O281" s="119" t="n">
        <x:f>ROUNDDOWN(MIN('经济参数'!$E$24,'经济参数'!$E$22+A281*'经济参数'!$E$23)*G281,0)</x:f>
        <x:v>0</x:v>
      </x:c>
      <x:c r="P281" s="119" t="n">
        <x:f>ROUNDDOWN((IF(A281&gt;='材料与任务'!$E$31,'材料与任务'!$E$32,IF(A281&gt;='材料与任务'!$E$25,'材料与任务'!$E$26,IF(A281&gt;='材料与任务'!$E$19,'材料与任务'!$E$20,IF(A281&gt;='材料与任务'!$E$13,'材料与任务'!$E$14,'材料与任务'!$E$8)))))*G281,0)</x:f>
        <x:v>6</x:v>
      </x:c>
      <x:c r="Q281" s="119" t="n">
        <x:f>ROUNDDOWN((IF(A281&gt;='材料与任务'!$E$31,'材料与任务'!$E$33,IF(A281&gt;='材料与任务'!$E$25,'材料与任务'!$E$27,IF(A281&gt;='材料与任务'!$E$19,'材料与任务'!$E$21,IF(A281&gt;='材料与任务'!$E$13,'材料与任务'!$E$15,'材料与任务'!$E$9)))))*G281,0)</x:f>
        <x:v>3</x:v>
      </x:c>
      <x:c r="R281" s="110" t="n">
        <x:f>'装备掉落'!$B$38</x:f>
        <x:v>0.6872058758851213</x:v>
      </x:c>
      <x:c r="S281" s="119" t="n">
        <x:f>MAX(IF(VLOOKUP(A281,'装备掉落'!$A$29:$H$34,2,TRUE)&gt;0,1,0),IF(VLOOKUP(A281,'装备掉落'!$A$29:$H$34,3,TRUE)&gt;0,2,0),IF(VLOOKUP(A281,'装备掉落'!$A$29:$H$34,4,TRUE)&gt;0,3,0),IF(VLOOKUP(A281,'装备掉落'!$A$29:$H$34,5,TRUE)&gt;0,4,0),IF(VLOOKUP(A281,'装备掉落'!$A$29:$H$34,6,TRUE)&gt;0,5,0),IF(VLOOKUP(A281,'装备掉落'!$A$29:$H$34,7,TRUE)&gt;0,6,0),IF(VLOOKUP(A281,'装备掉落'!$A$29:$H$34,8,TRUE)&gt;0,7,0))</x:f>
        <x:v>7</x:v>
      </x:c>
      <x:c r="T281" s="119" t="n">
        <x:f>MIN(7,S281+'经济参数'!$E$70)</x:f>
        <x:v>7</x:v>
      </x:c>
      <x:c r="U281" s="119" t="n">
        <x:f>MIN(7,S281+'经济参数'!$E$71)</x:f>
        <x:v>7</x:v>
      </x:c>
      <x:c r="V281" s="119" t="n">
        <x:f>IF(H281&gt;=('难度参数'!$E$52),1,0)+IF(H281&gt;=('难度参数'!$E$52+'难度参数'!$E$53),1,0)+IF(H281&gt;=('难度参数'!$E$52+'难度参数'!$E$53+'难度参数'!$E$54),1,0)+IF(H281&gt;=('难度参数'!$E$52+'难度参数'!$E$53+'难度参数'!$E$54+'难度参数'!$E$55),1,0)+IF(H281&gt;=('难度参数'!$E$52+'难度参数'!$E$53+'难度参数'!$E$54+'难度参数'!$E$55+'难度参数'!$E$56),1,0)+IF(H281&gt;=('难度参数'!$E$52+'难度参数'!$E$53+'难度参数'!$E$54+'难度参数'!$E$55+'难度参数'!$E$56+'难度参数'!$E$57),1,0)</x:f>
        <x:v>6</x:v>
      </x:c>
      <x:c r="W281" s="62" t="str">
        <x:f>IF(L281&gt;'难度参数'!$E$51,"仅出怪已超目标","还需实测")</x:f>
        <x:v>仅出怪已超目标</x:v>
      </x:c>
      <x:c r="X281" s="119" t="n">
        <x:f>IF(1&gt;D281,0,MAX(2,MIN('难度参数'!$E$12,ROUND(('难度参数'!$E$18*POWER(A281,'难度参数'!$E$19)/D281*(0.85+0.3*(1-1)/MAX(1,D281-1))),0)+F281)))</x:f>
        <x:v>29</x:v>
      </x:c>
      <x:c r="Y281" s="119" t="n">
        <x:f>IF(1&gt;D281,0,ROUND(('难度参数'!$E$13*POWER(A281,'难度参数'!$E$20)*MIN('难度参数'!$E$23,1+MAX(0,A281-'难度参数'!$E$21)*'难度参数'!$E$22))*(36+1*7)/(36+7*(D281+1)/2)*E281,0))</x:f>
        <x:v>5175</x:v>
      </x:c>
      <x:c r="Z281" s="119" t="n">
        <x:f>IF(X281=0,0,(X281-IF(1=D281,1,0))*ROUND(Y281*VLOOKUP(INDEX('章节与怪物'!$E$31:$K$37,B281,1),'章节与怪物'!$A$41:$F$44,2,FALSE),0)+IF(1=D281,ROUND(Y281*'难度参数'!$E$28*'章节与怪物'!$E$17,0),0))</x:f>
        <x:v>108054</x:v>
      </x:c>
      <x:c r="AA281" s="119" t="n">
        <x:f>IF(X281=0,0,(X281-IF(1=D281,1,0))*VLOOKUP(INDEX('章节与怪物'!$E$31:$K$37,B281,1),'章节与怪物'!$A$41:$F$44,4,FALSE)+IF(1=D281,'难度参数'!$E$30,0))</x:f>
        <x:v>580</x:v>
      </x:c>
      <x:c r="AB281" s="119" t="n">
        <x:f>IF(2&gt;D281,0,MAX(2,MIN('难度参数'!$E$12,ROUND(('难度参数'!$E$18*POWER(A281,'难度参数'!$E$19)/D281*(0.85+0.3*(2-1)/MAX(1,D281-1))),0)+F281)))</x:f>
        <x:v>30</x:v>
      </x:c>
      <x:c r="AC281" s="119" t="n">
        <x:f>IF(2&gt;D281,0,ROUND(('难度参数'!$E$13*POWER(A281,'难度参数'!$E$20)*MIN('难度参数'!$E$23,1+MAX(0,A281-'难度参数'!$E$21)*'难度参数'!$E$22))*(36+2*7)/(36+7*(D281+1)/2)*E281,0))</x:f>
        <x:v>6018</x:v>
      </x:c>
      <x:c r="AD281" s="119" t="n">
        <x:f>IF(AB281=0,0,(AB281-IF(2=D281,1,0))*ROUND(AC281*VLOOKUP(INDEX('章节与怪物'!$E$31:$K$37,B281,2),'章节与怪物'!$A$41:$F$44,2,FALSE),0)+IF(2=D281,ROUND(AC281*'难度参数'!$E$28*'章节与怪物'!$E$17,0),0))</x:f>
        <x:v>180540</x:v>
      </x:c>
      <x:c r="AE281" s="119" t="n">
        <x:f>IF(AB281=0,0,(AB281-IF(2=D281,1,0))*VLOOKUP(INDEX('章节与怪物'!$E$31:$K$37,B281,2),'章节与怪物'!$A$41:$F$44,4,FALSE)+IF(2=D281,'难度参数'!$E$30,0))</x:f>
        <x:v>540</x:v>
      </x:c>
      <x:c r="AF281" s="119" t="n">
        <x:f>IF(3&gt;D281,0,MAX(2,MIN('难度参数'!$E$12,ROUND(('难度参数'!$E$18*POWER(A281,'难度参数'!$E$19)/D281*(0.85+0.3*(3-1)/MAX(1,D281-1))),0)+F281)))</x:f>
        <x:v>32</x:v>
      </x:c>
      <x:c r="AG281" s="119" t="n">
        <x:f>IF(3&gt;D281,0,ROUND(('难度参数'!$E$13*POWER(A281,'难度参数'!$E$20)*MIN('难度参数'!$E$23,1+MAX(0,A281-'难度参数'!$E$21)*'难度参数'!$E$22))*(36+3*7)/(36+7*(D281+1)/2)*E281,0))</x:f>
        <x:v>6860</x:v>
      </x:c>
      <x:c r="AH281" s="119" t="n">
        <x:f>IF(AF281=0,0,(AF281-IF(3=D281,1,0))*ROUND(AG281*VLOOKUP(INDEX('章节与怪物'!$E$31:$K$37,B281,3),'章节与怪物'!$A$41:$F$44,2,FALSE),0)+IF(3=D281,ROUND(AG281*'难度参数'!$E$28*'章节与怪物'!$E$17,0),0))</x:f>
        <x:v>373184</x:v>
      </x:c>
      <x:c r="AI281" s="119" t="n">
        <x:f>IF(AF281=0,0,(AF281-IF(3=D281,1,0))*VLOOKUP(INDEX('章节与怪物'!$E$31:$K$37,B281,3),'章节与怪物'!$A$41:$F$44,4,FALSE)+IF(3=D281,'难度参数'!$E$30,0))</x:f>
        <x:v>896</x:v>
      </x:c>
      <x:c r="AJ281" s="119" t="n">
        <x:f>IF(4&gt;D281,0,MAX(2,MIN('难度参数'!$E$12,ROUND(('难度参数'!$E$18*POWER(A281,'难度参数'!$E$19)/D281*(0.85+0.3*(4-1)/MAX(1,D281-1))),0)+F281)))</x:f>
        <x:v>34</x:v>
      </x:c>
      <x:c r="AK281" s="119" t="n">
        <x:f>IF(4&gt;D281,0,ROUND(('难度参数'!$E$13*POWER(A281,'难度参数'!$E$20)*MIN('难度参数'!$E$23,1+MAX(0,A281-'难度参数'!$E$21)*'难度参数'!$E$22))*(36+4*7)/(36+7*(D281+1)/2)*E281,0))</x:f>
        <x:v>7703</x:v>
      </x:c>
      <x:c r="AL281" s="119" t="n">
        <x:f>IF(AJ281=0,0,(AJ281-IF(4=D281,1,0))*ROUND(AK281*VLOOKUP(INDEX('章节与怪物'!$E$31:$K$37,B281,4),'章节与怪物'!$A$41:$F$44,2,FALSE),0)+IF(4=D281,ROUND(AK281*'难度参数'!$E$28*'章节与怪物'!$E$17,0),0))</x:f>
        <x:v>353566</x:v>
      </x:c>
      <x:c r="AM281" s="119" t="n">
        <x:f>IF(AJ281=0,0,(AJ281-IF(4=D281,1,0))*VLOOKUP(INDEX('章节与怪物'!$E$31:$K$37,B281,4),'章节与怪物'!$A$41:$F$44,4,FALSE)+IF(4=D281,'难度参数'!$E$30,0))</x:f>
        <x:v>1156</x:v>
      </x:c>
      <x:c r="AN281" s="119" t="n">
        <x:f>IF(5&gt;D281,0,MAX(2,MIN('难度参数'!$E$12,ROUND(('难度参数'!$E$18*POWER(A281,'难度参数'!$E$19)/D281*(0.85+0.3*(5-1)/MAX(1,D281-1))),0)+F281)))</x:f>
        <x:v>35</x:v>
      </x:c>
      <x:c r="AO281" s="119" t="n">
        <x:f>IF(5&gt;D281,0,ROUND(('难度参数'!$E$13*POWER(A281,'难度参数'!$E$20)*MIN('难度参数'!$E$23,1+MAX(0,A281-'难度参数'!$E$21)*'难度参数'!$E$22))*(36+5*7)/(36+7*(D281+1)/2)*E281,0))</x:f>
        <x:v>8545</x:v>
      </x:c>
      <x:c r="AP281" s="119" t="n">
        <x:f>IF(AN281=0,0,(AN281-IF(5=D281,1,0))*ROUND(AO281*VLOOKUP(INDEX('章节与怪物'!$E$31:$K$37,B281,5),'章节与怪物'!$A$41:$F$44,2,FALSE),0)+IF(5=D281,ROUND(AO281*'难度参数'!$E$28*'章节与怪物'!$E$17,0),0))</x:f>
        <x:v>299075</x:v>
      </x:c>
      <x:c r="AQ281" s="119" t="n">
        <x:f>IF(AN281=0,0,(AN281-IF(5=D281,1,0))*VLOOKUP(INDEX('章节与怪物'!$E$31:$K$37,B281,5),'章节与怪物'!$A$41:$F$44,4,FALSE)+IF(5=D281,'难度参数'!$E$30,0))</x:f>
        <x:v>630</x:v>
      </x:c>
      <x:c r="AR281" s="119" t="n">
        <x:f>IF(6&gt;D281,0,MAX(2,MIN('难度参数'!$E$12,ROUND(('难度参数'!$E$18*POWER(A281,'难度参数'!$E$19)/D281*(0.85+0.3*(6-1)/MAX(1,D281-1))),0)+F281)))</x:f>
        <x:v>37</x:v>
      </x:c>
      <x:c r="AS281" s="119" t="n">
        <x:f>IF(6&gt;D281,0,ROUND(('难度参数'!$E$13*POWER(A281,'难度参数'!$E$20)*MIN('难度参数'!$E$23,1+MAX(0,A281-'难度参数'!$E$21)*'难度参数'!$E$22))*(36+6*7)/(36+7*(D281+1)/2)*E281,0))</x:f>
        <x:v>9388</x:v>
      </x:c>
      <x:c r="AT281" s="119" t="n">
        <x:f>IF(AR281=0,0,(AR281-IF(6=D281,1,0))*ROUND(AS281*VLOOKUP(INDEX('章节与怪物'!$E$31:$K$37,B281,6),'章节与怪物'!$A$41:$F$44,2,FALSE),0)+IF(6=D281,ROUND(AS281*'难度参数'!$E$28*'章节与怪物'!$E$17,0),0))</x:f>
        <x:v>590520</x:v>
      </x:c>
      <x:c r="AU281" s="119" t="n">
        <x:f>IF(AR281=0,0,(AR281-IF(6=D281,1,0))*VLOOKUP(INDEX('章节与怪物'!$E$31:$K$37,B281,6),'章节与怪物'!$A$41:$F$44,4,FALSE)+IF(6=D281,'难度参数'!$E$30,0))</x:f>
        <x:v>1036</x:v>
      </x:c>
      <x:c r="AV281" s="119" t="n">
        <x:f>IF(7&gt;D281,0,MAX(2,MIN('难度参数'!$E$12,ROUND(('难度参数'!$E$18*POWER(A281,'难度参数'!$E$19)/D281*(0.85+0.3*(7-1)/MAX(1,D281-1))),0)+F281)))</x:f>
        <x:v>39</x:v>
      </x:c>
      <x:c r="AW281" s="119" t="n">
        <x:f>IF(7&gt;D281,0,ROUND(('难度参数'!$E$13*POWER(A281,'难度参数'!$E$20)*MIN('难度参数'!$E$23,1+MAX(0,A281-'难度参数'!$E$21)*'难度参数'!$E$22))*(36+7*7)/(36+7*(D281+1)/2)*E281,0))</x:f>
        <x:v>10230</x:v>
      </x:c>
      <x:c r="AX281" s="119" t="n">
        <x:f>IF(AV281=0,0,(AV281-IF(7=D281,1,0))*ROUND(AW281*VLOOKUP(INDEX('章节与怪物'!$E$31:$K$37,B281,7),'章节与怪物'!$A$41:$F$44,2,FALSE),0)+IF(7=D281,ROUND(AW281*'难度参数'!$E$28*'章节与怪物'!$E$17,0),0))</x:f>
        <x:v>594382</x:v>
      </x:c>
      <x:c r="AY281" s="119" t="n">
        <x:f>IF(AV281=0,0,(AV281-IF(7=D281,1,0))*VLOOKUP(INDEX('章节与怪物'!$E$31:$K$37,B281,7),'章节与怪物'!$A$41:$F$44,4,FALSE)+IF(7=D281,'难度参数'!$E$30,0))</x:f>
        <x:v>1492</x:v>
      </x:c>
    </x:row>
    <x:row r="282" ht="23" customHeight="1">
      <x:c r="A282" s="119" t="n">
        <x:v>276</x:v>
      </x:c>
      <x:c r="B282" s="119" t="n">
        <x:f>MOD(INT((A282-1)/5),7)+1</x:f>
        <x:v>7</x:v>
      </x:c>
      <x:c r="C282" s="62" t="str">
        <x:f>INDEX('章节与怪物'!$B$31:$B$37,B282)</x:f>
        <x:v>魔法山脊</x:v>
      </x:c>
      <x:c r="D282" s="119" t="n">
        <x:f>MIN('难度参数'!$E$8,MAX('难度参数'!$E$7,A282))</x:f>
        <x:v>7</x:v>
      </x:c>
      <x:c r="E282" s="106" t="n">
        <x:v>1</x:v>
      </x:c>
      <x:c r="F282" s="106" t="n">
        <x:v>0</x:v>
      </x:c>
      <x:c r="G282" s="106" t="n">
        <x:v>1</x:v>
      </x:c>
      <x:c r="H282" s="119" t="n">
        <x:f>SUM(X282,AB282,AF282,AJ282,AN282,AR282,AV282)</x:f>
        <x:v>236</x:v>
      </x:c>
      <x:c r="I282" s="119" t="n">
        <x:f>SUM(Z282,AD282,AH282,AL282,AP282,AT282,AX282)</x:f>
        <x:v>2413310</x:v>
      </x:c>
      <x:c r="J282" s="119" t="n">
        <x:f>ROUND(INDEX(X282:AY282,1,(D282-1)*4+2)*'难度参数'!$E$28*'章节与怪物'!$E$17,0)</x:f>
        <x:v>69748</x:v>
      </x:c>
      <x:c r="K282" s="119" t="n">
        <x:f>SUM(AA282,AE282,AI282,AM282,AQ282,AU282,AY282)</x:f>
        <x:v>6402</x:v>
      </x:c>
      <x:c r="L282" s="62" t="n">
        <x:f>H282*(ROUNDUP('难度参数'!$E$24/('难度参数'!$E$26*'难度参数'!$E$27),0)*'难度参数'!$E$26)/60</x:f>
        <x:v>3.146666666666667</x:v>
      </x:c>
      <x:c r="M282" s="62" t="n">
        <x:f>L282+D282*('难度参数'!$E$49+'难度参数'!$E$50)/60</x:f>
        <x:v>4.3133333333333335</x:v>
      </x:c>
      <x:c r="N282" s="119" t="n">
        <x:f>ROUNDDOWN(('经济参数'!$E$20+A282*'经济参数'!$E$21)*G282,0)</x:f>
        <x:v>5700</x:v>
      </x:c>
      <x:c r="O282" s="119" t="n">
        <x:f>ROUNDDOWN(MIN('经济参数'!$E$24,'经济参数'!$E$22+A282*'经济参数'!$E$23)*G282,0)</x:f>
        <x:v>0</x:v>
      </x:c>
      <x:c r="P282" s="119" t="n">
        <x:f>ROUNDDOWN((IF(A282&gt;='材料与任务'!$E$31,'材料与任务'!$E$32,IF(A282&gt;='材料与任务'!$E$25,'材料与任务'!$E$26,IF(A282&gt;='材料与任务'!$E$19,'材料与任务'!$E$20,IF(A282&gt;='材料与任务'!$E$13,'材料与任务'!$E$14,'材料与任务'!$E$8)))))*G282,0)</x:f>
        <x:v>6</x:v>
      </x:c>
      <x:c r="Q282" s="119" t="n">
        <x:f>ROUNDDOWN((IF(A282&gt;='材料与任务'!$E$31,'材料与任务'!$E$33,IF(A282&gt;='材料与任务'!$E$25,'材料与任务'!$E$27,IF(A282&gt;='材料与任务'!$E$19,'材料与任务'!$E$21,IF(A282&gt;='材料与任务'!$E$13,'材料与任务'!$E$15,'材料与任务'!$E$9)))))*G282,0)</x:f>
        <x:v>3</x:v>
      </x:c>
      <x:c r="R282" s="110" t="n">
        <x:f>'装备掉落'!$B$38</x:f>
        <x:v>0.6872058758851213</x:v>
      </x:c>
      <x:c r="S282" s="119" t="n">
        <x:f>MAX(IF(VLOOKUP(A282,'装备掉落'!$A$29:$H$34,2,TRUE)&gt;0,1,0),IF(VLOOKUP(A282,'装备掉落'!$A$29:$H$34,3,TRUE)&gt;0,2,0),IF(VLOOKUP(A282,'装备掉落'!$A$29:$H$34,4,TRUE)&gt;0,3,0),IF(VLOOKUP(A282,'装备掉落'!$A$29:$H$34,5,TRUE)&gt;0,4,0),IF(VLOOKUP(A282,'装备掉落'!$A$29:$H$34,6,TRUE)&gt;0,5,0),IF(VLOOKUP(A282,'装备掉落'!$A$29:$H$34,7,TRUE)&gt;0,6,0),IF(VLOOKUP(A282,'装备掉落'!$A$29:$H$34,8,TRUE)&gt;0,7,0))</x:f>
        <x:v>7</x:v>
      </x:c>
      <x:c r="T282" s="119" t="n">
        <x:f>MIN(7,S282+'经济参数'!$E$70)</x:f>
        <x:v>7</x:v>
      </x:c>
      <x:c r="U282" s="119" t="n">
        <x:f>MIN(7,S282+'经济参数'!$E$71)</x:f>
        <x:v>7</x:v>
      </x:c>
      <x:c r="V282" s="119" t="n">
        <x:f>IF(H282&gt;=('难度参数'!$E$52),1,0)+IF(H282&gt;=('难度参数'!$E$52+'难度参数'!$E$53),1,0)+IF(H282&gt;=('难度参数'!$E$52+'难度参数'!$E$53+'难度参数'!$E$54),1,0)+IF(H282&gt;=('难度参数'!$E$52+'难度参数'!$E$53+'难度参数'!$E$54+'难度参数'!$E$55),1,0)+IF(H282&gt;=('难度参数'!$E$52+'难度参数'!$E$53+'难度参数'!$E$54+'难度参数'!$E$55+'难度参数'!$E$56),1,0)+IF(H282&gt;=('难度参数'!$E$52+'难度参数'!$E$53+'难度参数'!$E$54+'难度参数'!$E$55+'难度参数'!$E$56+'难度参数'!$E$57),1,0)</x:f>
        <x:v>6</x:v>
      </x:c>
      <x:c r="W282" s="62" t="str">
        <x:f>IF(L282&gt;'难度参数'!$E$51,"仅出怪已超目标","还需实测")</x:f>
        <x:v>仅出怪已超目标</x:v>
      </x:c>
      <x:c r="X282" s="119" t="n">
        <x:f>IF(1&gt;D282,0,MAX(2,MIN('难度参数'!$E$12,ROUND(('难度参数'!$E$18*POWER(A282,'难度参数'!$E$19)/D282*(0.85+0.3*(1-1)/MAX(1,D282-1))),0)+F282)))</x:f>
        <x:v>29</x:v>
      </x:c>
      <x:c r="Y282" s="119" t="n">
        <x:f>IF(1&gt;D282,0,ROUND(('难度参数'!$E$13*POWER(A282,'难度参数'!$E$20)*MIN('难度参数'!$E$23,1+MAX(0,A282-'难度参数'!$E$21)*'难度参数'!$E$22))*(36+1*7)/(36+7*(D282+1)/2)*E282,0))</x:f>
        <x:v>5189</x:v>
      </x:c>
      <x:c r="Z282" s="119" t="n">
        <x:f>IF(X282=0,0,(X282-IF(1=D282,1,0))*ROUND(Y282*VLOOKUP(INDEX('章节与怪物'!$E$31:$K$37,B282,1),'章节与怪物'!$A$41:$F$44,2,FALSE),0)+IF(1=D282,ROUND(Y282*'难度参数'!$E$28*'章节与怪物'!$E$17,0),0))</x:f>
        <x:v>150481</x:v>
      </x:c>
      <x:c r="AA282" s="119" t="n">
        <x:f>IF(X282=0,0,(X282-IF(1=D282,1,0))*VLOOKUP(INDEX('章节与怪物'!$E$31:$K$37,B282,1),'章节与怪物'!$A$41:$F$44,4,FALSE)+IF(1=D282,'难度参数'!$E$30,0))</x:f>
        <x:v>522</x:v>
      </x:c>
      <x:c r="AB282" s="119" t="n">
        <x:f>IF(2&gt;D282,0,MAX(2,MIN('难度参数'!$E$12,ROUND(('难度参数'!$E$18*POWER(A282,'难度参数'!$E$19)/D282*(0.85+0.3*(2-1)/MAX(1,D282-1))),0)+F282)))</x:f>
        <x:v>30</x:v>
      </x:c>
      <x:c r="AC282" s="119" t="n">
        <x:f>IF(2&gt;D282,0,ROUND(('难度参数'!$E$13*POWER(A282,'难度参数'!$E$20)*MIN('难度参数'!$E$23,1+MAX(0,A282-'难度参数'!$E$21)*'难度参数'!$E$22))*(36+2*7)/(36+7*(D282+1)/2)*E282,0))</x:f>
        <x:v>6034</x:v>
      </x:c>
      <x:c r="AD282" s="119" t="n">
        <x:f>IF(AB282=0,0,(AB282-IF(2=D282,1,0))*ROUND(AC282*VLOOKUP(INDEX('章节与怪物'!$E$31:$K$37,B282,2),'章节与怪物'!$A$41:$F$44,2,FALSE),0)+IF(2=D282,ROUND(AC282*'难度参数'!$E$28*'章节与怪物'!$E$17,0),0))</x:f>
        <x:v>130320</x:v>
      </x:c>
      <x:c r="AE282" s="119" t="n">
        <x:f>IF(AB282=0,0,(AB282-IF(2=D282,1,0))*VLOOKUP(INDEX('章节与怪物'!$E$31:$K$37,B282,2),'章节与怪物'!$A$41:$F$44,4,FALSE)+IF(2=D282,'难度参数'!$E$30,0))</x:f>
        <x:v>600</x:v>
      </x:c>
      <x:c r="AF282" s="119" t="n">
        <x:f>IF(3&gt;D282,0,MAX(2,MIN('难度参数'!$E$12,ROUND(('难度参数'!$E$18*POWER(A282,'难度参数'!$E$19)/D282*(0.85+0.3*(3-1)/MAX(1,D282-1))),0)+F282)))</x:f>
        <x:v>32</x:v>
      </x:c>
      <x:c r="AG282" s="119" t="n">
        <x:f>IF(3&gt;D282,0,ROUND(('难度参数'!$E$13*POWER(A282,'难度参数'!$E$20)*MIN('难度参数'!$E$23,1+MAX(0,A282-'难度参数'!$E$21)*'难度参数'!$E$22))*(36+3*7)/(36+7*(D282+1)/2)*E282,0))</x:f>
        <x:v>6878</x:v>
      </x:c>
      <x:c r="AH282" s="119" t="n">
        <x:f>IF(AF282=0,0,(AF282-IF(3=D282,1,0))*ROUND(AG282*VLOOKUP(INDEX('章节与怪物'!$E$31:$K$37,B282,3),'章节与怪物'!$A$41:$F$44,2,FALSE),0)+IF(3=D282,ROUND(AG282*'难度参数'!$E$28*'章节与怪物'!$E$17,0),0))</x:f>
        <x:v>374176</x:v>
      </x:c>
      <x:c r="AI282" s="119" t="n">
        <x:f>IF(AF282=0,0,(AF282-IF(3=D282,1,0))*VLOOKUP(INDEX('章节与怪物'!$E$31:$K$37,B282,3),'章节与怪物'!$A$41:$F$44,4,FALSE)+IF(3=D282,'难度参数'!$E$30,0))</x:f>
        <x:v>896</x:v>
      </x:c>
      <x:c r="AJ282" s="119" t="n">
        <x:f>IF(4&gt;D282,0,MAX(2,MIN('难度参数'!$E$12,ROUND(('难度参数'!$E$18*POWER(A282,'难度参数'!$E$19)/D282*(0.85+0.3*(4-1)/MAX(1,D282-1))),0)+F282)))</x:f>
        <x:v>34</x:v>
      </x:c>
      <x:c r="AK282" s="119" t="n">
        <x:f>IF(4&gt;D282,0,ROUND(('难度参数'!$E$13*POWER(A282,'难度参数'!$E$20)*MIN('难度参数'!$E$23,1+MAX(0,A282-'难度参数'!$E$21)*'难度参数'!$E$22))*(36+4*7)/(36+7*(D282+1)/2)*E282,0))</x:f>
        <x:v>7723</x:v>
      </x:c>
      <x:c r="AL282" s="119" t="n">
        <x:f>IF(AJ282=0,0,(AJ282-IF(4=D282,1,0))*ROUND(AK282*VLOOKUP(INDEX('章节与怪物'!$E$31:$K$37,B282,4),'章节与怪物'!$A$41:$F$44,2,FALSE),0)+IF(4=D282,ROUND(AK282*'难度参数'!$E$28*'章节与怪物'!$E$17,0),0))</x:f>
        <x:v>354484</x:v>
      </x:c>
      <x:c r="AM282" s="119" t="n">
        <x:f>IF(AJ282=0,0,(AJ282-IF(4=D282,1,0))*VLOOKUP(INDEX('章节与怪物'!$E$31:$K$37,B282,4),'章节与怪物'!$A$41:$F$44,4,FALSE)+IF(4=D282,'难度参数'!$E$30,0))</x:f>
        <x:v>1156</x:v>
      </x:c>
      <x:c r="AN282" s="119" t="n">
        <x:f>IF(5&gt;D282,0,MAX(2,MIN('难度参数'!$E$12,ROUND(('难度参数'!$E$18*POWER(A282,'难度参数'!$E$19)/D282*(0.85+0.3*(5-1)/MAX(1,D282-1))),0)+F282)))</x:f>
        <x:v>35</x:v>
      </x:c>
      <x:c r="AO282" s="119" t="n">
        <x:f>IF(5&gt;D282,0,ROUND(('难度参数'!$E$13*POWER(A282,'难度参数'!$E$20)*MIN('难度参数'!$E$23,1+MAX(0,A282-'难度参数'!$E$21)*'难度参数'!$E$22))*(36+5*7)/(36+7*(D282+1)/2)*E282,0))</x:f>
        <x:v>8568</x:v>
      </x:c>
      <x:c r="AP282" s="119" t="n">
        <x:f>IF(AN282=0,0,(AN282-IF(5=D282,1,0))*ROUND(AO282*VLOOKUP(INDEX('章节与怪物'!$E$31:$K$37,B282,5),'章节与怪物'!$A$41:$F$44,2,FALSE),0)+IF(5=D282,ROUND(AO282*'难度参数'!$E$28*'章节与怪物'!$E$17,0),0))</x:f>
        <x:v>215915</x:v>
      </x:c>
      <x:c r="AQ282" s="119" t="n">
        <x:f>IF(AN282=0,0,(AN282-IF(5=D282,1,0))*VLOOKUP(INDEX('章节与怪物'!$E$31:$K$37,B282,5),'章节与怪物'!$A$41:$F$44,4,FALSE)+IF(5=D282,'难度参数'!$E$30,0))</x:f>
        <x:v>700</x:v>
      </x:c>
      <x:c r="AR282" s="119" t="n">
        <x:f>IF(6&gt;D282,0,MAX(2,MIN('难度参数'!$E$12,ROUND(('难度参数'!$E$18*POWER(A282,'难度参数'!$E$19)/D282*(0.85+0.3*(6-1)/MAX(1,D282-1))),0)+F282)))</x:f>
        <x:v>37</x:v>
      </x:c>
      <x:c r="AS282" s="119" t="n">
        <x:f>IF(6&gt;D282,0,ROUND(('难度参数'!$E$13*POWER(A282,'难度参数'!$E$20)*MIN('难度参数'!$E$23,1+MAX(0,A282-'难度参数'!$E$21)*'难度参数'!$E$22))*(36+6*7)/(36+7*(D282+1)/2)*E282,0))</x:f>
        <x:v>9412</x:v>
      </x:c>
      <x:c r="AT282" s="119" t="n">
        <x:f>IF(AR282=0,0,(AR282-IF(6=D282,1,0))*ROUND(AS282*VLOOKUP(INDEX('章节与怪物'!$E$31:$K$37,B282,6),'章节与怪物'!$A$41:$F$44,2,FALSE),0)+IF(6=D282,ROUND(AS282*'难度参数'!$E$28*'章节与怪物'!$E$17,0),0))</x:f>
        <x:v>592000</x:v>
      </x:c>
      <x:c r="AU282" s="119" t="n">
        <x:f>IF(AR282=0,0,(AR282-IF(6=D282,1,0))*VLOOKUP(INDEX('章节与怪物'!$E$31:$K$37,B282,6),'章节与怪物'!$A$41:$F$44,4,FALSE)+IF(6=D282,'难度参数'!$E$30,0))</x:f>
        <x:v>1036</x:v>
      </x:c>
      <x:c r="AV282" s="119" t="n">
        <x:f>IF(7&gt;D282,0,MAX(2,MIN('难度参数'!$E$12,ROUND(('难度参数'!$E$18*POWER(A282,'难度参数'!$E$19)/D282*(0.85+0.3*(7-1)/MAX(1,D282-1))),0)+F282)))</x:f>
        <x:v>39</x:v>
      </x:c>
      <x:c r="AW282" s="119" t="n">
        <x:f>IF(7&gt;D282,0,ROUND(('难度参数'!$E$13*POWER(A282,'难度参数'!$E$20)*MIN('难度参数'!$E$23,1+MAX(0,A282-'难度参数'!$E$21)*'难度参数'!$E$22))*(36+7*7)/(36+7*(D282+1)/2)*E282,0))</x:f>
        <x:v>10257</x:v>
      </x:c>
      <x:c r="AX282" s="119" t="n">
        <x:f>IF(AV282=0,0,(AV282-IF(7=D282,1,0))*ROUND(AW282*VLOOKUP(INDEX('章节与怪物'!$E$31:$K$37,B282,7),'章节与怪物'!$A$41:$F$44,2,FALSE),0)+IF(7=D282,ROUND(AW282*'难度参数'!$E$28*'章节与怪物'!$E$17,0),0))</x:f>
        <x:v>595934</x:v>
      </x:c>
      <x:c r="AY282" s="119" t="n">
        <x:f>IF(AV282=0,0,(AV282-IF(7=D282,1,0))*VLOOKUP(INDEX('章节与怪物'!$E$31:$K$37,B282,7),'章节与怪物'!$A$41:$F$44,4,FALSE)+IF(7=D282,'难度参数'!$E$30,0))</x:f>
        <x:v>1492</x:v>
      </x:c>
    </x:row>
    <x:row r="283" ht="23" customHeight="1">
      <x:c r="A283" s="119" t="n">
        <x:v>277</x:v>
      </x:c>
      <x:c r="B283" s="119" t="n">
        <x:f>MOD(INT((A283-1)/5),7)+1</x:f>
        <x:v>7</x:v>
      </x:c>
      <x:c r="C283" s="62" t="str">
        <x:f>INDEX('章节与怪物'!$B$31:$B$37,B283)</x:f>
        <x:v>魔法山脊</x:v>
      </x:c>
      <x:c r="D283" s="119" t="n">
        <x:f>MIN('难度参数'!$E$8,MAX('难度参数'!$E$7,A283))</x:f>
        <x:v>7</x:v>
      </x:c>
      <x:c r="E283" s="106" t="n">
        <x:v>1</x:v>
      </x:c>
      <x:c r="F283" s="106" t="n">
        <x:v>0</x:v>
      </x:c>
      <x:c r="G283" s="106" t="n">
        <x:v>1</x:v>
      </x:c>
      <x:c r="H283" s="119" t="n">
        <x:f>SUM(X283,AB283,AF283,AJ283,AN283,AR283,AV283)</x:f>
        <x:v>236</x:v>
      </x:c>
      <x:c r="I283" s="119" t="n">
        <x:f>SUM(Z283,AD283,AH283,AL283,AP283,AT283,AX283)</x:f>
        <x:v>2419597</x:v>
      </x:c>
      <x:c r="J283" s="119" t="n">
        <x:f>ROUND(INDEX(X283:AY283,1,(D283-1)*4+2)*'难度参数'!$E$28*'章节与怪物'!$E$17,0)</x:f>
        <x:v>69931</x:v>
      </x:c>
      <x:c r="K283" s="119" t="n">
        <x:f>SUM(AA283,AE283,AI283,AM283,AQ283,AU283,AY283)</x:f>
        <x:v>6402</x:v>
      </x:c>
      <x:c r="L283" s="62" t="n">
        <x:f>H283*(ROUNDUP('难度参数'!$E$24/('难度参数'!$E$26*'难度参数'!$E$27),0)*'难度参数'!$E$26)/60</x:f>
        <x:v>3.146666666666667</x:v>
      </x:c>
      <x:c r="M283" s="62" t="n">
        <x:f>L283+D283*('难度参数'!$E$49+'难度参数'!$E$50)/60</x:f>
        <x:v>4.3133333333333335</x:v>
      </x:c>
      <x:c r="N283" s="119" t="n">
        <x:f>ROUNDDOWN(('经济参数'!$E$20+A283*'经济参数'!$E$21)*G283,0)</x:f>
        <x:v>5720</x:v>
      </x:c>
      <x:c r="O283" s="119" t="n">
        <x:f>ROUNDDOWN(MIN('经济参数'!$E$24,'经济参数'!$E$22+A283*'经济参数'!$E$23)*G283,0)</x:f>
        <x:v>0</x:v>
      </x:c>
      <x:c r="P283" s="119" t="n">
        <x:f>ROUNDDOWN((IF(A283&gt;='材料与任务'!$E$31,'材料与任务'!$E$32,IF(A283&gt;='材料与任务'!$E$25,'材料与任务'!$E$26,IF(A283&gt;='材料与任务'!$E$19,'材料与任务'!$E$20,IF(A283&gt;='材料与任务'!$E$13,'材料与任务'!$E$14,'材料与任务'!$E$8)))))*G283,0)</x:f>
        <x:v>6</x:v>
      </x:c>
      <x:c r="Q283" s="119" t="n">
        <x:f>ROUNDDOWN((IF(A283&gt;='材料与任务'!$E$31,'材料与任务'!$E$33,IF(A283&gt;='材料与任务'!$E$25,'材料与任务'!$E$27,IF(A283&gt;='材料与任务'!$E$19,'材料与任务'!$E$21,IF(A283&gt;='材料与任务'!$E$13,'材料与任务'!$E$15,'材料与任务'!$E$9)))))*G283,0)</x:f>
        <x:v>3</x:v>
      </x:c>
      <x:c r="R283" s="110" t="n">
        <x:f>'装备掉落'!$B$38</x:f>
        <x:v>0.6872058758851213</x:v>
      </x:c>
      <x:c r="S283" s="119" t="n">
        <x:f>MAX(IF(VLOOKUP(A283,'装备掉落'!$A$29:$H$34,2,TRUE)&gt;0,1,0),IF(VLOOKUP(A283,'装备掉落'!$A$29:$H$34,3,TRUE)&gt;0,2,0),IF(VLOOKUP(A283,'装备掉落'!$A$29:$H$34,4,TRUE)&gt;0,3,0),IF(VLOOKUP(A283,'装备掉落'!$A$29:$H$34,5,TRUE)&gt;0,4,0),IF(VLOOKUP(A283,'装备掉落'!$A$29:$H$34,6,TRUE)&gt;0,5,0),IF(VLOOKUP(A283,'装备掉落'!$A$29:$H$34,7,TRUE)&gt;0,6,0),IF(VLOOKUP(A283,'装备掉落'!$A$29:$H$34,8,TRUE)&gt;0,7,0))</x:f>
        <x:v>7</x:v>
      </x:c>
      <x:c r="T283" s="119" t="n">
        <x:f>MIN(7,S283+'经济参数'!$E$70)</x:f>
        <x:v>7</x:v>
      </x:c>
      <x:c r="U283" s="119" t="n">
        <x:f>MIN(7,S283+'经济参数'!$E$71)</x:f>
        <x:v>7</x:v>
      </x:c>
      <x:c r="V283" s="119" t="n">
        <x:f>IF(H283&gt;=('难度参数'!$E$52),1,0)+IF(H283&gt;=('难度参数'!$E$52+'难度参数'!$E$53),1,0)+IF(H283&gt;=('难度参数'!$E$52+'难度参数'!$E$53+'难度参数'!$E$54),1,0)+IF(H283&gt;=('难度参数'!$E$52+'难度参数'!$E$53+'难度参数'!$E$54+'难度参数'!$E$55),1,0)+IF(H283&gt;=('难度参数'!$E$52+'难度参数'!$E$53+'难度参数'!$E$54+'难度参数'!$E$55+'难度参数'!$E$56),1,0)+IF(H283&gt;=('难度参数'!$E$52+'难度参数'!$E$53+'难度参数'!$E$54+'难度参数'!$E$55+'难度参数'!$E$56+'难度参数'!$E$57),1,0)</x:f>
        <x:v>6</x:v>
      </x:c>
      <x:c r="W283" s="62" t="str">
        <x:f>IF(L283&gt;'难度参数'!$E$51,"仅出怪已超目标","还需实测")</x:f>
        <x:v>仅出怪已超目标</x:v>
      </x:c>
      <x:c r="X283" s="119" t="n">
        <x:f>IF(1&gt;D283,0,MAX(2,MIN('难度参数'!$E$12,ROUND(('难度参数'!$E$18*POWER(A283,'难度参数'!$E$19)/D283*(0.85+0.3*(1-1)/MAX(1,D283-1))),0)+F283)))</x:f>
        <x:v>29</x:v>
      </x:c>
      <x:c r="Y283" s="119" t="n">
        <x:f>IF(1&gt;D283,0,ROUND(('难度参数'!$E$13*POWER(A283,'难度参数'!$E$20)*MIN('难度参数'!$E$23,1+MAX(0,A283-'难度参数'!$E$21)*'难度参数'!$E$22))*(36+1*7)/(36+7*(D283+1)/2)*E283,0))</x:f>
        <x:v>5202</x:v>
      </x:c>
      <x:c r="Z283" s="119" t="n">
        <x:f>IF(X283=0,0,(X283-IF(1=D283,1,0))*ROUND(Y283*VLOOKUP(INDEX('章节与怪物'!$E$31:$K$37,B283,1),'章节与怪物'!$A$41:$F$44,2,FALSE),0)+IF(1=D283,ROUND(Y283*'难度参数'!$E$28*'章节与怪物'!$E$17,0),0))</x:f>
        <x:v>150858</x:v>
      </x:c>
      <x:c r="AA283" s="119" t="n">
        <x:f>IF(X283=0,0,(X283-IF(1=D283,1,0))*VLOOKUP(INDEX('章节与怪物'!$E$31:$K$37,B283,1),'章节与怪物'!$A$41:$F$44,4,FALSE)+IF(1=D283,'难度参数'!$E$30,0))</x:f>
        <x:v>522</x:v>
      </x:c>
      <x:c r="AB283" s="119" t="n">
        <x:f>IF(2&gt;D283,0,MAX(2,MIN('难度参数'!$E$12,ROUND(('难度参数'!$E$18*POWER(A283,'难度参数'!$E$19)/D283*(0.85+0.3*(2-1)/MAX(1,D283-1))),0)+F283)))</x:f>
        <x:v>30</x:v>
      </x:c>
      <x:c r="AC283" s="119" t="n">
        <x:f>IF(2&gt;D283,0,ROUND(('难度参数'!$E$13*POWER(A283,'难度参数'!$E$20)*MIN('难度参数'!$E$23,1+MAX(0,A283-'难度参数'!$E$21)*'难度参数'!$E$22))*(36+2*7)/(36+7*(D283+1)/2)*E283,0))</x:f>
        <x:v>6049</x:v>
      </x:c>
      <x:c r="AD283" s="119" t="n">
        <x:f>IF(AB283=0,0,(AB283-IF(2=D283,1,0))*ROUND(AC283*VLOOKUP(INDEX('章节与怪物'!$E$31:$K$37,B283,2),'章节与怪物'!$A$41:$F$44,2,FALSE),0)+IF(2=D283,ROUND(AC283*'难度参数'!$E$28*'章节与怪物'!$E$17,0),0))</x:f>
        <x:v>130650</x:v>
      </x:c>
      <x:c r="AE283" s="119" t="n">
        <x:f>IF(AB283=0,0,(AB283-IF(2=D283,1,0))*VLOOKUP(INDEX('章节与怪物'!$E$31:$K$37,B283,2),'章节与怪物'!$A$41:$F$44,4,FALSE)+IF(2=D283,'难度参数'!$E$30,0))</x:f>
        <x:v>600</x:v>
      </x:c>
      <x:c r="AF283" s="119" t="n">
        <x:f>IF(3&gt;D283,0,MAX(2,MIN('难度参数'!$E$12,ROUND(('难度参数'!$E$18*POWER(A283,'难度参数'!$E$19)/D283*(0.85+0.3*(3-1)/MAX(1,D283-1))),0)+F283)))</x:f>
        <x:v>32</x:v>
      </x:c>
      <x:c r="AG283" s="119" t="n">
        <x:f>IF(3&gt;D283,0,ROUND(('难度参数'!$E$13*POWER(A283,'难度参数'!$E$20)*MIN('难度参数'!$E$23,1+MAX(0,A283-'难度参数'!$E$21)*'难度参数'!$E$22))*(36+3*7)/(36+7*(D283+1)/2)*E283,0))</x:f>
        <x:v>6896</x:v>
      </x:c>
      <x:c r="AH283" s="119" t="n">
        <x:f>IF(AF283=0,0,(AF283-IF(3=D283,1,0))*ROUND(AG283*VLOOKUP(INDEX('章节与怪物'!$E$31:$K$37,B283,3),'章节与怪物'!$A$41:$F$44,2,FALSE),0)+IF(3=D283,ROUND(AG283*'难度参数'!$E$28*'章节与怪物'!$E$17,0),0))</x:f>
        <x:v>375136</x:v>
      </x:c>
      <x:c r="AI283" s="119" t="n">
        <x:f>IF(AF283=0,0,(AF283-IF(3=D283,1,0))*VLOOKUP(INDEX('章节与怪物'!$E$31:$K$37,B283,3),'章节与怪物'!$A$41:$F$44,4,FALSE)+IF(3=D283,'难度参数'!$E$30,0))</x:f>
        <x:v>896</x:v>
      </x:c>
      <x:c r="AJ283" s="119" t="n">
        <x:f>IF(4&gt;D283,0,MAX(2,MIN('难度参数'!$E$12,ROUND(('难度参数'!$E$18*POWER(A283,'难度参数'!$E$19)/D283*(0.85+0.3*(4-1)/MAX(1,D283-1))),0)+F283)))</x:f>
        <x:v>34</x:v>
      </x:c>
      <x:c r="AK283" s="119" t="n">
        <x:f>IF(4&gt;D283,0,ROUND(('难度参数'!$E$13*POWER(A283,'难度参数'!$E$20)*MIN('难度参数'!$E$23,1+MAX(0,A283-'难度参数'!$E$21)*'难度参数'!$E$22))*(36+4*7)/(36+7*(D283+1)/2)*E283,0))</x:f>
        <x:v>7743</x:v>
      </x:c>
      <x:c r="AL283" s="119" t="n">
        <x:f>IF(AJ283=0,0,(AJ283-IF(4=D283,1,0))*ROUND(AK283*VLOOKUP(INDEX('章节与怪物'!$E$31:$K$37,B283,4),'章节与怪物'!$A$41:$F$44,2,FALSE),0)+IF(4=D283,ROUND(AK283*'难度参数'!$E$28*'章节与怪物'!$E$17,0),0))</x:f>
        <x:v>355402</x:v>
      </x:c>
      <x:c r="AM283" s="119" t="n">
        <x:f>IF(AJ283=0,0,(AJ283-IF(4=D283,1,0))*VLOOKUP(INDEX('章节与怪物'!$E$31:$K$37,B283,4),'章节与怪物'!$A$41:$F$44,4,FALSE)+IF(4=D283,'难度参数'!$E$30,0))</x:f>
        <x:v>1156</x:v>
      </x:c>
      <x:c r="AN283" s="119" t="n">
        <x:f>IF(5&gt;D283,0,MAX(2,MIN('难度参数'!$E$12,ROUND(('难度参数'!$E$18*POWER(A283,'难度参数'!$E$19)/D283*(0.85+0.3*(5-1)/MAX(1,D283-1))),0)+F283)))</x:f>
        <x:v>35</x:v>
      </x:c>
      <x:c r="AO283" s="119" t="n">
        <x:f>IF(5&gt;D283,0,ROUND(('难度参数'!$E$13*POWER(A283,'难度参数'!$E$20)*MIN('难度参数'!$E$23,1+MAX(0,A283-'难度参数'!$E$21)*'难度参数'!$E$22))*(36+5*7)/(36+7*(D283+1)/2)*E283,0))</x:f>
        <x:v>8590</x:v>
      </x:c>
      <x:c r="AP283" s="119" t="n">
        <x:f>IF(AN283=0,0,(AN283-IF(5=D283,1,0))*ROUND(AO283*VLOOKUP(INDEX('章节与怪物'!$E$31:$K$37,B283,5),'章节与怪物'!$A$41:$F$44,2,FALSE),0)+IF(5=D283,ROUND(AO283*'难度参数'!$E$28*'章节与怪物'!$E$17,0),0))</x:f>
        <x:v>216475</x:v>
      </x:c>
      <x:c r="AQ283" s="119" t="n">
        <x:f>IF(AN283=0,0,(AN283-IF(5=D283,1,0))*VLOOKUP(INDEX('章节与怪物'!$E$31:$K$37,B283,5),'章节与怪物'!$A$41:$F$44,4,FALSE)+IF(5=D283,'难度参数'!$E$30,0))</x:f>
        <x:v>700</x:v>
      </x:c>
      <x:c r="AR283" s="119" t="n">
        <x:f>IF(6&gt;D283,0,MAX(2,MIN('难度参数'!$E$12,ROUND(('难度参数'!$E$18*POWER(A283,'难度参数'!$E$19)/D283*(0.85+0.3*(6-1)/MAX(1,D283-1))),0)+F283)))</x:f>
        <x:v>37</x:v>
      </x:c>
      <x:c r="AS283" s="119" t="n">
        <x:f>IF(6&gt;D283,0,ROUND(('难度参数'!$E$13*POWER(A283,'难度参数'!$E$20)*MIN('难度参数'!$E$23,1+MAX(0,A283-'难度参数'!$E$21)*'难度参数'!$E$22))*(36+6*7)/(36+7*(D283+1)/2)*E283,0))</x:f>
        <x:v>9437</x:v>
      </x:c>
      <x:c r="AT283" s="119" t="n">
        <x:f>IF(AR283=0,0,(AR283-IF(6=D283,1,0))*ROUND(AS283*VLOOKUP(INDEX('章节与怪物'!$E$31:$K$37,B283,6),'章节与怪物'!$A$41:$F$44,2,FALSE),0)+IF(6=D283,ROUND(AS283*'难度参数'!$E$28*'章节与怪物'!$E$17,0),0))</x:f>
        <x:v>593591</x:v>
      </x:c>
      <x:c r="AU283" s="119" t="n">
        <x:f>IF(AR283=0,0,(AR283-IF(6=D283,1,0))*VLOOKUP(INDEX('章节与怪物'!$E$31:$K$37,B283,6),'章节与怪物'!$A$41:$F$44,4,FALSE)+IF(6=D283,'难度参数'!$E$30,0))</x:f>
        <x:v>1036</x:v>
      </x:c>
      <x:c r="AV283" s="119" t="n">
        <x:f>IF(7&gt;D283,0,MAX(2,MIN('难度参数'!$E$12,ROUND(('难度参数'!$E$18*POWER(A283,'难度参数'!$E$19)/D283*(0.85+0.3*(7-1)/MAX(1,D283-1))),0)+F283)))</x:f>
        <x:v>39</x:v>
      </x:c>
      <x:c r="AW283" s="119" t="n">
        <x:f>IF(7&gt;D283,0,ROUND(('难度参数'!$E$13*POWER(A283,'难度参数'!$E$20)*MIN('难度参数'!$E$23,1+MAX(0,A283-'难度参数'!$E$21)*'难度参数'!$E$22))*(36+7*7)/(36+7*(D283+1)/2)*E283,0))</x:f>
        <x:v>10284</x:v>
      </x:c>
      <x:c r="AX283" s="119" t="n">
        <x:f>IF(AV283=0,0,(AV283-IF(7=D283,1,0))*ROUND(AW283*VLOOKUP(INDEX('章节与怪物'!$E$31:$K$37,B283,7),'章节与怪物'!$A$41:$F$44,2,FALSE),0)+IF(7=D283,ROUND(AW283*'难度参数'!$E$28*'章节与怪物'!$E$17,0),0))</x:f>
        <x:v>597485</x:v>
      </x:c>
      <x:c r="AY283" s="119" t="n">
        <x:f>IF(AV283=0,0,(AV283-IF(7=D283,1,0))*VLOOKUP(INDEX('章节与怪物'!$E$31:$K$37,B283,7),'章节与怪物'!$A$41:$F$44,4,FALSE)+IF(7=D283,'难度参数'!$E$30,0))</x:f>
        <x:v>1492</x:v>
      </x:c>
    </x:row>
    <x:row r="284" ht="23" customHeight="1">
      <x:c r="A284" s="119" t="n">
        <x:v>278</x:v>
      </x:c>
      <x:c r="B284" s="119" t="n">
        <x:f>MOD(INT((A284-1)/5),7)+1</x:f>
        <x:v>7</x:v>
      </x:c>
      <x:c r="C284" s="62" t="str">
        <x:f>INDEX('章节与怪物'!$B$31:$B$37,B284)</x:f>
        <x:v>魔法山脊</x:v>
      </x:c>
      <x:c r="D284" s="119" t="n">
        <x:f>MIN('难度参数'!$E$8,MAX('难度参数'!$E$7,A284))</x:f>
        <x:v>7</x:v>
      </x:c>
      <x:c r="E284" s="106" t="n">
        <x:v>1</x:v>
      </x:c>
      <x:c r="F284" s="106" t="n">
        <x:v>0</x:v>
      </x:c>
      <x:c r="G284" s="106" t="n">
        <x:v>1</x:v>
      </x:c>
      <x:c r="H284" s="119" t="n">
        <x:f>SUM(X284,AB284,AF284,AJ284,AN284,AR284,AV284)</x:f>
        <x:v>236</x:v>
      </x:c>
      <x:c r="I284" s="119" t="n">
        <x:f>SUM(Z284,AD284,AH284,AL284,AP284,AT284,AX284)</x:f>
        <x:v>2425977</x:v>
      </x:c>
      <x:c r="J284" s="119" t="n">
        <x:f>ROUND(INDEX(X284:AY284,1,(D284-1)*4+2)*'难度参数'!$E$28*'章节与怪物'!$E$17,0)</x:f>
        <x:v>70115</x:v>
      </x:c>
      <x:c r="K284" s="119" t="n">
        <x:f>SUM(AA284,AE284,AI284,AM284,AQ284,AU284,AY284)</x:f>
        <x:v>6402</x:v>
      </x:c>
      <x:c r="L284" s="62" t="n">
        <x:f>H284*(ROUNDUP('难度参数'!$E$24/('难度参数'!$E$26*'难度参数'!$E$27),0)*'难度参数'!$E$26)/60</x:f>
        <x:v>3.146666666666667</x:v>
      </x:c>
      <x:c r="M284" s="62" t="n">
        <x:f>L284+D284*('难度参数'!$E$49+'难度参数'!$E$50)/60</x:f>
        <x:v>4.3133333333333335</x:v>
      </x:c>
      <x:c r="N284" s="119" t="n">
        <x:f>ROUNDDOWN(('经济参数'!$E$20+A284*'经济参数'!$E$21)*G284,0)</x:f>
        <x:v>5740</x:v>
      </x:c>
      <x:c r="O284" s="119" t="n">
        <x:f>ROUNDDOWN(MIN('经济参数'!$E$24,'经济参数'!$E$22+A284*'经济参数'!$E$23)*G284,0)</x:f>
        <x:v>0</x:v>
      </x:c>
      <x:c r="P284" s="119" t="n">
        <x:f>ROUNDDOWN((IF(A284&gt;='材料与任务'!$E$31,'材料与任务'!$E$32,IF(A284&gt;='材料与任务'!$E$25,'材料与任务'!$E$26,IF(A284&gt;='材料与任务'!$E$19,'材料与任务'!$E$20,IF(A284&gt;='材料与任务'!$E$13,'材料与任务'!$E$14,'材料与任务'!$E$8)))))*G284,0)</x:f>
        <x:v>6</x:v>
      </x:c>
      <x:c r="Q284" s="119" t="n">
        <x:f>ROUNDDOWN((IF(A284&gt;='材料与任务'!$E$31,'材料与任务'!$E$33,IF(A284&gt;='材料与任务'!$E$25,'材料与任务'!$E$27,IF(A284&gt;='材料与任务'!$E$19,'材料与任务'!$E$21,IF(A284&gt;='材料与任务'!$E$13,'材料与任务'!$E$15,'材料与任务'!$E$9)))))*G284,0)</x:f>
        <x:v>3</x:v>
      </x:c>
      <x:c r="R284" s="110" t="n">
        <x:f>'装备掉落'!$B$38</x:f>
        <x:v>0.6872058758851213</x:v>
      </x:c>
      <x:c r="S284" s="119" t="n">
        <x:f>MAX(IF(VLOOKUP(A284,'装备掉落'!$A$29:$H$34,2,TRUE)&gt;0,1,0),IF(VLOOKUP(A284,'装备掉落'!$A$29:$H$34,3,TRUE)&gt;0,2,0),IF(VLOOKUP(A284,'装备掉落'!$A$29:$H$34,4,TRUE)&gt;0,3,0),IF(VLOOKUP(A284,'装备掉落'!$A$29:$H$34,5,TRUE)&gt;0,4,0),IF(VLOOKUP(A284,'装备掉落'!$A$29:$H$34,6,TRUE)&gt;0,5,0),IF(VLOOKUP(A284,'装备掉落'!$A$29:$H$34,7,TRUE)&gt;0,6,0),IF(VLOOKUP(A284,'装备掉落'!$A$29:$H$34,8,TRUE)&gt;0,7,0))</x:f>
        <x:v>7</x:v>
      </x:c>
      <x:c r="T284" s="119" t="n">
        <x:f>MIN(7,S284+'经济参数'!$E$70)</x:f>
        <x:v>7</x:v>
      </x:c>
      <x:c r="U284" s="119" t="n">
        <x:f>MIN(7,S284+'经济参数'!$E$71)</x:f>
        <x:v>7</x:v>
      </x:c>
      <x:c r="V284" s="119" t="n">
        <x:f>IF(H284&gt;=('难度参数'!$E$52),1,0)+IF(H284&gt;=('难度参数'!$E$52+'难度参数'!$E$53),1,0)+IF(H284&gt;=('难度参数'!$E$52+'难度参数'!$E$53+'难度参数'!$E$54),1,0)+IF(H284&gt;=('难度参数'!$E$52+'难度参数'!$E$53+'难度参数'!$E$54+'难度参数'!$E$55),1,0)+IF(H284&gt;=('难度参数'!$E$52+'难度参数'!$E$53+'难度参数'!$E$54+'难度参数'!$E$55+'难度参数'!$E$56),1,0)+IF(H284&gt;=('难度参数'!$E$52+'难度参数'!$E$53+'难度参数'!$E$54+'难度参数'!$E$55+'难度参数'!$E$56+'难度参数'!$E$57),1,0)</x:f>
        <x:v>6</x:v>
      </x:c>
      <x:c r="W284" s="62" t="str">
        <x:f>IF(L284&gt;'难度参数'!$E$51,"仅出怪已超目标","还需实测")</x:f>
        <x:v>仅出怪已超目标</x:v>
      </x:c>
      <x:c r="X284" s="119" t="n">
        <x:f>IF(1&gt;D284,0,MAX(2,MIN('难度参数'!$E$12,ROUND(('难度参数'!$E$18*POWER(A284,'难度参数'!$E$19)/D284*(0.85+0.3*(1-1)/MAX(1,D284-1))),0)+F284)))</x:f>
        <x:v>29</x:v>
      </x:c>
      <x:c r="Y284" s="119" t="n">
        <x:f>IF(1&gt;D284,0,ROUND(('难度参数'!$E$13*POWER(A284,'难度参数'!$E$20)*MIN('难度参数'!$E$23,1+MAX(0,A284-'难度参数'!$E$21)*'难度参数'!$E$22))*(36+1*7)/(36+7*(D284+1)/2)*E284,0))</x:f>
        <x:v>5216</x:v>
      </x:c>
      <x:c r="Z284" s="119" t="n">
        <x:f>IF(X284=0,0,(X284-IF(1=D284,1,0))*ROUND(Y284*VLOOKUP(INDEX('章节与怪物'!$E$31:$K$37,B284,1),'章节与怪物'!$A$41:$F$44,2,FALSE),0)+IF(1=D284,ROUND(Y284*'难度参数'!$E$28*'章节与怪物'!$E$17,0),0))</x:f>
        <x:v>151264</x:v>
      </x:c>
      <x:c r="AA284" s="119" t="n">
        <x:f>IF(X284=0,0,(X284-IF(1=D284,1,0))*VLOOKUP(INDEX('章节与怪物'!$E$31:$K$37,B284,1),'章节与怪物'!$A$41:$F$44,4,FALSE)+IF(1=D284,'难度参数'!$E$30,0))</x:f>
        <x:v>522</x:v>
      </x:c>
      <x:c r="AB284" s="119" t="n">
        <x:f>IF(2&gt;D284,0,MAX(2,MIN('难度参数'!$E$12,ROUND(('难度参数'!$E$18*POWER(A284,'难度参数'!$E$19)/D284*(0.85+0.3*(2-1)/MAX(1,D284-1))),0)+F284)))</x:f>
        <x:v>30</x:v>
      </x:c>
      <x:c r="AC284" s="119" t="n">
        <x:f>IF(2&gt;D284,0,ROUND(('难度参数'!$E$13*POWER(A284,'难度参数'!$E$20)*MIN('难度参数'!$E$23,1+MAX(0,A284-'难度参数'!$E$21)*'难度参数'!$E$22))*(36+2*7)/(36+7*(D284+1)/2)*E284,0))</x:f>
        <x:v>6065</x:v>
      </x:c>
      <x:c r="AD284" s="119" t="n">
        <x:f>IF(AB284=0,0,(AB284-IF(2=D284,1,0))*ROUND(AC284*VLOOKUP(INDEX('章节与怪物'!$E$31:$K$37,B284,2),'章节与怪物'!$A$41:$F$44,2,FALSE),0)+IF(2=D284,ROUND(AC284*'难度参数'!$E$28*'章节与怪物'!$E$17,0),0))</x:f>
        <x:v>131010</x:v>
      </x:c>
      <x:c r="AE284" s="119" t="n">
        <x:f>IF(AB284=0,0,(AB284-IF(2=D284,1,0))*VLOOKUP(INDEX('章节与怪物'!$E$31:$K$37,B284,2),'章节与怪物'!$A$41:$F$44,4,FALSE)+IF(2=D284,'难度参数'!$E$30,0))</x:f>
        <x:v>600</x:v>
      </x:c>
      <x:c r="AF284" s="119" t="n">
        <x:f>IF(3&gt;D284,0,MAX(2,MIN('难度参数'!$E$12,ROUND(('难度参数'!$E$18*POWER(A284,'难度参数'!$E$19)/D284*(0.85+0.3*(3-1)/MAX(1,D284-1))),0)+F284)))</x:f>
        <x:v>32</x:v>
      </x:c>
      <x:c r="AG284" s="119" t="n">
        <x:f>IF(3&gt;D284,0,ROUND(('难度参数'!$E$13*POWER(A284,'难度参数'!$E$20)*MIN('难度参数'!$E$23,1+MAX(0,A284-'难度参数'!$E$21)*'难度参数'!$E$22))*(36+3*7)/(36+7*(D284+1)/2)*E284,0))</x:f>
        <x:v>6914</x:v>
      </x:c>
      <x:c r="AH284" s="119" t="n">
        <x:f>IF(AF284=0,0,(AF284-IF(3=D284,1,0))*ROUND(AG284*VLOOKUP(INDEX('章节与怪物'!$E$31:$K$37,B284,3),'章节与怪物'!$A$41:$F$44,2,FALSE),0)+IF(3=D284,ROUND(AG284*'难度参数'!$E$28*'章节与怪物'!$E$17,0),0))</x:f>
        <x:v>376128</x:v>
      </x:c>
      <x:c r="AI284" s="119" t="n">
        <x:f>IF(AF284=0,0,(AF284-IF(3=D284,1,0))*VLOOKUP(INDEX('章节与怪物'!$E$31:$K$37,B284,3),'章节与怪物'!$A$41:$F$44,4,FALSE)+IF(3=D284,'难度参数'!$E$30,0))</x:f>
        <x:v>896</x:v>
      </x:c>
      <x:c r="AJ284" s="119" t="n">
        <x:f>IF(4&gt;D284,0,MAX(2,MIN('难度参数'!$E$12,ROUND(('难度参数'!$E$18*POWER(A284,'难度参数'!$E$19)/D284*(0.85+0.3*(4-1)/MAX(1,D284-1))),0)+F284)))</x:f>
        <x:v>34</x:v>
      </x:c>
      <x:c r="AK284" s="119" t="n">
        <x:f>IF(4&gt;D284,0,ROUND(('难度参数'!$E$13*POWER(A284,'难度参数'!$E$20)*MIN('难度参数'!$E$23,1+MAX(0,A284-'难度参数'!$E$21)*'难度参数'!$E$22))*(36+4*7)/(36+7*(D284+1)/2)*E284,0))</x:f>
        <x:v>7763</x:v>
      </x:c>
      <x:c r="AL284" s="119" t="n">
        <x:f>IF(AJ284=0,0,(AJ284-IF(4=D284,1,0))*ROUND(AK284*VLOOKUP(INDEX('章节与怪物'!$E$31:$K$37,B284,4),'章节与怪物'!$A$41:$F$44,2,FALSE),0)+IF(4=D284,ROUND(AK284*'难度参数'!$E$28*'章节与怪物'!$E$17,0),0))</x:f>
        <x:v>356320</x:v>
      </x:c>
      <x:c r="AM284" s="119" t="n">
        <x:f>IF(AJ284=0,0,(AJ284-IF(4=D284,1,0))*VLOOKUP(INDEX('章节与怪物'!$E$31:$K$37,B284,4),'章节与怪物'!$A$41:$F$44,4,FALSE)+IF(4=D284,'难度参数'!$E$30,0))</x:f>
        <x:v>1156</x:v>
      </x:c>
      <x:c r="AN284" s="119" t="n">
        <x:f>IF(5&gt;D284,0,MAX(2,MIN('难度参数'!$E$12,ROUND(('难度参数'!$E$18*POWER(A284,'难度参数'!$E$19)/D284*(0.85+0.3*(5-1)/MAX(1,D284-1))),0)+F284)))</x:f>
        <x:v>35</x:v>
      </x:c>
      <x:c r="AO284" s="119" t="n">
        <x:f>IF(5&gt;D284,0,ROUND(('难度参数'!$E$13*POWER(A284,'难度参数'!$E$20)*MIN('难度参数'!$E$23,1+MAX(0,A284-'难度参数'!$E$21)*'难度参数'!$E$22))*(36+5*7)/(36+7*(D284+1)/2)*E284,0))</x:f>
        <x:v>8612</x:v>
      </x:c>
      <x:c r="AP284" s="119" t="n">
        <x:f>IF(AN284=0,0,(AN284-IF(5=D284,1,0))*ROUND(AO284*VLOOKUP(INDEX('章节与怪物'!$E$31:$K$37,B284,5),'章节与怪物'!$A$41:$F$44,2,FALSE),0)+IF(5=D284,ROUND(AO284*'难度参数'!$E$28*'章节与怪物'!$E$17,0),0))</x:f>
        <x:v>217035</x:v>
      </x:c>
      <x:c r="AQ284" s="119" t="n">
        <x:f>IF(AN284=0,0,(AN284-IF(5=D284,1,0))*VLOOKUP(INDEX('章节与怪物'!$E$31:$K$37,B284,5),'章节与怪物'!$A$41:$F$44,4,FALSE)+IF(5=D284,'难度参数'!$E$30,0))</x:f>
        <x:v>700</x:v>
      </x:c>
      <x:c r="AR284" s="119" t="n">
        <x:f>IF(6&gt;D284,0,MAX(2,MIN('难度参数'!$E$12,ROUND(('难度参数'!$E$18*POWER(A284,'难度参数'!$E$19)/D284*(0.85+0.3*(6-1)/MAX(1,D284-1))),0)+F284)))</x:f>
        <x:v>37</x:v>
      </x:c>
      <x:c r="AS284" s="119" t="n">
        <x:f>IF(6&gt;D284,0,ROUND(('难度参数'!$E$13*POWER(A284,'难度参数'!$E$20)*MIN('难度参数'!$E$23,1+MAX(0,A284-'难度参数'!$E$21)*'难度参数'!$E$22))*(36+6*7)/(36+7*(D284+1)/2)*E284,0))</x:f>
        <x:v>9462</x:v>
      </x:c>
      <x:c r="AT284" s="119" t="n">
        <x:f>IF(AR284=0,0,(AR284-IF(6=D284,1,0))*ROUND(AS284*VLOOKUP(INDEX('章节与怪物'!$E$31:$K$37,B284,6),'章节与怪物'!$A$41:$F$44,2,FALSE),0)+IF(6=D284,ROUND(AS284*'难度参数'!$E$28*'章节与怪物'!$E$17,0),0))</x:f>
        <x:v>595145</x:v>
      </x:c>
      <x:c r="AU284" s="119" t="n">
        <x:f>IF(AR284=0,0,(AR284-IF(6=D284,1,0))*VLOOKUP(INDEX('章节与怪物'!$E$31:$K$37,B284,6),'章节与怪物'!$A$41:$F$44,4,FALSE)+IF(6=D284,'难度参数'!$E$30,0))</x:f>
        <x:v>1036</x:v>
      </x:c>
      <x:c r="AV284" s="119" t="n">
        <x:f>IF(7&gt;D284,0,MAX(2,MIN('难度参数'!$E$12,ROUND(('难度参数'!$E$18*POWER(A284,'难度参数'!$E$19)/D284*(0.85+0.3*(7-1)/MAX(1,D284-1))),0)+F284)))</x:f>
        <x:v>39</x:v>
      </x:c>
      <x:c r="AW284" s="119" t="n">
        <x:f>IF(7&gt;D284,0,ROUND(('难度参数'!$E$13*POWER(A284,'难度参数'!$E$20)*MIN('难度参数'!$E$23,1+MAX(0,A284-'难度参数'!$E$21)*'难度参数'!$E$22))*(36+7*7)/(36+7*(D284+1)/2)*E284,0))</x:f>
        <x:v>10311</x:v>
      </x:c>
      <x:c r="AX284" s="119" t="n">
        <x:f>IF(AV284=0,0,(AV284-IF(7=D284,1,0))*ROUND(AW284*VLOOKUP(INDEX('章节与怪物'!$E$31:$K$37,B284,7),'章节与怪物'!$A$41:$F$44,2,FALSE),0)+IF(7=D284,ROUND(AW284*'难度参数'!$E$28*'章节与怪物'!$E$17,0),0))</x:f>
        <x:v>599075</x:v>
      </x:c>
      <x:c r="AY284" s="119" t="n">
        <x:f>IF(AV284=0,0,(AV284-IF(7=D284,1,0))*VLOOKUP(INDEX('章节与怪物'!$E$31:$K$37,B284,7),'章节与怪物'!$A$41:$F$44,4,FALSE)+IF(7=D284,'难度参数'!$E$30,0))</x:f>
        <x:v>1492</x:v>
      </x:c>
    </x:row>
    <x:row r="285" ht="23" customHeight="1">
      <x:c r="A285" s="119" t="n">
        <x:v>279</x:v>
      </x:c>
      <x:c r="B285" s="119" t="n">
        <x:f>MOD(INT((A285-1)/5),7)+1</x:f>
        <x:v>7</x:v>
      </x:c>
      <x:c r="C285" s="62" t="str">
        <x:f>INDEX('章节与怪物'!$B$31:$B$37,B285)</x:f>
        <x:v>魔法山脊</x:v>
      </x:c>
      <x:c r="D285" s="119" t="n">
        <x:f>MIN('难度参数'!$E$8,MAX('难度参数'!$E$7,A285))</x:f>
        <x:v>7</x:v>
      </x:c>
      <x:c r="E285" s="106" t="n">
        <x:v>1</x:v>
      </x:c>
      <x:c r="F285" s="106" t="n">
        <x:v>0</x:v>
      </x:c>
      <x:c r="G285" s="106" t="n">
        <x:v>1</x:v>
      </x:c>
      <x:c r="H285" s="119" t="n">
        <x:f>SUM(X285,AB285,AF285,AJ285,AN285,AR285,AV285)</x:f>
        <x:v>237</x:v>
      </x:c>
      <x:c r="I285" s="119" t="n">
        <x:f>SUM(Z285,AD285,AH285,AL285,AP285,AT285,AX285)</x:f>
        <x:v>2438363</x:v>
      </x:c>
      <x:c r="J285" s="119" t="n">
        <x:f>ROUND(INDEX(X285:AY285,1,(D285-1)*4+2)*'难度参数'!$E$28*'章节与怪物'!$E$17,0)</x:f>
        <x:v>70292</x:v>
      </x:c>
      <x:c r="K285" s="119" t="n">
        <x:f>SUM(AA285,AE285,AI285,AM285,AQ285,AU285,AY285)</x:f>
        <x:v>6422</x:v>
      </x:c>
      <x:c r="L285" s="62" t="n">
        <x:f>H285*(ROUNDUP('难度参数'!$E$24/('难度参数'!$E$26*'难度参数'!$E$27),0)*'难度参数'!$E$26)/60</x:f>
        <x:v>3.1600000000000006</x:v>
      </x:c>
      <x:c r="M285" s="62" t="n">
        <x:f>L285+D285*('难度参数'!$E$49+'难度参数'!$E$50)/60</x:f>
        <x:v>4.326666666666667</x:v>
      </x:c>
      <x:c r="N285" s="119" t="n">
        <x:f>ROUNDDOWN(('经济参数'!$E$20+A285*'经济参数'!$E$21)*G285,0)</x:f>
        <x:v>5760</x:v>
      </x:c>
      <x:c r="O285" s="119" t="n">
        <x:f>ROUNDDOWN(MIN('经济参数'!$E$24,'经济参数'!$E$22+A285*'经济参数'!$E$23)*G285,0)</x:f>
        <x:v>0</x:v>
      </x:c>
      <x:c r="P285" s="119" t="n">
        <x:f>ROUNDDOWN((IF(A285&gt;='材料与任务'!$E$31,'材料与任务'!$E$32,IF(A285&gt;='材料与任务'!$E$25,'材料与任务'!$E$26,IF(A285&gt;='材料与任务'!$E$19,'材料与任务'!$E$20,IF(A285&gt;='材料与任务'!$E$13,'材料与任务'!$E$14,'材料与任务'!$E$8)))))*G285,0)</x:f>
        <x:v>6</x:v>
      </x:c>
      <x:c r="Q285" s="119" t="n">
        <x:f>ROUNDDOWN((IF(A285&gt;='材料与任务'!$E$31,'材料与任务'!$E$33,IF(A285&gt;='材料与任务'!$E$25,'材料与任务'!$E$27,IF(A285&gt;='材料与任务'!$E$19,'材料与任务'!$E$21,IF(A285&gt;='材料与任务'!$E$13,'材料与任务'!$E$15,'材料与任务'!$E$9)))))*G285,0)</x:f>
        <x:v>3</x:v>
      </x:c>
      <x:c r="R285" s="110" t="n">
        <x:f>'装备掉落'!$B$38</x:f>
        <x:v>0.6872058758851213</x:v>
      </x:c>
      <x:c r="S285" s="119" t="n">
        <x:f>MAX(IF(VLOOKUP(A285,'装备掉落'!$A$29:$H$34,2,TRUE)&gt;0,1,0),IF(VLOOKUP(A285,'装备掉落'!$A$29:$H$34,3,TRUE)&gt;0,2,0),IF(VLOOKUP(A285,'装备掉落'!$A$29:$H$34,4,TRUE)&gt;0,3,0),IF(VLOOKUP(A285,'装备掉落'!$A$29:$H$34,5,TRUE)&gt;0,4,0),IF(VLOOKUP(A285,'装备掉落'!$A$29:$H$34,6,TRUE)&gt;0,5,0),IF(VLOOKUP(A285,'装备掉落'!$A$29:$H$34,7,TRUE)&gt;0,6,0),IF(VLOOKUP(A285,'装备掉落'!$A$29:$H$34,8,TRUE)&gt;0,7,0))</x:f>
        <x:v>7</x:v>
      </x:c>
      <x:c r="T285" s="119" t="n">
        <x:f>MIN(7,S285+'经济参数'!$E$70)</x:f>
        <x:v>7</x:v>
      </x:c>
      <x:c r="U285" s="119" t="n">
        <x:f>MIN(7,S285+'经济参数'!$E$71)</x:f>
        <x:v>7</x:v>
      </x:c>
      <x:c r="V285" s="119" t="n">
        <x:f>IF(H285&gt;=('难度参数'!$E$52),1,0)+IF(H285&gt;=('难度参数'!$E$52+'难度参数'!$E$53),1,0)+IF(H285&gt;=('难度参数'!$E$52+'难度参数'!$E$53+'难度参数'!$E$54),1,0)+IF(H285&gt;=('难度参数'!$E$52+'难度参数'!$E$53+'难度参数'!$E$54+'难度参数'!$E$55),1,0)+IF(H285&gt;=('难度参数'!$E$52+'难度参数'!$E$53+'难度参数'!$E$54+'难度参数'!$E$55+'难度参数'!$E$56),1,0)+IF(H285&gt;=('难度参数'!$E$52+'难度参数'!$E$53+'难度参数'!$E$54+'难度参数'!$E$55+'难度参数'!$E$56+'难度参数'!$E$57),1,0)</x:f>
        <x:v>6</x:v>
      </x:c>
      <x:c r="W285" s="62" t="str">
        <x:f>IF(L285&gt;'难度参数'!$E$51,"仅出怪已超目标","还需实测")</x:f>
        <x:v>仅出怪已超目标</x:v>
      </x:c>
      <x:c r="X285" s="119" t="n">
        <x:f>IF(1&gt;D285,0,MAX(2,MIN('难度参数'!$E$12,ROUND(('难度参数'!$E$18*POWER(A285,'难度参数'!$E$19)/D285*(0.85+0.3*(1-1)/MAX(1,D285-1))),0)+F285)))</x:f>
        <x:v>29</x:v>
      </x:c>
      <x:c r="Y285" s="119" t="n">
        <x:f>IF(1&gt;D285,0,ROUND(('难度参数'!$E$13*POWER(A285,'难度参数'!$E$20)*MIN('难度参数'!$E$23,1+MAX(0,A285-'难度参数'!$E$21)*'难度参数'!$E$22))*(36+1*7)/(36+7*(D285+1)/2)*E285,0))</x:f>
        <x:v>5229</x:v>
      </x:c>
      <x:c r="Z285" s="119" t="n">
        <x:f>IF(X285=0,0,(X285-IF(1=D285,1,0))*ROUND(Y285*VLOOKUP(INDEX('章节与怪物'!$E$31:$K$37,B285,1),'章节与怪物'!$A$41:$F$44,2,FALSE),0)+IF(1=D285,ROUND(Y285*'难度参数'!$E$28*'章节与怪物'!$E$17,0),0))</x:f>
        <x:v>151641</x:v>
      </x:c>
      <x:c r="AA285" s="119" t="n">
        <x:f>IF(X285=0,0,(X285-IF(1=D285,1,0))*VLOOKUP(INDEX('章节与怪物'!$E$31:$K$37,B285,1),'章节与怪物'!$A$41:$F$44,4,FALSE)+IF(1=D285,'难度参数'!$E$30,0))</x:f>
        <x:v>522</x:v>
      </x:c>
      <x:c r="AB285" s="119" t="n">
        <x:f>IF(2&gt;D285,0,MAX(2,MIN('难度参数'!$E$12,ROUND(('难度参数'!$E$18*POWER(A285,'难度参数'!$E$19)/D285*(0.85+0.3*(2-1)/MAX(1,D285-1))),0)+F285)))</x:f>
        <x:v>30</x:v>
      </x:c>
      <x:c r="AC285" s="119" t="n">
        <x:f>IF(2&gt;D285,0,ROUND(('难度参数'!$E$13*POWER(A285,'难度参数'!$E$20)*MIN('难度参数'!$E$23,1+MAX(0,A285-'难度参数'!$E$21)*'难度参数'!$E$22))*(36+2*7)/(36+7*(D285+1)/2)*E285,0))</x:f>
        <x:v>6081</x:v>
      </x:c>
      <x:c r="AD285" s="119" t="n">
        <x:f>IF(AB285=0,0,(AB285-IF(2=D285,1,0))*ROUND(AC285*VLOOKUP(INDEX('章节与怪物'!$E$31:$K$37,B285,2),'章节与怪物'!$A$41:$F$44,2,FALSE),0)+IF(2=D285,ROUND(AC285*'难度参数'!$E$28*'章节与怪物'!$E$17,0),0))</x:f>
        <x:v>131340</x:v>
      </x:c>
      <x:c r="AE285" s="119" t="n">
        <x:f>IF(AB285=0,0,(AB285-IF(2=D285,1,0))*VLOOKUP(INDEX('章节与怪物'!$E$31:$K$37,B285,2),'章节与怪物'!$A$41:$F$44,4,FALSE)+IF(2=D285,'难度参数'!$E$30,0))</x:f>
        <x:v>600</x:v>
      </x:c>
      <x:c r="AF285" s="119" t="n">
        <x:f>IF(3&gt;D285,0,MAX(2,MIN('难度参数'!$E$12,ROUND(('难度参数'!$E$18*POWER(A285,'难度参数'!$E$19)/D285*(0.85+0.3*(3-1)/MAX(1,D285-1))),0)+F285)))</x:f>
        <x:v>32</x:v>
      </x:c>
      <x:c r="AG285" s="119" t="n">
        <x:f>IF(3&gt;D285,0,ROUND(('难度参数'!$E$13*POWER(A285,'难度参数'!$E$20)*MIN('难度参数'!$E$23,1+MAX(0,A285-'难度参数'!$E$21)*'难度参数'!$E$22))*(36+3*7)/(36+7*(D285+1)/2)*E285,0))</x:f>
        <x:v>6932</x:v>
      </x:c>
      <x:c r="AH285" s="119" t="n">
        <x:f>IF(AF285=0,0,(AF285-IF(3=D285,1,0))*ROUND(AG285*VLOOKUP(INDEX('章节与怪物'!$E$31:$K$37,B285,3),'章节与怪物'!$A$41:$F$44,2,FALSE),0)+IF(3=D285,ROUND(AG285*'难度参数'!$E$28*'章节与怪物'!$E$17,0),0))</x:f>
        <x:v>377088</x:v>
      </x:c>
      <x:c r="AI285" s="119" t="n">
        <x:f>IF(AF285=0,0,(AF285-IF(3=D285,1,0))*VLOOKUP(INDEX('章节与怪物'!$E$31:$K$37,B285,3),'章节与怪物'!$A$41:$F$44,4,FALSE)+IF(3=D285,'难度参数'!$E$30,0))</x:f>
        <x:v>896</x:v>
      </x:c>
      <x:c r="AJ285" s="119" t="n">
        <x:f>IF(4&gt;D285,0,MAX(2,MIN('难度参数'!$E$12,ROUND(('难度参数'!$E$18*POWER(A285,'难度参数'!$E$19)/D285*(0.85+0.3*(4-1)/MAX(1,D285-1))),0)+F285)))</x:f>
        <x:v>34</x:v>
      </x:c>
      <x:c r="AK285" s="119" t="n">
        <x:f>IF(4&gt;D285,0,ROUND(('难度参数'!$E$13*POWER(A285,'难度参数'!$E$20)*MIN('难度参数'!$E$23,1+MAX(0,A285-'难度参数'!$E$21)*'难度参数'!$E$22))*(36+4*7)/(36+7*(D285+1)/2)*E285,0))</x:f>
        <x:v>7783</x:v>
      </x:c>
      <x:c r="AL285" s="119" t="n">
        <x:f>IF(AJ285=0,0,(AJ285-IF(4=D285,1,0))*ROUND(AK285*VLOOKUP(INDEX('章节与怪物'!$E$31:$K$37,B285,4),'章节与怪物'!$A$41:$F$44,2,FALSE),0)+IF(4=D285,ROUND(AK285*'难度参数'!$E$28*'章节与怪物'!$E$17,0),0))</x:f>
        <x:v>357238</x:v>
      </x:c>
      <x:c r="AM285" s="119" t="n">
        <x:f>IF(AJ285=0,0,(AJ285-IF(4=D285,1,0))*VLOOKUP(INDEX('章节与怪物'!$E$31:$K$37,B285,4),'章节与怪物'!$A$41:$F$44,4,FALSE)+IF(4=D285,'难度参数'!$E$30,0))</x:f>
        <x:v>1156</x:v>
      </x:c>
      <x:c r="AN285" s="119" t="n">
        <x:f>IF(5&gt;D285,0,MAX(2,MIN('难度参数'!$E$12,ROUND(('难度参数'!$E$18*POWER(A285,'难度参数'!$E$19)/D285*(0.85+0.3*(5-1)/MAX(1,D285-1))),0)+F285)))</x:f>
        <x:v>36</x:v>
      </x:c>
      <x:c r="AO285" s="119" t="n">
        <x:f>IF(5&gt;D285,0,ROUND(('难度参数'!$E$13*POWER(A285,'难度参数'!$E$20)*MIN('难度参数'!$E$23,1+MAX(0,A285-'难度参数'!$E$21)*'难度参数'!$E$22))*(36+5*7)/(36+7*(D285+1)/2)*E285,0))</x:f>
        <x:v>8635</x:v>
      </x:c>
      <x:c r="AP285" s="119" t="n">
        <x:f>IF(AN285=0,0,(AN285-IF(5=D285,1,0))*ROUND(AO285*VLOOKUP(INDEX('章节与怪物'!$E$31:$K$37,B285,5),'章节与怪物'!$A$41:$F$44,2,FALSE),0)+IF(5=D285,ROUND(AO285*'难度参数'!$E$28*'章节与怪物'!$E$17,0),0))</x:f>
        <x:v>223812</x:v>
      </x:c>
      <x:c r="AQ285" s="119" t="n">
        <x:f>IF(AN285=0,0,(AN285-IF(5=D285,1,0))*VLOOKUP(INDEX('章节与怪物'!$E$31:$K$37,B285,5),'章节与怪物'!$A$41:$F$44,4,FALSE)+IF(5=D285,'难度参数'!$E$30,0))</x:f>
        <x:v>720</x:v>
      </x:c>
      <x:c r="AR285" s="119" t="n">
        <x:f>IF(6&gt;D285,0,MAX(2,MIN('难度参数'!$E$12,ROUND(('难度参数'!$E$18*POWER(A285,'难度参数'!$E$19)/D285*(0.85+0.3*(6-1)/MAX(1,D285-1))),0)+F285)))</x:f>
        <x:v>37</x:v>
      </x:c>
      <x:c r="AS285" s="119" t="n">
        <x:f>IF(6&gt;D285,0,ROUND(('难度参数'!$E$13*POWER(A285,'难度参数'!$E$20)*MIN('难度参数'!$E$23,1+MAX(0,A285-'难度参数'!$E$21)*'难度参数'!$E$22))*(36+6*7)/(36+7*(D285+1)/2)*E285,0))</x:f>
        <x:v>9486</x:v>
      </x:c>
      <x:c r="AT285" s="119" t="n">
        <x:f>IF(AR285=0,0,(AR285-IF(6=D285,1,0))*ROUND(AS285*VLOOKUP(INDEX('章节与怪物'!$E$31:$K$37,B285,6),'章节与怪物'!$A$41:$F$44,2,FALSE),0)+IF(6=D285,ROUND(AS285*'难度参数'!$E$28*'章节与怪物'!$E$17,0),0))</x:f>
        <x:v>596662</x:v>
      </x:c>
      <x:c r="AU285" s="119" t="n">
        <x:f>IF(AR285=0,0,(AR285-IF(6=D285,1,0))*VLOOKUP(INDEX('章节与怪物'!$E$31:$K$37,B285,6),'章节与怪物'!$A$41:$F$44,4,FALSE)+IF(6=D285,'难度参数'!$E$30,0))</x:f>
        <x:v>1036</x:v>
      </x:c>
      <x:c r="AV285" s="119" t="n">
        <x:f>IF(7&gt;D285,0,MAX(2,MIN('难度参数'!$E$12,ROUND(('难度参数'!$E$18*POWER(A285,'难度参数'!$E$19)/D285*(0.85+0.3*(7-1)/MAX(1,D285-1))),0)+F285)))</x:f>
        <x:v>39</x:v>
      </x:c>
      <x:c r="AW285" s="119" t="n">
        <x:f>IF(7&gt;D285,0,ROUND(('难度参数'!$E$13*POWER(A285,'难度参数'!$E$20)*MIN('难度参数'!$E$23,1+MAX(0,A285-'难度参数'!$E$21)*'难度参数'!$E$22))*(36+7*7)/(36+7*(D285+1)/2)*E285,0))</x:f>
        <x:v>10337</x:v>
      </x:c>
      <x:c r="AX285" s="119" t="n">
        <x:f>IF(AV285=0,0,(AV285-IF(7=D285,1,0))*ROUND(AW285*VLOOKUP(INDEX('章节与怪物'!$E$31:$K$37,B285,7),'章节与怪物'!$A$41:$F$44,2,FALSE),0)+IF(7=D285,ROUND(AW285*'难度参数'!$E$28*'章节与怪物'!$E$17,0),0))</x:f>
        <x:v>600582</x:v>
      </x:c>
      <x:c r="AY285" s="119" t="n">
        <x:f>IF(AV285=0,0,(AV285-IF(7=D285,1,0))*VLOOKUP(INDEX('章节与怪物'!$E$31:$K$37,B285,7),'章节与怪物'!$A$41:$F$44,4,FALSE)+IF(7=D285,'难度参数'!$E$30,0))</x:f>
        <x:v>1492</x:v>
      </x:c>
    </x:row>
    <x:row r="286" ht="23" customHeight="1">
      <x:c r="A286" s="119" t="n">
        <x:v>280</x:v>
      </x:c>
      <x:c r="B286" s="119" t="n">
        <x:f>MOD(INT((A286-1)/5),7)+1</x:f>
        <x:v>7</x:v>
      </x:c>
      <x:c r="C286" s="62" t="str">
        <x:f>INDEX('章节与怪物'!$B$31:$B$37,B286)</x:f>
        <x:v>魔法山脊</x:v>
      </x:c>
      <x:c r="D286" s="119" t="n">
        <x:f>MIN('难度参数'!$E$8,MAX('难度参数'!$E$7,A286))</x:f>
        <x:v>7</x:v>
      </x:c>
      <x:c r="E286" s="106" t="n">
        <x:v>1</x:v>
      </x:c>
      <x:c r="F286" s="106" t="n">
        <x:v>0</x:v>
      </x:c>
      <x:c r="G286" s="106" t="n">
        <x:v>1</x:v>
      </x:c>
      <x:c r="H286" s="119" t="n">
        <x:f>SUM(X286,AB286,AF286,AJ286,AN286,AR286,AV286)</x:f>
        <x:v>237</x:v>
      </x:c>
      <x:c r="I286" s="119" t="n">
        <x:f>SUM(Z286,AD286,AH286,AL286,AP286,AT286,AX286)</x:f>
        <x:v>2444653</x:v>
      </x:c>
      <x:c r="J286" s="119" t="n">
        <x:f>ROUND(INDEX(X286:AY286,1,(D286-1)*4+2)*'难度参数'!$E$28*'章节与怪物'!$E$17,0)</x:f>
        <x:v>70475</x:v>
      </x:c>
      <x:c r="K286" s="119" t="n">
        <x:f>SUM(AA286,AE286,AI286,AM286,AQ286,AU286,AY286)</x:f>
        <x:v>6422</x:v>
      </x:c>
      <x:c r="L286" s="62" t="n">
        <x:f>H286*(ROUNDUP('难度参数'!$E$24/('难度参数'!$E$26*'难度参数'!$E$27),0)*'难度参数'!$E$26)/60</x:f>
        <x:v>3.1600000000000006</x:v>
      </x:c>
      <x:c r="M286" s="62" t="n">
        <x:f>L286+D286*('难度参数'!$E$49+'难度参数'!$E$50)/60</x:f>
        <x:v>4.326666666666667</x:v>
      </x:c>
      <x:c r="N286" s="119" t="n">
        <x:f>ROUNDDOWN(('经济参数'!$E$20+A286*'经济参数'!$E$21)*G286,0)</x:f>
        <x:v>5780</x:v>
      </x:c>
      <x:c r="O286" s="119" t="n">
        <x:f>ROUNDDOWN(MIN('经济参数'!$E$24,'经济参数'!$E$22+A286*'经济参数'!$E$23)*G286,0)</x:f>
        <x:v>0</x:v>
      </x:c>
      <x:c r="P286" s="119" t="n">
        <x:f>ROUNDDOWN((IF(A286&gt;='材料与任务'!$E$31,'材料与任务'!$E$32,IF(A286&gt;='材料与任务'!$E$25,'材料与任务'!$E$26,IF(A286&gt;='材料与任务'!$E$19,'材料与任务'!$E$20,IF(A286&gt;='材料与任务'!$E$13,'材料与任务'!$E$14,'材料与任务'!$E$8)))))*G286,0)</x:f>
        <x:v>6</x:v>
      </x:c>
      <x:c r="Q286" s="119" t="n">
        <x:f>ROUNDDOWN((IF(A286&gt;='材料与任务'!$E$31,'材料与任务'!$E$33,IF(A286&gt;='材料与任务'!$E$25,'材料与任务'!$E$27,IF(A286&gt;='材料与任务'!$E$19,'材料与任务'!$E$21,IF(A286&gt;='材料与任务'!$E$13,'材料与任务'!$E$15,'材料与任务'!$E$9)))))*G286,0)</x:f>
        <x:v>3</x:v>
      </x:c>
      <x:c r="R286" s="110" t="n">
        <x:f>'装备掉落'!$B$38</x:f>
        <x:v>0.6872058758851213</x:v>
      </x:c>
      <x:c r="S286" s="119" t="n">
        <x:f>MAX(IF(VLOOKUP(A286,'装备掉落'!$A$29:$H$34,2,TRUE)&gt;0,1,0),IF(VLOOKUP(A286,'装备掉落'!$A$29:$H$34,3,TRUE)&gt;0,2,0),IF(VLOOKUP(A286,'装备掉落'!$A$29:$H$34,4,TRUE)&gt;0,3,0),IF(VLOOKUP(A286,'装备掉落'!$A$29:$H$34,5,TRUE)&gt;0,4,0),IF(VLOOKUP(A286,'装备掉落'!$A$29:$H$34,6,TRUE)&gt;0,5,0),IF(VLOOKUP(A286,'装备掉落'!$A$29:$H$34,7,TRUE)&gt;0,6,0),IF(VLOOKUP(A286,'装备掉落'!$A$29:$H$34,8,TRUE)&gt;0,7,0))</x:f>
        <x:v>7</x:v>
      </x:c>
      <x:c r="T286" s="119" t="n">
        <x:f>MIN(7,S286+'经济参数'!$E$70)</x:f>
        <x:v>7</x:v>
      </x:c>
      <x:c r="U286" s="119" t="n">
        <x:f>MIN(7,S286+'经济参数'!$E$71)</x:f>
        <x:v>7</x:v>
      </x:c>
      <x:c r="V286" s="119" t="n">
        <x:f>IF(H286&gt;=('难度参数'!$E$52),1,0)+IF(H286&gt;=('难度参数'!$E$52+'难度参数'!$E$53),1,0)+IF(H286&gt;=('难度参数'!$E$52+'难度参数'!$E$53+'难度参数'!$E$54),1,0)+IF(H286&gt;=('难度参数'!$E$52+'难度参数'!$E$53+'难度参数'!$E$54+'难度参数'!$E$55),1,0)+IF(H286&gt;=('难度参数'!$E$52+'难度参数'!$E$53+'难度参数'!$E$54+'难度参数'!$E$55+'难度参数'!$E$56),1,0)+IF(H286&gt;=('难度参数'!$E$52+'难度参数'!$E$53+'难度参数'!$E$54+'难度参数'!$E$55+'难度参数'!$E$56+'难度参数'!$E$57),1,0)</x:f>
        <x:v>6</x:v>
      </x:c>
      <x:c r="W286" s="62" t="str">
        <x:f>IF(L286&gt;'难度参数'!$E$51,"仅出怪已超目标","还需实测")</x:f>
        <x:v>仅出怪已超目标</x:v>
      </x:c>
      <x:c r="X286" s="119" t="n">
        <x:f>IF(1&gt;D286,0,MAX(2,MIN('难度参数'!$E$12,ROUND(('难度参数'!$E$18*POWER(A286,'难度参数'!$E$19)/D286*(0.85+0.3*(1-1)/MAX(1,D286-1))),0)+F286)))</x:f>
        <x:v>29</x:v>
      </x:c>
      <x:c r="Y286" s="119" t="n">
        <x:f>IF(1&gt;D286,0,ROUND(('难度参数'!$E$13*POWER(A286,'难度参数'!$E$20)*MIN('难度参数'!$E$23,1+MAX(0,A286-'难度参数'!$E$21)*'难度参数'!$E$22))*(36+1*7)/(36+7*(D286+1)/2)*E286,0))</x:f>
        <x:v>5243</x:v>
      </x:c>
      <x:c r="Z286" s="119" t="n">
        <x:f>IF(X286=0,0,(X286-IF(1=D286,1,0))*ROUND(Y286*VLOOKUP(INDEX('章节与怪物'!$E$31:$K$37,B286,1),'章节与怪物'!$A$41:$F$44,2,FALSE),0)+IF(1=D286,ROUND(Y286*'难度参数'!$E$28*'章节与怪物'!$E$17,0),0))</x:f>
        <x:v>152047</x:v>
      </x:c>
      <x:c r="AA286" s="119" t="n">
        <x:f>IF(X286=0,0,(X286-IF(1=D286,1,0))*VLOOKUP(INDEX('章节与怪物'!$E$31:$K$37,B286,1),'章节与怪物'!$A$41:$F$44,4,FALSE)+IF(1=D286,'难度参数'!$E$30,0))</x:f>
        <x:v>522</x:v>
      </x:c>
      <x:c r="AB286" s="119" t="n">
        <x:f>IF(2&gt;D286,0,MAX(2,MIN('难度参数'!$E$12,ROUND(('难度参数'!$E$18*POWER(A286,'难度参数'!$E$19)/D286*(0.85+0.3*(2-1)/MAX(1,D286-1))),0)+F286)))</x:f>
        <x:v>30</x:v>
      </x:c>
      <x:c r="AC286" s="119" t="n">
        <x:f>IF(2&gt;D286,0,ROUND(('难度参数'!$E$13*POWER(A286,'难度参数'!$E$20)*MIN('难度参数'!$E$23,1+MAX(0,A286-'难度参数'!$E$21)*'难度参数'!$E$22))*(36+2*7)/(36+7*(D286+1)/2)*E286,0))</x:f>
        <x:v>6096</x:v>
      </x:c>
      <x:c r="AD286" s="119" t="n">
        <x:f>IF(AB286=0,0,(AB286-IF(2=D286,1,0))*ROUND(AC286*VLOOKUP(INDEX('章节与怪物'!$E$31:$K$37,B286,2),'章节与怪物'!$A$41:$F$44,2,FALSE),0)+IF(2=D286,ROUND(AC286*'难度参数'!$E$28*'章节与怪物'!$E$17,0),0))</x:f>
        <x:v>131670</x:v>
      </x:c>
      <x:c r="AE286" s="119" t="n">
        <x:f>IF(AB286=0,0,(AB286-IF(2=D286,1,0))*VLOOKUP(INDEX('章节与怪物'!$E$31:$K$37,B286,2),'章节与怪物'!$A$41:$F$44,4,FALSE)+IF(2=D286,'难度参数'!$E$30,0))</x:f>
        <x:v>600</x:v>
      </x:c>
      <x:c r="AF286" s="119" t="n">
        <x:f>IF(3&gt;D286,0,MAX(2,MIN('难度参数'!$E$12,ROUND(('难度参数'!$E$18*POWER(A286,'难度参数'!$E$19)/D286*(0.85+0.3*(3-1)/MAX(1,D286-1))),0)+F286)))</x:f>
        <x:v>32</x:v>
      </x:c>
      <x:c r="AG286" s="119" t="n">
        <x:f>IF(3&gt;D286,0,ROUND(('难度参数'!$E$13*POWER(A286,'难度参数'!$E$20)*MIN('难度参数'!$E$23,1+MAX(0,A286-'难度参数'!$E$21)*'难度参数'!$E$22))*(36+3*7)/(36+7*(D286+1)/2)*E286,0))</x:f>
        <x:v>6950</x:v>
      </x:c>
      <x:c r="AH286" s="119" t="n">
        <x:f>IF(AF286=0,0,(AF286-IF(3=D286,1,0))*ROUND(AG286*VLOOKUP(INDEX('章节与怪物'!$E$31:$K$37,B286,3),'章节与怪物'!$A$41:$F$44,2,FALSE),0)+IF(3=D286,ROUND(AG286*'难度参数'!$E$28*'章节与怪物'!$E$17,0),0))</x:f>
        <x:v>378080</x:v>
      </x:c>
      <x:c r="AI286" s="119" t="n">
        <x:f>IF(AF286=0,0,(AF286-IF(3=D286,1,0))*VLOOKUP(INDEX('章节与怪物'!$E$31:$K$37,B286,3),'章节与怪物'!$A$41:$F$44,4,FALSE)+IF(3=D286,'难度参数'!$E$30,0))</x:f>
        <x:v>896</x:v>
      </x:c>
      <x:c r="AJ286" s="119" t="n">
        <x:f>IF(4&gt;D286,0,MAX(2,MIN('难度参数'!$E$12,ROUND(('难度参数'!$E$18*POWER(A286,'难度参数'!$E$19)/D286*(0.85+0.3*(4-1)/MAX(1,D286-1))),0)+F286)))</x:f>
        <x:v>34</x:v>
      </x:c>
      <x:c r="AK286" s="119" t="n">
        <x:f>IF(4&gt;D286,0,ROUND(('难度参数'!$E$13*POWER(A286,'难度参数'!$E$20)*MIN('难度参数'!$E$23,1+MAX(0,A286-'难度参数'!$E$21)*'难度参数'!$E$22))*(36+4*7)/(36+7*(D286+1)/2)*E286,0))</x:f>
        <x:v>7803</x:v>
      </x:c>
      <x:c r="AL286" s="119" t="n">
        <x:f>IF(AJ286=0,0,(AJ286-IF(4=D286,1,0))*ROUND(AK286*VLOOKUP(INDEX('章节与怪物'!$E$31:$K$37,B286,4),'章节与怪物'!$A$41:$F$44,2,FALSE),0)+IF(4=D286,ROUND(AK286*'难度参数'!$E$28*'章节与怪物'!$E$17,0),0))</x:f>
        <x:v>358156</x:v>
      </x:c>
      <x:c r="AM286" s="119" t="n">
        <x:f>IF(AJ286=0,0,(AJ286-IF(4=D286,1,0))*VLOOKUP(INDEX('章节与怪物'!$E$31:$K$37,B286,4),'章节与怪物'!$A$41:$F$44,4,FALSE)+IF(4=D286,'难度参数'!$E$30,0))</x:f>
        <x:v>1156</x:v>
      </x:c>
      <x:c r="AN286" s="119" t="n">
        <x:f>IF(5&gt;D286,0,MAX(2,MIN('难度参数'!$E$12,ROUND(('难度参数'!$E$18*POWER(A286,'难度参数'!$E$19)/D286*(0.85+0.3*(5-1)/MAX(1,D286-1))),0)+F286)))</x:f>
        <x:v>36</x:v>
      </x:c>
      <x:c r="AO286" s="119" t="n">
        <x:f>IF(5&gt;D286,0,ROUND(('难度参数'!$E$13*POWER(A286,'难度参数'!$E$20)*MIN('难度参数'!$E$23,1+MAX(0,A286-'难度参数'!$E$21)*'难度参数'!$E$22))*(36+5*7)/(36+7*(D286+1)/2)*E286,0))</x:f>
        <x:v>8657</x:v>
      </x:c>
      <x:c r="AP286" s="119" t="n">
        <x:f>IF(AN286=0,0,(AN286-IF(5=D286,1,0))*ROUND(AO286*VLOOKUP(INDEX('章节与怪物'!$E$31:$K$37,B286,5),'章节与怪物'!$A$41:$F$44,2,FALSE),0)+IF(5=D286,ROUND(AO286*'难度参数'!$E$28*'章节与怪物'!$E$17,0),0))</x:f>
        <x:v>224388</x:v>
      </x:c>
      <x:c r="AQ286" s="119" t="n">
        <x:f>IF(AN286=0,0,(AN286-IF(5=D286,1,0))*VLOOKUP(INDEX('章节与怪物'!$E$31:$K$37,B286,5),'章节与怪物'!$A$41:$F$44,4,FALSE)+IF(5=D286,'难度参数'!$E$30,0))</x:f>
        <x:v>720</x:v>
      </x:c>
      <x:c r="AR286" s="119" t="n">
        <x:f>IF(6&gt;D286,0,MAX(2,MIN('难度参数'!$E$12,ROUND(('难度参数'!$E$18*POWER(A286,'难度参数'!$E$19)/D286*(0.85+0.3*(6-1)/MAX(1,D286-1))),0)+F286)))</x:f>
        <x:v>37</x:v>
      </x:c>
      <x:c r="AS286" s="119" t="n">
        <x:f>IF(6&gt;D286,0,ROUND(('难度参数'!$E$13*POWER(A286,'难度参数'!$E$20)*MIN('难度参数'!$E$23,1+MAX(0,A286-'难度参数'!$E$21)*'难度参数'!$E$22))*(36+6*7)/(36+7*(D286+1)/2)*E286,0))</x:f>
        <x:v>9510</x:v>
      </x:c>
      <x:c r="AT286" s="119" t="n">
        <x:f>IF(AR286=0,0,(AR286-IF(6=D286,1,0))*ROUND(AS286*VLOOKUP(INDEX('章节与怪物'!$E$31:$K$37,B286,6),'章节与怪物'!$A$41:$F$44,2,FALSE),0)+IF(6=D286,ROUND(AS286*'难度参数'!$E$28*'章节与怪物'!$E$17,0),0))</x:f>
        <x:v>598179</x:v>
      </x:c>
      <x:c r="AU286" s="119" t="n">
        <x:f>IF(AR286=0,0,(AR286-IF(6=D286,1,0))*VLOOKUP(INDEX('章节与怪物'!$E$31:$K$37,B286,6),'章节与怪物'!$A$41:$F$44,4,FALSE)+IF(6=D286,'难度参数'!$E$30,0))</x:f>
        <x:v>1036</x:v>
      </x:c>
      <x:c r="AV286" s="119" t="n">
        <x:f>IF(7&gt;D286,0,MAX(2,MIN('难度参数'!$E$12,ROUND(('难度参数'!$E$18*POWER(A286,'难度参数'!$E$19)/D286*(0.85+0.3*(7-1)/MAX(1,D286-1))),0)+F286)))</x:f>
        <x:v>39</x:v>
      </x:c>
      <x:c r="AW286" s="119" t="n">
        <x:f>IF(7&gt;D286,0,ROUND(('难度参数'!$E$13*POWER(A286,'难度参数'!$E$20)*MIN('难度参数'!$E$23,1+MAX(0,A286-'难度参数'!$E$21)*'难度参数'!$E$22))*(36+7*7)/(36+7*(D286+1)/2)*E286,0))</x:f>
        <x:v>10364</x:v>
      </x:c>
      <x:c r="AX286" s="119" t="n">
        <x:f>IF(AV286=0,0,(AV286-IF(7=D286,1,0))*ROUND(AW286*VLOOKUP(INDEX('章节与怪物'!$E$31:$K$37,B286,7),'章节与怪物'!$A$41:$F$44,2,FALSE),0)+IF(7=D286,ROUND(AW286*'难度参数'!$E$28*'章节与怪物'!$E$17,0),0))</x:f>
        <x:v>602133</x:v>
      </x:c>
      <x:c r="AY286" s="119" t="n">
        <x:f>IF(AV286=0,0,(AV286-IF(7=D286,1,0))*VLOOKUP(INDEX('章节与怪物'!$E$31:$K$37,B286,7),'章节与怪物'!$A$41:$F$44,4,FALSE)+IF(7=D286,'难度参数'!$E$30,0))</x:f>
        <x:v>1492</x:v>
      </x:c>
    </x:row>
    <x:row r="287" ht="23" customHeight="1">
      <x:c r="A287" s="119" t="n">
        <x:v>281</x:v>
      </x:c>
      <x:c r="B287" s="119" t="n">
        <x:f>MOD(INT((A287-1)/5),7)+1</x:f>
        <x:v>1</x:v>
      </x:c>
      <x:c r="C287" s="62" t="str">
        <x:f>INDEX('章节与怪物'!$B$31:$B$37,B287)</x:f>
        <x:v>冰雪荒原</x:v>
      </x:c>
      <x:c r="D287" s="119" t="n">
        <x:f>MIN('难度参数'!$E$8,MAX('难度参数'!$E$7,A287))</x:f>
        <x:v>7</x:v>
      </x:c>
      <x:c r="E287" s="106" t="n">
        <x:v>1</x:v>
      </x:c>
      <x:c r="F287" s="106" t="n">
        <x:v>0</x:v>
      </x:c>
      <x:c r="G287" s="106" t="n">
        <x:v>1</x:v>
      </x:c>
      <x:c r="H287" s="119" t="n">
        <x:f>SUM(X287,AB287,AF287,AJ287,AN287,AR287,AV287)</x:f>
        <x:v>238</x:v>
      </x:c>
      <x:c r="I287" s="119" t="n">
        <x:f>SUM(Z287,AD287,AH287,AL287,AP287,AT287,AX287)</x:f>
        <x:v>2372420</x:v>
      </x:c>
      <x:c r="J287" s="119" t="n">
        <x:f>ROUND(INDEX(X287:AY287,1,(D287-1)*4+2)*'难度参数'!$E$28*'章节与怪物'!$E$17,0)</x:f>
        <x:v>70659</x:v>
      </x:c>
      <x:c r="K287" s="119" t="n">
        <x:f>SUM(AA287,AE287,AI287,AM287,AQ287,AU287,AY287)</x:f>
        <x:v>5900</x:v>
      </x:c>
      <x:c r="L287" s="62" t="n">
        <x:f>H287*(ROUNDUP('难度参数'!$E$24/('难度参数'!$E$26*'难度参数'!$E$27),0)*'难度参数'!$E$26)/60</x:f>
        <x:v>3.1733333333333333</x:v>
      </x:c>
      <x:c r="M287" s="62" t="n">
        <x:f>L287+D287*('难度参数'!$E$49+'难度参数'!$E$50)/60</x:f>
        <x:v>4.34</x:v>
      </x:c>
      <x:c r="N287" s="119" t="n">
        <x:f>ROUNDDOWN(('经济参数'!$E$20+A287*'经济参数'!$E$21)*G287,0)</x:f>
        <x:v>5800</x:v>
      </x:c>
      <x:c r="O287" s="119" t="n">
        <x:f>ROUNDDOWN(MIN('经济参数'!$E$24,'经济参数'!$E$22+A287*'经济参数'!$E$23)*G287,0)</x:f>
        <x:v>0</x:v>
      </x:c>
      <x:c r="P287" s="119" t="n">
        <x:f>ROUNDDOWN((IF(A287&gt;='材料与任务'!$E$31,'材料与任务'!$E$32,IF(A287&gt;='材料与任务'!$E$25,'材料与任务'!$E$26,IF(A287&gt;='材料与任务'!$E$19,'材料与任务'!$E$20,IF(A287&gt;='材料与任务'!$E$13,'材料与任务'!$E$14,'材料与任务'!$E$8)))))*G287,0)</x:f>
        <x:v>6</x:v>
      </x:c>
      <x:c r="Q287" s="119" t="n">
        <x:f>ROUNDDOWN((IF(A287&gt;='材料与任务'!$E$31,'材料与任务'!$E$33,IF(A287&gt;='材料与任务'!$E$25,'材料与任务'!$E$27,IF(A287&gt;='材料与任务'!$E$19,'材料与任务'!$E$21,IF(A287&gt;='材料与任务'!$E$13,'材料与任务'!$E$15,'材料与任务'!$E$9)))))*G287,0)</x:f>
        <x:v>3</x:v>
      </x:c>
      <x:c r="R287" s="110" t="n">
        <x:f>'装备掉落'!$B$38</x:f>
        <x:v>0.6872058758851213</x:v>
      </x:c>
      <x:c r="S287" s="119" t="n">
        <x:f>MAX(IF(VLOOKUP(A287,'装备掉落'!$A$29:$H$34,2,TRUE)&gt;0,1,0),IF(VLOOKUP(A287,'装备掉落'!$A$29:$H$34,3,TRUE)&gt;0,2,0),IF(VLOOKUP(A287,'装备掉落'!$A$29:$H$34,4,TRUE)&gt;0,3,0),IF(VLOOKUP(A287,'装备掉落'!$A$29:$H$34,5,TRUE)&gt;0,4,0),IF(VLOOKUP(A287,'装备掉落'!$A$29:$H$34,6,TRUE)&gt;0,5,0),IF(VLOOKUP(A287,'装备掉落'!$A$29:$H$34,7,TRUE)&gt;0,6,0),IF(VLOOKUP(A287,'装备掉落'!$A$29:$H$34,8,TRUE)&gt;0,7,0))</x:f>
        <x:v>7</x:v>
      </x:c>
      <x:c r="T287" s="119" t="n">
        <x:f>MIN(7,S287+'经济参数'!$E$70)</x:f>
        <x:v>7</x:v>
      </x:c>
      <x:c r="U287" s="119" t="n">
        <x:f>MIN(7,S287+'经济参数'!$E$71)</x:f>
        <x:v>7</x:v>
      </x:c>
      <x:c r="V287" s="119" t="n">
        <x:f>IF(H287&gt;=('难度参数'!$E$52),1,0)+IF(H287&gt;=('难度参数'!$E$52+'难度参数'!$E$53),1,0)+IF(H287&gt;=('难度参数'!$E$52+'难度参数'!$E$53+'难度参数'!$E$54),1,0)+IF(H287&gt;=('难度参数'!$E$52+'难度参数'!$E$53+'难度参数'!$E$54+'难度参数'!$E$55),1,0)+IF(H287&gt;=('难度参数'!$E$52+'难度参数'!$E$53+'难度参数'!$E$54+'难度参数'!$E$55+'难度参数'!$E$56),1,0)+IF(H287&gt;=('难度参数'!$E$52+'难度参数'!$E$53+'难度参数'!$E$54+'难度参数'!$E$55+'难度参数'!$E$56+'难度参数'!$E$57),1,0)</x:f>
        <x:v>6</x:v>
      </x:c>
      <x:c r="W287" s="62" t="str">
        <x:f>IF(L287&gt;'难度参数'!$E$51,"仅出怪已超目标","还需实测")</x:f>
        <x:v>仅出怪已超目标</x:v>
      </x:c>
      <x:c r="X287" s="119" t="n">
        <x:f>IF(1&gt;D287,0,MAX(2,MIN('难度参数'!$E$12,ROUND(('难度参数'!$E$18*POWER(A287,'难度参数'!$E$19)/D287*(0.85+0.3*(1-1)/MAX(1,D287-1))),0)+F287)))</x:f>
        <x:v>29</x:v>
      </x:c>
      <x:c r="Y287" s="119" t="n">
        <x:f>IF(1&gt;D287,0,ROUND(('难度参数'!$E$13*POWER(A287,'难度参数'!$E$20)*MIN('难度参数'!$E$23,1+MAX(0,A287-'难度参数'!$E$21)*'难度参数'!$E$22))*(36+1*7)/(36+7*(D287+1)/2)*E287,0))</x:f>
        <x:v>5256</x:v>
      </x:c>
      <x:c r="Z287" s="119" t="n">
        <x:f>IF(X287=0,0,(X287-IF(1=D287,1,0))*ROUND(Y287*VLOOKUP(INDEX('章节与怪物'!$E$31:$K$37,B287,1),'章节与怪物'!$A$41:$F$44,2,FALSE),0)+IF(1=D287,ROUND(Y287*'难度参数'!$E$28*'章节与怪物'!$E$17,0),0))</x:f>
        <x:v>152424</x:v>
      </x:c>
      <x:c r="AA287" s="119" t="n">
        <x:f>IF(X287=0,0,(X287-IF(1=D287,1,0))*VLOOKUP(INDEX('章节与怪物'!$E$31:$K$37,B287,1),'章节与怪物'!$A$41:$F$44,4,FALSE)+IF(1=D287,'难度参数'!$E$30,0))</x:f>
        <x:v>522</x:v>
      </x:c>
      <x:c r="AB287" s="119" t="n">
        <x:f>IF(2&gt;D287,0,MAX(2,MIN('难度参数'!$E$12,ROUND(('难度参数'!$E$18*POWER(A287,'难度参数'!$E$19)/D287*(0.85+0.3*(2-1)/MAX(1,D287-1))),0)+F287)))</x:f>
        <x:v>31</x:v>
      </x:c>
      <x:c r="AC287" s="119" t="n">
        <x:f>IF(2&gt;D287,0,ROUND(('难度参数'!$E$13*POWER(A287,'难度参数'!$E$20)*MIN('难度参数'!$E$23,1+MAX(0,A287-'难度参数'!$E$21)*'难度参数'!$E$22))*(36+2*7)/(36+7*(D287+1)/2)*E287,0))</x:f>
        <x:v>6112</x:v>
      </x:c>
      <x:c r="AD287" s="119" t="n">
        <x:f>IF(AB287=0,0,(AB287-IF(2=D287,1,0))*ROUND(AC287*VLOOKUP(INDEX('章节与怪物'!$E$31:$K$37,B287,2),'章节与怪物'!$A$41:$F$44,2,FALSE),0)+IF(2=D287,ROUND(AC287*'难度参数'!$E$28*'章节与怪物'!$E$17,0),0))</x:f>
        <x:v>189472</x:v>
      </x:c>
      <x:c r="AE287" s="119" t="n">
        <x:f>IF(AB287=0,0,(AB287-IF(2=D287,1,0))*VLOOKUP(INDEX('章节与怪物'!$E$31:$K$37,B287,2),'章节与怪物'!$A$41:$F$44,4,FALSE)+IF(2=D287,'难度参数'!$E$30,0))</x:f>
        <x:v>558</x:v>
      </x:c>
      <x:c r="AF287" s="119" t="n">
        <x:f>IF(3&gt;D287,0,MAX(2,MIN('难度参数'!$E$12,ROUND(('难度参数'!$E$18*POWER(A287,'难度参数'!$E$19)/D287*(0.85+0.3*(3-1)/MAX(1,D287-1))),0)+F287)))</x:f>
        <x:v>32</x:v>
      </x:c>
      <x:c r="AG287" s="119" t="n">
        <x:f>IF(3&gt;D287,0,ROUND(('难度参数'!$E$13*POWER(A287,'难度参数'!$E$20)*MIN('难度参数'!$E$23,1+MAX(0,A287-'难度参数'!$E$21)*'难度参数'!$E$22))*(36+3*7)/(36+7*(D287+1)/2)*E287,0))</x:f>
        <x:v>6968</x:v>
      </x:c>
      <x:c r="AH287" s="119" t="n">
        <x:f>IF(AF287=0,0,(AF287-IF(3=D287,1,0))*ROUND(AG287*VLOOKUP(INDEX('章节与怪物'!$E$31:$K$37,B287,3),'章节与怪物'!$A$41:$F$44,2,FALSE),0)+IF(3=D287,ROUND(AG287*'难度参数'!$E$28*'章节与怪物'!$E$17,0),0))</x:f>
        <x:v>160544</x:v>
      </x:c>
      <x:c r="AI287" s="119" t="n">
        <x:f>IF(AF287=0,0,(AF287-IF(3=D287,1,0))*VLOOKUP(INDEX('章节与怪物'!$E$31:$K$37,B287,3),'章节与怪物'!$A$41:$F$44,4,FALSE)+IF(3=D287,'难度参数'!$E$30,0))</x:f>
        <x:v>640</x:v>
      </x:c>
      <x:c r="AJ287" s="119" t="n">
        <x:f>IF(4&gt;D287,0,MAX(2,MIN('难度参数'!$E$12,ROUND(('难度参数'!$E$18*POWER(A287,'难度参数'!$E$19)/D287*(0.85+0.3*(4-1)/MAX(1,D287-1))),0)+F287)))</x:f>
        <x:v>34</x:v>
      </x:c>
      <x:c r="AK287" s="119" t="n">
        <x:f>IF(4&gt;D287,0,ROUND(('难度参数'!$E$13*POWER(A287,'难度参数'!$E$20)*MIN('难度参数'!$E$23,1+MAX(0,A287-'难度参数'!$E$21)*'难度参数'!$E$22))*(36+4*7)/(36+7*(D287+1)/2)*E287,0))</x:f>
        <x:v>7824</x:v>
      </x:c>
      <x:c r="AL287" s="119" t="n">
        <x:f>IF(AJ287=0,0,(AJ287-IF(4=D287,1,0))*ROUND(AK287*VLOOKUP(INDEX('章节与怪物'!$E$31:$K$37,B287,4),'章节与怪物'!$A$41:$F$44,2,FALSE),0)+IF(4=D287,ROUND(AK287*'难度参数'!$E$28*'章节与怪物'!$E$17,0),0))</x:f>
        <x:v>452234</x:v>
      </x:c>
      <x:c r="AM287" s="119" t="n">
        <x:f>IF(AJ287=0,0,(AJ287-IF(4=D287,1,0))*VLOOKUP(INDEX('章节与怪物'!$E$31:$K$37,B287,4),'章节与怪物'!$A$41:$F$44,4,FALSE)+IF(4=D287,'难度参数'!$E$30,0))</x:f>
        <x:v>952</x:v>
      </x:c>
      <x:c r="AN287" s="119" t="n">
        <x:f>IF(5&gt;D287,0,MAX(2,MIN('难度参数'!$E$12,ROUND(('难度参数'!$E$18*POWER(A287,'难度参数'!$E$19)/D287*(0.85+0.3*(5-1)/MAX(1,D287-1))),0)+F287)))</x:f>
        <x:v>36</x:v>
      </x:c>
      <x:c r="AO287" s="119" t="n">
        <x:f>IF(5&gt;D287,0,ROUND(('难度参数'!$E$13*POWER(A287,'难度参数'!$E$20)*MIN('难度参数'!$E$23,1+MAX(0,A287-'难度参数'!$E$21)*'难度参数'!$E$22))*(36+5*7)/(36+7*(D287+1)/2)*E287,0))</x:f>
        <x:v>8679</x:v>
      </x:c>
      <x:c r="AP287" s="119" t="n">
        <x:f>IF(AN287=0,0,(AN287-IF(5=D287,1,0))*ROUND(AO287*VLOOKUP(INDEX('章节与怪物'!$E$31:$K$37,B287,5),'章节与怪物'!$A$41:$F$44,2,FALSE),0)+IF(5=D287,ROUND(AO287*'难度参数'!$E$28*'章节与怪物'!$E$17,0),0))</x:f>
        <x:v>421812</x:v>
      </x:c>
      <x:c r="AQ287" s="119" t="n">
        <x:f>IF(AN287=0,0,(AN287-IF(5=D287,1,0))*VLOOKUP(INDEX('章节与怪物'!$E$31:$K$37,B287,5),'章节与怪物'!$A$41:$F$44,4,FALSE)+IF(5=D287,'难度参数'!$E$30,0))</x:f>
        <x:v>1224</x:v>
      </x:c>
      <x:c r="AR287" s="119" t="n">
        <x:f>IF(6&gt;D287,0,MAX(2,MIN('难度参数'!$E$12,ROUND(('难度参数'!$E$18*POWER(A287,'难度参数'!$E$19)/D287*(0.85+0.3*(6-1)/MAX(1,D287-1))),0)+F287)))</x:f>
        <x:v>37</x:v>
      </x:c>
      <x:c r="AS287" s="119" t="n">
        <x:f>IF(6&gt;D287,0,ROUND(('难度参数'!$E$13*POWER(A287,'难度参数'!$E$20)*MIN('难度参数'!$E$23,1+MAX(0,A287-'难度参数'!$E$21)*'难度参数'!$E$22))*(36+6*7)/(36+7*(D287+1)/2)*E287,0))</x:f>
        <x:v>9535</x:v>
      </x:c>
      <x:c r="AT287" s="119" t="n">
        <x:f>IF(AR287=0,0,(AR287-IF(6=D287,1,0))*ROUND(AS287*VLOOKUP(INDEX('章节与怪物'!$E$31:$K$37,B287,6),'章节与怪物'!$A$41:$F$44,2,FALSE),0)+IF(6=D287,ROUND(AS287*'难度参数'!$E$28*'章节与怪物'!$E$17,0),0))</x:f>
        <x:v>254005</x:v>
      </x:c>
      <x:c r="AU287" s="119" t="n">
        <x:f>IF(AR287=0,0,(AR287-IF(6=D287,1,0))*VLOOKUP(INDEX('章节与怪物'!$E$31:$K$37,B287,6),'章节与怪物'!$A$41:$F$44,4,FALSE)+IF(6=D287,'难度参数'!$E$30,0))</x:f>
        <x:v>740</x:v>
      </x:c>
      <x:c r="AV287" s="119" t="n">
        <x:f>IF(7&gt;D287,0,MAX(2,MIN('难度参数'!$E$12,ROUND(('难度参数'!$E$18*POWER(A287,'难度参数'!$E$19)/D287*(0.85+0.3*(7-1)/MAX(1,D287-1))),0)+F287)))</x:f>
        <x:v>39</x:v>
      </x:c>
      <x:c r="AW287" s="119" t="n">
        <x:f>IF(7&gt;D287,0,ROUND(('难度参数'!$E$13*POWER(A287,'难度参数'!$E$20)*MIN('难度参数'!$E$23,1+MAX(0,A287-'难度参数'!$E$21)*'难度参数'!$E$22))*(36+7*7)/(36+7*(D287+1)/2)*E287,0))</x:f>
        <x:v>10391</x:v>
      </x:c>
      <x:c r="AX287" s="119" t="n">
        <x:f>IF(AV287=0,0,(AV287-IF(7=D287,1,0))*ROUND(AW287*VLOOKUP(INDEX('章节与怪物'!$E$31:$K$37,B287,7),'章节与怪物'!$A$41:$F$44,2,FALSE),0)+IF(7=D287,ROUND(AW287*'难度参数'!$E$28*'章节与怪物'!$E$17,0),0))</x:f>
        <x:v>741929</x:v>
      </x:c>
      <x:c r="AY287" s="119" t="n">
        <x:f>IF(AV287=0,0,(AV287-IF(7=D287,1,0))*VLOOKUP(INDEX('章节与怪物'!$E$31:$K$37,B287,7),'章节与怪物'!$A$41:$F$44,4,FALSE)+IF(7=D287,'难度参数'!$E$30,0))</x:f>
        <x:v>1264</x:v>
      </x:c>
    </x:row>
    <x:row r="288" ht="23" customHeight="1">
      <x:c r="A288" s="119" t="n">
        <x:v>282</x:v>
      </x:c>
      <x:c r="B288" s="119" t="n">
        <x:f>MOD(INT((A288-1)/5),7)+1</x:f>
        <x:v>1</x:v>
      </x:c>
      <x:c r="C288" s="62" t="str">
        <x:f>INDEX('章节与怪物'!$B$31:$B$37,B288)</x:f>
        <x:v>冰雪荒原</x:v>
      </x:c>
      <x:c r="D288" s="119" t="n">
        <x:f>MIN('难度参数'!$E$8,MAX('难度参数'!$E$7,A288))</x:f>
        <x:v>7</x:v>
      </x:c>
      <x:c r="E288" s="106" t="n">
        <x:v>1</x:v>
      </x:c>
      <x:c r="F288" s="106" t="n">
        <x:v>0</x:v>
      </x:c>
      <x:c r="G288" s="106" t="n">
        <x:v>1</x:v>
      </x:c>
      <x:c r="H288" s="119" t="n">
        <x:f>SUM(X288,AB288,AF288,AJ288,AN288,AR288,AV288)</x:f>
        <x:v>238</x:v>
      </x:c>
      <x:c r="I288" s="119" t="n">
        <x:f>SUM(Z288,AD288,AH288,AL288,AP288,AT288,AX288)</x:f>
        <x:v>2378416</x:v>
      </x:c>
      <x:c r="J288" s="119" t="n">
        <x:f>ROUND(INDEX(X288:AY288,1,(D288-1)*4+2)*'难度参数'!$E$28*'章节与怪物'!$E$17,0)</x:f>
        <x:v>70836</x:v>
      </x:c>
      <x:c r="K288" s="119" t="n">
        <x:f>SUM(AA288,AE288,AI288,AM288,AQ288,AU288,AY288)</x:f>
        <x:v>5900</x:v>
      </x:c>
      <x:c r="L288" s="62" t="n">
        <x:f>H288*(ROUNDUP('难度参数'!$E$24/('难度参数'!$E$26*'难度参数'!$E$27),0)*'难度参数'!$E$26)/60</x:f>
        <x:v>3.1733333333333333</x:v>
      </x:c>
      <x:c r="M288" s="62" t="n">
        <x:f>L288+D288*('难度参数'!$E$49+'难度参数'!$E$50)/60</x:f>
        <x:v>4.34</x:v>
      </x:c>
      <x:c r="N288" s="119" t="n">
        <x:f>ROUNDDOWN(('经济参数'!$E$20+A288*'经济参数'!$E$21)*G288,0)</x:f>
        <x:v>5820</x:v>
      </x:c>
      <x:c r="O288" s="119" t="n">
        <x:f>ROUNDDOWN(MIN('经济参数'!$E$24,'经济参数'!$E$22+A288*'经济参数'!$E$23)*G288,0)</x:f>
        <x:v>0</x:v>
      </x:c>
      <x:c r="P288" s="119" t="n">
        <x:f>ROUNDDOWN((IF(A288&gt;='材料与任务'!$E$31,'材料与任务'!$E$32,IF(A288&gt;='材料与任务'!$E$25,'材料与任务'!$E$26,IF(A288&gt;='材料与任务'!$E$19,'材料与任务'!$E$20,IF(A288&gt;='材料与任务'!$E$13,'材料与任务'!$E$14,'材料与任务'!$E$8)))))*G288,0)</x:f>
        <x:v>6</x:v>
      </x:c>
      <x:c r="Q288" s="119" t="n">
        <x:f>ROUNDDOWN((IF(A288&gt;='材料与任务'!$E$31,'材料与任务'!$E$33,IF(A288&gt;='材料与任务'!$E$25,'材料与任务'!$E$27,IF(A288&gt;='材料与任务'!$E$19,'材料与任务'!$E$21,IF(A288&gt;='材料与任务'!$E$13,'材料与任务'!$E$15,'材料与任务'!$E$9)))))*G288,0)</x:f>
        <x:v>3</x:v>
      </x:c>
      <x:c r="R288" s="110" t="n">
        <x:f>'装备掉落'!$B$38</x:f>
        <x:v>0.6872058758851213</x:v>
      </x:c>
      <x:c r="S288" s="119" t="n">
        <x:f>MAX(IF(VLOOKUP(A288,'装备掉落'!$A$29:$H$34,2,TRUE)&gt;0,1,0),IF(VLOOKUP(A288,'装备掉落'!$A$29:$H$34,3,TRUE)&gt;0,2,0),IF(VLOOKUP(A288,'装备掉落'!$A$29:$H$34,4,TRUE)&gt;0,3,0),IF(VLOOKUP(A288,'装备掉落'!$A$29:$H$34,5,TRUE)&gt;0,4,0),IF(VLOOKUP(A288,'装备掉落'!$A$29:$H$34,6,TRUE)&gt;0,5,0),IF(VLOOKUP(A288,'装备掉落'!$A$29:$H$34,7,TRUE)&gt;0,6,0),IF(VLOOKUP(A288,'装备掉落'!$A$29:$H$34,8,TRUE)&gt;0,7,0))</x:f>
        <x:v>7</x:v>
      </x:c>
      <x:c r="T288" s="119" t="n">
        <x:f>MIN(7,S288+'经济参数'!$E$70)</x:f>
        <x:v>7</x:v>
      </x:c>
      <x:c r="U288" s="119" t="n">
        <x:f>MIN(7,S288+'经济参数'!$E$71)</x:f>
        <x:v>7</x:v>
      </x:c>
      <x:c r="V288" s="119" t="n">
        <x:f>IF(H288&gt;=('难度参数'!$E$52),1,0)+IF(H288&gt;=('难度参数'!$E$52+'难度参数'!$E$53),1,0)+IF(H288&gt;=('难度参数'!$E$52+'难度参数'!$E$53+'难度参数'!$E$54),1,0)+IF(H288&gt;=('难度参数'!$E$52+'难度参数'!$E$53+'难度参数'!$E$54+'难度参数'!$E$55),1,0)+IF(H288&gt;=('难度参数'!$E$52+'难度参数'!$E$53+'难度参数'!$E$54+'难度参数'!$E$55+'难度参数'!$E$56),1,0)+IF(H288&gt;=('难度参数'!$E$52+'难度参数'!$E$53+'难度参数'!$E$54+'难度参数'!$E$55+'难度参数'!$E$56+'难度参数'!$E$57),1,0)</x:f>
        <x:v>6</x:v>
      </x:c>
      <x:c r="W288" s="62" t="str">
        <x:f>IF(L288&gt;'难度参数'!$E$51,"仅出怪已超目标","还需实测")</x:f>
        <x:v>仅出怪已超目标</x:v>
      </x:c>
      <x:c r="X288" s="119" t="n">
        <x:f>IF(1&gt;D288,0,MAX(2,MIN('难度参数'!$E$12,ROUND(('难度参数'!$E$18*POWER(A288,'难度参数'!$E$19)/D288*(0.85+0.3*(1-1)/MAX(1,D288-1))),0)+F288)))</x:f>
        <x:v>29</x:v>
      </x:c>
      <x:c r="Y288" s="119" t="n">
        <x:f>IF(1&gt;D288,0,ROUND(('难度参数'!$E$13*POWER(A288,'难度参数'!$E$20)*MIN('难度参数'!$E$23,1+MAX(0,A288-'难度参数'!$E$21)*'难度参数'!$E$22))*(36+1*7)/(36+7*(D288+1)/2)*E288,0))</x:f>
        <x:v>5270</x:v>
      </x:c>
      <x:c r="Z288" s="119" t="n">
        <x:f>IF(X288=0,0,(X288-IF(1=D288,1,0))*ROUND(Y288*VLOOKUP(INDEX('章节与怪物'!$E$31:$K$37,B288,1),'章节与怪物'!$A$41:$F$44,2,FALSE),0)+IF(1=D288,ROUND(Y288*'难度参数'!$E$28*'章节与怪物'!$E$17,0),0))</x:f>
        <x:v>152830</x:v>
      </x:c>
      <x:c r="AA288" s="119" t="n">
        <x:f>IF(X288=0,0,(X288-IF(1=D288,1,0))*VLOOKUP(INDEX('章节与怪物'!$E$31:$K$37,B288,1),'章节与怪物'!$A$41:$F$44,4,FALSE)+IF(1=D288,'难度参数'!$E$30,0))</x:f>
        <x:v>522</x:v>
      </x:c>
      <x:c r="AB288" s="119" t="n">
        <x:f>IF(2&gt;D288,0,MAX(2,MIN('难度参数'!$E$12,ROUND(('难度参数'!$E$18*POWER(A288,'难度参数'!$E$19)/D288*(0.85+0.3*(2-1)/MAX(1,D288-1))),0)+F288)))</x:f>
        <x:v>31</x:v>
      </x:c>
      <x:c r="AC288" s="119" t="n">
        <x:f>IF(2&gt;D288,0,ROUND(('难度参数'!$E$13*POWER(A288,'难度参数'!$E$20)*MIN('难度参数'!$E$23,1+MAX(0,A288-'难度参数'!$E$21)*'难度参数'!$E$22))*(36+2*7)/(36+7*(D288+1)/2)*E288,0))</x:f>
        <x:v>6128</x:v>
      </x:c>
      <x:c r="AD288" s="119" t="n">
        <x:f>IF(AB288=0,0,(AB288-IF(2=D288,1,0))*ROUND(AC288*VLOOKUP(INDEX('章节与怪物'!$E$31:$K$37,B288,2),'章节与怪物'!$A$41:$F$44,2,FALSE),0)+IF(2=D288,ROUND(AC288*'难度参数'!$E$28*'章节与怪物'!$E$17,0),0))</x:f>
        <x:v>189968</x:v>
      </x:c>
      <x:c r="AE288" s="119" t="n">
        <x:f>IF(AB288=0,0,(AB288-IF(2=D288,1,0))*VLOOKUP(INDEX('章节与怪物'!$E$31:$K$37,B288,2),'章节与怪物'!$A$41:$F$44,4,FALSE)+IF(2=D288,'难度参数'!$E$30,0))</x:f>
        <x:v>558</x:v>
      </x:c>
      <x:c r="AF288" s="119" t="n">
        <x:f>IF(3&gt;D288,0,MAX(2,MIN('难度参数'!$E$12,ROUND(('难度参数'!$E$18*POWER(A288,'难度参数'!$E$19)/D288*(0.85+0.3*(3-1)/MAX(1,D288-1))),0)+F288)))</x:f>
        <x:v>32</x:v>
      </x:c>
      <x:c r="AG288" s="119" t="n">
        <x:f>IF(3&gt;D288,0,ROUND(('难度参数'!$E$13*POWER(A288,'难度参数'!$E$20)*MIN('难度参数'!$E$23,1+MAX(0,A288-'难度参数'!$E$21)*'难度参数'!$E$22))*(36+3*7)/(36+7*(D288+1)/2)*E288,0))</x:f>
        <x:v>6986</x:v>
      </x:c>
      <x:c r="AH288" s="119" t="n">
        <x:f>IF(AF288=0,0,(AF288-IF(3=D288,1,0))*ROUND(AG288*VLOOKUP(INDEX('章节与怪物'!$E$31:$K$37,B288,3),'章节与怪物'!$A$41:$F$44,2,FALSE),0)+IF(3=D288,ROUND(AG288*'难度参数'!$E$28*'章节与怪物'!$E$17,0),0))</x:f>
        <x:v>160960</x:v>
      </x:c>
      <x:c r="AI288" s="119" t="n">
        <x:f>IF(AF288=0,0,(AF288-IF(3=D288,1,0))*VLOOKUP(INDEX('章节与怪物'!$E$31:$K$37,B288,3),'章节与怪物'!$A$41:$F$44,4,FALSE)+IF(3=D288,'难度参数'!$E$30,0))</x:f>
        <x:v>640</x:v>
      </x:c>
      <x:c r="AJ288" s="119" t="n">
        <x:f>IF(4&gt;D288,0,MAX(2,MIN('难度参数'!$E$12,ROUND(('难度参数'!$E$18*POWER(A288,'难度参数'!$E$19)/D288*(0.85+0.3*(4-1)/MAX(1,D288-1))),0)+F288)))</x:f>
        <x:v>34</x:v>
      </x:c>
      <x:c r="AK288" s="119" t="n">
        <x:f>IF(4&gt;D288,0,ROUND(('难度参数'!$E$13*POWER(A288,'难度参数'!$E$20)*MIN('难度参数'!$E$23,1+MAX(0,A288-'难度参数'!$E$21)*'难度参数'!$E$22))*(36+4*7)/(36+7*(D288+1)/2)*E288,0))</x:f>
        <x:v>7844</x:v>
      </x:c>
      <x:c r="AL288" s="119" t="n">
        <x:f>IF(AJ288=0,0,(AJ288-IF(4=D288,1,0))*ROUND(AK288*VLOOKUP(INDEX('章节与怪物'!$E$31:$K$37,B288,4),'章节与怪物'!$A$41:$F$44,2,FALSE),0)+IF(4=D288,ROUND(AK288*'难度参数'!$E$28*'章节与怪物'!$E$17,0),0))</x:f>
        <x:v>453390</x:v>
      </x:c>
      <x:c r="AM288" s="119" t="n">
        <x:f>IF(AJ288=0,0,(AJ288-IF(4=D288,1,0))*VLOOKUP(INDEX('章节与怪物'!$E$31:$K$37,B288,4),'章节与怪物'!$A$41:$F$44,4,FALSE)+IF(4=D288,'难度参数'!$E$30,0))</x:f>
        <x:v>952</x:v>
      </x:c>
      <x:c r="AN288" s="119" t="n">
        <x:f>IF(5&gt;D288,0,MAX(2,MIN('难度参数'!$E$12,ROUND(('难度参数'!$E$18*POWER(A288,'难度参数'!$E$19)/D288*(0.85+0.3*(5-1)/MAX(1,D288-1))),0)+F288)))</x:f>
        <x:v>36</x:v>
      </x:c>
      <x:c r="AO288" s="119" t="n">
        <x:f>IF(5&gt;D288,0,ROUND(('难度参数'!$E$13*POWER(A288,'难度参数'!$E$20)*MIN('难度参数'!$E$23,1+MAX(0,A288-'难度参数'!$E$21)*'难度参数'!$E$22))*(36+5*7)/(36+7*(D288+1)/2)*E288,0))</x:f>
        <x:v>8701</x:v>
      </x:c>
      <x:c r="AP288" s="119" t="n">
        <x:f>IF(AN288=0,0,(AN288-IF(5=D288,1,0))*ROUND(AO288*VLOOKUP(INDEX('章节与怪物'!$E$31:$K$37,B288,5),'章节与怪物'!$A$41:$F$44,2,FALSE),0)+IF(5=D288,ROUND(AO288*'难度参数'!$E$28*'章节与怪物'!$E$17,0),0))</x:f>
        <x:v>422856</x:v>
      </x:c>
      <x:c r="AQ288" s="119" t="n">
        <x:f>IF(AN288=0,0,(AN288-IF(5=D288,1,0))*VLOOKUP(INDEX('章节与怪物'!$E$31:$K$37,B288,5),'章节与怪物'!$A$41:$F$44,4,FALSE)+IF(5=D288,'难度参数'!$E$30,0))</x:f>
        <x:v>1224</x:v>
      </x:c>
      <x:c r="AR288" s="119" t="n">
        <x:f>IF(6&gt;D288,0,MAX(2,MIN('难度参数'!$E$12,ROUND(('难度参数'!$E$18*POWER(A288,'难度参数'!$E$19)/D288*(0.85+0.3*(6-1)/MAX(1,D288-1))),0)+F288)))</x:f>
        <x:v>37</x:v>
      </x:c>
      <x:c r="AS288" s="119" t="n">
        <x:f>IF(6&gt;D288,0,ROUND(('难度参数'!$E$13*POWER(A288,'难度参数'!$E$20)*MIN('难度参数'!$E$23,1+MAX(0,A288-'难度参数'!$E$21)*'难度参数'!$E$22))*(36+6*7)/(36+7*(D288+1)/2)*E288,0))</x:f>
        <x:v>9559</x:v>
      </x:c>
      <x:c r="AT288" s="119" t="n">
        <x:f>IF(AR288=0,0,(AR288-IF(6=D288,1,0))*ROUND(AS288*VLOOKUP(INDEX('章节与怪物'!$E$31:$K$37,B288,6),'章节与怪物'!$A$41:$F$44,2,FALSE),0)+IF(6=D288,ROUND(AS288*'难度参数'!$E$28*'章节与怪物'!$E$17,0),0))</x:f>
        <x:v>254634</x:v>
      </x:c>
      <x:c r="AU288" s="119" t="n">
        <x:f>IF(AR288=0,0,(AR288-IF(6=D288,1,0))*VLOOKUP(INDEX('章节与怪物'!$E$31:$K$37,B288,6),'章节与怪物'!$A$41:$F$44,4,FALSE)+IF(6=D288,'难度参数'!$E$30,0))</x:f>
        <x:v>740</x:v>
      </x:c>
      <x:c r="AV288" s="119" t="n">
        <x:f>IF(7&gt;D288,0,MAX(2,MIN('难度参数'!$E$12,ROUND(('难度参数'!$E$18*POWER(A288,'难度参数'!$E$19)/D288*(0.85+0.3*(7-1)/MAX(1,D288-1))),0)+F288)))</x:f>
        <x:v>39</x:v>
      </x:c>
      <x:c r="AW288" s="119" t="n">
        <x:f>IF(7&gt;D288,0,ROUND(('难度参数'!$E$13*POWER(A288,'难度参数'!$E$20)*MIN('难度参数'!$E$23,1+MAX(0,A288-'难度参数'!$E$21)*'难度参数'!$E$22))*(36+7*7)/(36+7*(D288+1)/2)*E288,0))</x:f>
        <x:v>10417</x:v>
      </x:c>
      <x:c r="AX288" s="119" t="n">
        <x:f>IF(AV288=0,0,(AV288-IF(7=D288,1,0))*ROUND(AW288*VLOOKUP(INDEX('章节与怪物'!$E$31:$K$37,B288,7),'章节与怪物'!$A$41:$F$44,2,FALSE),0)+IF(7=D288,ROUND(AW288*'难度参数'!$E$28*'章节与怪物'!$E$17,0),0))</x:f>
        <x:v>743778</x:v>
      </x:c>
      <x:c r="AY288" s="119" t="n">
        <x:f>IF(AV288=0,0,(AV288-IF(7=D288,1,0))*VLOOKUP(INDEX('章节与怪物'!$E$31:$K$37,B288,7),'章节与怪物'!$A$41:$F$44,4,FALSE)+IF(7=D288,'难度参数'!$E$30,0))</x:f>
        <x:v>1264</x:v>
      </x:c>
    </x:row>
    <x:row r="289" ht="23" customHeight="1">
      <x:c r="A289" s="119" t="n">
        <x:v>283</x:v>
      </x:c>
      <x:c r="B289" s="119" t="n">
        <x:f>MOD(INT((A289-1)/5),7)+1</x:f>
        <x:v>1</x:v>
      </x:c>
      <x:c r="C289" s="62" t="str">
        <x:f>INDEX('章节与怪物'!$B$31:$B$37,B289)</x:f>
        <x:v>冰雪荒原</x:v>
      </x:c>
      <x:c r="D289" s="119" t="n">
        <x:f>MIN('难度参数'!$E$8,MAX('难度参数'!$E$7,A289))</x:f>
        <x:v>7</x:v>
      </x:c>
      <x:c r="E289" s="106" t="n">
        <x:v>1</x:v>
      </x:c>
      <x:c r="F289" s="106" t="n">
        <x:v>0</x:v>
      </x:c>
      <x:c r="G289" s="106" t="n">
        <x:v>1</x:v>
      </x:c>
      <x:c r="H289" s="119" t="n">
        <x:f>SUM(X289,AB289,AF289,AJ289,AN289,AR289,AV289)</x:f>
        <x:v>238</x:v>
      </x:c>
      <x:c r="I289" s="119" t="n">
        <x:f>SUM(Z289,AD289,AH289,AL289,AP289,AT289,AX289)</x:f>
        <x:v>2384511</x:v>
      </x:c>
      <x:c r="J289" s="119" t="n">
        <x:f>ROUND(INDEX(X289:AY289,1,(D289-1)*4+2)*'难度参数'!$E$28*'章节与怪物'!$E$17,0)</x:f>
        <x:v>71019</x:v>
      </x:c>
      <x:c r="K289" s="119" t="n">
        <x:f>SUM(AA289,AE289,AI289,AM289,AQ289,AU289,AY289)</x:f>
        <x:v>5900</x:v>
      </x:c>
      <x:c r="L289" s="62" t="n">
        <x:f>H289*(ROUNDUP('难度参数'!$E$24/('难度参数'!$E$26*'难度参数'!$E$27),0)*'难度参数'!$E$26)/60</x:f>
        <x:v>3.1733333333333333</x:v>
      </x:c>
      <x:c r="M289" s="62" t="n">
        <x:f>L289+D289*('难度参数'!$E$49+'难度参数'!$E$50)/60</x:f>
        <x:v>4.34</x:v>
      </x:c>
      <x:c r="N289" s="119" t="n">
        <x:f>ROUNDDOWN(('经济参数'!$E$20+A289*'经济参数'!$E$21)*G289,0)</x:f>
        <x:v>5840</x:v>
      </x:c>
      <x:c r="O289" s="119" t="n">
        <x:f>ROUNDDOWN(MIN('经济参数'!$E$24,'经济参数'!$E$22+A289*'经济参数'!$E$23)*G289,0)</x:f>
        <x:v>0</x:v>
      </x:c>
      <x:c r="P289" s="119" t="n">
        <x:f>ROUNDDOWN((IF(A289&gt;='材料与任务'!$E$31,'材料与任务'!$E$32,IF(A289&gt;='材料与任务'!$E$25,'材料与任务'!$E$26,IF(A289&gt;='材料与任务'!$E$19,'材料与任务'!$E$20,IF(A289&gt;='材料与任务'!$E$13,'材料与任务'!$E$14,'材料与任务'!$E$8)))))*G289,0)</x:f>
        <x:v>6</x:v>
      </x:c>
      <x:c r="Q289" s="119" t="n">
        <x:f>ROUNDDOWN((IF(A289&gt;='材料与任务'!$E$31,'材料与任务'!$E$33,IF(A289&gt;='材料与任务'!$E$25,'材料与任务'!$E$27,IF(A289&gt;='材料与任务'!$E$19,'材料与任务'!$E$21,IF(A289&gt;='材料与任务'!$E$13,'材料与任务'!$E$15,'材料与任务'!$E$9)))))*G289,0)</x:f>
        <x:v>3</x:v>
      </x:c>
      <x:c r="R289" s="110" t="n">
        <x:f>'装备掉落'!$B$38</x:f>
        <x:v>0.6872058758851213</x:v>
      </x:c>
      <x:c r="S289" s="119" t="n">
        <x:f>MAX(IF(VLOOKUP(A289,'装备掉落'!$A$29:$H$34,2,TRUE)&gt;0,1,0),IF(VLOOKUP(A289,'装备掉落'!$A$29:$H$34,3,TRUE)&gt;0,2,0),IF(VLOOKUP(A289,'装备掉落'!$A$29:$H$34,4,TRUE)&gt;0,3,0),IF(VLOOKUP(A289,'装备掉落'!$A$29:$H$34,5,TRUE)&gt;0,4,0),IF(VLOOKUP(A289,'装备掉落'!$A$29:$H$34,6,TRUE)&gt;0,5,0),IF(VLOOKUP(A289,'装备掉落'!$A$29:$H$34,7,TRUE)&gt;0,6,0),IF(VLOOKUP(A289,'装备掉落'!$A$29:$H$34,8,TRUE)&gt;0,7,0))</x:f>
        <x:v>7</x:v>
      </x:c>
      <x:c r="T289" s="119" t="n">
        <x:f>MIN(7,S289+'经济参数'!$E$70)</x:f>
        <x:v>7</x:v>
      </x:c>
      <x:c r="U289" s="119" t="n">
        <x:f>MIN(7,S289+'经济参数'!$E$71)</x:f>
        <x:v>7</x:v>
      </x:c>
      <x:c r="V289" s="119" t="n">
        <x:f>IF(H289&gt;=('难度参数'!$E$52),1,0)+IF(H289&gt;=('难度参数'!$E$52+'难度参数'!$E$53),1,0)+IF(H289&gt;=('难度参数'!$E$52+'难度参数'!$E$53+'难度参数'!$E$54),1,0)+IF(H289&gt;=('难度参数'!$E$52+'难度参数'!$E$53+'难度参数'!$E$54+'难度参数'!$E$55),1,0)+IF(H289&gt;=('难度参数'!$E$52+'难度参数'!$E$53+'难度参数'!$E$54+'难度参数'!$E$55+'难度参数'!$E$56),1,0)+IF(H289&gt;=('难度参数'!$E$52+'难度参数'!$E$53+'难度参数'!$E$54+'难度参数'!$E$55+'难度参数'!$E$56+'难度参数'!$E$57),1,0)</x:f>
        <x:v>6</x:v>
      </x:c>
      <x:c r="W289" s="62" t="str">
        <x:f>IF(L289&gt;'难度参数'!$E$51,"仅出怪已超目标","还需实测")</x:f>
        <x:v>仅出怪已超目标</x:v>
      </x:c>
      <x:c r="X289" s="119" t="n">
        <x:f>IF(1&gt;D289,0,MAX(2,MIN('难度参数'!$E$12,ROUND(('难度参数'!$E$18*POWER(A289,'难度参数'!$E$19)/D289*(0.85+0.3*(1-1)/MAX(1,D289-1))),0)+F289)))</x:f>
        <x:v>29</x:v>
      </x:c>
      <x:c r="Y289" s="119" t="n">
        <x:f>IF(1&gt;D289,0,ROUND(('难度参数'!$E$13*POWER(A289,'难度参数'!$E$20)*MIN('难度参数'!$E$23,1+MAX(0,A289-'难度参数'!$E$21)*'难度参数'!$E$22))*(36+1*7)/(36+7*(D289+1)/2)*E289,0))</x:f>
        <x:v>5283</x:v>
      </x:c>
      <x:c r="Z289" s="119" t="n">
        <x:f>IF(X289=0,0,(X289-IF(1=D289,1,0))*ROUND(Y289*VLOOKUP(INDEX('章节与怪物'!$E$31:$K$37,B289,1),'章节与怪物'!$A$41:$F$44,2,FALSE),0)+IF(1=D289,ROUND(Y289*'难度参数'!$E$28*'章节与怪物'!$E$17,0),0))</x:f>
        <x:v>153207</x:v>
      </x:c>
      <x:c r="AA289" s="119" t="n">
        <x:f>IF(X289=0,0,(X289-IF(1=D289,1,0))*VLOOKUP(INDEX('章节与怪物'!$E$31:$K$37,B289,1),'章节与怪物'!$A$41:$F$44,4,FALSE)+IF(1=D289,'难度参数'!$E$30,0))</x:f>
        <x:v>522</x:v>
      </x:c>
      <x:c r="AB289" s="119" t="n">
        <x:f>IF(2&gt;D289,0,MAX(2,MIN('难度参数'!$E$12,ROUND(('难度参数'!$E$18*POWER(A289,'难度参数'!$E$19)/D289*(0.85+0.3*(2-1)/MAX(1,D289-1))),0)+F289)))</x:f>
        <x:v>31</x:v>
      </x:c>
      <x:c r="AC289" s="119" t="n">
        <x:f>IF(2&gt;D289,0,ROUND(('难度参数'!$E$13*POWER(A289,'难度参数'!$E$20)*MIN('难度参数'!$E$23,1+MAX(0,A289-'难度参数'!$E$21)*'难度参数'!$E$22))*(36+2*7)/(36+7*(D289+1)/2)*E289,0))</x:f>
        <x:v>6143</x:v>
      </x:c>
      <x:c r="AD289" s="119" t="n">
        <x:f>IF(AB289=0,0,(AB289-IF(2=D289,1,0))*ROUND(AC289*VLOOKUP(INDEX('章节与怪物'!$E$31:$K$37,B289,2),'章节与怪物'!$A$41:$F$44,2,FALSE),0)+IF(2=D289,ROUND(AC289*'难度参数'!$E$28*'章节与怪物'!$E$17,0),0))</x:f>
        <x:v>190433</x:v>
      </x:c>
      <x:c r="AE289" s="119" t="n">
        <x:f>IF(AB289=0,0,(AB289-IF(2=D289,1,0))*VLOOKUP(INDEX('章节与怪物'!$E$31:$K$37,B289,2),'章节与怪物'!$A$41:$F$44,4,FALSE)+IF(2=D289,'难度参数'!$E$30,0))</x:f>
        <x:v>558</x:v>
      </x:c>
      <x:c r="AF289" s="119" t="n">
        <x:f>IF(3&gt;D289,0,MAX(2,MIN('难度参数'!$E$12,ROUND(('难度参数'!$E$18*POWER(A289,'难度参数'!$E$19)/D289*(0.85+0.3*(3-1)/MAX(1,D289-1))),0)+F289)))</x:f>
        <x:v>32</x:v>
      </x:c>
      <x:c r="AG289" s="119" t="n">
        <x:f>IF(3&gt;D289,0,ROUND(('难度参数'!$E$13*POWER(A289,'难度参数'!$E$20)*MIN('难度参数'!$E$23,1+MAX(0,A289-'难度参数'!$E$21)*'难度参数'!$E$22))*(36+3*7)/(36+7*(D289+1)/2)*E289,0))</x:f>
        <x:v>7003</x:v>
      </x:c>
      <x:c r="AH289" s="119" t="n">
        <x:f>IF(AF289=0,0,(AF289-IF(3=D289,1,0))*ROUND(AG289*VLOOKUP(INDEX('章节与怪物'!$E$31:$K$37,B289,3),'章节与怪物'!$A$41:$F$44,2,FALSE),0)+IF(3=D289,ROUND(AG289*'难度参数'!$E$28*'章节与怪物'!$E$17,0),0))</x:f>
        <x:v>161344</x:v>
      </x:c>
      <x:c r="AI289" s="119" t="n">
        <x:f>IF(AF289=0,0,(AF289-IF(3=D289,1,0))*VLOOKUP(INDEX('章节与怪物'!$E$31:$K$37,B289,3),'章节与怪物'!$A$41:$F$44,4,FALSE)+IF(3=D289,'难度参数'!$E$30,0))</x:f>
        <x:v>640</x:v>
      </x:c>
      <x:c r="AJ289" s="119" t="n">
        <x:f>IF(4&gt;D289,0,MAX(2,MIN('难度参数'!$E$12,ROUND(('难度参数'!$E$18*POWER(A289,'难度参数'!$E$19)/D289*(0.85+0.3*(4-1)/MAX(1,D289-1))),0)+F289)))</x:f>
        <x:v>34</x:v>
      </x:c>
      <x:c r="AK289" s="119" t="n">
        <x:f>IF(4&gt;D289,0,ROUND(('难度参数'!$E$13*POWER(A289,'难度参数'!$E$20)*MIN('难度参数'!$E$23,1+MAX(0,A289-'难度参数'!$E$21)*'难度参数'!$E$22))*(36+4*7)/(36+7*(D289+1)/2)*E289,0))</x:f>
        <x:v>7864</x:v>
      </x:c>
      <x:c r="AL289" s="119" t="n">
        <x:f>IF(AJ289=0,0,(AJ289-IF(4=D289,1,0))*ROUND(AK289*VLOOKUP(INDEX('章节与怪物'!$E$31:$K$37,B289,4),'章节与怪物'!$A$41:$F$44,2,FALSE),0)+IF(4=D289,ROUND(AK289*'难度参数'!$E$28*'章节与怪物'!$E$17,0),0))</x:f>
        <x:v>454546</x:v>
      </x:c>
      <x:c r="AM289" s="119" t="n">
        <x:f>IF(AJ289=0,0,(AJ289-IF(4=D289,1,0))*VLOOKUP(INDEX('章节与怪物'!$E$31:$K$37,B289,4),'章节与怪物'!$A$41:$F$44,4,FALSE)+IF(4=D289,'难度参数'!$E$30,0))</x:f>
        <x:v>952</x:v>
      </x:c>
      <x:c r="AN289" s="119" t="n">
        <x:f>IF(5&gt;D289,0,MAX(2,MIN('难度参数'!$E$12,ROUND(('难度参数'!$E$18*POWER(A289,'难度参数'!$E$19)/D289*(0.85+0.3*(5-1)/MAX(1,D289-1))),0)+F289)))</x:f>
        <x:v>36</x:v>
      </x:c>
      <x:c r="AO289" s="119" t="n">
        <x:f>IF(5&gt;D289,0,ROUND(('难度参数'!$E$13*POWER(A289,'难度参数'!$E$20)*MIN('难度参数'!$E$23,1+MAX(0,A289-'难度参数'!$E$21)*'难度参数'!$E$22))*(36+5*7)/(36+7*(D289+1)/2)*E289,0))</x:f>
        <x:v>8724</x:v>
      </x:c>
      <x:c r="AP289" s="119" t="n">
        <x:f>IF(AN289=0,0,(AN289-IF(5=D289,1,0))*ROUND(AO289*VLOOKUP(INDEX('章节与怪物'!$E$31:$K$37,B289,5),'章节与怪物'!$A$41:$F$44,2,FALSE),0)+IF(5=D289,ROUND(AO289*'难度参数'!$E$28*'章节与怪物'!$E$17,0),0))</x:f>
        <x:v>423972</x:v>
      </x:c>
      <x:c r="AQ289" s="119" t="n">
        <x:f>IF(AN289=0,0,(AN289-IF(5=D289,1,0))*VLOOKUP(INDEX('章节与怪物'!$E$31:$K$37,B289,5),'章节与怪物'!$A$41:$F$44,4,FALSE)+IF(5=D289,'难度参数'!$E$30,0))</x:f>
        <x:v>1224</x:v>
      </x:c>
      <x:c r="AR289" s="119" t="n">
        <x:f>IF(6&gt;D289,0,MAX(2,MIN('难度参数'!$E$12,ROUND(('难度参数'!$E$18*POWER(A289,'难度参数'!$E$19)/D289*(0.85+0.3*(6-1)/MAX(1,D289-1))),0)+F289)))</x:f>
        <x:v>37</x:v>
      </x:c>
      <x:c r="AS289" s="119" t="n">
        <x:f>IF(6&gt;D289,0,ROUND(('难度参数'!$E$13*POWER(A289,'难度参数'!$E$20)*MIN('难度参数'!$E$23,1+MAX(0,A289-'难度参数'!$E$21)*'难度参数'!$E$22))*(36+6*7)/(36+7*(D289+1)/2)*E289,0))</x:f>
        <x:v>9584</x:v>
      </x:c>
      <x:c r="AT289" s="119" t="n">
        <x:f>IF(AR289=0,0,(AR289-IF(6=D289,1,0))*ROUND(AS289*VLOOKUP(INDEX('章节与怪物'!$E$31:$K$37,B289,6),'章节与怪物'!$A$41:$F$44,2,FALSE),0)+IF(6=D289,ROUND(AS289*'难度参数'!$E$28*'章节与怪物'!$E$17,0),0))</x:f>
        <x:v>255300</x:v>
      </x:c>
      <x:c r="AU289" s="119" t="n">
        <x:f>IF(AR289=0,0,(AR289-IF(6=D289,1,0))*VLOOKUP(INDEX('章节与怪物'!$E$31:$K$37,B289,6),'章节与怪物'!$A$41:$F$44,4,FALSE)+IF(6=D289,'难度参数'!$E$30,0))</x:f>
        <x:v>740</x:v>
      </x:c>
      <x:c r="AV289" s="119" t="n">
        <x:f>IF(7&gt;D289,0,MAX(2,MIN('难度参数'!$E$12,ROUND(('难度参数'!$E$18*POWER(A289,'难度参数'!$E$19)/D289*(0.85+0.3*(7-1)/MAX(1,D289-1))),0)+F289)))</x:f>
        <x:v>39</x:v>
      </x:c>
      <x:c r="AW289" s="119" t="n">
        <x:f>IF(7&gt;D289,0,ROUND(('难度参数'!$E$13*POWER(A289,'难度参数'!$E$20)*MIN('难度参数'!$E$23,1+MAX(0,A289-'难度参数'!$E$21)*'难度参数'!$E$22))*(36+7*7)/(36+7*(D289+1)/2)*E289,0))</x:f>
        <x:v>10444</x:v>
      </x:c>
      <x:c r="AX289" s="119" t="n">
        <x:f>IF(AV289=0,0,(AV289-IF(7=D289,1,0))*ROUND(AW289*VLOOKUP(INDEX('章节与怪物'!$E$31:$K$37,B289,7),'章节与怪物'!$A$41:$F$44,2,FALSE),0)+IF(7=D289,ROUND(AW289*'难度参数'!$E$28*'章节与怪物'!$E$17,0),0))</x:f>
        <x:v>745709</x:v>
      </x:c>
      <x:c r="AY289" s="119" t="n">
        <x:f>IF(AV289=0,0,(AV289-IF(7=D289,1,0))*VLOOKUP(INDEX('章节与怪物'!$E$31:$K$37,B289,7),'章节与怪物'!$A$41:$F$44,4,FALSE)+IF(7=D289,'难度参数'!$E$30,0))</x:f>
        <x:v>1264</x:v>
      </x:c>
    </x:row>
    <x:row r="290" ht="23" customHeight="1">
      <x:c r="A290" s="119" t="n">
        <x:v>284</x:v>
      </x:c>
      <x:c r="B290" s="119" t="n">
        <x:f>MOD(INT((A290-1)/5),7)+1</x:f>
        <x:v>1</x:v>
      </x:c>
      <x:c r="C290" s="62" t="str">
        <x:f>INDEX('章节与怪物'!$B$31:$B$37,B290)</x:f>
        <x:v>冰雪荒原</x:v>
      </x:c>
      <x:c r="D290" s="119" t="n">
        <x:f>MIN('难度参数'!$E$8,MAX('难度参数'!$E$7,A290))</x:f>
        <x:v>7</x:v>
      </x:c>
      <x:c r="E290" s="106" t="n">
        <x:v>1</x:v>
      </x:c>
      <x:c r="F290" s="106" t="n">
        <x:v>0</x:v>
      </x:c>
      <x:c r="G290" s="106" t="n">
        <x:v>1</x:v>
      </x:c>
      <x:c r="H290" s="119" t="n">
        <x:f>SUM(X290,AB290,AF290,AJ290,AN290,AR290,AV290)</x:f>
        <x:v>238</x:v>
      </x:c>
      <x:c r="I290" s="119" t="n">
        <x:f>SUM(Z290,AD290,AH290,AL290,AP290,AT290,AX290)</x:f>
        <x:v>2390580</x:v>
      </x:c>
      <x:c r="J290" s="119" t="n">
        <x:f>ROUND(INDEX(X290:AY290,1,(D290-1)*4+2)*'难度参数'!$E$28*'章节与怪物'!$E$17,0)</x:f>
        <x:v>71196</x:v>
      </x:c>
      <x:c r="K290" s="119" t="n">
        <x:f>SUM(AA290,AE290,AI290,AM290,AQ290,AU290,AY290)</x:f>
        <x:v>5900</x:v>
      </x:c>
      <x:c r="L290" s="62" t="n">
        <x:f>H290*(ROUNDUP('难度参数'!$E$24/('难度参数'!$E$26*'难度参数'!$E$27),0)*'难度参数'!$E$26)/60</x:f>
        <x:v>3.1733333333333333</x:v>
      </x:c>
      <x:c r="M290" s="62" t="n">
        <x:f>L290+D290*('难度参数'!$E$49+'难度参数'!$E$50)/60</x:f>
        <x:v>4.34</x:v>
      </x:c>
      <x:c r="N290" s="119" t="n">
        <x:f>ROUNDDOWN(('经济参数'!$E$20+A290*'经济参数'!$E$21)*G290,0)</x:f>
        <x:v>5860</x:v>
      </x:c>
      <x:c r="O290" s="119" t="n">
        <x:f>ROUNDDOWN(MIN('经济参数'!$E$24,'经济参数'!$E$22+A290*'经济参数'!$E$23)*G290,0)</x:f>
        <x:v>0</x:v>
      </x:c>
      <x:c r="P290" s="119" t="n">
        <x:f>ROUNDDOWN((IF(A290&gt;='材料与任务'!$E$31,'材料与任务'!$E$32,IF(A290&gt;='材料与任务'!$E$25,'材料与任务'!$E$26,IF(A290&gt;='材料与任务'!$E$19,'材料与任务'!$E$20,IF(A290&gt;='材料与任务'!$E$13,'材料与任务'!$E$14,'材料与任务'!$E$8)))))*G290,0)</x:f>
        <x:v>6</x:v>
      </x:c>
      <x:c r="Q290" s="119" t="n">
        <x:f>ROUNDDOWN((IF(A290&gt;='材料与任务'!$E$31,'材料与任务'!$E$33,IF(A290&gt;='材料与任务'!$E$25,'材料与任务'!$E$27,IF(A290&gt;='材料与任务'!$E$19,'材料与任务'!$E$21,IF(A290&gt;='材料与任务'!$E$13,'材料与任务'!$E$15,'材料与任务'!$E$9)))))*G290,0)</x:f>
        <x:v>3</x:v>
      </x:c>
      <x:c r="R290" s="110" t="n">
        <x:f>'装备掉落'!$B$38</x:f>
        <x:v>0.6872058758851213</x:v>
      </x:c>
      <x:c r="S290" s="119" t="n">
        <x:f>MAX(IF(VLOOKUP(A290,'装备掉落'!$A$29:$H$34,2,TRUE)&gt;0,1,0),IF(VLOOKUP(A290,'装备掉落'!$A$29:$H$34,3,TRUE)&gt;0,2,0),IF(VLOOKUP(A290,'装备掉落'!$A$29:$H$34,4,TRUE)&gt;0,3,0),IF(VLOOKUP(A290,'装备掉落'!$A$29:$H$34,5,TRUE)&gt;0,4,0),IF(VLOOKUP(A290,'装备掉落'!$A$29:$H$34,6,TRUE)&gt;0,5,0),IF(VLOOKUP(A290,'装备掉落'!$A$29:$H$34,7,TRUE)&gt;0,6,0),IF(VLOOKUP(A290,'装备掉落'!$A$29:$H$34,8,TRUE)&gt;0,7,0))</x:f>
        <x:v>7</x:v>
      </x:c>
      <x:c r="T290" s="119" t="n">
        <x:f>MIN(7,S290+'经济参数'!$E$70)</x:f>
        <x:v>7</x:v>
      </x:c>
      <x:c r="U290" s="119" t="n">
        <x:f>MIN(7,S290+'经济参数'!$E$71)</x:f>
        <x:v>7</x:v>
      </x:c>
      <x:c r="V290" s="119" t="n">
        <x:f>IF(H290&gt;=('难度参数'!$E$52),1,0)+IF(H290&gt;=('难度参数'!$E$52+'难度参数'!$E$53),1,0)+IF(H290&gt;=('难度参数'!$E$52+'难度参数'!$E$53+'难度参数'!$E$54),1,0)+IF(H290&gt;=('难度参数'!$E$52+'难度参数'!$E$53+'难度参数'!$E$54+'难度参数'!$E$55),1,0)+IF(H290&gt;=('难度参数'!$E$52+'难度参数'!$E$53+'难度参数'!$E$54+'难度参数'!$E$55+'难度参数'!$E$56),1,0)+IF(H290&gt;=('难度参数'!$E$52+'难度参数'!$E$53+'难度参数'!$E$54+'难度参数'!$E$55+'难度参数'!$E$56+'难度参数'!$E$57),1,0)</x:f>
        <x:v>6</x:v>
      </x:c>
      <x:c r="W290" s="62" t="str">
        <x:f>IF(L290&gt;'难度参数'!$E$51,"仅出怪已超目标","还需实测")</x:f>
        <x:v>仅出怪已超目标</x:v>
      </x:c>
      <x:c r="X290" s="119" t="n">
        <x:f>IF(1&gt;D290,0,MAX(2,MIN('难度参数'!$E$12,ROUND(('难度参数'!$E$18*POWER(A290,'难度参数'!$E$19)/D290*(0.85+0.3*(1-1)/MAX(1,D290-1))),0)+F290)))</x:f>
        <x:v>29</x:v>
      </x:c>
      <x:c r="Y290" s="119" t="n">
        <x:f>IF(1&gt;D290,0,ROUND(('难度参数'!$E$13*POWER(A290,'难度参数'!$E$20)*MIN('难度参数'!$E$23,1+MAX(0,A290-'难度参数'!$E$21)*'难度参数'!$E$22))*(36+1*7)/(36+7*(D290+1)/2)*E290,0))</x:f>
        <x:v>5297</x:v>
      </x:c>
      <x:c r="Z290" s="119" t="n">
        <x:f>IF(X290=0,0,(X290-IF(1=D290,1,0))*ROUND(Y290*VLOOKUP(INDEX('章节与怪物'!$E$31:$K$37,B290,1),'章节与怪物'!$A$41:$F$44,2,FALSE),0)+IF(1=D290,ROUND(Y290*'难度参数'!$E$28*'章节与怪物'!$E$17,0),0))</x:f>
        <x:v>153613</x:v>
      </x:c>
      <x:c r="AA290" s="119" t="n">
        <x:f>IF(X290=0,0,(X290-IF(1=D290,1,0))*VLOOKUP(INDEX('章节与怪物'!$E$31:$K$37,B290,1),'章节与怪物'!$A$41:$F$44,4,FALSE)+IF(1=D290,'难度参数'!$E$30,0))</x:f>
        <x:v>522</x:v>
      </x:c>
      <x:c r="AB290" s="119" t="n">
        <x:f>IF(2&gt;D290,0,MAX(2,MIN('难度参数'!$E$12,ROUND(('难度参数'!$E$18*POWER(A290,'难度参数'!$E$19)/D290*(0.85+0.3*(2-1)/MAX(1,D290-1))),0)+F290)))</x:f>
        <x:v>31</x:v>
      </x:c>
      <x:c r="AC290" s="119" t="n">
        <x:f>IF(2&gt;D290,0,ROUND(('难度参数'!$E$13*POWER(A290,'难度参数'!$E$20)*MIN('难度参数'!$E$23,1+MAX(0,A290-'难度参数'!$E$21)*'难度参数'!$E$22))*(36+2*7)/(36+7*(D290+1)/2)*E290,0))</x:f>
        <x:v>6159</x:v>
      </x:c>
      <x:c r="AD290" s="119" t="n">
        <x:f>IF(AB290=0,0,(AB290-IF(2=D290,1,0))*ROUND(AC290*VLOOKUP(INDEX('章节与怪物'!$E$31:$K$37,B290,2),'章节与怪物'!$A$41:$F$44,2,FALSE),0)+IF(2=D290,ROUND(AC290*'难度参数'!$E$28*'章节与怪物'!$E$17,0),0))</x:f>
        <x:v>190929</x:v>
      </x:c>
      <x:c r="AE290" s="119" t="n">
        <x:f>IF(AB290=0,0,(AB290-IF(2=D290,1,0))*VLOOKUP(INDEX('章节与怪物'!$E$31:$K$37,B290,2),'章节与怪物'!$A$41:$F$44,4,FALSE)+IF(2=D290,'难度参数'!$E$30,0))</x:f>
        <x:v>558</x:v>
      </x:c>
      <x:c r="AF290" s="119" t="n">
        <x:f>IF(3&gt;D290,0,MAX(2,MIN('难度参数'!$E$12,ROUND(('难度参数'!$E$18*POWER(A290,'难度参数'!$E$19)/D290*(0.85+0.3*(3-1)/MAX(1,D290-1))),0)+F290)))</x:f>
        <x:v>32</x:v>
      </x:c>
      <x:c r="AG290" s="119" t="n">
        <x:f>IF(3&gt;D290,0,ROUND(('难度参数'!$E$13*POWER(A290,'难度参数'!$E$20)*MIN('难度参数'!$E$23,1+MAX(0,A290-'难度参数'!$E$21)*'难度参数'!$E$22))*(36+3*7)/(36+7*(D290+1)/2)*E290,0))</x:f>
        <x:v>7021</x:v>
      </x:c>
      <x:c r="AH290" s="119" t="n">
        <x:f>IF(AF290=0,0,(AF290-IF(3=D290,1,0))*ROUND(AG290*VLOOKUP(INDEX('章节与怪物'!$E$31:$K$37,B290,3),'章节与怪物'!$A$41:$F$44,2,FALSE),0)+IF(3=D290,ROUND(AG290*'难度参数'!$E$28*'章节与怪物'!$E$17,0),0))</x:f>
        <x:v>161760</x:v>
      </x:c>
      <x:c r="AI290" s="119" t="n">
        <x:f>IF(AF290=0,0,(AF290-IF(3=D290,1,0))*VLOOKUP(INDEX('章节与怪物'!$E$31:$K$37,B290,3),'章节与怪物'!$A$41:$F$44,4,FALSE)+IF(3=D290,'难度参数'!$E$30,0))</x:f>
        <x:v>640</x:v>
      </x:c>
      <x:c r="AJ290" s="119" t="n">
        <x:f>IF(4&gt;D290,0,MAX(2,MIN('难度参数'!$E$12,ROUND(('难度参数'!$E$18*POWER(A290,'难度参数'!$E$19)/D290*(0.85+0.3*(4-1)/MAX(1,D290-1))),0)+F290)))</x:f>
        <x:v>34</x:v>
      </x:c>
      <x:c r="AK290" s="119" t="n">
        <x:f>IF(4&gt;D290,0,ROUND(('难度参数'!$E$13*POWER(A290,'难度参数'!$E$20)*MIN('难度参数'!$E$23,1+MAX(0,A290-'难度参数'!$E$21)*'难度参数'!$E$22))*(36+4*7)/(36+7*(D290+1)/2)*E290,0))</x:f>
        <x:v>7884</x:v>
      </x:c>
      <x:c r="AL290" s="119" t="n">
        <x:f>IF(AJ290=0,0,(AJ290-IF(4=D290,1,0))*ROUND(AK290*VLOOKUP(INDEX('章节与怪物'!$E$31:$K$37,B290,4),'章节与怪物'!$A$41:$F$44,2,FALSE),0)+IF(4=D290,ROUND(AK290*'难度参数'!$E$28*'章节与怪物'!$E$17,0),0))</x:f>
        <x:v>455702</x:v>
      </x:c>
      <x:c r="AM290" s="119" t="n">
        <x:f>IF(AJ290=0,0,(AJ290-IF(4=D290,1,0))*VLOOKUP(INDEX('章节与怪物'!$E$31:$K$37,B290,4),'章节与怪物'!$A$41:$F$44,4,FALSE)+IF(4=D290,'难度参数'!$E$30,0))</x:f>
        <x:v>952</x:v>
      </x:c>
      <x:c r="AN290" s="119" t="n">
        <x:f>IF(5&gt;D290,0,MAX(2,MIN('难度参数'!$E$12,ROUND(('难度参数'!$E$18*POWER(A290,'难度参数'!$E$19)/D290*(0.85+0.3*(5-1)/MAX(1,D290-1))),0)+F290)))</x:f>
        <x:v>36</x:v>
      </x:c>
      <x:c r="AO290" s="119" t="n">
        <x:f>IF(5&gt;D290,0,ROUND(('难度参数'!$E$13*POWER(A290,'难度参数'!$E$20)*MIN('难度参数'!$E$23,1+MAX(0,A290-'难度参数'!$E$21)*'难度参数'!$E$22))*(36+5*7)/(36+7*(D290+1)/2)*E290,0))</x:f>
        <x:v>8746</x:v>
      </x:c>
      <x:c r="AP290" s="119" t="n">
        <x:f>IF(AN290=0,0,(AN290-IF(5=D290,1,0))*ROUND(AO290*VLOOKUP(INDEX('章节与怪物'!$E$31:$K$37,B290,5),'章节与怪物'!$A$41:$F$44,2,FALSE),0)+IF(5=D290,ROUND(AO290*'难度参数'!$E$28*'章节与怪物'!$E$17,0),0))</x:f>
        <x:v>425052</x:v>
      </x:c>
      <x:c r="AQ290" s="119" t="n">
        <x:f>IF(AN290=0,0,(AN290-IF(5=D290,1,0))*VLOOKUP(INDEX('章节与怪物'!$E$31:$K$37,B290,5),'章节与怪物'!$A$41:$F$44,4,FALSE)+IF(5=D290,'难度参数'!$E$30,0))</x:f>
        <x:v>1224</x:v>
      </x:c>
      <x:c r="AR290" s="119" t="n">
        <x:f>IF(6&gt;D290,0,MAX(2,MIN('难度参数'!$E$12,ROUND(('难度参数'!$E$18*POWER(A290,'难度参数'!$E$19)/D290*(0.85+0.3*(6-1)/MAX(1,D290-1))),0)+F290)))</x:f>
        <x:v>37</x:v>
      </x:c>
      <x:c r="AS290" s="119" t="n">
        <x:f>IF(6&gt;D290,0,ROUND(('难度参数'!$E$13*POWER(A290,'难度参数'!$E$20)*MIN('难度参数'!$E$23,1+MAX(0,A290-'难度参数'!$E$21)*'难度参数'!$E$22))*(36+6*7)/(36+7*(D290+1)/2)*E290,0))</x:f>
        <x:v>9608</x:v>
      </x:c>
      <x:c r="AT290" s="119" t="n">
        <x:f>IF(AR290=0,0,(AR290-IF(6=D290,1,0))*ROUND(AS290*VLOOKUP(INDEX('章节与怪物'!$E$31:$K$37,B290,6),'章节与怪物'!$A$41:$F$44,2,FALSE),0)+IF(6=D290,ROUND(AS290*'难度参数'!$E$28*'章节与怪物'!$E$17,0),0))</x:f>
        <x:v>255966</x:v>
      </x:c>
      <x:c r="AU290" s="119" t="n">
        <x:f>IF(AR290=0,0,(AR290-IF(6=D290,1,0))*VLOOKUP(INDEX('章节与怪物'!$E$31:$K$37,B290,6),'章节与怪物'!$A$41:$F$44,4,FALSE)+IF(6=D290,'难度参数'!$E$30,0))</x:f>
        <x:v>740</x:v>
      </x:c>
      <x:c r="AV290" s="119" t="n">
        <x:f>IF(7&gt;D290,0,MAX(2,MIN('难度参数'!$E$12,ROUND(('难度参数'!$E$18*POWER(A290,'难度参数'!$E$19)/D290*(0.85+0.3*(7-1)/MAX(1,D290-1))),0)+F290)))</x:f>
        <x:v>39</x:v>
      </x:c>
      <x:c r="AW290" s="119" t="n">
        <x:f>IF(7&gt;D290,0,ROUND(('难度参数'!$E$13*POWER(A290,'难度参数'!$E$20)*MIN('难度参数'!$E$23,1+MAX(0,A290-'难度参数'!$E$21)*'难度参数'!$E$22))*(36+7*7)/(36+7*(D290+1)/2)*E290,0))</x:f>
        <x:v>10470</x:v>
      </x:c>
      <x:c r="AX290" s="119" t="n">
        <x:f>IF(AV290=0,0,(AV290-IF(7=D290,1,0))*ROUND(AW290*VLOOKUP(INDEX('章节与怪物'!$E$31:$K$37,B290,7),'章节与怪物'!$A$41:$F$44,2,FALSE),0)+IF(7=D290,ROUND(AW290*'难度参数'!$E$28*'章节与怪物'!$E$17,0),0))</x:f>
        <x:v>747558</x:v>
      </x:c>
      <x:c r="AY290" s="119" t="n">
        <x:f>IF(AV290=0,0,(AV290-IF(7=D290,1,0))*VLOOKUP(INDEX('章节与怪物'!$E$31:$K$37,B290,7),'章节与怪物'!$A$41:$F$44,4,FALSE)+IF(7=D290,'难度参数'!$E$30,0))</x:f>
        <x:v>1264</x:v>
      </x:c>
    </x:row>
    <x:row r="291" ht="23" customHeight="1">
      <x:c r="A291" s="119" t="n">
        <x:v>285</x:v>
      </x:c>
      <x:c r="B291" s="119" t="n">
        <x:f>MOD(INT((A291-1)/5),7)+1</x:f>
        <x:v>1</x:v>
      </x:c>
      <x:c r="C291" s="62" t="str">
        <x:f>INDEX('章节与怪物'!$B$31:$B$37,B291)</x:f>
        <x:v>冰雪荒原</x:v>
      </x:c>
      <x:c r="D291" s="119" t="n">
        <x:f>MIN('难度参数'!$E$8,MAX('难度参数'!$E$7,A291))</x:f>
        <x:v>7</x:v>
      </x:c>
      <x:c r="E291" s="106" t="n">
        <x:v>1</x:v>
      </x:c>
      <x:c r="F291" s="106" t="n">
        <x:v>0</x:v>
      </x:c>
      <x:c r="G291" s="106" t="n">
        <x:v>1</x:v>
      </x:c>
      <x:c r="H291" s="119" t="n">
        <x:f>SUM(X291,AB291,AF291,AJ291,AN291,AR291,AV291)</x:f>
        <x:v>238</x:v>
      </x:c>
      <x:c r="I291" s="119" t="n">
        <x:f>SUM(Z291,AD291,AH291,AL291,AP291,AT291,AX291)</x:f>
        <x:v>2396666</x:v>
      </x:c>
      <x:c r="J291" s="119" t="n">
        <x:f>ROUND(INDEX(X291:AY291,1,(D291-1)*4+2)*'难度参数'!$E$28*'章节与怪物'!$E$17,0)</x:f>
        <x:v>71380</x:v>
      </x:c>
      <x:c r="K291" s="119" t="n">
        <x:f>SUM(AA291,AE291,AI291,AM291,AQ291,AU291,AY291)</x:f>
        <x:v>5900</x:v>
      </x:c>
      <x:c r="L291" s="62" t="n">
        <x:f>H291*(ROUNDUP('难度参数'!$E$24/('难度参数'!$E$26*'难度参数'!$E$27),0)*'难度参数'!$E$26)/60</x:f>
        <x:v>3.1733333333333333</x:v>
      </x:c>
      <x:c r="M291" s="62" t="n">
        <x:f>L291+D291*('难度参数'!$E$49+'难度参数'!$E$50)/60</x:f>
        <x:v>4.34</x:v>
      </x:c>
      <x:c r="N291" s="119" t="n">
        <x:f>ROUNDDOWN(('经济参数'!$E$20+A291*'经济参数'!$E$21)*G291,0)</x:f>
        <x:v>5880</x:v>
      </x:c>
      <x:c r="O291" s="119" t="n">
        <x:f>ROUNDDOWN(MIN('经济参数'!$E$24,'经济参数'!$E$22+A291*'经济参数'!$E$23)*G291,0)</x:f>
        <x:v>0</x:v>
      </x:c>
      <x:c r="P291" s="119" t="n">
        <x:f>ROUNDDOWN((IF(A291&gt;='材料与任务'!$E$31,'材料与任务'!$E$32,IF(A291&gt;='材料与任务'!$E$25,'材料与任务'!$E$26,IF(A291&gt;='材料与任务'!$E$19,'材料与任务'!$E$20,IF(A291&gt;='材料与任务'!$E$13,'材料与任务'!$E$14,'材料与任务'!$E$8)))))*G291,0)</x:f>
        <x:v>6</x:v>
      </x:c>
      <x:c r="Q291" s="119" t="n">
        <x:f>ROUNDDOWN((IF(A291&gt;='材料与任务'!$E$31,'材料与任务'!$E$33,IF(A291&gt;='材料与任务'!$E$25,'材料与任务'!$E$27,IF(A291&gt;='材料与任务'!$E$19,'材料与任务'!$E$21,IF(A291&gt;='材料与任务'!$E$13,'材料与任务'!$E$15,'材料与任务'!$E$9)))))*G291,0)</x:f>
        <x:v>3</x:v>
      </x:c>
      <x:c r="R291" s="110" t="n">
        <x:f>'装备掉落'!$B$38</x:f>
        <x:v>0.6872058758851213</x:v>
      </x:c>
      <x:c r="S291" s="119" t="n">
        <x:f>MAX(IF(VLOOKUP(A291,'装备掉落'!$A$29:$H$34,2,TRUE)&gt;0,1,0),IF(VLOOKUP(A291,'装备掉落'!$A$29:$H$34,3,TRUE)&gt;0,2,0),IF(VLOOKUP(A291,'装备掉落'!$A$29:$H$34,4,TRUE)&gt;0,3,0),IF(VLOOKUP(A291,'装备掉落'!$A$29:$H$34,5,TRUE)&gt;0,4,0),IF(VLOOKUP(A291,'装备掉落'!$A$29:$H$34,6,TRUE)&gt;0,5,0),IF(VLOOKUP(A291,'装备掉落'!$A$29:$H$34,7,TRUE)&gt;0,6,0),IF(VLOOKUP(A291,'装备掉落'!$A$29:$H$34,8,TRUE)&gt;0,7,0))</x:f>
        <x:v>7</x:v>
      </x:c>
      <x:c r="T291" s="119" t="n">
        <x:f>MIN(7,S291+'经济参数'!$E$70)</x:f>
        <x:v>7</x:v>
      </x:c>
      <x:c r="U291" s="119" t="n">
        <x:f>MIN(7,S291+'经济参数'!$E$71)</x:f>
        <x:v>7</x:v>
      </x:c>
      <x:c r="V291" s="119" t="n">
        <x:f>IF(H291&gt;=('难度参数'!$E$52),1,0)+IF(H291&gt;=('难度参数'!$E$52+'难度参数'!$E$53),1,0)+IF(H291&gt;=('难度参数'!$E$52+'难度参数'!$E$53+'难度参数'!$E$54),1,0)+IF(H291&gt;=('难度参数'!$E$52+'难度参数'!$E$53+'难度参数'!$E$54+'难度参数'!$E$55),1,0)+IF(H291&gt;=('难度参数'!$E$52+'难度参数'!$E$53+'难度参数'!$E$54+'难度参数'!$E$55+'难度参数'!$E$56),1,0)+IF(H291&gt;=('难度参数'!$E$52+'难度参数'!$E$53+'难度参数'!$E$54+'难度参数'!$E$55+'难度参数'!$E$56+'难度参数'!$E$57),1,0)</x:f>
        <x:v>6</x:v>
      </x:c>
      <x:c r="W291" s="62" t="str">
        <x:f>IF(L291&gt;'难度参数'!$E$51,"仅出怪已超目标","还需实测")</x:f>
        <x:v>仅出怪已超目标</x:v>
      </x:c>
      <x:c r="X291" s="119" t="n">
        <x:f>IF(1&gt;D291,0,MAX(2,MIN('难度参数'!$E$12,ROUND(('难度参数'!$E$18*POWER(A291,'难度参数'!$E$19)/D291*(0.85+0.3*(1-1)/MAX(1,D291-1))),0)+F291)))</x:f>
        <x:v>29</x:v>
      </x:c>
      <x:c r="Y291" s="119" t="n">
        <x:f>IF(1&gt;D291,0,ROUND(('难度参数'!$E$13*POWER(A291,'难度参数'!$E$20)*MIN('难度参数'!$E$23,1+MAX(0,A291-'难度参数'!$E$21)*'难度参数'!$E$22))*(36+1*7)/(36+7*(D291+1)/2)*E291,0))</x:f>
        <x:v>5310</x:v>
      </x:c>
      <x:c r="Z291" s="119" t="n">
        <x:f>IF(X291=0,0,(X291-IF(1=D291,1,0))*ROUND(Y291*VLOOKUP(INDEX('章节与怪物'!$E$31:$K$37,B291,1),'章节与怪物'!$A$41:$F$44,2,FALSE),0)+IF(1=D291,ROUND(Y291*'难度参数'!$E$28*'章节与怪物'!$E$17,0),0))</x:f>
        <x:v>153990</x:v>
      </x:c>
      <x:c r="AA291" s="119" t="n">
        <x:f>IF(X291=0,0,(X291-IF(1=D291,1,0))*VLOOKUP(INDEX('章节与怪物'!$E$31:$K$37,B291,1),'章节与怪物'!$A$41:$F$44,4,FALSE)+IF(1=D291,'难度参数'!$E$30,0))</x:f>
        <x:v>522</x:v>
      </x:c>
      <x:c r="AB291" s="119" t="n">
        <x:f>IF(2&gt;D291,0,MAX(2,MIN('难度参数'!$E$12,ROUND(('难度参数'!$E$18*POWER(A291,'难度参数'!$E$19)/D291*(0.85+0.3*(2-1)/MAX(1,D291-1))),0)+F291)))</x:f>
        <x:v>31</x:v>
      </x:c>
      <x:c r="AC291" s="119" t="n">
        <x:f>IF(2&gt;D291,0,ROUND(('难度参数'!$E$13*POWER(A291,'难度参数'!$E$20)*MIN('难度参数'!$E$23,1+MAX(0,A291-'难度参数'!$E$21)*'难度参数'!$E$22))*(36+2*7)/(36+7*(D291+1)/2)*E291,0))</x:f>
        <x:v>6175</x:v>
      </x:c>
      <x:c r="AD291" s="119" t="n">
        <x:f>IF(AB291=0,0,(AB291-IF(2=D291,1,0))*ROUND(AC291*VLOOKUP(INDEX('章节与怪物'!$E$31:$K$37,B291,2),'章节与怪物'!$A$41:$F$44,2,FALSE),0)+IF(2=D291,ROUND(AC291*'难度参数'!$E$28*'章节与怪物'!$E$17,0),0))</x:f>
        <x:v>191425</x:v>
      </x:c>
      <x:c r="AE291" s="119" t="n">
        <x:f>IF(AB291=0,0,(AB291-IF(2=D291,1,0))*VLOOKUP(INDEX('章节与怪物'!$E$31:$K$37,B291,2),'章节与怪物'!$A$41:$F$44,4,FALSE)+IF(2=D291,'难度参数'!$E$30,0))</x:f>
        <x:v>558</x:v>
      </x:c>
      <x:c r="AF291" s="119" t="n">
        <x:f>IF(3&gt;D291,0,MAX(2,MIN('难度参数'!$E$12,ROUND(('难度参数'!$E$18*POWER(A291,'难度参数'!$E$19)/D291*(0.85+0.3*(3-1)/MAX(1,D291-1))),0)+F291)))</x:f>
        <x:v>32</x:v>
      </x:c>
      <x:c r="AG291" s="119" t="n">
        <x:f>IF(3&gt;D291,0,ROUND(('难度参数'!$E$13*POWER(A291,'难度参数'!$E$20)*MIN('难度参数'!$E$23,1+MAX(0,A291-'难度参数'!$E$21)*'难度参数'!$E$22))*(36+3*7)/(36+7*(D291+1)/2)*E291,0))</x:f>
        <x:v>7039</x:v>
      </x:c>
      <x:c r="AH291" s="119" t="n">
        <x:f>IF(AF291=0,0,(AF291-IF(3=D291,1,0))*ROUND(AG291*VLOOKUP(INDEX('章节与怪物'!$E$31:$K$37,B291,3),'章节与怪物'!$A$41:$F$44,2,FALSE),0)+IF(3=D291,ROUND(AG291*'难度参数'!$E$28*'章节与怪物'!$E$17,0),0))</x:f>
        <x:v>162176</x:v>
      </x:c>
      <x:c r="AI291" s="119" t="n">
        <x:f>IF(AF291=0,0,(AF291-IF(3=D291,1,0))*VLOOKUP(INDEX('章节与怪物'!$E$31:$K$37,B291,3),'章节与怪物'!$A$41:$F$44,4,FALSE)+IF(3=D291,'难度参数'!$E$30,0))</x:f>
        <x:v>640</x:v>
      </x:c>
      <x:c r="AJ291" s="119" t="n">
        <x:f>IF(4&gt;D291,0,MAX(2,MIN('难度参数'!$E$12,ROUND(('难度参数'!$E$18*POWER(A291,'难度参数'!$E$19)/D291*(0.85+0.3*(4-1)/MAX(1,D291-1))),0)+F291)))</x:f>
        <x:v>34</x:v>
      </x:c>
      <x:c r="AK291" s="119" t="n">
        <x:f>IF(4&gt;D291,0,ROUND(('难度参数'!$E$13*POWER(A291,'难度参数'!$E$20)*MIN('难度参数'!$E$23,1+MAX(0,A291-'难度参数'!$E$21)*'难度参数'!$E$22))*(36+4*7)/(36+7*(D291+1)/2)*E291,0))</x:f>
        <x:v>7904</x:v>
      </x:c>
      <x:c r="AL291" s="119" t="n">
        <x:f>IF(AJ291=0,0,(AJ291-IF(4=D291,1,0))*ROUND(AK291*VLOOKUP(INDEX('章节与怪物'!$E$31:$K$37,B291,4),'章节与怪物'!$A$41:$F$44,2,FALSE),0)+IF(4=D291,ROUND(AK291*'难度参数'!$E$28*'章节与怪物'!$E$17,0),0))</x:f>
        <x:v>456858</x:v>
      </x:c>
      <x:c r="AM291" s="119" t="n">
        <x:f>IF(AJ291=0,0,(AJ291-IF(4=D291,1,0))*VLOOKUP(INDEX('章节与怪物'!$E$31:$K$37,B291,4),'章节与怪物'!$A$41:$F$44,4,FALSE)+IF(4=D291,'难度参数'!$E$30,0))</x:f>
        <x:v>952</x:v>
      </x:c>
      <x:c r="AN291" s="119" t="n">
        <x:f>IF(5&gt;D291,0,MAX(2,MIN('难度参数'!$E$12,ROUND(('难度参数'!$E$18*POWER(A291,'难度参数'!$E$19)/D291*(0.85+0.3*(5-1)/MAX(1,D291-1))),0)+F291)))</x:f>
        <x:v>36</x:v>
      </x:c>
      <x:c r="AO291" s="119" t="n">
        <x:f>IF(5&gt;D291,0,ROUND(('难度参数'!$E$13*POWER(A291,'难度参数'!$E$20)*MIN('难度参数'!$E$23,1+MAX(0,A291-'难度参数'!$E$21)*'难度参数'!$E$22))*(36+5*7)/(36+7*(D291+1)/2)*E291,0))</x:f>
        <x:v>8768</x:v>
      </x:c>
      <x:c r="AP291" s="119" t="n">
        <x:f>IF(AN291=0,0,(AN291-IF(5=D291,1,0))*ROUND(AO291*VLOOKUP(INDEX('章节与怪物'!$E$31:$K$37,B291,5),'章节与怪物'!$A$41:$F$44,2,FALSE),0)+IF(5=D291,ROUND(AO291*'难度参数'!$E$28*'章节与怪物'!$E$17,0),0))</x:f>
        <x:v>426132</x:v>
      </x:c>
      <x:c r="AQ291" s="119" t="n">
        <x:f>IF(AN291=0,0,(AN291-IF(5=D291,1,0))*VLOOKUP(INDEX('章节与怪物'!$E$31:$K$37,B291,5),'章节与怪物'!$A$41:$F$44,4,FALSE)+IF(5=D291,'难度参数'!$E$30,0))</x:f>
        <x:v>1224</x:v>
      </x:c>
      <x:c r="AR291" s="119" t="n">
        <x:f>IF(6&gt;D291,0,MAX(2,MIN('难度参数'!$E$12,ROUND(('难度参数'!$E$18*POWER(A291,'难度参数'!$E$19)/D291*(0.85+0.3*(6-1)/MAX(1,D291-1))),0)+F291)))</x:f>
        <x:v>37</x:v>
      </x:c>
      <x:c r="AS291" s="119" t="n">
        <x:f>IF(6&gt;D291,0,ROUND(('难度参数'!$E$13*POWER(A291,'难度参数'!$E$20)*MIN('难度参数'!$E$23,1+MAX(0,A291-'难度参数'!$E$21)*'难度参数'!$E$22))*(36+6*7)/(36+7*(D291+1)/2)*E291,0))</x:f>
        <x:v>9632</x:v>
      </x:c>
      <x:c r="AT291" s="119" t="n">
        <x:f>IF(AR291=0,0,(AR291-IF(6=D291,1,0))*ROUND(AS291*VLOOKUP(INDEX('章节与怪物'!$E$31:$K$37,B291,6),'章节与怪物'!$A$41:$F$44,2,FALSE),0)+IF(6=D291,ROUND(AS291*'难度参数'!$E$28*'章节与怪物'!$E$17,0),0))</x:f>
        <x:v>256595</x:v>
      </x:c>
      <x:c r="AU291" s="119" t="n">
        <x:f>IF(AR291=0,0,(AR291-IF(6=D291,1,0))*VLOOKUP(INDEX('章节与怪物'!$E$31:$K$37,B291,6),'章节与怪物'!$A$41:$F$44,4,FALSE)+IF(6=D291,'难度参数'!$E$30,0))</x:f>
        <x:v>740</x:v>
      </x:c>
      <x:c r="AV291" s="119" t="n">
        <x:f>IF(7&gt;D291,0,MAX(2,MIN('难度参数'!$E$12,ROUND(('难度参数'!$E$18*POWER(A291,'难度参数'!$E$19)/D291*(0.85+0.3*(7-1)/MAX(1,D291-1))),0)+F291)))</x:f>
        <x:v>39</x:v>
      </x:c>
      <x:c r="AW291" s="119" t="n">
        <x:f>IF(7&gt;D291,0,ROUND(('难度参数'!$E$13*POWER(A291,'难度参数'!$E$20)*MIN('难度参数'!$E$23,1+MAX(0,A291-'难度参数'!$E$21)*'难度参数'!$E$22))*(36+7*7)/(36+7*(D291+1)/2)*E291,0))</x:f>
        <x:v>10497</x:v>
      </x:c>
      <x:c r="AX291" s="119" t="n">
        <x:f>IF(AV291=0,0,(AV291-IF(7=D291,1,0))*ROUND(AW291*VLOOKUP(INDEX('章节与怪物'!$E$31:$K$37,B291,7),'章节与怪物'!$A$41:$F$44,2,FALSE),0)+IF(7=D291,ROUND(AW291*'难度参数'!$E$28*'章节与怪物'!$E$17,0),0))</x:f>
        <x:v>749490</x:v>
      </x:c>
      <x:c r="AY291" s="119" t="n">
        <x:f>IF(AV291=0,0,(AV291-IF(7=D291,1,0))*VLOOKUP(INDEX('章节与怪物'!$E$31:$K$37,B291,7),'章节与怪物'!$A$41:$F$44,4,FALSE)+IF(7=D291,'难度参数'!$E$30,0))</x:f>
        <x:v>1264</x:v>
      </x:c>
    </x:row>
    <x:row r="292" ht="23" customHeight="1">
      <x:c r="A292" s="119" t="n">
        <x:v>286</x:v>
      </x:c>
      <x:c r="B292" s="119" t="n">
        <x:f>MOD(INT((A292-1)/5),7)+1</x:f>
        <x:v>2</x:v>
      </x:c>
      <x:c r="C292" s="62" t="str">
        <x:f>INDEX('章节与怪物'!$B$31:$B$37,B292)</x:f>
        <x:v>黄沙要塞</x:v>
      </x:c>
      <x:c r="D292" s="119" t="n">
        <x:f>MIN('难度参数'!$E$8,MAX('难度参数'!$E$7,A292))</x:f>
        <x:v>7</x:v>
      </x:c>
      <x:c r="E292" s="106" t="n">
        <x:v>1</x:v>
      </x:c>
      <x:c r="F292" s="106" t="n">
        <x:v>0</x:v>
      </x:c>
      <x:c r="G292" s="106" t="n">
        <x:v>1</x:v>
      </x:c>
      <x:c r="H292" s="119" t="n">
        <x:f>SUM(X292,AB292,AF292,AJ292,AN292,AR292,AV292)</x:f>
        <x:v>239</x:v>
      </x:c>
      <x:c r="I292" s="119" t="n">
        <x:f>SUM(Z292,AD292,AH292,AL292,AP292,AT292,AX292)</x:f>
        <x:v>2602319</x:v>
      </x:c>
      <x:c r="J292" s="119" t="n">
        <x:f>ROUND(INDEX(X292:AY292,1,(D292-1)*4+2)*'难度参数'!$E$28*'章节与怪物'!$E$17,0)</x:f>
        <x:v>71556</x:v>
      </x:c>
      <x:c r="K292" s="119" t="n">
        <x:f>SUM(AA292,AE292,AI292,AM292,AQ292,AU292,AY292)</x:f>
        <x:v>6394</x:v>
      </x:c>
      <x:c r="L292" s="62" t="n">
        <x:f>H292*(ROUNDUP('难度参数'!$E$24/('难度参数'!$E$26*'难度参数'!$E$27),0)*'难度参数'!$E$26)/60</x:f>
        <x:v>3.186666666666667</x:v>
      </x:c>
      <x:c r="M292" s="62" t="n">
        <x:f>L292+D292*('难度参数'!$E$49+'难度参数'!$E$50)/60</x:f>
        <x:v>4.3533333333333335</x:v>
      </x:c>
      <x:c r="N292" s="119" t="n">
        <x:f>ROUNDDOWN(('经济参数'!$E$20+A292*'经济参数'!$E$21)*G292,0)</x:f>
        <x:v>5900</x:v>
      </x:c>
      <x:c r="O292" s="119" t="n">
        <x:f>ROUNDDOWN(MIN('经济参数'!$E$24,'经济参数'!$E$22+A292*'经济参数'!$E$23)*G292,0)</x:f>
        <x:v>0</x:v>
      </x:c>
      <x:c r="P292" s="119" t="n">
        <x:f>ROUNDDOWN((IF(A292&gt;='材料与任务'!$E$31,'材料与任务'!$E$32,IF(A292&gt;='材料与任务'!$E$25,'材料与任务'!$E$26,IF(A292&gt;='材料与任务'!$E$19,'材料与任务'!$E$20,IF(A292&gt;='材料与任务'!$E$13,'材料与任务'!$E$14,'材料与任务'!$E$8)))))*G292,0)</x:f>
        <x:v>6</x:v>
      </x:c>
      <x:c r="Q292" s="119" t="n">
        <x:f>ROUNDDOWN((IF(A292&gt;='材料与任务'!$E$31,'材料与任务'!$E$33,IF(A292&gt;='材料与任务'!$E$25,'材料与任务'!$E$27,IF(A292&gt;='材料与任务'!$E$19,'材料与任务'!$E$21,IF(A292&gt;='材料与任务'!$E$13,'材料与任务'!$E$15,'材料与任务'!$E$9)))))*G292,0)</x:f>
        <x:v>3</x:v>
      </x:c>
      <x:c r="R292" s="110" t="n">
        <x:f>'装备掉落'!$B$38</x:f>
        <x:v>0.6872058758851213</x:v>
      </x:c>
      <x:c r="S292" s="119" t="n">
        <x:f>MAX(IF(VLOOKUP(A292,'装备掉落'!$A$29:$H$34,2,TRUE)&gt;0,1,0),IF(VLOOKUP(A292,'装备掉落'!$A$29:$H$34,3,TRUE)&gt;0,2,0),IF(VLOOKUP(A292,'装备掉落'!$A$29:$H$34,4,TRUE)&gt;0,3,0),IF(VLOOKUP(A292,'装备掉落'!$A$29:$H$34,5,TRUE)&gt;0,4,0),IF(VLOOKUP(A292,'装备掉落'!$A$29:$H$34,6,TRUE)&gt;0,5,0),IF(VLOOKUP(A292,'装备掉落'!$A$29:$H$34,7,TRUE)&gt;0,6,0),IF(VLOOKUP(A292,'装备掉落'!$A$29:$H$34,8,TRUE)&gt;0,7,0))</x:f>
        <x:v>7</x:v>
      </x:c>
      <x:c r="T292" s="119" t="n">
        <x:f>MIN(7,S292+'经济参数'!$E$70)</x:f>
        <x:v>7</x:v>
      </x:c>
      <x:c r="U292" s="119" t="n">
        <x:f>MIN(7,S292+'经济参数'!$E$71)</x:f>
        <x:v>7</x:v>
      </x:c>
      <x:c r="V292" s="119" t="n">
        <x:f>IF(H292&gt;=('难度参数'!$E$52),1,0)+IF(H292&gt;=('难度参数'!$E$52+'难度参数'!$E$53),1,0)+IF(H292&gt;=('难度参数'!$E$52+'难度参数'!$E$53+'难度参数'!$E$54),1,0)+IF(H292&gt;=('难度参数'!$E$52+'难度参数'!$E$53+'难度参数'!$E$54+'难度参数'!$E$55),1,0)+IF(H292&gt;=('难度参数'!$E$52+'难度参数'!$E$53+'难度参数'!$E$54+'难度参数'!$E$55+'难度参数'!$E$56),1,0)+IF(H292&gt;=('难度参数'!$E$52+'难度参数'!$E$53+'难度参数'!$E$54+'难度参数'!$E$55+'难度参数'!$E$56+'难度参数'!$E$57),1,0)</x:f>
        <x:v>6</x:v>
      </x:c>
      <x:c r="W292" s="62" t="str">
        <x:f>IF(L292&gt;'难度参数'!$E$51,"仅出怪已超目标","还需实测")</x:f>
        <x:v>仅出怪已超目标</x:v>
      </x:c>
      <x:c r="X292" s="119" t="n">
        <x:f>IF(1&gt;D292,0,MAX(2,MIN('难度参数'!$E$12,ROUND(('难度参数'!$E$18*POWER(A292,'难度参数'!$E$19)/D292*(0.85+0.3*(1-1)/MAX(1,D292-1))),0)+F292)))</x:f>
        <x:v>29</x:v>
      </x:c>
      <x:c r="Y292" s="119" t="n">
        <x:f>IF(1&gt;D292,0,ROUND(('难度参数'!$E$13*POWER(A292,'难度参数'!$E$20)*MIN('难度参数'!$E$23,1+MAX(0,A292-'难度参数'!$E$21)*'难度参数'!$E$22))*(36+1*7)/(36+7*(D292+1)/2)*E292,0))</x:f>
        <x:v>5324</x:v>
      </x:c>
      <x:c r="Z292" s="119" t="n">
        <x:f>IF(X292=0,0,(X292-IF(1=D292,1,0))*ROUND(Y292*VLOOKUP(INDEX('章节与怪物'!$E$31:$K$37,B292,1),'章节与怪物'!$A$41:$F$44,2,FALSE),0)+IF(1=D292,ROUND(Y292*'难度参数'!$E$28*'章节与怪物'!$E$17,0),0))</x:f>
        <x:v>111157</x:v>
      </x:c>
      <x:c r="AA292" s="119" t="n">
        <x:f>IF(X292=0,0,(X292-IF(1=D292,1,0))*VLOOKUP(INDEX('章节与怪物'!$E$31:$K$37,B292,1),'章节与怪物'!$A$41:$F$44,4,FALSE)+IF(1=D292,'难度参数'!$E$30,0))</x:f>
        <x:v>580</x:v>
      </x:c>
      <x:c r="AB292" s="119" t="n">
        <x:f>IF(2&gt;D292,0,MAX(2,MIN('难度参数'!$E$12,ROUND(('难度参数'!$E$18*POWER(A292,'难度参数'!$E$19)/D292*(0.85+0.3*(2-1)/MAX(1,D292-1))),0)+F292)))</x:f>
        <x:v>31</x:v>
      </x:c>
      <x:c r="AC292" s="119" t="n">
        <x:f>IF(2&gt;D292,0,ROUND(('难度参数'!$E$13*POWER(A292,'难度参数'!$E$20)*MIN('难度参数'!$E$23,1+MAX(0,A292-'难度参数'!$E$21)*'难度参数'!$E$22))*(36+2*7)/(36+7*(D292+1)/2)*E292,0))</x:f>
        <x:v>6190</x:v>
      </x:c>
      <x:c r="AD292" s="119" t="n">
        <x:f>IF(AB292=0,0,(AB292-IF(2=D292,1,0))*ROUND(AC292*VLOOKUP(INDEX('章节与怪物'!$E$31:$K$37,B292,2),'章节与怪物'!$A$41:$F$44,2,FALSE),0)+IF(2=D292,ROUND(AC292*'难度参数'!$E$28*'章节与怪物'!$E$17,0),0))</x:f>
        <x:v>191890</x:v>
      </x:c>
      <x:c r="AE292" s="119" t="n">
        <x:f>IF(AB292=0,0,(AB292-IF(2=D292,1,0))*VLOOKUP(INDEX('章节与怪物'!$E$31:$K$37,B292,2),'章节与怪物'!$A$41:$F$44,4,FALSE)+IF(2=D292,'难度参数'!$E$30,0))</x:f>
        <x:v>558</x:v>
      </x:c>
      <x:c r="AF292" s="119" t="n">
        <x:f>IF(3&gt;D292,0,MAX(2,MIN('难度参数'!$E$12,ROUND(('难度参数'!$E$18*POWER(A292,'难度参数'!$E$19)/D292*(0.85+0.3*(3-1)/MAX(1,D292-1))),0)+F292)))</x:f>
        <x:v>32</x:v>
      </x:c>
      <x:c r="AG292" s="119" t="n">
        <x:f>IF(3&gt;D292,0,ROUND(('难度参数'!$E$13*POWER(A292,'难度参数'!$E$20)*MIN('难度参数'!$E$23,1+MAX(0,A292-'难度参数'!$E$21)*'难度参数'!$E$22))*(36+3*7)/(36+7*(D292+1)/2)*E292,0))</x:f>
        <x:v>7057</x:v>
      </x:c>
      <x:c r="AH292" s="119" t="n">
        <x:f>IF(AF292=0,0,(AF292-IF(3=D292,1,0))*ROUND(AG292*VLOOKUP(INDEX('章节与怪物'!$E$31:$K$37,B292,3),'章节与怪物'!$A$41:$F$44,2,FALSE),0)+IF(3=D292,ROUND(AG292*'难度参数'!$E$28*'章节与怪物'!$E$17,0),0))</x:f>
        <x:v>383904</x:v>
      </x:c>
      <x:c r="AI292" s="119" t="n">
        <x:f>IF(AF292=0,0,(AF292-IF(3=D292,1,0))*VLOOKUP(INDEX('章节与怪物'!$E$31:$K$37,B292,3),'章节与怪物'!$A$41:$F$44,4,FALSE)+IF(3=D292,'难度参数'!$E$30,0))</x:f>
        <x:v>896</x:v>
      </x:c>
      <x:c r="AJ292" s="119" t="n">
        <x:f>IF(4&gt;D292,0,MAX(2,MIN('难度参数'!$E$12,ROUND(('难度参数'!$E$18*POWER(A292,'难度参数'!$E$19)/D292*(0.85+0.3*(4-1)/MAX(1,D292-1))),0)+F292)))</x:f>
        <x:v>34</x:v>
      </x:c>
      <x:c r="AK292" s="119" t="n">
        <x:f>IF(4&gt;D292,0,ROUND(('难度参数'!$E$13*POWER(A292,'难度参数'!$E$20)*MIN('难度参数'!$E$23,1+MAX(0,A292-'难度参数'!$E$21)*'难度参数'!$E$22))*(36+4*7)/(36+7*(D292+1)/2)*E292,0))</x:f>
        <x:v>7924</x:v>
      </x:c>
      <x:c r="AL292" s="119" t="n">
        <x:f>IF(AJ292=0,0,(AJ292-IF(4=D292,1,0))*ROUND(AK292*VLOOKUP(INDEX('章节与怪物'!$E$31:$K$37,B292,4),'章节与怪物'!$A$41:$F$44,2,FALSE),0)+IF(4=D292,ROUND(AK292*'难度参数'!$E$28*'章节与怪物'!$E$17,0),0))</x:f>
        <x:v>363698</x:v>
      </x:c>
      <x:c r="AM292" s="119" t="n">
        <x:f>IF(AJ292=0,0,(AJ292-IF(4=D292,1,0))*VLOOKUP(INDEX('章节与怪物'!$E$31:$K$37,B292,4),'章节与怪物'!$A$41:$F$44,4,FALSE)+IF(4=D292,'难度参数'!$E$30,0))</x:f>
        <x:v>1156</x:v>
      </x:c>
      <x:c r="AN292" s="119" t="n">
        <x:f>IF(5&gt;D292,0,MAX(2,MIN('难度参数'!$E$12,ROUND(('难度参数'!$E$18*POWER(A292,'难度参数'!$E$19)/D292*(0.85+0.3*(5-1)/MAX(1,D292-1))),0)+F292)))</x:f>
        <x:v>36</x:v>
      </x:c>
      <x:c r="AO292" s="119" t="n">
        <x:f>IF(5&gt;D292,0,ROUND(('难度参数'!$E$13*POWER(A292,'难度参数'!$E$20)*MIN('难度参数'!$E$23,1+MAX(0,A292-'难度参数'!$E$21)*'难度参数'!$E$22))*(36+5*7)/(36+7*(D292+1)/2)*E292,0))</x:f>
        <x:v>8790</x:v>
      </x:c>
      <x:c r="AP292" s="119" t="n">
        <x:f>IF(AN292=0,0,(AN292-IF(5=D292,1,0))*ROUND(AO292*VLOOKUP(INDEX('章节与怪物'!$E$31:$K$37,B292,5),'章节与怪物'!$A$41:$F$44,2,FALSE),0)+IF(5=D292,ROUND(AO292*'难度参数'!$E$28*'章节与怪物'!$E$17,0),0))</x:f>
        <x:v>316440</x:v>
      </x:c>
      <x:c r="AQ292" s="119" t="n">
        <x:f>IF(AN292=0,0,(AN292-IF(5=D292,1,0))*VLOOKUP(INDEX('章节与怪物'!$E$31:$K$37,B292,5),'章节与怪物'!$A$41:$F$44,4,FALSE)+IF(5=D292,'难度参数'!$E$30,0))</x:f>
        <x:v>648</x:v>
      </x:c>
      <x:c r="AR292" s="119" t="n">
        <x:f>IF(6&gt;D292,0,MAX(2,MIN('难度参数'!$E$12,ROUND(('难度参数'!$E$18*POWER(A292,'难度参数'!$E$19)/D292*(0.85+0.3*(6-1)/MAX(1,D292-1))),0)+F292)))</x:f>
        <x:v>38</x:v>
      </x:c>
      <x:c r="AS292" s="119" t="n">
        <x:f>IF(6&gt;D292,0,ROUND(('难度参数'!$E$13*POWER(A292,'难度参数'!$E$20)*MIN('难度参数'!$E$23,1+MAX(0,A292-'难度参数'!$E$21)*'难度参数'!$E$22))*(36+6*7)/(36+7*(D292+1)/2)*E292,0))</x:f>
        <x:v>9657</x:v>
      </x:c>
      <x:c r="AT292" s="119" t="n">
        <x:f>IF(AR292=0,0,(AR292-IF(6=D292,1,0))*ROUND(AS292*VLOOKUP(INDEX('章节与怪物'!$E$31:$K$37,B292,6),'章节与怪物'!$A$41:$F$44,2,FALSE),0)+IF(6=D292,ROUND(AS292*'难度参数'!$E$28*'章节与怪物'!$E$17,0),0))</x:f>
        <x:v>623846</x:v>
      </x:c>
      <x:c r="AU292" s="119" t="n">
        <x:f>IF(AR292=0,0,(AR292-IF(6=D292,1,0))*VLOOKUP(INDEX('章节与怪物'!$E$31:$K$37,B292,6),'章节与怪物'!$A$41:$F$44,4,FALSE)+IF(6=D292,'难度参数'!$E$30,0))</x:f>
        <x:v>1064</x:v>
      </x:c>
      <x:c r="AV292" s="119" t="n">
        <x:f>IF(7&gt;D292,0,MAX(2,MIN('难度参数'!$E$12,ROUND(('难度参数'!$E$18*POWER(A292,'难度参数'!$E$19)/D292*(0.85+0.3*(7-1)/MAX(1,D292-1))),0)+F292)))</x:f>
        <x:v>39</x:v>
      </x:c>
      <x:c r="AW292" s="119" t="n">
        <x:f>IF(7&gt;D292,0,ROUND(('难度参数'!$E$13*POWER(A292,'难度参数'!$E$20)*MIN('难度参数'!$E$23,1+MAX(0,A292-'难度参数'!$E$21)*'难度参数'!$E$22))*(36+7*7)/(36+7*(D292+1)/2)*E292,0))</x:f>
        <x:v>10523</x:v>
      </x:c>
      <x:c r="AX292" s="119" t="n">
        <x:f>IF(AV292=0,0,(AV292-IF(7=D292,1,0))*ROUND(AW292*VLOOKUP(INDEX('章节与怪物'!$E$31:$K$37,B292,7),'章节与怪物'!$A$41:$F$44,2,FALSE),0)+IF(7=D292,ROUND(AW292*'难度参数'!$E$28*'章节与怪物'!$E$17,0),0))</x:f>
        <x:v>611384</x:v>
      </x:c>
      <x:c r="AY292" s="119" t="n">
        <x:f>IF(AV292=0,0,(AV292-IF(7=D292,1,0))*VLOOKUP(INDEX('章节与怪物'!$E$31:$K$37,B292,7),'章节与怪物'!$A$41:$F$44,4,FALSE)+IF(7=D292,'难度参数'!$E$30,0))</x:f>
        <x:v>1492</x:v>
      </x:c>
    </x:row>
    <x:row r="293" ht="23" customHeight="1">
      <x:c r="A293" s="119" t="n">
        <x:v>287</x:v>
      </x:c>
      <x:c r="B293" s="119" t="n">
        <x:f>MOD(INT((A293-1)/5),7)+1</x:f>
        <x:v>2</x:v>
      </x:c>
      <x:c r="C293" s="62" t="str">
        <x:f>INDEX('章节与怪物'!$B$31:$B$37,B293)</x:f>
        <x:v>黄沙要塞</x:v>
      </x:c>
      <x:c r="D293" s="119" t="n">
        <x:f>MIN('难度参数'!$E$8,MAX('难度参数'!$E$7,A293))</x:f>
        <x:v>7</x:v>
      </x:c>
      <x:c r="E293" s="106" t="n">
        <x:v>1</x:v>
      </x:c>
      <x:c r="F293" s="106" t="n">
        <x:v>0</x:v>
      </x:c>
      <x:c r="G293" s="106" t="n">
        <x:v>1</x:v>
      </x:c>
      <x:c r="H293" s="119" t="n">
        <x:f>SUM(X293,AB293,AF293,AJ293,AN293,AR293,AV293)</x:f>
        <x:v>239</x:v>
      </x:c>
      <x:c r="I293" s="119" t="n">
        <x:f>SUM(Z293,AD293,AH293,AL293,AP293,AT293,AX293)</x:f>
        <x:v>2608921</x:v>
      </x:c>
      <x:c r="J293" s="119" t="n">
        <x:f>ROUND(INDEX(X293:AY293,1,(D293-1)*4+2)*'难度参数'!$E$28*'章节与怪物'!$E$17,0)</x:f>
        <x:v>71740</x:v>
      </x:c>
      <x:c r="K293" s="119" t="n">
        <x:f>SUM(AA293,AE293,AI293,AM293,AQ293,AU293,AY293)</x:f>
        <x:v>6394</x:v>
      </x:c>
      <x:c r="L293" s="62" t="n">
        <x:f>H293*(ROUNDUP('难度参数'!$E$24/('难度参数'!$E$26*'难度参数'!$E$27),0)*'难度参数'!$E$26)/60</x:f>
        <x:v>3.186666666666667</x:v>
      </x:c>
      <x:c r="M293" s="62" t="n">
        <x:f>L293+D293*('难度参数'!$E$49+'难度参数'!$E$50)/60</x:f>
        <x:v>4.3533333333333335</x:v>
      </x:c>
      <x:c r="N293" s="119" t="n">
        <x:f>ROUNDDOWN(('经济参数'!$E$20+A293*'经济参数'!$E$21)*G293,0)</x:f>
        <x:v>5920</x:v>
      </x:c>
      <x:c r="O293" s="119" t="n">
        <x:f>ROUNDDOWN(MIN('经济参数'!$E$24,'经济参数'!$E$22+A293*'经济参数'!$E$23)*G293,0)</x:f>
        <x:v>0</x:v>
      </x:c>
      <x:c r="P293" s="119" t="n">
        <x:f>ROUNDDOWN((IF(A293&gt;='材料与任务'!$E$31,'材料与任务'!$E$32,IF(A293&gt;='材料与任务'!$E$25,'材料与任务'!$E$26,IF(A293&gt;='材料与任务'!$E$19,'材料与任务'!$E$20,IF(A293&gt;='材料与任务'!$E$13,'材料与任务'!$E$14,'材料与任务'!$E$8)))))*G293,0)</x:f>
        <x:v>6</x:v>
      </x:c>
      <x:c r="Q293" s="119" t="n">
        <x:f>ROUNDDOWN((IF(A293&gt;='材料与任务'!$E$31,'材料与任务'!$E$33,IF(A293&gt;='材料与任务'!$E$25,'材料与任务'!$E$27,IF(A293&gt;='材料与任务'!$E$19,'材料与任务'!$E$21,IF(A293&gt;='材料与任务'!$E$13,'材料与任务'!$E$15,'材料与任务'!$E$9)))))*G293,0)</x:f>
        <x:v>3</x:v>
      </x:c>
      <x:c r="R293" s="110" t="n">
        <x:f>'装备掉落'!$B$38</x:f>
        <x:v>0.6872058758851213</x:v>
      </x:c>
      <x:c r="S293" s="119" t="n">
        <x:f>MAX(IF(VLOOKUP(A293,'装备掉落'!$A$29:$H$34,2,TRUE)&gt;0,1,0),IF(VLOOKUP(A293,'装备掉落'!$A$29:$H$34,3,TRUE)&gt;0,2,0),IF(VLOOKUP(A293,'装备掉落'!$A$29:$H$34,4,TRUE)&gt;0,3,0),IF(VLOOKUP(A293,'装备掉落'!$A$29:$H$34,5,TRUE)&gt;0,4,0),IF(VLOOKUP(A293,'装备掉落'!$A$29:$H$34,6,TRUE)&gt;0,5,0),IF(VLOOKUP(A293,'装备掉落'!$A$29:$H$34,7,TRUE)&gt;0,6,0),IF(VLOOKUP(A293,'装备掉落'!$A$29:$H$34,8,TRUE)&gt;0,7,0))</x:f>
        <x:v>7</x:v>
      </x:c>
      <x:c r="T293" s="119" t="n">
        <x:f>MIN(7,S293+'经济参数'!$E$70)</x:f>
        <x:v>7</x:v>
      </x:c>
      <x:c r="U293" s="119" t="n">
        <x:f>MIN(7,S293+'经济参数'!$E$71)</x:f>
        <x:v>7</x:v>
      </x:c>
      <x:c r="V293" s="119" t="n">
        <x:f>IF(H293&gt;=('难度参数'!$E$52),1,0)+IF(H293&gt;=('难度参数'!$E$52+'难度参数'!$E$53),1,0)+IF(H293&gt;=('难度参数'!$E$52+'难度参数'!$E$53+'难度参数'!$E$54),1,0)+IF(H293&gt;=('难度参数'!$E$52+'难度参数'!$E$53+'难度参数'!$E$54+'难度参数'!$E$55),1,0)+IF(H293&gt;=('难度参数'!$E$52+'难度参数'!$E$53+'难度参数'!$E$54+'难度参数'!$E$55+'难度参数'!$E$56),1,0)+IF(H293&gt;=('难度参数'!$E$52+'难度参数'!$E$53+'难度参数'!$E$54+'难度参数'!$E$55+'难度参数'!$E$56+'难度参数'!$E$57),1,0)</x:f>
        <x:v>6</x:v>
      </x:c>
      <x:c r="W293" s="62" t="str">
        <x:f>IF(L293&gt;'难度参数'!$E$51,"仅出怪已超目标","还需实测")</x:f>
        <x:v>仅出怪已超目标</x:v>
      </x:c>
      <x:c r="X293" s="119" t="n">
        <x:f>IF(1&gt;D293,0,MAX(2,MIN('难度参数'!$E$12,ROUND(('难度参数'!$E$18*POWER(A293,'难度参数'!$E$19)/D293*(0.85+0.3*(1-1)/MAX(1,D293-1))),0)+F293)))</x:f>
        <x:v>29</x:v>
      </x:c>
      <x:c r="Y293" s="119" t="n">
        <x:f>IF(1&gt;D293,0,ROUND(('难度参数'!$E$13*POWER(A293,'难度参数'!$E$20)*MIN('难度参数'!$E$23,1+MAX(0,A293-'难度参数'!$E$21)*'难度参数'!$E$22))*(36+1*7)/(36+7*(D293+1)/2)*E293,0))</x:f>
        <x:v>5337</x:v>
      </x:c>
      <x:c r="Z293" s="119" t="n">
        <x:f>IF(X293=0,0,(X293-IF(1=D293,1,0))*ROUND(Y293*VLOOKUP(INDEX('章节与怪物'!$E$31:$K$37,B293,1),'章节与怪物'!$A$41:$F$44,2,FALSE),0)+IF(1=D293,ROUND(Y293*'难度参数'!$E$28*'章节与怪物'!$E$17,0),0))</x:f>
        <x:v>111447</x:v>
      </x:c>
      <x:c r="AA293" s="119" t="n">
        <x:f>IF(X293=0,0,(X293-IF(1=D293,1,0))*VLOOKUP(INDEX('章节与怪物'!$E$31:$K$37,B293,1),'章节与怪物'!$A$41:$F$44,4,FALSE)+IF(1=D293,'难度参数'!$E$30,0))</x:f>
        <x:v>580</x:v>
      </x:c>
      <x:c r="AB293" s="119" t="n">
        <x:f>IF(2&gt;D293,0,MAX(2,MIN('难度参数'!$E$12,ROUND(('难度参数'!$E$18*POWER(A293,'难度参数'!$E$19)/D293*(0.85+0.3*(2-1)/MAX(1,D293-1))),0)+F293)))</x:f>
        <x:v>31</x:v>
      </x:c>
      <x:c r="AC293" s="119" t="n">
        <x:f>IF(2&gt;D293,0,ROUND(('难度参数'!$E$13*POWER(A293,'难度参数'!$E$20)*MIN('难度参数'!$E$23,1+MAX(0,A293-'难度参数'!$E$21)*'难度参数'!$E$22))*(36+2*7)/(36+7*(D293+1)/2)*E293,0))</x:f>
        <x:v>6206</x:v>
      </x:c>
      <x:c r="AD293" s="119" t="n">
        <x:f>IF(AB293=0,0,(AB293-IF(2=D293,1,0))*ROUND(AC293*VLOOKUP(INDEX('章节与怪物'!$E$31:$K$37,B293,2),'章节与怪物'!$A$41:$F$44,2,FALSE),0)+IF(2=D293,ROUND(AC293*'难度参数'!$E$28*'章节与怪物'!$E$17,0),0))</x:f>
        <x:v>192386</x:v>
      </x:c>
      <x:c r="AE293" s="119" t="n">
        <x:f>IF(AB293=0,0,(AB293-IF(2=D293,1,0))*VLOOKUP(INDEX('章节与怪物'!$E$31:$K$37,B293,2),'章节与怪物'!$A$41:$F$44,4,FALSE)+IF(2=D293,'难度参数'!$E$30,0))</x:f>
        <x:v>558</x:v>
      </x:c>
      <x:c r="AF293" s="119" t="n">
        <x:f>IF(3&gt;D293,0,MAX(2,MIN('难度参数'!$E$12,ROUND(('难度参数'!$E$18*POWER(A293,'难度参数'!$E$19)/D293*(0.85+0.3*(3-1)/MAX(1,D293-1))),0)+F293)))</x:f>
        <x:v>32</x:v>
      </x:c>
      <x:c r="AG293" s="119" t="n">
        <x:f>IF(3&gt;D293,0,ROUND(('难度参数'!$E$13*POWER(A293,'难度参数'!$E$20)*MIN('难度参数'!$E$23,1+MAX(0,A293-'难度参数'!$E$21)*'难度参数'!$E$22))*(36+3*7)/(36+7*(D293+1)/2)*E293,0))</x:f>
        <x:v>7075</x:v>
      </x:c>
      <x:c r="AH293" s="119" t="n">
        <x:f>IF(AF293=0,0,(AF293-IF(3=D293,1,0))*ROUND(AG293*VLOOKUP(INDEX('章节与怪物'!$E$31:$K$37,B293,3),'章节与怪物'!$A$41:$F$44,2,FALSE),0)+IF(3=D293,ROUND(AG293*'难度参数'!$E$28*'章节与怪物'!$E$17,0),0))</x:f>
        <x:v>384896</x:v>
      </x:c>
      <x:c r="AI293" s="119" t="n">
        <x:f>IF(AF293=0,0,(AF293-IF(3=D293,1,0))*VLOOKUP(INDEX('章节与怪物'!$E$31:$K$37,B293,3),'章节与怪物'!$A$41:$F$44,4,FALSE)+IF(3=D293,'难度参数'!$E$30,0))</x:f>
        <x:v>896</x:v>
      </x:c>
      <x:c r="AJ293" s="119" t="n">
        <x:f>IF(4&gt;D293,0,MAX(2,MIN('难度参数'!$E$12,ROUND(('难度参数'!$E$18*POWER(A293,'难度参数'!$E$19)/D293*(0.85+0.3*(4-1)/MAX(1,D293-1))),0)+F293)))</x:f>
        <x:v>34</x:v>
      </x:c>
      <x:c r="AK293" s="119" t="n">
        <x:f>IF(4&gt;D293,0,ROUND(('难度参数'!$E$13*POWER(A293,'难度参数'!$E$20)*MIN('难度参数'!$E$23,1+MAX(0,A293-'难度参数'!$E$21)*'难度参数'!$E$22))*(36+4*7)/(36+7*(D293+1)/2)*E293,0))</x:f>
        <x:v>7943</x:v>
      </x:c>
      <x:c r="AL293" s="119" t="n">
        <x:f>IF(AJ293=0,0,(AJ293-IF(4=D293,1,0))*ROUND(AK293*VLOOKUP(INDEX('章节与怪物'!$E$31:$K$37,B293,4),'章节与怪物'!$A$41:$F$44,2,FALSE),0)+IF(4=D293,ROUND(AK293*'难度参数'!$E$28*'章节与怪物'!$E$17,0),0))</x:f>
        <x:v>364582</x:v>
      </x:c>
      <x:c r="AM293" s="119" t="n">
        <x:f>IF(AJ293=0,0,(AJ293-IF(4=D293,1,0))*VLOOKUP(INDEX('章节与怪物'!$E$31:$K$37,B293,4),'章节与怪物'!$A$41:$F$44,4,FALSE)+IF(4=D293,'难度参数'!$E$30,0))</x:f>
        <x:v>1156</x:v>
      </x:c>
      <x:c r="AN293" s="119" t="n">
        <x:f>IF(5&gt;D293,0,MAX(2,MIN('难度参数'!$E$12,ROUND(('难度参数'!$E$18*POWER(A293,'难度参数'!$E$19)/D293*(0.85+0.3*(5-1)/MAX(1,D293-1))),0)+F293)))</x:f>
        <x:v>36</x:v>
      </x:c>
      <x:c r="AO293" s="119" t="n">
        <x:f>IF(5&gt;D293,0,ROUND(('难度参数'!$E$13*POWER(A293,'难度参数'!$E$20)*MIN('难度参数'!$E$23,1+MAX(0,A293-'难度参数'!$E$21)*'难度参数'!$E$22))*(36+5*7)/(36+7*(D293+1)/2)*E293,0))</x:f>
        <x:v>8812</x:v>
      </x:c>
      <x:c r="AP293" s="119" t="n">
        <x:f>IF(AN293=0,0,(AN293-IF(5=D293,1,0))*ROUND(AO293*VLOOKUP(INDEX('章节与怪物'!$E$31:$K$37,B293,5),'章节与怪物'!$A$41:$F$44,2,FALSE),0)+IF(5=D293,ROUND(AO293*'难度参数'!$E$28*'章节与怪物'!$E$17,0),0))</x:f>
        <x:v>317232</x:v>
      </x:c>
      <x:c r="AQ293" s="119" t="n">
        <x:f>IF(AN293=0,0,(AN293-IF(5=D293,1,0))*VLOOKUP(INDEX('章节与怪物'!$E$31:$K$37,B293,5),'章节与怪物'!$A$41:$F$44,4,FALSE)+IF(5=D293,'难度参数'!$E$30,0))</x:f>
        <x:v>648</x:v>
      </x:c>
      <x:c r="AR293" s="119" t="n">
        <x:f>IF(6&gt;D293,0,MAX(2,MIN('难度参数'!$E$12,ROUND(('难度参数'!$E$18*POWER(A293,'难度参数'!$E$19)/D293*(0.85+0.3*(6-1)/MAX(1,D293-1))),0)+F293)))</x:f>
        <x:v>38</x:v>
      </x:c>
      <x:c r="AS293" s="119" t="n">
        <x:f>IF(6&gt;D293,0,ROUND(('难度参数'!$E$13*POWER(A293,'难度参数'!$E$20)*MIN('难度参数'!$E$23,1+MAX(0,A293-'难度参数'!$E$21)*'难度参数'!$E$22))*(36+6*7)/(36+7*(D293+1)/2)*E293,0))</x:f>
        <x:v>9681</x:v>
      </x:c>
      <x:c r="AT293" s="119" t="n">
        <x:f>IF(AR293=0,0,(AR293-IF(6=D293,1,0))*ROUND(AS293*VLOOKUP(INDEX('章节与怪物'!$E$31:$K$37,B293,6),'章节与怪物'!$A$41:$F$44,2,FALSE),0)+IF(6=D293,ROUND(AS293*'难度参数'!$E$28*'章节与怪物'!$E$17,0),0))</x:f>
        <x:v>625404</x:v>
      </x:c>
      <x:c r="AU293" s="119" t="n">
        <x:f>IF(AR293=0,0,(AR293-IF(6=D293,1,0))*VLOOKUP(INDEX('章节与怪物'!$E$31:$K$37,B293,6),'章节与怪物'!$A$41:$F$44,4,FALSE)+IF(6=D293,'难度参数'!$E$30,0))</x:f>
        <x:v>1064</x:v>
      </x:c>
      <x:c r="AV293" s="119" t="n">
        <x:f>IF(7&gt;D293,0,MAX(2,MIN('难度参数'!$E$12,ROUND(('难度参数'!$E$18*POWER(A293,'难度参数'!$E$19)/D293*(0.85+0.3*(7-1)/MAX(1,D293-1))),0)+F293)))</x:f>
        <x:v>39</x:v>
      </x:c>
      <x:c r="AW293" s="119" t="n">
        <x:f>IF(7&gt;D293,0,ROUND(('难度参数'!$E$13*POWER(A293,'难度参数'!$E$20)*MIN('难度参数'!$E$23,1+MAX(0,A293-'难度参数'!$E$21)*'难度参数'!$E$22))*(36+7*7)/(36+7*(D293+1)/2)*E293,0))</x:f>
        <x:v>10550</x:v>
      </x:c>
      <x:c r="AX293" s="119" t="n">
        <x:f>IF(AV293=0,0,(AV293-IF(7=D293,1,0))*ROUND(AW293*VLOOKUP(INDEX('章节与怪物'!$E$31:$K$37,B293,7),'章节与怪物'!$A$41:$F$44,2,FALSE),0)+IF(7=D293,ROUND(AW293*'难度参数'!$E$28*'章节与怪物'!$E$17,0),0))</x:f>
        <x:v>612974</x:v>
      </x:c>
      <x:c r="AY293" s="119" t="n">
        <x:f>IF(AV293=0,0,(AV293-IF(7=D293,1,0))*VLOOKUP(INDEX('章节与怪物'!$E$31:$K$37,B293,7),'章节与怪物'!$A$41:$F$44,4,FALSE)+IF(7=D293,'难度参数'!$E$30,0))</x:f>
        <x:v>1492</x:v>
      </x:c>
    </x:row>
    <x:row r="294" ht="23" customHeight="1">
      <x:c r="A294" s="119" t="n">
        <x:v>288</x:v>
      </x:c>
      <x:c r="B294" s="119" t="n">
        <x:f>MOD(INT((A294-1)/5),7)+1</x:f>
        <x:v>2</x:v>
      </x:c>
      <x:c r="C294" s="62" t="str">
        <x:f>INDEX('章节与怪物'!$B$31:$B$37,B294)</x:f>
        <x:v>黄沙要塞</x:v>
      </x:c>
      <x:c r="D294" s="119" t="n">
        <x:f>MIN('难度参数'!$E$8,MAX('难度参数'!$E$7,A294))</x:f>
        <x:v>7</x:v>
      </x:c>
      <x:c r="E294" s="106" t="n">
        <x:v>1</x:v>
      </x:c>
      <x:c r="F294" s="106" t="n">
        <x:v>0</x:v>
      </x:c>
      <x:c r="G294" s="106" t="n">
        <x:v>1</x:v>
      </x:c>
      <x:c r="H294" s="119" t="n">
        <x:f>SUM(X294,AB294,AF294,AJ294,AN294,AR294,AV294)</x:f>
        <x:v>240</x:v>
      </x:c>
      <x:c r="I294" s="119" t="n">
        <x:f>SUM(Z294,AD294,AH294,AL294,AP294,AT294,AX294)</x:f>
        <x:v>2627374</x:v>
      </x:c>
      <x:c r="J294" s="119" t="n">
        <x:f>ROUND(INDEX(X294:AY294,1,(D294-1)*4+2)*'难度参数'!$E$28*'章节与怪物'!$E$17,0)</x:f>
        <x:v>71917</x:v>
      </x:c>
      <x:c r="K294" s="119" t="n">
        <x:f>SUM(AA294,AE294,AI294,AM294,AQ294,AU294,AY294)</x:f>
        <x:v>6422</x:v>
      </x:c>
      <x:c r="L294" s="62" t="n">
        <x:f>H294*(ROUNDUP('难度参数'!$E$24/('难度参数'!$E$26*'难度参数'!$E$27),0)*'难度参数'!$E$26)/60</x:f>
        <x:v>3.2</x:v>
      </x:c>
      <x:c r="M294" s="62" t="n">
        <x:f>L294+D294*('难度参数'!$E$49+'难度参数'!$E$50)/60</x:f>
        <x:v>4.366666666666667</x:v>
      </x:c>
      <x:c r="N294" s="119" t="n">
        <x:f>ROUNDDOWN(('经济参数'!$E$20+A294*'经济参数'!$E$21)*G294,0)</x:f>
        <x:v>5940</x:v>
      </x:c>
      <x:c r="O294" s="119" t="n">
        <x:f>ROUNDDOWN(MIN('经济参数'!$E$24,'经济参数'!$E$22+A294*'经济参数'!$E$23)*G294,0)</x:f>
        <x:v>0</x:v>
      </x:c>
      <x:c r="P294" s="119" t="n">
        <x:f>ROUNDDOWN((IF(A294&gt;='材料与任务'!$E$31,'材料与任务'!$E$32,IF(A294&gt;='材料与任务'!$E$25,'材料与任务'!$E$26,IF(A294&gt;='材料与任务'!$E$19,'材料与任务'!$E$20,IF(A294&gt;='材料与任务'!$E$13,'材料与任务'!$E$14,'材料与任务'!$E$8)))))*G294,0)</x:f>
        <x:v>6</x:v>
      </x:c>
      <x:c r="Q294" s="119" t="n">
        <x:f>ROUNDDOWN((IF(A294&gt;='材料与任务'!$E$31,'材料与任务'!$E$33,IF(A294&gt;='材料与任务'!$E$25,'材料与任务'!$E$27,IF(A294&gt;='材料与任务'!$E$19,'材料与任务'!$E$21,IF(A294&gt;='材料与任务'!$E$13,'材料与任务'!$E$15,'材料与任务'!$E$9)))))*G294,0)</x:f>
        <x:v>3</x:v>
      </x:c>
      <x:c r="R294" s="110" t="n">
        <x:f>'装备掉落'!$B$38</x:f>
        <x:v>0.6872058758851213</x:v>
      </x:c>
      <x:c r="S294" s="119" t="n">
        <x:f>MAX(IF(VLOOKUP(A294,'装备掉落'!$A$29:$H$34,2,TRUE)&gt;0,1,0),IF(VLOOKUP(A294,'装备掉落'!$A$29:$H$34,3,TRUE)&gt;0,2,0),IF(VLOOKUP(A294,'装备掉落'!$A$29:$H$34,4,TRUE)&gt;0,3,0),IF(VLOOKUP(A294,'装备掉落'!$A$29:$H$34,5,TRUE)&gt;0,4,0),IF(VLOOKUP(A294,'装备掉落'!$A$29:$H$34,6,TRUE)&gt;0,5,0),IF(VLOOKUP(A294,'装备掉落'!$A$29:$H$34,7,TRUE)&gt;0,6,0),IF(VLOOKUP(A294,'装备掉落'!$A$29:$H$34,8,TRUE)&gt;0,7,0))</x:f>
        <x:v>7</x:v>
      </x:c>
      <x:c r="T294" s="119" t="n">
        <x:f>MIN(7,S294+'经济参数'!$E$70)</x:f>
        <x:v>7</x:v>
      </x:c>
      <x:c r="U294" s="119" t="n">
        <x:f>MIN(7,S294+'经济参数'!$E$71)</x:f>
        <x:v>7</x:v>
      </x:c>
      <x:c r="V294" s="119" t="n">
        <x:f>IF(H294&gt;=('难度参数'!$E$52),1,0)+IF(H294&gt;=('难度参数'!$E$52+'难度参数'!$E$53),1,0)+IF(H294&gt;=('难度参数'!$E$52+'难度参数'!$E$53+'难度参数'!$E$54),1,0)+IF(H294&gt;=('难度参数'!$E$52+'难度参数'!$E$53+'难度参数'!$E$54+'难度参数'!$E$55),1,0)+IF(H294&gt;=('难度参数'!$E$52+'难度参数'!$E$53+'难度参数'!$E$54+'难度参数'!$E$55+'难度参数'!$E$56),1,0)+IF(H294&gt;=('难度参数'!$E$52+'难度参数'!$E$53+'难度参数'!$E$54+'难度参数'!$E$55+'难度参数'!$E$56+'难度参数'!$E$57),1,0)</x:f>
        <x:v>6</x:v>
      </x:c>
      <x:c r="W294" s="62" t="str">
        <x:f>IF(L294&gt;'难度参数'!$E$51,"仅出怪已超目标","还需实测")</x:f>
        <x:v>仅出怪已超目标</x:v>
      </x:c>
      <x:c r="X294" s="119" t="n">
        <x:f>IF(1&gt;D294,0,MAX(2,MIN('难度参数'!$E$12,ROUND(('难度参数'!$E$18*POWER(A294,'难度参数'!$E$19)/D294*(0.85+0.3*(1-1)/MAX(1,D294-1))),0)+F294)))</x:f>
        <x:v>29</x:v>
      </x:c>
      <x:c r="Y294" s="119" t="n">
        <x:f>IF(1&gt;D294,0,ROUND(('难度参数'!$E$13*POWER(A294,'难度参数'!$E$20)*MIN('难度参数'!$E$23,1+MAX(0,A294-'难度参数'!$E$21)*'难度参数'!$E$22))*(36+1*7)/(36+7*(D294+1)/2)*E294,0))</x:f>
        <x:v>5350</x:v>
      </x:c>
      <x:c r="Z294" s="119" t="n">
        <x:f>IF(X294=0,0,(X294-IF(1=D294,1,0))*ROUND(Y294*VLOOKUP(INDEX('章节与怪物'!$E$31:$K$37,B294,1),'章节与怪物'!$A$41:$F$44,2,FALSE),0)+IF(1=D294,ROUND(Y294*'难度参数'!$E$28*'章节与怪物'!$E$17,0),0))</x:f>
        <x:v>111708</x:v>
      </x:c>
      <x:c r="AA294" s="119" t="n">
        <x:f>IF(X294=0,0,(X294-IF(1=D294,1,0))*VLOOKUP(INDEX('章节与怪物'!$E$31:$K$37,B294,1),'章节与怪物'!$A$41:$F$44,4,FALSE)+IF(1=D294,'难度参数'!$E$30,0))</x:f>
        <x:v>580</x:v>
      </x:c>
      <x:c r="AB294" s="119" t="n">
        <x:f>IF(2&gt;D294,0,MAX(2,MIN('难度参数'!$E$12,ROUND(('难度参数'!$E$18*POWER(A294,'难度参数'!$E$19)/D294*(0.85+0.3*(2-1)/MAX(1,D294-1))),0)+F294)))</x:f>
        <x:v>31</x:v>
      </x:c>
      <x:c r="AC294" s="119" t="n">
        <x:f>IF(2&gt;D294,0,ROUND(('难度参数'!$E$13*POWER(A294,'难度参数'!$E$20)*MIN('难度参数'!$E$23,1+MAX(0,A294-'难度参数'!$E$21)*'难度参数'!$E$22))*(36+2*7)/(36+7*(D294+1)/2)*E294,0))</x:f>
        <x:v>6221</x:v>
      </x:c>
      <x:c r="AD294" s="119" t="n">
        <x:f>IF(AB294=0,0,(AB294-IF(2=D294,1,0))*ROUND(AC294*VLOOKUP(INDEX('章节与怪物'!$E$31:$K$37,B294,2),'章节与怪物'!$A$41:$F$44,2,FALSE),0)+IF(2=D294,ROUND(AC294*'难度参数'!$E$28*'章节与怪物'!$E$17,0),0))</x:f>
        <x:v>192851</x:v>
      </x:c>
      <x:c r="AE294" s="119" t="n">
        <x:f>IF(AB294=0,0,(AB294-IF(2=D294,1,0))*VLOOKUP(INDEX('章节与怪物'!$E$31:$K$37,B294,2),'章节与怪物'!$A$41:$F$44,4,FALSE)+IF(2=D294,'难度参数'!$E$30,0))</x:f>
        <x:v>558</x:v>
      </x:c>
      <x:c r="AF294" s="119" t="n">
        <x:f>IF(3&gt;D294,0,MAX(2,MIN('难度参数'!$E$12,ROUND(('难度参数'!$E$18*POWER(A294,'难度参数'!$E$19)/D294*(0.85+0.3*(3-1)/MAX(1,D294-1))),0)+F294)))</x:f>
        <x:v>33</x:v>
      </x:c>
      <x:c r="AG294" s="119" t="n">
        <x:f>IF(3&gt;D294,0,ROUND(('难度参数'!$E$13*POWER(A294,'难度参数'!$E$20)*MIN('难度参数'!$E$23,1+MAX(0,A294-'难度参数'!$E$21)*'难度参数'!$E$22))*(36+3*7)/(36+7*(D294+1)/2)*E294,0))</x:f>
        <x:v>7092</x:v>
      </x:c>
      <x:c r="AH294" s="119" t="n">
        <x:f>IF(AF294=0,0,(AF294-IF(3=D294,1,0))*ROUND(AG294*VLOOKUP(INDEX('章节与怪物'!$E$31:$K$37,B294,3),'章节与怪物'!$A$41:$F$44,2,FALSE),0)+IF(3=D294,ROUND(AG294*'难度参数'!$E$28*'章节与怪物'!$E$17,0),0))</x:f>
        <x:v>397848</x:v>
      </x:c>
      <x:c r="AI294" s="119" t="n">
        <x:f>IF(AF294=0,0,(AF294-IF(3=D294,1,0))*VLOOKUP(INDEX('章节与怪物'!$E$31:$K$37,B294,3),'章节与怪物'!$A$41:$F$44,4,FALSE)+IF(3=D294,'难度参数'!$E$30,0))</x:f>
        <x:v>924</x:v>
      </x:c>
      <x:c r="AJ294" s="119" t="n">
        <x:f>IF(4&gt;D294,0,MAX(2,MIN('难度参数'!$E$12,ROUND(('难度参数'!$E$18*POWER(A294,'难度参数'!$E$19)/D294*(0.85+0.3*(4-1)/MAX(1,D294-1))),0)+F294)))</x:f>
        <x:v>34</x:v>
      </x:c>
      <x:c r="AK294" s="119" t="n">
        <x:f>IF(4&gt;D294,0,ROUND(('难度参数'!$E$13*POWER(A294,'难度参数'!$E$20)*MIN('难度参数'!$E$23,1+MAX(0,A294-'难度参数'!$E$21)*'难度参数'!$E$22))*(36+4*7)/(36+7*(D294+1)/2)*E294,0))</x:f>
        <x:v>7963</x:v>
      </x:c>
      <x:c r="AL294" s="119" t="n">
        <x:f>IF(AJ294=0,0,(AJ294-IF(4=D294,1,0))*ROUND(AK294*VLOOKUP(INDEX('章节与怪物'!$E$31:$K$37,B294,4),'章节与怪物'!$A$41:$F$44,2,FALSE),0)+IF(4=D294,ROUND(AK294*'难度参数'!$E$28*'章节与怪物'!$E$17,0),0))</x:f>
        <x:v>365500</x:v>
      </x:c>
      <x:c r="AM294" s="119" t="n">
        <x:f>IF(AJ294=0,0,(AJ294-IF(4=D294,1,0))*VLOOKUP(INDEX('章节与怪物'!$E$31:$K$37,B294,4),'章节与怪物'!$A$41:$F$44,4,FALSE)+IF(4=D294,'难度参数'!$E$30,0))</x:f>
        <x:v>1156</x:v>
      </x:c>
      <x:c r="AN294" s="119" t="n">
        <x:f>IF(5&gt;D294,0,MAX(2,MIN('难度参数'!$E$12,ROUND(('难度参数'!$E$18*POWER(A294,'难度参数'!$E$19)/D294*(0.85+0.3*(5-1)/MAX(1,D294-1))),0)+F294)))</x:f>
        <x:v>36</x:v>
      </x:c>
      <x:c r="AO294" s="119" t="n">
        <x:f>IF(5&gt;D294,0,ROUND(('难度参数'!$E$13*POWER(A294,'难度参数'!$E$20)*MIN('难度参数'!$E$23,1+MAX(0,A294-'难度参数'!$E$21)*'难度参数'!$E$22))*(36+5*7)/(36+7*(D294+1)/2)*E294,0))</x:f>
        <x:v>8834</x:v>
      </x:c>
      <x:c r="AP294" s="119" t="n">
        <x:f>IF(AN294=0,0,(AN294-IF(5=D294,1,0))*ROUND(AO294*VLOOKUP(INDEX('章节与怪物'!$E$31:$K$37,B294,5),'章节与怪物'!$A$41:$F$44,2,FALSE),0)+IF(5=D294,ROUND(AO294*'难度参数'!$E$28*'章节与怪物'!$E$17,0),0))</x:f>
        <x:v>318024</x:v>
      </x:c>
      <x:c r="AQ294" s="119" t="n">
        <x:f>IF(AN294=0,0,(AN294-IF(5=D294,1,0))*VLOOKUP(INDEX('章节与怪物'!$E$31:$K$37,B294,5),'章节与怪物'!$A$41:$F$44,4,FALSE)+IF(5=D294,'难度参数'!$E$30,0))</x:f>
        <x:v>648</x:v>
      </x:c>
      <x:c r="AR294" s="119" t="n">
        <x:f>IF(6&gt;D294,0,MAX(2,MIN('难度参数'!$E$12,ROUND(('难度参数'!$E$18*POWER(A294,'难度参数'!$E$19)/D294*(0.85+0.3*(6-1)/MAX(1,D294-1))),0)+F294)))</x:f>
        <x:v>38</x:v>
      </x:c>
      <x:c r="AS294" s="119" t="n">
        <x:f>IF(6&gt;D294,0,ROUND(('难度参数'!$E$13*POWER(A294,'难度参数'!$E$20)*MIN('难度参数'!$E$23,1+MAX(0,A294-'难度参数'!$E$21)*'难度参数'!$E$22))*(36+6*7)/(36+7*(D294+1)/2)*E294,0))</x:f>
        <x:v>9705</x:v>
      </x:c>
      <x:c r="AT294" s="119" t="n">
        <x:f>IF(AR294=0,0,(AR294-IF(6=D294,1,0))*ROUND(AS294*VLOOKUP(INDEX('章节与怪物'!$E$31:$K$37,B294,6),'章节与怪物'!$A$41:$F$44,2,FALSE),0)+IF(6=D294,ROUND(AS294*'难度参数'!$E$28*'章节与怪物'!$E$17,0),0))</x:f>
        <x:v>626962</x:v>
      </x:c>
      <x:c r="AU294" s="119" t="n">
        <x:f>IF(AR294=0,0,(AR294-IF(6=D294,1,0))*VLOOKUP(INDEX('章节与怪物'!$E$31:$K$37,B294,6),'章节与怪物'!$A$41:$F$44,4,FALSE)+IF(6=D294,'难度参数'!$E$30,0))</x:f>
        <x:v>1064</x:v>
      </x:c>
      <x:c r="AV294" s="119" t="n">
        <x:f>IF(7&gt;D294,0,MAX(2,MIN('难度参数'!$E$12,ROUND(('难度参数'!$E$18*POWER(A294,'难度参数'!$E$19)/D294*(0.85+0.3*(7-1)/MAX(1,D294-1))),0)+F294)))</x:f>
        <x:v>39</x:v>
      </x:c>
      <x:c r="AW294" s="119" t="n">
        <x:f>IF(7&gt;D294,0,ROUND(('难度参数'!$E$13*POWER(A294,'难度参数'!$E$20)*MIN('难度参数'!$E$23,1+MAX(0,A294-'难度参数'!$E$21)*'难度参数'!$E$22))*(36+7*7)/(36+7*(D294+1)/2)*E294,0))</x:f>
        <x:v>10576</x:v>
      </x:c>
      <x:c r="AX294" s="119" t="n">
        <x:f>IF(AV294=0,0,(AV294-IF(7=D294,1,0))*ROUND(AW294*VLOOKUP(INDEX('章节与怪物'!$E$31:$K$37,B294,7),'章节与怪物'!$A$41:$F$44,2,FALSE),0)+IF(7=D294,ROUND(AW294*'难度参数'!$E$28*'章节与怪物'!$E$17,0),0))</x:f>
        <x:v>614481</x:v>
      </x:c>
      <x:c r="AY294" s="119" t="n">
        <x:f>IF(AV294=0,0,(AV294-IF(7=D294,1,0))*VLOOKUP(INDEX('章节与怪物'!$E$31:$K$37,B294,7),'章节与怪物'!$A$41:$F$44,4,FALSE)+IF(7=D294,'难度参数'!$E$30,0))</x:f>
        <x:v>1492</x:v>
      </x:c>
    </x:row>
    <x:row r="295" ht="23" customHeight="1">
      <x:c r="A295" s="119" t="n">
        <x:v>289</x:v>
      </x:c>
      <x:c r="B295" s="119" t="n">
        <x:f>MOD(INT((A295-1)/5),7)+1</x:f>
        <x:v>2</x:v>
      </x:c>
      <x:c r="C295" s="62" t="str">
        <x:f>INDEX('章节与怪物'!$B$31:$B$37,B295)</x:f>
        <x:v>黄沙要塞</x:v>
      </x:c>
      <x:c r="D295" s="119" t="n">
        <x:f>MIN('难度参数'!$E$8,MAX('难度参数'!$E$7,A295))</x:f>
        <x:v>7</x:v>
      </x:c>
      <x:c r="E295" s="106" t="n">
        <x:v>1</x:v>
      </x:c>
      <x:c r="F295" s="106" t="n">
        <x:v>0</x:v>
      </x:c>
      <x:c r="G295" s="106" t="n">
        <x:v>1</x:v>
      </x:c>
      <x:c r="H295" s="119" t="n">
        <x:f>SUM(X295,AB295,AF295,AJ295,AN295,AR295,AV295)</x:f>
        <x:v>240</x:v>
      </x:c>
      <x:c r="I295" s="119" t="n">
        <x:f>SUM(Z295,AD295,AH295,AL295,AP295,AT295,AX295)</x:f>
        <x:v>2634040</x:v>
      </x:c>
      <x:c r="J295" s="119" t="n">
        <x:f>ROUND(INDEX(X295:AY295,1,(D295-1)*4+2)*'难度参数'!$E$28*'章节与怪物'!$E$17,0)</x:f>
        <x:v>72100</x:v>
      </x:c>
      <x:c r="K295" s="119" t="n">
        <x:f>SUM(AA295,AE295,AI295,AM295,AQ295,AU295,AY295)</x:f>
        <x:v>6422</x:v>
      </x:c>
      <x:c r="L295" s="62" t="n">
        <x:f>H295*(ROUNDUP('难度参数'!$E$24/('难度参数'!$E$26*'难度参数'!$E$27),0)*'难度参数'!$E$26)/60</x:f>
        <x:v>3.2</x:v>
      </x:c>
      <x:c r="M295" s="62" t="n">
        <x:f>L295+D295*('难度参数'!$E$49+'难度参数'!$E$50)/60</x:f>
        <x:v>4.366666666666667</x:v>
      </x:c>
      <x:c r="N295" s="119" t="n">
        <x:f>ROUNDDOWN(('经济参数'!$E$20+A295*'经济参数'!$E$21)*G295,0)</x:f>
        <x:v>5960</x:v>
      </x:c>
      <x:c r="O295" s="119" t="n">
        <x:f>ROUNDDOWN(MIN('经济参数'!$E$24,'经济参数'!$E$22+A295*'经济参数'!$E$23)*G295,0)</x:f>
        <x:v>0</x:v>
      </x:c>
      <x:c r="P295" s="119" t="n">
        <x:f>ROUNDDOWN((IF(A295&gt;='材料与任务'!$E$31,'材料与任务'!$E$32,IF(A295&gt;='材料与任务'!$E$25,'材料与任务'!$E$26,IF(A295&gt;='材料与任务'!$E$19,'材料与任务'!$E$20,IF(A295&gt;='材料与任务'!$E$13,'材料与任务'!$E$14,'材料与任务'!$E$8)))))*G295,0)</x:f>
        <x:v>6</x:v>
      </x:c>
      <x:c r="Q295" s="119" t="n">
        <x:f>ROUNDDOWN((IF(A295&gt;='材料与任务'!$E$31,'材料与任务'!$E$33,IF(A295&gt;='材料与任务'!$E$25,'材料与任务'!$E$27,IF(A295&gt;='材料与任务'!$E$19,'材料与任务'!$E$21,IF(A295&gt;='材料与任务'!$E$13,'材料与任务'!$E$15,'材料与任务'!$E$9)))))*G295,0)</x:f>
        <x:v>3</x:v>
      </x:c>
      <x:c r="R295" s="110" t="n">
        <x:f>'装备掉落'!$B$38</x:f>
        <x:v>0.6872058758851213</x:v>
      </x:c>
      <x:c r="S295" s="119" t="n">
        <x:f>MAX(IF(VLOOKUP(A295,'装备掉落'!$A$29:$H$34,2,TRUE)&gt;0,1,0),IF(VLOOKUP(A295,'装备掉落'!$A$29:$H$34,3,TRUE)&gt;0,2,0),IF(VLOOKUP(A295,'装备掉落'!$A$29:$H$34,4,TRUE)&gt;0,3,0),IF(VLOOKUP(A295,'装备掉落'!$A$29:$H$34,5,TRUE)&gt;0,4,0),IF(VLOOKUP(A295,'装备掉落'!$A$29:$H$34,6,TRUE)&gt;0,5,0),IF(VLOOKUP(A295,'装备掉落'!$A$29:$H$34,7,TRUE)&gt;0,6,0),IF(VLOOKUP(A295,'装备掉落'!$A$29:$H$34,8,TRUE)&gt;0,7,0))</x:f>
        <x:v>7</x:v>
      </x:c>
      <x:c r="T295" s="119" t="n">
        <x:f>MIN(7,S295+'经济参数'!$E$70)</x:f>
        <x:v>7</x:v>
      </x:c>
      <x:c r="U295" s="119" t="n">
        <x:f>MIN(7,S295+'经济参数'!$E$71)</x:f>
        <x:v>7</x:v>
      </x:c>
      <x:c r="V295" s="119" t="n">
        <x:f>IF(H295&gt;=('难度参数'!$E$52),1,0)+IF(H295&gt;=('难度参数'!$E$52+'难度参数'!$E$53),1,0)+IF(H295&gt;=('难度参数'!$E$52+'难度参数'!$E$53+'难度参数'!$E$54),1,0)+IF(H295&gt;=('难度参数'!$E$52+'难度参数'!$E$53+'难度参数'!$E$54+'难度参数'!$E$55),1,0)+IF(H295&gt;=('难度参数'!$E$52+'难度参数'!$E$53+'难度参数'!$E$54+'难度参数'!$E$55+'难度参数'!$E$56),1,0)+IF(H295&gt;=('难度参数'!$E$52+'难度参数'!$E$53+'难度参数'!$E$54+'难度参数'!$E$55+'难度参数'!$E$56+'难度参数'!$E$57),1,0)</x:f>
        <x:v>6</x:v>
      </x:c>
      <x:c r="W295" s="62" t="str">
        <x:f>IF(L295&gt;'难度参数'!$E$51,"仅出怪已超目标","还需实测")</x:f>
        <x:v>仅出怪已超目标</x:v>
      </x:c>
      <x:c r="X295" s="119" t="n">
        <x:f>IF(1&gt;D295,0,MAX(2,MIN('难度参数'!$E$12,ROUND(('难度参数'!$E$18*POWER(A295,'难度参数'!$E$19)/D295*(0.85+0.3*(1-1)/MAX(1,D295-1))),0)+F295)))</x:f>
        <x:v>29</x:v>
      </x:c>
      <x:c r="Y295" s="119" t="n">
        <x:f>IF(1&gt;D295,0,ROUND(('难度参数'!$E$13*POWER(A295,'难度参数'!$E$20)*MIN('难度参数'!$E$23,1+MAX(0,A295-'难度参数'!$E$21)*'难度参数'!$E$22))*(36+1*7)/(36+7*(D295+1)/2)*E295,0))</x:f>
        <x:v>5364</x:v>
      </x:c>
      <x:c r="Z295" s="119" t="n">
        <x:f>IF(X295=0,0,(X295-IF(1=D295,1,0))*ROUND(Y295*VLOOKUP(INDEX('章节与怪物'!$E$31:$K$37,B295,1),'章节与怪物'!$A$41:$F$44,2,FALSE),0)+IF(1=D295,ROUND(Y295*'难度参数'!$E$28*'章节与怪物'!$E$17,0),0))</x:f>
        <x:v>111998</x:v>
      </x:c>
      <x:c r="AA295" s="119" t="n">
        <x:f>IF(X295=0,0,(X295-IF(1=D295,1,0))*VLOOKUP(INDEX('章节与怪物'!$E$31:$K$37,B295,1),'章节与怪物'!$A$41:$F$44,4,FALSE)+IF(1=D295,'难度参数'!$E$30,0))</x:f>
        <x:v>580</x:v>
      </x:c>
      <x:c r="AB295" s="119" t="n">
        <x:f>IF(2&gt;D295,0,MAX(2,MIN('难度参数'!$E$12,ROUND(('难度参数'!$E$18*POWER(A295,'难度参数'!$E$19)/D295*(0.85+0.3*(2-1)/MAX(1,D295-1))),0)+F295)))</x:f>
        <x:v>31</x:v>
      </x:c>
      <x:c r="AC295" s="119" t="n">
        <x:f>IF(2&gt;D295,0,ROUND(('难度参数'!$E$13*POWER(A295,'难度参数'!$E$20)*MIN('难度参数'!$E$23,1+MAX(0,A295-'难度参数'!$E$21)*'难度参数'!$E$22))*(36+2*7)/(36+7*(D295+1)/2)*E295,0))</x:f>
        <x:v>6237</x:v>
      </x:c>
      <x:c r="AD295" s="119" t="n">
        <x:f>IF(AB295=0,0,(AB295-IF(2=D295,1,0))*ROUND(AC295*VLOOKUP(INDEX('章节与怪物'!$E$31:$K$37,B295,2),'章节与怪物'!$A$41:$F$44,2,FALSE),0)+IF(2=D295,ROUND(AC295*'难度参数'!$E$28*'章节与怪物'!$E$17,0),0))</x:f>
        <x:v>193347</x:v>
      </x:c>
      <x:c r="AE295" s="119" t="n">
        <x:f>IF(AB295=0,0,(AB295-IF(2=D295,1,0))*VLOOKUP(INDEX('章节与怪物'!$E$31:$K$37,B295,2),'章节与怪物'!$A$41:$F$44,4,FALSE)+IF(2=D295,'难度参数'!$E$30,0))</x:f>
        <x:v>558</x:v>
      </x:c>
      <x:c r="AF295" s="119" t="n">
        <x:f>IF(3&gt;D295,0,MAX(2,MIN('难度参数'!$E$12,ROUND(('难度参数'!$E$18*POWER(A295,'难度参数'!$E$19)/D295*(0.85+0.3*(3-1)/MAX(1,D295-1))),0)+F295)))</x:f>
        <x:v>33</x:v>
      </x:c>
      <x:c r="AG295" s="119" t="n">
        <x:f>IF(3&gt;D295,0,ROUND(('难度参数'!$E$13*POWER(A295,'难度参数'!$E$20)*MIN('难度参数'!$E$23,1+MAX(0,A295-'难度参数'!$E$21)*'难度参数'!$E$22))*(36+3*7)/(36+7*(D295+1)/2)*E295,0))</x:f>
        <x:v>7110</x:v>
      </x:c>
      <x:c r="AH295" s="119" t="n">
        <x:f>IF(AF295=0,0,(AF295-IF(3=D295,1,0))*ROUND(AG295*VLOOKUP(INDEX('章节与怪物'!$E$31:$K$37,B295,3),'章节与怪物'!$A$41:$F$44,2,FALSE),0)+IF(3=D295,ROUND(AG295*'难度参数'!$E$28*'章节与怪物'!$E$17,0),0))</x:f>
        <x:v>398871</x:v>
      </x:c>
      <x:c r="AI295" s="119" t="n">
        <x:f>IF(AF295=0,0,(AF295-IF(3=D295,1,0))*VLOOKUP(INDEX('章节与怪物'!$E$31:$K$37,B295,3),'章节与怪物'!$A$41:$F$44,4,FALSE)+IF(3=D295,'难度参数'!$E$30,0))</x:f>
        <x:v>924</x:v>
      </x:c>
      <x:c r="AJ295" s="119" t="n">
        <x:f>IF(4&gt;D295,0,MAX(2,MIN('难度参数'!$E$12,ROUND(('难度参数'!$E$18*POWER(A295,'难度参数'!$E$19)/D295*(0.85+0.3*(4-1)/MAX(1,D295-1))),0)+F295)))</x:f>
        <x:v>34</x:v>
      </x:c>
      <x:c r="AK295" s="119" t="n">
        <x:f>IF(4&gt;D295,0,ROUND(('难度参数'!$E$13*POWER(A295,'难度参数'!$E$20)*MIN('难度参数'!$E$23,1+MAX(0,A295-'难度参数'!$E$21)*'难度参数'!$E$22))*(36+4*7)/(36+7*(D295+1)/2)*E295,0))</x:f>
        <x:v>7983</x:v>
      </x:c>
      <x:c r="AL295" s="119" t="n">
        <x:f>IF(AJ295=0,0,(AJ295-IF(4=D295,1,0))*ROUND(AK295*VLOOKUP(INDEX('章节与怪物'!$E$31:$K$37,B295,4),'章节与怪物'!$A$41:$F$44,2,FALSE),0)+IF(4=D295,ROUND(AK295*'难度参数'!$E$28*'章节与怪物'!$E$17,0),0))</x:f>
        <x:v>366418</x:v>
      </x:c>
      <x:c r="AM295" s="119" t="n">
        <x:f>IF(AJ295=0,0,(AJ295-IF(4=D295,1,0))*VLOOKUP(INDEX('章节与怪物'!$E$31:$K$37,B295,4),'章节与怪物'!$A$41:$F$44,4,FALSE)+IF(4=D295,'难度参数'!$E$30,0))</x:f>
        <x:v>1156</x:v>
      </x:c>
      <x:c r="AN295" s="119" t="n">
        <x:f>IF(5&gt;D295,0,MAX(2,MIN('难度参数'!$E$12,ROUND(('难度参数'!$E$18*POWER(A295,'难度参数'!$E$19)/D295*(0.85+0.3*(5-1)/MAX(1,D295-1))),0)+F295)))</x:f>
        <x:v>36</x:v>
      </x:c>
      <x:c r="AO295" s="119" t="n">
        <x:f>IF(5&gt;D295,0,ROUND(('难度参数'!$E$13*POWER(A295,'难度参数'!$E$20)*MIN('难度参数'!$E$23,1+MAX(0,A295-'难度参数'!$E$21)*'难度参数'!$E$22))*(36+5*7)/(36+7*(D295+1)/2)*E295,0))</x:f>
        <x:v>8856</x:v>
      </x:c>
      <x:c r="AP295" s="119" t="n">
        <x:f>IF(AN295=0,0,(AN295-IF(5=D295,1,0))*ROUND(AO295*VLOOKUP(INDEX('章节与怪物'!$E$31:$K$37,B295,5),'章节与怪物'!$A$41:$F$44,2,FALSE),0)+IF(5=D295,ROUND(AO295*'难度参数'!$E$28*'章节与怪物'!$E$17,0),0))</x:f>
        <x:v>318816</x:v>
      </x:c>
      <x:c r="AQ295" s="119" t="n">
        <x:f>IF(AN295=0,0,(AN295-IF(5=D295,1,0))*VLOOKUP(INDEX('章节与怪物'!$E$31:$K$37,B295,5),'章节与怪物'!$A$41:$F$44,4,FALSE)+IF(5=D295,'难度参数'!$E$30,0))</x:f>
        <x:v>648</x:v>
      </x:c>
      <x:c r="AR295" s="119" t="n">
        <x:f>IF(6&gt;D295,0,MAX(2,MIN('难度参数'!$E$12,ROUND(('难度参数'!$E$18*POWER(A295,'难度参数'!$E$19)/D295*(0.85+0.3*(6-1)/MAX(1,D295-1))),0)+F295)))</x:f>
        <x:v>38</x:v>
      </x:c>
      <x:c r="AS295" s="119" t="n">
        <x:f>IF(6&gt;D295,0,ROUND(('难度参数'!$E$13*POWER(A295,'难度参数'!$E$20)*MIN('难度参数'!$E$23,1+MAX(0,A295-'难度参数'!$E$21)*'难度参数'!$E$22))*(36+6*7)/(36+7*(D295+1)/2)*E295,0))</x:f>
        <x:v>9730</x:v>
      </x:c>
      <x:c r="AT295" s="119" t="n">
        <x:f>IF(AR295=0,0,(AR295-IF(6=D295,1,0))*ROUND(AS295*VLOOKUP(INDEX('章节与怪物'!$E$31:$K$37,B295,6),'章节与怪物'!$A$41:$F$44,2,FALSE),0)+IF(6=D295,ROUND(AS295*'难度参数'!$E$28*'章节与怪物'!$E$17,0),0))</x:f>
        <x:v>628558</x:v>
      </x:c>
      <x:c r="AU295" s="119" t="n">
        <x:f>IF(AR295=0,0,(AR295-IF(6=D295,1,0))*VLOOKUP(INDEX('章节与怪物'!$E$31:$K$37,B295,6),'章节与怪物'!$A$41:$F$44,4,FALSE)+IF(6=D295,'难度参数'!$E$30,0))</x:f>
        <x:v>1064</x:v>
      </x:c>
      <x:c r="AV295" s="119" t="n">
        <x:f>IF(7&gt;D295,0,MAX(2,MIN('难度参数'!$E$12,ROUND(('难度参数'!$E$18*POWER(A295,'难度参数'!$E$19)/D295*(0.85+0.3*(7-1)/MAX(1,D295-1))),0)+F295)))</x:f>
        <x:v>39</x:v>
      </x:c>
      <x:c r="AW295" s="119" t="n">
        <x:f>IF(7&gt;D295,0,ROUND(('难度参数'!$E$13*POWER(A295,'难度参数'!$E$20)*MIN('难度参数'!$E$23,1+MAX(0,A295-'难度参数'!$E$21)*'难度参数'!$E$22))*(36+7*7)/(36+7*(D295+1)/2)*E295,0))</x:f>
        <x:v>10603</x:v>
      </x:c>
      <x:c r="AX295" s="119" t="n">
        <x:f>IF(AV295=0,0,(AV295-IF(7=D295,1,0))*ROUND(AW295*VLOOKUP(INDEX('章节与怪物'!$E$31:$K$37,B295,7),'章节与怪物'!$A$41:$F$44,2,FALSE),0)+IF(7=D295,ROUND(AW295*'难度参数'!$E$28*'章节与怪物'!$E$17,0),0))</x:f>
        <x:v>616032</x:v>
      </x:c>
      <x:c r="AY295" s="119" t="n">
        <x:f>IF(AV295=0,0,(AV295-IF(7=D295,1,0))*VLOOKUP(INDEX('章节与怪物'!$E$31:$K$37,B295,7),'章节与怪物'!$A$41:$F$44,4,FALSE)+IF(7=D295,'难度参数'!$E$30,0))</x:f>
        <x:v>1492</x:v>
      </x:c>
    </x:row>
    <x:row r="296" ht="23" customHeight="1">
      <x:c r="A296" s="119" t="n">
        <x:v>290</x:v>
      </x:c>
      <x:c r="B296" s="119" t="n">
        <x:f>MOD(INT((A296-1)/5),7)+1</x:f>
        <x:v>2</x:v>
      </x:c>
      <x:c r="C296" s="62" t="str">
        <x:f>INDEX('章节与怪物'!$B$31:$B$37,B296)</x:f>
        <x:v>黄沙要塞</x:v>
      </x:c>
      <x:c r="D296" s="119" t="n">
        <x:f>MIN('难度参数'!$E$8,MAX('难度参数'!$E$7,A296))</x:f>
        <x:v>7</x:v>
      </x:c>
      <x:c r="E296" s="106" t="n">
        <x:v>1</x:v>
      </x:c>
      <x:c r="F296" s="106" t="n">
        <x:v>0</x:v>
      </x:c>
      <x:c r="G296" s="106" t="n">
        <x:v>1</x:v>
      </x:c>
      <x:c r="H296" s="119" t="n">
        <x:f>SUM(X296,AB296,AF296,AJ296,AN296,AR296,AV296)</x:f>
        <x:v>240</x:v>
      </x:c>
      <x:c r="I296" s="119" t="n">
        <x:f>SUM(Z296,AD296,AH296,AL296,AP296,AT296,AX296)</x:f>
        <x:v>2640564</x:v>
      </x:c>
      <x:c r="J296" s="119" t="n">
        <x:f>ROUND(INDEX(X296:AY296,1,(D296-1)*4+2)*'难度参数'!$E$28*'章节与怪物'!$E$17,0)</x:f>
        <x:v>72277</x:v>
      </x:c>
      <x:c r="K296" s="119" t="n">
        <x:f>SUM(AA296,AE296,AI296,AM296,AQ296,AU296,AY296)</x:f>
        <x:v>6422</x:v>
      </x:c>
      <x:c r="L296" s="62" t="n">
        <x:f>H296*(ROUNDUP('难度参数'!$E$24/('难度参数'!$E$26*'难度参数'!$E$27),0)*'难度参数'!$E$26)/60</x:f>
        <x:v>3.2</x:v>
      </x:c>
      <x:c r="M296" s="62" t="n">
        <x:f>L296+D296*('难度参数'!$E$49+'难度参数'!$E$50)/60</x:f>
        <x:v>4.366666666666667</x:v>
      </x:c>
      <x:c r="N296" s="119" t="n">
        <x:f>ROUNDDOWN(('经济参数'!$E$20+A296*'经济参数'!$E$21)*G296,0)</x:f>
        <x:v>5980</x:v>
      </x:c>
      <x:c r="O296" s="119" t="n">
        <x:f>ROUNDDOWN(MIN('经济参数'!$E$24,'经济参数'!$E$22+A296*'经济参数'!$E$23)*G296,0)</x:f>
        <x:v>0</x:v>
      </x:c>
      <x:c r="P296" s="119" t="n">
        <x:f>ROUNDDOWN((IF(A296&gt;='材料与任务'!$E$31,'材料与任务'!$E$32,IF(A296&gt;='材料与任务'!$E$25,'材料与任务'!$E$26,IF(A296&gt;='材料与任务'!$E$19,'材料与任务'!$E$20,IF(A296&gt;='材料与任务'!$E$13,'材料与任务'!$E$14,'材料与任务'!$E$8)))))*G296,0)</x:f>
        <x:v>6</x:v>
      </x:c>
      <x:c r="Q296" s="119" t="n">
        <x:f>ROUNDDOWN((IF(A296&gt;='材料与任务'!$E$31,'材料与任务'!$E$33,IF(A296&gt;='材料与任务'!$E$25,'材料与任务'!$E$27,IF(A296&gt;='材料与任务'!$E$19,'材料与任务'!$E$21,IF(A296&gt;='材料与任务'!$E$13,'材料与任务'!$E$15,'材料与任务'!$E$9)))))*G296,0)</x:f>
        <x:v>3</x:v>
      </x:c>
      <x:c r="R296" s="110" t="n">
        <x:f>'装备掉落'!$B$38</x:f>
        <x:v>0.6872058758851213</x:v>
      </x:c>
      <x:c r="S296" s="119" t="n">
        <x:f>MAX(IF(VLOOKUP(A296,'装备掉落'!$A$29:$H$34,2,TRUE)&gt;0,1,0),IF(VLOOKUP(A296,'装备掉落'!$A$29:$H$34,3,TRUE)&gt;0,2,0),IF(VLOOKUP(A296,'装备掉落'!$A$29:$H$34,4,TRUE)&gt;0,3,0),IF(VLOOKUP(A296,'装备掉落'!$A$29:$H$34,5,TRUE)&gt;0,4,0),IF(VLOOKUP(A296,'装备掉落'!$A$29:$H$34,6,TRUE)&gt;0,5,0),IF(VLOOKUP(A296,'装备掉落'!$A$29:$H$34,7,TRUE)&gt;0,6,0),IF(VLOOKUP(A296,'装备掉落'!$A$29:$H$34,8,TRUE)&gt;0,7,0))</x:f>
        <x:v>7</x:v>
      </x:c>
      <x:c r="T296" s="119" t="n">
        <x:f>MIN(7,S296+'经济参数'!$E$70)</x:f>
        <x:v>7</x:v>
      </x:c>
      <x:c r="U296" s="119" t="n">
        <x:f>MIN(7,S296+'经济参数'!$E$71)</x:f>
        <x:v>7</x:v>
      </x:c>
      <x:c r="V296" s="119" t="n">
        <x:f>IF(H296&gt;=('难度参数'!$E$52),1,0)+IF(H296&gt;=('难度参数'!$E$52+'难度参数'!$E$53),1,0)+IF(H296&gt;=('难度参数'!$E$52+'难度参数'!$E$53+'难度参数'!$E$54),1,0)+IF(H296&gt;=('难度参数'!$E$52+'难度参数'!$E$53+'难度参数'!$E$54+'难度参数'!$E$55),1,0)+IF(H296&gt;=('难度参数'!$E$52+'难度参数'!$E$53+'难度参数'!$E$54+'难度参数'!$E$55+'难度参数'!$E$56),1,0)+IF(H296&gt;=('难度参数'!$E$52+'难度参数'!$E$53+'难度参数'!$E$54+'难度参数'!$E$55+'难度参数'!$E$56+'难度参数'!$E$57),1,0)</x:f>
        <x:v>6</x:v>
      </x:c>
      <x:c r="W296" s="62" t="str">
        <x:f>IF(L296&gt;'难度参数'!$E$51,"仅出怪已超目标","还需实测")</x:f>
        <x:v>仅出怪已超目标</x:v>
      </x:c>
      <x:c r="X296" s="119" t="n">
        <x:f>IF(1&gt;D296,0,MAX(2,MIN('难度参数'!$E$12,ROUND(('难度参数'!$E$18*POWER(A296,'难度参数'!$E$19)/D296*(0.85+0.3*(1-1)/MAX(1,D296-1))),0)+F296)))</x:f>
        <x:v>29</x:v>
      </x:c>
      <x:c r="Y296" s="119" t="n">
        <x:f>IF(1&gt;D296,0,ROUND(('难度参数'!$E$13*POWER(A296,'难度参数'!$E$20)*MIN('难度参数'!$E$23,1+MAX(0,A296-'难度参数'!$E$21)*'难度参数'!$E$22))*(36+1*7)/(36+7*(D296+1)/2)*E296,0))</x:f>
        <x:v>5377</x:v>
      </x:c>
      <x:c r="Z296" s="119" t="n">
        <x:f>IF(X296=0,0,(X296-IF(1=D296,1,0))*ROUND(Y296*VLOOKUP(INDEX('章节与怪物'!$E$31:$K$37,B296,1),'章节与怪物'!$A$41:$F$44,2,FALSE),0)+IF(1=D296,ROUND(Y296*'难度参数'!$E$28*'章节与怪物'!$E$17,0),0))</x:f>
        <x:v>112259</x:v>
      </x:c>
      <x:c r="AA296" s="119" t="n">
        <x:f>IF(X296=0,0,(X296-IF(1=D296,1,0))*VLOOKUP(INDEX('章节与怪物'!$E$31:$K$37,B296,1),'章节与怪物'!$A$41:$F$44,4,FALSE)+IF(1=D296,'难度参数'!$E$30,0))</x:f>
        <x:v>580</x:v>
      </x:c>
      <x:c r="AB296" s="119" t="n">
        <x:f>IF(2&gt;D296,0,MAX(2,MIN('难度参数'!$E$12,ROUND(('难度参数'!$E$18*POWER(A296,'难度参数'!$E$19)/D296*(0.85+0.3*(2-1)/MAX(1,D296-1))),0)+F296)))</x:f>
        <x:v>31</x:v>
      </x:c>
      <x:c r="AC296" s="119" t="n">
        <x:f>IF(2&gt;D296,0,ROUND(('难度参数'!$E$13*POWER(A296,'难度参数'!$E$20)*MIN('难度参数'!$E$23,1+MAX(0,A296-'难度参数'!$E$21)*'难度参数'!$E$22))*(36+2*7)/(36+7*(D296+1)/2)*E296,0))</x:f>
        <x:v>6252</x:v>
      </x:c>
      <x:c r="AD296" s="119" t="n">
        <x:f>IF(AB296=0,0,(AB296-IF(2=D296,1,0))*ROUND(AC296*VLOOKUP(INDEX('章节与怪物'!$E$31:$K$37,B296,2),'章节与怪物'!$A$41:$F$44,2,FALSE),0)+IF(2=D296,ROUND(AC296*'难度参数'!$E$28*'章节与怪物'!$E$17,0),0))</x:f>
        <x:v>193812</x:v>
      </x:c>
      <x:c r="AE296" s="119" t="n">
        <x:f>IF(AB296=0,0,(AB296-IF(2=D296,1,0))*VLOOKUP(INDEX('章节与怪物'!$E$31:$K$37,B296,2),'章节与怪物'!$A$41:$F$44,4,FALSE)+IF(2=D296,'难度参数'!$E$30,0))</x:f>
        <x:v>558</x:v>
      </x:c>
      <x:c r="AF296" s="119" t="n">
        <x:f>IF(3&gt;D296,0,MAX(2,MIN('难度参数'!$E$12,ROUND(('难度参数'!$E$18*POWER(A296,'难度参数'!$E$19)/D296*(0.85+0.3*(3-1)/MAX(1,D296-1))),0)+F296)))</x:f>
        <x:v>33</x:v>
      </x:c>
      <x:c r="AG296" s="119" t="n">
        <x:f>IF(3&gt;D296,0,ROUND(('难度参数'!$E$13*POWER(A296,'难度参数'!$E$20)*MIN('难度参数'!$E$23,1+MAX(0,A296-'难度参数'!$E$21)*'难度参数'!$E$22))*(36+3*7)/(36+7*(D296+1)/2)*E296,0))</x:f>
        <x:v>7128</x:v>
      </x:c>
      <x:c r="AH296" s="119" t="n">
        <x:f>IF(AF296=0,0,(AF296-IF(3=D296,1,0))*ROUND(AG296*VLOOKUP(INDEX('章节与怪物'!$E$31:$K$37,B296,3),'章节与怪物'!$A$41:$F$44,2,FALSE),0)+IF(3=D296,ROUND(AG296*'难度参数'!$E$28*'章节与怪物'!$E$17,0),0))</x:f>
        <x:v>399894</x:v>
      </x:c>
      <x:c r="AI296" s="119" t="n">
        <x:f>IF(AF296=0,0,(AF296-IF(3=D296,1,0))*VLOOKUP(INDEX('章节与怪物'!$E$31:$K$37,B296,3),'章节与怪物'!$A$41:$F$44,4,FALSE)+IF(3=D296,'难度参数'!$E$30,0))</x:f>
        <x:v>924</x:v>
      </x:c>
      <x:c r="AJ296" s="119" t="n">
        <x:f>IF(4&gt;D296,0,MAX(2,MIN('难度参数'!$E$12,ROUND(('难度参数'!$E$18*POWER(A296,'难度参数'!$E$19)/D296*(0.85+0.3*(4-1)/MAX(1,D296-1))),0)+F296)))</x:f>
        <x:v>34</x:v>
      </x:c>
      <x:c r="AK296" s="119" t="n">
        <x:f>IF(4&gt;D296,0,ROUND(('难度参数'!$E$13*POWER(A296,'难度参数'!$E$20)*MIN('难度参数'!$E$23,1+MAX(0,A296-'难度参数'!$E$21)*'难度参数'!$E$22))*(36+4*7)/(36+7*(D296+1)/2)*E296,0))</x:f>
        <x:v>8003</x:v>
      </x:c>
      <x:c r="AL296" s="119" t="n">
        <x:f>IF(AJ296=0,0,(AJ296-IF(4=D296,1,0))*ROUND(AK296*VLOOKUP(INDEX('章节与怪物'!$E$31:$K$37,B296,4),'章节与怪物'!$A$41:$F$44,2,FALSE),0)+IF(4=D296,ROUND(AK296*'难度参数'!$E$28*'章节与怪物'!$E$17,0),0))</x:f>
        <x:v>367336</x:v>
      </x:c>
      <x:c r="AM296" s="119" t="n">
        <x:f>IF(AJ296=0,0,(AJ296-IF(4=D296,1,0))*VLOOKUP(INDEX('章节与怪物'!$E$31:$K$37,B296,4),'章节与怪物'!$A$41:$F$44,4,FALSE)+IF(4=D296,'难度参数'!$E$30,0))</x:f>
        <x:v>1156</x:v>
      </x:c>
      <x:c r="AN296" s="119" t="n">
        <x:f>IF(5&gt;D296,0,MAX(2,MIN('难度参数'!$E$12,ROUND(('难度参数'!$E$18*POWER(A296,'难度参数'!$E$19)/D296*(0.85+0.3*(5-1)/MAX(1,D296-1))),0)+F296)))</x:f>
        <x:v>36</x:v>
      </x:c>
      <x:c r="AO296" s="119" t="n">
        <x:f>IF(5&gt;D296,0,ROUND(('难度参数'!$E$13*POWER(A296,'难度参数'!$E$20)*MIN('难度参数'!$E$23,1+MAX(0,A296-'难度参数'!$E$21)*'难度参数'!$E$22))*(36+5*7)/(36+7*(D296+1)/2)*E296,0))</x:f>
        <x:v>8878</x:v>
      </x:c>
      <x:c r="AP296" s="119" t="n">
        <x:f>IF(AN296=0,0,(AN296-IF(5=D296,1,0))*ROUND(AO296*VLOOKUP(INDEX('章节与怪物'!$E$31:$K$37,B296,5),'章节与怪物'!$A$41:$F$44,2,FALSE),0)+IF(5=D296,ROUND(AO296*'难度参数'!$E$28*'章节与怪物'!$E$17,0),0))</x:f>
        <x:v>319608</x:v>
      </x:c>
      <x:c r="AQ296" s="119" t="n">
        <x:f>IF(AN296=0,0,(AN296-IF(5=D296,1,0))*VLOOKUP(INDEX('章节与怪物'!$E$31:$K$37,B296,5),'章节与怪物'!$A$41:$F$44,4,FALSE)+IF(5=D296,'难度参数'!$E$30,0))</x:f>
        <x:v>648</x:v>
      </x:c>
      <x:c r="AR296" s="119" t="n">
        <x:f>IF(6&gt;D296,0,MAX(2,MIN('难度参数'!$E$12,ROUND(('难度参数'!$E$18*POWER(A296,'难度参数'!$E$19)/D296*(0.85+0.3*(6-1)/MAX(1,D296-1))),0)+F296)))</x:f>
        <x:v>38</x:v>
      </x:c>
      <x:c r="AS296" s="119" t="n">
        <x:f>IF(6&gt;D296,0,ROUND(('难度参数'!$E$13*POWER(A296,'难度参数'!$E$20)*MIN('难度参数'!$E$23,1+MAX(0,A296-'难度参数'!$E$21)*'难度参数'!$E$22))*(36+6*7)/(36+7*(D296+1)/2)*E296,0))</x:f>
        <x:v>9754</x:v>
      </x:c>
      <x:c r="AT296" s="119" t="n">
        <x:f>IF(AR296=0,0,(AR296-IF(6=D296,1,0))*ROUND(AS296*VLOOKUP(INDEX('章节与怪物'!$E$31:$K$37,B296,6),'章节与怪物'!$A$41:$F$44,2,FALSE),0)+IF(6=D296,ROUND(AS296*'难度参数'!$E$28*'章节与怪物'!$E$17,0),0))</x:f>
        <x:v>630116</x:v>
      </x:c>
      <x:c r="AU296" s="119" t="n">
        <x:f>IF(AR296=0,0,(AR296-IF(6=D296,1,0))*VLOOKUP(INDEX('章节与怪物'!$E$31:$K$37,B296,6),'章节与怪物'!$A$41:$F$44,4,FALSE)+IF(6=D296,'难度参数'!$E$30,0))</x:f>
        <x:v>1064</x:v>
      </x:c>
      <x:c r="AV296" s="119" t="n">
        <x:f>IF(7&gt;D296,0,MAX(2,MIN('难度参数'!$E$12,ROUND(('难度参数'!$E$18*POWER(A296,'难度参数'!$E$19)/D296*(0.85+0.3*(7-1)/MAX(1,D296-1))),0)+F296)))</x:f>
        <x:v>39</x:v>
      </x:c>
      <x:c r="AW296" s="119" t="n">
        <x:f>IF(7&gt;D296,0,ROUND(('难度参数'!$E$13*POWER(A296,'难度参数'!$E$20)*MIN('难度参数'!$E$23,1+MAX(0,A296-'难度参数'!$E$21)*'难度参数'!$E$22))*(36+7*7)/(36+7*(D296+1)/2)*E296,0))</x:f>
        <x:v>10629</x:v>
      </x:c>
      <x:c r="AX296" s="119" t="n">
        <x:f>IF(AV296=0,0,(AV296-IF(7=D296,1,0))*ROUND(AW296*VLOOKUP(INDEX('章节与怪物'!$E$31:$K$37,B296,7),'章节与怪物'!$A$41:$F$44,2,FALSE),0)+IF(7=D296,ROUND(AW296*'难度参数'!$E$28*'章节与怪物'!$E$17,0),0))</x:f>
        <x:v>617539</x:v>
      </x:c>
      <x:c r="AY296" s="119" t="n">
        <x:f>IF(AV296=0,0,(AV296-IF(7=D296,1,0))*VLOOKUP(INDEX('章节与怪物'!$E$31:$K$37,B296,7),'章节与怪物'!$A$41:$F$44,4,FALSE)+IF(7=D296,'难度参数'!$E$30,0))</x:f>
        <x:v>1492</x:v>
      </x:c>
    </x:row>
    <x:row r="297" ht="23" customHeight="1">
      <x:c r="A297" s="119" t="n">
        <x:v>291</x:v>
      </x:c>
      <x:c r="B297" s="119" t="n">
        <x:f>MOD(INT((A297-1)/5),7)+1</x:f>
        <x:v>3</x:v>
      </x:c>
      <x:c r="C297" s="62" t="str">
        <x:f>INDEX('章节与怪物'!$B$31:$B$37,B297)</x:f>
        <x:v>腐沼秘林</x:v>
      </x:c>
      <x:c r="D297" s="119" t="n">
        <x:f>MIN('难度参数'!$E$8,MAX('难度参数'!$E$7,A297))</x:f>
        <x:v>7</x:v>
      </x:c>
      <x:c r="E297" s="106" t="n">
        <x:v>1</x:v>
      </x:c>
      <x:c r="F297" s="106" t="n">
        <x:v>0</x:v>
      </x:c>
      <x:c r="G297" s="106" t="n">
        <x:v>1</x:v>
      </x:c>
      <x:c r="H297" s="119" t="n">
        <x:f>SUM(X297,AB297,AF297,AJ297,AN297,AR297,AV297)</x:f>
        <x:v>240</x:v>
      </x:c>
      <x:c r="I297" s="119" t="n">
        <x:f>SUM(Z297,AD297,AH297,AL297,AP297,AT297,AX297)</x:f>
        <x:v>2546845</x:v>
      </x:c>
      <x:c r="J297" s="119" t="n">
        <x:f>ROUND(INDEX(X297:AY297,1,(D297-1)*4+2)*'难度参数'!$E$28*'章节与怪物'!$E$17,0)</x:f>
        <x:v>72461</x:v>
      </x:c>
      <x:c r="K297" s="119" t="n">
        <x:f>SUM(AA297,AE297,AI297,AM297,AQ297,AU297,AY297)</x:f>
        <x:v>6498</x:v>
      </x:c>
      <x:c r="L297" s="62" t="n">
        <x:f>H297*(ROUNDUP('难度参数'!$E$24/('难度参数'!$E$26*'难度参数'!$E$27),0)*'难度参数'!$E$26)/60</x:f>
        <x:v>3.2</x:v>
      </x:c>
      <x:c r="M297" s="62" t="n">
        <x:f>L297+D297*('难度参数'!$E$49+'难度参数'!$E$50)/60</x:f>
        <x:v>4.366666666666667</x:v>
      </x:c>
      <x:c r="N297" s="119" t="n">
        <x:f>ROUNDDOWN(('经济参数'!$E$20+A297*'经济参数'!$E$21)*G297,0)</x:f>
        <x:v>6000</x:v>
      </x:c>
      <x:c r="O297" s="119" t="n">
        <x:f>ROUNDDOWN(MIN('经济参数'!$E$24,'经济参数'!$E$22+A297*'经济参数'!$E$23)*G297,0)</x:f>
        <x:v>0</x:v>
      </x:c>
      <x:c r="P297" s="119" t="n">
        <x:f>ROUNDDOWN((IF(A297&gt;='材料与任务'!$E$31,'材料与任务'!$E$32,IF(A297&gt;='材料与任务'!$E$25,'材料与任务'!$E$26,IF(A297&gt;='材料与任务'!$E$19,'材料与任务'!$E$20,IF(A297&gt;='材料与任务'!$E$13,'材料与任务'!$E$14,'材料与任务'!$E$8)))))*G297,0)</x:f>
        <x:v>6</x:v>
      </x:c>
      <x:c r="Q297" s="119" t="n">
        <x:f>ROUNDDOWN((IF(A297&gt;='材料与任务'!$E$31,'材料与任务'!$E$33,IF(A297&gt;='材料与任务'!$E$25,'材料与任务'!$E$27,IF(A297&gt;='材料与任务'!$E$19,'材料与任务'!$E$21,IF(A297&gt;='材料与任务'!$E$13,'材料与任务'!$E$15,'材料与任务'!$E$9)))))*G297,0)</x:f>
        <x:v>3</x:v>
      </x:c>
      <x:c r="R297" s="110" t="n">
        <x:f>'装备掉落'!$B$38</x:f>
        <x:v>0.6872058758851213</x:v>
      </x:c>
      <x:c r="S297" s="119" t="n">
        <x:f>MAX(IF(VLOOKUP(A297,'装备掉落'!$A$29:$H$34,2,TRUE)&gt;0,1,0),IF(VLOOKUP(A297,'装备掉落'!$A$29:$H$34,3,TRUE)&gt;0,2,0),IF(VLOOKUP(A297,'装备掉落'!$A$29:$H$34,4,TRUE)&gt;0,3,0),IF(VLOOKUP(A297,'装备掉落'!$A$29:$H$34,5,TRUE)&gt;0,4,0),IF(VLOOKUP(A297,'装备掉落'!$A$29:$H$34,6,TRUE)&gt;0,5,0),IF(VLOOKUP(A297,'装备掉落'!$A$29:$H$34,7,TRUE)&gt;0,6,0),IF(VLOOKUP(A297,'装备掉落'!$A$29:$H$34,8,TRUE)&gt;0,7,0))</x:f>
        <x:v>7</x:v>
      </x:c>
      <x:c r="T297" s="119" t="n">
        <x:f>MIN(7,S297+'经济参数'!$E$70)</x:f>
        <x:v>7</x:v>
      </x:c>
      <x:c r="U297" s="119" t="n">
        <x:f>MIN(7,S297+'经济参数'!$E$71)</x:f>
        <x:v>7</x:v>
      </x:c>
      <x:c r="V297" s="119" t="n">
        <x:f>IF(H297&gt;=('难度参数'!$E$52),1,0)+IF(H297&gt;=('难度参数'!$E$52+'难度参数'!$E$53),1,0)+IF(H297&gt;=('难度参数'!$E$52+'难度参数'!$E$53+'难度参数'!$E$54),1,0)+IF(H297&gt;=('难度参数'!$E$52+'难度参数'!$E$53+'难度参数'!$E$54+'难度参数'!$E$55),1,0)+IF(H297&gt;=('难度参数'!$E$52+'难度参数'!$E$53+'难度参数'!$E$54+'难度参数'!$E$55+'难度参数'!$E$56),1,0)+IF(H297&gt;=('难度参数'!$E$52+'难度参数'!$E$53+'难度参数'!$E$54+'难度参数'!$E$55+'难度参数'!$E$56+'难度参数'!$E$57),1,0)</x:f>
        <x:v>6</x:v>
      </x:c>
      <x:c r="W297" s="62" t="str">
        <x:f>IF(L297&gt;'难度参数'!$E$51,"仅出怪已超目标","还需实测")</x:f>
        <x:v>仅出怪已超目标</x:v>
      </x:c>
      <x:c r="X297" s="119" t="n">
        <x:f>IF(1&gt;D297,0,MAX(2,MIN('难度参数'!$E$12,ROUND(('难度参数'!$E$18*POWER(A297,'难度参数'!$E$19)/D297*(0.85+0.3*(1-1)/MAX(1,D297-1))),0)+F297)))</x:f>
        <x:v>29</x:v>
      </x:c>
      <x:c r="Y297" s="119" t="n">
        <x:f>IF(1&gt;D297,0,ROUND(('难度参数'!$E$13*POWER(A297,'难度参数'!$E$20)*MIN('难度参数'!$E$23,1+MAX(0,A297-'难度参数'!$E$21)*'难度参数'!$E$22))*(36+1*7)/(36+7*(D297+1)/2)*E297,0))</x:f>
        <x:v>5390</x:v>
      </x:c>
      <x:c r="Z297" s="119" t="n">
        <x:f>IF(X297=0,0,(X297-IF(1=D297,1,0))*ROUND(Y297*VLOOKUP(INDEX('章节与怪物'!$E$31:$K$37,B297,1),'章节与怪物'!$A$41:$F$44,2,FALSE),0)+IF(1=D297,ROUND(Y297*'难度参数'!$E$28*'章节与怪物'!$E$17,0),0))</x:f>
        <x:v>156310</x:v>
      </x:c>
      <x:c r="AA297" s="119" t="n">
        <x:f>IF(X297=0,0,(X297-IF(1=D297,1,0))*VLOOKUP(INDEX('章节与怪物'!$E$31:$K$37,B297,1),'章节与怪物'!$A$41:$F$44,4,FALSE)+IF(1=D297,'难度参数'!$E$30,0))</x:f>
        <x:v>522</x:v>
      </x:c>
      <x:c r="AB297" s="119" t="n">
        <x:f>IF(2&gt;D297,0,MAX(2,MIN('难度参数'!$E$12,ROUND(('难度参数'!$E$18*POWER(A297,'难度参数'!$E$19)/D297*(0.85+0.3*(2-1)/MAX(1,D297-1))),0)+F297)))</x:f>
        <x:v>31</x:v>
      </x:c>
      <x:c r="AC297" s="119" t="n">
        <x:f>IF(2&gt;D297,0,ROUND(('难度参数'!$E$13*POWER(A297,'难度参数'!$E$20)*MIN('难度参数'!$E$23,1+MAX(0,A297-'难度参数'!$E$21)*'难度参数'!$E$22))*(36+2*7)/(36+7*(D297+1)/2)*E297,0))</x:f>
        <x:v>6268</x:v>
      </x:c>
      <x:c r="AD297" s="119" t="n">
        <x:f>IF(AB297=0,0,(AB297-IF(2=D297,1,0))*ROUND(AC297*VLOOKUP(INDEX('章节与怪物'!$E$31:$K$37,B297,2),'章节与怪物'!$A$41:$F$44,2,FALSE),0)+IF(2=D297,ROUND(AC297*'难度参数'!$E$28*'章节与怪物'!$E$17,0),0))</x:f>
        <x:v>139903</x:v>
      </x:c>
      <x:c r="AE297" s="119" t="n">
        <x:f>IF(AB297=0,0,(AB297-IF(2=D297,1,0))*VLOOKUP(INDEX('章节与怪物'!$E$31:$K$37,B297,2),'章节与怪物'!$A$41:$F$44,4,FALSE)+IF(2=D297,'难度参数'!$E$30,0))</x:f>
        <x:v>620</x:v>
      </x:c>
      <x:c r="AF297" s="119" t="n">
        <x:f>IF(3&gt;D297,0,MAX(2,MIN('难度参数'!$E$12,ROUND(('难度参数'!$E$18*POWER(A297,'难度参数'!$E$19)/D297*(0.85+0.3*(3-1)/MAX(1,D297-1))),0)+F297)))</x:f>
        <x:v>33</x:v>
      </x:c>
      <x:c r="AG297" s="119" t="n">
        <x:f>IF(3&gt;D297,0,ROUND(('难度参数'!$E$13*POWER(A297,'难度参数'!$E$20)*MIN('难度参数'!$E$23,1+MAX(0,A297-'难度参数'!$E$21)*'难度参数'!$E$22))*(36+3*7)/(36+7*(D297+1)/2)*E297,0))</x:f>
        <x:v>7145</x:v>
      </x:c>
      <x:c r="AH297" s="119" t="n">
        <x:f>IF(AF297=0,0,(AF297-IF(3=D297,1,0))*ROUND(AG297*VLOOKUP(INDEX('章节与怪物'!$E$31:$K$37,B297,3),'章节与怪物'!$A$41:$F$44,2,FALSE),0)+IF(3=D297,ROUND(AG297*'难度参数'!$E$28*'章节与怪物'!$E$17,0),0))</x:f>
        <x:v>400851</x:v>
      </x:c>
      <x:c r="AI297" s="119" t="n">
        <x:f>IF(AF297=0,0,(AF297-IF(3=D297,1,0))*VLOOKUP(INDEX('章节与怪物'!$E$31:$K$37,B297,3),'章节与怪物'!$A$41:$F$44,4,FALSE)+IF(3=D297,'难度参数'!$E$30,0))</x:f>
        <x:v>924</x:v>
      </x:c>
      <x:c r="AJ297" s="119" t="n">
        <x:f>IF(4&gt;D297,0,MAX(2,MIN('难度参数'!$E$12,ROUND(('难度参数'!$E$18*POWER(A297,'难度参数'!$E$19)/D297*(0.85+0.3*(4-1)/MAX(1,D297-1))),0)+F297)))</x:f>
        <x:v>34</x:v>
      </x:c>
      <x:c r="AK297" s="119" t="n">
        <x:f>IF(4&gt;D297,0,ROUND(('难度参数'!$E$13*POWER(A297,'难度参数'!$E$20)*MIN('难度参数'!$E$23,1+MAX(0,A297-'难度参数'!$E$21)*'难度参数'!$E$22))*(36+4*7)/(36+7*(D297+1)/2)*E297,0))</x:f>
        <x:v>8023</x:v>
      </x:c>
      <x:c r="AL297" s="119" t="n">
        <x:f>IF(AJ297=0,0,(AJ297-IF(4=D297,1,0))*ROUND(AK297*VLOOKUP(INDEX('章节与怪物'!$E$31:$K$37,B297,4),'章节与怪物'!$A$41:$F$44,2,FALSE),0)+IF(4=D297,ROUND(AK297*'难度参数'!$E$28*'章节与怪物'!$E$17,0),0))</x:f>
        <x:v>368254</x:v>
      </x:c>
      <x:c r="AM297" s="119" t="n">
        <x:f>IF(AJ297=0,0,(AJ297-IF(4=D297,1,0))*VLOOKUP(INDEX('章节与怪物'!$E$31:$K$37,B297,4),'章节与怪物'!$A$41:$F$44,4,FALSE)+IF(4=D297,'难度参数'!$E$30,0))</x:f>
        <x:v>1156</x:v>
      </x:c>
      <x:c r="AN297" s="119" t="n">
        <x:f>IF(5&gt;D297,0,MAX(2,MIN('难度参数'!$E$12,ROUND(('难度参数'!$E$18*POWER(A297,'难度参数'!$E$19)/D297*(0.85+0.3*(5-1)/MAX(1,D297-1))),0)+F297)))</x:f>
        <x:v>36</x:v>
      </x:c>
      <x:c r="AO297" s="119" t="n">
        <x:f>IF(5&gt;D297,0,ROUND(('难度参数'!$E$13*POWER(A297,'难度参数'!$E$20)*MIN('难度参数'!$E$23,1+MAX(0,A297-'难度参数'!$E$21)*'难度参数'!$E$22))*(36+5*7)/(36+7*(D297+1)/2)*E297,0))</x:f>
        <x:v>8901</x:v>
      </x:c>
      <x:c r="AP297" s="119" t="n">
        <x:f>IF(AN297=0,0,(AN297-IF(5=D297,1,0))*ROUND(AO297*VLOOKUP(INDEX('章节与怪物'!$E$31:$K$37,B297,5),'章节与怪物'!$A$41:$F$44,2,FALSE),0)+IF(5=D297,ROUND(AO297*'难度参数'!$E$28*'章节与怪物'!$E$17,0),0))</x:f>
        <x:v>230724</x:v>
      </x:c>
      <x:c r="AQ297" s="119" t="n">
        <x:f>IF(AN297=0,0,(AN297-IF(5=D297,1,0))*VLOOKUP(INDEX('章节与怪物'!$E$31:$K$37,B297,5),'章节与怪物'!$A$41:$F$44,4,FALSE)+IF(5=D297,'难度参数'!$E$30,0))</x:f>
        <x:v>720</x:v>
      </x:c>
      <x:c r="AR297" s="119" t="n">
        <x:f>IF(6&gt;D297,0,MAX(2,MIN('难度参数'!$E$12,ROUND(('难度参数'!$E$18*POWER(A297,'难度参数'!$E$19)/D297*(0.85+0.3*(6-1)/MAX(1,D297-1))),0)+F297)))</x:f>
        <x:v>38</x:v>
      </x:c>
      <x:c r="AS297" s="119" t="n">
        <x:f>IF(6&gt;D297,0,ROUND(('难度参数'!$E$13*POWER(A297,'难度参数'!$E$20)*MIN('难度参数'!$E$23,1+MAX(0,A297-'难度参数'!$E$21)*'难度参数'!$E$22))*(36+6*7)/(36+7*(D297+1)/2)*E297,0))</x:f>
        <x:v>9778</x:v>
      </x:c>
      <x:c r="AT297" s="119" t="n">
        <x:f>IF(AR297=0,0,(AR297-IF(6=D297,1,0))*ROUND(AS297*VLOOKUP(INDEX('章节与怪物'!$E$31:$K$37,B297,6),'章节与怪物'!$A$41:$F$44,2,FALSE),0)+IF(6=D297,ROUND(AS297*'难度参数'!$E$28*'章节与怪物'!$E$17,0),0))</x:f>
        <x:v>631674</x:v>
      </x:c>
      <x:c r="AU297" s="119" t="n">
        <x:f>IF(AR297=0,0,(AR297-IF(6=D297,1,0))*VLOOKUP(INDEX('章节与怪物'!$E$31:$K$37,B297,6),'章节与怪物'!$A$41:$F$44,4,FALSE)+IF(6=D297,'难度参数'!$E$30,0))</x:f>
        <x:v>1064</x:v>
      </x:c>
      <x:c r="AV297" s="119" t="n">
        <x:f>IF(7&gt;D297,0,MAX(2,MIN('难度参数'!$E$12,ROUND(('难度参数'!$E$18*POWER(A297,'难度参数'!$E$19)/D297*(0.85+0.3*(7-1)/MAX(1,D297-1))),0)+F297)))</x:f>
        <x:v>39</x:v>
      </x:c>
      <x:c r="AW297" s="119" t="n">
        <x:f>IF(7&gt;D297,0,ROUND(('难度参数'!$E$13*POWER(A297,'难度参数'!$E$20)*MIN('难度参数'!$E$23,1+MAX(0,A297-'难度参数'!$E$21)*'难度参数'!$E$22))*(36+7*7)/(36+7*(D297+1)/2)*E297,0))</x:f>
        <x:v>10656</x:v>
      </x:c>
      <x:c r="AX297" s="119" t="n">
        <x:f>IF(AV297=0,0,(AV297-IF(7=D297,1,0))*ROUND(AW297*VLOOKUP(INDEX('章节与怪物'!$E$31:$K$37,B297,7),'章节与怪物'!$A$41:$F$44,2,FALSE),0)+IF(7=D297,ROUND(AW297*'难度参数'!$E$28*'章节与怪物'!$E$17,0),0))</x:f>
        <x:v>619129</x:v>
      </x:c>
      <x:c r="AY297" s="119" t="n">
        <x:f>IF(AV297=0,0,(AV297-IF(7=D297,1,0))*VLOOKUP(INDEX('章节与怪物'!$E$31:$K$37,B297,7),'章节与怪物'!$A$41:$F$44,4,FALSE)+IF(7=D297,'难度参数'!$E$30,0))</x:f>
        <x:v>1492</x:v>
      </x:c>
    </x:row>
    <x:row r="298" ht="23" customHeight="1">
      <x:c r="A298" s="119" t="n">
        <x:v>292</x:v>
      </x:c>
      <x:c r="B298" s="119" t="n">
        <x:f>MOD(INT((A298-1)/5),7)+1</x:f>
        <x:v>3</x:v>
      </x:c>
      <x:c r="C298" s="62" t="str">
        <x:f>INDEX('章节与怪物'!$B$31:$B$37,B298)</x:f>
        <x:v>腐沼秘林</x:v>
      </x:c>
      <x:c r="D298" s="119" t="n">
        <x:f>MIN('难度参数'!$E$8,MAX('难度参数'!$E$7,A298))</x:f>
        <x:v>7</x:v>
      </x:c>
      <x:c r="E298" s="106" t="n">
        <x:v>1</x:v>
      </x:c>
      <x:c r="F298" s="106" t="n">
        <x:v>0</x:v>
      </x:c>
      <x:c r="G298" s="106" t="n">
        <x:v>1</x:v>
      </x:c>
      <x:c r="H298" s="119" t="n">
        <x:f>SUM(X298,AB298,AF298,AJ298,AN298,AR298,AV298)</x:f>
        <x:v>241</x:v>
      </x:c>
      <x:c r="I298" s="119" t="n">
        <x:f>SUM(Z298,AD298,AH298,AL298,AP298,AT298,AX298)</x:f>
        <x:v>2567524</x:v>
      </x:c>
      <x:c r="J298" s="119" t="n">
        <x:f>ROUND(INDEX(X298:AY298,1,(D298-1)*4+2)*'难度参数'!$E$28*'章节与怪物'!$E$17,0)</x:f>
        <x:v>72638</x:v>
      </x:c>
      <x:c r="K298" s="119" t="n">
        <x:f>SUM(AA298,AE298,AI298,AM298,AQ298,AU298,AY298)</x:f>
        <x:v>6532</x:v>
      </x:c>
      <x:c r="L298" s="62" t="n">
        <x:f>H298*(ROUNDUP('难度参数'!$E$24/('难度参数'!$E$26*'难度参数'!$E$27),0)*'难度参数'!$E$26)/60</x:f>
        <x:v>3.2133333333333334</x:v>
      </x:c>
      <x:c r="M298" s="62" t="n">
        <x:f>L298+D298*('难度参数'!$E$49+'难度参数'!$E$50)/60</x:f>
        <x:v>4.38</x:v>
      </x:c>
      <x:c r="N298" s="119" t="n">
        <x:f>ROUNDDOWN(('经济参数'!$E$20+A298*'经济参数'!$E$21)*G298,0)</x:f>
        <x:v>6020</x:v>
      </x:c>
      <x:c r="O298" s="119" t="n">
        <x:f>ROUNDDOWN(MIN('经济参数'!$E$24,'经济参数'!$E$22+A298*'经济参数'!$E$23)*G298,0)</x:f>
        <x:v>0</x:v>
      </x:c>
      <x:c r="P298" s="119" t="n">
        <x:f>ROUNDDOWN((IF(A298&gt;='材料与任务'!$E$31,'材料与任务'!$E$32,IF(A298&gt;='材料与任务'!$E$25,'材料与任务'!$E$26,IF(A298&gt;='材料与任务'!$E$19,'材料与任务'!$E$20,IF(A298&gt;='材料与任务'!$E$13,'材料与任务'!$E$14,'材料与任务'!$E$8)))))*G298,0)</x:f>
        <x:v>6</x:v>
      </x:c>
      <x:c r="Q298" s="119" t="n">
        <x:f>ROUNDDOWN((IF(A298&gt;='材料与任务'!$E$31,'材料与任务'!$E$33,IF(A298&gt;='材料与任务'!$E$25,'材料与任务'!$E$27,IF(A298&gt;='材料与任务'!$E$19,'材料与任务'!$E$21,IF(A298&gt;='材料与任务'!$E$13,'材料与任务'!$E$15,'材料与任务'!$E$9)))))*G298,0)</x:f>
        <x:v>3</x:v>
      </x:c>
      <x:c r="R298" s="110" t="n">
        <x:f>'装备掉落'!$B$38</x:f>
        <x:v>0.6872058758851213</x:v>
      </x:c>
      <x:c r="S298" s="119" t="n">
        <x:f>MAX(IF(VLOOKUP(A298,'装备掉落'!$A$29:$H$34,2,TRUE)&gt;0,1,0),IF(VLOOKUP(A298,'装备掉落'!$A$29:$H$34,3,TRUE)&gt;0,2,0),IF(VLOOKUP(A298,'装备掉落'!$A$29:$H$34,4,TRUE)&gt;0,3,0),IF(VLOOKUP(A298,'装备掉落'!$A$29:$H$34,5,TRUE)&gt;0,4,0),IF(VLOOKUP(A298,'装备掉落'!$A$29:$H$34,6,TRUE)&gt;0,5,0),IF(VLOOKUP(A298,'装备掉落'!$A$29:$H$34,7,TRUE)&gt;0,6,0),IF(VLOOKUP(A298,'装备掉落'!$A$29:$H$34,8,TRUE)&gt;0,7,0))</x:f>
        <x:v>7</x:v>
      </x:c>
      <x:c r="T298" s="119" t="n">
        <x:f>MIN(7,S298+'经济参数'!$E$70)</x:f>
        <x:v>7</x:v>
      </x:c>
      <x:c r="U298" s="119" t="n">
        <x:f>MIN(7,S298+'经济参数'!$E$71)</x:f>
        <x:v>7</x:v>
      </x:c>
      <x:c r="V298" s="119" t="n">
        <x:f>IF(H298&gt;=('难度参数'!$E$52),1,0)+IF(H298&gt;=('难度参数'!$E$52+'难度参数'!$E$53),1,0)+IF(H298&gt;=('难度参数'!$E$52+'难度参数'!$E$53+'难度参数'!$E$54),1,0)+IF(H298&gt;=('难度参数'!$E$52+'难度参数'!$E$53+'难度参数'!$E$54+'难度参数'!$E$55),1,0)+IF(H298&gt;=('难度参数'!$E$52+'难度参数'!$E$53+'难度参数'!$E$54+'难度参数'!$E$55+'难度参数'!$E$56),1,0)+IF(H298&gt;=('难度参数'!$E$52+'难度参数'!$E$53+'难度参数'!$E$54+'难度参数'!$E$55+'难度参数'!$E$56+'难度参数'!$E$57),1,0)</x:f>
        <x:v>6</x:v>
      </x:c>
      <x:c r="W298" s="62" t="str">
        <x:f>IF(L298&gt;'难度参数'!$E$51,"仅出怪已超目标","还需实测")</x:f>
        <x:v>仅出怪已超目标</x:v>
      </x:c>
      <x:c r="X298" s="119" t="n">
        <x:f>IF(1&gt;D298,0,MAX(2,MIN('难度参数'!$E$12,ROUND(('难度参数'!$E$18*POWER(A298,'难度参数'!$E$19)/D298*(0.85+0.3*(1-1)/MAX(1,D298-1))),0)+F298)))</x:f>
        <x:v>29</x:v>
      </x:c>
      <x:c r="Y298" s="119" t="n">
        <x:f>IF(1&gt;D298,0,ROUND(('难度参数'!$E$13*POWER(A298,'难度参数'!$E$20)*MIN('难度参数'!$E$23,1+MAX(0,A298-'难度参数'!$E$21)*'难度参数'!$E$22))*(36+1*7)/(36+7*(D298+1)/2)*E298,0))</x:f>
        <x:v>5404</x:v>
      </x:c>
      <x:c r="Z298" s="119" t="n">
        <x:f>IF(X298=0,0,(X298-IF(1=D298,1,0))*ROUND(Y298*VLOOKUP(INDEX('章节与怪物'!$E$31:$K$37,B298,1),'章节与怪物'!$A$41:$F$44,2,FALSE),0)+IF(1=D298,ROUND(Y298*'难度参数'!$E$28*'章节与怪物'!$E$17,0),0))</x:f>
        <x:v>156716</x:v>
      </x:c>
      <x:c r="AA298" s="119" t="n">
        <x:f>IF(X298=0,0,(X298-IF(1=D298,1,0))*VLOOKUP(INDEX('章节与怪物'!$E$31:$K$37,B298,1),'章节与怪物'!$A$41:$F$44,4,FALSE)+IF(1=D298,'难度参数'!$E$30,0))</x:f>
        <x:v>522</x:v>
      </x:c>
      <x:c r="AB298" s="119" t="n">
        <x:f>IF(2&gt;D298,0,MAX(2,MIN('难度参数'!$E$12,ROUND(('难度参数'!$E$18*POWER(A298,'难度参数'!$E$19)/D298*(0.85+0.3*(2-1)/MAX(1,D298-1))),0)+F298)))</x:f>
        <x:v>31</x:v>
      </x:c>
      <x:c r="AC298" s="119" t="n">
        <x:f>IF(2&gt;D298,0,ROUND(('难度参数'!$E$13*POWER(A298,'难度参数'!$E$20)*MIN('难度参数'!$E$23,1+MAX(0,A298-'难度参数'!$E$21)*'难度参数'!$E$22))*(36+2*7)/(36+7*(D298+1)/2)*E298,0))</x:f>
        <x:v>6283</x:v>
      </x:c>
      <x:c r="AD298" s="119" t="n">
        <x:f>IF(AB298=0,0,(AB298-IF(2=D298,1,0))*ROUND(AC298*VLOOKUP(INDEX('章节与怪物'!$E$31:$K$37,B298,2),'章节与怪物'!$A$41:$F$44,2,FALSE),0)+IF(2=D298,ROUND(AC298*'难度参数'!$E$28*'章节与怪物'!$E$17,0),0))</x:f>
        <x:v>140244</x:v>
      </x:c>
      <x:c r="AE298" s="119" t="n">
        <x:f>IF(AB298=0,0,(AB298-IF(2=D298,1,0))*VLOOKUP(INDEX('章节与怪物'!$E$31:$K$37,B298,2),'章节与怪物'!$A$41:$F$44,4,FALSE)+IF(2=D298,'难度参数'!$E$30,0))</x:f>
        <x:v>620</x:v>
      </x:c>
      <x:c r="AF298" s="119" t="n">
        <x:f>IF(3&gt;D298,0,MAX(2,MIN('难度参数'!$E$12,ROUND(('难度参数'!$E$18*POWER(A298,'难度参数'!$E$19)/D298*(0.85+0.3*(3-1)/MAX(1,D298-1))),0)+F298)))</x:f>
        <x:v>33</x:v>
      </x:c>
      <x:c r="AG298" s="119" t="n">
        <x:f>IF(3&gt;D298,0,ROUND(('难度参数'!$E$13*POWER(A298,'难度参数'!$E$20)*MIN('难度参数'!$E$23,1+MAX(0,A298-'难度参数'!$E$21)*'难度参数'!$E$22))*(36+3*7)/(36+7*(D298+1)/2)*E298,0))</x:f>
        <x:v>7163</x:v>
      </x:c>
      <x:c r="AH298" s="119" t="n">
        <x:f>IF(AF298=0,0,(AF298-IF(3=D298,1,0))*ROUND(AG298*VLOOKUP(INDEX('章节与怪物'!$E$31:$K$37,B298,3),'章节与怪物'!$A$41:$F$44,2,FALSE),0)+IF(3=D298,ROUND(AG298*'难度参数'!$E$28*'章节与怪物'!$E$17,0),0))</x:f>
        <x:v>401841</x:v>
      </x:c>
      <x:c r="AI298" s="119" t="n">
        <x:f>IF(AF298=0,0,(AF298-IF(3=D298,1,0))*VLOOKUP(INDEX('章节与怪物'!$E$31:$K$37,B298,3),'章节与怪物'!$A$41:$F$44,4,FALSE)+IF(3=D298,'难度参数'!$E$30,0))</x:f>
        <x:v>924</x:v>
      </x:c>
      <x:c r="AJ298" s="119" t="n">
        <x:f>IF(4&gt;D298,0,MAX(2,MIN('难度参数'!$E$12,ROUND(('难度参数'!$E$18*POWER(A298,'难度参数'!$E$19)/D298*(0.85+0.3*(4-1)/MAX(1,D298-1))),0)+F298)))</x:f>
        <x:v>34</x:v>
      </x:c>
      <x:c r="AK298" s="119" t="n">
        <x:f>IF(4&gt;D298,0,ROUND(('难度参数'!$E$13*POWER(A298,'难度参数'!$E$20)*MIN('难度参数'!$E$23,1+MAX(0,A298-'难度参数'!$E$21)*'难度参数'!$E$22))*(36+4*7)/(36+7*(D298+1)/2)*E298,0))</x:f>
        <x:v>8043</x:v>
      </x:c>
      <x:c r="AL298" s="119" t="n">
        <x:f>IF(AJ298=0,0,(AJ298-IF(4=D298,1,0))*ROUND(AK298*VLOOKUP(INDEX('章节与怪物'!$E$31:$K$37,B298,4),'章节与怪物'!$A$41:$F$44,2,FALSE),0)+IF(4=D298,ROUND(AK298*'难度参数'!$E$28*'章节与怪物'!$E$17,0),0))</x:f>
        <x:v>369172</x:v>
      </x:c>
      <x:c r="AM298" s="119" t="n">
        <x:f>IF(AJ298=0,0,(AJ298-IF(4=D298,1,0))*VLOOKUP(INDEX('章节与怪物'!$E$31:$K$37,B298,4),'章节与怪物'!$A$41:$F$44,4,FALSE)+IF(4=D298,'难度参数'!$E$30,0))</x:f>
        <x:v>1156</x:v>
      </x:c>
      <x:c r="AN298" s="119" t="n">
        <x:f>IF(5&gt;D298,0,MAX(2,MIN('难度参数'!$E$12,ROUND(('难度参数'!$E$18*POWER(A298,'难度参数'!$E$19)/D298*(0.85+0.3*(5-1)/MAX(1,D298-1))),0)+F298)))</x:f>
        <x:v>36</x:v>
      </x:c>
      <x:c r="AO298" s="119" t="n">
        <x:f>IF(5&gt;D298,0,ROUND(('难度参数'!$E$13*POWER(A298,'难度参数'!$E$20)*MIN('难度参数'!$E$23,1+MAX(0,A298-'难度参数'!$E$21)*'难度参数'!$E$22))*(36+5*7)/(36+7*(D298+1)/2)*E298,0))</x:f>
        <x:v>8923</x:v>
      </x:c>
      <x:c r="AP298" s="119" t="n">
        <x:f>IF(AN298=0,0,(AN298-IF(5=D298,1,0))*ROUND(AO298*VLOOKUP(INDEX('章节与怪物'!$E$31:$K$37,B298,5),'章节与怪物'!$A$41:$F$44,2,FALSE),0)+IF(5=D298,ROUND(AO298*'难度参数'!$E$28*'章节与怪物'!$E$17,0),0))</x:f>
        <x:v>231300</x:v>
      </x:c>
      <x:c r="AQ298" s="119" t="n">
        <x:f>IF(AN298=0,0,(AN298-IF(5=D298,1,0))*VLOOKUP(INDEX('章节与怪物'!$E$31:$K$37,B298,5),'章节与怪物'!$A$41:$F$44,4,FALSE)+IF(5=D298,'难度参数'!$E$30,0))</x:f>
        <x:v>720</x:v>
      </x:c>
      <x:c r="AR298" s="119" t="n">
        <x:f>IF(6&gt;D298,0,MAX(2,MIN('难度参数'!$E$12,ROUND(('难度参数'!$E$18*POWER(A298,'难度参数'!$E$19)/D298*(0.85+0.3*(6-1)/MAX(1,D298-1))),0)+F298)))</x:f>
        <x:v>38</x:v>
      </x:c>
      <x:c r="AS298" s="119" t="n">
        <x:f>IF(6&gt;D298,0,ROUND(('难度参数'!$E$13*POWER(A298,'难度参数'!$E$20)*MIN('难度参数'!$E$23,1+MAX(0,A298-'难度参数'!$E$21)*'难度参数'!$E$22))*(36+6*7)/(36+7*(D298+1)/2)*E298,0))</x:f>
        <x:v>9802</x:v>
      </x:c>
      <x:c r="AT298" s="119" t="n">
        <x:f>IF(AR298=0,0,(AR298-IF(6=D298,1,0))*ROUND(AS298*VLOOKUP(INDEX('章节与怪物'!$E$31:$K$37,B298,6),'章节与怪物'!$A$41:$F$44,2,FALSE),0)+IF(6=D298,ROUND(AS298*'难度参数'!$E$28*'章节与怪物'!$E$17,0),0))</x:f>
        <x:v>633194</x:v>
      </x:c>
      <x:c r="AU298" s="119" t="n">
        <x:f>IF(AR298=0,0,(AR298-IF(6=D298,1,0))*VLOOKUP(INDEX('章节与怪物'!$E$31:$K$37,B298,6),'章节与怪物'!$A$41:$F$44,4,FALSE)+IF(6=D298,'难度参数'!$E$30,0))</x:f>
        <x:v>1064</x:v>
      </x:c>
      <x:c r="AV298" s="119" t="n">
        <x:f>IF(7&gt;D298,0,MAX(2,MIN('难度参数'!$E$12,ROUND(('难度参数'!$E$18*POWER(A298,'难度参数'!$E$19)/D298*(0.85+0.3*(7-1)/MAX(1,D298-1))),0)+F298)))</x:f>
        <x:v>40</x:v>
      </x:c>
      <x:c r="AW298" s="119" t="n">
        <x:f>IF(7&gt;D298,0,ROUND(('难度参数'!$E$13*POWER(A298,'难度参数'!$E$20)*MIN('难度参数'!$E$23,1+MAX(0,A298-'难度参数'!$E$21)*'难度参数'!$E$22))*(36+7*7)/(36+7*(D298+1)/2)*E298,0))</x:f>
        <x:v>10682</x:v>
      </x:c>
      <x:c r="AX298" s="119" t="n">
        <x:f>IF(AV298=0,0,(AV298-IF(7=D298,1,0))*ROUND(AW298*VLOOKUP(INDEX('章节与怪物'!$E$31:$K$37,B298,7),'章节与怪物'!$A$41:$F$44,2,FALSE),0)+IF(7=D298,ROUND(AW298*'难度参数'!$E$28*'章节与怪物'!$E$17,0),0))</x:f>
        <x:v>635057</x:v>
      </x:c>
      <x:c r="AY298" s="119" t="n">
        <x:f>IF(AV298=0,0,(AV298-IF(7=D298,1,0))*VLOOKUP(INDEX('章节与怪物'!$E$31:$K$37,B298,7),'章节与怪物'!$A$41:$F$44,4,FALSE)+IF(7=D298,'难度参数'!$E$30,0))</x:f>
        <x:v>1526</x:v>
      </x:c>
    </x:row>
    <x:row r="299" ht="23" customHeight="1">
      <x:c r="A299" s="119" t="n">
        <x:v>293</x:v>
      </x:c>
      <x:c r="B299" s="119" t="n">
        <x:f>MOD(INT((A299-1)/5),7)+1</x:f>
        <x:v>3</x:v>
      </x:c>
      <x:c r="C299" s="62" t="str">
        <x:f>INDEX('章节与怪物'!$B$31:$B$37,B299)</x:f>
        <x:v>腐沼秘林</x:v>
      </x:c>
      <x:c r="D299" s="119" t="n">
        <x:f>MIN('难度参数'!$E$8,MAX('难度参数'!$E$7,A299))</x:f>
        <x:v>7</x:v>
      </x:c>
      <x:c r="E299" s="106" t="n">
        <x:v>1</x:v>
      </x:c>
      <x:c r="F299" s="106" t="n">
        <x:v>0</x:v>
      </x:c>
      <x:c r="G299" s="106" t="n">
        <x:v>1</x:v>
      </x:c>
      <x:c r="H299" s="119" t="n">
        <x:f>SUM(X299,AB299,AF299,AJ299,AN299,AR299,AV299)</x:f>
        <x:v>241</x:v>
      </x:c>
      <x:c r="I299" s="119" t="n">
        <x:f>SUM(Z299,AD299,AH299,AL299,AP299,AT299,AX299)</x:f>
        <x:v>2573822</x:v>
      </x:c>
      <x:c r="J299" s="119" t="n">
        <x:f>ROUND(INDEX(X299:AY299,1,(D299-1)*4+2)*'难度参数'!$E$28*'章节与怪物'!$E$17,0)</x:f>
        <x:v>72814</x:v>
      </x:c>
      <x:c r="K299" s="119" t="n">
        <x:f>SUM(AA299,AE299,AI299,AM299,AQ299,AU299,AY299)</x:f>
        <x:v>6532</x:v>
      </x:c>
      <x:c r="L299" s="62" t="n">
        <x:f>H299*(ROUNDUP('难度参数'!$E$24/('难度参数'!$E$26*'难度参数'!$E$27),0)*'难度参数'!$E$26)/60</x:f>
        <x:v>3.2133333333333334</x:v>
      </x:c>
      <x:c r="M299" s="62" t="n">
        <x:f>L299+D299*('难度参数'!$E$49+'难度参数'!$E$50)/60</x:f>
        <x:v>4.38</x:v>
      </x:c>
      <x:c r="N299" s="119" t="n">
        <x:f>ROUNDDOWN(('经济参数'!$E$20+A299*'经济参数'!$E$21)*G299,0)</x:f>
        <x:v>6040</x:v>
      </x:c>
      <x:c r="O299" s="119" t="n">
        <x:f>ROUNDDOWN(MIN('经济参数'!$E$24,'经济参数'!$E$22+A299*'经济参数'!$E$23)*G299,0)</x:f>
        <x:v>0</x:v>
      </x:c>
      <x:c r="P299" s="119" t="n">
        <x:f>ROUNDDOWN((IF(A299&gt;='材料与任务'!$E$31,'材料与任务'!$E$32,IF(A299&gt;='材料与任务'!$E$25,'材料与任务'!$E$26,IF(A299&gt;='材料与任务'!$E$19,'材料与任务'!$E$20,IF(A299&gt;='材料与任务'!$E$13,'材料与任务'!$E$14,'材料与任务'!$E$8)))))*G299,0)</x:f>
        <x:v>6</x:v>
      </x:c>
      <x:c r="Q299" s="119" t="n">
        <x:f>ROUNDDOWN((IF(A299&gt;='材料与任务'!$E$31,'材料与任务'!$E$33,IF(A299&gt;='材料与任务'!$E$25,'材料与任务'!$E$27,IF(A299&gt;='材料与任务'!$E$19,'材料与任务'!$E$21,IF(A299&gt;='材料与任务'!$E$13,'材料与任务'!$E$15,'材料与任务'!$E$9)))))*G299,0)</x:f>
        <x:v>3</x:v>
      </x:c>
      <x:c r="R299" s="110" t="n">
        <x:f>'装备掉落'!$B$38</x:f>
        <x:v>0.6872058758851213</x:v>
      </x:c>
      <x:c r="S299" s="119" t="n">
        <x:f>MAX(IF(VLOOKUP(A299,'装备掉落'!$A$29:$H$34,2,TRUE)&gt;0,1,0),IF(VLOOKUP(A299,'装备掉落'!$A$29:$H$34,3,TRUE)&gt;0,2,0),IF(VLOOKUP(A299,'装备掉落'!$A$29:$H$34,4,TRUE)&gt;0,3,0),IF(VLOOKUP(A299,'装备掉落'!$A$29:$H$34,5,TRUE)&gt;0,4,0),IF(VLOOKUP(A299,'装备掉落'!$A$29:$H$34,6,TRUE)&gt;0,5,0),IF(VLOOKUP(A299,'装备掉落'!$A$29:$H$34,7,TRUE)&gt;0,6,0),IF(VLOOKUP(A299,'装备掉落'!$A$29:$H$34,8,TRUE)&gt;0,7,0))</x:f>
        <x:v>7</x:v>
      </x:c>
      <x:c r="T299" s="119" t="n">
        <x:f>MIN(7,S299+'经济参数'!$E$70)</x:f>
        <x:v>7</x:v>
      </x:c>
      <x:c r="U299" s="119" t="n">
        <x:f>MIN(7,S299+'经济参数'!$E$71)</x:f>
        <x:v>7</x:v>
      </x:c>
      <x:c r="V299" s="119" t="n">
        <x:f>IF(H299&gt;=('难度参数'!$E$52),1,0)+IF(H299&gt;=('难度参数'!$E$52+'难度参数'!$E$53),1,0)+IF(H299&gt;=('难度参数'!$E$52+'难度参数'!$E$53+'难度参数'!$E$54),1,0)+IF(H299&gt;=('难度参数'!$E$52+'难度参数'!$E$53+'难度参数'!$E$54+'难度参数'!$E$55),1,0)+IF(H299&gt;=('难度参数'!$E$52+'难度参数'!$E$53+'难度参数'!$E$54+'难度参数'!$E$55+'难度参数'!$E$56),1,0)+IF(H299&gt;=('难度参数'!$E$52+'难度参数'!$E$53+'难度参数'!$E$54+'难度参数'!$E$55+'难度参数'!$E$56+'难度参数'!$E$57),1,0)</x:f>
        <x:v>6</x:v>
      </x:c>
      <x:c r="W299" s="62" t="str">
        <x:f>IF(L299&gt;'难度参数'!$E$51,"仅出怪已超目标","还需实测")</x:f>
        <x:v>仅出怪已超目标</x:v>
      </x:c>
      <x:c r="X299" s="119" t="n">
        <x:f>IF(1&gt;D299,0,MAX(2,MIN('难度参数'!$E$12,ROUND(('难度参数'!$E$18*POWER(A299,'难度参数'!$E$19)/D299*(0.85+0.3*(1-1)/MAX(1,D299-1))),0)+F299)))</x:f>
        <x:v>29</x:v>
      </x:c>
      <x:c r="Y299" s="119" t="n">
        <x:f>IF(1&gt;D299,0,ROUND(('难度参数'!$E$13*POWER(A299,'难度参数'!$E$20)*MIN('难度参数'!$E$23,1+MAX(0,A299-'难度参数'!$E$21)*'难度参数'!$E$22))*(36+1*7)/(36+7*(D299+1)/2)*E299,0))</x:f>
        <x:v>5417</x:v>
      </x:c>
      <x:c r="Z299" s="119" t="n">
        <x:f>IF(X299=0,0,(X299-IF(1=D299,1,0))*ROUND(Y299*VLOOKUP(INDEX('章节与怪物'!$E$31:$K$37,B299,1),'章节与怪物'!$A$41:$F$44,2,FALSE),0)+IF(1=D299,ROUND(Y299*'难度参数'!$E$28*'章节与怪物'!$E$17,0),0))</x:f>
        <x:v>157093</x:v>
      </x:c>
      <x:c r="AA299" s="119" t="n">
        <x:f>IF(X299=0,0,(X299-IF(1=D299,1,0))*VLOOKUP(INDEX('章节与怪物'!$E$31:$K$37,B299,1),'章节与怪物'!$A$41:$F$44,4,FALSE)+IF(1=D299,'难度参数'!$E$30,0))</x:f>
        <x:v>522</x:v>
      </x:c>
      <x:c r="AB299" s="119" t="n">
        <x:f>IF(2&gt;D299,0,MAX(2,MIN('难度参数'!$E$12,ROUND(('难度参数'!$E$18*POWER(A299,'难度参数'!$E$19)/D299*(0.85+0.3*(2-1)/MAX(1,D299-1))),0)+F299)))</x:f>
        <x:v>31</x:v>
      </x:c>
      <x:c r="AC299" s="119" t="n">
        <x:f>IF(2&gt;D299,0,ROUND(('难度参数'!$E$13*POWER(A299,'难度参数'!$E$20)*MIN('难度参数'!$E$23,1+MAX(0,A299-'难度参数'!$E$21)*'难度参数'!$E$22))*(36+2*7)/(36+7*(D299+1)/2)*E299,0))</x:f>
        <x:v>6299</x:v>
      </x:c>
      <x:c r="AD299" s="119" t="n">
        <x:f>IF(AB299=0,0,(AB299-IF(2=D299,1,0))*ROUND(AC299*VLOOKUP(INDEX('章节与怪物'!$E$31:$K$37,B299,2),'章节与怪物'!$A$41:$F$44,2,FALSE),0)+IF(2=D299,ROUND(AC299*'难度参数'!$E$28*'章节与怪物'!$E$17,0),0))</x:f>
        <x:v>140585</x:v>
      </x:c>
      <x:c r="AE299" s="119" t="n">
        <x:f>IF(AB299=0,0,(AB299-IF(2=D299,1,0))*VLOOKUP(INDEX('章节与怪物'!$E$31:$K$37,B299,2),'章节与怪物'!$A$41:$F$44,4,FALSE)+IF(2=D299,'难度参数'!$E$30,0))</x:f>
        <x:v>620</x:v>
      </x:c>
      <x:c r="AF299" s="119" t="n">
        <x:f>IF(3&gt;D299,0,MAX(2,MIN('难度参数'!$E$12,ROUND(('难度参数'!$E$18*POWER(A299,'难度参数'!$E$19)/D299*(0.85+0.3*(3-1)/MAX(1,D299-1))),0)+F299)))</x:f>
        <x:v>33</x:v>
      </x:c>
      <x:c r="AG299" s="119" t="n">
        <x:f>IF(3&gt;D299,0,ROUND(('难度参数'!$E$13*POWER(A299,'难度参数'!$E$20)*MIN('难度参数'!$E$23,1+MAX(0,A299-'难度参数'!$E$21)*'难度参数'!$E$22))*(36+3*7)/(36+7*(D299+1)/2)*E299,0))</x:f>
        <x:v>7181</x:v>
      </x:c>
      <x:c r="AH299" s="119" t="n">
        <x:f>IF(AF299=0,0,(AF299-IF(3=D299,1,0))*ROUND(AG299*VLOOKUP(INDEX('章节与怪物'!$E$31:$K$37,B299,3),'章节与怪物'!$A$41:$F$44,2,FALSE),0)+IF(3=D299,ROUND(AG299*'难度参数'!$E$28*'章节与怪物'!$E$17,0),0))</x:f>
        <x:v>402864</x:v>
      </x:c>
      <x:c r="AI299" s="119" t="n">
        <x:f>IF(AF299=0,0,(AF299-IF(3=D299,1,0))*VLOOKUP(INDEX('章节与怪物'!$E$31:$K$37,B299,3),'章节与怪物'!$A$41:$F$44,4,FALSE)+IF(3=D299,'难度参数'!$E$30,0))</x:f>
        <x:v>924</x:v>
      </x:c>
      <x:c r="AJ299" s="119" t="n">
        <x:f>IF(4&gt;D299,0,MAX(2,MIN('难度参数'!$E$12,ROUND(('难度参数'!$E$18*POWER(A299,'难度参数'!$E$19)/D299*(0.85+0.3*(4-1)/MAX(1,D299-1))),0)+F299)))</x:f>
        <x:v>34</x:v>
      </x:c>
      <x:c r="AK299" s="119" t="n">
        <x:f>IF(4&gt;D299,0,ROUND(('难度参数'!$E$13*POWER(A299,'难度参数'!$E$20)*MIN('难度参数'!$E$23,1+MAX(0,A299-'难度参数'!$E$21)*'难度参数'!$E$22))*(36+4*7)/(36+7*(D299+1)/2)*E299,0))</x:f>
        <x:v>8063</x:v>
      </x:c>
      <x:c r="AL299" s="119" t="n">
        <x:f>IF(AJ299=0,0,(AJ299-IF(4=D299,1,0))*ROUND(AK299*VLOOKUP(INDEX('章节与怪物'!$E$31:$K$37,B299,4),'章节与怪物'!$A$41:$F$44,2,FALSE),0)+IF(4=D299,ROUND(AK299*'难度参数'!$E$28*'章节与怪物'!$E$17,0),0))</x:f>
        <x:v>370090</x:v>
      </x:c>
      <x:c r="AM299" s="119" t="n">
        <x:f>IF(AJ299=0,0,(AJ299-IF(4=D299,1,0))*VLOOKUP(INDEX('章节与怪物'!$E$31:$K$37,B299,4),'章节与怪物'!$A$41:$F$44,4,FALSE)+IF(4=D299,'难度参数'!$E$30,0))</x:f>
        <x:v>1156</x:v>
      </x:c>
      <x:c r="AN299" s="119" t="n">
        <x:f>IF(5&gt;D299,0,MAX(2,MIN('难度参数'!$E$12,ROUND(('难度参数'!$E$18*POWER(A299,'难度参数'!$E$19)/D299*(0.85+0.3*(5-1)/MAX(1,D299-1))),0)+F299)))</x:f>
        <x:v>36</x:v>
      </x:c>
      <x:c r="AO299" s="119" t="n">
        <x:f>IF(5&gt;D299,0,ROUND(('难度参数'!$E$13*POWER(A299,'难度参数'!$E$20)*MIN('难度参数'!$E$23,1+MAX(0,A299-'难度参数'!$E$21)*'难度参数'!$E$22))*(36+5*7)/(36+7*(D299+1)/2)*E299,0))</x:f>
        <x:v>8945</x:v>
      </x:c>
      <x:c r="AP299" s="119" t="n">
        <x:f>IF(AN299=0,0,(AN299-IF(5=D299,1,0))*ROUND(AO299*VLOOKUP(INDEX('章节与怪物'!$E$31:$K$37,B299,5),'章节与怪物'!$A$41:$F$44,2,FALSE),0)+IF(5=D299,ROUND(AO299*'难度参数'!$E$28*'章节与怪物'!$E$17,0),0))</x:f>
        <x:v>231840</x:v>
      </x:c>
      <x:c r="AQ299" s="119" t="n">
        <x:f>IF(AN299=0,0,(AN299-IF(5=D299,1,0))*VLOOKUP(INDEX('章节与怪物'!$E$31:$K$37,B299,5),'章节与怪物'!$A$41:$F$44,4,FALSE)+IF(5=D299,'难度参数'!$E$30,0))</x:f>
        <x:v>720</x:v>
      </x:c>
      <x:c r="AR299" s="119" t="n">
        <x:f>IF(6&gt;D299,0,MAX(2,MIN('难度参数'!$E$12,ROUND(('难度参数'!$E$18*POWER(A299,'难度参数'!$E$19)/D299*(0.85+0.3*(6-1)/MAX(1,D299-1))),0)+F299)))</x:f>
        <x:v>38</x:v>
      </x:c>
      <x:c r="AS299" s="119" t="n">
        <x:f>IF(6&gt;D299,0,ROUND(('难度参数'!$E$13*POWER(A299,'难度参数'!$E$20)*MIN('难度参数'!$E$23,1+MAX(0,A299-'难度参数'!$E$21)*'难度参数'!$E$22))*(36+6*7)/(36+7*(D299+1)/2)*E299,0))</x:f>
        <x:v>9826</x:v>
      </x:c>
      <x:c r="AT299" s="119" t="n">
        <x:f>IF(AR299=0,0,(AR299-IF(6=D299,1,0))*ROUND(AS299*VLOOKUP(INDEX('章节与怪物'!$E$31:$K$37,B299,6),'章节与怪物'!$A$41:$F$44,2,FALSE),0)+IF(6=D299,ROUND(AS299*'难度参数'!$E$28*'章节与怪物'!$E$17,0),0))</x:f>
        <x:v>634752</x:v>
      </x:c>
      <x:c r="AU299" s="119" t="n">
        <x:f>IF(AR299=0,0,(AR299-IF(6=D299,1,0))*VLOOKUP(INDEX('章节与怪物'!$E$31:$K$37,B299,6),'章节与怪物'!$A$41:$F$44,4,FALSE)+IF(6=D299,'难度参数'!$E$30,0))</x:f>
        <x:v>1064</x:v>
      </x:c>
      <x:c r="AV299" s="119" t="n">
        <x:f>IF(7&gt;D299,0,MAX(2,MIN('难度参数'!$E$12,ROUND(('难度参数'!$E$18*POWER(A299,'难度参数'!$E$19)/D299*(0.85+0.3*(7-1)/MAX(1,D299-1))),0)+F299)))</x:f>
        <x:v>40</x:v>
      </x:c>
      <x:c r="AW299" s="119" t="n">
        <x:f>IF(7&gt;D299,0,ROUND(('难度参数'!$E$13*POWER(A299,'难度参数'!$E$20)*MIN('难度参数'!$E$23,1+MAX(0,A299-'难度参数'!$E$21)*'难度参数'!$E$22))*(36+7*7)/(36+7*(D299+1)/2)*E299,0))</x:f>
        <x:v>10708</x:v>
      </x:c>
      <x:c r="AX299" s="119" t="n">
        <x:f>IF(AV299=0,0,(AV299-IF(7=D299,1,0))*ROUND(AW299*VLOOKUP(INDEX('章节与怪物'!$E$31:$K$37,B299,7),'章节与怪物'!$A$41:$F$44,2,FALSE),0)+IF(7=D299,ROUND(AW299*'难度参数'!$E$28*'章节与怪物'!$E$17,0),0))</x:f>
        <x:v>636598</x:v>
      </x:c>
      <x:c r="AY299" s="119" t="n">
        <x:f>IF(AV299=0,0,(AV299-IF(7=D299,1,0))*VLOOKUP(INDEX('章节与怪物'!$E$31:$K$37,B299,7),'章节与怪物'!$A$41:$F$44,4,FALSE)+IF(7=D299,'难度参数'!$E$30,0))</x:f>
        <x:v>1526</x:v>
      </x:c>
    </x:row>
    <x:row r="300" ht="23" customHeight="1">
      <x:c r="A300" s="119" t="n">
        <x:v>294</x:v>
      </x:c>
      <x:c r="B300" s="119" t="n">
        <x:f>MOD(INT((A300-1)/5),7)+1</x:f>
        <x:v>3</x:v>
      </x:c>
      <x:c r="C300" s="62" t="str">
        <x:f>INDEX('章节与怪物'!$B$31:$B$37,B300)</x:f>
        <x:v>腐沼秘林</x:v>
      </x:c>
      <x:c r="D300" s="119" t="n">
        <x:f>MIN('难度参数'!$E$8,MAX('难度参数'!$E$7,A300))</x:f>
        <x:v>7</x:v>
      </x:c>
      <x:c r="E300" s="106" t="n">
        <x:v>1</x:v>
      </x:c>
      <x:c r="F300" s="106" t="n">
        <x:v>0</x:v>
      </x:c>
      <x:c r="G300" s="106" t="n">
        <x:v>1</x:v>
      </x:c>
      <x:c r="H300" s="119" t="n">
        <x:f>SUM(X300,AB300,AF300,AJ300,AN300,AR300,AV300)</x:f>
        <x:v>241</x:v>
      </x:c>
      <x:c r="I300" s="119" t="n">
        <x:f>SUM(Z300,AD300,AH300,AL300,AP300,AT300,AX300)</x:f>
        <x:v>2580179</x:v>
      </x:c>
      <x:c r="J300" s="119" t="n">
        <x:f>ROUND(INDEX(X300:AY300,1,(D300-1)*4+2)*'难度参数'!$E$28*'章节与怪物'!$E$17,0)</x:f>
        <x:v>72998</x:v>
      </x:c>
      <x:c r="K300" s="119" t="n">
        <x:f>SUM(AA300,AE300,AI300,AM300,AQ300,AU300,AY300)</x:f>
        <x:v>6532</x:v>
      </x:c>
      <x:c r="L300" s="62" t="n">
        <x:f>H300*(ROUNDUP('难度参数'!$E$24/('难度参数'!$E$26*'难度参数'!$E$27),0)*'难度参数'!$E$26)/60</x:f>
        <x:v>3.2133333333333334</x:v>
      </x:c>
      <x:c r="M300" s="62" t="n">
        <x:f>L300+D300*('难度参数'!$E$49+'难度参数'!$E$50)/60</x:f>
        <x:v>4.38</x:v>
      </x:c>
      <x:c r="N300" s="119" t="n">
        <x:f>ROUNDDOWN(('经济参数'!$E$20+A300*'经济参数'!$E$21)*G300,0)</x:f>
        <x:v>6060</x:v>
      </x:c>
      <x:c r="O300" s="119" t="n">
        <x:f>ROUNDDOWN(MIN('经济参数'!$E$24,'经济参数'!$E$22+A300*'经济参数'!$E$23)*G300,0)</x:f>
        <x:v>0</x:v>
      </x:c>
      <x:c r="P300" s="119" t="n">
        <x:f>ROUNDDOWN((IF(A300&gt;='材料与任务'!$E$31,'材料与任务'!$E$32,IF(A300&gt;='材料与任务'!$E$25,'材料与任务'!$E$26,IF(A300&gt;='材料与任务'!$E$19,'材料与任务'!$E$20,IF(A300&gt;='材料与任务'!$E$13,'材料与任务'!$E$14,'材料与任务'!$E$8)))))*G300,0)</x:f>
        <x:v>6</x:v>
      </x:c>
      <x:c r="Q300" s="119" t="n">
        <x:f>ROUNDDOWN((IF(A300&gt;='材料与任务'!$E$31,'材料与任务'!$E$33,IF(A300&gt;='材料与任务'!$E$25,'材料与任务'!$E$27,IF(A300&gt;='材料与任务'!$E$19,'材料与任务'!$E$21,IF(A300&gt;='材料与任务'!$E$13,'材料与任务'!$E$15,'材料与任务'!$E$9)))))*G300,0)</x:f>
        <x:v>3</x:v>
      </x:c>
      <x:c r="R300" s="110" t="n">
        <x:f>'装备掉落'!$B$38</x:f>
        <x:v>0.6872058758851213</x:v>
      </x:c>
      <x:c r="S300" s="119" t="n">
        <x:f>MAX(IF(VLOOKUP(A300,'装备掉落'!$A$29:$H$34,2,TRUE)&gt;0,1,0),IF(VLOOKUP(A300,'装备掉落'!$A$29:$H$34,3,TRUE)&gt;0,2,0),IF(VLOOKUP(A300,'装备掉落'!$A$29:$H$34,4,TRUE)&gt;0,3,0),IF(VLOOKUP(A300,'装备掉落'!$A$29:$H$34,5,TRUE)&gt;0,4,0),IF(VLOOKUP(A300,'装备掉落'!$A$29:$H$34,6,TRUE)&gt;0,5,0),IF(VLOOKUP(A300,'装备掉落'!$A$29:$H$34,7,TRUE)&gt;0,6,0),IF(VLOOKUP(A300,'装备掉落'!$A$29:$H$34,8,TRUE)&gt;0,7,0))</x:f>
        <x:v>7</x:v>
      </x:c>
      <x:c r="T300" s="119" t="n">
        <x:f>MIN(7,S300+'经济参数'!$E$70)</x:f>
        <x:v>7</x:v>
      </x:c>
      <x:c r="U300" s="119" t="n">
        <x:f>MIN(7,S300+'经济参数'!$E$71)</x:f>
        <x:v>7</x:v>
      </x:c>
      <x:c r="V300" s="119" t="n">
        <x:f>IF(H300&gt;=('难度参数'!$E$52),1,0)+IF(H300&gt;=('难度参数'!$E$52+'难度参数'!$E$53),1,0)+IF(H300&gt;=('难度参数'!$E$52+'难度参数'!$E$53+'难度参数'!$E$54),1,0)+IF(H300&gt;=('难度参数'!$E$52+'难度参数'!$E$53+'难度参数'!$E$54+'难度参数'!$E$55),1,0)+IF(H300&gt;=('难度参数'!$E$52+'难度参数'!$E$53+'难度参数'!$E$54+'难度参数'!$E$55+'难度参数'!$E$56),1,0)+IF(H300&gt;=('难度参数'!$E$52+'难度参数'!$E$53+'难度参数'!$E$54+'难度参数'!$E$55+'难度参数'!$E$56+'难度参数'!$E$57),1,0)</x:f>
        <x:v>6</x:v>
      </x:c>
      <x:c r="W300" s="62" t="str">
        <x:f>IF(L300&gt;'难度参数'!$E$51,"仅出怪已超目标","还需实测")</x:f>
        <x:v>仅出怪已超目标</x:v>
      </x:c>
      <x:c r="X300" s="119" t="n">
        <x:f>IF(1&gt;D300,0,MAX(2,MIN('难度参数'!$E$12,ROUND(('难度参数'!$E$18*POWER(A300,'难度参数'!$E$19)/D300*(0.85+0.3*(1-1)/MAX(1,D300-1))),0)+F300)))</x:f>
        <x:v>29</x:v>
      </x:c>
      <x:c r="Y300" s="119" t="n">
        <x:f>IF(1&gt;D300,0,ROUND(('难度参数'!$E$13*POWER(A300,'难度参数'!$E$20)*MIN('难度参数'!$E$23,1+MAX(0,A300-'难度参数'!$E$21)*'难度参数'!$E$22))*(36+1*7)/(36+7*(D300+1)/2)*E300,0))</x:f>
        <x:v>5430</x:v>
      </x:c>
      <x:c r="Z300" s="119" t="n">
        <x:f>IF(X300=0,0,(X300-IF(1=D300,1,0))*ROUND(Y300*VLOOKUP(INDEX('章节与怪物'!$E$31:$K$37,B300,1),'章节与怪物'!$A$41:$F$44,2,FALSE),0)+IF(1=D300,ROUND(Y300*'难度参数'!$E$28*'章节与怪物'!$E$17,0),0))</x:f>
        <x:v>157470</x:v>
      </x:c>
      <x:c r="AA300" s="119" t="n">
        <x:f>IF(X300=0,0,(X300-IF(1=D300,1,0))*VLOOKUP(INDEX('章节与怪物'!$E$31:$K$37,B300,1),'章节与怪物'!$A$41:$F$44,4,FALSE)+IF(1=D300,'难度参数'!$E$30,0))</x:f>
        <x:v>522</x:v>
      </x:c>
      <x:c r="AB300" s="119" t="n">
        <x:f>IF(2&gt;D300,0,MAX(2,MIN('难度参数'!$E$12,ROUND(('难度参数'!$E$18*POWER(A300,'难度参数'!$E$19)/D300*(0.85+0.3*(2-1)/MAX(1,D300-1))),0)+F300)))</x:f>
        <x:v>31</x:v>
      </x:c>
      <x:c r="AC300" s="119" t="n">
        <x:f>IF(2&gt;D300,0,ROUND(('难度参数'!$E$13*POWER(A300,'难度参数'!$E$20)*MIN('难度参数'!$E$23,1+MAX(0,A300-'难度参数'!$E$21)*'难度参数'!$E$22))*(36+2*7)/(36+7*(D300+1)/2)*E300,0))</x:f>
        <x:v>6314</x:v>
      </x:c>
      <x:c r="AD300" s="119" t="n">
        <x:f>IF(AB300=0,0,(AB300-IF(2=D300,1,0))*ROUND(AC300*VLOOKUP(INDEX('章节与怪物'!$E$31:$K$37,B300,2),'章节与怪物'!$A$41:$F$44,2,FALSE),0)+IF(2=D300,ROUND(AC300*'难度参数'!$E$28*'章节与怪物'!$E$17,0),0))</x:f>
        <x:v>140926</x:v>
      </x:c>
      <x:c r="AE300" s="119" t="n">
        <x:f>IF(AB300=0,0,(AB300-IF(2=D300,1,0))*VLOOKUP(INDEX('章节与怪物'!$E$31:$K$37,B300,2),'章节与怪物'!$A$41:$F$44,4,FALSE)+IF(2=D300,'难度参数'!$E$30,0))</x:f>
        <x:v>620</x:v>
      </x:c>
      <x:c r="AF300" s="119" t="n">
        <x:f>IF(3&gt;D300,0,MAX(2,MIN('难度参数'!$E$12,ROUND(('难度参数'!$E$18*POWER(A300,'难度参数'!$E$19)/D300*(0.85+0.3*(3-1)/MAX(1,D300-1))),0)+F300)))</x:f>
        <x:v>33</x:v>
      </x:c>
      <x:c r="AG300" s="119" t="n">
        <x:f>IF(3&gt;D300,0,ROUND(('难度参数'!$E$13*POWER(A300,'难度参数'!$E$20)*MIN('难度参数'!$E$23,1+MAX(0,A300-'难度参数'!$E$21)*'难度参数'!$E$22))*(36+3*7)/(36+7*(D300+1)/2)*E300,0))</x:f>
        <x:v>7198</x:v>
      </x:c>
      <x:c r="AH300" s="119" t="n">
        <x:f>IF(AF300=0,0,(AF300-IF(3=D300,1,0))*ROUND(AG300*VLOOKUP(INDEX('章节与怪物'!$E$31:$K$37,B300,3),'章节与怪物'!$A$41:$F$44,2,FALSE),0)+IF(3=D300,ROUND(AG300*'难度参数'!$E$28*'章节与怪物'!$E$17,0),0))</x:f>
        <x:v>403821</x:v>
      </x:c>
      <x:c r="AI300" s="119" t="n">
        <x:f>IF(AF300=0,0,(AF300-IF(3=D300,1,0))*VLOOKUP(INDEX('章节与怪物'!$E$31:$K$37,B300,3),'章节与怪物'!$A$41:$F$44,4,FALSE)+IF(3=D300,'难度参数'!$E$30,0))</x:f>
        <x:v>924</x:v>
      </x:c>
      <x:c r="AJ300" s="119" t="n">
        <x:f>IF(4&gt;D300,0,MAX(2,MIN('难度参数'!$E$12,ROUND(('难度参数'!$E$18*POWER(A300,'难度参数'!$E$19)/D300*(0.85+0.3*(4-1)/MAX(1,D300-1))),0)+F300)))</x:f>
        <x:v>34</x:v>
      </x:c>
      <x:c r="AK300" s="119" t="n">
        <x:f>IF(4&gt;D300,0,ROUND(('难度参数'!$E$13*POWER(A300,'难度参数'!$E$20)*MIN('难度参数'!$E$23,1+MAX(0,A300-'难度参数'!$E$21)*'难度参数'!$E$22))*(36+4*7)/(36+7*(D300+1)/2)*E300,0))</x:f>
        <x:v>8082</x:v>
      </x:c>
      <x:c r="AL300" s="119" t="n">
        <x:f>IF(AJ300=0,0,(AJ300-IF(4=D300,1,0))*ROUND(AK300*VLOOKUP(INDEX('章节与怪物'!$E$31:$K$37,B300,4),'章节与怪物'!$A$41:$F$44,2,FALSE),0)+IF(4=D300,ROUND(AK300*'难度参数'!$E$28*'章节与怪物'!$E$17,0),0))</x:f>
        <x:v>370974</x:v>
      </x:c>
      <x:c r="AM300" s="119" t="n">
        <x:f>IF(AJ300=0,0,(AJ300-IF(4=D300,1,0))*VLOOKUP(INDEX('章节与怪物'!$E$31:$K$37,B300,4),'章节与怪物'!$A$41:$F$44,4,FALSE)+IF(4=D300,'难度参数'!$E$30,0))</x:f>
        <x:v>1156</x:v>
      </x:c>
      <x:c r="AN300" s="119" t="n">
        <x:f>IF(5&gt;D300,0,MAX(2,MIN('难度参数'!$E$12,ROUND(('难度参数'!$E$18*POWER(A300,'难度参数'!$E$19)/D300*(0.85+0.3*(5-1)/MAX(1,D300-1))),0)+F300)))</x:f>
        <x:v>36</x:v>
      </x:c>
      <x:c r="AO300" s="119" t="n">
        <x:f>IF(5&gt;D300,0,ROUND(('难度参数'!$E$13*POWER(A300,'难度参数'!$E$20)*MIN('难度参数'!$E$23,1+MAX(0,A300-'难度参数'!$E$21)*'难度参数'!$E$22))*(36+5*7)/(36+7*(D300+1)/2)*E300,0))</x:f>
        <x:v>8966</x:v>
      </x:c>
      <x:c r="AP300" s="119" t="n">
        <x:f>IF(AN300=0,0,(AN300-IF(5=D300,1,0))*ROUND(AO300*VLOOKUP(INDEX('章节与怪物'!$E$31:$K$37,B300,5),'章节与怪物'!$A$41:$F$44,2,FALSE),0)+IF(5=D300,ROUND(AO300*'难度参数'!$E$28*'章节与怪物'!$E$17,0),0))</x:f>
        <x:v>232416</x:v>
      </x:c>
      <x:c r="AQ300" s="119" t="n">
        <x:f>IF(AN300=0,0,(AN300-IF(5=D300,1,0))*VLOOKUP(INDEX('章节与怪物'!$E$31:$K$37,B300,5),'章节与怪物'!$A$41:$F$44,4,FALSE)+IF(5=D300,'难度参数'!$E$30,0))</x:f>
        <x:v>720</x:v>
      </x:c>
      <x:c r="AR300" s="119" t="n">
        <x:f>IF(6&gt;D300,0,MAX(2,MIN('难度参数'!$E$12,ROUND(('难度参数'!$E$18*POWER(A300,'难度参数'!$E$19)/D300*(0.85+0.3*(6-1)/MAX(1,D300-1))),0)+F300)))</x:f>
        <x:v>38</x:v>
      </x:c>
      <x:c r="AS300" s="119" t="n">
        <x:f>IF(6&gt;D300,0,ROUND(('难度参数'!$E$13*POWER(A300,'难度参数'!$E$20)*MIN('难度参数'!$E$23,1+MAX(0,A300-'难度参数'!$E$21)*'难度参数'!$E$22))*(36+6*7)/(36+7*(D300+1)/2)*E300,0))</x:f>
        <x:v>9851</x:v>
      </x:c>
      <x:c r="AT300" s="119" t="n">
        <x:f>IF(AR300=0,0,(AR300-IF(6=D300,1,0))*ROUND(AS300*VLOOKUP(INDEX('章节与怪物'!$E$31:$K$37,B300,6),'章节与怪物'!$A$41:$F$44,2,FALSE),0)+IF(6=D300,ROUND(AS300*'难度参数'!$E$28*'章节与怪物'!$E$17,0),0))</x:f>
        <x:v>636386</x:v>
      </x:c>
      <x:c r="AU300" s="119" t="n">
        <x:f>IF(AR300=0,0,(AR300-IF(6=D300,1,0))*VLOOKUP(INDEX('章节与怪物'!$E$31:$K$37,B300,6),'章节与怪物'!$A$41:$F$44,4,FALSE)+IF(6=D300,'难度参数'!$E$30,0))</x:f>
        <x:v>1064</x:v>
      </x:c>
      <x:c r="AV300" s="119" t="n">
        <x:f>IF(7&gt;D300,0,MAX(2,MIN('难度参数'!$E$12,ROUND(('难度参数'!$E$18*POWER(A300,'难度参数'!$E$19)/D300*(0.85+0.3*(7-1)/MAX(1,D300-1))),0)+F300)))</x:f>
        <x:v>40</x:v>
      </x:c>
      <x:c r="AW300" s="119" t="n">
        <x:f>IF(7&gt;D300,0,ROUND(('难度参数'!$E$13*POWER(A300,'难度参数'!$E$20)*MIN('难度参数'!$E$23,1+MAX(0,A300-'难度参数'!$E$21)*'难度参数'!$E$22))*(36+7*7)/(36+7*(D300+1)/2)*E300,0))</x:f>
        <x:v>10735</x:v>
      </x:c>
      <x:c r="AX300" s="119" t="n">
        <x:f>IF(AV300=0,0,(AV300-IF(7=D300,1,0))*ROUND(AW300*VLOOKUP(INDEX('章节与怪物'!$E$31:$K$37,B300,7),'章节与怪物'!$A$41:$F$44,2,FALSE),0)+IF(7=D300,ROUND(AW300*'难度参数'!$E$28*'章节与怪物'!$E$17,0),0))</x:f>
        <x:v>638186</x:v>
      </x:c>
      <x:c r="AY300" s="119" t="n">
        <x:f>IF(AV300=0,0,(AV300-IF(7=D300,1,0))*VLOOKUP(INDEX('章节与怪物'!$E$31:$K$37,B300,7),'章节与怪物'!$A$41:$F$44,4,FALSE)+IF(7=D300,'难度参数'!$E$30,0))</x:f>
        <x:v>1526</x:v>
      </x:c>
    </x:row>
    <x:row r="301" ht="23" customHeight="1">
      <x:c r="A301" s="119" t="n">
        <x:v>295</x:v>
      </x:c>
      <x:c r="B301" s="119" t="n">
        <x:f>MOD(INT((A301-1)/5),7)+1</x:f>
        <x:v>3</x:v>
      </x:c>
      <x:c r="C301" s="62" t="str">
        <x:f>INDEX('章节与怪物'!$B$31:$B$37,B301)</x:f>
        <x:v>腐沼秘林</x:v>
      </x:c>
      <x:c r="D301" s="119" t="n">
        <x:f>MIN('难度参数'!$E$8,MAX('难度参数'!$E$7,A301))</x:f>
        <x:v>7</x:v>
      </x:c>
      <x:c r="E301" s="106" t="n">
        <x:v>1</x:v>
      </x:c>
      <x:c r="F301" s="106" t="n">
        <x:v>0</x:v>
      </x:c>
      <x:c r="G301" s="106" t="n">
        <x:v>1</x:v>
      </x:c>
      <x:c r="H301" s="119" t="n">
        <x:f>SUM(X301,AB301,AF301,AJ301,AN301,AR301,AV301)</x:f>
        <x:v>242</x:v>
      </x:c>
      <x:c r="I301" s="119" t="n">
        <x:f>SUM(Z301,AD301,AH301,AL301,AP301,AT301,AX301)</x:f>
        <x:v>2597443</x:v>
      </x:c>
      <x:c r="J301" s="119" t="n">
        <x:f>ROUND(INDEX(X301:AY301,1,(D301-1)*4+2)*'难度参数'!$E$28*'章节与怪物'!$E$17,0)</x:f>
        <x:v>73175</x:v>
      </x:c>
      <x:c r="K301" s="119" t="n">
        <x:f>SUM(AA301,AE301,AI301,AM301,AQ301,AU301,AY301)</x:f>
        <x:v>6566</x:v>
      </x:c>
      <x:c r="L301" s="62" t="n">
        <x:f>H301*(ROUNDUP('难度参数'!$E$24/('难度参数'!$E$26*'难度参数'!$E$27),0)*'难度参数'!$E$26)/60</x:f>
        <x:v>3.226666666666667</x:v>
      </x:c>
      <x:c r="M301" s="62" t="n">
        <x:f>L301+D301*('难度参数'!$E$49+'难度参数'!$E$50)/60</x:f>
        <x:v>4.3933333333333335</x:v>
      </x:c>
      <x:c r="N301" s="119" t="n">
        <x:f>ROUNDDOWN(('经济参数'!$E$20+A301*'经济参数'!$E$21)*G301,0)</x:f>
        <x:v>6080</x:v>
      </x:c>
      <x:c r="O301" s="119" t="n">
        <x:f>ROUNDDOWN(MIN('经济参数'!$E$24,'经济参数'!$E$22+A301*'经济参数'!$E$23)*G301,0)</x:f>
        <x:v>0</x:v>
      </x:c>
      <x:c r="P301" s="119" t="n">
        <x:f>ROUNDDOWN((IF(A301&gt;='材料与任务'!$E$31,'材料与任务'!$E$32,IF(A301&gt;='材料与任务'!$E$25,'材料与任务'!$E$26,IF(A301&gt;='材料与任务'!$E$19,'材料与任务'!$E$20,IF(A301&gt;='材料与任务'!$E$13,'材料与任务'!$E$14,'材料与任务'!$E$8)))))*G301,0)</x:f>
        <x:v>6</x:v>
      </x:c>
      <x:c r="Q301" s="119" t="n">
        <x:f>ROUNDDOWN((IF(A301&gt;='材料与任务'!$E$31,'材料与任务'!$E$33,IF(A301&gt;='材料与任务'!$E$25,'材料与任务'!$E$27,IF(A301&gt;='材料与任务'!$E$19,'材料与任务'!$E$21,IF(A301&gt;='材料与任务'!$E$13,'材料与任务'!$E$15,'材料与任务'!$E$9)))))*G301,0)</x:f>
        <x:v>3</x:v>
      </x:c>
      <x:c r="R301" s="110" t="n">
        <x:f>'装备掉落'!$B$38</x:f>
        <x:v>0.6872058758851213</x:v>
      </x:c>
      <x:c r="S301" s="119" t="n">
        <x:f>MAX(IF(VLOOKUP(A301,'装备掉落'!$A$29:$H$34,2,TRUE)&gt;0,1,0),IF(VLOOKUP(A301,'装备掉落'!$A$29:$H$34,3,TRUE)&gt;0,2,0),IF(VLOOKUP(A301,'装备掉落'!$A$29:$H$34,4,TRUE)&gt;0,3,0),IF(VLOOKUP(A301,'装备掉落'!$A$29:$H$34,5,TRUE)&gt;0,4,0),IF(VLOOKUP(A301,'装备掉落'!$A$29:$H$34,6,TRUE)&gt;0,5,0),IF(VLOOKUP(A301,'装备掉落'!$A$29:$H$34,7,TRUE)&gt;0,6,0),IF(VLOOKUP(A301,'装备掉落'!$A$29:$H$34,8,TRUE)&gt;0,7,0))</x:f>
        <x:v>7</x:v>
      </x:c>
      <x:c r="T301" s="119" t="n">
        <x:f>MIN(7,S301+'经济参数'!$E$70)</x:f>
        <x:v>7</x:v>
      </x:c>
      <x:c r="U301" s="119" t="n">
        <x:f>MIN(7,S301+'经济参数'!$E$71)</x:f>
        <x:v>7</x:v>
      </x:c>
      <x:c r="V301" s="119" t="n">
        <x:f>IF(H301&gt;=('难度参数'!$E$52),1,0)+IF(H301&gt;=('难度参数'!$E$52+'难度参数'!$E$53),1,0)+IF(H301&gt;=('难度参数'!$E$52+'难度参数'!$E$53+'难度参数'!$E$54),1,0)+IF(H301&gt;=('难度参数'!$E$52+'难度参数'!$E$53+'难度参数'!$E$54+'难度参数'!$E$55),1,0)+IF(H301&gt;=('难度参数'!$E$52+'难度参数'!$E$53+'难度参数'!$E$54+'难度参数'!$E$55+'难度参数'!$E$56),1,0)+IF(H301&gt;=('难度参数'!$E$52+'难度参数'!$E$53+'难度参数'!$E$54+'难度参数'!$E$55+'难度参数'!$E$56+'难度参数'!$E$57),1,0)</x:f>
        <x:v>6</x:v>
      </x:c>
      <x:c r="W301" s="62" t="str">
        <x:f>IF(L301&gt;'难度参数'!$E$51,"仅出怪已超目标","还需实测")</x:f>
        <x:v>仅出怪已超目标</x:v>
      </x:c>
      <x:c r="X301" s="119" t="n">
        <x:f>IF(1&gt;D301,0,MAX(2,MIN('难度参数'!$E$12,ROUND(('难度参数'!$E$18*POWER(A301,'难度参数'!$E$19)/D301*(0.85+0.3*(1-1)/MAX(1,D301-1))),0)+F301)))</x:f>
        <x:v>29</x:v>
      </x:c>
      <x:c r="Y301" s="119" t="n">
        <x:f>IF(1&gt;D301,0,ROUND(('难度参数'!$E$13*POWER(A301,'难度参数'!$E$20)*MIN('难度参数'!$E$23,1+MAX(0,A301-'难度参数'!$E$21)*'难度参数'!$E$22))*(36+1*7)/(36+7*(D301+1)/2)*E301,0))</x:f>
        <x:v>5444</x:v>
      </x:c>
      <x:c r="Z301" s="119" t="n">
        <x:f>IF(X301=0,0,(X301-IF(1=D301,1,0))*ROUND(Y301*VLOOKUP(INDEX('章节与怪物'!$E$31:$K$37,B301,1),'章节与怪物'!$A$41:$F$44,2,FALSE),0)+IF(1=D301,ROUND(Y301*'难度参数'!$E$28*'章节与怪物'!$E$17,0),0))</x:f>
        <x:v>157876</x:v>
      </x:c>
      <x:c r="AA301" s="119" t="n">
        <x:f>IF(X301=0,0,(X301-IF(1=D301,1,0))*VLOOKUP(INDEX('章节与怪物'!$E$31:$K$37,B301,1),'章节与怪物'!$A$41:$F$44,4,FALSE)+IF(1=D301,'难度参数'!$E$30,0))</x:f>
        <x:v>522</x:v>
      </x:c>
      <x:c r="AB301" s="119" t="n">
        <x:f>IF(2&gt;D301,0,MAX(2,MIN('难度参数'!$E$12,ROUND(('难度参数'!$E$18*POWER(A301,'难度参数'!$E$19)/D301*(0.85+0.3*(2-1)/MAX(1,D301-1))),0)+F301)))</x:f>
        <x:v>31</x:v>
      </x:c>
      <x:c r="AC301" s="119" t="n">
        <x:f>IF(2&gt;D301,0,ROUND(('难度参数'!$E$13*POWER(A301,'难度参数'!$E$20)*MIN('难度参数'!$E$23,1+MAX(0,A301-'难度参数'!$E$21)*'难度参数'!$E$22))*(36+2*7)/(36+7*(D301+1)/2)*E301,0))</x:f>
        <x:v>6330</x:v>
      </x:c>
      <x:c r="AD301" s="119" t="n">
        <x:f>IF(AB301=0,0,(AB301-IF(2=D301,1,0))*ROUND(AC301*VLOOKUP(INDEX('章节与怪物'!$E$31:$K$37,B301,2),'章节与怪物'!$A$41:$F$44,2,FALSE),0)+IF(2=D301,ROUND(AC301*'难度参数'!$E$28*'章节与怪物'!$E$17,0),0))</x:f>
        <x:v>141298</x:v>
      </x:c>
      <x:c r="AE301" s="119" t="n">
        <x:f>IF(AB301=0,0,(AB301-IF(2=D301,1,0))*VLOOKUP(INDEX('章节与怪物'!$E$31:$K$37,B301,2),'章节与怪物'!$A$41:$F$44,4,FALSE)+IF(2=D301,'难度参数'!$E$30,0))</x:f>
        <x:v>620</x:v>
      </x:c>
      <x:c r="AF301" s="119" t="n">
        <x:f>IF(3&gt;D301,0,MAX(2,MIN('难度参数'!$E$12,ROUND(('难度参数'!$E$18*POWER(A301,'难度参数'!$E$19)/D301*(0.85+0.3*(3-1)/MAX(1,D301-1))),0)+F301)))</x:f>
        <x:v>33</x:v>
      </x:c>
      <x:c r="AG301" s="119" t="n">
        <x:f>IF(3&gt;D301,0,ROUND(('难度参数'!$E$13*POWER(A301,'难度参数'!$E$20)*MIN('难度参数'!$E$23,1+MAX(0,A301-'难度参数'!$E$21)*'难度参数'!$E$22))*(36+3*7)/(36+7*(D301+1)/2)*E301,0))</x:f>
        <x:v>7216</x:v>
      </x:c>
      <x:c r="AH301" s="119" t="n">
        <x:f>IF(AF301=0,0,(AF301-IF(3=D301,1,0))*ROUND(AG301*VLOOKUP(INDEX('章节与怪物'!$E$31:$K$37,B301,3),'章节与怪物'!$A$41:$F$44,2,FALSE),0)+IF(3=D301,ROUND(AG301*'难度参数'!$E$28*'章节与怪物'!$E$17,0),0))</x:f>
        <x:v>404811</x:v>
      </x:c>
      <x:c r="AI301" s="119" t="n">
        <x:f>IF(AF301=0,0,(AF301-IF(3=D301,1,0))*VLOOKUP(INDEX('章节与怪物'!$E$31:$K$37,B301,3),'章节与怪物'!$A$41:$F$44,4,FALSE)+IF(3=D301,'难度参数'!$E$30,0))</x:f>
        <x:v>924</x:v>
      </x:c>
      <x:c r="AJ301" s="119" t="n">
        <x:f>IF(4&gt;D301,0,MAX(2,MIN('难度参数'!$E$12,ROUND(('难度参数'!$E$18*POWER(A301,'难度参数'!$E$19)/D301*(0.85+0.3*(4-1)/MAX(1,D301-1))),0)+F301)))</x:f>
        <x:v>35</x:v>
      </x:c>
      <x:c r="AK301" s="119" t="n">
        <x:f>IF(4&gt;D301,0,ROUND(('难度参数'!$E$13*POWER(A301,'难度参数'!$E$20)*MIN('难度参数'!$E$23,1+MAX(0,A301-'难度参数'!$E$21)*'难度参数'!$E$22))*(36+4*7)/(36+7*(D301+1)/2)*E301,0))</x:f>
        <x:v>8102</x:v>
      </x:c>
      <x:c r="AL301" s="119" t="n">
        <x:f>IF(AJ301=0,0,(AJ301-IF(4=D301,1,0))*ROUND(AK301*VLOOKUP(INDEX('章节与怪物'!$E$31:$K$37,B301,4),'章节与怪物'!$A$41:$F$44,2,FALSE),0)+IF(4=D301,ROUND(AK301*'难度参数'!$E$28*'章节与怪物'!$E$17,0),0))</x:f>
        <x:v>382830</x:v>
      </x:c>
      <x:c r="AM301" s="119" t="n">
        <x:f>IF(AJ301=0,0,(AJ301-IF(4=D301,1,0))*VLOOKUP(INDEX('章节与怪物'!$E$31:$K$37,B301,4),'章节与怪物'!$A$41:$F$44,4,FALSE)+IF(4=D301,'难度参数'!$E$30,0))</x:f>
        <x:v>1190</x:v>
      </x:c>
      <x:c r="AN301" s="119" t="n">
        <x:f>IF(5&gt;D301,0,MAX(2,MIN('难度参数'!$E$12,ROUND(('难度参数'!$E$18*POWER(A301,'难度参数'!$E$19)/D301*(0.85+0.3*(5-1)/MAX(1,D301-1))),0)+F301)))</x:f>
        <x:v>36</x:v>
      </x:c>
      <x:c r="AO301" s="119" t="n">
        <x:f>IF(5&gt;D301,0,ROUND(('难度参数'!$E$13*POWER(A301,'难度参数'!$E$20)*MIN('难度参数'!$E$23,1+MAX(0,A301-'难度参数'!$E$21)*'难度参数'!$E$22))*(36+5*7)/(36+7*(D301+1)/2)*E301,0))</x:f>
        <x:v>8988</x:v>
      </x:c>
      <x:c r="AP301" s="119" t="n">
        <x:f>IF(AN301=0,0,(AN301-IF(5=D301,1,0))*ROUND(AO301*VLOOKUP(INDEX('章节与怪物'!$E$31:$K$37,B301,5),'章节与怪物'!$A$41:$F$44,2,FALSE),0)+IF(5=D301,ROUND(AO301*'难度参数'!$E$28*'章节与怪物'!$E$17,0),0))</x:f>
        <x:v>232956</x:v>
      </x:c>
      <x:c r="AQ301" s="119" t="n">
        <x:f>IF(AN301=0,0,(AN301-IF(5=D301,1,0))*VLOOKUP(INDEX('章节与怪物'!$E$31:$K$37,B301,5),'章节与怪物'!$A$41:$F$44,4,FALSE)+IF(5=D301,'难度参数'!$E$30,0))</x:f>
        <x:v>720</x:v>
      </x:c>
      <x:c r="AR301" s="119" t="n">
        <x:f>IF(6&gt;D301,0,MAX(2,MIN('难度参数'!$E$12,ROUND(('难度参数'!$E$18*POWER(A301,'难度参数'!$E$19)/D301*(0.85+0.3*(6-1)/MAX(1,D301-1))),0)+F301)))</x:f>
        <x:v>38</x:v>
      </x:c>
      <x:c r="AS301" s="119" t="n">
        <x:f>IF(6&gt;D301,0,ROUND(('难度参数'!$E$13*POWER(A301,'难度参数'!$E$20)*MIN('难度参数'!$E$23,1+MAX(0,A301-'难度参数'!$E$21)*'难度参数'!$E$22))*(36+6*7)/(36+7*(D301+1)/2)*E301,0))</x:f>
        <x:v>9875</x:v>
      </x:c>
      <x:c r="AT301" s="119" t="n">
        <x:f>IF(AR301=0,0,(AR301-IF(6=D301,1,0))*ROUND(AS301*VLOOKUP(INDEX('章节与怪物'!$E$31:$K$37,B301,6),'章节与怪物'!$A$41:$F$44,2,FALSE),0)+IF(6=D301,ROUND(AS301*'难度参数'!$E$28*'章节与怪物'!$E$17,0),0))</x:f>
        <x:v>637944</x:v>
      </x:c>
      <x:c r="AU301" s="119" t="n">
        <x:f>IF(AR301=0,0,(AR301-IF(6=D301,1,0))*VLOOKUP(INDEX('章节与怪物'!$E$31:$K$37,B301,6),'章节与怪物'!$A$41:$F$44,4,FALSE)+IF(6=D301,'难度参数'!$E$30,0))</x:f>
        <x:v>1064</x:v>
      </x:c>
      <x:c r="AV301" s="119" t="n">
        <x:f>IF(7&gt;D301,0,MAX(2,MIN('难度参数'!$E$12,ROUND(('难度参数'!$E$18*POWER(A301,'难度参数'!$E$19)/D301*(0.85+0.3*(7-1)/MAX(1,D301-1))),0)+F301)))</x:f>
        <x:v>40</x:v>
      </x:c>
      <x:c r="AW301" s="119" t="n">
        <x:f>IF(7&gt;D301,0,ROUND(('难度参数'!$E$13*POWER(A301,'难度参数'!$E$20)*MIN('难度参数'!$E$23,1+MAX(0,A301-'难度参数'!$E$21)*'难度参数'!$E$22))*(36+7*7)/(36+7*(D301+1)/2)*E301,0))</x:f>
        <x:v>10761</x:v>
      </x:c>
      <x:c r="AX301" s="119" t="n">
        <x:f>IF(AV301=0,0,(AV301-IF(7=D301,1,0))*ROUND(AW301*VLOOKUP(INDEX('章节与怪物'!$E$31:$K$37,B301,7),'章节与怪物'!$A$41:$F$44,2,FALSE),0)+IF(7=D301,ROUND(AW301*'难度参数'!$E$28*'章节与怪物'!$E$17,0),0))</x:f>
        <x:v>639728</x:v>
      </x:c>
      <x:c r="AY301" s="119" t="n">
        <x:f>IF(AV301=0,0,(AV301-IF(7=D301,1,0))*VLOOKUP(INDEX('章节与怪物'!$E$31:$K$37,B301,7),'章节与怪物'!$A$41:$F$44,4,FALSE)+IF(7=D301,'难度参数'!$E$30,0))</x:f>
        <x:v>1526</x:v>
      </x:c>
    </x:row>
    <x:row r="302" ht="23" customHeight="1">
      <x:c r="A302" s="119" t="n">
        <x:v>296</x:v>
      </x:c>
      <x:c r="B302" s="119" t="n">
        <x:f>MOD(INT((A302-1)/5),7)+1</x:f>
        <x:v>4</x:v>
      </x:c>
      <x:c r="C302" s="62" t="str">
        <x:f>INDEX('章节与怪物'!$B$31:$B$37,B302)</x:f>
        <x:v>翠野边城</x:v>
      </x:c>
      <x:c r="D302" s="119" t="n">
        <x:f>MIN('难度参数'!$E$8,MAX('难度参数'!$E$7,A302))</x:f>
        <x:v>7</x:v>
      </x:c>
      <x:c r="E302" s="106" t="n">
        <x:v>1</x:v>
      </x:c>
      <x:c r="F302" s="106" t="n">
        <x:v>0</x:v>
      </x:c>
      <x:c r="G302" s="106" t="n">
        <x:v>1</x:v>
      </x:c>
      <x:c r="H302" s="119" t="n">
        <x:f>SUM(X302,AB302,AF302,AJ302,AN302,AR302,AV302)</x:f>
        <x:v>242</x:v>
      </x:c>
      <x:c r="I302" s="119" t="n">
        <x:f>SUM(Z302,AD302,AH302,AL302,AP302,AT302,AX302)</x:f>
        <x:v>2336701</x:v>
      </x:c>
      <x:c r="J302" s="119" t="n">
        <x:f>ROUND(INDEX(X302:AY302,1,(D302-1)*4+2)*'难度参数'!$E$28*'章节与怪物'!$E$17,0)</x:f>
        <x:v>73352</x:v>
      </x:c>
      <x:c r="K302" s="119" t="n">
        <x:f>SUM(AA302,AE302,AI302,AM302,AQ302,AU302,AY302)</x:f>
        <x:v>6186</x:v>
      </x:c>
      <x:c r="L302" s="62" t="n">
        <x:f>H302*(ROUNDUP('难度参数'!$E$24/('难度参数'!$E$26*'难度参数'!$E$27),0)*'难度参数'!$E$26)/60</x:f>
        <x:v>3.226666666666667</x:v>
      </x:c>
      <x:c r="M302" s="62" t="n">
        <x:f>L302+D302*('难度参数'!$E$49+'难度参数'!$E$50)/60</x:f>
        <x:v>4.3933333333333335</x:v>
      </x:c>
      <x:c r="N302" s="119" t="n">
        <x:f>ROUNDDOWN(('经济参数'!$E$20+A302*'经济参数'!$E$21)*G302,0)</x:f>
        <x:v>6100</x:v>
      </x:c>
      <x:c r="O302" s="119" t="n">
        <x:f>ROUNDDOWN(MIN('经济参数'!$E$24,'经济参数'!$E$22+A302*'经济参数'!$E$23)*G302,0)</x:f>
        <x:v>0</x:v>
      </x:c>
      <x:c r="P302" s="119" t="n">
        <x:f>ROUNDDOWN((IF(A302&gt;='材料与任务'!$E$31,'材料与任务'!$E$32,IF(A302&gt;='材料与任务'!$E$25,'材料与任务'!$E$26,IF(A302&gt;='材料与任务'!$E$19,'材料与任务'!$E$20,IF(A302&gt;='材料与任务'!$E$13,'材料与任务'!$E$14,'材料与任务'!$E$8)))))*G302,0)</x:f>
        <x:v>6</x:v>
      </x:c>
      <x:c r="Q302" s="119" t="n">
        <x:f>ROUNDDOWN((IF(A302&gt;='材料与任务'!$E$31,'材料与任务'!$E$33,IF(A302&gt;='材料与任务'!$E$25,'材料与任务'!$E$27,IF(A302&gt;='材料与任务'!$E$19,'材料与任务'!$E$21,IF(A302&gt;='材料与任务'!$E$13,'材料与任务'!$E$15,'材料与任务'!$E$9)))))*G302,0)</x:f>
        <x:v>3</x:v>
      </x:c>
      <x:c r="R302" s="110" t="n">
        <x:f>'装备掉落'!$B$38</x:f>
        <x:v>0.6872058758851213</x:v>
      </x:c>
      <x:c r="S302" s="119" t="n">
        <x:f>MAX(IF(VLOOKUP(A302,'装备掉落'!$A$29:$H$34,2,TRUE)&gt;0,1,0),IF(VLOOKUP(A302,'装备掉落'!$A$29:$H$34,3,TRUE)&gt;0,2,0),IF(VLOOKUP(A302,'装备掉落'!$A$29:$H$34,4,TRUE)&gt;0,3,0),IF(VLOOKUP(A302,'装备掉落'!$A$29:$H$34,5,TRUE)&gt;0,4,0),IF(VLOOKUP(A302,'装备掉落'!$A$29:$H$34,6,TRUE)&gt;0,5,0),IF(VLOOKUP(A302,'装备掉落'!$A$29:$H$34,7,TRUE)&gt;0,6,0),IF(VLOOKUP(A302,'装备掉落'!$A$29:$H$34,8,TRUE)&gt;0,7,0))</x:f>
        <x:v>7</x:v>
      </x:c>
      <x:c r="T302" s="119" t="n">
        <x:f>MIN(7,S302+'经济参数'!$E$70)</x:f>
        <x:v>7</x:v>
      </x:c>
      <x:c r="U302" s="119" t="n">
        <x:f>MIN(7,S302+'经济参数'!$E$71)</x:f>
        <x:v>7</x:v>
      </x:c>
      <x:c r="V302" s="119" t="n">
        <x:f>IF(H302&gt;=('难度参数'!$E$52),1,0)+IF(H302&gt;=('难度参数'!$E$52+'难度参数'!$E$53),1,0)+IF(H302&gt;=('难度参数'!$E$52+'难度参数'!$E$53+'难度参数'!$E$54),1,0)+IF(H302&gt;=('难度参数'!$E$52+'难度参数'!$E$53+'难度参数'!$E$54+'难度参数'!$E$55),1,0)+IF(H302&gt;=('难度参数'!$E$52+'难度参数'!$E$53+'难度参数'!$E$54+'难度参数'!$E$55+'难度参数'!$E$56),1,0)+IF(H302&gt;=('难度参数'!$E$52+'难度参数'!$E$53+'难度参数'!$E$54+'难度参数'!$E$55+'难度参数'!$E$56+'难度参数'!$E$57),1,0)</x:f>
        <x:v>6</x:v>
      </x:c>
      <x:c r="W302" s="62" t="str">
        <x:f>IF(L302&gt;'难度参数'!$E$51,"仅出怪已超目标","还需实测")</x:f>
        <x:v>仅出怪已超目标</x:v>
      </x:c>
      <x:c r="X302" s="119" t="n">
        <x:f>IF(1&gt;D302,0,MAX(2,MIN('难度参数'!$E$12,ROUND(('难度参数'!$E$18*POWER(A302,'难度参数'!$E$19)/D302*(0.85+0.3*(1-1)/MAX(1,D302-1))),0)+F302)))</x:f>
        <x:v>29</x:v>
      </x:c>
      <x:c r="Y302" s="119" t="n">
        <x:f>IF(1&gt;D302,0,ROUND(('难度参数'!$E$13*POWER(A302,'难度参数'!$E$20)*MIN('难度参数'!$E$23,1+MAX(0,A302-'难度参数'!$E$21)*'难度参数'!$E$22))*(36+1*7)/(36+7*(D302+1)/2)*E302,0))</x:f>
        <x:v>5457</x:v>
      </x:c>
      <x:c r="Z302" s="119" t="n">
        <x:f>IF(X302=0,0,(X302-IF(1=D302,1,0))*ROUND(Y302*VLOOKUP(INDEX('章节与怪物'!$E$31:$K$37,B302,1),'章节与怪物'!$A$41:$F$44,2,FALSE),0)+IF(1=D302,ROUND(Y302*'难度参数'!$E$28*'章节与怪物'!$E$17,0),0))</x:f>
        <x:v>113941</x:v>
      </x:c>
      <x:c r="AA302" s="119" t="n">
        <x:f>IF(X302=0,0,(X302-IF(1=D302,1,0))*VLOOKUP(INDEX('章节与怪物'!$E$31:$K$37,B302,1),'章节与怪物'!$A$41:$F$44,4,FALSE)+IF(1=D302,'难度参数'!$E$30,0))</x:f>
        <x:v>580</x:v>
      </x:c>
      <x:c r="AB302" s="119" t="n">
        <x:f>IF(2&gt;D302,0,MAX(2,MIN('难度参数'!$E$12,ROUND(('难度参数'!$E$18*POWER(A302,'难度参数'!$E$19)/D302*(0.85+0.3*(2-1)/MAX(1,D302-1))),0)+F302)))</x:f>
        <x:v>31</x:v>
      </x:c>
      <x:c r="AC302" s="119" t="n">
        <x:f>IF(2&gt;D302,0,ROUND(('难度参数'!$E$13*POWER(A302,'难度参数'!$E$20)*MIN('难度参数'!$E$23,1+MAX(0,A302-'难度参数'!$E$21)*'难度参数'!$E$22))*(36+2*7)/(36+7*(D302+1)/2)*E302,0))</x:f>
        <x:v>6345</x:v>
      </x:c>
      <x:c r="AD302" s="119" t="n">
        <x:f>IF(AB302=0,0,(AB302-IF(2=D302,1,0))*ROUND(AC302*VLOOKUP(INDEX('章节与怪物'!$E$31:$K$37,B302,2),'章节与怪物'!$A$41:$F$44,2,FALSE),0)+IF(2=D302,ROUND(AC302*'难度参数'!$E$28*'章节与怪物'!$E$17,0),0))</x:f>
        <x:v>196695</x:v>
      </x:c>
      <x:c r="AE302" s="119" t="n">
        <x:f>IF(AB302=0,0,(AB302-IF(2=D302,1,0))*VLOOKUP(INDEX('章节与怪物'!$E$31:$K$37,B302,2),'章节与怪物'!$A$41:$F$44,4,FALSE)+IF(2=D302,'难度参数'!$E$30,0))</x:f>
        <x:v>558</x:v>
      </x:c>
      <x:c r="AF302" s="119" t="n">
        <x:f>IF(3&gt;D302,0,MAX(2,MIN('难度参数'!$E$12,ROUND(('难度参数'!$E$18*POWER(A302,'难度参数'!$E$19)/D302*(0.85+0.3*(3-1)/MAX(1,D302-1))),0)+F302)))</x:f>
        <x:v>33</x:v>
      </x:c>
      <x:c r="AG302" s="119" t="n">
        <x:f>IF(3&gt;D302,0,ROUND(('难度参数'!$E$13*POWER(A302,'难度参数'!$E$20)*MIN('难度参数'!$E$23,1+MAX(0,A302-'难度参数'!$E$21)*'难度参数'!$E$22))*(36+3*7)/(36+7*(D302+1)/2)*E302,0))</x:f>
        <x:v>7234</x:v>
      </x:c>
      <x:c r="AH302" s="119" t="n">
        <x:f>IF(AF302=0,0,(AF302-IF(3=D302,1,0))*ROUND(AG302*VLOOKUP(INDEX('章节与怪物'!$E$31:$K$37,B302,3),'章节与怪物'!$A$41:$F$44,2,FALSE),0)+IF(3=D302,ROUND(AG302*'难度参数'!$E$28*'章节与怪物'!$E$17,0),0))</x:f>
        <x:v>405834</x:v>
      </x:c>
      <x:c r="AI302" s="119" t="n">
        <x:f>IF(AF302=0,0,(AF302-IF(3=D302,1,0))*VLOOKUP(INDEX('章节与怪物'!$E$31:$K$37,B302,3),'章节与怪物'!$A$41:$F$44,4,FALSE)+IF(3=D302,'难度参数'!$E$30,0))</x:f>
        <x:v>924</x:v>
      </x:c>
      <x:c r="AJ302" s="119" t="n">
        <x:f>IF(4&gt;D302,0,MAX(2,MIN('难度参数'!$E$12,ROUND(('难度参数'!$E$18*POWER(A302,'难度参数'!$E$19)/D302*(0.85+0.3*(4-1)/MAX(1,D302-1))),0)+F302)))</x:f>
        <x:v>35</x:v>
      </x:c>
      <x:c r="AK302" s="119" t="n">
        <x:f>IF(4&gt;D302,0,ROUND(('难度参数'!$E$13*POWER(A302,'难度参数'!$E$20)*MIN('难度参数'!$E$23,1+MAX(0,A302-'难度参数'!$E$21)*'难度参数'!$E$22))*(36+4*7)/(36+7*(D302+1)/2)*E302,0))</x:f>
        <x:v>8122</x:v>
      </x:c>
      <x:c r="AL302" s="119" t="n">
        <x:f>IF(AJ302=0,0,(AJ302-IF(4=D302,1,0))*ROUND(AK302*VLOOKUP(INDEX('章节与怪物'!$E$31:$K$37,B302,4),'章节与怪物'!$A$41:$F$44,2,FALSE),0)+IF(4=D302,ROUND(AK302*'难度参数'!$E$28*'章节与怪物'!$E$17,0),0))</x:f>
        <x:v>383775</x:v>
      </x:c>
      <x:c r="AM302" s="119" t="n">
        <x:f>IF(AJ302=0,0,(AJ302-IF(4=D302,1,0))*VLOOKUP(INDEX('章节与怪物'!$E$31:$K$37,B302,4),'章节与怪物'!$A$41:$F$44,4,FALSE)+IF(4=D302,'难度参数'!$E$30,0))</x:f>
        <x:v>1190</x:v>
      </x:c>
      <x:c r="AN302" s="119" t="n">
        <x:f>IF(5&gt;D302,0,MAX(2,MIN('难度参数'!$E$12,ROUND(('难度参数'!$E$18*POWER(A302,'难度参数'!$E$19)/D302*(0.85+0.3*(5-1)/MAX(1,D302-1))),0)+F302)))</x:f>
        <x:v>36</x:v>
      </x:c>
      <x:c r="AO302" s="119" t="n">
        <x:f>IF(5&gt;D302,0,ROUND(('难度参数'!$E$13*POWER(A302,'难度参数'!$E$20)*MIN('难度参数'!$E$23,1+MAX(0,A302-'难度参数'!$E$21)*'难度参数'!$E$22))*(36+5*7)/(36+7*(D302+1)/2)*E302,0))</x:f>
        <x:v>9010</x:v>
      </x:c>
      <x:c r="AP302" s="119" t="n">
        <x:f>IF(AN302=0,0,(AN302-IF(5=D302,1,0))*ROUND(AO302*VLOOKUP(INDEX('章节与怪物'!$E$31:$K$37,B302,5),'章节与怪物'!$A$41:$F$44,2,FALSE),0)+IF(5=D302,ROUND(AO302*'难度参数'!$E$28*'章节与怪物'!$E$17,0),0))</x:f>
        <x:v>324360</x:v>
      </x:c>
      <x:c r="AQ302" s="119" t="n">
        <x:f>IF(AN302=0,0,(AN302-IF(5=D302,1,0))*VLOOKUP(INDEX('章节与怪物'!$E$31:$K$37,B302,5),'章节与怪物'!$A$41:$F$44,4,FALSE)+IF(5=D302,'难度参数'!$E$30,0))</x:f>
        <x:v>648</x:v>
      </x:c>
      <x:c r="AR302" s="119" t="n">
        <x:f>IF(6&gt;D302,0,MAX(2,MIN('难度参数'!$E$12,ROUND(('难度参数'!$E$18*POWER(A302,'难度参数'!$E$19)/D302*(0.85+0.3*(6-1)/MAX(1,D302-1))),0)+F302)))</x:f>
        <x:v>38</x:v>
      </x:c>
      <x:c r="AS302" s="119" t="n">
        <x:f>IF(6&gt;D302,0,ROUND(('难度参数'!$E$13*POWER(A302,'难度参数'!$E$20)*MIN('难度参数'!$E$23,1+MAX(0,A302-'难度参数'!$E$21)*'难度参数'!$E$22))*(36+6*7)/(36+7*(D302+1)/2)*E302,0))</x:f>
        <x:v>9899</x:v>
      </x:c>
      <x:c r="AT302" s="119" t="n">
        <x:f>IF(AR302=0,0,(AR302-IF(6=D302,1,0))*ROUND(AS302*VLOOKUP(INDEX('章节与怪物'!$E$31:$K$37,B302,6),'章节与怪物'!$A$41:$F$44,2,FALSE),0)+IF(6=D302,ROUND(AS302*'难度参数'!$E$28*'章节与怪物'!$E$17,0),0))</x:f>
        <x:v>270826</x:v>
      </x:c>
      <x:c r="AU302" s="119" t="n">
        <x:f>IF(AR302=0,0,(AR302-IF(6=D302,1,0))*VLOOKUP(INDEX('章节与怪物'!$E$31:$K$37,B302,6),'章节与怪物'!$A$41:$F$44,4,FALSE)+IF(6=D302,'难度参数'!$E$30,0))</x:f>
        <x:v>760</x:v>
      </x:c>
      <x:c r="AV302" s="119" t="n">
        <x:f>IF(7&gt;D302,0,MAX(2,MIN('难度参数'!$E$12,ROUND(('难度参数'!$E$18*POWER(A302,'难度参数'!$E$19)/D302*(0.85+0.3*(7-1)/MAX(1,D302-1))),0)+F302)))</x:f>
        <x:v>40</x:v>
      </x:c>
      <x:c r="AW302" s="119" t="n">
        <x:f>IF(7&gt;D302,0,ROUND(('难度参数'!$E$13*POWER(A302,'难度参数'!$E$20)*MIN('难度参数'!$E$23,1+MAX(0,A302-'难度参数'!$E$21)*'难度参数'!$E$22))*(36+7*7)/(36+7*(D302+1)/2)*E302,0))</x:f>
        <x:v>10787</x:v>
      </x:c>
      <x:c r="AX302" s="119" t="n">
        <x:f>IF(AV302=0,0,(AV302-IF(7=D302,1,0))*ROUND(AW302*VLOOKUP(INDEX('章节与怪物'!$E$31:$K$37,B302,7),'章节与怪物'!$A$41:$F$44,2,FALSE),0)+IF(7=D302,ROUND(AW302*'难度参数'!$E$28*'章节与怪物'!$E$17,0),0))</x:f>
        <x:v>641270</x:v>
      </x:c>
      <x:c r="AY302" s="119" t="n">
        <x:f>IF(AV302=0,0,(AV302-IF(7=D302,1,0))*VLOOKUP(INDEX('章节与怪物'!$E$31:$K$37,B302,7),'章节与怪物'!$A$41:$F$44,4,FALSE)+IF(7=D302,'难度参数'!$E$30,0))</x:f>
        <x:v>1526</x:v>
      </x:c>
    </x:row>
    <x:row r="303" ht="23" customHeight="1">
      <x:c r="A303" s="119" t="n">
        <x:v>297</x:v>
      </x:c>
      <x:c r="B303" s="119" t="n">
        <x:f>MOD(INT((A303-1)/5),7)+1</x:f>
        <x:v>4</x:v>
      </x:c>
      <x:c r="C303" s="62" t="str">
        <x:f>INDEX('章节与怪物'!$B$31:$B$37,B303)</x:f>
        <x:v>翠野边城</x:v>
      </x:c>
      <x:c r="D303" s="119" t="n">
        <x:f>MIN('难度参数'!$E$8,MAX('难度参数'!$E$7,A303))</x:f>
        <x:v>7</x:v>
      </x:c>
      <x:c r="E303" s="106" t="n">
        <x:v>1</x:v>
      </x:c>
      <x:c r="F303" s="106" t="n">
        <x:v>0</x:v>
      </x:c>
      <x:c r="G303" s="106" t="n">
        <x:v>1</x:v>
      </x:c>
      <x:c r="H303" s="119" t="n">
        <x:f>SUM(X303,AB303,AF303,AJ303,AN303,AR303,AV303)</x:f>
        <x:v>242</x:v>
      </x:c>
      <x:c r="I303" s="119" t="n">
        <x:f>SUM(Z303,AD303,AH303,AL303,AP303,AT303,AX303)</x:f>
        <x:v>2342416</x:v>
      </x:c>
      <x:c r="J303" s="119" t="n">
        <x:f>ROUND(INDEX(X303:AY303,1,(D303-1)*4+2)*'难度参数'!$E$28*'章节与怪物'!$E$17,0)</x:f>
        <x:v>73528</x:v>
      </x:c>
      <x:c r="K303" s="119" t="n">
        <x:f>SUM(AA303,AE303,AI303,AM303,AQ303,AU303,AY303)</x:f>
        <x:v>6186</x:v>
      </x:c>
      <x:c r="L303" s="62" t="n">
        <x:f>H303*(ROUNDUP('难度参数'!$E$24/('难度参数'!$E$26*'难度参数'!$E$27),0)*'难度参数'!$E$26)/60</x:f>
        <x:v>3.226666666666667</x:v>
      </x:c>
      <x:c r="M303" s="62" t="n">
        <x:f>L303+D303*('难度参数'!$E$49+'难度参数'!$E$50)/60</x:f>
        <x:v>4.3933333333333335</x:v>
      </x:c>
      <x:c r="N303" s="119" t="n">
        <x:f>ROUNDDOWN(('经济参数'!$E$20+A303*'经济参数'!$E$21)*G303,0)</x:f>
        <x:v>6120</x:v>
      </x:c>
      <x:c r="O303" s="119" t="n">
        <x:f>ROUNDDOWN(MIN('经济参数'!$E$24,'经济参数'!$E$22+A303*'经济参数'!$E$23)*G303,0)</x:f>
        <x:v>0</x:v>
      </x:c>
      <x:c r="P303" s="119" t="n">
        <x:f>ROUNDDOWN((IF(A303&gt;='材料与任务'!$E$31,'材料与任务'!$E$32,IF(A303&gt;='材料与任务'!$E$25,'材料与任务'!$E$26,IF(A303&gt;='材料与任务'!$E$19,'材料与任务'!$E$20,IF(A303&gt;='材料与任务'!$E$13,'材料与任务'!$E$14,'材料与任务'!$E$8)))))*G303,0)</x:f>
        <x:v>6</x:v>
      </x:c>
      <x:c r="Q303" s="119" t="n">
        <x:f>ROUNDDOWN((IF(A303&gt;='材料与任务'!$E$31,'材料与任务'!$E$33,IF(A303&gt;='材料与任务'!$E$25,'材料与任务'!$E$27,IF(A303&gt;='材料与任务'!$E$19,'材料与任务'!$E$21,IF(A303&gt;='材料与任务'!$E$13,'材料与任务'!$E$15,'材料与任务'!$E$9)))))*G303,0)</x:f>
        <x:v>3</x:v>
      </x:c>
      <x:c r="R303" s="110" t="n">
        <x:f>'装备掉落'!$B$38</x:f>
        <x:v>0.6872058758851213</x:v>
      </x:c>
      <x:c r="S303" s="119" t="n">
        <x:f>MAX(IF(VLOOKUP(A303,'装备掉落'!$A$29:$H$34,2,TRUE)&gt;0,1,0),IF(VLOOKUP(A303,'装备掉落'!$A$29:$H$34,3,TRUE)&gt;0,2,0),IF(VLOOKUP(A303,'装备掉落'!$A$29:$H$34,4,TRUE)&gt;0,3,0),IF(VLOOKUP(A303,'装备掉落'!$A$29:$H$34,5,TRUE)&gt;0,4,0),IF(VLOOKUP(A303,'装备掉落'!$A$29:$H$34,6,TRUE)&gt;0,5,0),IF(VLOOKUP(A303,'装备掉落'!$A$29:$H$34,7,TRUE)&gt;0,6,0),IF(VLOOKUP(A303,'装备掉落'!$A$29:$H$34,8,TRUE)&gt;0,7,0))</x:f>
        <x:v>7</x:v>
      </x:c>
      <x:c r="T303" s="119" t="n">
        <x:f>MIN(7,S303+'经济参数'!$E$70)</x:f>
        <x:v>7</x:v>
      </x:c>
      <x:c r="U303" s="119" t="n">
        <x:f>MIN(7,S303+'经济参数'!$E$71)</x:f>
        <x:v>7</x:v>
      </x:c>
      <x:c r="V303" s="119" t="n">
        <x:f>IF(H303&gt;=('难度参数'!$E$52),1,0)+IF(H303&gt;=('难度参数'!$E$52+'难度参数'!$E$53),1,0)+IF(H303&gt;=('难度参数'!$E$52+'难度参数'!$E$53+'难度参数'!$E$54),1,0)+IF(H303&gt;=('难度参数'!$E$52+'难度参数'!$E$53+'难度参数'!$E$54+'难度参数'!$E$55),1,0)+IF(H303&gt;=('难度参数'!$E$52+'难度参数'!$E$53+'难度参数'!$E$54+'难度参数'!$E$55+'难度参数'!$E$56),1,0)+IF(H303&gt;=('难度参数'!$E$52+'难度参数'!$E$53+'难度参数'!$E$54+'难度参数'!$E$55+'难度参数'!$E$56+'难度参数'!$E$57),1,0)</x:f>
        <x:v>6</x:v>
      </x:c>
      <x:c r="W303" s="62" t="str">
        <x:f>IF(L303&gt;'难度参数'!$E$51,"仅出怪已超目标","还需实测")</x:f>
        <x:v>仅出怪已超目标</x:v>
      </x:c>
      <x:c r="X303" s="119" t="n">
        <x:f>IF(1&gt;D303,0,MAX(2,MIN('难度参数'!$E$12,ROUND(('难度参数'!$E$18*POWER(A303,'难度参数'!$E$19)/D303*(0.85+0.3*(1-1)/MAX(1,D303-1))),0)+F303)))</x:f>
        <x:v>29</x:v>
      </x:c>
      <x:c r="Y303" s="119" t="n">
        <x:f>IF(1&gt;D303,0,ROUND(('难度参数'!$E$13*POWER(A303,'难度参数'!$E$20)*MIN('难度参数'!$E$23,1+MAX(0,A303-'难度参数'!$E$21)*'难度参数'!$E$22))*(36+1*7)/(36+7*(D303+1)/2)*E303,0))</x:f>
        <x:v>5470</x:v>
      </x:c>
      <x:c r="Z303" s="119" t="n">
        <x:f>IF(X303=0,0,(X303-IF(1=D303,1,0))*ROUND(Y303*VLOOKUP(INDEX('章节与怪物'!$E$31:$K$37,B303,1),'章节与怪物'!$A$41:$F$44,2,FALSE),0)+IF(1=D303,ROUND(Y303*'难度参数'!$E$28*'章节与怪物'!$E$17,0),0))</x:f>
        <x:v>114202</x:v>
      </x:c>
      <x:c r="AA303" s="119" t="n">
        <x:f>IF(X303=0,0,(X303-IF(1=D303,1,0))*VLOOKUP(INDEX('章节与怪物'!$E$31:$K$37,B303,1),'章节与怪物'!$A$41:$F$44,4,FALSE)+IF(1=D303,'难度参数'!$E$30,0))</x:f>
        <x:v>580</x:v>
      </x:c>
      <x:c r="AB303" s="119" t="n">
        <x:f>IF(2&gt;D303,0,MAX(2,MIN('难度参数'!$E$12,ROUND(('难度参数'!$E$18*POWER(A303,'难度参数'!$E$19)/D303*(0.85+0.3*(2-1)/MAX(1,D303-1))),0)+F303)))</x:f>
        <x:v>31</x:v>
      </x:c>
      <x:c r="AC303" s="119" t="n">
        <x:f>IF(2&gt;D303,0,ROUND(('难度参数'!$E$13*POWER(A303,'难度参数'!$E$20)*MIN('难度参数'!$E$23,1+MAX(0,A303-'难度参数'!$E$21)*'难度参数'!$E$22))*(36+2*7)/(36+7*(D303+1)/2)*E303,0))</x:f>
        <x:v>6361</x:v>
      </x:c>
      <x:c r="AD303" s="119" t="n">
        <x:f>IF(AB303=0,0,(AB303-IF(2=D303,1,0))*ROUND(AC303*VLOOKUP(INDEX('章节与怪物'!$E$31:$K$37,B303,2),'章节与怪物'!$A$41:$F$44,2,FALSE),0)+IF(2=D303,ROUND(AC303*'难度参数'!$E$28*'章节与怪物'!$E$17,0),0))</x:f>
        <x:v>197191</x:v>
      </x:c>
      <x:c r="AE303" s="119" t="n">
        <x:f>IF(AB303=0,0,(AB303-IF(2=D303,1,0))*VLOOKUP(INDEX('章节与怪物'!$E$31:$K$37,B303,2),'章节与怪物'!$A$41:$F$44,4,FALSE)+IF(2=D303,'难度参数'!$E$30,0))</x:f>
        <x:v>558</x:v>
      </x:c>
      <x:c r="AF303" s="119" t="n">
        <x:f>IF(3&gt;D303,0,MAX(2,MIN('难度参数'!$E$12,ROUND(('难度参数'!$E$18*POWER(A303,'难度参数'!$E$19)/D303*(0.85+0.3*(3-1)/MAX(1,D303-1))),0)+F303)))</x:f>
        <x:v>33</x:v>
      </x:c>
      <x:c r="AG303" s="119" t="n">
        <x:f>IF(3&gt;D303,0,ROUND(('难度参数'!$E$13*POWER(A303,'难度参数'!$E$20)*MIN('难度参数'!$E$23,1+MAX(0,A303-'难度参数'!$E$21)*'难度参数'!$E$22))*(36+3*7)/(36+7*(D303+1)/2)*E303,0))</x:f>
        <x:v>7251</x:v>
      </x:c>
      <x:c r="AH303" s="119" t="n">
        <x:f>IF(AF303=0,0,(AF303-IF(3=D303,1,0))*ROUND(AG303*VLOOKUP(INDEX('章节与怪物'!$E$31:$K$37,B303,3),'章节与怪物'!$A$41:$F$44,2,FALSE),0)+IF(3=D303,ROUND(AG303*'难度参数'!$E$28*'章节与怪物'!$E$17,0),0))</x:f>
        <x:v>406791</x:v>
      </x:c>
      <x:c r="AI303" s="119" t="n">
        <x:f>IF(AF303=0,0,(AF303-IF(3=D303,1,0))*VLOOKUP(INDEX('章节与怪物'!$E$31:$K$37,B303,3),'章节与怪物'!$A$41:$F$44,4,FALSE)+IF(3=D303,'难度参数'!$E$30,0))</x:f>
        <x:v>924</x:v>
      </x:c>
      <x:c r="AJ303" s="119" t="n">
        <x:f>IF(4&gt;D303,0,MAX(2,MIN('难度参数'!$E$12,ROUND(('难度参数'!$E$18*POWER(A303,'难度参数'!$E$19)/D303*(0.85+0.3*(4-1)/MAX(1,D303-1))),0)+F303)))</x:f>
        <x:v>35</x:v>
      </x:c>
      <x:c r="AK303" s="119" t="n">
        <x:f>IF(4&gt;D303,0,ROUND(('难度参数'!$E$13*POWER(A303,'难度参数'!$E$20)*MIN('难度参数'!$E$23,1+MAX(0,A303-'难度参数'!$E$21)*'难度参数'!$E$22))*(36+4*7)/(36+7*(D303+1)/2)*E303,0))</x:f>
        <x:v>8142</x:v>
      </x:c>
      <x:c r="AL303" s="119" t="n">
        <x:f>IF(AJ303=0,0,(AJ303-IF(4=D303,1,0))*ROUND(AK303*VLOOKUP(INDEX('章节与怪物'!$E$31:$K$37,B303,4),'章节与怪物'!$A$41:$F$44,2,FALSE),0)+IF(4=D303,ROUND(AK303*'难度参数'!$E$28*'章节与怪物'!$E$17,0),0))</x:f>
        <x:v>384720</x:v>
      </x:c>
      <x:c r="AM303" s="119" t="n">
        <x:f>IF(AJ303=0,0,(AJ303-IF(4=D303,1,0))*VLOOKUP(INDEX('章节与怪物'!$E$31:$K$37,B303,4),'章节与怪物'!$A$41:$F$44,4,FALSE)+IF(4=D303,'难度参数'!$E$30,0))</x:f>
        <x:v>1190</x:v>
      </x:c>
      <x:c r="AN303" s="119" t="n">
        <x:f>IF(5&gt;D303,0,MAX(2,MIN('难度参数'!$E$12,ROUND(('难度参数'!$E$18*POWER(A303,'难度参数'!$E$19)/D303*(0.85+0.3*(5-1)/MAX(1,D303-1))),0)+F303)))</x:f>
        <x:v>36</x:v>
      </x:c>
      <x:c r="AO303" s="119" t="n">
        <x:f>IF(5&gt;D303,0,ROUND(('难度参数'!$E$13*POWER(A303,'难度参数'!$E$20)*MIN('难度参数'!$E$23,1+MAX(0,A303-'难度参数'!$E$21)*'难度参数'!$E$22))*(36+5*7)/(36+7*(D303+1)/2)*E303,0))</x:f>
        <x:v>9032</x:v>
      </x:c>
      <x:c r="AP303" s="119" t="n">
        <x:f>IF(AN303=0,0,(AN303-IF(5=D303,1,0))*ROUND(AO303*VLOOKUP(INDEX('章节与怪物'!$E$31:$K$37,B303,5),'章节与怪物'!$A$41:$F$44,2,FALSE),0)+IF(5=D303,ROUND(AO303*'难度参数'!$E$28*'章节与怪物'!$E$17,0),0))</x:f>
        <x:v>325152</x:v>
      </x:c>
      <x:c r="AQ303" s="119" t="n">
        <x:f>IF(AN303=0,0,(AN303-IF(5=D303,1,0))*VLOOKUP(INDEX('章节与怪物'!$E$31:$K$37,B303,5),'章节与怪物'!$A$41:$F$44,4,FALSE)+IF(5=D303,'难度参数'!$E$30,0))</x:f>
        <x:v>648</x:v>
      </x:c>
      <x:c r="AR303" s="119" t="n">
        <x:f>IF(6&gt;D303,0,MAX(2,MIN('难度参数'!$E$12,ROUND(('难度参数'!$E$18*POWER(A303,'难度参数'!$E$19)/D303*(0.85+0.3*(6-1)/MAX(1,D303-1))),0)+F303)))</x:f>
        <x:v>38</x:v>
      </x:c>
      <x:c r="AS303" s="119" t="n">
        <x:f>IF(6&gt;D303,0,ROUND(('难度参数'!$E$13*POWER(A303,'难度参数'!$E$20)*MIN('难度参数'!$E$23,1+MAX(0,A303-'难度参数'!$E$21)*'难度参数'!$E$22))*(36+6*7)/(36+7*(D303+1)/2)*E303,0))</x:f>
        <x:v>9923</x:v>
      </x:c>
      <x:c r="AT303" s="119" t="n">
        <x:f>IF(AR303=0,0,(AR303-IF(6=D303,1,0))*ROUND(AS303*VLOOKUP(INDEX('章节与怪物'!$E$31:$K$37,B303,6),'章节与怪物'!$A$41:$F$44,2,FALSE),0)+IF(6=D303,ROUND(AS303*'难度参数'!$E$28*'章节与怪物'!$E$17,0),0))</x:f>
        <x:v>271510</x:v>
      </x:c>
      <x:c r="AU303" s="119" t="n">
        <x:f>IF(AR303=0,0,(AR303-IF(6=D303,1,0))*VLOOKUP(INDEX('章节与怪物'!$E$31:$K$37,B303,6),'章节与怪物'!$A$41:$F$44,4,FALSE)+IF(6=D303,'难度参数'!$E$30,0))</x:f>
        <x:v>760</x:v>
      </x:c>
      <x:c r="AV303" s="119" t="n">
        <x:f>IF(7&gt;D303,0,MAX(2,MIN('难度参数'!$E$12,ROUND(('难度参数'!$E$18*POWER(A303,'难度参数'!$E$19)/D303*(0.85+0.3*(7-1)/MAX(1,D303-1))),0)+F303)))</x:f>
        <x:v>40</x:v>
      </x:c>
      <x:c r="AW303" s="119" t="n">
        <x:f>IF(7&gt;D303,0,ROUND(('难度参数'!$E$13*POWER(A303,'难度参数'!$E$20)*MIN('难度参数'!$E$23,1+MAX(0,A303-'难度参数'!$E$21)*'难度参数'!$E$22))*(36+7*7)/(36+7*(D303+1)/2)*E303,0))</x:f>
        <x:v>10813</x:v>
      </x:c>
      <x:c r="AX303" s="119" t="n">
        <x:f>IF(AV303=0,0,(AV303-IF(7=D303,1,0))*ROUND(AW303*VLOOKUP(INDEX('章节与怪物'!$E$31:$K$37,B303,7),'章节与怪物'!$A$41:$F$44,2,FALSE),0)+IF(7=D303,ROUND(AW303*'难度参数'!$E$28*'章节与怪物'!$E$17,0),0))</x:f>
        <x:v>642850</x:v>
      </x:c>
      <x:c r="AY303" s="119" t="n">
        <x:f>IF(AV303=0,0,(AV303-IF(7=D303,1,0))*VLOOKUP(INDEX('章节与怪物'!$E$31:$K$37,B303,7),'章节与怪物'!$A$41:$F$44,4,FALSE)+IF(7=D303,'难度参数'!$E$30,0))</x:f>
        <x:v>1526</x:v>
      </x:c>
    </x:row>
    <x:row r="304" ht="23" customHeight="1">
      <x:c r="A304" s="119" t="n">
        <x:v>298</x:v>
      </x:c>
      <x:c r="B304" s="119" t="n">
        <x:f>MOD(INT((A304-1)/5),7)+1</x:f>
        <x:v>4</x:v>
      </x:c>
      <x:c r="C304" s="62" t="str">
        <x:f>INDEX('章节与怪物'!$B$31:$B$37,B304)</x:f>
        <x:v>翠野边城</x:v>
      </x:c>
      <x:c r="D304" s="119" t="n">
        <x:f>MIN('难度参数'!$E$8,MAX('难度参数'!$E$7,A304))</x:f>
        <x:v>7</x:v>
      </x:c>
      <x:c r="E304" s="106" t="n">
        <x:v>1</x:v>
      </x:c>
      <x:c r="F304" s="106" t="n">
        <x:v>0</x:v>
      </x:c>
      <x:c r="G304" s="106" t="n">
        <x:v>1</x:v>
      </x:c>
      <x:c r="H304" s="119" t="n">
        <x:f>SUM(X304,AB304,AF304,AJ304,AN304,AR304,AV304)</x:f>
        <x:v>242</x:v>
      </x:c>
      <x:c r="I304" s="119" t="n">
        <x:f>SUM(Z304,AD304,AH304,AL304,AP304,AT304,AX304)</x:f>
        <x:v>2348016</x:v>
      </x:c>
      <x:c r="J304" s="119" t="n">
        <x:f>ROUND(INDEX(X304:AY304,1,(D304-1)*4+2)*'难度参数'!$E$28*'章节与怪物'!$E$17,0)</x:f>
        <x:v>73705</x:v>
      </x:c>
      <x:c r="K304" s="119" t="n">
        <x:f>SUM(AA304,AE304,AI304,AM304,AQ304,AU304,AY304)</x:f>
        <x:v>6186</x:v>
      </x:c>
      <x:c r="L304" s="62" t="n">
        <x:f>H304*(ROUNDUP('难度参数'!$E$24/('难度参数'!$E$26*'难度参数'!$E$27),0)*'难度参数'!$E$26)/60</x:f>
        <x:v>3.226666666666667</x:v>
      </x:c>
      <x:c r="M304" s="62" t="n">
        <x:f>L304+D304*('难度参数'!$E$49+'难度参数'!$E$50)/60</x:f>
        <x:v>4.3933333333333335</x:v>
      </x:c>
      <x:c r="N304" s="119" t="n">
        <x:f>ROUNDDOWN(('经济参数'!$E$20+A304*'经济参数'!$E$21)*G304,0)</x:f>
        <x:v>6140</x:v>
      </x:c>
      <x:c r="O304" s="119" t="n">
        <x:f>ROUNDDOWN(MIN('经济参数'!$E$24,'经济参数'!$E$22+A304*'经济参数'!$E$23)*G304,0)</x:f>
        <x:v>0</x:v>
      </x:c>
      <x:c r="P304" s="119" t="n">
        <x:f>ROUNDDOWN((IF(A304&gt;='材料与任务'!$E$31,'材料与任务'!$E$32,IF(A304&gt;='材料与任务'!$E$25,'材料与任务'!$E$26,IF(A304&gt;='材料与任务'!$E$19,'材料与任务'!$E$20,IF(A304&gt;='材料与任务'!$E$13,'材料与任务'!$E$14,'材料与任务'!$E$8)))))*G304,0)</x:f>
        <x:v>6</x:v>
      </x:c>
      <x:c r="Q304" s="119" t="n">
        <x:f>ROUNDDOWN((IF(A304&gt;='材料与任务'!$E$31,'材料与任务'!$E$33,IF(A304&gt;='材料与任务'!$E$25,'材料与任务'!$E$27,IF(A304&gt;='材料与任务'!$E$19,'材料与任务'!$E$21,IF(A304&gt;='材料与任务'!$E$13,'材料与任务'!$E$15,'材料与任务'!$E$9)))))*G304,0)</x:f>
        <x:v>3</x:v>
      </x:c>
      <x:c r="R304" s="110" t="n">
        <x:f>'装备掉落'!$B$38</x:f>
        <x:v>0.6872058758851213</x:v>
      </x:c>
      <x:c r="S304" s="119" t="n">
        <x:f>MAX(IF(VLOOKUP(A304,'装备掉落'!$A$29:$H$34,2,TRUE)&gt;0,1,0),IF(VLOOKUP(A304,'装备掉落'!$A$29:$H$34,3,TRUE)&gt;0,2,0),IF(VLOOKUP(A304,'装备掉落'!$A$29:$H$34,4,TRUE)&gt;0,3,0),IF(VLOOKUP(A304,'装备掉落'!$A$29:$H$34,5,TRUE)&gt;0,4,0),IF(VLOOKUP(A304,'装备掉落'!$A$29:$H$34,6,TRUE)&gt;0,5,0),IF(VLOOKUP(A304,'装备掉落'!$A$29:$H$34,7,TRUE)&gt;0,6,0),IF(VLOOKUP(A304,'装备掉落'!$A$29:$H$34,8,TRUE)&gt;0,7,0))</x:f>
        <x:v>7</x:v>
      </x:c>
      <x:c r="T304" s="119" t="n">
        <x:f>MIN(7,S304+'经济参数'!$E$70)</x:f>
        <x:v>7</x:v>
      </x:c>
      <x:c r="U304" s="119" t="n">
        <x:f>MIN(7,S304+'经济参数'!$E$71)</x:f>
        <x:v>7</x:v>
      </x:c>
      <x:c r="V304" s="119" t="n">
        <x:f>IF(H304&gt;=('难度参数'!$E$52),1,0)+IF(H304&gt;=('难度参数'!$E$52+'难度参数'!$E$53),1,0)+IF(H304&gt;=('难度参数'!$E$52+'难度参数'!$E$53+'难度参数'!$E$54),1,0)+IF(H304&gt;=('难度参数'!$E$52+'难度参数'!$E$53+'难度参数'!$E$54+'难度参数'!$E$55),1,0)+IF(H304&gt;=('难度参数'!$E$52+'难度参数'!$E$53+'难度参数'!$E$54+'难度参数'!$E$55+'难度参数'!$E$56),1,0)+IF(H304&gt;=('难度参数'!$E$52+'难度参数'!$E$53+'难度参数'!$E$54+'难度参数'!$E$55+'难度参数'!$E$56+'难度参数'!$E$57),1,0)</x:f>
        <x:v>6</x:v>
      </x:c>
      <x:c r="W304" s="62" t="str">
        <x:f>IF(L304&gt;'难度参数'!$E$51,"仅出怪已超目标","还需实测")</x:f>
        <x:v>仅出怪已超目标</x:v>
      </x:c>
      <x:c r="X304" s="119" t="n">
        <x:f>IF(1&gt;D304,0,MAX(2,MIN('难度参数'!$E$12,ROUND(('难度参数'!$E$18*POWER(A304,'难度参数'!$E$19)/D304*(0.85+0.3*(1-1)/MAX(1,D304-1))),0)+F304)))</x:f>
        <x:v>29</x:v>
      </x:c>
      <x:c r="Y304" s="119" t="n">
        <x:f>IF(1&gt;D304,0,ROUND(('难度参数'!$E$13*POWER(A304,'难度参数'!$E$20)*MIN('难度参数'!$E$23,1+MAX(0,A304-'难度参数'!$E$21)*'难度参数'!$E$22))*(36+1*7)/(36+7*(D304+1)/2)*E304,0))</x:f>
        <x:v>5484</x:v>
      </x:c>
      <x:c r="Z304" s="119" t="n">
        <x:f>IF(X304=0,0,(X304-IF(1=D304,1,0))*ROUND(Y304*VLOOKUP(INDEX('章节与怪物'!$E$31:$K$37,B304,1),'章节与怪物'!$A$41:$F$44,2,FALSE),0)+IF(1=D304,ROUND(Y304*'难度参数'!$E$28*'章节与怪物'!$E$17,0),0))</x:f>
        <x:v>114492</x:v>
      </x:c>
      <x:c r="AA304" s="119" t="n">
        <x:f>IF(X304=0,0,(X304-IF(1=D304,1,0))*VLOOKUP(INDEX('章节与怪物'!$E$31:$K$37,B304,1),'章节与怪物'!$A$41:$F$44,4,FALSE)+IF(1=D304,'难度参数'!$E$30,0))</x:f>
        <x:v>580</x:v>
      </x:c>
      <x:c r="AB304" s="119" t="n">
        <x:f>IF(2&gt;D304,0,MAX(2,MIN('难度参数'!$E$12,ROUND(('难度参数'!$E$18*POWER(A304,'难度参数'!$E$19)/D304*(0.85+0.3*(2-1)/MAX(1,D304-1))),0)+F304)))</x:f>
        <x:v>31</x:v>
      </x:c>
      <x:c r="AC304" s="119" t="n">
        <x:f>IF(2&gt;D304,0,ROUND(('难度参数'!$E$13*POWER(A304,'难度参数'!$E$20)*MIN('难度参数'!$E$23,1+MAX(0,A304-'难度参数'!$E$21)*'难度参数'!$E$22))*(36+2*7)/(36+7*(D304+1)/2)*E304,0))</x:f>
        <x:v>6376</x:v>
      </x:c>
      <x:c r="AD304" s="119" t="n">
        <x:f>IF(AB304=0,0,(AB304-IF(2=D304,1,0))*ROUND(AC304*VLOOKUP(INDEX('章节与怪物'!$E$31:$K$37,B304,2),'章节与怪物'!$A$41:$F$44,2,FALSE),0)+IF(2=D304,ROUND(AC304*'难度参数'!$E$28*'章节与怪物'!$E$17,0),0))</x:f>
        <x:v>197656</x:v>
      </x:c>
      <x:c r="AE304" s="119" t="n">
        <x:f>IF(AB304=0,0,(AB304-IF(2=D304,1,0))*VLOOKUP(INDEX('章节与怪物'!$E$31:$K$37,B304,2),'章节与怪物'!$A$41:$F$44,4,FALSE)+IF(2=D304,'难度参数'!$E$30,0))</x:f>
        <x:v>558</x:v>
      </x:c>
      <x:c r="AF304" s="119" t="n">
        <x:f>IF(3&gt;D304,0,MAX(2,MIN('难度参数'!$E$12,ROUND(('难度参数'!$E$18*POWER(A304,'难度参数'!$E$19)/D304*(0.85+0.3*(3-1)/MAX(1,D304-1))),0)+F304)))</x:f>
        <x:v>33</x:v>
      </x:c>
      <x:c r="AG304" s="119" t="n">
        <x:f>IF(3&gt;D304,0,ROUND(('难度参数'!$E$13*POWER(A304,'难度参数'!$E$20)*MIN('难度参数'!$E$23,1+MAX(0,A304-'难度参数'!$E$21)*'难度参数'!$E$22))*(36+3*7)/(36+7*(D304+1)/2)*E304,0))</x:f>
        <x:v>7269</x:v>
      </x:c>
      <x:c r="AH304" s="119" t="n">
        <x:f>IF(AF304=0,0,(AF304-IF(3=D304,1,0))*ROUND(AG304*VLOOKUP(INDEX('章节与怪物'!$E$31:$K$37,B304,3),'章节与怪物'!$A$41:$F$44,2,FALSE),0)+IF(3=D304,ROUND(AG304*'难度参数'!$E$28*'章节与怪物'!$E$17,0),0))</x:f>
        <x:v>407781</x:v>
      </x:c>
      <x:c r="AI304" s="119" t="n">
        <x:f>IF(AF304=0,0,(AF304-IF(3=D304,1,0))*VLOOKUP(INDEX('章节与怪物'!$E$31:$K$37,B304,3),'章节与怪物'!$A$41:$F$44,4,FALSE)+IF(3=D304,'难度参数'!$E$30,0))</x:f>
        <x:v>924</x:v>
      </x:c>
      <x:c r="AJ304" s="119" t="n">
        <x:f>IF(4&gt;D304,0,MAX(2,MIN('难度参数'!$E$12,ROUND(('难度参数'!$E$18*POWER(A304,'难度参数'!$E$19)/D304*(0.85+0.3*(4-1)/MAX(1,D304-1))),0)+F304)))</x:f>
        <x:v>35</x:v>
      </x:c>
      <x:c r="AK304" s="119" t="n">
        <x:f>IF(4&gt;D304,0,ROUND(('难度参数'!$E$13*POWER(A304,'难度参数'!$E$20)*MIN('难度参数'!$E$23,1+MAX(0,A304-'难度参数'!$E$21)*'难度参数'!$E$22))*(36+4*7)/(36+7*(D304+1)/2)*E304,0))</x:f>
        <x:v>8161</x:v>
      </x:c>
      <x:c r="AL304" s="119" t="n">
        <x:f>IF(AJ304=0,0,(AJ304-IF(4=D304,1,0))*ROUND(AK304*VLOOKUP(INDEX('章节与怪物'!$E$31:$K$37,B304,4),'章节与怪物'!$A$41:$F$44,2,FALSE),0)+IF(4=D304,ROUND(AK304*'难度参数'!$E$28*'章节与怪物'!$E$17,0),0))</x:f>
        <x:v>385595</x:v>
      </x:c>
      <x:c r="AM304" s="119" t="n">
        <x:f>IF(AJ304=0,0,(AJ304-IF(4=D304,1,0))*VLOOKUP(INDEX('章节与怪物'!$E$31:$K$37,B304,4),'章节与怪物'!$A$41:$F$44,4,FALSE)+IF(4=D304,'难度参数'!$E$30,0))</x:f>
        <x:v>1190</x:v>
      </x:c>
      <x:c r="AN304" s="119" t="n">
        <x:f>IF(5&gt;D304,0,MAX(2,MIN('难度参数'!$E$12,ROUND(('难度参数'!$E$18*POWER(A304,'难度参数'!$E$19)/D304*(0.85+0.3*(5-1)/MAX(1,D304-1))),0)+F304)))</x:f>
        <x:v>36</x:v>
      </x:c>
      <x:c r="AO304" s="119" t="n">
        <x:f>IF(5&gt;D304,0,ROUND(('难度参数'!$E$13*POWER(A304,'难度参数'!$E$20)*MIN('难度参数'!$E$23,1+MAX(0,A304-'难度参数'!$E$21)*'难度参数'!$E$22))*(36+5*7)/(36+7*(D304+1)/2)*E304,0))</x:f>
        <x:v>9054</x:v>
      </x:c>
      <x:c r="AP304" s="119" t="n">
        <x:f>IF(AN304=0,0,(AN304-IF(5=D304,1,0))*ROUND(AO304*VLOOKUP(INDEX('章节与怪物'!$E$31:$K$37,B304,5),'章节与怪物'!$A$41:$F$44,2,FALSE),0)+IF(5=D304,ROUND(AO304*'难度参数'!$E$28*'章节与怪物'!$E$17,0),0))</x:f>
        <x:v>325944</x:v>
      </x:c>
      <x:c r="AQ304" s="119" t="n">
        <x:f>IF(AN304=0,0,(AN304-IF(5=D304,1,0))*VLOOKUP(INDEX('章节与怪物'!$E$31:$K$37,B304,5),'章节与怪物'!$A$41:$F$44,4,FALSE)+IF(5=D304,'难度参数'!$E$30,0))</x:f>
        <x:v>648</x:v>
      </x:c>
      <x:c r="AR304" s="119" t="n">
        <x:f>IF(6&gt;D304,0,MAX(2,MIN('难度参数'!$E$12,ROUND(('难度参数'!$E$18*POWER(A304,'难度参数'!$E$19)/D304*(0.85+0.3*(6-1)/MAX(1,D304-1))),0)+F304)))</x:f>
        <x:v>38</x:v>
      </x:c>
      <x:c r="AS304" s="119" t="n">
        <x:f>IF(6&gt;D304,0,ROUND(('难度参数'!$E$13*POWER(A304,'难度参数'!$E$20)*MIN('难度参数'!$E$23,1+MAX(0,A304-'难度参数'!$E$21)*'难度参数'!$E$22))*(36+6*7)/(36+7*(D304+1)/2)*E304,0))</x:f>
        <x:v>9947</x:v>
      </x:c>
      <x:c r="AT304" s="119" t="n">
        <x:f>IF(AR304=0,0,(AR304-IF(6=D304,1,0))*ROUND(AS304*VLOOKUP(INDEX('章节与怪物'!$E$31:$K$37,B304,6),'章节与怪物'!$A$41:$F$44,2,FALSE),0)+IF(6=D304,ROUND(AS304*'难度参数'!$E$28*'章节与怪物'!$E$17,0),0))</x:f>
        <x:v>272156</x:v>
      </x:c>
      <x:c r="AU304" s="119" t="n">
        <x:f>IF(AR304=0,0,(AR304-IF(6=D304,1,0))*VLOOKUP(INDEX('章节与怪物'!$E$31:$K$37,B304,6),'章节与怪物'!$A$41:$F$44,4,FALSE)+IF(6=D304,'难度参数'!$E$30,0))</x:f>
        <x:v>760</x:v>
      </x:c>
      <x:c r="AV304" s="119" t="n">
        <x:f>IF(7&gt;D304,0,MAX(2,MIN('难度参数'!$E$12,ROUND(('难度参数'!$E$18*POWER(A304,'难度参数'!$E$19)/D304*(0.85+0.3*(7-1)/MAX(1,D304-1))),0)+F304)))</x:f>
        <x:v>40</x:v>
      </x:c>
      <x:c r="AW304" s="119" t="n">
        <x:f>IF(7&gt;D304,0,ROUND(('难度参数'!$E$13*POWER(A304,'难度参数'!$E$20)*MIN('难度参数'!$E$23,1+MAX(0,A304-'难度参数'!$E$21)*'难度参数'!$E$22))*(36+7*7)/(36+7*(D304+1)/2)*E304,0))</x:f>
        <x:v>10839</x:v>
      </x:c>
      <x:c r="AX304" s="119" t="n">
        <x:f>IF(AV304=0,0,(AV304-IF(7=D304,1,0))*ROUND(AW304*VLOOKUP(INDEX('章节与怪物'!$E$31:$K$37,B304,7),'章节与怪物'!$A$41:$F$44,2,FALSE),0)+IF(7=D304,ROUND(AW304*'难度参数'!$E$28*'章节与怪物'!$E$17,0),0))</x:f>
        <x:v>644392</x:v>
      </x:c>
      <x:c r="AY304" s="119" t="n">
        <x:f>IF(AV304=0,0,(AV304-IF(7=D304,1,0))*VLOOKUP(INDEX('章节与怪物'!$E$31:$K$37,B304,7),'章节与怪物'!$A$41:$F$44,4,FALSE)+IF(7=D304,'难度参数'!$E$30,0))</x:f>
        <x:v>1526</x:v>
      </x:c>
    </x:row>
    <x:row r="305" ht="23" customHeight="1">
      <x:c r="A305" s="119" t="n">
        <x:v>299</x:v>
      </x:c>
      <x:c r="B305" s="119" t="n">
        <x:f>MOD(INT((A305-1)/5),7)+1</x:f>
        <x:v>4</x:v>
      </x:c>
      <x:c r="C305" s="62" t="str">
        <x:f>INDEX('章节与怪物'!$B$31:$B$37,B305)</x:f>
        <x:v>翠野边城</x:v>
      </x:c>
      <x:c r="D305" s="119" t="n">
        <x:f>MIN('难度参数'!$E$8,MAX('难度参数'!$E$7,A305))</x:f>
        <x:v>7</x:v>
      </x:c>
      <x:c r="E305" s="106" t="n">
        <x:v>1</x:v>
      </x:c>
      <x:c r="F305" s="106" t="n">
        <x:v>0</x:v>
      </x:c>
      <x:c r="G305" s="106" t="n">
        <x:v>1</x:v>
      </x:c>
      <x:c r="H305" s="119" t="n">
        <x:f>SUM(X305,AB305,AF305,AJ305,AN305,AR305,AV305)</x:f>
        <x:v>242</x:v>
      </x:c>
      <x:c r="I305" s="119" t="n">
        <x:f>SUM(Z305,AD305,AH305,AL305,AP305,AT305,AX305)</x:f>
        <x:v>2353730</x:v>
      </x:c>
      <x:c r="J305" s="119" t="n">
        <x:f>ROUND(INDEX(X305:AY305,1,(D305-1)*4+2)*'难度参数'!$E$28*'章节与怪物'!$E$17,0)</x:f>
        <x:v>73889</x:v>
      </x:c>
      <x:c r="K305" s="119" t="n">
        <x:f>SUM(AA305,AE305,AI305,AM305,AQ305,AU305,AY305)</x:f>
        <x:v>6186</x:v>
      </x:c>
      <x:c r="L305" s="62" t="n">
        <x:f>H305*(ROUNDUP('难度参数'!$E$24/('难度参数'!$E$26*'难度参数'!$E$27),0)*'难度参数'!$E$26)/60</x:f>
        <x:v>3.226666666666667</x:v>
      </x:c>
      <x:c r="M305" s="62" t="n">
        <x:f>L305+D305*('难度参数'!$E$49+'难度参数'!$E$50)/60</x:f>
        <x:v>4.3933333333333335</x:v>
      </x:c>
      <x:c r="N305" s="119" t="n">
        <x:f>ROUNDDOWN(('经济参数'!$E$20+A305*'经济参数'!$E$21)*G305,0)</x:f>
        <x:v>6160</x:v>
      </x:c>
      <x:c r="O305" s="119" t="n">
        <x:f>ROUNDDOWN(MIN('经济参数'!$E$24,'经济参数'!$E$22+A305*'经济参数'!$E$23)*G305,0)</x:f>
        <x:v>0</x:v>
      </x:c>
      <x:c r="P305" s="119" t="n">
        <x:f>ROUNDDOWN((IF(A305&gt;='材料与任务'!$E$31,'材料与任务'!$E$32,IF(A305&gt;='材料与任务'!$E$25,'材料与任务'!$E$26,IF(A305&gt;='材料与任务'!$E$19,'材料与任务'!$E$20,IF(A305&gt;='材料与任务'!$E$13,'材料与任务'!$E$14,'材料与任务'!$E$8)))))*G305,0)</x:f>
        <x:v>6</x:v>
      </x:c>
      <x:c r="Q305" s="119" t="n">
        <x:f>ROUNDDOWN((IF(A305&gt;='材料与任务'!$E$31,'材料与任务'!$E$33,IF(A305&gt;='材料与任务'!$E$25,'材料与任务'!$E$27,IF(A305&gt;='材料与任务'!$E$19,'材料与任务'!$E$21,IF(A305&gt;='材料与任务'!$E$13,'材料与任务'!$E$15,'材料与任务'!$E$9)))))*G305,0)</x:f>
        <x:v>3</x:v>
      </x:c>
      <x:c r="R305" s="110" t="n">
        <x:f>'装备掉落'!$B$38</x:f>
        <x:v>0.6872058758851213</x:v>
      </x:c>
      <x:c r="S305" s="119" t="n">
        <x:f>MAX(IF(VLOOKUP(A305,'装备掉落'!$A$29:$H$34,2,TRUE)&gt;0,1,0),IF(VLOOKUP(A305,'装备掉落'!$A$29:$H$34,3,TRUE)&gt;0,2,0),IF(VLOOKUP(A305,'装备掉落'!$A$29:$H$34,4,TRUE)&gt;0,3,0),IF(VLOOKUP(A305,'装备掉落'!$A$29:$H$34,5,TRUE)&gt;0,4,0),IF(VLOOKUP(A305,'装备掉落'!$A$29:$H$34,6,TRUE)&gt;0,5,0),IF(VLOOKUP(A305,'装备掉落'!$A$29:$H$34,7,TRUE)&gt;0,6,0),IF(VLOOKUP(A305,'装备掉落'!$A$29:$H$34,8,TRUE)&gt;0,7,0))</x:f>
        <x:v>7</x:v>
      </x:c>
      <x:c r="T305" s="119" t="n">
        <x:f>MIN(7,S305+'经济参数'!$E$70)</x:f>
        <x:v>7</x:v>
      </x:c>
      <x:c r="U305" s="119" t="n">
        <x:f>MIN(7,S305+'经济参数'!$E$71)</x:f>
        <x:v>7</x:v>
      </x:c>
      <x:c r="V305" s="119" t="n">
        <x:f>IF(H305&gt;=('难度参数'!$E$52),1,0)+IF(H305&gt;=('难度参数'!$E$52+'难度参数'!$E$53),1,0)+IF(H305&gt;=('难度参数'!$E$52+'难度参数'!$E$53+'难度参数'!$E$54),1,0)+IF(H305&gt;=('难度参数'!$E$52+'难度参数'!$E$53+'难度参数'!$E$54+'难度参数'!$E$55),1,0)+IF(H305&gt;=('难度参数'!$E$52+'难度参数'!$E$53+'难度参数'!$E$54+'难度参数'!$E$55+'难度参数'!$E$56),1,0)+IF(H305&gt;=('难度参数'!$E$52+'难度参数'!$E$53+'难度参数'!$E$54+'难度参数'!$E$55+'难度参数'!$E$56+'难度参数'!$E$57),1,0)</x:f>
        <x:v>6</x:v>
      </x:c>
      <x:c r="W305" s="62" t="str">
        <x:f>IF(L305&gt;'难度参数'!$E$51,"仅出怪已超目标","还需实测")</x:f>
        <x:v>仅出怪已超目标</x:v>
      </x:c>
      <x:c r="X305" s="119" t="n">
        <x:f>IF(1&gt;D305,0,MAX(2,MIN('难度参数'!$E$12,ROUND(('难度参数'!$E$18*POWER(A305,'难度参数'!$E$19)/D305*(0.85+0.3*(1-1)/MAX(1,D305-1))),0)+F305)))</x:f>
        <x:v>29</x:v>
      </x:c>
      <x:c r="Y305" s="119" t="n">
        <x:f>IF(1&gt;D305,0,ROUND(('难度参数'!$E$13*POWER(A305,'难度参数'!$E$20)*MIN('难度参数'!$E$23,1+MAX(0,A305-'难度参数'!$E$21)*'难度参数'!$E$22))*(36+1*7)/(36+7*(D305+1)/2)*E305,0))</x:f>
        <x:v>5497</x:v>
      </x:c>
      <x:c r="Z305" s="119" t="n">
        <x:f>IF(X305=0,0,(X305-IF(1=D305,1,0))*ROUND(Y305*VLOOKUP(INDEX('章节与怪物'!$E$31:$K$37,B305,1),'章节与怪物'!$A$41:$F$44,2,FALSE),0)+IF(1=D305,ROUND(Y305*'难度参数'!$E$28*'章节与怪物'!$E$17,0),0))</x:f>
        <x:v>114782</x:v>
      </x:c>
      <x:c r="AA305" s="119" t="n">
        <x:f>IF(X305=0,0,(X305-IF(1=D305,1,0))*VLOOKUP(INDEX('章节与怪物'!$E$31:$K$37,B305,1),'章节与怪物'!$A$41:$F$44,4,FALSE)+IF(1=D305,'难度参数'!$E$30,0))</x:f>
        <x:v>580</x:v>
      </x:c>
      <x:c r="AB305" s="119" t="n">
        <x:f>IF(2&gt;D305,0,MAX(2,MIN('难度参数'!$E$12,ROUND(('难度参数'!$E$18*POWER(A305,'难度参数'!$E$19)/D305*(0.85+0.3*(2-1)/MAX(1,D305-1))),0)+F305)))</x:f>
        <x:v>31</x:v>
      </x:c>
      <x:c r="AC305" s="119" t="n">
        <x:f>IF(2&gt;D305,0,ROUND(('难度参数'!$E$13*POWER(A305,'难度参数'!$E$20)*MIN('难度参数'!$E$23,1+MAX(0,A305-'难度参数'!$E$21)*'难度参数'!$E$22))*(36+2*7)/(36+7*(D305+1)/2)*E305,0))</x:f>
        <x:v>6392</x:v>
      </x:c>
      <x:c r="AD305" s="119" t="n">
        <x:f>IF(AB305=0,0,(AB305-IF(2=D305,1,0))*ROUND(AC305*VLOOKUP(INDEX('章节与怪物'!$E$31:$K$37,B305,2),'章节与怪物'!$A$41:$F$44,2,FALSE),0)+IF(2=D305,ROUND(AC305*'难度参数'!$E$28*'章节与怪物'!$E$17,0),0))</x:f>
        <x:v>198152</x:v>
      </x:c>
      <x:c r="AE305" s="119" t="n">
        <x:f>IF(AB305=0,0,(AB305-IF(2=D305,1,0))*VLOOKUP(INDEX('章节与怪物'!$E$31:$K$37,B305,2),'章节与怪物'!$A$41:$F$44,4,FALSE)+IF(2=D305,'难度参数'!$E$30,0))</x:f>
        <x:v>558</x:v>
      </x:c>
      <x:c r="AF305" s="119" t="n">
        <x:f>IF(3&gt;D305,0,MAX(2,MIN('难度参数'!$E$12,ROUND(('难度参数'!$E$18*POWER(A305,'难度参数'!$E$19)/D305*(0.85+0.3*(3-1)/MAX(1,D305-1))),0)+F305)))</x:f>
        <x:v>33</x:v>
      </x:c>
      <x:c r="AG305" s="119" t="n">
        <x:f>IF(3&gt;D305,0,ROUND(('难度参数'!$E$13*POWER(A305,'难度参数'!$E$20)*MIN('难度参数'!$E$23,1+MAX(0,A305-'难度参数'!$E$21)*'难度参数'!$E$22))*(36+3*7)/(36+7*(D305+1)/2)*E305,0))</x:f>
        <x:v>7286</x:v>
      </x:c>
      <x:c r="AH305" s="119" t="n">
        <x:f>IF(AF305=0,0,(AF305-IF(3=D305,1,0))*ROUND(AG305*VLOOKUP(INDEX('章节与怪物'!$E$31:$K$37,B305,3),'章节与怪物'!$A$41:$F$44,2,FALSE),0)+IF(3=D305,ROUND(AG305*'难度参数'!$E$28*'章节与怪物'!$E$17,0),0))</x:f>
        <x:v>408738</x:v>
      </x:c>
      <x:c r="AI305" s="119" t="n">
        <x:f>IF(AF305=0,0,(AF305-IF(3=D305,1,0))*VLOOKUP(INDEX('章节与怪物'!$E$31:$K$37,B305,3),'章节与怪物'!$A$41:$F$44,4,FALSE)+IF(3=D305,'难度参数'!$E$30,0))</x:f>
        <x:v>924</x:v>
      </x:c>
      <x:c r="AJ305" s="119" t="n">
        <x:f>IF(4&gt;D305,0,MAX(2,MIN('难度参数'!$E$12,ROUND(('难度参数'!$E$18*POWER(A305,'难度参数'!$E$19)/D305*(0.85+0.3*(4-1)/MAX(1,D305-1))),0)+F305)))</x:f>
        <x:v>35</x:v>
      </x:c>
      <x:c r="AK305" s="119" t="n">
        <x:f>IF(4&gt;D305,0,ROUND(('难度参数'!$E$13*POWER(A305,'难度参数'!$E$20)*MIN('难度参数'!$E$23,1+MAX(0,A305-'难度参数'!$E$21)*'难度参数'!$E$22))*(36+4*7)/(36+7*(D305+1)/2)*E305,0))</x:f>
        <x:v>8181</x:v>
      </x:c>
      <x:c r="AL305" s="119" t="n">
        <x:f>IF(AJ305=0,0,(AJ305-IF(4=D305,1,0))*ROUND(AK305*VLOOKUP(INDEX('章节与怪物'!$E$31:$K$37,B305,4),'章节与怪物'!$A$41:$F$44,2,FALSE),0)+IF(4=D305,ROUND(AK305*'难度参数'!$E$28*'章节与怪物'!$E$17,0),0))</x:f>
        <x:v>386540</x:v>
      </x:c>
      <x:c r="AM305" s="119" t="n">
        <x:f>IF(AJ305=0,0,(AJ305-IF(4=D305,1,0))*VLOOKUP(INDEX('章节与怪物'!$E$31:$K$37,B305,4),'章节与怪物'!$A$41:$F$44,4,FALSE)+IF(4=D305,'难度参数'!$E$30,0))</x:f>
        <x:v>1190</x:v>
      </x:c>
      <x:c r="AN305" s="119" t="n">
        <x:f>IF(5&gt;D305,0,MAX(2,MIN('难度参数'!$E$12,ROUND(('难度参数'!$E$18*POWER(A305,'难度参数'!$E$19)/D305*(0.85+0.3*(5-1)/MAX(1,D305-1))),0)+F305)))</x:f>
        <x:v>36</x:v>
      </x:c>
      <x:c r="AO305" s="119" t="n">
        <x:f>IF(5&gt;D305,0,ROUND(('难度参数'!$E$13*POWER(A305,'难度参数'!$E$20)*MIN('难度参数'!$E$23,1+MAX(0,A305-'难度参数'!$E$21)*'难度参数'!$E$22))*(36+5*7)/(36+7*(D305+1)/2)*E305,0))</x:f>
        <x:v>9076</x:v>
      </x:c>
      <x:c r="AP305" s="119" t="n">
        <x:f>IF(AN305=0,0,(AN305-IF(5=D305,1,0))*ROUND(AO305*VLOOKUP(INDEX('章节与怪物'!$E$31:$K$37,B305,5),'章节与怪物'!$A$41:$F$44,2,FALSE),0)+IF(5=D305,ROUND(AO305*'难度参数'!$E$28*'章节与怪物'!$E$17,0),0))</x:f>
        <x:v>326736</x:v>
      </x:c>
      <x:c r="AQ305" s="119" t="n">
        <x:f>IF(AN305=0,0,(AN305-IF(5=D305,1,0))*VLOOKUP(INDEX('章节与怪物'!$E$31:$K$37,B305,5),'章节与怪物'!$A$41:$F$44,4,FALSE)+IF(5=D305,'难度参数'!$E$30,0))</x:f>
        <x:v>648</x:v>
      </x:c>
      <x:c r="AR305" s="119" t="n">
        <x:f>IF(6&gt;D305,0,MAX(2,MIN('难度参数'!$E$12,ROUND(('难度参数'!$E$18*POWER(A305,'难度参数'!$E$19)/D305*(0.85+0.3*(6-1)/MAX(1,D305-1))),0)+F305)))</x:f>
        <x:v>38</x:v>
      </x:c>
      <x:c r="AS305" s="119" t="n">
        <x:f>IF(6&gt;D305,0,ROUND(('难度参数'!$E$13*POWER(A305,'难度参数'!$E$20)*MIN('难度参数'!$E$23,1+MAX(0,A305-'难度参数'!$E$21)*'难度参数'!$E$22))*(36+6*7)/(36+7*(D305+1)/2)*E305,0))</x:f>
        <x:v>9971</x:v>
      </x:c>
      <x:c r="AT305" s="119" t="n">
        <x:f>IF(AR305=0,0,(AR305-IF(6=D305,1,0))*ROUND(AS305*VLOOKUP(INDEX('章节与怪物'!$E$31:$K$37,B305,6),'章节与怪物'!$A$41:$F$44,2,FALSE),0)+IF(6=D305,ROUND(AS305*'难度参数'!$E$28*'章节与怪物'!$E$17,0),0))</x:f>
        <x:v>272802</x:v>
      </x:c>
      <x:c r="AU305" s="119" t="n">
        <x:f>IF(AR305=0,0,(AR305-IF(6=D305,1,0))*VLOOKUP(INDEX('章节与怪物'!$E$31:$K$37,B305,6),'章节与怪物'!$A$41:$F$44,4,FALSE)+IF(6=D305,'难度参数'!$E$30,0))</x:f>
        <x:v>760</x:v>
      </x:c>
      <x:c r="AV305" s="119" t="n">
        <x:f>IF(7&gt;D305,0,MAX(2,MIN('难度参数'!$E$12,ROUND(('难度参数'!$E$18*POWER(A305,'难度参数'!$E$19)/D305*(0.85+0.3*(7-1)/MAX(1,D305-1))),0)+F305)))</x:f>
        <x:v>40</x:v>
      </x:c>
      <x:c r="AW305" s="119" t="n">
        <x:f>IF(7&gt;D305,0,ROUND(('难度参数'!$E$13*POWER(A305,'难度参数'!$E$20)*MIN('难度参数'!$E$23,1+MAX(0,A305-'难度参数'!$E$21)*'难度参数'!$E$22))*(36+7*7)/(36+7*(D305+1)/2)*E305,0))</x:f>
        <x:v>10866</x:v>
      </x:c>
      <x:c r="AX305" s="119" t="n">
        <x:f>IF(AV305=0,0,(AV305-IF(7=D305,1,0))*ROUND(AW305*VLOOKUP(INDEX('章节与怪物'!$E$31:$K$37,B305,7),'章节与怪物'!$A$41:$F$44,2,FALSE),0)+IF(7=D305,ROUND(AW305*'难度参数'!$E$28*'章节与怪物'!$E$17,0),0))</x:f>
        <x:v>645980</x:v>
      </x:c>
      <x:c r="AY305" s="119" t="n">
        <x:f>IF(AV305=0,0,(AV305-IF(7=D305,1,0))*VLOOKUP(INDEX('章节与怪物'!$E$31:$K$37,B305,7),'章节与怪物'!$A$41:$F$44,4,FALSE)+IF(7=D305,'难度参数'!$E$30,0))</x:f>
        <x:v>1526</x:v>
      </x:c>
    </x:row>
    <x:row r="306" ht="23" customHeight="1">
      <x:c r="A306" s="119" t="n">
        <x:v>300</x:v>
      </x:c>
      <x:c r="B306" s="119" t="n">
        <x:f>MOD(INT((A306-1)/5),7)+1</x:f>
        <x:v>4</x:v>
      </x:c>
      <x:c r="C306" s="62" t="str">
        <x:f>INDEX('章节与怪物'!$B$31:$B$37,B306)</x:f>
        <x:v>翠野边城</x:v>
      </x:c>
      <x:c r="D306" s="119" t="n">
        <x:f>MIN('难度参数'!$E$8,MAX('难度参数'!$E$7,A306))</x:f>
        <x:v>7</x:v>
      </x:c>
      <x:c r="E306" s="106" t="n">
        <x:v>1</x:v>
      </x:c>
      <x:c r="F306" s="106" t="n">
        <x:v>0</x:v>
      </x:c>
      <x:c r="G306" s="106" t="n">
        <x:v>1</x:v>
      </x:c>
      <x:c r="H306" s="119" t="n">
        <x:f>SUM(X306,AB306,AF306,AJ306,AN306,AR306,AV306)</x:f>
        <x:v>243</x:v>
      </x:c>
      <x:c r="I306" s="119" t="n">
        <x:f>SUM(Z306,AD306,AH306,AL306,AP306,AT306,AX306)</x:f>
        <x:v>2363371</x:v>
      </x:c>
      <x:c r="J306" s="119" t="n">
        <x:f>ROUND(INDEX(X306:AY306,1,(D306-1)*4+2)*'难度参数'!$E$28*'章节与怪物'!$E$17,0)</x:f>
        <x:v>74066</x:v>
      </x:c>
      <x:c r="K306" s="119" t="n">
        <x:f>SUM(AA306,AE306,AI306,AM306,AQ306,AU306,AY306)</x:f>
        <x:v>6206</x:v>
      </x:c>
      <x:c r="L306" s="62" t="n">
        <x:f>H306*(ROUNDUP('难度参数'!$E$24/('难度参数'!$E$26*'难度参数'!$E$27),0)*'难度参数'!$E$26)/60</x:f>
        <x:v>3.24</x:v>
      </x:c>
      <x:c r="M306" s="62" t="n">
        <x:f>L306+D306*('难度参数'!$E$49+'难度参数'!$E$50)/60</x:f>
        <x:v>4.406666666666667</x:v>
      </x:c>
      <x:c r="N306" s="119" t="n">
        <x:f>ROUNDDOWN(('经济参数'!$E$20+A306*'经济参数'!$E$21)*G306,0)</x:f>
        <x:v>6180</x:v>
      </x:c>
      <x:c r="O306" s="119" t="n">
        <x:f>ROUNDDOWN(MIN('经济参数'!$E$24,'经济参数'!$E$22+A306*'经济参数'!$E$23)*G306,0)</x:f>
        <x:v>0</x:v>
      </x:c>
      <x:c r="P306" s="119" t="n">
        <x:f>ROUNDDOWN((IF(A306&gt;='材料与任务'!$E$31,'材料与任务'!$E$32,IF(A306&gt;='材料与任务'!$E$25,'材料与任务'!$E$26,IF(A306&gt;='材料与任务'!$E$19,'材料与任务'!$E$20,IF(A306&gt;='材料与任务'!$E$13,'材料与任务'!$E$14,'材料与任务'!$E$8)))))*G306,0)</x:f>
        <x:v>6</x:v>
      </x:c>
      <x:c r="Q306" s="119" t="n">
        <x:f>ROUNDDOWN((IF(A306&gt;='材料与任务'!$E$31,'材料与任务'!$E$33,IF(A306&gt;='材料与任务'!$E$25,'材料与任务'!$E$27,IF(A306&gt;='材料与任务'!$E$19,'材料与任务'!$E$21,IF(A306&gt;='材料与任务'!$E$13,'材料与任务'!$E$15,'材料与任务'!$E$9)))))*G306,0)</x:f>
        <x:v>3</x:v>
      </x:c>
      <x:c r="R306" s="110" t="n">
        <x:f>'装备掉落'!$B$38</x:f>
        <x:v>0.6872058758851213</x:v>
      </x:c>
      <x:c r="S306" s="119" t="n">
        <x:f>MAX(IF(VLOOKUP(A306,'装备掉落'!$A$29:$H$34,2,TRUE)&gt;0,1,0),IF(VLOOKUP(A306,'装备掉落'!$A$29:$H$34,3,TRUE)&gt;0,2,0),IF(VLOOKUP(A306,'装备掉落'!$A$29:$H$34,4,TRUE)&gt;0,3,0),IF(VLOOKUP(A306,'装备掉落'!$A$29:$H$34,5,TRUE)&gt;0,4,0),IF(VLOOKUP(A306,'装备掉落'!$A$29:$H$34,6,TRUE)&gt;0,5,0),IF(VLOOKUP(A306,'装备掉落'!$A$29:$H$34,7,TRUE)&gt;0,6,0),IF(VLOOKUP(A306,'装备掉落'!$A$29:$H$34,8,TRUE)&gt;0,7,0))</x:f>
        <x:v>7</x:v>
      </x:c>
      <x:c r="T306" s="119" t="n">
        <x:f>MIN(7,S306+'经济参数'!$E$70)</x:f>
        <x:v>7</x:v>
      </x:c>
      <x:c r="U306" s="119" t="n">
        <x:f>MIN(7,S306+'经济参数'!$E$71)</x:f>
        <x:v>7</x:v>
      </x:c>
      <x:c r="V306" s="119" t="n">
        <x:f>IF(H306&gt;=('难度参数'!$E$52),1,0)+IF(H306&gt;=('难度参数'!$E$52+'难度参数'!$E$53),1,0)+IF(H306&gt;=('难度参数'!$E$52+'难度参数'!$E$53+'难度参数'!$E$54),1,0)+IF(H306&gt;=('难度参数'!$E$52+'难度参数'!$E$53+'难度参数'!$E$54+'难度参数'!$E$55),1,0)+IF(H306&gt;=('难度参数'!$E$52+'难度参数'!$E$53+'难度参数'!$E$54+'难度参数'!$E$55+'难度参数'!$E$56),1,0)+IF(H306&gt;=('难度参数'!$E$52+'难度参数'!$E$53+'难度参数'!$E$54+'难度参数'!$E$55+'难度参数'!$E$56+'难度参数'!$E$57),1,0)</x:f>
        <x:v>6</x:v>
      </x:c>
      <x:c r="W306" s="62" t="str">
        <x:f>IF(L306&gt;'难度参数'!$E$51,"仅出怪已超目标","还需实测")</x:f>
        <x:v>仅出怪已超目标</x:v>
      </x:c>
      <x:c r="X306" s="119" t="n">
        <x:f>IF(1&gt;D306,0,MAX(2,MIN('难度参数'!$E$12,ROUND(('难度参数'!$E$18*POWER(A306,'难度参数'!$E$19)/D306*(0.85+0.3*(1-1)/MAX(1,D306-1))),0)+F306)))</x:f>
        <x:v>30</x:v>
      </x:c>
      <x:c r="Y306" s="119" t="n">
        <x:f>IF(1&gt;D306,0,ROUND(('难度参数'!$E$13*POWER(A306,'难度参数'!$E$20)*MIN('难度参数'!$E$23,1+MAX(0,A306-'难度参数'!$E$21)*'难度参数'!$E$22))*(36+1*7)/(36+7*(D306+1)/2)*E306,0))</x:f>
        <x:v>5510</x:v>
      </x:c>
      <x:c r="Z306" s="119" t="n">
        <x:f>IF(X306=0,0,(X306-IF(1=D306,1,0))*ROUND(Y306*VLOOKUP(INDEX('章节与怪物'!$E$31:$K$37,B306,1),'章节与怪物'!$A$41:$F$44,2,FALSE),0)+IF(1=D306,ROUND(Y306*'难度参数'!$E$28*'章节与怪物'!$E$17,0),0))</x:f>
        <x:v>119010</x:v>
      </x:c>
      <x:c r="AA306" s="119" t="n">
        <x:f>IF(X306=0,0,(X306-IF(1=D306,1,0))*VLOOKUP(INDEX('章节与怪物'!$E$31:$K$37,B306,1),'章节与怪物'!$A$41:$F$44,4,FALSE)+IF(1=D306,'难度参数'!$E$30,0))</x:f>
        <x:v>600</x:v>
      </x:c>
      <x:c r="AB306" s="119" t="n">
        <x:f>IF(2&gt;D306,0,MAX(2,MIN('难度参数'!$E$12,ROUND(('难度参数'!$E$18*POWER(A306,'难度参数'!$E$19)/D306*(0.85+0.3*(2-1)/MAX(1,D306-1))),0)+F306)))</x:f>
        <x:v>31</x:v>
      </x:c>
      <x:c r="AC306" s="119" t="n">
        <x:f>IF(2&gt;D306,0,ROUND(('难度参数'!$E$13*POWER(A306,'难度参数'!$E$20)*MIN('难度参数'!$E$23,1+MAX(0,A306-'难度参数'!$E$21)*'难度参数'!$E$22))*(36+2*7)/(36+7*(D306+1)/2)*E306,0))</x:f>
        <x:v>6407</x:v>
      </x:c>
      <x:c r="AD306" s="119" t="n">
        <x:f>IF(AB306=0,0,(AB306-IF(2=D306,1,0))*ROUND(AC306*VLOOKUP(INDEX('章节与怪物'!$E$31:$K$37,B306,2),'章节与怪物'!$A$41:$F$44,2,FALSE),0)+IF(2=D306,ROUND(AC306*'难度参数'!$E$28*'章节与怪物'!$E$17,0),0))</x:f>
        <x:v>198617</x:v>
      </x:c>
      <x:c r="AE306" s="119" t="n">
        <x:f>IF(AB306=0,0,(AB306-IF(2=D306,1,0))*VLOOKUP(INDEX('章节与怪物'!$E$31:$K$37,B306,2),'章节与怪物'!$A$41:$F$44,4,FALSE)+IF(2=D306,'难度参数'!$E$30,0))</x:f>
        <x:v>558</x:v>
      </x:c>
      <x:c r="AF306" s="119" t="n">
        <x:f>IF(3&gt;D306,0,MAX(2,MIN('难度参数'!$E$12,ROUND(('难度参数'!$E$18*POWER(A306,'难度参数'!$E$19)/D306*(0.85+0.3*(3-1)/MAX(1,D306-1))),0)+F306)))</x:f>
        <x:v>33</x:v>
      </x:c>
      <x:c r="AG306" s="119" t="n">
        <x:f>IF(3&gt;D306,0,ROUND(('难度参数'!$E$13*POWER(A306,'难度参数'!$E$20)*MIN('难度参数'!$E$23,1+MAX(0,A306-'难度参数'!$E$21)*'难度参数'!$E$22))*(36+3*7)/(36+7*(D306+1)/2)*E306,0))</x:f>
        <x:v>7304</x:v>
      </x:c>
      <x:c r="AH306" s="119" t="n">
        <x:f>IF(AF306=0,0,(AF306-IF(3=D306,1,0))*ROUND(AG306*VLOOKUP(INDEX('章节与怪物'!$E$31:$K$37,B306,3),'章节与怪物'!$A$41:$F$44,2,FALSE),0)+IF(3=D306,ROUND(AG306*'难度参数'!$E$28*'章节与怪物'!$E$17,0),0))</x:f>
        <x:v>409761</x:v>
      </x:c>
      <x:c r="AI306" s="119" t="n">
        <x:f>IF(AF306=0,0,(AF306-IF(3=D306,1,0))*VLOOKUP(INDEX('章节与怪物'!$E$31:$K$37,B306,3),'章节与怪物'!$A$41:$F$44,4,FALSE)+IF(3=D306,'难度参数'!$E$30,0))</x:f>
        <x:v>924</x:v>
      </x:c>
      <x:c r="AJ306" s="119" t="n">
        <x:f>IF(4&gt;D306,0,MAX(2,MIN('难度参数'!$E$12,ROUND(('难度参数'!$E$18*POWER(A306,'难度参数'!$E$19)/D306*(0.85+0.3*(4-1)/MAX(1,D306-1))),0)+F306)))</x:f>
        <x:v>35</x:v>
      </x:c>
      <x:c r="AK306" s="119" t="n">
        <x:f>IF(4&gt;D306,0,ROUND(('难度参数'!$E$13*POWER(A306,'难度参数'!$E$20)*MIN('难度参数'!$E$23,1+MAX(0,A306-'难度参数'!$E$21)*'难度参数'!$E$22))*(36+4*7)/(36+7*(D306+1)/2)*E306,0))</x:f>
        <x:v>8201</x:v>
      </x:c>
      <x:c r="AL306" s="119" t="n">
        <x:f>IF(AJ306=0,0,(AJ306-IF(4=D306,1,0))*ROUND(AK306*VLOOKUP(INDEX('章节与怪物'!$E$31:$K$37,B306,4),'章节与怪物'!$A$41:$F$44,2,FALSE),0)+IF(4=D306,ROUND(AK306*'难度参数'!$E$28*'章节与怪物'!$E$17,0),0))</x:f>
        <x:v>387485</x:v>
      </x:c>
      <x:c r="AM306" s="119" t="n">
        <x:f>IF(AJ306=0,0,(AJ306-IF(4=D306,1,0))*VLOOKUP(INDEX('章节与怪物'!$E$31:$K$37,B306,4),'章节与怪物'!$A$41:$F$44,4,FALSE)+IF(4=D306,'难度参数'!$E$30,0))</x:f>
        <x:v>1190</x:v>
      </x:c>
      <x:c r="AN306" s="119" t="n">
        <x:f>IF(5&gt;D306,0,MAX(2,MIN('难度参数'!$E$12,ROUND(('难度参数'!$E$18*POWER(A306,'难度参数'!$E$19)/D306*(0.85+0.3*(5-1)/MAX(1,D306-1))),0)+F306)))</x:f>
        <x:v>36</x:v>
      </x:c>
      <x:c r="AO306" s="119" t="n">
        <x:f>IF(5&gt;D306,0,ROUND(('难度参数'!$E$13*POWER(A306,'难度参数'!$E$20)*MIN('难度参数'!$E$23,1+MAX(0,A306-'难度参数'!$E$21)*'难度参数'!$E$22))*(36+5*7)/(36+7*(D306+1)/2)*E306,0))</x:f>
        <x:v>9098</x:v>
      </x:c>
      <x:c r="AP306" s="119" t="n">
        <x:f>IF(AN306=0,0,(AN306-IF(5=D306,1,0))*ROUND(AO306*VLOOKUP(INDEX('章节与怪物'!$E$31:$K$37,B306,5),'章节与怪物'!$A$41:$F$44,2,FALSE),0)+IF(5=D306,ROUND(AO306*'难度参数'!$E$28*'章节与怪物'!$E$17,0),0))</x:f>
        <x:v>327528</x:v>
      </x:c>
      <x:c r="AQ306" s="119" t="n">
        <x:f>IF(AN306=0,0,(AN306-IF(5=D306,1,0))*VLOOKUP(INDEX('章节与怪物'!$E$31:$K$37,B306,5),'章节与怪物'!$A$41:$F$44,4,FALSE)+IF(5=D306,'难度参数'!$E$30,0))</x:f>
        <x:v>648</x:v>
      </x:c>
      <x:c r="AR306" s="119" t="n">
        <x:f>IF(6&gt;D306,0,MAX(2,MIN('难度参数'!$E$12,ROUND(('难度参数'!$E$18*POWER(A306,'难度参数'!$E$19)/D306*(0.85+0.3*(6-1)/MAX(1,D306-1))),0)+F306)))</x:f>
        <x:v>38</x:v>
      </x:c>
      <x:c r="AS306" s="119" t="n">
        <x:f>IF(6&gt;D306,0,ROUND(('难度参数'!$E$13*POWER(A306,'难度参数'!$E$20)*MIN('难度参数'!$E$23,1+MAX(0,A306-'难度参数'!$E$21)*'难度参数'!$E$22))*(36+6*7)/(36+7*(D306+1)/2)*E306,0))</x:f>
        <x:v>9995</x:v>
      </x:c>
      <x:c r="AT306" s="119" t="n">
        <x:f>IF(AR306=0,0,(AR306-IF(6=D306,1,0))*ROUND(AS306*VLOOKUP(INDEX('章节与怪物'!$E$31:$K$37,B306,6),'章节与怪物'!$A$41:$F$44,2,FALSE),0)+IF(6=D306,ROUND(AS306*'难度参数'!$E$28*'章节与怪物'!$E$17,0),0))</x:f>
        <x:v>273448</x:v>
      </x:c>
      <x:c r="AU306" s="119" t="n">
        <x:f>IF(AR306=0,0,(AR306-IF(6=D306,1,0))*VLOOKUP(INDEX('章节与怪物'!$E$31:$K$37,B306,6),'章节与怪物'!$A$41:$F$44,4,FALSE)+IF(6=D306,'难度参数'!$E$30,0))</x:f>
        <x:v>760</x:v>
      </x:c>
      <x:c r="AV306" s="119" t="n">
        <x:f>IF(7&gt;D306,0,MAX(2,MIN('难度参数'!$E$12,ROUND(('难度参数'!$E$18*POWER(A306,'难度参数'!$E$19)/D306*(0.85+0.3*(7-1)/MAX(1,D306-1))),0)+F306)))</x:f>
        <x:v>40</x:v>
      </x:c>
      <x:c r="AW306" s="119" t="n">
        <x:f>IF(7&gt;D306,0,ROUND(('难度参数'!$E$13*POWER(A306,'难度参数'!$E$20)*MIN('难度参数'!$E$23,1+MAX(0,A306-'难度参数'!$E$21)*'难度参数'!$E$22))*(36+7*7)/(36+7*(D306+1)/2)*E306,0))</x:f>
        <x:v>10892</x:v>
      </x:c>
      <x:c r="AX306" s="119" t="n">
        <x:f>IF(AV306=0,0,(AV306-IF(7=D306,1,0))*ROUND(AW306*VLOOKUP(INDEX('章节与怪物'!$E$31:$K$37,B306,7),'章节与怪物'!$A$41:$F$44,2,FALSE),0)+IF(7=D306,ROUND(AW306*'难度参数'!$E$28*'章节与怪物'!$E$17,0),0))</x:f>
        <x:v>647522</x:v>
      </x:c>
      <x:c r="AY306" s="119" t="n">
        <x:f>IF(AV306=0,0,(AV306-IF(7=D306,1,0))*VLOOKUP(INDEX('章节与怪物'!$E$31:$K$37,B306,7),'章节与怪物'!$A$41:$F$44,4,FALSE)+IF(7=D306,'难度参数'!$E$30,0))</x:f>
        <x:v>1526</x:v>
      </x:c>
    </x:row>
    <x:row r="307" ht="23" customHeight="1">
      <x:c r="A307" s="119" t="n">
        <x:v>301</x:v>
      </x:c>
      <x:c r="B307" s="119" t="n">
        <x:f>MOD(INT((A307-1)/5),7)+1</x:f>
        <x:v>5</x:v>
      </x:c>
      <x:c r="C307" s="62" t="str">
        <x:f>INDEX('章节与怪物'!$B$31:$B$37,B307)</x:f>
        <x:v>雨林遗迹</x:v>
      </x:c>
      <x:c r="D307" s="119" t="n">
        <x:f>MIN('难度参数'!$E$8,MAX('难度参数'!$E$7,A307))</x:f>
        <x:v>7</x:v>
      </x:c>
      <x:c r="E307" s="106" t="n">
        <x:v>1</x:v>
      </x:c>
      <x:c r="F307" s="106" t="n">
        <x:v>0</x:v>
      </x:c>
      <x:c r="G307" s="106" t="n">
        <x:v>1</x:v>
      </x:c>
      <x:c r="H307" s="119" t="n">
        <x:f>SUM(X307,AB307,AF307,AJ307,AN307,AR307,AV307)</x:f>
        <x:v>243</x:v>
      </x:c>
      <x:c r="I307" s="119" t="n">
        <x:f>SUM(Z307,AD307,AH307,AL307,AP307,AT307,AX307)</x:f>
        <x:v>2640837</x:v>
      </x:c>
      <x:c r="J307" s="119" t="n">
        <x:f>ROUND(INDEX(X307:AY307,1,(D307-1)*4+2)*'难度参数'!$E$28*'章节与怪物'!$E$17,0)</x:f>
        <x:v>74242</x:v>
      </x:c>
      <x:c r="K307" s="119" t="n">
        <x:f>SUM(AA307,AE307,AI307,AM307,AQ307,AU307,AY307)</x:f>
        <x:v>6584</x:v>
      </x:c>
      <x:c r="L307" s="62" t="n">
        <x:f>H307*(ROUNDUP('难度参数'!$E$24/('难度参数'!$E$26*'难度参数'!$E$27),0)*'难度参数'!$E$26)/60</x:f>
        <x:v>3.24</x:v>
      </x:c>
      <x:c r="M307" s="62" t="n">
        <x:f>L307+D307*('难度参数'!$E$49+'难度参数'!$E$50)/60</x:f>
        <x:v>4.406666666666667</x:v>
      </x:c>
      <x:c r="N307" s="119" t="n">
        <x:f>ROUNDDOWN(('经济参数'!$E$20+A307*'经济参数'!$E$21)*G307,0)</x:f>
        <x:v>6200</x:v>
      </x:c>
      <x:c r="O307" s="119" t="n">
        <x:f>ROUNDDOWN(MIN('经济参数'!$E$24,'经济参数'!$E$22+A307*'经济参数'!$E$23)*G307,0)</x:f>
        <x:v>0</x:v>
      </x:c>
      <x:c r="P307" s="119" t="n">
        <x:f>ROUNDDOWN((IF(A307&gt;='材料与任务'!$E$31,'材料与任务'!$E$32,IF(A307&gt;='材料与任务'!$E$25,'材料与任务'!$E$26,IF(A307&gt;='材料与任务'!$E$19,'材料与任务'!$E$20,IF(A307&gt;='材料与任务'!$E$13,'材料与任务'!$E$14,'材料与任务'!$E$8)))))*G307,0)</x:f>
        <x:v>6</x:v>
      </x:c>
      <x:c r="Q307" s="119" t="n">
        <x:f>ROUNDDOWN((IF(A307&gt;='材料与任务'!$E$31,'材料与任务'!$E$33,IF(A307&gt;='材料与任务'!$E$25,'材料与任务'!$E$27,IF(A307&gt;='材料与任务'!$E$19,'材料与任务'!$E$21,IF(A307&gt;='材料与任务'!$E$13,'材料与任务'!$E$15,'材料与任务'!$E$9)))))*G307,0)</x:f>
        <x:v>3</x:v>
      </x:c>
      <x:c r="R307" s="110" t="n">
        <x:f>'装备掉落'!$B$38</x:f>
        <x:v>0.6872058758851213</x:v>
      </x:c>
      <x:c r="S307" s="119" t="n">
        <x:f>MAX(IF(VLOOKUP(A307,'装备掉落'!$A$29:$H$34,2,TRUE)&gt;0,1,0),IF(VLOOKUP(A307,'装备掉落'!$A$29:$H$34,3,TRUE)&gt;0,2,0),IF(VLOOKUP(A307,'装备掉落'!$A$29:$H$34,4,TRUE)&gt;0,3,0),IF(VLOOKUP(A307,'装备掉落'!$A$29:$H$34,5,TRUE)&gt;0,4,0),IF(VLOOKUP(A307,'装备掉落'!$A$29:$H$34,6,TRUE)&gt;0,5,0),IF(VLOOKUP(A307,'装备掉落'!$A$29:$H$34,7,TRUE)&gt;0,6,0),IF(VLOOKUP(A307,'装备掉落'!$A$29:$H$34,8,TRUE)&gt;0,7,0))</x:f>
        <x:v>7</x:v>
      </x:c>
      <x:c r="T307" s="119" t="n">
        <x:f>MIN(7,S307+'经济参数'!$E$70)</x:f>
        <x:v>7</x:v>
      </x:c>
      <x:c r="U307" s="119" t="n">
        <x:f>MIN(7,S307+'经济参数'!$E$71)</x:f>
        <x:v>7</x:v>
      </x:c>
      <x:c r="V307" s="119" t="n">
        <x:f>IF(H307&gt;=('难度参数'!$E$52),1,0)+IF(H307&gt;=('难度参数'!$E$52+'难度参数'!$E$53),1,0)+IF(H307&gt;=('难度参数'!$E$52+'难度参数'!$E$53+'难度参数'!$E$54),1,0)+IF(H307&gt;=('难度参数'!$E$52+'难度参数'!$E$53+'难度参数'!$E$54+'难度参数'!$E$55),1,0)+IF(H307&gt;=('难度参数'!$E$52+'难度参数'!$E$53+'难度参数'!$E$54+'难度参数'!$E$55+'难度参数'!$E$56),1,0)+IF(H307&gt;=('难度参数'!$E$52+'难度参数'!$E$53+'难度参数'!$E$54+'难度参数'!$E$55+'难度参数'!$E$56+'难度参数'!$E$57),1,0)</x:f>
        <x:v>6</x:v>
      </x:c>
      <x:c r="W307" s="62" t="str">
        <x:f>IF(L307&gt;'难度参数'!$E$51,"仅出怪已超目标","还需实测")</x:f>
        <x:v>仅出怪已超目标</x:v>
      </x:c>
      <x:c r="X307" s="119" t="n">
        <x:f>IF(1&gt;D307,0,MAX(2,MIN('难度参数'!$E$12,ROUND(('难度参数'!$E$18*POWER(A307,'难度参数'!$E$19)/D307*(0.85+0.3*(1-1)/MAX(1,D307-1))),0)+F307)))</x:f>
        <x:v>30</x:v>
      </x:c>
      <x:c r="Y307" s="119" t="n">
        <x:f>IF(1&gt;D307,0,ROUND(('难度参数'!$E$13*POWER(A307,'难度参数'!$E$20)*MIN('难度参数'!$E$23,1+MAX(0,A307-'难度参数'!$E$21)*'难度参数'!$E$22))*(36+1*7)/(36+7*(D307+1)/2)*E307,0))</x:f>
        <x:v>5523</x:v>
      </x:c>
      <x:c r="Z307" s="119" t="n">
        <x:f>IF(X307=0,0,(X307-IF(1=D307,1,0))*ROUND(Y307*VLOOKUP(INDEX('章节与怪物'!$E$31:$K$37,B307,1),'章节与怪物'!$A$41:$F$44,2,FALSE),0)+IF(1=D307,ROUND(Y307*'难度参数'!$E$28*'章节与怪物'!$E$17,0),0))</x:f>
        <x:v>165690</x:v>
      </x:c>
      <x:c r="AA307" s="119" t="n">
        <x:f>IF(X307=0,0,(X307-IF(1=D307,1,0))*VLOOKUP(INDEX('章节与怪物'!$E$31:$K$37,B307,1),'章节与怪物'!$A$41:$F$44,4,FALSE)+IF(1=D307,'难度参数'!$E$30,0))</x:f>
        <x:v>540</x:v>
      </x:c>
      <x:c r="AB307" s="119" t="n">
        <x:f>IF(2&gt;D307,0,MAX(2,MIN('难度参数'!$E$12,ROUND(('难度参数'!$E$18*POWER(A307,'难度参数'!$E$19)/D307*(0.85+0.3*(2-1)/MAX(1,D307-1))),0)+F307)))</x:f>
        <x:v>31</x:v>
      </x:c>
      <x:c r="AC307" s="119" t="n">
        <x:f>IF(2&gt;D307,0,ROUND(('难度参数'!$E$13*POWER(A307,'难度参数'!$E$20)*MIN('难度参数'!$E$23,1+MAX(0,A307-'难度参数'!$E$21)*'难度参数'!$E$22))*(36+2*7)/(36+7*(D307+1)/2)*E307,0))</x:f>
        <x:v>6422</x:v>
      </x:c>
      <x:c r="AD307" s="119" t="n">
        <x:f>IF(AB307=0,0,(AB307-IF(2=D307,1,0))*ROUND(AC307*VLOOKUP(INDEX('章节与怪物'!$E$31:$K$37,B307,2),'章节与怪物'!$A$41:$F$44,2,FALSE),0)+IF(2=D307,ROUND(AC307*'难度参数'!$E$28*'章节与怪物'!$E$17,0),0))</x:f>
        <x:v>143344</x:v>
      </x:c>
      <x:c r="AE307" s="119" t="n">
        <x:f>IF(AB307=0,0,(AB307-IF(2=D307,1,0))*VLOOKUP(INDEX('章节与怪物'!$E$31:$K$37,B307,2),'章节与怪物'!$A$41:$F$44,4,FALSE)+IF(2=D307,'难度参数'!$E$30,0))</x:f>
        <x:v>620</x:v>
      </x:c>
      <x:c r="AF307" s="119" t="n">
        <x:f>IF(3&gt;D307,0,MAX(2,MIN('难度参数'!$E$12,ROUND(('难度参数'!$E$18*POWER(A307,'难度参数'!$E$19)/D307*(0.85+0.3*(3-1)/MAX(1,D307-1))),0)+F307)))</x:f>
        <x:v>33</x:v>
      </x:c>
      <x:c r="AG307" s="119" t="n">
        <x:f>IF(3&gt;D307,0,ROUND(('难度参数'!$E$13*POWER(A307,'难度参数'!$E$20)*MIN('难度参数'!$E$23,1+MAX(0,A307-'难度参数'!$E$21)*'难度参数'!$E$22))*(36+3*7)/(36+7*(D307+1)/2)*E307,0))</x:f>
        <x:v>7321</x:v>
      </x:c>
      <x:c r="AH307" s="119" t="n">
        <x:f>IF(AF307=0,0,(AF307-IF(3=D307,1,0))*ROUND(AG307*VLOOKUP(INDEX('章节与怪物'!$E$31:$K$37,B307,3),'章节与怪物'!$A$41:$F$44,2,FALSE),0)+IF(3=D307,ROUND(AG307*'难度参数'!$E$28*'章节与怪物'!$E$17,0),0))</x:f>
        <x:v>410718</x:v>
      </x:c>
      <x:c r="AI307" s="119" t="n">
        <x:f>IF(AF307=0,0,(AF307-IF(3=D307,1,0))*VLOOKUP(INDEX('章节与怪物'!$E$31:$K$37,B307,3),'章节与怪物'!$A$41:$F$44,4,FALSE)+IF(3=D307,'难度参数'!$E$30,0))</x:f>
        <x:v>924</x:v>
      </x:c>
      <x:c r="AJ307" s="119" t="n">
        <x:f>IF(4&gt;D307,0,MAX(2,MIN('难度参数'!$E$12,ROUND(('难度参数'!$E$18*POWER(A307,'难度参数'!$E$19)/D307*(0.85+0.3*(4-1)/MAX(1,D307-1))),0)+F307)))</x:f>
        <x:v>35</x:v>
      </x:c>
      <x:c r="AK307" s="119" t="n">
        <x:f>IF(4&gt;D307,0,ROUND(('难度参数'!$E$13*POWER(A307,'难度参数'!$E$20)*MIN('难度参数'!$E$23,1+MAX(0,A307-'难度参数'!$E$21)*'难度参数'!$E$22))*(36+4*7)/(36+7*(D307+1)/2)*E307,0))</x:f>
        <x:v>8221</x:v>
      </x:c>
      <x:c r="AL307" s="119" t="n">
        <x:f>IF(AJ307=0,0,(AJ307-IF(4=D307,1,0))*ROUND(AK307*VLOOKUP(INDEX('章节与怪物'!$E$31:$K$37,B307,4),'章节与怪物'!$A$41:$F$44,2,FALSE),0)+IF(4=D307,ROUND(AK307*'难度参数'!$E$28*'章节与怪物'!$E$17,0),0))</x:f>
        <x:v>388430</x:v>
      </x:c>
      <x:c r="AM307" s="119" t="n">
        <x:f>IF(AJ307=0,0,(AJ307-IF(4=D307,1,0))*VLOOKUP(INDEX('章节与怪物'!$E$31:$K$37,B307,4),'章节与怪物'!$A$41:$F$44,4,FALSE)+IF(4=D307,'难度参数'!$E$30,0))</x:f>
        <x:v>1190</x:v>
      </x:c>
      <x:c r="AN307" s="119" t="n">
        <x:f>IF(5&gt;D307,0,MAX(2,MIN('难度参数'!$E$12,ROUND(('难度参数'!$E$18*POWER(A307,'难度参数'!$E$19)/D307*(0.85+0.3*(5-1)/MAX(1,D307-1))),0)+F307)))</x:f>
        <x:v>36</x:v>
      </x:c>
      <x:c r="AO307" s="119" t="n">
        <x:f>IF(5&gt;D307,0,ROUND(('难度参数'!$E$13*POWER(A307,'难度参数'!$E$20)*MIN('难度参数'!$E$23,1+MAX(0,A307-'难度参数'!$E$21)*'难度参数'!$E$22))*(36+5*7)/(36+7*(D307+1)/2)*E307,0))</x:f>
        <x:v>9120</x:v>
      </x:c>
      <x:c r="AP307" s="119" t="n">
        <x:f>IF(AN307=0,0,(AN307-IF(5=D307,1,0))*ROUND(AO307*VLOOKUP(INDEX('章节与怪物'!$E$31:$K$37,B307,5),'章节与怪物'!$A$41:$F$44,2,FALSE),0)+IF(5=D307,ROUND(AO307*'难度参数'!$E$28*'章节与怪物'!$E$17,0),0))</x:f>
        <x:v>236376</x:v>
      </x:c>
      <x:c r="AQ307" s="119" t="n">
        <x:f>IF(AN307=0,0,(AN307-IF(5=D307,1,0))*VLOOKUP(INDEX('章节与怪物'!$E$31:$K$37,B307,5),'章节与怪物'!$A$41:$F$44,4,FALSE)+IF(5=D307,'难度参数'!$E$30,0))</x:f>
        <x:v>720</x:v>
      </x:c>
      <x:c r="AR307" s="119" t="n">
        <x:f>IF(6&gt;D307,0,MAX(2,MIN('难度参数'!$E$12,ROUND(('难度参数'!$E$18*POWER(A307,'难度参数'!$E$19)/D307*(0.85+0.3*(6-1)/MAX(1,D307-1))),0)+F307)))</x:f>
        <x:v>38</x:v>
      </x:c>
      <x:c r="AS307" s="119" t="n">
        <x:f>IF(6&gt;D307,0,ROUND(('难度参数'!$E$13*POWER(A307,'难度参数'!$E$20)*MIN('难度参数'!$E$23,1+MAX(0,A307-'难度参数'!$E$21)*'难度参数'!$E$22))*(36+6*7)/(36+7*(D307+1)/2)*E307,0))</x:f>
        <x:v>10019</x:v>
      </x:c>
      <x:c r="AT307" s="119" t="n">
        <x:f>IF(AR307=0,0,(AR307-IF(6=D307,1,0))*ROUND(AS307*VLOOKUP(INDEX('章节与怪物'!$E$31:$K$37,B307,6),'章节与怪物'!$A$41:$F$44,2,FALSE),0)+IF(6=D307,ROUND(AS307*'难度参数'!$E$28*'章节与怪物'!$E$17,0),0))</x:f>
        <x:v>647216</x:v>
      </x:c>
      <x:c r="AU307" s="119" t="n">
        <x:f>IF(AR307=0,0,(AR307-IF(6=D307,1,0))*VLOOKUP(INDEX('章节与怪物'!$E$31:$K$37,B307,6),'章节与怪物'!$A$41:$F$44,4,FALSE)+IF(6=D307,'难度参数'!$E$30,0))</x:f>
        <x:v>1064</x:v>
      </x:c>
      <x:c r="AV307" s="119" t="n">
        <x:f>IF(7&gt;D307,0,MAX(2,MIN('难度参数'!$E$12,ROUND(('难度参数'!$E$18*POWER(A307,'难度参数'!$E$19)/D307*(0.85+0.3*(7-1)/MAX(1,D307-1))),0)+F307)))</x:f>
        <x:v>40</x:v>
      </x:c>
      <x:c r="AW307" s="119" t="n">
        <x:f>IF(7&gt;D307,0,ROUND(('难度参数'!$E$13*POWER(A307,'难度参数'!$E$20)*MIN('难度参数'!$E$23,1+MAX(0,A307-'难度参数'!$E$21)*'难度参数'!$E$22))*(36+7*7)/(36+7*(D307+1)/2)*E307,0))</x:f>
        <x:v>10918</x:v>
      </x:c>
      <x:c r="AX307" s="119" t="n">
        <x:f>IF(AV307=0,0,(AV307-IF(7=D307,1,0))*ROUND(AW307*VLOOKUP(INDEX('章节与怪物'!$E$31:$K$37,B307,7),'章节与怪物'!$A$41:$F$44,2,FALSE),0)+IF(7=D307,ROUND(AW307*'难度参数'!$E$28*'章节与怪物'!$E$17,0),0))</x:f>
        <x:v>649063</x:v>
      </x:c>
      <x:c r="AY307" s="119" t="n">
        <x:f>IF(AV307=0,0,(AV307-IF(7=D307,1,0))*VLOOKUP(INDEX('章节与怪物'!$E$31:$K$37,B307,7),'章节与怪物'!$A$41:$F$44,4,FALSE)+IF(7=D307,'难度参数'!$E$30,0))</x:f>
        <x:v>1526</x:v>
      </x:c>
    </x:row>
    <x:row r="308" ht="23" customHeight="1">
      <x:c r="A308" s="119" t="n">
        <x:v>302</x:v>
      </x:c>
      <x:c r="B308" s="119" t="n">
        <x:f>MOD(INT((A308-1)/5),7)+1</x:f>
        <x:v>5</x:v>
      </x:c>
      <x:c r="C308" s="62" t="str">
        <x:f>INDEX('章节与怪物'!$B$31:$B$37,B308)</x:f>
        <x:v>雨林遗迹</x:v>
      </x:c>
      <x:c r="D308" s="119" t="n">
        <x:f>MIN('难度参数'!$E$8,MAX('难度参数'!$E$7,A308))</x:f>
        <x:v>7</x:v>
      </x:c>
      <x:c r="E308" s="106" t="n">
        <x:v>1</x:v>
      </x:c>
      <x:c r="F308" s="106" t="n">
        <x:v>0</x:v>
      </x:c>
      <x:c r="G308" s="106" t="n">
        <x:v>1</x:v>
      </x:c>
      <x:c r="H308" s="119" t="n">
        <x:f>SUM(X308,AB308,AF308,AJ308,AN308,AR308,AV308)</x:f>
        <x:v>244</x:v>
      </x:c>
      <x:c r="I308" s="119" t="n">
        <x:f>SUM(Z308,AD308,AH308,AL308,AP308,AT308,AX308)</x:f>
        <x:v>2653726</x:v>
      </x:c>
      <x:c r="J308" s="119" t="n">
        <x:f>ROUND(INDEX(X308:AY308,1,(D308-1)*4+2)*'难度参数'!$E$28*'章节与怪物'!$E$17,0)</x:f>
        <x:v>74419</x:v>
      </x:c>
      <x:c r="K308" s="119" t="n">
        <x:f>SUM(AA308,AE308,AI308,AM308,AQ308,AU308,AY308)</x:f>
        <x:v>6604</x:v>
      </x:c>
      <x:c r="L308" s="62" t="n">
        <x:f>H308*(ROUNDUP('难度参数'!$E$24/('难度参数'!$E$26*'难度参数'!$E$27),0)*'难度参数'!$E$26)/60</x:f>
        <x:v>3.2533333333333334</x:v>
      </x:c>
      <x:c r="M308" s="62" t="n">
        <x:f>L308+D308*('难度参数'!$E$49+'难度参数'!$E$50)/60</x:f>
        <x:v>4.42</x:v>
      </x:c>
      <x:c r="N308" s="119" t="n">
        <x:f>ROUNDDOWN(('经济参数'!$E$20+A308*'经济参数'!$E$21)*G308,0)</x:f>
        <x:v>6220</x:v>
      </x:c>
      <x:c r="O308" s="119" t="n">
        <x:f>ROUNDDOWN(MIN('经济参数'!$E$24,'经济参数'!$E$22+A308*'经济参数'!$E$23)*G308,0)</x:f>
        <x:v>0</x:v>
      </x:c>
      <x:c r="P308" s="119" t="n">
        <x:f>ROUNDDOWN((IF(A308&gt;='材料与任务'!$E$31,'材料与任务'!$E$32,IF(A308&gt;='材料与任务'!$E$25,'材料与任务'!$E$26,IF(A308&gt;='材料与任务'!$E$19,'材料与任务'!$E$20,IF(A308&gt;='材料与任务'!$E$13,'材料与任务'!$E$14,'材料与任务'!$E$8)))))*G308,0)</x:f>
        <x:v>6</x:v>
      </x:c>
      <x:c r="Q308" s="119" t="n">
        <x:f>ROUNDDOWN((IF(A308&gt;='材料与任务'!$E$31,'材料与任务'!$E$33,IF(A308&gt;='材料与任务'!$E$25,'材料与任务'!$E$27,IF(A308&gt;='材料与任务'!$E$19,'材料与任务'!$E$21,IF(A308&gt;='材料与任务'!$E$13,'材料与任务'!$E$15,'材料与任务'!$E$9)))))*G308,0)</x:f>
        <x:v>3</x:v>
      </x:c>
      <x:c r="R308" s="110" t="n">
        <x:f>'装备掉落'!$B$38</x:f>
        <x:v>0.6872058758851213</x:v>
      </x:c>
      <x:c r="S308" s="119" t="n">
        <x:f>MAX(IF(VLOOKUP(A308,'装备掉落'!$A$29:$H$34,2,TRUE)&gt;0,1,0),IF(VLOOKUP(A308,'装备掉落'!$A$29:$H$34,3,TRUE)&gt;0,2,0),IF(VLOOKUP(A308,'装备掉落'!$A$29:$H$34,4,TRUE)&gt;0,3,0),IF(VLOOKUP(A308,'装备掉落'!$A$29:$H$34,5,TRUE)&gt;0,4,0),IF(VLOOKUP(A308,'装备掉落'!$A$29:$H$34,6,TRUE)&gt;0,5,0),IF(VLOOKUP(A308,'装备掉落'!$A$29:$H$34,7,TRUE)&gt;0,6,0),IF(VLOOKUP(A308,'装备掉落'!$A$29:$H$34,8,TRUE)&gt;0,7,0))</x:f>
        <x:v>7</x:v>
      </x:c>
      <x:c r="T308" s="119" t="n">
        <x:f>MIN(7,S308+'经济参数'!$E$70)</x:f>
        <x:v>7</x:v>
      </x:c>
      <x:c r="U308" s="119" t="n">
        <x:f>MIN(7,S308+'经济参数'!$E$71)</x:f>
        <x:v>7</x:v>
      </x:c>
      <x:c r="V308" s="119" t="n">
        <x:f>IF(H308&gt;=('难度参数'!$E$52),1,0)+IF(H308&gt;=('难度参数'!$E$52+'难度参数'!$E$53),1,0)+IF(H308&gt;=('难度参数'!$E$52+'难度参数'!$E$53+'难度参数'!$E$54),1,0)+IF(H308&gt;=('难度参数'!$E$52+'难度参数'!$E$53+'难度参数'!$E$54+'难度参数'!$E$55),1,0)+IF(H308&gt;=('难度参数'!$E$52+'难度参数'!$E$53+'难度参数'!$E$54+'难度参数'!$E$55+'难度参数'!$E$56),1,0)+IF(H308&gt;=('难度参数'!$E$52+'难度参数'!$E$53+'难度参数'!$E$54+'难度参数'!$E$55+'难度参数'!$E$56+'难度参数'!$E$57),1,0)</x:f>
        <x:v>6</x:v>
      </x:c>
      <x:c r="W308" s="62" t="str">
        <x:f>IF(L308&gt;'难度参数'!$E$51,"仅出怪已超目标","还需实测")</x:f>
        <x:v>仅出怪已超目标</x:v>
      </x:c>
      <x:c r="X308" s="119" t="n">
        <x:f>IF(1&gt;D308,0,MAX(2,MIN('难度参数'!$E$12,ROUND(('难度参数'!$E$18*POWER(A308,'难度参数'!$E$19)/D308*(0.85+0.3*(1-1)/MAX(1,D308-1))),0)+F308)))</x:f>
        <x:v>30</x:v>
      </x:c>
      <x:c r="Y308" s="119" t="n">
        <x:f>IF(1&gt;D308,0,ROUND(('难度参数'!$E$13*POWER(A308,'难度参数'!$E$20)*MIN('难度参数'!$E$23,1+MAX(0,A308-'难度参数'!$E$21)*'难度参数'!$E$22))*(36+1*7)/(36+7*(D308+1)/2)*E308,0))</x:f>
        <x:v>5536</x:v>
      </x:c>
      <x:c r="Z308" s="119" t="n">
        <x:f>IF(X308=0,0,(X308-IF(1=D308,1,0))*ROUND(Y308*VLOOKUP(INDEX('章节与怪物'!$E$31:$K$37,B308,1),'章节与怪物'!$A$41:$F$44,2,FALSE),0)+IF(1=D308,ROUND(Y308*'难度参数'!$E$28*'章节与怪物'!$E$17,0),0))</x:f>
        <x:v>166080</x:v>
      </x:c>
      <x:c r="AA308" s="119" t="n">
        <x:f>IF(X308=0,0,(X308-IF(1=D308,1,0))*VLOOKUP(INDEX('章节与怪物'!$E$31:$K$37,B308,1),'章节与怪物'!$A$41:$F$44,4,FALSE)+IF(1=D308,'难度参数'!$E$30,0))</x:f>
        <x:v>540</x:v>
      </x:c>
      <x:c r="AB308" s="119" t="n">
        <x:f>IF(2&gt;D308,0,MAX(2,MIN('难度参数'!$E$12,ROUND(('难度参数'!$E$18*POWER(A308,'难度参数'!$E$19)/D308*(0.85+0.3*(2-1)/MAX(1,D308-1))),0)+F308)))</x:f>
        <x:v>31</x:v>
      </x:c>
      <x:c r="AC308" s="119" t="n">
        <x:f>IF(2&gt;D308,0,ROUND(('难度参数'!$E$13*POWER(A308,'难度参数'!$E$20)*MIN('难度参数'!$E$23,1+MAX(0,A308-'难度参数'!$E$21)*'难度参数'!$E$22))*(36+2*7)/(36+7*(D308+1)/2)*E308,0))</x:f>
        <x:v>6438</x:v>
      </x:c>
      <x:c r="AD308" s="119" t="n">
        <x:f>IF(AB308=0,0,(AB308-IF(2=D308,1,0))*ROUND(AC308*VLOOKUP(INDEX('章节与怪物'!$E$31:$K$37,B308,2),'章节与怪物'!$A$41:$F$44,2,FALSE),0)+IF(2=D308,ROUND(AC308*'难度参数'!$E$28*'章节与怪物'!$E$17,0),0))</x:f>
        <x:v>143685</x:v>
      </x:c>
      <x:c r="AE308" s="119" t="n">
        <x:f>IF(AB308=0,0,(AB308-IF(2=D308,1,0))*VLOOKUP(INDEX('章节与怪物'!$E$31:$K$37,B308,2),'章节与怪物'!$A$41:$F$44,4,FALSE)+IF(2=D308,'难度参数'!$E$30,0))</x:f>
        <x:v>620</x:v>
      </x:c>
      <x:c r="AF308" s="119" t="n">
        <x:f>IF(3&gt;D308,0,MAX(2,MIN('难度参数'!$E$12,ROUND(('难度参数'!$E$18*POWER(A308,'难度参数'!$E$19)/D308*(0.85+0.3*(3-1)/MAX(1,D308-1))),0)+F308)))</x:f>
        <x:v>33</x:v>
      </x:c>
      <x:c r="AG308" s="119" t="n">
        <x:f>IF(3&gt;D308,0,ROUND(('难度参数'!$E$13*POWER(A308,'难度参数'!$E$20)*MIN('难度参数'!$E$23,1+MAX(0,A308-'难度参数'!$E$21)*'难度参数'!$E$22))*(36+3*7)/(36+7*(D308+1)/2)*E308,0))</x:f>
        <x:v>7339</x:v>
      </x:c>
      <x:c r="AH308" s="119" t="n">
        <x:f>IF(AF308=0,0,(AF308-IF(3=D308,1,0))*ROUND(AG308*VLOOKUP(INDEX('章节与怪物'!$E$31:$K$37,B308,3),'章节与怪物'!$A$41:$F$44,2,FALSE),0)+IF(3=D308,ROUND(AG308*'难度参数'!$E$28*'章节与怪物'!$E$17,0),0))</x:f>
        <x:v>411708</x:v>
      </x:c>
      <x:c r="AI308" s="119" t="n">
        <x:f>IF(AF308=0,0,(AF308-IF(3=D308,1,0))*VLOOKUP(INDEX('章节与怪物'!$E$31:$K$37,B308,3),'章节与怪物'!$A$41:$F$44,4,FALSE)+IF(3=D308,'难度参数'!$E$30,0))</x:f>
        <x:v>924</x:v>
      </x:c>
      <x:c r="AJ308" s="119" t="n">
        <x:f>IF(4&gt;D308,0,MAX(2,MIN('难度参数'!$E$12,ROUND(('难度参数'!$E$18*POWER(A308,'难度参数'!$E$19)/D308*(0.85+0.3*(4-1)/MAX(1,D308-1))),0)+F308)))</x:f>
        <x:v>35</x:v>
      </x:c>
      <x:c r="AK308" s="119" t="n">
        <x:f>IF(4&gt;D308,0,ROUND(('难度参数'!$E$13*POWER(A308,'难度参数'!$E$20)*MIN('难度参数'!$E$23,1+MAX(0,A308-'难度参数'!$E$21)*'难度参数'!$E$22))*(36+4*7)/(36+7*(D308+1)/2)*E308,0))</x:f>
        <x:v>8240</x:v>
      </x:c>
      <x:c r="AL308" s="119" t="n">
        <x:f>IF(AJ308=0,0,(AJ308-IF(4=D308,1,0))*ROUND(AK308*VLOOKUP(INDEX('章节与怪物'!$E$31:$K$37,B308,4),'章节与怪物'!$A$41:$F$44,2,FALSE),0)+IF(4=D308,ROUND(AK308*'难度参数'!$E$28*'章节与怪物'!$E$17,0),0))</x:f>
        <x:v>389340</x:v>
      </x:c>
      <x:c r="AM308" s="119" t="n">
        <x:f>IF(AJ308=0,0,(AJ308-IF(4=D308,1,0))*VLOOKUP(INDEX('章节与怪物'!$E$31:$K$37,B308,4),'章节与怪物'!$A$41:$F$44,4,FALSE)+IF(4=D308,'难度参数'!$E$30,0))</x:f>
        <x:v>1190</x:v>
      </x:c>
      <x:c r="AN308" s="119" t="n">
        <x:f>IF(5&gt;D308,0,MAX(2,MIN('难度参数'!$E$12,ROUND(('难度参数'!$E$18*POWER(A308,'难度参数'!$E$19)/D308*(0.85+0.3*(5-1)/MAX(1,D308-1))),0)+F308)))</x:f>
        <x:v>37</x:v>
      </x:c>
      <x:c r="AO308" s="119" t="n">
        <x:f>IF(5&gt;D308,0,ROUND(('难度参数'!$E$13*POWER(A308,'难度参数'!$E$20)*MIN('难度参数'!$E$23,1+MAX(0,A308-'难度参数'!$E$21)*'难度参数'!$E$22))*(36+5*7)/(36+7*(D308+1)/2)*E308,0))</x:f>
        <x:v>9141</x:v>
      </x:c>
      <x:c r="AP308" s="119" t="n">
        <x:f>IF(AN308=0,0,(AN308-IF(5=D308,1,0))*ROUND(AO308*VLOOKUP(INDEX('章节与怪物'!$E$31:$K$37,B308,5),'章节与怪物'!$A$41:$F$44,2,FALSE),0)+IF(5=D308,ROUND(AO308*'难度参数'!$E$28*'章节与怪物'!$E$17,0),0))</x:f>
        <x:v>243534</x:v>
      </x:c>
      <x:c r="AQ308" s="119" t="n">
        <x:f>IF(AN308=0,0,(AN308-IF(5=D308,1,0))*VLOOKUP(INDEX('章节与怪物'!$E$31:$K$37,B308,5),'章节与怪物'!$A$41:$F$44,4,FALSE)+IF(5=D308,'难度参数'!$E$30,0))</x:f>
        <x:v>740</x:v>
      </x:c>
      <x:c r="AR308" s="119" t="n">
        <x:f>IF(6&gt;D308,0,MAX(2,MIN('难度参数'!$E$12,ROUND(('难度参数'!$E$18*POWER(A308,'难度参数'!$E$19)/D308*(0.85+0.3*(6-1)/MAX(1,D308-1))),0)+F308)))</x:f>
        <x:v>38</x:v>
      </x:c>
      <x:c r="AS308" s="119" t="n">
        <x:f>IF(6&gt;D308,0,ROUND(('难度参数'!$E$13*POWER(A308,'难度参数'!$E$20)*MIN('难度参数'!$E$23,1+MAX(0,A308-'难度参数'!$E$21)*'难度参数'!$E$22))*(36+6*7)/(36+7*(D308+1)/2)*E308,0))</x:f>
        <x:v>10043</x:v>
      </x:c>
      <x:c r="AT308" s="119" t="n">
        <x:f>IF(AR308=0,0,(AR308-IF(6=D308,1,0))*ROUND(AS308*VLOOKUP(INDEX('章节与怪物'!$E$31:$K$37,B308,6),'章节与怪物'!$A$41:$F$44,2,FALSE),0)+IF(6=D308,ROUND(AS308*'难度参数'!$E$28*'章节与怪物'!$E$17,0),0))</x:f>
        <x:v>648774</x:v>
      </x:c>
      <x:c r="AU308" s="119" t="n">
        <x:f>IF(AR308=0,0,(AR308-IF(6=D308,1,0))*VLOOKUP(INDEX('章节与怪物'!$E$31:$K$37,B308,6),'章节与怪物'!$A$41:$F$44,4,FALSE)+IF(6=D308,'难度参数'!$E$30,0))</x:f>
        <x:v>1064</x:v>
      </x:c>
      <x:c r="AV308" s="119" t="n">
        <x:f>IF(7&gt;D308,0,MAX(2,MIN('难度参数'!$E$12,ROUND(('难度参数'!$E$18*POWER(A308,'难度参数'!$E$19)/D308*(0.85+0.3*(7-1)/MAX(1,D308-1))),0)+F308)))</x:f>
        <x:v>40</x:v>
      </x:c>
      <x:c r="AW308" s="119" t="n">
        <x:f>IF(7&gt;D308,0,ROUND(('难度参数'!$E$13*POWER(A308,'难度参数'!$E$20)*MIN('难度参数'!$E$23,1+MAX(0,A308-'难度参数'!$E$21)*'难度参数'!$E$22))*(36+7*7)/(36+7*(D308+1)/2)*E308,0))</x:f>
        <x:v>10944</x:v>
      </x:c>
      <x:c r="AX308" s="119" t="n">
        <x:f>IF(AV308=0,0,(AV308-IF(7=D308,1,0))*ROUND(AW308*VLOOKUP(INDEX('章节与怪物'!$E$31:$K$37,B308,7),'章节与怪物'!$A$41:$F$44,2,FALSE),0)+IF(7=D308,ROUND(AW308*'难度参数'!$E$28*'章节与怪物'!$E$17,0),0))</x:f>
        <x:v>650605</x:v>
      </x:c>
      <x:c r="AY308" s="119" t="n">
        <x:f>IF(AV308=0,0,(AV308-IF(7=D308,1,0))*VLOOKUP(INDEX('章节与怪物'!$E$31:$K$37,B308,7),'章节与怪物'!$A$41:$F$44,4,FALSE)+IF(7=D308,'难度参数'!$E$30,0))</x:f>
        <x:v>1526</x:v>
      </x:c>
    </x:row>
    <x:row r="309" ht="23" customHeight="1">
      <x:c r="A309" s="119" t="n">
        <x:v>303</x:v>
      </x:c>
      <x:c r="B309" s="119" t="n">
        <x:f>MOD(INT((A309-1)/5),7)+1</x:f>
        <x:v>5</x:v>
      </x:c>
      <x:c r="C309" s="62" t="str">
        <x:f>INDEX('章节与怪物'!$B$31:$B$37,B309)</x:f>
        <x:v>雨林遗迹</x:v>
      </x:c>
      <x:c r="D309" s="119" t="n">
        <x:f>MIN('难度参数'!$E$8,MAX('难度参数'!$E$7,A309))</x:f>
        <x:v>7</x:v>
      </x:c>
      <x:c r="E309" s="106" t="n">
        <x:v>1</x:v>
      </x:c>
      <x:c r="F309" s="106" t="n">
        <x:v>0</x:v>
      </x:c>
      <x:c r="G309" s="106" t="n">
        <x:v>1</x:v>
      </x:c>
      <x:c r="H309" s="119" t="n">
        <x:f>SUM(X309,AB309,AF309,AJ309,AN309,AR309,AV309)</x:f>
        <x:v>244</x:v>
      </x:c>
      <x:c r="I309" s="119" t="n">
        <x:f>SUM(Z309,AD309,AH309,AL309,AP309,AT309,AX309)</x:f>
        <x:v>2660083</x:v>
      </x:c>
      <x:c r="J309" s="119" t="n">
        <x:f>ROUND(INDEX(X309:AY309,1,(D309-1)*4+2)*'难度参数'!$E$28*'章节与怪物'!$E$17,0)</x:f>
        <x:v>74596</x:v>
      </x:c>
      <x:c r="K309" s="119" t="n">
        <x:f>SUM(AA309,AE309,AI309,AM309,AQ309,AU309,AY309)</x:f>
        <x:v>6604</x:v>
      </x:c>
      <x:c r="L309" s="62" t="n">
        <x:f>H309*(ROUNDUP('难度参数'!$E$24/('难度参数'!$E$26*'难度参数'!$E$27),0)*'难度参数'!$E$26)/60</x:f>
        <x:v>3.2533333333333334</x:v>
      </x:c>
      <x:c r="M309" s="62" t="n">
        <x:f>L309+D309*('难度参数'!$E$49+'难度参数'!$E$50)/60</x:f>
        <x:v>4.42</x:v>
      </x:c>
      <x:c r="N309" s="119" t="n">
        <x:f>ROUNDDOWN(('经济参数'!$E$20+A309*'经济参数'!$E$21)*G309,0)</x:f>
        <x:v>6240</x:v>
      </x:c>
      <x:c r="O309" s="119" t="n">
        <x:f>ROUNDDOWN(MIN('经济参数'!$E$24,'经济参数'!$E$22+A309*'经济参数'!$E$23)*G309,0)</x:f>
        <x:v>0</x:v>
      </x:c>
      <x:c r="P309" s="119" t="n">
        <x:f>ROUNDDOWN((IF(A309&gt;='材料与任务'!$E$31,'材料与任务'!$E$32,IF(A309&gt;='材料与任务'!$E$25,'材料与任务'!$E$26,IF(A309&gt;='材料与任务'!$E$19,'材料与任务'!$E$20,IF(A309&gt;='材料与任务'!$E$13,'材料与任务'!$E$14,'材料与任务'!$E$8)))))*G309,0)</x:f>
        <x:v>6</x:v>
      </x:c>
      <x:c r="Q309" s="119" t="n">
        <x:f>ROUNDDOWN((IF(A309&gt;='材料与任务'!$E$31,'材料与任务'!$E$33,IF(A309&gt;='材料与任务'!$E$25,'材料与任务'!$E$27,IF(A309&gt;='材料与任务'!$E$19,'材料与任务'!$E$21,IF(A309&gt;='材料与任务'!$E$13,'材料与任务'!$E$15,'材料与任务'!$E$9)))))*G309,0)</x:f>
        <x:v>3</x:v>
      </x:c>
      <x:c r="R309" s="110" t="n">
        <x:f>'装备掉落'!$B$38</x:f>
        <x:v>0.6872058758851213</x:v>
      </x:c>
      <x:c r="S309" s="119" t="n">
        <x:f>MAX(IF(VLOOKUP(A309,'装备掉落'!$A$29:$H$34,2,TRUE)&gt;0,1,0),IF(VLOOKUP(A309,'装备掉落'!$A$29:$H$34,3,TRUE)&gt;0,2,0),IF(VLOOKUP(A309,'装备掉落'!$A$29:$H$34,4,TRUE)&gt;0,3,0),IF(VLOOKUP(A309,'装备掉落'!$A$29:$H$34,5,TRUE)&gt;0,4,0),IF(VLOOKUP(A309,'装备掉落'!$A$29:$H$34,6,TRUE)&gt;0,5,0),IF(VLOOKUP(A309,'装备掉落'!$A$29:$H$34,7,TRUE)&gt;0,6,0),IF(VLOOKUP(A309,'装备掉落'!$A$29:$H$34,8,TRUE)&gt;0,7,0))</x:f>
        <x:v>7</x:v>
      </x:c>
      <x:c r="T309" s="119" t="n">
        <x:f>MIN(7,S309+'经济参数'!$E$70)</x:f>
        <x:v>7</x:v>
      </x:c>
      <x:c r="U309" s="119" t="n">
        <x:f>MIN(7,S309+'经济参数'!$E$71)</x:f>
        <x:v>7</x:v>
      </x:c>
      <x:c r="V309" s="119" t="n">
        <x:f>IF(H309&gt;=('难度参数'!$E$52),1,0)+IF(H309&gt;=('难度参数'!$E$52+'难度参数'!$E$53),1,0)+IF(H309&gt;=('难度参数'!$E$52+'难度参数'!$E$53+'难度参数'!$E$54),1,0)+IF(H309&gt;=('难度参数'!$E$52+'难度参数'!$E$53+'难度参数'!$E$54+'难度参数'!$E$55),1,0)+IF(H309&gt;=('难度参数'!$E$52+'难度参数'!$E$53+'难度参数'!$E$54+'难度参数'!$E$55+'难度参数'!$E$56),1,0)+IF(H309&gt;=('难度参数'!$E$52+'难度参数'!$E$53+'难度参数'!$E$54+'难度参数'!$E$55+'难度参数'!$E$56+'难度参数'!$E$57),1,0)</x:f>
        <x:v>6</x:v>
      </x:c>
      <x:c r="W309" s="62" t="str">
        <x:f>IF(L309&gt;'难度参数'!$E$51,"仅出怪已超目标","还需实测")</x:f>
        <x:v>仅出怪已超目标</x:v>
      </x:c>
      <x:c r="X309" s="119" t="n">
        <x:f>IF(1&gt;D309,0,MAX(2,MIN('难度参数'!$E$12,ROUND(('难度参数'!$E$18*POWER(A309,'难度参数'!$E$19)/D309*(0.85+0.3*(1-1)/MAX(1,D309-1))),0)+F309)))</x:f>
        <x:v>30</x:v>
      </x:c>
      <x:c r="Y309" s="119" t="n">
        <x:f>IF(1&gt;D309,0,ROUND(('难度参数'!$E$13*POWER(A309,'难度参数'!$E$20)*MIN('难度参数'!$E$23,1+MAX(0,A309-'难度参数'!$E$21)*'难度参数'!$E$22))*(36+1*7)/(36+7*(D309+1)/2)*E309,0))</x:f>
        <x:v>5550</x:v>
      </x:c>
      <x:c r="Z309" s="119" t="n">
        <x:f>IF(X309=0,0,(X309-IF(1=D309,1,0))*ROUND(Y309*VLOOKUP(INDEX('章节与怪物'!$E$31:$K$37,B309,1),'章节与怪物'!$A$41:$F$44,2,FALSE),0)+IF(1=D309,ROUND(Y309*'难度参数'!$E$28*'章节与怪物'!$E$17,0),0))</x:f>
        <x:v>166500</x:v>
      </x:c>
      <x:c r="AA309" s="119" t="n">
        <x:f>IF(X309=0,0,(X309-IF(1=D309,1,0))*VLOOKUP(INDEX('章节与怪物'!$E$31:$K$37,B309,1),'章节与怪物'!$A$41:$F$44,4,FALSE)+IF(1=D309,'难度参数'!$E$30,0))</x:f>
        <x:v>540</x:v>
      </x:c>
      <x:c r="AB309" s="119" t="n">
        <x:f>IF(2&gt;D309,0,MAX(2,MIN('难度参数'!$E$12,ROUND(('难度参数'!$E$18*POWER(A309,'难度参数'!$E$19)/D309*(0.85+0.3*(2-1)/MAX(1,D309-1))),0)+F309)))</x:f>
        <x:v>31</x:v>
      </x:c>
      <x:c r="AC309" s="119" t="n">
        <x:f>IF(2&gt;D309,0,ROUND(('难度参数'!$E$13*POWER(A309,'难度参数'!$E$20)*MIN('难度参数'!$E$23,1+MAX(0,A309-'难度参数'!$E$21)*'难度参数'!$E$22))*(36+2*7)/(36+7*(D309+1)/2)*E309,0))</x:f>
        <x:v>6453</x:v>
      </x:c>
      <x:c r="AD309" s="119" t="n">
        <x:f>IF(AB309=0,0,(AB309-IF(2=D309,1,0))*ROUND(AC309*VLOOKUP(INDEX('章节与怪物'!$E$31:$K$37,B309,2),'章节与怪物'!$A$41:$F$44,2,FALSE),0)+IF(2=D309,ROUND(AC309*'难度参数'!$E$28*'章节与怪物'!$E$17,0),0))</x:f>
        <x:v>144026</x:v>
      </x:c>
      <x:c r="AE309" s="119" t="n">
        <x:f>IF(AB309=0,0,(AB309-IF(2=D309,1,0))*VLOOKUP(INDEX('章节与怪物'!$E$31:$K$37,B309,2),'章节与怪物'!$A$41:$F$44,4,FALSE)+IF(2=D309,'难度参数'!$E$30,0))</x:f>
        <x:v>620</x:v>
      </x:c>
      <x:c r="AF309" s="119" t="n">
        <x:f>IF(3&gt;D309,0,MAX(2,MIN('难度参数'!$E$12,ROUND(('难度参数'!$E$18*POWER(A309,'难度参数'!$E$19)/D309*(0.85+0.3*(3-1)/MAX(1,D309-1))),0)+F309)))</x:f>
        <x:v>33</x:v>
      </x:c>
      <x:c r="AG309" s="119" t="n">
        <x:f>IF(3&gt;D309,0,ROUND(('难度参数'!$E$13*POWER(A309,'难度参数'!$E$20)*MIN('难度参数'!$E$23,1+MAX(0,A309-'难度参数'!$E$21)*'难度参数'!$E$22))*(36+3*7)/(36+7*(D309+1)/2)*E309,0))</x:f>
        <x:v>7356</x:v>
      </x:c>
      <x:c r="AH309" s="119" t="n">
        <x:f>IF(AF309=0,0,(AF309-IF(3=D309,1,0))*ROUND(AG309*VLOOKUP(INDEX('章节与怪物'!$E$31:$K$37,B309,3),'章节与怪物'!$A$41:$F$44,2,FALSE),0)+IF(3=D309,ROUND(AG309*'难度参数'!$E$28*'章节与怪物'!$E$17,0),0))</x:f>
        <x:v>412665</x:v>
      </x:c>
      <x:c r="AI309" s="119" t="n">
        <x:f>IF(AF309=0,0,(AF309-IF(3=D309,1,0))*VLOOKUP(INDEX('章节与怪物'!$E$31:$K$37,B309,3),'章节与怪物'!$A$41:$F$44,4,FALSE)+IF(3=D309,'难度参数'!$E$30,0))</x:f>
        <x:v>924</x:v>
      </x:c>
      <x:c r="AJ309" s="119" t="n">
        <x:f>IF(4&gt;D309,0,MAX(2,MIN('难度参数'!$E$12,ROUND(('难度参数'!$E$18*POWER(A309,'难度参数'!$E$19)/D309*(0.85+0.3*(4-1)/MAX(1,D309-1))),0)+F309)))</x:f>
        <x:v>35</x:v>
      </x:c>
      <x:c r="AK309" s="119" t="n">
        <x:f>IF(4&gt;D309,0,ROUND(('难度参数'!$E$13*POWER(A309,'难度参数'!$E$20)*MIN('难度参数'!$E$23,1+MAX(0,A309-'难度参数'!$E$21)*'难度参数'!$E$22))*(36+4*7)/(36+7*(D309+1)/2)*E309,0))</x:f>
        <x:v>8260</x:v>
      </x:c>
      <x:c r="AL309" s="119" t="n">
        <x:f>IF(AJ309=0,0,(AJ309-IF(4=D309,1,0))*ROUND(AK309*VLOOKUP(INDEX('章节与怪物'!$E$31:$K$37,B309,4),'章节与怪物'!$A$41:$F$44,2,FALSE),0)+IF(4=D309,ROUND(AK309*'难度参数'!$E$28*'章节与怪物'!$E$17,0),0))</x:f>
        <x:v>390285</x:v>
      </x:c>
      <x:c r="AM309" s="119" t="n">
        <x:f>IF(AJ309=0,0,(AJ309-IF(4=D309,1,0))*VLOOKUP(INDEX('章节与怪物'!$E$31:$K$37,B309,4),'章节与怪物'!$A$41:$F$44,4,FALSE)+IF(4=D309,'难度参数'!$E$30,0))</x:f>
        <x:v>1190</x:v>
      </x:c>
      <x:c r="AN309" s="119" t="n">
        <x:f>IF(5&gt;D309,0,MAX(2,MIN('难度参数'!$E$12,ROUND(('难度参数'!$E$18*POWER(A309,'难度参数'!$E$19)/D309*(0.85+0.3*(5-1)/MAX(1,D309-1))),0)+F309)))</x:f>
        <x:v>37</x:v>
      </x:c>
      <x:c r="AO309" s="119" t="n">
        <x:f>IF(5&gt;D309,0,ROUND(('难度参数'!$E$13*POWER(A309,'难度参数'!$E$20)*MIN('难度参数'!$E$23,1+MAX(0,A309-'难度参数'!$E$21)*'难度参数'!$E$22))*(36+5*7)/(36+7*(D309+1)/2)*E309,0))</x:f>
        <x:v>9163</x:v>
      </x:c>
      <x:c r="AP309" s="119" t="n">
        <x:f>IF(AN309=0,0,(AN309-IF(5=D309,1,0))*ROUND(AO309*VLOOKUP(INDEX('章节与怪物'!$E$31:$K$37,B309,5),'章节与怪物'!$A$41:$F$44,2,FALSE),0)+IF(5=D309,ROUND(AO309*'难度参数'!$E$28*'章节与怪物'!$E$17,0),0))</x:f>
        <x:v>244089</x:v>
      </x:c>
      <x:c r="AQ309" s="119" t="n">
        <x:f>IF(AN309=0,0,(AN309-IF(5=D309,1,0))*VLOOKUP(INDEX('章节与怪物'!$E$31:$K$37,B309,5),'章节与怪物'!$A$41:$F$44,4,FALSE)+IF(5=D309,'难度参数'!$E$30,0))</x:f>
        <x:v>740</x:v>
      </x:c>
      <x:c r="AR309" s="119" t="n">
        <x:f>IF(6&gt;D309,0,MAX(2,MIN('难度参数'!$E$12,ROUND(('难度参数'!$E$18*POWER(A309,'难度参数'!$E$19)/D309*(0.85+0.3*(6-1)/MAX(1,D309-1))),0)+F309)))</x:f>
        <x:v>38</x:v>
      </x:c>
      <x:c r="AS309" s="119" t="n">
        <x:f>IF(6&gt;D309,0,ROUND(('难度参数'!$E$13*POWER(A309,'难度参数'!$E$20)*MIN('难度参数'!$E$23,1+MAX(0,A309-'难度参数'!$E$21)*'难度参数'!$E$22))*(36+6*7)/(36+7*(D309+1)/2)*E309,0))</x:f>
        <x:v>10067</x:v>
      </x:c>
      <x:c r="AT309" s="119" t="n">
        <x:f>IF(AR309=0,0,(AR309-IF(6=D309,1,0))*ROUND(AS309*VLOOKUP(INDEX('章节与怪物'!$E$31:$K$37,B309,6),'章节与怪物'!$A$41:$F$44,2,FALSE),0)+IF(6=D309,ROUND(AS309*'难度参数'!$E$28*'章节与怪物'!$E$17,0),0))</x:f>
        <x:v>650332</x:v>
      </x:c>
      <x:c r="AU309" s="119" t="n">
        <x:f>IF(AR309=0,0,(AR309-IF(6=D309,1,0))*VLOOKUP(INDEX('章节与怪物'!$E$31:$K$37,B309,6),'章节与怪物'!$A$41:$F$44,4,FALSE)+IF(6=D309,'难度参数'!$E$30,0))</x:f>
        <x:v>1064</x:v>
      </x:c>
      <x:c r="AV309" s="119" t="n">
        <x:f>IF(7&gt;D309,0,MAX(2,MIN('难度参数'!$E$12,ROUND(('难度参数'!$E$18*POWER(A309,'难度参数'!$E$19)/D309*(0.85+0.3*(7-1)/MAX(1,D309-1))),0)+F309)))</x:f>
        <x:v>40</x:v>
      </x:c>
      <x:c r="AW309" s="119" t="n">
        <x:f>IF(7&gt;D309,0,ROUND(('难度参数'!$E$13*POWER(A309,'难度参数'!$E$20)*MIN('难度参数'!$E$23,1+MAX(0,A309-'难度参数'!$E$21)*'难度参数'!$E$22))*(36+7*7)/(36+7*(D309+1)/2)*E309,0))</x:f>
        <x:v>10970</x:v>
      </x:c>
      <x:c r="AX309" s="119" t="n">
        <x:f>IF(AV309=0,0,(AV309-IF(7=D309,1,0))*ROUND(AW309*VLOOKUP(INDEX('章节与怪物'!$E$31:$K$37,B309,7),'章节与怪物'!$A$41:$F$44,2,FALSE),0)+IF(7=D309,ROUND(AW309*'难度参数'!$E$28*'章节与怪物'!$E$17,0),0))</x:f>
        <x:v>652186</x:v>
      </x:c>
      <x:c r="AY309" s="119" t="n">
        <x:f>IF(AV309=0,0,(AV309-IF(7=D309,1,0))*VLOOKUP(INDEX('章节与怪物'!$E$31:$K$37,B309,7),'章节与怪物'!$A$41:$F$44,4,FALSE)+IF(7=D309,'难度参数'!$E$30,0))</x:f>
        <x:v>1526</x:v>
      </x:c>
    </x:row>
    <x:row r="310" ht="23" customHeight="1">
      <x:c r="A310" s="119" t="n">
        <x:v>304</x:v>
      </x:c>
      <x:c r="B310" s="119" t="n">
        <x:f>MOD(INT((A310-1)/5),7)+1</x:f>
        <x:v>5</x:v>
      </x:c>
      <x:c r="C310" s="62" t="str">
        <x:f>INDEX('章节与怪物'!$B$31:$B$37,B310)</x:f>
        <x:v>雨林遗迹</x:v>
      </x:c>
      <x:c r="D310" s="119" t="n">
        <x:f>MIN('难度参数'!$E$8,MAX('难度参数'!$E$7,A310))</x:f>
        <x:v>7</x:v>
      </x:c>
      <x:c r="E310" s="106" t="n">
        <x:v>1</x:v>
      </x:c>
      <x:c r="F310" s="106" t="n">
        <x:v>0</x:v>
      </x:c>
      <x:c r="G310" s="106" t="n">
        <x:v>1</x:v>
      </x:c>
      <x:c r="H310" s="119" t="n">
        <x:f>SUM(X310,AB310,AF310,AJ310,AN310,AR310,AV310)</x:f>
        <x:v>244</x:v>
      </x:c>
      <x:c r="I310" s="119" t="n">
        <x:f>SUM(Z310,AD310,AH310,AL310,AP310,AT310,AX310)</x:f>
        <x:v>2666439</x:v>
      </x:c>
      <x:c r="J310" s="119" t="n">
        <x:f>ROUND(INDEX(X310:AY310,1,(D310-1)*4+2)*'难度参数'!$E$28*'章节与怪物'!$E$17,0)</x:f>
        <x:v>74773</x:v>
      </x:c>
      <x:c r="K310" s="119" t="n">
        <x:f>SUM(AA310,AE310,AI310,AM310,AQ310,AU310,AY310)</x:f>
        <x:v>6604</x:v>
      </x:c>
      <x:c r="L310" s="62" t="n">
        <x:f>H310*(ROUNDUP('难度参数'!$E$24/('难度参数'!$E$26*'难度参数'!$E$27),0)*'难度参数'!$E$26)/60</x:f>
        <x:v>3.2533333333333334</x:v>
      </x:c>
      <x:c r="M310" s="62" t="n">
        <x:f>L310+D310*('难度参数'!$E$49+'难度参数'!$E$50)/60</x:f>
        <x:v>4.42</x:v>
      </x:c>
      <x:c r="N310" s="119" t="n">
        <x:f>ROUNDDOWN(('经济参数'!$E$20+A310*'经济参数'!$E$21)*G310,0)</x:f>
        <x:v>6260</x:v>
      </x:c>
      <x:c r="O310" s="119" t="n">
        <x:f>ROUNDDOWN(MIN('经济参数'!$E$24,'经济参数'!$E$22+A310*'经济参数'!$E$23)*G310,0)</x:f>
        <x:v>0</x:v>
      </x:c>
      <x:c r="P310" s="119" t="n">
        <x:f>ROUNDDOWN((IF(A310&gt;='材料与任务'!$E$31,'材料与任务'!$E$32,IF(A310&gt;='材料与任务'!$E$25,'材料与任务'!$E$26,IF(A310&gt;='材料与任务'!$E$19,'材料与任务'!$E$20,IF(A310&gt;='材料与任务'!$E$13,'材料与任务'!$E$14,'材料与任务'!$E$8)))))*G310,0)</x:f>
        <x:v>6</x:v>
      </x:c>
      <x:c r="Q310" s="119" t="n">
        <x:f>ROUNDDOWN((IF(A310&gt;='材料与任务'!$E$31,'材料与任务'!$E$33,IF(A310&gt;='材料与任务'!$E$25,'材料与任务'!$E$27,IF(A310&gt;='材料与任务'!$E$19,'材料与任务'!$E$21,IF(A310&gt;='材料与任务'!$E$13,'材料与任务'!$E$15,'材料与任务'!$E$9)))))*G310,0)</x:f>
        <x:v>3</x:v>
      </x:c>
      <x:c r="R310" s="110" t="n">
        <x:f>'装备掉落'!$B$38</x:f>
        <x:v>0.6872058758851213</x:v>
      </x:c>
      <x:c r="S310" s="119" t="n">
        <x:f>MAX(IF(VLOOKUP(A310,'装备掉落'!$A$29:$H$34,2,TRUE)&gt;0,1,0),IF(VLOOKUP(A310,'装备掉落'!$A$29:$H$34,3,TRUE)&gt;0,2,0),IF(VLOOKUP(A310,'装备掉落'!$A$29:$H$34,4,TRUE)&gt;0,3,0),IF(VLOOKUP(A310,'装备掉落'!$A$29:$H$34,5,TRUE)&gt;0,4,0),IF(VLOOKUP(A310,'装备掉落'!$A$29:$H$34,6,TRUE)&gt;0,5,0),IF(VLOOKUP(A310,'装备掉落'!$A$29:$H$34,7,TRUE)&gt;0,6,0),IF(VLOOKUP(A310,'装备掉落'!$A$29:$H$34,8,TRUE)&gt;0,7,0))</x:f>
        <x:v>7</x:v>
      </x:c>
      <x:c r="T310" s="119" t="n">
        <x:f>MIN(7,S310+'经济参数'!$E$70)</x:f>
        <x:v>7</x:v>
      </x:c>
      <x:c r="U310" s="119" t="n">
        <x:f>MIN(7,S310+'经济参数'!$E$71)</x:f>
        <x:v>7</x:v>
      </x:c>
      <x:c r="V310" s="119" t="n">
        <x:f>IF(H310&gt;=('难度参数'!$E$52),1,0)+IF(H310&gt;=('难度参数'!$E$52+'难度参数'!$E$53),1,0)+IF(H310&gt;=('难度参数'!$E$52+'难度参数'!$E$53+'难度参数'!$E$54),1,0)+IF(H310&gt;=('难度参数'!$E$52+'难度参数'!$E$53+'难度参数'!$E$54+'难度参数'!$E$55),1,0)+IF(H310&gt;=('难度参数'!$E$52+'难度参数'!$E$53+'难度参数'!$E$54+'难度参数'!$E$55+'难度参数'!$E$56),1,0)+IF(H310&gt;=('难度参数'!$E$52+'难度参数'!$E$53+'难度参数'!$E$54+'难度参数'!$E$55+'难度参数'!$E$56+'难度参数'!$E$57),1,0)</x:f>
        <x:v>6</x:v>
      </x:c>
      <x:c r="W310" s="62" t="str">
        <x:f>IF(L310&gt;'难度参数'!$E$51,"仅出怪已超目标","还需实测")</x:f>
        <x:v>仅出怪已超目标</x:v>
      </x:c>
      <x:c r="X310" s="119" t="n">
        <x:f>IF(1&gt;D310,0,MAX(2,MIN('难度参数'!$E$12,ROUND(('难度参数'!$E$18*POWER(A310,'难度参数'!$E$19)/D310*(0.85+0.3*(1-1)/MAX(1,D310-1))),0)+F310)))</x:f>
        <x:v>30</x:v>
      </x:c>
      <x:c r="Y310" s="119" t="n">
        <x:f>IF(1&gt;D310,0,ROUND(('难度参数'!$E$13*POWER(A310,'难度参数'!$E$20)*MIN('难度参数'!$E$23,1+MAX(0,A310-'难度参数'!$E$21)*'难度参数'!$E$22))*(36+1*7)/(36+7*(D310+1)/2)*E310,0))</x:f>
        <x:v>5563</x:v>
      </x:c>
      <x:c r="Z310" s="119" t="n">
        <x:f>IF(X310=0,0,(X310-IF(1=D310,1,0))*ROUND(Y310*VLOOKUP(INDEX('章节与怪物'!$E$31:$K$37,B310,1),'章节与怪物'!$A$41:$F$44,2,FALSE),0)+IF(1=D310,ROUND(Y310*'难度参数'!$E$28*'章节与怪物'!$E$17,0),0))</x:f>
        <x:v>166890</x:v>
      </x:c>
      <x:c r="AA310" s="119" t="n">
        <x:f>IF(X310=0,0,(X310-IF(1=D310,1,0))*VLOOKUP(INDEX('章节与怪物'!$E$31:$K$37,B310,1),'章节与怪物'!$A$41:$F$44,4,FALSE)+IF(1=D310,'难度参数'!$E$30,0))</x:f>
        <x:v>540</x:v>
      </x:c>
      <x:c r="AB310" s="119" t="n">
        <x:f>IF(2&gt;D310,0,MAX(2,MIN('难度参数'!$E$12,ROUND(('难度参数'!$E$18*POWER(A310,'难度参数'!$E$19)/D310*(0.85+0.3*(2-1)/MAX(1,D310-1))),0)+F310)))</x:f>
        <x:v>31</x:v>
      </x:c>
      <x:c r="AC310" s="119" t="n">
        <x:f>IF(2&gt;D310,0,ROUND(('难度参数'!$E$13*POWER(A310,'难度参数'!$E$20)*MIN('难度参数'!$E$23,1+MAX(0,A310-'难度参数'!$E$21)*'难度参数'!$E$22))*(36+2*7)/(36+7*(D310+1)/2)*E310,0))</x:f>
        <x:v>6468</x:v>
      </x:c>
      <x:c r="AD310" s="119" t="n">
        <x:f>IF(AB310=0,0,(AB310-IF(2=D310,1,0))*ROUND(AC310*VLOOKUP(INDEX('章节与怪物'!$E$31:$K$37,B310,2),'章节与怪物'!$A$41:$F$44,2,FALSE),0)+IF(2=D310,ROUND(AC310*'难度参数'!$E$28*'章节与怪物'!$E$17,0),0))</x:f>
        <x:v>144367</x:v>
      </x:c>
      <x:c r="AE310" s="119" t="n">
        <x:f>IF(AB310=0,0,(AB310-IF(2=D310,1,0))*VLOOKUP(INDEX('章节与怪物'!$E$31:$K$37,B310,2),'章节与怪物'!$A$41:$F$44,4,FALSE)+IF(2=D310,'难度参数'!$E$30,0))</x:f>
        <x:v>620</x:v>
      </x:c>
      <x:c r="AF310" s="119" t="n">
        <x:f>IF(3&gt;D310,0,MAX(2,MIN('难度参数'!$E$12,ROUND(('难度参数'!$E$18*POWER(A310,'难度参数'!$E$19)/D310*(0.85+0.3*(3-1)/MAX(1,D310-1))),0)+F310)))</x:f>
        <x:v>33</x:v>
      </x:c>
      <x:c r="AG310" s="119" t="n">
        <x:f>IF(3&gt;D310,0,ROUND(('难度参数'!$E$13*POWER(A310,'难度参数'!$E$20)*MIN('难度参数'!$E$23,1+MAX(0,A310-'难度参数'!$E$21)*'难度参数'!$E$22))*(36+3*7)/(36+7*(D310+1)/2)*E310,0))</x:f>
        <x:v>7374</x:v>
      </x:c>
      <x:c r="AH310" s="119" t="n">
        <x:f>IF(AF310=0,0,(AF310-IF(3=D310,1,0))*ROUND(AG310*VLOOKUP(INDEX('章节与怪物'!$E$31:$K$37,B310,3),'章节与怪物'!$A$41:$F$44,2,FALSE),0)+IF(3=D310,ROUND(AG310*'难度参数'!$E$28*'章节与怪物'!$E$17,0),0))</x:f>
        <x:v>413688</x:v>
      </x:c>
      <x:c r="AI310" s="119" t="n">
        <x:f>IF(AF310=0,0,(AF310-IF(3=D310,1,0))*VLOOKUP(INDEX('章节与怪物'!$E$31:$K$37,B310,3),'章节与怪物'!$A$41:$F$44,4,FALSE)+IF(3=D310,'难度参数'!$E$30,0))</x:f>
        <x:v>924</x:v>
      </x:c>
      <x:c r="AJ310" s="119" t="n">
        <x:f>IF(4&gt;D310,0,MAX(2,MIN('难度参数'!$E$12,ROUND(('难度参数'!$E$18*POWER(A310,'难度参数'!$E$19)/D310*(0.85+0.3*(4-1)/MAX(1,D310-1))),0)+F310)))</x:f>
        <x:v>35</x:v>
      </x:c>
      <x:c r="AK310" s="119" t="n">
        <x:f>IF(4&gt;D310,0,ROUND(('难度参数'!$E$13*POWER(A310,'难度参数'!$E$20)*MIN('难度参数'!$E$23,1+MAX(0,A310-'难度参数'!$E$21)*'难度参数'!$E$22))*(36+4*7)/(36+7*(D310+1)/2)*E310,0))</x:f>
        <x:v>8279</x:v>
      </x:c>
      <x:c r="AL310" s="119" t="n">
        <x:f>IF(AJ310=0,0,(AJ310-IF(4=D310,1,0))*ROUND(AK310*VLOOKUP(INDEX('章节与怪物'!$E$31:$K$37,B310,4),'章节与怪物'!$A$41:$F$44,2,FALSE),0)+IF(4=D310,ROUND(AK310*'难度参数'!$E$28*'章节与怪物'!$E$17,0),0))</x:f>
        <x:v>391195</x:v>
      </x:c>
      <x:c r="AM310" s="119" t="n">
        <x:f>IF(AJ310=0,0,(AJ310-IF(4=D310,1,0))*VLOOKUP(INDEX('章节与怪物'!$E$31:$K$37,B310,4),'章节与怪物'!$A$41:$F$44,4,FALSE)+IF(4=D310,'难度参数'!$E$30,0))</x:f>
        <x:v>1190</x:v>
      </x:c>
      <x:c r="AN310" s="119" t="n">
        <x:f>IF(5&gt;D310,0,MAX(2,MIN('难度参数'!$E$12,ROUND(('难度参数'!$E$18*POWER(A310,'难度参数'!$E$19)/D310*(0.85+0.3*(5-1)/MAX(1,D310-1))),0)+F310)))</x:f>
        <x:v>37</x:v>
      </x:c>
      <x:c r="AO310" s="119" t="n">
        <x:f>IF(5&gt;D310,0,ROUND(('难度参数'!$E$13*POWER(A310,'难度参数'!$E$20)*MIN('难度参数'!$E$23,1+MAX(0,A310-'难度参数'!$E$21)*'难度参数'!$E$22))*(36+5*7)/(36+7*(D310+1)/2)*E310,0))</x:f>
        <x:v>9185</x:v>
      </x:c>
      <x:c r="AP310" s="119" t="n">
        <x:f>IF(AN310=0,0,(AN310-IF(5=D310,1,0))*ROUND(AO310*VLOOKUP(INDEX('章节与怪物'!$E$31:$K$37,B310,5),'章节与怪物'!$A$41:$F$44,2,FALSE),0)+IF(5=D310,ROUND(AO310*'难度参数'!$E$28*'章节与怪物'!$E$17,0),0))</x:f>
        <x:v>244681</x:v>
      </x:c>
      <x:c r="AQ310" s="119" t="n">
        <x:f>IF(AN310=0,0,(AN310-IF(5=D310,1,0))*VLOOKUP(INDEX('章节与怪物'!$E$31:$K$37,B310,5),'章节与怪物'!$A$41:$F$44,4,FALSE)+IF(5=D310,'难度参数'!$E$30,0))</x:f>
        <x:v>740</x:v>
      </x:c>
      <x:c r="AR310" s="119" t="n">
        <x:f>IF(6&gt;D310,0,MAX(2,MIN('难度参数'!$E$12,ROUND(('难度参数'!$E$18*POWER(A310,'难度参数'!$E$19)/D310*(0.85+0.3*(6-1)/MAX(1,D310-1))),0)+F310)))</x:f>
        <x:v>38</x:v>
      </x:c>
      <x:c r="AS310" s="119" t="n">
        <x:f>IF(6&gt;D310,0,ROUND(('难度参数'!$E$13*POWER(A310,'难度参数'!$E$20)*MIN('难度参数'!$E$23,1+MAX(0,A310-'难度参数'!$E$21)*'难度参数'!$E$22))*(36+6*7)/(36+7*(D310+1)/2)*E310,0))</x:f>
        <x:v>10091</x:v>
      </x:c>
      <x:c r="AT310" s="119" t="n">
        <x:f>IF(AR310=0,0,(AR310-IF(6=D310,1,0))*ROUND(AS310*VLOOKUP(INDEX('章节与怪物'!$E$31:$K$37,B310,6),'章节与怪物'!$A$41:$F$44,2,FALSE),0)+IF(6=D310,ROUND(AS310*'难度参数'!$E$28*'章节与怪物'!$E$17,0),0))</x:f>
        <x:v>651890</x:v>
      </x:c>
      <x:c r="AU310" s="119" t="n">
        <x:f>IF(AR310=0,0,(AR310-IF(6=D310,1,0))*VLOOKUP(INDEX('章节与怪物'!$E$31:$K$37,B310,6),'章节与怪物'!$A$41:$F$44,4,FALSE)+IF(6=D310,'难度参数'!$E$30,0))</x:f>
        <x:v>1064</x:v>
      </x:c>
      <x:c r="AV310" s="119" t="n">
        <x:f>IF(7&gt;D310,0,MAX(2,MIN('难度参数'!$E$12,ROUND(('难度参数'!$E$18*POWER(A310,'难度参数'!$E$19)/D310*(0.85+0.3*(7-1)/MAX(1,D310-1))),0)+F310)))</x:f>
        <x:v>40</x:v>
      </x:c>
      <x:c r="AW310" s="119" t="n">
        <x:f>IF(7&gt;D310,0,ROUND(('难度参数'!$E$13*POWER(A310,'难度参数'!$E$20)*MIN('难度参数'!$E$23,1+MAX(0,A310-'难度参数'!$E$21)*'难度参数'!$E$22))*(36+7*7)/(36+7*(D310+1)/2)*E310,0))</x:f>
        <x:v>10996</x:v>
      </x:c>
      <x:c r="AX310" s="119" t="n">
        <x:f>IF(AV310=0,0,(AV310-IF(7=D310,1,0))*ROUND(AW310*VLOOKUP(INDEX('章节与怪物'!$E$31:$K$37,B310,7),'章节与怪物'!$A$41:$F$44,2,FALSE),0)+IF(7=D310,ROUND(AW310*'难度参数'!$E$28*'章节与怪物'!$E$17,0),0))</x:f>
        <x:v>653728</x:v>
      </x:c>
      <x:c r="AY310" s="119" t="n">
        <x:f>IF(AV310=0,0,(AV310-IF(7=D310,1,0))*VLOOKUP(INDEX('章节与怪物'!$E$31:$K$37,B310,7),'章节与怪物'!$A$41:$F$44,4,FALSE)+IF(7=D310,'难度参数'!$E$30,0))</x:f>
        <x:v>1526</x:v>
      </x:c>
    </x:row>
    <x:row r="311" ht="23" customHeight="1">
      <x:c r="A311" s="119" t="n">
        <x:v>305</x:v>
      </x:c>
      <x:c r="B311" s="119" t="n">
        <x:f>MOD(INT((A311-1)/5),7)+1</x:f>
        <x:v>5</x:v>
      </x:c>
      <x:c r="C311" s="62" t="str">
        <x:f>INDEX('章节与怪物'!$B$31:$B$37,B311)</x:f>
        <x:v>雨林遗迹</x:v>
      </x:c>
      <x:c r="D311" s="119" t="n">
        <x:f>MIN('难度参数'!$E$8,MAX('难度参数'!$E$7,A311))</x:f>
        <x:v>7</x:v>
      </x:c>
      <x:c r="E311" s="106" t="n">
        <x:v>1</x:v>
      </x:c>
      <x:c r="F311" s="106" t="n">
        <x:v>0</x:v>
      </x:c>
      <x:c r="G311" s="106" t="n">
        <x:v>1</x:v>
      </x:c>
      <x:c r="H311" s="119" t="n">
        <x:f>SUM(X311,AB311,AF311,AJ311,AN311,AR311,AV311)</x:f>
        <x:v>244</x:v>
      </x:c>
      <x:c r="I311" s="119" t="n">
        <x:f>SUM(Z311,AD311,AH311,AL311,AP311,AT311,AX311)</x:f>
        <x:v>2672688</x:v>
      </x:c>
      <x:c r="J311" s="119" t="n">
        <x:f>ROUND(INDEX(X311:AY311,1,(D311-1)*4+2)*'难度参数'!$E$28*'章节与怪物'!$E$17,0)</x:f>
        <x:v>74950</x:v>
      </x:c>
      <x:c r="K311" s="119" t="n">
        <x:f>SUM(AA311,AE311,AI311,AM311,AQ311,AU311,AY311)</x:f>
        <x:v>6604</x:v>
      </x:c>
      <x:c r="L311" s="62" t="n">
        <x:f>H311*(ROUNDUP('难度参数'!$E$24/('难度参数'!$E$26*'难度参数'!$E$27),0)*'难度参数'!$E$26)/60</x:f>
        <x:v>3.2533333333333334</x:v>
      </x:c>
      <x:c r="M311" s="62" t="n">
        <x:f>L311+D311*('难度参数'!$E$49+'难度参数'!$E$50)/60</x:f>
        <x:v>4.42</x:v>
      </x:c>
      <x:c r="N311" s="119" t="n">
        <x:f>ROUNDDOWN(('经济参数'!$E$20+A311*'经济参数'!$E$21)*G311,0)</x:f>
        <x:v>6280</x:v>
      </x:c>
      <x:c r="O311" s="119" t="n">
        <x:f>ROUNDDOWN(MIN('经济参数'!$E$24,'经济参数'!$E$22+A311*'经济参数'!$E$23)*G311,0)</x:f>
        <x:v>0</x:v>
      </x:c>
      <x:c r="P311" s="119" t="n">
        <x:f>ROUNDDOWN((IF(A311&gt;='材料与任务'!$E$31,'材料与任务'!$E$32,IF(A311&gt;='材料与任务'!$E$25,'材料与任务'!$E$26,IF(A311&gt;='材料与任务'!$E$19,'材料与任务'!$E$20,IF(A311&gt;='材料与任务'!$E$13,'材料与任务'!$E$14,'材料与任务'!$E$8)))))*G311,0)</x:f>
        <x:v>6</x:v>
      </x:c>
      <x:c r="Q311" s="119" t="n">
        <x:f>ROUNDDOWN((IF(A311&gt;='材料与任务'!$E$31,'材料与任务'!$E$33,IF(A311&gt;='材料与任务'!$E$25,'材料与任务'!$E$27,IF(A311&gt;='材料与任务'!$E$19,'材料与任务'!$E$21,IF(A311&gt;='材料与任务'!$E$13,'材料与任务'!$E$15,'材料与任务'!$E$9)))))*G311,0)</x:f>
        <x:v>3</x:v>
      </x:c>
      <x:c r="R311" s="110" t="n">
        <x:f>'装备掉落'!$B$38</x:f>
        <x:v>0.6872058758851213</x:v>
      </x:c>
      <x:c r="S311" s="119" t="n">
        <x:f>MAX(IF(VLOOKUP(A311,'装备掉落'!$A$29:$H$34,2,TRUE)&gt;0,1,0),IF(VLOOKUP(A311,'装备掉落'!$A$29:$H$34,3,TRUE)&gt;0,2,0),IF(VLOOKUP(A311,'装备掉落'!$A$29:$H$34,4,TRUE)&gt;0,3,0),IF(VLOOKUP(A311,'装备掉落'!$A$29:$H$34,5,TRUE)&gt;0,4,0),IF(VLOOKUP(A311,'装备掉落'!$A$29:$H$34,6,TRUE)&gt;0,5,0),IF(VLOOKUP(A311,'装备掉落'!$A$29:$H$34,7,TRUE)&gt;0,6,0),IF(VLOOKUP(A311,'装备掉落'!$A$29:$H$34,8,TRUE)&gt;0,7,0))</x:f>
        <x:v>7</x:v>
      </x:c>
      <x:c r="T311" s="119" t="n">
        <x:f>MIN(7,S311+'经济参数'!$E$70)</x:f>
        <x:v>7</x:v>
      </x:c>
      <x:c r="U311" s="119" t="n">
        <x:f>MIN(7,S311+'经济参数'!$E$71)</x:f>
        <x:v>7</x:v>
      </x:c>
      <x:c r="V311" s="119" t="n">
        <x:f>IF(H311&gt;=('难度参数'!$E$52),1,0)+IF(H311&gt;=('难度参数'!$E$52+'难度参数'!$E$53),1,0)+IF(H311&gt;=('难度参数'!$E$52+'难度参数'!$E$53+'难度参数'!$E$54),1,0)+IF(H311&gt;=('难度参数'!$E$52+'难度参数'!$E$53+'难度参数'!$E$54+'难度参数'!$E$55),1,0)+IF(H311&gt;=('难度参数'!$E$52+'难度参数'!$E$53+'难度参数'!$E$54+'难度参数'!$E$55+'难度参数'!$E$56),1,0)+IF(H311&gt;=('难度参数'!$E$52+'难度参数'!$E$53+'难度参数'!$E$54+'难度参数'!$E$55+'难度参数'!$E$56+'难度参数'!$E$57),1,0)</x:f>
        <x:v>6</x:v>
      </x:c>
      <x:c r="W311" s="62" t="str">
        <x:f>IF(L311&gt;'难度参数'!$E$51,"仅出怪已超目标","还需实测")</x:f>
        <x:v>仅出怪已超目标</x:v>
      </x:c>
      <x:c r="X311" s="119" t="n">
        <x:f>IF(1&gt;D311,0,MAX(2,MIN('难度参数'!$E$12,ROUND(('难度参数'!$E$18*POWER(A311,'难度参数'!$E$19)/D311*(0.85+0.3*(1-1)/MAX(1,D311-1))),0)+F311)))</x:f>
        <x:v>30</x:v>
      </x:c>
      <x:c r="Y311" s="119" t="n">
        <x:f>IF(1&gt;D311,0,ROUND(('难度参数'!$E$13*POWER(A311,'难度参数'!$E$20)*MIN('难度参数'!$E$23,1+MAX(0,A311-'难度参数'!$E$21)*'难度参数'!$E$22))*(36+1*7)/(36+7*(D311+1)/2)*E311,0))</x:f>
        <x:v>5576</x:v>
      </x:c>
      <x:c r="Z311" s="119" t="n">
        <x:f>IF(X311=0,0,(X311-IF(1=D311,1,0))*ROUND(Y311*VLOOKUP(INDEX('章节与怪物'!$E$31:$K$37,B311,1),'章节与怪物'!$A$41:$F$44,2,FALSE),0)+IF(1=D311,ROUND(Y311*'难度参数'!$E$28*'章节与怪物'!$E$17,0),0))</x:f>
        <x:v>167280</x:v>
      </x:c>
      <x:c r="AA311" s="119" t="n">
        <x:f>IF(X311=0,0,(X311-IF(1=D311,1,0))*VLOOKUP(INDEX('章节与怪物'!$E$31:$K$37,B311,1),'章节与怪物'!$A$41:$F$44,4,FALSE)+IF(1=D311,'难度参数'!$E$30,0))</x:f>
        <x:v>540</x:v>
      </x:c>
      <x:c r="AB311" s="119" t="n">
        <x:f>IF(2&gt;D311,0,MAX(2,MIN('难度参数'!$E$12,ROUND(('难度参数'!$E$18*POWER(A311,'难度参数'!$E$19)/D311*(0.85+0.3*(2-1)/MAX(1,D311-1))),0)+F311)))</x:f>
        <x:v>31</x:v>
      </x:c>
      <x:c r="AC311" s="119" t="n">
        <x:f>IF(2&gt;D311,0,ROUND(('难度参数'!$E$13*POWER(A311,'难度参数'!$E$20)*MIN('难度参数'!$E$23,1+MAX(0,A311-'难度参数'!$E$21)*'难度参数'!$E$22))*(36+2*7)/(36+7*(D311+1)/2)*E311,0))</x:f>
        <x:v>6484</x:v>
      </x:c>
      <x:c r="AD311" s="119" t="n">
        <x:f>IF(AB311=0,0,(AB311-IF(2=D311,1,0))*ROUND(AC311*VLOOKUP(INDEX('章节与怪物'!$E$31:$K$37,B311,2),'章节与怪物'!$A$41:$F$44,2,FALSE),0)+IF(2=D311,ROUND(AC311*'难度参数'!$E$28*'章节与怪物'!$E$17,0),0))</x:f>
        <x:v>144708</x:v>
      </x:c>
      <x:c r="AE311" s="119" t="n">
        <x:f>IF(AB311=0,0,(AB311-IF(2=D311,1,0))*VLOOKUP(INDEX('章节与怪物'!$E$31:$K$37,B311,2),'章节与怪物'!$A$41:$F$44,4,FALSE)+IF(2=D311,'难度参数'!$E$30,0))</x:f>
        <x:v>620</x:v>
      </x:c>
      <x:c r="AF311" s="119" t="n">
        <x:f>IF(3&gt;D311,0,MAX(2,MIN('难度参数'!$E$12,ROUND(('难度参数'!$E$18*POWER(A311,'难度参数'!$E$19)/D311*(0.85+0.3*(3-1)/MAX(1,D311-1))),0)+F311)))</x:f>
        <x:v>33</x:v>
      </x:c>
      <x:c r="AG311" s="119" t="n">
        <x:f>IF(3&gt;D311,0,ROUND(('难度参数'!$E$13*POWER(A311,'难度参数'!$E$20)*MIN('难度参数'!$E$23,1+MAX(0,A311-'难度参数'!$E$21)*'难度参数'!$E$22))*(36+3*7)/(36+7*(D311+1)/2)*E311,0))</x:f>
        <x:v>7391</x:v>
      </x:c>
      <x:c r="AH311" s="119" t="n">
        <x:f>IF(AF311=0,0,(AF311-IF(3=D311,1,0))*ROUND(AG311*VLOOKUP(INDEX('章节与怪物'!$E$31:$K$37,B311,3),'章节与怪物'!$A$41:$F$44,2,FALSE),0)+IF(3=D311,ROUND(AG311*'难度参数'!$E$28*'章节与怪物'!$E$17,0),0))</x:f>
        <x:v>414645</x:v>
      </x:c>
      <x:c r="AI311" s="119" t="n">
        <x:f>IF(AF311=0,0,(AF311-IF(3=D311,1,0))*VLOOKUP(INDEX('章节与怪物'!$E$31:$K$37,B311,3),'章节与怪物'!$A$41:$F$44,4,FALSE)+IF(3=D311,'难度参数'!$E$30,0))</x:f>
        <x:v>924</x:v>
      </x:c>
      <x:c r="AJ311" s="119" t="n">
        <x:f>IF(4&gt;D311,0,MAX(2,MIN('难度参数'!$E$12,ROUND(('难度参数'!$E$18*POWER(A311,'难度参数'!$E$19)/D311*(0.85+0.3*(4-1)/MAX(1,D311-1))),0)+F311)))</x:f>
        <x:v>35</x:v>
      </x:c>
      <x:c r="AK311" s="119" t="n">
        <x:f>IF(4&gt;D311,0,ROUND(('难度参数'!$E$13*POWER(A311,'难度参数'!$E$20)*MIN('难度参数'!$E$23,1+MAX(0,A311-'难度参数'!$E$21)*'难度参数'!$E$22))*(36+4*7)/(36+7*(D311+1)/2)*E311,0))</x:f>
        <x:v>8299</x:v>
      </x:c>
      <x:c r="AL311" s="119" t="n">
        <x:f>IF(AJ311=0,0,(AJ311-IF(4=D311,1,0))*ROUND(AK311*VLOOKUP(INDEX('章节与怪物'!$E$31:$K$37,B311,4),'章节与怪物'!$A$41:$F$44,2,FALSE),0)+IF(4=D311,ROUND(AK311*'难度参数'!$E$28*'章节与怪物'!$E$17,0),0))</x:f>
        <x:v>392140</x:v>
      </x:c>
      <x:c r="AM311" s="119" t="n">
        <x:f>IF(AJ311=0,0,(AJ311-IF(4=D311,1,0))*VLOOKUP(INDEX('章节与怪物'!$E$31:$K$37,B311,4),'章节与怪物'!$A$41:$F$44,4,FALSE)+IF(4=D311,'难度参数'!$E$30,0))</x:f>
        <x:v>1190</x:v>
      </x:c>
      <x:c r="AN311" s="119" t="n">
        <x:f>IF(5&gt;D311,0,MAX(2,MIN('难度参数'!$E$12,ROUND(('难度参数'!$E$18*POWER(A311,'难度参数'!$E$19)/D311*(0.85+0.3*(5-1)/MAX(1,D311-1))),0)+F311)))</x:f>
        <x:v>37</x:v>
      </x:c>
      <x:c r="AO311" s="119" t="n">
        <x:f>IF(5&gt;D311,0,ROUND(('难度参数'!$E$13*POWER(A311,'难度参数'!$E$20)*MIN('难度参数'!$E$23,1+MAX(0,A311-'难度参数'!$E$21)*'难度参数'!$E$22))*(36+5*7)/(36+7*(D311+1)/2)*E311,0))</x:f>
        <x:v>9207</x:v>
      </x:c>
      <x:c r="AP311" s="119" t="n">
        <x:f>IF(AN311=0,0,(AN311-IF(5=D311,1,0))*ROUND(AO311*VLOOKUP(INDEX('章节与怪物'!$E$31:$K$37,B311,5),'章节与怪物'!$A$41:$F$44,2,FALSE),0)+IF(5=D311,ROUND(AO311*'难度参数'!$E$28*'章节与怪物'!$E$17,0),0))</x:f>
        <x:v>245273</x:v>
      </x:c>
      <x:c r="AQ311" s="119" t="n">
        <x:f>IF(AN311=0,0,(AN311-IF(5=D311,1,0))*VLOOKUP(INDEX('章节与怪物'!$E$31:$K$37,B311,5),'章节与怪物'!$A$41:$F$44,4,FALSE)+IF(5=D311,'难度参数'!$E$30,0))</x:f>
        <x:v>740</x:v>
      </x:c>
      <x:c r="AR311" s="119" t="n">
        <x:f>IF(6&gt;D311,0,MAX(2,MIN('难度参数'!$E$12,ROUND(('难度参数'!$E$18*POWER(A311,'难度参数'!$E$19)/D311*(0.85+0.3*(6-1)/MAX(1,D311-1))),0)+F311)))</x:f>
        <x:v>38</x:v>
      </x:c>
      <x:c r="AS311" s="119" t="n">
        <x:f>IF(6&gt;D311,0,ROUND(('难度参数'!$E$13*POWER(A311,'难度参数'!$E$20)*MIN('难度参数'!$E$23,1+MAX(0,A311-'难度参数'!$E$21)*'难度参数'!$E$22))*(36+6*7)/(36+7*(D311+1)/2)*E311,0))</x:f>
        <x:v>10114</x:v>
      </x:c>
      <x:c r="AT311" s="119" t="n">
        <x:f>IF(AR311=0,0,(AR311-IF(6=D311,1,0))*ROUND(AS311*VLOOKUP(INDEX('章节与怪物'!$E$31:$K$37,B311,6),'章节与怪物'!$A$41:$F$44,2,FALSE),0)+IF(6=D311,ROUND(AS311*'难度参数'!$E$28*'章节与怪物'!$E$17,0),0))</x:f>
        <x:v>653372</x:v>
      </x:c>
      <x:c r="AU311" s="119" t="n">
        <x:f>IF(AR311=0,0,(AR311-IF(6=D311,1,0))*VLOOKUP(INDEX('章节与怪物'!$E$31:$K$37,B311,6),'章节与怪物'!$A$41:$F$44,4,FALSE)+IF(6=D311,'难度参数'!$E$30,0))</x:f>
        <x:v>1064</x:v>
      </x:c>
      <x:c r="AV311" s="119" t="n">
        <x:f>IF(7&gt;D311,0,MAX(2,MIN('难度参数'!$E$12,ROUND(('难度参数'!$E$18*POWER(A311,'难度参数'!$E$19)/D311*(0.85+0.3*(7-1)/MAX(1,D311-1))),0)+F311)))</x:f>
        <x:v>40</x:v>
      </x:c>
      <x:c r="AW311" s="119" t="n">
        <x:f>IF(7&gt;D311,0,ROUND(('难度参数'!$E$13*POWER(A311,'难度参数'!$E$20)*MIN('难度参数'!$E$23,1+MAX(0,A311-'难度参数'!$E$21)*'难度参数'!$E$22))*(36+7*7)/(36+7*(D311+1)/2)*E311,0))</x:f>
        <x:v>11022</x:v>
      </x:c>
      <x:c r="AX311" s="119" t="n">
        <x:f>IF(AV311=0,0,(AV311-IF(7=D311,1,0))*ROUND(AW311*VLOOKUP(INDEX('章节与怪物'!$E$31:$K$37,B311,7),'章节与怪物'!$A$41:$F$44,2,FALSE),0)+IF(7=D311,ROUND(AW311*'难度参数'!$E$28*'章节与怪物'!$E$17,0),0))</x:f>
        <x:v>655270</x:v>
      </x:c>
      <x:c r="AY311" s="119" t="n">
        <x:f>IF(AV311=0,0,(AV311-IF(7=D311,1,0))*VLOOKUP(INDEX('章节与怪物'!$E$31:$K$37,B311,7),'章节与怪物'!$A$41:$F$44,4,FALSE)+IF(7=D311,'难度参数'!$E$30,0))</x:f>
        <x:v>1526</x:v>
      </x:c>
    </x:row>
    <x:row r="312" ht="23" customHeight="1">
      <x:c r="A312" s="119" t="n">
        <x:v>306</x:v>
      </x:c>
      <x:c r="B312" s="119" t="n">
        <x:f>MOD(INT((A312-1)/5),7)+1</x:f>
        <x:v>6</x:v>
      </x:c>
      <x:c r="C312" s="62" t="str">
        <x:f>INDEX('章节与怪物'!$B$31:$B$37,B312)</x:f>
        <x:v>熔岩山脉</x:v>
      </x:c>
      <x:c r="D312" s="119" t="n">
        <x:f>MIN('难度参数'!$E$8,MAX('难度参数'!$E$7,A312))</x:f>
        <x:v>7</x:v>
      </x:c>
      <x:c r="E312" s="106" t="n">
        <x:v>1</x:v>
      </x:c>
      <x:c r="F312" s="106" t="n">
        <x:v>0</x:v>
      </x:c>
      <x:c r="G312" s="106" t="n">
        <x:v>1</x:v>
      </x:c>
      <x:c r="H312" s="119" t="n">
        <x:f>SUM(X312,AB312,AF312,AJ312,AN312,AR312,AV312)</x:f>
        <x:v>244</x:v>
      </x:c>
      <x:c r="I312" s="119" t="n">
        <x:f>SUM(Z312,AD312,AH312,AL312,AP312,AT312,AX312)</x:f>
        <x:v>2784123</x:v>
      </x:c>
      <x:c r="J312" s="119" t="n">
        <x:f>ROUND(INDEX(X312:AY312,1,(D312-1)*4+2)*'难度参数'!$E$28*'章节与怪物'!$E$17,0)</x:f>
        <x:v>75126</x:v>
      </x:c>
      <x:c r="K312" s="119" t="n">
        <x:f>SUM(AA312,AE312,AI312,AM312,AQ312,AU312,AY312)</x:f>
        <x:v>6528</x:v>
      </x:c>
      <x:c r="L312" s="62" t="n">
        <x:f>H312*(ROUNDUP('难度参数'!$E$24/('难度参数'!$E$26*'难度参数'!$E$27),0)*'难度参数'!$E$26)/60</x:f>
        <x:v>3.2533333333333334</x:v>
      </x:c>
      <x:c r="M312" s="62" t="n">
        <x:f>L312+D312*('难度参数'!$E$49+'难度参数'!$E$50)/60</x:f>
        <x:v>4.42</x:v>
      </x:c>
      <x:c r="N312" s="119" t="n">
        <x:f>ROUNDDOWN(('经济参数'!$E$20+A312*'经济参数'!$E$21)*G312,0)</x:f>
        <x:v>6300</x:v>
      </x:c>
      <x:c r="O312" s="119" t="n">
        <x:f>ROUNDDOWN(MIN('经济参数'!$E$24,'经济参数'!$E$22+A312*'经济参数'!$E$23)*G312,0)</x:f>
        <x:v>0</x:v>
      </x:c>
      <x:c r="P312" s="119" t="n">
        <x:f>ROUNDDOWN((IF(A312&gt;='材料与任务'!$E$31,'材料与任务'!$E$32,IF(A312&gt;='材料与任务'!$E$25,'材料与任务'!$E$26,IF(A312&gt;='材料与任务'!$E$19,'材料与任务'!$E$20,IF(A312&gt;='材料与任务'!$E$13,'材料与任务'!$E$14,'材料与任务'!$E$8)))))*G312,0)</x:f>
        <x:v>6</x:v>
      </x:c>
      <x:c r="Q312" s="119" t="n">
        <x:f>ROUNDDOWN((IF(A312&gt;='材料与任务'!$E$31,'材料与任务'!$E$33,IF(A312&gt;='材料与任务'!$E$25,'材料与任务'!$E$27,IF(A312&gt;='材料与任务'!$E$19,'材料与任务'!$E$21,IF(A312&gt;='材料与任务'!$E$13,'材料与任务'!$E$15,'材料与任务'!$E$9)))))*G312,0)</x:f>
        <x:v>3</x:v>
      </x:c>
      <x:c r="R312" s="110" t="n">
        <x:f>'装备掉落'!$B$38</x:f>
        <x:v>0.6872058758851213</x:v>
      </x:c>
      <x:c r="S312" s="119" t="n">
        <x:f>MAX(IF(VLOOKUP(A312,'装备掉落'!$A$29:$H$34,2,TRUE)&gt;0,1,0),IF(VLOOKUP(A312,'装备掉落'!$A$29:$H$34,3,TRUE)&gt;0,2,0),IF(VLOOKUP(A312,'装备掉落'!$A$29:$H$34,4,TRUE)&gt;0,3,0),IF(VLOOKUP(A312,'装备掉落'!$A$29:$H$34,5,TRUE)&gt;0,4,0),IF(VLOOKUP(A312,'装备掉落'!$A$29:$H$34,6,TRUE)&gt;0,5,0),IF(VLOOKUP(A312,'装备掉落'!$A$29:$H$34,7,TRUE)&gt;0,6,0),IF(VLOOKUP(A312,'装备掉落'!$A$29:$H$34,8,TRUE)&gt;0,7,0))</x:f>
        <x:v>7</x:v>
      </x:c>
      <x:c r="T312" s="119" t="n">
        <x:f>MIN(7,S312+'经济参数'!$E$70)</x:f>
        <x:v>7</x:v>
      </x:c>
      <x:c r="U312" s="119" t="n">
        <x:f>MIN(7,S312+'经济参数'!$E$71)</x:f>
        <x:v>7</x:v>
      </x:c>
      <x:c r="V312" s="119" t="n">
        <x:f>IF(H312&gt;=('难度参数'!$E$52),1,0)+IF(H312&gt;=('难度参数'!$E$52+'难度参数'!$E$53),1,0)+IF(H312&gt;=('难度参数'!$E$52+'难度参数'!$E$53+'难度参数'!$E$54),1,0)+IF(H312&gt;=('难度参数'!$E$52+'难度参数'!$E$53+'难度参数'!$E$54+'难度参数'!$E$55),1,0)+IF(H312&gt;=('难度参数'!$E$52+'难度参数'!$E$53+'难度参数'!$E$54+'难度参数'!$E$55+'难度参数'!$E$56),1,0)+IF(H312&gt;=('难度参数'!$E$52+'难度参数'!$E$53+'难度参数'!$E$54+'难度参数'!$E$55+'难度参数'!$E$56+'难度参数'!$E$57),1,0)</x:f>
        <x:v>6</x:v>
      </x:c>
      <x:c r="W312" s="62" t="str">
        <x:f>IF(L312&gt;'难度参数'!$E$51,"仅出怪已超目标","还需实测")</x:f>
        <x:v>仅出怪已超目标</x:v>
      </x:c>
      <x:c r="X312" s="119" t="n">
        <x:f>IF(1&gt;D312,0,MAX(2,MIN('难度参数'!$E$12,ROUND(('难度参数'!$E$18*POWER(A312,'难度参数'!$E$19)/D312*(0.85+0.3*(1-1)/MAX(1,D312-1))),0)+F312)))</x:f>
        <x:v>30</x:v>
      </x:c>
      <x:c r="Y312" s="119" t="n">
        <x:f>IF(1&gt;D312,0,ROUND(('难度参数'!$E$13*POWER(A312,'难度参数'!$E$20)*MIN('难度参数'!$E$23,1+MAX(0,A312-'难度参数'!$E$21)*'难度参数'!$E$22))*(36+1*7)/(36+7*(D312+1)/2)*E312,0))</x:f>
        <x:v>5589</x:v>
      </x:c>
      <x:c r="Z312" s="119" t="n">
        <x:f>IF(X312=0,0,(X312-IF(1=D312,1,0))*ROUND(Y312*VLOOKUP(INDEX('章节与怪物'!$E$31:$K$37,B312,1),'章节与怪物'!$A$41:$F$44,2,FALSE),0)+IF(1=D312,ROUND(Y312*'难度参数'!$E$28*'章节与怪物'!$E$17,0),0))</x:f>
        <x:v>120720</x:v>
      </x:c>
      <x:c r="AA312" s="119" t="n">
        <x:f>IF(X312=0,0,(X312-IF(1=D312,1,0))*VLOOKUP(INDEX('章节与怪物'!$E$31:$K$37,B312,1),'章节与怪物'!$A$41:$F$44,4,FALSE)+IF(1=D312,'难度参数'!$E$30,0))</x:f>
        <x:v>600</x:v>
      </x:c>
      <x:c r="AB312" s="119" t="n">
        <x:f>IF(2&gt;D312,0,MAX(2,MIN('难度参数'!$E$12,ROUND(('难度参数'!$E$18*POWER(A312,'难度参数'!$E$19)/D312*(0.85+0.3*(2-1)/MAX(1,D312-1))),0)+F312)))</x:f>
        <x:v>31</x:v>
      </x:c>
      <x:c r="AC312" s="119" t="n">
        <x:f>IF(2&gt;D312,0,ROUND(('难度参数'!$E$13*POWER(A312,'难度参数'!$E$20)*MIN('难度参数'!$E$23,1+MAX(0,A312-'难度参数'!$E$21)*'难度参数'!$E$22))*(36+2*7)/(36+7*(D312+1)/2)*E312,0))</x:f>
        <x:v>6499</x:v>
      </x:c>
      <x:c r="AD312" s="119" t="n">
        <x:f>IF(AB312=0,0,(AB312-IF(2=D312,1,0))*ROUND(AC312*VLOOKUP(INDEX('章节与怪物'!$E$31:$K$37,B312,2),'章节与怪物'!$A$41:$F$44,2,FALSE),0)+IF(2=D312,ROUND(AC312*'难度参数'!$E$28*'章节与怪物'!$E$17,0),0))</x:f>
        <x:v>201469</x:v>
      </x:c>
      <x:c r="AE312" s="119" t="n">
        <x:f>IF(AB312=0,0,(AB312-IF(2=D312,1,0))*VLOOKUP(INDEX('章节与怪物'!$E$31:$K$37,B312,2),'章节与怪物'!$A$41:$F$44,4,FALSE)+IF(2=D312,'难度参数'!$E$30,0))</x:f>
        <x:v>558</x:v>
      </x:c>
      <x:c r="AF312" s="119" t="n">
        <x:f>IF(3&gt;D312,0,MAX(2,MIN('难度参数'!$E$12,ROUND(('难度参数'!$E$18*POWER(A312,'难度参数'!$E$19)/D312*(0.85+0.3*(3-1)/MAX(1,D312-1))),0)+F312)))</x:f>
        <x:v>33</x:v>
      </x:c>
      <x:c r="AG312" s="119" t="n">
        <x:f>IF(3&gt;D312,0,ROUND(('难度参数'!$E$13*POWER(A312,'难度参数'!$E$20)*MIN('难度参数'!$E$23,1+MAX(0,A312-'难度参数'!$E$21)*'难度参数'!$E$22))*(36+3*7)/(36+7*(D312+1)/2)*E312,0))</x:f>
        <x:v>7409</x:v>
      </x:c>
      <x:c r="AH312" s="119" t="n">
        <x:f>IF(AF312=0,0,(AF312-IF(3=D312,1,0))*ROUND(AG312*VLOOKUP(INDEX('章节与怪物'!$E$31:$K$37,B312,3),'章节与怪物'!$A$41:$F$44,2,FALSE),0)+IF(3=D312,ROUND(AG312*'难度参数'!$E$28*'章节与怪物'!$E$17,0),0))</x:f>
        <x:v>415635</x:v>
      </x:c>
      <x:c r="AI312" s="119" t="n">
        <x:f>IF(AF312=0,0,(AF312-IF(3=D312,1,0))*VLOOKUP(INDEX('章节与怪物'!$E$31:$K$37,B312,3),'章节与怪物'!$A$41:$F$44,4,FALSE)+IF(3=D312,'难度参数'!$E$30,0))</x:f>
        <x:v>924</x:v>
      </x:c>
      <x:c r="AJ312" s="119" t="n">
        <x:f>IF(4&gt;D312,0,MAX(2,MIN('难度参数'!$E$12,ROUND(('难度参数'!$E$18*POWER(A312,'难度参数'!$E$19)/D312*(0.85+0.3*(4-1)/MAX(1,D312-1))),0)+F312)))</x:f>
        <x:v>35</x:v>
      </x:c>
      <x:c r="AK312" s="119" t="n">
        <x:f>IF(4&gt;D312,0,ROUND(('难度参数'!$E$13*POWER(A312,'难度参数'!$E$20)*MIN('难度参数'!$E$23,1+MAX(0,A312-'难度参数'!$E$21)*'难度参数'!$E$22))*(36+4*7)/(36+7*(D312+1)/2)*E312,0))</x:f>
        <x:v>8319</x:v>
      </x:c>
      <x:c r="AL312" s="119" t="n">
        <x:f>IF(AJ312=0,0,(AJ312-IF(4=D312,1,0))*ROUND(AK312*VLOOKUP(INDEX('章节与怪物'!$E$31:$K$37,B312,4),'章节与怪物'!$A$41:$F$44,2,FALSE),0)+IF(4=D312,ROUND(AK312*'难度参数'!$E$28*'章节与怪物'!$E$17,0),0))</x:f>
        <x:v>393085</x:v>
      </x:c>
      <x:c r="AM312" s="119" t="n">
        <x:f>IF(AJ312=0,0,(AJ312-IF(4=D312,1,0))*VLOOKUP(INDEX('章节与怪物'!$E$31:$K$37,B312,4),'章节与怪物'!$A$41:$F$44,4,FALSE)+IF(4=D312,'难度参数'!$E$30,0))</x:f>
        <x:v>1190</x:v>
      </x:c>
      <x:c r="AN312" s="119" t="n">
        <x:f>IF(5&gt;D312,0,MAX(2,MIN('难度参数'!$E$12,ROUND(('难度参数'!$E$18*POWER(A312,'难度参数'!$E$19)/D312*(0.85+0.3*(5-1)/MAX(1,D312-1))),0)+F312)))</x:f>
        <x:v>37</x:v>
      </x:c>
      <x:c r="AO312" s="119" t="n">
        <x:f>IF(5&gt;D312,0,ROUND(('难度参数'!$E$13*POWER(A312,'难度参数'!$E$20)*MIN('难度参数'!$E$23,1+MAX(0,A312-'难度参数'!$E$21)*'难度参数'!$E$22))*(36+5*7)/(36+7*(D312+1)/2)*E312,0))</x:f>
        <x:v>9229</x:v>
      </x:c>
      <x:c r="AP312" s="119" t="n">
        <x:f>IF(AN312=0,0,(AN312-IF(5=D312,1,0))*ROUND(AO312*VLOOKUP(INDEX('章节与怪物'!$E$31:$K$37,B312,5),'章节与怪物'!$A$41:$F$44,2,FALSE),0)+IF(5=D312,ROUND(AO312*'难度参数'!$E$28*'章节与怪物'!$E$17,0),0))</x:f>
        <x:v>341473</x:v>
      </x:c>
      <x:c r="AQ312" s="119" t="n">
        <x:f>IF(AN312=0,0,(AN312-IF(5=D312,1,0))*VLOOKUP(INDEX('章节与怪物'!$E$31:$K$37,B312,5),'章节与怪物'!$A$41:$F$44,4,FALSE)+IF(5=D312,'难度参数'!$E$30,0))</x:f>
        <x:v>666</x:v>
      </x:c>
      <x:c r="AR312" s="119" t="n">
        <x:f>IF(6&gt;D312,0,MAX(2,MIN('难度参数'!$E$12,ROUND(('难度参数'!$E$18*POWER(A312,'难度参数'!$E$19)/D312*(0.85+0.3*(6-1)/MAX(1,D312-1))),0)+F312)))</x:f>
        <x:v>38</x:v>
      </x:c>
      <x:c r="AS312" s="119" t="n">
        <x:f>IF(6&gt;D312,0,ROUND(('难度参数'!$E$13*POWER(A312,'难度参数'!$E$20)*MIN('难度参数'!$E$23,1+MAX(0,A312-'难度参数'!$E$21)*'难度参数'!$E$22))*(36+6*7)/(36+7*(D312+1)/2)*E312,0))</x:f>
        <x:v>10138</x:v>
      </x:c>
      <x:c r="AT312" s="119" t="n">
        <x:f>IF(AR312=0,0,(AR312-IF(6=D312,1,0))*ROUND(AS312*VLOOKUP(INDEX('章节与怪物'!$E$31:$K$37,B312,6),'章节与怪物'!$A$41:$F$44,2,FALSE),0)+IF(6=D312,ROUND(AS312*'难度参数'!$E$28*'章节与怪物'!$E$17,0),0))</x:f>
        <x:v>654930</x:v>
      </x:c>
      <x:c r="AU312" s="119" t="n">
        <x:f>IF(AR312=0,0,(AR312-IF(6=D312,1,0))*VLOOKUP(INDEX('章节与怪物'!$E$31:$K$37,B312,6),'章节与怪物'!$A$41:$F$44,4,FALSE)+IF(6=D312,'难度参数'!$E$30,0))</x:f>
        <x:v>1064</x:v>
      </x:c>
      <x:c r="AV312" s="119" t="n">
        <x:f>IF(7&gt;D312,0,MAX(2,MIN('难度参数'!$E$12,ROUND(('难度参数'!$E$18*POWER(A312,'难度参数'!$E$19)/D312*(0.85+0.3*(7-1)/MAX(1,D312-1))),0)+F312)))</x:f>
        <x:v>40</x:v>
      </x:c>
      <x:c r="AW312" s="119" t="n">
        <x:f>IF(7&gt;D312,0,ROUND(('难度参数'!$E$13*POWER(A312,'难度参数'!$E$20)*MIN('难度参数'!$E$23,1+MAX(0,A312-'难度参数'!$E$21)*'难度参数'!$E$22))*(36+7*7)/(36+7*(D312+1)/2)*E312,0))</x:f>
        <x:v>11048</x:v>
      </x:c>
      <x:c r="AX312" s="119" t="n">
        <x:f>IF(AV312=0,0,(AV312-IF(7=D312,1,0))*ROUND(AW312*VLOOKUP(INDEX('章节与怪物'!$E$31:$K$37,B312,7),'章节与怪物'!$A$41:$F$44,2,FALSE),0)+IF(7=D312,ROUND(AW312*'难度参数'!$E$28*'章节与怪物'!$E$17,0),0))</x:f>
        <x:v>656811</x:v>
      </x:c>
      <x:c r="AY312" s="119" t="n">
        <x:f>IF(AV312=0,0,(AV312-IF(7=D312,1,0))*VLOOKUP(INDEX('章节与怪物'!$E$31:$K$37,B312,7),'章节与怪物'!$A$41:$F$44,4,FALSE)+IF(7=D312,'难度参数'!$E$30,0))</x:f>
        <x:v>1526</x:v>
      </x:c>
    </x:row>
    <x:row r="313" ht="23" customHeight="1">
      <x:c r="A313" s="119" t="n">
        <x:v>307</x:v>
      </x:c>
      <x:c r="B313" s="119" t="n">
        <x:f>MOD(INT((A313-1)/5),7)+1</x:f>
        <x:v>6</x:v>
      </x:c>
      <x:c r="C313" s="62" t="str">
        <x:f>INDEX('章节与怪物'!$B$31:$B$37,B313)</x:f>
        <x:v>熔岩山脉</x:v>
      </x:c>
      <x:c r="D313" s="119" t="n">
        <x:f>MIN('难度参数'!$E$8,MAX('难度参数'!$E$7,A313))</x:f>
        <x:v>7</x:v>
      </x:c>
      <x:c r="E313" s="106" t="n">
        <x:v>1</x:v>
      </x:c>
      <x:c r="F313" s="106" t="n">
        <x:v>0</x:v>
      </x:c>
      <x:c r="G313" s="106" t="n">
        <x:v>1</x:v>
      </x:c>
      <x:c r="H313" s="119" t="n">
        <x:f>SUM(X313,AB313,AF313,AJ313,AN313,AR313,AV313)</x:f>
        <x:v>244</x:v>
      </x:c>
      <x:c r="I313" s="119" t="n">
        <x:f>SUM(Z313,AD313,AH313,AL313,AP313,AT313,AX313)</x:f>
        <x:v>2790529</x:v>
      </x:c>
      <x:c r="J313" s="119" t="n">
        <x:f>ROUND(INDEX(X313:AY313,1,(D313-1)*4+2)*'难度参数'!$E$28*'章节与怪物'!$E$17,0)</x:f>
        <x:v>75303</x:v>
      </x:c>
      <x:c r="K313" s="119" t="n">
        <x:f>SUM(AA313,AE313,AI313,AM313,AQ313,AU313,AY313)</x:f>
        <x:v>6528</x:v>
      </x:c>
      <x:c r="L313" s="62" t="n">
        <x:f>H313*(ROUNDUP('难度参数'!$E$24/('难度参数'!$E$26*'难度参数'!$E$27),0)*'难度参数'!$E$26)/60</x:f>
        <x:v>3.2533333333333334</x:v>
      </x:c>
      <x:c r="M313" s="62" t="n">
        <x:f>L313+D313*('难度参数'!$E$49+'难度参数'!$E$50)/60</x:f>
        <x:v>4.42</x:v>
      </x:c>
      <x:c r="N313" s="119" t="n">
        <x:f>ROUNDDOWN(('经济参数'!$E$20+A313*'经济参数'!$E$21)*G313,0)</x:f>
        <x:v>6320</x:v>
      </x:c>
      <x:c r="O313" s="119" t="n">
        <x:f>ROUNDDOWN(MIN('经济参数'!$E$24,'经济参数'!$E$22+A313*'经济参数'!$E$23)*G313,0)</x:f>
        <x:v>0</x:v>
      </x:c>
      <x:c r="P313" s="119" t="n">
        <x:f>ROUNDDOWN((IF(A313&gt;='材料与任务'!$E$31,'材料与任务'!$E$32,IF(A313&gt;='材料与任务'!$E$25,'材料与任务'!$E$26,IF(A313&gt;='材料与任务'!$E$19,'材料与任务'!$E$20,IF(A313&gt;='材料与任务'!$E$13,'材料与任务'!$E$14,'材料与任务'!$E$8)))))*G313,0)</x:f>
        <x:v>6</x:v>
      </x:c>
      <x:c r="Q313" s="119" t="n">
        <x:f>ROUNDDOWN((IF(A313&gt;='材料与任务'!$E$31,'材料与任务'!$E$33,IF(A313&gt;='材料与任务'!$E$25,'材料与任务'!$E$27,IF(A313&gt;='材料与任务'!$E$19,'材料与任务'!$E$21,IF(A313&gt;='材料与任务'!$E$13,'材料与任务'!$E$15,'材料与任务'!$E$9)))))*G313,0)</x:f>
        <x:v>3</x:v>
      </x:c>
      <x:c r="R313" s="110" t="n">
        <x:f>'装备掉落'!$B$38</x:f>
        <x:v>0.6872058758851213</x:v>
      </x:c>
      <x:c r="S313" s="119" t="n">
        <x:f>MAX(IF(VLOOKUP(A313,'装备掉落'!$A$29:$H$34,2,TRUE)&gt;0,1,0),IF(VLOOKUP(A313,'装备掉落'!$A$29:$H$34,3,TRUE)&gt;0,2,0),IF(VLOOKUP(A313,'装备掉落'!$A$29:$H$34,4,TRUE)&gt;0,3,0),IF(VLOOKUP(A313,'装备掉落'!$A$29:$H$34,5,TRUE)&gt;0,4,0),IF(VLOOKUP(A313,'装备掉落'!$A$29:$H$34,6,TRUE)&gt;0,5,0),IF(VLOOKUP(A313,'装备掉落'!$A$29:$H$34,7,TRUE)&gt;0,6,0),IF(VLOOKUP(A313,'装备掉落'!$A$29:$H$34,8,TRUE)&gt;0,7,0))</x:f>
        <x:v>7</x:v>
      </x:c>
      <x:c r="T313" s="119" t="n">
        <x:f>MIN(7,S313+'经济参数'!$E$70)</x:f>
        <x:v>7</x:v>
      </x:c>
      <x:c r="U313" s="119" t="n">
        <x:f>MIN(7,S313+'经济参数'!$E$71)</x:f>
        <x:v>7</x:v>
      </x:c>
      <x:c r="V313" s="119" t="n">
        <x:f>IF(H313&gt;=('难度参数'!$E$52),1,0)+IF(H313&gt;=('难度参数'!$E$52+'难度参数'!$E$53),1,0)+IF(H313&gt;=('难度参数'!$E$52+'难度参数'!$E$53+'难度参数'!$E$54),1,0)+IF(H313&gt;=('难度参数'!$E$52+'难度参数'!$E$53+'难度参数'!$E$54+'难度参数'!$E$55),1,0)+IF(H313&gt;=('难度参数'!$E$52+'难度参数'!$E$53+'难度参数'!$E$54+'难度参数'!$E$55+'难度参数'!$E$56),1,0)+IF(H313&gt;=('难度参数'!$E$52+'难度参数'!$E$53+'难度参数'!$E$54+'难度参数'!$E$55+'难度参数'!$E$56+'难度参数'!$E$57),1,0)</x:f>
        <x:v>6</x:v>
      </x:c>
      <x:c r="W313" s="62" t="str">
        <x:f>IF(L313&gt;'难度参数'!$E$51,"仅出怪已超目标","还需实测")</x:f>
        <x:v>仅出怪已超目标</x:v>
      </x:c>
      <x:c r="X313" s="119" t="n">
        <x:f>IF(1&gt;D313,0,MAX(2,MIN('难度参数'!$E$12,ROUND(('难度参数'!$E$18*POWER(A313,'难度参数'!$E$19)/D313*(0.85+0.3*(1-1)/MAX(1,D313-1))),0)+F313)))</x:f>
        <x:v>30</x:v>
      </x:c>
      <x:c r="Y313" s="119" t="n">
        <x:f>IF(1&gt;D313,0,ROUND(('难度参数'!$E$13*POWER(A313,'难度参数'!$E$20)*MIN('难度参数'!$E$23,1+MAX(0,A313-'难度参数'!$E$21)*'难度参数'!$E$22))*(36+1*7)/(36+7*(D313+1)/2)*E313,0))</x:f>
        <x:v>5602</x:v>
      </x:c>
      <x:c r="Z313" s="119" t="n">
        <x:f>IF(X313=0,0,(X313-IF(1=D313,1,0))*ROUND(Y313*VLOOKUP(INDEX('章节与怪物'!$E$31:$K$37,B313,1),'章节与怪物'!$A$41:$F$44,2,FALSE),0)+IF(1=D313,ROUND(Y313*'难度参数'!$E$28*'章节与怪物'!$E$17,0),0))</x:f>
        <x:v>120990</x:v>
      </x:c>
      <x:c r="AA313" s="119" t="n">
        <x:f>IF(X313=0,0,(X313-IF(1=D313,1,0))*VLOOKUP(INDEX('章节与怪物'!$E$31:$K$37,B313,1),'章节与怪物'!$A$41:$F$44,4,FALSE)+IF(1=D313,'难度参数'!$E$30,0))</x:f>
        <x:v>600</x:v>
      </x:c>
      <x:c r="AB313" s="119" t="n">
        <x:f>IF(2&gt;D313,0,MAX(2,MIN('难度参数'!$E$12,ROUND(('难度参数'!$E$18*POWER(A313,'难度参数'!$E$19)/D313*(0.85+0.3*(2-1)/MAX(1,D313-1))),0)+F313)))</x:f>
        <x:v>31</x:v>
      </x:c>
      <x:c r="AC313" s="119" t="n">
        <x:f>IF(2&gt;D313,0,ROUND(('难度参数'!$E$13*POWER(A313,'难度参数'!$E$20)*MIN('难度参数'!$E$23,1+MAX(0,A313-'难度参数'!$E$21)*'难度参数'!$E$22))*(36+2*7)/(36+7*(D313+1)/2)*E313,0))</x:f>
        <x:v>6514</x:v>
      </x:c>
      <x:c r="AD313" s="119" t="n">
        <x:f>IF(AB313=0,0,(AB313-IF(2=D313,1,0))*ROUND(AC313*VLOOKUP(INDEX('章节与怪物'!$E$31:$K$37,B313,2),'章节与怪物'!$A$41:$F$44,2,FALSE),0)+IF(2=D313,ROUND(AC313*'难度参数'!$E$28*'章节与怪物'!$E$17,0),0))</x:f>
        <x:v>201934</x:v>
      </x:c>
      <x:c r="AE313" s="119" t="n">
        <x:f>IF(AB313=0,0,(AB313-IF(2=D313,1,0))*VLOOKUP(INDEX('章节与怪物'!$E$31:$K$37,B313,2),'章节与怪物'!$A$41:$F$44,4,FALSE)+IF(2=D313,'难度参数'!$E$30,0))</x:f>
        <x:v>558</x:v>
      </x:c>
      <x:c r="AF313" s="119" t="n">
        <x:f>IF(3&gt;D313,0,MAX(2,MIN('难度参数'!$E$12,ROUND(('难度参数'!$E$18*POWER(A313,'难度参数'!$E$19)/D313*(0.85+0.3*(3-1)/MAX(1,D313-1))),0)+F313)))</x:f>
        <x:v>33</x:v>
      </x:c>
      <x:c r="AG313" s="119" t="n">
        <x:f>IF(3&gt;D313,0,ROUND(('难度参数'!$E$13*POWER(A313,'难度参数'!$E$20)*MIN('难度参数'!$E$23,1+MAX(0,A313-'难度参数'!$E$21)*'难度参数'!$E$22))*(36+3*7)/(36+7*(D313+1)/2)*E313,0))</x:f>
        <x:v>7426</x:v>
      </x:c>
      <x:c r="AH313" s="119" t="n">
        <x:f>IF(AF313=0,0,(AF313-IF(3=D313,1,0))*ROUND(AG313*VLOOKUP(INDEX('章节与怪物'!$E$31:$K$37,B313,3),'章节与怪物'!$A$41:$F$44,2,FALSE),0)+IF(3=D313,ROUND(AG313*'难度参数'!$E$28*'章节与怪物'!$E$17,0),0))</x:f>
        <x:v>416592</x:v>
      </x:c>
      <x:c r="AI313" s="119" t="n">
        <x:f>IF(AF313=0,0,(AF313-IF(3=D313,1,0))*VLOOKUP(INDEX('章节与怪物'!$E$31:$K$37,B313,3),'章节与怪物'!$A$41:$F$44,4,FALSE)+IF(3=D313,'难度参数'!$E$30,0))</x:f>
        <x:v>924</x:v>
      </x:c>
      <x:c r="AJ313" s="119" t="n">
        <x:f>IF(4&gt;D313,0,MAX(2,MIN('难度参数'!$E$12,ROUND(('难度参数'!$E$18*POWER(A313,'难度参数'!$E$19)/D313*(0.85+0.3*(4-1)/MAX(1,D313-1))),0)+F313)))</x:f>
        <x:v>35</x:v>
      </x:c>
      <x:c r="AK313" s="119" t="n">
        <x:f>IF(4&gt;D313,0,ROUND(('难度参数'!$E$13*POWER(A313,'难度参数'!$E$20)*MIN('难度参数'!$E$23,1+MAX(0,A313-'难度参数'!$E$21)*'难度参数'!$E$22))*(36+4*7)/(36+7*(D313+1)/2)*E313,0))</x:f>
        <x:v>8338</x:v>
      </x:c>
      <x:c r="AL313" s="119" t="n">
        <x:f>IF(AJ313=0,0,(AJ313-IF(4=D313,1,0))*ROUND(AK313*VLOOKUP(INDEX('章节与怪物'!$E$31:$K$37,B313,4),'章节与怪物'!$A$41:$F$44,2,FALSE),0)+IF(4=D313,ROUND(AK313*'难度参数'!$E$28*'章节与怪物'!$E$17,0),0))</x:f>
        <x:v>393960</x:v>
      </x:c>
      <x:c r="AM313" s="119" t="n">
        <x:f>IF(AJ313=0,0,(AJ313-IF(4=D313,1,0))*VLOOKUP(INDEX('章节与怪物'!$E$31:$K$37,B313,4),'章节与怪物'!$A$41:$F$44,4,FALSE)+IF(4=D313,'难度参数'!$E$30,0))</x:f>
        <x:v>1190</x:v>
      </x:c>
      <x:c r="AN313" s="119" t="n">
        <x:f>IF(5&gt;D313,0,MAX(2,MIN('难度参数'!$E$12,ROUND(('难度参数'!$E$18*POWER(A313,'难度参数'!$E$19)/D313*(0.85+0.3*(5-1)/MAX(1,D313-1))),0)+F313)))</x:f>
        <x:v>37</x:v>
      </x:c>
      <x:c r="AO313" s="119" t="n">
        <x:f>IF(5&gt;D313,0,ROUND(('难度参数'!$E$13*POWER(A313,'难度参数'!$E$20)*MIN('难度参数'!$E$23,1+MAX(0,A313-'难度参数'!$E$21)*'难度参数'!$E$22))*(36+5*7)/(36+7*(D313+1)/2)*E313,0))</x:f>
        <x:v>9250</x:v>
      </x:c>
      <x:c r="AP313" s="119" t="n">
        <x:f>IF(AN313=0,0,(AN313-IF(5=D313,1,0))*ROUND(AO313*VLOOKUP(INDEX('章节与怪物'!$E$31:$K$37,B313,5),'章节与怪物'!$A$41:$F$44,2,FALSE),0)+IF(5=D313,ROUND(AO313*'难度参数'!$E$28*'章节与怪物'!$E$17,0),0))</x:f>
        <x:v>342250</x:v>
      </x:c>
      <x:c r="AQ313" s="119" t="n">
        <x:f>IF(AN313=0,0,(AN313-IF(5=D313,1,0))*VLOOKUP(INDEX('章节与怪物'!$E$31:$K$37,B313,5),'章节与怪物'!$A$41:$F$44,4,FALSE)+IF(5=D313,'难度参数'!$E$30,0))</x:f>
        <x:v>666</x:v>
      </x:c>
      <x:c r="AR313" s="119" t="n">
        <x:f>IF(6&gt;D313,0,MAX(2,MIN('难度参数'!$E$12,ROUND(('难度参数'!$E$18*POWER(A313,'难度参数'!$E$19)/D313*(0.85+0.3*(6-1)/MAX(1,D313-1))),0)+F313)))</x:f>
        <x:v>38</x:v>
      </x:c>
      <x:c r="AS313" s="119" t="n">
        <x:f>IF(6&gt;D313,0,ROUND(('难度参数'!$E$13*POWER(A313,'难度参数'!$E$20)*MIN('难度参数'!$E$23,1+MAX(0,A313-'难度参数'!$E$21)*'难度参数'!$E$22))*(36+6*7)/(36+7*(D313+1)/2)*E313,0))</x:f>
        <x:v>10162</x:v>
      </x:c>
      <x:c r="AT313" s="119" t="n">
        <x:f>IF(AR313=0,0,(AR313-IF(6=D313,1,0))*ROUND(AS313*VLOOKUP(INDEX('章节与怪物'!$E$31:$K$37,B313,6),'章节与怪物'!$A$41:$F$44,2,FALSE),0)+IF(6=D313,ROUND(AS313*'难度参数'!$E$28*'章节与怪物'!$E$17,0),0))</x:f>
        <x:v>656450</x:v>
      </x:c>
      <x:c r="AU313" s="119" t="n">
        <x:f>IF(AR313=0,0,(AR313-IF(6=D313,1,0))*VLOOKUP(INDEX('章节与怪物'!$E$31:$K$37,B313,6),'章节与怪物'!$A$41:$F$44,4,FALSE)+IF(6=D313,'难度参数'!$E$30,0))</x:f>
        <x:v>1064</x:v>
      </x:c>
      <x:c r="AV313" s="119" t="n">
        <x:f>IF(7&gt;D313,0,MAX(2,MIN('难度参数'!$E$12,ROUND(('难度参数'!$E$18*POWER(A313,'难度参数'!$E$19)/D313*(0.85+0.3*(7-1)/MAX(1,D313-1))),0)+F313)))</x:f>
        <x:v>40</x:v>
      </x:c>
      <x:c r="AW313" s="119" t="n">
        <x:f>IF(7&gt;D313,0,ROUND(('难度参数'!$E$13*POWER(A313,'难度参数'!$E$20)*MIN('难度参数'!$E$23,1+MAX(0,A313-'难度参数'!$E$21)*'难度参数'!$E$22))*(36+7*7)/(36+7*(D313+1)/2)*E313,0))</x:f>
        <x:v>11074</x:v>
      </x:c>
      <x:c r="AX313" s="119" t="n">
        <x:f>IF(AV313=0,0,(AV313-IF(7=D313,1,0))*ROUND(AW313*VLOOKUP(INDEX('章节与怪物'!$E$31:$K$37,B313,7),'章节与怪物'!$A$41:$F$44,2,FALSE),0)+IF(7=D313,ROUND(AW313*'难度参数'!$E$28*'章节与怪物'!$E$17,0),0))</x:f>
        <x:v>658353</x:v>
      </x:c>
      <x:c r="AY313" s="119" t="n">
        <x:f>IF(AV313=0,0,(AV313-IF(7=D313,1,0))*VLOOKUP(INDEX('章节与怪物'!$E$31:$K$37,B313,7),'章节与怪物'!$A$41:$F$44,4,FALSE)+IF(7=D313,'难度参数'!$E$30,0))</x:f>
        <x:v>1526</x:v>
      </x:c>
    </x:row>
    <x:row r="314" ht="23" customHeight="1">
      <x:c r="A314" s="119" t="n">
        <x:v>308</x:v>
      </x:c>
      <x:c r="B314" s="119" t="n">
        <x:f>MOD(INT((A314-1)/5),7)+1</x:f>
        <x:v>6</x:v>
      </x:c>
      <x:c r="C314" s="62" t="str">
        <x:f>INDEX('章节与怪物'!$B$31:$B$37,B314)</x:f>
        <x:v>熔岩山脉</x:v>
      </x:c>
      <x:c r="D314" s="119" t="n">
        <x:f>MIN('难度参数'!$E$8,MAX('难度参数'!$E$7,A314))</x:f>
        <x:v>7</x:v>
      </x:c>
      <x:c r="E314" s="106" t="n">
        <x:v>1</x:v>
      </x:c>
      <x:c r="F314" s="106" t="n">
        <x:v>0</x:v>
      </x:c>
      <x:c r="G314" s="106" t="n">
        <x:v>1</x:v>
      </x:c>
      <x:c r="H314" s="119" t="n">
        <x:f>SUM(X314,AB314,AF314,AJ314,AN314,AR314,AV314)</x:f>
        <x:v>246</x:v>
      </x:c>
      <x:c r="I314" s="119" t="n">
        <x:f>SUM(Z314,AD314,AH314,AL314,AP314,AT314,AX314)</x:f>
        <x:v>2821053</x:v>
      </x:c>
      <x:c r="J314" s="119" t="n">
        <x:f>ROUND(INDEX(X314:AY314,1,(D314-1)*4+2)*'难度参数'!$E$28*'章节与怪物'!$E$17,0)</x:f>
        <x:v>75480</x:v>
      </x:c>
      <x:c r="K314" s="119" t="n">
        <x:f>SUM(AA314,AE314,AI314,AM314,AQ314,AU314,AY314)</x:f>
        <x:v>6574</x:v>
      </x:c>
      <x:c r="L314" s="62" t="n">
        <x:f>H314*(ROUNDUP('难度参数'!$E$24/('难度参数'!$E$26*'难度参数'!$E$27),0)*'难度参数'!$E$26)/60</x:f>
        <x:v>3.2800000000000002</x:v>
      </x:c>
      <x:c r="M314" s="62" t="n">
        <x:f>L314+D314*('难度参数'!$E$49+'难度参数'!$E$50)/60</x:f>
        <x:v>4.446666666666667</x:v>
      </x:c>
      <x:c r="N314" s="119" t="n">
        <x:f>ROUNDDOWN(('经济参数'!$E$20+A314*'经济参数'!$E$21)*G314,0)</x:f>
        <x:v>6340</x:v>
      </x:c>
      <x:c r="O314" s="119" t="n">
        <x:f>ROUNDDOWN(MIN('经济参数'!$E$24,'经济参数'!$E$22+A314*'经济参数'!$E$23)*G314,0)</x:f>
        <x:v>0</x:v>
      </x:c>
      <x:c r="P314" s="119" t="n">
        <x:f>ROUNDDOWN((IF(A314&gt;='材料与任务'!$E$31,'材料与任务'!$E$32,IF(A314&gt;='材料与任务'!$E$25,'材料与任务'!$E$26,IF(A314&gt;='材料与任务'!$E$19,'材料与任务'!$E$20,IF(A314&gt;='材料与任务'!$E$13,'材料与任务'!$E$14,'材料与任务'!$E$8)))))*G314,0)</x:f>
        <x:v>6</x:v>
      </x:c>
      <x:c r="Q314" s="119" t="n">
        <x:f>ROUNDDOWN((IF(A314&gt;='材料与任务'!$E$31,'材料与任务'!$E$33,IF(A314&gt;='材料与任务'!$E$25,'材料与任务'!$E$27,IF(A314&gt;='材料与任务'!$E$19,'材料与任务'!$E$21,IF(A314&gt;='材料与任务'!$E$13,'材料与任务'!$E$15,'材料与任务'!$E$9)))))*G314,0)</x:f>
        <x:v>3</x:v>
      </x:c>
      <x:c r="R314" s="110" t="n">
        <x:f>'装备掉落'!$B$38</x:f>
        <x:v>0.6872058758851213</x:v>
      </x:c>
      <x:c r="S314" s="119" t="n">
        <x:f>MAX(IF(VLOOKUP(A314,'装备掉落'!$A$29:$H$34,2,TRUE)&gt;0,1,0),IF(VLOOKUP(A314,'装备掉落'!$A$29:$H$34,3,TRUE)&gt;0,2,0),IF(VLOOKUP(A314,'装备掉落'!$A$29:$H$34,4,TRUE)&gt;0,3,0),IF(VLOOKUP(A314,'装备掉落'!$A$29:$H$34,5,TRUE)&gt;0,4,0),IF(VLOOKUP(A314,'装备掉落'!$A$29:$H$34,6,TRUE)&gt;0,5,0),IF(VLOOKUP(A314,'装备掉落'!$A$29:$H$34,7,TRUE)&gt;0,6,0),IF(VLOOKUP(A314,'装备掉落'!$A$29:$H$34,8,TRUE)&gt;0,7,0))</x:f>
        <x:v>7</x:v>
      </x:c>
      <x:c r="T314" s="119" t="n">
        <x:f>MIN(7,S314+'经济参数'!$E$70)</x:f>
        <x:v>7</x:v>
      </x:c>
      <x:c r="U314" s="119" t="n">
        <x:f>MIN(7,S314+'经济参数'!$E$71)</x:f>
        <x:v>7</x:v>
      </x:c>
      <x:c r="V314" s="119" t="n">
        <x:f>IF(H314&gt;=('难度参数'!$E$52),1,0)+IF(H314&gt;=('难度参数'!$E$52+'难度参数'!$E$53),1,0)+IF(H314&gt;=('难度参数'!$E$52+'难度参数'!$E$53+'难度参数'!$E$54),1,0)+IF(H314&gt;=('难度参数'!$E$52+'难度参数'!$E$53+'难度参数'!$E$54+'难度参数'!$E$55),1,0)+IF(H314&gt;=('难度参数'!$E$52+'难度参数'!$E$53+'难度参数'!$E$54+'难度参数'!$E$55+'难度参数'!$E$56),1,0)+IF(H314&gt;=('难度参数'!$E$52+'难度参数'!$E$53+'难度参数'!$E$54+'难度参数'!$E$55+'难度参数'!$E$56+'难度参数'!$E$57),1,0)</x:f>
        <x:v>6</x:v>
      </x:c>
      <x:c r="W314" s="62" t="str">
        <x:f>IF(L314&gt;'难度参数'!$E$51,"仅出怪已超目标","还需实测")</x:f>
        <x:v>仅出怪已超目标</x:v>
      </x:c>
      <x:c r="X314" s="119" t="n">
        <x:f>IF(1&gt;D314,0,MAX(2,MIN('难度参数'!$E$12,ROUND(('难度参数'!$E$18*POWER(A314,'难度参数'!$E$19)/D314*(0.85+0.3*(1-1)/MAX(1,D314-1))),0)+F314)))</x:f>
        <x:v>30</x:v>
      </x:c>
      <x:c r="Y314" s="119" t="n">
        <x:f>IF(1&gt;D314,0,ROUND(('难度参数'!$E$13*POWER(A314,'难度参数'!$E$20)*MIN('难度参数'!$E$23,1+MAX(0,A314-'难度参数'!$E$21)*'难度参数'!$E$22))*(36+1*7)/(36+7*(D314+1)/2)*E314,0))</x:f>
        <x:v>5615</x:v>
      </x:c>
      <x:c r="Z314" s="119" t="n">
        <x:f>IF(X314=0,0,(X314-IF(1=D314,1,0))*ROUND(Y314*VLOOKUP(INDEX('章节与怪物'!$E$31:$K$37,B314,1),'章节与怪物'!$A$41:$F$44,2,FALSE),0)+IF(1=D314,ROUND(Y314*'难度参数'!$E$28*'章节与怪物'!$E$17,0),0))</x:f>
        <x:v>121290</x:v>
      </x:c>
      <x:c r="AA314" s="119" t="n">
        <x:f>IF(X314=0,0,(X314-IF(1=D314,1,0))*VLOOKUP(INDEX('章节与怪物'!$E$31:$K$37,B314,1),'章节与怪物'!$A$41:$F$44,4,FALSE)+IF(1=D314,'难度参数'!$E$30,0))</x:f>
        <x:v>600</x:v>
      </x:c>
      <x:c r="AB314" s="119" t="n">
        <x:f>IF(2&gt;D314,0,MAX(2,MIN('难度参数'!$E$12,ROUND(('难度参数'!$E$18*POWER(A314,'难度参数'!$E$19)/D314*(0.85+0.3*(2-1)/MAX(1,D314-1))),0)+F314)))</x:f>
        <x:v>32</x:v>
      </x:c>
      <x:c r="AC314" s="119" t="n">
        <x:f>IF(2&gt;D314,0,ROUND(('难度参数'!$E$13*POWER(A314,'难度参数'!$E$20)*MIN('难度参数'!$E$23,1+MAX(0,A314-'难度参数'!$E$21)*'难度参数'!$E$22))*(36+2*7)/(36+7*(D314+1)/2)*E314,0))</x:f>
        <x:v>6530</x:v>
      </x:c>
      <x:c r="AD314" s="119" t="n">
        <x:f>IF(AB314=0,0,(AB314-IF(2=D314,1,0))*ROUND(AC314*VLOOKUP(INDEX('章节与怪物'!$E$31:$K$37,B314,2),'章节与怪物'!$A$41:$F$44,2,FALSE),0)+IF(2=D314,ROUND(AC314*'难度参数'!$E$28*'章节与怪物'!$E$17,0),0))</x:f>
        <x:v>208960</x:v>
      </x:c>
      <x:c r="AE314" s="119" t="n">
        <x:f>IF(AB314=0,0,(AB314-IF(2=D314,1,0))*VLOOKUP(INDEX('章节与怪物'!$E$31:$K$37,B314,2),'章节与怪物'!$A$41:$F$44,4,FALSE)+IF(2=D314,'难度参数'!$E$30,0))</x:f>
        <x:v>576</x:v>
      </x:c>
      <x:c r="AF314" s="119" t="n">
        <x:f>IF(3&gt;D314,0,MAX(2,MIN('难度参数'!$E$12,ROUND(('难度参数'!$E$18*POWER(A314,'难度参数'!$E$19)/D314*(0.85+0.3*(3-1)/MAX(1,D314-1))),0)+F314)))</x:f>
        <x:v>33</x:v>
      </x:c>
      <x:c r="AG314" s="119" t="n">
        <x:f>IF(3&gt;D314,0,ROUND(('难度参数'!$E$13*POWER(A314,'难度参数'!$E$20)*MIN('难度参数'!$E$23,1+MAX(0,A314-'难度参数'!$E$21)*'难度参数'!$E$22))*(36+3*7)/(36+7*(D314+1)/2)*E314,0))</x:f>
        <x:v>7444</x:v>
      </x:c>
      <x:c r="AH314" s="119" t="n">
        <x:f>IF(AF314=0,0,(AF314-IF(3=D314,1,0))*ROUND(AG314*VLOOKUP(INDEX('章节与怪物'!$E$31:$K$37,B314,3),'章节与怪物'!$A$41:$F$44,2,FALSE),0)+IF(3=D314,ROUND(AG314*'难度参数'!$E$28*'章节与怪物'!$E$17,0),0))</x:f>
        <x:v>417615</x:v>
      </x:c>
      <x:c r="AI314" s="119" t="n">
        <x:f>IF(AF314=0,0,(AF314-IF(3=D314,1,0))*VLOOKUP(INDEX('章节与怪物'!$E$31:$K$37,B314,3),'章节与怪物'!$A$41:$F$44,4,FALSE)+IF(3=D314,'难度参数'!$E$30,0))</x:f>
        <x:v>924</x:v>
      </x:c>
      <x:c r="AJ314" s="119" t="n">
        <x:f>IF(4&gt;D314,0,MAX(2,MIN('难度参数'!$E$12,ROUND(('难度参数'!$E$18*POWER(A314,'难度参数'!$E$19)/D314*(0.85+0.3*(4-1)/MAX(1,D314-1))),0)+F314)))</x:f>
        <x:v>35</x:v>
      </x:c>
      <x:c r="AK314" s="119" t="n">
        <x:f>IF(4&gt;D314,0,ROUND(('难度参数'!$E$13*POWER(A314,'难度参数'!$E$20)*MIN('难度参数'!$E$23,1+MAX(0,A314-'难度参数'!$E$21)*'难度参数'!$E$22))*(36+4*7)/(36+7*(D314+1)/2)*E314,0))</x:f>
        <x:v>8358</x:v>
      </x:c>
      <x:c r="AL314" s="119" t="n">
        <x:f>IF(AJ314=0,0,(AJ314-IF(4=D314,1,0))*ROUND(AK314*VLOOKUP(INDEX('章节与怪物'!$E$31:$K$37,B314,4),'章节与怪物'!$A$41:$F$44,2,FALSE),0)+IF(4=D314,ROUND(AK314*'难度参数'!$E$28*'章节与怪物'!$E$17,0),0))</x:f>
        <x:v>394905</x:v>
      </x:c>
      <x:c r="AM314" s="119" t="n">
        <x:f>IF(AJ314=0,0,(AJ314-IF(4=D314,1,0))*VLOOKUP(INDEX('章节与怪物'!$E$31:$K$37,B314,4),'章节与怪物'!$A$41:$F$44,4,FALSE)+IF(4=D314,'难度参数'!$E$30,0))</x:f>
        <x:v>1190</x:v>
      </x:c>
      <x:c r="AN314" s="119" t="n">
        <x:f>IF(5&gt;D314,0,MAX(2,MIN('难度参数'!$E$12,ROUND(('难度参数'!$E$18*POWER(A314,'难度参数'!$E$19)/D314*(0.85+0.3*(5-1)/MAX(1,D314-1))),0)+F314)))</x:f>
        <x:v>37</x:v>
      </x:c>
      <x:c r="AO314" s="119" t="n">
        <x:f>IF(5&gt;D314,0,ROUND(('难度参数'!$E$13*POWER(A314,'难度参数'!$E$20)*MIN('难度参数'!$E$23,1+MAX(0,A314-'难度参数'!$E$21)*'难度参数'!$E$22))*(36+5*7)/(36+7*(D314+1)/2)*E314,0))</x:f>
        <x:v>9272</x:v>
      </x:c>
      <x:c r="AP314" s="119" t="n">
        <x:f>IF(AN314=0,0,(AN314-IF(5=D314,1,0))*ROUND(AO314*VLOOKUP(INDEX('章节与怪物'!$E$31:$K$37,B314,5),'章节与怪物'!$A$41:$F$44,2,FALSE),0)+IF(5=D314,ROUND(AO314*'难度参数'!$E$28*'章节与怪物'!$E$17,0),0))</x:f>
        <x:v>343064</x:v>
      </x:c>
      <x:c r="AQ314" s="119" t="n">
        <x:f>IF(AN314=0,0,(AN314-IF(5=D314,1,0))*VLOOKUP(INDEX('章节与怪物'!$E$31:$K$37,B314,5),'章节与怪物'!$A$41:$F$44,4,FALSE)+IF(5=D314,'难度参数'!$E$30,0))</x:f>
        <x:v>666</x:v>
      </x:c>
      <x:c r="AR314" s="119" t="n">
        <x:f>IF(6&gt;D314,0,MAX(2,MIN('难度参数'!$E$12,ROUND(('难度参数'!$E$18*POWER(A314,'难度参数'!$E$19)/D314*(0.85+0.3*(6-1)/MAX(1,D314-1))),0)+F314)))</x:f>
        <x:v>39</x:v>
      </x:c>
      <x:c r="AS314" s="119" t="n">
        <x:f>IF(6&gt;D314,0,ROUND(('难度参数'!$E$13*POWER(A314,'难度参数'!$E$20)*MIN('难度参数'!$E$23,1+MAX(0,A314-'难度参数'!$E$21)*'难度参数'!$E$22))*(36+6*7)/(36+7*(D314+1)/2)*E314,0))</x:f>
        <x:v>10186</x:v>
      </x:c>
      <x:c r="AT314" s="119" t="n">
        <x:f>IF(AR314=0,0,(AR314-IF(6=D314,1,0))*ROUND(AS314*VLOOKUP(INDEX('章节与怪物'!$E$31:$K$37,B314,6),'章节与怪物'!$A$41:$F$44,2,FALSE),0)+IF(6=D314,ROUND(AS314*'难度参数'!$E$28*'章节与怪物'!$E$17,0),0))</x:f>
        <x:v>675324</x:v>
      </x:c>
      <x:c r="AU314" s="119" t="n">
        <x:f>IF(AR314=0,0,(AR314-IF(6=D314,1,0))*VLOOKUP(INDEX('章节与怪物'!$E$31:$K$37,B314,6),'章节与怪物'!$A$41:$F$44,4,FALSE)+IF(6=D314,'难度参数'!$E$30,0))</x:f>
        <x:v>1092</x:v>
      </x:c>
      <x:c r="AV314" s="119" t="n">
        <x:f>IF(7&gt;D314,0,MAX(2,MIN('难度参数'!$E$12,ROUND(('难度参数'!$E$18*POWER(A314,'难度参数'!$E$19)/D314*(0.85+0.3*(7-1)/MAX(1,D314-1))),0)+F314)))</x:f>
        <x:v>40</x:v>
      </x:c>
      <x:c r="AW314" s="119" t="n">
        <x:f>IF(7&gt;D314,0,ROUND(('难度参数'!$E$13*POWER(A314,'难度参数'!$E$20)*MIN('难度参数'!$E$23,1+MAX(0,A314-'难度参数'!$E$21)*'难度参数'!$E$22))*(36+7*7)/(36+7*(D314+1)/2)*E314,0))</x:f>
        <x:v>11100</x:v>
      </x:c>
      <x:c r="AX314" s="119" t="n">
        <x:f>IF(AV314=0,0,(AV314-IF(7=D314,1,0))*ROUND(AW314*VLOOKUP(INDEX('章节与怪物'!$E$31:$K$37,B314,7),'章节与怪物'!$A$41:$F$44,2,FALSE),0)+IF(7=D314,ROUND(AW314*'难度参数'!$E$28*'章节与怪物'!$E$17,0),0))</x:f>
        <x:v>659895</x:v>
      </x:c>
      <x:c r="AY314" s="119" t="n">
        <x:f>IF(AV314=0,0,(AV314-IF(7=D314,1,0))*VLOOKUP(INDEX('章节与怪物'!$E$31:$K$37,B314,7),'章节与怪物'!$A$41:$F$44,4,FALSE)+IF(7=D314,'难度参数'!$E$30,0))</x:f>
        <x:v>1526</x:v>
      </x:c>
    </x:row>
    <x:row r="315" ht="23" customHeight="1">
      <x:c r="A315" s="119" t="n">
        <x:v>309</x:v>
      </x:c>
      <x:c r="B315" s="119" t="n">
        <x:f>MOD(INT((A315-1)/5),7)+1</x:f>
        <x:v>6</x:v>
      </x:c>
      <x:c r="C315" s="62" t="str">
        <x:f>INDEX('章节与怪物'!$B$31:$B$37,B315)</x:f>
        <x:v>熔岩山脉</x:v>
      </x:c>
      <x:c r="D315" s="119" t="n">
        <x:f>MIN('难度参数'!$E$8,MAX('难度参数'!$E$7,A315))</x:f>
        <x:v>7</x:v>
      </x:c>
      <x:c r="E315" s="106" t="n">
        <x:v>1</x:v>
      </x:c>
      <x:c r="F315" s="106" t="n">
        <x:v>0</x:v>
      </x:c>
      <x:c r="G315" s="106" t="n">
        <x:v>1</x:v>
      </x:c>
      <x:c r="H315" s="119" t="n">
        <x:f>SUM(X315,AB315,AF315,AJ315,AN315,AR315,AV315)</x:f>
        <x:v>246</x:v>
      </x:c>
      <x:c r="I315" s="119" t="n">
        <x:f>SUM(Z315,AD315,AH315,AL315,AP315,AT315,AX315)</x:f>
        <x:v>2827625</x:v>
      </x:c>
      <x:c r="J315" s="119" t="n">
        <x:f>ROUND(INDEX(X315:AY315,1,(D315-1)*4+2)*'难度参数'!$E$28*'章节与怪物'!$E$17,0)</x:f>
        <x:v>75657</x:v>
      </x:c>
      <x:c r="K315" s="119" t="n">
        <x:f>SUM(AA315,AE315,AI315,AM315,AQ315,AU315,AY315)</x:f>
        <x:v>6574</x:v>
      </x:c>
      <x:c r="L315" s="62" t="n">
        <x:f>H315*(ROUNDUP('难度参数'!$E$24/('难度参数'!$E$26*'难度参数'!$E$27),0)*'难度参数'!$E$26)/60</x:f>
        <x:v>3.2800000000000002</x:v>
      </x:c>
      <x:c r="M315" s="62" t="n">
        <x:f>L315+D315*('难度参数'!$E$49+'难度参数'!$E$50)/60</x:f>
        <x:v>4.446666666666667</x:v>
      </x:c>
      <x:c r="N315" s="119" t="n">
        <x:f>ROUNDDOWN(('经济参数'!$E$20+A315*'经济参数'!$E$21)*G315,0)</x:f>
        <x:v>6360</x:v>
      </x:c>
      <x:c r="O315" s="119" t="n">
        <x:f>ROUNDDOWN(MIN('经济参数'!$E$24,'经济参数'!$E$22+A315*'经济参数'!$E$23)*G315,0)</x:f>
        <x:v>0</x:v>
      </x:c>
      <x:c r="P315" s="119" t="n">
        <x:f>ROUNDDOWN((IF(A315&gt;='材料与任务'!$E$31,'材料与任务'!$E$32,IF(A315&gt;='材料与任务'!$E$25,'材料与任务'!$E$26,IF(A315&gt;='材料与任务'!$E$19,'材料与任务'!$E$20,IF(A315&gt;='材料与任务'!$E$13,'材料与任务'!$E$14,'材料与任务'!$E$8)))))*G315,0)</x:f>
        <x:v>6</x:v>
      </x:c>
      <x:c r="Q315" s="119" t="n">
        <x:f>ROUNDDOWN((IF(A315&gt;='材料与任务'!$E$31,'材料与任务'!$E$33,IF(A315&gt;='材料与任务'!$E$25,'材料与任务'!$E$27,IF(A315&gt;='材料与任务'!$E$19,'材料与任务'!$E$21,IF(A315&gt;='材料与任务'!$E$13,'材料与任务'!$E$15,'材料与任务'!$E$9)))))*G315,0)</x:f>
        <x:v>3</x:v>
      </x:c>
      <x:c r="R315" s="110" t="n">
        <x:f>'装备掉落'!$B$38</x:f>
        <x:v>0.6872058758851213</x:v>
      </x:c>
      <x:c r="S315" s="119" t="n">
        <x:f>MAX(IF(VLOOKUP(A315,'装备掉落'!$A$29:$H$34,2,TRUE)&gt;0,1,0),IF(VLOOKUP(A315,'装备掉落'!$A$29:$H$34,3,TRUE)&gt;0,2,0),IF(VLOOKUP(A315,'装备掉落'!$A$29:$H$34,4,TRUE)&gt;0,3,0),IF(VLOOKUP(A315,'装备掉落'!$A$29:$H$34,5,TRUE)&gt;0,4,0),IF(VLOOKUP(A315,'装备掉落'!$A$29:$H$34,6,TRUE)&gt;0,5,0),IF(VLOOKUP(A315,'装备掉落'!$A$29:$H$34,7,TRUE)&gt;0,6,0),IF(VLOOKUP(A315,'装备掉落'!$A$29:$H$34,8,TRUE)&gt;0,7,0))</x:f>
        <x:v>7</x:v>
      </x:c>
      <x:c r="T315" s="119" t="n">
        <x:f>MIN(7,S315+'经济参数'!$E$70)</x:f>
        <x:v>7</x:v>
      </x:c>
      <x:c r="U315" s="119" t="n">
        <x:f>MIN(7,S315+'经济参数'!$E$71)</x:f>
        <x:v>7</x:v>
      </x:c>
      <x:c r="V315" s="119" t="n">
        <x:f>IF(H315&gt;=('难度参数'!$E$52),1,0)+IF(H315&gt;=('难度参数'!$E$52+'难度参数'!$E$53),1,0)+IF(H315&gt;=('难度参数'!$E$52+'难度参数'!$E$53+'难度参数'!$E$54),1,0)+IF(H315&gt;=('难度参数'!$E$52+'难度参数'!$E$53+'难度参数'!$E$54+'难度参数'!$E$55),1,0)+IF(H315&gt;=('难度参数'!$E$52+'难度参数'!$E$53+'难度参数'!$E$54+'难度参数'!$E$55+'难度参数'!$E$56),1,0)+IF(H315&gt;=('难度参数'!$E$52+'难度参数'!$E$53+'难度参数'!$E$54+'难度参数'!$E$55+'难度参数'!$E$56+'难度参数'!$E$57),1,0)</x:f>
        <x:v>6</x:v>
      </x:c>
      <x:c r="W315" s="62" t="str">
        <x:f>IF(L315&gt;'难度参数'!$E$51,"仅出怪已超目标","还需实测")</x:f>
        <x:v>仅出怪已超目标</x:v>
      </x:c>
      <x:c r="X315" s="119" t="n">
        <x:f>IF(1&gt;D315,0,MAX(2,MIN('难度参数'!$E$12,ROUND(('难度参数'!$E$18*POWER(A315,'难度参数'!$E$19)/D315*(0.85+0.3*(1-1)/MAX(1,D315-1))),0)+F315)))</x:f>
        <x:v>30</x:v>
      </x:c>
      <x:c r="Y315" s="119" t="n">
        <x:f>IF(1&gt;D315,0,ROUND(('难度参数'!$E$13*POWER(A315,'难度参数'!$E$20)*MIN('难度参数'!$E$23,1+MAX(0,A315-'难度参数'!$E$21)*'难度参数'!$E$22))*(36+1*7)/(36+7*(D315+1)/2)*E315,0))</x:f>
        <x:v>5628</x:v>
      </x:c>
      <x:c r="Z315" s="119" t="n">
        <x:f>IF(X315=0,0,(X315-IF(1=D315,1,0))*ROUND(Y315*VLOOKUP(INDEX('章节与怪物'!$E$31:$K$37,B315,1),'章节与怪物'!$A$41:$F$44,2,FALSE),0)+IF(1=D315,ROUND(Y315*'难度参数'!$E$28*'章节与怪物'!$E$17,0),0))</x:f>
        <x:v>121560</x:v>
      </x:c>
      <x:c r="AA315" s="119" t="n">
        <x:f>IF(X315=0,0,(X315-IF(1=D315,1,0))*VLOOKUP(INDEX('章节与怪物'!$E$31:$K$37,B315,1),'章节与怪物'!$A$41:$F$44,4,FALSE)+IF(1=D315,'难度参数'!$E$30,0))</x:f>
        <x:v>600</x:v>
      </x:c>
      <x:c r="AB315" s="119" t="n">
        <x:f>IF(2&gt;D315,0,MAX(2,MIN('难度参数'!$E$12,ROUND(('难度参数'!$E$18*POWER(A315,'难度参数'!$E$19)/D315*(0.85+0.3*(2-1)/MAX(1,D315-1))),0)+F315)))</x:f>
        <x:v>32</x:v>
      </x:c>
      <x:c r="AC315" s="119" t="n">
        <x:f>IF(2&gt;D315,0,ROUND(('难度参数'!$E$13*POWER(A315,'难度参数'!$E$20)*MIN('难度参数'!$E$23,1+MAX(0,A315-'难度参数'!$E$21)*'难度参数'!$E$22))*(36+2*7)/(36+7*(D315+1)/2)*E315,0))</x:f>
        <x:v>6545</x:v>
      </x:c>
      <x:c r="AD315" s="119" t="n">
        <x:f>IF(AB315=0,0,(AB315-IF(2=D315,1,0))*ROUND(AC315*VLOOKUP(INDEX('章节与怪物'!$E$31:$K$37,B315,2),'章节与怪物'!$A$41:$F$44,2,FALSE),0)+IF(2=D315,ROUND(AC315*'难度参数'!$E$28*'章节与怪物'!$E$17,0),0))</x:f>
        <x:v>209440</x:v>
      </x:c>
      <x:c r="AE315" s="119" t="n">
        <x:f>IF(AB315=0,0,(AB315-IF(2=D315,1,0))*VLOOKUP(INDEX('章节与怪物'!$E$31:$K$37,B315,2),'章节与怪物'!$A$41:$F$44,4,FALSE)+IF(2=D315,'难度参数'!$E$30,0))</x:f>
        <x:v>576</x:v>
      </x:c>
      <x:c r="AF315" s="119" t="n">
        <x:f>IF(3&gt;D315,0,MAX(2,MIN('难度参数'!$E$12,ROUND(('难度参数'!$E$18*POWER(A315,'难度参数'!$E$19)/D315*(0.85+0.3*(3-1)/MAX(1,D315-1))),0)+F315)))</x:f>
        <x:v>33</x:v>
      </x:c>
      <x:c r="AG315" s="119" t="n">
        <x:f>IF(3&gt;D315,0,ROUND(('难度参数'!$E$13*POWER(A315,'难度参数'!$E$20)*MIN('难度参数'!$E$23,1+MAX(0,A315-'难度参数'!$E$21)*'难度参数'!$E$22))*(36+3*7)/(36+7*(D315+1)/2)*E315,0))</x:f>
        <x:v>7461</x:v>
      </x:c>
      <x:c r="AH315" s="119" t="n">
        <x:f>IF(AF315=0,0,(AF315-IF(3=D315,1,0))*ROUND(AG315*VLOOKUP(INDEX('章节与怪物'!$E$31:$K$37,B315,3),'章节与怪物'!$A$41:$F$44,2,FALSE),0)+IF(3=D315,ROUND(AG315*'难度参数'!$E$28*'章节与怪物'!$E$17,0),0))</x:f>
        <x:v>418572</x:v>
      </x:c>
      <x:c r="AI315" s="119" t="n">
        <x:f>IF(AF315=0,0,(AF315-IF(3=D315,1,0))*VLOOKUP(INDEX('章节与怪物'!$E$31:$K$37,B315,3),'章节与怪物'!$A$41:$F$44,4,FALSE)+IF(3=D315,'难度参数'!$E$30,0))</x:f>
        <x:v>924</x:v>
      </x:c>
      <x:c r="AJ315" s="119" t="n">
        <x:f>IF(4&gt;D315,0,MAX(2,MIN('难度参数'!$E$12,ROUND(('难度参数'!$E$18*POWER(A315,'难度参数'!$E$19)/D315*(0.85+0.3*(4-1)/MAX(1,D315-1))),0)+F315)))</x:f>
        <x:v>35</x:v>
      </x:c>
      <x:c r="AK315" s="119" t="n">
        <x:f>IF(4&gt;D315,0,ROUND(('难度参数'!$E$13*POWER(A315,'难度参数'!$E$20)*MIN('难度参数'!$E$23,1+MAX(0,A315-'难度参数'!$E$21)*'难度参数'!$E$22))*(36+4*7)/(36+7*(D315+1)/2)*E315,0))</x:f>
        <x:v>8377</x:v>
      </x:c>
      <x:c r="AL315" s="119" t="n">
        <x:f>IF(AJ315=0,0,(AJ315-IF(4=D315,1,0))*ROUND(AK315*VLOOKUP(INDEX('章节与怪物'!$E$31:$K$37,B315,4),'章节与怪物'!$A$41:$F$44,2,FALSE),0)+IF(4=D315,ROUND(AK315*'难度参数'!$E$28*'章节与怪物'!$E$17,0),0))</x:f>
        <x:v>395815</x:v>
      </x:c>
      <x:c r="AM315" s="119" t="n">
        <x:f>IF(AJ315=0,0,(AJ315-IF(4=D315,1,0))*VLOOKUP(INDEX('章节与怪物'!$E$31:$K$37,B315,4),'章节与怪物'!$A$41:$F$44,4,FALSE)+IF(4=D315,'难度参数'!$E$30,0))</x:f>
        <x:v>1190</x:v>
      </x:c>
      <x:c r="AN315" s="119" t="n">
        <x:f>IF(5&gt;D315,0,MAX(2,MIN('难度参数'!$E$12,ROUND(('难度参数'!$E$18*POWER(A315,'难度参数'!$E$19)/D315*(0.85+0.3*(5-1)/MAX(1,D315-1))),0)+F315)))</x:f>
        <x:v>37</x:v>
      </x:c>
      <x:c r="AO315" s="119" t="n">
        <x:f>IF(5&gt;D315,0,ROUND(('难度参数'!$E$13*POWER(A315,'难度参数'!$E$20)*MIN('难度参数'!$E$23,1+MAX(0,A315-'难度参数'!$E$21)*'难度参数'!$E$22))*(36+5*7)/(36+7*(D315+1)/2)*E315,0))</x:f>
        <x:v>9294</x:v>
      </x:c>
      <x:c r="AP315" s="119" t="n">
        <x:f>IF(AN315=0,0,(AN315-IF(5=D315,1,0))*ROUND(AO315*VLOOKUP(INDEX('章节与怪物'!$E$31:$K$37,B315,5),'章节与怪物'!$A$41:$F$44,2,FALSE),0)+IF(5=D315,ROUND(AO315*'难度参数'!$E$28*'章节与怪物'!$E$17,0),0))</x:f>
        <x:v>343878</x:v>
      </x:c>
      <x:c r="AQ315" s="119" t="n">
        <x:f>IF(AN315=0,0,(AN315-IF(5=D315,1,0))*VLOOKUP(INDEX('章节与怪物'!$E$31:$K$37,B315,5),'章节与怪物'!$A$41:$F$44,4,FALSE)+IF(5=D315,'难度参数'!$E$30,0))</x:f>
        <x:v>666</x:v>
      </x:c>
      <x:c r="AR315" s="119" t="n">
        <x:f>IF(6&gt;D315,0,MAX(2,MIN('难度参数'!$E$12,ROUND(('难度参数'!$E$18*POWER(A315,'难度参数'!$E$19)/D315*(0.85+0.3*(6-1)/MAX(1,D315-1))),0)+F315)))</x:f>
        <x:v>39</x:v>
      </x:c>
      <x:c r="AS315" s="119" t="n">
        <x:f>IF(6&gt;D315,0,ROUND(('难度参数'!$E$13*POWER(A315,'难度参数'!$E$20)*MIN('难度参数'!$E$23,1+MAX(0,A315-'难度参数'!$E$21)*'难度参数'!$E$22))*(36+6*7)/(36+7*(D315+1)/2)*E315,0))</x:f>
        <x:v>10210</x:v>
      </x:c>
      <x:c r="AT315" s="119" t="n">
        <x:f>IF(AR315=0,0,(AR315-IF(6=D315,1,0))*ROUND(AS315*VLOOKUP(INDEX('章节与怪物'!$E$31:$K$37,B315,6),'章节与怪物'!$A$41:$F$44,2,FALSE),0)+IF(6=D315,ROUND(AS315*'难度参数'!$E$28*'章节与怪物'!$E$17,0),0))</x:f>
        <x:v>676923</x:v>
      </x:c>
      <x:c r="AU315" s="119" t="n">
        <x:f>IF(AR315=0,0,(AR315-IF(6=D315,1,0))*VLOOKUP(INDEX('章节与怪物'!$E$31:$K$37,B315,6),'章节与怪物'!$A$41:$F$44,4,FALSE)+IF(6=D315,'难度参数'!$E$30,0))</x:f>
        <x:v>1092</x:v>
      </x:c>
      <x:c r="AV315" s="119" t="n">
        <x:f>IF(7&gt;D315,0,MAX(2,MIN('难度参数'!$E$12,ROUND(('难度参数'!$E$18*POWER(A315,'难度参数'!$E$19)/D315*(0.85+0.3*(7-1)/MAX(1,D315-1))),0)+F315)))</x:f>
        <x:v>40</x:v>
      </x:c>
      <x:c r="AW315" s="119" t="n">
        <x:f>IF(7&gt;D315,0,ROUND(('难度参数'!$E$13*POWER(A315,'难度参数'!$E$20)*MIN('难度参数'!$E$23,1+MAX(0,A315-'难度参数'!$E$21)*'难度参数'!$E$22))*(36+7*7)/(36+7*(D315+1)/2)*E315,0))</x:f>
        <x:v>11126</x:v>
      </x:c>
      <x:c r="AX315" s="119" t="n">
        <x:f>IF(AV315=0,0,(AV315-IF(7=D315,1,0))*ROUND(AW315*VLOOKUP(INDEX('章节与怪物'!$E$31:$K$37,B315,7),'章节与怪物'!$A$41:$F$44,2,FALSE),0)+IF(7=D315,ROUND(AW315*'难度参数'!$E$28*'章节与怪物'!$E$17,0),0))</x:f>
        <x:v>661437</x:v>
      </x:c>
      <x:c r="AY315" s="119" t="n">
        <x:f>IF(AV315=0,0,(AV315-IF(7=D315,1,0))*VLOOKUP(INDEX('章节与怪物'!$E$31:$K$37,B315,7),'章节与怪物'!$A$41:$F$44,4,FALSE)+IF(7=D315,'难度参数'!$E$30,0))</x:f>
        <x:v>1526</x:v>
      </x:c>
    </x:row>
    <x:row r="316" ht="23" customHeight="1">
      <x:c r="A316" s="119" t="n">
        <x:v>310</x:v>
      </x:c>
      <x:c r="B316" s="119" t="n">
        <x:f>MOD(INT((A316-1)/5),7)+1</x:f>
        <x:v>6</x:v>
      </x:c>
      <x:c r="C316" s="62" t="str">
        <x:f>INDEX('章节与怪物'!$B$31:$B$37,B316)</x:f>
        <x:v>熔岩山脉</x:v>
      </x:c>
      <x:c r="D316" s="119" t="n">
        <x:f>MIN('难度参数'!$E$8,MAX('难度参数'!$E$7,A316))</x:f>
        <x:v>7</x:v>
      </x:c>
      <x:c r="E316" s="106" t="n">
        <x:v>1</x:v>
      </x:c>
      <x:c r="F316" s="106" t="n">
        <x:v>0</x:v>
      </x:c>
      <x:c r="G316" s="106" t="n">
        <x:v>1</x:v>
      </x:c>
      <x:c r="H316" s="119" t="n">
        <x:f>SUM(X316,AB316,AF316,AJ316,AN316,AR316,AV316)</x:f>
        <x:v>246</x:v>
      </x:c>
      <x:c r="I316" s="119" t="n">
        <x:f>SUM(Z316,AD316,AH316,AL316,AP316,AT316,AX316)</x:f>
        <x:v>2834225</x:v>
      </x:c>
      <x:c r="J316" s="119" t="n">
        <x:f>ROUND(INDEX(X316:AY316,1,(D316-1)*4+2)*'难度参数'!$E$28*'章节与怪物'!$E$17,0)</x:f>
        <x:v>75834</x:v>
      </x:c>
      <x:c r="K316" s="119" t="n">
        <x:f>SUM(AA316,AE316,AI316,AM316,AQ316,AU316,AY316)</x:f>
        <x:v>6574</x:v>
      </x:c>
      <x:c r="L316" s="62" t="n">
        <x:f>H316*(ROUNDUP('难度参数'!$E$24/('难度参数'!$E$26*'难度参数'!$E$27),0)*'难度参数'!$E$26)/60</x:f>
        <x:v>3.2800000000000002</x:v>
      </x:c>
      <x:c r="M316" s="62" t="n">
        <x:f>L316+D316*('难度参数'!$E$49+'难度参数'!$E$50)/60</x:f>
        <x:v>4.446666666666667</x:v>
      </x:c>
      <x:c r="N316" s="119" t="n">
        <x:f>ROUNDDOWN(('经济参数'!$E$20+A316*'经济参数'!$E$21)*G316,0)</x:f>
        <x:v>6380</x:v>
      </x:c>
      <x:c r="O316" s="119" t="n">
        <x:f>ROUNDDOWN(MIN('经济参数'!$E$24,'经济参数'!$E$22+A316*'经济参数'!$E$23)*G316,0)</x:f>
        <x:v>0</x:v>
      </x:c>
      <x:c r="P316" s="119" t="n">
        <x:f>ROUNDDOWN((IF(A316&gt;='材料与任务'!$E$31,'材料与任务'!$E$32,IF(A316&gt;='材料与任务'!$E$25,'材料与任务'!$E$26,IF(A316&gt;='材料与任务'!$E$19,'材料与任务'!$E$20,IF(A316&gt;='材料与任务'!$E$13,'材料与任务'!$E$14,'材料与任务'!$E$8)))))*G316,0)</x:f>
        <x:v>6</x:v>
      </x:c>
      <x:c r="Q316" s="119" t="n">
        <x:f>ROUNDDOWN((IF(A316&gt;='材料与任务'!$E$31,'材料与任务'!$E$33,IF(A316&gt;='材料与任务'!$E$25,'材料与任务'!$E$27,IF(A316&gt;='材料与任务'!$E$19,'材料与任务'!$E$21,IF(A316&gt;='材料与任务'!$E$13,'材料与任务'!$E$15,'材料与任务'!$E$9)))))*G316,0)</x:f>
        <x:v>3</x:v>
      </x:c>
      <x:c r="R316" s="110" t="n">
        <x:f>'装备掉落'!$B$38</x:f>
        <x:v>0.6872058758851213</x:v>
      </x:c>
      <x:c r="S316" s="119" t="n">
        <x:f>MAX(IF(VLOOKUP(A316,'装备掉落'!$A$29:$H$34,2,TRUE)&gt;0,1,0),IF(VLOOKUP(A316,'装备掉落'!$A$29:$H$34,3,TRUE)&gt;0,2,0),IF(VLOOKUP(A316,'装备掉落'!$A$29:$H$34,4,TRUE)&gt;0,3,0),IF(VLOOKUP(A316,'装备掉落'!$A$29:$H$34,5,TRUE)&gt;0,4,0),IF(VLOOKUP(A316,'装备掉落'!$A$29:$H$34,6,TRUE)&gt;0,5,0),IF(VLOOKUP(A316,'装备掉落'!$A$29:$H$34,7,TRUE)&gt;0,6,0),IF(VLOOKUP(A316,'装备掉落'!$A$29:$H$34,8,TRUE)&gt;0,7,0))</x:f>
        <x:v>7</x:v>
      </x:c>
      <x:c r="T316" s="119" t="n">
        <x:f>MIN(7,S316+'经济参数'!$E$70)</x:f>
        <x:v>7</x:v>
      </x:c>
      <x:c r="U316" s="119" t="n">
        <x:f>MIN(7,S316+'经济参数'!$E$71)</x:f>
        <x:v>7</x:v>
      </x:c>
      <x:c r="V316" s="119" t="n">
        <x:f>IF(H316&gt;=('难度参数'!$E$52),1,0)+IF(H316&gt;=('难度参数'!$E$52+'难度参数'!$E$53),1,0)+IF(H316&gt;=('难度参数'!$E$52+'难度参数'!$E$53+'难度参数'!$E$54),1,0)+IF(H316&gt;=('难度参数'!$E$52+'难度参数'!$E$53+'难度参数'!$E$54+'难度参数'!$E$55),1,0)+IF(H316&gt;=('难度参数'!$E$52+'难度参数'!$E$53+'难度参数'!$E$54+'难度参数'!$E$55+'难度参数'!$E$56),1,0)+IF(H316&gt;=('难度参数'!$E$52+'难度参数'!$E$53+'难度参数'!$E$54+'难度参数'!$E$55+'难度参数'!$E$56+'难度参数'!$E$57),1,0)</x:f>
        <x:v>6</x:v>
      </x:c>
      <x:c r="W316" s="62" t="str">
        <x:f>IF(L316&gt;'难度参数'!$E$51,"仅出怪已超目标","还需实测")</x:f>
        <x:v>仅出怪已超目标</x:v>
      </x:c>
      <x:c r="X316" s="119" t="n">
        <x:f>IF(1&gt;D316,0,MAX(2,MIN('难度参数'!$E$12,ROUND(('难度参数'!$E$18*POWER(A316,'难度参数'!$E$19)/D316*(0.85+0.3*(1-1)/MAX(1,D316-1))),0)+F316)))</x:f>
        <x:v>30</x:v>
      </x:c>
      <x:c r="Y316" s="119" t="n">
        <x:f>IF(1&gt;D316,0,ROUND(('难度参数'!$E$13*POWER(A316,'难度参数'!$E$20)*MIN('难度参数'!$E$23,1+MAX(0,A316-'难度参数'!$E$21)*'难度参数'!$E$22))*(36+1*7)/(36+7*(D316+1)/2)*E316,0))</x:f>
        <x:v>5642</x:v>
      </x:c>
      <x:c r="Z316" s="119" t="n">
        <x:f>IF(X316=0,0,(X316-IF(1=D316,1,0))*ROUND(Y316*VLOOKUP(INDEX('章节与怪物'!$E$31:$K$37,B316,1),'章节与怪物'!$A$41:$F$44,2,FALSE),0)+IF(1=D316,ROUND(Y316*'难度参数'!$E$28*'章节与怪物'!$E$17,0),0))</x:f>
        <x:v>121860</x:v>
      </x:c>
      <x:c r="AA316" s="119" t="n">
        <x:f>IF(X316=0,0,(X316-IF(1=D316,1,0))*VLOOKUP(INDEX('章节与怪物'!$E$31:$K$37,B316,1),'章节与怪物'!$A$41:$F$44,4,FALSE)+IF(1=D316,'难度参数'!$E$30,0))</x:f>
        <x:v>600</x:v>
      </x:c>
      <x:c r="AB316" s="119" t="n">
        <x:f>IF(2&gt;D316,0,MAX(2,MIN('难度参数'!$E$12,ROUND(('难度参数'!$E$18*POWER(A316,'难度参数'!$E$19)/D316*(0.85+0.3*(2-1)/MAX(1,D316-1))),0)+F316)))</x:f>
        <x:v>32</x:v>
      </x:c>
      <x:c r="AC316" s="119" t="n">
        <x:f>IF(2&gt;D316,0,ROUND(('难度参数'!$E$13*POWER(A316,'难度参数'!$E$20)*MIN('难度参数'!$E$23,1+MAX(0,A316-'难度参数'!$E$21)*'难度参数'!$E$22))*(36+2*7)/(36+7*(D316+1)/2)*E316,0))</x:f>
        <x:v>6560</x:v>
      </x:c>
      <x:c r="AD316" s="119" t="n">
        <x:f>IF(AB316=0,0,(AB316-IF(2=D316,1,0))*ROUND(AC316*VLOOKUP(INDEX('章节与怪物'!$E$31:$K$37,B316,2),'章节与怪物'!$A$41:$F$44,2,FALSE),0)+IF(2=D316,ROUND(AC316*'难度参数'!$E$28*'章节与怪物'!$E$17,0),0))</x:f>
        <x:v>209920</x:v>
      </x:c>
      <x:c r="AE316" s="119" t="n">
        <x:f>IF(AB316=0,0,(AB316-IF(2=D316,1,0))*VLOOKUP(INDEX('章节与怪物'!$E$31:$K$37,B316,2),'章节与怪物'!$A$41:$F$44,4,FALSE)+IF(2=D316,'难度参数'!$E$30,0))</x:f>
        <x:v>576</x:v>
      </x:c>
      <x:c r="AF316" s="119" t="n">
        <x:f>IF(3&gt;D316,0,MAX(2,MIN('难度参数'!$E$12,ROUND(('难度参数'!$E$18*POWER(A316,'难度参数'!$E$19)/D316*(0.85+0.3*(3-1)/MAX(1,D316-1))),0)+F316)))</x:f>
        <x:v>33</x:v>
      </x:c>
      <x:c r="AG316" s="119" t="n">
        <x:f>IF(3&gt;D316,0,ROUND(('难度参数'!$E$13*POWER(A316,'难度参数'!$E$20)*MIN('难度参数'!$E$23,1+MAX(0,A316-'难度参数'!$E$21)*'难度参数'!$E$22))*(36+3*7)/(36+7*(D316+1)/2)*E316,0))</x:f>
        <x:v>7478</x:v>
      </x:c>
      <x:c r="AH316" s="119" t="n">
        <x:f>IF(AF316=0,0,(AF316-IF(3=D316,1,0))*ROUND(AG316*VLOOKUP(INDEX('章节与怪物'!$E$31:$K$37,B316,3),'章节与怪物'!$A$41:$F$44,2,FALSE),0)+IF(3=D316,ROUND(AG316*'难度参数'!$E$28*'章节与怪物'!$E$17,0),0))</x:f>
        <x:v>419529</x:v>
      </x:c>
      <x:c r="AI316" s="119" t="n">
        <x:f>IF(AF316=0,0,(AF316-IF(3=D316,1,0))*VLOOKUP(INDEX('章节与怪物'!$E$31:$K$37,B316,3),'章节与怪物'!$A$41:$F$44,4,FALSE)+IF(3=D316,'难度参数'!$E$30,0))</x:f>
        <x:v>924</x:v>
      </x:c>
      <x:c r="AJ316" s="119" t="n">
        <x:f>IF(4&gt;D316,0,MAX(2,MIN('难度参数'!$E$12,ROUND(('难度参数'!$E$18*POWER(A316,'难度参数'!$E$19)/D316*(0.85+0.3*(4-1)/MAX(1,D316-1))),0)+F316)))</x:f>
        <x:v>35</x:v>
      </x:c>
      <x:c r="AK316" s="119" t="n">
        <x:f>IF(4&gt;D316,0,ROUND(('难度参数'!$E$13*POWER(A316,'难度参数'!$E$20)*MIN('难度参数'!$E$23,1+MAX(0,A316-'难度参数'!$E$21)*'难度参数'!$E$22))*(36+4*7)/(36+7*(D316+1)/2)*E316,0))</x:f>
        <x:v>8397</x:v>
      </x:c>
      <x:c r="AL316" s="119" t="n">
        <x:f>IF(AJ316=0,0,(AJ316-IF(4=D316,1,0))*ROUND(AK316*VLOOKUP(INDEX('章节与怪物'!$E$31:$K$37,B316,4),'章节与怪物'!$A$41:$F$44,2,FALSE),0)+IF(4=D316,ROUND(AK316*'难度参数'!$E$28*'章节与怪物'!$E$17,0),0))</x:f>
        <x:v>396760</x:v>
      </x:c>
      <x:c r="AM316" s="119" t="n">
        <x:f>IF(AJ316=0,0,(AJ316-IF(4=D316,1,0))*VLOOKUP(INDEX('章节与怪物'!$E$31:$K$37,B316,4),'章节与怪物'!$A$41:$F$44,4,FALSE)+IF(4=D316,'难度参数'!$E$30,0))</x:f>
        <x:v>1190</x:v>
      </x:c>
      <x:c r="AN316" s="119" t="n">
        <x:f>IF(5&gt;D316,0,MAX(2,MIN('难度参数'!$E$12,ROUND(('难度参数'!$E$18*POWER(A316,'难度参数'!$E$19)/D316*(0.85+0.3*(5-1)/MAX(1,D316-1))),0)+F316)))</x:f>
        <x:v>37</x:v>
      </x:c>
      <x:c r="AO316" s="119" t="n">
        <x:f>IF(5&gt;D316,0,ROUND(('难度参数'!$E$13*POWER(A316,'难度参数'!$E$20)*MIN('难度参数'!$E$23,1+MAX(0,A316-'难度参数'!$E$21)*'难度参数'!$E$22))*(36+5*7)/(36+7*(D316+1)/2)*E316,0))</x:f>
        <x:v>9315</x:v>
      </x:c>
      <x:c r="AP316" s="119" t="n">
        <x:f>IF(AN316=0,0,(AN316-IF(5=D316,1,0))*ROUND(AO316*VLOOKUP(INDEX('章节与怪物'!$E$31:$K$37,B316,5),'章节与怪物'!$A$41:$F$44,2,FALSE),0)+IF(5=D316,ROUND(AO316*'难度参数'!$E$28*'章节与怪物'!$E$17,0),0))</x:f>
        <x:v>344655</x:v>
      </x:c>
      <x:c r="AQ316" s="119" t="n">
        <x:f>IF(AN316=0,0,(AN316-IF(5=D316,1,0))*VLOOKUP(INDEX('章节与怪物'!$E$31:$K$37,B316,5),'章节与怪物'!$A$41:$F$44,4,FALSE)+IF(5=D316,'难度参数'!$E$30,0))</x:f>
        <x:v>666</x:v>
      </x:c>
      <x:c r="AR316" s="119" t="n">
        <x:f>IF(6&gt;D316,0,MAX(2,MIN('难度参数'!$E$12,ROUND(('难度参数'!$E$18*POWER(A316,'难度参数'!$E$19)/D316*(0.85+0.3*(6-1)/MAX(1,D316-1))),0)+F316)))</x:f>
        <x:v>39</x:v>
      </x:c>
      <x:c r="AS316" s="119" t="n">
        <x:f>IF(6&gt;D316,0,ROUND(('难度参数'!$E$13*POWER(A316,'难度参数'!$E$20)*MIN('难度参数'!$E$23,1+MAX(0,A316-'难度参数'!$E$21)*'难度参数'!$E$22))*(36+6*7)/(36+7*(D316+1)/2)*E316,0))</x:f>
        <x:v>10234</x:v>
      </x:c>
      <x:c r="AT316" s="119" t="n">
        <x:f>IF(AR316=0,0,(AR316-IF(6=D316,1,0))*ROUND(AS316*VLOOKUP(INDEX('章节与怪物'!$E$31:$K$37,B316,6),'章节与怪物'!$A$41:$F$44,2,FALSE),0)+IF(6=D316,ROUND(AS316*'难度参数'!$E$28*'章节与怪物'!$E$17,0),0))</x:f>
        <x:v>678522</x:v>
      </x:c>
      <x:c r="AU316" s="119" t="n">
        <x:f>IF(AR316=0,0,(AR316-IF(6=D316,1,0))*VLOOKUP(INDEX('章节与怪物'!$E$31:$K$37,B316,6),'章节与怪物'!$A$41:$F$44,4,FALSE)+IF(6=D316,'难度参数'!$E$30,0))</x:f>
        <x:v>1092</x:v>
      </x:c>
      <x:c r="AV316" s="119" t="n">
        <x:f>IF(7&gt;D316,0,MAX(2,MIN('难度参数'!$E$12,ROUND(('难度参数'!$E$18*POWER(A316,'难度参数'!$E$19)/D316*(0.85+0.3*(7-1)/MAX(1,D316-1))),0)+F316)))</x:f>
        <x:v>40</x:v>
      </x:c>
      <x:c r="AW316" s="119" t="n">
        <x:f>IF(7&gt;D316,0,ROUND(('难度参数'!$E$13*POWER(A316,'难度参数'!$E$20)*MIN('难度参数'!$E$23,1+MAX(0,A316-'难度参数'!$E$21)*'难度参数'!$E$22))*(36+7*7)/(36+7*(D316+1)/2)*E316,0))</x:f>
        <x:v>11152</x:v>
      </x:c>
      <x:c r="AX316" s="119" t="n">
        <x:f>IF(AV316=0,0,(AV316-IF(7=D316,1,0))*ROUND(AW316*VLOOKUP(INDEX('章节与怪物'!$E$31:$K$37,B316,7),'章节与怪物'!$A$41:$F$44,2,FALSE),0)+IF(7=D316,ROUND(AW316*'难度参数'!$E$28*'章节与怪物'!$E$17,0),0))</x:f>
        <x:v>662979</x:v>
      </x:c>
      <x:c r="AY316" s="119" t="n">
        <x:f>IF(AV316=0,0,(AV316-IF(7=D316,1,0))*VLOOKUP(INDEX('章节与怪物'!$E$31:$K$37,B316,7),'章节与怪物'!$A$41:$F$44,4,FALSE)+IF(7=D316,'难度参数'!$E$30,0))</x:f>
        <x:v>1526</x:v>
      </x:c>
    </x:row>
    <x:row r="317" ht="23" customHeight="1">
      <x:c r="A317" s="119" t="n">
        <x:v>311</x:v>
      </x:c>
      <x:c r="B317" s="119" t="n">
        <x:f>MOD(INT((A317-1)/5),7)+1</x:f>
        <x:v>7</x:v>
      </x:c>
      <x:c r="C317" s="62" t="str">
        <x:f>INDEX('章节与怪物'!$B$31:$B$37,B317)</x:f>
        <x:v>魔法山脊</x:v>
      </x:c>
      <x:c r="D317" s="119" t="n">
        <x:f>MIN('难度参数'!$E$8,MAX('难度参数'!$E$7,A317))</x:f>
        <x:v>7</x:v>
      </x:c>
      <x:c r="E317" s="106" t="n">
        <x:v>1</x:v>
      </x:c>
      <x:c r="F317" s="106" t="n">
        <x:v>0</x:v>
      </x:c>
      <x:c r="G317" s="106" t="n">
        <x:v>1</x:v>
      </x:c>
      <x:c r="H317" s="119" t="n">
        <x:f>SUM(X317,AB317,AF317,AJ317,AN317,AR317,AV317)</x:f>
        <x:v>246</x:v>
      </x:c>
      <x:c r="I317" s="119" t="n">
        <x:f>SUM(Z317,AD317,AH317,AL317,AP317,AT317,AX317)</x:f>
        <x:v>2732641</x:v>
      </x:c>
      <x:c r="J317" s="119" t="n">
        <x:f>ROUND(INDEX(X317:AY317,1,(D317-1)*4+2)*'难度参数'!$E$28*'章节与怪物'!$E$17,0)</x:f>
        <x:v>76010</x:v>
      </x:c>
      <x:c r="K317" s="119" t="n">
        <x:f>SUM(AA317,AE317,AI317,AM317,AQ317,AU317,AY317)</x:f>
        <x:v>6652</x:v>
      </x:c>
      <x:c r="L317" s="62" t="n">
        <x:f>H317*(ROUNDUP('难度参数'!$E$24/('难度参数'!$E$26*'难度参数'!$E$27),0)*'难度参数'!$E$26)/60</x:f>
        <x:v>3.2800000000000002</x:v>
      </x:c>
      <x:c r="M317" s="62" t="n">
        <x:f>L317+D317*('难度参数'!$E$49+'难度参数'!$E$50)/60</x:f>
        <x:v>4.446666666666667</x:v>
      </x:c>
      <x:c r="N317" s="119" t="n">
        <x:f>ROUNDDOWN(('经济参数'!$E$20+A317*'经济参数'!$E$21)*G317,0)</x:f>
        <x:v>6400</x:v>
      </x:c>
      <x:c r="O317" s="119" t="n">
        <x:f>ROUNDDOWN(MIN('经济参数'!$E$24,'经济参数'!$E$22+A317*'经济参数'!$E$23)*G317,0)</x:f>
        <x:v>0</x:v>
      </x:c>
      <x:c r="P317" s="119" t="n">
        <x:f>ROUNDDOWN((IF(A317&gt;='材料与任务'!$E$31,'材料与任务'!$E$32,IF(A317&gt;='材料与任务'!$E$25,'材料与任务'!$E$26,IF(A317&gt;='材料与任务'!$E$19,'材料与任务'!$E$20,IF(A317&gt;='材料与任务'!$E$13,'材料与任务'!$E$14,'材料与任务'!$E$8)))))*G317,0)</x:f>
        <x:v>6</x:v>
      </x:c>
      <x:c r="Q317" s="119" t="n">
        <x:f>ROUNDDOWN((IF(A317&gt;='材料与任务'!$E$31,'材料与任务'!$E$33,IF(A317&gt;='材料与任务'!$E$25,'材料与任务'!$E$27,IF(A317&gt;='材料与任务'!$E$19,'材料与任务'!$E$21,IF(A317&gt;='材料与任务'!$E$13,'材料与任务'!$E$15,'材料与任务'!$E$9)))))*G317,0)</x:f>
        <x:v>3</x:v>
      </x:c>
      <x:c r="R317" s="110" t="n">
        <x:f>'装备掉落'!$B$38</x:f>
        <x:v>0.6872058758851213</x:v>
      </x:c>
      <x:c r="S317" s="119" t="n">
        <x:f>MAX(IF(VLOOKUP(A317,'装备掉落'!$A$29:$H$34,2,TRUE)&gt;0,1,0),IF(VLOOKUP(A317,'装备掉落'!$A$29:$H$34,3,TRUE)&gt;0,2,0),IF(VLOOKUP(A317,'装备掉落'!$A$29:$H$34,4,TRUE)&gt;0,3,0),IF(VLOOKUP(A317,'装备掉落'!$A$29:$H$34,5,TRUE)&gt;0,4,0),IF(VLOOKUP(A317,'装备掉落'!$A$29:$H$34,6,TRUE)&gt;0,5,0),IF(VLOOKUP(A317,'装备掉落'!$A$29:$H$34,7,TRUE)&gt;0,6,0),IF(VLOOKUP(A317,'装备掉落'!$A$29:$H$34,8,TRUE)&gt;0,7,0))</x:f>
        <x:v>7</x:v>
      </x:c>
      <x:c r="T317" s="119" t="n">
        <x:f>MIN(7,S317+'经济参数'!$E$70)</x:f>
        <x:v>7</x:v>
      </x:c>
      <x:c r="U317" s="119" t="n">
        <x:f>MIN(7,S317+'经济参数'!$E$71)</x:f>
        <x:v>7</x:v>
      </x:c>
      <x:c r="V317" s="119" t="n">
        <x:f>IF(H317&gt;=('难度参数'!$E$52),1,0)+IF(H317&gt;=('难度参数'!$E$52+'难度参数'!$E$53),1,0)+IF(H317&gt;=('难度参数'!$E$52+'难度参数'!$E$53+'难度参数'!$E$54),1,0)+IF(H317&gt;=('难度参数'!$E$52+'难度参数'!$E$53+'难度参数'!$E$54+'难度参数'!$E$55),1,0)+IF(H317&gt;=('难度参数'!$E$52+'难度参数'!$E$53+'难度参数'!$E$54+'难度参数'!$E$55+'难度参数'!$E$56),1,0)+IF(H317&gt;=('难度参数'!$E$52+'难度参数'!$E$53+'难度参数'!$E$54+'难度参数'!$E$55+'难度参数'!$E$56+'难度参数'!$E$57),1,0)</x:f>
        <x:v>6</x:v>
      </x:c>
      <x:c r="W317" s="62" t="str">
        <x:f>IF(L317&gt;'难度参数'!$E$51,"仅出怪已超目标","还需实测")</x:f>
        <x:v>仅出怪已超目标</x:v>
      </x:c>
      <x:c r="X317" s="119" t="n">
        <x:f>IF(1&gt;D317,0,MAX(2,MIN('难度参数'!$E$12,ROUND(('难度参数'!$E$18*POWER(A317,'难度参数'!$E$19)/D317*(0.85+0.3*(1-1)/MAX(1,D317-1))),0)+F317)))</x:f>
        <x:v>30</x:v>
      </x:c>
      <x:c r="Y317" s="119" t="n">
        <x:f>IF(1&gt;D317,0,ROUND(('难度参数'!$E$13*POWER(A317,'难度参数'!$E$20)*MIN('难度参数'!$E$23,1+MAX(0,A317-'难度参数'!$E$21)*'难度参数'!$E$22))*(36+1*7)/(36+7*(D317+1)/2)*E317,0))</x:f>
        <x:v>5655</x:v>
      </x:c>
      <x:c r="Z317" s="119" t="n">
        <x:f>IF(X317=0,0,(X317-IF(1=D317,1,0))*ROUND(Y317*VLOOKUP(INDEX('章节与怪物'!$E$31:$K$37,B317,1),'章节与怪物'!$A$41:$F$44,2,FALSE),0)+IF(1=D317,ROUND(Y317*'难度参数'!$E$28*'章节与怪物'!$E$17,0),0))</x:f>
        <x:v>169650</x:v>
      </x:c>
      <x:c r="AA317" s="119" t="n">
        <x:f>IF(X317=0,0,(X317-IF(1=D317,1,0))*VLOOKUP(INDEX('章节与怪物'!$E$31:$K$37,B317,1),'章节与怪物'!$A$41:$F$44,4,FALSE)+IF(1=D317,'难度参数'!$E$30,0))</x:f>
        <x:v>540</x:v>
      </x:c>
      <x:c r="AB317" s="119" t="n">
        <x:f>IF(2&gt;D317,0,MAX(2,MIN('难度参数'!$E$12,ROUND(('难度参数'!$E$18*POWER(A317,'难度参数'!$E$19)/D317*(0.85+0.3*(2-1)/MAX(1,D317-1))),0)+F317)))</x:f>
        <x:v>32</x:v>
      </x:c>
      <x:c r="AC317" s="119" t="n">
        <x:f>IF(2&gt;D317,0,ROUND(('难度参数'!$E$13*POWER(A317,'难度参数'!$E$20)*MIN('难度参数'!$E$23,1+MAX(0,A317-'难度参数'!$E$21)*'难度参数'!$E$22))*(36+2*7)/(36+7*(D317+1)/2)*E317,0))</x:f>
        <x:v>6575</x:v>
      </x:c>
      <x:c r="AD317" s="119" t="n">
        <x:f>IF(AB317=0,0,(AB317-IF(2=D317,1,0))*ROUND(AC317*VLOOKUP(INDEX('章节与怪物'!$E$31:$K$37,B317,2),'章节与怪物'!$A$41:$F$44,2,FALSE),0)+IF(2=D317,ROUND(AC317*'难度参数'!$E$28*'章节与怪物'!$E$17,0),0))</x:f>
        <x:v>151488</x:v>
      </x:c>
      <x:c r="AE317" s="119" t="n">
        <x:f>IF(AB317=0,0,(AB317-IF(2=D317,1,0))*VLOOKUP(INDEX('章节与怪物'!$E$31:$K$37,B317,2),'章节与怪物'!$A$41:$F$44,4,FALSE)+IF(2=D317,'难度参数'!$E$30,0))</x:f>
        <x:v>640</x:v>
      </x:c>
      <x:c r="AF317" s="119" t="n">
        <x:f>IF(3&gt;D317,0,MAX(2,MIN('难度参数'!$E$12,ROUND(('难度参数'!$E$18*POWER(A317,'难度参数'!$E$19)/D317*(0.85+0.3*(3-1)/MAX(1,D317-1))),0)+F317)))</x:f>
        <x:v>33</x:v>
      </x:c>
      <x:c r="AG317" s="119" t="n">
        <x:f>IF(3&gt;D317,0,ROUND(('难度参数'!$E$13*POWER(A317,'难度参数'!$E$20)*MIN('难度参数'!$E$23,1+MAX(0,A317-'难度参数'!$E$21)*'难度参数'!$E$22))*(36+3*7)/(36+7*(D317+1)/2)*E317,0))</x:f>
        <x:v>7496</x:v>
      </x:c>
      <x:c r="AH317" s="119" t="n">
        <x:f>IF(AF317=0,0,(AF317-IF(3=D317,1,0))*ROUND(AG317*VLOOKUP(INDEX('章节与怪物'!$E$31:$K$37,B317,3),'章节与怪物'!$A$41:$F$44,2,FALSE),0)+IF(3=D317,ROUND(AG317*'难度参数'!$E$28*'章节与怪物'!$E$17,0),0))</x:f>
        <x:v>420519</x:v>
      </x:c>
      <x:c r="AI317" s="119" t="n">
        <x:f>IF(AF317=0,0,(AF317-IF(3=D317,1,0))*VLOOKUP(INDEX('章节与怪物'!$E$31:$K$37,B317,3),'章节与怪物'!$A$41:$F$44,4,FALSE)+IF(3=D317,'难度参数'!$E$30,0))</x:f>
        <x:v>924</x:v>
      </x:c>
      <x:c r="AJ317" s="119" t="n">
        <x:f>IF(4&gt;D317,0,MAX(2,MIN('难度参数'!$E$12,ROUND(('难度参数'!$E$18*POWER(A317,'难度参数'!$E$19)/D317*(0.85+0.3*(4-1)/MAX(1,D317-1))),0)+F317)))</x:f>
        <x:v>35</x:v>
      </x:c>
      <x:c r="AK317" s="119" t="n">
        <x:f>IF(4&gt;D317,0,ROUND(('难度参数'!$E$13*POWER(A317,'难度参数'!$E$20)*MIN('难度参数'!$E$23,1+MAX(0,A317-'难度参数'!$E$21)*'难度参数'!$E$22))*(36+4*7)/(36+7*(D317+1)/2)*E317,0))</x:f>
        <x:v>8416</x:v>
      </x:c>
      <x:c r="AL317" s="119" t="n">
        <x:f>IF(AJ317=0,0,(AJ317-IF(4=D317,1,0))*ROUND(AK317*VLOOKUP(INDEX('章节与怪物'!$E$31:$K$37,B317,4),'章节与怪物'!$A$41:$F$44,2,FALSE),0)+IF(4=D317,ROUND(AK317*'难度参数'!$E$28*'章节与怪物'!$E$17,0),0))</x:f>
        <x:v>397670</x:v>
      </x:c>
      <x:c r="AM317" s="119" t="n">
        <x:f>IF(AJ317=0,0,(AJ317-IF(4=D317,1,0))*VLOOKUP(INDEX('章节与怪物'!$E$31:$K$37,B317,4),'章节与怪物'!$A$41:$F$44,4,FALSE)+IF(4=D317,'难度参数'!$E$30,0))</x:f>
        <x:v>1190</x:v>
      </x:c>
      <x:c r="AN317" s="119" t="n">
        <x:f>IF(5&gt;D317,0,MAX(2,MIN('难度参数'!$E$12,ROUND(('难度参数'!$E$18*POWER(A317,'难度参数'!$E$19)/D317*(0.85+0.3*(5-1)/MAX(1,D317-1))),0)+F317)))</x:f>
        <x:v>37</x:v>
      </x:c>
      <x:c r="AO317" s="119" t="n">
        <x:f>IF(5&gt;D317,0,ROUND(('难度参数'!$E$13*POWER(A317,'难度参数'!$E$20)*MIN('难度参数'!$E$23,1+MAX(0,A317-'难度参数'!$E$21)*'难度参数'!$E$22))*(36+5*7)/(36+7*(D317+1)/2)*E317,0))</x:f>
        <x:v>9337</x:v>
      </x:c>
      <x:c r="AP317" s="119" t="n">
        <x:f>IF(AN317=0,0,(AN317-IF(5=D317,1,0))*ROUND(AO317*VLOOKUP(INDEX('章节与怪物'!$E$31:$K$37,B317,5),'章节与怪物'!$A$41:$F$44,2,FALSE),0)+IF(5=D317,ROUND(AO317*'难度参数'!$E$28*'章节与怪物'!$E$17,0),0))</x:f>
        <x:v>248751</x:v>
      </x:c>
      <x:c r="AQ317" s="119" t="n">
        <x:f>IF(AN317=0,0,(AN317-IF(5=D317,1,0))*VLOOKUP(INDEX('章节与怪物'!$E$31:$K$37,B317,5),'章节与怪物'!$A$41:$F$44,4,FALSE)+IF(5=D317,'难度参数'!$E$30,0))</x:f>
        <x:v>740</x:v>
      </x:c>
      <x:c r="AR317" s="119" t="n">
        <x:f>IF(6&gt;D317,0,MAX(2,MIN('难度参数'!$E$12,ROUND(('难度参数'!$E$18*POWER(A317,'难度参数'!$E$19)/D317*(0.85+0.3*(6-1)/MAX(1,D317-1))),0)+F317)))</x:f>
        <x:v>39</x:v>
      </x:c>
      <x:c r="AS317" s="119" t="n">
        <x:f>IF(6&gt;D317,0,ROUND(('难度参数'!$E$13*POWER(A317,'难度参数'!$E$20)*MIN('难度参数'!$E$23,1+MAX(0,A317-'难度参数'!$E$21)*'难度参数'!$E$22))*(36+6*7)/(36+7*(D317+1)/2)*E317,0))</x:f>
        <x:v>10257</x:v>
      </x:c>
      <x:c r="AT317" s="119" t="n">
        <x:f>IF(AR317=0,0,(AR317-IF(6=D317,1,0))*ROUND(AS317*VLOOKUP(INDEX('章节与怪物'!$E$31:$K$37,B317,6),'章节与怪物'!$A$41:$F$44,2,FALSE),0)+IF(6=D317,ROUND(AS317*'难度参数'!$E$28*'章节与怪物'!$E$17,0),0))</x:f>
        <x:v>680043</x:v>
      </x:c>
      <x:c r="AU317" s="119" t="n">
        <x:f>IF(AR317=0,0,(AR317-IF(6=D317,1,0))*VLOOKUP(INDEX('章节与怪物'!$E$31:$K$37,B317,6),'章节与怪物'!$A$41:$F$44,4,FALSE)+IF(6=D317,'难度参数'!$E$30,0))</x:f>
        <x:v>1092</x:v>
      </x:c>
      <x:c r="AV317" s="119" t="n">
        <x:f>IF(7&gt;D317,0,MAX(2,MIN('难度参数'!$E$12,ROUND(('难度参数'!$E$18*POWER(A317,'难度参数'!$E$19)/D317*(0.85+0.3*(7-1)/MAX(1,D317-1))),0)+F317)))</x:f>
        <x:v>40</x:v>
      </x:c>
      <x:c r="AW317" s="119" t="n">
        <x:f>IF(7&gt;D317,0,ROUND(('难度参数'!$E$13*POWER(A317,'难度参数'!$E$20)*MIN('难度参数'!$E$23,1+MAX(0,A317-'难度参数'!$E$21)*'难度参数'!$E$22))*(36+7*7)/(36+7*(D317+1)/2)*E317,0))</x:f>
        <x:v>11178</x:v>
      </x:c>
      <x:c r="AX317" s="119" t="n">
        <x:f>IF(AV317=0,0,(AV317-IF(7=D317,1,0))*ROUND(AW317*VLOOKUP(INDEX('章节与怪物'!$E$31:$K$37,B317,7),'章节与怪物'!$A$41:$F$44,2,FALSE),0)+IF(7=D317,ROUND(AW317*'难度参数'!$E$28*'章节与怪物'!$E$17,0),0))</x:f>
        <x:v>664520</x:v>
      </x:c>
      <x:c r="AY317" s="119" t="n">
        <x:f>IF(AV317=0,0,(AV317-IF(7=D317,1,0))*VLOOKUP(INDEX('章节与怪物'!$E$31:$K$37,B317,7),'章节与怪物'!$A$41:$F$44,4,FALSE)+IF(7=D317,'难度参数'!$E$30,0))</x:f>
        <x:v>1526</x:v>
      </x:c>
    </x:row>
    <x:row r="318" ht="23" customHeight="1">
      <x:c r="A318" s="119" t="n">
        <x:v>312</x:v>
      </x:c>
      <x:c r="B318" s="119" t="n">
        <x:f>MOD(INT((A318-1)/5),7)+1</x:f>
        <x:v>7</x:v>
      </x:c>
      <x:c r="C318" s="62" t="str">
        <x:f>INDEX('章节与怪物'!$B$31:$B$37,B318)</x:f>
        <x:v>魔法山脊</x:v>
      </x:c>
      <x:c r="D318" s="119" t="n">
        <x:f>MIN('难度参数'!$E$8,MAX('难度参数'!$E$7,A318))</x:f>
        <x:v>7</x:v>
      </x:c>
      <x:c r="E318" s="106" t="n">
        <x:v>1</x:v>
      </x:c>
      <x:c r="F318" s="106" t="n">
        <x:v>0</x:v>
      </x:c>
      <x:c r="G318" s="106" t="n">
        <x:v>1</x:v>
      </x:c>
      <x:c r="H318" s="119" t="n">
        <x:f>SUM(X318,AB318,AF318,AJ318,AN318,AR318,AV318)</x:f>
        <x:v>246</x:v>
      </x:c>
      <x:c r="I318" s="119" t="n">
        <x:f>SUM(Z318,AD318,AH318,AL318,AP318,AT318,AX318)</x:f>
        <x:v>2738981</x:v>
      </x:c>
      <x:c r="J318" s="119" t="n">
        <x:f>ROUND(INDEX(X318:AY318,1,(D318-1)*4+2)*'难度参数'!$E$28*'章节与怪物'!$E$17,0)</x:f>
        <x:v>76187</x:v>
      </x:c>
      <x:c r="K318" s="119" t="n">
        <x:f>SUM(AA318,AE318,AI318,AM318,AQ318,AU318,AY318)</x:f>
        <x:v>6652</x:v>
      </x:c>
      <x:c r="L318" s="62" t="n">
        <x:f>H318*(ROUNDUP('难度参数'!$E$24/('难度参数'!$E$26*'难度参数'!$E$27),0)*'难度参数'!$E$26)/60</x:f>
        <x:v>3.2800000000000002</x:v>
      </x:c>
      <x:c r="M318" s="62" t="n">
        <x:f>L318+D318*('难度参数'!$E$49+'难度参数'!$E$50)/60</x:f>
        <x:v>4.446666666666667</x:v>
      </x:c>
      <x:c r="N318" s="119" t="n">
        <x:f>ROUNDDOWN(('经济参数'!$E$20+A318*'经济参数'!$E$21)*G318,0)</x:f>
        <x:v>6420</x:v>
      </x:c>
      <x:c r="O318" s="119" t="n">
        <x:f>ROUNDDOWN(MIN('经济参数'!$E$24,'经济参数'!$E$22+A318*'经济参数'!$E$23)*G318,0)</x:f>
        <x:v>0</x:v>
      </x:c>
      <x:c r="P318" s="119" t="n">
        <x:f>ROUNDDOWN((IF(A318&gt;='材料与任务'!$E$31,'材料与任务'!$E$32,IF(A318&gt;='材料与任务'!$E$25,'材料与任务'!$E$26,IF(A318&gt;='材料与任务'!$E$19,'材料与任务'!$E$20,IF(A318&gt;='材料与任务'!$E$13,'材料与任务'!$E$14,'材料与任务'!$E$8)))))*G318,0)</x:f>
        <x:v>6</x:v>
      </x:c>
      <x:c r="Q318" s="119" t="n">
        <x:f>ROUNDDOWN((IF(A318&gt;='材料与任务'!$E$31,'材料与任务'!$E$33,IF(A318&gt;='材料与任务'!$E$25,'材料与任务'!$E$27,IF(A318&gt;='材料与任务'!$E$19,'材料与任务'!$E$21,IF(A318&gt;='材料与任务'!$E$13,'材料与任务'!$E$15,'材料与任务'!$E$9)))))*G318,0)</x:f>
        <x:v>3</x:v>
      </x:c>
      <x:c r="R318" s="110" t="n">
        <x:f>'装备掉落'!$B$38</x:f>
        <x:v>0.6872058758851213</x:v>
      </x:c>
      <x:c r="S318" s="119" t="n">
        <x:f>MAX(IF(VLOOKUP(A318,'装备掉落'!$A$29:$H$34,2,TRUE)&gt;0,1,0),IF(VLOOKUP(A318,'装备掉落'!$A$29:$H$34,3,TRUE)&gt;0,2,0),IF(VLOOKUP(A318,'装备掉落'!$A$29:$H$34,4,TRUE)&gt;0,3,0),IF(VLOOKUP(A318,'装备掉落'!$A$29:$H$34,5,TRUE)&gt;0,4,0),IF(VLOOKUP(A318,'装备掉落'!$A$29:$H$34,6,TRUE)&gt;0,5,0),IF(VLOOKUP(A318,'装备掉落'!$A$29:$H$34,7,TRUE)&gt;0,6,0),IF(VLOOKUP(A318,'装备掉落'!$A$29:$H$34,8,TRUE)&gt;0,7,0))</x:f>
        <x:v>7</x:v>
      </x:c>
      <x:c r="T318" s="119" t="n">
        <x:f>MIN(7,S318+'经济参数'!$E$70)</x:f>
        <x:v>7</x:v>
      </x:c>
      <x:c r="U318" s="119" t="n">
        <x:f>MIN(7,S318+'经济参数'!$E$71)</x:f>
        <x:v>7</x:v>
      </x:c>
      <x:c r="V318" s="119" t="n">
        <x:f>IF(H318&gt;=('难度参数'!$E$52),1,0)+IF(H318&gt;=('难度参数'!$E$52+'难度参数'!$E$53),1,0)+IF(H318&gt;=('难度参数'!$E$52+'难度参数'!$E$53+'难度参数'!$E$54),1,0)+IF(H318&gt;=('难度参数'!$E$52+'难度参数'!$E$53+'难度参数'!$E$54+'难度参数'!$E$55),1,0)+IF(H318&gt;=('难度参数'!$E$52+'难度参数'!$E$53+'难度参数'!$E$54+'难度参数'!$E$55+'难度参数'!$E$56),1,0)+IF(H318&gt;=('难度参数'!$E$52+'难度参数'!$E$53+'难度参数'!$E$54+'难度参数'!$E$55+'难度参数'!$E$56+'难度参数'!$E$57),1,0)</x:f>
        <x:v>6</x:v>
      </x:c>
      <x:c r="W318" s="62" t="str">
        <x:f>IF(L318&gt;'难度参数'!$E$51,"仅出怪已超目标","还需实测")</x:f>
        <x:v>仅出怪已超目标</x:v>
      </x:c>
      <x:c r="X318" s="119" t="n">
        <x:f>IF(1&gt;D318,0,MAX(2,MIN('难度参数'!$E$12,ROUND(('难度参数'!$E$18*POWER(A318,'难度参数'!$E$19)/D318*(0.85+0.3*(1-1)/MAX(1,D318-1))),0)+F318)))</x:f>
        <x:v>30</x:v>
      </x:c>
      <x:c r="Y318" s="119" t="n">
        <x:f>IF(1&gt;D318,0,ROUND(('难度参数'!$E$13*POWER(A318,'难度参数'!$E$20)*MIN('难度参数'!$E$23,1+MAX(0,A318-'难度参数'!$E$21)*'难度参数'!$E$22))*(36+1*7)/(36+7*(D318+1)/2)*E318,0))</x:f>
        <x:v>5668</x:v>
      </x:c>
      <x:c r="Z318" s="119" t="n">
        <x:f>IF(X318=0,0,(X318-IF(1=D318,1,0))*ROUND(Y318*VLOOKUP(INDEX('章节与怪物'!$E$31:$K$37,B318,1),'章节与怪物'!$A$41:$F$44,2,FALSE),0)+IF(1=D318,ROUND(Y318*'难度参数'!$E$28*'章节与怪物'!$E$17,0),0))</x:f>
        <x:v>170040</x:v>
      </x:c>
      <x:c r="AA318" s="119" t="n">
        <x:f>IF(X318=0,0,(X318-IF(1=D318,1,0))*VLOOKUP(INDEX('章节与怪物'!$E$31:$K$37,B318,1),'章节与怪物'!$A$41:$F$44,4,FALSE)+IF(1=D318,'难度参数'!$E$30,0))</x:f>
        <x:v>540</x:v>
      </x:c>
      <x:c r="AB318" s="119" t="n">
        <x:f>IF(2&gt;D318,0,MAX(2,MIN('难度参数'!$E$12,ROUND(('难度参数'!$E$18*POWER(A318,'难度参数'!$E$19)/D318*(0.85+0.3*(2-1)/MAX(1,D318-1))),0)+F318)))</x:f>
        <x:v>32</x:v>
      </x:c>
      <x:c r="AC318" s="119" t="n">
        <x:f>IF(2&gt;D318,0,ROUND(('难度参数'!$E$13*POWER(A318,'难度参数'!$E$20)*MIN('难度参数'!$E$23,1+MAX(0,A318-'难度参数'!$E$21)*'难度参数'!$E$22))*(36+2*7)/(36+7*(D318+1)/2)*E318,0))</x:f>
        <x:v>6590</x:v>
      </x:c>
      <x:c r="AD318" s="119" t="n">
        <x:f>IF(AB318=0,0,(AB318-IF(2=D318,1,0))*ROUND(AC318*VLOOKUP(INDEX('章节与怪物'!$E$31:$K$37,B318,2),'章节与怪物'!$A$41:$F$44,2,FALSE),0)+IF(2=D318,ROUND(AC318*'难度参数'!$E$28*'章节与怪物'!$E$17,0),0))</x:f>
        <x:v>151840</x:v>
      </x:c>
      <x:c r="AE318" s="119" t="n">
        <x:f>IF(AB318=0,0,(AB318-IF(2=D318,1,0))*VLOOKUP(INDEX('章节与怪物'!$E$31:$K$37,B318,2),'章节与怪物'!$A$41:$F$44,4,FALSE)+IF(2=D318,'难度参数'!$E$30,0))</x:f>
        <x:v>640</x:v>
      </x:c>
      <x:c r="AF318" s="119" t="n">
        <x:f>IF(3&gt;D318,0,MAX(2,MIN('难度参数'!$E$12,ROUND(('难度参数'!$E$18*POWER(A318,'难度参数'!$E$19)/D318*(0.85+0.3*(3-1)/MAX(1,D318-1))),0)+F318)))</x:f>
        <x:v>33</x:v>
      </x:c>
      <x:c r="AG318" s="119" t="n">
        <x:f>IF(3&gt;D318,0,ROUND(('难度参数'!$E$13*POWER(A318,'难度参数'!$E$20)*MIN('难度参数'!$E$23,1+MAX(0,A318-'难度参数'!$E$21)*'难度参数'!$E$22))*(36+3*7)/(36+7*(D318+1)/2)*E318,0))</x:f>
        <x:v>7513</x:v>
      </x:c>
      <x:c r="AH318" s="119" t="n">
        <x:f>IF(AF318=0,0,(AF318-IF(3=D318,1,0))*ROUND(AG318*VLOOKUP(INDEX('章节与怪物'!$E$31:$K$37,B318,3),'章节与怪物'!$A$41:$F$44,2,FALSE),0)+IF(3=D318,ROUND(AG318*'难度参数'!$E$28*'章节与怪物'!$E$17,0),0))</x:f>
        <x:v>421476</x:v>
      </x:c>
      <x:c r="AI318" s="119" t="n">
        <x:f>IF(AF318=0,0,(AF318-IF(3=D318,1,0))*VLOOKUP(INDEX('章节与怪物'!$E$31:$K$37,B318,3),'章节与怪物'!$A$41:$F$44,4,FALSE)+IF(3=D318,'难度参数'!$E$30,0))</x:f>
        <x:v>924</x:v>
      </x:c>
      <x:c r="AJ318" s="119" t="n">
        <x:f>IF(4&gt;D318,0,MAX(2,MIN('难度参数'!$E$12,ROUND(('难度参数'!$E$18*POWER(A318,'难度参数'!$E$19)/D318*(0.85+0.3*(4-1)/MAX(1,D318-1))),0)+F318)))</x:f>
        <x:v>35</x:v>
      </x:c>
      <x:c r="AK318" s="119" t="n">
        <x:f>IF(4&gt;D318,0,ROUND(('难度参数'!$E$13*POWER(A318,'难度参数'!$E$20)*MIN('难度参数'!$E$23,1+MAX(0,A318-'难度参数'!$E$21)*'难度参数'!$E$22))*(36+4*7)/(36+7*(D318+1)/2)*E318,0))</x:f>
        <x:v>8436</x:v>
      </x:c>
      <x:c r="AL318" s="119" t="n">
        <x:f>IF(AJ318=0,0,(AJ318-IF(4=D318,1,0))*ROUND(AK318*VLOOKUP(INDEX('章节与怪物'!$E$31:$K$37,B318,4),'章节与怪物'!$A$41:$F$44,2,FALSE),0)+IF(4=D318,ROUND(AK318*'难度参数'!$E$28*'章节与怪物'!$E$17,0),0))</x:f>
        <x:v>398615</x:v>
      </x:c>
      <x:c r="AM318" s="119" t="n">
        <x:f>IF(AJ318=0,0,(AJ318-IF(4=D318,1,0))*VLOOKUP(INDEX('章节与怪物'!$E$31:$K$37,B318,4),'章节与怪物'!$A$41:$F$44,4,FALSE)+IF(4=D318,'难度参数'!$E$30,0))</x:f>
        <x:v>1190</x:v>
      </x:c>
      <x:c r="AN318" s="119" t="n">
        <x:f>IF(5&gt;D318,0,MAX(2,MIN('难度参数'!$E$12,ROUND(('难度参数'!$E$18*POWER(A318,'难度参数'!$E$19)/D318*(0.85+0.3*(5-1)/MAX(1,D318-1))),0)+F318)))</x:f>
        <x:v>37</x:v>
      </x:c>
      <x:c r="AO318" s="119" t="n">
        <x:f>IF(5&gt;D318,0,ROUND(('难度参数'!$E$13*POWER(A318,'难度参数'!$E$20)*MIN('难度参数'!$E$23,1+MAX(0,A318-'难度参数'!$E$21)*'难度参数'!$E$22))*(36+5*7)/(36+7*(D318+1)/2)*E318,0))</x:f>
        <x:v>9358</x:v>
      </x:c>
      <x:c r="AP318" s="119" t="n">
        <x:f>IF(AN318=0,0,(AN318-IF(5=D318,1,0))*ROUND(AO318*VLOOKUP(INDEX('章节与怪物'!$E$31:$K$37,B318,5),'章节与怪物'!$A$41:$F$44,2,FALSE),0)+IF(5=D318,ROUND(AO318*'难度参数'!$E$28*'章节与怪物'!$E$17,0),0))</x:f>
        <x:v>249306</x:v>
      </x:c>
      <x:c r="AQ318" s="119" t="n">
        <x:f>IF(AN318=0,0,(AN318-IF(5=D318,1,0))*VLOOKUP(INDEX('章节与怪物'!$E$31:$K$37,B318,5),'章节与怪物'!$A$41:$F$44,4,FALSE)+IF(5=D318,'难度参数'!$E$30,0))</x:f>
        <x:v>740</x:v>
      </x:c>
      <x:c r="AR318" s="119" t="n">
        <x:f>IF(6&gt;D318,0,MAX(2,MIN('难度参数'!$E$12,ROUND(('难度参数'!$E$18*POWER(A318,'难度参数'!$E$19)/D318*(0.85+0.3*(6-1)/MAX(1,D318-1))),0)+F318)))</x:f>
        <x:v>39</x:v>
      </x:c>
      <x:c r="AS318" s="119" t="n">
        <x:f>IF(6&gt;D318,0,ROUND(('难度参数'!$E$13*POWER(A318,'难度参数'!$E$20)*MIN('难度参数'!$E$23,1+MAX(0,A318-'难度参数'!$E$21)*'难度参数'!$E$22))*(36+6*7)/(36+7*(D318+1)/2)*E318,0))</x:f>
        <x:v>10281</x:v>
      </x:c>
      <x:c r="AT318" s="119" t="n">
        <x:f>IF(AR318=0,0,(AR318-IF(6=D318,1,0))*ROUND(AS318*VLOOKUP(INDEX('章节与怪物'!$E$31:$K$37,B318,6),'章节与怪物'!$A$41:$F$44,2,FALSE),0)+IF(6=D318,ROUND(AS318*'难度参数'!$E$28*'章节与怪物'!$E$17,0),0))</x:f>
        <x:v>681642</x:v>
      </x:c>
      <x:c r="AU318" s="119" t="n">
        <x:f>IF(AR318=0,0,(AR318-IF(6=D318,1,0))*VLOOKUP(INDEX('章节与怪物'!$E$31:$K$37,B318,6),'章节与怪物'!$A$41:$F$44,4,FALSE)+IF(6=D318,'难度参数'!$E$30,0))</x:f>
        <x:v>1092</x:v>
      </x:c>
      <x:c r="AV318" s="119" t="n">
        <x:f>IF(7&gt;D318,0,MAX(2,MIN('难度参数'!$E$12,ROUND(('难度参数'!$E$18*POWER(A318,'难度参数'!$E$19)/D318*(0.85+0.3*(7-1)/MAX(1,D318-1))),0)+F318)))</x:f>
        <x:v>40</x:v>
      </x:c>
      <x:c r="AW318" s="119" t="n">
        <x:f>IF(7&gt;D318,0,ROUND(('难度参数'!$E$13*POWER(A318,'难度参数'!$E$20)*MIN('难度参数'!$E$23,1+MAX(0,A318-'难度参数'!$E$21)*'难度参数'!$E$22))*(36+7*7)/(36+7*(D318+1)/2)*E318,0))</x:f>
        <x:v>11204</x:v>
      </x:c>
      <x:c r="AX318" s="119" t="n">
        <x:f>IF(AV318=0,0,(AV318-IF(7=D318,1,0))*ROUND(AW318*VLOOKUP(INDEX('章节与怪物'!$E$31:$K$37,B318,7),'章节与怪物'!$A$41:$F$44,2,FALSE),0)+IF(7=D318,ROUND(AW318*'难度参数'!$E$28*'章节与怪物'!$E$17,0),0))</x:f>
        <x:v>666062</x:v>
      </x:c>
      <x:c r="AY318" s="119" t="n">
        <x:f>IF(AV318=0,0,(AV318-IF(7=D318,1,0))*VLOOKUP(INDEX('章节与怪物'!$E$31:$K$37,B318,7),'章节与怪物'!$A$41:$F$44,4,FALSE)+IF(7=D318,'难度参数'!$E$30,0))</x:f>
        <x:v>1526</x:v>
      </x:c>
    </x:row>
    <x:row r="319" ht="23" customHeight="1">
      <x:c r="A319" s="119" t="n">
        <x:v>313</x:v>
      </x:c>
      <x:c r="B319" s="119" t="n">
        <x:f>MOD(INT((A319-1)/5),7)+1</x:f>
        <x:v>7</x:v>
      </x:c>
      <x:c r="C319" s="62" t="str">
        <x:f>INDEX('章节与怪物'!$B$31:$B$37,B319)</x:f>
        <x:v>魔法山脊</x:v>
      </x:c>
      <x:c r="D319" s="119" t="n">
        <x:f>MIN('难度参数'!$E$8,MAX('难度参数'!$E$7,A319))</x:f>
        <x:v>7</x:v>
      </x:c>
      <x:c r="E319" s="106" t="n">
        <x:v>1</x:v>
      </x:c>
      <x:c r="F319" s="106" t="n">
        <x:v>0</x:v>
      </x:c>
      <x:c r="G319" s="106" t="n">
        <x:v>1</x:v>
      </x:c>
      <x:c r="H319" s="119" t="n">
        <x:f>SUM(X319,AB319,AF319,AJ319,AN319,AR319,AV319)</x:f>
        <x:v>247</x:v>
      </x:c>
      <x:c r="I319" s="119" t="n">
        <x:f>SUM(Z319,AD319,AH319,AL319,AP319,AT319,AX319)</x:f>
        <x:v>2760488</x:v>
      </x:c>
      <x:c r="J319" s="119" t="n">
        <x:f>ROUND(INDEX(X319:AY319,1,(D319-1)*4+2)*'难度参数'!$E$28*'章节与怪物'!$E$17,0)</x:f>
        <x:v>76364</x:v>
      </x:c>
      <x:c r="K319" s="119" t="n">
        <x:f>SUM(AA319,AE319,AI319,AM319,AQ319,AU319,AY319)</x:f>
        <x:v>6686</x:v>
      </x:c>
      <x:c r="L319" s="62" t="n">
        <x:f>H319*(ROUNDUP('难度参数'!$E$24/('难度参数'!$E$26*'难度参数'!$E$27),0)*'难度参数'!$E$26)/60</x:f>
        <x:v>3.293333333333334</x:v>
      </x:c>
      <x:c r="M319" s="62" t="n">
        <x:f>L319+D319*('难度参数'!$E$49+'难度参数'!$E$50)/60</x:f>
        <x:v>4.460000000000001</x:v>
      </x:c>
      <x:c r="N319" s="119" t="n">
        <x:f>ROUNDDOWN(('经济参数'!$E$20+A319*'经济参数'!$E$21)*G319,0)</x:f>
        <x:v>6440</x:v>
      </x:c>
      <x:c r="O319" s="119" t="n">
        <x:f>ROUNDDOWN(MIN('经济参数'!$E$24,'经济参数'!$E$22+A319*'经济参数'!$E$23)*G319,0)</x:f>
        <x:v>0</x:v>
      </x:c>
      <x:c r="P319" s="119" t="n">
        <x:f>ROUNDDOWN((IF(A319&gt;='材料与任务'!$E$31,'材料与任务'!$E$32,IF(A319&gt;='材料与任务'!$E$25,'材料与任务'!$E$26,IF(A319&gt;='材料与任务'!$E$19,'材料与任务'!$E$20,IF(A319&gt;='材料与任务'!$E$13,'材料与任务'!$E$14,'材料与任务'!$E$8)))))*G319,0)</x:f>
        <x:v>6</x:v>
      </x:c>
      <x:c r="Q319" s="119" t="n">
        <x:f>ROUNDDOWN((IF(A319&gt;='材料与任务'!$E$31,'材料与任务'!$E$33,IF(A319&gt;='材料与任务'!$E$25,'材料与任务'!$E$27,IF(A319&gt;='材料与任务'!$E$19,'材料与任务'!$E$21,IF(A319&gt;='材料与任务'!$E$13,'材料与任务'!$E$15,'材料与任务'!$E$9)))))*G319,0)</x:f>
        <x:v>3</x:v>
      </x:c>
      <x:c r="R319" s="110" t="n">
        <x:f>'装备掉落'!$B$38</x:f>
        <x:v>0.6872058758851213</x:v>
      </x:c>
      <x:c r="S319" s="119" t="n">
        <x:f>MAX(IF(VLOOKUP(A319,'装备掉落'!$A$29:$H$34,2,TRUE)&gt;0,1,0),IF(VLOOKUP(A319,'装备掉落'!$A$29:$H$34,3,TRUE)&gt;0,2,0),IF(VLOOKUP(A319,'装备掉落'!$A$29:$H$34,4,TRUE)&gt;0,3,0),IF(VLOOKUP(A319,'装备掉落'!$A$29:$H$34,5,TRUE)&gt;0,4,0),IF(VLOOKUP(A319,'装备掉落'!$A$29:$H$34,6,TRUE)&gt;0,5,0),IF(VLOOKUP(A319,'装备掉落'!$A$29:$H$34,7,TRUE)&gt;0,6,0),IF(VLOOKUP(A319,'装备掉落'!$A$29:$H$34,8,TRUE)&gt;0,7,0))</x:f>
        <x:v>7</x:v>
      </x:c>
      <x:c r="T319" s="119" t="n">
        <x:f>MIN(7,S319+'经济参数'!$E$70)</x:f>
        <x:v>7</x:v>
      </x:c>
      <x:c r="U319" s="119" t="n">
        <x:f>MIN(7,S319+'经济参数'!$E$71)</x:f>
        <x:v>7</x:v>
      </x:c>
      <x:c r="V319" s="119" t="n">
        <x:f>IF(H319&gt;=('难度参数'!$E$52),1,0)+IF(H319&gt;=('难度参数'!$E$52+'难度参数'!$E$53),1,0)+IF(H319&gt;=('难度参数'!$E$52+'难度参数'!$E$53+'难度参数'!$E$54),1,0)+IF(H319&gt;=('难度参数'!$E$52+'难度参数'!$E$53+'难度参数'!$E$54+'难度参数'!$E$55),1,0)+IF(H319&gt;=('难度参数'!$E$52+'难度参数'!$E$53+'难度参数'!$E$54+'难度参数'!$E$55+'难度参数'!$E$56),1,0)+IF(H319&gt;=('难度参数'!$E$52+'难度参数'!$E$53+'难度参数'!$E$54+'难度参数'!$E$55+'难度参数'!$E$56+'难度参数'!$E$57),1,0)</x:f>
        <x:v>6</x:v>
      </x:c>
      <x:c r="W319" s="62" t="str">
        <x:f>IF(L319&gt;'难度参数'!$E$51,"仅出怪已超目标","还需实测")</x:f>
        <x:v>仅出怪已超目标</x:v>
      </x:c>
      <x:c r="X319" s="119" t="n">
        <x:f>IF(1&gt;D319,0,MAX(2,MIN('难度参数'!$E$12,ROUND(('难度参数'!$E$18*POWER(A319,'难度参数'!$E$19)/D319*(0.85+0.3*(1-1)/MAX(1,D319-1))),0)+F319)))</x:f>
        <x:v>30</x:v>
      </x:c>
      <x:c r="Y319" s="119" t="n">
        <x:f>IF(1&gt;D319,0,ROUND(('难度参数'!$E$13*POWER(A319,'难度参数'!$E$20)*MIN('难度参数'!$E$23,1+MAX(0,A319-'难度参数'!$E$21)*'难度参数'!$E$22))*(36+1*7)/(36+7*(D319+1)/2)*E319,0))</x:f>
        <x:v>5681</x:v>
      </x:c>
      <x:c r="Z319" s="119" t="n">
        <x:f>IF(X319=0,0,(X319-IF(1=D319,1,0))*ROUND(Y319*VLOOKUP(INDEX('章节与怪物'!$E$31:$K$37,B319,1),'章节与怪物'!$A$41:$F$44,2,FALSE),0)+IF(1=D319,ROUND(Y319*'难度参数'!$E$28*'章节与怪物'!$E$17,0),0))</x:f>
        <x:v>170430</x:v>
      </x:c>
      <x:c r="AA319" s="119" t="n">
        <x:f>IF(X319=0,0,(X319-IF(1=D319,1,0))*VLOOKUP(INDEX('章节与怪物'!$E$31:$K$37,B319,1),'章节与怪物'!$A$41:$F$44,4,FALSE)+IF(1=D319,'难度参数'!$E$30,0))</x:f>
        <x:v>540</x:v>
      </x:c>
      <x:c r="AB319" s="119" t="n">
        <x:f>IF(2&gt;D319,0,MAX(2,MIN('难度参数'!$E$12,ROUND(('难度参数'!$E$18*POWER(A319,'难度参数'!$E$19)/D319*(0.85+0.3*(2-1)/MAX(1,D319-1))),0)+F319)))</x:f>
        <x:v>32</x:v>
      </x:c>
      <x:c r="AC319" s="119" t="n">
        <x:f>IF(2&gt;D319,0,ROUND(('难度参数'!$E$13*POWER(A319,'难度参数'!$E$20)*MIN('难度参数'!$E$23,1+MAX(0,A319-'难度参数'!$E$21)*'难度参数'!$E$22))*(36+2*7)/(36+7*(D319+1)/2)*E319,0))</x:f>
        <x:v>6606</x:v>
      </x:c>
      <x:c r="AD319" s="119" t="n">
        <x:f>IF(AB319=0,0,(AB319-IF(2=D319,1,0))*ROUND(AC319*VLOOKUP(INDEX('章节与怪物'!$E$31:$K$37,B319,2),'章节与怪物'!$A$41:$F$44,2,FALSE),0)+IF(2=D319,ROUND(AC319*'难度参数'!$E$28*'章节与怪物'!$E$17,0),0))</x:f>
        <x:v>152192</x:v>
      </x:c>
      <x:c r="AE319" s="119" t="n">
        <x:f>IF(AB319=0,0,(AB319-IF(2=D319,1,0))*VLOOKUP(INDEX('章节与怪物'!$E$31:$K$37,B319,2),'章节与怪物'!$A$41:$F$44,4,FALSE)+IF(2=D319,'难度参数'!$E$30,0))</x:f>
        <x:v>640</x:v>
      </x:c>
      <x:c r="AF319" s="119" t="n">
        <x:f>IF(3&gt;D319,0,MAX(2,MIN('难度参数'!$E$12,ROUND(('难度参数'!$E$18*POWER(A319,'难度参数'!$E$19)/D319*(0.85+0.3*(3-1)/MAX(1,D319-1))),0)+F319)))</x:f>
        <x:v>33</x:v>
      </x:c>
      <x:c r="AG319" s="119" t="n">
        <x:f>IF(3&gt;D319,0,ROUND(('难度参数'!$E$13*POWER(A319,'难度参数'!$E$20)*MIN('难度参数'!$E$23,1+MAX(0,A319-'难度参数'!$E$21)*'难度参数'!$E$22))*(36+3*7)/(36+7*(D319+1)/2)*E319,0))</x:f>
        <x:v>7530</x:v>
      </x:c>
      <x:c r="AH319" s="119" t="n">
        <x:f>IF(AF319=0,0,(AF319-IF(3=D319,1,0))*ROUND(AG319*VLOOKUP(INDEX('章节与怪物'!$E$31:$K$37,B319,3),'章节与怪物'!$A$41:$F$44,2,FALSE),0)+IF(3=D319,ROUND(AG319*'难度参数'!$E$28*'章节与怪物'!$E$17,0),0))</x:f>
        <x:v>422433</x:v>
      </x:c>
      <x:c r="AI319" s="119" t="n">
        <x:f>IF(AF319=0,0,(AF319-IF(3=D319,1,0))*VLOOKUP(INDEX('章节与怪物'!$E$31:$K$37,B319,3),'章节与怪物'!$A$41:$F$44,4,FALSE)+IF(3=D319,'难度参数'!$E$30,0))</x:f>
        <x:v>924</x:v>
      </x:c>
      <x:c r="AJ319" s="119" t="n">
        <x:f>IF(4&gt;D319,0,MAX(2,MIN('难度参数'!$E$12,ROUND(('难度参数'!$E$18*POWER(A319,'难度参数'!$E$19)/D319*(0.85+0.3*(4-1)/MAX(1,D319-1))),0)+F319)))</x:f>
        <x:v>35</x:v>
      </x:c>
      <x:c r="AK319" s="119" t="n">
        <x:f>IF(4&gt;D319,0,ROUND(('难度参数'!$E$13*POWER(A319,'难度参数'!$E$20)*MIN('难度参数'!$E$23,1+MAX(0,A319-'难度参数'!$E$21)*'难度参数'!$E$22))*(36+4*7)/(36+7*(D319+1)/2)*E319,0))</x:f>
        <x:v>8455</x:v>
      </x:c>
      <x:c r="AL319" s="119" t="n">
        <x:f>IF(AJ319=0,0,(AJ319-IF(4=D319,1,0))*ROUND(AK319*VLOOKUP(INDEX('章节与怪物'!$E$31:$K$37,B319,4),'章节与怪物'!$A$41:$F$44,2,FALSE),0)+IF(4=D319,ROUND(AK319*'难度参数'!$E$28*'章节与怪物'!$E$17,0),0))</x:f>
        <x:v>399490</x:v>
      </x:c>
      <x:c r="AM319" s="119" t="n">
        <x:f>IF(AJ319=0,0,(AJ319-IF(4=D319,1,0))*VLOOKUP(INDEX('章节与怪物'!$E$31:$K$37,B319,4),'章节与怪物'!$A$41:$F$44,4,FALSE)+IF(4=D319,'难度参数'!$E$30,0))</x:f>
        <x:v>1190</x:v>
      </x:c>
      <x:c r="AN319" s="119" t="n">
        <x:f>IF(5&gt;D319,0,MAX(2,MIN('难度参数'!$E$12,ROUND(('难度参数'!$E$18*POWER(A319,'难度参数'!$E$19)/D319*(0.85+0.3*(5-1)/MAX(1,D319-1))),0)+F319)))</x:f>
        <x:v>37</x:v>
      </x:c>
      <x:c r="AO319" s="119" t="n">
        <x:f>IF(5&gt;D319,0,ROUND(('难度参数'!$E$13*POWER(A319,'难度参数'!$E$20)*MIN('难度参数'!$E$23,1+MAX(0,A319-'难度参数'!$E$21)*'难度参数'!$E$22))*(36+5*7)/(36+7*(D319+1)/2)*E319,0))</x:f>
        <x:v>9380</x:v>
      </x:c>
      <x:c r="AP319" s="119" t="n">
        <x:f>IF(AN319=0,0,(AN319-IF(5=D319,1,0))*ROUND(AO319*VLOOKUP(INDEX('章节与怪物'!$E$31:$K$37,B319,5),'章节与怪物'!$A$41:$F$44,2,FALSE),0)+IF(5=D319,ROUND(AO319*'难度参数'!$E$28*'章节与怪物'!$E$17,0),0))</x:f>
        <x:v>249898</x:v>
      </x:c>
      <x:c r="AQ319" s="119" t="n">
        <x:f>IF(AN319=0,0,(AN319-IF(5=D319,1,0))*VLOOKUP(INDEX('章节与怪物'!$E$31:$K$37,B319,5),'章节与怪物'!$A$41:$F$44,4,FALSE)+IF(5=D319,'难度参数'!$E$30,0))</x:f>
        <x:v>740</x:v>
      </x:c>
      <x:c r="AR319" s="119" t="n">
        <x:f>IF(6&gt;D319,0,MAX(2,MIN('难度参数'!$E$12,ROUND(('难度参数'!$E$18*POWER(A319,'难度参数'!$E$19)/D319*(0.85+0.3*(6-1)/MAX(1,D319-1))),0)+F319)))</x:f>
        <x:v>39</x:v>
      </x:c>
      <x:c r="AS319" s="119" t="n">
        <x:f>IF(6&gt;D319,0,ROUND(('难度参数'!$E$13*POWER(A319,'难度参数'!$E$20)*MIN('难度参数'!$E$23,1+MAX(0,A319-'难度参数'!$E$21)*'难度参数'!$E$22))*(36+6*7)/(36+7*(D319+1)/2)*E319,0))</x:f>
        <x:v>10305</x:v>
      </x:c>
      <x:c r="AT319" s="119" t="n">
        <x:f>IF(AR319=0,0,(AR319-IF(6=D319,1,0))*ROUND(AS319*VLOOKUP(INDEX('章节与怪物'!$E$31:$K$37,B319,6),'章节与怪物'!$A$41:$F$44,2,FALSE),0)+IF(6=D319,ROUND(AS319*'难度参数'!$E$28*'章节与怪物'!$E$17,0),0))</x:f>
        <x:v>683241</x:v>
      </x:c>
      <x:c r="AU319" s="119" t="n">
        <x:f>IF(AR319=0,0,(AR319-IF(6=D319,1,0))*VLOOKUP(INDEX('章节与怪物'!$E$31:$K$37,B319,6),'章节与怪物'!$A$41:$F$44,4,FALSE)+IF(6=D319,'难度参数'!$E$30,0))</x:f>
        <x:v>1092</x:v>
      </x:c>
      <x:c r="AV319" s="119" t="n">
        <x:f>IF(7&gt;D319,0,MAX(2,MIN('难度参数'!$E$12,ROUND(('难度参数'!$E$18*POWER(A319,'难度参数'!$E$19)/D319*(0.85+0.3*(7-1)/MAX(1,D319-1))),0)+F319)))</x:f>
        <x:v>41</x:v>
      </x:c>
      <x:c r="AW319" s="119" t="n">
        <x:f>IF(7&gt;D319,0,ROUND(('难度参数'!$E$13*POWER(A319,'难度参数'!$E$20)*MIN('难度参数'!$E$23,1+MAX(0,A319-'难度参数'!$E$21)*'难度参数'!$E$22))*(36+7*7)/(36+7*(D319+1)/2)*E319,0))</x:f>
        <x:v>11230</x:v>
      </x:c>
      <x:c r="AX319" s="119" t="n">
        <x:f>IF(AV319=0,0,(AV319-IF(7=D319,1,0))*ROUND(AW319*VLOOKUP(INDEX('章节与怪物'!$E$31:$K$37,B319,7),'章节与怪物'!$A$41:$F$44,2,FALSE),0)+IF(7=D319,ROUND(AW319*'难度参数'!$E$28*'章节与怪物'!$E$17,0),0))</x:f>
        <x:v>682804</x:v>
      </x:c>
      <x:c r="AY319" s="119" t="n">
        <x:f>IF(AV319=0,0,(AV319-IF(7=D319,1,0))*VLOOKUP(INDEX('章节与怪物'!$E$31:$K$37,B319,7),'章节与怪物'!$A$41:$F$44,4,FALSE)+IF(7=D319,'难度参数'!$E$30,0))</x:f>
        <x:v>1560</x:v>
      </x:c>
    </x:row>
    <x:row r="320" ht="23" customHeight="1">
      <x:c r="A320" s="119" t="n">
        <x:v>314</x:v>
      </x:c>
      <x:c r="B320" s="119" t="n">
        <x:f>MOD(INT((A320-1)/5),7)+1</x:f>
        <x:v>7</x:v>
      </x:c>
      <x:c r="C320" s="62" t="str">
        <x:f>INDEX('章节与怪物'!$B$31:$B$37,B320)</x:f>
        <x:v>魔法山脊</x:v>
      </x:c>
      <x:c r="D320" s="119" t="n">
        <x:f>MIN('难度参数'!$E$8,MAX('难度参数'!$E$7,A320))</x:f>
        <x:v>7</x:v>
      </x:c>
      <x:c r="E320" s="106" t="n">
        <x:v>1</x:v>
      </x:c>
      <x:c r="F320" s="106" t="n">
        <x:v>0</x:v>
      </x:c>
      <x:c r="G320" s="106" t="n">
        <x:v>1</x:v>
      </x:c>
      <x:c r="H320" s="119" t="n">
        <x:f>SUM(X320,AB320,AF320,AJ320,AN320,AR320,AV320)</x:f>
        <x:v>248</x:v>
      </x:c>
      <x:c r="I320" s="119" t="n">
        <x:f>SUM(Z320,AD320,AH320,AL320,AP320,AT320,AX320)</x:f>
        <x:v>2779635</x:v>
      </x:c>
      <x:c r="J320" s="119" t="n">
        <x:f>ROUND(INDEX(X320:AY320,1,(D320-1)*4+2)*'难度参数'!$E$28*'章节与怪物'!$E$17,0)</x:f>
        <x:v>76534</x:v>
      </x:c>
      <x:c r="K320" s="119" t="n">
        <x:f>SUM(AA320,AE320,AI320,AM320,AQ320,AU320,AY320)</x:f>
        <x:v>6714</x:v>
      </x:c>
      <x:c r="L320" s="62" t="n">
        <x:f>H320*(ROUNDUP('难度参数'!$E$24/('难度参数'!$E$26*'难度参数'!$E$27),0)*'难度参数'!$E$26)/60</x:f>
        <x:v>3.3066666666666666</x:v>
      </x:c>
      <x:c r="M320" s="62" t="n">
        <x:f>L320+D320*('难度参数'!$E$49+'难度参数'!$E$50)/60</x:f>
        <x:v>4.473333333333334</x:v>
      </x:c>
      <x:c r="N320" s="119" t="n">
        <x:f>ROUNDDOWN(('经济参数'!$E$20+A320*'经济参数'!$E$21)*G320,0)</x:f>
        <x:v>6460</x:v>
      </x:c>
      <x:c r="O320" s="119" t="n">
        <x:f>ROUNDDOWN(MIN('经济参数'!$E$24,'经济参数'!$E$22+A320*'经济参数'!$E$23)*G320,0)</x:f>
        <x:v>0</x:v>
      </x:c>
      <x:c r="P320" s="119" t="n">
        <x:f>ROUNDDOWN((IF(A320&gt;='材料与任务'!$E$31,'材料与任务'!$E$32,IF(A320&gt;='材料与任务'!$E$25,'材料与任务'!$E$26,IF(A320&gt;='材料与任务'!$E$19,'材料与任务'!$E$20,IF(A320&gt;='材料与任务'!$E$13,'材料与任务'!$E$14,'材料与任务'!$E$8)))))*G320,0)</x:f>
        <x:v>6</x:v>
      </x:c>
      <x:c r="Q320" s="119" t="n">
        <x:f>ROUNDDOWN((IF(A320&gt;='材料与任务'!$E$31,'材料与任务'!$E$33,IF(A320&gt;='材料与任务'!$E$25,'材料与任务'!$E$27,IF(A320&gt;='材料与任务'!$E$19,'材料与任务'!$E$21,IF(A320&gt;='材料与任务'!$E$13,'材料与任务'!$E$15,'材料与任务'!$E$9)))))*G320,0)</x:f>
        <x:v>3</x:v>
      </x:c>
      <x:c r="R320" s="110" t="n">
        <x:f>'装备掉落'!$B$38</x:f>
        <x:v>0.6872058758851213</x:v>
      </x:c>
      <x:c r="S320" s="119" t="n">
        <x:f>MAX(IF(VLOOKUP(A320,'装备掉落'!$A$29:$H$34,2,TRUE)&gt;0,1,0),IF(VLOOKUP(A320,'装备掉落'!$A$29:$H$34,3,TRUE)&gt;0,2,0),IF(VLOOKUP(A320,'装备掉落'!$A$29:$H$34,4,TRUE)&gt;0,3,0),IF(VLOOKUP(A320,'装备掉落'!$A$29:$H$34,5,TRUE)&gt;0,4,0),IF(VLOOKUP(A320,'装备掉落'!$A$29:$H$34,6,TRUE)&gt;0,5,0),IF(VLOOKUP(A320,'装备掉落'!$A$29:$H$34,7,TRUE)&gt;0,6,0),IF(VLOOKUP(A320,'装备掉落'!$A$29:$H$34,8,TRUE)&gt;0,7,0))</x:f>
        <x:v>7</x:v>
      </x:c>
      <x:c r="T320" s="119" t="n">
        <x:f>MIN(7,S320+'经济参数'!$E$70)</x:f>
        <x:v>7</x:v>
      </x:c>
      <x:c r="U320" s="119" t="n">
        <x:f>MIN(7,S320+'经济参数'!$E$71)</x:f>
        <x:v>7</x:v>
      </x:c>
      <x:c r="V320" s="119" t="n">
        <x:f>IF(H320&gt;=('难度参数'!$E$52),1,0)+IF(H320&gt;=('难度参数'!$E$52+'难度参数'!$E$53),1,0)+IF(H320&gt;=('难度参数'!$E$52+'难度参数'!$E$53+'难度参数'!$E$54),1,0)+IF(H320&gt;=('难度参数'!$E$52+'难度参数'!$E$53+'难度参数'!$E$54+'难度参数'!$E$55),1,0)+IF(H320&gt;=('难度参数'!$E$52+'难度参数'!$E$53+'难度参数'!$E$54+'难度参数'!$E$55+'难度参数'!$E$56),1,0)+IF(H320&gt;=('难度参数'!$E$52+'难度参数'!$E$53+'难度参数'!$E$54+'难度参数'!$E$55+'难度参数'!$E$56+'难度参数'!$E$57),1,0)</x:f>
        <x:v>6</x:v>
      </x:c>
      <x:c r="W320" s="62" t="str">
        <x:f>IF(L320&gt;'难度参数'!$E$51,"仅出怪已超目标","还需实测")</x:f>
        <x:v>仅出怪已超目标</x:v>
      </x:c>
      <x:c r="X320" s="119" t="n">
        <x:f>IF(1&gt;D320,0,MAX(2,MIN('难度参数'!$E$12,ROUND(('难度参数'!$E$18*POWER(A320,'难度参数'!$E$19)/D320*(0.85+0.3*(1-1)/MAX(1,D320-1))),0)+F320)))</x:f>
        <x:v>30</x:v>
      </x:c>
      <x:c r="Y320" s="119" t="n">
        <x:f>IF(1&gt;D320,0,ROUND(('难度参数'!$E$13*POWER(A320,'难度参数'!$E$20)*MIN('难度参数'!$E$23,1+MAX(0,A320-'难度参数'!$E$21)*'难度参数'!$E$22))*(36+1*7)/(36+7*(D320+1)/2)*E320,0))</x:f>
        <x:v>5694</x:v>
      </x:c>
      <x:c r="Z320" s="119" t="n">
        <x:f>IF(X320=0,0,(X320-IF(1=D320,1,0))*ROUND(Y320*VLOOKUP(INDEX('章节与怪物'!$E$31:$K$37,B320,1),'章节与怪物'!$A$41:$F$44,2,FALSE),0)+IF(1=D320,ROUND(Y320*'难度参数'!$E$28*'章节与怪物'!$E$17,0),0))</x:f>
        <x:v>170820</x:v>
      </x:c>
      <x:c r="AA320" s="119" t="n">
        <x:f>IF(X320=0,0,(X320-IF(1=D320,1,0))*VLOOKUP(INDEX('章节与怪物'!$E$31:$K$37,B320,1),'章节与怪物'!$A$41:$F$44,4,FALSE)+IF(1=D320,'难度参数'!$E$30,0))</x:f>
        <x:v>540</x:v>
      </x:c>
      <x:c r="AB320" s="119" t="n">
        <x:f>IF(2&gt;D320,0,MAX(2,MIN('难度参数'!$E$12,ROUND(('难度参数'!$E$18*POWER(A320,'难度参数'!$E$19)/D320*(0.85+0.3*(2-1)/MAX(1,D320-1))),0)+F320)))</x:f>
        <x:v>32</x:v>
      </x:c>
      <x:c r="AC320" s="119" t="n">
        <x:f>IF(2&gt;D320,0,ROUND(('难度参数'!$E$13*POWER(A320,'难度参数'!$E$20)*MIN('难度参数'!$E$23,1+MAX(0,A320-'难度参数'!$E$21)*'难度参数'!$E$22))*(36+2*7)/(36+7*(D320+1)/2)*E320,0))</x:f>
        <x:v>6621</x:v>
      </x:c>
      <x:c r="AD320" s="119" t="n">
        <x:f>IF(AB320=0,0,(AB320-IF(2=D320,1,0))*ROUND(AC320*VLOOKUP(INDEX('章节与怪物'!$E$31:$K$37,B320,2),'章节与怪物'!$A$41:$F$44,2,FALSE),0)+IF(2=D320,ROUND(AC320*'难度参数'!$E$28*'章节与怪物'!$E$17,0),0))</x:f>
        <x:v>152544</x:v>
      </x:c>
      <x:c r="AE320" s="119" t="n">
        <x:f>IF(AB320=0,0,(AB320-IF(2=D320,1,0))*VLOOKUP(INDEX('章节与怪物'!$E$31:$K$37,B320,2),'章节与怪物'!$A$41:$F$44,4,FALSE)+IF(2=D320,'难度参数'!$E$30,0))</x:f>
        <x:v>640</x:v>
      </x:c>
      <x:c r="AF320" s="119" t="n">
        <x:f>IF(3&gt;D320,0,MAX(2,MIN('难度参数'!$E$12,ROUND(('难度参数'!$E$18*POWER(A320,'难度参数'!$E$19)/D320*(0.85+0.3*(3-1)/MAX(1,D320-1))),0)+F320)))</x:f>
        <x:v>34</x:v>
      </x:c>
      <x:c r="AG320" s="119" t="n">
        <x:f>IF(3&gt;D320,0,ROUND(('难度参数'!$E$13*POWER(A320,'难度参数'!$E$20)*MIN('难度参数'!$E$23,1+MAX(0,A320-'难度参数'!$E$21)*'难度参数'!$E$22))*(36+3*7)/(36+7*(D320+1)/2)*E320,0))</x:f>
        <x:v>7548</x:v>
      </x:c>
      <x:c r="AH320" s="119" t="n">
        <x:f>IF(AF320=0,0,(AF320-IF(3=D320,1,0))*ROUND(AG320*VLOOKUP(INDEX('章节与怪物'!$E$31:$K$37,B320,3),'章节与怪物'!$A$41:$F$44,2,FALSE),0)+IF(3=D320,ROUND(AG320*'难度参数'!$E$28*'章节与怪物'!$E$17,0),0))</x:f>
        <x:v>436288</x:v>
      </x:c>
      <x:c r="AI320" s="119" t="n">
        <x:f>IF(AF320=0,0,(AF320-IF(3=D320,1,0))*VLOOKUP(INDEX('章节与怪物'!$E$31:$K$37,B320,3),'章节与怪物'!$A$41:$F$44,4,FALSE)+IF(3=D320,'难度参数'!$E$30,0))</x:f>
        <x:v>952</x:v>
      </x:c>
      <x:c r="AJ320" s="119" t="n">
        <x:f>IF(4&gt;D320,0,MAX(2,MIN('难度参数'!$E$12,ROUND(('难度参数'!$E$18*POWER(A320,'难度参数'!$E$19)/D320*(0.85+0.3*(4-1)/MAX(1,D320-1))),0)+F320)))</x:f>
        <x:v>35</x:v>
      </x:c>
      <x:c r="AK320" s="119" t="n">
        <x:f>IF(4&gt;D320,0,ROUND(('难度参数'!$E$13*POWER(A320,'难度参数'!$E$20)*MIN('难度参数'!$E$23,1+MAX(0,A320-'难度参数'!$E$21)*'难度参数'!$E$22))*(36+4*7)/(36+7*(D320+1)/2)*E320,0))</x:f>
        <x:v>8475</x:v>
      </x:c>
      <x:c r="AL320" s="119" t="n">
        <x:f>IF(AJ320=0,0,(AJ320-IF(4=D320,1,0))*ROUND(AK320*VLOOKUP(INDEX('章节与怪物'!$E$31:$K$37,B320,4),'章节与怪物'!$A$41:$F$44,2,FALSE),0)+IF(4=D320,ROUND(AK320*'难度参数'!$E$28*'章节与怪物'!$E$17,0),0))</x:f>
        <x:v>400435</x:v>
      </x:c>
      <x:c r="AM320" s="119" t="n">
        <x:f>IF(AJ320=0,0,(AJ320-IF(4=D320,1,0))*VLOOKUP(INDEX('章节与怪物'!$E$31:$K$37,B320,4),'章节与怪物'!$A$41:$F$44,4,FALSE)+IF(4=D320,'难度参数'!$E$30,0))</x:f>
        <x:v>1190</x:v>
      </x:c>
      <x:c r="AN320" s="119" t="n">
        <x:f>IF(5&gt;D320,0,MAX(2,MIN('难度参数'!$E$12,ROUND(('难度参数'!$E$18*POWER(A320,'难度参数'!$E$19)/D320*(0.85+0.3*(5-1)/MAX(1,D320-1))),0)+F320)))</x:f>
        <x:v>37</x:v>
      </x:c>
      <x:c r="AO320" s="119" t="n">
        <x:f>IF(5&gt;D320,0,ROUND(('难度参数'!$E$13*POWER(A320,'难度参数'!$E$20)*MIN('难度参数'!$E$23,1+MAX(0,A320-'难度参数'!$E$21)*'难度参数'!$E$22))*(36+5*7)/(36+7*(D320+1)/2)*E320,0))</x:f>
        <x:v>9402</x:v>
      </x:c>
      <x:c r="AP320" s="119" t="n">
        <x:f>IF(AN320=0,0,(AN320-IF(5=D320,1,0))*ROUND(AO320*VLOOKUP(INDEX('章节与怪物'!$E$31:$K$37,B320,5),'章节与怪物'!$A$41:$F$44,2,FALSE),0)+IF(5=D320,ROUND(AO320*'难度参数'!$E$28*'章节与怪物'!$E$17,0),0))</x:f>
        <x:v>250453</x:v>
      </x:c>
      <x:c r="AQ320" s="119" t="n">
        <x:f>IF(AN320=0,0,(AN320-IF(5=D320,1,0))*VLOOKUP(INDEX('章节与怪物'!$E$31:$K$37,B320,5),'章节与怪物'!$A$41:$F$44,4,FALSE)+IF(5=D320,'难度参数'!$E$30,0))</x:f>
        <x:v>740</x:v>
      </x:c>
      <x:c r="AR320" s="119" t="n">
        <x:f>IF(6&gt;D320,0,MAX(2,MIN('难度参数'!$E$12,ROUND(('难度参数'!$E$18*POWER(A320,'难度参数'!$E$19)/D320*(0.85+0.3*(6-1)/MAX(1,D320-1))),0)+F320)))</x:f>
        <x:v>39</x:v>
      </x:c>
      <x:c r="AS320" s="119" t="n">
        <x:f>IF(6&gt;D320,0,ROUND(('难度参数'!$E$13*POWER(A320,'难度参数'!$E$20)*MIN('难度参数'!$E$23,1+MAX(0,A320-'难度参数'!$E$21)*'难度参数'!$E$22))*(36+6*7)/(36+7*(D320+1)/2)*E320,0))</x:f>
        <x:v>10329</x:v>
      </x:c>
      <x:c r="AT320" s="119" t="n">
        <x:f>IF(AR320=0,0,(AR320-IF(6=D320,1,0))*ROUND(AS320*VLOOKUP(INDEX('章节与怪物'!$E$31:$K$37,B320,6),'章节与怪物'!$A$41:$F$44,2,FALSE),0)+IF(6=D320,ROUND(AS320*'难度参数'!$E$28*'章节与怪物'!$E$17,0),0))</x:f>
        <x:v>684801</x:v>
      </x:c>
      <x:c r="AU320" s="119" t="n">
        <x:f>IF(AR320=0,0,(AR320-IF(6=D320,1,0))*VLOOKUP(INDEX('章节与怪物'!$E$31:$K$37,B320,6),'章节与怪物'!$A$41:$F$44,4,FALSE)+IF(6=D320,'难度参数'!$E$30,0))</x:f>
        <x:v>1092</x:v>
      </x:c>
      <x:c r="AV320" s="119" t="n">
        <x:f>IF(7&gt;D320,0,MAX(2,MIN('难度参数'!$E$12,ROUND(('难度参数'!$E$18*POWER(A320,'难度参数'!$E$19)/D320*(0.85+0.3*(7-1)/MAX(1,D320-1))),0)+F320)))</x:f>
        <x:v>41</x:v>
      </x:c>
      <x:c r="AW320" s="119" t="n">
        <x:f>IF(7&gt;D320,0,ROUND(('难度参数'!$E$13*POWER(A320,'难度参数'!$E$20)*MIN('难度参数'!$E$23,1+MAX(0,A320-'难度参数'!$E$21)*'难度参数'!$E$22))*(36+7*7)/(36+7*(D320+1)/2)*E320,0))</x:f>
        <x:v>11255</x:v>
      </x:c>
      <x:c r="AX320" s="119" t="n">
        <x:f>IF(AV320=0,0,(AV320-IF(7=D320,1,0))*ROUND(AW320*VLOOKUP(INDEX('章节与怪物'!$E$31:$K$37,B320,7),'章节与怪物'!$A$41:$F$44,2,FALSE),0)+IF(7=D320,ROUND(AW320*'难度参数'!$E$28*'章节与怪物'!$E$17,0),0))</x:f>
        <x:v>684294</x:v>
      </x:c>
      <x:c r="AY320" s="119" t="n">
        <x:f>IF(AV320=0,0,(AV320-IF(7=D320,1,0))*VLOOKUP(INDEX('章节与怪物'!$E$31:$K$37,B320,7),'章节与怪物'!$A$41:$F$44,4,FALSE)+IF(7=D320,'难度参数'!$E$30,0))</x:f>
        <x:v>1560</x:v>
      </x:c>
    </x:row>
    <x:row r="321" ht="23" customHeight="1">
      <x:c r="A321" s="119" t="n">
        <x:v>315</x:v>
      </x:c>
      <x:c r="B321" s="119" t="n">
        <x:f>MOD(INT((A321-1)/5),7)+1</x:f>
        <x:v>7</x:v>
      </x:c>
      <x:c r="C321" s="62" t="str">
        <x:f>INDEX('章节与怪物'!$B$31:$B$37,B321)</x:f>
        <x:v>魔法山脊</x:v>
      </x:c>
      <x:c r="D321" s="119" t="n">
        <x:f>MIN('难度参数'!$E$8,MAX('难度参数'!$E$7,A321))</x:f>
        <x:v>7</x:v>
      </x:c>
      <x:c r="E321" s="106" t="n">
        <x:v>1</x:v>
      </x:c>
      <x:c r="F321" s="106" t="n">
        <x:v>0</x:v>
      </x:c>
      <x:c r="G321" s="106" t="n">
        <x:v>1</x:v>
      </x:c>
      <x:c r="H321" s="119" t="n">
        <x:f>SUM(X321,AB321,AF321,AJ321,AN321,AR321,AV321)</x:f>
        <x:v>248</x:v>
      </x:c>
      <x:c r="I321" s="119" t="n">
        <x:f>SUM(Z321,AD321,AH321,AL321,AP321,AT321,AX321)</x:f>
        <x:v>2785963</x:v>
      </x:c>
      <x:c r="J321" s="119" t="n">
        <x:f>ROUND(INDEX(X321:AY321,1,(D321-1)*4+2)*'难度参数'!$E$28*'章节与怪物'!$E$17,0)</x:f>
        <x:v>76711</x:v>
      </x:c>
      <x:c r="K321" s="119" t="n">
        <x:f>SUM(AA321,AE321,AI321,AM321,AQ321,AU321,AY321)</x:f>
        <x:v>6714</x:v>
      </x:c>
      <x:c r="L321" s="62" t="n">
        <x:f>H321*(ROUNDUP('难度参数'!$E$24/('难度参数'!$E$26*'难度参数'!$E$27),0)*'难度参数'!$E$26)/60</x:f>
        <x:v>3.3066666666666666</x:v>
      </x:c>
      <x:c r="M321" s="62" t="n">
        <x:f>L321+D321*('难度参数'!$E$49+'难度参数'!$E$50)/60</x:f>
        <x:v>4.473333333333334</x:v>
      </x:c>
      <x:c r="N321" s="119" t="n">
        <x:f>ROUNDDOWN(('经济参数'!$E$20+A321*'经济参数'!$E$21)*G321,0)</x:f>
        <x:v>6480</x:v>
      </x:c>
      <x:c r="O321" s="119" t="n">
        <x:f>ROUNDDOWN(MIN('经济参数'!$E$24,'经济参数'!$E$22+A321*'经济参数'!$E$23)*G321,0)</x:f>
        <x:v>0</x:v>
      </x:c>
      <x:c r="P321" s="119" t="n">
        <x:f>ROUNDDOWN((IF(A321&gt;='材料与任务'!$E$31,'材料与任务'!$E$32,IF(A321&gt;='材料与任务'!$E$25,'材料与任务'!$E$26,IF(A321&gt;='材料与任务'!$E$19,'材料与任务'!$E$20,IF(A321&gt;='材料与任务'!$E$13,'材料与任务'!$E$14,'材料与任务'!$E$8)))))*G321,0)</x:f>
        <x:v>6</x:v>
      </x:c>
      <x:c r="Q321" s="119" t="n">
        <x:f>ROUNDDOWN((IF(A321&gt;='材料与任务'!$E$31,'材料与任务'!$E$33,IF(A321&gt;='材料与任务'!$E$25,'材料与任务'!$E$27,IF(A321&gt;='材料与任务'!$E$19,'材料与任务'!$E$21,IF(A321&gt;='材料与任务'!$E$13,'材料与任务'!$E$15,'材料与任务'!$E$9)))))*G321,0)</x:f>
        <x:v>3</x:v>
      </x:c>
      <x:c r="R321" s="110" t="n">
        <x:f>'装备掉落'!$B$38</x:f>
        <x:v>0.6872058758851213</x:v>
      </x:c>
      <x:c r="S321" s="119" t="n">
        <x:f>MAX(IF(VLOOKUP(A321,'装备掉落'!$A$29:$H$34,2,TRUE)&gt;0,1,0),IF(VLOOKUP(A321,'装备掉落'!$A$29:$H$34,3,TRUE)&gt;0,2,0),IF(VLOOKUP(A321,'装备掉落'!$A$29:$H$34,4,TRUE)&gt;0,3,0),IF(VLOOKUP(A321,'装备掉落'!$A$29:$H$34,5,TRUE)&gt;0,4,0),IF(VLOOKUP(A321,'装备掉落'!$A$29:$H$34,6,TRUE)&gt;0,5,0),IF(VLOOKUP(A321,'装备掉落'!$A$29:$H$34,7,TRUE)&gt;0,6,0),IF(VLOOKUP(A321,'装备掉落'!$A$29:$H$34,8,TRUE)&gt;0,7,0))</x:f>
        <x:v>7</x:v>
      </x:c>
      <x:c r="T321" s="119" t="n">
        <x:f>MIN(7,S321+'经济参数'!$E$70)</x:f>
        <x:v>7</x:v>
      </x:c>
      <x:c r="U321" s="119" t="n">
        <x:f>MIN(7,S321+'经济参数'!$E$71)</x:f>
        <x:v>7</x:v>
      </x:c>
      <x:c r="V321" s="119" t="n">
        <x:f>IF(H321&gt;=('难度参数'!$E$52),1,0)+IF(H321&gt;=('难度参数'!$E$52+'难度参数'!$E$53),1,0)+IF(H321&gt;=('难度参数'!$E$52+'难度参数'!$E$53+'难度参数'!$E$54),1,0)+IF(H321&gt;=('难度参数'!$E$52+'难度参数'!$E$53+'难度参数'!$E$54+'难度参数'!$E$55),1,0)+IF(H321&gt;=('难度参数'!$E$52+'难度参数'!$E$53+'难度参数'!$E$54+'难度参数'!$E$55+'难度参数'!$E$56),1,0)+IF(H321&gt;=('难度参数'!$E$52+'难度参数'!$E$53+'难度参数'!$E$54+'难度参数'!$E$55+'难度参数'!$E$56+'难度参数'!$E$57),1,0)</x:f>
        <x:v>6</x:v>
      </x:c>
      <x:c r="W321" s="62" t="str">
        <x:f>IF(L321&gt;'难度参数'!$E$51,"仅出怪已超目标","还需实测")</x:f>
        <x:v>仅出怪已超目标</x:v>
      </x:c>
      <x:c r="X321" s="119" t="n">
        <x:f>IF(1&gt;D321,0,MAX(2,MIN('难度参数'!$E$12,ROUND(('难度参数'!$E$18*POWER(A321,'难度参数'!$E$19)/D321*(0.85+0.3*(1-1)/MAX(1,D321-1))),0)+F321)))</x:f>
        <x:v>30</x:v>
      </x:c>
      <x:c r="Y321" s="119" t="n">
        <x:f>IF(1&gt;D321,0,ROUND(('难度参数'!$E$13*POWER(A321,'难度参数'!$E$20)*MIN('难度参数'!$E$23,1+MAX(0,A321-'难度参数'!$E$21)*'难度参数'!$E$22))*(36+1*7)/(36+7*(D321+1)/2)*E321,0))</x:f>
        <x:v>5707</x:v>
      </x:c>
      <x:c r="Z321" s="119" t="n">
        <x:f>IF(X321=0,0,(X321-IF(1=D321,1,0))*ROUND(Y321*VLOOKUP(INDEX('章节与怪物'!$E$31:$K$37,B321,1),'章节与怪物'!$A$41:$F$44,2,FALSE),0)+IF(1=D321,ROUND(Y321*'难度参数'!$E$28*'章节与怪物'!$E$17,0),0))</x:f>
        <x:v>171210</x:v>
      </x:c>
      <x:c r="AA321" s="119" t="n">
        <x:f>IF(X321=0,0,(X321-IF(1=D321,1,0))*VLOOKUP(INDEX('章节与怪物'!$E$31:$K$37,B321,1),'章节与怪物'!$A$41:$F$44,4,FALSE)+IF(1=D321,'难度参数'!$E$30,0))</x:f>
        <x:v>540</x:v>
      </x:c>
      <x:c r="AB321" s="119" t="n">
        <x:f>IF(2&gt;D321,0,MAX(2,MIN('难度参数'!$E$12,ROUND(('难度参数'!$E$18*POWER(A321,'难度参数'!$E$19)/D321*(0.85+0.3*(2-1)/MAX(1,D321-1))),0)+F321)))</x:f>
        <x:v>32</x:v>
      </x:c>
      <x:c r="AC321" s="119" t="n">
        <x:f>IF(2&gt;D321,0,ROUND(('难度参数'!$E$13*POWER(A321,'难度参数'!$E$20)*MIN('难度参数'!$E$23,1+MAX(0,A321-'难度参数'!$E$21)*'难度参数'!$E$22))*(36+2*7)/(36+7*(D321+1)/2)*E321,0))</x:f>
        <x:v>6636</x:v>
      </x:c>
      <x:c r="AD321" s="119" t="n">
        <x:f>IF(AB321=0,0,(AB321-IF(2=D321,1,0))*ROUND(AC321*VLOOKUP(INDEX('章节与怪物'!$E$31:$K$37,B321,2),'章节与怪物'!$A$41:$F$44,2,FALSE),0)+IF(2=D321,ROUND(AC321*'难度参数'!$E$28*'章节与怪物'!$E$17,0),0))</x:f>
        <x:v>152896</x:v>
      </x:c>
      <x:c r="AE321" s="119" t="n">
        <x:f>IF(AB321=0,0,(AB321-IF(2=D321,1,0))*VLOOKUP(INDEX('章节与怪物'!$E$31:$K$37,B321,2),'章节与怪物'!$A$41:$F$44,4,FALSE)+IF(2=D321,'难度参数'!$E$30,0))</x:f>
        <x:v>640</x:v>
      </x:c>
      <x:c r="AF321" s="119" t="n">
        <x:f>IF(3&gt;D321,0,MAX(2,MIN('难度参数'!$E$12,ROUND(('难度参数'!$E$18*POWER(A321,'难度参数'!$E$19)/D321*(0.85+0.3*(3-1)/MAX(1,D321-1))),0)+F321)))</x:f>
        <x:v>34</x:v>
      </x:c>
      <x:c r="AG321" s="119" t="n">
        <x:f>IF(3&gt;D321,0,ROUND(('难度参数'!$E$13*POWER(A321,'难度参数'!$E$20)*MIN('难度参数'!$E$23,1+MAX(0,A321-'难度参数'!$E$21)*'难度参数'!$E$22))*(36+3*7)/(36+7*(D321+1)/2)*E321,0))</x:f>
        <x:v>7565</x:v>
      </x:c>
      <x:c r="AH321" s="119" t="n">
        <x:f>IF(AF321=0,0,(AF321-IF(3=D321,1,0))*ROUND(AG321*VLOOKUP(INDEX('章节与怪物'!$E$31:$K$37,B321,3),'章节与怪物'!$A$41:$F$44,2,FALSE),0)+IF(3=D321,ROUND(AG321*'难度参数'!$E$28*'章节与怪物'!$E$17,0),0))</x:f>
        <x:v>437274</x:v>
      </x:c>
      <x:c r="AI321" s="119" t="n">
        <x:f>IF(AF321=0,0,(AF321-IF(3=D321,1,0))*VLOOKUP(INDEX('章节与怪物'!$E$31:$K$37,B321,3),'章节与怪物'!$A$41:$F$44,4,FALSE)+IF(3=D321,'难度参数'!$E$30,0))</x:f>
        <x:v>952</x:v>
      </x:c>
      <x:c r="AJ321" s="119" t="n">
        <x:f>IF(4&gt;D321,0,MAX(2,MIN('难度参数'!$E$12,ROUND(('难度参数'!$E$18*POWER(A321,'难度参数'!$E$19)/D321*(0.85+0.3*(4-1)/MAX(1,D321-1))),0)+F321)))</x:f>
        <x:v>35</x:v>
      </x:c>
      <x:c r="AK321" s="119" t="n">
        <x:f>IF(4&gt;D321,0,ROUND(('难度参数'!$E$13*POWER(A321,'难度参数'!$E$20)*MIN('难度参数'!$E$23,1+MAX(0,A321-'难度参数'!$E$21)*'难度参数'!$E$22))*(36+4*7)/(36+7*(D321+1)/2)*E321,0))</x:f>
        <x:v>8494</x:v>
      </x:c>
      <x:c r="AL321" s="119" t="n">
        <x:f>IF(AJ321=0,0,(AJ321-IF(4=D321,1,0))*ROUND(AK321*VLOOKUP(INDEX('章节与怪物'!$E$31:$K$37,B321,4),'章节与怪物'!$A$41:$F$44,2,FALSE),0)+IF(4=D321,ROUND(AK321*'难度参数'!$E$28*'章节与怪物'!$E$17,0),0))</x:f>
        <x:v>401345</x:v>
      </x:c>
      <x:c r="AM321" s="119" t="n">
        <x:f>IF(AJ321=0,0,(AJ321-IF(4=D321,1,0))*VLOOKUP(INDEX('章节与怪物'!$E$31:$K$37,B321,4),'章节与怪物'!$A$41:$F$44,4,FALSE)+IF(4=D321,'难度参数'!$E$30,0))</x:f>
        <x:v>1190</x:v>
      </x:c>
      <x:c r="AN321" s="119" t="n">
        <x:f>IF(5&gt;D321,0,MAX(2,MIN('难度参数'!$E$12,ROUND(('难度参数'!$E$18*POWER(A321,'难度参数'!$E$19)/D321*(0.85+0.3*(5-1)/MAX(1,D321-1))),0)+F321)))</x:f>
        <x:v>37</x:v>
      </x:c>
      <x:c r="AO321" s="119" t="n">
        <x:f>IF(5&gt;D321,0,ROUND(('难度参数'!$E$13*POWER(A321,'难度参数'!$E$20)*MIN('难度参数'!$E$23,1+MAX(0,A321-'难度参数'!$E$21)*'难度参数'!$E$22))*(36+5*7)/(36+7*(D321+1)/2)*E321,0))</x:f>
        <x:v>9423</x:v>
      </x:c>
      <x:c r="AP321" s="119" t="n">
        <x:f>IF(AN321=0,0,(AN321-IF(5=D321,1,0))*ROUND(AO321*VLOOKUP(INDEX('章节与怪物'!$E$31:$K$37,B321,5),'章节与怪物'!$A$41:$F$44,2,FALSE),0)+IF(5=D321,ROUND(AO321*'难度参数'!$E$28*'章节与怪物'!$E$17,0),0))</x:f>
        <x:v>251045</x:v>
      </x:c>
      <x:c r="AQ321" s="119" t="n">
        <x:f>IF(AN321=0,0,(AN321-IF(5=D321,1,0))*VLOOKUP(INDEX('章节与怪物'!$E$31:$K$37,B321,5),'章节与怪物'!$A$41:$F$44,4,FALSE)+IF(5=D321,'难度参数'!$E$30,0))</x:f>
        <x:v>740</x:v>
      </x:c>
      <x:c r="AR321" s="119" t="n">
        <x:f>IF(6&gt;D321,0,MAX(2,MIN('难度参数'!$E$12,ROUND(('难度参数'!$E$18*POWER(A321,'难度参数'!$E$19)/D321*(0.85+0.3*(6-1)/MAX(1,D321-1))),0)+F321)))</x:f>
        <x:v>39</x:v>
      </x:c>
      <x:c r="AS321" s="119" t="n">
        <x:f>IF(6&gt;D321,0,ROUND(('难度参数'!$E$13*POWER(A321,'难度参数'!$E$20)*MIN('难度参数'!$E$23,1+MAX(0,A321-'难度参数'!$E$21)*'难度参数'!$E$22))*(36+6*7)/(36+7*(D321+1)/2)*E321,0))</x:f>
        <x:v>10352</x:v>
      </x:c>
      <x:c r="AT321" s="119" t="n">
        <x:f>IF(AR321=0,0,(AR321-IF(6=D321,1,0))*ROUND(AS321*VLOOKUP(INDEX('章节与怪物'!$E$31:$K$37,B321,6),'章节与怪物'!$A$41:$F$44,2,FALSE),0)+IF(6=D321,ROUND(AS321*'难度参数'!$E$28*'章节与怪物'!$E$17,0),0))</x:f>
        <x:v>686322</x:v>
      </x:c>
      <x:c r="AU321" s="119" t="n">
        <x:f>IF(AR321=0,0,(AR321-IF(6=D321,1,0))*VLOOKUP(INDEX('章节与怪物'!$E$31:$K$37,B321,6),'章节与怪物'!$A$41:$F$44,4,FALSE)+IF(6=D321,'难度参数'!$E$30,0))</x:f>
        <x:v>1092</x:v>
      </x:c>
      <x:c r="AV321" s="119" t="n">
        <x:f>IF(7&gt;D321,0,MAX(2,MIN('难度参数'!$E$12,ROUND(('难度参数'!$E$18*POWER(A321,'难度参数'!$E$19)/D321*(0.85+0.3*(7-1)/MAX(1,D321-1))),0)+F321)))</x:f>
        <x:v>41</x:v>
      </x:c>
      <x:c r="AW321" s="119" t="n">
        <x:f>IF(7&gt;D321,0,ROUND(('难度参数'!$E$13*POWER(A321,'难度参数'!$E$20)*MIN('难度参数'!$E$23,1+MAX(0,A321-'难度参数'!$E$21)*'难度参数'!$E$22))*(36+7*7)/(36+7*(D321+1)/2)*E321,0))</x:f>
        <x:v>11281</x:v>
      </x:c>
      <x:c r="AX321" s="119" t="n">
        <x:f>IF(AV321=0,0,(AV321-IF(7=D321,1,0))*ROUND(AW321*VLOOKUP(INDEX('章节与怪物'!$E$31:$K$37,B321,7),'章节与怪物'!$A$41:$F$44,2,FALSE),0)+IF(7=D321,ROUND(AW321*'难度参数'!$E$28*'章节与怪物'!$E$17,0),0))</x:f>
        <x:v>685871</x:v>
      </x:c>
      <x:c r="AY321" s="119" t="n">
        <x:f>IF(AV321=0,0,(AV321-IF(7=D321,1,0))*VLOOKUP(INDEX('章节与怪物'!$E$31:$K$37,B321,7),'章节与怪物'!$A$41:$F$44,4,FALSE)+IF(7=D321,'难度参数'!$E$30,0))</x:f>
        <x:v>1560</x:v>
      </x:c>
    </x:row>
    <x:row r="322" ht="23" customHeight="1">
      <x:c r="A322" s="119" t="n">
        <x:v>316</x:v>
      </x:c>
      <x:c r="B322" s="119" t="n">
        <x:f>MOD(INT((A322-1)/5),7)+1</x:f>
        <x:v>1</x:v>
      </x:c>
      <x:c r="C322" s="62" t="str">
        <x:f>INDEX('章节与怪物'!$B$31:$B$37,B322)</x:f>
        <x:v>冰雪荒原</x:v>
      </x:c>
      <x:c r="D322" s="119" t="n">
        <x:f>MIN('难度参数'!$E$8,MAX('难度参数'!$E$7,A322))</x:f>
        <x:v>7</x:v>
      </x:c>
      <x:c r="E322" s="106" t="n">
        <x:v>1</x:v>
      </x:c>
      <x:c r="F322" s="106" t="n">
        <x:v>0</x:v>
      </x:c>
      <x:c r="G322" s="106" t="n">
        <x:v>1</x:v>
      </x:c>
      <x:c r="H322" s="119" t="n">
        <x:f>SUM(X322,AB322,AF322,AJ322,AN322,AR322,AV322)</x:f>
        <x:v>248</x:v>
      </x:c>
      <x:c r="I322" s="119" t="n">
        <x:f>SUM(Z322,AD322,AH322,AL322,AP322,AT322,AX322)</x:f>
        <x:v>2685552</x:v>
      </x:c>
      <x:c r="J322" s="119" t="n">
        <x:f>ROUND(INDEX(X322:AY322,1,(D322-1)*4+2)*'难度参数'!$E$28*'章节与怪物'!$E$17,0)</x:f>
        <x:v>76888</x:v>
      </x:c>
      <x:c r="K322" s="119" t="n">
        <x:f>SUM(AA322,AE322,AI322,AM322,AQ322,AU322,AY322)</x:f>
        <x:v>6134</x:v>
      </x:c>
      <x:c r="L322" s="62" t="n">
        <x:f>H322*(ROUNDUP('难度参数'!$E$24/('难度参数'!$E$26*'难度参数'!$E$27),0)*'难度参数'!$E$26)/60</x:f>
        <x:v>3.3066666666666666</x:v>
      </x:c>
      <x:c r="M322" s="62" t="n">
        <x:f>L322+D322*('难度参数'!$E$49+'难度参数'!$E$50)/60</x:f>
        <x:v>4.473333333333334</x:v>
      </x:c>
      <x:c r="N322" s="119" t="n">
        <x:f>ROUNDDOWN(('经济参数'!$E$20+A322*'经济参数'!$E$21)*G322,0)</x:f>
        <x:v>6500</x:v>
      </x:c>
      <x:c r="O322" s="119" t="n">
        <x:f>ROUNDDOWN(MIN('经济参数'!$E$24,'经济参数'!$E$22+A322*'经济参数'!$E$23)*G322,0)</x:f>
        <x:v>0</x:v>
      </x:c>
      <x:c r="P322" s="119" t="n">
        <x:f>ROUNDDOWN((IF(A322&gt;='材料与任务'!$E$31,'材料与任务'!$E$32,IF(A322&gt;='材料与任务'!$E$25,'材料与任务'!$E$26,IF(A322&gt;='材料与任务'!$E$19,'材料与任务'!$E$20,IF(A322&gt;='材料与任务'!$E$13,'材料与任务'!$E$14,'材料与任务'!$E$8)))))*G322,0)</x:f>
        <x:v>6</x:v>
      </x:c>
      <x:c r="Q322" s="119" t="n">
        <x:f>ROUNDDOWN((IF(A322&gt;='材料与任务'!$E$31,'材料与任务'!$E$33,IF(A322&gt;='材料与任务'!$E$25,'材料与任务'!$E$27,IF(A322&gt;='材料与任务'!$E$19,'材料与任务'!$E$21,IF(A322&gt;='材料与任务'!$E$13,'材料与任务'!$E$15,'材料与任务'!$E$9)))))*G322,0)</x:f>
        <x:v>3</x:v>
      </x:c>
      <x:c r="R322" s="110" t="n">
        <x:f>'装备掉落'!$B$38</x:f>
        <x:v>0.6872058758851213</x:v>
      </x:c>
      <x:c r="S322" s="119" t="n">
        <x:f>MAX(IF(VLOOKUP(A322,'装备掉落'!$A$29:$H$34,2,TRUE)&gt;0,1,0),IF(VLOOKUP(A322,'装备掉落'!$A$29:$H$34,3,TRUE)&gt;0,2,0),IF(VLOOKUP(A322,'装备掉落'!$A$29:$H$34,4,TRUE)&gt;0,3,0),IF(VLOOKUP(A322,'装备掉落'!$A$29:$H$34,5,TRUE)&gt;0,4,0),IF(VLOOKUP(A322,'装备掉落'!$A$29:$H$34,6,TRUE)&gt;0,5,0),IF(VLOOKUP(A322,'装备掉落'!$A$29:$H$34,7,TRUE)&gt;0,6,0),IF(VLOOKUP(A322,'装备掉落'!$A$29:$H$34,8,TRUE)&gt;0,7,0))</x:f>
        <x:v>7</x:v>
      </x:c>
      <x:c r="T322" s="119" t="n">
        <x:f>MIN(7,S322+'经济参数'!$E$70)</x:f>
        <x:v>7</x:v>
      </x:c>
      <x:c r="U322" s="119" t="n">
        <x:f>MIN(7,S322+'经济参数'!$E$71)</x:f>
        <x:v>7</x:v>
      </x:c>
      <x:c r="V322" s="119" t="n">
        <x:f>IF(H322&gt;=('难度参数'!$E$52),1,0)+IF(H322&gt;=('难度参数'!$E$52+'难度参数'!$E$53),1,0)+IF(H322&gt;=('难度参数'!$E$52+'难度参数'!$E$53+'难度参数'!$E$54),1,0)+IF(H322&gt;=('难度参数'!$E$52+'难度参数'!$E$53+'难度参数'!$E$54+'难度参数'!$E$55),1,0)+IF(H322&gt;=('难度参数'!$E$52+'难度参数'!$E$53+'难度参数'!$E$54+'难度参数'!$E$55+'难度参数'!$E$56),1,0)+IF(H322&gt;=('难度参数'!$E$52+'难度参数'!$E$53+'难度参数'!$E$54+'难度参数'!$E$55+'难度参数'!$E$56+'难度参数'!$E$57),1,0)</x:f>
        <x:v>6</x:v>
      </x:c>
      <x:c r="W322" s="62" t="str">
        <x:f>IF(L322&gt;'难度参数'!$E$51,"仅出怪已超目标","还需实测")</x:f>
        <x:v>仅出怪已超目标</x:v>
      </x:c>
      <x:c r="X322" s="119" t="n">
        <x:f>IF(1&gt;D322,0,MAX(2,MIN('难度参数'!$E$12,ROUND(('难度参数'!$E$18*POWER(A322,'难度参数'!$E$19)/D322*(0.85+0.3*(1-1)/MAX(1,D322-1))),0)+F322)))</x:f>
        <x:v>30</x:v>
      </x:c>
      <x:c r="Y322" s="119" t="n">
        <x:f>IF(1&gt;D322,0,ROUND(('难度参数'!$E$13*POWER(A322,'难度参数'!$E$20)*MIN('难度参数'!$E$23,1+MAX(0,A322-'难度参数'!$E$21)*'难度参数'!$E$22))*(36+1*7)/(36+7*(D322+1)/2)*E322,0))</x:f>
        <x:v>5720</x:v>
      </x:c>
      <x:c r="Z322" s="119" t="n">
        <x:f>IF(X322=0,0,(X322-IF(1=D322,1,0))*ROUND(Y322*VLOOKUP(INDEX('章节与怪物'!$E$31:$K$37,B322,1),'章节与怪物'!$A$41:$F$44,2,FALSE),0)+IF(1=D322,ROUND(Y322*'难度参数'!$E$28*'章节与怪物'!$E$17,0),0))</x:f>
        <x:v>171600</x:v>
      </x:c>
      <x:c r="AA322" s="119" t="n">
        <x:f>IF(X322=0,0,(X322-IF(1=D322,1,0))*VLOOKUP(INDEX('章节与怪物'!$E$31:$K$37,B322,1),'章节与怪物'!$A$41:$F$44,4,FALSE)+IF(1=D322,'难度参数'!$E$30,0))</x:f>
        <x:v>540</x:v>
      </x:c>
      <x:c r="AB322" s="119" t="n">
        <x:f>IF(2&gt;D322,0,MAX(2,MIN('难度参数'!$E$12,ROUND(('难度参数'!$E$18*POWER(A322,'难度参数'!$E$19)/D322*(0.85+0.3*(2-1)/MAX(1,D322-1))),0)+F322)))</x:f>
        <x:v>32</x:v>
      </x:c>
      <x:c r="AC322" s="119" t="n">
        <x:f>IF(2&gt;D322,0,ROUND(('难度参数'!$E$13*POWER(A322,'难度参数'!$E$20)*MIN('难度参数'!$E$23,1+MAX(0,A322-'难度参数'!$E$21)*'难度参数'!$E$22))*(36+2*7)/(36+7*(D322+1)/2)*E322,0))</x:f>
        <x:v>6651</x:v>
      </x:c>
      <x:c r="AD322" s="119" t="n">
        <x:f>IF(AB322=0,0,(AB322-IF(2=D322,1,0))*ROUND(AC322*VLOOKUP(INDEX('章节与怪物'!$E$31:$K$37,B322,2),'章节与怪物'!$A$41:$F$44,2,FALSE),0)+IF(2=D322,ROUND(AC322*'难度参数'!$E$28*'章节与怪物'!$E$17,0),0))</x:f>
        <x:v>212832</x:v>
      </x:c>
      <x:c r="AE322" s="119" t="n">
        <x:f>IF(AB322=0,0,(AB322-IF(2=D322,1,0))*VLOOKUP(INDEX('章节与怪物'!$E$31:$K$37,B322,2),'章节与怪物'!$A$41:$F$44,4,FALSE)+IF(2=D322,'难度参数'!$E$30,0))</x:f>
        <x:v>576</x:v>
      </x:c>
      <x:c r="AF322" s="119" t="n">
        <x:f>IF(3&gt;D322,0,MAX(2,MIN('难度参数'!$E$12,ROUND(('难度参数'!$E$18*POWER(A322,'难度参数'!$E$19)/D322*(0.85+0.3*(3-1)/MAX(1,D322-1))),0)+F322)))</x:f>
        <x:v>34</x:v>
      </x:c>
      <x:c r="AG322" s="119" t="n">
        <x:f>IF(3&gt;D322,0,ROUND(('难度参数'!$E$13*POWER(A322,'难度参数'!$E$20)*MIN('难度参数'!$E$23,1+MAX(0,A322-'难度参数'!$E$21)*'难度参数'!$E$22))*(36+3*7)/(36+7*(D322+1)/2)*E322,0))</x:f>
        <x:v>7582</x:v>
      </x:c>
      <x:c r="AH322" s="119" t="n">
        <x:f>IF(AF322=0,0,(AF322-IF(3=D322,1,0))*ROUND(AG322*VLOOKUP(INDEX('章节与怪物'!$E$31:$K$37,B322,3),'章节与怪物'!$A$41:$F$44,2,FALSE),0)+IF(3=D322,ROUND(AG322*'难度参数'!$E$28*'章节与怪物'!$E$17,0),0))</x:f>
        <x:v>185606</x:v>
      </x:c>
      <x:c r="AI322" s="119" t="n">
        <x:f>IF(AF322=0,0,(AF322-IF(3=D322,1,0))*VLOOKUP(INDEX('章节与怪物'!$E$31:$K$37,B322,3),'章节与怪物'!$A$41:$F$44,4,FALSE)+IF(3=D322,'难度参数'!$E$30,0))</x:f>
        <x:v>680</x:v>
      </x:c>
      <x:c r="AJ322" s="119" t="n">
        <x:f>IF(4&gt;D322,0,MAX(2,MIN('难度参数'!$E$12,ROUND(('难度参数'!$E$18*POWER(A322,'难度参数'!$E$19)/D322*(0.85+0.3*(4-1)/MAX(1,D322-1))),0)+F322)))</x:f>
        <x:v>35</x:v>
      </x:c>
      <x:c r="AK322" s="119" t="n">
        <x:f>IF(4&gt;D322,0,ROUND(('难度参数'!$E$13*POWER(A322,'难度参数'!$E$20)*MIN('难度参数'!$E$23,1+MAX(0,A322-'难度参数'!$E$21)*'难度参数'!$E$22))*(36+4*7)/(36+7*(D322+1)/2)*E322,0))</x:f>
        <x:v>8514</x:v>
      </x:c>
      <x:c r="AL322" s="119" t="n">
        <x:f>IF(AJ322=0,0,(AJ322-IF(4=D322,1,0))*ROUND(AK322*VLOOKUP(INDEX('章节与怪物'!$E$31:$K$37,B322,4),'章节与怪物'!$A$41:$F$44,2,FALSE),0)+IF(4=D322,ROUND(AK322*'难度参数'!$E$28*'章节与怪物'!$E$17,0),0))</x:f>
        <x:v>506590</x:v>
      </x:c>
      <x:c r="AM322" s="119" t="n">
        <x:f>IF(AJ322=0,0,(AJ322-IF(4=D322,1,0))*VLOOKUP(INDEX('章节与怪物'!$E$31:$K$37,B322,4),'章节与怪物'!$A$41:$F$44,4,FALSE)+IF(4=D322,'难度参数'!$E$30,0))</x:f>
        <x:v>980</x:v>
      </x:c>
      <x:c r="AN322" s="119" t="n">
        <x:f>IF(5&gt;D322,0,MAX(2,MIN('难度参数'!$E$12,ROUND(('难度参数'!$E$18*POWER(A322,'难度参数'!$E$19)/D322*(0.85+0.3*(5-1)/MAX(1,D322-1))),0)+F322)))</x:f>
        <x:v>37</x:v>
      </x:c>
      <x:c r="AO322" s="119" t="n">
        <x:f>IF(5&gt;D322,0,ROUND(('难度参数'!$E$13*POWER(A322,'难度参数'!$E$20)*MIN('难度参数'!$E$23,1+MAX(0,A322-'难度参数'!$E$21)*'难度参数'!$E$22))*(36+5*7)/(36+7*(D322+1)/2)*E322,0))</x:f>
        <x:v>9445</x:v>
      </x:c>
      <x:c r="AP322" s="119" t="n">
        <x:f>IF(AN322=0,0,(AN322-IF(5=D322,1,0))*ROUND(AO322*VLOOKUP(INDEX('章节与怪物'!$E$31:$K$37,B322,5),'章节与怪物'!$A$41:$F$44,2,FALSE),0)+IF(5=D322,ROUND(AO322*'难度参数'!$E$28*'章节与怪物'!$E$17,0),0))</x:f>
        <x:v>471787</x:v>
      </x:c>
      <x:c r="AQ322" s="119" t="n">
        <x:f>IF(AN322=0,0,(AN322-IF(5=D322,1,0))*VLOOKUP(INDEX('章节与怪物'!$E$31:$K$37,B322,5),'章节与怪物'!$A$41:$F$44,4,FALSE)+IF(5=D322,'难度参数'!$E$30,0))</x:f>
        <x:v>1258</x:v>
      </x:c>
      <x:c r="AR322" s="119" t="n">
        <x:f>IF(6&gt;D322,0,MAX(2,MIN('难度参数'!$E$12,ROUND(('难度参数'!$E$18*POWER(A322,'难度参数'!$E$19)/D322*(0.85+0.3*(6-1)/MAX(1,D322-1))),0)+F322)))</x:f>
        <x:v>39</x:v>
      </x:c>
      <x:c r="AS322" s="119" t="n">
        <x:f>IF(6&gt;D322,0,ROUND(('难度参数'!$E$13*POWER(A322,'难度参数'!$E$20)*MIN('难度参数'!$E$23,1+MAX(0,A322-'难度参数'!$E$21)*'难度参数'!$E$22))*(36+6*7)/(36+7*(D322+1)/2)*E322,0))</x:f>
        <x:v>10376</x:v>
      </x:c>
      <x:c r="AT322" s="119" t="n">
        <x:f>IF(AR322=0,0,(AR322-IF(6=D322,1,0))*ROUND(AS322*VLOOKUP(INDEX('章节与怪物'!$E$31:$K$37,B322,6),'章节与怪物'!$A$41:$F$44,2,FALSE),0)+IF(6=D322,ROUND(AS322*'难度参数'!$E$28*'章节与怪物'!$E$17,0),0))</x:f>
        <x:v>291369</x:v>
      </x:c>
      <x:c r="AU322" s="119" t="n">
        <x:f>IF(AR322=0,0,(AR322-IF(6=D322,1,0))*VLOOKUP(INDEX('章节与怪物'!$E$31:$K$37,B322,6),'章节与怪物'!$A$41:$F$44,4,FALSE)+IF(6=D322,'难度参数'!$E$30,0))</x:f>
        <x:v>780</x:v>
      </x:c>
      <x:c r="AV322" s="119" t="n">
        <x:f>IF(7&gt;D322,0,MAX(2,MIN('难度参数'!$E$12,ROUND(('难度参数'!$E$18*POWER(A322,'难度参数'!$E$19)/D322*(0.85+0.3*(7-1)/MAX(1,D322-1))),0)+F322)))</x:f>
        <x:v>41</x:v>
      </x:c>
      <x:c r="AW322" s="119" t="n">
        <x:f>IF(7&gt;D322,0,ROUND(('难度参数'!$E$13*POWER(A322,'难度参数'!$E$20)*MIN('难度参数'!$E$23,1+MAX(0,A322-'难度参数'!$E$21)*'难度参数'!$E$22))*(36+7*7)/(36+7*(D322+1)/2)*E322,0))</x:f>
        <x:v>11307</x:v>
      </x:c>
      <x:c r="AX322" s="119" t="n">
        <x:f>IF(AV322=0,0,(AV322-IF(7=D322,1,0))*ROUND(AW322*VLOOKUP(INDEX('章节与怪物'!$E$31:$K$37,B322,7),'章节与怪物'!$A$41:$F$44,2,FALSE),0)+IF(7=D322,ROUND(AW322*'难度参数'!$E$28*'章节与怪物'!$E$17,0),0))</x:f>
        <x:v>845768</x:v>
      </x:c>
      <x:c r="AY322" s="119" t="n">
        <x:f>IF(AV322=0,0,(AV322-IF(7=D322,1,0))*VLOOKUP(INDEX('章节与怪物'!$E$31:$K$37,B322,7),'章节与怪物'!$A$41:$F$44,4,FALSE)+IF(7=D322,'难度参数'!$E$30,0))</x:f>
        <x:v>1320</x:v>
      </x:c>
    </x:row>
    <x:row r="323" ht="23" customHeight="1">
      <x:c r="A323" s="119" t="n">
        <x:v>317</x:v>
      </x:c>
      <x:c r="B323" s="119" t="n">
        <x:f>MOD(INT((A323-1)/5),7)+1</x:f>
        <x:v>1</x:v>
      </x:c>
      <x:c r="C323" s="62" t="str">
        <x:f>INDEX('章节与怪物'!$B$31:$B$37,B323)</x:f>
        <x:v>冰雪荒原</x:v>
      </x:c>
      <x:c r="D323" s="119" t="n">
        <x:f>MIN('难度参数'!$E$8,MAX('难度参数'!$E$7,A323))</x:f>
        <x:v>7</x:v>
      </x:c>
      <x:c r="E323" s="106" t="n">
        <x:v>1</x:v>
      </x:c>
      <x:c r="F323" s="106" t="n">
        <x:v>0</x:v>
      </x:c>
      <x:c r="G323" s="106" t="n">
        <x:v>1</x:v>
      </x:c>
      <x:c r="H323" s="119" t="n">
        <x:f>SUM(X323,AB323,AF323,AJ323,AN323,AR323,AV323)</x:f>
        <x:v>248</x:v>
      </x:c>
      <x:c r="I323" s="119" t="n">
        <x:f>SUM(Z323,AD323,AH323,AL323,AP323,AT323,AX323)</x:f>
        <x:v>2691580</x:v>
      </x:c>
      <x:c r="J323" s="119" t="n">
        <x:f>ROUND(INDEX(X323:AY323,1,(D323-1)*4+2)*'难度参数'!$E$28*'章节与怪物'!$E$17,0)</x:f>
        <x:v>77064</x:v>
      </x:c>
      <x:c r="K323" s="119" t="n">
        <x:f>SUM(AA323,AE323,AI323,AM323,AQ323,AU323,AY323)</x:f>
        <x:v>6134</x:v>
      </x:c>
      <x:c r="L323" s="62" t="n">
        <x:f>H323*(ROUNDUP('难度参数'!$E$24/('难度参数'!$E$26*'难度参数'!$E$27),0)*'难度参数'!$E$26)/60</x:f>
        <x:v>3.3066666666666666</x:v>
      </x:c>
      <x:c r="M323" s="62" t="n">
        <x:f>L323+D323*('难度参数'!$E$49+'难度参数'!$E$50)/60</x:f>
        <x:v>4.473333333333334</x:v>
      </x:c>
      <x:c r="N323" s="119" t="n">
        <x:f>ROUNDDOWN(('经济参数'!$E$20+A323*'经济参数'!$E$21)*G323,0)</x:f>
        <x:v>6520</x:v>
      </x:c>
      <x:c r="O323" s="119" t="n">
        <x:f>ROUNDDOWN(MIN('经济参数'!$E$24,'经济参数'!$E$22+A323*'经济参数'!$E$23)*G323,0)</x:f>
        <x:v>0</x:v>
      </x:c>
      <x:c r="P323" s="119" t="n">
        <x:f>ROUNDDOWN((IF(A323&gt;='材料与任务'!$E$31,'材料与任务'!$E$32,IF(A323&gt;='材料与任务'!$E$25,'材料与任务'!$E$26,IF(A323&gt;='材料与任务'!$E$19,'材料与任务'!$E$20,IF(A323&gt;='材料与任务'!$E$13,'材料与任务'!$E$14,'材料与任务'!$E$8)))))*G323,0)</x:f>
        <x:v>6</x:v>
      </x:c>
      <x:c r="Q323" s="119" t="n">
        <x:f>ROUNDDOWN((IF(A323&gt;='材料与任务'!$E$31,'材料与任务'!$E$33,IF(A323&gt;='材料与任务'!$E$25,'材料与任务'!$E$27,IF(A323&gt;='材料与任务'!$E$19,'材料与任务'!$E$21,IF(A323&gt;='材料与任务'!$E$13,'材料与任务'!$E$15,'材料与任务'!$E$9)))))*G323,0)</x:f>
        <x:v>3</x:v>
      </x:c>
      <x:c r="R323" s="110" t="n">
        <x:f>'装备掉落'!$B$38</x:f>
        <x:v>0.6872058758851213</x:v>
      </x:c>
      <x:c r="S323" s="119" t="n">
        <x:f>MAX(IF(VLOOKUP(A323,'装备掉落'!$A$29:$H$34,2,TRUE)&gt;0,1,0),IF(VLOOKUP(A323,'装备掉落'!$A$29:$H$34,3,TRUE)&gt;0,2,0),IF(VLOOKUP(A323,'装备掉落'!$A$29:$H$34,4,TRUE)&gt;0,3,0),IF(VLOOKUP(A323,'装备掉落'!$A$29:$H$34,5,TRUE)&gt;0,4,0),IF(VLOOKUP(A323,'装备掉落'!$A$29:$H$34,6,TRUE)&gt;0,5,0),IF(VLOOKUP(A323,'装备掉落'!$A$29:$H$34,7,TRUE)&gt;0,6,0),IF(VLOOKUP(A323,'装备掉落'!$A$29:$H$34,8,TRUE)&gt;0,7,0))</x:f>
        <x:v>7</x:v>
      </x:c>
      <x:c r="T323" s="119" t="n">
        <x:f>MIN(7,S323+'经济参数'!$E$70)</x:f>
        <x:v>7</x:v>
      </x:c>
      <x:c r="U323" s="119" t="n">
        <x:f>MIN(7,S323+'经济参数'!$E$71)</x:f>
        <x:v>7</x:v>
      </x:c>
      <x:c r="V323" s="119" t="n">
        <x:f>IF(H323&gt;=('难度参数'!$E$52),1,0)+IF(H323&gt;=('难度参数'!$E$52+'难度参数'!$E$53),1,0)+IF(H323&gt;=('难度参数'!$E$52+'难度参数'!$E$53+'难度参数'!$E$54),1,0)+IF(H323&gt;=('难度参数'!$E$52+'难度参数'!$E$53+'难度参数'!$E$54+'难度参数'!$E$55),1,0)+IF(H323&gt;=('难度参数'!$E$52+'难度参数'!$E$53+'难度参数'!$E$54+'难度参数'!$E$55+'难度参数'!$E$56),1,0)+IF(H323&gt;=('难度参数'!$E$52+'难度参数'!$E$53+'难度参数'!$E$54+'难度参数'!$E$55+'难度参数'!$E$56+'难度参数'!$E$57),1,0)</x:f>
        <x:v>6</x:v>
      </x:c>
      <x:c r="W323" s="62" t="str">
        <x:f>IF(L323&gt;'难度参数'!$E$51,"仅出怪已超目标","还需实测")</x:f>
        <x:v>仅出怪已超目标</x:v>
      </x:c>
      <x:c r="X323" s="119" t="n">
        <x:f>IF(1&gt;D323,0,MAX(2,MIN('难度参数'!$E$12,ROUND(('难度参数'!$E$18*POWER(A323,'难度参数'!$E$19)/D323*(0.85+0.3*(1-1)/MAX(1,D323-1))),0)+F323)))</x:f>
        <x:v>30</x:v>
      </x:c>
      <x:c r="Y323" s="119" t="n">
        <x:f>IF(1&gt;D323,0,ROUND(('难度参数'!$E$13*POWER(A323,'难度参数'!$E$20)*MIN('难度参数'!$E$23,1+MAX(0,A323-'难度参数'!$E$21)*'难度参数'!$E$22))*(36+1*7)/(36+7*(D323+1)/2)*E323,0))</x:f>
        <x:v>5733</x:v>
      </x:c>
      <x:c r="Z323" s="119" t="n">
        <x:f>IF(X323=0,0,(X323-IF(1=D323,1,0))*ROUND(Y323*VLOOKUP(INDEX('章节与怪物'!$E$31:$K$37,B323,1),'章节与怪物'!$A$41:$F$44,2,FALSE),0)+IF(1=D323,ROUND(Y323*'难度参数'!$E$28*'章节与怪物'!$E$17,0),0))</x:f>
        <x:v>171990</x:v>
      </x:c>
      <x:c r="AA323" s="119" t="n">
        <x:f>IF(X323=0,0,(X323-IF(1=D323,1,0))*VLOOKUP(INDEX('章节与怪物'!$E$31:$K$37,B323,1),'章节与怪物'!$A$41:$F$44,4,FALSE)+IF(1=D323,'难度参数'!$E$30,0))</x:f>
        <x:v>540</x:v>
      </x:c>
      <x:c r="AB323" s="119" t="n">
        <x:f>IF(2&gt;D323,0,MAX(2,MIN('难度参数'!$E$12,ROUND(('难度参数'!$E$18*POWER(A323,'难度参数'!$E$19)/D323*(0.85+0.3*(2-1)/MAX(1,D323-1))),0)+F323)))</x:f>
        <x:v>32</x:v>
      </x:c>
      <x:c r="AC323" s="119" t="n">
        <x:f>IF(2&gt;D323,0,ROUND(('难度参数'!$E$13*POWER(A323,'难度参数'!$E$20)*MIN('难度参数'!$E$23,1+MAX(0,A323-'难度参数'!$E$21)*'难度参数'!$E$22))*(36+2*7)/(36+7*(D323+1)/2)*E323,0))</x:f>
        <x:v>6666</x:v>
      </x:c>
      <x:c r="AD323" s="119" t="n">
        <x:f>IF(AB323=0,0,(AB323-IF(2=D323,1,0))*ROUND(AC323*VLOOKUP(INDEX('章节与怪物'!$E$31:$K$37,B323,2),'章节与怪物'!$A$41:$F$44,2,FALSE),0)+IF(2=D323,ROUND(AC323*'难度参数'!$E$28*'章节与怪物'!$E$17,0),0))</x:f>
        <x:v>213312</x:v>
      </x:c>
      <x:c r="AE323" s="119" t="n">
        <x:f>IF(AB323=0,0,(AB323-IF(2=D323,1,0))*VLOOKUP(INDEX('章节与怪物'!$E$31:$K$37,B323,2),'章节与怪物'!$A$41:$F$44,4,FALSE)+IF(2=D323,'难度参数'!$E$30,0))</x:f>
        <x:v>576</x:v>
      </x:c>
      <x:c r="AF323" s="119" t="n">
        <x:f>IF(3&gt;D323,0,MAX(2,MIN('难度参数'!$E$12,ROUND(('难度参数'!$E$18*POWER(A323,'难度参数'!$E$19)/D323*(0.85+0.3*(3-1)/MAX(1,D323-1))),0)+F323)))</x:f>
        <x:v>34</x:v>
      </x:c>
      <x:c r="AG323" s="119" t="n">
        <x:f>IF(3&gt;D323,0,ROUND(('难度参数'!$E$13*POWER(A323,'难度参数'!$E$20)*MIN('难度参数'!$E$23,1+MAX(0,A323-'难度参数'!$E$21)*'难度参数'!$E$22))*(36+3*7)/(36+7*(D323+1)/2)*E323,0))</x:f>
        <x:v>7600</x:v>
      </x:c>
      <x:c r="AH323" s="119" t="n">
        <x:f>IF(AF323=0,0,(AF323-IF(3=D323,1,0))*ROUND(AG323*VLOOKUP(INDEX('章节与怪物'!$E$31:$K$37,B323,3),'章节与怪物'!$A$41:$F$44,2,FALSE),0)+IF(3=D323,ROUND(AG323*'难度参数'!$E$28*'章节与怪物'!$E$17,0),0))</x:f>
        <x:v>186048</x:v>
      </x:c>
      <x:c r="AI323" s="119" t="n">
        <x:f>IF(AF323=0,0,(AF323-IF(3=D323,1,0))*VLOOKUP(INDEX('章节与怪物'!$E$31:$K$37,B323,3),'章节与怪物'!$A$41:$F$44,4,FALSE)+IF(3=D323,'难度参数'!$E$30,0))</x:f>
        <x:v>680</x:v>
      </x:c>
      <x:c r="AJ323" s="119" t="n">
        <x:f>IF(4&gt;D323,0,MAX(2,MIN('难度参数'!$E$12,ROUND(('难度参数'!$E$18*POWER(A323,'难度参数'!$E$19)/D323*(0.85+0.3*(4-1)/MAX(1,D323-1))),0)+F323)))</x:f>
        <x:v>35</x:v>
      </x:c>
      <x:c r="AK323" s="119" t="n">
        <x:f>IF(4&gt;D323,0,ROUND(('难度参数'!$E$13*POWER(A323,'难度参数'!$E$20)*MIN('难度参数'!$E$23,1+MAX(0,A323-'难度参数'!$E$21)*'难度参数'!$E$22))*(36+4*7)/(36+7*(D323+1)/2)*E323,0))</x:f>
        <x:v>8533</x:v>
      </x:c>
      <x:c r="AL323" s="119" t="n">
        <x:f>IF(AJ323=0,0,(AJ323-IF(4=D323,1,0))*ROUND(AK323*VLOOKUP(INDEX('章节与怪物'!$E$31:$K$37,B323,4),'章节与怪物'!$A$41:$F$44,2,FALSE),0)+IF(4=D323,ROUND(AK323*'难度参数'!$E$28*'章节与怪物'!$E$17,0),0))</x:f>
        <x:v>507710</x:v>
      </x:c>
      <x:c r="AM323" s="119" t="n">
        <x:f>IF(AJ323=0,0,(AJ323-IF(4=D323,1,0))*VLOOKUP(INDEX('章节与怪物'!$E$31:$K$37,B323,4),'章节与怪物'!$A$41:$F$44,4,FALSE)+IF(4=D323,'难度参数'!$E$30,0))</x:f>
        <x:v>980</x:v>
      </x:c>
      <x:c r="AN323" s="119" t="n">
        <x:f>IF(5&gt;D323,0,MAX(2,MIN('难度参数'!$E$12,ROUND(('难度参数'!$E$18*POWER(A323,'难度参数'!$E$19)/D323*(0.85+0.3*(5-1)/MAX(1,D323-1))),0)+F323)))</x:f>
        <x:v>37</x:v>
      </x:c>
      <x:c r="AO323" s="119" t="n">
        <x:f>IF(5&gt;D323,0,ROUND(('难度参数'!$E$13*POWER(A323,'难度参数'!$E$20)*MIN('难度参数'!$E$23,1+MAX(0,A323-'难度参数'!$E$21)*'难度参数'!$E$22))*(36+5*7)/(36+7*(D323+1)/2)*E323,0))</x:f>
        <x:v>9466</x:v>
      </x:c>
      <x:c r="AP323" s="119" t="n">
        <x:f>IF(AN323=0,0,(AN323-IF(5=D323,1,0))*ROUND(AO323*VLOOKUP(INDEX('章节与怪物'!$E$31:$K$37,B323,5),'章节与怪物'!$A$41:$F$44,2,FALSE),0)+IF(5=D323,ROUND(AO323*'难度参数'!$E$28*'章节与怪物'!$E$17,0),0))</x:f>
        <x:v>472823</x:v>
      </x:c>
      <x:c r="AQ323" s="119" t="n">
        <x:f>IF(AN323=0,0,(AN323-IF(5=D323,1,0))*VLOOKUP(INDEX('章节与怪物'!$E$31:$K$37,B323,5),'章节与怪物'!$A$41:$F$44,4,FALSE)+IF(5=D323,'难度参数'!$E$30,0))</x:f>
        <x:v>1258</x:v>
      </x:c>
      <x:c r="AR323" s="119" t="n">
        <x:f>IF(6&gt;D323,0,MAX(2,MIN('难度参数'!$E$12,ROUND(('难度参数'!$E$18*POWER(A323,'难度参数'!$E$19)/D323*(0.85+0.3*(6-1)/MAX(1,D323-1))),0)+F323)))</x:f>
        <x:v>39</x:v>
      </x:c>
      <x:c r="AS323" s="119" t="n">
        <x:f>IF(6&gt;D323,0,ROUND(('难度参数'!$E$13*POWER(A323,'难度参数'!$E$20)*MIN('难度参数'!$E$23,1+MAX(0,A323-'难度参数'!$E$21)*'难度参数'!$E$22))*(36+6*7)/(36+7*(D323+1)/2)*E323,0))</x:f>
        <x:v>10399</x:v>
      </x:c>
      <x:c r="AT323" s="119" t="n">
        <x:f>IF(AR323=0,0,(AR323-IF(6=D323,1,0))*ROUND(AS323*VLOOKUP(INDEX('章节与怪物'!$E$31:$K$37,B323,6),'章节与怪物'!$A$41:$F$44,2,FALSE),0)+IF(6=D323,ROUND(AS323*'难度参数'!$E$28*'章节与怪物'!$E$17,0),0))</x:f>
        <x:v>291993</x:v>
      </x:c>
      <x:c r="AU323" s="119" t="n">
        <x:f>IF(AR323=0,0,(AR323-IF(6=D323,1,0))*VLOOKUP(INDEX('章节与怪物'!$E$31:$K$37,B323,6),'章节与怪物'!$A$41:$F$44,4,FALSE)+IF(6=D323,'难度参数'!$E$30,0))</x:f>
        <x:v>780</x:v>
      </x:c>
      <x:c r="AV323" s="119" t="n">
        <x:f>IF(7&gt;D323,0,MAX(2,MIN('难度参数'!$E$12,ROUND(('难度参数'!$E$18*POWER(A323,'难度参数'!$E$19)/D323*(0.85+0.3*(7-1)/MAX(1,D323-1))),0)+F323)))</x:f>
        <x:v>41</x:v>
      </x:c>
      <x:c r="AW323" s="119" t="n">
        <x:f>IF(7&gt;D323,0,ROUND(('难度参数'!$E$13*POWER(A323,'难度参数'!$E$20)*MIN('难度参数'!$E$23,1+MAX(0,A323-'难度参数'!$E$21)*'难度参数'!$E$22))*(36+7*7)/(36+7*(D323+1)/2)*E323,0))</x:f>
        <x:v>11333</x:v>
      </x:c>
      <x:c r="AX323" s="119" t="n">
        <x:f>IF(AV323=0,0,(AV323-IF(7=D323,1,0))*ROUND(AW323*VLOOKUP(INDEX('章节与怪物'!$E$31:$K$37,B323,7),'章节与怪物'!$A$41:$F$44,2,FALSE),0)+IF(7=D323,ROUND(AW323*'难度参数'!$E$28*'章节与怪物'!$E$17,0),0))</x:f>
        <x:v>847704</x:v>
      </x:c>
      <x:c r="AY323" s="119" t="n">
        <x:f>IF(AV323=0,0,(AV323-IF(7=D323,1,0))*VLOOKUP(INDEX('章节与怪物'!$E$31:$K$37,B323,7),'章节与怪物'!$A$41:$F$44,4,FALSE)+IF(7=D323,'难度参数'!$E$30,0))</x:f>
        <x:v>1320</x:v>
      </x:c>
    </x:row>
    <x:row r="324" ht="23" customHeight="1">
      <x:c r="A324" s="119" t="n">
        <x:v>318</x:v>
      </x:c>
      <x:c r="B324" s="119" t="n">
        <x:f>MOD(INT((A324-1)/5),7)+1</x:f>
        <x:v>1</x:v>
      </x:c>
      <x:c r="C324" s="62" t="str">
        <x:f>INDEX('章节与怪物'!$B$31:$B$37,B324)</x:f>
        <x:v>冰雪荒原</x:v>
      </x:c>
      <x:c r="D324" s="119" t="n">
        <x:f>MIN('难度参数'!$E$8,MAX('难度参数'!$E$7,A324))</x:f>
        <x:v>7</x:v>
      </x:c>
      <x:c r="E324" s="106" t="n">
        <x:v>1</x:v>
      </x:c>
      <x:c r="F324" s="106" t="n">
        <x:v>0</x:v>
      </x:c>
      <x:c r="G324" s="106" t="n">
        <x:v>1</x:v>
      </x:c>
      <x:c r="H324" s="119" t="n">
        <x:f>SUM(X324,AB324,AF324,AJ324,AN324,AR324,AV324)</x:f>
        <x:v>248</x:v>
      </x:c>
      <x:c r="I324" s="119" t="n">
        <x:f>SUM(Z324,AD324,AH324,AL324,AP324,AT324,AX324)</x:f>
        <x:v>2697680</x:v>
      </x:c>
      <x:c r="J324" s="119" t="n">
        <x:f>ROUND(INDEX(X324:AY324,1,(D324-1)*4+2)*'难度参数'!$E$28*'章节与怪物'!$E$17,0)</x:f>
        <x:v>77234</x:v>
      </x:c>
      <x:c r="K324" s="119" t="n">
        <x:f>SUM(AA324,AE324,AI324,AM324,AQ324,AU324,AY324)</x:f>
        <x:v>6134</x:v>
      </x:c>
      <x:c r="L324" s="62" t="n">
        <x:f>H324*(ROUNDUP('难度参数'!$E$24/('难度参数'!$E$26*'难度参数'!$E$27),0)*'难度参数'!$E$26)/60</x:f>
        <x:v>3.3066666666666666</x:v>
      </x:c>
      <x:c r="M324" s="62" t="n">
        <x:f>L324+D324*('难度参数'!$E$49+'难度参数'!$E$50)/60</x:f>
        <x:v>4.473333333333334</x:v>
      </x:c>
      <x:c r="N324" s="119" t="n">
        <x:f>ROUNDDOWN(('经济参数'!$E$20+A324*'经济参数'!$E$21)*G324,0)</x:f>
        <x:v>6540</x:v>
      </x:c>
      <x:c r="O324" s="119" t="n">
        <x:f>ROUNDDOWN(MIN('经济参数'!$E$24,'经济参数'!$E$22+A324*'经济参数'!$E$23)*G324,0)</x:f>
        <x:v>0</x:v>
      </x:c>
      <x:c r="P324" s="119" t="n">
        <x:f>ROUNDDOWN((IF(A324&gt;='材料与任务'!$E$31,'材料与任务'!$E$32,IF(A324&gt;='材料与任务'!$E$25,'材料与任务'!$E$26,IF(A324&gt;='材料与任务'!$E$19,'材料与任务'!$E$20,IF(A324&gt;='材料与任务'!$E$13,'材料与任务'!$E$14,'材料与任务'!$E$8)))))*G324,0)</x:f>
        <x:v>6</x:v>
      </x:c>
      <x:c r="Q324" s="119" t="n">
        <x:f>ROUNDDOWN((IF(A324&gt;='材料与任务'!$E$31,'材料与任务'!$E$33,IF(A324&gt;='材料与任务'!$E$25,'材料与任务'!$E$27,IF(A324&gt;='材料与任务'!$E$19,'材料与任务'!$E$21,IF(A324&gt;='材料与任务'!$E$13,'材料与任务'!$E$15,'材料与任务'!$E$9)))))*G324,0)</x:f>
        <x:v>3</x:v>
      </x:c>
      <x:c r="R324" s="110" t="n">
        <x:f>'装备掉落'!$B$38</x:f>
        <x:v>0.6872058758851213</x:v>
      </x:c>
      <x:c r="S324" s="119" t="n">
        <x:f>MAX(IF(VLOOKUP(A324,'装备掉落'!$A$29:$H$34,2,TRUE)&gt;0,1,0),IF(VLOOKUP(A324,'装备掉落'!$A$29:$H$34,3,TRUE)&gt;0,2,0),IF(VLOOKUP(A324,'装备掉落'!$A$29:$H$34,4,TRUE)&gt;0,3,0),IF(VLOOKUP(A324,'装备掉落'!$A$29:$H$34,5,TRUE)&gt;0,4,0),IF(VLOOKUP(A324,'装备掉落'!$A$29:$H$34,6,TRUE)&gt;0,5,0),IF(VLOOKUP(A324,'装备掉落'!$A$29:$H$34,7,TRUE)&gt;0,6,0),IF(VLOOKUP(A324,'装备掉落'!$A$29:$H$34,8,TRUE)&gt;0,7,0))</x:f>
        <x:v>7</x:v>
      </x:c>
      <x:c r="T324" s="119" t="n">
        <x:f>MIN(7,S324+'经济参数'!$E$70)</x:f>
        <x:v>7</x:v>
      </x:c>
      <x:c r="U324" s="119" t="n">
        <x:f>MIN(7,S324+'经济参数'!$E$71)</x:f>
        <x:v>7</x:v>
      </x:c>
      <x:c r="V324" s="119" t="n">
        <x:f>IF(H324&gt;=('难度参数'!$E$52),1,0)+IF(H324&gt;=('难度参数'!$E$52+'难度参数'!$E$53),1,0)+IF(H324&gt;=('难度参数'!$E$52+'难度参数'!$E$53+'难度参数'!$E$54),1,0)+IF(H324&gt;=('难度参数'!$E$52+'难度参数'!$E$53+'难度参数'!$E$54+'难度参数'!$E$55),1,0)+IF(H324&gt;=('难度参数'!$E$52+'难度参数'!$E$53+'难度参数'!$E$54+'难度参数'!$E$55+'难度参数'!$E$56),1,0)+IF(H324&gt;=('难度参数'!$E$52+'难度参数'!$E$53+'难度参数'!$E$54+'难度参数'!$E$55+'难度参数'!$E$56+'难度参数'!$E$57),1,0)</x:f>
        <x:v>6</x:v>
      </x:c>
      <x:c r="W324" s="62" t="str">
        <x:f>IF(L324&gt;'难度参数'!$E$51,"仅出怪已超目标","还需实测")</x:f>
        <x:v>仅出怪已超目标</x:v>
      </x:c>
      <x:c r="X324" s="119" t="n">
        <x:f>IF(1&gt;D324,0,MAX(2,MIN('难度参数'!$E$12,ROUND(('难度参数'!$E$18*POWER(A324,'难度参数'!$E$19)/D324*(0.85+0.3*(1-1)/MAX(1,D324-1))),0)+F324)))</x:f>
        <x:v>30</x:v>
      </x:c>
      <x:c r="Y324" s="119" t="n">
        <x:f>IF(1&gt;D324,0,ROUND(('难度参数'!$E$13*POWER(A324,'难度参数'!$E$20)*MIN('难度参数'!$E$23,1+MAX(0,A324-'难度参数'!$E$21)*'难度参数'!$E$22))*(36+1*7)/(36+7*(D324+1)/2)*E324,0))</x:f>
        <x:v>5746</x:v>
      </x:c>
      <x:c r="Z324" s="119" t="n">
        <x:f>IF(X324=0,0,(X324-IF(1=D324,1,0))*ROUND(Y324*VLOOKUP(INDEX('章节与怪物'!$E$31:$K$37,B324,1),'章节与怪物'!$A$41:$F$44,2,FALSE),0)+IF(1=D324,ROUND(Y324*'难度参数'!$E$28*'章节与怪物'!$E$17,0),0))</x:f>
        <x:v>172380</x:v>
      </x:c>
      <x:c r="AA324" s="119" t="n">
        <x:f>IF(X324=0,0,(X324-IF(1=D324,1,0))*VLOOKUP(INDEX('章节与怪物'!$E$31:$K$37,B324,1),'章节与怪物'!$A$41:$F$44,4,FALSE)+IF(1=D324,'难度参数'!$E$30,0))</x:f>
        <x:v>540</x:v>
      </x:c>
      <x:c r="AB324" s="119" t="n">
        <x:f>IF(2&gt;D324,0,MAX(2,MIN('难度参数'!$E$12,ROUND(('难度参数'!$E$18*POWER(A324,'难度参数'!$E$19)/D324*(0.85+0.3*(2-1)/MAX(1,D324-1))),0)+F324)))</x:f>
        <x:v>32</x:v>
      </x:c>
      <x:c r="AC324" s="119" t="n">
        <x:f>IF(2&gt;D324,0,ROUND(('难度参数'!$E$13*POWER(A324,'难度参数'!$E$20)*MIN('难度参数'!$E$23,1+MAX(0,A324-'难度参数'!$E$21)*'难度参数'!$E$22))*(36+2*7)/(36+7*(D324+1)/2)*E324,0))</x:f>
        <x:v>6681</x:v>
      </x:c>
      <x:c r="AD324" s="119" t="n">
        <x:f>IF(AB324=0,0,(AB324-IF(2=D324,1,0))*ROUND(AC324*VLOOKUP(INDEX('章节与怪物'!$E$31:$K$37,B324,2),'章节与怪物'!$A$41:$F$44,2,FALSE),0)+IF(2=D324,ROUND(AC324*'难度参数'!$E$28*'章节与怪物'!$E$17,0),0))</x:f>
        <x:v>213792</x:v>
      </x:c>
      <x:c r="AE324" s="119" t="n">
        <x:f>IF(AB324=0,0,(AB324-IF(2=D324,1,0))*VLOOKUP(INDEX('章节与怪物'!$E$31:$K$37,B324,2),'章节与怪物'!$A$41:$F$44,4,FALSE)+IF(2=D324,'难度参数'!$E$30,0))</x:f>
        <x:v>576</x:v>
      </x:c>
      <x:c r="AF324" s="119" t="n">
        <x:f>IF(3&gt;D324,0,MAX(2,MIN('难度参数'!$E$12,ROUND(('难度参数'!$E$18*POWER(A324,'难度参数'!$E$19)/D324*(0.85+0.3*(3-1)/MAX(1,D324-1))),0)+F324)))</x:f>
        <x:v>34</x:v>
      </x:c>
      <x:c r="AG324" s="119" t="n">
        <x:f>IF(3&gt;D324,0,ROUND(('难度参数'!$E$13*POWER(A324,'难度参数'!$E$20)*MIN('难度参数'!$E$23,1+MAX(0,A324-'难度参数'!$E$21)*'难度参数'!$E$22))*(36+3*7)/(36+7*(D324+1)/2)*E324,0))</x:f>
        <x:v>7617</x:v>
      </x:c>
      <x:c r="AH324" s="119" t="n">
        <x:f>IF(AF324=0,0,(AF324-IF(3=D324,1,0))*ROUND(AG324*VLOOKUP(INDEX('章节与怪物'!$E$31:$K$37,B324,3),'章节与怪物'!$A$41:$F$44,2,FALSE),0)+IF(3=D324,ROUND(AG324*'难度参数'!$E$28*'章节与怪物'!$E$17,0),0))</x:f>
        <x:v>186456</x:v>
      </x:c>
      <x:c r="AI324" s="119" t="n">
        <x:f>IF(AF324=0,0,(AF324-IF(3=D324,1,0))*VLOOKUP(INDEX('章节与怪物'!$E$31:$K$37,B324,3),'章节与怪物'!$A$41:$F$44,4,FALSE)+IF(3=D324,'难度参数'!$E$30,0))</x:f>
        <x:v>680</x:v>
      </x:c>
      <x:c r="AJ324" s="119" t="n">
        <x:f>IF(4&gt;D324,0,MAX(2,MIN('难度参数'!$E$12,ROUND(('难度参数'!$E$18*POWER(A324,'难度参数'!$E$19)/D324*(0.85+0.3*(4-1)/MAX(1,D324-1))),0)+F324)))</x:f>
        <x:v>35</x:v>
      </x:c>
      <x:c r="AK324" s="119" t="n">
        <x:f>IF(4&gt;D324,0,ROUND(('难度参数'!$E$13*POWER(A324,'难度参数'!$E$20)*MIN('难度参数'!$E$23,1+MAX(0,A324-'难度参数'!$E$21)*'难度参数'!$E$22))*(36+4*7)/(36+7*(D324+1)/2)*E324,0))</x:f>
        <x:v>8552</x:v>
      </x:c>
      <x:c r="AL324" s="119" t="n">
        <x:f>IF(AJ324=0,0,(AJ324-IF(4=D324,1,0))*ROUND(AK324*VLOOKUP(INDEX('章节与怪物'!$E$31:$K$37,B324,4),'章节与怪物'!$A$41:$F$44,2,FALSE),0)+IF(4=D324,ROUND(AK324*'难度参数'!$E$28*'章节与怪物'!$E$17,0),0))</x:f>
        <x:v>508830</x:v>
      </x:c>
      <x:c r="AM324" s="119" t="n">
        <x:f>IF(AJ324=0,0,(AJ324-IF(4=D324,1,0))*VLOOKUP(INDEX('章节与怪物'!$E$31:$K$37,B324,4),'章节与怪物'!$A$41:$F$44,4,FALSE)+IF(4=D324,'难度参数'!$E$30,0))</x:f>
        <x:v>980</x:v>
      </x:c>
      <x:c r="AN324" s="119" t="n">
        <x:f>IF(5&gt;D324,0,MAX(2,MIN('难度参数'!$E$12,ROUND(('难度参数'!$E$18*POWER(A324,'难度参数'!$E$19)/D324*(0.85+0.3*(5-1)/MAX(1,D324-1))),0)+F324)))</x:f>
        <x:v>37</x:v>
      </x:c>
      <x:c r="AO324" s="119" t="n">
        <x:f>IF(5&gt;D324,0,ROUND(('难度参数'!$E$13*POWER(A324,'难度参数'!$E$20)*MIN('难度参数'!$E$23,1+MAX(0,A324-'难度参数'!$E$21)*'难度参数'!$E$22))*(36+5*7)/(36+7*(D324+1)/2)*E324,0))</x:f>
        <x:v>9488</x:v>
      </x:c>
      <x:c r="AP324" s="119" t="n">
        <x:f>IF(AN324=0,0,(AN324-IF(5=D324,1,0))*ROUND(AO324*VLOOKUP(INDEX('章节与怪物'!$E$31:$K$37,B324,5),'章节与怪物'!$A$41:$F$44,2,FALSE),0)+IF(5=D324,ROUND(AO324*'难度参数'!$E$28*'章节与怪物'!$E$17,0),0))</x:f>
        <x:v>473933</x:v>
      </x:c>
      <x:c r="AQ324" s="119" t="n">
        <x:f>IF(AN324=0,0,(AN324-IF(5=D324,1,0))*VLOOKUP(INDEX('章节与怪物'!$E$31:$K$37,B324,5),'章节与怪物'!$A$41:$F$44,4,FALSE)+IF(5=D324,'难度参数'!$E$30,0))</x:f>
        <x:v>1258</x:v>
      </x:c>
      <x:c r="AR324" s="119" t="n">
        <x:f>IF(6&gt;D324,0,MAX(2,MIN('难度参数'!$E$12,ROUND(('难度参数'!$E$18*POWER(A324,'难度参数'!$E$19)/D324*(0.85+0.3*(6-1)/MAX(1,D324-1))),0)+F324)))</x:f>
        <x:v>39</x:v>
      </x:c>
      <x:c r="AS324" s="119" t="n">
        <x:f>IF(6&gt;D324,0,ROUND(('难度参数'!$E$13*POWER(A324,'难度参数'!$E$20)*MIN('难度参数'!$E$23,1+MAX(0,A324-'难度参数'!$E$21)*'难度参数'!$E$22))*(36+6*7)/(36+7*(D324+1)/2)*E324,0))</x:f>
        <x:v>10423</x:v>
      </x:c>
      <x:c r="AT324" s="119" t="n">
        <x:f>IF(AR324=0,0,(AR324-IF(6=D324,1,0))*ROUND(AS324*VLOOKUP(INDEX('章节与怪物'!$E$31:$K$37,B324,6),'章节与怪物'!$A$41:$F$44,2,FALSE),0)+IF(6=D324,ROUND(AS324*'难度参数'!$E$28*'章节与怪物'!$E$17,0),0))</x:f>
        <x:v>292695</x:v>
      </x:c>
      <x:c r="AU324" s="119" t="n">
        <x:f>IF(AR324=0,0,(AR324-IF(6=D324,1,0))*VLOOKUP(INDEX('章节与怪物'!$E$31:$K$37,B324,6),'章节与怪物'!$A$41:$F$44,4,FALSE)+IF(6=D324,'难度参数'!$E$30,0))</x:f>
        <x:v>780</x:v>
      </x:c>
      <x:c r="AV324" s="119" t="n">
        <x:f>IF(7&gt;D324,0,MAX(2,MIN('难度参数'!$E$12,ROUND(('难度参数'!$E$18*POWER(A324,'难度参数'!$E$19)/D324*(0.85+0.3*(7-1)/MAX(1,D324-1))),0)+F324)))</x:f>
        <x:v>41</x:v>
      </x:c>
      <x:c r="AW324" s="119" t="n">
        <x:f>IF(7&gt;D324,0,ROUND(('难度参数'!$E$13*POWER(A324,'难度参数'!$E$20)*MIN('难度参数'!$E$23,1+MAX(0,A324-'难度参数'!$E$21)*'难度参数'!$E$22))*(36+7*7)/(36+7*(D324+1)/2)*E324,0))</x:f>
        <x:v>11358</x:v>
      </x:c>
      <x:c r="AX324" s="119" t="n">
        <x:f>IF(AV324=0,0,(AV324-IF(7=D324,1,0))*ROUND(AW324*VLOOKUP(INDEX('章节与怪物'!$E$31:$K$37,B324,7),'章节与怪物'!$A$41:$F$44,2,FALSE),0)+IF(7=D324,ROUND(AW324*'难度参数'!$E$28*'章节与怪物'!$E$17,0),0))</x:f>
        <x:v>849594</x:v>
      </x:c>
      <x:c r="AY324" s="119" t="n">
        <x:f>IF(AV324=0,0,(AV324-IF(7=D324,1,0))*VLOOKUP(INDEX('章节与怪物'!$E$31:$K$37,B324,7),'章节与怪物'!$A$41:$F$44,4,FALSE)+IF(7=D324,'难度参数'!$E$30,0))</x:f>
        <x:v>1320</x:v>
      </x:c>
    </x:row>
    <x:row r="325" ht="23" customHeight="1">
      <x:c r="A325" s="119" t="n">
        <x:v>319</x:v>
      </x:c>
      <x:c r="B325" s="119" t="n">
        <x:f>MOD(INT((A325-1)/5),7)+1</x:f>
        <x:v>1</x:v>
      </x:c>
      <x:c r="C325" s="62" t="str">
        <x:f>INDEX('章节与怪物'!$B$31:$B$37,B325)</x:f>
        <x:v>冰雪荒原</x:v>
      </x:c>
      <x:c r="D325" s="119" t="n">
        <x:f>MIN('难度参数'!$E$8,MAX('难度参数'!$E$7,A325))</x:f>
        <x:v>7</x:v>
      </x:c>
      <x:c r="E325" s="106" t="n">
        <x:v>1</x:v>
      </x:c>
      <x:c r="F325" s="106" t="n">
        <x:v>0</x:v>
      </x:c>
      <x:c r="G325" s="106" t="n">
        <x:v>1</x:v>
      </x:c>
      <x:c r="H325" s="119" t="n">
        <x:f>SUM(X325,AB325,AF325,AJ325,AN325,AR325,AV325)</x:f>
        <x:v>248</x:v>
      </x:c>
      <x:c r="I325" s="119" t="n">
        <x:f>SUM(Z325,AD325,AH325,AL325,AP325,AT325,AX325)</x:f>
        <x:v>2703816</x:v>
      </x:c>
      <x:c r="J325" s="119" t="n">
        <x:f>ROUND(INDEX(X325:AY325,1,(D325-1)*4+2)*'难度参数'!$E$28*'章节与怪物'!$E$17,0)</x:f>
        <x:v>77411</x:v>
      </x:c>
      <x:c r="K325" s="119" t="n">
        <x:f>SUM(AA325,AE325,AI325,AM325,AQ325,AU325,AY325)</x:f>
        <x:v>6134</x:v>
      </x:c>
      <x:c r="L325" s="62" t="n">
        <x:f>H325*(ROUNDUP('难度参数'!$E$24/('难度参数'!$E$26*'难度参数'!$E$27),0)*'难度参数'!$E$26)/60</x:f>
        <x:v>3.3066666666666666</x:v>
      </x:c>
      <x:c r="M325" s="62" t="n">
        <x:f>L325+D325*('难度参数'!$E$49+'难度参数'!$E$50)/60</x:f>
        <x:v>4.473333333333334</x:v>
      </x:c>
      <x:c r="N325" s="119" t="n">
        <x:f>ROUNDDOWN(('经济参数'!$E$20+A325*'经济参数'!$E$21)*G325,0)</x:f>
        <x:v>6560</x:v>
      </x:c>
      <x:c r="O325" s="119" t="n">
        <x:f>ROUNDDOWN(MIN('经济参数'!$E$24,'经济参数'!$E$22+A325*'经济参数'!$E$23)*G325,0)</x:f>
        <x:v>0</x:v>
      </x:c>
      <x:c r="P325" s="119" t="n">
        <x:f>ROUNDDOWN((IF(A325&gt;='材料与任务'!$E$31,'材料与任务'!$E$32,IF(A325&gt;='材料与任务'!$E$25,'材料与任务'!$E$26,IF(A325&gt;='材料与任务'!$E$19,'材料与任务'!$E$20,IF(A325&gt;='材料与任务'!$E$13,'材料与任务'!$E$14,'材料与任务'!$E$8)))))*G325,0)</x:f>
        <x:v>6</x:v>
      </x:c>
      <x:c r="Q325" s="119" t="n">
        <x:f>ROUNDDOWN((IF(A325&gt;='材料与任务'!$E$31,'材料与任务'!$E$33,IF(A325&gt;='材料与任务'!$E$25,'材料与任务'!$E$27,IF(A325&gt;='材料与任务'!$E$19,'材料与任务'!$E$21,IF(A325&gt;='材料与任务'!$E$13,'材料与任务'!$E$15,'材料与任务'!$E$9)))))*G325,0)</x:f>
        <x:v>3</x:v>
      </x:c>
      <x:c r="R325" s="110" t="n">
        <x:f>'装备掉落'!$B$38</x:f>
        <x:v>0.6872058758851213</x:v>
      </x:c>
      <x:c r="S325" s="119" t="n">
        <x:f>MAX(IF(VLOOKUP(A325,'装备掉落'!$A$29:$H$34,2,TRUE)&gt;0,1,0),IF(VLOOKUP(A325,'装备掉落'!$A$29:$H$34,3,TRUE)&gt;0,2,0),IF(VLOOKUP(A325,'装备掉落'!$A$29:$H$34,4,TRUE)&gt;0,3,0),IF(VLOOKUP(A325,'装备掉落'!$A$29:$H$34,5,TRUE)&gt;0,4,0),IF(VLOOKUP(A325,'装备掉落'!$A$29:$H$34,6,TRUE)&gt;0,5,0),IF(VLOOKUP(A325,'装备掉落'!$A$29:$H$34,7,TRUE)&gt;0,6,0),IF(VLOOKUP(A325,'装备掉落'!$A$29:$H$34,8,TRUE)&gt;0,7,0))</x:f>
        <x:v>7</x:v>
      </x:c>
      <x:c r="T325" s="119" t="n">
        <x:f>MIN(7,S325+'经济参数'!$E$70)</x:f>
        <x:v>7</x:v>
      </x:c>
      <x:c r="U325" s="119" t="n">
        <x:f>MIN(7,S325+'经济参数'!$E$71)</x:f>
        <x:v>7</x:v>
      </x:c>
      <x:c r="V325" s="119" t="n">
        <x:f>IF(H325&gt;=('难度参数'!$E$52),1,0)+IF(H325&gt;=('难度参数'!$E$52+'难度参数'!$E$53),1,0)+IF(H325&gt;=('难度参数'!$E$52+'难度参数'!$E$53+'难度参数'!$E$54),1,0)+IF(H325&gt;=('难度参数'!$E$52+'难度参数'!$E$53+'难度参数'!$E$54+'难度参数'!$E$55),1,0)+IF(H325&gt;=('难度参数'!$E$52+'难度参数'!$E$53+'难度参数'!$E$54+'难度参数'!$E$55+'难度参数'!$E$56),1,0)+IF(H325&gt;=('难度参数'!$E$52+'难度参数'!$E$53+'难度参数'!$E$54+'难度参数'!$E$55+'难度参数'!$E$56+'难度参数'!$E$57),1,0)</x:f>
        <x:v>6</x:v>
      </x:c>
      <x:c r="W325" s="62" t="str">
        <x:f>IF(L325&gt;'难度参数'!$E$51,"仅出怪已超目标","还需实测")</x:f>
        <x:v>仅出怪已超目标</x:v>
      </x:c>
      <x:c r="X325" s="119" t="n">
        <x:f>IF(1&gt;D325,0,MAX(2,MIN('难度参数'!$E$12,ROUND(('难度参数'!$E$18*POWER(A325,'难度参数'!$E$19)/D325*(0.85+0.3*(1-1)/MAX(1,D325-1))),0)+F325)))</x:f>
        <x:v>30</x:v>
      </x:c>
      <x:c r="Y325" s="119" t="n">
        <x:f>IF(1&gt;D325,0,ROUND(('难度参数'!$E$13*POWER(A325,'难度参数'!$E$20)*MIN('难度参数'!$E$23,1+MAX(0,A325-'难度参数'!$E$21)*'难度参数'!$E$22))*(36+1*7)/(36+7*(D325+1)/2)*E325,0))</x:f>
        <x:v>5759</x:v>
      </x:c>
      <x:c r="Z325" s="119" t="n">
        <x:f>IF(X325=0,0,(X325-IF(1=D325,1,0))*ROUND(Y325*VLOOKUP(INDEX('章节与怪物'!$E$31:$K$37,B325,1),'章节与怪物'!$A$41:$F$44,2,FALSE),0)+IF(1=D325,ROUND(Y325*'难度参数'!$E$28*'章节与怪物'!$E$17,0),0))</x:f>
        <x:v>172770</x:v>
      </x:c>
      <x:c r="AA325" s="119" t="n">
        <x:f>IF(X325=0,0,(X325-IF(1=D325,1,0))*VLOOKUP(INDEX('章节与怪物'!$E$31:$K$37,B325,1),'章节与怪物'!$A$41:$F$44,4,FALSE)+IF(1=D325,'难度参数'!$E$30,0))</x:f>
        <x:v>540</x:v>
      </x:c>
      <x:c r="AB325" s="119" t="n">
        <x:f>IF(2&gt;D325,0,MAX(2,MIN('难度参数'!$E$12,ROUND(('难度参数'!$E$18*POWER(A325,'难度参数'!$E$19)/D325*(0.85+0.3*(2-1)/MAX(1,D325-1))),0)+F325)))</x:f>
        <x:v>32</x:v>
      </x:c>
      <x:c r="AC325" s="119" t="n">
        <x:f>IF(2&gt;D325,0,ROUND(('难度参数'!$E$13*POWER(A325,'难度参数'!$E$20)*MIN('难度参数'!$E$23,1+MAX(0,A325-'难度参数'!$E$21)*'难度参数'!$E$22))*(36+2*7)/(36+7*(D325+1)/2)*E325,0))</x:f>
        <x:v>6697</x:v>
      </x:c>
      <x:c r="AD325" s="119" t="n">
        <x:f>IF(AB325=0,0,(AB325-IF(2=D325,1,0))*ROUND(AC325*VLOOKUP(INDEX('章节与怪物'!$E$31:$K$37,B325,2),'章节与怪物'!$A$41:$F$44,2,FALSE),0)+IF(2=D325,ROUND(AC325*'难度参数'!$E$28*'章节与怪物'!$E$17,0),0))</x:f>
        <x:v>214304</x:v>
      </x:c>
      <x:c r="AE325" s="119" t="n">
        <x:f>IF(AB325=0,0,(AB325-IF(2=D325,1,0))*VLOOKUP(INDEX('章节与怪物'!$E$31:$K$37,B325,2),'章节与怪物'!$A$41:$F$44,4,FALSE)+IF(2=D325,'难度参数'!$E$30,0))</x:f>
        <x:v>576</x:v>
      </x:c>
      <x:c r="AF325" s="119" t="n">
        <x:f>IF(3&gt;D325,0,MAX(2,MIN('难度参数'!$E$12,ROUND(('难度参数'!$E$18*POWER(A325,'难度参数'!$E$19)/D325*(0.85+0.3*(3-1)/MAX(1,D325-1))),0)+F325)))</x:f>
        <x:v>34</x:v>
      </x:c>
      <x:c r="AG325" s="119" t="n">
        <x:f>IF(3&gt;D325,0,ROUND(('难度参数'!$E$13*POWER(A325,'难度参数'!$E$20)*MIN('难度参数'!$E$23,1+MAX(0,A325-'难度参数'!$E$21)*'难度参数'!$E$22))*(36+3*7)/(36+7*(D325+1)/2)*E325,0))</x:f>
        <x:v>7634</x:v>
      </x:c>
      <x:c r="AH325" s="119" t="n">
        <x:f>IF(AF325=0,0,(AF325-IF(3=D325,1,0))*ROUND(AG325*VLOOKUP(INDEX('章节与怪物'!$E$31:$K$37,B325,3),'章节与怪物'!$A$41:$F$44,2,FALSE),0)+IF(3=D325,ROUND(AG325*'难度参数'!$E$28*'章节与怪物'!$E$17,0),0))</x:f>
        <x:v>186864</x:v>
      </x:c>
      <x:c r="AI325" s="119" t="n">
        <x:f>IF(AF325=0,0,(AF325-IF(3=D325,1,0))*VLOOKUP(INDEX('章节与怪物'!$E$31:$K$37,B325,3),'章节与怪物'!$A$41:$F$44,4,FALSE)+IF(3=D325,'难度参数'!$E$30,0))</x:f>
        <x:v>680</x:v>
      </x:c>
      <x:c r="AJ325" s="119" t="n">
        <x:f>IF(4&gt;D325,0,MAX(2,MIN('难度参数'!$E$12,ROUND(('难度参数'!$E$18*POWER(A325,'难度参数'!$E$19)/D325*(0.85+0.3*(4-1)/MAX(1,D325-1))),0)+F325)))</x:f>
        <x:v>35</x:v>
      </x:c>
      <x:c r="AK325" s="119" t="n">
        <x:f>IF(4&gt;D325,0,ROUND(('难度参数'!$E$13*POWER(A325,'难度参数'!$E$20)*MIN('难度参数'!$E$23,1+MAX(0,A325-'难度参数'!$E$21)*'难度参数'!$E$22))*(36+4*7)/(36+7*(D325+1)/2)*E325,0))</x:f>
        <x:v>8572</x:v>
      </x:c>
      <x:c r="AL325" s="119" t="n">
        <x:f>IF(AJ325=0,0,(AJ325-IF(4=D325,1,0))*ROUND(AK325*VLOOKUP(INDEX('章节与怪物'!$E$31:$K$37,B325,4),'章节与怪物'!$A$41:$F$44,2,FALSE),0)+IF(4=D325,ROUND(AK325*'难度参数'!$E$28*'章节与怪物'!$E$17,0),0))</x:f>
        <x:v>510020</x:v>
      </x:c>
      <x:c r="AM325" s="119" t="n">
        <x:f>IF(AJ325=0,0,(AJ325-IF(4=D325,1,0))*VLOOKUP(INDEX('章节与怪物'!$E$31:$K$37,B325,4),'章节与怪物'!$A$41:$F$44,4,FALSE)+IF(4=D325,'难度参数'!$E$30,0))</x:f>
        <x:v>980</x:v>
      </x:c>
      <x:c r="AN325" s="119" t="n">
        <x:f>IF(5&gt;D325,0,MAX(2,MIN('难度参数'!$E$12,ROUND(('难度参数'!$E$18*POWER(A325,'难度参数'!$E$19)/D325*(0.85+0.3*(5-1)/MAX(1,D325-1))),0)+F325)))</x:f>
        <x:v>37</x:v>
      </x:c>
      <x:c r="AO325" s="119" t="n">
        <x:f>IF(5&gt;D325,0,ROUND(('难度参数'!$E$13*POWER(A325,'难度参数'!$E$20)*MIN('难度参数'!$E$23,1+MAX(0,A325-'难度参数'!$E$21)*'难度参数'!$E$22))*(36+5*7)/(36+7*(D325+1)/2)*E325,0))</x:f>
        <x:v>9509</x:v>
      </x:c>
      <x:c r="AP325" s="119" t="n">
        <x:f>IF(AN325=0,0,(AN325-IF(5=D325,1,0))*ROUND(AO325*VLOOKUP(INDEX('章节与怪物'!$E$31:$K$37,B325,5),'章节与怪物'!$A$41:$F$44,2,FALSE),0)+IF(5=D325,ROUND(AO325*'难度参数'!$E$28*'章节与怪物'!$E$17,0),0))</x:f>
        <x:v>474969</x:v>
      </x:c>
      <x:c r="AQ325" s="119" t="n">
        <x:f>IF(AN325=0,0,(AN325-IF(5=D325,1,0))*VLOOKUP(INDEX('章节与怪物'!$E$31:$K$37,B325,5),'章节与怪物'!$A$41:$F$44,4,FALSE)+IF(5=D325,'难度参数'!$E$30,0))</x:f>
        <x:v>1258</x:v>
      </x:c>
      <x:c r="AR325" s="119" t="n">
        <x:f>IF(6&gt;D325,0,MAX(2,MIN('难度参数'!$E$12,ROUND(('难度参数'!$E$18*POWER(A325,'难度参数'!$E$19)/D325*(0.85+0.3*(6-1)/MAX(1,D325-1))),0)+F325)))</x:f>
        <x:v>39</x:v>
      </x:c>
      <x:c r="AS325" s="119" t="n">
        <x:f>IF(6&gt;D325,0,ROUND(('难度参数'!$E$13*POWER(A325,'难度参数'!$E$20)*MIN('难度参数'!$E$23,1+MAX(0,A325-'难度参数'!$E$21)*'难度参数'!$E$22))*(36+6*7)/(36+7*(D325+1)/2)*E325,0))</x:f>
        <x:v>10447</x:v>
      </x:c>
      <x:c r="AT325" s="119" t="n">
        <x:f>IF(AR325=0,0,(AR325-IF(6=D325,1,0))*ROUND(AS325*VLOOKUP(INDEX('章节与怪物'!$E$31:$K$37,B325,6),'章节与怪物'!$A$41:$F$44,2,FALSE),0)+IF(6=D325,ROUND(AS325*'难度参数'!$E$28*'章节与怪物'!$E$17,0),0))</x:f>
        <x:v>293358</x:v>
      </x:c>
      <x:c r="AU325" s="119" t="n">
        <x:f>IF(AR325=0,0,(AR325-IF(6=D325,1,0))*VLOOKUP(INDEX('章节与怪物'!$E$31:$K$37,B325,6),'章节与怪物'!$A$41:$F$44,4,FALSE)+IF(6=D325,'难度参数'!$E$30,0))</x:f>
        <x:v>780</x:v>
      </x:c>
      <x:c r="AV325" s="119" t="n">
        <x:f>IF(7&gt;D325,0,MAX(2,MIN('难度参数'!$E$12,ROUND(('难度参数'!$E$18*POWER(A325,'难度参数'!$E$19)/D325*(0.85+0.3*(7-1)/MAX(1,D325-1))),0)+F325)))</x:f>
        <x:v>41</x:v>
      </x:c>
      <x:c r="AW325" s="119" t="n">
        <x:f>IF(7&gt;D325,0,ROUND(('难度参数'!$E$13*POWER(A325,'难度参数'!$E$20)*MIN('难度参数'!$E$23,1+MAX(0,A325-'难度参数'!$E$21)*'难度参数'!$E$22))*(36+7*7)/(36+7*(D325+1)/2)*E325,0))</x:f>
        <x:v>11384</x:v>
      </x:c>
      <x:c r="AX325" s="119" t="n">
        <x:f>IF(AV325=0,0,(AV325-IF(7=D325,1,0))*ROUND(AW325*VLOOKUP(INDEX('章节与怪物'!$E$31:$K$37,B325,7),'章节与怪物'!$A$41:$F$44,2,FALSE),0)+IF(7=D325,ROUND(AW325*'难度参数'!$E$28*'章节与怪物'!$E$17,0),0))</x:f>
        <x:v>851531</x:v>
      </x:c>
      <x:c r="AY325" s="119" t="n">
        <x:f>IF(AV325=0,0,(AV325-IF(7=D325,1,0))*VLOOKUP(INDEX('章节与怪物'!$E$31:$K$37,B325,7),'章节与怪物'!$A$41:$F$44,4,FALSE)+IF(7=D325,'难度参数'!$E$30,0))</x:f>
        <x:v>1320</x:v>
      </x:c>
    </x:row>
    <x:row r="326" ht="23" customHeight="1">
      <x:c r="A326" s="119" t="n">
        <x:v>320</x:v>
      </x:c>
      <x:c r="B326" s="119" t="n">
        <x:f>MOD(INT((A326-1)/5),7)+1</x:f>
        <x:v>1</x:v>
      </x:c>
      <x:c r="C326" s="62" t="str">
        <x:f>INDEX('章节与怪物'!$B$31:$B$37,B326)</x:f>
        <x:v>冰雪荒原</x:v>
      </x:c>
      <x:c r="D326" s="119" t="n">
        <x:f>MIN('难度参数'!$E$8,MAX('难度参数'!$E$7,A326))</x:f>
        <x:v>7</x:v>
      </x:c>
      <x:c r="E326" s="106" t="n">
        <x:v>1</x:v>
      </x:c>
      <x:c r="F326" s="106" t="n">
        <x:v>0</x:v>
      </x:c>
      <x:c r="G326" s="106" t="n">
        <x:v>1</x:v>
      </x:c>
      <x:c r="H326" s="119" t="n">
        <x:f>SUM(X326,AB326,AF326,AJ326,AN326,AR326,AV326)</x:f>
        <x:v>248</x:v>
      </x:c>
      <x:c r="I326" s="119" t="n">
        <x:f>SUM(Z326,AD326,AH326,AL326,AP326,AT326,AX326)</x:f>
        <x:v>2709954</x:v>
      </x:c>
      <x:c r="J326" s="119" t="n">
        <x:f>ROUND(INDEX(X326:AY326,1,(D326-1)*4+2)*'难度参数'!$E$28*'章节与怪物'!$E$17,0)</x:f>
        <x:v>77588</x:v>
      </x:c>
      <x:c r="K326" s="119" t="n">
        <x:f>SUM(AA326,AE326,AI326,AM326,AQ326,AU326,AY326)</x:f>
        <x:v>6134</x:v>
      </x:c>
      <x:c r="L326" s="62" t="n">
        <x:f>H326*(ROUNDUP('难度参数'!$E$24/('难度参数'!$E$26*'难度参数'!$E$27),0)*'难度参数'!$E$26)/60</x:f>
        <x:v>3.3066666666666666</x:v>
      </x:c>
      <x:c r="M326" s="62" t="n">
        <x:f>L326+D326*('难度参数'!$E$49+'难度参数'!$E$50)/60</x:f>
        <x:v>4.473333333333334</x:v>
      </x:c>
      <x:c r="N326" s="119" t="n">
        <x:f>ROUNDDOWN(('经济参数'!$E$20+A326*'经济参数'!$E$21)*G326,0)</x:f>
        <x:v>6580</x:v>
      </x:c>
      <x:c r="O326" s="119" t="n">
        <x:f>ROUNDDOWN(MIN('经济参数'!$E$24,'经济参数'!$E$22+A326*'经济参数'!$E$23)*G326,0)</x:f>
        <x:v>0</x:v>
      </x:c>
      <x:c r="P326" s="119" t="n">
        <x:f>ROUNDDOWN((IF(A326&gt;='材料与任务'!$E$31,'材料与任务'!$E$32,IF(A326&gt;='材料与任务'!$E$25,'材料与任务'!$E$26,IF(A326&gt;='材料与任务'!$E$19,'材料与任务'!$E$20,IF(A326&gt;='材料与任务'!$E$13,'材料与任务'!$E$14,'材料与任务'!$E$8)))))*G326,0)</x:f>
        <x:v>6</x:v>
      </x:c>
      <x:c r="Q326" s="119" t="n">
        <x:f>ROUNDDOWN((IF(A326&gt;='材料与任务'!$E$31,'材料与任务'!$E$33,IF(A326&gt;='材料与任务'!$E$25,'材料与任务'!$E$27,IF(A326&gt;='材料与任务'!$E$19,'材料与任务'!$E$21,IF(A326&gt;='材料与任务'!$E$13,'材料与任务'!$E$15,'材料与任务'!$E$9)))))*G326,0)</x:f>
        <x:v>3</x:v>
      </x:c>
      <x:c r="R326" s="110" t="n">
        <x:f>'装备掉落'!$B$38</x:f>
        <x:v>0.6872058758851213</x:v>
      </x:c>
      <x:c r="S326" s="119" t="n">
        <x:f>MAX(IF(VLOOKUP(A326,'装备掉落'!$A$29:$H$34,2,TRUE)&gt;0,1,0),IF(VLOOKUP(A326,'装备掉落'!$A$29:$H$34,3,TRUE)&gt;0,2,0),IF(VLOOKUP(A326,'装备掉落'!$A$29:$H$34,4,TRUE)&gt;0,3,0),IF(VLOOKUP(A326,'装备掉落'!$A$29:$H$34,5,TRUE)&gt;0,4,0),IF(VLOOKUP(A326,'装备掉落'!$A$29:$H$34,6,TRUE)&gt;0,5,0),IF(VLOOKUP(A326,'装备掉落'!$A$29:$H$34,7,TRUE)&gt;0,6,0),IF(VLOOKUP(A326,'装备掉落'!$A$29:$H$34,8,TRUE)&gt;0,7,0))</x:f>
        <x:v>7</x:v>
      </x:c>
      <x:c r="T326" s="119" t="n">
        <x:f>MIN(7,S326+'经济参数'!$E$70)</x:f>
        <x:v>7</x:v>
      </x:c>
      <x:c r="U326" s="119" t="n">
        <x:f>MIN(7,S326+'经济参数'!$E$71)</x:f>
        <x:v>7</x:v>
      </x:c>
      <x:c r="V326" s="119" t="n">
        <x:f>IF(H326&gt;=('难度参数'!$E$52),1,0)+IF(H326&gt;=('难度参数'!$E$52+'难度参数'!$E$53),1,0)+IF(H326&gt;=('难度参数'!$E$52+'难度参数'!$E$53+'难度参数'!$E$54),1,0)+IF(H326&gt;=('难度参数'!$E$52+'难度参数'!$E$53+'难度参数'!$E$54+'难度参数'!$E$55),1,0)+IF(H326&gt;=('难度参数'!$E$52+'难度参数'!$E$53+'难度参数'!$E$54+'难度参数'!$E$55+'难度参数'!$E$56),1,0)+IF(H326&gt;=('难度参数'!$E$52+'难度参数'!$E$53+'难度参数'!$E$54+'难度参数'!$E$55+'难度参数'!$E$56+'难度参数'!$E$57),1,0)</x:f>
        <x:v>6</x:v>
      </x:c>
      <x:c r="W326" s="62" t="str">
        <x:f>IF(L326&gt;'难度参数'!$E$51,"仅出怪已超目标","还需实测")</x:f>
        <x:v>仅出怪已超目标</x:v>
      </x:c>
      <x:c r="X326" s="119" t="n">
        <x:f>IF(1&gt;D326,0,MAX(2,MIN('难度参数'!$E$12,ROUND(('难度参数'!$E$18*POWER(A326,'难度参数'!$E$19)/D326*(0.85+0.3*(1-1)/MAX(1,D326-1))),0)+F326)))</x:f>
        <x:v>30</x:v>
      </x:c>
      <x:c r="Y326" s="119" t="n">
        <x:f>IF(1&gt;D326,0,ROUND(('难度参数'!$E$13*POWER(A326,'难度参数'!$E$20)*MIN('难度参数'!$E$23,1+MAX(0,A326-'难度参数'!$E$21)*'难度参数'!$E$22))*(36+1*7)/(36+7*(D326+1)/2)*E326,0))</x:f>
        <x:v>5772</x:v>
      </x:c>
      <x:c r="Z326" s="119" t="n">
        <x:f>IF(X326=0,0,(X326-IF(1=D326,1,0))*ROUND(Y326*VLOOKUP(INDEX('章节与怪物'!$E$31:$K$37,B326,1),'章节与怪物'!$A$41:$F$44,2,FALSE),0)+IF(1=D326,ROUND(Y326*'难度参数'!$E$28*'章节与怪物'!$E$17,0),0))</x:f>
        <x:v>173160</x:v>
      </x:c>
      <x:c r="AA326" s="119" t="n">
        <x:f>IF(X326=0,0,(X326-IF(1=D326,1,0))*VLOOKUP(INDEX('章节与怪物'!$E$31:$K$37,B326,1),'章节与怪物'!$A$41:$F$44,4,FALSE)+IF(1=D326,'难度参数'!$E$30,0))</x:f>
        <x:v>540</x:v>
      </x:c>
      <x:c r="AB326" s="119" t="n">
        <x:f>IF(2&gt;D326,0,MAX(2,MIN('难度参数'!$E$12,ROUND(('难度参数'!$E$18*POWER(A326,'难度参数'!$E$19)/D326*(0.85+0.3*(2-1)/MAX(1,D326-1))),0)+F326)))</x:f>
        <x:v>32</x:v>
      </x:c>
      <x:c r="AC326" s="119" t="n">
        <x:f>IF(2&gt;D326,0,ROUND(('难度参数'!$E$13*POWER(A326,'难度参数'!$E$20)*MIN('难度参数'!$E$23,1+MAX(0,A326-'难度参数'!$E$21)*'难度参数'!$E$22))*(36+2*7)/(36+7*(D326+1)/2)*E326,0))</x:f>
        <x:v>6712</x:v>
      </x:c>
      <x:c r="AD326" s="119" t="n">
        <x:f>IF(AB326=0,0,(AB326-IF(2=D326,1,0))*ROUND(AC326*VLOOKUP(INDEX('章节与怪物'!$E$31:$K$37,B326,2),'章节与怪物'!$A$41:$F$44,2,FALSE),0)+IF(2=D326,ROUND(AC326*'难度参数'!$E$28*'章节与怪物'!$E$17,0),0))</x:f>
        <x:v>214784</x:v>
      </x:c>
      <x:c r="AE326" s="119" t="n">
        <x:f>IF(AB326=0,0,(AB326-IF(2=D326,1,0))*VLOOKUP(INDEX('章节与怪物'!$E$31:$K$37,B326,2),'章节与怪物'!$A$41:$F$44,4,FALSE)+IF(2=D326,'难度参数'!$E$30,0))</x:f>
        <x:v>576</x:v>
      </x:c>
      <x:c r="AF326" s="119" t="n">
        <x:f>IF(3&gt;D326,0,MAX(2,MIN('难度参数'!$E$12,ROUND(('难度参数'!$E$18*POWER(A326,'难度参数'!$E$19)/D326*(0.85+0.3*(3-1)/MAX(1,D326-1))),0)+F326)))</x:f>
        <x:v>34</x:v>
      </x:c>
      <x:c r="AG326" s="119" t="n">
        <x:f>IF(3&gt;D326,0,ROUND(('难度参数'!$E$13*POWER(A326,'难度参数'!$E$20)*MIN('难度参数'!$E$23,1+MAX(0,A326-'难度参数'!$E$21)*'难度参数'!$E$22))*(36+3*7)/(36+7*(D326+1)/2)*E326,0))</x:f>
        <x:v>7651</x:v>
      </x:c>
      <x:c r="AH326" s="119" t="n">
        <x:f>IF(AF326=0,0,(AF326-IF(3=D326,1,0))*ROUND(AG326*VLOOKUP(INDEX('章节与怪物'!$E$31:$K$37,B326,3),'章节与怪物'!$A$41:$F$44,2,FALSE),0)+IF(3=D326,ROUND(AG326*'难度参数'!$E$28*'章节与怪物'!$E$17,0),0))</x:f>
        <x:v>187306</x:v>
      </x:c>
      <x:c r="AI326" s="119" t="n">
        <x:f>IF(AF326=0,0,(AF326-IF(3=D326,1,0))*VLOOKUP(INDEX('章节与怪物'!$E$31:$K$37,B326,3),'章节与怪物'!$A$41:$F$44,4,FALSE)+IF(3=D326,'难度参数'!$E$30,0))</x:f>
        <x:v>680</x:v>
      </x:c>
      <x:c r="AJ326" s="119" t="n">
        <x:f>IF(4&gt;D326,0,MAX(2,MIN('难度参数'!$E$12,ROUND(('难度参数'!$E$18*POWER(A326,'难度参数'!$E$19)/D326*(0.85+0.3*(4-1)/MAX(1,D326-1))),0)+F326)))</x:f>
        <x:v>35</x:v>
      </x:c>
      <x:c r="AK326" s="119" t="n">
        <x:f>IF(4&gt;D326,0,ROUND(('难度参数'!$E$13*POWER(A326,'难度参数'!$E$20)*MIN('难度参数'!$E$23,1+MAX(0,A326-'难度参数'!$E$21)*'难度参数'!$E$22))*(36+4*7)/(36+7*(D326+1)/2)*E326,0))</x:f>
        <x:v>8591</x:v>
      </x:c>
      <x:c r="AL326" s="119" t="n">
        <x:f>IF(AJ326=0,0,(AJ326-IF(4=D326,1,0))*ROUND(AK326*VLOOKUP(INDEX('章节与怪物'!$E$31:$K$37,B326,4),'章节与怪物'!$A$41:$F$44,2,FALSE),0)+IF(4=D326,ROUND(AK326*'难度参数'!$E$28*'章节与怪物'!$E$17,0),0))</x:f>
        <x:v>511175</x:v>
      </x:c>
      <x:c r="AM326" s="119" t="n">
        <x:f>IF(AJ326=0,0,(AJ326-IF(4=D326,1,0))*VLOOKUP(INDEX('章节与怪物'!$E$31:$K$37,B326,4),'章节与怪物'!$A$41:$F$44,4,FALSE)+IF(4=D326,'难度参数'!$E$30,0))</x:f>
        <x:v>980</x:v>
      </x:c>
      <x:c r="AN326" s="119" t="n">
        <x:f>IF(5&gt;D326,0,MAX(2,MIN('难度参数'!$E$12,ROUND(('难度参数'!$E$18*POWER(A326,'难度参数'!$E$19)/D326*(0.85+0.3*(5-1)/MAX(1,D326-1))),0)+F326)))</x:f>
        <x:v>37</x:v>
      </x:c>
      <x:c r="AO326" s="119" t="n">
        <x:f>IF(5&gt;D326,0,ROUND(('难度参数'!$E$13*POWER(A326,'难度参数'!$E$20)*MIN('难度参数'!$E$23,1+MAX(0,A326-'难度参数'!$E$21)*'难度参数'!$E$22))*(36+5*7)/(36+7*(D326+1)/2)*E326,0))</x:f>
        <x:v>9531</x:v>
      </x:c>
      <x:c r="AP326" s="119" t="n">
        <x:f>IF(AN326=0,0,(AN326-IF(5=D326,1,0))*ROUND(AO326*VLOOKUP(INDEX('章节与怪物'!$E$31:$K$37,B326,5),'章节与怪物'!$A$41:$F$44,2,FALSE),0)+IF(5=D326,ROUND(AO326*'难度参数'!$E$28*'章节与怪物'!$E$17,0),0))</x:f>
        <x:v>476079</x:v>
      </x:c>
      <x:c r="AQ326" s="119" t="n">
        <x:f>IF(AN326=0,0,(AN326-IF(5=D326,1,0))*VLOOKUP(INDEX('章节与怪物'!$E$31:$K$37,B326,5),'章节与怪物'!$A$41:$F$44,4,FALSE)+IF(5=D326,'难度参数'!$E$30,0))</x:f>
        <x:v>1258</x:v>
      </x:c>
      <x:c r="AR326" s="119" t="n">
        <x:f>IF(6&gt;D326,0,MAX(2,MIN('难度参数'!$E$12,ROUND(('难度参数'!$E$18*POWER(A326,'难度参数'!$E$19)/D326*(0.85+0.3*(6-1)/MAX(1,D326-1))),0)+F326)))</x:f>
        <x:v>39</x:v>
      </x:c>
      <x:c r="AS326" s="119" t="n">
        <x:f>IF(6&gt;D326,0,ROUND(('难度参数'!$E$13*POWER(A326,'难度参数'!$E$20)*MIN('难度参数'!$E$23,1+MAX(0,A326-'难度参数'!$E$21)*'难度参数'!$E$22))*(36+6*7)/(36+7*(D326+1)/2)*E326,0))</x:f>
        <x:v>10470</x:v>
      </x:c>
      <x:c r="AT326" s="119" t="n">
        <x:f>IF(AR326=0,0,(AR326-IF(6=D326,1,0))*ROUND(AS326*VLOOKUP(INDEX('章节与怪物'!$E$31:$K$37,B326,6),'章节与怪物'!$A$41:$F$44,2,FALSE),0)+IF(6=D326,ROUND(AS326*'难度参数'!$E$28*'章节与怪物'!$E$17,0),0))</x:f>
        <x:v>293982</x:v>
      </x:c>
      <x:c r="AU326" s="119" t="n">
        <x:f>IF(AR326=0,0,(AR326-IF(6=D326,1,0))*VLOOKUP(INDEX('章节与怪物'!$E$31:$K$37,B326,6),'章节与怪物'!$A$41:$F$44,4,FALSE)+IF(6=D326,'难度参数'!$E$30,0))</x:f>
        <x:v>780</x:v>
      </x:c>
      <x:c r="AV326" s="119" t="n">
        <x:f>IF(7&gt;D326,0,MAX(2,MIN('难度参数'!$E$12,ROUND(('难度参数'!$E$18*POWER(A326,'难度参数'!$E$19)/D326*(0.85+0.3*(7-1)/MAX(1,D326-1))),0)+F326)))</x:f>
        <x:v>41</x:v>
      </x:c>
      <x:c r="AW326" s="119" t="n">
        <x:f>IF(7&gt;D326,0,ROUND(('难度参数'!$E$13*POWER(A326,'难度参数'!$E$20)*MIN('难度参数'!$E$23,1+MAX(0,A326-'难度参数'!$E$21)*'难度参数'!$E$22))*(36+7*7)/(36+7*(D326+1)/2)*E326,0))</x:f>
        <x:v>11410</x:v>
      </x:c>
      <x:c r="AX326" s="119" t="n">
        <x:f>IF(AV326=0,0,(AV326-IF(7=D326,1,0))*ROUND(AW326*VLOOKUP(INDEX('章节与怪物'!$E$31:$K$37,B326,7),'章节与怪物'!$A$41:$F$44,2,FALSE),0)+IF(7=D326,ROUND(AW326*'难度参数'!$E$28*'章节与怪物'!$E$17,0),0))</x:f>
        <x:v>853468</x:v>
      </x:c>
      <x:c r="AY326" s="119" t="n">
        <x:f>IF(AV326=0,0,(AV326-IF(7=D326,1,0))*VLOOKUP(INDEX('章节与怪物'!$E$31:$K$37,B326,7),'章节与怪物'!$A$41:$F$44,4,FALSE)+IF(7=D326,'难度参数'!$E$30,0))</x:f>
        <x:v>1320</x:v>
      </x:c>
    </x:row>
    <x:row r="327" ht="23" customHeight="1">
      <x:c r="A327" s="119" t="n">
        <x:v>321</x:v>
      </x:c>
      <x:c r="B327" s="119" t="n">
        <x:f>MOD(INT((A327-1)/5),7)+1</x:f>
        <x:v>2</x:v>
      </x:c>
      <x:c r="C327" s="62" t="str">
        <x:f>INDEX('章节与怪物'!$B$31:$B$37,B327)</x:f>
        <x:v>黄沙要塞</x:v>
      </x:c>
      <x:c r="D327" s="119" t="n">
        <x:f>MIN('难度参数'!$E$8,MAX('难度参数'!$E$7,A327))</x:f>
        <x:v>7</x:v>
      </x:c>
      <x:c r="E327" s="106" t="n">
        <x:v>1</x:v>
      </x:c>
      <x:c r="F327" s="106" t="n">
        <x:v>0</x:v>
      </x:c>
      <x:c r="G327" s="106" t="n">
        <x:v>1</x:v>
      </x:c>
      <x:c r="H327" s="119" t="n">
        <x:f>SUM(X327,AB327,AF327,AJ327,AN327,AR327,AV327)</x:f>
        <x:v>249</x:v>
      </x:c>
      <x:c r="I327" s="119" t="n">
        <x:f>SUM(Z327,AD327,AH327,AL327,AP327,AT327,AX327)</x:f>
        <x:v>2946445</x:v>
      </x:c>
      <x:c r="J327" s="119" t="n">
        <x:f>ROUND(INDEX(X327:AY327,1,(D327-1)*4+2)*'难度参数'!$E$28*'章节与怪物'!$E$17,0)</x:f>
        <x:v>77765</x:v>
      </x:c>
      <x:c r="K327" s="119" t="n">
        <x:f>SUM(AA327,AE327,AI327,AM327,AQ327,AU327,AY327)</x:f>
        <x:v>6670</x:v>
      </x:c>
      <x:c r="L327" s="62" t="n">
        <x:f>H327*(ROUNDUP('难度参数'!$E$24/('难度参数'!$E$26*'难度参数'!$E$27),0)*'难度参数'!$E$26)/60</x:f>
        <x:v>3.3200000000000003</x:v>
      </x:c>
      <x:c r="M327" s="62" t="n">
        <x:f>L327+D327*('难度参数'!$E$49+'难度参数'!$E$50)/60</x:f>
        <x:v>4.486666666666667</x:v>
      </x:c>
      <x:c r="N327" s="119" t="n">
        <x:f>ROUNDDOWN(('经济参数'!$E$20+A327*'经济参数'!$E$21)*G327,0)</x:f>
        <x:v>6600</x:v>
      </x:c>
      <x:c r="O327" s="119" t="n">
        <x:f>ROUNDDOWN(MIN('经济参数'!$E$24,'经济参数'!$E$22+A327*'经济参数'!$E$23)*G327,0)</x:f>
        <x:v>0</x:v>
      </x:c>
      <x:c r="P327" s="119" t="n">
        <x:f>ROUNDDOWN((IF(A327&gt;='材料与任务'!$E$31,'材料与任务'!$E$32,IF(A327&gt;='材料与任务'!$E$25,'材料与任务'!$E$26,IF(A327&gt;='材料与任务'!$E$19,'材料与任务'!$E$20,IF(A327&gt;='材料与任务'!$E$13,'材料与任务'!$E$14,'材料与任务'!$E$8)))))*G327,0)</x:f>
        <x:v>6</x:v>
      </x:c>
      <x:c r="Q327" s="119" t="n">
        <x:f>ROUNDDOWN((IF(A327&gt;='材料与任务'!$E$31,'材料与任务'!$E$33,IF(A327&gt;='材料与任务'!$E$25,'材料与任务'!$E$27,IF(A327&gt;='材料与任务'!$E$19,'材料与任务'!$E$21,IF(A327&gt;='材料与任务'!$E$13,'材料与任务'!$E$15,'材料与任务'!$E$9)))))*G327,0)</x:f>
        <x:v>3</x:v>
      </x:c>
      <x:c r="R327" s="110" t="n">
        <x:f>'装备掉落'!$B$38</x:f>
        <x:v>0.6872058758851213</x:v>
      </x:c>
      <x:c r="S327" s="119" t="n">
        <x:f>MAX(IF(VLOOKUP(A327,'装备掉落'!$A$29:$H$34,2,TRUE)&gt;0,1,0),IF(VLOOKUP(A327,'装备掉落'!$A$29:$H$34,3,TRUE)&gt;0,2,0),IF(VLOOKUP(A327,'装备掉落'!$A$29:$H$34,4,TRUE)&gt;0,3,0),IF(VLOOKUP(A327,'装备掉落'!$A$29:$H$34,5,TRUE)&gt;0,4,0),IF(VLOOKUP(A327,'装备掉落'!$A$29:$H$34,6,TRUE)&gt;0,5,0),IF(VLOOKUP(A327,'装备掉落'!$A$29:$H$34,7,TRUE)&gt;0,6,0),IF(VLOOKUP(A327,'装备掉落'!$A$29:$H$34,8,TRUE)&gt;0,7,0))</x:f>
        <x:v>7</x:v>
      </x:c>
      <x:c r="T327" s="119" t="n">
        <x:f>MIN(7,S327+'经济参数'!$E$70)</x:f>
        <x:v>7</x:v>
      </x:c>
      <x:c r="U327" s="119" t="n">
        <x:f>MIN(7,S327+'经济参数'!$E$71)</x:f>
        <x:v>7</x:v>
      </x:c>
      <x:c r="V327" s="119" t="n">
        <x:f>IF(H327&gt;=('难度参数'!$E$52),1,0)+IF(H327&gt;=('难度参数'!$E$52+'难度参数'!$E$53),1,0)+IF(H327&gt;=('难度参数'!$E$52+'难度参数'!$E$53+'难度参数'!$E$54),1,0)+IF(H327&gt;=('难度参数'!$E$52+'难度参数'!$E$53+'难度参数'!$E$54+'难度参数'!$E$55),1,0)+IF(H327&gt;=('难度参数'!$E$52+'难度参数'!$E$53+'难度参数'!$E$54+'难度参数'!$E$55+'难度参数'!$E$56),1,0)+IF(H327&gt;=('难度参数'!$E$52+'难度参数'!$E$53+'难度参数'!$E$54+'难度参数'!$E$55+'难度参数'!$E$56+'难度参数'!$E$57),1,0)</x:f>
        <x:v>6</x:v>
      </x:c>
      <x:c r="W327" s="62" t="str">
        <x:f>IF(L327&gt;'难度参数'!$E$51,"仅出怪已超目标","还需实测")</x:f>
        <x:v>仅出怪已超目标</x:v>
      </x:c>
      <x:c r="X327" s="119" t="n">
        <x:f>IF(1&gt;D327,0,MAX(2,MIN('难度参数'!$E$12,ROUND(('难度参数'!$E$18*POWER(A327,'难度参数'!$E$19)/D327*(0.85+0.3*(1-1)/MAX(1,D327-1))),0)+F327)))</x:f>
        <x:v>30</x:v>
      </x:c>
      <x:c r="Y327" s="119" t="n">
        <x:f>IF(1&gt;D327,0,ROUND(('难度参数'!$E$13*POWER(A327,'难度参数'!$E$20)*MIN('难度参数'!$E$23,1+MAX(0,A327-'难度参数'!$E$21)*'难度参数'!$E$22))*(36+1*7)/(36+7*(D327+1)/2)*E327,0))</x:f>
        <x:v>5785</x:v>
      </x:c>
      <x:c r="Z327" s="119" t="n">
        <x:f>IF(X327=0,0,(X327-IF(1=D327,1,0))*ROUND(Y327*VLOOKUP(INDEX('章节与怪物'!$E$31:$K$37,B327,1),'章节与怪物'!$A$41:$F$44,2,FALSE),0)+IF(1=D327,ROUND(Y327*'难度参数'!$E$28*'章节与怪物'!$E$17,0),0))</x:f>
        <x:v>124950</x:v>
      </x:c>
      <x:c r="AA327" s="119" t="n">
        <x:f>IF(X327=0,0,(X327-IF(1=D327,1,0))*VLOOKUP(INDEX('章节与怪物'!$E$31:$K$37,B327,1),'章节与怪物'!$A$41:$F$44,4,FALSE)+IF(1=D327,'难度参数'!$E$30,0))</x:f>
        <x:v>600</x:v>
      </x:c>
      <x:c r="AB327" s="119" t="n">
        <x:f>IF(2&gt;D327,0,MAX(2,MIN('难度参数'!$E$12,ROUND(('难度参数'!$E$18*POWER(A327,'难度参数'!$E$19)/D327*(0.85+0.3*(2-1)/MAX(1,D327-1))),0)+F327)))</x:f>
        <x:v>32</x:v>
      </x:c>
      <x:c r="AC327" s="119" t="n">
        <x:f>IF(2&gt;D327,0,ROUND(('难度参数'!$E$13*POWER(A327,'难度参数'!$E$20)*MIN('难度参数'!$E$23,1+MAX(0,A327-'难度参数'!$E$21)*'难度参数'!$E$22))*(36+2*7)/(36+7*(D327+1)/2)*E327,0))</x:f>
        <x:v>6727</x:v>
      </x:c>
      <x:c r="AD327" s="119" t="n">
        <x:f>IF(AB327=0,0,(AB327-IF(2=D327,1,0))*ROUND(AC327*VLOOKUP(INDEX('章节与怪物'!$E$31:$K$37,B327,2),'章节与怪物'!$A$41:$F$44,2,FALSE),0)+IF(2=D327,ROUND(AC327*'难度参数'!$E$28*'章节与怪物'!$E$17,0),0))</x:f>
        <x:v>215264</x:v>
      </x:c>
      <x:c r="AE327" s="119" t="n">
        <x:f>IF(AB327=0,0,(AB327-IF(2=D327,1,0))*VLOOKUP(INDEX('章节与怪物'!$E$31:$K$37,B327,2),'章节与怪物'!$A$41:$F$44,4,FALSE)+IF(2=D327,'难度参数'!$E$30,0))</x:f>
        <x:v>576</x:v>
      </x:c>
      <x:c r="AF327" s="119" t="n">
        <x:f>IF(3&gt;D327,0,MAX(2,MIN('难度参数'!$E$12,ROUND(('难度参数'!$E$18*POWER(A327,'难度参数'!$E$19)/D327*(0.85+0.3*(3-1)/MAX(1,D327-1))),0)+F327)))</x:f>
        <x:v>34</x:v>
      </x:c>
      <x:c r="AG327" s="119" t="n">
        <x:f>IF(3&gt;D327,0,ROUND(('难度参数'!$E$13*POWER(A327,'难度参数'!$E$20)*MIN('难度参数'!$E$23,1+MAX(0,A327-'难度参数'!$E$21)*'难度参数'!$E$22))*(36+3*7)/(36+7*(D327+1)/2)*E327,0))</x:f>
        <x:v>7669</x:v>
      </x:c>
      <x:c r="AH327" s="119" t="n">
        <x:f>IF(AF327=0,0,(AF327-IF(3=D327,1,0))*ROUND(AG327*VLOOKUP(INDEX('章节与怪物'!$E$31:$K$37,B327,3),'章节与怪物'!$A$41:$F$44,2,FALSE),0)+IF(3=D327,ROUND(AG327*'难度参数'!$E$28*'章节与怪物'!$E$17,0),0))</x:f>
        <x:v>443258</x:v>
      </x:c>
      <x:c r="AI327" s="119" t="n">
        <x:f>IF(AF327=0,0,(AF327-IF(3=D327,1,0))*VLOOKUP(INDEX('章节与怪物'!$E$31:$K$37,B327,3),'章节与怪物'!$A$41:$F$44,4,FALSE)+IF(3=D327,'难度参数'!$E$30,0))</x:f>
        <x:v>952</x:v>
      </x:c>
      <x:c r="AJ327" s="119" t="n">
        <x:f>IF(4&gt;D327,0,MAX(2,MIN('难度参数'!$E$12,ROUND(('难度参数'!$E$18*POWER(A327,'难度参数'!$E$19)/D327*(0.85+0.3*(4-1)/MAX(1,D327-1))),0)+F327)))</x:f>
        <x:v>36</x:v>
      </x:c>
      <x:c r="AK327" s="119" t="n">
        <x:f>IF(4&gt;D327,0,ROUND(('难度参数'!$E$13*POWER(A327,'难度参数'!$E$20)*MIN('难度参数'!$E$23,1+MAX(0,A327-'难度参数'!$E$21)*'难度参数'!$E$22))*(36+4*7)/(36+7*(D327+1)/2)*E327,0))</x:f>
        <x:v>8610</x:v>
      </x:c>
      <x:c r="AL327" s="119" t="n">
        <x:f>IF(AJ327=0,0,(AJ327-IF(4=D327,1,0))*ROUND(AK327*VLOOKUP(INDEX('章节与怪物'!$E$31:$K$37,B327,4),'章节与怪物'!$A$41:$F$44,2,FALSE),0)+IF(4=D327,ROUND(AK327*'难度参数'!$E$28*'章节与怪物'!$E$17,0),0))</x:f>
        <x:v>418464</x:v>
      </x:c>
      <x:c r="AM327" s="119" t="n">
        <x:f>IF(AJ327=0,0,(AJ327-IF(4=D327,1,0))*VLOOKUP(INDEX('章节与怪物'!$E$31:$K$37,B327,4),'章节与怪物'!$A$41:$F$44,4,FALSE)+IF(4=D327,'难度参数'!$E$30,0))</x:f>
        <x:v>1224</x:v>
      </x:c>
      <x:c r="AN327" s="119" t="n">
        <x:f>IF(5&gt;D327,0,MAX(2,MIN('难度参数'!$E$12,ROUND(('难度参数'!$E$18*POWER(A327,'难度参数'!$E$19)/D327*(0.85+0.3*(5-1)/MAX(1,D327-1))),0)+F327)))</x:f>
        <x:v>37</x:v>
      </x:c>
      <x:c r="AO327" s="119" t="n">
        <x:f>IF(5&gt;D327,0,ROUND(('难度参数'!$E$13*POWER(A327,'难度参数'!$E$20)*MIN('难度参数'!$E$23,1+MAX(0,A327-'难度参数'!$E$21)*'难度参数'!$E$22))*(36+5*7)/(36+7*(D327+1)/2)*E327,0))</x:f>
        <x:v>9552</x:v>
      </x:c>
      <x:c r="AP327" s="119" t="n">
        <x:f>IF(AN327=0,0,(AN327-IF(5=D327,1,0))*ROUND(AO327*VLOOKUP(INDEX('章节与怪物'!$E$31:$K$37,B327,5),'章节与怪物'!$A$41:$F$44,2,FALSE),0)+IF(5=D327,ROUND(AO327*'难度参数'!$E$28*'章节与怪物'!$E$17,0),0))</x:f>
        <x:v>353424</x:v>
      </x:c>
      <x:c r="AQ327" s="119" t="n">
        <x:f>IF(AN327=0,0,(AN327-IF(5=D327,1,0))*VLOOKUP(INDEX('章节与怪物'!$E$31:$K$37,B327,5),'章节与怪物'!$A$41:$F$44,4,FALSE)+IF(5=D327,'难度参数'!$E$30,0))</x:f>
        <x:v>666</x:v>
      </x:c>
      <x:c r="AR327" s="119" t="n">
        <x:f>IF(6&gt;D327,0,MAX(2,MIN('难度参数'!$E$12,ROUND(('难度参数'!$E$18*POWER(A327,'难度参数'!$E$19)/D327*(0.85+0.3*(6-1)/MAX(1,D327-1))),0)+F327)))</x:f>
        <x:v>39</x:v>
      </x:c>
      <x:c r="AS327" s="119" t="n">
        <x:f>IF(6&gt;D327,0,ROUND(('难度参数'!$E$13*POWER(A327,'难度参数'!$E$20)*MIN('难度参数'!$E$23,1+MAX(0,A327-'难度参数'!$E$21)*'难度参数'!$E$22))*(36+6*7)/(36+7*(D327+1)/2)*E327,0))</x:f>
        <x:v>10494</x:v>
      </x:c>
      <x:c r="AT327" s="119" t="n">
        <x:f>IF(AR327=0,0,(AR327-IF(6=D327,1,0))*ROUND(AS327*VLOOKUP(INDEX('章节与怪物'!$E$31:$K$37,B327,6),'章节与怪物'!$A$41:$F$44,2,FALSE),0)+IF(6=D327,ROUND(AS327*'难度参数'!$E$28*'章节与怪物'!$E$17,0),0))</x:f>
        <x:v>695760</x:v>
      </x:c>
      <x:c r="AU327" s="119" t="n">
        <x:f>IF(AR327=0,0,(AR327-IF(6=D327,1,0))*VLOOKUP(INDEX('章节与怪物'!$E$31:$K$37,B327,6),'章节与怪物'!$A$41:$F$44,4,FALSE)+IF(6=D327,'难度参数'!$E$30,0))</x:f>
        <x:v>1092</x:v>
      </x:c>
      <x:c r="AV327" s="119" t="n">
        <x:f>IF(7&gt;D327,0,MAX(2,MIN('难度参数'!$E$12,ROUND(('难度参数'!$E$18*POWER(A327,'难度参数'!$E$19)/D327*(0.85+0.3*(7-1)/MAX(1,D327-1))),0)+F327)))</x:f>
        <x:v>41</x:v>
      </x:c>
      <x:c r="AW327" s="119" t="n">
        <x:f>IF(7&gt;D327,0,ROUND(('难度参数'!$E$13*POWER(A327,'难度参数'!$E$20)*MIN('难度参数'!$E$23,1+MAX(0,A327-'难度参数'!$E$21)*'难度参数'!$E$22))*(36+7*7)/(36+7*(D327+1)/2)*E327,0))</x:f>
        <x:v>11436</x:v>
      </x:c>
      <x:c r="AX327" s="119" t="n">
        <x:f>IF(AV327=0,0,(AV327-IF(7=D327,1,0))*ROUND(AW327*VLOOKUP(INDEX('章节与怪物'!$E$31:$K$37,B327,7),'章节与怪物'!$A$41:$F$44,2,FALSE),0)+IF(7=D327,ROUND(AW327*'难度参数'!$E$28*'章节与怪物'!$E$17,0),0))</x:f>
        <x:v>695325</x:v>
      </x:c>
      <x:c r="AY327" s="119" t="n">
        <x:f>IF(AV327=0,0,(AV327-IF(7=D327,1,0))*VLOOKUP(INDEX('章节与怪物'!$E$31:$K$37,B327,7),'章节与怪物'!$A$41:$F$44,4,FALSE)+IF(7=D327,'难度参数'!$E$30,0))</x:f>
        <x:v>1560</x:v>
      </x:c>
    </x:row>
    <x:row r="328" ht="23" customHeight="1">
      <x:c r="A328" s="119" t="n">
        <x:v>322</x:v>
      </x:c>
      <x:c r="B328" s="119" t="n">
        <x:f>MOD(INT((A328-1)/5),7)+1</x:f>
        <x:v>2</x:v>
      </x:c>
      <x:c r="C328" s="62" t="str">
        <x:f>INDEX('章节与怪物'!$B$31:$B$37,B328)</x:f>
        <x:v>黄沙要塞</x:v>
      </x:c>
      <x:c r="D328" s="119" t="n">
        <x:f>MIN('难度参数'!$E$8,MAX('难度参数'!$E$7,A328))</x:f>
        <x:v>7</x:v>
      </x:c>
      <x:c r="E328" s="106" t="n">
        <x:v>1</x:v>
      </x:c>
      <x:c r="F328" s="106" t="n">
        <x:v>0</x:v>
      </x:c>
      <x:c r="G328" s="106" t="n">
        <x:v>1</x:v>
      </x:c>
      <x:c r="H328" s="119" t="n">
        <x:f>SUM(X328,AB328,AF328,AJ328,AN328,AR328,AV328)</x:f>
        <x:v>249</x:v>
      </x:c>
      <x:c r="I328" s="119" t="n">
        <x:f>SUM(Z328,AD328,AH328,AL328,AP328,AT328,AX328)</x:f>
        <x:v>2952971</x:v>
      </x:c>
      <x:c r="J328" s="119" t="n">
        <x:f>ROUND(INDEX(X328:AY328,1,(D328-1)*4+2)*'难度参数'!$E$28*'章节与怪物'!$E$17,0)</x:f>
        <x:v>77935</x:v>
      </x:c>
      <x:c r="K328" s="119" t="n">
        <x:f>SUM(AA328,AE328,AI328,AM328,AQ328,AU328,AY328)</x:f>
        <x:v>6670</x:v>
      </x:c>
      <x:c r="L328" s="62" t="n">
        <x:f>H328*(ROUNDUP('难度参数'!$E$24/('难度参数'!$E$26*'难度参数'!$E$27),0)*'难度参数'!$E$26)/60</x:f>
        <x:v>3.3200000000000003</x:v>
      </x:c>
      <x:c r="M328" s="62" t="n">
        <x:f>L328+D328*('难度参数'!$E$49+'难度参数'!$E$50)/60</x:f>
        <x:v>4.486666666666667</x:v>
      </x:c>
      <x:c r="N328" s="119" t="n">
        <x:f>ROUNDDOWN(('经济参数'!$E$20+A328*'经济参数'!$E$21)*G328,0)</x:f>
        <x:v>6620</x:v>
      </x:c>
      <x:c r="O328" s="119" t="n">
        <x:f>ROUNDDOWN(MIN('经济参数'!$E$24,'经济参数'!$E$22+A328*'经济参数'!$E$23)*G328,0)</x:f>
        <x:v>0</x:v>
      </x:c>
      <x:c r="P328" s="119" t="n">
        <x:f>ROUNDDOWN((IF(A328&gt;='材料与任务'!$E$31,'材料与任务'!$E$32,IF(A328&gt;='材料与任务'!$E$25,'材料与任务'!$E$26,IF(A328&gt;='材料与任务'!$E$19,'材料与任务'!$E$20,IF(A328&gt;='材料与任务'!$E$13,'材料与任务'!$E$14,'材料与任务'!$E$8)))))*G328,0)</x:f>
        <x:v>6</x:v>
      </x:c>
      <x:c r="Q328" s="119" t="n">
        <x:f>ROUNDDOWN((IF(A328&gt;='材料与任务'!$E$31,'材料与任务'!$E$33,IF(A328&gt;='材料与任务'!$E$25,'材料与任务'!$E$27,IF(A328&gt;='材料与任务'!$E$19,'材料与任务'!$E$21,IF(A328&gt;='材料与任务'!$E$13,'材料与任务'!$E$15,'材料与任务'!$E$9)))))*G328,0)</x:f>
        <x:v>3</x:v>
      </x:c>
      <x:c r="R328" s="110" t="n">
        <x:f>'装备掉落'!$B$38</x:f>
        <x:v>0.6872058758851213</x:v>
      </x:c>
      <x:c r="S328" s="119" t="n">
        <x:f>MAX(IF(VLOOKUP(A328,'装备掉落'!$A$29:$H$34,2,TRUE)&gt;0,1,0),IF(VLOOKUP(A328,'装备掉落'!$A$29:$H$34,3,TRUE)&gt;0,2,0),IF(VLOOKUP(A328,'装备掉落'!$A$29:$H$34,4,TRUE)&gt;0,3,0),IF(VLOOKUP(A328,'装备掉落'!$A$29:$H$34,5,TRUE)&gt;0,4,0),IF(VLOOKUP(A328,'装备掉落'!$A$29:$H$34,6,TRUE)&gt;0,5,0),IF(VLOOKUP(A328,'装备掉落'!$A$29:$H$34,7,TRUE)&gt;0,6,0),IF(VLOOKUP(A328,'装备掉落'!$A$29:$H$34,8,TRUE)&gt;0,7,0))</x:f>
        <x:v>7</x:v>
      </x:c>
      <x:c r="T328" s="119" t="n">
        <x:f>MIN(7,S328+'经济参数'!$E$70)</x:f>
        <x:v>7</x:v>
      </x:c>
      <x:c r="U328" s="119" t="n">
        <x:f>MIN(7,S328+'经济参数'!$E$71)</x:f>
        <x:v>7</x:v>
      </x:c>
      <x:c r="V328" s="119" t="n">
        <x:f>IF(H328&gt;=('难度参数'!$E$52),1,0)+IF(H328&gt;=('难度参数'!$E$52+'难度参数'!$E$53),1,0)+IF(H328&gt;=('难度参数'!$E$52+'难度参数'!$E$53+'难度参数'!$E$54),1,0)+IF(H328&gt;=('难度参数'!$E$52+'难度参数'!$E$53+'难度参数'!$E$54+'难度参数'!$E$55),1,0)+IF(H328&gt;=('难度参数'!$E$52+'难度参数'!$E$53+'难度参数'!$E$54+'难度参数'!$E$55+'难度参数'!$E$56),1,0)+IF(H328&gt;=('难度参数'!$E$52+'难度参数'!$E$53+'难度参数'!$E$54+'难度参数'!$E$55+'难度参数'!$E$56+'难度参数'!$E$57),1,0)</x:f>
        <x:v>6</x:v>
      </x:c>
      <x:c r="W328" s="62" t="str">
        <x:f>IF(L328&gt;'难度参数'!$E$51,"仅出怪已超目标","还需实测")</x:f>
        <x:v>仅出怪已超目标</x:v>
      </x:c>
      <x:c r="X328" s="119" t="n">
        <x:f>IF(1&gt;D328,0,MAX(2,MIN('难度参数'!$E$12,ROUND(('难度参数'!$E$18*POWER(A328,'难度参数'!$E$19)/D328*(0.85+0.3*(1-1)/MAX(1,D328-1))),0)+F328)))</x:f>
        <x:v>30</x:v>
      </x:c>
      <x:c r="Y328" s="119" t="n">
        <x:f>IF(1&gt;D328,0,ROUND(('难度参数'!$E$13*POWER(A328,'难度参数'!$E$20)*MIN('难度参数'!$E$23,1+MAX(0,A328-'难度参数'!$E$21)*'难度参数'!$E$22))*(36+1*7)/(36+7*(D328+1)/2)*E328,0))</x:f>
        <x:v>5798</x:v>
      </x:c>
      <x:c r="Z328" s="119" t="n">
        <x:f>IF(X328=0,0,(X328-IF(1=D328,1,0))*ROUND(Y328*VLOOKUP(INDEX('章节与怪物'!$E$31:$K$37,B328,1),'章节与怪物'!$A$41:$F$44,2,FALSE),0)+IF(1=D328,ROUND(Y328*'难度参数'!$E$28*'章节与怪物'!$E$17,0),0))</x:f>
        <x:v>125250</x:v>
      </x:c>
      <x:c r="AA328" s="119" t="n">
        <x:f>IF(X328=0,0,(X328-IF(1=D328,1,0))*VLOOKUP(INDEX('章节与怪物'!$E$31:$K$37,B328,1),'章节与怪物'!$A$41:$F$44,4,FALSE)+IF(1=D328,'难度参数'!$E$30,0))</x:f>
        <x:v>600</x:v>
      </x:c>
      <x:c r="AB328" s="119" t="n">
        <x:f>IF(2&gt;D328,0,MAX(2,MIN('难度参数'!$E$12,ROUND(('难度参数'!$E$18*POWER(A328,'难度参数'!$E$19)/D328*(0.85+0.3*(2-1)/MAX(1,D328-1))),0)+F328)))</x:f>
        <x:v>32</x:v>
      </x:c>
      <x:c r="AC328" s="119" t="n">
        <x:f>IF(2&gt;D328,0,ROUND(('难度参数'!$E$13*POWER(A328,'难度参数'!$E$20)*MIN('难度参数'!$E$23,1+MAX(0,A328-'难度参数'!$E$21)*'难度参数'!$E$22))*(36+2*7)/(36+7*(D328+1)/2)*E328,0))</x:f>
        <x:v>6742</x:v>
      </x:c>
      <x:c r="AD328" s="119" t="n">
        <x:f>IF(AB328=0,0,(AB328-IF(2=D328,1,0))*ROUND(AC328*VLOOKUP(INDEX('章节与怪物'!$E$31:$K$37,B328,2),'章节与怪物'!$A$41:$F$44,2,FALSE),0)+IF(2=D328,ROUND(AC328*'难度参数'!$E$28*'章节与怪物'!$E$17,0),0))</x:f>
        <x:v>215744</x:v>
      </x:c>
      <x:c r="AE328" s="119" t="n">
        <x:f>IF(AB328=0,0,(AB328-IF(2=D328,1,0))*VLOOKUP(INDEX('章节与怪物'!$E$31:$K$37,B328,2),'章节与怪物'!$A$41:$F$44,4,FALSE)+IF(2=D328,'难度参数'!$E$30,0))</x:f>
        <x:v>576</x:v>
      </x:c>
      <x:c r="AF328" s="119" t="n">
        <x:f>IF(3&gt;D328,0,MAX(2,MIN('难度参数'!$E$12,ROUND(('难度参数'!$E$18*POWER(A328,'难度参数'!$E$19)/D328*(0.85+0.3*(3-1)/MAX(1,D328-1))),0)+F328)))</x:f>
        <x:v>34</x:v>
      </x:c>
      <x:c r="AG328" s="119" t="n">
        <x:f>IF(3&gt;D328,0,ROUND(('难度参数'!$E$13*POWER(A328,'难度参数'!$E$20)*MIN('难度参数'!$E$23,1+MAX(0,A328-'难度参数'!$E$21)*'难度参数'!$E$22))*(36+3*7)/(36+7*(D328+1)/2)*E328,0))</x:f>
        <x:v>7686</x:v>
      </x:c>
      <x:c r="AH328" s="119" t="n">
        <x:f>IF(AF328=0,0,(AF328-IF(3=D328,1,0))*ROUND(AG328*VLOOKUP(INDEX('章节与怪物'!$E$31:$K$37,B328,3),'章节与怪物'!$A$41:$F$44,2,FALSE),0)+IF(3=D328,ROUND(AG328*'难度参数'!$E$28*'章节与怪物'!$E$17,0),0))</x:f>
        <x:v>444244</x:v>
      </x:c>
      <x:c r="AI328" s="119" t="n">
        <x:f>IF(AF328=0,0,(AF328-IF(3=D328,1,0))*VLOOKUP(INDEX('章节与怪物'!$E$31:$K$37,B328,3),'章节与怪物'!$A$41:$F$44,4,FALSE)+IF(3=D328,'难度参数'!$E$30,0))</x:f>
        <x:v>952</x:v>
      </x:c>
      <x:c r="AJ328" s="119" t="n">
        <x:f>IF(4&gt;D328,0,MAX(2,MIN('难度参数'!$E$12,ROUND(('难度参数'!$E$18*POWER(A328,'难度参数'!$E$19)/D328*(0.85+0.3*(4-1)/MAX(1,D328-1))),0)+F328)))</x:f>
        <x:v>36</x:v>
      </x:c>
      <x:c r="AK328" s="119" t="n">
        <x:f>IF(4&gt;D328,0,ROUND(('难度参数'!$E$13*POWER(A328,'难度参数'!$E$20)*MIN('难度参数'!$E$23,1+MAX(0,A328-'难度参数'!$E$21)*'难度参数'!$E$22))*(36+4*7)/(36+7*(D328+1)/2)*E328,0))</x:f>
        <x:v>8630</x:v>
      </x:c>
      <x:c r="AL328" s="119" t="n">
        <x:f>IF(AJ328=0,0,(AJ328-IF(4=D328,1,0))*ROUND(AK328*VLOOKUP(INDEX('章节与怪物'!$E$31:$K$37,B328,4),'章节与怪物'!$A$41:$F$44,2,FALSE),0)+IF(4=D328,ROUND(AK328*'难度参数'!$E$28*'章节与怪物'!$E$17,0),0))</x:f>
        <x:v>419436</x:v>
      </x:c>
      <x:c r="AM328" s="119" t="n">
        <x:f>IF(AJ328=0,0,(AJ328-IF(4=D328,1,0))*VLOOKUP(INDEX('章节与怪物'!$E$31:$K$37,B328,4),'章节与怪物'!$A$41:$F$44,4,FALSE)+IF(4=D328,'难度参数'!$E$30,0))</x:f>
        <x:v>1224</x:v>
      </x:c>
      <x:c r="AN328" s="119" t="n">
        <x:f>IF(5&gt;D328,0,MAX(2,MIN('难度参数'!$E$12,ROUND(('难度参数'!$E$18*POWER(A328,'难度参数'!$E$19)/D328*(0.85+0.3*(5-1)/MAX(1,D328-1))),0)+F328)))</x:f>
        <x:v>37</x:v>
      </x:c>
      <x:c r="AO328" s="119" t="n">
        <x:f>IF(5&gt;D328,0,ROUND(('难度参数'!$E$13*POWER(A328,'难度参数'!$E$20)*MIN('难度参数'!$E$23,1+MAX(0,A328-'难度参数'!$E$21)*'难度参数'!$E$22))*(36+5*7)/(36+7*(D328+1)/2)*E328,0))</x:f>
        <x:v>9573</x:v>
      </x:c>
      <x:c r="AP328" s="119" t="n">
        <x:f>IF(AN328=0,0,(AN328-IF(5=D328,1,0))*ROUND(AO328*VLOOKUP(INDEX('章节与怪物'!$E$31:$K$37,B328,5),'章节与怪物'!$A$41:$F$44,2,FALSE),0)+IF(5=D328,ROUND(AO328*'难度参数'!$E$28*'章节与怪物'!$E$17,0),0))</x:f>
        <x:v>354201</x:v>
      </x:c>
      <x:c r="AQ328" s="119" t="n">
        <x:f>IF(AN328=0,0,(AN328-IF(5=D328,1,0))*VLOOKUP(INDEX('章节与怪物'!$E$31:$K$37,B328,5),'章节与怪物'!$A$41:$F$44,4,FALSE)+IF(5=D328,'难度参数'!$E$30,0))</x:f>
        <x:v>666</x:v>
      </x:c>
      <x:c r="AR328" s="119" t="n">
        <x:f>IF(6&gt;D328,0,MAX(2,MIN('难度参数'!$E$12,ROUND(('难度参数'!$E$18*POWER(A328,'难度参数'!$E$19)/D328*(0.85+0.3*(6-1)/MAX(1,D328-1))),0)+F328)))</x:f>
        <x:v>39</x:v>
      </x:c>
      <x:c r="AS328" s="119" t="n">
        <x:f>IF(6&gt;D328,0,ROUND(('难度参数'!$E$13*POWER(A328,'难度参数'!$E$20)*MIN('难度参数'!$E$23,1+MAX(0,A328-'难度参数'!$E$21)*'难度参数'!$E$22))*(36+6*7)/(36+7*(D328+1)/2)*E328,0))</x:f>
        <x:v>10517</x:v>
      </x:c>
      <x:c r="AT328" s="119" t="n">
        <x:f>IF(AR328=0,0,(AR328-IF(6=D328,1,0))*ROUND(AS328*VLOOKUP(INDEX('章节与怪物'!$E$31:$K$37,B328,6),'章节与怪物'!$A$41:$F$44,2,FALSE),0)+IF(6=D328,ROUND(AS328*'难度参数'!$E$28*'章节与怪物'!$E$17,0),0))</x:f>
        <x:v>697281</x:v>
      </x:c>
      <x:c r="AU328" s="119" t="n">
        <x:f>IF(AR328=0,0,(AR328-IF(6=D328,1,0))*VLOOKUP(INDEX('章节与怪物'!$E$31:$K$37,B328,6),'章节与怪物'!$A$41:$F$44,4,FALSE)+IF(6=D328,'难度参数'!$E$30,0))</x:f>
        <x:v>1092</x:v>
      </x:c>
      <x:c r="AV328" s="119" t="n">
        <x:f>IF(7&gt;D328,0,MAX(2,MIN('难度参数'!$E$12,ROUND(('难度参数'!$E$18*POWER(A328,'难度参数'!$E$19)/D328*(0.85+0.3*(7-1)/MAX(1,D328-1))),0)+F328)))</x:f>
        <x:v>41</x:v>
      </x:c>
      <x:c r="AW328" s="119" t="n">
        <x:f>IF(7&gt;D328,0,ROUND(('难度参数'!$E$13*POWER(A328,'难度参数'!$E$20)*MIN('难度参数'!$E$23,1+MAX(0,A328-'难度参数'!$E$21)*'难度参数'!$E$22))*(36+7*7)/(36+7*(D328+1)/2)*E328,0))</x:f>
        <x:v>11461</x:v>
      </x:c>
      <x:c r="AX328" s="119" t="n">
        <x:f>IF(AV328=0,0,(AV328-IF(7=D328,1,0))*ROUND(AW328*VLOOKUP(INDEX('章节与怪物'!$E$31:$K$37,B328,7),'章节与怪物'!$A$41:$F$44,2,FALSE),0)+IF(7=D328,ROUND(AW328*'难度参数'!$E$28*'章节与怪物'!$E$17,0),0))</x:f>
        <x:v>696815</x:v>
      </x:c>
      <x:c r="AY328" s="119" t="n">
        <x:f>IF(AV328=0,0,(AV328-IF(7=D328,1,0))*VLOOKUP(INDEX('章节与怪物'!$E$31:$K$37,B328,7),'章节与怪物'!$A$41:$F$44,4,FALSE)+IF(7=D328,'难度参数'!$E$30,0))</x:f>
        <x:v>1560</x:v>
      </x:c>
    </x:row>
    <x:row r="329" ht="23" customHeight="1">
      <x:c r="A329" s="119" t="n">
        <x:v>323</x:v>
      </x:c>
      <x:c r="B329" s="119" t="n">
        <x:f>MOD(INT((A329-1)/5),7)+1</x:f>
        <x:v>2</x:v>
      </x:c>
      <x:c r="C329" s="62" t="str">
        <x:f>INDEX('章节与怪物'!$B$31:$B$37,B329)</x:f>
        <x:v>黄沙要塞</x:v>
      </x:c>
      <x:c r="D329" s="119" t="n">
        <x:f>MIN('难度参数'!$E$8,MAX('难度参数'!$E$7,A329))</x:f>
        <x:v>7</x:v>
      </x:c>
      <x:c r="E329" s="106" t="n">
        <x:v>1</x:v>
      </x:c>
      <x:c r="F329" s="106" t="n">
        <x:v>0</x:v>
      </x:c>
      <x:c r="G329" s="106" t="n">
        <x:v>1</x:v>
      </x:c>
      <x:c r="H329" s="119" t="n">
        <x:f>SUM(X329,AB329,AF329,AJ329,AN329,AR329,AV329)</x:f>
        <x:v>249</x:v>
      </x:c>
      <x:c r="I329" s="119" t="n">
        <x:f>SUM(Z329,AD329,AH329,AL329,AP329,AT329,AX329)</x:f>
        <x:v>2959597</x:v>
      </x:c>
      <x:c r="J329" s="119" t="n">
        <x:f>ROUND(INDEX(X329:AY329,1,(D329-1)*4+2)*'难度参数'!$E$28*'章节与怪物'!$E$17,0)</x:f>
        <x:v>78112</x:v>
      </x:c>
      <x:c r="K329" s="119" t="n">
        <x:f>SUM(AA329,AE329,AI329,AM329,AQ329,AU329,AY329)</x:f>
        <x:v>6670</x:v>
      </x:c>
      <x:c r="L329" s="62" t="n">
        <x:f>H329*(ROUNDUP('难度参数'!$E$24/('难度参数'!$E$26*'难度参数'!$E$27),0)*'难度参数'!$E$26)/60</x:f>
        <x:v>3.3200000000000003</x:v>
      </x:c>
      <x:c r="M329" s="62" t="n">
        <x:f>L329+D329*('难度参数'!$E$49+'难度参数'!$E$50)/60</x:f>
        <x:v>4.486666666666667</x:v>
      </x:c>
      <x:c r="N329" s="119" t="n">
        <x:f>ROUNDDOWN(('经济参数'!$E$20+A329*'经济参数'!$E$21)*G329,0)</x:f>
        <x:v>6640</x:v>
      </x:c>
      <x:c r="O329" s="119" t="n">
        <x:f>ROUNDDOWN(MIN('经济参数'!$E$24,'经济参数'!$E$22+A329*'经济参数'!$E$23)*G329,0)</x:f>
        <x:v>0</x:v>
      </x:c>
      <x:c r="P329" s="119" t="n">
        <x:f>ROUNDDOWN((IF(A329&gt;='材料与任务'!$E$31,'材料与任务'!$E$32,IF(A329&gt;='材料与任务'!$E$25,'材料与任务'!$E$26,IF(A329&gt;='材料与任务'!$E$19,'材料与任务'!$E$20,IF(A329&gt;='材料与任务'!$E$13,'材料与任务'!$E$14,'材料与任务'!$E$8)))))*G329,0)</x:f>
        <x:v>6</x:v>
      </x:c>
      <x:c r="Q329" s="119" t="n">
        <x:f>ROUNDDOWN((IF(A329&gt;='材料与任务'!$E$31,'材料与任务'!$E$33,IF(A329&gt;='材料与任务'!$E$25,'材料与任务'!$E$27,IF(A329&gt;='材料与任务'!$E$19,'材料与任务'!$E$21,IF(A329&gt;='材料与任务'!$E$13,'材料与任务'!$E$15,'材料与任务'!$E$9)))))*G329,0)</x:f>
        <x:v>3</x:v>
      </x:c>
      <x:c r="R329" s="110" t="n">
        <x:f>'装备掉落'!$B$38</x:f>
        <x:v>0.6872058758851213</x:v>
      </x:c>
      <x:c r="S329" s="119" t="n">
        <x:f>MAX(IF(VLOOKUP(A329,'装备掉落'!$A$29:$H$34,2,TRUE)&gt;0,1,0),IF(VLOOKUP(A329,'装备掉落'!$A$29:$H$34,3,TRUE)&gt;0,2,0),IF(VLOOKUP(A329,'装备掉落'!$A$29:$H$34,4,TRUE)&gt;0,3,0),IF(VLOOKUP(A329,'装备掉落'!$A$29:$H$34,5,TRUE)&gt;0,4,0),IF(VLOOKUP(A329,'装备掉落'!$A$29:$H$34,6,TRUE)&gt;0,5,0),IF(VLOOKUP(A329,'装备掉落'!$A$29:$H$34,7,TRUE)&gt;0,6,0),IF(VLOOKUP(A329,'装备掉落'!$A$29:$H$34,8,TRUE)&gt;0,7,0))</x:f>
        <x:v>7</x:v>
      </x:c>
      <x:c r="T329" s="119" t="n">
        <x:f>MIN(7,S329+'经济参数'!$E$70)</x:f>
        <x:v>7</x:v>
      </x:c>
      <x:c r="U329" s="119" t="n">
        <x:f>MIN(7,S329+'经济参数'!$E$71)</x:f>
        <x:v>7</x:v>
      </x:c>
      <x:c r="V329" s="119" t="n">
        <x:f>IF(H329&gt;=('难度参数'!$E$52),1,0)+IF(H329&gt;=('难度参数'!$E$52+'难度参数'!$E$53),1,0)+IF(H329&gt;=('难度参数'!$E$52+'难度参数'!$E$53+'难度参数'!$E$54),1,0)+IF(H329&gt;=('难度参数'!$E$52+'难度参数'!$E$53+'难度参数'!$E$54+'难度参数'!$E$55),1,0)+IF(H329&gt;=('难度参数'!$E$52+'难度参数'!$E$53+'难度参数'!$E$54+'难度参数'!$E$55+'难度参数'!$E$56),1,0)+IF(H329&gt;=('难度参数'!$E$52+'难度参数'!$E$53+'难度参数'!$E$54+'难度参数'!$E$55+'难度参数'!$E$56+'难度参数'!$E$57),1,0)</x:f>
        <x:v>6</x:v>
      </x:c>
      <x:c r="W329" s="62" t="str">
        <x:f>IF(L329&gt;'难度参数'!$E$51,"仅出怪已超目标","还需实测")</x:f>
        <x:v>仅出怪已超目标</x:v>
      </x:c>
      <x:c r="X329" s="119" t="n">
        <x:f>IF(1&gt;D329,0,MAX(2,MIN('难度参数'!$E$12,ROUND(('难度参数'!$E$18*POWER(A329,'难度参数'!$E$19)/D329*(0.85+0.3*(1-1)/MAX(1,D329-1))),0)+F329)))</x:f>
        <x:v>30</x:v>
      </x:c>
      <x:c r="Y329" s="119" t="n">
        <x:f>IF(1&gt;D329,0,ROUND(('难度参数'!$E$13*POWER(A329,'难度参数'!$E$20)*MIN('难度参数'!$E$23,1+MAX(0,A329-'难度参数'!$E$21)*'难度参数'!$E$22))*(36+1*7)/(36+7*(D329+1)/2)*E329,0))</x:f>
        <x:v>5811</x:v>
      </x:c>
      <x:c r="Z329" s="119" t="n">
        <x:f>IF(X329=0,0,(X329-IF(1=D329,1,0))*ROUND(Y329*VLOOKUP(INDEX('章节与怪物'!$E$31:$K$37,B329,1),'章节与怪物'!$A$41:$F$44,2,FALSE),0)+IF(1=D329,ROUND(Y329*'难度参数'!$E$28*'章节与怪物'!$E$17,0),0))</x:f>
        <x:v>125520</x:v>
      </x:c>
      <x:c r="AA329" s="119" t="n">
        <x:f>IF(X329=0,0,(X329-IF(1=D329,1,0))*VLOOKUP(INDEX('章节与怪物'!$E$31:$K$37,B329,1),'章节与怪物'!$A$41:$F$44,4,FALSE)+IF(1=D329,'难度参数'!$E$30,0))</x:f>
        <x:v>600</x:v>
      </x:c>
      <x:c r="AB329" s="119" t="n">
        <x:f>IF(2&gt;D329,0,MAX(2,MIN('难度参数'!$E$12,ROUND(('难度参数'!$E$18*POWER(A329,'难度参数'!$E$19)/D329*(0.85+0.3*(2-1)/MAX(1,D329-1))),0)+F329)))</x:f>
        <x:v>32</x:v>
      </x:c>
      <x:c r="AC329" s="119" t="n">
        <x:f>IF(2&gt;D329,0,ROUND(('难度参数'!$E$13*POWER(A329,'难度参数'!$E$20)*MIN('难度参数'!$E$23,1+MAX(0,A329-'难度参数'!$E$21)*'难度参数'!$E$22))*(36+2*7)/(36+7*(D329+1)/2)*E329,0))</x:f>
        <x:v>6757</x:v>
      </x:c>
      <x:c r="AD329" s="119" t="n">
        <x:f>IF(AB329=0,0,(AB329-IF(2=D329,1,0))*ROUND(AC329*VLOOKUP(INDEX('章节与怪物'!$E$31:$K$37,B329,2),'章节与怪物'!$A$41:$F$44,2,FALSE),0)+IF(2=D329,ROUND(AC329*'难度参数'!$E$28*'章节与怪物'!$E$17,0),0))</x:f>
        <x:v>216224</x:v>
      </x:c>
      <x:c r="AE329" s="119" t="n">
        <x:f>IF(AB329=0,0,(AB329-IF(2=D329,1,0))*VLOOKUP(INDEX('章节与怪物'!$E$31:$K$37,B329,2),'章节与怪物'!$A$41:$F$44,4,FALSE)+IF(2=D329,'难度参数'!$E$30,0))</x:f>
        <x:v>576</x:v>
      </x:c>
      <x:c r="AF329" s="119" t="n">
        <x:f>IF(3&gt;D329,0,MAX(2,MIN('难度参数'!$E$12,ROUND(('难度参数'!$E$18*POWER(A329,'难度参数'!$E$19)/D329*(0.85+0.3*(3-1)/MAX(1,D329-1))),0)+F329)))</x:f>
        <x:v>34</x:v>
      </x:c>
      <x:c r="AG329" s="119" t="n">
        <x:f>IF(3&gt;D329,0,ROUND(('难度参数'!$E$13*POWER(A329,'难度参数'!$E$20)*MIN('难度参数'!$E$23,1+MAX(0,A329-'难度参数'!$E$21)*'难度参数'!$E$22))*(36+3*7)/(36+7*(D329+1)/2)*E329,0))</x:f>
        <x:v>7703</x:v>
      </x:c>
      <x:c r="AH329" s="119" t="n">
        <x:f>IF(AF329=0,0,(AF329-IF(3=D329,1,0))*ROUND(AG329*VLOOKUP(INDEX('章节与怪物'!$E$31:$K$37,B329,3),'章节与怪物'!$A$41:$F$44,2,FALSE),0)+IF(3=D329,ROUND(AG329*'难度参数'!$E$28*'章节与怪物'!$E$17,0),0))</x:f>
        <x:v>445230</x:v>
      </x:c>
      <x:c r="AI329" s="119" t="n">
        <x:f>IF(AF329=0,0,(AF329-IF(3=D329,1,0))*VLOOKUP(INDEX('章节与怪物'!$E$31:$K$37,B329,3),'章节与怪物'!$A$41:$F$44,4,FALSE)+IF(3=D329,'难度参数'!$E$30,0))</x:f>
        <x:v>952</x:v>
      </x:c>
      <x:c r="AJ329" s="119" t="n">
        <x:f>IF(4&gt;D329,0,MAX(2,MIN('难度参数'!$E$12,ROUND(('难度参数'!$E$18*POWER(A329,'难度参数'!$E$19)/D329*(0.85+0.3*(4-1)/MAX(1,D329-1))),0)+F329)))</x:f>
        <x:v>36</x:v>
      </x:c>
      <x:c r="AK329" s="119" t="n">
        <x:f>IF(4&gt;D329,0,ROUND(('难度参数'!$E$13*POWER(A329,'难度参数'!$E$20)*MIN('难度参数'!$E$23,1+MAX(0,A329-'难度参数'!$E$21)*'难度参数'!$E$22))*(36+4*7)/(36+7*(D329+1)/2)*E329,0))</x:f>
        <x:v>8649</x:v>
      </x:c>
      <x:c r="AL329" s="119" t="n">
        <x:f>IF(AJ329=0,0,(AJ329-IF(4=D329,1,0))*ROUND(AK329*VLOOKUP(INDEX('章节与怪物'!$E$31:$K$37,B329,4),'章节与怪物'!$A$41:$F$44,2,FALSE),0)+IF(4=D329,ROUND(AK329*'难度参数'!$E$28*'章节与怪物'!$E$17,0),0))</x:f>
        <x:v>420336</x:v>
      </x:c>
      <x:c r="AM329" s="119" t="n">
        <x:f>IF(AJ329=0,0,(AJ329-IF(4=D329,1,0))*VLOOKUP(INDEX('章节与怪物'!$E$31:$K$37,B329,4),'章节与怪物'!$A$41:$F$44,4,FALSE)+IF(4=D329,'难度参数'!$E$30,0))</x:f>
        <x:v>1224</x:v>
      </x:c>
      <x:c r="AN329" s="119" t="n">
        <x:f>IF(5&gt;D329,0,MAX(2,MIN('难度参数'!$E$12,ROUND(('难度参数'!$E$18*POWER(A329,'难度参数'!$E$19)/D329*(0.85+0.3*(5-1)/MAX(1,D329-1))),0)+F329)))</x:f>
        <x:v>37</x:v>
      </x:c>
      <x:c r="AO329" s="119" t="n">
        <x:f>IF(5&gt;D329,0,ROUND(('难度参数'!$E$13*POWER(A329,'难度参数'!$E$20)*MIN('难度参数'!$E$23,1+MAX(0,A329-'难度参数'!$E$21)*'难度参数'!$E$22))*(36+5*7)/(36+7*(D329+1)/2)*E329,0))</x:f>
        <x:v>9595</x:v>
      </x:c>
      <x:c r="AP329" s="119" t="n">
        <x:f>IF(AN329=0,0,(AN329-IF(5=D329,1,0))*ROUND(AO329*VLOOKUP(INDEX('章节与怪物'!$E$31:$K$37,B329,5),'章节与怪物'!$A$41:$F$44,2,FALSE),0)+IF(5=D329,ROUND(AO329*'难度参数'!$E$28*'章节与怪物'!$E$17,0),0))</x:f>
        <x:v>355015</x:v>
      </x:c>
      <x:c r="AQ329" s="119" t="n">
        <x:f>IF(AN329=0,0,(AN329-IF(5=D329,1,0))*VLOOKUP(INDEX('章节与怪物'!$E$31:$K$37,B329,5),'章节与怪物'!$A$41:$F$44,4,FALSE)+IF(5=D329,'难度参数'!$E$30,0))</x:f>
        <x:v>666</x:v>
      </x:c>
      <x:c r="AR329" s="119" t="n">
        <x:f>IF(6&gt;D329,0,MAX(2,MIN('难度参数'!$E$12,ROUND(('难度参数'!$E$18*POWER(A329,'难度参数'!$E$19)/D329*(0.85+0.3*(6-1)/MAX(1,D329-1))),0)+F329)))</x:f>
        <x:v>39</x:v>
      </x:c>
      <x:c r="AS329" s="119" t="n">
        <x:f>IF(6&gt;D329,0,ROUND(('难度参数'!$E$13*POWER(A329,'难度参数'!$E$20)*MIN('难度参数'!$E$23,1+MAX(0,A329-'难度参数'!$E$21)*'难度参数'!$E$22))*(36+6*7)/(36+7*(D329+1)/2)*E329,0))</x:f>
        <x:v>10541</x:v>
      </x:c>
      <x:c r="AT329" s="119" t="n">
        <x:f>IF(AR329=0,0,(AR329-IF(6=D329,1,0))*ROUND(AS329*VLOOKUP(INDEX('章节与怪物'!$E$31:$K$37,B329,6),'章节与怪物'!$A$41:$F$44,2,FALSE),0)+IF(6=D329,ROUND(AS329*'难度参数'!$E$28*'章节与怪物'!$E$17,0),0))</x:f>
        <x:v>698880</x:v>
      </x:c>
      <x:c r="AU329" s="119" t="n">
        <x:f>IF(AR329=0,0,(AR329-IF(6=D329,1,0))*VLOOKUP(INDEX('章节与怪物'!$E$31:$K$37,B329,6),'章节与怪物'!$A$41:$F$44,4,FALSE)+IF(6=D329,'难度参数'!$E$30,0))</x:f>
        <x:v>1092</x:v>
      </x:c>
      <x:c r="AV329" s="119" t="n">
        <x:f>IF(7&gt;D329,0,MAX(2,MIN('难度参数'!$E$12,ROUND(('难度参数'!$E$18*POWER(A329,'难度参数'!$E$19)/D329*(0.85+0.3*(7-1)/MAX(1,D329-1))),0)+F329)))</x:f>
        <x:v>41</x:v>
      </x:c>
      <x:c r="AW329" s="119" t="n">
        <x:f>IF(7&gt;D329,0,ROUND(('难度参数'!$E$13*POWER(A329,'难度参数'!$E$20)*MIN('难度参数'!$E$23,1+MAX(0,A329-'难度参数'!$E$21)*'难度参数'!$E$22))*(36+7*7)/(36+7*(D329+1)/2)*E329,0))</x:f>
        <x:v>11487</x:v>
      </x:c>
      <x:c r="AX329" s="119" t="n">
        <x:f>IF(AV329=0,0,(AV329-IF(7=D329,1,0))*ROUND(AW329*VLOOKUP(INDEX('章节与怪物'!$E$31:$K$37,B329,7),'章节与怪物'!$A$41:$F$44,2,FALSE),0)+IF(7=D329,ROUND(AW329*'难度参数'!$E$28*'章节与怪物'!$E$17,0),0))</x:f>
        <x:v>698392</x:v>
      </x:c>
      <x:c r="AY329" s="119" t="n">
        <x:f>IF(AV329=0,0,(AV329-IF(7=D329,1,0))*VLOOKUP(INDEX('章节与怪物'!$E$31:$K$37,B329,7),'章节与怪物'!$A$41:$F$44,4,FALSE)+IF(7=D329,'难度参数'!$E$30,0))</x:f>
        <x:v>1560</x:v>
      </x:c>
    </x:row>
    <x:row r="330" ht="23" customHeight="1">
      <x:c r="A330" s="119" t="n">
        <x:v>324</x:v>
      </x:c>
      <x:c r="B330" s="119" t="n">
        <x:f>MOD(INT((A330-1)/5),7)+1</x:f>
        <x:v>2</x:v>
      </x:c>
      <x:c r="C330" s="62" t="str">
        <x:f>INDEX('章节与怪物'!$B$31:$B$37,B330)</x:f>
        <x:v>黄沙要塞</x:v>
      </x:c>
      <x:c r="D330" s="119" t="n">
        <x:f>MIN('难度参数'!$E$8,MAX('难度参数'!$E$7,A330))</x:f>
        <x:v>7</x:v>
      </x:c>
      <x:c r="E330" s="106" t="n">
        <x:v>1</x:v>
      </x:c>
      <x:c r="F330" s="106" t="n">
        <x:v>0</x:v>
      </x:c>
      <x:c r="G330" s="106" t="n">
        <x:v>1</x:v>
      </x:c>
      <x:c r="H330" s="119" t="n">
        <x:f>SUM(X330,AB330,AF330,AJ330,AN330,AR330,AV330)</x:f>
        <x:v>249</x:v>
      </x:c>
      <x:c r="I330" s="119" t="n">
        <x:f>SUM(Z330,AD330,AH330,AL330,AP330,AT330,AX330)</x:f>
        <x:v>2966097</x:v>
      </x:c>
      <x:c r="J330" s="119" t="n">
        <x:f>ROUND(INDEX(X330:AY330,1,(D330-1)*4+2)*'难度参数'!$E$28*'章节与怪物'!$E$17,0)</x:f>
        <x:v>78282</x:v>
      </x:c>
      <x:c r="K330" s="119" t="n">
        <x:f>SUM(AA330,AE330,AI330,AM330,AQ330,AU330,AY330)</x:f>
        <x:v>6670</x:v>
      </x:c>
      <x:c r="L330" s="62" t="n">
        <x:f>H330*(ROUNDUP('难度参数'!$E$24/('难度参数'!$E$26*'难度参数'!$E$27),0)*'难度参数'!$E$26)/60</x:f>
        <x:v>3.3200000000000003</x:v>
      </x:c>
      <x:c r="M330" s="62" t="n">
        <x:f>L330+D330*('难度参数'!$E$49+'难度参数'!$E$50)/60</x:f>
        <x:v>4.486666666666667</x:v>
      </x:c>
      <x:c r="N330" s="119" t="n">
        <x:f>ROUNDDOWN(('经济参数'!$E$20+A330*'经济参数'!$E$21)*G330,0)</x:f>
        <x:v>6660</x:v>
      </x:c>
      <x:c r="O330" s="119" t="n">
        <x:f>ROUNDDOWN(MIN('经济参数'!$E$24,'经济参数'!$E$22+A330*'经济参数'!$E$23)*G330,0)</x:f>
        <x:v>0</x:v>
      </x:c>
      <x:c r="P330" s="119" t="n">
        <x:f>ROUNDDOWN((IF(A330&gt;='材料与任务'!$E$31,'材料与任务'!$E$32,IF(A330&gt;='材料与任务'!$E$25,'材料与任务'!$E$26,IF(A330&gt;='材料与任务'!$E$19,'材料与任务'!$E$20,IF(A330&gt;='材料与任务'!$E$13,'材料与任务'!$E$14,'材料与任务'!$E$8)))))*G330,0)</x:f>
        <x:v>6</x:v>
      </x:c>
      <x:c r="Q330" s="119" t="n">
        <x:f>ROUNDDOWN((IF(A330&gt;='材料与任务'!$E$31,'材料与任务'!$E$33,IF(A330&gt;='材料与任务'!$E$25,'材料与任务'!$E$27,IF(A330&gt;='材料与任务'!$E$19,'材料与任务'!$E$21,IF(A330&gt;='材料与任务'!$E$13,'材料与任务'!$E$15,'材料与任务'!$E$9)))))*G330,0)</x:f>
        <x:v>3</x:v>
      </x:c>
      <x:c r="R330" s="110" t="n">
        <x:f>'装备掉落'!$B$38</x:f>
        <x:v>0.6872058758851213</x:v>
      </x:c>
      <x:c r="S330" s="119" t="n">
        <x:f>MAX(IF(VLOOKUP(A330,'装备掉落'!$A$29:$H$34,2,TRUE)&gt;0,1,0),IF(VLOOKUP(A330,'装备掉落'!$A$29:$H$34,3,TRUE)&gt;0,2,0),IF(VLOOKUP(A330,'装备掉落'!$A$29:$H$34,4,TRUE)&gt;0,3,0),IF(VLOOKUP(A330,'装备掉落'!$A$29:$H$34,5,TRUE)&gt;0,4,0),IF(VLOOKUP(A330,'装备掉落'!$A$29:$H$34,6,TRUE)&gt;0,5,0),IF(VLOOKUP(A330,'装备掉落'!$A$29:$H$34,7,TRUE)&gt;0,6,0),IF(VLOOKUP(A330,'装备掉落'!$A$29:$H$34,8,TRUE)&gt;0,7,0))</x:f>
        <x:v>7</x:v>
      </x:c>
      <x:c r="T330" s="119" t="n">
        <x:f>MIN(7,S330+'经济参数'!$E$70)</x:f>
        <x:v>7</x:v>
      </x:c>
      <x:c r="U330" s="119" t="n">
        <x:f>MIN(7,S330+'经济参数'!$E$71)</x:f>
        <x:v>7</x:v>
      </x:c>
      <x:c r="V330" s="119" t="n">
        <x:f>IF(H330&gt;=('难度参数'!$E$52),1,0)+IF(H330&gt;=('难度参数'!$E$52+'难度参数'!$E$53),1,0)+IF(H330&gt;=('难度参数'!$E$52+'难度参数'!$E$53+'难度参数'!$E$54),1,0)+IF(H330&gt;=('难度参数'!$E$52+'难度参数'!$E$53+'难度参数'!$E$54+'难度参数'!$E$55),1,0)+IF(H330&gt;=('难度参数'!$E$52+'难度参数'!$E$53+'难度参数'!$E$54+'难度参数'!$E$55+'难度参数'!$E$56),1,0)+IF(H330&gt;=('难度参数'!$E$52+'难度参数'!$E$53+'难度参数'!$E$54+'难度参数'!$E$55+'难度参数'!$E$56+'难度参数'!$E$57),1,0)</x:f>
        <x:v>6</x:v>
      </x:c>
      <x:c r="W330" s="62" t="str">
        <x:f>IF(L330&gt;'难度参数'!$E$51,"仅出怪已超目标","还需实测")</x:f>
        <x:v>仅出怪已超目标</x:v>
      </x:c>
      <x:c r="X330" s="119" t="n">
        <x:f>IF(1&gt;D330,0,MAX(2,MIN('难度参数'!$E$12,ROUND(('难度参数'!$E$18*POWER(A330,'难度参数'!$E$19)/D330*(0.85+0.3*(1-1)/MAX(1,D330-1))),0)+F330)))</x:f>
        <x:v>30</x:v>
      </x:c>
      <x:c r="Y330" s="119" t="n">
        <x:f>IF(1&gt;D330,0,ROUND(('难度参数'!$E$13*POWER(A330,'难度参数'!$E$20)*MIN('难度参数'!$E$23,1+MAX(0,A330-'难度参数'!$E$21)*'难度参数'!$E$22))*(36+1*7)/(36+7*(D330+1)/2)*E330,0))</x:f>
        <x:v>5824</x:v>
      </x:c>
      <x:c r="Z330" s="119" t="n">
        <x:f>IF(X330=0,0,(X330-IF(1=D330,1,0))*ROUND(Y330*VLOOKUP(INDEX('章节与怪物'!$E$31:$K$37,B330,1),'章节与怪物'!$A$41:$F$44,2,FALSE),0)+IF(1=D330,ROUND(Y330*'难度参数'!$E$28*'章节与怪物'!$E$17,0),0))</x:f>
        <x:v>125790</x:v>
      </x:c>
      <x:c r="AA330" s="119" t="n">
        <x:f>IF(X330=0,0,(X330-IF(1=D330,1,0))*VLOOKUP(INDEX('章节与怪物'!$E$31:$K$37,B330,1),'章节与怪物'!$A$41:$F$44,4,FALSE)+IF(1=D330,'难度参数'!$E$30,0))</x:f>
        <x:v>600</x:v>
      </x:c>
      <x:c r="AB330" s="119" t="n">
        <x:f>IF(2&gt;D330,0,MAX(2,MIN('难度参数'!$E$12,ROUND(('难度参数'!$E$18*POWER(A330,'难度参数'!$E$19)/D330*(0.85+0.3*(2-1)/MAX(1,D330-1))),0)+F330)))</x:f>
        <x:v>32</x:v>
      </x:c>
      <x:c r="AC330" s="119" t="n">
        <x:f>IF(2&gt;D330,0,ROUND(('难度参数'!$E$13*POWER(A330,'难度参数'!$E$20)*MIN('难度参数'!$E$23,1+MAX(0,A330-'难度参数'!$E$21)*'难度参数'!$E$22))*(36+2*7)/(36+7*(D330+1)/2)*E330,0))</x:f>
        <x:v>6772</x:v>
      </x:c>
      <x:c r="AD330" s="119" t="n">
        <x:f>IF(AB330=0,0,(AB330-IF(2=D330,1,0))*ROUND(AC330*VLOOKUP(INDEX('章节与怪物'!$E$31:$K$37,B330,2),'章节与怪物'!$A$41:$F$44,2,FALSE),0)+IF(2=D330,ROUND(AC330*'难度参数'!$E$28*'章节与怪物'!$E$17,0),0))</x:f>
        <x:v>216704</x:v>
      </x:c>
      <x:c r="AE330" s="119" t="n">
        <x:f>IF(AB330=0,0,(AB330-IF(2=D330,1,0))*VLOOKUP(INDEX('章节与怪物'!$E$31:$K$37,B330,2),'章节与怪物'!$A$41:$F$44,4,FALSE)+IF(2=D330,'难度参数'!$E$30,0))</x:f>
        <x:v>576</x:v>
      </x:c>
      <x:c r="AF330" s="119" t="n">
        <x:f>IF(3&gt;D330,0,MAX(2,MIN('难度参数'!$E$12,ROUND(('难度参数'!$E$18*POWER(A330,'难度参数'!$E$19)/D330*(0.85+0.3*(3-1)/MAX(1,D330-1))),0)+F330)))</x:f>
        <x:v>34</x:v>
      </x:c>
      <x:c r="AG330" s="119" t="n">
        <x:f>IF(3&gt;D330,0,ROUND(('难度参数'!$E$13*POWER(A330,'难度参数'!$E$20)*MIN('难度参数'!$E$23,1+MAX(0,A330-'难度参数'!$E$21)*'难度参数'!$E$22))*(36+3*7)/(36+7*(D330+1)/2)*E330,0))</x:f>
        <x:v>7720</x:v>
      </x:c>
      <x:c r="AH330" s="119" t="n">
        <x:f>IF(AF330=0,0,(AF330-IF(3=D330,1,0))*ROUND(AG330*VLOOKUP(INDEX('章节与怪物'!$E$31:$K$37,B330,3),'章节与怪物'!$A$41:$F$44,2,FALSE),0)+IF(3=D330,ROUND(AG330*'难度参数'!$E$28*'章节与怪物'!$E$17,0),0))</x:f>
        <x:v>446216</x:v>
      </x:c>
      <x:c r="AI330" s="119" t="n">
        <x:f>IF(AF330=0,0,(AF330-IF(3=D330,1,0))*VLOOKUP(INDEX('章节与怪物'!$E$31:$K$37,B330,3),'章节与怪物'!$A$41:$F$44,4,FALSE)+IF(3=D330,'难度参数'!$E$30,0))</x:f>
        <x:v>952</x:v>
      </x:c>
      <x:c r="AJ330" s="119" t="n">
        <x:f>IF(4&gt;D330,0,MAX(2,MIN('难度参数'!$E$12,ROUND(('难度参数'!$E$18*POWER(A330,'难度参数'!$E$19)/D330*(0.85+0.3*(4-1)/MAX(1,D330-1))),0)+F330)))</x:f>
        <x:v>36</x:v>
      </x:c>
      <x:c r="AK330" s="119" t="n">
        <x:f>IF(4&gt;D330,0,ROUND(('难度参数'!$E$13*POWER(A330,'难度参数'!$E$20)*MIN('难度参数'!$E$23,1+MAX(0,A330-'难度参数'!$E$21)*'难度参数'!$E$22))*(36+4*7)/(36+7*(D330+1)/2)*E330,0))</x:f>
        <x:v>8668</x:v>
      </x:c>
      <x:c r="AL330" s="119" t="n">
        <x:f>IF(AJ330=0,0,(AJ330-IF(4=D330,1,0))*ROUND(AK330*VLOOKUP(INDEX('章节与怪物'!$E$31:$K$37,B330,4),'章节与怪物'!$A$41:$F$44,2,FALSE),0)+IF(4=D330,ROUND(AK330*'难度参数'!$E$28*'章节与怪物'!$E$17,0),0))</x:f>
        <x:v>421272</x:v>
      </x:c>
      <x:c r="AM330" s="119" t="n">
        <x:f>IF(AJ330=0,0,(AJ330-IF(4=D330,1,0))*VLOOKUP(INDEX('章节与怪物'!$E$31:$K$37,B330,4),'章节与怪物'!$A$41:$F$44,4,FALSE)+IF(4=D330,'难度参数'!$E$30,0))</x:f>
        <x:v>1224</x:v>
      </x:c>
      <x:c r="AN330" s="119" t="n">
        <x:f>IF(5&gt;D330,0,MAX(2,MIN('难度参数'!$E$12,ROUND(('难度参数'!$E$18*POWER(A330,'难度参数'!$E$19)/D330*(0.85+0.3*(5-1)/MAX(1,D330-1))),0)+F330)))</x:f>
        <x:v>37</x:v>
      </x:c>
      <x:c r="AO330" s="119" t="n">
        <x:f>IF(5&gt;D330,0,ROUND(('难度参数'!$E$13*POWER(A330,'难度参数'!$E$20)*MIN('难度参数'!$E$23,1+MAX(0,A330-'难度参数'!$E$21)*'难度参数'!$E$22))*(36+5*7)/(36+7*(D330+1)/2)*E330,0))</x:f>
        <x:v>9616</x:v>
      </x:c>
      <x:c r="AP330" s="119" t="n">
        <x:f>IF(AN330=0,0,(AN330-IF(5=D330,1,0))*ROUND(AO330*VLOOKUP(INDEX('章节与怪物'!$E$31:$K$37,B330,5),'章节与怪物'!$A$41:$F$44,2,FALSE),0)+IF(5=D330,ROUND(AO330*'难度参数'!$E$28*'章节与怪物'!$E$17,0),0))</x:f>
        <x:v>355792</x:v>
      </x:c>
      <x:c r="AQ330" s="119" t="n">
        <x:f>IF(AN330=0,0,(AN330-IF(5=D330,1,0))*VLOOKUP(INDEX('章节与怪物'!$E$31:$K$37,B330,5),'章节与怪物'!$A$41:$F$44,4,FALSE)+IF(5=D330,'难度参数'!$E$30,0))</x:f>
        <x:v>666</x:v>
      </x:c>
      <x:c r="AR330" s="119" t="n">
        <x:f>IF(6&gt;D330,0,MAX(2,MIN('难度参数'!$E$12,ROUND(('难度参数'!$E$18*POWER(A330,'难度参数'!$E$19)/D330*(0.85+0.3*(6-1)/MAX(1,D330-1))),0)+F330)))</x:f>
        <x:v>39</x:v>
      </x:c>
      <x:c r="AS330" s="119" t="n">
        <x:f>IF(6&gt;D330,0,ROUND(('难度参数'!$E$13*POWER(A330,'难度参数'!$E$20)*MIN('难度参数'!$E$23,1+MAX(0,A330-'难度参数'!$E$21)*'难度参数'!$E$22))*(36+6*7)/(36+7*(D330+1)/2)*E330,0))</x:f>
        <x:v>10564</x:v>
      </x:c>
      <x:c r="AT330" s="119" t="n">
        <x:f>IF(AR330=0,0,(AR330-IF(6=D330,1,0))*ROUND(AS330*VLOOKUP(INDEX('章节与怪物'!$E$31:$K$37,B330,6),'章节与怪物'!$A$41:$F$44,2,FALSE),0)+IF(6=D330,ROUND(AS330*'难度参数'!$E$28*'章节与怪物'!$E$17,0),0))</x:f>
        <x:v>700401</x:v>
      </x:c>
      <x:c r="AU330" s="119" t="n">
        <x:f>IF(AR330=0,0,(AR330-IF(6=D330,1,0))*VLOOKUP(INDEX('章节与怪物'!$E$31:$K$37,B330,6),'章节与怪物'!$A$41:$F$44,4,FALSE)+IF(6=D330,'难度参数'!$E$30,0))</x:f>
        <x:v>1092</x:v>
      </x:c>
      <x:c r="AV330" s="119" t="n">
        <x:f>IF(7&gt;D330,0,MAX(2,MIN('难度参数'!$E$12,ROUND(('难度参数'!$E$18*POWER(A330,'难度参数'!$E$19)/D330*(0.85+0.3*(7-1)/MAX(1,D330-1))),0)+F330)))</x:f>
        <x:v>41</x:v>
      </x:c>
      <x:c r="AW330" s="119" t="n">
        <x:f>IF(7&gt;D330,0,ROUND(('难度参数'!$E$13*POWER(A330,'难度参数'!$E$20)*MIN('难度参数'!$E$23,1+MAX(0,A330-'难度参数'!$E$21)*'难度参数'!$E$22))*(36+7*7)/(36+7*(D330+1)/2)*E330,0))</x:f>
        <x:v>11512</x:v>
      </x:c>
      <x:c r="AX330" s="119" t="n">
        <x:f>IF(AV330=0,0,(AV330-IF(7=D330,1,0))*ROUND(AW330*VLOOKUP(INDEX('章节与怪物'!$E$31:$K$37,B330,7),'章节与怪物'!$A$41:$F$44,2,FALSE),0)+IF(7=D330,ROUND(AW330*'难度参数'!$E$28*'章节与怪物'!$E$17,0),0))</x:f>
        <x:v>699922</x:v>
      </x:c>
      <x:c r="AY330" s="119" t="n">
        <x:f>IF(AV330=0,0,(AV330-IF(7=D330,1,0))*VLOOKUP(INDEX('章节与怪物'!$E$31:$K$37,B330,7),'章节与怪物'!$A$41:$F$44,4,FALSE)+IF(7=D330,'难度参数'!$E$30,0))</x:f>
        <x:v>1560</x:v>
      </x:c>
    </x:row>
    <x:row r="331" ht="23" customHeight="1">
      <x:c r="A331" s="119" t="n">
        <x:v>325</x:v>
      </x:c>
      <x:c r="B331" s="119" t="n">
        <x:f>MOD(INT((A331-1)/5),7)+1</x:f>
        <x:v>2</x:v>
      </x:c>
      <x:c r="C331" s="62" t="str">
        <x:f>INDEX('章节与怪物'!$B$31:$B$37,B331)</x:f>
        <x:v>黄沙要塞</x:v>
      </x:c>
      <x:c r="D331" s="119" t="n">
        <x:f>MIN('难度参数'!$E$8,MAX('难度参数'!$E$7,A331))</x:f>
        <x:v>7</x:v>
      </x:c>
      <x:c r="E331" s="106" t="n">
        <x:v>1</x:v>
      </x:c>
      <x:c r="F331" s="106" t="n">
        <x:v>0</x:v>
      </x:c>
      <x:c r="G331" s="106" t="n">
        <x:v>1</x:v>
      </x:c>
      <x:c r="H331" s="119" t="n">
        <x:f>SUM(X331,AB331,AF331,AJ331,AN331,AR331,AV331)</x:f>
        <x:v>249</x:v>
      </x:c>
      <x:c r="I331" s="119" t="n">
        <x:f>SUM(Z331,AD331,AH331,AL331,AP331,AT331,AX331)</x:f>
        <x:v>2972752</x:v>
      </x:c>
      <x:c r="J331" s="119" t="n">
        <x:f>ROUND(INDEX(X331:AY331,1,(D331-1)*4+2)*'难度参数'!$E$28*'章节与怪物'!$E$17,0)</x:f>
        <x:v>78458</x:v>
      </x:c>
      <x:c r="K331" s="119" t="n">
        <x:f>SUM(AA331,AE331,AI331,AM331,AQ331,AU331,AY331)</x:f>
        <x:v>6670</x:v>
      </x:c>
      <x:c r="L331" s="62" t="n">
        <x:f>H331*(ROUNDUP('难度参数'!$E$24/('难度参数'!$E$26*'难度参数'!$E$27),0)*'难度参数'!$E$26)/60</x:f>
        <x:v>3.3200000000000003</x:v>
      </x:c>
      <x:c r="M331" s="62" t="n">
        <x:f>L331+D331*('难度参数'!$E$49+'难度参数'!$E$50)/60</x:f>
        <x:v>4.486666666666667</x:v>
      </x:c>
      <x:c r="N331" s="119" t="n">
        <x:f>ROUNDDOWN(('经济参数'!$E$20+A331*'经济参数'!$E$21)*G331,0)</x:f>
        <x:v>6680</x:v>
      </x:c>
      <x:c r="O331" s="119" t="n">
        <x:f>ROUNDDOWN(MIN('经济参数'!$E$24,'经济参数'!$E$22+A331*'经济参数'!$E$23)*G331,0)</x:f>
        <x:v>0</x:v>
      </x:c>
      <x:c r="P331" s="119" t="n">
        <x:f>ROUNDDOWN((IF(A331&gt;='材料与任务'!$E$31,'材料与任务'!$E$32,IF(A331&gt;='材料与任务'!$E$25,'材料与任务'!$E$26,IF(A331&gt;='材料与任务'!$E$19,'材料与任务'!$E$20,IF(A331&gt;='材料与任务'!$E$13,'材料与任务'!$E$14,'材料与任务'!$E$8)))))*G331,0)</x:f>
        <x:v>6</x:v>
      </x:c>
      <x:c r="Q331" s="119" t="n">
        <x:f>ROUNDDOWN((IF(A331&gt;='材料与任务'!$E$31,'材料与任务'!$E$33,IF(A331&gt;='材料与任务'!$E$25,'材料与任务'!$E$27,IF(A331&gt;='材料与任务'!$E$19,'材料与任务'!$E$21,IF(A331&gt;='材料与任务'!$E$13,'材料与任务'!$E$15,'材料与任务'!$E$9)))))*G331,0)</x:f>
        <x:v>3</x:v>
      </x:c>
      <x:c r="R331" s="110" t="n">
        <x:f>'装备掉落'!$B$38</x:f>
        <x:v>0.6872058758851213</x:v>
      </x:c>
      <x:c r="S331" s="119" t="n">
        <x:f>MAX(IF(VLOOKUP(A331,'装备掉落'!$A$29:$H$34,2,TRUE)&gt;0,1,0),IF(VLOOKUP(A331,'装备掉落'!$A$29:$H$34,3,TRUE)&gt;0,2,0),IF(VLOOKUP(A331,'装备掉落'!$A$29:$H$34,4,TRUE)&gt;0,3,0),IF(VLOOKUP(A331,'装备掉落'!$A$29:$H$34,5,TRUE)&gt;0,4,0),IF(VLOOKUP(A331,'装备掉落'!$A$29:$H$34,6,TRUE)&gt;0,5,0),IF(VLOOKUP(A331,'装备掉落'!$A$29:$H$34,7,TRUE)&gt;0,6,0),IF(VLOOKUP(A331,'装备掉落'!$A$29:$H$34,8,TRUE)&gt;0,7,0))</x:f>
        <x:v>7</x:v>
      </x:c>
      <x:c r="T331" s="119" t="n">
        <x:f>MIN(7,S331+'经济参数'!$E$70)</x:f>
        <x:v>7</x:v>
      </x:c>
      <x:c r="U331" s="119" t="n">
        <x:f>MIN(7,S331+'经济参数'!$E$71)</x:f>
        <x:v>7</x:v>
      </x:c>
      <x:c r="V331" s="119" t="n">
        <x:f>IF(H331&gt;=('难度参数'!$E$52),1,0)+IF(H331&gt;=('难度参数'!$E$52+'难度参数'!$E$53),1,0)+IF(H331&gt;=('难度参数'!$E$52+'难度参数'!$E$53+'难度参数'!$E$54),1,0)+IF(H331&gt;=('难度参数'!$E$52+'难度参数'!$E$53+'难度参数'!$E$54+'难度参数'!$E$55),1,0)+IF(H331&gt;=('难度参数'!$E$52+'难度参数'!$E$53+'难度参数'!$E$54+'难度参数'!$E$55+'难度参数'!$E$56),1,0)+IF(H331&gt;=('难度参数'!$E$52+'难度参数'!$E$53+'难度参数'!$E$54+'难度参数'!$E$55+'难度参数'!$E$56+'难度参数'!$E$57),1,0)</x:f>
        <x:v>6</x:v>
      </x:c>
      <x:c r="W331" s="62" t="str">
        <x:f>IF(L331&gt;'难度参数'!$E$51,"仅出怪已超目标","还需实测")</x:f>
        <x:v>仅出怪已超目标</x:v>
      </x:c>
      <x:c r="X331" s="119" t="n">
        <x:f>IF(1&gt;D331,0,MAX(2,MIN('难度参数'!$E$12,ROUND(('难度参数'!$E$18*POWER(A331,'难度参数'!$E$19)/D331*(0.85+0.3*(1-1)/MAX(1,D331-1))),0)+F331)))</x:f>
        <x:v>30</x:v>
      </x:c>
      <x:c r="Y331" s="119" t="n">
        <x:f>IF(1&gt;D331,0,ROUND(('难度参数'!$E$13*POWER(A331,'难度参数'!$E$20)*MIN('难度参数'!$E$23,1+MAX(0,A331-'难度参数'!$E$21)*'难度参数'!$E$22))*(36+1*7)/(36+7*(D331+1)/2)*E331,0))</x:f>
        <x:v>5837</x:v>
      </x:c>
      <x:c r="Z331" s="119" t="n">
        <x:f>IF(X331=0,0,(X331-IF(1=D331,1,0))*ROUND(Y331*VLOOKUP(INDEX('章节与怪物'!$E$31:$K$37,B331,1),'章节与怪物'!$A$41:$F$44,2,FALSE),0)+IF(1=D331,ROUND(Y331*'难度参数'!$E$28*'章节与怪物'!$E$17,0),0))</x:f>
        <x:v>126090</x:v>
      </x:c>
      <x:c r="AA331" s="119" t="n">
        <x:f>IF(X331=0,0,(X331-IF(1=D331,1,0))*VLOOKUP(INDEX('章节与怪物'!$E$31:$K$37,B331,1),'章节与怪物'!$A$41:$F$44,4,FALSE)+IF(1=D331,'难度参数'!$E$30,0))</x:f>
        <x:v>600</x:v>
      </x:c>
      <x:c r="AB331" s="119" t="n">
        <x:f>IF(2&gt;D331,0,MAX(2,MIN('难度参数'!$E$12,ROUND(('难度参数'!$E$18*POWER(A331,'难度参数'!$E$19)/D331*(0.85+0.3*(2-1)/MAX(1,D331-1))),0)+F331)))</x:f>
        <x:v>32</x:v>
      </x:c>
      <x:c r="AC331" s="119" t="n">
        <x:f>IF(2&gt;D331,0,ROUND(('难度参数'!$E$13*POWER(A331,'难度参数'!$E$20)*MIN('难度参数'!$E$23,1+MAX(0,A331-'难度参数'!$E$21)*'难度参数'!$E$22))*(36+2*7)/(36+7*(D331+1)/2)*E331,0))</x:f>
        <x:v>6787</x:v>
      </x:c>
      <x:c r="AD331" s="119" t="n">
        <x:f>IF(AB331=0,0,(AB331-IF(2=D331,1,0))*ROUND(AC331*VLOOKUP(INDEX('章节与怪物'!$E$31:$K$37,B331,2),'章节与怪物'!$A$41:$F$44,2,FALSE),0)+IF(2=D331,ROUND(AC331*'难度参数'!$E$28*'章节与怪物'!$E$17,0),0))</x:f>
        <x:v>217184</x:v>
      </x:c>
      <x:c r="AE331" s="119" t="n">
        <x:f>IF(AB331=0,0,(AB331-IF(2=D331,1,0))*VLOOKUP(INDEX('章节与怪物'!$E$31:$K$37,B331,2),'章节与怪物'!$A$41:$F$44,4,FALSE)+IF(2=D331,'难度参数'!$E$30,0))</x:f>
        <x:v>576</x:v>
      </x:c>
      <x:c r="AF331" s="119" t="n">
        <x:f>IF(3&gt;D331,0,MAX(2,MIN('难度参数'!$E$12,ROUND(('难度参数'!$E$18*POWER(A331,'难度参数'!$E$19)/D331*(0.85+0.3*(3-1)/MAX(1,D331-1))),0)+F331)))</x:f>
        <x:v>34</x:v>
      </x:c>
      <x:c r="AG331" s="119" t="n">
        <x:f>IF(3&gt;D331,0,ROUND(('难度参数'!$E$13*POWER(A331,'难度参数'!$E$20)*MIN('难度参数'!$E$23,1+MAX(0,A331-'难度参数'!$E$21)*'难度参数'!$E$22))*(36+3*7)/(36+7*(D331+1)/2)*E331,0))</x:f>
        <x:v>7737</x:v>
      </x:c>
      <x:c r="AH331" s="119" t="n">
        <x:f>IF(AF331=0,0,(AF331-IF(3=D331,1,0))*ROUND(AG331*VLOOKUP(INDEX('章节与怪物'!$E$31:$K$37,B331,3),'章节与怪物'!$A$41:$F$44,2,FALSE),0)+IF(3=D331,ROUND(AG331*'难度参数'!$E$28*'章节与怪物'!$E$17,0),0))</x:f>
        <x:v>447202</x:v>
      </x:c>
      <x:c r="AI331" s="119" t="n">
        <x:f>IF(AF331=0,0,(AF331-IF(3=D331,1,0))*VLOOKUP(INDEX('章节与怪物'!$E$31:$K$37,B331,3),'章节与怪物'!$A$41:$F$44,4,FALSE)+IF(3=D331,'难度参数'!$E$30,0))</x:f>
        <x:v>952</x:v>
      </x:c>
      <x:c r="AJ331" s="119" t="n">
        <x:f>IF(4&gt;D331,0,MAX(2,MIN('难度参数'!$E$12,ROUND(('难度参数'!$E$18*POWER(A331,'难度参数'!$E$19)/D331*(0.85+0.3*(4-1)/MAX(1,D331-1))),0)+F331)))</x:f>
        <x:v>36</x:v>
      </x:c>
      <x:c r="AK331" s="119" t="n">
        <x:f>IF(4&gt;D331,0,ROUND(('难度参数'!$E$13*POWER(A331,'难度参数'!$E$20)*MIN('难度参数'!$E$23,1+MAX(0,A331-'难度参数'!$E$21)*'难度参数'!$E$22))*(36+4*7)/(36+7*(D331+1)/2)*E331,0))</x:f>
        <x:v>8687</x:v>
      </x:c>
      <x:c r="AL331" s="119" t="n">
        <x:f>IF(AJ331=0,0,(AJ331-IF(4=D331,1,0))*ROUND(AK331*VLOOKUP(INDEX('章节与怪物'!$E$31:$K$37,B331,4),'章节与怪物'!$A$41:$F$44,2,FALSE),0)+IF(4=D331,ROUND(AK331*'难度参数'!$E$28*'章节与怪物'!$E$17,0),0))</x:f>
        <x:v>422172</x:v>
      </x:c>
      <x:c r="AM331" s="119" t="n">
        <x:f>IF(AJ331=0,0,(AJ331-IF(4=D331,1,0))*VLOOKUP(INDEX('章节与怪物'!$E$31:$K$37,B331,4),'章节与怪物'!$A$41:$F$44,4,FALSE)+IF(4=D331,'难度参数'!$E$30,0))</x:f>
        <x:v>1224</x:v>
      </x:c>
      <x:c r="AN331" s="119" t="n">
        <x:f>IF(5&gt;D331,0,MAX(2,MIN('难度参数'!$E$12,ROUND(('难度参数'!$E$18*POWER(A331,'难度参数'!$E$19)/D331*(0.85+0.3*(5-1)/MAX(1,D331-1))),0)+F331)))</x:f>
        <x:v>37</x:v>
      </x:c>
      <x:c r="AO331" s="119" t="n">
        <x:f>IF(5&gt;D331,0,ROUND(('难度参数'!$E$13*POWER(A331,'难度参数'!$E$20)*MIN('难度参数'!$E$23,1+MAX(0,A331-'难度参数'!$E$21)*'难度参数'!$E$22))*(36+5*7)/(36+7*(D331+1)/2)*E331,0))</x:f>
        <x:v>9638</x:v>
      </x:c>
      <x:c r="AP331" s="119" t="n">
        <x:f>IF(AN331=0,0,(AN331-IF(5=D331,1,0))*ROUND(AO331*VLOOKUP(INDEX('章节与怪物'!$E$31:$K$37,B331,5),'章节与怪物'!$A$41:$F$44,2,FALSE),0)+IF(5=D331,ROUND(AO331*'难度参数'!$E$28*'章节与怪物'!$E$17,0),0))</x:f>
        <x:v>356606</x:v>
      </x:c>
      <x:c r="AQ331" s="119" t="n">
        <x:f>IF(AN331=0,0,(AN331-IF(5=D331,1,0))*VLOOKUP(INDEX('章节与怪物'!$E$31:$K$37,B331,5),'章节与怪物'!$A$41:$F$44,4,FALSE)+IF(5=D331,'难度参数'!$E$30,0))</x:f>
        <x:v>666</x:v>
      </x:c>
      <x:c r="AR331" s="119" t="n">
        <x:f>IF(6&gt;D331,0,MAX(2,MIN('难度参数'!$E$12,ROUND(('难度参数'!$E$18*POWER(A331,'难度参数'!$E$19)/D331*(0.85+0.3*(6-1)/MAX(1,D331-1))),0)+F331)))</x:f>
        <x:v>39</x:v>
      </x:c>
      <x:c r="AS331" s="119" t="n">
        <x:f>IF(6&gt;D331,0,ROUND(('难度参数'!$E$13*POWER(A331,'难度参数'!$E$20)*MIN('难度参数'!$E$23,1+MAX(0,A331-'难度参数'!$E$21)*'难度参数'!$E$22))*(36+6*7)/(36+7*(D331+1)/2)*E331,0))</x:f>
        <x:v>10588</x:v>
      </x:c>
      <x:c r="AT331" s="119" t="n">
        <x:f>IF(AR331=0,0,(AR331-IF(6=D331,1,0))*ROUND(AS331*VLOOKUP(INDEX('章节与怪物'!$E$31:$K$37,B331,6),'章节与怪物'!$A$41:$F$44,2,FALSE),0)+IF(6=D331,ROUND(AS331*'难度参数'!$E$28*'章节与怪物'!$E$17,0),0))</x:f>
        <x:v>702000</x:v>
      </x:c>
      <x:c r="AU331" s="119" t="n">
        <x:f>IF(AR331=0,0,(AR331-IF(6=D331,1,0))*VLOOKUP(INDEX('章节与怪物'!$E$31:$K$37,B331,6),'章节与怪物'!$A$41:$F$44,4,FALSE)+IF(6=D331,'难度参数'!$E$30,0))</x:f>
        <x:v>1092</x:v>
      </x:c>
      <x:c r="AV331" s="119" t="n">
        <x:f>IF(7&gt;D331,0,MAX(2,MIN('难度参数'!$E$12,ROUND(('难度参数'!$E$18*POWER(A331,'难度参数'!$E$19)/D331*(0.85+0.3*(7-1)/MAX(1,D331-1))),0)+F331)))</x:f>
        <x:v>41</x:v>
      </x:c>
      <x:c r="AW331" s="119" t="n">
        <x:f>IF(7&gt;D331,0,ROUND(('难度参数'!$E$13*POWER(A331,'难度参数'!$E$20)*MIN('难度参数'!$E$23,1+MAX(0,A331-'难度参数'!$E$21)*'难度参数'!$E$22))*(36+7*7)/(36+7*(D331+1)/2)*E331,0))</x:f>
        <x:v>11538</x:v>
      </x:c>
      <x:c r="AX331" s="119" t="n">
        <x:f>IF(AV331=0,0,(AV331-IF(7=D331,1,0))*ROUND(AW331*VLOOKUP(INDEX('章节与怪物'!$E$31:$K$37,B331,7),'章节与怪物'!$A$41:$F$44,2,FALSE),0)+IF(7=D331,ROUND(AW331*'难度参数'!$E$28*'章节与怪物'!$E$17,0),0))</x:f>
        <x:v>701498</x:v>
      </x:c>
      <x:c r="AY331" s="119" t="n">
        <x:f>IF(AV331=0,0,(AV331-IF(7=D331,1,0))*VLOOKUP(INDEX('章节与怪物'!$E$31:$K$37,B331,7),'章节与怪物'!$A$41:$F$44,4,FALSE)+IF(7=D331,'难度参数'!$E$30,0))</x:f>
        <x:v>1560</x:v>
      </x:c>
    </x:row>
    <x:row r="332" ht="23" customHeight="1">
      <x:c r="A332" s="119" t="n">
        <x:v>326</x:v>
      </x:c>
      <x:c r="B332" s="119" t="n">
        <x:f>MOD(INT((A332-1)/5),7)+1</x:f>
        <x:v>3</x:v>
      </x:c>
      <x:c r="C332" s="62" t="str">
        <x:f>INDEX('章节与怪物'!$B$31:$B$37,B332)</x:f>
        <x:v>腐沼秘林</x:v>
      </x:c>
      <x:c r="D332" s="119" t="n">
        <x:f>MIN('难度参数'!$E$8,MAX('难度参数'!$E$7,A332))</x:f>
        <x:v>7</x:v>
      </x:c>
      <x:c r="E332" s="106" t="n">
        <x:v>1</x:v>
      </x:c>
      <x:c r="F332" s="106" t="n">
        <x:v>0</x:v>
      </x:c>
      <x:c r="G332" s="106" t="n">
        <x:v>1</x:v>
      </x:c>
      <x:c r="H332" s="119" t="n">
        <x:f>SUM(X332,AB332,AF332,AJ332,AN332,AR332,AV332)</x:f>
        <x:v>250</x:v>
      </x:c>
      <x:c r="I332" s="119" t="n">
        <x:f>SUM(Z332,AD332,AH332,AL332,AP332,AT332,AX332)</x:f>
        <x:v>2874384</x:v>
      </x:c>
      <x:c r="J332" s="119" t="n">
        <x:f>ROUND(INDEX(X332:AY332,1,(D332-1)*4+2)*'难度参数'!$E$28*'章节与怪物'!$E$17,0)</x:f>
        <x:v>78635</x:v>
      </x:c>
      <x:c r="K332" s="119" t="n">
        <x:f>SUM(AA332,AE332,AI332,AM332,AQ332,AU332,AY332)</x:f>
        <x:v>6768</x:v>
      </x:c>
      <x:c r="L332" s="62" t="n">
        <x:f>H332*(ROUNDUP('难度参数'!$E$24/('难度参数'!$E$26*'难度参数'!$E$27),0)*'难度参数'!$E$26)/60</x:f>
        <x:v>3.3333333333333335</x:v>
      </x:c>
      <x:c r="M332" s="62" t="n">
        <x:f>L332+D332*('难度参数'!$E$49+'难度参数'!$E$50)/60</x:f>
        <x:v>4.5</x:v>
      </x:c>
      <x:c r="N332" s="119" t="n">
        <x:f>ROUNDDOWN(('经济参数'!$E$20+A332*'经济参数'!$E$21)*G332,0)</x:f>
        <x:v>6700</x:v>
      </x:c>
      <x:c r="O332" s="119" t="n">
        <x:f>ROUNDDOWN(MIN('经济参数'!$E$24,'经济参数'!$E$22+A332*'经济参数'!$E$23)*G332,0)</x:f>
        <x:v>0</x:v>
      </x:c>
      <x:c r="P332" s="119" t="n">
        <x:f>ROUNDDOWN((IF(A332&gt;='材料与任务'!$E$31,'材料与任务'!$E$32,IF(A332&gt;='材料与任务'!$E$25,'材料与任务'!$E$26,IF(A332&gt;='材料与任务'!$E$19,'材料与任务'!$E$20,IF(A332&gt;='材料与任务'!$E$13,'材料与任务'!$E$14,'材料与任务'!$E$8)))))*G332,0)</x:f>
        <x:v>6</x:v>
      </x:c>
      <x:c r="Q332" s="119" t="n">
        <x:f>ROUNDDOWN((IF(A332&gt;='材料与任务'!$E$31,'材料与任务'!$E$33,IF(A332&gt;='材料与任务'!$E$25,'材料与任务'!$E$27,IF(A332&gt;='材料与任务'!$E$19,'材料与任务'!$E$21,IF(A332&gt;='材料与任务'!$E$13,'材料与任务'!$E$15,'材料与任务'!$E$9)))))*G332,0)</x:f>
        <x:v>3</x:v>
      </x:c>
      <x:c r="R332" s="110" t="n">
        <x:f>'装备掉落'!$B$38</x:f>
        <x:v>0.6872058758851213</x:v>
      </x:c>
      <x:c r="S332" s="119" t="n">
        <x:f>MAX(IF(VLOOKUP(A332,'装备掉落'!$A$29:$H$34,2,TRUE)&gt;0,1,0),IF(VLOOKUP(A332,'装备掉落'!$A$29:$H$34,3,TRUE)&gt;0,2,0),IF(VLOOKUP(A332,'装备掉落'!$A$29:$H$34,4,TRUE)&gt;0,3,0),IF(VLOOKUP(A332,'装备掉落'!$A$29:$H$34,5,TRUE)&gt;0,4,0),IF(VLOOKUP(A332,'装备掉落'!$A$29:$H$34,6,TRUE)&gt;0,5,0),IF(VLOOKUP(A332,'装备掉落'!$A$29:$H$34,7,TRUE)&gt;0,6,0),IF(VLOOKUP(A332,'装备掉落'!$A$29:$H$34,8,TRUE)&gt;0,7,0))</x:f>
        <x:v>7</x:v>
      </x:c>
      <x:c r="T332" s="119" t="n">
        <x:f>MIN(7,S332+'经济参数'!$E$70)</x:f>
        <x:v>7</x:v>
      </x:c>
      <x:c r="U332" s="119" t="n">
        <x:f>MIN(7,S332+'经济参数'!$E$71)</x:f>
        <x:v>7</x:v>
      </x:c>
      <x:c r="V332" s="119" t="n">
        <x:f>IF(H332&gt;=('难度参数'!$E$52),1,0)+IF(H332&gt;=('难度参数'!$E$52+'难度参数'!$E$53),1,0)+IF(H332&gt;=('难度参数'!$E$52+'难度参数'!$E$53+'难度参数'!$E$54),1,0)+IF(H332&gt;=('难度参数'!$E$52+'难度参数'!$E$53+'难度参数'!$E$54+'难度参数'!$E$55),1,0)+IF(H332&gt;=('难度参数'!$E$52+'难度参数'!$E$53+'难度参数'!$E$54+'难度参数'!$E$55+'难度参数'!$E$56),1,0)+IF(H332&gt;=('难度参数'!$E$52+'难度参数'!$E$53+'难度参数'!$E$54+'难度参数'!$E$55+'难度参数'!$E$56+'难度参数'!$E$57),1,0)</x:f>
        <x:v>6</x:v>
      </x:c>
      <x:c r="W332" s="62" t="str">
        <x:f>IF(L332&gt;'难度参数'!$E$51,"仅出怪已超目标","还需实测")</x:f>
        <x:v>仅出怪已超目标</x:v>
      </x:c>
      <x:c r="X332" s="119" t="n">
        <x:f>IF(1&gt;D332,0,MAX(2,MIN('难度参数'!$E$12,ROUND(('难度参数'!$E$18*POWER(A332,'难度参数'!$E$19)/D332*(0.85+0.3*(1-1)/MAX(1,D332-1))),0)+F332)))</x:f>
        <x:v>30</x:v>
      </x:c>
      <x:c r="Y332" s="119" t="n">
        <x:f>IF(1&gt;D332,0,ROUND(('难度参数'!$E$13*POWER(A332,'难度参数'!$E$20)*MIN('难度参数'!$E$23,1+MAX(0,A332-'难度参数'!$E$21)*'难度参数'!$E$22))*(36+1*7)/(36+7*(D332+1)/2)*E332,0))</x:f>
        <x:v>5850</x:v>
      </x:c>
      <x:c r="Z332" s="119" t="n">
        <x:f>IF(X332=0,0,(X332-IF(1=D332,1,0))*ROUND(Y332*VLOOKUP(INDEX('章节与怪物'!$E$31:$K$37,B332,1),'章节与怪物'!$A$41:$F$44,2,FALSE),0)+IF(1=D332,ROUND(Y332*'难度参数'!$E$28*'章节与怪物'!$E$17,0),0))</x:f>
        <x:v>175500</x:v>
      </x:c>
      <x:c r="AA332" s="119" t="n">
        <x:f>IF(X332=0,0,(X332-IF(1=D332,1,0))*VLOOKUP(INDEX('章节与怪物'!$E$31:$K$37,B332,1),'章节与怪物'!$A$41:$F$44,4,FALSE)+IF(1=D332,'难度参数'!$E$30,0))</x:f>
        <x:v>540</x:v>
      </x:c>
      <x:c r="AB332" s="119" t="n">
        <x:f>IF(2&gt;D332,0,MAX(2,MIN('难度参数'!$E$12,ROUND(('难度参数'!$E$18*POWER(A332,'难度参数'!$E$19)/D332*(0.85+0.3*(2-1)/MAX(1,D332-1))),0)+F332)))</x:f>
        <x:v>32</x:v>
      </x:c>
      <x:c r="AC332" s="119" t="n">
        <x:f>IF(2&gt;D332,0,ROUND(('难度参数'!$E$13*POWER(A332,'难度参数'!$E$20)*MIN('难度参数'!$E$23,1+MAX(0,A332-'难度参数'!$E$21)*'难度参数'!$E$22))*(36+2*7)/(36+7*(D332+1)/2)*E332,0))</x:f>
        <x:v>6802</x:v>
      </x:c>
      <x:c r="AD332" s="119" t="n">
        <x:f>IF(AB332=0,0,(AB332-IF(2=D332,1,0))*ROUND(AC332*VLOOKUP(INDEX('章节与怪物'!$E$31:$K$37,B332,2),'章节与怪物'!$A$41:$F$44,2,FALSE),0)+IF(2=D332,ROUND(AC332*'难度参数'!$E$28*'章节与怪物'!$E$17,0),0))</x:f>
        <x:v>156704</x:v>
      </x:c>
      <x:c r="AE332" s="119" t="n">
        <x:f>IF(AB332=0,0,(AB332-IF(2=D332,1,0))*VLOOKUP(INDEX('章节与怪物'!$E$31:$K$37,B332,2),'章节与怪物'!$A$41:$F$44,4,FALSE)+IF(2=D332,'难度参数'!$E$30,0))</x:f>
        <x:v>640</x:v>
      </x:c>
      <x:c r="AF332" s="119" t="n">
        <x:f>IF(3&gt;D332,0,MAX(2,MIN('难度参数'!$E$12,ROUND(('难度参数'!$E$18*POWER(A332,'难度参数'!$E$19)/D332*(0.85+0.3*(3-1)/MAX(1,D332-1))),0)+F332)))</x:f>
        <x:v>34</x:v>
      </x:c>
      <x:c r="AG332" s="119" t="n">
        <x:f>IF(3&gt;D332,0,ROUND(('难度参数'!$E$13*POWER(A332,'难度参数'!$E$20)*MIN('难度参数'!$E$23,1+MAX(0,A332-'难度参数'!$E$21)*'难度参数'!$E$22))*(36+3*7)/(36+7*(D332+1)/2)*E332,0))</x:f>
        <x:v>7754</x:v>
      </x:c>
      <x:c r="AH332" s="119" t="n">
        <x:f>IF(AF332=0,0,(AF332-IF(3=D332,1,0))*ROUND(AG332*VLOOKUP(INDEX('章节与怪物'!$E$31:$K$37,B332,3),'章节与怪物'!$A$41:$F$44,2,FALSE),0)+IF(3=D332,ROUND(AG332*'难度参数'!$E$28*'章节与怪物'!$E$17,0),0))</x:f>
        <x:v>448188</x:v>
      </x:c>
      <x:c r="AI332" s="119" t="n">
        <x:f>IF(AF332=0,0,(AF332-IF(3=D332,1,0))*VLOOKUP(INDEX('章节与怪物'!$E$31:$K$37,B332,3),'章节与怪物'!$A$41:$F$44,4,FALSE)+IF(3=D332,'难度参数'!$E$30,0))</x:f>
        <x:v>952</x:v>
      </x:c>
      <x:c r="AJ332" s="119" t="n">
        <x:f>IF(4&gt;D332,0,MAX(2,MIN('难度参数'!$E$12,ROUND(('难度参数'!$E$18*POWER(A332,'难度参数'!$E$19)/D332*(0.85+0.3*(4-1)/MAX(1,D332-1))),0)+F332)))</x:f>
        <x:v>36</x:v>
      </x:c>
      <x:c r="AK332" s="119" t="n">
        <x:f>IF(4&gt;D332,0,ROUND(('难度参数'!$E$13*POWER(A332,'难度参数'!$E$20)*MIN('难度参数'!$E$23,1+MAX(0,A332-'难度参数'!$E$21)*'难度参数'!$E$22))*(36+4*7)/(36+7*(D332+1)/2)*E332,0))</x:f>
        <x:v>8707</x:v>
      </x:c>
      <x:c r="AL332" s="119" t="n">
        <x:f>IF(AJ332=0,0,(AJ332-IF(4=D332,1,0))*ROUND(AK332*VLOOKUP(INDEX('章节与怪物'!$E$31:$K$37,B332,4),'章节与怪物'!$A$41:$F$44,2,FALSE),0)+IF(4=D332,ROUND(AK332*'难度参数'!$E$28*'章节与怪物'!$E$17,0),0))</x:f>
        <x:v>423144</x:v>
      </x:c>
      <x:c r="AM332" s="119" t="n">
        <x:f>IF(AJ332=0,0,(AJ332-IF(4=D332,1,0))*VLOOKUP(INDEX('章节与怪物'!$E$31:$K$37,B332,4),'章节与怪物'!$A$41:$F$44,4,FALSE)+IF(4=D332,'难度参数'!$E$30,0))</x:f>
        <x:v>1224</x:v>
      </x:c>
      <x:c r="AN332" s="119" t="n">
        <x:f>IF(5&gt;D332,0,MAX(2,MIN('难度参数'!$E$12,ROUND(('难度参数'!$E$18*POWER(A332,'难度参数'!$E$19)/D332*(0.85+0.3*(5-1)/MAX(1,D332-1))),0)+F332)))</x:f>
        <x:v>38</x:v>
      </x:c>
      <x:c r="AO332" s="119" t="n">
        <x:f>IF(5&gt;D332,0,ROUND(('难度参数'!$E$13*POWER(A332,'难度参数'!$E$20)*MIN('难度参数'!$E$23,1+MAX(0,A332-'难度参数'!$E$21)*'难度参数'!$E$22))*(36+5*7)/(36+7*(D332+1)/2)*E332,0))</x:f>
        <x:v>9659</x:v>
      </x:c>
      <x:c r="AP332" s="119" t="n">
        <x:f>IF(AN332=0,0,(AN332-IF(5=D332,1,0))*ROUND(AO332*VLOOKUP(INDEX('章节与怪物'!$E$31:$K$37,B332,5),'章节与怪物'!$A$41:$F$44,2,FALSE),0)+IF(5=D332,ROUND(AO332*'难度参数'!$E$28*'章节与怪物'!$E$17,0),0))</x:f>
        <x:v>264252</x:v>
      </x:c>
      <x:c r="AQ332" s="119" t="n">
        <x:f>IF(AN332=0,0,(AN332-IF(5=D332,1,0))*VLOOKUP(INDEX('章节与怪物'!$E$31:$K$37,B332,5),'章节与怪物'!$A$41:$F$44,4,FALSE)+IF(5=D332,'难度参数'!$E$30,0))</x:f>
        <x:v>760</x:v>
      </x:c>
      <x:c r="AR332" s="119" t="n">
        <x:f>IF(6&gt;D332,0,MAX(2,MIN('难度参数'!$E$12,ROUND(('难度参数'!$E$18*POWER(A332,'难度参数'!$E$19)/D332*(0.85+0.3*(6-1)/MAX(1,D332-1))),0)+F332)))</x:f>
        <x:v>39</x:v>
      </x:c>
      <x:c r="AS332" s="119" t="n">
        <x:f>IF(6&gt;D332,0,ROUND(('难度参数'!$E$13*POWER(A332,'难度参数'!$E$20)*MIN('难度参数'!$E$23,1+MAX(0,A332-'难度参数'!$E$21)*'难度参数'!$E$22))*(36+6*7)/(36+7*(D332+1)/2)*E332,0))</x:f>
        <x:v>10611</x:v>
      </x:c>
      <x:c r="AT332" s="119" t="n">
        <x:f>IF(AR332=0,0,(AR332-IF(6=D332,1,0))*ROUND(AS332*VLOOKUP(INDEX('章节与怪物'!$E$31:$K$37,B332,6),'章节与怪物'!$A$41:$F$44,2,FALSE),0)+IF(6=D332,ROUND(AS332*'难度参数'!$E$28*'章节与怪物'!$E$17,0),0))</x:f>
        <x:v>703521</x:v>
      </x:c>
      <x:c r="AU332" s="119" t="n">
        <x:f>IF(AR332=0,0,(AR332-IF(6=D332,1,0))*VLOOKUP(INDEX('章节与怪物'!$E$31:$K$37,B332,6),'章节与怪物'!$A$41:$F$44,4,FALSE)+IF(6=D332,'难度参数'!$E$30,0))</x:f>
        <x:v>1092</x:v>
      </x:c>
      <x:c r="AV332" s="119" t="n">
        <x:f>IF(7&gt;D332,0,MAX(2,MIN('难度参数'!$E$12,ROUND(('难度参数'!$E$18*POWER(A332,'难度参数'!$E$19)/D332*(0.85+0.3*(7-1)/MAX(1,D332-1))),0)+F332)))</x:f>
        <x:v>41</x:v>
      </x:c>
      <x:c r="AW332" s="119" t="n">
        <x:f>IF(7&gt;D332,0,ROUND(('难度参数'!$E$13*POWER(A332,'难度参数'!$E$20)*MIN('难度参数'!$E$23,1+MAX(0,A332-'难度参数'!$E$21)*'难度参数'!$E$22))*(36+7*7)/(36+7*(D332+1)/2)*E332,0))</x:f>
        <x:v>11564</x:v>
      </x:c>
      <x:c r="AX332" s="119" t="n">
        <x:f>IF(AV332=0,0,(AV332-IF(7=D332,1,0))*ROUND(AW332*VLOOKUP(INDEX('章节与怪物'!$E$31:$K$37,B332,7),'章节与怪物'!$A$41:$F$44,2,FALSE),0)+IF(7=D332,ROUND(AW332*'难度参数'!$E$28*'章节与怪物'!$E$17,0),0))</x:f>
        <x:v>703075</x:v>
      </x:c>
      <x:c r="AY332" s="119" t="n">
        <x:f>IF(AV332=0,0,(AV332-IF(7=D332,1,0))*VLOOKUP(INDEX('章节与怪物'!$E$31:$K$37,B332,7),'章节与怪物'!$A$41:$F$44,4,FALSE)+IF(7=D332,'难度参数'!$E$30,0))</x:f>
        <x:v>1560</x:v>
      </x:c>
    </x:row>
    <x:row r="333" ht="23" customHeight="1">
      <x:c r="A333" s="119" t="n">
        <x:v>327</x:v>
      </x:c>
      <x:c r="B333" s="119" t="n">
        <x:f>MOD(INT((A333-1)/5),7)+1</x:f>
        <x:v>3</x:v>
      </x:c>
      <x:c r="C333" s="62" t="str">
        <x:f>INDEX('章节与怪物'!$B$31:$B$37,B333)</x:f>
        <x:v>腐沼秘林</x:v>
      </x:c>
      <x:c r="D333" s="119" t="n">
        <x:f>MIN('难度参数'!$E$8,MAX('难度参数'!$E$7,A333))</x:f>
        <x:v>7</x:v>
      </x:c>
      <x:c r="E333" s="106" t="n">
        <x:v>1</x:v>
      </x:c>
      <x:c r="F333" s="106" t="n">
        <x:v>0</x:v>
      </x:c>
      <x:c r="G333" s="106" t="n">
        <x:v>1</x:v>
      </x:c>
      <x:c r="H333" s="119" t="n">
        <x:f>SUM(X333,AB333,AF333,AJ333,AN333,AR333,AV333)</x:f>
        <x:v>250</x:v>
      </x:c>
      <x:c r="I333" s="119" t="n">
        <x:f>SUM(Z333,AD333,AH333,AL333,AP333,AT333,AX333)</x:f>
        <x:v>2880785</x:v>
      </x:c>
      <x:c r="J333" s="119" t="n">
        <x:f>ROUND(INDEX(X333:AY333,1,(D333-1)*4+2)*'难度参数'!$E$28*'章节与怪物'!$E$17,0)</x:f>
        <x:v>78805</x:v>
      </x:c>
      <x:c r="K333" s="119" t="n">
        <x:f>SUM(AA333,AE333,AI333,AM333,AQ333,AU333,AY333)</x:f>
        <x:v>6768</x:v>
      </x:c>
      <x:c r="L333" s="62" t="n">
        <x:f>H333*(ROUNDUP('难度参数'!$E$24/('难度参数'!$E$26*'难度参数'!$E$27),0)*'难度参数'!$E$26)/60</x:f>
        <x:v>3.3333333333333335</x:v>
      </x:c>
      <x:c r="M333" s="62" t="n">
        <x:f>L333+D333*('难度参数'!$E$49+'难度参数'!$E$50)/60</x:f>
        <x:v>4.5</x:v>
      </x:c>
      <x:c r="N333" s="119" t="n">
        <x:f>ROUNDDOWN(('经济参数'!$E$20+A333*'经济参数'!$E$21)*G333,0)</x:f>
        <x:v>6720</x:v>
      </x:c>
      <x:c r="O333" s="119" t="n">
        <x:f>ROUNDDOWN(MIN('经济参数'!$E$24,'经济参数'!$E$22+A333*'经济参数'!$E$23)*G333,0)</x:f>
        <x:v>0</x:v>
      </x:c>
      <x:c r="P333" s="119" t="n">
        <x:f>ROUNDDOWN((IF(A333&gt;='材料与任务'!$E$31,'材料与任务'!$E$32,IF(A333&gt;='材料与任务'!$E$25,'材料与任务'!$E$26,IF(A333&gt;='材料与任务'!$E$19,'材料与任务'!$E$20,IF(A333&gt;='材料与任务'!$E$13,'材料与任务'!$E$14,'材料与任务'!$E$8)))))*G333,0)</x:f>
        <x:v>6</x:v>
      </x:c>
      <x:c r="Q333" s="119" t="n">
        <x:f>ROUNDDOWN((IF(A333&gt;='材料与任务'!$E$31,'材料与任务'!$E$33,IF(A333&gt;='材料与任务'!$E$25,'材料与任务'!$E$27,IF(A333&gt;='材料与任务'!$E$19,'材料与任务'!$E$21,IF(A333&gt;='材料与任务'!$E$13,'材料与任务'!$E$15,'材料与任务'!$E$9)))))*G333,0)</x:f>
        <x:v>3</x:v>
      </x:c>
      <x:c r="R333" s="110" t="n">
        <x:f>'装备掉落'!$B$38</x:f>
        <x:v>0.6872058758851213</x:v>
      </x:c>
      <x:c r="S333" s="119" t="n">
        <x:f>MAX(IF(VLOOKUP(A333,'装备掉落'!$A$29:$H$34,2,TRUE)&gt;0,1,0),IF(VLOOKUP(A333,'装备掉落'!$A$29:$H$34,3,TRUE)&gt;0,2,0),IF(VLOOKUP(A333,'装备掉落'!$A$29:$H$34,4,TRUE)&gt;0,3,0),IF(VLOOKUP(A333,'装备掉落'!$A$29:$H$34,5,TRUE)&gt;0,4,0),IF(VLOOKUP(A333,'装备掉落'!$A$29:$H$34,6,TRUE)&gt;0,5,0),IF(VLOOKUP(A333,'装备掉落'!$A$29:$H$34,7,TRUE)&gt;0,6,0),IF(VLOOKUP(A333,'装备掉落'!$A$29:$H$34,8,TRUE)&gt;0,7,0))</x:f>
        <x:v>7</x:v>
      </x:c>
      <x:c r="T333" s="119" t="n">
        <x:f>MIN(7,S333+'经济参数'!$E$70)</x:f>
        <x:v>7</x:v>
      </x:c>
      <x:c r="U333" s="119" t="n">
        <x:f>MIN(7,S333+'经济参数'!$E$71)</x:f>
        <x:v>7</x:v>
      </x:c>
      <x:c r="V333" s="119" t="n">
        <x:f>IF(H333&gt;=('难度参数'!$E$52),1,0)+IF(H333&gt;=('难度参数'!$E$52+'难度参数'!$E$53),1,0)+IF(H333&gt;=('难度参数'!$E$52+'难度参数'!$E$53+'难度参数'!$E$54),1,0)+IF(H333&gt;=('难度参数'!$E$52+'难度参数'!$E$53+'难度参数'!$E$54+'难度参数'!$E$55),1,0)+IF(H333&gt;=('难度参数'!$E$52+'难度参数'!$E$53+'难度参数'!$E$54+'难度参数'!$E$55+'难度参数'!$E$56),1,0)+IF(H333&gt;=('难度参数'!$E$52+'难度参数'!$E$53+'难度参数'!$E$54+'难度参数'!$E$55+'难度参数'!$E$56+'难度参数'!$E$57),1,0)</x:f>
        <x:v>6</x:v>
      </x:c>
      <x:c r="W333" s="62" t="str">
        <x:f>IF(L333&gt;'难度参数'!$E$51,"仅出怪已超目标","还需实测")</x:f>
        <x:v>仅出怪已超目标</x:v>
      </x:c>
      <x:c r="X333" s="119" t="n">
        <x:f>IF(1&gt;D333,0,MAX(2,MIN('难度参数'!$E$12,ROUND(('难度参数'!$E$18*POWER(A333,'难度参数'!$E$19)/D333*(0.85+0.3*(1-1)/MAX(1,D333-1))),0)+F333)))</x:f>
        <x:v>30</x:v>
      </x:c>
      <x:c r="Y333" s="119" t="n">
        <x:f>IF(1&gt;D333,0,ROUND(('难度参数'!$E$13*POWER(A333,'难度参数'!$E$20)*MIN('难度参数'!$E$23,1+MAX(0,A333-'难度参数'!$E$21)*'难度参数'!$E$22))*(36+1*7)/(36+7*(D333+1)/2)*E333,0))</x:f>
        <x:v>5863</x:v>
      </x:c>
      <x:c r="Z333" s="119" t="n">
        <x:f>IF(X333=0,0,(X333-IF(1=D333,1,0))*ROUND(Y333*VLOOKUP(INDEX('章节与怪物'!$E$31:$K$37,B333,1),'章节与怪物'!$A$41:$F$44,2,FALSE),0)+IF(1=D333,ROUND(Y333*'难度参数'!$E$28*'章节与怪物'!$E$17,0),0))</x:f>
        <x:v>175890</x:v>
      </x:c>
      <x:c r="AA333" s="119" t="n">
        <x:f>IF(X333=0,0,(X333-IF(1=D333,1,0))*VLOOKUP(INDEX('章节与怪物'!$E$31:$K$37,B333,1),'章节与怪物'!$A$41:$F$44,4,FALSE)+IF(1=D333,'难度参数'!$E$30,0))</x:f>
        <x:v>540</x:v>
      </x:c>
      <x:c r="AB333" s="119" t="n">
        <x:f>IF(2&gt;D333,0,MAX(2,MIN('难度参数'!$E$12,ROUND(('难度参数'!$E$18*POWER(A333,'难度参数'!$E$19)/D333*(0.85+0.3*(2-1)/MAX(1,D333-1))),0)+F333)))</x:f>
        <x:v>32</x:v>
      </x:c>
      <x:c r="AC333" s="119" t="n">
        <x:f>IF(2&gt;D333,0,ROUND(('难度参数'!$E$13*POWER(A333,'难度参数'!$E$20)*MIN('难度参数'!$E$23,1+MAX(0,A333-'难度参数'!$E$21)*'难度参数'!$E$22))*(36+2*7)/(36+7*(D333+1)/2)*E333,0))</x:f>
        <x:v>6817</x:v>
      </x:c>
      <x:c r="AD333" s="119" t="n">
        <x:f>IF(AB333=0,0,(AB333-IF(2=D333,1,0))*ROUND(AC333*VLOOKUP(INDEX('章节与怪物'!$E$31:$K$37,B333,2),'章节与怪物'!$A$41:$F$44,2,FALSE),0)+IF(2=D333,ROUND(AC333*'难度参数'!$E$28*'章节与怪物'!$E$17,0),0))</x:f>
        <x:v>157056</x:v>
      </x:c>
      <x:c r="AE333" s="119" t="n">
        <x:f>IF(AB333=0,0,(AB333-IF(2=D333,1,0))*VLOOKUP(INDEX('章节与怪物'!$E$31:$K$37,B333,2),'章节与怪物'!$A$41:$F$44,4,FALSE)+IF(2=D333,'难度参数'!$E$30,0))</x:f>
        <x:v>640</x:v>
      </x:c>
      <x:c r="AF333" s="119" t="n">
        <x:f>IF(3&gt;D333,0,MAX(2,MIN('难度参数'!$E$12,ROUND(('难度参数'!$E$18*POWER(A333,'难度参数'!$E$19)/D333*(0.85+0.3*(3-1)/MAX(1,D333-1))),0)+F333)))</x:f>
        <x:v>34</x:v>
      </x:c>
      <x:c r="AG333" s="119" t="n">
        <x:f>IF(3&gt;D333,0,ROUND(('难度参数'!$E$13*POWER(A333,'难度参数'!$E$20)*MIN('难度参数'!$E$23,1+MAX(0,A333-'难度参数'!$E$21)*'难度参数'!$E$22))*(36+3*7)/(36+7*(D333+1)/2)*E333,0))</x:f>
        <x:v>7771</x:v>
      </x:c>
      <x:c r="AH333" s="119" t="n">
        <x:f>IF(AF333=0,0,(AF333-IF(3=D333,1,0))*ROUND(AG333*VLOOKUP(INDEX('章节与怪物'!$E$31:$K$37,B333,3),'章节与怪物'!$A$41:$F$44,2,FALSE),0)+IF(3=D333,ROUND(AG333*'难度参数'!$E$28*'章节与怪物'!$E$17,0),0))</x:f>
        <x:v>449174</x:v>
      </x:c>
      <x:c r="AI333" s="119" t="n">
        <x:f>IF(AF333=0,0,(AF333-IF(3=D333,1,0))*VLOOKUP(INDEX('章节与怪物'!$E$31:$K$37,B333,3),'章节与怪物'!$A$41:$F$44,4,FALSE)+IF(3=D333,'难度参数'!$E$30,0))</x:f>
        <x:v>952</x:v>
      </x:c>
      <x:c r="AJ333" s="119" t="n">
        <x:f>IF(4&gt;D333,0,MAX(2,MIN('难度参数'!$E$12,ROUND(('难度参数'!$E$18*POWER(A333,'难度参数'!$E$19)/D333*(0.85+0.3*(4-1)/MAX(1,D333-1))),0)+F333)))</x:f>
        <x:v>36</x:v>
      </x:c>
      <x:c r="AK333" s="119" t="n">
        <x:f>IF(4&gt;D333,0,ROUND(('难度参数'!$E$13*POWER(A333,'难度参数'!$E$20)*MIN('难度参数'!$E$23,1+MAX(0,A333-'难度参数'!$E$21)*'难度参数'!$E$22))*(36+4*7)/(36+7*(D333+1)/2)*E333,0))</x:f>
        <x:v>8726</x:v>
      </x:c>
      <x:c r="AL333" s="119" t="n">
        <x:f>IF(AJ333=0,0,(AJ333-IF(4=D333,1,0))*ROUND(AK333*VLOOKUP(INDEX('章节与怪物'!$E$31:$K$37,B333,4),'章节与怪物'!$A$41:$F$44,2,FALSE),0)+IF(4=D333,ROUND(AK333*'难度参数'!$E$28*'章节与怪物'!$E$17,0),0))</x:f>
        <x:v>424080</x:v>
      </x:c>
      <x:c r="AM333" s="119" t="n">
        <x:f>IF(AJ333=0,0,(AJ333-IF(4=D333,1,0))*VLOOKUP(INDEX('章节与怪物'!$E$31:$K$37,B333,4),'章节与怪物'!$A$41:$F$44,4,FALSE)+IF(4=D333,'难度参数'!$E$30,0))</x:f>
        <x:v>1224</x:v>
      </x:c>
      <x:c r="AN333" s="119" t="n">
        <x:f>IF(5&gt;D333,0,MAX(2,MIN('难度参数'!$E$12,ROUND(('难度参数'!$E$18*POWER(A333,'难度参数'!$E$19)/D333*(0.85+0.3*(5-1)/MAX(1,D333-1))),0)+F333)))</x:f>
        <x:v>38</x:v>
      </x:c>
      <x:c r="AO333" s="119" t="n">
        <x:f>IF(5&gt;D333,0,ROUND(('难度参数'!$E$13*POWER(A333,'难度参数'!$E$20)*MIN('难度参数'!$E$23,1+MAX(0,A333-'难度参数'!$E$21)*'难度参数'!$E$22))*(36+5*7)/(36+7*(D333+1)/2)*E333,0))</x:f>
        <x:v>9680</x:v>
      </x:c>
      <x:c r="AP333" s="119" t="n">
        <x:f>IF(AN333=0,0,(AN333-IF(5=D333,1,0))*ROUND(AO333*VLOOKUP(INDEX('章节与怪物'!$E$31:$K$37,B333,5),'章节与怪物'!$A$41:$F$44,2,FALSE),0)+IF(5=D333,ROUND(AO333*'难度参数'!$E$28*'章节与怪物'!$E$17,0),0))</x:f>
        <x:v>264860</x:v>
      </x:c>
      <x:c r="AQ333" s="119" t="n">
        <x:f>IF(AN333=0,0,(AN333-IF(5=D333,1,0))*VLOOKUP(INDEX('章节与怪物'!$E$31:$K$37,B333,5),'章节与怪物'!$A$41:$F$44,4,FALSE)+IF(5=D333,'难度参数'!$E$30,0))</x:f>
        <x:v>760</x:v>
      </x:c>
      <x:c r="AR333" s="119" t="n">
        <x:f>IF(6&gt;D333,0,MAX(2,MIN('难度参数'!$E$12,ROUND(('难度参数'!$E$18*POWER(A333,'难度参数'!$E$19)/D333*(0.85+0.3*(6-1)/MAX(1,D333-1))),0)+F333)))</x:f>
        <x:v>39</x:v>
      </x:c>
      <x:c r="AS333" s="119" t="n">
        <x:f>IF(6&gt;D333,0,ROUND(('难度参数'!$E$13*POWER(A333,'难度参数'!$E$20)*MIN('难度参数'!$E$23,1+MAX(0,A333-'难度参数'!$E$21)*'难度参数'!$E$22))*(36+6*7)/(36+7*(D333+1)/2)*E333,0))</x:f>
        <x:v>10635</x:v>
      </x:c>
      <x:c r="AT333" s="119" t="n">
        <x:f>IF(AR333=0,0,(AR333-IF(6=D333,1,0))*ROUND(AS333*VLOOKUP(INDEX('章节与怪物'!$E$31:$K$37,B333,6),'章节与怪物'!$A$41:$F$44,2,FALSE),0)+IF(6=D333,ROUND(AS333*'难度参数'!$E$28*'章节与怪物'!$E$17,0),0))</x:f>
        <x:v>705120</x:v>
      </x:c>
      <x:c r="AU333" s="119" t="n">
        <x:f>IF(AR333=0,0,(AR333-IF(6=D333,1,0))*VLOOKUP(INDEX('章节与怪物'!$E$31:$K$37,B333,6),'章节与怪物'!$A$41:$F$44,4,FALSE)+IF(6=D333,'难度参数'!$E$30,0))</x:f>
        <x:v>1092</x:v>
      </x:c>
      <x:c r="AV333" s="119" t="n">
        <x:f>IF(7&gt;D333,0,MAX(2,MIN('难度参数'!$E$12,ROUND(('难度参数'!$E$18*POWER(A333,'难度参数'!$E$19)/D333*(0.85+0.3*(7-1)/MAX(1,D333-1))),0)+F333)))</x:f>
        <x:v>41</x:v>
      </x:c>
      <x:c r="AW333" s="119" t="n">
        <x:f>IF(7&gt;D333,0,ROUND(('难度参数'!$E$13*POWER(A333,'难度参数'!$E$20)*MIN('难度参数'!$E$23,1+MAX(0,A333-'难度参数'!$E$21)*'难度参数'!$E$22))*(36+7*7)/(36+7*(D333+1)/2)*E333,0))</x:f>
        <x:v>11589</x:v>
      </x:c>
      <x:c r="AX333" s="119" t="n">
        <x:f>IF(AV333=0,0,(AV333-IF(7=D333,1,0))*ROUND(AW333*VLOOKUP(INDEX('章节与怪物'!$E$31:$K$37,B333,7),'章节与怪物'!$A$41:$F$44,2,FALSE),0)+IF(7=D333,ROUND(AW333*'难度参数'!$E$28*'章节与怪物'!$E$17,0),0))</x:f>
        <x:v>704605</x:v>
      </x:c>
      <x:c r="AY333" s="119" t="n">
        <x:f>IF(AV333=0,0,(AV333-IF(7=D333,1,0))*VLOOKUP(INDEX('章节与怪物'!$E$31:$K$37,B333,7),'章节与怪物'!$A$41:$F$44,4,FALSE)+IF(7=D333,'难度参数'!$E$30,0))</x:f>
        <x:v>1560</x:v>
      </x:c>
    </x:row>
    <x:row r="334" ht="23" customHeight="1">
      <x:c r="A334" s="119" t="n">
        <x:v>328</x:v>
      </x:c>
      <x:c r="B334" s="119" t="n">
        <x:f>MOD(INT((A334-1)/5),7)+1</x:f>
        <x:v>3</x:v>
      </x:c>
      <x:c r="C334" s="62" t="str">
        <x:f>INDEX('章节与怪物'!$B$31:$B$37,B334)</x:f>
        <x:v>腐沼秘林</x:v>
      </x:c>
      <x:c r="D334" s="119" t="n">
        <x:f>MIN('难度参数'!$E$8,MAX('难度参数'!$E$7,A334))</x:f>
        <x:v>7</x:v>
      </x:c>
      <x:c r="E334" s="106" t="n">
        <x:v>1</x:v>
      </x:c>
      <x:c r="F334" s="106" t="n">
        <x:v>0</x:v>
      </x:c>
      <x:c r="G334" s="106" t="n">
        <x:v>1</x:v>
      </x:c>
      <x:c r="H334" s="119" t="n">
        <x:f>SUM(X334,AB334,AF334,AJ334,AN334,AR334,AV334)</x:f>
        <x:v>250</x:v>
      </x:c>
      <x:c r="I334" s="119" t="n">
        <x:f>SUM(Z334,AD334,AH334,AL334,AP334,AT334,AX334)</x:f>
        <x:v>2887151</x:v>
      </x:c>
      <x:c r="J334" s="119" t="n">
        <x:f>ROUND(INDEX(X334:AY334,1,(D334-1)*4+2)*'难度参数'!$E$28*'章节与怪物'!$E$17,0)</x:f>
        <x:v>78982</x:v>
      </x:c>
      <x:c r="K334" s="119" t="n">
        <x:f>SUM(AA334,AE334,AI334,AM334,AQ334,AU334,AY334)</x:f>
        <x:v>6768</x:v>
      </x:c>
      <x:c r="L334" s="62" t="n">
        <x:f>H334*(ROUNDUP('难度参数'!$E$24/('难度参数'!$E$26*'难度参数'!$E$27),0)*'难度参数'!$E$26)/60</x:f>
        <x:v>3.3333333333333335</x:v>
      </x:c>
      <x:c r="M334" s="62" t="n">
        <x:f>L334+D334*('难度参数'!$E$49+'难度参数'!$E$50)/60</x:f>
        <x:v>4.5</x:v>
      </x:c>
      <x:c r="N334" s="119" t="n">
        <x:f>ROUNDDOWN(('经济参数'!$E$20+A334*'经济参数'!$E$21)*G334,0)</x:f>
        <x:v>6740</x:v>
      </x:c>
      <x:c r="O334" s="119" t="n">
        <x:f>ROUNDDOWN(MIN('经济参数'!$E$24,'经济参数'!$E$22+A334*'经济参数'!$E$23)*G334,0)</x:f>
        <x:v>0</x:v>
      </x:c>
      <x:c r="P334" s="119" t="n">
        <x:f>ROUNDDOWN((IF(A334&gt;='材料与任务'!$E$31,'材料与任务'!$E$32,IF(A334&gt;='材料与任务'!$E$25,'材料与任务'!$E$26,IF(A334&gt;='材料与任务'!$E$19,'材料与任务'!$E$20,IF(A334&gt;='材料与任务'!$E$13,'材料与任务'!$E$14,'材料与任务'!$E$8)))))*G334,0)</x:f>
        <x:v>6</x:v>
      </x:c>
      <x:c r="Q334" s="119" t="n">
        <x:f>ROUNDDOWN((IF(A334&gt;='材料与任务'!$E$31,'材料与任务'!$E$33,IF(A334&gt;='材料与任务'!$E$25,'材料与任务'!$E$27,IF(A334&gt;='材料与任务'!$E$19,'材料与任务'!$E$21,IF(A334&gt;='材料与任务'!$E$13,'材料与任务'!$E$15,'材料与任务'!$E$9)))))*G334,0)</x:f>
        <x:v>3</x:v>
      </x:c>
      <x:c r="R334" s="110" t="n">
        <x:f>'装备掉落'!$B$38</x:f>
        <x:v>0.6872058758851213</x:v>
      </x:c>
      <x:c r="S334" s="119" t="n">
        <x:f>MAX(IF(VLOOKUP(A334,'装备掉落'!$A$29:$H$34,2,TRUE)&gt;0,1,0),IF(VLOOKUP(A334,'装备掉落'!$A$29:$H$34,3,TRUE)&gt;0,2,0),IF(VLOOKUP(A334,'装备掉落'!$A$29:$H$34,4,TRUE)&gt;0,3,0),IF(VLOOKUP(A334,'装备掉落'!$A$29:$H$34,5,TRUE)&gt;0,4,0),IF(VLOOKUP(A334,'装备掉落'!$A$29:$H$34,6,TRUE)&gt;0,5,0),IF(VLOOKUP(A334,'装备掉落'!$A$29:$H$34,7,TRUE)&gt;0,6,0),IF(VLOOKUP(A334,'装备掉落'!$A$29:$H$34,8,TRUE)&gt;0,7,0))</x:f>
        <x:v>7</x:v>
      </x:c>
      <x:c r="T334" s="119" t="n">
        <x:f>MIN(7,S334+'经济参数'!$E$70)</x:f>
        <x:v>7</x:v>
      </x:c>
      <x:c r="U334" s="119" t="n">
        <x:f>MIN(7,S334+'经济参数'!$E$71)</x:f>
        <x:v>7</x:v>
      </x:c>
      <x:c r="V334" s="119" t="n">
        <x:f>IF(H334&gt;=('难度参数'!$E$52),1,0)+IF(H334&gt;=('难度参数'!$E$52+'难度参数'!$E$53),1,0)+IF(H334&gt;=('难度参数'!$E$52+'难度参数'!$E$53+'难度参数'!$E$54),1,0)+IF(H334&gt;=('难度参数'!$E$52+'难度参数'!$E$53+'难度参数'!$E$54+'难度参数'!$E$55),1,0)+IF(H334&gt;=('难度参数'!$E$52+'难度参数'!$E$53+'难度参数'!$E$54+'难度参数'!$E$55+'难度参数'!$E$56),1,0)+IF(H334&gt;=('难度参数'!$E$52+'难度参数'!$E$53+'难度参数'!$E$54+'难度参数'!$E$55+'难度参数'!$E$56+'难度参数'!$E$57),1,0)</x:f>
        <x:v>6</x:v>
      </x:c>
      <x:c r="W334" s="62" t="str">
        <x:f>IF(L334&gt;'难度参数'!$E$51,"仅出怪已超目标","还需实测")</x:f>
        <x:v>仅出怪已超目标</x:v>
      </x:c>
      <x:c r="X334" s="119" t="n">
        <x:f>IF(1&gt;D334,0,MAX(2,MIN('难度参数'!$E$12,ROUND(('难度参数'!$E$18*POWER(A334,'难度参数'!$E$19)/D334*(0.85+0.3*(1-1)/MAX(1,D334-1))),0)+F334)))</x:f>
        <x:v>30</x:v>
      </x:c>
      <x:c r="Y334" s="119" t="n">
        <x:f>IF(1&gt;D334,0,ROUND(('难度参数'!$E$13*POWER(A334,'难度参数'!$E$20)*MIN('难度参数'!$E$23,1+MAX(0,A334-'难度参数'!$E$21)*'难度参数'!$E$22))*(36+1*7)/(36+7*(D334+1)/2)*E334,0))</x:f>
        <x:v>5876</x:v>
      </x:c>
      <x:c r="Z334" s="119" t="n">
        <x:f>IF(X334=0,0,(X334-IF(1=D334,1,0))*ROUND(Y334*VLOOKUP(INDEX('章节与怪物'!$E$31:$K$37,B334,1),'章节与怪物'!$A$41:$F$44,2,FALSE),0)+IF(1=D334,ROUND(Y334*'难度参数'!$E$28*'章节与怪物'!$E$17,0),0))</x:f>
        <x:v>176280</x:v>
      </x:c>
      <x:c r="AA334" s="119" t="n">
        <x:f>IF(X334=0,0,(X334-IF(1=D334,1,0))*VLOOKUP(INDEX('章节与怪物'!$E$31:$K$37,B334,1),'章节与怪物'!$A$41:$F$44,4,FALSE)+IF(1=D334,'难度参数'!$E$30,0))</x:f>
        <x:v>540</x:v>
      </x:c>
      <x:c r="AB334" s="119" t="n">
        <x:f>IF(2&gt;D334,0,MAX(2,MIN('难度参数'!$E$12,ROUND(('难度参数'!$E$18*POWER(A334,'难度参数'!$E$19)/D334*(0.85+0.3*(2-1)/MAX(1,D334-1))),0)+F334)))</x:f>
        <x:v>32</x:v>
      </x:c>
      <x:c r="AC334" s="119" t="n">
        <x:f>IF(2&gt;D334,0,ROUND(('难度参数'!$E$13*POWER(A334,'难度参数'!$E$20)*MIN('难度参数'!$E$23,1+MAX(0,A334-'难度参数'!$E$21)*'难度参数'!$E$22))*(36+2*7)/(36+7*(D334+1)/2)*E334,0))</x:f>
        <x:v>6832</x:v>
      </x:c>
      <x:c r="AD334" s="119" t="n">
        <x:f>IF(AB334=0,0,(AB334-IF(2=D334,1,0))*ROUND(AC334*VLOOKUP(INDEX('章节与怪物'!$E$31:$K$37,B334,2),'章节与怪物'!$A$41:$F$44,2,FALSE),0)+IF(2=D334,ROUND(AC334*'难度参数'!$E$28*'章节与怪物'!$E$17,0),0))</x:f>
        <x:v>157408</x:v>
      </x:c>
      <x:c r="AE334" s="119" t="n">
        <x:f>IF(AB334=0,0,(AB334-IF(2=D334,1,0))*VLOOKUP(INDEX('章节与怪物'!$E$31:$K$37,B334,2),'章节与怪物'!$A$41:$F$44,4,FALSE)+IF(2=D334,'难度参数'!$E$30,0))</x:f>
        <x:v>640</x:v>
      </x:c>
      <x:c r="AF334" s="119" t="n">
        <x:f>IF(3&gt;D334,0,MAX(2,MIN('难度参数'!$E$12,ROUND(('难度参数'!$E$18*POWER(A334,'难度参数'!$E$19)/D334*(0.85+0.3*(3-1)/MAX(1,D334-1))),0)+F334)))</x:f>
        <x:v>34</x:v>
      </x:c>
      <x:c r="AG334" s="119" t="n">
        <x:f>IF(3&gt;D334,0,ROUND(('难度参数'!$E$13*POWER(A334,'难度参数'!$E$20)*MIN('难度参数'!$E$23,1+MAX(0,A334-'难度参数'!$E$21)*'难度参数'!$E$22))*(36+3*7)/(36+7*(D334+1)/2)*E334,0))</x:f>
        <x:v>7789</x:v>
      </x:c>
      <x:c r="AH334" s="119" t="n">
        <x:f>IF(AF334=0,0,(AF334-IF(3=D334,1,0))*ROUND(AG334*VLOOKUP(INDEX('章节与怪物'!$E$31:$K$37,B334,3),'章节与怪物'!$A$41:$F$44,2,FALSE),0)+IF(3=D334,ROUND(AG334*'难度参数'!$E$28*'章节与怪物'!$E$17,0),0))</x:f>
        <x:v>450194</x:v>
      </x:c>
      <x:c r="AI334" s="119" t="n">
        <x:f>IF(AF334=0,0,(AF334-IF(3=D334,1,0))*VLOOKUP(INDEX('章节与怪物'!$E$31:$K$37,B334,3),'章节与怪物'!$A$41:$F$44,4,FALSE)+IF(3=D334,'难度参数'!$E$30,0))</x:f>
        <x:v>952</x:v>
      </x:c>
      <x:c r="AJ334" s="119" t="n">
        <x:f>IF(4&gt;D334,0,MAX(2,MIN('难度参数'!$E$12,ROUND(('难度参数'!$E$18*POWER(A334,'难度参数'!$E$19)/D334*(0.85+0.3*(4-1)/MAX(1,D334-1))),0)+F334)))</x:f>
        <x:v>36</x:v>
      </x:c>
      <x:c r="AK334" s="119" t="n">
        <x:f>IF(4&gt;D334,0,ROUND(('难度参数'!$E$13*POWER(A334,'难度参数'!$E$20)*MIN('难度参数'!$E$23,1+MAX(0,A334-'难度参数'!$E$21)*'难度参数'!$E$22))*(36+4*7)/(36+7*(D334+1)/2)*E334,0))</x:f>
        <x:v>8745</x:v>
      </x:c>
      <x:c r="AL334" s="119" t="n">
        <x:f>IF(AJ334=0,0,(AJ334-IF(4=D334,1,0))*ROUND(AK334*VLOOKUP(INDEX('章节与怪物'!$E$31:$K$37,B334,4),'章节与怪物'!$A$41:$F$44,2,FALSE),0)+IF(4=D334,ROUND(AK334*'难度参数'!$E$28*'章节与怪物'!$E$17,0),0))</x:f>
        <x:v>425016</x:v>
      </x:c>
      <x:c r="AM334" s="119" t="n">
        <x:f>IF(AJ334=0,0,(AJ334-IF(4=D334,1,0))*VLOOKUP(INDEX('章节与怪物'!$E$31:$K$37,B334,4),'章节与怪物'!$A$41:$F$44,4,FALSE)+IF(4=D334,'难度参数'!$E$30,0))</x:f>
        <x:v>1224</x:v>
      </x:c>
      <x:c r="AN334" s="119" t="n">
        <x:f>IF(5&gt;D334,0,MAX(2,MIN('难度参数'!$E$12,ROUND(('难度参数'!$E$18*POWER(A334,'难度参数'!$E$19)/D334*(0.85+0.3*(5-1)/MAX(1,D334-1))),0)+F334)))</x:f>
        <x:v>38</x:v>
      </x:c>
      <x:c r="AO334" s="119" t="n">
        <x:f>IF(5&gt;D334,0,ROUND(('难度参数'!$E$13*POWER(A334,'难度参数'!$E$20)*MIN('难度参数'!$E$23,1+MAX(0,A334-'难度参数'!$E$21)*'难度参数'!$E$22))*(36+5*7)/(36+7*(D334+1)/2)*E334,0))</x:f>
        <x:v>9702</x:v>
      </x:c>
      <x:c r="AP334" s="119" t="n">
        <x:f>IF(AN334=0,0,(AN334-IF(5=D334,1,0))*ROUND(AO334*VLOOKUP(INDEX('章节与怪物'!$E$31:$K$37,B334,5),'章节与怪物'!$A$41:$F$44,2,FALSE),0)+IF(5=D334,ROUND(AO334*'难度参数'!$E$28*'章节与怪物'!$E$17,0),0))</x:f>
        <x:v>265430</x:v>
      </x:c>
      <x:c r="AQ334" s="119" t="n">
        <x:f>IF(AN334=0,0,(AN334-IF(5=D334,1,0))*VLOOKUP(INDEX('章节与怪物'!$E$31:$K$37,B334,5),'章节与怪物'!$A$41:$F$44,4,FALSE)+IF(5=D334,'难度参数'!$E$30,0))</x:f>
        <x:v>760</x:v>
      </x:c>
      <x:c r="AR334" s="119" t="n">
        <x:f>IF(6&gt;D334,0,MAX(2,MIN('难度参数'!$E$12,ROUND(('难度参数'!$E$18*POWER(A334,'难度参数'!$E$19)/D334*(0.85+0.3*(6-1)/MAX(1,D334-1))),0)+F334)))</x:f>
        <x:v>39</x:v>
      </x:c>
      <x:c r="AS334" s="119" t="n">
        <x:f>IF(6&gt;D334,0,ROUND(('难度参数'!$E$13*POWER(A334,'难度参数'!$E$20)*MIN('难度参数'!$E$23,1+MAX(0,A334-'难度参数'!$E$21)*'难度参数'!$E$22))*(36+6*7)/(36+7*(D334+1)/2)*E334,0))</x:f>
        <x:v>10658</x:v>
      </x:c>
      <x:c r="AT334" s="119" t="n">
        <x:f>IF(AR334=0,0,(AR334-IF(6=D334,1,0))*ROUND(AS334*VLOOKUP(INDEX('章节与怪物'!$E$31:$K$37,B334,6),'章节与怪物'!$A$41:$F$44,2,FALSE),0)+IF(6=D334,ROUND(AS334*'难度参数'!$E$28*'章节与怪物'!$E$17,0),0))</x:f>
        <x:v>706641</x:v>
      </x:c>
      <x:c r="AU334" s="119" t="n">
        <x:f>IF(AR334=0,0,(AR334-IF(6=D334,1,0))*VLOOKUP(INDEX('章节与怪物'!$E$31:$K$37,B334,6),'章节与怪物'!$A$41:$F$44,4,FALSE)+IF(6=D334,'难度参数'!$E$30,0))</x:f>
        <x:v>1092</x:v>
      </x:c>
      <x:c r="AV334" s="119" t="n">
        <x:f>IF(7&gt;D334,0,MAX(2,MIN('难度参数'!$E$12,ROUND(('难度参数'!$E$18*POWER(A334,'难度参数'!$E$19)/D334*(0.85+0.3*(7-1)/MAX(1,D334-1))),0)+F334)))</x:f>
        <x:v>41</x:v>
      </x:c>
      <x:c r="AW334" s="119" t="n">
        <x:f>IF(7&gt;D334,0,ROUND(('难度参数'!$E$13*POWER(A334,'难度参数'!$E$20)*MIN('难度参数'!$E$23,1+MAX(0,A334-'难度参数'!$E$21)*'难度参数'!$E$22))*(36+7*7)/(36+7*(D334+1)/2)*E334,0))</x:f>
        <x:v>11615</x:v>
      </x:c>
      <x:c r="AX334" s="119" t="n">
        <x:f>IF(AV334=0,0,(AV334-IF(7=D334,1,0))*ROUND(AW334*VLOOKUP(INDEX('章节与怪物'!$E$31:$K$37,B334,7),'章节与怪物'!$A$41:$F$44,2,FALSE),0)+IF(7=D334,ROUND(AW334*'难度参数'!$E$28*'章节与怪物'!$E$17,0),0))</x:f>
        <x:v>706182</x:v>
      </x:c>
      <x:c r="AY334" s="119" t="n">
        <x:f>IF(AV334=0,0,(AV334-IF(7=D334,1,0))*VLOOKUP(INDEX('章节与怪物'!$E$31:$K$37,B334,7),'章节与怪物'!$A$41:$F$44,4,FALSE)+IF(7=D334,'难度参数'!$E$30,0))</x:f>
        <x:v>1560</x:v>
      </x:c>
    </x:row>
    <x:row r="335" ht="23" customHeight="1">
      <x:c r="A335" s="119" t="n">
        <x:v>329</x:v>
      </x:c>
      <x:c r="B335" s="119" t="n">
        <x:f>MOD(INT((A335-1)/5),7)+1</x:f>
        <x:v>3</x:v>
      </x:c>
      <x:c r="C335" s="62" t="str">
        <x:f>INDEX('章节与怪物'!$B$31:$B$37,B335)</x:f>
        <x:v>腐沼秘林</x:v>
      </x:c>
      <x:c r="D335" s="119" t="n">
        <x:f>MIN('难度参数'!$E$8,MAX('难度参数'!$E$7,A335))</x:f>
        <x:v>7</x:v>
      </x:c>
      <x:c r="E335" s="106" t="n">
        <x:v>1</x:v>
      </x:c>
      <x:c r="F335" s="106" t="n">
        <x:v>0</x:v>
      </x:c>
      <x:c r="G335" s="106" t="n">
        <x:v>1</x:v>
      </x:c>
      <x:c r="H335" s="119" t="n">
        <x:f>SUM(X335,AB335,AF335,AJ335,AN335,AR335,AV335)</x:f>
        <x:v>250</x:v>
      </x:c>
      <x:c r="I335" s="119" t="n">
        <x:f>SUM(Z335,AD335,AH335,AL335,AP335,AT335,AX335)</x:f>
        <x:v>2893408</x:v>
      </x:c>
      <x:c r="J335" s="119" t="n">
        <x:f>ROUND(INDEX(X335:AY335,1,(D335-1)*4+2)*'难度参数'!$E$28*'章节与怪物'!$E$17,0)</x:f>
        <x:v>79152</x:v>
      </x:c>
      <x:c r="K335" s="119" t="n">
        <x:f>SUM(AA335,AE335,AI335,AM335,AQ335,AU335,AY335)</x:f>
        <x:v>6768</x:v>
      </x:c>
      <x:c r="L335" s="62" t="n">
        <x:f>H335*(ROUNDUP('难度参数'!$E$24/('难度参数'!$E$26*'难度参数'!$E$27),0)*'难度参数'!$E$26)/60</x:f>
        <x:v>3.3333333333333335</x:v>
      </x:c>
      <x:c r="M335" s="62" t="n">
        <x:f>L335+D335*('难度参数'!$E$49+'难度参数'!$E$50)/60</x:f>
        <x:v>4.5</x:v>
      </x:c>
      <x:c r="N335" s="119" t="n">
        <x:f>ROUNDDOWN(('经济参数'!$E$20+A335*'经济参数'!$E$21)*G335,0)</x:f>
        <x:v>6760</x:v>
      </x:c>
      <x:c r="O335" s="119" t="n">
        <x:f>ROUNDDOWN(MIN('经济参数'!$E$24,'经济参数'!$E$22+A335*'经济参数'!$E$23)*G335,0)</x:f>
        <x:v>0</x:v>
      </x:c>
      <x:c r="P335" s="119" t="n">
        <x:f>ROUNDDOWN((IF(A335&gt;='材料与任务'!$E$31,'材料与任务'!$E$32,IF(A335&gt;='材料与任务'!$E$25,'材料与任务'!$E$26,IF(A335&gt;='材料与任务'!$E$19,'材料与任务'!$E$20,IF(A335&gt;='材料与任务'!$E$13,'材料与任务'!$E$14,'材料与任务'!$E$8)))))*G335,0)</x:f>
        <x:v>6</x:v>
      </x:c>
      <x:c r="Q335" s="119" t="n">
        <x:f>ROUNDDOWN((IF(A335&gt;='材料与任务'!$E$31,'材料与任务'!$E$33,IF(A335&gt;='材料与任务'!$E$25,'材料与任务'!$E$27,IF(A335&gt;='材料与任务'!$E$19,'材料与任务'!$E$21,IF(A335&gt;='材料与任务'!$E$13,'材料与任务'!$E$15,'材料与任务'!$E$9)))))*G335,0)</x:f>
        <x:v>3</x:v>
      </x:c>
      <x:c r="R335" s="110" t="n">
        <x:f>'装备掉落'!$B$38</x:f>
        <x:v>0.6872058758851213</x:v>
      </x:c>
      <x:c r="S335" s="119" t="n">
        <x:f>MAX(IF(VLOOKUP(A335,'装备掉落'!$A$29:$H$34,2,TRUE)&gt;0,1,0),IF(VLOOKUP(A335,'装备掉落'!$A$29:$H$34,3,TRUE)&gt;0,2,0),IF(VLOOKUP(A335,'装备掉落'!$A$29:$H$34,4,TRUE)&gt;0,3,0),IF(VLOOKUP(A335,'装备掉落'!$A$29:$H$34,5,TRUE)&gt;0,4,0),IF(VLOOKUP(A335,'装备掉落'!$A$29:$H$34,6,TRUE)&gt;0,5,0),IF(VLOOKUP(A335,'装备掉落'!$A$29:$H$34,7,TRUE)&gt;0,6,0),IF(VLOOKUP(A335,'装备掉落'!$A$29:$H$34,8,TRUE)&gt;0,7,0))</x:f>
        <x:v>7</x:v>
      </x:c>
      <x:c r="T335" s="119" t="n">
        <x:f>MIN(7,S335+'经济参数'!$E$70)</x:f>
        <x:v>7</x:v>
      </x:c>
      <x:c r="U335" s="119" t="n">
        <x:f>MIN(7,S335+'经济参数'!$E$71)</x:f>
        <x:v>7</x:v>
      </x:c>
      <x:c r="V335" s="119" t="n">
        <x:f>IF(H335&gt;=('难度参数'!$E$52),1,0)+IF(H335&gt;=('难度参数'!$E$52+'难度参数'!$E$53),1,0)+IF(H335&gt;=('难度参数'!$E$52+'难度参数'!$E$53+'难度参数'!$E$54),1,0)+IF(H335&gt;=('难度参数'!$E$52+'难度参数'!$E$53+'难度参数'!$E$54+'难度参数'!$E$55),1,0)+IF(H335&gt;=('难度参数'!$E$52+'难度参数'!$E$53+'难度参数'!$E$54+'难度参数'!$E$55+'难度参数'!$E$56),1,0)+IF(H335&gt;=('难度参数'!$E$52+'难度参数'!$E$53+'难度参数'!$E$54+'难度参数'!$E$55+'难度参数'!$E$56+'难度参数'!$E$57),1,0)</x:f>
        <x:v>6</x:v>
      </x:c>
      <x:c r="W335" s="62" t="str">
        <x:f>IF(L335&gt;'难度参数'!$E$51,"仅出怪已超目标","还需实测")</x:f>
        <x:v>仅出怪已超目标</x:v>
      </x:c>
      <x:c r="X335" s="119" t="n">
        <x:f>IF(1&gt;D335,0,MAX(2,MIN('难度参数'!$E$12,ROUND(('难度参数'!$E$18*POWER(A335,'难度参数'!$E$19)/D335*(0.85+0.3*(1-1)/MAX(1,D335-1))),0)+F335)))</x:f>
        <x:v>30</x:v>
      </x:c>
      <x:c r="Y335" s="119" t="n">
        <x:f>IF(1&gt;D335,0,ROUND(('难度参数'!$E$13*POWER(A335,'难度参数'!$E$20)*MIN('难度参数'!$E$23,1+MAX(0,A335-'难度参数'!$E$21)*'难度参数'!$E$22))*(36+1*7)/(36+7*(D335+1)/2)*E335,0))</x:f>
        <x:v>5888</x:v>
      </x:c>
      <x:c r="Z335" s="119" t="n">
        <x:f>IF(X335=0,0,(X335-IF(1=D335,1,0))*ROUND(Y335*VLOOKUP(INDEX('章节与怪物'!$E$31:$K$37,B335,1),'章节与怪物'!$A$41:$F$44,2,FALSE),0)+IF(1=D335,ROUND(Y335*'难度参数'!$E$28*'章节与怪物'!$E$17,0),0))</x:f>
        <x:v>176640</x:v>
      </x:c>
      <x:c r="AA335" s="119" t="n">
        <x:f>IF(X335=0,0,(X335-IF(1=D335,1,0))*VLOOKUP(INDEX('章节与怪物'!$E$31:$K$37,B335,1),'章节与怪物'!$A$41:$F$44,4,FALSE)+IF(1=D335,'难度参数'!$E$30,0))</x:f>
        <x:v>540</x:v>
      </x:c>
      <x:c r="AB335" s="119" t="n">
        <x:f>IF(2&gt;D335,0,MAX(2,MIN('难度参数'!$E$12,ROUND(('难度参数'!$E$18*POWER(A335,'难度参数'!$E$19)/D335*(0.85+0.3*(2-1)/MAX(1,D335-1))),0)+F335)))</x:f>
        <x:v>32</x:v>
      </x:c>
      <x:c r="AC335" s="119" t="n">
        <x:f>IF(2&gt;D335,0,ROUND(('难度参数'!$E$13*POWER(A335,'难度参数'!$E$20)*MIN('难度参数'!$E$23,1+MAX(0,A335-'难度参数'!$E$21)*'难度参数'!$E$22))*(36+2*7)/(36+7*(D335+1)/2)*E335,0))</x:f>
        <x:v>6847</x:v>
      </x:c>
      <x:c r="AD335" s="119" t="n">
        <x:f>IF(AB335=0,0,(AB335-IF(2=D335,1,0))*ROUND(AC335*VLOOKUP(INDEX('章节与怪物'!$E$31:$K$37,B335,2),'章节与怪物'!$A$41:$F$44,2,FALSE),0)+IF(2=D335,ROUND(AC335*'难度参数'!$E$28*'章节与怪物'!$E$17,0),0))</x:f>
        <x:v>157760</x:v>
      </x:c>
      <x:c r="AE335" s="119" t="n">
        <x:f>IF(AB335=0,0,(AB335-IF(2=D335,1,0))*VLOOKUP(INDEX('章节与怪物'!$E$31:$K$37,B335,2),'章节与怪物'!$A$41:$F$44,4,FALSE)+IF(2=D335,'难度参数'!$E$30,0))</x:f>
        <x:v>640</x:v>
      </x:c>
      <x:c r="AF335" s="119" t="n">
        <x:f>IF(3&gt;D335,0,MAX(2,MIN('难度参数'!$E$12,ROUND(('难度参数'!$E$18*POWER(A335,'难度参数'!$E$19)/D335*(0.85+0.3*(3-1)/MAX(1,D335-1))),0)+F335)))</x:f>
        <x:v>34</x:v>
      </x:c>
      <x:c r="AG335" s="119" t="n">
        <x:f>IF(3&gt;D335,0,ROUND(('难度参数'!$E$13*POWER(A335,'难度参数'!$E$20)*MIN('难度参数'!$E$23,1+MAX(0,A335-'难度参数'!$E$21)*'难度参数'!$E$22))*(36+3*7)/(36+7*(D335+1)/2)*E335,0))</x:f>
        <x:v>7806</x:v>
      </x:c>
      <x:c r="AH335" s="119" t="n">
        <x:f>IF(AF335=0,0,(AF335-IF(3=D335,1,0))*ROUND(AG335*VLOOKUP(INDEX('章节与怪物'!$E$31:$K$37,B335,3),'章节与怪物'!$A$41:$F$44,2,FALSE),0)+IF(3=D335,ROUND(AG335*'难度参数'!$E$28*'章节与怪物'!$E$17,0),0))</x:f>
        <x:v>451180</x:v>
      </x:c>
      <x:c r="AI335" s="119" t="n">
        <x:f>IF(AF335=0,0,(AF335-IF(3=D335,1,0))*VLOOKUP(INDEX('章节与怪物'!$E$31:$K$37,B335,3),'章节与怪物'!$A$41:$F$44,4,FALSE)+IF(3=D335,'难度参数'!$E$30,0))</x:f>
        <x:v>952</x:v>
      </x:c>
      <x:c r="AJ335" s="119" t="n">
        <x:f>IF(4&gt;D335,0,MAX(2,MIN('难度参数'!$E$12,ROUND(('难度参数'!$E$18*POWER(A335,'难度参数'!$E$19)/D335*(0.85+0.3*(4-1)/MAX(1,D335-1))),0)+F335)))</x:f>
        <x:v>36</x:v>
      </x:c>
      <x:c r="AK335" s="119" t="n">
        <x:f>IF(4&gt;D335,0,ROUND(('难度参数'!$E$13*POWER(A335,'难度参数'!$E$20)*MIN('难度参数'!$E$23,1+MAX(0,A335-'难度参数'!$E$21)*'难度参数'!$E$22))*(36+4*7)/(36+7*(D335+1)/2)*E335,0))</x:f>
        <x:v>8764</x:v>
      </x:c>
      <x:c r="AL335" s="119" t="n">
        <x:f>IF(AJ335=0,0,(AJ335-IF(4=D335,1,0))*ROUND(AK335*VLOOKUP(INDEX('章节与怪物'!$E$31:$K$37,B335,4),'章节与怪物'!$A$41:$F$44,2,FALSE),0)+IF(4=D335,ROUND(AK335*'难度参数'!$E$28*'章节与怪物'!$E$17,0),0))</x:f>
        <x:v>425916</x:v>
      </x:c>
      <x:c r="AM335" s="119" t="n">
        <x:f>IF(AJ335=0,0,(AJ335-IF(4=D335,1,0))*VLOOKUP(INDEX('章节与怪物'!$E$31:$K$37,B335,4),'章节与怪物'!$A$41:$F$44,4,FALSE)+IF(4=D335,'难度参数'!$E$30,0))</x:f>
        <x:v>1224</x:v>
      </x:c>
      <x:c r="AN335" s="119" t="n">
        <x:f>IF(5&gt;D335,0,MAX(2,MIN('难度参数'!$E$12,ROUND(('难度参数'!$E$18*POWER(A335,'难度参数'!$E$19)/D335*(0.85+0.3*(5-1)/MAX(1,D335-1))),0)+F335)))</x:f>
        <x:v>38</x:v>
      </x:c>
      <x:c r="AO335" s="119" t="n">
        <x:f>IF(5&gt;D335,0,ROUND(('难度参数'!$E$13*POWER(A335,'难度参数'!$E$20)*MIN('难度参数'!$E$23,1+MAX(0,A335-'难度参数'!$E$21)*'难度参数'!$E$22))*(36+5*7)/(36+7*(D335+1)/2)*E335,0))</x:f>
        <x:v>9723</x:v>
      </x:c>
      <x:c r="AP335" s="119" t="n">
        <x:f>IF(AN335=0,0,(AN335-IF(5=D335,1,0))*ROUND(AO335*VLOOKUP(INDEX('章节与怪物'!$E$31:$K$37,B335,5),'章节与怪物'!$A$41:$F$44,2,FALSE),0)+IF(5=D335,ROUND(AO335*'难度参数'!$E$28*'章节与怪物'!$E$17,0),0))</x:f>
        <x:v>266038</x:v>
      </x:c>
      <x:c r="AQ335" s="119" t="n">
        <x:f>IF(AN335=0,0,(AN335-IF(5=D335,1,0))*VLOOKUP(INDEX('章节与怪物'!$E$31:$K$37,B335,5),'章节与怪物'!$A$41:$F$44,4,FALSE)+IF(5=D335,'难度参数'!$E$30,0))</x:f>
        <x:v>760</x:v>
      </x:c>
      <x:c r="AR335" s="119" t="n">
        <x:f>IF(6&gt;D335,0,MAX(2,MIN('难度参数'!$E$12,ROUND(('难度参数'!$E$18*POWER(A335,'难度参数'!$E$19)/D335*(0.85+0.3*(6-1)/MAX(1,D335-1))),0)+F335)))</x:f>
        <x:v>39</x:v>
      </x:c>
      <x:c r="AS335" s="119" t="n">
        <x:f>IF(6&gt;D335,0,ROUND(('难度参数'!$E$13*POWER(A335,'难度参数'!$E$20)*MIN('难度参数'!$E$23,1+MAX(0,A335-'难度参数'!$E$21)*'难度参数'!$E$22))*(36+6*7)/(36+7*(D335+1)/2)*E335,0))</x:f>
        <x:v>10681</x:v>
      </x:c>
      <x:c r="AT335" s="119" t="n">
        <x:f>IF(AR335=0,0,(AR335-IF(6=D335,1,0))*ROUND(AS335*VLOOKUP(INDEX('章节与怪物'!$E$31:$K$37,B335,6),'章节与怪物'!$A$41:$F$44,2,FALSE),0)+IF(6=D335,ROUND(AS335*'难度参数'!$E$28*'章节与怪物'!$E$17,0),0))</x:f>
        <x:v>708162</x:v>
      </x:c>
      <x:c r="AU335" s="119" t="n">
        <x:f>IF(AR335=0,0,(AR335-IF(6=D335,1,0))*VLOOKUP(INDEX('章节与怪物'!$E$31:$K$37,B335,6),'章节与怪物'!$A$41:$F$44,4,FALSE)+IF(6=D335,'难度参数'!$E$30,0))</x:f>
        <x:v>1092</x:v>
      </x:c>
      <x:c r="AV335" s="119" t="n">
        <x:f>IF(7&gt;D335,0,MAX(2,MIN('难度参数'!$E$12,ROUND(('难度参数'!$E$18*POWER(A335,'难度参数'!$E$19)/D335*(0.85+0.3*(7-1)/MAX(1,D335-1))),0)+F335)))</x:f>
        <x:v>41</x:v>
      </x:c>
      <x:c r="AW335" s="119" t="n">
        <x:f>IF(7&gt;D335,0,ROUND(('难度参数'!$E$13*POWER(A335,'难度参数'!$E$20)*MIN('难度参数'!$E$23,1+MAX(0,A335-'难度参数'!$E$21)*'难度参数'!$E$22))*(36+7*7)/(36+7*(D335+1)/2)*E335,0))</x:f>
        <x:v>11640</x:v>
      </x:c>
      <x:c r="AX335" s="119" t="n">
        <x:f>IF(AV335=0,0,(AV335-IF(7=D335,1,0))*ROUND(AW335*VLOOKUP(INDEX('章节与怪物'!$E$31:$K$37,B335,7),'章节与怪物'!$A$41:$F$44,2,FALSE),0)+IF(7=D335,ROUND(AW335*'难度参数'!$E$28*'章节与怪物'!$E$17,0),0))</x:f>
        <x:v>707712</x:v>
      </x:c>
      <x:c r="AY335" s="119" t="n">
        <x:f>IF(AV335=0,0,(AV335-IF(7=D335,1,0))*VLOOKUP(INDEX('章节与怪物'!$E$31:$K$37,B335,7),'章节与怪物'!$A$41:$F$44,4,FALSE)+IF(7=D335,'难度参数'!$E$30,0))</x:f>
        <x:v>1560</x:v>
      </x:c>
    </x:row>
    <x:row r="336" ht="23" customHeight="1">
      <x:c r="A336" s="119" t="n">
        <x:v>330</x:v>
      </x:c>
      <x:c r="B336" s="119" t="n">
        <x:f>MOD(INT((A336-1)/5),7)+1</x:f>
        <x:v>3</x:v>
      </x:c>
      <x:c r="C336" s="62" t="str">
        <x:f>INDEX('章节与怪物'!$B$31:$B$37,B336)</x:f>
        <x:v>腐沼秘林</x:v>
      </x:c>
      <x:c r="D336" s="119" t="n">
        <x:f>MIN('难度参数'!$E$8,MAX('难度参数'!$E$7,A336))</x:f>
        <x:v>7</x:v>
      </x:c>
      <x:c r="E336" s="106" t="n">
        <x:v>1</x:v>
      </x:c>
      <x:c r="F336" s="106" t="n">
        <x:v>0</x:v>
      </x:c>
      <x:c r="G336" s="106" t="n">
        <x:v>1</x:v>
      </x:c>
      <x:c r="H336" s="119" t="n">
        <x:f>SUM(X336,AB336,AF336,AJ336,AN336,AR336,AV336)</x:f>
        <x:v>251</x:v>
      </x:c>
      <x:c r="I336" s="119" t="n">
        <x:f>SUM(Z336,AD336,AH336,AL336,AP336,AT336,AX336)</x:f>
        <x:v>2905672</x:v>
      </x:c>
      <x:c r="J336" s="119" t="n">
        <x:f>ROUND(INDEX(X336:AY336,1,(D336-1)*4+2)*'难度参数'!$E$28*'章节与怪物'!$E$17,0)</x:f>
        <x:v>79322</x:v>
      </x:c>
      <x:c r="K336" s="119" t="n">
        <x:f>SUM(AA336,AE336,AI336,AM336,AQ336,AU336,AY336)</x:f>
        <x:v>6786</x:v>
      </x:c>
      <x:c r="L336" s="62" t="n">
        <x:f>H336*(ROUNDUP('难度参数'!$E$24/('难度参数'!$E$26*'难度参数'!$E$27),0)*'难度参数'!$E$26)/60</x:f>
        <x:v>3.3466666666666667</x:v>
      </x:c>
      <x:c r="M336" s="62" t="n">
        <x:f>L336+D336*('难度参数'!$E$49+'难度参数'!$E$50)/60</x:f>
        <x:v>4.513333333333334</x:v>
      </x:c>
      <x:c r="N336" s="119" t="n">
        <x:f>ROUNDDOWN(('经济参数'!$E$20+A336*'经济参数'!$E$21)*G336,0)</x:f>
        <x:v>6780</x:v>
      </x:c>
      <x:c r="O336" s="119" t="n">
        <x:f>ROUNDDOWN(MIN('经济参数'!$E$24,'经济参数'!$E$22+A336*'经济参数'!$E$23)*G336,0)</x:f>
        <x:v>0</x:v>
      </x:c>
      <x:c r="P336" s="119" t="n">
        <x:f>ROUNDDOWN((IF(A336&gt;='材料与任务'!$E$31,'材料与任务'!$E$32,IF(A336&gt;='材料与任务'!$E$25,'材料与任务'!$E$26,IF(A336&gt;='材料与任务'!$E$19,'材料与任务'!$E$20,IF(A336&gt;='材料与任务'!$E$13,'材料与任务'!$E$14,'材料与任务'!$E$8)))))*G336,0)</x:f>
        <x:v>6</x:v>
      </x:c>
      <x:c r="Q336" s="119" t="n">
        <x:f>ROUNDDOWN((IF(A336&gt;='材料与任务'!$E$31,'材料与任务'!$E$33,IF(A336&gt;='材料与任务'!$E$25,'材料与任务'!$E$27,IF(A336&gt;='材料与任务'!$E$19,'材料与任务'!$E$21,IF(A336&gt;='材料与任务'!$E$13,'材料与任务'!$E$15,'材料与任务'!$E$9)))))*G336,0)</x:f>
        <x:v>3</x:v>
      </x:c>
      <x:c r="R336" s="110" t="n">
        <x:f>'装备掉落'!$B$38</x:f>
        <x:v>0.6872058758851213</x:v>
      </x:c>
      <x:c r="S336" s="119" t="n">
        <x:f>MAX(IF(VLOOKUP(A336,'装备掉落'!$A$29:$H$34,2,TRUE)&gt;0,1,0),IF(VLOOKUP(A336,'装备掉落'!$A$29:$H$34,3,TRUE)&gt;0,2,0),IF(VLOOKUP(A336,'装备掉落'!$A$29:$H$34,4,TRUE)&gt;0,3,0),IF(VLOOKUP(A336,'装备掉落'!$A$29:$H$34,5,TRUE)&gt;0,4,0),IF(VLOOKUP(A336,'装备掉落'!$A$29:$H$34,6,TRUE)&gt;0,5,0),IF(VLOOKUP(A336,'装备掉落'!$A$29:$H$34,7,TRUE)&gt;0,6,0),IF(VLOOKUP(A336,'装备掉落'!$A$29:$H$34,8,TRUE)&gt;0,7,0))</x:f>
        <x:v>7</x:v>
      </x:c>
      <x:c r="T336" s="119" t="n">
        <x:f>MIN(7,S336+'经济参数'!$E$70)</x:f>
        <x:v>7</x:v>
      </x:c>
      <x:c r="U336" s="119" t="n">
        <x:f>MIN(7,S336+'经济参数'!$E$71)</x:f>
        <x:v>7</x:v>
      </x:c>
      <x:c r="V336" s="119" t="n">
        <x:f>IF(H336&gt;=('难度参数'!$E$52),1,0)+IF(H336&gt;=('难度参数'!$E$52+'难度参数'!$E$53),1,0)+IF(H336&gt;=('难度参数'!$E$52+'难度参数'!$E$53+'难度参数'!$E$54),1,0)+IF(H336&gt;=('难度参数'!$E$52+'难度参数'!$E$53+'难度参数'!$E$54+'难度参数'!$E$55),1,0)+IF(H336&gt;=('难度参数'!$E$52+'难度参数'!$E$53+'难度参数'!$E$54+'难度参数'!$E$55+'难度参数'!$E$56),1,0)+IF(H336&gt;=('难度参数'!$E$52+'难度参数'!$E$53+'难度参数'!$E$54+'难度参数'!$E$55+'难度参数'!$E$56+'难度参数'!$E$57),1,0)</x:f>
        <x:v>6</x:v>
      </x:c>
      <x:c r="W336" s="62" t="str">
        <x:f>IF(L336&gt;'难度参数'!$E$51,"仅出怪已超目标","还需实测")</x:f>
        <x:v>仅出怪已超目标</x:v>
      </x:c>
      <x:c r="X336" s="119" t="n">
        <x:f>IF(1&gt;D336,0,MAX(2,MIN('难度参数'!$E$12,ROUND(('难度参数'!$E$18*POWER(A336,'难度参数'!$E$19)/D336*(0.85+0.3*(1-1)/MAX(1,D336-1))),0)+F336)))</x:f>
        <x:v>31</x:v>
      </x:c>
      <x:c r="Y336" s="119" t="n">
        <x:f>IF(1&gt;D336,0,ROUND(('难度参数'!$E$13*POWER(A336,'难度参数'!$E$20)*MIN('难度参数'!$E$23,1+MAX(0,A336-'难度参数'!$E$21)*'难度参数'!$E$22))*(36+1*7)/(36+7*(D336+1)/2)*E336,0))</x:f>
        <x:v>5901</x:v>
      </x:c>
      <x:c r="Z336" s="119" t="n">
        <x:f>IF(X336=0,0,(X336-IF(1=D336,1,0))*ROUND(Y336*VLOOKUP(INDEX('章节与怪物'!$E$31:$K$37,B336,1),'章节与怪物'!$A$41:$F$44,2,FALSE),0)+IF(1=D336,ROUND(Y336*'难度参数'!$E$28*'章节与怪物'!$E$17,0),0))</x:f>
        <x:v>182931</x:v>
      </x:c>
      <x:c r="AA336" s="119" t="n">
        <x:f>IF(X336=0,0,(X336-IF(1=D336,1,0))*VLOOKUP(INDEX('章节与怪物'!$E$31:$K$37,B336,1),'章节与怪物'!$A$41:$F$44,4,FALSE)+IF(1=D336,'难度参数'!$E$30,0))</x:f>
        <x:v>558</x:v>
      </x:c>
      <x:c r="AB336" s="119" t="n">
        <x:f>IF(2&gt;D336,0,MAX(2,MIN('难度参数'!$E$12,ROUND(('难度参数'!$E$18*POWER(A336,'难度参数'!$E$19)/D336*(0.85+0.3*(2-1)/MAX(1,D336-1))),0)+F336)))</x:f>
        <x:v>32</x:v>
      </x:c>
      <x:c r="AC336" s="119" t="n">
        <x:f>IF(2&gt;D336,0,ROUND(('难度参数'!$E$13*POWER(A336,'难度参数'!$E$20)*MIN('难度参数'!$E$23,1+MAX(0,A336-'难度参数'!$E$21)*'难度参数'!$E$22))*(36+2*7)/(36+7*(D336+1)/2)*E336,0))</x:f>
        <x:v>6862</x:v>
      </x:c>
      <x:c r="AD336" s="119" t="n">
        <x:f>IF(AB336=0,0,(AB336-IF(2=D336,1,0))*ROUND(AC336*VLOOKUP(INDEX('章节与怪物'!$E$31:$K$37,B336,2),'章节与怪物'!$A$41:$F$44,2,FALSE),0)+IF(2=D336,ROUND(AC336*'难度参数'!$E$28*'章节与怪物'!$E$17,0),0))</x:f>
        <x:v>158112</x:v>
      </x:c>
      <x:c r="AE336" s="119" t="n">
        <x:f>IF(AB336=0,0,(AB336-IF(2=D336,1,0))*VLOOKUP(INDEX('章节与怪物'!$E$31:$K$37,B336,2),'章节与怪物'!$A$41:$F$44,4,FALSE)+IF(2=D336,'难度参数'!$E$30,0))</x:f>
        <x:v>640</x:v>
      </x:c>
      <x:c r="AF336" s="119" t="n">
        <x:f>IF(3&gt;D336,0,MAX(2,MIN('难度参数'!$E$12,ROUND(('难度参数'!$E$18*POWER(A336,'难度参数'!$E$19)/D336*(0.85+0.3*(3-1)/MAX(1,D336-1))),0)+F336)))</x:f>
        <x:v>34</x:v>
      </x:c>
      <x:c r="AG336" s="119" t="n">
        <x:f>IF(3&gt;D336,0,ROUND(('难度参数'!$E$13*POWER(A336,'难度参数'!$E$20)*MIN('难度参数'!$E$23,1+MAX(0,A336-'难度参数'!$E$21)*'难度参数'!$E$22))*(36+3*7)/(36+7*(D336+1)/2)*E336,0))</x:f>
        <x:v>7823</x:v>
      </x:c>
      <x:c r="AH336" s="119" t="n">
        <x:f>IF(AF336=0,0,(AF336-IF(3=D336,1,0))*ROUND(AG336*VLOOKUP(INDEX('章节与怪物'!$E$31:$K$37,B336,3),'章节与怪物'!$A$41:$F$44,2,FALSE),0)+IF(3=D336,ROUND(AG336*'难度参数'!$E$28*'章节与怪物'!$E$17,0),0))</x:f>
        <x:v>452166</x:v>
      </x:c>
      <x:c r="AI336" s="119" t="n">
        <x:f>IF(AF336=0,0,(AF336-IF(3=D336,1,0))*VLOOKUP(INDEX('章节与怪物'!$E$31:$K$37,B336,3),'章节与怪物'!$A$41:$F$44,4,FALSE)+IF(3=D336,'难度参数'!$E$30,0))</x:f>
        <x:v>952</x:v>
      </x:c>
      <x:c r="AJ336" s="119" t="n">
        <x:f>IF(4&gt;D336,0,MAX(2,MIN('难度参数'!$E$12,ROUND(('难度参数'!$E$18*POWER(A336,'难度参数'!$E$19)/D336*(0.85+0.3*(4-1)/MAX(1,D336-1))),0)+F336)))</x:f>
        <x:v>36</x:v>
      </x:c>
      <x:c r="AK336" s="119" t="n">
        <x:f>IF(4&gt;D336,0,ROUND(('难度参数'!$E$13*POWER(A336,'难度参数'!$E$20)*MIN('难度参数'!$E$23,1+MAX(0,A336-'难度参数'!$E$21)*'难度参数'!$E$22))*(36+4*7)/(36+7*(D336+1)/2)*E336,0))</x:f>
        <x:v>8783</x:v>
      </x:c>
      <x:c r="AL336" s="119" t="n">
        <x:f>IF(AJ336=0,0,(AJ336-IF(4=D336,1,0))*ROUND(AK336*VLOOKUP(INDEX('章节与怪物'!$E$31:$K$37,B336,4),'章节与怪物'!$A$41:$F$44,2,FALSE),0)+IF(4=D336,ROUND(AK336*'难度参数'!$E$28*'章节与怪物'!$E$17,0),0))</x:f>
        <x:v>426852</x:v>
      </x:c>
      <x:c r="AM336" s="119" t="n">
        <x:f>IF(AJ336=0,0,(AJ336-IF(4=D336,1,0))*VLOOKUP(INDEX('章节与怪物'!$E$31:$K$37,B336,4),'章节与怪物'!$A$41:$F$44,4,FALSE)+IF(4=D336,'难度参数'!$E$30,0))</x:f>
        <x:v>1224</x:v>
      </x:c>
      <x:c r="AN336" s="119" t="n">
        <x:f>IF(5&gt;D336,0,MAX(2,MIN('难度参数'!$E$12,ROUND(('难度参数'!$E$18*POWER(A336,'难度参数'!$E$19)/D336*(0.85+0.3*(5-1)/MAX(1,D336-1))),0)+F336)))</x:f>
        <x:v>38</x:v>
      </x:c>
      <x:c r="AO336" s="119" t="n">
        <x:f>IF(5&gt;D336,0,ROUND(('难度参数'!$E$13*POWER(A336,'难度参数'!$E$20)*MIN('难度参数'!$E$23,1+MAX(0,A336-'难度参数'!$E$21)*'难度参数'!$E$22))*(36+5*7)/(36+7*(D336+1)/2)*E336,0))</x:f>
        <x:v>9744</x:v>
      </x:c>
      <x:c r="AP336" s="119" t="n">
        <x:f>IF(AN336=0,0,(AN336-IF(5=D336,1,0))*ROUND(AO336*VLOOKUP(INDEX('章节与怪物'!$E$31:$K$37,B336,5),'章节与怪物'!$A$41:$F$44,2,FALSE),0)+IF(5=D336,ROUND(AO336*'难度参数'!$E$28*'章节与怪物'!$E$17,0),0))</x:f>
        <x:v>266608</x:v>
      </x:c>
      <x:c r="AQ336" s="119" t="n">
        <x:f>IF(AN336=0,0,(AN336-IF(5=D336,1,0))*VLOOKUP(INDEX('章节与怪物'!$E$31:$K$37,B336,5),'章节与怪物'!$A$41:$F$44,4,FALSE)+IF(5=D336,'难度参数'!$E$30,0))</x:f>
        <x:v>760</x:v>
      </x:c>
      <x:c r="AR336" s="119" t="n">
        <x:f>IF(6&gt;D336,0,MAX(2,MIN('难度参数'!$E$12,ROUND(('难度参数'!$E$18*POWER(A336,'难度参数'!$E$19)/D336*(0.85+0.3*(6-1)/MAX(1,D336-1))),0)+F336)))</x:f>
        <x:v>39</x:v>
      </x:c>
      <x:c r="AS336" s="119" t="n">
        <x:f>IF(6&gt;D336,0,ROUND(('难度参数'!$E$13*POWER(A336,'难度参数'!$E$20)*MIN('难度参数'!$E$23,1+MAX(0,A336-'难度参数'!$E$21)*'难度参数'!$E$22))*(36+6*7)/(36+7*(D336+1)/2)*E336,0))</x:f>
        <x:v>10705</x:v>
      </x:c>
      <x:c r="AT336" s="119" t="n">
        <x:f>IF(AR336=0,0,(AR336-IF(6=D336,1,0))*ROUND(AS336*VLOOKUP(INDEX('章节与怪物'!$E$31:$K$37,B336,6),'章节与怪物'!$A$41:$F$44,2,FALSE),0)+IF(6=D336,ROUND(AS336*'难度参数'!$E$28*'章节与怪物'!$E$17,0),0))</x:f>
        <x:v>709761</x:v>
      </x:c>
      <x:c r="AU336" s="119" t="n">
        <x:f>IF(AR336=0,0,(AR336-IF(6=D336,1,0))*VLOOKUP(INDEX('章节与怪物'!$E$31:$K$37,B336,6),'章节与怪物'!$A$41:$F$44,4,FALSE)+IF(6=D336,'难度参数'!$E$30,0))</x:f>
        <x:v>1092</x:v>
      </x:c>
      <x:c r="AV336" s="119" t="n">
        <x:f>IF(7&gt;D336,0,MAX(2,MIN('难度参数'!$E$12,ROUND(('难度参数'!$E$18*POWER(A336,'难度参数'!$E$19)/D336*(0.85+0.3*(7-1)/MAX(1,D336-1))),0)+F336)))</x:f>
        <x:v>41</x:v>
      </x:c>
      <x:c r="AW336" s="119" t="n">
        <x:f>IF(7&gt;D336,0,ROUND(('难度参数'!$E$13*POWER(A336,'难度参数'!$E$20)*MIN('难度参数'!$E$23,1+MAX(0,A336-'难度参数'!$E$21)*'难度参数'!$E$22))*(36+7*7)/(36+7*(D336+1)/2)*E336,0))</x:f>
        <x:v>11665</x:v>
      </x:c>
      <x:c r="AX336" s="119" t="n">
        <x:f>IF(AV336=0,0,(AV336-IF(7=D336,1,0))*ROUND(AW336*VLOOKUP(INDEX('章节与怪物'!$E$31:$K$37,B336,7),'章节与怪物'!$A$41:$F$44,2,FALSE),0)+IF(7=D336,ROUND(AW336*'难度参数'!$E$28*'章节与怪物'!$E$17,0),0))</x:f>
        <x:v>709242</x:v>
      </x:c>
      <x:c r="AY336" s="119" t="n">
        <x:f>IF(AV336=0,0,(AV336-IF(7=D336,1,0))*VLOOKUP(INDEX('章节与怪物'!$E$31:$K$37,B336,7),'章节与怪物'!$A$41:$F$44,4,FALSE)+IF(7=D336,'难度参数'!$E$30,0))</x:f>
        <x:v>1560</x:v>
      </x:c>
    </x:row>
    <x:row r="337" ht="23" customHeight="1">
      <x:c r="A337" s="119" t="n">
        <x:v>331</x:v>
      </x:c>
      <x:c r="B337" s="119" t="n">
        <x:f>MOD(INT((A337-1)/5),7)+1</x:f>
        <x:v>4</x:v>
      </x:c>
      <x:c r="C337" s="62" t="str">
        <x:f>INDEX('章节与怪物'!$B$31:$B$37,B337)</x:f>
        <x:v>翠野边城</x:v>
      </x:c>
      <x:c r="D337" s="119" t="n">
        <x:f>MIN('难度参数'!$E$8,MAX('难度参数'!$E$7,A337))</x:f>
        <x:v>7</x:v>
      </x:c>
      <x:c r="E337" s="106" t="n">
        <x:v>1</x:v>
      </x:c>
      <x:c r="F337" s="106" t="n">
        <x:v>0</x:v>
      </x:c>
      <x:c r="G337" s="106" t="n">
        <x:v>1</x:v>
      </x:c>
      <x:c r="H337" s="119" t="n">
        <x:f>SUM(X337,AB337,AF337,AJ337,AN337,AR337,AV337)</x:f>
        <x:v>252</x:v>
      </x:c>
      <x:c r="I337" s="119" t="n">
        <x:f>SUM(Z337,AD337,AH337,AL337,AP337,AT337,AX337)</x:f>
        <x:v>2623887</x:v>
      </x:c>
      <x:c r="J337" s="119" t="n">
        <x:f>ROUND(INDEX(X337:AY337,1,(D337-1)*4+2)*'难度参数'!$E$28*'章节与怪物'!$E$17,0)</x:f>
        <x:v>79499</x:v>
      </x:c>
      <x:c r="K337" s="119" t="n">
        <x:f>SUM(AA337,AE337,AI337,AM337,AQ337,AU337,AY337)</x:f>
        <x:v>6416</x:v>
      </x:c>
      <x:c r="L337" s="62" t="n">
        <x:f>H337*(ROUNDUP('难度参数'!$E$24/('难度参数'!$E$26*'难度参数'!$E$27),0)*'难度参数'!$E$26)/60</x:f>
        <x:v>3.3600000000000003</x:v>
      </x:c>
      <x:c r="M337" s="62" t="n">
        <x:f>L337+D337*('难度参数'!$E$49+'难度参数'!$E$50)/60</x:f>
        <x:v>4.526666666666667</x:v>
      </x:c>
      <x:c r="N337" s="119" t="n">
        <x:f>ROUNDDOWN(('经济参数'!$E$20+A337*'经济参数'!$E$21)*G337,0)</x:f>
        <x:v>6800</x:v>
      </x:c>
      <x:c r="O337" s="119" t="n">
        <x:f>ROUNDDOWN(MIN('经济参数'!$E$24,'经济参数'!$E$22+A337*'经济参数'!$E$23)*G337,0)</x:f>
        <x:v>0</x:v>
      </x:c>
      <x:c r="P337" s="119" t="n">
        <x:f>ROUNDDOWN((IF(A337&gt;='材料与任务'!$E$31,'材料与任务'!$E$32,IF(A337&gt;='材料与任务'!$E$25,'材料与任务'!$E$26,IF(A337&gt;='材料与任务'!$E$19,'材料与任务'!$E$20,IF(A337&gt;='材料与任务'!$E$13,'材料与任务'!$E$14,'材料与任务'!$E$8)))))*G337,0)</x:f>
        <x:v>6</x:v>
      </x:c>
      <x:c r="Q337" s="119" t="n">
        <x:f>ROUNDDOWN((IF(A337&gt;='材料与任务'!$E$31,'材料与任务'!$E$33,IF(A337&gt;='材料与任务'!$E$25,'材料与任务'!$E$27,IF(A337&gt;='材料与任务'!$E$19,'材料与任务'!$E$21,IF(A337&gt;='材料与任务'!$E$13,'材料与任务'!$E$15,'材料与任务'!$E$9)))))*G337,0)</x:f>
        <x:v>3</x:v>
      </x:c>
      <x:c r="R337" s="110" t="n">
        <x:f>'装备掉落'!$B$38</x:f>
        <x:v>0.6872058758851213</x:v>
      </x:c>
      <x:c r="S337" s="119" t="n">
        <x:f>MAX(IF(VLOOKUP(A337,'装备掉落'!$A$29:$H$34,2,TRUE)&gt;0,1,0),IF(VLOOKUP(A337,'装备掉落'!$A$29:$H$34,3,TRUE)&gt;0,2,0),IF(VLOOKUP(A337,'装备掉落'!$A$29:$H$34,4,TRUE)&gt;0,3,0),IF(VLOOKUP(A337,'装备掉落'!$A$29:$H$34,5,TRUE)&gt;0,4,0),IF(VLOOKUP(A337,'装备掉落'!$A$29:$H$34,6,TRUE)&gt;0,5,0),IF(VLOOKUP(A337,'装备掉落'!$A$29:$H$34,7,TRUE)&gt;0,6,0),IF(VLOOKUP(A337,'装备掉落'!$A$29:$H$34,8,TRUE)&gt;0,7,0))</x:f>
        <x:v>7</x:v>
      </x:c>
      <x:c r="T337" s="119" t="n">
        <x:f>MIN(7,S337+'经济参数'!$E$70)</x:f>
        <x:v>7</x:v>
      </x:c>
      <x:c r="U337" s="119" t="n">
        <x:f>MIN(7,S337+'经济参数'!$E$71)</x:f>
        <x:v>7</x:v>
      </x:c>
      <x:c r="V337" s="119" t="n">
        <x:f>IF(H337&gt;=('难度参数'!$E$52),1,0)+IF(H337&gt;=('难度参数'!$E$52+'难度参数'!$E$53),1,0)+IF(H337&gt;=('难度参数'!$E$52+'难度参数'!$E$53+'难度参数'!$E$54),1,0)+IF(H337&gt;=('难度参数'!$E$52+'难度参数'!$E$53+'难度参数'!$E$54+'难度参数'!$E$55),1,0)+IF(H337&gt;=('难度参数'!$E$52+'难度参数'!$E$53+'难度参数'!$E$54+'难度参数'!$E$55+'难度参数'!$E$56),1,0)+IF(H337&gt;=('难度参数'!$E$52+'难度参数'!$E$53+'难度参数'!$E$54+'难度参数'!$E$55+'难度参数'!$E$56+'难度参数'!$E$57),1,0)</x:f>
        <x:v>6</x:v>
      </x:c>
      <x:c r="W337" s="62" t="str">
        <x:f>IF(L337&gt;'难度参数'!$E$51,"仅出怪已超目标","还需实测")</x:f>
        <x:v>仅出怪已超目标</x:v>
      </x:c>
      <x:c r="X337" s="119" t="n">
        <x:f>IF(1&gt;D337,0,MAX(2,MIN('难度参数'!$E$12,ROUND(('难度参数'!$E$18*POWER(A337,'难度参数'!$E$19)/D337*(0.85+0.3*(1-1)/MAX(1,D337-1))),0)+F337)))</x:f>
        <x:v>31</x:v>
      </x:c>
      <x:c r="Y337" s="119" t="n">
        <x:f>IF(1&gt;D337,0,ROUND(('难度参数'!$E$13*POWER(A337,'难度参数'!$E$20)*MIN('难度参数'!$E$23,1+MAX(0,A337-'难度参数'!$E$21)*'难度参数'!$E$22))*(36+1*7)/(36+7*(D337+1)/2)*E337,0))</x:f>
        <x:v>5914</x:v>
      </x:c>
      <x:c r="Z337" s="119" t="n">
        <x:f>IF(X337=0,0,(X337-IF(1=D337,1,0))*ROUND(Y337*VLOOKUP(INDEX('章节与怪物'!$E$31:$K$37,B337,1),'章节与怪物'!$A$41:$F$44,2,FALSE),0)+IF(1=D337,ROUND(Y337*'难度参数'!$E$28*'章节与怪物'!$E$17,0),0))</x:f>
        <x:v>131998</x:v>
      </x:c>
      <x:c r="AA337" s="119" t="n">
        <x:f>IF(X337=0,0,(X337-IF(1=D337,1,0))*VLOOKUP(INDEX('章节与怪物'!$E$31:$K$37,B337,1),'章节与怪物'!$A$41:$F$44,4,FALSE)+IF(1=D337,'难度参数'!$E$30,0))</x:f>
        <x:v>620</x:v>
      </x:c>
      <x:c r="AB337" s="119" t="n">
        <x:f>IF(2&gt;D337,0,MAX(2,MIN('难度参数'!$E$12,ROUND(('难度参数'!$E$18*POWER(A337,'难度参数'!$E$19)/D337*(0.85+0.3*(2-1)/MAX(1,D337-1))),0)+F337)))</x:f>
        <x:v>32</x:v>
      </x:c>
      <x:c r="AC337" s="119" t="n">
        <x:f>IF(2&gt;D337,0,ROUND(('难度参数'!$E$13*POWER(A337,'难度参数'!$E$20)*MIN('难度参数'!$E$23,1+MAX(0,A337-'难度参数'!$E$21)*'难度参数'!$E$22))*(36+2*7)/(36+7*(D337+1)/2)*E337,0))</x:f>
        <x:v>6877</x:v>
      </x:c>
      <x:c r="AD337" s="119" t="n">
        <x:f>IF(AB337=0,0,(AB337-IF(2=D337,1,0))*ROUND(AC337*VLOOKUP(INDEX('章节与怪物'!$E$31:$K$37,B337,2),'章节与怪物'!$A$41:$F$44,2,FALSE),0)+IF(2=D337,ROUND(AC337*'难度参数'!$E$28*'章节与怪物'!$E$17,0),0))</x:f>
        <x:v>220064</x:v>
      </x:c>
      <x:c r="AE337" s="119" t="n">
        <x:f>IF(AB337=0,0,(AB337-IF(2=D337,1,0))*VLOOKUP(INDEX('章节与怪物'!$E$31:$K$37,B337,2),'章节与怪物'!$A$41:$F$44,4,FALSE)+IF(2=D337,'难度参数'!$E$30,0))</x:f>
        <x:v>576</x:v>
      </x:c>
      <x:c r="AF337" s="119" t="n">
        <x:f>IF(3&gt;D337,0,MAX(2,MIN('难度参数'!$E$12,ROUND(('难度参数'!$E$18*POWER(A337,'难度参数'!$E$19)/D337*(0.85+0.3*(3-1)/MAX(1,D337-1))),0)+F337)))</x:f>
        <x:v>34</x:v>
      </x:c>
      <x:c r="AG337" s="119" t="n">
        <x:f>IF(3&gt;D337,0,ROUND(('难度参数'!$E$13*POWER(A337,'难度参数'!$E$20)*MIN('难度参数'!$E$23,1+MAX(0,A337-'难度参数'!$E$21)*'难度参数'!$E$22))*(36+3*7)/(36+7*(D337+1)/2)*E337,0))</x:f>
        <x:v>7840</x:v>
      </x:c>
      <x:c r="AH337" s="119" t="n">
        <x:f>IF(AF337=0,0,(AF337-IF(3=D337,1,0))*ROUND(AG337*VLOOKUP(INDEX('章节与怪物'!$E$31:$K$37,B337,3),'章节与怪物'!$A$41:$F$44,2,FALSE),0)+IF(3=D337,ROUND(AG337*'难度参数'!$E$28*'章节与怪物'!$E$17,0),0))</x:f>
        <x:v>453152</x:v>
      </x:c>
      <x:c r="AI337" s="119" t="n">
        <x:f>IF(AF337=0,0,(AF337-IF(3=D337,1,0))*VLOOKUP(INDEX('章节与怪物'!$E$31:$K$37,B337,3),'章节与怪物'!$A$41:$F$44,4,FALSE)+IF(3=D337,'难度参数'!$E$30,0))</x:f>
        <x:v>952</x:v>
      </x:c>
      <x:c r="AJ337" s="119" t="n">
        <x:f>IF(4&gt;D337,0,MAX(2,MIN('难度参数'!$E$12,ROUND(('难度参数'!$E$18*POWER(A337,'难度参数'!$E$19)/D337*(0.85+0.3*(4-1)/MAX(1,D337-1))),0)+F337)))</x:f>
        <x:v>36</x:v>
      </x:c>
      <x:c r="AK337" s="119" t="n">
        <x:f>IF(4&gt;D337,0,ROUND(('难度参数'!$E$13*POWER(A337,'难度参数'!$E$20)*MIN('难度参数'!$E$23,1+MAX(0,A337-'难度参数'!$E$21)*'难度参数'!$E$22))*(36+4*7)/(36+7*(D337+1)/2)*E337,0))</x:f>
        <x:v>8803</x:v>
      </x:c>
      <x:c r="AL337" s="119" t="n">
        <x:f>IF(AJ337=0,0,(AJ337-IF(4=D337,1,0))*ROUND(AK337*VLOOKUP(INDEX('章节与怪物'!$E$31:$K$37,B337,4),'章节与怪物'!$A$41:$F$44,2,FALSE),0)+IF(4=D337,ROUND(AK337*'难度参数'!$E$28*'章节与怪物'!$E$17,0),0))</x:f>
        <x:v>427824</x:v>
      </x:c>
      <x:c r="AM337" s="119" t="n">
        <x:f>IF(AJ337=0,0,(AJ337-IF(4=D337,1,0))*VLOOKUP(INDEX('章节与怪物'!$E$31:$K$37,B337,4),'章节与怪物'!$A$41:$F$44,4,FALSE)+IF(4=D337,'难度参数'!$E$30,0))</x:f>
        <x:v>1224</x:v>
      </x:c>
      <x:c r="AN337" s="119" t="n">
        <x:f>IF(5&gt;D337,0,MAX(2,MIN('难度参数'!$E$12,ROUND(('难度参数'!$E$18*POWER(A337,'难度参数'!$E$19)/D337*(0.85+0.3*(5-1)/MAX(1,D337-1))),0)+F337)))</x:f>
        <x:v>38</x:v>
      </x:c>
      <x:c r="AO337" s="119" t="n">
        <x:f>IF(5&gt;D337,0,ROUND(('难度参数'!$E$13*POWER(A337,'难度参数'!$E$20)*MIN('难度参数'!$E$23,1+MAX(0,A337-'难度参数'!$E$21)*'难度参数'!$E$22))*(36+5*7)/(36+7*(D337+1)/2)*E337,0))</x:f>
        <x:v>9765</x:v>
      </x:c>
      <x:c r="AP337" s="119" t="n">
        <x:f>IF(AN337=0,0,(AN337-IF(5=D337,1,0))*ROUND(AO337*VLOOKUP(INDEX('章节与怪物'!$E$31:$K$37,B337,5),'章节与怪物'!$A$41:$F$44,2,FALSE),0)+IF(5=D337,ROUND(AO337*'难度参数'!$E$28*'章节与怪物'!$E$17,0),0))</x:f>
        <x:v>371070</x:v>
      </x:c>
      <x:c r="AQ337" s="119" t="n">
        <x:f>IF(AN337=0,0,(AN337-IF(5=D337,1,0))*VLOOKUP(INDEX('章节与怪物'!$E$31:$K$37,B337,5),'章节与怪物'!$A$41:$F$44,4,FALSE)+IF(5=D337,'难度参数'!$E$30,0))</x:f>
        <x:v>684</x:v>
      </x:c>
      <x:c r="AR337" s="119" t="n">
        <x:f>IF(6&gt;D337,0,MAX(2,MIN('难度参数'!$E$12,ROUND(('难度参数'!$E$18*POWER(A337,'难度参数'!$E$19)/D337*(0.85+0.3*(6-1)/MAX(1,D337-1))),0)+F337)))</x:f>
        <x:v>40</x:v>
      </x:c>
      <x:c r="AS337" s="119" t="n">
        <x:f>IF(6&gt;D337,0,ROUND(('难度参数'!$E$13*POWER(A337,'难度参数'!$E$20)*MIN('难度参数'!$E$23,1+MAX(0,A337-'难度参数'!$E$21)*'难度参数'!$E$22))*(36+6*7)/(36+7*(D337+1)/2)*E337,0))</x:f>
        <x:v>10728</x:v>
      </x:c>
      <x:c r="AT337" s="119" t="n">
        <x:f>IF(AR337=0,0,(AR337-IF(6=D337,1,0))*ROUND(AS337*VLOOKUP(INDEX('章节与怪物'!$E$31:$K$37,B337,6),'章节与怪物'!$A$41:$F$44,2,FALSE),0)+IF(6=D337,ROUND(AS337*'难度参数'!$E$28*'章节与怪物'!$E$17,0),0))</x:f>
        <x:v>308960</x:v>
      </x:c>
      <x:c r="AU337" s="119" t="n">
        <x:f>IF(AR337=0,0,(AR337-IF(6=D337,1,0))*VLOOKUP(INDEX('章节与怪物'!$E$31:$K$37,B337,6),'章节与怪物'!$A$41:$F$44,4,FALSE)+IF(6=D337,'难度参数'!$E$30,0))</x:f>
        <x:v>800</x:v>
      </x:c>
      <x:c r="AV337" s="119" t="n">
        <x:f>IF(7&gt;D337,0,MAX(2,MIN('难度参数'!$E$12,ROUND(('难度参数'!$E$18*POWER(A337,'难度参数'!$E$19)/D337*(0.85+0.3*(7-1)/MAX(1,D337-1))),0)+F337)))</x:f>
        <x:v>41</x:v>
      </x:c>
      <x:c r="AW337" s="119" t="n">
        <x:f>IF(7&gt;D337,0,ROUND(('难度参数'!$E$13*POWER(A337,'难度参数'!$E$20)*MIN('难度参数'!$E$23,1+MAX(0,A337-'难度参数'!$E$21)*'难度参数'!$E$22))*(36+7*7)/(36+7*(D337+1)/2)*E337,0))</x:f>
        <x:v>11691</x:v>
      </x:c>
      <x:c r="AX337" s="119" t="n">
        <x:f>IF(AV337=0,0,(AV337-IF(7=D337,1,0))*ROUND(AW337*VLOOKUP(INDEX('章节与怪物'!$E$31:$K$37,B337,7),'章节与怪物'!$A$41:$F$44,2,FALSE),0)+IF(7=D337,ROUND(AW337*'难度参数'!$E$28*'章节与怪物'!$E$17,0),0))</x:f>
        <x:v>710819</x:v>
      </x:c>
      <x:c r="AY337" s="119" t="n">
        <x:f>IF(AV337=0,0,(AV337-IF(7=D337,1,0))*VLOOKUP(INDEX('章节与怪物'!$E$31:$K$37,B337,7),'章节与怪物'!$A$41:$F$44,4,FALSE)+IF(7=D337,'难度参数'!$E$30,0))</x:f>
        <x:v>1560</x:v>
      </x:c>
    </x:row>
    <x:row r="338" ht="23" customHeight="1">
      <x:c r="A338" s="119" t="n">
        <x:v>332</x:v>
      </x:c>
      <x:c r="B338" s="119" t="n">
        <x:f>MOD(INT((A338-1)/5),7)+1</x:f>
        <x:v>4</x:v>
      </x:c>
      <x:c r="C338" s="62" t="str">
        <x:f>INDEX('章节与怪物'!$B$31:$B$37,B338)</x:f>
        <x:v>翠野边城</x:v>
      </x:c>
      <x:c r="D338" s="119" t="n">
        <x:f>MIN('难度参数'!$E$8,MAX('难度参数'!$E$7,A338))</x:f>
        <x:v>7</x:v>
      </x:c>
      <x:c r="E338" s="106" t="n">
        <x:v>1</x:v>
      </x:c>
      <x:c r="F338" s="106" t="n">
        <x:v>0</x:v>
      </x:c>
      <x:c r="G338" s="106" t="n">
        <x:v>1</x:v>
      </x:c>
      <x:c r="H338" s="119" t="n">
        <x:f>SUM(X338,AB338,AF338,AJ338,AN338,AR338,AV338)</x:f>
        <x:v>252</x:v>
      </x:c>
      <x:c r="I338" s="119" t="n">
        <x:f>SUM(Z338,AD338,AH338,AL338,AP338,AT338,AX338)</x:f>
        <x:v>2629614</x:v>
      </x:c>
      <x:c r="J338" s="119" t="n">
        <x:f>ROUND(INDEX(X338:AY338,1,(D338-1)*4+2)*'难度参数'!$E$28*'章节与怪物'!$E$17,0)</x:f>
        <x:v>79669</x:v>
      </x:c>
      <x:c r="K338" s="119" t="n">
        <x:f>SUM(AA338,AE338,AI338,AM338,AQ338,AU338,AY338)</x:f>
        <x:v>6416</x:v>
      </x:c>
      <x:c r="L338" s="62" t="n">
        <x:f>H338*(ROUNDUP('难度参数'!$E$24/('难度参数'!$E$26*'难度参数'!$E$27),0)*'难度参数'!$E$26)/60</x:f>
        <x:v>3.3600000000000003</x:v>
      </x:c>
      <x:c r="M338" s="62" t="n">
        <x:f>L338+D338*('难度参数'!$E$49+'难度参数'!$E$50)/60</x:f>
        <x:v>4.526666666666667</x:v>
      </x:c>
      <x:c r="N338" s="119" t="n">
        <x:f>ROUNDDOWN(('经济参数'!$E$20+A338*'经济参数'!$E$21)*G338,0)</x:f>
        <x:v>6820</x:v>
      </x:c>
      <x:c r="O338" s="119" t="n">
        <x:f>ROUNDDOWN(MIN('经济参数'!$E$24,'经济参数'!$E$22+A338*'经济参数'!$E$23)*G338,0)</x:f>
        <x:v>0</x:v>
      </x:c>
      <x:c r="P338" s="119" t="n">
        <x:f>ROUNDDOWN((IF(A338&gt;='材料与任务'!$E$31,'材料与任务'!$E$32,IF(A338&gt;='材料与任务'!$E$25,'材料与任务'!$E$26,IF(A338&gt;='材料与任务'!$E$19,'材料与任务'!$E$20,IF(A338&gt;='材料与任务'!$E$13,'材料与任务'!$E$14,'材料与任务'!$E$8)))))*G338,0)</x:f>
        <x:v>6</x:v>
      </x:c>
      <x:c r="Q338" s="119" t="n">
        <x:f>ROUNDDOWN((IF(A338&gt;='材料与任务'!$E$31,'材料与任务'!$E$33,IF(A338&gt;='材料与任务'!$E$25,'材料与任务'!$E$27,IF(A338&gt;='材料与任务'!$E$19,'材料与任务'!$E$21,IF(A338&gt;='材料与任务'!$E$13,'材料与任务'!$E$15,'材料与任务'!$E$9)))))*G338,0)</x:f>
        <x:v>3</x:v>
      </x:c>
      <x:c r="R338" s="110" t="n">
        <x:f>'装备掉落'!$B$38</x:f>
        <x:v>0.6872058758851213</x:v>
      </x:c>
      <x:c r="S338" s="119" t="n">
        <x:f>MAX(IF(VLOOKUP(A338,'装备掉落'!$A$29:$H$34,2,TRUE)&gt;0,1,0),IF(VLOOKUP(A338,'装备掉落'!$A$29:$H$34,3,TRUE)&gt;0,2,0),IF(VLOOKUP(A338,'装备掉落'!$A$29:$H$34,4,TRUE)&gt;0,3,0),IF(VLOOKUP(A338,'装备掉落'!$A$29:$H$34,5,TRUE)&gt;0,4,0),IF(VLOOKUP(A338,'装备掉落'!$A$29:$H$34,6,TRUE)&gt;0,5,0),IF(VLOOKUP(A338,'装备掉落'!$A$29:$H$34,7,TRUE)&gt;0,6,0),IF(VLOOKUP(A338,'装备掉落'!$A$29:$H$34,8,TRUE)&gt;0,7,0))</x:f>
        <x:v>7</x:v>
      </x:c>
      <x:c r="T338" s="119" t="n">
        <x:f>MIN(7,S338+'经济参数'!$E$70)</x:f>
        <x:v>7</x:v>
      </x:c>
      <x:c r="U338" s="119" t="n">
        <x:f>MIN(7,S338+'经济参数'!$E$71)</x:f>
        <x:v>7</x:v>
      </x:c>
      <x:c r="V338" s="119" t="n">
        <x:f>IF(H338&gt;=('难度参数'!$E$52),1,0)+IF(H338&gt;=('难度参数'!$E$52+'难度参数'!$E$53),1,0)+IF(H338&gt;=('难度参数'!$E$52+'难度参数'!$E$53+'难度参数'!$E$54),1,0)+IF(H338&gt;=('难度参数'!$E$52+'难度参数'!$E$53+'难度参数'!$E$54+'难度参数'!$E$55),1,0)+IF(H338&gt;=('难度参数'!$E$52+'难度参数'!$E$53+'难度参数'!$E$54+'难度参数'!$E$55+'难度参数'!$E$56),1,0)+IF(H338&gt;=('难度参数'!$E$52+'难度参数'!$E$53+'难度参数'!$E$54+'难度参数'!$E$55+'难度参数'!$E$56+'难度参数'!$E$57),1,0)</x:f>
        <x:v>6</x:v>
      </x:c>
      <x:c r="W338" s="62" t="str">
        <x:f>IF(L338&gt;'难度参数'!$E$51,"仅出怪已超目标","还需实测")</x:f>
        <x:v>仅出怪已超目标</x:v>
      </x:c>
      <x:c r="X338" s="119" t="n">
        <x:f>IF(1&gt;D338,0,MAX(2,MIN('难度参数'!$E$12,ROUND(('难度参数'!$E$18*POWER(A338,'难度参数'!$E$19)/D338*(0.85+0.3*(1-1)/MAX(1,D338-1))),0)+F338)))</x:f>
        <x:v>31</x:v>
      </x:c>
      <x:c r="Y338" s="119" t="n">
        <x:f>IF(1&gt;D338,0,ROUND(('难度参数'!$E$13*POWER(A338,'难度参数'!$E$20)*MIN('难度参数'!$E$23,1+MAX(0,A338-'难度参数'!$E$21)*'难度参数'!$E$22))*(36+1*7)/(36+7*(D338+1)/2)*E338,0))</x:f>
        <x:v>5927</x:v>
      </x:c>
      <x:c r="Z338" s="119" t="n">
        <x:f>IF(X338=0,0,(X338-IF(1=D338,1,0))*ROUND(Y338*VLOOKUP(INDEX('章节与怪物'!$E$31:$K$37,B338,1),'章节与怪物'!$A$41:$F$44,2,FALSE),0)+IF(1=D338,ROUND(Y338*'难度参数'!$E$28*'章节与怪物'!$E$17,0),0))</x:f>
        <x:v>132277</x:v>
      </x:c>
      <x:c r="AA338" s="119" t="n">
        <x:f>IF(X338=0,0,(X338-IF(1=D338,1,0))*VLOOKUP(INDEX('章节与怪物'!$E$31:$K$37,B338,1),'章节与怪物'!$A$41:$F$44,4,FALSE)+IF(1=D338,'难度参数'!$E$30,0))</x:f>
        <x:v>620</x:v>
      </x:c>
      <x:c r="AB338" s="119" t="n">
        <x:f>IF(2&gt;D338,0,MAX(2,MIN('难度参数'!$E$12,ROUND(('难度参数'!$E$18*POWER(A338,'难度参数'!$E$19)/D338*(0.85+0.3*(2-1)/MAX(1,D338-1))),0)+F338)))</x:f>
        <x:v>32</x:v>
      </x:c>
      <x:c r="AC338" s="119" t="n">
        <x:f>IF(2&gt;D338,0,ROUND(('难度参数'!$E$13*POWER(A338,'难度参数'!$E$20)*MIN('难度参数'!$E$23,1+MAX(0,A338-'难度参数'!$E$21)*'难度参数'!$E$22))*(36+2*7)/(36+7*(D338+1)/2)*E338,0))</x:f>
        <x:v>6892</x:v>
      </x:c>
      <x:c r="AD338" s="119" t="n">
        <x:f>IF(AB338=0,0,(AB338-IF(2=D338,1,0))*ROUND(AC338*VLOOKUP(INDEX('章节与怪物'!$E$31:$K$37,B338,2),'章节与怪物'!$A$41:$F$44,2,FALSE),0)+IF(2=D338,ROUND(AC338*'难度参数'!$E$28*'章节与怪物'!$E$17,0),0))</x:f>
        <x:v>220544</x:v>
      </x:c>
      <x:c r="AE338" s="119" t="n">
        <x:f>IF(AB338=0,0,(AB338-IF(2=D338,1,0))*VLOOKUP(INDEX('章节与怪物'!$E$31:$K$37,B338,2),'章节与怪物'!$A$41:$F$44,4,FALSE)+IF(2=D338,'难度参数'!$E$30,0))</x:f>
        <x:v>576</x:v>
      </x:c>
      <x:c r="AF338" s="119" t="n">
        <x:f>IF(3&gt;D338,0,MAX(2,MIN('难度参数'!$E$12,ROUND(('难度参数'!$E$18*POWER(A338,'难度参数'!$E$19)/D338*(0.85+0.3*(3-1)/MAX(1,D338-1))),0)+F338)))</x:f>
        <x:v>34</x:v>
      </x:c>
      <x:c r="AG338" s="119" t="n">
        <x:f>IF(3&gt;D338,0,ROUND(('难度参数'!$E$13*POWER(A338,'难度参数'!$E$20)*MIN('难度参数'!$E$23,1+MAX(0,A338-'难度参数'!$E$21)*'难度参数'!$E$22))*(36+3*7)/(36+7*(D338+1)/2)*E338,0))</x:f>
        <x:v>7857</x:v>
      </x:c>
      <x:c r="AH338" s="119" t="n">
        <x:f>IF(AF338=0,0,(AF338-IF(3=D338,1,0))*ROUND(AG338*VLOOKUP(INDEX('章节与怪物'!$E$31:$K$37,B338,3),'章节与怪物'!$A$41:$F$44,2,FALSE),0)+IF(3=D338,ROUND(AG338*'难度参数'!$E$28*'章节与怪物'!$E$17,0),0))</x:f>
        <x:v>454138</x:v>
      </x:c>
      <x:c r="AI338" s="119" t="n">
        <x:f>IF(AF338=0,0,(AF338-IF(3=D338,1,0))*VLOOKUP(INDEX('章节与怪物'!$E$31:$K$37,B338,3),'章节与怪物'!$A$41:$F$44,4,FALSE)+IF(3=D338,'难度参数'!$E$30,0))</x:f>
        <x:v>952</x:v>
      </x:c>
      <x:c r="AJ338" s="119" t="n">
        <x:f>IF(4&gt;D338,0,MAX(2,MIN('难度参数'!$E$12,ROUND(('难度参数'!$E$18*POWER(A338,'难度参数'!$E$19)/D338*(0.85+0.3*(4-1)/MAX(1,D338-1))),0)+F338)))</x:f>
        <x:v>36</x:v>
      </x:c>
      <x:c r="AK338" s="119" t="n">
        <x:f>IF(4&gt;D338,0,ROUND(('难度参数'!$E$13*POWER(A338,'难度参数'!$E$20)*MIN('难度参数'!$E$23,1+MAX(0,A338-'难度参数'!$E$21)*'难度参数'!$E$22))*(36+4*7)/(36+7*(D338+1)/2)*E338,0))</x:f>
        <x:v>8822</x:v>
      </x:c>
      <x:c r="AL338" s="119" t="n">
        <x:f>IF(AJ338=0,0,(AJ338-IF(4=D338,1,0))*ROUND(AK338*VLOOKUP(INDEX('章节与怪物'!$E$31:$K$37,B338,4),'章节与怪物'!$A$41:$F$44,2,FALSE),0)+IF(4=D338,ROUND(AK338*'难度参数'!$E$28*'章节与怪物'!$E$17,0),0))</x:f>
        <x:v>428760</x:v>
      </x:c>
      <x:c r="AM338" s="119" t="n">
        <x:f>IF(AJ338=0,0,(AJ338-IF(4=D338,1,0))*VLOOKUP(INDEX('章节与怪物'!$E$31:$K$37,B338,4),'章节与怪物'!$A$41:$F$44,4,FALSE)+IF(4=D338,'难度参数'!$E$30,0))</x:f>
        <x:v>1224</x:v>
      </x:c>
      <x:c r="AN338" s="119" t="n">
        <x:f>IF(5&gt;D338,0,MAX(2,MIN('难度参数'!$E$12,ROUND(('难度参数'!$E$18*POWER(A338,'难度参数'!$E$19)/D338*(0.85+0.3*(5-1)/MAX(1,D338-1))),0)+F338)))</x:f>
        <x:v>38</x:v>
      </x:c>
      <x:c r="AO338" s="119" t="n">
        <x:f>IF(5&gt;D338,0,ROUND(('难度参数'!$E$13*POWER(A338,'难度参数'!$E$20)*MIN('难度参数'!$E$23,1+MAX(0,A338-'难度参数'!$E$21)*'难度参数'!$E$22))*(36+5*7)/(36+7*(D338+1)/2)*E338,0))</x:f>
        <x:v>9787</x:v>
      </x:c>
      <x:c r="AP338" s="119" t="n">
        <x:f>IF(AN338=0,0,(AN338-IF(5=D338,1,0))*ROUND(AO338*VLOOKUP(INDEX('章节与怪物'!$E$31:$K$37,B338,5),'章节与怪物'!$A$41:$F$44,2,FALSE),0)+IF(5=D338,ROUND(AO338*'难度参数'!$E$28*'章节与怪物'!$E$17,0),0))</x:f>
        <x:v>371906</x:v>
      </x:c>
      <x:c r="AQ338" s="119" t="n">
        <x:f>IF(AN338=0,0,(AN338-IF(5=D338,1,0))*VLOOKUP(INDEX('章节与怪物'!$E$31:$K$37,B338,5),'章节与怪物'!$A$41:$F$44,4,FALSE)+IF(5=D338,'难度参数'!$E$30,0))</x:f>
        <x:v>684</x:v>
      </x:c>
      <x:c r="AR338" s="119" t="n">
        <x:f>IF(6&gt;D338,0,MAX(2,MIN('难度参数'!$E$12,ROUND(('难度参数'!$E$18*POWER(A338,'难度参数'!$E$19)/D338*(0.85+0.3*(6-1)/MAX(1,D338-1))),0)+F338)))</x:f>
        <x:v>40</x:v>
      </x:c>
      <x:c r="AS338" s="119" t="n">
        <x:f>IF(6&gt;D338,0,ROUND(('难度参数'!$E$13*POWER(A338,'难度参数'!$E$20)*MIN('难度参数'!$E$23,1+MAX(0,A338-'难度参数'!$E$21)*'难度参数'!$E$22))*(36+6*7)/(36+7*(D338+1)/2)*E338,0))</x:f>
        <x:v>10751</x:v>
      </x:c>
      <x:c r="AT338" s="119" t="n">
        <x:f>IF(AR338=0,0,(AR338-IF(6=D338,1,0))*ROUND(AS338*VLOOKUP(INDEX('章节与怪物'!$E$31:$K$37,B338,6),'章节与怪物'!$A$41:$F$44,2,FALSE),0)+IF(6=D338,ROUND(AS338*'难度参数'!$E$28*'章节与怪物'!$E$17,0),0))</x:f>
        <x:v>309640</x:v>
      </x:c>
      <x:c r="AU338" s="119" t="n">
        <x:f>IF(AR338=0,0,(AR338-IF(6=D338,1,0))*VLOOKUP(INDEX('章节与怪物'!$E$31:$K$37,B338,6),'章节与怪物'!$A$41:$F$44,4,FALSE)+IF(6=D338,'难度参数'!$E$30,0))</x:f>
        <x:v>800</x:v>
      </x:c>
      <x:c r="AV338" s="119" t="n">
        <x:f>IF(7&gt;D338,0,MAX(2,MIN('难度参数'!$E$12,ROUND(('难度参数'!$E$18*POWER(A338,'难度参数'!$E$19)/D338*(0.85+0.3*(7-1)/MAX(1,D338-1))),0)+F338)))</x:f>
        <x:v>41</x:v>
      </x:c>
      <x:c r="AW338" s="119" t="n">
        <x:f>IF(7&gt;D338,0,ROUND(('难度参数'!$E$13*POWER(A338,'难度参数'!$E$20)*MIN('难度参数'!$E$23,1+MAX(0,A338-'难度参数'!$E$21)*'难度参数'!$E$22))*(36+7*7)/(36+7*(D338+1)/2)*E338,0))</x:f>
        <x:v>11716</x:v>
      </x:c>
      <x:c r="AX338" s="119" t="n">
        <x:f>IF(AV338=0,0,(AV338-IF(7=D338,1,0))*ROUND(AW338*VLOOKUP(INDEX('章节与怪物'!$E$31:$K$37,B338,7),'章节与怪物'!$A$41:$F$44,2,FALSE),0)+IF(7=D338,ROUND(AW338*'难度参数'!$E$28*'章节与怪物'!$E$17,0),0))</x:f>
        <x:v>712349</x:v>
      </x:c>
      <x:c r="AY338" s="119" t="n">
        <x:f>IF(AV338=0,0,(AV338-IF(7=D338,1,0))*VLOOKUP(INDEX('章节与怪物'!$E$31:$K$37,B338,7),'章节与怪物'!$A$41:$F$44,4,FALSE)+IF(7=D338,'难度参数'!$E$30,0))</x:f>
        <x:v>1560</x:v>
      </x:c>
    </x:row>
    <x:row r="339" ht="23" customHeight="1">
      <x:c r="A339" s="119" t="n">
        <x:v>333</x:v>
      </x:c>
      <x:c r="B339" s="119" t="n">
        <x:f>MOD(INT((A339-1)/5),7)+1</x:f>
        <x:v>4</x:v>
      </x:c>
      <x:c r="C339" s="62" t="str">
        <x:f>INDEX('章节与怪物'!$B$31:$B$37,B339)</x:f>
        <x:v>翠野边城</x:v>
      </x:c>
      <x:c r="D339" s="119" t="n">
        <x:f>MIN('难度参数'!$E$8,MAX('难度参数'!$E$7,A339))</x:f>
        <x:v>7</x:v>
      </x:c>
      <x:c r="E339" s="106" t="n">
        <x:v>1</x:v>
      </x:c>
      <x:c r="F339" s="106" t="n">
        <x:v>0</x:v>
      </x:c>
      <x:c r="G339" s="106" t="n">
        <x:v>1</x:v>
      </x:c>
      <x:c r="H339" s="119" t="n">
        <x:f>SUM(X339,AB339,AF339,AJ339,AN339,AR339,AV339)</x:f>
        <x:v>252</x:v>
      </x:c>
      <x:c r="I339" s="119" t="n">
        <x:f>SUM(Z339,AD339,AH339,AL339,AP339,AT339,AX339)</x:f>
        <x:v>2635345</x:v>
      </x:c>
      <x:c r="J339" s="119" t="n">
        <x:f>ROUND(INDEX(X339:AY339,1,(D339-1)*4+2)*'难度参数'!$E$28*'章节与怪物'!$E$17,0)</x:f>
        <x:v>79846</x:v>
      </x:c>
      <x:c r="K339" s="119" t="n">
        <x:f>SUM(AA339,AE339,AI339,AM339,AQ339,AU339,AY339)</x:f>
        <x:v>6416</x:v>
      </x:c>
      <x:c r="L339" s="62" t="n">
        <x:f>H339*(ROUNDUP('难度参数'!$E$24/('难度参数'!$E$26*'难度参数'!$E$27),0)*'难度参数'!$E$26)/60</x:f>
        <x:v>3.3600000000000003</x:v>
      </x:c>
      <x:c r="M339" s="62" t="n">
        <x:f>L339+D339*('难度参数'!$E$49+'难度参数'!$E$50)/60</x:f>
        <x:v>4.526666666666667</x:v>
      </x:c>
      <x:c r="N339" s="119" t="n">
        <x:f>ROUNDDOWN(('经济参数'!$E$20+A339*'经济参数'!$E$21)*G339,0)</x:f>
        <x:v>6840</x:v>
      </x:c>
      <x:c r="O339" s="119" t="n">
        <x:f>ROUNDDOWN(MIN('经济参数'!$E$24,'经济参数'!$E$22+A339*'经济参数'!$E$23)*G339,0)</x:f>
        <x:v>0</x:v>
      </x:c>
      <x:c r="P339" s="119" t="n">
        <x:f>ROUNDDOWN((IF(A339&gt;='材料与任务'!$E$31,'材料与任务'!$E$32,IF(A339&gt;='材料与任务'!$E$25,'材料与任务'!$E$26,IF(A339&gt;='材料与任务'!$E$19,'材料与任务'!$E$20,IF(A339&gt;='材料与任务'!$E$13,'材料与任务'!$E$14,'材料与任务'!$E$8)))))*G339,0)</x:f>
        <x:v>6</x:v>
      </x:c>
      <x:c r="Q339" s="119" t="n">
        <x:f>ROUNDDOWN((IF(A339&gt;='材料与任务'!$E$31,'材料与任务'!$E$33,IF(A339&gt;='材料与任务'!$E$25,'材料与任务'!$E$27,IF(A339&gt;='材料与任务'!$E$19,'材料与任务'!$E$21,IF(A339&gt;='材料与任务'!$E$13,'材料与任务'!$E$15,'材料与任务'!$E$9)))))*G339,0)</x:f>
        <x:v>3</x:v>
      </x:c>
      <x:c r="R339" s="110" t="n">
        <x:f>'装备掉落'!$B$38</x:f>
        <x:v>0.6872058758851213</x:v>
      </x:c>
      <x:c r="S339" s="119" t="n">
        <x:f>MAX(IF(VLOOKUP(A339,'装备掉落'!$A$29:$H$34,2,TRUE)&gt;0,1,0),IF(VLOOKUP(A339,'装备掉落'!$A$29:$H$34,3,TRUE)&gt;0,2,0),IF(VLOOKUP(A339,'装备掉落'!$A$29:$H$34,4,TRUE)&gt;0,3,0),IF(VLOOKUP(A339,'装备掉落'!$A$29:$H$34,5,TRUE)&gt;0,4,0),IF(VLOOKUP(A339,'装备掉落'!$A$29:$H$34,6,TRUE)&gt;0,5,0),IF(VLOOKUP(A339,'装备掉落'!$A$29:$H$34,7,TRUE)&gt;0,6,0),IF(VLOOKUP(A339,'装备掉落'!$A$29:$H$34,8,TRUE)&gt;0,7,0))</x:f>
        <x:v>7</x:v>
      </x:c>
      <x:c r="T339" s="119" t="n">
        <x:f>MIN(7,S339+'经济参数'!$E$70)</x:f>
        <x:v>7</x:v>
      </x:c>
      <x:c r="U339" s="119" t="n">
        <x:f>MIN(7,S339+'经济参数'!$E$71)</x:f>
        <x:v>7</x:v>
      </x:c>
      <x:c r="V339" s="119" t="n">
        <x:f>IF(H339&gt;=('难度参数'!$E$52),1,0)+IF(H339&gt;=('难度参数'!$E$52+'难度参数'!$E$53),1,0)+IF(H339&gt;=('难度参数'!$E$52+'难度参数'!$E$53+'难度参数'!$E$54),1,0)+IF(H339&gt;=('难度参数'!$E$52+'难度参数'!$E$53+'难度参数'!$E$54+'难度参数'!$E$55),1,0)+IF(H339&gt;=('难度参数'!$E$52+'难度参数'!$E$53+'难度参数'!$E$54+'难度参数'!$E$55+'难度参数'!$E$56),1,0)+IF(H339&gt;=('难度参数'!$E$52+'难度参数'!$E$53+'难度参数'!$E$54+'难度参数'!$E$55+'难度参数'!$E$56+'难度参数'!$E$57),1,0)</x:f>
        <x:v>6</x:v>
      </x:c>
      <x:c r="W339" s="62" t="str">
        <x:f>IF(L339&gt;'难度参数'!$E$51,"仅出怪已超目标","还需实测")</x:f>
        <x:v>仅出怪已超目标</x:v>
      </x:c>
      <x:c r="X339" s="119" t="n">
        <x:f>IF(1&gt;D339,0,MAX(2,MIN('难度参数'!$E$12,ROUND(('难度参数'!$E$18*POWER(A339,'难度参数'!$E$19)/D339*(0.85+0.3*(1-1)/MAX(1,D339-1))),0)+F339)))</x:f>
        <x:v>31</x:v>
      </x:c>
      <x:c r="Y339" s="119" t="n">
        <x:f>IF(1&gt;D339,0,ROUND(('难度参数'!$E$13*POWER(A339,'难度参数'!$E$20)*MIN('难度参数'!$E$23,1+MAX(0,A339-'难度参数'!$E$21)*'难度参数'!$E$22))*(36+1*7)/(36+7*(D339+1)/2)*E339,0))</x:f>
        <x:v>5940</x:v>
      </x:c>
      <x:c r="Z339" s="119" t="n">
        <x:f>IF(X339=0,0,(X339-IF(1=D339,1,0))*ROUND(Y339*VLOOKUP(INDEX('章节与怪物'!$E$31:$K$37,B339,1),'章节与怪物'!$A$41:$F$44,2,FALSE),0)+IF(1=D339,ROUND(Y339*'难度参数'!$E$28*'章节与怪物'!$E$17,0),0))</x:f>
        <x:v>132587</x:v>
      </x:c>
      <x:c r="AA339" s="119" t="n">
        <x:f>IF(X339=0,0,(X339-IF(1=D339,1,0))*VLOOKUP(INDEX('章节与怪物'!$E$31:$K$37,B339,1),'章节与怪物'!$A$41:$F$44,4,FALSE)+IF(1=D339,'难度参数'!$E$30,0))</x:f>
        <x:v>620</x:v>
      </x:c>
      <x:c r="AB339" s="119" t="n">
        <x:f>IF(2&gt;D339,0,MAX(2,MIN('难度参数'!$E$12,ROUND(('难度参数'!$E$18*POWER(A339,'难度参数'!$E$19)/D339*(0.85+0.3*(2-1)/MAX(1,D339-1))),0)+F339)))</x:f>
        <x:v>32</x:v>
      </x:c>
      <x:c r="AC339" s="119" t="n">
        <x:f>IF(2&gt;D339,0,ROUND(('难度参数'!$E$13*POWER(A339,'难度参数'!$E$20)*MIN('难度参数'!$E$23,1+MAX(0,A339-'难度参数'!$E$21)*'难度参数'!$E$22))*(36+2*7)/(36+7*(D339+1)/2)*E339,0))</x:f>
        <x:v>6907</x:v>
      </x:c>
      <x:c r="AD339" s="119" t="n">
        <x:f>IF(AB339=0,0,(AB339-IF(2=D339,1,0))*ROUND(AC339*VLOOKUP(INDEX('章节与怪物'!$E$31:$K$37,B339,2),'章节与怪物'!$A$41:$F$44,2,FALSE),0)+IF(2=D339,ROUND(AC339*'难度参数'!$E$28*'章节与怪物'!$E$17,0),0))</x:f>
        <x:v>221024</x:v>
      </x:c>
      <x:c r="AE339" s="119" t="n">
        <x:f>IF(AB339=0,0,(AB339-IF(2=D339,1,0))*VLOOKUP(INDEX('章节与怪物'!$E$31:$K$37,B339,2),'章节与怪物'!$A$41:$F$44,4,FALSE)+IF(2=D339,'难度参数'!$E$30,0))</x:f>
        <x:v>576</x:v>
      </x:c>
      <x:c r="AF339" s="119" t="n">
        <x:f>IF(3&gt;D339,0,MAX(2,MIN('难度参数'!$E$12,ROUND(('难度参数'!$E$18*POWER(A339,'难度参数'!$E$19)/D339*(0.85+0.3*(3-1)/MAX(1,D339-1))),0)+F339)))</x:f>
        <x:v>34</x:v>
      </x:c>
      <x:c r="AG339" s="119" t="n">
        <x:f>IF(3&gt;D339,0,ROUND(('难度参数'!$E$13*POWER(A339,'难度参数'!$E$20)*MIN('难度参数'!$E$23,1+MAX(0,A339-'难度参数'!$E$21)*'难度参数'!$E$22))*(36+3*7)/(36+7*(D339+1)/2)*E339,0))</x:f>
        <x:v>7874</x:v>
      </x:c>
      <x:c r="AH339" s="119" t="n">
        <x:f>IF(AF339=0,0,(AF339-IF(3=D339,1,0))*ROUND(AG339*VLOOKUP(INDEX('章节与怪物'!$E$31:$K$37,B339,3),'章节与怪物'!$A$41:$F$44,2,FALSE),0)+IF(3=D339,ROUND(AG339*'难度参数'!$E$28*'章节与怪物'!$E$17,0),0))</x:f>
        <x:v>455124</x:v>
      </x:c>
      <x:c r="AI339" s="119" t="n">
        <x:f>IF(AF339=0,0,(AF339-IF(3=D339,1,0))*VLOOKUP(INDEX('章节与怪物'!$E$31:$K$37,B339,3),'章节与怪物'!$A$41:$F$44,4,FALSE)+IF(3=D339,'难度参数'!$E$30,0))</x:f>
        <x:v>952</x:v>
      </x:c>
      <x:c r="AJ339" s="119" t="n">
        <x:f>IF(4&gt;D339,0,MAX(2,MIN('难度参数'!$E$12,ROUND(('难度参数'!$E$18*POWER(A339,'难度参数'!$E$19)/D339*(0.85+0.3*(4-1)/MAX(1,D339-1))),0)+F339)))</x:f>
        <x:v>36</x:v>
      </x:c>
      <x:c r="AK339" s="119" t="n">
        <x:f>IF(4&gt;D339,0,ROUND(('难度参数'!$E$13*POWER(A339,'难度参数'!$E$20)*MIN('难度参数'!$E$23,1+MAX(0,A339-'难度参数'!$E$21)*'难度参数'!$E$22))*(36+4*7)/(36+7*(D339+1)/2)*E339,0))</x:f>
        <x:v>8841</x:v>
      </x:c>
      <x:c r="AL339" s="119" t="n">
        <x:f>IF(AJ339=0,0,(AJ339-IF(4=D339,1,0))*ROUND(AK339*VLOOKUP(INDEX('章节与怪物'!$E$31:$K$37,B339,4),'章节与怪物'!$A$41:$F$44,2,FALSE),0)+IF(4=D339,ROUND(AK339*'难度参数'!$E$28*'章节与怪物'!$E$17,0),0))</x:f>
        <x:v>429660</x:v>
      </x:c>
      <x:c r="AM339" s="119" t="n">
        <x:f>IF(AJ339=0,0,(AJ339-IF(4=D339,1,0))*VLOOKUP(INDEX('章节与怪物'!$E$31:$K$37,B339,4),'章节与怪物'!$A$41:$F$44,4,FALSE)+IF(4=D339,'难度参数'!$E$30,0))</x:f>
        <x:v>1224</x:v>
      </x:c>
      <x:c r="AN339" s="119" t="n">
        <x:f>IF(5&gt;D339,0,MAX(2,MIN('难度参数'!$E$12,ROUND(('难度参数'!$E$18*POWER(A339,'难度参数'!$E$19)/D339*(0.85+0.3*(5-1)/MAX(1,D339-1))),0)+F339)))</x:f>
        <x:v>38</x:v>
      </x:c>
      <x:c r="AO339" s="119" t="n">
        <x:f>IF(5&gt;D339,0,ROUND(('难度参数'!$E$13*POWER(A339,'难度参数'!$E$20)*MIN('难度参数'!$E$23,1+MAX(0,A339-'难度参数'!$E$21)*'难度参数'!$E$22))*(36+5*7)/(36+7*(D339+1)/2)*E339,0))</x:f>
        <x:v>9808</x:v>
      </x:c>
      <x:c r="AP339" s="119" t="n">
        <x:f>IF(AN339=0,0,(AN339-IF(5=D339,1,0))*ROUND(AO339*VLOOKUP(INDEX('章节与怪物'!$E$31:$K$37,B339,5),'章节与怪物'!$A$41:$F$44,2,FALSE),0)+IF(5=D339,ROUND(AO339*'难度参数'!$E$28*'章节与怪物'!$E$17,0),0))</x:f>
        <x:v>372704</x:v>
      </x:c>
      <x:c r="AQ339" s="119" t="n">
        <x:f>IF(AN339=0,0,(AN339-IF(5=D339,1,0))*VLOOKUP(INDEX('章节与怪物'!$E$31:$K$37,B339,5),'章节与怪物'!$A$41:$F$44,4,FALSE)+IF(5=D339,'难度参数'!$E$30,0))</x:f>
        <x:v>684</x:v>
      </x:c>
      <x:c r="AR339" s="119" t="n">
        <x:f>IF(6&gt;D339,0,MAX(2,MIN('难度参数'!$E$12,ROUND(('难度参数'!$E$18*POWER(A339,'难度参数'!$E$19)/D339*(0.85+0.3*(6-1)/MAX(1,D339-1))),0)+F339)))</x:f>
        <x:v>40</x:v>
      </x:c>
      <x:c r="AS339" s="119" t="n">
        <x:f>IF(6&gt;D339,0,ROUND(('难度参数'!$E$13*POWER(A339,'难度参数'!$E$20)*MIN('难度参数'!$E$23,1+MAX(0,A339-'难度参数'!$E$21)*'难度参数'!$E$22))*(36+6*7)/(36+7*(D339+1)/2)*E339,0))</x:f>
        <x:v>10775</x:v>
      </x:c>
      <x:c r="AT339" s="119" t="n">
        <x:f>IF(AR339=0,0,(AR339-IF(6=D339,1,0))*ROUND(AS339*VLOOKUP(INDEX('章节与怪物'!$E$31:$K$37,B339,6),'章节与怪物'!$A$41:$F$44,2,FALSE),0)+IF(6=D339,ROUND(AS339*'难度参数'!$E$28*'章节与怪物'!$E$17,0),0))</x:f>
        <x:v>310320</x:v>
      </x:c>
      <x:c r="AU339" s="119" t="n">
        <x:f>IF(AR339=0,0,(AR339-IF(6=D339,1,0))*VLOOKUP(INDEX('章节与怪物'!$E$31:$K$37,B339,6),'章节与怪物'!$A$41:$F$44,4,FALSE)+IF(6=D339,'难度参数'!$E$30,0))</x:f>
        <x:v>800</x:v>
      </x:c>
      <x:c r="AV339" s="119" t="n">
        <x:f>IF(7&gt;D339,0,MAX(2,MIN('难度参数'!$E$12,ROUND(('难度参数'!$E$18*POWER(A339,'难度参数'!$E$19)/D339*(0.85+0.3*(7-1)/MAX(1,D339-1))),0)+F339)))</x:f>
        <x:v>41</x:v>
      </x:c>
      <x:c r="AW339" s="119" t="n">
        <x:f>IF(7&gt;D339,0,ROUND(('难度参数'!$E$13*POWER(A339,'难度参数'!$E$20)*MIN('难度参数'!$E$23,1+MAX(0,A339-'难度参数'!$E$21)*'难度参数'!$E$22))*(36+7*7)/(36+7*(D339+1)/2)*E339,0))</x:f>
        <x:v>11742</x:v>
      </x:c>
      <x:c r="AX339" s="119" t="n">
        <x:f>IF(AV339=0,0,(AV339-IF(7=D339,1,0))*ROUND(AW339*VLOOKUP(INDEX('章节与怪物'!$E$31:$K$37,B339,7),'章节与怪物'!$A$41:$F$44,2,FALSE),0)+IF(7=D339,ROUND(AW339*'难度参数'!$E$28*'章节与怪物'!$E$17,0),0))</x:f>
        <x:v>713926</x:v>
      </x:c>
      <x:c r="AY339" s="119" t="n">
        <x:f>IF(AV339=0,0,(AV339-IF(7=D339,1,0))*VLOOKUP(INDEX('章节与怪物'!$E$31:$K$37,B339,7),'章节与怪物'!$A$41:$F$44,4,FALSE)+IF(7=D339,'难度参数'!$E$30,0))</x:f>
        <x:v>1560</x:v>
      </x:c>
    </x:row>
    <x:row r="340" ht="23" customHeight="1">
      <x:c r="A340" s="119" t="n">
        <x:v>334</x:v>
      </x:c>
      <x:c r="B340" s="119" t="n">
        <x:f>MOD(INT((A340-1)/5),7)+1</x:f>
        <x:v>4</x:v>
      </x:c>
      <x:c r="C340" s="62" t="str">
        <x:f>INDEX('章节与怪物'!$B$31:$B$37,B340)</x:f>
        <x:v>翠野边城</x:v>
      </x:c>
      <x:c r="D340" s="119" t="n">
        <x:f>MIN('难度参数'!$E$8,MAX('难度参数'!$E$7,A340))</x:f>
        <x:v>7</x:v>
      </x:c>
      <x:c r="E340" s="106" t="n">
        <x:v>1</x:v>
      </x:c>
      <x:c r="F340" s="106" t="n">
        <x:v>0</x:v>
      </x:c>
      <x:c r="G340" s="106" t="n">
        <x:v>1</x:v>
      </x:c>
      <x:c r="H340" s="119" t="n">
        <x:f>SUM(X340,AB340,AF340,AJ340,AN340,AR340,AV340)</x:f>
        <x:v>252</x:v>
      </x:c>
      <x:c r="I340" s="119" t="n">
        <x:f>SUM(Z340,AD340,AH340,AL340,AP340,AT340,AX340)</x:f>
        <x:v>2640994</x:v>
      </x:c>
      <x:c r="J340" s="119" t="n">
        <x:f>ROUND(INDEX(X340:AY340,1,(D340-1)*4+2)*'难度参数'!$E$28*'章节与怪物'!$E$17,0)</x:f>
        <x:v>80016</x:v>
      </x:c>
      <x:c r="K340" s="119" t="n">
        <x:f>SUM(AA340,AE340,AI340,AM340,AQ340,AU340,AY340)</x:f>
        <x:v>6416</x:v>
      </x:c>
      <x:c r="L340" s="62" t="n">
        <x:f>H340*(ROUNDUP('难度参数'!$E$24/('难度参数'!$E$26*'难度参数'!$E$27),0)*'难度参数'!$E$26)/60</x:f>
        <x:v>3.3600000000000003</x:v>
      </x:c>
      <x:c r="M340" s="62" t="n">
        <x:f>L340+D340*('难度参数'!$E$49+'难度参数'!$E$50)/60</x:f>
        <x:v>4.526666666666667</x:v>
      </x:c>
      <x:c r="N340" s="119" t="n">
        <x:f>ROUNDDOWN(('经济参数'!$E$20+A340*'经济参数'!$E$21)*G340,0)</x:f>
        <x:v>6860</x:v>
      </x:c>
      <x:c r="O340" s="119" t="n">
        <x:f>ROUNDDOWN(MIN('经济参数'!$E$24,'经济参数'!$E$22+A340*'经济参数'!$E$23)*G340,0)</x:f>
        <x:v>0</x:v>
      </x:c>
      <x:c r="P340" s="119" t="n">
        <x:f>ROUNDDOWN((IF(A340&gt;='材料与任务'!$E$31,'材料与任务'!$E$32,IF(A340&gt;='材料与任务'!$E$25,'材料与任务'!$E$26,IF(A340&gt;='材料与任务'!$E$19,'材料与任务'!$E$20,IF(A340&gt;='材料与任务'!$E$13,'材料与任务'!$E$14,'材料与任务'!$E$8)))))*G340,0)</x:f>
        <x:v>6</x:v>
      </x:c>
      <x:c r="Q340" s="119" t="n">
        <x:f>ROUNDDOWN((IF(A340&gt;='材料与任务'!$E$31,'材料与任务'!$E$33,IF(A340&gt;='材料与任务'!$E$25,'材料与任务'!$E$27,IF(A340&gt;='材料与任务'!$E$19,'材料与任务'!$E$21,IF(A340&gt;='材料与任务'!$E$13,'材料与任务'!$E$15,'材料与任务'!$E$9)))))*G340,0)</x:f>
        <x:v>3</x:v>
      </x:c>
      <x:c r="R340" s="110" t="n">
        <x:f>'装备掉落'!$B$38</x:f>
        <x:v>0.6872058758851213</x:v>
      </x:c>
      <x:c r="S340" s="119" t="n">
        <x:f>MAX(IF(VLOOKUP(A340,'装备掉落'!$A$29:$H$34,2,TRUE)&gt;0,1,0),IF(VLOOKUP(A340,'装备掉落'!$A$29:$H$34,3,TRUE)&gt;0,2,0),IF(VLOOKUP(A340,'装备掉落'!$A$29:$H$34,4,TRUE)&gt;0,3,0),IF(VLOOKUP(A340,'装备掉落'!$A$29:$H$34,5,TRUE)&gt;0,4,0),IF(VLOOKUP(A340,'装备掉落'!$A$29:$H$34,6,TRUE)&gt;0,5,0),IF(VLOOKUP(A340,'装备掉落'!$A$29:$H$34,7,TRUE)&gt;0,6,0),IF(VLOOKUP(A340,'装备掉落'!$A$29:$H$34,8,TRUE)&gt;0,7,0))</x:f>
        <x:v>7</x:v>
      </x:c>
      <x:c r="T340" s="119" t="n">
        <x:f>MIN(7,S340+'经济参数'!$E$70)</x:f>
        <x:v>7</x:v>
      </x:c>
      <x:c r="U340" s="119" t="n">
        <x:f>MIN(7,S340+'经济参数'!$E$71)</x:f>
        <x:v>7</x:v>
      </x:c>
      <x:c r="V340" s="119" t="n">
        <x:f>IF(H340&gt;=('难度参数'!$E$52),1,0)+IF(H340&gt;=('难度参数'!$E$52+'难度参数'!$E$53),1,0)+IF(H340&gt;=('难度参数'!$E$52+'难度参数'!$E$53+'难度参数'!$E$54),1,0)+IF(H340&gt;=('难度参数'!$E$52+'难度参数'!$E$53+'难度参数'!$E$54+'难度参数'!$E$55),1,0)+IF(H340&gt;=('难度参数'!$E$52+'难度参数'!$E$53+'难度参数'!$E$54+'难度参数'!$E$55+'难度参数'!$E$56),1,0)+IF(H340&gt;=('难度参数'!$E$52+'难度参数'!$E$53+'难度参数'!$E$54+'难度参数'!$E$55+'难度参数'!$E$56+'难度参数'!$E$57),1,0)</x:f>
        <x:v>6</x:v>
      </x:c>
      <x:c r="W340" s="62" t="str">
        <x:f>IF(L340&gt;'难度参数'!$E$51,"仅出怪已超目标","还需实测")</x:f>
        <x:v>仅出怪已超目标</x:v>
      </x:c>
      <x:c r="X340" s="119" t="n">
        <x:f>IF(1&gt;D340,0,MAX(2,MIN('难度参数'!$E$12,ROUND(('难度参数'!$E$18*POWER(A340,'难度参数'!$E$19)/D340*(0.85+0.3*(1-1)/MAX(1,D340-1))),0)+F340)))</x:f>
        <x:v>31</x:v>
      </x:c>
      <x:c r="Y340" s="119" t="n">
        <x:f>IF(1&gt;D340,0,ROUND(('难度参数'!$E$13*POWER(A340,'难度参数'!$E$20)*MIN('难度参数'!$E$23,1+MAX(0,A340-'难度参数'!$E$21)*'难度参数'!$E$22))*(36+1*7)/(36+7*(D340+1)/2)*E340,0))</x:f>
        <x:v>5953</x:v>
      </x:c>
      <x:c r="Z340" s="119" t="n">
        <x:f>IF(X340=0,0,(X340-IF(1=D340,1,0))*ROUND(Y340*VLOOKUP(INDEX('章节与怪物'!$E$31:$K$37,B340,1),'章节与怪物'!$A$41:$F$44,2,FALSE),0)+IF(1=D340,ROUND(Y340*'难度参数'!$E$28*'章节与怪物'!$E$17,0),0))</x:f>
        <x:v>132866</x:v>
      </x:c>
      <x:c r="AA340" s="119" t="n">
        <x:f>IF(X340=0,0,(X340-IF(1=D340,1,0))*VLOOKUP(INDEX('章节与怪物'!$E$31:$K$37,B340,1),'章节与怪物'!$A$41:$F$44,4,FALSE)+IF(1=D340,'难度参数'!$E$30,0))</x:f>
        <x:v>620</x:v>
      </x:c>
      <x:c r="AB340" s="119" t="n">
        <x:f>IF(2&gt;D340,0,MAX(2,MIN('难度参数'!$E$12,ROUND(('难度参数'!$E$18*POWER(A340,'难度参数'!$E$19)/D340*(0.85+0.3*(2-1)/MAX(1,D340-1))),0)+F340)))</x:f>
        <x:v>32</x:v>
      </x:c>
      <x:c r="AC340" s="119" t="n">
        <x:f>IF(2&gt;D340,0,ROUND(('难度参数'!$E$13*POWER(A340,'难度参数'!$E$20)*MIN('难度参数'!$E$23,1+MAX(0,A340-'难度参数'!$E$21)*'难度参数'!$E$22))*(36+2*7)/(36+7*(D340+1)/2)*E340,0))</x:f>
        <x:v>6922</x:v>
      </x:c>
      <x:c r="AD340" s="119" t="n">
        <x:f>IF(AB340=0,0,(AB340-IF(2=D340,1,0))*ROUND(AC340*VLOOKUP(INDEX('章节与怪物'!$E$31:$K$37,B340,2),'章节与怪物'!$A$41:$F$44,2,FALSE),0)+IF(2=D340,ROUND(AC340*'难度参数'!$E$28*'章节与怪物'!$E$17,0),0))</x:f>
        <x:v>221504</x:v>
      </x:c>
      <x:c r="AE340" s="119" t="n">
        <x:f>IF(AB340=0,0,(AB340-IF(2=D340,1,0))*VLOOKUP(INDEX('章节与怪物'!$E$31:$K$37,B340,2),'章节与怪物'!$A$41:$F$44,4,FALSE)+IF(2=D340,'难度参数'!$E$30,0))</x:f>
        <x:v>576</x:v>
      </x:c>
      <x:c r="AF340" s="119" t="n">
        <x:f>IF(3&gt;D340,0,MAX(2,MIN('难度参数'!$E$12,ROUND(('难度参数'!$E$18*POWER(A340,'难度参数'!$E$19)/D340*(0.85+0.3*(3-1)/MAX(1,D340-1))),0)+F340)))</x:f>
        <x:v>34</x:v>
      </x:c>
      <x:c r="AG340" s="119" t="n">
        <x:f>IF(3&gt;D340,0,ROUND(('难度参数'!$E$13*POWER(A340,'难度参数'!$E$20)*MIN('难度参数'!$E$23,1+MAX(0,A340-'难度参数'!$E$21)*'难度参数'!$E$22))*(36+3*7)/(36+7*(D340+1)/2)*E340,0))</x:f>
        <x:v>7891</x:v>
      </x:c>
      <x:c r="AH340" s="119" t="n">
        <x:f>IF(AF340=0,0,(AF340-IF(3=D340,1,0))*ROUND(AG340*VLOOKUP(INDEX('章节与怪物'!$E$31:$K$37,B340,3),'章节与怪物'!$A$41:$F$44,2,FALSE),0)+IF(3=D340,ROUND(AG340*'难度参数'!$E$28*'章节与怪物'!$E$17,0),0))</x:f>
        <x:v>456110</x:v>
      </x:c>
      <x:c r="AI340" s="119" t="n">
        <x:f>IF(AF340=0,0,(AF340-IF(3=D340,1,0))*VLOOKUP(INDEX('章节与怪物'!$E$31:$K$37,B340,3),'章节与怪物'!$A$41:$F$44,4,FALSE)+IF(3=D340,'难度参数'!$E$30,0))</x:f>
        <x:v>952</x:v>
      </x:c>
      <x:c r="AJ340" s="119" t="n">
        <x:f>IF(4&gt;D340,0,MAX(2,MIN('难度参数'!$E$12,ROUND(('难度参数'!$E$18*POWER(A340,'难度参数'!$E$19)/D340*(0.85+0.3*(4-1)/MAX(1,D340-1))),0)+F340)))</x:f>
        <x:v>36</x:v>
      </x:c>
      <x:c r="AK340" s="119" t="n">
        <x:f>IF(4&gt;D340,0,ROUND(('难度参数'!$E$13*POWER(A340,'难度参数'!$E$20)*MIN('难度参数'!$E$23,1+MAX(0,A340-'难度参数'!$E$21)*'难度参数'!$E$22))*(36+4*7)/(36+7*(D340+1)/2)*E340,0))</x:f>
        <x:v>8860</x:v>
      </x:c>
      <x:c r="AL340" s="119" t="n">
        <x:f>IF(AJ340=0,0,(AJ340-IF(4=D340,1,0))*ROUND(AK340*VLOOKUP(INDEX('章节与怪物'!$E$31:$K$37,B340,4),'章节与怪物'!$A$41:$F$44,2,FALSE),0)+IF(4=D340,ROUND(AK340*'难度参数'!$E$28*'章节与怪物'!$E$17,0),0))</x:f>
        <x:v>430596</x:v>
      </x:c>
      <x:c r="AM340" s="119" t="n">
        <x:f>IF(AJ340=0,0,(AJ340-IF(4=D340,1,0))*VLOOKUP(INDEX('章节与怪物'!$E$31:$K$37,B340,4),'章节与怪物'!$A$41:$F$44,4,FALSE)+IF(4=D340,'难度参数'!$E$30,0))</x:f>
        <x:v>1224</x:v>
      </x:c>
      <x:c r="AN340" s="119" t="n">
        <x:f>IF(5&gt;D340,0,MAX(2,MIN('难度参数'!$E$12,ROUND(('难度参数'!$E$18*POWER(A340,'难度参数'!$E$19)/D340*(0.85+0.3*(5-1)/MAX(1,D340-1))),0)+F340)))</x:f>
        <x:v>38</x:v>
      </x:c>
      <x:c r="AO340" s="119" t="n">
        <x:f>IF(5&gt;D340,0,ROUND(('难度参数'!$E$13*POWER(A340,'难度参数'!$E$20)*MIN('难度参数'!$E$23,1+MAX(0,A340-'难度参数'!$E$21)*'难度参数'!$E$22))*(36+5*7)/(36+7*(D340+1)/2)*E340,0))</x:f>
        <x:v>9829</x:v>
      </x:c>
      <x:c r="AP340" s="119" t="n">
        <x:f>IF(AN340=0,0,(AN340-IF(5=D340,1,0))*ROUND(AO340*VLOOKUP(INDEX('章节与怪物'!$E$31:$K$37,B340,5),'章节与怪物'!$A$41:$F$44,2,FALSE),0)+IF(5=D340,ROUND(AO340*'难度参数'!$E$28*'章节与怪物'!$E$17,0),0))</x:f>
        <x:v>373502</x:v>
      </x:c>
      <x:c r="AQ340" s="119" t="n">
        <x:f>IF(AN340=0,0,(AN340-IF(5=D340,1,0))*VLOOKUP(INDEX('章节与怪物'!$E$31:$K$37,B340,5),'章节与怪物'!$A$41:$F$44,4,FALSE)+IF(5=D340,'难度参数'!$E$30,0))</x:f>
        <x:v>684</x:v>
      </x:c>
      <x:c r="AR340" s="119" t="n">
        <x:f>IF(6&gt;D340,0,MAX(2,MIN('难度参数'!$E$12,ROUND(('难度参数'!$E$18*POWER(A340,'难度参数'!$E$19)/D340*(0.85+0.3*(6-1)/MAX(1,D340-1))),0)+F340)))</x:f>
        <x:v>40</x:v>
      </x:c>
      <x:c r="AS340" s="119" t="n">
        <x:f>IF(6&gt;D340,0,ROUND(('难度参数'!$E$13*POWER(A340,'难度参数'!$E$20)*MIN('难度参数'!$E$23,1+MAX(0,A340-'难度参数'!$E$21)*'难度参数'!$E$22))*(36+6*7)/(36+7*(D340+1)/2)*E340,0))</x:f>
        <x:v>10798</x:v>
      </x:c>
      <x:c r="AT340" s="119" t="n">
        <x:f>IF(AR340=0,0,(AR340-IF(6=D340,1,0))*ROUND(AS340*VLOOKUP(INDEX('章节与怪物'!$E$31:$K$37,B340,6),'章节与怪物'!$A$41:$F$44,2,FALSE),0)+IF(6=D340,ROUND(AS340*'难度参数'!$E$28*'章节与怪物'!$E$17,0),0))</x:f>
        <x:v>311000</x:v>
      </x:c>
      <x:c r="AU340" s="119" t="n">
        <x:f>IF(AR340=0,0,(AR340-IF(6=D340,1,0))*VLOOKUP(INDEX('章节与怪物'!$E$31:$K$37,B340,6),'章节与怪物'!$A$41:$F$44,4,FALSE)+IF(6=D340,'难度参数'!$E$30,0))</x:f>
        <x:v>800</x:v>
      </x:c>
      <x:c r="AV340" s="119" t="n">
        <x:f>IF(7&gt;D340,0,MAX(2,MIN('难度参数'!$E$12,ROUND(('难度参数'!$E$18*POWER(A340,'难度参数'!$E$19)/D340*(0.85+0.3*(7-1)/MAX(1,D340-1))),0)+F340)))</x:f>
        <x:v>41</x:v>
      </x:c>
      <x:c r="AW340" s="119" t="n">
        <x:f>IF(7&gt;D340,0,ROUND(('难度参数'!$E$13*POWER(A340,'难度参数'!$E$20)*MIN('难度参数'!$E$23,1+MAX(0,A340-'难度参数'!$E$21)*'难度参数'!$E$22))*(36+7*7)/(36+7*(D340+1)/2)*E340,0))</x:f>
        <x:v>11767</x:v>
      </x:c>
      <x:c r="AX340" s="119" t="n">
        <x:f>IF(AV340=0,0,(AV340-IF(7=D340,1,0))*ROUND(AW340*VLOOKUP(INDEX('章节与怪物'!$E$31:$K$37,B340,7),'章节与怪物'!$A$41:$F$44,2,FALSE),0)+IF(7=D340,ROUND(AW340*'难度参数'!$E$28*'章节与怪物'!$E$17,0),0))</x:f>
        <x:v>715416</x:v>
      </x:c>
      <x:c r="AY340" s="119" t="n">
        <x:f>IF(AV340=0,0,(AV340-IF(7=D340,1,0))*VLOOKUP(INDEX('章节与怪物'!$E$31:$K$37,B340,7),'章节与怪物'!$A$41:$F$44,4,FALSE)+IF(7=D340,'难度参数'!$E$30,0))</x:f>
        <x:v>1560</x:v>
      </x:c>
    </x:row>
    <x:row r="341" ht="23" customHeight="1">
      <x:c r="A341" s="119" t="n">
        <x:v>335</x:v>
      </x:c>
      <x:c r="B341" s="119" t="n">
        <x:f>MOD(INT((A341-1)/5),7)+1</x:f>
        <x:v>4</x:v>
      </x:c>
      <x:c r="C341" s="62" t="str">
        <x:f>INDEX('章节与怪物'!$B$31:$B$37,B341)</x:f>
        <x:v>翠野边城</x:v>
      </x:c>
      <x:c r="D341" s="119" t="n">
        <x:f>MIN('难度参数'!$E$8,MAX('难度参数'!$E$7,A341))</x:f>
        <x:v>7</x:v>
      </x:c>
      <x:c r="E341" s="106" t="n">
        <x:v>1</x:v>
      </x:c>
      <x:c r="F341" s="106" t="n">
        <x:v>0</x:v>
      </x:c>
      <x:c r="G341" s="106" t="n">
        <x:v>1</x:v>
      </x:c>
      <x:c r="H341" s="119" t="n">
        <x:f>SUM(X341,AB341,AF341,AJ341,AN341,AR341,AV341)</x:f>
        <x:v>252</x:v>
      </x:c>
      <x:c r="I341" s="119" t="n">
        <x:f>SUM(Z341,AD341,AH341,AL341,AP341,AT341,AX341)</x:f>
        <x:v>2646674</x:v>
      </x:c>
      <x:c r="J341" s="119" t="n">
        <x:f>ROUND(INDEX(X341:AY341,1,(D341-1)*4+2)*'难度参数'!$E$28*'章节与怪物'!$E$17,0)</x:f>
        <x:v>80186</x:v>
      </x:c>
      <x:c r="K341" s="119" t="n">
        <x:f>SUM(AA341,AE341,AI341,AM341,AQ341,AU341,AY341)</x:f>
        <x:v>6416</x:v>
      </x:c>
      <x:c r="L341" s="62" t="n">
        <x:f>H341*(ROUNDUP('难度参数'!$E$24/('难度参数'!$E$26*'难度参数'!$E$27),0)*'难度参数'!$E$26)/60</x:f>
        <x:v>3.3600000000000003</x:v>
      </x:c>
      <x:c r="M341" s="62" t="n">
        <x:f>L341+D341*('难度参数'!$E$49+'难度参数'!$E$50)/60</x:f>
        <x:v>4.526666666666667</x:v>
      </x:c>
      <x:c r="N341" s="119" t="n">
        <x:f>ROUNDDOWN(('经济参数'!$E$20+A341*'经济参数'!$E$21)*G341,0)</x:f>
        <x:v>6880</x:v>
      </x:c>
      <x:c r="O341" s="119" t="n">
        <x:f>ROUNDDOWN(MIN('经济参数'!$E$24,'经济参数'!$E$22+A341*'经济参数'!$E$23)*G341,0)</x:f>
        <x:v>0</x:v>
      </x:c>
      <x:c r="P341" s="119" t="n">
        <x:f>ROUNDDOWN((IF(A341&gt;='材料与任务'!$E$31,'材料与任务'!$E$32,IF(A341&gt;='材料与任务'!$E$25,'材料与任务'!$E$26,IF(A341&gt;='材料与任务'!$E$19,'材料与任务'!$E$20,IF(A341&gt;='材料与任务'!$E$13,'材料与任务'!$E$14,'材料与任务'!$E$8)))))*G341,0)</x:f>
        <x:v>6</x:v>
      </x:c>
      <x:c r="Q341" s="119" t="n">
        <x:f>ROUNDDOWN((IF(A341&gt;='材料与任务'!$E$31,'材料与任务'!$E$33,IF(A341&gt;='材料与任务'!$E$25,'材料与任务'!$E$27,IF(A341&gt;='材料与任务'!$E$19,'材料与任务'!$E$21,IF(A341&gt;='材料与任务'!$E$13,'材料与任务'!$E$15,'材料与任务'!$E$9)))))*G341,0)</x:f>
        <x:v>3</x:v>
      </x:c>
      <x:c r="R341" s="110" t="n">
        <x:f>'装备掉落'!$B$38</x:f>
        <x:v>0.6872058758851213</x:v>
      </x:c>
      <x:c r="S341" s="119" t="n">
        <x:f>MAX(IF(VLOOKUP(A341,'装备掉落'!$A$29:$H$34,2,TRUE)&gt;0,1,0),IF(VLOOKUP(A341,'装备掉落'!$A$29:$H$34,3,TRUE)&gt;0,2,0),IF(VLOOKUP(A341,'装备掉落'!$A$29:$H$34,4,TRUE)&gt;0,3,0),IF(VLOOKUP(A341,'装备掉落'!$A$29:$H$34,5,TRUE)&gt;0,4,0),IF(VLOOKUP(A341,'装备掉落'!$A$29:$H$34,6,TRUE)&gt;0,5,0),IF(VLOOKUP(A341,'装备掉落'!$A$29:$H$34,7,TRUE)&gt;0,6,0),IF(VLOOKUP(A341,'装备掉落'!$A$29:$H$34,8,TRUE)&gt;0,7,0))</x:f>
        <x:v>7</x:v>
      </x:c>
      <x:c r="T341" s="119" t="n">
        <x:f>MIN(7,S341+'经济参数'!$E$70)</x:f>
        <x:v>7</x:v>
      </x:c>
      <x:c r="U341" s="119" t="n">
        <x:f>MIN(7,S341+'经济参数'!$E$71)</x:f>
        <x:v>7</x:v>
      </x:c>
      <x:c r="V341" s="119" t="n">
        <x:f>IF(H341&gt;=('难度参数'!$E$52),1,0)+IF(H341&gt;=('难度参数'!$E$52+'难度参数'!$E$53),1,0)+IF(H341&gt;=('难度参数'!$E$52+'难度参数'!$E$53+'难度参数'!$E$54),1,0)+IF(H341&gt;=('难度参数'!$E$52+'难度参数'!$E$53+'难度参数'!$E$54+'难度参数'!$E$55),1,0)+IF(H341&gt;=('难度参数'!$E$52+'难度参数'!$E$53+'难度参数'!$E$54+'难度参数'!$E$55+'难度参数'!$E$56),1,0)+IF(H341&gt;=('难度参数'!$E$52+'难度参数'!$E$53+'难度参数'!$E$54+'难度参数'!$E$55+'难度参数'!$E$56+'难度参数'!$E$57),1,0)</x:f>
        <x:v>6</x:v>
      </x:c>
      <x:c r="W341" s="62" t="str">
        <x:f>IF(L341&gt;'难度参数'!$E$51,"仅出怪已超目标","还需实测")</x:f>
        <x:v>仅出怪已超目标</x:v>
      </x:c>
      <x:c r="X341" s="119" t="n">
        <x:f>IF(1&gt;D341,0,MAX(2,MIN('难度参数'!$E$12,ROUND(('难度参数'!$E$18*POWER(A341,'难度参数'!$E$19)/D341*(0.85+0.3*(1-1)/MAX(1,D341-1))),0)+F341)))</x:f>
        <x:v>31</x:v>
      </x:c>
      <x:c r="Y341" s="119" t="n">
        <x:f>IF(1&gt;D341,0,ROUND(('难度参数'!$E$13*POWER(A341,'难度参数'!$E$20)*MIN('难度参数'!$E$23,1+MAX(0,A341-'难度参数'!$E$21)*'难度参数'!$E$22))*(36+1*7)/(36+7*(D341+1)/2)*E341,0))</x:f>
        <x:v>5966</x:v>
      </x:c>
      <x:c r="Z341" s="119" t="n">
        <x:f>IF(X341=0,0,(X341-IF(1=D341,1,0))*ROUND(Y341*VLOOKUP(INDEX('章节与怪物'!$E$31:$K$37,B341,1),'章节与怪物'!$A$41:$F$44,2,FALSE),0)+IF(1=D341,ROUND(Y341*'难度参数'!$E$28*'章节与怪物'!$E$17,0),0))</x:f>
        <x:v>133176</x:v>
      </x:c>
      <x:c r="AA341" s="119" t="n">
        <x:f>IF(X341=0,0,(X341-IF(1=D341,1,0))*VLOOKUP(INDEX('章节与怪物'!$E$31:$K$37,B341,1),'章节与怪物'!$A$41:$F$44,4,FALSE)+IF(1=D341,'难度参数'!$E$30,0))</x:f>
        <x:v>620</x:v>
      </x:c>
      <x:c r="AB341" s="119" t="n">
        <x:f>IF(2&gt;D341,0,MAX(2,MIN('难度参数'!$E$12,ROUND(('难度参数'!$E$18*POWER(A341,'难度参数'!$E$19)/D341*(0.85+0.3*(2-1)/MAX(1,D341-1))),0)+F341)))</x:f>
        <x:v>32</x:v>
      </x:c>
      <x:c r="AC341" s="119" t="n">
        <x:f>IF(2&gt;D341,0,ROUND(('难度参数'!$E$13*POWER(A341,'难度参数'!$E$20)*MIN('难度参数'!$E$23,1+MAX(0,A341-'难度参数'!$E$21)*'难度参数'!$E$22))*(36+2*7)/(36+7*(D341+1)/2)*E341,0))</x:f>
        <x:v>6937</x:v>
      </x:c>
      <x:c r="AD341" s="119" t="n">
        <x:f>IF(AB341=0,0,(AB341-IF(2=D341,1,0))*ROUND(AC341*VLOOKUP(INDEX('章节与怪物'!$E$31:$K$37,B341,2),'章节与怪物'!$A$41:$F$44,2,FALSE),0)+IF(2=D341,ROUND(AC341*'难度参数'!$E$28*'章节与怪物'!$E$17,0),0))</x:f>
        <x:v>221984</x:v>
      </x:c>
      <x:c r="AE341" s="119" t="n">
        <x:f>IF(AB341=0,0,(AB341-IF(2=D341,1,0))*VLOOKUP(INDEX('章节与怪物'!$E$31:$K$37,B341,2),'章节与怪物'!$A$41:$F$44,4,FALSE)+IF(2=D341,'难度参数'!$E$30,0))</x:f>
        <x:v>576</x:v>
      </x:c>
      <x:c r="AF341" s="119" t="n">
        <x:f>IF(3&gt;D341,0,MAX(2,MIN('难度参数'!$E$12,ROUND(('难度参数'!$E$18*POWER(A341,'难度参数'!$E$19)/D341*(0.85+0.3*(3-1)/MAX(1,D341-1))),0)+F341)))</x:f>
        <x:v>34</x:v>
      </x:c>
      <x:c r="AG341" s="119" t="n">
        <x:f>IF(3&gt;D341,0,ROUND(('难度参数'!$E$13*POWER(A341,'难度参数'!$E$20)*MIN('难度参数'!$E$23,1+MAX(0,A341-'难度参数'!$E$21)*'难度参数'!$E$22))*(36+3*7)/(36+7*(D341+1)/2)*E341,0))</x:f>
        <x:v>7908</x:v>
      </x:c>
      <x:c r="AH341" s="119" t="n">
        <x:f>IF(AF341=0,0,(AF341-IF(3=D341,1,0))*ROUND(AG341*VLOOKUP(INDEX('章节与怪物'!$E$31:$K$37,B341,3),'章节与怪物'!$A$41:$F$44,2,FALSE),0)+IF(3=D341,ROUND(AG341*'难度参数'!$E$28*'章节与怪物'!$E$17,0),0))</x:f>
        <x:v>457096</x:v>
      </x:c>
      <x:c r="AI341" s="119" t="n">
        <x:f>IF(AF341=0,0,(AF341-IF(3=D341,1,0))*VLOOKUP(INDEX('章节与怪物'!$E$31:$K$37,B341,3),'章节与怪物'!$A$41:$F$44,4,FALSE)+IF(3=D341,'难度参数'!$E$30,0))</x:f>
        <x:v>952</x:v>
      </x:c>
      <x:c r="AJ341" s="119" t="n">
        <x:f>IF(4&gt;D341,0,MAX(2,MIN('难度参数'!$E$12,ROUND(('难度参数'!$E$18*POWER(A341,'难度参数'!$E$19)/D341*(0.85+0.3*(4-1)/MAX(1,D341-1))),0)+F341)))</x:f>
        <x:v>36</x:v>
      </x:c>
      <x:c r="AK341" s="119" t="n">
        <x:f>IF(4&gt;D341,0,ROUND(('难度参数'!$E$13*POWER(A341,'难度参数'!$E$20)*MIN('难度参数'!$E$23,1+MAX(0,A341-'难度参数'!$E$21)*'难度参数'!$E$22))*(36+4*7)/(36+7*(D341+1)/2)*E341,0))</x:f>
        <x:v>8879</x:v>
      </x:c>
      <x:c r="AL341" s="119" t="n">
        <x:f>IF(AJ341=0,0,(AJ341-IF(4=D341,1,0))*ROUND(AK341*VLOOKUP(INDEX('章节与怪物'!$E$31:$K$37,B341,4),'章节与怪物'!$A$41:$F$44,2,FALSE),0)+IF(4=D341,ROUND(AK341*'难度参数'!$E$28*'章节与怪物'!$E$17,0),0))</x:f>
        <x:v>431532</x:v>
      </x:c>
      <x:c r="AM341" s="119" t="n">
        <x:f>IF(AJ341=0,0,(AJ341-IF(4=D341,1,0))*VLOOKUP(INDEX('章节与怪物'!$E$31:$K$37,B341,4),'章节与怪物'!$A$41:$F$44,4,FALSE)+IF(4=D341,'难度参数'!$E$30,0))</x:f>
        <x:v>1224</x:v>
      </x:c>
      <x:c r="AN341" s="119" t="n">
        <x:f>IF(5&gt;D341,0,MAX(2,MIN('难度参数'!$E$12,ROUND(('难度参数'!$E$18*POWER(A341,'难度参数'!$E$19)/D341*(0.85+0.3*(5-1)/MAX(1,D341-1))),0)+F341)))</x:f>
        <x:v>38</x:v>
      </x:c>
      <x:c r="AO341" s="119" t="n">
        <x:f>IF(5&gt;D341,0,ROUND(('难度参数'!$E$13*POWER(A341,'难度参数'!$E$20)*MIN('难度参数'!$E$23,1+MAX(0,A341-'难度参数'!$E$21)*'难度参数'!$E$22))*(36+5*7)/(36+7*(D341+1)/2)*E341,0))</x:f>
        <x:v>9850</x:v>
      </x:c>
      <x:c r="AP341" s="119" t="n">
        <x:f>IF(AN341=0,0,(AN341-IF(5=D341,1,0))*ROUND(AO341*VLOOKUP(INDEX('章节与怪物'!$E$31:$K$37,B341,5),'章节与怪物'!$A$41:$F$44,2,FALSE),0)+IF(5=D341,ROUND(AO341*'难度参数'!$E$28*'章节与怪物'!$E$17,0),0))</x:f>
        <x:v>374300</x:v>
      </x:c>
      <x:c r="AQ341" s="119" t="n">
        <x:f>IF(AN341=0,0,(AN341-IF(5=D341,1,0))*VLOOKUP(INDEX('章节与怪物'!$E$31:$K$37,B341,5),'章节与怪物'!$A$41:$F$44,4,FALSE)+IF(5=D341,'难度参数'!$E$30,0))</x:f>
        <x:v>684</x:v>
      </x:c>
      <x:c r="AR341" s="119" t="n">
        <x:f>IF(6&gt;D341,0,MAX(2,MIN('难度参数'!$E$12,ROUND(('难度参数'!$E$18*POWER(A341,'难度参数'!$E$19)/D341*(0.85+0.3*(6-1)/MAX(1,D341-1))),0)+F341)))</x:f>
        <x:v>40</x:v>
      </x:c>
      <x:c r="AS341" s="119" t="n">
        <x:f>IF(6&gt;D341,0,ROUND(('难度参数'!$E$13*POWER(A341,'难度参数'!$E$20)*MIN('难度参数'!$E$23,1+MAX(0,A341-'难度参数'!$E$21)*'难度参数'!$E$22))*(36+6*7)/(36+7*(D341+1)/2)*E341,0))</x:f>
        <x:v>10821</x:v>
      </x:c>
      <x:c r="AT341" s="119" t="n">
        <x:f>IF(AR341=0,0,(AR341-IF(6=D341,1,0))*ROUND(AS341*VLOOKUP(INDEX('章节与怪物'!$E$31:$K$37,B341,6),'章节与怪物'!$A$41:$F$44,2,FALSE),0)+IF(6=D341,ROUND(AS341*'难度参数'!$E$28*'章节与怪物'!$E$17,0),0))</x:f>
        <x:v>311640</x:v>
      </x:c>
      <x:c r="AU341" s="119" t="n">
        <x:f>IF(AR341=0,0,(AR341-IF(6=D341,1,0))*VLOOKUP(INDEX('章节与怪物'!$E$31:$K$37,B341,6),'章节与怪物'!$A$41:$F$44,4,FALSE)+IF(6=D341,'难度参数'!$E$30,0))</x:f>
        <x:v>800</x:v>
      </x:c>
      <x:c r="AV341" s="119" t="n">
        <x:f>IF(7&gt;D341,0,MAX(2,MIN('难度参数'!$E$12,ROUND(('难度参数'!$E$18*POWER(A341,'难度参数'!$E$19)/D341*(0.85+0.3*(7-1)/MAX(1,D341-1))),0)+F341)))</x:f>
        <x:v>41</x:v>
      </x:c>
      <x:c r="AW341" s="119" t="n">
        <x:f>IF(7&gt;D341,0,ROUND(('难度参数'!$E$13*POWER(A341,'难度参数'!$E$20)*MIN('难度参数'!$E$23,1+MAX(0,A341-'难度参数'!$E$21)*'难度参数'!$E$22))*(36+7*7)/(36+7*(D341+1)/2)*E341,0))</x:f>
        <x:v>11792</x:v>
      </x:c>
      <x:c r="AX341" s="119" t="n">
        <x:f>IF(AV341=0,0,(AV341-IF(7=D341,1,0))*ROUND(AW341*VLOOKUP(INDEX('章节与怪物'!$E$31:$K$37,B341,7),'章节与怪物'!$A$41:$F$44,2,FALSE),0)+IF(7=D341,ROUND(AW341*'难度参数'!$E$28*'章节与怪物'!$E$17,0),0))</x:f>
        <x:v>716946</x:v>
      </x:c>
      <x:c r="AY341" s="119" t="n">
        <x:f>IF(AV341=0,0,(AV341-IF(7=D341,1,0))*VLOOKUP(INDEX('章节与怪物'!$E$31:$K$37,B341,7),'章节与怪物'!$A$41:$F$44,4,FALSE)+IF(7=D341,'难度参数'!$E$30,0))</x:f>
        <x:v>1560</x:v>
      </x:c>
    </x:row>
    <x:row r="342" ht="23" customHeight="1">
      <x:c r="A342" s="119" t="n">
        <x:v>336</x:v>
      </x:c>
      <x:c r="B342" s="119" t="n">
        <x:f>MOD(INT((A342-1)/5),7)+1</x:f>
        <x:v>5</x:v>
      </x:c>
      <x:c r="C342" s="62" t="str">
        <x:f>INDEX('章节与怪物'!$B$31:$B$37,B342)</x:f>
        <x:v>雨林遗迹</x:v>
      </x:c>
      <x:c r="D342" s="119" t="n">
        <x:f>MIN('难度参数'!$E$8,MAX('难度参数'!$E$7,A342))</x:f>
        <x:v>7</x:v>
      </x:c>
      <x:c r="E342" s="106" t="n">
        <x:v>1</x:v>
      </x:c>
      <x:c r="F342" s="106" t="n">
        <x:v>0</x:v>
      </x:c>
      <x:c r="G342" s="106" t="n">
        <x:v>1</x:v>
      </x:c>
      <x:c r="H342" s="119" t="n">
        <x:f>SUM(X342,AB342,AF342,AJ342,AN342,AR342,AV342)</x:f>
        <x:v>253</x:v>
      </x:c>
      <x:c r="I342" s="119" t="n">
        <x:f>SUM(Z342,AD342,AH342,AL342,AP342,AT342,AX342)</x:f>
        <x:v>2978014</x:v>
      </x:c>
      <x:c r="J342" s="119" t="n">
        <x:f>ROUND(INDEX(X342:AY342,1,(D342-1)*4+2)*'难度参数'!$E$28*'章节与怪物'!$E$17,0)</x:f>
        <x:v>80362</x:v>
      </x:c>
      <x:c r="K342" s="119" t="n">
        <x:f>SUM(AA342,AE342,AI342,AM342,AQ342,AU342,AY342)</x:f>
        <x:v>6848</x:v>
      </x:c>
      <x:c r="L342" s="62" t="n">
        <x:f>H342*(ROUNDUP('难度参数'!$E$24/('难度参数'!$E$26*'难度参数'!$E$27),0)*'难度参数'!$E$26)/60</x:f>
        <x:v>3.3733333333333335</x:v>
      </x:c>
      <x:c r="M342" s="62" t="n">
        <x:f>L342+D342*('难度参数'!$E$49+'难度参数'!$E$50)/60</x:f>
        <x:v>4.54</x:v>
      </x:c>
      <x:c r="N342" s="119" t="n">
        <x:f>ROUNDDOWN(('经济参数'!$E$20+A342*'经济参数'!$E$21)*G342,0)</x:f>
        <x:v>6900</x:v>
      </x:c>
      <x:c r="O342" s="119" t="n">
        <x:f>ROUNDDOWN(MIN('经济参数'!$E$24,'经济参数'!$E$22+A342*'经济参数'!$E$23)*G342,0)</x:f>
        <x:v>0</x:v>
      </x:c>
      <x:c r="P342" s="119" t="n">
        <x:f>ROUNDDOWN((IF(A342&gt;='材料与任务'!$E$31,'材料与任务'!$E$32,IF(A342&gt;='材料与任务'!$E$25,'材料与任务'!$E$26,IF(A342&gt;='材料与任务'!$E$19,'材料与任务'!$E$20,IF(A342&gt;='材料与任务'!$E$13,'材料与任务'!$E$14,'材料与任务'!$E$8)))))*G342,0)</x:f>
        <x:v>6</x:v>
      </x:c>
      <x:c r="Q342" s="119" t="n">
        <x:f>ROUNDDOWN((IF(A342&gt;='材料与任务'!$E$31,'材料与任务'!$E$33,IF(A342&gt;='材料与任务'!$E$25,'材料与任务'!$E$27,IF(A342&gt;='材料与任务'!$E$19,'材料与任务'!$E$21,IF(A342&gt;='材料与任务'!$E$13,'材料与任务'!$E$15,'材料与任务'!$E$9)))))*G342,0)</x:f>
        <x:v>3</x:v>
      </x:c>
      <x:c r="R342" s="110" t="n">
        <x:f>'装备掉落'!$B$38</x:f>
        <x:v>0.6872058758851213</x:v>
      </x:c>
      <x:c r="S342" s="119" t="n">
        <x:f>MAX(IF(VLOOKUP(A342,'装备掉落'!$A$29:$H$34,2,TRUE)&gt;0,1,0),IF(VLOOKUP(A342,'装备掉落'!$A$29:$H$34,3,TRUE)&gt;0,2,0),IF(VLOOKUP(A342,'装备掉落'!$A$29:$H$34,4,TRUE)&gt;0,3,0),IF(VLOOKUP(A342,'装备掉落'!$A$29:$H$34,5,TRUE)&gt;0,4,0),IF(VLOOKUP(A342,'装备掉落'!$A$29:$H$34,6,TRUE)&gt;0,5,0),IF(VLOOKUP(A342,'装备掉落'!$A$29:$H$34,7,TRUE)&gt;0,6,0),IF(VLOOKUP(A342,'装备掉落'!$A$29:$H$34,8,TRUE)&gt;0,7,0))</x:f>
        <x:v>7</x:v>
      </x:c>
      <x:c r="T342" s="119" t="n">
        <x:f>MIN(7,S342+'经济参数'!$E$70)</x:f>
        <x:v>7</x:v>
      </x:c>
      <x:c r="U342" s="119" t="n">
        <x:f>MIN(7,S342+'经济参数'!$E$71)</x:f>
        <x:v>7</x:v>
      </x:c>
      <x:c r="V342" s="119" t="n">
        <x:f>IF(H342&gt;=('难度参数'!$E$52),1,0)+IF(H342&gt;=('难度参数'!$E$52+'难度参数'!$E$53),1,0)+IF(H342&gt;=('难度参数'!$E$52+'难度参数'!$E$53+'难度参数'!$E$54),1,0)+IF(H342&gt;=('难度参数'!$E$52+'难度参数'!$E$53+'难度参数'!$E$54+'难度参数'!$E$55),1,0)+IF(H342&gt;=('难度参数'!$E$52+'难度参数'!$E$53+'难度参数'!$E$54+'难度参数'!$E$55+'难度参数'!$E$56),1,0)+IF(H342&gt;=('难度参数'!$E$52+'难度参数'!$E$53+'难度参数'!$E$54+'难度参数'!$E$55+'难度参数'!$E$56+'难度参数'!$E$57),1,0)</x:f>
        <x:v>6</x:v>
      </x:c>
      <x:c r="W342" s="62" t="str">
        <x:f>IF(L342&gt;'难度参数'!$E$51,"仅出怪已超目标","还需实测")</x:f>
        <x:v>仅出怪已超目标</x:v>
      </x:c>
      <x:c r="X342" s="119" t="n">
        <x:f>IF(1&gt;D342,0,MAX(2,MIN('难度参数'!$E$12,ROUND(('难度参数'!$E$18*POWER(A342,'难度参数'!$E$19)/D342*(0.85+0.3*(1-1)/MAX(1,D342-1))),0)+F342)))</x:f>
        <x:v>31</x:v>
      </x:c>
      <x:c r="Y342" s="119" t="n">
        <x:f>IF(1&gt;D342,0,ROUND(('难度参数'!$E$13*POWER(A342,'难度参数'!$E$20)*MIN('难度参数'!$E$23,1+MAX(0,A342-'难度参数'!$E$21)*'难度参数'!$E$22))*(36+1*7)/(36+7*(D342+1)/2)*E342,0))</x:f>
        <x:v>5978</x:v>
      </x:c>
      <x:c r="Z342" s="119" t="n">
        <x:f>IF(X342=0,0,(X342-IF(1=D342,1,0))*ROUND(Y342*VLOOKUP(INDEX('章节与怪物'!$E$31:$K$37,B342,1),'章节与怪物'!$A$41:$F$44,2,FALSE),0)+IF(1=D342,ROUND(Y342*'难度参数'!$E$28*'章节与怪物'!$E$17,0),0))</x:f>
        <x:v>185318</x:v>
      </x:c>
      <x:c r="AA342" s="119" t="n">
        <x:f>IF(X342=0,0,(X342-IF(1=D342,1,0))*VLOOKUP(INDEX('章节与怪物'!$E$31:$K$37,B342,1),'章节与怪物'!$A$41:$F$44,4,FALSE)+IF(1=D342,'难度参数'!$E$30,0))</x:f>
        <x:v>558</x:v>
      </x:c>
      <x:c r="AB342" s="119" t="n">
        <x:f>IF(2&gt;D342,0,MAX(2,MIN('难度参数'!$E$12,ROUND(('难度参数'!$E$18*POWER(A342,'难度参数'!$E$19)/D342*(0.85+0.3*(2-1)/MAX(1,D342-1))),0)+F342)))</x:f>
        <x:v>32</x:v>
      </x:c>
      <x:c r="AC342" s="119" t="n">
        <x:f>IF(2&gt;D342,0,ROUND(('难度参数'!$E$13*POWER(A342,'难度参数'!$E$20)*MIN('难度参数'!$E$23,1+MAX(0,A342-'难度参数'!$E$21)*'难度参数'!$E$22))*(36+2*7)/(36+7*(D342+1)/2)*E342,0))</x:f>
        <x:v>6952</x:v>
      </x:c>
      <x:c r="AD342" s="119" t="n">
        <x:f>IF(AB342=0,0,(AB342-IF(2=D342,1,0))*ROUND(AC342*VLOOKUP(INDEX('章节与怪物'!$E$31:$K$37,B342,2),'章节与怪物'!$A$41:$F$44,2,FALSE),0)+IF(2=D342,ROUND(AC342*'难度参数'!$E$28*'章节与怪物'!$E$17,0),0))</x:f>
        <x:v>160160</x:v>
      </x:c>
      <x:c r="AE342" s="119" t="n">
        <x:f>IF(AB342=0,0,(AB342-IF(2=D342,1,0))*VLOOKUP(INDEX('章节与怪物'!$E$31:$K$37,B342,2),'章节与怪物'!$A$41:$F$44,4,FALSE)+IF(2=D342,'难度参数'!$E$30,0))</x:f>
        <x:v>640</x:v>
      </x:c>
      <x:c r="AF342" s="119" t="n">
        <x:f>IF(3&gt;D342,0,MAX(2,MIN('难度参数'!$E$12,ROUND(('难度参数'!$E$18*POWER(A342,'难度参数'!$E$19)/D342*(0.85+0.3*(3-1)/MAX(1,D342-1))),0)+F342)))</x:f>
        <x:v>34</x:v>
      </x:c>
      <x:c r="AG342" s="119" t="n">
        <x:f>IF(3&gt;D342,0,ROUND(('难度参数'!$E$13*POWER(A342,'难度参数'!$E$20)*MIN('难度参数'!$E$23,1+MAX(0,A342-'难度参数'!$E$21)*'难度参数'!$E$22))*(36+3*7)/(36+7*(D342+1)/2)*E342,0))</x:f>
        <x:v>7925</x:v>
      </x:c>
      <x:c r="AH342" s="119" t="n">
        <x:f>IF(AF342=0,0,(AF342-IF(3=D342,1,0))*ROUND(AG342*VLOOKUP(INDEX('章节与怪物'!$E$31:$K$37,B342,3),'章节与怪物'!$A$41:$F$44,2,FALSE),0)+IF(3=D342,ROUND(AG342*'难度参数'!$E$28*'章节与怪物'!$E$17,0),0))</x:f>
        <x:v>458082</x:v>
      </x:c>
      <x:c r="AI342" s="119" t="n">
        <x:f>IF(AF342=0,0,(AF342-IF(3=D342,1,0))*VLOOKUP(INDEX('章节与怪物'!$E$31:$K$37,B342,3),'章节与怪物'!$A$41:$F$44,4,FALSE)+IF(3=D342,'难度参数'!$E$30,0))</x:f>
        <x:v>952</x:v>
      </x:c>
      <x:c r="AJ342" s="119" t="n">
        <x:f>IF(4&gt;D342,0,MAX(2,MIN('难度参数'!$E$12,ROUND(('难度参数'!$E$18*POWER(A342,'难度参数'!$E$19)/D342*(0.85+0.3*(4-1)/MAX(1,D342-1))),0)+F342)))</x:f>
        <x:v>36</x:v>
      </x:c>
      <x:c r="AK342" s="119" t="n">
        <x:f>IF(4&gt;D342,0,ROUND(('难度参数'!$E$13*POWER(A342,'难度参数'!$E$20)*MIN('难度参数'!$E$23,1+MAX(0,A342-'难度参数'!$E$21)*'难度参数'!$E$22))*(36+4*7)/(36+7*(D342+1)/2)*E342,0))</x:f>
        <x:v>8898</x:v>
      </x:c>
      <x:c r="AL342" s="119" t="n">
        <x:f>IF(AJ342=0,0,(AJ342-IF(4=D342,1,0))*ROUND(AK342*VLOOKUP(INDEX('章节与怪物'!$E$31:$K$37,B342,4),'章节与怪物'!$A$41:$F$44,2,FALSE),0)+IF(4=D342,ROUND(AK342*'难度参数'!$E$28*'章节与怪物'!$E$17,0),0))</x:f>
        <x:v>432432</x:v>
      </x:c>
      <x:c r="AM342" s="119" t="n">
        <x:f>IF(AJ342=0,0,(AJ342-IF(4=D342,1,0))*VLOOKUP(INDEX('章节与怪物'!$E$31:$K$37,B342,4),'章节与怪物'!$A$41:$F$44,4,FALSE)+IF(4=D342,'难度参数'!$E$30,0))</x:f>
        <x:v>1224</x:v>
      </x:c>
      <x:c r="AN342" s="119" t="n">
        <x:f>IF(5&gt;D342,0,MAX(2,MIN('难度参数'!$E$12,ROUND(('难度参数'!$E$18*POWER(A342,'难度参数'!$E$19)/D342*(0.85+0.3*(5-1)/MAX(1,D342-1))),0)+F342)))</x:f>
        <x:v>38</x:v>
      </x:c>
      <x:c r="AO342" s="119" t="n">
        <x:f>IF(5&gt;D342,0,ROUND(('难度参数'!$E$13*POWER(A342,'难度参数'!$E$20)*MIN('难度参数'!$E$23,1+MAX(0,A342-'难度参数'!$E$21)*'难度参数'!$E$22))*(36+5*7)/(36+7*(D342+1)/2)*E342,0))</x:f>
        <x:v>9871</x:v>
      </x:c>
      <x:c r="AP342" s="119" t="n">
        <x:f>IF(AN342=0,0,(AN342-IF(5=D342,1,0))*ROUND(AO342*VLOOKUP(INDEX('章节与怪物'!$E$31:$K$37,B342,5),'章节与怪物'!$A$41:$F$44,2,FALSE),0)+IF(5=D342,ROUND(AO342*'难度参数'!$E$28*'章节与怪物'!$E$17,0),0))</x:f>
        <x:v>270066</x:v>
      </x:c>
      <x:c r="AQ342" s="119" t="n">
        <x:f>IF(AN342=0,0,(AN342-IF(5=D342,1,0))*VLOOKUP(INDEX('章节与怪物'!$E$31:$K$37,B342,5),'章节与怪物'!$A$41:$F$44,4,FALSE)+IF(5=D342,'难度参数'!$E$30,0))</x:f>
        <x:v>760</x:v>
      </x:c>
      <x:c r="AR342" s="119" t="n">
        <x:f>IF(6&gt;D342,0,MAX(2,MIN('难度参数'!$E$12,ROUND(('难度参数'!$E$18*POWER(A342,'难度参数'!$E$19)/D342*(0.85+0.3*(6-1)/MAX(1,D342-1))),0)+F342)))</x:f>
        <x:v>40</x:v>
      </x:c>
      <x:c r="AS342" s="119" t="n">
        <x:f>IF(6&gt;D342,0,ROUND(('难度参数'!$E$13*POWER(A342,'难度参数'!$E$20)*MIN('难度参数'!$E$23,1+MAX(0,A342-'难度参数'!$E$21)*'难度参数'!$E$22))*(36+6*7)/(36+7*(D342+1)/2)*E342,0))</x:f>
        <x:v>10845</x:v>
      </x:c>
      <x:c r="AT342" s="119" t="n">
        <x:f>IF(AR342=0,0,(AR342-IF(6=D342,1,0))*ROUND(AS342*VLOOKUP(INDEX('章节与怪物'!$E$31:$K$37,B342,6),'章节与怪物'!$A$41:$F$44,2,FALSE),0)+IF(6=D342,ROUND(AS342*'难度参数'!$E$28*'章节与怪物'!$E$17,0),0))</x:f>
        <x:v>737480</x:v>
      </x:c>
      <x:c r="AU342" s="119" t="n">
        <x:f>IF(AR342=0,0,(AR342-IF(6=D342,1,0))*VLOOKUP(INDEX('章节与怪物'!$E$31:$K$37,B342,6),'章节与怪物'!$A$41:$F$44,4,FALSE)+IF(6=D342,'难度参数'!$E$30,0))</x:f>
        <x:v>1120</x:v>
      </x:c>
      <x:c r="AV342" s="119" t="n">
        <x:f>IF(7&gt;D342,0,MAX(2,MIN('难度参数'!$E$12,ROUND(('难度参数'!$E$18*POWER(A342,'难度参数'!$E$19)/D342*(0.85+0.3*(7-1)/MAX(1,D342-1))),0)+F342)))</x:f>
        <x:v>42</x:v>
      </x:c>
      <x:c r="AW342" s="119" t="n">
        <x:f>IF(7&gt;D342,0,ROUND(('难度参数'!$E$13*POWER(A342,'难度参数'!$E$20)*MIN('难度参数'!$E$23,1+MAX(0,A342-'难度参数'!$E$21)*'难度参数'!$E$22))*(36+7*7)/(36+7*(D342+1)/2)*E342,0))</x:f>
        <x:v>11818</x:v>
      </x:c>
      <x:c r="AX342" s="119" t="n">
        <x:f>IF(AV342=0,0,(AV342-IF(7=D342,1,0))*ROUND(AW342*VLOOKUP(INDEX('章节与怪物'!$E$31:$K$37,B342,7),'章节与怪物'!$A$41:$F$44,2,FALSE),0)+IF(7=D342,ROUND(AW342*'难度参数'!$E$28*'章节与怪物'!$E$17,0),0))</x:f>
        <x:v>734476</x:v>
      </x:c>
      <x:c r="AY342" s="119" t="n">
        <x:f>IF(AV342=0,0,(AV342-IF(7=D342,1,0))*VLOOKUP(INDEX('章节与怪物'!$E$31:$K$37,B342,7),'章节与怪物'!$A$41:$F$44,4,FALSE)+IF(7=D342,'难度参数'!$E$30,0))</x:f>
        <x:v>1594</x:v>
      </x:c>
    </x:row>
    <x:row r="343" ht="23" customHeight="1">
      <x:c r="A343" s="119" t="n">
        <x:v>337</x:v>
      </x:c>
      <x:c r="B343" s="119" t="n">
        <x:f>MOD(INT((A343-1)/5),7)+1</x:f>
        <x:v>5</x:v>
      </x:c>
      <x:c r="C343" s="62" t="str">
        <x:f>INDEX('章节与怪物'!$B$31:$B$37,B343)</x:f>
        <x:v>雨林遗迹</x:v>
      </x:c>
      <x:c r="D343" s="119" t="n">
        <x:f>MIN('难度参数'!$E$8,MAX('难度参数'!$E$7,A343))</x:f>
        <x:v>7</x:v>
      </x:c>
      <x:c r="E343" s="106" t="n">
        <x:v>1</x:v>
      </x:c>
      <x:c r="F343" s="106" t="n">
        <x:v>0</x:v>
      </x:c>
      <x:c r="G343" s="106" t="n">
        <x:v>1</x:v>
      </x:c>
      <x:c r="H343" s="119" t="n">
        <x:f>SUM(X343,AB343,AF343,AJ343,AN343,AR343,AV343)</x:f>
        <x:v>254</x:v>
      </x:c>
      <x:c r="I343" s="119" t="n">
        <x:f>SUM(Z343,AD343,AH343,AL343,AP343,AT343,AX343)</x:f>
        <x:v>2989367</x:v>
      </x:c>
      <x:c r="J343" s="119" t="n">
        <x:f>ROUND(INDEX(X343:AY343,1,(D343-1)*4+2)*'难度参数'!$E$28*'章节与怪物'!$E$17,0)</x:f>
        <x:v>80532</x:v>
      </x:c>
      <x:c r="K343" s="119" t="n">
        <x:f>SUM(AA343,AE343,AI343,AM343,AQ343,AU343,AY343)</x:f>
        <x:v>6868</x:v>
      </x:c>
      <x:c r="L343" s="62" t="n">
        <x:f>H343*(ROUNDUP('难度参数'!$E$24/('难度参数'!$E$26*'难度参数'!$E$27),0)*'难度参数'!$E$26)/60</x:f>
        <x:v>3.386666666666667</x:v>
      </x:c>
      <x:c r="M343" s="62" t="n">
        <x:f>L343+D343*('难度参数'!$E$49+'难度参数'!$E$50)/60</x:f>
        <x:v>4.553333333333334</x:v>
      </x:c>
      <x:c r="N343" s="119" t="n">
        <x:f>ROUNDDOWN(('经济参数'!$E$20+A343*'经济参数'!$E$21)*G343,0)</x:f>
        <x:v>6920</x:v>
      </x:c>
      <x:c r="O343" s="119" t="n">
        <x:f>ROUNDDOWN(MIN('经济参数'!$E$24,'经济参数'!$E$22+A343*'经济参数'!$E$23)*G343,0)</x:f>
        <x:v>0</x:v>
      </x:c>
      <x:c r="P343" s="119" t="n">
        <x:f>ROUNDDOWN((IF(A343&gt;='材料与任务'!$E$31,'材料与任务'!$E$32,IF(A343&gt;='材料与任务'!$E$25,'材料与任务'!$E$26,IF(A343&gt;='材料与任务'!$E$19,'材料与任务'!$E$20,IF(A343&gt;='材料与任务'!$E$13,'材料与任务'!$E$14,'材料与任务'!$E$8)))))*G343,0)</x:f>
        <x:v>6</x:v>
      </x:c>
      <x:c r="Q343" s="119" t="n">
        <x:f>ROUNDDOWN((IF(A343&gt;='材料与任务'!$E$31,'材料与任务'!$E$33,IF(A343&gt;='材料与任务'!$E$25,'材料与任务'!$E$27,IF(A343&gt;='材料与任务'!$E$19,'材料与任务'!$E$21,IF(A343&gt;='材料与任务'!$E$13,'材料与任务'!$E$15,'材料与任务'!$E$9)))))*G343,0)</x:f>
        <x:v>3</x:v>
      </x:c>
      <x:c r="R343" s="110" t="n">
        <x:f>'装备掉落'!$B$38</x:f>
        <x:v>0.6872058758851213</x:v>
      </x:c>
      <x:c r="S343" s="119" t="n">
        <x:f>MAX(IF(VLOOKUP(A343,'装备掉落'!$A$29:$H$34,2,TRUE)&gt;0,1,0),IF(VLOOKUP(A343,'装备掉落'!$A$29:$H$34,3,TRUE)&gt;0,2,0),IF(VLOOKUP(A343,'装备掉落'!$A$29:$H$34,4,TRUE)&gt;0,3,0),IF(VLOOKUP(A343,'装备掉落'!$A$29:$H$34,5,TRUE)&gt;0,4,0),IF(VLOOKUP(A343,'装备掉落'!$A$29:$H$34,6,TRUE)&gt;0,5,0),IF(VLOOKUP(A343,'装备掉落'!$A$29:$H$34,7,TRUE)&gt;0,6,0),IF(VLOOKUP(A343,'装备掉落'!$A$29:$H$34,8,TRUE)&gt;0,7,0))</x:f>
        <x:v>7</x:v>
      </x:c>
      <x:c r="T343" s="119" t="n">
        <x:f>MIN(7,S343+'经济参数'!$E$70)</x:f>
        <x:v>7</x:v>
      </x:c>
      <x:c r="U343" s="119" t="n">
        <x:f>MIN(7,S343+'经济参数'!$E$71)</x:f>
        <x:v>7</x:v>
      </x:c>
      <x:c r="V343" s="119" t="n">
        <x:f>IF(H343&gt;=('难度参数'!$E$52),1,0)+IF(H343&gt;=('难度参数'!$E$52+'难度参数'!$E$53),1,0)+IF(H343&gt;=('难度参数'!$E$52+'难度参数'!$E$53+'难度参数'!$E$54),1,0)+IF(H343&gt;=('难度参数'!$E$52+'难度参数'!$E$53+'难度参数'!$E$54+'难度参数'!$E$55),1,0)+IF(H343&gt;=('难度参数'!$E$52+'难度参数'!$E$53+'难度参数'!$E$54+'难度参数'!$E$55+'难度参数'!$E$56),1,0)+IF(H343&gt;=('难度参数'!$E$52+'难度参数'!$E$53+'难度参数'!$E$54+'难度参数'!$E$55+'难度参数'!$E$56+'难度参数'!$E$57),1,0)</x:f>
        <x:v>6</x:v>
      </x:c>
      <x:c r="W343" s="62" t="str">
        <x:f>IF(L343&gt;'难度参数'!$E$51,"仅出怪已超目标","还需实测")</x:f>
        <x:v>仅出怪已超目标</x:v>
      </x:c>
      <x:c r="X343" s="119" t="n">
        <x:f>IF(1&gt;D343,0,MAX(2,MIN('难度参数'!$E$12,ROUND(('难度参数'!$E$18*POWER(A343,'难度参数'!$E$19)/D343*(0.85+0.3*(1-1)/MAX(1,D343-1))),0)+F343)))</x:f>
        <x:v>31</x:v>
      </x:c>
      <x:c r="Y343" s="119" t="n">
        <x:f>IF(1&gt;D343,0,ROUND(('难度参数'!$E$13*POWER(A343,'难度参数'!$E$20)*MIN('难度参数'!$E$23,1+MAX(0,A343-'难度参数'!$E$21)*'难度参数'!$E$22))*(36+1*7)/(36+7*(D343+1)/2)*E343,0))</x:f>
        <x:v>5991</x:v>
      </x:c>
      <x:c r="Z343" s="119" t="n">
        <x:f>IF(X343=0,0,(X343-IF(1=D343,1,0))*ROUND(Y343*VLOOKUP(INDEX('章节与怪物'!$E$31:$K$37,B343,1),'章节与怪物'!$A$41:$F$44,2,FALSE),0)+IF(1=D343,ROUND(Y343*'难度参数'!$E$28*'章节与怪物'!$E$17,0),0))</x:f>
        <x:v>185721</x:v>
      </x:c>
      <x:c r="AA343" s="119" t="n">
        <x:f>IF(X343=0,0,(X343-IF(1=D343,1,0))*VLOOKUP(INDEX('章节与怪物'!$E$31:$K$37,B343,1),'章节与怪物'!$A$41:$F$44,4,FALSE)+IF(1=D343,'难度参数'!$E$30,0))</x:f>
        <x:v>558</x:v>
      </x:c>
      <x:c r="AB343" s="119" t="n">
        <x:f>IF(2&gt;D343,0,MAX(2,MIN('难度参数'!$E$12,ROUND(('难度参数'!$E$18*POWER(A343,'难度参数'!$E$19)/D343*(0.85+0.3*(2-1)/MAX(1,D343-1))),0)+F343)))</x:f>
        <x:v>33</x:v>
      </x:c>
      <x:c r="AC343" s="119" t="n">
        <x:f>IF(2&gt;D343,0,ROUND(('难度参数'!$E$13*POWER(A343,'难度参数'!$E$20)*MIN('难度参数'!$E$23,1+MAX(0,A343-'难度参数'!$E$21)*'难度参数'!$E$22))*(36+2*7)/(36+7*(D343+1)/2)*E343,0))</x:f>
        <x:v>6967</x:v>
      </x:c>
      <x:c r="AD343" s="119" t="n">
        <x:f>IF(AB343=0,0,(AB343-IF(2=D343,1,0))*ROUND(AC343*VLOOKUP(INDEX('章节与怪物'!$E$31:$K$37,B343,2),'章节与怪物'!$A$41:$F$44,2,FALSE),0)+IF(2=D343,ROUND(AC343*'难度参数'!$E$28*'章节与怪物'!$E$17,0),0))</x:f>
        <x:v>165528</x:v>
      </x:c>
      <x:c r="AE343" s="119" t="n">
        <x:f>IF(AB343=0,0,(AB343-IF(2=D343,1,0))*VLOOKUP(INDEX('章节与怪物'!$E$31:$K$37,B343,2),'章节与怪物'!$A$41:$F$44,4,FALSE)+IF(2=D343,'难度参数'!$E$30,0))</x:f>
        <x:v>660</x:v>
      </x:c>
      <x:c r="AF343" s="119" t="n">
        <x:f>IF(3&gt;D343,0,MAX(2,MIN('难度参数'!$E$12,ROUND(('难度参数'!$E$18*POWER(A343,'难度参数'!$E$19)/D343*(0.85+0.3*(3-1)/MAX(1,D343-1))),0)+F343)))</x:f>
        <x:v>34</x:v>
      </x:c>
      <x:c r="AG343" s="119" t="n">
        <x:f>IF(3&gt;D343,0,ROUND(('难度参数'!$E$13*POWER(A343,'难度参数'!$E$20)*MIN('难度参数'!$E$23,1+MAX(0,A343-'难度参数'!$E$21)*'难度参数'!$E$22))*(36+3*7)/(36+7*(D343+1)/2)*E343,0))</x:f>
        <x:v>7942</x:v>
      </x:c>
      <x:c r="AH343" s="119" t="n">
        <x:f>IF(AF343=0,0,(AF343-IF(3=D343,1,0))*ROUND(AG343*VLOOKUP(INDEX('章节与怪物'!$E$31:$K$37,B343,3),'章节与怪物'!$A$41:$F$44,2,FALSE),0)+IF(3=D343,ROUND(AG343*'难度参数'!$E$28*'章节与怪物'!$E$17,0),0))</x:f>
        <x:v>459034</x:v>
      </x:c>
      <x:c r="AI343" s="119" t="n">
        <x:f>IF(AF343=0,0,(AF343-IF(3=D343,1,0))*VLOOKUP(INDEX('章节与怪物'!$E$31:$K$37,B343,3),'章节与怪物'!$A$41:$F$44,4,FALSE)+IF(3=D343,'难度参数'!$E$30,0))</x:f>
        <x:v>952</x:v>
      </x:c>
      <x:c r="AJ343" s="119" t="n">
        <x:f>IF(4&gt;D343,0,MAX(2,MIN('难度参数'!$E$12,ROUND(('难度参数'!$E$18*POWER(A343,'难度参数'!$E$19)/D343*(0.85+0.3*(4-1)/MAX(1,D343-1))),0)+F343)))</x:f>
        <x:v>36</x:v>
      </x:c>
      <x:c r="AK343" s="119" t="n">
        <x:f>IF(4&gt;D343,0,ROUND(('难度参数'!$E$13*POWER(A343,'难度参数'!$E$20)*MIN('难度参数'!$E$23,1+MAX(0,A343-'难度参数'!$E$21)*'难度参数'!$E$22))*(36+4*7)/(36+7*(D343+1)/2)*E343,0))</x:f>
        <x:v>8917</x:v>
      </x:c>
      <x:c r="AL343" s="119" t="n">
        <x:f>IF(AJ343=0,0,(AJ343-IF(4=D343,1,0))*ROUND(AK343*VLOOKUP(INDEX('章节与怪物'!$E$31:$K$37,B343,4),'章节与怪物'!$A$41:$F$44,2,FALSE),0)+IF(4=D343,ROUND(AK343*'难度参数'!$E$28*'章节与怪物'!$E$17,0),0))</x:f>
        <x:v>433368</x:v>
      </x:c>
      <x:c r="AM343" s="119" t="n">
        <x:f>IF(AJ343=0,0,(AJ343-IF(4=D343,1,0))*VLOOKUP(INDEX('章节与怪物'!$E$31:$K$37,B343,4),'章节与怪物'!$A$41:$F$44,4,FALSE)+IF(4=D343,'难度参数'!$E$30,0))</x:f>
        <x:v>1224</x:v>
      </x:c>
      <x:c r="AN343" s="119" t="n">
        <x:f>IF(5&gt;D343,0,MAX(2,MIN('难度参数'!$E$12,ROUND(('难度参数'!$E$18*POWER(A343,'难度参数'!$E$19)/D343*(0.85+0.3*(5-1)/MAX(1,D343-1))),0)+F343)))</x:f>
        <x:v>38</x:v>
      </x:c>
      <x:c r="AO343" s="119" t="n">
        <x:f>IF(5&gt;D343,0,ROUND(('难度参数'!$E$13*POWER(A343,'难度参数'!$E$20)*MIN('难度参数'!$E$23,1+MAX(0,A343-'难度参数'!$E$21)*'难度参数'!$E$22))*(36+5*7)/(36+7*(D343+1)/2)*E343,0))</x:f>
        <x:v>9892</x:v>
      </x:c>
      <x:c r="AP343" s="119" t="n">
        <x:f>IF(AN343=0,0,(AN343-IF(5=D343,1,0))*ROUND(AO343*VLOOKUP(INDEX('章节与怪物'!$E$31:$K$37,B343,5),'章节与怪物'!$A$41:$F$44,2,FALSE),0)+IF(5=D343,ROUND(AO343*'难度参数'!$E$28*'章节与怪物'!$E$17,0),0))</x:f>
        <x:v>270636</x:v>
      </x:c>
      <x:c r="AQ343" s="119" t="n">
        <x:f>IF(AN343=0,0,(AN343-IF(5=D343,1,0))*VLOOKUP(INDEX('章节与怪物'!$E$31:$K$37,B343,5),'章节与怪物'!$A$41:$F$44,4,FALSE)+IF(5=D343,'难度参数'!$E$30,0))</x:f>
        <x:v>760</x:v>
      </x:c>
      <x:c r="AR343" s="119" t="n">
        <x:f>IF(6&gt;D343,0,MAX(2,MIN('难度参数'!$E$12,ROUND(('难度参数'!$E$18*POWER(A343,'难度参数'!$E$19)/D343*(0.85+0.3*(6-1)/MAX(1,D343-1))),0)+F343)))</x:f>
        <x:v>40</x:v>
      </x:c>
      <x:c r="AS343" s="119" t="n">
        <x:f>IF(6&gt;D343,0,ROUND(('难度参数'!$E$13*POWER(A343,'难度参数'!$E$20)*MIN('难度参数'!$E$23,1+MAX(0,A343-'难度参数'!$E$21)*'难度参数'!$E$22))*(36+6*7)/(36+7*(D343+1)/2)*E343,0))</x:f>
        <x:v>10868</x:v>
      </x:c>
      <x:c r="AT343" s="119" t="n">
        <x:f>IF(AR343=0,0,(AR343-IF(6=D343,1,0))*ROUND(AS343*VLOOKUP(INDEX('章节与怪物'!$E$31:$K$37,B343,6),'章节与怪物'!$A$41:$F$44,2,FALSE),0)+IF(6=D343,ROUND(AS343*'难度参数'!$E$28*'章节与怪物'!$E$17,0),0))</x:f>
        <x:v>739040</x:v>
      </x:c>
      <x:c r="AU343" s="119" t="n">
        <x:f>IF(AR343=0,0,(AR343-IF(6=D343,1,0))*VLOOKUP(INDEX('章节与怪物'!$E$31:$K$37,B343,6),'章节与怪物'!$A$41:$F$44,4,FALSE)+IF(6=D343,'难度参数'!$E$30,0))</x:f>
        <x:v>1120</x:v>
      </x:c>
      <x:c r="AV343" s="119" t="n">
        <x:f>IF(7&gt;D343,0,MAX(2,MIN('难度参数'!$E$12,ROUND(('难度参数'!$E$18*POWER(A343,'难度参数'!$E$19)/D343*(0.85+0.3*(7-1)/MAX(1,D343-1))),0)+F343)))</x:f>
        <x:v>42</x:v>
      </x:c>
      <x:c r="AW343" s="119" t="n">
        <x:f>IF(7&gt;D343,0,ROUND(('难度参数'!$E$13*POWER(A343,'难度参数'!$E$20)*MIN('难度参数'!$E$23,1+MAX(0,A343-'难度参数'!$E$21)*'难度参数'!$E$22))*(36+7*7)/(36+7*(D343+1)/2)*E343,0))</x:f>
        <x:v>11843</x:v>
      </x:c>
      <x:c r="AX343" s="119" t="n">
        <x:f>IF(AV343=0,0,(AV343-IF(7=D343,1,0))*ROUND(AW343*VLOOKUP(INDEX('章节与怪物'!$E$31:$K$37,B343,7),'章节与怪物'!$A$41:$F$44,2,FALSE),0)+IF(7=D343,ROUND(AW343*'难度参数'!$E$28*'章节与怪物'!$E$17,0),0))</x:f>
        <x:v>736040</x:v>
      </x:c>
      <x:c r="AY343" s="119" t="n">
        <x:f>IF(AV343=0,0,(AV343-IF(7=D343,1,0))*VLOOKUP(INDEX('章节与怪物'!$E$31:$K$37,B343,7),'章节与怪物'!$A$41:$F$44,4,FALSE)+IF(7=D343,'难度参数'!$E$30,0))</x:f>
        <x:v>1594</x:v>
      </x:c>
    </x:row>
    <x:row r="344" ht="23" customHeight="1">
      <x:c r="A344" s="119" t="n">
        <x:v>338</x:v>
      </x:c>
      <x:c r="B344" s="119" t="n">
        <x:f>MOD(INT((A344-1)/5),7)+1</x:f>
        <x:v>5</x:v>
      </x:c>
      <x:c r="C344" s="62" t="str">
        <x:f>INDEX('章节与怪物'!$B$31:$B$37,B344)</x:f>
        <x:v>雨林遗迹</x:v>
      </x:c>
      <x:c r="D344" s="119" t="n">
        <x:f>MIN('难度参数'!$E$8,MAX('难度参数'!$E$7,A344))</x:f>
        <x:v>7</x:v>
      </x:c>
      <x:c r="E344" s="106" t="n">
        <x:v>1</x:v>
      </x:c>
      <x:c r="F344" s="106" t="n">
        <x:v>0</x:v>
      </x:c>
      <x:c r="G344" s="106" t="n">
        <x:v>1</x:v>
      </x:c>
      <x:c r="H344" s="119" t="n">
        <x:f>SUM(X344,AB344,AF344,AJ344,AN344,AR344,AV344)</x:f>
        <x:v>254</x:v>
      </x:c>
      <x:c r="I344" s="119" t="n">
        <x:f>SUM(Z344,AD344,AH344,AL344,AP344,AT344,AX344)</x:f>
        <x:v>2995754</x:v>
      </x:c>
      <x:c r="J344" s="119" t="n">
        <x:f>ROUND(INDEX(X344:AY344,1,(D344-1)*4+2)*'难度参数'!$E$28*'章节与怪物'!$E$17,0)</x:f>
        <x:v>80702</x:v>
      </x:c>
      <x:c r="K344" s="119" t="n">
        <x:f>SUM(AA344,AE344,AI344,AM344,AQ344,AU344,AY344)</x:f>
        <x:v>6868</x:v>
      </x:c>
      <x:c r="L344" s="62" t="n">
        <x:f>H344*(ROUNDUP('难度参数'!$E$24/('难度参数'!$E$26*'难度参数'!$E$27),0)*'难度参数'!$E$26)/60</x:f>
        <x:v>3.386666666666667</x:v>
      </x:c>
      <x:c r="M344" s="62" t="n">
        <x:f>L344+D344*('难度参数'!$E$49+'难度参数'!$E$50)/60</x:f>
        <x:v>4.553333333333334</x:v>
      </x:c>
      <x:c r="N344" s="119" t="n">
        <x:f>ROUNDDOWN(('经济参数'!$E$20+A344*'经济参数'!$E$21)*G344,0)</x:f>
        <x:v>6940</x:v>
      </x:c>
      <x:c r="O344" s="119" t="n">
        <x:f>ROUNDDOWN(MIN('经济参数'!$E$24,'经济参数'!$E$22+A344*'经济参数'!$E$23)*G344,0)</x:f>
        <x:v>0</x:v>
      </x:c>
      <x:c r="P344" s="119" t="n">
        <x:f>ROUNDDOWN((IF(A344&gt;='材料与任务'!$E$31,'材料与任务'!$E$32,IF(A344&gt;='材料与任务'!$E$25,'材料与任务'!$E$26,IF(A344&gt;='材料与任务'!$E$19,'材料与任务'!$E$20,IF(A344&gt;='材料与任务'!$E$13,'材料与任务'!$E$14,'材料与任务'!$E$8)))))*G344,0)</x:f>
        <x:v>6</x:v>
      </x:c>
      <x:c r="Q344" s="119" t="n">
        <x:f>ROUNDDOWN((IF(A344&gt;='材料与任务'!$E$31,'材料与任务'!$E$33,IF(A344&gt;='材料与任务'!$E$25,'材料与任务'!$E$27,IF(A344&gt;='材料与任务'!$E$19,'材料与任务'!$E$21,IF(A344&gt;='材料与任务'!$E$13,'材料与任务'!$E$15,'材料与任务'!$E$9)))))*G344,0)</x:f>
        <x:v>3</x:v>
      </x:c>
      <x:c r="R344" s="110" t="n">
        <x:f>'装备掉落'!$B$38</x:f>
        <x:v>0.6872058758851213</x:v>
      </x:c>
      <x:c r="S344" s="119" t="n">
        <x:f>MAX(IF(VLOOKUP(A344,'装备掉落'!$A$29:$H$34,2,TRUE)&gt;0,1,0),IF(VLOOKUP(A344,'装备掉落'!$A$29:$H$34,3,TRUE)&gt;0,2,0),IF(VLOOKUP(A344,'装备掉落'!$A$29:$H$34,4,TRUE)&gt;0,3,0),IF(VLOOKUP(A344,'装备掉落'!$A$29:$H$34,5,TRUE)&gt;0,4,0),IF(VLOOKUP(A344,'装备掉落'!$A$29:$H$34,6,TRUE)&gt;0,5,0),IF(VLOOKUP(A344,'装备掉落'!$A$29:$H$34,7,TRUE)&gt;0,6,0),IF(VLOOKUP(A344,'装备掉落'!$A$29:$H$34,8,TRUE)&gt;0,7,0))</x:f>
        <x:v>7</x:v>
      </x:c>
      <x:c r="T344" s="119" t="n">
        <x:f>MIN(7,S344+'经济参数'!$E$70)</x:f>
        <x:v>7</x:v>
      </x:c>
      <x:c r="U344" s="119" t="n">
        <x:f>MIN(7,S344+'经济参数'!$E$71)</x:f>
        <x:v>7</x:v>
      </x:c>
      <x:c r="V344" s="119" t="n">
        <x:f>IF(H344&gt;=('难度参数'!$E$52),1,0)+IF(H344&gt;=('难度参数'!$E$52+'难度参数'!$E$53),1,0)+IF(H344&gt;=('难度参数'!$E$52+'难度参数'!$E$53+'难度参数'!$E$54),1,0)+IF(H344&gt;=('难度参数'!$E$52+'难度参数'!$E$53+'难度参数'!$E$54+'难度参数'!$E$55),1,0)+IF(H344&gt;=('难度参数'!$E$52+'难度参数'!$E$53+'难度参数'!$E$54+'难度参数'!$E$55+'难度参数'!$E$56),1,0)+IF(H344&gt;=('难度参数'!$E$52+'难度参数'!$E$53+'难度参数'!$E$54+'难度参数'!$E$55+'难度参数'!$E$56+'难度参数'!$E$57),1,0)</x:f>
        <x:v>6</x:v>
      </x:c>
      <x:c r="W344" s="62" t="str">
        <x:f>IF(L344&gt;'难度参数'!$E$51,"仅出怪已超目标","还需实测")</x:f>
        <x:v>仅出怪已超目标</x:v>
      </x:c>
      <x:c r="X344" s="119" t="n">
        <x:f>IF(1&gt;D344,0,MAX(2,MIN('难度参数'!$E$12,ROUND(('难度参数'!$E$18*POWER(A344,'难度参数'!$E$19)/D344*(0.85+0.3*(1-1)/MAX(1,D344-1))),0)+F344)))</x:f>
        <x:v>31</x:v>
      </x:c>
      <x:c r="Y344" s="119" t="n">
        <x:f>IF(1&gt;D344,0,ROUND(('难度参数'!$E$13*POWER(A344,'难度参数'!$E$20)*MIN('难度参数'!$E$23,1+MAX(0,A344-'难度参数'!$E$21)*'难度参数'!$E$22))*(36+1*7)/(36+7*(D344+1)/2)*E344,0))</x:f>
        <x:v>6004</x:v>
      </x:c>
      <x:c r="Z344" s="119" t="n">
        <x:f>IF(X344=0,0,(X344-IF(1=D344,1,0))*ROUND(Y344*VLOOKUP(INDEX('章节与怪物'!$E$31:$K$37,B344,1),'章节与怪物'!$A$41:$F$44,2,FALSE),0)+IF(1=D344,ROUND(Y344*'难度参数'!$E$28*'章节与怪物'!$E$17,0),0))</x:f>
        <x:v>186124</x:v>
      </x:c>
      <x:c r="AA344" s="119" t="n">
        <x:f>IF(X344=0,0,(X344-IF(1=D344,1,0))*VLOOKUP(INDEX('章节与怪物'!$E$31:$K$37,B344,1),'章节与怪物'!$A$41:$F$44,4,FALSE)+IF(1=D344,'难度参数'!$E$30,0))</x:f>
        <x:v>558</x:v>
      </x:c>
      <x:c r="AB344" s="119" t="n">
        <x:f>IF(2&gt;D344,0,MAX(2,MIN('难度参数'!$E$12,ROUND(('难度参数'!$E$18*POWER(A344,'难度参数'!$E$19)/D344*(0.85+0.3*(2-1)/MAX(1,D344-1))),0)+F344)))</x:f>
        <x:v>33</x:v>
      </x:c>
      <x:c r="AC344" s="119" t="n">
        <x:f>IF(2&gt;D344,0,ROUND(('难度参数'!$E$13*POWER(A344,'难度参数'!$E$20)*MIN('难度参数'!$E$23,1+MAX(0,A344-'难度参数'!$E$21)*'难度参数'!$E$22))*(36+2*7)/(36+7*(D344+1)/2)*E344,0))</x:f>
        <x:v>6981</x:v>
      </x:c>
      <x:c r="AD344" s="119" t="n">
        <x:f>IF(AB344=0,0,(AB344-IF(2=D344,1,0))*ROUND(AC344*VLOOKUP(INDEX('章节与怪物'!$E$31:$K$37,B344,2),'章节与怪物'!$A$41:$F$44,2,FALSE),0)+IF(2=D344,ROUND(AC344*'难度参数'!$E$28*'章节与怪物'!$E$17,0),0))</x:f>
        <x:v>165858</x:v>
      </x:c>
      <x:c r="AE344" s="119" t="n">
        <x:f>IF(AB344=0,0,(AB344-IF(2=D344,1,0))*VLOOKUP(INDEX('章节与怪物'!$E$31:$K$37,B344,2),'章节与怪物'!$A$41:$F$44,4,FALSE)+IF(2=D344,'难度参数'!$E$30,0))</x:f>
        <x:v>660</x:v>
      </x:c>
      <x:c r="AF344" s="119" t="n">
        <x:f>IF(3&gt;D344,0,MAX(2,MIN('难度参数'!$E$12,ROUND(('难度参数'!$E$18*POWER(A344,'难度参数'!$E$19)/D344*(0.85+0.3*(3-1)/MAX(1,D344-1))),0)+F344)))</x:f>
        <x:v>34</x:v>
      </x:c>
      <x:c r="AG344" s="119" t="n">
        <x:f>IF(3&gt;D344,0,ROUND(('难度参数'!$E$13*POWER(A344,'难度参数'!$E$20)*MIN('难度参数'!$E$23,1+MAX(0,A344-'难度参数'!$E$21)*'难度参数'!$E$22))*(36+3*7)/(36+7*(D344+1)/2)*E344,0))</x:f>
        <x:v>7959</x:v>
      </x:c>
      <x:c r="AH344" s="119" t="n">
        <x:f>IF(AF344=0,0,(AF344-IF(3=D344,1,0))*ROUND(AG344*VLOOKUP(INDEX('章节与怪物'!$E$31:$K$37,B344,3),'章节与怪物'!$A$41:$F$44,2,FALSE),0)+IF(3=D344,ROUND(AG344*'难度参数'!$E$28*'章节与怪物'!$E$17,0),0))</x:f>
        <x:v>460020</x:v>
      </x:c>
      <x:c r="AI344" s="119" t="n">
        <x:f>IF(AF344=0,0,(AF344-IF(3=D344,1,0))*VLOOKUP(INDEX('章节与怪物'!$E$31:$K$37,B344,3),'章节与怪物'!$A$41:$F$44,4,FALSE)+IF(3=D344,'难度参数'!$E$30,0))</x:f>
        <x:v>952</x:v>
      </x:c>
      <x:c r="AJ344" s="119" t="n">
        <x:f>IF(4&gt;D344,0,MAX(2,MIN('难度参数'!$E$12,ROUND(('难度参数'!$E$18*POWER(A344,'难度参数'!$E$19)/D344*(0.85+0.3*(4-1)/MAX(1,D344-1))),0)+F344)))</x:f>
        <x:v>36</x:v>
      </x:c>
      <x:c r="AK344" s="119" t="n">
        <x:f>IF(4&gt;D344,0,ROUND(('难度参数'!$E$13*POWER(A344,'难度参数'!$E$20)*MIN('难度参数'!$E$23,1+MAX(0,A344-'难度参数'!$E$21)*'难度参数'!$E$22))*(36+4*7)/(36+7*(D344+1)/2)*E344,0))</x:f>
        <x:v>8936</x:v>
      </x:c>
      <x:c r="AL344" s="119" t="n">
        <x:f>IF(AJ344=0,0,(AJ344-IF(4=D344,1,0))*ROUND(AK344*VLOOKUP(INDEX('章节与怪物'!$E$31:$K$37,B344,4),'章节与怪物'!$A$41:$F$44,2,FALSE),0)+IF(4=D344,ROUND(AK344*'难度参数'!$E$28*'章节与怪物'!$E$17,0),0))</x:f>
        <x:v>434304</x:v>
      </x:c>
      <x:c r="AM344" s="119" t="n">
        <x:f>IF(AJ344=0,0,(AJ344-IF(4=D344,1,0))*VLOOKUP(INDEX('章节与怪物'!$E$31:$K$37,B344,4),'章节与怪物'!$A$41:$F$44,4,FALSE)+IF(4=D344,'难度参数'!$E$30,0))</x:f>
        <x:v>1224</x:v>
      </x:c>
      <x:c r="AN344" s="119" t="n">
        <x:f>IF(5&gt;D344,0,MAX(2,MIN('难度参数'!$E$12,ROUND(('难度参数'!$E$18*POWER(A344,'难度参数'!$E$19)/D344*(0.85+0.3*(5-1)/MAX(1,D344-1))),0)+F344)))</x:f>
        <x:v>38</x:v>
      </x:c>
      <x:c r="AO344" s="119" t="n">
        <x:f>IF(5&gt;D344,0,ROUND(('难度参数'!$E$13*POWER(A344,'难度参数'!$E$20)*MIN('难度参数'!$E$23,1+MAX(0,A344-'难度参数'!$E$21)*'难度参数'!$E$22))*(36+5*7)/(36+7*(D344+1)/2)*E344,0))</x:f>
        <x:v>9914</x:v>
      </x:c>
      <x:c r="AP344" s="119" t="n">
        <x:f>IF(AN344=0,0,(AN344-IF(5=D344,1,0))*ROUND(AO344*VLOOKUP(INDEX('章节与怪物'!$E$31:$K$37,B344,5),'章节与怪物'!$A$41:$F$44,2,FALSE),0)+IF(5=D344,ROUND(AO344*'难度参数'!$E$28*'章节与怪物'!$E$17,0),0))</x:f>
        <x:v>271244</x:v>
      </x:c>
      <x:c r="AQ344" s="119" t="n">
        <x:f>IF(AN344=0,0,(AN344-IF(5=D344,1,0))*VLOOKUP(INDEX('章节与怪物'!$E$31:$K$37,B344,5),'章节与怪物'!$A$41:$F$44,4,FALSE)+IF(5=D344,'难度参数'!$E$30,0))</x:f>
        <x:v>760</x:v>
      </x:c>
      <x:c r="AR344" s="119" t="n">
        <x:f>IF(6&gt;D344,0,MAX(2,MIN('难度参数'!$E$12,ROUND(('难度参数'!$E$18*POWER(A344,'难度参数'!$E$19)/D344*(0.85+0.3*(6-1)/MAX(1,D344-1))),0)+F344)))</x:f>
        <x:v>40</x:v>
      </x:c>
      <x:c r="AS344" s="119" t="n">
        <x:f>IF(6&gt;D344,0,ROUND(('难度参数'!$E$13*POWER(A344,'难度参数'!$E$20)*MIN('难度参数'!$E$23,1+MAX(0,A344-'难度参数'!$E$21)*'难度参数'!$E$22))*(36+6*7)/(36+7*(D344+1)/2)*E344,0))</x:f>
        <x:v>10891</x:v>
      </x:c>
      <x:c r="AT344" s="119" t="n">
        <x:f>IF(AR344=0,0,(AR344-IF(6=D344,1,0))*ROUND(AS344*VLOOKUP(INDEX('章节与怪物'!$E$31:$K$37,B344,6),'章节与怪物'!$A$41:$F$44,2,FALSE),0)+IF(6=D344,ROUND(AS344*'难度参数'!$E$28*'章节与怪物'!$E$17,0),0))</x:f>
        <x:v>740600</x:v>
      </x:c>
      <x:c r="AU344" s="119" t="n">
        <x:f>IF(AR344=0,0,(AR344-IF(6=D344,1,0))*VLOOKUP(INDEX('章节与怪物'!$E$31:$K$37,B344,6),'章节与怪物'!$A$41:$F$44,4,FALSE)+IF(6=D344,'难度参数'!$E$30,0))</x:f>
        <x:v>1120</x:v>
      </x:c>
      <x:c r="AV344" s="119" t="n">
        <x:f>IF(7&gt;D344,0,MAX(2,MIN('难度参数'!$E$12,ROUND(('难度参数'!$E$18*POWER(A344,'难度参数'!$E$19)/D344*(0.85+0.3*(7-1)/MAX(1,D344-1))),0)+F344)))</x:f>
        <x:v>42</x:v>
      </x:c>
      <x:c r="AW344" s="119" t="n">
        <x:f>IF(7&gt;D344,0,ROUND(('难度参数'!$E$13*POWER(A344,'难度参数'!$E$20)*MIN('难度参数'!$E$23,1+MAX(0,A344-'难度参数'!$E$21)*'难度参数'!$E$22))*(36+7*7)/(36+7*(D344+1)/2)*E344,0))</x:f>
        <x:v>11868</x:v>
      </x:c>
      <x:c r="AX344" s="119" t="n">
        <x:f>IF(AV344=0,0,(AV344-IF(7=D344,1,0))*ROUND(AW344*VLOOKUP(INDEX('章节与怪物'!$E$31:$K$37,B344,7),'章节与怪物'!$A$41:$F$44,2,FALSE),0)+IF(7=D344,ROUND(AW344*'难度参数'!$E$28*'章节与怪物'!$E$17,0),0))</x:f>
        <x:v>737604</x:v>
      </x:c>
      <x:c r="AY344" s="119" t="n">
        <x:f>IF(AV344=0,0,(AV344-IF(7=D344,1,0))*VLOOKUP(INDEX('章节与怪物'!$E$31:$K$37,B344,7),'章节与怪物'!$A$41:$F$44,4,FALSE)+IF(7=D344,'难度参数'!$E$30,0))</x:f>
        <x:v>1594</x:v>
      </x:c>
    </x:row>
    <x:row r="345" ht="23" customHeight="1">
      <x:c r="A345" s="119" t="n">
        <x:v>339</x:v>
      </x:c>
      <x:c r="B345" s="119" t="n">
        <x:f>MOD(INT((A345-1)/5),7)+1</x:f>
        <x:v>5</x:v>
      </x:c>
      <x:c r="C345" s="62" t="str">
        <x:f>INDEX('章节与怪物'!$B$31:$B$37,B345)</x:f>
        <x:v>雨林遗迹</x:v>
      </x:c>
      <x:c r="D345" s="119" t="n">
        <x:f>MIN('难度参数'!$E$8,MAX('难度参数'!$E$7,A345))</x:f>
        <x:v>7</x:v>
      </x:c>
      <x:c r="E345" s="106" t="n">
        <x:v>1</x:v>
      </x:c>
      <x:c r="F345" s="106" t="n">
        <x:v>0</x:v>
      </x:c>
      <x:c r="G345" s="106" t="n">
        <x:v>1</x:v>
      </x:c>
      <x:c r="H345" s="119" t="n">
        <x:f>SUM(X345,AB345,AF345,AJ345,AN345,AR345,AV345)</x:f>
        <x:v>254</x:v>
      </x:c>
      <x:c r="I345" s="119" t="n">
        <x:f>SUM(Z345,AD345,AH345,AL345,AP345,AT345,AX345)</x:f>
        <x:v>3002148</x:v>
      </x:c>
      <x:c r="J345" s="119" t="n">
        <x:f>ROUND(INDEX(X345:AY345,1,(D345-1)*4+2)*'难度参数'!$E$28*'章节与怪物'!$E$17,0)</x:f>
        <x:v>80879</x:v>
      </x:c>
      <x:c r="K345" s="119" t="n">
        <x:f>SUM(AA345,AE345,AI345,AM345,AQ345,AU345,AY345)</x:f>
        <x:v>6868</x:v>
      </x:c>
      <x:c r="L345" s="62" t="n">
        <x:f>H345*(ROUNDUP('难度参数'!$E$24/('难度参数'!$E$26*'难度参数'!$E$27),0)*'难度参数'!$E$26)/60</x:f>
        <x:v>3.386666666666667</x:v>
      </x:c>
      <x:c r="M345" s="62" t="n">
        <x:f>L345+D345*('难度参数'!$E$49+'难度参数'!$E$50)/60</x:f>
        <x:v>4.553333333333334</x:v>
      </x:c>
      <x:c r="N345" s="119" t="n">
        <x:f>ROUNDDOWN(('经济参数'!$E$20+A345*'经济参数'!$E$21)*G345,0)</x:f>
        <x:v>6960</x:v>
      </x:c>
      <x:c r="O345" s="119" t="n">
        <x:f>ROUNDDOWN(MIN('经济参数'!$E$24,'经济参数'!$E$22+A345*'经济参数'!$E$23)*G345,0)</x:f>
        <x:v>0</x:v>
      </x:c>
      <x:c r="P345" s="119" t="n">
        <x:f>ROUNDDOWN((IF(A345&gt;='材料与任务'!$E$31,'材料与任务'!$E$32,IF(A345&gt;='材料与任务'!$E$25,'材料与任务'!$E$26,IF(A345&gt;='材料与任务'!$E$19,'材料与任务'!$E$20,IF(A345&gt;='材料与任务'!$E$13,'材料与任务'!$E$14,'材料与任务'!$E$8)))))*G345,0)</x:f>
        <x:v>6</x:v>
      </x:c>
      <x:c r="Q345" s="119" t="n">
        <x:f>ROUNDDOWN((IF(A345&gt;='材料与任务'!$E$31,'材料与任务'!$E$33,IF(A345&gt;='材料与任务'!$E$25,'材料与任务'!$E$27,IF(A345&gt;='材料与任务'!$E$19,'材料与任务'!$E$21,IF(A345&gt;='材料与任务'!$E$13,'材料与任务'!$E$15,'材料与任务'!$E$9)))))*G345,0)</x:f>
        <x:v>3</x:v>
      </x:c>
      <x:c r="R345" s="110" t="n">
        <x:f>'装备掉落'!$B$38</x:f>
        <x:v>0.6872058758851213</x:v>
      </x:c>
      <x:c r="S345" s="119" t="n">
        <x:f>MAX(IF(VLOOKUP(A345,'装备掉落'!$A$29:$H$34,2,TRUE)&gt;0,1,0),IF(VLOOKUP(A345,'装备掉落'!$A$29:$H$34,3,TRUE)&gt;0,2,0),IF(VLOOKUP(A345,'装备掉落'!$A$29:$H$34,4,TRUE)&gt;0,3,0),IF(VLOOKUP(A345,'装备掉落'!$A$29:$H$34,5,TRUE)&gt;0,4,0),IF(VLOOKUP(A345,'装备掉落'!$A$29:$H$34,6,TRUE)&gt;0,5,0),IF(VLOOKUP(A345,'装备掉落'!$A$29:$H$34,7,TRUE)&gt;0,6,0),IF(VLOOKUP(A345,'装备掉落'!$A$29:$H$34,8,TRUE)&gt;0,7,0))</x:f>
        <x:v>7</x:v>
      </x:c>
      <x:c r="T345" s="119" t="n">
        <x:f>MIN(7,S345+'经济参数'!$E$70)</x:f>
        <x:v>7</x:v>
      </x:c>
      <x:c r="U345" s="119" t="n">
        <x:f>MIN(7,S345+'经济参数'!$E$71)</x:f>
        <x:v>7</x:v>
      </x:c>
      <x:c r="V345" s="119" t="n">
        <x:f>IF(H345&gt;=('难度参数'!$E$52),1,0)+IF(H345&gt;=('难度参数'!$E$52+'难度参数'!$E$53),1,0)+IF(H345&gt;=('难度参数'!$E$52+'难度参数'!$E$53+'难度参数'!$E$54),1,0)+IF(H345&gt;=('难度参数'!$E$52+'难度参数'!$E$53+'难度参数'!$E$54+'难度参数'!$E$55),1,0)+IF(H345&gt;=('难度参数'!$E$52+'难度参数'!$E$53+'难度参数'!$E$54+'难度参数'!$E$55+'难度参数'!$E$56),1,0)+IF(H345&gt;=('难度参数'!$E$52+'难度参数'!$E$53+'难度参数'!$E$54+'难度参数'!$E$55+'难度参数'!$E$56+'难度参数'!$E$57),1,0)</x:f>
        <x:v>6</x:v>
      </x:c>
      <x:c r="W345" s="62" t="str">
        <x:f>IF(L345&gt;'难度参数'!$E$51,"仅出怪已超目标","还需实测")</x:f>
        <x:v>仅出怪已超目标</x:v>
      </x:c>
      <x:c r="X345" s="119" t="n">
        <x:f>IF(1&gt;D345,0,MAX(2,MIN('难度参数'!$E$12,ROUND(('难度参数'!$E$18*POWER(A345,'难度参数'!$E$19)/D345*(0.85+0.3*(1-1)/MAX(1,D345-1))),0)+F345)))</x:f>
        <x:v>31</x:v>
      </x:c>
      <x:c r="Y345" s="119" t="n">
        <x:f>IF(1&gt;D345,0,ROUND(('难度参数'!$E$13*POWER(A345,'难度参数'!$E$20)*MIN('难度参数'!$E$23,1+MAX(0,A345-'难度参数'!$E$21)*'难度参数'!$E$22))*(36+1*7)/(36+7*(D345+1)/2)*E345,0))</x:f>
        <x:v>6017</x:v>
      </x:c>
      <x:c r="Z345" s="119" t="n">
        <x:f>IF(X345=0,0,(X345-IF(1=D345,1,0))*ROUND(Y345*VLOOKUP(INDEX('章节与怪物'!$E$31:$K$37,B345,1),'章节与怪物'!$A$41:$F$44,2,FALSE),0)+IF(1=D345,ROUND(Y345*'难度参数'!$E$28*'章节与怪物'!$E$17,0),0))</x:f>
        <x:v>186527</x:v>
      </x:c>
      <x:c r="AA345" s="119" t="n">
        <x:f>IF(X345=0,0,(X345-IF(1=D345,1,0))*VLOOKUP(INDEX('章节与怪物'!$E$31:$K$37,B345,1),'章节与怪物'!$A$41:$F$44,4,FALSE)+IF(1=D345,'难度参数'!$E$30,0))</x:f>
        <x:v>558</x:v>
      </x:c>
      <x:c r="AB345" s="119" t="n">
        <x:f>IF(2&gt;D345,0,MAX(2,MIN('难度参数'!$E$12,ROUND(('难度参数'!$E$18*POWER(A345,'难度参数'!$E$19)/D345*(0.85+0.3*(2-1)/MAX(1,D345-1))),0)+F345)))</x:f>
        <x:v>33</x:v>
      </x:c>
      <x:c r="AC345" s="119" t="n">
        <x:f>IF(2&gt;D345,0,ROUND(('难度参数'!$E$13*POWER(A345,'难度参数'!$E$20)*MIN('难度参数'!$E$23,1+MAX(0,A345-'难度参数'!$E$21)*'难度参数'!$E$22))*(36+2*7)/(36+7*(D345+1)/2)*E345,0))</x:f>
        <x:v>6996</x:v>
      </x:c>
      <x:c r="AD345" s="119" t="n">
        <x:f>IF(AB345=0,0,(AB345-IF(2=D345,1,0))*ROUND(AC345*VLOOKUP(INDEX('章节与怪物'!$E$31:$K$37,B345,2),'章节与怪物'!$A$41:$F$44,2,FALSE),0)+IF(2=D345,ROUND(AC345*'难度参数'!$E$28*'章节与怪物'!$E$17,0),0))</x:f>
        <x:v>166221</x:v>
      </x:c>
      <x:c r="AE345" s="119" t="n">
        <x:f>IF(AB345=0,0,(AB345-IF(2=D345,1,0))*VLOOKUP(INDEX('章节与怪物'!$E$31:$K$37,B345,2),'章节与怪物'!$A$41:$F$44,4,FALSE)+IF(2=D345,'难度参数'!$E$30,0))</x:f>
        <x:v>660</x:v>
      </x:c>
      <x:c r="AF345" s="119" t="n">
        <x:f>IF(3&gt;D345,0,MAX(2,MIN('难度参数'!$E$12,ROUND(('难度参数'!$E$18*POWER(A345,'难度参数'!$E$19)/D345*(0.85+0.3*(3-1)/MAX(1,D345-1))),0)+F345)))</x:f>
        <x:v>34</x:v>
      </x:c>
      <x:c r="AG345" s="119" t="n">
        <x:f>IF(3&gt;D345,0,ROUND(('难度参数'!$E$13*POWER(A345,'难度参数'!$E$20)*MIN('难度参数'!$E$23,1+MAX(0,A345-'难度参数'!$E$21)*'难度参数'!$E$22))*(36+3*7)/(36+7*(D345+1)/2)*E345,0))</x:f>
        <x:v>7976</x:v>
      </x:c>
      <x:c r="AH345" s="119" t="n">
        <x:f>IF(AF345=0,0,(AF345-IF(3=D345,1,0))*ROUND(AG345*VLOOKUP(INDEX('章节与怪物'!$E$31:$K$37,B345,3),'章节与怪物'!$A$41:$F$44,2,FALSE),0)+IF(3=D345,ROUND(AG345*'难度参数'!$E$28*'章节与怪物'!$E$17,0),0))</x:f>
        <x:v>461006</x:v>
      </x:c>
      <x:c r="AI345" s="119" t="n">
        <x:f>IF(AF345=0,0,(AF345-IF(3=D345,1,0))*VLOOKUP(INDEX('章节与怪物'!$E$31:$K$37,B345,3),'章节与怪物'!$A$41:$F$44,4,FALSE)+IF(3=D345,'难度参数'!$E$30,0))</x:f>
        <x:v>952</x:v>
      </x:c>
      <x:c r="AJ345" s="119" t="n">
        <x:f>IF(4&gt;D345,0,MAX(2,MIN('难度参数'!$E$12,ROUND(('难度参数'!$E$18*POWER(A345,'难度参数'!$E$19)/D345*(0.85+0.3*(4-1)/MAX(1,D345-1))),0)+F345)))</x:f>
        <x:v>36</x:v>
      </x:c>
      <x:c r="AK345" s="119" t="n">
        <x:f>IF(4&gt;D345,0,ROUND(('难度参数'!$E$13*POWER(A345,'难度参数'!$E$20)*MIN('难度参数'!$E$23,1+MAX(0,A345-'难度参数'!$E$21)*'难度参数'!$E$22))*(36+4*7)/(36+7*(D345+1)/2)*E345,0))</x:f>
        <x:v>8955</x:v>
      </x:c>
      <x:c r="AL345" s="119" t="n">
        <x:f>IF(AJ345=0,0,(AJ345-IF(4=D345,1,0))*ROUND(AK345*VLOOKUP(INDEX('章节与怪物'!$E$31:$K$37,B345,4),'章节与怪物'!$A$41:$F$44,2,FALSE),0)+IF(4=D345,ROUND(AK345*'难度参数'!$E$28*'章节与怪物'!$E$17,0),0))</x:f>
        <x:v>435204</x:v>
      </x:c>
      <x:c r="AM345" s="119" t="n">
        <x:f>IF(AJ345=0,0,(AJ345-IF(4=D345,1,0))*VLOOKUP(INDEX('章节与怪物'!$E$31:$K$37,B345,4),'章节与怪物'!$A$41:$F$44,4,FALSE)+IF(4=D345,'难度参数'!$E$30,0))</x:f>
        <x:v>1224</x:v>
      </x:c>
      <x:c r="AN345" s="119" t="n">
        <x:f>IF(5&gt;D345,0,MAX(2,MIN('难度参数'!$E$12,ROUND(('难度参数'!$E$18*POWER(A345,'难度参数'!$E$19)/D345*(0.85+0.3*(5-1)/MAX(1,D345-1))),0)+F345)))</x:f>
        <x:v>38</x:v>
      </x:c>
      <x:c r="AO345" s="119" t="n">
        <x:f>IF(5&gt;D345,0,ROUND(('难度参数'!$E$13*POWER(A345,'难度参数'!$E$20)*MIN('难度参数'!$E$23,1+MAX(0,A345-'难度参数'!$E$21)*'难度参数'!$E$22))*(36+5*7)/(36+7*(D345+1)/2)*E345,0))</x:f>
        <x:v>9935</x:v>
      </x:c>
      <x:c r="AP345" s="119" t="n">
        <x:f>IF(AN345=0,0,(AN345-IF(5=D345,1,0))*ROUND(AO345*VLOOKUP(INDEX('章节与怪物'!$E$31:$K$37,B345,5),'章节与怪物'!$A$41:$F$44,2,FALSE),0)+IF(5=D345,ROUND(AO345*'难度参数'!$E$28*'章节与怪物'!$E$17,0),0))</x:f>
        <x:v>271814</x:v>
      </x:c>
      <x:c r="AQ345" s="119" t="n">
        <x:f>IF(AN345=0,0,(AN345-IF(5=D345,1,0))*VLOOKUP(INDEX('章节与怪物'!$E$31:$K$37,B345,5),'章节与怪物'!$A$41:$F$44,4,FALSE)+IF(5=D345,'难度参数'!$E$30,0))</x:f>
        <x:v>760</x:v>
      </x:c>
      <x:c r="AR345" s="119" t="n">
        <x:f>IF(6&gt;D345,0,MAX(2,MIN('难度参数'!$E$12,ROUND(('难度参数'!$E$18*POWER(A345,'难度参数'!$E$19)/D345*(0.85+0.3*(6-1)/MAX(1,D345-1))),0)+F345)))</x:f>
        <x:v>40</x:v>
      </x:c>
      <x:c r="AS345" s="119" t="n">
        <x:f>IF(6&gt;D345,0,ROUND(('难度参数'!$E$13*POWER(A345,'难度参数'!$E$20)*MIN('难度参数'!$E$23,1+MAX(0,A345-'难度参数'!$E$21)*'难度参数'!$E$22))*(36+6*7)/(36+7*(D345+1)/2)*E345,0))</x:f>
        <x:v>10914</x:v>
      </x:c>
      <x:c r="AT345" s="119" t="n">
        <x:f>IF(AR345=0,0,(AR345-IF(6=D345,1,0))*ROUND(AS345*VLOOKUP(INDEX('章节与怪物'!$E$31:$K$37,B345,6),'章节与怪物'!$A$41:$F$44,2,FALSE),0)+IF(6=D345,ROUND(AS345*'难度参数'!$E$28*'章节与怪物'!$E$17,0),0))</x:f>
        <x:v>742160</x:v>
      </x:c>
      <x:c r="AU345" s="119" t="n">
        <x:f>IF(AR345=0,0,(AR345-IF(6=D345,1,0))*VLOOKUP(INDEX('章节与怪物'!$E$31:$K$37,B345,6),'章节与怪物'!$A$41:$F$44,4,FALSE)+IF(6=D345,'难度参数'!$E$30,0))</x:f>
        <x:v>1120</x:v>
      </x:c>
      <x:c r="AV345" s="119" t="n">
        <x:f>IF(7&gt;D345,0,MAX(2,MIN('难度参数'!$E$12,ROUND(('难度参数'!$E$18*POWER(A345,'难度参数'!$E$19)/D345*(0.85+0.3*(7-1)/MAX(1,D345-1))),0)+F345)))</x:f>
        <x:v>42</x:v>
      </x:c>
      <x:c r="AW345" s="119" t="n">
        <x:f>IF(7&gt;D345,0,ROUND(('难度参数'!$E$13*POWER(A345,'难度参数'!$E$20)*MIN('难度参数'!$E$23,1+MAX(0,A345-'难度参数'!$E$21)*'难度参数'!$E$22))*(36+7*7)/(36+7*(D345+1)/2)*E345,0))</x:f>
        <x:v>11894</x:v>
      </x:c>
      <x:c r="AX345" s="119" t="n">
        <x:f>IF(AV345=0,0,(AV345-IF(7=D345,1,0))*ROUND(AW345*VLOOKUP(INDEX('章节与怪物'!$E$31:$K$37,B345,7),'章节与怪物'!$A$41:$F$44,2,FALSE),0)+IF(7=D345,ROUND(AW345*'难度参数'!$E$28*'章节与怪物'!$E$17,0),0))</x:f>
        <x:v>739216</x:v>
      </x:c>
      <x:c r="AY345" s="119" t="n">
        <x:f>IF(AV345=0,0,(AV345-IF(7=D345,1,0))*VLOOKUP(INDEX('章节与怪物'!$E$31:$K$37,B345,7),'章节与怪物'!$A$41:$F$44,4,FALSE)+IF(7=D345,'难度参数'!$E$30,0))</x:f>
        <x:v>1594</x:v>
      </x:c>
    </x:row>
    <x:row r="346" ht="23" customHeight="1">
      <x:c r="A346" s="119" t="n">
        <x:v>340</x:v>
      </x:c>
      <x:c r="B346" s="119" t="n">
        <x:f>MOD(INT((A346-1)/5),7)+1</x:f>
        <x:v>5</x:v>
      </x:c>
      <x:c r="C346" s="62" t="str">
        <x:f>INDEX('章节与怪物'!$B$31:$B$37,B346)</x:f>
        <x:v>雨林遗迹</x:v>
      </x:c>
      <x:c r="D346" s="119" t="n">
        <x:f>MIN('难度参数'!$E$8,MAX('难度参数'!$E$7,A346))</x:f>
        <x:v>7</x:v>
      </x:c>
      <x:c r="E346" s="106" t="n">
        <x:v>1</x:v>
      </x:c>
      <x:c r="F346" s="106" t="n">
        <x:v>0</x:v>
      </x:c>
      <x:c r="G346" s="106" t="n">
        <x:v>1</x:v>
      </x:c>
      <x:c r="H346" s="119" t="n">
        <x:f>SUM(X346,AB346,AF346,AJ346,AN346,AR346,AV346)</x:f>
        <x:v>254</x:v>
      </x:c>
      <x:c r="I346" s="119" t="n">
        <x:f>SUM(Z346,AD346,AH346,AL346,AP346,AT346,AX346)</x:f>
        <x:v>3008530</x:v>
      </x:c>
      <x:c r="J346" s="119" t="n">
        <x:f>ROUND(INDEX(X346:AY346,1,(D346-1)*4+2)*'难度参数'!$E$28*'章节与怪物'!$E$17,0)</x:f>
        <x:v>81049</x:v>
      </x:c>
      <x:c r="K346" s="119" t="n">
        <x:f>SUM(AA346,AE346,AI346,AM346,AQ346,AU346,AY346)</x:f>
        <x:v>6868</x:v>
      </x:c>
      <x:c r="L346" s="62" t="n">
        <x:f>H346*(ROUNDUP('难度参数'!$E$24/('难度参数'!$E$26*'难度参数'!$E$27),0)*'难度参数'!$E$26)/60</x:f>
        <x:v>3.386666666666667</x:v>
      </x:c>
      <x:c r="M346" s="62" t="n">
        <x:f>L346+D346*('难度参数'!$E$49+'难度参数'!$E$50)/60</x:f>
        <x:v>4.553333333333334</x:v>
      </x:c>
      <x:c r="N346" s="119" t="n">
        <x:f>ROUNDDOWN(('经济参数'!$E$20+A346*'经济参数'!$E$21)*G346,0)</x:f>
        <x:v>6980</x:v>
      </x:c>
      <x:c r="O346" s="119" t="n">
        <x:f>ROUNDDOWN(MIN('经济参数'!$E$24,'经济参数'!$E$22+A346*'经济参数'!$E$23)*G346,0)</x:f>
        <x:v>0</x:v>
      </x:c>
      <x:c r="P346" s="119" t="n">
        <x:f>ROUNDDOWN((IF(A346&gt;='材料与任务'!$E$31,'材料与任务'!$E$32,IF(A346&gt;='材料与任务'!$E$25,'材料与任务'!$E$26,IF(A346&gt;='材料与任务'!$E$19,'材料与任务'!$E$20,IF(A346&gt;='材料与任务'!$E$13,'材料与任务'!$E$14,'材料与任务'!$E$8)))))*G346,0)</x:f>
        <x:v>6</x:v>
      </x:c>
      <x:c r="Q346" s="119" t="n">
        <x:f>ROUNDDOWN((IF(A346&gt;='材料与任务'!$E$31,'材料与任务'!$E$33,IF(A346&gt;='材料与任务'!$E$25,'材料与任务'!$E$27,IF(A346&gt;='材料与任务'!$E$19,'材料与任务'!$E$21,IF(A346&gt;='材料与任务'!$E$13,'材料与任务'!$E$15,'材料与任务'!$E$9)))))*G346,0)</x:f>
        <x:v>3</x:v>
      </x:c>
      <x:c r="R346" s="110" t="n">
        <x:f>'装备掉落'!$B$38</x:f>
        <x:v>0.6872058758851213</x:v>
      </x:c>
      <x:c r="S346" s="119" t="n">
        <x:f>MAX(IF(VLOOKUP(A346,'装备掉落'!$A$29:$H$34,2,TRUE)&gt;0,1,0),IF(VLOOKUP(A346,'装备掉落'!$A$29:$H$34,3,TRUE)&gt;0,2,0),IF(VLOOKUP(A346,'装备掉落'!$A$29:$H$34,4,TRUE)&gt;0,3,0),IF(VLOOKUP(A346,'装备掉落'!$A$29:$H$34,5,TRUE)&gt;0,4,0),IF(VLOOKUP(A346,'装备掉落'!$A$29:$H$34,6,TRUE)&gt;0,5,0),IF(VLOOKUP(A346,'装备掉落'!$A$29:$H$34,7,TRUE)&gt;0,6,0),IF(VLOOKUP(A346,'装备掉落'!$A$29:$H$34,8,TRUE)&gt;0,7,0))</x:f>
        <x:v>7</x:v>
      </x:c>
      <x:c r="T346" s="119" t="n">
        <x:f>MIN(7,S346+'经济参数'!$E$70)</x:f>
        <x:v>7</x:v>
      </x:c>
      <x:c r="U346" s="119" t="n">
        <x:f>MIN(7,S346+'经济参数'!$E$71)</x:f>
        <x:v>7</x:v>
      </x:c>
      <x:c r="V346" s="119" t="n">
        <x:f>IF(H346&gt;=('难度参数'!$E$52),1,0)+IF(H346&gt;=('难度参数'!$E$52+'难度参数'!$E$53),1,0)+IF(H346&gt;=('难度参数'!$E$52+'难度参数'!$E$53+'难度参数'!$E$54),1,0)+IF(H346&gt;=('难度参数'!$E$52+'难度参数'!$E$53+'难度参数'!$E$54+'难度参数'!$E$55),1,0)+IF(H346&gt;=('难度参数'!$E$52+'难度参数'!$E$53+'难度参数'!$E$54+'难度参数'!$E$55+'难度参数'!$E$56),1,0)+IF(H346&gt;=('难度参数'!$E$52+'难度参数'!$E$53+'难度参数'!$E$54+'难度参数'!$E$55+'难度参数'!$E$56+'难度参数'!$E$57),1,0)</x:f>
        <x:v>6</x:v>
      </x:c>
      <x:c r="W346" s="62" t="str">
        <x:f>IF(L346&gt;'难度参数'!$E$51,"仅出怪已超目标","还需实测")</x:f>
        <x:v>仅出怪已超目标</x:v>
      </x:c>
      <x:c r="X346" s="119" t="n">
        <x:f>IF(1&gt;D346,0,MAX(2,MIN('难度参数'!$E$12,ROUND(('难度参数'!$E$18*POWER(A346,'难度参数'!$E$19)/D346*(0.85+0.3*(1-1)/MAX(1,D346-1))),0)+F346)))</x:f>
        <x:v>31</x:v>
      </x:c>
      <x:c r="Y346" s="119" t="n">
        <x:f>IF(1&gt;D346,0,ROUND(('难度参数'!$E$13*POWER(A346,'难度参数'!$E$20)*MIN('难度参数'!$E$23,1+MAX(0,A346-'难度参数'!$E$21)*'难度参数'!$E$22))*(36+1*7)/(36+7*(D346+1)/2)*E346,0))</x:f>
        <x:v>6030</x:v>
      </x:c>
      <x:c r="Z346" s="119" t="n">
        <x:f>IF(X346=0,0,(X346-IF(1=D346,1,0))*ROUND(Y346*VLOOKUP(INDEX('章节与怪物'!$E$31:$K$37,B346,1),'章节与怪物'!$A$41:$F$44,2,FALSE),0)+IF(1=D346,ROUND(Y346*'难度参数'!$E$28*'章节与怪物'!$E$17,0),0))</x:f>
        <x:v>186930</x:v>
      </x:c>
      <x:c r="AA346" s="119" t="n">
        <x:f>IF(X346=0,0,(X346-IF(1=D346,1,0))*VLOOKUP(INDEX('章节与怪物'!$E$31:$K$37,B346,1),'章节与怪物'!$A$41:$F$44,4,FALSE)+IF(1=D346,'难度参数'!$E$30,0))</x:f>
        <x:v>558</x:v>
      </x:c>
      <x:c r="AB346" s="119" t="n">
        <x:f>IF(2&gt;D346,0,MAX(2,MIN('难度参数'!$E$12,ROUND(('难度参数'!$E$18*POWER(A346,'难度参数'!$E$19)/D346*(0.85+0.3*(2-1)/MAX(1,D346-1))),0)+F346)))</x:f>
        <x:v>33</x:v>
      </x:c>
      <x:c r="AC346" s="119" t="n">
        <x:f>IF(2&gt;D346,0,ROUND(('难度参数'!$E$13*POWER(A346,'难度参数'!$E$20)*MIN('难度参数'!$E$23,1+MAX(0,A346-'难度参数'!$E$21)*'难度参数'!$E$22))*(36+2*7)/(36+7*(D346+1)/2)*E346,0))</x:f>
        <x:v>7011</x:v>
      </x:c>
      <x:c r="AD346" s="119" t="n">
        <x:f>IF(AB346=0,0,(AB346-IF(2=D346,1,0))*ROUND(AC346*VLOOKUP(INDEX('章节与怪物'!$E$31:$K$37,B346,2),'章节与怪物'!$A$41:$F$44,2,FALSE),0)+IF(2=D346,ROUND(AC346*'难度参数'!$E$28*'章节与怪物'!$E$17,0),0))</x:f>
        <x:v>166584</x:v>
      </x:c>
      <x:c r="AE346" s="119" t="n">
        <x:f>IF(AB346=0,0,(AB346-IF(2=D346,1,0))*VLOOKUP(INDEX('章节与怪物'!$E$31:$K$37,B346,2),'章节与怪物'!$A$41:$F$44,4,FALSE)+IF(2=D346,'难度参数'!$E$30,0))</x:f>
        <x:v>660</x:v>
      </x:c>
      <x:c r="AF346" s="119" t="n">
        <x:f>IF(3&gt;D346,0,MAX(2,MIN('难度参数'!$E$12,ROUND(('难度参数'!$E$18*POWER(A346,'难度参数'!$E$19)/D346*(0.85+0.3*(3-1)/MAX(1,D346-1))),0)+F346)))</x:f>
        <x:v>34</x:v>
      </x:c>
      <x:c r="AG346" s="119" t="n">
        <x:f>IF(3&gt;D346,0,ROUND(('难度参数'!$E$13*POWER(A346,'难度参数'!$E$20)*MIN('难度参数'!$E$23,1+MAX(0,A346-'难度参数'!$E$21)*'难度参数'!$E$22))*(36+3*7)/(36+7*(D346+1)/2)*E346,0))</x:f>
        <x:v>7993</x:v>
      </x:c>
      <x:c r="AH346" s="119" t="n">
        <x:f>IF(AF346=0,0,(AF346-IF(3=D346,1,0))*ROUND(AG346*VLOOKUP(INDEX('章节与怪物'!$E$31:$K$37,B346,3),'章节与怪物'!$A$41:$F$44,2,FALSE),0)+IF(3=D346,ROUND(AG346*'难度参数'!$E$28*'章节与怪物'!$E$17,0),0))</x:f>
        <x:v>461992</x:v>
      </x:c>
      <x:c r="AI346" s="119" t="n">
        <x:f>IF(AF346=0,0,(AF346-IF(3=D346,1,0))*VLOOKUP(INDEX('章节与怪物'!$E$31:$K$37,B346,3),'章节与怪物'!$A$41:$F$44,4,FALSE)+IF(3=D346,'难度参数'!$E$30,0))</x:f>
        <x:v>952</x:v>
      </x:c>
      <x:c r="AJ346" s="119" t="n">
        <x:f>IF(4&gt;D346,0,MAX(2,MIN('难度参数'!$E$12,ROUND(('难度参数'!$E$18*POWER(A346,'难度参数'!$E$19)/D346*(0.85+0.3*(4-1)/MAX(1,D346-1))),0)+F346)))</x:f>
        <x:v>36</x:v>
      </x:c>
      <x:c r="AK346" s="119" t="n">
        <x:f>IF(4&gt;D346,0,ROUND(('难度参数'!$E$13*POWER(A346,'难度参数'!$E$20)*MIN('难度参数'!$E$23,1+MAX(0,A346-'难度参数'!$E$21)*'难度参数'!$E$22))*(36+4*7)/(36+7*(D346+1)/2)*E346,0))</x:f>
        <x:v>8974</x:v>
      </x:c>
      <x:c r="AL346" s="119" t="n">
        <x:f>IF(AJ346=0,0,(AJ346-IF(4=D346,1,0))*ROUND(AK346*VLOOKUP(INDEX('章节与怪物'!$E$31:$K$37,B346,4),'章节与怪物'!$A$41:$F$44,2,FALSE),0)+IF(4=D346,ROUND(AK346*'难度参数'!$E$28*'章节与怪物'!$E$17,0),0))</x:f>
        <x:v>436140</x:v>
      </x:c>
      <x:c r="AM346" s="119" t="n">
        <x:f>IF(AJ346=0,0,(AJ346-IF(4=D346,1,0))*VLOOKUP(INDEX('章节与怪物'!$E$31:$K$37,B346,4),'章节与怪物'!$A$41:$F$44,4,FALSE)+IF(4=D346,'难度参数'!$E$30,0))</x:f>
        <x:v>1224</x:v>
      </x:c>
      <x:c r="AN346" s="119" t="n">
        <x:f>IF(5&gt;D346,0,MAX(2,MIN('难度参数'!$E$12,ROUND(('难度参数'!$E$18*POWER(A346,'难度参数'!$E$19)/D346*(0.85+0.3*(5-1)/MAX(1,D346-1))),0)+F346)))</x:f>
        <x:v>38</x:v>
      </x:c>
      <x:c r="AO346" s="119" t="n">
        <x:f>IF(5&gt;D346,0,ROUND(('难度参数'!$E$13*POWER(A346,'难度参数'!$E$20)*MIN('难度参数'!$E$23,1+MAX(0,A346-'难度参数'!$E$21)*'难度参数'!$E$22))*(36+5*7)/(36+7*(D346+1)/2)*E346,0))</x:f>
        <x:v>9956</x:v>
      </x:c>
      <x:c r="AP346" s="119" t="n">
        <x:f>IF(AN346=0,0,(AN346-IF(5=D346,1,0))*ROUND(AO346*VLOOKUP(INDEX('章节与怪物'!$E$31:$K$37,B346,5),'章节与怪物'!$A$41:$F$44,2,FALSE),0)+IF(5=D346,ROUND(AO346*'难度参数'!$E$28*'章节与怪物'!$E$17,0),0))</x:f>
        <x:v>272384</x:v>
      </x:c>
      <x:c r="AQ346" s="119" t="n">
        <x:f>IF(AN346=0,0,(AN346-IF(5=D346,1,0))*VLOOKUP(INDEX('章节与怪物'!$E$31:$K$37,B346,5),'章节与怪物'!$A$41:$F$44,4,FALSE)+IF(5=D346,'难度参数'!$E$30,0))</x:f>
        <x:v>760</x:v>
      </x:c>
      <x:c r="AR346" s="119" t="n">
        <x:f>IF(6&gt;D346,0,MAX(2,MIN('难度参数'!$E$12,ROUND(('难度参数'!$E$18*POWER(A346,'难度参数'!$E$19)/D346*(0.85+0.3*(6-1)/MAX(1,D346-1))),0)+F346)))</x:f>
        <x:v>40</x:v>
      </x:c>
      <x:c r="AS346" s="119" t="n">
        <x:f>IF(6&gt;D346,0,ROUND(('难度参数'!$E$13*POWER(A346,'难度参数'!$E$20)*MIN('难度参数'!$E$23,1+MAX(0,A346-'难度参数'!$E$21)*'难度参数'!$E$22))*(36+6*7)/(36+7*(D346+1)/2)*E346,0))</x:f>
        <x:v>10937</x:v>
      </x:c>
      <x:c r="AT346" s="119" t="n">
        <x:f>IF(AR346=0,0,(AR346-IF(6=D346,1,0))*ROUND(AS346*VLOOKUP(INDEX('章节与怪物'!$E$31:$K$37,B346,6),'章节与怪物'!$A$41:$F$44,2,FALSE),0)+IF(6=D346,ROUND(AS346*'难度参数'!$E$28*'章节与怪物'!$E$17,0),0))</x:f>
        <x:v>743720</x:v>
      </x:c>
      <x:c r="AU346" s="119" t="n">
        <x:f>IF(AR346=0,0,(AR346-IF(6=D346,1,0))*VLOOKUP(INDEX('章节与怪物'!$E$31:$K$37,B346,6),'章节与怪物'!$A$41:$F$44,4,FALSE)+IF(6=D346,'难度参数'!$E$30,0))</x:f>
        <x:v>1120</x:v>
      </x:c>
      <x:c r="AV346" s="119" t="n">
        <x:f>IF(7&gt;D346,0,MAX(2,MIN('难度参数'!$E$12,ROUND(('难度参数'!$E$18*POWER(A346,'难度参数'!$E$19)/D346*(0.85+0.3*(7-1)/MAX(1,D346-1))),0)+F346)))</x:f>
        <x:v>42</x:v>
      </x:c>
      <x:c r="AW346" s="119" t="n">
        <x:f>IF(7&gt;D346,0,ROUND(('难度参数'!$E$13*POWER(A346,'难度参数'!$E$20)*MIN('难度参数'!$E$23,1+MAX(0,A346-'难度参数'!$E$21)*'难度参数'!$E$22))*(36+7*7)/(36+7*(D346+1)/2)*E346,0))</x:f>
        <x:v>11919</x:v>
      </x:c>
      <x:c r="AX346" s="119" t="n">
        <x:f>IF(AV346=0,0,(AV346-IF(7=D346,1,0))*ROUND(AW346*VLOOKUP(INDEX('章节与怪物'!$E$31:$K$37,B346,7),'章节与怪物'!$A$41:$F$44,2,FALSE),0)+IF(7=D346,ROUND(AW346*'难度参数'!$E$28*'章节与怪物'!$E$17,0),0))</x:f>
        <x:v>740780</x:v>
      </x:c>
      <x:c r="AY346" s="119" t="n">
        <x:f>IF(AV346=0,0,(AV346-IF(7=D346,1,0))*VLOOKUP(INDEX('章节与怪物'!$E$31:$K$37,B346,7),'章节与怪物'!$A$41:$F$44,4,FALSE)+IF(7=D346,'难度参数'!$E$30,0))</x:f>
        <x:v>1594</x:v>
      </x:c>
    </x:row>
    <x:row r="347" ht="23" customHeight="1">
      <x:c r="A347" s="119" t="n">
        <x:v>341</x:v>
      </x:c>
      <x:c r="B347" s="119" t="n">
        <x:f>MOD(INT((A347-1)/5),7)+1</x:f>
        <x:v>6</x:v>
      </x:c>
      <x:c r="C347" s="62" t="str">
        <x:f>INDEX('章节与怪物'!$B$31:$B$37,B347)</x:f>
        <x:v>熔岩山脉</x:v>
      </x:c>
      <x:c r="D347" s="119" t="n">
        <x:f>MIN('难度参数'!$E$8,MAX('难度参数'!$E$7,A347))</x:f>
        <x:v>7</x:v>
      </x:c>
      <x:c r="E347" s="106" t="n">
        <x:v>1</x:v>
      </x:c>
      <x:c r="F347" s="106" t="n">
        <x:v>0</x:v>
      </x:c>
      <x:c r="G347" s="106" t="n">
        <x:v>1</x:v>
      </x:c>
      <x:c r="H347" s="119" t="n">
        <x:f>SUM(X347,AB347,AF347,AJ347,AN347,AR347,AV347)</x:f>
        <x:v>254</x:v>
      </x:c>
      <x:c r="I347" s="119" t="n">
        <x:f>SUM(Z347,AD347,AH347,AL347,AP347,AT347,AX347)</x:f>
        <x:v>3133551</x:v>
      </x:c>
      <x:c r="J347" s="119" t="n">
        <x:f>ROUND(INDEX(X347:AY347,1,(D347-1)*4+2)*'难度参数'!$E$28*'章节与怪物'!$E$17,0)</x:f>
        <x:v>81219</x:v>
      </x:c>
      <x:c r="K347" s="119" t="n">
        <x:f>SUM(AA347,AE347,AI347,AM347,AQ347,AU347,AY347)</x:f>
        <x:v>6788</x:v>
      </x:c>
      <x:c r="L347" s="62" t="n">
        <x:f>H347*(ROUNDUP('难度参数'!$E$24/('难度参数'!$E$26*'难度参数'!$E$27),0)*'难度参数'!$E$26)/60</x:f>
        <x:v>3.386666666666667</x:v>
      </x:c>
      <x:c r="M347" s="62" t="n">
        <x:f>L347+D347*('难度参数'!$E$49+'难度参数'!$E$50)/60</x:f>
        <x:v>4.553333333333334</x:v>
      </x:c>
      <x:c r="N347" s="119" t="n">
        <x:f>ROUNDDOWN(('经济参数'!$E$20+A347*'经济参数'!$E$21)*G347,0)</x:f>
        <x:v>7000</x:v>
      </x:c>
      <x:c r="O347" s="119" t="n">
        <x:f>ROUNDDOWN(MIN('经济参数'!$E$24,'经济参数'!$E$22+A347*'经济参数'!$E$23)*G347,0)</x:f>
        <x:v>0</x:v>
      </x:c>
      <x:c r="P347" s="119" t="n">
        <x:f>ROUNDDOWN((IF(A347&gt;='材料与任务'!$E$31,'材料与任务'!$E$32,IF(A347&gt;='材料与任务'!$E$25,'材料与任务'!$E$26,IF(A347&gt;='材料与任务'!$E$19,'材料与任务'!$E$20,IF(A347&gt;='材料与任务'!$E$13,'材料与任务'!$E$14,'材料与任务'!$E$8)))))*G347,0)</x:f>
        <x:v>6</x:v>
      </x:c>
      <x:c r="Q347" s="119" t="n">
        <x:f>ROUNDDOWN((IF(A347&gt;='材料与任务'!$E$31,'材料与任务'!$E$33,IF(A347&gt;='材料与任务'!$E$25,'材料与任务'!$E$27,IF(A347&gt;='材料与任务'!$E$19,'材料与任务'!$E$21,IF(A347&gt;='材料与任务'!$E$13,'材料与任务'!$E$15,'材料与任务'!$E$9)))))*G347,0)</x:f>
        <x:v>3</x:v>
      </x:c>
      <x:c r="R347" s="110" t="n">
        <x:f>'装备掉落'!$B$38</x:f>
        <x:v>0.6872058758851213</x:v>
      </x:c>
      <x:c r="S347" s="119" t="n">
        <x:f>MAX(IF(VLOOKUP(A347,'装备掉落'!$A$29:$H$34,2,TRUE)&gt;0,1,0),IF(VLOOKUP(A347,'装备掉落'!$A$29:$H$34,3,TRUE)&gt;0,2,0),IF(VLOOKUP(A347,'装备掉落'!$A$29:$H$34,4,TRUE)&gt;0,3,0),IF(VLOOKUP(A347,'装备掉落'!$A$29:$H$34,5,TRUE)&gt;0,4,0),IF(VLOOKUP(A347,'装备掉落'!$A$29:$H$34,6,TRUE)&gt;0,5,0),IF(VLOOKUP(A347,'装备掉落'!$A$29:$H$34,7,TRUE)&gt;0,6,0),IF(VLOOKUP(A347,'装备掉落'!$A$29:$H$34,8,TRUE)&gt;0,7,0))</x:f>
        <x:v>7</x:v>
      </x:c>
      <x:c r="T347" s="119" t="n">
        <x:f>MIN(7,S347+'经济参数'!$E$70)</x:f>
        <x:v>7</x:v>
      </x:c>
      <x:c r="U347" s="119" t="n">
        <x:f>MIN(7,S347+'经济参数'!$E$71)</x:f>
        <x:v>7</x:v>
      </x:c>
      <x:c r="V347" s="119" t="n">
        <x:f>IF(H347&gt;=('难度参数'!$E$52),1,0)+IF(H347&gt;=('难度参数'!$E$52+'难度参数'!$E$53),1,0)+IF(H347&gt;=('难度参数'!$E$52+'难度参数'!$E$53+'难度参数'!$E$54),1,0)+IF(H347&gt;=('难度参数'!$E$52+'难度参数'!$E$53+'难度参数'!$E$54+'难度参数'!$E$55),1,0)+IF(H347&gt;=('难度参数'!$E$52+'难度参数'!$E$53+'难度参数'!$E$54+'难度参数'!$E$55+'难度参数'!$E$56),1,0)+IF(H347&gt;=('难度参数'!$E$52+'难度参数'!$E$53+'难度参数'!$E$54+'难度参数'!$E$55+'难度参数'!$E$56+'难度参数'!$E$57),1,0)</x:f>
        <x:v>6</x:v>
      </x:c>
      <x:c r="W347" s="62" t="str">
        <x:f>IF(L347&gt;'难度参数'!$E$51,"仅出怪已超目标","还需实测")</x:f>
        <x:v>仅出怪已超目标</x:v>
      </x:c>
      <x:c r="X347" s="119" t="n">
        <x:f>IF(1&gt;D347,0,MAX(2,MIN('难度参数'!$E$12,ROUND(('难度参数'!$E$18*POWER(A347,'难度参数'!$E$19)/D347*(0.85+0.3*(1-1)/MAX(1,D347-1))),0)+F347)))</x:f>
        <x:v>31</x:v>
      </x:c>
      <x:c r="Y347" s="119" t="n">
        <x:f>IF(1&gt;D347,0,ROUND(('难度参数'!$E$13*POWER(A347,'难度参数'!$E$20)*MIN('难度参数'!$E$23,1+MAX(0,A347-'难度参数'!$E$21)*'难度参数'!$E$22))*(36+1*7)/(36+7*(D347+1)/2)*E347,0))</x:f>
        <x:v>6042</x:v>
      </x:c>
      <x:c r="Z347" s="119" t="n">
        <x:f>IF(X347=0,0,(X347-IF(1=D347,1,0))*ROUND(Y347*VLOOKUP(INDEX('章节与怪物'!$E$31:$K$37,B347,1),'章节与怪物'!$A$41:$F$44,2,FALSE),0)+IF(1=D347,ROUND(Y347*'难度参数'!$E$28*'章节与怪物'!$E$17,0),0))</x:f>
        <x:v>134850</x:v>
      </x:c>
      <x:c r="AA347" s="119" t="n">
        <x:f>IF(X347=0,0,(X347-IF(1=D347,1,0))*VLOOKUP(INDEX('章节与怪物'!$E$31:$K$37,B347,1),'章节与怪物'!$A$41:$F$44,4,FALSE)+IF(1=D347,'难度参数'!$E$30,0))</x:f>
        <x:v>620</x:v>
      </x:c>
      <x:c r="AB347" s="119" t="n">
        <x:f>IF(2&gt;D347,0,MAX(2,MIN('难度参数'!$E$12,ROUND(('难度参数'!$E$18*POWER(A347,'难度参数'!$E$19)/D347*(0.85+0.3*(2-1)/MAX(1,D347-1))),0)+F347)))</x:f>
        <x:v>33</x:v>
      </x:c>
      <x:c r="AC347" s="119" t="n">
        <x:f>IF(2&gt;D347,0,ROUND(('难度参数'!$E$13*POWER(A347,'难度参数'!$E$20)*MIN('难度参数'!$E$23,1+MAX(0,A347-'难度参数'!$E$21)*'难度参数'!$E$22))*(36+2*7)/(36+7*(D347+1)/2)*E347,0))</x:f>
        <x:v>7026</x:v>
      </x:c>
      <x:c r="AD347" s="119" t="n">
        <x:f>IF(AB347=0,0,(AB347-IF(2=D347,1,0))*ROUND(AC347*VLOOKUP(INDEX('章节与怪物'!$E$31:$K$37,B347,2),'章节与怪物'!$A$41:$F$44,2,FALSE),0)+IF(2=D347,ROUND(AC347*'难度参数'!$E$28*'章节与怪物'!$E$17,0),0))</x:f>
        <x:v>231858</x:v>
      </x:c>
      <x:c r="AE347" s="119" t="n">
        <x:f>IF(AB347=0,0,(AB347-IF(2=D347,1,0))*VLOOKUP(INDEX('章节与怪物'!$E$31:$K$37,B347,2),'章节与怪物'!$A$41:$F$44,4,FALSE)+IF(2=D347,'难度参数'!$E$30,0))</x:f>
        <x:v>594</x:v>
      </x:c>
      <x:c r="AF347" s="119" t="n">
        <x:f>IF(3&gt;D347,0,MAX(2,MIN('难度参数'!$E$12,ROUND(('难度参数'!$E$18*POWER(A347,'难度参数'!$E$19)/D347*(0.85+0.3*(3-1)/MAX(1,D347-1))),0)+F347)))</x:f>
        <x:v>34</x:v>
      </x:c>
      <x:c r="AG347" s="119" t="n">
        <x:f>IF(3&gt;D347,0,ROUND(('难度参数'!$E$13*POWER(A347,'难度参数'!$E$20)*MIN('难度参数'!$E$23,1+MAX(0,A347-'难度参数'!$E$21)*'难度参数'!$E$22))*(36+3*7)/(36+7*(D347+1)/2)*E347,0))</x:f>
        <x:v>8010</x:v>
      </x:c>
      <x:c r="AH347" s="119" t="n">
        <x:f>IF(AF347=0,0,(AF347-IF(3=D347,1,0))*ROUND(AG347*VLOOKUP(INDEX('章节与怪物'!$E$31:$K$37,B347,3),'章节与怪物'!$A$41:$F$44,2,FALSE),0)+IF(3=D347,ROUND(AG347*'难度参数'!$E$28*'章节与怪物'!$E$17,0),0))</x:f>
        <x:v>462978</x:v>
      </x:c>
      <x:c r="AI347" s="119" t="n">
        <x:f>IF(AF347=0,0,(AF347-IF(3=D347,1,0))*VLOOKUP(INDEX('章节与怪物'!$E$31:$K$37,B347,3),'章节与怪物'!$A$41:$F$44,4,FALSE)+IF(3=D347,'难度参数'!$E$30,0))</x:f>
        <x:v>952</x:v>
      </x:c>
      <x:c r="AJ347" s="119" t="n">
        <x:f>IF(4&gt;D347,0,MAX(2,MIN('难度参数'!$E$12,ROUND(('难度参数'!$E$18*POWER(A347,'难度参数'!$E$19)/D347*(0.85+0.3*(4-1)/MAX(1,D347-1))),0)+F347)))</x:f>
        <x:v>36</x:v>
      </x:c>
      <x:c r="AK347" s="119" t="n">
        <x:f>IF(4&gt;D347,0,ROUND(('难度参数'!$E$13*POWER(A347,'难度参数'!$E$20)*MIN('难度参数'!$E$23,1+MAX(0,A347-'难度参数'!$E$21)*'难度参数'!$E$22))*(36+4*7)/(36+7*(D347+1)/2)*E347,0))</x:f>
        <x:v>8993</x:v>
      </x:c>
      <x:c r="AL347" s="119" t="n">
        <x:f>IF(AJ347=0,0,(AJ347-IF(4=D347,1,0))*ROUND(AK347*VLOOKUP(INDEX('章节与怪物'!$E$31:$K$37,B347,4),'章节与怪物'!$A$41:$F$44,2,FALSE),0)+IF(4=D347,ROUND(AK347*'难度参数'!$E$28*'章节与怪物'!$E$17,0),0))</x:f>
        <x:v>437076</x:v>
      </x:c>
      <x:c r="AM347" s="119" t="n">
        <x:f>IF(AJ347=0,0,(AJ347-IF(4=D347,1,0))*VLOOKUP(INDEX('章节与怪物'!$E$31:$K$37,B347,4),'章节与怪物'!$A$41:$F$44,4,FALSE)+IF(4=D347,'难度参数'!$E$30,0))</x:f>
        <x:v>1224</x:v>
      </x:c>
      <x:c r="AN347" s="119" t="n">
        <x:f>IF(5&gt;D347,0,MAX(2,MIN('难度参数'!$E$12,ROUND(('难度参数'!$E$18*POWER(A347,'难度参数'!$E$19)/D347*(0.85+0.3*(5-1)/MAX(1,D347-1))),0)+F347)))</x:f>
        <x:v>38</x:v>
      </x:c>
      <x:c r="AO347" s="119" t="n">
        <x:f>IF(5&gt;D347,0,ROUND(('难度参数'!$E$13*POWER(A347,'难度参数'!$E$20)*MIN('难度参数'!$E$23,1+MAX(0,A347-'难度参数'!$E$21)*'难度参数'!$E$22))*(36+5*7)/(36+7*(D347+1)/2)*E347,0))</x:f>
        <x:v>9977</x:v>
      </x:c>
      <x:c r="AP347" s="119" t="n">
        <x:f>IF(AN347=0,0,(AN347-IF(5=D347,1,0))*ROUND(AO347*VLOOKUP(INDEX('章节与怪物'!$E$31:$K$37,B347,5),'章节与怪物'!$A$41:$F$44,2,FALSE),0)+IF(5=D347,ROUND(AO347*'难度参数'!$E$28*'章节与怪物'!$E$17,0),0))</x:f>
        <x:v>379126</x:v>
      </x:c>
      <x:c r="AQ347" s="119" t="n">
        <x:f>IF(AN347=0,0,(AN347-IF(5=D347,1,0))*VLOOKUP(INDEX('章节与怪物'!$E$31:$K$37,B347,5),'章节与怪物'!$A$41:$F$44,4,FALSE)+IF(5=D347,'难度参数'!$E$30,0))</x:f>
        <x:v>684</x:v>
      </x:c>
      <x:c r="AR347" s="119" t="n">
        <x:f>IF(6&gt;D347,0,MAX(2,MIN('难度参数'!$E$12,ROUND(('难度参数'!$E$18*POWER(A347,'难度参数'!$E$19)/D347*(0.85+0.3*(6-1)/MAX(1,D347-1))),0)+F347)))</x:f>
        <x:v>40</x:v>
      </x:c>
      <x:c r="AS347" s="119" t="n">
        <x:f>IF(6&gt;D347,0,ROUND(('难度参数'!$E$13*POWER(A347,'难度参数'!$E$20)*MIN('难度参数'!$E$23,1+MAX(0,A347-'难度参数'!$E$21)*'难度参数'!$E$22))*(36+6*7)/(36+7*(D347+1)/2)*E347,0))</x:f>
        <x:v>10961</x:v>
      </x:c>
      <x:c r="AT347" s="119" t="n">
        <x:f>IF(AR347=0,0,(AR347-IF(6=D347,1,0))*ROUND(AS347*VLOOKUP(INDEX('章节与怪物'!$E$31:$K$37,B347,6),'章节与怪物'!$A$41:$F$44,2,FALSE),0)+IF(6=D347,ROUND(AS347*'难度参数'!$E$28*'章节与怪物'!$E$17,0),0))</x:f>
        <x:v>745360</x:v>
      </x:c>
      <x:c r="AU347" s="119" t="n">
        <x:f>IF(AR347=0,0,(AR347-IF(6=D347,1,0))*VLOOKUP(INDEX('章节与怪物'!$E$31:$K$37,B347,6),'章节与怪物'!$A$41:$F$44,4,FALSE)+IF(6=D347,'难度参数'!$E$30,0))</x:f>
        <x:v>1120</x:v>
      </x:c>
      <x:c r="AV347" s="119" t="n">
        <x:f>IF(7&gt;D347,0,MAX(2,MIN('难度参数'!$E$12,ROUND(('难度参数'!$E$18*POWER(A347,'难度参数'!$E$19)/D347*(0.85+0.3*(7-1)/MAX(1,D347-1))),0)+F347)))</x:f>
        <x:v>42</x:v>
      </x:c>
      <x:c r="AW347" s="119" t="n">
        <x:f>IF(7&gt;D347,0,ROUND(('难度参数'!$E$13*POWER(A347,'难度参数'!$E$20)*MIN('难度参数'!$E$23,1+MAX(0,A347-'难度参数'!$E$21)*'难度参数'!$E$22))*(36+7*7)/(36+7*(D347+1)/2)*E347,0))</x:f>
        <x:v>11944</x:v>
      </x:c>
      <x:c r="AX347" s="119" t="n">
        <x:f>IF(AV347=0,0,(AV347-IF(7=D347,1,0))*ROUND(AW347*VLOOKUP(INDEX('章节与怪物'!$E$31:$K$37,B347,7),'章节与怪物'!$A$41:$F$44,2,FALSE),0)+IF(7=D347,ROUND(AW347*'难度参数'!$E$28*'章节与怪物'!$E$17,0),0))</x:f>
        <x:v>742303</x:v>
      </x:c>
      <x:c r="AY347" s="119" t="n">
        <x:f>IF(AV347=0,0,(AV347-IF(7=D347,1,0))*VLOOKUP(INDEX('章节与怪物'!$E$31:$K$37,B347,7),'章节与怪物'!$A$41:$F$44,4,FALSE)+IF(7=D347,'难度参数'!$E$30,0))</x:f>
        <x:v>1594</x:v>
      </x:c>
    </x:row>
    <x:row r="348" ht="23" customHeight="1">
      <x:c r="A348" s="119" t="n">
        <x:v>342</x:v>
      </x:c>
      <x:c r="B348" s="119" t="n">
        <x:f>MOD(INT((A348-1)/5),7)+1</x:f>
        <x:v>6</x:v>
      </x:c>
      <x:c r="C348" s="62" t="str">
        <x:f>INDEX('章节与怪物'!$B$31:$B$37,B348)</x:f>
        <x:v>熔岩山脉</x:v>
      </x:c>
      <x:c r="D348" s="119" t="n">
        <x:f>MIN('难度参数'!$E$8,MAX('难度参数'!$E$7,A348))</x:f>
        <x:v>7</x:v>
      </x:c>
      <x:c r="E348" s="106" t="n">
        <x:v>1</x:v>
      </x:c>
      <x:c r="F348" s="106" t="n">
        <x:v>0</x:v>
      </x:c>
      <x:c r="G348" s="106" t="n">
        <x:v>1</x:v>
      </x:c>
      <x:c r="H348" s="119" t="n">
        <x:f>SUM(X348,AB348,AF348,AJ348,AN348,AR348,AV348)</x:f>
        <x:v>255</x:v>
      </x:c>
      <x:c r="I348" s="119" t="n">
        <x:f>SUM(Z348,AD348,AH348,AL348,AP348,AT348,AX348)</x:f>
        <x:v>3153810</x:v>
      </x:c>
      <x:c r="J348" s="119" t="n">
        <x:f>ROUND(INDEX(X348:AY348,1,(D348-1)*4+2)*'难度参数'!$E$28*'章节与怪物'!$E$17,0)</x:f>
        <x:v>81389</x:v>
      </x:c>
      <x:c r="K348" s="119" t="n">
        <x:f>SUM(AA348,AE348,AI348,AM348,AQ348,AU348,AY348)</x:f>
        <x:v>6816</x:v>
      </x:c>
      <x:c r="L348" s="62" t="n">
        <x:f>H348*(ROUNDUP('难度参数'!$E$24/('难度参数'!$E$26*'难度参数'!$E$27),0)*'难度参数'!$E$26)/60</x:f>
        <x:v>3.4</x:v>
      </x:c>
      <x:c r="M348" s="62" t="n">
        <x:f>L348+D348*('难度参数'!$E$49+'难度参数'!$E$50)/60</x:f>
        <x:v>4.566666666666666</x:v>
      </x:c>
      <x:c r="N348" s="119" t="n">
        <x:f>ROUNDDOWN(('经济参数'!$E$20+A348*'经济参数'!$E$21)*G348,0)</x:f>
        <x:v>7020</x:v>
      </x:c>
      <x:c r="O348" s="119" t="n">
        <x:f>ROUNDDOWN(MIN('经济参数'!$E$24,'经济参数'!$E$22+A348*'经济参数'!$E$23)*G348,0)</x:f>
        <x:v>0</x:v>
      </x:c>
      <x:c r="P348" s="119" t="n">
        <x:f>ROUNDDOWN((IF(A348&gt;='材料与任务'!$E$31,'材料与任务'!$E$32,IF(A348&gt;='材料与任务'!$E$25,'材料与任务'!$E$26,IF(A348&gt;='材料与任务'!$E$19,'材料与任务'!$E$20,IF(A348&gt;='材料与任务'!$E$13,'材料与任务'!$E$14,'材料与任务'!$E$8)))))*G348,0)</x:f>
        <x:v>6</x:v>
      </x:c>
      <x:c r="Q348" s="119" t="n">
        <x:f>ROUNDDOWN((IF(A348&gt;='材料与任务'!$E$31,'材料与任务'!$E$33,IF(A348&gt;='材料与任务'!$E$25,'材料与任务'!$E$27,IF(A348&gt;='材料与任务'!$E$19,'材料与任务'!$E$21,IF(A348&gt;='材料与任务'!$E$13,'材料与任务'!$E$15,'材料与任务'!$E$9)))))*G348,0)</x:f>
        <x:v>3</x:v>
      </x:c>
      <x:c r="R348" s="110" t="n">
        <x:f>'装备掉落'!$B$38</x:f>
        <x:v>0.6872058758851213</x:v>
      </x:c>
      <x:c r="S348" s="119" t="n">
        <x:f>MAX(IF(VLOOKUP(A348,'装备掉落'!$A$29:$H$34,2,TRUE)&gt;0,1,0),IF(VLOOKUP(A348,'装备掉落'!$A$29:$H$34,3,TRUE)&gt;0,2,0),IF(VLOOKUP(A348,'装备掉落'!$A$29:$H$34,4,TRUE)&gt;0,3,0),IF(VLOOKUP(A348,'装备掉落'!$A$29:$H$34,5,TRUE)&gt;0,4,0),IF(VLOOKUP(A348,'装备掉落'!$A$29:$H$34,6,TRUE)&gt;0,5,0),IF(VLOOKUP(A348,'装备掉落'!$A$29:$H$34,7,TRUE)&gt;0,6,0),IF(VLOOKUP(A348,'装备掉落'!$A$29:$H$34,8,TRUE)&gt;0,7,0))</x:f>
        <x:v>7</x:v>
      </x:c>
      <x:c r="T348" s="119" t="n">
        <x:f>MIN(7,S348+'经济参数'!$E$70)</x:f>
        <x:v>7</x:v>
      </x:c>
      <x:c r="U348" s="119" t="n">
        <x:f>MIN(7,S348+'经济参数'!$E$71)</x:f>
        <x:v>7</x:v>
      </x:c>
      <x:c r="V348" s="119" t="n">
        <x:f>IF(H348&gt;=('难度参数'!$E$52),1,0)+IF(H348&gt;=('难度参数'!$E$52+'难度参数'!$E$53),1,0)+IF(H348&gt;=('难度参数'!$E$52+'难度参数'!$E$53+'难度参数'!$E$54),1,0)+IF(H348&gt;=('难度参数'!$E$52+'难度参数'!$E$53+'难度参数'!$E$54+'难度参数'!$E$55),1,0)+IF(H348&gt;=('难度参数'!$E$52+'难度参数'!$E$53+'难度参数'!$E$54+'难度参数'!$E$55+'难度参数'!$E$56),1,0)+IF(H348&gt;=('难度参数'!$E$52+'难度参数'!$E$53+'难度参数'!$E$54+'难度参数'!$E$55+'难度参数'!$E$56+'难度参数'!$E$57),1,0)</x:f>
        <x:v>6</x:v>
      </x:c>
      <x:c r="W348" s="62" t="str">
        <x:f>IF(L348&gt;'难度参数'!$E$51,"仅出怪已超目标","还需实测")</x:f>
        <x:v>仅出怪已超目标</x:v>
      </x:c>
      <x:c r="X348" s="119" t="n">
        <x:f>IF(1&gt;D348,0,MAX(2,MIN('难度参数'!$E$12,ROUND(('难度参数'!$E$18*POWER(A348,'难度参数'!$E$19)/D348*(0.85+0.3*(1-1)/MAX(1,D348-1))),0)+F348)))</x:f>
        <x:v>31</x:v>
      </x:c>
      <x:c r="Y348" s="119" t="n">
        <x:f>IF(1&gt;D348,0,ROUND(('难度参数'!$E$13*POWER(A348,'难度参数'!$E$20)*MIN('难度参数'!$E$23,1+MAX(0,A348-'难度参数'!$E$21)*'难度参数'!$E$22))*(36+1*7)/(36+7*(D348+1)/2)*E348,0))</x:f>
        <x:v>6055</x:v>
      </x:c>
      <x:c r="Z348" s="119" t="n">
        <x:f>IF(X348=0,0,(X348-IF(1=D348,1,0))*ROUND(Y348*VLOOKUP(INDEX('章节与怪物'!$E$31:$K$37,B348,1),'章节与怪物'!$A$41:$F$44,2,FALSE),0)+IF(1=D348,ROUND(Y348*'难度参数'!$E$28*'章节与怪物'!$E$17,0),0))</x:f>
        <x:v>135160</x:v>
      </x:c>
      <x:c r="AA348" s="119" t="n">
        <x:f>IF(X348=0,0,(X348-IF(1=D348,1,0))*VLOOKUP(INDEX('章节与怪物'!$E$31:$K$37,B348,1),'章节与怪物'!$A$41:$F$44,4,FALSE)+IF(1=D348,'难度参数'!$E$30,0))</x:f>
        <x:v>620</x:v>
      </x:c>
      <x:c r="AB348" s="119" t="n">
        <x:f>IF(2&gt;D348,0,MAX(2,MIN('难度参数'!$E$12,ROUND(('难度参数'!$E$18*POWER(A348,'难度参数'!$E$19)/D348*(0.85+0.3*(2-1)/MAX(1,D348-1))),0)+F348)))</x:f>
        <x:v>33</x:v>
      </x:c>
      <x:c r="AC348" s="119" t="n">
        <x:f>IF(2&gt;D348,0,ROUND(('难度参数'!$E$13*POWER(A348,'难度参数'!$E$20)*MIN('难度参数'!$E$23,1+MAX(0,A348-'难度参数'!$E$21)*'难度参数'!$E$22))*(36+2*7)/(36+7*(D348+1)/2)*E348,0))</x:f>
        <x:v>7041</x:v>
      </x:c>
      <x:c r="AD348" s="119" t="n">
        <x:f>IF(AB348=0,0,(AB348-IF(2=D348,1,0))*ROUND(AC348*VLOOKUP(INDEX('章节与怪物'!$E$31:$K$37,B348,2),'章节与怪物'!$A$41:$F$44,2,FALSE),0)+IF(2=D348,ROUND(AC348*'难度参数'!$E$28*'章节与怪物'!$E$17,0),0))</x:f>
        <x:v>232353</x:v>
      </x:c>
      <x:c r="AE348" s="119" t="n">
        <x:f>IF(AB348=0,0,(AB348-IF(2=D348,1,0))*VLOOKUP(INDEX('章节与怪物'!$E$31:$K$37,B348,2),'章节与怪物'!$A$41:$F$44,4,FALSE)+IF(2=D348,'难度参数'!$E$30,0))</x:f>
        <x:v>594</x:v>
      </x:c>
      <x:c r="AF348" s="119" t="n">
        <x:f>IF(3&gt;D348,0,MAX(2,MIN('难度参数'!$E$12,ROUND(('难度参数'!$E$18*POWER(A348,'难度参数'!$E$19)/D348*(0.85+0.3*(3-1)/MAX(1,D348-1))),0)+F348)))</x:f>
        <x:v>35</x:v>
      </x:c>
      <x:c r="AG348" s="119" t="n">
        <x:f>IF(3&gt;D348,0,ROUND(('难度参数'!$E$13*POWER(A348,'难度参数'!$E$20)*MIN('难度参数'!$E$23,1+MAX(0,A348-'难度参数'!$E$21)*'难度参数'!$E$22))*(36+3*7)/(36+7*(D348+1)/2)*E348,0))</x:f>
        <x:v>8027</x:v>
      </x:c>
      <x:c r="AH348" s="119" t="n">
        <x:f>IF(AF348=0,0,(AF348-IF(3=D348,1,0))*ROUND(AG348*VLOOKUP(INDEX('章节与怪物'!$E$31:$K$37,B348,3),'章节与怪物'!$A$41:$F$44,2,FALSE),0)+IF(3=D348,ROUND(AG348*'难度参数'!$E$28*'章节与怪物'!$E$17,0),0))</x:f>
        <x:v>477610</x:v>
      </x:c>
      <x:c r="AI348" s="119" t="n">
        <x:f>IF(AF348=0,0,(AF348-IF(3=D348,1,0))*VLOOKUP(INDEX('章节与怪物'!$E$31:$K$37,B348,3),'章节与怪物'!$A$41:$F$44,4,FALSE)+IF(3=D348,'难度参数'!$E$30,0))</x:f>
        <x:v>980</x:v>
      </x:c>
      <x:c r="AJ348" s="119" t="n">
        <x:f>IF(4&gt;D348,0,MAX(2,MIN('难度参数'!$E$12,ROUND(('难度参数'!$E$18*POWER(A348,'难度参数'!$E$19)/D348*(0.85+0.3*(4-1)/MAX(1,D348-1))),0)+F348)))</x:f>
        <x:v>36</x:v>
      </x:c>
      <x:c r="AK348" s="119" t="n">
        <x:f>IF(4&gt;D348,0,ROUND(('难度参数'!$E$13*POWER(A348,'难度参数'!$E$20)*MIN('难度参数'!$E$23,1+MAX(0,A348-'难度参数'!$E$21)*'难度参数'!$E$22))*(36+4*7)/(36+7*(D348+1)/2)*E348,0))</x:f>
        <x:v>9012</x:v>
      </x:c>
      <x:c r="AL348" s="119" t="n">
        <x:f>IF(AJ348=0,0,(AJ348-IF(4=D348,1,0))*ROUND(AK348*VLOOKUP(INDEX('章节与怪物'!$E$31:$K$37,B348,4),'章节与怪物'!$A$41:$F$44,2,FALSE),0)+IF(4=D348,ROUND(AK348*'难度参数'!$E$28*'章节与怪物'!$E$17,0),0))</x:f>
        <x:v>437976</x:v>
      </x:c>
      <x:c r="AM348" s="119" t="n">
        <x:f>IF(AJ348=0,0,(AJ348-IF(4=D348,1,0))*VLOOKUP(INDEX('章节与怪物'!$E$31:$K$37,B348,4),'章节与怪物'!$A$41:$F$44,4,FALSE)+IF(4=D348,'难度参数'!$E$30,0))</x:f>
        <x:v>1224</x:v>
      </x:c>
      <x:c r="AN348" s="119" t="n">
        <x:f>IF(5&gt;D348,0,MAX(2,MIN('难度参数'!$E$12,ROUND(('难度参数'!$E$18*POWER(A348,'难度参数'!$E$19)/D348*(0.85+0.3*(5-1)/MAX(1,D348-1))),0)+F348)))</x:f>
        <x:v>38</x:v>
      </x:c>
      <x:c r="AO348" s="119" t="n">
        <x:f>IF(5&gt;D348,0,ROUND(('难度参数'!$E$13*POWER(A348,'难度参数'!$E$20)*MIN('难度参数'!$E$23,1+MAX(0,A348-'难度参数'!$E$21)*'难度参数'!$E$22))*(36+5*7)/(36+7*(D348+1)/2)*E348,0))</x:f>
        <x:v>9998</x:v>
      </x:c>
      <x:c r="AP348" s="119" t="n">
        <x:f>IF(AN348=0,0,(AN348-IF(5=D348,1,0))*ROUND(AO348*VLOOKUP(INDEX('章节与怪物'!$E$31:$K$37,B348,5),'章节与怪物'!$A$41:$F$44,2,FALSE),0)+IF(5=D348,ROUND(AO348*'难度参数'!$E$28*'章节与怪物'!$E$17,0),0))</x:f>
        <x:v>379924</x:v>
      </x:c>
      <x:c r="AQ348" s="119" t="n">
        <x:f>IF(AN348=0,0,(AN348-IF(5=D348,1,0))*VLOOKUP(INDEX('章节与怪物'!$E$31:$K$37,B348,5),'章节与怪物'!$A$41:$F$44,4,FALSE)+IF(5=D348,'难度参数'!$E$30,0))</x:f>
        <x:v>684</x:v>
      </x:c>
      <x:c r="AR348" s="119" t="n">
        <x:f>IF(6&gt;D348,0,MAX(2,MIN('难度参数'!$E$12,ROUND(('难度参数'!$E$18*POWER(A348,'难度参数'!$E$19)/D348*(0.85+0.3*(6-1)/MAX(1,D348-1))),0)+F348)))</x:f>
        <x:v>40</x:v>
      </x:c>
      <x:c r="AS348" s="119" t="n">
        <x:f>IF(6&gt;D348,0,ROUND(('难度参数'!$E$13*POWER(A348,'难度参数'!$E$20)*MIN('难度参数'!$E$23,1+MAX(0,A348-'难度参数'!$E$21)*'难度参数'!$E$22))*(36+6*7)/(36+7*(D348+1)/2)*E348,0))</x:f>
        <x:v>10984</x:v>
      </x:c>
      <x:c r="AT348" s="119" t="n">
        <x:f>IF(AR348=0,0,(AR348-IF(6=D348,1,0))*ROUND(AS348*VLOOKUP(INDEX('章节与怪物'!$E$31:$K$37,B348,6),'章节与怪物'!$A$41:$F$44,2,FALSE),0)+IF(6=D348,ROUND(AS348*'难度参数'!$E$28*'章节与怪物'!$E$17,0),0))</x:f>
        <x:v>746920</x:v>
      </x:c>
      <x:c r="AU348" s="119" t="n">
        <x:f>IF(AR348=0,0,(AR348-IF(6=D348,1,0))*VLOOKUP(INDEX('章节与怪物'!$E$31:$K$37,B348,6),'章节与怪物'!$A$41:$F$44,4,FALSE)+IF(6=D348,'难度参数'!$E$30,0))</x:f>
        <x:v>1120</x:v>
      </x:c>
      <x:c r="AV348" s="119" t="n">
        <x:f>IF(7&gt;D348,0,MAX(2,MIN('难度参数'!$E$12,ROUND(('难度参数'!$E$18*POWER(A348,'难度参数'!$E$19)/D348*(0.85+0.3*(7-1)/MAX(1,D348-1))),0)+F348)))</x:f>
        <x:v>42</x:v>
      </x:c>
      <x:c r="AW348" s="119" t="n">
        <x:f>IF(7&gt;D348,0,ROUND(('难度参数'!$E$13*POWER(A348,'难度参数'!$E$20)*MIN('难度参数'!$E$23,1+MAX(0,A348-'难度参数'!$E$21)*'难度参数'!$E$22))*(36+7*7)/(36+7*(D348+1)/2)*E348,0))</x:f>
        <x:v>11969</x:v>
      </x:c>
      <x:c r="AX348" s="119" t="n">
        <x:f>IF(AV348=0,0,(AV348-IF(7=D348,1,0))*ROUND(AW348*VLOOKUP(INDEX('章节与怪物'!$E$31:$K$37,B348,7),'章节与怪物'!$A$41:$F$44,2,FALSE),0)+IF(7=D348,ROUND(AW348*'难度参数'!$E$28*'章节与怪物'!$E$17,0),0))</x:f>
        <x:v>743867</x:v>
      </x:c>
      <x:c r="AY348" s="119" t="n">
        <x:f>IF(AV348=0,0,(AV348-IF(7=D348,1,0))*VLOOKUP(INDEX('章节与怪物'!$E$31:$K$37,B348,7),'章节与怪物'!$A$41:$F$44,4,FALSE)+IF(7=D348,'难度参数'!$E$30,0))</x:f>
        <x:v>1594</x:v>
      </x:c>
    </x:row>
    <x:row r="349" ht="23" customHeight="1">
      <x:c r="A349" s="119" t="n">
        <x:v>343</x:v>
      </x:c>
      <x:c r="B349" s="119" t="n">
        <x:f>MOD(INT((A349-1)/5),7)+1</x:f>
        <x:v>6</x:v>
      </x:c>
      <x:c r="C349" s="62" t="str">
        <x:f>INDEX('章节与怪物'!$B$31:$B$37,B349)</x:f>
        <x:v>熔岩山脉</x:v>
      </x:c>
      <x:c r="D349" s="119" t="n">
        <x:f>MIN('难度参数'!$E$8,MAX('难度参数'!$E$7,A349))</x:f>
        <x:v>7</x:v>
      </x:c>
      <x:c r="E349" s="106" t="n">
        <x:v>1</x:v>
      </x:c>
      <x:c r="F349" s="106" t="n">
        <x:v>0</x:v>
      </x:c>
      <x:c r="G349" s="106" t="n">
        <x:v>1</x:v>
      </x:c>
      <x:c r="H349" s="119" t="n">
        <x:f>SUM(X349,AB349,AF349,AJ349,AN349,AR349,AV349)</x:f>
        <x:v>255</x:v>
      </x:c>
      <x:c r="I349" s="119" t="n">
        <x:f>SUM(Z349,AD349,AH349,AL349,AP349,AT349,AX349)</x:f>
        <x:v>3160435</x:v>
      </x:c>
      <x:c r="J349" s="119" t="n">
        <x:f>ROUND(INDEX(X349:AY349,1,(D349-1)*4+2)*'难度参数'!$E$28*'章节与怪物'!$E$17,0)</x:f>
        <x:v>81566</x:v>
      </x:c>
      <x:c r="K349" s="119" t="n">
        <x:f>SUM(AA349,AE349,AI349,AM349,AQ349,AU349,AY349)</x:f>
        <x:v>6816</x:v>
      </x:c>
      <x:c r="L349" s="62" t="n">
        <x:f>H349*(ROUNDUP('难度参数'!$E$24/('难度参数'!$E$26*'难度参数'!$E$27),0)*'难度参数'!$E$26)/60</x:f>
        <x:v>3.4</x:v>
      </x:c>
      <x:c r="M349" s="62" t="n">
        <x:f>L349+D349*('难度参数'!$E$49+'难度参数'!$E$50)/60</x:f>
        <x:v>4.566666666666666</x:v>
      </x:c>
      <x:c r="N349" s="119" t="n">
        <x:f>ROUNDDOWN(('经济参数'!$E$20+A349*'经济参数'!$E$21)*G349,0)</x:f>
        <x:v>7040</x:v>
      </x:c>
      <x:c r="O349" s="119" t="n">
        <x:f>ROUNDDOWN(MIN('经济参数'!$E$24,'经济参数'!$E$22+A349*'经济参数'!$E$23)*G349,0)</x:f>
        <x:v>0</x:v>
      </x:c>
      <x:c r="P349" s="119" t="n">
        <x:f>ROUNDDOWN((IF(A349&gt;='材料与任务'!$E$31,'材料与任务'!$E$32,IF(A349&gt;='材料与任务'!$E$25,'材料与任务'!$E$26,IF(A349&gt;='材料与任务'!$E$19,'材料与任务'!$E$20,IF(A349&gt;='材料与任务'!$E$13,'材料与任务'!$E$14,'材料与任务'!$E$8)))))*G349,0)</x:f>
        <x:v>6</x:v>
      </x:c>
      <x:c r="Q349" s="119" t="n">
        <x:f>ROUNDDOWN((IF(A349&gt;='材料与任务'!$E$31,'材料与任务'!$E$33,IF(A349&gt;='材料与任务'!$E$25,'材料与任务'!$E$27,IF(A349&gt;='材料与任务'!$E$19,'材料与任务'!$E$21,IF(A349&gt;='材料与任务'!$E$13,'材料与任务'!$E$15,'材料与任务'!$E$9)))))*G349,0)</x:f>
        <x:v>3</x:v>
      </x:c>
      <x:c r="R349" s="110" t="n">
        <x:f>'装备掉落'!$B$38</x:f>
        <x:v>0.6872058758851213</x:v>
      </x:c>
      <x:c r="S349" s="119" t="n">
        <x:f>MAX(IF(VLOOKUP(A349,'装备掉落'!$A$29:$H$34,2,TRUE)&gt;0,1,0),IF(VLOOKUP(A349,'装备掉落'!$A$29:$H$34,3,TRUE)&gt;0,2,0),IF(VLOOKUP(A349,'装备掉落'!$A$29:$H$34,4,TRUE)&gt;0,3,0),IF(VLOOKUP(A349,'装备掉落'!$A$29:$H$34,5,TRUE)&gt;0,4,0),IF(VLOOKUP(A349,'装备掉落'!$A$29:$H$34,6,TRUE)&gt;0,5,0),IF(VLOOKUP(A349,'装备掉落'!$A$29:$H$34,7,TRUE)&gt;0,6,0),IF(VLOOKUP(A349,'装备掉落'!$A$29:$H$34,8,TRUE)&gt;0,7,0))</x:f>
        <x:v>7</x:v>
      </x:c>
      <x:c r="T349" s="119" t="n">
        <x:f>MIN(7,S349+'经济参数'!$E$70)</x:f>
        <x:v>7</x:v>
      </x:c>
      <x:c r="U349" s="119" t="n">
        <x:f>MIN(7,S349+'经济参数'!$E$71)</x:f>
        <x:v>7</x:v>
      </x:c>
      <x:c r="V349" s="119" t="n">
        <x:f>IF(H349&gt;=('难度参数'!$E$52),1,0)+IF(H349&gt;=('难度参数'!$E$52+'难度参数'!$E$53),1,0)+IF(H349&gt;=('难度参数'!$E$52+'难度参数'!$E$53+'难度参数'!$E$54),1,0)+IF(H349&gt;=('难度参数'!$E$52+'难度参数'!$E$53+'难度参数'!$E$54+'难度参数'!$E$55),1,0)+IF(H349&gt;=('难度参数'!$E$52+'难度参数'!$E$53+'难度参数'!$E$54+'难度参数'!$E$55+'难度参数'!$E$56),1,0)+IF(H349&gt;=('难度参数'!$E$52+'难度参数'!$E$53+'难度参数'!$E$54+'难度参数'!$E$55+'难度参数'!$E$56+'难度参数'!$E$57),1,0)</x:f>
        <x:v>6</x:v>
      </x:c>
      <x:c r="W349" s="62" t="str">
        <x:f>IF(L349&gt;'难度参数'!$E$51,"仅出怪已超目标","还需实测")</x:f>
        <x:v>仅出怪已超目标</x:v>
      </x:c>
      <x:c r="X349" s="119" t="n">
        <x:f>IF(1&gt;D349,0,MAX(2,MIN('难度参数'!$E$12,ROUND(('难度参数'!$E$18*POWER(A349,'难度参数'!$E$19)/D349*(0.85+0.3*(1-1)/MAX(1,D349-1))),0)+F349)))</x:f>
        <x:v>31</x:v>
      </x:c>
      <x:c r="Y349" s="119" t="n">
        <x:f>IF(1&gt;D349,0,ROUND(('难度参数'!$E$13*POWER(A349,'难度参数'!$E$20)*MIN('难度参数'!$E$23,1+MAX(0,A349-'难度参数'!$E$21)*'难度参数'!$E$22))*(36+1*7)/(36+7*(D349+1)/2)*E349,0))</x:f>
        <x:v>6068</x:v>
      </x:c>
      <x:c r="Z349" s="119" t="n">
        <x:f>IF(X349=0,0,(X349-IF(1=D349,1,0))*ROUND(Y349*VLOOKUP(INDEX('章节与怪物'!$E$31:$K$37,B349,1),'章节与怪物'!$A$41:$F$44,2,FALSE),0)+IF(1=D349,ROUND(Y349*'难度参数'!$E$28*'章节与怪物'!$E$17,0),0))</x:f>
        <x:v>135439</x:v>
      </x:c>
      <x:c r="AA349" s="119" t="n">
        <x:f>IF(X349=0,0,(X349-IF(1=D349,1,0))*VLOOKUP(INDEX('章节与怪物'!$E$31:$K$37,B349,1),'章节与怪物'!$A$41:$F$44,4,FALSE)+IF(1=D349,'难度参数'!$E$30,0))</x:f>
        <x:v>620</x:v>
      </x:c>
      <x:c r="AB349" s="119" t="n">
        <x:f>IF(2&gt;D349,0,MAX(2,MIN('难度参数'!$E$12,ROUND(('难度参数'!$E$18*POWER(A349,'难度参数'!$E$19)/D349*(0.85+0.3*(2-1)/MAX(1,D349-1))),0)+F349)))</x:f>
        <x:v>33</x:v>
      </x:c>
      <x:c r="AC349" s="119" t="n">
        <x:f>IF(2&gt;D349,0,ROUND(('难度参数'!$E$13*POWER(A349,'难度参数'!$E$20)*MIN('难度参数'!$E$23,1+MAX(0,A349-'难度参数'!$E$21)*'难度参数'!$E$22))*(36+2*7)/(36+7*(D349+1)/2)*E349,0))</x:f>
        <x:v>7056</x:v>
      </x:c>
      <x:c r="AD349" s="119" t="n">
        <x:f>IF(AB349=0,0,(AB349-IF(2=D349,1,0))*ROUND(AC349*VLOOKUP(INDEX('章节与怪物'!$E$31:$K$37,B349,2),'章节与怪物'!$A$41:$F$44,2,FALSE),0)+IF(2=D349,ROUND(AC349*'难度参数'!$E$28*'章节与怪物'!$E$17,0),0))</x:f>
        <x:v>232848</x:v>
      </x:c>
      <x:c r="AE349" s="119" t="n">
        <x:f>IF(AB349=0,0,(AB349-IF(2=D349,1,0))*VLOOKUP(INDEX('章节与怪物'!$E$31:$K$37,B349,2),'章节与怪物'!$A$41:$F$44,4,FALSE)+IF(2=D349,'难度参数'!$E$30,0))</x:f>
        <x:v>594</x:v>
      </x:c>
      <x:c r="AF349" s="119" t="n">
        <x:f>IF(3&gt;D349,0,MAX(2,MIN('难度参数'!$E$12,ROUND(('难度参数'!$E$18*POWER(A349,'难度参数'!$E$19)/D349*(0.85+0.3*(3-1)/MAX(1,D349-1))),0)+F349)))</x:f>
        <x:v>35</x:v>
      </x:c>
      <x:c r="AG349" s="119" t="n">
        <x:f>IF(3&gt;D349,0,ROUND(('难度参数'!$E$13*POWER(A349,'难度参数'!$E$20)*MIN('难度参数'!$E$23,1+MAX(0,A349-'难度参数'!$E$21)*'难度参数'!$E$22))*(36+3*7)/(36+7*(D349+1)/2)*E349,0))</x:f>
        <x:v>8043</x:v>
      </x:c>
      <x:c r="AH349" s="119" t="n">
        <x:f>IF(AF349=0,0,(AF349-IF(3=D349,1,0))*ROUND(AG349*VLOOKUP(INDEX('章节与怪物'!$E$31:$K$37,B349,3),'章节与怪物'!$A$41:$F$44,2,FALSE),0)+IF(3=D349,ROUND(AG349*'难度参数'!$E$28*'章节与怪物'!$E$17,0),0))</x:f>
        <x:v>478555</x:v>
      </x:c>
      <x:c r="AI349" s="119" t="n">
        <x:f>IF(AF349=0,0,(AF349-IF(3=D349,1,0))*VLOOKUP(INDEX('章节与怪物'!$E$31:$K$37,B349,3),'章节与怪物'!$A$41:$F$44,4,FALSE)+IF(3=D349,'难度参数'!$E$30,0))</x:f>
        <x:v>980</x:v>
      </x:c>
      <x:c r="AJ349" s="119" t="n">
        <x:f>IF(4&gt;D349,0,MAX(2,MIN('难度参数'!$E$12,ROUND(('难度参数'!$E$18*POWER(A349,'难度参数'!$E$19)/D349*(0.85+0.3*(4-1)/MAX(1,D349-1))),0)+F349)))</x:f>
        <x:v>36</x:v>
      </x:c>
      <x:c r="AK349" s="119" t="n">
        <x:f>IF(4&gt;D349,0,ROUND(('难度参数'!$E$13*POWER(A349,'难度参数'!$E$20)*MIN('难度参数'!$E$23,1+MAX(0,A349-'难度参数'!$E$21)*'难度参数'!$E$22))*(36+4*7)/(36+7*(D349+1)/2)*E349,0))</x:f>
        <x:v>9031</x:v>
      </x:c>
      <x:c r="AL349" s="119" t="n">
        <x:f>IF(AJ349=0,0,(AJ349-IF(4=D349,1,0))*ROUND(AK349*VLOOKUP(INDEX('章节与怪物'!$E$31:$K$37,B349,4),'章节与怪物'!$A$41:$F$44,2,FALSE),0)+IF(4=D349,ROUND(AK349*'难度参数'!$E$28*'章节与怪物'!$E$17,0),0))</x:f>
        <x:v>438912</x:v>
      </x:c>
      <x:c r="AM349" s="119" t="n">
        <x:f>IF(AJ349=0,0,(AJ349-IF(4=D349,1,0))*VLOOKUP(INDEX('章节与怪物'!$E$31:$K$37,B349,4),'章节与怪物'!$A$41:$F$44,4,FALSE)+IF(4=D349,'难度参数'!$E$30,0))</x:f>
        <x:v>1224</x:v>
      </x:c>
      <x:c r="AN349" s="119" t="n">
        <x:f>IF(5&gt;D349,0,MAX(2,MIN('难度参数'!$E$12,ROUND(('难度参数'!$E$18*POWER(A349,'难度参数'!$E$19)/D349*(0.85+0.3*(5-1)/MAX(1,D349-1))),0)+F349)))</x:f>
        <x:v>38</x:v>
      </x:c>
      <x:c r="AO349" s="119" t="n">
        <x:f>IF(5&gt;D349,0,ROUND(('难度参数'!$E$13*POWER(A349,'难度参数'!$E$20)*MIN('难度参数'!$E$23,1+MAX(0,A349-'难度参数'!$E$21)*'难度参数'!$E$22))*(36+5*7)/(36+7*(D349+1)/2)*E349,0))</x:f>
        <x:v>10019</x:v>
      </x:c>
      <x:c r="AP349" s="119" t="n">
        <x:f>IF(AN349=0,0,(AN349-IF(5=D349,1,0))*ROUND(AO349*VLOOKUP(INDEX('章节与怪物'!$E$31:$K$37,B349,5),'章节与怪物'!$A$41:$F$44,2,FALSE),0)+IF(5=D349,ROUND(AO349*'难度参数'!$E$28*'章节与怪物'!$E$17,0),0))</x:f>
        <x:v>380722</x:v>
      </x:c>
      <x:c r="AQ349" s="119" t="n">
        <x:f>IF(AN349=0,0,(AN349-IF(5=D349,1,0))*VLOOKUP(INDEX('章节与怪物'!$E$31:$K$37,B349,5),'章节与怪物'!$A$41:$F$44,4,FALSE)+IF(5=D349,'难度参数'!$E$30,0))</x:f>
        <x:v>684</x:v>
      </x:c>
      <x:c r="AR349" s="119" t="n">
        <x:f>IF(6&gt;D349,0,MAX(2,MIN('难度参数'!$E$12,ROUND(('难度参数'!$E$18*POWER(A349,'难度参数'!$E$19)/D349*(0.85+0.3*(6-1)/MAX(1,D349-1))),0)+F349)))</x:f>
        <x:v>40</x:v>
      </x:c>
      <x:c r="AS349" s="119" t="n">
        <x:f>IF(6&gt;D349,0,ROUND(('难度参数'!$E$13*POWER(A349,'难度参数'!$E$20)*MIN('难度参数'!$E$23,1+MAX(0,A349-'难度参数'!$E$21)*'难度参数'!$E$22))*(36+6*7)/(36+7*(D349+1)/2)*E349,0))</x:f>
        <x:v>11007</x:v>
      </x:c>
      <x:c r="AT349" s="119" t="n">
        <x:f>IF(AR349=0,0,(AR349-IF(6=D349,1,0))*ROUND(AS349*VLOOKUP(INDEX('章节与怪物'!$E$31:$K$37,B349,6),'章节与怪物'!$A$41:$F$44,2,FALSE),0)+IF(6=D349,ROUND(AS349*'难度参数'!$E$28*'章节与怪物'!$E$17,0),0))</x:f>
        <x:v>748480</x:v>
      </x:c>
      <x:c r="AU349" s="119" t="n">
        <x:f>IF(AR349=0,0,(AR349-IF(6=D349,1,0))*VLOOKUP(INDEX('章节与怪物'!$E$31:$K$37,B349,6),'章节与怪物'!$A$41:$F$44,4,FALSE)+IF(6=D349,'难度参数'!$E$30,0))</x:f>
        <x:v>1120</x:v>
      </x:c>
      <x:c r="AV349" s="119" t="n">
        <x:f>IF(7&gt;D349,0,MAX(2,MIN('难度参数'!$E$12,ROUND(('难度参数'!$E$18*POWER(A349,'难度参数'!$E$19)/D349*(0.85+0.3*(7-1)/MAX(1,D349-1))),0)+F349)))</x:f>
        <x:v>42</x:v>
      </x:c>
      <x:c r="AW349" s="119" t="n">
        <x:f>IF(7&gt;D349,0,ROUND(('难度参数'!$E$13*POWER(A349,'难度参数'!$E$20)*MIN('难度参数'!$E$23,1+MAX(0,A349-'难度参数'!$E$21)*'难度参数'!$E$22))*(36+7*7)/(36+7*(D349+1)/2)*E349,0))</x:f>
        <x:v>11995</x:v>
      </x:c>
      <x:c r="AX349" s="119" t="n">
        <x:f>IF(AV349=0,0,(AV349-IF(7=D349,1,0))*ROUND(AW349*VLOOKUP(INDEX('章节与怪物'!$E$31:$K$37,B349,7),'章节与怪物'!$A$41:$F$44,2,FALSE),0)+IF(7=D349,ROUND(AW349*'难度参数'!$E$28*'章节与怪物'!$E$17,0),0))</x:f>
        <x:v>745479</x:v>
      </x:c>
      <x:c r="AY349" s="119" t="n">
        <x:f>IF(AV349=0,0,(AV349-IF(7=D349,1,0))*VLOOKUP(INDEX('章节与怪物'!$E$31:$K$37,B349,7),'章节与怪物'!$A$41:$F$44,4,FALSE)+IF(7=D349,'难度参数'!$E$30,0))</x:f>
        <x:v>1594</x:v>
      </x:c>
    </x:row>
    <x:row r="350" ht="23" customHeight="1">
      <x:c r="A350" s="119" t="n">
        <x:v>344</x:v>
      </x:c>
      <x:c r="B350" s="119" t="n">
        <x:f>MOD(INT((A350-1)/5),7)+1</x:f>
        <x:v>6</x:v>
      </x:c>
      <x:c r="C350" s="62" t="str">
        <x:f>INDEX('章节与怪物'!$B$31:$B$37,B350)</x:f>
        <x:v>熔岩山脉</x:v>
      </x:c>
      <x:c r="D350" s="119" t="n">
        <x:f>MIN('难度参数'!$E$8,MAX('难度参数'!$E$7,A350))</x:f>
        <x:v>7</x:v>
      </x:c>
      <x:c r="E350" s="106" t="n">
        <x:v>1</x:v>
      </x:c>
      <x:c r="F350" s="106" t="n">
        <x:v>0</x:v>
      </x:c>
      <x:c r="G350" s="106" t="n">
        <x:v>1</x:v>
      </x:c>
      <x:c r="H350" s="119" t="n">
        <x:f>SUM(X350,AB350,AF350,AJ350,AN350,AR350,AV350)</x:f>
        <x:v>255</x:v>
      </x:c>
      <x:c r="I350" s="119" t="n">
        <x:f>SUM(Z350,AD350,AH350,AL350,AP350,AT350,AX350)</x:f>
        <x:v>3167049</x:v>
      </x:c>
      <x:c r="J350" s="119" t="n">
        <x:f>ROUND(INDEX(X350:AY350,1,(D350-1)*4+2)*'难度参数'!$E$28*'章节与怪物'!$E$17,0)</x:f>
        <x:v>81736</x:v>
      </x:c>
      <x:c r="K350" s="119" t="n">
        <x:f>SUM(AA350,AE350,AI350,AM350,AQ350,AU350,AY350)</x:f>
        <x:v>6816</x:v>
      </x:c>
      <x:c r="L350" s="62" t="n">
        <x:f>H350*(ROUNDUP('难度参数'!$E$24/('难度参数'!$E$26*'难度参数'!$E$27),0)*'难度参数'!$E$26)/60</x:f>
        <x:v>3.4</x:v>
      </x:c>
      <x:c r="M350" s="62" t="n">
        <x:f>L350+D350*('难度参数'!$E$49+'难度参数'!$E$50)/60</x:f>
        <x:v>4.566666666666666</x:v>
      </x:c>
      <x:c r="N350" s="119" t="n">
        <x:f>ROUNDDOWN(('经济参数'!$E$20+A350*'经济参数'!$E$21)*G350,0)</x:f>
        <x:v>7060</x:v>
      </x:c>
      <x:c r="O350" s="119" t="n">
        <x:f>ROUNDDOWN(MIN('经济参数'!$E$24,'经济参数'!$E$22+A350*'经济参数'!$E$23)*G350,0)</x:f>
        <x:v>0</x:v>
      </x:c>
      <x:c r="P350" s="119" t="n">
        <x:f>ROUNDDOWN((IF(A350&gt;='材料与任务'!$E$31,'材料与任务'!$E$32,IF(A350&gt;='材料与任务'!$E$25,'材料与任务'!$E$26,IF(A350&gt;='材料与任务'!$E$19,'材料与任务'!$E$20,IF(A350&gt;='材料与任务'!$E$13,'材料与任务'!$E$14,'材料与任务'!$E$8)))))*G350,0)</x:f>
        <x:v>6</x:v>
      </x:c>
      <x:c r="Q350" s="119" t="n">
        <x:f>ROUNDDOWN((IF(A350&gt;='材料与任务'!$E$31,'材料与任务'!$E$33,IF(A350&gt;='材料与任务'!$E$25,'材料与任务'!$E$27,IF(A350&gt;='材料与任务'!$E$19,'材料与任务'!$E$21,IF(A350&gt;='材料与任务'!$E$13,'材料与任务'!$E$15,'材料与任务'!$E$9)))))*G350,0)</x:f>
        <x:v>3</x:v>
      </x:c>
      <x:c r="R350" s="110" t="n">
        <x:f>'装备掉落'!$B$38</x:f>
        <x:v>0.6872058758851213</x:v>
      </x:c>
      <x:c r="S350" s="119" t="n">
        <x:f>MAX(IF(VLOOKUP(A350,'装备掉落'!$A$29:$H$34,2,TRUE)&gt;0,1,0),IF(VLOOKUP(A350,'装备掉落'!$A$29:$H$34,3,TRUE)&gt;0,2,0),IF(VLOOKUP(A350,'装备掉落'!$A$29:$H$34,4,TRUE)&gt;0,3,0),IF(VLOOKUP(A350,'装备掉落'!$A$29:$H$34,5,TRUE)&gt;0,4,0),IF(VLOOKUP(A350,'装备掉落'!$A$29:$H$34,6,TRUE)&gt;0,5,0),IF(VLOOKUP(A350,'装备掉落'!$A$29:$H$34,7,TRUE)&gt;0,6,0),IF(VLOOKUP(A350,'装备掉落'!$A$29:$H$34,8,TRUE)&gt;0,7,0))</x:f>
        <x:v>7</x:v>
      </x:c>
      <x:c r="T350" s="119" t="n">
        <x:f>MIN(7,S350+'经济参数'!$E$70)</x:f>
        <x:v>7</x:v>
      </x:c>
      <x:c r="U350" s="119" t="n">
        <x:f>MIN(7,S350+'经济参数'!$E$71)</x:f>
        <x:v>7</x:v>
      </x:c>
      <x:c r="V350" s="119" t="n">
        <x:f>IF(H350&gt;=('难度参数'!$E$52),1,0)+IF(H350&gt;=('难度参数'!$E$52+'难度参数'!$E$53),1,0)+IF(H350&gt;=('难度参数'!$E$52+'难度参数'!$E$53+'难度参数'!$E$54),1,0)+IF(H350&gt;=('难度参数'!$E$52+'难度参数'!$E$53+'难度参数'!$E$54+'难度参数'!$E$55),1,0)+IF(H350&gt;=('难度参数'!$E$52+'难度参数'!$E$53+'难度参数'!$E$54+'难度参数'!$E$55+'难度参数'!$E$56),1,0)+IF(H350&gt;=('难度参数'!$E$52+'难度参数'!$E$53+'难度参数'!$E$54+'难度参数'!$E$55+'难度参数'!$E$56+'难度参数'!$E$57),1,0)</x:f>
        <x:v>6</x:v>
      </x:c>
      <x:c r="W350" s="62" t="str">
        <x:f>IF(L350&gt;'难度参数'!$E$51,"仅出怪已超目标","还需实测")</x:f>
        <x:v>仅出怪已超目标</x:v>
      </x:c>
      <x:c r="X350" s="119" t="n">
        <x:f>IF(1&gt;D350,0,MAX(2,MIN('难度参数'!$E$12,ROUND(('难度参数'!$E$18*POWER(A350,'难度参数'!$E$19)/D350*(0.85+0.3*(1-1)/MAX(1,D350-1))),0)+F350)))</x:f>
        <x:v>31</x:v>
      </x:c>
      <x:c r="Y350" s="119" t="n">
        <x:f>IF(1&gt;D350,0,ROUND(('难度参数'!$E$13*POWER(A350,'难度参数'!$E$20)*MIN('难度参数'!$E$23,1+MAX(0,A350-'难度参数'!$E$21)*'难度参数'!$E$22))*(36+1*7)/(36+7*(D350+1)/2)*E350,0))</x:f>
        <x:v>6081</x:v>
      </x:c>
      <x:c r="Z350" s="119" t="n">
        <x:f>IF(X350=0,0,(X350-IF(1=D350,1,0))*ROUND(Y350*VLOOKUP(INDEX('章节与怪物'!$E$31:$K$37,B350,1),'章节与怪物'!$A$41:$F$44,2,FALSE),0)+IF(1=D350,ROUND(Y350*'难度参数'!$E$28*'章节与怪物'!$E$17,0),0))</x:f>
        <x:v>135718</x:v>
      </x:c>
      <x:c r="AA350" s="119" t="n">
        <x:f>IF(X350=0,0,(X350-IF(1=D350,1,0))*VLOOKUP(INDEX('章节与怪物'!$E$31:$K$37,B350,1),'章节与怪物'!$A$41:$F$44,4,FALSE)+IF(1=D350,'难度参数'!$E$30,0))</x:f>
        <x:v>620</x:v>
      </x:c>
      <x:c r="AB350" s="119" t="n">
        <x:f>IF(2&gt;D350,0,MAX(2,MIN('难度参数'!$E$12,ROUND(('难度参数'!$E$18*POWER(A350,'难度参数'!$E$19)/D350*(0.85+0.3*(2-1)/MAX(1,D350-1))),0)+F350)))</x:f>
        <x:v>33</x:v>
      </x:c>
      <x:c r="AC350" s="119" t="n">
        <x:f>IF(2&gt;D350,0,ROUND(('难度参数'!$E$13*POWER(A350,'难度参数'!$E$20)*MIN('难度参数'!$E$23,1+MAX(0,A350-'难度参数'!$E$21)*'难度参数'!$E$22))*(36+2*7)/(36+7*(D350+1)/2)*E350,0))</x:f>
        <x:v>7070</x:v>
      </x:c>
      <x:c r="AD350" s="119" t="n">
        <x:f>IF(AB350=0,0,(AB350-IF(2=D350,1,0))*ROUND(AC350*VLOOKUP(INDEX('章节与怪物'!$E$31:$K$37,B350,2),'章节与怪物'!$A$41:$F$44,2,FALSE),0)+IF(2=D350,ROUND(AC350*'难度参数'!$E$28*'章节与怪物'!$E$17,0),0))</x:f>
        <x:v>233310</x:v>
      </x:c>
      <x:c r="AE350" s="119" t="n">
        <x:f>IF(AB350=0,0,(AB350-IF(2=D350,1,0))*VLOOKUP(INDEX('章节与怪物'!$E$31:$K$37,B350,2),'章节与怪物'!$A$41:$F$44,4,FALSE)+IF(2=D350,'难度参数'!$E$30,0))</x:f>
        <x:v>594</x:v>
      </x:c>
      <x:c r="AF350" s="119" t="n">
        <x:f>IF(3&gt;D350,0,MAX(2,MIN('难度参数'!$E$12,ROUND(('难度参数'!$E$18*POWER(A350,'难度参数'!$E$19)/D350*(0.85+0.3*(3-1)/MAX(1,D350-1))),0)+F350)))</x:f>
        <x:v>35</x:v>
      </x:c>
      <x:c r="AG350" s="119" t="n">
        <x:f>IF(3&gt;D350,0,ROUND(('难度参数'!$E$13*POWER(A350,'难度参数'!$E$20)*MIN('难度参数'!$E$23,1+MAX(0,A350-'难度参数'!$E$21)*'难度参数'!$E$22))*(36+3*7)/(36+7*(D350+1)/2)*E350,0))</x:f>
        <x:v>8060</x:v>
      </x:c>
      <x:c r="AH350" s="119" t="n">
        <x:f>IF(AF350=0,0,(AF350-IF(3=D350,1,0))*ROUND(AG350*VLOOKUP(INDEX('章节与怪物'!$E$31:$K$37,B350,3),'章节与怪物'!$A$41:$F$44,2,FALSE),0)+IF(3=D350,ROUND(AG350*'难度参数'!$E$28*'章节与怪物'!$E$17,0),0))</x:f>
        <x:v>479570</x:v>
      </x:c>
      <x:c r="AI350" s="119" t="n">
        <x:f>IF(AF350=0,0,(AF350-IF(3=D350,1,0))*VLOOKUP(INDEX('章节与怪物'!$E$31:$K$37,B350,3),'章节与怪物'!$A$41:$F$44,4,FALSE)+IF(3=D350,'难度参数'!$E$30,0))</x:f>
        <x:v>980</x:v>
      </x:c>
      <x:c r="AJ350" s="119" t="n">
        <x:f>IF(4&gt;D350,0,MAX(2,MIN('难度参数'!$E$12,ROUND(('难度参数'!$E$18*POWER(A350,'难度参数'!$E$19)/D350*(0.85+0.3*(4-1)/MAX(1,D350-1))),0)+F350)))</x:f>
        <x:v>36</x:v>
      </x:c>
      <x:c r="AK350" s="119" t="n">
        <x:f>IF(4&gt;D350,0,ROUND(('难度参数'!$E$13*POWER(A350,'难度参数'!$E$20)*MIN('难度参数'!$E$23,1+MAX(0,A350-'难度参数'!$E$21)*'难度参数'!$E$22))*(36+4*7)/(36+7*(D350+1)/2)*E350,0))</x:f>
        <x:v>9050</x:v>
      </x:c>
      <x:c r="AL350" s="119" t="n">
        <x:f>IF(AJ350=0,0,(AJ350-IF(4=D350,1,0))*ROUND(AK350*VLOOKUP(INDEX('章节与怪物'!$E$31:$K$37,B350,4),'章节与怪物'!$A$41:$F$44,2,FALSE),0)+IF(4=D350,ROUND(AK350*'难度参数'!$E$28*'章节与怪物'!$E$17,0),0))</x:f>
        <x:v>439848</x:v>
      </x:c>
      <x:c r="AM350" s="119" t="n">
        <x:f>IF(AJ350=0,0,(AJ350-IF(4=D350,1,0))*VLOOKUP(INDEX('章节与怪物'!$E$31:$K$37,B350,4),'章节与怪物'!$A$41:$F$44,4,FALSE)+IF(4=D350,'难度参数'!$E$30,0))</x:f>
        <x:v>1224</x:v>
      </x:c>
      <x:c r="AN350" s="119" t="n">
        <x:f>IF(5&gt;D350,0,MAX(2,MIN('难度参数'!$E$12,ROUND(('难度参数'!$E$18*POWER(A350,'难度参数'!$E$19)/D350*(0.85+0.3*(5-1)/MAX(1,D350-1))),0)+F350)))</x:f>
        <x:v>38</x:v>
      </x:c>
      <x:c r="AO350" s="119" t="n">
        <x:f>IF(5&gt;D350,0,ROUND(('难度参数'!$E$13*POWER(A350,'难度参数'!$E$20)*MIN('难度参数'!$E$23,1+MAX(0,A350-'难度参数'!$E$21)*'难度参数'!$E$22))*(36+5*7)/(36+7*(D350+1)/2)*E350,0))</x:f>
        <x:v>10040</x:v>
      </x:c>
      <x:c r="AP350" s="119" t="n">
        <x:f>IF(AN350=0,0,(AN350-IF(5=D350,1,0))*ROUND(AO350*VLOOKUP(INDEX('章节与怪物'!$E$31:$K$37,B350,5),'章节与怪物'!$A$41:$F$44,2,FALSE),0)+IF(5=D350,ROUND(AO350*'难度参数'!$E$28*'章节与怪物'!$E$17,0),0))</x:f>
        <x:v>381520</x:v>
      </x:c>
      <x:c r="AQ350" s="119" t="n">
        <x:f>IF(AN350=0,0,(AN350-IF(5=D350,1,0))*VLOOKUP(INDEX('章节与怪物'!$E$31:$K$37,B350,5),'章节与怪物'!$A$41:$F$44,4,FALSE)+IF(5=D350,'难度参数'!$E$30,0))</x:f>
        <x:v>684</x:v>
      </x:c>
      <x:c r="AR350" s="119" t="n">
        <x:f>IF(6&gt;D350,0,MAX(2,MIN('难度参数'!$E$12,ROUND(('难度参数'!$E$18*POWER(A350,'难度参数'!$E$19)/D350*(0.85+0.3*(6-1)/MAX(1,D350-1))),0)+F350)))</x:f>
        <x:v>40</x:v>
      </x:c>
      <x:c r="AS350" s="119" t="n">
        <x:f>IF(6&gt;D350,0,ROUND(('难度参数'!$E$13*POWER(A350,'难度参数'!$E$20)*MIN('难度参数'!$E$23,1+MAX(0,A350-'难度参数'!$E$21)*'难度参数'!$E$22))*(36+6*7)/(36+7*(D350+1)/2)*E350,0))</x:f>
        <x:v>11030</x:v>
      </x:c>
      <x:c r="AT350" s="119" t="n">
        <x:f>IF(AR350=0,0,(AR350-IF(6=D350,1,0))*ROUND(AS350*VLOOKUP(INDEX('章节与怪物'!$E$31:$K$37,B350,6),'章节与怪物'!$A$41:$F$44,2,FALSE),0)+IF(6=D350,ROUND(AS350*'难度参数'!$E$28*'章节与怪物'!$E$17,0),0))</x:f>
        <x:v>750040</x:v>
      </x:c>
      <x:c r="AU350" s="119" t="n">
        <x:f>IF(AR350=0,0,(AR350-IF(6=D350,1,0))*VLOOKUP(INDEX('章节与怪物'!$E$31:$K$37,B350,6),'章节与怪物'!$A$41:$F$44,4,FALSE)+IF(6=D350,'难度参数'!$E$30,0))</x:f>
        <x:v>1120</x:v>
      </x:c>
      <x:c r="AV350" s="119" t="n">
        <x:f>IF(7&gt;D350,0,MAX(2,MIN('难度参数'!$E$12,ROUND(('难度参数'!$E$18*POWER(A350,'难度参数'!$E$19)/D350*(0.85+0.3*(7-1)/MAX(1,D350-1))),0)+F350)))</x:f>
        <x:v>42</x:v>
      </x:c>
      <x:c r="AW350" s="119" t="n">
        <x:f>IF(7&gt;D350,0,ROUND(('难度参数'!$E$13*POWER(A350,'难度参数'!$E$20)*MIN('难度参数'!$E$23,1+MAX(0,A350-'难度参数'!$E$21)*'难度参数'!$E$22))*(36+7*7)/(36+7*(D350+1)/2)*E350,0))</x:f>
        <x:v>12020</x:v>
      </x:c>
      <x:c r="AX350" s="119" t="n">
        <x:f>IF(AV350=0,0,(AV350-IF(7=D350,1,0))*ROUND(AW350*VLOOKUP(INDEX('章节与怪物'!$E$31:$K$37,B350,7),'章节与怪物'!$A$41:$F$44,2,FALSE),0)+IF(7=D350,ROUND(AW350*'难度参数'!$E$28*'章节与怪物'!$E$17,0),0))</x:f>
        <x:v>747043</x:v>
      </x:c>
      <x:c r="AY350" s="119" t="n">
        <x:f>IF(AV350=0,0,(AV350-IF(7=D350,1,0))*VLOOKUP(INDEX('章节与怪物'!$E$31:$K$37,B350,7),'章节与怪物'!$A$41:$F$44,4,FALSE)+IF(7=D350,'难度参数'!$E$30,0))</x:f>
        <x:v>1594</x:v>
      </x:c>
    </x:row>
    <x:row r="351" ht="23" customHeight="1">
      <x:c r="A351" s="119" t="n">
        <x:v>345</x:v>
      </x:c>
      <x:c r="B351" s="119" t="n">
        <x:f>MOD(INT((A351-1)/5),7)+1</x:f>
        <x:v>6</x:v>
      </x:c>
      <x:c r="C351" s="62" t="str">
        <x:f>INDEX('章节与怪物'!$B$31:$B$37,B351)</x:f>
        <x:v>熔岩山脉</x:v>
      </x:c>
      <x:c r="D351" s="119" t="n">
        <x:f>MIN('难度参数'!$E$8,MAX('难度参数'!$E$7,A351))</x:f>
        <x:v>7</x:v>
      </x:c>
      <x:c r="E351" s="106" t="n">
        <x:v>1</x:v>
      </x:c>
      <x:c r="F351" s="106" t="n">
        <x:v>0</x:v>
      </x:c>
      <x:c r="G351" s="106" t="n">
        <x:v>1</x:v>
      </x:c>
      <x:c r="H351" s="119" t="n">
        <x:f>SUM(X351,AB351,AF351,AJ351,AN351,AR351,AV351)</x:f>
        <x:v>255</x:v>
      </x:c>
      <x:c r="I351" s="119" t="n">
        <x:f>SUM(Z351,AD351,AH351,AL351,AP351,AT351,AX351)</x:f>
        <x:v>3173660</x:v>
      </x:c>
      <x:c r="J351" s="119" t="n">
        <x:f>ROUND(INDEX(X351:AY351,1,(D351-1)*4+2)*'难度参数'!$E$28*'章节与怪物'!$E$17,0)</x:f>
        <x:v>81906</x:v>
      </x:c>
      <x:c r="K351" s="119" t="n">
        <x:f>SUM(AA351,AE351,AI351,AM351,AQ351,AU351,AY351)</x:f>
        <x:v>6816</x:v>
      </x:c>
      <x:c r="L351" s="62" t="n">
        <x:f>H351*(ROUNDUP('难度参数'!$E$24/('难度参数'!$E$26*'难度参数'!$E$27),0)*'难度参数'!$E$26)/60</x:f>
        <x:v>3.4</x:v>
      </x:c>
      <x:c r="M351" s="62" t="n">
        <x:f>L351+D351*('难度参数'!$E$49+'难度参数'!$E$50)/60</x:f>
        <x:v>4.566666666666666</x:v>
      </x:c>
      <x:c r="N351" s="119" t="n">
        <x:f>ROUNDDOWN(('经济参数'!$E$20+A351*'经济参数'!$E$21)*G351,0)</x:f>
        <x:v>7080</x:v>
      </x:c>
      <x:c r="O351" s="119" t="n">
        <x:f>ROUNDDOWN(MIN('经济参数'!$E$24,'经济参数'!$E$22+A351*'经济参数'!$E$23)*G351,0)</x:f>
        <x:v>0</x:v>
      </x:c>
      <x:c r="P351" s="119" t="n">
        <x:f>ROUNDDOWN((IF(A351&gt;='材料与任务'!$E$31,'材料与任务'!$E$32,IF(A351&gt;='材料与任务'!$E$25,'材料与任务'!$E$26,IF(A351&gt;='材料与任务'!$E$19,'材料与任务'!$E$20,IF(A351&gt;='材料与任务'!$E$13,'材料与任务'!$E$14,'材料与任务'!$E$8)))))*G351,0)</x:f>
        <x:v>6</x:v>
      </x:c>
      <x:c r="Q351" s="119" t="n">
        <x:f>ROUNDDOWN((IF(A351&gt;='材料与任务'!$E$31,'材料与任务'!$E$33,IF(A351&gt;='材料与任务'!$E$25,'材料与任务'!$E$27,IF(A351&gt;='材料与任务'!$E$19,'材料与任务'!$E$21,IF(A351&gt;='材料与任务'!$E$13,'材料与任务'!$E$15,'材料与任务'!$E$9)))))*G351,0)</x:f>
        <x:v>3</x:v>
      </x:c>
      <x:c r="R351" s="110" t="n">
        <x:f>'装备掉落'!$B$38</x:f>
        <x:v>0.6872058758851213</x:v>
      </x:c>
      <x:c r="S351" s="119" t="n">
        <x:f>MAX(IF(VLOOKUP(A351,'装备掉落'!$A$29:$H$34,2,TRUE)&gt;0,1,0),IF(VLOOKUP(A351,'装备掉落'!$A$29:$H$34,3,TRUE)&gt;0,2,0),IF(VLOOKUP(A351,'装备掉落'!$A$29:$H$34,4,TRUE)&gt;0,3,0),IF(VLOOKUP(A351,'装备掉落'!$A$29:$H$34,5,TRUE)&gt;0,4,0),IF(VLOOKUP(A351,'装备掉落'!$A$29:$H$34,6,TRUE)&gt;0,5,0),IF(VLOOKUP(A351,'装备掉落'!$A$29:$H$34,7,TRUE)&gt;0,6,0),IF(VLOOKUP(A351,'装备掉落'!$A$29:$H$34,8,TRUE)&gt;0,7,0))</x:f>
        <x:v>7</x:v>
      </x:c>
      <x:c r="T351" s="119" t="n">
        <x:f>MIN(7,S351+'经济参数'!$E$70)</x:f>
        <x:v>7</x:v>
      </x:c>
      <x:c r="U351" s="119" t="n">
        <x:f>MIN(7,S351+'经济参数'!$E$71)</x:f>
        <x:v>7</x:v>
      </x:c>
      <x:c r="V351" s="119" t="n">
        <x:f>IF(H351&gt;=('难度参数'!$E$52),1,0)+IF(H351&gt;=('难度参数'!$E$52+'难度参数'!$E$53),1,0)+IF(H351&gt;=('难度参数'!$E$52+'难度参数'!$E$53+'难度参数'!$E$54),1,0)+IF(H351&gt;=('难度参数'!$E$52+'难度参数'!$E$53+'难度参数'!$E$54+'难度参数'!$E$55),1,0)+IF(H351&gt;=('难度参数'!$E$52+'难度参数'!$E$53+'难度参数'!$E$54+'难度参数'!$E$55+'难度参数'!$E$56),1,0)+IF(H351&gt;=('难度参数'!$E$52+'难度参数'!$E$53+'难度参数'!$E$54+'难度参数'!$E$55+'难度参数'!$E$56+'难度参数'!$E$57),1,0)</x:f>
        <x:v>6</x:v>
      </x:c>
      <x:c r="W351" s="62" t="str">
        <x:f>IF(L351&gt;'难度参数'!$E$51,"仅出怪已超目标","还需实测")</x:f>
        <x:v>仅出怪已超目标</x:v>
      </x:c>
      <x:c r="X351" s="119" t="n">
        <x:f>IF(1&gt;D351,0,MAX(2,MIN('难度参数'!$E$12,ROUND(('难度参数'!$E$18*POWER(A351,'难度参数'!$E$19)/D351*(0.85+0.3*(1-1)/MAX(1,D351-1))),0)+F351)))</x:f>
        <x:v>31</x:v>
      </x:c>
      <x:c r="Y351" s="119" t="n">
        <x:f>IF(1&gt;D351,0,ROUND(('难度参数'!$E$13*POWER(A351,'难度参数'!$E$20)*MIN('难度参数'!$E$23,1+MAX(0,A351-'难度参数'!$E$21)*'难度参数'!$E$22))*(36+1*7)/(36+7*(D351+1)/2)*E351,0))</x:f>
        <x:v>6093</x:v>
      </x:c>
      <x:c r="Z351" s="119" t="n">
        <x:f>IF(X351=0,0,(X351-IF(1=D351,1,0))*ROUND(Y351*VLOOKUP(INDEX('章节与怪物'!$E$31:$K$37,B351,1),'章节与怪物'!$A$41:$F$44,2,FALSE),0)+IF(1=D351,ROUND(Y351*'难度参数'!$E$28*'章节与怪物'!$E$17,0),0))</x:f>
        <x:v>135997</x:v>
      </x:c>
      <x:c r="AA351" s="119" t="n">
        <x:f>IF(X351=0,0,(X351-IF(1=D351,1,0))*VLOOKUP(INDEX('章节与怪物'!$E$31:$K$37,B351,1),'章节与怪物'!$A$41:$F$44,4,FALSE)+IF(1=D351,'难度参数'!$E$30,0))</x:f>
        <x:v>620</x:v>
      </x:c>
      <x:c r="AB351" s="119" t="n">
        <x:f>IF(2&gt;D351,0,MAX(2,MIN('难度参数'!$E$12,ROUND(('难度参数'!$E$18*POWER(A351,'难度参数'!$E$19)/D351*(0.85+0.3*(2-1)/MAX(1,D351-1))),0)+F351)))</x:f>
        <x:v>33</x:v>
      </x:c>
      <x:c r="AC351" s="119" t="n">
        <x:f>IF(2&gt;D351,0,ROUND(('难度参数'!$E$13*POWER(A351,'难度参数'!$E$20)*MIN('难度参数'!$E$23,1+MAX(0,A351-'难度参数'!$E$21)*'难度参数'!$E$22))*(36+2*7)/(36+7*(D351+1)/2)*E351,0))</x:f>
        <x:v>7085</x:v>
      </x:c>
      <x:c r="AD351" s="119" t="n">
        <x:f>IF(AB351=0,0,(AB351-IF(2=D351,1,0))*ROUND(AC351*VLOOKUP(INDEX('章节与怪物'!$E$31:$K$37,B351,2),'章节与怪物'!$A$41:$F$44,2,FALSE),0)+IF(2=D351,ROUND(AC351*'难度参数'!$E$28*'章节与怪物'!$E$17,0),0))</x:f>
        <x:v>233805</x:v>
      </x:c>
      <x:c r="AE351" s="119" t="n">
        <x:f>IF(AB351=0,0,(AB351-IF(2=D351,1,0))*VLOOKUP(INDEX('章节与怪物'!$E$31:$K$37,B351,2),'章节与怪物'!$A$41:$F$44,4,FALSE)+IF(2=D351,'难度参数'!$E$30,0))</x:f>
        <x:v>594</x:v>
      </x:c>
      <x:c r="AF351" s="119" t="n">
        <x:f>IF(3&gt;D351,0,MAX(2,MIN('难度参数'!$E$12,ROUND(('难度参数'!$E$18*POWER(A351,'难度参数'!$E$19)/D351*(0.85+0.3*(3-1)/MAX(1,D351-1))),0)+F351)))</x:f>
        <x:v>35</x:v>
      </x:c>
      <x:c r="AG351" s="119" t="n">
        <x:f>IF(3&gt;D351,0,ROUND(('难度参数'!$E$13*POWER(A351,'难度参数'!$E$20)*MIN('难度参数'!$E$23,1+MAX(0,A351-'难度参数'!$E$21)*'难度参数'!$E$22))*(36+3*7)/(36+7*(D351+1)/2)*E351,0))</x:f>
        <x:v>8077</x:v>
      </x:c>
      <x:c r="AH351" s="119" t="n">
        <x:f>IF(AF351=0,0,(AF351-IF(3=D351,1,0))*ROUND(AG351*VLOOKUP(INDEX('章节与怪物'!$E$31:$K$37,B351,3),'章节与怪物'!$A$41:$F$44,2,FALSE),0)+IF(3=D351,ROUND(AG351*'难度参数'!$E$28*'章节与怪物'!$E$17,0),0))</x:f>
        <x:v>480585</x:v>
      </x:c>
      <x:c r="AI351" s="119" t="n">
        <x:f>IF(AF351=0,0,(AF351-IF(3=D351,1,0))*VLOOKUP(INDEX('章节与怪物'!$E$31:$K$37,B351,3),'章节与怪物'!$A$41:$F$44,4,FALSE)+IF(3=D351,'难度参数'!$E$30,0))</x:f>
        <x:v>980</x:v>
      </x:c>
      <x:c r="AJ351" s="119" t="n">
        <x:f>IF(4&gt;D351,0,MAX(2,MIN('难度参数'!$E$12,ROUND(('难度参数'!$E$18*POWER(A351,'难度参数'!$E$19)/D351*(0.85+0.3*(4-1)/MAX(1,D351-1))),0)+F351)))</x:f>
        <x:v>36</x:v>
      </x:c>
      <x:c r="AK351" s="119" t="n">
        <x:f>IF(4&gt;D351,0,ROUND(('难度参数'!$E$13*POWER(A351,'难度参数'!$E$20)*MIN('难度参数'!$E$23,1+MAX(0,A351-'难度参数'!$E$21)*'难度参数'!$E$22))*(36+4*7)/(36+7*(D351+1)/2)*E351,0))</x:f>
        <x:v>9069</x:v>
      </x:c>
      <x:c r="AL351" s="119" t="n">
        <x:f>IF(AJ351=0,0,(AJ351-IF(4=D351,1,0))*ROUND(AK351*VLOOKUP(INDEX('章节与怪物'!$E$31:$K$37,B351,4),'章节与怪物'!$A$41:$F$44,2,FALSE),0)+IF(4=D351,ROUND(AK351*'难度参数'!$E$28*'章节与怪物'!$E$17,0),0))</x:f>
        <x:v>440748</x:v>
      </x:c>
      <x:c r="AM351" s="119" t="n">
        <x:f>IF(AJ351=0,0,(AJ351-IF(4=D351,1,0))*VLOOKUP(INDEX('章节与怪物'!$E$31:$K$37,B351,4),'章节与怪物'!$A$41:$F$44,4,FALSE)+IF(4=D351,'难度参数'!$E$30,0))</x:f>
        <x:v>1224</x:v>
      </x:c>
      <x:c r="AN351" s="119" t="n">
        <x:f>IF(5&gt;D351,0,MAX(2,MIN('难度参数'!$E$12,ROUND(('难度参数'!$E$18*POWER(A351,'难度参数'!$E$19)/D351*(0.85+0.3*(5-1)/MAX(1,D351-1))),0)+F351)))</x:f>
        <x:v>38</x:v>
      </x:c>
      <x:c r="AO351" s="119" t="n">
        <x:f>IF(5&gt;D351,0,ROUND(('难度参数'!$E$13*POWER(A351,'难度参数'!$E$20)*MIN('难度参数'!$E$23,1+MAX(0,A351-'难度参数'!$E$21)*'难度参数'!$E$22))*(36+5*7)/(36+7*(D351+1)/2)*E351,0))</x:f>
        <x:v>10061</x:v>
      </x:c>
      <x:c r="AP351" s="119" t="n">
        <x:f>IF(AN351=0,0,(AN351-IF(5=D351,1,0))*ROUND(AO351*VLOOKUP(INDEX('章节与怪物'!$E$31:$K$37,B351,5),'章节与怪物'!$A$41:$F$44,2,FALSE),0)+IF(5=D351,ROUND(AO351*'难度参数'!$E$28*'章节与怪物'!$E$17,0),0))</x:f>
        <x:v>382318</x:v>
      </x:c>
      <x:c r="AQ351" s="119" t="n">
        <x:f>IF(AN351=0,0,(AN351-IF(5=D351,1,0))*VLOOKUP(INDEX('章节与怪物'!$E$31:$K$37,B351,5),'章节与怪物'!$A$41:$F$44,4,FALSE)+IF(5=D351,'难度参数'!$E$30,0))</x:f>
        <x:v>684</x:v>
      </x:c>
      <x:c r="AR351" s="119" t="n">
        <x:f>IF(6&gt;D351,0,MAX(2,MIN('难度参数'!$E$12,ROUND(('难度参数'!$E$18*POWER(A351,'难度参数'!$E$19)/D351*(0.85+0.3*(6-1)/MAX(1,D351-1))),0)+F351)))</x:f>
        <x:v>40</x:v>
      </x:c>
      <x:c r="AS351" s="119" t="n">
        <x:f>IF(6&gt;D351,0,ROUND(('难度参数'!$E$13*POWER(A351,'难度参数'!$E$20)*MIN('难度参数'!$E$23,1+MAX(0,A351-'难度参数'!$E$21)*'难度参数'!$E$22))*(36+6*7)/(36+7*(D351+1)/2)*E351,0))</x:f>
        <x:v>11053</x:v>
      </x:c>
      <x:c r="AT351" s="119" t="n">
        <x:f>IF(AR351=0,0,(AR351-IF(6=D351,1,0))*ROUND(AS351*VLOOKUP(INDEX('章节与怪物'!$E$31:$K$37,B351,6),'章节与怪物'!$A$41:$F$44,2,FALSE),0)+IF(6=D351,ROUND(AS351*'难度参数'!$E$28*'章节与怪物'!$E$17,0),0))</x:f>
        <x:v>751600</x:v>
      </x:c>
      <x:c r="AU351" s="119" t="n">
        <x:f>IF(AR351=0,0,(AR351-IF(6=D351,1,0))*VLOOKUP(INDEX('章节与怪物'!$E$31:$K$37,B351,6),'章节与怪物'!$A$41:$F$44,4,FALSE)+IF(6=D351,'难度参数'!$E$30,0))</x:f>
        <x:v>1120</x:v>
      </x:c>
      <x:c r="AV351" s="119" t="n">
        <x:f>IF(7&gt;D351,0,MAX(2,MIN('难度参数'!$E$12,ROUND(('难度参数'!$E$18*POWER(A351,'难度参数'!$E$19)/D351*(0.85+0.3*(7-1)/MAX(1,D351-1))),0)+F351)))</x:f>
        <x:v>42</x:v>
      </x:c>
      <x:c r="AW351" s="119" t="n">
        <x:f>IF(7&gt;D351,0,ROUND(('难度参数'!$E$13*POWER(A351,'难度参数'!$E$20)*MIN('难度参数'!$E$23,1+MAX(0,A351-'难度参数'!$E$21)*'难度参数'!$E$22))*(36+7*7)/(36+7*(D351+1)/2)*E351,0))</x:f>
        <x:v>12045</x:v>
      </x:c>
      <x:c r="AX351" s="119" t="n">
        <x:f>IF(AV351=0,0,(AV351-IF(7=D351,1,0))*ROUND(AW351*VLOOKUP(INDEX('章节与怪物'!$E$31:$K$37,B351,7),'章节与怪物'!$A$41:$F$44,2,FALSE),0)+IF(7=D351,ROUND(AW351*'难度参数'!$E$28*'章节与怪物'!$E$17,0),0))</x:f>
        <x:v>748607</x:v>
      </x:c>
      <x:c r="AY351" s="119" t="n">
        <x:f>IF(AV351=0,0,(AV351-IF(7=D351,1,0))*VLOOKUP(INDEX('章节与怪物'!$E$31:$K$37,B351,7),'章节与怪物'!$A$41:$F$44,4,FALSE)+IF(7=D351,'难度参数'!$E$30,0))</x:f>
        <x:v>1594</x:v>
      </x:c>
    </x:row>
    <x:row r="352" ht="23" customHeight="1">
      <x:c r="A352" s="119" t="n">
        <x:v>346</x:v>
      </x:c>
      <x:c r="B352" s="119" t="n">
        <x:f>MOD(INT((A352-1)/5),7)+1</x:f>
        <x:v>7</x:v>
      </x:c>
      <x:c r="C352" s="62" t="str">
        <x:f>INDEX('章节与怪物'!$B$31:$B$37,B352)</x:f>
        <x:v>魔法山脊</x:v>
      </x:c>
      <x:c r="D352" s="119" t="n">
        <x:f>MIN('难度参数'!$E$8,MAX('难度参数'!$E$7,A352))</x:f>
        <x:v>7</x:v>
      </x:c>
      <x:c r="E352" s="106" t="n">
        <x:v>1</x:v>
      </x:c>
      <x:c r="F352" s="106" t="n">
        <x:v>0</x:v>
      </x:c>
      <x:c r="G352" s="106" t="n">
        <x:v>1</x:v>
      </x:c>
      <x:c r="H352" s="119" t="n">
        <x:f>SUM(X352,AB352,AF352,AJ352,AN352,AR352,AV352)</x:f>
        <x:v>255</x:v>
      </x:c>
      <x:c r="I352" s="119" t="n">
        <x:f>SUM(Z352,AD352,AH352,AL352,AP352,AT352,AX352)</x:f>
        <x:v>3060439</x:v>
      </x:c>
      <x:c r="J352" s="119" t="n">
        <x:f>ROUND(INDEX(X352:AY352,1,(D352-1)*4+2)*'难度参数'!$E$28*'章节与怪物'!$E$17,0)</x:f>
        <x:v>82076</x:v>
      </x:c>
      <x:c r="K352" s="119" t="n">
        <x:f>SUM(AA352,AE352,AI352,AM352,AQ352,AU352,AY352)</x:f>
        <x:v>6896</x:v>
      </x:c>
      <x:c r="L352" s="62" t="n">
        <x:f>H352*(ROUNDUP('难度参数'!$E$24/('难度参数'!$E$26*'难度参数'!$E$27),0)*'难度参数'!$E$26)/60</x:f>
        <x:v>3.4</x:v>
      </x:c>
      <x:c r="M352" s="62" t="n">
        <x:f>L352+D352*('难度参数'!$E$49+'难度参数'!$E$50)/60</x:f>
        <x:v>4.566666666666666</x:v>
      </x:c>
      <x:c r="N352" s="119" t="n">
        <x:f>ROUNDDOWN(('经济参数'!$E$20+A352*'经济参数'!$E$21)*G352,0)</x:f>
        <x:v>7100</x:v>
      </x:c>
      <x:c r="O352" s="119" t="n">
        <x:f>ROUNDDOWN(MIN('经济参数'!$E$24,'经济参数'!$E$22+A352*'经济参数'!$E$23)*G352,0)</x:f>
        <x:v>0</x:v>
      </x:c>
      <x:c r="P352" s="119" t="n">
        <x:f>ROUNDDOWN((IF(A352&gt;='材料与任务'!$E$31,'材料与任务'!$E$32,IF(A352&gt;='材料与任务'!$E$25,'材料与任务'!$E$26,IF(A352&gt;='材料与任务'!$E$19,'材料与任务'!$E$20,IF(A352&gt;='材料与任务'!$E$13,'材料与任务'!$E$14,'材料与任务'!$E$8)))))*G352,0)</x:f>
        <x:v>6</x:v>
      </x:c>
      <x:c r="Q352" s="119" t="n">
        <x:f>ROUNDDOWN((IF(A352&gt;='材料与任务'!$E$31,'材料与任务'!$E$33,IF(A352&gt;='材料与任务'!$E$25,'材料与任务'!$E$27,IF(A352&gt;='材料与任务'!$E$19,'材料与任务'!$E$21,IF(A352&gt;='材料与任务'!$E$13,'材料与任务'!$E$15,'材料与任务'!$E$9)))))*G352,0)</x:f>
        <x:v>3</x:v>
      </x:c>
      <x:c r="R352" s="110" t="n">
        <x:f>'装备掉落'!$B$38</x:f>
        <x:v>0.6872058758851213</x:v>
      </x:c>
      <x:c r="S352" s="119" t="n">
        <x:f>MAX(IF(VLOOKUP(A352,'装备掉落'!$A$29:$H$34,2,TRUE)&gt;0,1,0),IF(VLOOKUP(A352,'装备掉落'!$A$29:$H$34,3,TRUE)&gt;0,2,0),IF(VLOOKUP(A352,'装备掉落'!$A$29:$H$34,4,TRUE)&gt;0,3,0),IF(VLOOKUP(A352,'装备掉落'!$A$29:$H$34,5,TRUE)&gt;0,4,0),IF(VLOOKUP(A352,'装备掉落'!$A$29:$H$34,6,TRUE)&gt;0,5,0),IF(VLOOKUP(A352,'装备掉落'!$A$29:$H$34,7,TRUE)&gt;0,6,0),IF(VLOOKUP(A352,'装备掉落'!$A$29:$H$34,8,TRUE)&gt;0,7,0))</x:f>
        <x:v>7</x:v>
      </x:c>
      <x:c r="T352" s="119" t="n">
        <x:f>MIN(7,S352+'经济参数'!$E$70)</x:f>
        <x:v>7</x:v>
      </x:c>
      <x:c r="U352" s="119" t="n">
        <x:f>MIN(7,S352+'经济参数'!$E$71)</x:f>
        <x:v>7</x:v>
      </x:c>
      <x:c r="V352" s="119" t="n">
        <x:f>IF(H352&gt;=('难度参数'!$E$52),1,0)+IF(H352&gt;=('难度参数'!$E$52+'难度参数'!$E$53),1,0)+IF(H352&gt;=('难度参数'!$E$52+'难度参数'!$E$53+'难度参数'!$E$54),1,0)+IF(H352&gt;=('难度参数'!$E$52+'难度参数'!$E$53+'难度参数'!$E$54+'难度参数'!$E$55),1,0)+IF(H352&gt;=('难度参数'!$E$52+'难度参数'!$E$53+'难度参数'!$E$54+'难度参数'!$E$55+'难度参数'!$E$56),1,0)+IF(H352&gt;=('难度参数'!$E$52+'难度参数'!$E$53+'难度参数'!$E$54+'难度参数'!$E$55+'难度参数'!$E$56+'难度参数'!$E$57),1,0)</x:f>
        <x:v>6</x:v>
      </x:c>
      <x:c r="W352" s="62" t="str">
        <x:f>IF(L352&gt;'难度参数'!$E$51,"仅出怪已超目标","还需实测")</x:f>
        <x:v>仅出怪已超目标</x:v>
      </x:c>
      <x:c r="X352" s="119" t="n">
        <x:f>IF(1&gt;D352,0,MAX(2,MIN('难度参数'!$E$12,ROUND(('难度参数'!$E$18*POWER(A352,'难度参数'!$E$19)/D352*(0.85+0.3*(1-1)/MAX(1,D352-1))),0)+F352)))</x:f>
        <x:v>31</x:v>
      </x:c>
      <x:c r="Y352" s="119" t="n">
        <x:f>IF(1&gt;D352,0,ROUND(('难度参数'!$E$13*POWER(A352,'难度参数'!$E$20)*MIN('难度参数'!$E$23,1+MAX(0,A352-'难度参数'!$E$21)*'难度参数'!$E$22))*(36+1*7)/(36+7*(D352+1)/2)*E352,0))</x:f>
        <x:v>6106</x:v>
      </x:c>
      <x:c r="Z352" s="119" t="n">
        <x:f>IF(X352=0,0,(X352-IF(1=D352,1,0))*ROUND(Y352*VLOOKUP(INDEX('章节与怪物'!$E$31:$K$37,B352,1),'章节与怪物'!$A$41:$F$44,2,FALSE),0)+IF(1=D352,ROUND(Y352*'难度参数'!$E$28*'章节与怪物'!$E$17,0),0))</x:f>
        <x:v>189286</x:v>
      </x:c>
      <x:c r="AA352" s="119" t="n">
        <x:f>IF(X352=0,0,(X352-IF(1=D352,1,0))*VLOOKUP(INDEX('章节与怪物'!$E$31:$K$37,B352,1),'章节与怪物'!$A$41:$F$44,4,FALSE)+IF(1=D352,'难度参数'!$E$30,0))</x:f>
        <x:v>558</x:v>
      </x:c>
      <x:c r="AB352" s="119" t="n">
        <x:f>IF(2&gt;D352,0,MAX(2,MIN('难度参数'!$E$12,ROUND(('难度参数'!$E$18*POWER(A352,'难度参数'!$E$19)/D352*(0.85+0.3*(2-1)/MAX(1,D352-1))),0)+F352)))</x:f>
        <x:v>33</x:v>
      </x:c>
      <x:c r="AC352" s="119" t="n">
        <x:f>IF(2&gt;D352,0,ROUND(('难度参数'!$E$13*POWER(A352,'难度参数'!$E$20)*MIN('难度参数'!$E$23,1+MAX(0,A352-'难度参数'!$E$21)*'难度参数'!$E$22))*(36+2*7)/(36+7*(D352+1)/2)*E352,0))</x:f>
        <x:v>7100</x:v>
      </x:c>
      <x:c r="AD352" s="119" t="n">
        <x:f>IF(AB352=0,0,(AB352-IF(2=D352,1,0))*ROUND(AC352*VLOOKUP(INDEX('章节与怪物'!$E$31:$K$37,B352,2),'章节与怪物'!$A$41:$F$44,2,FALSE),0)+IF(2=D352,ROUND(AC352*'难度参数'!$E$28*'章节与怪物'!$E$17,0),0))</x:f>
        <x:v>168696</x:v>
      </x:c>
      <x:c r="AE352" s="119" t="n">
        <x:f>IF(AB352=0,0,(AB352-IF(2=D352,1,0))*VLOOKUP(INDEX('章节与怪物'!$E$31:$K$37,B352,2),'章节与怪物'!$A$41:$F$44,4,FALSE)+IF(2=D352,'难度参数'!$E$30,0))</x:f>
        <x:v>660</x:v>
      </x:c>
      <x:c r="AF352" s="119" t="n">
        <x:f>IF(3&gt;D352,0,MAX(2,MIN('难度参数'!$E$12,ROUND(('难度参数'!$E$18*POWER(A352,'难度参数'!$E$19)/D352*(0.85+0.3*(3-1)/MAX(1,D352-1))),0)+F352)))</x:f>
        <x:v>35</x:v>
      </x:c>
      <x:c r="AG352" s="119" t="n">
        <x:f>IF(3&gt;D352,0,ROUND(('难度参数'!$E$13*POWER(A352,'难度参数'!$E$20)*MIN('难度参数'!$E$23,1+MAX(0,A352-'难度参数'!$E$21)*'难度参数'!$E$22))*(36+3*7)/(36+7*(D352+1)/2)*E352,0))</x:f>
        <x:v>8094</x:v>
      </x:c>
      <x:c r="AH352" s="119" t="n">
        <x:f>IF(AF352=0,0,(AF352-IF(3=D352,1,0))*ROUND(AG352*VLOOKUP(INDEX('章节与怪物'!$E$31:$K$37,B352,3),'章节与怪物'!$A$41:$F$44,2,FALSE),0)+IF(3=D352,ROUND(AG352*'难度参数'!$E$28*'章节与怪物'!$E$17,0),0))</x:f>
        <x:v>481600</x:v>
      </x:c>
      <x:c r="AI352" s="119" t="n">
        <x:f>IF(AF352=0,0,(AF352-IF(3=D352,1,0))*VLOOKUP(INDEX('章节与怪物'!$E$31:$K$37,B352,3),'章节与怪物'!$A$41:$F$44,4,FALSE)+IF(3=D352,'难度参数'!$E$30,0))</x:f>
        <x:v>980</x:v>
      </x:c>
      <x:c r="AJ352" s="119" t="n">
        <x:f>IF(4&gt;D352,0,MAX(2,MIN('难度参数'!$E$12,ROUND(('难度参数'!$E$18*POWER(A352,'难度参数'!$E$19)/D352*(0.85+0.3*(4-1)/MAX(1,D352-1))),0)+F352)))</x:f>
        <x:v>36</x:v>
      </x:c>
      <x:c r="AK352" s="119" t="n">
        <x:f>IF(4&gt;D352,0,ROUND(('难度参数'!$E$13*POWER(A352,'难度参数'!$E$20)*MIN('难度参数'!$E$23,1+MAX(0,A352-'难度参数'!$E$21)*'难度参数'!$E$22))*(36+4*7)/(36+7*(D352+1)/2)*E352,0))</x:f>
        <x:v>9088</x:v>
      </x:c>
      <x:c r="AL352" s="119" t="n">
        <x:f>IF(AJ352=0,0,(AJ352-IF(4=D352,1,0))*ROUND(AK352*VLOOKUP(INDEX('章节与怪物'!$E$31:$K$37,B352,4),'章节与怪物'!$A$41:$F$44,2,FALSE),0)+IF(4=D352,ROUND(AK352*'难度参数'!$E$28*'章节与怪物'!$E$17,0),0))</x:f>
        <x:v>441684</x:v>
      </x:c>
      <x:c r="AM352" s="119" t="n">
        <x:f>IF(AJ352=0,0,(AJ352-IF(4=D352,1,0))*VLOOKUP(INDEX('章节与怪物'!$E$31:$K$37,B352,4),'章节与怪物'!$A$41:$F$44,4,FALSE)+IF(4=D352,'难度参数'!$E$30,0))</x:f>
        <x:v>1224</x:v>
      </x:c>
      <x:c r="AN352" s="119" t="n">
        <x:f>IF(5&gt;D352,0,MAX(2,MIN('难度参数'!$E$12,ROUND(('难度参数'!$E$18*POWER(A352,'难度参数'!$E$19)/D352*(0.85+0.3*(5-1)/MAX(1,D352-1))),0)+F352)))</x:f>
        <x:v>38</x:v>
      </x:c>
      <x:c r="AO352" s="119" t="n">
        <x:f>IF(5&gt;D352,0,ROUND(('难度参数'!$E$13*POWER(A352,'难度参数'!$E$20)*MIN('难度参数'!$E$23,1+MAX(0,A352-'难度参数'!$E$21)*'难度参数'!$E$22))*(36+5*7)/(36+7*(D352+1)/2)*E352,0))</x:f>
        <x:v>10082</x:v>
      </x:c>
      <x:c r="AP352" s="119" t="n">
        <x:f>IF(AN352=0,0,(AN352-IF(5=D352,1,0))*ROUND(AO352*VLOOKUP(INDEX('章节与怪物'!$E$31:$K$37,B352,5),'章节与怪物'!$A$41:$F$44,2,FALSE),0)+IF(5=D352,ROUND(AO352*'难度参数'!$E$28*'章节与怪物'!$E$17,0),0))</x:f>
        <x:v>275842</x:v>
      </x:c>
      <x:c r="AQ352" s="119" t="n">
        <x:f>IF(AN352=0,0,(AN352-IF(5=D352,1,0))*VLOOKUP(INDEX('章节与怪物'!$E$31:$K$37,B352,5),'章节与怪物'!$A$41:$F$44,4,FALSE)+IF(5=D352,'难度参数'!$E$30,0))</x:f>
        <x:v>760</x:v>
      </x:c>
      <x:c r="AR352" s="119" t="n">
        <x:f>IF(6&gt;D352,0,MAX(2,MIN('难度参数'!$E$12,ROUND(('难度参数'!$E$18*POWER(A352,'难度参数'!$E$19)/D352*(0.85+0.3*(6-1)/MAX(1,D352-1))),0)+F352)))</x:f>
        <x:v>40</x:v>
      </x:c>
      <x:c r="AS352" s="119" t="n">
        <x:f>IF(6&gt;D352,0,ROUND(('难度参数'!$E$13*POWER(A352,'难度参数'!$E$20)*MIN('难度参数'!$E$23,1+MAX(0,A352-'难度参数'!$E$21)*'难度参数'!$E$22))*(36+6*7)/(36+7*(D352+1)/2)*E352,0))</x:f>
        <x:v>11076</x:v>
      </x:c>
      <x:c r="AT352" s="119" t="n">
        <x:f>IF(AR352=0,0,(AR352-IF(6=D352,1,0))*ROUND(AS352*VLOOKUP(INDEX('章节与怪物'!$E$31:$K$37,B352,6),'章节与怪物'!$A$41:$F$44,2,FALSE),0)+IF(6=D352,ROUND(AS352*'难度参数'!$E$28*'章节与怪物'!$E$17,0),0))</x:f>
        <x:v>753160</x:v>
      </x:c>
      <x:c r="AU352" s="119" t="n">
        <x:f>IF(AR352=0,0,(AR352-IF(6=D352,1,0))*VLOOKUP(INDEX('章节与怪物'!$E$31:$K$37,B352,6),'章节与怪物'!$A$41:$F$44,4,FALSE)+IF(6=D352,'难度参数'!$E$30,0))</x:f>
        <x:v>1120</x:v>
      </x:c>
      <x:c r="AV352" s="119" t="n">
        <x:f>IF(7&gt;D352,0,MAX(2,MIN('难度参数'!$E$12,ROUND(('难度参数'!$E$18*POWER(A352,'难度参数'!$E$19)/D352*(0.85+0.3*(7-1)/MAX(1,D352-1))),0)+F352)))</x:f>
        <x:v>42</x:v>
      </x:c>
      <x:c r="AW352" s="119" t="n">
        <x:f>IF(7&gt;D352,0,ROUND(('难度参数'!$E$13*POWER(A352,'难度参数'!$E$20)*MIN('难度参数'!$E$23,1+MAX(0,A352-'难度参数'!$E$21)*'难度参数'!$E$22))*(36+7*7)/(36+7*(D352+1)/2)*E352,0))</x:f>
        <x:v>12070</x:v>
      </x:c>
      <x:c r="AX352" s="119" t="n">
        <x:f>IF(AV352=0,0,(AV352-IF(7=D352,1,0))*ROUND(AW352*VLOOKUP(INDEX('章节与怪物'!$E$31:$K$37,B352,7),'章节与怪物'!$A$41:$F$44,2,FALSE),0)+IF(7=D352,ROUND(AW352*'难度参数'!$E$28*'章节与怪物'!$E$17,0),0))</x:f>
        <x:v>750171</x:v>
      </x:c>
      <x:c r="AY352" s="119" t="n">
        <x:f>IF(AV352=0,0,(AV352-IF(7=D352,1,0))*VLOOKUP(INDEX('章节与怪物'!$E$31:$K$37,B352,7),'章节与怪物'!$A$41:$F$44,4,FALSE)+IF(7=D352,'难度参数'!$E$30,0))</x:f>
        <x:v>1594</x:v>
      </x:c>
    </x:row>
    <x:row r="353" ht="23" customHeight="1">
      <x:c r="A353" s="119" t="n">
        <x:v>347</x:v>
      </x:c>
      <x:c r="B353" s="119" t="n">
        <x:f>MOD(INT((A353-1)/5),7)+1</x:f>
        <x:v>7</x:v>
      </x:c>
      <x:c r="C353" s="62" t="str">
        <x:f>INDEX('章节与怪物'!$B$31:$B$37,B353)</x:f>
        <x:v>魔法山脊</x:v>
      </x:c>
      <x:c r="D353" s="119" t="n">
        <x:f>MIN('难度参数'!$E$8,MAX('难度参数'!$E$7,A353))</x:f>
        <x:v>7</x:v>
      </x:c>
      <x:c r="E353" s="106" t="n">
        <x:v>1</x:v>
      </x:c>
      <x:c r="F353" s="106" t="n">
        <x:v>0</x:v>
      </x:c>
      <x:c r="G353" s="106" t="n">
        <x:v>1</x:v>
      </x:c>
      <x:c r="H353" s="119" t="n">
        <x:f>SUM(X353,AB353,AF353,AJ353,AN353,AR353,AV353)</x:f>
        <x:v>256</x:v>
      </x:c>
      <x:c r="I353" s="119" t="n">
        <x:f>SUM(Z353,AD353,AH353,AL353,AP353,AT353,AX353)</x:f>
        <x:v>3079067</x:v>
      </x:c>
      <x:c r="J353" s="119" t="n">
        <x:f>ROUND(INDEX(X353:AY353,1,(D353-1)*4+2)*'难度参数'!$E$28*'章节与怪物'!$E$17,0)</x:f>
        <x:v>82246</x:v>
      </x:c>
      <x:c r="K353" s="119" t="n">
        <x:f>SUM(AA353,AE353,AI353,AM353,AQ353,AU353,AY353)</x:f>
        <x:v>6930</x:v>
      </x:c>
      <x:c r="L353" s="62" t="n">
        <x:f>H353*(ROUNDUP('难度参数'!$E$24/('难度参数'!$E$26*'难度参数'!$E$27),0)*'难度参数'!$E$26)/60</x:f>
        <x:v>3.4133333333333336</x:v>
      </x:c>
      <x:c r="M353" s="62" t="n">
        <x:f>L353+D353*('难度参数'!$E$49+'难度参数'!$E$50)/60</x:f>
        <x:v>4.58</x:v>
      </x:c>
      <x:c r="N353" s="119" t="n">
        <x:f>ROUNDDOWN(('经济参数'!$E$20+A353*'经济参数'!$E$21)*G353,0)</x:f>
        <x:v>7120</x:v>
      </x:c>
      <x:c r="O353" s="119" t="n">
        <x:f>ROUNDDOWN(MIN('经济参数'!$E$24,'经济参数'!$E$22+A353*'经济参数'!$E$23)*G353,0)</x:f>
        <x:v>0</x:v>
      </x:c>
      <x:c r="P353" s="119" t="n">
        <x:f>ROUNDDOWN((IF(A353&gt;='材料与任务'!$E$31,'材料与任务'!$E$32,IF(A353&gt;='材料与任务'!$E$25,'材料与任务'!$E$26,IF(A353&gt;='材料与任务'!$E$19,'材料与任务'!$E$20,IF(A353&gt;='材料与任务'!$E$13,'材料与任务'!$E$14,'材料与任务'!$E$8)))))*G353,0)</x:f>
        <x:v>6</x:v>
      </x:c>
      <x:c r="Q353" s="119" t="n">
        <x:f>ROUNDDOWN((IF(A353&gt;='材料与任务'!$E$31,'材料与任务'!$E$33,IF(A353&gt;='材料与任务'!$E$25,'材料与任务'!$E$27,IF(A353&gt;='材料与任务'!$E$19,'材料与任务'!$E$21,IF(A353&gt;='材料与任务'!$E$13,'材料与任务'!$E$15,'材料与任务'!$E$9)))))*G353,0)</x:f>
        <x:v>3</x:v>
      </x:c>
      <x:c r="R353" s="110" t="n">
        <x:f>'装备掉落'!$B$38</x:f>
        <x:v>0.6872058758851213</x:v>
      </x:c>
      <x:c r="S353" s="119" t="n">
        <x:f>MAX(IF(VLOOKUP(A353,'装备掉落'!$A$29:$H$34,2,TRUE)&gt;0,1,0),IF(VLOOKUP(A353,'装备掉落'!$A$29:$H$34,3,TRUE)&gt;0,2,0),IF(VLOOKUP(A353,'装备掉落'!$A$29:$H$34,4,TRUE)&gt;0,3,0),IF(VLOOKUP(A353,'装备掉落'!$A$29:$H$34,5,TRUE)&gt;0,4,0),IF(VLOOKUP(A353,'装备掉落'!$A$29:$H$34,6,TRUE)&gt;0,5,0),IF(VLOOKUP(A353,'装备掉落'!$A$29:$H$34,7,TRUE)&gt;0,6,0),IF(VLOOKUP(A353,'装备掉落'!$A$29:$H$34,8,TRUE)&gt;0,7,0))</x:f>
        <x:v>7</x:v>
      </x:c>
      <x:c r="T353" s="119" t="n">
        <x:f>MIN(7,S353+'经济参数'!$E$70)</x:f>
        <x:v>7</x:v>
      </x:c>
      <x:c r="U353" s="119" t="n">
        <x:f>MIN(7,S353+'经济参数'!$E$71)</x:f>
        <x:v>7</x:v>
      </x:c>
      <x:c r="V353" s="119" t="n">
        <x:f>IF(H353&gt;=('难度参数'!$E$52),1,0)+IF(H353&gt;=('难度参数'!$E$52+'难度参数'!$E$53),1,0)+IF(H353&gt;=('难度参数'!$E$52+'难度参数'!$E$53+'难度参数'!$E$54),1,0)+IF(H353&gt;=('难度参数'!$E$52+'难度参数'!$E$53+'难度参数'!$E$54+'难度参数'!$E$55),1,0)+IF(H353&gt;=('难度参数'!$E$52+'难度参数'!$E$53+'难度参数'!$E$54+'难度参数'!$E$55+'难度参数'!$E$56),1,0)+IF(H353&gt;=('难度参数'!$E$52+'难度参数'!$E$53+'难度参数'!$E$54+'难度参数'!$E$55+'难度参数'!$E$56+'难度参数'!$E$57),1,0)</x:f>
        <x:v>6</x:v>
      </x:c>
      <x:c r="W353" s="62" t="str">
        <x:f>IF(L353&gt;'难度参数'!$E$51,"仅出怪已超目标","还需实测")</x:f>
        <x:v>仅出怪已超目标</x:v>
      </x:c>
      <x:c r="X353" s="119" t="n">
        <x:f>IF(1&gt;D353,0,MAX(2,MIN('难度参数'!$E$12,ROUND(('难度参数'!$E$18*POWER(A353,'难度参数'!$E$19)/D353*(0.85+0.3*(1-1)/MAX(1,D353-1))),0)+F353)))</x:f>
        <x:v>31</x:v>
      </x:c>
      <x:c r="Y353" s="119" t="n">
        <x:f>IF(1&gt;D353,0,ROUND(('难度参数'!$E$13*POWER(A353,'难度参数'!$E$20)*MIN('难度参数'!$E$23,1+MAX(0,A353-'难度参数'!$E$21)*'难度参数'!$E$22))*(36+1*7)/(36+7*(D353+1)/2)*E353,0))</x:f>
        <x:v>6119</x:v>
      </x:c>
      <x:c r="Z353" s="119" t="n">
        <x:f>IF(X353=0,0,(X353-IF(1=D353,1,0))*ROUND(Y353*VLOOKUP(INDEX('章节与怪物'!$E$31:$K$37,B353,1),'章节与怪物'!$A$41:$F$44,2,FALSE),0)+IF(1=D353,ROUND(Y353*'难度参数'!$E$28*'章节与怪物'!$E$17,0),0))</x:f>
        <x:v>189689</x:v>
      </x:c>
      <x:c r="AA353" s="119" t="n">
        <x:f>IF(X353=0,0,(X353-IF(1=D353,1,0))*VLOOKUP(INDEX('章节与怪物'!$E$31:$K$37,B353,1),'章节与怪物'!$A$41:$F$44,4,FALSE)+IF(1=D353,'难度参数'!$E$30,0))</x:f>
        <x:v>558</x:v>
      </x:c>
      <x:c r="AB353" s="119" t="n">
        <x:f>IF(2&gt;D353,0,MAX(2,MIN('难度参数'!$E$12,ROUND(('难度参数'!$E$18*POWER(A353,'难度参数'!$E$19)/D353*(0.85+0.3*(2-1)/MAX(1,D353-1))),0)+F353)))</x:f>
        <x:v>33</x:v>
      </x:c>
      <x:c r="AC353" s="119" t="n">
        <x:f>IF(2&gt;D353,0,ROUND(('难度参数'!$E$13*POWER(A353,'难度参数'!$E$20)*MIN('难度参数'!$E$23,1+MAX(0,A353-'难度参数'!$E$21)*'难度参数'!$E$22))*(36+2*7)/(36+7*(D353+1)/2)*E353,0))</x:f>
        <x:v>7115</x:v>
      </x:c>
      <x:c r="AD353" s="119" t="n">
        <x:f>IF(AB353=0,0,(AB353-IF(2=D353,1,0))*ROUND(AC353*VLOOKUP(INDEX('章节与怪物'!$E$31:$K$37,B353,2),'章节与怪物'!$A$41:$F$44,2,FALSE),0)+IF(2=D353,ROUND(AC353*'难度参数'!$E$28*'章节与怪物'!$E$17,0),0))</x:f>
        <x:v>169059</x:v>
      </x:c>
      <x:c r="AE353" s="119" t="n">
        <x:f>IF(AB353=0,0,(AB353-IF(2=D353,1,0))*VLOOKUP(INDEX('章节与怪物'!$E$31:$K$37,B353,2),'章节与怪物'!$A$41:$F$44,4,FALSE)+IF(2=D353,'难度参数'!$E$30,0))</x:f>
        <x:v>660</x:v>
      </x:c>
      <x:c r="AF353" s="119" t="n">
        <x:f>IF(3&gt;D353,0,MAX(2,MIN('难度参数'!$E$12,ROUND(('难度参数'!$E$18*POWER(A353,'难度参数'!$E$19)/D353*(0.85+0.3*(3-1)/MAX(1,D353-1))),0)+F353)))</x:f>
        <x:v>35</x:v>
      </x:c>
      <x:c r="AG353" s="119" t="n">
        <x:f>IF(3&gt;D353,0,ROUND(('难度参数'!$E$13*POWER(A353,'难度参数'!$E$20)*MIN('难度参数'!$E$23,1+MAX(0,A353-'难度参数'!$E$21)*'难度参数'!$E$22))*(36+3*7)/(36+7*(D353+1)/2)*E353,0))</x:f>
        <x:v>8111</x:v>
      </x:c>
      <x:c r="AH353" s="119" t="n">
        <x:f>IF(AF353=0,0,(AF353-IF(3=D353,1,0))*ROUND(AG353*VLOOKUP(INDEX('章节与怪物'!$E$31:$K$37,B353,3),'章节与怪物'!$A$41:$F$44,2,FALSE),0)+IF(3=D353,ROUND(AG353*'难度参数'!$E$28*'章节与怪物'!$E$17,0),0))</x:f>
        <x:v>482615</x:v>
      </x:c>
      <x:c r="AI353" s="119" t="n">
        <x:f>IF(AF353=0,0,(AF353-IF(3=D353,1,0))*VLOOKUP(INDEX('章节与怪物'!$E$31:$K$37,B353,3),'章节与怪物'!$A$41:$F$44,4,FALSE)+IF(3=D353,'难度参数'!$E$30,0))</x:f>
        <x:v>980</x:v>
      </x:c>
      <x:c r="AJ353" s="119" t="n">
        <x:f>IF(4&gt;D353,0,MAX(2,MIN('难度参数'!$E$12,ROUND(('难度参数'!$E$18*POWER(A353,'难度参数'!$E$19)/D353*(0.85+0.3*(4-1)/MAX(1,D353-1))),0)+F353)))</x:f>
        <x:v>37</x:v>
      </x:c>
      <x:c r="AK353" s="119" t="n">
        <x:f>IF(4&gt;D353,0,ROUND(('难度参数'!$E$13*POWER(A353,'难度参数'!$E$20)*MIN('难度参数'!$E$23,1+MAX(0,A353-'难度参数'!$E$21)*'难度参数'!$E$22))*(36+4*7)/(36+7*(D353+1)/2)*E353,0))</x:f>
        <x:v>9107</x:v>
      </x:c>
      <x:c r="AL353" s="119" t="n">
        <x:f>IF(AJ353=0,0,(AJ353-IF(4=D353,1,0))*ROUND(AK353*VLOOKUP(INDEX('章节与怪物'!$E$31:$K$37,B353,4),'章节与怪物'!$A$41:$F$44,2,FALSE),0)+IF(4=D353,ROUND(AK353*'难度参数'!$E$28*'章节与怪物'!$E$17,0),0))</x:f>
        <x:v>454878</x:v>
      </x:c>
      <x:c r="AM353" s="119" t="n">
        <x:f>IF(AJ353=0,0,(AJ353-IF(4=D353,1,0))*VLOOKUP(INDEX('章节与怪物'!$E$31:$K$37,B353,4),'章节与怪物'!$A$41:$F$44,4,FALSE)+IF(4=D353,'难度参数'!$E$30,0))</x:f>
        <x:v>1258</x:v>
      </x:c>
      <x:c r="AN353" s="119" t="n">
        <x:f>IF(5&gt;D353,0,MAX(2,MIN('难度参数'!$E$12,ROUND(('难度参数'!$E$18*POWER(A353,'难度参数'!$E$19)/D353*(0.85+0.3*(5-1)/MAX(1,D353-1))),0)+F353)))</x:f>
        <x:v>38</x:v>
      </x:c>
      <x:c r="AO353" s="119" t="n">
        <x:f>IF(5&gt;D353,0,ROUND(('难度参数'!$E$13*POWER(A353,'难度参数'!$E$20)*MIN('难度参数'!$E$23,1+MAX(0,A353-'难度参数'!$E$21)*'难度参数'!$E$22))*(36+5*7)/(36+7*(D353+1)/2)*E353,0))</x:f>
        <x:v>10103</x:v>
      </x:c>
      <x:c r="AP353" s="119" t="n">
        <x:f>IF(AN353=0,0,(AN353-IF(5=D353,1,0))*ROUND(AO353*VLOOKUP(INDEX('章节与怪物'!$E$31:$K$37,B353,5),'章节与怪物'!$A$41:$F$44,2,FALSE),0)+IF(5=D353,ROUND(AO353*'难度参数'!$E$28*'章节与怪物'!$E$17,0),0))</x:f>
        <x:v>276412</x:v>
      </x:c>
      <x:c r="AQ353" s="119" t="n">
        <x:f>IF(AN353=0,0,(AN353-IF(5=D353,1,0))*VLOOKUP(INDEX('章节与怪物'!$E$31:$K$37,B353,5),'章节与怪物'!$A$41:$F$44,4,FALSE)+IF(5=D353,'难度参数'!$E$30,0))</x:f>
        <x:v>760</x:v>
      </x:c>
      <x:c r="AR353" s="119" t="n">
        <x:f>IF(6&gt;D353,0,MAX(2,MIN('难度参数'!$E$12,ROUND(('难度参数'!$E$18*POWER(A353,'难度参数'!$E$19)/D353*(0.85+0.3*(6-1)/MAX(1,D353-1))),0)+F353)))</x:f>
        <x:v>40</x:v>
      </x:c>
      <x:c r="AS353" s="119" t="n">
        <x:f>IF(6&gt;D353,0,ROUND(('难度参数'!$E$13*POWER(A353,'难度参数'!$E$20)*MIN('难度参数'!$E$23,1+MAX(0,A353-'难度参数'!$E$21)*'难度参数'!$E$22))*(36+6*7)/(36+7*(D353+1)/2)*E353,0))</x:f>
        <x:v>11099</x:v>
      </x:c>
      <x:c r="AT353" s="119" t="n">
        <x:f>IF(AR353=0,0,(AR353-IF(6=D353,1,0))*ROUND(AS353*VLOOKUP(INDEX('章节与怪物'!$E$31:$K$37,B353,6),'章节与怪物'!$A$41:$F$44,2,FALSE),0)+IF(6=D353,ROUND(AS353*'难度参数'!$E$28*'章节与怪物'!$E$17,0),0))</x:f>
        <x:v>754720</x:v>
      </x:c>
      <x:c r="AU353" s="119" t="n">
        <x:f>IF(AR353=0,0,(AR353-IF(6=D353,1,0))*VLOOKUP(INDEX('章节与怪物'!$E$31:$K$37,B353,6),'章节与怪物'!$A$41:$F$44,4,FALSE)+IF(6=D353,'难度参数'!$E$30,0))</x:f>
        <x:v>1120</x:v>
      </x:c>
      <x:c r="AV353" s="119" t="n">
        <x:f>IF(7&gt;D353,0,MAX(2,MIN('难度参数'!$E$12,ROUND(('难度参数'!$E$18*POWER(A353,'难度参数'!$E$19)/D353*(0.85+0.3*(7-1)/MAX(1,D353-1))),0)+F353)))</x:f>
        <x:v>42</x:v>
      </x:c>
      <x:c r="AW353" s="119" t="n">
        <x:f>IF(7&gt;D353,0,ROUND(('难度参数'!$E$13*POWER(A353,'难度参数'!$E$20)*MIN('难度参数'!$E$23,1+MAX(0,A353-'难度参数'!$E$21)*'难度参数'!$E$22))*(36+7*7)/(36+7*(D353+1)/2)*E353,0))</x:f>
        <x:v>12095</x:v>
      </x:c>
      <x:c r="AX353" s="119" t="n">
        <x:f>IF(AV353=0,0,(AV353-IF(7=D353,1,0))*ROUND(AW353*VLOOKUP(INDEX('章节与怪物'!$E$31:$K$37,B353,7),'章节与怪物'!$A$41:$F$44,2,FALSE),0)+IF(7=D353,ROUND(AW353*'难度参数'!$E$28*'章节与怪物'!$E$17,0),0))</x:f>
        <x:v>751694</x:v>
      </x:c>
      <x:c r="AY353" s="119" t="n">
        <x:f>IF(AV353=0,0,(AV353-IF(7=D353,1,0))*VLOOKUP(INDEX('章节与怪物'!$E$31:$K$37,B353,7),'章节与怪物'!$A$41:$F$44,4,FALSE)+IF(7=D353,'难度参数'!$E$30,0))</x:f>
        <x:v>1594</x:v>
      </x:c>
    </x:row>
    <x:row r="354" ht="23" customHeight="1">
      <x:c r="A354" s="119" t="n">
        <x:v>348</x:v>
      </x:c>
      <x:c r="B354" s="119" t="n">
        <x:f>MOD(INT((A354-1)/5),7)+1</x:f>
        <x:v>7</x:v>
      </x:c>
      <x:c r="C354" s="62" t="str">
        <x:f>INDEX('章节与怪物'!$B$31:$B$37,B354)</x:f>
        <x:v>魔法山脊</x:v>
      </x:c>
      <x:c r="D354" s="119" t="n">
        <x:f>MIN('难度参数'!$E$8,MAX('难度参数'!$E$7,A354))</x:f>
        <x:v>7</x:v>
      </x:c>
      <x:c r="E354" s="106" t="n">
        <x:v>1</x:v>
      </x:c>
      <x:c r="F354" s="106" t="n">
        <x:v>0</x:v>
      </x:c>
      <x:c r="G354" s="106" t="n">
        <x:v>1</x:v>
      </x:c>
      <x:c r="H354" s="119" t="n">
        <x:f>SUM(X354,AB354,AF354,AJ354,AN354,AR354,AV354)</x:f>
        <x:v>256</x:v>
      </x:c>
      <x:c r="I354" s="119" t="n">
        <x:f>SUM(Z354,AD354,AH354,AL354,AP354,AT354,AX354)</x:f>
        <x:v>3085473</x:v>
      </x:c>
      <x:c r="J354" s="119" t="n">
        <x:f>ROUND(INDEX(X354:AY354,1,(D354-1)*4+2)*'难度参数'!$E$28*'章节与怪物'!$E$17,0)</x:f>
        <x:v>82416</x:v>
      </x:c>
      <x:c r="K354" s="119" t="n">
        <x:f>SUM(AA354,AE354,AI354,AM354,AQ354,AU354,AY354)</x:f>
        <x:v>6930</x:v>
      </x:c>
      <x:c r="L354" s="62" t="n">
        <x:f>H354*(ROUNDUP('难度参数'!$E$24/('难度参数'!$E$26*'难度参数'!$E$27),0)*'难度参数'!$E$26)/60</x:f>
        <x:v>3.4133333333333336</x:v>
      </x:c>
      <x:c r="M354" s="62" t="n">
        <x:f>L354+D354*('难度参数'!$E$49+'难度参数'!$E$50)/60</x:f>
        <x:v>4.58</x:v>
      </x:c>
      <x:c r="N354" s="119" t="n">
        <x:f>ROUNDDOWN(('经济参数'!$E$20+A354*'经济参数'!$E$21)*G354,0)</x:f>
        <x:v>7140</x:v>
      </x:c>
      <x:c r="O354" s="119" t="n">
        <x:f>ROUNDDOWN(MIN('经济参数'!$E$24,'经济参数'!$E$22+A354*'经济参数'!$E$23)*G354,0)</x:f>
        <x:v>0</x:v>
      </x:c>
      <x:c r="P354" s="119" t="n">
        <x:f>ROUNDDOWN((IF(A354&gt;='材料与任务'!$E$31,'材料与任务'!$E$32,IF(A354&gt;='材料与任务'!$E$25,'材料与任务'!$E$26,IF(A354&gt;='材料与任务'!$E$19,'材料与任务'!$E$20,IF(A354&gt;='材料与任务'!$E$13,'材料与任务'!$E$14,'材料与任务'!$E$8)))))*G354,0)</x:f>
        <x:v>6</x:v>
      </x:c>
      <x:c r="Q354" s="119" t="n">
        <x:f>ROUNDDOWN((IF(A354&gt;='材料与任务'!$E$31,'材料与任务'!$E$33,IF(A354&gt;='材料与任务'!$E$25,'材料与任务'!$E$27,IF(A354&gt;='材料与任务'!$E$19,'材料与任务'!$E$21,IF(A354&gt;='材料与任务'!$E$13,'材料与任务'!$E$15,'材料与任务'!$E$9)))))*G354,0)</x:f>
        <x:v>3</x:v>
      </x:c>
      <x:c r="R354" s="110" t="n">
        <x:f>'装备掉落'!$B$38</x:f>
        <x:v>0.6872058758851213</x:v>
      </x:c>
      <x:c r="S354" s="119" t="n">
        <x:f>MAX(IF(VLOOKUP(A354,'装备掉落'!$A$29:$H$34,2,TRUE)&gt;0,1,0),IF(VLOOKUP(A354,'装备掉落'!$A$29:$H$34,3,TRUE)&gt;0,2,0),IF(VLOOKUP(A354,'装备掉落'!$A$29:$H$34,4,TRUE)&gt;0,3,0),IF(VLOOKUP(A354,'装备掉落'!$A$29:$H$34,5,TRUE)&gt;0,4,0),IF(VLOOKUP(A354,'装备掉落'!$A$29:$H$34,6,TRUE)&gt;0,5,0),IF(VLOOKUP(A354,'装备掉落'!$A$29:$H$34,7,TRUE)&gt;0,6,0),IF(VLOOKUP(A354,'装备掉落'!$A$29:$H$34,8,TRUE)&gt;0,7,0))</x:f>
        <x:v>7</x:v>
      </x:c>
      <x:c r="T354" s="119" t="n">
        <x:f>MIN(7,S354+'经济参数'!$E$70)</x:f>
        <x:v>7</x:v>
      </x:c>
      <x:c r="U354" s="119" t="n">
        <x:f>MIN(7,S354+'经济参数'!$E$71)</x:f>
        <x:v>7</x:v>
      </x:c>
      <x:c r="V354" s="119" t="n">
        <x:f>IF(H354&gt;=('难度参数'!$E$52),1,0)+IF(H354&gt;=('难度参数'!$E$52+'难度参数'!$E$53),1,0)+IF(H354&gt;=('难度参数'!$E$52+'难度参数'!$E$53+'难度参数'!$E$54),1,0)+IF(H354&gt;=('难度参数'!$E$52+'难度参数'!$E$53+'难度参数'!$E$54+'难度参数'!$E$55),1,0)+IF(H354&gt;=('难度参数'!$E$52+'难度参数'!$E$53+'难度参数'!$E$54+'难度参数'!$E$55+'难度参数'!$E$56),1,0)+IF(H354&gt;=('难度参数'!$E$52+'难度参数'!$E$53+'难度参数'!$E$54+'难度参数'!$E$55+'难度参数'!$E$56+'难度参数'!$E$57),1,0)</x:f>
        <x:v>6</x:v>
      </x:c>
      <x:c r="W354" s="62" t="str">
        <x:f>IF(L354&gt;'难度参数'!$E$51,"仅出怪已超目标","还需实测")</x:f>
        <x:v>仅出怪已超目标</x:v>
      </x:c>
      <x:c r="X354" s="119" t="n">
        <x:f>IF(1&gt;D354,0,MAX(2,MIN('难度参数'!$E$12,ROUND(('难度参数'!$E$18*POWER(A354,'难度参数'!$E$19)/D354*(0.85+0.3*(1-1)/MAX(1,D354-1))),0)+F354)))</x:f>
        <x:v>31</x:v>
      </x:c>
      <x:c r="Y354" s="119" t="n">
        <x:f>IF(1&gt;D354,0,ROUND(('难度参数'!$E$13*POWER(A354,'难度参数'!$E$20)*MIN('难度参数'!$E$23,1+MAX(0,A354-'难度参数'!$E$21)*'难度参数'!$E$22))*(36+1*7)/(36+7*(D354+1)/2)*E354,0))</x:f>
        <x:v>6131</x:v>
      </x:c>
      <x:c r="Z354" s="119" t="n">
        <x:f>IF(X354=0,0,(X354-IF(1=D354,1,0))*ROUND(Y354*VLOOKUP(INDEX('章节与怪物'!$E$31:$K$37,B354,1),'章节与怪物'!$A$41:$F$44,2,FALSE),0)+IF(1=D354,ROUND(Y354*'难度参数'!$E$28*'章节与怪物'!$E$17,0),0))</x:f>
        <x:v>190061</x:v>
      </x:c>
      <x:c r="AA354" s="119" t="n">
        <x:f>IF(X354=0,0,(X354-IF(1=D354,1,0))*VLOOKUP(INDEX('章节与怪物'!$E$31:$K$37,B354,1),'章节与怪物'!$A$41:$F$44,4,FALSE)+IF(1=D354,'难度参数'!$E$30,0))</x:f>
        <x:v>558</x:v>
      </x:c>
      <x:c r="AB354" s="119" t="n">
        <x:f>IF(2&gt;D354,0,MAX(2,MIN('难度参数'!$E$12,ROUND(('难度参数'!$E$18*POWER(A354,'难度参数'!$E$19)/D354*(0.85+0.3*(2-1)/MAX(1,D354-1))),0)+F354)))</x:f>
        <x:v>33</x:v>
      </x:c>
      <x:c r="AC354" s="119" t="n">
        <x:f>IF(2&gt;D354,0,ROUND(('难度参数'!$E$13*POWER(A354,'难度参数'!$E$20)*MIN('难度参数'!$E$23,1+MAX(0,A354-'难度参数'!$E$21)*'难度参数'!$E$22))*(36+2*7)/(36+7*(D354+1)/2)*E354,0))</x:f>
        <x:v>7130</x:v>
      </x:c>
      <x:c r="AD354" s="119" t="n">
        <x:f>IF(AB354=0,0,(AB354-IF(2=D354,1,0))*ROUND(AC354*VLOOKUP(INDEX('章节与怪物'!$E$31:$K$37,B354,2),'章节与怪物'!$A$41:$F$44,2,FALSE),0)+IF(2=D354,ROUND(AC354*'难度参数'!$E$28*'章节与怪物'!$E$17,0),0))</x:f>
        <x:v>169422</x:v>
      </x:c>
      <x:c r="AE354" s="119" t="n">
        <x:f>IF(AB354=0,0,(AB354-IF(2=D354,1,0))*VLOOKUP(INDEX('章节与怪物'!$E$31:$K$37,B354,2),'章节与怪物'!$A$41:$F$44,4,FALSE)+IF(2=D354,'难度参数'!$E$30,0))</x:f>
        <x:v>660</x:v>
      </x:c>
      <x:c r="AF354" s="119" t="n">
        <x:f>IF(3&gt;D354,0,MAX(2,MIN('难度参数'!$E$12,ROUND(('难度参数'!$E$18*POWER(A354,'难度参数'!$E$19)/D354*(0.85+0.3*(3-1)/MAX(1,D354-1))),0)+F354)))</x:f>
        <x:v>35</x:v>
      </x:c>
      <x:c r="AG354" s="119" t="n">
        <x:f>IF(3&gt;D354,0,ROUND(('难度参数'!$E$13*POWER(A354,'难度参数'!$E$20)*MIN('难度参数'!$E$23,1+MAX(0,A354-'难度参数'!$E$21)*'难度参数'!$E$22))*(36+3*7)/(36+7*(D354+1)/2)*E354,0))</x:f>
        <x:v>8128</x:v>
      </x:c>
      <x:c r="AH354" s="119" t="n">
        <x:f>IF(AF354=0,0,(AF354-IF(3=D354,1,0))*ROUND(AG354*VLOOKUP(INDEX('章节与怪物'!$E$31:$K$37,B354,3),'章节与怪物'!$A$41:$F$44,2,FALSE),0)+IF(3=D354,ROUND(AG354*'难度参数'!$E$28*'章节与怪物'!$E$17,0),0))</x:f>
        <x:v>483630</x:v>
      </x:c>
      <x:c r="AI354" s="119" t="n">
        <x:f>IF(AF354=0,0,(AF354-IF(3=D354,1,0))*VLOOKUP(INDEX('章节与怪物'!$E$31:$K$37,B354,3),'章节与怪物'!$A$41:$F$44,4,FALSE)+IF(3=D354,'难度参数'!$E$30,0))</x:f>
        <x:v>980</x:v>
      </x:c>
      <x:c r="AJ354" s="119" t="n">
        <x:f>IF(4&gt;D354,0,MAX(2,MIN('难度参数'!$E$12,ROUND(('难度参数'!$E$18*POWER(A354,'难度参数'!$E$19)/D354*(0.85+0.3*(4-1)/MAX(1,D354-1))),0)+F354)))</x:f>
        <x:v>37</x:v>
      </x:c>
      <x:c r="AK354" s="119" t="n">
        <x:f>IF(4&gt;D354,0,ROUND(('难度参数'!$E$13*POWER(A354,'难度参数'!$E$20)*MIN('难度参数'!$E$23,1+MAX(0,A354-'难度参数'!$E$21)*'难度参数'!$E$22))*(36+4*7)/(36+7*(D354+1)/2)*E354,0))</x:f>
        <x:v>9126</x:v>
      </x:c>
      <x:c r="AL354" s="119" t="n">
        <x:f>IF(AJ354=0,0,(AJ354-IF(4=D354,1,0))*ROUND(AK354*VLOOKUP(INDEX('章节与怪物'!$E$31:$K$37,B354,4),'章节与怪物'!$A$41:$F$44,2,FALSE),0)+IF(4=D354,ROUND(AK354*'难度参数'!$E$28*'章节与怪物'!$E$17,0),0))</x:f>
        <x:v>455840</x:v>
      </x:c>
      <x:c r="AM354" s="119" t="n">
        <x:f>IF(AJ354=0,0,(AJ354-IF(4=D354,1,0))*VLOOKUP(INDEX('章节与怪物'!$E$31:$K$37,B354,4),'章节与怪物'!$A$41:$F$44,4,FALSE)+IF(4=D354,'难度参数'!$E$30,0))</x:f>
        <x:v>1258</x:v>
      </x:c>
      <x:c r="AN354" s="119" t="n">
        <x:f>IF(5&gt;D354,0,MAX(2,MIN('难度参数'!$E$12,ROUND(('难度参数'!$E$18*POWER(A354,'难度参数'!$E$19)/D354*(0.85+0.3*(5-1)/MAX(1,D354-1))),0)+F354)))</x:f>
        <x:v>38</x:v>
      </x:c>
      <x:c r="AO354" s="119" t="n">
        <x:f>IF(5&gt;D354,0,ROUND(('难度参数'!$E$13*POWER(A354,'难度参数'!$E$20)*MIN('难度参数'!$E$23,1+MAX(0,A354-'难度参数'!$E$21)*'难度参数'!$E$22))*(36+5*7)/(36+7*(D354+1)/2)*E354,0))</x:f>
        <x:v>10124</x:v>
      </x:c>
      <x:c r="AP354" s="119" t="n">
        <x:f>IF(AN354=0,0,(AN354-IF(5=D354,1,0))*ROUND(AO354*VLOOKUP(INDEX('章节与怪物'!$E$31:$K$37,B354,5),'章节与怪物'!$A$41:$F$44,2,FALSE),0)+IF(5=D354,ROUND(AO354*'难度参数'!$E$28*'章节与怪物'!$E$17,0),0))</x:f>
        <x:v>276982</x:v>
      </x:c>
      <x:c r="AQ354" s="119" t="n">
        <x:f>IF(AN354=0,0,(AN354-IF(5=D354,1,0))*VLOOKUP(INDEX('章节与怪物'!$E$31:$K$37,B354,5),'章节与怪物'!$A$41:$F$44,4,FALSE)+IF(5=D354,'难度参数'!$E$30,0))</x:f>
        <x:v>760</x:v>
      </x:c>
      <x:c r="AR354" s="119" t="n">
        <x:f>IF(6&gt;D354,0,MAX(2,MIN('难度参数'!$E$12,ROUND(('难度参数'!$E$18*POWER(A354,'难度参数'!$E$19)/D354*(0.85+0.3*(6-1)/MAX(1,D354-1))),0)+F354)))</x:f>
        <x:v>40</x:v>
      </x:c>
      <x:c r="AS354" s="119" t="n">
        <x:f>IF(6&gt;D354,0,ROUND(('难度参数'!$E$13*POWER(A354,'难度参数'!$E$20)*MIN('难度参数'!$E$23,1+MAX(0,A354-'难度参数'!$E$21)*'难度参数'!$E$22))*(36+6*7)/(36+7*(D354+1)/2)*E354,0))</x:f>
        <x:v>11122</x:v>
      </x:c>
      <x:c r="AT354" s="119" t="n">
        <x:f>IF(AR354=0,0,(AR354-IF(6=D354,1,0))*ROUND(AS354*VLOOKUP(INDEX('章节与怪物'!$E$31:$K$37,B354,6),'章节与怪物'!$A$41:$F$44,2,FALSE),0)+IF(6=D354,ROUND(AS354*'难度参数'!$E$28*'章节与怪物'!$E$17,0),0))</x:f>
        <x:v>756280</x:v>
      </x:c>
      <x:c r="AU354" s="119" t="n">
        <x:f>IF(AR354=0,0,(AR354-IF(6=D354,1,0))*VLOOKUP(INDEX('章节与怪物'!$E$31:$K$37,B354,6),'章节与怪物'!$A$41:$F$44,4,FALSE)+IF(6=D354,'难度参数'!$E$30,0))</x:f>
        <x:v>1120</x:v>
      </x:c>
      <x:c r="AV354" s="119" t="n">
        <x:f>IF(7&gt;D354,0,MAX(2,MIN('难度参数'!$E$12,ROUND(('难度参数'!$E$18*POWER(A354,'难度参数'!$E$19)/D354*(0.85+0.3*(7-1)/MAX(1,D354-1))),0)+F354)))</x:f>
        <x:v>42</x:v>
      </x:c>
      <x:c r="AW354" s="119" t="n">
        <x:f>IF(7&gt;D354,0,ROUND(('难度参数'!$E$13*POWER(A354,'难度参数'!$E$20)*MIN('难度参数'!$E$23,1+MAX(0,A354-'难度参数'!$E$21)*'难度参数'!$E$22))*(36+7*7)/(36+7*(D354+1)/2)*E354,0))</x:f>
        <x:v>12120</x:v>
      </x:c>
      <x:c r="AX354" s="119" t="n">
        <x:f>IF(AV354=0,0,(AV354-IF(7=D354,1,0))*ROUND(AW354*VLOOKUP(INDEX('章节与怪物'!$E$31:$K$37,B354,7),'章节与怪物'!$A$41:$F$44,2,FALSE),0)+IF(7=D354,ROUND(AW354*'难度参数'!$E$28*'章节与怪物'!$E$17,0),0))</x:f>
        <x:v>753258</x:v>
      </x:c>
      <x:c r="AY354" s="119" t="n">
        <x:f>IF(AV354=0,0,(AV354-IF(7=D354,1,0))*VLOOKUP(INDEX('章节与怪物'!$E$31:$K$37,B354,7),'章节与怪物'!$A$41:$F$44,4,FALSE)+IF(7=D354,'难度参数'!$E$30,0))</x:f>
        <x:v>1594</x:v>
      </x:c>
    </x:row>
    <x:row r="355" ht="23" customHeight="1">
      <x:c r="A355" s="119" t="n">
        <x:v>349</x:v>
      </x:c>
      <x:c r="B355" s="119" t="n">
        <x:f>MOD(INT((A355-1)/5),7)+1</x:f>
        <x:v>7</x:v>
      </x:c>
      <x:c r="C355" s="62" t="str">
        <x:f>INDEX('章节与怪物'!$B$31:$B$37,B355)</x:f>
        <x:v>魔法山脊</x:v>
      </x:c>
      <x:c r="D355" s="119" t="n">
        <x:f>MIN('难度参数'!$E$8,MAX('难度参数'!$E$7,A355))</x:f>
        <x:v>7</x:v>
      </x:c>
      <x:c r="E355" s="106" t="n">
        <x:v>1</x:v>
      </x:c>
      <x:c r="F355" s="106" t="n">
        <x:v>0</x:v>
      </x:c>
      <x:c r="G355" s="106" t="n">
        <x:v>1</x:v>
      </x:c>
      <x:c r="H355" s="119" t="n">
        <x:f>SUM(X355,AB355,AF355,AJ355,AN355,AR355,AV355)</x:f>
        <x:v>256</x:v>
      </x:c>
      <x:c r="I355" s="119" t="n">
        <x:f>SUM(Z355,AD355,AH355,AL355,AP355,AT355,AX355)</x:f>
        <x:v>3091847</x:v>
      </x:c>
      <x:c r="J355" s="119" t="n">
        <x:f>ROUND(INDEX(X355:AY355,1,(D355-1)*4+2)*'难度参数'!$E$28*'章节与怪物'!$E$17,0)</x:f>
        <x:v>82586</x:v>
      </x:c>
      <x:c r="K355" s="119" t="n">
        <x:f>SUM(AA355,AE355,AI355,AM355,AQ355,AU355,AY355)</x:f>
        <x:v>6930</x:v>
      </x:c>
      <x:c r="L355" s="62" t="n">
        <x:f>H355*(ROUNDUP('难度参数'!$E$24/('难度参数'!$E$26*'难度参数'!$E$27),0)*'难度参数'!$E$26)/60</x:f>
        <x:v>3.4133333333333336</x:v>
      </x:c>
      <x:c r="M355" s="62" t="n">
        <x:f>L355+D355*('难度参数'!$E$49+'难度参数'!$E$50)/60</x:f>
        <x:v>4.58</x:v>
      </x:c>
      <x:c r="N355" s="119" t="n">
        <x:f>ROUNDDOWN(('经济参数'!$E$20+A355*'经济参数'!$E$21)*G355,0)</x:f>
        <x:v>7160</x:v>
      </x:c>
      <x:c r="O355" s="119" t="n">
        <x:f>ROUNDDOWN(MIN('经济参数'!$E$24,'经济参数'!$E$22+A355*'经济参数'!$E$23)*G355,0)</x:f>
        <x:v>0</x:v>
      </x:c>
      <x:c r="P355" s="119" t="n">
        <x:f>ROUNDDOWN((IF(A355&gt;='材料与任务'!$E$31,'材料与任务'!$E$32,IF(A355&gt;='材料与任务'!$E$25,'材料与任务'!$E$26,IF(A355&gt;='材料与任务'!$E$19,'材料与任务'!$E$20,IF(A355&gt;='材料与任务'!$E$13,'材料与任务'!$E$14,'材料与任务'!$E$8)))))*G355,0)</x:f>
        <x:v>6</x:v>
      </x:c>
      <x:c r="Q355" s="119" t="n">
        <x:f>ROUNDDOWN((IF(A355&gt;='材料与任务'!$E$31,'材料与任务'!$E$33,IF(A355&gt;='材料与任务'!$E$25,'材料与任务'!$E$27,IF(A355&gt;='材料与任务'!$E$19,'材料与任务'!$E$21,IF(A355&gt;='材料与任务'!$E$13,'材料与任务'!$E$15,'材料与任务'!$E$9)))))*G355,0)</x:f>
        <x:v>3</x:v>
      </x:c>
      <x:c r="R355" s="110" t="n">
        <x:f>'装备掉落'!$B$38</x:f>
        <x:v>0.6872058758851213</x:v>
      </x:c>
      <x:c r="S355" s="119" t="n">
        <x:f>MAX(IF(VLOOKUP(A355,'装备掉落'!$A$29:$H$34,2,TRUE)&gt;0,1,0),IF(VLOOKUP(A355,'装备掉落'!$A$29:$H$34,3,TRUE)&gt;0,2,0),IF(VLOOKUP(A355,'装备掉落'!$A$29:$H$34,4,TRUE)&gt;0,3,0),IF(VLOOKUP(A355,'装备掉落'!$A$29:$H$34,5,TRUE)&gt;0,4,0),IF(VLOOKUP(A355,'装备掉落'!$A$29:$H$34,6,TRUE)&gt;0,5,0),IF(VLOOKUP(A355,'装备掉落'!$A$29:$H$34,7,TRUE)&gt;0,6,0),IF(VLOOKUP(A355,'装备掉落'!$A$29:$H$34,8,TRUE)&gt;0,7,0))</x:f>
        <x:v>7</x:v>
      </x:c>
      <x:c r="T355" s="119" t="n">
        <x:f>MIN(7,S355+'经济参数'!$E$70)</x:f>
        <x:v>7</x:v>
      </x:c>
      <x:c r="U355" s="119" t="n">
        <x:f>MIN(7,S355+'经济参数'!$E$71)</x:f>
        <x:v>7</x:v>
      </x:c>
      <x:c r="V355" s="119" t="n">
        <x:f>IF(H355&gt;=('难度参数'!$E$52),1,0)+IF(H355&gt;=('难度参数'!$E$52+'难度参数'!$E$53),1,0)+IF(H355&gt;=('难度参数'!$E$52+'难度参数'!$E$53+'难度参数'!$E$54),1,0)+IF(H355&gt;=('难度参数'!$E$52+'难度参数'!$E$53+'难度参数'!$E$54+'难度参数'!$E$55),1,0)+IF(H355&gt;=('难度参数'!$E$52+'难度参数'!$E$53+'难度参数'!$E$54+'难度参数'!$E$55+'难度参数'!$E$56),1,0)+IF(H355&gt;=('难度参数'!$E$52+'难度参数'!$E$53+'难度参数'!$E$54+'难度参数'!$E$55+'难度参数'!$E$56+'难度参数'!$E$57),1,0)</x:f>
        <x:v>6</x:v>
      </x:c>
      <x:c r="W355" s="62" t="str">
        <x:f>IF(L355&gt;'难度参数'!$E$51,"仅出怪已超目标","还需实测")</x:f>
        <x:v>仅出怪已超目标</x:v>
      </x:c>
      <x:c r="X355" s="119" t="n">
        <x:f>IF(1&gt;D355,0,MAX(2,MIN('难度参数'!$E$12,ROUND(('难度参数'!$E$18*POWER(A355,'难度参数'!$E$19)/D355*(0.85+0.3*(1-1)/MAX(1,D355-1))),0)+F355)))</x:f>
        <x:v>31</x:v>
      </x:c>
      <x:c r="Y355" s="119" t="n">
        <x:f>IF(1&gt;D355,0,ROUND(('难度参数'!$E$13*POWER(A355,'难度参数'!$E$20)*MIN('难度参数'!$E$23,1+MAX(0,A355-'难度参数'!$E$21)*'难度参数'!$E$22))*(36+1*7)/(36+7*(D355+1)/2)*E355,0))</x:f>
        <x:v>6144</x:v>
      </x:c>
      <x:c r="Z355" s="119" t="n">
        <x:f>IF(X355=0,0,(X355-IF(1=D355,1,0))*ROUND(Y355*VLOOKUP(INDEX('章节与怪物'!$E$31:$K$37,B355,1),'章节与怪物'!$A$41:$F$44,2,FALSE),0)+IF(1=D355,ROUND(Y355*'难度参数'!$E$28*'章节与怪物'!$E$17,0),0))</x:f>
        <x:v>190464</x:v>
      </x:c>
      <x:c r="AA355" s="119" t="n">
        <x:f>IF(X355=0,0,(X355-IF(1=D355,1,0))*VLOOKUP(INDEX('章节与怪物'!$E$31:$K$37,B355,1),'章节与怪物'!$A$41:$F$44,4,FALSE)+IF(1=D355,'难度参数'!$E$30,0))</x:f>
        <x:v>558</x:v>
      </x:c>
      <x:c r="AB355" s="119" t="n">
        <x:f>IF(2&gt;D355,0,MAX(2,MIN('难度参数'!$E$12,ROUND(('难度参数'!$E$18*POWER(A355,'难度参数'!$E$19)/D355*(0.85+0.3*(2-1)/MAX(1,D355-1))),0)+F355)))</x:f>
        <x:v>33</x:v>
      </x:c>
      <x:c r="AC355" s="119" t="n">
        <x:f>IF(2&gt;D355,0,ROUND(('难度参数'!$E$13*POWER(A355,'难度参数'!$E$20)*MIN('难度参数'!$E$23,1+MAX(0,A355-'难度参数'!$E$21)*'难度参数'!$E$22))*(36+2*7)/(36+7*(D355+1)/2)*E355,0))</x:f>
        <x:v>7144</x:v>
      </x:c>
      <x:c r="AD355" s="119" t="n">
        <x:f>IF(AB355=0,0,(AB355-IF(2=D355,1,0))*ROUND(AC355*VLOOKUP(INDEX('章节与怪物'!$E$31:$K$37,B355,2),'章节与怪物'!$A$41:$F$44,2,FALSE),0)+IF(2=D355,ROUND(AC355*'难度参数'!$E$28*'章节与怪物'!$E$17,0),0))</x:f>
        <x:v>169752</x:v>
      </x:c>
      <x:c r="AE355" s="119" t="n">
        <x:f>IF(AB355=0,0,(AB355-IF(2=D355,1,0))*VLOOKUP(INDEX('章节与怪物'!$E$31:$K$37,B355,2),'章节与怪物'!$A$41:$F$44,4,FALSE)+IF(2=D355,'难度参数'!$E$30,0))</x:f>
        <x:v>660</x:v>
      </x:c>
      <x:c r="AF355" s="119" t="n">
        <x:f>IF(3&gt;D355,0,MAX(2,MIN('难度参数'!$E$12,ROUND(('难度参数'!$E$18*POWER(A355,'难度参数'!$E$19)/D355*(0.85+0.3*(3-1)/MAX(1,D355-1))),0)+F355)))</x:f>
        <x:v>35</x:v>
      </x:c>
      <x:c r="AG355" s="119" t="n">
        <x:f>IF(3&gt;D355,0,ROUND(('难度参数'!$E$13*POWER(A355,'难度参数'!$E$20)*MIN('难度参数'!$E$23,1+MAX(0,A355-'难度参数'!$E$21)*'难度参数'!$E$22))*(36+3*7)/(36+7*(D355+1)/2)*E355,0))</x:f>
        <x:v>8144</x:v>
      </x:c>
      <x:c r="AH355" s="119" t="n">
        <x:f>IF(AF355=0,0,(AF355-IF(3=D355,1,0))*ROUND(AG355*VLOOKUP(INDEX('章节与怪物'!$E$31:$K$37,B355,3),'章节与怪物'!$A$41:$F$44,2,FALSE),0)+IF(3=D355,ROUND(AG355*'难度参数'!$E$28*'章节与怪物'!$E$17,0),0))</x:f>
        <x:v>484575</x:v>
      </x:c>
      <x:c r="AI355" s="119" t="n">
        <x:f>IF(AF355=0,0,(AF355-IF(3=D355,1,0))*VLOOKUP(INDEX('章节与怪物'!$E$31:$K$37,B355,3),'章节与怪物'!$A$41:$F$44,4,FALSE)+IF(3=D355,'难度参数'!$E$30,0))</x:f>
        <x:v>980</x:v>
      </x:c>
      <x:c r="AJ355" s="119" t="n">
        <x:f>IF(4&gt;D355,0,MAX(2,MIN('难度参数'!$E$12,ROUND(('难度参数'!$E$18*POWER(A355,'难度参数'!$E$19)/D355*(0.85+0.3*(4-1)/MAX(1,D355-1))),0)+F355)))</x:f>
        <x:v>37</x:v>
      </x:c>
      <x:c r="AK355" s="119" t="n">
        <x:f>IF(4&gt;D355,0,ROUND(('难度参数'!$E$13*POWER(A355,'难度参数'!$E$20)*MIN('难度参数'!$E$23,1+MAX(0,A355-'难度参数'!$E$21)*'难度参数'!$E$22))*(36+4*7)/(36+7*(D355+1)/2)*E355,0))</x:f>
        <x:v>9145</x:v>
      </x:c>
      <x:c r="AL355" s="119" t="n">
        <x:f>IF(AJ355=0,0,(AJ355-IF(4=D355,1,0))*ROUND(AK355*VLOOKUP(INDEX('章节与怪物'!$E$31:$K$37,B355,4),'章节与怪物'!$A$41:$F$44,2,FALSE),0)+IF(4=D355,ROUND(AK355*'难度参数'!$E$28*'章节与怪物'!$E$17,0),0))</x:f>
        <x:v>456802</x:v>
      </x:c>
      <x:c r="AM355" s="119" t="n">
        <x:f>IF(AJ355=0,0,(AJ355-IF(4=D355,1,0))*VLOOKUP(INDEX('章节与怪物'!$E$31:$K$37,B355,4),'章节与怪物'!$A$41:$F$44,4,FALSE)+IF(4=D355,'难度参数'!$E$30,0))</x:f>
        <x:v>1258</x:v>
      </x:c>
      <x:c r="AN355" s="119" t="n">
        <x:f>IF(5&gt;D355,0,MAX(2,MIN('难度参数'!$E$12,ROUND(('难度参数'!$E$18*POWER(A355,'难度参数'!$E$19)/D355*(0.85+0.3*(5-1)/MAX(1,D355-1))),0)+F355)))</x:f>
        <x:v>38</x:v>
      </x:c>
      <x:c r="AO355" s="119" t="n">
        <x:f>IF(5&gt;D355,0,ROUND(('难度参数'!$E$13*POWER(A355,'难度参数'!$E$20)*MIN('难度参数'!$E$23,1+MAX(0,A355-'难度参数'!$E$21)*'难度参数'!$E$22))*(36+5*7)/(36+7*(D355+1)/2)*E355,0))</x:f>
        <x:v>10145</x:v>
      </x:c>
      <x:c r="AP355" s="119" t="n">
        <x:f>IF(AN355=0,0,(AN355-IF(5=D355,1,0))*ROUND(AO355*VLOOKUP(INDEX('章节与怪物'!$E$31:$K$37,B355,5),'章节与怪物'!$A$41:$F$44,2,FALSE),0)+IF(5=D355,ROUND(AO355*'难度参数'!$E$28*'章节与怪物'!$E$17,0),0))</x:f>
        <x:v>277552</x:v>
      </x:c>
      <x:c r="AQ355" s="119" t="n">
        <x:f>IF(AN355=0,0,(AN355-IF(5=D355,1,0))*VLOOKUP(INDEX('章节与怪物'!$E$31:$K$37,B355,5),'章节与怪物'!$A$41:$F$44,4,FALSE)+IF(5=D355,'难度参数'!$E$30,0))</x:f>
        <x:v>760</x:v>
      </x:c>
      <x:c r="AR355" s="119" t="n">
        <x:f>IF(6&gt;D355,0,MAX(2,MIN('难度参数'!$E$12,ROUND(('难度参数'!$E$18*POWER(A355,'难度参数'!$E$19)/D355*(0.85+0.3*(6-1)/MAX(1,D355-1))),0)+F355)))</x:f>
        <x:v>40</x:v>
      </x:c>
      <x:c r="AS355" s="119" t="n">
        <x:f>IF(6&gt;D355,0,ROUND(('难度参数'!$E$13*POWER(A355,'难度参数'!$E$20)*MIN('难度参数'!$E$23,1+MAX(0,A355-'难度参数'!$E$21)*'难度参数'!$E$22))*(36+6*7)/(36+7*(D355+1)/2)*E355,0))</x:f>
        <x:v>11145</x:v>
      </x:c>
      <x:c r="AT355" s="119" t="n">
        <x:f>IF(AR355=0,0,(AR355-IF(6=D355,1,0))*ROUND(AS355*VLOOKUP(INDEX('章节与怪物'!$E$31:$K$37,B355,6),'章节与怪物'!$A$41:$F$44,2,FALSE),0)+IF(6=D355,ROUND(AS355*'难度参数'!$E$28*'章节与怪物'!$E$17,0),0))</x:f>
        <x:v>757880</x:v>
      </x:c>
      <x:c r="AU355" s="119" t="n">
        <x:f>IF(AR355=0,0,(AR355-IF(6=D355,1,0))*VLOOKUP(INDEX('章节与怪物'!$E$31:$K$37,B355,6),'章节与怪物'!$A$41:$F$44,4,FALSE)+IF(6=D355,'难度参数'!$E$30,0))</x:f>
        <x:v>1120</x:v>
      </x:c>
      <x:c r="AV355" s="119" t="n">
        <x:f>IF(7&gt;D355,0,MAX(2,MIN('难度参数'!$E$12,ROUND(('难度参数'!$E$18*POWER(A355,'难度参数'!$E$19)/D355*(0.85+0.3*(7-1)/MAX(1,D355-1))),0)+F355)))</x:f>
        <x:v>42</x:v>
      </x:c>
      <x:c r="AW355" s="119" t="n">
        <x:f>IF(7&gt;D355,0,ROUND(('难度参数'!$E$13*POWER(A355,'难度参数'!$E$20)*MIN('难度参数'!$E$23,1+MAX(0,A355-'难度参数'!$E$21)*'难度参数'!$E$22))*(36+7*7)/(36+7*(D355+1)/2)*E355,0))</x:f>
        <x:v>12145</x:v>
      </x:c>
      <x:c r="AX355" s="119" t="n">
        <x:f>IF(AV355=0,0,(AV355-IF(7=D355,1,0))*ROUND(AW355*VLOOKUP(INDEX('章节与怪物'!$E$31:$K$37,B355,7),'章节与怪物'!$A$41:$F$44,2,FALSE),0)+IF(7=D355,ROUND(AW355*'难度参数'!$E$28*'章节与怪物'!$E$17,0),0))</x:f>
        <x:v>754822</x:v>
      </x:c>
      <x:c r="AY355" s="119" t="n">
        <x:f>IF(AV355=0,0,(AV355-IF(7=D355,1,0))*VLOOKUP(INDEX('章节与怪物'!$E$31:$K$37,B355,7),'章节与怪物'!$A$41:$F$44,4,FALSE)+IF(7=D355,'难度参数'!$E$30,0))</x:f>
        <x:v>1594</x:v>
      </x:c>
    </x:row>
    <x:row r="356" ht="23" customHeight="1">
      <x:c r="A356" s="119" t="n">
        <x:v>350</x:v>
      </x:c>
      <x:c r="B356" s="119" t="n">
        <x:f>MOD(INT((A356-1)/5),7)+1</x:f>
        <x:v>7</x:v>
      </x:c>
      <x:c r="C356" s="62" t="str">
        <x:f>INDEX('章节与怪物'!$B$31:$B$37,B356)</x:f>
        <x:v>魔法山脊</x:v>
      </x:c>
      <x:c r="D356" s="119" t="n">
        <x:f>MIN('难度参数'!$E$8,MAX('难度参数'!$E$7,A356))</x:f>
        <x:v>7</x:v>
      </x:c>
      <x:c r="E356" s="106" t="n">
        <x:v>1</x:v>
      </x:c>
      <x:c r="F356" s="106" t="n">
        <x:v>0</x:v>
      </x:c>
      <x:c r="G356" s="106" t="n">
        <x:v>1</x:v>
      </x:c>
      <x:c r="H356" s="119" t="n">
        <x:f>SUM(X356,AB356,AF356,AJ356,AN356,AR356,AV356)</x:f>
        <x:v>256</x:v>
      </x:c>
      <x:c r="I356" s="119" t="n">
        <x:f>SUM(Z356,AD356,AH356,AL356,AP356,AT356,AX356)</x:f>
        <x:v>3098252</x:v>
      </x:c>
      <x:c r="J356" s="119" t="n">
        <x:f>ROUND(INDEX(X356:AY356,1,(D356-1)*4+2)*'难度参数'!$E$28*'章节与怪物'!$E$17,0)</x:f>
        <x:v>82756</x:v>
      </x:c>
      <x:c r="K356" s="119" t="n">
        <x:f>SUM(AA356,AE356,AI356,AM356,AQ356,AU356,AY356)</x:f>
        <x:v>6930</x:v>
      </x:c>
      <x:c r="L356" s="62" t="n">
        <x:f>H356*(ROUNDUP('难度参数'!$E$24/('难度参数'!$E$26*'难度参数'!$E$27),0)*'难度参数'!$E$26)/60</x:f>
        <x:v>3.4133333333333336</x:v>
      </x:c>
      <x:c r="M356" s="62" t="n">
        <x:f>L356+D356*('难度参数'!$E$49+'难度参数'!$E$50)/60</x:f>
        <x:v>4.58</x:v>
      </x:c>
      <x:c r="N356" s="119" t="n">
        <x:f>ROUNDDOWN(('经济参数'!$E$20+A356*'经济参数'!$E$21)*G356,0)</x:f>
        <x:v>7180</x:v>
      </x:c>
      <x:c r="O356" s="119" t="n">
        <x:f>ROUNDDOWN(MIN('经济参数'!$E$24,'经济参数'!$E$22+A356*'经济参数'!$E$23)*G356,0)</x:f>
        <x:v>0</x:v>
      </x:c>
      <x:c r="P356" s="119" t="n">
        <x:f>ROUNDDOWN((IF(A356&gt;='材料与任务'!$E$31,'材料与任务'!$E$32,IF(A356&gt;='材料与任务'!$E$25,'材料与任务'!$E$26,IF(A356&gt;='材料与任务'!$E$19,'材料与任务'!$E$20,IF(A356&gt;='材料与任务'!$E$13,'材料与任务'!$E$14,'材料与任务'!$E$8)))))*G356,0)</x:f>
        <x:v>6</x:v>
      </x:c>
      <x:c r="Q356" s="119" t="n">
        <x:f>ROUNDDOWN((IF(A356&gt;='材料与任务'!$E$31,'材料与任务'!$E$33,IF(A356&gt;='材料与任务'!$E$25,'材料与任务'!$E$27,IF(A356&gt;='材料与任务'!$E$19,'材料与任务'!$E$21,IF(A356&gt;='材料与任务'!$E$13,'材料与任务'!$E$15,'材料与任务'!$E$9)))))*G356,0)</x:f>
        <x:v>3</x:v>
      </x:c>
      <x:c r="R356" s="110" t="n">
        <x:f>'装备掉落'!$B$38</x:f>
        <x:v>0.6872058758851213</x:v>
      </x:c>
      <x:c r="S356" s="119" t="n">
        <x:f>MAX(IF(VLOOKUP(A356,'装备掉落'!$A$29:$H$34,2,TRUE)&gt;0,1,0),IF(VLOOKUP(A356,'装备掉落'!$A$29:$H$34,3,TRUE)&gt;0,2,0),IF(VLOOKUP(A356,'装备掉落'!$A$29:$H$34,4,TRUE)&gt;0,3,0),IF(VLOOKUP(A356,'装备掉落'!$A$29:$H$34,5,TRUE)&gt;0,4,0),IF(VLOOKUP(A356,'装备掉落'!$A$29:$H$34,6,TRUE)&gt;0,5,0),IF(VLOOKUP(A356,'装备掉落'!$A$29:$H$34,7,TRUE)&gt;0,6,0),IF(VLOOKUP(A356,'装备掉落'!$A$29:$H$34,8,TRUE)&gt;0,7,0))</x:f>
        <x:v>7</x:v>
      </x:c>
      <x:c r="T356" s="119" t="n">
        <x:f>MIN(7,S356+'经济参数'!$E$70)</x:f>
        <x:v>7</x:v>
      </x:c>
      <x:c r="U356" s="119" t="n">
        <x:f>MIN(7,S356+'经济参数'!$E$71)</x:f>
        <x:v>7</x:v>
      </x:c>
      <x:c r="V356" s="119" t="n">
        <x:f>IF(H356&gt;=('难度参数'!$E$52),1,0)+IF(H356&gt;=('难度参数'!$E$52+'难度参数'!$E$53),1,0)+IF(H356&gt;=('难度参数'!$E$52+'难度参数'!$E$53+'难度参数'!$E$54),1,0)+IF(H356&gt;=('难度参数'!$E$52+'难度参数'!$E$53+'难度参数'!$E$54+'难度参数'!$E$55),1,0)+IF(H356&gt;=('难度参数'!$E$52+'难度参数'!$E$53+'难度参数'!$E$54+'难度参数'!$E$55+'难度参数'!$E$56),1,0)+IF(H356&gt;=('难度参数'!$E$52+'难度参数'!$E$53+'难度参数'!$E$54+'难度参数'!$E$55+'难度参数'!$E$56+'难度参数'!$E$57),1,0)</x:f>
        <x:v>6</x:v>
      </x:c>
      <x:c r="W356" s="62" t="str">
        <x:f>IF(L356&gt;'难度参数'!$E$51,"仅出怪已超目标","还需实测")</x:f>
        <x:v>仅出怪已超目标</x:v>
      </x:c>
      <x:c r="X356" s="119" t="n">
        <x:f>IF(1&gt;D356,0,MAX(2,MIN('难度参数'!$E$12,ROUND(('难度参数'!$E$18*POWER(A356,'难度参数'!$E$19)/D356*(0.85+0.3*(1-1)/MAX(1,D356-1))),0)+F356)))</x:f>
        <x:v>31</x:v>
      </x:c>
      <x:c r="Y356" s="119" t="n">
        <x:f>IF(1&gt;D356,0,ROUND(('难度参数'!$E$13*POWER(A356,'难度参数'!$E$20)*MIN('难度参数'!$E$23,1+MAX(0,A356-'难度参数'!$E$21)*'难度参数'!$E$22))*(36+1*7)/(36+7*(D356+1)/2)*E356,0))</x:f>
        <x:v>6157</x:v>
      </x:c>
      <x:c r="Z356" s="119" t="n">
        <x:f>IF(X356=0,0,(X356-IF(1=D356,1,0))*ROUND(Y356*VLOOKUP(INDEX('章节与怪物'!$E$31:$K$37,B356,1),'章节与怪物'!$A$41:$F$44,2,FALSE),0)+IF(1=D356,ROUND(Y356*'难度参数'!$E$28*'章节与怪物'!$E$17,0),0))</x:f>
        <x:v>190867</x:v>
      </x:c>
      <x:c r="AA356" s="119" t="n">
        <x:f>IF(X356=0,0,(X356-IF(1=D356,1,0))*VLOOKUP(INDEX('章节与怪物'!$E$31:$K$37,B356,1),'章节与怪物'!$A$41:$F$44,4,FALSE)+IF(1=D356,'难度参数'!$E$30,0))</x:f>
        <x:v>558</x:v>
      </x:c>
      <x:c r="AB356" s="119" t="n">
        <x:f>IF(2&gt;D356,0,MAX(2,MIN('难度参数'!$E$12,ROUND(('难度参数'!$E$18*POWER(A356,'难度参数'!$E$19)/D356*(0.85+0.3*(2-1)/MAX(1,D356-1))),0)+F356)))</x:f>
        <x:v>33</x:v>
      </x:c>
      <x:c r="AC356" s="119" t="n">
        <x:f>IF(2&gt;D356,0,ROUND(('难度参数'!$E$13*POWER(A356,'难度参数'!$E$20)*MIN('难度参数'!$E$23,1+MAX(0,A356-'难度参数'!$E$21)*'难度参数'!$E$22))*(36+2*7)/(36+7*(D356+1)/2)*E356,0))</x:f>
        <x:v>7159</x:v>
      </x:c>
      <x:c r="AD356" s="119" t="n">
        <x:f>IF(AB356=0,0,(AB356-IF(2=D356,1,0))*ROUND(AC356*VLOOKUP(INDEX('章节与怪物'!$E$31:$K$37,B356,2),'章节与怪物'!$A$41:$F$44,2,FALSE),0)+IF(2=D356,ROUND(AC356*'难度参数'!$E$28*'章节与怪物'!$E$17,0),0))</x:f>
        <x:v>170082</x:v>
      </x:c>
      <x:c r="AE356" s="119" t="n">
        <x:f>IF(AB356=0,0,(AB356-IF(2=D356,1,0))*VLOOKUP(INDEX('章节与怪物'!$E$31:$K$37,B356,2),'章节与怪物'!$A$41:$F$44,4,FALSE)+IF(2=D356,'难度参数'!$E$30,0))</x:f>
        <x:v>660</x:v>
      </x:c>
      <x:c r="AF356" s="119" t="n">
        <x:f>IF(3&gt;D356,0,MAX(2,MIN('难度参数'!$E$12,ROUND(('难度参数'!$E$18*POWER(A356,'难度参数'!$E$19)/D356*(0.85+0.3*(3-1)/MAX(1,D356-1))),0)+F356)))</x:f>
        <x:v>35</x:v>
      </x:c>
      <x:c r="AG356" s="119" t="n">
        <x:f>IF(3&gt;D356,0,ROUND(('难度参数'!$E$13*POWER(A356,'难度参数'!$E$20)*MIN('难度参数'!$E$23,1+MAX(0,A356-'难度参数'!$E$21)*'难度参数'!$E$22))*(36+3*7)/(36+7*(D356+1)/2)*E356,0))</x:f>
        <x:v>8161</x:v>
      </x:c>
      <x:c r="AH356" s="119" t="n">
        <x:f>IF(AF356=0,0,(AF356-IF(3=D356,1,0))*ROUND(AG356*VLOOKUP(INDEX('章节与怪物'!$E$31:$K$37,B356,3),'章节与怪物'!$A$41:$F$44,2,FALSE),0)+IF(3=D356,ROUND(AG356*'难度参数'!$E$28*'章节与怪物'!$E$17,0),0))</x:f>
        <x:v>485590</x:v>
      </x:c>
      <x:c r="AI356" s="119" t="n">
        <x:f>IF(AF356=0,0,(AF356-IF(3=D356,1,0))*VLOOKUP(INDEX('章节与怪物'!$E$31:$K$37,B356,3),'章节与怪物'!$A$41:$F$44,4,FALSE)+IF(3=D356,'难度参数'!$E$30,0))</x:f>
        <x:v>980</x:v>
      </x:c>
      <x:c r="AJ356" s="119" t="n">
        <x:f>IF(4&gt;D356,0,MAX(2,MIN('难度参数'!$E$12,ROUND(('难度参数'!$E$18*POWER(A356,'难度参数'!$E$19)/D356*(0.85+0.3*(4-1)/MAX(1,D356-1))),0)+F356)))</x:f>
        <x:v>37</x:v>
      </x:c>
      <x:c r="AK356" s="119" t="n">
        <x:f>IF(4&gt;D356,0,ROUND(('难度参数'!$E$13*POWER(A356,'难度参数'!$E$20)*MIN('难度参数'!$E$23,1+MAX(0,A356-'难度参数'!$E$21)*'难度参数'!$E$22))*(36+4*7)/(36+7*(D356+1)/2)*E356,0))</x:f>
        <x:v>9164</x:v>
      </x:c>
      <x:c r="AL356" s="119" t="n">
        <x:f>IF(AJ356=0,0,(AJ356-IF(4=D356,1,0))*ROUND(AK356*VLOOKUP(INDEX('章节与怪物'!$E$31:$K$37,B356,4),'章节与怪物'!$A$41:$F$44,2,FALSE),0)+IF(4=D356,ROUND(AK356*'难度参数'!$E$28*'章节与怪物'!$E$17,0),0))</x:f>
        <x:v>457727</x:v>
      </x:c>
      <x:c r="AM356" s="119" t="n">
        <x:f>IF(AJ356=0,0,(AJ356-IF(4=D356,1,0))*VLOOKUP(INDEX('章节与怪物'!$E$31:$K$37,B356,4),'章节与怪物'!$A$41:$F$44,4,FALSE)+IF(4=D356,'难度参数'!$E$30,0))</x:f>
        <x:v>1258</x:v>
      </x:c>
      <x:c r="AN356" s="119" t="n">
        <x:f>IF(5&gt;D356,0,MAX(2,MIN('难度参数'!$E$12,ROUND(('难度参数'!$E$18*POWER(A356,'难度参数'!$E$19)/D356*(0.85+0.3*(5-1)/MAX(1,D356-1))),0)+F356)))</x:f>
        <x:v>38</x:v>
      </x:c>
      <x:c r="AO356" s="119" t="n">
        <x:f>IF(5&gt;D356,0,ROUND(('难度参数'!$E$13*POWER(A356,'难度参数'!$E$20)*MIN('难度参数'!$E$23,1+MAX(0,A356-'难度参数'!$E$21)*'难度参数'!$E$22))*(36+5*7)/(36+7*(D356+1)/2)*E356,0))</x:f>
        <x:v>10166</x:v>
      </x:c>
      <x:c r="AP356" s="119" t="n">
        <x:f>IF(AN356=0,0,(AN356-IF(5=D356,1,0))*ROUND(AO356*VLOOKUP(INDEX('章节与怪物'!$E$31:$K$37,B356,5),'章节与怪物'!$A$41:$F$44,2,FALSE),0)+IF(5=D356,ROUND(AO356*'难度参数'!$E$28*'章节与怪物'!$E$17,0),0))</x:f>
        <x:v>278160</x:v>
      </x:c>
      <x:c r="AQ356" s="119" t="n">
        <x:f>IF(AN356=0,0,(AN356-IF(5=D356,1,0))*VLOOKUP(INDEX('章节与怪物'!$E$31:$K$37,B356,5),'章节与怪物'!$A$41:$F$44,4,FALSE)+IF(5=D356,'难度参数'!$E$30,0))</x:f>
        <x:v>760</x:v>
      </x:c>
      <x:c r="AR356" s="119" t="n">
        <x:f>IF(6&gt;D356,0,MAX(2,MIN('难度参数'!$E$12,ROUND(('难度参数'!$E$18*POWER(A356,'难度参数'!$E$19)/D356*(0.85+0.3*(6-1)/MAX(1,D356-1))),0)+F356)))</x:f>
        <x:v>40</x:v>
      </x:c>
      <x:c r="AS356" s="119" t="n">
        <x:f>IF(6&gt;D356,0,ROUND(('难度参数'!$E$13*POWER(A356,'难度参数'!$E$20)*MIN('难度参数'!$E$23,1+MAX(0,A356-'难度参数'!$E$21)*'难度参数'!$E$22))*(36+6*7)/(36+7*(D356+1)/2)*E356,0))</x:f>
        <x:v>11168</x:v>
      </x:c>
      <x:c r="AT356" s="119" t="n">
        <x:f>IF(AR356=0,0,(AR356-IF(6=D356,1,0))*ROUND(AS356*VLOOKUP(INDEX('章节与怪物'!$E$31:$K$37,B356,6),'章节与怪物'!$A$41:$F$44,2,FALSE),0)+IF(6=D356,ROUND(AS356*'难度参数'!$E$28*'章节与怪物'!$E$17,0),0))</x:f>
        <x:v>759440</x:v>
      </x:c>
      <x:c r="AU356" s="119" t="n">
        <x:f>IF(AR356=0,0,(AR356-IF(6=D356,1,0))*VLOOKUP(INDEX('章节与怪物'!$E$31:$K$37,B356,6),'章节与怪物'!$A$41:$F$44,4,FALSE)+IF(6=D356,'难度参数'!$E$30,0))</x:f>
        <x:v>1120</x:v>
      </x:c>
      <x:c r="AV356" s="119" t="n">
        <x:f>IF(7&gt;D356,0,MAX(2,MIN('难度参数'!$E$12,ROUND(('难度参数'!$E$18*POWER(A356,'难度参数'!$E$19)/D356*(0.85+0.3*(7-1)/MAX(1,D356-1))),0)+F356)))</x:f>
        <x:v>42</x:v>
      </x:c>
      <x:c r="AW356" s="119" t="n">
        <x:f>IF(7&gt;D356,0,ROUND(('难度参数'!$E$13*POWER(A356,'难度参数'!$E$20)*MIN('难度参数'!$E$23,1+MAX(0,A356-'难度参数'!$E$21)*'难度参数'!$E$22))*(36+7*7)/(36+7*(D356+1)/2)*E356,0))</x:f>
        <x:v>12170</x:v>
      </x:c>
      <x:c r="AX356" s="119" t="n">
        <x:f>IF(AV356=0,0,(AV356-IF(7=D356,1,0))*ROUND(AW356*VLOOKUP(INDEX('章节与怪物'!$E$31:$K$37,B356,7),'章节与怪物'!$A$41:$F$44,2,FALSE),0)+IF(7=D356,ROUND(AW356*'难度参数'!$E$28*'章节与怪物'!$E$17,0),0))</x:f>
        <x:v>756386</x:v>
      </x:c>
      <x:c r="AY356" s="119" t="n">
        <x:f>IF(AV356=0,0,(AV356-IF(7=D356,1,0))*VLOOKUP(INDEX('章节与怪物'!$E$31:$K$37,B356,7),'章节与怪物'!$A$41:$F$44,4,FALSE)+IF(7=D356,'难度参数'!$E$30,0))</x:f>
        <x:v>1594</x:v>
      </x:c>
    </x:row>
    <x:row r="357" ht="23" customHeight="1">
      <x:c r="A357" s="119" t="n">
        <x:v>351</x:v>
      </x:c>
      <x:c r="B357" s="119" t="n">
        <x:f>MOD(INT((A357-1)/5),7)+1</x:f>
        <x:v>1</x:v>
      </x:c>
      <x:c r="C357" s="62" t="str">
        <x:f>INDEX('章节与怪物'!$B$31:$B$37,B357)</x:f>
        <x:v>冰雪荒原</x:v>
      </x:c>
      <x:c r="D357" s="119" t="n">
        <x:f>MIN('难度参数'!$E$8,MAX('难度参数'!$E$7,A357))</x:f>
        <x:v>7</x:v>
      </x:c>
      <x:c r="E357" s="106" t="n">
        <x:v>1</x:v>
      </x:c>
      <x:c r="F357" s="106" t="n">
        <x:v>0</x:v>
      </x:c>
      <x:c r="G357" s="106" t="n">
        <x:v>1</x:v>
      </x:c>
      <x:c r="H357" s="119" t="n">
        <x:f>SUM(X357,AB357,AF357,AJ357,AN357,AR357,AV357)</x:f>
        <x:v>257</x:v>
      </x:c>
      <x:c r="I357" s="119" t="n">
        <x:f>SUM(Z357,AD357,AH357,AL357,AP357,AT357,AX357)</x:f>
        <x:v>3003180</x:v>
      </x:c>
      <x:c r="J357" s="119" t="n">
        <x:f>ROUND(INDEX(X357:AY357,1,(D357-1)*4+2)*'难度参数'!$E$28*'章节与怪物'!$E$17,0)</x:f>
        <x:v>82926</x:v>
      </x:c>
      <x:c r="K357" s="119" t="n">
        <x:f>SUM(AA357,AE357,AI357,AM357,AQ357,AU357,AY357)</x:f>
        <x:v>6362</x:v>
      </x:c>
      <x:c r="L357" s="62" t="n">
        <x:f>H357*(ROUNDUP('难度参数'!$E$24/('难度参数'!$E$26*'难度参数'!$E$27),0)*'难度参数'!$E$26)/60</x:f>
        <x:v>3.426666666666667</x:v>
      </x:c>
      <x:c r="M357" s="62" t="n">
        <x:f>L357+D357*('难度参数'!$E$49+'难度参数'!$E$50)/60</x:f>
        <x:v>4.593333333333334</x:v>
      </x:c>
      <x:c r="N357" s="119" t="n">
        <x:f>ROUNDDOWN(('经济参数'!$E$20+A357*'经济参数'!$E$21)*G357,0)</x:f>
        <x:v>7200</x:v>
      </x:c>
      <x:c r="O357" s="119" t="n">
        <x:f>ROUNDDOWN(MIN('经济参数'!$E$24,'经济参数'!$E$22+A357*'经济参数'!$E$23)*G357,0)</x:f>
        <x:v>0</x:v>
      </x:c>
      <x:c r="P357" s="119" t="n">
        <x:f>ROUNDDOWN((IF(A357&gt;='材料与任务'!$E$31,'材料与任务'!$E$32,IF(A357&gt;='材料与任务'!$E$25,'材料与任务'!$E$26,IF(A357&gt;='材料与任务'!$E$19,'材料与任务'!$E$20,IF(A357&gt;='材料与任务'!$E$13,'材料与任务'!$E$14,'材料与任务'!$E$8)))))*G357,0)</x:f>
        <x:v>6</x:v>
      </x:c>
      <x:c r="Q357" s="119" t="n">
        <x:f>ROUNDDOWN((IF(A357&gt;='材料与任务'!$E$31,'材料与任务'!$E$33,IF(A357&gt;='材料与任务'!$E$25,'材料与任务'!$E$27,IF(A357&gt;='材料与任务'!$E$19,'材料与任务'!$E$21,IF(A357&gt;='材料与任务'!$E$13,'材料与任务'!$E$15,'材料与任务'!$E$9)))))*G357,0)</x:f>
        <x:v>3</x:v>
      </x:c>
      <x:c r="R357" s="110" t="n">
        <x:f>'装备掉落'!$B$38</x:f>
        <x:v>0.6872058758851213</x:v>
      </x:c>
      <x:c r="S357" s="119" t="n">
        <x:f>MAX(IF(VLOOKUP(A357,'装备掉落'!$A$29:$H$34,2,TRUE)&gt;0,1,0),IF(VLOOKUP(A357,'装备掉落'!$A$29:$H$34,3,TRUE)&gt;0,2,0),IF(VLOOKUP(A357,'装备掉落'!$A$29:$H$34,4,TRUE)&gt;0,3,0),IF(VLOOKUP(A357,'装备掉落'!$A$29:$H$34,5,TRUE)&gt;0,4,0),IF(VLOOKUP(A357,'装备掉落'!$A$29:$H$34,6,TRUE)&gt;0,5,0),IF(VLOOKUP(A357,'装备掉落'!$A$29:$H$34,7,TRUE)&gt;0,6,0),IF(VLOOKUP(A357,'装备掉落'!$A$29:$H$34,8,TRUE)&gt;0,7,0))</x:f>
        <x:v>7</x:v>
      </x:c>
      <x:c r="T357" s="119" t="n">
        <x:f>MIN(7,S357+'经济参数'!$E$70)</x:f>
        <x:v>7</x:v>
      </x:c>
      <x:c r="U357" s="119" t="n">
        <x:f>MIN(7,S357+'经济参数'!$E$71)</x:f>
        <x:v>7</x:v>
      </x:c>
      <x:c r="V357" s="119" t="n">
        <x:f>IF(H357&gt;=('难度参数'!$E$52),1,0)+IF(H357&gt;=('难度参数'!$E$52+'难度参数'!$E$53),1,0)+IF(H357&gt;=('难度参数'!$E$52+'难度参数'!$E$53+'难度参数'!$E$54),1,0)+IF(H357&gt;=('难度参数'!$E$52+'难度参数'!$E$53+'难度参数'!$E$54+'难度参数'!$E$55),1,0)+IF(H357&gt;=('难度参数'!$E$52+'难度参数'!$E$53+'难度参数'!$E$54+'难度参数'!$E$55+'难度参数'!$E$56),1,0)+IF(H357&gt;=('难度参数'!$E$52+'难度参数'!$E$53+'难度参数'!$E$54+'难度参数'!$E$55+'难度参数'!$E$56+'难度参数'!$E$57),1,0)</x:f>
        <x:v>6</x:v>
      </x:c>
      <x:c r="W357" s="62" t="str">
        <x:f>IF(L357&gt;'难度参数'!$E$51,"仅出怪已超目标","还需实测")</x:f>
        <x:v>仅出怪已超目标</x:v>
      </x:c>
      <x:c r="X357" s="119" t="n">
        <x:f>IF(1&gt;D357,0,MAX(2,MIN('难度参数'!$E$12,ROUND(('难度参数'!$E$18*POWER(A357,'难度参数'!$E$19)/D357*(0.85+0.3*(1-1)/MAX(1,D357-1))),0)+F357)))</x:f>
        <x:v>31</x:v>
      </x:c>
      <x:c r="Y357" s="119" t="n">
        <x:f>IF(1&gt;D357,0,ROUND(('难度参数'!$E$13*POWER(A357,'难度参数'!$E$20)*MIN('难度参数'!$E$23,1+MAX(0,A357-'难度参数'!$E$21)*'难度参数'!$E$22))*(36+1*7)/(36+7*(D357+1)/2)*E357,0))</x:f>
        <x:v>6169</x:v>
      </x:c>
      <x:c r="Z357" s="119" t="n">
        <x:f>IF(X357=0,0,(X357-IF(1=D357,1,0))*ROUND(Y357*VLOOKUP(INDEX('章节与怪物'!$E$31:$K$37,B357,1),'章节与怪物'!$A$41:$F$44,2,FALSE),0)+IF(1=D357,ROUND(Y357*'难度参数'!$E$28*'章节与怪物'!$E$17,0),0))</x:f>
        <x:v>191239</x:v>
      </x:c>
      <x:c r="AA357" s="119" t="n">
        <x:f>IF(X357=0,0,(X357-IF(1=D357,1,0))*VLOOKUP(INDEX('章节与怪物'!$E$31:$K$37,B357,1),'章节与怪物'!$A$41:$F$44,4,FALSE)+IF(1=D357,'难度参数'!$E$30,0))</x:f>
        <x:v>558</x:v>
      </x:c>
      <x:c r="AB357" s="119" t="n">
        <x:f>IF(2&gt;D357,0,MAX(2,MIN('难度参数'!$E$12,ROUND(('难度参数'!$E$18*POWER(A357,'难度参数'!$E$19)/D357*(0.85+0.3*(2-1)/MAX(1,D357-1))),0)+F357)))</x:f>
        <x:v>33</x:v>
      </x:c>
      <x:c r="AC357" s="119" t="n">
        <x:f>IF(2&gt;D357,0,ROUND(('难度参数'!$E$13*POWER(A357,'难度参数'!$E$20)*MIN('难度参数'!$E$23,1+MAX(0,A357-'难度参数'!$E$21)*'难度参数'!$E$22))*(36+2*7)/(36+7*(D357+1)/2)*E357,0))</x:f>
        <x:v>7174</x:v>
      </x:c>
      <x:c r="AD357" s="119" t="n">
        <x:f>IF(AB357=0,0,(AB357-IF(2=D357,1,0))*ROUND(AC357*VLOOKUP(INDEX('章节与怪物'!$E$31:$K$37,B357,2),'章节与怪物'!$A$41:$F$44,2,FALSE),0)+IF(2=D357,ROUND(AC357*'难度参数'!$E$28*'章节与怪物'!$E$17,0),0))</x:f>
        <x:v>236742</x:v>
      </x:c>
      <x:c r="AE357" s="119" t="n">
        <x:f>IF(AB357=0,0,(AB357-IF(2=D357,1,0))*VLOOKUP(INDEX('章节与怪物'!$E$31:$K$37,B357,2),'章节与怪物'!$A$41:$F$44,4,FALSE)+IF(2=D357,'难度参数'!$E$30,0))</x:f>
        <x:v>594</x:v>
      </x:c>
      <x:c r="AF357" s="119" t="n">
        <x:f>IF(3&gt;D357,0,MAX(2,MIN('难度参数'!$E$12,ROUND(('难度参数'!$E$18*POWER(A357,'难度参数'!$E$19)/D357*(0.85+0.3*(3-1)/MAX(1,D357-1))),0)+F357)))</x:f>
        <x:v>35</x:v>
      </x:c>
      <x:c r="AG357" s="119" t="n">
        <x:f>IF(3&gt;D357,0,ROUND(('难度参数'!$E$13*POWER(A357,'难度参数'!$E$20)*MIN('难度参数'!$E$23,1+MAX(0,A357-'难度参数'!$E$21)*'难度参数'!$E$22))*(36+3*7)/(36+7*(D357+1)/2)*E357,0))</x:f>
        <x:v>8178</x:v>
      </x:c>
      <x:c r="AH357" s="119" t="n">
        <x:f>IF(AF357=0,0,(AF357-IF(3=D357,1,0))*ROUND(AG357*VLOOKUP(INDEX('章节与怪物'!$E$31:$K$37,B357,3),'章节与怪物'!$A$41:$F$44,2,FALSE),0)+IF(3=D357,ROUND(AG357*'难度参数'!$E$28*'章节与怪物'!$E$17,0),0))</x:f>
        <x:v>206080</x:v>
      </x:c>
      <x:c r="AI357" s="119" t="n">
        <x:f>IF(AF357=0,0,(AF357-IF(3=D357,1,0))*VLOOKUP(INDEX('章节与怪物'!$E$31:$K$37,B357,3),'章节与怪物'!$A$41:$F$44,4,FALSE)+IF(3=D357,'难度参数'!$E$30,0))</x:f>
        <x:v>700</x:v>
      </x:c>
      <x:c r="AJ357" s="119" t="n">
        <x:f>IF(4&gt;D357,0,MAX(2,MIN('难度参数'!$E$12,ROUND(('难度参数'!$E$18*POWER(A357,'难度参数'!$E$19)/D357*(0.85+0.3*(4-1)/MAX(1,D357-1))),0)+F357)))</x:f>
        <x:v>37</x:v>
      </x:c>
      <x:c r="AK357" s="119" t="n">
        <x:f>IF(4&gt;D357,0,ROUND(('难度参数'!$E$13*POWER(A357,'难度参数'!$E$20)*MIN('难度参数'!$E$23,1+MAX(0,A357-'难度参数'!$E$21)*'难度参数'!$E$22))*(36+4*7)/(36+7*(D357+1)/2)*E357,0))</x:f>
        <x:v>9182</x:v>
      </x:c>
      <x:c r="AL357" s="119" t="n">
        <x:f>IF(AJ357=0,0,(AJ357-IF(4=D357,1,0))*ROUND(AK357*VLOOKUP(INDEX('章节与怪物'!$E$31:$K$37,B357,4),'章节与怪物'!$A$41:$F$44,2,FALSE),0)+IF(4=D357,ROUND(AK357*'难度参数'!$E$28*'章节与怪物'!$E$17,0),0))</x:f>
        <x:v>577533</x:v>
      </x:c>
      <x:c r="AM357" s="119" t="n">
        <x:f>IF(AJ357=0,0,(AJ357-IF(4=D357,1,0))*VLOOKUP(INDEX('章节与怪物'!$E$31:$K$37,B357,4),'章节与怪物'!$A$41:$F$44,4,FALSE)+IF(4=D357,'难度参数'!$E$30,0))</x:f>
        <x:v>1036</x:v>
      </x:c>
      <x:c r="AN357" s="119" t="n">
        <x:f>IF(5&gt;D357,0,MAX(2,MIN('难度参数'!$E$12,ROUND(('难度参数'!$E$18*POWER(A357,'难度参数'!$E$19)/D357*(0.85+0.3*(5-1)/MAX(1,D357-1))),0)+F357)))</x:f>
        <x:v>39</x:v>
      </x:c>
      <x:c r="AO357" s="119" t="n">
        <x:f>IF(5&gt;D357,0,ROUND(('难度参数'!$E$13*POWER(A357,'难度参数'!$E$20)*MIN('难度参数'!$E$23,1+MAX(0,A357-'难度参数'!$E$21)*'难度参数'!$E$22))*(36+5*7)/(36+7*(D357+1)/2)*E357,0))</x:f>
        <x:v>10187</x:v>
      </x:c>
      <x:c r="AP357" s="119" t="n">
        <x:f>IF(AN357=0,0,(AN357-IF(5=D357,1,0))*ROUND(AO357*VLOOKUP(INDEX('章节与怪物'!$E$31:$K$37,B357,5),'章节与怪物'!$A$41:$F$44,2,FALSE),0)+IF(5=D357,ROUND(AO357*'难度参数'!$E$28*'章节与怪物'!$E$17,0),0))</x:f>
        <x:v>536328</x:v>
      </x:c>
      <x:c r="AQ357" s="119" t="n">
        <x:f>IF(AN357=0,0,(AN357-IF(5=D357,1,0))*VLOOKUP(INDEX('章节与怪物'!$E$31:$K$37,B357,5),'章节与怪物'!$A$41:$F$44,4,FALSE)+IF(5=D357,'难度参数'!$E$30,0))</x:f>
        <x:v>1326</x:v>
      </x:c>
      <x:c r="AR357" s="119" t="n">
        <x:f>IF(6&gt;D357,0,MAX(2,MIN('难度参数'!$E$12,ROUND(('难度参数'!$E$18*POWER(A357,'难度参数'!$E$19)/D357*(0.85+0.3*(6-1)/MAX(1,D357-1))),0)+F357)))</x:f>
        <x:v>40</x:v>
      </x:c>
      <x:c r="AS357" s="119" t="n">
        <x:f>IF(6&gt;D357,0,ROUND(('难度参数'!$E$13*POWER(A357,'难度参数'!$E$20)*MIN('难度参数'!$E$23,1+MAX(0,A357-'难度参数'!$E$21)*'难度参数'!$E$22))*(36+6*7)/(36+7*(D357+1)/2)*E357,0))</x:f>
        <x:v>11191</x:v>
      </x:c>
      <x:c r="AT357" s="119" t="n">
        <x:f>IF(AR357=0,0,(AR357-IF(6=D357,1,0))*ROUND(AS357*VLOOKUP(INDEX('章节与怪物'!$E$31:$K$37,B357,6),'章节与怪物'!$A$41:$F$44,2,FALSE),0)+IF(6=D357,ROUND(AS357*'难度参数'!$E$28*'章节与怪物'!$E$17,0),0))</x:f>
        <x:v>322320</x:v>
      </x:c>
      <x:c r="AU357" s="119" t="n">
        <x:f>IF(AR357=0,0,(AR357-IF(6=D357,1,0))*VLOOKUP(INDEX('章节与怪物'!$E$31:$K$37,B357,6),'章节与怪物'!$A$41:$F$44,4,FALSE)+IF(6=D357,'难度参数'!$E$30,0))</x:f>
        <x:v>800</x:v>
      </x:c>
      <x:c r="AV357" s="119" t="n">
        <x:f>IF(7&gt;D357,0,MAX(2,MIN('难度参数'!$E$12,ROUND(('难度参数'!$E$18*POWER(A357,'难度参数'!$E$19)/D357*(0.85+0.3*(7-1)/MAX(1,D357-1))),0)+F357)))</x:f>
        <x:v>42</x:v>
      </x:c>
      <x:c r="AW357" s="119" t="n">
        <x:f>IF(7&gt;D357,0,ROUND(('难度参数'!$E$13*POWER(A357,'难度参数'!$E$20)*MIN('难度参数'!$E$23,1+MAX(0,A357-'难度参数'!$E$21)*'难度参数'!$E$22))*(36+7*7)/(36+7*(D357+1)/2)*E357,0))</x:f>
        <x:v>12195</x:v>
      </x:c>
      <x:c r="AX357" s="119" t="n">
        <x:f>IF(AV357=0,0,(AV357-IF(7=D357,1,0))*ROUND(AW357*VLOOKUP(INDEX('章节与怪物'!$E$31:$K$37,B357,7),'章节与怪物'!$A$41:$F$44,2,FALSE),0)+IF(7=D357,ROUND(AW357*'难度参数'!$E$28*'章节与怪物'!$E$17,0),0))</x:f>
        <x:v>932938</x:v>
      </x:c>
      <x:c r="AY357" s="119" t="n">
        <x:f>IF(AV357=0,0,(AV357-IF(7=D357,1,0))*VLOOKUP(INDEX('章节与怪物'!$E$31:$K$37,B357,7),'章节与怪物'!$A$41:$F$44,4,FALSE)+IF(7=D357,'难度参数'!$E$30,0))</x:f>
        <x:v>1348</x:v>
      </x:c>
    </x:row>
    <x:row r="358" ht="23" customHeight="1">
      <x:c r="A358" s="119" t="n">
        <x:v>352</x:v>
      </x:c>
      <x:c r="B358" s="119" t="n">
        <x:f>MOD(INT((A358-1)/5),7)+1</x:f>
        <x:v>1</x:v>
      </x:c>
      <x:c r="C358" s="62" t="str">
        <x:f>INDEX('章节与怪物'!$B$31:$B$37,B358)</x:f>
        <x:v>冰雪荒原</x:v>
      </x:c>
      <x:c r="D358" s="119" t="n">
        <x:f>MIN('难度参数'!$E$8,MAX('难度参数'!$E$7,A358))</x:f>
        <x:v>7</x:v>
      </x:c>
      <x:c r="E358" s="106" t="n">
        <x:v>1</x:v>
      </x:c>
      <x:c r="F358" s="106" t="n">
        <x:v>0</x:v>
      </x:c>
      <x:c r="G358" s="106" t="n">
        <x:v>1</x:v>
      </x:c>
      <x:c r="H358" s="119" t="n">
        <x:f>SUM(X358,AB358,AF358,AJ358,AN358,AR358,AV358)</x:f>
        <x:v>257</x:v>
      </x:c>
      <x:c r="I358" s="119" t="n">
        <x:f>SUM(Z358,AD358,AH358,AL358,AP358,AT358,AX358)</x:f>
        <x:v>3009349</x:v>
      </x:c>
      <x:c r="J358" s="119" t="n">
        <x:f>ROUND(INDEX(X358:AY358,1,(D358-1)*4+2)*'难度参数'!$E$28*'章节与怪物'!$E$17,0)</x:f>
        <x:v>83096</x:v>
      </x:c>
      <x:c r="K358" s="119" t="n">
        <x:f>SUM(AA358,AE358,AI358,AM358,AQ358,AU358,AY358)</x:f>
        <x:v>6362</x:v>
      </x:c>
      <x:c r="L358" s="62" t="n">
        <x:f>H358*(ROUNDUP('难度参数'!$E$24/('难度参数'!$E$26*'难度参数'!$E$27),0)*'难度参数'!$E$26)/60</x:f>
        <x:v>3.426666666666667</x:v>
      </x:c>
      <x:c r="M358" s="62" t="n">
        <x:f>L358+D358*('难度参数'!$E$49+'难度参数'!$E$50)/60</x:f>
        <x:v>4.593333333333334</x:v>
      </x:c>
      <x:c r="N358" s="119" t="n">
        <x:f>ROUNDDOWN(('经济参数'!$E$20+A358*'经济参数'!$E$21)*G358,0)</x:f>
        <x:v>7220</x:v>
      </x:c>
      <x:c r="O358" s="119" t="n">
        <x:f>ROUNDDOWN(MIN('经济参数'!$E$24,'经济参数'!$E$22+A358*'经济参数'!$E$23)*G358,0)</x:f>
        <x:v>0</x:v>
      </x:c>
      <x:c r="P358" s="119" t="n">
        <x:f>ROUNDDOWN((IF(A358&gt;='材料与任务'!$E$31,'材料与任务'!$E$32,IF(A358&gt;='材料与任务'!$E$25,'材料与任务'!$E$26,IF(A358&gt;='材料与任务'!$E$19,'材料与任务'!$E$20,IF(A358&gt;='材料与任务'!$E$13,'材料与任务'!$E$14,'材料与任务'!$E$8)))))*G358,0)</x:f>
        <x:v>6</x:v>
      </x:c>
      <x:c r="Q358" s="119" t="n">
        <x:f>ROUNDDOWN((IF(A358&gt;='材料与任务'!$E$31,'材料与任务'!$E$33,IF(A358&gt;='材料与任务'!$E$25,'材料与任务'!$E$27,IF(A358&gt;='材料与任务'!$E$19,'材料与任务'!$E$21,IF(A358&gt;='材料与任务'!$E$13,'材料与任务'!$E$15,'材料与任务'!$E$9)))))*G358,0)</x:f>
        <x:v>3</x:v>
      </x:c>
      <x:c r="R358" s="110" t="n">
        <x:f>'装备掉落'!$B$38</x:f>
        <x:v>0.6872058758851213</x:v>
      </x:c>
      <x:c r="S358" s="119" t="n">
        <x:f>MAX(IF(VLOOKUP(A358,'装备掉落'!$A$29:$H$34,2,TRUE)&gt;0,1,0),IF(VLOOKUP(A358,'装备掉落'!$A$29:$H$34,3,TRUE)&gt;0,2,0),IF(VLOOKUP(A358,'装备掉落'!$A$29:$H$34,4,TRUE)&gt;0,3,0),IF(VLOOKUP(A358,'装备掉落'!$A$29:$H$34,5,TRUE)&gt;0,4,0),IF(VLOOKUP(A358,'装备掉落'!$A$29:$H$34,6,TRUE)&gt;0,5,0),IF(VLOOKUP(A358,'装备掉落'!$A$29:$H$34,7,TRUE)&gt;0,6,0),IF(VLOOKUP(A358,'装备掉落'!$A$29:$H$34,8,TRUE)&gt;0,7,0))</x:f>
        <x:v>7</x:v>
      </x:c>
      <x:c r="T358" s="119" t="n">
        <x:f>MIN(7,S358+'经济参数'!$E$70)</x:f>
        <x:v>7</x:v>
      </x:c>
      <x:c r="U358" s="119" t="n">
        <x:f>MIN(7,S358+'经济参数'!$E$71)</x:f>
        <x:v>7</x:v>
      </x:c>
      <x:c r="V358" s="119" t="n">
        <x:f>IF(H358&gt;=('难度参数'!$E$52),1,0)+IF(H358&gt;=('难度参数'!$E$52+'难度参数'!$E$53),1,0)+IF(H358&gt;=('难度参数'!$E$52+'难度参数'!$E$53+'难度参数'!$E$54),1,0)+IF(H358&gt;=('难度参数'!$E$52+'难度参数'!$E$53+'难度参数'!$E$54+'难度参数'!$E$55),1,0)+IF(H358&gt;=('难度参数'!$E$52+'难度参数'!$E$53+'难度参数'!$E$54+'难度参数'!$E$55+'难度参数'!$E$56),1,0)+IF(H358&gt;=('难度参数'!$E$52+'难度参数'!$E$53+'难度参数'!$E$54+'难度参数'!$E$55+'难度参数'!$E$56+'难度参数'!$E$57),1,0)</x:f>
        <x:v>6</x:v>
      </x:c>
      <x:c r="W358" s="62" t="str">
        <x:f>IF(L358&gt;'难度参数'!$E$51,"仅出怪已超目标","还需实测")</x:f>
        <x:v>仅出怪已超目标</x:v>
      </x:c>
      <x:c r="X358" s="119" t="n">
        <x:f>IF(1&gt;D358,0,MAX(2,MIN('难度参数'!$E$12,ROUND(('难度参数'!$E$18*POWER(A358,'难度参数'!$E$19)/D358*(0.85+0.3*(1-1)/MAX(1,D358-1))),0)+F358)))</x:f>
        <x:v>31</x:v>
      </x:c>
      <x:c r="Y358" s="119" t="n">
        <x:f>IF(1&gt;D358,0,ROUND(('难度参数'!$E$13*POWER(A358,'难度参数'!$E$20)*MIN('难度参数'!$E$23,1+MAX(0,A358-'难度参数'!$E$21)*'难度参数'!$E$22))*(36+1*7)/(36+7*(D358+1)/2)*E358,0))</x:f>
        <x:v>6182</x:v>
      </x:c>
      <x:c r="Z358" s="119" t="n">
        <x:f>IF(X358=0,0,(X358-IF(1=D358,1,0))*ROUND(Y358*VLOOKUP(INDEX('章节与怪物'!$E$31:$K$37,B358,1),'章节与怪物'!$A$41:$F$44,2,FALSE),0)+IF(1=D358,ROUND(Y358*'难度参数'!$E$28*'章节与怪物'!$E$17,0),0))</x:f>
        <x:v>191642</x:v>
      </x:c>
      <x:c r="AA358" s="119" t="n">
        <x:f>IF(X358=0,0,(X358-IF(1=D358,1,0))*VLOOKUP(INDEX('章节与怪物'!$E$31:$K$37,B358,1),'章节与怪物'!$A$41:$F$44,4,FALSE)+IF(1=D358,'难度参数'!$E$30,0))</x:f>
        <x:v>558</x:v>
      </x:c>
      <x:c r="AB358" s="119" t="n">
        <x:f>IF(2&gt;D358,0,MAX(2,MIN('难度参数'!$E$12,ROUND(('难度参数'!$E$18*POWER(A358,'难度参数'!$E$19)/D358*(0.85+0.3*(2-1)/MAX(1,D358-1))),0)+F358)))</x:f>
        <x:v>33</x:v>
      </x:c>
      <x:c r="AC358" s="119" t="n">
        <x:f>IF(2&gt;D358,0,ROUND(('难度参数'!$E$13*POWER(A358,'难度参数'!$E$20)*MIN('难度参数'!$E$23,1+MAX(0,A358-'难度参数'!$E$21)*'难度参数'!$E$22))*(36+2*7)/(36+7*(D358+1)/2)*E358,0))</x:f>
        <x:v>7188</x:v>
      </x:c>
      <x:c r="AD358" s="119" t="n">
        <x:f>IF(AB358=0,0,(AB358-IF(2=D358,1,0))*ROUND(AC358*VLOOKUP(INDEX('章节与怪物'!$E$31:$K$37,B358,2),'章节与怪物'!$A$41:$F$44,2,FALSE),0)+IF(2=D358,ROUND(AC358*'难度参数'!$E$28*'章节与怪物'!$E$17,0),0))</x:f>
        <x:v>237204</x:v>
      </x:c>
      <x:c r="AE358" s="119" t="n">
        <x:f>IF(AB358=0,0,(AB358-IF(2=D358,1,0))*VLOOKUP(INDEX('章节与怪物'!$E$31:$K$37,B358,2),'章节与怪物'!$A$41:$F$44,4,FALSE)+IF(2=D358,'难度参数'!$E$30,0))</x:f>
        <x:v>594</x:v>
      </x:c>
      <x:c r="AF358" s="119" t="n">
        <x:f>IF(3&gt;D358,0,MAX(2,MIN('难度参数'!$E$12,ROUND(('难度参数'!$E$18*POWER(A358,'难度参数'!$E$19)/D358*(0.85+0.3*(3-1)/MAX(1,D358-1))),0)+F358)))</x:f>
        <x:v>35</x:v>
      </x:c>
      <x:c r="AG358" s="119" t="n">
        <x:f>IF(3&gt;D358,0,ROUND(('难度参数'!$E$13*POWER(A358,'难度参数'!$E$20)*MIN('难度参数'!$E$23,1+MAX(0,A358-'难度参数'!$E$21)*'难度参数'!$E$22))*(36+3*7)/(36+7*(D358+1)/2)*E358,0))</x:f>
        <x:v>8195</x:v>
      </x:c>
      <x:c r="AH358" s="119" t="n">
        <x:f>IF(AF358=0,0,(AF358-IF(3=D358,1,0))*ROUND(AG358*VLOOKUP(INDEX('章节与怪物'!$E$31:$K$37,B358,3),'章节与怪物'!$A$41:$F$44,2,FALSE),0)+IF(3=D358,ROUND(AG358*'难度参数'!$E$28*'章节与怪物'!$E$17,0),0))</x:f>
        <x:v>206500</x:v>
      </x:c>
      <x:c r="AI358" s="119" t="n">
        <x:f>IF(AF358=0,0,(AF358-IF(3=D358,1,0))*VLOOKUP(INDEX('章节与怪物'!$E$31:$K$37,B358,3),'章节与怪物'!$A$41:$F$44,4,FALSE)+IF(3=D358,'难度参数'!$E$30,0))</x:f>
        <x:v>700</x:v>
      </x:c>
      <x:c r="AJ358" s="119" t="n">
        <x:f>IF(4&gt;D358,0,MAX(2,MIN('难度参数'!$E$12,ROUND(('难度参数'!$E$18*POWER(A358,'难度参数'!$E$19)/D358*(0.85+0.3*(4-1)/MAX(1,D358-1))),0)+F358)))</x:f>
        <x:v>37</x:v>
      </x:c>
      <x:c r="AK358" s="119" t="n">
        <x:f>IF(4&gt;D358,0,ROUND(('难度参数'!$E$13*POWER(A358,'难度参数'!$E$20)*MIN('难度参数'!$E$23,1+MAX(0,A358-'难度参数'!$E$21)*'难度参数'!$E$22))*(36+4*7)/(36+7*(D358+1)/2)*E358,0))</x:f>
        <x:v>9201</x:v>
      </x:c>
      <x:c r="AL358" s="119" t="n">
        <x:f>IF(AJ358=0,0,(AJ358-IF(4=D358,1,0))*ROUND(AK358*VLOOKUP(INDEX('章节与怪物'!$E$31:$K$37,B358,4),'章节与怪物'!$A$41:$F$44,2,FALSE),0)+IF(4=D358,ROUND(AK358*'难度参数'!$E$28*'章节与怪物'!$E$17,0),0))</x:f>
        <x:v>578754</x:v>
      </x:c>
      <x:c r="AM358" s="119" t="n">
        <x:f>IF(AJ358=0,0,(AJ358-IF(4=D358,1,0))*VLOOKUP(INDEX('章节与怪物'!$E$31:$K$37,B358,4),'章节与怪物'!$A$41:$F$44,4,FALSE)+IF(4=D358,'难度参数'!$E$30,0))</x:f>
        <x:v>1036</x:v>
      </x:c>
      <x:c r="AN358" s="119" t="n">
        <x:f>IF(5&gt;D358,0,MAX(2,MIN('难度参数'!$E$12,ROUND(('难度参数'!$E$18*POWER(A358,'难度参数'!$E$19)/D358*(0.85+0.3*(5-1)/MAX(1,D358-1))),0)+F358)))</x:f>
        <x:v>39</x:v>
      </x:c>
      <x:c r="AO358" s="119" t="n">
        <x:f>IF(5&gt;D358,0,ROUND(('难度参数'!$E$13*POWER(A358,'难度参数'!$E$20)*MIN('难度参数'!$E$23,1+MAX(0,A358-'难度参数'!$E$21)*'难度参数'!$E$22))*(36+5*7)/(36+7*(D358+1)/2)*E358,0))</x:f>
        <x:v>10208</x:v>
      </x:c>
      <x:c r="AP358" s="119" t="n">
        <x:f>IF(AN358=0,0,(AN358-IF(5=D358,1,0))*ROUND(AO358*VLOOKUP(INDEX('章节与怪物'!$E$31:$K$37,B358,5),'章节与怪物'!$A$41:$F$44,2,FALSE),0)+IF(5=D358,ROUND(AO358*'难度参数'!$E$28*'章节与怪物'!$E$17,0),0))</x:f>
        <x:v>537459</x:v>
      </x:c>
      <x:c r="AQ358" s="119" t="n">
        <x:f>IF(AN358=0,0,(AN358-IF(5=D358,1,0))*VLOOKUP(INDEX('章节与怪物'!$E$31:$K$37,B358,5),'章节与怪物'!$A$41:$F$44,4,FALSE)+IF(5=D358,'难度参数'!$E$30,0))</x:f>
        <x:v>1326</x:v>
      </x:c>
      <x:c r="AR358" s="119" t="n">
        <x:f>IF(6&gt;D358,0,MAX(2,MIN('难度参数'!$E$12,ROUND(('难度参数'!$E$18*POWER(A358,'难度参数'!$E$19)/D358*(0.85+0.3*(6-1)/MAX(1,D358-1))),0)+F358)))</x:f>
        <x:v>40</x:v>
      </x:c>
      <x:c r="AS358" s="119" t="n">
        <x:f>IF(6&gt;D358,0,ROUND(('难度参数'!$E$13*POWER(A358,'难度参数'!$E$20)*MIN('难度参数'!$E$23,1+MAX(0,A358-'难度参数'!$E$21)*'难度参数'!$E$22))*(36+6*7)/(36+7*(D358+1)/2)*E358,0))</x:f>
        <x:v>11214</x:v>
      </x:c>
      <x:c r="AT358" s="119" t="n">
        <x:f>IF(AR358=0,0,(AR358-IF(6=D358,1,0))*ROUND(AS358*VLOOKUP(INDEX('章节与怪物'!$E$31:$K$37,B358,6),'章节与怪物'!$A$41:$F$44,2,FALSE),0)+IF(6=D358,ROUND(AS358*'难度参数'!$E$28*'章节与怪物'!$E$17,0),0))</x:f>
        <x:v>322960</x:v>
      </x:c>
      <x:c r="AU358" s="119" t="n">
        <x:f>IF(AR358=0,0,(AR358-IF(6=D358,1,0))*VLOOKUP(INDEX('章节与怪物'!$E$31:$K$37,B358,6),'章节与怪物'!$A$41:$F$44,4,FALSE)+IF(6=D358,'难度参数'!$E$30,0))</x:f>
        <x:v>800</x:v>
      </x:c>
      <x:c r="AV358" s="119" t="n">
        <x:f>IF(7&gt;D358,0,MAX(2,MIN('难度参数'!$E$12,ROUND(('难度参数'!$E$18*POWER(A358,'难度参数'!$E$19)/D358*(0.85+0.3*(7-1)/MAX(1,D358-1))),0)+F358)))</x:f>
        <x:v>42</x:v>
      </x:c>
      <x:c r="AW358" s="119" t="n">
        <x:f>IF(7&gt;D358,0,ROUND(('难度参数'!$E$13*POWER(A358,'难度参数'!$E$20)*MIN('难度参数'!$E$23,1+MAX(0,A358-'难度参数'!$E$21)*'难度参数'!$E$22))*(36+7*7)/(36+7*(D358+1)/2)*E358,0))</x:f>
        <x:v>12220</x:v>
      </x:c>
      <x:c r="AX358" s="119" t="n">
        <x:f>IF(AV358=0,0,(AV358-IF(7=D358,1,0))*ROUND(AW358*VLOOKUP(INDEX('章节与怪物'!$E$31:$K$37,B358,7),'章节与怪物'!$A$41:$F$44,2,FALSE),0)+IF(7=D358,ROUND(AW358*'难度参数'!$E$28*'章节与怪物'!$E$17,0),0))</x:f>
        <x:v>934830</x:v>
      </x:c>
      <x:c r="AY358" s="119" t="n">
        <x:f>IF(AV358=0,0,(AV358-IF(7=D358,1,0))*VLOOKUP(INDEX('章节与怪物'!$E$31:$K$37,B358,7),'章节与怪物'!$A$41:$F$44,4,FALSE)+IF(7=D358,'难度参数'!$E$30,0))</x:f>
        <x:v>1348</x:v>
      </x:c>
    </x:row>
    <x:row r="359" ht="23" customHeight="1">
      <x:c r="A359" s="119" t="n">
        <x:v>353</x:v>
      </x:c>
      <x:c r="B359" s="119" t="n">
        <x:f>MOD(INT((A359-1)/5),7)+1</x:f>
        <x:v>1</x:v>
      </x:c>
      <x:c r="C359" s="62" t="str">
        <x:f>INDEX('章节与怪物'!$B$31:$B$37,B359)</x:f>
        <x:v>冰雪荒原</x:v>
      </x:c>
      <x:c r="D359" s="119" t="n">
        <x:f>MIN('难度参数'!$E$8,MAX('难度参数'!$E$7,A359))</x:f>
        <x:v>7</x:v>
      </x:c>
      <x:c r="E359" s="106" t="n">
        <x:v>1</x:v>
      </x:c>
      <x:c r="F359" s="106" t="n">
        <x:v>0</x:v>
      </x:c>
      <x:c r="G359" s="106" t="n">
        <x:v>1</x:v>
      </x:c>
      <x:c r="H359" s="119" t="n">
        <x:f>SUM(X359,AB359,AF359,AJ359,AN359,AR359,AV359)</x:f>
        <x:v>257</x:v>
      </x:c>
      <x:c r="I359" s="119" t="n">
        <x:f>SUM(Z359,AD359,AH359,AL359,AP359,AT359,AX359)</x:f>
        <x:v>3015552</x:v>
      </x:c>
      <x:c r="J359" s="119" t="n">
        <x:f>ROUND(INDEX(X359:AY359,1,(D359-1)*4+2)*'难度参数'!$E$28*'章节与怪物'!$E$17,0)</x:f>
        <x:v>83266</x:v>
      </x:c>
      <x:c r="K359" s="119" t="n">
        <x:f>SUM(AA359,AE359,AI359,AM359,AQ359,AU359,AY359)</x:f>
        <x:v>6362</x:v>
      </x:c>
      <x:c r="L359" s="62" t="n">
        <x:f>H359*(ROUNDUP('难度参数'!$E$24/('难度参数'!$E$26*'难度参数'!$E$27),0)*'难度参数'!$E$26)/60</x:f>
        <x:v>3.426666666666667</x:v>
      </x:c>
      <x:c r="M359" s="62" t="n">
        <x:f>L359+D359*('难度参数'!$E$49+'难度参数'!$E$50)/60</x:f>
        <x:v>4.593333333333334</x:v>
      </x:c>
      <x:c r="N359" s="119" t="n">
        <x:f>ROUNDDOWN(('经济参数'!$E$20+A359*'经济参数'!$E$21)*G359,0)</x:f>
        <x:v>7240</x:v>
      </x:c>
      <x:c r="O359" s="119" t="n">
        <x:f>ROUNDDOWN(MIN('经济参数'!$E$24,'经济参数'!$E$22+A359*'经济参数'!$E$23)*G359,0)</x:f>
        <x:v>0</x:v>
      </x:c>
      <x:c r="P359" s="119" t="n">
        <x:f>ROUNDDOWN((IF(A359&gt;='材料与任务'!$E$31,'材料与任务'!$E$32,IF(A359&gt;='材料与任务'!$E$25,'材料与任务'!$E$26,IF(A359&gt;='材料与任务'!$E$19,'材料与任务'!$E$20,IF(A359&gt;='材料与任务'!$E$13,'材料与任务'!$E$14,'材料与任务'!$E$8)))))*G359,0)</x:f>
        <x:v>6</x:v>
      </x:c>
      <x:c r="Q359" s="119" t="n">
        <x:f>ROUNDDOWN((IF(A359&gt;='材料与任务'!$E$31,'材料与任务'!$E$33,IF(A359&gt;='材料与任务'!$E$25,'材料与任务'!$E$27,IF(A359&gt;='材料与任务'!$E$19,'材料与任务'!$E$21,IF(A359&gt;='材料与任务'!$E$13,'材料与任务'!$E$15,'材料与任务'!$E$9)))))*G359,0)</x:f>
        <x:v>3</x:v>
      </x:c>
      <x:c r="R359" s="110" t="n">
        <x:f>'装备掉落'!$B$38</x:f>
        <x:v>0.6872058758851213</x:v>
      </x:c>
      <x:c r="S359" s="119" t="n">
        <x:f>MAX(IF(VLOOKUP(A359,'装备掉落'!$A$29:$H$34,2,TRUE)&gt;0,1,0),IF(VLOOKUP(A359,'装备掉落'!$A$29:$H$34,3,TRUE)&gt;0,2,0),IF(VLOOKUP(A359,'装备掉落'!$A$29:$H$34,4,TRUE)&gt;0,3,0),IF(VLOOKUP(A359,'装备掉落'!$A$29:$H$34,5,TRUE)&gt;0,4,0),IF(VLOOKUP(A359,'装备掉落'!$A$29:$H$34,6,TRUE)&gt;0,5,0),IF(VLOOKUP(A359,'装备掉落'!$A$29:$H$34,7,TRUE)&gt;0,6,0),IF(VLOOKUP(A359,'装备掉落'!$A$29:$H$34,8,TRUE)&gt;0,7,0))</x:f>
        <x:v>7</x:v>
      </x:c>
      <x:c r="T359" s="119" t="n">
        <x:f>MIN(7,S359+'经济参数'!$E$70)</x:f>
        <x:v>7</x:v>
      </x:c>
      <x:c r="U359" s="119" t="n">
        <x:f>MIN(7,S359+'经济参数'!$E$71)</x:f>
        <x:v>7</x:v>
      </x:c>
      <x:c r="V359" s="119" t="n">
        <x:f>IF(H359&gt;=('难度参数'!$E$52),1,0)+IF(H359&gt;=('难度参数'!$E$52+'难度参数'!$E$53),1,0)+IF(H359&gt;=('难度参数'!$E$52+'难度参数'!$E$53+'难度参数'!$E$54),1,0)+IF(H359&gt;=('难度参数'!$E$52+'难度参数'!$E$53+'难度参数'!$E$54+'难度参数'!$E$55),1,0)+IF(H359&gt;=('难度参数'!$E$52+'难度参数'!$E$53+'难度参数'!$E$54+'难度参数'!$E$55+'难度参数'!$E$56),1,0)+IF(H359&gt;=('难度参数'!$E$52+'难度参数'!$E$53+'难度参数'!$E$54+'难度参数'!$E$55+'难度参数'!$E$56+'难度参数'!$E$57),1,0)</x:f>
        <x:v>6</x:v>
      </x:c>
      <x:c r="W359" s="62" t="str">
        <x:f>IF(L359&gt;'难度参数'!$E$51,"仅出怪已超目标","还需实测")</x:f>
        <x:v>仅出怪已超目标</x:v>
      </x:c>
      <x:c r="X359" s="119" t="n">
        <x:f>IF(1&gt;D359,0,MAX(2,MIN('难度参数'!$E$12,ROUND(('难度参数'!$E$18*POWER(A359,'难度参数'!$E$19)/D359*(0.85+0.3*(1-1)/MAX(1,D359-1))),0)+F359)))</x:f>
        <x:v>31</x:v>
      </x:c>
      <x:c r="Y359" s="119" t="n">
        <x:f>IF(1&gt;D359,0,ROUND(('难度参数'!$E$13*POWER(A359,'难度参数'!$E$20)*MIN('难度参数'!$E$23,1+MAX(0,A359-'难度参数'!$E$21)*'难度参数'!$E$22))*(36+1*7)/(36+7*(D359+1)/2)*E359,0))</x:f>
        <x:v>6195</x:v>
      </x:c>
      <x:c r="Z359" s="119" t="n">
        <x:f>IF(X359=0,0,(X359-IF(1=D359,1,0))*ROUND(Y359*VLOOKUP(INDEX('章节与怪物'!$E$31:$K$37,B359,1),'章节与怪物'!$A$41:$F$44,2,FALSE),0)+IF(1=D359,ROUND(Y359*'难度参数'!$E$28*'章节与怪物'!$E$17,0),0))</x:f>
        <x:v>192045</x:v>
      </x:c>
      <x:c r="AA359" s="119" t="n">
        <x:f>IF(X359=0,0,(X359-IF(1=D359,1,0))*VLOOKUP(INDEX('章节与怪物'!$E$31:$K$37,B359,1),'章节与怪物'!$A$41:$F$44,4,FALSE)+IF(1=D359,'难度参数'!$E$30,0))</x:f>
        <x:v>558</x:v>
      </x:c>
      <x:c r="AB359" s="119" t="n">
        <x:f>IF(2&gt;D359,0,MAX(2,MIN('难度参数'!$E$12,ROUND(('难度参数'!$E$18*POWER(A359,'难度参数'!$E$19)/D359*(0.85+0.3*(2-1)/MAX(1,D359-1))),0)+F359)))</x:f>
        <x:v>33</x:v>
      </x:c>
      <x:c r="AC359" s="119" t="n">
        <x:f>IF(2&gt;D359,0,ROUND(('难度参数'!$E$13*POWER(A359,'难度参数'!$E$20)*MIN('难度参数'!$E$23,1+MAX(0,A359-'难度参数'!$E$21)*'难度参数'!$E$22))*(36+2*7)/(36+7*(D359+1)/2)*E359,0))</x:f>
        <x:v>7203</x:v>
      </x:c>
      <x:c r="AD359" s="119" t="n">
        <x:f>IF(AB359=0,0,(AB359-IF(2=D359,1,0))*ROUND(AC359*VLOOKUP(INDEX('章节与怪物'!$E$31:$K$37,B359,2),'章节与怪物'!$A$41:$F$44,2,FALSE),0)+IF(2=D359,ROUND(AC359*'难度参数'!$E$28*'章节与怪物'!$E$17,0),0))</x:f>
        <x:v>237699</x:v>
      </x:c>
      <x:c r="AE359" s="119" t="n">
        <x:f>IF(AB359=0,0,(AB359-IF(2=D359,1,0))*VLOOKUP(INDEX('章节与怪物'!$E$31:$K$37,B359,2),'章节与怪物'!$A$41:$F$44,4,FALSE)+IF(2=D359,'难度参数'!$E$30,0))</x:f>
        <x:v>594</x:v>
      </x:c>
      <x:c r="AF359" s="119" t="n">
        <x:f>IF(3&gt;D359,0,MAX(2,MIN('难度参数'!$E$12,ROUND(('难度参数'!$E$18*POWER(A359,'难度参数'!$E$19)/D359*(0.85+0.3*(3-1)/MAX(1,D359-1))),0)+F359)))</x:f>
        <x:v>35</x:v>
      </x:c>
      <x:c r="AG359" s="119" t="n">
        <x:f>IF(3&gt;D359,0,ROUND(('难度参数'!$E$13*POWER(A359,'难度参数'!$E$20)*MIN('难度参数'!$E$23,1+MAX(0,A359-'难度参数'!$E$21)*'难度参数'!$E$22))*(36+3*7)/(36+7*(D359+1)/2)*E359,0))</x:f>
        <x:v>8212</x:v>
      </x:c>
      <x:c r="AH359" s="119" t="n">
        <x:f>IF(AF359=0,0,(AF359-IF(3=D359,1,0))*ROUND(AG359*VLOOKUP(INDEX('章节与怪物'!$E$31:$K$37,B359,3),'章节与怪物'!$A$41:$F$44,2,FALSE),0)+IF(3=D359,ROUND(AG359*'难度参数'!$E$28*'章节与怪物'!$E$17,0),0))</x:f>
        <x:v>206955</x:v>
      </x:c>
      <x:c r="AI359" s="119" t="n">
        <x:f>IF(AF359=0,0,(AF359-IF(3=D359,1,0))*VLOOKUP(INDEX('章节与怪物'!$E$31:$K$37,B359,3),'章节与怪物'!$A$41:$F$44,4,FALSE)+IF(3=D359,'难度参数'!$E$30,0))</x:f>
        <x:v>700</x:v>
      </x:c>
      <x:c r="AJ359" s="119" t="n">
        <x:f>IF(4&gt;D359,0,MAX(2,MIN('难度参数'!$E$12,ROUND(('难度参数'!$E$18*POWER(A359,'难度参数'!$E$19)/D359*(0.85+0.3*(4-1)/MAX(1,D359-1))),0)+F359)))</x:f>
        <x:v>37</x:v>
      </x:c>
      <x:c r="AK359" s="119" t="n">
        <x:f>IF(4&gt;D359,0,ROUND(('难度参数'!$E$13*POWER(A359,'难度参数'!$E$20)*MIN('难度参数'!$E$23,1+MAX(0,A359-'难度参数'!$E$21)*'难度参数'!$E$22))*(36+4*7)/(36+7*(D359+1)/2)*E359,0))</x:f>
        <x:v>9220</x:v>
      </x:c>
      <x:c r="AL359" s="119" t="n">
        <x:f>IF(AJ359=0,0,(AJ359-IF(4=D359,1,0))*ROUND(AK359*VLOOKUP(INDEX('章节与怪物'!$E$31:$K$37,B359,4),'章节与怪物'!$A$41:$F$44,2,FALSE),0)+IF(4=D359,ROUND(AK359*'难度参数'!$E$28*'章节与怪物'!$E$17,0),0))</x:f>
        <x:v>579938</x:v>
      </x:c>
      <x:c r="AM359" s="119" t="n">
        <x:f>IF(AJ359=0,0,(AJ359-IF(4=D359,1,0))*VLOOKUP(INDEX('章节与怪物'!$E$31:$K$37,B359,4),'章节与怪物'!$A$41:$F$44,4,FALSE)+IF(4=D359,'难度参数'!$E$30,0))</x:f>
        <x:v>1036</x:v>
      </x:c>
      <x:c r="AN359" s="119" t="n">
        <x:f>IF(5&gt;D359,0,MAX(2,MIN('难度参数'!$E$12,ROUND(('难度参数'!$E$18*POWER(A359,'难度参数'!$E$19)/D359*(0.85+0.3*(5-1)/MAX(1,D359-1))),0)+F359)))</x:f>
        <x:v>39</x:v>
      </x:c>
      <x:c r="AO359" s="119" t="n">
        <x:f>IF(5&gt;D359,0,ROUND(('难度参数'!$E$13*POWER(A359,'难度参数'!$E$20)*MIN('难度参数'!$E$23,1+MAX(0,A359-'难度参数'!$E$21)*'难度参数'!$E$22))*(36+5*7)/(36+7*(D359+1)/2)*E359,0))</x:f>
        <x:v>10228</x:v>
      </x:c>
      <x:c r="AP359" s="119" t="n">
        <x:f>IF(AN359=0,0,(AN359-IF(5=D359,1,0))*ROUND(AO359*VLOOKUP(INDEX('章节与怪物'!$E$31:$K$37,B359,5),'章节与怪物'!$A$41:$F$44,2,FALSE),0)+IF(5=D359,ROUND(AO359*'难度参数'!$E$28*'章节与怪物'!$E$17,0),0))</x:f>
        <x:v>538512</x:v>
      </x:c>
      <x:c r="AQ359" s="119" t="n">
        <x:f>IF(AN359=0,0,(AN359-IF(5=D359,1,0))*VLOOKUP(INDEX('章节与怪物'!$E$31:$K$37,B359,5),'章节与怪物'!$A$41:$F$44,4,FALSE)+IF(5=D359,'难度参数'!$E$30,0))</x:f>
        <x:v>1326</x:v>
      </x:c>
      <x:c r="AR359" s="119" t="n">
        <x:f>IF(6&gt;D359,0,MAX(2,MIN('难度参数'!$E$12,ROUND(('难度参数'!$E$18*POWER(A359,'难度参数'!$E$19)/D359*(0.85+0.3*(6-1)/MAX(1,D359-1))),0)+F359)))</x:f>
        <x:v>40</x:v>
      </x:c>
      <x:c r="AS359" s="119" t="n">
        <x:f>IF(6&gt;D359,0,ROUND(('难度参数'!$E$13*POWER(A359,'难度参数'!$E$20)*MIN('难度参数'!$E$23,1+MAX(0,A359-'难度参数'!$E$21)*'难度参数'!$E$22))*(36+6*7)/(36+7*(D359+1)/2)*E359,0))</x:f>
        <x:v>11237</x:v>
      </x:c>
      <x:c r="AT359" s="119" t="n">
        <x:f>IF(AR359=0,0,(AR359-IF(6=D359,1,0))*ROUND(AS359*VLOOKUP(INDEX('章节与怪物'!$E$31:$K$37,B359,6),'章节与怪物'!$A$41:$F$44,2,FALSE),0)+IF(6=D359,ROUND(AS359*'难度参数'!$E$28*'章节与怪物'!$E$17,0),0))</x:f>
        <x:v>323640</x:v>
      </x:c>
      <x:c r="AU359" s="119" t="n">
        <x:f>IF(AR359=0,0,(AR359-IF(6=D359,1,0))*VLOOKUP(INDEX('章节与怪物'!$E$31:$K$37,B359,6),'章节与怪物'!$A$41:$F$44,4,FALSE)+IF(6=D359,'难度参数'!$E$30,0))</x:f>
        <x:v>800</x:v>
      </x:c>
      <x:c r="AV359" s="119" t="n">
        <x:f>IF(7&gt;D359,0,MAX(2,MIN('难度参数'!$E$12,ROUND(('难度参数'!$E$18*POWER(A359,'难度参数'!$E$19)/D359*(0.85+0.3*(7-1)/MAX(1,D359-1))),0)+F359)))</x:f>
        <x:v>42</x:v>
      </x:c>
      <x:c r="AW359" s="119" t="n">
        <x:f>IF(7&gt;D359,0,ROUND(('难度参数'!$E$13*POWER(A359,'难度参数'!$E$20)*MIN('难度参数'!$E$23,1+MAX(0,A359-'难度参数'!$E$21)*'难度参数'!$E$22))*(36+7*7)/(36+7*(D359+1)/2)*E359,0))</x:f>
        <x:v>12245</x:v>
      </x:c>
      <x:c r="AX359" s="119" t="n">
        <x:f>IF(AV359=0,0,(AV359-IF(7=D359,1,0))*ROUND(AW359*VLOOKUP(INDEX('章节与怪物'!$E$31:$K$37,B359,7),'章节与怪物'!$A$41:$F$44,2,FALSE),0)+IF(7=D359,ROUND(AW359*'难度参数'!$E$28*'章节与怪物'!$E$17,0),0))</x:f>
        <x:v>936763</x:v>
      </x:c>
      <x:c r="AY359" s="119" t="n">
        <x:f>IF(AV359=0,0,(AV359-IF(7=D359,1,0))*VLOOKUP(INDEX('章节与怪物'!$E$31:$K$37,B359,7),'章节与怪物'!$A$41:$F$44,4,FALSE)+IF(7=D359,'难度参数'!$E$30,0))</x:f>
        <x:v>1348</x:v>
      </x:c>
    </x:row>
    <x:row r="360" ht="23" customHeight="1">
      <x:c r="A360" s="119" t="n">
        <x:v>354</x:v>
      </x:c>
      <x:c r="B360" s="119" t="n">
        <x:f>MOD(INT((A360-1)/5),7)+1</x:f>
        <x:v>1</x:v>
      </x:c>
      <x:c r="C360" s="62" t="str">
        <x:f>INDEX('章节与怪物'!$B$31:$B$37,B360)</x:f>
        <x:v>冰雪荒原</x:v>
      </x:c>
      <x:c r="D360" s="119" t="n">
        <x:f>MIN('难度参数'!$E$8,MAX('难度参数'!$E$7,A360))</x:f>
        <x:v>7</x:v>
      </x:c>
      <x:c r="E360" s="106" t="n">
        <x:v>1</x:v>
      </x:c>
      <x:c r="F360" s="106" t="n">
        <x:v>0</x:v>
      </x:c>
      <x:c r="G360" s="106" t="n">
        <x:v>1</x:v>
      </x:c>
      <x:c r="H360" s="119" t="n">
        <x:f>SUM(X360,AB360,AF360,AJ360,AN360,AR360,AV360)</x:f>
        <x:v>257</x:v>
      </x:c>
      <x:c r="I360" s="119" t="n">
        <x:f>SUM(Z360,AD360,AH360,AL360,AP360,AT360,AX360)</x:f>
        <x:v>3021612</x:v>
      </x:c>
      <x:c r="J360" s="119" t="n">
        <x:f>ROUND(INDEX(X360:AY360,1,(D360-1)*4+2)*'难度参数'!$E$28*'章节与怪物'!$E$17,0)</x:f>
        <x:v>83436</x:v>
      </x:c>
      <x:c r="K360" s="119" t="n">
        <x:f>SUM(AA360,AE360,AI360,AM360,AQ360,AU360,AY360)</x:f>
        <x:v>6362</x:v>
      </x:c>
      <x:c r="L360" s="62" t="n">
        <x:f>H360*(ROUNDUP('难度参数'!$E$24/('难度参数'!$E$26*'难度参数'!$E$27),0)*'难度参数'!$E$26)/60</x:f>
        <x:v>3.426666666666667</x:v>
      </x:c>
      <x:c r="M360" s="62" t="n">
        <x:f>L360+D360*('难度参数'!$E$49+'难度参数'!$E$50)/60</x:f>
        <x:v>4.593333333333334</x:v>
      </x:c>
      <x:c r="N360" s="119" t="n">
        <x:f>ROUNDDOWN(('经济参数'!$E$20+A360*'经济参数'!$E$21)*G360,0)</x:f>
        <x:v>7260</x:v>
      </x:c>
      <x:c r="O360" s="119" t="n">
        <x:f>ROUNDDOWN(MIN('经济参数'!$E$24,'经济参数'!$E$22+A360*'经济参数'!$E$23)*G360,0)</x:f>
        <x:v>0</x:v>
      </x:c>
      <x:c r="P360" s="119" t="n">
        <x:f>ROUNDDOWN((IF(A360&gt;='材料与任务'!$E$31,'材料与任务'!$E$32,IF(A360&gt;='材料与任务'!$E$25,'材料与任务'!$E$26,IF(A360&gt;='材料与任务'!$E$19,'材料与任务'!$E$20,IF(A360&gt;='材料与任务'!$E$13,'材料与任务'!$E$14,'材料与任务'!$E$8)))))*G360,0)</x:f>
        <x:v>6</x:v>
      </x:c>
      <x:c r="Q360" s="119" t="n">
        <x:f>ROUNDDOWN((IF(A360&gt;='材料与任务'!$E$31,'材料与任务'!$E$33,IF(A360&gt;='材料与任务'!$E$25,'材料与任务'!$E$27,IF(A360&gt;='材料与任务'!$E$19,'材料与任务'!$E$21,IF(A360&gt;='材料与任务'!$E$13,'材料与任务'!$E$15,'材料与任务'!$E$9)))))*G360,0)</x:f>
        <x:v>3</x:v>
      </x:c>
      <x:c r="R360" s="110" t="n">
        <x:f>'装备掉落'!$B$38</x:f>
        <x:v>0.6872058758851213</x:v>
      </x:c>
      <x:c r="S360" s="119" t="n">
        <x:f>MAX(IF(VLOOKUP(A360,'装备掉落'!$A$29:$H$34,2,TRUE)&gt;0,1,0),IF(VLOOKUP(A360,'装备掉落'!$A$29:$H$34,3,TRUE)&gt;0,2,0),IF(VLOOKUP(A360,'装备掉落'!$A$29:$H$34,4,TRUE)&gt;0,3,0),IF(VLOOKUP(A360,'装备掉落'!$A$29:$H$34,5,TRUE)&gt;0,4,0),IF(VLOOKUP(A360,'装备掉落'!$A$29:$H$34,6,TRUE)&gt;0,5,0),IF(VLOOKUP(A360,'装备掉落'!$A$29:$H$34,7,TRUE)&gt;0,6,0),IF(VLOOKUP(A360,'装备掉落'!$A$29:$H$34,8,TRUE)&gt;0,7,0))</x:f>
        <x:v>7</x:v>
      </x:c>
      <x:c r="T360" s="119" t="n">
        <x:f>MIN(7,S360+'经济参数'!$E$70)</x:f>
        <x:v>7</x:v>
      </x:c>
      <x:c r="U360" s="119" t="n">
        <x:f>MIN(7,S360+'经济参数'!$E$71)</x:f>
        <x:v>7</x:v>
      </x:c>
      <x:c r="V360" s="119" t="n">
        <x:f>IF(H360&gt;=('难度参数'!$E$52),1,0)+IF(H360&gt;=('难度参数'!$E$52+'难度参数'!$E$53),1,0)+IF(H360&gt;=('难度参数'!$E$52+'难度参数'!$E$53+'难度参数'!$E$54),1,0)+IF(H360&gt;=('难度参数'!$E$52+'难度参数'!$E$53+'难度参数'!$E$54+'难度参数'!$E$55),1,0)+IF(H360&gt;=('难度参数'!$E$52+'难度参数'!$E$53+'难度参数'!$E$54+'难度参数'!$E$55+'难度参数'!$E$56),1,0)+IF(H360&gt;=('难度参数'!$E$52+'难度参数'!$E$53+'难度参数'!$E$54+'难度参数'!$E$55+'难度参数'!$E$56+'难度参数'!$E$57),1,0)</x:f>
        <x:v>6</x:v>
      </x:c>
      <x:c r="W360" s="62" t="str">
        <x:f>IF(L360&gt;'难度参数'!$E$51,"仅出怪已超目标","还需实测")</x:f>
        <x:v>仅出怪已超目标</x:v>
      </x:c>
      <x:c r="X360" s="119" t="n">
        <x:f>IF(1&gt;D360,0,MAX(2,MIN('难度参数'!$E$12,ROUND(('难度参数'!$E$18*POWER(A360,'难度参数'!$E$19)/D360*(0.85+0.3*(1-1)/MAX(1,D360-1))),0)+F360)))</x:f>
        <x:v>31</x:v>
      </x:c>
      <x:c r="Y360" s="119" t="n">
        <x:f>IF(1&gt;D360,0,ROUND(('难度参数'!$E$13*POWER(A360,'难度参数'!$E$20)*MIN('难度参数'!$E$23,1+MAX(0,A360-'难度参数'!$E$21)*'难度参数'!$E$22))*(36+1*7)/(36+7*(D360+1)/2)*E360,0))</x:f>
        <x:v>6207</x:v>
      </x:c>
      <x:c r="Z360" s="119" t="n">
        <x:f>IF(X360=0,0,(X360-IF(1=D360,1,0))*ROUND(Y360*VLOOKUP(INDEX('章节与怪物'!$E$31:$K$37,B360,1),'章节与怪物'!$A$41:$F$44,2,FALSE),0)+IF(1=D360,ROUND(Y360*'难度参数'!$E$28*'章节与怪物'!$E$17,0),0))</x:f>
        <x:v>192417</x:v>
      </x:c>
      <x:c r="AA360" s="119" t="n">
        <x:f>IF(X360=0,0,(X360-IF(1=D360,1,0))*VLOOKUP(INDEX('章节与怪物'!$E$31:$K$37,B360,1),'章节与怪物'!$A$41:$F$44,4,FALSE)+IF(1=D360,'难度参数'!$E$30,0))</x:f>
        <x:v>558</x:v>
      </x:c>
      <x:c r="AB360" s="119" t="n">
        <x:f>IF(2&gt;D360,0,MAX(2,MIN('难度参数'!$E$12,ROUND(('难度参数'!$E$18*POWER(A360,'难度参数'!$E$19)/D360*(0.85+0.3*(2-1)/MAX(1,D360-1))),0)+F360)))</x:f>
        <x:v>33</x:v>
      </x:c>
      <x:c r="AC360" s="119" t="n">
        <x:f>IF(2&gt;D360,0,ROUND(('难度参数'!$E$13*POWER(A360,'难度参数'!$E$20)*MIN('难度参数'!$E$23,1+MAX(0,A360-'难度参数'!$E$21)*'难度参数'!$E$22))*(36+2*7)/(36+7*(D360+1)/2)*E360,0))</x:f>
        <x:v>7218</x:v>
      </x:c>
      <x:c r="AD360" s="119" t="n">
        <x:f>IF(AB360=0,0,(AB360-IF(2=D360,1,0))*ROUND(AC360*VLOOKUP(INDEX('章节与怪物'!$E$31:$K$37,B360,2),'章节与怪物'!$A$41:$F$44,2,FALSE),0)+IF(2=D360,ROUND(AC360*'难度参数'!$E$28*'章节与怪物'!$E$17,0),0))</x:f>
        <x:v>238194</x:v>
      </x:c>
      <x:c r="AE360" s="119" t="n">
        <x:f>IF(AB360=0,0,(AB360-IF(2=D360,1,0))*VLOOKUP(INDEX('章节与怪物'!$E$31:$K$37,B360,2),'章节与怪物'!$A$41:$F$44,4,FALSE)+IF(2=D360,'难度参数'!$E$30,0))</x:f>
        <x:v>594</x:v>
      </x:c>
      <x:c r="AF360" s="119" t="n">
        <x:f>IF(3&gt;D360,0,MAX(2,MIN('难度参数'!$E$12,ROUND(('难度参数'!$E$18*POWER(A360,'难度参数'!$E$19)/D360*(0.85+0.3*(3-1)/MAX(1,D360-1))),0)+F360)))</x:f>
        <x:v>35</x:v>
      </x:c>
      <x:c r="AG360" s="119" t="n">
        <x:f>IF(3&gt;D360,0,ROUND(('难度参数'!$E$13*POWER(A360,'难度参数'!$E$20)*MIN('难度参数'!$E$23,1+MAX(0,A360-'难度参数'!$E$21)*'难度参数'!$E$22))*(36+3*7)/(36+7*(D360+1)/2)*E360,0))</x:f>
        <x:v>8228</x:v>
      </x:c>
      <x:c r="AH360" s="119" t="n">
        <x:f>IF(AF360=0,0,(AF360-IF(3=D360,1,0))*ROUND(AG360*VLOOKUP(INDEX('章节与怪物'!$E$31:$K$37,B360,3),'章节与怪物'!$A$41:$F$44,2,FALSE),0)+IF(3=D360,ROUND(AG360*'难度参数'!$E$28*'章节与怪物'!$E$17,0),0))</x:f>
        <x:v>207340</x:v>
      </x:c>
      <x:c r="AI360" s="119" t="n">
        <x:f>IF(AF360=0,0,(AF360-IF(3=D360,1,0))*VLOOKUP(INDEX('章节与怪物'!$E$31:$K$37,B360,3),'章节与怪物'!$A$41:$F$44,4,FALSE)+IF(3=D360,'难度参数'!$E$30,0))</x:f>
        <x:v>700</x:v>
      </x:c>
      <x:c r="AJ360" s="119" t="n">
        <x:f>IF(4&gt;D360,0,MAX(2,MIN('难度参数'!$E$12,ROUND(('难度参数'!$E$18*POWER(A360,'难度参数'!$E$19)/D360*(0.85+0.3*(4-1)/MAX(1,D360-1))),0)+F360)))</x:f>
        <x:v>37</x:v>
      </x:c>
      <x:c r="AK360" s="119" t="n">
        <x:f>IF(4&gt;D360,0,ROUND(('难度参数'!$E$13*POWER(A360,'难度参数'!$E$20)*MIN('难度参数'!$E$23,1+MAX(0,A360-'难度参数'!$E$21)*'难度参数'!$E$22))*(36+4*7)/(36+7*(D360+1)/2)*E360,0))</x:f>
        <x:v>9239</x:v>
      </x:c>
      <x:c r="AL360" s="119" t="n">
        <x:f>IF(AJ360=0,0,(AJ360-IF(4=D360,1,0))*ROUND(AK360*VLOOKUP(INDEX('章节与怪物'!$E$31:$K$37,B360,4),'章节与怪物'!$A$41:$F$44,2,FALSE),0)+IF(4=D360,ROUND(AK360*'难度参数'!$E$28*'章节与怪物'!$E$17,0),0))</x:f>
        <x:v>581122</x:v>
      </x:c>
      <x:c r="AM360" s="119" t="n">
        <x:f>IF(AJ360=0,0,(AJ360-IF(4=D360,1,0))*VLOOKUP(INDEX('章节与怪物'!$E$31:$K$37,B360,4),'章节与怪物'!$A$41:$F$44,4,FALSE)+IF(4=D360,'难度参数'!$E$30,0))</x:f>
        <x:v>1036</x:v>
      </x:c>
      <x:c r="AN360" s="119" t="n">
        <x:f>IF(5&gt;D360,0,MAX(2,MIN('难度参数'!$E$12,ROUND(('难度参数'!$E$18*POWER(A360,'难度参数'!$E$19)/D360*(0.85+0.3*(5-1)/MAX(1,D360-1))),0)+F360)))</x:f>
        <x:v>39</x:v>
      </x:c>
      <x:c r="AO360" s="119" t="n">
        <x:f>IF(5&gt;D360,0,ROUND(('难度参数'!$E$13*POWER(A360,'难度参数'!$E$20)*MIN('难度参数'!$E$23,1+MAX(0,A360-'难度参数'!$E$21)*'难度参数'!$E$22))*(36+5*7)/(36+7*(D360+1)/2)*E360,0))</x:f>
        <x:v>10249</x:v>
      </x:c>
      <x:c r="AP360" s="119" t="n">
        <x:f>IF(AN360=0,0,(AN360-IF(5=D360,1,0))*ROUND(AO360*VLOOKUP(INDEX('章节与怪物'!$E$31:$K$37,B360,5),'章节与怪物'!$A$41:$F$44,2,FALSE),0)+IF(5=D360,ROUND(AO360*'难度参数'!$E$28*'章节与怪物'!$E$17,0),0))</x:f>
        <x:v>539604</x:v>
      </x:c>
      <x:c r="AQ360" s="119" t="n">
        <x:f>IF(AN360=0,0,(AN360-IF(5=D360,1,0))*VLOOKUP(INDEX('章节与怪物'!$E$31:$K$37,B360,5),'章节与怪物'!$A$41:$F$44,4,FALSE)+IF(5=D360,'难度参数'!$E$30,0))</x:f>
        <x:v>1326</x:v>
      </x:c>
      <x:c r="AR360" s="119" t="n">
        <x:f>IF(6&gt;D360,0,MAX(2,MIN('难度参数'!$E$12,ROUND(('难度参数'!$E$18*POWER(A360,'难度参数'!$E$19)/D360*(0.85+0.3*(6-1)/MAX(1,D360-1))),0)+F360)))</x:f>
        <x:v>40</x:v>
      </x:c>
      <x:c r="AS360" s="119" t="n">
        <x:f>IF(6&gt;D360,0,ROUND(('难度参数'!$E$13*POWER(A360,'难度参数'!$E$20)*MIN('难度参数'!$E$23,1+MAX(0,A360-'难度参数'!$E$21)*'难度参数'!$E$22))*(36+6*7)/(36+7*(D360+1)/2)*E360,0))</x:f>
        <x:v>11260</x:v>
      </x:c>
      <x:c r="AT360" s="119" t="n">
        <x:f>IF(AR360=0,0,(AR360-IF(6=D360,1,0))*ROUND(AS360*VLOOKUP(INDEX('章节与怪物'!$E$31:$K$37,B360,6),'章节与怪物'!$A$41:$F$44,2,FALSE),0)+IF(6=D360,ROUND(AS360*'难度参数'!$E$28*'章节与怪物'!$E$17,0),0))</x:f>
        <x:v>324280</x:v>
      </x:c>
      <x:c r="AU360" s="119" t="n">
        <x:f>IF(AR360=0,0,(AR360-IF(6=D360,1,0))*VLOOKUP(INDEX('章节与怪物'!$E$31:$K$37,B360,6),'章节与怪物'!$A$41:$F$44,4,FALSE)+IF(6=D360,'难度参数'!$E$30,0))</x:f>
        <x:v>800</x:v>
      </x:c>
      <x:c r="AV360" s="119" t="n">
        <x:f>IF(7&gt;D360,0,MAX(2,MIN('难度参数'!$E$12,ROUND(('难度参数'!$E$18*POWER(A360,'难度参数'!$E$19)/D360*(0.85+0.3*(7-1)/MAX(1,D360-1))),0)+F360)))</x:f>
        <x:v>42</x:v>
      </x:c>
      <x:c r="AW360" s="119" t="n">
        <x:f>IF(7&gt;D360,0,ROUND(('难度参数'!$E$13*POWER(A360,'难度参数'!$E$20)*MIN('难度参数'!$E$23,1+MAX(0,A360-'难度参数'!$E$21)*'难度参数'!$E$22))*(36+7*7)/(36+7*(D360+1)/2)*E360,0))</x:f>
        <x:v>12270</x:v>
      </x:c>
      <x:c r="AX360" s="119" t="n">
        <x:f>IF(AV360=0,0,(AV360-IF(7=D360,1,0))*ROUND(AW360*VLOOKUP(INDEX('章节与怪物'!$E$31:$K$37,B360,7),'章节与怪物'!$A$41:$F$44,2,FALSE),0)+IF(7=D360,ROUND(AW360*'难度参数'!$E$28*'章节与怪物'!$E$17,0),0))</x:f>
        <x:v>938655</x:v>
      </x:c>
      <x:c r="AY360" s="119" t="n">
        <x:f>IF(AV360=0,0,(AV360-IF(7=D360,1,0))*VLOOKUP(INDEX('章节与怪物'!$E$31:$K$37,B360,7),'章节与怪物'!$A$41:$F$44,4,FALSE)+IF(7=D360,'难度参数'!$E$30,0))</x:f>
        <x:v>1348</x:v>
      </x:c>
    </x:row>
    <x:row r="361" ht="23" customHeight="1">
      <x:c r="A361" s="119" t="n">
        <x:v>355</x:v>
      </x:c>
      <x:c r="B361" s="119" t="n">
        <x:f>MOD(INT((A361-1)/5),7)+1</x:f>
        <x:v>1</x:v>
      </x:c>
      <x:c r="C361" s="62" t="str">
        <x:f>INDEX('章节与怪物'!$B$31:$B$37,B361)</x:f>
        <x:v>冰雪荒原</x:v>
      </x:c>
      <x:c r="D361" s="119" t="n">
        <x:f>MIN('难度参数'!$E$8,MAX('难度参数'!$E$7,A361))</x:f>
        <x:v>7</x:v>
      </x:c>
      <x:c r="E361" s="106" t="n">
        <x:v>1</x:v>
      </x:c>
      <x:c r="F361" s="106" t="n">
        <x:v>0</x:v>
      </x:c>
      <x:c r="G361" s="106" t="n">
        <x:v>1</x:v>
      </x:c>
      <x:c r="H361" s="119" t="n">
        <x:f>SUM(X361,AB361,AF361,AJ361,AN361,AR361,AV361)</x:f>
        <x:v>257</x:v>
      </x:c>
      <x:c r="I361" s="119" t="n">
        <x:f>SUM(Z361,AD361,AH361,AL361,AP361,AT361,AX361)</x:f>
        <x:v>3027862</x:v>
      </x:c>
      <x:c r="J361" s="119" t="n">
        <x:f>ROUND(INDEX(X361:AY361,1,(D361-1)*4+2)*'难度参数'!$E$28*'章节与怪物'!$E$17,0)</x:f>
        <x:v>83606</x:v>
      </x:c>
      <x:c r="K361" s="119" t="n">
        <x:f>SUM(AA361,AE361,AI361,AM361,AQ361,AU361,AY361)</x:f>
        <x:v>6362</x:v>
      </x:c>
      <x:c r="L361" s="62" t="n">
        <x:f>H361*(ROUNDUP('难度参数'!$E$24/('难度参数'!$E$26*'难度参数'!$E$27),0)*'难度参数'!$E$26)/60</x:f>
        <x:v>3.426666666666667</x:v>
      </x:c>
      <x:c r="M361" s="62" t="n">
        <x:f>L361+D361*('难度参数'!$E$49+'难度参数'!$E$50)/60</x:f>
        <x:v>4.593333333333334</x:v>
      </x:c>
      <x:c r="N361" s="119" t="n">
        <x:f>ROUNDDOWN(('经济参数'!$E$20+A361*'经济参数'!$E$21)*G361,0)</x:f>
        <x:v>7280</x:v>
      </x:c>
      <x:c r="O361" s="119" t="n">
        <x:f>ROUNDDOWN(MIN('经济参数'!$E$24,'经济参数'!$E$22+A361*'经济参数'!$E$23)*G361,0)</x:f>
        <x:v>0</x:v>
      </x:c>
      <x:c r="P361" s="119" t="n">
        <x:f>ROUNDDOWN((IF(A361&gt;='材料与任务'!$E$31,'材料与任务'!$E$32,IF(A361&gt;='材料与任务'!$E$25,'材料与任务'!$E$26,IF(A361&gt;='材料与任务'!$E$19,'材料与任务'!$E$20,IF(A361&gt;='材料与任务'!$E$13,'材料与任务'!$E$14,'材料与任务'!$E$8)))))*G361,0)</x:f>
        <x:v>6</x:v>
      </x:c>
      <x:c r="Q361" s="119" t="n">
        <x:f>ROUNDDOWN((IF(A361&gt;='材料与任务'!$E$31,'材料与任务'!$E$33,IF(A361&gt;='材料与任务'!$E$25,'材料与任务'!$E$27,IF(A361&gt;='材料与任务'!$E$19,'材料与任务'!$E$21,IF(A361&gt;='材料与任务'!$E$13,'材料与任务'!$E$15,'材料与任务'!$E$9)))))*G361,0)</x:f>
        <x:v>3</x:v>
      </x:c>
      <x:c r="R361" s="110" t="n">
        <x:f>'装备掉落'!$B$38</x:f>
        <x:v>0.6872058758851213</x:v>
      </x:c>
      <x:c r="S361" s="119" t="n">
        <x:f>MAX(IF(VLOOKUP(A361,'装备掉落'!$A$29:$H$34,2,TRUE)&gt;0,1,0),IF(VLOOKUP(A361,'装备掉落'!$A$29:$H$34,3,TRUE)&gt;0,2,0),IF(VLOOKUP(A361,'装备掉落'!$A$29:$H$34,4,TRUE)&gt;0,3,0),IF(VLOOKUP(A361,'装备掉落'!$A$29:$H$34,5,TRUE)&gt;0,4,0),IF(VLOOKUP(A361,'装备掉落'!$A$29:$H$34,6,TRUE)&gt;0,5,0),IF(VLOOKUP(A361,'装备掉落'!$A$29:$H$34,7,TRUE)&gt;0,6,0),IF(VLOOKUP(A361,'装备掉落'!$A$29:$H$34,8,TRUE)&gt;0,7,0))</x:f>
        <x:v>7</x:v>
      </x:c>
      <x:c r="T361" s="119" t="n">
        <x:f>MIN(7,S361+'经济参数'!$E$70)</x:f>
        <x:v>7</x:v>
      </x:c>
      <x:c r="U361" s="119" t="n">
        <x:f>MIN(7,S361+'经济参数'!$E$71)</x:f>
        <x:v>7</x:v>
      </x:c>
      <x:c r="V361" s="119" t="n">
        <x:f>IF(H361&gt;=('难度参数'!$E$52),1,0)+IF(H361&gt;=('难度参数'!$E$52+'难度参数'!$E$53),1,0)+IF(H361&gt;=('难度参数'!$E$52+'难度参数'!$E$53+'难度参数'!$E$54),1,0)+IF(H361&gt;=('难度参数'!$E$52+'难度参数'!$E$53+'难度参数'!$E$54+'难度参数'!$E$55),1,0)+IF(H361&gt;=('难度参数'!$E$52+'难度参数'!$E$53+'难度参数'!$E$54+'难度参数'!$E$55+'难度参数'!$E$56),1,0)+IF(H361&gt;=('难度参数'!$E$52+'难度参数'!$E$53+'难度参数'!$E$54+'难度参数'!$E$55+'难度参数'!$E$56+'难度参数'!$E$57),1,0)</x:f>
        <x:v>6</x:v>
      </x:c>
      <x:c r="W361" s="62" t="str">
        <x:f>IF(L361&gt;'难度参数'!$E$51,"仅出怪已超目标","还需实测")</x:f>
        <x:v>仅出怪已超目标</x:v>
      </x:c>
      <x:c r="X361" s="119" t="n">
        <x:f>IF(1&gt;D361,0,MAX(2,MIN('难度参数'!$E$12,ROUND(('难度参数'!$E$18*POWER(A361,'难度参数'!$E$19)/D361*(0.85+0.3*(1-1)/MAX(1,D361-1))),0)+F361)))</x:f>
        <x:v>31</x:v>
      </x:c>
      <x:c r="Y361" s="119" t="n">
        <x:f>IF(1&gt;D361,0,ROUND(('难度参数'!$E$13*POWER(A361,'难度参数'!$E$20)*MIN('难度参数'!$E$23,1+MAX(0,A361-'难度参数'!$E$21)*'难度参数'!$E$22))*(36+1*7)/(36+7*(D361+1)/2)*E361,0))</x:f>
        <x:v>6220</x:v>
      </x:c>
      <x:c r="Z361" s="119" t="n">
        <x:f>IF(X361=0,0,(X361-IF(1=D361,1,0))*ROUND(Y361*VLOOKUP(INDEX('章节与怪物'!$E$31:$K$37,B361,1),'章节与怪物'!$A$41:$F$44,2,FALSE),0)+IF(1=D361,ROUND(Y361*'难度参数'!$E$28*'章节与怪物'!$E$17,0),0))</x:f>
        <x:v>192820</x:v>
      </x:c>
      <x:c r="AA361" s="119" t="n">
        <x:f>IF(X361=0,0,(X361-IF(1=D361,1,0))*VLOOKUP(INDEX('章节与怪物'!$E$31:$K$37,B361,1),'章节与怪物'!$A$41:$F$44,4,FALSE)+IF(1=D361,'难度参数'!$E$30,0))</x:f>
        <x:v>558</x:v>
      </x:c>
      <x:c r="AB361" s="119" t="n">
        <x:f>IF(2&gt;D361,0,MAX(2,MIN('难度参数'!$E$12,ROUND(('难度参数'!$E$18*POWER(A361,'难度参数'!$E$19)/D361*(0.85+0.3*(2-1)/MAX(1,D361-1))),0)+F361)))</x:f>
        <x:v>33</x:v>
      </x:c>
      <x:c r="AC361" s="119" t="n">
        <x:f>IF(2&gt;D361,0,ROUND(('难度参数'!$E$13*POWER(A361,'难度参数'!$E$20)*MIN('难度参数'!$E$23,1+MAX(0,A361-'难度参数'!$E$21)*'难度参数'!$E$22))*(36+2*7)/(36+7*(D361+1)/2)*E361,0))</x:f>
        <x:v>7232</x:v>
      </x:c>
      <x:c r="AD361" s="119" t="n">
        <x:f>IF(AB361=0,0,(AB361-IF(2=D361,1,0))*ROUND(AC361*VLOOKUP(INDEX('章节与怪物'!$E$31:$K$37,B361,2),'章节与怪物'!$A$41:$F$44,2,FALSE),0)+IF(2=D361,ROUND(AC361*'难度参数'!$E$28*'章节与怪物'!$E$17,0),0))</x:f>
        <x:v>238656</x:v>
      </x:c>
      <x:c r="AE361" s="119" t="n">
        <x:f>IF(AB361=0,0,(AB361-IF(2=D361,1,0))*VLOOKUP(INDEX('章节与怪物'!$E$31:$K$37,B361,2),'章节与怪物'!$A$41:$F$44,4,FALSE)+IF(2=D361,'难度参数'!$E$30,0))</x:f>
        <x:v>594</x:v>
      </x:c>
      <x:c r="AF361" s="119" t="n">
        <x:f>IF(3&gt;D361,0,MAX(2,MIN('难度参数'!$E$12,ROUND(('难度参数'!$E$18*POWER(A361,'难度参数'!$E$19)/D361*(0.85+0.3*(3-1)/MAX(1,D361-1))),0)+F361)))</x:f>
        <x:v>35</x:v>
      </x:c>
      <x:c r="AG361" s="119" t="n">
        <x:f>IF(3&gt;D361,0,ROUND(('难度参数'!$E$13*POWER(A361,'难度参数'!$E$20)*MIN('难度参数'!$E$23,1+MAX(0,A361-'难度参数'!$E$21)*'难度参数'!$E$22))*(36+3*7)/(36+7*(D361+1)/2)*E361,0))</x:f>
        <x:v>8245</x:v>
      </x:c>
      <x:c r="AH361" s="119" t="n">
        <x:f>IF(AF361=0,0,(AF361-IF(3=D361,1,0))*ROUND(AG361*VLOOKUP(INDEX('章节与怪物'!$E$31:$K$37,B361,3),'章节与怪物'!$A$41:$F$44,2,FALSE),0)+IF(3=D361,ROUND(AG361*'难度参数'!$E$28*'章节与怪物'!$E$17,0),0))</x:f>
        <x:v>207760</x:v>
      </x:c>
      <x:c r="AI361" s="119" t="n">
        <x:f>IF(AF361=0,0,(AF361-IF(3=D361,1,0))*VLOOKUP(INDEX('章节与怪物'!$E$31:$K$37,B361,3),'章节与怪物'!$A$41:$F$44,4,FALSE)+IF(3=D361,'难度参数'!$E$30,0))</x:f>
        <x:v>700</x:v>
      </x:c>
      <x:c r="AJ361" s="119" t="n">
        <x:f>IF(4&gt;D361,0,MAX(2,MIN('难度参数'!$E$12,ROUND(('难度参数'!$E$18*POWER(A361,'难度参数'!$E$19)/D361*(0.85+0.3*(4-1)/MAX(1,D361-1))),0)+F361)))</x:f>
        <x:v>37</x:v>
      </x:c>
      <x:c r="AK361" s="119" t="n">
        <x:f>IF(4&gt;D361,0,ROUND(('难度参数'!$E$13*POWER(A361,'难度参数'!$E$20)*MIN('难度参数'!$E$23,1+MAX(0,A361-'难度参数'!$E$21)*'难度参数'!$E$22))*(36+4*7)/(36+7*(D361+1)/2)*E361,0))</x:f>
        <x:v>9258</x:v>
      </x:c>
      <x:c r="AL361" s="119" t="n">
        <x:f>IF(AJ361=0,0,(AJ361-IF(4=D361,1,0))*ROUND(AK361*VLOOKUP(INDEX('章节与怪物'!$E$31:$K$37,B361,4),'章节与怪物'!$A$41:$F$44,2,FALSE),0)+IF(4=D361,ROUND(AK361*'难度参数'!$E$28*'章节与怪物'!$E$17,0),0))</x:f>
        <x:v>582343</x:v>
      </x:c>
      <x:c r="AM361" s="119" t="n">
        <x:f>IF(AJ361=0,0,(AJ361-IF(4=D361,1,0))*VLOOKUP(INDEX('章节与怪物'!$E$31:$K$37,B361,4),'章节与怪物'!$A$41:$F$44,4,FALSE)+IF(4=D361,'难度参数'!$E$30,0))</x:f>
        <x:v>1036</x:v>
      </x:c>
      <x:c r="AN361" s="119" t="n">
        <x:f>IF(5&gt;D361,0,MAX(2,MIN('难度参数'!$E$12,ROUND(('难度参数'!$E$18*POWER(A361,'难度参数'!$E$19)/D361*(0.85+0.3*(5-1)/MAX(1,D361-1))),0)+F361)))</x:f>
        <x:v>39</x:v>
      </x:c>
      <x:c r="AO361" s="119" t="n">
        <x:f>IF(5&gt;D361,0,ROUND(('难度参数'!$E$13*POWER(A361,'难度参数'!$E$20)*MIN('难度参数'!$E$23,1+MAX(0,A361-'难度参数'!$E$21)*'难度参数'!$E$22))*(36+5*7)/(36+7*(D361+1)/2)*E361,0))</x:f>
        <x:v>10270</x:v>
      </x:c>
      <x:c r="AP361" s="119" t="n">
        <x:f>IF(AN361=0,0,(AN361-IF(5=D361,1,0))*ROUND(AO361*VLOOKUP(INDEX('章节与怪物'!$E$31:$K$37,B361,5),'章节与怪物'!$A$41:$F$44,2,FALSE),0)+IF(5=D361,ROUND(AO361*'难度参数'!$E$28*'章节与怪物'!$E$17,0),0))</x:f>
        <x:v>540735</x:v>
      </x:c>
      <x:c r="AQ361" s="119" t="n">
        <x:f>IF(AN361=0,0,(AN361-IF(5=D361,1,0))*VLOOKUP(INDEX('章节与怪物'!$E$31:$K$37,B361,5),'章节与怪物'!$A$41:$F$44,4,FALSE)+IF(5=D361,'难度参数'!$E$30,0))</x:f>
        <x:v>1326</x:v>
      </x:c>
      <x:c r="AR361" s="119" t="n">
        <x:f>IF(6&gt;D361,0,MAX(2,MIN('难度参数'!$E$12,ROUND(('难度参数'!$E$18*POWER(A361,'难度参数'!$E$19)/D361*(0.85+0.3*(6-1)/MAX(1,D361-1))),0)+F361)))</x:f>
        <x:v>40</x:v>
      </x:c>
      <x:c r="AS361" s="119" t="n">
        <x:f>IF(6&gt;D361,0,ROUND(('难度参数'!$E$13*POWER(A361,'难度参数'!$E$20)*MIN('难度参数'!$E$23,1+MAX(0,A361-'难度参数'!$E$21)*'难度参数'!$E$22))*(36+6*7)/(36+7*(D361+1)/2)*E361,0))</x:f>
        <x:v>11283</x:v>
      </x:c>
      <x:c r="AT361" s="119" t="n">
        <x:f>IF(AR361=0,0,(AR361-IF(6=D361,1,0))*ROUND(AS361*VLOOKUP(INDEX('章节与怪物'!$E$31:$K$37,B361,6),'章节与怪物'!$A$41:$F$44,2,FALSE),0)+IF(6=D361,ROUND(AS361*'难度参数'!$E$28*'章节与怪物'!$E$17,0),0))</x:f>
        <x:v>324960</x:v>
      </x:c>
      <x:c r="AU361" s="119" t="n">
        <x:f>IF(AR361=0,0,(AR361-IF(6=D361,1,0))*VLOOKUP(INDEX('章节与怪物'!$E$31:$K$37,B361,6),'章节与怪物'!$A$41:$F$44,4,FALSE)+IF(6=D361,'难度参数'!$E$30,0))</x:f>
        <x:v>800</x:v>
      </x:c>
      <x:c r="AV361" s="119" t="n">
        <x:f>IF(7&gt;D361,0,MAX(2,MIN('难度参数'!$E$12,ROUND(('难度参数'!$E$18*POWER(A361,'难度参数'!$E$19)/D361*(0.85+0.3*(7-1)/MAX(1,D361-1))),0)+F361)))</x:f>
        <x:v>42</x:v>
      </x:c>
      <x:c r="AW361" s="119" t="n">
        <x:f>IF(7&gt;D361,0,ROUND(('难度参数'!$E$13*POWER(A361,'难度参数'!$E$20)*MIN('难度参数'!$E$23,1+MAX(0,A361-'难度参数'!$E$21)*'难度参数'!$E$22))*(36+7*7)/(36+7*(D361+1)/2)*E361,0))</x:f>
        <x:v>12295</x:v>
      </x:c>
      <x:c r="AX361" s="119" t="n">
        <x:f>IF(AV361=0,0,(AV361-IF(7=D361,1,0))*ROUND(AW361*VLOOKUP(INDEX('章节与怪物'!$E$31:$K$37,B361,7),'章节与怪物'!$A$41:$F$44,2,FALSE),0)+IF(7=D361,ROUND(AW361*'难度参数'!$E$28*'章节与怪物'!$E$17,0),0))</x:f>
        <x:v>940588</x:v>
      </x:c>
      <x:c r="AY361" s="119" t="n">
        <x:f>IF(AV361=0,0,(AV361-IF(7=D361,1,0))*VLOOKUP(INDEX('章节与怪物'!$E$31:$K$37,B361,7),'章节与怪物'!$A$41:$F$44,4,FALSE)+IF(7=D361,'难度参数'!$E$30,0))</x:f>
        <x:v>1348</x:v>
      </x:c>
    </x:row>
    <x:row r="362" ht="23" customHeight="1">
      <x:c r="A362" s="119" t="n">
        <x:v>356</x:v>
      </x:c>
      <x:c r="B362" s="119" t="n">
        <x:f>MOD(INT((A362-1)/5),7)+1</x:f>
        <x:v>2</x:v>
      </x:c>
      <x:c r="C362" s="62" t="str">
        <x:f>INDEX('章节与怪物'!$B$31:$B$37,B362)</x:f>
        <x:v>黄沙要塞</x:v>
      </x:c>
      <x:c r="D362" s="119" t="n">
        <x:f>MIN('难度参数'!$E$8,MAX('难度参数'!$E$7,A362))</x:f>
        <x:v>7</x:v>
      </x:c>
      <x:c r="E362" s="106" t="n">
        <x:v>1</x:v>
      </x:c>
      <x:c r="F362" s="106" t="n">
        <x:v>0</x:v>
      </x:c>
      <x:c r="G362" s="106" t="n">
        <x:v>1</x:v>
      </x:c>
      <x:c r="H362" s="119" t="n">
        <x:f>SUM(X362,AB362,AF362,AJ362,AN362,AR362,AV362)</x:f>
        <x:v>258</x:v>
      </x:c>
      <x:c r="I362" s="119" t="n">
        <x:f>SUM(Z362,AD362,AH362,AL362,AP362,AT362,AX362)</x:f>
        <x:v>3288262</x:v>
      </x:c>
      <x:c r="J362" s="119" t="n">
        <x:f>ROUND(INDEX(X362:AY362,1,(D362-1)*4+2)*'难度参数'!$E$28*'章节与怪物'!$E$17,0)</x:f>
        <x:v>83776</x:v>
      </x:c>
      <x:c r="K362" s="119" t="n">
        <x:f>SUM(AA362,AE362,AI362,AM362,AQ362,AU362,AY362)</x:f>
        <x:v>6896</x:v>
      </x:c>
      <x:c r="L362" s="62" t="n">
        <x:f>H362*(ROUNDUP('难度参数'!$E$24/('难度参数'!$E$26*'难度参数'!$E$27),0)*'难度参数'!$E$26)/60</x:f>
        <x:v>3.44</x:v>
      </x:c>
      <x:c r="M362" s="62" t="n">
        <x:f>L362+D362*('难度参数'!$E$49+'难度参数'!$E$50)/60</x:f>
        <x:v>4.6066666666666665</x:v>
      </x:c>
      <x:c r="N362" s="119" t="n">
        <x:f>ROUNDDOWN(('经济参数'!$E$20+A362*'经济参数'!$E$21)*G362,0)</x:f>
        <x:v>7300</x:v>
      </x:c>
      <x:c r="O362" s="119" t="n">
        <x:f>ROUNDDOWN(MIN('经济参数'!$E$24,'经济参数'!$E$22+A362*'经济参数'!$E$23)*G362,0)</x:f>
        <x:v>0</x:v>
      </x:c>
      <x:c r="P362" s="119" t="n">
        <x:f>ROUNDDOWN((IF(A362&gt;='材料与任务'!$E$31,'材料与任务'!$E$32,IF(A362&gt;='材料与任务'!$E$25,'材料与任务'!$E$26,IF(A362&gt;='材料与任务'!$E$19,'材料与任务'!$E$20,IF(A362&gt;='材料与任务'!$E$13,'材料与任务'!$E$14,'材料与任务'!$E$8)))))*G362,0)</x:f>
        <x:v>6</x:v>
      </x:c>
      <x:c r="Q362" s="119" t="n">
        <x:f>ROUNDDOWN((IF(A362&gt;='材料与任务'!$E$31,'材料与任务'!$E$33,IF(A362&gt;='材料与任务'!$E$25,'材料与任务'!$E$27,IF(A362&gt;='材料与任务'!$E$19,'材料与任务'!$E$21,IF(A362&gt;='材料与任务'!$E$13,'材料与任务'!$E$15,'材料与任务'!$E$9)))))*G362,0)</x:f>
        <x:v>3</x:v>
      </x:c>
      <x:c r="R362" s="110" t="n">
        <x:f>'装备掉落'!$B$38</x:f>
        <x:v>0.6872058758851213</x:v>
      </x:c>
      <x:c r="S362" s="119" t="n">
        <x:f>MAX(IF(VLOOKUP(A362,'装备掉落'!$A$29:$H$34,2,TRUE)&gt;0,1,0),IF(VLOOKUP(A362,'装备掉落'!$A$29:$H$34,3,TRUE)&gt;0,2,0),IF(VLOOKUP(A362,'装备掉落'!$A$29:$H$34,4,TRUE)&gt;0,3,0),IF(VLOOKUP(A362,'装备掉落'!$A$29:$H$34,5,TRUE)&gt;0,4,0),IF(VLOOKUP(A362,'装备掉落'!$A$29:$H$34,6,TRUE)&gt;0,5,0),IF(VLOOKUP(A362,'装备掉落'!$A$29:$H$34,7,TRUE)&gt;0,6,0),IF(VLOOKUP(A362,'装备掉落'!$A$29:$H$34,8,TRUE)&gt;0,7,0))</x:f>
        <x:v>7</x:v>
      </x:c>
      <x:c r="T362" s="119" t="n">
        <x:f>MIN(7,S362+'经济参数'!$E$70)</x:f>
        <x:v>7</x:v>
      </x:c>
      <x:c r="U362" s="119" t="n">
        <x:f>MIN(7,S362+'经济参数'!$E$71)</x:f>
        <x:v>7</x:v>
      </x:c>
      <x:c r="V362" s="119" t="n">
        <x:f>IF(H362&gt;=('难度参数'!$E$52),1,0)+IF(H362&gt;=('难度参数'!$E$52+'难度参数'!$E$53),1,0)+IF(H362&gt;=('难度参数'!$E$52+'难度参数'!$E$53+'难度参数'!$E$54),1,0)+IF(H362&gt;=('难度参数'!$E$52+'难度参数'!$E$53+'难度参数'!$E$54+'难度参数'!$E$55),1,0)+IF(H362&gt;=('难度参数'!$E$52+'难度参数'!$E$53+'难度参数'!$E$54+'难度参数'!$E$55+'难度参数'!$E$56),1,0)+IF(H362&gt;=('难度参数'!$E$52+'难度参数'!$E$53+'难度参数'!$E$54+'难度参数'!$E$55+'难度参数'!$E$56+'难度参数'!$E$57),1,0)</x:f>
        <x:v>6</x:v>
      </x:c>
      <x:c r="W362" s="62" t="str">
        <x:f>IF(L362&gt;'难度参数'!$E$51,"仅出怪已超目标","还需实测")</x:f>
        <x:v>仅出怪已超目标</x:v>
      </x:c>
      <x:c r="X362" s="119" t="n">
        <x:f>IF(1&gt;D362,0,MAX(2,MIN('难度参数'!$E$12,ROUND(('难度参数'!$E$18*POWER(A362,'难度参数'!$E$19)/D362*(0.85+0.3*(1-1)/MAX(1,D362-1))),0)+F362)))</x:f>
        <x:v>31</x:v>
      </x:c>
      <x:c r="Y362" s="119" t="n">
        <x:f>IF(1&gt;D362,0,ROUND(('难度参数'!$E$13*POWER(A362,'难度参数'!$E$20)*MIN('难度参数'!$E$23,1+MAX(0,A362-'难度参数'!$E$21)*'难度参数'!$E$22))*(36+1*7)/(36+7*(D362+1)/2)*E362,0))</x:f>
        <x:v>6233</x:v>
      </x:c>
      <x:c r="Z362" s="119" t="n">
        <x:f>IF(X362=0,0,(X362-IF(1=D362,1,0))*ROUND(Y362*VLOOKUP(INDEX('章节与怪物'!$E$31:$K$37,B362,1),'章节与怪物'!$A$41:$F$44,2,FALSE),0)+IF(1=D362,ROUND(Y362*'难度参数'!$E$28*'章节与怪物'!$E$17,0),0))</x:f>
        <x:v>139128</x:v>
      </x:c>
      <x:c r="AA362" s="119" t="n">
        <x:f>IF(X362=0,0,(X362-IF(1=D362,1,0))*VLOOKUP(INDEX('章节与怪物'!$E$31:$K$37,B362,1),'章节与怪物'!$A$41:$F$44,4,FALSE)+IF(1=D362,'难度参数'!$E$30,0))</x:f>
        <x:v>620</x:v>
      </x:c>
      <x:c r="AB362" s="119" t="n">
        <x:f>IF(2&gt;D362,0,MAX(2,MIN('难度参数'!$E$12,ROUND(('难度参数'!$E$18*POWER(A362,'难度参数'!$E$19)/D362*(0.85+0.3*(2-1)/MAX(1,D362-1))),0)+F362)))</x:f>
        <x:v>33</x:v>
      </x:c>
      <x:c r="AC362" s="119" t="n">
        <x:f>IF(2&gt;D362,0,ROUND(('难度参数'!$E$13*POWER(A362,'难度参数'!$E$20)*MIN('难度参数'!$E$23,1+MAX(0,A362-'难度参数'!$E$21)*'难度参数'!$E$22))*(36+2*7)/(36+7*(D362+1)/2)*E362,0))</x:f>
        <x:v>7247</x:v>
      </x:c>
      <x:c r="AD362" s="119" t="n">
        <x:f>IF(AB362=0,0,(AB362-IF(2=D362,1,0))*ROUND(AC362*VLOOKUP(INDEX('章节与怪物'!$E$31:$K$37,B362,2),'章节与怪物'!$A$41:$F$44,2,FALSE),0)+IF(2=D362,ROUND(AC362*'难度参数'!$E$28*'章节与怪物'!$E$17,0),0))</x:f>
        <x:v>239151</x:v>
      </x:c>
      <x:c r="AE362" s="119" t="n">
        <x:f>IF(AB362=0,0,(AB362-IF(2=D362,1,0))*VLOOKUP(INDEX('章节与怪物'!$E$31:$K$37,B362,2),'章节与怪物'!$A$41:$F$44,4,FALSE)+IF(2=D362,'难度参数'!$E$30,0))</x:f>
        <x:v>594</x:v>
      </x:c>
      <x:c r="AF362" s="119" t="n">
        <x:f>IF(3&gt;D362,0,MAX(2,MIN('难度参数'!$E$12,ROUND(('难度参数'!$E$18*POWER(A362,'难度参数'!$E$19)/D362*(0.85+0.3*(3-1)/MAX(1,D362-1))),0)+F362)))</x:f>
        <x:v>35</x:v>
      </x:c>
      <x:c r="AG362" s="119" t="n">
        <x:f>IF(3&gt;D362,0,ROUND(('难度参数'!$E$13*POWER(A362,'难度参数'!$E$20)*MIN('难度参数'!$E$23,1+MAX(0,A362-'难度参数'!$E$21)*'难度参数'!$E$22))*(36+3*7)/(36+7*(D362+1)/2)*E362,0))</x:f>
        <x:v>8262</x:v>
      </x:c>
      <x:c r="AH362" s="119" t="n">
        <x:f>IF(AF362=0,0,(AF362-IF(3=D362,1,0))*ROUND(AG362*VLOOKUP(INDEX('章节与怪物'!$E$31:$K$37,B362,3),'章节与怪物'!$A$41:$F$44,2,FALSE),0)+IF(3=D362,ROUND(AG362*'难度参数'!$E$28*'章节与怪物'!$E$17,0),0))</x:f>
        <x:v>491575</x:v>
      </x:c>
      <x:c r="AI362" s="119" t="n">
        <x:f>IF(AF362=0,0,(AF362-IF(3=D362,1,0))*VLOOKUP(INDEX('章节与怪物'!$E$31:$K$37,B362,3),'章节与怪物'!$A$41:$F$44,4,FALSE)+IF(3=D362,'难度参数'!$E$30,0))</x:f>
        <x:v>980</x:v>
      </x:c>
      <x:c r="AJ362" s="119" t="n">
        <x:f>IF(4&gt;D362,0,MAX(2,MIN('难度参数'!$E$12,ROUND(('难度参数'!$E$18*POWER(A362,'难度参数'!$E$19)/D362*(0.85+0.3*(4-1)/MAX(1,D362-1))),0)+F362)))</x:f>
        <x:v>37</x:v>
      </x:c>
      <x:c r="AK362" s="119" t="n">
        <x:f>IF(4&gt;D362,0,ROUND(('难度参数'!$E$13*POWER(A362,'难度参数'!$E$20)*MIN('难度参数'!$E$23,1+MAX(0,A362-'难度参数'!$E$21)*'难度参数'!$E$22))*(36+4*7)/(36+7*(D362+1)/2)*E362,0))</x:f>
        <x:v>9276</x:v>
      </x:c>
      <x:c r="AL362" s="119" t="n">
        <x:f>IF(AJ362=0,0,(AJ362-IF(4=D362,1,0))*ROUND(AK362*VLOOKUP(INDEX('章节与怪物'!$E$31:$K$37,B362,4),'章节与怪物'!$A$41:$F$44,2,FALSE),0)+IF(4=D362,ROUND(AK362*'难度参数'!$E$28*'章节与怪物'!$E$17,0),0))</x:f>
        <x:v>463351</x:v>
      </x:c>
      <x:c r="AM362" s="119" t="n">
        <x:f>IF(AJ362=0,0,(AJ362-IF(4=D362,1,0))*VLOOKUP(INDEX('章节与怪物'!$E$31:$K$37,B362,4),'章节与怪物'!$A$41:$F$44,4,FALSE)+IF(4=D362,'难度参数'!$E$30,0))</x:f>
        <x:v>1258</x:v>
      </x:c>
      <x:c r="AN362" s="119" t="n">
        <x:f>IF(5&gt;D362,0,MAX(2,MIN('难度参数'!$E$12,ROUND(('难度参数'!$E$18*POWER(A362,'难度参数'!$E$19)/D362*(0.85+0.3*(5-1)/MAX(1,D362-1))),0)+F362)))</x:f>
        <x:v>39</x:v>
      </x:c>
      <x:c r="AO362" s="119" t="n">
        <x:f>IF(5&gt;D362,0,ROUND(('难度参数'!$E$13*POWER(A362,'难度参数'!$E$20)*MIN('难度参数'!$E$23,1+MAX(0,A362-'难度参数'!$E$21)*'难度参数'!$E$22))*(36+5*7)/(36+7*(D362+1)/2)*E362,0))</x:f>
        <x:v>10291</x:v>
      </x:c>
      <x:c r="AP362" s="119" t="n">
        <x:f>IF(AN362=0,0,(AN362-IF(5=D362,1,0))*ROUND(AO362*VLOOKUP(INDEX('章节与怪物'!$E$31:$K$37,B362,5),'章节与怪物'!$A$41:$F$44,2,FALSE),0)+IF(5=D362,ROUND(AO362*'难度参数'!$E$28*'章节与怪物'!$E$17,0),0))</x:f>
        <x:v>401349</x:v>
      </x:c>
      <x:c r="AQ362" s="119" t="n">
        <x:f>IF(AN362=0,0,(AN362-IF(5=D362,1,0))*VLOOKUP(INDEX('章节与怪物'!$E$31:$K$37,B362,5),'章节与怪物'!$A$41:$F$44,4,FALSE)+IF(5=D362,'难度参数'!$E$30,0))</x:f>
        <x:v>702</x:v>
      </x:c>
      <x:c r="AR362" s="119" t="n">
        <x:f>IF(6&gt;D362,0,MAX(2,MIN('难度参数'!$E$12,ROUND(('难度参数'!$E$18*POWER(A362,'难度参数'!$E$19)/D362*(0.85+0.3*(6-1)/MAX(1,D362-1))),0)+F362)))</x:f>
        <x:v>41</x:v>
      </x:c>
      <x:c r="AS362" s="119" t="n">
        <x:f>IF(6&gt;D362,0,ROUND(('难度参数'!$E$13*POWER(A362,'难度参数'!$E$20)*MIN('难度参数'!$E$23,1+MAX(0,A362-'难度参数'!$E$21)*'难度参数'!$E$22))*(36+6*7)/(36+7*(D362+1)/2)*E362,0))</x:f>
        <x:v>11306</x:v>
      </x:c>
      <x:c r="AT362" s="119" t="n">
        <x:f>IF(AR362=0,0,(AR362-IF(6=D362,1,0))*ROUND(AS362*VLOOKUP(INDEX('章节与怪物'!$E$31:$K$37,B362,6),'章节与怪物'!$A$41:$F$44,2,FALSE),0)+IF(6=D362,ROUND(AS362*'难度参数'!$E$28*'章节与怪物'!$E$17,0),0))</x:f>
        <x:v>788020</x:v>
      </x:c>
      <x:c r="AU362" s="119" t="n">
        <x:f>IF(AR362=0,0,(AR362-IF(6=D362,1,0))*VLOOKUP(INDEX('章节与怪物'!$E$31:$K$37,B362,6),'章节与怪物'!$A$41:$F$44,4,FALSE)+IF(6=D362,'难度参数'!$E$30,0))</x:f>
        <x:v>1148</x:v>
      </x:c>
      <x:c r="AV362" s="119" t="n">
        <x:f>IF(7&gt;D362,0,MAX(2,MIN('难度参数'!$E$12,ROUND(('难度参数'!$E$18*POWER(A362,'难度参数'!$E$19)/D362*(0.85+0.3*(7-1)/MAX(1,D362-1))),0)+F362)))</x:f>
        <x:v>42</x:v>
      </x:c>
      <x:c r="AW362" s="119" t="n">
        <x:f>IF(7&gt;D362,0,ROUND(('难度参数'!$E$13*POWER(A362,'难度参数'!$E$20)*MIN('难度参数'!$E$23,1+MAX(0,A362-'难度参数'!$E$21)*'难度参数'!$E$22))*(36+7*7)/(36+7*(D362+1)/2)*E362,0))</x:f>
        <x:v>12320</x:v>
      </x:c>
      <x:c r="AX362" s="119" t="n">
        <x:f>IF(AV362=0,0,(AV362-IF(7=D362,1,0))*ROUND(AW362*VLOOKUP(INDEX('章节与怪物'!$E$31:$K$37,B362,7),'章节与怪物'!$A$41:$F$44,2,FALSE),0)+IF(7=D362,ROUND(AW362*'难度参数'!$E$28*'章节与怪物'!$E$17,0),0))</x:f>
        <x:v>765688</x:v>
      </x:c>
      <x:c r="AY362" s="119" t="n">
        <x:f>IF(AV362=0,0,(AV362-IF(7=D362,1,0))*VLOOKUP(INDEX('章节与怪物'!$E$31:$K$37,B362,7),'章节与怪物'!$A$41:$F$44,4,FALSE)+IF(7=D362,'难度参数'!$E$30,0))</x:f>
        <x:v>1594</x:v>
      </x:c>
    </x:row>
    <x:row r="363" ht="23" customHeight="1">
      <x:c r="A363" s="119" t="n">
        <x:v>357</x:v>
      </x:c>
      <x:c r="B363" s="119" t="n">
        <x:f>MOD(INT((A363-1)/5),7)+1</x:f>
        <x:v>2</x:v>
      </x:c>
      <x:c r="C363" s="62" t="str">
        <x:f>INDEX('章节与怪物'!$B$31:$B$37,B363)</x:f>
        <x:v>黄沙要塞</x:v>
      </x:c>
      <x:c r="D363" s="119" t="n">
        <x:f>MIN('难度参数'!$E$8,MAX('难度参数'!$E$7,A363))</x:f>
        <x:v>7</x:v>
      </x:c>
      <x:c r="E363" s="106" t="n">
        <x:v>1</x:v>
      </x:c>
      <x:c r="F363" s="106" t="n">
        <x:v>0</x:v>
      </x:c>
      <x:c r="G363" s="106" t="n">
        <x:v>1</x:v>
      </x:c>
      <x:c r="H363" s="119" t="n">
        <x:f>SUM(X363,AB363,AF363,AJ363,AN363,AR363,AV363)</x:f>
        <x:v>258</x:v>
      </x:c>
      <x:c r="I363" s="119" t="n">
        <x:f>SUM(Z363,AD363,AH363,AL363,AP363,AT363,AX363)</x:f>
        <x:v>3294851</x:v>
      </x:c>
      <x:c r="J363" s="119" t="n">
        <x:f>ROUND(INDEX(X363:AY363,1,(D363-1)*4+2)*'难度参数'!$E$28*'章节与怪物'!$E$17,0)</x:f>
        <x:v>83946</x:v>
      </x:c>
      <x:c r="K363" s="119" t="n">
        <x:f>SUM(AA363,AE363,AI363,AM363,AQ363,AU363,AY363)</x:f>
        <x:v>6896</x:v>
      </x:c>
      <x:c r="L363" s="62" t="n">
        <x:f>H363*(ROUNDUP('难度参数'!$E$24/('难度参数'!$E$26*'难度参数'!$E$27),0)*'难度参数'!$E$26)/60</x:f>
        <x:v>3.44</x:v>
      </x:c>
      <x:c r="M363" s="62" t="n">
        <x:f>L363+D363*('难度参数'!$E$49+'难度参数'!$E$50)/60</x:f>
        <x:v>4.6066666666666665</x:v>
      </x:c>
      <x:c r="N363" s="119" t="n">
        <x:f>ROUNDDOWN(('经济参数'!$E$20+A363*'经济参数'!$E$21)*G363,0)</x:f>
        <x:v>7320</x:v>
      </x:c>
      <x:c r="O363" s="119" t="n">
        <x:f>ROUNDDOWN(MIN('经济参数'!$E$24,'经济参数'!$E$22+A363*'经济参数'!$E$23)*G363,0)</x:f>
        <x:v>0</x:v>
      </x:c>
      <x:c r="P363" s="119" t="n">
        <x:f>ROUNDDOWN((IF(A363&gt;='材料与任务'!$E$31,'材料与任务'!$E$32,IF(A363&gt;='材料与任务'!$E$25,'材料与任务'!$E$26,IF(A363&gt;='材料与任务'!$E$19,'材料与任务'!$E$20,IF(A363&gt;='材料与任务'!$E$13,'材料与任务'!$E$14,'材料与任务'!$E$8)))))*G363,0)</x:f>
        <x:v>6</x:v>
      </x:c>
      <x:c r="Q363" s="119" t="n">
        <x:f>ROUNDDOWN((IF(A363&gt;='材料与任务'!$E$31,'材料与任务'!$E$33,IF(A363&gt;='材料与任务'!$E$25,'材料与任务'!$E$27,IF(A363&gt;='材料与任务'!$E$19,'材料与任务'!$E$21,IF(A363&gt;='材料与任务'!$E$13,'材料与任务'!$E$15,'材料与任务'!$E$9)))))*G363,0)</x:f>
        <x:v>3</x:v>
      </x:c>
      <x:c r="R363" s="110" t="n">
        <x:f>'装备掉落'!$B$38</x:f>
        <x:v>0.6872058758851213</x:v>
      </x:c>
      <x:c r="S363" s="119" t="n">
        <x:f>MAX(IF(VLOOKUP(A363,'装备掉落'!$A$29:$H$34,2,TRUE)&gt;0,1,0),IF(VLOOKUP(A363,'装备掉落'!$A$29:$H$34,3,TRUE)&gt;0,2,0),IF(VLOOKUP(A363,'装备掉落'!$A$29:$H$34,4,TRUE)&gt;0,3,0),IF(VLOOKUP(A363,'装备掉落'!$A$29:$H$34,5,TRUE)&gt;0,4,0),IF(VLOOKUP(A363,'装备掉落'!$A$29:$H$34,6,TRUE)&gt;0,5,0),IF(VLOOKUP(A363,'装备掉落'!$A$29:$H$34,7,TRUE)&gt;0,6,0),IF(VLOOKUP(A363,'装备掉落'!$A$29:$H$34,8,TRUE)&gt;0,7,0))</x:f>
        <x:v>7</x:v>
      </x:c>
      <x:c r="T363" s="119" t="n">
        <x:f>MIN(7,S363+'经济参数'!$E$70)</x:f>
        <x:v>7</x:v>
      </x:c>
      <x:c r="U363" s="119" t="n">
        <x:f>MIN(7,S363+'经济参数'!$E$71)</x:f>
        <x:v>7</x:v>
      </x:c>
      <x:c r="V363" s="119" t="n">
        <x:f>IF(H363&gt;=('难度参数'!$E$52),1,0)+IF(H363&gt;=('难度参数'!$E$52+'难度参数'!$E$53),1,0)+IF(H363&gt;=('难度参数'!$E$52+'难度参数'!$E$53+'难度参数'!$E$54),1,0)+IF(H363&gt;=('难度参数'!$E$52+'难度参数'!$E$53+'难度参数'!$E$54+'难度参数'!$E$55),1,0)+IF(H363&gt;=('难度参数'!$E$52+'难度参数'!$E$53+'难度参数'!$E$54+'难度参数'!$E$55+'难度参数'!$E$56),1,0)+IF(H363&gt;=('难度参数'!$E$52+'难度参数'!$E$53+'难度参数'!$E$54+'难度参数'!$E$55+'难度参数'!$E$56+'难度参数'!$E$57),1,0)</x:f>
        <x:v>6</x:v>
      </x:c>
      <x:c r="W363" s="62" t="str">
        <x:f>IF(L363&gt;'难度参数'!$E$51,"仅出怪已超目标","还需实测")</x:f>
        <x:v>仅出怪已超目标</x:v>
      </x:c>
      <x:c r="X363" s="119" t="n">
        <x:f>IF(1&gt;D363,0,MAX(2,MIN('难度参数'!$E$12,ROUND(('难度参数'!$E$18*POWER(A363,'难度参数'!$E$19)/D363*(0.85+0.3*(1-1)/MAX(1,D363-1))),0)+F363)))</x:f>
        <x:v>31</x:v>
      </x:c>
      <x:c r="Y363" s="119" t="n">
        <x:f>IF(1&gt;D363,0,ROUND(('难度参数'!$E$13*POWER(A363,'难度参数'!$E$20)*MIN('难度参数'!$E$23,1+MAX(0,A363-'难度参数'!$E$21)*'难度参数'!$E$22))*(36+1*7)/(36+7*(D363+1)/2)*E363,0))</x:f>
        <x:v>6245</x:v>
      </x:c>
      <x:c r="Z363" s="119" t="n">
        <x:f>IF(X363=0,0,(X363-IF(1=D363,1,0))*ROUND(Y363*VLOOKUP(INDEX('章节与怪物'!$E$31:$K$37,B363,1),'章节与怪物'!$A$41:$F$44,2,FALSE),0)+IF(1=D363,ROUND(Y363*'难度参数'!$E$28*'章节与怪物'!$E$17,0),0))</x:f>
        <x:v>139376</x:v>
      </x:c>
      <x:c r="AA363" s="119" t="n">
        <x:f>IF(X363=0,0,(X363-IF(1=D363,1,0))*VLOOKUP(INDEX('章节与怪物'!$E$31:$K$37,B363,1),'章节与怪物'!$A$41:$F$44,4,FALSE)+IF(1=D363,'难度参数'!$E$30,0))</x:f>
        <x:v>620</x:v>
      </x:c>
      <x:c r="AB363" s="119" t="n">
        <x:f>IF(2&gt;D363,0,MAX(2,MIN('难度参数'!$E$12,ROUND(('难度参数'!$E$18*POWER(A363,'难度参数'!$E$19)/D363*(0.85+0.3*(2-1)/MAX(1,D363-1))),0)+F363)))</x:f>
        <x:v>33</x:v>
      </x:c>
      <x:c r="AC363" s="119" t="n">
        <x:f>IF(2&gt;D363,0,ROUND(('难度参数'!$E$13*POWER(A363,'难度参数'!$E$20)*MIN('难度参数'!$E$23,1+MAX(0,A363-'难度参数'!$E$21)*'难度参数'!$E$22))*(36+2*7)/(36+7*(D363+1)/2)*E363,0))</x:f>
        <x:v>7262</x:v>
      </x:c>
      <x:c r="AD363" s="119" t="n">
        <x:f>IF(AB363=0,0,(AB363-IF(2=D363,1,0))*ROUND(AC363*VLOOKUP(INDEX('章节与怪物'!$E$31:$K$37,B363,2),'章节与怪物'!$A$41:$F$44,2,FALSE),0)+IF(2=D363,ROUND(AC363*'难度参数'!$E$28*'章节与怪物'!$E$17,0),0))</x:f>
        <x:v>239646</x:v>
      </x:c>
      <x:c r="AE363" s="119" t="n">
        <x:f>IF(AB363=0,0,(AB363-IF(2=D363,1,0))*VLOOKUP(INDEX('章节与怪物'!$E$31:$K$37,B363,2),'章节与怪物'!$A$41:$F$44,4,FALSE)+IF(2=D363,'难度参数'!$E$30,0))</x:f>
        <x:v>594</x:v>
      </x:c>
      <x:c r="AF363" s="119" t="n">
        <x:f>IF(3&gt;D363,0,MAX(2,MIN('难度参数'!$E$12,ROUND(('难度参数'!$E$18*POWER(A363,'难度参数'!$E$19)/D363*(0.85+0.3*(3-1)/MAX(1,D363-1))),0)+F363)))</x:f>
        <x:v>35</x:v>
      </x:c>
      <x:c r="AG363" s="119" t="n">
        <x:f>IF(3&gt;D363,0,ROUND(('难度参数'!$E$13*POWER(A363,'难度参数'!$E$20)*MIN('难度参数'!$E$23,1+MAX(0,A363-'难度参数'!$E$21)*'难度参数'!$E$22))*(36+3*7)/(36+7*(D363+1)/2)*E363,0))</x:f>
        <x:v>8278</x:v>
      </x:c>
      <x:c r="AH363" s="119" t="n">
        <x:f>IF(AF363=0,0,(AF363-IF(3=D363,1,0))*ROUND(AG363*VLOOKUP(INDEX('章节与怪物'!$E$31:$K$37,B363,3),'章节与怪物'!$A$41:$F$44,2,FALSE),0)+IF(3=D363,ROUND(AG363*'难度参数'!$E$28*'章节与怪物'!$E$17,0),0))</x:f>
        <x:v>492555</x:v>
      </x:c>
      <x:c r="AI363" s="119" t="n">
        <x:f>IF(AF363=0,0,(AF363-IF(3=D363,1,0))*VLOOKUP(INDEX('章节与怪物'!$E$31:$K$37,B363,3),'章节与怪物'!$A$41:$F$44,4,FALSE)+IF(3=D363,'难度参数'!$E$30,0))</x:f>
        <x:v>980</x:v>
      </x:c>
      <x:c r="AJ363" s="119" t="n">
        <x:f>IF(4&gt;D363,0,MAX(2,MIN('难度参数'!$E$12,ROUND(('难度参数'!$E$18*POWER(A363,'难度参数'!$E$19)/D363*(0.85+0.3*(4-1)/MAX(1,D363-1))),0)+F363)))</x:f>
        <x:v>37</x:v>
      </x:c>
      <x:c r="AK363" s="119" t="n">
        <x:f>IF(4&gt;D363,0,ROUND(('难度参数'!$E$13*POWER(A363,'难度参数'!$E$20)*MIN('难度参数'!$E$23,1+MAX(0,A363-'难度参数'!$E$21)*'难度参数'!$E$22))*(36+4*7)/(36+7*(D363+1)/2)*E363,0))</x:f>
        <x:v>9295</x:v>
      </x:c>
      <x:c r="AL363" s="119" t="n">
        <x:f>IF(AJ363=0,0,(AJ363-IF(4=D363,1,0))*ROUND(AK363*VLOOKUP(INDEX('章节与怪物'!$E$31:$K$37,B363,4),'章节与怪物'!$A$41:$F$44,2,FALSE),0)+IF(4=D363,ROUND(AK363*'难度参数'!$E$28*'章节与怪物'!$E$17,0),0))</x:f>
        <x:v>464276</x:v>
      </x:c>
      <x:c r="AM363" s="119" t="n">
        <x:f>IF(AJ363=0,0,(AJ363-IF(4=D363,1,0))*VLOOKUP(INDEX('章节与怪物'!$E$31:$K$37,B363,4),'章节与怪物'!$A$41:$F$44,4,FALSE)+IF(4=D363,'难度参数'!$E$30,0))</x:f>
        <x:v>1258</x:v>
      </x:c>
      <x:c r="AN363" s="119" t="n">
        <x:f>IF(5&gt;D363,0,MAX(2,MIN('难度参数'!$E$12,ROUND(('难度参数'!$E$18*POWER(A363,'难度参数'!$E$19)/D363*(0.85+0.3*(5-1)/MAX(1,D363-1))),0)+F363)))</x:f>
        <x:v>39</x:v>
      </x:c>
      <x:c r="AO363" s="119" t="n">
        <x:f>IF(5&gt;D363,0,ROUND(('难度参数'!$E$13*POWER(A363,'难度参数'!$E$20)*MIN('难度参数'!$E$23,1+MAX(0,A363-'难度参数'!$E$21)*'难度参数'!$E$22))*(36+5*7)/(36+7*(D363+1)/2)*E363,0))</x:f>
        <x:v>10312</x:v>
      </x:c>
      <x:c r="AP363" s="119" t="n">
        <x:f>IF(AN363=0,0,(AN363-IF(5=D363,1,0))*ROUND(AO363*VLOOKUP(INDEX('章节与怪物'!$E$31:$K$37,B363,5),'章节与怪物'!$A$41:$F$44,2,FALSE),0)+IF(5=D363,ROUND(AO363*'难度参数'!$E$28*'章节与怪物'!$E$17,0),0))</x:f>
        <x:v>402168</x:v>
      </x:c>
      <x:c r="AQ363" s="119" t="n">
        <x:f>IF(AN363=0,0,(AN363-IF(5=D363,1,0))*VLOOKUP(INDEX('章节与怪物'!$E$31:$K$37,B363,5),'章节与怪物'!$A$41:$F$44,4,FALSE)+IF(5=D363,'难度参数'!$E$30,0))</x:f>
        <x:v>702</x:v>
      </x:c>
      <x:c r="AR363" s="119" t="n">
        <x:f>IF(6&gt;D363,0,MAX(2,MIN('难度参数'!$E$12,ROUND(('难度参数'!$E$18*POWER(A363,'难度参数'!$E$19)/D363*(0.85+0.3*(6-1)/MAX(1,D363-1))),0)+F363)))</x:f>
        <x:v>41</x:v>
      </x:c>
      <x:c r="AS363" s="119" t="n">
        <x:f>IF(6&gt;D363,0,ROUND(('难度参数'!$E$13*POWER(A363,'难度参数'!$E$20)*MIN('难度参数'!$E$23,1+MAX(0,A363-'难度参数'!$E$21)*'难度参数'!$E$22))*(36+6*7)/(36+7*(D363+1)/2)*E363,0))</x:f>
        <x:v>11328</x:v>
      </x:c>
      <x:c r="AT363" s="119" t="n">
        <x:f>IF(AR363=0,0,(AR363-IF(6=D363,1,0))*ROUND(AS363*VLOOKUP(INDEX('章节与怪物'!$E$31:$K$37,B363,6),'章节与怪物'!$A$41:$F$44,2,FALSE),0)+IF(6=D363,ROUND(AS363*'难度参数'!$E$28*'章节与怪物'!$E$17,0),0))</x:f>
        <x:v>789578</x:v>
      </x:c>
      <x:c r="AU363" s="119" t="n">
        <x:f>IF(AR363=0,0,(AR363-IF(6=D363,1,0))*VLOOKUP(INDEX('章节与怪物'!$E$31:$K$37,B363,6),'章节与怪物'!$A$41:$F$44,4,FALSE)+IF(6=D363,'难度参数'!$E$30,0))</x:f>
        <x:v>1148</x:v>
      </x:c>
      <x:c r="AV363" s="119" t="n">
        <x:f>IF(7&gt;D363,0,MAX(2,MIN('难度参数'!$E$12,ROUND(('难度参数'!$E$18*POWER(A363,'难度参数'!$E$19)/D363*(0.85+0.3*(7-1)/MAX(1,D363-1))),0)+F363)))</x:f>
        <x:v>42</x:v>
      </x:c>
      <x:c r="AW363" s="119" t="n">
        <x:f>IF(7&gt;D363,0,ROUND(('难度参数'!$E$13*POWER(A363,'难度参数'!$E$20)*MIN('难度参数'!$E$23,1+MAX(0,A363-'难度参数'!$E$21)*'难度参数'!$E$22))*(36+7*7)/(36+7*(D363+1)/2)*E363,0))</x:f>
        <x:v>12345</x:v>
      </x:c>
      <x:c r="AX363" s="119" t="n">
        <x:f>IF(AV363=0,0,(AV363-IF(7=D363,1,0))*ROUND(AW363*VLOOKUP(INDEX('章节与怪物'!$E$31:$K$37,B363,7),'章节与怪物'!$A$41:$F$44,2,FALSE),0)+IF(7=D363,ROUND(AW363*'难度参数'!$E$28*'章节与怪物'!$E$17,0),0))</x:f>
        <x:v>767252</x:v>
      </x:c>
      <x:c r="AY363" s="119" t="n">
        <x:f>IF(AV363=0,0,(AV363-IF(7=D363,1,0))*VLOOKUP(INDEX('章节与怪物'!$E$31:$K$37,B363,7),'章节与怪物'!$A$41:$F$44,4,FALSE)+IF(7=D363,'难度参数'!$E$30,0))</x:f>
        <x:v>1594</x:v>
      </x:c>
    </x:row>
    <x:row r="364" ht="23" customHeight="1">
      <x:c r="A364" s="119" t="n">
        <x:v>358</x:v>
      </x:c>
      <x:c r="B364" s="119" t="n">
        <x:f>MOD(INT((A364-1)/5),7)+1</x:f>
        <x:v>2</x:v>
      </x:c>
      <x:c r="C364" s="62" t="str">
        <x:f>INDEX('章节与怪物'!$B$31:$B$37,B364)</x:f>
        <x:v>黄沙要塞</x:v>
      </x:c>
      <x:c r="D364" s="119" t="n">
        <x:f>MIN('难度参数'!$E$8,MAX('难度参数'!$E$7,A364))</x:f>
        <x:v>7</x:v>
      </x:c>
      <x:c r="E364" s="106" t="n">
        <x:v>1</x:v>
      </x:c>
      <x:c r="F364" s="106" t="n">
        <x:v>0</x:v>
      </x:c>
      <x:c r="G364" s="106" t="n">
        <x:v>1</x:v>
      </x:c>
      <x:c r="H364" s="119" t="n">
        <x:f>SUM(X364,AB364,AF364,AJ364,AN364,AR364,AV364)</x:f>
        <x:v>258</x:v>
      </x:c>
      <x:c r="I364" s="119" t="n">
        <x:f>SUM(Z364,AD364,AH364,AL364,AP364,AT364,AX364)</x:f>
        <x:v>3301582</x:v>
      </x:c>
      <x:c r="J364" s="119" t="n">
        <x:f>ROUND(INDEX(X364:AY364,1,(D364-1)*4+2)*'难度参数'!$E$28*'章节与怪物'!$E$17,0)</x:f>
        <x:v>84116</x:v>
      </x:c>
      <x:c r="K364" s="119" t="n">
        <x:f>SUM(AA364,AE364,AI364,AM364,AQ364,AU364,AY364)</x:f>
        <x:v>6896</x:v>
      </x:c>
      <x:c r="L364" s="62" t="n">
        <x:f>H364*(ROUNDUP('难度参数'!$E$24/('难度参数'!$E$26*'难度参数'!$E$27),0)*'难度参数'!$E$26)/60</x:f>
        <x:v>3.44</x:v>
      </x:c>
      <x:c r="M364" s="62" t="n">
        <x:f>L364+D364*('难度参数'!$E$49+'难度参数'!$E$50)/60</x:f>
        <x:v>4.6066666666666665</x:v>
      </x:c>
      <x:c r="N364" s="119" t="n">
        <x:f>ROUNDDOWN(('经济参数'!$E$20+A364*'经济参数'!$E$21)*G364,0)</x:f>
        <x:v>7340</x:v>
      </x:c>
      <x:c r="O364" s="119" t="n">
        <x:f>ROUNDDOWN(MIN('经济参数'!$E$24,'经济参数'!$E$22+A364*'经济参数'!$E$23)*G364,0)</x:f>
        <x:v>0</x:v>
      </x:c>
      <x:c r="P364" s="119" t="n">
        <x:f>ROUNDDOWN((IF(A364&gt;='材料与任务'!$E$31,'材料与任务'!$E$32,IF(A364&gt;='材料与任务'!$E$25,'材料与任务'!$E$26,IF(A364&gt;='材料与任务'!$E$19,'材料与任务'!$E$20,IF(A364&gt;='材料与任务'!$E$13,'材料与任务'!$E$14,'材料与任务'!$E$8)))))*G364,0)</x:f>
        <x:v>6</x:v>
      </x:c>
      <x:c r="Q364" s="119" t="n">
        <x:f>ROUNDDOWN((IF(A364&gt;='材料与任务'!$E$31,'材料与任务'!$E$33,IF(A364&gt;='材料与任务'!$E$25,'材料与任务'!$E$27,IF(A364&gt;='材料与任务'!$E$19,'材料与任务'!$E$21,IF(A364&gt;='材料与任务'!$E$13,'材料与任务'!$E$15,'材料与任务'!$E$9)))))*G364,0)</x:f>
        <x:v>3</x:v>
      </x:c>
      <x:c r="R364" s="110" t="n">
        <x:f>'装备掉落'!$B$38</x:f>
        <x:v>0.6872058758851213</x:v>
      </x:c>
      <x:c r="S364" s="119" t="n">
        <x:f>MAX(IF(VLOOKUP(A364,'装备掉落'!$A$29:$H$34,2,TRUE)&gt;0,1,0),IF(VLOOKUP(A364,'装备掉落'!$A$29:$H$34,3,TRUE)&gt;0,2,0),IF(VLOOKUP(A364,'装备掉落'!$A$29:$H$34,4,TRUE)&gt;0,3,0),IF(VLOOKUP(A364,'装备掉落'!$A$29:$H$34,5,TRUE)&gt;0,4,0),IF(VLOOKUP(A364,'装备掉落'!$A$29:$H$34,6,TRUE)&gt;0,5,0),IF(VLOOKUP(A364,'装备掉落'!$A$29:$H$34,7,TRUE)&gt;0,6,0),IF(VLOOKUP(A364,'装备掉落'!$A$29:$H$34,8,TRUE)&gt;0,7,0))</x:f>
        <x:v>7</x:v>
      </x:c>
      <x:c r="T364" s="119" t="n">
        <x:f>MIN(7,S364+'经济参数'!$E$70)</x:f>
        <x:v>7</x:v>
      </x:c>
      <x:c r="U364" s="119" t="n">
        <x:f>MIN(7,S364+'经济参数'!$E$71)</x:f>
        <x:v>7</x:v>
      </x:c>
      <x:c r="V364" s="119" t="n">
        <x:f>IF(H364&gt;=('难度参数'!$E$52),1,0)+IF(H364&gt;=('难度参数'!$E$52+'难度参数'!$E$53),1,0)+IF(H364&gt;=('难度参数'!$E$52+'难度参数'!$E$53+'难度参数'!$E$54),1,0)+IF(H364&gt;=('难度参数'!$E$52+'难度参数'!$E$53+'难度参数'!$E$54+'难度参数'!$E$55),1,0)+IF(H364&gt;=('难度参数'!$E$52+'难度参数'!$E$53+'难度参数'!$E$54+'难度参数'!$E$55+'难度参数'!$E$56),1,0)+IF(H364&gt;=('难度参数'!$E$52+'难度参数'!$E$53+'难度参数'!$E$54+'难度参数'!$E$55+'难度参数'!$E$56+'难度参数'!$E$57),1,0)</x:f>
        <x:v>6</x:v>
      </x:c>
      <x:c r="W364" s="62" t="str">
        <x:f>IF(L364&gt;'难度参数'!$E$51,"仅出怪已超目标","还需实测")</x:f>
        <x:v>仅出怪已超目标</x:v>
      </x:c>
      <x:c r="X364" s="119" t="n">
        <x:f>IF(1&gt;D364,0,MAX(2,MIN('难度参数'!$E$12,ROUND(('难度参数'!$E$18*POWER(A364,'难度参数'!$E$19)/D364*(0.85+0.3*(1-1)/MAX(1,D364-1))),0)+F364)))</x:f>
        <x:v>31</x:v>
      </x:c>
      <x:c r="Y364" s="119" t="n">
        <x:f>IF(1&gt;D364,0,ROUND(('难度参数'!$E$13*POWER(A364,'难度参数'!$E$20)*MIN('难度参数'!$E$23,1+MAX(0,A364-'难度参数'!$E$21)*'难度参数'!$E$22))*(36+1*7)/(36+7*(D364+1)/2)*E364,0))</x:f>
        <x:v>6258</x:v>
      </x:c>
      <x:c r="Z364" s="119" t="n">
        <x:f>IF(X364=0,0,(X364-IF(1=D364,1,0))*ROUND(Y364*VLOOKUP(INDEX('章节与怪物'!$E$31:$K$37,B364,1),'章节与怪物'!$A$41:$F$44,2,FALSE),0)+IF(1=D364,ROUND(Y364*'难度参数'!$E$28*'章节与怪物'!$E$17,0),0))</x:f>
        <x:v>139686</x:v>
      </x:c>
      <x:c r="AA364" s="119" t="n">
        <x:f>IF(X364=0,0,(X364-IF(1=D364,1,0))*VLOOKUP(INDEX('章节与怪物'!$E$31:$K$37,B364,1),'章节与怪物'!$A$41:$F$44,4,FALSE)+IF(1=D364,'难度参数'!$E$30,0))</x:f>
        <x:v>620</x:v>
      </x:c>
      <x:c r="AB364" s="119" t="n">
        <x:f>IF(2&gt;D364,0,MAX(2,MIN('难度参数'!$E$12,ROUND(('难度参数'!$E$18*POWER(A364,'难度参数'!$E$19)/D364*(0.85+0.3*(2-1)/MAX(1,D364-1))),0)+F364)))</x:f>
        <x:v>33</x:v>
      </x:c>
      <x:c r="AC364" s="119" t="n">
        <x:f>IF(2&gt;D364,0,ROUND(('难度参数'!$E$13*POWER(A364,'难度参数'!$E$20)*MIN('难度参数'!$E$23,1+MAX(0,A364-'难度参数'!$E$21)*'难度参数'!$E$22))*(36+2*7)/(36+7*(D364+1)/2)*E364,0))</x:f>
        <x:v>7276</x:v>
      </x:c>
      <x:c r="AD364" s="119" t="n">
        <x:f>IF(AB364=0,0,(AB364-IF(2=D364,1,0))*ROUND(AC364*VLOOKUP(INDEX('章节与怪物'!$E$31:$K$37,B364,2),'章节与怪物'!$A$41:$F$44,2,FALSE),0)+IF(2=D364,ROUND(AC364*'难度参数'!$E$28*'章节与怪物'!$E$17,0),0))</x:f>
        <x:v>240108</x:v>
      </x:c>
      <x:c r="AE364" s="119" t="n">
        <x:f>IF(AB364=0,0,(AB364-IF(2=D364,1,0))*VLOOKUP(INDEX('章节与怪物'!$E$31:$K$37,B364,2),'章节与怪物'!$A$41:$F$44,4,FALSE)+IF(2=D364,'难度参数'!$E$30,0))</x:f>
        <x:v>594</x:v>
      </x:c>
      <x:c r="AF364" s="119" t="n">
        <x:f>IF(3&gt;D364,0,MAX(2,MIN('难度参数'!$E$12,ROUND(('难度参数'!$E$18*POWER(A364,'难度参数'!$E$19)/D364*(0.85+0.3*(3-1)/MAX(1,D364-1))),0)+F364)))</x:f>
        <x:v>35</x:v>
      </x:c>
      <x:c r="AG364" s="119" t="n">
        <x:f>IF(3&gt;D364,0,ROUND(('难度参数'!$E$13*POWER(A364,'难度参数'!$E$20)*MIN('难度参数'!$E$23,1+MAX(0,A364-'难度参数'!$E$21)*'难度参数'!$E$22))*(36+3*7)/(36+7*(D364+1)/2)*E364,0))</x:f>
        <x:v>8295</x:v>
      </x:c>
      <x:c r="AH364" s="119" t="n">
        <x:f>IF(AF364=0,0,(AF364-IF(3=D364,1,0))*ROUND(AG364*VLOOKUP(INDEX('章节与怪物'!$E$31:$K$37,B364,3),'章节与怪物'!$A$41:$F$44,2,FALSE),0)+IF(3=D364,ROUND(AG364*'难度参数'!$E$28*'章节与怪物'!$E$17,0),0))</x:f>
        <x:v>493570</x:v>
      </x:c>
      <x:c r="AI364" s="119" t="n">
        <x:f>IF(AF364=0,0,(AF364-IF(3=D364,1,0))*VLOOKUP(INDEX('章节与怪物'!$E$31:$K$37,B364,3),'章节与怪物'!$A$41:$F$44,4,FALSE)+IF(3=D364,'难度参数'!$E$30,0))</x:f>
        <x:v>980</x:v>
      </x:c>
      <x:c r="AJ364" s="119" t="n">
        <x:f>IF(4&gt;D364,0,MAX(2,MIN('难度参数'!$E$12,ROUND(('难度参数'!$E$18*POWER(A364,'难度参数'!$E$19)/D364*(0.85+0.3*(4-1)/MAX(1,D364-1))),0)+F364)))</x:f>
        <x:v>37</x:v>
      </x:c>
      <x:c r="AK364" s="119" t="n">
        <x:f>IF(4&gt;D364,0,ROUND(('难度参数'!$E$13*POWER(A364,'难度参数'!$E$20)*MIN('难度参数'!$E$23,1+MAX(0,A364-'难度参数'!$E$21)*'难度参数'!$E$22))*(36+4*7)/(36+7*(D364+1)/2)*E364,0))</x:f>
        <x:v>9314</x:v>
      </x:c>
      <x:c r="AL364" s="119" t="n">
        <x:f>IF(AJ364=0,0,(AJ364-IF(4=D364,1,0))*ROUND(AK364*VLOOKUP(INDEX('章节与怪物'!$E$31:$K$37,B364,4),'章节与怪物'!$A$41:$F$44,2,FALSE),0)+IF(4=D364,ROUND(AK364*'难度参数'!$E$28*'章节与怪物'!$E$17,0),0))</x:f>
        <x:v>465238</x:v>
      </x:c>
      <x:c r="AM364" s="119" t="n">
        <x:f>IF(AJ364=0,0,(AJ364-IF(4=D364,1,0))*VLOOKUP(INDEX('章节与怪物'!$E$31:$K$37,B364,4),'章节与怪物'!$A$41:$F$44,4,FALSE)+IF(4=D364,'难度参数'!$E$30,0))</x:f>
        <x:v>1258</x:v>
      </x:c>
      <x:c r="AN364" s="119" t="n">
        <x:f>IF(5&gt;D364,0,MAX(2,MIN('难度参数'!$E$12,ROUND(('难度参数'!$E$18*POWER(A364,'难度参数'!$E$19)/D364*(0.85+0.3*(5-1)/MAX(1,D364-1))),0)+F364)))</x:f>
        <x:v>39</x:v>
      </x:c>
      <x:c r="AO364" s="119" t="n">
        <x:f>IF(5&gt;D364,0,ROUND(('难度参数'!$E$13*POWER(A364,'难度参数'!$E$20)*MIN('难度参数'!$E$23,1+MAX(0,A364-'难度参数'!$E$21)*'难度参数'!$E$22))*(36+5*7)/(36+7*(D364+1)/2)*E364,0))</x:f>
        <x:v>10333</x:v>
      </x:c>
      <x:c r="AP364" s="119" t="n">
        <x:f>IF(AN364=0,0,(AN364-IF(5=D364,1,0))*ROUND(AO364*VLOOKUP(INDEX('章节与怪物'!$E$31:$K$37,B364,5),'章节与怪物'!$A$41:$F$44,2,FALSE),0)+IF(5=D364,ROUND(AO364*'难度参数'!$E$28*'章节与怪物'!$E$17,0),0))</x:f>
        <x:v>402987</x:v>
      </x:c>
      <x:c r="AQ364" s="119" t="n">
        <x:f>IF(AN364=0,0,(AN364-IF(5=D364,1,0))*VLOOKUP(INDEX('章节与怪物'!$E$31:$K$37,B364,5),'章节与怪物'!$A$41:$F$44,4,FALSE)+IF(5=D364,'难度参数'!$E$30,0))</x:f>
        <x:v>702</x:v>
      </x:c>
      <x:c r="AR364" s="119" t="n">
        <x:f>IF(6&gt;D364,0,MAX(2,MIN('难度参数'!$E$12,ROUND(('难度参数'!$E$18*POWER(A364,'难度参数'!$E$19)/D364*(0.85+0.3*(6-1)/MAX(1,D364-1))),0)+F364)))</x:f>
        <x:v>41</x:v>
      </x:c>
      <x:c r="AS364" s="119" t="n">
        <x:f>IF(6&gt;D364,0,ROUND(('难度参数'!$E$13*POWER(A364,'难度参数'!$E$20)*MIN('难度参数'!$E$23,1+MAX(0,A364-'难度参数'!$E$21)*'难度参数'!$E$22))*(36+6*7)/(36+7*(D364+1)/2)*E364,0))</x:f>
        <x:v>11351</x:v>
      </x:c>
      <x:c r="AT364" s="119" t="n">
        <x:f>IF(AR364=0,0,(AR364-IF(6=D364,1,0))*ROUND(AS364*VLOOKUP(INDEX('章节与怪物'!$E$31:$K$37,B364,6),'章节与怪物'!$A$41:$F$44,2,FALSE),0)+IF(6=D364,ROUND(AS364*'难度参数'!$E$28*'章节与怪物'!$E$17,0),0))</x:f>
        <x:v>791177</x:v>
      </x:c>
      <x:c r="AU364" s="119" t="n">
        <x:f>IF(AR364=0,0,(AR364-IF(6=D364,1,0))*VLOOKUP(INDEX('章节与怪物'!$E$31:$K$37,B364,6),'章节与怪物'!$A$41:$F$44,4,FALSE)+IF(6=D364,'难度参数'!$E$30,0))</x:f>
        <x:v>1148</x:v>
      </x:c>
      <x:c r="AV364" s="119" t="n">
        <x:f>IF(7&gt;D364,0,MAX(2,MIN('难度参数'!$E$12,ROUND(('难度参数'!$E$18*POWER(A364,'难度参数'!$E$19)/D364*(0.85+0.3*(7-1)/MAX(1,D364-1))),0)+F364)))</x:f>
        <x:v>42</x:v>
      </x:c>
      <x:c r="AW364" s="119" t="n">
        <x:f>IF(7&gt;D364,0,ROUND(('难度参数'!$E$13*POWER(A364,'难度参数'!$E$20)*MIN('难度参数'!$E$23,1+MAX(0,A364-'难度参数'!$E$21)*'难度参数'!$E$22))*(36+7*7)/(36+7*(D364+1)/2)*E364,0))</x:f>
        <x:v>12370</x:v>
      </x:c>
      <x:c r="AX364" s="119" t="n">
        <x:f>IF(AV364=0,0,(AV364-IF(7=D364,1,0))*ROUND(AW364*VLOOKUP(INDEX('章节与怪物'!$E$31:$K$37,B364,7),'章节与怪物'!$A$41:$F$44,2,FALSE),0)+IF(7=D364,ROUND(AW364*'难度参数'!$E$28*'章节与怪物'!$E$17,0),0))</x:f>
        <x:v>768816</x:v>
      </x:c>
      <x:c r="AY364" s="119" t="n">
        <x:f>IF(AV364=0,0,(AV364-IF(7=D364,1,0))*VLOOKUP(INDEX('章节与怪物'!$E$31:$K$37,B364,7),'章节与怪物'!$A$41:$F$44,4,FALSE)+IF(7=D364,'难度参数'!$E$30,0))</x:f>
        <x:v>1594</x:v>
      </x:c>
    </x:row>
    <x:row r="365" ht="23" customHeight="1">
      <x:c r="A365" s="119" t="n">
        <x:v>359</x:v>
      </x:c>
      <x:c r="B365" s="119" t="n">
        <x:f>MOD(INT((A365-1)/5),7)+1</x:f>
        <x:v>2</x:v>
      </x:c>
      <x:c r="C365" s="62" t="str">
        <x:f>INDEX('章节与怪物'!$B$31:$B$37,B365)</x:f>
        <x:v>黄沙要塞</x:v>
      </x:c>
      <x:c r="D365" s="119" t="n">
        <x:f>MIN('难度参数'!$E$8,MAX('难度参数'!$E$7,A365))</x:f>
        <x:v>7</x:v>
      </x:c>
      <x:c r="E365" s="106" t="n">
        <x:v>1</x:v>
      </x:c>
      <x:c r="F365" s="106" t="n">
        <x:v>0</x:v>
      </x:c>
      <x:c r="G365" s="106" t="n">
        <x:v>1</x:v>
      </x:c>
      <x:c r="H365" s="119" t="n">
        <x:f>SUM(X365,AB365,AF365,AJ365,AN365,AR365,AV365)</x:f>
        <x:v>259</x:v>
      </x:c>
      <x:c r="I365" s="119" t="n">
        <x:f>SUM(Z365,AD365,AH365,AL365,AP365,AT365,AX365)</x:f>
        <x:v>3324902</x:v>
      </x:c>
      <x:c r="J365" s="119" t="n">
        <x:f>ROUND(INDEX(X365:AY365,1,(D365-1)*4+2)*'难度参数'!$E$28*'章节与怪物'!$E$17,0)</x:f>
        <x:v>84286</x:v>
      </x:c>
      <x:c r="K365" s="119" t="n">
        <x:f>SUM(AA365,AE365,AI365,AM365,AQ365,AU365,AY365)</x:f>
        <x:v>6930</x:v>
      </x:c>
      <x:c r="L365" s="62" t="n">
        <x:f>H365*(ROUNDUP('难度参数'!$E$24/('难度参数'!$E$26*'难度参数'!$E$27),0)*'难度参数'!$E$26)/60</x:f>
        <x:v>3.4533333333333336</x:v>
      </x:c>
      <x:c r="M365" s="62" t="n">
        <x:f>L365+D365*('难度参数'!$E$49+'难度参数'!$E$50)/60</x:f>
        <x:v>4.62</x:v>
      </x:c>
      <x:c r="N365" s="119" t="n">
        <x:f>ROUNDDOWN(('经济参数'!$E$20+A365*'经济参数'!$E$21)*G365,0)</x:f>
        <x:v>7360</x:v>
      </x:c>
      <x:c r="O365" s="119" t="n">
        <x:f>ROUNDDOWN(MIN('经济参数'!$E$24,'经济参数'!$E$22+A365*'经济参数'!$E$23)*G365,0)</x:f>
        <x:v>0</x:v>
      </x:c>
      <x:c r="P365" s="119" t="n">
        <x:f>ROUNDDOWN((IF(A365&gt;='材料与任务'!$E$31,'材料与任务'!$E$32,IF(A365&gt;='材料与任务'!$E$25,'材料与任务'!$E$26,IF(A365&gt;='材料与任务'!$E$19,'材料与任务'!$E$20,IF(A365&gt;='材料与任务'!$E$13,'材料与任务'!$E$14,'材料与任务'!$E$8)))))*G365,0)</x:f>
        <x:v>6</x:v>
      </x:c>
      <x:c r="Q365" s="119" t="n">
        <x:f>ROUNDDOWN((IF(A365&gt;='材料与任务'!$E$31,'材料与任务'!$E$33,IF(A365&gt;='材料与任务'!$E$25,'材料与任务'!$E$27,IF(A365&gt;='材料与任务'!$E$19,'材料与任务'!$E$21,IF(A365&gt;='材料与任务'!$E$13,'材料与任务'!$E$15,'材料与任务'!$E$9)))))*G365,0)</x:f>
        <x:v>3</x:v>
      </x:c>
      <x:c r="R365" s="110" t="n">
        <x:f>'装备掉落'!$B$38</x:f>
        <x:v>0.6872058758851213</x:v>
      </x:c>
      <x:c r="S365" s="119" t="n">
        <x:f>MAX(IF(VLOOKUP(A365,'装备掉落'!$A$29:$H$34,2,TRUE)&gt;0,1,0),IF(VLOOKUP(A365,'装备掉落'!$A$29:$H$34,3,TRUE)&gt;0,2,0),IF(VLOOKUP(A365,'装备掉落'!$A$29:$H$34,4,TRUE)&gt;0,3,0),IF(VLOOKUP(A365,'装备掉落'!$A$29:$H$34,5,TRUE)&gt;0,4,0),IF(VLOOKUP(A365,'装备掉落'!$A$29:$H$34,6,TRUE)&gt;0,5,0),IF(VLOOKUP(A365,'装备掉落'!$A$29:$H$34,7,TRUE)&gt;0,6,0),IF(VLOOKUP(A365,'装备掉落'!$A$29:$H$34,8,TRUE)&gt;0,7,0))</x:f>
        <x:v>7</x:v>
      </x:c>
      <x:c r="T365" s="119" t="n">
        <x:f>MIN(7,S365+'经济参数'!$E$70)</x:f>
        <x:v>7</x:v>
      </x:c>
      <x:c r="U365" s="119" t="n">
        <x:f>MIN(7,S365+'经济参数'!$E$71)</x:f>
        <x:v>7</x:v>
      </x:c>
      <x:c r="V365" s="119" t="n">
        <x:f>IF(H365&gt;=('难度参数'!$E$52),1,0)+IF(H365&gt;=('难度参数'!$E$52+'难度参数'!$E$53),1,0)+IF(H365&gt;=('难度参数'!$E$52+'难度参数'!$E$53+'难度参数'!$E$54),1,0)+IF(H365&gt;=('难度参数'!$E$52+'难度参数'!$E$53+'难度参数'!$E$54+'难度参数'!$E$55),1,0)+IF(H365&gt;=('难度参数'!$E$52+'难度参数'!$E$53+'难度参数'!$E$54+'难度参数'!$E$55+'难度参数'!$E$56),1,0)+IF(H365&gt;=('难度参数'!$E$52+'难度参数'!$E$53+'难度参数'!$E$54+'难度参数'!$E$55+'难度参数'!$E$56+'难度参数'!$E$57),1,0)</x:f>
        <x:v>6</x:v>
      </x:c>
      <x:c r="W365" s="62" t="str">
        <x:f>IF(L365&gt;'难度参数'!$E$51,"仅出怪已超目标","还需实测")</x:f>
        <x:v>仅出怪已超目标</x:v>
      </x:c>
      <x:c r="X365" s="119" t="n">
        <x:f>IF(1&gt;D365,0,MAX(2,MIN('难度参数'!$E$12,ROUND(('难度参数'!$E$18*POWER(A365,'难度参数'!$E$19)/D365*(0.85+0.3*(1-1)/MAX(1,D365-1))),0)+F365)))</x:f>
        <x:v>31</x:v>
      </x:c>
      <x:c r="Y365" s="119" t="n">
        <x:f>IF(1&gt;D365,0,ROUND(('难度参数'!$E$13*POWER(A365,'难度参数'!$E$20)*MIN('难度参数'!$E$23,1+MAX(0,A365-'难度参数'!$E$21)*'难度参数'!$E$22))*(36+1*7)/(36+7*(D365+1)/2)*E365,0))</x:f>
        <x:v>6270</x:v>
      </x:c>
      <x:c r="Z365" s="119" t="n">
        <x:f>IF(X365=0,0,(X365-IF(1=D365,1,0))*ROUND(Y365*VLOOKUP(INDEX('章节与怪物'!$E$31:$K$37,B365,1),'章节与怪物'!$A$41:$F$44,2,FALSE),0)+IF(1=D365,ROUND(Y365*'难度参数'!$E$28*'章节与怪物'!$E$17,0),0))</x:f>
        <x:v>139934</x:v>
      </x:c>
      <x:c r="AA365" s="119" t="n">
        <x:f>IF(X365=0,0,(X365-IF(1=D365,1,0))*VLOOKUP(INDEX('章节与怪物'!$E$31:$K$37,B365,1),'章节与怪物'!$A$41:$F$44,4,FALSE)+IF(1=D365,'难度参数'!$E$30,0))</x:f>
        <x:v>620</x:v>
      </x:c>
      <x:c r="AB365" s="119" t="n">
        <x:f>IF(2&gt;D365,0,MAX(2,MIN('难度参数'!$E$12,ROUND(('难度参数'!$E$18*POWER(A365,'难度参数'!$E$19)/D365*(0.85+0.3*(2-1)/MAX(1,D365-1))),0)+F365)))</x:f>
        <x:v>33</x:v>
      </x:c>
      <x:c r="AC365" s="119" t="n">
        <x:f>IF(2&gt;D365,0,ROUND(('难度参数'!$E$13*POWER(A365,'难度参数'!$E$20)*MIN('难度参数'!$E$23,1+MAX(0,A365-'难度参数'!$E$21)*'难度参数'!$E$22))*(36+2*7)/(36+7*(D365+1)/2)*E365,0))</x:f>
        <x:v>7291</x:v>
      </x:c>
      <x:c r="AD365" s="119" t="n">
        <x:f>IF(AB365=0,0,(AB365-IF(2=D365,1,0))*ROUND(AC365*VLOOKUP(INDEX('章节与怪物'!$E$31:$K$37,B365,2),'章节与怪物'!$A$41:$F$44,2,FALSE),0)+IF(2=D365,ROUND(AC365*'难度参数'!$E$28*'章节与怪物'!$E$17,0),0))</x:f>
        <x:v>240603</x:v>
      </x:c>
      <x:c r="AE365" s="119" t="n">
        <x:f>IF(AB365=0,0,(AB365-IF(2=D365,1,0))*VLOOKUP(INDEX('章节与怪物'!$E$31:$K$37,B365,2),'章节与怪物'!$A$41:$F$44,4,FALSE)+IF(2=D365,'难度参数'!$E$30,0))</x:f>
        <x:v>594</x:v>
      </x:c>
      <x:c r="AF365" s="119" t="n">
        <x:f>IF(3&gt;D365,0,MAX(2,MIN('难度参数'!$E$12,ROUND(('难度参数'!$E$18*POWER(A365,'难度参数'!$E$19)/D365*(0.85+0.3*(3-1)/MAX(1,D365-1))),0)+F365)))</x:f>
        <x:v>35</x:v>
      </x:c>
      <x:c r="AG365" s="119" t="n">
        <x:f>IF(3&gt;D365,0,ROUND(('难度参数'!$E$13*POWER(A365,'难度参数'!$E$20)*MIN('难度参数'!$E$23,1+MAX(0,A365-'难度参数'!$E$21)*'难度参数'!$E$22))*(36+3*7)/(36+7*(D365+1)/2)*E365,0))</x:f>
        <x:v>8312</x:v>
      </x:c>
      <x:c r="AH365" s="119" t="n">
        <x:f>IF(AF365=0,0,(AF365-IF(3=D365,1,0))*ROUND(AG365*VLOOKUP(INDEX('章节与怪物'!$E$31:$K$37,B365,3),'章节与怪物'!$A$41:$F$44,2,FALSE),0)+IF(3=D365,ROUND(AG365*'难度参数'!$E$28*'章节与怪物'!$E$17,0),0))</x:f>
        <x:v>494550</x:v>
      </x:c>
      <x:c r="AI365" s="119" t="n">
        <x:f>IF(AF365=0,0,(AF365-IF(3=D365,1,0))*VLOOKUP(INDEX('章节与怪物'!$E$31:$K$37,B365,3),'章节与怪物'!$A$41:$F$44,4,FALSE)+IF(3=D365,'难度参数'!$E$30,0))</x:f>
        <x:v>980</x:v>
      </x:c>
      <x:c r="AJ365" s="119" t="n">
        <x:f>IF(4&gt;D365,0,MAX(2,MIN('难度参数'!$E$12,ROUND(('难度参数'!$E$18*POWER(A365,'难度参数'!$E$19)/D365*(0.85+0.3*(4-1)/MAX(1,D365-1))),0)+F365)))</x:f>
        <x:v>37</x:v>
      </x:c>
      <x:c r="AK365" s="119" t="n">
        <x:f>IF(4&gt;D365,0,ROUND(('难度参数'!$E$13*POWER(A365,'难度参数'!$E$20)*MIN('难度参数'!$E$23,1+MAX(0,A365-'难度参数'!$E$21)*'难度参数'!$E$22))*(36+4*7)/(36+7*(D365+1)/2)*E365,0))</x:f>
        <x:v>9333</x:v>
      </x:c>
      <x:c r="AL365" s="119" t="n">
        <x:f>IF(AJ365=0,0,(AJ365-IF(4=D365,1,0))*ROUND(AK365*VLOOKUP(INDEX('章节与怪物'!$E$31:$K$37,B365,4),'章节与怪物'!$A$41:$F$44,2,FALSE),0)+IF(4=D365,ROUND(AK365*'难度参数'!$E$28*'章节与怪物'!$E$17,0),0))</x:f>
        <x:v>466200</x:v>
      </x:c>
      <x:c r="AM365" s="119" t="n">
        <x:f>IF(AJ365=0,0,(AJ365-IF(4=D365,1,0))*VLOOKUP(INDEX('章节与怪物'!$E$31:$K$37,B365,4),'章节与怪物'!$A$41:$F$44,4,FALSE)+IF(4=D365,'难度参数'!$E$30,0))</x:f>
        <x:v>1258</x:v>
      </x:c>
      <x:c r="AN365" s="119" t="n">
        <x:f>IF(5&gt;D365,0,MAX(2,MIN('难度参数'!$E$12,ROUND(('难度参数'!$E$18*POWER(A365,'难度参数'!$E$19)/D365*(0.85+0.3*(5-1)/MAX(1,D365-1))),0)+F365)))</x:f>
        <x:v>39</x:v>
      </x:c>
      <x:c r="AO365" s="119" t="n">
        <x:f>IF(5&gt;D365,0,ROUND(('难度参数'!$E$13*POWER(A365,'难度参数'!$E$20)*MIN('难度参数'!$E$23,1+MAX(0,A365-'难度参数'!$E$21)*'难度参数'!$E$22))*(36+5*7)/(36+7*(D365+1)/2)*E365,0))</x:f>
        <x:v>10353</x:v>
      </x:c>
      <x:c r="AP365" s="119" t="n">
        <x:f>IF(AN365=0,0,(AN365-IF(5=D365,1,0))*ROUND(AO365*VLOOKUP(INDEX('章节与怪物'!$E$31:$K$37,B365,5),'章节与怪物'!$A$41:$F$44,2,FALSE),0)+IF(5=D365,ROUND(AO365*'难度参数'!$E$28*'章节与怪物'!$E$17,0),0))</x:f>
        <x:v>403767</x:v>
      </x:c>
      <x:c r="AQ365" s="119" t="n">
        <x:f>IF(AN365=0,0,(AN365-IF(5=D365,1,0))*VLOOKUP(INDEX('章节与怪物'!$E$31:$K$37,B365,5),'章节与怪物'!$A$41:$F$44,4,FALSE)+IF(5=D365,'难度参数'!$E$30,0))</x:f>
        <x:v>702</x:v>
      </x:c>
      <x:c r="AR365" s="119" t="n">
        <x:f>IF(6&gt;D365,0,MAX(2,MIN('难度参数'!$E$12,ROUND(('难度参数'!$E$18*POWER(A365,'难度参数'!$E$19)/D365*(0.85+0.3*(6-1)/MAX(1,D365-1))),0)+F365)))</x:f>
        <x:v>41</x:v>
      </x:c>
      <x:c r="AS365" s="119" t="n">
        <x:f>IF(6&gt;D365,0,ROUND(('难度参数'!$E$13*POWER(A365,'难度参数'!$E$20)*MIN('难度参数'!$E$23,1+MAX(0,A365-'难度参数'!$E$21)*'难度参数'!$E$22))*(36+6*7)/(36+7*(D365+1)/2)*E365,0))</x:f>
        <x:v>11374</x:v>
      </x:c>
      <x:c r="AT365" s="119" t="n">
        <x:f>IF(AR365=0,0,(AR365-IF(6=D365,1,0))*ROUND(AS365*VLOOKUP(INDEX('章节与怪物'!$E$31:$K$37,B365,6),'章节与怪物'!$A$41:$F$44,2,FALSE),0)+IF(6=D365,ROUND(AS365*'难度参数'!$E$28*'章节与怪物'!$E$17,0),0))</x:f>
        <x:v>792776</x:v>
      </x:c>
      <x:c r="AU365" s="119" t="n">
        <x:f>IF(AR365=0,0,(AR365-IF(6=D365,1,0))*VLOOKUP(INDEX('章节与怪物'!$E$31:$K$37,B365,6),'章节与怪物'!$A$41:$F$44,4,FALSE)+IF(6=D365,'难度参数'!$E$30,0))</x:f>
        <x:v>1148</x:v>
      </x:c>
      <x:c r="AV365" s="119" t="n">
        <x:f>IF(7&gt;D365,0,MAX(2,MIN('难度参数'!$E$12,ROUND(('难度参数'!$E$18*POWER(A365,'难度参数'!$E$19)/D365*(0.85+0.3*(7-1)/MAX(1,D365-1))),0)+F365)))</x:f>
        <x:v>43</x:v>
      </x:c>
      <x:c r="AW365" s="119" t="n">
        <x:f>IF(7&gt;D365,0,ROUND(('难度参数'!$E$13*POWER(A365,'难度参数'!$E$20)*MIN('难度参数'!$E$23,1+MAX(0,A365-'难度参数'!$E$21)*'难度参数'!$E$22))*(36+7*7)/(36+7*(D365+1)/2)*E365,0))</x:f>
        <x:v>12395</x:v>
      </x:c>
      <x:c r="AX365" s="119" t="n">
        <x:f>IF(AV365=0,0,(AV365-IF(7=D365,1,0))*ROUND(AW365*VLOOKUP(INDEX('章节与怪物'!$E$31:$K$37,B365,7),'章节与怪物'!$A$41:$F$44,2,FALSE),0)+IF(7=D365,ROUND(AW365*'难度参数'!$E$28*'章节与怪物'!$E$17,0),0))</x:f>
        <x:v>787072</x:v>
      </x:c>
      <x:c r="AY365" s="119" t="n">
        <x:f>IF(AV365=0,0,(AV365-IF(7=D365,1,0))*VLOOKUP(INDEX('章节与怪物'!$E$31:$K$37,B365,7),'章节与怪物'!$A$41:$F$44,4,FALSE)+IF(7=D365,'难度参数'!$E$30,0))</x:f>
        <x:v>1628</x:v>
      </x:c>
    </x:row>
    <x:row r="366" ht="23" customHeight="1">
      <x:c r="A366" s="119" t="n">
        <x:v>360</x:v>
      </x:c>
      <x:c r="B366" s="119" t="n">
        <x:f>MOD(INT((A366-1)/5),7)+1</x:f>
        <x:v>2</x:v>
      </x:c>
      <x:c r="C366" s="62" t="str">
        <x:f>INDEX('章节与怪物'!$B$31:$B$37,B366)</x:f>
        <x:v>黄沙要塞</x:v>
      </x:c>
      <x:c r="D366" s="119" t="n">
        <x:f>MIN('难度参数'!$E$8,MAX('难度参数'!$E$7,A366))</x:f>
        <x:v>7</x:v>
      </x:c>
      <x:c r="E366" s="106" t="n">
        <x:v>1</x:v>
      </x:c>
      <x:c r="F366" s="106" t="n">
        <x:v>0</x:v>
      </x:c>
      <x:c r="G366" s="106" t="n">
        <x:v>1</x:v>
      </x:c>
      <x:c r="H366" s="119" t="n">
        <x:f>SUM(X366,AB366,AF366,AJ366,AN366,AR366,AV366)</x:f>
        <x:v>259</x:v>
      </x:c>
      <x:c r="I366" s="119" t="n">
        <x:f>SUM(Z366,AD366,AH366,AL366,AP366,AT366,AX366)</x:f>
        <x:v>3331591</x:v>
      </x:c>
      <x:c r="J366" s="119" t="n">
        <x:f>ROUND(INDEX(X366:AY366,1,(D366-1)*4+2)*'难度参数'!$E$28*'章节与怪物'!$E$17,0)</x:f>
        <x:v>84456</x:v>
      </x:c>
      <x:c r="K366" s="119" t="n">
        <x:f>SUM(AA366,AE366,AI366,AM366,AQ366,AU366,AY366)</x:f>
        <x:v>6930</x:v>
      </x:c>
      <x:c r="L366" s="62" t="n">
        <x:f>H366*(ROUNDUP('难度参数'!$E$24/('难度参数'!$E$26*'难度参数'!$E$27),0)*'难度参数'!$E$26)/60</x:f>
        <x:v>3.4533333333333336</x:v>
      </x:c>
      <x:c r="M366" s="62" t="n">
        <x:f>L366+D366*('难度参数'!$E$49+'难度参数'!$E$50)/60</x:f>
        <x:v>4.62</x:v>
      </x:c>
      <x:c r="N366" s="119" t="n">
        <x:f>ROUNDDOWN(('经济参数'!$E$20+A366*'经济参数'!$E$21)*G366,0)</x:f>
        <x:v>7380</x:v>
      </x:c>
      <x:c r="O366" s="119" t="n">
        <x:f>ROUNDDOWN(MIN('经济参数'!$E$24,'经济参数'!$E$22+A366*'经济参数'!$E$23)*G366,0)</x:f>
        <x:v>0</x:v>
      </x:c>
      <x:c r="P366" s="119" t="n">
        <x:f>ROUNDDOWN((IF(A366&gt;='材料与任务'!$E$31,'材料与任务'!$E$32,IF(A366&gt;='材料与任务'!$E$25,'材料与任务'!$E$26,IF(A366&gt;='材料与任务'!$E$19,'材料与任务'!$E$20,IF(A366&gt;='材料与任务'!$E$13,'材料与任务'!$E$14,'材料与任务'!$E$8)))))*G366,0)</x:f>
        <x:v>6</x:v>
      </x:c>
      <x:c r="Q366" s="119" t="n">
        <x:f>ROUNDDOWN((IF(A366&gt;='材料与任务'!$E$31,'材料与任务'!$E$33,IF(A366&gt;='材料与任务'!$E$25,'材料与任务'!$E$27,IF(A366&gt;='材料与任务'!$E$19,'材料与任务'!$E$21,IF(A366&gt;='材料与任务'!$E$13,'材料与任务'!$E$15,'材料与任务'!$E$9)))))*G366,0)</x:f>
        <x:v>3</x:v>
      </x:c>
      <x:c r="R366" s="110" t="n">
        <x:f>'装备掉落'!$B$38</x:f>
        <x:v>0.6872058758851213</x:v>
      </x:c>
      <x:c r="S366" s="119" t="n">
        <x:f>MAX(IF(VLOOKUP(A366,'装备掉落'!$A$29:$H$34,2,TRUE)&gt;0,1,0),IF(VLOOKUP(A366,'装备掉落'!$A$29:$H$34,3,TRUE)&gt;0,2,0),IF(VLOOKUP(A366,'装备掉落'!$A$29:$H$34,4,TRUE)&gt;0,3,0),IF(VLOOKUP(A366,'装备掉落'!$A$29:$H$34,5,TRUE)&gt;0,4,0),IF(VLOOKUP(A366,'装备掉落'!$A$29:$H$34,6,TRUE)&gt;0,5,0),IF(VLOOKUP(A366,'装备掉落'!$A$29:$H$34,7,TRUE)&gt;0,6,0),IF(VLOOKUP(A366,'装备掉落'!$A$29:$H$34,8,TRUE)&gt;0,7,0))</x:f>
        <x:v>7</x:v>
      </x:c>
      <x:c r="T366" s="119" t="n">
        <x:f>MIN(7,S366+'经济参数'!$E$70)</x:f>
        <x:v>7</x:v>
      </x:c>
      <x:c r="U366" s="119" t="n">
        <x:f>MIN(7,S366+'经济参数'!$E$71)</x:f>
        <x:v>7</x:v>
      </x:c>
      <x:c r="V366" s="119" t="n">
        <x:f>IF(H366&gt;=('难度参数'!$E$52),1,0)+IF(H366&gt;=('难度参数'!$E$52+'难度参数'!$E$53),1,0)+IF(H366&gt;=('难度参数'!$E$52+'难度参数'!$E$53+'难度参数'!$E$54),1,0)+IF(H366&gt;=('难度参数'!$E$52+'难度参数'!$E$53+'难度参数'!$E$54+'难度参数'!$E$55),1,0)+IF(H366&gt;=('难度参数'!$E$52+'难度参数'!$E$53+'难度参数'!$E$54+'难度参数'!$E$55+'难度参数'!$E$56),1,0)+IF(H366&gt;=('难度参数'!$E$52+'难度参数'!$E$53+'难度参数'!$E$54+'难度参数'!$E$55+'难度参数'!$E$56+'难度参数'!$E$57),1,0)</x:f>
        <x:v>6</x:v>
      </x:c>
      <x:c r="W366" s="62" t="str">
        <x:f>IF(L366&gt;'难度参数'!$E$51,"仅出怪已超目标","还需实测")</x:f>
        <x:v>仅出怪已超目标</x:v>
      </x:c>
      <x:c r="X366" s="119" t="n">
        <x:f>IF(1&gt;D366,0,MAX(2,MIN('难度参数'!$E$12,ROUND(('难度参数'!$E$18*POWER(A366,'难度参数'!$E$19)/D366*(0.85+0.3*(1-1)/MAX(1,D366-1))),0)+F366)))</x:f>
        <x:v>31</x:v>
      </x:c>
      <x:c r="Y366" s="119" t="n">
        <x:f>IF(1&gt;D366,0,ROUND(('难度参数'!$E$13*POWER(A366,'难度参数'!$E$20)*MIN('难度参数'!$E$23,1+MAX(0,A366-'难度参数'!$E$21)*'难度参数'!$E$22))*(36+1*7)/(36+7*(D366+1)/2)*E366,0))</x:f>
        <x:v>6283</x:v>
      </x:c>
      <x:c r="Z366" s="119" t="n">
        <x:f>IF(X366=0,0,(X366-IF(1=D366,1,0))*ROUND(Y366*VLOOKUP(INDEX('章节与怪物'!$E$31:$K$37,B366,1),'章节与怪物'!$A$41:$F$44,2,FALSE),0)+IF(1=D366,ROUND(Y366*'难度参数'!$E$28*'章节与怪物'!$E$17,0),0))</x:f>
        <x:v>140244</x:v>
      </x:c>
      <x:c r="AA366" s="119" t="n">
        <x:f>IF(X366=0,0,(X366-IF(1=D366,1,0))*VLOOKUP(INDEX('章节与怪物'!$E$31:$K$37,B366,1),'章节与怪物'!$A$41:$F$44,4,FALSE)+IF(1=D366,'难度参数'!$E$30,0))</x:f>
        <x:v>620</x:v>
      </x:c>
      <x:c r="AB366" s="119" t="n">
        <x:f>IF(2&gt;D366,0,MAX(2,MIN('难度参数'!$E$12,ROUND(('难度参数'!$E$18*POWER(A366,'难度参数'!$E$19)/D366*(0.85+0.3*(2-1)/MAX(1,D366-1))),0)+F366)))</x:f>
        <x:v>33</x:v>
      </x:c>
      <x:c r="AC366" s="119" t="n">
        <x:f>IF(2&gt;D366,0,ROUND(('难度参数'!$E$13*POWER(A366,'难度参数'!$E$20)*MIN('难度参数'!$E$23,1+MAX(0,A366-'难度参数'!$E$21)*'难度参数'!$E$22))*(36+2*7)/(36+7*(D366+1)/2)*E366,0))</x:f>
        <x:v>7306</x:v>
      </x:c>
      <x:c r="AD366" s="119" t="n">
        <x:f>IF(AB366=0,0,(AB366-IF(2=D366,1,0))*ROUND(AC366*VLOOKUP(INDEX('章节与怪物'!$E$31:$K$37,B366,2),'章节与怪物'!$A$41:$F$44,2,FALSE),0)+IF(2=D366,ROUND(AC366*'难度参数'!$E$28*'章节与怪物'!$E$17,0),0))</x:f>
        <x:v>241098</x:v>
      </x:c>
      <x:c r="AE366" s="119" t="n">
        <x:f>IF(AB366=0,0,(AB366-IF(2=D366,1,0))*VLOOKUP(INDEX('章节与怪物'!$E$31:$K$37,B366,2),'章节与怪物'!$A$41:$F$44,4,FALSE)+IF(2=D366,'难度参数'!$E$30,0))</x:f>
        <x:v>594</x:v>
      </x:c>
      <x:c r="AF366" s="119" t="n">
        <x:f>IF(3&gt;D366,0,MAX(2,MIN('难度参数'!$E$12,ROUND(('难度参数'!$E$18*POWER(A366,'难度参数'!$E$19)/D366*(0.85+0.3*(3-1)/MAX(1,D366-1))),0)+F366)))</x:f>
        <x:v>35</x:v>
      </x:c>
      <x:c r="AG366" s="119" t="n">
        <x:f>IF(3&gt;D366,0,ROUND(('难度参数'!$E$13*POWER(A366,'难度参数'!$E$20)*MIN('难度参数'!$E$23,1+MAX(0,A366-'难度参数'!$E$21)*'难度参数'!$E$22))*(36+3*7)/(36+7*(D366+1)/2)*E366,0))</x:f>
        <x:v>8328</x:v>
      </x:c>
      <x:c r="AH366" s="119" t="n">
        <x:f>IF(AF366=0,0,(AF366-IF(3=D366,1,0))*ROUND(AG366*VLOOKUP(INDEX('章节与怪物'!$E$31:$K$37,B366,3),'章节与怪物'!$A$41:$F$44,2,FALSE),0)+IF(3=D366,ROUND(AG366*'难度参数'!$E$28*'章节与怪物'!$E$17,0),0))</x:f>
        <x:v>495530</x:v>
      </x:c>
      <x:c r="AI366" s="119" t="n">
        <x:f>IF(AF366=0,0,(AF366-IF(3=D366,1,0))*VLOOKUP(INDEX('章节与怪物'!$E$31:$K$37,B366,3),'章节与怪物'!$A$41:$F$44,4,FALSE)+IF(3=D366,'难度参数'!$E$30,0))</x:f>
        <x:v>980</x:v>
      </x:c>
      <x:c r="AJ366" s="119" t="n">
        <x:f>IF(4&gt;D366,0,MAX(2,MIN('难度参数'!$E$12,ROUND(('难度参数'!$E$18*POWER(A366,'难度参数'!$E$19)/D366*(0.85+0.3*(4-1)/MAX(1,D366-1))),0)+F366)))</x:f>
        <x:v>37</x:v>
      </x:c>
      <x:c r="AK366" s="119" t="n">
        <x:f>IF(4&gt;D366,0,ROUND(('难度参数'!$E$13*POWER(A366,'难度参数'!$E$20)*MIN('难度参数'!$E$23,1+MAX(0,A366-'难度参数'!$E$21)*'难度参数'!$E$22))*(36+4*7)/(36+7*(D366+1)/2)*E366,0))</x:f>
        <x:v>9351</x:v>
      </x:c>
      <x:c r="AL366" s="119" t="n">
        <x:f>IF(AJ366=0,0,(AJ366-IF(4=D366,1,0))*ROUND(AK366*VLOOKUP(INDEX('章节与怪物'!$E$31:$K$37,B366,4),'章节与怪物'!$A$41:$F$44,2,FALSE),0)+IF(4=D366,ROUND(AK366*'难度参数'!$E$28*'章节与怪物'!$E$17,0),0))</x:f>
        <x:v>467088</x:v>
      </x:c>
      <x:c r="AM366" s="119" t="n">
        <x:f>IF(AJ366=0,0,(AJ366-IF(4=D366,1,0))*VLOOKUP(INDEX('章节与怪物'!$E$31:$K$37,B366,4),'章节与怪物'!$A$41:$F$44,4,FALSE)+IF(4=D366,'难度参数'!$E$30,0))</x:f>
        <x:v>1258</x:v>
      </x:c>
      <x:c r="AN366" s="119" t="n">
        <x:f>IF(5&gt;D366,0,MAX(2,MIN('难度参数'!$E$12,ROUND(('难度参数'!$E$18*POWER(A366,'难度参数'!$E$19)/D366*(0.85+0.3*(5-1)/MAX(1,D366-1))),0)+F366)))</x:f>
        <x:v>39</x:v>
      </x:c>
      <x:c r="AO366" s="119" t="n">
        <x:f>IF(5&gt;D366,0,ROUND(('难度参数'!$E$13*POWER(A366,'难度参数'!$E$20)*MIN('难度参数'!$E$23,1+MAX(0,A366-'难度参数'!$E$21)*'难度参数'!$E$22))*(36+5*7)/(36+7*(D366+1)/2)*E366,0))</x:f>
        <x:v>10374</x:v>
      </x:c>
      <x:c r="AP366" s="119" t="n">
        <x:f>IF(AN366=0,0,(AN366-IF(5=D366,1,0))*ROUND(AO366*VLOOKUP(INDEX('章节与怪物'!$E$31:$K$37,B366,5),'章节与怪物'!$A$41:$F$44,2,FALSE),0)+IF(5=D366,ROUND(AO366*'难度参数'!$E$28*'章节与怪物'!$E$17,0),0))</x:f>
        <x:v>404586</x:v>
      </x:c>
      <x:c r="AQ366" s="119" t="n">
        <x:f>IF(AN366=0,0,(AN366-IF(5=D366,1,0))*VLOOKUP(INDEX('章节与怪物'!$E$31:$K$37,B366,5),'章节与怪物'!$A$41:$F$44,4,FALSE)+IF(5=D366,'难度参数'!$E$30,0))</x:f>
        <x:v>702</x:v>
      </x:c>
      <x:c r="AR366" s="119" t="n">
        <x:f>IF(6&gt;D366,0,MAX(2,MIN('难度参数'!$E$12,ROUND(('难度参数'!$E$18*POWER(A366,'难度参数'!$E$19)/D366*(0.85+0.3*(6-1)/MAX(1,D366-1))),0)+F366)))</x:f>
        <x:v>41</x:v>
      </x:c>
      <x:c r="AS366" s="119" t="n">
        <x:f>IF(6&gt;D366,0,ROUND(('难度参数'!$E$13*POWER(A366,'难度参数'!$E$20)*MIN('难度参数'!$E$23,1+MAX(0,A366-'难度参数'!$E$21)*'难度参数'!$E$22))*(36+6*7)/(36+7*(D366+1)/2)*E366,0))</x:f>
        <x:v>11397</x:v>
      </x:c>
      <x:c r="AT366" s="119" t="n">
        <x:f>IF(AR366=0,0,(AR366-IF(6=D366,1,0))*ROUND(AS366*VLOOKUP(INDEX('章节与怪物'!$E$31:$K$37,B366,6),'章节与怪物'!$A$41:$F$44,2,FALSE),0)+IF(6=D366,ROUND(AS366*'难度参数'!$E$28*'章节与怪物'!$E$17,0),0))</x:f>
        <x:v>794375</x:v>
      </x:c>
      <x:c r="AU366" s="119" t="n">
        <x:f>IF(AR366=0,0,(AR366-IF(6=D366,1,0))*VLOOKUP(INDEX('章节与怪物'!$E$31:$K$37,B366,6),'章节与怪物'!$A$41:$F$44,4,FALSE)+IF(6=D366,'难度参数'!$E$30,0))</x:f>
        <x:v>1148</x:v>
      </x:c>
      <x:c r="AV366" s="119" t="n">
        <x:f>IF(7&gt;D366,0,MAX(2,MIN('难度参数'!$E$12,ROUND(('难度参数'!$E$18*POWER(A366,'难度参数'!$E$19)/D366*(0.85+0.3*(7-1)/MAX(1,D366-1))),0)+F366)))</x:f>
        <x:v>43</x:v>
      </x:c>
      <x:c r="AW366" s="119" t="n">
        <x:f>IF(7&gt;D366,0,ROUND(('难度参数'!$E$13*POWER(A366,'难度参数'!$E$20)*MIN('难度参数'!$E$23,1+MAX(0,A366-'难度参数'!$E$21)*'难度参数'!$E$22))*(36+7*7)/(36+7*(D366+1)/2)*E366,0))</x:f>
        <x:v>12420</x:v>
      </x:c>
      <x:c r="AX366" s="119" t="n">
        <x:f>IF(AV366=0,0,(AV366-IF(7=D366,1,0))*ROUND(AW366*VLOOKUP(INDEX('章节与怪物'!$E$31:$K$37,B366,7),'章节与怪物'!$A$41:$F$44,2,FALSE),0)+IF(7=D366,ROUND(AW366*'难度参数'!$E$28*'章节与怪物'!$E$17,0),0))</x:f>
        <x:v>788670</x:v>
      </x:c>
      <x:c r="AY366" s="119" t="n">
        <x:f>IF(AV366=0,0,(AV366-IF(7=D366,1,0))*VLOOKUP(INDEX('章节与怪物'!$E$31:$K$37,B366,7),'章节与怪物'!$A$41:$F$44,4,FALSE)+IF(7=D366,'难度参数'!$E$30,0))</x:f>
        <x:v>1628</x:v>
      </x:c>
    </x:row>
    <x:row r="367" ht="23" customHeight="1">
      <x:c r="A367" s="119" t="n">
        <x:v>361</x:v>
      </x:c>
      <x:c r="B367" s="119" t="n">
        <x:f>MOD(INT((A367-1)/5),7)+1</x:f>
        <x:v>3</x:v>
      </x:c>
      <x:c r="C367" s="62" t="str">
        <x:f>INDEX('章节与怪物'!$B$31:$B$37,B367)</x:f>
        <x:v>腐沼秘林</x:v>
      </x:c>
      <x:c r="D367" s="119" t="n">
        <x:f>MIN('难度参数'!$E$8,MAX('难度参数'!$E$7,A367))</x:f>
        <x:v>7</x:v>
      </x:c>
      <x:c r="E367" s="106" t="n">
        <x:v>1</x:v>
      </x:c>
      <x:c r="F367" s="106" t="n">
        <x:v>0</x:v>
      </x:c>
      <x:c r="G367" s="106" t="n">
        <x:v>1</x:v>
      </x:c>
      <x:c r="H367" s="119" t="n">
        <x:f>SUM(X367,AB367,AF367,AJ367,AN367,AR367,AV367)</x:f>
        <x:v>259</x:v>
      </x:c>
      <x:c r="I367" s="119" t="n">
        <x:f>SUM(Z367,AD367,AH367,AL367,AP367,AT367,AX367)</x:f>
        <x:v>3211768</x:v>
      </x:c>
      <x:c r="J367" s="119" t="n">
        <x:f>ROUND(INDEX(X367:AY367,1,(D367-1)*4+2)*'难度参数'!$E$28*'章节与怪物'!$E$17,0)</x:f>
        <x:v>84626</x:v>
      </x:c>
      <x:c r="K367" s="119" t="n">
        <x:f>SUM(AA367,AE367,AI367,AM367,AQ367,AU367,AY367)</x:f>
        <x:v>7012</x:v>
      </x:c>
      <x:c r="L367" s="62" t="n">
        <x:f>H367*(ROUNDUP('难度参数'!$E$24/('难度参数'!$E$26*'难度参数'!$E$27),0)*'难度参数'!$E$26)/60</x:f>
        <x:v>3.4533333333333336</x:v>
      </x:c>
      <x:c r="M367" s="62" t="n">
        <x:f>L367+D367*('难度参数'!$E$49+'难度参数'!$E$50)/60</x:f>
        <x:v>4.62</x:v>
      </x:c>
      <x:c r="N367" s="119" t="n">
        <x:f>ROUNDDOWN(('经济参数'!$E$20+A367*'经济参数'!$E$21)*G367,0)</x:f>
        <x:v>7400</x:v>
      </x:c>
      <x:c r="O367" s="119" t="n">
        <x:f>ROUNDDOWN(MIN('经济参数'!$E$24,'经济参数'!$E$22+A367*'经济参数'!$E$23)*G367,0)</x:f>
        <x:v>0</x:v>
      </x:c>
      <x:c r="P367" s="119" t="n">
        <x:f>ROUNDDOWN((IF(A367&gt;='材料与任务'!$E$31,'材料与任务'!$E$32,IF(A367&gt;='材料与任务'!$E$25,'材料与任务'!$E$26,IF(A367&gt;='材料与任务'!$E$19,'材料与任务'!$E$20,IF(A367&gt;='材料与任务'!$E$13,'材料与任务'!$E$14,'材料与任务'!$E$8)))))*G367,0)</x:f>
        <x:v>6</x:v>
      </x:c>
      <x:c r="Q367" s="119" t="n">
        <x:f>ROUNDDOWN((IF(A367&gt;='材料与任务'!$E$31,'材料与任务'!$E$33,IF(A367&gt;='材料与任务'!$E$25,'材料与任务'!$E$27,IF(A367&gt;='材料与任务'!$E$19,'材料与任务'!$E$21,IF(A367&gt;='材料与任务'!$E$13,'材料与任务'!$E$15,'材料与任务'!$E$9)))))*G367,0)</x:f>
        <x:v>3</x:v>
      </x:c>
      <x:c r="R367" s="110" t="n">
        <x:f>'装备掉落'!$B$38</x:f>
        <x:v>0.6872058758851213</x:v>
      </x:c>
      <x:c r="S367" s="119" t="n">
        <x:f>MAX(IF(VLOOKUP(A367,'装备掉落'!$A$29:$H$34,2,TRUE)&gt;0,1,0),IF(VLOOKUP(A367,'装备掉落'!$A$29:$H$34,3,TRUE)&gt;0,2,0),IF(VLOOKUP(A367,'装备掉落'!$A$29:$H$34,4,TRUE)&gt;0,3,0),IF(VLOOKUP(A367,'装备掉落'!$A$29:$H$34,5,TRUE)&gt;0,4,0),IF(VLOOKUP(A367,'装备掉落'!$A$29:$H$34,6,TRUE)&gt;0,5,0),IF(VLOOKUP(A367,'装备掉落'!$A$29:$H$34,7,TRUE)&gt;0,6,0),IF(VLOOKUP(A367,'装备掉落'!$A$29:$H$34,8,TRUE)&gt;0,7,0))</x:f>
        <x:v>7</x:v>
      </x:c>
      <x:c r="T367" s="119" t="n">
        <x:f>MIN(7,S367+'经济参数'!$E$70)</x:f>
        <x:v>7</x:v>
      </x:c>
      <x:c r="U367" s="119" t="n">
        <x:f>MIN(7,S367+'经济参数'!$E$71)</x:f>
        <x:v>7</x:v>
      </x:c>
      <x:c r="V367" s="119" t="n">
        <x:f>IF(H367&gt;=('难度参数'!$E$52),1,0)+IF(H367&gt;=('难度参数'!$E$52+'难度参数'!$E$53),1,0)+IF(H367&gt;=('难度参数'!$E$52+'难度参数'!$E$53+'难度参数'!$E$54),1,0)+IF(H367&gt;=('难度参数'!$E$52+'难度参数'!$E$53+'难度参数'!$E$54+'难度参数'!$E$55),1,0)+IF(H367&gt;=('难度参数'!$E$52+'难度参数'!$E$53+'难度参数'!$E$54+'难度参数'!$E$55+'难度参数'!$E$56),1,0)+IF(H367&gt;=('难度参数'!$E$52+'难度参数'!$E$53+'难度参数'!$E$54+'难度参数'!$E$55+'难度参数'!$E$56+'难度参数'!$E$57),1,0)</x:f>
        <x:v>6</x:v>
      </x:c>
      <x:c r="W367" s="62" t="str">
        <x:f>IF(L367&gt;'难度参数'!$E$51,"仅出怪已超目标","还需实测")</x:f>
        <x:v>仅出怪已超目标</x:v>
      </x:c>
      <x:c r="X367" s="119" t="n">
        <x:f>IF(1&gt;D367,0,MAX(2,MIN('难度参数'!$E$12,ROUND(('难度参数'!$E$18*POWER(A367,'难度参数'!$E$19)/D367*(0.85+0.3*(1-1)/MAX(1,D367-1))),0)+F367)))</x:f>
        <x:v>31</x:v>
      </x:c>
      <x:c r="Y367" s="119" t="n">
        <x:f>IF(1&gt;D367,0,ROUND(('难度参数'!$E$13*POWER(A367,'难度参数'!$E$20)*MIN('难度参数'!$E$23,1+MAX(0,A367-'难度参数'!$E$21)*'难度参数'!$E$22))*(36+1*7)/(36+7*(D367+1)/2)*E367,0))</x:f>
        <x:v>6295</x:v>
      </x:c>
      <x:c r="Z367" s="119" t="n">
        <x:f>IF(X367=0,0,(X367-IF(1=D367,1,0))*ROUND(Y367*VLOOKUP(INDEX('章节与怪物'!$E$31:$K$37,B367,1),'章节与怪物'!$A$41:$F$44,2,FALSE),0)+IF(1=D367,ROUND(Y367*'难度参数'!$E$28*'章节与怪物'!$E$17,0),0))</x:f>
        <x:v>195145</x:v>
      </x:c>
      <x:c r="AA367" s="119" t="n">
        <x:f>IF(X367=0,0,(X367-IF(1=D367,1,0))*VLOOKUP(INDEX('章节与怪物'!$E$31:$K$37,B367,1),'章节与怪物'!$A$41:$F$44,4,FALSE)+IF(1=D367,'难度参数'!$E$30,0))</x:f>
        <x:v>558</x:v>
      </x:c>
      <x:c r="AB367" s="119" t="n">
        <x:f>IF(2&gt;D367,0,MAX(2,MIN('难度参数'!$E$12,ROUND(('难度参数'!$E$18*POWER(A367,'难度参数'!$E$19)/D367*(0.85+0.3*(2-1)/MAX(1,D367-1))),0)+F367)))</x:f>
        <x:v>33</x:v>
      </x:c>
      <x:c r="AC367" s="119" t="n">
        <x:f>IF(2&gt;D367,0,ROUND(('难度参数'!$E$13*POWER(A367,'难度参数'!$E$20)*MIN('难度参数'!$E$23,1+MAX(0,A367-'难度参数'!$E$21)*'难度参数'!$E$22))*(36+2*7)/(36+7*(D367+1)/2)*E367,0))</x:f>
        <x:v>7320</x:v>
      </x:c>
      <x:c r="AD367" s="119" t="n">
        <x:f>IF(AB367=0,0,(AB367-IF(2=D367,1,0))*ROUND(AC367*VLOOKUP(INDEX('章节与怪物'!$E$31:$K$37,B367,2),'章节与怪物'!$A$41:$F$44,2,FALSE),0)+IF(2=D367,ROUND(AC367*'难度参数'!$E$28*'章节与怪物'!$E$17,0),0))</x:f>
        <x:v>173910</x:v>
      </x:c>
      <x:c r="AE367" s="119" t="n">
        <x:f>IF(AB367=0,0,(AB367-IF(2=D367,1,0))*VLOOKUP(INDEX('章节与怪物'!$E$31:$K$37,B367,2),'章节与怪物'!$A$41:$F$44,4,FALSE)+IF(2=D367,'难度参数'!$E$30,0))</x:f>
        <x:v>660</x:v>
      </x:c>
      <x:c r="AF367" s="119" t="n">
        <x:f>IF(3&gt;D367,0,MAX(2,MIN('难度参数'!$E$12,ROUND(('难度参数'!$E$18*POWER(A367,'难度参数'!$E$19)/D367*(0.85+0.3*(3-1)/MAX(1,D367-1))),0)+F367)))</x:f>
        <x:v>35</x:v>
      </x:c>
      <x:c r="AG367" s="119" t="n">
        <x:f>IF(3&gt;D367,0,ROUND(('难度参数'!$E$13*POWER(A367,'难度参数'!$E$20)*MIN('难度参数'!$E$23,1+MAX(0,A367-'难度参数'!$E$21)*'难度参数'!$E$22))*(36+3*7)/(36+7*(D367+1)/2)*E367,0))</x:f>
        <x:v>8345</x:v>
      </x:c>
      <x:c r="AH367" s="119" t="n">
        <x:f>IF(AF367=0,0,(AF367-IF(3=D367,1,0))*ROUND(AG367*VLOOKUP(INDEX('章节与怪物'!$E$31:$K$37,B367,3),'章节与怪物'!$A$41:$F$44,2,FALSE),0)+IF(3=D367,ROUND(AG367*'难度参数'!$E$28*'章节与怪物'!$E$17,0),0))</x:f>
        <x:v>496545</x:v>
      </x:c>
      <x:c r="AI367" s="119" t="n">
        <x:f>IF(AF367=0,0,(AF367-IF(3=D367,1,0))*VLOOKUP(INDEX('章节与怪物'!$E$31:$K$37,B367,3),'章节与怪物'!$A$41:$F$44,4,FALSE)+IF(3=D367,'难度参数'!$E$30,0))</x:f>
        <x:v>980</x:v>
      </x:c>
      <x:c r="AJ367" s="119" t="n">
        <x:f>IF(4&gt;D367,0,MAX(2,MIN('难度参数'!$E$12,ROUND(('难度参数'!$E$18*POWER(A367,'难度参数'!$E$19)/D367*(0.85+0.3*(4-1)/MAX(1,D367-1))),0)+F367)))</x:f>
        <x:v>37</x:v>
      </x:c>
      <x:c r="AK367" s="119" t="n">
        <x:f>IF(4&gt;D367,0,ROUND(('难度参数'!$E$13*POWER(A367,'难度参数'!$E$20)*MIN('难度参数'!$E$23,1+MAX(0,A367-'难度参数'!$E$21)*'难度参数'!$E$22))*(36+4*7)/(36+7*(D367+1)/2)*E367,0))</x:f>
        <x:v>9370</x:v>
      </x:c>
      <x:c r="AL367" s="119" t="n">
        <x:f>IF(AJ367=0,0,(AJ367-IF(4=D367,1,0))*ROUND(AK367*VLOOKUP(INDEX('章节与怪物'!$E$31:$K$37,B367,4),'章节与怪物'!$A$41:$F$44,2,FALSE),0)+IF(4=D367,ROUND(AK367*'难度参数'!$E$28*'章节与怪物'!$E$17,0),0))</x:f>
        <x:v>468050</x:v>
      </x:c>
      <x:c r="AM367" s="119" t="n">
        <x:f>IF(AJ367=0,0,(AJ367-IF(4=D367,1,0))*VLOOKUP(INDEX('章节与怪物'!$E$31:$K$37,B367,4),'章节与怪物'!$A$41:$F$44,4,FALSE)+IF(4=D367,'难度参数'!$E$30,0))</x:f>
        <x:v>1258</x:v>
      </x:c>
      <x:c r="AN367" s="119" t="n">
        <x:f>IF(5&gt;D367,0,MAX(2,MIN('难度参数'!$E$12,ROUND(('难度参数'!$E$18*POWER(A367,'难度参数'!$E$19)/D367*(0.85+0.3*(5-1)/MAX(1,D367-1))),0)+F367)))</x:f>
        <x:v>39</x:v>
      </x:c>
      <x:c r="AO367" s="119" t="n">
        <x:f>IF(5&gt;D367,0,ROUND(('难度参数'!$E$13*POWER(A367,'难度参数'!$E$20)*MIN('难度参数'!$E$23,1+MAX(0,A367-'难度参数'!$E$21)*'难度参数'!$E$22))*(36+5*7)/(36+7*(D367+1)/2)*E367,0))</x:f>
        <x:v>10395</x:v>
      </x:c>
      <x:c r="AP367" s="119" t="n">
        <x:f>IF(AN367=0,0,(AN367-IF(5=D367,1,0))*ROUND(AO367*VLOOKUP(INDEX('章节与怪物'!$E$31:$K$37,B367,5),'章节与怪物'!$A$41:$F$44,2,FALSE),0)+IF(5=D367,ROUND(AO367*'难度参数'!$E$28*'章节与怪物'!$E$17,0),0))</x:f>
        <x:v>291876</x:v>
      </x:c>
      <x:c r="AQ367" s="119" t="n">
        <x:f>IF(AN367=0,0,(AN367-IF(5=D367,1,0))*VLOOKUP(INDEX('章节与怪物'!$E$31:$K$37,B367,5),'章节与怪物'!$A$41:$F$44,4,FALSE)+IF(5=D367,'难度参数'!$E$30,0))</x:f>
        <x:v>780</x:v>
      </x:c>
      <x:c r="AR367" s="119" t="n">
        <x:f>IF(6&gt;D367,0,MAX(2,MIN('难度参数'!$E$12,ROUND(('难度参数'!$E$18*POWER(A367,'难度参数'!$E$19)/D367*(0.85+0.3*(6-1)/MAX(1,D367-1))),0)+F367)))</x:f>
        <x:v>41</x:v>
      </x:c>
      <x:c r="AS367" s="119" t="n">
        <x:f>IF(6&gt;D367,0,ROUND(('难度参数'!$E$13*POWER(A367,'难度参数'!$E$20)*MIN('难度参数'!$E$23,1+MAX(0,A367-'难度参数'!$E$21)*'难度参数'!$E$22))*(36+6*7)/(36+7*(D367+1)/2)*E367,0))</x:f>
        <x:v>11420</x:v>
      </x:c>
      <x:c r="AT367" s="119" t="n">
        <x:f>IF(AR367=0,0,(AR367-IF(6=D367,1,0))*ROUND(AS367*VLOOKUP(INDEX('章节与怪物'!$E$31:$K$37,B367,6),'章节与怪物'!$A$41:$F$44,2,FALSE),0)+IF(6=D367,ROUND(AS367*'难度参数'!$E$28*'章节与怪物'!$E$17,0),0))</x:f>
        <x:v>795974</x:v>
      </x:c>
      <x:c r="AU367" s="119" t="n">
        <x:f>IF(AR367=0,0,(AR367-IF(6=D367,1,0))*VLOOKUP(INDEX('章节与怪物'!$E$31:$K$37,B367,6),'章节与怪物'!$A$41:$F$44,4,FALSE)+IF(6=D367,'难度参数'!$E$30,0))</x:f>
        <x:v>1148</x:v>
      </x:c>
      <x:c r="AV367" s="119" t="n">
        <x:f>IF(7&gt;D367,0,MAX(2,MIN('难度参数'!$E$12,ROUND(('难度参数'!$E$18*POWER(A367,'难度参数'!$E$19)/D367*(0.85+0.3*(7-1)/MAX(1,D367-1))),0)+F367)))</x:f>
        <x:v>43</x:v>
      </x:c>
      <x:c r="AW367" s="119" t="n">
        <x:f>IF(7&gt;D367,0,ROUND(('难度参数'!$E$13*POWER(A367,'难度参数'!$E$20)*MIN('难度参数'!$E$23,1+MAX(0,A367-'难度参数'!$E$21)*'难度参数'!$E$22))*(36+7*7)/(36+7*(D367+1)/2)*E367,0))</x:f>
        <x:v>12445</x:v>
      </x:c>
      <x:c r="AX367" s="119" t="n">
        <x:f>IF(AV367=0,0,(AV367-IF(7=D367,1,0))*ROUND(AW367*VLOOKUP(INDEX('章节与怪物'!$E$31:$K$37,B367,7),'章节与怪物'!$A$41:$F$44,2,FALSE),0)+IF(7=D367,ROUND(AW367*'难度参数'!$E$28*'章节与怪物'!$E$17,0),0))</x:f>
        <x:v>790268</x:v>
      </x:c>
      <x:c r="AY367" s="119" t="n">
        <x:f>IF(AV367=0,0,(AV367-IF(7=D367,1,0))*VLOOKUP(INDEX('章节与怪物'!$E$31:$K$37,B367,7),'章节与怪物'!$A$41:$F$44,4,FALSE)+IF(7=D367,'难度参数'!$E$30,0))</x:f>
        <x:v>1628</x:v>
      </x:c>
    </x:row>
    <x:row r="368" ht="23" customHeight="1">
      <x:c r="A368" s="119" t="n">
        <x:v>362</x:v>
      </x:c>
      <x:c r="B368" s="119" t="n">
        <x:f>MOD(INT((A368-1)/5),7)+1</x:f>
        <x:v>3</x:v>
      </x:c>
      <x:c r="C368" s="62" t="str">
        <x:f>INDEX('章节与怪物'!$B$31:$B$37,B368)</x:f>
        <x:v>腐沼秘林</x:v>
      </x:c>
      <x:c r="D368" s="119" t="n">
        <x:f>MIN('难度参数'!$E$8,MAX('难度参数'!$E$7,A368))</x:f>
        <x:v>7</x:v>
      </x:c>
      <x:c r="E368" s="106" t="n">
        <x:v>1</x:v>
      </x:c>
      <x:c r="F368" s="106" t="n">
        <x:v>0</x:v>
      </x:c>
      <x:c r="G368" s="106" t="n">
        <x:v>1</x:v>
      </x:c>
      <x:c r="H368" s="119" t="n">
        <x:f>SUM(X368,AB368,AF368,AJ368,AN368,AR368,AV368)</x:f>
        <x:v>260</x:v>
      </x:c>
      <x:c r="I368" s="119" t="n">
        <x:f>SUM(Z368,AD368,AH368,AL368,AP368,AT368,AX368)</x:f>
        <x:v>3224395</x:v>
      </x:c>
      <x:c r="J368" s="119" t="n">
        <x:f>ROUND(INDEX(X368:AY368,1,(D368-1)*4+2)*'难度参数'!$E$28*'章节与怪物'!$E$17,0)</x:f>
        <x:v>84789</x:v>
      </x:c>
      <x:c r="K368" s="119" t="n">
        <x:f>SUM(AA368,AE368,AI368,AM368,AQ368,AU368,AY368)</x:f>
        <x:v>7030</x:v>
      </x:c>
      <x:c r="L368" s="62" t="n">
        <x:f>H368*(ROUNDUP('难度参数'!$E$24/('难度参数'!$E$26*'难度参数'!$E$27),0)*'难度参数'!$E$26)/60</x:f>
        <x:v>3.466666666666667</x:v>
      </x:c>
      <x:c r="M368" s="62" t="n">
        <x:f>L368+D368*('难度参数'!$E$49+'难度参数'!$E$50)/60</x:f>
        <x:v>4.633333333333334</x:v>
      </x:c>
      <x:c r="N368" s="119" t="n">
        <x:f>ROUNDDOWN(('经济参数'!$E$20+A368*'经济参数'!$E$21)*G368,0)</x:f>
        <x:v>7420</x:v>
      </x:c>
      <x:c r="O368" s="119" t="n">
        <x:f>ROUNDDOWN(MIN('经济参数'!$E$24,'经济参数'!$E$22+A368*'经济参数'!$E$23)*G368,0)</x:f>
        <x:v>0</x:v>
      </x:c>
      <x:c r="P368" s="119" t="n">
        <x:f>ROUNDDOWN((IF(A368&gt;='材料与任务'!$E$31,'材料与任务'!$E$32,IF(A368&gt;='材料与任务'!$E$25,'材料与任务'!$E$26,IF(A368&gt;='材料与任务'!$E$19,'材料与任务'!$E$20,IF(A368&gt;='材料与任务'!$E$13,'材料与任务'!$E$14,'材料与任务'!$E$8)))))*G368,0)</x:f>
        <x:v>6</x:v>
      </x:c>
      <x:c r="Q368" s="119" t="n">
        <x:f>ROUNDDOWN((IF(A368&gt;='材料与任务'!$E$31,'材料与任务'!$E$33,IF(A368&gt;='材料与任务'!$E$25,'材料与任务'!$E$27,IF(A368&gt;='材料与任务'!$E$19,'材料与任务'!$E$21,IF(A368&gt;='材料与任务'!$E$13,'材料与任务'!$E$15,'材料与任务'!$E$9)))))*G368,0)</x:f>
        <x:v>3</x:v>
      </x:c>
      <x:c r="R368" s="110" t="n">
        <x:f>'装备掉落'!$B$38</x:f>
        <x:v>0.6872058758851213</x:v>
      </x:c>
      <x:c r="S368" s="119" t="n">
        <x:f>MAX(IF(VLOOKUP(A368,'装备掉落'!$A$29:$H$34,2,TRUE)&gt;0,1,0),IF(VLOOKUP(A368,'装备掉落'!$A$29:$H$34,3,TRUE)&gt;0,2,0),IF(VLOOKUP(A368,'装备掉落'!$A$29:$H$34,4,TRUE)&gt;0,3,0),IF(VLOOKUP(A368,'装备掉落'!$A$29:$H$34,5,TRUE)&gt;0,4,0),IF(VLOOKUP(A368,'装备掉落'!$A$29:$H$34,6,TRUE)&gt;0,5,0),IF(VLOOKUP(A368,'装备掉落'!$A$29:$H$34,7,TRUE)&gt;0,6,0),IF(VLOOKUP(A368,'装备掉落'!$A$29:$H$34,8,TRUE)&gt;0,7,0))</x:f>
        <x:v>7</x:v>
      </x:c>
      <x:c r="T368" s="119" t="n">
        <x:f>MIN(7,S368+'经济参数'!$E$70)</x:f>
        <x:v>7</x:v>
      </x:c>
      <x:c r="U368" s="119" t="n">
        <x:f>MIN(7,S368+'经济参数'!$E$71)</x:f>
        <x:v>7</x:v>
      </x:c>
      <x:c r="V368" s="119" t="n">
        <x:f>IF(H368&gt;=('难度参数'!$E$52),1,0)+IF(H368&gt;=('难度参数'!$E$52+'难度参数'!$E$53),1,0)+IF(H368&gt;=('难度参数'!$E$52+'难度参数'!$E$53+'难度参数'!$E$54),1,0)+IF(H368&gt;=('难度参数'!$E$52+'难度参数'!$E$53+'难度参数'!$E$54+'难度参数'!$E$55),1,0)+IF(H368&gt;=('难度参数'!$E$52+'难度参数'!$E$53+'难度参数'!$E$54+'难度参数'!$E$55+'难度参数'!$E$56),1,0)+IF(H368&gt;=('难度参数'!$E$52+'难度参数'!$E$53+'难度参数'!$E$54+'难度参数'!$E$55+'难度参数'!$E$56+'难度参数'!$E$57),1,0)</x:f>
        <x:v>6</x:v>
      </x:c>
      <x:c r="W368" s="62" t="str">
        <x:f>IF(L368&gt;'难度参数'!$E$51,"仅出怪已超目标","还需实测")</x:f>
        <x:v>仅出怪已超目标</x:v>
      </x:c>
      <x:c r="X368" s="119" t="n">
        <x:f>IF(1&gt;D368,0,MAX(2,MIN('难度参数'!$E$12,ROUND(('难度参数'!$E$18*POWER(A368,'难度参数'!$E$19)/D368*(0.85+0.3*(1-1)/MAX(1,D368-1))),0)+F368)))</x:f>
        <x:v>32</x:v>
      </x:c>
      <x:c r="Y368" s="119" t="n">
        <x:f>IF(1&gt;D368,0,ROUND(('难度参数'!$E$13*POWER(A368,'难度参数'!$E$20)*MIN('难度参数'!$E$23,1+MAX(0,A368-'难度参数'!$E$21)*'难度参数'!$E$22))*(36+1*7)/(36+7*(D368+1)/2)*E368,0))</x:f>
        <x:v>6308</x:v>
      </x:c>
      <x:c r="Z368" s="119" t="n">
        <x:f>IF(X368=0,0,(X368-IF(1=D368,1,0))*ROUND(Y368*VLOOKUP(INDEX('章节与怪物'!$E$31:$K$37,B368,1),'章节与怪物'!$A$41:$F$44,2,FALSE),0)+IF(1=D368,ROUND(Y368*'难度参数'!$E$28*'章节与怪物'!$E$17,0),0))</x:f>
        <x:v>201856</x:v>
      </x:c>
      <x:c r="AA368" s="119" t="n">
        <x:f>IF(X368=0,0,(X368-IF(1=D368,1,0))*VLOOKUP(INDEX('章节与怪物'!$E$31:$K$37,B368,1),'章节与怪物'!$A$41:$F$44,4,FALSE)+IF(1=D368,'难度参数'!$E$30,0))</x:f>
        <x:v>576</x:v>
      </x:c>
      <x:c r="AB368" s="119" t="n">
        <x:f>IF(2&gt;D368,0,MAX(2,MIN('难度参数'!$E$12,ROUND(('难度参数'!$E$18*POWER(A368,'难度参数'!$E$19)/D368*(0.85+0.3*(2-1)/MAX(1,D368-1))),0)+F368)))</x:f>
        <x:v>33</x:v>
      </x:c>
      <x:c r="AC368" s="119" t="n">
        <x:f>IF(2&gt;D368,0,ROUND(('难度参数'!$E$13*POWER(A368,'难度参数'!$E$20)*MIN('难度参数'!$E$23,1+MAX(0,A368-'难度参数'!$E$21)*'难度参数'!$E$22))*(36+2*7)/(36+7*(D368+1)/2)*E368,0))</x:f>
        <x:v>7335</x:v>
      </x:c>
      <x:c r="AD368" s="119" t="n">
        <x:f>IF(AB368=0,0,(AB368-IF(2=D368,1,0))*ROUND(AC368*VLOOKUP(INDEX('章节与怪物'!$E$31:$K$37,B368,2),'章节与怪物'!$A$41:$F$44,2,FALSE),0)+IF(2=D368,ROUND(AC368*'难度参数'!$E$28*'章节与怪物'!$E$17,0),0))</x:f>
        <x:v>174273</x:v>
      </x:c>
      <x:c r="AE368" s="119" t="n">
        <x:f>IF(AB368=0,0,(AB368-IF(2=D368,1,0))*VLOOKUP(INDEX('章节与怪物'!$E$31:$K$37,B368,2),'章节与怪物'!$A$41:$F$44,4,FALSE)+IF(2=D368,'难度参数'!$E$30,0))</x:f>
        <x:v>660</x:v>
      </x:c>
      <x:c r="AF368" s="119" t="n">
        <x:f>IF(3&gt;D368,0,MAX(2,MIN('难度参数'!$E$12,ROUND(('难度参数'!$E$18*POWER(A368,'难度参数'!$E$19)/D368*(0.85+0.3*(3-1)/MAX(1,D368-1))),0)+F368)))</x:f>
        <x:v>35</x:v>
      </x:c>
      <x:c r="AG368" s="119" t="n">
        <x:f>IF(3&gt;D368,0,ROUND(('难度参数'!$E$13*POWER(A368,'难度参数'!$E$20)*MIN('难度参数'!$E$23,1+MAX(0,A368-'难度参数'!$E$21)*'难度参数'!$E$22))*(36+3*7)/(36+7*(D368+1)/2)*E368,0))</x:f>
        <x:v>8362</x:v>
      </x:c>
      <x:c r="AH368" s="119" t="n">
        <x:f>IF(AF368=0,0,(AF368-IF(3=D368,1,0))*ROUND(AG368*VLOOKUP(INDEX('章节与怪物'!$E$31:$K$37,B368,3),'章节与怪物'!$A$41:$F$44,2,FALSE),0)+IF(3=D368,ROUND(AG368*'难度参数'!$E$28*'章节与怪物'!$E$17,0),0))</x:f>
        <x:v>497525</x:v>
      </x:c>
      <x:c r="AI368" s="119" t="n">
        <x:f>IF(AF368=0,0,(AF368-IF(3=D368,1,0))*VLOOKUP(INDEX('章节与怪物'!$E$31:$K$37,B368,3),'章节与怪物'!$A$41:$F$44,4,FALSE)+IF(3=D368,'难度参数'!$E$30,0))</x:f>
        <x:v>980</x:v>
      </x:c>
      <x:c r="AJ368" s="119" t="n">
        <x:f>IF(4&gt;D368,0,MAX(2,MIN('难度参数'!$E$12,ROUND(('难度参数'!$E$18*POWER(A368,'难度参数'!$E$19)/D368*(0.85+0.3*(4-1)/MAX(1,D368-1))),0)+F368)))</x:f>
        <x:v>37</x:v>
      </x:c>
      <x:c r="AK368" s="119" t="n">
        <x:f>IF(4&gt;D368,0,ROUND(('难度参数'!$E$13*POWER(A368,'难度参数'!$E$20)*MIN('难度参数'!$E$23,1+MAX(0,A368-'难度参数'!$E$21)*'难度参数'!$E$22))*(36+4*7)/(36+7*(D368+1)/2)*E368,0))</x:f>
        <x:v>9389</x:v>
      </x:c>
      <x:c r="AL368" s="119" t="n">
        <x:f>IF(AJ368=0,0,(AJ368-IF(4=D368,1,0))*ROUND(AK368*VLOOKUP(INDEX('章节与怪物'!$E$31:$K$37,B368,4),'章节与怪物'!$A$41:$F$44,2,FALSE),0)+IF(4=D368,ROUND(AK368*'难度参数'!$E$28*'章节与怪物'!$E$17,0),0))</x:f>
        <x:v>468975</x:v>
      </x:c>
      <x:c r="AM368" s="119" t="n">
        <x:f>IF(AJ368=0,0,(AJ368-IF(4=D368,1,0))*VLOOKUP(INDEX('章节与怪物'!$E$31:$K$37,B368,4),'章节与怪物'!$A$41:$F$44,4,FALSE)+IF(4=D368,'难度参数'!$E$30,0))</x:f>
        <x:v>1258</x:v>
      </x:c>
      <x:c r="AN368" s="119" t="n">
        <x:f>IF(5&gt;D368,0,MAX(2,MIN('难度参数'!$E$12,ROUND(('难度参数'!$E$18*POWER(A368,'难度参数'!$E$19)/D368*(0.85+0.3*(5-1)/MAX(1,D368-1))),0)+F368)))</x:f>
        <x:v>39</x:v>
      </x:c>
      <x:c r="AO368" s="119" t="n">
        <x:f>IF(5&gt;D368,0,ROUND(('难度参数'!$E$13*POWER(A368,'难度参数'!$E$20)*MIN('难度参数'!$E$23,1+MAX(0,A368-'难度参数'!$E$21)*'难度参数'!$E$22))*(36+5*7)/(36+7*(D368+1)/2)*E368,0))</x:f>
        <x:v>10416</x:v>
      </x:c>
      <x:c r="AP368" s="119" t="n">
        <x:f>IF(AN368=0,0,(AN368-IF(5=D368,1,0))*ROUND(AO368*VLOOKUP(INDEX('章节与怪物'!$E$31:$K$37,B368,5),'章节与怪物'!$A$41:$F$44,2,FALSE),0)+IF(5=D368,ROUND(AO368*'难度参数'!$E$28*'章节与怪物'!$E$17,0),0))</x:f>
        <x:v>292500</x:v>
      </x:c>
      <x:c r="AQ368" s="119" t="n">
        <x:f>IF(AN368=0,0,(AN368-IF(5=D368,1,0))*VLOOKUP(INDEX('章节与怪物'!$E$31:$K$37,B368,5),'章节与怪物'!$A$41:$F$44,4,FALSE)+IF(5=D368,'难度参数'!$E$30,0))</x:f>
        <x:v>780</x:v>
      </x:c>
      <x:c r="AR368" s="119" t="n">
        <x:f>IF(6&gt;D368,0,MAX(2,MIN('难度参数'!$E$12,ROUND(('难度参数'!$E$18*POWER(A368,'难度参数'!$E$19)/D368*(0.85+0.3*(6-1)/MAX(1,D368-1))),0)+F368)))</x:f>
        <x:v>41</x:v>
      </x:c>
      <x:c r="AS368" s="119" t="n">
        <x:f>IF(6&gt;D368,0,ROUND(('难度参数'!$E$13*POWER(A368,'难度参数'!$E$20)*MIN('难度参数'!$E$23,1+MAX(0,A368-'难度参数'!$E$21)*'难度参数'!$E$22))*(36+6*7)/(36+7*(D368+1)/2)*E368,0))</x:f>
        <x:v>11442</x:v>
      </x:c>
      <x:c r="AT368" s="119" t="n">
        <x:f>IF(AR368=0,0,(AR368-IF(6=D368,1,0))*ROUND(AS368*VLOOKUP(INDEX('章节与怪物'!$E$31:$K$37,B368,6),'章节与怪物'!$A$41:$F$44,2,FALSE),0)+IF(6=D368,ROUND(AS368*'难度参数'!$E$28*'章节与怪物'!$E$17,0),0))</x:f>
        <x:v>797491</x:v>
      </x:c>
      <x:c r="AU368" s="119" t="n">
        <x:f>IF(AR368=0,0,(AR368-IF(6=D368,1,0))*VLOOKUP(INDEX('章节与怪物'!$E$31:$K$37,B368,6),'章节与怪物'!$A$41:$F$44,4,FALSE)+IF(6=D368,'难度参数'!$E$30,0))</x:f>
        <x:v>1148</x:v>
      </x:c>
      <x:c r="AV368" s="119" t="n">
        <x:f>IF(7&gt;D368,0,MAX(2,MIN('难度参数'!$E$12,ROUND(('难度参数'!$E$18*POWER(A368,'难度参数'!$E$19)/D368*(0.85+0.3*(7-1)/MAX(1,D368-1))),0)+F368)))</x:f>
        <x:v>43</x:v>
      </x:c>
      <x:c r="AW368" s="119" t="n">
        <x:f>IF(7&gt;D368,0,ROUND(('难度参数'!$E$13*POWER(A368,'难度参数'!$E$20)*MIN('难度参数'!$E$23,1+MAX(0,A368-'难度参数'!$E$21)*'难度参数'!$E$22))*(36+7*7)/(36+7*(D368+1)/2)*E368,0))</x:f>
        <x:v>12469</x:v>
      </x:c>
      <x:c r="AX368" s="119" t="n">
        <x:f>IF(AV368=0,0,(AV368-IF(7=D368,1,0))*ROUND(AW368*VLOOKUP(INDEX('章节与怪物'!$E$31:$K$37,B368,7),'章节与怪物'!$A$41:$F$44,2,FALSE),0)+IF(7=D368,ROUND(AW368*'难度参数'!$E$28*'章节与怪物'!$E$17,0),0))</x:f>
        <x:v>791775</x:v>
      </x:c>
      <x:c r="AY368" s="119" t="n">
        <x:f>IF(AV368=0,0,(AV368-IF(7=D368,1,0))*VLOOKUP(INDEX('章节与怪物'!$E$31:$K$37,B368,7),'章节与怪物'!$A$41:$F$44,4,FALSE)+IF(7=D368,'难度参数'!$E$30,0))</x:f>
        <x:v>1628</x:v>
      </x:c>
    </x:row>
    <x:row r="369" ht="23" customHeight="1">
      <x:c r="A369" s="119" t="n">
        <x:v>363</x:v>
      </x:c>
      <x:c r="B369" s="119" t="n">
        <x:f>MOD(INT((A369-1)/5),7)+1</x:f>
        <x:v>3</x:v>
      </x:c>
      <x:c r="C369" s="62" t="str">
        <x:f>INDEX('章节与怪物'!$B$31:$B$37,B369)</x:f>
        <x:v>腐沼秘林</x:v>
      </x:c>
      <x:c r="D369" s="119" t="n">
        <x:f>MIN('难度参数'!$E$8,MAX('难度参数'!$E$7,A369))</x:f>
        <x:v>7</x:v>
      </x:c>
      <x:c r="E369" s="106" t="n">
        <x:v>1</x:v>
      </x:c>
      <x:c r="F369" s="106" t="n">
        <x:v>0</x:v>
      </x:c>
      <x:c r="G369" s="106" t="n">
        <x:v>1</x:v>
      </x:c>
      <x:c r="H369" s="119" t="n">
        <x:f>SUM(X369,AB369,AF369,AJ369,AN369,AR369,AV369)</x:f>
        <x:v>260</x:v>
      </x:c>
      <x:c r="I369" s="119" t="n">
        <x:f>SUM(Z369,AD369,AH369,AL369,AP369,AT369,AX369)</x:f>
        <x:v>3230793</x:v>
      </x:c>
      <x:c r="J369" s="119" t="n">
        <x:f>ROUND(INDEX(X369:AY369,1,(D369-1)*4+2)*'难度参数'!$E$28*'章节与怪物'!$E$17,0)</x:f>
        <x:v>84959</x:v>
      </x:c>
      <x:c r="K369" s="119" t="n">
        <x:f>SUM(AA369,AE369,AI369,AM369,AQ369,AU369,AY369)</x:f>
        <x:v>7030</x:v>
      </x:c>
      <x:c r="L369" s="62" t="n">
        <x:f>H369*(ROUNDUP('难度参数'!$E$24/('难度参数'!$E$26*'难度参数'!$E$27),0)*'难度参数'!$E$26)/60</x:f>
        <x:v>3.466666666666667</x:v>
      </x:c>
      <x:c r="M369" s="62" t="n">
        <x:f>L369+D369*('难度参数'!$E$49+'难度参数'!$E$50)/60</x:f>
        <x:v>4.633333333333334</x:v>
      </x:c>
      <x:c r="N369" s="119" t="n">
        <x:f>ROUNDDOWN(('经济参数'!$E$20+A369*'经济参数'!$E$21)*G369,0)</x:f>
        <x:v>7440</x:v>
      </x:c>
      <x:c r="O369" s="119" t="n">
        <x:f>ROUNDDOWN(MIN('经济参数'!$E$24,'经济参数'!$E$22+A369*'经济参数'!$E$23)*G369,0)</x:f>
        <x:v>0</x:v>
      </x:c>
      <x:c r="P369" s="119" t="n">
        <x:f>ROUNDDOWN((IF(A369&gt;='材料与任务'!$E$31,'材料与任务'!$E$32,IF(A369&gt;='材料与任务'!$E$25,'材料与任务'!$E$26,IF(A369&gt;='材料与任务'!$E$19,'材料与任务'!$E$20,IF(A369&gt;='材料与任务'!$E$13,'材料与任务'!$E$14,'材料与任务'!$E$8)))))*G369,0)</x:f>
        <x:v>6</x:v>
      </x:c>
      <x:c r="Q369" s="119" t="n">
        <x:f>ROUNDDOWN((IF(A369&gt;='材料与任务'!$E$31,'材料与任务'!$E$33,IF(A369&gt;='材料与任务'!$E$25,'材料与任务'!$E$27,IF(A369&gt;='材料与任务'!$E$19,'材料与任务'!$E$21,IF(A369&gt;='材料与任务'!$E$13,'材料与任务'!$E$15,'材料与任务'!$E$9)))))*G369,0)</x:f>
        <x:v>3</x:v>
      </x:c>
      <x:c r="R369" s="110" t="n">
        <x:f>'装备掉落'!$B$38</x:f>
        <x:v>0.6872058758851213</x:v>
      </x:c>
      <x:c r="S369" s="119" t="n">
        <x:f>MAX(IF(VLOOKUP(A369,'装备掉落'!$A$29:$H$34,2,TRUE)&gt;0,1,0),IF(VLOOKUP(A369,'装备掉落'!$A$29:$H$34,3,TRUE)&gt;0,2,0),IF(VLOOKUP(A369,'装备掉落'!$A$29:$H$34,4,TRUE)&gt;0,3,0),IF(VLOOKUP(A369,'装备掉落'!$A$29:$H$34,5,TRUE)&gt;0,4,0),IF(VLOOKUP(A369,'装备掉落'!$A$29:$H$34,6,TRUE)&gt;0,5,0),IF(VLOOKUP(A369,'装备掉落'!$A$29:$H$34,7,TRUE)&gt;0,6,0),IF(VLOOKUP(A369,'装备掉落'!$A$29:$H$34,8,TRUE)&gt;0,7,0))</x:f>
        <x:v>7</x:v>
      </x:c>
      <x:c r="T369" s="119" t="n">
        <x:f>MIN(7,S369+'经济参数'!$E$70)</x:f>
        <x:v>7</x:v>
      </x:c>
      <x:c r="U369" s="119" t="n">
        <x:f>MIN(7,S369+'经济参数'!$E$71)</x:f>
        <x:v>7</x:v>
      </x:c>
      <x:c r="V369" s="119" t="n">
        <x:f>IF(H369&gt;=('难度参数'!$E$52),1,0)+IF(H369&gt;=('难度参数'!$E$52+'难度参数'!$E$53),1,0)+IF(H369&gt;=('难度参数'!$E$52+'难度参数'!$E$53+'难度参数'!$E$54),1,0)+IF(H369&gt;=('难度参数'!$E$52+'难度参数'!$E$53+'难度参数'!$E$54+'难度参数'!$E$55),1,0)+IF(H369&gt;=('难度参数'!$E$52+'难度参数'!$E$53+'难度参数'!$E$54+'难度参数'!$E$55+'难度参数'!$E$56),1,0)+IF(H369&gt;=('难度参数'!$E$52+'难度参数'!$E$53+'难度参数'!$E$54+'难度参数'!$E$55+'难度参数'!$E$56+'难度参数'!$E$57),1,0)</x:f>
        <x:v>6</x:v>
      </x:c>
      <x:c r="W369" s="62" t="str">
        <x:f>IF(L369&gt;'难度参数'!$E$51,"仅出怪已超目标","还需实测")</x:f>
        <x:v>仅出怪已超目标</x:v>
      </x:c>
      <x:c r="X369" s="119" t="n">
        <x:f>IF(1&gt;D369,0,MAX(2,MIN('难度参数'!$E$12,ROUND(('难度参数'!$E$18*POWER(A369,'难度参数'!$E$19)/D369*(0.85+0.3*(1-1)/MAX(1,D369-1))),0)+F369)))</x:f>
        <x:v>32</x:v>
      </x:c>
      <x:c r="Y369" s="119" t="n">
        <x:f>IF(1&gt;D369,0,ROUND(('难度参数'!$E$13*POWER(A369,'难度参数'!$E$20)*MIN('难度参数'!$E$23,1+MAX(0,A369-'难度参数'!$E$21)*'难度参数'!$E$22))*(36+1*7)/(36+7*(D369+1)/2)*E369,0))</x:f>
        <x:v>6321</x:v>
      </x:c>
      <x:c r="Z369" s="119" t="n">
        <x:f>IF(X369=0,0,(X369-IF(1=D369,1,0))*ROUND(Y369*VLOOKUP(INDEX('章节与怪物'!$E$31:$K$37,B369,1),'章节与怪物'!$A$41:$F$44,2,FALSE),0)+IF(1=D369,ROUND(Y369*'难度参数'!$E$28*'章节与怪物'!$E$17,0),0))</x:f>
        <x:v>202272</x:v>
      </x:c>
      <x:c r="AA369" s="119" t="n">
        <x:f>IF(X369=0,0,(X369-IF(1=D369,1,0))*VLOOKUP(INDEX('章节与怪物'!$E$31:$K$37,B369,1),'章节与怪物'!$A$41:$F$44,4,FALSE)+IF(1=D369,'难度参数'!$E$30,0))</x:f>
        <x:v>576</x:v>
      </x:c>
      <x:c r="AB369" s="119" t="n">
        <x:f>IF(2&gt;D369,0,MAX(2,MIN('难度参数'!$E$12,ROUND(('难度参数'!$E$18*POWER(A369,'难度参数'!$E$19)/D369*(0.85+0.3*(2-1)/MAX(1,D369-1))),0)+F369)))</x:f>
        <x:v>33</x:v>
      </x:c>
      <x:c r="AC369" s="119" t="n">
        <x:f>IF(2&gt;D369,0,ROUND(('难度参数'!$E$13*POWER(A369,'难度参数'!$E$20)*MIN('难度参数'!$E$23,1+MAX(0,A369-'难度参数'!$E$21)*'难度参数'!$E$22))*(36+2*7)/(36+7*(D369+1)/2)*E369,0))</x:f>
        <x:v>7349</x:v>
      </x:c>
      <x:c r="AD369" s="119" t="n">
        <x:f>IF(AB369=0,0,(AB369-IF(2=D369,1,0))*ROUND(AC369*VLOOKUP(INDEX('章节与怪物'!$E$31:$K$37,B369,2),'章节与怪物'!$A$41:$F$44,2,FALSE),0)+IF(2=D369,ROUND(AC369*'难度参数'!$E$28*'章节与怪物'!$E$17,0),0))</x:f>
        <x:v>174603</x:v>
      </x:c>
      <x:c r="AE369" s="119" t="n">
        <x:f>IF(AB369=0,0,(AB369-IF(2=D369,1,0))*VLOOKUP(INDEX('章节与怪物'!$E$31:$K$37,B369,2),'章节与怪物'!$A$41:$F$44,4,FALSE)+IF(2=D369,'难度参数'!$E$30,0))</x:f>
        <x:v>660</x:v>
      </x:c>
      <x:c r="AF369" s="119" t="n">
        <x:f>IF(3&gt;D369,0,MAX(2,MIN('难度参数'!$E$12,ROUND(('难度参数'!$E$18*POWER(A369,'难度参数'!$E$19)/D369*(0.85+0.3*(3-1)/MAX(1,D369-1))),0)+F369)))</x:f>
        <x:v>35</x:v>
      </x:c>
      <x:c r="AG369" s="119" t="n">
        <x:f>IF(3&gt;D369,0,ROUND(('难度参数'!$E$13*POWER(A369,'难度参数'!$E$20)*MIN('难度参数'!$E$23,1+MAX(0,A369-'难度参数'!$E$21)*'难度参数'!$E$22))*(36+3*7)/(36+7*(D369+1)/2)*E369,0))</x:f>
        <x:v>8378</x:v>
      </x:c>
      <x:c r="AH369" s="119" t="n">
        <x:f>IF(AF369=0,0,(AF369-IF(3=D369,1,0))*ROUND(AG369*VLOOKUP(INDEX('章节与怪物'!$E$31:$K$37,B369,3),'章节与怪物'!$A$41:$F$44,2,FALSE),0)+IF(3=D369,ROUND(AG369*'难度参数'!$E$28*'章节与怪物'!$E$17,0),0))</x:f>
        <x:v>498505</x:v>
      </x:c>
      <x:c r="AI369" s="119" t="n">
        <x:f>IF(AF369=0,0,(AF369-IF(3=D369,1,0))*VLOOKUP(INDEX('章节与怪物'!$E$31:$K$37,B369,3),'章节与怪物'!$A$41:$F$44,4,FALSE)+IF(3=D369,'难度参数'!$E$30,0))</x:f>
        <x:v>980</x:v>
      </x:c>
      <x:c r="AJ369" s="119" t="n">
        <x:f>IF(4&gt;D369,0,MAX(2,MIN('难度参数'!$E$12,ROUND(('难度参数'!$E$18*POWER(A369,'难度参数'!$E$19)/D369*(0.85+0.3*(4-1)/MAX(1,D369-1))),0)+F369)))</x:f>
        <x:v>37</x:v>
      </x:c>
      <x:c r="AK369" s="119" t="n">
        <x:f>IF(4&gt;D369,0,ROUND(('难度参数'!$E$13*POWER(A369,'难度参数'!$E$20)*MIN('难度参数'!$E$23,1+MAX(0,A369-'难度参数'!$E$21)*'难度参数'!$E$22))*(36+4*7)/(36+7*(D369+1)/2)*E369,0))</x:f>
        <x:v>9407</x:v>
      </x:c>
      <x:c r="AL369" s="119" t="n">
        <x:f>IF(AJ369=0,0,(AJ369-IF(4=D369,1,0))*ROUND(AK369*VLOOKUP(INDEX('章节与怪物'!$E$31:$K$37,B369,4),'章节与怪物'!$A$41:$F$44,2,FALSE),0)+IF(4=D369,ROUND(AK369*'难度参数'!$E$28*'章节与怪物'!$E$17,0),0))</x:f>
        <x:v>469863</x:v>
      </x:c>
      <x:c r="AM369" s="119" t="n">
        <x:f>IF(AJ369=0,0,(AJ369-IF(4=D369,1,0))*VLOOKUP(INDEX('章节与怪物'!$E$31:$K$37,B369,4),'章节与怪物'!$A$41:$F$44,4,FALSE)+IF(4=D369,'难度参数'!$E$30,0))</x:f>
        <x:v>1258</x:v>
      </x:c>
      <x:c r="AN369" s="119" t="n">
        <x:f>IF(5&gt;D369,0,MAX(2,MIN('难度参数'!$E$12,ROUND(('难度参数'!$E$18*POWER(A369,'难度参数'!$E$19)/D369*(0.85+0.3*(5-1)/MAX(1,D369-1))),0)+F369)))</x:f>
        <x:v>39</x:v>
      </x:c>
      <x:c r="AO369" s="119" t="n">
        <x:f>IF(5&gt;D369,0,ROUND(('难度参数'!$E$13*POWER(A369,'难度参数'!$E$20)*MIN('难度参数'!$E$23,1+MAX(0,A369-'难度参数'!$E$21)*'难度参数'!$E$22))*(36+5*7)/(36+7*(D369+1)/2)*E369,0))</x:f>
        <x:v>10436</x:v>
      </x:c>
      <x:c r="AP369" s="119" t="n">
        <x:f>IF(AN369=0,0,(AN369-IF(5=D369,1,0))*ROUND(AO369*VLOOKUP(INDEX('章节与怪物'!$E$31:$K$37,B369,5),'章节与怪物'!$A$41:$F$44,2,FALSE),0)+IF(5=D369,ROUND(AO369*'难度参数'!$E$28*'章节与怪物'!$E$17,0),0))</x:f>
        <x:v>293046</x:v>
      </x:c>
      <x:c r="AQ369" s="119" t="n">
        <x:f>IF(AN369=0,0,(AN369-IF(5=D369,1,0))*VLOOKUP(INDEX('章节与怪物'!$E$31:$K$37,B369,5),'章节与怪物'!$A$41:$F$44,4,FALSE)+IF(5=D369,'难度参数'!$E$30,0))</x:f>
        <x:v>780</x:v>
      </x:c>
      <x:c r="AR369" s="119" t="n">
        <x:f>IF(6&gt;D369,0,MAX(2,MIN('难度参数'!$E$12,ROUND(('难度参数'!$E$18*POWER(A369,'难度参数'!$E$19)/D369*(0.85+0.3*(6-1)/MAX(1,D369-1))),0)+F369)))</x:f>
        <x:v>41</x:v>
      </x:c>
      <x:c r="AS369" s="119" t="n">
        <x:f>IF(6&gt;D369,0,ROUND(('难度参数'!$E$13*POWER(A369,'难度参数'!$E$20)*MIN('难度参数'!$E$23,1+MAX(0,A369-'难度参数'!$E$21)*'难度参数'!$E$22))*(36+6*7)/(36+7*(D369+1)/2)*E369,0))</x:f>
        <x:v>11465</x:v>
      </x:c>
      <x:c r="AT369" s="119" t="n">
        <x:f>IF(AR369=0,0,(AR369-IF(6=D369,1,0))*ROUND(AS369*VLOOKUP(INDEX('章节与怪物'!$E$31:$K$37,B369,6),'章节与怪物'!$A$41:$F$44,2,FALSE),0)+IF(6=D369,ROUND(AS369*'难度参数'!$E$28*'章节与怪物'!$E$17,0),0))</x:f>
        <x:v>799131</x:v>
      </x:c>
      <x:c r="AU369" s="119" t="n">
        <x:f>IF(AR369=0,0,(AR369-IF(6=D369,1,0))*VLOOKUP(INDEX('章节与怪物'!$E$31:$K$37,B369,6),'章节与怪物'!$A$41:$F$44,4,FALSE)+IF(6=D369,'难度参数'!$E$30,0))</x:f>
        <x:v>1148</x:v>
      </x:c>
      <x:c r="AV369" s="119" t="n">
        <x:f>IF(7&gt;D369,0,MAX(2,MIN('难度参数'!$E$12,ROUND(('难度参数'!$E$18*POWER(A369,'难度参数'!$E$19)/D369*(0.85+0.3*(7-1)/MAX(1,D369-1))),0)+F369)))</x:f>
        <x:v>43</x:v>
      </x:c>
      <x:c r="AW369" s="119" t="n">
        <x:f>IF(7&gt;D369,0,ROUND(('难度参数'!$E$13*POWER(A369,'难度参数'!$E$20)*MIN('难度参数'!$E$23,1+MAX(0,A369-'难度参数'!$E$21)*'难度参数'!$E$22))*(36+7*7)/(36+7*(D369+1)/2)*E369,0))</x:f>
        <x:v>12494</x:v>
      </x:c>
      <x:c r="AX369" s="119" t="n">
        <x:f>IF(AV369=0,0,(AV369-IF(7=D369,1,0))*ROUND(AW369*VLOOKUP(INDEX('章节与怪物'!$E$31:$K$37,B369,7),'章节与怪物'!$A$41:$F$44,2,FALSE),0)+IF(7=D369,ROUND(AW369*'难度参数'!$E$28*'章节与怪物'!$E$17,0),0))</x:f>
        <x:v>793373</x:v>
      </x:c>
      <x:c r="AY369" s="119" t="n">
        <x:f>IF(AV369=0,0,(AV369-IF(7=D369,1,0))*VLOOKUP(INDEX('章节与怪物'!$E$31:$K$37,B369,7),'章节与怪物'!$A$41:$F$44,4,FALSE)+IF(7=D369,'难度参数'!$E$30,0))</x:f>
        <x:v>1628</x:v>
      </x:c>
    </x:row>
    <x:row r="370" ht="23" customHeight="1">
      <x:c r="A370" s="119" t="n">
        <x:v>364</x:v>
      </x:c>
      <x:c r="B370" s="119" t="n">
        <x:f>MOD(INT((A370-1)/5),7)+1</x:f>
        <x:v>3</x:v>
      </x:c>
      <x:c r="C370" s="62" t="str">
        <x:f>INDEX('章节与怪物'!$B$31:$B$37,B370)</x:f>
        <x:v>腐沼秘林</x:v>
      </x:c>
      <x:c r="D370" s="119" t="n">
        <x:f>MIN('难度参数'!$E$8,MAX('难度参数'!$E$7,A370))</x:f>
        <x:v>7</x:v>
      </x:c>
      <x:c r="E370" s="106" t="n">
        <x:v>1</x:v>
      </x:c>
      <x:c r="F370" s="106" t="n">
        <x:v>0</x:v>
      </x:c>
      <x:c r="G370" s="106" t="n">
        <x:v>1</x:v>
      </x:c>
      <x:c r="H370" s="119" t="n">
        <x:f>SUM(X370,AB370,AF370,AJ370,AN370,AR370,AV370)</x:f>
        <x:v>260</x:v>
      </x:c>
      <x:c r="I370" s="119" t="n">
        <x:f>SUM(Z370,AD370,AH370,AL370,AP370,AT370,AX370)</x:f>
        <x:v>3237299</x:v>
      </x:c>
      <x:c r="J370" s="119" t="n">
        <x:f>ROUND(INDEX(X370:AY370,1,(D370-1)*4+2)*'难度参数'!$E$28*'章节与怪物'!$E$17,0)</x:f>
        <x:v>85129</x:v>
      </x:c>
      <x:c r="K370" s="119" t="n">
        <x:f>SUM(AA370,AE370,AI370,AM370,AQ370,AU370,AY370)</x:f>
        <x:v>7030</x:v>
      </x:c>
      <x:c r="L370" s="62" t="n">
        <x:f>H370*(ROUNDUP('难度参数'!$E$24/('难度参数'!$E$26*'难度参数'!$E$27),0)*'难度参数'!$E$26)/60</x:f>
        <x:v>3.466666666666667</x:v>
      </x:c>
      <x:c r="M370" s="62" t="n">
        <x:f>L370+D370*('难度参数'!$E$49+'难度参数'!$E$50)/60</x:f>
        <x:v>4.633333333333334</x:v>
      </x:c>
      <x:c r="N370" s="119" t="n">
        <x:f>ROUNDDOWN(('经济参数'!$E$20+A370*'经济参数'!$E$21)*G370,0)</x:f>
        <x:v>7460</x:v>
      </x:c>
      <x:c r="O370" s="119" t="n">
        <x:f>ROUNDDOWN(MIN('经济参数'!$E$24,'经济参数'!$E$22+A370*'经济参数'!$E$23)*G370,0)</x:f>
        <x:v>0</x:v>
      </x:c>
      <x:c r="P370" s="119" t="n">
        <x:f>ROUNDDOWN((IF(A370&gt;='材料与任务'!$E$31,'材料与任务'!$E$32,IF(A370&gt;='材料与任务'!$E$25,'材料与任务'!$E$26,IF(A370&gt;='材料与任务'!$E$19,'材料与任务'!$E$20,IF(A370&gt;='材料与任务'!$E$13,'材料与任务'!$E$14,'材料与任务'!$E$8)))))*G370,0)</x:f>
        <x:v>6</x:v>
      </x:c>
      <x:c r="Q370" s="119" t="n">
        <x:f>ROUNDDOWN((IF(A370&gt;='材料与任务'!$E$31,'材料与任务'!$E$33,IF(A370&gt;='材料与任务'!$E$25,'材料与任务'!$E$27,IF(A370&gt;='材料与任务'!$E$19,'材料与任务'!$E$21,IF(A370&gt;='材料与任务'!$E$13,'材料与任务'!$E$15,'材料与任务'!$E$9)))))*G370,0)</x:f>
        <x:v>3</x:v>
      </x:c>
      <x:c r="R370" s="110" t="n">
        <x:f>'装备掉落'!$B$38</x:f>
        <x:v>0.6872058758851213</x:v>
      </x:c>
      <x:c r="S370" s="119" t="n">
        <x:f>MAX(IF(VLOOKUP(A370,'装备掉落'!$A$29:$H$34,2,TRUE)&gt;0,1,0),IF(VLOOKUP(A370,'装备掉落'!$A$29:$H$34,3,TRUE)&gt;0,2,0),IF(VLOOKUP(A370,'装备掉落'!$A$29:$H$34,4,TRUE)&gt;0,3,0),IF(VLOOKUP(A370,'装备掉落'!$A$29:$H$34,5,TRUE)&gt;0,4,0),IF(VLOOKUP(A370,'装备掉落'!$A$29:$H$34,6,TRUE)&gt;0,5,0),IF(VLOOKUP(A370,'装备掉落'!$A$29:$H$34,7,TRUE)&gt;0,6,0),IF(VLOOKUP(A370,'装备掉落'!$A$29:$H$34,8,TRUE)&gt;0,7,0))</x:f>
        <x:v>7</x:v>
      </x:c>
      <x:c r="T370" s="119" t="n">
        <x:f>MIN(7,S370+'经济参数'!$E$70)</x:f>
        <x:v>7</x:v>
      </x:c>
      <x:c r="U370" s="119" t="n">
        <x:f>MIN(7,S370+'经济参数'!$E$71)</x:f>
        <x:v>7</x:v>
      </x:c>
      <x:c r="V370" s="119" t="n">
        <x:f>IF(H370&gt;=('难度参数'!$E$52),1,0)+IF(H370&gt;=('难度参数'!$E$52+'难度参数'!$E$53),1,0)+IF(H370&gt;=('难度参数'!$E$52+'难度参数'!$E$53+'难度参数'!$E$54),1,0)+IF(H370&gt;=('难度参数'!$E$52+'难度参数'!$E$53+'难度参数'!$E$54+'难度参数'!$E$55),1,0)+IF(H370&gt;=('难度参数'!$E$52+'难度参数'!$E$53+'难度参数'!$E$54+'难度参数'!$E$55+'难度参数'!$E$56),1,0)+IF(H370&gt;=('难度参数'!$E$52+'难度参数'!$E$53+'难度参数'!$E$54+'难度参数'!$E$55+'难度参数'!$E$56+'难度参数'!$E$57),1,0)</x:f>
        <x:v>6</x:v>
      </x:c>
      <x:c r="W370" s="62" t="str">
        <x:f>IF(L370&gt;'难度参数'!$E$51,"仅出怪已超目标","还需实测")</x:f>
        <x:v>仅出怪已超目标</x:v>
      </x:c>
      <x:c r="X370" s="119" t="n">
        <x:f>IF(1&gt;D370,0,MAX(2,MIN('难度参数'!$E$12,ROUND(('难度参数'!$E$18*POWER(A370,'难度参数'!$E$19)/D370*(0.85+0.3*(1-1)/MAX(1,D370-1))),0)+F370)))</x:f>
        <x:v>32</x:v>
      </x:c>
      <x:c r="Y370" s="119" t="n">
        <x:f>IF(1&gt;D370,0,ROUND(('难度参数'!$E$13*POWER(A370,'难度参数'!$E$20)*MIN('难度参数'!$E$23,1+MAX(0,A370-'难度参数'!$E$21)*'难度参数'!$E$22))*(36+1*7)/(36+7*(D370+1)/2)*E370,0))</x:f>
        <x:v>6333</x:v>
      </x:c>
      <x:c r="Z370" s="119" t="n">
        <x:f>IF(X370=0,0,(X370-IF(1=D370,1,0))*ROUND(Y370*VLOOKUP(INDEX('章节与怪物'!$E$31:$K$37,B370,1),'章节与怪物'!$A$41:$F$44,2,FALSE),0)+IF(1=D370,ROUND(Y370*'难度参数'!$E$28*'章节与怪物'!$E$17,0),0))</x:f>
        <x:v>202656</x:v>
      </x:c>
      <x:c r="AA370" s="119" t="n">
        <x:f>IF(X370=0,0,(X370-IF(1=D370,1,0))*VLOOKUP(INDEX('章节与怪物'!$E$31:$K$37,B370,1),'章节与怪物'!$A$41:$F$44,4,FALSE)+IF(1=D370,'难度参数'!$E$30,0))</x:f>
        <x:v>576</x:v>
      </x:c>
      <x:c r="AB370" s="119" t="n">
        <x:f>IF(2&gt;D370,0,MAX(2,MIN('难度参数'!$E$12,ROUND(('难度参数'!$E$18*POWER(A370,'难度参数'!$E$19)/D370*(0.85+0.3*(2-1)/MAX(1,D370-1))),0)+F370)))</x:f>
        <x:v>33</x:v>
      </x:c>
      <x:c r="AC370" s="119" t="n">
        <x:f>IF(2&gt;D370,0,ROUND(('难度参数'!$E$13*POWER(A370,'难度参数'!$E$20)*MIN('难度参数'!$E$23,1+MAX(0,A370-'难度参数'!$E$21)*'难度参数'!$E$22))*(36+2*7)/(36+7*(D370+1)/2)*E370,0))</x:f>
        <x:v>7364</x:v>
      </x:c>
      <x:c r="AD370" s="119" t="n">
        <x:f>IF(AB370=0,0,(AB370-IF(2=D370,1,0))*ROUND(AC370*VLOOKUP(INDEX('章节与怪物'!$E$31:$K$37,B370,2),'章节与怪物'!$A$41:$F$44,2,FALSE),0)+IF(2=D370,ROUND(AC370*'难度参数'!$E$28*'章节与怪物'!$E$17,0),0))</x:f>
        <x:v>174966</x:v>
      </x:c>
      <x:c r="AE370" s="119" t="n">
        <x:f>IF(AB370=0,0,(AB370-IF(2=D370,1,0))*VLOOKUP(INDEX('章节与怪物'!$E$31:$K$37,B370,2),'章节与怪物'!$A$41:$F$44,4,FALSE)+IF(2=D370,'难度参数'!$E$30,0))</x:f>
        <x:v>660</x:v>
      </x:c>
      <x:c r="AF370" s="119" t="n">
        <x:f>IF(3&gt;D370,0,MAX(2,MIN('难度参数'!$E$12,ROUND(('难度参数'!$E$18*POWER(A370,'难度参数'!$E$19)/D370*(0.85+0.3*(3-1)/MAX(1,D370-1))),0)+F370)))</x:f>
        <x:v>35</x:v>
      </x:c>
      <x:c r="AG370" s="119" t="n">
        <x:f>IF(3&gt;D370,0,ROUND(('难度参数'!$E$13*POWER(A370,'难度参数'!$E$20)*MIN('难度参数'!$E$23,1+MAX(0,A370-'难度参数'!$E$21)*'难度参数'!$E$22))*(36+3*7)/(36+7*(D370+1)/2)*E370,0))</x:f>
        <x:v>8395</x:v>
      </x:c>
      <x:c r="AH370" s="119" t="n">
        <x:f>IF(AF370=0,0,(AF370-IF(3=D370,1,0))*ROUND(AG370*VLOOKUP(INDEX('章节与怪物'!$E$31:$K$37,B370,3),'章节与怪物'!$A$41:$F$44,2,FALSE),0)+IF(3=D370,ROUND(AG370*'难度参数'!$E$28*'章节与怪物'!$E$17,0),0))</x:f>
        <x:v>499520</x:v>
      </x:c>
      <x:c r="AI370" s="119" t="n">
        <x:f>IF(AF370=0,0,(AF370-IF(3=D370,1,0))*VLOOKUP(INDEX('章节与怪物'!$E$31:$K$37,B370,3),'章节与怪物'!$A$41:$F$44,4,FALSE)+IF(3=D370,'难度参数'!$E$30,0))</x:f>
        <x:v>980</x:v>
      </x:c>
      <x:c r="AJ370" s="119" t="n">
        <x:f>IF(4&gt;D370,0,MAX(2,MIN('难度参数'!$E$12,ROUND(('难度参数'!$E$18*POWER(A370,'难度参数'!$E$19)/D370*(0.85+0.3*(4-1)/MAX(1,D370-1))),0)+F370)))</x:f>
        <x:v>37</x:v>
      </x:c>
      <x:c r="AK370" s="119" t="n">
        <x:f>IF(4&gt;D370,0,ROUND(('难度参数'!$E$13*POWER(A370,'难度参数'!$E$20)*MIN('难度参数'!$E$23,1+MAX(0,A370-'难度参数'!$E$21)*'难度参数'!$E$22))*(36+4*7)/(36+7*(D370+1)/2)*E370,0))</x:f>
        <x:v>9426</x:v>
      </x:c>
      <x:c r="AL370" s="119" t="n">
        <x:f>IF(AJ370=0,0,(AJ370-IF(4=D370,1,0))*ROUND(AK370*VLOOKUP(INDEX('章节与怪物'!$E$31:$K$37,B370,4),'章节与怪物'!$A$41:$F$44,2,FALSE),0)+IF(4=D370,ROUND(AK370*'难度参数'!$E$28*'章节与怪物'!$E$17,0),0))</x:f>
        <x:v>470825</x:v>
      </x:c>
      <x:c r="AM370" s="119" t="n">
        <x:f>IF(AJ370=0,0,(AJ370-IF(4=D370,1,0))*VLOOKUP(INDEX('章节与怪物'!$E$31:$K$37,B370,4),'章节与怪物'!$A$41:$F$44,4,FALSE)+IF(4=D370,'难度参数'!$E$30,0))</x:f>
        <x:v>1258</x:v>
      </x:c>
      <x:c r="AN370" s="119" t="n">
        <x:f>IF(5&gt;D370,0,MAX(2,MIN('难度参数'!$E$12,ROUND(('难度参数'!$E$18*POWER(A370,'难度参数'!$E$19)/D370*(0.85+0.3*(5-1)/MAX(1,D370-1))),0)+F370)))</x:f>
        <x:v>39</x:v>
      </x:c>
      <x:c r="AO370" s="119" t="n">
        <x:f>IF(5&gt;D370,0,ROUND(('难度参数'!$E$13*POWER(A370,'难度参数'!$E$20)*MIN('难度参数'!$E$23,1+MAX(0,A370-'难度参数'!$E$21)*'难度参数'!$E$22))*(36+5*7)/(36+7*(D370+1)/2)*E370,0))</x:f>
        <x:v>10457</x:v>
      </x:c>
      <x:c r="AP370" s="119" t="n">
        <x:f>IF(AN370=0,0,(AN370-IF(5=D370,1,0))*ROUND(AO370*VLOOKUP(INDEX('章节与怪物'!$E$31:$K$37,B370,5),'章节与怪物'!$A$41:$F$44,2,FALSE),0)+IF(5=D370,ROUND(AO370*'难度参数'!$E$28*'章节与怪物'!$E$17,0),0))</x:f>
        <x:v>293631</x:v>
      </x:c>
      <x:c r="AQ370" s="119" t="n">
        <x:f>IF(AN370=0,0,(AN370-IF(5=D370,1,0))*VLOOKUP(INDEX('章节与怪物'!$E$31:$K$37,B370,5),'章节与怪物'!$A$41:$F$44,4,FALSE)+IF(5=D370,'难度参数'!$E$30,0))</x:f>
        <x:v>780</x:v>
      </x:c>
      <x:c r="AR370" s="119" t="n">
        <x:f>IF(6&gt;D370,0,MAX(2,MIN('难度参数'!$E$12,ROUND(('难度参数'!$E$18*POWER(A370,'难度参数'!$E$19)/D370*(0.85+0.3*(6-1)/MAX(1,D370-1))),0)+F370)))</x:f>
        <x:v>41</x:v>
      </x:c>
      <x:c r="AS370" s="119" t="n">
        <x:f>IF(6&gt;D370,0,ROUND(('难度参数'!$E$13*POWER(A370,'难度参数'!$E$20)*MIN('难度参数'!$E$23,1+MAX(0,A370-'难度参数'!$E$21)*'难度参数'!$E$22))*(36+6*7)/(36+7*(D370+1)/2)*E370,0))</x:f>
        <x:v>11488</x:v>
      </x:c>
      <x:c r="AT370" s="119" t="n">
        <x:f>IF(AR370=0,0,(AR370-IF(6=D370,1,0))*ROUND(AS370*VLOOKUP(INDEX('章节与怪物'!$E$31:$K$37,B370,6),'章节与怪物'!$A$41:$F$44,2,FALSE),0)+IF(6=D370,ROUND(AS370*'难度参数'!$E$28*'章节与怪物'!$E$17,0),0))</x:f>
        <x:v>800730</x:v>
      </x:c>
      <x:c r="AU370" s="119" t="n">
        <x:f>IF(AR370=0,0,(AR370-IF(6=D370,1,0))*VLOOKUP(INDEX('章节与怪物'!$E$31:$K$37,B370,6),'章节与怪物'!$A$41:$F$44,4,FALSE)+IF(6=D370,'难度参数'!$E$30,0))</x:f>
        <x:v>1148</x:v>
      </x:c>
      <x:c r="AV370" s="119" t="n">
        <x:f>IF(7&gt;D370,0,MAX(2,MIN('难度参数'!$E$12,ROUND(('难度参数'!$E$18*POWER(A370,'难度参数'!$E$19)/D370*(0.85+0.3*(7-1)/MAX(1,D370-1))),0)+F370)))</x:f>
        <x:v>43</x:v>
      </x:c>
      <x:c r="AW370" s="119" t="n">
        <x:f>IF(7&gt;D370,0,ROUND(('难度参数'!$E$13*POWER(A370,'难度参数'!$E$20)*MIN('难度参数'!$E$23,1+MAX(0,A370-'难度参数'!$E$21)*'难度参数'!$E$22))*(36+7*7)/(36+7*(D370+1)/2)*E370,0))</x:f>
        <x:v>12519</x:v>
      </x:c>
      <x:c r="AX370" s="119" t="n">
        <x:f>IF(AV370=0,0,(AV370-IF(7=D370,1,0))*ROUND(AW370*VLOOKUP(INDEX('章节与怪物'!$E$31:$K$37,B370,7),'章节与怪物'!$A$41:$F$44,2,FALSE),0)+IF(7=D370,ROUND(AW370*'难度参数'!$E$28*'章节与怪物'!$E$17,0),0))</x:f>
        <x:v>794971</x:v>
      </x:c>
      <x:c r="AY370" s="119" t="n">
        <x:f>IF(AV370=0,0,(AV370-IF(7=D370,1,0))*VLOOKUP(INDEX('章节与怪物'!$E$31:$K$37,B370,7),'章节与怪物'!$A$41:$F$44,4,FALSE)+IF(7=D370,'难度参数'!$E$30,0))</x:f>
        <x:v>1628</x:v>
      </x:c>
    </x:row>
    <x:row r="371" ht="23" customHeight="1">
      <x:c r="A371" s="119" t="n">
        <x:v>365</x:v>
      </x:c>
      <x:c r="B371" s="119" t="n">
        <x:f>MOD(INT((A371-1)/5),7)+1</x:f>
        <x:v>3</x:v>
      </x:c>
      <x:c r="C371" s="62" t="str">
        <x:f>INDEX('章节与怪物'!$B$31:$B$37,B371)</x:f>
        <x:v>腐沼秘林</x:v>
      </x:c>
      <x:c r="D371" s="119" t="n">
        <x:f>MIN('难度参数'!$E$8,MAX('难度参数'!$E$7,A371))</x:f>
        <x:v>7</x:v>
      </x:c>
      <x:c r="E371" s="106" t="n">
        <x:v>1</x:v>
      </x:c>
      <x:c r="F371" s="106" t="n">
        <x:v>0</x:v>
      </x:c>
      <x:c r="G371" s="106" t="n">
        <x:v>1</x:v>
      </x:c>
      <x:c r="H371" s="119" t="n">
        <x:f>SUM(X371,AB371,AF371,AJ371,AN371,AR371,AV371)</x:f>
        <x:v>260</x:v>
      </x:c>
      <x:c r="I371" s="119" t="n">
        <x:f>SUM(Z371,AD371,AH371,AL371,AP371,AT371,AX371)</x:f>
        <x:v>3243760</x:v>
      </x:c>
      <x:c r="J371" s="119" t="n">
        <x:f>ROUND(INDEX(X371:AY371,1,(D371-1)*4+2)*'难度参数'!$E$28*'章节与怪物'!$E$17,0)</x:f>
        <x:v>85299</x:v>
      </x:c>
      <x:c r="K371" s="119" t="n">
        <x:f>SUM(AA371,AE371,AI371,AM371,AQ371,AU371,AY371)</x:f>
        <x:v>7030</x:v>
      </x:c>
      <x:c r="L371" s="62" t="n">
        <x:f>H371*(ROUNDUP('难度参数'!$E$24/('难度参数'!$E$26*'难度参数'!$E$27),0)*'难度参数'!$E$26)/60</x:f>
        <x:v>3.466666666666667</x:v>
      </x:c>
      <x:c r="M371" s="62" t="n">
        <x:f>L371+D371*('难度参数'!$E$49+'难度参数'!$E$50)/60</x:f>
        <x:v>4.633333333333334</x:v>
      </x:c>
      <x:c r="N371" s="119" t="n">
        <x:f>ROUNDDOWN(('经济参数'!$E$20+A371*'经济参数'!$E$21)*G371,0)</x:f>
        <x:v>7480</x:v>
      </x:c>
      <x:c r="O371" s="119" t="n">
        <x:f>ROUNDDOWN(MIN('经济参数'!$E$24,'经济参数'!$E$22+A371*'经济参数'!$E$23)*G371,0)</x:f>
        <x:v>0</x:v>
      </x:c>
      <x:c r="P371" s="119" t="n">
        <x:f>ROUNDDOWN((IF(A371&gt;='材料与任务'!$E$31,'材料与任务'!$E$32,IF(A371&gt;='材料与任务'!$E$25,'材料与任务'!$E$26,IF(A371&gt;='材料与任务'!$E$19,'材料与任务'!$E$20,IF(A371&gt;='材料与任务'!$E$13,'材料与任务'!$E$14,'材料与任务'!$E$8)))))*G371,0)</x:f>
        <x:v>6</x:v>
      </x:c>
      <x:c r="Q371" s="119" t="n">
        <x:f>ROUNDDOWN((IF(A371&gt;='材料与任务'!$E$31,'材料与任务'!$E$33,IF(A371&gt;='材料与任务'!$E$25,'材料与任务'!$E$27,IF(A371&gt;='材料与任务'!$E$19,'材料与任务'!$E$21,IF(A371&gt;='材料与任务'!$E$13,'材料与任务'!$E$15,'材料与任务'!$E$9)))))*G371,0)</x:f>
        <x:v>3</x:v>
      </x:c>
      <x:c r="R371" s="110" t="n">
        <x:f>'装备掉落'!$B$38</x:f>
        <x:v>0.6872058758851213</x:v>
      </x:c>
      <x:c r="S371" s="119" t="n">
        <x:f>MAX(IF(VLOOKUP(A371,'装备掉落'!$A$29:$H$34,2,TRUE)&gt;0,1,0),IF(VLOOKUP(A371,'装备掉落'!$A$29:$H$34,3,TRUE)&gt;0,2,0),IF(VLOOKUP(A371,'装备掉落'!$A$29:$H$34,4,TRUE)&gt;0,3,0),IF(VLOOKUP(A371,'装备掉落'!$A$29:$H$34,5,TRUE)&gt;0,4,0),IF(VLOOKUP(A371,'装备掉落'!$A$29:$H$34,6,TRUE)&gt;0,5,0),IF(VLOOKUP(A371,'装备掉落'!$A$29:$H$34,7,TRUE)&gt;0,6,0),IF(VLOOKUP(A371,'装备掉落'!$A$29:$H$34,8,TRUE)&gt;0,7,0))</x:f>
        <x:v>7</x:v>
      </x:c>
      <x:c r="T371" s="119" t="n">
        <x:f>MIN(7,S371+'经济参数'!$E$70)</x:f>
        <x:v>7</x:v>
      </x:c>
      <x:c r="U371" s="119" t="n">
        <x:f>MIN(7,S371+'经济参数'!$E$71)</x:f>
        <x:v>7</x:v>
      </x:c>
      <x:c r="V371" s="119" t="n">
        <x:f>IF(H371&gt;=('难度参数'!$E$52),1,0)+IF(H371&gt;=('难度参数'!$E$52+'难度参数'!$E$53),1,0)+IF(H371&gt;=('难度参数'!$E$52+'难度参数'!$E$53+'难度参数'!$E$54),1,0)+IF(H371&gt;=('难度参数'!$E$52+'难度参数'!$E$53+'难度参数'!$E$54+'难度参数'!$E$55),1,0)+IF(H371&gt;=('难度参数'!$E$52+'难度参数'!$E$53+'难度参数'!$E$54+'难度参数'!$E$55+'难度参数'!$E$56),1,0)+IF(H371&gt;=('难度参数'!$E$52+'难度参数'!$E$53+'难度参数'!$E$54+'难度参数'!$E$55+'难度参数'!$E$56+'难度参数'!$E$57),1,0)</x:f>
        <x:v>6</x:v>
      </x:c>
      <x:c r="W371" s="62" t="str">
        <x:f>IF(L371&gt;'难度参数'!$E$51,"仅出怪已超目标","还需实测")</x:f>
        <x:v>仅出怪已超目标</x:v>
      </x:c>
      <x:c r="X371" s="119" t="n">
        <x:f>IF(1&gt;D371,0,MAX(2,MIN('难度参数'!$E$12,ROUND(('难度参数'!$E$18*POWER(A371,'难度参数'!$E$19)/D371*(0.85+0.3*(1-1)/MAX(1,D371-1))),0)+F371)))</x:f>
        <x:v>32</x:v>
      </x:c>
      <x:c r="Y371" s="119" t="n">
        <x:f>IF(1&gt;D371,0,ROUND(('难度参数'!$E$13*POWER(A371,'难度参数'!$E$20)*MIN('难度参数'!$E$23,1+MAX(0,A371-'难度参数'!$E$21)*'难度参数'!$E$22))*(36+1*7)/(36+7*(D371+1)/2)*E371,0))</x:f>
        <x:v>6346</x:v>
      </x:c>
      <x:c r="Z371" s="119" t="n">
        <x:f>IF(X371=0,0,(X371-IF(1=D371,1,0))*ROUND(Y371*VLOOKUP(INDEX('章节与怪物'!$E$31:$K$37,B371,1),'章节与怪物'!$A$41:$F$44,2,FALSE),0)+IF(1=D371,ROUND(Y371*'难度参数'!$E$28*'章节与怪物'!$E$17,0),0))</x:f>
        <x:v>203072</x:v>
      </x:c>
      <x:c r="AA371" s="119" t="n">
        <x:f>IF(X371=0,0,(X371-IF(1=D371,1,0))*VLOOKUP(INDEX('章节与怪物'!$E$31:$K$37,B371,1),'章节与怪物'!$A$41:$F$44,4,FALSE)+IF(1=D371,'难度参数'!$E$30,0))</x:f>
        <x:v>576</x:v>
      </x:c>
      <x:c r="AB371" s="119" t="n">
        <x:f>IF(2&gt;D371,0,MAX(2,MIN('难度参数'!$E$12,ROUND(('难度参数'!$E$18*POWER(A371,'难度参数'!$E$19)/D371*(0.85+0.3*(2-1)/MAX(1,D371-1))),0)+F371)))</x:f>
        <x:v>33</x:v>
      </x:c>
      <x:c r="AC371" s="119" t="n">
        <x:f>IF(2&gt;D371,0,ROUND(('难度参数'!$E$13*POWER(A371,'难度参数'!$E$20)*MIN('难度参数'!$E$23,1+MAX(0,A371-'难度参数'!$E$21)*'难度参数'!$E$22))*(36+2*7)/(36+7*(D371+1)/2)*E371,0))</x:f>
        <x:v>7379</x:v>
      </x:c>
      <x:c r="AD371" s="119" t="n">
        <x:f>IF(AB371=0,0,(AB371-IF(2=D371,1,0))*ROUND(AC371*VLOOKUP(INDEX('章节与怪物'!$E$31:$K$37,B371,2),'章节与怪物'!$A$41:$F$44,2,FALSE),0)+IF(2=D371,ROUND(AC371*'难度参数'!$E$28*'章节与怪物'!$E$17,0),0))</x:f>
        <x:v>175329</x:v>
      </x:c>
      <x:c r="AE371" s="119" t="n">
        <x:f>IF(AB371=0,0,(AB371-IF(2=D371,1,0))*VLOOKUP(INDEX('章节与怪物'!$E$31:$K$37,B371,2),'章节与怪物'!$A$41:$F$44,4,FALSE)+IF(2=D371,'难度参数'!$E$30,0))</x:f>
        <x:v>660</x:v>
      </x:c>
      <x:c r="AF371" s="119" t="n">
        <x:f>IF(3&gt;D371,0,MAX(2,MIN('难度参数'!$E$12,ROUND(('难度参数'!$E$18*POWER(A371,'难度参数'!$E$19)/D371*(0.85+0.3*(3-1)/MAX(1,D371-1))),0)+F371)))</x:f>
        <x:v>35</x:v>
      </x:c>
      <x:c r="AG371" s="119" t="n">
        <x:f>IF(3&gt;D371,0,ROUND(('难度参数'!$E$13*POWER(A371,'难度参数'!$E$20)*MIN('难度参数'!$E$23,1+MAX(0,A371-'难度参数'!$E$21)*'难度参数'!$E$22))*(36+3*7)/(36+7*(D371+1)/2)*E371,0))</x:f>
        <x:v>8412</x:v>
      </x:c>
      <x:c r="AH371" s="119" t="n">
        <x:f>IF(AF371=0,0,(AF371-IF(3=D371,1,0))*ROUND(AG371*VLOOKUP(INDEX('章节与怪物'!$E$31:$K$37,B371,3),'章节与怪物'!$A$41:$F$44,2,FALSE),0)+IF(3=D371,ROUND(AG371*'难度参数'!$E$28*'章节与怪物'!$E$17,0),0))</x:f>
        <x:v>500500</x:v>
      </x:c>
      <x:c r="AI371" s="119" t="n">
        <x:f>IF(AF371=0,0,(AF371-IF(3=D371,1,0))*VLOOKUP(INDEX('章节与怪物'!$E$31:$K$37,B371,3),'章节与怪物'!$A$41:$F$44,4,FALSE)+IF(3=D371,'难度参数'!$E$30,0))</x:f>
        <x:v>980</x:v>
      </x:c>
      <x:c r="AJ371" s="119" t="n">
        <x:f>IF(4&gt;D371,0,MAX(2,MIN('难度参数'!$E$12,ROUND(('难度参数'!$E$18*POWER(A371,'难度参数'!$E$19)/D371*(0.85+0.3*(4-1)/MAX(1,D371-1))),0)+F371)))</x:f>
        <x:v>37</x:v>
      </x:c>
      <x:c r="AK371" s="119" t="n">
        <x:f>IF(4&gt;D371,0,ROUND(('难度参数'!$E$13*POWER(A371,'难度参数'!$E$20)*MIN('难度参数'!$E$23,1+MAX(0,A371-'难度参数'!$E$21)*'难度参数'!$E$22))*(36+4*7)/(36+7*(D371+1)/2)*E371,0))</x:f>
        <x:v>9445</x:v>
      </x:c>
      <x:c r="AL371" s="119" t="n">
        <x:f>IF(AJ371=0,0,(AJ371-IF(4=D371,1,0))*ROUND(AK371*VLOOKUP(INDEX('章节与怪物'!$E$31:$K$37,B371,4),'章节与怪物'!$A$41:$F$44,2,FALSE),0)+IF(4=D371,ROUND(AK371*'难度参数'!$E$28*'章节与怪物'!$E$17,0),0))</x:f>
        <x:v>471787</x:v>
      </x:c>
      <x:c r="AM371" s="119" t="n">
        <x:f>IF(AJ371=0,0,(AJ371-IF(4=D371,1,0))*VLOOKUP(INDEX('章节与怪物'!$E$31:$K$37,B371,4),'章节与怪物'!$A$41:$F$44,4,FALSE)+IF(4=D371,'难度参数'!$E$30,0))</x:f>
        <x:v>1258</x:v>
      </x:c>
      <x:c r="AN371" s="119" t="n">
        <x:f>IF(5&gt;D371,0,MAX(2,MIN('难度参数'!$E$12,ROUND(('难度参数'!$E$18*POWER(A371,'难度参数'!$E$19)/D371*(0.85+0.3*(5-1)/MAX(1,D371-1))),0)+F371)))</x:f>
        <x:v>39</x:v>
      </x:c>
      <x:c r="AO371" s="119" t="n">
        <x:f>IF(5&gt;D371,0,ROUND(('难度参数'!$E$13*POWER(A371,'难度参数'!$E$20)*MIN('难度参数'!$E$23,1+MAX(0,A371-'难度参数'!$E$21)*'难度参数'!$E$22))*(36+5*7)/(36+7*(D371+1)/2)*E371,0))</x:f>
        <x:v>10478</x:v>
      </x:c>
      <x:c r="AP371" s="119" t="n">
        <x:f>IF(AN371=0,0,(AN371-IF(5=D371,1,0))*ROUND(AO371*VLOOKUP(INDEX('章节与怪物'!$E$31:$K$37,B371,5),'章节与怪物'!$A$41:$F$44,2,FALSE),0)+IF(5=D371,ROUND(AO371*'难度参数'!$E$28*'章节与怪物'!$E$17,0),0))</x:f>
        <x:v>294216</x:v>
      </x:c>
      <x:c r="AQ371" s="119" t="n">
        <x:f>IF(AN371=0,0,(AN371-IF(5=D371,1,0))*VLOOKUP(INDEX('章节与怪物'!$E$31:$K$37,B371,5),'章节与怪物'!$A$41:$F$44,4,FALSE)+IF(5=D371,'难度参数'!$E$30,0))</x:f>
        <x:v>780</x:v>
      </x:c>
      <x:c r="AR371" s="119" t="n">
        <x:f>IF(6&gt;D371,0,MAX(2,MIN('难度参数'!$E$12,ROUND(('难度参数'!$E$18*POWER(A371,'难度参数'!$E$19)/D371*(0.85+0.3*(6-1)/MAX(1,D371-1))),0)+F371)))</x:f>
        <x:v>41</x:v>
      </x:c>
      <x:c r="AS371" s="119" t="n">
        <x:f>IF(6&gt;D371,0,ROUND(('难度参数'!$E$13*POWER(A371,'难度参数'!$E$20)*MIN('难度参数'!$E$23,1+MAX(0,A371-'难度参数'!$E$21)*'难度参数'!$E$22))*(36+6*7)/(36+7*(D371+1)/2)*E371,0))</x:f>
        <x:v>11511</x:v>
      </x:c>
      <x:c r="AT371" s="119" t="n">
        <x:f>IF(AR371=0,0,(AR371-IF(6=D371,1,0))*ROUND(AS371*VLOOKUP(INDEX('章节与怪物'!$E$31:$K$37,B371,6),'章节与怪物'!$A$41:$F$44,2,FALSE),0)+IF(6=D371,ROUND(AS371*'难度参数'!$E$28*'章节与怪物'!$E$17,0),0))</x:f>
        <x:v>802329</x:v>
      </x:c>
      <x:c r="AU371" s="119" t="n">
        <x:f>IF(AR371=0,0,(AR371-IF(6=D371,1,0))*VLOOKUP(INDEX('章节与怪物'!$E$31:$K$37,B371,6),'章节与怪物'!$A$41:$F$44,4,FALSE)+IF(6=D371,'难度参数'!$E$30,0))</x:f>
        <x:v>1148</x:v>
      </x:c>
      <x:c r="AV371" s="119" t="n">
        <x:f>IF(7&gt;D371,0,MAX(2,MIN('难度参数'!$E$12,ROUND(('难度参数'!$E$18*POWER(A371,'难度参数'!$E$19)/D371*(0.85+0.3*(7-1)/MAX(1,D371-1))),0)+F371)))</x:f>
        <x:v>43</x:v>
      </x:c>
      <x:c r="AW371" s="119" t="n">
        <x:f>IF(7&gt;D371,0,ROUND(('难度参数'!$E$13*POWER(A371,'难度参数'!$E$20)*MIN('难度参数'!$E$23,1+MAX(0,A371-'难度参数'!$E$21)*'难度参数'!$E$22))*(36+7*7)/(36+7*(D371+1)/2)*E371,0))</x:f>
        <x:v>12544</x:v>
      </x:c>
      <x:c r="AX371" s="119" t="n">
        <x:f>IF(AV371=0,0,(AV371-IF(7=D371,1,0))*ROUND(AW371*VLOOKUP(INDEX('章节与怪物'!$E$31:$K$37,B371,7),'章节与怪物'!$A$41:$F$44,2,FALSE),0)+IF(7=D371,ROUND(AW371*'难度参数'!$E$28*'章节与怪物'!$E$17,0),0))</x:f>
        <x:v>796527</x:v>
      </x:c>
      <x:c r="AY371" s="119" t="n">
        <x:f>IF(AV371=0,0,(AV371-IF(7=D371,1,0))*VLOOKUP(INDEX('章节与怪物'!$E$31:$K$37,B371,7),'章节与怪物'!$A$41:$F$44,4,FALSE)+IF(7=D371,'难度参数'!$E$30,0))</x:f>
        <x:v>1628</x:v>
      </x:c>
    </x:row>
    <x:row r="372" ht="23" customHeight="1">
      <x:c r="A372" s="119" t="n">
        <x:v>366</x:v>
      </x:c>
      <x:c r="B372" s="119" t="n">
        <x:f>MOD(INT((A372-1)/5),7)+1</x:f>
        <x:v>4</x:v>
      </x:c>
      <x:c r="C372" s="62" t="str">
        <x:f>INDEX('章节与怪物'!$B$31:$B$37,B372)</x:f>
        <x:v>翠野边城</x:v>
      </x:c>
      <x:c r="D372" s="119" t="n">
        <x:f>MIN('难度参数'!$E$8,MAX('难度参数'!$E$7,A372))</x:f>
        <x:v>7</x:v>
      </x:c>
      <x:c r="E372" s="106" t="n">
        <x:v>1</x:v>
      </x:c>
      <x:c r="F372" s="106" t="n">
        <x:v>0</x:v>
      </x:c>
      <x:c r="G372" s="106" t="n">
        <x:v>1</x:v>
      </x:c>
      <x:c r="H372" s="119" t="n">
        <x:f>SUM(X372,AB372,AF372,AJ372,AN372,AR372,AV372)</x:f>
        <x:v>260</x:v>
      </x:c>
      <x:c r="I372" s="119" t="n">
        <x:f>SUM(Z372,AD372,AH372,AL372,AP372,AT372,AX372)</x:f>
        <x:v>2912582</x:v>
      </x:c>
      <x:c r="J372" s="119" t="n">
        <x:f>ROUND(INDEX(X372:AY372,1,(D372-1)*4+2)*'难度参数'!$E$28*'章节与怪物'!$E$17,0)</x:f>
        <x:v>85462</x:v>
      </x:c>
      <x:c r="K372" s="119" t="n">
        <x:f>SUM(AA372,AE372,AI372,AM372,AQ372,AU372,AY372)</x:f>
        <x:v>6622</x:v>
      </x:c>
      <x:c r="L372" s="62" t="n">
        <x:f>H372*(ROUNDUP('难度参数'!$E$24/('难度参数'!$E$26*'难度参数'!$E$27),0)*'难度参数'!$E$26)/60</x:f>
        <x:v>3.466666666666667</x:v>
      </x:c>
      <x:c r="M372" s="62" t="n">
        <x:f>L372+D372*('难度参数'!$E$49+'难度参数'!$E$50)/60</x:f>
        <x:v>4.633333333333334</x:v>
      </x:c>
      <x:c r="N372" s="119" t="n">
        <x:f>ROUNDDOWN(('经济参数'!$E$20+A372*'经济参数'!$E$21)*G372,0)</x:f>
        <x:v>7500</x:v>
      </x:c>
      <x:c r="O372" s="119" t="n">
        <x:f>ROUNDDOWN(MIN('经济参数'!$E$24,'经济参数'!$E$22+A372*'经济参数'!$E$23)*G372,0)</x:f>
        <x:v>0</x:v>
      </x:c>
      <x:c r="P372" s="119" t="n">
        <x:f>ROUNDDOWN((IF(A372&gt;='材料与任务'!$E$31,'材料与任务'!$E$32,IF(A372&gt;='材料与任务'!$E$25,'材料与任务'!$E$26,IF(A372&gt;='材料与任务'!$E$19,'材料与任务'!$E$20,IF(A372&gt;='材料与任务'!$E$13,'材料与任务'!$E$14,'材料与任务'!$E$8)))))*G372,0)</x:f>
        <x:v>6</x:v>
      </x:c>
      <x:c r="Q372" s="119" t="n">
        <x:f>ROUNDDOWN((IF(A372&gt;='材料与任务'!$E$31,'材料与任务'!$E$33,IF(A372&gt;='材料与任务'!$E$25,'材料与任务'!$E$27,IF(A372&gt;='材料与任务'!$E$19,'材料与任务'!$E$21,IF(A372&gt;='材料与任务'!$E$13,'材料与任务'!$E$15,'材料与任务'!$E$9)))))*G372,0)</x:f>
        <x:v>3</x:v>
      </x:c>
      <x:c r="R372" s="110" t="n">
        <x:f>'装备掉落'!$B$38</x:f>
        <x:v>0.6872058758851213</x:v>
      </x:c>
      <x:c r="S372" s="119" t="n">
        <x:f>MAX(IF(VLOOKUP(A372,'装备掉落'!$A$29:$H$34,2,TRUE)&gt;0,1,0),IF(VLOOKUP(A372,'装备掉落'!$A$29:$H$34,3,TRUE)&gt;0,2,0),IF(VLOOKUP(A372,'装备掉落'!$A$29:$H$34,4,TRUE)&gt;0,3,0),IF(VLOOKUP(A372,'装备掉落'!$A$29:$H$34,5,TRUE)&gt;0,4,0),IF(VLOOKUP(A372,'装备掉落'!$A$29:$H$34,6,TRUE)&gt;0,5,0),IF(VLOOKUP(A372,'装备掉落'!$A$29:$H$34,7,TRUE)&gt;0,6,0),IF(VLOOKUP(A372,'装备掉落'!$A$29:$H$34,8,TRUE)&gt;0,7,0))</x:f>
        <x:v>7</x:v>
      </x:c>
      <x:c r="T372" s="119" t="n">
        <x:f>MIN(7,S372+'经济参数'!$E$70)</x:f>
        <x:v>7</x:v>
      </x:c>
      <x:c r="U372" s="119" t="n">
        <x:f>MIN(7,S372+'经济参数'!$E$71)</x:f>
        <x:v>7</x:v>
      </x:c>
      <x:c r="V372" s="119" t="n">
        <x:f>IF(H372&gt;=('难度参数'!$E$52),1,0)+IF(H372&gt;=('难度参数'!$E$52+'难度参数'!$E$53),1,0)+IF(H372&gt;=('难度参数'!$E$52+'难度参数'!$E$53+'难度参数'!$E$54),1,0)+IF(H372&gt;=('难度参数'!$E$52+'难度参数'!$E$53+'难度参数'!$E$54+'难度参数'!$E$55),1,0)+IF(H372&gt;=('难度参数'!$E$52+'难度参数'!$E$53+'难度参数'!$E$54+'难度参数'!$E$55+'难度参数'!$E$56),1,0)+IF(H372&gt;=('难度参数'!$E$52+'难度参数'!$E$53+'难度参数'!$E$54+'难度参数'!$E$55+'难度参数'!$E$56+'难度参数'!$E$57),1,0)</x:f>
        <x:v>6</x:v>
      </x:c>
      <x:c r="W372" s="62" t="str">
        <x:f>IF(L372&gt;'难度参数'!$E$51,"仅出怪已超目标","还需实测")</x:f>
        <x:v>仅出怪已超目标</x:v>
      </x:c>
      <x:c r="X372" s="119" t="n">
        <x:f>IF(1&gt;D372,0,MAX(2,MIN('难度参数'!$E$12,ROUND(('难度参数'!$E$18*POWER(A372,'难度参数'!$E$19)/D372*(0.85+0.3*(1-1)/MAX(1,D372-1))),0)+F372)))</x:f>
        <x:v>32</x:v>
      </x:c>
      <x:c r="Y372" s="119" t="n">
        <x:f>IF(1&gt;D372,0,ROUND(('难度参数'!$E$13*POWER(A372,'难度参数'!$E$20)*MIN('难度参数'!$E$23,1+MAX(0,A372-'难度参数'!$E$21)*'难度参数'!$E$22))*(36+1*7)/(36+7*(D372+1)/2)*E372,0))</x:f>
        <x:v>6358</x:v>
      </x:c>
      <x:c r="Z372" s="119" t="n">
        <x:f>IF(X372=0,0,(X372-IF(1=D372,1,0))*ROUND(Y372*VLOOKUP(INDEX('章节与怪物'!$E$31:$K$37,B372,1),'章节与怪物'!$A$41:$F$44,2,FALSE),0)+IF(1=D372,ROUND(Y372*'难度参数'!$E$28*'章节与怪物'!$E$17,0),0))</x:f>
        <x:v>146496</x:v>
      </x:c>
      <x:c r="AA372" s="119" t="n">
        <x:f>IF(X372=0,0,(X372-IF(1=D372,1,0))*VLOOKUP(INDEX('章节与怪物'!$E$31:$K$37,B372,1),'章节与怪物'!$A$41:$F$44,4,FALSE)+IF(1=D372,'难度参数'!$E$30,0))</x:f>
        <x:v>640</x:v>
      </x:c>
      <x:c r="AB372" s="119" t="n">
        <x:f>IF(2&gt;D372,0,MAX(2,MIN('难度参数'!$E$12,ROUND(('难度参数'!$E$18*POWER(A372,'难度参数'!$E$19)/D372*(0.85+0.3*(2-1)/MAX(1,D372-1))),0)+F372)))</x:f>
        <x:v>33</x:v>
      </x:c>
      <x:c r="AC372" s="119" t="n">
        <x:f>IF(2&gt;D372,0,ROUND(('难度参数'!$E$13*POWER(A372,'难度参数'!$E$20)*MIN('难度参数'!$E$23,1+MAX(0,A372-'难度参数'!$E$21)*'难度参数'!$E$22))*(36+2*7)/(36+7*(D372+1)/2)*E372,0))</x:f>
        <x:v>7393</x:v>
      </x:c>
      <x:c r="AD372" s="119" t="n">
        <x:f>IF(AB372=0,0,(AB372-IF(2=D372,1,0))*ROUND(AC372*VLOOKUP(INDEX('章节与怪物'!$E$31:$K$37,B372,2),'章节与怪物'!$A$41:$F$44,2,FALSE),0)+IF(2=D372,ROUND(AC372*'难度参数'!$E$28*'章节与怪物'!$E$17,0),0))</x:f>
        <x:v>243969</x:v>
      </x:c>
      <x:c r="AE372" s="119" t="n">
        <x:f>IF(AB372=0,0,(AB372-IF(2=D372,1,0))*VLOOKUP(INDEX('章节与怪物'!$E$31:$K$37,B372,2),'章节与怪物'!$A$41:$F$44,4,FALSE)+IF(2=D372,'难度参数'!$E$30,0))</x:f>
        <x:v>594</x:v>
      </x:c>
      <x:c r="AF372" s="119" t="n">
        <x:f>IF(3&gt;D372,0,MAX(2,MIN('难度参数'!$E$12,ROUND(('难度参数'!$E$18*POWER(A372,'难度参数'!$E$19)/D372*(0.85+0.3*(3-1)/MAX(1,D372-1))),0)+F372)))</x:f>
        <x:v>35</x:v>
      </x:c>
      <x:c r="AG372" s="119" t="n">
        <x:f>IF(3&gt;D372,0,ROUND(('难度参数'!$E$13*POWER(A372,'难度参数'!$E$20)*MIN('难度参数'!$E$23,1+MAX(0,A372-'难度参数'!$E$21)*'难度参数'!$E$22))*(36+3*7)/(36+7*(D372+1)/2)*E372,0))</x:f>
        <x:v>8428</x:v>
      </x:c>
      <x:c r="AH372" s="119" t="n">
        <x:f>IF(AF372=0,0,(AF372-IF(3=D372,1,0))*ROUND(AG372*VLOOKUP(INDEX('章节与怪物'!$E$31:$K$37,B372,3),'章节与怪物'!$A$41:$F$44,2,FALSE),0)+IF(3=D372,ROUND(AG372*'难度参数'!$E$28*'章节与怪物'!$E$17,0),0))</x:f>
        <x:v>501480</x:v>
      </x:c>
      <x:c r="AI372" s="119" t="n">
        <x:f>IF(AF372=0,0,(AF372-IF(3=D372,1,0))*VLOOKUP(INDEX('章节与怪物'!$E$31:$K$37,B372,3),'章节与怪物'!$A$41:$F$44,4,FALSE)+IF(3=D372,'难度参数'!$E$30,0))</x:f>
        <x:v>980</x:v>
      </x:c>
      <x:c r="AJ372" s="119" t="n">
        <x:f>IF(4&gt;D372,0,MAX(2,MIN('难度参数'!$E$12,ROUND(('难度参数'!$E$18*POWER(A372,'难度参数'!$E$19)/D372*(0.85+0.3*(4-1)/MAX(1,D372-1))),0)+F372)))</x:f>
        <x:v>37</x:v>
      </x:c>
      <x:c r="AK372" s="119" t="n">
        <x:f>IF(4&gt;D372,0,ROUND(('难度参数'!$E$13*POWER(A372,'难度参数'!$E$20)*MIN('难度参数'!$E$23,1+MAX(0,A372-'难度参数'!$E$21)*'难度参数'!$E$22))*(36+4*7)/(36+7*(D372+1)/2)*E372,0))</x:f>
        <x:v>9463</x:v>
      </x:c>
      <x:c r="AL372" s="119" t="n">
        <x:f>IF(AJ372=0,0,(AJ372-IF(4=D372,1,0))*ROUND(AK372*VLOOKUP(INDEX('章节与怪物'!$E$31:$K$37,B372,4),'章节与怪物'!$A$41:$F$44,2,FALSE),0)+IF(4=D372,ROUND(AK372*'难度参数'!$E$28*'章节与怪物'!$E$17,0),0))</x:f>
        <x:v>472675</x:v>
      </x:c>
      <x:c r="AM372" s="119" t="n">
        <x:f>IF(AJ372=0,0,(AJ372-IF(4=D372,1,0))*VLOOKUP(INDEX('章节与怪物'!$E$31:$K$37,B372,4),'章节与怪物'!$A$41:$F$44,4,FALSE)+IF(4=D372,'难度参数'!$E$30,0))</x:f>
        <x:v>1258</x:v>
      </x:c>
      <x:c r="AN372" s="119" t="n">
        <x:f>IF(5&gt;D372,0,MAX(2,MIN('难度参数'!$E$12,ROUND(('难度参数'!$E$18*POWER(A372,'难度参数'!$E$19)/D372*(0.85+0.3*(5-1)/MAX(1,D372-1))),0)+F372)))</x:f>
        <x:v>39</x:v>
      </x:c>
      <x:c r="AO372" s="119" t="n">
        <x:f>IF(5&gt;D372,0,ROUND(('难度参数'!$E$13*POWER(A372,'难度参数'!$E$20)*MIN('难度参数'!$E$23,1+MAX(0,A372-'难度参数'!$E$21)*'难度参数'!$E$22))*(36+5*7)/(36+7*(D372+1)/2)*E372,0))</x:f>
        <x:v>10498</x:v>
      </x:c>
      <x:c r="AP372" s="119" t="n">
        <x:f>IF(AN372=0,0,(AN372-IF(5=D372,1,0))*ROUND(AO372*VLOOKUP(INDEX('章节与怪物'!$E$31:$K$37,B372,5),'章节与怪物'!$A$41:$F$44,2,FALSE),0)+IF(5=D372,ROUND(AO372*'难度参数'!$E$28*'章节与怪物'!$E$17,0),0))</x:f>
        <x:v>409422</x:v>
      </x:c>
      <x:c r="AQ372" s="119" t="n">
        <x:f>IF(AN372=0,0,(AN372-IF(5=D372,1,0))*VLOOKUP(INDEX('章节与怪物'!$E$31:$K$37,B372,5),'章节与怪物'!$A$41:$F$44,4,FALSE)+IF(5=D372,'难度参数'!$E$30,0))</x:f>
        <x:v>702</x:v>
      </x:c>
      <x:c r="AR372" s="119" t="n">
        <x:f>IF(6&gt;D372,0,MAX(2,MIN('难度参数'!$E$12,ROUND(('难度参数'!$E$18*POWER(A372,'难度参数'!$E$19)/D372*(0.85+0.3*(6-1)/MAX(1,D372-1))),0)+F372)))</x:f>
        <x:v>41</x:v>
      </x:c>
      <x:c r="AS372" s="119" t="n">
        <x:f>IF(6&gt;D372,0,ROUND(('难度参数'!$E$13*POWER(A372,'难度参数'!$E$20)*MIN('难度参数'!$E$23,1+MAX(0,A372-'难度参数'!$E$21)*'难度参数'!$E$22))*(36+6*7)/(36+7*(D372+1)/2)*E372,0))</x:f>
        <x:v>11533</x:v>
      </x:c>
      <x:c r="AT372" s="119" t="n">
        <x:f>IF(AR372=0,0,(AR372-IF(6=D372,1,0))*ROUND(AS372*VLOOKUP(INDEX('章节与怪物'!$E$31:$K$37,B372,6),'章节与怪物'!$A$41:$F$44,2,FALSE),0)+IF(6=D372,ROUND(AS372*'难度参数'!$E$28*'章节与怪物'!$E$17,0),0))</x:f>
        <x:v>340464</x:v>
      </x:c>
      <x:c r="AU372" s="119" t="n">
        <x:f>IF(AR372=0,0,(AR372-IF(6=D372,1,0))*VLOOKUP(INDEX('章节与怪物'!$E$31:$K$37,B372,6),'章节与怪物'!$A$41:$F$44,4,FALSE)+IF(6=D372,'难度参数'!$E$30,0))</x:f>
        <x:v>820</x:v>
      </x:c>
      <x:c r="AV372" s="119" t="n">
        <x:f>IF(7&gt;D372,0,MAX(2,MIN('难度参数'!$E$12,ROUND(('难度参数'!$E$18*POWER(A372,'难度参数'!$E$19)/D372*(0.85+0.3*(7-1)/MAX(1,D372-1))),0)+F372)))</x:f>
        <x:v>43</x:v>
      </x:c>
      <x:c r="AW372" s="119" t="n">
        <x:f>IF(7&gt;D372,0,ROUND(('难度参数'!$E$13*POWER(A372,'难度参数'!$E$20)*MIN('难度参数'!$E$23,1+MAX(0,A372-'难度参数'!$E$21)*'难度参数'!$E$22))*(36+7*7)/(36+7*(D372+1)/2)*E372,0))</x:f>
        <x:v>12568</x:v>
      </x:c>
      <x:c r="AX372" s="119" t="n">
        <x:f>IF(AV372=0,0,(AV372-IF(7=D372,1,0))*ROUND(AW372*VLOOKUP(INDEX('章节与怪物'!$E$31:$K$37,B372,7),'章节与怪物'!$A$41:$F$44,2,FALSE),0)+IF(7=D372,ROUND(AW372*'难度参数'!$E$28*'章节与怪物'!$E$17,0),0))</x:f>
        <x:v>798076</x:v>
      </x:c>
      <x:c r="AY372" s="119" t="n">
        <x:f>IF(AV372=0,0,(AV372-IF(7=D372,1,0))*VLOOKUP(INDEX('章节与怪物'!$E$31:$K$37,B372,7),'章节与怪物'!$A$41:$F$44,4,FALSE)+IF(7=D372,'难度参数'!$E$30,0))</x:f>
        <x:v>1628</x:v>
      </x:c>
    </x:row>
    <x:row r="373" ht="23" customHeight="1">
      <x:c r="A373" s="119" t="n">
        <x:v>367</x:v>
      </x:c>
      <x:c r="B373" s="119" t="n">
        <x:f>MOD(INT((A373-1)/5),7)+1</x:f>
        <x:v>4</x:v>
      </x:c>
      <x:c r="C373" s="62" t="str">
        <x:f>INDEX('章节与怪物'!$B$31:$B$37,B373)</x:f>
        <x:v>翠野边城</x:v>
      </x:c>
      <x:c r="D373" s="119" t="n">
        <x:f>MIN('难度参数'!$E$8,MAX('难度参数'!$E$7,A373))</x:f>
        <x:v>7</x:v>
      </x:c>
      <x:c r="E373" s="106" t="n">
        <x:v>1</x:v>
      </x:c>
      <x:c r="F373" s="106" t="n">
        <x:v>0</x:v>
      </x:c>
      <x:c r="G373" s="106" t="n">
        <x:v>1</x:v>
      </x:c>
      <x:c r="H373" s="119" t="n">
        <x:f>SUM(X373,AB373,AF373,AJ373,AN373,AR373,AV373)</x:f>
        <x:v>261</x:v>
      </x:c>
      <x:c r="I373" s="119" t="n">
        <x:f>SUM(Z373,AD373,AH373,AL373,AP373,AT373,AX373)</x:f>
        <x:v>2925823</x:v>
      </x:c>
      <x:c r="J373" s="119" t="n">
        <x:f>ROUND(INDEX(X373:AY373,1,(D373-1)*4+2)*'难度参数'!$E$28*'章节与怪物'!$E$17,0)</x:f>
        <x:v>85632</x:v>
      </x:c>
      <x:c r="K373" s="119" t="n">
        <x:f>SUM(AA373,AE373,AI373,AM373,AQ373,AU373,AY373)</x:f>
        <x:v>6640</x:v>
      </x:c>
      <x:c r="L373" s="62" t="n">
        <x:f>H373*(ROUNDUP('难度参数'!$E$24/('难度参数'!$E$26*'难度参数'!$E$27),0)*'难度参数'!$E$26)/60</x:f>
        <x:v>3.48</x:v>
      </x:c>
      <x:c r="M373" s="62" t="n">
        <x:f>L373+D373*('难度参数'!$E$49+'难度参数'!$E$50)/60</x:f>
        <x:v>4.6466666666666665</x:v>
      </x:c>
      <x:c r="N373" s="119" t="n">
        <x:f>ROUNDDOWN(('经济参数'!$E$20+A373*'经济参数'!$E$21)*G373,0)</x:f>
        <x:v>7520</x:v>
      </x:c>
      <x:c r="O373" s="119" t="n">
        <x:f>ROUNDDOWN(MIN('经济参数'!$E$24,'经济参数'!$E$22+A373*'经济参数'!$E$23)*G373,0)</x:f>
        <x:v>0</x:v>
      </x:c>
      <x:c r="P373" s="119" t="n">
        <x:f>ROUNDDOWN((IF(A373&gt;='材料与任务'!$E$31,'材料与任务'!$E$32,IF(A373&gt;='材料与任务'!$E$25,'材料与任务'!$E$26,IF(A373&gt;='材料与任务'!$E$19,'材料与任务'!$E$20,IF(A373&gt;='材料与任务'!$E$13,'材料与任务'!$E$14,'材料与任务'!$E$8)))))*G373,0)</x:f>
        <x:v>6</x:v>
      </x:c>
      <x:c r="Q373" s="119" t="n">
        <x:f>ROUNDDOWN((IF(A373&gt;='材料与任务'!$E$31,'材料与任务'!$E$33,IF(A373&gt;='材料与任务'!$E$25,'材料与任务'!$E$27,IF(A373&gt;='材料与任务'!$E$19,'材料与任务'!$E$21,IF(A373&gt;='材料与任务'!$E$13,'材料与任务'!$E$15,'材料与任务'!$E$9)))))*G373,0)</x:f>
        <x:v>3</x:v>
      </x:c>
      <x:c r="R373" s="110" t="n">
        <x:f>'装备掉落'!$B$38</x:f>
        <x:v>0.6872058758851213</x:v>
      </x:c>
      <x:c r="S373" s="119" t="n">
        <x:f>MAX(IF(VLOOKUP(A373,'装备掉落'!$A$29:$H$34,2,TRUE)&gt;0,1,0),IF(VLOOKUP(A373,'装备掉落'!$A$29:$H$34,3,TRUE)&gt;0,2,0),IF(VLOOKUP(A373,'装备掉落'!$A$29:$H$34,4,TRUE)&gt;0,3,0),IF(VLOOKUP(A373,'装备掉落'!$A$29:$H$34,5,TRUE)&gt;0,4,0),IF(VLOOKUP(A373,'装备掉落'!$A$29:$H$34,6,TRUE)&gt;0,5,0),IF(VLOOKUP(A373,'装备掉落'!$A$29:$H$34,7,TRUE)&gt;0,6,0),IF(VLOOKUP(A373,'装备掉落'!$A$29:$H$34,8,TRUE)&gt;0,7,0))</x:f>
        <x:v>7</x:v>
      </x:c>
      <x:c r="T373" s="119" t="n">
        <x:f>MIN(7,S373+'经济参数'!$E$70)</x:f>
        <x:v>7</x:v>
      </x:c>
      <x:c r="U373" s="119" t="n">
        <x:f>MIN(7,S373+'经济参数'!$E$71)</x:f>
        <x:v>7</x:v>
      </x:c>
      <x:c r="V373" s="119" t="n">
        <x:f>IF(H373&gt;=('难度参数'!$E$52),1,0)+IF(H373&gt;=('难度参数'!$E$52+'难度参数'!$E$53),1,0)+IF(H373&gt;=('难度参数'!$E$52+'难度参数'!$E$53+'难度参数'!$E$54),1,0)+IF(H373&gt;=('难度参数'!$E$52+'难度参数'!$E$53+'难度参数'!$E$54+'难度参数'!$E$55),1,0)+IF(H373&gt;=('难度参数'!$E$52+'难度参数'!$E$53+'难度参数'!$E$54+'难度参数'!$E$55+'难度参数'!$E$56),1,0)+IF(H373&gt;=('难度参数'!$E$52+'难度参数'!$E$53+'难度参数'!$E$54+'难度参数'!$E$55+'难度参数'!$E$56+'难度参数'!$E$57),1,0)</x:f>
        <x:v>6</x:v>
      </x:c>
      <x:c r="W373" s="62" t="str">
        <x:f>IF(L373&gt;'难度参数'!$E$51,"仅出怪已超目标","还需实测")</x:f>
        <x:v>仅出怪已超目标</x:v>
      </x:c>
      <x:c r="X373" s="119" t="n">
        <x:f>IF(1&gt;D373,0,MAX(2,MIN('难度参数'!$E$12,ROUND(('难度参数'!$E$18*POWER(A373,'难度参数'!$E$19)/D373*(0.85+0.3*(1-1)/MAX(1,D373-1))),0)+F373)))</x:f>
        <x:v>32</x:v>
      </x:c>
      <x:c r="Y373" s="119" t="n">
        <x:f>IF(1&gt;D373,0,ROUND(('难度参数'!$E$13*POWER(A373,'难度参数'!$E$20)*MIN('难度参数'!$E$23,1+MAX(0,A373-'难度参数'!$E$21)*'难度参数'!$E$22))*(36+1*7)/(36+7*(D373+1)/2)*E373,0))</x:f>
        <x:v>6371</x:v>
      </x:c>
      <x:c r="Z373" s="119" t="n">
        <x:f>IF(X373=0,0,(X373-IF(1=D373,1,0))*ROUND(Y373*VLOOKUP(INDEX('章节与怪物'!$E$31:$K$37,B373,1),'章节与怪物'!$A$41:$F$44,2,FALSE),0)+IF(1=D373,ROUND(Y373*'难度参数'!$E$28*'章节与怪物'!$E$17,0),0))</x:f>
        <x:v>146784</x:v>
      </x:c>
      <x:c r="AA373" s="119" t="n">
        <x:f>IF(X373=0,0,(X373-IF(1=D373,1,0))*VLOOKUP(INDEX('章节与怪物'!$E$31:$K$37,B373,1),'章节与怪物'!$A$41:$F$44,4,FALSE)+IF(1=D373,'难度参数'!$E$30,0))</x:f>
        <x:v>640</x:v>
      </x:c>
      <x:c r="AB373" s="119" t="n">
        <x:f>IF(2&gt;D373,0,MAX(2,MIN('难度参数'!$E$12,ROUND(('难度参数'!$E$18*POWER(A373,'难度参数'!$E$19)/D373*(0.85+0.3*(2-1)/MAX(1,D373-1))),0)+F373)))</x:f>
        <x:v>34</x:v>
      </x:c>
      <x:c r="AC373" s="119" t="n">
        <x:f>IF(2&gt;D373,0,ROUND(('难度参数'!$E$13*POWER(A373,'难度参数'!$E$20)*MIN('难度参数'!$E$23,1+MAX(0,A373-'难度参数'!$E$21)*'难度参数'!$E$22))*(36+2*7)/(36+7*(D373+1)/2)*E373,0))</x:f>
        <x:v>7408</x:v>
      </x:c>
      <x:c r="AD373" s="119" t="n">
        <x:f>IF(AB373=0,0,(AB373-IF(2=D373,1,0))*ROUND(AC373*VLOOKUP(INDEX('章节与怪物'!$E$31:$K$37,B373,2),'章节与怪物'!$A$41:$F$44,2,FALSE),0)+IF(2=D373,ROUND(AC373*'难度参数'!$E$28*'章节与怪物'!$E$17,0),0))</x:f>
        <x:v>251872</x:v>
      </x:c>
      <x:c r="AE373" s="119" t="n">
        <x:f>IF(AB373=0,0,(AB373-IF(2=D373,1,0))*VLOOKUP(INDEX('章节与怪物'!$E$31:$K$37,B373,2),'章节与怪物'!$A$41:$F$44,4,FALSE)+IF(2=D373,'难度参数'!$E$30,0))</x:f>
        <x:v>612</x:v>
      </x:c>
      <x:c r="AF373" s="119" t="n">
        <x:f>IF(3&gt;D373,0,MAX(2,MIN('难度参数'!$E$12,ROUND(('难度参数'!$E$18*POWER(A373,'难度参数'!$E$19)/D373*(0.85+0.3*(3-1)/MAX(1,D373-1))),0)+F373)))</x:f>
        <x:v>35</x:v>
      </x:c>
      <x:c r="AG373" s="119" t="n">
        <x:f>IF(3&gt;D373,0,ROUND(('难度参数'!$E$13*POWER(A373,'难度参数'!$E$20)*MIN('难度参数'!$E$23,1+MAX(0,A373-'难度参数'!$E$21)*'难度参数'!$E$22))*(36+3*7)/(36+7*(D373+1)/2)*E373,0))</x:f>
        <x:v>8445</x:v>
      </x:c>
      <x:c r="AH373" s="119" t="n">
        <x:f>IF(AF373=0,0,(AF373-IF(3=D373,1,0))*ROUND(AG373*VLOOKUP(INDEX('章节与怪物'!$E$31:$K$37,B373,3),'章节与怪物'!$A$41:$F$44,2,FALSE),0)+IF(3=D373,ROUND(AG373*'难度参数'!$E$28*'章节与怪物'!$E$17,0),0))</x:f>
        <x:v>502495</x:v>
      </x:c>
      <x:c r="AI373" s="119" t="n">
        <x:f>IF(AF373=0,0,(AF373-IF(3=D373,1,0))*VLOOKUP(INDEX('章节与怪物'!$E$31:$K$37,B373,3),'章节与怪物'!$A$41:$F$44,4,FALSE)+IF(3=D373,'难度参数'!$E$30,0))</x:f>
        <x:v>980</x:v>
      </x:c>
      <x:c r="AJ373" s="119" t="n">
        <x:f>IF(4&gt;D373,0,MAX(2,MIN('难度参数'!$E$12,ROUND(('难度参数'!$E$18*POWER(A373,'难度参数'!$E$19)/D373*(0.85+0.3*(4-1)/MAX(1,D373-1))),0)+F373)))</x:f>
        <x:v>37</x:v>
      </x:c>
      <x:c r="AK373" s="119" t="n">
        <x:f>IF(4&gt;D373,0,ROUND(('难度参数'!$E$13*POWER(A373,'难度参数'!$E$20)*MIN('难度参数'!$E$23,1+MAX(0,A373-'难度参数'!$E$21)*'难度参数'!$E$22))*(36+4*7)/(36+7*(D373+1)/2)*E373,0))</x:f>
        <x:v>9482</x:v>
      </x:c>
      <x:c r="AL373" s="119" t="n">
        <x:f>IF(AJ373=0,0,(AJ373-IF(4=D373,1,0))*ROUND(AK373*VLOOKUP(INDEX('章节与怪物'!$E$31:$K$37,B373,4),'章节与怪物'!$A$41:$F$44,2,FALSE),0)+IF(4=D373,ROUND(AK373*'难度参数'!$E$28*'章节与怪物'!$E$17,0),0))</x:f>
        <x:v>473637</x:v>
      </x:c>
      <x:c r="AM373" s="119" t="n">
        <x:f>IF(AJ373=0,0,(AJ373-IF(4=D373,1,0))*VLOOKUP(INDEX('章节与怪物'!$E$31:$K$37,B373,4),'章节与怪物'!$A$41:$F$44,4,FALSE)+IF(4=D373,'难度参数'!$E$30,0))</x:f>
        <x:v>1258</x:v>
      </x:c>
      <x:c r="AN373" s="119" t="n">
        <x:f>IF(5&gt;D373,0,MAX(2,MIN('难度参数'!$E$12,ROUND(('难度参数'!$E$18*POWER(A373,'难度参数'!$E$19)/D373*(0.85+0.3*(5-1)/MAX(1,D373-1))),0)+F373)))</x:f>
        <x:v>39</x:v>
      </x:c>
      <x:c r="AO373" s="119" t="n">
        <x:f>IF(5&gt;D373,0,ROUND(('难度参数'!$E$13*POWER(A373,'难度参数'!$E$20)*MIN('难度参数'!$E$23,1+MAX(0,A373-'难度参数'!$E$21)*'难度参数'!$E$22))*(36+5*7)/(36+7*(D373+1)/2)*E373,0))</x:f>
        <x:v>10519</x:v>
      </x:c>
      <x:c r="AP373" s="119" t="n">
        <x:f>IF(AN373=0,0,(AN373-IF(5=D373,1,0))*ROUND(AO373*VLOOKUP(INDEX('章节与怪物'!$E$31:$K$37,B373,5),'章节与怪物'!$A$41:$F$44,2,FALSE),0)+IF(5=D373,ROUND(AO373*'难度参数'!$E$28*'章节与怪物'!$E$17,0),0))</x:f>
        <x:v>410241</x:v>
      </x:c>
      <x:c r="AQ373" s="119" t="n">
        <x:f>IF(AN373=0,0,(AN373-IF(5=D373,1,0))*VLOOKUP(INDEX('章节与怪物'!$E$31:$K$37,B373,5),'章节与怪物'!$A$41:$F$44,4,FALSE)+IF(5=D373,'难度参数'!$E$30,0))</x:f>
        <x:v>702</x:v>
      </x:c>
      <x:c r="AR373" s="119" t="n">
        <x:f>IF(6&gt;D373,0,MAX(2,MIN('难度参数'!$E$12,ROUND(('难度参数'!$E$18*POWER(A373,'难度参数'!$E$19)/D373*(0.85+0.3*(6-1)/MAX(1,D373-1))),0)+F373)))</x:f>
        <x:v>41</x:v>
      </x:c>
      <x:c r="AS373" s="119" t="n">
        <x:f>IF(6&gt;D373,0,ROUND(('难度参数'!$E$13*POWER(A373,'难度参数'!$E$20)*MIN('难度参数'!$E$23,1+MAX(0,A373-'难度参数'!$E$21)*'难度参数'!$E$22))*(36+6*7)/(36+7*(D373+1)/2)*E373,0))</x:f>
        <x:v>11556</x:v>
      </x:c>
      <x:c r="AT373" s="119" t="n">
        <x:f>IF(AR373=0,0,(AR373-IF(6=D373,1,0))*ROUND(AS373*VLOOKUP(INDEX('章节与怪物'!$E$31:$K$37,B373,6),'章节与怪物'!$A$41:$F$44,2,FALSE),0)+IF(6=D373,ROUND(AS373*'难度参数'!$E$28*'章节与怪物'!$E$17,0),0))</x:f>
        <x:v>341120</x:v>
      </x:c>
      <x:c r="AU373" s="119" t="n">
        <x:f>IF(AR373=0,0,(AR373-IF(6=D373,1,0))*VLOOKUP(INDEX('章节与怪物'!$E$31:$K$37,B373,6),'章节与怪物'!$A$41:$F$44,4,FALSE)+IF(6=D373,'难度参数'!$E$30,0))</x:f>
        <x:v>820</x:v>
      </x:c>
      <x:c r="AV373" s="119" t="n">
        <x:f>IF(7&gt;D373,0,MAX(2,MIN('难度参数'!$E$12,ROUND(('难度参数'!$E$18*POWER(A373,'难度参数'!$E$19)/D373*(0.85+0.3*(7-1)/MAX(1,D373-1))),0)+F373)))</x:f>
        <x:v>43</x:v>
      </x:c>
      <x:c r="AW373" s="119" t="n">
        <x:f>IF(7&gt;D373,0,ROUND(('难度参数'!$E$13*POWER(A373,'难度参数'!$E$20)*MIN('难度参数'!$E$23,1+MAX(0,A373-'难度参数'!$E$21)*'难度参数'!$E$22))*(36+7*7)/(36+7*(D373+1)/2)*E373,0))</x:f>
        <x:v>12593</x:v>
      </x:c>
      <x:c r="AX373" s="119" t="n">
        <x:f>IF(AV373=0,0,(AV373-IF(7=D373,1,0))*ROUND(AW373*VLOOKUP(INDEX('章节与怪物'!$E$31:$K$37,B373,7),'章节与怪物'!$A$41:$F$44,2,FALSE),0)+IF(7=D373,ROUND(AW373*'难度参数'!$E$28*'章节与怪物'!$E$17,0),0))</x:f>
        <x:v>799674</x:v>
      </x:c>
      <x:c r="AY373" s="119" t="n">
        <x:f>IF(AV373=0,0,(AV373-IF(7=D373,1,0))*VLOOKUP(INDEX('章节与怪物'!$E$31:$K$37,B373,7),'章节与怪物'!$A$41:$F$44,4,FALSE)+IF(7=D373,'难度参数'!$E$30,0))</x:f>
        <x:v>1628</x:v>
      </x:c>
    </x:row>
    <x:row r="374" ht="23" customHeight="1">
      <x:c r="A374" s="119" t="n">
        <x:v>368</x:v>
      </x:c>
      <x:c r="B374" s="119" t="n">
        <x:f>MOD(INT((A374-1)/5),7)+1</x:f>
        <x:v>4</x:v>
      </x:c>
      <x:c r="C374" s="62" t="str">
        <x:f>INDEX('章节与怪物'!$B$31:$B$37,B374)</x:f>
        <x:v>翠野边城</x:v>
      </x:c>
      <x:c r="D374" s="119" t="n">
        <x:f>MIN('难度参数'!$E$8,MAX('难度参数'!$E$7,A374))</x:f>
        <x:v>7</x:v>
      </x:c>
      <x:c r="E374" s="106" t="n">
        <x:v>1</x:v>
      </x:c>
      <x:c r="F374" s="106" t="n">
        <x:v>0</x:v>
      </x:c>
      <x:c r="G374" s="106" t="n">
        <x:v>1</x:v>
      </x:c>
      <x:c r="H374" s="119" t="n">
        <x:f>SUM(X374,AB374,AF374,AJ374,AN374,AR374,AV374)</x:f>
        <x:v>261</x:v>
      </x:c>
      <x:c r="I374" s="119" t="n">
        <x:f>SUM(Z374,AD374,AH374,AL374,AP374,AT374,AX374)</x:f>
        <x:v>2931492</x:v>
      </x:c>
      <x:c r="J374" s="119" t="n">
        <x:f>ROUND(INDEX(X374:AY374,1,(D374-1)*4+2)*'难度参数'!$E$28*'章节与怪物'!$E$17,0)</x:f>
        <x:v>85802</x:v>
      </x:c>
      <x:c r="K374" s="119" t="n">
        <x:f>SUM(AA374,AE374,AI374,AM374,AQ374,AU374,AY374)</x:f>
        <x:v>6640</x:v>
      </x:c>
      <x:c r="L374" s="62" t="n">
        <x:f>H374*(ROUNDUP('难度参数'!$E$24/('难度参数'!$E$26*'难度参数'!$E$27),0)*'难度参数'!$E$26)/60</x:f>
        <x:v>3.48</x:v>
      </x:c>
      <x:c r="M374" s="62" t="n">
        <x:f>L374+D374*('难度参数'!$E$49+'难度参数'!$E$50)/60</x:f>
        <x:v>4.6466666666666665</x:v>
      </x:c>
      <x:c r="N374" s="119" t="n">
        <x:f>ROUNDDOWN(('经济参数'!$E$20+A374*'经济参数'!$E$21)*G374,0)</x:f>
        <x:v>7540</x:v>
      </x:c>
      <x:c r="O374" s="119" t="n">
        <x:f>ROUNDDOWN(MIN('经济参数'!$E$24,'经济参数'!$E$22+A374*'经济参数'!$E$23)*G374,0)</x:f>
        <x:v>0</x:v>
      </x:c>
      <x:c r="P374" s="119" t="n">
        <x:f>ROUNDDOWN((IF(A374&gt;='材料与任务'!$E$31,'材料与任务'!$E$32,IF(A374&gt;='材料与任务'!$E$25,'材料与任务'!$E$26,IF(A374&gt;='材料与任务'!$E$19,'材料与任务'!$E$20,IF(A374&gt;='材料与任务'!$E$13,'材料与任务'!$E$14,'材料与任务'!$E$8)))))*G374,0)</x:f>
        <x:v>6</x:v>
      </x:c>
      <x:c r="Q374" s="119" t="n">
        <x:f>ROUNDDOWN((IF(A374&gt;='材料与任务'!$E$31,'材料与任务'!$E$33,IF(A374&gt;='材料与任务'!$E$25,'材料与任务'!$E$27,IF(A374&gt;='材料与任务'!$E$19,'材料与任务'!$E$21,IF(A374&gt;='材料与任务'!$E$13,'材料与任务'!$E$15,'材料与任务'!$E$9)))))*G374,0)</x:f>
        <x:v>3</x:v>
      </x:c>
      <x:c r="R374" s="110" t="n">
        <x:f>'装备掉落'!$B$38</x:f>
        <x:v>0.6872058758851213</x:v>
      </x:c>
      <x:c r="S374" s="119" t="n">
        <x:f>MAX(IF(VLOOKUP(A374,'装备掉落'!$A$29:$H$34,2,TRUE)&gt;0,1,0),IF(VLOOKUP(A374,'装备掉落'!$A$29:$H$34,3,TRUE)&gt;0,2,0),IF(VLOOKUP(A374,'装备掉落'!$A$29:$H$34,4,TRUE)&gt;0,3,0),IF(VLOOKUP(A374,'装备掉落'!$A$29:$H$34,5,TRUE)&gt;0,4,0),IF(VLOOKUP(A374,'装备掉落'!$A$29:$H$34,6,TRUE)&gt;0,5,0),IF(VLOOKUP(A374,'装备掉落'!$A$29:$H$34,7,TRUE)&gt;0,6,0),IF(VLOOKUP(A374,'装备掉落'!$A$29:$H$34,8,TRUE)&gt;0,7,0))</x:f>
        <x:v>7</x:v>
      </x:c>
      <x:c r="T374" s="119" t="n">
        <x:f>MIN(7,S374+'经济参数'!$E$70)</x:f>
        <x:v>7</x:v>
      </x:c>
      <x:c r="U374" s="119" t="n">
        <x:f>MIN(7,S374+'经济参数'!$E$71)</x:f>
        <x:v>7</x:v>
      </x:c>
      <x:c r="V374" s="119" t="n">
        <x:f>IF(H374&gt;=('难度参数'!$E$52),1,0)+IF(H374&gt;=('难度参数'!$E$52+'难度参数'!$E$53),1,0)+IF(H374&gt;=('难度参数'!$E$52+'难度参数'!$E$53+'难度参数'!$E$54),1,0)+IF(H374&gt;=('难度参数'!$E$52+'难度参数'!$E$53+'难度参数'!$E$54+'难度参数'!$E$55),1,0)+IF(H374&gt;=('难度参数'!$E$52+'难度参数'!$E$53+'难度参数'!$E$54+'难度参数'!$E$55+'难度参数'!$E$56),1,0)+IF(H374&gt;=('难度参数'!$E$52+'难度参数'!$E$53+'难度参数'!$E$54+'难度参数'!$E$55+'难度参数'!$E$56+'难度参数'!$E$57),1,0)</x:f>
        <x:v>6</x:v>
      </x:c>
      <x:c r="W374" s="62" t="str">
        <x:f>IF(L374&gt;'难度参数'!$E$51,"仅出怪已超目标","还需实测")</x:f>
        <x:v>仅出怪已超目标</x:v>
      </x:c>
      <x:c r="X374" s="119" t="n">
        <x:f>IF(1&gt;D374,0,MAX(2,MIN('难度参数'!$E$12,ROUND(('难度参数'!$E$18*POWER(A374,'难度参数'!$E$19)/D374*(0.85+0.3*(1-1)/MAX(1,D374-1))),0)+F374)))</x:f>
        <x:v>32</x:v>
      </x:c>
      <x:c r="Y374" s="119" t="n">
        <x:f>IF(1&gt;D374,0,ROUND(('难度参数'!$E$13*POWER(A374,'难度参数'!$E$20)*MIN('难度参数'!$E$23,1+MAX(0,A374-'难度参数'!$E$21)*'难度参数'!$E$22))*(36+1*7)/(36+7*(D374+1)/2)*E374,0))</x:f>
        <x:v>6383</x:v>
      </x:c>
      <x:c r="Z374" s="119" t="n">
        <x:f>IF(X374=0,0,(X374-IF(1=D374,1,0))*ROUND(Y374*VLOOKUP(INDEX('章节与怪物'!$E$31:$K$37,B374,1),'章节与怪物'!$A$41:$F$44,2,FALSE),0)+IF(1=D374,ROUND(Y374*'难度参数'!$E$28*'章节与怪物'!$E$17,0),0))</x:f>
        <x:v>147072</x:v>
      </x:c>
      <x:c r="AA374" s="119" t="n">
        <x:f>IF(X374=0,0,(X374-IF(1=D374,1,0))*VLOOKUP(INDEX('章节与怪物'!$E$31:$K$37,B374,1),'章节与怪物'!$A$41:$F$44,4,FALSE)+IF(1=D374,'难度参数'!$E$30,0))</x:f>
        <x:v>640</x:v>
      </x:c>
      <x:c r="AB374" s="119" t="n">
        <x:f>IF(2&gt;D374,0,MAX(2,MIN('难度参数'!$E$12,ROUND(('难度参数'!$E$18*POWER(A374,'难度参数'!$E$19)/D374*(0.85+0.3*(2-1)/MAX(1,D374-1))),0)+F374)))</x:f>
        <x:v>34</x:v>
      </x:c>
      <x:c r="AC374" s="119" t="n">
        <x:f>IF(2&gt;D374,0,ROUND(('难度参数'!$E$13*POWER(A374,'难度参数'!$E$20)*MIN('难度参数'!$E$23,1+MAX(0,A374-'难度参数'!$E$21)*'难度参数'!$E$22))*(36+2*7)/(36+7*(D374+1)/2)*E374,0))</x:f>
        <x:v>7422</x:v>
      </x:c>
      <x:c r="AD374" s="119" t="n">
        <x:f>IF(AB374=0,0,(AB374-IF(2=D374,1,0))*ROUND(AC374*VLOOKUP(INDEX('章节与怪物'!$E$31:$K$37,B374,2),'章节与怪物'!$A$41:$F$44,2,FALSE),0)+IF(2=D374,ROUND(AC374*'难度参数'!$E$28*'章节与怪物'!$E$17,0),0))</x:f>
        <x:v>252348</x:v>
      </x:c>
      <x:c r="AE374" s="119" t="n">
        <x:f>IF(AB374=0,0,(AB374-IF(2=D374,1,0))*VLOOKUP(INDEX('章节与怪物'!$E$31:$K$37,B374,2),'章节与怪物'!$A$41:$F$44,4,FALSE)+IF(2=D374,'难度参数'!$E$30,0))</x:f>
        <x:v>612</x:v>
      </x:c>
      <x:c r="AF374" s="119" t="n">
        <x:f>IF(3&gt;D374,0,MAX(2,MIN('难度参数'!$E$12,ROUND(('难度参数'!$E$18*POWER(A374,'难度参数'!$E$19)/D374*(0.85+0.3*(3-1)/MAX(1,D374-1))),0)+F374)))</x:f>
        <x:v>35</x:v>
      </x:c>
      <x:c r="AG374" s="119" t="n">
        <x:f>IF(3&gt;D374,0,ROUND(('难度参数'!$E$13*POWER(A374,'难度参数'!$E$20)*MIN('难度参数'!$E$23,1+MAX(0,A374-'难度参数'!$E$21)*'难度参数'!$E$22))*(36+3*7)/(36+7*(D374+1)/2)*E374,0))</x:f>
        <x:v>8461</x:v>
      </x:c>
      <x:c r="AH374" s="119" t="n">
        <x:f>IF(AF374=0,0,(AF374-IF(3=D374,1,0))*ROUND(AG374*VLOOKUP(INDEX('章节与怪物'!$E$31:$K$37,B374,3),'章节与怪物'!$A$41:$F$44,2,FALSE),0)+IF(3=D374,ROUND(AG374*'难度参数'!$E$28*'章节与怪物'!$E$17,0),0))</x:f>
        <x:v>503440</x:v>
      </x:c>
      <x:c r="AI374" s="119" t="n">
        <x:f>IF(AF374=0,0,(AF374-IF(3=D374,1,0))*VLOOKUP(INDEX('章节与怪物'!$E$31:$K$37,B374,3),'章节与怪物'!$A$41:$F$44,4,FALSE)+IF(3=D374,'难度参数'!$E$30,0))</x:f>
        <x:v>980</x:v>
      </x:c>
      <x:c r="AJ374" s="119" t="n">
        <x:f>IF(4&gt;D374,0,MAX(2,MIN('难度参数'!$E$12,ROUND(('难度参数'!$E$18*POWER(A374,'难度参数'!$E$19)/D374*(0.85+0.3*(4-1)/MAX(1,D374-1))),0)+F374)))</x:f>
        <x:v>37</x:v>
      </x:c>
      <x:c r="AK374" s="119" t="n">
        <x:f>IF(4&gt;D374,0,ROUND(('难度参数'!$E$13*POWER(A374,'难度参数'!$E$20)*MIN('难度参数'!$E$23,1+MAX(0,A374-'难度参数'!$E$21)*'难度参数'!$E$22))*(36+4*7)/(36+7*(D374+1)/2)*E374,0))</x:f>
        <x:v>9500</x:v>
      </x:c>
      <x:c r="AL374" s="119" t="n">
        <x:f>IF(AJ374=0,0,(AJ374-IF(4=D374,1,0))*ROUND(AK374*VLOOKUP(INDEX('章节与怪物'!$E$31:$K$37,B374,4),'章节与怪物'!$A$41:$F$44,2,FALSE),0)+IF(4=D374,ROUND(AK374*'难度参数'!$E$28*'章节与怪物'!$E$17,0),0))</x:f>
        <x:v>474525</x:v>
      </x:c>
      <x:c r="AM374" s="119" t="n">
        <x:f>IF(AJ374=0,0,(AJ374-IF(4=D374,1,0))*VLOOKUP(INDEX('章节与怪物'!$E$31:$K$37,B374,4),'章节与怪物'!$A$41:$F$44,4,FALSE)+IF(4=D374,'难度参数'!$E$30,0))</x:f>
        <x:v>1258</x:v>
      </x:c>
      <x:c r="AN374" s="119" t="n">
        <x:f>IF(5&gt;D374,0,MAX(2,MIN('难度参数'!$E$12,ROUND(('难度参数'!$E$18*POWER(A374,'难度参数'!$E$19)/D374*(0.85+0.3*(5-1)/MAX(1,D374-1))),0)+F374)))</x:f>
        <x:v>39</x:v>
      </x:c>
      <x:c r="AO374" s="119" t="n">
        <x:f>IF(5&gt;D374,0,ROUND(('难度参数'!$E$13*POWER(A374,'难度参数'!$E$20)*MIN('难度参数'!$E$23,1+MAX(0,A374-'难度参数'!$E$21)*'难度参数'!$E$22))*(36+5*7)/(36+7*(D374+1)/2)*E374,0))</x:f>
        <x:v>10540</x:v>
      </x:c>
      <x:c r="AP374" s="119" t="n">
        <x:f>IF(AN374=0,0,(AN374-IF(5=D374,1,0))*ROUND(AO374*VLOOKUP(INDEX('章节与怪物'!$E$31:$K$37,B374,5),'章节与怪物'!$A$41:$F$44,2,FALSE),0)+IF(5=D374,ROUND(AO374*'难度参数'!$E$28*'章节与怪物'!$E$17,0),0))</x:f>
        <x:v>411060</x:v>
      </x:c>
      <x:c r="AQ374" s="119" t="n">
        <x:f>IF(AN374=0,0,(AN374-IF(5=D374,1,0))*VLOOKUP(INDEX('章节与怪物'!$E$31:$K$37,B374,5),'章节与怪物'!$A$41:$F$44,4,FALSE)+IF(5=D374,'难度参数'!$E$30,0))</x:f>
        <x:v>702</x:v>
      </x:c>
      <x:c r="AR374" s="119" t="n">
        <x:f>IF(6&gt;D374,0,MAX(2,MIN('难度参数'!$E$12,ROUND(('难度参数'!$E$18*POWER(A374,'难度参数'!$E$19)/D374*(0.85+0.3*(6-1)/MAX(1,D374-1))),0)+F374)))</x:f>
        <x:v>41</x:v>
      </x:c>
      <x:c r="AS374" s="119" t="n">
        <x:f>IF(6&gt;D374,0,ROUND(('难度参数'!$E$13*POWER(A374,'难度参数'!$E$20)*MIN('难度参数'!$E$23,1+MAX(0,A374-'难度参数'!$E$21)*'难度参数'!$E$22))*(36+6*7)/(36+7*(D374+1)/2)*E374,0))</x:f>
        <x:v>11579</x:v>
      </x:c>
      <x:c r="AT374" s="119" t="n">
        <x:f>IF(AR374=0,0,(AR374-IF(6=D374,1,0))*ROUND(AS374*VLOOKUP(INDEX('章节与怪物'!$E$31:$K$37,B374,6),'章节与怪物'!$A$41:$F$44,2,FALSE),0)+IF(6=D374,ROUND(AS374*'难度参数'!$E$28*'章节与怪物'!$E$17,0),0))</x:f>
        <x:v>341817</x:v>
      </x:c>
      <x:c r="AU374" s="119" t="n">
        <x:f>IF(AR374=0,0,(AR374-IF(6=D374,1,0))*VLOOKUP(INDEX('章节与怪物'!$E$31:$K$37,B374,6),'章节与怪物'!$A$41:$F$44,4,FALSE)+IF(6=D374,'难度参数'!$E$30,0))</x:f>
        <x:v>820</x:v>
      </x:c>
      <x:c r="AV374" s="119" t="n">
        <x:f>IF(7&gt;D374,0,MAX(2,MIN('难度参数'!$E$12,ROUND(('难度参数'!$E$18*POWER(A374,'难度参数'!$E$19)/D374*(0.85+0.3*(7-1)/MAX(1,D374-1))),0)+F374)))</x:f>
        <x:v>43</x:v>
      </x:c>
      <x:c r="AW374" s="119" t="n">
        <x:f>IF(7&gt;D374,0,ROUND(('难度参数'!$E$13*POWER(A374,'难度参数'!$E$20)*MIN('难度参数'!$E$23,1+MAX(0,A374-'难度参数'!$E$21)*'难度参数'!$E$22))*(36+7*7)/(36+7*(D374+1)/2)*E374,0))</x:f>
        <x:v>12618</x:v>
      </x:c>
      <x:c r="AX374" s="119" t="n">
        <x:f>IF(AV374=0,0,(AV374-IF(7=D374,1,0))*ROUND(AW374*VLOOKUP(INDEX('章节与怪物'!$E$31:$K$37,B374,7),'章节与怪物'!$A$41:$F$44,2,FALSE),0)+IF(7=D374,ROUND(AW374*'难度参数'!$E$28*'章节与怪物'!$E$17,0),0))</x:f>
        <x:v>801230</x:v>
      </x:c>
      <x:c r="AY374" s="119" t="n">
        <x:f>IF(AV374=0,0,(AV374-IF(7=D374,1,0))*VLOOKUP(INDEX('章节与怪物'!$E$31:$K$37,B374,7),'章节与怪物'!$A$41:$F$44,4,FALSE)+IF(7=D374,'难度参数'!$E$30,0))</x:f>
        <x:v>1628</x:v>
      </x:c>
    </x:row>
    <x:row r="375" ht="23" customHeight="1">
      <x:c r="A375" s="119" t="n">
        <x:v>369</x:v>
      </x:c>
      <x:c r="B375" s="119" t="n">
        <x:f>MOD(INT((A375-1)/5),7)+1</x:f>
        <x:v>4</x:v>
      </x:c>
      <x:c r="C375" s="62" t="str">
        <x:f>INDEX('章节与怪物'!$B$31:$B$37,B375)</x:f>
        <x:v>翠野边城</x:v>
      </x:c>
      <x:c r="D375" s="119" t="n">
        <x:f>MIN('难度参数'!$E$8,MAX('难度参数'!$E$7,A375))</x:f>
        <x:v>7</x:v>
      </x:c>
      <x:c r="E375" s="106" t="n">
        <x:v>1</x:v>
      </x:c>
      <x:c r="F375" s="106" t="n">
        <x:v>0</x:v>
      </x:c>
      <x:c r="G375" s="106" t="n">
        <x:v>1</x:v>
      </x:c>
      <x:c r="H375" s="119" t="n">
        <x:f>SUM(X375,AB375,AF375,AJ375,AN375,AR375,AV375)</x:f>
        <x:v>261</x:v>
      </x:c>
      <x:c r="I375" s="119" t="n">
        <x:f>SUM(Z375,AD375,AH375,AL375,AP375,AT375,AX375)</x:f>
        <x:v>2937253</x:v>
      </x:c>
      <x:c r="J375" s="119" t="n">
        <x:f>ROUND(INDEX(X375:AY375,1,(D375-1)*4+2)*'难度参数'!$E$28*'章节与怪物'!$E$17,0)</x:f>
        <x:v>85966</x:v>
      </x:c>
      <x:c r="K375" s="119" t="n">
        <x:f>SUM(AA375,AE375,AI375,AM375,AQ375,AU375,AY375)</x:f>
        <x:v>6640</x:v>
      </x:c>
      <x:c r="L375" s="62" t="n">
        <x:f>H375*(ROUNDUP('难度参数'!$E$24/('难度参数'!$E$26*'难度参数'!$E$27),0)*'难度参数'!$E$26)/60</x:f>
        <x:v>3.48</x:v>
      </x:c>
      <x:c r="M375" s="62" t="n">
        <x:f>L375+D375*('难度参数'!$E$49+'难度参数'!$E$50)/60</x:f>
        <x:v>4.6466666666666665</x:v>
      </x:c>
      <x:c r="N375" s="119" t="n">
        <x:f>ROUNDDOWN(('经济参数'!$E$20+A375*'经济参数'!$E$21)*G375,0)</x:f>
        <x:v>7560</x:v>
      </x:c>
      <x:c r="O375" s="119" t="n">
        <x:f>ROUNDDOWN(MIN('经济参数'!$E$24,'经济参数'!$E$22+A375*'经济参数'!$E$23)*G375,0)</x:f>
        <x:v>0</x:v>
      </x:c>
      <x:c r="P375" s="119" t="n">
        <x:f>ROUNDDOWN((IF(A375&gt;='材料与任务'!$E$31,'材料与任务'!$E$32,IF(A375&gt;='材料与任务'!$E$25,'材料与任务'!$E$26,IF(A375&gt;='材料与任务'!$E$19,'材料与任务'!$E$20,IF(A375&gt;='材料与任务'!$E$13,'材料与任务'!$E$14,'材料与任务'!$E$8)))))*G375,0)</x:f>
        <x:v>6</x:v>
      </x:c>
      <x:c r="Q375" s="119" t="n">
        <x:f>ROUNDDOWN((IF(A375&gt;='材料与任务'!$E$31,'材料与任务'!$E$33,IF(A375&gt;='材料与任务'!$E$25,'材料与任务'!$E$27,IF(A375&gt;='材料与任务'!$E$19,'材料与任务'!$E$21,IF(A375&gt;='材料与任务'!$E$13,'材料与任务'!$E$15,'材料与任务'!$E$9)))))*G375,0)</x:f>
        <x:v>3</x:v>
      </x:c>
      <x:c r="R375" s="110" t="n">
        <x:f>'装备掉落'!$B$38</x:f>
        <x:v>0.6872058758851213</x:v>
      </x:c>
      <x:c r="S375" s="119" t="n">
        <x:f>MAX(IF(VLOOKUP(A375,'装备掉落'!$A$29:$H$34,2,TRUE)&gt;0,1,0),IF(VLOOKUP(A375,'装备掉落'!$A$29:$H$34,3,TRUE)&gt;0,2,0),IF(VLOOKUP(A375,'装备掉落'!$A$29:$H$34,4,TRUE)&gt;0,3,0),IF(VLOOKUP(A375,'装备掉落'!$A$29:$H$34,5,TRUE)&gt;0,4,0),IF(VLOOKUP(A375,'装备掉落'!$A$29:$H$34,6,TRUE)&gt;0,5,0),IF(VLOOKUP(A375,'装备掉落'!$A$29:$H$34,7,TRUE)&gt;0,6,0),IF(VLOOKUP(A375,'装备掉落'!$A$29:$H$34,8,TRUE)&gt;0,7,0))</x:f>
        <x:v>7</x:v>
      </x:c>
      <x:c r="T375" s="119" t="n">
        <x:f>MIN(7,S375+'经济参数'!$E$70)</x:f>
        <x:v>7</x:v>
      </x:c>
      <x:c r="U375" s="119" t="n">
        <x:f>MIN(7,S375+'经济参数'!$E$71)</x:f>
        <x:v>7</x:v>
      </x:c>
      <x:c r="V375" s="119" t="n">
        <x:f>IF(H375&gt;=('难度参数'!$E$52),1,0)+IF(H375&gt;=('难度参数'!$E$52+'难度参数'!$E$53),1,0)+IF(H375&gt;=('难度参数'!$E$52+'难度参数'!$E$53+'难度参数'!$E$54),1,0)+IF(H375&gt;=('难度参数'!$E$52+'难度参数'!$E$53+'难度参数'!$E$54+'难度参数'!$E$55),1,0)+IF(H375&gt;=('难度参数'!$E$52+'难度参数'!$E$53+'难度参数'!$E$54+'难度参数'!$E$55+'难度参数'!$E$56),1,0)+IF(H375&gt;=('难度参数'!$E$52+'难度参数'!$E$53+'难度参数'!$E$54+'难度参数'!$E$55+'难度参数'!$E$56+'难度参数'!$E$57),1,0)</x:f>
        <x:v>6</x:v>
      </x:c>
      <x:c r="W375" s="62" t="str">
        <x:f>IF(L375&gt;'难度参数'!$E$51,"仅出怪已超目标","还需实测")</x:f>
        <x:v>仅出怪已超目标</x:v>
      </x:c>
      <x:c r="X375" s="119" t="n">
        <x:f>IF(1&gt;D375,0,MAX(2,MIN('难度参数'!$E$12,ROUND(('难度参数'!$E$18*POWER(A375,'难度参数'!$E$19)/D375*(0.85+0.3*(1-1)/MAX(1,D375-1))),0)+F375)))</x:f>
        <x:v>32</x:v>
      </x:c>
      <x:c r="Y375" s="119" t="n">
        <x:f>IF(1&gt;D375,0,ROUND(('难度参数'!$E$13*POWER(A375,'难度参数'!$E$20)*MIN('难度参数'!$E$23,1+MAX(0,A375-'难度参数'!$E$21)*'难度参数'!$E$22))*(36+1*7)/(36+7*(D375+1)/2)*E375,0))</x:f>
        <x:v>6396</x:v>
      </x:c>
      <x:c r="Z375" s="119" t="n">
        <x:f>IF(X375=0,0,(X375-IF(1=D375,1,0))*ROUND(Y375*VLOOKUP(INDEX('章节与怪物'!$E$31:$K$37,B375,1),'章节与怪物'!$A$41:$F$44,2,FALSE),0)+IF(1=D375,ROUND(Y375*'难度参数'!$E$28*'章节与怪物'!$E$17,0),0))</x:f>
        <x:v>147360</x:v>
      </x:c>
      <x:c r="AA375" s="119" t="n">
        <x:f>IF(X375=0,0,(X375-IF(1=D375,1,0))*VLOOKUP(INDEX('章节与怪物'!$E$31:$K$37,B375,1),'章节与怪物'!$A$41:$F$44,4,FALSE)+IF(1=D375,'难度参数'!$E$30,0))</x:f>
        <x:v>640</x:v>
      </x:c>
      <x:c r="AB375" s="119" t="n">
        <x:f>IF(2&gt;D375,0,MAX(2,MIN('难度参数'!$E$12,ROUND(('难度参数'!$E$18*POWER(A375,'难度参数'!$E$19)/D375*(0.85+0.3*(2-1)/MAX(1,D375-1))),0)+F375)))</x:f>
        <x:v>34</x:v>
      </x:c>
      <x:c r="AC375" s="119" t="n">
        <x:f>IF(2&gt;D375,0,ROUND(('难度参数'!$E$13*POWER(A375,'难度参数'!$E$20)*MIN('难度参数'!$E$23,1+MAX(0,A375-'难度参数'!$E$21)*'难度参数'!$E$22))*(36+2*7)/(36+7*(D375+1)/2)*E375,0))</x:f>
        <x:v>7437</x:v>
      </x:c>
      <x:c r="AD375" s="119" t="n">
        <x:f>IF(AB375=0,0,(AB375-IF(2=D375,1,0))*ROUND(AC375*VLOOKUP(INDEX('章节与怪物'!$E$31:$K$37,B375,2),'章节与怪物'!$A$41:$F$44,2,FALSE),0)+IF(2=D375,ROUND(AC375*'难度参数'!$E$28*'章节与怪物'!$E$17,0),0))</x:f>
        <x:v>252858</x:v>
      </x:c>
      <x:c r="AE375" s="119" t="n">
        <x:f>IF(AB375=0,0,(AB375-IF(2=D375,1,0))*VLOOKUP(INDEX('章节与怪物'!$E$31:$K$37,B375,2),'章节与怪物'!$A$41:$F$44,4,FALSE)+IF(2=D375,'难度参数'!$E$30,0))</x:f>
        <x:v>612</x:v>
      </x:c>
      <x:c r="AF375" s="119" t="n">
        <x:f>IF(3&gt;D375,0,MAX(2,MIN('难度参数'!$E$12,ROUND(('难度参数'!$E$18*POWER(A375,'难度参数'!$E$19)/D375*(0.85+0.3*(3-1)/MAX(1,D375-1))),0)+F375)))</x:f>
        <x:v>35</x:v>
      </x:c>
      <x:c r="AG375" s="119" t="n">
        <x:f>IF(3&gt;D375,0,ROUND(('难度参数'!$E$13*POWER(A375,'难度参数'!$E$20)*MIN('难度参数'!$E$23,1+MAX(0,A375-'难度参数'!$E$21)*'难度参数'!$E$22))*(36+3*7)/(36+7*(D375+1)/2)*E375,0))</x:f>
        <x:v>8478</x:v>
      </x:c>
      <x:c r="AH375" s="119" t="n">
        <x:f>IF(AF375=0,0,(AF375-IF(3=D375,1,0))*ROUND(AG375*VLOOKUP(INDEX('章节与怪物'!$E$31:$K$37,B375,3),'章节与怪物'!$A$41:$F$44,2,FALSE),0)+IF(3=D375,ROUND(AG375*'难度参数'!$E$28*'章节与怪物'!$E$17,0),0))</x:f>
        <x:v>504455</x:v>
      </x:c>
      <x:c r="AI375" s="119" t="n">
        <x:f>IF(AF375=0,0,(AF375-IF(3=D375,1,0))*VLOOKUP(INDEX('章节与怪物'!$E$31:$K$37,B375,3),'章节与怪物'!$A$41:$F$44,4,FALSE)+IF(3=D375,'难度参数'!$E$30,0))</x:f>
        <x:v>980</x:v>
      </x:c>
      <x:c r="AJ375" s="119" t="n">
        <x:f>IF(4&gt;D375,0,MAX(2,MIN('难度参数'!$E$12,ROUND(('难度参数'!$E$18*POWER(A375,'难度参数'!$E$19)/D375*(0.85+0.3*(4-1)/MAX(1,D375-1))),0)+F375)))</x:f>
        <x:v>37</x:v>
      </x:c>
      <x:c r="AK375" s="119" t="n">
        <x:f>IF(4&gt;D375,0,ROUND(('难度参数'!$E$13*POWER(A375,'难度参数'!$E$20)*MIN('难度参数'!$E$23,1+MAX(0,A375-'难度参数'!$E$21)*'难度参数'!$E$22))*(36+4*7)/(36+7*(D375+1)/2)*E375,0))</x:f>
        <x:v>9519</x:v>
      </x:c>
      <x:c r="AL375" s="119" t="n">
        <x:f>IF(AJ375=0,0,(AJ375-IF(4=D375,1,0))*ROUND(AK375*VLOOKUP(INDEX('章节与怪物'!$E$31:$K$37,B375,4),'章节与怪物'!$A$41:$F$44,2,FALSE),0)+IF(4=D375,ROUND(AK375*'难度参数'!$E$28*'章节与怪物'!$E$17,0),0))</x:f>
        <x:v>475487</x:v>
      </x:c>
      <x:c r="AM375" s="119" t="n">
        <x:f>IF(AJ375=0,0,(AJ375-IF(4=D375,1,0))*VLOOKUP(INDEX('章节与怪物'!$E$31:$K$37,B375,4),'章节与怪物'!$A$41:$F$44,4,FALSE)+IF(4=D375,'难度参数'!$E$30,0))</x:f>
        <x:v>1258</x:v>
      </x:c>
      <x:c r="AN375" s="119" t="n">
        <x:f>IF(5&gt;D375,0,MAX(2,MIN('难度参数'!$E$12,ROUND(('难度参数'!$E$18*POWER(A375,'难度参数'!$E$19)/D375*(0.85+0.3*(5-1)/MAX(1,D375-1))),0)+F375)))</x:f>
        <x:v>39</x:v>
      </x:c>
      <x:c r="AO375" s="119" t="n">
        <x:f>IF(5&gt;D375,0,ROUND(('难度参数'!$E$13*POWER(A375,'难度参数'!$E$20)*MIN('难度参数'!$E$23,1+MAX(0,A375-'难度参数'!$E$21)*'难度参数'!$E$22))*(36+5*7)/(36+7*(D375+1)/2)*E375,0))</x:f>
        <x:v>10560</x:v>
      </x:c>
      <x:c r="AP375" s="119" t="n">
        <x:f>IF(AN375=0,0,(AN375-IF(5=D375,1,0))*ROUND(AO375*VLOOKUP(INDEX('章节与怪物'!$E$31:$K$37,B375,5),'章节与怪物'!$A$41:$F$44,2,FALSE),0)+IF(5=D375,ROUND(AO375*'难度参数'!$E$28*'章节与怪物'!$E$17,0),0))</x:f>
        <x:v>411840</x:v>
      </x:c>
      <x:c r="AQ375" s="119" t="n">
        <x:f>IF(AN375=0,0,(AN375-IF(5=D375,1,0))*VLOOKUP(INDEX('章节与怪物'!$E$31:$K$37,B375,5),'章节与怪物'!$A$41:$F$44,4,FALSE)+IF(5=D375,'难度参数'!$E$30,0))</x:f>
        <x:v>702</x:v>
      </x:c>
      <x:c r="AR375" s="119" t="n">
        <x:f>IF(6&gt;D375,0,MAX(2,MIN('难度参数'!$E$12,ROUND(('难度参数'!$E$18*POWER(A375,'难度参数'!$E$19)/D375*(0.85+0.3*(6-1)/MAX(1,D375-1))),0)+F375)))</x:f>
        <x:v>41</x:v>
      </x:c>
      <x:c r="AS375" s="119" t="n">
        <x:f>IF(6&gt;D375,0,ROUND(('难度参数'!$E$13*POWER(A375,'难度参数'!$E$20)*MIN('难度参数'!$E$23,1+MAX(0,A375-'难度参数'!$E$21)*'难度参数'!$E$22))*(36+6*7)/(36+7*(D375+1)/2)*E375,0))</x:f>
        <x:v>11601</x:v>
      </x:c>
      <x:c r="AT375" s="119" t="n">
        <x:f>IF(AR375=0,0,(AR375-IF(6=D375,1,0))*ROUND(AS375*VLOOKUP(INDEX('章节与怪物'!$E$31:$K$37,B375,6),'章节与怪物'!$A$41:$F$44,2,FALSE),0)+IF(6=D375,ROUND(AS375*'难度参数'!$E$28*'章节与怪物'!$E$17,0),0))</x:f>
        <x:v>342473</x:v>
      </x:c>
      <x:c r="AU375" s="119" t="n">
        <x:f>IF(AR375=0,0,(AR375-IF(6=D375,1,0))*VLOOKUP(INDEX('章节与怪物'!$E$31:$K$37,B375,6),'章节与怪物'!$A$41:$F$44,4,FALSE)+IF(6=D375,'难度参数'!$E$30,0))</x:f>
        <x:v>820</x:v>
      </x:c>
      <x:c r="AV375" s="119" t="n">
        <x:f>IF(7&gt;D375,0,MAX(2,MIN('难度参数'!$E$12,ROUND(('难度参数'!$E$18*POWER(A375,'难度参数'!$E$19)/D375*(0.85+0.3*(7-1)/MAX(1,D375-1))),0)+F375)))</x:f>
        <x:v>43</x:v>
      </x:c>
      <x:c r="AW375" s="119" t="n">
        <x:f>IF(7&gt;D375,0,ROUND(('难度参数'!$E$13*POWER(A375,'难度参数'!$E$20)*MIN('难度参数'!$E$23,1+MAX(0,A375-'难度参数'!$E$21)*'难度参数'!$E$22))*(36+7*7)/(36+7*(D375+1)/2)*E375,0))</x:f>
        <x:v>12642</x:v>
      </x:c>
      <x:c r="AX375" s="119" t="n">
        <x:f>IF(AV375=0,0,(AV375-IF(7=D375,1,0))*ROUND(AW375*VLOOKUP(INDEX('章节与怪物'!$E$31:$K$37,B375,7),'章节与怪物'!$A$41:$F$44,2,FALSE),0)+IF(7=D375,ROUND(AW375*'难度参数'!$E$28*'章节与怪物'!$E$17,0),0))</x:f>
        <x:v>802780</x:v>
      </x:c>
      <x:c r="AY375" s="119" t="n">
        <x:f>IF(AV375=0,0,(AV375-IF(7=D375,1,0))*VLOOKUP(INDEX('章节与怪物'!$E$31:$K$37,B375,7),'章节与怪物'!$A$41:$F$44,4,FALSE)+IF(7=D375,'难度参数'!$E$30,0))</x:f>
        <x:v>1628</x:v>
      </x:c>
    </x:row>
    <x:row r="376" ht="23" customHeight="1">
      <x:c r="A376" s="119" t="n">
        <x:v>370</x:v>
      </x:c>
      <x:c r="B376" s="119" t="n">
        <x:f>MOD(INT((A376-1)/5),7)+1</x:f>
        <x:v>4</x:v>
      </x:c>
      <x:c r="C376" s="62" t="str">
        <x:f>INDEX('章节与怪物'!$B$31:$B$37,B376)</x:f>
        <x:v>翠野边城</x:v>
      </x:c>
      <x:c r="D376" s="119" t="n">
        <x:f>MIN('难度参数'!$E$8,MAX('难度参数'!$E$7,A376))</x:f>
        <x:v>7</x:v>
      </x:c>
      <x:c r="E376" s="106" t="n">
        <x:v>1</x:v>
      </x:c>
      <x:c r="F376" s="106" t="n">
        <x:v>0</x:v>
      </x:c>
      <x:c r="G376" s="106" t="n">
        <x:v>1</x:v>
      </x:c>
      <x:c r="H376" s="119" t="n">
        <x:f>SUM(X376,AB376,AF376,AJ376,AN376,AR376,AV376)</x:f>
        <x:v>261</x:v>
      </x:c>
      <x:c r="I376" s="119" t="n">
        <x:f>SUM(Z376,AD376,AH376,AL376,AP376,AT376,AX376)</x:f>
        <x:v>2942918</x:v>
      </x:c>
      <x:c r="J376" s="119" t="n">
        <x:f>ROUND(INDEX(X376:AY376,1,(D376-1)*4+2)*'难度参数'!$E$28*'章节与怪物'!$E$17,0)</x:f>
        <x:v>86136</x:v>
      </x:c>
      <x:c r="K376" s="119" t="n">
        <x:f>SUM(AA376,AE376,AI376,AM376,AQ376,AU376,AY376)</x:f>
        <x:v>6640</x:v>
      </x:c>
      <x:c r="L376" s="62" t="n">
        <x:f>H376*(ROUNDUP('难度参数'!$E$24/('难度参数'!$E$26*'难度参数'!$E$27),0)*'难度参数'!$E$26)/60</x:f>
        <x:v>3.48</x:v>
      </x:c>
      <x:c r="M376" s="62" t="n">
        <x:f>L376+D376*('难度参数'!$E$49+'难度参数'!$E$50)/60</x:f>
        <x:v>4.6466666666666665</x:v>
      </x:c>
      <x:c r="N376" s="119" t="n">
        <x:f>ROUNDDOWN(('经济参数'!$E$20+A376*'经济参数'!$E$21)*G376,0)</x:f>
        <x:v>7580</x:v>
      </x:c>
      <x:c r="O376" s="119" t="n">
        <x:f>ROUNDDOWN(MIN('经济参数'!$E$24,'经济参数'!$E$22+A376*'经济参数'!$E$23)*G376,0)</x:f>
        <x:v>0</x:v>
      </x:c>
      <x:c r="P376" s="119" t="n">
        <x:f>ROUNDDOWN((IF(A376&gt;='材料与任务'!$E$31,'材料与任务'!$E$32,IF(A376&gt;='材料与任务'!$E$25,'材料与任务'!$E$26,IF(A376&gt;='材料与任务'!$E$19,'材料与任务'!$E$20,IF(A376&gt;='材料与任务'!$E$13,'材料与任务'!$E$14,'材料与任务'!$E$8)))))*G376,0)</x:f>
        <x:v>6</x:v>
      </x:c>
      <x:c r="Q376" s="119" t="n">
        <x:f>ROUNDDOWN((IF(A376&gt;='材料与任务'!$E$31,'材料与任务'!$E$33,IF(A376&gt;='材料与任务'!$E$25,'材料与任务'!$E$27,IF(A376&gt;='材料与任务'!$E$19,'材料与任务'!$E$21,IF(A376&gt;='材料与任务'!$E$13,'材料与任务'!$E$15,'材料与任务'!$E$9)))))*G376,0)</x:f>
        <x:v>3</x:v>
      </x:c>
      <x:c r="R376" s="110" t="n">
        <x:f>'装备掉落'!$B$38</x:f>
        <x:v>0.6872058758851213</x:v>
      </x:c>
      <x:c r="S376" s="119" t="n">
        <x:f>MAX(IF(VLOOKUP(A376,'装备掉落'!$A$29:$H$34,2,TRUE)&gt;0,1,0),IF(VLOOKUP(A376,'装备掉落'!$A$29:$H$34,3,TRUE)&gt;0,2,0),IF(VLOOKUP(A376,'装备掉落'!$A$29:$H$34,4,TRUE)&gt;0,3,0),IF(VLOOKUP(A376,'装备掉落'!$A$29:$H$34,5,TRUE)&gt;0,4,0),IF(VLOOKUP(A376,'装备掉落'!$A$29:$H$34,6,TRUE)&gt;0,5,0),IF(VLOOKUP(A376,'装备掉落'!$A$29:$H$34,7,TRUE)&gt;0,6,0),IF(VLOOKUP(A376,'装备掉落'!$A$29:$H$34,8,TRUE)&gt;0,7,0))</x:f>
        <x:v>7</x:v>
      </x:c>
      <x:c r="T376" s="119" t="n">
        <x:f>MIN(7,S376+'经济参数'!$E$70)</x:f>
        <x:v>7</x:v>
      </x:c>
      <x:c r="U376" s="119" t="n">
        <x:f>MIN(7,S376+'经济参数'!$E$71)</x:f>
        <x:v>7</x:v>
      </x:c>
      <x:c r="V376" s="119" t="n">
        <x:f>IF(H376&gt;=('难度参数'!$E$52),1,0)+IF(H376&gt;=('难度参数'!$E$52+'难度参数'!$E$53),1,0)+IF(H376&gt;=('难度参数'!$E$52+'难度参数'!$E$53+'难度参数'!$E$54),1,0)+IF(H376&gt;=('难度参数'!$E$52+'难度参数'!$E$53+'难度参数'!$E$54+'难度参数'!$E$55),1,0)+IF(H376&gt;=('难度参数'!$E$52+'难度参数'!$E$53+'难度参数'!$E$54+'难度参数'!$E$55+'难度参数'!$E$56),1,0)+IF(H376&gt;=('难度参数'!$E$52+'难度参数'!$E$53+'难度参数'!$E$54+'难度参数'!$E$55+'难度参数'!$E$56+'难度参数'!$E$57),1,0)</x:f>
        <x:v>6</x:v>
      </x:c>
      <x:c r="W376" s="62" t="str">
        <x:f>IF(L376&gt;'难度参数'!$E$51,"仅出怪已超目标","还需实测")</x:f>
        <x:v>仅出怪已超目标</x:v>
      </x:c>
      <x:c r="X376" s="119" t="n">
        <x:f>IF(1&gt;D376,0,MAX(2,MIN('难度参数'!$E$12,ROUND(('难度参数'!$E$18*POWER(A376,'难度参数'!$E$19)/D376*(0.85+0.3*(1-1)/MAX(1,D376-1))),0)+F376)))</x:f>
        <x:v>32</x:v>
      </x:c>
      <x:c r="Y376" s="119" t="n">
        <x:f>IF(1&gt;D376,0,ROUND(('难度参数'!$E$13*POWER(A376,'难度参数'!$E$20)*MIN('难度参数'!$E$23,1+MAX(0,A376-'难度参数'!$E$21)*'难度参数'!$E$22))*(36+1*7)/(36+7*(D376+1)/2)*E376,0))</x:f>
        <x:v>6408</x:v>
      </x:c>
      <x:c r="Z376" s="119" t="n">
        <x:f>IF(X376=0,0,(X376-IF(1=D376,1,0))*ROUND(Y376*VLOOKUP(INDEX('章节与怪物'!$E$31:$K$37,B376,1),'章节与怪物'!$A$41:$F$44,2,FALSE),0)+IF(1=D376,ROUND(Y376*'难度参数'!$E$28*'章节与怪物'!$E$17,0),0))</x:f>
        <x:v>147648</x:v>
      </x:c>
      <x:c r="AA376" s="119" t="n">
        <x:f>IF(X376=0,0,(X376-IF(1=D376,1,0))*VLOOKUP(INDEX('章节与怪物'!$E$31:$K$37,B376,1),'章节与怪物'!$A$41:$F$44,4,FALSE)+IF(1=D376,'难度参数'!$E$30,0))</x:f>
        <x:v>640</x:v>
      </x:c>
      <x:c r="AB376" s="119" t="n">
        <x:f>IF(2&gt;D376,0,MAX(2,MIN('难度参数'!$E$12,ROUND(('难度参数'!$E$18*POWER(A376,'难度参数'!$E$19)/D376*(0.85+0.3*(2-1)/MAX(1,D376-1))),0)+F376)))</x:f>
        <x:v>34</x:v>
      </x:c>
      <x:c r="AC376" s="119" t="n">
        <x:f>IF(2&gt;D376,0,ROUND(('难度参数'!$E$13*POWER(A376,'难度参数'!$E$20)*MIN('难度参数'!$E$23,1+MAX(0,A376-'难度参数'!$E$21)*'难度参数'!$E$22))*(36+2*7)/(36+7*(D376+1)/2)*E376,0))</x:f>
        <x:v>7451</x:v>
      </x:c>
      <x:c r="AD376" s="119" t="n">
        <x:f>IF(AB376=0,0,(AB376-IF(2=D376,1,0))*ROUND(AC376*VLOOKUP(INDEX('章节与怪物'!$E$31:$K$37,B376,2),'章节与怪物'!$A$41:$F$44,2,FALSE),0)+IF(2=D376,ROUND(AC376*'难度参数'!$E$28*'章节与怪物'!$E$17,0),0))</x:f>
        <x:v>253334</x:v>
      </x:c>
      <x:c r="AE376" s="119" t="n">
        <x:f>IF(AB376=0,0,(AB376-IF(2=D376,1,0))*VLOOKUP(INDEX('章节与怪物'!$E$31:$K$37,B376,2),'章节与怪物'!$A$41:$F$44,4,FALSE)+IF(2=D376,'难度参数'!$E$30,0))</x:f>
        <x:v>612</x:v>
      </x:c>
      <x:c r="AF376" s="119" t="n">
        <x:f>IF(3&gt;D376,0,MAX(2,MIN('难度参数'!$E$12,ROUND(('难度参数'!$E$18*POWER(A376,'难度参数'!$E$19)/D376*(0.85+0.3*(3-1)/MAX(1,D376-1))),0)+F376)))</x:f>
        <x:v>35</x:v>
      </x:c>
      <x:c r="AG376" s="119" t="n">
        <x:f>IF(3&gt;D376,0,ROUND(('难度参数'!$E$13*POWER(A376,'难度参数'!$E$20)*MIN('难度参数'!$E$23,1+MAX(0,A376-'难度参数'!$E$21)*'难度参数'!$E$22))*(36+3*7)/(36+7*(D376+1)/2)*E376,0))</x:f>
        <x:v>8494</x:v>
      </x:c>
      <x:c r="AH376" s="119" t="n">
        <x:f>IF(AF376=0,0,(AF376-IF(3=D376,1,0))*ROUND(AG376*VLOOKUP(INDEX('章节与怪物'!$E$31:$K$37,B376,3),'章节与怪物'!$A$41:$F$44,2,FALSE),0)+IF(3=D376,ROUND(AG376*'难度参数'!$E$28*'章节与怪物'!$E$17,0),0))</x:f>
        <x:v>505400</x:v>
      </x:c>
      <x:c r="AI376" s="119" t="n">
        <x:f>IF(AF376=0,0,(AF376-IF(3=D376,1,0))*VLOOKUP(INDEX('章节与怪物'!$E$31:$K$37,B376,3),'章节与怪物'!$A$41:$F$44,4,FALSE)+IF(3=D376,'难度参数'!$E$30,0))</x:f>
        <x:v>980</x:v>
      </x:c>
      <x:c r="AJ376" s="119" t="n">
        <x:f>IF(4&gt;D376,0,MAX(2,MIN('难度参数'!$E$12,ROUND(('难度参数'!$E$18*POWER(A376,'难度参数'!$E$19)/D376*(0.85+0.3*(4-1)/MAX(1,D376-1))),0)+F376)))</x:f>
        <x:v>37</x:v>
      </x:c>
      <x:c r="AK376" s="119" t="n">
        <x:f>IF(4&gt;D376,0,ROUND(('难度参数'!$E$13*POWER(A376,'难度参数'!$E$20)*MIN('难度参数'!$E$23,1+MAX(0,A376-'难度参数'!$E$21)*'难度参数'!$E$22))*(36+4*7)/(36+7*(D376+1)/2)*E376,0))</x:f>
        <x:v>9538</x:v>
      </x:c>
      <x:c r="AL376" s="119" t="n">
        <x:f>IF(AJ376=0,0,(AJ376-IF(4=D376,1,0))*ROUND(AK376*VLOOKUP(INDEX('章节与怪物'!$E$31:$K$37,B376,4),'章节与怪物'!$A$41:$F$44,2,FALSE),0)+IF(4=D376,ROUND(AK376*'难度参数'!$E$28*'章节与怪物'!$E$17,0),0))</x:f>
        <x:v>476412</x:v>
      </x:c>
      <x:c r="AM376" s="119" t="n">
        <x:f>IF(AJ376=0,0,(AJ376-IF(4=D376,1,0))*VLOOKUP(INDEX('章节与怪物'!$E$31:$K$37,B376,4),'章节与怪物'!$A$41:$F$44,4,FALSE)+IF(4=D376,'难度参数'!$E$30,0))</x:f>
        <x:v>1258</x:v>
      </x:c>
      <x:c r="AN376" s="119" t="n">
        <x:f>IF(5&gt;D376,0,MAX(2,MIN('难度参数'!$E$12,ROUND(('难度参数'!$E$18*POWER(A376,'难度参数'!$E$19)/D376*(0.85+0.3*(5-1)/MAX(1,D376-1))),0)+F376)))</x:f>
        <x:v>39</x:v>
      </x:c>
      <x:c r="AO376" s="119" t="n">
        <x:f>IF(5&gt;D376,0,ROUND(('难度参数'!$E$13*POWER(A376,'难度参数'!$E$20)*MIN('难度参数'!$E$23,1+MAX(0,A376-'难度参数'!$E$21)*'难度参数'!$E$22))*(36+5*7)/(36+7*(D376+1)/2)*E376,0))</x:f>
        <x:v>10581</x:v>
      </x:c>
      <x:c r="AP376" s="119" t="n">
        <x:f>IF(AN376=0,0,(AN376-IF(5=D376,1,0))*ROUND(AO376*VLOOKUP(INDEX('章节与怪物'!$E$31:$K$37,B376,5),'章节与怪物'!$A$41:$F$44,2,FALSE),0)+IF(5=D376,ROUND(AO376*'难度参数'!$E$28*'章节与怪物'!$E$17,0),0))</x:f>
        <x:v>412659</x:v>
      </x:c>
      <x:c r="AQ376" s="119" t="n">
        <x:f>IF(AN376=0,0,(AN376-IF(5=D376,1,0))*VLOOKUP(INDEX('章节与怪物'!$E$31:$K$37,B376,5),'章节与怪物'!$A$41:$F$44,4,FALSE)+IF(5=D376,'难度参数'!$E$30,0))</x:f>
        <x:v>702</x:v>
      </x:c>
      <x:c r="AR376" s="119" t="n">
        <x:f>IF(6&gt;D376,0,MAX(2,MIN('难度参数'!$E$12,ROUND(('难度参数'!$E$18*POWER(A376,'难度参数'!$E$19)/D376*(0.85+0.3*(6-1)/MAX(1,D376-1))),0)+F376)))</x:f>
        <x:v>41</x:v>
      </x:c>
      <x:c r="AS376" s="119" t="n">
        <x:f>IF(6&gt;D376,0,ROUND(('难度参数'!$E$13*POWER(A376,'难度参数'!$E$20)*MIN('难度参数'!$E$23,1+MAX(0,A376-'难度参数'!$E$21)*'难度参数'!$E$22))*(36+6*7)/(36+7*(D376+1)/2)*E376,0))</x:f>
        <x:v>11624</x:v>
      </x:c>
      <x:c r="AT376" s="119" t="n">
        <x:f>IF(AR376=0,0,(AR376-IF(6=D376,1,0))*ROUND(AS376*VLOOKUP(INDEX('章节与怪物'!$E$31:$K$37,B376,6),'章节与怪物'!$A$41:$F$44,2,FALSE),0)+IF(6=D376,ROUND(AS376*'难度参数'!$E$28*'章节与怪物'!$E$17,0),0))</x:f>
        <x:v>343129</x:v>
      </x:c>
      <x:c r="AU376" s="119" t="n">
        <x:f>IF(AR376=0,0,(AR376-IF(6=D376,1,0))*VLOOKUP(INDEX('章节与怪物'!$E$31:$K$37,B376,6),'章节与怪物'!$A$41:$F$44,4,FALSE)+IF(6=D376,'难度参数'!$E$30,0))</x:f>
        <x:v>820</x:v>
      </x:c>
      <x:c r="AV376" s="119" t="n">
        <x:f>IF(7&gt;D376,0,MAX(2,MIN('难度参数'!$E$12,ROUND(('难度参数'!$E$18*POWER(A376,'难度参数'!$E$19)/D376*(0.85+0.3*(7-1)/MAX(1,D376-1))),0)+F376)))</x:f>
        <x:v>43</x:v>
      </x:c>
      <x:c r="AW376" s="119" t="n">
        <x:f>IF(7&gt;D376,0,ROUND(('难度参数'!$E$13*POWER(A376,'难度参数'!$E$20)*MIN('难度参数'!$E$23,1+MAX(0,A376-'难度参数'!$E$21)*'难度参数'!$E$22))*(36+7*7)/(36+7*(D376+1)/2)*E376,0))</x:f>
        <x:v>12667</x:v>
      </x:c>
      <x:c r="AX376" s="119" t="n">
        <x:f>IF(AV376=0,0,(AV376-IF(7=D376,1,0))*ROUND(AW376*VLOOKUP(INDEX('章节与怪物'!$E$31:$K$37,B376,7),'章节与怪物'!$A$41:$F$44,2,FALSE),0)+IF(7=D376,ROUND(AW376*'难度参数'!$E$28*'章节与怪物'!$E$17,0),0))</x:f>
        <x:v>804336</x:v>
      </x:c>
      <x:c r="AY376" s="119" t="n">
        <x:f>IF(AV376=0,0,(AV376-IF(7=D376,1,0))*VLOOKUP(INDEX('章节与怪物'!$E$31:$K$37,B376,7),'章节与怪物'!$A$41:$F$44,4,FALSE)+IF(7=D376,'难度参数'!$E$30,0))</x:f>
        <x:v>1628</x:v>
      </x:c>
    </x:row>
    <x:row r="377" ht="23" customHeight="1">
      <x:c r="A377" s="119" t="n">
        <x:v>371</x:v>
      </x:c>
      <x:c r="B377" s="119" t="n">
        <x:f>MOD(INT((A377-1)/5),7)+1</x:f>
        <x:v>5</x:v>
      </x:c>
      <x:c r="C377" s="62" t="str">
        <x:f>INDEX('章节与怪物'!$B$31:$B$37,B377)</x:f>
        <x:v>雨林遗迹</x:v>
      </x:c>
      <x:c r="D377" s="119" t="n">
        <x:f>MIN('难度参数'!$E$8,MAX('难度参数'!$E$7,A377))</x:f>
        <x:v>7</x:v>
      </x:c>
      <x:c r="E377" s="106" t="n">
        <x:v>1</x:v>
      </x:c>
      <x:c r="F377" s="106" t="n">
        <x:v>0</x:v>
      </x:c>
      <x:c r="G377" s="106" t="n">
        <x:v>1</x:v>
      </x:c>
      <x:c r="H377" s="119" t="n">
        <x:f>SUM(X377,AB377,AF377,AJ377,AN377,AR377,AV377)</x:f>
        <x:v>262</x:v>
      </x:c>
      <x:c r="I377" s="119" t="n">
        <x:f>SUM(Z377,AD377,AH377,AL377,AP377,AT377,AX377)</x:f>
        <x:v>3301898</x:v>
      </x:c>
      <x:c r="J377" s="119" t="n">
        <x:f>ROUND(INDEX(X377:AY377,1,(D377-1)*4+2)*'难度参数'!$E$28*'章节与怪物'!$E$17,0)</x:f>
        <x:v>86306</x:v>
      </x:c>
      <x:c r="K377" s="119" t="n">
        <x:f>SUM(AA377,AE377,AI377,AM377,AQ377,AU377,AY377)</x:f>
        <x:v>7078</x:v>
      </x:c>
      <x:c r="L377" s="62" t="n">
        <x:f>H377*(ROUNDUP('难度参数'!$E$24/('难度参数'!$E$26*'难度参数'!$E$27),0)*'难度参数'!$E$26)/60</x:f>
        <x:v>3.4933333333333336</x:v>
      </x:c>
      <x:c r="M377" s="62" t="n">
        <x:f>L377+D377*('难度参数'!$E$49+'难度参数'!$E$50)/60</x:f>
        <x:v>4.66</x:v>
      </x:c>
      <x:c r="N377" s="119" t="n">
        <x:f>ROUNDDOWN(('经济参数'!$E$20+A377*'经济参数'!$E$21)*G377,0)</x:f>
        <x:v>7600</x:v>
      </x:c>
      <x:c r="O377" s="119" t="n">
        <x:f>ROUNDDOWN(MIN('经济参数'!$E$24,'经济参数'!$E$22+A377*'经济参数'!$E$23)*G377,0)</x:f>
        <x:v>0</x:v>
      </x:c>
      <x:c r="P377" s="119" t="n">
        <x:f>ROUNDDOWN((IF(A377&gt;='材料与任务'!$E$31,'材料与任务'!$E$32,IF(A377&gt;='材料与任务'!$E$25,'材料与任务'!$E$26,IF(A377&gt;='材料与任务'!$E$19,'材料与任务'!$E$20,IF(A377&gt;='材料与任务'!$E$13,'材料与任务'!$E$14,'材料与任务'!$E$8)))))*G377,0)</x:f>
        <x:v>6</x:v>
      </x:c>
      <x:c r="Q377" s="119" t="n">
        <x:f>ROUNDDOWN((IF(A377&gt;='材料与任务'!$E$31,'材料与任务'!$E$33,IF(A377&gt;='材料与任务'!$E$25,'材料与任务'!$E$27,IF(A377&gt;='材料与任务'!$E$19,'材料与任务'!$E$21,IF(A377&gt;='材料与任务'!$E$13,'材料与任务'!$E$15,'材料与任务'!$E$9)))))*G377,0)</x:f>
        <x:v>3</x:v>
      </x:c>
      <x:c r="R377" s="110" t="n">
        <x:f>'装备掉落'!$B$38</x:f>
        <x:v>0.6872058758851213</x:v>
      </x:c>
      <x:c r="S377" s="119" t="n">
        <x:f>MAX(IF(VLOOKUP(A377,'装备掉落'!$A$29:$H$34,2,TRUE)&gt;0,1,0),IF(VLOOKUP(A377,'装备掉落'!$A$29:$H$34,3,TRUE)&gt;0,2,0),IF(VLOOKUP(A377,'装备掉落'!$A$29:$H$34,4,TRUE)&gt;0,3,0),IF(VLOOKUP(A377,'装备掉落'!$A$29:$H$34,5,TRUE)&gt;0,4,0),IF(VLOOKUP(A377,'装备掉落'!$A$29:$H$34,6,TRUE)&gt;0,5,0),IF(VLOOKUP(A377,'装备掉落'!$A$29:$H$34,7,TRUE)&gt;0,6,0),IF(VLOOKUP(A377,'装备掉落'!$A$29:$H$34,8,TRUE)&gt;0,7,0))</x:f>
        <x:v>7</x:v>
      </x:c>
      <x:c r="T377" s="119" t="n">
        <x:f>MIN(7,S377+'经济参数'!$E$70)</x:f>
        <x:v>7</x:v>
      </x:c>
      <x:c r="U377" s="119" t="n">
        <x:f>MIN(7,S377+'经济参数'!$E$71)</x:f>
        <x:v>7</x:v>
      </x:c>
      <x:c r="V377" s="119" t="n">
        <x:f>IF(H377&gt;=('难度参数'!$E$52),1,0)+IF(H377&gt;=('难度参数'!$E$52+'难度参数'!$E$53),1,0)+IF(H377&gt;=('难度参数'!$E$52+'难度参数'!$E$53+'难度参数'!$E$54),1,0)+IF(H377&gt;=('难度参数'!$E$52+'难度参数'!$E$53+'难度参数'!$E$54+'难度参数'!$E$55),1,0)+IF(H377&gt;=('难度参数'!$E$52+'难度参数'!$E$53+'难度参数'!$E$54+'难度参数'!$E$55+'难度参数'!$E$56),1,0)+IF(H377&gt;=('难度参数'!$E$52+'难度参数'!$E$53+'难度参数'!$E$54+'难度参数'!$E$55+'难度参数'!$E$56+'难度参数'!$E$57),1,0)</x:f>
        <x:v>6</x:v>
      </x:c>
      <x:c r="W377" s="62" t="str">
        <x:f>IF(L377&gt;'难度参数'!$E$51,"仅出怪已超目标","还需实测")</x:f>
        <x:v>仅出怪已超目标</x:v>
      </x:c>
      <x:c r="X377" s="119" t="n">
        <x:f>IF(1&gt;D377,0,MAX(2,MIN('难度参数'!$E$12,ROUND(('难度参数'!$E$18*POWER(A377,'难度参数'!$E$19)/D377*(0.85+0.3*(1-1)/MAX(1,D377-1))),0)+F377)))</x:f>
        <x:v>32</x:v>
      </x:c>
      <x:c r="Y377" s="119" t="n">
        <x:f>IF(1&gt;D377,0,ROUND(('难度参数'!$E$13*POWER(A377,'难度参数'!$E$20)*MIN('难度参数'!$E$23,1+MAX(0,A377-'难度参数'!$E$21)*'难度参数'!$E$22))*(36+1*7)/(36+7*(D377+1)/2)*E377,0))</x:f>
        <x:v>6421</x:v>
      </x:c>
      <x:c r="Z377" s="119" t="n">
        <x:f>IF(X377=0,0,(X377-IF(1=D377,1,0))*ROUND(Y377*VLOOKUP(INDEX('章节与怪物'!$E$31:$K$37,B377,1),'章节与怪物'!$A$41:$F$44,2,FALSE),0)+IF(1=D377,ROUND(Y377*'难度参数'!$E$28*'章节与怪物'!$E$17,0),0))</x:f>
        <x:v>205472</x:v>
      </x:c>
      <x:c r="AA377" s="119" t="n">
        <x:f>IF(X377=0,0,(X377-IF(1=D377,1,0))*VLOOKUP(INDEX('章节与怪物'!$E$31:$K$37,B377,1),'章节与怪物'!$A$41:$F$44,4,FALSE)+IF(1=D377,'难度参数'!$E$30,0))</x:f>
        <x:v>576</x:v>
      </x:c>
      <x:c r="AB377" s="119" t="n">
        <x:f>IF(2&gt;D377,0,MAX(2,MIN('难度参数'!$E$12,ROUND(('难度参数'!$E$18*POWER(A377,'难度参数'!$E$19)/D377*(0.85+0.3*(2-1)/MAX(1,D377-1))),0)+F377)))</x:f>
        <x:v>34</x:v>
      </x:c>
      <x:c r="AC377" s="119" t="n">
        <x:f>IF(2&gt;D377,0,ROUND(('难度参数'!$E$13*POWER(A377,'难度参数'!$E$20)*MIN('难度参数'!$E$23,1+MAX(0,A377-'难度参数'!$E$21)*'难度参数'!$E$22))*(36+2*7)/(36+7*(D377+1)/2)*E377,0))</x:f>
        <x:v>7466</x:v>
      </x:c>
      <x:c r="AD377" s="119" t="n">
        <x:f>IF(AB377=0,0,(AB377-IF(2=D377,1,0))*ROUND(AC377*VLOOKUP(INDEX('章节与怪物'!$E$31:$K$37,B377,2),'章节与怪物'!$A$41:$F$44,2,FALSE),0)+IF(2=D377,ROUND(AC377*'难度参数'!$E$28*'章节与怪物'!$E$17,0),0))</x:f>
        <x:v>182784</x:v>
      </x:c>
      <x:c r="AE377" s="119" t="n">
        <x:f>IF(AB377=0,0,(AB377-IF(2=D377,1,0))*VLOOKUP(INDEX('章节与怪物'!$E$31:$K$37,B377,2),'章节与怪物'!$A$41:$F$44,4,FALSE)+IF(2=D377,'难度参数'!$E$30,0))</x:f>
        <x:v>680</x:v>
      </x:c>
      <x:c r="AF377" s="119" t="n">
        <x:f>IF(3&gt;D377,0,MAX(2,MIN('难度参数'!$E$12,ROUND(('难度参数'!$E$18*POWER(A377,'难度参数'!$E$19)/D377*(0.85+0.3*(3-1)/MAX(1,D377-1))),0)+F377)))</x:f>
        <x:v>36</x:v>
      </x:c>
      <x:c r="AG377" s="119" t="n">
        <x:f>IF(3&gt;D377,0,ROUND(('难度参数'!$E$13*POWER(A377,'难度参数'!$E$20)*MIN('难度参数'!$E$23,1+MAX(0,A377-'难度参数'!$E$21)*'难度参数'!$E$22))*(36+3*7)/(36+7*(D377+1)/2)*E377,0))</x:f>
        <x:v>8511</x:v>
      </x:c>
      <x:c r="AH377" s="119" t="n">
        <x:f>IF(AF377=0,0,(AF377-IF(3=D377,1,0))*ROUND(AG377*VLOOKUP(INDEX('章节与怪物'!$E$31:$K$37,B377,3),'章节与怪物'!$A$41:$F$44,2,FALSE),0)+IF(3=D377,ROUND(AG377*'难度参数'!$E$28*'章节与怪物'!$E$17,0),0))</x:f>
        <x:v>520884</x:v>
      </x:c>
      <x:c r="AI377" s="119" t="n">
        <x:f>IF(AF377=0,0,(AF377-IF(3=D377,1,0))*VLOOKUP(INDEX('章节与怪物'!$E$31:$K$37,B377,3),'章节与怪物'!$A$41:$F$44,4,FALSE)+IF(3=D377,'难度参数'!$E$30,0))</x:f>
        <x:v>1008</x:v>
      </x:c>
      <x:c r="AJ377" s="119" t="n">
        <x:f>IF(4&gt;D377,0,MAX(2,MIN('难度参数'!$E$12,ROUND(('难度参数'!$E$18*POWER(A377,'难度参数'!$E$19)/D377*(0.85+0.3*(4-1)/MAX(1,D377-1))),0)+F377)))</x:f>
        <x:v>37</x:v>
      </x:c>
      <x:c r="AK377" s="119" t="n">
        <x:f>IF(4&gt;D377,0,ROUND(('难度参数'!$E$13*POWER(A377,'难度参数'!$E$20)*MIN('难度参数'!$E$23,1+MAX(0,A377-'难度参数'!$E$21)*'难度参数'!$E$22))*(36+4*7)/(36+7*(D377+1)/2)*E377,0))</x:f>
        <x:v>9556</x:v>
      </x:c>
      <x:c r="AL377" s="119" t="n">
        <x:f>IF(AJ377=0,0,(AJ377-IF(4=D377,1,0))*ROUND(AK377*VLOOKUP(INDEX('章节与怪物'!$E$31:$K$37,B377,4),'章节与怪物'!$A$41:$F$44,2,FALSE),0)+IF(4=D377,ROUND(AK377*'难度参数'!$E$28*'章节与怪物'!$E$17,0),0))</x:f>
        <x:v>477337</x:v>
      </x:c>
      <x:c r="AM377" s="119" t="n">
        <x:f>IF(AJ377=0,0,(AJ377-IF(4=D377,1,0))*VLOOKUP(INDEX('章节与怪物'!$E$31:$K$37,B377,4),'章节与怪物'!$A$41:$F$44,4,FALSE)+IF(4=D377,'难度参数'!$E$30,0))</x:f>
        <x:v>1258</x:v>
      </x:c>
      <x:c r="AN377" s="119" t="n">
        <x:f>IF(5&gt;D377,0,MAX(2,MIN('难度参数'!$E$12,ROUND(('难度参数'!$E$18*POWER(A377,'难度参数'!$E$19)/D377*(0.85+0.3*(5-1)/MAX(1,D377-1))),0)+F377)))</x:f>
        <x:v>39</x:v>
      </x:c>
      <x:c r="AO377" s="119" t="n">
        <x:f>IF(5&gt;D377,0,ROUND(('难度参数'!$E$13*POWER(A377,'难度参数'!$E$20)*MIN('难度参数'!$E$23,1+MAX(0,A377-'难度参数'!$E$21)*'难度参数'!$E$22))*(36+5*7)/(36+7*(D377+1)/2)*E377,0))</x:f>
        <x:v>10601</x:v>
      </x:c>
      <x:c r="AP377" s="119" t="n">
        <x:f>IF(AN377=0,0,(AN377-IF(5=D377,1,0))*ROUND(AO377*VLOOKUP(INDEX('章节与怪物'!$E$31:$K$37,B377,5),'章节与怪物'!$A$41:$F$44,2,FALSE),0)+IF(5=D377,ROUND(AO377*'难度参数'!$E$28*'章节与怪物'!$E$17,0),0))</x:f>
        <x:v>297687</x:v>
      </x:c>
      <x:c r="AQ377" s="119" t="n">
        <x:f>IF(AN377=0,0,(AN377-IF(5=D377,1,0))*VLOOKUP(INDEX('章节与怪物'!$E$31:$K$37,B377,5),'章节与怪物'!$A$41:$F$44,4,FALSE)+IF(5=D377,'难度参数'!$E$30,0))</x:f>
        <x:v>780</x:v>
      </x:c>
      <x:c r="AR377" s="119" t="n">
        <x:f>IF(6&gt;D377,0,MAX(2,MIN('难度参数'!$E$12,ROUND(('难度参数'!$E$18*POWER(A377,'难度参数'!$E$19)/D377*(0.85+0.3*(6-1)/MAX(1,D377-1))),0)+F377)))</x:f>
        <x:v>41</x:v>
      </x:c>
      <x:c r="AS377" s="119" t="n">
        <x:f>IF(6&gt;D377,0,ROUND(('难度参数'!$E$13*POWER(A377,'难度参数'!$E$20)*MIN('难度参数'!$E$23,1+MAX(0,A377-'难度参数'!$E$21)*'难度参数'!$E$22))*(36+6*7)/(36+7*(D377+1)/2)*E377,0))</x:f>
        <x:v>11647</x:v>
      </x:c>
      <x:c r="AT377" s="119" t="n">
        <x:f>IF(AR377=0,0,(AR377-IF(6=D377,1,0))*ROUND(AS377*VLOOKUP(INDEX('章节与怪物'!$E$31:$K$37,B377,6),'章节与怪物'!$A$41:$F$44,2,FALSE),0)+IF(6=D377,ROUND(AS377*'难度参数'!$E$28*'章节与怪物'!$E$17,0),0))</x:f>
        <x:v>811800</x:v>
      </x:c>
      <x:c r="AU377" s="119" t="n">
        <x:f>IF(AR377=0,0,(AR377-IF(6=D377,1,0))*VLOOKUP(INDEX('章节与怪物'!$E$31:$K$37,B377,6),'章节与怪物'!$A$41:$F$44,4,FALSE)+IF(6=D377,'难度参数'!$E$30,0))</x:f>
        <x:v>1148</x:v>
      </x:c>
      <x:c r="AV377" s="119" t="n">
        <x:f>IF(7&gt;D377,0,MAX(2,MIN('难度参数'!$E$12,ROUND(('难度参数'!$E$18*POWER(A377,'难度参数'!$E$19)/D377*(0.85+0.3*(7-1)/MAX(1,D377-1))),0)+F377)))</x:f>
        <x:v>43</x:v>
      </x:c>
      <x:c r="AW377" s="119" t="n">
        <x:f>IF(7&gt;D377,0,ROUND(('难度参数'!$E$13*POWER(A377,'难度参数'!$E$20)*MIN('难度参数'!$E$23,1+MAX(0,A377-'难度参数'!$E$21)*'难度参数'!$E$22))*(36+7*7)/(36+7*(D377+1)/2)*E377,0))</x:f>
        <x:v>12692</x:v>
      </x:c>
      <x:c r="AX377" s="119" t="n">
        <x:f>IF(AV377=0,0,(AV377-IF(7=D377,1,0))*ROUND(AW377*VLOOKUP(INDEX('章节与怪物'!$E$31:$K$37,B377,7),'章节与怪物'!$A$41:$F$44,2,FALSE),0)+IF(7=D377,ROUND(AW377*'难度参数'!$E$28*'章节与怪物'!$E$17,0),0))</x:f>
        <x:v>805934</x:v>
      </x:c>
      <x:c r="AY377" s="119" t="n">
        <x:f>IF(AV377=0,0,(AV377-IF(7=D377,1,0))*VLOOKUP(INDEX('章节与怪物'!$E$31:$K$37,B377,7),'章节与怪物'!$A$41:$F$44,4,FALSE)+IF(7=D377,'难度参数'!$E$30,0))</x:f>
        <x:v>1628</x:v>
      </x:c>
    </x:row>
    <x:row r="378" ht="23" customHeight="1">
      <x:c r="A378" s="119" t="n">
        <x:v>372</x:v>
      </x:c>
      <x:c r="B378" s="119" t="n">
        <x:f>MOD(INT((A378-1)/5),7)+1</x:f>
        <x:v>5</x:v>
      </x:c>
      <x:c r="C378" s="62" t="str">
        <x:f>INDEX('章节与怪物'!$B$31:$B$37,B378)</x:f>
        <x:v>雨林遗迹</x:v>
      </x:c>
      <x:c r="D378" s="119" t="n">
        <x:f>MIN('难度参数'!$E$8,MAX('难度参数'!$E$7,A378))</x:f>
        <x:v>7</x:v>
      </x:c>
      <x:c r="E378" s="106" t="n">
        <x:v>1</x:v>
      </x:c>
      <x:c r="F378" s="106" t="n">
        <x:v>0</x:v>
      </x:c>
      <x:c r="G378" s="106" t="n">
        <x:v>1</x:v>
      </x:c>
      <x:c r="H378" s="119" t="n">
        <x:f>SUM(X378,AB378,AF378,AJ378,AN378,AR378,AV378)</x:f>
        <x:v>262</x:v>
      </x:c>
      <x:c r="I378" s="119" t="n">
        <x:f>SUM(Z378,AD378,AH378,AL378,AP378,AT378,AX378)</x:f>
        <x:v>3308170</x:v>
      </x:c>
      <x:c r="J378" s="119" t="n">
        <x:f>ROUND(INDEX(X378:AY378,1,(D378-1)*4+2)*'难度参数'!$E$28*'章节与怪物'!$E$17,0)</x:f>
        <x:v>86469</x:v>
      </x:c>
      <x:c r="K378" s="119" t="n">
        <x:f>SUM(AA378,AE378,AI378,AM378,AQ378,AU378,AY378)</x:f>
        <x:v>7078</x:v>
      </x:c>
      <x:c r="L378" s="62" t="n">
        <x:f>H378*(ROUNDUP('难度参数'!$E$24/('难度参数'!$E$26*'难度参数'!$E$27),0)*'难度参数'!$E$26)/60</x:f>
        <x:v>3.4933333333333336</x:v>
      </x:c>
      <x:c r="M378" s="62" t="n">
        <x:f>L378+D378*('难度参数'!$E$49+'难度参数'!$E$50)/60</x:f>
        <x:v>4.66</x:v>
      </x:c>
      <x:c r="N378" s="119" t="n">
        <x:f>ROUNDDOWN(('经济参数'!$E$20+A378*'经济参数'!$E$21)*G378,0)</x:f>
        <x:v>7620</x:v>
      </x:c>
      <x:c r="O378" s="119" t="n">
        <x:f>ROUNDDOWN(MIN('经济参数'!$E$24,'经济参数'!$E$22+A378*'经济参数'!$E$23)*G378,0)</x:f>
        <x:v>0</x:v>
      </x:c>
      <x:c r="P378" s="119" t="n">
        <x:f>ROUNDDOWN((IF(A378&gt;='材料与任务'!$E$31,'材料与任务'!$E$32,IF(A378&gt;='材料与任务'!$E$25,'材料与任务'!$E$26,IF(A378&gt;='材料与任务'!$E$19,'材料与任务'!$E$20,IF(A378&gt;='材料与任务'!$E$13,'材料与任务'!$E$14,'材料与任务'!$E$8)))))*G378,0)</x:f>
        <x:v>6</x:v>
      </x:c>
      <x:c r="Q378" s="119" t="n">
        <x:f>ROUNDDOWN((IF(A378&gt;='材料与任务'!$E$31,'材料与任务'!$E$33,IF(A378&gt;='材料与任务'!$E$25,'材料与任务'!$E$27,IF(A378&gt;='材料与任务'!$E$19,'材料与任务'!$E$21,IF(A378&gt;='材料与任务'!$E$13,'材料与任务'!$E$15,'材料与任务'!$E$9)))))*G378,0)</x:f>
        <x:v>3</x:v>
      </x:c>
      <x:c r="R378" s="110" t="n">
        <x:f>'装备掉落'!$B$38</x:f>
        <x:v>0.6872058758851213</x:v>
      </x:c>
      <x:c r="S378" s="119" t="n">
        <x:f>MAX(IF(VLOOKUP(A378,'装备掉落'!$A$29:$H$34,2,TRUE)&gt;0,1,0),IF(VLOOKUP(A378,'装备掉落'!$A$29:$H$34,3,TRUE)&gt;0,2,0),IF(VLOOKUP(A378,'装备掉落'!$A$29:$H$34,4,TRUE)&gt;0,3,0),IF(VLOOKUP(A378,'装备掉落'!$A$29:$H$34,5,TRUE)&gt;0,4,0),IF(VLOOKUP(A378,'装备掉落'!$A$29:$H$34,6,TRUE)&gt;0,5,0),IF(VLOOKUP(A378,'装备掉落'!$A$29:$H$34,7,TRUE)&gt;0,6,0),IF(VLOOKUP(A378,'装备掉落'!$A$29:$H$34,8,TRUE)&gt;0,7,0))</x:f>
        <x:v>7</x:v>
      </x:c>
      <x:c r="T378" s="119" t="n">
        <x:f>MIN(7,S378+'经济参数'!$E$70)</x:f>
        <x:v>7</x:v>
      </x:c>
      <x:c r="U378" s="119" t="n">
        <x:f>MIN(7,S378+'经济参数'!$E$71)</x:f>
        <x:v>7</x:v>
      </x:c>
      <x:c r="V378" s="119" t="n">
        <x:f>IF(H378&gt;=('难度参数'!$E$52),1,0)+IF(H378&gt;=('难度参数'!$E$52+'难度参数'!$E$53),1,0)+IF(H378&gt;=('难度参数'!$E$52+'难度参数'!$E$53+'难度参数'!$E$54),1,0)+IF(H378&gt;=('难度参数'!$E$52+'难度参数'!$E$53+'难度参数'!$E$54+'难度参数'!$E$55),1,0)+IF(H378&gt;=('难度参数'!$E$52+'难度参数'!$E$53+'难度参数'!$E$54+'难度参数'!$E$55+'难度参数'!$E$56),1,0)+IF(H378&gt;=('难度参数'!$E$52+'难度参数'!$E$53+'难度参数'!$E$54+'难度参数'!$E$55+'难度参数'!$E$56+'难度参数'!$E$57),1,0)</x:f>
        <x:v>6</x:v>
      </x:c>
      <x:c r="W378" s="62" t="str">
        <x:f>IF(L378&gt;'难度参数'!$E$51,"仅出怪已超目标","还需实测")</x:f>
        <x:v>仅出怪已超目标</x:v>
      </x:c>
      <x:c r="X378" s="119" t="n">
        <x:f>IF(1&gt;D378,0,MAX(2,MIN('难度参数'!$E$12,ROUND(('难度参数'!$E$18*POWER(A378,'难度参数'!$E$19)/D378*(0.85+0.3*(1-1)/MAX(1,D378-1))),0)+F378)))</x:f>
        <x:v>32</x:v>
      </x:c>
      <x:c r="Y378" s="119" t="n">
        <x:f>IF(1&gt;D378,0,ROUND(('难度参数'!$E$13*POWER(A378,'难度参数'!$E$20)*MIN('难度参数'!$E$23,1+MAX(0,A378-'难度参数'!$E$21)*'难度参数'!$E$22))*(36+1*7)/(36+7*(D378+1)/2)*E378,0))</x:f>
        <x:v>6433</x:v>
      </x:c>
      <x:c r="Z378" s="119" t="n">
        <x:f>IF(X378=0,0,(X378-IF(1=D378,1,0))*ROUND(Y378*VLOOKUP(INDEX('章节与怪物'!$E$31:$K$37,B378,1),'章节与怪物'!$A$41:$F$44,2,FALSE),0)+IF(1=D378,ROUND(Y378*'难度参数'!$E$28*'章节与怪物'!$E$17,0),0))</x:f>
        <x:v>205856</x:v>
      </x:c>
      <x:c r="AA378" s="119" t="n">
        <x:f>IF(X378=0,0,(X378-IF(1=D378,1,0))*VLOOKUP(INDEX('章节与怪物'!$E$31:$K$37,B378,1),'章节与怪物'!$A$41:$F$44,4,FALSE)+IF(1=D378,'难度参数'!$E$30,0))</x:f>
        <x:v>576</x:v>
      </x:c>
      <x:c r="AB378" s="119" t="n">
        <x:f>IF(2&gt;D378,0,MAX(2,MIN('难度参数'!$E$12,ROUND(('难度参数'!$E$18*POWER(A378,'难度参数'!$E$19)/D378*(0.85+0.3*(2-1)/MAX(1,D378-1))),0)+F378)))</x:f>
        <x:v>34</x:v>
      </x:c>
      <x:c r="AC378" s="119" t="n">
        <x:f>IF(2&gt;D378,0,ROUND(('难度参数'!$E$13*POWER(A378,'难度参数'!$E$20)*MIN('难度参数'!$E$23,1+MAX(0,A378-'难度参数'!$E$21)*'难度参数'!$E$22))*(36+2*7)/(36+7*(D378+1)/2)*E378,0))</x:f>
        <x:v>7480</x:v>
      </x:c>
      <x:c r="AD378" s="119" t="n">
        <x:f>IF(AB378=0,0,(AB378-IF(2=D378,1,0))*ROUND(AC378*VLOOKUP(INDEX('章节与怪物'!$E$31:$K$37,B378,2),'章节与怪物'!$A$41:$F$44,2,FALSE),0)+IF(2=D378,ROUND(AC378*'难度参数'!$E$28*'章节与怪物'!$E$17,0),0))</x:f>
        <x:v>183124</x:v>
      </x:c>
      <x:c r="AE378" s="119" t="n">
        <x:f>IF(AB378=0,0,(AB378-IF(2=D378,1,0))*VLOOKUP(INDEX('章节与怪物'!$E$31:$K$37,B378,2),'章节与怪物'!$A$41:$F$44,4,FALSE)+IF(2=D378,'难度参数'!$E$30,0))</x:f>
        <x:v>680</x:v>
      </x:c>
      <x:c r="AF378" s="119" t="n">
        <x:f>IF(3&gt;D378,0,MAX(2,MIN('难度参数'!$E$12,ROUND(('难度参数'!$E$18*POWER(A378,'难度参数'!$E$19)/D378*(0.85+0.3*(3-1)/MAX(1,D378-1))),0)+F378)))</x:f>
        <x:v>36</x:v>
      </x:c>
      <x:c r="AG378" s="119" t="n">
        <x:f>IF(3&gt;D378,0,ROUND(('难度参数'!$E$13*POWER(A378,'难度参数'!$E$20)*MIN('难度参数'!$E$23,1+MAX(0,A378-'难度参数'!$E$21)*'难度参数'!$E$22))*(36+3*7)/(36+7*(D378+1)/2)*E378,0))</x:f>
        <x:v>8527</x:v>
      </x:c>
      <x:c r="AH378" s="119" t="n">
        <x:f>IF(AF378=0,0,(AF378-IF(3=D378,1,0))*ROUND(AG378*VLOOKUP(INDEX('章节与怪物'!$E$31:$K$37,B378,3),'章节与怪物'!$A$41:$F$44,2,FALSE),0)+IF(3=D378,ROUND(AG378*'难度参数'!$E$28*'章节与怪物'!$E$17,0),0))</x:f>
        <x:v>521856</x:v>
      </x:c>
      <x:c r="AI378" s="119" t="n">
        <x:f>IF(AF378=0,0,(AF378-IF(3=D378,1,0))*VLOOKUP(INDEX('章节与怪物'!$E$31:$K$37,B378,3),'章节与怪物'!$A$41:$F$44,4,FALSE)+IF(3=D378,'难度参数'!$E$30,0))</x:f>
        <x:v>1008</x:v>
      </x:c>
      <x:c r="AJ378" s="119" t="n">
        <x:f>IF(4&gt;D378,0,MAX(2,MIN('难度参数'!$E$12,ROUND(('难度参数'!$E$18*POWER(A378,'难度参数'!$E$19)/D378*(0.85+0.3*(4-1)/MAX(1,D378-1))),0)+F378)))</x:f>
        <x:v>37</x:v>
      </x:c>
      <x:c r="AK378" s="119" t="n">
        <x:f>IF(4&gt;D378,0,ROUND(('难度参数'!$E$13*POWER(A378,'难度参数'!$E$20)*MIN('难度参数'!$E$23,1+MAX(0,A378-'难度参数'!$E$21)*'难度参数'!$E$22))*(36+4*7)/(36+7*(D378+1)/2)*E378,0))</x:f>
        <x:v>9575</x:v>
      </x:c>
      <x:c r="AL378" s="119" t="n">
        <x:f>IF(AJ378=0,0,(AJ378-IF(4=D378,1,0))*ROUND(AK378*VLOOKUP(INDEX('章节与怪物'!$E$31:$K$37,B378,4),'章节与怪物'!$A$41:$F$44,2,FALSE),0)+IF(4=D378,ROUND(AK378*'难度参数'!$E$28*'章节与怪物'!$E$17,0),0))</x:f>
        <x:v>478262</x:v>
      </x:c>
      <x:c r="AM378" s="119" t="n">
        <x:f>IF(AJ378=0,0,(AJ378-IF(4=D378,1,0))*VLOOKUP(INDEX('章节与怪物'!$E$31:$K$37,B378,4),'章节与怪物'!$A$41:$F$44,4,FALSE)+IF(4=D378,'难度参数'!$E$30,0))</x:f>
        <x:v>1258</x:v>
      </x:c>
      <x:c r="AN378" s="119" t="n">
        <x:f>IF(5&gt;D378,0,MAX(2,MIN('难度参数'!$E$12,ROUND(('难度参数'!$E$18*POWER(A378,'难度参数'!$E$19)/D378*(0.85+0.3*(5-1)/MAX(1,D378-1))),0)+F378)))</x:f>
        <x:v>39</x:v>
      </x:c>
      <x:c r="AO378" s="119" t="n">
        <x:f>IF(5&gt;D378,0,ROUND(('难度参数'!$E$13*POWER(A378,'难度参数'!$E$20)*MIN('难度参数'!$E$23,1+MAX(0,A378-'难度参数'!$E$21)*'难度参数'!$E$22))*(36+5*7)/(36+7*(D378+1)/2)*E378,0))</x:f>
        <x:v>10622</x:v>
      </x:c>
      <x:c r="AP378" s="119" t="n">
        <x:f>IF(AN378=0,0,(AN378-IF(5=D378,1,0))*ROUND(AO378*VLOOKUP(INDEX('章节与怪物'!$E$31:$K$37,B378,5),'章节与怪物'!$A$41:$F$44,2,FALSE),0)+IF(5=D378,ROUND(AO378*'难度参数'!$E$28*'章节与怪物'!$E$17,0),0))</x:f>
        <x:v>298272</x:v>
      </x:c>
      <x:c r="AQ378" s="119" t="n">
        <x:f>IF(AN378=0,0,(AN378-IF(5=D378,1,0))*VLOOKUP(INDEX('章节与怪物'!$E$31:$K$37,B378,5),'章节与怪物'!$A$41:$F$44,4,FALSE)+IF(5=D378,'难度参数'!$E$30,0))</x:f>
        <x:v>780</x:v>
      </x:c>
      <x:c r="AR378" s="119" t="n">
        <x:f>IF(6&gt;D378,0,MAX(2,MIN('难度参数'!$E$12,ROUND(('难度参数'!$E$18*POWER(A378,'难度参数'!$E$19)/D378*(0.85+0.3*(6-1)/MAX(1,D378-1))),0)+F378)))</x:f>
        <x:v>41</x:v>
      </x:c>
      <x:c r="AS378" s="119" t="n">
        <x:f>IF(6&gt;D378,0,ROUND(('难度参数'!$E$13*POWER(A378,'难度参数'!$E$20)*MIN('难度参数'!$E$23,1+MAX(0,A378-'难度参数'!$E$21)*'难度参数'!$E$22))*(36+6*7)/(36+7*(D378+1)/2)*E378,0))</x:f>
        <x:v>11669</x:v>
      </x:c>
      <x:c r="AT378" s="119" t="n">
        <x:f>IF(AR378=0,0,(AR378-IF(6=D378,1,0))*ROUND(AS378*VLOOKUP(INDEX('章节与怪物'!$E$31:$K$37,B378,6),'章节与怪物'!$A$41:$F$44,2,FALSE),0)+IF(6=D378,ROUND(AS378*'难度参数'!$E$28*'章节与怪物'!$E$17,0),0))</x:f>
        <x:v>813317</x:v>
      </x:c>
      <x:c r="AU378" s="119" t="n">
        <x:f>IF(AR378=0,0,(AR378-IF(6=D378,1,0))*VLOOKUP(INDEX('章节与怪物'!$E$31:$K$37,B378,6),'章节与怪物'!$A$41:$F$44,4,FALSE)+IF(6=D378,'难度参数'!$E$30,0))</x:f>
        <x:v>1148</x:v>
      </x:c>
      <x:c r="AV378" s="119" t="n">
        <x:f>IF(7&gt;D378,0,MAX(2,MIN('难度参数'!$E$12,ROUND(('难度参数'!$E$18*POWER(A378,'难度参数'!$E$19)/D378*(0.85+0.3*(7-1)/MAX(1,D378-1))),0)+F378)))</x:f>
        <x:v>43</x:v>
      </x:c>
      <x:c r="AW378" s="119" t="n">
        <x:f>IF(7&gt;D378,0,ROUND(('难度参数'!$E$13*POWER(A378,'难度参数'!$E$20)*MIN('难度参数'!$E$23,1+MAX(0,A378-'难度参数'!$E$21)*'难度参数'!$E$22))*(36+7*7)/(36+7*(D378+1)/2)*E378,0))</x:f>
        <x:v>12716</x:v>
      </x:c>
      <x:c r="AX378" s="119" t="n">
        <x:f>IF(AV378=0,0,(AV378-IF(7=D378,1,0))*ROUND(AW378*VLOOKUP(INDEX('章节与怪物'!$E$31:$K$37,B378,7),'章节与怪物'!$A$41:$F$44,2,FALSE),0)+IF(7=D378,ROUND(AW378*'难度参数'!$E$28*'章节与怪物'!$E$17,0),0))</x:f>
        <x:v>807483</x:v>
      </x:c>
      <x:c r="AY378" s="119" t="n">
        <x:f>IF(AV378=0,0,(AV378-IF(7=D378,1,0))*VLOOKUP(INDEX('章节与怪物'!$E$31:$K$37,B378,7),'章节与怪物'!$A$41:$F$44,4,FALSE)+IF(7=D378,'难度参数'!$E$30,0))</x:f>
        <x:v>1628</x:v>
      </x:c>
    </x:row>
    <x:row r="379" ht="23" customHeight="1">
      <x:c r="A379" s="119" t="n">
        <x:v>373</x:v>
      </x:c>
      <x:c r="B379" s="119" t="n">
        <x:f>MOD(INT((A379-1)/5),7)+1</x:f>
        <x:v>5</x:v>
      </x:c>
      <x:c r="C379" s="62" t="str">
        <x:f>INDEX('章节与怪物'!$B$31:$B$37,B379)</x:f>
        <x:v>雨林遗迹</x:v>
      </x:c>
      <x:c r="D379" s="119" t="n">
        <x:f>MIN('难度参数'!$E$8,MAX('难度参数'!$E$7,A379))</x:f>
        <x:v>7</x:v>
      </x:c>
      <x:c r="E379" s="106" t="n">
        <x:v>1</x:v>
      </x:c>
      <x:c r="F379" s="106" t="n">
        <x:v>0</x:v>
      </x:c>
      <x:c r="G379" s="106" t="n">
        <x:v>1</x:v>
      </x:c>
      <x:c r="H379" s="119" t="n">
        <x:f>SUM(X379,AB379,AF379,AJ379,AN379,AR379,AV379)</x:f>
        <x:v>262</x:v>
      </x:c>
      <x:c r="I379" s="119" t="n">
        <x:f>SUM(Z379,AD379,AH379,AL379,AP379,AT379,AX379)</x:f>
        <x:v>3314564</x:v>
      </x:c>
      <x:c r="J379" s="119" t="n">
        <x:f>ROUND(INDEX(X379:AY379,1,(D379-1)*4+2)*'难度参数'!$E$28*'章节与怪物'!$E$17,0)</x:f>
        <x:v>86639</x:v>
      </x:c>
      <x:c r="K379" s="119" t="n">
        <x:f>SUM(AA379,AE379,AI379,AM379,AQ379,AU379,AY379)</x:f>
        <x:v>7078</x:v>
      </x:c>
      <x:c r="L379" s="62" t="n">
        <x:f>H379*(ROUNDUP('难度参数'!$E$24/('难度参数'!$E$26*'难度参数'!$E$27),0)*'难度参数'!$E$26)/60</x:f>
        <x:v>3.4933333333333336</x:v>
      </x:c>
      <x:c r="M379" s="62" t="n">
        <x:f>L379+D379*('难度参数'!$E$49+'难度参数'!$E$50)/60</x:f>
        <x:v>4.66</x:v>
      </x:c>
      <x:c r="N379" s="119" t="n">
        <x:f>ROUNDDOWN(('经济参数'!$E$20+A379*'经济参数'!$E$21)*G379,0)</x:f>
        <x:v>7640</x:v>
      </x:c>
      <x:c r="O379" s="119" t="n">
        <x:f>ROUNDDOWN(MIN('经济参数'!$E$24,'经济参数'!$E$22+A379*'经济参数'!$E$23)*G379,0)</x:f>
        <x:v>0</x:v>
      </x:c>
      <x:c r="P379" s="119" t="n">
        <x:f>ROUNDDOWN((IF(A379&gt;='材料与任务'!$E$31,'材料与任务'!$E$32,IF(A379&gt;='材料与任务'!$E$25,'材料与任务'!$E$26,IF(A379&gt;='材料与任务'!$E$19,'材料与任务'!$E$20,IF(A379&gt;='材料与任务'!$E$13,'材料与任务'!$E$14,'材料与任务'!$E$8)))))*G379,0)</x:f>
        <x:v>6</x:v>
      </x:c>
      <x:c r="Q379" s="119" t="n">
        <x:f>ROUNDDOWN((IF(A379&gt;='材料与任务'!$E$31,'材料与任务'!$E$33,IF(A379&gt;='材料与任务'!$E$25,'材料与任务'!$E$27,IF(A379&gt;='材料与任务'!$E$19,'材料与任务'!$E$21,IF(A379&gt;='材料与任务'!$E$13,'材料与任务'!$E$15,'材料与任务'!$E$9)))))*G379,0)</x:f>
        <x:v>3</x:v>
      </x:c>
      <x:c r="R379" s="110" t="n">
        <x:f>'装备掉落'!$B$38</x:f>
        <x:v>0.6872058758851213</x:v>
      </x:c>
      <x:c r="S379" s="119" t="n">
        <x:f>MAX(IF(VLOOKUP(A379,'装备掉落'!$A$29:$H$34,2,TRUE)&gt;0,1,0),IF(VLOOKUP(A379,'装备掉落'!$A$29:$H$34,3,TRUE)&gt;0,2,0),IF(VLOOKUP(A379,'装备掉落'!$A$29:$H$34,4,TRUE)&gt;0,3,0),IF(VLOOKUP(A379,'装备掉落'!$A$29:$H$34,5,TRUE)&gt;0,4,0),IF(VLOOKUP(A379,'装备掉落'!$A$29:$H$34,6,TRUE)&gt;0,5,0),IF(VLOOKUP(A379,'装备掉落'!$A$29:$H$34,7,TRUE)&gt;0,6,0),IF(VLOOKUP(A379,'装备掉落'!$A$29:$H$34,8,TRUE)&gt;0,7,0))</x:f>
        <x:v>7</x:v>
      </x:c>
      <x:c r="T379" s="119" t="n">
        <x:f>MIN(7,S379+'经济参数'!$E$70)</x:f>
        <x:v>7</x:v>
      </x:c>
      <x:c r="U379" s="119" t="n">
        <x:f>MIN(7,S379+'经济参数'!$E$71)</x:f>
        <x:v>7</x:v>
      </x:c>
      <x:c r="V379" s="119" t="n">
        <x:f>IF(H379&gt;=('难度参数'!$E$52),1,0)+IF(H379&gt;=('难度参数'!$E$52+'难度参数'!$E$53),1,0)+IF(H379&gt;=('难度参数'!$E$52+'难度参数'!$E$53+'难度参数'!$E$54),1,0)+IF(H379&gt;=('难度参数'!$E$52+'难度参数'!$E$53+'难度参数'!$E$54+'难度参数'!$E$55),1,0)+IF(H379&gt;=('难度参数'!$E$52+'难度参数'!$E$53+'难度参数'!$E$54+'难度参数'!$E$55+'难度参数'!$E$56),1,0)+IF(H379&gt;=('难度参数'!$E$52+'难度参数'!$E$53+'难度参数'!$E$54+'难度参数'!$E$55+'难度参数'!$E$56+'难度参数'!$E$57),1,0)</x:f>
        <x:v>6</x:v>
      </x:c>
      <x:c r="W379" s="62" t="str">
        <x:f>IF(L379&gt;'难度参数'!$E$51,"仅出怪已超目标","还需实测")</x:f>
        <x:v>仅出怪已超目标</x:v>
      </x:c>
      <x:c r="X379" s="119" t="n">
        <x:f>IF(1&gt;D379,0,MAX(2,MIN('难度参数'!$E$12,ROUND(('难度参数'!$E$18*POWER(A379,'难度参数'!$E$19)/D379*(0.85+0.3*(1-1)/MAX(1,D379-1))),0)+F379)))</x:f>
        <x:v>32</x:v>
      </x:c>
      <x:c r="Y379" s="119" t="n">
        <x:f>IF(1&gt;D379,0,ROUND(('难度参数'!$E$13*POWER(A379,'难度参数'!$E$20)*MIN('难度参数'!$E$23,1+MAX(0,A379-'难度参数'!$E$21)*'难度参数'!$E$22))*(36+1*7)/(36+7*(D379+1)/2)*E379,0))</x:f>
        <x:v>6445</x:v>
      </x:c>
      <x:c r="Z379" s="119" t="n">
        <x:f>IF(X379=0,0,(X379-IF(1=D379,1,0))*ROUND(Y379*VLOOKUP(INDEX('章节与怪物'!$E$31:$K$37,B379,1),'章节与怪物'!$A$41:$F$44,2,FALSE),0)+IF(1=D379,ROUND(Y379*'难度参数'!$E$28*'章节与怪物'!$E$17,0),0))</x:f>
        <x:v>206240</x:v>
      </x:c>
      <x:c r="AA379" s="119" t="n">
        <x:f>IF(X379=0,0,(X379-IF(1=D379,1,0))*VLOOKUP(INDEX('章节与怪物'!$E$31:$K$37,B379,1),'章节与怪物'!$A$41:$F$44,4,FALSE)+IF(1=D379,'难度参数'!$E$30,0))</x:f>
        <x:v>576</x:v>
      </x:c>
      <x:c r="AB379" s="119" t="n">
        <x:f>IF(2&gt;D379,0,MAX(2,MIN('难度参数'!$E$12,ROUND(('难度参数'!$E$18*POWER(A379,'难度参数'!$E$19)/D379*(0.85+0.3*(2-1)/MAX(1,D379-1))),0)+F379)))</x:f>
        <x:v>34</x:v>
      </x:c>
      <x:c r="AC379" s="119" t="n">
        <x:f>IF(2&gt;D379,0,ROUND(('难度参数'!$E$13*POWER(A379,'难度参数'!$E$20)*MIN('难度参数'!$E$23,1+MAX(0,A379-'难度参数'!$E$21)*'难度参数'!$E$22))*(36+2*7)/(36+7*(D379+1)/2)*E379,0))</x:f>
        <x:v>7495</x:v>
      </x:c>
      <x:c r="AD379" s="119" t="n">
        <x:f>IF(AB379=0,0,(AB379-IF(2=D379,1,0))*ROUND(AC379*VLOOKUP(INDEX('章节与怪物'!$E$31:$K$37,B379,2),'章节与怪物'!$A$41:$F$44,2,FALSE),0)+IF(2=D379,ROUND(AC379*'难度参数'!$E$28*'章节与怪物'!$E$17,0),0))</x:f>
        <x:v>183464</x:v>
      </x:c>
      <x:c r="AE379" s="119" t="n">
        <x:f>IF(AB379=0,0,(AB379-IF(2=D379,1,0))*VLOOKUP(INDEX('章节与怪物'!$E$31:$K$37,B379,2),'章节与怪物'!$A$41:$F$44,4,FALSE)+IF(2=D379,'难度参数'!$E$30,0))</x:f>
        <x:v>680</x:v>
      </x:c>
      <x:c r="AF379" s="119" t="n">
        <x:f>IF(3&gt;D379,0,MAX(2,MIN('难度参数'!$E$12,ROUND(('难度参数'!$E$18*POWER(A379,'难度参数'!$E$19)/D379*(0.85+0.3*(3-1)/MAX(1,D379-1))),0)+F379)))</x:f>
        <x:v>36</x:v>
      </x:c>
      <x:c r="AG379" s="119" t="n">
        <x:f>IF(3&gt;D379,0,ROUND(('难度参数'!$E$13*POWER(A379,'难度参数'!$E$20)*MIN('难度参数'!$E$23,1+MAX(0,A379-'难度参数'!$E$21)*'难度参数'!$E$22))*(36+3*7)/(36+7*(D379+1)/2)*E379,0))</x:f>
        <x:v>8544</x:v>
      </x:c>
      <x:c r="AH379" s="119" t="n">
        <x:f>IF(AF379=0,0,(AF379-IF(3=D379,1,0))*ROUND(AG379*VLOOKUP(INDEX('章节与怪物'!$E$31:$K$37,B379,3),'章节与怪物'!$A$41:$F$44,2,FALSE),0)+IF(3=D379,ROUND(AG379*'难度参数'!$E$28*'章节与怪物'!$E$17,0),0))</x:f>
        <x:v>522900</x:v>
      </x:c>
      <x:c r="AI379" s="119" t="n">
        <x:f>IF(AF379=0,0,(AF379-IF(3=D379,1,0))*VLOOKUP(INDEX('章节与怪物'!$E$31:$K$37,B379,3),'章节与怪物'!$A$41:$F$44,4,FALSE)+IF(3=D379,'难度参数'!$E$30,0))</x:f>
        <x:v>1008</x:v>
      </x:c>
      <x:c r="AJ379" s="119" t="n">
        <x:f>IF(4&gt;D379,0,MAX(2,MIN('难度参数'!$E$12,ROUND(('难度参数'!$E$18*POWER(A379,'难度参数'!$E$19)/D379*(0.85+0.3*(4-1)/MAX(1,D379-1))),0)+F379)))</x:f>
        <x:v>37</x:v>
      </x:c>
      <x:c r="AK379" s="119" t="n">
        <x:f>IF(4&gt;D379,0,ROUND(('难度参数'!$E$13*POWER(A379,'难度参数'!$E$20)*MIN('难度参数'!$E$23,1+MAX(0,A379-'难度参数'!$E$21)*'难度参数'!$E$22))*(36+4*7)/(36+7*(D379+1)/2)*E379,0))</x:f>
        <x:v>9593</x:v>
      </x:c>
      <x:c r="AL379" s="119" t="n">
        <x:f>IF(AJ379=0,0,(AJ379-IF(4=D379,1,0))*ROUND(AK379*VLOOKUP(INDEX('章节与怪物'!$E$31:$K$37,B379,4),'章节与怪物'!$A$41:$F$44,2,FALSE),0)+IF(4=D379,ROUND(AK379*'难度参数'!$E$28*'章节与怪物'!$E$17,0),0))</x:f>
        <x:v>479187</x:v>
      </x:c>
      <x:c r="AM379" s="119" t="n">
        <x:f>IF(AJ379=0,0,(AJ379-IF(4=D379,1,0))*VLOOKUP(INDEX('章节与怪物'!$E$31:$K$37,B379,4),'章节与怪物'!$A$41:$F$44,4,FALSE)+IF(4=D379,'难度参数'!$E$30,0))</x:f>
        <x:v>1258</x:v>
      </x:c>
      <x:c r="AN379" s="119" t="n">
        <x:f>IF(5&gt;D379,0,MAX(2,MIN('难度参数'!$E$12,ROUND(('难度参数'!$E$18*POWER(A379,'难度参数'!$E$19)/D379*(0.85+0.3*(5-1)/MAX(1,D379-1))),0)+F379)))</x:f>
        <x:v>39</x:v>
      </x:c>
      <x:c r="AO379" s="119" t="n">
        <x:f>IF(5&gt;D379,0,ROUND(('难度参数'!$E$13*POWER(A379,'难度参数'!$E$20)*MIN('难度参数'!$E$23,1+MAX(0,A379-'难度参数'!$E$21)*'难度参数'!$E$22))*(36+5*7)/(36+7*(D379+1)/2)*E379,0))</x:f>
        <x:v>10642</x:v>
      </x:c>
      <x:c r="AP379" s="119" t="n">
        <x:f>IF(AN379=0,0,(AN379-IF(5=D379,1,0))*ROUND(AO379*VLOOKUP(INDEX('章节与怪物'!$E$31:$K$37,B379,5),'章节与怪物'!$A$41:$F$44,2,FALSE),0)+IF(5=D379,ROUND(AO379*'难度参数'!$E$28*'章节与怪物'!$E$17,0),0))</x:f>
        <x:v>298818</x:v>
      </x:c>
      <x:c r="AQ379" s="119" t="n">
        <x:f>IF(AN379=0,0,(AN379-IF(5=D379,1,0))*VLOOKUP(INDEX('章节与怪物'!$E$31:$K$37,B379,5),'章节与怪物'!$A$41:$F$44,4,FALSE)+IF(5=D379,'难度参数'!$E$30,0))</x:f>
        <x:v>780</x:v>
      </x:c>
      <x:c r="AR379" s="119" t="n">
        <x:f>IF(6&gt;D379,0,MAX(2,MIN('难度参数'!$E$12,ROUND(('难度参数'!$E$18*POWER(A379,'难度参数'!$E$19)/D379*(0.85+0.3*(6-1)/MAX(1,D379-1))),0)+F379)))</x:f>
        <x:v>41</x:v>
      </x:c>
      <x:c r="AS379" s="119" t="n">
        <x:f>IF(6&gt;D379,0,ROUND(('难度参数'!$E$13*POWER(A379,'难度参数'!$E$20)*MIN('难度参数'!$E$23,1+MAX(0,A379-'难度参数'!$E$21)*'难度参数'!$E$22))*(36+6*7)/(36+7*(D379+1)/2)*E379,0))</x:f>
        <x:v>11692</x:v>
      </x:c>
      <x:c r="AT379" s="119" t="n">
        <x:f>IF(AR379=0,0,(AR379-IF(6=D379,1,0))*ROUND(AS379*VLOOKUP(INDEX('章节与怪物'!$E$31:$K$37,B379,6),'章节与怪物'!$A$41:$F$44,2,FALSE),0)+IF(6=D379,ROUND(AS379*'难度参数'!$E$28*'章节与怪物'!$E$17,0),0))</x:f>
        <x:v>814916</x:v>
      </x:c>
      <x:c r="AU379" s="119" t="n">
        <x:f>IF(AR379=0,0,(AR379-IF(6=D379,1,0))*VLOOKUP(INDEX('章节与怪物'!$E$31:$K$37,B379,6),'章节与怪物'!$A$41:$F$44,4,FALSE)+IF(6=D379,'难度参数'!$E$30,0))</x:f>
        <x:v>1148</x:v>
      </x:c>
      <x:c r="AV379" s="119" t="n">
        <x:f>IF(7&gt;D379,0,MAX(2,MIN('难度参数'!$E$12,ROUND(('难度参数'!$E$18*POWER(A379,'难度参数'!$E$19)/D379*(0.85+0.3*(7-1)/MAX(1,D379-1))),0)+F379)))</x:f>
        <x:v>43</x:v>
      </x:c>
      <x:c r="AW379" s="119" t="n">
        <x:f>IF(7&gt;D379,0,ROUND(('难度参数'!$E$13*POWER(A379,'难度参数'!$E$20)*MIN('难度参数'!$E$23,1+MAX(0,A379-'难度参数'!$E$21)*'难度参数'!$E$22))*(36+7*7)/(36+7*(D379+1)/2)*E379,0))</x:f>
        <x:v>12741</x:v>
      </x:c>
      <x:c r="AX379" s="119" t="n">
        <x:f>IF(AV379=0,0,(AV379-IF(7=D379,1,0))*ROUND(AW379*VLOOKUP(INDEX('章节与怪物'!$E$31:$K$37,B379,7),'章节与怪物'!$A$41:$F$44,2,FALSE),0)+IF(7=D379,ROUND(AW379*'难度参数'!$E$28*'章节与怪物'!$E$17,0),0))</x:f>
        <x:v>809039</x:v>
      </x:c>
      <x:c r="AY379" s="119" t="n">
        <x:f>IF(AV379=0,0,(AV379-IF(7=D379,1,0))*VLOOKUP(INDEX('章节与怪物'!$E$31:$K$37,B379,7),'章节与怪物'!$A$41:$F$44,4,FALSE)+IF(7=D379,'难度参数'!$E$30,0))</x:f>
        <x:v>1628</x:v>
      </x:c>
    </x:row>
    <x:row r="380" ht="23" customHeight="1">
      <x:c r="A380" s="119" t="n">
        <x:v>374</x:v>
      </x:c>
      <x:c r="B380" s="119" t="n">
        <x:f>MOD(INT((A380-1)/5),7)+1</x:f>
        <x:v>5</x:v>
      </x:c>
      <x:c r="C380" s="62" t="str">
        <x:f>INDEX('章节与怪物'!$B$31:$B$37,B380)</x:f>
        <x:v>雨林遗迹</x:v>
      </x:c>
      <x:c r="D380" s="119" t="n">
        <x:f>MIN('难度参数'!$E$8,MAX('难度参数'!$E$7,A380))</x:f>
        <x:v>7</x:v>
      </x:c>
      <x:c r="E380" s="106" t="n">
        <x:v>1</x:v>
      </x:c>
      <x:c r="F380" s="106" t="n">
        <x:v>0</x:v>
      </x:c>
      <x:c r="G380" s="106" t="n">
        <x:v>1</x:v>
      </x:c>
      <x:c r="H380" s="119" t="n">
        <x:f>SUM(X380,AB380,AF380,AJ380,AN380,AR380,AV380)</x:f>
        <x:v>262</x:v>
      </x:c>
      <x:c r="I380" s="119" t="n">
        <x:f>SUM(Z380,AD380,AH380,AL380,AP380,AT380,AX380)</x:f>
        <x:v>3320958</x:v>
      </x:c>
      <x:c r="J380" s="119" t="n">
        <x:f>ROUND(INDEX(X380:AY380,1,(D380-1)*4+2)*'难度参数'!$E$28*'章节与怪物'!$E$17,0)</x:f>
        <x:v>86809</x:v>
      </x:c>
      <x:c r="K380" s="119" t="n">
        <x:f>SUM(AA380,AE380,AI380,AM380,AQ380,AU380,AY380)</x:f>
        <x:v>7078</x:v>
      </x:c>
      <x:c r="L380" s="62" t="n">
        <x:f>H380*(ROUNDUP('难度参数'!$E$24/('难度参数'!$E$26*'难度参数'!$E$27),0)*'难度参数'!$E$26)/60</x:f>
        <x:v>3.4933333333333336</x:v>
      </x:c>
      <x:c r="M380" s="62" t="n">
        <x:f>L380+D380*('难度参数'!$E$49+'难度参数'!$E$50)/60</x:f>
        <x:v>4.66</x:v>
      </x:c>
      <x:c r="N380" s="119" t="n">
        <x:f>ROUNDDOWN(('经济参数'!$E$20+A380*'经济参数'!$E$21)*G380,0)</x:f>
        <x:v>7660</x:v>
      </x:c>
      <x:c r="O380" s="119" t="n">
        <x:f>ROUNDDOWN(MIN('经济参数'!$E$24,'经济参数'!$E$22+A380*'经济参数'!$E$23)*G380,0)</x:f>
        <x:v>0</x:v>
      </x:c>
      <x:c r="P380" s="119" t="n">
        <x:f>ROUNDDOWN((IF(A380&gt;='材料与任务'!$E$31,'材料与任务'!$E$32,IF(A380&gt;='材料与任务'!$E$25,'材料与任务'!$E$26,IF(A380&gt;='材料与任务'!$E$19,'材料与任务'!$E$20,IF(A380&gt;='材料与任务'!$E$13,'材料与任务'!$E$14,'材料与任务'!$E$8)))))*G380,0)</x:f>
        <x:v>6</x:v>
      </x:c>
      <x:c r="Q380" s="119" t="n">
        <x:f>ROUNDDOWN((IF(A380&gt;='材料与任务'!$E$31,'材料与任务'!$E$33,IF(A380&gt;='材料与任务'!$E$25,'材料与任务'!$E$27,IF(A380&gt;='材料与任务'!$E$19,'材料与任务'!$E$21,IF(A380&gt;='材料与任务'!$E$13,'材料与任务'!$E$15,'材料与任务'!$E$9)))))*G380,0)</x:f>
        <x:v>3</x:v>
      </x:c>
      <x:c r="R380" s="110" t="n">
        <x:f>'装备掉落'!$B$38</x:f>
        <x:v>0.6872058758851213</x:v>
      </x:c>
      <x:c r="S380" s="119" t="n">
        <x:f>MAX(IF(VLOOKUP(A380,'装备掉落'!$A$29:$H$34,2,TRUE)&gt;0,1,0),IF(VLOOKUP(A380,'装备掉落'!$A$29:$H$34,3,TRUE)&gt;0,2,0),IF(VLOOKUP(A380,'装备掉落'!$A$29:$H$34,4,TRUE)&gt;0,3,0),IF(VLOOKUP(A380,'装备掉落'!$A$29:$H$34,5,TRUE)&gt;0,4,0),IF(VLOOKUP(A380,'装备掉落'!$A$29:$H$34,6,TRUE)&gt;0,5,0),IF(VLOOKUP(A380,'装备掉落'!$A$29:$H$34,7,TRUE)&gt;0,6,0),IF(VLOOKUP(A380,'装备掉落'!$A$29:$H$34,8,TRUE)&gt;0,7,0))</x:f>
        <x:v>7</x:v>
      </x:c>
      <x:c r="T380" s="119" t="n">
        <x:f>MIN(7,S380+'经济参数'!$E$70)</x:f>
        <x:v>7</x:v>
      </x:c>
      <x:c r="U380" s="119" t="n">
        <x:f>MIN(7,S380+'经济参数'!$E$71)</x:f>
        <x:v>7</x:v>
      </x:c>
      <x:c r="V380" s="119" t="n">
        <x:f>IF(H380&gt;=('难度参数'!$E$52),1,0)+IF(H380&gt;=('难度参数'!$E$52+'难度参数'!$E$53),1,0)+IF(H380&gt;=('难度参数'!$E$52+'难度参数'!$E$53+'难度参数'!$E$54),1,0)+IF(H380&gt;=('难度参数'!$E$52+'难度参数'!$E$53+'难度参数'!$E$54+'难度参数'!$E$55),1,0)+IF(H380&gt;=('难度参数'!$E$52+'难度参数'!$E$53+'难度参数'!$E$54+'难度参数'!$E$55+'难度参数'!$E$56),1,0)+IF(H380&gt;=('难度参数'!$E$52+'难度参数'!$E$53+'难度参数'!$E$54+'难度参数'!$E$55+'难度参数'!$E$56+'难度参数'!$E$57),1,0)</x:f>
        <x:v>6</x:v>
      </x:c>
      <x:c r="W380" s="62" t="str">
        <x:f>IF(L380&gt;'难度参数'!$E$51,"仅出怪已超目标","还需实测")</x:f>
        <x:v>仅出怪已超目标</x:v>
      </x:c>
      <x:c r="X380" s="119" t="n">
        <x:f>IF(1&gt;D380,0,MAX(2,MIN('难度参数'!$E$12,ROUND(('难度参数'!$E$18*POWER(A380,'难度参数'!$E$19)/D380*(0.85+0.3*(1-1)/MAX(1,D380-1))),0)+F380)))</x:f>
        <x:v>32</x:v>
      </x:c>
      <x:c r="Y380" s="119" t="n">
        <x:f>IF(1&gt;D380,0,ROUND(('难度参数'!$E$13*POWER(A380,'难度参数'!$E$20)*MIN('难度参数'!$E$23,1+MAX(0,A380-'难度参数'!$E$21)*'难度参数'!$E$22))*(36+1*7)/(36+7*(D380+1)/2)*E380,0))</x:f>
        <x:v>6458</x:v>
      </x:c>
      <x:c r="Z380" s="119" t="n">
        <x:f>IF(X380=0,0,(X380-IF(1=D380,1,0))*ROUND(Y380*VLOOKUP(INDEX('章节与怪物'!$E$31:$K$37,B380,1),'章节与怪物'!$A$41:$F$44,2,FALSE),0)+IF(1=D380,ROUND(Y380*'难度参数'!$E$28*'章节与怪物'!$E$17,0),0))</x:f>
        <x:v>206656</x:v>
      </x:c>
      <x:c r="AA380" s="119" t="n">
        <x:f>IF(X380=0,0,(X380-IF(1=D380,1,0))*VLOOKUP(INDEX('章节与怪物'!$E$31:$K$37,B380,1),'章节与怪物'!$A$41:$F$44,4,FALSE)+IF(1=D380,'难度参数'!$E$30,0))</x:f>
        <x:v>576</x:v>
      </x:c>
      <x:c r="AB380" s="119" t="n">
        <x:f>IF(2&gt;D380,0,MAX(2,MIN('难度参数'!$E$12,ROUND(('难度参数'!$E$18*POWER(A380,'难度参数'!$E$19)/D380*(0.85+0.3*(2-1)/MAX(1,D380-1))),0)+F380)))</x:f>
        <x:v>34</x:v>
      </x:c>
      <x:c r="AC380" s="119" t="n">
        <x:f>IF(2&gt;D380,0,ROUND(('难度参数'!$E$13*POWER(A380,'难度参数'!$E$20)*MIN('难度参数'!$E$23,1+MAX(0,A380-'难度参数'!$E$21)*'难度参数'!$E$22))*(36+2*7)/(36+7*(D380+1)/2)*E380,0))</x:f>
        <x:v>7509</x:v>
      </x:c>
      <x:c r="AD380" s="119" t="n">
        <x:f>IF(AB380=0,0,(AB380-IF(2=D380,1,0))*ROUND(AC380*VLOOKUP(INDEX('章节与怪物'!$E$31:$K$37,B380,2),'章节与怪物'!$A$41:$F$44,2,FALSE),0)+IF(2=D380,ROUND(AC380*'难度参数'!$E$28*'章节与怪物'!$E$17,0),0))</x:f>
        <x:v>183804</x:v>
      </x:c>
      <x:c r="AE380" s="119" t="n">
        <x:f>IF(AB380=0,0,(AB380-IF(2=D380,1,0))*VLOOKUP(INDEX('章节与怪物'!$E$31:$K$37,B380,2),'章节与怪物'!$A$41:$F$44,4,FALSE)+IF(2=D380,'难度参数'!$E$30,0))</x:f>
        <x:v>680</x:v>
      </x:c>
      <x:c r="AF380" s="119" t="n">
        <x:f>IF(3&gt;D380,0,MAX(2,MIN('难度参数'!$E$12,ROUND(('难度参数'!$E$18*POWER(A380,'难度参数'!$E$19)/D380*(0.85+0.3*(3-1)/MAX(1,D380-1))),0)+F380)))</x:f>
        <x:v>36</x:v>
      </x:c>
      <x:c r="AG380" s="119" t="n">
        <x:f>IF(3&gt;D380,0,ROUND(('难度参数'!$E$13*POWER(A380,'难度参数'!$E$20)*MIN('难度参数'!$E$23,1+MAX(0,A380-'难度参数'!$E$21)*'难度参数'!$E$22))*(36+3*7)/(36+7*(D380+1)/2)*E380,0))</x:f>
        <x:v>8560</x:v>
      </x:c>
      <x:c r="AH380" s="119" t="n">
        <x:f>IF(AF380=0,0,(AF380-IF(3=D380,1,0))*ROUND(AG380*VLOOKUP(INDEX('章节与怪物'!$E$31:$K$37,B380,3),'章节与怪物'!$A$41:$F$44,2,FALSE),0)+IF(3=D380,ROUND(AG380*'难度参数'!$E$28*'章节与怪物'!$E$17,0),0))</x:f>
        <x:v>523872</x:v>
      </x:c>
      <x:c r="AI380" s="119" t="n">
        <x:f>IF(AF380=0,0,(AF380-IF(3=D380,1,0))*VLOOKUP(INDEX('章节与怪物'!$E$31:$K$37,B380,3),'章节与怪物'!$A$41:$F$44,4,FALSE)+IF(3=D380,'难度参数'!$E$30,0))</x:f>
        <x:v>1008</x:v>
      </x:c>
      <x:c r="AJ380" s="119" t="n">
        <x:f>IF(4&gt;D380,0,MAX(2,MIN('难度参数'!$E$12,ROUND(('难度参数'!$E$18*POWER(A380,'难度参数'!$E$19)/D380*(0.85+0.3*(4-1)/MAX(1,D380-1))),0)+F380)))</x:f>
        <x:v>37</x:v>
      </x:c>
      <x:c r="AK380" s="119" t="n">
        <x:f>IF(4&gt;D380,0,ROUND(('难度参数'!$E$13*POWER(A380,'难度参数'!$E$20)*MIN('难度参数'!$E$23,1+MAX(0,A380-'难度参数'!$E$21)*'难度参数'!$E$22))*(36+4*7)/(36+7*(D380+1)/2)*E380,0))</x:f>
        <x:v>9612</x:v>
      </x:c>
      <x:c r="AL380" s="119" t="n">
        <x:f>IF(AJ380=0,0,(AJ380-IF(4=D380,1,0))*ROUND(AK380*VLOOKUP(INDEX('章节与怪物'!$E$31:$K$37,B380,4),'章节与怪物'!$A$41:$F$44,2,FALSE),0)+IF(4=D380,ROUND(AK380*'难度参数'!$E$28*'章节与怪物'!$E$17,0),0))</x:f>
        <x:v>480112</x:v>
      </x:c>
      <x:c r="AM380" s="119" t="n">
        <x:f>IF(AJ380=0,0,(AJ380-IF(4=D380,1,0))*VLOOKUP(INDEX('章节与怪物'!$E$31:$K$37,B380,4),'章节与怪物'!$A$41:$F$44,4,FALSE)+IF(4=D380,'难度参数'!$E$30,0))</x:f>
        <x:v>1258</x:v>
      </x:c>
      <x:c r="AN380" s="119" t="n">
        <x:f>IF(5&gt;D380,0,MAX(2,MIN('难度参数'!$E$12,ROUND(('难度参数'!$E$18*POWER(A380,'难度参数'!$E$19)/D380*(0.85+0.3*(5-1)/MAX(1,D380-1))),0)+F380)))</x:f>
        <x:v>39</x:v>
      </x:c>
      <x:c r="AO380" s="119" t="n">
        <x:f>IF(5&gt;D380,0,ROUND(('难度参数'!$E$13*POWER(A380,'难度参数'!$E$20)*MIN('难度参数'!$E$23,1+MAX(0,A380-'难度参数'!$E$21)*'难度参数'!$E$22))*(36+5*7)/(36+7*(D380+1)/2)*E380,0))</x:f>
        <x:v>10663</x:v>
      </x:c>
      <x:c r="AP380" s="119" t="n">
        <x:f>IF(AN380=0,0,(AN380-IF(5=D380,1,0))*ROUND(AO380*VLOOKUP(INDEX('章节与怪物'!$E$31:$K$37,B380,5),'章节与怪物'!$A$41:$F$44,2,FALSE),0)+IF(5=D380,ROUND(AO380*'难度参数'!$E$28*'章节与怪物'!$E$17,0),0))</x:f>
        <x:v>299403</x:v>
      </x:c>
      <x:c r="AQ380" s="119" t="n">
        <x:f>IF(AN380=0,0,(AN380-IF(5=D380,1,0))*VLOOKUP(INDEX('章节与怪物'!$E$31:$K$37,B380,5),'章节与怪物'!$A$41:$F$44,4,FALSE)+IF(5=D380,'难度参数'!$E$30,0))</x:f>
        <x:v>780</x:v>
      </x:c>
      <x:c r="AR380" s="119" t="n">
        <x:f>IF(6&gt;D380,0,MAX(2,MIN('难度参数'!$E$12,ROUND(('难度参数'!$E$18*POWER(A380,'难度参数'!$E$19)/D380*(0.85+0.3*(6-1)/MAX(1,D380-1))),0)+F380)))</x:f>
        <x:v>41</x:v>
      </x:c>
      <x:c r="AS380" s="119" t="n">
        <x:f>IF(6&gt;D380,0,ROUND(('难度参数'!$E$13*POWER(A380,'难度参数'!$E$20)*MIN('难度参数'!$E$23,1+MAX(0,A380-'难度参数'!$E$21)*'难度参数'!$E$22))*(36+6*7)/(36+7*(D380+1)/2)*E380,0))</x:f>
        <x:v>11714</x:v>
      </x:c>
      <x:c r="AT380" s="119" t="n">
        <x:f>IF(AR380=0,0,(AR380-IF(6=D380,1,0))*ROUND(AS380*VLOOKUP(INDEX('章节与怪物'!$E$31:$K$37,B380,6),'章节与怪物'!$A$41:$F$44,2,FALSE),0)+IF(6=D380,ROUND(AS380*'难度参数'!$E$28*'章节与怪物'!$E$17,0),0))</x:f>
        <x:v>816474</x:v>
      </x:c>
      <x:c r="AU380" s="119" t="n">
        <x:f>IF(AR380=0,0,(AR380-IF(6=D380,1,0))*VLOOKUP(INDEX('章节与怪物'!$E$31:$K$37,B380,6),'章节与怪物'!$A$41:$F$44,4,FALSE)+IF(6=D380,'难度参数'!$E$30,0))</x:f>
        <x:v>1148</x:v>
      </x:c>
      <x:c r="AV380" s="119" t="n">
        <x:f>IF(7&gt;D380,0,MAX(2,MIN('难度参数'!$E$12,ROUND(('难度参数'!$E$18*POWER(A380,'难度参数'!$E$19)/D380*(0.85+0.3*(7-1)/MAX(1,D380-1))),0)+F380)))</x:f>
        <x:v>43</x:v>
      </x:c>
      <x:c r="AW380" s="119" t="n">
        <x:f>IF(7&gt;D380,0,ROUND(('难度参数'!$E$13*POWER(A380,'难度参数'!$E$20)*MIN('难度参数'!$E$23,1+MAX(0,A380-'难度参数'!$E$21)*'难度参数'!$E$22))*(36+7*7)/(36+7*(D380+1)/2)*E380,0))</x:f>
        <x:v>12766</x:v>
      </x:c>
      <x:c r="AX380" s="119" t="n">
        <x:f>IF(AV380=0,0,(AV380-IF(7=D380,1,0))*ROUND(AW380*VLOOKUP(INDEX('章节与怪物'!$E$31:$K$37,B380,7),'章节与怪物'!$A$41:$F$44,2,FALSE),0)+IF(7=D380,ROUND(AW380*'难度参数'!$E$28*'章节与怪物'!$E$17,0),0))</x:f>
        <x:v>810637</x:v>
      </x:c>
      <x:c r="AY380" s="119" t="n">
        <x:f>IF(AV380=0,0,(AV380-IF(7=D380,1,0))*VLOOKUP(INDEX('章节与怪物'!$E$31:$K$37,B380,7),'章节与怪物'!$A$41:$F$44,4,FALSE)+IF(7=D380,'难度参数'!$E$30,0))</x:f>
        <x:v>1628</x:v>
      </x:c>
    </x:row>
    <x:row r="381" ht="23" customHeight="1">
      <x:c r="A381" s="119" t="n">
        <x:v>375</x:v>
      </x:c>
      <x:c r="B381" s="119" t="n">
        <x:f>MOD(INT((A381-1)/5),7)+1</x:f>
        <x:v>5</x:v>
      </x:c>
      <x:c r="C381" s="62" t="str">
        <x:f>INDEX('章节与怪物'!$B$31:$B$37,B381)</x:f>
        <x:v>雨林遗迹</x:v>
      </x:c>
      <x:c r="D381" s="119" t="n">
        <x:f>MIN('难度参数'!$E$8,MAX('难度参数'!$E$7,A381))</x:f>
        <x:v>7</x:v>
      </x:c>
      <x:c r="E381" s="106" t="n">
        <x:v>1</x:v>
      </x:c>
      <x:c r="F381" s="106" t="n">
        <x:v>0</x:v>
      </x:c>
      <x:c r="G381" s="106" t="n">
        <x:v>1</x:v>
      </x:c>
      <x:c r="H381" s="119" t="n">
        <x:f>SUM(X381,AB381,AF381,AJ381,AN381,AR381,AV381)</x:f>
        <x:v>263</x:v>
      </x:c>
      <x:c r="I381" s="119" t="n">
        <x:f>SUM(Z381,AD381,AH381,AL381,AP381,AT381,AX381)</x:f>
        <x:v>3340419</x:v>
      </x:c>
      <x:c r="J381" s="119" t="n">
        <x:f>ROUND(INDEX(X381:AY381,1,(D381-1)*4+2)*'难度参数'!$E$28*'章节与怪物'!$E$17,0)</x:f>
        <x:v>86972</x:v>
      </x:c>
      <x:c r="K381" s="119" t="n">
        <x:f>SUM(AA381,AE381,AI381,AM381,AQ381,AU381,AY381)</x:f>
        <x:v>7112</x:v>
      </x:c>
      <x:c r="L381" s="62" t="n">
        <x:f>H381*(ROUNDUP('难度参数'!$E$24/('难度参数'!$E$26*'难度参数'!$E$27),0)*'难度参数'!$E$26)/60</x:f>
        <x:v>3.506666666666667</x:v>
      </x:c>
      <x:c r="M381" s="62" t="n">
        <x:f>L381+D381*('难度参数'!$E$49+'难度参数'!$E$50)/60</x:f>
        <x:v>4.673333333333334</x:v>
      </x:c>
      <x:c r="N381" s="119" t="n">
        <x:f>ROUNDDOWN(('经济参数'!$E$20+A381*'经济参数'!$E$21)*G381,0)</x:f>
        <x:v>7680</x:v>
      </x:c>
      <x:c r="O381" s="119" t="n">
        <x:f>ROUNDDOWN(MIN('经济参数'!$E$24,'经济参数'!$E$22+A381*'经济参数'!$E$23)*G381,0)</x:f>
        <x:v>0</x:v>
      </x:c>
      <x:c r="P381" s="119" t="n">
        <x:f>ROUNDDOWN((IF(A381&gt;='材料与任务'!$E$31,'材料与任务'!$E$32,IF(A381&gt;='材料与任务'!$E$25,'材料与任务'!$E$26,IF(A381&gt;='材料与任务'!$E$19,'材料与任务'!$E$20,IF(A381&gt;='材料与任务'!$E$13,'材料与任务'!$E$14,'材料与任务'!$E$8)))))*G381,0)</x:f>
        <x:v>6</x:v>
      </x:c>
      <x:c r="Q381" s="119" t="n">
        <x:f>ROUNDDOWN((IF(A381&gt;='材料与任务'!$E$31,'材料与任务'!$E$33,IF(A381&gt;='材料与任务'!$E$25,'材料与任务'!$E$27,IF(A381&gt;='材料与任务'!$E$19,'材料与任务'!$E$21,IF(A381&gt;='材料与任务'!$E$13,'材料与任务'!$E$15,'材料与任务'!$E$9)))))*G381,0)</x:f>
        <x:v>3</x:v>
      </x:c>
      <x:c r="R381" s="110" t="n">
        <x:f>'装备掉落'!$B$38</x:f>
        <x:v>0.6872058758851213</x:v>
      </x:c>
      <x:c r="S381" s="119" t="n">
        <x:f>MAX(IF(VLOOKUP(A381,'装备掉落'!$A$29:$H$34,2,TRUE)&gt;0,1,0),IF(VLOOKUP(A381,'装备掉落'!$A$29:$H$34,3,TRUE)&gt;0,2,0),IF(VLOOKUP(A381,'装备掉落'!$A$29:$H$34,4,TRUE)&gt;0,3,0),IF(VLOOKUP(A381,'装备掉落'!$A$29:$H$34,5,TRUE)&gt;0,4,0),IF(VLOOKUP(A381,'装备掉落'!$A$29:$H$34,6,TRUE)&gt;0,5,0),IF(VLOOKUP(A381,'装备掉落'!$A$29:$H$34,7,TRUE)&gt;0,6,0),IF(VLOOKUP(A381,'装备掉落'!$A$29:$H$34,8,TRUE)&gt;0,7,0))</x:f>
        <x:v>7</x:v>
      </x:c>
      <x:c r="T381" s="119" t="n">
        <x:f>MIN(7,S381+'经济参数'!$E$70)</x:f>
        <x:v>7</x:v>
      </x:c>
      <x:c r="U381" s="119" t="n">
        <x:f>MIN(7,S381+'经济参数'!$E$71)</x:f>
        <x:v>7</x:v>
      </x:c>
      <x:c r="V381" s="119" t="n">
        <x:f>IF(H381&gt;=('难度参数'!$E$52),1,0)+IF(H381&gt;=('难度参数'!$E$52+'难度参数'!$E$53),1,0)+IF(H381&gt;=('难度参数'!$E$52+'难度参数'!$E$53+'难度参数'!$E$54),1,0)+IF(H381&gt;=('难度参数'!$E$52+'难度参数'!$E$53+'难度参数'!$E$54+'难度参数'!$E$55),1,0)+IF(H381&gt;=('难度参数'!$E$52+'难度参数'!$E$53+'难度参数'!$E$54+'难度参数'!$E$55+'难度参数'!$E$56),1,0)+IF(H381&gt;=('难度参数'!$E$52+'难度参数'!$E$53+'难度参数'!$E$54+'难度参数'!$E$55+'难度参数'!$E$56+'难度参数'!$E$57),1,0)</x:f>
        <x:v>6</x:v>
      </x:c>
      <x:c r="W381" s="62" t="str">
        <x:f>IF(L381&gt;'难度参数'!$E$51,"仅出怪已超目标","还需实测")</x:f>
        <x:v>仅出怪已超目标</x:v>
      </x:c>
      <x:c r="X381" s="119" t="n">
        <x:f>IF(1&gt;D381,0,MAX(2,MIN('难度参数'!$E$12,ROUND(('难度参数'!$E$18*POWER(A381,'难度参数'!$E$19)/D381*(0.85+0.3*(1-1)/MAX(1,D381-1))),0)+F381)))</x:f>
        <x:v>32</x:v>
      </x:c>
      <x:c r="Y381" s="119" t="n">
        <x:f>IF(1&gt;D381,0,ROUND(('难度参数'!$E$13*POWER(A381,'难度参数'!$E$20)*MIN('难度参数'!$E$23,1+MAX(0,A381-'难度参数'!$E$21)*'难度参数'!$E$22))*(36+1*7)/(36+7*(D381+1)/2)*E381,0))</x:f>
        <x:v>6470</x:v>
      </x:c>
      <x:c r="Z381" s="119" t="n">
        <x:f>IF(X381=0,0,(X381-IF(1=D381,1,0))*ROUND(Y381*VLOOKUP(INDEX('章节与怪物'!$E$31:$K$37,B381,1),'章节与怪物'!$A$41:$F$44,2,FALSE),0)+IF(1=D381,ROUND(Y381*'难度参数'!$E$28*'章节与怪物'!$E$17,0),0))</x:f>
        <x:v>207040</x:v>
      </x:c>
      <x:c r="AA381" s="119" t="n">
        <x:f>IF(X381=0,0,(X381-IF(1=D381,1,0))*VLOOKUP(INDEX('章节与怪物'!$E$31:$K$37,B381,1),'章节与怪物'!$A$41:$F$44,4,FALSE)+IF(1=D381,'难度参数'!$E$30,0))</x:f>
        <x:v>576</x:v>
      </x:c>
      <x:c r="AB381" s="119" t="n">
        <x:f>IF(2&gt;D381,0,MAX(2,MIN('难度参数'!$E$12,ROUND(('难度参数'!$E$18*POWER(A381,'难度参数'!$E$19)/D381*(0.85+0.3*(2-1)/MAX(1,D381-1))),0)+F381)))</x:f>
        <x:v>34</x:v>
      </x:c>
      <x:c r="AC381" s="119" t="n">
        <x:f>IF(2&gt;D381,0,ROUND(('难度参数'!$E$13*POWER(A381,'难度参数'!$E$20)*MIN('难度参数'!$E$23,1+MAX(0,A381-'难度参数'!$E$21)*'难度参数'!$E$22))*(36+2*7)/(36+7*(D381+1)/2)*E381,0))</x:f>
        <x:v>7524</x:v>
      </x:c>
      <x:c r="AD381" s="119" t="n">
        <x:f>IF(AB381=0,0,(AB381-IF(2=D381,1,0))*ROUND(AC381*VLOOKUP(INDEX('章节与怪物'!$E$31:$K$37,B381,2),'章节与怪物'!$A$41:$F$44,2,FALSE),0)+IF(2=D381,ROUND(AC381*'难度参数'!$E$28*'章节与怪物'!$E$17,0),0))</x:f>
        <x:v>184178</x:v>
      </x:c>
      <x:c r="AE381" s="119" t="n">
        <x:f>IF(AB381=0,0,(AB381-IF(2=D381,1,0))*VLOOKUP(INDEX('章节与怪物'!$E$31:$K$37,B381,2),'章节与怪物'!$A$41:$F$44,4,FALSE)+IF(2=D381,'难度参数'!$E$30,0))</x:f>
        <x:v>680</x:v>
      </x:c>
      <x:c r="AF381" s="119" t="n">
        <x:f>IF(3&gt;D381,0,MAX(2,MIN('难度参数'!$E$12,ROUND(('难度参数'!$E$18*POWER(A381,'难度参数'!$E$19)/D381*(0.85+0.3*(3-1)/MAX(1,D381-1))),0)+F381)))</x:f>
        <x:v>36</x:v>
      </x:c>
      <x:c r="AG381" s="119" t="n">
        <x:f>IF(3&gt;D381,0,ROUND(('难度参数'!$E$13*POWER(A381,'难度参数'!$E$20)*MIN('难度参数'!$E$23,1+MAX(0,A381-'难度参数'!$E$21)*'难度参数'!$E$22))*(36+3*7)/(36+7*(D381+1)/2)*E381,0))</x:f>
        <x:v>8577</x:v>
      </x:c>
      <x:c r="AH381" s="119" t="n">
        <x:f>IF(AF381=0,0,(AF381-IF(3=D381,1,0))*ROUND(AG381*VLOOKUP(INDEX('章节与怪物'!$E$31:$K$37,B381,3),'章节与怪物'!$A$41:$F$44,2,FALSE),0)+IF(3=D381,ROUND(AG381*'难度参数'!$E$28*'章节与怪物'!$E$17,0),0))</x:f>
        <x:v>524916</x:v>
      </x:c>
      <x:c r="AI381" s="119" t="n">
        <x:f>IF(AF381=0,0,(AF381-IF(3=D381,1,0))*VLOOKUP(INDEX('章节与怪物'!$E$31:$K$37,B381,3),'章节与怪物'!$A$41:$F$44,4,FALSE)+IF(3=D381,'难度参数'!$E$30,0))</x:f>
        <x:v>1008</x:v>
      </x:c>
      <x:c r="AJ381" s="119" t="n">
        <x:f>IF(4&gt;D381,0,MAX(2,MIN('难度参数'!$E$12,ROUND(('难度参数'!$E$18*POWER(A381,'难度参数'!$E$19)/D381*(0.85+0.3*(4-1)/MAX(1,D381-1))),0)+F381)))</x:f>
        <x:v>38</x:v>
      </x:c>
      <x:c r="AK381" s="119" t="n">
        <x:f>IF(4&gt;D381,0,ROUND(('难度参数'!$E$13*POWER(A381,'难度参数'!$E$20)*MIN('难度参数'!$E$23,1+MAX(0,A381-'难度参数'!$E$21)*'难度参数'!$E$22))*(36+4*7)/(36+7*(D381+1)/2)*E381,0))</x:f>
        <x:v>9630</x:v>
      </x:c>
      <x:c r="AL381" s="119" t="n">
        <x:f>IF(AJ381=0,0,(AJ381-IF(4=D381,1,0))*ROUND(AK381*VLOOKUP(INDEX('章节与怪物'!$E$31:$K$37,B381,4),'章节与怪物'!$A$41:$F$44,2,FALSE),0)+IF(4=D381,ROUND(AK381*'难度参数'!$E$28*'章节与怪物'!$E$17,0),0))</x:f>
        <x:v>494038</x:v>
      </x:c>
      <x:c r="AM381" s="119" t="n">
        <x:f>IF(AJ381=0,0,(AJ381-IF(4=D381,1,0))*VLOOKUP(INDEX('章节与怪物'!$E$31:$K$37,B381,4),'章节与怪物'!$A$41:$F$44,4,FALSE)+IF(4=D381,'难度参数'!$E$30,0))</x:f>
        <x:v>1292</x:v>
      </x:c>
      <x:c r="AN381" s="119" t="n">
        <x:f>IF(5&gt;D381,0,MAX(2,MIN('难度参数'!$E$12,ROUND(('难度参数'!$E$18*POWER(A381,'难度参数'!$E$19)/D381*(0.85+0.3*(5-1)/MAX(1,D381-1))),0)+F381)))</x:f>
        <x:v>39</x:v>
      </x:c>
      <x:c r="AO381" s="119" t="n">
        <x:f>IF(5&gt;D381,0,ROUND(('难度参数'!$E$13*POWER(A381,'难度参数'!$E$20)*MIN('难度参数'!$E$23,1+MAX(0,A381-'难度参数'!$E$21)*'难度参数'!$E$22))*(36+5*7)/(36+7*(D381+1)/2)*E381,0))</x:f>
        <x:v>10684</x:v>
      </x:c>
      <x:c r="AP381" s="119" t="n">
        <x:f>IF(AN381=0,0,(AN381-IF(5=D381,1,0))*ROUND(AO381*VLOOKUP(INDEX('章节与怪物'!$E$31:$K$37,B381,5),'章节与怪物'!$A$41:$F$44,2,FALSE),0)+IF(5=D381,ROUND(AO381*'难度参数'!$E$28*'章节与怪物'!$E$17,0),0))</x:f>
        <x:v>299988</x:v>
      </x:c>
      <x:c r="AQ381" s="119" t="n">
        <x:f>IF(AN381=0,0,(AN381-IF(5=D381,1,0))*VLOOKUP(INDEX('章节与怪物'!$E$31:$K$37,B381,5),'章节与怪物'!$A$41:$F$44,4,FALSE)+IF(5=D381,'难度参数'!$E$30,0))</x:f>
        <x:v>780</x:v>
      </x:c>
      <x:c r="AR381" s="119" t="n">
        <x:f>IF(6&gt;D381,0,MAX(2,MIN('难度参数'!$E$12,ROUND(('难度参数'!$E$18*POWER(A381,'难度参数'!$E$19)/D381*(0.85+0.3*(6-1)/MAX(1,D381-1))),0)+F381)))</x:f>
        <x:v>41</x:v>
      </x:c>
      <x:c r="AS381" s="119" t="n">
        <x:f>IF(6&gt;D381,0,ROUND(('难度参数'!$E$13*POWER(A381,'难度参数'!$E$20)*MIN('难度参数'!$E$23,1+MAX(0,A381-'难度参数'!$E$21)*'难度参数'!$E$22))*(36+6*7)/(36+7*(D381+1)/2)*E381,0))</x:f>
        <x:v>11737</x:v>
      </x:c>
      <x:c r="AT381" s="119" t="n">
        <x:f>IF(AR381=0,0,(AR381-IF(6=D381,1,0))*ROUND(AS381*VLOOKUP(INDEX('章节与怪物'!$E$31:$K$37,B381,6),'章节与怪物'!$A$41:$F$44,2,FALSE),0)+IF(6=D381,ROUND(AS381*'难度参数'!$E$28*'章节与怪物'!$E$17,0),0))</x:f>
        <x:v>818073</x:v>
      </x:c>
      <x:c r="AU381" s="119" t="n">
        <x:f>IF(AR381=0,0,(AR381-IF(6=D381,1,0))*VLOOKUP(INDEX('章节与怪物'!$E$31:$K$37,B381,6),'章节与怪物'!$A$41:$F$44,4,FALSE)+IF(6=D381,'难度参数'!$E$30,0))</x:f>
        <x:v>1148</x:v>
      </x:c>
      <x:c r="AV381" s="119" t="n">
        <x:f>IF(7&gt;D381,0,MAX(2,MIN('难度参数'!$E$12,ROUND(('难度参数'!$E$18*POWER(A381,'难度参数'!$E$19)/D381*(0.85+0.3*(7-1)/MAX(1,D381-1))),0)+F381)))</x:f>
        <x:v>43</x:v>
      </x:c>
      <x:c r="AW381" s="119" t="n">
        <x:f>IF(7&gt;D381,0,ROUND(('难度参数'!$E$13*POWER(A381,'难度参数'!$E$20)*MIN('难度参数'!$E$23,1+MAX(0,A381-'难度参数'!$E$21)*'难度参数'!$E$22))*(36+7*7)/(36+7*(D381+1)/2)*E381,0))</x:f>
        <x:v>12790</x:v>
      </x:c>
      <x:c r="AX381" s="119" t="n">
        <x:f>IF(AV381=0,0,(AV381-IF(7=D381,1,0))*ROUND(AW381*VLOOKUP(INDEX('章节与怪物'!$E$31:$K$37,B381,7),'章节与怪物'!$A$41:$F$44,2,FALSE),0)+IF(7=D381,ROUND(AW381*'难度参数'!$E$28*'章节与怪物'!$E$17,0),0))</x:f>
        <x:v>812186</x:v>
      </x:c>
      <x:c r="AY381" s="119" t="n">
        <x:f>IF(AV381=0,0,(AV381-IF(7=D381,1,0))*VLOOKUP(INDEX('章节与怪物'!$E$31:$K$37,B381,7),'章节与怪物'!$A$41:$F$44,4,FALSE)+IF(7=D381,'难度参数'!$E$30,0))</x:f>
        <x:v>1628</x:v>
      </x:c>
    </x:row>
    <x:row r="382" ht="23" customHeight="1">
      <x:c r="A382" s="119" t="n">
        <x:v>376</x:v>
      </x:c>
      <x:c r="B382" s="119" t="n">
        <x:f>MOD(INT((A382-1)/5),7)+1</x:f>
        <x:v>6</x:v>
      </x:c>
      <x:c r="C382" s="62" t="str">
        <x:f>INDEX('章节与怪物'!$B$31:$B$37,B382)</x:f>
        <x:v>熔岩山脉</x:v>
      </x:c>
      <x:c r="D382" s="119" t="n">
        <x:f>MIN('难度参数'!$E$8,MAX('难度参数'!$E$7,A382))</x:f>
        <x:v>7</x:v>
      </x:c>
      <x:c r="E382" s="106" t="n">
        <x:v>1</x:v>
      </x:c>
      <x:c r="F382" s="106" t="n">
        <x:v>0</x:v>
      </x:c>
      <x:c r="G382" s="106" t="n">
        <x:v>1</x:v>
      </x:c>
      <x:c r="H382" s="119" t="n">
        <x:f>SUM(X382,AB382,AF382,AJ382,AN382,AR382,AV382)</x:f>
        <x:v>263</x:v>
      </x:c>
      <x:c r="I382" s="119" t="n">
        <x:f>SUM(Z382,AD382,AH382,AL382,AP382,AT382,AX382)</x:f>
        <x:v>3477332</x:v>
      </x:c>
      <x:c r="J382" s="119" t="n">
        <x:f>ROUND(INDEX(X382:AY382,1,(D382-1)*4+2)*'难度参数'!$E$28*'章节与怪物'!$E$17,0)</x:f>
        <x:v>87142</x:v>
      </x:c>
      <x:c r="K382" s="119" t="n">
        <x:f>SUM(AA382,AE382,AI382,AM382,AQ382,AU382,AY382)</x:f>
        <x:v>7030</x:v>
      </x:c>
      <x:c r="L382" s="62" t="n">
        <x:f>H382*(ROUNDUP('难度参数'!$E$24/('难度参数'!$E$26*'难度参数'!$E$27),0)*'难度参数'!$E$26)/60</x:f>
        <x:v>3.506666666666667</x:v>
      </x:c>
      <x:c r="M382" s="62" t="n">
        <x:f>L382+D382*('难度参数'!$E$49+'难度参数'!$E$50)/60</x:f>
        <x:v>4.673333333333334</x:v>
      </x:c>
      <x:c r="N382" s="119" t="n">
        <x:f>ROUNDDOWN(('经济参数'!$E$20+A382*'经济参数'!$E$21)*G382,0)</x:f>
        <x:v>7700</x:v>
      </x:c>
      <x:c r="O382" s="119" t="n">
        <x:f>ROUNDDOWN(MIN('经济参数'!$E$24,'经济参数'!$E$22+A382*'经济参数'!$E$23)*G382,0)</x:f>
        <x:v>0</x:v>
      </x:c>
      <x:c r="P382" s="119" t="n">
        <x:f>ROUNDDOWN((IF(A382&gt;='材料与任务'!$E$31,'材料与任务'!$E$32,IF(A382&gt;='材料与任务'!$E$25,'材料与任务'!$E$26,IF(A382&gt;='材料与任务'!$E$19,'材料与任务'!$E$20,IF(A382&gt;='材料与任务'!$E$13,'材料与任务'!$E$14,'材料与任务'!$E$8)))))*G382,0)</x:f>
        <x:v>6</x:v>
      </x:c>
      <x:c r="Q382" s="119" t="n">
        <x:f>ROUNDDOWN((IF(A382&gt;='材料与任务'!$E$31,'材料与任务'!$E$33,IF(A382&gt;='材料与任务'!$E$25,'材料与任务'!$E$27,IF(A382&gt;='材料与任务'!$E$19,'材料与任务'!$E$21,IF(A382&gt;='材料与任务'!$E$13,'材料与任务'!$E$15,'材料与任务'!$E$9)))))*G382,0)</x:f>
        <x:v>3</x:v>
      </x:c>
      <x:c r="R382" s="110" t="n">
        <x:f>'装备掉落'!$B$38</x:f>
        <x:v>0.6872058758851213</x:v>
      </x:c>
      <x:c r="S382" s="119" t="n">
        <x:f>MAX(IF(VLOOKUP(A382,'装备掉落'!$A$29:$H$34,2,TRUE)&gt;0,1,0),IF(VLOOKUP(A382,'装备掉落'!$A$29:$H$34,3,TRUE)&gt;0,2,0),IF(VLOOKUP(A382,'装备掉落'!$A$29:$H$34,4,TRUE)&gt;0,3,0),IF(VLOOKUP(A382,'装备掉落'!$A$29:$H$34,5,TRUE)&gt;0,4,0),IF(VLOOKUP(A382,'装备掉落'!$A$29:$H$34,6,TRUE)&gt;0,5,0),IF(VLOOKUP(A382,'装备掉落'!$A$29:$H$34,7,TRUE)&gt;0,6,0),IF(VLOOKUP(A382,'装备掉落'!$A$29:$H$34,8,TRUE)&gt;0,7,0))</x:f>
        <x:v>7</x:v>
      </x:c>
      <x:c r="T382" s="119" t="n">
        <x:f>MIN(7,S382+'经济参数'!$E$70)</x:f>
        <x:v>7</x:v>
      </x:c>
      <x:c r="U382" s="119" t="n">
        <x:f>MIN(7,S382+'经济参数'!$E$71)</x:f>
        <x:v>7</x:v>
      </x:c>
      <x:c r="V382" s="119" t="n">
        <x:f>IF(H382&gt;=('难度参数'!$E$52),1,0)+IF(H382&gt;=('难度参数'!$E$52+'难度参数'!$E$53),1,0)+IF(H382&gt;=('难度参数'!$E$52+'难度参数'!$E$53+'难度参数'!$E$54),1,0)+IF(H382&gt;=('难度参数'!$E$52+'难度参数'!$E$53+'难度参数'!$E$54+'难度参数'!$E$55),1,0)+IF(H382&gt;=('难度参数'!$E$52+'难度参数'!$E$53+'难度参数'!$E$54+'难度参数'!$E$55+'难度参数'!$E$56),1,0)+IF(H382&gt;=('难度参数'!$E$52+'难度参数'!$E$53+'难度参数'!$E$54+'难度参数'!$E$55+'难度参数'!$E$56+'难度参数'!$E$57),1,0)</x:f>
        <x:v>6</x:v>
      </x:c>
      <x:c r="W382" s="62" t="str">
        <x:f>IF(L382&gt;'难度参数'!$E$51,"仅出怪已超目标","还需实测")</x:f>
        <x:v>仅出怪已超目标</x:v>
      </x:c>
      <x:c r="X382" s="119" t="n">
        <x:f>IF(1&gt;D382,0,MAX(2,MIN('难度参数'!$E$12,ROUND(('难度参数'!$E$18*POWER(A382,'难度参数'!$E$19)/D382*(0.85+0.3*(1-1)/MAX(1,D382-1))),0)+F382)))</x:f>
        <x:v>32</x:v>
      </x:c>
      <x:c r="Y382" s="119" t="n">
        <x:f>IF(1&gt;D382,0,ROUND(('难度参数'!$E$13*POWER(A382,'难度参数'!$E$20)*MIN('难度参数'!$E$23,1+MAX(0,A382-'难度参数'!$E$21)*'难度参数'!$E$22))*(36+1*7)/(36+7*(D382+1)/2)*E382,0))</x:f>
        <x:v>6483</x:v>
      </x:c>
      <x:c r="Z382" s="119" t="n">
        <x:f>IF(X382=0,0,(X382-IF(1=D382,1,0))*ROUND(Y382*VLOOKUP(INDEX('章节与怪物'!$E$31:$K$37,B382,1),'章节与怪物'!$A$41:$F$44,2,FALSE),0)+IF(1=D382,ROUND(Y382*'难度参数'!$E$28*'章节与怪物'!$E$17,0),0))</x:f>
        <x:v>149376</x:v>
      </x:c>
      <x:c r="AA382" s="119" t="n">
        <x:f>IF(X382=0,0,(X382-IF(1=D382,1,0))*VLOOKUP(INDEX('章节与怪物'!$E$31:$K$37,B382,1),'章节与怪物'!$A$41:$F$44,4,FALSE)+IF(1=D382,'难度参数'!$E$30,0))</x:f>
        <x:v>640</x:v>
      </x:c>
      <x:c r="AB382" s="119" t="n">
        <x:f>IF(2&gt;D382,0,MAX(2,MIN('难度参数'!$E$12,ROUND(('难度参数'!$E$18*POWER(A382,'难度参数'!$E$19)/D382*(0.85+0.3*(2-1)/MAX(1,D382-1))),0)+F382)))</x:f>
        <x:v>34</x:v>
      </x:c>
      <x:c r="AC382" s="119" t="n">
        <x:f>IF(2&gt;D382,0,ROUND(('难度参数'!$E$13*POWER(A382,'难度参数'!$E$20)*MIN('难度参数'!$E$23,1+MAX(0,A382-'难度参数'!$E$21)*'难度参数'!$E$22))*(36+2*7)/(36+7*(D382+1)/2)*E382,0))</x:f>
        <x:v>7538</x:v>
      </x:c>
      <x:c r="AD382" s="119" t="n">
        <x:f>IF(AB382=0,0,(AB382-IF(2=D382,1,0))*ROUND(AC382*VLOOKUP(INDEX('章节与怪物'!$E$31:$K$37,B382,2),'章节与怪物'!$A$41:$F$44,2,FALSE),0)+IF(2=D382,ROUND(AC382*'难度参数'!$E$28*'章节与怪物'!$E$17,0),0))</x:f>
        <x:v>256292</x:v>
      </x:c>
      <x:c r="AE382" s="119" t="n">
        <x:f>IF(AB382=0,0,(AB382-IF(2=D382,1,0))*VLOOKUP(INDEX('章节与怪物'!$E$31:$K$37,B382,2),'章节与怪物'!$A$41:$F$44,4,FALSE)+IF(2=D382,'难度参数'!$E$30,0))</x:f>
        <x:v>612</x:v>
      </x:c>
      <x:c r="AF382" s="119" t="n">
        <x:f>IF(3&gt;D382,0,MAX(2,MIN('难度参数'!$E$12,ROUND(('难度参数'!$E$18*POWER(A382,'难度参数'!$E$19)/D382*(0.85+0.3*(3-1)/MAX(1,D382-1))),0)+F382)))</x:f>
        <x:v>36</x:v>
      </x:c>
      <x:c r="AG382" s="119" t="n">
        <x:f>IF(3&gt;D382,0,ROUND(('难度参数'!$E$13*POWER(A382,'难度参数'!$E$20)*MIN('难度参数'!$E$23,1+MAX(0,A382-'难度参数'!$E$21)*'难度参数'!$E$22))*(36+3*7)/(36+7*(D382+1)/2)*E382,0))</x:f>
        <x:v>8593</x:v>
      </x:c>
      <x:c r="AH382" s="119" t="n">
        <x:f>IF(AF382=0,0,(AF382-IF(3=D382,1,0))*ROUND(AG382*VLOOKUP(INDEX('章节与怪物'!$E$31:$K$37,B382,3),'章节与怪物'!$A$41:$F$44,2,FALSE),0)+IF(3=D382,ROUND(AG382*'难度参数'!$E$28*'章节与怪物'!$E$17,0),0))</x:f>
        <x:v>525888</x:v>
      </x:c>
      <x:c r="AI382" s="119" t="n">
        <x:f>IF(AF382=0,0,(AF382-IF(3=D382,1,0))*VLOOKUP(INDEX('章节与怪物'!$E$31:$K$37,B382,3),'章节与怪物'!$A$41:$F$44,4,FALSE)+IF(3=D382,'难度参数'!$E$30,0))</x:f>
        <x:v>1008</x:v>
      </x:c>
      <x:c r="AJ382" s="119" t="n">
        <x:f>IF(4&gt;D382,0,MAX(2,MIN('难度参数'!$E$12,ROUND(('难度参数'!$E$18*POWER(A382,'难度参数'!$E$19)/D382*(0.85+0.3*(4-1)/MAX(1,D382-1))),0)+F382)))</x:f>
        <x:v>38</x:v>
      </x:c>
      <x:c r="AK382" s="119" t="n">
        <x:f>IF(4&gt;D382,0,ROUND(('难度参数'!$E$13*POWER(A382,'难度参数'!$E$20)*MIN('难度参数'!$E$23,1+MAX(0,A382-'难度参数'!$E$21)*'难度参数'!$E$22))*(36+4*7)/(36+7*(D382+1)/2)*E382,0))</x:f>
        <x:v>9649</x:v>
      </x:c>
      <x:c r="AL382" s="119" t="n">
        <x:f>IF(AJ382=0,0,(AJ382-IF(4=D382,1,0))*ROUND(AK382*VLOOKUP(INDEX('章节与怪物'!$E$31:$K$37,B382,4),'章节与怪物'!$A$41:$F$44,2,FALSE),0)+IF(4=D382,ROUND(AK382*'难度参数'!$E$28*'章节与怪物'!$E$17,0),0))</x:f>
        <x:v>494988</x:v>
      </x:c>
      <x:c r="AM382" s="119" t="n">
        <x:f>IF(AJ382=0,0,(AJ382-IF(4=D382,1,0))*VLOOKUP(INDEX('章节与怪物'!$E$31:$K$37,B382,4),'章节与怪物'!$A$41:$F$44,4,FALSE)+IF(4=D382,'难度参数'!$E$30,0))</x:f>
        <x:v>1292</x:v>
      </x:c>
      <x:c r="AN382" s="119" t="n">
        <x:f>IF(5&gt;D382,0,MAX(2,MIN('难度参数'!$E$12,ROUND(('难度参数'!$E$18*POWER(A382,'难度参数'!$E$19)/D382*(0.85+0.3*(5-1)/MAX(1,D382-1))),0)+F382)))</x:f>
        <x:v>39</x:v>
      </x:c>
      <x:c r="AO382" s="119" t="n">
        <x:f>IF(5&gt;D382,0,ROUND(('难度参数'!$E$13*POWER(A382,'难度参数'!$E$20)*MIN('难度参数'!$E$23,1+MAX(0,A382-'难度参数'!$E$21)*'难度参数'!$E$22))*(36+5*7)/(36+7*(D382+1)/2)*E382,0))</x:f>
        <x:v>10704</x:v>
      </x:c>
      <x:c r="AP382" s="119" t="n">
        <x:f>IF(AN382=0,0,(AN382-IF(5=D382,1,0))*ROUND(AO382*VLOOKUP(INDEX('章节与怪物'!$E$31:$K$37,B382,5),'章节与怪物'!$A$41:$F$44,2,FALSE),0)+IF(5=D382,ROUND(AO382*'难度参数'!$E$28*'章节与怪物'!$E$17,0),0))</x:f>
        <x:v>417456</x:v>
      </x:c>
      <x:c r="AQ382" s="119" t="n">
        <x:f>IF(AN382=0,0,(AN382-IF(5=D382,1,0))*VLOOKUP(INDEX('章节与怪物'!$E$31:$K$37,B382,5),'章节与怪物'!$A$41:$F$44,4,FALSE)+IF(5=D382,'难度参数'!$E$30,0))</x:f>
        <x:v>702</x:v>
      </x:c>
      <x:c r="AR382" s="119" t="n">
        <x:f>IF(6&gt;D382,0,MAX(2,MIN('难度参数'!$E$12,ROUND(('难度参数'!$E$18*POWER(A382,'难度参数'!$E$19)/D382*(0.85+0.3*(6-1)/MAX(1,D382-1))),0)+F382)))</x:f>
        <x:v>41</x:v>
      </x:c>
      <x:c r="AS382" s="119" t="n">
        <x:f>IF(6&gt;D382,0,ROUND(('难度参数'!$E$13*POWER(A382,'难度参数'!$E$20)*MIN('难度参数'!$E$23,1+MAX(0,A382-'难度参数'!$E$21)*'难度参数'!$E$22))*(36+6*7)/(36+7*(D382+1)/2)*E382,0))</x:f>
        <x:v>11759</x:v>
      </x:c>
      <x:c r="AT382" s="119" t="n">
        <x:f>IF(AR382=0,0,(AR382-IF(6=D382,1,0))*ROUND(AS382*VLOOKUP(INDEX('章节与怪物'!$E$31:$K$37,B382,6),'章节与怪物'!$A$41:$F$44,2,FALSE),0)+IF(6=D382,ROUND(AS382*'难度参数'!$E$28*'章节与怪物'!$E$17,0),0))</x:f>
        <x:v>819590</x:v>
      </x:c>
      <x:c r="AU382" s="119" t="n">
        <x:f>IF(AR382=0,0,(AR382-IF(6=D382,1,0))*VLOOKUP(INDEX('章节与怪物'!$E$31:$K$37,B382,6),'章节与怪物'!$A$41:$F$44,4,FALSE)+IF(6=D382,'难度参数'!$E$30,0))</x:f>
        <x:v>1148</x:v>
      </x:c>
      <x:c r="AV382" s="119" t="n">
        <x:f>IF(7&gt;D382,0,MAX(2,MIN('难度参数'!$E$12,ROUND(('难度参数'!$E$18*POWER(A382,'难度参数'!$E$19)/D382*(0.85+0.3*(7-1)/MAX(1,D382-1))),0)+F382)))</x:f>
        <x:v>43</x:v>
      </x:c>
      <x:c r="AW382" s="119" t="n">
        <x:f>IF(7&gt;D382,0,ROUND(('难度参数'!$E$13*POWER(A382,'难度参数'!$E$20)*MIN('难度参数'!$E$23,1+MAX(0,A382-'难度参数'!$E$21)*'难度参数'!$E$22))*(36+7*7)/(36+7*(D382+1)/2)*E382,0))</x:f>
        <x:v>12815</x:v>
      </x:c>
      <x:c r="AX382" s="119" t="n">
        <x:f>IF(AV382=0,0,(AV382-IF(7=D382,1,0))*ROUND(AW382*VLOOKUP(INDEX('章节与怪物'!$E$31:$K$37,B382,7),'章节与怪物'!$A$41:$F$44,2,FALSE),0)+IF(7=D382,ROUND(AW382*'难度参数'!$E$28*'章节与怪物'!$E$17,0),0))</x:f>
        <x:v>813742</x:v>
      </x:c>
      <x:c r="AY382" s="119" t="n">
        <x:f>IF(AV382=0,0,(AV382-IF(7=D382,1,0))*VLOOKUP(INDEX('章节与怪物'!$E$31:$K$37,B382,7),'章节与怪物'!$A$41:$F$44,4,FALSE)+IF(7=D382,'难度参数'!$E$30,0))</x:f>
        <x:v>1628</x:v>
      </x:c>
    </x:row>
    <x:row r="383" ht="23" customHeight="1">
      <x:c r="A383" s="119" t="n">
        <x:v>377</x:v>
      </x:c>
      <x:c r="B383" s="119" t="n">
        <x:f>MOD(INT((A383-1)/5),7)+1</x:f>
        <x:v>6</x:v>
      </x:c>
      <x:c r="C383" s="62" t="str">
        <x:f>INDEX('章节与怪物'!$B$31:$B$37,B383)</x:f>
        <x:v>熔岩山脉</x:v>
      </x:c>
      <x:c r="D383" s="119" t="n">
        <x:f>MIN('难度参数'!$E$8,MAX('难度参数'!$E$7,A383))</x:f>
        <x:v>7</x:v>
      </x:c>
      <x:c r="E383" s="106" t="n">
        <x:v>1</x:v>
      </x:c>
      <x:c r="F383" s="106" t="n">
        <x:v>0</x:v>
      </x:c>
      <x:c r="G383" s="106" t="n">
        <x:v>1</x:v>
      </x:c>
      <x:c r="H383" s="119" t="n">
        <x:f>SUM(X383,AB383,AF383,AJ383,AN383,AR383,AV383)</x:f>
        <x:v>263</x:v>
      </x:c>
      <x:c r="I383" s="119" t="n">
        <x:f>SUM(Z383,AD383,AH383,AL383,AP383,AT383,AX383)</x:f>
        <x:v>3483987</x:v>
      </x:c>
      <x:c r="J383" s="119" t="n">
        <x:f>ROUND(INDEX(X383:AY383,1,(D383-1)*4+2)*'难度参数'!$E$28*'章节与怪物'!$E$17,0)</x:f>
        <x:v>87305</x:v>
      </x:c>
      <x:c r="K383" s="119" t="n">
        <x:f>SUM(AA383,AE383,AI383,AM383,AQ383,AU383,AY383)</x:f>
        <x:v>7030</x:v>
      </x:c>
      <x:c r="L383" s="62" t="n">
        <x:f>H383*(ROUNDUP('难度参数'!$E$24/('难度参数'!$E$26*'难度参数'!$E$27),0)*'难度参数'!$E$26)/60</x:f>
        <x:v>3.506666666666667</x:v>
      </x:c>
      <x:c r="M383" s="62" t="n">
        <x:f>L383+D383*('难度参数'!$E$49+'难度参数'!$E$50)/60</x:f>
        <x:v>4.673333333333334</x:v>
      </x:c>
      <x:c r="N383" s="119" t="n">
        <x:f>ROUNDDOWN(('经济参数'!$E$20+A383*'经济参数'!$E$21)*G383,0)</x:f>
        <x:v>7720</x:v>
      </x:c>
      <x:c r="O383" s="119" t="n">
        <x:f>ROUNDDOWN(MIN('经济参数'!$E$24,'经济参数'!$E$22+A383*'经济参数'!$E$23)*G383,0)</x:f>
        <x:v>0</x:v>
      </x:c>
      <x:c r="P383" s="119" t="n">
        <x:f>ROUNDDOWN((IF(A383&gt;='材料与任务'!$E$31,'材料与任务'!$E$32,IF(A383&gt;='材料与任务'!$E$25,'材料与任务'!$E$26,IF(A383&gt;='材料与任务'!$E$19,'材料与任务'!$E$20,IF(A383&gt;='材料与任务'!$E$13,'材料与任务'!$E$14,'材料与任务'!$E$8)))))*G383,0)</x:f>
        <x:v>6</x:v>
      </x:c>
      <x:c r="Q383" s="119" t="n">
        <x:f>ROUNDDOWN((IF(A383&gt;='材料与任务'!$E$31,'材料与任务'!$E$33,IF(A383&gt;='材料与任务'!$E$25,'材料与任务'!$E$27,IF(A383&gt;='材料与任务'!$E$19,'材料与任务'!$E$21,IF(A383&gt;='材料与任务'!$E$13,'材料与任务'!$E$15,'材料与任务'!$E$9)))))*G383,0)</x:f>
        <x:v>3</x:v>
      </x:c>
      <x:c r="R383" s="110" t="n">
        <x:f>'装备掉落'!$B$38</x:f>
        <x:v>0.6872058758851213</x:v>
      </x:c>
      <x:c r="S383" s="119" t="n">
        <x:f>MAX(IF(VLOOKUP(A383,'装备掉落'!$A$29:$H$34,2,TRUE)&gt;0,1,0),IF(VLOOKUP(A383,'装备掉落'!$A$29:$H$34,3,TRUE)&gt;0,2,0),IF(VLOOKUP(A383,'装备掉落'!$A$29:$H$34,4,TRUE)&gt;0,3,0),IF(VLOOKUP(A383,'装备掉落'!$A$29:$H$34,5,TRUE)&gt;0,4,0),IF(VLOOKUP(A383,'装备掉落'!$A$29:$H$34,6,TRUE)&gt;0,5,0),IF(VLOOKUP(A383,'装备掉落'!$A$29:$H$34,7,TRUE)&gt;0,6,0),IF(VLOOKUP(A383,'装备掉落'!$A$29:$H$34,8,TRUE)&gt;0,7,0))</x:f>
        <x:v>7</x:v>
      </x:c>
      <x:c r="T383" s="119" t="n">
        <x:f>MIN(7,S383+'经济参数'!$E$70)</x:f>
        <x:v>7</x:v>
      </x:c>
      <x:c r="U383" s="119" t="n">
        <x:f>MIN(7,S383+'经济参数'!$E$71)</x:f>
        <x:v>7</x:v>
      </x:c>
      <x:c r="V383" s="119" t="n">
        <x:f>IF(H383&gt;=('难度参数'!$E$52),1,0)+IF(H383&gt;=('难度参数'!$E$52+'难度参数'!$E$53),1,0)+IF(H383&gt;=('难度参数'!$E$52+'难度参数'!$E$53+'难度参数'!$E$54),1,0)+IF(H383&gt;=('难度参数'!$E$52+'难度参数'!$E$53+'难度参数'!$E$54+'难度参数'!$E$55),1,0)+IF(H383&gt;=('难度参数'!$E$52+'难度参数'!$E$53+'难度参数'!$E$54+'难度参数'!$E$55+'难度参数'!$E$56),1,0)+IF(H383&gt;=('难度参数'!$E$52+'难度参数'!$E$53+'难度参数'!$E$54+'难度参数'!$E$55+'难度参数'!$E$56+'难度参数'!$E$57),1,0)</x:f>
        <x:v>6</x:v>
      </x:c>
      <x:c r="W383" s="62" t="str">
        <x:f>IF(L383&gt;'难度参数'!$E$51,"仅出怪已超目标","还需实测")</x:f>
        <x:v>仅出怪已超目标</x:v>
      </x:c>
      <x:c r="X383" s="119" t="n">
        <x:f>IF(1&gt;D383,0,MAX(2,MIN('难度参数'!$E$12,ROUND(('难度参数'!$E$18*POWER(A383,'难度参数'!$E$19)/D383*(0.85+0.3*(1-1)/MAX(1,D383-1))),0)+F383)))</x:f>
        <x:v>32</x:v>
      </x:c>
      <x:c r="Y383" s="119" t="n">
        <x:f>IF(1&gt;D383,0,ROUND(('难度参数'!$E$13*POWER(A383,'难度参数'!$E$20)*MIN('难度参数'!$E$23,1+MAX(0,A383-'难度参数'!$E$21)*'难度参数'!$E$22))*(36+1*7)/(36+7*(D383+1)/2)*E383,0))</x:f>
        <x:v>6495</x:v>
      </x:c>
      <x:c r="Z383" s="119" t="n">
        <x:f>IF(X383=0,0,(X383-IF(1=D383,1,0))*ROUND(Y383*VLOOKUP(INDEX('章节与怪物'!$E$31:$K$37,B383,1),'章节与怪物'!$A$41:$F$44,2,FALSE),0)+IF(1=D383,ROUND(Y383*'难度参数'!$E$28*'章节与怪物'!$E$17,0),0))</x:f>
        <x:v>149632</x:v>
      </x:c>
      <x:c r="AA383" s="119" t="n">
        <x:f>IF(X383=0,0,(X383-IF(1=D383,1,0))*VLOOKUP(INDEX('章节与怪物'!$E$31:$K$37,B383,1),'章节与怪物'!$A$41:$F$44,4,FALSE)+IF(1=D383,'难度参数'!$E$30,0))</x:f>
        <x:v>640</x:v>
      </x:c>
      <x:c r="AB383" s="119" t="n">
        <x:f>IF(2&gt;D383,0,MAX(2,MIN('难度参数'!$E$12,ROUND(('难度参数'!$E$18*POWER(A383,'难度参数'!$E$19)/D383*(0.85+0.3*(2-1)/MAX(1,D383-1))),0)+F383)))</x:f>
        <x:v>34</x:v>
      </x:c>
      <x:c r="AC383" s="119" t="n">
        <x:f>IF(2&gt;D383,0,ROUND(('难度参数'!$E$13*POWER(A383,'难度参数'!$E$20)*MIN('难度参数'!$E$23,1+MAX(0,A383-'难度参数'!$E$21)*'难度参数'!$E$22))*(36+2*7)/(36+7*(D383+1)/2)*E383,0))</x:f>
        <x:v>7552</x:v>
      </x:c>
      <x:c r="AD383" s="119" t="n">
        <x:f>IF(AB383=0,0,(AB383-IF(2=D383,1,0))*ROUND(AC383*VLOOKUP(INDEX('章节与怪物'!$E$31:$K$37,B383,2),'章节与怪物'!$A$41:$F$44,2,FALSE),0)+IF(2=D383,ROUND(AC383*'难度参数'!$E$28*'章节与怪物'!$E$17,0),0))</x:f>
        <x:v>256768</x:v>
      </x:c>
      <x:c r="AE383" s="119" t="n">
        <x:f>IF(AB383=0,0,(AB383-IF(2=D383,1,0))*VLOOKUP(INDEX('章节与怪物'!$E$31:$K$37,B383,2),'章节与怪物'!$A$41:$F$44,4,FALSE)+IF(2=D383,'难度参数'!$E$30,0))</x:f>
        <x:v>612</x:v>
      </x:c>
      <x:c r="AF383" s="119" t="n">
        <x:f>IF(3&gt;D383,0,MAX(2,MIN('难度参数'!$E$12,ROUND(('难度参数'!$E$18*POWER(A383,'难度参数'!$E$19)/D383*(0.85+0.3*(3-1)/MAX(1,D383-1))),0)+F383)))</x:f>
        <x:v>36</x:v>
      </x:c>
      <x:c r="AG383" s="119" t="n">
        <x:f>IF(3&gt;D383,0,ROUND(('难度参数'!$E$13*POWER(A383,'难度参数'!$E$20)*MIN('难度参数'!$E$23,1+MAX(0,A383-'难度参数'!$E$21)*'难度参数'!$E$22))*(36+3*7)/(36+7*(D383+1)/2)*E383,0))</x:f>
        <x:v>8610</x:v>
      </x:c>
      <x:c r="AH383" s="119" t="n">
        <x:f>IF(AF383=0,0,(AF383-IF(3=D383,1,0))*ROUND(AG383*VLOOKUP(INDEX('章节与怪物'!$E$31:$K$37,B383,3),'章节与怪物'!$A$41:$F$44,2,FALSE),0)+IF(3=D383,ROUND(AG383*'难度参数'!$E$28*'章节与怪物'!$E$17,0),0))</x:f>
        <x:v>526932</x:v>
      </x:c>
      <x:c r="AI383" s="119" t="n">
        <x:f>IF(AF383=0,0,(AF383-IF(3=D383,1,0))*VLOOKUP(INDEX('章节与怪物'!$E$31:$K$37,B383,3),'章节与怪物'!$A$41:$F$44,4,FALSE)+IF(3=D383,'难度参数'!$E$30,0))</x:f>
        <x:v>1008</x:v>
      </x:c>
      <x:c r="AJ383" s="119" t="n">
        <x:f>IF(4&gt;D383,0,MAX(2,MIN('难度参数'!$E$12,ROUND(('难度参数'!$E$18*POWER(A383,'难度参数'!$E$19)/D383*(0.85+0.3*(4-1)/MAX(1,D383-1))),0)+F383)))</x:f>
        <x:v>38</x:v>
      </x:c>
      <x:c r="AK383" s="119" t="n">
        <x:f>IF(4&gt;D383,0,ROUND(('难度参数'!$E$13*POWER(A383,'难度参数'!$E$20)*MIN('难度参数'!$E$23,1+MAX(0,A383-'难度参数'!$E$21)*'难度参数'!$E$22))*(36+4*7)/(36+7*(D383+1)/2)*E383,0))</x:f>
        <x:v>9667</x:v>
      </x:c>
      <x:c r="AL383" s="119" t="n">
        <x:f>IF(AJ383=0,0,(AJ383-IF(4=D383,1,0))*ROUND(AK383*VLOOKUP(INDEX('章节与怪物'!$E$31:$K$37,B383,4),'章节与怪物'!$A$41:$F$44,2,FALSE),0)+IF(4=D383,ROUND(AK383*'难度参数'!$E$28*'章节与怪物'!$E$17,0),0))</x:f>
        <x:v>495900</x:v>
      </x:c>
      <x:c r="AM383" s="119" t="n">
        <x:f>IF(AJ383=0,0,(AJ383-IF(4=D383,1,0))*VLOOKUP(INDEX('章节与怪物'!$E$31:$K$37,B383,4),'章节与怪物'!$A$41:$F$44,4,FALSE)+IF(4=D383,'难度参数'!$E$30,0))</x:f>
        <x:v>1292</x:v>
      </x:c>
      <x:c r="AN383" s="119" t="n">
        <x:f>IF(5&gt;D383,0,MAX(2,MIN('难度参数'!$E$12,ROUND(('难度参数'!$E$18*POWER(A383,'难度参数'!$E$19)/D383*(0.85+0.3*(5-1)/MAX(1,D383-1))),0)+F383)))</x:f>
        <x:v>39</x:v>
      </x:c>
      <x:c r="AO383" s="119" t="n">
        <x:f>IF(5&gt;D383,0,ROUND(('难度参数'!$E$13*POWER(A383,'难度参数'!$E$20)*MIN('难度参数'!$E$23,1+MAX(0,A383-'难度参数'!$E$21)*'难度参数'!$E$22))*(36+5*7)/(36+7*(D383+1)/2)*E383,0))</x:f>
        <x:v>10725</x:v>
      </x:c>
      <x:c r="AP383" s="119" t="n">
        <x:f>IF(AN383=0,0,(AN383-IF(5=D383,1,0))*ROUND(AO383*VLOOKUP(INDEX('章节与怪物'!$E$31:$K$37,B383,5),'章节与怪物'!$A$41:$F$44,2,FALSE),0)+IF(5=D383,ROUND(AO383*'难度参数'!$E$28*'章节与怪物'!$E$17,0),0))</x:f>
        <x:v>418275</x:v>
      </x:c>
      <x:c r="AQ383" s="119" t="n">
        <x:f>IF(AN383=0,0,(AN383-IF(5=D383,1,0))*VLOOKUP(INDEX('章节与怪物'!$E$31:$K$37,B383,5),'章节与怪物'!$A$41:$F$44,4,FALSE)+IF(5=D383,'难度参数'!$E$30,0))</x:f>
        <x:v>702</x:v>
      </x:c>
      <x:c r="AR383" s="119" t="n">
        <x:f>IF(6&gt;D383,0,MAX(2,MIN('难度参数'!$E$12,ROUND(('难度参数'!$E$18*POWER(A383,'难度参数'!$E$19)/D383*(0.85+0.3*(6-1)/MAX(1,D383-1))),0)+F383)))</x:f>
        <x:v>41</x:v>
      </x:c>
      <x:c r="AS383" s="119" t="n">
        <x:f>IF(6&gt;D383,0,ROUND(('难度参数'!$E$13*POWER(A383,'难度参数'!$E$20)*MIN('难度参数'!$E$23,1+MAX(0,A383-'难度参数'!$E$21)*'难度参数'!$E$22))*(36+6*7)/(36+7*(D383+1)/2)*E383,0))</x:f>
        <x:v>11782</x:v>
      </x:c>
      <x:c r="AT383" s="119" t="n">
        <x:f>IF(AR383=0,0,(AR383-IF(6=D383,1,0))*ROUND(AS383*VLOOKUP(INDEX('章节与怪物'!$E$31:$K$37,B383,6),'章节与怪物'!$A$41:$F$44,2,FALSE),0)+IF(6=D383,ROUND(AS383*'难度参数'!$E$28*'章节与怪物'!$E$17,0),0))</x:f>
        <x:v>821189</x:v>
      </x:c>
      <x:c r="AU383" s="119" t="n">
        <x:f>IF(AR383=0,0,(AR383-IF(6=D383,1,0))*VLOOKUP(INDEX('章节与怪物'!$E$31:$K$37,B383,6),'章节与怪物'!$A$41:$F$44,4,FALSE)+IF(6=D383,'难度参数'!$E$30,0))</x:f>
        <x:v>1148</x:v>
      </x:c>
      <x:c r="AV383" s="119" t="n">
        <x:f>IF(7&gt;D383,0,MAX(2,MIN('难度参数'!$E$12,ROUND(('难度参数'!$E$18*POWER(A383,'难度参数'!$E$19)/D383*(0.85+0.3*(7-1)/MAX(1,D383-1))),0)+F383)))</x:f>
        <x:v>43</x:v>
      </x:c>
      <x:c r="AW383" s="119" t="n">
        <x:f>IF(7&gt;D383,0,ROUND(('难度参数'!$E$13*POWER(A383,'难度参数'!$E$20)*MIN('难度参数'!$E$23,1+MAX(0,A383-'难度参数'!$E$21)*'难度参数'!$E$22))*(36+7*7)/(36+7*(D383+1)/2)*E383,0))</x:f>
        <x:v>12839</x:v>
      </x:c>
      <x:c r="AX383" s="119" t="n">
        <x:f>IF(AV383=0,0,(AV383-IF(7=D383,1,0))*ROUND(AW383*VLOOKUP(INDEX('章节与怪物'!$E$31:$K$37,B383,7),'章节与怪物'!$A$41:$F$44,2,FALSE),0)+IF(7=D383,ROUND(AW383*'难度参数'!$E$28*'章节与怪物'!$E$17,0),0))</x:f>
        <x:v>815291</x:v>
      </x:c>
      <x:c r="AY383" s="119" t="n">
        <x:f>IF(AV383=0,0,(AV383-IF(7=D383,1,0))*VLOOKUP(INDEX('章节与怪物'!$E$31:$K$37,B383,7),'章节与怪物'!$A$41:$F$44,4,FALSE)+IF(7=D383,'难度参数'!$E$30,0))</x:f>
        <x:v>1628</x:v>
      </x:c>
    </x:row>
    <x:row r="384" ht="23" customHeight="1">
      <x:c r="A384" s="119" t="n">
        <x:v>378</x:v>
      </x:c>
      <x:c r="B384" s="119" t="n">
        <x:f>MOD(INT((A384-1)/5),7)+1</x:f>
        <x:v>6</x:v>
      </x:c>
      <x:c r="C384" s="62" t="str">
        <x:f>INDEX('章节与怪物'!$B$31:$B$37,B384)</x:f>
        <x:v>熔岩山脉</x:v>
      </x:c>
      <x:c r="D384" s="119" t="n">
        <x:f>MIN('难度参数'!$E$8,MAX('难度参数'!$E$7,A384))</x:f>
        <x:v>7</x:v>
      </x:c>
      <x:c r="E384" s="106" t="n">
        <x:v>1</x:v>
      </x:c>
      <x:c r="F384" s="106" t="n">
        <x:v>0</x:v>
      </x:c>
      <x:c r="G384" s="106" t="n">
        <x:v>1</x:v>
      </x:c>
      <x:c r="H384" s="119" t="n">
        <x:f>SUM(X384,AB384,AF384,AJ384,AN384,AR384,AV384)</x:f>
        <x:v>264</x:v>
      </x:c>
      <x:c r="I384" s="119" t="n">
        <x:f>SUM(Z384,AD384,AH384,AL384,AP384,AT384,AX384)</x:f>
        <x:v>3501416</x:v>
      </x:c>
      <x:c r="J384" s="119" t="n">
        <x:f>ROUND(INDEX(X384:AY384,1,(D384-1)*4+2)*'难度参数'!$E$28*'章节与怪物'!$E$17,0)</x:f>
        <x:v>87475</x:v>
      </x:c>
      <x:c r="K384" s="119" t="n">
        <x:f>SUM(AA384,AE384,AI384,AM384,AQ384,AU384,AY384)</x:f>
        <x:v>7048</x:v>
      </x:c>
      <x:c r="L384" s="62" t="n">
        <x:f>H384*(ROUNDUP('难度参数'!$E$24/('难度参数'!$E$26*'难度参数'!$E$27),0)*'难度参数'!$E$26)/60</x:f>
        <x:v>3.5200000000000005</x:v>
      </x:c>
      <x:c r="M384" s="62" t="n">
        <x:f>L384+D384*('难度参数'!$E$49+'难度参数'!$E$50)/60</x:f>
        <x:v>4.686666666666667</x:v>
      </x:c>
      <x:c r="N384" s="119" t="n">
        <x:f>ROUNDDOWN(('经济参数'!$E$20+A384*'经济参数'!$E$21)*G384,0)</x:f>
        <x:v>7740</x:v>
      </x:c>
      <x:c r="O384" s="119" t="n">
        <x:f>ROUNDDOWN(MIN('经济参数'!$E$24,'经济参数'!$E$22+A384*'经济参数'!$E$23)*G384,0)</x:f>
        <x:v>0</x:v>
      </x:c>
      <x:c r="P384" s="119" t="n">
        <x:f>ROUNDDOWN((IF(A384&gt;='材料与任务'!$E$31,'材料与任务'!$E$32,IF(A384&gt;='材料与任务'!$E$25,'材料与任务'!$E$26,IF(A384&gt;='材料与任务'!$E$19,'材料与任务'!$E$20,IF(A384&gt;='材料与任务'!$E$13,'材料与任务'!$E$14,'材料与任务'!$E$8)))))*G384,0)</x:f>
        <x:v>6</x:v>
      </x:c>
      <x:c r="Q384" s="119" t="n">
        <x:f>ROUNDDOWN((IF(A384&gt;='材料与任务'!$E$31,'材料与任务'!$E$33,IF(A384&gt;='材料与任务'!$E$25,'材料与任务'!$E$27,IF(A384&gt;='材料与任务'!$E$19,'材料与任务'!$E$21,IF(A384&gt;='材料与任务'!$E$13,'材料与任务'!$E$15,'材料与任务'!$E$9)))))*G384,0)</x:f>
        <x:v>3</x:v>
      </x:c>
      <x:c r="R384" s="110" t="n">
        <x:f>'装备掉落'!$B$38</x:f>
        <x:v>0.6872058758851213</x:v>
      </x:c>
      <x:c r="S384" s="119" t="n">
        <x:f>MAX(IF(VLOOKUP(A384,'装备掉落'!$A$29:$H$34,2,TRUE)&gt;0,1,0),IF(VLOOKUP(A384,'装备掉落'!$A$29:$H$34,3,TRUE)&gt;0,2,0),IF(VLOOKUP(A384,'装备掉落'!$A$29:$H$34,4,TRUE)&gt;0,3,0),IF(VLOOKUP(A384,'装备掉落'!$A$29:$H$34,5,TRUE)&gt;0,4,0),IF(VLOOKUP(A384,'装备掉落'!$A$29:$H$34,6,TRUE)&gt;0,5,0),IF(VLOOKUP(A384,'装备掉落'!$A$29:$H$34,7,TRUE)&gt;0,6,0),IF(VLOOKUP(A384,'装备掉落'!$A$29:$H$34,8,TRUE)&gt;0,7,0))</x:f>
        <x:v>7</x:v>
      </x:c>
      <x:c r="T384" s="119" t="n">
        <x:f>MIN(7,S384+'经济参数'!$E$70)</x:f>
        <x:v>7</x:v>
      </x:c>
      <x:c r="U384" s="119" t="n">
        <x:f>MIN(7,S384+'经济参数'!$E$71)</x:f>
        <x:v>7</x:v>
      </x:c>
      <x:c r="V384" s="119" t="n">
        <x:f>IF(H384&gt;=('难度参数'!$E$52),1,0)+IF(H384&gt;=('难度参数'!$E$52+'难度参数'!$E$53),1,0)+IF(H384&gt;=('难度参数'!$E$52+'难度参数'!$E$53+'难度参数'!$E$54),1,0)+IF(H384&gt;=('难度参数'!$E$52+'难度参数'!$E$53+'难度参数'!$E$54+'难度参数'!$E$55),1,0)+IF(H384&gt;=('难度参数'!$E$52+'难度参数'!$E$53+'难度参数'!$E$54+'难度参数'!$E$55+'难度参数'!$E$56),1,0)+IF(H384&gt;=('难度参数'!$E$52+'难度参数'!$E$53+'难度参数'!$E$54+'难度参数'!$E$55+'难度参数'!$E$56+'难度参数'!$E$57),1,0)</x:f>
        <x:v>6</x:v>
      </x:c>
      <x:c r="W384" s="62" t="str">
        <x:f>IF(L384&gt;'难度参数'!$E$51,"仅出怪已超目标","还需实测")</x:f>
        <x:v>仅出怪已超目标</x:v>
      </x:c>
      <x:c r="X384" s="119" t="n">
        <x:f>IF(1&gt;D384,0,MAX(2,MIN('难度参数'!$E$12,ROUND(('难度参数'!$E$18*POWER(A384,'难度参数'!$E$19)/D384*(0.85+0.3*(1-1)/MAX(1,D384-1))),0)+F384)))</x:f>
        <x:v>32</x:v>
      </x:c>
      <x:c r="Y384" s="119" t="n">
        <x:f>IF(1&gt;D384,0,ROUND(('难度参数'!$E$13*POWER(A384,'难度参数'!$E$20)*MIN('难度参数'!$E$23,1+MAX(0,A384-'难度参数'!$E$21)*'难度参数'!$E$22))*(36+1*7)/(36+7*(D384+1)/2)*E384,0))</x:f>
        <x:v>6508</x:v>
      </x:c>
      <x:c r="Z384" s="119" t="n">
        <x:f>IF(X384=0,0,(X384-IF(1=D384,1,0))*ROUND(Y384*VLOOKUP(INDEX('章节与怪物'!$E$31:$K$37,B384,1),'章节与怪物'!$A$41:$F$44,2,FALSE),0)+IF(1=D384,ROUND(Y384*'难度参数'!$E$28*'章节与怪物'!$E$17,0),0))</x:f>
        <x:v>149952</x:v>
      </x:c>
      <x:c r="AA384" s="119" t="n">
        <x:f>IF(X384=0,0,(X384-IF(1=D384,1,0))*VLOOKUP(INDEX('章节与怪物'!$E$31:$K$37,B384,1),'章节与怪物'!$A$41:$F$44,4,FALSE)+IF(1=D384,'难度参数'!$E$30,0))</x:f>
        <x:v>640</x:v>
      </x:c>
      <x:c r="AB384" s="119" t="n">
        <x:f>IF(2&gt;D384,0,MAX(2,MIN('难度参数'!$E$12,ROUND(('难度参数'!$E$18*POWER(A384,'难度参数'!$E$19)/D384*(0.85+0.3*(2-1)/MAX(1,D384-1))),0)+F384)))</x:f>
        <x:v>34</x:v>
      </x:c>
      <x:c r="AC384" s="119" t="n">
        <x:f>IF(2&gt;D384,0,ROUND(('难度参数'!$E$13*POWER(A384,'难度参数'!$E$20)*MIN('难度参数'!$E$23,1+MAX(0,A384-'难度参数'!$E$21)*'难度参数'!$E$22))*(36+2*7)/(36+7*(D384+1)/2)*E384,0))</x:f>
        <x:v>7567</x:v>
      </x:c>
      <x:c r="AD384" s="119" t="n">
        <x:f>IF(AB384=0,0,(AB384-IF(2=D384,1,0))*ROUND(AC384*VLOOKUP(INDEX('章节与怪物'!$E$31:$K$37,B384,2),'章节与怪物'!$A$41:$F$44,2,FALSE),0)+IF(2=D384,ROUND(AC384*'难度参数'!$E$28*'章节与怪物'!$E$17,0),0))</x:f>
        <x:v>257278</x:v>
      </x:c>
      <x:c r="AE384" s="119" t="n">
        <x:f>IF(AB384=0,0,(AB384-IF(2=D384,1,0))*VLOOKUP(INDEX('章节与怪物'!$E$31:$K$37,B384,2),'章节与怪物'!$A$41:$F$44,4,FALSE)+IF(2=D384,'难度参数'!$E$30,0))</x:f>
        <x:v>612</x:v>
      </x:c>
      <x:c r="AF384" s="119" t="n">
        <x:f>IF(3&gt;D384,0,MAX(2,MIN('难度参数'!$E$12,ROUND(('难度参数'!$E$18*POWER(A384,'难度参数'!$E$19)/D384*(0.85+0.3*(3-1)/MAX(1,D384-1))),0)+F384)))</x:f>
        <x:v>36</x:v>
      </x:c>
      <x:c r="AG384" s="119" t="n">
        <x:f>IF(3&gt;D384,0,ROUND(('难度参数'!$E$13*POWER(A384,'难度参数'!$E$20)*MIN('难度参数'!$E$23,1+MAX(0,A384-'难度参数'!$E$21)*'难度参数'!$E$22))*(36+3*7)/(36+7*(D384+1)/2)*E384,0))</x:f>
        <x:v>8626</x:v>
      </x:c>
      <x:c r="AH384" s="119" t="n">
        <x:f>IF(AF384=0,0,(AF384-IF(3=D384,1,0))*ROUND(AG384*VLOOKUP(INDEX('章节与怪物'!$E$31:$K$37,B384,3),'章节与怪物'!$A$41:$F$44,2,FALSE),0)+IF(3=D384,ROUND(AG384*'难度参数'!$E$28*'章节与怪物'!$E$17,0),0))</x:f>
        <x:v>527904</x:v>
      </x:c>
      <x:c r="AI384" s="119" t="n">
        <x:f>IF(AF384=0,0,(AF384-IF(3=D384,1,0))*VLOOKUP(INDEX('章节与怪物'!$E$31:$K$37,B384,3),'章节与怪物'!$A$41:$F$44,4,FALSE)+IF(3=D384,'难度参数'!$E$30,0))</x:f>
        <x:v>1008</x:v>
      </x:c>
      <x:c r="AJ384" s="119" t="n">
        <x:f>IF(4&gt;D384,0,MAX(2,MIN('难度参数'!$E$12,ROUND(('难度参数'!$E$18*POWER(A384,'难度参数'!$E$19)/D384*(0.85+0.3*(4-1)/MAX(1,D384-1))),0)+F384)))</x:f>
        <x:v>38</x:v>
      </x:c>
      <x:c r="AK384" s="119" t="n">
        <x:f>IF(4&gt;D384,0,ROUND(('难度参数'!$E$13*POWER(A384,'难度参数'!$E$20)*MIN('难度参数'!$E$23,1+MAX(0,A384-'难度参数'!$E$21)*'难度参数'!$E$22))*(36+4*7)/(36+7*(D384+1)/2)*E384,0))</x:f>
        <x:v>9686</x:v>
      </x:c>
      <x:c r="AL384" s="119" t="n">
        <x:f>IF(AJ384=0,0,(AJ384-IF(4=D384,1,0))*ROUND(AK384*VLOOKUP(INDEX('章节与怪物'!$E$31:$K$37,B384,4),'章节与怪物'!$A$41:$F$44,2,FALSE),0)+IF(4=D384,ROUND(AK384*'难度参数'!$E$28*'章节与怪物'!$E$17,0),0))</x:f>
        <x:v>496888</x:v>
      </x:c>
      <x:c r="AM384" s="119" t="n">
        <x:f>IF(AJ384=0,0,(AJ384-IF(4=D384,1,0))*VLOOKUP(INDEX('章节与怪物'!$E$31:$K$37,B384,4),'章节与怪物'!$A$41:$F$44,4,FALSE)+IF(4=D384,'难度参数'!$E$30,0))</x:f>
        <x:v>1292</x:v>
      </x:c>
      <x:c r="AN384" s="119" t="n">
        <x:f>IF(5&gt;D384,0,MAX(2,MIN('难度参数'!$E$12,ROUND(('难度参数'!$E$18*POWER(A384,'难度参数'!$E$19)/D384*(0.85+0.3*(5-1)/MAX(1,D384-1))),0)+F384)))</x:f>
        <x:v>40</x:v>
      </x:c>
      <x:c r="AO384" s="119" t="n">
        <x:f>IF(5&gt;D384,0,ROUND(('难度参数'!$E$13*POWER(A384,'难度参数'!$E$20)*MIN('难度参数'!$E$23,1+MAX(0,A384-'难度参数'!$E$21)*'难度参数'!$E$22))*(36+5*7)/(36+7*(D384+1)/2)*E384,0))</x:f>
        <x:v>10745</x:v>
      </x:c>
      <x:c r="AP384" s="119" t="n">
        <x:f>IF(AN384=0,0,(AN384-IF(5=D384,1,0))*ROUND(AO384*VLOOKUP(INDEX('章节与怪物'!$E$31:$K$37,B384,5),'章节与怪物'!$A$41:$F$44,2,FALSE),0)+IF(5=D384,ROUND(AO384*'难度参数'!$E$28*'章节与怪物'!$E$17,0),0))</x:f>
        <x:v>429800</x:v>
      </x:c>
      <x:c r="AQ384" s="119" t="n">
        <x:f>IF(AN384=0,0,(AN384-IF(5=D384,1,0))*VLOOKUP(INDEX('章节与怪物'!$E$31:$K$37,B384,5),'章节与怪物'!$A$41:$F$44,4,FALSE)+IF(5=D384,'难度参数'!$E$30,0))</x:f>
        <x:v>720</x:v>
      </x:c>
      <x:c r="AR384" s="119" t="n">
        <x:f>IF(6&gt;D384,0,MAX(2,MIN('难度参数'!$E$12,ROUND(('难度参数'!$E$18*POWER(A384,'难度参数'!$E$19)/D384*(0.85+0.3*(6-1)/MAX(1,D384-1))),0)+F384)))</x:f>
        <x:v>41</x:v>
      </x:c>
      <x:c r="AS384" s="119" t="n">
        <x:f>IF(6&gt;D384,0,ROUND(('难度参数'!$E$13*POWER(A384,'难度参数'!$E$20)*MIN('难度参数'!$E$23,1+MAX(0,A384-'难度参数'!$E$21)*'难度参数'!$E$22))*(36+6*7)/(36+7*(D384+1)/2)*E384,0))</x:f>
        <x:v>11804</x:v>
      </x:c>
      <x:c r="AT384" s="119" t="n">
        <x:f>IF(AR384=0,0,(AR384-IF(6=D384,1,0))*ROUND(AS384*VLOOKUP(INDEX('章节与怪物'!$E$31:$K$37,B384,6),'章节与怪物'!$A$41:$F$44,2,FALSE),0)+IF(6=D384,ROUND(AS384*'难度参数'!$E$28*'章节与怪物'!$E$17,0),0))</x:f>
        <x:v>822747</x:v>
      </x:c>
      <x:c r="AU384" s="119" t="n">
        <x:f>IF(AR384=0,0,(AR384-IF(6=D384,1,0))*VLOOKUP(INDEX('章节与怪物'!$E$31:$K$37,B384,6),'章节与怪物'!$A$41:$F$44,4,FALSE)+IF(6=D384,'难度参数'!$E$30,0))</x:f>
        <x:v>1148</x:v>
      </x:c>
      <x:c r="AV384" s="119" t="n">
        <x:f>IF(7&gt;D384,0,MAX(2,MIN('难度参数'!$E$12,ROUND(('难度参数'!$E$18*POWER(A384,'难度参数'!$E$19)/D384*(0.85+0.3*(7-1)/MAX(1,D384-1))),0)+F384)))</x:f>
        <x:v>43</x:v>
      </x:c>
      <x:c r="AW384" s="119" t="n">
        <x:f>IF(7&gt;D384,0,ROUND(('难度参数'!$E$13*POWER(A384,'难度参数'!$E$20)*MIN('难度参数'!$E$23,1+MAX(0,A384-'难度参数'!$E$21)*'难度参数'!$E$22))*(36+7*7)/(36+7*(D384+1)/2)*E384,0))</x:f>
        <x:v>12864</x:v>
      </x:c>
      <x:c r="AX384" s="119" t="n">
        <x:f>IF(AV384=0,0,(AV384-IF(7=D384,1,0))*ROUND(AW384*VLOOKUP(INDEX('章节与怪物'!$E$31:$K$37,B384,7),'章节与怪物'!$A$41:$F$44,2,FALSE),0)+IF(7=D384,ROUND(AW384*'难度参数'!$E$28*'章节与怪物'!$E$17,0),0))</x:f>
        <x:v>816847</x:v>
      </x:c>
      <x:c r="AY384" s="119" t="n">
        <x:f>IF(AV384=0,0,(AV384-IF(7=D384,1,0))*VLOOKUP(INDEX('章节与怪物'!$E$31:$K$37,B384,7),'章节与怪物'!$A$41:$F$44,4,FALSE)+IF(7=D384,'难度参数'!$E$30,0))</x:f>
        <x:v>1628</x:v>
      </x:c>
    </x:row>
    <x:row r="385" ht="23" customHeight="1">
      <x:c r="A385" s="119" t="n">
        <x:v>379</x:v>
      </x:c>
      <x:c r="B385" s="119" t="n">
        <x:f>MOD(INT((A385-1)/5),7)+1</x:f>
        <x:v>6</x:v>
      </x:c>
      <x:c r="C385" s="62" t="str">
        <x:f>INDEX('章节与怪物'!$B$31:$B$37,B385)</x:f>
        <x:v>熔岩山脉</x:v>
      </x:c>
      <x:c r="D385" s="119" t="n">
        <x:f>MIN('难度参数'!$E$8,MAX('难度参数'!$E$7,A385))</x:f>
        <x:v>7</x:v>
      </x:c>
      <x:c r="E385" s="106" t="n">
        <x:v>1</x:v>
      </x:c>
      <x:c r="F385" s="106" t="n">
        <x:v>0</x:v>
      </x:c>
      <x:c r="G385" s="106" t="n">
        <x:v>1</x:v>
      </x:c>
      <x:c r="H385" s="119" t="n">
        <x:f>SUM(X385,AB385,AF385,AJ385,AN385,AR385,AV385)</x:f>
        <x:v>264</x:v>
      </x:c>
      <x:c r="I385" s="119" t="n">
        <x:f>SUM(Z385,AD385,AH385,AL385,AP385,AT385,AX385)</x:f>
        <x:v>3508052</x:v>
      </x:c>
      <x:c r="J385" s="119" t="n">
        <x:f>ROUND(INDEX(X385:AY385,1,(D385-1)*4+2)*'难度参数'!$E$28*'章节与怪物'!$E$17,0)</x:f>
        <x:v>87638</x:v>
      </x:c>
      <x:c r="K385" s="119" t="n">
        <x:f>SUM(AA385,AE385,AI385,AM385,AQ385,AU385,AY385)</x:f>
        <x:v>7048</x:v>
      </x:c>
      <x:c r="L385" s="62" t="n">
        <x:f>H385*(ROUNDUP('难度参数'!$E$24/('难度参数'!$E$26*'难度参数'!$E$27),0)*'难度参数'!$E$26)/60</x:f>
        <x:v>3.5200000000000005</x:v>
      </x:c>
      <x:c r="M385" s="62" t="n">
        <x:f>L385+D385*('难度参数'!$E$49+'难度参数'!$E$50)/60</x:f>
        <x:v>4.686666666666667</x:v>
      </x:c>
      <x:c r="N385" s="119" t="n">
        <x:f>ROUNDDOWN(('经济参数'!$E$20+A385*'经济参数'!$E$21)*G385,0)</x:f>
        <x:v>7760</x:v>
      </x:c>
      <x:c r="O385" s="119" t="n">
        <x:f>ROUNDDOWN(MIN('经济参数'!$E$24,'经济参数'!$E$22+A385*'经济参数'!$E$23)*G385,0)</x:f>
        <x:v>0</x:v>
      </x:c>
      <x:c r="P385" s="119" t="n">
        <x:f>ROUNDDOWN((IF(A385&gt;='材料与任务'!$E$31,'材料与任务'!$E$32,IF(A385&gt;='材料与任务'!$E$25,'材料与任务'!$E$26,IF(A385&gt;='材料与任务'!$E$19,'材料与任务'!$E$20,IF(A385&gt;='材料与任务'!$E$13,'材料与任务'!$E$14,'材料与任务'!$E$8)))))*G385,0)</x:f>
        <x:v>6</x:v>
      </x:c>
      <x:c r="Q385" s="119" t="n">
        <x:f>ROUNDDOWN((IF(A385&gt;='材料与任务'!$E$31,'材料与任务'!$E$33,IF(A385&gt;='材料与任务'!$E$25,'材料与任务'!$E$27,IF(A385&gt;='材料与任务'!$E$19,'材料与任务'!$E$21,IF(A385&gt;='材料与任务'!$E$13,'材料与任务'!$E$15,'材料与任务'!$E$9)))))*G385,0)</x:f>
        <x:v>3</x:v>
      </x:c>
      <x:c r="R385" s="110" t="n">
        <x:f>'装备掉落'!$B$38</x:f>
        <x:v>0.6872058758851213</x:v>
      </x:c>
      <x:c r="S385" s="119" t="n">
        <x:f>MAX(IF(VLOOKUP(A385,'装备掉落'!$A$29:$H$34,2,TRUE)&gt;0,1,0),IF(VLOOKUP(A385,'装备掉落'!$A$29:$H$34,3,TRUE)&gt;0,2,0),IF(VLOOKUP(A385,'装备掉落'!$A$29:$H$34,4,TRUE)&gt;0,3,0),IF(VLOOKUP(A385,'装备掉落'!$A$29:$H$34,5,TRUE)&gt;0,4,0),IF(VLOOKUP(A385,'装备掉落'!$A$29:$H$34,6,TRUE)&gt;0,5,0),IF(VLOOKUP(A385,'装备掉落'!$A$29:$H$34,7,TRUE)&gt;0,6,0),IF(VLOOKUP(A385,'装备掉落'!$A$29:$H$34,8,TRUE)&gt;0,7,0))</x:f>
        <x:v>7</x:v>
      </x:c>
      <x:c r="T385" s="119" t="n">
        <x:f>MIN(7,S385+'经济参数'!$E$70)</x:f>
        <x:v>7</x:v>
      </x:c>
      <x:c r="U385" s="119" t="n">
        <x:f>MIN(7,S385+'经济参数'!$E$71)</x:f>
        <x:v>7</x:v>
      </x:c>
      <x:c r="V385" s="119" t="n">
        <x:f>IF(H385&gt;=('难度参数'!$E$52),1,0)+IF(H385&gt;=('难度参数'!$E$52+'难度参数'!$E$53),1,0)+IF(H385&gt;=('难度参数'!$E$52+'难度参数'!$E$53+'难度参数'!$E$54),1,0)+IF(H385&gt;=('难度参数'!$E$52+'难度参数'!$E$53+'难度参数'!$E$54+'难度参数'!$E$55),1,0)+IF(H385&gt;=('难度参数'!$E$52+'难度参数'!$E$53+'难度参数'!$E$54+'难度参数'!$E$55+'难度参数'!$E$56),1,0)+IF(H385&gt;=('难度参数'!$E$52+'难度参数'!$E$53+'难度参数'!$E$54+'难度参数'!$E$55+'难度参数'!$E$56+'难度参数'!$E$57),1,0)</x:f>
        <x:v>6</x:v>
      </x:c>
      <x:c r="W385" s="62" t="str">
        <x:f>IF(L385&gt;'难度参数'!$E$51,"仅出怪已超目标","还需实测")</x:f>
        <x:v>仅出怪已超目标</x:v>
      </x:c>
      <x:c r="X385" s="119" t="n">
        <x:f>IF(1&gt;D385,0,MAX(2,MIN('难度参数'!$E$12,ROUND(('难度参数'!$E$18*POWER(A385,'难度参数'!$E$19)/D385*(0.85+0.3*(1-1)/MAX(1,D385-1))),0)+F385)))</x:f>
        <x:v>32</x:v>
      </x:c>
      <x:c r="Y385" s="119" t="n">
        <x:f>IF(1&gt;D385,0,ROUND(('难度参数'!$E$13*POWER(A385,'难度参数'!$E$20)*MIN('难度参数'!$E$23,1+MAX(0,A385-'难度参数'!$E$21)*'难度参数'!$E$22))*(36+1*7)/(36+7*(D385+1)/2)*E385,0))</x:f>
        <x:v>6520</x:v>
      </x:c>
      <x:c r="Z385" s="119" t="n">
        <x:f>IF(X385=0,0,(X385-IF(1=D385,1,0))*ROUND(Y385*VLOOKUP(INDEX('章节与怪物'!$E$31:$K$37,B385,1),'章节与怪物'!$A$41:$F$44,2,FALSE),0)+IF(1=D385,ROUND(Y385*'难度参数'!$E$28*'章节与怪物'!$E$17,0),0))</x:f>
        <x:v>150208</x:v>
      </x:c>
      <x:c r="AA385" s="119" t="n">
        <x:f>IF(X385=0,0,(X385-IF(1=D385,1,0))*VLOOKUP(INDEX('章节与怪物'!$E$31:$K$37,B385,1),'章节与怪物'!$A$41:$F$44,4,FALSE)+IF(1=D385,'难度参数'!$E$30,0))</x:f>
        <x:v>640</x:v>
      </x:c>
      <x:c r="AB385" s="119" t="n">
        <x:f>IF(2&gt;D385,0,MAX(2,MIN('难度参数'!$E$12,ROUND(('难度参数'!$E$18*POWER(A385,'难度参数'!$E$19)/D385*(0.85+0.3*(2-1)/MAX(1,D385-1))),0)+F385)))</x:f>
        <x:v>34</x:v>
      </x:c>
      <x:c r="AC385" s="119" t="n">
        <x:f>IF(2&gt;D385,0,ROUND(('难度参数'!$E$13*POWER(A385,'难度参数'!$E$20)*MIN('难度参数'!$E$23,1+MAX(0,A385-'难度参数'!$E$21)*'难度参数'!$E$22))*(36+2*7)/(36+7*(D385+1)/2)*E385,0))</x:f>
        <x:v>7581</x:v>
      </x:c>
      <x:c r="AD385" s="119" t="n">
        <x:f>IF(AB385=0,0,(AB385-IF(2=D385,1,0))*ROUND(AC385*VLOOKUP(INDEX('章节与怪物'!$E$31:$K$37,B385,2),'章节与怪物'!$A$41:$F$44,2,FALSE),0)+IF(2=D385,ROUND(AC385*'难度参数'!$E$28*'章节与怪物'!$E$17,0),0))</x:f>
        <x:v>257754</x:v>
      </x:c>
      <x:c r="AE385" s="119" t="n">
        <x:f>IF(AB385=0,0,(AB385-IF(2=D385,1,0))*VLOOKUP(INDEX('章节与怪物'!$E$31:$K$37,B385,2),'章节与怪物'!$A$41:$F$44,4,FALSE)+IF(2=D385,'难度参数'!$E$30,0))</x:f>
        <x:v>612</x:v>
      </x:c>
      <x:c r="AF385" s="119" t="n">
        <x:f>IF(3&gt;D385,0,MAX(2,MIN('难度参数'!$E$12,ROUND(('难度参数'!$E$18*POWER(A385,'难度参数'!$E$19)/D385*(0.85+0.3*(3-1)/MAX(1,D385-1))),0)+F385)))</x:f>
        <x:v>36</x:v>
      </x:c>
      <x:c r="AG385" s="119" t="n">
        <x:f>IF(3&gt;D385,0,ROUND(('难度参数'!$E$13*POWER(A385,'难度参数'!$E$20)*MIN('难度参数'!$E$23,1+MAX(0,A385-'难度参数'!$E$21)*'难度参数'!$E$22))*(36+3*7)/(36+7*(D385+1)/2)*E385,0))</x:f>
        <x:v>8643</x:v>
      </x:c>
      <x:c r="AH385" s="119" t="n">
        <x:f>IF(AF385=0,0,(AF385-IF(3=D385,1,0))*ROUND(AG385*VLOOKUP(INDEX('章节与怪物'!$E$31:$K$37,B385,3),'章节与怪物'!$A$41:$F$44,2,FALSE),0)+IF(3=D385,ROUND(AG385*'难度参数'!$E$28*'章节与怪物'!$E$17,0),0))</x:f>
        <x:v>528948</x:v>
      </x:c>
      <x:c r="AI385" s="119" t="n">
        <x:f>IF(AF385=0,0,(AF385-IF(3=D385,1,0))*VLOOKUP(INDEX('章节与怪物'!$E$31:$K$37,B385,3),'章节与怪物'!$A$41:$F$44,4,FALSE)+IF(3=D385,'难度参数'!$E$30,0))</x:f>
        <x:v>1008</x:v>
      </x:c>
      <x:c r="AJ385" s="119" t="n">
        <x:f>IF(4&gt;D385,0,MAX(2,MIN('难度参数'!$E$12,ROUND(('难度参数'!$E$18*POWER(A385,'难度参数'!$E$19)/D385*(0.85+0.3*(4-1)/MAX(1,D385-1))),0)+F385)))</x:f>
        <x:v>38</x:v>
      </x:c>
      <x:c r="AK385" s="119" t="n">
        <x:f>IF(4&gt;D385,0,ROUND(('难度参数'!$E$13*POWER(A385,'难度参数'!$E$20)*MIN('难度参数'!$E$23,1+MAX(0,A385-'难度参数'!$E$21)*'难度参数'!$E$22))*(36+4*7)/(36+7*(D385+1)/2)*E385,0))</x:f>
        <x:v>9704</x:v>
      </x:c>
      <x:c r="AL385" s="119" t="n">
        <x:f>IF(AJ385=0,0,(AJ385-IF(4=D385,1,0))*ROUND(AK385*VLOOKUP(INDEX('章节与怪物'!$E$31:$K$37,B385,4),'章节与怪物'!$A$41:$F$44,2,FALSE),0)+IF(4=D385,ROUND(AK385*'难度参数'!$E$28*'章节与怪物'!$E$17,0),0))</x:f>
        <x:v>497800</x:v>
      </x:c>
      <x:c r="AM385" s="119" t="n">
        <x:f>IF(AJ385=0,0,(AJ385-IF(4=D385,1,0))*VLOOKUP(INDEX('章节与怪物'!$E$31:$K$37,B385,4),'章节与怪物'!$A$41:$F$44,4,FALSE)+IF(4=D385,'难度参数'!$E$30,0))</x:f>
        <x:v>1292</x:v>
      </x:c>
      <x:c r="AN385" s="119" t="n">
        <x:f>IF(5&gt;D385,0,MAX(2,MIN('难度参数'!$E$12,ROUND(('难度参数'!$E$18*POWER(A385,'难度参数'!$E$19)/D385*(0.85+0.3*(5-1)/MAX(1,D385-1))),0)+F385)))</x:f>
        <x:v>40</x:v>
      </x:c>
      <x:c r="AO385" s="119" t="n">
        <x:f>IF(5&gt;D385,0,ROUND(('难度参数'!$E$13*POWER(A385,'难度参数'!$E$20)*MIN('难度参数'!$E$23,1+MAX(0,A385-'难度参数'!$E$21)*'难度参数'!$E$22))*(36+5*7)/(36+7*(D385+1)/2)*E385,0))</x:f>
        <x:v>10765</x:v>
      </x:c>
      <x:c r="AP385" s="119" t="n">
        <x:f>IF(AN385=0,0,(AN385-IF(5=D385,1,0))*ROUND(AO385*VLOOKUP(INDEX('章节与怪物'!$E$31:$K$37,B385,5),'章节与怪物'!$A$41:$F$44,2,FALSE),0)+IF(5=D385,ROUND(AO385*'难度参数'!$E$28*'章节与怪物'!$E$17,0),0))</x:f>
        <x:v>430600</x:v>
      </x:c>
      <x:c r="AQ385" s="119" t="n">
        <x:f>IF(AN385=0,0,(AN385-IF(5=D385,1,0))*VLOOKUP(INDEX('章节与怪物'!$E$31:$K$37,B385,5),'章节与怪物'!$A$41:$F$44,4,FALSE)+IF(5=D385,'难度参数'!$E$30,0))</x:f>
        <x:v>720</x:v>
      </x:c>
      <x:c r="AR385" s="119" t="n">
        <x:f>IF(6&gt;D385,0,MAX(2,MIN('难度参数'!$E$12,ROUND(('难度参数'!$E$18*POWER(A385,'难度参数'!$E$19)/D385*(0.85+0.3*(6-1)/MAX(1,D385-1))),0)+F385)))</x:f>
        <x:v>41</x:v>
      </x:c>
      <x:c r="AS385" s="119" t="n">
        <x:f>IF(6&gt;D385,0,ROUND(('难度参数'!$E$13*POWER(A385,'难度参数'!$E$20)*MIN('难度参数'!$E$23,1+MAX(0,A385-'难度参数'!$E$21)*'难度参数'!$E$22))*(36+6*7)/(36+7*(D385+1)/2)*E385,0))</x:f>
        <x:v>11827</x:v>
      </x:c>
      <x:c r="AT385" s="119" t="n">
        <x:f>IF(AR385=0,0,(AR385-IF(6=D385,1,0))*ROUND(AS385*VLOOKUP(INDEX('章节与怪物'!$E$31:$K$37,B385,6),'章节与怪物'!$A$41:$F$44,2,FALSE),0)+IF(6=D385,ROUND(AS385*'难度参数'!$E$28*'章节与怪物'!$E$17,0),0))</x:f>
        <x:v>824346</x:v>
      </x:c>
      <x:c r="AU385" s="119" t="n">
        <x:f>IF(AR385=0,0,(AR385-IF(6=D385,1,0))*VLOOKUP(INDEX('章节与怪物'!$E$31:$K$37,B385,6),'章节与怪物'!$A$41:$F$44,4,FALSE)+IF(6=D385,'难度参数'!$E$30,0))</x:f>
        <x:v>1148</x:v>
      </x:c>
      <x:c r="AV385" s="119" t="n">
        <x:f>IF(7&gt;D385,0,MAX(2,MIN('难度参数'!$E$12,ROUND(('难度参数'!$E$18*POWER(A385,'难度参数'!$E$19)/D385*(0.85+0.3*(7-1)/MAX(1,D385-1))),0)+F385)))</x:f>
        <x:v>43</x:v>
      </x:c>
      <x:c r="AW385" s="119" t="n">
        <x:f>IF(7&gt;D385,0,ROUND(('难度参数'!$E$13*POWER(A385,'难度参数'!$E$20)*MIN('难度参数'!$E$23,1+MAX(0,A385-'难度参数'!$E$21)*'难度参数'!$E$22))*(36+7*7)/(36+7*(D385+1)/2)*E385,0))</x:f>
        <x:v>12888</x:v>
      </x:c>
      <x:c r="AX385" s="119" t="n">
        <x:f>IF(AV385=0,0,(AV385-IF(7=D385,1,0))*ROUND(AW385*VLOOKUP(INDEX('章节与怪物'!$E$31:$K$37,B385,7),'章节与怪物'!$A$41:$F$44,2,FALSE),0)+IF(7=D385,ROUND(AW385*'难度参数'!$E$28*'章节与怪物'!$E$17,0),0))</x:f>
        <x:v>818396</x:v>
      </x:c>
      <x:c r="AY385" s="119" t="n">
        <x:f>IF(AV385=0,0,(AV385-IF(7=D385,1,0))*VLOOKUP(INDEX('章节与怪物'!$E$31:$K$37,B385,7),'章节与怪物'!$A$41:$F$44,4,FALSE)+IF(7=D385,'难度参数'!$E$30,0))</x:f>
        <x:v>1628</x:v>
      </x:c>
    </x:row>
    <x:row r="386" ht="23" customHeight="1">
      <x:c r="A386" s="119" t="n">
        <x:v>380</x:v>
      </x:c>
      <x:c r="B386" s="119" t="n">
        <x:f>MOD(INT((A386-1)/5),7)+1</x:f>
        <x:v>6</x:v>
      </x:c>
      <x:c r="C386" s="62" t="str">
        <x:f>INDEX('章节与怪物'!$B$31:$B$37,B386)</x:f>
        <x:v>熔岩山脉</x:v>
      </x:c>
      <x:c r="D386" s="119" t="n">
        <x:f>MIN('难度参数'!$E$8,MAX('难度参数'!$E$7,A386))</x:f>
        <x:v>7</x:v>
      </x:c>
      <x:c r="E386" s="106" t="n">
        <x:v>1</x:v>
      </x:c>
      <x:c r="F386" s="106" t="n">
        <x:v>0</x:v>
      </x:c>
      <x:c r="G386" s="106" t="n">
        <x:v>1</x:v>
      </x:c>
      <x:c r="H386" s="119" t="n">
        <x:f>SUM(X386,AB386,AF386,AJ386,AN386,AR386,AV386)</x:f>
        <x:v>264</x:v>
      </x:c>
      <x:c r="I386" s="119" t="n">
        <x:f>SUM(Z386,AD386,AH386,AL386,AP386,AT386,AX386)</x:f>
        <x:v>3514765</x:v>
      </x:c>
      <x:c r="J386" s="119" t="n">
        <x:f>ROUND(INDEX(X386:AY386,1,(D386-1)*4+2)*'难度参数'!$E$28*'章节与怪物'!$E$17,0)</x:f>
        <x:v>87808</x:v>
      </x:c>
      <x:c r="K386" s="119" t="n">
        <x:f>SUM(AA386,AE386,AI386,AM386,AQ386,AU386,AY386)</x:f>
        <x:v>7048</x:v>
      </x:c>
      <x:c r="L386" s="62" t="n">
        <x:f>H386*(ROUNDUP('难度参数'!$E$24/('难度参数'!$E$26*'难度参数'!$E$27),0)*'难度参数'!$E$26)/60</x:f>
        <x:v>3.5200000000000005</x:v>
      </x:c>
      <x:c r="M386" s="62" t="n">
        <x:f>L386+D386*('难度参数'!$E$49+'难度参数'!$E$50)/60</x:f>
        <x:v>4.686666666666667</x:v>
      </x:c>
      <x:c r="N386" s="119" t="n">
        <x:f>ROUNDDOWN(('经济参数'!$E$20+A386*'经济参数'!$E$21)*G386,0)</x:f>
        <x:v>7780</x:v>
      </x:c>
      <x:c r="O386" s="119" t="n">
        <x:f>ROUNDDOWN(MIN('经济参数'!$E$24,'经济参数'!$E$22+A386*'经济参数'!$E$23)*G386,0)</x:f>
        <x:v>0</x:v>
      </x:c>
      <x:c r="P386" s="119" t="n">
        <x:f>ROUNDDOWN((IF(A386&gt;='材料与任务'!$E$31,'材料与任务'!$E$32,IF(A386&gt;='材料与任务'!$E$25,'材料与任务'!$E$26,IF(A386&gt;='材料与任务'!$E$19,'材料与任务'!$E$20,IF(A386&gt;='材料与任务'!$E$13,'材料与任务'!$E$14,'材料与任务'!$E$8)))))*G386,0)</x:f>
        <x:v>6</x:v>
      </x:c>
      <x:c r="Q386" s="119" t="n">
        <x:f>ROUNDDOWN((IF(A386&gt;='材料与任务'!$E$31,'材料与任务'!$E$33,IF(A386&gt;='材料与任务'!$E$25,'材料与任务'!$E$27,IF(A386&gt;='材料与任务'!$E$19,'材料与任务'!$E$21,IF(A386&gt;='材料与任务'!$E$13,'材料与任务'!$E$15,'材料与任务'!$E$9)))))*G386,0)</x:f>
        <x:v>3</x:v>
      </x:c>
      <x:c r="R386" s="110" t="n">
        <x:f>'装备掉落'!$B$38</x:f>
        <x:v>0.6872058758851213</x:v>
      </x:c>
      <x:c r="S386" s="119" t="n">
        <x:f>MAX(IF(VLOOKUP(A386,'装备掉落'!$A$29:$H$34,2,TRUE)&gt;0,1,0),IF(VLOOKUP(A386,'装备掉落'!$A$29:$H$34,3,TRUE)&gt;0,2,0),IF(VLOOKUP(A386,'装备掉落'!$A$29:$H$34,4,TRUE)&gt;0,3,0),IF(VLOOKUP(A386,'装备掉落'!$A$29:$H$34,5,TRUE)&gt;0,4,0),IF(VLOOKUP(A386,'装备掉落'!$A$29:$H$34,6,TRUE)&gt;0,5,0),IF(VLOOKUP(A386,'装备掉落'!$A$29:$H$34,7,TRUE)&gt;0,6,0),IF(VLOOKUP(A386,'装备掉落'!$A$29:$H$34,8,TRUE)&gt;0,7,0))</x:f>
        <x:v>7</x:v>
      </x:c>
      <x:c r="T386" s="119" t="n">
        <x:f>MIN(7,S386+'经济参数'!$E$70)</x:f>
        <x:v>7</x:v>
      </x:c>
      <x:c r="U386" s="119" t="n">
        <x:f>MIN(7,S386+'经济参数'!$E$71)</x:f>
        <x:v>7</x:v>
      </x:c>
      <x:c r="V386" s="119" t="n">
        <x:f>IF(H386&gt;=('难度参数'!$E$52),1,0)+IF(H386&gt;=('难度参数'!$E$52+'难度参数'!$E$53),1,0)+IF(H386&gt;=('难度参数'!$E$52+'难度参数'!$E$53+'难度参数'!$E$54),1,0)+IF(H386&gt;=('难度参数'!$E$52+'难度参数'!$E$53+'难度参数'!$E$54+'难度参数'!$E$55),1,0)+IF(H386&gt;=('难度参数'!$E$52+'难度参数'!$E$53+'难度参数'!$E$54+'难度参数'!$E$55+'难度参数'!$E$56),1,0)+IF(H386&gt;=('难度参数'!$E$52+'难度参数'!$E$53+'难度参数'!$E$54+'难度参数'!$E$55+'难度参数'!$E$56+'难度参数'!$E$57),1,0)</x:f>
        <x:v>6</x:v>
      </x:c>
      <x:c r="W386" s="62" t="str">
        <x:f>IF(L386&gt;'难度参数'!$E$51,"仅出怪已超目标","还需实测")</x:f>
        <x:v>仅出怪已超目标</x:v>
      </x:c>
      <x:c r="X386" s="119" t="n">
        <x:f>IF(1&gt;D386,0,MAX(2,MIN('难度参数'!$E$12,ROUND(('难度参数'!$E$18*POWER(A386,'难度参数'!$E$19)/D386*(0.85+0.3*(1-1)/MAX(1,D386-1))),0)+F386)))</x:f>
        <x:v>32</x:v>
      </x:c>
      <x:c r="Y386" s="119" t="n">
        <x:f>IF(1&gt;D386,0,ROUND(('难度参数'!$E$13*POWER(A386,'难度参数'!$E$20)*MIN('难度参数'!$E$23,1+MAX(0,A386-'难度参数'!$E$21)*'难度参数'!$E$22))*(36+1*7)/(36+7*(D386+1)/2)*E386,0))</x:f>
        <x:v>6532</x:v>
      </x:c>
      <x:c r="Z386" s="119" t="n">
        <x:f>IF(X386=0,0,(X386-IF(1=D386,1,0))*ROUND(Y386*VLOOKUP(INDEX('章节与怪物'!$E$31:$K$37,B386,1),'章节与怪物'!$A$41:$F$44,2,FALSE),0)+IF(1=D386,ROUND(Y386*'难度参数'!$E$28*'章节与怪物'!$E$17,0),0))</x:f>
        <x:v>150496</x:v>
      </x:c>
      <x:c r="AA386" s="119" t="n">
        <x:f>IF(X386=0,0,(X386-IF(1=D386,1,0))*VLOOKUP(INDEX('章节与怪物'!$E$31:$K$37,B386,1),'章节与怪物'!$A$41:$F$44,4,FALSE)+IF(1=D386,'难度参数'!$E$30,0))</x:f>
        <x:v>640</x:v>
      </x:c>
      <x:c r="AB386" s="119" t="n">
        <x:f>IF(2&gt;D386,0,MAX(2,MIN('难度参数'!$E$12,ROUND(('难度参数'!$E$18*POWER(A386,'难度参数'!$E$19)/D386*(0.85+0.3*(2-1)/MAX(1,D386-1))),0)+F386)))</x:f>
        <x:v>34</x:v>
      </x:c>
      <x:c r="AC386" s="119" t="n">
        <x:f>IF(2&gt;D386,0,ROUND(('难度参数'!$E$13*POWER(A386,'难度参数'!$E$20)*MIN('难度参数'!$E$23,1+MAX(0,A386-'难度参数'!$E$21)*'难度参数'!$E$22))*(36+2*7)/(36+7*(D386+1)/2)*E386,0))</x:f>
        <x:v>7596</x:v>
      </x:c>
      <x:c r="AD386" s="119" t="n">
        <x:f>IF(AB386=0,0,(AB386-IF(2=D386,1,0))*ROUND(AC386*VLOOKUP(INDEX('章节与怪物'!$E$31:$K$37,B386,2),'章节与怪物'!$A$41:$F$44,2,FALSE),0)+IF(2=D386,ROUND(AC386*'难度参数'!$E$28*'章节与怪物'!$E$17,0),0))</x:f>
        <x:v>258264</x:v>
      </x:c>
      <x:c r="AE386" s="119" t="n">
        <x:f>IF(AB386=0,0,(AB386-IF(2=D386,1,0))*VLOOKUP(INDEX('章节与怪物'!$E$31:$K$37,B386,2),'章节与怪物'!$A$41:$F$44,4,FALSE)+IF(2=D386,'难度参数'!$E$30,0))</x:f>
        <x:v>612</x:v>
      </x:c>
      <x:c r="AF386" s="119" t="n">
        <x:f>IF(3&gt;D386,0,MAX(2,MIN('难度参数'!$E$12,ROUND(('难度参数'!$E$18*POWER(A386,'难度参数'!$E$19)/D386*(0.85+0.3*(3-1)/MAX(1,D386-1))),0)+F386)))</x:f>
        <x:v>36</x:v>
      </x:c>
      <x:c r="AG386" s="119" t="n">
        <x:f>IF(3&gt;D386,0,ROUND(('难度参数'!$E$13*POWER(A386,'难度参数'!$E$20)*MIN('难度参数'!$E$23,1+MAX(0,A386-'难度参数'!$E$21)*'难度参数'!$E$22))*(36+3*7)/(36+7*(D386+1)/2)*E386,0))</x:f>
        <x:v>8659</x:v>
      </x:c>
      <x:c r="AH386" s="119" t="n">
        <x:f>IF(AF386=0,0,(AF386-IF(3=D386,1,0))*ROUND(AG386*VLOOKUP(INDEX('章节与怪物'!$E$31:$K$37,B386,3),'章节与怪物'!$A$41:$F$44,2,FALSE),0)+IF(3=D386,ROUND(AG386*'难度参数'!$E$28*'章节与怪物'!$E$17,0),0))</x:f>
        <x:v>529920</x:v>
      </x:c>
      <x:c r="AI386" s="119" t="n">
        <x:f>IF(AF386=0,0,(AF386-IF(3=D386,1,0))*VLOOKUP(INDEX('章节与怪物'!$E$31:$K$37,B386,3),'章节与怪物'!$A$41:$F$44,4,FALSE)+IF(3=D386,'难度参数'!$E$30,0))</x:f>
        <x:v>1008</x:v>
      </x:c>
      <x:c r="AJ386" s="119" t="n">
        <x:f>IF(4&gt;D386,0,MAX(2,MIN('难度参数'!$E$12,ROUND(('难度参数'!$E$18*POWER(A386,'难度参数'!$E$19)/D386*(0.85+0.3*(4-1)/MAX(1,D386-1))),0)+F386)))</x:f>
        <x:v>38</x:v>
      </x:c>
      <x:c r="AK386" s="119" t="n">
        <x:f>IF(4&gt;D386,0,ROUND(('难度参数'!$E$13*POWER(A386,'难度参数'!$E$20)*MIN('难度参数'!$E$23,1+MAX(0,A386-'难度参数'!$E$21)*'难度参数'!$E$22))*(36+4*7)/(36+7*(D386+1)/2)*E386,0))</x:f>
        <x:v>9723</x:v>
      </x:c>
      <x:c r="AL386" s="119" t="n">
        <x:f>IF(AJ386=0,0,(AJ386-IF(4=D386,1,0))*ROUND(AK386*VLOOKUP(INDEX('章节与怪物'!$E$31:$K$37,B386,4),'章节与怪物'!$A$41:$F$44,2,FALSE),0)+IF(4=D386,ROUND(AK386*'难度参数'!$E$28*'章节与怪物'!$E$17,0),0))</x:f>
        <x:v>498788</x:v>
      </x:c>
      <x:c r="AM386" s="119" t="n">
        <x:f>IF(AJ386=0,0,(AJ386-IF(4=D386,1,0))*VLOOKUP(INDEX('章节与怪物'!$E$31:$K$37,B386,4),'章节与怪物'!$A$41:$F$44,4,FALSE)+IF(4=D386,'难度参数'!$E$30,0))</x:f>
        <x:v>1292</x:v>
      </x:c>
      <x:c r="AN386" s="119" t="n">
        <x:f>IF(5&gt;D386,0,MAX(2,MIN('难度参数'!$E$12,ROUND(('难度参数'!$E$18*POWER(A386,'难度参数'!$E$19)/D386*(0.85+0.3*(5-1)/MAX(1,D386-1))),0)+F386)))</x:f>
        <x:v>40</x:v>
      </x:c>
      <x:c r="AO386" s="119" t="n">
        <x:f>IF(5&gt;D386,0,ROUND(('难度参数'!$E$13*POWER(A386,'难度参数'!$E$20)*MIN('难度参数'!$E$23,1+MAX(0,A386-'难度参数'!$E$21)*'难度参数'!$E$22))*(36+5*7)/(36+7*(D386+1)/2)*E386,0))</x:f>
        <x:v>10786</x:v>
      </x:c>
      <x:c r="AP386" s="119" t="n">
        <x:f>IF(AN386=0,0,(AN386-IF(5=D386,1,0))*ROUND(AO386*VLOOKUP(INDEX('章节与怪物'!$E$31:$K$37,B386,5),'章节与怪物'!$A$41:$F$44,2,FALSE),0)+IF(5=D386,ROUND(AO386*'难度参数'!$E$28*'章节与怪物'!$E$17,0),0))</x:f>
        <x:v>431440</x:v>
      </x:c>
      <x:c r="AQ386" s="119" t="n">
        <x:f>IF(AN386=0,0,(AN386-IF(5=D386,1,0))*VLOOKUP(INDEX('章节与怪物'!$E$31:$K$37,B386,5),'章节与怪物'!$A$41:$F$44,4,FALSE)+IF(5=D386,'难度参数'!$E$30,0))</x:f>
        <x:v>720</x:v>
      </x:c>
      <x:c r="AR386" s="119" t="n">
        <x:f>IF(6&gt;D386,0,MAX(2,MIN('难度参数'!$E$12,ROUND(('难度参数'!$E$18*POWER(A386,'难度参数'!$E$19)/D386*(0.85+0.3*(6-1)/MAX(1,D386-1))),0)+F386)))</x:f>
        <x:v>41</x:v>
      </x:c>
      <x:c r="AS386" s="119" t="n">
        <x:f>IF(6&gt;D386,0,ROUND(('难度参数'!$E$13*POWER(A386,'难度参数'!$E$20)*MIN('难度参数'!$E$23,1+MAX(0,A386-'难度参数'!$E$21)*'难度参数'!$E$22))*(36+6*7)/(36+7*(D386+1)/2)*E386,0))</x:f>
        <x:v>11849</x:v>
      </x:c>
      <x:c r="AT386" s="119" t="n">
        <x:f>IF(AR386=0,0,(AR386-IF(6=D386,1,0))*ROUND(AS386*VLOOKUP(INDEX('章节与怪物'!$E$31:$K$37,B386,6),'章节与怪物'!$A$41:$F$44,2,FALSE),0)+IF(6=D386,ROUND(AS386*'难度参数'!$E$28*'章节与怪物'!$E$17,0),0))</x:f>
        <x:v>825863</x:v>
      </x:c>
      <x:c r="AU386" s="119" t="n">
        <x:f>IF(AR386=0,0,(AR386-IF(6=D386,1,0))*VLOOKUP(INDEX('章节与怪物'!$E$31:$K$37,B386,6),'章节与怪物'!$A$41:$F$44,4,FALSE)+IF(6=D386,'难度参数'!$E$30,0))</x:f>
        <x:v>1148</x:v>
      </x:c>
      <x:c r="AV386" s="119" t="n">
        <x:f>IF(7&gt;D386,0,MAX(2,MIN('难度参数'!$E$12,ROUND(('难度参数'!$E$18*POWER(A386,'难度参数'!$E$19)/D386*(0.85+0.3*(7-1)/MAX(1,D386-1))),0)+F386)))</x:f>
        <x:v>43</x:v>
      </x:c>
      <x:c r="AW386" s="119" t="n">
        <x:f>IF(7&gt;D386,0,ROUND(('难度参数'!$E$13*POWER(A386,'难度参数'!$E$20)*MIN('难度参数'!$E$23,1+MAX(0,A386-'难度参数'!$E$21)*'难度参数'!$E$22))*(36+7*7)/(36+7*(D386+1)/2)*E386,0))</x:f>
        <x:v>12913</x:v>
      </x:c>
      <x:c r="AX386" s="119" t="n">
        <x:f>IF(AV386=0,0,(AV386-IF(7=D386,1,0))*ROUND(AW386*VLOOKUP(INDEX('章节与怪物'!$E$31:$K$37,B386,7),'章节与怪物'!$A$41:$F$44,2,FALSE),0)+IF(7=D386,ROUND(AW386*'难度参数'!$E$28*'章节与怪物'!$E$17,0),0))</x:f>
        <x:v>819994</x:v>
      </x:c>
      <x:c r="AY386" s="119" t="n">
        <x:f>IF(AV386=0,0,(AV386-IF(7=D386,1,0))*VLOOKUP(INDEX('章节与怪物'!$E$31:$K$37,B386,7),'章节与怪物'!$A$41:$F$44,4,FALSE)+IF(7=D386,'难度参数'!$E$30,0))</x:f>
        <x:v>1628</x:v>
      </x:c>
    </x:row>
    <x:row r="387" ht="23" customHeight="1">
      <x:c r="A387" s="119" t="n">
        <x:v>381</x:v>
      </x:c>
      <x:c r="B387" s="119" t="n">
        <x:f>MOD(INT((A387-1)/5),7)+1</x:f>
        <x:v>7</x:v>
      </x:c>
      <x:c r="C387" s="62" t="str">
        <x:f>INDEX('章节与怪物'!$B$31:$B$37,B387)</x:f>
        <x:v>魔法山脊</x:v>
      </x:c>
      <x:c r="D387" s="119" t="n">
        <x:f>MIN('难度参数'!$E$8,MAX('难度参数'!$E$7,A387))</x:f>
        <x:v>7</x:v>
      </x:c>
      <x:c r="E387" s="106" t="n">
        <x:v>1</x:v>
      </x:c>
      <x:c r="F387" s="106" t="n">
        <x:v>0</x:v>
      </x:c>
      <x:c r="G387" s="106" t="n">
        <x:v>1</x:v>
      </x:c>
      <x:c r="H387" s="119" t="n">
        <x:f>SUM(X387,AB387,AF387,AJ387,AN387,AR387,AV387)</x:f>
        <x:v>265</x:v>
      </x:c>
      <x:c r="I387" s="119" t="n">
        <x:f>SUM(Z387,AD387,AH387,AL387,AP387,AT387,AX387)</x:f>
        <x:v>3406736</x:v>
      </x:c>
      <x:c r="J387" s="119" t="n">
        <x:f>ROUND(INDEX(X387:AY387,1,(D387-1)*4+2)*'难度参数'!$E$28*'章节与怪物'!$E$17,0)</x:f>
        <x:v>87972</x:v>
      </x:c>
      <x:c r="K387" s="119" t="n">
        <x:f>SUM(AA387,AE387,AI387,AM387,AQ387,AU387,AY387)</x:f>
        <x:v>7160</x:v>
      </x:c>
      <x:c r="L387" s="62" t="n">
        <x:f>H387*(ROUNDUP('难度参数'!$E$24/('难度参数'!$E$26*'难度参数'!$E$27),0)*'难度参数'!$E$26)/60</x:f>
        <x:v>3.533333333333333</x:v>
      </x:c>
      <x:c r="M387" s="62" t="n">
        <x:f>L387+D387*('难度参数'!$E$49+'难度参数'!$E$50)/60</x:f>
        <x:v>4.7</x:v>
      </x:c>
      <x:c r="N387" s="119" t="n">
        <x:f>ROUNDDOWN(('经济参数'!$E$20+A387*'经济参数'!$E$21)*G387,0)</x:f>
        <x:v>7800</x:v>
      </x:c>
      <x:c r="O387" s="119" t="n">
        <x:f>ROUNDDOWN(MIN('经济参数'!$E$24,'经济参数'!$E$22+A387*'经济参数'!$E$23)*G387,0)</x:f>
        <x:v>0</x:v>
      </x:c>
      <x:c r="P387" s="119" t="n">
        <x:f>ROUNDDOWN((IF(A387&gt;='材料与任务'!$E$31,'材料与任务'!$E$32,IF(A387&gt;='材料与任务'!$E$25,'材料与任务'!$E$26,IF(A387&gt;='材料与任务'!$E$19,'材料与任务'!$E$20,IF(A387&gt;='材料与任务'!$E$13,'材料与任务'!$E$14,'材料与任务'!$E$8)))))*G387,0)</x:f>
        <x:v>6</x:v>
      </x:c>
      <x:c r="Q387" s="119" t="n">
        <x:f>ROUNDDOWN((IF(A387&gt;='材料与任务'!$E$31,'材料与任务'!$E$33,IF(A387&gt;='材料与任务'!$E$25,'材料与任务'!$E$27,IF(A387&gt;='材料与任务'!$E$19,'材料与任务'!$E$21,IF(A387&gt;='材料与任务'!$E$13,'材料与任务'!$E$15,'材料与任务'!$E$9)))))*G387,0)</x:f>
        <x:v>3</x:v>
      </x:c>
      <x:c r="R387" s="110" t="n">
        <x:f>'装备掉落'!$B$38</x:f>
        <x:v>0.6872058758851213</x:v>
      </x:c>
      <x:c r="S387" s="119" t="n">
        <x:f>MAX(IF(VLOOKUP(A387,'装备掉落'!$A$29:$H$34,2,TRUE)&gt;0,1,0),IF(VLOOKUP(A387,'装备掉落'!$A$29:$H$34,3,TRUE)&gt;0,2,0),IF(VLOOKUP(A387,'装备掉落'!$A$29:$H$34,4,TRUE)&gt;0,3,0),IF(VLOOKUP(A387,'装备掉落'!$A$29:$H$34,5,TRUE)&gt;0,4,0),IF(VLOOKUP(A387,'装备掉落'!$A$29:$H$34,6,TRUE)&gt;0,5,0),IF(VLOOKUP(A387,'装备掉落'!$A$29:$H$34,7,TRUE)&gt;0,6,0),IF(VLOOKUP(A387,'装备掉落'!$A$29:$H$34,8,TRUE)&gt;0,7,0))</x:f>
        <x:v>7</x:v>
      </x:c>
      <x:c r="T387" s="119" t="n">
        <x:f>MIN(7,S387+'经济参数'!$E$70)</x:f>
        <x:v>7</x:v>
      </x:c>
      <x:c r="U387" s="119" t="n">
        <x:f>MIN(7,S387+'经济参数'!$E$71)</x:f>
        <x:v>7</x:v>
      </x:c>
      <x:c r="V387" s="119" t="n">
        <x:f>IF(H387&gt;=('难度参数'!$E$52),1,0)+IF(H387&gt;=('难度参数'!$E$52+'难度参数'!$E$53),1,0)+IF(H387&gt;=('难度参数'!$E$52+'难度参数'!$E$53+'难度参数'!$E$54),1,0)+IF(H387&gt;=('难度参数'!$E$52+'难度参数'!$E$53+'难度参数'!$E$54+'难度参数'!$E$55),1,0)+IF(H387&gt;=('难度参数'!$E$52+'难度参数'!$E$53+'难度参数'!$E$54+'难度参数'!$E$55+'难度参数'!$E$56),1,0)+IF(H387&gt;=('难度参数'!$E$52+'难度参数'!$E$53+'难度参数'!$E$54+'难度参数'!$E$55+'难度参数'!$E$56+'难度参数'!$E$57),1,0)</x:f>
        <x:v>6</x:v>
      </x:c>
      <x:c r="W387" s="62" t="str">
        <x:f>IF(L387&gt;'难度参数'!$E$51,"仅出怪已超目标","还需实测")</x:f>
        <x:v>仅出怪已超目标</x:v>
      </x:c>
      <x:c r="X387" s="119" t="n">
        <x:f>IF(1&gt;D387,0,MAX(2,MIN('难度参数'!$E$12,ROUND(('难度参数'!$E$18*POWER(A387,'难度参数'!$E$19)/D387*(0.85+0.3*(1-1)/MAX(1,D387-1))),0)+F387)))</x:f>
        <x:v>32</x:v>
      </x:c>
      <x:c r="Y387" s="119" t="n">
        <x:f>IF(1&gt;D387,0,ROUND(('难度参数'!$E$13*POWER(A387,'难度参数'!$E$20)*MIN('难度参数'!$E$23,1+MAX(0,A387-'难度参数'!$E$21)*'难度参数'!$E$22))*(36+1*7)/(36+7*(D387+1)/2)*E387,0))</x:f>
        <x:v>6545</x:v>
      </x:c>
      <x:c r="Z387" s="119" t="n">
        <x:f>IF(X387=0,0,(X387-IF(1=D387,1,0))*ROUND(Y387*VLOOKUP(INDEX('章节与怪物'!$E$31:$K$37,B387,1),'章节与怪物'!$A$41:$F$44,2,FALSE),0)+IF(1=D387,ROUND(Y387*'难度参数'!$E$28*'章节与怪物'!$E$17,0),0))</x:f>
        <x:v>209440</x:v>
      </x:c>
      <x:c r="AA387" s="119" t="n">
        <x:f>IF(X387=0,0,(X387-IF(1=D387,1,0))*VLOOKUP(INDEX('章节与怪物'!$E$31:$K$37,B387,1),'章节与怪物'!$A$41:$F$44,4,FALSE)+IF(1=D387,'难度参数'!$E$30,0))</x:f>
        <x:v>576</x:v>
      </x:c>
      <x:c r="AB387" s="119" t="n">
        <x:f>IF(2&gt;D387,0,MAX(2,MIN('难度参数'!$E$12,ROUND(('难度参数'!$E$18*POWER(A387,'难度参数'!$E$19)/D387*(0.85+0.3*(2-1)/MAX(1,D387-1))),0)+F387)))</x:f>
        <x:v>34</x:v>
      </x:c>
      <x:c r="AC387" s="119" t="n">
        <x:f>IF(2&gt;D387,0,ROUND(('难度参数'!$E$13*POWER(A387,'难度参数'!$E$20)*MIN('难度参数'!$E$23,1+MAX(0,A387-'难度参数'!$E$21)*'难度参数'!$E$22))*(36+2*7)/(36+7*(D387+1)/2)*E387,0))</x:f>
        <x:v>7610</x:v>
      </x:c>
      <x:c r="AD387" s="119" t="n">
        <x:f>IF(AB387=0,0,(AB387-IF(2=D387,1,0))*ROUND(AC387*VLOOKUP(INDEX('章节与怪物'!$E$31:$K$37,B387,2),'章节与怪物'!$A$41:$F$44,2,FALSE),0)+IF(2=D387,ROUND(AC387*'难度参数'!$E$28*'章节与怪物'!$E$17,0),0))</x:f>
        <x:v>186286</x:v>
      </x:c>
      <x:c r="AE387" s="119" t="n">
        <x:f>IF(AB387=0,0,(AB387-IF(2=D387,1,0))*VLOOKUP(INDEX('章节与怪物'!$E$31:$K$37,B387,2),'章节与怪物'!$A$41:$F$44,4,FALSE)+IF(2=D387,'难度参数'!$E$30,0))</x:f>
        <x:v>680</x:v>
      </x:c>
      <x:c r="AF387" s="119" t="n">
        <x:f>IF(3&gt;D387,0,MAX(2,MIN('难度参数'!$E$12,ROUND(('难度参数'!$E$18*POWER(A387,'难度参数'!$E$19)/D387*(0.85+0.3*(3-1)/MAX(1,D387-1))),0)+F387)))</x:f>
        <x:v>36</x:v>
      </x:c>
      <x:c r="AG387" s="119" t="n">
        <x:f>IF(3&gt;D387,0,ROUND(('难度参数'!$E$13*POWER(A387,'难度参数'!$E$20)*MIN('难度参数'!$E$23,1+MAX(0,A387-'难度参数'!$E$21)*'难度参数'!$E$22))*(36+3*7)/(36+7*(D387+1)/2)*E387,0))</x:f>
        <x:v>8676</x:v>
      </x:c>
      <x:c r="AH387" s="119" t="n">
        <x:f>IF(AF387=0,0,(AF387-IF(3=D387,1,0))*ROUND(AG387*VLOOKUP(INDEX('章节与怪物'!$E$31:$K$37,B387,3),'章节与怪物'!$A$41:$F$44,2,FALSE),0)+IF(3=D387,ROUND(AG387*'难度参数'!$E$28*'章节与怪物'!$E$17,0),0))</x:f>
        <x:v>530964</x:v>
      </x:c>
      <x:c r="AI387" s="119" t="n">
        <x:f>IF(AF387=0,0,(AF387-IF(3=D387,1,0))*VLOOKUP(INDEX('章节与怪物'!$E$31:$K$37,B387,3),'章节与怪物'!$A$41:$F$44,4,FALSE)+IF(3=D387,'难度参数'!$E$30,0))</x:f>
        <x:v>1008</x:v>
      </x:c>
      <x:c r="AJ387" s="119" t="n">
        <x:f>IF(4&gt;D387,0,MAX(2,MIN('难度参数'!$E$12,ROUND(('难度参数'!$E$18*POWER(A387,'难度参数'!$E$19)/D387*(0.85+0.3*(4-1)/MAX(1,D387-1))),0)+F387)))</x:f>
        <x:v>38</x:v>
      </x:c>
      <x:c r="AK387" s="119" t="n">
        <x:f>IF(4&gt;D387,0,ROUND(('难度参数'!$E$13*POWER(A387,'难度参数'!$E$20)*MIN('难度参数'!$E$23,1+MAX(0,A387-'难度参数'!$E$21)*'难度参数'!$E$22))*(36+4*7)/(36+7*(D387+1)/2)*E387,0))</x:f>
        <x:v>9741</x:v>
      </x:c>
      <x:c r="AL387" s="119" t="n">
        <x:f>IF(AJ387=0,0,(AJ387-IF(4=D387,1,0))*ROUND(AK387*VLOOKUP(INDEX('章节与怪物'!$E$31:$K$37,B387,4),'章节与怪物'!$A$41:$F$44,2,FALSE),0)+IF(4=D387,ROUND(AK387*'难度参数'!$E$28*'章节与怪物'!$E$17,0),0))</x:f>
        <x:v>499700</x:v>
      </x:c>
      <x:c r="AM387" s="119" t="n">
        <x:f>IF(AJ387=0,0,(AJ387-IF(4=D387,1,0))*VLOOKUP(INDEX('章节与怪物'!$E$31:$K$37,B387,4),'章节与怪物'!$A$41:$F$44,4,FALSE)+IF(4=D387,'难度参数'!$E$30,0))</x:f>
        <x:v>1292</x:v>
      </x:c>
      <x:c r="AN387" s="119" t="n">
        <x:f>IF(5&gt;D387,0,MAX(2,MIN('难度参数'!$E$12,ROUND(('难度参数'!$E$18*POWER(A387,'难度参数'!$E$19)/D387*(0.85+0.3*(5-1)/MAX(1,D387-1))),0)+F387)))</x:f>
        <x:v>40</x:v>
      </x:c>
      <x:c r="AO387" s="119" t="n">
        <x:f>IF(5&gt;D387,0,ROUND(('难度参数'!$E$13*POWER(A387,'难度参数'!$E$20)*MIN('难度参数'!$E$23,1+MAX(0,A387-'难度参数'!$E$21)*'难度参数'!$E$22))*(36+5*7)/(36+7*(D387+1)/2)*E387,0))</x:f>
        <x:v>10806</x:v>
      </x:c>
      <x:c r="AP387" s="119" t="n">
        <x:f>IF(AN387=0,0,(AN387-IF(5=D387,1,0))*ROUND(AO387*VLOOKUP(INDEX('章节与怪物'!$E$31:$K$37,B387,5),'章节与怪物'!$A$41:$F$44,2,FALSE),0)+IF(5=D387,ROUND(AO387*'难度参数'!$E$28*'章节与怪物'!$E$17,0),0))</x:f>
        <x:v>311200</x:v>
      </x:c>
      <x:c r="AQ387" s="119" t="n">
        <x:f>IF(AN387=0,0,(AN387-IF(5=D387,1,0))*VLOOKUP(INDEX('章节与怪物'!$E$31:$K$37,B387,5),'章节与怪物'!$A$41:$F$44,4,FALSE)+IF(5=D387,'难度参数'!$E$30,0))</x:f>
        <x:v>800</x:v>
      </x:c>
      <x:c r="AR387" s="119" t="n">
        <x:f>IF(6&gt;D387,0,MAX(2,MIN('难度参数'!$E$12,ROUND(('难度参数'!$E$18*POWER(A387,'难度参数'!$E$19)/D387*(0.85+0.3*(6-1)/MAX(1,D387-1))),0)+F387)))</x:f>
        <x:v>42</x:v>
      </x:c>
      <x:c r="AS387" s="119" t="n">
        <x:f>IF(6&gt;D387,0,ROUND(('难度参数'!$E$13*POWER(A387,'难度参数'!$E$20)*MIN('难度参数'!$E$23,1+MAX(0,A387-'难度参数'!$E$21)*'难度参数'!$E$22))*(36+6*7)/(36+7*(D387+1)/2)*E387,0))</x:f>
        <x:v>11872</x:v>
      </x:c>
      <x:c r="AT387" s="119" t="n">
        <x:f>IF(AR387=0,0,(AR387-IF(6=D387,1,0))*ROUND(AS387*VLOOKUP(INDEX('章节与怪物'!$E$31:$K$37,B387,6),'章节与怪物'!$A$41:$F$44,2,FALSE),0)+IF(6=D387,ROUND(AS387*'难度参数'!$E$28*'章节与怪物'!$E$17,0),0))</x:f>
        <x:v>847644</x:v>
      </x:c>
      <x:c r="AU387" s="119" t="n">
        <x:f>IF(AR387=0,0,(AR387-IF(6=D387,1,0))*VLOOKUP(INDEX('章节与怪物'!$E$31:$K$37,B387,6),'章节与怪物'!$A$41:$F$44,4,FALSE)+IF(6=D387,'难度参数'!$E$30,0))</x:f>
        <x:v>1176</x:v>
      </x:c>
      <x:c r="AV387" s="119" t="n">
        <x:f>IF(7&gt;D387,0,MAX(2,MIN('难度参数'!$E$12,ROUND(('难度参数'!$E$18*POWER(A387,'难度参数'!$E$19)/D387*(0.85+0.3*(7-1)/MAX(1,D387-1))),0)+F387)))</x:f>
        <x:v>43</x:v>
      </x:c>
      <x:c r="AW387" s="119" t="n">
        <x:f>IF(7&gt;D387,0,ROUND(('难度参数'!$E$13*POWER(A387,'难度参数'!$E$20)*MIN('难度参数'!$E$23,1+MAX(0,A387-'难度参数'!$E$21)*'难度参数'!$E$22))*(36+7*7)/(36+7*(D387+1)/2)*E387,0))</x:f>
        <x:v>12937</x:v>
      </x:c>
      <x:c r="AX387" s="119" t="n">
        <x:f>IF(AV387=0,0,(AV387-IF(7=D387,1,0))*ROUND(AW387*VLOOKUP(INDEX('章节与怪物'!$E$31:$K$37,B387,7),'章节与怪物'!$A$41:$F$44,2,FALSE),0)+IF(7=D387,ROUND(AW387*'难度参数'!$E$28*'章节与怪物'!$E$17,0),0))</x:f>
        <x:v>821502</x:v>
      </x:c>
      <x:c r="AY387" s="119" t="n">
        <x:f>IF(AV387=0,0,(AV387-IF(7=D387,1,0))*VLOOKUP(INDEX('章节与怪物'!$E$31:$K$37,B387,7),'章节与怪物'!$A$41:$F$44,4,FALSE)+IF(7=D387,'难度参数'!$E$30,0))</x:f>
        <x:v>1628</x:v>
      </x:c>
    </x:row>
    <x:row r="388" ht="23" customHeight="1">
      <x:c r="A388" s="119" t="n">
        <x:v>382</x:v>
      </x:c>
      <x:c r="B388" s="119" t="n">
        <x:f>MOD(INT((A388-1)/5),7)+1</x:f>
        <x:v>7</x:v>
      </x:c>
      <x:c r="C388" s="62" t="str">
        <x:f>INDEX('章节与怪物'!$B$31:$B$37,B388)</x:f>
        <x:v>魔法山脊</x:v>
      </x:c>
      <x:c r="D388" s="119" t="n">
        <x:f>MIN('难度参数'!$E$8,MAX('难度参数'!$E$7,A388))</x:f>
        <x:v>7</x:v>
      </x:c>
      <x:c r="E388" s="106" t="n">
        <x:v>1</x:v>
      </x:c>
      <x:c r="F388" s="106" t="n">
        <x:v>0</x:v>
      </x:c>
      <x:c r="G388" s="106" t="n">
        <x:v>1</x:v>
      </x:c>
      <x:c r="H388" s="119" t="n">
        <x:f>SUM(X388,AB388,AF388,AJ388,AN388,AR388,AV388)</x:f>
        <x:v>265</x:v>
      </x:c>
      <x:c r="I388" s="119" t="n">
        <x:f>SUM(Z388,AD388,AH388,AL388,AP388,AT388,AX388)</x:f>
        <x:v>3413176</x:v>
      </x:c>
      <x:c r="J388" s="119" t="n">
        <x:f>ROUND(INDEX(X388:AY388,1,(D388-1)*4+2)*'难度参数'!$E$28*'章节与怪物'!$E$17,0)</x:f>
        <x:v>88142</x:v>
      </x:c>
      <x:c r="K388" s="119" t="n">
        <x:f>SUM(AA388,AE388,AI388,AM388,AQ388,AU388,AY388)</x:f>
        <x:v>7160</x:v>
      </x:c>
      <x:c r="L388" s="62" t="n">
        <x:f>H388*(ROUNDUP('难度参数'!$E$24/('难度参数'!$E$26*'难度参数'!$E$27),0)*'难度参数'!$E$26)/60</x:f>
        <x:v>3.533333333333333</x:v>
      </x:c>
      <x:c r="M388" s="62" t="n">
        <x:f>L388+D388*('难度参数'!$E$49+'难度参数'!$E$50)/60</x:f>
        <x:v>4.7</x:v>
      </x:c>
      <x:c r="N388" s="119" t="n">
        <x:f>ROUNDDOWN(('经济参数'!$E$20+A388*'经济参数'!$E$21)*G388,0)</x:f>
        <x:v>7820</x:v>
      </x:c>
      <x:c r="O388" s="119" t="n">
        <x:f>ROUNDDOWN(MIN('经济参数'!$E$24,'经济参数'!$E$22+A388*'经济参数'!$E$23)*G388,0)</x:f>
        <x:v>0</x:v>
      </x:c>
      <x:c r="P388" s="119" t="n">
        <x:f>ROUNDDOWN((IF(A388&gt;='材料与任务'!$E$31,'材料与任务'!$E$32,IF(A388&gt;='材料与任务'!$E$25,'材料与任务'!$E$26,IF(A388&gt;='材料与任务'!$E$19,'材料与任务'!$E$20,IF(A388&gt;='材料与任务'!$E$13,'材料与任务'!$E$14,'材料与任务'!$E$8)))))*G388,0)</x:f>
        <x:v>6</x:v>
      </x:c>
      <x:c r="Q388" s="119" t="n">
        <x:f>ROUNDDOWN((IF(A388&gt;='材料与任务'!$E$31,'材料与任务'!$E$33,IF(A388&gt;='材料与任务'!$E$25,'材料与任务'!$E$27,IF(A388&gt;='材料与任务'!$E$19,'材料与任务'!$E$21,IF(A388&gt;='材料与任务'!$E$13,'材料与任务'!$E$15,'材料与任务'!$E$9)))))*G388,0)</x:f>
        <x:v>3</x:v>
      </x:c>
      <x:c r="R388" s="110" t="n">
        <x:f>'装备掉落'!$B$38</x:f>
        <x:v>0.6872058758851213</x:v>
      </x:c>
      <x:c r="S388" s="119" t="n">
        <x:f>MAX(IF(VLOOKUP(A388,'装备掉落'!$A$29:$H$34,2,TRUE)&gt;0,1,0),IF(VLOOKUP(A388,'装备掉落'!$A$29:$H$34,3,TRUE)&gt;0,2,0),IF(VLOOKUP(A388,'装备掉落'!$A$29:$H$34,4,TRUE)&gt;0,3,0),IF(VLOOKUP(A388,'装备掉落'!$A$29:$H$34,5,TRUE)&gt;0,4,0),IF(VLOOKUP(A388,'装备掉落'!$A$29:$H$34,6,TRUE)&gt;0,5,0),IF(VLOOKUP(A388,'装备掉落'!$A$29:$H$34,7,TRUE)&gt;0,6,0),IF(VLOOKUP(A388,'装备掉落'!$A$29:$H$34,8,TRUE)&gt;0,7,0))</x:f>
        <x:v>7</x:v>
      </x:c>
      <x:c r="T388" s="119" t="n">
        <x:f>MIN(7,S388+'经济参数'!$E$70)</x:f>
        <x:v>7</x:v>
      </x:c>
      <x:c r="U388" s="119" t="n">
        <x:f>MIN(7,S388+'经济参数'!$E$71)</x:f>
        <x:v>7</x:v>
      </x:c>
      <x:c r="V388" s="119" t="n">
        <x:f>IF(H388&gt;=('难度参数'!$E$52),1,0)+IF(H388&gt;=('难度参数'!$E$52+'难度参数'!$E$53),1,0)+IF(H388&gt;=('难度参数'!$E$52+'难度参数'!$E$53+'难度参数'!$E$54),1,0)+IF(H388&gt;=('难度参数'!$E$52+'难度参数'!$E$53+'难度参数'!$E$54+'难度参数'!$E$55),1,0)+IF(H388&gt;=('难度参数'!$E$52+'难度参数'!$E$53+'难度参数'!$E$54+'难度参数'!$E$55+'难度参数'!$E$56),1,0)+IF(H388&gt;=('难度参数'!$E$52+'难度参数'!$E$53+'难度参数'!$E$54+'难度参数'!$E$55+'难度参数'!$E$56+'难度参数'!$E$57),1,0)</x:f>
        <x:v>6</x:v>
      </x:c>
      <x:c r="W388" s="62" t="str">
        <x:f>IF(L388&gt;'难度参数'!$E$51,"仅出怪已超目标","还需实测")</x:f>
        <x:v>仅出怪已超目标</x:v>
      </x:c>
      <x:c r="X388" s="119" t="n">
        <x:f>IF(1&gt;D388,0,MAX(2,MIN('难度参数'!$E$12,ROUND(('难度参数'!$E$18*POWER(A388,'难度参数'!$E$19)/D388*(0.85+0.3*(1-1)/MAX(1,D388-1))),0)+F388)))</x:f>
        <x:v>32</x:v>
      </x:c>
      <x:c r="Y388" s="119" t="n">
        <x:f>IF(1&gt;D388,0,ROUND(('难度参数'!$E$13*POWER(A388,'难度参数'!$E$20)*MIN('难度参数'!$E$23,1+MAX(0,A388-'难度参数'!$E$21)*'难度参数'!$E$22))*(36+1*7)/(36+7*(D388+1)/2)*E388,0))</x:f>
        <x:v>6557</x:v>
      </x:c>
      <x:c r="Z388" s="119" t="n">
        <x:f>IF(X388=0,0,(X388-IF(1=D388,1,0))*ROUND(Y388*VLOOKUP(INDEX('章节与怪物'!$E$31:$K$37,B388,1),'章节与怪物'!$A$41:$F$44,2,FALSE),0)+IF(1=D388,ROUND(Y388*'难度参数'!$E$28*'章节与怪物'!$E$17,0),0))</x:f>
        <x:v>209824</x:v>
      </x:c>
      <x:c r="AA388" s="119" t="n">
        <x:f>IF(X388=0,0,(X388-IF(1=D388,1,0))*VLOOKUP(INDEX('章节与怪物'!$E$31:$K$37,B388,1),'章节与怪物'!$A$41:$F$44,4,FALSE)+IF(1=D388,'难度参数'!$E$30,0))</x:f>
        <x:v>576</x:v>
      </x:c>
      <x:c r="AB388" s="119" t="n">
        <x:f>IF(2&gt;D388,0,MAX(2,MIN('难度参数'!$E$12,ROUND(('难度参数'!$E$18*POWER(A388,'难度参数'!$E$19)/D388*(0.85+0.3*(2-1)/MAX(1,D388-1))),0)+F388)))</x:f>
        <x:v>34</x:v>
      </x:c>
      <x:c r="AC388" s="119" t="n">
        <x:f>IF(2&gt;D388,0,ROUND(('难度参数'!$E$13*POWER(A388,'难度参数'!$E$20)*MIN('难度参数'!$E$23,1+MAX(0,A388-'难度参数'!$E$21)*'难度参数'!$E$22))*(36+2*7)/(36+7*(D388+1)/2)*E388,0))</x:f>
        <x:v>7624</x:v>
      </x:c>
      <x:c r="AD388" s="119" t="n">
        <x:f>IF(AB388=0,0,(AB388-IF(2=D388,1,0))*ROUND(AC388*VLOOKUP(INDEX('章节与怪物'!$E$31:$K$37,B388,2),'章节与怪物'!$A$41:$F$44,2,FALSE),0)+IF(2=D388,ROUND(AC388*'难度参数'!$E$28*'章节与怪物'!$E$17,0),0))</x:f>
        <x:v>186626</x:v>
      </x:c>
      <x:c r="AE388" s="119" t="n">
        <x:f>IF(AB388=0,0,(AB388-IF(2=D388,1,0))*VLOOKUP(INDEX('章节与怪物'!$E$31:$K$37,B388,2),'章节与怪物'!$A$41:$F$44,4,FALSE)+IF(2=D388,'难度参数'!$E$30,0))</x:f>
        <x:v>680</x:v>
      </x:c>
      <x:c r="AF388" s="119" t="n">
        <x:f>IF(3&gt;D388,0,MAX(2,MIN('难度参数'!$E$12,ROUND(('难度参数'!$E$18*POWER(A388,'难度参数'!$E$19)/D388*(0.85+0.3*(3-1)/MAX(1,D388-1))),0)+F388)))</x:f>
        <x:v>36</x:v>
      </x:c>
      <x:c r="AG388" s="119" t="n">
        <x:f>IF(3&gt;D388,0,ROUND(('难度参数'!$E$13*POWER(A388,'难度参数'!$E$20)*MIN('难度参数'!$E$23,1+MAX(0,A388-'难度参数'!$E$21)*'难度参数'!$E$22))*(36+3*7)/(36+7*(D388+1)/2)*E388,0))</x:f>
        <x:v>8692</x:v>
      </x:c>
      <x:c r="AH388" s="119" t="n">
        <x:f>IF(AF388=0,0,(AF388-IF(3=D388,1,0))*ROUND(AG388*VLOOKUP(INDEX('章节与怪物'!$E$31:$K$37,B388,3),'章节与怪物'!$A$41:$F$44,2,FALSE),0)+IF(3=D388,ROUND(AG388*'难度参数'!$E$28*'章节与怪物'!$E$17,0),0))</x:f>
        <x:v>531936</x:v>
      </x:c>
      <x:c r="AI388" s="119" t="n">
        <x:f>IF(AF388=0,0,(AF388-IF(3=D388,1,0))*VLOOKUP(INDEX('章节与怪物'!$E$31:$K$37,B388,3),'章节与怪物'!$A$41:$F$44,4,FALSE)+IF(3=D388,'难度参数'!$E$30,0))</x:f>
        <x:v>1008</x:v>
      </x:c>
      <x:c r="AJ388" s="119" t="n">
        <x:f>IF(4&gt;D388,0,MAX(2,MIN('难度参数'!$E$12,ROUND(('难度参数'!$E$18*POWER(A388,'难度参数'!$E$19)/D388*(0.85+0.3*(4-1)/MAX(1,D388-1))),0)+F388)))</x:f>
        <x:v>38</x:v>
      </x:c>
      <x:c r="AK388" s="119" t="n">
        <x:f>IF(4&gt;D388,0,ROUND(('难度参数'!$E$13*POWER(A388,'难度参数'!$E$20)*MIN('难度参数'!$E$23,1+MAX(0,A388-'难度参数'!$E$21)*'难度参数'!$E$22))*(36+4*7)/(36+7*(D388+1)/2)*E388,0))</x:f>
        <x:v>9759</x:v>
      </x:c>
      <x:c r="AL388" s="119" t="n">
        <x:f>IF(AJ388=0,0,(AJ388-IF(4=D388,1,0))*ROUND(AK388*VLOOKUP(INDEX('章节与怪物'!$E$31:$K$37,B388,4),'章节与怪物'!$A$41:$F$44,2,FALSE),0)+IF(4=D388,ROUND(AK388*'难度参数'!$E$28*'章节与怪物'!$E$17,0),0))</x:f>
        <x:v>500650</x:v>
      </x:c>
      <x:c r="AM388" s="119" t="n">
        <x:f>IF(AJ388=0,0,(AJ388-IF(4=D388,1,0))*VLOOKUP(INDEX('章节与怪物'!$E$31:$K$37,B388,4),'章节与怪物'!$A$41:$F$44,4,FALSE)+IF(4=D388,'难度参数'!$E$30,0))</x:f>
        <x:v>1292</x:v>
      </x:c>
      <x:c r="AN388" s="119" t="n">
        <x:f>IF(5&gt;D388,0,MAX(2,MIN('难度参数'!$E$12,ROUND(('难度参数'!$E$18*POWER(A388,'难度参数'!$E$19)/D388*(0.85+0.3*(5-1)/MAX(1,D388-1))),0)+F388)))</x:f>
        <x:v>40</x:v>
      </x:c>
      <x:c r="AO388" s="119" t="n">
        <x:f>IF(5&gt;D388,0,ROUND(('难度参数'!$E$13*POWER(A388,'难度参数'!$E$20)*MIN('难度参数'!$E$23,1+MAX(0,A388-'难度参数'!$E$21)*'难度参数'!$E$22))*(36+5*7)/(36+7*(D388+1)/2)*E388,0))</x:f>
        <x:v>10827</x:v>
      </x:c>
      <x:c r="AP388" s="119" t="n">
        <x:f>IF(AN388=0,0,(AN388-IF(5=D388,1,0))*ROUND(AO388*VLOOKUP(INDEX('章节与怪物'!$E$31:$K$37,B388,5),'章节与怪物'!$A$41:$F$44,2,FALSE),0)+IF(5=D388,ROUND(AO388*'难度参数'!$E$28*'章节与怪物'!$E$17,0),0))</x:f>
        <x:v>311800</x:v>
      </x:c>
      <x:c r="AQ388" s="119" t="n">
        <x:f>IF(AN388=0,0,(AN388-IF(5=D388,1,0))*VLOOKUP(INDEX('章节与怪物'!$E$31:$K$37,B388,5),'章节与怪物'!$A$41:$F$44,4,FALSE)+IF(5=D388,'难度参数'!$E$30,0))</x:f>
        <x:v>800</x:v>
      </x:c>
      <x:c r="AR388" s="119" t="n">
        <x:f>IF(6&gt;D388,0,MAX(2,MIN('难度参数'!$E$12,ROUND(('难度参数'!$E$18*POWER(A388,'难度参数'!$E$19)/D388*(0.85+0.3*(6-1)/MAX(1,D388-1))),0)+F388)))</x:f>
        <x:v>42</x:v>
      </x:c>
      <x:c r="AS388" s="119" t="n">
        <x:f>IF(6&gt;D388,0,ROUND(('难度参数'!$E$13*POWER(A388,'难度参数'!$E$20)*MIN('难度参数'!$E$23,1+MAX(0,A388-'难度参数'!$E$21)*'难度参数'!$E$22))*(36+6*7)/(36+7*(D388+1)/2)*E388,0))</x:f>
        <x:v>11894</x:v>
      </x:c>
      <x:c r="AT388" s="119" t="n">
        <x:f>IF(AR388=0,0,(AR388-IF(6=D388,1,0))*ROUND(AS388*VLOOKUP(INDEX('章节与怪物'!$E$31:$K$37,B388,6),'章节与怪物'!$A$41:$F$44,2,FALSE),0)+IF(6=D388,ROUND(AS388*'难度参数'!$E$28*'章节与怪物'!$E$17,0),0))</x:f>
        <x:v>849240</x:v>
      </x:c>
      <x:c r="AU388" s="119" t="n">
        <x:f>IF(AR388=0,0,(AR388-IF(6=D388,1,0))*VLOOKUP(INDEX('章节与怪物'!$E$31:$K$37,B388,6),'章节与怪物'!$A$41:$F$44,4,FALSE)+IF(6=D388,'难度参数'!$E$30,0))</x:f>
        <x:v>1176</x:v>
      </x:c>
      <x:c r="AV388" s="119" t="n">
        <x:f>IF(7&gt;D388,0,MAX(2,MIN('难度参数'!$E$12,ROUND(('难度参数'!$E$18*POWER(A388,'难度参数'!$E$19)/D388*(0.85+0.3*(7-1)/MAX(1,D388-1))),0)+F388)))</x:f>
        <x:v>43</x:v>
      </x:c>
      <x:c r="AW388" s="119" t="n">
        <x:f>IF(7&gt;D388,0,ROUND(('难度参数'!$E$13*POWER(A388,'难度参数'!$E$20)*MIN('难度参数'!$E$23,1+MAX(0,A388-'难度参数'!$E$21)*'难度参数'!$E$22))*(36+7*7)/(36+7*(D388+1)/2)*E388,0))</x:f>
        <x:v>12962</x:v>
      </x:c>
      <x:c r="AX388" s="119" t="n">
        <x:f>IF(AV388=0,0,(AV388-IF(7=D388,1,0))*ROUND(AW388*VLOOKUP(INDEX('章节与怪物'!$E$31:$K$37,B388,7),'章节与怪物'!$A$41:$F$44,2,FALSE),0)+IF(7=D388,ROUND(AW388*'难度参数'!$E$28*'章节与怪物'!$E$17,0),0))</x:f>
        <x:v>823100</x:v>
      </x:c>
      <x:c r="AY388" s="119" t="n">
        <x:f>IF(AV388=0,0,(AV388-IF(7=D388,1,0))*VLOOKUP(INDEX('章节与怪物'!$E$31:$K$37,B388,7),'章节与怪物'!$A$41:$F$44,4,FALSE)+IF(7=D388,'难度参数'!$E$30,0))</x:f>
        <x:v>1628</x:v>
      </x:c>
    </x:row>
    <x:row r="389" ht="23" customHeight="1">
      <x:c r="A389" s="119" t="n">
        <x:v>383</x:v>
      </x:c>
      <x:c r="B389" s="119" t="n">
        <x:f>MOD(INT((A389-1)/5),7)+1</x:f>
        <x:v>7</x:v>
      </x:c>
      <x:c r="C389" s="62" t="str">
        <x:f>INDEX('章节与怪物'!$B$31:$B$37,B389)</x:f>
        <x:v>魔法山脊</x:v>
      </x:c>
      <x:c r="D389" s="119" t="n">
        <x:f>MIN('难度参数'!$E$8,MAX('难度参数'!$E$7,A389))</x:f>
        <x:v>7</x:v>
      </x:c>
      <x:c r="E389" s="106" t="n">
        <x:v>1</x:v>
      </x:c>
      <x:c r="F389" s="106" t="n">
        <x:v>0</x:v>
      </x:c>
      <x:c r="G389" s="106" t="n">
        <x:v>1</x:v>
      </x:c>
      <x:c r="H389" s="119" t="n">
        <x:f>SUM(X389,AB389,AF389,AJ389,AN389,AR389,AV389)</x:f>
        <x:v>265</x:v>
      </x:c>
      <x:c r="I389" s="119" t="n">
        <x:f>SUM(Z389,AD389,AH389,AL389,AP389,AT389,AX389)</x:f>
        <x:v>3419637</x:v>
      </x:c>
      <x:c r="J389" s="119" t="n">
        <x:f>ROUND(INDEX(X389:AY389,1,(D389-1)*4+2)*'难度参数'!$E$28*'章节与怪物'!$E$17,0)</x:f>
        <x:v>88305</x:v>
      </x:c>
      <x:c r="K389" s="119" t="n">
        <x:f>SUM(AA389,AE389,AI389,AM389,AQ389,AU389,AY389)</x:f>
        <x:v>7160</x:v>
      </x:c>
      <x:c r="L389" s="62" t="n">
        <x:f>H389*(ROUNDUP('难度参数'!$E$24/('难度参数'!$E$26*'难度参数'!$E$27),0)*'难度参数'!$E$26)/60</x:f>
        <x:v>3.533333333333333</x:v>
      </x:c>
      <x:c r="M389" s="62" t="n">
        <x:f>L389+D389*('难度参数'!$E$49+'难度参数'!$E$50)/60</x:f>
        <x:v>4.7</x:v>
      </x:c>
      <x:c r="N389" s="119" t="n">
        <x:f>ROUNDDOWN(('经济参数'!$E$20+A389*'经济参数'!$E$21)*G389,0)</x:f>
        <x:v>7840</x:v>
      </x:c>
      <x:c r="O389" s="119" t="n">
        <x:f>ROUNDDOWN(MIN('经济参数'!$E$24,'经济参数'!$E$22+A389*'经济参数'!$E$23)*G389,0)</x:f>
        <x:v>0</x:v>
      </x:c>
      <x:c r="P389" s="119" t="n">
        <x:f>ROUNDDOWN((IF(A389&gt;='材料与任务'!$E$31,'材料与任务'!$E$32,IF(A389&gt;='材料与任务'!$E$25,'材料与任务'!$E$26,IF(A389&gt;='材料与任务'!$E$19,'材料与任务'!$E$20,IF(A389&gt;='材料与任务'!$E$13,'材料与任务'!$E$14,'材料与任务'!$E$8)))))*G389,0)</x:f>
        <x:v>6</x:v>
      </x:c>
      <x:c r="Q389" s="119" t="n">
        <x:f>ROUNDDOWN((IF(A389&gt;='材料与任务'!$E$31,'材料与任务'!$E$33,IF(A389&gt;='材料与任务'!$E$25,'材料与任务'!$E$27,IF(A389&gt;='材料与任务'!$E$19,'材料与任务'!$E$21,IF(A389&gt;='材料与任务'!$E$13,'材料与任务'!$E$15,'材料与任务'!$E$9)))))*G389,0)</x:f>
        <x:v>3</x:v>
      </x:c>
      <x:c r="R389" s="110" t="n">
        <x:f>'装备掉落'!$B$38</x:f>
        <x:v>0.6872058758851213</x:v>
      </x:c>
      <x:c r="S389" s="119" t="n">
        <x:f>MAX(IF(VLOOKUP(A389,'装备掉落'!$A$29:$H$34,2,TRUE)&gt;0,1,0),IF(VLOOKUP(A389,'装备掉落'!$A$29:$H$34,3,TRUE)&gt;0,2,0),IF(VLOOKUP(A389,'装备掉落'!$A$29:$H$34,4,TRUE)&gt;0,3,0),IF(VLOOKUP(A389,'装备掉落'!$A$29:$H$34,5,TRUE)&gt;0,4,0),IF(VLOOKUP(A389,'装备掉落'!$A$29:$H$34,6,TRUE)&gt;0,5,0),IF(VLOOKUP(A389,'装备掉落'!$A$29:$H$34,7,TRUE)&gt;0,6,0),IF(VLOOKUP(A389,'装备掉落'!$A$29:$H$34,8,TRUE)&gt;0,7,0))</x:f>
        <x:v>7</x:v>
      </x:c>
      <x:c r="T389" s="119" t="n">
        <x:f>MIN(7,S389+'经济参数'!$E$70)</x:f>
        <x:v>7</x:v>
      </x:c>
      <x:c r="U389" s="119" t="n">
        <x:f>MIN(7,S389+'经济参数'!$E$71)</x:f>
        <x:v>7</x:v>
      </x:c>
      <x:c r="V389" s="119" t="n">
        <x:f>IF(H389&gt;=('难度参数'!$E$52),1,0)+IF(H389&gt;=('难度参数'!$E$52+'难度参数'!$E$53),1,0)+IF(H389&gt;=('难度参数'!$E$52+'难度参数'!$E$53+'难度参数'!$E$54),1,0)+IF(H389&gt;=('难度参数'!$E$52+'难度参数'!$E$53+'难度参数'!$E$54+'难度参数'!$E$55),1,0)+IF(H389&gt;=('难度参数'!$E$52+'难度参数'!$E$53+'难度参数'!$E$54+'难度参数'!$E$55+'难度参数'!$E$56),1,0)+IF(H389&gt;=('难度参数'!$E$52+'难度参数'!$E$53+'难度参数'!$E$54+'难度参数'!$E$55+'难度参数'!$E$56+'难度参数'!$E$57),1,0)</x:f>
        <x:v>6</x:v>
      </x:c>
      <x:c r="W389" s="62" t="str">
        <x:f>IF(L389&gt;'难度参数'!$E$51,"仅出怪已超目标","还需实测")</x:f>
        <x:v>仅出怪已超目标</x:v>
      </x:c>
      <x:c r="X389" s="119" t="n">
        <x:f>IF(1&gt;D389,0,MAX(2,MIN('难度参数'!$E$12,ROUND(('难度参数'!$E$18*POWER(A389,'难度参数'!$E$19)/D389*(0.85+0.3*(1-1)/MAX(1,D389-1))),0)+F389)))</x:f>
        <x:v>32</x:v>
      </x:c>
      <x:c r="Y389" s="119" t="n">
        <x:f>IF(1&gt;D389,0,ROUND(('难度参数'!$E$13*POWER(A389,'难度参数'!$E$20)*MIN('难度参数'!$E$23,1+MAX(0,A389-'难度参数'!$E$21)*'难度参数'!$E$22))*(36+1*7)/(36+7*(D389+1)/2)*E389,0))</x:f>
        <x:v>6569</x:v>
      </x:c>
      <x:c r="Z389" s="119" t="n">
        <x:f>IF(X389=0,0,(X389-IF(1=D389,1,0))*ROUND(Y389*VLOOKUP(INDEX('章节与怪物'!$E$31:$K$37,B389,1),'章节与怪物'!$A$41:$F$44,2,FALSE),0)+IF(1=D389,ROUND(Y389*'难度参数'!$E$28*'章节与怪物'!$E$17,0),0))</x:f>
        <x:v>210208</x:v>
      </x:c>
      <x:c r="AA389" s="119" t="n">
        <x:f>IF(X389=0,0,(X389-IF(1=D389,1,0))*VLOOKUP(INDEX('章节与怪物'!$E$31:$K$37,B389,1),'章节与怪物'!$A$41:$F$44,4,FALSE)+IF(1=D389,'难度参数'!$E$30,0))</x:f>
        <x:v>576</x:v>
      </x:c>
      <x:c r="AB389" s="119" t="n">
        <x:f>IF(2&gt;D389,0,MAX(2,MIN('难度参数'!$E$12,ROUND(('难度参数'!$E$18*POWER(A389,'难度参数'!$E$19)/D389*(0.85+0.3*(2-1)/MAX(1,D389-1))),0)+F389)))</x:f>
        <x:v>34</x:v>
      </x:c>
      <x:c r="AC389" s="119" t="n">
        <x:f>IF(2&gt;D389,0,ROUND(('难度参数'!$E$13*POWER(A389,'难度参数'!$E$20)*MIN('难度参数'!$E$23,1+MAX(0,A389-'难度参数'!$E$21)*'难度参数'!$E$22))*(36+2*7)/(36+7*(D389+1)/2)*E389,0))</x:f>
        <x:v>7639</x:v>
      </x:c>
      <x:c r="AD389" s="119" t="n">
        <x:f>IF(AB389=0,0,(AB389-IF(2=D389,1,0))*ROUND(AC389*VLOOKUP(INDEX('章节与怪物'!$E$31:$K$37,B389,2),'章节与怪物'!$A$41:$F$44,2,FALSE),0)+IF(2=D389,ROUND(AC389*'难度参数'!$E$28*'章节与怪物'!$E$17,0),0))</x:f>
        <x:v>187000</x:v>
      </x:c>
      <x:c r="AE389" s="119" t="n">
        <x:f>IF(AB389=0,0,(AB389-IF(2=D389,1,0))*VLOOKUP(INDEX('章节与怪物'!$E$31:$K$37,B389,2),'章节与怪物'!$A$41:$F$44,4,FALSE)+IF(2=D389,'难度参数'!$E$30,0))</x:f>
        <x:v>680</x:v>
      </x:c>
      <x:c r="AF389" s="119" t="n">
        <x:f>IF(3&gt;D389,0,MAX(2,MIN('难度参数'!$E$12,ROUND(('难度参数'!$E$18*POWER(A389,'难度参数'!$E$19)/D389*(0.85+0.3*(3-1)/MAX(1,D389-1))),0)+F389)))</x:f>
        <x:v>36</x:v>
      </x:c>
      <x:c r="AG389" s="119" t="n">
        <x:f>IF(3&gt;D389,0,ROUND(('难度参数'!$E$13*POWER(A389,'难度参数'!$E$20)*MIN('难度参数'!$E$23,1+MAX(0,A389-'难度参数'!$E$21)*'难度参数'!$E$22))*(36+3*7)/(36+7*(D389+1)/2)*E389,0))</x:f>
        <x:v>8708</x:v>
      </x:c>
      <x:c r="AH389" s="119" t="n">
        <x:f>IF(AF389=0,0,(AF389-IF(3=D389,1,0))*ROUND(AG389*VLOOKUP(INDEX('章节与怪物'!$E$31:$K$37,B389,3),'章节与怪物'!$A$41:$F$44,2,FALSE),0)+IF(3=D389,ROUND(AG389*'难度参数'!$E$28*'章节与怪物'!$E$17,0),0))</x:f>
        <x:v>532944</x:v>
      </x:c>
      <x:c r="AI389" s="119" t="n">
        <x:f>IF(AF389=0,0,(AF389-IF(3=D389,1,0))*VLOOKUP(INDEX('章节与怪物'!$E$31:$K$37,B389,3),'章节与怪物'!$A$41:$F$44,4,FALSE)+IF(3=D389,'难度参数'!$E$30,0))</x:f>
        <x:v>1008</x:v>
      </x:c>
      <x:c r="AJ389" s="119" t="n">
        <x:f>IF(4&gt;D389,0,MAX(2,MIN('难度参数'!$E$12,ROUND(('难度参数'!$E$18*POWER(A389,'难度参数'!$E$19)/D389*(0.85+0.3*(4-1)/MAX(1,D389-1))),0)+F389)))</x:f>
        <x:v>38</x:v>
      </x:c>
      <x:c r="AK389" s="119" t="n">
        <x:f>IF(4&gt;D389,0,ROUND(('难度参数'!$E$13*POWER(A389,'难度参数'!$E$20)*MIN('难度参数'!$E$23,1+MAX(0,A389-'难度参数'!$E$21)*'难度参数'!$E$22))*(36+4*7)/(36+7*(D389+1)/2)*E389,0))</x:f>
        <x:v>9778</x:v>
      </x:c>
      <x:c r="AL389" s="119" t="n">
        <x:f>IF(AJ389=0,0,(AJ389-IF(4=D389,1,0))*ROUND(AK389*VLOOKUP(INDEX('章节与怪物'!$E$31:$K$37,B389,4),'章节与怪物'!$A$41:$F$44,2,FALSE),0)+IF(4=D389,ROUND(AK389*'难度参数'!$E$28*'章节与怪物'!$E$17,0),0))</x:f>
        <x:v>501600</x:v>
      </x:c>
      <x:c r="AM389" s="119" t="n">
        <x:f>IF(AJ389=0,0,(AJ389-IF(4=D389,1,0))*VLOOKUP(INDEX('章节与怪物'!$E$31:$K$37,B389,4),'章节与怪物'!$A$41:$F$44,4,FALSE)+IF(4=D389,'难度参数'!$E$30,0))</x:f>
        <x:v>1292</x:v>
      </x:c>
      <x:c r="AN389" s="119" t="n">
        <x:f>IF(5&gt;D389,0,MAX(2,MIN('难度参数'!$E$12,ROUND(('难度参数'!$E$18*POWER(A389,'难度参数'!$E$19)/D389*(0.85+0.3*(5-1)/MAX(1,D389-1))),0)+F389)))</x:f>
        <x:v>40</x:v>
      </x:c>
      <x:c r="AO389" s="119" t="n">
        <x:f>IF(5&gt;D389,0,ROUND(('难度参数'!$E$13*POWER(A389,'难度参数'!$E$20)*MIN('难度参数'!$E$23,1+MAX(0,A389-'难度参数'!$E$21)*'难度参数'!$E$22))*(36+5*7)/(36+7*(D389+1)/2)*E389,0))</x:f>
        <x:v>10847</x:v>
      </x:c>
      <x:c r="AP389" s="119" t="n">
        <x:f>IF(AN389=0,0,(AN389-IF(5=D389,1,0))*ROUND(AO389*VLOOKUP(INDEX('章节与怪物'!$E$31:$K$37,B389,5),'章节与怪物'!$A$41:$F$44,2,FALSE),0)+IF(5=D389,ROUND(AO389*'难度参数'!$E$28*'章节与怪物'!$E$17,0),0))</x:f>
        <x:v>312400</x:v>
      </x:c>
      <x:c r="AQ389" s="119" t="n">
        <x:f>IF(AN389=0,0,(AN389-IF(5=D389,1,0))*VLOOKUP(INDEX('章节与怪物'!$E$31:$K$37,B389,5),'章节与怪物'!$A$41:$F$44,4,FALSE)+IF(5=D389,'难度参数'!$E$30,0))</x:f>
        <x:v>800</x:v>
      </x:c>
      <x:c r="AR389" s="119" t="n">
        <x:f>IF(6&gt;D389,0,MAX(2,MIN('难度参数'!$E$12,ROUND(('难度参数'!$E$18*POWER(A389,'难度参数'!$E$19)/D389*(0.85+0.3*(6-1)/MAX(1,D389-1))),0)+F389)))</x:f>
        <x:v>42</x:v>
      </x:c>
      <x:c r="AS389" s="119" t="n">
        <x:f>IF(6&gt;D389,0,ROUND(('难度参数'!$E$13*POWER(A389,'难度参数'!$E$20)*MIN('难度参数'!$E$23,1+MAX(0,A389-'难度参数'!$E$21)*'难度参数'!$E$22))*(36+6*7)/(36+7*(D389+1)/2)*E389,0))</x:f>
        <x:v>11917</x:v>
      </x:c>
      <x:c r="AT389" s="119" t="n">
        <x:f>IF(AR389=0,0,(AR389-IF(6=D389,1,0))*ROUND(AS389*VLOOKUP(INDEX('章节与怪物'!$E$31:$K$37,B389,6),'章节与怪物'!$A$41:$F$44,2,FALSE),0)+IF(6=D389,ROUND(AS389*'难度参数'!$E$28*'章节与怪物'!$E$17,0),0))</x:f>
        <x:v>850878</x:v>
      </x:c>
      <x:c r="AU389" s="119" t="n">
        <x:f>IF(AR389=0,0,(AR389-IF(6=D389,1,0))*VLOOKUP(INDEX('章节与怪物'!$E$31:$K$37,B389,6),'章节与怪物'!$A$41:$F$44,4,FALSE)+IF(6=D389,'难度参数'!$E$30,0))</x:f>
        <x:v>1176</x:v>
      </x:c>
      <x:c r="AV389" s="119" t="n">
        <x:f>IF(7&gt;D389,0,MAX(2,MIN('难度参数'!$E$12,ROUND(('难度参数'!$E$18*POWER(A389,'难度参数'!$E$19)/D389*(0.85+0.3*(7-1)/MAX(1,D389-1))),0)+F389)))</x:f>
        <x:v>43</x:v>
      </x:c>
      <x:c r="AW389" s="119" t="n">
        <x:f>IF(7&gt;D389,0,ROUND(('难度参数'!$E$13*POWER(A389,'难度参数'!$E$20)*MIN('难度参数'!$E$23,1+MAX(0,A389-'难度参数'!$E$21)*'难度参数'!$E$22))*(36+7*7)/(36+7*(D389+1)/2)*E389,0))</x:f>
        <x:v>12986</x:v>
      </x:c>
      <x:c r="AX389" s="119" t="n">
        <x:f>IF(AV389=0,0,(AV389-IF(7=D389,1,0))*ROUND(AW389*VLOOKUP(INDEX('章节与怪物'!$E$31:$K$37,B389,7),'章节与怪物'!$A$41:$F$44,2,FALSE),0)+IF(7=D389,ROUND(AW389*'难度参数'!$E$28*'章节与怪物'!$E$17,0),0))</x:f>
        <x:v>824607</x:v>
      </x:c>
      <x:c r="AY389" s="119" t="n">
        <x:f>IF(AV389=0,0,(AV389-IF(7=D389,1,0))*VLOOKUP(INDEX('章节与怪物'!$E$31:$K$37,B389,7),'章节与怪物'!$A$41:$F$44,4,FALSE)+IF(7=D389,'难度参数'!$E$30,0))</x:f>
        <x:v>1628</x:v>
      </x:c>
    </x:row>
    <x:row r="390" ht="23" customHeight="1">
      <x:c r="A390" s="119" t="n">
        <x:v>384</x:v>
      </x:c>
      <x:c r="B390" s="119" t="n">
        <x:f>MOD(INT((A390-1)/5),7)+1</x:f>
        <x:v>7</x:v>
      </x:c>
      <x:c r="C390" s="62" t="str">
        <x:f>INDEX('章节与怪物'!$B$31:$B$37,B390)</x:f>
        <x:v>魔法山脊</x:v>
      </x:c>
      <x:c r="D390" s="119" t="n">
        <x:f>MIN('难度参数'!$E$8,MAX('难度参数'!$E$7,A390))</x:f>
        <x:v>7</x:v>
      </x:c>
      <x:c r="E390" s="106" t="n">
        <x:v>1</x:v>
      </x:c>
      <x:c r="F390" s="106" t="n">
        <x:v>0</x:v>
      </x:c>
      <x:c r="G390" s="106" t="n">
        <x:v>1</x:v>
      </x:c>
      <x:c r="H390" s="119" t="n">
        <x:f>SUM(X390,AB390,AF390,AJ390,AN390,AR390,AV390)</x:f>
        <x:v>266</x:v>
      </x:c>
      <x:c r="I390" s="119" t="n">
        <x:f>SUM(Z390,AD390,AH390,AL390,AP390,AT390,AX390)</x:f>
        <x:v>3443654</x:v>
      </x:c>
      <x:c r="J390" s="119" t="n">
        <x:f>ROUND(INDEX(X390:AY390,1,(D390-1)*4+2)*'难度参数'!$E$28*'章节与怪物'!$E$17,0)</x:f>
        <x:v>88468</x:v>
      </x:c>
      <x:c r="K390" s="119" t="n">
        <x:f>SUM(AA390,AE390,AI390,AM390,AQ390,AU390,AY390)</x:f>
        <x:v>7194</x:v>
      </x:c>
      <x:c r="L390" s="62" t="n">
        <x:f>H390*(ROUNDUP('难度参数'!$E$24/('难度参数'!$E$26*'难度参数'!$E$27),0)*'难度参数'!$E$26)/60</x:f>
        <x:v>3.546666666666667</x:v>
      </x:c>
      <x:c r="M390" s="62" t="n">
        <x:f>L390+D390*('难度参数'!$E$49+'难度参数'!$E$50)/60</x:f>
        <x:v>4.713333333333334</x:v>
      </x:c>
      <x:c r="N390" s="119" t="n">
        <x:f>ROUNDDOWN(('经济参数'!$E$20+A390*'经济参数'!$E$21)*G390,0)</x:f>
        <x:v>7860</x:v>
      </x:c>
      <x:c r="O390" s="119" t="n">
        <x:f>ROUNDDOWN(MIN('经济参数'!$E$24,'经济参数'!$E$22+A390*'经济参数'!$E$23)*G390,0)</x:f>
        <x:v>0</x:v>
      </x:c>
      <x:c r="P390" s="119" t="n">
        <x:f>ROUNDDOWN((IF(A390&gt;='材料与任务'!$E$31,'材料与任务'!$E$32,IF(A390&gt;='材料与任务'!$E$25,'材料与任务'!$E$26,IF(A390&gt;='材料与任务'!$E$19,'材料与任务'!$E$20,IF(A390&gt;='材料与任务'!$E$13,'材料与任务'!$E$14,'材料与任务'!$E$8)))))*G390,0)</x:f>
        <x:v>6</x:v>
      </x:c>
      <x:c r="Q390" s="119" t="n">
        <x:f>ROUNDDOWN((IF(A390&gt;='材料与任务'!$E$31,'材料与任务'!$E$33,IF(A390&gt;='材料与任务'!$E$25,'材料与任务'!$E$27,IF(A390&gt;='材料与任务'!$E$19,'材料与任务'!$E$21,IF(A390&gt;='材料与任务'!$E$13,'材料与任务'!$E$15,'材料与任务'!$E$9)))))*G390,0)</x:f>
        <x:v>3</x:v>
      </x:c>
      <x:c r="R390" s="110" t="n">
        <x:f>'装备掉落'!$B$38</x:f>
        <x:v>0.6872058758851213</x:v>
      </x:c>
      <x:c r="S390" s="119" t="n">
        <x:f>MAX(IF(VLOOKUP(A390,'装备掉落'!$A$29:$H$34,2,TRUE)&gt;0,1,0),IF(VLOOKUP(A390,'装备掉落'!$A$29:$H$34,3,TRUE)&gt;0,2,0),IF(VLOOKUP(A390,'装备掉落'!$A$29:$H$34,4,TRUE)&gt;0,3,0),IF(VLOOKUP(A390,'装备掉落'!$A$29:$H$34,5,TRUE)&gt;0,4,0),IF(VLOOKUP(A390,'装备掉落'!$A$29:$H$34,6,TRUE)&gt;0,5,0),IF(VLOOKUP(A390,'装备掉落'!$A$29:$H$34,7,TRUE)&gt;0,6,0),IF(VLOOKUP(A390,'装备掉落'!$A$29:$H$34,8,TRUE)&gt;0,7,0))</x:f>
        <x:v>7</x:v>
      </x:c>
      <x:c r="T390" s="119" t="n">
        <x:f>MIN(7,S390+'经济参数'!$E$70)</x:f>
        <x:v>7</x:v>
      </x:c>
      <x:c r="U390" s="119" t="n">
        <x:f>MIN(7,S390+'经济参数'!$E$71)</x:f>
        <x:v>7</x:v>
      </x:c>
      <x:c r="V390" s="119" t="n">
        <x:f>IF(H390&gt;=('难度参数'!$E$52),1,0)+IF(H390&gt;=('难度参数'!$E$52+'难度参数'!$E$53),1,0)+IF(H390&gt;=('难度参数'!$E$52+'难度参数'!$E$53+'难度参数'!$E$54),1,0)+IF(H390&gt;=('难度参数'!$E$52+'难度参数'!$E$53+'难度参数'!$E$54+'难度参数'!$E$55),1,0)+IF(H390&gt;=('难度参数'!$E$52+'难度参数'!$E$53+'难度参数'!$E$54+'难度参数'!$E$55+'难度参数'!$E$56),1,0)+IF(H390&gt;=('难度参数'!$E$52+'难度参数'!$E$53+'难度参数'!$E$54+'难度参数'!$E$55+'难度参数'!$E$56+'难度参数'!$E$57),1,0)</x:f>
        <x:v>6</x:v>
      </x:c>
      <x:c r="W390" s="62" t="str">
        <x:f>IF(L390&gt;'难度参数'!$E$51,"仅出怪已超目标","还需实测")</x:f>
        <x:v>仅出怪已超目标</x:v>
      </x:c>
      <x:c r="X390" s="119" t="n">
        <x:f>IF(1&gt;D390,0,MAX(2,MIN('难度参数'!$E$12,ROUND(('难度参数'!$E$18*POWER(A390,'难度参数'!$E$19)/D390*(0.85+0.3*(1-1)/MAX(1,D390-1))),0)+F390)))</x:f>
        <x:v>32</x:v>
      </x:c>
      <x:c r="Y390" s="119" t="n">
        <x:f>IF(1&gt;D390,0,ROUND(('难度参数'!$E$13*POWER(A390,'难度参数'!$E$20)*MIN('难度参数'!$E$23,1+MAX(0,A390-'难度参数'!$E$21)*'难度参数'!$E$22))*(36+1*7)/(36+7*(D390+1)/2)*E390,0))</x:f>
        <x:v>6582</x:v>
      </x:c>
      <x:c r="Z390" s="119" t="n">
        <x:f>IF(X390=0,0,(X390-IF(1=D390,1,0))*ROUND(Y390*VLOOKUP(INDEX('章节与怪物'!$E$31:$K$37,B390,1),'章节与怪物'!$A$41:$F$44,2,FALSE),0)+IF(1=D390,ROUND(Y390*'难度参数'!$E$28*'章节与怪物'!$E$17,0),0))</x:f>
        <x:v>210624</x:v>
      </x:c>
      <x:c r="AA390" s="119" t="n">
        <x:f>IF(X390=0,0,(X390-IF(1=D390,1,0))*VLOOKUP(INDEX('章节与怪物'!$E$31:$K$37,B390,1),'章节与怪物'!$A$41:$F$44,4,FALSE)+IF(1=D390,'难度参数'!$E$30,0))</x:f>
        <x:v>576</x:v>
      </x:c>
      <x:c r="AB390" s="119" t="n">
        <x:f>IF(2&gt;D390,0,MAX(2,MIN('难度参数'!$E$12,ROUND(('难度参数'!$E$18*POWER(A390,'难度参数'!$E$19)/D390*(0.85+0.3*(2-1)/MAX(1,D390-1))),0)+F390)))</x:f>
        <x:v>34</x:v>
      </x:c>
      <x:c r="AC390" s="119" t="n">
        <x:f>IF(2&gt;D390,0,ROUND(('难度参数'!$E$13*POWER(A390,'难度参数'!$E$20)*MIN('难度参数'!$E$23,1+MAX(0,A390-'难度参数'!$E$21)*'难度参数'!$E$22))*(36+2*7)/(36+7*(D390+1)/2)*E390,0))</x:f>
        <x:v>7653</x:v>
      </x:c>
      <x:c r="AD390" s="119" t="n">
        <x:f>IF(AB390=0,0,(AB390-IF(2=D390,1,0))*ROUND(AC390*VLOOKUP(INDEX('章节与怪物'!$E$31:$K$37,B390,2),'章节与怪物'!$A$41:$F$44,2,FALSE),0)+IF(2=D390,ROUND(AC390*'难度参数'!$E$28*'章节与怪物'!$E$17,0),0))</x:f>
        <x:v>187340</x:v>
      </x:c>
      <x:c r="AE390" s="119" t="n">
        <x:f>IF(AB390=0,0,(AB390-IF(2=D390,1,0))*VLOOKUP(INDEX('章节与怪物'!$E$31:$K$37,B390,2),'章节与怪物'!$A$41:$F$44,4,FALSE)+IF(2=D390,'难度参数'!$E$30,0))</x:f>
        <x:v>680</x:v>
      </x:c>
      <x:c r="AF390" s="119" t="n">
        <x:f>IF(3&gt;D390,0,MAX(2,MIN('难度参数'!$E$12,ROUND(('难度参数'!$E$18*POWER(A390,'难度参数'!$E$19)/D390*(0.85+0.3*(3-1)/MAX(1,D390-1))),0)+F390)))</x:f>
        <x:v>36</x:v>
      </x:c>
      <x:c r="AG390" s="119" t="n">
        <x:f>IF(3&gt;D390,0,ROUND(('难度参数'!$E$13*POWER(A390,'难度参数'!$E$20)*MIN('难度参数'!$E$23,1+MAX(0,A390-'难度参数'!$E$21)*'难度参数'!$E$22))*(36+3*7)/(36+7*(D390+1)/2)*E390,0))</x:f>
        <x:v>8725</x:v>
      </x:c>
      <x:c r="AH390" s="119" t="n">
        <x:f>IF(AF390=0,0,(AF390-IF(3=D390,1,0))*ROUND(AG390*VLOOKUP(INDEX('章节与怪物'!$E$31:$K$37,B390,3),'章节与怪物'!$A$41:$F$44,2,FALSE),0)+IF(3=D390,ROUND(AG390*'难度参数'!$E$28*'章节与怪物'!$E$17,0),0))</x:f>
        <x:v>533988</x:v>
      </x:c>
      <x:c r="AI390" s="119" t="n">
        <x:f>IF(AF390=0,0,(AF390-IF(3=D390,1,0))*VLOOKUP(INDEX('章节与怪物'!$E$31:$K$37,B390,3),'章节与怪物'!$A$41:$F$44,4,FALSE)+IF(3=D390,'难度参数'!$E$30,0))</x:f>
        <x:v>1008</x:v>
      </x:c>
      <x:c r="AJ390" s="119" t="n">
        <x:f>IF(4&gt;D390,0,MAX(2,MIN('难度参数'!$E$12,ROUND(('难度参数'!$E$18*POWER(A390,'难度参数'!$E$19)/D390*(0.85+0.3*(4-1)/MAX(1,D390-1))),0)+F390)))</x:f>
        <x:v>38</x:v>
      </x:c>
      <x:c r="AK390" s="119" t="n">
        <x:f>IF(4&gt;D390,0,ROUND(('难度参数'!$E$13*POWER(A390,'难度参数'!$E$20)*MIN('难度参数'!$E$23,1+MAX(0,A390-'难度参数'!$E$21)*'难度参数'!$E$22))*(36+4*7)/(36+7*(D390+1)/2)*E390,0))</x:f>
        <x:v>9796</x:v>
      </x:c>
      <x:c r="AL390" s="119" t="n">
        <x:f>IF(AJ390=0,0,(AJ390-IF(4=D390,1,0))*ROUND(AK390*VLOOKUP(INDEX('章节与怪物'!$E$31:$K$37,B390,4),'章节与怪物'!$A$41:$F$44,2,FALSE),0)+IF(4=D390,ROUND(AK390*'难度参数'!$E$28*'章节与怪物'!$E$17,0),0))</x:f>
        <x:v>502550</x:v>
      </x:c>
      <x:c r="AM390" s="119" t="n">
        <x:f>IF(AJ390=0,0,(AJ390-IF(4=D390,1,0))*VLOOKUP(INDEX('章节与怪物'!$E$31:$K$37,B390,4),'章节与怪物'!$A$41:$F$44,4,FALSE)+IF(4=D390,'难度参数'!$E$30,0))</x:f>
        <x:v>1292</x:v>
      </x:c>
      <x:c r="AN390" s="119" t="n">
        <x:f>IF(5&gt;D390,0,MAX(2,MIN('难度参数'!$E$12,ROUND(('难度参数'!$E$18*POWER(A390,'难度参数'!$E$19)/D390*(0.85+0.3*(5-1)/MAX(1,D390-1))),0)+F390)))</x:f>
        <x:v>40</x:v>
      </x:c>
      <x:c r="AO390" s="119" t="n">
        <x:f>IF(5&gt;D390,0,ROUND(('难度参数'!$E$13*POWER(A390,'难度参数'!$E$20)*MIN('难度参数'!$E$23,1+MAX(0,A390-'难度参数'!$E$21)*'难度参数'!$E$22))*(36+5*7)/(36+7*(D390+1)/2)*E390,0))</x:f>
        <x:v>10868</x:v>
      </x:c>
      <x:c r="AP390" s="119" t="n">
        <x:f>IF(AN390=0,0,(AN390-IF(5=D390,1,0))*ROUND(AO390*VLOOKUP(INDEX('章节与怪物'!$E$31:$K$37,B390,5),'章节与怪物'!$A$41:$F$44,2,FALSE),0)+IF(5=D390,ROUND(AO390*'难度参数'!$E$28*'章节与怪物'!$E$17,0),0))</x:f>
        <x:v>313000</x:v>
      </x:c>
      <x:c r="AQ390" s="119" t="n">
        <x:f>IF(AN390=0,0,(AN390-IF(5=D390,1,0))*VLOOKUP(INDEX('章节与怪物'!$E$31:$K$37,B390,5),'章节与怪物'!$A$41:$F$44,4,FALSE)+IF(5=D390,'难度参数'!$E$30,0))</x:f>
        <x:v>800</x:v>
      </x:c>
      <x:c r="AR390" s="119" t="n">
        <x:f>IF(6&gt;D390,0,MAX(2,MIN('难度参数'!$E$12,ROUND(('难度参数'!$E$18*POWER(A390,'难度参数'!$E$19)/D390*(0.85+0.3*(6-1)/MAX(1,D390-1))),0)+F390)))</x:f>
        <x:v>42</x:v>
      </x:c>
      <x:c r="AS390" s="119" t="n">
        <x:f>IF(6&gt;D390,0,ROUND(('难度参数'!$E$13*POWER(A390,'难度参数'!$E$20)*MIN('难度参数'!$E$23,1+MAX(0,A390-'难度参数'!$E$21)*'难度参数'!$E$22))*(36+6*7)/(36+7*(D390+1)/2)*E390,0))</x:f>
        <x:v>11939</x:v>
      </x:c>
      <x:c r="AT390" s="119" t="n">
        <x:f>IF(AR390=0,0,(AR390-IF(6=D390,1,0))*ROUND(AS390*VLOOKUP(INDEX('章节与怪物'!$E$31:$K$37,B390,6),'章节与怪物'!$A$41:$F$44,2,FALSE),0)+IF(6=D390,ROUND(AS390*'难度参数'!$E$28*'章节与怪物'!$E$17,0),0))</x:f>
        <x:v>852432</x:v>
      </x:c>
      <x:c r="AU390" s="119" t="n">
        <x:f>IF(AR390=0,0,(AR390-IF(6=D390,1,0))*VLOOKUP(INDEX('章节与怪物'!$E$31:$K$37,B390,6),'章节与怪物'!$A$41:$F$44,4,FALSE)+IF(6=D390,'难度参数'!$E$30,0))</x:f>
        <x:v>1176</x:v>
      </x:c>
      <x:c r="AV390" s="119" t="n">
        <x:f>IF(7&gt;D390,0,MAX(2,MIN('难度参数'!$E$12,ROUND(('难度参数'!$E$18*POWER(A390,'难度参数'!$E$19)/D390*(0.85+0.3*(7-1)/MAX(1,D390-1))),0)+F390)))</x:f>
        <x:v>44</x:v>
      </x:c>
      <x:c r="AW390" s="119" t="n">
        <x:f>IF(7&gt;D390,0,ROUND(('难度参数'!$E$13*POWER(A390,'难度参数'!$E$20)*MIN('难度参数'!$E$23,1+MAX(0,A390-'难度参数'!$E$21)*'难度参数'!$E$22))*(36+7*7)/(36+7*(D390+1)/2)*E390,0))</x:f>
        <x:v>13010</x:v>
      </x:c>
      <x:c r="AX390" s="119" t="n">
        <x:f>IF(AV390=0,0,(AV390-IF(7=D390,1,0))*ROUND(AW390*VLOOKUP(INDEX('章节与怪物'!$E$31:$K$37,B390,7),'章节与怪物'!$A$41:$F$44,2,FALSE),0)+IF(7=D390,ROUND(AW390*'难度参数'!$E$28*'章节与怪物'!$E$17,0),0))</x:f>
        <x:v>843720</x:v>
      </x:c>
      <x:c r="AY390" s="119" t="n">
        <x:f>IF(AV390=0,0,(AV390-IF(7=D390,1,0))*VLOOKUP(INDEX('章节与怪物'!$E$31:$K$37,B390,7),'章节与怪物'!$A$41:$F$44,4,FALSE)+IF(7=D390,'难度参数'!$E$30,0))</x:f>
        <x:v>1662</x:v>
      </x:c>
    </x:row>
    <x:row r="391" ht="23" customHeight="1">
      <x:c r="A391" s="119" t="n">
        <x:v>385</x:v>
      </x:c>
      <x:c r="B391" s="119" t="n">
        <x:f>MOD(INT((A391-1)/5),7)+1</x:f>
        <x:v>7</x:v>
      </x:c>
      <x:c r="C391" s="62" t="str">
        <x:f>INDEX('章节与怪物'!$B$31:$B$37,B391)</x:f>
        <x:v>魔法山脊</x:v>
      </x:c>
      <x:c r="D391" s="119" t="n">
        <x:f>MIN('难度参数'!$E$8,MAX('难度参数'!$E$7,A391))</x:f>
        <x:v>7</x:v>
      </x:c>
      <x:c r="E391" s="106" t="n">
        <x:v>1</x:v>
      </x:c>
      <x:c r="F391" s="106" t="n">
        <x:v>0</x:v>
      </x:c>
      <x:c r="G391" s="106" t="n">
        <x:v>1</x:v>
      </x:c>
      <x:c r="H391" s="119" t="n">
        <x:f>SUM(X391,AB391,AF391,AJ391,AN391,AR391,AV391)</x:f>
        <x:v>266</x:v>
      </x:c>
      <x:c r="I391" s="119" t="n">
        <x:f>SUM(Z391,AD391,AH391,AL391,AP391,AT391,AX391)</x:f>
        <x:v>3450041</x:v>
      </x:c>
      <x:c r="J391" s="119" t="n">
        <x:f>ROUND(INDEX(X391:AY391,1,(D391-1)*4+2)*'难度参数'!$E$28*'章节与怪物'!$E$17,0)</x:f>
        <x:v>88638</x:v>
      </x:c>
      <x:c r="K391" s="119" t="n">
        <x:f>SUM(AA391,AE391,AI391,AM391,AQ391,AU391,AY391)</x:f>
        <x:v>7194</x:v>
      </x:c>
      <x:c r="L391" s="62" t="n">
        <x:f>H391*(ROUNDUP('难度参数'!$E$24/('难度参数'!$E$26*'难度参数'!$E$27),0)*'难度参数'!$E$26)/60</x:f>
        <x:v>3.546666666666667</x:v>
      </x:c>
      <x:c r="M391" s="62" t="n">
        <x:f>L391+D391*('难度参数'!$E$49+'难度参数'!$E$50)/60</x:f>
        <x:v>4.713333333333334</x:v>
      </x:c>
      <x:c r="N391" s="119" t="n">
        <x:f>ROUNDDOWN(('经济参数'!$E$20+A391*'经济参数'!$E$21)*G391,0)</x:f>
        <x:v>7880</x:v>
      </x:c>
      <x:c r="O391" s="119" t="n">
        <x:f>ROUNDDOWN(MIN('经济参数'!$E$24,'经济参数'!$E$22+A391*'经济参数'!$E$23)*G391,0)</x:f>
        <x:v>0</x:v>
      </x:c>
      <x:c r="P391" s="119" t="n">
        <x:f>ROUNDDOWN((IF(A391&gt;='材料与任务'!$E$31,'材料与任务'!$E$32,IF(A391&gt;='材料与任务'!$E$25,'材料与任务'!$E$26,IF(A391&gt;='材料与任务'!$E$19,'材料与任务'!$E$20,IF(A391&gt;='材料与任务'!$E$13,'材料与任务'!$E$14,'材料与任务'!$E$8)))))*G391,0)</x:f>
        <x:v>6</x:v>
      </x:c>
      <x:c r="Q391" s="119" t="n">
        <x:f>ROUNDDOWN((IF(A391&gt;='材料与任务'!$E$31,'材料与任务'!$E$33,IF(A391&gt;='材料与任务'!$E$25,'材料与任务'!$E$27,IF(A391&gt;='材料与任务'!$E$19,'材料与任务'!$E$21,IF(A391&gt;='材料与任务'!$E$13,'材料与任务'!$E$15,'材料与任务'!$E$9)))))*G391,0)</x:f>
        <x:v>3</x:v>
      </x:c>
      <x:c r="R391" s="110" t="n">
        <x:f>'装备掉落'!$B$38</x:f>
        <x:v>0.6872058758851213</x:v>
      </x:c>
      <x:c r="S391" s="119" t="n">
        <x:f>MAX(IF(VLOOKUP(A391,'装备掉落'!$A$29:$H$34,2,TRUE)&gt;0,1,0),IF(VLOOKUP(A391,'装备掉落'!$A$29:$H$34,3,TRUE)&gt;0,2,0),IF(VLOOKUP(A391,'装备掉落'!$A$29:$H$34,4,TRUE)&gt;0,3,0),IF(VLOOKUP(A391,'装备掉落'!$A$29:$H$34,5,TRUE)&gt;0,4,0),IF(VLOOKUP(A391,'装备掉落'!$A$29:$H$34,6,TRUE)&gt;0,5,0),IF(VLOOKUP(A391,'装备掉落'!$A$29:$H$34,7,TRUE)&gt;0,6,0),IF(VLOOKUP(A391,'装备掉落'!$A$29:$H$34,8,TRUE)&gt;0,7,0))</x:f>
        <x:v>7</x:v>
      </x:c>
      <x:c r="T391" s="119" t="n">
        <x:f>MIN(7,S391+'经济参数'!$E$70)</x:f>
        <x:v>7</x:v>
      </x:c>
      <x:c r="U391" s="119" t="n">
        <x:f>MIN(7,S391+'经济参数'!$E$71)</x:f>
        <x:v>7</x:v>
      </x:c>
      <x:c r="V391" s="119" t="n">
        <x:f>IF(H391&gt;=('难度参数'!$E$52),1,0)+IF(H391&gt;=('难度参数'!$E$52+'难度参数'!$E$53),1,0)+IF(H391&gt;=('难度参数'!$E$52+'难度参数'!$E$53+'难度参数'!$E$54),1,0)+IF(H391&gt;=('难度参数'!$E$52+'难度参数'!$E$53+'难度参数'!$E$54+'难度参数'!$E$55),1,0)+IF(H391&gt;=('难度参数'!$E$52+'难度参数'!$E$53+'难度参数'!$E$54+'难度参数'!$E$55+'难度参数'!$E$56),1,0)+IF(H391&gt;=('难度参数'!$E$52+'难度参数'!$E$53+'难度参数'!$E$54+'难度参数'!$E$55+'难度参数'!$E$56+'难度参数'!$E$57),1,0)</x:f>
        <x:v>6</x:v>
      </x:c>
      <x:c r="W391" s="62" t="str">
        <x:f>IF(L391&gt;'难度参数'!$E$51,"仅出怪已超目标","还需实测")</x:f>
        <x:v>仅出怪已超目标</x:v>
      </x:c>
      <x:c r="X391" s="119" t="n">
        <x:f>IF(1&gt;D391,0,MAX(2,MIN('难度参数'!$E$12,ROUND(('难度参数'!$E$18*POWER(A391,'难度参数'!$E$19)/D391*(0.85+0.3*(1-1)/MAX(1,D391-1))),0)+F391)))</x:f>
        <x:v>32</x:v>
      </x:c>
      <x:c r="Y391" s="119" t="n">
        <x:f>IF(1&gt;D391,0,ROUND(('难度参数'!$E$13*POWER(A391,'难度参数'!$E$20)*MIN('难度参数'!$E$23,1+MAX(0,A391-'难度参数'!$E$21)*'难度参数'!$E$22))*(36+1*7)/(36+7*(D391+1)/2)*E391,0))</x:f>
        <x:v>6594</x:v>
      </x:c>
      <x:c r="Z391" s="119" t="n">
        <x:f>IF(X391=0,0,(X391-IF(1=D391,1,0))*ROUND(Y391*VLOOKUP(INDEX('章节与怪物'!$E$31:$K$37,B391,1),'章节与怪物'!$A$41:$F$44,2,FALSE),0)+IF(1=D391,ROUND(Y391*'难度参数'!$E$28*'章节与怪物'!$E$17,0),0))</x:f>
        <x:v>211008</x:v>
      </x:c>
      <x:c r="AA391" s="119" t="n">
        <x:f>IF(X391=0,0,(X391-IF(1=D391,1,0))*VLOOKUP(INDEX('章节与怪物'!$E$31:$K$37,B391,1),'章节与怪物'!$A$41:$F$44,4,FALSE)+IF(1=D391,'难度参数'!$E$30,0))</x:f>
        <x:v>576</x:v>
      </x:c>
      <x:c r="AB391" s="119" t="n">
        <x:f>IF(2&gt;D391,0,MAX(2,MIN('难度参数'!$E$12,ROUND(('难度参数'!$E$18*POWER(A391,'难度参数'!$E$19)/D391*(0.85+0.3*(2-1)/MAX(1,D391-1))),0)+F391)))</x:f>
        <x:v>34</x:v>
      </x:c>
      <x:c r="AC391" s="119" t="n">
        <x:f>IF(2&gt;D391,0,ROUND(('难度参数'!$E$13*POWER(A391,'难度参数'!$E$20)*MIN('难度参数'!$E$23,1+MAX(0,A391-'难度参数'!$E$21)*'难度参数'!$E$22))*(36+2*7)/(36+7*(D391+1)/2)*E391,0))</x:f>
        <x:v>7668</x:v>
      </x:c>
      <x:c r="AD391" s="119" t="n">
        <x:f>IF(AB391=0,0,(AB391-IF(2=D391,1,0))*ROUND(AC391*VLOOKUP(INDEX('章节与怪物'!$E$31:$K$37,B391,2),'章节与怪物'!$A$41:$F$44,2,FALSE),0)+IF(2=D391,ROUND(AC391*'难度参数'!$E$28*'章节与怪物'!$E$17,0),0))</x:f>
        <x:v>187714</x:v>
      </x:c>
      <x:c r="AE391" s="119" t="n">
        <x:f>IF(AB391=0,0,(AB391-IF(2=D391,1,0))*VLOOKUP(INDEX('章节与怪物'!$E$31:$K$37,B391,2),'章节与怪物'!$A$41:$F$44,4,FALSE)+IF(2=D391,'难度参数'!$E$30,0))</x:f>
        <x:v>680</x:v>
      </x:c>
      <x:c r="AF391" s="119" t="n">
        <x:f>IF(3&gt;D391,0,MAX(2,MIN('难度参数'!$E$12,ROUND(('难度参数'!$E$18*POWER(A391,'难度参数'!$E$19)/D391*(0.85+0.3*(3-1)/MAX(1,D391-1))),0)+F391)))</x:f>
        <x:v>36</x:v>
      </x:c>
      <x:c r="AG391" s="119" t="n">
        <x:f>IF(3&gt;D391,0,ROUND(('难度参数'!$E$13*POWER(A391,'难度参数'!$E$20)*MIN('难度参数'!$E$23,1+MAX(0,A391-'难度参数'!$E$21)*'难度参数'!$E$22))*(36+3*7)/(36+7*(D391+1)/2)*E391,0))</x:f>
        <x:v>8741</x:v>
      </x:c>
      <x:c r="AH391" s="119" t="n">
        <x:f>IF(AF391=0,0,(AF391-IF(3=D391,1,0))*ROUND(AG391*VLOOKUP(INDEX('章节与怪物'!$E$31:$K$37,B391,3),'章节与怪物'!$A$41:$F$44,2,FALSE),0)+IF(3=D391,ROUND(AG391*'难度参数'!$E$28*'章节与怪物'!$E$17,0),0))</x:f>
        <x:v>534960</x:v>
      </x:c>
      <x:c r="AI391" s="119" t="n">
        <x:f>IF(AF391=0,0,(AF391-IF(3=D391,1,0))*VLOOKUP(INDEX('章节与怪物'!$E$31:$K$37,B391,3),'章节与怪物'!$A$41:$F$44,4,FALSE)+IF(3=D391,'难度参数'!$E$30,0))</x:f>
        <x:v>1008</x:v>
      </x:c>
      <x:c r="AJ391" s="119" t="n">
        <x:f>IF(4&gt;D391,0,MAX(2,MIN('难度参数'!$E$12,ROUND(('难度参数'!$E$18*POWER(A391,'难度参数'!$E$19)/D391*(0.85+0.3*(4-1)/MAX(1,D391-1))),0)+F391)))</x:f>
        <x:v>38</x:v>
      </x:c>
      <x:c r="AK391" s="119" t="n">
        <x:f>IF(4&gt;D391,0,ROUND(('难度参数'!$E$13*POWER(A391,'难度参数'!$E$20)*MIN('难度参数'!$E$23,1+MAX(0,A391-'难度参数'!$E$21)*'难度参数'!$E$22))*(36+4*7)/(36+7*(D391+1)/2)*E391,0))</x:f>
        <x:v>9814</x:v>
      </x:c>
      <x:c r="AL391" s="119" t="n">
        <x:f>IF(AJ391=0,0,(AJ391-IF(4=D391,1,0))*ROUND(AK391*VLOOKUP(INDEX('章节与怪物'!$E$31:$K$37,B391,4),'章节与怪物'!$A$41:$F$44,2,FALSE),0)+IF(4=D391,ROUND(AK391*'难度参数'!$E$28*'章节与怪物'!$E$17,0),0))</x:f>
        <x:v>503462</x:v>
      </x:c>
      <x:c r="AM391" s="119" t="n">
        <x:f>IF(AJ391=0,0,(AJ391-IF(4=D391,1,0))*VLOOKUP(INDEX('章节与怪物'!$E$31:$K$37,B391,4),'章节与怪物'!$A$41:$F$44,4,FALSE)+IF(4=D391,'难度参数'!$E$30,0))</x:f>
        <x:v>1292</x:v>
      </x:c>
      <x:c r="AN391" s="119" t="n">
        <x:f>IF(5&gt;D391,0,MAX(2,MIN('难度参数'!$E$12,ROUND(('难度参数'!$E$18*POWER(A391,'难度参数'!$E$19)/D391*(0.85+0.3*(5-1)/MAX(1,D391-1))),0)+F391)))</x:f>
        <x:v>40</x:v>
      </x:c>
      <x:c r="AO391" s="119" t="n">
        <x:f>IF(5&gt;D391,0,ROUND(('难度参数'!$E$13*POWER(A391,'难度参数'!$E$20)*MIN('难度参数'!$E$23,1+MAX(0,A391-'难度参数'!$E$21)*'难度参数'!$E$22))*(36+5*7)/(36+7*(D391+1)/2)*E391,0))</x:f>
        <x:v>10888</x:v>
      </x:c>
      <x:c r="AP391" s="119" t="n">
        <x:f>IF(AN391=0,0,(AN391-IF(5=D391,1,0))*ROUND(AO391*VLOOKUP(INDEX('章节与怪物'!$E$31:$K$37,B391,5),'章节与怪物'!$A$41:$F$44,2,FALSE),0)+IF(5=D391,ROUND(AO391*'难度参数'!$E$28*'章节与怪物'!$E$17,0),0))</x:f>
        <x:v>313560</x:v>
      </x:c>
      <x:c r="AQ391" s="119" t="n">
        <x:f>IF(AN391=0,0,(AN391-IF(5=D391,1,0))*VLOOKUP(INDEX('章节与怪物'!$E$31:$K$37,B391,5),'章节与怪物'!$A$41:$F$44,4,FALSE)+IF(5=D391,'难度参数'!$E$30,0))</x:f>
        <x:v>800</x:v>
      </x:c>
      <x:c r="AR391" s="119" t="n">
        <x:f>IF(6&gt;D391,0,MAX(2,MIN('难度参数'!$E$12,ROUND(('难度参数'!$E$18*POWER(A391,'难度参数'!$E$19)/D391*(0.85+0.3*(6-1)/MAX(1,D391-1))),0)+F391)))</x:f>
        <x:v>42</x:v>
      </x:c>
      <x:c r="AS391" s="119" t="n">
        <x:f>IF(6&gt;D391,0,ROUND(('难度参数'!$E$13*POWER(A391,'难度参数'!$E$20)*MIN('难度参数'!$E$23,1+MAX(0,A391-'难度参数'!$E$21)*'难度参数'!$E$22))*(36+6*7)/(36+7*(D391+1)/2)*E391,0))</x:f>
        <x:v>11961</x:v>
      </x:c>
      <x:c r="AT391" s="119" t="n">
        <x:f>IF(AR391=0,0,(AR391-IF(6=D391,1,0))*ROUND(AS391*VLOOKUP(INDEX('章节与怪物'!$E$31:$K$37,B391,6),'章节与怪物'!$A$41:$F$44,2,FALSE),0)+IF(6=D391,ROUND(AS391*'难度参数'!$E$28*'章节与怪物'!$E$17,0),0))</x:f>
        <x:v>854028</x:v>
      </x:c>
      <x:c r="AU391" s="119" t="n">
        <x:f>IF(AR391=0,0,(AR391-IF(6=D391,1,0))*VLOOKUP(INDEX('章节与怪物'!$E$31:$K$37,B391,6),'章节与怪物'!$A$41:$F$44,4,FALSE)+IF(6=D391,'难度参数'!$E$30,0))</x:f>
        <x:v>1176</x:v>
      </x:c>
      <x:c r="AV391" s="119" t="n">
        <x:f>IF(7&gt;D391,0,MAX(2,MIN('难度参数'!$E$12,ROUND(('难度参数'!$E$18*POWER(A391,'难度参数'!$E$19)/D391*(0.85+0.3*(7-1)/MAX(1,D391-1))),0)+F391)))</x:f>
        <x:v>44</x:v>
      </x:c>
      <x:c r="AW391" s="119" t="n">
        <x:f>IF(7&gt;D391,0,ROUND(('难度参数'!$E$13*POWER(A391,'难度参数'!$E$20)*MIN('难度参数'!$E$23,1+MAX(0,A391-'难度参数'!$E$21)*'难度参数'!$E$22))*(36+7*7)/(36+7*(D391+1)/2)*E391,0))</x:f>
        <x:v>13035</x:v>
      </x:c>
      <x:c r="AX391" s="119" t="n">
        <x:f>IF(AV391=0,0,(AV391-IF(7=D391,1,0))*ROUND(AW391*VLOOKUP(INDEX('章节与怪物'!$E$31:$K$37,B391,7),'章节与怪物'!$A$41:$F$44,2,FALSE),0)+IF(7=D391,ROUND(AW391*'难度参数'!$E$28*'章节与怪物'!$E$17,0),0))</x:f>
        <x:v>845309</x:v>
      </x:c>
      <x:c r="AY391" s="119" t="n">
        <x:f>IF(AV391=0,0,(AV391-IF(7=D391,1,0))*VLOOKUP(INDEX('章节与怪物'!$E$31:$K$37,B391,7),'章节与怪物'!$A$41:$F$44,4,FALSE)+IF(7=D391,'难度参数'!$E$30,0))</x:f>
        <x:v>1662</x:v>
      </x:c>
    </x:row>
    <x:row r="392" ht="23" customHeight="1">
      <x:c r="A392" s="119" t="n">
        <x:v>386</x:v>
      </x:c>
      <x:c r="B392" s="119" t="n">
        <x:f>MOD(INT((A392-1)/5),7)+1</x:f>
        <x:v>1</x:v>
      </x:c>
      <x:c r="C392" s="62" t="str">
        <x:f>INDEX('章节与怪物'!$B$31:$B$37,B392)</x:f>
        <x:v>冰雪荒原</x:v>
      </x:c>
      <x:c r="D392" s="119" t="n">
        <x:f>MIN('难度参数'!$E$8,MAX('难度参数'!$E$7,A392))</x:f>
        <x:v>7</x:v>
      </x:c>
      <x:c r="E392" s="106" t="n">
        <x:v>1</x:v>
      </x:c>
      <x:c r="F392" s="106" t="n">
        <x:v>0</x:v>
      </x:c>
      <x:c r="G392" s="106" t="n">
        <x:v>1</x:v>
      </x:c>
      <x:c r="H392" s="119" t="n">
        <x:f>SUM(X392,AB392,AF392,AJ392,AN392,AR392,AV392)</x:f>
        <x:v>266</x:v>
      </x:c>
      <x:c r="I392" s="119" t="n">
        <x:f>SUM(Z392,AD392,AH392,AL392,AP392,AT392,AX392)</x:f>
        <x:v>3329585</x:v>
      </x:c>
      <x:c r="J392" s="119" t="n">
        <x:f>ROUND(INDEX(X392:AY392,1,(D392-1)*4+2)*'难度参数'!$E$28*'章节与怪物'!$E$17,0)</x:f>
        <x:v>88801</x:v>
      </x:c>
      <x:c r="K392" s="119" t="n">
        <x:f>SUM(AA392,AE392,AI392,AM392,AQ392,AU392,AY392)</x:f>
        <x:v>6576</x:v>
      </x:c>
      <x:c r="L392" s="62" t="n">
        <x:f>H392*(ROUNDUP('难度参数'!$E$24/('难度参数'!$E$26*'难度参数'!$E$27),0)*'难度参数'!$E$26)/60</x:f>
        <x:v>3.546666666666667</x:v>
      </x:c>
      <x:c r="M392" s="62" t="n">
        <x:f>L392+D392*('难度参数'!$E$49+'难度参数'!$E$50)/60</x:f>
        <x:v>4.713333333333334</x:v>
      </x:c>
      <x:c r="N392" s="119" t="n">
        <x:f>ROUNDDOWN(('经济参数'!$E$20+A392*'经济参数'!$E$21)*G392,0)</x:f>
        <x:v>7900</x:v>
      </x:c>
      <x:c r="O392" s="119" t="n">
        <x:f>ROUNDDOWN(MIN('经济参数'!$E$24,'经济参数'!$E$22+A392*'经济参数'!$E$23)*G392,0)</x:f>
        <x:v>0</x:v>
      </x:c>
      <x:c r="P392" s="119" t="n">
        <x:f>ROUNDDOWN((IF(A392&gt;='材料与任务'!$E$31,'材料与任务'!$E$32,IF(A392&gt;='材料与任务'!$E$25,'材料与任务'!$E$26,IF(A392&gt;='材料与任务'!$E$19,'材料与任务'!$E$20,IF(A392&gt;='材料与任务'!$E$13,'材料与任务'!$E$14,'材料与任务'!$E$8)))))*G392,0)</x:f>
        <x:v>6</x:v>
      </x:c>
      <x:c r="Q392" s="119" t="n">
        <x:f>ROUNDDOWN((IF(A392&gt;='材料与任务'!$E$31,'材料与任务'!$E$33,IF(A392&gt;='材料与任务'!$E$25,'材料与任务'!$E$27,IF(A392&gt;='材料与任务'!$E$19,'材料与任务'!$E$21,IF(A392&gt;='材料与任务'!$E$13,'材料与任务'!$E$15,'材料与任务'!$E$9)))))*G392,0)</x:f>
        <x:v>3</x:v>
      </x:c>
      <x:c r="R392" s="110" t="n">
        <x:f>'装备掉落'!$B$38</x:f>
        <x:v>0.6872058758851213</x:v>
      </x:c>
      <x:c r="S392" s="119" t="n">
        <x:f>MAX(IF(VLOOKUP(A392,'装备掉落'!$A$29:$H$34,2,TRUE)&gt;0,1,0),IF(VLOOKUP(A392,'装备掉落'!$A$29:$H$34,3,TRUE)&gt;0,2,0),IF(VLOOKUP(A392,'装备掉落'!$A$29:$H$34,4,TRUE)&gt;0,3,0),IF(VLOOKUP(A392,'装备掉落'!$A$29:$H$34,5,TRUE)&gt;0,4,0),IF(VLOOKUP(A392,'装备掉落'!$A$29:$H$34,6,TRUE)&gt;0,5,0),IF(VLOOKUP(A392,'装备掉落'!$A$29:$H$34,7,TRUE)&gt;0,6,0),IF(VLOOKUP(A392,'装备掉落'!$A$29:$H$34,8,TRUE)&gt;0,7,0))</x:f>
        <x:v>7</x:v>
      </x:c>
      <x:c r="T392" s="119" t="n">
        <x:f>MIN(7,S392+'经济参数'!$E$70)</x:f>
        <x:v>7</x:v>
      </x:c>
      <x:c r="U392" s="119" t="n">
        <x:f>MIN(7,S392+'经济参数'!$E$71)</x:f>
        <x:v>7</x:v>
      </x:c>
      <x:c r="V392" s="119" t="n">
        <x:f>IF(H392&gt;=('难度参数'!$E$52),1,0)+IF(H392&gt;=('难度参数'!$E$52+'难度参数'!$E$53),1,0)+IF(H392&gt;=('难度参数'!$E$52+'难度参数'!$E$53+'难度参数'!$E$54),1,0)+IF(H392&gt;=('难度参数'!$E$52+'难度参数'!$E$53+'难度参数'!$E$54+'难度参数'!$E$55),1,0)+IF(H392&gt;=('难度参数'!$E$52+'难度参数'!$E$53+'难度参数'!$E$54+'难度参数'!$E$55+'难度参数'!$E$56),1,0)+IF(H392&gt;=('难度参数'!$E$52+'难度参数'!$E$53+'难度参数'!$E$54+'难度参数'!$E$55+'难度参数'!$E$56+'难度参数'!$E$57),1,0)</x:f>
        <x:v>6</x:v>
      </x:c>
      <x:c r="W392" s="62" t="str">
        <x:f>IF(L392&gt;'难度参数'!$E$51,"仅出怪已超目标","还需实测")</x:f>
        <x:v>仅出怪已超目标</x:v>
      </x:c>
      <x:c r="X392" s="119" t="n">
        <x:f>IF(1&gt;D392,0,MAX(2,MIN('难度参数'!$E$12,ROUND(('难度参数'!$E$18*POWER(A392,'难度参数'!$E$19)/D392*(0.85+0.3*(1-1)/MAX(1,D392-1))),0)+F392)))</x:f>
        <x:v>32</x:v>
      </x:c>
      <x:c r="Y392" s="119" t="n">
        <x:f>IF(1&gt;D392,0,ROUND(('难度参数'!$E$13*POWER(A392,'难度参数'!$E$20)*MIN('难度参数'!$E$23,1+MAX(0,A392-'难度参数'!$E$21)*'难度参数'!$E$22))*(36+1*7)/(36+7*(D392+1)/2)*E392,0))</x:f>
        <x:v>6606</x:v>
      </x:c>
      <x:c r="Z392" s="119" t="n">
        <x:f>IF(X392=0,0,(X392-IF(1=D392,1,0))*ROUND(Y392*VLOOKUP(INDEX('章节与怪物'!$E$31:$K$37,B392,1),'章节与怪物'!$A$41:$F$44,2,FALSE),0)+IF(1=D392,ROUND(Y392*'难度参数'!$E$28*'章节与怪物'!$E$17,0),0))</x:f>
        <x:v>211392</x:v>
      </x:c>
      <x:c r="AA392" s="119" t="n">
        <x:f>IF(X392=0,0,(X392-IF(1=D392,1,0))*VLOOKUP(INDEX('章节与怪物'!$E$31:$K$37,B392,1),'章节与怪物'!$A$41:$F$44,4,FALSE)+IF(1=D392,'难度参数'!$E$30,0))</x:f>
        <x:v>576</x:v>
      </x:c>
      <x:c r="AB392" s="119" t="n">
        <x:f>IF(2&gt;D392,0,MAX(2,MIN('难度参数'!$E$12,ROUND(('难度参数'!$E$18*POWER(A392,'难度参数'!$E$19)/D392*(0.85+0.3*(2-1)/MAX(1,D392-1))),0)+F392)))</x:f>
        <x:v>34</x:v>
      </x:c>
      <x:c r="AC392" s="119" t="n">
        <x:f>IF(2&gt;D392,0,ROUND(('难度参数'!$E$13*POWER(A392,'难度参数'!$E$20)*MIN('难度参数'!$E$23,1+MAX(0,A392-'难度参数'!$E$21)*'难度参数'!$E$22))*(36+2*7)/(36+7*(D392+1)/2)*E392,0))</x:f>
        <x:v>7682</x:v>
      </x:c>
      <x:c r="AD392" s="119" t="n">
        <x:f>IF(AB392=0,0,(AB392-IF(2=D392,1,0))*ROUND(AC392*VLOOKUP(INDEX('章节与怪物'!$E$31:$K$37,B392,2),'章节与怪物'!$A$41:$F$44,2,FALSE),0)+IF(2=D392,ROUND(AC392*'难度参数'!$E$28*'章节与怪物'!$E$17,0),0))</x:f>
        <x:v>261188</x:v>
      </x:c>
      <x:c r="AE392" s="119" t="n">
        <x:f>IF(AB392=0,0,(AB392-IF(2=D392,1,0))*VLOOKUP(INDEX('章节与怪物'!$E$31:$K$37,B392,2),'章节与怪物'!$A$41:$F$44,4,FALSE)+IF(2=D392,'难度参数'!$E$30,0))</x:f>
        <x:v>612</x:v>
      </x:c>
      <x:c r="AF392" s="119" t="n">
        <x:f>IF(3&gt;D392,0,MAX(2,MIN('难度参数'!$E$12,ROUND(('难度参数'!$E$18*POWER(A392,'难度参数'!$E$19)/D392*(0.85+0.3*(3-1)/MAX(1,D392-1))),0)+F392)))</x:f>
        <x:v>36</x:v>
      </x:c>
      <x:c r="AG392" s="119" t="n">
        <x:f>IF(3&gt;D392,0,ROUND(('难度参数'!$E$13*POWER(A392,'难度参数'!$E$20)*MIN('难度参数'!$E$23,1+MAX(0,A392-'难度参数'!$E$21)*'难度参数'!$E$22))*(36+3*7)/(36+7*(D392+1)/2)*E392,0))</x:f>
        <x:v>8757</x:v>
      </x:c>
      <x:c r="AH392" s="119" t="n">
        <x:f>IF(AF392=0,0,(AF392-IF(3=D392,1,0))*ROUND(AG392*VLOOKUP(INDEX('章节与怪物'!$E$31:$K$37,B392,3),'章节与怪物'!$A$41:$F$44,2,FALSE),0)+IF(3=D392,ROUND(AG392*'难度参数'!$E$28*'章节与怪物'!$E$17,0),0))</x:f>
        <x:v>226980</x:v>
      </x:c>
      <x:c r="AI392" s="119" t="n">
        <x:f>IF(AF392=0,0,(AF392-IF(3=D392,1,0))*VLOOKUP(INDEX('章节与怪物'!$E$31:$K$37,B392,3),'章节与怪物'!$A$41:$F$44,4,FALSE)+IF(3=D392,'难度参数'!$E$30,0))</x:f>
        <x:v>720</x:v>
      </x:c>
      <x:c r="AJ392" s="119" t="n">
        <x:f>IF(4&gt;D392,0,MAX(2,MIN('难度参数'!$E$12,ROUND(('难度参数'!$E$18*POWER(A392,'难度参数'!$E$19)/D392*(0.85+0.3*(4-1)/MAX(1,D392-1))),0)+F392)))</x:f>
        <x:v>38</x:v>
      </x:c>
      <x:c r="AK392" s="119" t="n">
        <x:f>IF(4&gt;D392,0,ROUND(('难度参数'!$E$13*POWER(A392,'难度参数'!$E$20)*MIN('难度参数'!$E$23,1+MAX(0,A392-'难度参数'!$E$21)*'难度参数'!$E$22))*(36+4*7)/(36+7*(D392+1)/2)*E392,0))</x:f>
        <x:v>9833</x:v>
      </x:c>
      <x:c r="AL392" s="119" t="n">
        <x:f>IF(AJ392=0,0,(AJ392-IF(4=D392,1,0))*ROUND(AK392*VLOOKUP(INDEX('章节与怪物'!$E$31:$K$37,B392,4),'章节与怪物'!$A$41:$F$44,2,FALSE),0)+IF(4=D392,ROUND(AK392*'难度参数'!$E$28*'章节与怪物'!$E$17,0),0))</x:f>
        <x:v>635208</x:v>
      </x:c>
      <x:c r="AM392" s="119" t="n">
        <x:f>IF(AJ392=0,0,(AJ392-IF(4=D392,1,0))*VLOOKUP(INDEX('章节与怪物'!$E$31:$K$37,B392,4),'章节与怪物'!$A$41:$F$44,4,FALSE)+IF(4=D392,'难度参数'!$E$30,0))</x:f>
        <x:v>1064</x:v>
      </x:c>
      <x:c r="AN392" s="119" t="n">
        <x:f>IF(5&gt;D392,0,MAX(2,MIN('难度参数'!$E$12,ROUND(('难度参数'!$E$18*POWER(A392,'难度参数'!$E$19)/D392*(0.85+0.3*(5-1)/MAX(1,D392-1))),0)+F392)))</x:f>
        <x:v>40</x:v>
      </x:c>
      <x:c r="AO392" s="119" t="n">
        <x:f>IF(5&gt;D392,0,ROUND(('难度参数'!$E$13*POWER(A392,'难度参数'!$E$20)*MIN('难度参数'!$E$23,1+MAX(0,A392-'难度参数'!$E$21)*'难度参数'!$E$22))*(36+5*7)/(36+7*(D392+1)/2)*E392,0))</x:f>
        <x:v>10908</x:v>
      </x:c>
      <x:c r="AP392" s="119" t="n">
        <x:f>IF(AN392=0,0,(AN392-IF(5=D392,1,0))*ROUND(AO392*VLOOKUP(INDEX('章节与怪物'!$E$31:$K$37,B392,5),'章节与怪物'!$A$41:$F$44,2,FALSE),0)+IF(5=D392,ROUND(AO392*'难度参数'!$E$28*'章节与怪物'!$E$17,0),0))</x:f>
        <x:v>589040</x:v>
      </x:c>
      <x:c r="AQ392" s="119" t="n">
        <x:f>IF(AN392=0,0,(AN392-IF(5=D392,1,0))*VLOOKUP(INDEX('章节与怪物'!$E$31:$K$37,B392,5),'章节与怪物'!$A$41:$F$44,4,FALSE)+IF(5=D392,'难度参数'!$E$30,0))</x:f>
        <x:v>1360</x:v>
      </x:c>
      <x:c r="AR392" s="119" t="n">
        <x:f>IF(6&gt;D392,0,MAX(2,MIN('难度参数'!$E$12,ROUND(('难度参数'!$E$18*POWER(A392,'难度参数'!$E$19)/D392*(0.85+0.3*(6-1)/MAX(1,D392-1))),0)+F392)))</x:f>
        <x:v>42</x:v>
      </x:c>
      <x:c r="AS392" s="119" t="n">
        <x:f>IF(6&gt;D392,0,ROUND(('难度参数'!$E$13*POWER(A392,'难度参数'!$E$20)*MIN('难度参数'!$E$23,1+MAX(0,A392-'难度参数'!$E$21)*'难度参数'!$E$22))*(36+6*7)/(36+7*(D392+1)/2)*E392,0))</x:f>
        <x:v>11984</x:v>
      </x:c>
      <x:c r="AT392" s="119" t="n">
        <x:f>IF(AR392=0,0,(AR392-IF(6=D392,1,0))*ROUND(AS392*VLOOKUP(INDEX('章节与怪物'!$E$31:$K$37,B392,6),'章节与怪物'!$A$41:$F$44,2,FALSE),0)+IF(6=D392,ROUND(AS392*'难度参数'!$E$28*'章节与怪物'!$E$17,0),0))</x:f>
        <x:v>362376</x:v>
      </x:c>
      <x:c r="AU392" s="119" t="n">
        <x:f>IF(AR392=0,0,(AR392-IF(6=D392,1,0))*VLOOKUP(INDEX('章节与怪物'!$E$31:$K$37,B392,6),'章节与怪物'!$A$41:$F$44,4,FALSE)+IF(6=D392,'难度参数'!$E$30,0))</x:f>
        <x:v>840</x:v>
      </x:c>
      <x:c r="AV392" s="119" t="n">
        <x:f>IF(7&gt;D392,0,MAX(2,MIN('难度参数'!$E$12,ROUND(('难度参数'!$E$18*POWER(A392,'难度参数'!$E$19)/D392*(0.85+0.3*(7-1)/MAX(1,D392-1))),0)+F392)))</x:f>
        <x:v>44</x:v>
      </x:c>
      <x:c r="AW392" s="119" t="n">
        <x:f>IF(7&gt;D392,0,ROUND(('难度参数'!$E$13*POWER(A392,'难度参数'!$E$20)*MIN('难度参数'!$E$23,1+MAX(0,A392-'难度参数'!$E$21)*'难度参数'!$E$22))*(36+7*7)/(36+7*(D392+1)/2)*E392,0))</x:f>
        <x:v>13059</x:v>
      </x:c>
      <x:c r="AX392" s="119" t="n">
        <x:f>IF(AV392=0,0,(AV392-IF(7=D392,1,0))*ROUND(AW392*VLOOKUP(INDEX('章节与怪物'!$E$31:$K$37,B392,7),'章节与怪物'!$A$41:$F$44,2,FALSE),0)+IF(7=D392,ROUND(AW392*'难度参数'!$E$28*'章节与怪物'!$E$17,0),0))</x:f>
        <x:v>1043401</x:v>
      </x:c>
      <x:c r="AY392" s="119" t="n">
        <x:f>IF(AV392=0,0,(AV392-IF(7=D392,1,0))*VLOOKUP(INDEX('章节与怪物'!$E$31:$K$37,B392,7),'章节与怪物'!$A$41:$F$44,4,FALSE)+IF(7=D392,'难度参数'!$E$30,0))</x:f>
        <x:v>1404</x:v>
      </x:c>
    </x:row>
    <x:row r="393" ht="23" customHeight="1">
      <x:c r="A393" s="119" t="n">
        <x:v>387</x:v>
      </x:c>
      <x:c r="B393" s="119" t="n">
        <x:f>MOD(INT((A393-1)/5),7)+1</x:f>
        <x:v>1</x:v>
      </x:c>
      <x:c r="C393" s="62" t="str">
        <x:f>INDEX('章节与怪物'!$B$31:$B$37,B393)</x:f>
        <x:v>冰雪荒原</x:v>
      </x:c>
      <x:c r="D393" s="119" t="n">
        <x:f>MIN('难度参数'!$E$8,MAX('难度参数'!$E$7,A393))</x:f>
        <x:v>7</x:v>
      </x:c>
      <x:c r="E393" s="106" t="n">
        <x:v>1</x:v>
      </x:c>
      <x:c r="F393" s="106" t="n">
        <x:v>0</x:v>
      </x:c>
      <x:c r="G393" s="106" t="n">
        <x:v>1</x:v>
      </x:c>
      <x:c r="H393" s="119" t="n">
        <x:f>SUM(X393,AB393,AF393,AJ393,AN393,AR393,AV393)</x:f>
        <x:v>266</x:v>
      </x:c>
      <x:c r="I393" s="119" t="n">
        <x:f>SUM(Z393,AD393,AH393,AL393,AP393,AT393,AX393)</x:f>
        <x:v>3335898</x:v>
      </x:c>
      <x:c r="J393" s="119" t="n">
        <x:f>ROUND(INDEX(X393:AY393,1,(D393-1)*4+2)*'难度参数'!$E$28*'章节与怪物'!$E$17,0)</x:f>
        <x:v>88971</x:v>
      </x:c>
      <x:c r="K393" s="119" t="n">
        <x:f>SUM(AA393,AE393,AI393,AM393,AQ393,AU393,AY393)</x:f>
        <x:v>6576</x:v>
      </x:c>
      <x:c r="L393" s="62" t="n">
        <x:f>H393*(ROUNDUP('难度参数'!$E$24/('难度参数'!$E$26*'难度参数'!$E$27),0)*'难度参数'!$E$26)/60</x:f>
        <x:v>3.546666666666667</x:v>
      </x:c>
      <x:c r="M393" s="62" t="n">
        <x:f>L393+D393*('难度参数'!$E$49+'难度参数'!$E$50)/60</x:f>
        <x:v>4.713333333333334</x:v>
      </x:c>
      <x:c r="N393" s="119" t="n">
        <x:f>ROUNDDOWN(('经济参数'!$E$20+A393*'经济参数'!$E$21)*G393,0)</x:f>
        <x:v>7920</x:v>
      </x:c>
      <x:c r="O393" s="119" t="n">
        <x:f>ROUNDDOWN(MIN('经济参数'!$E$24,'经济参数'!$E$22+A393*'经济参数'!$E$23)*G393,0)</x:f>
        <x:v>0</x:v>
      </x:c>
      <x:c r="P393" s="119" t="n">
        <x:f>ROUNDDOWN((IF(A393&gt;='材料与任务'!$E$31,'材料与任务'!$E$32,IF(A393&gt;='材料与任务'!$E$25,'材料与任务'!$E$26,IF(A393&gt;='材料与任务'!$E$19,'材料与任务'!$E$20,IF(A393&gt;='材料与任务'!$E$13,'材料与任务'!$E$14,'材料与任务'!$E$8)))))*G393,0)</x:f>
        <x:v>6</x:v>
      </x:c>
      <x:c r="Q393" s="119" t="n">
        <x:f>ROUNDDOWN((IF(A393&gt;='材料与任务'!$E$31,'材料与任务'!$E$33,IF(A393&gt;='材料与任务'!$E$25,'材料与任务'!$E$27,IF(A393&gt;='材料与任务'!$E$19,'材料与任务'!$E$21,IF(A393&gt;='材料与任务'!$E$13,'材料与任务'!$E$15,'材料与任务'!$E$9)))))*G393,0)</x:f>
        <x:v>3</x:v>
      </x:c>
      <x:c r="R393" s="110" t="n">
        <x:f>'装备掉落'!$B$38</x:f>
        <x:v>0.6872058758851213</x:v>
      </x:c>
      <x:c r="S393" s="119" t="n">
        <x:f>MAX(IF(VLOOKUP(A393,'装备掉落'!$A$29:$H$34,2,TRUE)&gt;0,1,0),IF(VLOOKUP(A393,'装备掉落'!$A$29:$H$34,3,TRUE)&gt;0,2,0),IF(VLOOKUP(A393,'装备掉落'!$A$29:$H$34,4,TRUE)&gt;0,3,0),IF(VLOOKUP(A393,'装备掉落'!$A$29:$H$34,5,TRUE)&gt;0,4,0),IF(VLOOKUP(A393,'装备掉落'!$A$29:$H$34,6,TRUE)&gt;0,5,0),IF(VLOOKUP(A393,'装备掉落'!$A$29:$H$34,7,TRUE)&gt;0,6,0),IF(VLOOKUP(A393,'装备掉落'!$A$29:$H$34,8,TRUE)&gt;0,7,0))</x:f>
        <x:v>7</x:v>
      </x:c>
      <x:c r="T393" s="119" t="n">
        <x:f>MIN(7,S393+'经济参数'!$E$70)</x:f>
        <x:v>7</x:v>
      </x:c>
      <x:c r="U393" s="119" t="n">
        <x:f>MIN(7,S393+'经济参数'!$E$71)</x:f>
        <x:v>7</x:v>
      </x:c>
      <x:c r="V393" s="119" t="n">
        <x:f>IF(H393&gt;=('难度参数'!$E$52),1,0)+IF(H393&gt;=('难度参数'!$E$52+'难度参数'!$E$53),1,0)+IF(H393&gt;=('难度参数'!$E$52+'难度参数'!$E$53+'难度参数'!$E$54),1,0)+IF(H393&gt;=('难度参数'!$E$52+'难度参数'!$E$53+'难度参数'!$E$54+'难度参数'!$E$55),1,0)+IF(H393&gt;=('难度参数'!$E$52+'难度参数'!$E$53+'难度参数'!$E$54+'难度参数'!$E$55+'难度参数'!$E$56),1,0)+IF(H393&gt;=('难度参数'!$E$52+'难度参数'!$E$53+'难度参数'!$E$54+'难度参数'!$E$55+'难度参数'!$E$56+'难度参数'!$E$57),1,0)</x:f>
        <x:v>6</x:v>
      </x:c>
      <x:c r="W393" s="62" t="str">
        <x:f>IF(L393&gt;'难度参数'!$E$51,"仅出怪已超目标","还需实测")</x:f>
        <x:v>仅出怪已超目标</x:v>
      </x:c>
      <x:c r="X393" s="119" t="n">
        <x:f>IF(1&gt;D393,0,MAX(2,MIN('难度参数'!$E$12,ROUND(('难度参数'!$E$18*POWER(A393,'难度参数'!$E$19)/D393*(0.85+0.3*(1-1)/MAX(1,D393-1))),0)+F393)))</x:f>
        <x:v>32</x:v>
      </x:c>
      <x:c r="Y393" s="119" t="n">
        <x:f>IF(1&gt;D393,0,ROUND(('难度参数'!$E$13*POWER(A393,'难度参数'!$E$20)*MIN('难度参数'!$E$23,1+MAX(0,A393-'难度参数'!$E$21)*'难度参数'!$E$22))*(36+1*7)/(36+7*(D393+1)/2)*E393,0))</x:f>
        <x:v>6619</x:v>
      </x:c>
      <x:c r="Z393" s="119" t="n">
        <x:f>IF(X393=0,0,(X393-IF(1=D393,1,0))*ROUND(Y393*VLOOKUP(INDEX('章节与怪物'!$E$31:$K$37,B393,1),'章节与怪物'!$A$41:$F$44,2,FALSE),0)+IF(1=D393,ROUND(Y393*'难度参数'!$E$28*'章节与怪物'!$E$17,0),0))</x:f>
        <x:v>211808</x:v>
      </x:c>
      <x:c r="AA393" s="119" t="n">
        <x:f>IF(X393=0,0,(X393-IF(1=D393,1,0))*VLOOKUP(INDEX('章节与怪物'!$E$31:$K$37,B393,1),'章节与怪物'!$A$41:$F$44,4,FALSE)+IF(1=D393,'难度参数'!$E$30,0))</x:f>
        <x:v>576</x:v>
      </x:c>
      <x:c r="AB393" s="119" t="n">
        <x:f>IF(2&gt;D393,0,MAX(2,MIN('难度参数'!$E$12,ROUND(('难度参数'!$E$18*POWER(A393,'难度参数'!$E$19)/D393*(0.85+0.3*(2-1)/MAX(1,D393-1))),0)+F393)))</x:f>
        <x:v>34</x:v>
      </x:c>
      <x:c r="AC393" s="119" t="n">
        <x:f>IF(2&gt;D393,0,ROUND(('难度参数'!$E$13*POWER(A393,'难度参数'!$E$20)*MIN('难度参数'!$E$23,1+MAX(0,A393-'难度参数'!$E$21)*'难度参数'!$E$22))*(36+2*7)/(36+7*(D393+1)/2)*E393,0))</x:f>
        <x:v>7696</x:v>
      </x:c>
      <x:c r="AD393" s="119" t="n">
        <x:f>IF(AB393=0,0,(AB393-IF(2=D393,1,0))*ROUND(AC393*VLOOKUP(INDEX('章节与怪物'!$E$31:$K$37,B393,2),'章节与怪物'!$A$41:$F$44,2,FALSE),0)+IF(2=D393,ROUND(AC393*'难度参数'!$E$28*'章节与怪物'!$E$17,0),0))</x:f>
        <x:v>261664</x:v>
      </x:c>
      <x:c r="AE393" s="119" t="n">
        <x:f>IF(AB393=0,0,(AB393-IF(2=D393,1,0))*VLOOKUP(INDEX('章节与怪物'!$E$31:$K$37,B393,2),'章节与怪物'!$A$41:$F$44,4,FALSE)+IF(2=D393,'难度参数'!$E$30,0))</x:f>
        <x:v>612</x:v>
      </x:c>
      <x:c r="AF393" s="119" t="n">
        <x:f>IF(3&gt;D393,0,MAX(2,MIN('难度参数'!$E$12,ROUND(('难度参数'!$E$18*POWER(A393,'难度参数'!$E$19)/D393*(0.85+0.3*(3-1)/MAX(1,D393-1))),0)+F393)))</x:f>
        <x:v>36</x:v>
      </x:c>
      <x:c r="AG393" s="119" t="n">
        <x:f>IF(3&gt;D393,0,ROUND(('难度参数'!$E$13*POWER(A393,'难度参数'!$E$20)*MIN('难度参数'!$E$23,1+MAX(0,A393-'难度参数'!$E$21)*'难度参数'!$E$22))*(36+3*7)/(36+7*(D393+1)/2)*E393,0))</x:f>
        <x:v>8774</x:v>
      </x:c>
      <x:c r="AH393" s="119" t="n">
        <x:f>IF(AF393=0,0,(AF393-IF(3=D393,1,0))*ROUND(AG393*VLOOKUP(INDEX('章节与怪物'!$E$31:$K$37,B393,3),'章节与怪物'!$A$41:$F$44,2,FALSE),0)+IF(3=D393,ROUND(AG393*'难度参数'!$E$28*'章节与怪物'!$E$17,0),0))</x:f>
        <x:v>227412</x:v>
      </x:c>
      <x:c r="AI393" s="119" t="n">
        <x:f>IF(AF393=0,0,(AF393-IF(3=D393,1,0))*VLOOKUP(INDEX('章节与怪物'!$E$31:$K$37,B393,3),'章节与怪物'!$A$41:$F$44,4,FALSE)+IF(3=D393,'难度参数'!$E$30,0))</x:f>
        <x:v>720</x:v>
      </x:c>
      <x:c r="AJ393" s="119" t="n">
        <x:f>IF(4&gt;D393,0,MAX(2,MIN('难度参数'!$E$12,ROUND(('难度参数'!$E$18*POWER(A393,'难度参数'!$E$19)/D393*(0.85+0.3*(4-1)/MAX(1,D393-1))),0)+F393)))</x:f>
        <x:v>38</x:v>
      </x:c>
      <x:c r="AK393" s="119" t="n">
        <x:f>IF(4&gt;D393,0,ROUND(('难度参数'!$E$13*POWER(A393,'难度参数'!$E$20)*MIN('难度参数'!$E$23,1+MAX(0,A393-'难度参数'!$E$21)*'难度参数'!$E$22))*(36+4*7)/(36+7*(D393+1)/2)*E393,0))</x:f>
        <x:v>9851</x:v>
      </x:c>
      <x:c r="AL393" s="119" t="n">
        <x:f>IF(AJ393=0,0,(AJ393-IF(4=D393,1,0))*ROUND(AK393*VLOOKUP(INDEX('章节与怪物'!$E$31:$K$37,B393,4),'章节与怪物'!$A$41:$F$44,2,FALSE),0)+IF(4=D393,ROUND(AK393*'难度参数'!$E$28*'章节与怪物'!$E$17,0),0))</x:f>
        <x:v>636386</x:v>
      </x:c>
      <x:c r="AM393" s="119" t="n">
        <x:f>IF(AJ393=0,0,(AJ393-IF(4=D393,1,0))*VLOOKUP(INDEX('章节与怪物'!$E$31:$K$37,B393,4),'章节与怪物'!$A$41:$F$44,4,FALSE)+IF(4=D393,'难度参数'!$E$30,0))</x:f>
        <x:v>1064</x:v>
      </x:c>
      <x:c r="AN393" s="119" t="n">
        <x:f>IF(5&gt;D393,0,MAX(2,MIN('难度参数'!$E$12,ROUND(('难度参数'!$E$18*POWER(A393,'难度参数'!$E$19)/D393*(0.85+0.3*(5-1)/MAX(1,D393-1))),0)+F393)))</x:f>
        <x:v>40</x:v>
      </x:c>
      <x:c r="AO393" s="119" t="n">
        <x:f>IF(5&gt;D393,0,ROUND(('难度参数'!$E$13*POWER(A393,'难度参数'!$E$20)*MIN('难度参数'!$E$23,1+MAX(0,A393-'难度参数'!$E$21)*'难度参数'!$E$22))*(36+5*7)/(36+7*(D393+1)/2)*E393,0))</x:f>
        <x:v>10929</x:v>
      </x:c>
      <x:c r="AP393" s="119" t="n">
        <x:f>IF(AN393=0,0,(AN393-IF(5=D393,1,0))*ROUND(AO393*VLOOKUP(INDEX('章节与怪物'!$E$31:$K$37,B393,5),'章节与怪物'!$A$41:$F$44,2,FALSE),0)+IF(5=D393,ROUND(AO393*'难度参数'!$E$28*'章节与怪物'!$E$17,0),0))</x:f>
        <x:v>590160</x:v>
      </x:c>
      <x:c r="AQ393" s="119" t="n">
        <x:f>IF(AN393=0,0,(AN393-IF(5=D393,1,0))*VLOOKUP(INDEX('章节与怪物'!$E$31:$K$37,B393,5),'章节与怪物'!$A$41:$F$44,4,FALSE)+IF(5=D393,'难度参数'!$E$30,0))</x:f>
        <x:v>1360</x:v>
      </x:c>
      <x:c r="AR393" s="119" t="n">
        <x:f>IF(6&gt;D393,0,MAX(2,MIN('难度参数'!$E$12,ROUND(('难度参数'!$E$18*POWER(A393,'难度参数'!$E$19)/D393*(0.85+0.3*(6-1)/MAX(1,D393-1))),0)+F393)))</x:f>
        <x:v>42</x:v>
      </x:c>
      <x:c r="AS393" s="119" t="n">
        <x:f>IF(6&gt;D393,0,ROUND(('难度参数'!$E$13*POWER(A393,'难度参数'!$E$20)*MIN('难度参数'!$E$23,1+MAX(0,A393-'难度参数'!$E$21)*'难度参数'!$E$22))*(36+6*7)/(36+7*(D393+1)/2)*E393,0))</x:f>
        <x:v>12006</x:v>
      </x:c>
      <x:c r="AT393" s="119" t="n">
        <x:f>IF(AR393=0,0,(AR393-IF(6=D393,1,0))*ROUND(AS393*VLOOKUP(INDEX('章节与怪物'!$E$31:$K$37,B393,6),'章节与怪物'!$A$41:$F$44,2,FALSE),0)+IF(6=D393,ROUND(AS393*'难度参数'!$E$28*'章节与怪物'!$E$17,0),0))</x:f>
        <x:v>363048</x:v>
      </x:c>
      <x:c r="AU393" s="119" t="n">
        <x:f>IF(AR393=0,0,(AR393-IF(6=D393,1,0))*VLOOKUP(INDEX('章节与怪物'!$E$31:$K$37,B393,6),'章节与怪物'!$A$41:$F$44,4,FALSE)+IF(6=D393,'难度参数'!$E$30,0))</x:f>
        <x:v>840</x:v>
      </x:c>
      <x:c r="AV393" s="119" t="n">
        <x:f>IF(7&gt;D393,0,MAX(2,MIN('难度参数'!$E$12,ROUND(('难度参数'!$E$18*POWER(A393,'难度参数'!$E$19)/D393*(0.85+0.3*(7-1)/MAX(1,D393-1))),0)+F393)))</x:f>
        <x:v>44</x:v>
      </x:c>
      <x:c r="AW393" s="119" t="n">
        <x:f>IF(7&gt;D393,0,ROUND(('难度参数'!$E$13*POWER(A393,'难度参数'!$E$20)*MIN('难度参数'!$E$23,1+MAX(0,A393-'难度参数'!$E$21)*'难度参数'!$E$22))*(36+7*7)/(36+7*(D393+1)/2)*E393,0))</x:f>
        <x:v>13084</x:v>
      </x:c>
      <x:c r="AX393" s="119" t="n">
        <x:f>IF(AV393=0,0,(AV393-IF(7=D393,1,0))*ROUND(AW393*VLOOKUP(INDEX('章节与怪物'!$E$31:$K$37,B393,7),'章节与怪物'!$A$41:$F$44,2,FALSE),0)+IF(7=D393,ROUND(AW393*'难度参数'!$E$28*'章节与怪物'!$E$17,0),0))</x:f>
        <x:v>1045420</x:v>
      </x:c>
      <x:c r="AY393" s="119" t="n">
        <x:f>IF(AV393=0,0,(AV393-IF(7=D393,1,0))*VLOOKUP(INDEX('章节与怪物'!$E$31:$K$37,B393,7),'章节与怪物'!$A$41:$F$44,4,FALSE)+IF(7=D393,'难度参数'!$E$30,0))</x:f>
        <x:v>1404</x:v>
      </x:c>
    </x:row>
    <x:row r="394" ht="23" customHeight="1">
      <x:c r="A394" s="119" t="n">
        <x:v>388</x:v>
      </x:c>
      <x:c r="B394" s="119" t="n">
        <x:f>MOD(INT((A394-1)/5),7)+1</x:f>
        <x:v>1</x:v>
      </x:c>
      <x:c r="C394" s="62" t="str">
        <x:f>INDEX('章节与怪物'!$B$31:$B$37,B394)</x:f>
        <x:v>冰雪荒原</x:v>
      </x:c>
      <x:c r="D394" s="119" t="n">
        <x:f>MIN('难度参数'!$E$8,MAX('难度参数'!$E$7,A394))</x:f>
        <x:v>7</x:v>
      </x:c>
      <x:c r="E394" s="106" t="n">
        <x:v>1</x:v>
      </x:c>
      <x:c r="F394" s="106" t="n">
        <x:v>0</x:v>
      </x:c>
      <x:c r="G394" s="106" t="n">
        <x:v>1</x:v>
      </x:c>
      <x:c r="H394" s="119" t="n">
        <x:f>SUM(X394,AB394,AF394,AJ394,AN394,AR394,AV394)</x:f>
        <x:v>266</x:v>
      </x:c>
      <x:c r="I394" s="119" t="n">
        <x:f>SUM(Z394,AD394,AH394,AL394,AP394,AT394,AX394)</x:f>
        <x:v>3342042</x:v>
      </x:c>
      <x:c r="J394" s="119" t="n">
        <x:f>ROUND(INDEX(X394:AY394,1,(D394-1)*4+2)*'难度参数'!$E$28*'章节与怪物'!$E$17,0)</x:f>
        <x:v>89134</x:v>
      </x:c>
      <x:c r="K394" s="119" t="n">
        <x:f>SUM(AA394,AE394,AI394,AM394,AQ394,AU394,AY394)</x:f>
        <x:v>6576</x:v>
      </x:c>
      <x:c r="L394" s="62" t="n">
        <x:f>H394*(ROUNDUP('难度参数'!$E$24/('难度参数'!$E$26*'难度参数'!$E$27),0)*'难度参数'!$E$26)/60</x:f>
        <x:v>3.546666666666667</x:v>
      </x:c>
      <x:c r="M394" s="62" t="n">
        <x:f>L394+D394*('难度参数'!$E$49+'难度参数'!$E$50)/60</x:f>
        <x:v>4.713333333333334</x:v>
      </x:c>
      <x:c r="N394" s="119" t="n">
        <x:f>ROUNDDOWN(('经济参数'!$E$20+A394*'经济参数'!$E$21)*G394,0)</x:f>
        <x:v>7940</x:v>
      </x:c>
      <x:c r="O394" s="119" t="n">
        <x:f>ROUNDDOWN(MIN('经济参数'!$E$24,'经济参数'!$E$22+A394*'经济参数'!$E$23)*G394,0)</x:f>
        <x:v>0</x:v>
      </x:c>
      <x:c r="P394" s="119" t="n">
        <x:f>ROUNDDOWN((IF(A394&gt;='材料与任务'!$E$31,'材料与任务'!$E$32,IF(A394&gt;='材料与任务'!$E$25,'材料与任务'!$E$26,IF(A394&gt;='材料与任务'!$E$19,'材料与任务'!$E$20,IF(A394&gt;='材料与任务'!$E$13,'材料与任务'!$E$14,'材料与任务'!$E$8)))))*G394,0)</x:f>
        <x:v>6</x:v>
      </x:c>
      <x:c r="Q394" s="119" t="n">
        <x:f>ROUNDDOWN((IF(A394&gt;='材料与任务'!$E$31,'材料与任务'!$E$33,IF(A394&gt;='材料与任务'!$E$25,'材料与任务'!$E$27,IF(A394&gt;='材料与任务'!$E$19,'材料与任务'!$E$21,IF(A394&gt;='材料与任务'!$E$13,'材料与任务'!$E$15,'材料与任务'!$E$9)))))*G394,0)</x:f>
        <x:v>3</x:v>
      </x:c>
      <x:c r="R394" s="110" t="n">
        <x:f>'装备掉落'!$B$38</x:f>
        <x:v>0.6872058758851213</x:v>
      </x:c>
      <x:c r="S394" s="119" t="n">
        <x:f>MAX(IF(VLOOKUP(A394,'装备掉落'!$A$29:$H$34,2,TRUE)&gt;0,1,0),IF(VLOOKUP(A394,'装备掉落'!$A$29:$H$34,3,TRUE)&gt;0,2,0),IF(VLOOKUP(A394,'装备掉落'!$A$29:$H$34,4,TRUE)&gt;0,3,0),IF(VLOOKUP(A394,'装备掉落'!$A$29:$H$34,5,TRUE)&gt;0,4,0),IF(VLOOKUP(A394,'装备掉落'!$A$29:$H$34,6,TRUE)&gt;0,5,0),IF(VLOOKUP(A394,'装备掉落'!$A$29:$H$34,7,TRUE)&gt;0,6,0),IF(VLOOKUP(A394,'装备掉落'!$A$29:$H$34,8,TRUE)&gt;0,7,0))</x:f>
        <x:v>7</x:v>
      </x:c>
      <x:c r="T394" s="119" t="n">
        <x:f>MIN(7,S394+'经济参数'!$E$70)</x:f>
        <x:v>7</x:v>
      </x:c>
      <x:c r="U394" s="119" t="n">
        <x:f>MIN(7,S394+'经济参数'!$E$71)</x:f>
        <x:v>7</x:v>
      </x:c>
      <x:c r="V394" s="119" t="n">
        <x:f>IF(H394&gt;=('难度参数'!$E$52),1,0)+IF(H394&gt;=('难度参数'!$E$52+'难度参数'!$E$53),1,0)+IF(H394&gt;=('难度参数'!$E$52+'难度参数'!$E$53+'难度参数'!$E$54),1,0)+IF(H394&gt;=('难度参数'!$E$52+'难度参数'!$E$53+'难度参数'!$E$54+'难度参数'!$E$55),1,0)+IF(H394&gt;=('难度参数'!$E$52+'难度参数'!$E$53+'难度参数'!$E$54+'难度参数'!$E$55+'难度参数'!$E$56),1,0)+IF(H394&gt;=('难度参数'!$E$52+'难度参数'!$E$53+'难度参数'!$E$54+'难度参数'!$E$55+'难度参数'!$E$56+'难度参数'!$E$57),1,0)</x:f>
        <x:v>6</x:v>
      </x:c>
      <x:c r="W394" s="62" t="str">
        <x:f>IF(L394&gt;'难度参数'!$E$51,"仅出怪已超目标","还需实测")</x:f>
        <x:v>仅出怪已超目标</x:v>
      </x:c>
      <x:c r="X394" s="119" t="n">
        <x:f>IF(1&gt;D394,0,MAX(2,MIN('难度参数'!$E$12,ROUND(('难度参数'!$E$18*POWER(A394,'难度参数'!$E$19)/D394*(0.85+0.3*(1-1)/MAX(1,D394-1))),0)+F394)))</x:f>
        <x:v>32</x:v>
      </x:c>
      <x:c r="Y394" s="119" t="n">
        <x:f>IF(1&gt;D394,0,ROUND(('难度参数'!$E$13*POWER(A394,'难度参数'!$E$20)*MIN('难度参数'!$E$23,1+MAX(0,A394-'难度参数'!$E$21)*'难度参数'!$E$22))*(36+1*7)/(36+7*(D394+1)/2)*E394,0))</x:f>
        <x:v>6631</x:v>
      </x:c>
      <x:c r="Z394" s="119" t="n">
        <x:f>IF(X394=0,0,(X394-IF(1=D394,1,0))*ROUND(Y394*VLOOKUP(INDEX('章节与怪物'!$E$31:$K$37,B394,1),'章节与怪物'!$A$41:$F$44,2,FALSE),0)+IF(1=D394,ROUND(Y394*'难度参数'!$E$28*'章节与怪物'!$E$17,0),0))</x:f>
        <x:v>212192</x:v>
      </x:c>
      <x:c r="AA394" s="119" t="n">
        <x:f>IF(X394=0,0,(X394-IF(1=D394,1,0))*VLOOKUP(INDEX('章节与怪物'!$E$31:$K$37,B394,1),'章节与怪物'!$A$41:$F$44,4,FALSE)+IF(1=D394,'难度参数'!$E$30,0))</x:f>
        <x:v>576</x:v>
      </x:c>
      <x:c r="AB394" s="119" t="n">
        <x:f>IF(2&gt;D394,0,MAX(2,MIN('难度参数'!$E$12,ROUND(('难度参数'!$E$18*POWER(A394,'难度参数'!$E$19)/D394*(0.85+0.3*(2-1)/MAX(1,D394-1))),0)+F394)))</x:f>
        <x:v>34</x:v>
      </x:c>
      <x:c r="AC394" s="119" t="n">
        <x:f>IF(2&gt;D394,0,ROUND(('难度参数'!$E$13*POWER(A394,'难度参数'!$E$20)*MIN('难度参数'!$E$23,1+MAX(0,A394-'难度参数'!$E$21)*'难度参数'!$E$22))*(36+2*7)/(36+7*(D394+1)/2)*E394,0))</x:f>
        <x:v>7711</x:v>
      </x:c>
      <x:c r="AD394" s="119" t="n">
        <x:f>IF(AB394=0,0,(AB394-IF(2=D394,1,0))*ROUND(AC394*VLOOKUP(INDEX('章节与怪物'!$E$31:$K$37,B394,2),'章节与怪物'!$A$41:$F$44,2,FALSE),0)+IF(2=D394,ROUND(AC394*'难度参数'!$E$28*'章节与怪物'!$E$17,0),0))</x:f>
        <x:v>262174</x:v>
      </x:c>
      <x:c r="AE394" s="119" t="n">
        <x:f>IF(AB394=0,0,(AB394-IF(2=D394,1,0))*VLOOKUP(INDEX('章节与怪物'!$E$31:$K$37,B394,2),'章节与怪物'!$A$41:$F$44,4,FALSE)+IF(2=D394,'难度参数'!$E$30,0))</x:f>
        <x:v>612</x:v>
      </x:c>
      <x:c r="AF394" s="119" t="n">
        <x:f>IF(3&gt;D394,0,MAX(2,MIN('难度参数'!$E$12,ROUND(('难度参数'!$E$18*POWER(A394,'难度参数'!$E$19)/D394*(0.85+0.3*(3-1)/MAX(1,D394-1))),0)+F394)))</x:f>
        <x:v>36</x:v>
      </x:c>
      <x:c r="AG394" s="119" t="n">
        <x:f>IF(3&gt;D394,0,ROUND(('难度参数'!$E$13*POWER(A394,'难度参数'!$E$20)*MIN('难度参数'!$E$23,1+MAX(0,A394-'难度参数'!$E$21)*'难度参数'!$E$22))*(36+3*7)/(36+7*(D394+1)/2)*E394,0))</x:f>
        <x:v>8790</x:v>
      </x:c>
      <x:c r="AH394" s="119" t="n">
        <x:f>IF(AF394=0,0,(AF394-IF(3=D394,1,0))*ROUND(AG394*VLOOKUP(INDEX('章节与怪物'!$E$31:$K$37,B394,3),'章节与怪物'!$A$41:$F$44,2,FALSE),0)+IF(3=D394,ROUND(AG394*'难度参数'!$E$28*'章节与怪物'!$E$17,0),0))</x:f>
        <x:v>227844</x:v>
      </x:c>
      <x:c r="AI394" s="119" t="n">
        <x:f>IF(AF394=0,0,(AF394-IF(3=D394,1,0))*VLOOKUP(INDEX('章节与怪物'!$E$31:$K$37,B394,3),'章节与怪物'!$A$41:$F$44,4,FALSE)+IF(3=D394,'难度参数'!$E$30,0))</x:f>
        <x:v>720</x:v>
      </x:c>
      <x:c r="AJ394" s="119" t="n">
        <x:f>IF(4&gt;D394,0,MAX(2,MIN('难度参数'!$E$12,ROUND(('难度参数'!$E$18*POWER(A394,'难度参数'!$E$19)/D394*(0.85+0.3*(4-1)/MAX(1,D394-1))),0)+F394)))</x:f>
        <x:v>38</x:v>
      </x:c>
      <x:c r="AK394" s="119" t="n">
        <x:f>IF(4&gt;D394,0,ROUND(('难度参数'!$E$13*POWER(A394,'难度参数'!$E$20)*MIN('难度参数'!$E$23,1+MAX(0,A394-'难度参数'!$E$21)*'难度参数'!$E$22))*(36+4*7)/(36+7*(D394+1)/2)*E394,0))</x:f>
        <x:v>9869</x:v>
      </x:c>
      <x:c r="AL394" s="119" t="n">
        <x:f>IF(AJ394=0,0,(AJ394-IF(4=D394,1,0))*ROUND(AK394*VLOOKUP(INDEX('章节与怪物'!$E$31:$K$37,B394,4),'章节与怪物'!$A$41:$F$44,2,FALSE),0)+IF(4=D394,ROUND(AK394*'难度参数'!$E$28*'章节与怪物'!$E$17,0),0))</x:f>
        <x:v>637526</x:v>
      </x:c>
      <x:c r="AM394" s="119" t="n">
        <x:f>IF(AJ394=0,0,(AJ394-IF(4=D394,1,0))*VLOOKUP(INDEX('章节与怪物'!$E$31:$K$37,B394,4),'章节与怪物'!$A$41:$F$44,4,FALSE)+IF(4=D394,'难度参数'!$E$30,0))</x:f>
        <x:v>1064</x:v>
      </x:c>
      <x:c r="AN394" s="119" t="n">
        <x:f>IF(5&gt;D394,0,MAX(2,MIN('难度参数'!$E$12,ROUND(('难度参数'!$E$18*POWER(A394,'难度参数'!$E$19)/D394*(0.85+0.3*(5-1)/MAX(1,D394-1))),0)+F394)))</x:f>
        <x:v>40</x:v>
      </x:c>
      <x:c r="AO394" s="119" t="n">
        <x:f>IF(5&gt;D394,0,ROUND(('难度参数'!$E$13*POWER(A394,'难度参数'!$E$20)*MIN('难度参数'!$E$23,1+MAX(0,A394-'难度参数'!$E$21)*'难度参数'!$E$22))*(36+5*7)/(36+7*(D394+1)/2)*E394,0))</x:f>
        <x:v>10949</x:v>
      </x:c>
      <x:c r="AP394" s="119" t="n">
        <x:f>IF(AN394=0,0,(AN394-IF(5=D394,1,0))*ROUND(AO394*VLOOKUP(INDEX('章节与怪物'!$E$31:$K$37,B394,5),'章节与怪物'!$A$41:$F$44,2,FALSE),0)+IF(5=D394,ROUND(AO394*'难度参数'!$E$28*'章节与怪物'!$E$17,0),0))</x:f>
        <x:v>591240</x:v>
      </x:c>
      <x:c r="AQ394" s="119" t="n">
        <x:f>IF(AN394=0,0,(AN394-IF(5=D394,1,0))*VLOOKUP(INDEX('章节与怪物'!$E$31:$K$37,B394,5),'章节与怪物'!$A$41:$F$44,4,FALSE)+IF(5=D394,'难度参数'!$E$30,0))</x:f>
        <x:v>1360</x:v>
      </x:c>
      <x:c r="AR394" s="119" t="n">
        <x:f>IF(6&gt;D394,0,MAX(2,MIN('难度参数'!$E$12,ROUND(('难度参数'!$E$18*POWER(A394,'难度参数'!$E$19)/D394*(0.85+0.3*(6-1)/MAX(1,D394-1))),0)+F394)))</x:f>
        <x:v>42</x:v>
      </x:c>
      <x:c r="AS394" s="119" t="n">
        <x:f>IF(6&gt;D394,0,ROUND(('难度参数'!$E$13*POWER(A394,'难度参数'!$E$20)*MIN('难度参数'!$E$23,1+MAX(0,A394-'难度参数'!$E$21)*'难度参数'!$E$22))*(36+6*7)/(36+7*(D394+1)/2)*E394,0))</x:f>
        <x:v>12028</x:v>
      </x:c>
      <x:c r="AT394" s="119" t="n">
        <x:f>IF(AR394=0,0,(AR394-IF(6=D394,1,0))*ROUND(AS394*VLOOKUP(INDEX('章节与怪物'!$E$31:$K$37,B394,6),'章节与怪物'!$A$41:$F$44,2,FALSE),0)+IF(6=D394,ROUND(AS394*'难度参数'!$E$28*'章节与怪物'!$E$17,0),0))</x:f>
        <x:v>363720</x:v>
      </x:c>
      <x:c r="AU394" s="119" t="n">
        <x:f>IF(AR394=0,0,(AR394-IF(6=D394,1,0))*VLOOKUP(INDEX('章节与怪物'!$E$31:$K$37,B394,6),'章节与怪物'!$A$41:$F$44,4,FALSE)+IF(6=D394,'难度参数'!$E$30,0))</x:f>
        <x:v>840</x:v>
      </x:c>
      <x:c r="AV394" s="119" t="n">
        <x:f>IF(7&gt;D394,0,MAX(2,MIN('难度参数'!$E$12,ROUND(('难度参数'!$E$18*POWER(A394,'难度参数'!$E$19)/D394*(0.85+0.3*(7-1)/MAX(1,D394-1))),0)+F394)))</x:f>
        <x:v>44</x:v>
      </x:c>
      <x:c r="AW394" s="119" t="n">
        <x:f>IF(7&gt;D394,0,ROUND(('难度参数'!$E$13*POWER(A394,'难度参数'!$E$20)*MIN('难度参数'!$E$23,1+MAX(0,A394-'难度参数'!$E$21)*'难度参数'!$E$22))*(36+7*7)/(36+7*(D394+1)/2)*E394,0))</x:f>
        <x:v>13108</x:v>
      </x:c>
      <x:c r="AX394" s="119" t="n">
        <x:f>IF(AV394=0,0,(AV394-IF(7=D394,1,0))*ROUND(AW394*VLOOKUP(INDEX('章节与怪物'!$E$31:$K$37,B394,7),'章节与怪物'!$A$41:$F$44,2,FALSE),0)+IF(7=D394,ROUND(AW394*'难度参数'!$E$28*'章节与怪物'!$E$17,0),0))</x:f>
        <x:v>1047346</x:v>
      </x:c>
      <x:c r="AY394" s="119" t="n">
        <x:f>IF(AV394=0,0,(AV394-IF(7=D394,1,0))*VLOOKUP(INDEX('章节与怪物'!$E$31:$K$37,B394,7),'章节与怪物'!$A$41:$F$44,4,FALSE)+IF(7=D394,'难度参数'!$E$30,0))</x:f>
        <x:v>1404</x:v>
      </x:c>
    </x:row>
    <x:row r="395" ht="23" customHeight="1">
      <x:c r="A395" s="119" t="n">
        <x:v>389</x:v>
      </x:c>
      <x:c r="B395" s="119" t="n">
        <x:f>MOD(INT((A395-1)/5),7)+1</x:f>
        <x:v>1</x:v>
      </x:c>
      <x:c r="C395" s="62" t="str">
        <x:f>INDEX('章节与怪物'!$B$31:$B$37,B395)</x:f>
        <x:v>冰雪荒原</x:v>
      </x:c>
      <x:c r="D395" s="119" t="n">
        <x:f>MIN('难度参数'!$E$8,MAX('难度参数'!$E$7,A395))</x:f>
        <x:v>7</x:v>
      </x:c>
      <x:c r="E395" s="106" t="n">
        <x:v>1</x:v>
      </x:c>
      <x:c r="F395" s="106" t="n">
        <x:v>0</x:v>
      </x:c>
      <x:c r="G395" s="106" t="n">
        <x:v>1</x:v>
      </x:c>
      <x:c r="H395" s="119" t="n">
        <x:f>SUM(X395,AB395,AF395,AJ395,AN395,AR395,AV395)</x:f>
        <x:v>266</x:v>
      </x:c>
      <x:c r="I395" s="119" t="n">
        <x:f>SUM(Z395,AD395,AH395,AL395,AP395,AT395,AX395)</x:f>
        <x:v>3348230</x:v>
      </x:c>
      <x:c r="J395" s="119" t="n">
        <x:f>ROUND(INDEX(X395:AY395,1,(D395-1)*4+2)*'难度参数'!$E$28*'章节与怪物'!$E$17,0)</x:f>
        <x:v>89298</x:v>
      </x:c>
      <x:c r="K395" s="119" t="n">
        <x:f>SUM(AA395,AE395,AI395,AM395,AQ395,AU395,AY395)</x:f>
        <x:v>6576</x:v>
      </x:c>
      <x:c r="L395" s="62" t="n">
        <x:f>H395*(ROUNDUP('难度参数'!$E$24/('难度参数'!$E$26*'难度参数'!$E$27),0)*'难度参数'!$E$26)/60</x:f>
        <x:v>3.546666666666667</x:v>
      </x:c>
      <x:c r="M395" s="62" t="n">
        <x:f>L395+D395*('难度参数'!$E$49+'难度参数'!$E$50)/60</x:f>
        <x:v>4.713333333333334</x:v>
      </x:c>
      <x:c r="N395" s="119" t="n">
        <x:f>ROUNDDOWN(('经济参数'!$E$20+A395*'经济参数'!$E$21)*G395,0)</x:f>
        <x:v>7960</x:v>
      </x:c>
      <x:c r="O395" s="119" t="n">
        <x:f>ROUNDDOWN(MIN('经济参数'!$E$24,'经济参数'!$E$22+A395*'经济参数'!$E$23)*G395,0)</x:f>
        <x:v>0</x:v>
      </x:c>
      <x:c r="P395" s="119" t="n">
        <x:f>ROUNDDOWN((IF(A395&gt;='材料与任务'!$E$31,'材料与任务'!$E$32,IF(A395&gt;='材料与任务'!$E$25,'材料与任务'!$E$26,IF(A395&gt;='材料与任务'!$E$19,'材料与任务'!$E$20,IF(A395&gt;='材料与任务'!$E$13,'材料与任务'!$E$14,'材料与任务'!$E$8)))))*G395,0)</x:f>
        <x:v>6</x:v>
      </x:c>
      <x:c r="Q395" s="119" t="n">
        <x:f>ROUNDDOWN((IF(A395&gt;='材料与任务'!$E$31,'材料与任务'!$E$33,IF(A395&gt;='材料与任务'!$E$25,'材料与任务'!$E$27,IF(A395&gt;='材料与任务'!$E$19,'材料与任务'!$E$21,IF(A395&gt;='材料与任务'!$E$13,'材料与任务'!$E$15,'材料与任务'!$E$9)))))*G395,0)</x:f>
        <x:v>3</x:v>
      </x:c>
      <x:c r="R395" s="110" t="n">
        <x:f>'装备掉落'!$B$38</x:f>
        <x:v>0.6872058758851213</x:v>
      </x:c>
      <x:c r="S395" s="119" t="n">
        <x:f>MAX(IF(VLOOKUP(A395,'装备掉落'!$A$29:$H$34,2,TRUE)&gt;0,1,0),IF(VLOOKUP(A395,'装备掉落'!$A$29:$H$34,3,TRUE)&gt;0,2,0),IF(VLOOKUP(A395,'装备掉落'!$A$29:$H$34,4,TRUE)&gt;0,3,0),IF(VLOOKUP(A395,'装备掉落'!$A$29:$H$34,5,TRUE)&gt;0,4,0),IF(VLOOKUP(A395,'装备掉落'!$A$29:$H$34,6,TRUE)&gt;0,5,0),IF(VLOOKUP(A395,'装备掉落'!$A$29:$H$34,7,TRUE)&gt;0,6,0),IF(VLOOKUP(A395,'装备掉落'!$A$29:$H$34,8,TRUE)&gt;0,7,0))</x:f>
        <x:v>7</x:v>
      </x:c>
      <x:c r="T395" s="119" t="n">
        <x:f>MIN(7,S395+'经济参数'!$E$70)</x:f>
        <x:v>7</x:v>
      </x:c>
      <x:c r="U395" s="119" t="n">
        <x:f>MIN(7,S395+'经济参数'!$E$71)</x:f>
        <x:v>7</x:v>
      </x:c>
      <x:c r="V395" s="119" t="n">
        <x:f>IF(H395&gt;=('难度参数'!$E$52),1,0)+IF(H395&gt;=('难度参数'!$E$52+'难度参数'!$E$53),1,0)+IF(H395&gt;=('难度参数'!$E$52+'难度参数'!$E$53+'难度参数'!$E$54),1,0)+IF(H395&gt;=('难度参数'!$E$52+'难度参数'!$E$53+'难度参数'!$E$54+'难度参数'!$E$55),1,0)+IF(H395&gt;=('难度参数'!$E$52+'难度参数'!$E$53+'难度参数'!$E$54+'难度参数'!$E$55+'难度参数'!$E$56),1,0)+IF(H395&gt;=('难度参数'!$E$52+'难度参数'!$E$53+'难度参数'!$E$54+'难度参数'!$E$55+'难度参数'!$E$56+'难度参数'!$E$57),1,0)</x:f>
        <x:v>6</x:v>
      </x:c>
      <x:c r="W395" s="62" t="str">
        <x:f>IF(L395&gt;'难度参数'!$E$51,"仅出怪已超目标","还需实测")</x:f>
        <x:v>仅出怪已超目标</x:v>
      </x:c>
      <x:c r="X395" s="119" t="n">
        <x:f>IF(1&gt;D395,0,MAX(2,MIN('难度参数'!$E$12,ROUND(('难度参数'!$E$18*POWER(A395,'难度参数'!$E$19)/D395*(0.85+0.3*(1-1)/MAX(1,D395-1))),0)+F395)))</x:f>
        <x:v>32</x:v>
      </x:c>
      <x:c r="Y395" s="119" t="n">
        <x:f>IF(1&gt;D395,0,ROUND(('难度参数'!$E$13*POWER(A395,'难度参数'!$E$20)*MIN('难度参数'!$E$23,1+MAX(0,A395-'难度参数'!$E$21)*'难度参数'!$E$22))*(36+1*7)/(36+7*(D395+1)/2)*E395,0))</x:f>
        <x:v>6643</x:v>
      </x:c>
      <x:c r="Z395" s="119" t="n">
        <x:f>IF(X395=0,0,(X395-IF(1=D395,1,0))*ROUND(Y395*VLOOKUP(INDEX('章节与怪物'!$E$31:$K$37,B395,1),'章节与怪物'!$A$41:$F$44,2,FALSE),0)+IF(1=D395,ROUND(Y395*'难度参数'!$E$28*'章节与怪物'!$E$17,0),0))</x:f>
        <x:v>212576</x:v>
      </x:c>
      <x:c r="AA395" s="119" t="n">
        <x:f>IF(X395=0,0,(X395-IF(1=D395,1,0))*VLOOKUP(INDEX('章节与怪物'!$E$31:$K$37,B395,1),'章节与怪物'!$A$41:$F$44,4,FALSE)+IF(1=D395,'难度参数'!$E$30,0))</x:f>
        <x:v>576</x:v>
      </x:c>
      <x:c r="AB395" s="119" t="n">
        <x:f>IF(2&gt;D395,0,MAX(2,MIN('难度参数'!$E$12,ROUND(('难度参数'!$E$18*POWER(A395,'难度参数'!$E$19)/D395*(0.85+0.3*(2-1)/MAX(1,D395-1))),0)+F395)))</x:f>
        <x:v>34</x:v>
      </x:c>
      <x:c r="AC395" s="119" t="n">
        <x:f>IF(2&gt;D395,0,ROUND(('难度参数'!$E$13*POWER(A395,'难度参数'!$E$20)*MIN('难度参数'!$E$23,1+MAX(0,A395-'难度参数'!$E$21)*'难度参数'!$E$22))*(36+2*7)/(36+7*(D395+1)/2)*E395,0))</x:f>
        <x:v>7725</x:v>
      </x:c>
      <x:c r="AD395" s="119" t="n">
        <x:f>IF(AB395=0,0,(AB395-IF(2=D395,1,0))*ROUND(AC395*VLOOKUP(INDEX('章节与怪物'!$E$31:$K$37,B395,2),'章节与怪物'!$A$41:$F$44,2,FALSE),0)+IF(2=D395,ROUND(AC395*'难度参数'!$E$28*'章节与怪物'!$E$17,0),0))</x:f>
        <x:v>262650</x:v>
      </x:c>
      <x:c r="AE395" s="119" t="n">
        <x:f>IF(AB395=0,0,(AB395-IF(2=D395,1,0))*VLOOKUP(INDEX('章节与怪物'!$E$31:$K$37,B395,2),'章节与怪物'!$A$41:$F$44,4,FALSE)+IF(2=D395,'难度参数'!$E$30,0))</x:f>
        <x:v>612</x:v>
      </x:c>
      <x:c r="AF395" s="119" t="n">
        <x:f>IF(3&gt;D395,0,MAX(2,MIN('难度参数'!$E$12,ROUND(('难度参数'!$E$18*POWER(A395,'难度参数'!$E$19)/D395*(0.85+0.3*(3-1)/MAX(1,D395-1))),0)+F395)))</x:f>
        <x:v>36</x:v>
      </x:c>
      <x:c r="AG395" s="119" t="n">
        <x:f>IF(3&gt;D395,0,ROUND(('难度参数'!$E$13*POWER(A395,'难度参数'!$E$20)*MIN('难度参数'!$E$23,1+MAX(0,A395-'难度参数'!$E$21)*'难度参数'!$E$22))*(36+3*7)/(36+7*(D395+1)/2)*E395,0))</x:f>
        <x:v>8806</x:v>
      </x:c>
      <x:c r="AH395" s="119" t="n">
        <x:f>IF(AF395=0,0,(AF395-IF(3=D395,1,0))*ROUND(AG395*VLOOKUP(INDEX('章节与怪物'!$E$31:$K$37,B395,3),'章节与怪物'!$A$41:$F$44,2,FALSE),0)+IF(3=D395,ROUND(AG395*'难度参数'!$E$28*'章节与怪物'!$E$17,0),0))</x:f>
        <x:v>228240</x:v>
      </x:c>
      <x:c r="AI395" s="119" t="n">
        <x:f>IF(AF395=0,0,(AF395-IF(3=D395,1,0))*VLOOKUP(INDEX('章节与怪物'!$E$31:$K$37,B395,3),'章节与怪物'!$A$41:$F$44,4,FALSE)+IF(3=D395,'难度参数'!$E$30,0))</x:f>
        <x:v>720</x:v>
      </x:c>
      <x:c r="AJ395" s="119" t="n">
        <x:f>IF(4&gt;D395,0,MAX(2,MIN('难度参数'!$E$12,ROUND(('难度参数'!$E$18*POWER(A395,'难度参数'!$E$19)/D395*(0.85+0.3*(4-1)/MAX(1,D395-1))),0)+F395)))</x:f>
        <x:v>38</x:v>
      </x:c>
      <x:c r="AK395" s="119" t="n">
        <x:f>IF(4&gt;D395,0,ROUND(('难度参数'!$E$13*POWER(A395,'难度参数'!$E$20)*MIN('难度参数'!$E$23,1+MAX(0,A395-'难度参数'!$E$21)*'难度参数'!$E$22))*(36+4*7)/(36+7*(D395+1)/2)*E395,0))</x:f>
        <x:v>9888</x:v>
      </x:c>
      <x:c r="AL395" s="119" t="n">
        <x:f>IF(AJ395=0,0,(AJ395-IF(4=D395,1,0))*ROUND(AK395*VLOOKUP(INDEX('章节与怪物'!$E$31:$K$37,B395,4),'章节与怪物'!$A$41:$F$44,2,FALSE),0)+IF(4=D395,ROUND(AK395*'难度参数'!$E$28*'章节与怪物'!$E$17,0),0))</x:f>
        <x:v>638780</x:v>
      </x:c>
      <x:c r="AM395" s="119" t="n">
        <x:f>IF(AJ395=0,0,(AJ395-IF(4=D395,1,0))*VLOOKUP(INDEX('章节与怪物'!$E$31:$K$37,B395,4),'章节与怪物'!$A$41:$F$44,4,FALSE)+IF(4=D395,'难度参数'!$E$30,0))</x:f>
        <x:v>1064</x:v>
      </x:c>
      <x:c r="AN395" s="119" t="n">
        <x:f>IF(5&gt;D395,0,MAX(2,MIN('难度参数'!$E$12,ROUND(('难度参数'!$E$18*POWER(A395,'难度参数'!$E$19)/D395*(0.85+0.3*(5-1)/MAX(1,D395-1))),0)+F395)))</x:f>
        <x:v>40</x:v>
      </x:c>
      <x:c r="AO395" s="119" t="n">
        <x:f>IF(5&gt;D395,0,ROUND(('难度参数'!$E$13*POWER(A395,'难度参数'!$E$20)*MIN('难度参数'!$E$23,1+MAX(0,A395-'难度参数'!$E$21)*'难度参数'!$E$22))*(36+5*7)/(36+7*(D395+1)/2)*E395,0))</x:f>
        <x:v>10969</x:v>
      </x:c>
      <x:c r="AP395" s="119" t="n">
        <x:f>IF(AN395=0,0,(AN395-IF(5=D395,1,0))*ROUND(AO395*VLOOKUP(INDEX('章节与怪物'!$E$31:$K$37,B395,5),'章节与怪物'!$A$41:$F$44,2,FALSE),0)+IF(5=D395,ROUND(AO395*'难度参数'!$E$28*'章节与怪物'!$E$17,0),0))</x:f>
        <x:v>592320</x:v>
      </x:c>
      <x:c r="AQ395" s="119" t="n">
        <x:f>IF(AN395=0,0,(AN395-IF(5=D395,1,0))*VLOOKUP(INDEX('章节与怪物'!$E$31:$K$37,B395,5),'章节与怪物'!$A$41:$F$44,4,FALSE)+IF(5=D395,'难度参数'!$E$30,0))</x:f>
        <x:v>1360</x:v>
      </x:c>
      <x:c r="AR395" s="119" t="n">
        <x:f>IF(6&gt;D395,0,MAX(2,MIN('难度参数'!$E$12,ROUND(('难度参数'!$E$18*POWER(A395,'难度参数'!$E$19)/D395*(0.85+0.3*(6-1)/MAX(1,D395-1))),0)+F395)))</x:f>
        <x:v>42</x:v>
      </x:c>
      <x:c r="AS395" s="119" t="n">
        <x:f>IF(6&gt;D395,0,ROUND(('难度参数'!$E$13*POWER(A395,'难度参数'!$E$20)*MIN('难度参数'!$E$23,1+MAX(0,A395-'难度参数'!$E$21)*'难度参数'!$E$22))*(36+6*7)/(36+7*(D395+1)/2)*E395,0))</x:f>
        <x:v>12051</x:v>
      </x:c>
      <x:c r="AT395" s="119" t="n">
        <x:f>IF(AR395=0,0,(AR395-IF(6=D395,1,0))*ROUND(AS395*VLOOKUP(INDEX('章节与怪物'!$E$31:$K$37,B395,6),'章节与怪物'!$A$41:$F$44,2,FALSE),0)+IF(6=D395,ROUND(AS395*'难度参数'!$E$28*'章节与怪物'!$E$17,0),0))</x:f>
        <x:v>364434</x:v>
      </x:c>
      <x:c r="AU395" s="119" t="n">
        <x:f>IF(AR395=0,0,(AR395-IF(6=D395,1,0))*VLOOKUP(INDEX('章节与怪物'!$E$31:$K$37,B395,6),'章节与怪物'!$A$41:$F$44,4,FALSE)+IF(6=D395,'难度参数'!$E$30,0))</x:f>
        <x:v>840</x:v>
      </x:c>
      <x:c r="AV395" s="119" t="n">
        <x:f>IF(7&gt;D395,0,MAX(2,MIN('难度参数'!$E$12,ROUND(('难度参数'!$E$18*POWER(A395,'难度参数'!$E$19)/D395*(0.85+0.3*(7-1)/MAX(1,D395-1))),0)+F395)))</x:f>
        <x:v>44</x:v>
      </x:c>
      <x:c r="AW395" s="119" t="n">
        <x:f>IF(7&gt;D395,0,ROUND(('难度参数'!$E$13*POWER(A395,'难度参数'!$E$20)*MIN('难度参数'!$E$23,1+MAX(0,A395-'难度参数'!$E$21)*'难度参数'!$E$22))*(36+7*7)/(36+7*(D395+1)/2)*E395,0))</x:f>
        <x:v>13132</x:v>
      </x:c>
      <x:c r="AX395" s="119" t="n">
        <x:f>IF(AV395=0,0,(AV395-IF(7=D395,1,0))*ROUND(AW395*VLOOKUP(INDEX('章节与怪物'!$E$31:$K$37,B395,7),'章节与怪物'!$A$41:$F$44,2,FALSE),0)+IF(7=D395,ROUND(AW395*'难度参数'!$E$28*'章节与怪物'!$E$17,0),0))</x:f>
        <x:v>1049230</x:v>
      </x:c>
      <x:c r="AY395" s="119" t="n">
        <x:f>IF(AV395=0,0,(AV395-IF(7=D395,1,0))*VLOOKUP(INDEX('章节与怪物'!$E$31:$K$37,B395,7),'章节与怪物'!$A$41:$F$44,4,FALSE)+IF(7=D395,'难度参数'!$E$30,0))</x:f>
        <x:v>1404</x:v>
      </x:c>
    </x:row>
    <x:row r="396" ht="23" customHeight="1">
      <x:c r="A396" s="119" t="n">
        <x:v>390</x:v>
      </x:c>
      <x:c r="B396" s="119" t="n">
        <x:f>MOD(INT((A396-1)/5),7)+1</x:f>
        <x:v>1</x:v>
      </x:c>
      <x:c r="C396" s="62" t="str">
        <x:f>INDEX('章节与怪物'!$B$31:$B$37,B396)</x:f>
        <x:v>冰雪荒原</x:v>
      </x:c>
      <x:c r="D396" s="119" t="n">
        <x:f>MIN('难度参数'!$E$8,MAX('难度参数'!$E$7,A396))</x:f>
        <x:v>7</x:v>
      </x:c>
      <x:c r="E396" s="106" t="n">
        <x:v>1</x:v>
      </x:c>
      <x:c r="F396" s="106" t="n">
        <x:v>0</x:v>
      </x:c>
      <x:c r="G396" s="106" t="n">
        <x:v>1</x:v>
      </x:c>
      <x:c r="H396" s="119" t="n">
        <x:f>SUM(X396,AB396,AF396,AJ396,AN396,AR396,AV396)</x:f>
        <x:v>266</x:v>
      </x:c>
      <x:c r="I396" s="119" t="n">
        <x:f>SUM(Z396,AD396,AH396,AL396,AP396,AT396,AX396)</x:f>
        <x:v>3354488</x:v>
      </x:c>
      <x:c r="J396" s="119" t="n">
        <x:f>ROUND(INDEX(X396:AY396,1,(D396-1)*4+2)*'难度参数'!$E$28*'章节与怪物'!$E$17,0)</x:f>
        <x:v>89461</x:v>
      </x:c>
      <x:c r="K396" s="119" t="n">
        <x:f>SUM(AA396,AE396,AI396,AM396,AQ396,AU396,AY396)</x:f>
        <x:v>6576</x:v>
      </x:c>
      <x:c r="L396" s="62" t="n">
        <x:f>H396*(ROUNDUP('难度参数'!$E$24/('难度参数'!$E$26*'难度参数'!$E$27),0)*'难度参数'!$E$26)/60</x:f>
        <x:v>3.546666666666667</x:v>
      </x:c>
      <x:c r="M396" s="62" t="n">
        <x:f>L396+D396*('难度参数'!$E$49+'难度参数'!$E$50)/60</x:f>
        <x:v>4.713333333333334</x:v>
      </x:c>
      <x:c r="N396" s="119" t="n">
        <x:f>ROUNDDOWN(('经济参数'!$E$20+A396*'经济参数'!$E$21)*G396,0)</x:f>
        <x:v>7980</x:v>
      </x:c>
      <x:c r="O396" s="119" t="n">
        <x:f>ROUNDDOWN(MIN('经济参数'!$E$24,'经济参数'!$E$22+A396*'经济参数'!$E$23)*G396,0)</x:f>
        <x:v>0</x:v>
      </x:c>
      <x:c r="P396" s="119" t="n">
        <x:f>ROUNDDOWN((IF(A396&gt;='材料与任务'!$E$31,'材料与任务'!$E$32,IF(A396&gt;='材料与任务'!$E$25,'材料与任务'!$E$26,IF(A396&gt;='材料与任务'!$E$19,'材料与任务'!$E$20,IF(A396&gt;='材料与任务'!$E$13,'材料与任务'!$E$14,'材料与任务'!$E$8)))))*G396,0)</x:f>
        <x:v>6</x:v>
      </x:c>
      <x:c r="Q396" s="119" t="n">
        <x:f>ROUNDDOWN((IF(A396&gt;='材料与任务'!$E$31,'材料与任务'!$E$33,IF(A396&gt;='材料与任务'!$E$25,'材料与任务'!$E$27,IF(A396&gt;='材料与任务'!$E$19,'材料与任务'!$E$21,IF(A396&gt;='材料与任务'!$E$13,'材料与任务'!$E$15,'材料与任务'!$E$9)))))*G396,0)</x:f>
        <x:v>3</x:v>
      </x:c>
      <x:c r="R396" s="110" t="n">
        <x:f>'装备掉落'!$B$38</x:f>
        <x:v>0.6872058758851213</x:v>
      </x:c>
      <x:c r="S396" s="119" t="n">
        <x:f>MAX(IF(VLOOKUP(A396,'装备掉落'!$A$29:$H$34,2,TRUE)&gt;0,1,0),IF(VLOOKUP(A396,'装备掉落'!$A$29:$H$34,3,TRUE)&gt;0,2,0),IF(VLOOKUP(A396,'装备掉落'!$A$29:$H$34,4,TRUE)&gt;0,3,0),IF(VLOOKUP(A396,'装备掉落'!$A$29:$H$34,5,TRUE)&gt;0,4,0),IF(VLOOKUP(A396,'装备掉落'!$A$29:$H$34,6,TRUE)&gt;0,5,0),IF(VLOOKUP(A396,'装备掉落'!$A$29:$H$34,7,TRUE)&gt;0,6,0),IF(VLOOKUP(A396,'装备掉落'!$A$29:$H$34,8,TRUE)&gt;0,7,0))</x:f>
        <x:v>7</x:v>
      </x:c>
      <x:c r="T396" s="119" t="n">
        <x:f>MIN(7,S396+'经济参数'!$E$70)</x:f>
        <x:v>7</x:v>
      </x:c>
      <x:c r="U396" s="119" t="n">
        <x:f>MIN(7,S396+'经济参数'!$E$71)</x:f>
        <x:v>7</x:v>
      </x:c>
      <x:c r="V396" s="119" t="n">
        <x:f>IF(H396&gt;=('难度参数'!$E$52),1,0)+IF(H396&gt;=('难度参数'!$E$52+'难度参数'!$E$53),1,0)+IF(H396&gt;=('难度参数'!$E$52+'难度参数'!$E$53+'难度参数'!$E$54),1,0)+IF(H396&gt;=('难度参数'!$E$52+'难度参数'!$E$53+'难度参数'!$E$54+'难度参数'!$E$55),1,0)+IF(H396&gt;=('难度参数'!$E$52+'难度参数'!$E$53+'难度参数'!$E$54+'难度参数'!$E$55+'难度参数'!$E$56),1,0)+IF(H396&gt;=('难度参数'!$E$52+'难度参数'!$E$53+'难度参数'!$E$54+'难度参数'!$E$55+'难度参数'!$E$56+'难度参数'!$E$57),1,0)</x:f>
        <x:v>6</x:v>
      </x:c>
      <x:c r="W396" s="62" t="str">
        <x:f>IF(L396&gt;'难度参数'!$E$51,"仅出怪已超目标","还需实测")</x:f>
        <x:v>仅出怪已超目标</x:v>
      </x:c>
      <x:c r="X396" s="119" t="n">
        <x:f>IF(1&gt;D396,0,MAX(2,MIN('难度参数'!$E$12,ROUND(('难度参数'!$E$18*POWER(A396,'难度参数'!$E$19)/D396*(0.85+0.3*(1-1)/MAX(1,D396-1))),0)+F396)))</x:f>
        <x:v>32</x:v>
      </x:c>
      <x:c r="Y396" s="119" t="n">
        <x:f>IF(1&gt;D396,0,ROUND(('难度参数'!$E$13*POWER(A396,'难度参数'!$E$20)*MIN('难度参数'!$E$23,1+MAX(0,A396-'难度参数'!$E$21)*'难度参数'!$E$22))*(36+1*7)/(36+7*(D396+1)/2)*E396,0))</x:f>
        <x:v>6656</x:v>
      </x:c>
      <x:c r="Z396" s="119" t="n">
        <x:f>IF(X396=0,0,(X396-IF(1=D396,1,0))*ROUND(Y396*VLOOKUP(INDEX('章节与怪物'!$E$31:$K$37,B396,1),'章节与怪物'!$A$41:$F$44,2,FALSE),0)+IF(1=D396,ROUND(Y396*'难度参数'!$E$28*'章节与怪物'!$E$17,0),0))</x:f>
        <x:v>212992</x:v>
      </x:c>
      <x:c r="AA396" s="119" t="n">
        <x:f>IF(X396=0,0,(X396-IF(1=D396,1,0))*VLOOKUP(INDEX('章节与怪物'!$E$31:$K$37,B396,1),'章节与怪物'!$A$41:$F$44,4,FALSE)+IF(1=D396,'难度参数'!$E$30,0))</x:f>
        <x:v>576</x:v>
      </x:c>
      <x:c r="AB396" s="119" t="n">
        <x:f>IF(2&gt;D396,0,MAX(2,MIN('难度参数'!$E$12,ROUND(('难度参数'!$E$18*POWER(A396,'难度参数'!$E$19)/D396*(0.85+0.3*(2-1)/MAX(1,D396-1))),0)+F396)))</x:f>
        <x:v>34</x:v>
      </x:c>
      <x:c r="AC396" s="119" t="n">
        <x:f>IF(2&gt;D396,0,ROUND(('难度参数'!$E$13*POWER(A396,'难度参数'!$E$20)*MIN('难度参数'!$E$23,1+MAX(0,A396-'难度参数'!$E$21)*'难度参数'!$E$22))*(36+2*7)/(36+7*(D396+1)/2)*E396,0))</x:f>
        <x:v>7739</x:v>
      </x:c>
      <x:c r="AD396" s="119" t="n">
        <x:f>IF(AB396=0,0,(AB396-IF(2=D396,1,0))*ROUND(AC396*VLOOKUP(INDEX('章节与怪物'!$E$31:$K$37,B396,2),'章节与怪物'!$A$41:$F$44,2,FALSE),0)+IF(2=D396,ROUND(AC396*'难度参数'!$E$28*'章节与怪物'!$E$17,0),0))</x:f>
        <x:v>263126</x:v>
      </x:c>
      <x:c r="AE396" s="119" t="n">
        <x:f>IF(AB396=0,0,(AB396-IF(2=D396,1,0))*VLOOKUP(INDEX('章节与怪物'!$E$31:$K$37,B396,2),'章节与怪物'!$A$41:$F$44,4,FALSE)+IF(2=D396,'难度参数'!$E$30,0))</x:f>
        <x:v>612</x:v>
      </x:c>
      <x:c r="AF396" s="119" t="n">
        <x:f>IF(3&gt;D396,0,MAX(2,MIN('难度参数'!$E$12,ROUND(('难度参数'!$E$18*POWER(A396,'难度参数'!$E$19)/D396*(0.85+0.3*(3-1)/MAX(1,D396-1))),0)+F396)))</x:f>
        <x:v>36</x:v>
      </x:c>
      <x:c r="AG396" s="119" t="n">
        <x:f>IF(3&gt;D396,0,ROUND(('难度参数'!$E$13*POWER(A396,'难度参数'!$E$20)*MIN('难度参数'!$E$23,1+MAX(0,A396-'难度参数'!$E$21)*'难度参数'!$E$22))*(36+3*7)/(36+7*(D396+1)/2)*E396,0))</x:f>
        <x:v>8823</x:v>
      </x:c>
      <x:c r="AH396" s="119" t="n">
        <x:f>IF(AF396=0,0,(AF396-IF(3=D396,1,0))*ROUND(AG396*VLOOKUP(INDEX('章节与怪物'!$E$31:$K$37,B396,3),'章节与怪物'!$A$41:$F$44,2,FALSE),0)+IF(3=D396,ROUND(AG396*'难度参数'!$E$28*'章节与怪物'!$E$17,0),0))</x:f>
        <x:v>228708</x:v>
      </x:c>
      <x:c r="AI396" s="119" t="n">
        <x:f>IF(AF396=0,0,(AF396-IF(3=D396,1,0))*VLOOKUP(INDEX('章节与怪物'!$E$31:$K$37,B396,3),'章节与怪物'!$A$41:$F$44,4,FALSE)+IF(3=D396,'难度参数'!$E$30,0))</x:f>
        <x:v>720</x:v>
      </x:c>
      <x:c r="AJ396" s="119" t="n">
        <x:f>IF(4&gt;D396,0,MAX(2,MIN('难度参数'!$E$12,ROUND(('难度参数'!$E$18*POWER(A396,'难度参数'!$E$19)/D396*(0.85+0.3*(4-1)/MAX(1,D396-1))),0)+F396)))</x:f>
        <x:v>38</x:v>
      </x:c>
      <x:c r="AK396" s="119" t="n">
        <x:f>IF(4&gt;D396,0,ROUND(('难度参数'!$E$13*POWER(A396,'难度参数'!$E$20)*MIN('难度参数'!$E$23,1+MAX(0,A396-'难度参数'!$E$21)*'难度参数'!$E$22))*(36+4*7)/(36+7*(D396+1)/2)*E396,0))</x:f>
        <x:v>9906</x:v>
      </x:c>
      <x:c r="AL396" s="119" t="n">
        <x:f>IF(AJ396=0,0,(AJ396-IF(4=D396,1,0))*ROUND(AK396*VLOOKUP(INDEX('章节与怪物'!$E$31:$K$37,B396,4),'章节与怪物'!$A$41:$F$44,2,FALSE),0)+IF(4=D396,ROUND(AK396*'难度参数'!$E$28*'章节与怪物'!$E$17,0),0))</x:f>
        <x:v>639920</x:v>
      </x:c>
      <x:c r="AM396" s="119" t="n">
        <x:f>IF(AJ396=0,0,(AJ396-IF(4=D396,1,0))*VLOOKUP(INDEX('章节与怪物'!$E$31:$K$37,B396,4),'章节与怪物'!$A$41:$F$44,4,FALSE)+IF(4=D396,'难度参数'!$E$30,0))</x:f>
        <x:v>1064</x:v>
      </x:c>
      <x:c r="AN396" s="119" t="n">
        <x:f>IF(5&gt;D396,0,MAX(2,MIN('难度参数'!$E$12,ROUND(('难度参数'!$E$18*POWER(A396,'难度参数'!$E$19)/D396*(0.85+0.3*(5-1)/MAX(1,D396-1))),0)+F396)))</x:f>
        <x:v>40</x:v>
      </x:c>
      <x:c r="AO396" s="119" t="n">
        <x:f>IF(5&gt;D396,0,ROUND(('难度参数'!$E$13*POWER(A396,'难度参数'!$E$20)*MIN('难度参数'!$E$23,1+MAX(0,A396-'难度参数'!$E$21)*'难度参数'!$E$22))*(36+5*7)/(36+7*(D396+1)/2)*E396,0))</x:f>
        <x:v>10990</x:v>
      </x:c>
      <x:c r="AP396" s="119" t="n">
        <x:f>IF(AN396=0,0,(AN396-IF(5=D396,1,0))*ROUND(AO396*VLOOKUP(INDEX('章节与怪物'!$E$31:$K$37,B396,5),'章节与怪物'!$A$41:$F$44,2,FALSE),0)+IF(5=D396,ROUND(AO396*'难度参数'!$E$28*'章节与怪物'!$E$17,0),0))</x:f>
        <x:v>593480</x:v>
      </x:c>
      <x:c r="AQ396" s="119" t="n">
        <x:f>IF(AN396=0,0,(AN396-IF(5=D396,1,0))*VLOOKUP(INDEX('章节与怪物'!$E$31:$K$37,B396,5),'章节与怪物'!$A$41:$F$44,4,FALSE)+IF(5=D396,'难度参数'!$E$30,0))</x:f>
        <x:v>1360</x:v>
      </x:c>
      <x:c r="AR396" s="119" t="n">
        <x:f>IF(6&gt;D396,0,MAX(2,MIN('难度参数'!$E$12,ROUND(('难度参数'!$E$18*POWER(A396,'难度参数'!$E$19)/D396*(0.85+0.3*(6-1)/MAX(1,D396-1))),0)+F396)))</x:f>
        <x:v>42</x:v>
      </x:c>
      <x:c r="AS396" s="119" t="n">
        <x:f>IF(6&gt;D396,0,ROUND(('难度参数'!$E$13*POWER(A396,'难度参数'!$E$20)*MIN('难度参数'!$E$23,1+MAX(0,A396-'难度参数'!$E$21)*'难度参数'!$E$22))*(36+6*7)/(36+7*(D396+1)/2)*E396,0))</x:f>
        <x:v>12073</x:v>
      </x:c>
      <x:c r="AT396" s="119" t="n">
        <x:f>IF(AR396=0,0,(AR396-IF(6=D396,1,0))*ROUND(AS396*VLOOKUP(INDEX('章节与怪物'!$E$31:$K$37,B396,6),'章节与怪物'!$A$41:$F$44,2,FALSE),0)+IF(6=D396,ROUND(AS396*'难度参数'!$E$28*'章节与怪物'!$E$17,0),0))</x:f>
        <x:v>365106</x:v>
      </x:c>
      <x:c r="AU396" s="119" t="n">
        <x:f>IF(AR396=0,0,(AR396-IF(6=D396,1,0))*VLOOKUP(INDEX('章节与怪物'!$E$31:$K$37,B396,6),'章节与怪物'!$A$41:$F$44,4,FALSE)+IF(6=D396,'难度参数'!$E$30,0))</x:f>
        <x:v>840</x:v>
      </x:c>
      <x:c r="AV396" s="119" t="n">
        <x:f>IF(7&gt;D396,0,MAX(2,MIN('难度参数'!$E$12,ROUND(('难度参数'!$E$18*POWER(A396,'难度参数'!$E$19)/D396*(0.85+0.3*(7-1)/MAX(1,D396-1))),0)+F396)))</x:f>
        <x:v>44</x:v>
      </x:c>
      <x:c r="AW396" s="119" t="n">
        <x:f>IF(7&gt;D396,0,ROUND(('难度参数'!$E$13*POWER(A396,'难度参数'!$E$20)*MIN('难度参数'!$E$23,1+MAX(0,A396-'难度参数'!$E$21)*'难度参数'!$E$22))*(36+7*7)/(36+7*(D396+1)/2)*E396,0))</x:f>
        <x:v>13156</x:v>
      </x:c>
      <x:c r="AX396" s="119" t="n">
        <x:f>IF(AV396=0,0,(AV396-IF(7=D396,1,0))*ROUND(AW396*VLOOKUP(INDEX('章节与怪物'!$E$31:$K$37,B396,7),'章节与怪物'!$A$41:$F$44,2,FALSE),0)+IF(7=D396,ROUND(AW396*'难度参数'!$E$28*'章节与怪物'!$E$17,0),0))</x:f>
        <x:v>1051156</x:v>
      </x:c>
      <x:c r="AY396" s="119" t="n">
        <x:f>IF(AV396=0,0,(AV396-IF(7=D396,1,0))*VLOOKUP(INDEX('章节与怪物'!$E$31:$K$37,B396,7),'章节与怪物'!$A$41:$F$44,4,FALSE)+IF(7=D396,'难度参数'!$E$30,0))</x:f>
        <x:v>1404</x:v>
      </x:c>
    </x:row>
    <x:row r="397" ht="23" customHeight="1">
      <x:c r="A397" s="119" t="n">
        <x:v>391</x:v>
      </x:c>
      <x:c r="B397" s="119" t="n">
        <x:f>MOD(INT((A397-1)/5),7)+1</x:f>
        <x:v>2</x:v>
      </x:c>
      <x:c r="C397" s="62" t="str">
        <x:f>INDEX('章节与怪物'!$B$31:$B$37,B397)</x:f>
        <x:v>黄沙要塞</x:v>
      </x:c>
      <x:c r="D397" s="119" t="n">
        <x:f>MIN('难度参数'!$E$8,MAX('难度参数'!$E$7,A397))</x:f>
        <x:v>7</x:v>
      </x:c>
      <x:c r="E397" s="106" t="n">
        <x:v>1</x:v>
      </x:c>
      <x:c r="F397" s="106" t="n">
        <x:v>0</x:v>
      </x:c>
      <x:c r="G397" s="106" t="n">
        <x:v>1</x:v>
      </x:c>
      <x:c r="H397" s="119" t="n">
        <x:f>SUM(X397,AB397,AF397,AJ397,AN397,AR397,AV397)</x:f>
        <x:v>266</x:v>
      </x:c>
      <x:c r="I397" s="119" t="n">
        <x:f>SUM(Z397,AD397,AH397,AL397,AP397,AT397,AX397)</x:f>
        <x:v>3626033</x:v>
      </x:c>
      <x:c r="J397" s="119" t="n">
        <x:f>ROUND(INDEX(X397:AY397,1,(D397-1)*4+2)*'难度参数'!$E$28*'章节与怪物'!$E$17,0)</x:f>
        <x:v>89631</x:v>
      </x:c>
      <x:c r="K397" s="119" t="n">
        <x:f>SUM(AA397,AE397,AI397,AM397,AQ397,AU397,AY397)</x:f>
        <x:v>7110</x:v>
      </x:c>
      <x:c r="L397" s="62" t="n">
        <x:f>H397*(ROUNDUP('难度参数'!$E$24/('难度参数'!$E$26*'难度参数'!$E$27),0)*'难度参数'!$E$26)/60</x:f>
        <x:v>3.546666666666667</x:v>
      </x:c>
      <x:c r="M397" s="62" t="n">
        <x:f>L397+D397*('难度参数'!$E$49+'难度参数'!$E$50)/60</x:f>
        <x:v>4.713333333333334</x:v>
      </x:c>
      <x:c r="N397" s="119" t="n">
        <x:f>ROUNDDOWN(('经济参数'!$E$20+A397*'经济参数'!$E$21)*G397,0)</x:f>
        <x:v>8000</x:v>
      </x:c>
      <x:c r="O397" s="119" t="n">
        <x:f>ROUNDDOWN(MIN('经济参数'!$E$24,'经济参数'!$E$22+A397*'经济参数'!$E$23)*G397,0)</x:f>
        <x:v>0</x:v>
      </x:c>
      <x:c r="P397" s="119" t="n">
        <x:f>ROUNDDOWN((IF(A397&gt;='材料与任务'!$E$31,'材料与任务'!$E$32,IF(A397&gt;='材料与任务'!$E$25,'材料与任务'!$E$26,IF(A397&gt;='材料与任务'!$E$19,'材料与任务'!$E$20,IF(A397&gt;='材料与任务'!$E$13,'材料与任务'!$E$14,'材料与任务'!$E$8)))))*G397,0)</x:f>
        <x:v>6</x:v>
      </x:c>
      <x:c r="Q397" s="119" t="n">
        <x:f>ROUNDDOWN((IF(A397&gt;='材料与任务'!$E$31,'材料与任务'!$E$33,IF(A397&gt;='材料与任务'!$E$25,'材料与任务'!$E$27,IF(A397&gt;='材料与任务'!$E$19,'材料与任务'!$E$21,IF(A397&gt;='材料与任务'!$E$13,'材料与任务'!$E$15,'材料与任务'!$E$9)))))*G397,0)</x:f>
        <x:v>3</x:v>
      </x:c>
      <x:c r="R397" s="110" t="n">
        <x:f>'装备掉落'!$B$38</x:f>
        <x:v>0.6872058758851213</x:v>
      </x:c>
      <x:c r="S397" s="119" t="n">
        <x:f>MAX(IF(VLOOKUP(A397,'装备掉落'!$A$29:$H$34,2,TRUE)&gt;0,1,0),IF(VLOOKUP(A397,'装备掉落'!$A$29:$H$34,3,TRUE)&gt;0,2,0),IF(VLOOKUP(A397,'装备掉落'!$A$29:$H$34,4,TRUE)&gt;0,3,0),IF(VLOOKUP(A397,'装备掉落'!$A$29:$H$34,5,TRUE)&gt;0,4,0),IF(VLOOKUP(A397,'装备掉落'!$A$29:$H$34,6,TRUE)&gt;0,5,0),IF(VLOOKUP(A397,'装备掉落'!$A$29:$H$34,7,TRUE)&gt;0,6,0),IF(VLOOKUP(A397,'装备掉落'!$A$29:$H$34,8,TRUE)&gt;0,7,0))</x:f>
        <x:v>7</x:v>
      </x:c>
      <x:c r="T397" s="119" t="n">
        <x:f>MIN(7,S397+'经济参数'!$E$70)</x:f>
        <x:v>7</x:v>
      </x:c>
      <x:c r="U397" s="119" t="n">
        <x:f>MIN(7,S397+'经济参数'!$E$71)</x:f>
        <x:v>7</x:v>
      </x:c>
      <x:c r="V397" s="119" t="n">
        <x:f>IF(H397&gt;=('难度参数'!$E$52),1,0)+IF(H397&gt;=('难度参数'!$E$52+'难度参数'!$E$53),1,0)+IF(H397&gt;=('难度参数'!$E$52+'难度参数'!$E$53+'难度参数'!$E$54),1,0)+IF(H397&gt;=('难度参数'!$E$52+'难度参数'!$E$53+'难度参数'!$E$54+'难度参数'!$E$55),1,0)+IF(H397&gt;=('难度参数'!$E$52+'难度参数'!$E$53+'难度参数'!$E$54+'难度参数'!$E$55+'难度参数'!$E$56),1,0)+IF(H397&gt;=('难度参数'!$E$52+'难度参数'!$E$53+'难度参数'!$E$54+'难度参数'!$E$55+'难度参数'!$E$56+'难度参数'!$E$57),1,0)</x:f>
        <x:v>6</x:v>
      </x:c>
      <x:c r="W397" s="62" t="str">
        <x:f>IF(L397&gt;'难度参数'!$E$51,"仅出怪已超目标","还需实测")</x:f>
        <x:v>仅出怪已超目标</x:v>
      </x:c>
      <x:c r="X397" s="119" t="n">
        <x:f>IF(1&gt;D397,0,MAX(2,MIN('难度参数'!$E$12,ROUND(('难度参数'!$E$18*POWER(A397,'难度参数'!$E$19)/D397*(0.85+0.3*(1-1)/MAX(1,D397-1))),0)+F397)))</x:f>
        <x:v>32</x:v>
      </x:c>
      <x:c r="Y397" s="119" t="n">
        <x:f>IF(1&gt;D397,0,ROUND(('难度参数'!$E$13*POWER(A397,'难度参数'!$E$20)*MIN('难度参数'!$E$23,1+MAX(0,A397-'难度参数'!$E$21)*'难度参数'!$E$22))*(36+1*7)/(36+7*(D397+1)/2)*E397,0))</x:f>
        <x:v>6668</x:v>
      </x:c>
      <x:c r="Z397" s="119" t="n">
        <x:f>IF(X397=0,0,(X397-IF(1=D397,1,0))*ROUND(Y397*VLOOKUP(INDEX('章节与怪物'!$E$31:$K$37,B397,1),'章节与怪物'!$A$41:$F$44,2,FALSE),0)+IF(1=D397,ROUND(Y397*'难度参数'!$E$28*'章节与怪物'!$E$17,0),0))</x:f>
        <x:v>153632</x:v>
      </x:c>
      <x:c r="AA397" s="119" t="n">
        <x:f>IF(X397=0,0,(X397-IF(1=D397,1,0))*VLOOKUP(INDEX('章节与怪物'!$E$31:$K$37,B397,1),'章节与怪物'!$A$41:$F$44,4,FALSE)+IF(1=D397,'难度参数'!$E$30,0))</x:f>
        <x:v>640</x:v>
      </x:c>
      <x:c r="AB397" s="119" t="n">
        <x:f>IF(2&gt;D397,0,MAX(2,MIN('难度参数'!$E$12,ROUND(('难度参数'!$E$18*POWER(A397,'难度参数'!$E$19)/D397*(0.85+0.3*(2-1)/MAX(1,D397-1))),0)+F397)))</x:f>
        <x:v>34</x:v>
      </x:c>
      <x:c r="AC397" s="119" t="n">
        <x:f>IF(2&gt;D397,0,ROUND(('难度参数'!$E$13*POWER(A397,'难度参数'!$E$20)*MIN('难度参数'!$E$23,1+MAX(0,A397-'难度参数'!$E$21)*'难度参数'!$E$22))*(36+2*7)/(36+7*(D397+1)/2)*E397,0))</x:f>
        <x:v>7753</x:v>
      </x:c>
      <x:c r="AD397" s="119" t="n">
        <x:f>IF(AB397=0,0,(AB397-IF(2=D397,1,0))*ROUND(AC397*VLOOKUP(INDEX('章节与怪物'!$E$31:$K$37,B397,2),'章节与怪物'!$A$41:$F$44,2,FALSE),0)+IF(2=D397,ROUND(AC397*'难度参数'!$E$28*'章节与怪物'!$E$17,0),0))</x:f>
        <x:v>263602</x:v>
      </x:c>
      <x:c r="AE397" s="119" t="n">
        <x:f>IF(AB397=0,0,(AB397-IF(2=D397,1,0))*VLOOKUP(INDEX('章节与怪物'!$E$31:$K$37,B397,2),'章节与怪物'!$A$41:$F$44,4,FALSE)+IF(2=D397,'难度参数'!$E$30,0))</x:f>
        <x:v>612</x:v>
      </x:c>
      <x:c r="AF397" s="119" t="n">
        <x:f>IF(3&gt;D397,0,MAX(2,MIN('难度参数'!$E$12,ROUND(('难度参数'!$E$18*POWER(A397,'难度参数'!$E$19)/D397*(0.85+0.3*(3-1)/MAX(1,D397-1))),0)+F397)))</x:f>
        <x:v>36</x:v>
      </x:c>
      <x:c r="AG397" s="119" t="n">
        <x:f>IF(3&gt;D397,0,ROUND(('难度参数'!$E$13*POWER(A397,'难度参数'!$E$20)*MIN('难度参数'!$E$23,1+MAX(0,A397-'难度参数'!$E$21)*'难度参数'!$E$22))*(36+3*7)/(36+7*(D397+1)/2)*E397,0))</x:f>
        <x:v>8839</x:v>
      </x:c>
      <x:c r="AH397" s="119" t="n">
        <x:f>IF(AF397=0,0,(AF397-IF(3=D397,1,0))*ROUND(AG397*VLOOKUP(INDEX('章节与怪物'!$E$31:$K$37,B397,3),'章节与怪物'!$A$41:$F$44,2,FALSE),0)+IF(3=D397,ROUND(AG397*'难度参数'!$E$28*'章节与怪物'!$E$17,0),0))</x:f>
        <x:v>540936</x:v>
      </x:c>
      <x:c r="AI397" s="119" t="n">
        <x:f>IF(AF397=0,0,(AF397-IF(3=D397,1,0))*VLOOKUP(INDEX('章节与怪物'!$E$31:$K$37,B397,3),'章节与怪物'!$A$41:$F$44,4,FALSE)+IF(3=D397,'难度参数'!$E$30,0))</x:f>
        <x:v>1008</x:v>
      </x:c>
      <x:c r="AJ397" s="119" t="n">
        <x:f>IF(4&gt;D397,0,MAX(2,MIN('难度参数'!$E$12,ROUND(('难度参数'!$E$18*POWER(A397,'难度参数'!$E$19)/D397*(0.85+0.3*(4-1)/MAX(1,D397-1))),0)+F397)))</x:f>
        <x:v>38</x:v>
      </x:c>
      <x:c r="AK397" s="119" t="n">
        <x:f>IF(4&gt;D397,0,ROUND(('难度参数'!$E$13*POWER(A397,'难度参数'!$E$20)*MIN('难度参数'!$E$23,1+MAX(0,A397-'难度参数'!$E$21)*'难度参数'!$E$22))*(36+4*7)/(36+7*(D397+1)/2)*E397,0))</x:f>
        <x:v>9924</x:v>
      </x:c>
      <x:c r="AL397" s="119" t="n">
        <x:f>IF(AJ397=0,0,(AJ397-IF(4=D397,1,0))*ROUND(AK397*VLOOKUP(INDEX('章节与怪物'!$E$31:$K$37,B397,4),'章节与怪物'!$A$41:$F$44,2,FALSE),0)+IF(4=D397,ROUND(AK397*'难度参数'!$E$28*'章节与怪物'!$E$17,0),0))</x:f>
        <x:v>509086</x:v>
      </x:c>
      <x:c r="AM397" s="119" t="n">
        <x:f>IF(AJ397=0,0,(AJ397-IF(4=D397,1,0))*VLOOKUP(INDEX('章节与怪物'!$E$31:$K$37,B397,4),'章节与怪物'!$A$41:$F$44,4,FALSE)+IF(4=D397,'难度参数'!$E$30,0))</x:f>
        <x:v>1292</x:v>
      </x:c>
      <x:c r="AN397" s="119" t="n">
        <x:f>IF(5&gt;D397,0,MAX(2,MIN('难度参数'!$E$12,ROUND(('难度参数'!$E$18*POWER(A397,'难度参数'!$E$19)/D397*(0.85+0.3*(5-1)/MAX(1,D397-1))),0)+F397)))</x:f>
        <x:v>40</x:v>
      </x:c>
      <x:c r="AO397" s="119" t="n">
        <x:f>IF(5&gt;D397,0,ROUND(('难度参数'!$E$13*POWER(A397,'难度参数'!$E$20)*MIN('难度参数'!$E$23,1+MAX(0,A397-'难度参数'!$E$21)*'难度参数'!$E$22))*(36+5*7)/(36+7*(D397+1)/2)*E397,0))</x:f>
        <x:v>11010</x:v>
      </x:c>
      <x:c r="AP397" s="119" t="n">
        <x:f>IF(AN397=0,0,(AN397-IF(5=D397,1,0))*ROUND(AO397*VLOOKUP(INDEX('章节与怪物'!$E$31:$K$37,B397,5),'章节与怪物'!$A$41:$F$44,2,FALSE),0)+IF(5=D397,ROUND(AO397*'难度参数'!$E$28*'章节与怪物'!$E$17,0),0))</x:f>
        <x:v>440400</x:v>
      </x:c>
      <x:c r="AQ397" s="119" t="n">
        <x:f>IF(AN397=0,0,(AN397-IF(5=D397,1,0))*VLOOKUP(INDEX('章节与怪物'!$E$31:$K$37,B397,5),'章节与怪物'!$A$41:$F$44,4,FALSE)+IF(5=D397,'难度参数'!$E$30,0))</x:f>
        <x:v>720</x:v>
      </x:c>
      <x:c r="AR397" s="119" t="n">
        <x:f>IF(6&gt;D397,0,MAX(2,MIN('难度参数'!$E$12,ROUND(('难度参数'!$E$18*POWER(A397,'难度参数'!$E$19)/D397*(0.85+0.3*(6-1)/MAX(1,D397-1))),0)+F397)))</x:f>
        <x:v>42</x:v>
      </x:c>
      <x:c r="AS397" s="119" t="n">
        <x:f>IF(6&gt;D397,0,ROUND(('难度参数'!$E$13*POWER(A397,'难度参数'!$E$20)*MIN('难度参数'!$E$23,1+MAX(0,A397-'难度参数'!$E$21)*'难度参数'!$E$22))*(36+6*7)/(36+7*(D397+1)/2)*E397,0))</x:f>
        <x:v>12095</x:v>
      </x:c>
      <x:c r="AT397" s="119" t="n">
        <x:f>IF(AR397=0,0,(AR397-IF(6=D397,1,0))*ROUND(AS397*VLOOKUP(INDEX('章节与怪物'!$E$31:$K$37,B397,6),'章节与怪物'!$A$41:$F$44,2,FALSE),0)+IF(6=D397,ROUND(AS397*'难度参数'!$E$28*'章节与怪物'!$E$17,0),0))</x:f>
        <x:v>863604</x:v>
      </x:c>
      <x:c r="AU397" s="119" t="n">
        <x:f>IF(AR397=0,0,(AR397-IF(6=D397,1,0))*VLOOKUP(INDEX('章节与怪物'!$E$31:$K$37,B397,6),'章节与怪物'!$A$41:$F$44,4,FALSE)+IF(6=D397,'难度参数'!$E$30,0))</x:f>
        <x:v>1176</x:v>
      </x:c>
      <x:c r="AV397" s="119" t="n">
        <x:f>IF(7&gt;D397,0,MAX(2,MIN('难度参数'!$E$12,ROUND(('难度参数'!$E$18*POWER(A397,'难度参数'!$E$19)/D397*(0.85+0.3*(7-1)/MAX(1,D397-1))),0)+F397)))</x:f>
        <x:v>44</x:v>
      </x:c>
      <x:c r="AW397" s="119" t="n">
        <x:f>IF(7&gt;D397,0,ROUND(('难度参数'!$E$13*POWER(A397,'难度参数'!$E$20)*MIN('难度参数'!$E$23,1+MAX(0,A397-'难度参数'!$E$21)*'难度参数'!$E$22))*(36+7*7)/(36+7*(D397+1)/2)*E397,0))</x:f>
        <x:v>13181</x:v>
      </x:c>
      <x:c r="AX397" s="119" t="n">
        <x:f>IF(AV397=0,0,(AV397-IF(7=D397,1,0))*ROUND(AW397*VLOOKUP(INDEX('章节与怪物'!$E$31:$K$37,B397,7),'章节与怪物'!$A$41:$F$44,2,FALSE),0)+IF(7=D397,ROUND(AW397*'难度参数'!$E$28*'章节与怪物'!$E$17,0),0))</x:f>
        <x:v>854773</x:v>
      </x:c>
      <x:c r="AY397" s="119" t="n">
        <x:f>IF(AV397=0,0,(AV397-IF(7=D397,1,0))*VLOOKUP(INDEX('章节与怪物'!$E$31:$K$37,B397,7),'章节与怪物'!$A$41:$F$44,4,FALSE)+IF(7=D397,'难度参数'!$E$30,0))</x:f>
        <x:v>1662</x:v>
      </x:c>
    </x:row>
    <x:row r="398" ht="23" customHeight="1">
      <x:c r="A398" s="119" t="n">
        <x:v>392</x:v>
      </x:c>
      <x:c r="B398" s="119" t="n">
        <x:f>MOD(INT((A398-1)/5),7)+1</x:f>
        <x:v>2</x:v>
      </x:c>
      <x:c r="C398" s="62" t="str">
        <x:f>INDEX('章节与怪物'!$B$31:$B$37,B398)</x:f>
        <x:v>黄沙要塞</x:v>
      </x:c>
      <x:c r="D398" s="119" t="n">
        <x:f>MIN('难度参数'!$E$8,MAX('难度参数'!$E$7,A398))</x:f>
        <x:v>7</x:v>
      </x:c>
      <x:c r="E398" s="106" t="n">
        <x:v>1</x:v>
      </x:c>
      <x:c r="F398" s="106" t="n">
        <x:v>0</x:v>
      </x:c>
      <x:c r="G398" s="106" t="n">
        <x:v>1</x:v>
      </x:c>
      <x:c r="H398" s="119" t="n">
        <x:f>SUM(X398,AB398,AF398,AJ398,AN398,AR398,AV398)</x:f>
        <x:v>266</x:v>
      </x:c>
      <x:c r="I398" s="119" t="n">
        <x:f>SUM(Z398,AD398,AH398,AL398,AP398,AT398,AX398)</x:f>
        <x:v>3632847</x:v>
      </x:c>
      <x:c r="J398" s="119" t="n">
        <x:f>ROUND(INDEX(X398:AY398,1,(D398-1)*4+2)*'难度参数'!$E$28*'章节与怪物'!$E$17,0)</x:f>
        <x:v>89794</x:v>
      </x:c>
      <x:c r="K398" s="119" t="n">
        <x:f>SUM(AA398,AE398,AI398,AM398,AQ398,AU398,AY398)</x:f>
        <x:v>7110</x:v>
      </x:c>
      <x:c r="L398" s="62" t="n">
        <x:f>H398*(ROUNDUP('难度参数'!$E$24/('难度参数'!$E$26*'难度参数'!$E$27),0)*'难度参数'!$E$26)/60</x:f>
        <x:v>3.546666666666667</x:v>
      </x:c>
      <x:c r="M398" s="62" t="n">
        <x:f>L398+D398*('难度参数'!$E$49+'难度参数'!$E$50)/60</x:f>
        <x:v>4.713333333333334</x:v>
      </x:c>
      <x:c r="N398" s="119" t="n">
        <x:f>ROUNDDOWN(('经济参数'!$E$20+A398*'经济参数'!$E$21)*G398,0)</x:f>
        <x:v>8020</x:v>
      </x:c>
      <x:c r="O398" s="119" t="n">
        <x:f>ROUNDDOWN(MIN('经济参数'!$E$24,'经济参数'!$E$22+A398*'经济参数'!$E$23)*G398,0)</x:f>
        <x:v>0</x:v>
      </x:c>
      <x:c r="P398" s="119" t="n">
        <x:f>ROUNDDOWN((IF(A398&gt;='材料与任务'!$E$31,'材料与任务'!$E$32,IF(A398&gt;='材料与任务'!$E$25,'材料与任务'!$E$26,IF(A398&gt;='材料与任务'!$E$19,'材料与任务'!$E$20,IF(A398&gt;='材料与任务'!$E$13,'材料与任务'!$E$14,'材料与任务'!$E$8)))))*G398,0)</x:f>
        <x:v>6</x:v>
      </x:c>
      <x:c r="Q398" s="119" t="n">
        <x:f>ROUNDDOWN((IF(A398&gt;='材料与任务'!$E$31,'材料与任务'!$E$33,IF(A398&gt;='材料与任务'!$E$25,'材料与任务'!$E$27,IF(A398&gt;='材料与任务'!$E$19,'材料与任务'!$E$21,IF(A398&gt;='材料与任务'!$E$13,'材料与任务'!$E$15,'材料与任务'!$E$9)))))*G398,0)</x:f>
        <x:v>3</x:v>
      </x:c>
      <x:c r="R398" s="110" t="n">
        <x:f>'装备掉落'!$B$38</x:f>
        <x:v>0.6872058758851213</x:v>
      </x:c>
      <x:c r="S398" s="119" t="n">
        <x:f>MAX(IF(VLOOKUP(A398,'装备掉落'!$A$29:$H$34,2,TRUE)&gt;0,1,0),IF(VLOOKUP(A398,'装备掉落'!$A$29:$H$34,3,TRUE)&gt;0,2,0),IF(VLOOKUP(A398,'装备掉落'!$A$29:$H$34,4,TRUE)&gt;0,3,0),IF(VLOOKUP(A398,'装备掉落'!$A$29:$H$34,5,TRUE)&gt;0,4,0),IF(VLOOKUP(A398,'装备掉落'!$A$29:$H$34,6,TRUE)&gt;0,5,0),IF(VLOOKUP(A398,'装备掉落'!$A$29:$H$34,7,TRUE)&gt;0,6,0),IF(VLOOKUP(A398,'装备掉落'!$A$29:$H$34,8,TRUE)&gt;0,7,0))</x:f>
        <x:v>7</x:v>
      </x:c>
      <x:c r="T398" s="119" t="n">
        <x:f>MIN(7,S398+'经济参数'!$E$70)</x:f>
        <x:v>7</x:v>
      </x:c>
      <x:c r="U398" s="119" t="n">
        <x:f>MIN(7,S398+'经济参数'!$E$71)</x:f>
        <x:v>7</x:v>
      </x:c>
      <x:c r="V398" s="119" t="n">
        <x:f>IF(H398&gt;=('难度参数'!$E$52),1,0)+IF(H398&gt;=('难度参数'!$E$52+'难度参数'!$E$53),1,0)+IF(H398&gt;=('难度参数'!$E$52+'难度参数'!$E$53+'难度参数'!$E$54),1,0)+IF(H398&gt;=('难度参数'!$E$52+'难度参数'!$E$53+'难度参数'!$E$54+'难度参数'!$E$55),1,0)+IF(H398&gt;=('难度参数'!$E$52+'难度参数'!$E$53+'难度参数'!$E$54+'难度参数'!$E$55+'难度参数'!$E$56),1,0)+IF(H398&gt;=('难度参数'!$E$52+'难度参数'!$E$53+'难度参数'!$E$54+'难度参数'!$E$55+'难度参数'!$E$56+'难度参数'!$E$57),1,0)</x:f>
        <x:v>6</x:v>
      </x:c>
      <x:c r="W398" s="62" t="str">
        <x:f>IF(L398&gt;'难度参数'!$E$51,"仅出怪已超目标","还需实测")</x:f>
        <x:v>仅出怪已超目标</x:v>
      </x:c>
      <x:c r="X398" s="119" t="n">
        <x:f>IF(1&gt;D398,0,MAX(2,MIN('难度参数'!$E$12,ROUND(('难度参数'!$E$18*POWER(A398,'难度参数'!$E$19)/D398*(0.85+0.3*(1-1)/MAX(1,D398-1))),0)+F398)))</x:f>
        <x:v>32</x:v>
      </x:c>
      <x:c r="Y398" s="119" t="n">
        <x:f>IF(1&gt;D398,0,ROUND(('难度参数'!$E$13*POWER(A398,'难度参数'!$E$20)*MIN('难度参数'!$E$23,1+MAX(0,A398-'难度参数'!$E$21)*'难度参数'!$E$22))*(36+1*7)/(36+7*(D398+1)/2)*E398,0))</x:f>
        <x:v>6680</x:v>
      </x:c>
      <x:c r="Z398" s="119" t="n">
        <x:f>IF(X398=0,0,(X398-IF(1=D398,1,0))*ROUND(Y398*VLOOKUP(INDEX('章节与怪物'!$E$31:$K$37,B398,1),'章节与怪物'!$A$41:$F$44,2,FALSE),0)+IF(1=D398,ROUND(Y398*'难度参数'!$E$28*'章节与怪物'!$E$17,0),0))</x:f>
        <x:v>153920</x:v>
      </x:c>
      <x:c r="AA398" s="119" t="n">
        <x:f>IF(X398=0,0,(X398-IF(1=D398,1,0))*VLOOKUP(INDEX('章节与怪物'!$E$31:$K$37,B398,1),'章节与怪物'!$A$41:$F$44,4,FALSE)+IF(1=D398,'难度参数'!$E$30,0))</x:f>
        <x:v>640</x:v>
      </x:c>
      <x:c r="AB398" s="119" t="n">
        <x:f>IF(2&gt;D398,0,MAX(2,MIN('难度参数'!$E$12,ROUND(('难度参数'!$E$18*POWER(A398,'难度参数'!$E$19)/D398*(0.85+0.3*(2-1)/MAX(1,D398-1))),0)+F398)))</x:f>
        <x:v>34</x:v>
      </x:c>
      <x:c r="AC398" s="119" t="n">
        <x:f>IF(2&gt;D398,0,ROUND(('难度参数'!$E$13*POWER(A398,'难度参数'!$E$20)*MIN('难度参数'!$E$23,1+MAX(0,A398-'难度参数'!$E$21)*'难度参数'!$E$22))*(36+2*7)/(36+7*(D398+1)/2)*E398,0))</x:f>
        <x:v>7768</x:v>
      </x:c>
      <x:c r="AD398" s="119" t="n">
        <x:f>IF(AB398=0,0,(AB398-IF(2=D398,1,0))*ROUND(AC398*VLOOKUP(INDEX('章节与怪物'!$E$31:$K$37,B398,2),'章节与怪物'!$A$41:$F$44,2,FALSE),0)+IF(2=D398,ROUND(AC398*'难度参数'!$E$28*'章节与怪物'!$E$17,0),0))</x:f>
        <x:v>264112</x:v>
      </x:c>
      <x:c r="AE398" s="119" t="n">
        <x:f>IF(AB398=0,0,(AB398-IF(2=D398,1,0))*VLOOKUP(INDEX('章节与怪物'!$E$31:$K$37,B398,2),'章节与怪物'!$A$41:$F$44,4,FALSE)+IF(2=D398,'难度参数'!$E$30,0))</x:f>
        <x:v>612</x:v>
      </x:c>
      <x:c r="AF398" s="119" t="n">
        <x:f>IF(3&gt;D398,0,MAX(2,MIN('难度参数'!$E$12,ROUND(('难度参数'!$E$18*POWER(A398,'难度参数'!$E$19)/D398*(0.85+0.3*(3-1)/MAX(1,D398-1))),0)+F398)))</x:f>
        <x:v>36</x:v>
      </x:c>
      <x:c r="AG398" s="119" t="n">
        <x:f>IF(3&gt;D398,0,ROUND(('难度参数'!$E$13*POWER(A398,'难度参数'!$E$20)*MIN('难度参数'!$E$23,1+MAX(0,A398-'难度参数'!$E$21)*'难度参数'!$E$22))*(36+3*7)/(36+7*(D398+1)/2)*E398,0))</x:f>
        <x:v>8855</x:v>
      </x:c>
      <x:c r="AH398" s="119" t="n">
        <x:f>IF(AF398=0,0,(AF398-IF(3=D398,1,0))*ROUND(AG398*VLOOKUP(INDEX('章节与怪物'!$E$31:$K$37,B398,3),'章节与怪物'!$A$41:$F$44,2,FALSE),0)+IF(3=D398,ROUND(AG398*'难度参数'!$E$28*'章节与怪物'!$E$17,0),0))</x:f>
        <x:v>541944</x:v>
      </x:c>
      <x:c r="AI398" s="119" t="n">
        <x:f>IF(AF398=0,0,(AF398-IF(3=D398,1,0))*VLOOKUP(INDEX('章节与怪物'!$E$31:$K$37,B398,3),'章节与怪物'!$A$41:$F$44,4,FALSE)+IF(3=D398,'难度参数'!$E$30,0))</x:f>
        <x:v>1008</x:v>
      </x:c>
      <x:c r="AJ398" s="119" t="n">
        <x:f>IF(4&gt;D398,0,MAX(2,MIN('难度参数'!$E$12,ROUND(('难度参数'!$E$18*POWER(A398,'难度参数'!$E$19)/D398*(0.85+0.3*(4-1)/MAX(1,D398-1))),0)+F398)))</x:f>
        <x:v>38</x:v>
      </x:c>
      <x:c r="AK398" s="119" t="n">
        <x:f>IF(4&gt;D398,0,ROUND(('难度参数'!$E$13*POWER(A398,'难度参数'!$E$20)*MIN('难度参数'!$E$23,1+MAX(0,A398-'难度参数'!$E$21)*'难度参数'!$E$22))*(36+4*7)/(36+7*(D398+1)/2)*E398,0))</x:f>
        <x:v>9943</x:v>
      </x:c>
      <x:c r="AL398" s="119" t="n">
        <x:f>IF(AJ398=0,0,(AJ398-IF(4=D398,1,0))*ROUND(AK398*VLOOKUP(INDEX('章节与怪物'!$E$31:$K$37,B398,4),'章节与怪物'!$A$41:$F$44,2,FALSE),0)+IF(4=D398,ROUND(AK398*'难度参数'!$E$28*'章节与怪物'!$E$17,0),0))</x:f>
        <x:v>510074</x:v>
      </x:c>
      <x:c r="AM398" s="119" t="n">
        <x:f>IF(AJ398=0,0,(AJ398-IF(4=D398,1,0))*VLOOKUP(INDEX('章节与怪物'!$E$31:$K$37,B398,4),'章节与怪物'!$A$41:$F$44,4,FALSE)+IF(4=D398,'难度参数'!$E$30,0))</x:f>
        <x:v>1292</x:v>
      </x:c>
      <x:c r="AN398" s="119" t="n">
        <x:f>IF(5&gt;D398,0,MAX(2,MIN('难度参数'!$E$12,ROUND(('难度参数'!$E$18*POWER(A398,'难度参数'!$E$19)/D398*(0.85+0.3*(5-1)/MAX(1,D398-1))),0)+F398)))</x:f>
        <x:v>40</x:v>
      </x:c>
      <x:c r="AO398" s="119" t="n">
        <x:f>IF(5&gt;D398,0,ROUND(('难度参数'!$E$13*POWER(A398,'难度参数'!$E$20)*MIN('难度参数'!$E$23,1+MAX(0,A398-'难度参数'!$E$21)*'难度参数'!$E$22))*(36+5*7)/(36+7*(D398+1)/2)*E398,0))</x:f>
        <x:v>11030</x:v>
      </x:c>
      <x:c r="AP398" s="119" t="n">
        <x:f>IF(AN398=0,0,(AN398-IF(5=D398,1,0))*ROUND(AO398*VLOOKUP(INDEX('章节与怪物'!$E$31:$K$37,B398,5),'章节与怪物'!$A$41:$F$44,2,FALSE),0)+IF(5=D398,ROUND(AO398*'难度参数'!$E$28*'章节与怪物'!$E$17,0),0))</x:f>
        <x:v>441200</x:v>
      </x:c>
      <x:c r="AQ398" s="119" t="n">
        <x:f>IF(AN398=0,0,(AN398-IF(5=D398,1,0))*VLOOKUP(INDEX('章节与怪物'!$E$31:$K$37,B398,5),'章节与怪物'!$A$41:$F$44,4,FALSE)+IF(5=D398,'难度参数'!$E$30,0))</x:f>
        <x:v>720</x:v>
      </x:c>
      <x:c r="AR398" s="119" t="n">
        <x:f>IF(6&gt;D398,0,MAX(2,MIN('难度参数'!$E$12,ROUND(('难度参数'!$E$18*POWER(A398,'难度参数'!$E$19)/D398*(0.85+0.3*(6-1)/MAX(1,D398-1))),0)+F398)))</x:f>
        <x:v>42</x:v>
      </x:c>
      <x:c r="AS398" s="119" t="n">
        <x:f>IF(6&gt;D398,0,ROUND(('难度参数'!$E$13*POWER(A398,'难度参数'!$E$20)*MIN('难度参数'!$E$23,1+MAX(0,A398-'难度参数'!$E$21)*'难度参数'!$E$22))*(36+6*7)/(36+7*(D398+1)/2)*E398,0))</x:f>
        <x:v>12118</x:v>
      </x:c>
      <x:c r="AT398" s="119" t="n">
        <x:f>IF(AR398=0,0,(AR398-IF(6=D398,1,0))*ROUND(AS398*VLOOKUP(INDEX('章节与怪物'!$E$31:$K$37,B398,6),'章节与怪物'!$A$41:$F$44,2,FALSE),0)+IF(6=D398,ROUND(AS398*'难度参数'!$E$28*'章节与怪物'!$E$17,0),0))</x:f>
        <x:v>865242</x:v>
      </x:c>
      <x:c r="AU398" s="119" t="n">
        <x:f>IF(AR398=0,0,(AR398-IF(6=D398,1,0))*VLOOKUP(INDEX('章节与怪物'!$E$31:$K$37,B398,6),'章节与怪物'!$A$41:$F$44,4,FALSE)+IF(6=D398,'难度参数'!$E$30,0))</x:f>
        <x:v>1176</x:v>
      </x:c>
      <x:c r="AV398" s="119" t="n">
        <x:f>IF(7&gt;D398,0,MAX(2,MIN('难度参数'!$E$12,ROUND(('难度参数'!$E$18*POWER(A398,'难度参数'!$E$19)/D398*(0.85+0.3*(7-1)/MAX(1,D398-1))),0)+F398)))</x:f>
        <x:v>44</x:v>
      </x:c>
      <x:c r="AW398" s="119" t="n">
        <x:f>IF(7&gt;D398,0,ROUND(('难度参数'!$E$13*POWER(A398,'难度参数'!$E$20)*MIN('难度参数'!$E$23,1+MAX(0,A398-'难度参数'!$E$21)*'难度参数'!$E$22))*(36+7*7)/(36+7*(D398+1)/2)*E398,0))</x:f>
        <x:v>13205</x:v>
      </x:c>
      <x:c r="AX398" s="119" t="n">
        <x:f>IF(AV398=0,0,(AV398-IF(7=D398,1,0))*ROUND(AW398*VLOOKUP(INDEX('章节与怪物'!$E$31:$K$37,B398,7),'章节与怪物'!$A$41:$F$44,2,FALSE),0)+IF(7=D398,ROUND(AW398*'难度参数'!$E$28*'章节与怪物'!$E$17,0),0))</x:f>
        <x:v>856355</x:v>
      </x:c>
      <x:c r="AY398" s="119" t="n">
        <x:f>IF(AV398=0,0,(AV398-IF(7=D398,1,0))*VLOOKUP(INDEX('章节与怪物'!$E$31:$K$37,B398,7),'章节与怪物'!$A$41:$F$44,4,FALSE)+IF(7=D398,'难度参数'!$E$30,0))</x:f>
        <x:v>1662</x:v>
      </x:c>
    </x:row>
    <x:row r="399" ht="23" customHeight="1">
      <x:c r="A399" s="119" t="n">
        <x:v>393</x:v>
      </x:c>
      <x:c r="B399" s="119" t="n">
        <x:f>MOD(INT((A399-1)/5),7)+1</x:f>
        <x:v>2</x:v>
      </x:c>
      <x:c r="C399" s="62" t="str">
        <x:f>INDEX('章节与怪物'!$B$31:$B$37,B399)</x:f>
        <x:v>黄沙要塞</x:v>
      </x:c>
      <x:c r="D399" s="119" t="n">
        <x:f>MIN('难度参数'!$E$8,MAX('难度参数'!$E$7,A399))</x:f>
        <x:v>7</x:v>
      </x:c>
      <x:c r="E399" s="106" t="n">
        <x:v>1</x:v>
      </x:c>
      <x:c r="F399" s="106" t="n">
        <x:v>0</x:v>
      </x:c>
      <x:c r="G399" s="106" t="n">
        <x:v>1</x:v>
      </x:c>
      <x:c r="H399" s="119" t="n">
        <x:f>SUM(X399,AB399,AF399,AJ399,AN399,AR399,AV399)</x:f>
        <x:v>266</x:v>
      </x:c>
      <x:c r="I399" s="119" t="n">
        <x:f>SUM(Z399,AD399,AH399,AL399,AP399,AT399,AX399)</x:f>
        <x:v>3639356</x:v>
      </x:c>
      <x:c r="J399" s="119" t="n">
        <x:f>ROUND(INDEX(X399:AY399,1,(D399-1)*4+2)*'难度参数'!$E$28*'章节与怪物'!$E$17,0)</x:f>
        <x:v>89957</x:v>
      </x:c>
      <x:c r="K399" s="119" t="n">
        <x:f>SUM(AA399,AE399,AI399,AM399,AQ399,AU399,AY399)</x:f>
        <x:v>7110</x:v>
      </x:c>
      <x:c r="L399" s="62" t="n">
        <x:f>H399*(ROUNDUP('难度参数'!$E$24/('难度参数'!$E$26*'难度参数'!$E$27),0)*'难度参数'!$E$26)/60</x:f>
        <x:v>3.546666666666667</x:v>
      </x:c>
      <x:c r="M399" s="62" t="n">
        <x:f>L399+D399*('难度参数'!$E$49+'难度参数'!$E$50)/60</x:f>
        <x:v>4.713333333333334</x:v>
      </x:c>
      <x:c r="N399" s="119" t="n">
        <x:f>ROUNDDOWN(('经济参数'!$E$20+A399*'经济参数'!$E$21)*G399,0)</x:f>
        <x:v>8040</x:v>
      </x:c>
      <x:c r="O399" s="119" t="n">
        <x:f>ROUNDDOWN(MIN('经济参数'!$E$24,'经济参数'!$E$22+A399*'经济参数'!$E$23)*G399,0)</x:f>
        <x:v>0</x:v>
      </x:c>
      <x:c r="P399" s="119" t="n">
        <x:f>ROUNDDOWN((IF(A399&gt;='材料与任务'!$E$31,'材料与任务'!$E$32,IF(A399&gt;='材料与任务'!$E$25,'材料与任务'!$E$26,IF(A399&gt;='材料与任务'!$E$19,'材料与任务'!$E$20,IF(A399&gt;='材料与任务'!$E$13,'材料与任务'!$E$14,'材料与任务'!$E$8)))))*G399,0)</x:f>
        <x:v>6</x:v>
      </x:c>
      <x:c r="Q399" s="119" t="n">
        <x:f>ROUNDDOWN((IF(A399&gt;='材料与任务'!$E$31,'材料与任务'!$E$33,IF(A399&gt;='材料与任务'!$E$25,'材料与任务'!$E$27,IF(A399&gt;='材料与任务'!$E$19,'材料与任务'!$E$21,IF(A399&gt;='材料与任务'!$E$13,'材料与任务'!$E$15,'材料与任务'!$E$9)))))*G399,0)</x:f>
        <x:v>3</x:v>
      </x:c>
      <x:c r="R399" s="110" t="n">
        <x:f>'装备掉落'!$B$38</x:f>
        <x:v>0.6872058758851213</x:v>
      </x:c>
      <x:c r="S399" s="119" t="n">
        <x:f>MAX(IF(VLOOKUP(A399,'装备掉落'!$A$29:$H$34,2,TRUE)&gt;0,1,0),IF(VLOOKUP(A399,'装备掉落'!$A$29:$H$34,3,TRUE)&gt;0,2,0),IF(VLOOKUP(A399,'装备掉落'!$A$29:$H$34,4,TRUE)&gt;0,3,0),IF(VLOOKUP(A399,'装备掉落'!$A$29:$H$34,5,TRUE)&gt;0,4,0),IF(VLOOKUP(A399,'装备掉落'!$A$29:$H$34,6,TRUE)&gt;0,5,0),IF(VLOOKUP(A399,'装备掉落'!$A$29:$H$34,7,TRUE)&gt;0,6,0),IF(VLOOKUP(A399,'装备掉落'!$A$29:$H$34,8,TRUE)&gt;0,7,0))</x:f>
        <x:v>7</x:v>
      </x:c>
      <x:c r="T399" s="119" t="n">
        <x:f>MIN(7,S399+'经济参数'!$E$70)</x:f>
        <x:v>7</x:v>
      </x:c>
      <x:c r="U399" s="119" t="n">
        <x:f>MIN(7,S399+'经济参数'!$E$71)</x:f>
        <x:v>7</x:v>
      </x:c>
      <x:c r="V399" s="119" t="n">
        <x:f>IF(H399&gt;=('难度参数'!$E$52),1,0)+IF(H399&gt;=('难度参数'!$E$52+'难度参数'!$E$53),1,0)+IF(H399&gt;=('难度参数'!$E$52+'难度参数'!$E$53+'难度参数'!$E$54),1,0)+IF(H399&gt;=('难度参数'!$E$52+'难度参数'!$E$53+'难度参数'!$E$54+'难度参数'!$E$55),1,0)+IF(H399&gt;=('难度参数'!$E$52+'难度参数'!$E$53+'难度参数'!$E$54+'难度参数'!$E$55+'难度参数'!$E$56),1,0)+IF(H399&gt;=('难度参数'!$E$52+'难度参数'!$E$53+'难度参数'!$E$54+'难度参数'!$E$55+'难度参数'!$E$56+'难度参数'!$E$57),1,0)</x:f>
        <x:v>6</x:v>
      </x:c>
      <x:c r="W399" s="62" t="str">
        <x:f>IF(L399&gt;'难度参数'!$E$51,"仅出怪已超目标","还需实测")</x:f>
        <x:v>仅出怪已超目标</x:v>
      </x:c>
      <x:c r="X399" s="119" t="n">
        <x:f>IF(1&gt;D399,0,MAX(2,MIN('难度参数'!$E$12,ROUND(('难度参数'!$E$18*POWER(A399,'难度参数'!$E$19)/D399*(0.85+0.3*(1-1)/MAX(1,D399-1))),0)+F399)))</x:f>
        <x:v>32</x:v>
      </x:c>
      <x:c r="Y399" s="119" t="n">
        <x:f>IF(1&gt;D399,0,ROUND(('难度参数'!$E$13*POWER(A399,'难度参数'!$E$20)*MIN('难度参数'!$E$23,1+MAX(0,A399-'难度参数'!$E$21)*'难度参数'!$E$22))*(36+1*7)/(36+7*(D399+1)/2)*E399,0))</x:f>
        <x:v>6692</x:v>
      </x:c>
      <x:c r="Z399" s="119" t="n">
        <x:f>IF(X399=0,0,(X399-IF(1=D399,1,0))*ROUND(Y399*VLOOKUP(INDEX('章节与怪物'!$E$31:$K$37,B399,1),'章节与怪物'!$A$41:$F$44,2,FALSE),0)+IF(1=D399,ROUND(Y399*'难度参数'!$E$28*'章节与怪物'!$E$17,0),0))</x:f>
        <x:v>154176</x:v>
      </x:c>
      <x:c r="AA399" s="119" t="n">
        <x:f>IF(X399=0,0,(X399-IF(1=D399,1,0))*VLOOKUP(INDEX('章节与怪物'!$E$31:$K$37,B399,1),'章节与怪物'!$A$41:$F$44,4,FALSE)+IF(1=D399,'难度参数'!$E$30,0))</x:f>
        <x:v>640</x:v>
      </x:c>
      <x:c r="AB399" s="119" t="n">
        <x:f>IF(2&gt;D399,0,MAX(2,MIN('难度参数'!$E$12,ROUND(('难度参数'!$E$18*POWER(A399,'难度参数'!$E$19)/D399*(0.85+0.3*(2-1)/MAX(1,D399-1))),0)+F399)))</x:f>
        <x:v>34</x:v>
      </x:c>
      <x:c r="AC399" s="119" t="n">
        <x:f>IF(2&gt;D399,0,ROUND(('难度参数'!$E$13*POWER(A399,'难度参数'!$E$20)*MIN('难度参数'!$E$23,1+MAX(0,A399-'难度参数'!$E$21)*'难度参数'!$E$22))*(36+2*7)/(36+7*(D399+1)/2)*E399,0))</x:f>
        <x:v>7782</x:v>
      </x:c>
      <x:c r="AD399" s="119" t="n">
        <x:f>IF(AB399=0,0,(AB399-IF(2=D399,1,0))*ROUND(AC399*VLOOKUP(INDEX('章节与怪物'!$E$31:$K$37,B399,2),'章节与怪物'!$A$41:$F$44,2,FALSE),0)+IF(2=D399,ROUND(AC399*'难度参数'!$E$28*'章节与怪物'!$E$17,0),0))</x:f>
        <x:v>264588</x:v>
      </x:c>
      <x:c r="AE399" s="119" t="n">
        <x:f>IF(AB399=0,0,(AB399-IF(2=D399,1,0))*VLOOKUP(INDEX('章节与怪物'!$E$31:$K$37,B399,2),'章节与怪物'!$A$41:$F$44,4,FALSE)+IF(2=D399,'难度参数'!$E$30,0))</x:f>
        <x:v>612</x:v>
      </x:c>
      <x:c r="AF399" s="119" t="n">
        <x:f>IF(3&gt;D399,0,MAX(2,MIN('难度参数'!$E$12,ROUND(('难度参数'!$E$18*POWER(A399,'难度参数'!$E$19)/D399*(0.85+0.3*(3-1)/MAX(1,D399-1))),0)+F399)))</x:f>
        <x:v>36</x:v>
      </x:c>
      <x:c r="AG399" s="119" t="n">
        <x:f>IF(3&gt;D399,0,ROUND(('难度参数'!$E$13*POWER(A399,'难度参数'!$E$20)*MIN('难度参数'!$E$23,1+MAX(0,A399-'难度参数'!$E$21)*'难度参数'!$E$22))*(36+3*7)/(36+7*(D399+1)/2)*E399,0))</x:f>
        <x:v>8871</x:v>
      </x:c>
      <x:c r="AH399" s="119" t="n">
        <x:f>IF(AF399=0,0,(AF399-IF(3=D399,1,0))*ROUND(AG399*VLOOKUP(INDEX('章节与怪物'!$E$31:$K$37,B399,3),'章节与怪物'!$A$41:$F$44,2,FALSE),0)+IF(3=D399,ROUND(AG399*'难度参数'!$E$28*'章节与怪物'!$E$17,0),0))</x:f>
        <x:v>542916</x:v>
      </x:c>
      <x:c r="AI399" s="119" t="n">
        <x:f>IF(AF399=0,0,(AF399-IF(3=D399,1,0))*VLOOKUP(INDEX('章节与怪物'!$E$31:$K$37,B399,3),'章节与怪物'!$A$41:$F$44,4,FALSE)+IF(3=D399,'难度参数'!$E$30,0))</x:f>
        <x:v>1008</x:v>
      </x:c>
      <x:c r="AJ399" s="119" t="n">
        <x:f>IF(4&gt;D399,0,MAX(2,MIN('难度参数'!$E$12,ROUND(('难度参数'!$E$18*POWER(A399,'难度参数'!$E$19)/D399*(0.85+0.3*(4-1)/MAX(1,D399-1))),0)+F399)))</x:f>
        <x:v>38</x:v>
      </x:c>
      <x:c r="AK399" s="119" t="n">
        <x:f>IF(4&gt;D399,0,ROUND(('难度参数'!$E$13*POWER(A399,'难度参数'!$E$20)*MIN('难度参数'!$E$23,1+MAX(0,A399-'难度参数'!$E$21)*'难度参数'!$E$22))*(36+4*7)/(36+7*(D399+1)/2)*E399,0))</x:f>
        <x:v>9961</x:v>
      </x:c>
      <x:c r="AL399" s="119" t="n">
        <x:f>IF(AJ399=0,0,(AJ399-IF(4=D399,1,0))*ROUND(AK399*VLOOKUP(INDEX('章节与怪物'!$E$31:$K$37,B399,4),'章节与怪物'!$A$41:$F$44,2,FALSE),0)+IF(4=D399,ROUND(AK399*'难度参数'!$E$28*'章节与怪物'!$E$17,0),0))</x:f>
        <x:v>510986</x:v>
      </x:c>
      <x:c r="AM399" s="119" t="n">
        <x:f>IF(AJ399=0,0,(AJ399-IF(4=D399,1,0))*VLOOKUP(INDEX('章节与怪物'!$E$31:$K$37,B399,4),'章节与怪物'!$A$41:$F$44,4,FALSE)+IF(4=D399,'难度参数'!$E$30,0))</x:f>
        <x:v>1292</x:v>
      </x:c>
      <x:c r="AN399" s="119" t="n">
        <x:f>IF(5&gt;D399,0,MAX(2,MIN('难度参数'!$E$12,ROUND(('难度参数'!$E$18*POWER(A399,'难度参数'!$E$19)/D399*(0.85+0.3*(5-1)/MAX(1,D399-1))),0)+F399)))</x:f>
        <x:v>40</x:v>
      </x:c>
      <x:c r="AO399" s="119" t="n">
        <x:f>IF(5&gt;D399,0,ROUND(('难度参数'!$E$13*POWER(A399,'难度参数'!$E$20)*MIN('难度参数'!$E$23,1+MAX(0,A399-'难度参数'!$E$21)*'难度参数'!$E$22))*(36+5*7)/(36+7*(D399+1)/2)*E399,0))</x:f>
        <x:v>11050</x:v>
      </x:c>
      <x:c r="AP399" s="119" t="n">
        <x:f>IF(AN399=0,0,(AN399-IF(5=D399,1,0))*ROUND(AO399*VLOOKUP(INDEX('章节与怪物'!$E$31:$K$37,B399,5),'章节与怪物'!$A$41:$F$44,2,FALSE),0)+IF(5=D399,ROUND(AO399*'难度参数'!$E$28*'章节与怪物'!$E$17,0),0))</x:f>
        <x:v>442000</x:v>
      </x:c>
      <x:c r="AQ399" s="119" t="n">
        <x:f>IF(AN399=0,0,(AN399-IF(5=D399,1,0))*VLOOKUP(INDEX('章节与怪物'!$E$31:$K$37,B399,5),'章节与怪物'!$A$41:$F$44,4,FALSE)+IF(5=D399,'难度参数'!$E$30,0))</x:f>
        <x:v>720</x:v>
      </x:c>
      <x:c r="AR399" s="119" t="n">
        <x:f>IF(6&gt;D399,0,MAX(2,MIN('难度参数'!$E$12,ROUND(('难度参数'!$E$18*POWER(A399,'难度参数'!$E$19)/D399*(0.85+0.3*(6-1)/MAX(1,D399-1))),0)+F399)))</x:f>
        <x:v>42</x:v>
      </x:c>
      <x:c r="AS399" s="119" t="n">
        <x:f>IF(6&gt;D399,0,ROUND(('难度参数'!$E$13*POWER(A399,'难度参数'!$E$20)*MIN('难度参数'!$E$23,1+MAX(0,A399-'难度参数'!$E$21)*'难度参数'!$E$22))*(36+6*7)/(36+7*(D399+1)/2)*E399,0))</x:f>
        <x:v>12140</x:v>
      </x:c>
      <x:c r="AT399" s="119" t="n">
        <x:f>IF(AR399=0,0,(AR399-IF(6=D399,1,0))*ROUND(AS399*VLOOKUP(INDEX('章节与怪物'!$E$31:$K$37,B399,6),'章节与怪物'!$A$41:$F$44,2,FALSE),0)+IF(6=D399,ROUND(AS399*'难度参数'!$E$28*'章节与怪物'!$E$17,0),0))</x:f>
        <x:v>866796</x:v>
      </x:c>
      <x:c r="AU399" s="119" t="n">
        <x:f>IF(AR399=0,0,(AR399-IF(6=D399,1,0))*VLOOKUP(INDEX('章节与怪物'!$E$31:$K$37,B399,6),'章节与怪物'!$A$41:$F$44,4,FALSE)+IF(6=D399,'难度参数'!$E$30,0))</x:f>
        <x:v>1176</x:v>
      </x:c>
      <x:c r="AV399" s="119" t="n">
        <x:f>IF(7&gt;D399,0,MAX(2,MIN('难度参数'!$E$12,ROUND(('难度参数'!$E$18*POWER(A399,'难度参数'!$E$19)/D399*(0.85+0.3*(7-1)/MAX(1,D399-1))),0)+F399)))</x:f>
        <x:v>44</x:v>
      </x:c>
      <x:c r="AW399" s="119" t="n">
        <x:f>IF(7&gt;D399,0,ROUND(('难度参数'!$E$13*POWER(A399,'难度参数'!$E$20)*MIN('难度参数'!$E$23,1+MAX(0,A399-'难度参数'!$E$21)*'难度参数'!$E$22))*(36+7*7)/(36+7*(D399+1)/2)*E399,0))</x:f>
        <x:v>13229</x:v>
      </x:c>
      <x:c r="AX399" s="119" t="n">
        <x:f>IF(AV399=0,0,(AV399-IF(7=D399,1,0))*ROUND(AW399*VLOOKUP(INDEX('章节与怪物'!$E$31:$K$37,B399,7),'章节与怪物'!$A$41:$F$44,2,FALSE),0)+IF(7=D399,ROUND(AW399*'难度参数'!$E$28*'章节与怪物'!$E$17,0),0))</x:f>
        <x:v>857894</x:v>
      </x:c>
      <x:c r="AY399" s="119" t="n">
        <x:f>IF(AV399=0,0,(AV399-IF(7=D399,1,0))*VLOOKUP(INDEX('章节与怪物'!$E$31:$K$37,B399,7),'章节与怪物'!$A$41:$F$44,4,FALSE)+IF(7=D399,'难度参数'!$E$30,0))</x:f>
        <x:v>1662</x:v>
      </x:c>
    </x:row>
    <x:row r="400" ht="23" customHeight="1">
      <x:c r="A400" s="119" t="n">
        <x:v>394</x:v>
      </x:c>
      <x:c r="B400" s="119" t="n">
        <x:f>MOD(INT((A400-1)/5),7)+1</x:f>
        <x:v>2</x:v>
      </x:c>
      <x:c r="C400" s="62" t="str">
        <x:f>INDEX('章节与怪物'!$B$31:$B$37,B400)</x:f>
        <x:v>黄沙要塞</x:v>
      </x:c>
      <x:c r="D400" s="119" t="n">
        <x:f>MIN('难度参数'!$E$8,MAX('难度参数'!$E$7,A400))</x:f>
        <x:v>7</x:v>
      </x:c>
      <x:c r="E400" s="106" t="n">
        <x:v>1</x:v>
      </x:c>
      <x:c r="F400" s="106" t="n">
        <x:v>0</x:v>
      </x:c>
      <x:c r="G400" s="106" t="n">
        <x:v>1</x:v>
      </x:c>
      <x:c r="H400" s="119" t="n">
        <x:f>SUM(X400,AB400,AF400,AJ400,AN400,AR400,AV400)</x:f>
        <x:v>266</x:v>
      </x:c>
      <x:c r="I400" s="119" t="n">
        <x:f>SUM(Z400,AD400,AH400,AL400,AP400,AT400,AX400)</x:f>
        <x:v>3646122</x:v>
      </x:c>
      <x:c r="J400" s="119" t="n">
        <x:f>ROUND(INDEX(X400:AY400,1,(D400-1)*4+2)*'难度参数'!$E$28*'章节与怪物'!$E$17,0)</x:f>
        <x:v>90120</x:v>
      </x:c>
      <x:c r="K400" s="119" t="n">
        <x:f>SUM(AA400,AE400,AI400,AM400,AQ400,AU400,AY400)</x:f>
        <x:v>7110</x:v>
      </x:c>
      <x:c r="L400" s="62" t="n">
        <x:f>H400*(ROUNDUP('难度参数'!$E$24/('难度参数'!$E$26*'难度参数'!$E$27),0)*'难度参数'!$E$26)/60</x:f>
        <x:v>3.546666666666667</x:v>
      </x:c>
      <x:c r="M400" s="62" t="n">
        <x:f>L400+D400*('难度参数'!$E$49+'难度参数'!$E$50)/60</x:f>
        <x:v>4.713333333333334</x:v>
      </x:c>
      <x:c r="N400" s="119" t="n">
        <x:f>ROUNDDOWN(('经济参数'!$E$20+A400*'经济参数'!$E$21)*G400,0)</x:f>
        <x:v>8060</x:v>
      </x:c>
      <x:c r="O400" s="119" t="n">
        <x:f>ROUNDDOWN(MIN('经济参数'!$E$24,'经济参数'!$E$22+A400*'经济参数'!$E$23)*G400,0)</x:f>
        <x:v>0</x:v>
      </x:c>
      <x:c r="P400" s="119" t="n">
        <x:f>ROUNDDOWN((IF(A400&gt;='材料与任务'!$E$31,'材料与任务'!$E$32,IF(A400&gt;='材料与任务'!$E$25,'材料与任务'!$E$26,IF(A400&gt;='材料与任务'!$E$19,'材料与任务'!$E$20,IF(A400&gt;='材料与任务'!$E$13,'材料与任务'!$E$14,'材料与任务'!$E$8)))))*G400,0)</x:f>
        <x:v>6</x:v>
      </x:c>
      <x:c r="Q400" s="119" t="n">
        <x:f>ROUNDDOWN((IF(A400&gt;='材料与任务'!$E$31,'材料与任务'!$E$33,IF(A400&gt;='材料与任务'!$E$25,'材料与任务'!$E$27,IF(A400&gt;='材料与任务'!$E$19,'材料与任务'!$E$21,IF(A400&gt;='材料与任务'!$E$13,'材料与任务'!$E$15,'材料与任务'!$E$9)))))*G400,0)</x:f>
        <x:v>3</x:v>
      </x:c>
      <x:c r="R400" s="110" t="n">
        <x:f>'装备掉落'!$B$38</x:f>
        <x:v>0.6872058758851213</x:v>
      </x:c>
      <x:c r="S400" s="119" t="n">
        <x:f>MAX(IF(VLOOKUP(A400,'装备掉落'!$A$29:$H$34,2,TRUE)&gt;0,1,0),IF(VLOOKUP(A400,'装备掉落'!$A$29:$H$34,3,TRUE)&gt;0,2,0),IF(VLOOKUP(A400,'装备掉落'!$A$29:$H$34,4,TRUE)&gt;0,3,0),IF(VLOOKUP(A400,'装备掉落'!$A$29:$H$34,5,TRUE)&gt;0,4,0),IF(VLOOKUP(A400,'装备掉落'!$A$29:$H$34,6,TRUE)&gt;0,5,0),IF(VLOOKUP(A400,'装备掉落'!$A$29:$H$34,7,TRUE)&gt;0,6,0),IF(VLOOKUP(A400,'装备掉落'!$A$29:$H$34,8,TRUE)&gt;0,7,0))</x:f>
        <x:v>7</x:v>
      </x:c>
      <x:c r="T400" s="119" t="n">
        <x:f>MIN(7,S400+'经济参数'!$E$70)</x:f>
        <x:v>7</x:v>
      </x:c>
      <x:c r="U400" s="119" t="n">
        <x:f>MIN(7,S400+'经济参数'!$E$71)</x:f>
        <x:v>7</x:v>
      </x:c>
      <x:c r="V400" s="119" t="n">
        <x:f>IF(H400&gt;=('难度参数'!$E$52),1,0)+IF(H400&gt;=('难度参数'!$E$52+'难度参数'!$E$53),1,0)+IF(H400&gt;=('难度参数'!$E$52+'难度参数'!$E$53+'难度参数'!$E$54),1,0)+IF(H400&gt;=('难度参数'!$E$52+'难度参数'!$E$53+'难度参数'!$E$54+'难度参数'!$E$55),1,0)+IF(H400&gt;=('难度参数'!$E$52+'难度参数'!$E$53+'难度参数'!$E$54+'难度参数'!$E$55+'难度参数'!$E$56),1,0)+IF(H400&gt;=('难度参数'!$E$52+'难度参数'!$E$53+'难度参数'!$E$54+'难度参数'!$E$55+'难度参数'!$E$56+'难度参数'!$E$57),1,0)</x:f>
        <x:v>6</x:v>
      </x:c>
      <x:c r="W400" s="62" t="str">
        <x:f>IF(L400&gt;'难度参数'!$E$51,"仅出怪已超目标","还需实测")</x:f>
        <x:v>仅出怪已超目标</x:v>
      </x:c>
      <x:c r="X400" s="119" t="n">
        <x:f>IF(1&gt;D400,0,MAX(2,MIN('难度参数'!$E$12,ROUND(('难度参数'!$E$18*POWER(A400,'难度参数'!$E$19)/D400*(0.85+0.3*(1-1)/MAX(1,D400-1))),0)+F400)))</x:f>
        <x:v>32</x:v>
      </x:c>
      <x:c r="Y400" s="119" t="n">
        <x:f>IF(1&gt;D400,0,ROUND(('难度参数'!$E$13*POWER(A400,'难度参数'!$E$20)*MIN('难度参数'!$E$23,1+MAX(0,A400-'难度参数'!$E$21)*'难度参数'!$E$22))*(36+1*7)/(36+7*(D400+1)/2)*E400,0))</x:f>
        <x:v>6705</x:v>
      </x:c>
      <x:c r="Z400" s="119" t="n">
        <x:f>IF(X400=0,0,(X400-IF(1=D400,1,0))*ROUND(Y400*VLOOKUP(INDEX('章节与怪物'!$E$31:$K$37,B400,1),'章节与怪物'!$A$41:$F$44,2,FALSE),0)+IF(1=D400,ROUND(Y400*'难度参数'!$E$28*'章节与怪物'!$E$17,0),0))</x:f>
        <x:v>154496</x:v>
      </x:c>
      <x:c r="AA400" s="119" t="n">
        <x:f>IF(X400=0,0,(X400-IF(1=D400,1,0))*VLOOKUP(INDEX('章节与怪物'!$E$31:$K$37,B400,1),'章节与怪物'!$A$41:$F$44,4,FALSE)+IF(1=D400,'难度参数'!$E$30,0))</x:f>
        <x:v>640</x:v>
      </x:c>
      <x:c r="AB400" s="119" t="n">
        <x:f>IF(2&gt;D400,0,MAX(2,MIN('难度参数'!$E$12,ROUND(('难度参数'!$E$18*POWER(A400,'难度参数'!$E$19)/D400*(0.85+0.3*(2-1)/MAX(1,D400-1))),0)+F400)))</x:f>
        <x:v>34</x:v>
      </x:c>
      <x:c r="AC400" s="119" t="n">
        <x:f>IF(2&gt;D400,0,ROUND(('难度参数'!$E$13*POWER(A400,'难度参数'!$E$20)*MIN('难度参数'!$E$23,1+MAX(0,A400-'难度参数'!$E$21)*'难度参数'!$E$22))*(36+2*7)/(36+7*(D400+1)/2)*E400,0))</x:f>
        <x:v>7796</x:v>
      </x:c>
      <x:c r="AD400" s="119" t="n">
        <x:f>IF(AB400=0,0,(AB400-IF(2=D400,1,0))*ROUND(AC400*VLOOKUP(INDEX('章节与怪物'!$E$31:$K$37,B400,2),'章节与怪物'!$A$41:$F$44,2,FALSE),0)+IF(2=D400,ROUND(AC400*'难度参数'!$E$28*'章节与怪物'!$E$17,0),0))</x:f>
        <x:v>265064</x:v>
      </x:c>
      <x:c r="AE400" s="119" t="n">
        <x:f>IF(AB400=0,0,(AB400-IF(2=D400,1,0))*VLOOKUP(INDEX('章节与怪物'!$E$31:$K$37,B400,2),'章节与怪物'!$A$41:$F$44,4,FALSE)+IF(2=D400,'难度参数'!$E$30,0))</x:f>
        <x:v>612</x:v>
      </x:c>
      <x:c r="AF400" s="119" t="n">
        <x:f>IF(3&gt;D400,0,MAX(2,MIN('难度参数'!$E$12,ROUND(('难度参数'!$E$18*POWER(A400,'难度参数'!$E$19)/D400*(0.85+0.3*(3-1)/MAX(1,D400-1))),0)+F400)))</x:f>
        <x:v>36</x:v>
      </x:c>
      <x:c r="AG400" s="119" t="n">
        <x:f>IF(3&gt;D400,0,ROUND(('难度参数'!$E$13*POWER(A400,'难度参数'!$E$20)*MIN('难度参数'!$E$23,1+MAX(0,A400-'难度参数'!$E$21)*'难度参数'!$E$22))*(36+3*7)/(36+7*(D400+1)/2)*E400,0))</x:f>
        <x:v>8888</x:v>
      </x:c>
      <x:c r="AH400" s="119" t="n">
        <x:f>IF(AF400=0,0,(AF400-IF(3=D400,1,0))*ROUND(AG400*VLOOKUP(INDEX('章节与怪物'!$E$31:$K$37,B400,3),'章节与怪物'!$A$41:$F$44,2,FALSE),0)+IF(3=D400,ROUND(AG400*'难度参数'!$E$28*'章节与怪物'!$E$17,0),0))</x:f>
        <x:v>543960</x:v>
      </x:c>
      <x:c r="AI400" s="119" t="n">
        <x:f>IF(AF400=0,0,(AF400-IF(3=D400,1,0))*VLOOKUP(INDEX('章节与怪物'!$E$31:$K$37,B400,3),'章节与怪物'!$A$41:$F$44,4,FALSE)+IF(3=D400,'难度参数'!$E$30,0))</x:f>
        <x:v>1008</x:v>
      </x:c>
      <x:c r="AJ400" s="119" t="n">
        <x:f>IF(4&gt;D400,0,MAX(2,MIN('难度参数'!$E$12,ROUND(('难度参数'!$E$18*POWER(A400,'难度参数'!$E$19)/D400*(0.85+0.3*(4-1)/MAX(1,D400-1))),0)+F400)))</x:f>
        <x:v>38</x:v>
      </x:c>
      <x:c r="AK400" s="119" t="n">
        <x:f>IF(4&gt;D400,0,ROUND(('难度参数'!$E$13*POWER(A400,'难度参数'!$E$20)*MIN('难度参数'!$E$23,1+MAX(0,A400-'难度参数'!$E$21)*'难度参数'!$E$22))*(36+4*7)/(36+7*(D400+1)/2)*E400,0))</x:f>
        <x:v>9979</x:v>
      </x:c>
      <x:c r="AL400" s="119" t="n">
        <x:f>IF(AJ400=0,0,(AJ400-IF(4=D400,1,0))*ROUND(AK400*VLOOKUP(INDEX('章节与怪物'!$E$31:$K$37,B400,4),'章节与怪物'!$A$41:$F$44,2,FALSE),0)+IF(4=D400,ROUND(AK400*'难度参数'!$E$28*'章节与怪物'!$E$17,0),0))</x:f>
        <x:v>511936</x:v>
      </x:c>
      <x:c r="AM400" s="119" t="n">
        <x:f>IF(AJ400=0,0,(AJ400-IF(4=D400,1,0))*VLOOKUP(INDEX('章节与怪物'!$E$31:$K$37,B400,4),'章节与怪物'!$A$41:$F$44,4,FALSE)+IF(4=D400,'难度参数'!$E$30,0))</x:f>
        <x:v>1292</x:v>
      </x:c>
      <x:c r="AN400" s="119" t="n">
        <x:f>IF(5&gt;D400,0,MAX(2,MIN('难度参数'!$E$12,ROUND(('难度参数'!$E$18*POWER(A400,'难度参数'!$E$19)/D400*(0.85+0.3*(5-1)/MAX(1,D400-1))),0)+F400)))</x:f>
        <x:v>40</x:v>
      </x:c>
      <x:c r="AO400" s="119" t="n">
        <x:f>IF(5&gt;D400,0,ROUND(('难度参数'!$E$13*POWER(A400,'难度参数'!$E$20)*MIN('难度参数'!$E$23,1+MAX(0,A400-'难度参数'!$E$21)*'难度参数'!$E$22))*(36+5*7)/(36+7*(D400+1)/2)*E400,0))</x:f>
        <x:v>11071</x:v>
      </x:c>
      <x:c r="AP400" s="119" t="n">
        <x:f>IF(AN400=0,0,(AN400-IF(5=D400,1,0))*ROUND(AO400*VLOOKUP(INDEX('章节与怪物'!$E$31:$K$37,B400,5),'章节与怪物'!$A$41:$F$44,2,FALSE),0)+IF(5=D400,ROUND(AO400*'难度参数'!$E$28*'章节与怪物'!$E$17,0),0))</x:f>
        <x:v>442840</x:v>
      </x:c>
      <x:c r="AQ400" s="119" t="n">
        <x:f>IF(AN400=0,0,(AN400-IF(5=D400,1,0))*VLOOKUP(INDEX('章节与怪物'!$E$31:$K$37,B400,5),'章节与怪物'!$A$41:$F$44,4,FALSE)+IF(5=D400,'难度参数'!$E$30,0))</x:f>
        <x:v>720</x:v>
      </x:c>
      <x:c r="AR400" s="119" t="n">
        <x:f>IF(6&gt;D400,0,MAX(2,MIN('难度参数'!$E$12,ROUND(('难度参数'!$E$18*POWER(A400,'难度参数'!$E$19)/D400*(0.85+0.3*(6-1)/MAX(1,D400-1))),0)+F400)))</x:f>
        <x:v>42</x:v>
      </x:c>
      <x:c r="AS400" s="119" t="n">
        <x:f>IF(6&gt;D400,0,ROUND(('难度参数'!$E$13*POWER(A400,'难度参数'!$E$20)*MIN('难度参数'!$E$23,1+MAX(0,A400-'难度参数'!$E$21)*'难度参数'!$E$22))*(36+6*7)/(36+7*(D400+1)/2)*E400,0))</x:f>
        <x:v>12162</x:v>
      </x:c>
      <x:c r="AT400" s="119" t="n">
        <x:f>IF(AR400=0,0,(AR400-IF(6=D400,1,0))*ROUND(AS400*VLOOKUP(INDEX('章节与怪物'!$E$31:$K$37,B400,6),'章节与怪物'!$A$41:$F$44,2,FALSE),0)+IF(6=D400,ROUND(AS400*'难度参数'!$E$28*'章节与怪物'!$E$17,0),0))</x:f>
        <x:v>868350</x:v>
      </x:c>
      <x:c r="AU400" s="119" t="n">
        <x:f>IF(AR400=0,0,(AR400-IF(6=D400,1,0))*VLOOKUP(INDEX('章节与怪物'!$E$31:$K$37,B400,6),'章节与怪物'!$A$41:$F$44,4,FALSE)+IF(6=D400,'难度参数'!$E$30,0))</x:f>
        <x:v>1176</x:v>
      </x:c>
      <x:c r="AV400" s="119" t="n">
        <x:f>IF(7&gt;D400,0,MAX(2,MIN('难度参数'!$E$12,ROUND(('难度参数'!$E$18*POWER(A400,'难度参数'!$E$19)/D400*(0.85+0.3*(7-1)/MAX(1,D400-1))),0)+F400)))</x:f>
        <x:v>44</x:v>
      </x:c>
      <x:c r="AW400" s="119" t="n">
        <x:f>IF(7&gt;D400,0,ROUND(('难度参数'!$E$13*POWER(A400,'难度参数'!$E$20)*MIN('难度参数'!$E$23,1+MAX(0,A400-'难度参数'!$E$21)*'难度参数'!$E$22))*(36+7*7)/(36+7*(D400+1)/2)*E400,0))</x:f>
        <x:v>13253</x:v>
      </x:c>
      <x:c r="AX400" s="119" t="n">
        <x:f>IF(AV400=0,0,(AV400-IF(7=D400,1,0))*ROUND(AW400*VLOOKUP(INDEX('章节与怪物'!$E$31:$K$37,B400,7),'章节与怪物'!$A$41:$F$44,2,FALSE),0)+IF(7=D400,ROUND(AW400*'难度参数'!$E$28*'章节与怪物'!$E$17,0),0))</x:f>
        <x:v>859476</x:v>
      </x:c>
      <x:c r="AY400" s="119" t="n">
        <x:f>IF(AV400=0,0,(AV400-IF(7=D400,1,0))*VLOOKUP(INDEX('章节与怪物'!$E$31:$K$37,B400,7),'章节与怪物'!$A$41:$F$44,4,FALSE)+IF(7=D400,'难度参数'!$E$30,0))</x:f>
        <x:v>1662</x:v>
      </x:c>
    </x:row>
    <x:row r="401" ht="23" customHeight="1">
      <x:c r="A401" s="119" t="n">
        <x:v>395</x:v>
      </x:c>
      <x:c r="B401" s="119" t="n">
        <x:f>MOD(INT((A401-1)/5),7)+1</x:f>
        <x:v>2</x:v>
      </x:c>
      <x:c r="C401" s="62" t="str">
        <x:f>INDEX('章节与怪物'!$B$31:$B$37,B401)</x:f>
        <x:v>黄沙要塞</x:v>
      </x:c>
      <x:c r="D401" s="119" t="n">
        <x:f>MIN('难度参数'!$E$8,MAX('难度参数'!$E$7,A401))</x:f>
        <x:v>7</x:v>
      </x:c>
      <x:c r="E401" s="106" t="n">
        <x:v>1</x:v>
      </x:c>
      <x:c r="F401" s="106" t="n">
        <x:v>0</x:v>
      </x:c>
      <x:c r="G401" s="106" t="n">
        <x:v>1</x:v>
      </x:c>
      <x:c r="H401" s="119" t="n">
        <x:f>SUM(X401,AB401,AF401,AJ401,AN401,AR401,AV401)</x:f>
        <x:v>266</x:v>
      </x:c>
      <x:c r="I401" s="119" t="n">
        <x:f>SUM(Z401,AD401,AH401,AL401,AP401,AT401,AX401)</x:f>
        <x:v>3652723</x:v>
      </x:c>
      <x:c r="J401" s="119" t="n">
        <x:f>ROUND(INDEX(X401:AY401,1,(D401-1)*4+2)*'难度参数'!$E$28*'章节与怪物'!$E$17,0)</x:f>
        <x:v>90290</x:v>
      </x:c>
      <x:c r="K401" s="119" t="n">
        <x:f>SUM(AA401,AE401,AI401,AM401,AQ401,AU401,AY401)</x:f>
        <x:v>7110</x:v>
      </x:c>
      <x:c r="L401" s="62" t="n">
        <x:f>H401*(ROUNDUP('难度参数'!$E$24/('难度参数'!$E$26*'难度参数'!$E$27),0)*'难度参数'!$E$26)/60</x:f>
        <x:v>3.546666666666667</x:v>
      </x:c>
      <x:c r="M401" s="62" t="n">
        <x:f>L401+D401*('难度参数'!$E$49+'难度参数'!$E$50)/60</x:f>
        <x:v>4.713333333333334</x:v>
      </x:c>
      <x:c r="N401" s="119" t="n">
        <x:f>ROUNDDOWN(('经济参数'!$E$20+A401*'经济参数'!$E$21)*G401,0)</x:f>
        <x:v>8080</x:v>
      </x:c>
      <x:c r="O401" s="119" t="n">
        <x:f>ROUNDDOWN(MIN('经济参数'!$E$24,'经济参数'!$E$22+A401*'经济参数'!$E$23)*G401,0)</x:f>
        <x:v>0</x:v>
      </x:c>
      <x:c r="P401" s="119" t="n">
        <x:f>ROUNDDOWN((IF(A401&gt;='材料与任务'!$E$31,'材料与任务'!$E$32,IF(A401&gt;='材料与任务'!$E$25,'材料与任务'!$E$26,IF(A401&gt;='材料与任务'!$E$19,'材料与任务'!$E$20,IF(A401&gt;='材料与任务'!$E$13,'材料与任务'!$E$14,'材料与任务'!$E$8)))))*G401,0)</x:f>
        <x:v>6</x:v>
      </x:c>
      <x:c r="Q401" s="119" t="n">
        <x:f>ROUNDDOWN((IF(A401&gt;='材料与任务'!$E$31,'材料与任务'!$E$33,IF(A401&gt;='材料与任务'!$E$25,'材料与任务'!$E$27,IF(A401&gt;='材料与任务'!$E$19,'材料与任务'!$E$21,IF(A401&gt;='材料与任务'!$E$13,'材料与任务'!$E$15,'材料与任务'!$E$9)))))*G401,0)</x:f>
        <x:v>3</x:v>
      </x:c>
      <x:c r="R401" s="110" t="n">
        <x:f>'装备掉落'!$B$38</x:f>
        <x:v>0.6872058758851213</x:v>
      </x:c>
      <x:c r="S401" s="119" t="n">
        <x:f>MAX(IF(VLOOKUP(A401,'装备掉落'!$A$29:$H$34,2,TRUE)&gt;0,1,0),IF(VLOOKUP(A401,'装备掉落'!$A$29:$H$34,3,TRUE)&gt;0,2,0),IF(VLOOKUP(A401,'装备掉落'!$A$29:$H$34,4,TRUE)&gt;0,3,0),IF(VLOOKUP(A401,'装备掉落'!$A$29:$H$34,5,TRUE)&gt;0,4,0),IF(VLOOKUP(A401,'装备掉落'!$A$29:$H$34,6,TRUE)&gt;0,5,0),IF(VLOOKUP(A401,'装备掉落'!$A$29:$H$34,7,TRUE)&gt;0,6,0),IF(VLOOKUP(A401,'装备掉落'!$A$29:$H$34,8,TRUE)&gt;0,7,0))</x:f>
        <x:v>7</x:v>
      </x:c>
      <x:c r="T401" s="119" t="n">
        <x:f>MIN(7,S401+'经济参数'!$E$70)</x:f>
        <x:v>7</x:v>
      </x:c>
      <x:c r="U401" s="119" t="n">
        <x:f>MIN(7,S401+'经济参数'!$E$71)</x:f>
        <x:v>7</x:v>
      </x:c>
      <x:c r="V401" s="119" t="n">
        <x:f>IF(H401&gt;=('难度参数'!$E$52),1,0)+IF(H401&gt;=('难度参数'!$E$52+'难度参数'!$E$53),1,0)+IF(H401&gt;=('难度参数'!$E$52+'难度参数'!$E$53+'难度参数'!$E$54),1,0)+IF(H401&gt;=('难度参数'!$E$52+'难度参数'!$E$53+'难度参数'!$E$54+'难度参数'!$E$55),1,0)+IF(H401&gt;=('难度参数'!$E$52+'难度参数'!$E$53+'难度参数'!$E$54+'难度参数'!$E$55+'难度参数'!$E$56),1,0)+IF(H401&gt;=('难度参数'!$E$52+'难度参数'!$E$53+'难度参数'!$E$54+'难度参数'!$E$55+'难度参数'!$E$56+'难度参数'!$E$57),1,0)</x:f>
        <x:v>6</x:v>
      </x:c>
      <x:c r="W401" s="62" t="str">
        <x:f>IF(L401&gt;'难度参数'!$E$51,"仅出怪已超目标","还需实测")</x:f>
        <x:v>仅出怪已超目标</x:v>
      </x:c>
      <x:c r="X401" s="119" t="n">
        <x:f>IF(1&gt;D401,0,MAX(2,MIN('难度参数'!$E$12,ROUND(('难度参数'!$E$18*POWER(A401,'难度参数'!$E$19)/D401*(0.85+0.3*(1-1)/MAX(1,D401-1))),0)+F401)))</x:f>
        <x:v>32</x:v>
      </x:c>
      <x:c r="Y401" s="119" t="n">
        <x:f>IF(1&gt;D401,0,ROUND(('难度参数'!$E$13*POWER(A401,'难度参数'!$E$20)*MIN('难度参数'!$E$23,1+MAX(0,A401-'难度参数'!$E$21)*'难度参数'!$E$22))*(36+1*7)/(36+7*(D401+1)/2)*E401,0))</x:f>
        <x:v>6717</x:v>
      </x:c>
      <x:c r="Z401" s="119" t="n">
        <x:f>IF(X401=0,0,(X401-IF(1=D401,1,0))*ROUND(Y401*VLOOKUP(INDEX('章节与怪物'!$E$31:$K$37,B401,1),'章节与怪物'!$A$41:$F$44,2,FALSE),0)+IF(1=D401,ROUND(Y401*'难度参数'!$E$28*'章节与怪物'!$E$17,0),0))</x:f>
        <x:v>154752</x:v>
      </x:c>
      <x:c r="AA401" s="119" t="n">
        <x:f>IF(X401=0,0,(X401-IF(1=D401,1,0))*VLOOKUP(INDEX('章节与怪物'!$E$31:$K$37,B401,1),'章节与怪物'!$A$41:$F$44,4,FALSE)+IF(1=D401,'难度参数'!$E$30,0))</x:f>
        <x:v>640</x:v>
      </x:c>
      <x:c r="AB401" s="119" t="n">
        <x:f>IF(2&gt;D401,0,MAX(2,MIN('难度参数'!$E$12,ROUND(('难度参数'!$E$18*POWER(A401,'难度参数'!$E$19)/D401*(0.85+0.3*(2-1)/MAX(1,D401-1))),0)+F401)))</x:f>
        <x:v>34</x:v>
      </x:c>
      <x:c r="AC401" s="119" t="n">
        <x:f>IF(2&gt;D401,0,ROUND(('难度参数'!$E$13*POWER(A401,'难度参数'!$E$20)*MIN('难度参数'!$E$23,1+MAX(0,A401-'难度参数'!$E$21)*'难度参数'!$E$22))*(36+2*7)/(36+7*(D401+1)/2)*E401,0))</x:f>
        <x:v>7810</x:v>
      </x:c>
      <x:c r="AD401" s="119" t="n">
        <x:f>IF(AB401=0,0,(AB401-IF(2=D401,1,0))*ROUND(AC401*VLOOKUP(INDEX('章节与怪物'!$E$31:$K$37,B401,2),'章节与怪物'!$A$41:$F$44,2,FALSE),0)+IF(2=D401,ROUND(AC401*'难度参数'!$E$28*'章节与怪物'!$E$17,0),0))</x:f>
        <x:v>265540</x:v>
      </x:c>
      <x:c r="AE401" s="119" t="n">
        <x:f>IF(AB401=0,0,(AB401-IF(2=D401,1,0))*VLOOKUP(INDEX('章节与怪物'!$E$31:$K$37,B401,2),'章节与怪物'!$A$41:$F$44,4,FALSE)+IF(2=D401,'难度参数'!$E$30,0))</x:f>
        <x:v>612</x:v>
      </x:c>
      <x:c r="AF401" s="119" t="n">
        <x:f>IF(3&gt;D401,0,MAX(2,MIN('难度参数'!$E$12,ROUND(('难度参数'!$E$18*POWER(A401,'难度参数'!$E$19)/D401*(0.85+0.3*(3-1)/MAX(1,D401-1))),0)+F401)))</x:f>
        <x:v>36</x:v>
      </x:c>
      <x:c r="AG401" s="119" t="n">
        <x:f>IF(3&gt;D401,0,ROUND(('难度参数'!$E$13*POWER(A401,'难度参数'!$E$20)*MIN('难度参数'!$E$23,1+MAX(0,A401-'难度参数'!$E$21)*'难度参数'!$E$22))*(36+3*7)/(36+7*(D401+1)/2)*E401,0))</x:f>
        <x:v>8904</x:v>
      </x:c>
      <x:c r="AH401" s="119" t="n">
        <x:f>IF(AF401=0,0,(AF401-IF(3=D401,1,0))*ROUND(AG401*VLOOKUP(INDEX('章节与怪物'!$E$31:$K$37,B401,3),'章节与怪物'!$A$41:$F$44,2,FALSE),0)+IF(3=D401,ROUND(AG401*'难度参数'!$E$28*'章节与怪物'!$E$17,0),0))</x:f>
        <x:v>544932</x:v>
      </x:c>
      <x:c r="AI401" s="119" t="n">
        <x:f>IF(AF401=0,0,(AF401-IF(3=D401,1,0))*VLOOKUP(INDEX('章节与怪物'!$E$31:$K$37,B401,3),'章节与怪物'!$A$41:$F$44,4,FALSE)+IF(3=D401,'难度参数'!$E$30,0))</x:f>
        <x:v>1008</x:v>
      </x:c>
      <x:c r="AJ401" s="119" t="n">
        <x:f>IF(4&gt;D401,0,MAX(2,MIN('难度参数'!$E$12,ROUND(('难度参数'!$E$18*POWER(A401,'难度参数'!$E$19)/D401*(0.85+0.3*(4-1)/MAX(1,D401-1))),0)+F401)))</x:f>
        <x:v>38</x:v>
      </x:c>
      <x:c r="AK401" s="119" t="n">
        <x:f>IF(4&gt;D401,0,ROUND(('难度参数'!$E$13*POWER(A401,'难度参数'!$E$20)*MIN('难度参数'!$E$23,1+MAX(0,A401-'难度参数'!$E$21)*'难度参数'!$E$22))*(36+4*7)/(36+7*(D401+1)/2)*E401,0))</x:f>
        <x:v>9997</x:v>
      </x:c>
      <x:c r="AL401" s="119" t="n">
        <x:f>IF(AJ401=0,0,(AJ401-IF(4=D401,1,0))*ROUND(AK401*VLOOKUP(INDEX('章节与怪物'!$E$31:$K$37,B401,4),'章节与怪物'!$A$41:$F$44,2,FALSE),0)+IF(4=D401,ROUND(AK401*'难度参数'!$E$28*'章节与怪物'!$E$17,0),0))</x:f>
        <x:v>512848</x:v>
      </x:c>
      <x:c r="AM401" s="119" t="n">
        <x:f>IF(AJ401=0,0,(AJ401-IF(4=D401,1,0))*VLOOKUP(INDEX('章节与怪物'!$E$31:$K$37,B401,4),'章节与怪物'!$A$41:$F$44,4,FALSE)+IF(4=D401,'难度参数'!$E$30,0))</x:f>
        <x:v>1292</x:v>
      </x:c>
      <x:c r="AN401" s="119" t="n">
        <x:f>IF(5&gt;D401,0,MAX(2,MIN('难度参数'!$E$12,ROUND(('难度参数'!$E$18*POWER(A401,'难度参数'!$E$19)/D401*(0.85+0.3*(5-1)/MAX(1,D401-1))),0)+F401)))</x:f>
        <x:v>40</x:v>
      </x:c>
      <x:c r="AO401" s="119" t="n">
        <x:f>IF(5&gt;D401,0,ROUND(('难度参数'!$E$13*POWER(A401,'难度参数'!$E$20)*MIN('难度参数'!$E$23,1+MAX(0,A401-'难度参数'!$E$21)*'难度参数'!$E$22))*(36+5*7)/(36+7*(D401+1)/2)*E401,0))</x:f>
        <x:v>11091</x:v>
      </x:c>
      <x:c r="AP401" s="119" t="n">
        <x:f>IF(AN401=0,0,(AN401-IF(5=D401,1,0))*ROUND(AO401*VLOOKUP(INDEX('章节与怪物'!$E$31:$K$37,B401,5),'章节与怪物'!$A$41:$F$44,2,FALSE),0)+IF(5=D401,ROUND(AO401*'难度参数'!$E$28*'章节与怪物'!$E$17,0),0))</x:f>
        <x:v>443640</x:v>
      </x:c>
      <x:c r="AQ401" s="119" t="n">
        <x:f>IF(AN401=0,0,(AN401-IF(5=D401,1,0))*VLOOKUP(INDEX('章节与怪物'!$E$31:$K$37,B401,5),'章节与怪物'!$A$41:$F$44,4,FALSE)+IF(5=D401,'难度参数'!$E$30,0))</x:f>
        <x:v>720</x:v>
      </x:c>
      <x:c r="AR401" s="119" t="n">
        <x:f>IF(6&gt;D401,0,MAX(2,MIN('难度参数'!$E$12,ROUND(('难度参数'!$E$18*POWER(A401,'难度参数'!$E$19)/D401*(0.85+0.3*(6-1)/MAX(1,D401-1))),0)+F401)))</x:f>
        <x:v>42</x:v>
      </x:c>
      <x:c r="AS401" s="119" t="n">
        <x:f>IF(6&gt;D401,0,ROUND(('难度参数'!$E$13*POWER(A401,'难度参数'!$E$20)*MIN('难度参数'!$E$23,1+MAX(0,A401-'难度参数'!$E$21)*'难度参数'!$E$22))*(36+6*7)/(36+7*(D401+1)/2)*E401,0))</x:f>
        <x:v>12184</x:v>
      </x:c>
      <x:c r="AT401" s="119" t="n">
        <x:f>IF(AR401=0,0,(AR401-IF(6=D401,1,0))*ROUND(AS401*VLOOKUP(INDEX('章节与怪物'!$E$31:$K$37,B401,6),'章节与怪物'!$A$41:$F$44,2,FALSE),0)+IF(6=D401,ROUND(AS401*'难度参数'!$E$28*'章节与怪物'!$E$17,0),0))</x:f>
        <x:v>869946</x:v>
      </x:c>
      <x:c r="AU401" s="119" t="n">
        <x:f>IF(AR401=0,0,(AR401-IF(6=D401,1,0))*VLOOKUP(INDEX('章节与怪物'!$E$31:$K$37,B401,6),'章节与怪物'!$A$41:$F$44,4,FALSE)+IF(6=D401,'难度参数'!$E$30,0))</x:f>
        <x:v>1176</x:v>
      </x:c>
      <x:c r="AV401" s="119" t="n">
        <x:f>IF(7&gt;D401,0,MAX(2,MIN('难度参数'!$E$12,ROUND(('难度参数'!$E$18*POWER(A401,'难度参数'!$E$19)/D401*(0.85+0.3*(7-1)/MAX(1,D401-1))),0)+F401)))</x:f>
        <x:v>44</x:v>
      </x:c>
      <x:c r="AW401" s="119" t="n">
        <x:f>IF(7&gt;D401,0,ROUND(('难度参数'!$E$13*POWER(A401,'难度参数'!$E$20)*MIN('难度参数'!$E$23,1+MAX(0,A401-'难度参数'!$E$21)*'难度参数'!$E$22))*(36+7*7)/(36+7*(D401+1)/2)*E401,0))</x:f>
        <x:v>13278</x:v>
      </x:c>
      <x:c r="AX401" s="119" t="n">
        <x:f>IF(AV401=0,0,(AV401-IF(7=D401,1,0))*ROUND(AW401*VLOOKUP(INDEX('章节与怪物'!$E$31:$K$37,B401,7),'章节与怪物'!$A$41:$F$44,2,FALSE),0)+IF(7=D401,ROUND(AW401*'难度参数'!$E$28*'章节与怪物'!$E$17,0),0))</x:f>
        <x:v>861065</x:v>
      </x:c>
      <x:c r="AY401" s="119" t="n">
        <x:f>IF(AV401=0,0,(AV401-IF(7=D401,1,0))*VLOOKUP(INDEX('章节与怪物'!$E$31:$K$37,B401,7),'章节与怪物'!$A$41:$F$44,4,FALSE)+IF(7=D401,'难度参数'!$E$30,0))</x:f>
        <x:v>1662</x:v>
      </x:c>
    </x:row>
    <x:row r="402" ht="23" customHeight="1">
      <x:c r="A402" s="119" t="n">
        <x:v>396</x:v>
      </x:c>
      <x:c r="B402" s="119" t="n">
        <x:f>MOD(INT((A402-1)/5),7)+1</x:f>
        <x:v>3</x:v>
      </x:c>
      <x:c r="C402" s="62" t="str">
        <x:f>INDEX('章节与怪物'!$B$31:$B$37,B402)</x:f>
        <x:v>腐沼秘林</x:v>
      </x:c>
      <x:c r="D402" s="119" t="n">
        <x:f>MIN('难度参数'!$E$8,MAX('难度参数'!$E$7,A402))</x:f>
        <x:v>7</x:v>
      </x:c>
      <x:c r="E402" s="106" t="n">
        <x:v>1</x:v>
      </x:c>
      <x:c r="F402" s="106" t="n">
        <x:v>0</x:v>
      </x:c>
      <x:c r="G402" s="106" t="n">
        <x:v>1</x:v>
      </x:c>
      <x:c r="H402" s="119" t="n">
        <x:f>SUM(X402,AB402,AF402,AJ402,AN402,AR402,AV402)</x:f>
        <x:v>267</x:v>
      </x:c>
      <x:c r="I402" s="119" t="n">
        <x:f>SUM(Z402,AD402,AH402,AL402,AP402,AT402,AX402)</x:f>
        <x:v>3527501</x:v>
      </x:c>
      <x:c r="J402" s="119" t="n">
        <x:f>ROUND(INDEX(X402:AY402,1,(D402-1)*4+2)*'难度参数'!$E$28*'章节与怪物'!$E$17,0)</x:f>
        <x:v>90454</x:v>
      </x:c>
      <x:c r="K402" s="119" t="n">
        <x:f>SUM(AA402,AE402,AI402,AM402,AQ402,AU402,AY402)</x:f>
        <x:v>7212</x:v>
      </x:c>
      <x:c r="L402" s="62" t="n">
        <x:f>H402*(ROUNDUP('难度参数'!$E$24/('难度参数'!$E$26*'难度参数'!$E$27),0)*'难度参数'!$E$26)/60</x:f>
        <x:v>3.5600000000000005</x:v>
      </x:c>
      <x:c r="M402" s="62" t="n">
        <x:f>L402+D402*('难度参数'!$E$49+'难度参数'!$E$50)/60</x:f>
        <x:v>4.7266666666666675</x:v>
      </x:c>
      <x:c r="N402" s="119" t="n">
        <x:f>ROUNDDOWN(('经济参数'!$E$20+A402*'经济参数'!$E$21)*G402,0)</x:f>
        <x:v>8100</x:v>
      </x:c>
      <x:c r="O402" s="119" t="n">
        <x:f>ROUNDDOWN(MIN('经济参数'!$E$24,'经济参数'!$E$22+A402*'经济参数'!$E$23)*G402,0)</x:f>
        <x:v>0</x:v>
      </x:c>
      <x:c r="P402" s="119" t="n">
        <x:f>ROUNDDOWN((IF(A402&gt;='材料与任务'!$E$31,'材料与任务'!$E$32,IF(A402&gt;='材料与任务'!$E$25,'材料与任务'!$E$26,IF(A402&gt;='材料与任务'!$E$19,'材料与任务'!$E$20,IF(A402&gt;='材料与任务'!$E$13,'材料与任务'!$E$14,'材料与任务'!$E$8)))))*G402,0)</x:f>
        <x:v>6</x:v>
      </x:c>
      <x:c r="Q402" s="119" t="n">
        <x:f>ROUNDDOWN((IF(A402&gt;='材料与任务'!$E$31,'材料与任务'!$E$33,IF(A402&gt;='材料与任务'!$E$25,'材料与任务'!$E$27,IF(A402&gt;='材料与任务'!$E$19,'材料与任务'!$E$21,IF(A402&gt;='材料与任务'!$E$13,'材料与任务'!$E$15,'材料与任务'!$E$9)))))*G402,0)</x:f>
        <x:v>3</x:v>
      </x:c>
      <x:c r="R402" s="110" t="n">
        <x:f>'装备掉落'!$B$38</x:f>
        <x:v>0.6872058758851213</x:v>
      </x:c>
      <x:c r="S402" s="119" t="n">
        <x:f>MAX(IF(VLOOKUP(A402,'装备掉落'!$A$29:$H$34,2,TRUE)&gt;0,1,0),IF(VLOOKUP(A402,'装备掉落'!$A$29:$H$34,3,TRUE)&gt;0,2,0),IF(VLOOKUP(A402,'装备掉落'!$A$29:$H$34,4,TRUE)&gt;0,3,0),IF(VLOOKUP(A402,'装备掉落'!$A$29:$H$34,5,TRUE)&gt;0,4,0),IF(VLOOKUP(A402,'装备掉落'!$A$29:$H$34,6,TRUE)&gt;0,5,0),IF(VLOOKUP(A402,'装备掉落'!$A$29:$H$34,7,TRUE)&gt;0,6,0),IF(VLOOKUP(A402,'装备掉落'!$A$29:$H$34,8,TRUE)&gt;0,7,0))</x:f>
        <x:v>7</x:v>
      </x:c>
      <x:c r="T402" s="119" t="n">
        <x:f>MIN(7,S402+'经济参数'!$E$70)</x:f>
        <x:v>7</x:v>
      </x:c>
      <x:c r="U402" s="119" t="n">
        <x:f>MIN(7,S402+'经济参数'!$E$71)</x:f>
        <x:v>7</x:v>
      </x:c>
      <x:c r="V402" s="119" t="n">
        <x:f>IF(H402&gt;=('难度参数'!$E$52),1,0)+IF(H402&gt;=('难度参数'!$E$52+'难度参数'!$E$53),1,0)+IF(H402&gt;=('难度参数'!$E$52+'难度参数'!$E$53+'难度参数'!$E$54),1,0)+IF(H402&gt;=('难度参数'!$E$52+'难度参数'!$E$53+'难度参数'!$E$54+'难度参数'!$E$55),1,0)+IF(H402&gt;=('难度参数'!$E$52+'难度参数'!$E$53+'难度参数'!$E$54+'难度参数'!$E$55+'难度参数'!$E$56),1,0)+IF(H402&gt;=('难度参数'!$E$52+'难度参数'!$E$53+'难度参数'!$E$54+'难度参数'!$E$55+'难度参数'!$E$56+'难度参数'!$E$57),1,0)</x:f>
        <x:v>6</x:v>
      </x:c>
      <x:c r="W402" s="62" t="str">
        <x:f>IF(L402&gt;'难度参数'!$E$51,"仅出怪已超目标","还需实测")</x:f>
        <x:v>仅出怪已超目标</x:v>
      </x:c>
      <x:c r="X402" s="119" t="n">
        <x:f>IF(1&gt;D402,0,MAX(2,MIN('难度参数'!$E$12,ROUND(('难度参数'!$E$18*POWER(A402,'难度参数'!$E$19)/D402*(0.85+0.3*(1-1)/MAX(1,D402-1))),0)+F402)))</x:f>
        <x:v>33</x:v>
      </x:c>
      <x:c r="Y402" s="119" t="n">
        <x:f>IF(1&gt;D402,0,ROUND(('难度参数'!$E$13*POWER(A402,'难度参数'!$E$20)*MIN('难度参数'!$E$23,1+MAX(0,A402-'难度参数'!$E$21)*'难度参数'!$E$22))*(36+1*7)/(36+7*(D402+1)/2)*E402,0))</x:f>
        <x:v>6729</x:v>
      </x:c>
      <x:c r="Z402" s="119" t="n">
        <x:f>IF(X402=0,0,(X402-IF(1=D402,1,0))*ROUND(Y402*VLOOKUP(INDEX('章节与怪物'!$E$31:$K$37,B402,1),'章节与怪物'!$A$41:$F$44,2,FALSE),0)+IF(1=D402,ROUND(Y402*'难度参数'!$E$28*'章节与怪物'!$E$17,0),0))</x:f>
        <x:v>222057</x:v>
      </x:c>
      <x:c r="AA402" s="119" t="n">
        <x:f>IF(X402=0,0,(X402-IF(1=D402,1,0))*VLOOKUP(INDEX('章节与怪物'!$E$31:$K$37,B402,1),'章节与怪物'!$A$41:$F$44,4,FALSE)+IF(1=D402,'难度参数'!$E$30,0))</x:f>
        <x:v>594</x:v>
      </x:c>
      <x:c r="AB402" s="119" t="n">
        <x:f>IF(2&gt;D402,0,MAX(2,MIN('难度参数'!$E$12,ROUND(('难度参数'!$E$18*POWER(A402,'难度参数'!$E$19)/D402*(0.85+0.3*(2-1)/MAX(1,D402-1))),0)+F402)))</x:f>
        <x:v>34</x:v>
      </x:c>
      <x:c r="AC402" s="119" t="n">
        <x:f>IF(2&gt;D402,0,ROUND(('难度参数'!$E$13*POWER(A402,'难度参数'!$E$20)*MIN('难度参数'!$E$23,1+MAX(0,A402-'难度参数'!$E$21)*'难度参数'!$E$22))*(36+2*7)/(36+7*(D402+1)/2)*E402,0))</x:f>
        <x:v>7825</x:v>
      </x:c>
      <x:c r="AD402" s="119" t="n">
        <x:f>IF(AB402=0,0,(AB402-IF(2=D402,1,0))*ROUND(AC402*VLOOKUP(INDEX('章节与怪物'!$E$31:$K$37,B402,2),'章节与怪物'!$A$41:$F$44,2,FALSE),0)+IF(2=D402,ROUND(AC402*'难度参数'!$E$28*'章节与怪物'!$E$17,0),0))</x:f>
        <x:v>191556</x:v>
      </x:c>
      <x:c r="AE402" s="119" t="n">
        <x:f>IF(AB402=0,0,(AB402-IF(2=D402,1,0))*VLOOKUP(INDEX('章节与怪物'!$E$31:$K$37,B402,2),'章节与怪物'!$A$41:$F$44,4,FALSE)+IF(2=D402,'难度参数'!$E$30,0))</x:f>
        <x:v>680</x:v>
      </x:c>
      <x:c r="AF402" s="119" t="n">
        <x:f>IF(3&gt;D402,0,MAX(2,MIN('难度参数'!$E$12,ROUND(('难度参数'!$E$18*POWER(A402,'难度参数'!$E$19)/D402*(0.85+0.3*(3-1)/MAX(1,D402-1))),0)+F402)))</x:f>
        <x:v>36</x:v>
      </x:c>
      <x:c r="AG402" s="119" t="n">
        <x:f>IF(3&gt;D402,0,ROUND(('难度参数'!$E$13*POWER(A402,'难度参数'!$E$20)*MIN('难度参数'!$E$23,1+MAX(0,A402-'难度参数'!$E$21)*'难度参数'!$E$22))*(36+3*7)/(36+7*(D402+1)/2)*E402,0))</x:f>
        <x:v>8920</x:v>
      </x:c>
      <x:c r="AH402" s="119" t="n">
        <x:f>IF(AF402=0,0,(AF402-IF(3=D402,1,0))*ROUND(AG402*VLOOKUP(INDEX('章节与怪物'!$E$31:$K$37,B402,3),'章节与怪物'!$A$41:$F$44,2,FALSE),0)+IF(3=D402,ROUND(AG402*'难度参数'!$E$28*'章节与怪物'!$E$17,0),0))</x:f>
        <x:v>545904</x:v>
      </x:c>
      <x:c r="AI402" s="119" t="n">
        <x:f>IF(AF402=0,0,(AF402-IF(3=D402,1,0))*VLOOKUP(INDEX('章节与怪物'!$E$31:$K$37,B402,3),'章节与怪物'!$A$41:$F$44,4,FALSE)+IF(3=D402,'难度参数'!$E$30,0))</x:f>
        <x:v>1008</x:v>
      </x:c>
      <x:c r="AJ402" s="119" t="n">
        <x:f>IF(4&gt;D402,0,MAX(2,MIN('难度参数'!$E$12,ROUND(('难度参数'!$E$18*POWER(A402,'难度参数'!$E$19)/D402*(0.85+0.3*(4-1)/MAX(1,D402-1))),0)+F402)))</x:f>
        <x:v>38</x:v>
      </x:c>
      <x:c r="AK402" s="119" t="n">
        <x:f>IF(4&gt;D402,0,ROUND(('难度参数'!$E$13*POWER(A402,'难度参数'!$E$20)*MIN('难度参数'!$E$23,1+MAX(0,A402-'难度参数'!$E$21)*'难度参数'!$E$22))*(36+4*7)/(36+7*(D402+1)/2)*E402,0))</x:f>
        <x:v>10016</x:v>
      </x:c>
      <x:c r="AL402" s="119" t="n">
        <x:f>IF(AJ402=0,0,(AJ402-IF(4=D402,1,0))*ROUND(AK402*VLOOKUP(INDEX('章节与怪物'!$E$31:$K$37,B402,4),'章节与怪物'!$A$41:$F$44,2,FALSE),0)+IF(4=D402,ROUND(AK402*'难度参数'!$E$28*'章节与怪物'!$E$17,0),0))</x:f>
        <x:v>513836</x:v>
      </x:c>
      <x:c r="AM402" s="119" t="n">
        <x:f>IF(AJ402=0,0,(AJ402-IF(4=D402,1,0))*VLOOKUP(INDEX('章节与怪物'!$E$31:$K$37,B402,4),'章节与怪物'!$A$41:$F$44,4,FALSE)+IF(4=D402,'难度参数'!$E$30,0))</x:f>
        <x:v>1292</x:v>
      </x:c>
      <x:c r="AN402" s="119" t="n">
        <x:f>IF(5&gt;D402,0,MAX(2,MIN('难度参数'!$E$12,ROUND(('难度参数'!$E$18*POWER(A402,'难度参数'!$E$19)/D402*(0.85+0.3*(5-1)/MAX(1,D402-1))),0)+F402)))</x:f>
        <x:v>40</x:v>
      </x:c>
      <x:c r="AO402" s="119" t="n">
        <x:f>IF(5&gt;D402,0,ROUND(('难度参数'!$E$13*POWER(A402,'难度参数'!$E$20)*MIN('难度参数'!$E$23,1+MAX(0,A402-'难度参数'!$E$21)*'难度参数'!$E$22))*(36+5*7)/(36+7*(D402+1)/2)*E402,0))</x:f>
        <x:v>11111</x:v>
      </x:c>
      <x:c r="AP402" s="119" t="n">
        <x:f>IF(AN402=0,0,(AN402-IF(5=D402,1,0))*ROUND(AO402*VLOOKUP(INDEX('章节与怪物'!$E$31:$K$37,B402,5),'章节与怪物'!$A$41:$F$44,2,FALSE),0)+IF(5=D402,ROUND(AO402*'难度参数'!$E$28*'章节与怪物'!$E$17,0),0))</x:f>
        <x:v>320000</x:v>
      </x:c>
      <x:c r="AQ402" s="119" t="n">
        <x:f>IF(AN402=0,0,(AN402-IF(5=D402,1,0))*VLOOKUP(INDEX('章节与怪物'!$E$31:$K$37,B402,5),'章节与怪物'!$A$41:$F$44,4,FALSE)+IF(5=D402,'难度参数'!$E$30,0))</x:f>
        <x:v>800</x:v>
      </x:c>
      <x:c r="AR402" s="119" t="n">
        <x:f>IF(6&gt;D402,0,MAX(2,MIN('难度参数'!$E$12,ROUND(('难度参数'!$E$18*POWER(A402,'难度参数'!$E$19)/D402*(0.85+0.3*(6-1)/MAX(1,D402-1))),0)+F402)))</x:f>
        <x:v>42</x:v>
      </x:c>
      <x:c r="AS402" s="119" t="n">
        <x:f>IF(6&gt;D402,0,ROUND(('难度参数'!$E$13*POWER(A402,'难度参数'!$E$20)*MIN('难度参数'!$E$23,1+MAX(0,A402-'难度参数'!$E$21)*'难度参数'!$E$22))*(36+6*7)/(36+7*(D402+1)/2)*E402,0))</x:f>
        <x:v>12206</x:v>
      </x:c>
      <x:c r="AT402" s="119" t="n">
        <x:f>IF(AR402=0,0,(AR402-IF(6=D402,1,0))*ROUND(AS402*VLOOKUP(INDEX('章节与怪物'!$E$31:$K$37,B402,6),'章节与怪物'!$A$41:$F$44,2,FALSE),0)+IF(6=D402,ROUND(AS402*'难度参数'!$E$28*'章节与怪物'!$E$17,0),0))</x:f>
        <x:v>871500</x:v>
      </x:c>
      <x:c r="AU402" s="119" t="n">
        <x:f>IF(AR402=0,0,(AR402-IF(6=D402,1,0))*VLOOKUP(INDEX('章节与怪物'!$E$31:$K$37,B402,6),'章节与怪物'!$A$41:$F$44,4,FALSE)+IF(6=D402,'难度参数'!$E$30,0))</x:f>
        <x:v>1176</x:v>
      </x:c>
      <x:c r="AV402" s="119" t="n">
        <x:f>IF(7&gt;D402,0,MAX(2,MIN('难度参数'!$E$12,ROUND(('难度参数'!$E$18*POWER(A402,'难度参数'!$E$19)/D402*(0.85+0.3*(7-1)/MAX(1,D402-1))),0)+F402)))</x:f>
        <x:v>44</x:v>
      </x:c>
      <x:c r="AW402" s="119" t="n">
        <x:f>IF(7&gt;D402,0,ROUND(('难度参数'!$E$13*POWER(A402,'难度参数'!$E$20)*MIN('难度参数'!$E$23,1+MAX(0,A402-'难度参数'!$E$21)*'难度参数'!$E$22))*(36+7*7)/(36+7*(D402+1)/2)*E402,0))</x:f>
        <x:v>13302</x:v>
      </x:c>
      <x:c r="AX402" s="119" t="n">
        <x:f>IF(AV402=0,0,(AV402-IF(7=D402,1,0))*ROUND(AW402*VLOOKUP(INDEX('章节与怪物'!$E$31:$K$37,B402,7),'章节与怪物'!$A$41:$F$44,2,FALSE),0)+IF(7=D402,ROUND(AW402*'难度参数'!$E$28*'章节与怪物'!$E$17,0),0))</x:f>
        <x:v>862648</x:v>
      </x:c>
      <x:c r="AY402" s="119" t="n">
        <x:f>IF(AV402=0,0,(AV402-IF(7=D402,1,0))*VLOOKUP(INDEX('章节与怪物'!$E$31:$K$37,B402,7),'章节与怪物'!$A$41:$F$44,4,FALSE)+IF(7=D402,'难度参数'!$E$30,0))</x:f>
        <x:v>1662</x:v>
      </x:c>
    </x:row>
    <x:row r="403" ht="23" customHeight="1">
      <x:c r="A403" s="119" t="n">
        <x:v>397</x:v>
      </x:c>
      <x:c r="B403" s="119" t="n">
        <x:f>MOD(INT((A403-1)/5),7)+1</x:f>
        <x:v>3</x:v>
      </x:c>
      <x:c r="C403" s="62" t="str">
        <x:f>INDEX('章节与怪物'!$B$31:$B$37,B403)</x:f>
        <x:v>腐沼秘林</x:v>
      </x:c>
      <x:c r="D403" s="119" t="n">
        <x:f>MIN('难度参数'!$E$8,MAX('难度参数'!$E$7,A403))</x:f>
        <x:v>7</x:v>
      </x:c>
      <x:c r="E403" s="106" t="n">
        <x:v>1</x:v>
      </x:c>
      <x:c r="F403" s="106" t="n">
        <x:v>0</x:v>
      </x:c>
      <x:c r="G403" s="106" t="n">
        <x:v>1</x:v>
      </x:c>
      <x:c r="H403" s="119" t="n">
        <x:f>SUM(X403,AB403,AF403,AJ403,AN403,AR403,AV403)</x:f>
        <x:v>267</x:v>
      </x:c>
      <x:c r="I403" s="119" t="n">
        <x:f>SUM(Z403,AD403,AH403,AL403,AP403,AT403,AX403)</x:f>
        <x:v>3533858</x:v>
      </x:c>
      <x:c r="J403" s="119" t="n">
        <x:f>ROUND(INDEX(X403:AY403,1,(D403-1)*4+2)*'难度参数'!$E$28*'章节与怪物'!$E$17,0)</x:f>
        <x:v>90617</x:v>
      </x:c>
      <x:c r="K403" s="119" t="n">
        <x:f>SUM(AA403,AE403,AI403,AM403,AQ403,AU403,AY403)</x:f>
        <x:v>7212</x:v>
      </x:c>
      <x:c r="L403" s="62" t="n">
        <x:f>H403*(ROUNDUP('难度参数'!$E$24/('难度参数'!$E$26*'难度参数'!$E$27),0)*'难度参数'!$E$26)/60</x:f>
        <x:v>3.5600000000000005</x:v>
      </x:c>
      <x:c r="M403" s="62" t="n">
        <x:f>L403+D403*('难度参数'!$E$49+'难度参数'!$E$50)/60</x:f>
        <x:v>4.7266666666666675</x:v>
      </x:c>
      <x:c r="N403" s="119" t="n">
        <x:f>ROUNDDOWN(('经济参数'!$E$20+A403*'经济参数'!$E$21)*G403,0)</x:f>
        <x:v>8120</x:v>
      </x:c>
      <x:c r="O403" s="119" t="n">
        <x:f>ROUNDDOWN(MIN('经济参数'!$E$24,'经济参数'!$E$22+A403*'经济参数'!$E$23)*G403,0)</x:f>
        <x:v>0</x:v>
      </x:c>
      <x:c r="P403" s="119" t="n">
        <x:f>ROUNDDOWN((IF(A403&gt;='材料与任务'!$E$31,'材料与任务'!$E$32,IF(A403&gt;='材料与任务'!$E$25,'材料与任务'!$E$26,IF(A403&gt;='材料与任务'!$E$19,'材料与任务'!$E$20,IF(A403&gt;='材料与任务'!$E$13,'材料与任务'!$E$14,'材料与任务'!$E$8)))))*G403,0)</x:f>
        <x:v>6</x:v>
      </x:c>
      <x:c r="Q403" s="119" t="n">
        <x:f>ROUNDDOWN((IF(A403&gt;='材料与任务'!$E$31,'材料与任务'!$E$33,IF(A403&gt;='材料与任务'!$E$25,'材料与任务'!$E$27,IF(A403&gt;='材料与任务'!$E$19,'材料与任务'!$E$21,IF(A403&gt;='材料与任务'!$E$13,'材料与任务'!$E$15,'材料与任务'!$E$9)))))*G403,0)</x:f>
        <x:v>3</x:v>
      </x:c>
      <x:c r="R403" s="110" t="n">
        <x:f>'装备掉落'!$B$38</x:f>
        <x:v>0.6872058758851213</x:v>
      </x:c>
      <x:c r="S403" s="119" t="n">
        <x:f>MAX(IF(VLOOKUP(A403,'装备掉落'!$A$29:$H$34,2,TRUE)&gt;0,1,0),IF(VLOOKUP(A403,'装备掉落'!$A$29:$H$34,3,TRUE)&gt;0,2,0),IF(VLOOKUP(A403,'装备掉落'!$A$29:$H$34,4,TRUE)&gt;0,3,0),IF(VLOOKUP(A403,'装备掉落'!$A$29:$H$34,5,TRUE)&gt;0,4,0),IF(VLOOKUP(A403,'装备掉落'!$A$29:$H$34,6,TRUE)&gt;0,5,0),IF(VLOOKUP(A403,'装备掉落'!$A$29:$H$34,7,TRUE)&gt;0,6,0),IF(VLOOKUP(A403,'装备掉落'!$A$29:$H$34,8,TRUE)&gt;0,7,0))</x:f>
        <x:v>7</x:v>
      </x:c>
      <x:c r="T403" s="119" t="n">
        <x:f>MIN(7,S403+'经济参数'!$E$70)</x:f>
        <x:v>7</x:v>
      </x:c>
      <x:c r="U403" s="119" t="n">
        <x:f>MIN(7,S403+'经济参数'!$E$71)</x:f>
        <x:v>7</x:v>
      </x:c>
      <x:c r="V403" s="119" t="n">
        <x:f>IF(H403&gt;=('难度参数'!$E$52),1,0)+IF(H403&gt;=('难度参数'!$E$52+'难度参数'!$E$53),1,0)+IF(H403&gt;=('难度参数'!$E$52+'难度参数'!$E$53+'难度参数'!$E$54),1,0)+IF(H403&gt;=('难度参数'!$E$52+'难度参数'!$E$53+'难度参数'!$E$54+'难度参数'!$E$55),1,0)+IF(H403&gt;=('难度参数'!$E$52+'难度参数'!$E$53+'难度参数'!$E$54+'难度参数'!$E$55+'难度参数'!$E$56),1,0)+IF(H403&gt;=('难度参数'!$E$52+'难度参数'!$E$53+'难度参数'!$E$54+'难度参数'!$E$55+'难度参数'!$E$56+'难度参数'!$E$57),1,0)</x:f>
        <x:v>6</x:v>
      </x:c>
      <x:c r="W403" s="62" t="str">
        <x:f>IF(L403&gt;'难度参数'!$E$51,"仅出怪已超目标","还需实测")</x:f>
        <x:v>仅出怪已超目标</x:v>
      </x:c>
      <x:c r="X403" s="119" t="n">
        <x:f>IF(1&gt;D403,0,MAX(2,MIN('难度参数'!$E$12,ROUND(('难度参数'!$E$18*POWER(A403,'难度参数'!$E$19)/D403*(0.85+0.3*(1-1)/MAX(1,D403-1))),0)+F403)))</x:f>
        <x:v>33</x:v>
      </x:c>
      <x:c r="Y403" s="119" t="n">
        <x:f>IF(1&gt;D403,0,ROUND(('难度参数'!$E$13*POWER(A403,'难度参数'!$E$20)*MIN('难度参数'!$E$23,1+MAX(0,A403-'难度参数'!$E$21)*'难度参数'!$E$22))*(36+1*7)/(36+7*(D403+1)/2)*E403,0))</x:f>
        <x:v>6741</x:v>
      </x:c>
      <x:c r="Z403" s="119" t="n">
        <x:f>IF(X403=0,0,(X403-IF(1=D403,1,0))*ROUND(Y403*VLOOKUP(INDEX('章节与怪物'!$E$31:$K$37,B403,1),'章节与怪物'!$A$41:$F$44,2,FALSE),0)+IF(1=D403,ROUND(Y403*'难度参数'!$E$28*'章节与怪物'!$E$17,0),0))</x:f>
        <x:v>222453</x:v>
      </x:c>
      <x:c r="AA403" s="119" t="n">
        <x:f>IF(X403=0,0,(X403-IF(1=D403,1,0))*VLOOKUP(INDEX('章节与怪物'!$E$31:$K$37,B403,1),'章节与怪物'!$A$41:$F$44,4,FALSE)+IF(1=D403,'难度参数'!$E$30,0))</x:f>
        <x:v>594</x:v>
      </x:c>
      <x:c r="AB403" s="119" t="n">
        <x:f>IF(2&gt;D403,0,MAX(2,MIN('难度参数'!$E$12,ROUND(('难度参数'!$E$18*POWER(A403,'难度参数'!$E$19)/D403*(0.85+0.3*(2-1)/MAX(1,D403-1))),0)+F403)))</x:f>
        <x:v>34</x:v>
      </x:c>
      <x:c r="AC403" s="119" t="n">
        <x:f>IF(2&gt;D403,0,ROUND(('难度参数'!$E$13*POWER(A403,'难度参数'!$E$20)*MIN('难度参数'!$E$23,1+MAX(0,A403-'难度参数'!$E$21)*'难度参数'!$E$22))*(36+2*7)/(36+7*(D403+1)/2)*E403,0))</x:f>
        <x:v>7839</x:v>
      </x:c>
      <x:c r="AD403" s="119" t="n">
        <x:f>IF(AB403=0,0,(AB403-IF(2=D403,1,0))*ROUND(AC403*VLOOKUP(INDEX('章节与怪物'!$E$31:$K$37,B403,2),'章节与怪物'!$A$41:$F$44,2,FALSE),0)+IF(2=D403,ROUND(AC403*'难度参数'!$E$28*'章节与怪物'!$E$17,0),0))</x:f>
        <x:v>191896</x:v>
      </x:c>
      <x:c r="AE403" s="119" t="n">
        <x:f>IF(AB403=0,0,(AB403-IF(2=D403,1,0))*VLOOKUP(INDEX('章节与怪物'!$E$31:$K$37,B403,2),'章节与怪物'!$A$41:$F$44,4,FALSE)+IF(2=D403,'难度参数'!$E$30,0))</x:f>
        <x:v>680</x:v>
      </x:c>
      <x:c r="AF403" s="119" t="n">
        <x:f>IF(3&gt;D403,0,MAX(2,MIN('难度参数'!$E$12,ROUND(('难度参数'!$E$18*POWER(A403,'难度参数'!$E$19)/D403*(0.85+0.3*(3-1)/MAX(1,D403-1))),0)+F403)))</x:f>
        <x:v>36</x:v>
      </x:c>
      <x:c r="AG403" s="119" t="n">
        <x:f>IF(3&gt;D403,0,ROUND(('难度参数'!$E$13*POWER(A403,'难度参数'!$E$20)*MIN('难度参数'!$E$23,1+MAX(0,A403-'难度参数'!$E$21)*'难度参数'!$E$22))*(36+3*7)/(36+7*(D403+1)/2)*E403,0))</x:f>
        <x:v>8936</x:v>
      </x:c>
      <x:c r="AH403" s="119" t="n">
        <x:f>IF(AF403=0,0,(AF403-IF(3=D403,1,0))*ROUND(AG403*VLOOKUP(INDEX('章节与怪物'!$E$31:$K$37,B403,3),'章节与怪物'!$A$41:$F$44,2,FALSE),0)+IF(3=D403,ROUND(AG403*'难度参数'!$E$28*'章节与怪物'!$E$17,0),0))</x:f>
        <x:v>546876</x:v>
      </x:c>
      <x:c r="AI403" s="119" t="n">
        <x:f>IF(AF403=0,0,(AF403-IF(3=D403,1,0))*VLOOKUP(INDEX('章节与怪物'!$E$31:$K$37,B403,3),'章节与怪物'!$A$41:$F$44,4,FALSE)+IF(3=D403,'难度参数'!$E$30,0))</x:f>
        <x:v>1008</x:v>
      </x:c>
      <x:c r="AJ403" s="119" t="n">
        <x:f>IF(4&gt;D403,0,MAX(2,MIN('难度参数'!$E$12,ROUND(('难度参数'!$E$18*POWER(A403,'难度参数'!$E$19)/D403*(0.85+0.3*(4-1)/MAX(1,D403-1))),0)+F403)))</x:f>
        <x:v>38</x:v>
      </x:c>
      <x:c r="AK403" s="119" t="n">
        <x:f>IF(4&gt;D403,0,ROUND(('难度参数'!$E$13*POWER(A403,'难度参数'!$E$20)*MIN('难度参数'!$E$23,1+MAX(0,A403-'难度参数'!$E$21)*'难度参数'!$E$22))*(36+4*7)/(36+7*(D403+1)/2)*E403,0))</x:f>
        <x:v>10034</x:v>
      </x:c>
      <x:c r="AL403" s="119" t="n">
        <x:f>IF(AJ403=0,0,(AJ403-IF(4=D403,1,0))*ROUND(AK403*VLOOKUP(INDEX('章节与怪物'!$E$31:$K$37,B403,4),'章节与怪物'!$A$41:$F$44,2,FALSE),0)+IF(4=D403,ROUND(AK403*'难度参数'!$E$28*'章节与怪物'!$E$17,0),0))</x:f>
        <x:v>514748</x:v>
      </x:c>
      <x:c r="AM403" s="119" t="n">
        <x:f>IF(AJ403=0,0,(AJ403-IF(4=D403,1,0))*VLOOKUP(INDEX('章节与怪物'!$E$31:$K$37,B403,4),'章节与怪物'!$A$41:$F$44,4,FALSE)+IF(4=D403,'难度参数'!$E$30,0))</x:f>
        <x:v>1292</x:v>
      </x:c>
      <x:c r="AN403" s="119" t="n">
        <x:f>IF(5&gt;D403,0,MAX(2,MIN('难度参数'!$E$12,ROUND(('难度参数'!$E$18*POWER(A403,'难度参数'!$E$19)/D403*(0.85+0.3*(5-1)/MAX(1,D403-1))),0)+F403)))</x:f>
        <x:v>40</x:v>
      </x:c>
      <x:c r="AO403" s="119" t="n">
        <x:f>IF(5&gt;D403,0,ROUND(('难度参数'!$E$13*POWER(A403,'难度参数'!$E$20)*MIN('难度参数'!$E$23,1+MAX(0,A403-'难度参数'!$E$21)*'难度参数'!$E$22))*(36+5*7)/(36+7*(D403+1)/2)*E403,0))</x:f>
        <x:v>11131</x:v>
      </x:c>
      <x:c r="AP403" s="119" t="n">
        <x:f>IF(AN403=0,0,(AN403-IF(5=D403,1,0))*ROUND(AO403*VLOOKUP(INDEX('章节与怪物'!$E$31:$K$37,B403,5),'章节与怪物'!$A$41:$F$44,2,FALSE),0)+IF(5=D403,ROUND(AO403*'难度参数'!$E$28*'章节与怪物'!$E$17,0),0))</x:f>
        <x:v>320560</x:v>
      </x:c>
      <x:c r="AQ403" s="119" t="n">
        <x:f>IF(AN403=0,0,(AN403-IF(5=D403,1,0))*VLOOKUP(INDEX('章节与怪物'!$E$31:$K$37,B403,5),'章节与怪物'!$A$41:$F$44,4,FALSE)+IF(5=D403,'难度参数'!$E$30,0))</x:f>
        <x:v>800</x:v>
      </x:c>
      <x:c r="AR403" s="119" t="n">
        <x:f>IF(6&gt;D403,0,MAX(2,MIN('难度参数'!$E$12,ROUND(('难度参数'!$E$18*POWER(A403,'难度参数'!$E$19)/D403*(0.85+0.3*(6-1)/MAX(1,D403-1))),0)+F403)))</x:f>
        <x:v>42</x:v>
      </x:c>
      <x:c r="AS403" s="119" t="n">
        <x:f>IF(6&gt;D403,0,ROUND(('难度参数'!$E$13*POWER(A403,'难度参数'!$E$20)*MIN('难度参数'!$E$23,1+MAX(0,A403-'难度参数'!$E$21)*'难度参数'!$E$22))*(36+6*7)/(36+7*(D403+1)/2)*E403,0))</x:f>
        <x:v>12229</x:v>
      </x:c>
      <x:c r="AT403" s="119" t="n">
        <x:f>IF(AR403=0,0,(AR403-IF(6=D403,1,0))*ROUND(AS403*VLOOKUP(INDEX('章节与怪物'!$E$31:$K$37,B403,6),'章节与怪物'!$A$41:$F$44,2,FALSE),0)+IF(6=D403,ROUND(AS403*'难度参数'!$E$28*'章节与怪物'!$E$17,0),0))</x:f>
        <x:v>873138</x:v>
      </x:c>
      <x:c r="AU403" s="119" t="n">
        <x:f>IF(AR403=0,0,(AR403-IF(6=D403,1,0))*VLOOKUP(INDEX('章节与怪物'!$E$31:$K$37,B403,6),'章节与怪物'!$A$41:$F$44,4,FALSE)+IF(6=D403,'难度参数'!$E$30,0))</x:f>
        <x:v>1176</x:v>
      </x:c>
      <x:c r="AV403" s="119" t="n">
        <x:f>IF(7&gt;D403,0,MAX(2,MIN('难度参数'!$E$12,ROUND(('难度参数'!$E$18*POWER(A403,'难度参数'!$E$19)/D403*(0.85+0.3*(7-1)/MAX(1,D403-1))),0)+F403)))</x:f>
        <x:v>44</x:v>
      </x:c>
      <x:c r="AW403" s="119" t="n">
        <x:f>IF(7&gt;D403,0,ROUND(('难度参数'!$E$13*POWER(A403,'难度参数'!$E$20)*MIN('难度参数'!$E$23,1+MAX(0,A403-'难度参数'!$E$21)*'难度参数'!$E$22))*(36+7*7)/(36+7*(D403+1)/2)*E403,0))</x:f>
        <x:v>13326</x:v>
      </x:c>
      <x:c r="AX403" s="119" t="n">
        <x:f>IF(AV403=0,0,(AV403-IF(7=D403,1,0))*ROUND(AW403*VLOOKUP(INDEX('章节与怪物'!$E$31:$K$37,B403,7),'章节与怪物'!$A$41:$F$44,2,FALSE),0)+IF(7=D403,ROUND(AW403*'难度参数'!$E$28*'章节与怪物'!$E$17,0),0))</x:f>
        <x:v>864187</x:v>
      </x:c>
      <x:c r="AY403" s="119" t="n">
        <x:f>IF(AV403=0,0,(AV403-IF(7=D403,1,0))*VLOOKUP(INDEX('章节与怪物'!$E$31:$K$37,B403,7),'章节与怪物'!$A$41:$F$44,4,FALSE)+IF(7=D403,'难度参数'!$E$30,0))</x:f>
        <x:v>1662</x:v>
      </x:c>
    </x:row>
    <x:row r="404" ht="23" customHeight="1">
      <x:c r="A404" s="119" t="n">
        <x:v>398</x:v>
      </x:c>
      <x:c r="B404" s="119" t="n">
        <x:f>MOD(INT((A404-1)/5),7)+1</x:f>
        <x:v>3</x:v>
      </x:c>
      <x:c r="C404" s="62" t="str">
        <x:f>INDEX('章节与怪物'!$B$31:$B$37,B404)</x:f>
        <x:v>腐沼秘林</x:v>
      </x:c>
      <x:c r="D404" s="119" t="n">
        <x:f>MIN('难度参数'!$E$8,MAX('难度参数'!$E$7,A404))</x:f>
        <x:v>7</x:v>
      </x:c>
      <x:c r="E404" s="106" t="n">
        <x:v>1</x:v>
      </x:c>
      <x:c r="F404" s="106" t="n">
        <x:v>0</x:v>
      </x:c>
      <x:c r="G404" s="106" t="n">
        <x:v>1</x:v>
      </x:c>
      <x:c r="H404" s="119" t="n">
        <x:f>SUM(X404,AB404,AF404,AJ404,AN404,AR404,AV404)</x:f>
        <x:v>267</x:v>
      </x:c>
      <x:c r="I404" s="119" t="n">
        <x:f>SUM(Z404,AD404,AH404,AL404,AP404,AT404,AX404)</x:f>
        <x:v>3540361</x:v>
      </x:c>
      <x:c r="J404" s="119" t="n">
        <x:f>ROUND(INDEX(X404:AY404,1,(D404-1)*4+2)*'难度参数'!$E$28*'章节与怪物'!$E$17,0)</x:f>
        <x:v>90780</x:v>
      </x:c>
      <x:c r="K404" s="119" t="n">
        <x:f>SUM(AA404,AE404,AI404,AM404,AQ404,AU404,AY404)</x:f>
        <x:v>7212</x:v>
      </x:c>
      <x:c r="L404" s="62" t="n">
        <x:f>H404*(ROUNDUP('难度参数'!$E$24/('难度参数'!$E$26*'难度参数'!$E$27),0)*'难度参数'!$E$26)/60</x:f>
        <x:v>3.5600000000000005</x:v>
      </x:c>
      <x:c r="M404" s="62" t="n">
        <x:f>L404+D404*('难度参数'!$E$49+'难度参数'!$E$50)/60</x:f>
        <x:v>4.7266666666666675</x:v>
      </x:c>
      <x:c r="N404" s="119" t="n">
        <x:f>ROUNDDOWN(('经济参数'!$E$20+A404*'经济参数'!$E$21)*G404,0)</x:f>
        <x:v>8140</x:v>
      </x:c>
      <x:c r="O404" s="119" t="n">
        <x:f>ROUNDDOWN(MIN('经济参数'!$E$24,'经济参数'!$E$22+A404*'经济参数'!$E$23)*G404,0)</x:f>
        <x:v>0</x:v>
      </x:c>
      <x:c r="P404" s="119" t="n">
        <x:f>ROUNDDOWN((IF(A404&gt;='材料与任务'!$E$31,'材料与任务'!$E$32,IF(A404&gt;='材料与任务'!$E$25,'材料与任务'!$E$26,IF(A404&gt;='材料与任务'!$E$19,'材料与任务'!$E$20,IF(A404&gt;='材料与任务'!$E$13,'材料与任务'!$E$14,'材料与任务'!$E$8)))))*G404,0)</x:f>
        <x:v>6</x:v>
      </x:c>
      <x:c r="Q404" s="119" t="n">
        <x:f>ROUNDDOWN((IF(A404&gt;='材料与任务'!$E$31,'材料与任务'!$E$33,IF(A404&gt;='材料与任务'!$E$25,'材料与任务'!$E$27,IF(A404&gt;='材料与任务'!$E$19,'材料与任务'!$E$21,IF(A404&gt;='材料与任务'!$E$13,'材料与任务'!$E$15,'材料与任务'!$E$9)))))*G404,0)</x:f>
        <x:v>3</x:v>
      </x:c>
      <x:c r="R404" s="110" t="n">
        <x:f>'装备掉落'!$B$38</x:f>
        <x:v>0.6872058758851213</x:v>
      </x:c>
      <x:c r="S404" s="119" t="n">
        <x:f>MAX(IF(VLOOKUP(A404,'装备掉落'!$A$29:$H$34,2,TRUE)&gt;0,1,0),IF(VLOOKUP(A404,'装备掉落'!$A$29:$H$34,3,TRUE)&gt;0,2,0),IF(VLOOKUP(A404,'装备掉落'!$A$29:$H$34,4,TRUE)&gt;0,3,0),IF(VLOOKUP(A404,'装备掉落'!$A$29:$H$34,5,TRUE)&gt;0,4,0),IF(VLOOKUP(A404,'装备掉落'!$A$29:$H$34,6,TRUE)&gt;0,5,0),IF(VLOOKUP(A404,'装备掉落'!$A$29:$H$34,7,TRUE)&gt;0,6,0),IF(VLOOKUP(A404,'装备掉落'!$A$29:$H$34,8,TRUE)&gt;0,7,0))</x:f>
        <x:v>7</x:v>
      </x:c>
      <x:c r="T404" s="119" t="n">
        <x:f>MIN(7,S404+'经济参数'!$E$70)</x:f>
        <x:v>7</x:v>
      </x:c>
      <x:c r="U404" s="119" t="n">
        <x:f>MIN(7,S404+'经济参数'!$E$71)</x:f>
        <x:v>7</x:v>
      </x:c>
      <x:c r="V404" s="119" t="n">
        <x:f>IF(H404&gt;=('难度参数'!$E$52),1,0)+IF(H404&gt;=('难度参数'!$E$52+'难度参数'!$E$53),1,0)+IF(H404&gt;=('难度参数'!$E$52+'难度参数'!$E$53+'难度参数'!$E$54),1,0)+IF(H404&gt;=('难度参数'!$E$52+'难度参数'!$E$53+'难度参数'!$E$54+'难度参数'!$E$55),1,0)+IF(H404&gt;=('难度参数'!$E$52+'难度参数'!$E$53+'难度参数'!$E$54+'难度参数'!$E$55+'难度参数'!$E$56),1,0)+IF(H404&gt;=('难度参数'!$E$52+'难度参数'!$E$53+'难度参数'!$E$54+'难度参数'!$E$55+'难度参数'!$E$56+'难度参数'!$E$57),1,0)</x:f>
        <x:v>6</x:v>
      </x:c>
      <x:c r="W404" s="62" t="str">
        <x:f>IF(L404&gt;'难度参数'!$E$51,"仅出怪已超目标","还需实测")</x:f>
        <x:v>仅出怪已超目标</x:v>
      </x:c>
      <x:c r="X404" s="119" t="n">
        <x:f>IF(1&gt;D404,0,MAX(2,MIN('难度参数'!$E$12,ROUND(('难度参数'!$E$18*POWER(A404,'难度参数'!$E$19)/D404*(0.85+0.3*(1-1)/MAX(1,D404-1))),0)+F404)))</x:f>
        <x:v>33</x:v>
      </x:c>
      <x:c r="Y404" s="119" t="n">
        <x:f>IF(1&gt;D404,0,ROUND(('难度参数'!$E$13*POWER(A404,'难度参数'!$E$20)*MIN('难度参数'!$E$23,1+MAX(0,A404-'难度参数'!$E$21)*'难度参数'!$E$22))*(36+1*7)/(36+7*(D404+1)/2)*E404,0))</x:f>
        <x:v>6754</x:v>
      </x:c>
      <x:c r="Z404" s="119" t="n">
        <x:f>IF(X404=0,0,(X404-IF(1=D404,1,0))*ROUND(Y404*VLOOKUP(INDEX('章节与怪物'!$E$31:$K$37,B404,1),'章节与怪物'!$A$41:$F$44,2,FALSE),0)+IF(1=D404,ROUND(Y404*'难度参数'!$E$28*'章节与怪物'!$E$17,0),0))</x:f>
        <x:v>222882</x:v>
      </x:c>
      <x:c r="AA404" s="119" t="n">
        <x:f>IF(X404=0,0,(X404-IF(1=D404,1,0))*VLOOKUP(INDEX('章节与怪物'!$E$31:$K$37,B404,1),'章节与怪物'!$A$41:$F$44,4,FALSE)+IF(1=D404,'难度参数'!$E$30,0))</x:f>
        <x:v>594</x:v>
      </x:c>
      <x:c r="AB404" s="119" t="n">
        <x:f>IF(2&gt;D404,0,MAX(2,MIN('难度参数'!$E$12,ROUND(('难度参数'!$E$18*POWER(A404,'难度参数'!$E$19)/D404*(0.85+0.3*(2-1)/MAX(1,D404-1))),0)+F404)))</x:f>
        <x:v>34</x:v>
      </x:c>
      <x:c r="AC404" s="119" t="n">
        <x:f>IF(2&gt;D404,0,ROUND(('难度参数'!$E$13*POWER(A404,'难度参数'!$E$20)*MIN('难度参数'!$E$23,1+MAX(0,A404-'难度参数'!$E$21)*'难度参数'!$E$22))*(36+2*7)/(36+7*(D404+1)/2)*E404,0))</x:f>
        <x:v>7853</x:v>
      </x:c>
      <x:c r="AD404" s="119" t="n">
        <x:f>IF(AB404=0,0,(AB404-IF(2=D404,1,0))*ROUND(AC404*VLOOKUP(INDEX('章节与怪物'!$E$31:$K$37,B404,2),'章节与怪物'!$A$41:$F$44,2,FALSE),0)+IF(2=D404,ROUND(AC404*'难度参数'!$E$28*'章节与怪物'!$E$17,0),0))</x:f>
        <x:v>192236</x:v>
      </x:c>
      <x:c r="AE404" s="119" t="n">
        <x:f>IF(AB404=0,0,(AB404-IF(2=D404,1,0))*VLOOKUP(INDEX('章节与怪物'!$E$31:$K$37,B404,2),'章节与怪物'!$A$41:$F$44,4,FALSE)+IF(2=D404,'难度参数'!$E$30,0))</x:f>
        <x:v>680</x:v>
      </x:c>
      <x:c r="AF404" s="119" t="n">
        <x:f>IF(3&gt;D404,0,MAX(2,MIN('难度参数'!$E$12,ROUND(('难度参数'!$E$18*POWER(A404,'难度参数'!$E$19)/D404*(0.85+0.3*(3-1)/MAX(1,D404-1))),0)+F404)))</x:f>
        <x:v>36</x:v>
      </x:c>
      <x:c r="AG404" s="119" t="n">
        <x:f>IF(3&gt;D404,0,ROUND(('难度参数'!$E$13*POWER(A404,'难度参数'!$E$20)*MIN('难度参数'!$E$23,1+MAX(0,A404-'难度参数'!$E$21)*'难度参数'!$E$22))*(36+3*7)/(36+7*(D404+1)/2)*E404,0))</x:f>
        <x:v>8953</x:v>
      </x:c>
      <x:c r="AH404" s="119" t="n">
        <x:f>IF(AF404=0,0,(AF404-IF(3=D404,1,0))*ROUND(AG404*VLOOKUP(INDEX('章节与怪物'!$E$31:$K$37,B404,3),'章节与怪物'!$A$41:$F$44,2,FALSE),0)+IF(3=D404,ROUND(AG404*'难度参数'!$E$28*'章节与怪物'!$E$17,0),0))</x:f>
        <x:v>547920</x:v>
      </x:c>
      <x:c r="AI404" s="119" t="n">
        <x:f>IF(AF404=0,0,(AF404-IF(3=D404,1,0))*VLOOKUP(INDEX('章节与怪物'!$E$31:$K$37,B404,3),'章节与怪物'!$A$41:$F$44,4,FALSE)+IF(3=D404,'难度参数'!$E$30,0))</x:f>
        <x:v>1008</x:v>
      </x:c>
      <x:c r="AJ404" s="119" t="n">
        <x:f>IF(4&gt;D404,0,MAX(2,MIN('难度参数'!$E$12,ROUND(('难度参数'!$E$18*POWER(A404,'难度参数'!$E$19)/D404*(0.85+0.3*(4-1)/MAX(1,D404-1))),0)+F404)))</x:f>
        <x:v>38</x:v>
      </x:c>
      <x:c r="AK404" s="119" t="n">
        <x:f>IF(4&gt;D404,0,ROUND(('难度参数'!$E$13*POWER(A404,'难度参数'!$E$20)*MIN('难度参数'!$E$23,1+MAX(0,A404-'难度参数'!$E$21)*'难度参数'!$E$22))*(36+4*7)/(36+7*(D404+1)/2)*E404,0))</x:f>
        <x:v>10052</x:v>
      </x:c>
      <x:c r="AL404" s="119" t="n">
        <x:f>IF(AJ404=0,0,(AJ404-IF(4=D404,1,0))*ROUND(AK404*VLOOKUP(INDEX('章节与怪物'!$E$31:$K$37,B404,4),'章节与怪物'!$A$41:$F$44,2,FALSE),0)+IF(4=D404,ROUND(AK404*'难度参数'!$E$28*'章节与怪物'!$E$17,0),0))</x:f>
        <x:v>515660</x:v>
      </x:c>
      <x:c r="AM404" s="119" t="n">
        <x:f>IF(AJ404=0,0,(AJ404-IF(4=D404,1,0))*VLOOKUP(INDEX('章节与怪物'!$E$31:$K$37,B404,4),'章节与怪物'!$A$41:$F$44,4,FALSE)+IF(4=D404,'难度参数'!$E$30,0))</x:f>
        <x:v>1292</x:v>
      </x:c>
      <x:c r="AN404" s="119" t="n">
        <x:f>IF(5&gt;D404,0,MAX(2,MIN('难度参数'!$E$12,ROUND(('难度参数'!$E$18*POWER(A404,'难度参数'!$E$19)/D404*(0.85+0.3*(5-1)/MAX(1,D404-1))),0)+F404)))</x:f>
        <x:v>40</x:v>
      </x:c>
      <x:c r="AO404" s="119" t="n">
        <x:f>IF(5&gt;D404,0,ROUND(('难度参数'!$E$13*POWER(A404,'难度参数'!$E$20)*MIN('难度参数'!$E$23,1+MAX(0,A404-'难度参数'!$E$21)*'难度参数'!$E$22))*(36+5*7)/(36+7*(D404+1)/2)*E404,0))</x:f>
        <x:v>11151</x:v>
      </x:c>
      <x:c r="AP404" s="119" t="n">
        <x:f>IF(AN404=0,0,(AN404-IF(5=D404,1,0))*ROUND(AO404*VLOOKUP(INDEX('章节与怪物'!$E$31:$K$37,B404,5),'章节与怪物'!$A$41:$F$44,2,FALSE),0)+IF(5=D404,ROUND(AO404*'难度参数'!$E$28*'章节与怪物'!$E$17,0),0))</x:f>
        <x:v>321160</x:v>
      </x:c>
      <x:c r="AQ404" s="119" t="n">
        <x:f>IF(AN404=0,0,(AN404-IF(5=D404,1,0))*VLOOKUP(INDEX('章节与怪物'!$E$31:$K$37,B404,5),'章节与怪物'!$A$41:$F$44,4,FALSE)+IF(5=D404,'难度参数'!$E$30,0))</x:f>
        <x:v>800</x:v>
      </x:c>
      <x:c r="AR404" s="119" t="n">
        <x:f>IF(6&gt;D404,0,MAX(2,MIN('难度参数'!$E$12,ROUND(('难度参数'!$E$18*POWER(A404,'难度参数'!$E$19)/D404*(0.85+0.3*(6-1)/MAX(1,D404-1))),0)+F404)))</x:f>
        <x:v>42</x:v>
      </x:c>
      <x:c r="AS404" s="119" t="n">
        <x:f>IF(6&gt;D404,0,ROUND(('难度参数'!$E$13*POWER(A404,'难度参数'!$E$20)*MIN('难度参数'!$E$23,1+MAX(0,A404-'难度参数'!$E$21)*'难度参数'!$E$22))*(36+6*7)/(36+7*(D404+1)/2)*E404,0))</x:f>
        <x:v>12251</x:v>
      </x:c>
      <x:c r="AT404" s="119" t="n">
        <x:f>IF(AR404=0,0,(AR404-IF(6=D404,1,0))*ROUND(AS404*VLOOKUP(INDEX('章节与怪物'!$E$31:$K$37,B404,6),'章节与怪物'!$A$41:$F$44,2,FALSE),0)+IF(6=D404,ROUND(AS404*'难度参数'!$E$28*'章节与怪物'!$E$17,0),0))</x:f>
        <x:v>874734</x:v>
      </x:c>
      <x:c r="AU404" s="119" t="n">
        <x:f>IF(AR404=0,0,(AR404-IF(6=D404,1,0))*VLOOKUP(INDEX('章节与怪物'!$E$31:$K$37,B404,6),'章节与怪物'!$A$41:$F$44,4,FALSE)+IF(6=D404,'难度参数'!$E$30,0))</x:f>
        <x:v>1176</x:v>
      </x:c>
      <x:c r="AV404" s="119" t="n">
        <x:f>IF(7&gt;D404,0,MAX(2,MIN('难度参数'!$E$12,ROUND(('难度参数'!$E$18*POWER(A404,'难度参数'!$E$19)/D404*(0.85+0.3*(7-1)/MAX(1,D404-1))),0)+F404)))</x:f>
        <x:v>44</x:v>
      </x:c>
      <x:c r="AW404" s="119" t="n">
        <x:f>IF(7&gt;D404,0,ROUND(('难度参数'!$E$13*POWER(A404,'难度参数'!$E$20)*MIN('难度参数'!$E$23,1+MAX(0,A404-'难度参数'!$E$21)*'难度参数'!$E$22))*(36+7*7)/(36+7*(D404+1)/2)*E404,0))</x:f>
        <x:v>13350</x:v>
      </x:c>
      <x:c r="AX404" s="119" t="n">
        <x:f>IF(AV404=0,0,(AV404-IF(7=D404,1,0))*ROUND(AW404*VLOOKUP(INDEX('章节与怪物'!$E$31:$K$37,B404,7),'章节与怪物'!$A$41:$F$44,2,FALSE),0)+IF(7=D404,ROUND(AW404*'难度参数'!$E$28*'章节与怪物'!$E$17,0),0))</x:f>
        <x:v>865769</x:v>
      </x:c>
      <x:c r="AY404" s="119" t="n">
        <x:f>IF(AV404=0,0,(AV404-IF(7=D404,1,0))*VLOOKUP(INDEX('章节与怪物'!$E$31:$K$37,B404,7),'章节与怪物'!$A$41:$F$44,4,FALSE)+IF(7=D404,'难度参数'!$E$30,0))</x:f>
        <x:v>1662</x:v>
      </x:c>
    </x:row>
    <x:row r="405" ht="23" customHeight="1">
      <x:c r="A405" s="119" t="n">
        <x:v>399</x:v>
      </x:c>
      <x:c r="B405" s="119" t="n">
        <x:f>MOD(INT((A405-1)/5),7)+1</x:f>
        <x:v>3</x:v>
      </x:c>
      <x:c r="C405" s="62" t="str">
        <x:f>INDEX('章节与怪物'!$B$31:$B$37,B405)</x:f>
        <x:v>腐沼秘林</x:v>
      </x:c>
      <x:c r="D405" s="119" t="n">
        <x:f>MIN('难度参数'!$E$8,MAX('难度参数'!$E$7,A405))</x:f>
        <x:v>7</x:v>
      </x:c>
      <x:c r="E405" s="106" t="n">
        <x:v>1</x:v>
      </x:c>
      <x:c r="F405" s="106" t="n">
        <x:v>0</x:v>
      </x:c>
      <x:c r="G405" s="106" t="n">
        <x:v>1</x:v>
      </x:c>
      <x:c r="H405" s="119" t="n">
        <x:f>SUM(X405,AB405,AF405,AJ405,AN405,AR405,AV405)</x:f>
        <x:v>268</x:v>
      </x:c>
      <x:c r="I405" s="119" t="n">
        <x:f>SUM(Z405,AD405,AH405,AL405,AP405,AT405,AX405)</x:f>
        <x:v>3552376</x:v>
      </x:c>
      <x:c r="J405" s="119" t="n">
        <x:f>ROUND(INDEX(X405:AY405,1,(D405-1)*4+2)*'难度参数'!$E$28*'章节与怪物'!$E$17,0)</x:f>
        <x:v>90943</x:v>
      </x:c>
      <x:c r="K405" s="119" t="n">
        <x:f>SUM(AA405,AE405,AI405,AM405,AQ405,AU405,AY405)</x:f>
        <x:v>7232</x:v>
      </x:c>
      <x:c r="L405" s="62" t="n">
        <x:f>H405*(ROUNDUP('难度参数'!$E$24/('难度参数'!$E$26*'难度参数'!$E$27),0)*'难度参数'!$E$26)/60</x:f>
        <x:v>3.5733333333333333</x:v>
      </x:c>
      <x:c r="M405" s="62" t="n">
        <x:f>L405+D405*('难度参数'!$E$49+'难度参数'!$E$50)/60</x:f>
        <x:v>4.74</x:v>
      </x:c>
      <x:c r="N405" s="119" t="n">
        <x:f>ROUNDDOWN(('经济参数'!$E$20+A405*'经济参数'!$E$21)*G405,0)</x:f>
        <x:v>8160</x:v>
      </x:c>
      <x:c r="O405" s="119" t="n">
        <x:f>ROUNDDOWN(MIN('经济参数'!$E$24,'经济参数'!$E$22+A405*'经济参数'!$E$23)*G405,0)</x:f>
        <x:v>0</x:v>
      </x:c>
      <x:c r="P405" s="119" t="n">
        <x:f>ROUNDDOWN((IF(A405&gt;='材料与任务'!$E$31,'材料与任务'!$E$32,IF(A405&gt;='材料与任务'!$E$25,'材料与任务'!$E$26,IF(A405&gt;='材料与任务'!$E$19,'材料与任务'!$E$20,IF(A405&gt;='材料与任务'!$E$13,'材料与任务'!$E$14,'材料与任务'!$E$8)))))*G405,0)</x:f>
        <x:v>6</x:v>
      </x:c>
      <x:c r="Q405" s="119" t="n">
        <x:f>ROUNDDOWN((IF(A405&gt;='材料与任务'!$E$31,'材料与任务'!$E$33,IF(A405&gt;='材料与任务'!$E$25,'材料与任务'!$E$27,IF(A405&gt;='材料与任务'!$E$19,'材料与任务'!$E$21,IF(A405&gt;='材料与任务'!$E$13,'材料与任务'!$E$15,'材料与任务'!$E$9)))))*G405,0)</x:f>
        <x:v>3</x:v>
      </x:c>
      <x:c r="R405" s="110" t="n">
        <x:f>'装备掉落'!$B$38</x:f>
        <x:v>0.6872058758851213</x:v>
      </x:c>
      <x:c r="S405" s="119" t="n">
        <x:f>MAX(IF(VLOOKUP(A405,'装备掉落'!$A$29:$H$34,2,TRUE)&gt;0,1,0),IF(VLOOKUP(A405,'装备掉落'!$A$29:$H$34,3,TRUE)&gt;0,2,0),IF(VLOOKUP(A405,'装备掉落'!$A$29:$H$34,4,TRUE)&gt;0,3,0),IF(VLOOKUP(A405,'装备掉落'!$A$29:$H$34,5,TRUE)&gt;0,4,0),IF(VLOOKUP(A405,'装备掉落'!$A$29:$H$34,6,TRUE)&gt;0,5,0),IF(VLOOKUP(A405,'装备掉落'!$A$29:$H$34,7,TRUE)&gt;0,6,0),IF(VLOOKUP(A405,'装备掉落'!$A$29:$H$34,8,TRUE)&gt;0,7,0))</x:f>
        <x:v>7</x:v>
      </x:c>
      <x:c r="T405" s="119" t="n">
        <x:f>MIN(7,S405+'经济参数'!$E$70)</x:f>
        <x:v>7</x:v>
      </x:c>
      <x:c r="U405" s="119" t="n">
        <x:f>MIN(7,S405+'经济参数'!$E$71)</x:f>
        <x:v>7</x:v>
      </x:c>
      <x:c r="V405" s="119" t="n">
        <x:f>IF(H405&gt;=('难度参数'!$E$52),1,0)+IF(H405&gt;=('难度参数'!$E$52+'难度参数'!$E$53),1,0)+IF(H405&gt;=('难度参数'!$E$52+'难度参数'!$E$53+'难度参数'!$E$54),1,0)+IF(H405&gt;=('难度参数'!$E$52+'难度参数'!$E$53+'难度参数'!$E$54+'难度参数'!$E$55),1,0)+IF(H405&gt;=('难度参数'!$E$52+'难度参数'!$E$53+'难度参数'!$E$54+'难度参数'!$E$55+'难度参数'!$E$56),1,0)+IF(H405&gt;=('难度参数'!$E$52+'难度参数'!$E$53+'难度参数'!$E$54+'难度参数'!$E$55+'难度参数'!$E$56+'难度参数'!$E$57),1,0)</x:f>
        <x:v>6</x:v>
      </x:c>
      <x:c r="W405" s="62" t="str">
        <x:f>IF(L405&gt;'难度参数'!$E$51,"仅出怪已超目标","还需实测")</x:f>
        <x:v>仅出怪已超目标</x:v>
      </x:c>
      <x:c r="X405" s="119" t="n">
        <x:f>IF(1&gt;D405,0,MAX(2,MIN('难度参数'!$E$12,ROUND(('难度参数'!$E$18*POWER(A405,'难度参数'!$E$19)/D405*(0.85+0.3*(1-1)/MAX(1,D405-1))),0)+F405)))</x:f>
        <x:v>33</x:v>
      </x:c>
      <x:c r="Y405" s="119" t="n">
        <x:f>IF(1&gt;D405,0,ROUND(('难度参数'!$E$13*POWER(A405,'难度参数'!$E$20)*MIN('难度参数'!$E$23,1+MAX(0,A405-'难度参数'!$E$21)*'难度参数'!$E$22))*(36+1*7)/(36+7*(D405+1)/2)*E405,0))</x:f>
        <x:v>6766</x:v>
      </x:c>
      <x:c r="Z405" s="119" t="n">
        <x:f>IF(X405=0,0,(X405-IF(1=D405,1,0))*ROUND(Y405*VLOOKUP(INDEX('章节与怪物'!$E$31:$K$37,B405,1),'章节与怪物'!$A$41:$F$44,2,FALSE),0)+IF(1=D405,ROUND(Y405*'难度参数'!$E$28*'章节与怪物'!$E$17,0),0))</x:f>
        <x:v>223278</x:v>
      </x:c>
      <x:c r="AA405" s="119" t="n">
        <x:f>IF(X405=0,0,(X405-IF(1=D405,1,0))*VLOOKUP(INDEX('章节与怪物'!$E$31:$K$37,B405,1),'章节与怪物'!$A$41:$F$44,4,FALSE)+IF(1=D405,'难度参数'!$E$30,0))</x:f>
        <x:v>594</x:v>
      </x:c>
      <x:c r="AB405" s="119" t="n">
        <x:f>IF(2&gt;D405,0,MAX(2,MIN('难度参数'!$E$12,ROUND(('难度参数'!$E$18*POWER(A405,'难度参数'!$E$19)/D405*(0.85+0.3*(2-1)/MAX(1,D405-1))),0)+F405)))</x:f>
        <x:v>35</x:v>
      </x:c>
      <x:c r="AC405" s="119" t="n">
        <x:f>IF(2&gt;D405,0,ROUND(('难度参数'!$E$13*POWER(A405,'难度参数'!$E$20)*MIN('难度参数'!$E$23,1+MAX(0,A405-'难度参数'!$E$21)*'难度参数'!$E$22))*(36+2*7)/(36+7*(D405+1)/2)*E405,0))</x:f>
        <x:v>7867</x:v>
      </x:c>
      <x:c r="AD405" s="119" t="n">
        <x:f>IF(AB405=0,0,(AB405-IF(2=D405,1,0))*ROUND(AC405*VLOOKUP(INDEX('章节与怪物'!$E$31:$K$37,B405,2),'章节与怪物'!$A$41:$F$44,2,FALSE),0)+IF(2=D405,ROUND(AC405*'难度参数'!$E$28*'章节与怪物'!$E$17,0),0))</x:f>
        <x:v>198240</x:v>
      </x:c>
      <x:c r="AE405" s="119" t="n">
        <x:f>IF(AB405=0,0,(AB405-IF(2=D405,1,0))*VLOOKUP(INDEX('章节与怪物'!$E$31:$K$37,B405,2),'章节与怪物'!$A$41:$F$44,4,FALSE)+IF(2=D405,'难度参数'!$E$30,0))</x:f>
        <x:v>700</x:v>
      </x:c>
      <x:c r="AF405" s="119" t="n">
        <x:f>IF(3&gt;D405,0,MAX(2,MIN('难度参数'!$E$12,ROUND(('难度参数'!$E$18*POWER(A405,'难度参数'!$E$19)/D405*(0.85+0.3*(3-1)/MAX(1,D405-1))),0)+F405)))</x:f>
        <x:v>36</x:v>
      </x:c>
      <x:c r="AG405" s="119" t="n">
        <x:f>IF(3&gt;D405,0,ROUND(('难度参数'!$E$13*POWER(A405,'难度参数'!$E$20)*MIN('难度参数'!$E$23,1+MAX(0,A405-'难度参数'!$E$21)*'难度参数'!$E$22))*(36+3*7)/(36+7*(D405+1)/2)*E405,0))</x:f>
        <x:v>8969</x:v>
      </x:c>
      <x:c r="AH405" s="119" t="n">
        <x:f>IF(AF405=0,0,(AF405-IF(3=D405,1,0))*ROUND(AG405*VLOOKUP(INDEX('章节与怪物'!$E$31:$K$37,B405,3),'章节与怪物'!$A$41:$F$44,2,FALSE),0)+IF(3=D405,ROUND(AG405*'难度参数'!$E$28*'章节与怪物'!$E$17,0),0))</x:f>
        <x:v>548892</x:v>
      </x:c>
      <x:c r="AI405" s="119" t="n">
        <x:f>IF(AF405=0,0,(AF405-IF(3=D405,1,0))*VLOOKUP(INDEX('章节与怪物'!$E$31:$K$37,B405,3),'章节与怪物'!$A$41:$F$44,4,FALSE)+IF(3=D405,'难度参数'!$E$30,0))</x:f>
        <x:v>1008</x:v>
      </x:c>
      <x:c r="AJ405" s="119" t="n">
        <x:f>IF(4&gt;D405,0,MAX(2,MIN('难度参数'!$E$12,ROUND(('难度参数'!$E$18*POWER(A405,'难度参数'!$E$19)/D405*(0.85+0.3*(4-1)/MAX(1,D405-1))),0)+F405)))</x:f>
        <x:v>38</x:v>
      </x:c>
      <x:c r="AK405" s="119" t="n">
        <x:f>IF(4&gt;D405,0,ROUND(('难度参数'!$E$13*POWER(A405,'难度参数'!$E$20)*MIN('难度参数'!$E$23,1+MAX(0,A405-'难度参数'!$E$21)*'难度参数'!$E$22))*(36+4*7)/(36+7*(D405+1)/2)*E405,0))</x:f>
        <x:v>10070</x:v>
      </x:c>
      <x:c r="AL405" s="119" t="n">
        <x:f>IF(AJ405=0,0,(AJ405-IF(4=D405,1,0))*ROUND(AK405*VLOOKUP(INDEX('章节与怪物'!$E$31:$K$37,B405,4),'章节与怪物'!$A$41:$F$44,2,FALSE),0)+IF(4=D405,ROUND(AK405*'难度参数'!$E$28*'章节与怪物'!$E$17,0),0))</x:f>
        <x:v>516610</x:v>
      </x:c>
      <x:c r="AM405" s="119" t="n">
        <x:f>IF(AJ405=0,0,(AJ405-IF(4=D405,1,0))*VLOOKUP(INDEX('章节与怪物'!$E$31:$K$37,B405,4),'章节与怪物'!$A$41:$F$44,4,FALSE)+IF(4=D405,'难度参数'!$E$30,0))</x:f>
        <x:v>1292</x:v>
      </x:c>
      <x:c r="AN405" s="119" t="n">
        <x:f>IF(5&gt;D405,0,MAX(2,MIN('难度参数'!$E$12,ROUND(('难度参数'!$E$18*POWER(A405,'难度参数'!$E$19)/D405*(0.85+0.3*(5-1)/MAX(1,D405-1))),0)+F405)))</x:f>
        <x:v>40</x:v>
      </x:c>
      <x:c r="AO405" s="119" t="n">
        <x:f>IF(5&gt;D405,0,ROUND(('难度参数'!$E$13*POWER(A405,'难度参数'!$E$20)*MIN('难度参数'!$E$23,1+MAX(0,A405-'难度参数'!$E$21)*'难度参数'!$E$22))*(36+5*7)/(36+7*(D405+1)/2)*E405,0))</x:f>
        <x:v>11172</x:v>
      </x:c>
      <x:c r="AP405" s="119" t="n">
        <x:f>IF(AN405=0,0,(AN405-IF(5=D405,1,0))*ROUND(AO405*VLOOKUP(INDEX('章节与怪物'!$E$31:$K$37,B405,5),'章节与怪物'!$A$41:$F$44,2,FALSE),0)+IF(5=D405,ROUND(AO405*'难度参数'!$E$28*'章节与怪物'!$E$17,0),0))</x:f>
        <x:v>321760</x:v>
      </x:c>
      <x:c r="AQ405" s="119" t="n">
        <x:f>IF(AN405=0,0,(AN405-IF(5=D405,1,0))*VLOOKUP(INDEX('章节与怪物'!$E$31:$K$37,B405,5),'章节与怪物'!$A$41:$F$44,4,FALSE)+IF(5=D405,'难度参数'!$E$30,0))</x:f>
        <x:v>800</x:v>
      </x:c>
      <x:c r="AR405" s="119" t="n">
        <x:f>IF(6&gt;D405,0,MAX(2,MIN('难度参数'!$E$12,ROUND(('难度参数'!$E$18*POWER(A405,'难度参数'!$E$19)/D405*(0.85+0.3*(6-1)/MAX(1,D405-1))),0)+F405)))</x:f>
        <x:v>42</x:v>
      </x:c>
      <x:c r="AS405" s="119" t="n">
        <x:f>IF(6&gt;D405,0,ROUND(('难度参数'!$E$13*POWER(A405,'难度参数'!$E$20)*MIN('难度参数'!$E$23,1+MAX(0,A405-'难度参数'!$E$21)*'难度参数'!$E$22))*(36+6*7)/(36+7*(D405+1)/2)*E405,0))</x:f>
        <x:v>12273</x:v>
      </x:c>
      <x:c r="AT405" s="119" t="n">
        <x:f>IF(AR405=0,0,(AR405-IF(6=D405,1,0))*ROUND(AS405*VLOOKUP(INDEX('章节与怪物'!$E$31:$K$37,B405,6),'章节与怪物'!$A$41:$F$44,2,FALSE),0)+IF(6=D405,ROUND(AS405*'难度参数'!$E$28*'章节与怪物'!$E$17,0),0))</x:f>
        <x:v>876288</x:v>
      </x:c>
      <x:c r="AU405" s="119" t="n">
        <x:f>IF(AR405=0,0,(AR405-IF(6=D405,1,0))*VLOOKUP(INDEX('章节与怪物'!$E$31:$K$37,B405,6),'章节与怪物'!$A$41:$F$44,4,FALSE)+IF(6=D405,'难度参数'!$E$30,0))</x:f>
        <x:v>1176</x:v>
      </x:c>
      <x:c r="AV405" s="119" t="n">
        <x:f>IF(7&gt;D405,0,MAX(2,MIN('难度参数'!$E$12,ROUND(('难度参数'!$E$18*POWER(A405,'难度参数'!$E$19)/D405*(0.85+0.3*(7-1)/MAX(1,D405-1))),0)+F405)))</x:f>
        <x:v>44</x:v>
      </x:c>
      <x:c r="AW405" s="119" t="n">
        <x:f>IF(7&gt;D405,0,ROUND(('难度参数'!$E$13*POWER(A405,'难度参数'!$E$20)*MIN('难度参数'!$E$23,1+MAX(0,A405-'难度参数'!$E$21)*'难度参数'!$E$22))*(36+7*7)/(36+7*(D405+1)/2)*E405,0))</x:f>
        <x:v>13374</x:v>
      </x:c>
      <x:c r="AX405" s="119" t="n">
        <x:f>IF(AV405=0,0,(AV405-IF(7=D405,1,0))*ROUND(AW405*VLOOKUP(INDEX('章节与怪物'!$E$31:$K$37,B405,7),'章节与怪物'!$A$41:$F$44,2,FALSE),0)+IF(7=D405,ROUND(AW405*'难度参数'!$E$28*'章节与怪物'!$E$17,0),0))</x:f>
        <x:v>867308</x:v>
      </x:c>
      <x:c r="AY405" s="119" t="n">
        <x:f>IF(AV405=0,0,(AV405-IF(7=D405,1,0))*VLOOKUP(INDEX('章节与怪物'!$E$31:$K$37,B405,7),'章节与怪物'!$A$41:$F$44,4,FALSE)+IF(7=D405,'难度参数'!$E$30,0))</x:f>
        <x:v>1662</x:v>
      </x:c>
    </x:row>
    <x:row r="406" ht="23" customHeight="1">
      <x:c r="A406" s="119" t="n">
        <x:v>400</x:v>
      </x:c>
      <x:c r="B406" s="119" t="n">
        <x:f>MOD(INT((A406-1)/5),7)+1</x:f>
        <x:v>3</x:v>
      </x:c>
      <x:c r="C406" s="62" t="str">
        <x:f>INDEX('章节与怪物'!$B$31:$B$37,B406)</x:f>
        <x:v>腐沼秘林</x:v>
      </x:c>
      <x:c r="D406" s="119" t="n">
        <x:f>MIN('难度参数'!$E$8,MAX('难度参数'!$E$7,A406))</x:f>
        <x:v>7</x:v>
      </x:c>
      <x:c r="E406" s="106" t="n">
        <x:v>1</x:v>
      </x:c>
      <x:c r="F406" s="106" t="n">
        <x:v>0</x:v>
      </x:c>
      <x:c r="G406" s="106" t="n">
        <x:v>1</x:v>
      </x:c>
      <x:c r="H406" s="119" t="n">
        <x:f>SUM(X406,AB406,AF406,AJ406,AN406,AR406,AV406)</x:f>
        <x:v>268</x:v>
      </x:c>
      <x:c r="I406" s="119" t="n">
        <x:f>SUM(Z406,AD406,AH406,AL406,AP406,AT406,AX406)</x:f>
        <x:v>3558737</x:v>
      </x:c>
      <x:c r="J406" s="119" t="n">
        <x:f>ROUND(INDEX(X406:AY406,1,(D406-1)*4+2)*'难度参数'!$E$28*'章节与怪物'!$E$17,0)</x:f>
        <x:v>91106</x:v>
      </x:c>
      <x:c r="K406" s="119" t="n">
        <x:f>SUM(AA406,AE406,AI406,AM406,AQ406,AU406,AY406)</x:f>
        <x:v>7232</x:v>
      </x:c>
      <x:c r="L406" s="62" t="n">
        <x:f>H406*(ROUNDUP('难度参数'!$E$24/('难度参数'!$E$26*'难度参数'!$E$27),0)*'难度参数'!$E$26)/60</x:f>
        <x:v>3.5733333333333333</x:v>
      </x:c>
      <x:c r="M406" s="62" t="n">
        <x:f>L406+D406*('难度参数'!$E$49+'难度参数'!$E$50)/60</x:f>
        <x:v>4.74</x:v>
      </x:c>
      <x:c r="N406" s="119" t="n">
        <x:f>ROUNDDOWN(('经济参数'!$E$20+A406*'经济参数'!$E$21)*G406,0)</x:f>
        <x:v>8180</x:v>
      </x:c>
      <x:c r="O406" s="119" t="n">
        <x:f>ROUNDDOWN(MIN('经济参数'!$E$24,'经济参数'!$E$22+A406*'经济参数'!$E$23)*G406,0)</x:f>
        <x:v>0</x:v>
      </x:c>
      <x:c r="P406" s="119" t="n">
        <x:f>ROUNDDOWN((IF(A406&gt;='材料与任务'!$E$31,'材料与任务'!$E$32,IF(A406&gt;='材料与任务'!$E$25,'材料与任务'!$E$26,IF(A406&gt;='材料与任务'!$E$19,'材料与任务'!$E$20,IF(A406&gt;='材料与任务'!$E$13,'材料与任务'!$E$14,'材料与任务'!$E$8)))))*G406,0)</x:f>
        <x:v>6</x:v>
      </x:c>
      <x:c r="Q406" s="119" t="n">
        <x:f>ROUNDDOWN((IF(A406&gt;='材料与任务'!$E$31,'材料与任务'!$E$33,IF(A406&gt;='材料与任务'!$E$25,'材料与任务'!$E$27,IF(A406&gt;='材料与任务'!$E$19,'材料与任务'!$E$21,IF(A406&gt;='材料与任务'!$E$13,'材料与任务'!$E$15,'材料与任务'!$E$9)))))*G406,0)</x:f>
        <x:v>3</x:v>
      </x:c>
      <x:c r="R406" s="110" t="n">
        <x:f>'装备掉落'!$B$38</x:f>
        <x:v>0.6872058758851213</x:v>
      </x:c>
      <x:c r="S406" s="119" t="n">
        <x:f>MAX(IF(VLOOKUP(A406,'装备掉落'!$A$29:$H$34,2,TRUE)&gt;0,1,0),IF(VLOOKUP(A406,'装备掉落'!$A$29:$H$34,3,TRUE)&gt;0,2,0),IF(VLOOKUP(A406,'装备掉落'!$A$29:$H$34,4,TRUE)&gt;0,3,0),IF(VLOOKUP(A406,'装备掉落'!$A$29:$H$34,5,TRUE)&gt;0,4,0),IF(VLOOKUP(A406,'装备掉落'!$A$29:$H$34,6,TRUE)&gt;0,5,0),IF(VLOOKUP(A406,'装备掉落'!$A$29:$H$34,7,TRUE)&gt;0,6,0),IF(VLOOKUP(A406,'装备掉落'!$A$29:$H$34,8,TRUE)&gt;0,7,0))</x:f>
        <x:v>7</x:v>
      </x:c>
      <x:c r="T406" s="119" t="n">
        <x:f>MIN(7,S406+'经济参数'!$E$70)</x:f>
        <x:v>7</x:v>
      </x:c>
      <x:c r="U406" s="119" t="n">
        <x:f>MIN(7,S406+'经济参数'!$E$71)</x:f>
        <x:v>7</x:v>
      </x:c>
      <x:c r="V406" s="119" t="n">
        <x:f>IF(H406&gt;=('难度参数'!$E$52),1,0)+IF(H406&gt;=('难度参数'!$E$52+'难度参数'!$E$53),1,0)+IF(H406&gt;=('难度参数'!$E$52+'难度参数'!$E$53+'难度参数'!$E$54),1,0)+IF(H406&gt;=('难度参数'!$E$52+'难度参数'!$E$53+'难度参数'!$E$54+'难度参数'!$E$55),1,0)+IF(H406&gt;=('难度参数'!$E$52+'难度参数'!$E$53+'难度参数'!$E$54+'难度参数'!$E$55+'难度参数'!$E$56),1,0)+IF(H406&gt;=('难度参数'!$E$52+'难度参数'!$E$53+'难度参数'!$E$54+'难度参数'!$E$55+'难度参数'!$E$56+'难度参数'!$E$57),1,0)</x:f>
        <x:v>6</x:v>
      </x:c>
      <x:c r="W406" s="62" t="str">
        <x:f>IF(L406&gt;'难度参数'!$E$51,"仅出怪已超目标","还需实测")</x:f>
        <x:v>仅出怪已超目标</x:v>
      </x:c>
      <x:c r="X406" s="119" t="n">
        <x:f>IF(1&gt;D406,0,MAX(2,MIN('难度参数'!$E$12,ROUND(('难度参数'!$E$18*POWER(A406,'难度参数'!$E$19)/D406*(0.85+0.3*(1-1)/MAX(1,D406-1))),0)+F406)))</x:f>
        <x:v>33</x:v>
      </x:c>
      <x:c r="Y406" s="119" t="n">
        <x:f>IF(1&gt;D406,0,ROUND(('难度参数'!$E$13*POWER(A406,'难度参数'!$E$20)*MIN('难度参数'!$E$23,1+MAX(0,A406-'难度参数'!$E$21)*'难度参数'!$E$22))*(36+1*7)/(36+7*(D406+1)/2)*E406,0))</x:f>
        <x:v>6778</x:v>
      </x:c>
      <x:c r="Z406" s="119" t="n">
        <x:f>IF(X406=0,0,(X406-IF(1=D406,1,0))*ROUND(Y406*VLOOKUP(INDEX('章节与怪物'!$E$31:$K$37,B406,1),'章节与怪物'!$A$41:$F$44,2,FALSE),0)+IF(1=D406,ROUND(Y406*'难度参数'!$E$28*'章节与怪物'!$E$17,0),0))</x:f>
        <x:v>223674</x:v>
      </x:c>
      <x:c r="AA406" s="119" t="n">
        <x:f>IF(X406=0,0,(X406-IF(1=D406,1,0))*VLOOKUP(INDEX('章节与怪物'!$E$31:$K$37,B406,1),'章节与怪物'!$A$41:$F$44,4,FALSE)+IF(1=D406,'难度参数'!$E$30,0))</x:f>
        <x:v>594</x:v>
      </x:c>
      <x:c r="AB406" s="119" t="n">
        <x:f>IF(2&gt;D406,0,MAX(2,MIN('难度参数'!$E$12,ROUND(('难度参数'!$E$18*POWER(A406,'难度参数'!$E$19)/D406*(0.85+0.3*(2-1)/MAX(1,D406-1))),0)+F406)))</x:f>
        <x:v>35</x:v>
      </x:c>
      <x:c r="AC406" s="119" t="n">
        <x:f>IF(2&gt;D406,0,ROUND(('难度参数'!$E$13*POWER(A406,'难度参数'!$E$20)*MIN('难度参数'!$E$23,1+MAX(0,A406-'难度参数'!$E$21)*'难度参数'!$E$22))*(36+2*7)/(36+7*(D406+1)/2)*E406,0))</x:f>
        <x:v>7881</x:v>
      </x:c>
      <x:c r="AD406" s="119" t="n">
        <x:f>IF(AB406=0,0,(AB406-IF(2=D406,1,0))*ROUND(AC406*VLOOKUP(INDEX('章节与怪物'!$E$31:$K$37,B406,2),'章节与怪物'!$A$41:$F$44,2,FALSE),0)+IF(2=D406,ROUND(AC406*'难度参数'!$E$28*'章节与怪物'!$E$17,0),0))</x:f>
        <x:v>198590</x:v>
      </x:c>
      <x:c r="AE406" s="119" t="n">
        <x:f>IF(AB406=0,0,(AB406-IF(2=D406,1,0))*VLOOKUP(INDEX('章节与怪物'!$E$31:$K$37,B406,2),'章节与怪物'!$A$41:$F$44,4,FALSE)+IF(2=D406,'难度参数'!$E$30,0))</x:f>
        <x:v>700</x:v>
      </x:c>
      <x:c r="AF406" s="119" t="n">
        <x:f>IF(3&gt;D406,0,MAX(2,MIN('难度参数'!$E$12,ROUND(('难度参数'!$E$18*POWER(A406,'难度参数'!$E$19)/D406*(0.85+0.3*(3-1)/MAX(1,D406-1))),0)+F406)))</x:f>
        <x:v>36</x:v>
      </x:c>
      <x:c r="AG406" s="119" t="n">
        <x:f>IF(3&gt;D406,0,ROUND(('难度参数'!$E$13*POWER(A406,'难度参数'!$E$20)*MIN('难度参数'!$E$23,1+MAX(0,A406-'难度参数'!$E$21)*'难度参数'!$E$22))*(36+3*7)/(36+7*(D406+1)/2)*E406,0))</x:f>
        <x:v>8985</x:v>
      </x:c>
      <x:c r="AH406" s="119" t="n">
        <x:f>IF(AF406=0,0,(AF406-IF(3=D406,1,0))*ROUND(AG406*VLOOKUP(INDEX('章节与怪物'!$E$31:$K$37,B406,3),'章节与怪物'!$A$41:$F$44,2,FALSE),0)+IF(3=D406,ROUND(AG406*'难度参数'!$E$28*'章节与怪物'!$E$17,0),0))</x:f>
        <x:v>549900</x:v>
      </x:c>
      <x:c r="AI406" s="119" t="n">
        <x:f>IF(AF406=0,0,(AF406-IF(3=D406,1,0))*VLOOKUP(INDEX('章节与怪物'!$E$31:$K$37,B406,3),'章节与怪物'!$A$41:$F$44,4,FALSE)+IF(3=D406,'难度参数'!$E$30,0))</x:f>
        <x:v>1008</x:v>
      </x:c>
      <x:c r="AJ406" s="119" t="n">
        <x:f>IF(4&gt;D406,0,MAX(2,MIN('难度参数'!$E$12,ROUND(('难度参数'!$E$18*POWER(A406,'难度参数'!$E$19)/D406*(0.85+0.3*(4-1)/MAX(1,D406-1))),0)+F406)))</x:f>
        <x:v>38</x:v>
      </x:c>
      <x:c r="AK406" s="119" t="n">
        <x:f>IF(4&gt;D406,0,ROUND(('难度参数'!$E$13*POWER(A406,'难度参数'!$E$20)*MIN('难度参数'!$E$23,1+MAX(0,A406-'难度参数'!$E$21)*'难度参数'!$E$22))*(36+4*7)/(36+7*(D406+1)/2)*E406,0))</x:f>
        <x:v>10088</x:v>
      </x:c>
      <x:c r="AL406" s="119" t="n">
        <x:f>IF(AJ406=0,0,(AJ406-IF(4=D406,1,0))*ROUND(AK406*VLOOKUP(INDEX('章节与怪物'!$E$31:$K$37,B406,4),'章节与怪物'!$A$41:$F$44,2,FALSE),0)+IF(4=D406,ROUND(AK406*'难度参数'!$E$28*'章节与怪物'!$E$17,0),0))</x:f>
        <x:v>517522</x:v>
      </x:c>
      <x:c r="AM406" s="119" t="n">
        <x:f>IF(AJ406=0,0,(AJ406-IF(4=D406,1,0))*VLOOKUP(INDEX('章节与怪物'!$E$31:$K$37,B406,4),'章节与怪物'!$A$41:$F$44,4,FALSE)+IF(4=D406,'难度参数'!$E$30,0))</x:f>
        <x:v>1292</x:v>
      </x:c>
      <x:c r="AN406" s="119" t="n">
        <x:f>IF(5&gt;D406,0,MAX(2,MIN('难度参数'!$E$12,ROUND(('难度参数'!$E$18*POWER(A406,'难度参数'!$E$19)/D406*(0.85+0.3*(5-1)/MAX(1,D406-1))),0)+F406)))</x:f>
        <x:v>40</x:v>
      </x:c>
      <x:c r="AO406" s="119" t="n">
        <x:f>IF(5&gt;D406,0,ROUND(('难度参数'!$E$13*POWER(A406,'难度参数'!$E$20)*MIN('难度参数'!$E$23,1+MAX(0,A406-'难度参数'!$E$21)*'难度参数'!$E$22))*(36+5*7)/(36+7*(D406+1)/2)*E406,0))</x:f>
        <x:v>11192</x:v>
      </x:c>
      <x:c r="AP406" s="119" t="n">
        <x:f>IF(AN406=0,0,(AN406-IF(5=D406,1,0))*ROUND(AO406*VLOOKUP(INDEX('章节与怪物'!$E$31:$K$37,B406,5),'章节与怪物'!$A$41:$F$44,2,FALSE),0)+IF(5=D406,ROUND(AO406*'难度参数'!$E$28*'章节与怪物'!$E$17,0),0))</x:f>
        <x:v>322320</x:v>
      </x:c>
      <x:c r="AQ406" s="119" t="n">
        <x:f>IF(AN406=0,0,(AN406-IF(5=D406,1,0))*VLOOKUP(INDEX('章节与怪物'!$E$31:$K$37,B406,5),'章节与怪物'!$A$41:$F$44,4,FALSE)+IF(5=D406,'难度参数'!$E$30,0))</x:f>
        <x:v>800</x:v>
      </x:c>
      <x:c r="AR406" s="119" t="n">
        <x:f>IF(6&gt;D406,0,MAX(2,MIN('难度参数'!$E$12,ROUND(('难度参数'!$E$18*POWER(A406,'难度参数'!$E$19)/D406*(0.85+0.3*(6-1)/MAX(1,D406-1))),0)+F406)))</x:f>
        <x:v>42</x:v>
      </x:c>
      <x:c r="AS406" s="119" t="n">
        <x:f>IF(6&gt;D406,0,ROUND(('难度参数'!$E$13*POWER(A406,'难度参数'!$E$20)*MIN('难度参数'!$E$23,1+MAX(0,A406-'难度参数'!$E$21)*'难度参数'!$E$22))*(36+6*7)/(36+7*(D406+1)/2)*E406,0))</x:f>
        <x:v>12295</x:v>
      </x:c>
      <x:c r="AT406" s="119" t="n">
        <x:f>IF(AR406=0,0,(AR406-IF(6=D406,1,0))*ROUND(AS406*VLOOKUP(INDEX('章节与怪物'!$E$31:$K$37,B406,6),'章节与怪物'!$A$41:$F$44,2,FALSE),0)+IF(6=D406,ROUND(AS406*'难度参数'!$E$28*'章节与怪物'!$E$17,0),0))</x:f>
        <x:v>877884</x:v>
      </x:c>
      <x:c r="AU406" s="119" t="n">
        <x:f>IF(AR406=0,0,(AR406-IF(6=D406,1,0))*VLOOKUP(INDEX('章节与怪物'!$E$31:$K$37,B406,6),'章节与怪物'!$A$41:$F$44,4,FALSE)+IF(6=D406,'难度参数'!$E$30,0))</x:f>
        <x:v>1176</x:v>
      </x:c>
      <x:c r="AV406" s="119" t="n">
        <x:f>IF(7&gt;D406,0,MAX(2,MIN('难度参数'!$E$12,ROUND(('难度参数'!$E$18*POWER(A406,'难度参数'!$E$19)/D406*(0.85+0.3*(7-1)/MAX(1,D406-1))),0)+F406)))</x:f>
        <x:v>44</x:v>
      </x:c>
      <x:c r="AW406" s="119" t="n">
        <x:f>IF(7&gt;D406,0,ROUND(('难度参数'!$E$13*POWER(A406,'难度参数'!$E$20)*MIN('难度参数'!$E$23,1+MAX(0,A406-'难度参数'!$E$21)*'难度参数'!$E$22))*(36+7*7)/(36+7*(D406+1)/2)*E406,0))</x:f>
        <x:v>13398</x:v>
      </x:c>
      <x:c r="AX406" s="119" t="n">
        <x:f>IF(AV406=0,0,(AV406-IF(7=D406,1,0))*ROUND(AW406*VLOOKUP(INDEX('章节与怪物'!$E$31:$K$37,B406,7),'章节与怪物'!$A$41:$F$44,2,FALSE),0)+IF(7=D406,ROUND(AW406*'难度参数'!$E$28*'章节与怪物'!$E$17,0),0))</x:f>
        <x:v>868847</x:v>
      </x:c>
      <x:c r="AY406" s="119" t="n">
        <x:f>IF(AV406=0,0,(AV406-IF(7=D406,1,0))*VLOOKUP(INDEX('章节与怪物'!$E$31:$K$37,B406,7),'章节与怪物'!$A$41:$F$44,4,FALSE)+IF(7=D406,'难度参数'!$E$30,0))</x:f>
        <x:v>1662</x:v>
      </x:c>
    </x:row>
    <x:row r="407" ht="23" customHeight="1">
      <x:c r="A407" s="119" t="n">
        <x:v>401</x:v>
      </x:c>
      <x:c r="B407" s="119" t="n">
        <x:f>MOD(INT((A407-1)/5),7)+1</x:f>
        <x:v>4</x:v>
      </x:c>
      <x:c r="C407" s="62" t="str">
        <x:f>INDEX('章节与怪物'!$B$31:$B$37,B407)</x:f>
        <x:v>翠野边城</x:v>
      </x:c>
      <x:c r="D407" s="119" t="n">
        <x:f>MIN('难度参数'!$E$8,MAX('难度参数'!$E$7,A407))</x:f>
        <x:v>7</x:v>
      </x:c>
      <x:c r="E407" s="106" t="n">
        <x:v>1</x:v>
      </x:c>
      <x:c r="F407" s="106" t="n">
        <x:v>0</x:v>
      </x:c>
      <x:c r="G407" s="106" t="n">
        <x:v>1</x:v>
      </x:c>
      <x:c r="H407" s="119" t="n">
        <x:f>SUM(X407,AB407,AF407,AJ407,AN407,AR407,AV407)</x:f>
        <x:v>268</x:v>
      </x:c>
      <x:c r="I407" s="119" t="n">
        <x:f>SUM(Z407,AD407,AH407,AL407,AP407,AT407,AX407)</x:f>
        <x:v>3198418</x:v>
      </x:c>
      <x:c r="J407" s="119" t="n">
        <x:f>ROUND(INDEX(X407:AY407,1,(D407-1)*4+2)*'难度参数'!$E$28*'章节与怪物'!$E$17,0)</x:f>
        <x:v>91276</x:v>
      </x:c>
      <x:c r="K407" s="119" t="n">
        <x:f>SUM(AA407,AE407,AI407,AM407,AQ407,AU407,AY407)</x:f>
        <x:v>6812</x:v>
      </x:c>
      <x:c r="L407" s="62" t="n">
        <x:f>H407*(ROUNDUP('难度参数'!$E$24/('难度参数'!$E$26*'难度参数'!$E$27),0)*'难度参数'!$E$26)/60</x:f>
        <x:v>3.5733333333333333</x:v>
      </x:c>
      <x:c r="M407" s="62" t="n">
        <x:f>L407+D407*('难度参数'!$E$49+'难度参数'!$E$50)/60</x:f>
        <x:v>4.74</x:v>
      </x:c>
      <x:c r="N407" s="119" t="n">
        <x:f>ROUNDDOWN(('经济参数'!$E$20+A407*'经济参数'!$E$21)*G407,0)</x:f>
        <x:v>8200</x:v>
      </x:c>
      <x:c r="O407" s="119" t="n">
        <x:f>ROUNDDOWN(MIN('经济参数'!$E$24,'经济参数'!$E$22+A407*'经济参数'!$E$23)*G407,0)</x:f>
        <x:v>0</x:v>
      </x:c>
      <x:c r="P407" s="119" t="n">
        <x:f>ROUNDDOWN((IF(A407&gt;='材料与任务'!$E$31,'材料与任务'!$E$32,IF(A407&gt;='材料与任务'!$E$25,'材料与任务'!$E$26,IF(A407&gt;='材料与任务'!$E$19,'材料与任务'!$E$20,IF(A407&gt;='材料与任务'!$E$13,'材料与任务'!$E$14,'材料与任务'!$E$8)))))*G407,0)</x:f>
        <x:v>6</x:v>
      </x:c>
      <x:c r="Q407" s="119" t="n">
        <x:f>ROUNDDOWN((IF(A407&gt;='材料与任务'!$E$31,'材料与任务'!$E$33,IF(A407&gt;='材料与任务'!$E$25,'材料与任务'!$E$27,IF(A407&gt;='材料与任务'!$E$19,'材料与任务'!$E$21,IF(A407&gt;='材料与任务'!$E$13,'材料与任务'!$E$15,'材料与任务'!$E$9)))))*G407,0)</x:f>
        <x:v>3</x:v>
      </x:c>
      <x:c r="R407" s="110" t="n">
        <x:f>'装备掉落'!$B$38</x:f>
        <x:v>0.6872058758851213</x:v>
      </x:c>
      <x:c r="S407" s="119" t="n">
        <x:f>MAX(IF(VLOOKUP(A407,'装备掉落'!$A$29:$H$34,2,TRUE)&gt;0,1,0),IF(VLOOKUP(A407,'装备掉落'!$A$29:$H$34,3,TRUE)&gt;0,2,0),IF(VLOOKUP(A407,'装备掉落'!$A$29:$H$34,4,TRUE)&gt;0,3,0),IF(VLOOKUP(A407,'装备掉落'!$A$29:$H$34,5,TRUE)&gt;0,4,0),IF(VLOOKUP(A407,'装备掉落'!$A$29:$H$34,6,TRUE)&gt;0,5,0),IF(VLOOKUP(A407,'装备掉落'!$A$29:$H$34,7,TRUE)&gt;0,6,0),IF(VLOOKUP(A407,'装备掉落'!$A$29:$H$34,8,TRUE)&gt;0,7,0))</x:f>
        <x:v>7</x:v>
      </x:c>
      <x:c r="T407" s="119" t="n">
        <x:f>MIN(7,S407+'经济参数'!$E$70)</x:f>
        <x:v>7</x:v>
      </x:c>
      <x:c r="U407" s="119" t="n">
        <x:f>MIN(7,S407+'经济参数'!$E$71)</x:f>
        <x:v>7</x:v>
      </x:c>
      <x:c r="V407" s="119" t="n">
        <x:f>IF(H407&gt;=('难度参数'!$E$52),1,0)+IF(H407&gt;=('难度参数'!$E$52+'难度参数'!$E$53),1,0)+IF(H407&gt;=('难度参数'!$E$52+'难度参数'!$E$53+'难度参数'!$E$54),1,0)+IF(H407&gt;=('难度参数'!$E$52+'难度参数'!$E$53+'难度参数'!$E$54+'难度参数'!$E$55),1,0)+IF(H407&gt;=('难度参数'!$E$52+'难度参数'!$E$53+'难度参数'!$E$54+'难度参数'!$E$55+'难度参数'!$E$56),1,0)+IF(H407&gt;=('难度参数'!$E$52+'难度参数'!$E$53+'难度参数'!$E$54+'难度参数'!$E$55+'难度参数'!$E$56+'难度参数'!$E$57),1,0)</x:f>
        <x:v>6</x:v>
      </x:c>
      <x:c r="W407" s="62" t="str">
        <x:f>IF(L407&gt;'难度参数'!$E$51,"仅出怪已超目标","还需实测")</x:f>
        <x:v>仅出怪已超目标</x:v>
      </x:c>
      <x:c r="X407" s="119" t="n">
        <x:f>IF(1&gt;D407,0,MAX(2,MIN('难度参数'!$E$12,ROUND(('难度参数'!$E$18*POWER(A407,'难度参数'!$E$19)/D407*(0.85+0.3*(1-1)/MAX(1,D407-1))),0)+F407)))</x:f>
        <x:v>33</x:v>
      </x:c>
      <x:c r="Y407" s="119" t="n">
        <x:f>IF(1&gt;D407,0,ROUND(('难度参数'!$E$13*POWER(A407,'难度参数'!$E$20)*MIN('难度参数'!$E$23,1+MAX(0,A407-'难度参数'!$E$21)*'难度参数'!$E$22))*(36+1*7)/(36+7*(D407+1)/2)*E407,0))</x:f>
        <x:v>6790</x:v>
      </x:c>
      <x:c r="Z407" s="119" t="n">
        <x:f>IF(X407=0,0,(X407-IF(1=D407,1,0))*ROUND(Y407*VLOOKUP(INDEX('章节与怪物'!$E$31:$K$37,B407,1),'章节与怪物'!$A$41:$F$44,2,FALSE),0)+IF(1=D407,ROUND(Y407*'难度参数'!$E$28*'章节与怪物'!$E$17,0),0))</x:f>
        <x:v>161337</x:v>
      </x:c>
      <x:c r="AA407" s="119" t="n">
        <x:f>IF(X407=0,0,(X407-IF(1=D407,1,0))*VLOOKUP(INDEX('章节与怪物'!$E$31:$K$37,B407,1),'章节与怪物'!$A$41:$F$44,4,FALSE)+IF(1=D407,'难度参数'!$E$30,0))</x:f>
        <x:v>660</x:v>
      </x:c>
      <x:c r="AB407" s="119" t="n">
        <x:f>IF(2&gt;D407,0,MAX(2,MIN('难度参数'!$E$12,ROUND(('难度参数'!$E$18*POWER(A407,'难度参数'!$E$19)/D407*(0.85+0.3*(2-1)/MAX(1,D407-1))),0)+F407)))</x:f>
        <x:v>35</x:v>
      </x:c>
      <x:c r="AC407" s="119" t="n">
        <x:f>IF(2&gt;D407,0,ROUND(('难度参数'!$E$13*POWER(A407,'难度参数'!$E$20)*MIN('难度参数'!$E$23,1+MAX(0,A407-'难度参数'!$E$21)*'难度参数'!$E$22))*(36+2*7)/(36+7*(D407+1)/2)*E407,0))</x:f>
        <x:v>7896</x:v>
      </x:c>
      <x:c r="AD407" s="119" t="n">
        <x:f>IF(AB407=0,0,(AB407-IF(2=D407,1,0))*ROUND(AC407*VLOOKUP(INDEX('章节与怪物'!$E$31:$K$37,B407,2),'章节与怪物'!$A$41:$F$44,2,FALSE),0)+IF(2=D407,ROUND(AC407*'难度参数'!$E$28*'章节与怪物'!$E$17,0),0))</x:f>
        <x:v>276360</x:v>
      </x:c>
      <x:c r="AE407" s="119" t="n">
        <x:f>IF(AB407=0,0,(AB407-IF(2=D407,1,0))*VLOOKUP(INDEX('章节与怪物'!$E$31:$K$37,B407,2),'章节与怪物'!$A$41:$F$44,4,FALSE)+IF(2=D407,'难度参数'!$E$30,0))</x:f>
        <x:v>630</x:v>
      </x:c>
      <x:c r="AF407" s="119" t="n">
        <x:f>IF(3&gt;D407,0,MAX(2,MIN('难度参数'!$E$12,ROUND(('难度参数'!$E$18*POWER(A407,'难度参数'!$E$19)/D407*(0.85+0.3*(3-1)/MAX(1,D407-1))),0)+F407)))</x:f>
        <x:v>36</x:v>
      </x:c>
      <x:c r="AG407" s="119" t="n">
        <x:f>IF(3&gt;D407,0,ROUND(('难度参数'!$E$13*POWER(A407,'难度参数'!$E$20)*MIN('难度参数'!$E$23,1+MAX(0,A407-'难度参数'!$E$21)*'难度参数'!$E$22))*(36+3*7)/(36+7*(D407+1)/2)*E407,0))</x:f>
        <x:v>9001</x:v>
      </x:c>
      <x:c r="AH407" s="119" t="n">
        <x:f>IF(AF407=0,0,(AF407-IF(3=D407,1,0))*ROUND(AG407*VLOOKUP(INDEX('章节与怪物'!$E$31:$K$37,B407,3),'章节与怪物'!$A$41:$F$44,2,FALSE),0)+IF(3=D407,ROUND(AG407*'难度参数'!$E$28*'章节与怪物'!$E$17,0),0))</x:f>
        <x:v>550872</x:v>
      </x:c>
      <x:c r="AI407" s="119" t="n">
        <x:f>IF(AF407=0,0,(AF407-IF(3=D407,1,0))*VLOOKUP(INDEX('章节与怪物'!$E$31:$K$37,B407,3),'章节与怪物'!$A$41:$F$44,4,FALSE)+IF(3=D407,'难度参数'!$E$30,0))</x:f>
        <x:v>1008</x:v>
      </x:c>
      <x:c r="AJ407" s="119" t="n">
        <x:f>IF(4&gt;D407,0,MAX(2,MIN('难度参数'!$E$12,ROUND(('难度参数'!$E$18*POWER(A407,'难度参数'!$E$19)/D407*(0.85+0.3*(4-1)/MAX(1,D407-1))),0)+F407)))</x:f>
        <x:v>38</x:v>
      </x:c>
      <x:c r="AK407" s="119" t="n">
        <x:f>IF(4&gt;D407,0,ROUND(('难度参数'!$E$13*POWER(A407,'难度参数'!$E$20)*MIN('难度参数'!$E$23,1+MAX(0,A407-'难度参数'!$E$21)*'难度参数'!$E$22))*(36+4*7)/(36+7*(D407+1)/2)*E407,0))</x:f>
        <x:v>10106</x:v>
      </x:c>
      <x:c r="AL407" s="119" t="n">
        <x:f>IF(AJ407=0,0,(AJ407-IF(4=D407,1,0))*ROUND(AK407*VLOOKUP(INDEX('章节与怪物'!$E$31:$K$37,B407,4),'章节与怪物'!$A$41:$F$44,2,FALSE),0)+IF(4=D407,ROUND(AK407*'难度参数'!$E$28*'章节与怪物'!$E$17,0),0))</x:f>
        <x:v>518434</x:v>
      </x:c>
      <x:c r="AM407" s="119" t="n">
        <x:f>IF(AJ407=0,0,(AJ407-IF(4=D407,1,0))*VLOOKUP(INDEX('章节与怪物'!$E$31:$K$37,B407,4),'章节与怪物'!$A$41:$F$44,4,FALSE)+IF(4=D407,'难度参数'!$E$30,0))</x:f>
        <x:v>1292</x:v>
      </x:c>
      <x:c r="AN407" s="119" t="n">
        <x:f>IF(5&gt;D407,0,MAX(2,MIN('难度参数'!$E$12,ROUND(('难度参数'!$E$18*POWER(A407,'难度参数'!$E$19)/D407*(0.85+0.3*(5-1)/MAX(1,D407-1))),0)+F407)))</x:f>
        <x:v>40</x:v>
      </x:c>
      <x:c r="AO407" s="119" t="n">
        <x:f>IF(5&gt;D407,0,ROUND(('难度参数'!$E$13*POWER(A407,'难度参数'!$E$20)*MIN('难度参数'!$E$23,1+MAX(0,A407-'难度参数'!$E$21)*'难度参数'!$E$22))*(36+5*7)/(36+7*(D407+1)/2)*E407,0))</x:f>
        <x:v>11212</x:v>
      </x:c>
      <x:c r="AP407" s="119" t="n">
        <x:f>IF(AN407=0,0,(AN407-IF(5=D407,1,0))*ROUND(AO407*VLOOKUP(INDEX('章节与怪物'!$E$31:$K$37,B407,5),'章节与怪物'!$A$41:$F$44,2,FALSE),0)+IF(5=D407,ROUND(AO407*'难度参数'!$E$28*'章节与怪物'!$E$17,0),0))</x:f>
        <x:v>448480</x:v>
      </x:c>
      <x:c r="AQ407" s="119" t="n">
        <x:f>IF(AN407=0,0,(AN407-IF(5=D407,1,0))*VLOOKUP(INDEX('章节与怪物'!$E$31:$K$37,B407,5),'章节与怪物'!$A$41:$F$44,4,FALSE)+IF(5=D407,'难度参数'!$E$30,0))</x:f>
        <x:v>720</x:v>
      </x:c>
      <x:c r="AR407" s="119" t="n">
        <x:f>IF(6&gt;D407,0,MAX(2,MIN('难度参数'!$E$12,ROUND(('难度参数'!$E$18*POWER(A407,'难度参数'!$E$19)/D407*(0.85+0.3*(6-1)/MAX(1,D407-1))),0)+F407)))</x:f>
        <x:v>42</x:v>
      </x:c>
      <x:c r="AS407" s="119" t="n">
        <x:f>IF(6&gt;D407,0,ROUND(('难度参数'!$E$13*POWER(A407,'难度参数'!$E$20)*MIN('难度参数'!$E$23,1+MAX(0,A407-'难度参数'!$E$21)*'难度参数'!$E$22))*(36+6*7)/(36+7*(D407+1)/2)*E407,0))</x:f>
        <x:v>12317</x:v>
      </x:c>
      <x:c r="AT407" s="119" t="n">
        <x:f>IF(AR407=0,0,(AR407-IF(6=D407,1,0))*ROUND(AS407*VLOOKUP(INDEX('章节与怪物'!$E$31:$K$37,B407,6),'章节与怪物'!$A$41:$F$44,2,FALSE),0)+IF(6=D407,ROUND(AS407*'难度参数'!$E$28*'章节与怪物'!$E$17,0),0))</x:f>
        <x:v>372456</x:v>
      </x:c>
      <x:c r="AU407" s="119" t="n">
        <x:f>IF(AR407=0,0,(AR407-IF(6=D407,1,0))*VLOOKUP(INDEX('章节与怪物'!$E$31:$K$37,B407,6),'章节与怪物'!$A$41:$F$44,4,FALSE)+IF(6=D407,'难度参数'!$E$30,0))</x:f>
        <x:v>840</x:v>
      </x:c>
      <x:c r="AV407" s="119" t="n">
        <x:f>IF(7&gt;D407,0,MAX(2,MIN('难度参数'!$E$12,ROUND(('难度参数'!$E$18*POWER(A407,'难度参数'!$E$19)/D407*(0.85+0.3*(7-1)/MAX(1,D407-1))),0)+F407)))</x:f>
        <x:v>44</x:v>
      </x:c>
      <x:c r="AW407" s="119" t="n">
        <x:f>IF(7&gt;D407,0,ROUND(('难度参数'!$E$13*POWER(A407,'难度参数'!$E$20)*MIN('难度参数'!$E$23,1+MAX(0,A407-'难度参数'!$E$21)*'难度参数'!$E$22))*(36+7*7)/(36+7*(D407+1)/2)*E407,0))</x:f>
        <x:v>13423</x:v>
      </x:c>
      <x:c r="AX407" s="119" t="n">
        <x:f>IF(AV407=0,0,(AV407-IF(7=D407,1,0))*ROUND(AW407*VLOOKUP(INDEX('章节与怪物'!$E$31:$K$37,B407,7),'章节与怪物'!$A$41:$F$44,2,FALSE),0)+IF(7=D407,ROUND(AW407*'难度参数'!$E$28*'章节与怪物'!$E$17,0),0))</x:f>
        <x:v>870479</x:v>
      </x:c>
      <x:c r="AY407" s="119" t="n">
        <x:f>IF(AV407=0,0,(AV407-IF(7=D407,1,0))*VLOOKUP(INDEX('章节与怪物'!$E$31:$K$37,B407,7),'章节与怪物'!$A$41:$F$44,4,FALSE)+IF(7=D407,'难度参数'!$E$30,0))</x:f>
        <x:v>1662</x:v>
      </x:c>
    </x:row>
    <x:row r="408" ht="23" customHeight="1">
      <x:c r="A408" s="119" t="n">
        <x:v>402</x:v>
      </x:c>
      <x:c r="B408" s="119" t="n">
        <x:f>MOD(INT((A408-1)/5),7)+1</x:f>
        <x:v>4</x:v>
      </x:c>
      <x:c r="C408" s="62" t="str">
        <x:f>INDEX('章节与怪物'!$B$31:$B$37,B408)</x:f>
        <x:v>翠野边城</x:v>
      </x:c>
      <x:c r="D408" s="119" t="n">
        <x:f>MIN('难度参数'!$E$8,MAX('难度参数'!$E$7,A408))</x:f>
        <x:v>7</x:v>
      </x:c>
      <x:c r="E408" s="106" t="n">
        <x:v>1</x:v>
      </x:c>
      <x:c r="F408" s="106" t="n">
        <x:v>0</x:v>
      </x:c>
      <x:c r="G408" s="106" t="n">
        <x:v>1</x:v>
      </x:c>
      <x:c r="H408" s="119" t="n">
        <x:f>SUM(X408,AB408,AF408,AJ408,AN408,AR408,AV408)</x:f>
        <x:v>269</x:v>
      </x:c>
      <x:c r="I408" s="119" t="n">
        <x:f>SUM(Z408,AD408,AH408,AL408,AP408,AT408,AX408)</x:f>
        <x:v>3219473</x:v>
      </x:c>
      <x:c r="J408" s="119" t="n">
        <x:f>ROUND(INDEX(X408:AY408,1,(D408-1)*4+2)*'难度参数'!$E$28*'章节与怪物'!$E$17,0)</x:f>
        <x:v>91440</x:v>
      </x:c>
      <x:c r="K408" s="119" t="n">
        <x:f>SUM(AA408,AE408,AI408,AM408,AQ408,AU408,AY408)</x:f>
        <x:v>6840</x:v>
      </x:c>
      <x:c r="L408" s="62" t="n">
        <x:f>H408*(ROUNDUP('难度参数'!$E$24/('难度参数'!$E$26*'难度参数'!$E$27),0)*'难度参数'!$E$26)/60</x:f>
        <x:v>3.586666666666667</x:v>
      </x:c>
      <x:c r="M408" s="62" t="n">
        <x:f>L408+D408*('难度参数'!$E$49+'难度参数'!$E$50)/60</x:f>
        <x:v>4.753333333333334</x:v>
      </x:c>
      <x:c r="N408" s="119" t="n">
        <x:f>ROUNDDOWN(('经济参数'!$E$20+A408*'经济参数'!$E$21)*G408,0)</x:f>
        <x:v>8220</x:v>
      </x:c>
      <x:c r="O408" s="119" t="n">
        <x:f>ROUNDDOWN(MIN('经济参数'!$E$24,'经济参数'!$E$22+A408*'经济参数'!$E$23)*G408,0)</x:f>
        <x:v>0</x:v>
      </x:c>
      <x:c r="P408" s="119" t="n">
        <x:f>ROUNDDOWN((IF(A408&gt;='材料与任务'!$E$31,'材料与任务'!$E$32,IF(A408&gt;='材料与任务'!$E$25,'材料与任务'!$E$26,IF(A408&gt;='材料与任务'!$E$19,'材料与任务'!$E$20,IF(A408&gt;='材料与任务'!$E$13,'材料与任务'!$E$14,'材料与任务'!$E$8)))))*G408,0)</x:f>
        <x:v>6</x:v>
      </x:c>
      <x:c r="Q408" s="119" t="n">
        <x:f>ROUNDDOWN((IF(A408&gt;='材料与任务'!$E$31,'材料与任务'!$E$33,IF(A408&gt;='材料与任务'!$E$25,'材料与任务'!$E$27,IF(A408&gt;='材料与任务'!$E$19,'材料与任务'!$E$21,IF(A408&gt;='材料与任务'!$E$13,'材料与任务'!$E$15,'材料与任务'!$E$9)))))*G408,0)</x:f>
        <x:v>3</x:v>
      </x:c>
      <x:c r="R408" s="110" t="n">
        <x:f>'装备掉落'!$B$38</x:f>
        <x:v>0.6872058758851213</x:v>
      </x:c>
      <x:c r="S408" s="119" t="n">
        <x:f>MAX(IF(VLOOKUP(A408,'装备掉落'!$A$29:$H$34,2,TRUE)&gt;0,1,0),IF(VLOOKUP(A408,'装备掉落'!$A$29:$H$34,3,TRUE)&gt;0,2,0),IF(VLOOKUP(A408,'装备掉落'!$A$29:$H$34,4,TRUE)&gt;0,3,0),IF(VLOOKUP(A408,'装备掉落'!$A$29:$H$34,5,TRUE)&gt;0,4,0),IF(VLOOKUP(A408,'装备掉落'!$A$29:$H$34,6,TRUE)&gt;0,5,0),IF(VLOOKUP(A408,'装备掉落'!$A$29:$H$34,7,TRUE)&gt;0,6,0),IF(VLOOKUP(A408,'装备掉落'!$A$29:$H$34,8,TRUE)&gt;0,7,0))</x:f>
        <x:v>7</x:v>
      </x:c>
      <x:c r="T408" s="119" t="n">
        <x:f>MIN(7,S408+'经济参数'!$E$70)</x:f>
        <x:v>7</x:v>
      </x:c>
      <x:c r="U408" s="119" t="n">
        <x:f>MIN(7,S408+'经济参数'!$E$71)</x:f>
        <x:v>7</x:v>
      </x:c>
      <x:c r="V408" s="119" t="n">
        <x:f>IF(H408&gt;=('难度参数'!$E$52),1,0)+IF(H408&gt;=('难度参数'!$E$52+'难度参数'!$E$53),1,0)+IF(H408&gt;=('难度参数'!$E$52+'难度参数'!$E$53+'难度参数'!$E$54),1,0)+IF(H408&gt;=('难度参数'!$E$52+'难度参数'!$E$53+'难度参数'!$E$54+'难度参数'!$E$55),1,0)+IF(H408&gt;=('难度参数'!$E$52+'难度参数'!$E$53+'难度参数'!$E$54+'难度参数'!$E$55+'难度参数'!$E$56),1,0)+IF(H408&gt;=('难度参数'!$E$52+'难度参数'!$E$53+'难度参数'!$E$54+'难度参数'!$E$55+'难度参数'!$E$56+'难度参数'!$E$57),1,0)</x:f>
        <x:v>6</x:v>
      </x:c>
      <x:c r="W408" s="62" t="str">
        <x:f>IF(L408&gt;'难度参数'!$E$51,"仅出怪已超目标","还需实测")</x:f>
        <x:v>仅出怪已超目标</x:v>
      </x:c>
      <x:c r="X408" s="119" t="n">
        <x:f>IF(1&gt;D408,0,MAX(2,MIN('难度参数'!$E$12,ROUND(('难度参数'!$E$18*POWER(A408,'难度参数'!$E$19)/D408*(0.85+0.3*(1-1)/MAX(1,D408-1))),0)+F408)))</x:f>
        <x:v>33</x:v>
      </x:c>
      <x:c r="Y408" s="119" t="n">
        <x:f>IF(1&gt;D408,0,ROUND(('难度参数'!$E$13*POWER(A408,'难度参数'!$E$20)*MIN('难度参数'!$E$23,1+MAX(0,A408-'难度参数'!$E$21)*'难度参数'!$E$22))*(36+1*7)/(36+7*(D408+1)/2)*E408,0))</x:f>
        <x:v>6802</x:v>
      </x:c>
      <x:c r="Z408" s="119" t="n">
        <x:f>IF(X408=0,0,(X408-IF(1=D408,1,0))*ROUND(Y408*VLOOKUP(INDEX('章节与怪物'!$E$31:$K$37,B408,1),'章节与怪物'!$A$41:$F$44,2,FALSE),0)+IF(1=D408,ROUND(Y408*'难度参数'!$E$28*'章节与怪物'!$E$17,0),0))</x:f>
        <x:v>161601</x:v>
      </x:c>
      <x:c r="AA408" s="119" t="n">
        <x:f>IF(X408=0,0,(X408-IF(1=D408,1,0))*VLOOKUP(INDEX('章节与怪物'!$E$31:$K$37,B408,1),'章节与怪物'!$A$41:$F$44,4,FALSE)+IF(1=D408,'难度参数'!$E$30,0))</x:f>
        <x:v>660</x:v>
      </x:c>
      <x:c r="AB408" s="119" t="n">
        <x:f>IF(2&gt;D408,0,MAX(2,MIN('难度参数'!$E$12,ROUND(('难度参数'!$E$18*POWER(A408,'难度参数'!$E$19)/D408*(0.85+0.3*(2-1)/MAX(1,D408-1))),0)+F408)))</x:f>
        <x:v>35</x:v>
      </x:c>
      <x:c r="AC408" s="119" t="n">
        <x:f>IF(2&gt;D408,0,ROUND(('难度参数'!$E$13*POWER(A408,'难度参数'!$E$20)*MIN('难度参数'!$E$23,1+MAX(0,A408-'难度参数'!$E$21)*'难度参数'!$E$22))*(36+2*7)/(36+7*(D408+1)/2)*E408,0))</x:f>
        <x:v>7910</x:v>
      </x:c>
      <x:c r="AD408" s="119" t="n">
        <x:f>IF(AB408=0,0,(AB408-IF(2=D408,1,0))*ROUND(AC408*VLOOKUP(INDEX('章节与怪物'!$E$31:$K$37,B408,2),'章节与怪物'!$A$41:$F$44,2,FALSE),0)+IF(2=D408,ROUND(AC408*'难度参数'!$E$28*'章节与怪物'!$E$17,0),0))</x:f>
        <x:v>276850</x:v>
      </x:c>
      <x:c r="AE408" s="119" t="n">
        <x:f>IF(AB408=0,0,(AB408-IF(2=D408,1,0))*VLOOKUP(INDEX('章节与怪物'!$E$31:$K$37,B408,2),'章节与怪物'!$A$41:$F$44,4,FALSE)+IF(2=D408,'难度参数'!$E$30,0))</x:f>
        <x:v>630</x:v>
      </x:c>
      <x:c r="AF408" s="119" t="n">
        <x:f>IF(3&gt;D408,0,MAX(2,MIN('难度参数'!$E$12,ROUND(('难度参数'!$E$18*POWER(A408,'难度参数'!$E$19)/D408*(0.85+0.3*(3-1)/MAX(1,D408-1))),0)+F408)))</x:f>
        <x:v>37</x:v>
      </x:c>
      <x:c r="AG408" s="119" t="n">
        <x:f>IF(3&gt;D408,0,ROUND(('难度参数'!$E$13*POWER(A408,'难度参数'!$E$20)*MIN('难度参数'!$E$23,1+MAX(0,A408-'难度参数'!$E$21)*'难度参数'!$E$22))*(36+3*7)/(36+7*(D408+1)/2)*E408,0))</x:f>
        <x:v>9017</x:v>
      </x:c>
      <x:c r="AH408" s="119" t="n">
        <x:f>IF(AF408=0,0,(AF408-IF(3=D408,1,0))*ROUND(AG408*VLOOKUP(INDEX('章节与怪物'!$E$31:$K$37,B408,3),'章节与怪物'!$A$41:$F$44,2,FALSE),0)+IF(3=D408,ROUND(AG408*'难度参数'!$E$28*'章节与怪物'!$E$17,0),0))</x:f>
        <x:v>567173</x:v>
      </x:c>
      <x:c r="AI408" s="119" t="n">
        <x:f>IF(AF408=0,0,(AF408-IF(3=D408,1,0))*VLOOKUP(INDEX('章节与怪物'!$E$31:$K$37,B408,3),'章节与怪物'!$A$41:$F$44,4,FALSE)+IF(3=D408,'难度参数'!$E$30,0))</x:f>
        <x:v>1036</x:v>
      </x:c>
      <x:c r="AJ408" s="119" t="n">
        <x:f>IF(4&gt;D408,0,MAX(2,MIN('难度参数'!$E$12,ROUND(('难度参数'!$E$18*POWER(A408,'难度参数'!$E$19)/D408*(0.85+0.3*(4-1)/MAX(1,D408-1))),0)+F408)))</x:f>
        <x:v>38</x:v>
      </x:c>
      <x:c r="AK408" s="119" t="n">
        <x:f>IF(4&gt;D408,0,ROUND(('难度参数'!$E$13*POWER(A408,'难度参数'!$E$20)*MIN('难度参数'!$E$23,1+MAX(0,A408-'难度参数'!$E$21)*'难度参数'!$E$22))*(36+4*7)/(36+7*(D408+1)/2)*E408,0))</x:f>
        <x:v>10125</x:v>
      </x:c>
      <x:c r="AL408" s="119" t="n">
        <x:f>IF(AJ408=0,0,(AJ408-IF(4=D408,1,0))*ROUND(AK408*VLOOKUP(INDEX('章节与怪物'!$E$31:$K$37,B408,4),'章节与怪物'!$A$41:$F$44,2,FALSE),0)+IF(4=D408,ROUND(AK408*'难度参数'!$E$28*'章节与怪物'!$E$17,0),0))</x:f>
        <x:v>519422</x:v>
      </x:c>
      <x:c r="AM408" s="119" t="n">
        <x:f>IF(AJ408=0,0,(AJ408-IF(4=D408,1,0))*VLOOKUP(INDEX('章节与怪物'!$E$31:$K$37,B408,4),'章节与怪物'!$A$41:$F$44,4,FALSE)+IF(4=D408,'难度参数'!$E$30,0))</x:f>
        <x:v>1292</x:v>
      </x:c>
      <x:c r="AN408" s="119" t="n">
        <x:f>IF(5&gt;D408,0,MAX(2,MIN('难度参数'!$E$12,ROUND(('难度参数'!$E$18*POWER(A408,'难度参数'!$E$19)/D408*(0.85+0.3*(5-1)/MAX(1,D408-1))),0)+F408)))</x:f>
        <x:v>40</x:v>
      </x:c>
      <x:c r="AO408" s="119" t="n">
        <x:f>IF(5&gt;D408,0,ROUND(('难度参数'!$E$13*POWER(A408,'难度参数'!$E$20)*MIN('难度参数'!$E$23,1+MAX(0,A408-'难度参数'!$E$21)*'难度参数'!$E$22))*(36+5*7)/(36+7*(D408+1)/2)*E408,0))</x:f>
        <x:v>11232</x:v>
      </x:c>
      <x:c r="AP408" s="119" t="n">
        <x:f>IF(AN408=0,0,(AN408-IF(5=D408,1,0))*ROUND(AO408*VLOOKUP(INDEX('章节与怪物'!$E$31:$K$37,B408,5),'章节与怪物'!$A$41:$F$44,2,FALSE),0)+IF(5=D408,ROUND(AO408*'难度参数'!$E$28*'章节与怪物'!$E$17,0),0))</x:f>
        <x:v>449280</x:v>
      </x:c>
      <x:c r="AQ408" s="119" t="n">
        <x:f>IF(AN408=0,0,(AN408-IF(5=D408,1,0))*VLOOKUP(INDEX('章节与怪物'!$E$31:$K$37,B408,5),'章节与怪物'!$A$41:$F$44,4,FALSE)+IF(5=D408,'难度参数'!$E$30,0))</x:f>
        <x:v>720</x:v>
      </x:c>
      <x:c r="AR408" s="119" t="n">
        <x:f>IF(6&gt;D408,0,MAX(2,MIN('难度参数'!$E$12,ROUND(('难度参数'!$E$18*POWER(A408,'难度参数'!$E$19)/D408*(0.85+0.3*(6-1)/MAX(1,D408-1))),0)+F408)))</x:f>
        <x:v>42</x:v>
      </x:c>
      <x:c r="AS408" s="119" t="n">
        <x:f>IF(6&gt;D408,0,ROUND(('难度参数'!$E$13*POWER(A408,'难度参数'!$E$20)*MIN('难度参数'!$E$23,1+MAX(0,A408-'难度参数'!$E$21)*'难度参数'!$E$22))*(36+6*7)/(36+7*(D408+1)/2)*E408,0))</x:f>
        <x:v>12339</x:v>
      </x:c>
      <x:c r="AT408" s="119" t="n">
        <x:f>IF(AR408=0,0,(AR408-IF(6=D408,1,0))*ROUND(AS408*VLOOKUP(INDEX('章节与怪物'!$E$31:$K$37,B408,6),'章节与怪物'!$A$41:$F$44,2,FALSE),0)+IF(6=D408,ROUND(AS408*'难度参数'!$E$28*'章节与怪物'!$E$17,0),0))</x:f>
        <x:v>373128</x:v>
      </x:c>
      <x:c r="AU408" s="119" t="n">
        <x:f>IF(AR408=0,0,(AR408-IF(6=D408,1,0))*VLOOKUP(INDEX('章节与怪物'!$E$31:$K$37,B408,6),'章节与怪物'!$A$41:$F$44,4,FALSE)+IF(6=D408,'难度参数'!$E$30,0))</x:f>
        <x:v>840</x:v>
      </x:c>
      <x:c r="AV408" s="119" t="n">
        <x:f>IF(7&gt;D408,0,MAX(2,MIN('难度参数'!$E$12,ROUND(('难度参数'!$E$18*POWER(A408,'难度参数'!$E$19)/D408*(0.85+0.3*(7-1)/MAX(1,D408-1))),0)+F408)))</x:f>
        <x:v>44</x:v>
      </x:c>
      <x:c r="AW408" s="119" t="n">
        <x:f>IF(7&gt;D408,0,ROUND(('难度参数'!$E$13*POWER(A408,'难度参数'!$E$20)*MIN('难度参数'!$E$23,1+MAX(0,A408-'难度参数'!$E$21)*'难度参数'!$E$22))*(36+7*7)/(36+7*(D408+1)/2)*E408,0))</x:f>
        <x:v>13447</x:v>
      </x:c>
      <x:c r="AX408" s="119" t="n">
        <x:f>IF(AV408=0,0,(AV408-IF(7=D408,1,0))*ROUND(AW408*VLOOKUP(INDEX('章节与怪物'!$E$31:$K$37,B408,7),'章节与怪物'!$A$41:$F$44,2,FALSE),0)+IF(7=D408,ROUND(AW408*'难度参数'!$E$28*'章节与怪物'!$E$17,0),0))</x:f>
        <x:v>872019</x:v>
      </x:c>
      <x:c r="AY408" s="119" t="n">
        <x:f>IF(AV408=0,0,(AV408-IF(7=D408,1,0))*VLOOKUP(INDEX('章节与怪物'!$E$31:$K$37,B408,7),'章节与怪物'!$A$41:$F$44,4,FALSE)+IF(7=D408,'难度参数'!$E$30,0))</x:f>
        <x:v>1662</x:v>
      </x:c>
    </x:row>
    <x:row r="409" ht="23" customHeight="1">
      <x:c r="A409" s="119" t="n">
        <x:v>403</x:v>
      </x:c>
      <x:c r="B409" s="119" t="n">
        <x:f>MOD(INT((A409-1)/5),7)+1</x:f>
        <x:v>4</x:v>
      </x:c>
      <x:c r="C409" s="62" t="str">
        <x:f>INDEX('章节与怪物'!$B$31:$B$37,B409)</x:f>
        <x:v>翠野边城</x:v>
      </x:c>
      <x:c r="D409" s="119" t="n">
        <x:f>MIN('难度参数'!$E$8,MAX('难度参数'!$E$7,A409))</x:f>
        <x:v>7</x:v>
      </x:c>
      <x:c r="E409" s="106" t="n">
        <x:v>1</x:v>
      </x:c>
      <x:c r="F409" s="106" t="n">
        <x:v>0</x:v>
      </x:c>
      <x:c r="G409" s="106" t="n">
        <x:v>1</x:v>
      </x:c>
      <x:c r="H409" s="119" t="n">
        <x:f>SUM(X409,AB409,AF409,AJ409,AN409,AR409,AV409)</x:f>
        <x:v>269</x:v>
      </x:c>
      <x:c r="I409" s="119" t="n">
        <x:f>SUM(Z409,AD409,AH409,AL409,AP409,AT409,AX409)</x:f>
        <x:v>3225258</x:v>
      </x:c>
      <x:c r="J409" s="119" t="n">
        <x:f>ROUND(INDEX(X409:AY409,1,(D409-1)*4+2)*'难度参数'!$E$28*'章节与怪物'!$E$17,0)</x:f>
        <x:v>91603</x:v>
      </x:c>
      <x:c r="K409" s="119" t="n">
        <x:f>SUM(AA409,AE409,AI409,AM409,AQ409,AU409,AY409)</x:f>
        <x:v>6840</x:v>
      </x:c>
      <x:c r="L409" s="62" t="n">
        <x:f>H409*(ROUNDUP('难度参数'!$E$24/('难度参数'!$E$26*'难度参数'!$E$27),0)*'难度参数'!$E$26)/60</x:f>
        <x:v>3.586666666666667</x:v>
      </x:c>
      <x:c r="M409" s="62" t="n">
        <x:f>L409+D409*('难度参数'!$E$49+'难度参数'!$E$50)/60</x:f>
        <x:v>4.753333333333334</x:v>
      </x:c>
      <x:c r="N409" s="119" t="n">
        <x:f>ROUNDDOWN(('经济参数'!$E$20+A409*'经济参数'!$E$21)*G409,0)</x:f>
        <x:v>8240</x:v>
      </x:c>
      <x:c r="O409" s="119" t="n">
        <x:f>ROUNDDOWN(MIN('经济参数'!$E$24,'经济参数'!$E$22+A409*'经济参数'!$E$23)*G409,0)</x:f>
        <x:v>0</x:v>
      </x:c>
      <x:c r="P409" s="119" t="n">
        <x:f>ROUNDDOWN((IF(A409&gt;='材料与任务'!$E$31,'材料与任务'!$E$32,IF(A409&gt;='材料与任务'!$E$25,'材料与任务'!$E$26,IF(A409&gt;='材料与任务'!$E$19,'材料与任务'!$E$20,IF(A409&gt;='材料与任务'!$E$13,'材料与任务'!$E$14,'材料与任务'!$E$8)))))*G409,0)</x:f>
        <x:v>6</x:v>
      </x:c>
      <x:c r="Q409" s="119" t="n">
        <x:f>ROUNDDOWN((IF(A409&gt;='材料与任务'!$E$31,'材料与任务'!$E$33,IF(A409&gt;='材料与任务'!$E$25,'材料与任务'!$E$27,IF(A409&gt;='材料与任务'!$E$19,'材料与任务'!$E$21,IF(A409&gt;='材料与任务'!$E$13,'材料与任务'!$E$15,'材料与任务'!$E$9)))))*G409,0)</x:f>
        <x:v>3</x:v>
      </x:c>
      <x:c r="R409" s="110" t="n">
        <x:f>'装备掉落'!$B$38</x:f>
        <x:v>0.6872058758851213</x:v>
      </x:c>
      <x:c r="S409" s="119" t="n">
        <x:f>MAX(IF(VLOOKUP(A409,'装备掉落'!$A$29:$H$34,2,TRUE)&gt;0,1,0),IF(VLOOKUP(A409,'装备掉落'!$A$29:$H$34,3,TRUE)&gt;0,2,0),IF(VLOOKUP(A409,'装备掉落'!$A$29:$H$34,4,TRUE)&gt;0,3,0),IF(VLOOKUP(A409,'装备掉落'!$A$29:$H$34,5,TRUE)&gt;0,4,0),IF(VLOOKUP(A409,'装备掉落'!$A$29:$H$34,6,TRUE)&gt;0,5,0),IF(VLOOKUP(A409,'装备掉落'!$A$29:$H$34,7,TRUE)&gt;0,6,0),IF(VLOOKUP(A409,'装备掉落'!$A$29:$H$34,8,TRUE)&gt;0,7,0))</x:f>
        <x:v>7</x:v>
      </x:c>
      <x:c r="T409" s="119" t="n">
        <x:f>MIN(7,S409+'经济参数'!$E$70)</x:f>
        <x:v>7</x:v>
      </x:c>
      <x:c r="U409" s="119" t="n">
        <x:f>MIN(7,S409+'经济参数'!$E$71)</x:f>
        <x:v>7</x:v>
      </x:c>
      <x:c r="V409" s="119" t="n">
        <x:f>IF(H409&gt;=('难度参数'!$E$52),1,0)+IF(H409&gt;=('难度参数'!$E$52+'难度参数'!$E$53),1,0)+IF(H409&gt;=('难度参数'!$E$52+'难度参数'!$E$53+'难度参数'!$E$54),1,0)+IF(H409&gt;=('难度参数'!$E$52+'难度参数'!$E$53+'难度参数'!$E$54+'难度参数'!$E$55),1,0)+IF(H409&gt;=('难度参数'!$E$52+'难度参数'!$E$53+'难度参数'!$E$54+'难度参数'!$E$55+'难度参数'!$E$56),1,0)+IF(H409&gt;=('难度参数'!$E$52+'难度参数'!$E$53+'难度参数'!$E$54+'难度参数'!$E$55+'难度参数'!$E$56+'难度参数'!$E$57),1,0)</x:f>
        <x:v>6</x:v>
      </x:c>
      <x:c r="W409" s="62" t="str">
        <x:f>IF(L409&gt;'难度参数'!$E$51,"仅出怪已超目标","还需实测")</x:f>
        <x:v>仅出怪已超目标</x:v>
      </x:c>
      <x:c r="X409" s="119" t="n">
        <x:f>IF(1&gt;D409,0,MAX(2,MIN('难度参数'!$E$12,ROUND(('难度参数'!$E$18*POWER(A409,'难度参数'!$E$19)/D409*(0.85+0.3*(1-1)/MAX(1,D409-1))),0)+F409)))</x:f>
        <x:v>33</x:v>
      </x:c>
      <x:c r="Y409" s="119" t="n">
        <x:f>IF(1&gt;D409,0,ROUND(('难度参数'!$E$13*POWER(A409,'难度参数'!$E$20)*MIN('难度参数'!$E$23,1+MAX(0,A409-'难度参数'!$E$21)*'难度参数'!$E$22))*(36+1*7)/(36+7*(D409+1)/2)*E409,0))</x:f>
        <x:v>6815</x:v>
      </x:c>
      <x:c r="Z409" s="119" t="n">
        <x:f>IF(X409=0,0,(X409-IF(1=D409,1,0))*ROUND(Y409*VLOOKUP(INDEX('章节与怪物'!$E$31:$K$37,B409,1),'章节与怪物'!$A$41:$F$44,2,FALSE),0)+IF(1=D409,ROUND(Y409*'难度参数'!$E$28*'章节与怪物'!$E$17,0),0))</x:f>
        <x:v>161931</x:v>
      </x:c>
      <x:c r="AA409" s="119" t="n">
        <x:f>IF(X409=0,0,(X409-IF(1=D409,1,0))*VLOOKUP(INDEX('章节与怪物'!$E$31:$K$37,B409,1),'章节与怪物'!$A$41:$F$44,4,FALSE)+IF(1=D409,'难度参数'!$E$30,0))</x:f>
        <x:v>660</x:v>
      </x:c>
      <x:c r="AB409" s="119" t="n">
        <x:f>IF(2&gt;D409,0,MAX(2,MIN('难度参数'!$E$12,ROUND(('难度参数'!$E$18*POWER(A409,'难度参数'!$E$19)/D409*(0.85+0.3*(2-1)/MAX(1,D409-1))),0)+F409)))</x:f>
        <x:v>35</x:v>
      </x:c>
      <x:c r="AC409" s="119" t="n">
        <x:f>IF(2&gt;D409,0,ROUND(('难度参数'!$E$13*POWER(A409,'难度参数'!$E$20)*MIN('难度参数'!$E$23,1+MAX(0,A409-'难度参数'!$E$21)*'难度参数'!$E$22))*(36+2*7)/(36+7*(D409+1)/2)*E409,0))</x:f>
        <x:v>7924</x:v>
      </x:c>
      <x:c r="AD409" s="119" t="n">
        <x:f>IF(AB409=0,0,(AB409-IF(2=D409,1,0))*ROUND(AC409*VLOOKUP(INDEX('章节与怪物'!$E$31:$K$37,B409,2),'章节与怪物'!$A$41:$F$44,2,FALSE),0)+IF(2=D409,ROUND(AC409*'难度参数'!$E$28*'章节与怪物'!$E$17,0),0))</x:f>
        <x:v>277340</x:v>
      </x:c>
      <x:c r="AE409" s="119" t="n">
        <x:f>IF(AB409=0,0,(AB409-IF(2=D409,1,0))*VLOOKUP(INDEX('章节与怪物'!$E$31:$K$37,B409,2),'章节与怪物'!$A$41:$F$44,4,FALSE)+IF(2=D409,'难度参数'!$E$30,0))</x:f>
        <x:v>630</x:v>
      </x:c>
      <x:c r="AF409" s="119" t="n">
        <x:f>IF(3&gt;D409,0,MAX(2,MIN('难度参数'!$E$12,ROUND(('难度参数'!$E$18*POWER(A409,'难度参数'!$E$19)/D409*(0.85+0.3*(3-1)/MAX(1,D409-1))),0)+F409)))</x:f>
        <x:v>37</x:v>
      </x:c>
      <x:c r="AG409" s="119" t="n">
        <x:f>IF(3&gt;D409,0,ROUND(('难度参数'!$E$13*POWER(A409,'难度参数'!$E$20)*MIN('难度参数'!$E$23,1+MAX(0,A409-'难度参数'!$E$21)*'难度参数'!$E$22))*(36+3*7)/(36+7*(D409+1)/2)*E409,0))</x:f>
        <x:v>9033</x:v>
      </x:c>
      <x:c r="AH409" s="119" t="n">
        <x:f>IF(AF409=0,0,(AF409-IF(3=D409,1,0))*ROUND(AG409*VLOOKUP(INDEX('章节与怪物'!$E$31:$K$37,B409,3),'章节与怪物'!$A$41:$F$44,2,FALSE),0)+IF(3=D409,ROUND(AG409*'难度参数'!$E$28*'章节与怪物'!$E$17,0),0))</x:f>
        <x:v>568172</x:v>
      </x:c>
      <x:c r="AI409" s="119" t="n">
        <x:f>IF(AF409=0,0,(AF409-IF(3=D409,1,0))*VLOOKUP(INDEX('章节与怪物'!$E$31:$K$37,B409,3),'章节与怪物'!$A$41:$F$44,4,FALSE)+IF(3=D409,'难度参数'!$E$30,0))</x:f>
        <x:v>1036</x:v>
      </x:c>
      <x:c r="AJ409" s="119" t="n">
        <x:f>IF(4&gt;D409,0,MAX(2,MIN('难度参数'!$E$12,ROUND(('难度参数'!$E$18*POWER(A409,'难度参数'!$E$19)/D409*(0.85+0.3*(4-1)/MAX(1,D409-1))),0)+F409)))</x:f>
        <x:v>38</x:v>
      </x:c>
      <x:c r="AK409" s="119" t="n">
        <x:f>IF(4&gt;D409,0,ROUND(('难度参数'!$E$13*POWER(A409,'难度参数'!$E$20)*MIN('难度参数'!$E$23,1+MAX(0,A409-'难度参数'!$E$21)*'难度参数'!$E$22))*(36+4*7)/(36+7*(D409+1)/2)*E409,0))</x:f>
        <x:v>10143</x:v>
      </x:c>
      <x:c r="AL409" s="119" t="n">
        <x:f>IF(AJ409=0,0,(AJ409-IF(4=D409,1,0))*ROUND(AK409*VLOOKUP(INDEX('章节与怪物'!$E$31:$K$37,B409,4),'章节与怪物'!$A$41:$F$44,2,FALSE),0)+IF(4=D409,ROUND(AK409*'难度参数'!$E$28*'章节与怪物'!$E$17,0),0))</x:f>
        <x:v>520334</x:v>
      </x:c>
      <x:c r="AM409" s="119" t="n">
        <x:f>IF(AJ409=0,0,(AJ409-IF(4=D409,1,0))*VLOOKUP(INDEX('章节与怪物'!$E$31:$K$37,B409,4),'章节与怪物'!$A$41:$F$44,4,FALSE)+IF(4=D409,'难度参数'!$E$30,0))</x:f>
        <x:v>1292</x:v>
      </x:c>
      <x:c r="AN409" s="119" t="n">
        <x:f>IF(5&gt;D409,0,MAX(2,MIN('难度参数'!$E$12,ROUND(('难度参数'!$E$18*POWER(A409,'难度参数'!$E$19)/D409*(0.85+0.3*(5-1)/MAX(1,D409-1))),0)+F409)))</x:f>
        <x:v>40</x:v>
      </x:c>
      <x:c r="AO409" s="119" t="n">
        <x:f>IF(5&gt;D409,0,ROUND(('难度参数'!$E$13*POWER(A409,'难度参数'!$E$20)*MIN('难度参数'!$E$23,1+MAX(0,A409-'难度参数'!$E$21)*'难度参数'!$E$22))*(36+5*7)/(36+7*(D409+1)/2)*E409,0))</x:f>
        <x:v>11252</x:v>
      </x:c>
      <x:c r="AP409" s="119" t="n">
        <x:f>IF(AN409=0,0,(AN409-IF(5=D409,1,0))*ROUND(AO409*VLOOKUP(INDEX('章节与怪物'!$E$31:$K$37,B409,5),'章节与怪物'!$A$41:$F$44,2,FALSE),0)+IF(5=D409,ROUND(AO409*'难度参数'!$E$28*'章节与怪物'!$E$17,0),0))</x:f>
        <x:v>450080</x:v>
      </x:c>
      <x:c r="AQ409" s="119" t="n">
        <x:f>IF(AN409=0,0,(AN409-IF(5=D409,1,0))*VLOOKUP(INDEX('章节与怪物'!$E$31:$K$37,B409,5),'章节与怪物'!$A$41:$F$44,4,FALSE)+IF(5=D409,'难度参数'!$E$30,0))</x:f>
        <x:v>720</x:v>
      </x:c>
      <x:c r="AR409" s="119" t="n">
        <x:f>IF(6&gt;D409,0,MAX(2,MIN('难度参数'!$E$12,ROUND(('难度参数'!$E$18*POWER(A409,'难度参数'!$E$19)/D409*(0.85+0.3*(6-1)/MAX(1,D409-1))),0)+F409)))</x:f>
        <x:v>42</x:v>
      </x:c>
      <x:c r="AS409" s="119" t="n">
        <x:f>IF(6&gt;D409,0,ROUND(('难度参数'!$E$13*POWER(A409,'难度参数'!$E$20)*MIN('难度参数'!$E$23,1+MAX(0,A409-'难度参数'!$E$21)*'难度参数'!$E$22))*(36+6*7)/(36+7*(D409+1)/2)*E409,0))</x:f>
        <x:v>12361</x:v>
      </x:c>
      <x:c r="AT409" s="119" t="n">
        <x:f>IF(AR409=0,0,(AR409-IF(6=D409,1,0))*ROUND(AS409*VLOOKUP(INDEX('章节与怪物'!$E$31:$K$37,B409,6),'章节与怪物'!$A$41:$F$44,2,FALSE),0)+IF(6=D409,ROUND(AS409*'难度参数'!$E$28*'章节与怪物'!$E$17,0),0))</x:f>
        <x:v>373800</x:v>
      </x:c>
      <x:c r="AU409" s="119" t="n">
        <x:f>IF(AR409=0,0,(AR409-IF(6=D409,1,0))*VLOOKUP(INDEX('章节与怪物'!$E$31:$K$37,B409,6),'章节与怪物'!$A$41:$F$44,4,FALSE)+IF(6=D409,'难度参数'!$E$30,0))</x:f>
        <x:v>840</x:v>
      </x:c>
      <x:c r="AV409" s="119" t="n">
        <x:f>IF(7&gt;D409,0,MAX(2,MIN('难度参数'!$E$12,ROUND(('难度参数'!$E$18*POWER(A409,'难度参数'!$E$19)/D409*(0.85+0.3*(7-1)/MAX(1,D409-1))),0)+F409)))</x:f>
        <x:v>44</x:v>
      </x:c>
      <x:c r="AW409" s="119" t="n">
        <x:f>IF(7&gt;D409,0,ROUND(('难度参数'!$E$13*POWER(A409,'难度参数'!$E$20)*MIN('难度参数'!$E$23,1+MAX(0,A409-'难度参数'!$E$21)*'难度参数'!$E$22))*(36+7*7)/(36+7*(D409+1)/2)*E409,0))</x:f>
        <x:v>13471</x:v>
      </x:c>
      <x:c r="AX409" s="119" t="n">
        <x:f>IF(AV409=0,0,(AV409-IF(7=D409,1,0))*ROUND(AW409*VLOOKUP(INDEX('章节与怪物'!$E$31:$K$37,B409,7),'章节与怪物'!$A$41:$F$44,2,FALSE),0)+IF(7=D409,ROUND(AW409*'难度参数'!$E$28*'章节与怪物'!$E$17,0),0))</x:f>
        <x:v>873601</x:v>
      </x:c>
      <x:c r="AY409" s="119" t="n">
        <x:f>IF(AV409=0,0,(AV409-IF(7=D409,1,0))*VLOOKUP(INDEX('章节与怪物'!$E$31:$K$37,B409,7),'章节与怪物'!$A$41:$F$44,4,FALSE)+IF(7=D409,'难度参数'!$E$30,0))</x:f>
        <x:v>1662</x:v>
      </x:c>
    </x:row>
    <x:row r="410" ht="23" customHeight="1">
      <x:c r="A410" s="119" t="n">
        <x:v>404</x:v>
      </x:c>
      <x:c r="B410" s="119" t="n">
        <x:f>MOD(INT((A410-1)/5),7)+1</x:f>
        <x:v>4</x:v>
      </x:c>
      <x:c r="C410" s="62" t="str">
        <x:f>INDEX('章节与怪物'!$B$31:$B$37,B410)</x:f>
        <x:v>翠野边城</x:v>
      </x:c>
      <x:c r="D410" s="119" t="n">
        <x:f>MIN('难度参数'!$E$8,MAX('难度参数'!$E$7,A410))</x:f>
        <x:v>7</x:v>
      </x:c>
      <x:c r="E410" s="106" t="n">
        <x:v>1</x:v>
      </x:c>
      <x:c r="F410" s="106" t="n">
        <x:v>0</x:v>
      </x:c>
      <x:c r="G410" s="106" t="n">
        <x:v>1</x:v>
      </x:c>
      <x:c r="H410" s="119" t="n">
        <x:f>SUM(X410,AB410,AF410,AJ410,AN410,AR410,AV410)</x:f>
        <x:v>270</x:v>
      </x:c>
      <x:c r="I410" s="119" t="n">
        <x:f>SUM(Z410,AD410,AH410,AL410,AP410,AT410,AX410)</x:f>
        <x:v>3244651</x:v>
      </x:c>
      <x:c r="J410" s="119" t="n">
        <x:f>ROUND(INDEX(X410:AY410,1,(D410-1)*4+2)*'难度参数'!$E$28*'章节与怪物'!$E$17,0)</x:f>
        <x:v>91766</x:v>
      </x:c>
      <x:c r="K410" s="119" t="n">
        <x:f>SUM(AA410,AE410,AI410,AM410,AQ410,AU410,AY410)</x:f>
        <x:v>6874</x:v>
      </x:c>
      <x:c r="L410" s="62" t="n">
        <x:f>H410*(ROUNDUP('难度参数'!$E$24/('难度参数'!$E$26*'难度参数'!$E$27),0)*'难度参数'!$E$26)/60</x:f>
        <x:v>3.6</x:v>
      </x:c>
      <x:c r="M410" s="62" t="n">
        <x:f>L410+D410*('难度参数'!$E$49+'难度参数'!$E$50)/60</x:f>
        <x:v>4.766666666666667</x:v>
      </x:c>
      <x:c r="N410" s="119" t="n">
        <x:f>ROUNDDOWN(('经济参数'!$E$20+A410*'经济参数'!$E$21)*G410,0)</x:f>
        <x:v>8260</x:v>
      </x:c>
      <x:c r="O410" s="119" t="n">
        <x:f>ROUNDDOWN(MIN('经济参数'!$E$24,'经济参数'!$E$22+A410*'经济参数'!$E$23)*G410,0)</x:f>
        <x:v>0</x:v>
      </x:c>
      <x:c r="P410" s="119" t="n">
        <x:f>ROUNDDOWN((IF(A410&gt;='材料与任务'!$E$31,'材料与任务'!$E$32,IF(A410&gt;='材料与任务'!$E$25,'材料与任务'!$E$26,IF(A410&gt;='材料与任务'!$E$19,'材料与任务'!$E$20,IF(A410&gt;='材料与任务'!$E$13,'材料与任务'!$E$14,'材料与任务'!$E$8)))))*G410,0)</x:f>
        <x:v>6</x:v>
      </x:c>
      <x:c r="Q410" s="119" t="n">
        <x:f>ROUNDDOWN((IF(A410&gt;='材料与任务'!$E$31,'材料与任务'!$E$33,IF(A410&gt;='材料与任务'!$E$25,'材料与任务'!$E$27,IF(A410&gt;='材料与任务'!$E$19,'材料与任务'!$E$21,IF(A410&gt;='材料与任务'!$E$13,'材料与任务'!$E$15,'材料与任务'!$E$9)))))*G410,0)</x:f>
        <x:v>3</x:v>
      </x:c>
      <x:c r="R410" s="110" t="n">
        <x:f>'装备掉落'!$B$38</x:f>
        <x:v>0.6872058758851213</x:v>
      </x:c>
      <x:c r="S410" s="119" t="n">
        <x:f>MAX(IF(VLOOKUP(A410,'装备掉落'!$A$29:$H$34,2,TRUE)&gt;0,1,0),IF(VLOOKUP(A410,'装备掉落'!$A$29:$H$34,3,TRUE)&gt;0,2,0),IF(VLOOKUP(A410,'装备掉落'!$A$29:$H$34,4,TRUE)&gt;0,3,0),IF(VLOOKUP(A410,'装备掉落'!$A$29:$H$34,5,TRUE)&gt;0,4,0),IF(VLOOKUP(A410,'装备掉落'!$A$29:$H$34,6,TRUE)&gt;0,5,0),IF(VLOOKUP(A410,'装备掉落'!$A$29:$H$34,7,TRUE)&gt;0,6,0),IF(VLOOKUP(A410,'装备掉落'!$A$29:$H$34,8,TRUE)&gt;0,7,0))</x:f>
        <x:v>7</x:v>
      </x:c>
      <x:c r="T410" s="119" t="n">
        <x:f>MIN(7,S410+'经济参数'!$E$70)</x:f>
        <x:v>7</x:v>
      </x:c>
      <x:c r="U410" s="119" t="n">
        <x:f>MIN(7,S410+'经济参数'!$E$71)</x:f>
        <x:v>7</x:v>
      </x:c>
      <x:c r="V410" s="119" t="n">
        <x:f>IF(H410&gt;=('难度参数'!$E$52),1,0)+IF(H410&gt;=('难度参数'!$E$52+'难度参数'!$E$53),1,0)+IF(H410&gt;=('难度参数'!$E$52+'难度参数'!$E$53+'难度参数'!$E$54),1,0)+IF(H410&gt;=('难度参数'!$E$52+'难度参数'!$E$53+'难度参数'!$E$54+'难度参数'!$E$55),1,0)+IF(H410&gt;=('难度参数'!$E$52+'难度参数'!$E$53+'难度参数'!$E$54+'难度参数'!$E$55+'难度参数'!$E$56),1,0)+IF(H410&gt;=('难度参数'!$E$52+'难度参数'!$E$53+'难度参数'!$E$54+'难度参数'!$E$55+'难度参数'!$E$56+'难度参数'!$E$57),1,0)</x:f>
        <x:v>6</x:v>
      </x:c>
      <x:c r="W410" s="62" t="str">
        <x:f>IF(L410&gt;'难度参数'!$E$51,"仅出怪已超目标","还需实测")</x:f>
        <x:v>仅出怪已超目标</x:v>
      </x:c>
      <x:c r="X410" s="119" t="n">
        <x:f>IF(1&gt;D410,0,MAX(2,MIN('难度参数'!$E$12,ROUND(('难度参数'!$E$18*POWER(A410,'难度参数'!$E$19)/D410*(0.85+0.3*(1-1)/MAX(1,D410-1))),0)+F410)))</x:f>
        <x:v>33</x:v>
      </x:c>
      <x:c r="Y410" s="119" t="n">
        <x:f>IF(1&gt;D410,0,ROUND(('难度参数'!$E$13*POWER(A410,'难度参数'!$E$20)*MIN('难度参数'!$E$23,1+MAX(0,A410-'难度参数'!$E$21)*'难度参数'!$E$22))*(36+1*7)/(36+7*(D410+1)/2)*E410,0))</x:f>
        <x:v>6827</x:v>
      </x:c>
      <x:c r="Z410" s="119" t="n">
        <x:f>IF(X410=0,0,(X410-IF(1=D410,1,0))*ROUND(Y410*VLOOKUP(INDEX('章节与怪物'!$E$31:$K$37,B410,1),'章节与怪物'!$A$41:$F$44,2,FALSE),0)+IF(1=D410,ROUND(Y410*'难度参数'!$E$28*'章节与怪物'!$E$17,0),0))</x:f>
        <x:v>162195</x:v>
      </x:c>
      <x:c r="AA410" s="119" t="n">
        <x:f>IF(X410=0,0,(X410-IF(1=D410,1,0))*VLOOKUP(INDEX('章节与怪物'!$E$31:$K$37,B410,1),'章节与怪物'!$A$41:$F$44,4,FALSE)+IF(1=D410,'难度参数'!$E$30,0))</x:f>
        <x:v>660</x:v>
      </x:c>
      <x:c r="AB410" s="119" t="n">
        <x:f>IF(2&gt;D410,0,MAX(2,MIN('难度参数'!$E$12,ROUND(('难度参数'!$E$18*POWER(A410,'难度参数'!$E$19)/D410*(0.85+0.3*(2-1)/MAX(1,D410-1))),0)+F410)))</x:f>
        <x:v>35</x:v>
      </x:c>
      <x:c r="AC410" s="119" t="n">
        <x:f>IF(2&gt;D410,0,ROUND(('难度参数'!$E$13*POWER(A410,'难度参数'!$E$20)*MIN('难度参数'!$E$23,1+MAX(0,A410-'难度参数'!$E$21)*'难度参数'!$E$22))*(36+2*7)/(36+7*(D410+1)/2)*E410,0))</x:f>
        <x:v>7938</x:v>
      </x:c>
      <x:c r="AD410" s="119" t="n">
        <x:f>IF(AB410=0,0,(AB410-IF(2=D410,1,0))*ROUND(AC410*VLOOKUP(INDEX('章节与怪物'!$E$31:$K$37,B410,2),'章节与怪物'!$A$41:$F$44,2,FALSE),0)+IF(2=D410,ROUND(AC410*'难度参数'!$E$28*'章节与怪物'!$E$17,0),0))</x:f>
        <x:v>277830</x:v>
      </x:c>
      <x:c r="AE410" s="119" t="n">
        <x:f>IF(AB410=0,0,(AB410-IF(2=D410,1,0))*VLOOKUP(INDEX('章节与怪物'!$E$31:$K$37,B410,2),'章节与怪物'!$A$41:$F$44,4,FALSE)+IF(2=D410,'难度参数'!$E$30,0))</x:f>
        <x:v>630</x:v>
      </x:c>
      <x:c r="AF410" s="119" t="n">
        <x:f>IF(3&gt;D410,0,MAX(2,MIN('难度参数'!$E$12,ROUND(('难度参数'!$E$18*POWER(A410,'难度参数'!$E$19)/D410*(0.85+0.3*(3-1)/MAX(1,D410-1))),0)+F410)))</x:f>
        <x:v>37</x:v>
      </x:c>
      <x:c r="AG410" s="119" t="n">
        <x:f>IF(3&gt;D410,0,ROUND(('难度参数'!$E$13*POWER(A410,'难度参数'!$E$20)*MIN('难度参数'!$E$23,1+MAX(0,A410-'难度参数'!$E$21)*'难度参数'!$E$22))*(36+3*7)/(36+7*(D410+1)/2)*E410,0))</x:f>
        <x:v>9049</x:v>
      </x:c>
      <x:c r="AH410" s="119" t="n">
        <x:f>IF(AF410=0,0,(AF410-IF(3=D410,1,0))*ROUND(AG410*VLOOKUP(INDEX('章节与怪物'!$E$31:$K$37,B410,3),'章节与怪物'!$A$41:$F$44,2,FALSE),0)+IF(3=D410,ROUND(AG410*'难度参数'!$E$28*'章节与怪物'!$E$17,0),0))</x:f>
        <x:v>569171</x:v>
      </x:c>
      <x:c r="AI410" s="119" t="n">
        <x:f>IF(AF410=0,0,(AF410-IF(3=D410,1,0))*VLOOKUP(INDEX('章节与怪物'!$E$31:$K$37,B410,3),'章节与怪物'!$A$41:$F$44,4,FALSE)+IF(3=D410,'难度参数'!$E$30,0))</x:f>
        <x:v>1036</x:v>
      </x:c>
      <x:c r="AJ410" s="119" t="n">
        <x:f>IF(4&gt;D410,0,MAX(2,MIN('难度参数'!$E$12,ROUND(('难度参数'!$E$18*POWER(A410,'难度参数'!$E$19)/D410*(0.85+0.3*(4-1)/MAX(1,D410-1))),0)+F410)))</x:f>
        <x:v>39</x:v>
      </x:c>
      <x:c r="AK410" s="119" t="n">
        <x:f>IF(4&gt;D410,0,ROUND(('难度参数'!$E$13*POWER(A410,'难度参数'!$E$20)*MIN('难度参数'!$E$23,1+MAX(0,A410-'难度参数'!$E$21)*'难度参数'!$E$22))*(36+4*7)/(36+7*(D410+1)/2)*E410,0))</x:f>
        <x:v>10161</x:v>
      </x:c>
      <x:c r="AL410" s="119" t="n">
        <x:f>IF(AJ410=0,0,(AJ410-IF(4=D410,1,0))*ROUND(AK410*VLOOKUP(INDEX('章节与怪物'!$E$31:$K$37,B410,4),'章节与怪物'!$A$41:$F$44,2,FALSE),0)+IF(4=D410,ROUND(AK410*'难度参数'!$E$28*'章节与怪物'!$E$17,0),0))</x:f>
        <x:v>534963</x:v>
      </x:c>
      <x:c r="AM410" s="119" t="n">
        <x:f>IF(AJ410=0,0,(AJ410-IF(4=D410,1,0))*VLOOKUP(INDEX('章节与怪物'!$E$31:$K$37,B410,4),'章节与怪物'!$A$41:$F$44,4,FALSE)+IF(4=D410,'难度参数'!$E$30,0))</x:f>
        <x:v>1326</x:v>
      </x:c>
      <x:c r="AN410" s="119" t="n">
        <x:f>IF(5&gt;D410,0,MAX(2,MIN('难度参数'!$E$12,ROUND(('难度参数'!$E$18*POWER(A410,'难度参数'!$E$19)/D410*(0.85+0.3*(5-1)/MAX(1,D410-1))),0)+F410)))</x:f>
        <x:v>40</x:v>
      </x:c>
      <x:c r="AO410" s="119" t="n">
        <x:f>IF(5&gt;D410,0,ROUND(('难度参数'!$E$13*POWER(A410,'难度参数'!$E$20)*MIN('难度参数'!$E$23,1+MAX(0,A410-'难度参数'!$E$21)*'难度参数'!$E$22))*(36+5*7)/(36+7*(D410+1)/2)*E410,0))</x:f>
        <x:v>11272</x:v>
      </x:c>
      <x:c r="AP410" s="119" t="n">
        <x:f>IF(AN410=0,0,(AN410-IF(5=D410,1,0))*ROUND(AO410*VLOOKUP(INDEX('章节与怪物'!$E$31:$K$37,B410,5),'章节与怪物'!$A$41:$F$44,2,FALSE),0)+IF(5=D410,ROUND(AO410*'难度参数'!$E$28*'章节与怪物'!$E$17,0),0))</x:f>
        <x:v>450880</x:v>
      </x:c>
      <x:c r="AQ410" s="119" t="n">
        <x:f>IF(AN410=0,0,(AN410-IF(5=D410,1,0))*VLOOKUP(INDEX('章节与怪物'!$E$31:$K$37,B410,5),'章节与怪物'!$A$41:$F$44,4,FALSE)+IF(5=D410,'难度参数'!$E$30,0))</x:f>
        <x:v>720</x:v>
      </x:c>
      <x:c r="AR410" s="119" t="n">
        <x:f>IF(6&gt;D410,0,MAX(2,MIN('难度参数'!$E$12,ROUND(('难度参数'!$E$18*POWER(A410,'难度参数'!$E$19)/D410*(0.85+0.3*(6-1)/MAX(1,D410-1))),0)+F410)))</x:f>
        <x:v>42</x:v>
      </x:c>
      <x:c r="AS410" s="119" t="n">
        <x:f>IF(6&gt;D410,0,ROUND(('难度参数'!$E$13*POWER(A410,'难度参数'!$E$20)*MIN('难度参数'!$E$23,1+MAX(0,A410-'难度参数'!$E$21)*'难度参数'!$E$22))*(36+6*7)/(36+7*(D410+1)/2)*E410,0))</x:f>
        <x:v>12383</x:v>
      </x:c>
      <x:c r="AT410" s="119" t="n">
        <x:f>IF(AR410=0,0,(AR410-IF(6=D410,1,0))*ROUND(AS410*VLOOKUP(INDEX('章节与怪物'!$E$31:$K$37,B410,6),'章节与怪物'!$A$41:$F$44,2,FALSE),0)+IF(6=D410,ROUND(AS410*'难度参数'!$E$28*'章节与怪物'!$E$17,0),0))</x:f>
        <x:v>374472</x:v>
      </x:c>
      <x:c r="AU410" s="119" t="n">
        <x:f>IF(AR410=0,0,(AR410-IF(6=D410,1,0))*VLOOKUP(INDEX('章节与怪物'!$E$31:$K$37,B410,6),'章节与怪物'!$A$41:$F$44,4,FALSE)+IF(6=D410,'难度参数'!$E$30,0))</x:f>
        <x:v>840</x:v>
      </x:c>
      <x:c r="AV410" s="119" t="n">
        <x:f>IF(7&gt;D410,0,MAX(2,MIN('难度参数'!$E$12,ROUND(('难度参数'!$E$18*POWER(A410,'难度参数'!$E$19)/D410*(0.85+0.3*(7-1)/MAX(1,D410-1))),0)+F410)))</x:f>
        <x:v>44</x:v>
      </x:c>
      <x:c r="AW410" s="119" t="n">
        <x:f>IF(7&gt;D410,0,ROUND(('难度参数'!$E$13*POWER(A410,'难度参数'!$E$20)*MIN('难度参数'!$E$23,1+MAX(0,A410-'难度参数'!$E$21)*'难度参数'!$E$22))*(36+7*7)/(36+7*(D410+1)/2)*E410,0))</x:f>
        <x:v>13495</x:v>
      </x:c>
      <x:c r="AX410" s="119" t="n">
        <x:f>IF(AV410=0,0,(AV410-IF(7=D410,1,0))*ROUND(AW410*VLOOKUP(INDEX('章节与怪物'!$E$31:$K$37,B410,7),'章节与怪物'!$A$41:$F$44,2,FALSE),0)+IF(7=D410,ROUND(AW410*'难度参数'!$E$28*'章节与怪物'!$E$17,0),0))</x:f>
        <x:v>875140</x:v>
      </x:c>
      <x:c r="AY410" s="119" t="n">
        <x:f>IF(AV410=0,0,(AV410-IF(7=D410,1,0))*VLOOKUP(INDEX('章节与怪物'!$E$31:$K$37,B410,7),'章节与怪物'!$A$41:$F$44,4,FALSE)+IF(7=D410,'难度参数'!$E$30,0))</x:f>
        <x:v>1662</x:v>
      </x:c>
    </x:row>
    <x:row r="411" ht="23" customHeight="1">
      <x:c r="A411" s="119" t="n">
        <x:v>405</x:v>
      </x:c>
      <x:c r="B411" s="119" t="n">
        <x:f>MOD(INT((A411-1)/5),7)+1</x:f>
        <x:v>4</x:v>
      </x:c>
      <x:c r="C411" s="62" t="str">
        <x:f>INDEX('章节与怪物'!$B$31:$B$37,B411)</x:f>
        <x:v>翠野边城</x:v>
      </x:c>
      <x:c r="D411" s="119" t="n">
        <x:f>MIN('难度参数'!$E$8,MAX('难度参数'!$E$7,A411))</x:f>
        <x:v>7</x:v>
      </x:c>
      <x:c r="E411" s="106" t="n">
        <x:v>1</x:v>
      </x:c>
      <x:c r="F411" s="106" t="n">
        <x:v>0</x:v>
      </x:c>
      <x:c r="G411" s="106" t="n">
        <x:v>1</x:v>
      </x:c>
      <x:c r="H411" s="119" t="n">
        <x:f>SUM(X411,AB411,AF411,AJ411,AN411,AR411,AV411)</x:f>
        <x:v>270</x:v>
      </x:c>
      <x:c r="I411" s="119" t="n">
        <x:f>SUM(Z411,AD411,AH411,AL411,AP411,AT411,AX411)</x:f>
        <x:v>3250540</x:v>
      </x:c>
      <x:c r="J411" s="119" t="n">
        <x:f>ROUND(INDEX(X411:AY411,1,(D411-1)*4+2)*'难度参数'!$E$28*'章节与怪物'!$E$17,0)</x:f>
        <x:v>91929</x:v>
      </x:c>
      <x:c r="K411" s="119" t="n">
        <x:f>SUM(AA411,AE411,AI411,AM411,AQ411,AU411,AY411)</x:f>
        <x:v>6874</x:v>
      </x:c>
      <x:c r="L411" s="62" t="n">
        <x:f>H411*(ROUNDUP('难度参数'!$E$24/('难度参数'!$E$26*'难度参数'!$E$27),0)*'难度参数'!$E$26)/60</x:f>
        <x:v>3.6</x:v>
      </x:c>
      <x:c r="M411" s="62" t="n">
        <x:f>L411+D411*('难度参数'!$E$49+'难度参数'!$E$50)/60</x:f>
        <x:v>4.766666666666667</x:v>
      </x:c>
      <x:c r="N411" s="119" t="n">
        <x:f>ROUNDDOWN(('经济参数'!$E$20+A411*'经济参数'!$E$21)*G411,0)</x:f>
        <x:v>8280</x:v>
      </x:c>
      <x:c r="O411" s="119" t="n">
        <x:f>ROUNDDOWN(MIN('经济参数'!$E$24,'经济参数'!$E$22+A411*'经济参数'!$E$23)*G411,0)</x:f>
        <x:v>0</x:v>
      </x:c>
      <x:c r="P411" s="119" t="n">
        <x:f>ROUNDDOWN((IF(A411&gt;='材料与任务'!$E$31,'材料与任务'!$E$32,IF(A411&gt;='材料与任务'!$E$25,'材料与任务'!$E$26,IF(A411&gt;='材料与任务'!$E$19,'材料与任务'!$E$20,IF(A411&gt;='材料与任务'!$E$13,'材料与任务'!$E$14,'材料与任务'!$E$8)))))*G411,0)</x:f>
        <x:v>6</x:v>
      </x:c>
      <x:c r="Q411" s="119" t="n">
        <x:f>ROUNDDOWN((IF(A411&gt;='材料与任务'!$E$31,'材料与任务'!$E$33,IF(A411&gt;='材料与任务'!$E$25,'材料与任务'!$E$27,IF(A411&gt;='材料与任务'!$E$19,'材料与任务'!$E$21,IF(A411&gt;='材料与任务'!$E$13,'材料与任务'!$E$15,'材料与任务'!$E$9)))))*G411,0)</x:f>
        <x:v>3</x:v>
      </x:c>
      <x:c r="R411" s="110" t="n">
        <x:f>'装备掉落'!$B$38</x:f>
        <x:v>0.6872058758851213</x:v>
      </x:c>
      <x:c r="S411" s="119" t="n">
        <x:f>MAX(IF(VLOOKUP(A411,'装备掉落'!$A$29:$H$34,2,TRUE)&gt;0,1,0),IF(VLOOKUP(A411,'装备掉落'!$A$29:$H$34,3,TRUE)&gt;0,2,0),IF(VLOOKUP(A411,'装备掉落'!$A$29:$H$34,4,TRUE)&gt;0,3,0),IF(VLOOKUP(A411,'装备掉落'!$A$29:$H$34,5,TRUE)&gt;0,4,0),IF(VLOOKUP(A411,'装备掉落'!$A$29:$H$34,6,TRUE)&gt;0,5,0),IF(VLOOKUP(A411,'装备掉落'!$A$29:$H$34,7,TRUE)&gt;0,6,0),IF(VLOOKUP(A411,'装备掉落'!$A$29:$H$34,8,TRUE)&gt;0,7,0))</x:f>
        <x:v>7</x:v>
      </x:c>
      <x:c r="T411" s="119" t="n">
        <x:f>MIN(7,S411+'经济参数'!$E$70)</x:f>
        <x:v>7</x:v>
      </x:c>
      <x:c r="U411" s="119" t="n">
        <x:f>MIN(7,S411+'经济参数'!$E$71)</x:f>
        <x:v>7</x:v>
      </x:c>
      <x:c r="V411" s="119" t="n">
        <x:f>IF(H411&gt;=('难度参数'!$E$52),1,0)+IF(H411&gt;=('难度参数'!$E$52+'难度参数'!$E$53),1,0)+IF(H411&gt;=('难度参数'!$E$52+'难度参数'!$E$53+'难度参数'!$E$54),1,0)+IF(H411&gt;=('难度参数'!$E$52+'难度参数'!$E$53+'难度参数'!$E$54+'难度参数'!$E$55),1,0)+IF(H411&gt;=('难度参数'!$E$52+'难度参数'!$E$53+'难度参数'!$E$54+'难度参数'!$E$55+'难度参数'!$E$56),1,0)+IF(H411&gt;=('难度参数'!$E$52+'难度参数'!$E$53+'难度参数'!$E$54+'难度参数'!$E$55+'难度参数'!$E$56+'难度参数'!$E$57),1,0)</x:f>
        <x:v>6</x:v>
      </x:c>
      <x:c r="W411" s="62" t="str">
        <x:f>IF(L411&gt;'难度参数'!$E$51,"仅出怪已超目标","还需实测")</x:f>
        <x:v>仅出怪已超目标</x:v>
      </x:c>
      <x:c r="X411" s="119" t="n">
        <x:f>IF(1&gt;D411,0,MAX(2,MIN('难度参数'!$E$12,ROUND(('难度参数'!$E$18*POWER(A411,'难度参数'!$E$19)/D411*(0.85+0.3*(1-1)/MAX(1,D411-1))),0)+F411)))</x:f>
        <x:v>33</x:v>
      </x:c>
      <x:c r="Y411" s="119" t="n">
        <x:f>IF(1&gt;D411,0,ROUND(('难度参数'!$E$13*POWER(A411,'难度参数'!$E$20)*MIN('难度参数'!$E$23,1+MAX(0,A411-'难度参数'!$E$21)*'难度参数'!$E$22))*(36+1*7)/(36+7*(D411+1)/2)*E411,0))</x:f>
        <x:v>6839</x:v>
      </x:c>
      <x:c r="Z411" s="119" t="n">
        <x:f>IF(X411=0,0,(X411-IF(1=D411,1,0))*ROUND(Y411*VLOOKUP(INDEX('章节与怪物'!$E$31:$K$37,B411,1),'章节与怪物'!$A$41:$F$44,2,FALSE),0)+IF(1=D411,ROUND(Y411*'难度参数'!$E$28*'章节与怪物'!$E$17,0),0))</x:f>
        <x:v>162492</x:v>
      </x:c>
      <x:c r="AA411" s="119" t="n">
        <x:f>IF(X411=0,0,(X411-IF(1=D411,1,0))*VLOOKUP(INDEX('章节与怪物'!$E$31:$K$37,B411,1),'章节与怪物'!$A$41:$F$44,4,FALSE)+IF(1=D411,'难度参数'!$E$30,0))</x:f>
        <x:v>660</x:v>
      </x:c>
      <x:c r="AB411" s="119" t="n">
        <x:f>IF(2&gt;D411,0,MAX(2,MIN('难度参数'!$E$12,ROUND(('难度参数'!$E$18*POWER(A411,'难度参数'!$E$19)/D411*(0.85+0.3*(2-1)/MAX(1,D411-1))),0)+F411)))</x:f>
        <x:v>35</x:v>
      </x:c>
      <x:c r="AC411" s="119" t="n">
        <x:f>IF(2&gt;D411,0,ROUND(('难度参数'!$E$13*POWER(A411,'难度参数'!$E$20)*MIN('难度参数'!$E$23,1+MAX(0,A411-'难度参数'!$E$21)*'难度参数'!$E$22))*(36+2*7)/(36+7*(D411+1)/2)*E411,0))</x:f>
        <x:v>7952</x:v>
      </x:c>
      <x:c r="AD411" s="119" t="n">
        <x:f>IF(AB411=0,0,(AB411-IF(2=D411,1,0))*ROUND(AC411*VLOOKUP(INDEX('章节与怪物'!$E$31:$K$37,B411,2),'章节与怪物'!$A$41:$F$44,2,FALSE),0)+IF(2=D411,ROUND(AC411*'难度参数'!$E$28*'章节与怪物'!$E$17,0),0))</x:f>
        <x:v>278320</x:v>
      </x:c>
      <x:c r="AE411" s="119" t="n">
        <x:f>IF(AB411=0,0,(AB411-IF(2=D411,1,0))*VLOOKUP(INDEX('章节与怪物'!$E$31:$K$37,B411,2),'章节与怪物'!$A$41:$F$44,4,FALSE)+IF(2=D411,'难度参数'!$E$30,0))</x:f>
        <x:v>630</x:v>
      </x:c>
      <x:c r="AF411" s="119" t="n">
        <x:f>IF(3&gt;D411,0,MAX(2,MIN('难度参数'!$E$12,ROUND(('难度参数'!$E$18*POWER(A411,'难度参数'!$E$19)/D411*(0.85+0.3*(3-1)/MAX(1,D411-1))),0)+F411)))</x:f>
        <x:v>37</x:v>
      </x:c>
      <x:c r="AG411" s="119" t="n">
        <x:f>IF(3&gt;D411,0,ROUND(('难度参数'!$E$13*POWER(A411,'难度参数'!$E$20)*MIN('难度参数'!$E$23,1+MAX(0,A411-'难度参数'!$E$21)*'难度参数'!$E$22))*(36+3*7)/(36+7*(D411+1)/2)*E411,0))</x:f>
        <x:v>9066</x:v>
      </x:c>
      <x:c r="AH411" s="119" t="n">
        <x:f>IF(AF411=0,0,(AF411-IF(3=D411,1,0))*ROUND(AG411*VLOOKUP(INDEX('章节与怪物'!$E$31:$K$37,B411,3),'章节与怪物'!$A$41:$F$44,2,FALSE),0)+IF(3=D411,ROUND(AG411*'难度参数'!$E$28*'章节与怪物'!$E$17,0),0))</x:f>
        <x:v>570244</x:v>
      </x:c>
      <x:c r="AI411" s="119" t="n">
        <x:f>IF(AF411=0,0,(AF411-IF(3=D411,1,0))*VLOOKUP(INDEX('章节与怪物'!$E$31:$K$37,B411,3),'章节与怪物'!$A$41:$F$44,4,FALSE)+IF(3=D411,'难度参数'!$E$30,0))</x:f>
        <x:v>1036</x:v>
      </x:c>
      <x:c r="AJ411" s="119" t="n">
        <x:f>IF(4&gt;D411,0,MAX(2,MIN('难度参数'!$E$12,ROUND(('难度参数'!$E$18*POWER(A411,'难度参数'!$E$19)/D411*(0.85+0.3*(4-1)/MAX(1,D411-1))),0)+F411)))</x:f>
        <x:v>39</x:v>
      </x:c>
      <x:c r="AK411" s="119" t="n">
        <x:f>IF(4&gt;D411,0,ROUND(('难度参数'!$E$13*POWER(A411,'难度参数'!$E$20)*MIN('难度参数'!$E$23,1+MAX(0,A411-'难度参数'!$E$21)*'难度参数'!$E$22))*(36+4*7)/(36+7*(D411+1)/2)*E411,0))</x:f>
        <x:v>10179</x:v>
      </x:c>
      <x:c r="AL411" s="119" t="n">
        <x:f>IF(AJ411=0,0,(AJ411-IF(4=D411,1,0))*ROUND(AK411*VLOOKUP(INDEX('章节与怪物'!$E$31:$K$37,B411,4),'章节与怪物'!$A$41:$F$44,2,FALSE),0)+IF(4=D411,ROUND(AK411*'难度参数'!$E$28*'章节与怪物'!$E$17,0),0))</x:f>
        <x:v>535938</x:v>
      </x:c>
      <x:c r="AM411" s="119" t="n">
        <x:f>IF(AJ411=0,0,(AJ411-IF(4=D411,1,0))*VLOOKUP(INDEX('章节与怪物'!$E$31:$K$37,B411,4),'章节与怪物'!$A$41:$F$44,4,FALSE)+IF(4=D411,'难度参数'!$E$30,0))</x:f>
        <x:v>1326</x:v>
      </x:c>
      <x:c r="AN411" s="119" t="n">
        <x:f>IF(5&gt;D411,0,MAX(2,MIN('难度参数'!$E$12,ROUND(('难度参数'!$E$18*POWER(A411,'难度参数'!$E$19)/D411*(0.85+0.3*(5-1)/MAX(1,D411-1))),0)+F411)))</x:f>
        <x:v>40</x:v>
      </x:c>
      <x:c r="AO411" s="119" t="n">
        <x:f>IF(5&gt;D411,0,ROUND(('难度参数'!$E$13*POWER(A411,'难度参数'!$E$20)*MIN('难度参数'!$E$23,1+MAX(0,A411-'难度参数'!$E$21)*'难度参数'!$E$22))*(36+5*7)/(36+7*(D411+1)/2)*E411,0))</x:f>
        <x:v>11292</x:v>
      </x:c>
      <x:c r="AP411" s="119" t="n">
        <x:f>IF(AN411=0,0,(AN411-IF(5=D411,1,0))*ROUND(AO411*VLOOKUP(INDEX('章节与怪物'!$E$31:$K$37,B411,5),'章节与怪物'!$A$41:$F$44,2,FALSE),0)+IF(5=D411,ROUND(AO411*'难度参数'!$E$28*'章节与怪物'!$E$17,0),0))</x:f>
        <x:v>451680</x:v>
      </x:c>
      <x:c r="AQ411" s="119" t="n">
        <x:f>IF(AN411=0,0,(AN411-IF(5=D411,1,0))*VLOOKUP(INDEX('章节与怪物'!$E$31:$K$37,B411,5),'章节与怪物'!$A$41:$F$44,4,FALSE)+IF(5=D411,'难度参数'!$E$30,0))</x:f>
        <x:v>720</x:v>
      </x:c>
      <x:c r="AR411" s="119" t="n">
        <x:f>IF(6&gt;D411,0,MAX(2,MIN('难度参数'!$E$12,ROUND(('难度参数'!$E$18*POWER(A411,'难度参数'!$E$19)/D411*(0.85+0.3*(6-1)/MAX(1,D411-1))),0)+F411)))</x:f>
        <x:v>42</x:v>
      </x:c>
      <x:c r="AS411" s="119" t="n">
        <x:f>IF(6&gt;D411,0,ROUND(('难度参数'!$E$13*POWER(A411,'难度参数'!$E$20)*MIN('难度参数'!$E$23,1+MAX(0,A411-'难度参数'!$E$21)*'难度参数'!$E$22))*(36+6*7)/(36+7*(D411+1)/2)*E411,0))</x:f>
        <x:v>12406</x:v>
      </x:c>
      <x:c r="AT411" s="119" t="n">
        <x:f>IF(AR411=0,0,(AR411-IF(6=D411,1,0))*ROUND(AS411*VLOOKUP(INDEX('章节与怪物'!$E$31:$K$37,B411,6),'章节与怪物'!$A$41:$F$44,2,FALSE),0)+IF(6=D411,ROUND(AS411*'难度参数'!$E$28*'章节与怪物'!$E$17,0),0))</x:f>
        <x:v>375144</x:v>
      </x:c>
      <x:c r="AU411" s="119" t="n">
        <x:f>IF(AR411=0,0,(AR411-IF(6=D411,1,0))*VLOOKUP(INDEX('章节与怪物'!$E$31:$K$37,B411,6),'章节与怪物'!$A$41:$F$44,4,FALSE)+IF(6=D411,'难度参数'!$E$30,0))</x:f>
        <x:v>840</x:v>
      </x:c>
      <x:c r="AV411" s="119" t="n">
        <x:f>IF(7&gt;D411,0,MAX(2,MIN('难度参数'!$E$12,ROUND(('难度参数'!$E$18*POWER(A411,'难度参数'!$E$19)/D411*(0.85+0.3*(7-1)/MAX(1,D411-1))),0)+F411)))</x:f>
        <x:v>44</x:v>
      </x:c>
      <x:c r="AW411" s="119" t="n">
        <x:f>IF(7&gt;D411,0,ROUND(('难度参数'!$E$13*POWER(A411,'难度参数'!$E$20)*MIN('难度参数'!$E$23,1+MAX(0,A411-'难度参数'!$E$21)*'难度参数'!$E$22))*(36+7*7)/(36+7*(D411+1)/2)*E411,0))</x:f>
        <x:v>13519</x:v>
      </x:c>
      <x:c r="AX411" s="119" t="n">
        <x:f>IF(AV411=0,0,(AV411-IF(7=D411,1,0))*ROUND(AW411*VLOOKUP(INDEX('章节与怪物'!$E$31:$K$37,B411,7),'章节与怪物'!$A$41:$F$44,2,FALSE),0)+IF(7=D411,ROUND(AW411*'难度参数'!$E$28*'章节与怪物'!$E$17,0),0))</x:f>
        <x:v>876722</x:v>
      </x:c>
      <x:c r="AY411" s="119" t="n">
        <x:f>IF(AV411=0,0,(AV411-IF(7=D411,1,0))*VLOOKUP(INDEX('章节与怪物'!$E$31:$K$37,B411,7),'章节与怪物'!$A$41:$F$44,4,FALSE)+IF(7=D411,'难度参数'!$E$30,0))</x:f>
        <x:v>1662</x:v>
      </x:c>
    </x:row>
    <x:row r="412" ht="23" customHeight="1">
      <x:c r="A412" s="119" t="n">
        <x:v>406</x:v>
      </x:c>
      <x:c r="B412" s="119" t="n">
        <x:f>MOD(INT((A412-1)/5),7)+1</x:f>
        <x:v>5</x:v>
      </x:c>
      <x:c r="C412" s="62" t="str">
        <x:f>INDEX('章节与怪物'!$B$31:$B$37,B412)</x:f>
        <x:v>雨林遗迹</x:v>
      </x:c>
      <x:c r="D412" s="119" t="n">
        <x:f>MIN('难度参数'!$E$8,MAX('难度参数'!$E$7,A412))</x:f>
        <x:v>7</x:v>
      </x:c>
      <x:c r="E412" s="106" t="n">
        <x:v>1</x:v>
      </x:c>
      <x:c r="F412" s="106" t="n">
        <x:v>0</x:v>
      </x:c>
      <x:c r="G412" s="106" t="n">
        <x:v>1</x:v>
      </x:c>
      <x:c r="H412" s="119" t="n">
        <x:f>SUM(X412,AB412,AF412,AJ412,AN412,AR412,AV412)</x:f>
        <x:v>271</x:v>
      </x:c>
      <x:c r="I412" s="119" t="n">
        <x:f>SUM(Z412,AD412,AH412,AL412,AP412,AT412,AX412)</x:f>
        <x:v>3634542</x:v>
      </x:c>
      <x:c r="J412" s="119" t="n">
        <x:f>ROUND(INDEX(X412:AY412,1,(D412-1)*4+2)*'难度参数'!$E$28*'章节与怪物'!$E$17,0)</x:f>
        <x:v>92092</x:v>
      </x:c>
      <x:c r="K412" s="119" t="n">
        <x:f>SUM(AA412,AE412,AI412,AM412,AQ412,AU412,AY412)</x:f>
        <x:v>7314</x:v>
      </x:c>
      <x:c r="L412" s="62" t="n">
        <x:f>H412*(ROUNDUP('难度参数'!$E$24/('难度参数'!$E$26*'难度参数'!$E$27),0)*'难度参数'!$E$26)/60</x:f>
        <x:v>3.6133333333333337</x:v>
      </x:c>
      <x:c r="M412" s="62" t="n">
        <x:f>L412+D412*('难度参数'!$E$49+'难度参数'!$E$50)/60</x:f>
        <x:v>4.78</x:v>
      </x:c>
      <x:c r="N412" s="119" t="n">
        <x:f>ROUNDDOWN(('经济参数'!$E$20+A412*'经济参数'!$E$21)*G412,0)</x:f>
        <x:v>8300</x:v>
      </x:c>
      <x:c r="O412" s="119" t="n">
        <x:f>ROUNDDOWN(MIN('经济参数'!$E$24,'经济参数'!$E$22+A412*'经济参数'!$E$23)*G412,0)</x:f>
        <x:v>0</x:v>
      </x:c>
      <x:c r="P412" s="119" t="n">
        <x:f>ROUNDDOWN((IF(A412&gt;='材料与任务'!$E$31,'材料与任务'!$E$32,IF(A412&gt;='材料与任务'!$E$25,'材料与任务'!$E$26,IF(A412&gt;='材料与任务'!$E$19,'材料与任务'!$E$20,IF(A412&gt;='材料与任务'!$E$13,'材料与任务'!$E$14,'材料与任务'!$E$8)))))*G412,0)</x:f>
        <x:v>6</x:v>
      </x:c>
      <x:c r="Q412" s="119" t="n">
        <x:f>ROUNDDOWN((IF(A412&gt;='材料与任务'!$E$31,'材料与任务'!$E$33,IF(A412&gt;='材料与任务'!$E$25,'材料与任务'!$E$27,IF(A412&gt;='材料与任务'!$E$19,'材料与任务'!$E$21,IF(A412&gt;='材料与任务'!$E$13,'材料与任务'!$E$15,'材料与任务'!$E$9)))))*G412,0)</x:f>
        <x:v>3</x:v>
      </x:c>
      <x:c r="R412" s="110" t="n">
        <x:f>'装备掉落'!$B$38</x:f>
        <x:v>0.6872058758851213</x:v>
      </x:c>
      <x:c r="S412" s="119" t="n">
        <x:f>MAX(IF(VLOOKUP(A412,'装备掉落'!$A$29:$H$34,2,TRUE)&gt;0,1,0),IF(VLOOKUP(A412,'装备掉落'!$A$29:$H$34,3,TRUE)&gt;0,2,0),IF(VLOOKUP(A412,'装备掉落'!$A$29:$H$34,4,TRUE)&gt;0,3,0),IF(VLOOKUP(A412,'装备掉落'!$A$29:$H$34,5,TRUE)&gt;0,4,0),IF(VLOOKUP(A412,'装备掉落'!$A$29:$H$34,6,TRUE)&gt;0,5,0),IF(VLOOKUP(A412,'装备掉落'!$A$29:$H$34,7,TRUE)&gt;0,6,0),IF(VLOOKUP(A412,'装备掉落'!$A$29:$H$34,8,TRUE)&gt;0,7,0))</x:f>
        <x:v>7</x:v>
      </x:c>
      <x:c r="T412" s="119" t="n">
        <x:f>MIN(7,S412+'经济参数'!$E$70)</x:f>
        <x:v>7</x:v>
      </x:c>
      <x:c r="U412" s="119" t="n">
        <x:f>MIN(7,S412+'经济参数'!$E$71)</x:f>
        <x:v>7</x:v>
      </x:c>
      <x:c r="V412" s="119" t="n">
        <x:f>IF(H412&gt;=('难度参数'!$E$52),1,0)+IF(H412&gt;=('难度参数'!$E$52+'难度参数'!$E$53),1,0)+IF(H412&gt;=('难度参数'!$E$52+'难度参数'!$E$53+'难度参数'!$E$54),1,0)+IF(H412&gt;=('难度参数'!$E$52+'难度参数'!$E$53+'难度参数'!$E$54+'难度参数'!$E$55),1,0)+IF(H412&gt;=('难度参数'!$E$52+'难度参数'!$E$53+'难度参数'!$E$54+'难度参数'!$E$55+'难度参数'!$E$56),1,0)+IF(H412&gt;=('难度参数'!$E$52+'难度参数'!$E$53+'难度参数'!$E$54+'难度参数'!$E$55+'难度参数'!$E$56+'难度参数'!$E$57),1,0)</x:f>
        <x:v>6</x:v>
      </x:c>
      <x:c r="W412" s="62" t="str">
        <x:f>IF(L412&gt;'难度参数'!$E$51,"仅出怪已超目标","还需实测")</x:f>
        <x:v>仅出怪已超目标</x:v>
      </x:c>
      <x:c r="X412" s="119" t="n">
        <x:f>IF(1&gt;D412,0,MAX(2,MIN('难度参数'!$E$12,ROUND(('难度参数'!$E$18*POWER(A412,'难度参数'!$E$19)/D412*(0.85+0.3*(1-1)/MAX(1,D412-1))),0)+F412)))</x:f>
        <x:v>33</x:v>
      </x:c>
      <x:c r="Y412" s="119" t="n">
        <x:f>IF(1&gt;D412,0,ROUND(('难度参数'!$E$13*POWER(A412,'难度参数'!$E$20)*MIN('难度参数'!$E$23,1+MAX(0,A412-'难度参数'!$E$21)*'难度参数'!$E$22))*(36+1*7)/(36+7*(D412+1)/2)*E412,0))</x:f>
        <x:v>6851</x:v>
      </x:c>
      <x:c r="Z412" s="119" t="n">
        <x:f>IF(X412=0,0,(X412-IF(1=D412,1,0))*ROUND(Y412*VLOOKUP(INDEX('章节与怪物'!$E$31:$K$37,B412,1),'章节与怪物'!$A$41:$F$44,2,FALSE),0)+IF(1=D412,ROUND(Y412*'难度参数'!$E$28*'章节与怪物'!$E$17,0),0))</x:f>
        <x:v>226083</x:v>
      </x:c>
      <x:c r="AA412" s="119" t="n">
        <x:f>IF(X412=0,0,(X412-IF(1=D412,1,0))*VLOOKUP(INDEX('章节与怪物'!$E$31:$K$37,B412,1),'章节与怪物'!$A$41:$F$44,4,FALSE)+IF(1=D412,'难度参数'!$E$30,0))</x:f>
        <x:v>594</x:v>
      </x:c>
      <x:c r="AB412" s="119" t="n">
        <x:f>IF(2&gt;D412,0,MAX(2,MIN('难度参数'!$E$12,ROUND(('难度参数'!$E$18*POWER(A412,'难度参数'!$E$19)/D412*(0.85+0.3*(2-1)/MAX(1,D412-1))),0)+F412)))</x:f>
        <x:v>35</x:v>
      </x:c>
      <x:c r="AC412" s="119" t="n">
        <x:f>IF(2&gt;D412,0,ROUND(('难度参数'!$E$13*POWER(A412,'难度参数'!$E$20)*MIN('难度参数'!$E$23,1+MAX(0,A412-'难度参数'!$E$21)*'难度参数'!$E$22))*(36+2*7)/(36+7*(D412+1)/2)*E412,0))</x:f>
        <x:v>7966</x:v>
      </x:c>
      <x:c r="AD412" s="119" t="n">
        <x:f>IF(AB412=0,0,(AB412-IF(2=D412,1,0))*ROUND(AC412*VLOOKUP(INDEX('章节与怪物'!$E$31:$K$37,B412,2),'章节与怪物'!$A$41:$F$44,2,FALSE),0)+IF(2=D412,ROUND(AC412*'难度参数'!$E$28*'章节与怪物'!$E$17,0),0))</x:f>
        <x:v>200760</x:v>
      </x:c>
      <x:c r="AE412" s="119" t="n">
        <x:f>IF(AB412=0,0,(AB412-IF(2=D412,1,0))*VLOOKUP(INDEX('章节与怪物'!$E$31:$K$37,B412,2),'章节与怪物'!$A$41:$F$44,4,FALSE)+IF(2=D412,'难度参数'!$E$30,0))</x:f>
        <x:v>700</x:v>
      </x:c>
      <x:c r="AF412" s="119" t="n">
        <x:f>IF(3&gt;D412,0,MAX(2,MIN('难度参数'!$E$12,ROUND(('难度参数'!$E$18*POWER(A412,'难度参数'!$E$19)/D412*(0.85+0.3*(3-1)/MAX(1,D412-1))),0)+F412)))</x:f>
        <x:v>37</x:v>
      </x:c>
      <x:c r="AG412" s="119" t="n">
        <x:f>IF(3&gt;D412,0,ROUND(('难度参数'!$E$13*POWER(A412,'难度参数'!$E$20)*MIN('难度参数'!$E$23,1+MAX(0,A412-'难度参数'!$E$21)*'难度参数'!$E$22))*(36+3*7)/(36+7*(D412+1)/2)*E412,0))</x:f>
        <x:v>9082</x:v>
      </x:c>
      <x:c r="AH412" s="119" t="n">
        <x:f>IF(AF412=0,0,(AF412-IF(3=D412,1,0))*ROUND(AG412*VLOOKUP(INDEX('章节与怪物'!$E$31:$K$37,B412,3),'章节与怪物'!$A$41:$F$44,2,FALSE),0)+IF(3=D412,ROUND(AG412*'难度参数'!$E$28*'章节与怪物'!$E$17,0),0))</x:f>
        <x:v>571243</x:v>
      </x:c>
      <x:c r="AI412" s="119" t="n">
        <x:f>IF(AF412=0,0,(AF412-IF(3=D412,1,0))*VLOOKUP(INDEX('章节与怪物'!$E$31:$K$37,B412,3),'章节与怪物'!$A$41:$F$44,4,FALSE)+IF(3=D412,'难度参数'!$E$30,0))</x:f>
        <x:v>1036</x:v>
      </x:c>
      <x:c r="AJ412" s="119" t="n">
        <x:f>IF(4&gt;D412,0,MAX(2,MIN('难度参数'!$E$12,ROUND(('难度参数'!$E$18*POWER(A412,'难度参数'!$E$19)/D412*(0.85+0.3*(4-1)/MAX(1,D412-1))),0)+F412)))</x:f>
        <x:v>39</x:v>
      </x:c>
      <x:c r="AK412" s="119" t="n">
        <x:f>IF(4&gt;D412,0,ROUND(('难度参数'!$E$13*POWER(A412,'难度参数'!$E$20)*MIN('难度参数'!$E$23,1+MAX(0,A412-'难度参数'!$E$21)*'难度参数'!$E$22))*(36+4*7)/(36+7*(D412+1)/2)*E412,0))</x:f>
        <x:v>10197</x:v>
      </x:c>
      <x:c r="AL412" s="119" t="n">
        <x:f>IF(AJ412=0,0,(AJ412-IF(4=D412,1,0))*ROUND(AK412*VLOOKUP(INDEX('章节与怪物'!$E$31:$K$37,B412,4),'章节与怪物'!$A$41:$F$44,2,FALSE),0)+IF(4=D412,ROUND(AK412*'难度参数'!$E$28*'章节与怪物'!$E$17,0),0))</x:f>
        <x:v>536874</x:v>
      </x:c>
      <x:c r="AM412" s="119" t="n">
        <x:f>IF(AJ412=0,0,(AJ412-IF(4=D412,1,0))*VLOOKUP(INDEX('章节与怪物'!$E$31:$K$37,B412,4),'章节与怪物'!$A$41:$F$44,4,FALSE)+IF(4=D412,'难度参数'!$E$30,0))</x:f>
        <x:v>1326</x:v>
      </x:c>
      <x:c r="AN412" s="119" t="n">
        <x:f>IF(5&gt;D412,0,MAX(2,MIN('难度参数'!$E$12,ROUND(('难度参数'!$E$18*POWER(A412,'难度参数'!$E$19)/D412*(0.85+0.3*(5-1)/MAX(1,D412-1))),0)+F412)))</x:f>
        <x:v>41</x:v>
      </x:c>
      <x:c r="AO412" s="119" t="n">
        <x:f>IF(5&gt;D412,0,ROUND(('难度参数'!$E$13*POWER(A412,'难度参数'!$E$20)*MIN('难度参数'!$E$23,1+MAX(0,A412-'难度参数'!$E$21)*'难度参数'!$E$22))*(36+5*7)/(36+7*(D412+1)/2)*E412,0))</x:f>
        <x:v>11312</x:v>
      </x:c>
      <x:c r="AP412" s="119" t="n">
        <x:f>IF(AN412=0,0,(AN412-IF(5=D412,1,0))*ROUND(AO412*VLOOKUP(INDEX('章节与怪物'!$E$31:$K$37,B412,5),'章节与怪物'!$A$41:$F$44,2,FALSE),0)+IF(5=D412,ROUND(AO412*'难度参数'!$E$28*'章节与怪物'!$E$17,0),0))</x:f>
        <x:v>333945</x:v>
      </x:c>
      <x:c r="AQ412" s="119" t="n">
        <x:f>IF(AN412=0,0,(AN412-IF(5=D412,1,0))*VLOOKUP(INDEX('章节与怪物'!$E$31:$K$37,B412,5),'章节与怪物'!$A$41:$F$44,4,FALSE)+IF(5=D412,'难度参数'!$E$30,0))</x:f>
        <x:v>820</x:v>
      </x:c>
      <x:c r="AR412" s="119" t="n">
        <x:f>IF(6&gt;D412,0,MAX(2,MIN('难度参数'!$E$12,ROUND(('难度参数'!$E$18*POWER(A412,'难度参数'!$E$19)/D412*(0.85+0.3*(6-1)/MAX(1,D412-1))),0)+F412)))</x:f>
        <x:v>42</x:v>
      </x:c>
      <x:c r="AS412" s="119" t="n">
        <x:f>IF(6&gt;D412,0,ROUND(('难度参数'!$E$13*POWER(A412,'难度参数'!$E$20)*MIN('难度参数'!$E$23,1+MAX(0,A412-'难度参数'!$E$21)*'难度参数'!$E$22))*(36+6*7)/(36+7*(D412+1)/2)*E412,0))</x:f>
        <x:v>12428</x:v>
      </x:c>
      <x:c r="AT412" s="119" t="n">
        <x:f>IF(AR412=0,0,(AR412-IF(6=D412,1,0))*ROUND(AS412*VLOOKUP(INDEX('章节与怪物'!$E$31:$K$37,B412,6),'章节与怪物'!$A$41:$F$44,2,FALSE),0)+IF(6=D412,ROUND(AS412*'难度参数'!$E$28*'章节与怪物'!$E$17,0),0))</x:f>
        <x:v>887376</x:v>
      </x:c>
      <x:c r="AU412" s="119" t="n">
        <x:f>IF(AR412=0,0,(AR412-IF(6=D412,1,0))*VLOOKUP(INDEX('章节与怪物'!$E$31:$K$37,B412,6),'章节与怪物'!$A$41:$F$44,4,FALSE)+IF(6=D412,'难度参数'!$E$30,0))</x:f>
        <x:v>1176</x:v>
      </x:c>
      <x:c r="AV412" s="119" t="n">
        <x:f>IF(7&gt;D412,0,MAX(2,MIN('难度参数'!$E$12,ROUND(('难度参数'!$E$18*POWER(A412,'难度参数'!$E$19)/D412*(0.85+0.3*(7-1)/MAX(1,D412-1))),0)+F412)))</x:f>
        <x:v>44</x:v>
      </x:c>
      <x:c r="AW412" s="119" t="n">
        <x:f>IF(7&gt;D412,0,ROUND(('难度参数'!$E$13*POWER(A412,'难度参数'!$E$20)*MIN('难度参数'!$E$23,1+MAX(0,A412-'难度参数'!$E$21)*'难度参数'!$E$22))*(36+7*7)/(36+7*(D412+1)/2)*E412,0))</x:f>
        <x:v>13543</x:v>
      </x:c>
      <x:c r="AX412" s="119" t="n">
        <x:f>IF(AV412=0,0,(AV412-IF(7=D412,1,0))*ROUND(AW412*VLOOKUP(INDEX('章节与怪物'!$E$31:$K$37,B412,7),'章节与怪物'!$A$41:$F$44,2,FALSE),0)+IF(7=D412,ROUND(AW412*'难度参数'!$E$28*'章节与怪物'!$E$17,0),0))</x:f>
        <x:v>878261</x:v>
      </x:c>
      <x:c r="AY412" s="119" t="n">
        <x:f>IF(AV412=0,0,(AV412-IF(7=D412,1,0))*VLOOKUP(INDEX('章节与怪物'!$E$31:$K$37,B412,7),'章节与怪物'!$A$41:$F$44,4,FALSE)+IF(7=D412,'难度参数'!$E$30,0))</x:f>
        <x:v>1662</x:v>
      </x:c>
    </x:row>
    <x:row r="413" ht="23" customHeight="1">
      <x:c r="A413" s="119" t="n">
        <x:v>407</x:v>
      </x:c>
      <x:c r="B413" s="119" t="n">
        <x:f>MOD(INT((A413-1)/5),7)+1</x:f>
        <x:v>5</x:v>
      </x:c>
      <x:c r="C413" s="62" t="str">
        <x:f>INDEX('章节与怪物'!$B$31:$B$37,B413)</x:f>
        <x:v>雨林遗迹</x:v>
      </x:c>
      <x:c r="D413" s="119" t="n">
        <x:f>MIN('难度参数'!$E$8,MAX('难度参数'!$E$7,A413))</x:f>
        <x:v>7</x:v>
      </x:c>
      <x:c r="E413" s="106" t="n">
        <x:v>1</x:v>
      </x:c>
      <x:c r="F413" s="106" t="n">
        <x:v>0</x:v>
      </x:c>
      <x:c r="G413" s="106" t="n">
        <x:v>1</x:v>
      </x:c>
      <x:c r="H413" s="119" t="n">
        <x:f>SUM(X413,AB413,AF413,AJ413,AN413,AR413,AV413)</x:f>
        <x:v>271</x:v>
      </x:c>
      <x:c r="I413" s="119" t="n">
        <x:f>SUM(Z413,AD413,AH413,AL413,AP413,AT413,AX413)</x:f>
        <x:v>3640928</x:v>
      </x:c>
      <x:c r="J413" s="119" t="n">
        <x:f>ROUND(INDEX(X413:AY413,1,(D413-1)*4+2)*'难度参数'!$E$28*'章节与怪物'!$E$17,0)</x:f>
        <x:v>92256</x:v>
      </x:c>
      <x:c r="K413" s="119" t="n">
        <x:f>SUM(AA413,AE413,AI413,AM413,AQ413,AU413,AY413)</x:f>
        <x:v>7314</x:v>
      </x:c>
      <x:c r="L413" s="62" t="n">
        <x:f>H413*(ROUNDUP('难度参数'!$E$24/('难度参数'!$E$26*'难度参数'!$E$27),0)*'难度参数'!$E$26)/60</x:f>
        <x:v>3.6133333333333337</x:v>
      </x:c>
      <x:c r="M413" s="62" t="n">
        <x:f>L413+D413*('难度参数'!$E$49+'难度参数'!$E$50)/60</x:f>
        <x:v>4.78</x:v>
      </x:c>
      <x:c r="N413" s="119" t="n">
        <x:f>ROUNDDOWN(('经济参数'!$E$20+A413*'经济参数'!$E$21)*G413,0)</x:f>
        <x:v>8320</x:v>
      </x:c>
      <x:c r="O413" s="119" t="n">
        <x:f>ROUNDDOWN(MIN('经济参数'!$E$24,'经济参数'!$E$22+A413*'经济参数'!$E$23)*G413,0)</x:f>
        <x:v>0</x:v>
      </x:c>
      <x:c r="P413" s="119" t="n">
        <x:f>ROUNDDOWN((IF(A413&gt;='材料与任务'!$E$31,'材料与任务'!$E$32,IF(A413&gt;='材料与任务'!$E$25,'材料与任务'!$E$26,IF(A413&gt;='材料与任务'!$E$19,'材料与任务'!$E$20,IF(A413&gt;='材料与任务'!$E$13,'材料与任务'!$E$14,'材料与任务'!$E$8)))))*G413,0)</x:f>
        <x:v>6</x:v>
      </x:c>
      <x:c r="Q413" s="119" t="n">
        <x:f>ROUNDDOWN((IF(A413&gt;='材料与任务'!$E$31,'材料与任务'!$E$33,IF(A413&gt;='材料与任务'!$E$25,'材料与任务'!$E$27,IF(A413&gt;='材料与任务'!$E$19,'材料与任务'!$E$21,IF(A413&gt;='材料与任务'!$E$13,'材料与任务'!$E$15,'材料与任务'!$E$9)))))*G413,0)</x:f>
        <x:v>3</x:v>
      </x:c>
      <x:c r="R413" s="110" t="n">
        <x:f>'装备掉落'!$B$38</x:f>
        <x:v>0.6872058758851213</x:v>
      </x:c>
      <x:c r="S413" s="119" t="n">
        <x:f>MAX(IF(VLOOKUP(A413,'装备掉落'!$A$29:$H$34,2,TRUE)&gt;0,1,0),IF(VLOOKUP(A413,'装备掉落'!$A$29:$H$34,3,TRUE)&gt;0,2,0),IF(VLOOKUP(A413,'装备掉落'!$A$29:$H$34,4,TRUE)&gt;0,3,0),IF(VLOOKUP(A413,'装备掉落'!$A$29:$H$34,5,TRUE)&gt;0,4,0),IF(VLOOKUP(A413,'装备掉落'!$A$29:$H$34,6,TRUE)&gt;0,5,0),IF(VLOOKUP(A413,'装备掉落'!$A$29:$H$34,7,TRUE)&gt;0,6,0),IF(VLOOKUP(A413,'装备掉落'!$A$29:$H$34,8,TRUE)&gt;0,7,0))</x:f>
        <x:v>7</x:v>
      </x:c>
      <x:c r="T413" s="119" t="n">
        <x:f>MIN(7,S413+'经济参数'!$E$70)</x:f>
        <x:v>7</x:v>
      </x:c>
      <x:c r="U413" s="119" t="n">
        <x:f>MIN(7,S413+'经济参数'!$E$71)</x:f>
        <x:v>7</x:v>
      </x:c>
      <x:c r="V413" s="119" t="n">
        <x:f>IF(H413&gt;=('难度参数'!$E$52),1,0)+IF(H413&gt;=('难度参数'!$E$52+'难度参数'!$E$53),1,0)+IF(H413&gt;=('难度参数'!$E$52+'难度参数'!$E$53+'难度参数'!$E$54),1,0)+IF(H413&gt;=('难度参数'!$E$52+'难度参数'!$E$53+'难度参数'!$E$54+'难度参数'!$E$55),1,0)+IF(H413&gt;=('难度参数'!$E$52+'难度参数'!$E$53+'难度参数'!$E$54+'难度参数'!$E$55+'难度参数'!$E$56),1,0)+IF(H413&gt;=('难度参数'!$E$52+'难度参数'!$E$53+'难度参数'!$E$54+'难度参数'!$E$55+'难度参数'!$E$56+'难度参数'!$E$57),1,0)</x:f>
        <x:v>6</x:v>
      </x:c>
      <x:c r="W413" s="62" t="str">
        <x:f>IF(L413&gt;'难度参数'!$E$51,"仅出怪已超目标","还需实测")</x:f>
        <x:v>仅出怪已超目标</x:v>
      </x:c>
      <x:c r="X413" s="119" t="n">
        <x:f>IF(1&gt;D413,0,MAX(2,MIN('难度参数'!$E$12,ROUND(('难度参数'!$E$18*POWER(A413,'难度参数'!$E$19)/D413*(0.85+0.3*(1-1)/MAX(1,D413-1))),0)+F413)))</x:f>
        <x:v>33</x:v>
      </x:c>
      <x:c r="Y413" s="119" t="n">
        <x:f>IF(1&gt;D413,0,ROUND(('难度参数'!$E$13*POWER(A413,'难度参数'!$E$20)*MIN('难度参数'!$E$23,1+MAX(0,A413-'难度参数'!$E$21)*'难度参数'!$E$22))*(36+1*7)/(36+7*(D413+1)/2)*E413,0))</x:f>
        <x:v>6863</x:v>
      </x:c>
      <x:c r="Z413" s="119" t="n">
        <x:f>IF(X413=0,0,(X413-IF(1=D413,1,0))*ROUND(Y413*VLOOKUP(INDEX('章节与怪物'!$E$31:$K$37,B413,1),'章节与怪物'!$A$41:$F$44,2,FALSE),0)+IF(1=D413,ROUND(Y413*'难度参数'!$E$28*'章节与怪物'!$E$17,0),0))</x:f>
        <x:v>226479</x:v>
      </x:c>
      <x:c r="AA413" s="119" t="n">
        <x:f>IF(X413=0,0,(X413-IF(1=D413,1,0))*VLOOKUP(INDEX('章节与怪物'!$E$31:$K$37,B413,1),'章节与怪物'!$A$41:$F$44,4,FALSE)+IF(1=D413,'难度参数'!$E$30,0))</x:f>
        <x:v>594</x:v>
      </x:c>
      <x:c r="AB413" s="119" t="n">
        <x:f>IF(2&gt;D413,0,MAX(2,MIN('难度参数'!$E$12,ROUND(('难度参数'!$E$18*POWER(A413,'难度参数'!$E$19)/D413*(0.85+0.3*(2-1)/MAX(1,D413-1))),0)+F413)))</x:f>
        <x:v>35</x:v>
      </x:c>
      <x:c r="AC413" s="119" t="n">
        <x:f>IF(2&gt;D413,0,ROUND(('难度参数'!$E$13*POWER(A413,'难度参数'!$E$20)*MIN('难度参数'!$E$23,1+MAX(0,A413-'难度参数'!$E$21)*'难度参数'!$E$22))*(36+2*7)/(36+7*(D413+1)/2)*E413,0))</x:f>
        <x:v>7981</x:v>
      </x:c>
      <x:c r="AD413" s="119" t="n">
        <x:f>IF(AB413=0,0,(AB413-IF(2=D413,1,0))*ROUND(AC413*VLOOKUP(INDEX('章节与怪物'!$E$31:$K$37,B413,2),'章节与怪物'!$A$41:$F$44,2,FALSE),0)+IF(2=D413,ROUND(AC413*'难度参数'!$E$28*'章节与怪物'!$E$17,0),0))</x:f>
        <x:v>201110</x:v>
      </x:c>
      <x:c r="AE413" s="119" t="n">
        <x:f>IF(AB413=0,0,(AB413-IF(2=D413,1,0))*VLOOKUP(INDEX('章节与怪物'!$E$31:$K$37,B413,2),'章节与怪物'!$A$41:$F$44,4,FALSE)+IF(2=D413,'难度参数'!$E$30,0))</x:f>
        <x:v>700</x:v>
      </x:c>
      <x:c r="AF413" s="119" t="n">
        <x:f>IF(3&gt;D413,0,MAX(2,MIN('难度参数'!$E$12,ROUND(('难度参数'!$E$18*POWER(A413,'难度参数'!$E$19)/D413*(0.85+0.3*(3-1)/MAX(1,D413-1))),0)+F413)))</x:f>
        <x:v>37</x:v>
      </x:c>
      <x:c r="AG413" s="119" t="n">
        <x:f>IF(3&gt;D413,0,ROUND(('难度参数'!$E$13*POWER(A413,'难度参数'!$E$20)*MIN('难度参数'!$E$23,1+MAX(0,A413-'难度参数'!$E$21)*'难度参数'!$E$22))*(36+3*7)/(36+7*(D413+1)/2)*E413,0))</x:f>
        <x:v>9098</x:v>
      </x:c>
      <x:c r="AH413" s="119" t="n">
        <x:f>IF(AF413=0,0,(AF413-IF(3=D413,1,0))*ROUND(AG413*VLOOKUP(INDEX('章节与怪物'!$E$31:$K$37,B413,3),'章节与怪物'!$A$41:$F$44,2,FALSE),0)+IF(3=D413,ROUND(AG413*'难度参数'!$E$28*'章节与怪物'!$E$17,0),0))</x:f>
        <x:v>572279</x:v>
      </x:c>
      <x:c r="AI413" s="119" t="n">
        <x:f>IF(AF413=0,0,(AF413-IF(3=D413,1,0))*VLOOKUP(INDEX('章节与怪物'!$E$31:$K$37,B413,3),'章节与怪物'!$A$41:$F$44,4,FALSE)+IF(3=D413,'难度参数'!$E$30,0))</x:f>
        <x:v>1036</x:v>
      </x:c>
      <x:c r="AJ413" s="119" t="n">
        <x:f>IF(4&gt;D413,0,MAX(2,MIN('难度参数'!$E$12,ROUND(('难度参数'!$E$18*POWER(A413,'难度参数'!$E$19)/D413*(0.85+0.3*(4-1)/MAX(1,D413-1))),0)+F413)))</x:f>
        <x:v>39</x:v>
      </x:c>
      <x:c r="AK413" s="119" t="n">
        <x:f>IF(4&gt;D413,0,ROUND(('难度参数'!$E$13*POWER(A413,'难度参数'!$E$20)*MIN('难度参数'!$E$23,1+MAX(0,A413-'难度参数'!$E$21)*'难度参数'!$E$22))*(36+4*7)/(36+7*(D413+1)/2)*E413,0))</x:f>
        <x:v>10215</x:v>
      </x:c>
      <x:c r="AL413" s="119" t="n">
        <x:f>IF(AJ413=0,0,(AJ413-IF(4=D413,1,0))*ROUND(AK413*VLOOKUP(INDEX('章节与怪物'!$E$31:$K$37,B413,4),'章节与怪物'!$A$41:$F$44,2,FALSE),0)+IF(4=D413,ROUND(AK413*'难度参数'!$E$28*'章节与怪物'!$E$17,0),0))</x:f>
        <x:v>537810</x:v>
      </x:c>
      <x:c r="AM413" s="119" t="n">
        <x:f>IF(AJ413=0,0,(AJ413-IF(4=D413,1,0))*VLOOKUP(INDEX('章节与怪物'!$E$31:$K$37,B413,4),'章节与怪物'!$A$41:$F$44,4,FALSE)+IF(4=D413,'难度参数'!$E$30,0))</x:f>
        <x:v>1326</x:v>
      </x:c>
      <x:c r="AN413" s="119" t="n">
        <x:f>IF(5&gt;D413,0,MAX(2,MIN('难度参数'!$E$12,ROUND(('难度参数'!$E$18*POWER(A413,'难度参数'!$E$19)/D413*(0.85+0.3*(5-1)/MAX(1,D413-1))),0)+F413)))</x:f>
        <x:v>41</x:v>
      </x:c>
      <x:c r="AO413" s="119" t="n">
        <x:f>IF(5&gt;D413,0,ROUND(('难度参数'!$E$13*POWER(A413,'难度参数'!$E$20)*MIN('难度参数'!$E$23,1+MAX(0,A413-'难度参数'!$E$21)*'难度参数'!$E$22))*(36+5*7)/(36+7*(D413+1)/2)*E413,0))</x:f>
        <x:v>11332</x:v>
      </x:c>
      <x:c r="AP413" s="119" t="n">
        <x:f>IF(AN413=0,0,(AN413-IF(5=D413,1,0))*ROUND(AO413*VLOOKUP(INDEX('章节与怪物'!$E$31:$K$37,B413,5),'章节与怪物'!$A$41:$F$44,2,FALSE),0)+IF(5=D413,ROUND(AO413*'难度参数'!$E$28*'章节与怪物'!$E$17,0),0))</x:f>
        <x:v>334519</x:v>
      </x:c>
      <x:c r="AQ413" s="119" t="n">
        <x:f>IF(AN413=0,0,(AN413-IF(5=D413,1,0))*VLOOKUP(INDEX('章节与怪物'!$E$31:$K$37,B413,5),'章节与怪物'!$A$41:$F$44,4,FALSE)+IF(5=D413,'难度参数'!$E$30,0))</x:f>
        <x:v>820</x:v>
      </x:c>
      <x:c r="AR413" s="119" t="n">
        <x:f>IF(6&gt;D413,0,MAX(2,MIN('难度参数'!$E$12,ROUND(('难度参数'!$E$18*POWER(A413,'难度参数'!$E$19)/D413*(0.85+0.3*(6-1)/MAX(1,D413-1))),0)+F413)))</x:f>
        <x:v>42</x:v>
      </x:c>
      <x:c r="AS413" s="119" t="n">
        <x:f>IF(6&gt;D413,0,ROUND(('难度参数'!$E$13*POWER(A413,'难度参数'!$E$20)*MIN('难度参数'!$E$23,1+MAX(0,A413-'难度参数'!$E$21)*'难度参数'!$E$22))*(36+6*7)/(36+7*(D413+1)/2)*E413,0))</x:f>
        <x:v>12450</x:v>
      </x:c>
      <x:c r="AT413" s="119" t="n">
        <x:f>IF(AR413=0,0,(AR413-IF(6=D413,1,0))*ROUND(AS413*VLOOKUP(INDEX('章节与怪物'!$E$31:$K$37,B413,6),'章节与怪物'!$A$41:$F$44,2,FALSE),0)+IF(6=D413,ROUND(AS413*'难度参数'!$E$28*'章节与怪物'!$E$17,0),0))</x:f>
        <x:v>888930</x:v>
      </x:c>
      <x:c r="AU413" s="119" t="n">
        <x:f>IF(AR413=0,0,(AR413-IF(6=D413,1,0))*VLOOKUP(INDEX('章节与怪物'!$E$31:$K$37,B413,6),'章节与怪物'!$A$41:$F$44,4,FALSE)+IF(6=D413,'难度参数'!$E$30,0))</x:f>
        <x:v>1176</x:v>
      </x:c>
      <x:c r="AV413" s="119" t="n">
        <x:f>IF(7&gt;D413,0,MAX(2,MIN('难度参数'!$E$12,ROUND(('难度参数'!$E$18*POWER(A413,'难度参数'!$E$19)/D413*(0.85+0.3*(7-1)/MAX(1,D413-1))),0)+F413)))</x:f>
        <x:v>44</x:v>
      </x:c>
      <x:c r="AW413" s="119" t="n">
        <x:f>IF(7&gt;D413,0,ROUND(('难度参数'!$E$13*POWER(A413,'难度参数'!$E$20)*MIN('难度参数'!$E$23,1+MAX(0,A413-'难度参数'!$E$21)*'难度参数'!$E$22))*(36+7*7)/(36+7*(D413+1)/2)*E413,0))</x:f>
        <x:v>13567</x:v>
      </x:c>
      <x:c r="AX413" s="119" t="n">
        <x:f>IF(AV413=0,0,(AV413-IF(7=D413,1,0))*ROUND(AW413*VLOOKUP(INDEX('章节与怪物'!$E$31:$K$37,B413,7),'章节与怪物'!$A$41:$F$44,2,FALSE),0)+IF(7=D413,ROUND(AW413*'难度参数'!$E$28*'章节与怪物'!$E$17,0),0))</x:f>
        <x:v>879801</x:v>
      </x:c>
      <x:c r="AY413" s="119" t="n">
        <x:f>IF(AV413=0,0,(AV413-IF(7=D413,1,0))*VLOOKUP(INDEX('章节与怪物'!$E$31:$K$37,B413,7),'章节与怪物'!$A$41:$F$44,4,FALSE)+IF(7=D413,'难度参数'!$E$30,0))</x:f>
        <x:v>1662</x:v>
      </x:c>
    </x:row>
    <x:row r="414" ht="23" customHeight="1">
      <x:c r="A414" s="119" t="n">
        <x:v>408</x:v>
      </x:c>
      <x:c r="B414" s="119" t="n">
        <x:f>MOD(INT((A414-1)/5),7)+1</x:f>
        <x:v>5</x:v>
      </x:c>
      <x:c r="C414" s="62" t="str">
        <x:f>INDEX('章节与怪物'!$B$31:$B$37,B414)</x:f>
        <x:v>雨林遗迹</x:v>
      </x:c>
      <x:c r="D414" s="119" t="n">
        <x:f>MIN('难度参数'!$E$8,MAX('难度参数'!$E$7,A414))</x:f>
        <x:v>7</x:v>
      </x:c>
      <x:c r="E414" s="106" t="n">
        <x:v>1</x:v>
      </x:c>
      <x:c r="F414" s="106" t="n">
        <x:v>0</x:v>
      </x:c>
      <x:c r="G414" s="106" t="n">
        <x:v>1</x:v>
      </x:c>
      <x:c r="H414" s="119" t="n">
        <x:f>SUM(X414,AB414,AF414,AJ414,AN414,AR414,AV414)</x:f>
        <x:v>272</x:v>
      </x:c>
      <x:c r="I414" s="119" t="n">
        <x:f>SUM(Z414,AD414,AH414,AL414,AP414,AT414,AX414)</x:f>
        <x:v>3668560</x:v>
      </x:c>
      <x:c r="J414" s="119" t="n">
        <x:f>ROUND(INDEX(X414:AY414,1,(D414-1)*4+2)*'难度参数'!$E$28*'章节与怪物'!$E$17,0)</x:f>
        <x:v>92419</x:v>
      </x:c>
      <x:c r="K414" s="119" t="n">
        <x:f>SUM(AA414,AE414,AI414,AM414,AQ414,AU414,AY414)</x:f>
        <x:v>7342</x:v>
      </x:c>
      <x:c r="L414" s="62" t="n">
        <x:f>H414*(ROUNDUP('难度参数'!$E$24/('难度参数'!$E$26*'难度参数'!$E$27),0)*'难度参数'!$E$26)/60</x:f>
        <x:v>3.626666666666667</x:v>
      </x:c>
      <x:c r="M414" s="62" t="n">
        <x:f>L414+D414*('难度参数'!$E$49+'难度参数'!$E$50)/60</x:f>
        <x:v>4.793333333333334</x:v>
      </x:c>
      <x:c r="N414" s="119" t="n">
        <x:f>ROUNDDOWN(('经济参数'!$E$20+A414*'经济参数'!$E$21)*G414,0)</x:f>
        <x:v>8340</x:v>
      </x:c>
      <x:c r="O414" s="119" t="n">
        <x:f>ROUNDDOWN(MIN('经济参数'!$E$24,'经济参数'!$E$22+A414*'经济参数'!$E$23)*G414,0)</x:f>
        <x:v>0</x:v>
      </x:c>
      <x:c r="P414" s="119" t="n">
        <x:f>ROUNDDOWN((IF(A414&gt;='材料与任务'!$E$31,'材料与任务'!$E$32,IF(A414&gt;='材料与任务'!$E$25,'材料与任务'!$E$26,IF(A414&gt;='材料与任务'!$E$19,'材料与任务'!$E$20,IF(A414&gt;='材料与任务'!$E$13,'材料与任务'!$E$14,'材料与任务'!$E$8)))))*G414,0)</x:f>
        <x:v>6</x:v>
      </x:c>
      <x:c r="Q414" s="119" t="n">
        <x:f>ROUNDDOWN((IF(A414&gt;='材料与任务'!$E$31,'材料与任务'!$E$33,IF(A414&gt;='材料与任务'!$E$25,'材料与任务'!$E$27,IF(A414&gt;='材料与任务'!$E$19,'材料与任务'!$E$21,IF(A414&gt;='材料与任务'!$E$13,'材料与任务'!$E$15,'材料与任务'!$E$9)))))*G414,0)</x:f>
        <x:v>3</x:v>
      </x:c>
      <x:c r="R414" s="110" t="n">
        <x:f>'装备掉落'!$B$38</x:f>
        <x:v>0.6872058758851213</x:v>
      </x:c>
      <x:c r="S414" s="119" t="n">
        <x:f>MAX(IF(VLOOKUP(A414,'装备掉落'!$A$29:$H$34,2,TRUE)&gt;0,1,0),IF(VLOOKUP(A414,'装备掉落'!$A$29:$H$34,3,TRUE)&gt;0,2,0),IF(VLOOKUP(A414,'装备掉落'!$A$29:$H$34,4,TRUE)&gt;0,3,0),IF(VLOOKUP(A414,'装备掉落'!$A$29:$H$34,5,TRUE)&gt;0,4,0),IF(VLOOKUP(A414,'装备掉落'!$A$29:$H$34,6,TRUE)&gt;0,5,0),IF(VLOOKUP(A414,'装备掉落'!$A$29:$H$34,7,TRUE)&gt;0,6,0),IF(VLOOKUP(A414,'装备掉落'!$A$29:$H$34,8,TRUE)&gt;0,7,0))</x:f>
        <x:v>7</x:v>
      </x:c>
      <x:c r="T414" s="119" t="n">
        <x:f>MIN(7,S414+'经济参数'!$E$70)</x:f>
        <x:v>7</x:v>
      </x:c>
      <x:c r="U414" s="119" t="n">
        <x:f>MIN(7,S414+'经济参数'!$E$71)</x:f>
        <x:v>7</x:v>
      </x:c>
      <x:c r="V414" s="119" t="n">
        <x:f>IF(H414&gt;=('难度参数'!$E$52),1,0)+IF(H414&gt;=('难度参数'!$E$52+'难度参数'!$E$53),1,0)+IF(H414&gt;=('难度参数'!$E$52+'难度参数'!$E$53+'难度参数'!$E$54),1,0)+IF(H414&gt;=('难度参数'!$E$52+'难度参数'!$E$53+'难度参数'!$E$54+'难度参数'!$E$55),1,0)+IF(H414&gt;=('难度参数'!$E$52+'难度参数'!$E$53+'难度参数'!$E$54+'难度参数'!$E$55+'难度参数'!$E$56),1,0)+IF(H414&gt;=('难度参数'!$E$52+'难度参数'!$E$53+'难度参数'!$E$54+'难度参数'!$E$55+'难度参数'!$E$56+'难度参数'!$E$57),1,0)</x:f>
        <x:v>6</x:v>
      </x:c>
      <x:c r="W414" s="62" t="str">
        <x:f>IF(L414&gt;'难度参数'!$E$51,"仅出怪已超目标","还需实测")</x:f>
        <x:v>仅出怪已超目标</x:v>
      </x:c>
      <x:c r="X414" s="119" t="n">
        <x:f>IF(1&gt;D414,0,MAX(2,MIN('难度参数'!$E$12,ROUND(('难度参数'!$E$18*POWER(A414,'难度参数'!$E$19)/D414*(0.85+0.3*(1-1)/MAX(1,D414-1))),0)+F414)))</x:f>
        <x:v>33</x:v>
      </x:c>
      <x:c r="Y414" s="119" t="n">
        <x:f>IF(1&gt;D414,0,ROUND(('难度参数'!$E$13*POWER(A414,'难度参数'!$E$20)*MIN('难度参数'!$E$23,1+MAX(0,A414-'难度参数'!$E$21)*'难度参数'!$E$22))*(36+1*7)/(36+7*(D414+1)/2)*E414,0))</x:f>
        <x:v>6875</x:v>
      </x:c>
      <x:c r="Z414" s="119" t="n">
        <x:f>IF(X414=0,0,(X414-IF(1=D414,1,0))*ROUND(Y414*VLOOKUP(INDEX('章节与怪物'!$E$31:$K$37,B414,1),'章节与怪物'!$A$41:$F$44,2,FALSE),0)+IF(1=D414,ROUND(Y414*'难度参数'!$E$28*'章节与怪物'!$E$17,0),0))</x:f>
        <x:v>226875</x:v>
      </x:c>
      <x:c r="AA414" s="119" t="n">
        <x:f>IF(X414=0,0,(X414-IF(1=D414,1,0))*VLOOKUP(INDEX('章节与怪物'!$E$31:$K$37,B414,1),'章节与怪物'!$A$41:$F$44,4,FALSE)+IF(1=D414,'难度参数'!$E$30,0))</x:f>
        <x:v>594</x:v>
      </x:c>
      <x:c r="AB414" s="119" t="n">
        <x:f>IF(2&gt;D414,0,MAX(2,MIN('难度参数'!$E$12,ROUND(('难度参数'!$E$18*POWER(A414,'难度参数'!$E$19)/D414*(0.85+0.3*(2-1)/MAX(1,D414-1))),0)+F414)))</x:f>
        <x:v>35</x:v>
      </x:c>
      <x:c r="AC414" s="119" t="n">
        <x:f>IF(2&gt;D414,0,ROUND(('难度参数'!$E$13*POWER(A414,'难度参数'!$E$20)*MIN('难度参数'!$E$23,1+MAX(0,A414-'难度参数'!$E$21)*'难度参数'!$E$22))*(36+2*7)/(36+7*(D414+1)/2)*E414,0))</x:f>
        <x:v>7995</x:v>
      </x:c>
      <x:c r="AD414" s="119" t="n">
        <x:f>IF(AB414=0,0,(AB414-IF(2=D414,1,0))*ROUND(AC414*VLOOKUP(INDEX('章节与怪物'!$E$31:$K$37,B414,2),'章节与怪物'!$A$41:$F$44,2,FALSE),0)+IF(2=D414,ROUND(AC414*'难度参数'!$E$28*'章节与怪物'!$E$17,0),0))</x:f>
        <x:v>201460</x:v>
      </x:c>
      <x:c r="AE414" s="119" t="n">
        <x:f>IF(AB414=0,0,(AB414-IF(2=D414,1,0))*VLOOKUP(INDEX('章节与怪物'!$E$31:$K$37,B414,2),'章节与怪物'!$A$41:$F$44,4,FALSE)+IF(2=D414,'难度参数'!$E$30,0))</x:f>
        <x:v>700</x:v>
      </x:c>
      <x:c r="AF414" s="119" t="n">
        <x:f>IF(3&gt;D414,0,MAX(2,MIN('难度参数'!$E$12,ROUND(('难度参数'!$E$18*POWER(A414,'难度参数'!$E$19)/D414*(0.85+0.3*(3-1)/MAX(1,D414-1))),0)+F414)))</x:f>
        <x:v>37</x:v>
      </x:c>
      <x:c r="AG414" s="119" t="n">
        <x:f>IF(3&gt;D414,0,ROUND(('难度参数'!$E$13*POWER(A414,'难度参数'!$E$20)*MIN('难度参数'!$E$23,1+MAX(0,A414-'难度参数'!$E$21)*'难度参数'!$E$22))*(36+3*7)/(36+7*(D414+1)/2)*E414,0))</x:f>
        <x:v>9114</x:v>
      </x:c>
      <x:c r="AH414" s="119" t="n">
        <x:f>IF(AF414=0,0,(AF414-IF(3=D414,1,0))*ROUND(AG414*VLOOKUP(INDEX('章节与怪物'!$E$31:$K$37,B414,3),'章节与怪物'!$A$41:$F$44,2,FALSE),0)+IF(3=D414,ROUND(AG414*'难度参数'!$E$28*'章节与怪物'!$E$17,0),0))</x:f>
        <x:v>573278</x:v>
      </x:c>
      <x:c r="AI414" s="119" t="n">
        <x:f>IF(AF414=0,0,(AF414-IF(3=D414,1,0))*VLOOKUP(INDEX('章节与怪物'!$E$31:$K$37,B414,3),'章节与怪物'!$A$41:$F$44,4,FALSE)+IF(3=D414,'难度参数'!$E$30,0))</x:f>
        <x:v>1036</x:v>
      </x:c>
      <x:c r="AJ414" s="119" t="n">
        <x:f>IF(4&gt;D414,0,MAX(2,MIN('难度参数'!$E$12,ROUND(('难度参数'!$E$18*POWER(A414,'难度参数'!$E$19)/D414*(0.85+0.3*(4-1)/MAX(1,D414-1))),0)+F414)))</x:f>
        <x:v>39</x:v>
      </x:c>
      <x:c r="AK414" s="119" t="n">
        <x:f>IF(4&gt;D414,0,ROUND(('难度参数'!$E$13*POWER(A414,'难度参数'!$E$20)*MIN('难度参数'!$E$23,1+MAX(0,A414-'难度参数'!$E$21)*'难度参数'!$E$22))*(36+4*7)/(36+7*(D414+1)/2)*E414,0))</x:f>
        <x:v>10233</x:v>
      </x:c>
      <x:c r="AL414" s="119" t="n">
        <x:f>IF(AJ414=0,0,(AJ414-IF(4=D414,1,0))*ROUND(AK414*VLOOKUP(INDEX('章节与怪物'!$E$31:$K$37,B414,4),'章节与怪物'!$A$41:$F$44,2,FALSE),0)+IF(4=D414,ROUND(AK414*'难度参数'!$E$28*'章节与怪物'!$E$17,0),0))</x:f>
        <x:v>538785</x:v>
      </x:c>
      <x:c r="AM414" s="119" t="n">
        <x:f>IF(AJ414=0,0,(AJ414-IF(4=D414,1,0))*VLOOKUP(INDEX('章节与怪物'!$E$31:$K$37,B414,4),'章节与怪物'!$A$41:$F$44,4,FALSE)+IF(4=D414,'难度参数'!$E$30,0))</x:f>
        <x:v>1326</x:v>
      </x:c>
      <x:c r="AN414" s="119" t="n">
        <x:f>IF(5&gt;D414,0,MAX(2,MIN('难度参数'!$E$12,ROUND(('难度参数'!$E$18*POWER(A414,'难度参数'!$E$19)/D414*(0.85+0.3*(5-1)/MAX(1,D414-1))),0)+F414)))</x:f>
        <x:v>41</x:v>
      </x:c>
      <x:c r="AO414" s="119" t="n">
        <x:f>IF(5&gt;D414,0,ROUND(('难度参数'!$E$13*POWER(A414,'难度参数'!$E$20)*MIN('难度参数'!$E$23,1+MAX(0,A414-'难度参数'!$E$21)*'难度参数'!$E$22))*(36+5*7)/(36+7*(D414+1)/2)*E414,0))</x:f>
        <x:v>11352</x:v>
      </x:c>
      <x:c r="AP414" s="119" t="n">
        <x:f>IF(AN414=0,0,(AN414-IF(5=D414,1,0))*ROUND(AO414*VLOOKUP(INDEX('章节与怪物'!$E$31:$K$37,B414,5),'章节与怪物'!$A$41:$F$44,2,FALSE),0)+IF(5=D414,ROUND(AO414*'难度参数'!$E$28*'章节与怪物'!$E$17,0),0))</x:f>
        <x:v>335093</x:v>
      </x:c>
      <x:c r="AQ414" s="119" t="n">
        <x:f>IF(AN414=0,0,(AN414-IF(5=D414,1,0))*VLOOKUP(INDEX('章节与怪物'!$E$31:$K$37,B414,5),'章节与怪物'!$A$41:$F$44,4,FALSE)+IF(5=D414,'难度参数'!$E$30,0))</x:f>
        <x:v>820</x:v>
      </x:c>
      <x:c r="AR414" s="119" t="n">
        <x:f>IF(6&gt;D414,0,MAX(2,MIN('难度参数'!$E$12,ROUND(('难度参数'!$E$18*POWER(A414,'难度参数'!$E$19)/D414*(0.85+0.3*(6-1)/MAX(1,D414-1))),0)+F414)))</x:f>
        <x:v>43</x:v>
      </x:c>
      <x:c r="AS414" s="119" t="n">
        <x:f>IF(6&gt;D414,0,ROUND(('难度参数'!$E$13*POWER(A414,'难度参数'!$E$20)*MIN('难度参数'!$E$23,1+MAX(0,A414-'难度参数'!$E$21)*'难度参数'!$E$22))*(36+6*7)/(36+7*(D414+1)/2)*E414,0))</x:f>
        <x:v>12472</x:v>
      </x:c>
      <x:c r="AT414" s="119" t="n">
        <x:f>IF(AR414=0,0,(AR414-IF(6=D414,1,0))*ROUND(AS414*VLOOKUP(INDEX('章节与怪物'!$E$31:$K$37,B414,6),'章节与怪物'!$A$41:$F$44,2,FALSE),0)+IF(6=D414,ROUND(AS414*'难度参数'!$E$28*'章节与怪物'!$E$17,0),0))</x:f>
        <x:v>911686</x:v>
      </x:c>
      <x:c r="AU414" s="119" t="n">
        <x:f>IF(AR414=0,0,(AR414-IF(6=D414,1,0))*VLOOKUP(INDEX('章节与怪物'!$E$31:$K$37,B414,6),'章节与怪物'!$A$41:$F$44,4,FALSE)+IF(6=D414,'难度参数'!$E$30,0))</x:f>
        <x:v>1204</x:v>
      </x:c>
      <x:c r="AV414" s="119" t="n">
        <x:f>IF(7&gt;D414,0,MAX(2,MIN('难度参数'!$E$12,ROUND(('难度参数'!$E$18*POWER(A414,'难度参数'!$E$19)/D414*(0.85+0.3*(7-1)/MAX(1,D414-1))),0)+F414)))</x:f>
        <x:v>44</x:v>
      </x:c>
      <x:c r="AW414" s="119" t="n">
        <x:f>IF(7&gt;D414,0,ROUND(('难度参数'!$E$13*POWER(A414,'难度参数'!$E$20)*MIN('难度参数'!$E$23,1+MAX(0,A414-'难度参数'!$E$21)*'难度参数'!$E$22))*(36+7*7)/(36+7*(D414+1)/2)*E414,0))</x:f>
        <x:v>13591</x:v>
      </x:c>
      <x:c r="AX414" s="119" t="n">
        <x:f>IF(AV414=0,0,(AV414-IF(7=D414,1,0))*ROUND(AW414*VLOOKUP(INDEX('章节与怪物'!$E$31:$K$37,B414,7),'章节与怪物'!$A$41:$F$44,2,FALSE),0)+IF(7=D414,ROUND(AW414*'难度参数'!$E$28*'章节与怪物'!$E$17,0),0))</x:f>
        <x:v>881383</x:v>
      </x:c>
      <x:c r="AY414" s="119" t="n">
        <x:f>IF(AV414=0,0,(AV414-IF(7=D414,1,0))*VLOOKUP(INDEX('章节与怪物'!$E$31:$K$37,B414,7),'章节与怪物'!$A$41:$F$44,4,FALSE)+IF(7=D414,'难度参数'!$E$30,0))</x:f>
        <x:v>1662</x:v>
      </x:c>
    </x:row>
    <x:row r="415" ht="23" customHeight="1">
      <x:c r="A415" s="119" t="n">
        <x:v>409</x:v>
      </x:c>
      <x:c r="B415" s="119" t="n">
        <x:f>MOD(INT((A415-1)/5),7)+1</x:f>
        <x:v>5</x:v>
      </x:c>
      <x:c r="C415" s="62" t="str">
        <x:f>INDEX('章节与怪物'!$B$31:$B$37,B415)</x:f>
        <x:v>雨林遗迹</x:v>
      </x:c>
      <x:c r="D415" s="119" t="n">
        <x:f>MIN('难度参数'!$E$8,MAX('难度参数'!$E$7,A415))</x:f>
        <x:v>7</x:v>
      </x:c>
      <x:c r="E415" s="106" t="n">
        <x:v>1</x:v>
      </x:c>
      <x:c r="F415" s="106" t="n">
        <x:v>0</x:v>
      </x:c>
      <x:c r="G415" s="106" t="n">
        <x:v>1</x:v>
      </x:c>
      <x:c r="H415" s="119" t="n">
        <x:f>SUM(X415,AB415,AF415,AJ415,AN415,AR415,AV415)</x:f>
        <x:v>272</x:v>
      </x:c>
      <x:c r="I415" s="119" t="n">
        <x:f>SUM(Z415,AD415,AH415,AL415,AP415,AT415,AX415)</x:f>
        <x:v>3675062</x:v>
      </x:c>
      <x:c r="J415" s="119" t="n">
        <x:f>ROUND(INDEX(X415:AY415,1,(D415-1)*4+2)*'难度参数'!$E$28*'章节与怪物'!$E$17,0)</x:f>
        <x:v>92582</x:v>
      </x:c>
      <x:c r="K415" s="119" t="n">
        <x:f>SUM(AA415,AE415,AI415,AM415,AQ415,AU415,AY415)</x:f>
        <x:v>7342</x:v>
      </x:c>
      <x:c r="L415" s="62" t="n">
        <x:f>H415*(ROUNDUP('难度参数'!$E$24/('难度参数'!$E$26*'难度参数'!$E$27),0)*'难度参数'!$E$26)/60</x:f>
        <x:v>3.626666666666667</x:v>
      </x:c>
      <x:c r="M415" s="62" t="n">
        <x:f>L415+D415*('难度参数'!$E$49+'难度参数'!$E$50)/60</x:f>
        <x:v>4.793333333333334</x:v>
      </x:c>
      <x:c r="N415" s="119" t="n">
        <x:f>ROUNDDOWN(('经济参数'!$E$20+A415*'经济参数'!$E$21)*G415,0)</x:f>
        <x:v>8360</x:v>
      </x:c>
      <x:c r="O415" s="119" t="n">
        <x:f>ROUNDDOWN(MIN('经济参数'!$E$24,'经济参数'!$E$22+A415*'经济参数'!$E$23)*G415,0)</x:f>
        <x:v>0</x:v>
      </x:c>
      <x:c r="P415" s="119" t="n">
        <x:f>ROUNDDOWN((IF(A415&gt;='材料与任务'!$E$31,'材料与任务'!$E$32,IF(A415&gt;='材料与任务'!$E$25,'材料与任务'!$E$26,IF(A415&gt;='材料与任务'!$E$19,'材料与任务'!$E$20,IF(A415&gt;='材料与任务'!$E$13,'材料与任务'!$E$14,'材料与任务'!$E$8)))))*G415,0)</x:f>
        <x:v>6</x:v>
      </x:c>
      <x:c r="Q415" s="119" t="n">
        <x:f>ROUNDDOWN((IF(A415&gt;='材料与任务'!$E$31,'材料与任务'!$E$33,IF(A415&gt;='材料与任务'!$E$25,'材料与任务'!$E$27,IF(A415&gt;='材料与任务'!$E$19,'材料与任务'!$E$21,IF(A415&gt;='材料与任务'!$E$13,'材料与任务'!$E$15,'材料与任务'!$E$9)))))*G415,0)</x:f>
        <x:v>3</x:v>
      </x:c>
      <x:c r="R415" s="110" t="n">
        <x:f>'装备掉落'!$B$38</x:f>
        <x:v>0.6872058758851213</x:v>
      </x:c>
      <x:c r="S415" s="119" t="n">
        <x:f>MAX(IF(VLOOKUP(A415,'装备掉落'!$A$29:$H$34,2,TRUE)&gt;0,1,0),IF(VLOOKUP(A415,'装备掉落'!$A$29:$H$34,3,TRUE)&gt;0,2,0),IF(VLOOKUP(A415,'装备掉落'!$A$29:$H$34,4,TRUE)&gt;0,3,0),IF(VLOOKUP(A415,'装备掉落'!$A$29:$H$34,5,TRUE)&gt;0,4,0),IF(VLOOKUP(A415,'装备掉落'!$A$29:$H$34,6,TRUE)&gt;0,5,0),IF(VLOOKUP(A415,'装备掉落'!$A$29:$H$34,7,TRUE)&gt;0,6,0),IF(VLOOKUP(A415,'装备掉落'!$A$29:$H$34,8,TRUE)&gt;0,7,0))</x:f>
        <x:v>7</x:v>
      </x:c>
      <x:c r="T415" s="119" t="n">
        <x:f>MIN(7,S415+'经济参数'!$E$70)</x:f>
        <x:v>7</x:v>
      </x:c>
      <x:c r="U415" s="119" t="n">
        <x:f>MIN(7,S415+'经济参数'!$E$71)</x:f>
        <x:v>7</x:v>
      </x:c>
      <x:c r="V415" s="119" t="n">
        <x:f>IF(H415&gt;=('难度参数'!$E$52),1,0)+IF(H415&gt;=('难度参数'!$E$52+'难度参数'!$E$53),1,0)+IF(H415&gt;=('难度参数'!$E$52+'难度参数'!$E$53+'难度参数'!$E$54),1,0)+IF(H415&gt;=('难度参数'!$E$52+'难度参数'!$E$53+'难度参数'!$E$54+'难度参数'!$E$55),1,0)+IF(H415&gt;=('难度参数'!$E$52+'难度参数'!$E$53+'难度参数'!$E$54+'难度参数'!$E$55+'难度参数'!$E$56),1,0)+IF(H415&gt;=('难度参数'!$E$52+'难度参数'!$E$53+'难度参数'!$E$54+'难度参数'!$E$55+'难度参数'!$E$56+'难度参数'!$E$57),1,0)</x:f>
        <x:v>6</x:v>
      </x:c>
      <x:c r="W415" s="62" t="str">
        <x:f>IF(L415&gt;'难度参数'!$E$51,"仅出怪已超目标","还需实测")</x:f>
        <x:v>仅出怪已超目标</x:v>
      </x:c>
      <x:c r="X415" s="119" t="n">
        <x:f>IF(1&gt;D415,0,MAX(2,MIN('难度参数'!$E$12,ROUND(('难度参数'!$E$18*POWER(A415,'难度参数'!$E$19)/D415*(0.85+0.3*(1-1)/MAX(1,D415-1))),0)+F415)))</x:f>
        <x:v>33</x:v>
      </x:c>
      <x:c r="Y415" s="119" t="n">
        <x:f>IF(1&gt;D415,0,ROUND(('难度参数'!$E$13*POWER(A415,'难度参数'!$E$20)*MIN('难度参数'!$E$23,1+MAX(0,A415-'难度参数'!$E$21)*'难度参数'!$E$22))*(36+1*7)/(36+7*(D415+1)/2)*E415,0))</x:f>
        <x:v>6888</x:v>
      </x:c>
      <x:c r="Z415" s="119" t="n">
        <x:f>IF(X415=0,0,(X415-IF(1=D415,1,0))*ROUND(Y415*VLOOKUP(INDEX('章节与怪物'!$E$31:$K$37,B415,1),'章节与怪物'!$A$41:$F$44,2,FALSE),0)+IF(1=D415,ROUND(Y415*'难度参数'!$E$28*'章节与怪物'!$E$17,0),0))</x:f>
        <x:v>227304</x:v>
      </x:c>
      <x:c r="AA415" s="119" t="n">
        <x:f>IF(X415=0,0,(X415-IF(1=D415,1,0))*VLOOKUP(INDEX('章节与怪物'!$E$31:$K$37,B415,1),'章节与怪物'!$A$41:$F$44,4,FALSE)+IF(1=D415,'难度参数'!$E$30,0))</x:f>
        <x:v>594</x:v>
      </x:c>
      <x:c r="AB415" s="119" t="n">
        <x:f>IF(2&gt;D415,0,MAX(2,MIN('难度参数'!$E$12,ROUND(('难度参数'!$E$18*POWER(A415,'难度参数'!$E$19)/D415*(0.85+0.3*(2-1)/MAX(1,D415-1))),0)+F415)))</x:f>
        <x:v>35</x:v>
      </x:c>
      <x:c r="AC415" s="119" t="n">
        <x:f>IF(2&gt;D415,0,ROUND(('难度参数'!$E$13*POWER(A415,'难度参数'!$E$20)*MIN('难度参数'!$E$23,1+MAX(0,A415-'难度参数'!$E$21)*'难度参数'!$E$22))*(36+2*7)/(36+7*(D415+1)/2)*E415,0))</x:f>
        <x:v>8009</x:v>
      </x:c>
      <x:c r="AD415" s="119" t="n">
        <x:f>IF(AB415=0,0,(AB415-IF(2=D415,1,0))*ROUND(AC415*VLOOKUP(INDEX('章节与怪物'!$E$31:$K$37,B415,2),'章节与怪物'!$A$41:$F$44,2,FALSE),0)+IF(2=D415,ROUND(AC415*'难度参数'!$E$28*'章节与怪物'!$E$17,0),0))</x:f>
        <x:v>201810</x:v>
      </x:c>
      <x:c r="AE415" s="119" t="n">
        <x:f>IF(AB415=0,0,(AB415-IF(2=D415,1,0))*VLOOKUP(INDEX('章节与怪物'!$E$31:$K$37,B415,2),'章节与怪物'!$A$41:$F$44,4,FALSE)+IF(2=D415,'难度参数'!$E$30,0))</x:f>
        <x:v>700</x:v>
      </x:c>
      <x:c r="AF415" s="119" t="n">
        <x:f>IF(3&gt;D415,0,MAX(2,MIN('难度参数'!$E$12,ROUND(('难度参数'!$E$18*POWER(A415,'难度参数'!$E$19)/D415*(0.85+0.3*(3-1)/MAX(1,D415-1))),0)+F415)))</x:f>
        <x:v>37</x:v>
      </x:c>
      <x:c r="AG415" s="119" t="n">
        <x:f>IF(3&gt;D415,0,ROUND(('难度参数'!$E$13*POWER(A415,'难度参数'!$E$20)*MIN('难度参数'!$E$23,1+MAX(0,A415-'难度参数'!$E$21)*'难度参数'!$E$22))*(36+3*7)/(36+7*(D415+1)/2)*E415,0))</x:f>
        <x:v>9130</x:v>
      </x:c>
      <x:c r="AH415" s="119" t="n">
        <x:f>IF(AF415=0,0,(AF415-IF(3=D415,1,0))*ROUND(AG415*VLOOKUP(INDEX('章节与怪物'!$E$31:$K$37,B415,3),'章节与怪物'!$A$41:$F$44,2,FALSE),0)+IF(3=D415,ROUND(AG415*'难度参数'!$E$28*'章节与怪物'!$E$17,0),0))</x:f>
        <x:v>574277</x:v>
      </x:c>
      <x:c r="AI415" s="119" t="n">
        <x:f>IF(AF415=0,0,(AF415-IF(3=D415,1,0))*VLOOKUP(INDEX('章节与怪物'!$E$31:$K$37,B415,3),'章节与怪物'!$A$41:$F$44,4,FALSE)+IF(3=D415,'难度参数'!$E$30,0))</x:f>
        <x:v>1036</x:v>
      </x:c>
      <x:c r="AJ415" s="119" t="n">
        <x:f>IF(4&gt;D415,0,MAX(2,MIN('难度参数'!$E$12,ROUND(('难度参数'!$E$18*POWER(A415,'难度参数'!$E$19)/D415*(0.85+0.3*(4-1)/MAX(1,D415-1))),0)+F415)))</x:f>
        <x:v>39</x:v>
      </x:c>
      <x:c r="AK415" s="119" t="n">
        <x:f>IF(4&gt;D415,0,ROUND(('难度参数'!$E$13*POWER(A415,'难度参数'!$E$20)*MIN('难度参数'!$E$23,1+MAX(0,A415-'难度参数'!$E$21)*'难度参数'!$E$22))*(36+4*7)/(36+7*(D415+1)/2)*E415,0))</x:f>
        <x:v>10251</x:v>
      </x:c>
      <x:c r="AL415" s="119" t="n">
        <x:f>IF(AJ415=0,0,(AJ415-IF(4=D415,1,0))*ROUND(AK415*VLOOKUP(INDEX('章节与怪物'!$E$31:$K$37,B415,4),'章节与怪物'!$A$41:$F$44,2,FALSE),0)+IF(4=D415,ROUND(AK415*'难度参数'!$E$28*'章节与怪物'!$E$17,0),0))</x:f>
        <x:v>539721</x:v>
      </x:c>
      <x:c r="AM415" s="119" t="n">
        <x:f>IF(AJ415=0,0,(AJ415-IF(4=D415,1,0))*VLOOKUP(INDEX('章节与怪物'!$E$31:$K$37,B415,4),'章节与怪物'!$A$41:$F$44,4,FALSE)+IF(4=D415,'难度参数'!$E$30,0))</x:f>
        <x:v>1326</x:v>
      </x:c>
      <x:c r="AN415" s="119" t="n">
        <x:f>IF(5&gt;D415,0,MAX(2,MIN('难度参数'!$E$12,ROUND(('难度参数'!$E$18*POWER(A415,'难度参数'!$E$19)/D415*(0.85+0.3*(5-1)/MAX(1,D415-1))),0)+F415)))</x:f>
        <x:v>41</x:v>
      </x:c>
      <x:c r="AO415" s="119" t="n">
        <x:f>IF(5&gt;D415,0,ROUND(('难度参数'!$E$13*POWER(A415,'难度参数'!$E$20)*MIN('难度参数'!$E$23,1+MAX(0,A415-'难度参数'!$E$21)*'难度参数'!$E$22))*(36+5*7)/(36+7*(D415+1)/2)*E415,0))</x:f>
        <x:v>11372</x:v>
      </x:c>
      <x:c r="AP415" s="119" t="n">
        <x:f>IF(AN415=0,0,(AN415-IF(5=D415,1,0))*ROUND(AO415*VLOOKUP(INDEX('章节与怪物'!$E$31:$K$37,B415,5),'章节与怪物'!$A$41:$F$44,2,FALSE),0)+IF(5=D415,ROUND(AO415*'难度参数'!$E$28*'章节与怪物'!$E$17,0),0))</x:f>
        <x:v>335708</x:v>
      </x:c>
      <x:c r="AQ415" s="119" t="n">
        <x:f>IF(AN415=0,0,(AN415-IF(5=D415,1,0))*VLOOKUP(INDEX('章节与怪物'!$E$31:$K$37,B415,5),'章节与怪物'!$A$41:$F$44,4,FALSE)+IF(5=D415,'难度参数'!$E$30,0))</x:f>
        <x:v>820</x:v>
      </x:c>
      <x:c r="AR415" s="119" t="n">
        <x:f>IF(6&gt;D415,0,MAX(2,MIN('难度参数'!$E$12,ROUND(('难度参数'!$E$18*POWER(A415,'难度参数'!$E$19)/D415*(0.85+0.3*(6-1)/MAX(1,D415-1))),0)+F415)))</x:f>
        <x:v>43</x:v>
      </x:c>
      <x:c r="AS415" s="119" t="n">
        <x:f>IF(6&gt;D415,0,ROUND(('难度参数'!$E$13*POWER(A415,'难度参数'!$E$20)*MIN('难度参数'!$E$23,1+MAX(0,A415-'难度参数'!$E$21)*'难度参数'!$E$22))*(36+6*7)/(36+7*(D415+1)/2)*E415,0))</x:f>
        <x:v>12494</x:v>
      </x:c>
      <x:c r="AT415" s="119" t="n">
        <x:f>IF(AR415=0,0,(AR415-IF(6=D415,1,0))*ROUND(AS415*VLOOKUP(INDEX('章节与怪物'!$E$31:$K$37,B415,6),'章节与怪物'!$A$41:$F$44,2,FALSE),0)+IF(6=D415,ROUND(AS415*'难度参数'!$E$28*'章节与怪物'!$E$17,0),0))</x:f>
        <x:v>913320</x:v>
      </x:c>
      <x:c r="AU415" s="119" t="n">
        <x:f>IF(AR415=0,0,(AR415-IF(6=D415,1,0))*VLOOKUP(INDEX('章节与怪物'!$E$31:$K$37,B415,6),'章节与怪物'!$A$41:$F$44,4,FALSE)+IF(6=D415,'难度参数'!$E$30,0))</x:f>
        <x:v>1204</x:v>
      </x:c>
      <x:c r="AV415" s="119" t="n">
        <x:f>IF(7&gt;D415,0,MAX(2,MIN('难度参数'!$E$12,ROUND(('难度参数'!$E$18*POWER(A415,'难度参数'!$E$19)/D415*(0.85+0.3*(7-1)/MAX(1,D415-1))),0)+F415)))</x:f>
        <x:v>44</x:v>
      </x:c>
      <x:c r="AW415" s="119" t="n">
        <x:f>IF(7&gt;D415,0,ROUND(('难度参数'!$E$13*POWER(A415,'难度参数'!$E$20)*MIN('难度参数'!$E$23,1+MAX(0,A415-'难度参数'!$E$21)*'难度参数'!$E$22))*(36+7*7)/(36+7*(D415+1)/2)*E415,0))</x:f>
        <x:v>13615</x:v>
      </x:c>
      <x:c r="AX415" s="119" t="n">
        <x:f>IF(AV415=0,0,(AV415-IF(7=D415,1,0))*ROUND(AW415*VLOOKUP(INDEX('章节与怪物'!$E$31:$K$37,B415,7),'章节与怪物'!$A$41:$F$44,2,FALSE),0)+IF(7=D415,ROUND(AW415*'难度参数'!$E$28*'章节与怪物'!$E$17,0),0))</x:f>
        <x:v>882922</x:v>
      </x:c>
      <x:c r="AY415" s="119" t="n">
        <x:f>IF(AV415=0,0,(AV415-IF(7=D415,1,0))*VLOOKUP(INDEX('章节与怪物'!$E$31:$K$37,B415,7),'章节与怪物'!$A$41:$F$44,4,FALSE)+IF(7=D415,'难度参数'!$E$30,0))</x:f>
        <x:v>1662</x:v>
      </x:c>
    </x:row>
    <x:row r="416" ht="23" customHeight="1">
      <x:c r="A416" s="119" t="n">
        <x:v>410</x:v>
      </x:c>
      <x:c r="B416" s="119" t="n">
        <x:f>MOD(INT((A416-1)/5),7)+1</x:f>
        <x:v>5</x:v>
      </x:c>
      <x:c r="C416" s="62" t="str">
        <x:f>INDEX('章节与怪物'!$B$31:$B$37,B416)</x:f>
        <x:v>雨林遗迹</x:v>
      </x:c>
      <x:c r="D416" s="119" t="n">
        <x:f>MIN('难度参数'!$E$8,MAX('难度参数'!$E$7,A416))</x:f>
        <x:v>7</x:v>
      </x:c>
      <x:c r="E416" s="106" t="n">
        <x:v>1</x:v>
      </x:c>
      <x:c r="F416" s="106" t="n">
        <x:v>0</x:v>
      </x:c>
      <x:c r="G416" s="106" t="n">
        <x:v>1</x:v>
      </x:c>
      <x:c r="H416" s="119" t="n">
        <x:f>SUM(X416,AB416,AF416,AJ416,AN416,AR416,AV416)</x:f>
        <x:v>273</x:v>
      </x:c>
      <x:c r="I416" s="119" t="n">
        <x:f>SUM(Z416,AD416,AH416,AL416,AP416,AT416,AX416)</x:f>
        <x:v>3699938</x:v>
      </x:c>
      <x:c r="J416" s="119" t="n">
        <x:f>ROUND(INDEX(X416:AY416,1,(D416-1)*4+2)*'难度参数'!$E$28*'章节与怪物'!$E$17,0)</x:f>
        <x:v>92745</x:v>
      </x:c>
      <x:c r="K416" s="119" t="n">
        <x:f>SUM(AA416,AE416,AI416,AM416,AQ416,AU416,AY416)</x:f>
        <x:v>7376</x:v>
      </x:c>
      <x:c r="L416" s="62" t="n">
        <x:f>H416*(ROUNDUP('难度参数'!$E$24/('难度参数'!$E$26*'难度参数'!$E$27),0)*'难度参数'!$E$26)/60</x:f>
        <x:v>3.64</x:v>
      </x:c>
      <x:c r="M416" s="62" t="n">
        <x:f>L416+D416*('难度参数'!$E$49+'难度参数'!$E$50)/60</x:f>
        <x:v>4.806666666666667</x:v>
      </x:c>
      <x:c r="N416" s="119" t="n">
        <x:f>ROUNDDOWN(('经济参数'!$E$20+A416*'经济参数'!$E$21)*G416,0)</x:f>
        <x:v>8380</x:v>
      </x:c>
      <x:c r="O416" s="119" t="n">
        <x:f>ROUNDDOWN(MIN('经济参数'!$E$24,'经济参数'!$E$22+A416*'经济参数'!$E$23)*G416,0)</x:f>
        <x:v>0</x:v>
      </x:c>
      <x:c r="P416" s="119" t="n">
        <x:f>ROUNDDOWN((IF(A416&gt;='材料与任务'!$E$31,'材料与任务'!$E$32,IF(A416&gt;='材料与任务'!$E$25,'材料与任务'!$E$26,IF(A416&gt;='材料与任务'!$E$19,'材料与任务'!$E$20,IF(A416&gt;='材料与任务'!$E$13,'材料与任务'!$E$14,'材料与任务'!$E$8)))))*G416,0)</x:f>
        <x:v>6</x:v>
      </x:c>
      <x:c r="Q416" s="119" t="n">
        <x:f>ROUNDDOWN((IF(A416&gt;='材料与任务'!$E$31,'材料与任务'!$E$33,IF(A416&gt;='材料与任务'!$E$25,'材料与任务'!$E$27,IF(A416&gt;='材料与任务'!$E$19,'材料与任务'!$E$21,IF(A416&gt;='材料与任务'!$E$13,'材料与任务'!$E$15,'材料与任务'!$E$9)))))*G416,0)</x:f>
        <x:v>3</x:v>
      </x:c>
      <x:c r="R416" s="110" t="n">
        <x:f>'装备掉落'!$B$38</x:f>
        <x:v>0.6872058758851213</x:v>
      </x:c>
      <x:c r="S416" s="119" t="n">
        <x:f>MAX(IF(VLOOKUP(A416,'装备掉落'!$A$29:$H$34,2,TRUE)&gt;0,1,0),IF(VLOOKUP(A416,'装备掉落'!$A$29:$H$34,3,TRUE)&gt;0,2,0),IF(VLOOKUP(A416,'装备掉落'!$A$29:$H$34,4,TRUE)&gt;0,3,0),IF(VLOOKUP(A416,'装备掉落'!$A$29:$H$34,5,TRUE)&gt;0,4,0),IF(VLOOKUP(A416,'装备掉落'!$A$29:$H$34,6,TRUE)&gt;0,5,0),IF(VLOOKUP(A416,'装备掉落'!$A$29:$H$34,7,TRUE)&gt;0,6,0),IF(VLOOKUP(A416,'装备掉落'!$A$29:$H$34,8,TRUE)&gt;0,7,0))</x:f>
        <x:v>7</x:v>
      </x:c>
      <x:c r="T416" s="119" t="n">
        <x:f>MIN(7,S416+'经济参数'!$E$70)</x:f>
        <x:v>7</x:v>
      </x:c>
      <x:c r="U416" s="119" t="n">
        <x:f>MIN(7,S416+'经济参数'!$E$71)</x:f>
        <x:v>7</x:v>
      </x:c>
      <x:c r="V416" s="119" t="n">
        <x:f>IF(H416&gt;=('难度参数'!$E$52),1,0)+IF(H416&gt;=('难度参数'!$E$52+'难度参数'!$E$53),1,0)+IF(H416&gt;=('难度参数'!$E$52+'难度参数'!$E$53+'难度参数'!$E$54),1,0)+IF(H416&gt;=('难度参数'!$E$52+'难度参数'!$E$53+'难度参数'!$E$54+'难度参数'!$E$55),1,0)+IF(H416&gt;=('难度参数'!$E$52+'难度参数'!$E$53+'难度参数'!$E$54+'难度参数'!$E$55+'难度参数'!$E$56),1,0)+IF(H416&gt;=('难度参数'!$E$52+'难度参数'!$E$53+'难度参数'!$E$54+'难度参数'!$E$55+'难度参数'!$E$56+'难度参数'!$E$57),1,0)</x:f>
        <x:v>6</x:v>
      </x:c>
      <x:c r="W416" s="62" t="str">
        <x:f>IF(L416&gt;'难度参数'!$E$51,"仅出怪已超目标","还需实测")</x:f>
        <x:v>仅出怪已超目标</x:v>
      </x:c>
      <x:c r="X416" s="119" t="n">
        <x:f>IF(1&gt;D416,0,MAX(2,MIN('难度参数'!$E$12,ROUND(('难度参数'!$E$18*POWER(A416,'难度参数'!$E$19)/D416*(0.85+0.3*(1-1)/MAX(1,D416-1))),0)+F416)))</x:f>
        <x:v>33</x:v>
      </x:c>
      <x:c r="Y416" s="119" t="n">
        <x:f>IF(1&gt;D416,0,ROUND(('难度参数'!$E$13*POWER(A416,'难度参数'!$E$20)*MIN('难度参数'!$E$23,1+MAX(0,A416-'难度参数'!$E$21)*'难度参数'!$E$22))*(36+1*7)/(36+7*(D416+1)/2)*E416,0))</x:f>
        <x:v>6900</x:v>
      </x:c>
      <x:c r="Z416" s="119" t="n">
        <x:f>IF(X416=0,0,(X416-IF(1=D416,1,0))*ROUND(Y416*VLOOKUP(INDEX('章节与怪物'!$E$31:$K$37,B416,1),'章节与怪物'!$A$41:$F$44,2,FALSE),0)+IF(1=D416,ROUND(Y416*'难度参数'!$E$28*'章节与怪物'!$E$17,0),0))</x:f>
        <x:v>227700</x:v>
      </x:c>
      <x:c r="AA416" s="119" t="n">
        <x:f>IF(X416=0,0,(X416-IF(1=D416,1,0))*VLOOKUP(INDEX('章节与怪物'!$E$31:$K$37,B416,1),'章节与怪物'!$A$41:$F$44,4,FALSE)+IF(1=D416,'难度参数'!$E$30,0))</x:f>
        <x:v>594</x:v>
      </x:c>
      <x:c r="AB416" s="119" t="n">
        <x:f>IF(2&gt;D416,0,MAX(2,MIN('难度参数'!$E$12,ROUND(('难度参数'!$E$18*POWER(A416,'难度参数'!$E$19)/D416*(0.85+0.3*(2-1)/MAX(1,D416-1))),0)+F416)))</x:f>
        <x:v>35</x:v>
      </x:c>
      <x:c r="AC416" s="119" t="n">
        <x:f>IF(2&gt;D416,0,ROUND(('难度参数'!$E$13*POWER(A416,'难度参数'!$E$20)*MIN('难度参数'!$E$23,1+MAX(0,A416-'难度参数'!$E$21)*'难度参数'!$E$22))*(36+2*7)/(36+7*(D416+1)/2)*E416,0))</x:f>
        <x:v>8023</x:v>
      </x:c>
      <x:c r="AD416" s="119" t="n">
        <x:f>IF(AB416=0,0,(AB416-IF(2=D416,1,0))*ROUND(AC416*VLOOKUP(INDEX('章节与怪物'!$E$31:$K$37,B416,2),'章节与怪物'!$A$41:$F$44,2,FALSE),0)+IF(2=D416,ROUND(AC416*'难度参数'!$E$28*'章节与怪物'!$E$17,0),0))</x:f>
        <x:v>202195</x:v>
      </x:c>
      <x:c r="AE416" s="119" t="n">
        <x:f>IF(AB416=0,0,(AB416-IF(2=D416,1,0))*VLOOKUP(INDEX('章节与怪物'!$E$31:$K$37,B416,2),'章节与怪物'!$A$41:$F$44,4,FALSE)+IF(2=D416,'难度参数'!$E$30,0))</x:f>
        <x:v>700</x:v>
      </x:c>
      <x:c r="AF416" s="119" t="n">
        <x:f>IF(3&gt;D416,0,MAX(2,MIN('难度参数'!$E$12,ROUND(('难度参数'!$E$18*POWER(A416,'难度参数'!$E$19)/D416*(0.85+0.3*(3-1)/MAX(1,D416-1))),0)+F416)))</x:f>
        <x:v>37</x:v>
      </x:c>
      <x:c r="AG416" s="119" t="n">
        <x:f>IF(3&gt;D416,0,ROUND(('难度参数'!$E$13*POWER(A416,'难度参数'!$E$20)*MIN('难度参数'!$E$23,1+MAX(0,A416-'难度参数'!$E$21)*'难度参数'!$E$22))*(36+3*7)/(36+7*(D416+1)/2)*E416,0))</x:f>
        <x:v>9146</x:v>
      </x:c>
      <x:c r="AH416" s="119" t="n">
        <x:f>IF(AF416=0,0,(AF416-IF(3=D416,1,0))*ROUND(AG416*VLOOKUP(INDEX('章节与怪物'!$E$31:$K$37,B416,3),'章节与怪物'!$A$41:$F$44,2,FALSE),0)+IF(3=D416,ROUND(AG416*'难度参数'!$E$28*'章节与怪物'!$E$17,0),0))</x:f>
        <x:v>575276</x:v>
      </x:c>
      <x:c r="AI416" s="119" t="n">
        <x:f>IF(AF416=0,0,(AF416-IF(3=D416,1,0))*VLOOKUP(INDEX('章节与怪物'!$E$31:$K$37,B416,3),'章节与怪物'!$A$41:$F$44,4,FALSE)+IF(3=D416,'难度参数'!$E$30,0))</x:f>
        <x:v>1036</x:v>
      </x:c>
      <x:c r="AJ416" s="119" t="n">
        <x:f>IF(4&gt;D416,0,MAX(2,MIN('难度参数'!$E$12,ROUND(('难度参数'!$E$18*POWER(A416,'难度参数'!$E$19)/D416*(0.85+0.3*(4-1)/MAX(1,D416-1))),0)+F416)))</x:f>
        <x:v>39</x:v>
      </x:c>
      <x:c r="AK416" s="119" t="n">
        <x:f>IF(4&gt;D416,0,ROUND(('难度参数'!$E$13*POWER(A416,'难度参数'!$E$20)*MIN('难度参数'!$E$23,1+MAX(0,A416-'难度参数'!$E$21)*'难度参数'!$E$22))*(36+4*7)/(36+7*(D416+1)/2)*E416,0))</x:f>
        <x:v>10269</x:v>
      </x:c>
      <x:c r="AL416" s="119" t="n">
        <x:f>IF(AJ416=0,0,(AJ416-IF(4=D416,1,0))*ROUND(AK416*VLOOKUP(INDEX('章节与怪物'!$E$31:$K$37,B416,4),'章节与怪物'!$A$41:$F$44,2,FALSE),0)+IF(4=D416,ROUND(AK416*'难度参数'!$E$28*'章节与怪物'!$E$17,0),0))</x:f>
        <x:v>540657</x:v>
      </x:c>
      <x:c r="AM416" s="119" t="n">
        <x:f>IF(AJ416=0,0,(AJ416-IF(4=D416,1,0))*VLOOKUP(INDEX('章节与怪物'!$E$31:$K$37,B416,4),'章节与怪物'!$A$41:$F$44,4,FALSE)+IF(4=D416,'难度参数'!$E$30,0))</x:f>
        <x:v>1326</x:v>
      </x:c>
      <x:c r="AN416" s="119" t="n">
        <x:f>IF(5&gt;D416,0,MAX(2,MIN('难度参数'!$E$12,ROUND(('难度参数'!$E$18*POWER(A416,'难度参数'!$E$19)/D416*(0.85+0.3*(5-1)/MAX(1,D416-1))),0)+F416)))</x:f>
        <x:v>41</x:v>
      </x:c>
      <x:c r="AO416" s="119" t="n">
        <x:f>IF(5&gt;D416,0,ROUND(('难度参数'!$E$13*POWER(A416,'难度参数'!$E$20)*MIN('难度参数'!$E$23,1+MAX(0,A416-'难度参数'!$E$21)*'难度参数'!$E$22))*(36+5*7)/(36+7*(D416+1)/2)*E416,0))</x:f>
        <x:v>11392</x:v>
      </x:c>
      <x:c r="AP416" s="119" t="n">
        <x:f>IF(AN416=0,0,(AN416-IF(5=D416,1,0))*ROUND(AO416*VLOOKUP(INDEX('章节与怪物'!$E$31:$K$37,B416,5),'章节与怪物'!$A$41:$F$44,2,FALSE),0)+IF(5=D416,ROUND(AO416*'难度参数'!$E$28*'章节与怪物'!$E$17,0),0))</x:f>
        <x:v>336282</x:v>
      </x:c>
      <x:c r="AQ416" s="119" t="n">
        <x:f>IF(AN416=0,0,(AN416-IF(5=D416,1,0))*VLOOKUP(INDEX('章节与怪物'!$E$31:$K$37,B416,5),'章节与怪物'!$A$41:$F$44,4,FALSE)+IF(5=D416,'难度参数'!$E$30,0))</x:f>
        <x:v>820</x:v>
      </x:c>
      <x:c r="AR416" s="119" t="n">
        <x:f>IF(6&gt;D416,0,MAX(2,MIN('难度参数'!$E$12,ROUND(('难度参数'!$E$18*POWER(A416,'难度参数'!$E$19)/D416*(0.85+0.3*(6-1)/MAX(1,D416-1))),0)+F416)))</x:f>
        <x:v>43</x:v>
      </x:c>
      <x:c r="AS416" s="119" t="n">
        <x:f>IF(6&gt;D416,0,ROUND(('难度参数'!$E$13*POWER(A416,'难度参数'!$E$20)*MIN('难度参数'!$E$23,1+MAX(0,A416-'难度参数'!$E$21)*'难度参数'!$E$22))*(36+6*7)/(36+7*(D416+1)/2)*E416,0))</x:f>
        <x:v>12516</x:v>
      </x:c>
      <x:c r="AT416" s="119" t="n">
        <x:f>IF(AR416=0,0,(AR416-IF(6=D416,1,0))*ROUND(AS416*VLOOKUP(INDEX('章节与怪物'!$E$31:$K$37,B416,6),'章节与怪物'!$A$41:$F$44,2,FALSE),0)+IF(6=D416,ROUND(AS416*'难度参数'!$E$28*'章节与怪物'!$E$17,0),0))</x:f>
        <x:v>914911</x:v>
      </x:c>
      <x:c r="AU416" s="119" t="n">
        <x:f>IF(AR416=0,0,(AR416-IF(6=D416,1,0))*VLOOKUP(INDEX('章节与怪物'!$E$31:$K$37,B416,6),'章节与怪物'!$A$41:$F$44,4,FALSE)+IF(6=D416,'难度参数'!$E$30,0))</x:f>
        <x:v>1204</x:v>
      </x:c>
      <x:c r="AV416" s="119" t="n">
        <x:f>IF(7&gt;D416,0,MAX(2,MIN('难度参数'!$E$12,ROUND(('难度参数'!$E$18*POWER(A416,'难度参数'!$E$19)/D416*(0.85+0.3*(7-1)/MAX(1,D416-1))),0)+F416)))</x:f>
        <x:v>45</x:v>
      </x:c>
      <x:c r="AW416" s="119" t="n">
        <x:f>IF(7&gt;D416,0,ROUND(('难度参数'!$E$13*POWER(A416,'难度参数'!$E$20)*MIN('难度参数'!$E$23,1+MAX(0,A416-'难度参数'!$E$21)*'难度参数'!$E$22))*(36+7*7)/(36+7*(D416+1)/2)*E416,0))</x:f>
        <x:v>13639</x:v>
      </x:c>
      <x:c r="AX416" s="119" t="n">
        <x:f>IF(AV416=0,0,(AV416-IF(7=D416,1,0))*ROUND(AW416*VLOOKUP(INDEX('章节与怪物'!$E$31:$K$37,B416,7),'章节与怪物'!$A$41:$F$44,2,FALSE),0)+IF(7=D416,ROUND(AW416*'难度参数'!$E$28*'章节与怪物'!$E$17,0),0))</x:f>
        <x:v>902917</x:v>
      </x:c>
      <x:c r="AY416" s="119" t="n">
        <x:f>IF(AV416=0,0,(AV416-IF(7=D416,1,0))*VLOOKUP(INDEX('章节与怪物'!$E$31:$K$37,B416,7),'章节与怪物'!$A$41:$F$44,4,FALSE)+IF(7=D416,'难度参数'!$E$30,0))</x:f>
        <x:v>1696</x:v>
      </x:c>
    </x:row>
    <x:row r="417" ht="23" customHeight="1">
      <x:c r="A417" s="119" t="n">
        <x:v>411</x:v>
      </x:c>
      <x:c r="B417" s="119" t="n">
        <x:f>MOD(INT((A417-1)/5),7)+1</x:f>
        <x:v>6</x:v>
      </x:c>
      <x:c r="C417" s="62" t="str">
        <x:f>INDEX('章节与怪物'!$B$31:$B$37,B417)</x:f>
        <x:v>熔岩山脉</x:v>
      </x:c>
      <x:c r="D417" s="119" t="n">
        <x:f>MIN('难度参数'!$E$8,MAX('难度参数'!$E$7,A417))</x:f>
        <x:v>7</x:v>
      </x:c>
      <x:c r="E417" s="106" t="n">
        <x:v>1</x:v>
      </x:c>
      <x:c r="F417" s="106" t="n">
        <x:v>0</x:v>
      </x:c>
      <x:c r="G417" s="106" t="n">
        <x:v>1</x:v>
      </x:c>
      <x:c r="H417" s="119" t="n">
        <x:f>SUM(X417,AB417,AF417,AJ417,AN417,AR417,AV417)</x:f>
        <x:v>273</x:v>
      </x:c>
      <x:c r="I417" s="119" t="n">
        <x:f>SUM(Z417,AD417,AH417,AL417,AP417,AT417,AX417)</x:f>
        <x:v>3852329</x:v>
      </x:c>
      <x:c r="J417" s="119" t="n">
        <x:f>ROUND(INDEX(X417:AY417,1,(D417-1)*4+2)*'难度参数'!$E$28*'章节与怪物'!$E$17,0)</x:f>
        <x:v>92908</x:v>
      </x:c>
      <x:c r="K417" s="119" t="n">
        <x:f>SUM(AA417,AE417,AI417,AM417,AQ417,AU417,AY417)</x:f>
        <x:v>7290</x:v>
      </x:c>
      <x:c r="L417" s="62" t="n">
        <x:f>H417*(ROUNDUP('难度参数'!$E$24/('难度参数'!$E$26*'难度参数'!$E$27),0)*'难度参数'!$E$26)/60</x:f>
        <x:v>3.64</x:v>
      </x:c>
      <x:c r="M417" s="62" t="n">
        <x:f>L417+D417*('难度参数'!$E$49+'难度参数'!$E$50)/60</x:f>
        <x:v>4.806666666666667</x:v>
      </x:c>
      <x:c r="N417" s="119" t="n">
        <x:f>ROUNDDOWN(('经济参数'!$E$20+A417*'经济参数'!$E$21)*G417,0)</x:f>
        <x:v>8400</x:v>
      </x:c>
      <x:c r="O417" s="119" t="n">
        <x:f>ROUNDDOWN(MIN('经济参数'!$E$24,'经济参数'!$E$22+A417*'经济参数'!$E$23)*G417,0)</x:f>
        <x:v>0</x:v>
      </x:c>
      <x:c r="P417" s="119" t="n">
        <x:f>ROUNDDOWN((IF(A417&gt;='材料与任务'!$E$31,'材料与任务'!$E$32,IF(A417&gt;='材料与任务'!$E$25,'材料与任务'!$E$26,IF(A417&gt;='材料与任务'!$E$19,'材料与任务'!$E$20,IF(A417&gt;='材料与任务'!$E$13,'材料与任务'!$E$14,'材料与任务'!$E$8)))))*G417,0)</x:f>
        <x:v>6</x:v>
      </x:c>
      <x:c r="Q417" s="119" t="n">
        <x:f>ROUNDDOWN((IF(A417&gt;='材料与任务'!$E$31,'材料与任务'!$E$33,IF(A417&gt;='材料与任务'!$E$25,'材料与任务'!$E$27,IF(A417&gt;='材料与任务'!$E$19,'材料与任务'!$E$21,IF(A417&gt;='材料与任务'!$E$13,'材料与任务'!$E$15,'材料与任务'!$E$9)))))*G417,0)</x:f>
        <x:v>3</x:v>
      </x:c>
      <x:c r="R417" s="110" t="n">
        <x:f>'装备掉落'!$B$38</x:f>
        <x:v>0.6872058758851213</x:v>
      </x:c>
      <x:c r="S417" s="119" t="n">
        <x:f>MAX(IF(VLOOKUP(A417,'装备掉落'!$A$29:$H$34,2,TRUE)&gt;0,1,0),IF(VLOOKUP(A417,'装备掉落'!$A$29:$H$34,3,TRUE)&gt;0,2,0),IF(VLOOKUP(A417,'装备掉落'!$A$29:$H$34,4,TRUE)&gt;0,3,0),IF(VLOOKUP(A417,'装备掉落'!$A$29:$H$34,5,TRUE)&gt;0,4,0),IF(VLOOKUP(A417,'装备掉落'!$A$29:$H$34,6,TRUE)&gt;0,5,0),IF(VLOOKUP(A417,'装备掉落'!$A$29:$H$34,7,TRUE)&gt;0,6,0),IF(VLOOKUP(A417,'装备掉落'!$A$29:$H$34,8,TRUE)&gt;0,7,0))</x:f>
        <x:v>7</x:v>
      </x:c>
      <x:c r="T417" s="119" t="n">
        <x:f>MIN(7,S417+'经济参数'!$E$70)</x:f>
        <x:v>7</x:v>
      </x:c>
      <x:c r="U417" s="119" t="n">
        <x:f>MIN(7,S417+'经济参数'!$E$71)</x:f>
        <x:v>7</x:v>
      </x:c>
      <x:c r="V417" s="119" t="n">
        <x:f>IF(H417&gt;=('难度参数'!$E$52),1,0)+IF(H417&gt;=('难度参数'!$E$52+'难度参数'!$E$53),1,0)+IF(H417&gt;=('难度参数'!$E$52+'难度参数'!$E$53+'难度参数'!$E$54),1,0)+IF(H417&gt;=('难度参数'!$E$52+'难度参数'!$E$53+'难度参数'!$E$54+'难度参数'!$E$55),1,0)+IF(H417&gt;=('难度参数'!$E$52+'难度参数'!$E$53+'难度参数'!$E$54+'难度参数'!$E$55+'难度参数'!$E$56),1,0)+IF(H417&gt;=('难度参数'!$E$52+'难度参数'!$E$53+'难度参数'!$E$54+'难度参数'!$E$55+'难度参数'!$E$56+'难度参数'!$E$57),1,0)</x:f>
        <x:v>6</x:v>
      </x:c>
      <x:c r="W417" s="62" t="str">
        <x:f>IF(L417&gt;'难度参数'!$E$51,"仅出怪已超目标","还需实测")</x:f>
        <x:v>仅出怪已超目标</x:v>
      </x:c>
      <x:c r="X417" s="119" t="n">
        <x:f>IF(1&gt;D417,0,MAX(2,MIN('难度参数'!$E$12,ROUND(('难度参数'!$E$18*POWER(A417,'难度参数'!$E$19)/D417*(0.85+0.3*(1-1)/MAX(1,D417-1))),0)+F417)))</x:f>
        <x:v>33</x:v>
      </x:c>
      <x:c r="Y417" s="119" t="n">
        <x:f>IF(1&gt;D417,0,ROUND(('难度参数'!$E$13*POWER(A417,'难度参数'!$E$20)*MIN('难度参数'!$E$23,1+MAX(0,A417-'难度参数'!$E$21)*'难度参数'!$E$22))*(36+1*7)/(36+7*(D417+1)/2)*E417,0))</x:f>
        <x:v>6912</x:v>
      </x:c>
      <x:c r="Z417" s="119" t="n">
        <x:f>IF(X417=0,0,(X417-IF(1=D417,1,0))*ROUND(Y417*VLOOKUP(INDEX('章节与怪物'!$E$31:$K$37,B417,1),'章节与怪物'!$A$41:$F$44,2,FALSE),0)+IF(1=D417,ROUND(Y417*'难度参数'!$E$28*'章节与怪物'!$E$17,0),0))</x:f>
        <x:v>164241</x:v>
      </x:c>
      <x:c r="AA417" s="119" t="n">
        <x:f>IF(X417=0,0,(X417-IF(1=D417,1,0))*VLOOKUP(INDEX('章节与怪物'!$E$31:$K$37,B417,1),'章节与怪物'!$A$41:$F$44,4,FALSE)+IF(1=D417,'难度参数'!$E$30,0))</x:f>
        <x:v>660</x:v>
      </x:c>
      <x:c r="AB417" s="119" t="n">
        <x:f>IF(2&gt;D417,0,MAX(2,MIN('难度参数'!$E$12,ROUND(('难度参数'!$E$18*POWER(A417,'难度参数'!$E$19)/D417*(0.85+0.3*(2-1)/MAX(1,D417-1))),0)+F417)))</x:f>
        <x:v>35</x:v>
      </x:c>
      <x:c r="AC417" s="119" t="n">
        <x:f>IF(2&gt;D417,0,ROUND(('难度参数'!$E$13*POWER(A417,'难度参数'!$E$20)*MIN('难度参数'!$E$23,1+MAX(0,A417-'难度参数'!$E$21)*'难度参数'!$E$22))*(36+2*7)/(36+7*(D417+1)/2)*E417,0))</x:f>
        <x:v>8037</x:v>
      </x:c>
      <x:c r="AD417" s="119" t="n">
        <x:f>IF(AB417=0,0,(AB417-IF(2=D417,1,0))*ROUND(AC417*VLOOKUP(INDEX('章节与怪物'!$E$31:$K$37,B417,2),'章节与怪物'!$A$41:$F$44,2,FALSE),0)+IF(2=D417,ROUND(AC417*'难度参数'!$E$28*'章节与怪物'!$E$17,0),0))</x:f>
        <x:v>281295</x:v>
      </x:c>
      <x:c r="AE417" s="119" t="n">
        <x:f>IF(AB417=0,0,(AB417-IF(2=D417,1,0))*VLOOKUP(INDEX('章节与怪物'!$E$31:$K$37,B417,2),'章节与怪物'!$A$41:$F$44,4,FALSE)+IF(2=D417,'难度参数'!$E$30,0))</x:f>
        <x:v>630</x:v>
      </x:c>
      <x:c r="AF417" s="119" t="n">
        <x:f>IF(3&gt;D417,0,MAX(2,MIN('难度参数'!$E$12,ROUND(('难度参数'!$E$18*POWER(A417,'难度参数'!$E$19)/D417*(0.85+0.3*(3-1)/MAX(1,D417-1))),0)+F417)))</x:f>
        <x:v>37</x:v>
      </x:c>
      <x:c r="AG417" s="119" t="n">
        <x:f>IF(3&gt;D417,0,ROUND(('难度参数'!$E$13*POWER(A417,'难度参数'!$E$20)*MIN('难度参数'!$E$23,1+MAX(0,A417-'难度参数'!$E$21)*'难度参数'!$E$22))*(36+3*7)/(36+7*(D417+1)/2)*E417,0))</x:f>
        <x:v>9162</x:v>
      </x:c>
      <x:c r="AH417" s="119" t="n">
        <x:f>IF(AF417=0,0,(AF417-IF(3=D417,1,0))*ROUND(AG417*VLOOKUP(INDEX('章节与怪物'!$E$31:$K$37,B417,3),'章节与怪物'!$A$41:$F$44,2,FALSE),0)+IF(3=D417,ROUND(AG417*'难度参数'!$E$28*'章节与怪物'!$E$17,0),0))</x:f>
        <x:v>576275</x:v>
      </x:c>
      <x:c r="AI417" s="119" t="n">
        <x:f>IF(AF417=0,0,(AF417-IF(3=D417,1,0))*VLOOKUP(INDEX('章节与怪物'!$E$31:$K$37,B417,3),'章节与怪物'!$A$41:$F$44,4,FALSE)+IF(3=D417,'难度参数'!$E$30,0))</x:f>
        <x:v>1036</x:v>
      </x:c>
      <x:c r="AJ417" s="119" t="n">
        <x:f>IF(4&gt;D417,0,MAX(2,MIN('难度参数'!$E$12,ROUND(('难度参数'!$E$18*POWER(A417,'难度参数'!$E$19)/D417*(0.85+0.3*(4-1)/MAX(1,D417-1))),0)+F417)))</x:f>
        <x:v>39</x:v>
      </x:c>
      <x:c r="AK417" s="119" t="n">
        <x:f>IF(4&gt;D417,0,ROUND(('难度参数'!$E$13*POWER(A417,'难度参数'!$E$20)*MIN('难度参数'!$E$23,1+MAX(0,A417-'难度参数'!$E$21)*'难度参数'!$E$22))*(36+4*7)/(36+7*(D417+1)/2)*E417,0))</x:f>
        <x:v>10287</x:v>
      </x:c>
      <x:c r="AL417" s="119" t="n">
        <x:f>IF(AJ417=0,0,(AJ417-IF(4=D417,1,0))*ROUND(AK417*VLOOKUP(INDEX('章节与怪物'!$E$31:$K$37,B417,4),'章节与怪物'!$A$41:$F$44,2,FALSE),0)+IF(4=D417,ROUND(AK417*'难度参数'!$E$28*'章节与怪物'!$E$17,0),0))</x:f>
        <x:v>541593</x:v>
      </x:c>
      <x:c r="AM417" s="119" t="n">
        <x:f>IF(AJ417=0,0,(AJ417-IF(4=D417,1,0))*VLOOKUP(INDEX('章节与怪物'!$E$31:$K$37,B417,4),'章节与怪物'!$A$41:$F$44,4,FALSE)+IF(4=D417,'难度参数'!$E$30,0))</x:f>
        <x:v>1326</x:v>
      </x:c>
      <x:c r="AN417" s="119" t="n">
        <x:f>IF(5&gt;D417,0,MAX(2,MIN('难度参数'!$E$12,ROUND(('难度参数'!$E$18*POWER(A417,'难度参数'!$E$19)/D417*(0.85+0.3*(5-1)/MAX(1,D417-1))),0)+F417)))</x:f>
        <x:v>41</x:v>
      </x:c>
      <x:c r="AO417" s="119" t="n">
        <x:f>IF(5&gt;D417,0,ROUND(('难度参数'!$E$13*POWER(A417,'难度参数'!$E$20)*MIN('难度参数'!$E$23,1+MAX(0,A417-'难度参数'!$E$21)*'难度参数'!$E$22))*(36+5*7)/(36+7*(D417+1)/2)*E417,0))</x:f>
        <x:v>11412</x:v>
      </x:c>
      <x:c r="AP417" s="119" t="n">
        <x:f>IF(AN417=0,0,(AN417-IF(5=D417,1,0))*ROUND(AO417*VLOOKUP(INDEX('章节与怪物'!$E$31:$K$37,B417,5),'章节与怪物'!$A$41:$F$44,2,FALSE),0)+IF(5=D417,ROUND(AO417*'难度参数'!$E$28*'章节与怪物'!$E$17,0),0))</x:f>
        <x:v>467892</x:v>
      </x:c>
      <x:c r="AQ417" s="119" t="n">
        <x:f>IF(AN417=0,0,(AN417-IF(5=D417,1,0))*VLOOKUP(INDEX('章节与怪物'!$E$31:$K$37,B417,5),'章节与怪物'!$A$41:$F$44,4,FALSE)+IF(5=D417,'难度参数'!$E$30,0))</x:f>
        <x:v>738</x:v>
      </x:c>
      <x:c r="AR417" s="119" t="n">
        <x:f>IF(6&gt;D417,0,MAX(2,MIN('难度参数'!$E$12,ROUND(('难度参数'!$E$18*POWER(A417,'难度参数'!$E$19)/D417*(0.85+0.3*(6-1)/MAX(1,D417-1))),0)+F417)))</x:f>
        <x:v>43</x:v>
      </x:c>
      <x:c r="AS417" s="119" t="n">
        <x:f>IF(6&gt;D417,0,ROUND(('难度参数'!$E$13*POWER(A417,'难度参数'!$E$20)*MIN('难度参数'!$E$23,1+MAX(0,A417-'难度参数'!$E$21)*'难度参数'!$E$22))*(36+6*7)/(36+7*(D417+1)/2)*E417,0))</x:f>
        <x:v>12538</x:v>
      </x:c>
      <x:c r="AT417" s="119" t="n">
        <x:f>IF(AR417=0,0,(AR417-IF(6=D417,1,0))*ROUND(AS417*VLOOKUP(INDEX('章节与怪物'!$E$31:$K$37,B417,6),'章节与怪物'!$A$41:$F$44,2,FALSE),0)+IF(6=D417,ROUND(AS417*'难度参数'!$E$28*'章节与怪物'!$E$17,0),0))</x:f>
        <x:v>916545</x:v>
      </x:c>
      <x:c r="AU417" s="119" t="n">
        <x:f>IF(AR417=0,0,(AR417-IF(6=D417,1,0))*VLOOKUP(INDEX('章节与怪物'!$E$31:$K$37,B417,6),'章节与怪物'!$A$41:$F$44,4,FALSE)+IF(6=D417,'难度参数'!$E$30,0))</x:f>
        <x:v>1204</x:v>
      </x:c>
      <x:c r="AV417" s="119" t="n">
        <x:f>IF(7&gt;D417,0,MAX(2,MIN('难度参数'!$E$12,ROUND(('难度参数'!$E$18*POWER(A417,'难度参数'!$E$19)/D417*(0.85+0.3*(7-1)/MAX(1,D417-1))),0)+F417)))</x:f>
        <x:v>45</x:v>
      </x:c>
      <x:c r="AW417" s="119" t="n">
        <x:f>IF(7&gt;D417,0,ROUND(('难度参数'!$E$13*POWER(A417,'难度参数'!$E$20)*MIN('难度参数'!$E$23,1+MAX(0,A417-'难度参数'!$E$21)*'难度参数'!$E$22))*(36+7*7)/(36+7*(D417+1)/2)*E417,0))</x:f>
        <x:v>13663</x:v>
      </x:c>
      <x:c r="AX417" s="119" t="n">
        <x:f>IF(AV417=0,0,(AV417-IF(7=D417,1,0))*ROUND(AW417*VLOOKUP(INDEX('章节与怪物'!$E$31:$K$37,B417,7),'章节与怪物'!$A$41:$F$44,2,FALSE),0)+IF(7=D417,ROUND(AW417*'难度参数'!$E$28*'章节与怪物'!$E$17,0),0))</x:f>
        <x:v>904488</x:v>
      </x:c>
      <x:c r="AY417" s="119" t="n">
        <x:f>IF(AV417=0,0,(AV417-IF(7=D417,1,0))*VLOOKUP(INDEX('章节与怪物'!$E$31:$K$37,B417,7),'章节与怪物'!$A$41:$F$44,4,FALSE)+IF(7=D417,'难度参数'!$E$30,0))</x:f>
        <x:v>1696</x:v>
      </x:c>
    </x:row>
    <x:row r="418" ht="23" customHeight="1">
      <x:c r="A418" s="119" t="n">
        <x:v>412</x:v>
      </x:c>
      <x:c r="B418" s="119" t="n">
        <x:f>MOD(INT((A418-1)/5),7)+1</x:f>
        <x:v>6</x:v>
      </x:c>
      <x:c r="C418" s="62" t="str">
        <x:f>INDEX('章节与怪物'!$B$31:$B$37,B418)</x:f>
        <x:v>熔岩山脉</x:v>
      </x:c>
      <x:c r="D418" s="119" t="n">
        <x:f>MIN('难度参数'!$E$8,MAX('难度参数'!$E$7,A418))</x:f>
        <x:v>7</x:v>
      </x:c>
      <x:c r="E418" s="106" t="n">
        <x:v>1</x:v>
      </x:c>
      <x:c r="F418" s="106" t="n">
        <x:v>0</x:v>
      </x:c>
      <x:c r="G418" s="106" t="n">
        <x:v>1</x:v>
      </x:c>
      <x:c r="H418" s="119" t="n">
        <x:f>SUM(X418,AB418,AF418,AJ418,AN418,AR418,AV418)</x:f>
        <x:v>273</x:v>
      </x:c>
      <x:c r="I418" s="119" t="n">
        <x:f>SUM(Z418,AD418,AH418,AL418,AP418,AT418,AX418)</x:f>
        <x:v>3859077</x:v>
      </x:c>
      <x:c r="J418" s="119" t="n">
        <x:f>ROUND(INDEX(X418:AY418,1,(D418-1)*4+2)*'难度参数'!$E$28*'章节与怪物'!$E$17,0)</x:f>
        <x:v>93072</x:v>
      </x:c>
      <x:c r="K418" s="119" t="n">
        <x:f>SUM(AA418,AE418,AI418,AM418,AQ418,AU418,AY418)</x:f>
        <x:v>7290</x:v>
      </x:c>
      <x:c r="L418" s="62" t="n">
        <x:f>H418*(ROUNDUP('难度参数'!$E$24/('难度参数'!$E$26*'难度参数'!$E$27),0)*'难度参数'!$E$26)/60</x:f>
        <x:v>3.64</x:v>
      </x:c>
      <x:c r="M418" s="62" t="n">
        <x:f>L418+D418*('难度参数'!$E$49+'难度参数'!$E$50)/60</x:f>
        <x:v>4.806666666666667</x:v>
      </x:c>
      <x:c r="N418" s="119" t="n">
        <x:f>ROUNDDOWN(('经济参数'!$E$20+A418*'经济参数'!$E$21)*G418,0)</x:f>
        <x:v>8420</x:v>
      </x:c>
      <x:c r="O418" s="119" t="n">
        <x:f>ROUNDDOWN(MIN('经济参数'!$E$24,'经济参数'!$E$22+A418*'经济参数'!$E$23)*G418,0)</x:f>
        <x:v>0</x:v>
      </x:c>
      <x:c r="P418" s="119" t="n">
        <x:f>ROUNDDOWN((IF(A418&gt;='材料与任务'!$E$31,'材料与任务'!$E$32,IF(A418&gt;='材料与任务'!$E$25,'材料与任务'!$E$26,IF(A418&gt;='材料与任务'!$E$19,'材料与任务'!$E$20,IF(A418&gt;='材料与任务'!$E$13,'材料与任务'!$E$14,'材料与任务'!$E$8)))))*G418,0)</x:f>
        <x:v>6</x:v>
      </x:c>
      <x:c r="Q418" s="119" t="n">
        <x:f>ROUNDDOWN((IF(A418&gt;='材料与任务'!$E$31,'材料与任务'!$E$33,IF(A418&gt;='材料与任务'!$E$25,'材料与任务'!$E$27,IF(A418&gt;='材料与任务'!$E$19,'材料与任务'!$E$21,IF(A418&gt;='材料与任务'!$E$13,'材料与任务'!$E$15,'材料与任务'!$E$9)))))*G418,0)</x:f>
        <x:v>3</x:v>
      </x:c>
      <x:c r="R418" s="110" t="n">
        <x:f>'装备掉落'!$B$38</x:f>
        <x:v>0.6872058758851213</x:v>
      </x:c>
      <x:c r="S418" s="119" t="n">
        <x:f>MAX(IF(VLOOKUP(A418,'装备掉落'!$A$29:$H$34,2,TRUE)&gt;0,1,0),IF(VLOOKUP(A418,'装备掉落'!$A$29:$H$34,3,TRUE)&gt;0,2,0),IF(VLOOKUP(A418,'装备掉落'!$A$29:$H$34,4,TRUE)&gt;0,3,0),IF(VLOOKUP(A418,'装备掉落'!$A$29:$H$34,5,TRUE)&gt;0,4,0),IF(VLOOKUP(A418,'装备掉落'!$A$29:$H$34,6,TRUE)&gt;0,5,0),IF(VLOOKUP(A418,'装备掉落'!$A$29:$H$34,7,TRUE)&gt;0,6,0),IF(VLOOKUP(A418,'装备掉落'!$A$29:$H$34,8,TRUE)&gt;0,7,0))</x:f>
        <x:v>7</x:v>
      </x:c>
      <x:c r="T418" s="119" t="n">
        <x:f>MIN(7,S418+'经济参数'!$E$70)</x:f>
        <x:v>7</x:v>
      </x:c>
      <x:c r="U418" s="119" t="n">
        <x:f>MIN(7,S418+'经济参数'!$E$71)</x:f>
        <x:v>7</x:v>
      </x:c>
      <x:c r="V418" s="119" t="n">
        <x:f>IF(H418&gt;=('难度参数'!$E$52),1,0)+IF(H418&gt;=('难度参数'!$E$52+'难度参数'!$E$53),1,0)+IF(H418&gt;=('难度参数'!$E$52+'难度参数'!$E$53+'难度参数'!$E$54),1,0)+IF(H418&gt;=('难度参数'!$E$52+'难度参数'!$E$53+'难度参数'!$E$54+'难度参数'!$E$55),1,0)+IF(H418&gt;=('难度参数'!$E$52+'难度参数'!$E$53+'难度参数'!$E$54+'难度参数'!$E$55+'难度参数'!$E$56),1,0)+IF(H418&gt;=('难度参数'!$E$52+'难度参数'!$E$53+'难度参数'!$E$54+'难度参数'!$E$55+'难度参数'!$E$56+'难度参数'!$E$57),1,0)</x:f>
        <x:v>6</x:v>
      </x:c>
      <x:c r="W418" s="62" t="str">
        <x:f>IF(L418&gt;'难度参数'!$E$51,"仅出怪已超目标","还需实测")</x:f>
        <x:v>仅出怪已超目标</x:v>
      </x:c>
      <x:c r="X418" s="119" t="n">
        <x:f>IF(1&gt;D418,0,MAX(2,MIN('难度参数'!$E$12,ROUND(('难度参数'!$E$18*POWER(A418,'难度参数'!$E$19)/D418*(0.85+0.3*(1-1)/MAX(1,D418-1))),0)+F418)))</x:f>
        <x:v>33</x:v>
      </x:c>
      <x:c r="Y418" s="119" t="n">
        <x:f>IF(1&gt;D418,0,ROUND(('难度参数'!$E$13*POWER(A418,'难度参数'!$E$20)*MIN('难度参数'!$E$23,1+MAX(0,A418-'难度参数'!$E$21)*'难度参数'!$E$22))*(36+1*7)/(36+7*(D418+1)/2)*E418,0))</x:f>
        <x:v>6924</x:v>
      </x:c>
      <x:c r="Z418" s="119" t="n">
        <x:f>IF(X418=0,0,(X418-IF(1=D418,1,0))*ROUND(Y418*VLOOKUP(INDEX('章节与怪物'!$E$31:$K$37,B418,1),'章节与怪物'!$A$41:$F$44,2,FALSE),0)+IF(1=D418,ROUND(Y418*'难度参数'!$E$28*'章节与怪物'!$E$17,0),0))</x:f>
        <x:v>164505</x:v>
      </x:c>
      <x:c r="AA418" s="119" t="n">
        <x:f>IF(X418=0,0,(X418-IF(1=D418,1,0))*VLOOKUP(INDEX('章节与怪物'!$E$31:$K$37,B418,1),'章节与怪物'!$A$41:$F$44,4,FALSE)+IF(1=D418,'难度参数'!$E$30,0))</x:f>
        <x:v>660</x:v>
      </x:c>
      <x:c r="AB418" s="119" t="n">
        <x:f>IF(2&gt;D418,0,MAX(2,MIN('难度参数'!$E$12,ROUND(('难度参数'!$E$18*POWER(A418,'难度参数'!$E$19)/D418*(0.85+0.3*(2-1)/MAX(1,D418-1))),0)+F418)))</x:f>
        <x:v>35</x:v>
      </x:c>
      <x:c r="AC418" s="119" t="n">
        <x:f>IF(2&gt;D418,0,ROUND(('难度参数'!$E$13*POWER(A418,'难度参数'!$E$20)*MIN('难度参数'!$E$23,1+MAX(0,A418-'难度参数'!$E$21)*'难度参数'!$E$22))*(36+2*7)/(36+7*(D418+1)/2)*E418,0))</x:f>
        <x:v>8051</x:v>
      </x:c>
      <x:c r="AD418" s="119" t="n">
        <x:f>IF(AB418=0,0,(AB418-IF(2=D418,1,0))*ROUND(AC418*VLOOKUP(INDEX('章节与怪物'!$E$31:$K$37,B418,2),'章节与怪物'!$A$41:$F$44,2,FALSE),0)+IF(2=D418,ROUND(AC418*'难度参数'!$E$28*'章节与怪物'!$E$17,0),0))</x:f>
        <x:v>281785</x:v>
      </x:c>
      <x:c r="AE418" s="119" t="n">
        <x:f>IF(AB418=0,0,(AB418-IF(2=D418,1,0))*VLOOKUP(INDEX('章节与怪物'!$E$31:$K$37,B418,2),'章节与怪物'!$A$41:$F$44,4,FALSE)+IF(2=D418,'难度参数'!$E$30,0))</x:f>
        <x:v>630</x:v>
      </x:c>
      <x:c r="AF418" s="119" t="n">
        <x:f>IF(3&gt;D418,0,MAX(2,MIN('难度参数'!$E$12,ROUND(('难度参数'!$E$18*POWER(A418,'难度参数'!$E$19)/D418*(0.85+0.3*(3-1)/MAX(1,D418-1))),0)+F418)))</x:f>
        <x:v>37</x:v>
      </x:c>
      <x:c r="AG418" s="119" t="n">
        <x:f>IF(3&gt;D418,0,ROUND(('难度参数'!$E$13*POWER(A418,'难度参数'!$E$20)*MIN('难度参数'!$E$23,1+MAX(0,A418-'难度参数'!$E$21)*'难度参数'!$E$22))*(36+3*7)/(36+7*(D418+1)/2)*E418,0))</x:f>
        <x:v>9178</x:v>
      </x:c>
      <x:c r="AH418" s="119" t="n">
        <x:f>IF(AF418=0,0,(AF418-IF(3=D418,1,0))*ROUND(AG418*VLOOKUP(INDEX('章节与怪物'!$E$31:$K$37,B418,3),'章节与怪物'!$A$41:$F$44,2,FALSE),0)+IF(3=D418,ROUND(AG418*'难度参数'!$E$28*'章节与怪物'!$E$17,0),0))</x:f>
        <x:v>577311</x:v>
      </x:c>
      <x:c r="AI418" s="119" t="n">
        <x:f>IF(AF418=0,0,(AF418-IF(3=D418,1,0))*VLOOKUP(INDEX('章节与怪物'!$E$31:$K$37,B418,3),'章节与怪物'!$A$41:$F$44,4,FALSE)+IF(3=D418,'难度参数'!$E$30,0))</x:f>
        <x:v>1036</x:v>
      </x:c>
      <x:c r="AJ418" s="119" t="n">
        <x:f>IF(4&gt;D418,0,MAX(2,MIN('难度参数'!$E$12,ROUND(('难度参数'!$E$18*POWER(A418,'难度参数'!$E$19)/D418*(0.85+0.3*(4-1)/MAX(1,D418-1))),0)+F418)))</x:f>
        <x:v>39</x:v>
      </x:c>
      <x:c r="AK418" s="119" t="n">
        <x:f>IF(4&gt;D418,0,ROUND(('难度参数'!$E$13*POWER(A418,'难度参数'!$E$20)*MIN('难度参数'!$E$23,1+MAX(0,A418-'难度参数'!$E$21)*'难度参数'!$E$22))*(36+4*7)/(36+7*(D418+1)/2)*E418,0))</x:f>
        <x:v>10305</x:v>
      </x:c>
      <x:c r="AL418" s="119" t="n">
        <x:f>IF(AJ418=0,0,(AJ418-IF(4=D418,1,0))*ROUND(AK418*VLOOKUP(INDEX('章节与怪物'!$E$31:$K$37,B418,4),'章节与怪物'!$A$41:$F$44,2,FALSE),0)+IF(4=D418,ROUND(AK418*'难度参数'!$E$28*'章节与怪物'!$E$17,0),0))</x:f>
        <x:v>542568</x:v>
      </x:c>
      <x:c r="AM418" s="119" t="n">
        <x:f>IF(AJ418=0,0,(AJ418-IF(4=D418,1,0))*VLOOKUP(INDEX('章节与怪物'!$E$31:$K$37,B418,4),'章节与怪物'!$A$41:$F$44,4,FALSE)+IF(4=D418,'难度参数'!$E$30,0))</x:f>
        <x:v>1326</x:v>
      </x:c>
      <x:c r="AN418" s="119" t="n">
        <x:f>IF(5&gt;D418,0,MAX(2,MIN('难度参数'!$E$12,ROUND(('难度参数'!$E$18*POWER(A418,'难度参数'!$E$19)/D418*(0.85+0.3*(5-1)/MAX(1,D418-1))),0)+F418)))</x:f>
        <x:v>41</x:v>
      </x:c>
      <x:c r="AO418" s="119" t="n">
        <x:f>IF(5&gt;D418,0,ROUND(('难度参数'!$E$13*POWER(A418,'难度参数'!$E$20)*MIN('难度参数'!$E$23,1+MAX(0,A418-'难度参数'!$E$21)*'难度参数'!$E$22))*(36+5*7)/(36+7*(D418+1)/2)*E418,0))</x:f>
        <x:v>11432</x:v>
      </x:c>
      <x:c r="AP418" s="119" t="n">
        <x:f>IF(AN418=0,0,(AN418-IF(5=D418,1,0))*ROUND(AO418*VLOOKUP(INDEX('章节与怪物'!$E$31:$K$37,B418,5),'章节与怪物'!$A$41:$F$44,2,FALSE),0)+IF(5=D418,ROUND(AO418*'难度参数'!$E$28*'章节与怪物'!$E$17,0),0))</x:f>
        <x:v>468712</x:v>
      </x:c>
      <x:c r="AQ418" s="119" t="n">
        <x:f>IF(AN418=0,0,(AN418-IF(5=D418,1,0))*VLOOKUP(INDEX('章节与怪物'!$E$31:$K$37,B418,5),'章节与怪物'!$A$41:$F$44,4,FALSE)+IF(5=D418,'难度参数'!$E$30,0))</x:f>
        <x:v>738</x:v>
      </x:c>
      <x:c r="AR418" s="119" t="n">
        <x:f>IF(6&gt;D418,0,MAX(2,MIN('难度参数'!$E$12,ROUND(('难度参数'!$E$18*POWER(A418,'难度参数'!$E$19)/D418*(0.85+0.3*(6-1)/MAX(1,D418-1))),0)+F418)))</x:f>
        <x:v>43</x:v>
      </x:c>
      <x:c r="AS418" s="119" t="n">
        <x:f>IF(6&gt;D418,0,ROUND(('难度参数'!$E$13*POWER(A418,'难度参数'!$E$20)*MIN('难度参数'!$E$23,1+MAX(0,A418-'难度参数'!$E$21)*'难度参数'!$E$22))*(36+6*7)/(36+7*(D418+1)/2)*E418,0))</x:f>
        <x:v>12560</x:v>
      </x:c>
      <x:c r="AT418" s="119" t="n">
        <x:f>IF(AR418=0,0,(AR418-IF(6=D418,1,0))*ROUND(AS418*VLOOKUP(INDEX('章节与怪物'!$E$31:$K$37,B418,6),'章节与怪物'!$A$41:$F$44,2,FALSE),0)+IF(6=D418,ROUND(AS418*'难度参数'!$E$28*'章节与怪物'!$E$17,0),0))</x:f>
        <x:v>918136</x:v>
      </x:c>
      <x:c r="AU418" s="119" t="n">
        <x:f>IF(AR418=0,0,(AR418-IF(6=D418,1,0))*VLOOKUP(INDEX('章节与怪物'!$E$31:$K$37,B418,6),'章节与怪物'!$A$41:$F$44,4,FALSE)+IF(6=D418,'难度参数'!$E$30,0))</x:f>
        <x:v>1204</x:v>
      </x:c>
      <x:c r="AV418" s="119" t="n">
        <x:f>IF(7&gt;D418,0,MAX(2,MIN('难度参数'!$E$12,ROUND(('难度参数'!$E$18*POWER(A418,'难度参数'!$E$19)/D418*(0.85+0.3*(7-1)/MAX(1,D418-1))),0)+F418)))</x:f>
        <x:v>45</x:v>
      </x:c>
      <x:c r="AW418" s="119" t="n">
        <x:f>IF(7&gt;D418,0,ROUND(('难度参数'!$E$13*POWER(A418,'难度参数'!$E$20)*MIN('难度参数'!$E$23,1+MAX(0,A418-'难度参数'!$E$21)*'难度参数'!$E$22))*(36+7*7)/(36+7*(D418+1)/2)*E418,0))</x:f>
        <x:v>13687</x:v>
      </x:c>
      <x:c r="AX418" s="119" t="n">
        <x:f>IF(AV418=0,0,(AV418-IF(7=D418,1,0))*ROUND(AW418*VLOOKUP(INDEX('章节与怪物'!$E$31:$K$37,B418,7),'章节与怪物'!$A$41:$F$44,2,FALSE),0)+IF(7=D418,ROUND(AW418*'难度参数'!$E$28*'章节与怪物'!$E$17,0),0))</x:f>
        <x:v>906060</x:v>
      </x:c>
      <x:c r="AY418" s="119" t="n">
        <x:f>IF(AV418=0,0,(AV418-IF(7=D418,1,0))*VLOOKUP(INDEX('章节与怪物'!$E$31:$K$37,B418,7),'章节与怪物'!$A$41:$F$44,4,FALSE)+IF(7=D418,'难度参数'!$E$30,0))</x:f>
        <x:v>1696</x:v>
      </x:c>
    </x:row>
    <x:row r="419" ht="23" customHeight="1">
      <x:c r="A419" s="119" t="n">
        <x:v>413</x:v>
      </x:c>
      <x:c r="B419" s="119" t="n">
        <x:f>MOD(INT((A419-1)/5),7)+1</x:f>
        <x:v>6</x:v>
      </x:c>
      <x:c r="C419" s="62" t="str">
        <x:f>INDEX('章节与怪物'!$B$31:$B$37,B419)</x:f>
        <x:v>熔岩山脉</x:v>
      </x:c>
      <x:c r="D419" s="119" t="n">
        <x:f>MIN('难度参数'!$E$8,MAX('难度参数'!$E$7,A419))</x:f>
        <x:v>7</x:v>
      </x:c>
      <x:c r="E419" s="106" t="n">
        <x:v>1</x:v>
      </x:c>
      <x:c r="F419" s="106" t="n">
        <x:v>0</x:v>
      </x:c>
      <x:c r="G419" s="106" t="n">
        <x:v>1</x:v>
      </x:c>
      <x:c r="H419" s="119" t="n">
        <x:f>SUM(X419,AB419,AF419,AJ419,AN419,AR419,AV419)</x:f>
        <x:v>273</x:v>
      </x:c>
      <x:c r="I419" s="119" t="n">
        <x:f>SUM(Z419,AD419,AH419,AL419,AP419,AT419,AX419)</x:f>
        <x:v>3865825</x:v>
      </x:c>
      <x:c r="J419" s="119" t="n">
        <x:f>ROUND(INDEX(X419:AY419,1,(D419-1)*4+2)*'难度参数'!$E$28*'章节与怪物'!$E$17,0)</x:f>
        <x:v>93235</x:v>
      </x:c>
      <x:c r="K419" s="119" t="n">
        <x:f>SUM(AA419,AE419,AI419,AM419,AQ419,AU419,AY419)</x:f>
        <x:v>7290</x:v>
      </x:c>
      <x:c r="L419" s="62" t="n">
        <x:f>H419*(ROUNDUP('难度参数'!$E$24/('难度参数'!$E$26*'难度参数'!$E$27),0)*'难度参数'!$E$26)/60</x:f>
        <x:v>3.64</x:v>
      </x:c>
      <x:c r="M419" s="62" t="n">
        <x:f>L419+D419*('难度参数'!$E$49+'难度参数'!$E$50)/60</x:f>
        <x:v>4.806666666666667</x:v>
      </x:c>
      <x:c r="N419" s="119" t="n">
        <x:f>ROUNDDOWN(('经济参数'!$E$20+A419*'经济参数'!$E$21)*G419,0)</x:f>
        <x:v>8440</x:v>
      </x:c>
      <x:c r="O419" s="119" t="n">
        <x:f>ROUNDDOWN(MIN('经济参数'!$E$24,'经济参数'!$E$22+A419*'经济参数'!$E$23)*G419,0)</x:f>
        <x:v>0</x:v>
      </x:c>
      <x:c r="P419" s="119" t="n">
        <x:f>ROUNDDOWN((IF(A419&gt;='材料与任务'!$E$31,'材料与任务'!$E$32,IF(A419&gt;='材料与任务'!$E$25,'材料与任务'!$E$26,IF(A419&gt;='材料与任务'!$E$19,'材料与任务'!$E$20,IF(A419&gt;='材料与任务'!$E$13,'材料与任务'!$E$14,'材料与任务'!$E$8)))))*G419,0)</x:f>
        <x:v>6</x:v>
      </x:c>
      <x:c r="Q419" s="119" t="n">
        <x:f>ROUNDDOWN((IF(A419&gt;='材料与任务'!$E$31,'材料与任务'!$E$33,IF(A419&gt;='材料与任务'!$E$25,'材料与任务'!$E$27,IF(A419&gt;='材料与任务'!$E$19,'材料与任务'!$E$21,IF(A419&gt;='材料与任务'!$E$13,'材料与任务'!$E$15,'材料与任务'!$E$9)))))*G419,0)</x:f>
        <x:v>3</x:v>
      </x:c>
      <x:c r="R419" s="110" t="n">
        <x:f>'装备掉落'!$B$38</x:f>
        <x:v>0.6872058758851213</x:v>
      </x:c>
      <x:c r="S419" s="119" t="n">
        <x:f>MAX(IF(VLOOKUP(A419,'装备掉落'!$A$29:$H$34,2,TRUE)&gt;0,1,0),IF(VLOOKUP(A419,'装备掉落'!$A$29:$H$34,3,TRUE)&gt;0,2,0),IF(VLOOKUP(A419,'装备掉落'!$A$29:$H$34,4,TRUE)&gt;0,3,0),IF(VLOOKUP(A419,'装备掉落'!$A$29:$H$34,5,TRUE)&gt;0,4,0),IF(VLOOKUP(A419,'装备掉落'!$A$29:$H$34,6,TRUE)&gt;0,5,0),IF(VLOOKUP(A419,'装备掉落'!$A$29:$H$34,7,TRUE)&gt;0,6,0),IF(VLOOKUP(A419,'装备掉落'!$A$29:$H$34,8,TRUE)&gt;0,7,0))</x:f>
        <x:v>7</x:v>
      </x:c>
      <x:c r="T419" s="119" t="n">
        <x:f>MIN(7,S419+'经济参数'!$E$70)</x:f>
        <x:v>7</x:v>
      </x:c>
      <x:c r="U419" s="119" t="n">
        <x:f>MIN(7,S419+'经济参数'!$E$71)</x:f>
        <x:v>7</x:v>
      </x:c>
      <x:c r="V419" s="119" t="n">
        <x:f>IF(H419&gt;=('难度参数'!$E$52),1,0)+IF(H419&gt;=('难度参数'!$E$52+'难度参数'!$E$53),1,0)+IF(H419&gt;=('难度参数'!$E$52+'难度参数'!$E$53+'难度参数'!$E$54),1,0)+IF(H419&gt;=('难度参数'!$E$52+'难度参数'!$E$53+'难度参数'!$E$54+'难度参数'!$E$55),1,0)+IF(H419&gt;=('难度参数'!$E$52+'难度参数'!$E$53+'难度参数'!$E$54+'难度参数'!$E$55+'难度参数'!$E$56),1,0)+IF(H419&gt;=('难度参数'!$E$52+'难度参数'!$E$53+'难度参数'!$E$54+'难度参数'!$E$55+'难度参数'!$E$56+'难度参数'!$E$57),1,0)</x:f>
        <x:v>6</x:v>
      </x:c>
      <x:c r="W419" s="62" t="str">
        <x:f>IF(L419&gt;'难度参数'!$E$51,"仅出怪已超目标","还需实测")</x:f>
        <x:v>仅出怪已超目标</x:v>
      </x:c>
      <x:c r="X419" s="119" t="n">
        <x:f>IF(1&gt;D419,0,MAX(2,MIN('难度参数'!$E$12,ROUND(('难度参数'!$E$18*POWER(A419,'难度参数'!$E$19)/D419*(0.85+0.3*(1-1)/MAX(1,D419-1))),0)+F419)))</x:f>
        <x:v>33</x:v>
      </x:c>
      <x:c r="Y419" s="119" t="n">
        <x:f>IF(1&gt;D419,0,ROUND(('难度参数'!$E$13*POWER(A419,'难度参数'!$E$20)*MIN('难度参数'!$E$23,1+MAX(0,A419-'难度参数'!$E$21)*'难度参数'!$E$22))*(36+1*7)/(36+7*(D419+1)/2)*E419,0))</x:f>
        <x:v>6936</x:v>
      </x:c>
      <x:c r="Z419" s="119" t="n">
        <x:f>IF(X419=0,0,(X419-IF(1=D419,1,0))*ROUND(Y419*VLOOKUP(INDEX('章节与怪物'!$E$31:$K$37,B419,1),'章节与怪物'!$A$41:$F$44,2,FALSE),0)+IF(1=D419,ROUND(Y419*'难度参数'!$E$28*'章节与怪物'!$E$17,0),0))</x:f>
        <x:v>164802</x:v>
      </x:c>
      <x:c r="AA419" s="119" t="n">
        <x:f>IF(X419=0,0,(X419-IF(1=D419,1,0))*VLOOKUP(INDEX('章节与怪物'!$E$31:$K$37,B419,1),'章节与怪物'!$A$41:$F$44,4,FALSE)+IF(1=D419,'难度参数'!$E$30,0))</x:f>
        <x:v>660</x:v>
      </x:c>
      <x:c r="AB419" s="119" t="n">
        <x:f>IF(2&gt;D419,0,MAX(2,MIN('难度参数'!$E$12,ROUND(('难度参数'!$E$18*POWER(A419,'难度参数'!$E$19)/D419*(0.85+0.3*(2-1)/MAX(1,D419-1))),0)+F419)))</x:f>
        <x:v>35</x:v>
      </x:c>
      <x:c r="AC419" s="119" t="n">
        <x:f>IF(2&gt;D419,0,ROUND(('难度参数'!$E$13*POWER(A419,'难度参数'!$E$20)*MIN('难度参数'!$E$23,1+MAX(0,A419-'难度参数'!$E$21)*'难度参数'!$E$22))*(36+2*7)/(36+7*(D419+1)/2)*E419,0))</x:f>
        <x:v>8065</x:v>
      </x:c>
      <x:c r="AD419" s="119" t="n">
        <x:f>IF(AB419=0,0,(AB419-IF(2=D419,1,0))*ROUND(AC419*VLOOKUP(INDEX('章节与怪物'!$E$31:$K$37,B419,2),'章节与怪物'!$A$41:$F$44,2,FALSE),0)+IF(2=D419,ROUND(AC419*'难度参数'!$E$28*'章节与怪物'!$E$17,0),0))</x:f>
        <x:v>282275</x:v>
      </x:c>
      <x:c r="AE419" s="119" t="n">
        <x:f>IF(AB419=0,0,(AB419-IF(2=D419,1,0))*VLOOKUP(INDEX('章节与怪物'!$E$31:$K$37,B419,2),'章节与怪物'!$A$41:$F$44,4,FALSE)+IF(2=D419,'难度参数'!$E$30,0))</x:f>
        <x:v>630</x:v>
      </x:c>
      <x:c r="AF419" s="119" t="n">
        <x:f>IF(3&gt;D419,0,MAX(2,MIN('难度参数'!$E$12,ROUND(('难度参数'!$E$18*POWER(A419,'难度参数'!$E$19)/D419*(0.85+0.3*(3-1)/MAX(1,D419-1))),0)+F419)))</x:f>
        <x:v>37</x:v>
      </x:c>
      <x:c r="AG419" s="119" t="n">
        <x:f>IF(3&gt;D419,0,ROUND(('难度参数'!$E$13*POWER(A419,'难度参数'!$E$20)*MIN('难度参数'!$E$23,1+MAX(0,A419-'难度参数'!$E$21)*'难度参数'!$E$22))*(36+3*7)/(36+7*(D419+1)/2)*E419,0))</x:f>
        <x:v>9194</x:v>
      </x:c>
      <x:c r="AH419" s="119" t="n">
        <x:f>IF(AF419=0,0,(AF419-IF(3=D419,1,0))*ROUND(AG419*VLOOKUP(INDEX('章节与怪物'!$E$31:$K$37,B419,3),'章节与怪物'!$A$41:$F$44,2,FALSE),0)+IF(3=D419,ROUND(AG419*'难度参数'!$E$28*'章节与怪物'!$E$17,0),0))</x:f>
        <x:v>578310</x:v>
      </x:c>
      <x:c r="AI419" s="119" t="n">
        <x:f>IF(AF419=0,0,(AF419-IF(3=D419,1,0))*VLOOKUP(INDEX('章节与怪物'!$E$31:$K$37,B419,3),'章节与怪物'!$A$41:$F$44,4,FALSE)+IF(3=D419,'难度参数'!$E$30,0))</x:f>
        <x:v>1036</x:v>
      </x:c>
      <x:c r="AJ419" s="119" t="n">
        <x:f>IF(4&gt;D419,0,MAX(2,MIN('难度参数'!$E$12,ROUND(('难度参数'!$E$18*POWER(A419,'难度参数'!$E$19)/D419*(0.85+0.3*(4-1)/MAX(1,D419-1))),0)+F419)))</x:f>
        <x:v>39</x:v>
      </x:c>
      <x:c r="AK419" s="119" t="n">
        <x:f>IF(4&gt;D419,0,ROUND(('难度参数'!$E$13*POWER(A419,'难度参数'!$E$20)*MIN('难度参数'!$E$23,1+MAX(0,A419-'难度参数'!$E$21)*'难度参数'!$E$22))*(36+4*7)/(36+7*(D419+1)/2)*E419,0))</x:f>
        <x:v>10323</x:v>
      </x:c>
      <x:c r="AL419" s="119" t="n">
        <x:f>IF(AJ419=0,0,(AJ419-IF(4=D419,1,0))*ROUND(AK419*VLOOKUP(INDEX('章节与怪物'!$E$31:$K$37,B419,4),'章节与怪物'!$A$41:$F$44,2,FALSE),0)+IF(4=D419,ROUND(AK419*'难度参数'!$E$28*'章节与怪物'!$E$17,0),0))</x:f>
        <x:v>543504</x:v>
      </x:c>
      <x:c r="AM419" s="119" t="n">
        <x:f>IF(AJ419=0,0,(AJ419-IF(4=D419,1,0))*VLOOKUP(INDEX('章节与怪物'!$E$31:$K$37,B419,4),'章节与怪物'!$A$41:$F$44,4,FALSE)+IF(4=D419,'难度参数'!$E$30,0))</x:f>
        <x:v>1326</x:v>
      </x:c>
      <x:c r="AN419" s="119" t="n">
        <x:f>IF(5&gt;D419,0,MAX(2,MIN('难度参数'!$E$12,ROUND(('难度参数'!$E$18*POWER(A419,'难度参数'!$E$19)/D419*(0.85+0.3*(5-1)/MAX(1,D419-1))),0)+F419)))</x:f>
        <x:v>41</x:v>
      </x:c>
      <x:c r="AO419" s="119" t="n">
        <x:f>IF(5&gt;D419,0,ROUND(('难度参数'!$E$13*POWER(A419,'难度参数'!$E$20)*MIN('难度参数'!$E$23,1+MAX(0,A419-'难度参数'!$E$21)*'难度参数'!$E$22))*(36+5*7)/(36+7*(D419+1)/2)*E419,0))</x:f>
        <x:v>11452</x:v>
      </x:c>
      <x:c r="AP419" s="119" t="n">
        <x:f>IF(AN419=0,0,(AN419-IF(5=D419,1,0))*ROUND(AO419*VLOOKUP(INDEX('章节与怪物'!$E$31:$K$37,B419,5),'章节与怪物'!$A$41:$F$44,2,FALSE),0)+IF(5=D419,ROUND(AO419*'难度参数'!$E$28*'章节与怪物'!$E$17,0),0))</x:f>
        <x:v>469532</x:v>
      </x:c>
      <x:c r="AQ419" s="119" t="n">
        <x:f>IF(AN419=0,0,(AN419-IF(5=D419,1,0))*VLOOKUP(INDEX('章节与怪物'!$E$31:$K$37,B419,5),'章节与怪物'!$A$41:$F$44,4,FALSE)+IF(5=D419,'难度参数'!$E$30,0))</x:f>
        <x:v>738</x:v>
      </x:c>
      <x:c r="AR419" s="119" t="n">
        <x:f>IF(6&gt;D419,0,MAX(2,MIN('难度参数'!$E$12,ROUND(('难度参数'!$E$18*POWER(A419,'难度参数'!$E$19)/D419*(0.85+0.3*(6-1)/MAX(1,D419-1))),0)+F419)))</x:f>
        <x:v>43</x:v>
      </x:c>
      <x:c r="AS419" s="119" t="n">
        <x:f>IF(6&gt;D419,0,ROUND(('难度参数'!$E$13*POWER(A419,'难度参数'!$E$20)*MIN('难度参数'!$E$23,1+MAX(0,A419-'难度参数'!$E$21)*'难度参数'!$E$22))*(36+6*7)/(36+7*(D419+1)/2)*E419,0))</x:f>
        <x:v>12582</x:v>
      </x:c>
      <x:c r="AT419" s="119" t="n">
        <x:f>IF(AR419=0,0,(AR419-IF(6=D419,1,0))*ROUND(AS419*VLOOKUP(INDEX('章节与怪物'!$E$31:$K$37,B419,6),'章节与怪物'!$A$41:$F$44,2,FALSE),0)+IF(6=D419,ROUND(AS419*'难度参数'!$E$28*'章节与怪物'!$E$17,0),0))</x:f>
        <x:v>919727</x:v>
      </x:c>
      <x:c r="AU419" s="119" t="n">
        <x:f>IF(AR419=0,0,(AR419-IF(6=D419,1,0))*VLOOKUP(INDEX('章节与怪物'!$E$31:$K$37,B419,6),'章节与怪物'!$A$41:$F$44,4,FALSE)+IF(6=D419,'难度参数'!$E$30,0))</x:f>
        <x:v>1204</x:v>
      </x:c>
      <x:c r="AV419" s="119" t="n">
        <x:f>IF(7&gt;D419,0,MAX(2,MIN('难度参数'!$E$12,ROUND(('难度参数'!$E$18*POWER(A419,'难度参数'!$E$19)/D419*(0.85+0.3*(7-1)/MAX(1,D419-1))),0)+F419)))</x:f>
        <x:v>45</x:v>
      </x:c>
      <x:c r="AW419" s="119" t="n">
        <x:f>IF(7&gt;D419,0,ROUND(('难度参数'!$E$13*POWER(A419,'难度参数'!$E$20)*MIN('难度参数'!$E$23,1+MAX(0,A419-'难度参数'!$E$21)*'难度参数'!$E$22))*(36+7*7)/(36+7*(D419+1)/2)*E419,0))</x:f>
        <x:v>13711</x:v>
      </x:c>
      <x:c r="AX419" s="119" t="n">
        <x:f>IF(AV419=0,0,(AV419-IF(7=D419,1,0))*ROUND(AW419*VLOOKUP(INDEX('章节与怪物'!$E$31:$K$37,B419,7),'章节与怪物'!$A$41:$F$44,2,FALSE),0)+IF(7=D419,ROUND(AW419*'难度参数'!$E$28*'章节与怪物'!$E$17,0),0))</x:f>
        <x:v>907675</x:v>
      </x:c>
      <x:c r="AY419" s="119" t="n">
        <x:f>IF(AV419=0,0,(AV419-IF(7=D419,1,0))*VLOOKUP(INDEX('章节与怪物'!$E$31:$K$37,B419,7),'章节与怪物'!$A$41:$F$44,4,FALSE)+IF(7=D419,'难度参数'!$E$30,0))</x:f>
        <x:v>1696</x:v>
      </x:c>
    </x:row>
    <x:row r="420" ht="23" customHeight="1">
      <x:c r="A420" s="119" t="n">
        <x:v>414</x:v>
      </x:c>
      <x:c r="B420" s="119" t="n">
        <x:f>MOD(INT((A420-1)/5),7)+1</x:f>
        <x:v>6</x:v>
      </x:c>
      <x:c r="C420" s="62" t="str">
        <x:f>INDEX('章节与怪物'!$B$31:$B$37,B420)</x:f>
        <x:v>熔岩山脉</x:v>
      </x:c>
      <x:c r="D420" s="119" t="n">
        <x:f>MIN('难度参数'!$E$8,MAX('难度参数'!$E$7,A420))</x:f>
        <x:v>7</x:v>
      </x:c>
      <x:c r="E420" s="106" t="n">
        <x:v>1</x:v>
      </x:c>
      <x:c r="F420" s="106" t="n">
        <x:v>0</x:v>
      </x:c>
      <x:c r="G420" s="106" t="n">
        <x:v>1</x:v>
      </x:c>
      <x:c r="H420" s="119" t="n">
        <x:f>SUM(X420,AB420,AF420,AJ420,AN420,AR420,AV420)</x:f>
        <x:v>273</x:v>
      </x:c>
      <x:c r="I420" s="119" t="n">
        <x:f>SUM(Z420,AD420,AH420,AL420,AP420,AT420,AX420)</x:f>
        <x:v>3872486</x:v>
      </x:c>
      <x:c r="J420" s="119" t="n">
        <x:f>ROUND(INDEX(X420:AY420,1,(D420-1)*4+2)*'难度参数'!$E$28*'章节与怪物'!$E$17,0)</x:f>
        <x:v>93398</x:v>
      </x:c>
      <x:c r="K420" s="119" t="n">
        <x:f>SUM(AA420,AE420,AI420,AM420,AQ420,AU420,AY420)</x:f>
        <x:v>7290</x:v>
      </x:c>
      <x:c r="L420" s="62" t="n">
        <x:f>H420*(ROUNDUP('难度参数'!$E$24/('难度参数'!$E$26*'难度参数'!$E$27),0)*'难度参数'!$E$26)/60</x:f>
        <x:v>3.64</x:v>
      </x:c>
      <x:c r="M420" s="62" t="n">
        <x:f>L420+D420*('难度参数'!$E$49+'难度参数'!$E$50)/60</x:f>
        <x:v>4.806666666666667</x:v>
      </x:c>
      <x:c r="N420" s="119" t="n">
        <x:f>ROUNDDOWN(('经济参数'!$E$20+A420*'经济参数'!$E$21)*G420,0)</x:f>
        <x:v>8460</x:v>
      </x:c>
      <x:c r="O420" s="119" t="n">
        <x:f>ROUNDDOWN(MIN('经济参数'!$E$24,'经济参数'!$E$22+A420*'经济参数'!$E$23)*G420,0)</x:f>
        <x:v>0</x:v>
      </x:c>
      <x:c r="P420" s="119" t="n">
        <x:f>ROUNDDOWN((IF(A420&gt;='材料与任务'!$E$31,'材料与任务'!$E$32,IF(A420&gt;='材料与任务'!$E$25,'材料与任务'!$E$26,IF(A420&gt;='材料与任务'!$E$19,'材料与任务'!$E$20,IF(A420&gt;='材料与任务'!$E$13,'材料与任务'!$E$14,'材料与任务'!$E$8)))))*G420,0)</x:f>
        <x:v>6</x:v>
      </x:c>
      <x:c r="Q420" s="119" t="n">
        <x:f>ROUNDDOWN((IF(A420&gt;='材料与任务'!$E$31,'材料与任务'!$E$33,IF(A420&gt;='材料与任务'!$E$25,'材料与任务'!$E$27,IF(A420&gt;='材料与任务'!$E$19,'材料与任务'!$E$21,IF(A420&gt;='材料与任务'!$E$13,'材料与任务'!$E$15,'材料与任务'!$E$9)))))*G420,0)</x:f>
        <x:v>3</x:v>
      </x:c>
      <x:c r="R420" s="110" t="n">
        <x:f>'装备掉落'!$B$38</x:f>
        <x:v>0.6872058758851213</x:v>
      </x:c>
      <x:c r="S420" s="119" t="n">
        <x:f>MAX(IF(VLOOKUP(A420,'装备掉落'!$A$29:$H$34,2,TRUE)&gt;0,1,0),IF(VLOOKUP(A420,'装备掉落'!$A$29:$H$34,3,TRUE)&gt;0,2,0),IF(VLOOKUP(A420,'装备掉落'!$A$29:$H$34,4,TRUE)&gt;0,3,0),IF(VLOOKUP(A420,'装备掉落'!$A$29:$H$34,5,TRUE)&gt;0,4,0),IF(VLOOKUP(A420,'装备掉落'!$A$29:$H$34,6,TRUE)&gt;0,5,0),IF(VLOOKUP(A420,'装备掉落'!$A$29:$H$34,7,TRUE)&gt;0,6,0),IF(VLOOKUP(A420,'装备掉落'!$A$29:$H$34,8,TRUE)&gt;0,7,0))</x:f>
        <x:v>7</x:v>
      </x:c>
      <x:c r="T420" s="119" t="n">
        <x:f>MIN(7,S420+'经济参数'!$E$70)</x:f>
        <x:v>7</x:v>
      </x:c>
      <x:c r="U420" s="119" t="n">
        <x:f>MIN(7,S420+'经济参数'!$E$71)</x:f>
        <x:v>7</x:v>
      </x:c>
      <x:c r="V420" s="119" t="n">
        <x:f>IF(H420&gt;=('难度参数'!$E$52),1,0)+IF(H420&gt;=('难度参数'!$E$52+'难度参数'!$E$53),1,0)+IF(H420&gt;=('难度参数'!$E$52+'难度参数'!$E$53+'难度参数'!$E$54),1,0)+IF(H420&gt;=('难度参数'!$E$52+'难度参数'!$E$53+'难度参数'!$E$54+'难度参数'!$E$55),1,0)+IF(H420&gt;=('难度参数'!$E$52+'难度参数'!$E$53+'难度参数'!$E$54+'难度参数'!$E$55+'难度参数'!$E$56),1,0)+IF(H420&gt;=('难度参数'!$E$52+'难度参数'!$E$53+'难度参数'!$E$54+'难度参数'!$E$55+'难度参数'!$E$56+'难度参数'!$E$57),1,0)</x:f>
        <x:v>6</x:v>
      </x:c>
      <x:c r="W420" s="62" t="str">
        <x:f>IF(L420&gt;'难度参数'!$E$51,"仅出怪已超目标","还需实测")</x:f>
        <x:v>仅出怪已超目标</x:v>
      </x:c>
      <x:c r="X420" s="119" t="n">
        <x:f>IF(1&gt;D420,0,MAX(2,MIN('难度参数'!$E$12,ROUND(('难度参数'!$E$18*POWER(A420,'难度参数'!$E$19)/D420*(0.85+0.3*(1-1)/MAX(1,D420-1))),0)+F420)))</x:f>
        <x:v>33</x:v>
      </x:c>
      <x:c r="Y420" s="119" t="n">
        <x:f>IF(1&gt;D420,0,ROUND(('难度参数'!$E$13*POWER(A420,'难度参数'!$E$20)*MIN('难度参数'!$E$23,1+MAX(0,A420-'难度参数'!$E$21)*'难度参数'!$E$22))*(36+1*7)/(36+7*(D420+1)/2)*E420,0))</x:f>
        <x:v>6948</x:v>
      </x:c>
      <x:c r="Z420" s="119" t="n">
        <x:f>IF(X420=0,0,(X420-IF(1=D420,1,0))*ROUND(Y420*VLOOKUP(INDEX('章节与怪物'!$E$31:$K$37,B420,1),'章节与怪物'!$A$41:$F$44,2,FALSE),0)+IF(1=D420,ROUND(Y420*'难度参数'!$E$28*'章节与怪物'!$E$17,0),0))</x:f>
        <x:v>165099</x:v>
      </x:c>
      <x:c r="AA420" s="119" t="n">
        <x:f>IF(X420=0,0,(X420-IF(1=D420,1,0))*VLOOKUP(INDEX('章节与怪物'!$E$31:$K$37,B420,1),'章节与怪物'!$A$41:$F$44,4,FALSE)+IF(1=D420,'难度参数'!$E$30,0))</x:f>
        <x:v>660</x:v>
      </x:c>
      <x:c r="AB420" s="119" t="n">
        <x:f>IF(2&gt;D420,0,MAX(2,MIN('难度参数'!$E$12,ROUND(('难度参数'!$E$18*POWER(A420,'难度参数'!$E$19)/D420*(0.85+0.3*(2-1)/MAX(1,D420-1))),0)+F420)))</x:f>
        <x:v>35</x:v>
      </x:c>
      <x:c r="AC420" s="119" t="n">
        <x:f>IF(2&gt;D420,0,ROUND(('难度参数'!$E$13*POWER(A420,'难度参数'!$E$20)*MIN('难度参数'!$E$23,1+MAX(0,A420-'难度参数'!$E$21)*'难度参数'!$E$22))*(36+2*7)/(36+7*(D420+1)/2)*E420,0))</x:f>
        <x:v>8079</x:v>
      </x:c>
      <x:c r="AD420" s="119" t="n">
        <x:f>IF(AB420=0,0,(AB420-IF(2=D420,1,0))*ROUND(AC420*VLOOKUP(INDEX('章节与怪物'!$E$31:$K$37,B420,2),'章节与怪物'!$A$41:$F$44,2,FALSE),0)+IF(2=D420,ROUND(AC420*'难度参数'!$E$28*'章节与怪物'!$E$17,0),0))</x:f>
        <x:v>282765</x:v>
      </x:c>
      <x:c r="AE420" s="119" t="n">
        <x:f>IF(AB420=0,0,(AB420-IF(2=D420,1,0))*VLOOKUP(INDEX('章节与怪物'!$E$31:$K$37,B420,2),'章节与怪物'!$A$41:$F$44,4,FALSE)+IF(2=D420,'难度参数'!$E$30,0))</x:f>
        <x:v>630</x:v>
      </x:c>
      <x:c r="AF420" s="119" t="n">
        <x:f>IF(3&gt;D420,0,MAX(2,MIN('难度参数'!$E$12,ROUND(('难度参数'!$E$18*POWER(A420,'难度参数'!$E$19)/D420*(0.85+0.3*(3-1)/MAX(1,D420-1))),0)+F420)))</x:f>
        <x:v>37</x:v>
      </x:c>
      <x:c r="AG420" s="119" t="n">
        <x:f>IF(3&gt;D420,0,ROUND(('难度参数'!$E$13*POWER(A420,'难度参数'!$E$20)*MIN('难度参数'!$E$23,1+MAX(0,A420-'难度参数'!$E$21)*'难度参数'!$E$22))*(36+3*7)/(36+7*(D420+1)/2)*E420,0))</x:f>
        <x:v>9210</x:v>
      </x:c>
      <x:c r="AH420" s="119" t="n">
        <x:f>IF(AF420=0,0,(AF420-IF(3=D420,1,0))*ROUND(AG420*VLOOKUP(INDEX('章节与怪物'!$E$31:$K$37,B420,3),'章节与怪物'!$A$41:$F$44,2,FALSE),0)+IF(3=D420,ROUND(AG420*'难度参数'!$E$28*'章节与怪物'!$E$17,0),0))</x:f>
        <x:v>579309</x:v>
      </x:c>
      <x:c r="AI420" s="119" t="n">
        <x:f>IF(AF420=0,0,(AF420-IF(3=D420,1,0))*VLOOKUP(INDEX('章节与怪物'!$E$31:$K$37,B420,3),'章节与怪物'!$A$41:$F$44,4,FALSE)+IF(3=D420,'难度参数'!$E$30,0))</x:f>
        <x:v>1036</x:v>
      </x:c>
      <x:c r="AJ420" s="119" t="n">
        <x:f>IF(4&gt;D420,0,MAX(2,MIN('难度参数'!$E$12,ROUND(('难度参数'!$E$18*POWER(A420,'难度参数'!$E$19)/D420*(0.85+0.3*(4-1)/MAX(1,D420-1))),0)+F420)))</x:f>
        <x:v>39</x:v>
      </x:c>
      <x:c r="AK420" s="119" t="n">
        <x:f>IF(4&gt;D420,0,ROUND(('难度参数'!$E$13*POWER(A420,'难度参数'!$E$20)*MIN('难度参数'!$E$23,1+MAX(0,A420-'难度参数'!$E$21)*'难度参数'!$E$22))*(36+4*7)/(36+7*(D420+1)/2)*E420,0))</x:f>
        <x:v>10341</x:v>
      </x:c>
      <x:c r="AL420" s="119" t="n">
        <x:f>IF(AJ420=0,0,(AJ420-IF(4=D420,1,0))*ROUND(AK420*VLOOKUP(INDEX('章节与怪物'!$E$31:$K$37,B420,4),'章节与怪物'!$A$41:$F$44,2,FALSE),0)+IF(4=D420,ROUND(AK420*'难度参数'!$E$28*'章节与怪物'!$E$17,0),0))</x:f>
        <x:v>544440</x:v>
      </x:c>
      <x:c r="AM420" s="119" t="n">
        <x:f>IF(AJ420=0,0,(AJ420-IF(4=D420,1,0))*VLOOKUP(INDEX('章节与怪物'!$E$31:$K$37,B420,4),'章节与怪物'!$A$41:$F$44,4,FALSE)+IF(4=D420,'难度参数'!$E$30,0))</x:f>
        <x:v>1326</x:v>
      </x:c>
      <x:c r="AN420" s="119" t="n">
        <x:f>IF(5&gt;D420,0,MAX(2,MIN('难度参数'!$E$12,ROUND(('难度参数'!$E$18*POWER(A420,'难度参数'!$E$19)/D420*(0.85+0.3*(5-1)/MAX(1,D420-1))),0)+F420)))</x:f>
        <x:v>41</x:v>
      </x:c>
      <x:c r="AO420" s="119" t="n">
        <x:f>IF(5&gt;D420,0,ROUND(('难度参数'!$E$13*POWER(A420,'难度参数'!$E$20)*MIN('难度参数'!$E$23,1+MAX(0,A420-'难度参数'!$E$21)*'难度参数'!$E$22))*(36+5*7)/(36+7*(D420+1)/2)*E420,0))</x:f>
        <x:v>11472</x:v>
      </x:c>
      <x:c r="AP420" s="119" t="n">
        <x:f>IF(AN420=0,0,(AN420-IF(5=D420,1,0))*ROUND(AO420*VLOOKUP(INDEX('章节与怪物'!$E$31:$K$37,B420,5),'章节与怪物'!$A$41:$F$44,2,FALSE),0)+IF(5=D420,ROUND(AO420*'难度参数'!$E$28*'章节与怪物'!$E$17,0),0))</x:f>
        <x:v>470352</x:v>
      </x:c>
      <x:c r="AQ420" s="119" t="n">
        <x:f>IF(AN420=0,0,(AN420-IF(5=D420,1,0))*VLOOKUP(INDEX('章节与怪物'!$E$31:$K$37,B420,5),'章节与怪物'!$A$41:$F$44,4,FALSE)+IF(5=D420,'难度参数'!$E$30,0))</x:f>
        <x:v>738</x:v>
      </x:c>
      <x:c r="AR420" s="119" t="n">
        <x:f>IF(6&gt;D420,0,MAX(2,MIN('难度参数'!$E$12,ROUND(('难度参数'!$E$18*POWER(A420,'难度参数'!$E$19)/D420*(0.85+0.3*(6-1)/MAX(1,D420-1))),0)+F420)))</x:f>
        <x:v>43</x:v>
      </x:c>
      <x:c r="AS420" s="119" t="n">
        <x:f>IF(6&gt;D420,0,ROUND(('难度参数'!$E$13*POWER(A420,'难度参数'!$E$20)*MIN('难度参数'!$E$23,1+MAX(0,A420-'难度参数'!$E$21)*'难度参数'!$E$22))*(36+6*7)/(36+7*(D420+1)/2)*E420,0))</x:f>
        <x:v>12603</x:v>
      </x:c>
      <x:c r="AT420" s="119" t="n">
        <x:f>IF(AR420=0,0,(AR420-IF(6=D420,1,0))*ROUND(AS420*VLOOKUP(INDEX('章节与怪物'!$E$31:$K$37,B420,6),'章节与怪物'!$A$41:$F$44,2,FALSE),0)+IF(6=D420,ROUND(AS420*'难度参数'!$E$28*'章节与怪物'!$E$17,0),0))</x:f>
        <x:v>921275</x:v>
      </x:c>
      <x:c r="AU420" s="119" t="n">
        <x:f>IF(AR420=0,0,(AR420-IF(6=D420,1,0))*VLOOKUP(INDEX('章节与怪物'!$E$31:$K$37,B420,6),'章节与怪物'!$A$41:$F$44,4,FALSE)+IF(6=D420,'难度参数'!$E$30,0))</x:f>
        <x:v>1204</x:v>
      </x:c>
      <x:c r="AV420" s="119" t="n">
        <x:f>IF(7&gt;D420,0,MAX(2,MIN('难度参数'!$E$12,ROUND(('难度参数'!$E$18*POWER(A420,'难度参数'!$E$19)/D420*(0.85+0.3*(7-1)/MAX(1,D420-1))),0)+F420)))</x:f>
        <x:v>45</x:v>
      </x:c>
      <x:c r="AW420" s="119" t="n">
        <x:f>IF(7&gt;D420,0,ROUND(('难度参数'!$E$13*POWER(A420,'难度参数'!$E$20)*MIN('难度参数'!$E$23,1+MAX(0,A420-'难度参数'!$E$21)*'难度参数'!$E$22))*(36+7*7)/(36+7*(D420+1)/2)*E420,0))</x:f>
        <x:v>13735</x:v>
      </x:c>
      <x:c r="AX420" s="119" t="n">
        <x:f>IF(AV420=0,0,(AV420-IF(7=D420,1,0))*ROUND(AW420*VLOOKUP(INDEX('章节与怪物'!$E$31:$K$37,B420,7),'章节与怪物'!$A$41:$F$44,2,FALSE),0)+IF(7=D420,ROUND(AW420*'难度参数'!$E$28*'章节与怪物'!$E$17,0),0))</x:f>
        <x:v>909246</x:v>
      </x:c>
      <x:c r="AY420" s="119" t="n">
        <x:f>IF(AV420=0,0,(AV420-IF(7=D420,1,0))*VLOOKUP(INDEX('章节与怪物'!$E$31:$K$37,B420,7),'章节与怪物'!$A$41:$F$44,4,FALSE)+IF(7=D420,'难度参数'!$E$30,0))</x:f>
        <x:v>1696</x:v>
      </x:c>
    </x:row>
    <x:row r="421" ht="23" customHeight="1">
      <x:c r="A421" s="119" t="n">
        <x:v>415</x:v>
      </x:c>
      <x:c r="B421" s="119" t="n">
        <x:f>MOD(INT((A421-1)/5),7)+1</x:f>
        <x:v>6</x:v>
      </x:c>
      <x:c r="C421" s="62" t="str">
        <x:f>INDEX('章节与怪物'!$B$31:$B$37,B421)</x:f>
        <x:v>熔岩山脉</x:v>
      </x:c>
      <x:c r="D421" s="119" t="n">
        <x:f>MIN('难度参数'!$E$8,MAX('难度参数'!$E$7,A421))</x:f>
        <x:v>7</x:v>
      </x:c>
      <x:c r="E421" s="106" t="n">
        <x:v>1</x:v>
      </x:c>
      <x:c r="F421" s="106" t="n">
        <x:v>0</x:v>
      </x:c>
      <x:c r="G421" s="106" t="n">
        <x:v>1</x:v>
      </x:c>
      <x:c r="H421" s="119" t="n">
        <x:f>SUM(X421,AB421,AF421,AJ421,AN421,AR421,AV421)</x:f>
        <x:v>273</x:v>
      </x:c>
      <x:c r="I421" s="119" t="n">
        <x:f>SUM(Z421,AD421,AH421,AL421,AP421,AT421,AX421)</x:f>
        <x:v>3879188</x:v>
      </x:c>
      <x:c r="J421" s="119" t="n">
        <x:f>ROUND(INDEX(X421:AY421,1,(D421-1)*4+2)*'难度参数'!$E$28*'章节与怪物'!$E$17,0)</x:f>
        <x:v>93554</x:v>
      </x:c>
      <x:c r="K421" s="119" t="n">
        <x:f>SUM(AA421,AE421,AI421,AM421,AQ421,AU421,AY421)</x:f>
        <x:v>7290</x:v>
      </x:c>
      <x:c r="L421" s="62" t="n">
        <x:f>H421*(ROUNDUP('难度参数'!$E$24/('难度参数'!$E$26*'难度参数'!$E$27),0)*'难度参数'!$E$26)/60</x:f>
        <x:v>3.64</x:v>
      </x:c>
      <x:c r="M421" s="62" t="n">
        <x:f>L421+D421*('难度参数'!$E$49+'难度参数'!$E$50)/60</x:f>
        <x:v>4.806666666666667</x:v>
      </x:c>
      <x:c r="N421" s="119" t="n">
        <x:f>ROUNDDOWN(('经济参数'!$E$20+A421*'经济参数'!$E$21)*G421,0)</x:f>
        <x:v>8480</x:v>
      </x:c>
      <x:c r="O421" s="119" t="n">
        <x:f>ROUNDDOWN(MIN('经济参数'!$E$24,'经济参数'!$E$22+A421*'经济参数'!$E$23)*G421,0)</x:f>
        <x:v>0</x:v>
      </x:c>
      <x:c r="P421" s="119" t="n">
        <x:f>ROUNDDOWN((IF(A421&gt;='材料与任务'!$E$31,'材料与任务'!$E$32,IF(A421&gt;='材料与任务'!$E$25,'材料与任务'!$E$26,IF(A421&gt;='材料与任务'!$E$19,'材料与任务'!$E$20,IF(A421&gt;='材料与任务'!$E$13,'材料与任务'!$E$14,'材料与任务'!$E$8)))))*G421,0)</x:f>
        <x:v>6</x:v>
      </x:c>
      <x:c r="Q421" s="119" t="n">
        <x:f>ROUNDDOWN((IF(A421&gt;='材料与任务'!$E$31,'材料与任务'!$E$33,IF(A421&gt;='材料与任务'!$E$25,'材料与任务'!$E$27,IF(A421&gt;='材料与任务'!$E$19,'材料与任务'!$E$21,IF(A421&gt;='材料与任务'!$E$13,'材料与任务'!$E$15,'材料与任务'!$E$9)))))*G421,0)</x:f>
        <x:v>3</x:v>
      </x:c>
      <x:c r="R421" s="110" t="n">
        <x:f>'装备掉落'!$B$38</x:f>
        <x:v>0.6872058758851213</x:v>
      </x:c>
      <x:c r="S421" s="119" t="n">
        <x:f>MAX(IF(VLOOKUP(A421,'装备掉落'!$A$29:$H$34,2,TRUE)&gt;0,1,0),IF(VLOOKUP(A421,'装备掉落'!$A$29:$H$34,3,TRUE)&gt;0,2,0),IF(VLOOKUP(A421,'装备掉落'!$A$29:$H$34,4,TRUE)&gt;0,3,0),IF(VLOOKUP(A421,'装备掉落'!$A$29:$H$34,5,TRUE)&gt;0,4,0),IF(VLOOKUP(A421,'装备掉落'!$A$29:$H$34,6,TRUE)&gt;0,5,0),IF(VLOOKUP(A421,'装备掉落'!$A$29:$H$34,7,TRUE)&gt;0,6,0),IF(VLOOKUP(A421,'装备掉落'!$A$29:$H$34,8,TRUE)&gt;0,7,0))</x:f>
        <x:v>7</x:v>
      </x:c>
      <x:c r="T421" s="119" t="n">
        <x:f>MIN(7,S421+'经济参数'!$E$70)</x:f>
        <x:v>7</x:v>
      </x:c>
      <x:c r="U421" s="119" t="n">
        <x:f>MIN(7,S421+'经济参数'!$E$71)</x:f>
        <x:v>7</x:v>
      </x:c>
      <x:c r="V421" s="119" t="n">
        <x:f>IF(H421&gt;=('难度参数'!$E$52),1,0)+IF(H421&gt;=('难度参数'!$E$52+'难度参数'!$E$53),1,0)+IF(H421&gt;=('难度参数'!$E$52+'难度参数'!$E$53+'难度参数'!$E$54),1,0)+IF(H421&gt;=('难度参数'!$E$52+'难度参数'!$E$53+'难度参数'!$E$54+'难度参数'!$E$55),1,0)+IF(H421&gt;=('难度参数'!$E$52+'难度参数'!$E$53+'难度参数'!$E$54+'难度参数'!$E$55+'难度参数'!$E$56),1,0)+IF(H421&gt;=('难度参数'!$E$52+'难度参数'!$E$53+'难度参数'!$E$54+'难度参数'!$E$55+'难度参数'!$E$56+'难度参数'!$E$57),1,0)</x:f>
        <x:v>6</x:v>
      </x:c>
      <x:c r="W421" s="62" t="str">
        <x:f>IF(L421&gt;'难度参数'!$E$51,"仅出怪已超目标","还需实测")</x:f>
        <x:v>仅出怪已超目标</x:v>
      </x:c>
      <x:c r="X421" s="119" t="n">
        <x:f>IF(1&gt;D421,0,MAX(2,MIN('难度参数'!$E$12,ROUND(('难度参数'!$E$18*POWER(A421,'难度参数'!$E$19)/D421*(0.85+0.3*(1-1)/MAX(1,D421-1))),0)+F421)))</x:f>
        <x:v>33</x:v>
      </x:c>
      <x:c r="Y421" s="119" t="n">
        <x:f>IF(1&gt;D421,0,ROUND(('难度参数'!$E$13*POWER(A421,'难度参数'!$E$20)*MIN('难度参数'!$E$23,1+MAX(0,A421-'难度参数'!$E$21)*'难度参数'!$E$22))*(36+1*7)/(36+7*(D421+1)/2)*E421,0))</x:f>
        <x:v>6960</x:v>
      </x:c>
      <x:c r="Z421" s="119" t="n">
        <x:f>IF(X421=0,0,(X421-IF(1=D421,1,0))*ROUND(Y421*VLOOKUP(INDEX('章节与怪物'!$E$31:$K$37,B421,1),'章节与怪物'!$A$41:$F$44,2,FALSE),0)+IF(1=D421,ROUND(Y421*'难度参数'!$E$28*'章节与怪物'!$E$17,0),0))</x:f>
        <x:v>165363</x:v>
      </x:c>
      <x:c r="AA421" s="119" t="n">
        <x:f>IF(X421=0,0,(X421-IF(1=D421,1,0))*VLOOKUP(INDEX('章节与怪物'!$E$31:$K$37,B421,1),'章节与怪物'!$A$41:$F$44,4,FALSE)+IF(1=D421,'难度参数'!$E$30,0))</x:f>
        <x:v>660</x:v>
      </x:c>
      <x:c r="AB421" s="119" t="n">
        <x:f>IF(2&gt;D421,0,MAX(2,MIN('难度参数'!$E$12,ROUND(('难度参数'!$E$18*POWER(A421,'难度参数'!$E$19)/D421*(0.85+0.3*(2-1)/MAX(1,D421-1))),0)+F421)))</x:f>
        <x:v>35</x:v>
      </x:c>
      <x:c r="AC421" s="119" t="n">
        <x:f>IF(2&gt;D421,0,ROUND(('难度参数'!$E$13*POWER(A421,'难度参数'!$E$20)*MIN('难度参数'!$E$23,1+MAX(0,A421-'难度参数'!$E$21)*'难度参数'!$E$22))*(36+2*7)/(36+7*(D421+1)/2)*E421,0))</x:f>
        <x:v>8093</x:v>
      </x:c>
      <x:c r="AD421" s="119" t="n">
        <x:f>IF(AB421=0,0,(AB421-IF(2=D421,1,0))*ROUND(AC421*VLOOKUP(INDEX('章节与怪物'!$E$31:$K$37,B421,2),'章节与怪物'!$A$41:$F$44,2,FALSE),0)+IF(2=D421,ROUND(AC421*'难度参数'!$E$28*'章节与怪物'!$E$17,0),0))</x:f>
        <x:v>283255</x:v>
      </x:c>
      <x:c r="AE421" s="119" t="n">
        <x:f>IF(AB421=0,0,(AB421-IF(2=D421,1,0))*VLOOKUP(INDEX('章节与怪物'!$E$31:$K$37,B421,2),'章节与怪物'!$A$41:$F$44,4,FALSE)+IF(2=D421,'难度参数'!$E$30,0))</x:f>
        <x:v>630</x:v>
      </x:c>
      <x:c r="AF421" s="119" t="n">
        <x:f>IF(3&gt;D421,0,MAX(2,MIN('难度参数'!$E$12,ROUND(('难度参数'!$E$18*POWER(A421,'难度参数'!$E$19)/D421*(0.85+0.3*(3-1)/MAX(1,D421-1))),0)+F421)))</x:f>
        <x:v>37</x:v>
      </x:c>
      <x:c r="AG421" s="119" t="n">
        <x:f>IF(3&gt;D421,0,ROUND(('难度参数'!$E$13*POWER(A421,'难度参数'!$E$20)*MIN('难度参数'!$E$23,1+MAX(0,A421-'难度参数'!$E$21)*'难度参数'!$E$22))*(36+3*7)/(36+7*(D421+1)/2)*E421,0))</x:f>
        <x:v>9226</x:v>
      </x:c>
      <x:c r="AH421" s="119" t="n">
        <x:f>IF(AF421=0,0,(AF421-IF(3=D421,1,0))*ROUND(AG421*VLOOKUP(INDEX('章节与怪物'!$E$31:$K$37,B421,3),'章节与怪物'!$A$41:$F$44,2,FALSE),0)+IF(3=D421,ROUND(AG421*'难度参数'!$E$28*'章节与怪物'!$E$17,0),0))</x:f>
        <x:v>580308</x:v>
      </x:c>
      <x:c r="AI421" s="119" t="n">
        <x:f>IF(AF421=0,0,(AF421-IF(3=D421,1,0))*VLOOKUP(INDEX('章节与怪物'!$E$31:$K$37,B421,3),'章节与怪物'!$A$41:$F$44,4,FALSE)+IF(3=D421,'难度参数'!$E$30,0))</x:f>
        <x:v>1036</x:v>
      </x:c>
      <x:c r="AJ421" s="119" t="n">
        <x:f>IF(4&gt;D421,0,MAX(2,MIN('难度参数'!$E$12,ROUND(('难度参数'!$E$18*POWER(A421,'难度参数'!$E$19)/D421*(0.85+0.3*(4-1)/MAX(1,D421-1))),0)+F421)))</x:f>
        <x:v>39</x:v>
      </x:c>
      <x:c r="AK421" s="119" t="n">
        <x:f>IF(4&gt;D421,0,ROUND(('难度参数'!$E$13*POWER(A421,'难度参数'!$E$20)*MIN('难度参数'!$E$23,1+MAX(0,A421-'难度参数'!$E$21)*'难度参数'!$E$22))*(36+4*7)/(36+7*(D421+1)/2)*E421,0))</x:f>
        <x:v>10359</x:v>
      </x:c>
      <x:c r="AL421" s="119" t="n">
        <x:f>IF(AJ421=0,0,(AJ421-IF(4=D421,1,0))*ROUND(AK421*VLOOKUP(INDEX('章节与怪物'!$E$31:$K$37,B421,4),'章节与怪物'!$A$41:$F$44,2,FALSE),0)+IF(4=D421,ROUND(AK421*'难度参数'!$E$28*'章节与怪物'!$E$17,0),0))</x:f>
        <x:v>545415</x:v>
      </x:c>
      <x:c r="AM421" s="119" t="n">
        <x:f>IF(AJ421=0,0,(AJ421-IF(4=D421,1,0))*VLOOKUP(INDEX('章节与怪物'!$E$31:$K$37,B421,4),'章节与怪物'!$A$41:$F$44,4,FALSE)+IF(4=D421,'难度参数'!$E$30,0))</x:f>
        <x:v>1326</x:v>
      </x:c>
      <x:c r="AN421" s="119" t="n">
        <x:f>IF(5&gt;D421,0,MAX(2,MIN('难度参数'!$E$12,ROUND(('难度参数'!$E$18*POWER(A421,'难度参数'!$E$19)/D421*(0.85+0.3*(5-1)/MAX(1,D421-1))),0)+F421)))</x:f>
        <x:v>41</x:v>
      </x:c>
      <x:c r="AO421" s="119" t="n">
        <x:f>IF(5&gt;D421,0,ROUND(('难度参数'!$E$13*POWER(A421,'难度参数'!$E$20)*MIN('难度参数'!$E$23,1+MAX(0,A421-'难度参数'!$E$21)*'难度参数'!$E$22))*(36+5*7)/(36+7*(D421+1)/2)*E421,0))</x:f>
        <x:v>11492</x:v>
      </x:c>
      <x:c r="AP421" s="119" t="n">
        <x:f>IF(AN421=0,0,(AN421-IF(5=D421,1,0))*ROUND(AO421*VLOOKUP(INDEX('章节与怪物'!$E$31:$K$37,B421,5),'章节与怪物'!$A$41:$F$44,2,FALSE),0)+IF(5=D421,ROUND(AO421*'难度参数'!$E$28*'章节与怪物'!$E$17,0),0))</x:f>
        <x:v>471172</x:v>
      </x:c>
      <x:c r="AQ421" s="119" t="n">
        <x:f>IF(AN421=0,0,(AN421-IF(5=D421,1,0))*VLOOKUP(INDEX('章节与怪物'!$E$31:$K$37,B421,5),'章节与怪物'!$A$41:$F$44,4,FALSE)+IF(5=D421,'难度参数'!$E$30,0))</x:f>
        <x:v>738</x:v>
      </x:c>
      <x:c r="AR421" s="119" t="n">
        <x:f>IF(6&gt;D421,0,MAX(2,MIN('难度参数'!$E$12,ROUND(('难度参数'!$E$18*POWER(A421,'难度参数'!$E$19)/D421*(0.85+0.3*(6-1)/MAX(1,D421-1))),0)+F421)))</x:f>
        <x:v>43</x:v>
      </x:c>
      <x:c r="AS421" s="119" t="n">
        <x:f>IF(6&gt;D421,0,ROUND(('难度参数'!$E$13*POWER(A421,'难度参数'!$E$20)*MIN('难度参数'!$E$23,1+MAX(0,A421-'难度参数'!$E$21)*'难度参数'!$E$22))*(36+6*7)/(36+7*(D421+1)/2)*E421,0))</x:f>
        <x:v>12625</x:v>
      </x:c>
      <x:c r="AT421" s="119" t="n">
        <x:f>IF(AR421=0,0,(AR421-IF(6=D421,1,0))*ROUND(AS421*VLOOKUP(INDEX('章节与怪物'!$E$31:$K$37,B421,6),'章节与怪物'!$A$41:$F$44,2,FALSE),0)+IF(6=D421,ROUND(AS421*'难度参数'!$E$28*'章节与怪物'!$E$17,0),0))</x:f>
        <x:v>922909</x:v>
      </x:c>
      <x:c r="AU421" s="119" t="n">
        <x:f>IF(AR421=0,0,(AR421-IF(6=D421,1,0))*VLOOKUP(INDEX('章节与怪物'!$E$31:$K$37,B421,6),'章节与怪物'!$A$41:$F$44,4,FALSE)+IF(6=D421,'难度参数'!$E$30,0))</x:f>
        <x:v>1204</x:v>
      </x:c>
      <x:c r="AV421" s="119" t="n">
        <x:f>IF(7&gt;D421,0,MAX(2,MIN('难度参数'!$E$12,ROUND(('难度参数'!$E$18*POWER(A421,'难度参数'!$E$19)/D421*(0.85+0.3*(7-1)/MAX(1,D421-1))),0)+F421)))</x:f>
        <x:v>45</x:v>
      </x:c>
      <x:c r="AW421" s="119" t="n">
        <x:f>IF(7&gt;D421,0,ROUND(('难度参数'!$E$13*POWER(A421,'难度参数'!$E$20)*MIN('难度参数'!$E$23,1+MAX(0,A421-'难度参数'!$E$21)*'难度参数'!$E$22))*(36+7*7)/(36+7*(D421+1)/2)*E421,0))</x:f>
        <x:v>13758</x:v>
      </x:c>
      <x:c r="AX421" s="119" t="n">
        <x:f>IF(AV421=0,0,(AV421-IF(7=D421,1,0))*ROUND(AW421*VLOOKUP(INDEX('章节与怪物'!$E$31:$K$37,B421,7),'章节与怪物'!$A$41:$F$44,2,FALSE),0)+IF(7=D421,ROUND(AW421*'难度参数'!$E$28*'章节与怪物'!$E$17,0),0))</x:f>
        <x:v>910766</x:v>
      </x:c>
      <x:c r="AY421" s="119" t="n">
        <x:f>IF(AV421=0,0,(AV421-IF(7=D421,1,0))*VLOOKUP(INDEX('章节与怪物'!$E$31:$K$37,B421,7),'章节与怪物'!$A$41:$F$44,4,FALSE)+IF(7=D421,'难度参数'!$E$30,0))</x:f>
        <x:v>1696</x:v>
      </x:c>
    </x:row>
    <x:row r="422" ht="23" customHeight="1">
      <x:c r="A422" s="119" t="n">
        <x:v>416</x:v>
      </x:c>
      <x:c r="B422" s="119" t="n">
        <x:f>MOD(INT((A422-1)/5),7)+1</x:f>
        <x:v>7</x:v>
      </x:c>
      <x:c r="C422" s="62" t="str">
        <x:f>INDEX('章节与怪物'!$B$31:$B$37,B422)</x:f>
        <x:v>魔法山脊</x:v>
      </x:c>
      <x:c r="D422" s="119" t="n">
        <x:f>MIN('难度参数'!$E$8,MAX('难度参数'!$E$7,A422))</x:f>
        <x:v>7</x:v>
      </x:c>
      <x:c r="E422" s="106" t="n">
        <x:v>1</x:v>
      </x:c>
      <x:c r="F422" s="106" t="n">
        <x:v>0</x:v>
      </x:c>
      <x:c r="G422" s="106" t="n">
        <x:v>1</x:v>
      </x:c>
      <x:c r="H422" s="119" t="n">
        <x:f>SUM(X422,AB422,AF422,AJ422,AN422,AR422,AV422)</x:f>
        <x:v>273</x:v>
      </x:c>
      <x:c r="I422" s="119" t="n">
        <x:f>SUM(Z422,AD422,AH422,AL422,AP422,AT422,AX422)</x:f>
        <x:v>3738760</x:v>
      </x:c>
      <x:c r="J422" s="119" t="n">
        <x:f>ROUND(INDEX(X422:AY422,1,(D422-1)*4+2)*'难度参数'!$E$28*'章节与怪物'!$E$17,0)</x:f>
        <x:v>93718</x:v>
      </x:c>
      <x:c r="K422" s="119" t="n">
        <x:f>SUM(AA422,AE422,AI422,AM422,AQ422,AU422,AY422)</x:f>
        <x:v>7376</x:v>
      </x:c>
      <x:c r="L422" s="62" t="n">
        <x:f>H422*(ROUNDUP('难度参数'!$E$24/('难度参数'!$E$26*'难度参数'!$E$27),0)*'难度参数'!$E$26)/60</x:f>
        <x:v>3.64</x:v>
      </x:c>
      <x:c r="M422" s="62" t="n">
        <x:f>L422+D422*('难度参数'!$E$49+'难度参数'!$E$50)/60</x:f>
        <x:v>4.806666666666667</x:v>
      </x:c>
      <x:c r="N422" s="119" t="n">
        <x:f>ROUNDDOWN(('经济参数'!$E$20+A422*'经济参数'!$E$21)*G422,0)</x:f>
        <x:v>8500</x:v>
      </x:c>
      <x:c r="O422" s="119" t="n">
        <x:f>ROUNDDOWN(MIN('经济参数'!$E$24,'经济参数'!$E$22+A422*'经济参数'!$E$23)*G422,0)</x:f>
        <x:v>0</x:v>
      </x:c>
      <x:c r="P422" s="119" t="n">
        <x:f>ROUNDDOWN((IF(A422&gt;='材料与任务'!$E$31,'材料与任务'!$E$32,IF(A422&gt;='材料与任务'!$E$25,'材料与任务'!$E$26,IF(A422&gt;='材料与任务'!$E$19,'材料与任务'!$E$20,IF(A422&gt;='材料与任务'!$E$13,'材料与任务'!$E$14,'材料与任务'!$E$8)))))*G422,0)</x:f>
        <x:v>6</x:v>
      </x:c>
      <x:c r="Q422" s="119" t="n">
        <x:f>ROUNDDOWN((IF(A422&gt;='材料与任务'!$E$31,'材料与任务'!$E$33,IF(A422&gt;='材料与任务'!$E$25,'材料与任务'!$E$27,IF(A422&gt;='材料与任务'!$E$19,'材料与任务'!$E$21,IF(A422&gt;='材料与任务'!$E$13,'材料与任务'!$E$15,'材料与任务'!$E$9)))))*G422,0)</x:f>
        <x:v>3</x:v>
      </x:c>
      <x:c r="R422" s="110" t="n">
        <x:f>'装备掉落'!$B$38</x:f>
        <x:v>0.6872058758851213</x:v>
      </x:c>
      <x:c r="S422" s="119" t="n">
        <x:f>MAX(IF(VLOOKUP(A422,'装备掉落'!$A$29:$H$34,2,TRUE)&gt;0,1,0),IF(VLOOKUP(A422,'装备掉落'!$A$29:$H$34,3,TRUE)&gt;0,2,0),IF(VLOOKUP(A422,'装备掉落'!$A$29:$H$34,4,TRUE)&gt;0,3,0),IF(VLOOKUP(A422,'装备掉落'!$A$29:$H$34,5,TRUE)&gt;0,4,0),IF(VLOOKUP(A422,'装备掉落'!$A$29:$H$34,6,TRUE)&gt;0,5,0),IF(VLOOKUP(A422,'装备掉落'!$A$29:$H$34,7,TRUE)&gt;0,6,0),IF(VLOOKUP(A422,'装备掉落'!$A$29:$H$34,8,TRUE)&gt;0,7,0))</x:f>
        <x:v>7</x:v>
      </x:c>
      <x:c r="T422" s="119" t="n">
        <x:f>MIN(7,S422+'经济参数'!$E$70)</x:f>
        <x:v>7</x:v>
      </x:c>
      <x:c r="U422" s="119" t="n">
        <x:f>MIN(7,S422+'经济参数'!$E$71)</x:f>
        <x:v>7</x:v>
      </x:c>
      <x:c r="V422" s="119" t="n">
        <x:f>IF(H422&gt;=('难度参数'!$E$52),1,0)+IF(H422&gt;=('难度参数'!$E$52+'难度参数'!$E$53),1,0)+IF(H422&gt;=('难度参数'!$E$52+'难度参数'!$E$53+'难度参数'!$E$54),1,0)+IF(H422&gt;=('难度参数'!$E$52+'难度参数'!$E$53+'难度参数'!$E$54+'难度参数'!$E$55),1,0)+IF(H422&gt;=('难度参数'!$E$52+'难度参数'!$E$53+'难度参数'!$E$54+'难度参数'!$E$55+'难度参数'!$E$56),1,0)+IF(H422&gt;=('难度参数'!$E$52+'难度参数'!$E$53+'难度参数'!$E$54+'难度参数'!$E$55+'难度参数'!$E$56+'难度参数'!$E$57),1,0)</x:f>
        <x:v>6</x:v>
      </x:c>
      <x:c r="W422" s="62" t="str">
        <x:f>IF(L422&gt;'难度参数'!$E$51,"仅出怪已超目标","还需实测")</x:f>
        <x:v>仅出怪已超目标</x:v>
      </x:c>
      <x:c r="X422" s="119" t="n">
        <x:f>IF(1&gt;D422,0,MAX(2,MIN('难度参数'!$E$12,ROUND(('难度参数'!$E$18*POWER(A422,'难度参数'!$E$19)/D422*(0.85+0.3*(1-1)/MAX(1,D422-1))),0)+F422)))</x:f>
        <x:v>33</x:v>
      </x:c>
      <x:c r="Y422" s="119" t="n">
        <x:f>IF(1&gt;D422,0,ROUND(('难度参数'!$E$13*POWER(A422,'难度参数'!$E$20)*MIN('难度参数'!$E$23,1+MAX(0,A422-'难度参数'!$E$21)*'难度参数'!$E$22))*(36+1*7)/(36+7*(D422+1)/2)*E422,0))</x:f>
        <x:v>6972</x:v>
      </x:c>
      <x:c r="Z422" s="119" t="n">
        <x:f>IF(X422=0,0,(X422-IF(1=D422,1,0))*ROUND(Y422*VLOOKUP(INDEX('章节与怪物'!$E$31:$K$37,B422,1),'章节与怪物'!$A$41:$F$44,2,FALSE),0)+IF(1=D422,ROUND(Y422*'难度参数'!$E$28*'章节与怪物'!$E$17,0),0))</x:f>
        <x:v>230076</x:v>
      </x:c>
      <x:c r="AA422" s="119" t="n">
        <x:f>IF(X422=0,0,(X422-IF(1=D422,1,0))*VLOOKUP(INDEX('章节与怪物'!$E$31:$K$37,B422,1),'章节与怪物'!$A$41:$F$44,4,FALSE)+IF(1=D422,'难度参数'!$E$30,0))</x:f>
        <x:v>594</x:v>
      </x:c>
      <x:c r="AB422" s="119" t="n">
        <x:f>IF(2&gt;D422,0,MAX(2,MIN('难度参数'!$E$12,ROUND(('难度参数'!$E$18*POWER(A422,'难度参数'!$E$19)/D422*(0.85+0.3*(2-1)/MAX(1,D422-1))),0)+F422)))</x:f>
        <x:v>35</x:v>
      </x:c>
      <x:c r="AC422" s="119" t="n">
        <x:f>IF(2&gt;D422,0,ROUND(('难度参数'!$E$13*POWER(A422,'难度参数'!$E$20)*MIN('难度参数'!$E$23,1+MAX(0,A422-'难度参数'!$E$21)*'难度参数'!$E$22))*(36+2*7)/(36+7*(D422+1)/2)*E422,0))</x:f>
        <x:v>8107</x:v>
      </x:c>
      <x:c r="AD422" s="119" t="n">
        <x:f>IF(AB422=0,0,(AB422-IF(2=D422,1,0))*ROUND(AC422*VLOOKUP(INDEX('章节与怪物'!$E$31:$K$37,B422,2),'章节与怪物'!$A$41:$F$44,2,FALSE),0)+IF(2=D422,ROUND(AC422*'难度参数'!$E$28*'章节与怪物'!$E$17,0),0))</x:f>
        <x:v>204295</x:v>
      </x:c>
      <x:c r="AE422" s="119" t="n">
        <x:f>IF(AB422=0,0,(AB422-IF(2=D422,1,0))*VLOOKUP(INDEX('章节与怪物'!$E$31:$K$37,B422,2),'章节与怪物'!$A$41:$F$44,4,FALSE)+IF(2=D422,'难度参数'!$E$30,0))</x:f>
        <x:v>700</x:v>
      </x:c>
      <x:c r="AF422" s="119" t="n">
        <x:f>IF(3&gt;D422,0,MAX(2,MIN('难度参数'!$E$12,ROUND(('难度参数'!$E$18*POWER(A422,'难度参数'!$E$19)/D422*(0.85+0.3*(3-1)/MAX(1,D422-1))),0)+F422)))</x:f>
        <x:v>37</x:v>
      </x:c>
      <x:c r="AG422" s="119" t="n">
        <x:f>IF(3&gt;D422,0,ROUND(('难度参数'!$E$13*POWER(A422,'难度参数'!$E$20)*MIN('难度参数'!$E$23,1+MAX(0,A422-'难度参数'!$E$21)*'难度参数'!$E$22))*(36+3*7)/(36+7*(D422+1)/2)*E422,0))</x:f>
        <x:v>9242</x:v>
      </x:c>
      <x:c r="AH422" s="119" t="n">
        <x:f>IF(AF422=0,0,(AF422-IF(3=D422,1,0))*ROUND(AG422*VLOOKUP(INDEX('章节与怪物'!$E$31:$K$37,B422,3),'章节与怪物'!$A$41:$F$44,2,FALSE),0)+IF(3=D422,ROUND(AG422*'难度参数'!$E$28*'章节与怪物'!$E$17,0),0))</x:f>
        <x:v>581307</x:v>
      </x:c>
      <x:c r="AI422" s="119" t="n">
        <x:f>IF(AF422=0,0,(AF422-IF(3=D422,1,0))*VLOOKUP(INDEX('章节与怪物'!$E$31:$K$37,B422,3),'章节与怪物'!$A$41:$F$44,4,FALSE)+IF(3=D422,'难度参数'!$E$30,0))</x:f>
        <x:v>1036</x:v>
      </x:c>
      <x:c r="AJ422" s="119" t="n">
        <x:f>IF(4&gt;D422,0,MAX(2,MIN('难度参数'!$E$12,ROUND(('难度参数'!$E$18*POWER(A422,'难度参数'!$E$19)/D422*(0.85+0.3*(4-1)/MAX(1,D422-1))),0)+F422)))</x:f>
        <x:v>39</x:v>
      </x:c>
      <x:c r="AK422" s="119" t="n">
        <x:f>IF(4&gt;D422,0,ROUND(('难度参数'!$E$13*POWER(A422,'难度参数'!$E$20)*MIN('难度参数'!$E$23,1+MAX(0,A422-'难度参数'!$E$21)*'难度参数'!$E$22))*(36+4*7)/(36+7*(D422+1)/2)*E422,0))</x:f>
        <x:v>10377</x:v>
      </x:c>
      <x:c r="AL422" s="119" t="n">
        <x:f>IF(AJ422=0,0,(AJ422-IF(4=D422,1,0))*ROUND(AK422*VLOOKUP(INDEX('章节与怪物'!$E$31:$K$37,B422,4),'章节与怪物'!$A$41:$F$44,2,FALSE),0)+IF(4=D422,ROUND(AK422*'难度参数'!$E$28*'章节与怪物'!$E$17,0),0))</x:f>
        <x:v>546351</x:v>
      </x:c>
      <x:c r="AM422" s="119" t="n">
        <x:f>IF(AJ422=0,0,(AJ422-IF(4=D422,1,0))*VLOOKUP(INDEX('章节与怪物'!$E$31:$K$37,B422,4),'章节与怪物'!$A$41:$F$44,4,FALSE)+IF(4=D422,'难度参数'!$E$30,0))</x:f>
        <x:v>1326</x:v>
      </x:c>
      <x:c r="AN422" s="119" t="n">
        <x:f>IF(5&gt;D422,0,MAX(2,MIN('难度参数'!$E$12,ROUND(('难度参数'!$E$18*POWER(A422,'难度参数'!$E$19)/D422*(0.85+0.3*(5-1)/MAX(1,D422-1))),0)+F422)))</x:f>
        <x:v>41</x:v>
      </x:c>
      <x:c r="AO422" s="119" t="n">
        <x:f>IF(5&gt;D422,0,ROUND(('难度参数'!$E$13*POWER(A422,'难度参数'!$E$20)*MIN('难度参数'!$E$23,1+MAX(0,A422-'难度参数'!$E$21)*'难度参数'!$E$22))*(36+5*7)/(36+7*(D422+1)/2)*E422,0))</x:f>
        <x:v>11512</x:v>
      </x:c>
      <x:c r="AP422" s="119" t="n">
        <x:f>IF(AN422=0,0,(AN422-IF(5=D422,1,0))*ROUND(AO422*VLOOKUP(INDEX('章节与怪物'!$E$31:$K$37,B422,5),'章节与怪物'!$A$41:$F$44,2,FALSE),0)+IF(5=D422,ROUND(AO422*'难度参数'!$E$28*'章节与怪物'!$E$17,0),0))</x:f>
        <x:v>339849</x:v>
      </x:c>
      <x:c r="AQ422" s="119" t="n">
        <x:f>IF(AN422=0,0,(AN422-IF(5=D422,1,0))*VLOOKUP(INDEX('章节与怪物'!$E$31:$K$37,B422,5),'章节与怪物'!$A$41:$F$44,4,FALSE)+IF(5=D422,'难度参数'!$E$30,0))</x:f>
        <x:v>820</x:v>
      </x:c>
      <x:c r="AR422" s="119" t="n">
        <x:f>IF(6&gt;D422,0,MAX(2,MIN('难度参数'!$E$12,ROUND(('难度参数'!$E$18*POWER(A422,'难度参数'!$E$19)/D422*(0.85+0.3*(6-1)/MAX(1,D422-1))),0)+F422)))</x:f>
        <x:v>43</x:v>
      </x:c>
      <x:c r="AS422" s="119" t="n">
        <x:f>IF(6&gt;D422,0,ROUND(('难度参数'!$E$13*POWER(A422,'难度参数'!$E$20)*MIN('难度参数'!$E$23,1+MAX(0,A422-'难度参数'!$E$21)*'难度参数'!$E$22))*(36+6*7)/(36+7*(D422+1)/2)*E422,0))</x:f>
        <x:v>12647</x:v>
      </x:c>
      <x:c r="AT422" s="119" t="n">
        <x:f>IF(AR422=0,0,(AR422-IF(6=D422,1,0))*ROUND(AS422*VLOOKUP(INDEX('章节与怪物'!$E$31:$K$37,B422,6),'章节与怪物'!$A$41:$F$44,2,FALSE),0)+IF(6=D422,ROUND(AS422*'难度参数'!$E$28*'章节与怪物'!$E$17,0),0))</x:f>
        <x:v>924500</x:v>
      </x:c>
      <x:c r="AU422" s="119" t="n">
        <x:f>IF(AR422=0,0,(AR422-IF(6=D422,1,0))*VLOOKUP(INDEX('章节与怪物'!$E$31:$K$37,B422,6),'章节与怪物'!$A$41:$F$44,4,FALSE)+IF(6=D422,'难度参数'!$E$30,0))</x:f>
        <x:v>1204</x:v>
      </x:c>
      <x:c r="AV422" s="119" t="n">
        <x:f>IF(7&gt;D422,0,MAX(2,MIN('难度参数'!$E$12,ROUND(('难度参数'!$E$18*POWER(A422,'难度参数'!$E$19)/D422*(0.85+0.3*(7-1)/MAX(1,D422-1))),0)+F422)))</x:f>
        <x:v>45</x:v>
      </x:c>
      <x:c r="AW422" s="119" t="n">
        <x:f>IF(7&gt;D422,0,ROUND(('难度参数'!$E$13*POWER(A422,'难度参数'!$E$20)*MIN('难度参数'!$E$23,1+MAX(0,A422-'难度参数'!$E$21)*'难度参数'!$E$22))*(36+7*7)/(36+7*(D422+1)/2)*E422,0))</x:f>
        <x:v>13782</x:v>
      </x:c>
      <x:c r="AX422" s="119" t="n">
        <x:f>IF(AV422=0,0,(AV422-IF(7=D422,1,0))*ROUND(AW422*VLOOKUP(INDEX('章节与怪物'!$E$31:$K$37,B422,7),'章节与怪物'!$A$41:$F$44,2,FALSE),0)+IF(7=D422,ROUND(AW422*'难度参数'!$E$28*'章节与怪物'!$E$17,0),0))</x:f>
        <x:v>912382</x:v>
      </x:c>
      <x:c r="AY422" s="119" t="n">
        <x:f>IF(AV422=0,0,(AV422-IF(7=D422,1,0))*VLOOKUP(INDEX('章节与怪物'!$E$31:$K$37,B422,7),'章节与怪物'!$A$41:$F$44,4,FALSE)+IF(7=D422,'难度参数'!$E$30,0))</x:f>
        <x:v>1696</x:v>
      </x:c>
    </x:row>
    <x:row r="423" ht="23" customHeight="1">
      <x:c r="A423" s="119" t="n">
        <x:v>417</x:v>
      </x:c>
      <x:c r="B423" s="119" t="n">
        <x:f>MOD(INT((A423-1)/5),7)+1</x:f>
        <x:v>7</x:v>
      </x:c>
      <x:c r="C423" s="62" t="str">
        <x:f>INDEX('章节与怪物'!$B$31:$B$37,B423)</x:f>
        <x:v>魔法山脊</x:v>
      </x:c>
      <x:c r="D423" s="119" t="n">
        <x:f>MIN('难度参数'!$E$8,MAX('难度参数'!$E$7,A423))</x:f>
        <x:v>7</x:v>
      </x:c>
      <x:c r="E423" s="106" t="n">
        <x:v>1</x:v>
      </x:c>
      <x:c r="F423" s="106" t="n">
        <x:v>0</x:v>
      </x:c>
      <x:c r="G423" s="106" t="n">
        <x:v>1</x:v>
      </x:c>
      <x:c r="H423" s="119" t="n">
        <x:f>SUM(X423,AB423,AF423,AJ423,AN423,AR423,AV423)</x:f>
        <x:v>273</x:v>
      </x:c>
      <x:c r="I423" s="119" t="n">
        <x:f>SUM(Z423,AD423,AH423,AL423,AP423,AT423,AX423)</x:f>
        <x:v>3745214</x:v>
      </x:c>
      <x:c r="J423" s="119" t="n">
        <x:f>ROUND(INDEX(X423:AY423,1,(D423-1)*4+2)*'难度参数'!$E$28*'章节与怪物'!$E$17,0)</x:f>
        <x:v>93881</x:v>
      </x:c>
      <x:c r="K423" s="119" t="n">
        <x:f>SUM(AA423,AE423,AI423,AM423,AQ423,AU423,AY423)</x:f>
        <x:v>7376</x:v>
      </x:c>
      <x:c r="L423" s="62" t="n">
        <x:f>H423*(ROUNDUP('难度参数'!$E$24/('难度参数'!$E$26*'难度参数'!$E$27),0)*'难度参数'!$E$26)/60</x:f>
        <x:v>3.64</x:v>
      </x:c>
      <x:c r="M423" s="62" t="n">
        <x:f>L423+D423*('难度参数'!$E$49+'难度参数'!$E$50)/60</x:f>
        <x:v>4.806666666666667</x:v>
      </x:c>
      <x:c r="N423" s="119" t="n">
        <x:f>ROUNDDOWN(('经济参数'!$E$20+A423*'经济参数'!$E$21)*G423,0)</x:f>
        <x:v>8520</x:v>
      </x:c>
      <x:c r="O423" s="119" t="n">
        <x:f>ROUNDDOWN(MIN('经济参数'!$E$24,'经济参数'!$E$22+A423*'经济参数'!$E$23)*G423,0)</x:f>
        <x:v>0</x:v>
      </x:c>
      <x:c r="P423" s="119" t="n">
        <x:f>ROUNDDOWN((IF(A423&gt;='材料与任务'!$E$31,'材料与任务'!$E$32,IF(A423&gt;='材料与任务'!$E$25,'材料与任务'!$E$26,IF(A423&gt;='材料与任务'!$E$19,'材料与任务'!$E$20,IF(A423&gt;='材料与任务'!$E$13,'材料与任务'!$E$14,'材料与任务'!$E$8)))))*G423,0)</x:f>
        <x:v>6</x:v>
      </x:c>
      <x:c r="Q423" s="119" t="n">
        <x:f>ROUNDDOWN((IF(A423&gt;='材料与任务'!$E$31,'材料与任务'!$E$33,IF(A423&gt;='材料与任务'!$E$25,'材料与任务'!$E$27,IF(A423&gt;='材料与任务'!$E$19,'材料与任务'!$E$21,IF(A423&gt;='材料与任务'!$E$13,'材料与任务'!$E$15,'材料与任务'!$E$9)))))*G423,0)</x:f>
        <x:v>3</x:v>
      </x:c>
      <x:c r="R423" s="110" t="n">
        <x:f>'装备掉落'!$B$38</x:f>
        <x:v>0.6872058758851213</x:v>
      </x:c>
      <x:c r="S423" s="119" t="n">
        <x:f>MAX(IF(VLOOKUP(A423,'装备掉落'!$A$29:$H$34,2,TRUE)&gt;0,1,0),IF(VLOOKUP(A423,'装备掉落'!$A$29:$H$34,3,TRUE)&gt;0,2,0),IF(VLOOKUP(A423,'装备掉落'!$A$29:$H$34,4,TRUE)&gt;0,3,0),IF(VLOOKUP(A423,'装备掉落'!$A$29:$H$34,5,TRUE)&gt;0,4,0),IF(VLOOKUP(A423,'装备掉落'!$A$29:$H$34,6,TRUE)&gt;0,5,0),IF(VLOOKUP(A423,'装备掉落'!$A$29:$H$34,7,TRUE)&gt;0,6,0),IF(VLOOKUP(A423,'装备掉落'!$A$29:$H$34,8,TRUE)&gt;0,7,0))</x:f>
        <x:v>7</x:v>
      </x:c>
      <x:c r="T423" s="119" t="n">
        <x:f>MIN(7,S423+'经济参数'!$E$70)</x:f>
        <x:v>7</x:v>
      </x:c>
      <x:c r="U423" s="119" t="n">
        <x:f>MIN(7,S423+'经济参数'!$E$71)</x:f>
        <x:v>7</x:v>
      </x:c>
      <x:c r="V423" s="119" t="n">
        <x:f>IF(H423&gt;=('难度参数'!$E$52),1,0)+IF(H423&gt;=('难度参数'!$E$52+'难度参数'!$E$53),1,0)+IF(H423&gt;=('难度参数'!$E$52+'难度参数'!$E$53+'难度参数'!$E$54),1,0)+IF(H423&gt;=('难度参数'!$E$52+'难度参数'!$E$53+'难度参数'!$E$54+'难度参数'!$E$55),1,0)+IF(H423&gt;=('难度参数'!$E$52+'难度参数'!$E$53+'难度参数'!$E$54+'难度参数'!$E$55+'难度参数'!$E$56),1,0)+IF(H423&gt;=('难度参数'!$E$52+'难度参数'!$E$53+'难度参数'!$E$54+'难度参数'!$E$55+'难度参数'!$E$56+'难度参数'!$E$57),1,0)</x:f>
        <x:v>6</x:v>
      </x:c>
      <x:c r="W423" s="62" t="str">
        <x:f>IF(L423&gt;'难度参数'!$E$51,"仅出怪已超目标","还需实测")</x:f>
        <x:v>仅出怪已超目标</x:v>
      </x:c>
      <x:c r="X423" s="119" t="n">
        <x:f>IF(1&gt;D423,0,MAX(2,MIN('难度参数'!$E$12,ROUND(('难度参数'!$E$18*POWER(A423,'难度参数'!$E$19)/D423*(0.85+0.3*(1-1)/MAX(1,D423-1))),0)+F423)))</x:f>
        <x:v>33</x:v>
      </x:c>
      <x:c r="Y423" s="119" t="n">
        <x:f>IF(1&gt;D423,0,ROUND(('难度参数'!$E$13*POWER(A423,'难度参数'!$E$20)*MIN('难度参数'!$E$23,1+MAX(0,A423-'难度参数'!$E$21)*'难度参数'!$E$22))*(36+1*7)/(36+7*(D423+1)/2)*E423,0))</x:f>
        <x:v>6984</x:v>
      </x:c>
      <x:c r="Z423" s="119" t="n">
        <x:f>IF(X423=0,0,(X423-IF(1=D423,1,0))*ROUND(Y423*VLOOKUP(INDEX('章节与怪物'!$E$31:$K$37,B423,1),'章节与怪物'!$A$41:$F$44,2,FALSE),0)+IF(1=D423,ROUND(Y423*'难度参数'!$E$28*'章节与怪物'!$E$17,0),0))</x:f>
        <x:v>230472</x:v>
      </x:c>
      <x:c r="AA423" s="119" t="n">
        <x:f>IF(X423=0,0,(X423-IF(1=D423,1,0))*VLOOKUP(INDEX('章节与怪物'!$E$31:$K$37,B423,1),'章节与怪物'!$A$41:$F$44,4,FALSE)+IF(1=D423,'难度参数'!$E$30,0))</x:f>
        <x:v>594</x:v>
      </x:c>
      <x:c r="AB423" s="119" t="n">
        <x:f>IF(2&gt;D423,0,MAX(2,MIN('难度参数'!$E$12,ROUND(('难度参数'!$E$18*POWER(A423,'难度参数'!$E$19)/D423*(0.85+0.3*(2-1)/MAX(1,D423-1))),0)+F423)))</x:f>
        <x:v>35</x:v>
      </x:c>
      <x:c r="AC423" s="119" t="n">
        <x:f>IF(2&gt;D423,0,ROUND(('难度参数'!$E$13*POWER(A423,'难度参数'!$E$20)*MIN('难度参数'!$E$23,1+MAX(0,A423-'难度参数'!$E$21)*'难度参数'!$E$22))*(36+2*7)/(36+7*(D423+1)/2)*E423,0))</x:f>
        <x:v>8121</x:v>
      </x:c>
      <x:c r="AD423" s="119" t="n">
        <x:f>IF(AB423=0,0,(AB423-IF(2=D423,1,0))*ROUND(AC423*VLOOKUP(INDEX('章节与怪物'!$E$31:$K$37,B423,2),'章节与怪物'!$A$41:$F$44,2,FALSE),0)+IF(2=D423,ROUND(AC423*'难度参数'!$E$28*'章节与怪物'!$E$17,0),0))</x:f>
        <x:v>204645</x:v>
      </x:c>
      <x:c r="AE423" s="119" t="n">
        <x:f>IF(AB423=0,0,(AB423-IF(2=D423,1,0))*VLOOKUP(INDEX('章节与怪物'!$E$31:$K$37,B423,2),'章节与怪物'!$A$41:$F$44,4,FALSE)+IF(2=D423,'难度参数'!$E$30,0))</x:f>
        <x:v>700</x:v>
      </x:c>
      <x:c r="AF423" s="119" t="n">
        <x:f>IF(3&gt;D423,0,MAX(2,MIN('难度参数'!$E$12,ROUND(('难度参数'!$E$18*POWER(A423,'难度参数'!$E$19)/D423*(0.85+0.3*(3-1)/MAX(1,D423-1))),0)+F423)))</x:f>
        <x:v>37</x:v>
      </x:c>
      <x:c r="AG423" s="119" t="n">
        <x:f>IF(3&gt;D423,0,ROUND(('难度参数'!$E$13*POWER(A423,'难度参数'!$E$20)*MIN('难度参数'!$E$23,1+MAX(0,A423-'难度参数'!$E$21)*'难度参数'!$E$22))*(36+3*7)/(36+7*(D423+1)/2)*E423,0))</x:f>
        <x:v>9258</x:v>
      </x:c>
      <x:c r="AH423" s="119" t="n">
        <x:f>IF(AF423=0,0,(AF423-IF(3=D423,1,0))*ROUND(AG423*VLOOKUP(INDEX('章节与怪物'!$E$31:$K$37,B423,3),'章节与怪物'!$A$41:$F$44,2,FALSE),0)+IF(3=D423,ROUND(AG423*'难度参数'!$E$28*'章节与怪物'!$E$17,0),0))</x:f>
        <x:v>582343</x:v>
      </x:c>
      <x:c r="AI423" s="119" t="n">
        <x:f>IF(AF423=0,0,(AF423-IF(3=D423,1,0))*VLOOKUP(INDEX('章节与怪物'!$E$31:$K$37,B423,3),'章节与怪物'!$A$41:$F$44,4,FALSE)+IF(3=D423,'难度参数'!$E$30,0))</x:f>
        <x:v>1036</x:v>
      </x:c>
      <x:c r="AJ423" s="119" t="n">
        <x:f>IF(4&gt;D423,0,MAX(2,MIN('难度参数'!$E$12,ROUND(('难度参数'!$E$18*POWER(A423,'难度参数'!$E$19)/D423*(0.85+0.3*(4-1)/MAX(1,D423-1))),0)+F423)))</x:f>
        <x:v>39</x:v>
      </x:c>
      <x:c r="AK423" s="119" t="n">
        <x:f>IF(4&gt;D423,0,ROUND(('难度参数'!$E$13*POWER(A423,'难度参数'!$E$20)*MIN('难度参数'!$E$23,1+MAX(0,A423-'难度参数'!$E$21)*'难度参数'!$E$22))*(36+4*7)/(36+7*(D423+1)/2)*E423,0))</x:f>
        <x:v>10395</x:v>
      </x:c>
      <x:c r="AL423" s="119" t="n">
        <x:f>IF(AJ423=0,0,(AJ423-IF(4=D423,1,0))*ROUND(AK423*VLOOKUP(INDEX('章节与怪物'!$E$31:$K$37,B423,4),'章节与怪物'!$A$41:$F$44,2,FALSE),0)+IF(4=D423,ROUND(AK423*'难度参数'!$E$28*'章节与怪物'!$E$17,0),0))</x:f>
        <x:v>547287</x:v>
      </x:c>
      <x:c r="AM423" s="119" t="n">
        <x:f>IF(AJ423=0,0,(AJ423-IF(4=D423,1,0))*VLOOKUP(INDEX('章节与怪物'!$E$31:$K$37,B423,4),'章节与怪物'!$A$41:$F$44,4,FALSE)+IF(4=D423,'难度参数'!$E$30,0))</x:f>
        <x:v>1326</x:v>
      </x:c>
      <x:c r="AN423" s="119" t="n">
        <x:f>IF(5&gt;D423,0,MAX(2,MIN('难度参数'!$E$12,ROUND(('难度参数'!$E$18*POWER(A423,'难度参数'!$E$19)/D423*(0.85+0.3*(5-1)/MAX(1,D423-1))),0)+F423)))</x:f>
        <x:v>41</x:v>
      </x:c>
      <x:c r="AO423" s="119" t="n">
        <x:f>IF(5&gt;D423,0,ROUND(('难度参数'!$E$13*POWER(A423,'难度参数'!$E$20)*MIN('难度参数'!$E$23,1+MAX(0,A423-'难度参数'!$E$21)*'难度参数'!$E$22))*(36+5*7)/(36+7*(D423+1)/2)*E423,0))</x:f>
        <x:v>11532</x:v>
      </x:c>
      <x:c r="AP423" s="119" t="n">
        <x:f>IF(AN423=0,0,(AN423-IF(5=D423,1,0))*ROUND(AO423*VLOOKUP(INDEX('章节与怪物'!$E$31:$K$37,B423,5),'章节与怪物'!$A$41:$F$44,2,FALSE),0)+IF(5=D423,ROUND(AO423*'难度参数'!$E$28*'章节与怪物'!$E$17,0),0))</x:f>
        <x:v>340423</x:v>
      </x:c>
      <x:c r="AQ423" s="119" t="n">
        <x:f>IF(AN423=0,0,(AN423-IF(5=D423,1,0))*VLOOKUP(INDEX('章节与怪物'!$E$31:$K$37,B423,5),'章节与怪物'!$A$41:$F$44,4,FALSE)+IF(5=D423,'难度参数'!$E$30,0))</x:f>
        <x:v>820</x:v>
      </x:c>
      <x:c r="AR423" s="119" t="n">
        <x:f>IF(6&gt;D423,0,MAX(2,MIN('难度参数'!$E$12,ROUND(('难度参数'!$E$18*POWER(A423,'难度参数'!$E$19)/D423*(0.85+0.3*(6-1)/MAX(1,D423-1))),0)+F423)))</x:f>
        <x:v>43</x:v>
      </x:c>
      <x:c r="AS423" s="119" t="n">
        <x:f>IF(6&gt;D423,0,ROUND(('难度参数'!$E$13*POWER(A423,'难度参数'!$E$20)*MIN('难度参数'!$E$23,1+MAX(0,A423-'难度参数'!$E$21)*'难度参数'!$E$22))*(36+6*7)/(36+7*(D423+1)/2)*E423,0))</x:f>
        <x:v>12669</x:v>
      </x:c>
      <x:c r="AT423" s="119" t="n">
        <x:f>IF(AR423=0,0,(AR423-IF(6=D423,1,0))*ROUND(AS423*VLOOKUP(INDEX('章节与怪物'!$E$31:$K$37,B423,6),'章节与怪物'!$A$41:$F$44,2,FALSE),0)+IF(6=D423,ROUND(AS423*'难度参数'!$E$28*'章节与怪物'!$E$17,0),0))</x:f>
        <x:v>926091</x:v>
      </x:c>
      <x:c r="AU423" s="119" t="n">
        <x:f>IF(AR423=0,0,(AR423-IF(6=D423,1,0))*VLOOKUP(INDEX('章节与怪物'!$E$31:$K$37,B423,6),'章节与怪物'!$A$41:$F$44,4,FALSE)+IF(6=D423,'难度参数'!$E$30,0))</x:f>
        <x:v>1204</x:v>
      </x:c>
      <x:c r="AV423" s="119" t="n">
        <x:f>IF(7&gt;D423,0,MAX(2,MIN('难度参数'!$E$12,ROUND(('难度参数'!$E$18*POWER(A423,'难度参数'!$E$19)/D423*(0.85+0.3*(7-1)/MAX(1,D423-1))),0)+F423)))</x:f>
        <x:v>45</x:v>
      </x:c>
      <x:c r="AW423" s="119" t="n">
        <x:f>IF(7&gt;D423,0,ROUND(('难度参数'!$E$13*POWER(A423,'难度参数'!$E$20)*MIN('难度参数'!$E$23,1+MAX(0,A423-'难度参数'!$E$21)*'难度参数'!$E$22))*(36+7*7)/(36+7*(D423+1)/2)*E423,0))</x:f>
        <x:v>13806</x:v>
      </x:c>
      <x:c r="AX423" s="119" t="n">
        <x:f>IF(AV423=0,0,(AV423-IF(7=D423,1,0))*ROUND(AW423*VLOOKUP(INDEX('章节与怪物'!$E$31:$K$37,B423,7),'章节与怪物'!$A$41:$F$44,2,FALSE),0)+IF(7=D423,ROUND(AW423*'难度参数'!$E$28*'章节与怪物'!$E$17,0),0))</x:f>
        <x:v>913953</x:v>
      </x:c>
      <x:c r="AY423" s="119" t="n">
        <x:f>IF(AV423=0,0,(AV423-IF(7=D423,1,0))*VLOOKUP(INDEX('章节与怪物'!$E$31:$K$37,B423,7),'章节与怪物'!$A$41:$F$44,4,FALSE)+IF(7=D423,'难度参数'!$E$30,0))</x:f>
        <x:v>1696</x:v>
      </x:c>
    </x:row>
    <x:row r="424" ht="23" customHeight="1">
      <x:c r="A424" s="119" t="n">
        <x:v>418</x:v>
      </x:c>
      <x:c r="B424" s="119" t="n">
        <x:f>MOD(INT((A424-1)/5),7)+1</x:f>
        <x:v>7</x:v>
      </x:c>
      <x:c r="C424" s="62" t="str">
        <x:f>INDEX('章节与怪物'!$B$31:$B$37,B424)</x:f>
        <x:v>魔法山脊</x:v>
      </x:c>
      <x:c r="D424" s="119" t="n">
        <x:f>MIN('难度参数'!$E$8,MAX('难度参数'!$E$7,A424))</x:f>
        <x:v>7</x:v>
      </x:c>
      <x:c r="E424" s="106" t="n">
        <x:v>1</x:v>
      </x:c>
      <x:c r="F424" s="106" t="n">
        <x:v>0</x:v>
      </x:c>
      <x:c r="G424" s="106" t="n">
        <x:v>1</x:v>
      </x:c>
      <x:c r="H424" s="119" t="n">
        <x:f>SUM(X424,AB424,AF424,AJ424,AN424,AR424,AV424)</x:f>
        <x:v>273</x:v>
      </x:c>
      <x:c r="I424" s="119" t="n">
        <x:f>SUM(Z424,AD424,AH424,AL424,AP424,AT424,AX424)</x:f>
        <x:v>3751757</x:v>
      </x:c>
      <x:c r="J424" s="119" t="n">
        <x:f>ROUND(INDEX(X424:AY424,1,(D424-1)*4+2)*'难度参数'!$E$28*'章节与怪物'!$E$17,0)</x:f>
        <x:v>94044</x:v>
      </x:c>
      <x:c r="K424" s="119" t="n">
        <x:f>SUM(AA424,AE424,AI424,AM424,AQ424,AU424,AY424)</x:f>
        <x:v>7376</x:v>
      </x:c>
      <x:c r="L424" s="62" t="n">
        <x:f>H424*(ROUNDUP('难度参数'!$E$24/('难度参数'!$E$26*'难度参数'!$E$27),0)*'难度参数'!$E$26)/60</x:f>
        <x:v>3.64</x:v>
      </x:c>
      <x:c r="M424" s="62" t="n">
        <x:f>L424+D424*('难度参数'!$E$49+'难度参数'!$E$50)/60</x:f>
        <x:v>4.806666666666667</x:v>
      </x:c>
      <x:c r="N424" s="119" t="n">
        <x:f>ROUNDDOWN(('经济参数'!$E$20+A424*'经济参数'!$E$21)*G424,0)</x:f>
        <x:v>8540</x:v>
      </x:c>
      <x:c r="O424" s="119" t="n">
        <x:f>ROUNDDOWN(MIN('经济参数'!$E$24,'经济参数'!$E$22+A424*'经济参数'!$E$23)*G424,0)</x:f>
        <x:v>0</x:v>
      </x:c>
      <x:c r="P424" s="119" t="n">
        <x:f>ROUNDDOWN((IF(A424&gt;='材料与任务'!$E$31,'材料与任务'!$E$32,IF(A424&gt;='材料与任务'!$E$25,'材料与任务'!$E$26,IF(A424&gt;='材料与任务'!$E$19,'材料与任务'!$E$20,IF(A424&gt;='材料与任务'!$E$13,'材料与任务'!$E$14,'材料与任务'!$E$8)))))*G424,0)</x:f>
        <x:v>6</x:v>
      </x:c>
      <x:c r="Q424" s="119" t="n">
        <x:f>ROUNDDOWN((IF(A424&gt;='材料与任务'!$E$31,'材料与任务'!$E$33,IF(A424&gt;='材料与任务'!$E$25,'材料与任务'!$E$27,IF(A424&gt;='材料与任务'!$E$19,'材料与任务'!$E$21,IF(A424&gt;='材料与任务'!$E$13,'材料与任务'!$E$15,'材料与任务'!$E$9)))))*G424,0)</x:f>
        <x:v>3</x:v>
      </x:c>
      <x:c r="R424" s="110" t="n">
        <x:f>'装备掉落'!$B$38</x:f>
        <x:v>0.6872058758851213</x:v>
      </x:c>
      <x:c r="S424" s="119" t="n">
        <x:f>MAX(IF(VLOOKUP(A424,'装备掉落'!$A$29:$H$34,2,TRUE)&gt;0,1,0),IF(VLOOKUP(A424,'装备掉落'!$A$29:$H$34,3,TRUE)&gt;0,2,0),IF(VLOOKUP(A424,'装备掉落'!$A$29:$H$34,4,TRUE)&gt;0,3,0),IF(VLOOKUP(A424,'装备掉落'!$A$29:$H$34,5,TRUE)&gt;0,4,0),IF(VLOOKUP(A424,'装备掉落'!$A$29:$H$34,6,TRUE)&gt;0,5,0),IF(VLOOKUP(A424,'装备掉落'!$A$29:$H$34,7,TRUE)&gt;0,6,0),IF(VLOOKUP(A424,'装备掉落'!$A$29:$H$34,8,TRUE)&gt;0,7,0))</x:f>
        <x:v>7</x:v>
      </x:c>
      <x:c r="T424" s="119" t="n">
        <x:f>MIN(7,S424+'经济参数'!$E$70)</x:f>
        <x:v>7</x:v>
      </x:c>
      <x:c r="U424" s="119" t="n">
        <x:f>MIN(7,S424+'经济参数'!$E$71)</x:f>
        <x:v>7</x:v>
      </x:c>
      <x:c r="V424" s="119" t="n">
        <x:f>IF(H424&gt;=('难度参数'!$E$52),1,0)+IF(H424&gt;=('难度参数'!$E$52+'难度参数'!$E$53),1,0)+IF(H424&gt;=('难度参数'!$E$52+'难度参数'!$E$53+'难度参数'!$E$54),1,0)+IF(H424&gt;=('难度参数'!$E$52+'难度参数'!$E$53+'难度参数'!$E$54+'难度参数'!$E$55),1,0)+IF(H424&gt;=('难度参数'!$E$52+'难度参数'!$E$53+'难度参数'!$E$54+'难度参数'!$E$55+'难度参数'!$E$56),1,0)+IF(H424&gt;=('难度参数'!$E$52+'难度参数'!$E$53+'难度参数'!$E$54+'难度参数'!$E$55+'难度参数'!$E$56+'难度参数'!$E$57),1,0)</x:f>
        <x:v>6</x:v>
      </x:c>
      <x:c r="W424" s="62" t="str">
        <x:f>IF(L424&gt;'难度参数'!$E$51,"仅出怪已超目标","还需实测")</x:f>
        <x:v>仅出怪已超目标</x:v>
      </x:c>
      <x:c r="X424" s="119" t="n">
        <x:f>IF(1&gt;D424,0,MAX(2,MIN('难度参数'!$E$12,ROUND(('难度参数'!$E$18*POWER(A424,'难度参数'!$E$19)/D424*(0.85+0.3*(1-1)/MAX(1,D424-1))),0)+F424)))</x:f>
        <x:v>33</x:v>
      </x:c>
      <x:c r="Y424" s="119" t="n">
        <x:f>IF(1&gt;D424,0,ROUND(('难度参数'!$E$13*POWER(A424,'难度参数'!$E$20)*MIN('难度参数'!$E$23,1+MAX(0,A424-'难度参数'!$E$21)*'难度参数'!$E$22))*(36+1*7)/(36+7*(D424+1)/2)*E424,0))</x:f>
        <x:v>6996</x:v>
      </x:c>
      <x:c r="Z424" s="119" t="n">
        <x:f>IF(X424=0,0,(X424-IF(1=D424,1,0))*ROUND(Y424*VLOOKUP(INDEX('章节与怪物'!$E$31:$K$37,B424,1),'章节与怪物'!$A$41:$F$44,2,FALSE),0)+IF(1=D424,ROUND(Y424*'难度参数'!$E$28*'章节与怪物'!$E$17,0),0))</x:f>
        <x:v>230868</x:v>
      </x:c>
      <x:c r="AA424" s="119" t="n">
        <x:f>IF(X424=0,0,(X424-IF(1=D424,1,0))*VLOOKUP(INDEX('章节与怪物'!$E$31:$K$37,B424,1),'章节与怪物'!$A$41:$F$44,4,FALSE)+IF(1=D424,'难度参数'!$E$30,0))</x:f>
        <x:v>594</x:v>
      </x:c>
      <x:c r="AB424" s="119" t="n">
        <x:f>IF(2&gt;D424,0,MAX(2,MIN('难度参数'!$E$12,ROUND(('难度参数'!$E$18*POWER(A424,'难度参数'!$E$19)/D424*(0.85+0.3*(2-1)/MAX(1,D424-1))),0)+F424)))</x:f>
        <x:v>35</x:v>
      </x:c>
      <x:c r="AC424" s="119" t="n">
        <x:f>IF(2&gt;D424,0,ROUND(('难度参数'!$E$13*POWER(A424,'难度参数'!$E$20)*MIN('难度参数'!$E$23,1+MAX(0,A424-'难度参数'!$E$21)*'难度参数'!$E$22))*(36+2*7)/(36+7*(D424+1)/2)*E424,0))</x:f>
        <x:v>8135</x:v>
      </x:c>
      <x:c r="AD424" s="119" t="n">
        <x:f>IF(AB424=0,0,(AB424-IF(2=D424,1,0))*ROUND(AC424*VLOOKUP(INDEX('章节与怪物'!$E$31:$K$37,B424,2),'章节与怪物'!$A$41:$F$44,2,FALSE),0)+IF(2=D424,ROUND(AC424*'难度参数'!$E$28*'章节与怪物'!$E$17,0),0))</x:f>
        <x:v>204995</x:v>
      </x:c>
      <x:c r="AE424" s="119" t="n">
        <x:f>IF(AB424=0,0,(AB424-IF(2=D424,1,0))*VLOOKUP(INDEX('章节与怪物'!$E$31:$K$37,B424,2),'章节与怪物'!$A$41:$F$44,4,FALSE)+IF(2=D424,'难度参数'!$E$30,0))</x:f>
        <x:v>700</x:v>
      </x:c>
      <x:c r="AF424" s="119" t="n">
        <x:f>IF(3&gt;D424,0,MAX(2,MIN('难度参数'!$E$12,ROUND(('难度参数'!$E$18*POWER(A424,'难度参数'!$E$19)/D424*(0.85+0.3*(3-1)/MAX(1,D424-1))),0)+F424)))</x:f>
        <x:v>37</x:v>
      </x:c>
      <x:c r="AG424" s="119" t="n">
        <x:f>IF(3&gt;D424,0,ROUND(('难度参数'!$E$13*POWER(A424,'难度参数'!$E$20)*MIN('难度参数'!$E$23,1+MAX(0,A424-'难度参数'!$E$21)*'难度参数'!$E$22))*(36+3*7)/(36+7*(D424+1)/2)*E424,0))</x:f>
        <x:v>9274</x:v>
      </x:c>
      <x:c r="AH424" s="119" t="n">
        <x:f>IF(AF424=0,0,(AF424-IF(3=D424,1,0))*ROUND(AG424*VLOOKUP(INDEX('章节与怪物'!$E$31:$K$37,B424,3),'章节与怪物'!$A$41:$F$44,2,FALSE),0)+IF(3=D424,ROUND(AG424*'难度参数'!$E$28*'章节与怪物'!$E$17,0),0))</x:f>
        <x:v>583342</x:v>
      </x:c>
      <x:c r="AI424" s="119" t="n">
        <x:f>IF(AF424=0,0,(AF424-IF(3=D424,1,0))*VLOOKUP(INDEX('章节与怪物'!$E$31:$K$37,B424,3),'章节与怪物'!$A$41:$F$44,4,FALSE)+IF(3=D424,'难度参数'!$E$30,0))</x:f>
        <x:v>1036</x:v>
      </x:c>
      <x:c r="AJ424" s="119" t="n">
        <x:f>IF(4&gt;D424,0,MAX(2,MIN('难度参数'!$E$12,ROUND(('难度参数'!$E$18*POWER(A424,'难度参数'!$E$19)/D424*(0.85+0.3*(4-1)/MAX(1,D424-1))),0)+F424)))</x:f>
        <x:v>39</x:v>
      </x:c>
      <x:c r="AK424" s="119" t="n">
        <x:f>IF(4&gt;D424,0,ROUND(('难度参数'!$E$13*POWER(A424,'难度参数'!$E$20)*MIN('难度参数'!$E$23,1+MAX(0,A424-'难度参数'!$E$21)*'难度参数'!$E$22))*(36+4*7)/(36+7*(D424+1)/2)*E424,0))</x:f>
        <x:v>10413</x:v>
      </x:c>
      <x:c r="AL424" s="119" t="n">
        <x:f>IF(AJ424=0,0,(AJ424-IF(4=D424,1,0))*ROUND(AK424*VLOOKUP(INDEX('章节与怪物'!$E$31:$K$37,B424,4),'章节与怪物'!$A$41:$F$44,2,FALSE),0)+IF(4=D424,ROUND(AK424*'难度参数'!$E$28*'章节与怪物'!$E$17,0),0))</x:f>
        <x:v>548262</x:v>
      </x:c>
      <x:c r="AM424" s="119" t="n">
        <x:f>IF(AJ424=0,0,(AJ424-IF(4=D424,1,0))*VLOOKUP(INDEX('章节与怪物'!$E$31:$K$37,B424,4),'章节与怪物'!$A$41:$F$44,4,FALSE)+IF(4=D424,'难度参数'!$E$30,0))</x:f>
        <x:v>1326</x:v>
      </x:c>
      <x:c r="AN424" s="119" t="n">
        <x:f>IF(5&gt;D424,0,MAX(2,MIN('难度参数'!$E$12,ROUND(('难度参数'!$E$18*POWER(A424,'难度参数'!$E$19)/D424*(0.85+0.3*(5-1)/MAX(1,D424-1))),0)+F424)))</x:f>
        <x:v>41</x:v>
      </x:c>
      <x:c r="AO424" s="119" t="n">
        <x:f>IF(5&gt;D424,0,ROUND(('难度参数'!$E$13*POWER(A424,'难度参数'!$E$20)*MIN('难度参数'!$E$23,1+MAX(0,A424-'难度参数'!$E$21)*'难度参数'!$E$22))*(36+5*7)/(36+7*(D424+1)/2)*E424,0))</x:f>
        <x:v>11552</x:v>
      </x:c>
      <x:c r="AP424" s="119" t="n">
        <x:f>IF(AN424=0,0,(AN424-IF(5=D424,1,0))*ROUND(AO424*VLOOKUP(INDEX('章节与怪物'!$E$31:$K$37,B424,5),'章节与怪物'!$A$41:$F$44,2,FALSE),0)+IF(5=D424,ROUND(AO424*'难度参数'!$E$28*'章节与怪物'!$E$17,0),0))</x:f>
        <x:v>340997</x:v>
      </x:c>
      <x:c r="AQ424" s="119" t="n">
        <x:f>IF(AN424=0,0,(AN424-IF(5=D424,1,0))*VLOOKUP(INDEX('章节与怪物'!$E$31:$K$37,B424,5),'章节与怪物'!$A$41:$F$44,4,FALSE)+IF(5=D424,'难度参数'!$E$30,0))</x:f>
        <x:v>820</x:v>
      </x:c>
      <x:c r="AR424" s="119" t="n">
        <x:f>IF(6&gt;D424,0,MAX(2,MIN('难度参数'!$E$12,ROUND(('难度参数'!$E$18*POWER(A424,'难度参数'!$E$19)/D424*(0.85+0.3*(6-1)/MAX(1,D424-1))),0)+F424)))</x:f>
        <x:v>43</x:v>
      </x:c>
      <x:c r="AS424" s="119" t="n">
        <x:f>IF(6&gt;D424,0,ROUND(('难度参数'!$E$13*POWER(A424,'难度参数'!$E$20)*MIN('难度参数'!$E$23,1+MAX(0,A424-'难度参数'!$E$21)*'难度参数'!$E$22))*(36+6*7)/(36+7*(D424+1)/2)*E424,0))</x:f>
        <x:v>12691</x:v>
      </x:c>
      <x:c r="AT424" s="119" t="n">
        <x:f>IF(AR424=0,0,(AR424-IF(6=D424,1,0))*ROUND(AS424*VLOOKUP(INDEX('章节与怪物'!$E$31:$K$37,B424,6),'章节与怪物'!$A$41:$F$44,2,FALSE),0)+IF(6=D424,ROUND(AS424*'难度参数'!$E$28*'章节与怪物'!$E$17,0),0))</x:f>
        <x:v>927725</x:v>
      </x:c>
      <x:c r="AU424" s="119" t="n">
        <x:f>IF(AR424=0,0,(AR424-IF(6=D424,1,0))*VLOOKUP(INDEX('章节与怪物'!$E$31:$K$37,B424,6),'章节与怪物'!$A$41:$F$44,4,FALSE)+IF(6=D424,'难度参数'!$E$30,0))</x:f>
        <x:v>1204</x:v>
      </x:c>
      <x:c r="AV424" s="119" t="n">
        <x:f>IF(7&gt;D424,0,MAX(2,MIN('难度参数'!$E$12,ROUND(('难度参数'!$E$18*POWER(A424,'难度参数'!$E$19)/D424*(0.85+0.3*(7-1)/MAX(1,D424-1))),0)+F424)))</x:f>
        <x:v>45</x:v>
      </x:c>
      <x:c r="AW424" s="119" t="n">
        <x:f>IF(7&gt;D424,0,ROUND(('难度参数'!$E$13*POWER(A424,'难度参数'!$E$20)*MIN('难度参数'!$E$23,1+MAX(0,A424-'难度参数'!$E$21)*'难度参数'!$E$22))*(36+7*7)/(36+7*(D424+1)/2)*E424,0))</x:f>
        <x:v>13830</x:v>
      </x:c>
      <x:c r="AX424" s="119" t="n">
        <x:f>IF(AV424=0,0,(AV424-IF(7=D424,1,0))*ROUND(AW424*VLOOKUP(INDEX('章节与怪物'!$E$31:$K$37,B424,7),'章节与怪物'!$A$41:$F$44,2,FALSE),0)+IF(7=D424,ROUND(AW424*'难度参数'!$E$28*'章节与怪物'!$E$17,0),0))</x:f>
        <x:v>915568</x:v>
      </x:c>
      <x:c r="AY424" s="119" t="n">
        <x:f>IF(AV424=0,0,(AV424-IF(7=D424,1,0))*VLOOKUP(INDEX('章节与怪物'!$E$31:$K$37,B424,7),'章节与怪物'!$A$41:$F$44,4,FALSE)+IF(7=D424,'难度参数'!$E$30,0))</x:f>
        <x:v>1696</x:v>
      </x:c>
    </x:row>
    <x:row r="425" ht="23" customHeight="1">
      <x:c r="A425" s="119" t="n">
        <x:v>419</x:v>
      </x:c>
      <x:c r="B425" s="119" t="n">
        <x:f>MOD(INT((A425-1)/5),7)+1</x:f>
        <x:v>7</x:v>
      </x:c>
      <x:c r="C425" s="62" t="str">
        <x:f>INDEX('章节与怪物'!$B$31:$B$37,B425)</x:f>
        <x:v>魔法山脊</x:v>
      </x:c>
      <x:c r="D425" s="119" t="n">
        <x:f>MIN('难度参数'!$E$8,MAX('难度参数'!$E$7,A425))</x:f>
        <x:v>7</x:v>
      </x:c>
      <x:c r="E425" s="106" t="n">
        <x:v>1</x:v>
      </x:c>
      <x:c r="F425" s="106" t="n">
        <x:v>0</x:v>
      </x:c>
      <x:c r="G425" s="106" t="n">
        <x:v>1</x:v>
      </x:c>
      <x:c r="H425" s="119" t="n">
        <x:f>SUM(X425,AB425,AF425,AJ425,AN425,AR425,AV425)</x:f>
        <x:v>273</x:v>
      </x:c>
      <x:c r="I425" s="119" t="n">
        <x:f>SUM(Z425,AD425,AH425,AL425,AP425,AT425,AX425)</x:f>
        <x:v>3758215</x:v>
      </x:c>
      <x:c r="J425" s="119" t="n">
        <x:f>ROUND(INDEX(X425:AY425,1,(D425-1)*4+2)*'难度参数'!$E$28*'章节与怪物'!$E$17,0)</x:f>
        <x:v>94207</x:v>
      </x:c>
      <x:c r="K425" s="119" t="n">
        <x:f>SUM(AA425,AE425,AI425,AM425,AQ425,AU425,AY425)</x:f>
        <x:v>7376</x:v>
      </x:c>
      <x:c r="L425" s="62" t="n">
        <x:f>H425*(ROUNDUP('难度参数'!$E$24/('难度参数'!$E$26*'难度参数'!$E$27),0)*'难度参数'!$E$26)/60</x:f>
        <x:v>3.64</x:v>
      </x:c>
      <x:c r="M425" s="62" t="n">
        <x:f>L425+D425*('难度参数'!$E$49+'难度参数'!$E$50)/60</x:f>
        <x:v>4.806666666666667</x:v>
      </x:c>
      <x:c r="N425" s="119" t="n">
        <x:f>ROUNDDOWN(('经济参数'!$E$20+A425*'经济参数'!$E$21)*G425,0)</x:f>
        <x:v>8560</x:v>
      </x:c>
      <x:c r="O425" s="119" t="n">
        <x:f>ROUNDDOWN(MIN('经济参数'!$E$24,'经济参数'!$E$22+A425*'经济参数'!$E$23)*G425,0)</x:f>
        <x:v>0</x:v>
      </x:c>
      <x:c r="P425" s="119" t="n">
        <x:f>ROUNDDOWN((IF(A425&gt;='材料与任务'!$E$31,'材料与任务'!$E$32,IF(A425&gt;='材料与任务'!$E$25,'材料与任务'!$E$26,IF(A425&gt;='材料与任务'!$E$19,'材料与任务'!$E$20,IF(A425&gt;='材料与任务'!$E$13,'材料与任务'!$E$14,'材料与任务'!$E$8)))))*G425,0)</x:f>
        <x:v>6</x:v>
      </x:c>
      <x:c r="Q425" s="119" t="n">
        <x:f>ROUNDDOWN((IF(A425&gt;='材料与任务'!$E$31,'材料与任务'!$E$33,IF(A425&gt;='材料与任务'!$E$25,'材料与任务'!$E$27,IF(A425&gt;='材料与任务'!$E$19,'材料与任务'!$E$21,IF(A425&gt;='材料与任务'!$E$13,'材料与任务'!$E$15,'材料与任务'!$E$9)))))*G425,0)</x:f>
        <x:v>3</x:v>
      </x:c>
      <x:c r="R425" s="110" t="n">
        <x:f>'装备掉落'!$B$38</x:f>
        <x:v>0.6872058758851213</x:v>
      </x:c>
      <x:c r="S425" s="119" t="n">
        <x:f>MAX(IF(VLOOKUP(A425,'装备掉落'!$A$29:$H$34,2,TRUE)&gt;0,1,0),IF(VLOOKUP(A425,'装备掉落'!$A$29:$H$34,3,TRUE)&gt;0,2,0),IF(VLOOKUP(A425,'装备掉落'!$A$29:$H$34,4,TRUE)&gt;0,3,0),IF(VLOOKUP(A425,'装备掉落'!$A$29:$H$34,5,TRUE)&gt;0,4,0),IF(VLOOKUP(A425,'装备掉落'!$A$29:$H$34,6,TRUE)&gt;0,5,0),IF(VLOOKUP(A425,'装备掉落'!$A$29:$H$34,7,TRUE)&gt;0,6,0),IF(VLOOKUP(A425,'装备掉落'!$A$29:$H$34,8,TRUE)&gt;0,7,0))</x:f>
        <x:v>7</x:v>
      </x:c>
      <x:c r="T425" s="119" t="n">
        <x:f>MIN(7,S425+'经济参数'!$E$70)</x:f>
        <x:v>7</x:v>
      </x:c>
      <x:c r="U425" s="119" t="n">
        <x:f>MIN(7,S425+'经济参数'!$E$71)</x:f>
        <x:v>7</x:v>
      </x:c>
      <x:c r="V425" s="119" t="n">
        <x:f>IF(H425&gt;=('难度参数'!$E$52),1,0)+IF(H425&gt;=('难度参数'!$E$52+'难度参数'!$E$53),1,0)+IF(H425&gt;=('难度参数'!$E$52+'难度参数'!$E$53+'难度参数'!$E$54),1,0)+IF(H425&gt;=('难度参数'!$E$52+'难度参数'!$E$53+'难度参数'!$E$54+'难度参数'!$E$55),1,0)+IF(H425&gt;=('难度参数'!$E$52+'难度参数'!$E$53+'难度参数'!$E$54+'难度参数'!$E$55+'难度参数'!$E$56),1,0)+IF(H425&gt;=('难度参数'!$E$52+'难度参数'!$E$53+'难度参数'!$E$54+'难度参数'!$E$55+'难度参数'!$E$56+'难度参数'!$E$57),1,0)</x:f>
        <x:v>6</x:v>
      </x:c>
      <x:c r="W425" s="62" t="str">
        <x:f>IF(L425&gt;'难度参数'!$E$51,"仅出怪已超目标","还需实测")</x:f>
        <x:v>仅出怪已超目标</x:v>
      </x:c>
      <x:c r="X425" s="119" t="n">
        <x:f>IF(1&gt;D425,0,MAX(2,MIN('难度参数'!$E$12,ROUND(('难度参数'!$E$18*POWER(A425,'难度参数'!$E$19)/D425*(0.85+0.3*(1-1)/MAX(1,D425-1))),0)+F425)))</x:f>
        <x:v>33</x:v>
      </x:c>
      <x:c r="Y425" s="119" t="n">
        <x:f>IF(1&gt;D425,0,ROUND(('难度参数'!$E$13*POWER(A425,'难度参数'!$E$20)*MIN('难度参数'!$E$23,1+MAX(0,A425-'难度参数'!$E$21)*'难度参数'!$E$22))*(36+1*7)/(36+7*(D425+1)/2)*E425,0))</x:f>
        <x:v>7008</x:v>
      </x:c>
      <x:c r="Z425" s="119" t="n">
        <x:f>IF(X425=0,0,(X425-IF(1=D425,1,0))*ROUND(Y425*VLOOKUP(INDEX('章节与怪物'!$E$31:$K$37,B425,1),'章节与怪物'!$A$41:$F$44,2,FALSE),0)+IF(1=D425,ROUND(Y425*'难度参数'!$E$28*'章节与怪物'!$E$17,0),0))</x:f>
        <x:v>231264</x:v>
      </x:c>
      <x:c r="AA425" s="119" t="n">
        <x:f>IF(X425=0,0,(X425-IF(1=D425,1,0))*VLOOKUP(INDEX('章节与怪物'!$E$31:$K$37,B425,1),'章节与怪物'!$A$41:$F$44,4,FALSE)+IF(1=D425,'难度参数'!$E$30,0))</x:f>
        <x:v>594</x:v>
      </x:c>
      <x:c r="AB425" s="119" t="n">
        <x:f>IF(2&gt;D425,0,MAX(2,MIN('难度参数'!$E$12,ROUND(('难度参数'!$E$18*POWER(A425,'难度参数'!$E$19)/D425*(0.85+0.3*(2-1)/MAX(1,D425-1))),0)+F425)))</x:f>
        <x:v>35</x:v>
      </x:c>
      <x:c r="AC425" s="119" t="n">
        <x:f>IF(2&gt;D425,0,ROUND(('难度参数'!$E$13*POWER(A425,'难度参数'!$E$20)*MIN('难度参数'!$E$23,1+MAX(0,A425-'难度参数'!$E$21)*'难度参数'!$E$22))*(36+2*7)/(36+7*(D425+1)/2)*E425,0))</x:f>
        <x:v>8149</x:v>
      </x:c>
      <x:c r="AD425" s="119" t="n">
        <x:f>IF(AB425=0,0,(AB425-IF(2=D425,1,0))*ROUND(AC425*VLOOKUP(INDEX('章节与怪物'!$E$31:$K$37,B425,2),'章节与怪物'!$A$41:$F$44,2,FALSE),0)+IF(2=D425,ROUND(AC425*'难度参数'!$E$28*'章节与怪物'!$E$17,0),0))</x:f>
        <x:v>205345</x:v>
      </x:c>
      <x:c r="AE425" s="119" t="n">
        <x:f>IF(AB425=0,0,(AB425-IF(2=D425,1,0))*VLOOKUP(INDEX('章节与怪物'!$E$31:$K$37,B425,2),'章节与怪物'!$A$41:$F$44,4,FALSE)+IF(2=D425,'难度参数'!$E$30,0))</x:f>
        <x:v>700</x:v>
      </x:c>
      <x:c r="AF425" s="119" t="n">
        <x:f>IF(3&gt;D425,0,MAX(2,MIN('难度参数'!$E$12,ROUND(('难度参数'!$E$18*POWER(A425,'难度参数'!$E$19)/D425*(0.85+0.3*(3-1)/MAX(1,D425-1))),0)+F425)))</x:f>
        <x:v>37</x:v>
      </x:c>
      <x:c r="AG425" s="119" t="n">
        <x:f>IF(3&gt;D425,0,ROUND(('难度参数'!$E$13*POWER(A425,'难度参数'!$E$20)*MIN('难度参数'!$E$23,1+MAX(0,A425-'难度参数'!$E$21)*'难度参数'!$E$22))*(36+3*7)/(36+7*(D425+1)/2)*E425,0))</x:f>
        <x:v>9290</x:v>
      </x:c>
      <x:c r="AH425" s="119" t="n">
        <x:f>IF(AF425=0,0,(AF425-IF(3=D425,1,0))*ROUND(AG425*VLOOKUP(INDEX('章节与怪物'!$E$31:$K$37,B425,3),'章节与怪物'!$A$41:$F$44,2,FALSE),0)+IF(3=D425,ROUND(AG425*'难度参数'!$E$28*'章节与怪物'!$E$17,0),0))</x:f>
        <x:v>584341</x:v>
      </x:c>
      <x:c r="AI425" s="119" t="n">
        <x:f>IF(AF425=0,0,(AF425-IF(3=D425,1,0))*VLOOKUP(INDEX('章节与怪物'!$E$31:$K$37,B425,3),'章节与怪物'!$A$41:$F$44,4,FALSE)+IF(3=D425,'难度参数'!$E$30,0))</x:f>
        <x:v>1036</x:v>
      </x:c>
      <x:c r="AJ425" s="119" t="n">
        <x:f>IF(4&gt;D425,0,MAX(2,MIN('难度参数'!$E$12,ROUND(('难度参数'!$E$18*POWER(A425,'难度参数'!$E$19)/D425*(0.85+0.3*(4-1)/MAX(1,D425-1))),0)+F425)))</x:f>
        <x:v>39</x:v>
      </x:c>
      <x:c r="AK425" s="119" t="n">
        <x:f>IF(4&gt;D425,0,ROUND(('难度参数'!$E$13*POWER(A425,'难度参数'!$E$20)*MIN('难度参数'!$E$23,1+MAX(0,A425-'难度参数'!$E$21)*'难度参数'!$E$22))*(36+4*7)/(36+7*(D425+1)/2)*E425,0))</x:f>
        <x:v>10431</x:v>
      </x:c>
      <x:c r="AL425" s="119" t="n">
        <x:f>IF(AJ425=0,0,(AJ425-IF(4=D425,1,0))*ROUND(AK425*VLOOKUP(INDEX('章节与怪物'!$E$31:$K$37,B425,4),'章节与怪物'!$A$41:$F$44,2,FALSE),0)+IF(4=D425,ROUND(AK425*'难度参数'!$E$28*'章节与怪物'!$E$17,0),0))</x:f>
        <x:v>549198</x:v>
      </x:c>
      <x:c r="AM425" s="119" t="n">
        <x:f>IF(AJ425=0,0,(AJ425-IF(4=D425,1,0))*VLOOKUP(INDEX('章节与怪物'!$E$31:$K$37,B425,4),'章节与怪物'!$A$41:$F$44,4,FALSE)+IF(4=D425,'难度参数'!$E$30,0))</x:f>
        <x:v>1326</x:v>
      </x:c>
      <x:c r="AN425" s="119" t="n">
        <x:f>IF(5&gt;D425,0,MAX(2,MIN('难度参数'!$E$12,ROUND(('难度参数'!$E$18*POWER(A425,'难度参数'!$E$19)/D425*(0.85+0.3*(5-1)/MAX(1,D425-1))),0)+F425)))</x:f>
        <x:v>41</x:v>
      </x:c>
      <x:c r="AO425" s="119" t="n">
        <x:f>IF(5&gt;D425,0,ROUND(('难度参数'!$E$13*POWER(A425,'难度参数'!$E$20)*MIN('难度参数'!$E$23,1+MAX(0,A425-'难度参数'!$E$21)*'难度参数'!$E$22))*(36+5*7)/(36+7*(D425+1)/2)*E425,0))</x:f>
        <x:v>11572</x:v>
      </x:c>
      <x:c r="AP425" s="119" t="n">
        <x:f>IF(AN425=0,0,(AN425-IF(5=D425,1,0))*ROUND(AO425*VLOOKUP(INDEX('章节与怪物'!$E$31:$K$37,B425,5),'章节与怪物'!$A$41:$F$44,2,FALSE),0)+IF(5=D425,ROUND(AO425*'难度参数'!$E$28*'章节与怪物'!$E$17,0),0))</x:f>
        <x:v>341612</x:v>
      </x:c>
      <x:c r="AQ425" s="119" t="n">
        <x:f>IF(AN425=0,0,(AN425-IF(5=D425,1,0))*VLOOKUP(INDEX('章节与怪物'!$E$31:$K$37,B425,5),'章节与怪物'!$A$41:$F$44,4,FALSE)+IF(5=D425,'难度参数'!$E$30,0))</x:f>
        <x:v>820</x:v>
      </x:c>
      <x:c r="AR425" s="119" t="n">
        <x:f>IF(6&gt;D425,0,MAX(2,MIN('难度参数'!$E$12,ROUND(('难度参数'!$E$18*POWER(A425,'难度参数'!$E$19)/D425*(0.85+0.3*(6-1)/MAX(1,D425-1))),0)+F425)))</x:f>
        <x:v>43</x:v>
      </x:c>
      <x:c r="AS425" s="119" t="n">
        <x:f>IF(6&gt;D425,0,ROUND(('难度参数'!$E$13*POWER(A425,'难度参数'!$E$20)*MIN('难度参数'!$E$23,1+MAX(0,A425-'难度参数'!$E$21)*'难度参数'!$E$22))*(36+6*7)/(36+7*(D425+1)/2)*E425,0))</x:f>
        <x:v>12713</x:v>
      </x:c>
      <x:c r="AT425" s="119" t="n">
        <x:f>IF(AR425=0,0,(AR425-IF(6=D425,1,0))*ROUND(AS425*VLOOKUP(INDEX('章节与怪物'!$E$31:$K$37,B425,6),'章节与怪物'!$A$41:$F$44,2,FALSE),0)+IF(6=D425,ROUND(AS425*'难度参数'!$E$28*'章节与怪物'!$E$17,0),0))</x:f>
        <x:v>929316</x:v>
      </x:c>
      <x:c r="AU425" s="119" t="n">
        <x:f>IF(AR425=0,0,(AR425-IF(6=D425,1,0))*VLOOKUP(INDEX('章节与怪物'!$E$31:$K$37,B425,6),'章节与怪物'!$A$41:$F$44,4,FALSE)+IF(6=D425,'难度参数'!$E$30,0))</x:f>
        <x:v>1204</x:v>
      </x:c>
      <x:c r="AV425" s="119" t="n">
        <x:f>IF(7&gt;D425,0,MAX(2,MIN('难度参数'!$E$12,ROUND(('难度参数'!$E$18*POWER(A425,'难度参数'!$E$19)/D425*(0.85+0.3*(7-1)/MAX(1,D425-1))),0)+F425)))</x:f>
        <x:v>45</x:v>
      </x:c>
      <x:c r="AW425" s="119" t="n">
        <x:f>IF(7&gt;D425,0,ROUND(('难度参数'!$E$13*POWER(A425,'难度参数'!$E$20)*MIN('难度参数'!$E$23,1+MAX(0,A425-'难度参数'!$E$21)*'难度参数'!$E$22))*(36+7*7)/(36+7*(D425+1)/2)*E425,0))</x:f>
        <x:v>13854</x:v>
      </x:c>
      <x:c r="AX425" s="119" t="n">
        <x:f>IF(AV425=0,0,(AV425-IF(7=D425,1,0))*ROUND(AW425*VLOOKUP(INDEX('章节与怪物'!$E$31:$K$37,B425,7),'章节与怪物'!$A$41:$F$44,2,FALSE),0)+IF(7=D425,ROUND(AW425*'难度参数'!$E$28*'章节与怪物'!$E$17,0),0))</x:f>
        <x:v>917139</x:v>
      </x:c>
      <x:c r="AY425" s="119" t="n">
        <x:f>IF(AV425=0,0,(AV425-IF(7=D425,1,0))*VLOOKUP(INDEX('章节与怪物'!$E$31:$K$37,B425,7),'章节与怪物'!$A$41:$F$44,4,FALSE)+IF(7=D425,'难度参数'!$E$30,0))</x:f>
        <x:v>1696</x:v>
      </x:c>
    </x:row>
    <x:row r="426" ht="23" customHeight="1">
      <x:c r="A426" s="119" t="n">
        <x:v>420</x:v>
      </x:c>
      <x:c r="B426" s="119" t="n">
        <x:f>MOD(INT((A426-1)/5),7)+1</x:f>
        <x:v>7</x:v>
      </x:c>
      <x:c r="C426" s="62" t="str">
        <x:f>INDEX('章节与怪物'!$B$31:$B$37,B426)</x:f>
        <x:v>魔法山脊</x:v>
      </x:c>
      <x:c r="D426" s="119" t="n">
        <x:f>MIN('难度参数'!$E$8,MAX('难度参数'!$E$7,A426))</x:f>
        <x:v>7</x:v>
      </x:c>
      <x:c r="E426" s="106" t="n">
        <x:v>1</x:v>
      </x:c>
      <x:c r="F426" s="106" t="n">
        <x:v>0</x:v>
      </x:c>
      <x:c r="G426" s="106" t="n">
        <x:v>1</x:v>
      </x:c>
      <x:c r="H426" s="119" t="n">
        <x:f>SUM(X426,AB426,AF426,AJ426,AN426,AR426,AV426)</x:f>
        <x:v>273</x:v>
      </x:c>
      <x:c r="I426" s="119" t="n">
        <x:f>SUM(Z426,AD426,AH426,AL426,AP426,AT426,AX426)</x:f>
        <x:v>3764675</x:v>
      </x:c>
      <x:c r="J426" s="119" t="n">
        <x:f>ROUND(INDEX(X426:AY426,1,(D426-1)*4+2)*'难度参数'!$E$28*'章节与怪物'!$E$17,0)</x:f>
        <x:v>94370</x:v>
      </x:c>
      <x:c r="K426" s="119" t="n">
        <x:f>SUM(AA426,AE426,AI426,AM426,AQ426,AU426,AY426)</x:f>
        <x:v>7376</x:v>
      </x:c>
      <x:c r="L426" s="62" t="n">
        <x:f>H426*(ROUNDUP('难度参数'!$E$24/('难度参数'!$E$26*'难度参数'!$E$27),0)*'难度参数'!$E$26)/60</x:f>
        <x:v>3.64</x:v>
      </x:c>
      <x:c r="M426" s="62" t="n">
        <x:f>L426+D426*('难度参数'!$E$49+'难度参数'!$E$50)/60</x:f>
        <x:v>4.806666666666667</x:v>
      </x:c>
      <x:c r="N426" s="119" t="n">
        <x:f>ROUNDDOWN(('经济参数'!$E$20+A426*'经济参数'!$E$21)*G426,0)</x:f>
        <x:v>8580</x:v>
      </x:c>
      <x:c r="O426" s="119" t="n">
        <x:f>ROUNDDOWN(MIN('经济参数'!$E$24,'经济参数'!$E$22+A426*'经济参数'!$E$23)*G426,0)</x:f>
        <x:v>0</x:v>
      </x:c>
      <x:c r="P426" s="119" t="n">
        <x:f>ROUNDDOWN((IF(A426&gt;='材料与任务'!$E$31,'材料与任务'!$E$32,IF(A426&gt;='材料与任务'!$E$25,'材料与任务'!$E$26,IF(A426&gt;='材料与任务'!$E$19,'材料与任务'!$E$20,IF(A426&gt;='材料与任务'!$E$13,'材料与任务'!$E$14,'材料与任务'!$E$8)))))*G426,0)</x:f>
        <x:v>6</x:v>
      </x:c>
      <x:c r="Q426" s="119" t="n">
        <x:f>ROUNDDOWN((IF(A426&gt;='材料与任务'!$E$31,'材料与任务'!$E$33,IF(A426&gt;='材料与任务'!$E$25,'材料与任务'!$E$27,IF(A426&gt;='材料与任务'!$E$19,'材料与任务'!$E$21,IF(A426&gt;='材料与任务'!$E$13,'材料与任务'!$E$15,'材料与任务'!$E$9)))))*G426,0)</x:f>
        <x:v>3</x:v>
      </x:c>
      <x:c r="R426" s="110" t="n">
        <x:f>'装备掉落'!$B$38</x:f>
        <x:v>0.6872058758851213</x:v>
      </x:c>
      <x:c r="S426" s="119" t="n">
        <x:f>MAX(IF(VLOOKUP(A426,'装备掉落'!$A$29:$H$34,2,TRUE)&gt;0,1,0),IF(VLOOKUP(A426,'装备掉落'!$A$29:$H$34,3,TRUE)&gt;0,2,0),IF(VLOOKUP(A426,'装备掉落'!$A$29:$H$34,4,TRUE)&gt;0,3,0),IF(VLOOKUP(A426,'装备掉落'!$A$29:$H$34,5,TRUE)&gt;0,4,0),IF(VLOOKUP(A426,'装备掉落'!$A$29:$H$34,6,TRUE)&gt;0,5,0),IF(VLOOKUP(A426,'装备掉落'!$A$29:$H$34,7,TRUE)&gt;0,6,0),IF(VLOOKUP(A426,'装备掉落'!$A$29:$H$34,8,TRUE)&gt;0,7,0))</x:f>
        <x:v>7</x:v>
      </x:c>
      <x:c r="T426" s="119" t="n">
        <x:f>MIN(7,S426+'经济参数'!$E$70)</x:f>
        <x:v>7</x:v>
      </x:c>
      <x:c r="U426" s="119" t="n">
        <x:f>MIN(7,S426+'经济参数'!$E$71)</x:f>
        <x:v>7</x:v>
      </x:c>
      <x:c r="V426" s="119" t="n">
        <x:f>IF(H426&gt;=('难度参数'!$E$52),1,0)+IF(H426&gt;=('难度参数'!$E$52+'难度参数'!$E$53),1,0)+IF(H426&gt;=('难度参数'!$E$52+'难度参数'!$E$53+'难度参数'!$E$54),1,0)+IF(H426&gt;=('难度参数'!$E$52+'难度参数'!$E$53+'难度参数'!$E$54+'难度参数'!$E$55),1,0)+IF(H426&gt;=('难度参数'!$E$52+'难度参数'!$E$53+'难度参数'!$E$54+'难度参数'!$E$55+'难度参数'!$E$56),1,0)+IF(H426&gt;=('难度参数'!$E$52+'难度参数'!$E$53+'难度参数'!$E$54+'难度参数'!$E$55+'难度参数'!$E$56+'难度参数'!$E$57),1,0)</x:f>
        <x:v>6</x:v>
      </x:c>
      <x:c r="W426" s="62" t="str">
        <x:f>IF(L426&gt;'难度参数'!$E$51,"仅出怪已超目标","还需实测")</x:f>
        <x:v>仅出怪已超目标</x:v>
      </x:c>
      <x:c r="X426" s="119" t="n">
        <x:f>IF(1&gt;D426,0,MAX(2,MIN('难度参数'!$E$12,ROUND(('难度参数'!$E$18*POWER(A426,'难度参数'!$E$19)/D426*(0.85+0.3*(1-1)/MAX(1,D426-1))),0)+F426)))</x:f>
        <x:v>33</x:v>
      </x:c>
      <x:c r="Y426" s="119" t="n">
        <x:f>IF(1&gt;D426,0,ROUND(('难度参数'!$E$13*POWER(A426,'难度参数'!$E$20)*MIN('难度参数'!$E$23,1+MAX(0,A426-'难度参数'!$E$21)*'难度参数'!$E$22))*(36+1*7)/(36+7*(D426+1)/2)*E426,0))</x:f>
        <x:v>7020</x:v>
      </x:c>
      <x:c r="Z426" s="119" t="n">
        <x:f>IF(X426=0,0,(X426-IF(1=D426,1,0))*ROUND(Y426*VLOOKUP(INDEX('章节与怪物'!$E$31:$K$37,B426,1),'章节与怪物'!$A$41:$F$44,2,FALSE),0)+IF(1=D426,ROUND(Y426*'难度参数'!$E$28*'章节与怪物'!$E$17,0),0))</x:f>
        <x:v>231660</x:v>
      </x:c>
      <x:c r="AA426" s="119" t="n">
        <x:f>IF(X426=0,0,(X426-IF(1=D426,1,0))*VLOOKUP(INDEX('章节与怪物'!$E$31:$K$37,B426,1),'章节与怪物'!$A$41:$F$44,4,FALSE)+IF(1=D426,'难度参数'!$E$30,0))</x:f>
        <x:v>594</x:v>
      </x:c>
      <x:c r="AB426" s="119" t="n">
        <x:f>IF(2&gt;D426,0,MAX(2,MIN('难度参数'!$E$12,ROUND(('难度参数'!$E$18*POWER(A426,'难度参数'!$E$19)/D426*(0.85+0.3*(2-1)/MAX(1,D426-1))),0)+F426)))</x:f>
        <x:v>35</x:v>
      </x:c>
      <x:c r="AC426" s="119" t="n">
        <x:f>IF(2&gt;D426,0,ROUND(('难度参数'!$E$13*POWER(A426,'难度参数'!$E$20)*MIN('难度参数'!$E$23,1+MAX(0,A426-'难度参数'!$E$21)*'难度参数'!$E$22))*(36+2*7)/(36+7*(D426+1)/2)*E426,0))</x:f>
        <x:v>8163</x:v>
      </x:c>
      <x:c r="AD426" s="119" t="n">
        <x:f>IF(AB426=0,0,(AB426-IF(2=D426,1,0))*ROUND(AC426*VLOOKUP(INDEX('章节与怪物'!$E$31:$K$37,B426,2),'章节与怪物'!$A$41:$F$44,2,FALSE),0)+IF(2=D426,ROUND(AC426*'难度参数'!$E$28*'章节与怪物'!$E$17,0),0))</x:f>
        <x:v>205695</x:v>
      </x:c>
      <x:c r="AE426" s="119" t="n">
        <x:f>IF(AB426=0,0,(AB426-IF(2=D426,1,0))*VLOOKUP(INDEX('章节与怪物'!$E$31:$K$37,B426,2),'章节与怪物'!$A$41:$F$44,4,FALSE)+IF(2=D426,'难度参数'!$E$30,0))</x:f>
        <x:v>700</x:v>
      </x:c>
      <x:c r="AF426" s="119" t="n">
        <x:f>IF(3&gt;D426,0,MAX(2,MIN('难度参数'!$E$12,ROUND(('难度参数'!$E$18*POWER(A426,'难度参数'!$E$19)/D426*(0.85+0.3*(3-1)/MAX(1,D426-1))),0)+F426)))</x:f>
        <x:v>37</x:v>
      </x:c>
      <x:c r="AG426" s="119" t="n">
        <x:f>IF(3&gt;D426,0,ROUND(('难度参数'!$E$13*POWER(A426,'难度参数'!$E$20)*MIN('难度参数'!$E$23,1+MAX(0,A426-'难度参数'!$E$21)*'难度参数'!$E$22))*(36+3*7)/(36+7*(D426+1)/2)*E426,0))</x:f>
        <x:v>9306</x:v>
      </x:c>
      <x:c r="AH426" s="119" t="n">
        <x:f>IF(AF426=0,0,(AF426-IF(3=D426,1,0))*ROUND(AG426*VLOOKUP(INDEX('章节与怪物'!$E$31:$K$37,B426,3),'章节与怪物'!$A$41:$F$44,2,FALSE),0)+IF(3=D426,ROUND(AG426*'难度参数'!$E$28*'章节与怪物'!$E$17,0),0))</x:f>
        <x:v>585340</x:v>
      </x:c>
      <x:c r="AI426" s="119" t="n">
        <x:f>IF(AF426=0,0,(AF426-IF(3=D426,1,0))*VLOOKUP(INDEX('章节与怪物'!$E$31:$K$37,B426,3),'章节与怪物'!$A$41:$F$44,4,FALSE)+IF(3=D426,'难度参数'!$E$30,0))</x:f>
        <x:v>1036</x:v>
      </x:c>
      <x:c r="AJ426" s="119" t="n">
        <x:f>IF(4&gt;D426,0,MAX(2,MIN('难度参数'!$E$12,ROUND(('难度参数'!$E$18*POWER(A426,'难度参数'!$E$19)/D426*(0.85+0.3*(4-1)/MAX(1,D426-1))),0)+F426)))</x:f>
        <x:v>39</x:v>
      </x:c>
      <x:c r="AK426" s="119" t="n">
        <x:f>IF(4&gt;D426,0,ROUND(('难度参数'!$E$13*POWER(A426,'难度参数'!$E$20)*MIN('难度参数'!$E$23,1+MAX(0,A426-'难度参数'!$E$21)*'难度参数'!$E$22))*(36+4*7)/(36+7*(D426+1)/2)*E426,0))</x:f>
        <x:v>10449</x:v>
      </x:c>
      <x:c r="AL426" s="119" t="n">
        <x:f>IF(AJ426=0,0,(AJ426-IF(4=D426,1,0))*ROUND(AK426*VLOOKUP(INDEX('章节与怪物'!$E$31:$K$37,B426,4),'章节与怪物'!$A$41:$F$44,2,FALSE),0)+IF(4=D426,ROUND(AK426*'难度参数'!$E$28*'章节与怪物'!$E$17,0),0))</x:f>
        <x:v>550134</x:v>
      </x:c>
      <x:c r="AM426" s="119" t="n">
        <x:f>IF(AJ426=0,0,(AJ426-IF(4=D426,1,0))*VLOOKUP(INDEX('章节与怪物'!$E$31:$K$37,B426,4),'章节与怪物'!$A$41:$F$44,4,FALSE)+IF(4=D426,'难度参数'!$E$30,0))</x:f>
        <x:v>1326</x:v>
      </x:c>
      <x:c r="AN426" s="119" t="n">
        <x:f>IF(5&gt;D426,0,MAX(2,MIN('难度参数'!$E$12,ROUND(('难度参数'!$E$18*POWER(A426,'难度参数'!$E$19)/D426*(0.85+0.3*(5-1)/MAX(1,D426-1))),0)+F426)))</x:f>
        <x:v>41</x:v>
      </x:c>
      <x:c r="AO426" s="119" t="n">
        <x:f>IF(5&gt;D426,0,ROUND(('难度参数'!$E$13*POWER(A426,'难度参数'!$E$20)*MIN('难度参数'!$E$23,1+MAX(0,A426-'难度参数'!$E$21)*'难度参数'!$E$22))*(36+5*7)/(36+7*(D426+1)/2)*E426,0))</x:f>
        <x:v>11592</x:v>
      </x:c>
      <x:c r="AP426" s="119" t="n">
        <x:f>IF(AN426=0,0,(AN426-IF(5=D426,1,0))*ROUND(AO426*VLOOKUP(INDEX('章节与怪物'!$E$31:$K$37,B426,5),'章节与怪物'!$A$41:$F$44,2,FALSE),0)+IF(5=D426,ROUND(AO426*'难度参数'!$E$28*'章节与怪物'!$E$17,0),0))</x:f>
        <x:v>342186</x:v>
      </x:c>
      <x:c r="AQ426" s="119" t="n">
        <x:f>IF(AN426=0,0,(AN426-IF(5=D426,1,0))*VLOOKUP(INDEX('章节与怪物'!$E$31:$K$37,B426,5),'章节与怪物'!$A$41:$F$44,4,FALSE)+IF(5=D426,'难度参数'!$E$30,0))</x:f>
        <x:v>820</x:v>
      </x:c>
      <x:c r="AR426" s="119" t="n">
        <x:f>IF(6&gt;D426,0,MAX(2,MIN('难度参数'!$E$12,ROUND(('难度参数'!$E$18*POWER(A426,'难度参数'!$E$19)/D426*(0.85+0.3*(6-1)/MAX(1,D426-1))),0)+F426)))</x:f>
        <x:v>43</x:v>
      </x:c>
      <x:c r="AS426" s="119" t="n">
        <x:f>IF(6&gt;D426,0,ROUND(('难度参数'!$E$13*POWER(A426,'难度参数'!$E$20)*MIN('难度参数'!$E$23,1+MAX(0,A426-'难度参数'!$E$21)*'难度参数'!$E$22))*(36+6*7)/(36+7*(D426+1)/2)*E426,0))</x:f>
        <x:v>12735</x:v>
      </x:c>
      <x:c r="AT426" s="119" t="n">
        <x:f>IF(AR426=0,0,(AR426-IF(6=D426,1,0))*ROUND(AS426*VLOOKUP(INDEX('章节与怪物'!$E$31:$K$37,B426,6),'章节与怪物'!$A$41:$F$44,2,FALSE),0)+IF(6=D426,ROUND(AS426*'难度参数'!$E$28*'章节与怪物'!$E$17,0),0))</x:f>
        <x:v>930950</x:v>
      </x:c>
      <x:c r="AU426" s="119" t="n">
        <x:f>IF(AR426=0,0,(AR426-IF(6=D426,1,0))*VLOOKUP(INDEX('章节与怪物'!$E$31:$K$37,B426,6),'章节与怪物'!$A$41:$F$44,4,FALSE)+IF(6=D426,'难度参数'!$E$30,0))</x:f>
        <x:v>1204</x:v>
      </x:c>
      <x:c r="AV426" s="119" t="n">
        <x:f>IF(7&gt;D426,0,MAX(2,MIN('难度参数'!$E$12,ROUND(('难度参数'!$E$18*POWER(A426,'难度参数'!$E$19)/D426*(0.85+0.3*(7-1)/MAX(1,D426-1))),0)+F426)))</x:f>
        <x:v>45</x:v>
      </x:c>
      <x:c r="AW426" s="119" t="n">
        <x:f>IF(7&gt;D426,0,ROUND(('难度参数'!$E$13*POWER(A426,'难度参数'!$E$20)*MIN('难度参数'!$E$23,1+MAX(0,A426-'难度参数'!$E$21)*'难度参数'!$E$22))*(36+7*7)/(36+7*(D426+1)/2)*E426,0))</x:f>
        <x:v>13878</x:v>
      </x:c>
      <x:c r="AX426" s="119" t="n">
        <x:f>IF(AV426=0,0,(AV426-IF(7=D426,1,0))*ROUND(AW426*VLOOKUP(INDEX('章节与怪物'!$E$31:$K$37,B426,7),'章节与怪物'!$A$41:$F$44,2,FALSE),0)+IF(7=D426,ROUND(AW426*'难度参数'!$E$28*'章节与怪物'!$E$17,0),0))</x:f>
        <x:v>918710</x:v>
      </x:c>
      <x:c r="AY426" s="119" t="n">
        <x:f>IF(AV426=0,0,(AV426-IF(7=D426,1,0))*VLOOKUP(INDEX('章节与怪物'!$E$31:$K$37,B426,7),'章节与怪物'!$A$41:$F$44,4,FALSE)+IF(7=D426,'难度参数'!$E$30,0))</x:f>
        <x:v>1696</x:v>
      </x:c>
    </x:row>
    <x:row r="427" ht="23" customHeight="1">
      <x:c r="A427" s="119" t="n">
        <x:v>421</x:v>
      </x:c>
      <x:c r="B427" s="119" t="n">
        <x:f>MOD(INT((A427-1)/5),7)+1</x:f>
        <x:v>1</x:v>
      </x:c>
      <x:c r="C427" s="62" t="str">
        <x:f>INDEX('章节与怪物'!$B$31:$B$37,B427)</x:f>
        <x:v>冰雪荒原</x:v>
      </x:c>
      <x:c r="D427" s="119" t="n">
        <x:f>MIN('难度参数'!$E$8,MAX('难度参数'!$E$7,A427))</x:f>
        <x:v>7</x:v>
      </x:c>
      <x:c r="E427" s="106" t="n">
        <x:v>1</x:v>
      </x:c>
      <x:c r="F427" s="106" t="n">
        <x:v>0</x:v>
      </x:c>
      <x:c r="G427" s="106" t="n">
        <x:v>1</x:v>
      </x:c>
      <x:c r="H427" s="119" t="n">
        <x:f>SUM(X427,AB427,AF427,AJ427,AN427,AR427,AV427)</x:f>
        <x:v>273</x:v>
      </x:c>
      <x:c r="I427" s="119" t="n">
        <x:f>SUM(Z427,AD427,AH427,AL427,AP427,AT427,AX427)</x:f>
        <x:v>3632524</x:v>
      </x:c>
      <x:c r="J427" s="119" t="n">
        <x:f>ROUND(INDEX(X427:AY427,1,(D427-1)*4+2)*'难度参数'!$E$28*'章节与怪物'!$E$17,0)</x:f>
        <x:v>94527</x:v>
      </x:c>
      <x:c r="K427" s="119" t="n">
        <x:f>SUM(AA427,AE427,AI427,AM427,AQ427,AU427,AY427)</x:f>
        <x:v>6742</x:v>
      </x:c>
      <x:c r="L427" s="62" t="n">
        <x:f>H427*(ROUNDUP('难度参数'!$E$24/('难度参数'!$E$26*'难度参数'!$E$27),0)*'难度参数'!$E$26)/60</x:f>
        <x:v>3.64</x:v>
      </x:c>
      <x:c r="M427" s="62" t="n">
        <x:f>L427+D427*('难度参数'!$E$49+'难度参数'!$E$50)/60</x:f>
        <x:v>4.806666666666667</x:v>
      </x:c>
      <x:c r="N427" s="119" t="n">
        <x:f>ROUNDDOWN(('经济参数'!$E$20+A427*'经济参数'!$E$21)*G427,0)</x:f>
        <x:v>8600</x:v>
      </x:c>
      <x:c r="O427" s="119" t="n">
        <x:f>ROUNDDOWN(MIN('经济参数'!$E$24,'经济参数'!$E$22+A427*'经济参数'!$E$23)*G427,0)</x:f>
        <x:v>0</x:v>
      </x:c>
      <x:c r="P427" s="119" t="n">
        <x:f>ROUNDDOWN((IF(A427&gt;='材料与任务'!$E$31,'材料与任务'!$E$32,IF(A427&gt;='材料与任务'!$E$25,'材料与任务'!$E$26,IF(A427&gt;='材料与任务'!$E$19,'材料与任务'!$E$20,IF(A427&gt;='材料与任务'!$E$13,'材料与任务'!$E$14,'材料与任务'!$E$8)))))*G427,0)</x:f>
        <x:v>6</x:v>
      </x:c>
      <x:c r="Q427" s="119" t="n">
        <x:f>ROUNDDOWN((IF(A427&gt;='材料与任务'!$E$31,'材料与任务'!$E$33,IF(A427&gt;='材料与任务'!$E$25,'材料与任务'!$E$27,IF(A427&gt;='材料与任务'!$E$19,'材料与任务'!$E$21,IF(A427&gt;='材料与任务'!$E$13,'材料与任务'!$E$15,'材料与任务'!$E$9)))))*G427,0)</x:f>
        <x:v>3</x:v>
      </x:c>
      <x:c r="R427" s="110" t="n">
        <x:f>'装备掉落'!$B$38</x:f>
        <x:v>0.6872058758851213</x:v>
      </x:c>
      <x:c r="S427" s="119" t="n">
        <x:f>MAX(IF(VLOOKUP(A427,'装备掉落'!$A$29:$H$34,2,TRUE)&gt;0,1,0),IF(VLOOKUP(A427,'装备掉落'!$A$29:$H$34,3,TRUE)&gt;0,2,0),IF(VLOOKUP(A427,'装备掉落'!$A$29:$H$34,4,TRUE)&gt;0,3,0),IF(VLOOKUP(A427,'装备掉落'!$A$29:$H$34,5,TRUE)&gt;0,4,0),IF(VLOOKUP(A427,'装备掉落'!$A$29:$H$34,6,TRUE)&gt;0,5,0),IF(VLOOKUP(A427,'装备掉落'!$A$29:$H$34,7,TRUE)&gt;0,6,0),IF(VLOOKUP(A427,'装备掉落'!$A$29:$H$34,8,TRUE)&gt;0,7,0))</x:f>
        <x:v>7</x:v>
      </x:c>
      <x:c r="T427" s="119" t="n">
        <x:f>MIN(7,S427+'经济参数'!$E$70)</x:f>
        <x:v>7</x:v>
      </x:c>
      <x:c r="U427" s="119" t="n">
        <x:f>MIN(7,S427+'经济参数'!$E$71)</x:f>
        <x:v>7</x:v>
      </x:c>
      <x:c r="V427" s="119" t="n">
        <x:f>IF(H427&gt;=('难度参数'!$E$52),1,0)+IF(H427&gt;=('难度参数'!$E$52+'难度参数'!$E$53),1,0)+IF(H427&gt;=('难度参数'!$E$52+'难度参数'!$E$53+'难度参数'!$E$54),1,0)+IF(H427&gt;=('难度参数'!$E$52+'难度参数'!$E$53+'难度参数'!$E$54+'难度参数'!$E$55),1,0)+IF(H427&gt;=('难度参数'!$E$52+'难度参数'!$E$53+'难度参数'!$E$54+'难度参数'!$E$55+'难度参数'!$E$56),1,0)+IF(H427&gt;=('难度参数'!$E$52+'难度参数'!$E$53+'难度参数'!$E$54+'难度参数'!$E$55+'难度参数'!$E$56+'难度参数'!$E$57),1,0)</x:f>
        <x:v>6</x:v>
      </x:c>
      <x:c r="W427" s="62" t="str">
        <x:f>IF(L427&gt;'难度参数'!$E$51,"仅出怪已超目标","还需实测")</x:f>
        <x:v>仅出怪已超目标</x:v>
      </x:c>
      <x:c r="X427" s="119" t="n">
        <x:f>IF(1&gt;D427,0,MAX(2,MIN('难度参数'!$E$12,ROUND(('难度参数'!$E$18*POWER(A427,'难度参数'!$E$19)/D427*(0.85+0.3*(1-1)/MAX(1,D427-1))),0)+F427)))</x:f>
        <x:v>33</x:v>
      </x:c>
      <x:c r="Y427" s="119" t="n">
        <x:f>IF(1&gt;D427,0,ROUND(('难度参数'!$E$13*POWER(A427,'难度参数'!$E$20)*MIN('难度参数'!$E$23,1+MAX(0,A427-'难度参数'!$E$21)*'难度参数'!$E$22))*(36+1*7)/(36+7*(D427+1)/2)*E427,0))</x:f>
        <x:v>7032</x:v>
      </x:c>
      <x:c r="Z427" s="119" t="n">
        <x:f>IF(X427=0,0,(X427-IF(1=D427,1,0))*ROUND(Y427*VLOOKUP(INDEX('章节与怪物'!$E$31:$K$37,B427,1),'章节与怪物'!$A$41:$F$44,2,FALSE),0)+IF(1=D427,ROUND(Y427*'难度参数'!$E$28*'章节与怪物'!$E$17,0),0))</x:f>
        <x:v>232056</x:v>
      </x:c>
      <x:c r="AA427" s="119" t="n">
        <x:f>IF(X427=0,0,(X427-IF(1=D427,1,0))*VLOOKUP(INDEX('章节与怪物'!$E$31:$K$37,B427,1),'章节与怪物'!$A$41:$F$44,4,FALSE)+IF(1=D427,'难度参数'!$E$30,0))</x:f>
        <x:v>594</x:v>
      </x:c>
      <x:c r="AB427" s="119" t="n">
        <x:f>IF(2&gt;D427,0,MAX(2,MIN('难度参数'!$E$12,ROUND(('难度参数'!$E$18*POWER(A427,'难度参数'!$E$19)/D427*(0.85+0.3*(2-1)/MAX(1,D427-1))),0)+F427)))</x:f>
        <x:v>35</x:v>
      </x:c>
      <x:c r="AC427" s="119" t="n">
        <x:f>IF(2&gt;D427,0,ROUND(('难度参数'!$E$13*POWER(A427,'难度参数'!$E$20)*MIN('难度参数'!$E$23,1+MAX(0,A427-'难度参数'!$E$21)*'难度参数'!$E$22))*(36+2*7)/(36+7*(D427+1)/2)*E427,0))</x:f>
        <x:v>8177</x:v>
      </x:c>
      <x:c r="AD427" s="119" t="n">
        <x:f>IF(AB427=0,0,(AB427-IF(2=D427,1,0))*ROUND(AC427*VLOOKUP(INDEX('章节与怪物'!$E$31:$K$37,B427,2),'章节与怪物'!$A$41:$F$44,2,FALSE),0)+IF(2=D427,ROUND(AC427*'难度参数'!$E$28*'章节与怪物'!$E$17,0),0))</x:f>
        <x:v>286195</x:v>
      </x:c>
      <x:c r="AE427" s="119" t="n">
        <x:f>IF(AB427=0,0,(AB427-IF(2=D427,1,0))*VLOOKUP(INDEX('章节与怪物'!$E$31:$K$37,B427,2),'章节与怪物'!$A$41:$F$44,4,FALSE)+IF(2=D427,'难度参数'!$E$30,0))</x:f>
        <x:v>630</x:v>
      </x:c>
      <x:c r="AF427" s="119" t="n">
        <x:f>IF(3&gt;D427,0,MAX(2,MIN('难度参数'!$E$12,ROUND(('难度参数'!$E$18*POWER(A427,'难度参数'!$E$19)/D427*(0.85+0.3*(3-1)/MAX(1,D427-1))),0)+F427)))</x:f>
        <x:v>37</x:v>
      </x:c>
      <x:c r="AG427" s="119" t="n">
        <x:f>IF(3&gt;D427,0,ROUND(('难度参数'!$E$13*POWER(A427,'难度参数'!$E$20)*MIN('难度参数'!$E$23,1+MAX(0,A427-'难度参数'!$E$21)*'难度参数'!$E$22))*(36+3*7)/(36+7*(D427+1)/2)*E427,0))</x:f>
        <x:v>9322</x:v>
      </x:c>
      <x:c r="AH427" s="119" t="n">
        <x:f>IF(AF427=0,0,(AF427-IF(3=D427,1,0))*ROUND(AG427*VLOOKUP(INDEX('章节与怪物'!$E$31:$K$37,B427,3),'章节与怪物'!$A$41:$F$44,2,FALSE),0)+IF(3=D427,ROUND(AG427*'难度参数'!$E$28*'章节与怪物'!$E$17,0),0))</x:f>
        <x:v>248344</x:v>
      </x:c>
      <x:c r="AI427" s="119" t="n">
        <x:f>IF(AF427=0,0,(AF427-IF(3=D427,1,0))*VLOOKUP(INDEX('章节与怪物'!$E$31:$K$37,B427,3),'章节与怪物'!$A$41:$F$44,4,FALSE)+IF(3=D427,'难度参数'!$E$30,0))</x:f>
        <x:v>740</x:v>
      </x:c>
      <x:c r="AJ427" s="119" t="n">
        <x:f>IF(4&gt;D427,0,MAX(2,MIN('难度参数'!$E$12,ROUND(('难度参数'!$E$18*POWER(A427,'难度参数'!$E$19)/D427*(0.85+0.3*(4-1)/MAX(1,D427-1))),0)+F427)))</x:f>
        <x:v>39</x:v>
      </x:c>
      <x:c r="AK427" s="119" t="n">
        <x:f>IF(4&gt;D427,0,ROUND(('难度参数'!$E$13*POWER(A427,'难度参数'!$E$20)*MIN('难度参数'!$E$23,1+MAX(0,A427-'难度参数'!$E$21)*'难度参数'!$E$22))*(36+4*7)/(36+7*(D427+1)/2)*E427,0))</x:f>
        <x:v>10467</x:v>
      </x:c>
      <x:c r="AL427" s="119" t="n">
        <x:f>IF(AJ427=0,0,(AJ427-IF(4=D427,1,0))*ROUND(AK427*VLOOKUP(INDEX('章节与怪物'!$E$31:$K$37,B427,4),'章节与怪物'!$A$41:$F$44,2,FALSE),0)+IF(4=D427,ROUND(AK427*'难度参数'!$E$28*'章节与怪物'!$E$17,0),0))</x:f>
        <x:v>693966</x:v>
      </x:c>
      <x:c r="AM427" s="119" t="n">
        <x:f>IF(AJ427=0,0,(AJ427-IF(4=D427,1,0))*VLOOKUP(INDEX('章节与怪物'!$E$31:$K$37,B427,4),'章节与怪物'!$A$41:$F$44,4,FALSE)+IF(4=D427,'难度参数'!$E$30,0))</x:f>
        <x:v>1092</x:v>
      </x:c>
      <x:c r="AN427" s="119" t="n">
        <x:f>IF(5&gt;D427,0,MAX(2,MIN('难度参数'!$E$12,ROUND(('难度参数'!$E$18*POWER(A427,'难度参数'!$E$19)/D427*(0.85+0.3*(5-1)/MAX(1,D427-1))),0)+F427)))</x:f>
        <x:v>41</x:v>
      </x:c>
      <x:c r="AO427" s="119" t="n">
        <x:f>IF(5&gt;D427,0,ROUND(('难度参数'!$E$13*POWER(A427,'难度参数'!$E$20)*MIN('难度参数'!$E$23,1+MAX(0,A427-'难度参数'!$E$21)*'难度参数'!$E$22))*(36+5*7)/(36+7*(D427+1)/2)*E427,0))</x:f>
        <x:v>11612</x:v>
      </x:c>
      <x:c r="AP427" s="119" t="n">
        <x:f>IF(AN427=0,0,(AN427-IF(5=D427,1,0))*ROUND(AO427*VLOOKUP(INDEX('章节与怪物'!$E$31:$K$37,B427,5),'章节与怪物'!$A$41:$F$44,2,FALSE),0)+IF(5=D427,ROUND(AO427*'难度参数'!$E$28*'章节与怪物'!$E$17,0),0))</x:f>
        <x:v>642716</x:v>
      </x:c>
      <x:c r="AQ427" s="119" t="n">
        <x:f>IF(AN427=0,0,(AN427-IF(5=D427,1,0))*VLOOKUP(INDEX('章节与怪物'!$E$31:$K$37,B427,5),'章节与怪物'!$A$41:$F$44,4,FALSE)+IF(5=D427,'难度参数'!$E$30,0))</x:f>
        <x:v>1394</x:v>
      </x:c>
      <x:c r="AR427" s="119" t="n">
        <x:f>IF(6&gt;D427,0,MAX(2,MIN('难度参数'!$E$12,ROUND(('难度参数'!$E$18*POWER(A427,'难度参数'!$E$19)/D427*(0.85+0.3*(6-1)/MAX(1,D427-1))),0)+F427)))</x:f>
        <x:v>43</x:v>
      </x:c>
      <x:c r="AS427" s="119" t="n">
        <x:f>IF(6&gt;D427,0,ROUND(('难度参数'!$E$13*POWER(A427,'难度参数'!$E$20)*MIN('难度参数'!$E$23,1+MAX(0,A427-'难度参数'!$E$21)*'难度参数'!$E$22))*(36+6*7)/(36+7*(D427+1)/2)*E427,0))</x:f>
        <x:v>12756</x:v>
      </x:c>
      <x:c r="AT427" s="119" t="n">
        <x:f>IF(AR427=0,0,(AR427-IF(6=D427,1,0))*ROUND(AS427*VLOOKUP(INDEX('章节与怪物'!$E$31:$K$37,B427,6),'章节与怪物'!$A$41:$F$44,2,FALSE),0)+IF(6=D427,ROUND(AS427*'难度参数'!$E$28*'章节与怪物'!$E$17,0),0))</x:f>
        <x:v>394912</x:v>
      </x:c>
      <x:c r="AU427" s="119" t="n">
        <x:f>IF(AR427=0,0,(AR427-IF(6=D427,1,0))*VLOOKUP(INDEX('章节与怪物'!$E$31:$K$37,B427,6),'章节与怪物'!$A$41:$F$44,4,FALSE)+IF(6=D427,'难度参数'!$E$30,0))</x:f>
        <x:v>860</x:v>
      </x:c>
      <x:c r="AV427" s="119" t="n">
        <x:f>IF(7&gt;D427,0,MAX(2,MIN('难度参数'!$E$12,ROUND(('难度参数'!$E$18*POWER(A427,'难度参数'!$E$19)/D427*(0.85+0.3*(7-1)/MAX(1,D427-1))),0)+F427)))</x:f>
        <x:v>45</x:v>
      </x:c>
      <x:c r="AW427" s="119" t="n">
        <x:f>IF(7&gt;D427,0,ROUND(('难度参数'!$E$13*POWER(A427,'难度参数'!$E$20)*MIN('难度参数'!$E$23,1+MAX(0,A427-'难度参数'!$E$21)*'难度参数'!$E$22))*(36+7*7)/(36+7*(D427+1)/2)*E427,0))</x:f>
        <x:v>13901</x:v>
      </x:c>
      <x:c r="AX427" s="119" t="n">
        <x:f>IF(AV427=0,0,(AV427-IF(7=D427,1,0))*ROUND(AW427*VLOOKUP(INDEX('章节与怪物'!$E$31:$K$37,B427,7),'章节与怪物'!$A$41:$F$44,2,FALSE),0)+IF(7=D427,ROUND(AW427*'难度参数'!$E$28*'章节与怪物'!$E$17,0),0))</x:f>
        <x:v>1134335</x:v>
      </x:c>
      <x:c r="AY427" s="119" t="n">
        <x:f>IF(AV427=0,0,(AV427-IF(7=D427,1,0))*VLOOKUP(INDEX('章节与怪物'!$E$31:$K$37,B427,7),'章节与怪物'!$A$41:$F$44,4,FALSE)+IF(7=D427,'难度参数'!$E$30,0))</x:f>
        <x:v>1432</x:v>
      </x:c>
    </x:row>
    <x:row r="428" ht="23" customHeight="1">
      <x:c r="A428" s="119" t="n">
        <x:v>422</x:v>
      </x:c>
      <x:c r="B428" s="119" t="n">
        <x:f>MOD(INT((A428-1)/5),7)+1</x:f>
        <x:v>1</x:v>
      </x:c>
      <x:c r="C428" s="62" t="str">
        <x:f>INDEX('章节与怪物'!$B$31:$B$37,B428)</x:f>
        <x:v>冰雪荒原</x:v>
      </x:c>
      <x:c r="D428" s="119" t="n">
        <x:f>MIN('难度参数'!$E$8,MAX('难度参数'!$E$7,A428))</x:f>
        <x:v>7</x:v>
      </x:c>
      <x:c r="E428" s="106" t="n">
        <x:v>1</x:v>
      </x:c>
      <x:c r="F428" s="106" t="n">
        <x:v>0</x:v>
      </x:c>
      <x:c r="G428" s="106" t="n">
        <x:v>1</x:v>
      </x:c>
      <x:c r="H428" s="119" t="n">
        <x:f>SUM(X428,AB428,AF428,AJ428,AN428,AR428,AV428)</x:f>
        <x:v>273</x:v>
      </x:c>
      <x:c r="I428" s="119" t="n">
        <x:f>SUM(Z428,AD428,AH428,AL428,AP428,AT428,AX428)</x:f>
        <x:v>3638788</x:v>
      </x:c>
      <x:c r="J428" s="119" t="n">
        <x:f>ROUND(INDEX(X428:AY428,1,(D428-1)*4+2)*'难度参数'!$E$28*'章节与怪物'!$E$17,0)</x:f>
        <x:v>94690</x:v>
      </x:c>
      <x:c r="K428" s="119" t="n">
        <x:f>SUM(AA428,AE428,AI428,AM428,AQ428,AU428,AY428)</x:f>
        <x:v>6742</x:v>
      </x:c>
      <x:c r="L428" s="62" t="n">
        <x:f>H428*(ROUNDUP('难度参数'!$E$24/('难度参数'!$E$26*'难度参数'!$E$27),0)*'难度参数'!$E$26)/60</x:f>
        <x:v>3.64</x:v>
      </x:c>
      <x:c r="M428" s="62" t="n">
        <x:f>L428+D428*('难度参数'!$E$49+'难度参数'!$E$50)/60</x:f>
        <x:v>4.806666666666667</x:v>
      </x:c>
      <x:c r="N428" s="119" t="n">
        <x:f>ROUNDDOWN(('经济参数'!$E$20+A428*'经济参数'!$E$21)*G428,0)</x:f>
        <x:v>8620</x:v>
      </x:c>
      <x:c r="O428" s="119" t="n">
        <x:f>ROUNDDOWN(MIN('经济参数'!$E$24,'经济参数'!$E$22+A428*'经济参数'!$E$23)*G428,0)</x:f>
        <x:v>0</x:v>
      </x:c>
      <x:c r="P428" s="119" t="n">
        <x:f>ROUNDDOWN((IF(A428&gt;='材料与任务'!$E$31,'材料与任务'!$E$32,IF(A428&gt;='材料与任务'!$E$25,'材料与任务'!$E$26,IF(A428&gt;='材料与任务'!$E$19,'材料与任务'!$E$20,IF(A428&gt;='材料与任务'!$E$13,'材料与任务'!$E$14,'材料与任务'!$E$8)))))*G428,0)</x:f>
        <x:v>6</x:v>
      </x:c>
      <x:c r="Q428" s="119" t="n">
        <x:f>ROUNDDOWN((IF(A428&gt;='材料与任务'!$E$31,'材料与任务'!$E$33,IF(A428&gt;='材料与任务'!$E$25,'材料与任务'!$E$27,IF(A428&gt;='材料与任务'!$E$19,'材料与任务'!$E$21,IF(A428&gt;='材料与任务'!$E$13,'材料与任务'!$E$15,'材料与任务'!$E$9)))))*G428,0)</x:f>
        <x:v>3</x:v>
      </x:c>
      <x:c r="R428" s="110" t="n">
        <x:f>'装备掉落'!$B$38</x:f>
        <x:v>0.6872058758851213</x:v>
      </x:c>
      <x:c r="S428" s="119" t="n">
        <x:f>MAX(IF(VLOOKUP(A428,'装备掉落'!$A$29:$H$34,2,TRUE)&gt;0,1,0),IF(VLOOKUP(A428,'装备掉落'!$A$29:$H$34,3,TRUE)&gt;0,2,0),IF(VLOOKUP(A428,'装备掉落'!$A$29:$H$34,4,TRUE)&gt;0,3,0),IF(VLOOKUP(A428,'装备掉落'!$A$29:$H$34,5,TRUE)&gt;0,4,0),IF(VLOOKUP(A428,'装备掉落'!$A$29:$H$34,6,TRUE)&gt;0,5,0),IF(VLOOKUP(A428,'装备掉落'!$A$29:$H$34,7,TRUE)&gt;0,6,0),IF(VLOOKUP(A428,'装备掉落'!$A$29:$H$34,8,TRUE)&gt;0,7,0))</x:f>
        <x:v>7</x:v>
      </x:c>
      <x:c r="T428" s="119" t="n">
        <x:f>MIN(7,S428+'经济参数'!$E$70)</x:f>
        <x:v>7</x:v>
      </x:c>
      <x:c r="U428" s="119" t="n">
        <x:f>MIN(7,S428+'经济参数'!$E$71)</x:f>
        <x:v>7</x:v>
      </x:c>
      <x:c r="V428" s="119" t="n">
        <x:f>IF(H428&gt;=('难度参数'!$E$52),1,0)+IF(H428&gt;=('难度参数'!$E$52+'难度参数'!$E$53),1,0)+IF(H428&gt;=('难度参数'!$E$52+'难度参数'!$E$53+'难度参数'!$E$54),1,0)+IF(H428&gt;=('难度参数'!$E$52+'难度参数'!$E$53+'难度参数'!$E$54+'难度参数'!$E$55),1,0)+IF(H428&gt;=('难度参数'!$E$52+'难度参数'!$E$53+'难度参数'!$E$54+'难度参数'!$E$55+'难度参数'!$E$56),1,0)+IF(H428&gt;=('难度参数'!$E$52+'难度参数'!$E$53+'难度参数'!$E$54+'难度参数'!$E$55+'难度参数'!$E$56+'难度参数'!$E$57),1,0)</x:f>
        <x:v>6</x:v>
      </x:c>
      <x:c r="W428" s="62" t="str">
        <x:f>IF(L428&gt;'难度参数'!$E$51,"仅出怪已超目标","还需实测")</x:f>
        <x:v>仅出怪已超目标</x:v>
      </x:c>
      <x:c r="X428" s="119" t="n">
        <x:f>IF(1&gt;D428,0,MAX(2,MIN('难度参数'!$E$12,ROUND(('难度参数'!$E$18*POWER(A428,'难度参数'!$E$19)/D428*(0.85+0.3*(1-1)/MAX(1,D428-1))),0)+F428)))</x:f>
        <x:v>33</x:v>
      </x:c>
      <x:c r="Y428" s="119" t="n">
        <x:f>IF(1&gt;D428,0,ROUND(('难度参数'!$E$13*POWER(A428,'难度参数'!$E$20)*MIN('难度参数'!$E$23,1+MAX(0,A428-'难度参数'!$E$21)*'难度参数'!$E$22))*(36+1*7)/(36+7*(D428+1)/2)*E428,0))</x:f>
        <x:v>7044</x:v>
      </x:c>
      <x:c r="Z428" s="119" t="n">
        <x:f>IF(X428=0,0,(X428-IF(1=D428,1,0))*ROUND(Y428*VLOOKUP(INDEX('章节与怪物'!$E$31:$K$37,B428,1),'章节与怪物'!$A$41:$F$44,2,FALSE),0)+IF(1=D428,ROUND(Y428*'难度参数'!$E$28*'章节与怪物'!$E$17,0),0))</x:f>
        <x:v>232452</x:v>
      </x:c>
      <x:c r="AA428" s="119" t="n">
        <x:f>IF(X428=0,0,(X428-IF(1=D428,1,0))*VLOOKUP(INDEX('章节与怪物'!$E$31:$K$37,B428,1),'章节与怪物'!$A$41:$F$44,4,FALSE)+IF(1=D428,'难度参数'!$E$30,0))</x:f>
        <x:v>594</x:v>
      </x:c>
      <x:c r="AB428" s="119" t="n">
        <x:f>IF(2&gt;D428,0,MAX(2,MIN('难度参数'!$E$12,ROUND(('难度参数'!$E$18*POWER(A428,'难度参数'!$E$19)/D428*(0.85+0.3*(2-1)/MAX(1,D428-1))),0)+F428)))</x:f>
        <x:v>35</x:v>
      </x:c>
      <x:c r="AC428" s="119" t="n">
        <x:f>IF(2&gt;D428,0,ROUND(('难度参数'!$E$13*POWER(A428,'难度参数'!$E$20)*MIN('难度参数'!$E$23,1+MAX(0,A428-'难度参数'!$E$21)*'难度参数'!$E$22))*(36+2*7)/(36+7*(D428+1)/2)*E428,0))</x:f>
        <x:v>8191</x:v>
      </x:c>
      <x:c r="AD428" s="119" t="n">
        <x:f>IF(AB428=0,0,(AB428-IF(2=D428,1,0))*ROUND(AC428*VLOOKUP(INDEX('章节与怪物'!$E$31:$K$37,B428,2),'章节与怪物'!$A$41:$F$44,2,FALSE),0)+IF(2=D428,ROUND(AC428*'难度参数'!$E$28*'章节与怪物'!$E$17,0),0))</x:f>
        <x:v>286685</x:v>
      </x:c>
      <x:c r="AE428" s="119" t="n">
        <x:f>IF(AB428=0,0,(AB428-IF(2=D428,1,0))*VLOOKUP(INDEX('章节与怪物'!$E$31:$K$37,B428,2),'章节与怪物'!$A$41:$F$44,4,FALSE)+IF(2=D428,'难度参数'!$E$30,0))</x:f>
        <x:v>630</x:v>
      </x:c>
      <x:c r="AF428" s="119" t="n">
        <x:f>IF(3&gt;D428,0,MAX(2,MIN('难度参数'!$E$12,ROUND(('难度参数'!$E$18*POWER(A428,'难度参数'!$E$19)/D428*(0.85+0.3*(3-1)/MAX(1,D428-1))),0)+F428)))</x:f>
        <x:v>37</x:v>
      </x:c>
      <x:c r="AG428" s="119" t="n">
        <x:f>IF(3&gt;D428,0,ROUND(('难度参数'!$E$13*POWER(A428,'难度参数'!$E$20)*MIN('难度参数'!$E$23,1+MAX(0,A428-'难度参数'!$E$21)*'难度参数'!$E$22))*(36+3*7)/(36+7*(D428+1)/2)*E428,0))</x:f>
        <x:v>9338</x:v>
      </x:c>
      <x:c r="AH428" s="119" t="n">
        <x:f>IF(AF428=0,0,(AF428-IF(3=D428,1,0))*ROUND(AG428*VLOOKUP(INDEX('章节与怪物'!$E$31:$K$37,B428,3),'章节与怪物'!$A$41:$F$44,2,FALSE),0)+IF(3=D428,ROUND(AG428*'难度参数'!$E$28*'章节与怪物'!$E$17,0),0))</x:f>
        <x:v>248751</x:v>
      </x:c>
      <x:c r="AI428" s="119" t="n">
        <x:f>IF(AF428=0,0,(AF428-IF(3=D428,1,0))*VLOOKUP(INDEX('章节与怪物'!$E$31:$K$37,B428,3),'章节与怪物'!$A$41:$F$44,4,FALSE)+IF(3=D428,'难度参数'!$E$30,0))</x:f>
        <x:v>740</x:v>
      </x:c>
      <x:c r="AJ428" s="119" t="n">
        <x:f>IF(4&gt;D428,0,MAX(2,MIN('难度参数'!$E$12,ROUND(('难度参数'!$E$18*POWER(A428,'难度参数'!$E$19)/D428*(0.85+0.3*(4-1)/MAX(1,D428-1))),0)+F428)))</x:f>
        <x:v>39</x:v>
      </x:c>
      <x:c r="AK428" s="119" t="n">
        <x:f>IF(4&gt;D428,0,ROUND(('难度参数'!$E$13*POWER(A428,'难度参数'!$E$20)*MIN('难度参数'!$E$23,1+MAX(0,A428-'难度参数'!$E$21)*'难度参数'!$E$22))*(36+4*7)/(36+7*(D428+1)/2)*E428,0))</x:f>
        <x:v>10485</x:v>
      </x:c>
      <x:c r="AL428" s="119" t="n">
        <x:f>IF(AJ428=0,0,(AJ428-IF(4=D428,1,0))*ROUND(AK428*VLOOKUP(INDEX('章节与怪物'!$E$31:$K$37,B428,4),'章节与怪物'!$A$41:$F$44,2,FALSE),0)+IF(4=D428,ROUND(AK428*'难度参数'!$E$28*'章节与怪物'!$E$17,0),0))</x:f>
        <x:v>695175</x:v>
      </x:c>
      <x:c r="AM428" s="119" t="n">
        <x:f>IF(AJ428=0,0,(AJ428-IF(4=D428,1,0))*VLOOKUP(INDEX('章节与怪物'!$E$31:$K$37,B428,4),'章节与怪物'!$A$41:$F$44,4,FALSE)+IF(4=D428,'难度参数'!$E$30,0))</x:f>
        <x:v>1092</x:v>
      </x:c>
      <x:c r="AN428" s="119" t="n">
        <x:f>IF(5&gt;D428,0,MAX(2,MIN('难度参数'!$E$12,ROUND(('难度参数'!$E$18*POWER(A428,'难度参数'!$E$19)/D428*(0.85+0.3*(5-1)/MAX(1,D428-1))),0)+F428)))</x:f>
        <x:v>41</x:v>
      </x:c>
      <x:c r="AO428" s="119" t="n">
        <x:f>IF(5&gt;D428,0,ROUND(('难度参数'!$E$13*POWER(A428,'难度参数'!$E$20)*MIN('难度参数'!$E$23,1+MAX(0,A428-'难度参数'!$E$21)*'难度参数'!$E$22))*(36+5*7)/(36+7*(D428+1)/2)*E428,0))</x:f>
        <x:v>11632</x:v>
      </x:c>
      <x:c r="AP428" s="119" t="n">
        <x:f>IF(AN428=0,0,(AN428-IF(5=D428,1,0))*ROUND(AO428*VLOOKUP(INDEX('章节与怪物'!$E$31:$K$37,B428,5),'章节与怪物'!$A$41:$F$44,2,FALSE),0)+IF(5=D428,ROUND(AO428*'难度参数'!$E$28*'章节与怪物'!$E$17,0),0))</x:f>
        <x:v>643823</x:v>
      </x:c>
      <x:c r="AQ428" s="119" t="n">
        <x:f>IF(AN428=0,0,(AN428-IF(5=D428,1,0))*VLOOKUP(INDEX('章节与怪物'!$E$31:$K$37,B428,5),'章节与怪物'!$A$41:$F$44,4,FALSE)+IF(5=D428,'难度参数'!$E$30,0))</x:f>
        <x:v>1394</x:v>
      </x:c>
      <x:c r="AR428" s="119" t="n">
        <x:f>IF(6&gt;D428,0,MAX(2,MIN('难度参数'!$E$12,ROUND(('难度参数'!$E$18*POWER(A428,'难度参数'!$E$19)/D428*(0.85+0.3*(6-1)/MAX(1,D428-1))),0)+F428)))</x:f>
        <x:v>43</x:v>
      </x:c>
      <x:c r="AS428" s="119" t="n">
        <x:f>IF(6&gt;D428,0,ROUND(('难度参数'!$E$13*POWER(A428,'难度参数'!$E$20)*MIN('难度参数'!$E$23,1+MAX(0,A428-'难度参数'!$E$21)*'难度参数'!$E$22))*(36+6*7)/(36+7*(D428+1)/2)*E428,0))</x:f>
        <x:v>12778</x:v>
      </x:c>
      <x:c r="AT428" s="119" t="n">
        <x:f>IF(AR428=0,0,(AR428-IF(6=D428,1,0))*ROUND(AS428*VLOOKUP(INDEX('章节与怪物'!$E$31:$K$37,B428,6),'章节与怪物'!$A$41:$F$44,2,FALSE),0)+IF(6=D428,ROUND(AS428*'难度参数'!$E$28*'章节与怪物'!$E$17,0),0))</x:f>
        <x:v>395600</x:v>
      </x:c>
      <x:c r="AU428" s="119" t="n">
        <x:f>IF(AR428=0,0,(AR428-IF(6=D428,1,0))*VLOOKUP(INDEX('章节与怪物'!$E$31:$K$37,B428,6),'章节与怪物'!$A$41:$F$44,4,FALSE)+IF(6=D428,'难度参数'!$E$30,0))</x:f>
        <x:v>860</x:v>
      </x:c>
      <x:c r="AV428" s="119" t="n">
        <x:f>IF(7&gt;D428,0,MAX(2,MIN('难度参数'!$E$12,ROUND(('难度参数'!$E$18*POWER(A428,'难度参数'!$E$19)/D428*(0.85+0.3*(7-1)/MAX(1,D428-1))),0)+F428)))</x:f>
        <x:v>45</x:v>
      </x:c>
      <x:c r="AW428" s="119" t="n">
        <x:f>IF(7&gt;D428,0,ROUND(('难度参数'!$E$13*POWER(A428,'难度参数'!$E$20)*MIN('难度参数'!$E$23,1+MAX(0,A428-'难度参数'!$E$21)*'难度参数'!$E$22))*(36+7*7)/(36+7*(D428+1)/2)*E428,0))</x:f>
        <x:v>13925</x:v>
      </x:c>
      <x:c r="AX428" s="119" t="n">
        <x:f>IF(AV428=0,0,(AV428-IF(7=D428,1,0))*ROUND(AW428*VLOOKUP(INDEX('章节与怪物'!$E$31:$K$37,B428,7),'章节与怪物'!$A$41:$F$44,2,FALSE),0)+IF(7=D428,ROUND(AW428*'难度参数'!$E$28*'章节与怪物'!$E$17,0),0))</x:f>
        <x:v>1136302</x:v>
      </x:c>
      <x:c r="AY428" s="119" t="n">
        <x:f>IF(AV428=0,0,(AV428-IF(7=D428,1,0))*VLOOKUP(INDEX('章节与怪物'!$E$31:$K$37,B428,7),'章节与怪物'!$A$41:$F$44,4,FALSE)+IF(7=D428,'难度参数'!$E$30,0))</x:f>
        <x:v>1432</x:v>
      </x:c>
    </x:row>
    <x:row r="429" ht="23" customHeight="1">
      <x:c r="A429" s="119" t="n">
        <x:v>423</x:v>
      </x:c>
      <x:c r="B429" s="119" t="n">
        <x:f>MOD(INT((A429-1)/5),7)+1</x:f>
        <x:v>1</x:v>
      </x:c>
      <x:c r="C429" s="62" t="str">
        <x:f>INDEX('章节与怪物'!$B$31:$B$37,B429)</x:f>
        <x:v>冰雪荒原</x:v>
      </x:c>
      <x:c r="D429" s="119" t="n">
        <x:f>MIN('难度参数'!$E$8,MAX('难度参数'!$E$7,A429))</x:f>
        <x:v>7</x:v>
      </x:c>
      <x:c r="E429" s="106" t="n">
        <x:v>1</x:v>
      </x:c>
      <x:c r="F429" s="106" t="n">
        <x:v>0</x:v>
      </x:c>
      <x:c r="G429" s="106" t="n">
        <x:v>1</x:v>
      </x:c>
      <x:c r="H429" s="119" t="n">
        <x:f>SUM(X429,AB429,AF429,AJ429,AN429,AR429,AV429)</x:f>
        <x:v>273</x:v>
      </x:c>
      <x:c r="I429" s="119" t="n">
        <x:f>SUM(Z429,AD429,AH429,AL429,AP429,AT429,AX429)</x:f>
        <x:v>3644965</x:v>
      </x:c>
      <x:c r="J429" s="119" t="n">
        <x:f>ROUND(INDEX(X429:AY429,1,(D429-1)*4+2)*'难度参数'!$E$28*'章节与怪物'!$E$17,0)</x:f>
        <x:v>94853</x:v>
      </x:c>
      <x:c r="K429" s="119" t="n">
        <x:f>SUM(AA429,AE429,AI429,AM429,AQ429,AU429,AY429)</x:f>
        <x:v>6742</x:v>
      </x:c>
      <x:c r="L429" s="62" t="n">
        <x:f>H429*(ROUNDUP('难度参数'!$E$24/('难度参数'!$E$26*'难度参数'!$E$27),0)*'难度参数'!$E$26)/60</x:f>
        <x:v>3.64</x:v>
      </x:c>
      <x:c r="M429" s="62" t="n">
        <x:f>L429+D429*('难度参数'!$E$49+'难度参数'!$E$50)/60</x:f>
        <x:v>4.806666666666667</x:v>
      </x:c>
      <x:c r="N429" s="119" t="n">
        <x:f>ROUNDDOWN(('经济参数'!$E$20+A429*'经济参数'!$E$21)*G429,0)</x:f>
        <x:v>8640</x:v>
      </x:c>
      <x:c r="O429" s="119" t="n">
        <x:f>ROUNDDOWN(MIN('经济参数'!$E$24,'经济参数'!$E$22+A429*'经济参数'!$E$23)*G429,0)</x:f>
        <x:v>0</x:v>
      </x:c>
      <x:c r="P429" s="119" t="n">
        <x:f>ROUNDDOWN((IF(A429&gt;='材料与任务'!$E$31,'材料与任务'!$E$32,IF(A429&gt;='材料与任务'!$E$25,'材料与任务'!$E$26,IF(A429&gt;='材料与任务'!$E$19,'材料与任务'!$E$20,IF(A429&gt;='材料与任务'!$E$13,'材料与任务'!$E$14,'材料与任务'!$E$8)))))*G429,0)</x:f>
        <x:v>6</x:v>
      </x:c>
      <x:c r="Q429" s="119" t="n">
        <x:f>ROUNDDOWN((IF(A429&gt;='材料与任务'!$E$31,'材料与任务'!$E$33,IF(A429&gt;='材料与任务'!$E$25,'材料与任务'!$E$27,IF(A429&gt;='材料与任务'!$E$19,'材料与任务'!$E$21,IF(A429&gt;='材料与任务'!$E$13,'材料与任务'!$E$15,'材料与任务'!$E$9)))))*G429,0)</x:f>
        <x:v>3</x:v>
      </x:c>
      <x:c r="R429" s="110" t="n">
        <x:f>'装备掉落'!$B$38</x:f>
        <x:v>0.6872058758851213</x:v>
      </x:c>
      <x:c r="S429" s="119" t="n">
        <x:f>MAX(IF(VLOOKUP(A429,'装备掉落'!$A$29:$H$34,2,TRUE)&gt;0,1,0),IF(VLOOKUP(A429,'装备掉落'!$A$29:$H$34,3,TRUE)&gt;0,2,0),IF(VLOOKUP(A429,'装备掉落'!$A$29:$H$34,4,TRUE)&gt;0,3,0),IF(VLOOKUP(A429,'装备掉落'!$A$29:$H$34,5,TRUE)&gt;0,4,0),IF(VLOOKUP(A429,'装备掉落'!$A$29:$H$34,6,TRUE)&gt;0,5,0),IF(VLOOKUP(A429,'装备掉落'!$A$29:$H$34,7,TRUE)&gt;0,6,0),IF(VLOOKUP(A429,'装备掉落'!$A$29:$H$34,8,TRUE)&gt;0,7,0))</x:f>
        <x:v>7</x:v>
      </x:c>
      <x:c r="T429" s="119" t="n">
        <x:f>MIN(7,S429+'经济参数'!$E$70)</x:f>
        <x:v>7</x:v>
      </x:c>
      <x:c r="U429" s="119" t="n">
        <x:f>MIN(7,S429+'经济参数'!$E$71)</x:f>
        <x:v>7</x:v>
      </x:c>
      <x:c r="V429" s="119" t="n">
        <x:f>IF(H429&gt;=('难度参数'!$E$52),1,0)+IF(H429&gt;=('难度参数'!$E$52+'难度参数'!$E$53),1,0)+IF(H429&gt;=('难度参数'!$E$52+'难度参数'!$E$53+'难度参数'!$E$54),1,0)+IF(H429&gt;=('难度参数'!$E$52+'难度参数'!$E$53+'难度参数'!$E$54+'难度参数'!$E$55),1,0)+IF(H429&gt;=('难度参数'!$E$52+'难度参数'!$E$53+'难度参数'!$E$54+'难度参数'!$E$55+'难度参数'!$E$56),1,0)+IF(H429&gt;=('难度参数'!$E$52+'难度参数'!$E$53+'难度参数'!$E$54+'难度参数'!$E$55+'难度参数'!$E$56+'难度参数'!$E$57),1,0)</x:f>
        <x:v>6</x:v>
      </x:c>
      <x:c r="W429" s="62" t="str">
        <x:f>IF(L429&gt;'难度参数'!$E$51,"仅出怪已超目标","还需实测")</x:f>
        <x:v>仅出怪已超目标</x:v>
      </x:c>
      <x:c r="X429" s="119" t="n">
        <x:f>IF(1&gt;D429,0,MAX(2,MIN('难度参数'!$E$12,ROUND(('难度参数'!$E$18*POWER(A429,'难度参数'!$E$19)/D429*(0.85+0.3*(1-1)/MAX(1,D429-1))),0)+F429)))</x:f>
        <x:v>33</x:v>
      </x:c>
      <x:c r="Y429" s="119" t="n">
        <x:f>IF(1&gt;D429,0,ROUND(('难度参数'!$E$13*POWER(A429,'难度参数'!$E$20)*MIN('难度参数'!$E$23,1+MAX(0,A429-'难度参数'!$E$21)*'难度参数'!$E$22))*(36+1*7)/(36+7*(D429+1)/2)*E429,0))</x:f>
        <x:v>7056</x:v>
      </x:c>
      <x:c r="Z429" s="119" t="n">
        <x:f>IF(X429=0,0,(X429-IF(1=D429,1,0))*ROUND(Y429*VLOOKUP(INDEX('章节与怪物'!$E$31:$K$37,B429,1),'章节与怪物'!$A$41:$F$44,2,FALSE),0)+IF(1=D429,ROUND(Y429*'难度参数'!$E$28*'章节与怪物'!$E$17,0),0))</x:f>
        <x:v>232848</x:v>
      </x:c>
      <x:c r="AA429" s="119" t="n">
        <x:f>IF(X429=0,0,(X429-IF(1=D429,1,0))*VLOOKUP(INDEX('章节与怪物'!$E$31:$K$37,B429,1),'章节与怪物'!$A$41:$F$44,4,FALSE)+IF(1=D429,'难度参数'!$E$30,0))</x:f>
        <x:v>594</x:v>
      </x:c>
      <x:c r="AB429" s="119" t="n">
        <x:f>IF(2&gt;D429,0,MAX(2,MIN('难度参数'!$E$12,ROUND(('难度参数'!$E$18*POWER(A429,'难度参数'!$E$19)/D429*(0.85+0.3*(2-1)/MAX(1,D429-1))),0)+F429)))</x:f>
        <x:v>35</x:v>
      </x:c>
      <x:c r="AC429" s="119" t="n">
        <x:f>IF(2&gt;D429,0,ROUND(('难度参数'!$E$13*POWER(A429,'难度参数'!$E$20)*MIN('难度参数'!$E$23,1+MAX(0,A429-'难度参数'!$E$21)*'难度参数'!$E$22))*(36+2*7)/(36+7*(D429+1)/2)*E429,0))</x:f>
        <x:v>8205</x:v>
      </x:c>
      <x:c r="AD429" s="119" t="n">
        <x:f>IF(AB429=0,0,(AB429-IF(2=D429,1,0))*ROUND(AC429*VLOOKUP(INDEX('章节与怪物'!$E$31:$K$37,B429,2),'章节与怪物'!$A$41:$F$44,2,FALSE),0)+IF(2=D429,ROUND(AC429*'难度参数'!$E$28*'章节与怪物'!$E$17,0),0))</x:f>
        <x:v>287175</x:v>
      </x:c>
      <x:c r="AE429" s="119" t="n">
        <x:f>IF(AB429=0,0,(AB429-IF(2=D429,1,0))*VLOOKUP(INDEX('章节与怪物'!$E$31:$K$37,B429,2),'章节与怪物'!$A$41:$F$44,4,FALSE)+IF(2=D429,'难度参数'!$E$30,0))</x:f>
        <x:v>630</x:v>
      </x:c>
      <x:c r="AF429" s="119" t="n">
        <x:f>IF(3&gt;D429,0,MAX(2,MIN('难度参数'!$E$12,ROUND(('难度参数'!$E$18*POWER(A429,'难度参数'!$E$19)/D429*(0.85+0.3*(3-1)/MAX(1,D429-1))),0)+F429)))</x:f>
        <x:v>37</x:v>
      </x:c>
      <x:c r="AG429" s="119" t="n">
        <x:f>IF(3&gt;D429,0,ROUND(('难度参数'!$E$13*POWER(A429,'难度参数'!$E$20)*MIN('难度参数'!$E$23,1+MAX(0,A429-'难度参数'!$E$21)*'难度参数'!$E$22))*(36+3*7)/(36+7*(D429+1)/2)*E429,0))</x:f>
        <x:v>9354</x:v>
      </x:c>
      <x:c r="AH429" s="119" t="n">
        <x:f>IF(AF429=0,0,(AF429-IF(3=D429,1,0))*ROUND(AG429*VLOOKUP(INDEX('章节与怪物'!$E$31:$K$37,B429,3),'章节与怪物'!$A$41:$F$44,2,FALSE),0)+IF(3=D429,ROUND(AG429*'难度参数'!$E$28*'章节与怪物'!$E$17,0),0))</x:f>
        <x:v>249195</x:v>
      </x:c>
      <x:c r="AI429" s="119" t="n">
        <x:f>IF(AF429=0,0,(AF429-IF(3=D429,1,0))*VLOOKUP(INDEX('章节与怪物'!$E$31:$K$37,B429,3),'章节与怪物'!$A$41:$F$44,4,FALSE)+IF(3=D429,'难度参数'!$E$30,0))</x:f>
        <x:v>740</x:v>
      </x:c>
      <x:c r="AJ429" s="119" t="n">
        <x:f>IF(4&gt;D429,0,MAX(2,MIN('难度参数'!$E$12,ROUND(('难度参数'!$E$18*POWER(A429,'难度参数'!$E$19)/D429*(0.85+0.3*(4-1)/MAX(1,D429-1))),0)+F429)))</x:f>
        <x:v>39</x:v>
      </x:c>
      <x:c r="AK429" s="119" t="n">
        <x:f>IF(4&gt;D429,0,ROUND(('难度参数'!$E$13*POWER(A429,'难度参数'!$E$20)*MIN('难度参数'!$E$23,1+MAX(0,A429-'难度参数'!$E$21)*'难度参数'!$E$22))*(36+4*7)/(36+7*(D429+1)/2)*E429,0))</x:f>
        <x:v>10503</x:v>
      </x:c>
      <x:c r="AL429" s="119" t="n">
        <x:f>IF(AJ429=0,0,(AJ429-IF(4=D429,1,0))*ROUND(AK429*VLOOKUP(INDEX('章节与怪物'!$E$31:$K$37,B429,4),'章节与怪物'!$A$41:$F$44,2,FALSE),0)+IF(4=D429,ROUND(AK429*'难度参数'!$E$28*'章节与怪物'!$E$17,0),0))</x:f>
        <x:v>696345</x:v>
      </x:c>
      <x:c r="AM429" s="119" t="n">
        <x:f>IF(AJ429=0,0,(AJ429-IF(4=D429,1,0))*VLOOKUP(INDEX('章节与怪物'!$E$31:$K$37,B429,4),'章节与怪物'!$A$41:$F$44,4,FALSE)+IF(4=D429,'难度参数'!$E$30,0))</x:f>
        <x:v>1092</x:v>
      </x:c>
      <x:c r="AN429" s="119" t="n">
        <x:f>IF(5&gt;D429,0,MAX(2,MIN('难度参数'!$E$12,ROUND(('难度参数'!$E$18*POWER(A429,'难度参数'!$E$19)/D429*(0.85+0.3*(5-1)/MAX(1,D429-1))),0)+F429)))</x:f>
        <x:v>41</x:v>
      </x:c>
      <x:c r="AO429" s="119" t="n">
        <x:f>IF(5&gt;D429,0,ROUND(('难度参数'!$E$13*POWER(A429,'难度参数'!$E$20)*MIN('难度参数'!$E$23,1+MAX(0,A429-'难度参数'!$E$21)*'难度参数'!$E$22))*(36+5*7)/(36+7*(D429+1)/2)*E429,0))</x:f>
        <x:v>11651</x:v>
      </x:c>
      <x:c r="AP429" s="119" t="n">
        <x:f>IF(AN429=0,0,(AN429-IF(5=D429,1,0))*ROUND(AO429*VLOOKUP(INDEX('章节与怪物'!$E$31:$K$37,B429,5),'章节与怪物'!$A$41:$F$44,2,FALSE),0)+IF(5=D429,ROUND(AO429*'难度参数'!$E$28*'章节与怪物'!$E$17,0),0))</x:f>
        <x:v>644889</x:v>
      </x:c>
      <x:c r="AQ429" s="119" t="n">
        <x:f>IF(AN429=0,0,(AN429-IF(5=D429,1,0))*VLOOKUP(INDEX('章节与怪物'!$E$31:$K$37,B429,5),'章节与怪物'!$A$41:$F$44,4,FALSE)+IF(5=D429,'难度参数'!$E$30,0))</x:f>
        <x:v>1394</x:v>
      </x:c>
      <x:c r="AR429" s="119" t="n">
        <x:f>IF(6&gt;D429,0,MAX(2,MIN('难度参数'!$E$12,ROUND(('难度参数'!$E$18*POWER(A429,'难度参数'!$E$19)/D429*(0.85+0.3*(6-1)/MAX(1,D429-1))),0)+F429)))</x:f>
        <x:v>43</x:v>
      </x:c>
      <x:c r="AS429" s="119" t="n">
        <x:f>IF(6&gt;D429,0,ROUND(('难度参数'!$E$13*POWER(A429,'难度参数'!$E$20)*MIN('难度参数'!$E$23,1+MAX(0,A429-'难度参数'!$E$21)*'难度参数'!$E$22))*(36+6*7)/(36+7*(D429+1)/2)*E429,0))</x:f>
        <x:v>12800</x:v>
      </x:c>
      <x:c r="AT429" s="119" t="n">
        <x:f>IF(AR429=0,0,(AR429-IF(6=D429,1,0))*ROUND(AS429*VLOOKUP(INDEX('章节与怪物'!$E$31:$K$37,B429,6),'章节与怪物'!$A$41:$F$44,2,FALSE),0)+IF(6=D429,ROUND(AS429*'难度参数'!$E$28*'章节与怪物'!$E$17,0),0))</x:f>
        <x:v>396288</x:v>
      </x:c>
      <x:c r="AU429" s="119" t="n">
        <x:f>IF(AR429=0,0,(AR429-IF(6=D429,1,0))*VLOOKUP(INDEX('章节与怪物'!$E$31:$K$37,B429,6),'章节与怪物'!$A$41:$F$44,4,FALSE)+IF(6=D429,'难度参数'!$E$30,0))</x:f>
        <x:v>860</x:v>
      </x:c>
      <x:c r="AV429" s="119" t="n">
        <x:f>IF(7&gt;D429,0,MAX(2,MIN('难度参数'!$E$12,ROUND(('难度参数'!$E$18*POWER(A429,'难度参数'!$E$19)/D429*(0.85+0.3*(7-1)/MAX(1,D429-1))),0)+F429)))</x:f>
        <x:v>45</x:v>
      </x:c>
      <x:c r="AW429" s="119" t="n">
        <x:f>IF(7&gt;D429,0,ROUND(('难度参数'!$E$13*POWER(A429,'难度参数'!$E$20)*MIN('难度参数'!$E$23,1+MAX(0,A429-'难度参数'!$E$21)*'难度参数'!$E$22))*(36+7*7)/(36+7*(D429+1)/2)*E429,0))</x:f>
        <x:v>13949</x:v>
      </x:c>
      <x:c r="AX429" s="119" t="n">
        <x:f>IF(AV429=0,0,(AV429-IF(7=D429,1,0))*ROUND(AW429*VLOOKUP(INDEX('章节与怪物'!$E$31:$K$37,B429,7),'章节与怪物'!$A$41:$F$44,2,FALSE),0)+IF(7=D429,ROUND(AW429*'难度参数'!$E$28*'章节与怪物'!$E$17,0),0))</x:f>
        <x:v>1138225</x:v>
      </x:c>
      <x:c r="AY429" s="119" t="n">
        <x:f>IF(AV429=0,0,(AV429-IF(7=D429,1,0))*VLOOKUP(INDEX('章节与怪物'!$E$31:$K$37,B429,7),'章节与怪物'!$A$41:$F$44,4,FALSE)+IF(7=D429,'难度参数'!$E$30,0))</x:f>
        <x:v>1432</x:v>
      </x:c>
    </x:row>
    <x:row r="430" ht="23" customHeight="1">
      <x:c r="A430" s="119" t="n">
        <x:v>424</x:v>
      </x:c>
      <x:c r="B430" s="119" t="n">
        <x:f>MOD(INT((A430-1)/5),7)+1</x:f>
        <x:v>1</x:v>
      </x:c>
      <x:c r="C430" s="62" t="str">
        <x:f>INDEX('章节与怪物'!$B$31:$B$37,B430)</x:f>
        <x:v>冰雪荒原</x:v>
      </x:c>
      <x:c r="D430" s="119" t="n">
        <x:f>MIN('难度参数'!$E$8,MAX('难度参数'!$E$7,A430))</x:f>
        <x:v>7</x:v>
      </x:c>
      <x:c r="E430" s="106" t="n">
        <x:v>1</x:v>
      </x:c>
      <x:c r="F430" s="106" t="n">
        <x:v>0</x:v>
      </x:c>
      <x:c r="G430" s="106" t="n">
        <x:v>1</x:v>
      </x:c>
      <x:c r="H430" s="119" t="n">
        <x:f>SUM(X430,AB430,AF430,AJ430,AN430,AR430,AV430)</x:f>
        <x:v>273</x:v>
      </x:c>
      <x:c r="I430" s="119" t="n">
        <x:f>SUM(Z430,AD430,AH430,AL430,AP430,AT430,AX430)</x:f>
        <x:v>3651229</x:v>
      </x:c>
      <x:c r="J430" s="119" t="n">
        <x:f>ROUND(INDEX(X430:AY430,1,(D430-1)*4+2)*'难度参数'!$E$28*'章节与怪物'!$E$17,0)</x:f>
        <x:v>95016</x:v>
      </x:c>
      <x:c r="K430" s="119" t="n">
        <x:f>SUM(AA430,AE430,AI430,AM430,AQ430,AU430,AY430)</x:f>
        <x:v>6742</x:v>
      </x:c>
      <x:c r="L430" s="62" t="n">
        <x:f>H430*(ROUNDUP('难度参数'!$E$24/('难度参数'!$E$26*'难度参数'!$E$27),0)*'难度参数'!$E$26)/60</x:f>
        <x:v>3.64</x:v>
      </x:c>
      <x:c r="M430" s="62" t="n">
        <x:f>L430+D430*('难度参数'!$E$49+'难度参数'!$E$50)/60</x:f>
        <x:v>4.806666666666667</x:v>
      </x:c>
      <x:c r="N430" s="119" t="n">
        <x:f>ROUNDDOWN(('经济参数'!$E$20+A430*'经济参数'!$E$21)*G430,0)</x:f>
        <x:v>8660</x:v>
      </x:c>
      <x:c r="O430" s="119" t="n">
        <x:f>ROUNDDOWN(MIN('经济参数'!$E$24,'经济参数'!$E$22+A430*'经济参数'!$E$23)*G430,0)</x:f>
        <x:v>0</x:v>
      </x:c>
      <x:c r="P430" s="119" t="n">
        <x:f>ROUNDDOWN((IF(A430&gt;='材料与任务'!$E$31,'材料与任务'!$E$32,IF(A430&gt;='材料与任务'!$E$25,'材料与任务'!$E$26,IF(A430&gt;='材料与任务'!$E$19,'材料与任务'!$E$20,IF(A430&gt;='材料与任务'!$E$13,'材料与任务'!$E$14,'材料与任务'!$E$8)))))*G430,0)</x:f>
        <x:v>6</x:v>
      </x:c>
      <x:c r="Q430" s="119" t="n">
        <x:f>ROUNDDOWN((IF(A430&gt;='材料与任务'!$E$31,'材料与任务'!$E$33,IF(A430&gt;='材料与任务'!$E$25,'材料与任务'!$E$27,IF(A430&gt;='材料与任务'!$E$19,'材料与任务'!$E$21,IF(A430&gt;='材料与任务'!$E$13,'材料与任务'!$E$15,'材料与任务'!$E$9)))))*G430,0)</x:f>
        <x:v>3</x:v>
      </x:c>
      <x:c r="R430" s="110" t="n">
        <x:f>'装备掉落'!$B$38</x:f>
        <x:v>0.6872058758851213</x:v>
      </x:c>
      <x:c r="S430" s="119" t="n">
        <x:f>MAX(IF(VLOOKUP(A430,'装备掉落'!$A$29:$H$34,2,TRUE)&gt;0,1,0),IF(VLOOKUP(A430,'装备掉落'!$A$29:$H$34,3,TRUE)&gt;0,2,0),IF(VLOOKUP(A430,'装备掉落'!$A$29:$H$34,4,TRUE)&gt;0,3,0),IF(VLOOKUP(A430,'装备掉落'!$A$29:$H$34,5,TRUE)&gt;0,4,0),IF(VLOOKUP(A430,'装备掉落'!$A$29:$H$34,6,TRUE)&gt;0,5,0),IF(VLOOKUP(A430,'装备掉落'!$A$29:$H$34,7,TRUE)&gt;0,6,0),IF(VLOOKUP(A430,'装备掉落'!$A$29:$H$34,8,TRUE)&gt;0,7,0))</x:f>
        <x:v>7</x:v>
      </x:c>
      <x:c r="T430" s="119" t="n">
        <x:f>MIN(7,S430+'经济参数'!$E$70)</x:f>
        <x:v>7</x:v>
      </x:c>
      <x:c r="U430" s="119" t="n">
        <x:f>MIN(7,S430+'经济参数'!$E$71)</x:f>
        <x:v>7</x:v>
      </x:c>
      <x:c r="V430" s="119" t="n">
        <x:f>IF(H430&gt;=('难度参数'!$E$52),1,0)+IF(H430&gt;=('难度参数'!$E$52+'难度参数'!$E$53),1,0)+IF(H430&gt;=('难度参数'!$E$52+'难度参数'!$E$53+'难度参数'!$E$54),1,0)+IF(H430&gt;=('难度参数'!$E$52+'难度参数'!$E$53+'难度参数'!$E$54+'难度参数'!$E$55),1,0)+IF(H430&gt;=('难度参数'!$E$52+'难度参数'!$E$53+'难度参数'!$E$54+'难度参数'!$E$55+'难度参数'!$E$56),1,0)+IF(H430&gt;=('难度参数'!$E$52+'难度参数'!$E$53+'难度参数'!$E$54+'难度参数'!$E$55+'难度参数'!$E$56+'难度参数'!$E$57),1,0)</x:f>
        <x:v>6</x:v>
      </x:c>
      <x:c r="W430" s="62" t="str">
        <x:f>IF(L430&gt;'难度参数'!$E$51,"仅出怪已超目标","还需实测")</x:f>
        <x:v>仅出怪已超目标</x:v>
      </x:c>
      <x:c r="X430" s="119" t="n">
        <x:f>IF(1&gt;D430,0,MAX(2,MIN('难度参数'!$E$12,ROUND(('难度参数'!$E$18*POWER(A430,'难度参数'!$E$19)/D430*(0.85+0.3*(1-1)/MAX(1,D430-1))),0)+F430)))</x:f>
        <x:v>33</x:v>
      </x:c>
      <x:c r="Y430" s="119" t="n">
        <x:f>IF(1&gt;D430,0,ROUND(('难度参数'!$E$13*POWER(A430,'难度参数'!$E$20)*MIN('难度参数'!$E$23,1+MAX(0,A430-'难度参数'!$E$21)*'难度参数'!$E$22))*(36+1*7)/(36+7*(D430+1)/2)*E430,0))</x:f>
        <x:v>7068</x:v>
      </x:c>
      <x:c r="Z430" s="119" t="n">
        <x:f>IF(X430=0,0,(X430-IF(1=D430,1,0))*ROUND(Y430*VLOOKUP(INDEX('章节与怪物'!$E$31:$K$37,B430,1),'章节与怪物'!$A$41:$F$44,2,FALSE),0)+IF(1=D430,ROUND(Y430*'难度参数'!$E$28*'章节与怪物'!$E$17,0),0))</x:f>
        <x:v>233244</x:v>
      </x:c>
      <x:c r="AA430" s="119" t="n">
        <x:f>IF(X430=0,0,(X430-IF(1=D430,1,0))*VLOOKUP(INDEX('章节与怪物'!$E$31:$K$37,B430,1),'章节与怪物'!$A$41:$F$44,4,FALSE)+IF(1=D430,'难度参数'!$E$30,0))</x:f>
        <x:v>594</x:v>
      </x:c>
      <x:c r="AB430" s="119" t="n">
        <x:f>IF(2&gt;D430,0,MAX(2,MIN('难度参数'!$E$12,ROUND(('难度参数'!$E$18*POWER(A430,'难度参数'!$E$19)/D430*(0.85+0.3*(2-1)/MAX(1,D430-1))),0)+F430)))</x:f>
        <x:v>35</x:v>
      </x:c>
      <x:c r="AC430" s="119" t="n">
        <x:f>IF(2&gt;D430,0,ROUND(('难度参数'!$E$13*POWER(A430,'难度参数'!$E$20)*MIN('难度参数'!$E$23,1+MAX(0,A430-'难度参数'!$E$21)*'难度参数'!$E$22))*(36+2*7)/(36+7*(D430+1)/2)*E430,0))</x:f>
        <x:v>8219</x:v>
      </x:c>
      <x:c r="AD430" s="119" t="n">
        <x:f>IF(AB430=0,0,(AB430-IF(2=D430,1,0))*ROUND(AC430*VLOOKUP(INDEX('章节与怪物'!$E$31:$K$37,B430,2),'章节与怪物'!$A$41:$F$44,2,FALSE),0)+IF(2=D430,ROUND(AC430*'难度参数'!$E$28*'章节与怪物'!$E$17,0),0))</x:f>
        <x:v>287665</x:v>
      </x:c>
      <x:c r="AE430" s="119" t="n">
        <x:f>IF(AB430=0,0,(AB430-IF(2=D430,1,0))*VLOOKUP(INDEX('章节与怪物'!$E$31:$K$37,B430,2),'章节与怪物'!$A$41:$F$44,4,FALSE)+IF(2=D430,'难度参数'!$E$30,0))</x:f>
        <x:v>630</x:v>
      </x:c>
      <x:c r="AF430" s="119" t="n">
        <x:f>IF(3&gt;D430,0,MAX(2,MIN('难度参数'!$E$12,ROUND(('难度参数'!$E$18*POWER(A430,'难度参数'!$E$19)/D430*(0.85+0.3*(3-1)/MAX(1,D430-1))),0)+F430)))</x:f>
        <x:v>37</x:v>
      </x:c>
      <x:c r="AG430" s="119" t="n">
        <x:f>IF(3&gt;D430,0,ROUND(('难度参数'!$E$13*POWER(A430,'难度参数'!$E$20)*MIN('难度参数'!$E$23,1+MAX(0,A430-'难度参数'!$E$21)*'难度参数'!$E$22))*(36+3*7)/(36+7*(D430+1)/2)*E430,0))</x:f>
        <x:v>9370</x:v>
      </x:c>
      <x:c r="AH430" s="119" t="n">
        <x:f>IF(AF430=0,0,(AF430-IF(3=D430,1,0))*ROUND(AG430*VLOOKUP(INDEX('章节与怪物'!$E$31:$K$37,B430,3),'章节与怪物'!$A$41:$F$44,2,FALSE),0)+IF(3=D430,ROUND(AG430*'难度参数'!$E$28*'章节与怪物'!$E$17,0),0))</x:f>
        <x:v>249602</x:v>
      </x:c>
      <x:c r="AI430" s="119" t="n">
        <x:f>IF(AF430=0,0,(AF430-IF(3=D430,1,0))*VLOOKUP(INDEX('章节与怪物'!$E$31:$K$37,B430,3),'章节与怪物'!$A$41:$F$44,4,FALSE)+IF(3=D430,'难度参数'!$E$30,0))</x:f>
        <x:v>740</x:v>
      </x:c>
      <x:c r="AJ430" s="119" t="n">
        <x:f>IF(4&gt;D430,0,MAX(2,MIN('难度参数'!$E$12,ROUND(('难度参数'!$E$18*POWER(A430,'难度参数'!$E$19)/D430*(0.85+0.3*(4-1)/MAX(1,D430-1))),0)+F430)))</x:f>
        <x:v>39</x:v>
      </x:c>
      <x:c r="AK430" s="119" t="n">
        <x:f>IF(4&gt;D430,0,ROUND(('难度参数'!$E$13*POWER(A430,'难度参数'!$E$20)*MIN('难度参数'!$E$23,1+MAX(0,A430-'难度参数'!$E$21)*'难度参数'!$E$22))*(36+4*7)/(36+7*(D430+1)/2)*E430,0))</x:f>
        <x:v>10521</x:v>
      </x:c>
      <x:c r="AL430" s="119" t="n">
        <x:f>IF(AJ430=0,0,(AJ430-IF(4=D430,1,0))*ROUND(AK430*VLOOKUP(INDEX('章节与怪物'!$E$31:$K$37,B430,4),'章节与怪物'!$A$41:$F$44,2,FALSE),0)+IF(4=D430,ROUND(AK430*'难度参数'!$E$28*'章节与怪物'!$E$17,0),0))</x:f>
        <x:v>697554</x:v>
      </x:c>
      <x:c r="AM430" s="119" t="n">
        <x:f>IF(AJ430=0,0,(AJ430-IF(4=D430,1,0))*VLOOKUP(INDEX('章节与怪物'!$E$31:$K$37,B430,4),'章节与怪物'!$A$41:$F$44,4,FALSE)+IF(4=D430,'难度参数'!$E$30,0))</x:f>
        <x:v>1092</x:v>
      </x:c>
      <x:c r="AN430" s="119" t="n">
        <x:f>IF(5&gt;D430,0,MAX(2,MIN('难度参数'!$E$12,ROUND(('难度参数'!$E$18*POWER(A430,'难度参数'!$E$19)/D430*(0.85+0.3*(5-1)/MAX(1,D430-1))),0)+F430)))</x:f>
        <x:v>41</x:v>
      </x:c>
      <x:c r="AO430" s="119" t="n">
        <x:f>IF(5&gt;D430,0,ROUND(('难度参数'!$E$13*POWER(A430,'难度参数'!$E$20)*MIN('难度参数'!$E$23,1+MAX(0,A430-'难度参数'!$E$21)*'难度参数'!$E$22))*(36+5*7)/(36+7*(D430+1)/2)*E430,0))</x:f>
        <x:v>11671</x:v>
      </x:c>
      <x:c r="AP430" s="119" t="n">
        <x:f>IF(AN430=0,0,(AN430-IF(5=D430,1,0))*ROUND(AO430*VLOOKUP(INDEX('章节与怪物'!$E$31:$K$37,B430,5),'章节与怪物'!$A$41:$F$44,2,FALSE),0)+IF(5=D430,ROUND(AO430*'难度参数'!$E$28*'章节与怪物'!$E$17,0),0))</x:f>
        <x:v>645996</x:v>
      </x:c>
      <x:c r="AQ430" s="119" t="n">
        <x:f>IF(AN430=0,0,(AN430-IF(5=D430,1,0))*VLOOKUP(INDEX('章节与怪物'!$E$31:$K$37,B430,5),'章节与怪物'!$A$41:$F$44,4,FALSE)+IF(5=D430,'难度参数'!$E$30,0))</x:f>
        <x:v>1394</x:v>
      </x:c>
      <x:c r="AR430" s="119" t="n">
        <x:f>IF(6&gt;D430,0,MAX(2,MIN('难度参数'!$E$12,ROUND(('难度参数'!$E$18*POWER(A430,'难度参数'!$E$19)/D430*(0.85+0.3*(6-1)/MAX(1,D430-1))),0)+F430)))</x:f>
        <x:v>43</x:v>
      </x:c>
      <x:c r="AS430" s="119" t="n">
        <x:f>IF(6&gt;D430,0,ROUND(('难度参数'!$E$13*POWER(A430,'难度参数'!$E$20)*MIN('难度参数'!$E$23,1+MAX(0,A430-'难度参数'!$E$21)*'难度参数'!$E$22))*(36+6*7)/(36+7*(D430+1)/2)*E430,0))</x:f>
        <x:v>12822</x:v>
      </x:c>
      <x:c r="AT430" s="119" t="n">
        <x:f>IF(AR430=0,0,(AR430-IF(6=D430,1,0))*ROUND(AS430*VLOOKUP(INDEX('章节与怪物'!$E$31:$K$37,B430,6),'章节与怪物'!$A$41:$F$44,2,FALSE),0)+IF(6=D430,ROUND(AS430*'难度参数'!$E$28*'章节与怪物'!$E$17,0),0))</x:f>
        <x:v>396976</x:v>
      </x:c>
      <x:c r="AU430" s="119" t="n">
        <x:f>IF(AR430=0,0,(AR430-IF(6=D430,1,0))*VLOOKUP(INDEX('章节与怪物'!$E$31:$K$37,B430,6),'章节与怪物'!$A$41:$F$44,4,FALSE)+IF(6=D430,'难度参数'!$E$30,0))</x:f>
        <x:v>860</x:v>
      </x:c>
      <x:c r="AV430" s="119" t="n">
        <x:f>IF(7&gt;D430,0,MAX(2,MIN('难度参数'!$E$12,ROUND(('难度参数'!$E$18*POWER(A430,'难度参数'!$E$19)/D430*(0.85+0.3*(7-1)/MAX(1,D430-1))),0)+F430)))</x:f>
        <x:v>45</x:v>
      </x:c>
      <x:c r="AW430" s="119" t="n">
        <x:f>IF(7&gt;D430,0,ROUND(('难度参数'!$E$13*POWER(A430,'难度参数'!$E$20)*MIN('难度参数'!$E$23,1+MAX(0,A430-'难度参数'!$E$21)*'难度参数'!$E$22))*(36+7*7)/(36+7*(D430+1)/2)*E430,0))</x:f>
        <x:v>13973</x:v>
      </x:c>
      <x:c r="AX430" s="119" t="n">
        <x:f>IF(AV430=0,0,(AV430-IF(7=D430,1,0))*ROUND(AW430*VLOOKUP(INDEX('章节与怪物'!$E$31:$K$37,B430,7),'章节与怪物'!$A$41:$F$44,2,FALSE),0)+IF(7=D430,ROUND(AW430*'难度参数'!$E$28*'章节与怪物'!$E$17,0),0))</x:f>
        <x:v>1140192</x:v>
      </x:c>
      <x:c r="AY430" s="119" t="n">
        <x:f>IF(AV430=0,0,(AV430-IF(7=D430,1,0))*VLOOKUP(INDEX('章节与怪物'!$E$31:$K$37,B430,7),'章节与怪物'!$A$41:$F$44,4,FALSE)+IF(7=D430,'难度参数'!$E$30,0))</x:f>
        <x:v>1432</x:v>
      </x:c>
    </x:row>
    <x:row r="431" ht="23" customHeight="1">
      <x:c r="A431" s="119" t="n">
        <x:v>425</x:v>
      </x:c>
      <x:c r="B431" s="119" t="n">
        <x:f>MOD(INT((A431-1)/5),7)+1</x:f>
        <x:v>1</x:v>
      </x:c>
      <x:c r="C431" s="62" t="str">
        <x:f>INDEX('章节与怪物'!$B$31:$B$37,B431)</x:f>
        <x:v>冰雪荒原</x:v>
      </x:c>
      <x:c r="D431" s="119" t="n">
        <x:f>MIN('难度参数'!$E$8,MAX('难度参数'!$E$7,A431))</x:f>
        <x:v>7</x:v>
      </x:c>
      <x:c r="E431" s="106" t="n">
        <x:v>1</x:v>
      </x:c>
      <x:c r="F431" s="106" t="n">
        <x:v>0</x:v>
      </x:c>
      <x:c r="G431" s="106" t="n">
        <x:v>1</x:v>
      </x:c>
      <x:c r="H431" s="119" t="n">
        <x:f>SUM(X431,AB431,AF431,AJ431,AN431,AR431,AV431)</x:f>
        <x:v>273</x:v>
      </x:c>
      <x:c r="I431" s="119" t="n">
        <x:f>SUM(Z431,AD431,AH431,AL431,AP431,AT431,AX431)</x:f>
        <x:v>3657358</x:v>
      </x:c>
      <x:c r="J431" s="119" t="n">
        <x:f>ROUND(INDEX(X431:AY431,1,(D431-1)*4+2)*'难度参数'!$E$28*'章节与怪物'!$E$17,0)</x:f>
        <x:v>95173</x:v>
      </x:c>
      <x:c r="K431" s="119" t="n">
        <x:f>SUM(AA431,AE431,AI431,AM431,AQ431,AU431,AY431)</x:f>
        <x:v>6742</x:v>
      </x:c>
      <x:c r="L431" s="62" t="n">
        <x:f>H431*(ROUNDUP('难度参数'!$E$24/('难度参数'!$E$26*'难度参数'!$E$27),0)*'难度参数'!$E$26)/60</x:f>
        <x:v>3.64</x:v>
      </x:c>
      <x:c r="M431" s="62" t="n">
        <x:f>L431+D431*('难度参数'!$E$49+'难度参数'!$E$50)/60</x:f>
        <x:v>4.806666666666667</x:v>
      </x:c>
      <x:c r="N431" s="119" t="n">
        <x:f>ROUNDDOWN(('经济参数'!$E$20+A431*'经济参数'!$E$21)*G431,0)</x:f>
        <x:v>8680</x:v>
      </x:c>
      <x:c r="O431" s="119" t="n">
        <x:f>ROUNDDOWN(MIN('经济参数'!$E$24,'经济参数'!$E$22+A431*'经济参数'!$E$23)*G431,0)</x:f>
        <x:v>0</x:v>
      </x:c>
      <x:c r="P431" s="119" t="n">
        <x:f>ROUNDDOWN((IF(A431&gt;='材料与任务'!$E$31,'材料与任务'!$E$32,IF(A431&gt;='材料与任务'!$E$25,'材料与任务'!$E$26,IF(A431&gt;='材料与任务'!$E$19,'材料与任务'!$E$20,IF(A431&gt;='材料与任务'!$E$13,'材料与任务'!$E$14,'材料与任务'!$E$8)))))*G431,0)</x:f>
        <x:v>6</x:v>
      </x:c>
      <x:c r="Q431" s="119" t="n">
        <x:f>ROUNDDOWN((IF(A431&gt;='材料与任务'!$E$31,'材料与任务'!$E$33,IF(A431&gt;='材料与任务'!$E$25,'材料与任务'!$E$27,IF(A431&gt;='材料与任务'!$E$19,'材料与任务'!$E$21,IF(A431&gt;='材料与任务'!$E$13,'材料与任务'!$E$15,'材料与任务'!$E$9)))))*G431,0)</x:f>
        <x:v>3</x:v>
      </x:c>
      <x:c r="R431" s="110" t="n">
        <x:f>'装备掉落'!$B$38</x:f>
        <x:v>0.6872058758851213</x:v>
      </x:c>
      <x:c r="S431" s="119" t="n">
        <x:f>MAX(IF(VLOOKUP(A431,'装备掉落'!$A$29:$H$34,2,TRUE)&gt;0,1,0),IF(VLOOKUP(A431,'装备掉落'!$A$29:$H$34,3,TRUE)&gt;0,2,0),IF(VLOOKUP(A431,'装备掉落'!$A$29:$H$34,4,TRUE)&gt;0,3,0),IF(VLOOKUP(A431,'装备掉落'!$A$29:$H$34,5,TRUE)&gt;0,4,0),IF(VLOOKUP(A431,'装备掉落'!$A$29:$H$34,6,TRUE)&gt;0,5,0),IF(VLOOKUP(A431,'装备掉落'!$A$29:$H$34,7,TRUE)&gt;0,6,0),IF(VLOOKUP(A431,'装备掉落'!$A$29:$H$34,8,TRUE)&gt;0,7,0))</x:f>
        <x:v>7</x:v>
      </x:c>
      <x:c r="T431" s="119" t="n">
        <x:f>MIN(7,S431+'经济参数'!$E$70)</x:f>
        <x:v>7</x:v>
      </x:c>
      <x:c r="U431" s="119" t="n">
        <x:f>MIN(7,S431+'经济参数'!$E$71)</x:f>
        <x:v>7</x:v>
      </x:c>
      <x:c r="V431" s="119" t="n">
        <x:f>IF(H431&gt;=('难度参数'!$E$52),1,0)+IF(H431&gt;=('难度参数'!$E$52+'难度参数'!$E$53),1,0)+IF(H431&gt;=('难度参数'!$E$52+'难度参数'!$E$53+'难度参数'!$E$54),1,0)+IF(H431&gt;=('难度参数'!$E$52+'难度参数'!$E$53+'难度参数'!$E$54+'难度参数'!$E$55),1,0)+IF(H431&gt;=('难度参数'!$E$52+'难度参数'!$E$53+'难度参数'!$E$54+'难度参数'!$E$55+'难度参数'!$E$56),1,0)+IF(H431&gt;=('难度参数'!$E$52+'难度参数'!$E$53+'难度参数'!$E$54+'难度参数'!$E$55+'难度参数'!$E$56+'难度参数'!$E$57),1,0)</x:f>
        <x:v>6</x:v>
      </x:c>
      <x:c r="W431" s="62" t="str">
        <x:f>IF(L431&gt;'难度参数'!$E$51,"仅出怪已超目标","还需实测")</x:f>
        <x:v>仅出怪已超目标</x:v>
      </x:c>
      <x:c r="X431" s="119" t="n">
        <x:f>IF(1&gt;D431,0,MAX(2,MIN('难度参数'!$E$12,ROUND(('难度参数'!$E$18*POWER(A431,'难度参数'!$E$19)/D431*(0.85+0.3*(1-1)/MAX(1,D431-1))),0)+F431)))</x:f>
        <x:v>33</x:v>
      </x:c>
      <x:c r="Y431" s="119" t="n">
        <x:f>IF(1&gt;D431,0,ROUND(('难度参数'!$E$13*POWER(A431,'难度参数'!$E$20)*MIN('难度参数'!$E$23,1+MAX(0,A431-'难度参数'!$E$21)*'难度参数'!$E$22))*(36+1*7)/(36+7*(D431+1)/2)*E431,0))</x:f>
        <x:v>7080</x:v>
      </x:c>
      <x:c r="Z431" s="119" t="n">
        <x:f>IF(X431=0,0,(X431-IF(1=D431,1,0))*ROUND(Y431*VLOOKUP(INDEX('章节与怪物'!$E$31:$K$37,B431,1),'章节与怪物'!$A$41:$F$44,2,FALSE),0)+IF(1=D431,ROUND(Y431*'难度参数'!$E$28*'章节与怪物'!$E$17,0),0))</x:f>
        <x:v>233640</x:v>
      </x:c>
      <x:c r="AA431" s="119" t="n">
        <x:f>IF(X431=0,0,(X431-IF(1=D431,1,0))*VLOOKUP(INDEX('章节与怪物'!$E$31:$K$37,B431,1),'章节与怪物'!$A$41:$F$44,4,FALSE)+IF(1=D431,'难度参数'!$E$30,0))</x:f>
        <x:v>594</x:v>
      </x:c>
      <x:c r="AB431" s="119" t="n">
        <x:f>IF(2&gt;D431,0,MAX(2,MIN('难度参数'!$E$12,ROUND(('难度参数'!$E$18*POWER(A431,'难度参数'!$E$19)/D431*(0.85+0.3*(2-1)/MAX(1,D431-1))),0)+F431)))</x:f>
        <x:v>35</x:v>
      </x:c>
      <x:c r="AC431" s="119" t="n">
        <x:f>IF(2&gt;D431,0,ROUND(('难度参数'!$E$13*POWER(A431,'难度参数'!$E$20)*MIN('难度参数'!$E$23,1+MAX(0,A431-'难度参数'!$E$21)*'难度参数'!$E$22))*(36+2*7)/(36+7*(D431+1)/2)*E431,0))</x:f>
        <x:v>8233</x:v>
      </x:c>
      <x:c r="AD431" s="119" t="n">
        <x:f>IF(AB431=0,0,(AB431-IF(2=D431,1,0))*ROUND(AC431*VLOOKUP(INDEX('章节与怪物'!$E$31:$K$37,B431,2),'章节与怪物'!$A$41:$F$44,2,FALSE),0)+IF(2=D431,ROUND(AC431*'难度参数'!$E$28*'章节与怪物'!$E$17,0),0))</x:f>
        <x:v>288155</x:v>
      </x:c>
      <x:c r="AE431" s="119" t="n">
        <x:f>IF(AB431=0,0,(AB431-IF(2=D431,1,0))*VLOOKUP(INDEX('章节与怪物'!$E$31:$K$37,B431,2),'章节与怪物'!$A$41:$F$44,4,FALSE)+IF(2=D431,'难度参数'!$E$30,0))</x:f>
        <x:v>630</x:v>
      </x:c>
      <x:c r="AF431" s="119" t="n">
        <x:f>IF(3&gt;D431,0,MAX(2,MIN('难度参数'!$E$12,ROUND(('难度参数'!$E$18*POWER(A431,'难度参数'!$E$19)/D431*(0.85+0.3*(3-1)/MAX(1,D431-1))),0)+F431)))</x:f>
        <x:v>37</x:v>
      </x:c>
      <x:c r="AG431" s="119" t="n">
        <x:f>IF(3&gt;D431,0,ROUND(('难度参数'!$E$13*POWER(A431,'难度参数'!$E$20)*MIN('难度参数'!$E$23,1+MAX(0,A431-'难度参数'!$E$21)*'难度参数'!$E$22))*(36+3*7)/(36+7*(D431+1)/2)*E431,0))</x:f>
        <x:v>9386</x:v>
      </x:c>
      <x:c r="AH431" s="119" t="n">
        <x:f>IF(AF431=0,0,(AF431-IF(3=D431,1,0))*ROUND(AG431*VLOOKUP(INDEX('章节与怪物'!$E$31:$K$37,B431,3),'章节与怪物'!$A$41:$F$44,2,FALSE),0)+IF(3=D431,ROUND(AG431*'难度参数'!$E$28*'章节与怪物'!$E$17,0),0))</x:f>
        <x:v>250046</x:v>
      </x:c>
      <x:c r="AI431" s="119" t="n">
        <x:f>IF(AF431=0,0,(AF431-IF(3=D431,1,0))*VLOOKUP(INDEX('章节与怪物'!$E$31:$K$37,B431,3),'章节与怪物'!$A$41:$F$44,4,FALSE)+IF(3=D431,'难度参数'!$E$30,0))</x:f>
        <x:v>740</x:v>
      </x:c>
      <x:c r="AJ431" s="119" t="n">
        <x:f>IF(4&gt;D431,0,MAX(2,MIN('难度参数'!$E$12,ROUND(('难度参数'!$E$18*POWER(A431,'难度参数'!$E$19)/D431*(0.85+0.3*(4-1)/MAX(1,D431-1))),0)+F431)))</x:f>
        <x:v>39</x:v>
      </x:c>
      <x:c r="AK431" s="119" t="n">
        <x:f>IF(4&gt;D431,0,ROUND(('难度参数'!$E$13*POWER(A431,'难度参数'!$E$20)*MIN('难度参数'!$E$23,1+MAX(0,A431-'难度参数'!$E$21)*'难度参数'!$E$22))*(36+4*7)/(36+7*(D431+1)/2)*E431,0))</x:f>
        <x:v>10538</x:v>
      </x:c>
      <x:c r="AL431" s="119" t="n">
        <x:f>IF(AJ431=0,0,(AJ431-IF(4=D431,1,0))*ROUND(AK431*VLOOKUP(INDEX('章节与怪物'!$E$31:$K$37,B431,4),'章节与怪物'!$A$41:$F$44,2,FALSE),0)+IF(4=D431,ROUND(AK431*'难度参数'!$E$28*'章节与怪物'!$E$17,0),0))</x:f>
        <x:v>698685</x:v>
      </x:c>
      <x:c r="AM431" s="119" t="n">
        <x:f>IF(AJ431=0,0,(AJ431-IF(4=D431,1,0))*VLOOKUP(INDEX('章节与怪物'!$E$31:$K$37,B431,4),'章节与怪物'!$A$41:$F$44,4,FALSE)+IF(4=D431,'难度参数'!$E$30,0))</x:f>
        <x:v>1092</x:v>
      </x:c>
      <x:c r="AN431" s="119" t="n">
        <x:f>IF(5&gt;D431,0,MAX(2,MIN('难度参数'!$E$12,ROUND(('难度参数'!$E$18*POWER(A431,'难度参数'!$E$19)/D431*(0.85+0.3*(5-1)/MAX(1,D431-1))),0)+F431)))</x:f>
        <x:v>41</x:v>
      </x:c>
      <x:c r="AO431" s="119" t="n">
        <x:f>IF(5&gt;D431,0,ROUND(('难度参数'!$E$13*POWER(A431,'难度参数'!$E$20)*MIN('难度参数'!$E$23,1+MAX(0,A431-'难度参数'!$E$21)*'难度参数'!$E$22))*(36+5*7)/(36+7*(D431+1)/2)*E431,0))</x:f>
        <x:v>11691</x:v>
      </x:c>
      <x:c r="AP431" s="119" t="n">
        <x:f>IF(AN431=0,0,(AN431-IF(5=D431,1,0))*ROUND(AO431*VLOOKUP(INDEX('章节与怪物'!$E$31:$K$37,B431,5),'章节与怪物'!$A$41:$F$44,2,FALSE),0)+IF(5=D431,ROUND(AO431*'难度参数'!$E$28*'章节与怪物'!$E$17,0),0))</x:f>
        <x:v>647103</x:v>
      </x:c>
      <x:c r="AQ431" s="119" t="n">
        <x:f>IF(AN431=0,0,(AN431-IF(5=D431,1,0))*VLOOKUP(INDEX('章节与怪物'!$E$31:$K$37,B431,5),'章节与怪物'!$A$41:$F$44,4,FALSE)+IF(5=D431,'难度参数'!$E$30,0))</x:f>
        <x:v>1394</x:v>
      </x:c>
      <x:c r="AR431" s="119" t="n">
        <x:f>IF(6&gt;D431,0,MAX(2,MIN('难度参数'!$E$12,ROUND(('难度参数'!$E$18*POWER(A431,'难度参数'!$E$19)/D431*(0.85+0.3*(6-1)/MAX(1,D431-1))),0)+F431)))</x:f>
        <x:v>43</x:v>
      </x:c>
      <x:c r="AS431" s="119" t="n">
        <x:f>IF(6&gt;D431,0,ROUND(('难度参数'!$E$13*POWER(A431,'难度参数'!$E$20)*MIN('难度参数'!$E$23,1+MAX(0,A431-'难度参数'!$E$21)*'难度参数'!$E$22))*(36+6*7)/(36+7*(D431+1)/2)*E431,0))</x:f>
        <x:v>12844</x:v>
      </x:c>
      <x:c r="AT431" s="119" t="n">
        <x:f>IF(AR431=0,0,(AR431-IF(6=D431,1,0))*ROUND(AS431*VLOOKUP(INDEX('章节与怪物'!$E$31:$K$37,B431,6),'章节与怪物'!$A$41:$F$44,2,FALSE),0)+IF(6=D431,ROUND(AS431*'难度参数'!$E$28*'章节与怪物'!$E$17,0),0))</x:f>
        <x:v>397664</x:v>
      </x:c>
      <x:c r="AU431" s="119" t="n">
        <x:f>IF(AR431=0,0,(AR431-IF(6=D431,1,0))*VLOOKUP(INDEX('章节与怪物'!$E$31:$K$37,B431,6),'章节与怪物'!$A$41:$F$44,4,FALSE)+IF(6=D431,'难度参数'!$E$30,0))</x:f>
        <x:v>860</x:v>
      </x:c>
      <x:c r="AV431" s="119" t="n">
        <x:f>IF(7&gt;D431,0,MAX(2,MIN('难度参数'!$E$12,ROUND(('难度参数'!$E$18*POWER(A431,'难度参数'!$E$19)/D431*(0.85+0.3*(7-1)/MAX(1,D431-1))),0)+F431)))</x:f>
        <x:v>45</x:v>
      </x:c>
      <x:c r="AW431" s="119" t="n">
        <x:f>IF(7&gt;D431,0,ROUND(('难度参数'!$E$13*POWER(A431,'难度参数'!$E$20)*MIN('难度参数'!$E$23,1+MAX(0,A431-'难度参数'!$E$21)*'难度参数'!$E$22))*(36+7*7)/(36+7*(D431+1)/2)*E431,0))</x:f>
        <x:v>13996</x:v>
      </x:c>
      <x:c r="AX431" s="119" t="n">
        <x:f>IF(AV431=0,0,(AV431-IF(7=D431,1,0))*ROUND(AW431*VLOOKUP(INDEX('章节与怪物'!$E$31:$K$37,B431,7),'章节与怪物'!$A$41:$F$44,2,FALSE),0)+IF(7=D431,ROUND(AW431*'难度参数'!$E$28*'章节与怪物'!$E$17,0),0))</x:f>
        <x:v>1142065</x:v>
      </x:c>
      <x:c r="AY431" s="119" t="n">
        <x:f>IF(AV431=0,0,(AV431-IF(7=D431,1,0))*VLOOKUP(INDEX('章节与怪物'!$E$31:$K$37,B431,7),'章节与怪物'!$A$41:$F$44,4,FALSE)+IF(7=D431,'难度参数'!$E$30,0))</x:f>
        <x:v>1432</x:v>
      </x:c>
    </x:row>
    <x:row r="432" ht="23" customHeight="1">
      <x:c r="A432" s="119" t="n">
        <x:v>426</x:v>
      </x:c>
      <x:c r="B432" s="119" t="n">
        <x:f>MOD(INT((A432-1)/5),7)+1</x:f>
        <x:v>2</x:v>
      </x:c>
      <x:c r="C432" s="62" t="str">
        <x:f>INDEX('章节与怪物'!$B$31:$B$37,B432)</x:f>
        <x:v>黄沙要塞</x:v>
      </x:c>
      <x:c r="D432" s="119" t="n">
        <x:f>MIN('难度参数'!$E$8,MAX('难度参数'!$E$7,A432))</x:f>
        <x:v>7</x:v>
      </x:c>
      <x:c r="E432" s="106" t="n">
        <x:v>1</x:v>
      </x:c>
      <x:c r="F432" s="106" t="n">
        <x:v>0</x:v>
      </x:c>
      <x:c r="G432" s="106" t="n">
        <x:v>1</x:v>
      </x:c>
      <x:c r="H432" s="119" t="n">
        <x:f>SUM(X432,AB432,AF432,AJ432,AN432,AR432,AV432)</x:f>
        <x:v>273</x:v>
      </x:c>
      <x:c r="I432" s="119" t="n">
        <x:f>SUM(Z432,AD432,AH432,AL432,AP432,AT432,AX432)</x:f>
        <x:v>3953031</x:v>
      </x:c>
      <x:c r="J432" s="119" t="n">
        <x:f>ROUND(INDEX(X432:AY432,1,(D432-1)*4+2)*'难度参数'!$E$28*'章节与怪物'!$E$17,0)</x:f>
        <x:v>95336</x:v>
      </x:c>
      <x:c r="K432" s="119" t="n">
        <x:f>SUM(AA432,AE432,AI432,AM432,AQ432,AU432,AY432)</x:f>
        <x:v>7290</x:v>
      </x:c>
      <x:c r="L432" s="62" t="n">
        <x:f>H432*(ROUNDUP('难度参数'!$E$24/('难度参数'!$E$26*'难度参数'!$E$27),0)*'难度参数'!$E$26)/60</x:f>
        <x:v>3.64</x:v>
      </x:c>
      <x:c r="M432" s="62" t="n">
        <x:f>L432+D432*('难度参数'!$E$49+'难度参数'!$E$50)/60</x:f>
        <x:v>4.806666666666667</x:v>
      </x:c>
      <x:c r="N432" s="119" t="n">
        <x:f>ROUNDDOWN(('经济参数'!$E$20+A432*'经济参数'!$E$21)*G432,0)</x:f>
        <x:v>8700</x:v>
      </x:c>
      <x:c r="O432" s="119" t="n">
        <x:f>ROUNDDOWN(MIN('经济参数'!$E$24,'经济参数'!$E$22+A432*'经济参数'!$E$23)*G432,0)</x:f>
        <x:v>0</x:v>
      </x:c>
      <x:c r="P432" s="119" t="n">
        <x:f>ROUNDDOWN((IF(A432&gt;='材料与任务'!$E$31,'材料与任务'!$E$32,IF(A432&gt;='材料与任务'!$E$25,'材料与任务'!$E$26,IF(A432&gt;='材料与任务'!$E$19,'材料与任务'!$E$20,IF(A432&gt;='材料与任务'!$E$13,'材料与任务'!$E$14,'材料与任务'!$E$8)))))*G432,0)</x:f>
        <x:v>6</x:v>
      </x:c>
      <x:c r="Q432" s="119" t="n">
        <x:f>ROUNDDOWN((IF(A432&gt;='材料与任务'!$E$31,'材料与任务'!$E$33,IF(A432&gt;='材料与任务'!$E$25,'材料与任务'!$E$27,IF(A432&gt;='材料与任务'!$E$19,'材料与任务'!$E$21,IF(A432&gt;='材料与任务'!$E$13,'材料与任务'!$E$15,'材料与任务'!$E$9)))))*G432,0)</x:f>
        <x:v>3</x:v>
      </x:c>
      <x:c r="R432" s="110" t="n">
        <x:f>'装备掉落'!$B$38</x:f>
        <x:v>0.6872058758851213</x:v>
      </x:c>
      <x:c r="S432" s="119" t="n">
        <x:f>MAX(IF(VLOOKUP(A432,'装备掉落'!$A$29:$H$34,2,TRUE)&gt;0,1,0),IF(VLOOKUP(A432,'装备掉落'!$A$29:$H$34,3,TRUE)&gt;0,2,0),IF(VLOOKUP(A432,'装备掉落'!$A$29:$H$34,4,TRUE)&gt;0,3,0),IF(VLOOKUP(A432,'装备掉落'!$A$29:$H$34,5,TRUE)&gt;0,4,0),IF(VLOOKUP(A432,'装备掉落'!$A$29:$H$34,6,TRUE)&gt;0,5,0),IF(VLOOKUP(A432,'装备掉落'!$A$29:$H$34,7,TRUE)&gt;0,6,0),IF(VLOOKUP(A432,'装备掉落'!$A$29:$H$34,8,TRUE)&gt;0,7,0))</x:f>
        <x:v>7</x:v>
      </x:c>
      <x:c r="T432" s="119" t="n">
        <x:f>MIN(7,S432+'经济参数'!$E$70)</x:f>
        <x:v>7</x:v>
      </x:c>
      <x:c r="U432" s="119" t="n">
        <x:f>MIN(7,S432+'经济参数'!$E$71)</x:f>
        <x:v>7</x:v>
      </x:c>
      <x:c r="V432" s="119" t="n">
        <x:f>IF(H432&gt;=('难度参数'!$E$52),1,0)+IF(H432&gt;=('难度参数'!$E$52+'难度参数'!$E$53),1,0)+IF(H432&gt;=('难度参数'!$E$52+'难度参数'!$E$53+'难度参数'!$E$54),1,0)+IF(H432&gt;=('难度参数'!$E$52+'难度参数'!$E$53+'难度参数'!$E$54+'难度参数'!$E$55),1,0)+IF(H432&gt;=('难度参数'!$E$52+'难度参数'!$E$53+'难度参数'!$E$54+'难度参数'!$E$55+'难度参数'!$E$56),1,0)+IF(H432&gt;=('难度参数'!$E$52+'难度参数'!$E$53+'难度参数'!$E$54+'难度参数'!$E$55+'难度参数'!$E$56+'难度参数'!$E$57),1,0)</x:f>
        <x:v>6</x:v>
      </x:c>
      <x:c r="W432" s="62" t="str">
        <x:f>IF(L432&gt;'难度参数'!$E$51,"仅出怪已超目标","还需实测")</x:f>
        <x:v>仅出怪已超目标</x:v>
      </x:c>
      <x:c r="X432" s="119" t="n">
        <x:f>IF(1&gt;D432,0,MAX(2,MIN('难度参数'!$E$12,ROUND(('难度参数'!$E$18*POWER(A432,'难度参数'!$E$19)/D432*(0.85+0.3*(1-1)/MAX(1,D432-1))),0)+F432)))</x:f>
        <x:v>33</x:v>
      </x:c>
      <x:c r="Y432" s="119" t="n">
        <x:f>IF(1&gt;D432,0,ROUND(('难度参数'!$E$13*POWER(A432,'难度参数'!$E$20)*MIN('难度参数'!$E$23,1+MAX(0,A432-'难度参数'!$E$21)*'难度参数'!$E$22))*(36+1*7)/(36+7*(D432+1)/2)*E432,0))</x:f>
        <x:v>7092</x:v>
      </x:c>
      <x:c r="Z432" s="119" t="n">
        <x:f>IF(X432=0,0,(X432-IF(1=D432,1,0))*ROUND(Y432*VLOOKUP(INDEX('章节与怪物'!$E$31:$K$37,B432,1),'章节与怪物'!$A$41:$F$44,2,FALSE),0)+IF(1=D432,ROUND(Y432*'难度参数'!$E$28*'章节与怪物'!$E$17,0),0))</x:f>
        <x:v>168498</x:v>
      </x:c>
      <x:c r="AA432" s="119" t="n">
        <x:f>IF(X432=0,0,(X432-IF(1=D432,1,0))*VLOOKUP(INDEX('章节与怪物'!$E$31:$K$37,B432,1),'章节与怪物'!$A$41:$F$44,4,FALSE)+IF(1=D432,'难度参数'!$E$30,0))</x:f>
        <x:v>660</x:v>
      </x:c>
      <x:c r="AB432" s="119" t="n">
        <x:f>IF(2&gt;D432,0,MAX(2,MIN('难度参数'!$E$12,ROUND(('难度参数'!$E$18*POWER(A432,'难度参数'!$E$19)/D432*(0.85+0.3*(2-1)/MAX(1,D432-1))),0)+F432)))</x:f>
        <x:v>35</x:v>
      </x:c>
      <x:c r="AC432" s="119" t="n">
        <x:f>IF(2&gt;D432,0,ROUND(('难度参数'!$E$13*POWER(A432,'难度参数'!$E$20)*MIN('难度参数'!$E$23,1+MAX(0,A432-'难度参数'!$E$21)*'难度参数'!$E$22))*(36+2*7)/(36+7*(D432+1)/2)*E432,0))</x:f>
        <x:v>8247</x:v>
      </x:c>
      <x:c r="AD432" s="119" t="n">
        <x:f>IF(AB432=0,0,(AB432-IF(2=D432,1,0))*ROUND(AC432*VLOOKUP(INDEX('章节与怪物'!$E$31:$K$37,B432,2),'章节与怪物'!$A$41:$F$44,2,FALSE),0)+IF(2=D432,ROUND(AC432*'难度参数'!$E$28*'章节与怪物'!$E$17,0),0))</x:f>
        <x:v>288645</x:v>
      </x:c>
      <x:c r="AE432" s="119" t="n">
        <x:f>IF(AB432=0,0,(AB432-IF(2=D432,1,0))*VLOOKUP(INDEX('章节与怪物'!$E$31:$K$37,B432,2),'章节与怪物'!$A$41:$F$44,4,FALSE)+IF(2=D432,'难度参数'!$E$30,0))</x:f>
        <x:v>630</x:v>
      </x:c>
      <x:c r="AF432" s="119" t="n">
        <x:f>IF(3&gt;D432,0,MAX(2,MIN('难度参数'!$E$12,ROUND(('难度参数'!$E$18*POWER(A432,'难度参数'!$E$19)/D432*(0.85+0.3*(3-1)/MAX(1,D432-1))),0)+F432)))</x:f>
        <x:v>37</x:v>
      </x:c>
      <x:c r="AG432" s="119" t="n">
        <x:f>IF(3&gt;D432,0,ROUND(('难度参数'!$E$13*POWER(A432,'难度参数'!$E$20)*MIN('难度参数'!$E$23,1+MAX(0,A432-'难度参数'!$E$21)*'难度参数'!$E$22))*(36+3*7)/(36+7*(D432+1)/2)*E432,0))</x:f>
        <x:v>9402</x:v>
      </x:c>
      <x:c r="AH432" s="119" t="n">
        <x:f>IF(AF432=0,0,(AF432-IF(3=D432,1,0))*ROUND(AG432*VLOOKUP(INDEX('章节与怪物'!$E$31:$K$37,B432,3),'章节与怪物'!$A$41:$F$44,2,FALSE),0)+IF(3=D432,ROUND(AG432*'难度参数'!$E$28*'章节与怪物'!$E$17,0),0))</x:f>
        <x:v>591371</x:v>
      </x:c>
      <x:c r="AI432" s="119" t="n">
        <x:f>IF(AF432=0,0,(AF432-IF(3=D432,1,0))*VLOOKUP(INDEX('章节与怪物'!$E$31:$K$37,B432,3),'章节与怪物'!$A$41:$F$44,4,FALSE)+IF(3=D432,'难度参数'!$E$30,0))</x:f>
        <x:v>1036</x:v>
      </x:c>
      <x:c r="AJ432" s="119" t="n">
        <x:f>IF(4&gt;D432,0,MAX(2,MIN('难度参数'!$E$12,ROUND(('难度参数'!$E$18*POWER(A432,'难度参数'!$E$19)/D432*(0.85+0.3*(4-1)/MAX(1,D432-1))),0)+F432)))</x:f>
        <x:v>39</x:v>
      </x:c>
      <x:c r="AK432" s="119" t="n">
        <x:f>IF(4&gt;D432,0,ROUND(('难度参数'!$E$13*POWER(A432,'难度参数'!$E$20)*MIN('难度参数'!$E$23,1+MAX(0,A432-'难度参数'!$E$21)*'难度参数'!$E$22))*(36+4*7)/(36+7*(D432+1)/2)*E432,0))</x:f>
        <x:v>10556</x:v>
      </x:c>
      <x:c r="AL432" s="119" t="n">
        <x:f>IF(AJ432=0,0,(AJ432-IF(4=D432,1,0))*ROUND(AK432*VLOOKUP(INDEX('章节与怪物'!$E$31:$K$37,B432,4),'章节与怪物'!$A$41:$F$44,2,FALSE),0)+IF(4=D432,ROUND(AK432*'难度参数'!$E$28*'章节与怪物'!$E$17,0),0))</x:f>
        <x:v>555789</x:v>
      </x:c>
      <x:c r="AM432" s="119" t="n">
        <x:f>IF(AJ432=0,0,(AJ432-IF(4=D432,1,0))*VLOOKUP(INDEX('章节与怪物'!$E$31:$K$37,B432,4),'章节与怪物'!$A$41:$F$44,4,FALSE)+IF(4=D432,'难度参数'!$E$30,0))</x:f>
        <x:v>1326</x:v>
      </x:c>
      <x:c r="AN432" s="119" t="n">
        <x:f>IF(5&gt;D432,0,MAX(2,MIN('难度参数'!$E$12,ROUND(('难度参数'!$E$18*POWER(A432,'难度参数'!$E$19)/D432*(0.85+0.3*(5-1)/MAX(1,D432-1))),0)+F432)))</x:f>
        <x:v>41</x:v>
      </x:c>
      <x:c r="AO432" s="119" t="n">
        <x:f>IF(5&gt;D432,0,ROUND(('难度参数'!$E$13*POWER(A432,'难度参数'!$E$20)*MIN('难度参数'!$E$23,1+MAX(0,A432-'难度参数'!$E$21)*'难度参数'!$E$22))*(36+5*7)/(36+7*(D432+1)/2)*E432,0))</x:f>
        <x:v>11711</x:v>
      </x:c>
      <x:c r="AP432" s="119" t="n">
        <x:f>IF(AN432=0,0,(AN432-IF(5=D432,1,0))*ROUND(AO432*VLOOKUP(INDEX('章节与怪物'!$E$31:$K$37,B432,5),'章节与怪物'!$A$41:$F$44,2,FALSE),0)+IF(5=D432,ROUND(AO432*'难度参数'!$E$28*'章节与怪物'!$E$17,0),0))</x:f>
        <x:v>480151</x:v>
      </x:c>
      <x:c r="AQ432" s="119" t="n">
        <x:f>IF(AN432=0,0,(AN432-IF(5=D432,1,0))*VLOOKUP(INDEX('章节与怪物'!$E$31:$K$37,B432,5),'章节与怪物'!$A$41:$F$44,4,FALSE)+IF(5=D432,'难度参数'!$E$30,0))</x:f>
        <x:v>738</x:v>
      </x:c>
      <x:c r="AR432" s="119" t="n">
        <x:f>IF(6&gt;D432,0,MAX(2,MIN('难度参数'!$E$12,ROUND(('难度参数'!$E$18*POWER(A432,'难度参数'!$E$19)/D432*(0.85+0.3*(6-1)/MAX(1,D432-1))),0)+F432)))</x:f>
        <x:v>43</x:v>
      </x:c>
      <x:c r="AS432" s="119" t="n">
        <x:f>IF(6&gt;D432,0,ROUND(('难度参数'!$E$13*POWER(A432,'难度参数'!$E$20)*MIN('难度参数'!$E$23,1+MAX(0,A432-'难度参数'!$E$21)*'难度参数'!$E$22))*(36+6*7)/(36+7*(D432+1)/2)*E432,0))</x:f>
        <x:v>12865</x:v>
      </x:c>
      <x:c r="AT432" s="119" t="n">
        <x:f>IF(AR432=0,0,(AR432-IF(6=D432,1,0))*ROUND(AS432*VLOOKUP(INDEX('章节与怪物'!$E$31:$K$37,B432,6),'章节与怪物'!$A$41:$F$44,2,FALSE),0)+IF(6=D432,ROUND(AS432*'难度参数'!$E$28*'章节与怪物'!$E$17,0),0))</x:f>
        <x:v>940453</x:v>
      </x:c>
      <x:c r="AU432" s="119" t="n">
        <x:f>IF(AR432=0,0,(AR432-IF(6=D432,1,0))*VLOOKUP(INDEX('章节与怪物'!$E$31:$K$37,B432,6),'章节与怪物'!$A$41:$F$44,4,FALSE)+IF(6=D432,'难度参数'!$E$30,0))</x:f>
        <x:v>1204</x:v>
      </x:c>
      <x:c r="AV432" s="119" t="n">
        <x:f>IF(7&gt;D432,0,MAX(2,MIN('难度参数'!$E$12,ROUND(('难度参数'!$E$18*POWER(A432,'难度参数'!$E$19)/D432*(0.85+0.3*(7-1)/MAX(1,D432-1))),0)+F432)))</x:f>
        <x:v>45</x:v>
      </x:c>
      <x:c r="AW432" s="119" t="n">
        <x:f>IF(7&gt;D432,0,ROUND(('难度参数'!$E$13*POWER(A432,'难度参数'!$E$20)*MIN('难度参数'!$E$23,1+MAX(0,A432-'难度参数'!$E$21)*'难度参数'!$E$22))*(36+7*7)/(36+7*(D432+1)/2)*E432,0))</x:f>
        <x:v>14020</x:v>
      </x:c>
      <x:c r="AX432" s="119" t="n">
        <x:f>IF(AV432=0,0,(AV432-IF(7=D432,1,0))*ROUND(AW432*VLOOKUP(INDEX('章节与怪物'!$E$31:$K$37,B432,7),'章节与怪物'!$A$41:$F$44,2,FALSE),0)+IF(7=D432,ROUND(AW432*'难度参数'!$E$28*'章节与怪物'!$E$17,0),0))</x:f>
        <x:v>928124</x:v>
      </x:c>
      <x:c r="AY432" s="119" t="n">
        <x:f>IF(AV432=0,0,(AV432-IF(7=D432,1,0))*VLOOKUP(INDEX('章节与怪物'!$E$31:$K$37,B432,7),'章节与怪物'!$A$41:$F$44,4,FALSE)+IF(7=D432,'难度参数'!$E$30,0))</x:f>
        <x:v>1696</x:v>
      </x:c>
    </x:row>
    <x:row r="433" ht="23" customHeight="1">
      <x:c r="A433" s="119" t="n">
        <x:v>427</x:v>
      </x:c>
      <x:c r="B433" s="119" t="n">
        <x:f>MOD(INT((A433-1)/5),7)+1</x:f>
        <x:v>2</x:v>
      </x:c>
      <x:c r="C433" s="62" t="str">
        <x:f>INDEX('章节与怪物'!$B$31:$B$37,B433)</x:f>
        <x:v>黄沙要塞</x:v>
      </x:c>
      <x:c r="D433" s="119" t="n">
        <x:f>MIN('难度参数'!$E$8,MAX('难度参数'!$E$7,A433))</x:f>
        <x:v>7</x:v>
      </x:c>
      <x:c r="E433" s="106" t="n">
        <x:v>1</x:v>
      </x:c>
      <x:c r="F433" s="106" t="n">
        <x:v>0</x:v>
      </x:c>
      <x:c r="G433" s="106" t="n">
        <x:v>1</x:v>
      </x:c>
      <x:c r="H433" s="119" t="n">
        <x:f>SUM(X433,AB433,AF433,AJ433,AN433,AR433,AV433)</x:f>
        <x:v>273</x:v>
      </x:c>
      <x:c r="I433" s="119" t="n">
        <x:f>SUM(Z433,AD433,AH433,AL433,AP433,AT433,AX433)</x:f>
        <x:v>3959772</x:v>
      </x:c>
      <x:c r="J433" s="119" t="n">
        <x:f>ROUND(INDEX(X433:AY433,1,(D433-1)*4+2)*'难度参数'!$E$28*'章节与怪物'!$E$17,0)</x:f>
        <x:v>95499</x:v>
      </x:c>
      <x:c r="K433" s="119" t="n">
        <x:f>SUM(AA433,AE433,AI433,AM433,AQ433,AU433,AY433)</x:f>
        <x:v>7290</x:v>
      </x:c>
      <x:c r="L433" s="62" t="n">
        <x:f>H433*(ROUNDUP('难度参数'!$E$24/('难度参数'!$E$26*'难度参数'!$E$27),0)*'难度参数'!$E$26)/60</x:f>
        <x:v>3.64</x:v>
      </x:c>
      <x:c r="M433" s="62" t="n">
        <x:f>L433+D433*('难度参数'!$E$49+'难度参数'!$E$50)/60</x:f>
        <x:v>4.806666666666667</x:v>
      </x:c>
      <x:c r="N433" s="119" t="n">
        <x:f>ROUNDDOWN(('经济参数'!$E$20+A433*'经济参数'!$E$21)*G433,0)</x:f>
        <x:v>8720</x:v>
      </x:c>
      <x:c r="O433" s="119" t="n">
        <x:f>ROUNDDOWN(MIN('经济参数'!$E$24,'经济参数'!$E$22+A433*'经济参数'!$E$23)*G433,0)</x:f>
        <x:v>0</x:v>
      </x:c>
      <x:c r="P433" s="119" t="n">
        <x:f>ROUNDDOWN((IF(A433&gt;='材料与任务'!$E$31,'材料与任务'!$E$32,IF(A433&gt;='材料与任务'!$E$25,'材料与任务'!$E$26,IF(A433&gt;='材料与任务'!$E$19,'材料与任务'!$E$20,IF(A433&gt;='材料与任务'!$E$13,'材料与任务'!$E$14,'材料与任务'!$E$8)))))*G433,0)</x:f>
        <x:v>6</x:v>
      </x:c>
      <x:c r="Q433" s="119" t="n">
        <x:f>ROUNDDOWN((IF(A433&gt;='材料与任务'!$E$31,'材料与任务'!$E$33,IF(A433&gt;='材料与任务'!$E$25,'材料与任务'!$E$27,IF(A433&gt;='材料与任务'!$E$19,'材料与任务'!$E$21,IF(A433&gt;='材料与任务'!$E$13,'材料与任务'!$E$15,'材料与任务'!$E$9)))))*G433,0)</x:f>
        <x:v>3</x:v>
      </x:c>
      <x:c r="R433" s="110" t="n">
        <x:f>'装备掉落'!$B$38</x:f>
        <x:v>0.6872058758851213</x:v>
      </x:c>
      <x:c r="S433" s="119" t="n">
        <x:f>MAX(IF(VLOOKUP(A433,'装备掉落'!$A$29:$H$34,2,TRUE)&gt;0,1,0),IF(VLOOKUP(A433,'装备掉落'!$A$29:$H$34,3,TRUE)&gt;0,2,0),IF(VLOOKUP(A433,'装备掉落'!$A$29:$H$34,4,TRUE)&gt;0,3,0),IF(VLOOKUP(A433,'装备掉落'!$A$29:$H$34,5,TRUE)&gt;0,4,0),IF(VLOOKUP(A433,'装备掉落'!$A$29:$H$34,6,TRUE)&gt;0,5,0),IF(VLOOKUP(A433,'装备掉落'!$A$29:$H$34,7,TRUE)&gt;0,6,0),IF(VLOOKUP(A433,'装备掉落'!$A$29:$H$34,8,TRUE)&gt;0,7,0))</x:f>
        <x:v>7</x:v>
      </x:c>
      <x:c r="T433" s="119" t="n">
        <x:f>MIN(7,S433+'经济参数'!$E$70)</x:f>
        <x:v>7</x:v>
      </x:c>
      <x:c r="U433" s="119" t="n">
        <x:f>MIN(7,S433+'经济参数'!$E$71)</x:f>
        <x:v>7</x:v>
      </x:c>
      <x:c r="V433" s="119" t="n">
        <x:f>IF(H433&gt;=('难度参数'!$E$52),1,0)+IF(H433&gt;=('难度参数'!$E$52+'难度参数'!$E$53),1,0)+IF(H433&gt;=('难度参数'!$E$52+'难度参数'!$E$53+'难度参数'!$E$54),1,0)+IF(H433&gt;=('难度参数'!$E$52+'难度参数'!$E$53+'难度参数'!$E$54+'难度参数'!$E$55),1,0)+IF(H433&gt;=('难度参数'!$E$52+'难度参数'!$E$53+'难度参数'!$E$54+'难度参数'!$E$55+'难度参数'!$E$56),1,0)+IF(H433&gt;=('难度参数'!$E$52+'难度参数'!$E$53+'难度参数'!$E$54+'难度参数'!$E$55+'难度参数'!$E$56+'难度参数'!$E$57),1,0)</x:f>
        <x:v>6</x:v>
      </x:c>
      <x:c r="W433" s="62" t="str">
        <x:f>IF(L433&gt;'难度参数'!$E$51,"仅出怪已超目标","还需实测")</x:f>
        <x:v>仅出怪已超目标</x:v>
      </x:c>
      <x:c r="X433" s="119" t="n">
        <x:f>IF(1&gt;D433,0,MAX(2,MIN('难度参数'!$E$12,ROUND(('难度参数'!$E$18*POWER(A433,'难度参数'!$E$19)/D433*(0.85+0.3*(1-1)/MAX(1,D433-1))),0)+F433)))</x:f>
        <x:v>33</x:v>
      </x:c>
      <x:c r="Y433" s="119" t="n">
        <x:f>IF(1&gt;D433,0,ROUND(('难度参数'!$E$13*POWER(A433,'难度参数'!$E$20)*MIN('难度参数'!$E$23,1+MAX(0,A433-'难度参数'!$E$21)*'难度参数'!$E$22))*(36+1*7)/(36+7*(D433+1)/2)*E433,0))</x:f>
        <x:v>7104</x:v>
      </x:c>
      <x:c r="Z433" s="119" t="n">
        <x:f>IF(X433=0,0,(X433-IF(1=D433,1,0))*ROUND(Y433*VLOOKUP(INDEX('章节与怪物'!$E$31:$K$37,B433,1),'章节与怪物'!$A$41:$F$44,2,FALSE),0)+IF(1=D433,ROUND(Y433*'难度参数'!$E$28*'章节与怪物'!$E$17,0),0))</x:f>
        <x:v>168795</x:v>
      </x:c>
      <x:c r="AA433" s="119" t="n">
        <x:f>IF(X433=0,0,(X433-IF(1=D433,1,0))*VLOOKUP(INDEX('章节与怪物'!$E$31:$K$37,B433,1),'章节与怪物'!$A$41:$F$44,4,FALSE)+IF(1=D433,'难度参数'!$E$30,0))</x:f>
        <x:v>660</x:v>
      </x:c>
      <x:c r="AB433" s="119" t="n">
        <x:f>IF(2&gt;D433,0,MAX(2,MIN('难度参数'!$E$12,ROUND(('难度参数'!$E$18*POWER(A433,'难度参数'!$E$19)/D433*(0.85+0.3*(2-1)/MAX(1,D433-1))),0)+F433)))</x:f>
        <x:v>35</x:v>
      </x:c>
      <x:c r="AC433" s="119" t="n">
        <x:f>IF(2&gt;D433,0,ROUND(('难度参数'!$E$13*POWER(A433,'难度参数'!$E$20)*MIN('难度参数'!$E$23,1+MAX(0,A433-'难度参数'!$E$21)*'难度参数'!$E$22))*(36+2*7)/(36+7*(D433+1)/2)*E433,0))</x:f>
        <x:v>8261</x:v>
      </x:c>
      <x:c r="AD433" s="119" t="n">
        <x:f>IF(AB433=0,0,(AB433-IF(2=D433,1,0))*ROUND(AC433*VLOOKUP(INDEX('章节与怪物'!$E$31:$K$37,B433,2),'章节与怪物'!$A$41:$F$44,2,FALSE),0)+IF(2=D433,ROUND(AC433*'难度参数'!$E$28*'章节与怪物'!$E$17,0),0))</x:f>
        <x:v>289135</x:v>
      </x:c>
      <x:c r="AE433" s="119" t="n">
        <x:f>IF(AB433=0,0,(AB433-IF(2=D433,1,0))*VLOOKUP(INDEX('章节与怪物'!$E$31:$K$37,B433,2),'章节与怪物'!$A$41:$F$44,4,FALSE)+IF(2=D433,'难度参数'!$E$30,0))</x:f>
        <x:v>630</x:v>
      </x:c>
      <x:c r="AF433" s="119" t="n">
        <x:f>IF(3&gt;D433,0,MAX(2,MIN('难度参数'!$E$12,ROUND(('难度参数'!$E$18*POWER(A433,'难度参数'!$E$19)/D433*(0.85+0.3*(3-1)/MAX(1,D433-1))),0)+F433)))</x:f>
        <x:v>37</x:v>
      </x:c>
      <x:c r="AG433" s="119" t="n">
        <x:f>IF(3&gt;D433,0,ROUND(('难度参数'!$E$13*POWER(A433,'难度参数'!$E$20)*MIN('难度参数'!$E$23,1+MAX(0,A433-'难度参数'!$E$21)*'难度参数'!$E$22))*(36+3*7)/(36+7*(D433+1)/2)*E433,0))</x:f>
        <x:v>9418</x:v>
      </x:c>
      <x:c r="AH433" s="119" t="n">
        <x:f>IF(AF433=0,0,(AF433-IF(3=D433,1,0))*ROUND(AG433*VLOOKUP(INDEX('章节与怪物'!$E$31:$K$37,B433,3),'章节与怪物'!$A$41:$F$44,2,FALSE),0)+IF(3=D433,ROUND(AG433*'难度参数'!$E$28*'章节与怪物'!$E$17,0),0))</x:f>
        <x:v>592407</x:v>
      </x:c>
      <x:c r="AI433" s="119" t="n">
        <x:f>IF(AF433=0,0,(AF433-IF(3=D433,1,0))*VLOOKUP(INDEX('章节与怪物'!$E$31:$K$37,B433,3),'章节与怪物'!$A$41:$F$44,4,FALSE)+IF(3=D433,'难度参数'!$E$30,0))</x:f>
        <x:v>1036</x:v>
      </x:c>
      <x:c r="AJ433" s="119" t="n">
        <x:f>IF(4&gt;D433,0,MAX(2,MIN('难度参数'!$E$12,ROUND(('难度参数'!$E$18*POWER(A433,'难度参数'!$E$19)/D433*(0.85+0.3*(4-1)/MAX(1,D433-1))),0)+F433)))</x:f>
        <x:v>39</x:v>
      </x:c>
      <x:c r="AK433" s="119" t="n">
        <x:f>IF(4&gt;D433,0,ROUND(('难度参数'!$E$13*POWER(A433,'难度参数'!$E$20)*MIN('难度参数'!$E$23,1+MAX(0,A433-'难度参数'!$E$21)*'难度参数'!$E$22))*(36+4*7)/(36+7*(D433+1)/2)*E433,0))</x:f>
        <x:v>10574</x:v>
      </x:c>
      <x:c r="AL433" s="119" t="n">
        <x:f>IF(AJ433=0,0,(AJ433-IF(4=D433,1,0))*ROUND(AK433*VLOOKUP(INDEX('章节与怪物'!$E$31:$K$37,B433,4),'章节与怪物'!$A$41:$F$44,2,FALSE),0)+IF(4=D433,ROUND(AK433*'难度参数'!$E$28*'章节与怪物'!$E$17,0),0))</x:f>
        <x:v>556725</x:v>
      </x:c>
      <x:c r="AM433" s="119" t="n">
        <x:f>IF(AJ433=0,0,(AJ433-IF(4=D433,1,0))*VLOOKUP(INDEX('章节与怪物'!$E$31:$K$37,B433,4),'章节与怪物'!$A$41:$F$44,4,FALSE)+IF(4=D433,'难度参数'!$E$30,0))</x:f>
        <x:v>1326</x:v>
      </x:c>
      <x:c r="AN433" s="119" t="n">
        <x:f>IF(5&gt;D433,0,MAX(2,MIN('难度参数'!$E$12,ROUND(('难度参数'!$E$18*POWER(A433,'难度参数'!$E$19)/D433*(0.85+0.3*(5-1)/MAX(1,D433-1))),0)+F433)))</x:f>
        <x:v>41</x:v>
      </x:c>
      <x:c r="AO433" s="119" t="n">
        <x:f>IF(5&gt;D433,0,ROUND(('难度参数'!$E$13*POWER(A433,'难度参数'!$E$20)*MIN('难度参数'!$E$23,1+MAX(0,A433-'难度参数'!$E$21)*'难度参数'!$E$22))*(36+5*7)/(36+7*(D433+1)/2)*E433,0))</x:f>
        <x:v>11731</x:v>
      </x:c>
      <x:c r="AP433" s="119" t="n">
        <x:f>IF(AN433=0,0,(AN433-IF(5=D433,1,0))*ROUND(AO433*VLOOKUP(INDEX('章节与怪物'!$E$31:$K$37,B433,5),'章节与怪物'!$A$41:$F$44,2,FALSE),0)+IF(5=D433,ROUND(AO433*'难度参数'!$E$28*'章节与怪物'!$E$17,0),0))</x:f>
        <x:v>480971</x:v>
      </x:c>
      <x:c r="AQ433" s="119" t="n">
        <x:f>IF(AN433=0,0,(AN433-IF(5=D433,1,0))*VLOOKUP(INDEX('章节与怪物'!$E$31:$K$37,B433,5),'章节与怪物'!$A$41:$F$44,4,FALSE)+IF(5=D433,'难度参数'!$E$30,0))</x:f>
        <x:v>738</x:v>
      </x:c>
      <x:c r="AR433" s="119" t="n">
        <x:f>IF(6&gt;D433,0,MAX(2,MIN('难度参数'!$E$12,ROUND(('难度参数'!$E$18*POWER(A433,'难度参数'!$E$19)/D433*(0.85+0.3*(6-1)/MAX(1,D433-1))),0)+F433)))</x:f>
        <x:v>43</x:v>
      </x:c>
      <x:c r="AS433" s="119" t="n">
        <x:f>IF(6&gt;D433,0,ROUND(('难度参数'!$E$13*POWER(A433,'难度参数'!$E$20)*MIN('难度参数'!$E$23,1+MAX(0,A433-'难度参数'!$E$21)*'难度参数'!$E$22))*(36+6*7)/(36+7*(D433+1)/2)*E433,0))</x:f>
        <x:v>12887</x:v>
      </x:c>
      <x:c r="AT433" s="119" t="n">
        <x:f>IF(AR433=0,0,(AR433-IF(6=D433,1,0))*ROUND(AS433*VLOOKUP(INDEX('章节与怪物'!$E$31:$K$37,B433,6),'章节与怪物'!$A$41:$F$44,2,FALSE),0)+IF(6=D433,ROUND(AS433*'难度参数'!$E$28*'章节与怪物'!$E$17,0),0))</x:f>
        <x:v>942044</x:v>
      </x:c>
      <x:c r="AU433" s="119" t="n">
        <x:f>IF(AR433=0,0,(AR433-IF(6=D433,1,0))*VLOOKUP(INDEX('章节与怪物'!$E$31:$K$37,B433,6),'章节与怪物'!$A$41:$F$44,4,FALSE)+IF(6=D433,'难度参数'!$E$30,0))</x:f>
        <x:v>1204</x:v>
      </x:c>
      <x:c r="AV433" s="119" t="n">
        <x:f>IF(7&gt;D433,0,MAX(2,MIN('难度参数'!$E$12,ROUND(('难度参数'!$E$18*POWER(A433,'难度参数'!$E$19)/D433*(0.85+0.3*(7-1)/MAX(1,D433-1))),0)+F433)))</x:f>
        <x:v>45</x:v>
      </x:c>
      <x:c r="AW433" s="119" t="n">
        <x:f>IF(7&gt;D433,0,ROUND(('难度参数'!$E$13*POWER(A433,'难度参数'!$E$20)*MIN('难度参数'!$E$23,1+MAX(0,A433-'难度参数'!$E$21)*'难度参数'!$E$22))*(36+7*7)/(36+7*(D433+1)/2)*E433,0))</x:f>
        <x:v>14044</x:v>
      </x:c>
      <x:c r="AX433" s="119" t="n">
        <x:f>IF(AV433=0,0,(AV433-IF(7=D433,1,0))*ROUND(AW433*VLOOKUP(INDEX('章节与怪物'!$E$31:$K$37,B433,7),'章节与怪物'!$A$41:$F$44,2,FALSE),0)+IF(7=D433,ROUND(AW433*'难度参数'!$E$28*'章节与怪物'!$E$17,0),0))</x:f>
        <x:v>929695</x:v>
      </x:c>
      <x:c r="AY433" s="119" t="n">
        <x:f>IF(AV433=0,0,(AV433-IF(7=D433,1,0))*VLOOKUP(INDEX('章节与怪物'!$E$31:$K$37,B433,7),'章节与怪物'!$A$41:$F$44,4,FALSE)+IF(7=D433,'难度参数'!$E$30,0))</x:f>
        <x:v>1696</x:v>
      </x:c>
    </x:row>
    <x:row r="434" ht="23" customHeight="1">
      <x:c r="A434" s="119" t="n">
        <x:v>428</x:v>
      </x:c>
      <x:c r="B434" s="119" t="n">
        <x:f>MOD(INT((A434-1)/5),7)+1</x:f>
        <x:v>2</x:v>
      </x:c>
      <x:c r="C434" s="62" t="str">
        <x:f>INDEX('章节与怪物'!$B$31:$B$37,B434)</x:f>
        <x:v>黄沙要塞</x:v>
      </x:c>
      <x:c r="D434" s="119" t="n">
        <x:f>MIN('难度参数'!$E$8,MAX('难度参数'!$E$7,A434))</x:f>
        <x:v>7</x:v>
      </x:c>
      <x:c r="E434" s="106" t="n">
        <x:v>1</x:v>
      </x:c>
      <x:c r="F434" s="106" t="n">
        <x:v>0</x:v>
      </x:c>
      <x:c r="G434" s="106" t="n">
        <x:v>1</x:v>
      </x:c>
      <x:c r="H434" s="119" t="n">
        <x:f>SUM(X434,AB434,AF434,AJ434,AN434,AR434,AV434)</x:f>
        <x:v>273</x:v>
      </x:c>
      <x:c r="I434" s="119" t="n">
        <x:f>SUM(Z434,AD434,AH434,AL434,AP434,AT434,AX434)</x:f>
        <x:v>3966311</x:v>
      </x:c>
      <x:c r="J434" s="119" t="n">
        <x:f>ROUND(INDEX(X434:AY434,1,(D434-1)*4+2)*'难度参数'!$E$28*'章节与怪物'!$E$17,0)</x:f>
        <x:v>95656</x:v>
      </x:c>
      <x:c r="K434" s="119" t="n">
        <x:f>SUM(AA434,AE434,AI434,AM434,AQ434,AU434,AY434)</x:f>
        <x:v>7290</x:v>
      </x:c>
      <x:c r="L434" s="62" t="n">
        <x:f>H434*(ROUNDUP('难度参数'!$E$24/('难度参数'!$E$26*'难度参数'!$E$27),0)*'难度参数'!$E$26)/60</x:f>
        <x:v>3.64</x:v>
      </x:c>
      <x:c r="M434" s="62" t="n">
        <x:f>L434+D434*('难度参数'!$E$49+'难度参数'!$E$50)/60</x:f>
        <x:v>4.806666666666667</x:v>
      </x:c>
      <x:c r="N434" s="119" t="n">
        <x:f>ROUNDDOWN(('经济参数'!$E$20+A434*'经济参数'!$E$21)*G434,0)</x:f>
        <x:v>8740</x:v>
      </x:c>
      <x:c r="O434" s="119" t="n">
        <x:f>ROUNDDOWN(MIN('经济参数'!$E$24,'经济参数'!$E$22+A434*'经济参数'!$E$23)*G434,0)</x:f>
        <x:v>0</x:v>
      </x:c>
      <x:c r="P434" s="119" t="n">
        <x:f>ROUNDDOWN((IF(A434&gt;='材料与任务'!$E$31,'材料与任务'!$E$32,IF(A434&gt;='材料与任务'!$E$25,'材料与任务'!$E$26,IF(A434&gt;='材料与任务'!$E$19,'材料与任务'!$E$20,IF(A434&gt;='材料与任务'!$E$13,'材料与任务'!$E$14,'材料与任务'!$E$8)))))*G434,0)</x:f>
        <x:v>6</x:v>
      </x:c>
      <x:c r="Q434" s="119" t="n">
        <x:f>ROUNDDOWN((IF(A434&gt;='材料与任务'!$E$31,'材料与任务'!$E$33,IF(A434&gt;='材料与任务'!$E$25,'材料与任务'!$E$27,IF(A434&gt;='材料与任务'!$E$19,'材料与任务'!$E$21,IF(A434&gt;='材料与任务'!$E$13,'材料与任务'!$E$15,'材料与任务'!$E$9)))))*G434,0)</x:f>
        <x:v>3</x:v>
      </x:c>
      <x:c r="R434" s="110" t="n">
        <x:f>'装备掉落'!$B$38</x:f>
        <x:v>0.6872058758851213</x:v>
      </x:c>
      <x:c r="S434" s="119" t="n">
        <x:f>MAX(IF(VLOOKUP(A434,'装备掉落'!$A$29:$H$34,2,TRUE)&gt;0,1,0),IF(VLOOKUP(A434,'装备掉落'!$A$29:$H$34,3,TRUE)&gt;0,2,0),IF(VLOOKUP(A434,'装备掉落'!$A$29:$H$34,4,TRUE)&gt;0,3,0),IF(VLOOKUP(A434,'装备掉落'!$A$29:$H$34,5,TRUE)&gt;0,4,0),IF(VLOOKUP(A434,'装备掉落'!$A$29:$H$34,6,TRUE)&gt;0,5,0),IF(VLOOKUP(A434,'装备掉落'!$A$29:$H$34,7,TRUE)&gt;0,6,0),IF(VLOOKUP(A434,'装备掉落'!$A$29:$H$34,8,TRUE)&gt;0,7,0))</x:f>
        <x:v>7</x:v>
      </x:c>
      <x:c r="T434" s="119" t="n">
        <x:f>MIN(7,S434+'经济参数'!$E$70)</x:f>
        <x:v>7</x:v>
      </x:c>
      <x:c r="U434" s="119" t="n">
        <x:f>MIN(7,S434+'经济参数'!$E$71)</x:f>
        <x:v>7</x:v>
      </x:c>
      <x:c r="V434" s="119" t="n">
        <x:f>IF(H434&gt;=('难度参数'!$E$52),1,0)+IF(H434&gt;=('难度参数'!$E$52+'难度参数'!$E$53),1,0)+IF(H434&gt;=('难度参数'!$E$52+'难度参数'!$E$53+'难度参数'!$E$54),1,0)+IF(H434&gt;=('难度参数'!$E$52+'难度参数'!$E$53+'难度参数'!$E$54+'难度参数'!$E$55),1,0)+IF(H434&gt;=('难度参数'!$E$52+'难度参数'!$E$53+'难度参数'!$E$54+'难度参数'!$E$55+'难度参数'!$E$56),1,0)+IF(H434&gt;=('难度参数'!$E$52+'难度参数'!$E$53+'难度参数'!$E$54+'难度参数'!$E$55+'难度参数'!$E$56+'难度参数'!$E$57),1,0)</x:f>
        <x:v>6</x:v>
      </x:c>
      <x:c r="W434" s="62" t="str">
        <x:f>IF(L434&gt;'难度参数'!$E$51,"仅出怪已超目标","还需实测")</x:f>
        <x:v>仅出怪已超目标</x:v>
      </x:c>
      <x:c r="X434" s="119" t="n">
        <x:f>IF(1&gt;D434,0,MAX(2,MIN('难度参数'!$E$12,ROUND(('难度参数'!$E$18*POWER(A434,'难度参数'!$E$19)/D434*(0.85+0.3*(1-1)/MAX(1,D434-1))),0)+F434)))</x:f>
        <x:v>33</x:v>
      </x:c>
      <x:c r="Y434" s="119" t="n">
        <x:f>IF(1&gt;D434,0,ROUND(('难度参数'!$E$13*POWER(A434,'难度参数'!$E$20)*MIN('难度参数'!$E$23,1+MAX(0,A434-'难度参数'!$E$21)*'难度参数'!$E$22))*(36+1*7)/(36+7*(D434+1)/2)*E434,0))</x:f>
        <x:v>7116</x:v>
      </x:c>
      <x:c r="Z434" s="119" t="n">
        <x:f>IF(X434=0,0,(X434-IF(1=D434,1,0))*ROUND(Y434*VLOOKUP(INDEX('章节与怪物'!$E$31:$K$37,B434,1),'章节与怪物'!$A$41:$F$44,2,FALSE),0)+IF(1=D434,ROUND(Y434*'难度参数'!$E$28*'章节与怪物'!$E$17,0),0))</x:f>
        <x:v>169092</x:v>
      </x:c>
      <x:c r="AA434" s="119" t="n">
        <x:f>IF(X434=0,0,(X434-IF(1=D434,1,0))*VLOOKUP(INDEX('章节与怪物'!$E$31:$K$37,B434,1),'章节与怪物'!$A$41:$F$44,4,FALSE)+IF(1=D434,'难度参数'!$E$30,0))</x:f>
        <x:v>660</x:v>
      </x:c>
      <x:c r="AB434" s="119" t="n">
        <x:f>IF(2&gt;D434,0,MAX(2,MIN('难度参数'!$E$12,ROUND(('难度参数'!$E$18*POWER(A434,'难度参数'!$E$19)/D434*(0.85+0.3*(2-1)/MAX(1,D434-1))),0)+F434)))</x:f>
        <x:v>35</x:v>
      </x:c>
      <x:c r="AC434" s="119" t="n">
        <x:f>IF(2&gt;D434,0,ROUND(('难度参数'!$E$13*POWER(A434,'难度参数'!$E$20)*MIN('难度参数'!$E$23,1+MAX(0,A434-'难度参数'!$E$21)*'难度参数'!$E$22))*(36+2*7)/(36+7*(D434+1)/2)*E434,0))</x:f>
        <x:v>8275</x:v>
      </x:c>
      <x:c r="AD434" s="119" t="n">
        <x:f>IF(AB434=0,0,(AB434-IF(2=D434,1,0))*ROUND(AC434*VLOOKUP(INDEX('章节与怪物'!$E$31:$K$37,B434,2),'章节与怪物'!$A$41:$F$44,2,FALSE),0)+IF(2=D434,ROUND(AC434*'难度参数'!$E$28*'章节与怪物'!$E$17,0),0))</x:f>
        <x:v>289625</x:v>
      </x:c>
      <x:c r="AE434" s="119" t="n">
        <x:f>IF(AB434=0,0,(AB434-IF(2=D434,1,0))*VLOOKUP(INDEX('章节与怪物'!$E$31:$K$37,B434,2),'章节与怪物'!$A$41:$F$44,4,FALSE)+IF(2=D434,'难度参数'!$E$30,0))</x:f>
        <x:v>630</x:v>
      </x:c>
      <x:c r="AF434" s="119" t="n">
        <x:f>IF(3&gt;D434,0,MAX(2,MIN('难度参数'!$E$12,ROUND(('难度参数'!$E$18*POWER(A434,'难度参数'!$E$19)/D434*(0.85+0.3*(3-1)/MAX(1,D434-1))),0)+F434)))</x:f>
        <x:v>37</x:v>
      </x:c>
      <x:c r="AG434" s="119" t="n">
        <x:f>IF(3&gt;D434,0,ROUND(('难度参数'!$E$13*POWER(A434,'难度参数'!$E$20)*MIN('难度参数'!$E$23,1+MAX(0,A434-'难度参数'!$E$21)*'难度参数'!$E$22))*(36+3*7)/(36+7*(D434+1)/2)*E434,0))</x:f>
        <x:v>9433</x:v>
      </x:c>
      <x:c r="AH434" s="119" t="n">
        <x:f>IF(AF434=0,0,(AF434-IF(3=D434,1,0))*ROUND(AG434*VLOOKUP(INDEX('章节与怪物'!$E$31:$K$37,B434,3),'章节与怪物'!$A$41:$F$44,2,FALSE),0)+IF(3=D434,ROUND(AG434*'难度参数'!$E$28*'章节与怪物'!$E$17,0),0))</x:f>
        <x:v>593332</x:v>
      </x:c>
      <x:c r="AI434" s="119" t="n">
        <x:f>IF(AF434=0,0,(AF434-IF(3=D434,1,0))*VLOOKUP(INDEX('章节与怪物'!$E$31:$K$37,B434,3),'章节与怪物'!$A$41:$F$44,4,FALSE)+IF(3=D434,'难度参数'!$E$30,0))</x:f>
        <x:v>1036</x:v>
      </x:c>
      <x:c r="AJ434" s="119" t="n">
        <x:f>IF(4&gt;D434,0,MAX(2,MIN('难度参数'!$E$12,ROUND(('难度参数'!$E$18*POWER(A434,'难度参数'!$E$19)/D434*(0.85+0.3*(4-1)/MAX(1,D434-1))),0)+F434)))</x:f>
        <x:v>39</x:v>
      </x:c>
      <x:c r="AK434" s="119" t="n">
        <x:f>IF(4&gt;D434,0,ROUND(('难度参数'!$E$13*POWER(A434,'难度参数'!$E$20)*MIN('难度参数'!$E$23,1+MAX(0,A434-'难度参数'!$E$21)*'难度参数'!$E$22))*(36+4*7)/(36+7*(D434+1)/2)*E434,0))</x:f>
        <x:v>10592</x:v>
      </x:c>
      <x:c r="AL434" s="119" t="n">
        <x:f>IF(AJ434=0,0,(AJ434-IF(4=D434,1,0))*ROUND(AK434*VLOOKUP(INDEX('章节与怪物'!$E$31:$K$37,B434,4),'章节与怪物'!$A$41:$F$44,2,FALSE),0)+IF(4=D434,ROUND(AK434*'难度参数'!$E$28*'章节与怪物'!$E$17,0),0))</x:f>
        <x:v>557661</x:v>
      </x:c>
      <x:c r="AM434" s="119" t="n">
        <x:f>IF(AJ434=0,0,(AJ434-IF(4=D434,1,0))*VLOOKUP(INDEX('章节与怪物'!$E$31:$K$37,B434,4),'章节与怪物'!$A$41:$F$44,4,FALSE)+IF(4=D434,'难度参数'!$E$30,0))</x:f>
        <x:v>1326</x:v>
      </x:c>
      <x:c r="AN434" s="119" t="n">
        <x:f>IF(5&gt;D434,0,MAX(2,MIN('难度参数'!$E$12,ROUND(('难度参数'!$E$18*POWER(A434,'难度参数'!$E$19)/D434*(0.85+0.3*(5-1)/MAX(1,D434-1))),0)+F434)))</x:f>
        <x:v>41</x:v>
      </x:c>
      <x:c r="AO434" s="119" t="n">
        <x:f>IF(5&gt;D434,0,ROUND(('难度参数'!$E$13*POWER(A434,'难度参数'!$E$20)*MIN('难度参数'!$E$23,1+MAX(0,A434-'难度参数'!$E$21)*'难度参数'!$E$22))*(36+5*7)/(36+7*(D434+1)/2)*E434,0))</x:f>
        <x:v>11750</x:v>
      </x:c>
      <x:c r="AP434" s="119" t="n">
        <x:f>IF(AN434=0,0,(AN434-IF(5=D434,1,0))*ROUND(AO434*VLOOKUP(INDEX('章节与怪物'!$E$31:$K$37,B434,5),'章节与怪物'!$A$41:$F$44,2,FALSE),0)+IF(5=D434,ROUND(AO434*'难度参数'!$E$28*'章节与怪物'!$E$17,0),0))</x:f>
        <x:v>481750</x:v>
      </x:c>
      <x:c r="AQ434" s="119" t="n">
        <x:f>IF(AN434=0,0,(AN434-IF(5=D434,1,0))*VLOOKUP(INDEX('章节与怪物'!$E$31:$K$37,B434,5),'章节与怪物'!$A$41:$F$44,4,FALSE)+IF(5=D434,'难度参数'!$E$30,0))</x:f>
        <x:v>738</x:v>
      </x:c>
      <x:c r="AR434" s="119" t="n">
        <x:f>IF(6&gt;D434,0,MAX(2,MIN('难度参数'!$E$12,ROUND(('难度参数'!$E$18*POWER(A434,'难度参数'!$E$19)/D434*(0.85+0.3*(6-1)/MAX(1,D434-1))),0)+F434)))</x:f>
        <x:v>43</x:v>
      </x:c>
      <x:c r="AS434" s="119" t="n">
        <x:f>IF(6&gt;D434,0,ROUND(('难度参数'!$E$13*POWER(A434,'难度参数'!$E$20)*MIN('难度参数'!$E$23,1+MAX(0,A434-'难度参数'!$E$21)*'难度参数'!$E$22))*(36+6*7)/(36+7*(D434+1)/2)*E434,0))</x:f>
        <x:v>12909</x:v>
      </x:c>
      <x:c r="AT434" s="119" t="n">
        <x:f>IF(AR434=0,0,(AR434-IF(6=D434,1,0))*ROUND(AS434*VLOOKUP(INDEX('章节与怪物'!$E$31:$K$37,B434,6),'章节与怪物'!$A$41:$F$44,2,FALSE),0)+IF(6=D434,ROUND(AS434*'难度参数'!$E$28*'章节与怪物'!$E$17,0),0))</x:f>
        <x:v>943635</x:v>
      </x:c>
      <x:c r="AU434" s="119" t="n">
        <x:f>IF(AR434=0,0,(AR434-IF(6=D434,1,0))*VLOOKUP(INDEX('章节与怪物'!$E$31:$K$37,B434,6),'章节与怪物'!$A$41:$F$44,4,FALSE)+IF(6=D434,'难度参数'!$E$30,0))</x:f>
        <x:v>1204</x:v>
      </x:c>
      <x:c r="AV434" s="119" t="n">
        <x:f>IF(7&gt;D434,0,MAX(2,MIN('难度参数'!$E$12,ROUND(('难度参数'!$E$18*POWER(A434,'难度参数'!$E$19)/D434*(0.85+0.3*(7-1)/MAX(1,D434-1))),0)+F434)))</x:f>
        <x:v>45</x:v>
      </x:c>
      <x:c r="AW434" s="119" t="n">
        <x:f>IF(7&gt;D434,0,ROUND(('难度参数'!$E$13*POWER(A434,'难度参数'!$E$20)*MIN('难度参数'!$E$23,1+MAX(0,A434-'难度参数'!$E$21)*'难度参数'!$E$22))*(36+7*7)/(36+7*(D434+1)/2)*E434,0))</x:f>
        <x:v>14067</x:v>
      </x:c>
      <x:c r="AX434" s="119" t="n">
        <x:f>IF(AV434=0,0,(AV434-IF(7=D434,1,0))*ROUND(AW434*VLOOKUP(INDEX('章节与怪物'!$E$31:$K$37,B434,7),'章节与怪物'!$A$41:$F$44,2,FALSE),0)+IF(7=D434,ROUND(AW434*'难度参数'!$E$28*'章节与怪物'!$E$17,0),0))</x:f>
        <x:v>931216</x:v>
      </x:c>
      <x:c r="AY434" s="119" t="n">
        <x:f>IF(AV434=0,0,(AV434-IF(7=D434,1,0))*VLOOKUP(INDEX('章节与怪物'!$E$31:$K$37,B434,7),'章节与怪物'!$A$41:$F$44,4,FALSE)+IF(7=D434,'难度参数'!$E$30,0))</x:f>
        <x:v>1696</x:v>
      </x:c>
    </x:row>
    <x:row r="435" ht="23" customHeight="1">
      <x:c r="A435" s="119" t="n">
        <x:v>429</x:v>
      </x:c>
      <x:c r="B435" s="119" t="n">
        <x:f>MOD(INT((A435-1)/5),7)+1</x:f>
        <x:v>2</x:v>
      </x:c>
      <x:c r="C435" s="62" t="str">
        <x:f>INDEX('章节与怪物'!$B$31:$B$37,B435)</x:f>
        <x:v>黄沙要塞</x:v>
      </x:c>
      <x:c r="D435" s="119" t="n">
        <x:f>MIN('难度参数'!$E$8,MAX('难度参数'!$E$7,A435))</x:f>
        <x:v>7</x:v>
      </x:c>
      <x:c r="E435" s="106" t="n">
        <x:v>1</x:v>
      </x:c>
      <x:c r="F435" s="106" t="n">
        <x:v>0</x:v>
      </x:c>
      <x:c r="G435" s="106" t="n">
        <x:v>1</x:v>
      </x:c>
      <x:c r="H435" s="119" t="n">
        <x:f>SUM(X435,AB435,AF435,AJ435,AN435,AR435,AV435)</x:f>
        <x:v>273</x:v>
      </x:c>
      <x:c r="I435" s="119" t="n">
        <x:f>SUM(Z435,AD435,AH435,AL435,AP435,AT435,AX435)</x:f>
        <x:v>3973108</x:v>
      </x:c>
      <x:c r="J435" s="119" t="n">
        <x:f>ROUND(INDEX(X435:AY435,1,(D435-1)*4+2)*'难度参数'!$E$28*'章节与怪物'!$E$17,0)</x:f>
        <x:v>95819</x:v>
      </x:c>
      <x:c r="K435" s="119" t="n">
        <x:f>SUM(AA435,AE435,AI435,AM435,AQ435,AU435,AY435)</x:f>
        <x:v>7290</x:v>
      </x:c>
      <x:c r="L435" s="62" t="n">
        <x:f>H435*(ROUNDUP('难度参数'!$E$24/('难度参数'!$E$26*'难度参数'!$E$27),0)*'难度参数'!$E$26)/60</x:f>
        <x:v>3.64</x:v>
      </x:c>
      <x:c r="M435" s="62" t="n">
        <x:f>L435+D435*('难度参数'!$E$49+'难度参数'!$E$50)/60</x:f>
        <x:v>4.806666666666667</x:v>
      </x:c>
      <x:c r="N435" s="119" t="n">
        <x:f>ROUNDDOWN(('经济参数'!$E$20+A435*'经济参数'!$E$21)*G435,0)</x:f>
        <x:v>8760</x:v>
      </x:c>
      <x:c r="O435" s="119" t="n">
        <x:f>ROUNDDOWN(MIN('经济参数'!$E$24,'经济参数'!$E$22+A435*'经济参数'!$E$23)*G435,0)</x:f>
        <x:v>0</x:v>
      </x:c>
      <x:c r="P435" s="119" t="n">
        <x:f>ROUNDDOWN((IF(A435&gt;='材料与任务'!$E$31,'材料与任务'!$E$32,IF(A435&gt;='材料与任务'!$E$25,'材料与任务'!$E$26,IF(A435&gt;='材料与任务'!$E$19,'材料与任务'!$E$20,IF(A435&gt;='材料与任务'!$E$13,'材料与任务'!$E$14,'材料与任务'!$E$8)))))*G435,0)</x:f>
        <x:v>6</x:v>
      </x:c>
      <x:c r="Q435" s="119" t="n">
        <x:f>ROUNDDOWN((IF(A435&gt;='材料与任务'!$E$31,'材料与任务'!$E$33,IF(A435&gt;='材料与任务'!$E$25,'材料与任务'!$E$27,IF(A435&gt;='材料与任务'!$E$19,'材料与任务'!$E$21,IF(A435&gt;='材料与任务'!$E$13,'材料与任务'!$E$15,'材料与任务'!$E$9)))))*G435,0)</x:f>
        <x:v>3</x:v>
      </x:c>
      <x:c r="R435" s="110" t="n">
        <x:f>'装备掉落'!$B$38</x:f>
        <x:v>0.6872058758851213</x:v>
      </x:c>
      <x:c r="S435" s="119" t="n">
        <x:f>MAX(IF(VLOOKUP(A435,'装备掉落'!$A$29:$H$34,2,TRUE)&gt;0,1,0),IF(VLOOKUP(A435,'装备掉落'!$A$29:$H$34,3,TRUE)&gt;0,2,0),IF(VLOOKUP(A435,'装备掉落'!$A$29:$H$34,4,TRUE)&gt;0,3,0),IF(VLOOKUP(A435,'装备掉落'!$A$29:$H$34,5,TRUE)&gt;0,4,0),IF(VLOOKUP(A435,'装备掉落'!$A$29:$H$34,6,TRUE)&gt;0,5,0),IF(VLOOKUP(A435,'装备掉落'!$A$29:$H$34,7,TRUE)&gt;0,6,0),IF(VLOOKUP(A435,'装备掉落'!$A$29:$H$34,8,TRUE)&gt;0,7,0))</x:f>
        <x:v>7</x:v>
      </x:c>
      <x:c r="T435" s="119" t="n">
        <x:f>MIN(7,S435+'经济参数'!$E$70)</x:f>
        <x:v>7</x:v>
      </x:c>
      <x:c r="U435" s="119" t="n">
        <x:f>MIN(7,S435+'经济参数'!$E$71)</x:f>
        <x:v>7</x:v>
      </x:c>
      <x:c r="V435" s="119" t="n">
        <x:f>IF(H435&gt;=('难度参数'!$E$52),1,0)+IF(H435&gt;=('难度参数'!$E$52+'难度参数'!$E$53),1,0)+IF(H435&gt;=('难度参数'!$E$52+'难度参数'!$E$53+'难度参数'!$E$54),1,0)+IF(H435&gt;=('难度参数'!$E$52+'难度参数'!$E$53+'难度参数'!$E$54+'难度参数'!$E$55),1,0)+IF(H435&gt;=('难度参数'!$E$52+'难度参数'!$E$53+'难度参数'!$E$54+'难度参数'!$E$55+'难度参数'!$E$56),1,0)+IF(H435&gt;=('难度参数'!$E$52+'难度参数'!$E$53+'难度参数'!$E$54+'难度参数'!$E$55+'难度参数'!$E$56+'难度参数'!$E$57),1,0)</x:f>
        <x:v>6</x:v>
      </x:c>
      <x:c r="W435" s="62" t="str">
        <x:f>IF(L435&gt;'难度参数'!$E$51,"仅出怪已超目标","还需实测")</x:f>
        <x:v>仅出怪已超目标</x:v>
      </x:c>
      <x:c r="X435" s="119" t="n">
        <x:f>IF(1&gt;D435,0,MAX(2,MIN('难度参数'!$E$12,ROUND(('难度参数'!$E$18*POWER(A435,'难度参数'!$E$19)/D435*(0.85+0.3*(1-1)/MAX(1,D435-1))),0)+F435)))</x:f>
        <x:v>33</x:v>
      </x:c>
      <x:c r="Y435" s="119" t="n">
        <x:f>IF(1&gt;D435,0,ROUND(('难度参数'!$E$13*POWER(A435,'难度参数'!$E$20)*MIN('难度参数'!$E$23,1+MAX(0,A435-'难度参数'!$E$21)*'难度参数'!$E$22))*(36+1*7)/(36+7*(D435+1)/2)*E435,0))</x:f>
        <x:v>7128</x:v>
      </x:c>
      <x:c r="Z435" s="119" t="n">
        <x:f>IF(X435=0,0,(X435-IF(1=D435,1,0))*ROUND(Y435*VLOOKUP(INDEX('章节与怪物'!$E$31:$K$37,B435,1),'章节与怪物'!$A$41:$F$44,2,FALSE),0)+IF(1=D435,ROUND(Y435*'难度参数'!$E$28*'章节与怪物'!$E$17,0),0))</x:f>
        <x:v>169356</x:v>
      </x:c>
      <x:c r="AA435" s="119" t="n">
        <x:f>IF(X435=0,0,(X435-IF(1=D435,1,0))*VLOOKUP(INDEX('章节与怪物'!$E$31:$K$37,B435,1),'章节与怪物'!$A$41:$F$44,4,FALSE)+IF(1=D435,'难度参数'!$E$30,0))</x:f>
        <x:v>660</x:v>
      </x:c>
      <x:c r="AB435" s="119" t="n">
        <x:f>IF(2&gt;D435,0,MAX(2,MIN('难度参数'!$E$12,ROUND(('难度参数'!$E$18*POWER(A435,'难度参数'!$E$19)/D435*(0.85+0.3*(2-1)/MAX(1,D435-1))),0)+F435)))</x:f>
        <x:v>35</x:v>
      </x:c>
      <x:c r="AC435" s="119" t="n">
        <x:f>IF(2&gt;D435,0,ROUND(('难度参数'!$E$13*POWER(A435,'难度参数'!$E$20)*MIN('难度参数'!$E$23,1+MAX(0,A435-'难度参数'!$E$21)*'难度参数'!$E$22))*(36+2*7)/(36+7*(D435+1)/2)*E435,0))</x:f>
        <x:v>8289</x:v>
      </x:c>
      <x:c r="AD435" s="119" t="n">
        <x:f>IF(AB435=0,0,(AB435-IF(2=D435,1,0))*ROUND(AC435*VLOOKUP(INDEX('章节与怪物'!$E$31:$K$37,B435,2),'章节与怪物'!$A$41:$F$44,2,FALSE),0)+IF(2=D435,ROUND(AC435*'难度参数'!$E$28*'章节与怪物'!$E$17,0),0))</x:f>
        <x:v>290115</x:v>
      </x:c>
      <x:c r="AE435" s="119" t="n">
        <x:f>IF(AB435=0,0,(AB435-IF(2=D435,1,0))*VLOOKUP(INDEX('章节与怪物'!$E$31:$K$37,B435,2),'章节与怪物'!$A$41:$F$44,4,FALSE)+IF(2=D435,'难度参数'!$E$30,0))</x:f>
        <x:v>630</x:v>
      </x:c>
      <x:c r="AF435" s="119" t="n">
        <x:f>IF(3&gt;D435,0,MAX(2,MIN('难度参数'!$E$12,ROUND(('难度参数'!$E$18*POWER(A435,'难度参数'!$E$19)/D435*(0.85+0.3*(3-1)/MAX(1,D435-1))),0)+F435)))</x:f>
        <x:v>37</x:v>
      </x:c>
      <x:c r="AG435" s="119" t="n">
        <x:f>IF(3&gt;D435,0,ROUND(('难度参数'!$E$13*POWER(A435,'难度参数'!$E$20)*MIN('难度参数'!$E$23,1+MAX(0,A435-'难度参数'!$E$21)*'难度参数'!$E$22))*(36+3*7)/(36+7*(D435+1)/2)*E435,0))</x:f>
        <x:v>9449</x:v>
      </x:c>
      <x:c r="AH435" s="119" t="n">
        <x:f>IF(AF435=0,0,(AF435-IF(3=D435,1,0))*ROUND(AG435*VLOOKUP(INDEX('章节与怪物'!$E$31:$K$37,B435,3),'章节与怪物'!$A$41:$F$44,2,FALSE),0)+IF(3=D435,ROUND(AG435*'难度参数'!$E$28*'章节与怪物'!$E$17,0),0))</x:f>
        <x:v>594331</x:v>
      </x:c>
      <x:c r="AI435" s="119" t="n">
        <x:f>IF(AF435=0,0,(AF435-IF(3=D435,1,0))*VLOOKUP(INDEX('章节与怪物'!$E$31:$K$37,B435,3),'章节与怪物'!$A$41:$F$44,4,FALSE)+IF(3=D435,'难度参数'!$E$30,0))</x:f>
        <x:v>1036</x:v>
      </x:c>
      <x:c r="AJ435" s="119" t="n">
        <x:f>IF(4&gt;D435,0,MAX(2,MIN('难度参数'!$E$12,ROUND(('难度参数'!$E$18*POWER(A435,'难度参数'!$E$19)/D435*(0.85+0.3*(4-1)/MAX(1,D435-1))),0)+F435)))</x:f>
        <x:v>39</x:v>
      </x:c>
      <x:c r="AK435" s="119" t="n">
        <x:f>IF(4&gt;D435,0,ROUND(('难度参数'!$E$13*POWER(A435,'难度参数'!$E$20)*MIN('难度参数'!$E$23,1+MAX(0,A435-'难度参数'!$E$21)*'难度参数'!$E$22))*(36+4*7)/(36+7*(D435+1)/2)*E435,0))</x:f>
        <x:v>10610</x:v>
      </x:c>
      <x:c r="AL435" s="119" t="n">
        <x:f>IF(AJ435=0,0,(AJ435-IF(4=D435,1,0))*ROUND(AK435*VLOOKUP(INDEX('章节与怪物'!$E$31:$K$37,B435,4),'章节与怪物'!$A$41:$F$44,2,FALSE),0)+IF(4=D435,ROUND(AK435*'难度参数'!$E$28*'章节与怪物'!$E$17,0),0))</x:f>
        <x:v>558636</x:v>
      </x:c>
      <x:c r="AM435" s="119" t="n">
        <x:f>IF(AJ435=0,0,(AJ435-IF(4=D435,1,0))*VLOOKUP(INDEX('章节与怪物'!$E$31:$K$37,B435,4),'章节与怪物'!$A$41:$F$44,4,FALSE)+IF(4=D435,'难度参数'!$E$30,0))</x:f>
        <x:v>1326</x:v>
      </x:c>
      <x:c r="AN435" s="119" t="n">
        <x:f>IF(5&gt;D435,0,MAX(2,MIN('难度参数'!$E$12,ROUND(('难度参数'!$E$18*POWER(A435,'难度参数'!$E$19)/D435*(0.85+0.3*(5-1)/MAX(1,D435-1))),0)+F435)))</x:f>
        <x:v>41</x:v>
      </x:c>
      <x:c r="AO435" s="119" t="n">
        <x:f>IF(5&gt;D435,0,ROUND(('难度参数'!$E$13*POWER(A435,'难度参数'!$E$20)*MIN('难度参数'!$E$23,1+MAX(0,A435-'难度参数'!$E$21)*'难度参数'!$E$22))*(36+5*7)/(36+7*(D435+1)/2)*E435,0))</x:f>
        <x:v>11770</x:v>
      </x:c>
      <x:c r="AP435" s="119" t="n">
        <x:f>IF(AN435=0,0,(AN435-IF(5=D435,1,0))*ROUND(AO435*VLOOKUP(INDEX('章节与怪物'!$E$31:$K$37,B435,5),'章节与怪物'!$A$41:$F$44,2,FALSE),0)+IF(5=D435,ROUND(AO435*'难度参数'!$E$28*'章节与怪物'!$E$17,0),0))</x:f>
        <x:v>482570</x:v>
      </x:c>
      <x:c r="AQ435" s="119" t="n">
        <x:f>IF(AN435=0,0,(AN435-IF(5=D435,1,0))*VLOOKUP(INDEX('章节与怪物'!$E$31:$K$37,B435,5),'章节与怪物'!$A$41:$F$44,4,FALSE)+IF(5=D435,'难度参数'!$E$30,0))</x:f>
        <x:v>738</x:v>
      </x:c>
      <x:c r="AR435" s="119" t="n">
        <x:f>IF(6&gt;D435,0,MAX(2,MIN('难度参数'!$E$12,ROUND(('难度参数'!$E$18*POWER(A435,'难度参数'!$E$19)/D435*(0.85+0.3*(6-1)/MAX(1,D435-1))),0)+F435)))</x:f>
        <x:v>43</x:v>
      </x:c>
      <x:c r="AS435" s="119" t="n">
        <x:f>IF(6&gt;D435,0,ROUND(('难度参数'!$E$13*POWER(A435,'难度参数'!$E$20)*MIN('难度参数'!$E$23,1+MAX(0,A435-'难度参数'!$E$21)*'难度参数'!$E$22))*(36+6*7)/(36+7*(D435+1)/2)*E435,0))</x:f>
        <x:v>12931</x:v>
      </x:c>
      <x:c r="AT435" s="119" t="n">
        <x:f>IF(AR435=0,0,(AR435-IF(6=D435,1,0))*ROUND(AS435*VLOOKUP(INDEX('章节与怪物'!$E$31:$K$37,B435,6),'章节与怪物'!$A$41:$F$44,2,FALSE),0)+IF(6=D435,ROUND(AS435*'难度参数'!$E$28*'章节与怪物'!$E$17,0),0))</x:f>
        <x:v>945269</x:v>
      </x:c>
      <x:c r="AU435" s="119" t="n">
        <x:f>IF(AR435=0,0,(AR435-IF(6=D435,1,0))*VLOOKUP(INDEX('章节与怪物'!$E$31:$K$37,B435,6),'章节与怪物'!$A$41:$F$44,4,FALSE)+IF(6=D435,'难度参数'!$E$30,0))</x:f>
        <x:v>1204</x:v>
      </x:c>
      <x:c r="AV435" s="119" t="n">
        <x:f>IF(7&gt;D435,0,MAX(2,MIN('难度参数'!$E$12,ROUND(('难度参数'!$E$18*POWER(A435,'难度参数'!$E$19)/D435*(0.85+0.3*(7-1)/MAX(1,D435-1))),0)+F435)))</x:f>
        <x:v>45</x:v>
      </x:c>
      <x:c r="AW435" s="119" t="n">
        <x:f>IF(7&gt;D435,0,ROUND(('难度参数'!$E$13*POWER(A435,'难度参数'!$E$20)*MIN('难度参数'!$E$23,1+MAX(0,A435-'难度参数'!$E$21)*'难度参数'!$E$22))*(36+7*7)/(36+7*(D435+1)/2)*E435,0))</x:f>
        <x:v>14091</x:v>
      </x:c>
      <x:c r="AX435" s="119" t="n">
        <x:f>IF(AV435=0,0,(AV435-IF(7=D435,1,0))*ROUND(AW435*VLOOKUP(INDEX('章节与怪物'!$E$31:$K$37,B435,7),'章节与怪物'!$A$41:$F$44,2,FALSE),0)+IF(7=D435,ROUND(AW435*'难度参数'!$E$28*'章节与怪物'!$E$17,0),0))</x:f>
        <x:v>932831</x:v>
      </x:c>
      <x:c r="AY435" s="119" t="n">
        <x:f>IF(AV435=0,0,(AV435-IF(7=D435,1,0))*VLOOKUP(INDEX('章节与怪物'!$E$31:$K$37,B435,7),'章节与怪物'!$A$41:$F$44,4,FALSE)+IF(7=D435,'难度参数'!$E$30,0))</x:f>
        <x:v>1696</x:v>
      </x:c>
    </x:row>
    <x:row r="436" ht="23" customHeight="1">
      <x:c r="A436" s="119" t="n">
        <x:v>430</x:v>
      </x:c>
      <x:c r="B436" s="119" t="n">
        <x:f>MOD(INT((A436-1)/5),7)+1</x:f>
        <x:v>2</x:v>
      </x:c>
      <x:c r="C436" s="62" t="str">
        <x:f>INDEX('章节与怪物'!$B$31:$B$37,B436)</x:f>
        <x:v>黄沙要塞</x:v>
      </x:c>
      <x:c r="D436" s="119" t="n">
        <x:f>MIN('难度参数'!$E$8,MAX('难度参数'!$E$7,A436))</x:f>
        <x:v>7</x:v>
      </x:c>
      <x:c r="E436" s="106" t="n">
        <x:v>1</x:v>
      </x:c>
      <x:c r="F436" s="106" t="n">
        <x:v>0</x:v>
      </x:c>
      <x:c r="G436" s="106" t="n">
        <x:v>1</x:v>
      </x:c>
      <x:c r="H436" s="119" t="n">
        <x:f>SUM(X436,AB436,AF436,AJ436,AN436,AR436,AV436)</x:f>
        <x:v>273</x:v>
      </x:c>
      <x:c r="I436" s="119" t="n">
        <x:f>SUM(Z436,AD436,AH436,AL436,AP436,AT436,AX436)</x:f>
        <x:v>3979685</x:v>
      </x:c>
      <x:c r="J436" s="119" t="n">
        <x:f>ROUND(INDEX(X436:AY436,1,(D436-1)*4+2)*'难度参数'!$E$28*'章节与怪物'!$E$17,0)</x:f>
        <x:v>95982</x:v>
      </x:c>
      <x:c r="K436" s="119" t="n">
        <x:f>SUM(AA436,AE436,AI436,AM436,AQ436,AU436,AY436)</x:f>
        <x:v>7290</x:v>
      </x:c>
      <x:c r="L436" s="62" t="n">
        <x:f>H436*(ROUNDUP('难度参数'!$E$24/('难度参数'!$E$26*'难度参数'!$E$27),0)*'难度参数'!$E$26)/60</x:f>
        <x:v>3.64</x:v>
      </x:c>
      <x:c r="M436" s="62" t="n">
        <x:f>L436+D436*('难度参数'!$E$49+'难度参数'!$E$50)/60</x:f>
        <x:v>4.806666666666667</x:v>
      </x:c>
      <x:c r="N436" s="119" t="n">
        <x:f>ROUNDDOWN(('经济参数'!$E$20+A436*'经济参数'!$E$21)*G436,0)</x:f>
        <x:v>8780</x:v>
      </x:c>
      <x:c r="O436" s="119" t="n">
        <x:f>ROUNDDOWN(MIN('经济参数'!$E$24,'经济参数'!$E$22+A436*'经济参数'!$E$23)*G436,0)</x:f>
        <x:v>0</x:v>
      </x:c>
      <x:c r="P436" s="119" t="n">
        <x:f>ROUNDDOWN((IF(A436&gt;='材料与任务'!$E$31,'材料与任务'!$E$32,IF(A436&gt;='材料与任务'!$E$25,'材料与任务'!$E$26,IF(A436&gt;='材料与任务'!$E$19,'材料与任务'!$E$20,IF(A436&gt;='材料与任务'!$E$13,'材料与任务'!$E$14,'材料与任务'!$E$8)))))*G436,0)</x:f>
        <x:v>6</x:v>
      </x:c>
      <x:c r="Q436" s="119" t="n">
        <x:f>ROUNDDOWN((IF(A436&gt;='材料与任务'!$E$31,'材料与任务'!$E$33,IF(A436&gt;='材料与任务'!$E$25,'材料与任务'!$E$27,IF(A436&gt;='材料与任务'!$E$19,'材料与任务'!$E$21,IF(A436&gt;='材料与任务'!$E$13,'材料与任务'!$E$15,'材料与任务'!$E$9)))))*G436,0)</x:f>
        <x:v>3</x:v>
      </x:c>
      <x:c r="R436" s="110" t="n">
        <x:f>'装备掉落'!$B$38</x:f>
        <x:v>0.6872058758851213</x:v>
      </x:c>
      <x:c r="S436" s="119" t="n">
        <x:f>MAX(IF(VLOOKUP(A436,'装备掉落'!$A$29:$H$34,2,TRUE)&gt;0,1,0),IF(VLOOKUP(A436,'装备掉落'!$A$29:$H$34,3,TRUE)&gt;0,2,0),IF(VLOOKUP(A436,'装备掉落'!$A$29:$H$34,4,TRUE)&gt;0,3,0),IF(VLOOKUP(A436,'装备掉落'!$A$29:$H$34,5,TRUE)&gt;0,4,0),IF(VLOOKUP(A436,'装备掉落'!$A$29:$H$34,6,TRUE)&gt;0,5,0),IF(VLOOKUP(A436,'装备掉落'!$A$29:$H$34,7,TRUE)&gt;0,6,0),IF(VLOOKUP(A436,'装备掉落'!$A$29:$H$34,8,TRUE)&gt;0,7,0))</x:f>
        <x:v>7</x:v>
      </x:c>
      <x:c r="T436" s="119" t="n">
        <x:f>MIN(7,S436+'经济参数'!$E$70)</x:f>
        <x:v>7</x:v>
      </x:c>
      <x:c r="U436" s="119" t="n">
        <x:f>MIN(7,S436+'经济参数'!$E$71)</x:f>
        <x:v>7</x:v>
      </x:c>
      <x:c r="V436" s="119" t="n">
        <x:f>IF(H436&gt;=('难度参数'!$E$52),1,0)+IF(H436&gt;=('难度参数'!$E$52+'难度参数'!$E$53),1,0)+IF(H436&gt;=('难度参数'!$E$52+'难度参数'!$E$53+'难度参数'!$E$54),1,0)+IF(H436&gt;=('难度参数'!$E$52+'难度参数'!$E$53+'难度参数'!$E$54+'难度参数'!$E$55),1,0)+IF(H436&gt;=('难度参数'!$E$52+'难度参数'!$E$53+'难度参数'!$E$54+'难度参数'!$E$55+'难度参数'!$E$56),1,0)+IF(H436&gt;=('难度参数'!$E$52+'难度参数'!$E$53+'难度参数'!$E$54+'难度参数'!$E$55+'难度参数'!$E$56+'难度参数'!$E$57),1,0)</x:f>
        <x:v>6</x:v>
      </x:c>
      <x:c r="W436" s="62" t="str">
        <x:f>IF(L436&gt;'难度参数'!$E$51,"仅出怪已超目标","还需实测")</x:f>
        <x:v>仅出怪已超目标</x:v>
      </x:c>
      <x:c r="X436" s="119" t="n">
        <x:f>IF(1&gt;D436,0,MAX(2,MIN('难度参数'!$E$12,ROUND(('难度参数'!$E$18*POWER(A436,'难度参数'!$E$19)/D436*(0.85+0.3*(1-1)/MAX(1,D436-1))),0)+F436)))</x:f>
        <x:v>33</x:v>
      </x:c>
      <x:c r="Y436" s="119" t="n">
        <x:f>IF(1&gt;D436,0,ROUND(('难度参数'!$E$13*POWER(A436,'难度参数'!$E$20)*MIN('难度参数'!$E$23,1+MAX(0,A436-'难度参数'!$E$21)*'难度参数'!$E$22))*(36+1*7)/(36+7*(D436+1)/2)*E436,0))</x:f>
        <x:v>7140</x:v>
      </x:c>
      <x:c r="Z436" s="119" t="n">
        <x:f>IF(X436=0,0,(X436-IF(1=D436,1,0))*ROUND(Y436*VLOOKUP(INDEX('章节与怪物'!$E$31:$K$37,B436,1),'章节与怪物'!$A$41:$F$44,2,FALSE),0)+IF(1=D436,ROUND(Y436*'难度参数'!$E$28*'章节与怪物'!$E$17,0),0))</x:f>
        <x:v>169653</x:v>
      </x:c>
      <x:c r="AA436" s="119" t="n">
        <x:f>IF(X436=0,0,(X436-IF(1=D436,1,0))*VLOOKUP(INDEX('章节与怪物'!$E$31:$K$37,B436,1),'章节与怪物'!$A$41:$F$44,4,FALSE)+IF(1=D436,'难度参数'!$E$30,0))</x:f>
        <x:v>660</x:v>
      </x:c>
      <x:c r="AB436" s="119" t="n">
        <x:f>IF(2&gt;D436,0,MAX(2,MIN('难度参数'!$E$12,ROUND(('难度参数'!$E$18*POWER(A436,'难度参数'!$E$19)/D436*(0.85+0.3*(2-1)/MAX(1,D436-1))),0)+F436)))</x:f>
        <x:v>35</x:v>
      </x:c>
      <x:c r="AC436" s="119" t="n">
        <x:f>IF(2&gt;D436,0,ROUND(('难度参数'!$E$13*POWER(A436,'难度参数'!$E$20)*MIN('难度参数'!$E$23,1+MAX(0,A436-'难度参数'!$E$21)*'难度参数'!$E$22))*(36+2*7)/(36+7*(D436+1)/2)*E436,0))</x:f>
        <x:v>8303</x:v>
      </x:c>
      <x:c r="AD436" s="119" t="n">
        <x:f>IF(AB436=0,0,(AB436-IF(2=D436,1,0))*ROUND(AC436*VLOOKUP(INDEX('章节与怪物'!$E$31:$K$37,B436,2),'章节与怪物'!$A$41:$F$44,2,FALSE),0)+IF(2=D436,ROUND(AC436*'难度参数'!$E$28*'章节与怪物'!$E$17,0),0))</x:f>
        <x:v>290605</x:v>
      </x:c>
      <x:c r="AE436" s="119" t="n">
        <x:f>IF(AB436=0,0,(AB436-IF(2=D436,1,0))*VLOOKUP(INDEX('章节与怪物'!$E$31:$K$37,B436,2),'章节与怪物'!$A$41:$F$44,4,FALSE)+IF(2=D436,'难度参数'!$E$30,0))</x:f>
        <x:v>630</x:v>
      </x:c>
      <x:c r="AF436" s="119" t="n">
        <x:f>IF(3&gt;D436,0,MAX(2,MIN('难度参数'!$E$12,ROUND(('难度参数'!$E$18*POWER(A436,'难度参数'!$E$19)/D436*(0.85+0.3*(3-1)/MAX(1,D436-1))),0)+F436)))</x:f>
        <x:v>37</x:v>
      </x:c>
      <x:c r="AG436" s="119" t="n">
        <x:f>IF(3&gt;D436,0,ROUND(('难度参数'!$E$13*POWER(A436,'难度参数'!$E$20)*MIN('难度参数'!$E$23,1+MAX(0,A436-'难度参数'!$E$21)*'难度参数'!$E$22))*(36+3*7)/(36+7*(D436+1)/2)*E436,0))</x:f>
        <x:v>9465</x:v>
      </x:c>
      <x:c r="AH436" s="119" t="n">
        <x:f>IF(AF436=0,0,(AF436-IF(3=D436,1,0))*ROUND(AG436*VLOOKUP(INDEX('章节与怪物'!$E$31:$K$37,B436,3),'章节与怪物'!$A$41:$F$44,2,FALSE),0)+IF(3=D436,ROUND(AG436*'难度参数'!$E$28*'章节与怪物'!$E$17,0),0))</x:f>
        <x:v>595367</x:v>
      </x:c>
      <x:c r="AI436" s="119" t="n">
        <x:f>IF(AF436=0,0,(AF436-IF(3=D436,1,0))*VLOOKUP(INDEX('章节与怪物'!$E$31:$K$37,B436,3),'章节与怪物'!$A$41:$F$44,4,FALSE)+IF(3=D436,'难度参数'!$E$30,0))</x:f>
        <x:v>1036</x:v>
      </x:c>
      <x:c r="AJ436" s="119" t="n">
        <x:f>IF(4&gt;D436,0,MAX(2,MIN('难度参数'!$E$12,ROUND(('难度参数'!$E$18*POWER(A436,'难度参数'!$E$19)/D436*(0.85+0.3*(4-1)/MAX(1,D436-1))),0)+F436)))</x:f>
        <x:v>39</x:v>
      </x:c>
      <x:c r="AK436" s="119" t="n">
        <x:f>IF(4&gt;D436,0,ROUND(('难度参数'!$E$13*POWER(A436,'难度参数'!$E$20)*MIN('难度参数'!$E$23,1+MAX(0,A436-'难度参数'!$E$21)*'难度参数'!$E$22))*(36+4*7)/(36+7*(D436+1)/2)*E436,0))</x:f>
        <x:v>10627</x:v>
      </x:c>
      <x:c r="AL436" s="119" t="n">
        <x:f>IF(AJ436=0,0,(AJ436-IF(4=D436,1,0))*ROUND(AK436*VLOOKUP(INDEX('章节与怪物'!$E$31:$K$37,B436,4),'章节与怪物'!$A$41:$F$44,2,FALSE),0)+IF(4=D436,ROUND(AK436*'难度参数'!$E$28*'章节与怪物'!$E$17,0),0))</x:f>
        <x:v>559494</x:v>
      </x:c>
      <x:c r="AM436" s="119" t="n">
        <x:f>IF(AJ436=0,0,(AJ436-IF(4=D436,1,0))*VLOOKUP(INDEX('章节与怪物'!$E$31:$K$37,B436,4),'章节与怪物'!$A$41:$F$44,4,FALSE)+IF(4=D436,'难度参数'!$E$30,0))</x:f>
        <x:v>1326</x:v>
      </x:c>
      <x:c r="AN436" s="119" t="n">
        <x:f>IF(5&gt;D436,0,MAX(2,MIN('难度参数'!$E$12,ROUND(('难度参数'!$E$18*POWER(A436,'难度参数'!$E$19)/D436*(0.85+0.3*(5-1)/MAX(1,D436-1))),0)+F436)))</x:f>
        <x:v>41</x:v>
      </x:c>
      <x:c r="AO436" s="119" t="n">
        <x:f>IF(5&gt;D436,0,ROUND(('难度参数'!$E$13*POWER(A436,'难度参数'!$E$20)*MIN('难度参数'!$E$23,1+MAX(0,A436-'难度参数'!$E$21)*'难度参数'!$E$22))*(36+5*7)/(36+7*(D436+1)/2)*E436,0))</x:f>
        <x:v>11790</x:v>
      </x:c>
      <x:c r="AP436" s="119" t="n">
        <x:f>IF(AN436=0,0,(AN436-IF(5=D436,1,0))*ROUND(AO436*VLOOKUP(INDEX('章节与怪物'!$E$31:$K$37,B436,5),'章节与怪物'!$A$41:$F$44,2,FALSE),0)+IF(5=D436,ROUND(AO436*'难度参数'!$E$28*'章节与怪物'!$E$17,0),0))</x:f>
        <x:v>483390</x:v>
      </x:c>
      <x:c r="AQ436" s="119" t="n">
        <x:f>IF(AN436=0,0,(AN436-IF(5=D436,1,0))*VLOOKUP(INDEX('章节与怪物'!$E$31:$K$37,B436,5),'章节与怪物'!$A$41:$F$44,4,FALSE)+IF(5=D436,'难度参数'!$E$30,0))</x:f>
        <x:v>738</x:v>
      </x:c>
      <x:c r="AR436" s="119" t="n">
        <x:f>IF(6&gt;D436,0,MAX(2,MIN('难度参数'!$E$12,ROUND(('难度参数'!$E$18*POWER(A436,'难度参数'!$E$19)/D436*(0.85+0.3*(6-1)/MAX(1,D436-1))),0)+F436)))</x:f>
        <x:v>43</x:v>
      </x:c>
      <x:c r="AS436" s="119" t="n">
        <x:f>IF(6&gt;D436,0,ROUND(('难度参数'!$E$13*POWER(A436,'难度参数'!$E$20)*MIN('难度参数'!$E$23,1+MAX(0,A436-'难度参数'!$E$21)*'难度参数'!$E$22))*(36+6*7)/(36+7*(D436+1)/2)*E436,0))</x:f>
        <x:v>12952</x:v>
      </x:c>
      <x:c r="AT436" s="119" t="n">
        <x:f>IF(AR436=0,0,(AR436-IF(6=D436,1,0))*ROUND(AS436*VLOOKUP(INDEX('章节与怪物'!$E$31:$K$37,B436,6),'章节与怪物'!$A$41:$F$44,2,FALSE),0)+IF(6=D436,ROUND(AS436*'难度参数'!$E$28*'章节与怪物'!$E$17,0),0))</x:f>
        <x:v>946774</x:v>
      </x:c>
      <x:c r="AU436" s="119" t="n">
        <x:f>IF(AR436=0,0,(AR436-IF(6=D436,1,0))*VLOOKUP(INDEX('章节与怪物'!$E$31:$K$37,B436,6),'章节与怪物'!$A$41:$F$44,4,FALSE)+IF(6=D436,'难度参数'!$E$30,0))</x:f>
        <x:v>1204</x:v>
      </x:c>
      <x:c r="AV436" s="119" t="n">
        <x:f>IF(7&gt;D436,0,MAX(2,MIN('难度参数'!$E$12,ROUND(('难度参数'!$E$18*POWER(A436,'难度参数'!$E$19)/D436*(0.85+0.3*(7-1)/MAX(1,D436-1))),0)+F436)))</x:f>
        <x:v>45</x:v>
      </x:c>
      <x:c r="AW436" s="119" t="n">
        <x:f>IF(7&gt;D436,0,ROUND(('难度参数'!$E$13*POWER(A436,'难度参数'!$E$20)*MIN('难度参数'!$E$23,1+MAX(0,A436-'难度参数'!$E$21)*'难度参数'!$E$22))*(36+7*7)/(36+7*(D436+1)/2)*E436,0))</x:f>
        <x:v>14115</x:v>
      </x:c>
      <x:c r="AX436" s="119" t="n">
        <x:f>IF(AV436=0,0,(AV436-IF(7=D436,1,0))*ROUND(AW436*VLOOKUP(INDEX('章节与怪物'!$E$31:$K$37,B436,7),'章节与怪物'!$A$41:$F$44,2,FALSE),0)+IF(7=D436,ROUND(AW436*'难度参数'!$E$28*'章节与怪物'!$E$17,0),0))</x:f>
        <x:v>934402</x:v>
      </x:c>
      <x:c r="AY436" s="119" t="n">
        <x:f>IF(AV436=0,0,(AV436-IF(7=D436,1,0))*VLOOKUP(INDEX('章节与怪物'!$E$31:$K$37,B436,7),'章节与怪物'!$A$41:$F$44,4,FALSE)+IF(7=D436,'难度参数'!$E$30,0))</x:f>
        <x:v>1696</x:v>
      </x:c>
    </x:row>
    <x:row r="437" ht="23" customHeight="1">
      <x:c r="A437" s="119" t="n">
        <x:v>431</x:v>
      </x:c>
      <x:c r="B437" s="119" t="n">
        <x:f>MOD(INT((A437-1)/5),7)+1</x:f>
        <x:v>3</x:v>
      </x:c>
      <x:c r="C437" s="62" t="str">
        <x:f>INDEX('章节与怪物'!$B$31:$B$37,B437)</x:f>
        <x:v>腐沼秘林</x:v>
      </x:c>
      <x:c r="D437" s="119" t="n">
        <x:f>MIN('难度参数'!$E$8,MAX('难度参数'!$E$7,A437))</x:f>
        <x:v>7</x:v>
      </x:c>
      <x:c r="E437" s="106" t="n">
        <x:v>1</x:v>
      </x:c>
      <x:c r="F437" s="106" t="n">
        <x:v>0</x:v>
      </x:c>
      <x:c r="G437" s="106" t="n">
        <x:v>1</x:v>
      </x:c>
      <x:c r="H437" s="119" t="n">
        <x:f>SUM(X437,AB437,AF437,AJ437,AN437,AR437,AV437)</x:f>
        <x:v>273</x:v>
      </x:c>
      <x:c r="I437" s="119" t="n">
        <x:f>SUM(Z437,AD437,AH437,AL437,AP437,AT437,AX437)</x:f>
        <x:v>3835384</x:v>
      </x:c>
      <x:c r="J437" s="119" t="n">
        <x:f>ROUND(INDEX(X437:AY437,1,(D437-1)*4+2)*'难度参数'!$E$28*'章节与怪物'!$E$17,0)</x:f>
        <x:v>96138</x:v>
      </x:c>
      <x:c r="K437" s="119" t="n">
        <x:f>SUM(AA437,AE437,AI437,AM437,AQ437,AU437,AY437)</x:f>
        <x:v>7376</x:v>
      </x:c>
      <x:c r="L437" s="62" t="n">
        <x:f>H437*(ROUNDUP('难度参数'!$E$24/('难度参数'!$E$26*'难度参数'!$E$27),0)*'难度参数'!$E$26)/60</x:f>
        <x:v>3.64</x:v>
      </x:c>
      <x:c r="M437" s="62" t="n">
        <x:f>L437+D437*('难度参数'!$E$49+'难度参数'!$E$50)/60</x:f>
        <x:v>4.806666666666667</x:v>
      </x:c>
      <x:c r="N437" s="119" t="n">
        <x:f>ROUNDDOWN(('经济参数'!$E$20+A437*'经济参数'!$E$21)*G437,0)</x:f>
        <x:v>8800</x:v>
      </x:c>
      <x:c r="O437" s="119" t="n">
        <x:f>ROUNDDOWN(MIN('经济参数'!$E$24,'经济参数'!$E$22+A437*'经济参数'!$E$23)*G437,0)</x:f>
        <x:v>0</x:v>
      </x:c>
      <x:c r="P437" s="119" t="n">
        <x:f>ROUNDDOWN((IF(A437&gt;='材料与任务'!$E$31,'材料与任务'!$E$32,IF(A437&gt;='材料与任务'!$E$25,'材料与任务'!$E$26,IF(A437&gt;='材料与任务'!$E$19,'材料与任务'!$E$20,IF(A437&gt;='材料与任务'!$E$13,'材料与任务'!$E$14,'材料与任务'!$E$8)))))*G437,0)</x:f>
        <x:v>6</x:v>
      </x:c>
      <x:c r="Q437" s="119" t="n">
        <x:f>ROUNDDOWN((IF(A437&gt;='材料与任务'!$E$31,'材料与任务'!$E$33,IF(A437&gt;='材料与任务'!$E$25,'材料与任务'!$E$27,IF(A437&gt;='材料与任务'!$E$19,'材料与任务'!$E$21,IF(A437&gt;='材料与任务'!$E$13,'材料与任务'!$E$15,'材料与任务'!$E$9)))))*G437,0)</x:f>
        <x:v>3</x:v>
      </x:c>
      <x:c r="R437" s="110" t="n">
        <x:f>'装备掉落'!$B$38</x:f>
        <x:v>0.6872058758851213</x:v>
      </x:c>
      <x:c r="S437" s="119" t="n">
        <x:f>MAX(IF(VLOOKUP(A437,'装备掉落'!$A$29:$H$34,2,TRUE)&gt;0,1,0),IF(VLOOKUP(A437,'装备掉落'!$A$29:$H$34,3,TRUE)&gt;0,2,0),IF(VLOOKUP(A437,'装备掉落'!$A$29:$H$34,4,TRUE)&gt;0,3,0),IF(VLOOKUP(A437,'装备掉落'!$A$29:$H$34,5,TRUE)&gt;0,4,0),IF(VLOOKUP(A437,'装备掉落'!$A$29:$H$34,6,TRUE)&gt;0,5,0),IF(VLOOKUP(A437,'装备掉落'!$A$29:$H$34,7,TRUE)&gt;0,6,0),IF(VLOOKUP(A437,'装备掉落'!$A$29:$H$34,8,TRUE)&gt;0,7,0))</x:f>
        <x:v>7</x:v>
      </x:c>
      <x:c r="T437" s="119" t="n">
        <x:f>MIN(7,S437+'经济参数'!$E$70)</x:f>
        <x:v>7</x:v>
      </x:c>
      <x:c r="U437" s="119" t="n">
        <x:f>MIN(7,S437+'经济参数'!$E$71)</x:f>
        <x:v>7</x:v>
      </x:c>
      <x:c r="V437" s="119" t="n">
        <x:f>IF(H437&gt;=('难度参数'!$E$52),1,0)+IF(H437&gt;=('难度参数'!$E$52+'难度参数'!$E$53),1,0)+IF(H437&gt;=('难度参数'!$E$52+'难度参数'!$E$53+'难度参数'!$E$54),1,0)+IF(H437&gt;=('难度参数'!$E$52+'难度参数'!$E$53+'难度参数'!$E$54+'难度参数'!$E$55),1,0)+IF(H437&gt;=('难度参数'!$E$52+'难度参数'!$E$53+'难度参数'!$E$54+'难度参数'!$E$55+'难度参数'!$E$56),1,0)+IF(H437&gt;=('难度参数'!$E$52+'难度参数'!$E$53+'难度参数'!$E$54+'难度参数'!$E$55+'难度参数'!$E$56+'难度参数'!$E$57),1,0)</x:f>
        <x:v>6</x:v>
      </x:c>
      <x:c r="W437" s="62" t="str">
        <x:f>IF(L437&gt;'难度参数'!$E$51,"仅出怪已超目标","还需实测")</x:f>
        <x:v>仅出怪已超目标</x:v>
      </x:c>
      <x:c r="X437" s="119" t="n">
        <x:f>IF(1&gt;D437,0,MAX(2,MIN('难度参数'!$E$12,ROUND(('难度参数'!$E$18*POWER(A437,'难度参数'!$E$19)/D437*(0.85+0.3*(1-1)/MAX(1,D437-1))),0)+F437)))</x:f>
        <x:v>33</x:v>
      </x:c>
      <x:c r="Y437" s="119" t="n">
        <x:f>IF(1&gt;D437,0,ROUND(('难度参数'!$E$13*POWER(A437,'难度参数'!$E$20)*MIN('难度参数'!$E$23,1+MAX(0,A437-'难度参数'!$E$21)*'难度参数'!$E$22))*(36+1*7)/(36+7*(D437+1)/2)*E437,0))</x:f>
        <x:v>7152</x:v>
      </x:c>
      <x:c r="Z437" s="119" t="n">
        <x:f>IF(X437=0,0,(X437-IF(1=D437,1,0))*ROUND(Y437*VLOOKUP(INDEX('章节与怪物'!$E$31:$K$37,B437,1),'章节与怪物'!$A$41:$F$44,2,FALSE),0)+IF(1=D437,ROUND(Y437*'难度参数'!$E$28*'章节与怪物'!$E$17,0),0))</x:f>
        <x:v>236016</x:v>
      </x:c>
      <x:c r="AA437" s="119" t="n">
        <x:f>IF(X437=0,0,(X437-IF(1=D437,1,0))*VLOOKUP(INDEX('章节与怪物'!$E$31:$K$37,B437,1),'章节与怪物'!$A$41:$F$44,4,FALSE)+IF(1=D437,'难度参数'!$E$30,0))</x:f>
        <x:v>594</x:v>
      </x:c>
      <x:c r="AB437" s="119" t="n">
        <x:f>IF(2&gt;D437,0,MAX(2,MIN('难度参数'!$E$12,ROUND(('难度参数'!$E$18*POWER(A437,'难度参数'!$E$19)/D437*(0.85+0.3*(2-1)/MAX(1,D437-1))),0)+F437)))</x:f>
        <x:v>35</x:v>
      </x:c>
      <x:c r="AC437" s="119" t="n">
        <x:f>IF(2&gt;D437,0,ROUND(('难度参数'!$E$13*POWER(A437,'难度参数'!$E$20)*MIN('难度参数'!$E$23,1+MAX(0,A437-'难度参数'!$E$21)*'难度参数'!$E$22))*(36+2*7)/(36+7*(D437+1)/2)*E437,0))</x:f>
        <x:v>8317</x:v>
      </x:c>
      <x:c r="AD437" s="119" t="n">
        <x:f>IF(AB437=0,0,(AB437-IF(2=D437,1,0))*ROUND(AC437*VLOOKUP(INDEX('章节与怪物'!$E$31:$K$37,B437,2),'章节与怪物'!$A$41:$F$44,2,FALSE),0)+IF(2=D437,ROUND(AC437*'难度参数'!$E$28*'章节与怪物'!$E$17,0),0))</x:f>
        <x:v>209580</x:v>
      </x:c>
      <x:c r="AE437" s="119" t="n">
        <x:f>IF(AB437=0,0,(AB437-IF(2=D437,1,0))*VLOOKUP(INDEX('章节与怪物'!$E$31:$K$37,B437,2),'章节与怪物'!$A$41:$F$44,4,FALSE)+IF(2=D437,'难度参数'!$E$30,0))</x:f>
        <x:v>700</x:v>
      </x:c>
      <x:c r="AF437" s="119" t="n">
        <x:f>IF(3&gt;D437,0,MAX(2,MIN('难度参数'!$E$12,ROUND(('难度参数'!$E$18*POWER(A437,'难度参数'!$E$19)/D437*(0.85+0.3*(3-1)/MAX(1,D437-1))),0)+F437)))</x:f>
        <x:v>37</x:v>
      </x:c>
      <x:c r="AG437" s="119" t="n">
        <x:f>IF(3&gt;D437,0,ROUND(('难度参数'!$E$13*POWER(A437,'难度参数'!$E$20)*MIN('难度参数'!$E$23,1+MAX(0,A437-'难度参数'!$E$21)*'难度参数'!$E$22))*(36+3*7)/(36+7*(D437+1)/2)*E437,0))</x:f>
        <x:v>9481</x:v>
      </x:c>
      <x:c r="AH437" s="119" t="n">
        <x:f>IF(AF437=0,0,(AF437-IF(3=D437,1,0))*ROUND(AG437*VLOOKUP(INDEX('章节与怪物'!$E$31:$K$37,B437,3),'章节与怪物'!$A$41:$F$44,2,FALSE),0)+IF(3=D437,ROUND(AG437*'难度参数'!$E$28*'章节与怪物'!$E$17,0),0))</x:f>
        <x:v>596366</x:v>
      </x:c>
      <x:c r="AI437" s="119" t="n">
        <x:f>IF(AF437=0,0,(AF437-IF(3=D437,1,0))*VLOOKUP(INDEX('章节与怪物'!$E$31:$K$37,B437,3),'章节与怪物'!$A$41:$F$44,4,FALSE)+IF(3=D437,'难度参数'!$E$30,0))</x:f>
        <x:v>1036</x:v>
      </x:c>
      <x:c r="AJ437" s="119" t="n">
        <x:f>IF(4&gt;D437,0,MAX(2,MIN('难度参数'!$E$12,ROUND(('难度参数'!$E$18*POWER(A437,'难度参数'!$E$19)/D437*(0.85+0.3*(4-1)/MAX(1,D437-1))),0)+F437)))</x:f>
        <x:v>39</x:v>
      </x:c>
      <x:c r="AK437" s="119" t="n">
        <x:f>IF(4&gt;D437,0,ROUND(('难度参数'!$E$13*POWER(A437,'难度参数'!$E$20)*MIN('难度参数'!$E$23,1+MAX(0,A437-'难度参数'!$E$21)*'难度参数'!$E$22))*(36+4*7)/(36+7*(D437+1)/2)*E437,0))</x:f>
        <x:v>10645</x:v>
      </x:c>
      <x:c r="AL437" s="119" t="n">
        <x:f>IF(AJ437=0,0,(AJ437-IF(4=D437,1,0))*ROUND(AK437*VLOOKUP(INDEX('章节与怪物'!$E$31:$K$37,B437,4),'章节与怪物'!$A$41:$F$44,2,FALSE),0)+IF(4=D437,ROUND(AK437*'难度参数'!$E$28*'章节与怪物'!$E$17,0),0))</x:f>
        <x:v>560469</x:v>
      </x:c>
      <x:c r="AM437" s="119" t="n">
        <x:f>IF(AJ437=0,0,(AJ437-IF(4=D437,1,0))*VLOOKUP(INDEX('章节与怪物'!$E$31:$K$37,B437,4),'章节与怪物'!$A$41:$F$44,4,FALSE)+IF(4=D437,'难度参数'!$E$30,0))</x:f>
        <x:v>1326</x:v>
      </x:c>
      <x:c r="AN437" s="119" t="n">
        <x:f>IF(5&gt;D437,0,MAX(2,MIN('难度参数'!$E$12,ROUND(('难度参数'!$E$18*POWER(A437,'难度参数'!$E$19)/D437*(0.85+0.3*(5-1)/MAX(1,D437-1))),0)+F437)))</x:f>
        <x:v>41</x:v>
      </x:c>
      <x:c r="AO437" s="119" t="n">
        <x:f>IF(5&gt;D437,0,ROUND(('难度参数'!$E$13*POWER(A437,'难度参数'!$E$20)*MIN('难度参数'!$E$23,1+MAX(0,A437-'难度参数'!$E$21)*'难度参数'!$E$22))*(36+5*7)/(36+7*(D437+1)/2)*E437,0))</x:f>
        <x:v>11810</x:v>
      </x:c>
      <x:c r="AP437" s="119" t="n">
        <x:f>IF(AN437=0,0,(AN437-IF(5=D437,1,0))*ROUND(AO437*VLOOKUP(INDEX('章节与怪物'!$E$31:$K$37,B437,5),'章节与怪物'!$A$41:$F$44,2,FALSE),0)+IF(5=D437,ROUND(AO437*'难度参数'!$E$28*'章节与怪物'!$E$17,0),0))</x:f>
        <x:v>348623</x:v>
      </x:c>
      <x:c r="AQ437" s="119" t="n">
        <x:f>IF(AN437=0,0,(AN437-IF(5=D437,1,0))*VLOOKUP(INDEX('章节与怪物'!$E$31:$K$37,B437,5),'章节与怪物'!$A$41:$F$44,4,FALSE)+IF(5=D437,'难度参数'!$E$30,0))</x:f>
        <x:v>820</x:v>
      </x:c>
      <x:c r="AR437" s="119" t="n">
        <x:f>IF(6&gt;D437,0,MAX(2,MIN('难度参数'!$E$12,ROUND(('难度参数'!$E$18*POWER(A437,'难度参数'!$E$19)/D437*(0.85+0.3*(6-1)/MAX(1,D437-1))),0)+F437)))</x:f>
        <x:v>43</x:v>
      </x:c>
      <x:c r="AS437" s="119" t="n">
        <x:f>IF(6&gt;D437,0,ROUND(('难度参数'!$E$13*POWER(A437,'难度参数'!$E$20)*MIN('难度参数'!$E$23,1+MAX(0,A437-'难度参数'!$E$21)*'难度参数'!$E$22))*(36+6*7)/(36+7*(D437+1)/2)*E437,0))</x:f>
        <x:v>12974</x:v>
      </x:c>
      <x:c r="AT437" s="119" t="n">
        <x:f>IF(AR437=0,0,(AR437-IF(6=D437,1,0))*ROUND(AS437*VLOOKUP(INDEX('章节与怪物'!$E$31:$K$37,B437,6),'章节与怪物'!$A$41:$F$44,2,FALSE),0)+IF(6=D437,ROUND(AS437*'难度参数'!$E$28*'章节与怪物'!$E$17,0),0))</x:f>
        <x:v>948408</x:v>
      </x:c>
      <x:c r="AU437" s="119" t="n">
        <x:f>IF(AR437=0,0,(AR437-IF(6=D437,1,0))*VLOOKUP(INDEX('章节与怪物'!$E$31:$K$37,B437,6),'章节与怪物'!$A$41:$F$44,4,FALSE)+IF(6=D437,'难度参数'!$E$30,0))</x:f>
        <x:v>1204</x:v>
      </x:c>
      <x:c r="AV437" s="119" t="n">
        <x:f>IF(7&gt;D437,0,MAX(2,MIN('难度参数'!$E$12,ROUND(('难度参数'!$E$18*POWER(A437,'难度参数'!$E$19)/D437*(0.85+0.3*(7-1)/MAX(1,D437-1))),0)+F437)))</x:f>
        <x:v>45</x:v>
      </x:c>
      <x:c r="AW437" s="119" t="n">
        <x:f>IF(7&gt;D437,0,ROUND(('难度参数'!$E$13*POWER(A437,'难度参数'!$E$20)*MIN('难度参数'!$E$23,1+MAX(0,A437-'难度参数'!$E$21)*'难度参数'!$E$22))*(36+7*7)/(36+7*(D437+1)/2)*E437,0))</x:f>
        <x:v>14138</x:v>
      </x:c>
      <x:c r="AX437" s="119" t="n">
        <x:f>IF(AV437=0,0,(AV437-IF(7=D437,1,0))*ROUND(AW437*VLOOKUP(INDEX('章节与怪物'!$E$31:$K$37,B437,7),'章节与怪物'!$A$41:$F$44,2,FALSE),0)+IF(7=D437,ROUND(AW437*'难度参数'!$E$28*'章节与怪物'!$E$17,0),0))</x:f>
        <x:v>935922</x:v>
      </x:c>
      <x:c r="AY437" s="119" t="n">
        <x:f>IF(AV437=0,0,(AV437-IF(7=D437,1,0))*VLOOKUP(INDEX('章节与怪物'!$E$31:$K$37,B437,7),'章节与怪物'!$A$41:$F$44,4,FALSE)+IF(7=D437,'难度参数'!$E$30,0))</x:f>
        <x:v>1696</x:v>
      </x:c>
    </x:row>
    <x:row r="438" ht="23" customHeight="1">
      <x:c r="A438" s="119" t="n">
        <x:v>432</x:v>
      </x:c>
      <x:c r="B438" s="119" t="n">
        <x:f>MOD(INT((A438-1)/5),7)+1</x:f>
        <x:v>3</x:v>
      </x:c>
      <x:c r="C438" s="62" t="str">
        <x:f>INDEX('章节与怪物'!$B$31:$B$37,B438)</x:f>
        <x:v>腐沼秘林</x:v>
      </x:c>
      <x:c r="D438" s="119" t="n">
        <x:f>MIN('难度参数'!$E$8,MAX('难度参数'!$E$7,A438))</x:f>
        <x:v>7</x:v>
      </x:c>
      <x:c r="E438" s="106" t="n">
        <x:v>1</x:v>
      </x:c>
      <x:c r="F438" s="106" t="n">
        <x:v>0</x:v>
      </x:c>
      <x:c r="G438" s="106" t="n">
        <x:v>1</x:v>
      </x:c>
      <x:c r="H438" s="119" t="n">
        <x:f>SUM(X438,AB438,AF438,AJ438,AN438,AR438,AV438)</x:f>
        <x:v>274</x:v>
      </x:c>
      <x:c r="I438" s="119" t="n">
        <x:f>SUM(Z438,AD438,AH438,AL438,AP438,AT438,AX438)</x:f>
        <x:v>3849010</x:v>
      </x:c>
      <x:c r="J438" s="119" t="n">
        <x:f>ROUND(INDEX(X438:AY438,1,(D438-1)*4+2)*'难度参数'!$E$28*'章节与怪物'!$E$17,0)</x:f>
        <x:v>96302</x:v>
      </x:c>
      <x:c r="K438" s="119" t="n">
        <x:f>SUM(AA438,AE438,AI438,AM438,AQ438,AU438,AY438)</x:f>
        <x:v>7394</x:v>
      </x:c>
      <x:c r="L438" s="62" t="n">
        <x:f>H438*(ROUNDUP('难度参数'!$E$24/('难度参数'!$E$26*'难度参数'!$E$27),0)*'难度参数'!$E$26)/60</x:f>
        <x:v>3.6533333333333338</x:v>
      </x:c>
      <x:c r="M438" s="62" t="n">
        <x:f>L438+D438*('难度参数'!$E$49+'难度参数'!$E$50)/60</x:f>
        <x:v>4.82</x:v>
      </x:c>
      <x:c r="N438" s="119" t="n">
        <x:f>ROUNDDOWN(('经济参数'!$E$20+A438*'经济参数'!$E$21)*G438,0)</x:f>
        <x:v>8820</x:v>
      </x:c>
      <x:c r="O438" s="119" t="n">
        <x:f>ROUNDDOWN(MIN('经济参数'!$E$24,'经济参数'!$E$22+A438*'经济参数'!$E$23)*G438,0)</x:f>
        <x:v>0</x:v>
      </x:c>
      <x:c r="P438" s="119" t="n">
        <x:f>ROUNDDOWN((IF(A438&gt;='材料与任务'!$E$31,'材料与任务'!$E$32,IF(A438&gt;='材料与任务'!$E$25,'材料与任务'!$E$26,IF(A438&gt;='材料与任务'!$E$19,'材料与任务'!$E$20,IF(A438&gt;='材料与任务'!$E$13,'材料与任务'!$E$14,'材料与任务'!$E$8)))))*G438,0)</x:f>
        <x:v>6</x:v>
      </x:c>
      <x:c r="Q438" s="119" t="n">
        <x:f>ROUNDDOWN((IF(A438&gt;='材料与任务'!$E$31,'材料与任务'!$E$33,IF(A438&gt;='材料与任务'!$E$25,'材料与任务'!$E$27,IF(A438&gt;='材料与任务'!$E$19,'材料与任务'!$E$21,IF(A438&gt;='材料与任务'!$E$13,'材料与任务'!$E$15,'材料与任务'!$E$9)))))*G438,0)</x:f>
        <x:v>3</x:v>
      </x:c>
      <x:c r="R438" s="110" t="n">
        <x:f>'装备掉落'!$B$38</x:f>
        <x:v>0.6872058758851213</x:v>
      </x:c>
      <x:c r="S438" s="119" t="n">
        <x:f>MAX(IF(VLOOKUP(A438,'装备掉落'!$A$29:$H$34,2,TRUE)&gt;0,1,0),IF(VLOOKUP(A438,'装备掉落'!$A$29:$H$34,3,TRUE)&gt;0,2,0),IF(VLOOKUP(A438,'装备掉落'!$A$29:$H$34,4,TRUE)&gt;0,3,0),IF(VLOOKUP(A438,'装备掉落'!$A$29:$H$34,5,TRUE)&gt;0,4,0),IF(VLOOKUP(A438,'装备掉落'!$A$29:$H$34,6,TRUE)&gt;0,5,0),IF(VLOOKUP(A438,'装备掉落'!$A$29:$H$34,7,TRUE)&gt;0,6,0),IF(VLOOKUP(A438,'装备掉落'!$A$29:$H$34,8,TRUE)&gt;0,7,0))</x:f>
        <x:v>7</x:v>
      </x:c>
      <x:c r="T438" s="119" t="n">
        <x:f>MIN(7,S438+'经济参数'!$E$70)</x:f>
        <x:v>7</x:v>
      </x:c>
      <x:c r="U438" s="119" t="n">
        <x:f>MIN(7,S438+'经济参数'!$E$71)</x:f>
        <x:v>7</x:v>
      </x:c>
      <x:c r="V438" s="119" t="n">
        <x:f>IF(H438&gt;=('难度参数'!$E$52),1,0)+IF(H438&gt;=('难度参数'!$E$52+'难度参数'!$E$53),1,0)+IF(H438&gt;=('难度参数'!$E$52+'难度参数'!$E$53+'难度参数'!$E$54),1,0)+IF(H438&gt;=('难度参数'!$E$52+'难度参数'!$E$53+'难度参数'!$E$54+'难度参数'!$E$55),1,0)+IF(H438&gt;=('难度参数'!$E$52+'难度参数'!$E$53+'难度参数'!$E$54+'难度参数'!$E$55+'难度参数'!$E$56),1,0)+IF(H438&gt;=('难度参数'!$E$52+'难度参数'!$E$53+'难度参数'!$E$54+'难度参数'!$E$55+'难度参数'!$E$56+'难度参数'!$E$57),1,0)</x:f>
        <x:v>6</x:v>
      </x:c>
      <x:c r="W438" s="62" t="str">
        <x:f>IF(L438&gt;'难度参数'!$E$51,"仅出怪已超目标","还需实测")</x:f>
        <x:v>仅出怪已超目标</x:v>
      </x:c>
      <x:c r="X438" s="119" t="n">
        <x:f>IF(1&gt;D438,0,MAX(2,MIN('难度参数'!$E$12,ROUND(('难度参数'!$E$18*POWER(A438,'难度参数'!$E$19)/D438*(0.85+0.3*(1-1)/MAX(1,D438-1))),0)+F438)))</x:f>
        <x:v>34</x:v>
      </x:c>
      <x:c r="Y438" s="119" t="n">
        <x:f>IF(1&gt;D438,0,ROUND(('难度参数'!$E$13*POWER(A438,'难度参数'!$E$20)*MIN('难度参数'!$E$23,1+MAX(0,A438-'难度参数'!$E$21)*'难度参数'!$E$22))*(36+1*7)/(36+7*(D438+1)/2)*E438,0))</x:f>
        <x:v>7164</x:v>
      </x:c>
      <x:c r="Z438" s="119" t="n">
        <x:f>IF(X438=0,0,(X438-IF(1=D438,1,0))*ROUND(Y438*VLOOKUP(INDEX('章节与怪物'!$E$31:$K$37,B438,1),'章节与怪物'!$A$41:$F$44,2,FALSE),0)+IF(1=D438,ROUND(Y438*'难度参数'!$E$28*'章节与怪物'!$E$17,0),0))</x:f>
        <x:v>243576</x:v>
      </x:c>
      <x:c r="AA438" s="119" t="n">
        <x:f>IF(X438=0,0,(X438-IF(1=D438,1,0))*VLOOKUP(INDEX('章节与怪物'!$E$31:$K$37,B438,1),'章节与怪物'!$A$41:$F$44,4,FALSE)+IF(1=D438,'难度参数'!$E$30,0))</x:f>
        <x:v>612</x:v>
      </x:c>
      <x:c r="AB438" s="119" t="n">
        <x:f>IF(2&gt;D438,0,MAX(2,MIN('难度参数'!$E$12,ROUND(('难度参数'!$E$18*POWER(A438,'难度参数'!$E$19)/D438*(0.85+0.3*(2-1)/MAX(1,D438-1))),0)+F438)))</x:f>
        <x:v>35</x:v>
      </x:c>
      <x:c r="AC438" s="119" t="n">
        <x:f>IF(2&gt;D438,0,ROUND(('难度参数'!$E$13*POWER(A438,'难度参数'!$E$20)*MIN('难度参数'!$E$23,1+MAX(0,A438-'难度参数'!$E$21)*'难度参数'!$E$22))*(36+2*7)/(36+7*(D438+1)/2)*E438,0))</x:f>
        <x:v>8331</x:v>
      </x:c>
      <x:c r="AD438" s="119" t="n">
        <x:f>IF(AB438=0,0,(AB438-IF(2=D438,1,0))*ROUND(AC438*VLOOKUP(INDEX('章节与怪物'!$E$31:$K$37,B438,2),'章节与怪物'!$A$41:$F$44,2,FALSE),0)+IF(2=D438,ROUND(AC438*'难度参数'!$E$28*'章节与怪物'!$E$17,0),0))</x:f>
        <x:v>209930</x:v>
      </x:c>
      <x:c r="AE438" s="119" t="n">
        <x:f>IF(AB438=0,0,(AB438-IF(2=D438,1,0))*VLOOKUP(INDEX('章节与怪物'!$E$31:$K$37,B438,2),'章节与怪物'!$A$41:$F$44,4,FALSE)+IF(2=D438,'难度参数'!$E$30,0))</x:f>
        <x:v>700</x:v>
      </x:c>
      <x:c r="AF438" s="119" t="n">
        <x:f>IF(3&gt;D438,0,MAX(2,MIN('难度参数'!$E$12,ROUND(('难度参数'!$E$18*POWER(A438,'难度参数'!$E$19)/D438*(0.85+0.3*(3-1)/MAX(1,D438-1))),0)+F438)))</x:f>
        <x:v>37</x:v>
      </x:c>
      <x:c r="AG438" s="119" t="n">
        <x:f>IF(3&gt;D438,0,ROUND(('难度参数'!$E$13*POWER(A438,'难度参数'!$E$20)*MIN('难度参数'!$E$23,1+MAX(0,A438-'难度参数'!$E$21)*'难度参数'!$E$22))*(36+3*7)/(36+7*(D438+1)/2)*E438,0))</x:f>
        <x:v>9497</x:v>
      </x:c>
      <x:c r="AH438" s="119" t="n">
        <x:f>IF(AF438=0,0,(AF438-IF(3=D438,1,0))*ROUND(AG438*VLOOKUP(INDEX('章节与怪物'!$E$31:$K$37,B438,3),'章节与怪物'!$A$41:$F$44,2,FALSE),0)+IF(3=D438,ROUND(AG438*'难度参数'!$E$28*'章节与怪物'!$E$17,0),0))</x:f>
        <x:v>597365</x:v>
      </x:c>
      <x:c r="AI438" s="119" t="n">
        <x:f>IF(AF438=0,0,(AF438-IF(3=D438,1,0))*VLOOKUP(INDEX('章节与怪物'!$E$31:$K$37,B438,3),'章节与怪物'!$A$41:$F$44,4,FALSE)+IF(3=D438,'难度参数'!$E$30,0))</x:f>
        <x:v>1036</x:v>
      </x:c>
      <x:c r="AJ438" s="119" t="n">
        <x:f>IF(4&gt;D438,0,MAX(2,MIN('难度参数'!$E$12,ROUND(('难度参数'!$E$18*POWER(A438,'难度参数'!$E$19)/D438*(0.85+0.3*(4-1)/MAX(1,D438-1))),0)+F438)))</x:f>
        <x:v>39</x:v>
      </x:c>
      <x:c r="AK438" s="119" t="n">
        <x:f>IF(4&gt;D438,0,ROUND(('难度参数'!$E$13*POWER(A438,'难度参数'!$E$20)*MIN('难度参数'!$E$23,1+MAX(0,A438-'难度参数'!$E$21)*'难度参数'!$E$22))*(36+4*7)/(36+7*(D438+1)/2)*E438,0))</x:f>
        <x:v>10663</x:v>
      </x:c>
      <x:c r="AL438" s="119" t="n">
        <x:f>IF(AJ438=0,0,(AJ438-IF(4=D438,1,0))*ROUND(AK438*VLOOKUP(INDEX('章节与怪物'!$E$31:$K$37,B438,4),'章节与怪物'!$A$41:$F$44,2,FALSE),0)+IF(4=D438,ROUND(AK438*'难度参数'!$E$28*'章节与怪物'!$E$17,0),0))</x:f>
        <x:v>561405</x:v>
      </x:c>
      <x:c r="AM438" s="119" t="n">
        <x:f>IF(AJ438=0,0,(AJ438-IF(4=D438,1,0))*VLOOKUP(INDEX('章节与怪物'!$E$31:$K$37,B438,4),'章节与怪物'!$A$41:$F$44,4,FALSE)+IF(4=D438,'难度参数'!$E$30,0))</x:f>
        <x:v>1326</x:v>
      </x:c>
      <x:c r="AN438" s="119" t="n">
        <x:f>IF(5&gt;D438,0,MAX(2,MIN('难度参数'!$E$12,ROUND(('难度参数'!$E$18*POWER(A438,'难度参数'!$E$19)/D438*(0.85+0.3*(5-1)/MAX(1,D438-1))),0)+F438)))</x:f>
        <x:v>41</x:v>
      </x:c>
      <x:c r="AO438" s="119" t="n">
        <x:f>IF(5&gt;D438,0,ROUND(('难度参数'!$E$13*POWER(A438,'难度参数'!$E$20)*MIN('难度参数'!$E$23,1+MAX(0,A438-'难度参数'!$E$21)*'难度参数'!$E$22))*(36+5*7)/(36+7*(D438+1)/2)*E438,0))</x:f>
        <x:v>11829</x:v>
      </x:c>
      <x:c r="AP438" s="119" t="n">
        <x:f>IF(AN438=0,0,(AN438-IF(5=D438,1,0))*ROUND(AO438*VLOOKUP(INDEX('章节与怪物'!$E$31:$K$37,B438,5),'章节与怪物'!$A$41:$F$44,2,FALSE),0)+IF(5=D438,ROUND(AO438*'难度参数'!$E$28*'章节与怪物'!$E$17,0),0))</x:f>
        <x:v>349197</x:v>
      </x:c>
      <x:c r="AQ438" s="119" t="n">
        <x:f>IF(AN438=0,0,(AN438-IF(5=D438,1,0))*VLOOKUP(INDEX('章节与怪物'!$E$31:$K$37,B438,5),'章节与怪物'!$A$41:$F$44,4,FALSE)+IF(5=D438,'难度参数'!$E$30,0))</x:f>
        <x:v>820</x:v>
      </x:c>
      <x:c r="AR438" s="119" t="n">
        <x:f>IF(6&gt;D438,0,MAX(2,MIN('难度参数'!$E$12,ROUND(('难度参数'!$E$18*POWER(A438,'难度参数'!$E$19)/D438*(0.85+0.3*(6-1)/MAX(1,D438-1))),0)+F438)))</x:f>
        <x:v>43</x:v>
      </x:c>
      <x:c r="AS438" s="119" t="n">
        <x:f>IF(6&gt;D438,0,ROUND(('难度参数'!$E$13*POWER(A438,'难度参数'!$E$20)*MIN('难度参数'!$E$23,1+MAX(0,A438-'难度参数'!$E$21)*'难度参数'!$E$22))*(36+6*7)/(36+7*(D438+1)/2)*E438,0))</x:f>
        <x:v>12996</x:v>
      </x:c>
      <x:c r="AT438" s="119" t="n">
        <x:f>IF(AR438=0,0,(AR438-IF(6=D438,1,0))*ROUND(AS438*VLOOKUP(INDEX('章节与怪物'!$E$31:$K$37,B438,6),'章节与怪物'!$A$41:$F$44,2,FALSE),0)+IF(6=D438,ROUND(AS438*'难度参数'!$E$28*'章节与怪物'!$E$17,0),0))</x:f>
        <x:v>949999</x:v>
      </x:c>
      <x:c r="AU438" s="119" t="n">
        <x:f>IF(AR438=0,0,(AR438-IF(6=D438,1,0))*VLOOKUP(INDEX('章节与怪物'!$E$31:$K$37,B438,6),'章节与怪物'!$A$41:$F$44,4,FALSE)+IF(6=D438,'难度参数'!$E$30,0))</x:f>
        <x:v>1204</x:v>
      </x:c>
      <x:c r="AV438" s="119" t="n">
        <x:f>IF(7&gt;D438,0,MAX(2,MIN('难度参数'!$E$12,ROUND(('难度参数'!$E$18*POWER(A438,'难度参数'!$E$19)/D438*(0.85+0.3*(7-1)/MAX(1,D438-1))),0)+F438)))</x:f>
        <x:v>45</x:v>
      </x:c>
      <x:c r="AW438" s="119" t="n">
        <x:f>IF(7&gt;D438,0,ROUND(('难度参数'!$E$13*POWER(A438,'难度参数'!$E$20)*MIN('难度参数'!$E$23,1+MAX(0,A438-'难度参数'!$E$21)*'难度参数'!$E$22))*(36+7*7)/(36+7*(D438+1)/2)*E438,0))</x:f>
        <x:v>14162</x:v>
      </x:c>
      <x:c r="AX438" s="119" t="n">
        <x:f>IF(AV438=0,0,(AV438-IF(7=D438,1,0))*ROUND(AW438*VLOOKUP(INDEX('章节与怪物'!$E$31:$K$37,B438,7),'章节与怪物'!$A$41:$F$44,2,FALSE),0)+IF(7=D438,ROUND(AW438*'难度参数'!$E$28*'章节与怪物'!$E$17,0),0))</x:f>
        <x:v>937538</x:v>
      </x:c>
      <x:c r="AY438" s="119" t="n">
        <x:f>IF(AV438=0,0,(AV438-IF(7=D438,1,0))*VLOOKUP(INDEX('章节与怪物'!$E$31:$K$37,B438,7),'章节与怪物'!$A$41:$F$44,4,FALSE)+IF(7=D438,'难度参数'!$E$30,0))</x:f>
        <x:v>1696</x:v>
      </x:c>
    </x:row>
    <x:row r="439" ht="23" customHeight="1">
      <x:c r="A439" s="119" t="n">
        <x:v>433</x:v>
      </x:c>
      <x:c r="B439" s="119" t="n">
        <x:f>MOD(INT((A439-1)/5),7)+1</x:f>
        <x:v>3</x:v>
      </x:c>
      <x:c r="C439" s="62" t="str">
        <x:f>INDEX('章节与怪物'!$B$31:$B$37,B439)</x:f>
        <x:v>腐沼秘林</x:v>
      </x:c>
      <x:c r="D439" s="119" t="n">
        <x:f>MIN('难度参数'!$E$8,MAX('难度参数'!$E$7,A439))</x:f>
        <x:v>7</x:v>
      </x:c>
      <x:c r="E439" s="106" t="n">
        <x:v>1</x:v>
      </x:c>
      <x:c r="F439" s="106" t="n">
        <x:v>0</x:v>
      </x:c>
      <x:c r="G439" s="106" t="n">
        <x:v>1</x:v>
      </x:c>
      <x:c r="H439" s="119" t="n">
        <x:f>SUM(X439,AB439,AF439,AJ439,AN439,AR439,AV439)</x:f>
        <x:v>275</x:v>
      </x:c>
      <x:c r="I439" s="119" t="n">
        <x:f>SUM(Z439,AD439,AH439,AL439,AP439,AT439,AX439)</x:f>
        <x:v>3861353</x:v>
      </x:c>
      <x:c r="J439" s="119" t="n">
        <x:f>ROUND(INDEX(X439:AY439,1,(D439-1)*4+2)*'难度参数'!$E$28*'章节与怪物'!$E$17,0)</x:f>
        <x:v>96458</x:v>
      </x:c>
      <x:c r="K439" s="119" t="n">
        <x:f>SUM(AA439,AE439,AI439,AM439,AQ439,AU439,AY439)</x:f>
        <x:v>7414</x:v>
      </x:c>
      <x:c r="L439" s="62" t="n">
        <x:f>H439*(ROUNDUP('难度参数'!$E$24/('难度参数'!$E$26*'难度参数'!$E$27),0)*'难度参数'!$E$26)/60</x:f>
        <x:v>3.6666666666666665</x:v>
      </x:c>
      <x:c r="M439" s="62" t="n">
        <x:f>L439+D439*('难度参数'!$E$49+'难度参数'!$E$50)/60</x:f>
        <x:v>4.833333333333333</x:v>
      </x:c>
      <x:c r="N439" s="119" t="n">
        <x:f>ROUNDDOWN(('经济参数'!$E$20+A439*'经济参数'!$E$21)*G439,0)</x:f>
        <x:v>8840</x:v>
      </x:c>
      <x:c r="O439" s="119" t="n">
        <x:f>ROUNDDOWN(MIN('经济参数'!$E$24,'经济参数'!$E$22+A439*'经济参数'!$E$23)*G439,0)</x:f>
        <x:v>0</x:v>
      </x:c>
      <x:c r="P439" s="119" t="n">
        <x:f>ROUNDDOWN((IF(A439&gt;='材料与任务'!$E$31,'材料与任务'!$E$32,IF(A439&gt;='材料与任务'!$E$25,'材料与任务'!$E$26,IF(A439&gt;='材料与任务'!$E$19,'材料与任务'!$E$20,IF(A439&gt;='材料与任务'!$E$13,'材料与任务'!$E$14,'材料与任务'!$E$8)))))*G439,0)</x:f>
        <x:v>6</x:v>
      </x:c>
      <x:c r="Q439" s="119" t="n">
        <x:f>ROUNDDOWN((IF(A439&gt;='材料与任务'!$E$31,'材料与任务'!$E$33,IF(A439&gt;='材料与任务'!$E$25,'材料与任务'!$E$27,IF(A439&gt;='材料与任务'!$E$19,'材料与任务'!$E$21,IF(A439&gt;='材料与任务'!$E$13,'材料与任务'!$E$15,'材料与任务'!$E$9)))))*G439,0)</x:f>
        <x:v>3</x:v>
      </x:c>
      <x:c r="R439" s="110" t="n">
        <x:f>'装备掉落'!$B$38</x:f>
        <x:v>0.6872058758851213</x:v>
      </x:c>
      <x:c r="S439" s="119" t="n">
        <x:f>MAX(IF(VLOOKUP(A439,'装备掉落'!$A$29:$H$34,2,TRUE)&gt;0,1,0),IF(VLOOKUP(A439,'装备掉落'!$A$29:$H$34,3,TRUE)&gt;0,2,0),IF(VLOOKUP(A439,'装备掉落'!$A$29:$H$34,4,TRUE)&gt;0,3,0),IF(VLOOKUP(A439,'装备掉落'!$A$29:$H$34,5,TRUE)&gt;0,4,0),IF(VLOOKUP(A439,'装备掉落'!$A$29:$H$34,6,TRUE)&gt;0,5,0),IF(VLOOKUP(A439,'装备掉落'!$A$29:$H$34,7,TRUE)&gt;0,6,0),IF(VLOOKUP(A439,'装备掉落'!$A$29:$H$34,8,TRUE)&gt;0,7,0))</x:f>
        <x:v>7</x:v>
      </x:c>
      <x:c r="T439" s="119" t="n">
        <x:f>MIN(7,S439+'经济参数'!$E$70)</x:f>
        <x:v>7</x:v>
      </x:c>
      <x:c r="U439" s="119" t="n">
        <x:f>MIN(7,S439+'经济参数'!$E$71)</x:f>
        <x:v>7</x:v>
      </x:c>
      <x:c r="V439" s="119" t="n">
        <x:f>IF(H439&gt;=('难度参数'!$E$52),1,0)+IF(H439&gt;=('难度参数'!$E$52+'难度参数'!$E$53),1,0)+IF(H439&gt;=('难度参数'!$E$52+'难度参数'!$E$53+'难度参数'!$E$54),1,0)+IF(H439&gt;=('难度参数'!$E$52+'难度参数'!$E$53+'难度参数'!$E$54+'难度参数'!$E$55),1,0)+IF(H439&gt;=('难度参数'!$E$52+'难度参数'!$E$53+'难度参数'!$E$54+'难度参数'!$E$55+'难度参数'!$E$56),1,0)+IF(H439&gt;=('难度参数'!$E$52+'难度参数'!$E$53+'难度参数'!$E$54+'难度参数'!$E$55+'难度参数'!$E$56+'难度参数'!$E$57),1,0)</x:f>
        <x:v>6</x:v>
      </x:c>
      <x:c r="W439" s="62" t="str">
        <x:f>IF(L439&gt;'难度参数'!$E$51,"仅出怪已超目标","还需实测")</x:f>
        <x:v>仅出怪已超目标</x:v>
      </x:c>
      <x:c r="X439" s="119" t="n">
        <x:f>IF(1&gt;D439,0,MAX(2,MIN('难度参数'!$E$12,ROUND(('难度参数'!$E$18*POWER(A439,'难度参数'!$E$19)/D439*(0.85+0.3*(1-1)/MAX(1,D439-1))),0)+F439)))</x:f>
        <x:v>34</x:v>
      </x:c>
      <x:c r="Y439" s="119" t="n">
        <x:f>IF(1&gt;D439,0,ROUND(('难度参数'!$E$13*POWER(A439,'难度参数'!$E$20)*MIN('难度参数'!$E$23,1+MAX(0,A439-'难度参数'!$E$21)*'难度参数'!$E$22))*(36+1*7)/(36+7*(D439+1)/2)*E439,0))</x:f>
        <x:v>7176</x:v>
      </x:c>
      <x:c r="Z439" s="119" t="n">
        <x:f>IF(X439=0,0,(X439-IF(1=D439,1,0))*ROUND(Y439*VLOOKUP(INDEX('章节与怪物'!$E$31:$K$37,B439,1),'章节与怪物'!$A$41:$F$44,2,FALSE),0)+IF(1=D439,ROUND(Y439*'难度参数'!$E$28*'章节与怪物'!$E$17,0),0))</x:f>
        <x:v>243984</x:v>
      </x:c>
      <x:c r="AA439" s="119" t="n">
        <x:f>IF(X439=0,0,(X439-IF(1=D439,1,0))*VLOOKUP(INDEX('章节与怪物'!$E$31:$K$37,B439,1),'章节与怪物'!$A$41:$F$44,4,FALSE)+IF(1=D439,'难度参数'!$E$30,0))</x:f>
        <x:v>612</x:v>
      </x:c>
      <x:c r="AB439" s="119" t="n">
        <x:f>IF(2&gt;D439,0,MAX(2,MIN('难度参数'!$E$12,ROUND(('难度参数'!$E$18*POWER(A439,'难度参数'!$E$19)/D439*(0.85+0.3*(2-1)/MAX(1,D439-1))),0)+F439)))</x:f>
        <x:v>36</x:v>
      </x:c>
      <x:c r="AC439" s="119" t="n">
        <x:f>IF(2&gt;D439,0,ROUND(('难度参数'!$E$13*POWER(A439,'难度参数'!$E$20)*MIN('难度参数'!$E$23,1+MAX(0,A439-'难度参数'!$E$21)*'难度参数'!$E$22))*(36+2*7)/(36+7*(D439+1)/2)*E439,0))</x:f>
        <x:v>8344</x:v>
      </x:c>
      <x:c r="AD439" s="119" t="n">
        <x:f>IF(AB439=0,0,(AB439-IF(2=D439,1,0))*ROUND(AC439*VLOOKUP(INDEX('章节与怪物'!$E$31:$K$37,B439,2),'章节与怪物'!$A$41:$F$44,2,FALSE),0)+IF(2=D439,ROUND(AC439*'难度参数'!$E$28*'章节与怪物'!$E$17,0),0))</x:f>
        <x:v>216288</x:v>
      </x:c>
      <x:c r="AE439" s="119" t="n">
        <x:f>IF(AB439=0,0,(AB439-IF(2=D439,1,0))*VLOOKUP(INDEX('章节与怪物'!$E$31:$K$37,B439,2),'章节与怪物'!$A$41:$F$44,4,FALSE)+IF(2=D439,'难度参数'!$E$30,0))</x:f>
        <x:v>720</x:v>
      </x:c>
      <x:c r="AF439" s="119" t="n">
        <x:f>IF(3&gt;D439,0,MAX(2,MIN('难度参数'!$E$12,ROUND(('难度参数'!$E$18*POWER(A439,'难度参数'!$E$19)/D439*(0.85+0.3*(3-1)/MAX(1,D439-1))),0)+F439)))</x:f>
        <x:v>37</x:v>
      </x:c>
      <x:c r="AG439" s="119" t="n">
        <x:f>IF(3&gt;D439,0,ROUND(('难度参数'!$E$13*POWER(A439,'难度参数'!$E$20)*MIN('难度参数'!$E$23,1+MAX(0,A439-'难度参数'!$E$21)*'难度参数'!$E$22))*(36+3*7)/(36+7*(D439+1)/2)*E439,0))</x:f>
        <x:v>9513</x:v>
      </x:c>
      <x:c r="AH439" s="119" t="n">
        <x:f>IF(AF439=0,0,(AF439-IF(3=D439,1,0))*ROUND(AG439*VLOOKUP(INDEX('章节与怪物'!$E$31:$K$37,B439,3),'章节与怪物'!$A$41:$F$44,2,FALSE),0)+IF(3=D439,ROUND(AG439*'难度参数'!$E$28*'章节与怪物'!$E$17,0),0))</x:f>
        <x:v>598364</x:v>
      </x:c>
      <x:c r="AI439" s="119" t="n">
        <x:f>IF(AF439=0,0,(AF439-IF(3=D439,1,0))*VLOOKUP(INDEX('章节与怪物'!$E$31:$K$37,B439,3),'章节与怪物'!$A$41:$F$44,4,FALSE)+IF(3=D439,'难度参数'!$E$30,0))</x:f>
        <x:v>1036</x:v>
      </x:c>
      <x:c r="AJ439" s="119" t="n">
        <x:f>IF(4&gt;D439,0,MAX(2,MIN('难度参数'!$E$12,ROUND(('难度参数'!$E$18*POWER(A439,'难度参数'!$E$19)/D439*(0.85+0.3*(4-1)/MAX(1,D439-1))),0)+F439)))</x:f>
        <x:v>39</x:v>
      </x:c>
      <x:c r="AK439" s="119" t="n">
        <x:f>IF(4&gt;D439,0,ROUND(('难度参数'!$E$13*POWER(A439,'难度参数'!$E$20)*MIN('难度参数'!$E$23,1+MAX(0,A439-'难度参数'!$E$21)*'难度参数'!$E$22))*(36+4*7)/(36+7*(D439+1)/2)*E439,0))</x:f>
        <x:v>10681</x:v>
      </x:c>
      <x:c r="AL439" s="119" t="n">
        <x:f>IF(AJ439=0,0,(AJ439-IF(4=D439,1,0))*ROUND(AK439*VLOOKUP(INDEX('章节与怪物'!$E$31:$K$37,B439,4),'章节与怪物'!$A$41:$F$44,2,FALSE),0)+IF(4=D439,ROUND(AK439*'难度参数'!$E$28*'章节与怪物'!$E$17,0),0))</x:f>
        <x:v>562341</x:v>
      </x:c>
      <x:c r="AM439" s="119" t="n">
        <x:f>IF(AJ439=0,0,(AJ439-IF(4=D439,1,0))*VLOOKUP(INDEX('章节与怪物'!$E$31:$K$37,B439,4),'章节与怪物'!$A$41:$F$44,4,FALSE)+IF(4=D439,'难度参数'!$E$30,0))</x:f>
        <x:v>1326</x:v>
      </x:c>
      <x:c r="AN439" s="119" t="n">
        <x:f>IF(5&gt;D439,0,MAX(2,MIN('难度参数'!$E$12,ROUND(('难度参数'!$E$18*POWER(A439,'难度参数'!$E$19)/D439*(0.85+0.3*(5-1)/MAX(1,D439-1))),0)+F439)))</x:f>
        <x:v>41</x:v>
      </x:c>
      <x:c r="AO439" s="119" t="n">
        <x:f>IF(5&gt;D439,0,ROUND(('难度参数'!$E$13*POWER(A439,'难度参数'!$E$20)*MIN('难度参数'!$E$23,1+MAX(0,A439-'难度参数'!$E$21)*'难度参数'!$E$22))*(36+5*7)/(36+7*(D439+1)/2)*E439,0))</x:f>
        <x:v>11849</x:v>
      </x:c>
      <x:c r="AP439" s="119" t="n">
        <x:f>IF(AN439=0,0,(AN439-IF(5=D439,1,0))*ROUND(AO439*VLOOKUP(INDEX('章节与怪物'!$E$31:$K$37,B439,5),'章节与怪物'!$A$41:$F$44,2,FALSE),0)+IF(5=D439,ROUND(AO439*'难度参数'!$E$28*'章节与怪物'!$E$17,0),0))</x:f>
        <x:v>349771</x:v>
      </x:c>
      <x:c r="AQ439" s="119" t="n">
        <x:f>IF(AN439=0,0,(AN439-IF(5=D439,1,0))*VLOOKUP(INDEX('章节与怪物'!$E$31:$K$37,B439,5),'章节与怪物'!$A$41:$F$44,4,FALSE)+IF(5=D439,'难度参数'!$E$30,0))</x:f>
        <x:v>820</x:v>
      </x:c>
      <x:c r="AR439" s="119" t="n">
        <x:f>IF(6&gt;D439,0,MAX(2,MIN('难度参数'!$E$12,ROUND(('难度参数'!$E$18*POWER(A439,'难度参数'!$E$19)/D439*(0.85+0.3*(6-1)/MAX(1,D439-1))),0)+F439)))</x:f>
        <x:v>43</x:v>
      </x:c>
      <x:c r="AS439" s="119" t="n">
        <x:f>IF(6&gt;D439,0,ROUND(('难度参数'!$E$13*POWER(A439,'难度参数'!$E$20)*MIN('难度参数'!$E$23,1+MAX(0,A439-'难度参数'!$E$21)*'难度参数'!$E$22))*(36+6*7)/(36+7*(D439+1)/2)*E439,0))</x:f>
        <x:v>13017</x:v>
      </x:c>
      <x:c r="AT439" s="119" t="n">
        <x:f>IF(AR439=0,0,(AR439-IF(6=D439,1,0))*ROUND(AS439*VLOOKUP(INDEX('章节与怪物'!$E$31:$K$37,B439,6),'章节与怪物'!$A$41:$F$44,2,FALSE),0)+IF(6=D439,ROUND(AS439*'难度参数'!$E$28*'章节与怪物'!$E$17,0),0))</x:f>
        <x:v>951547</x:v>
      </x:c>
      <x:c r="AU439" s="119" t="n">
        <x:f>IF(AR439=0,0,(AR439-IF(6=D439,1,0))*VLOOKUP(INDEX('章节与怪物'!$E$31:$K$37,B439,6),'章节与怪物'!$A$41:$F$44,4,FALSE)+IF(6=D439,'难度参数'!$E$30,0))</x:f>
        <x:v>1204</x:v>
      </x:c>
      <x:c r="AV439" s="119" t="n">
        <x:f>IF(7&gt;D439,0,MAX(2,MIN('难度参数'!$E$12,ROUND(('难度参数'!$E$18*POWER(A439,'难度参数'!$E$19)/D439*(0.85+0.3*(7-1)/MAX(1,D439-1))),0)+F439)))</x:f>
        <x:v>45</x:v>
      </x:c>
      <x:c r="AW439" s="119" t="n">
        <x:f>IF(7&gt;D439,0,ROUND(('难度参数'!$E$13*POWER(A439,'难度参数'!$E$20)*MIN('难度参数'!$E$23,1+MAX(0,A439-'难度参数'!$E$21)*'难度参数'!$E$22))*(36+7*7)/(36+7*(D439+1)/2)*E439,0))</x:f>
        <x:v>14185</x:v>
      </x:c>
      <x:c r="AX439" s="119" t="n">
        <x:f>IF(AV439=0,0,(AV439-IF(7=D439,1,0))*ROUND(AW439*VLOOKUP(INDEX('章节与怪物'!$E$31:$K$37,B439,7),'章节与怪物'!$A$41:$F$44,2,FALSE),0)+IF(7=D439,ROUND(AW439*'难度参数'!$E$28*'章节与怪物'!$E$17,0),0))</x:f>
        <x:v>939058</x:v>
      </x:c>
      <x:c r="AY439" s="119" t="n">
        <x:f>IF(AV439=0,0,(AV439-IF(7=D439,1,0))*VLOOKUP(INDEX('章节与怪物'!$E$31:$K$37,B439,7),'章节与怪物'!$A$41:$F$44,4,FALSE)+IF(7=D439,'难度参数'!$E$30,0))</x:f>
        <x:v>1696</x:v>
      </x:c>
    </x:row>
    <x:row r="440" ht="23" customHeight="1">
      <x:c r="A440" s="119" t="n">
        <x:v>434</x:v>
      </x:c>
      <x:c r="B440" s="119" t="n">
        <x:f>MOD(INT((A440-1)/5),7)+1</x:f>
        <x:v>3</x:v>
      </x:c>
      <x:c r="C440" s="62" t="str">
        <x:f>INDEX('章节与怪物'!$B$31:$B$37,B440)</x:f>
        <x:v>腐沼秘林</x:v>
      </x:c>
      <x:c r="D440" s="119" t="n">
        <x:f>MIN('难度参数'!$E$8,MAX('难度参数'!$E$7,A440))</x:f>
        <x:v>7</x:v>
      </x:c>
      <x:c r="E440" s="106" t="n">
        <x:v>1</x:v>
      </x:c>
      <x:c r="F440" s="106" t="n">
        <x:v>0</x:v>
      </x:c>
      <x:c r="G440" s="106" t="n">
        <x:v>1</x:v>
      </x:c>
      <x:c r="H440" s="119" t="n">
        <x:f>SUM(X440,AB440,AF440,AJ440,AN440,AR440,AV440)</x:f>
        <x:v>276</x:v>
      </x:c>
      <x:c r="I440" s="119" t="n">
        <x:f>SUM(Z440,AD440,AH440,AL440,AP440,AT440,AX440)</x:f>
        <x:v>3884033</x:v>
      </x:c>
      <x:c r="J440" s="119" t="n">
        <x:f>ROUND(INDEX(X440:AY440,1,(D440-1)*4+2)*'难度参数'!$E$28*'章节与怪物'!$E$17,0)</x:f>
        <x:v>96621</x:v>
      </x:c>
      <x:c r="K440" s="119" t="n">
        <x:f>SUM(AA440,AE440,AI440,AM440,AQ440,AU440,AY440)</x:f>
        <x:v>7442</x:v>
      </x:c>
      <x:c r="L440" s="62" t="n">
        <x:f>H440*(ROUNDUP('难度参数'!$E$24/('难度参数'!$E$26*'难度参数'!$E$27),0)*'难度参数'!$E$26)/60</x:f>
        <x:v>3.68</x:v>
      </x:c>
      <x:c r="M440" s="62" t="n">
        <x:f>L440+D440*('难度参数'!$E$49+'难度参数'!$E$50)/60</x:f>
        <x:v>4.846666666666667</x:v>
      </x:c>
      <x:c r="N440" s="119" t="n">
        <x:f>ROUNDDOWN(('经济参数'!$E$20+A440*'经济参数'!$E$21)*G440,0)</x:f>
        <x:v>8860</x:v>
      </x:c>
      <x:c r="O440" s="119" t="n">
        <x:f>ROUNDDOWN(MIN('经济参数'!$E$24,'经济参数'!$E$22+A440*'经济参数'!$E$23)*G440,0)</x:f>
        <x:v>0</x:v>
      </x:c>
      <x:c r="P440" s="119" t="n">
        <x:f>ROUNDDOWN((IF(A440&gt;='材料与任务'!$E$31,'材料与任务'!$E$32,IF(A440&gt;='材料与任务'!$E$25,'材料与任务'!$E$26,IF(A440&gt;='材料与任务'!$E$19,'材料与任务'!$E$20,IF(A440&gt;='材料与任务'!$E$13,'材料与任务'!$E$14,'材料与任务'!$E$8)))))*G440,0)</x:f>
        <x:v>6</x:v>
      </x:c>
      <x:c r="Q440" s="119" t="n">
        <x:f>ROUNDDOWN((IF(A440&gt;='材料与任务'!$E$31,'材料与任务'!$E$33,IF(A440&gt;='材料与任务'!$E$25,'材料与任务'!$E$27,IF(A440&gt;='材料与任务'!$E$19,'材料与任务'!$E$21,IF(A440&gt;='材料与任务'!$E$13,'材料与任务'!$E$15,'材料与任务'!$E$9)))))*G440,0)</x:f>
        <x:v>3</x:v>
      </x:c>
      <x:c r="R440" s="110" t="n">
        <x:f>'装备掉落'!$B$38</x:f>
        <x:v>0.6872058758851213</x:v>
      </x:c>
      <x:c r="S440" s="119" t="n">
        <x:f>MAX(IF(VLOOKUP(A440,'装备掉落'!$A$29:$H$34,2,TRUE)&gt;0,1,0),IF(VLOOKUP(A440,'装备掉落'!$A$29:$H$34,3,TRUE)&gt;0,2,0),IF(VLOOKUP(A440,'装备掉落'!$A$29:$H$34,4,TRUE)&gt;0,3,0),IF(VLOOKUP(A440,'装备掉落'!$A$29:$H$34,5,TRUE)&gt;0,4,0),IF(VLOOKUP(A440,'装备掉落'!$A$29:$H$34,6,TRUE)&gt;0,5,0),IF(VLOOKUP(A440,'装备掉落'!$A$29:$H$34,7,TRUE)&gt;0,6,0),IF(VLOOKUP(A440,'装备掉落'!$A$29:$H$34,8,TRUE)&gt;0,7,0))</x:f>
        <x:v>7</x:v>
      </x:c>
      <x:c r="T440" s="119" t="n">
        <x:f>MIN(7,S440+'经济参数'!$E$70)</x:f>
        <x:v>7</x:v>
      </x:c>
      <x:c r="U440" s="119" t="n">
        <x:f>MIN(7,S440+'经济参数'!$E$71)</x:f>
        <x:v>7</x:v>
      </x:c>
      <x:c r="V440" s="119" t="n">
        <x:f>IF(H440&gt;=('难度参数'!$E$52),1,0)+IF(H440&gt;=('难度参数'!$E$52+'难度参数'!$E$53),1,0)+IF(H440&gt;=('难度参数'!$E$52+'难度参数'!$E$53+'难度参数'!$E$54),1,0)+IF(H440&gt;=('难度参数'!$E$52+'难度参数'!$E$53+'难度参数'!$E$54+'难度参数'!$E$55),1,0)+IF(H440&gt;=('难度参数'!$E$52+'难度参数'!$E$53+'难度参数'!$E$54+'难度参数'!$E$55+'难度参数'!$E$56),1,0)+IF(H440&gt;=('难度参数'!$E$52+'难度参数'!$E$53+'难度参数'!$E$54+'难度参数'!$E$55+'难度参数'!$E$56+'难度参数'!$E$57),1,0)</x:f>
        <x:v>6</x:v>
      </x:c>
      <x:c r="W440" s="62" t="str">
        <x:f>IF(L440&gt;'难度参数'!$E$51,"仅出怪已超目标","还需实测")</x:f>
        <x:v>仅出怪已超目标</x:v>
      </x:c>
      <x:c r="X440" s="119" t="n">
        <x:f>IF(1&gt;D440,0,MAX(2,MIN('难度参数'!$E$12,ROUND(('难度参数'!$E$18*POWER(A440,'难度参数'!$E$19)/D440*(0.85+0.3*(1-1)/MAX(1,D440-1))),0)+F440)))</x:f>
        <x:v>34</x:v>
      </x:c>
      <x:c r="Y440" s="119" t="n">
        <x:f>IF(1&gt;D440,0,ROUND(('难度参数'!$E$13*POWER(A440,'难度参数'!$E$20)*MIN('难度参数'!$E$23,1+MAX(0,A440-'难度参数'!$E$21)*'难度参数'!$E$22))*(36+1*7)/(36+7*(D440+1)/2)*E440,0))</x:f>
        <x:v>7188</x:v>
      </x:c>
      <x:c r="Z440" s="119" t="n">
        <x:f>IF(X440=0,0,(X440-IF(1=D440,1,0))*ROUND(Y440*VLOOKUP(INDEX('章节与怪物'!$E$31:$K$37,B440,1),'章节与怪物'!$A$41:$F$44,2,FALSE),0)+IF(1=D440,ROUND(Y440*'难度参数'!$E$28*'章节与怪物'!$E$17,0),0))</x:f>
        <x:v>244392</x:v>
      </x:c>
      <x:c r="AA440" s="119" t="n">
        <x:f>IF(X440=0,0,(X440-IF(1=D440,1,0))*VLOOKUP(INDEX('章节与怪物'!$E$31:$K$37,B440,1),'章节与怪物'!$A$41:$F$44,4,FALSE)+IF(1=D440,'难度参数'!$E$30,0))</x:f>
        <x:v>612</x:v>
      </x:c>
      <x:c r="AB440" s="119" t="n">
        <x:f>IF(2&gt;D440,0,MAX(2,MIN('难度参数'!$E$12,ROUND(('难度参数'!$E$18*POWER(A440,'难度参数'!$E$19)/D440*(0.85+0.3*(2-1)/MAX(1,D440-1))),0)+F440)))</x:f>
        <x:v>36</x:v>
      </x:c>
      <x:c r="AC440" s="119" t="n">
        <x:f>IF(2&gt;D440,0,ROUND(('难度参数'!$E$13*POWER(A440,'难度参数'!$E$20)*MIN('难度参数'!$E$23,1+MAX(0,A440-'难度参数'!$E$21)*'难度参数'!$E$22))*(36+2*7)/(36+7*(D440+1)/2)*E440,0))</x:f>
        <x:v>8358</x:v>
      </x:c>
      <x:c r="AD440" s="119" t="n">
        <x:f>IF(AB440=0,0,(AB440-IF(2=D440,1,0))*ROUND(AC440*VLOOKUP(INDEX('章节与怪物'!$E$31:$K$37,B440,2),'章节与怪物'!$A$41:$F$44,2,FALSE),0)+IF(2=D440,ROUND(AC440*'难度参数'!$E$28*'章节与怪物'!$E$17,0),0))</x:f>
        <x:v>216648</x:v>
      </x:c>
      <x:c r="AE440" s="119" t="n">
        <x:f>IF(AB440=0,0,(AB440-IF(2=D440,1,0))*VLOOKUP(INDEX('章节与怪物'!$E$31:$K$37,B440,2),'章节与怪物'!$A$41:$F$44,4,FALSE)+IF(2=D440,'难度参数'!$E$30,0))</x:f>
        <x:v>720</x:v>
      </x:c>
      <x:c r="AF440" s="119" t="n">
        <x:f>IF(3&gt;D440,0,MAX(2,MIN('难度参数'!$E$12,ROUND(('难度参数'!$E$18*POWER(A440,'难度参数'!$E$19)/D440*(0.85+0.3*(3-1)/MAX(1,D440-1))),0)+F440)))</x:f>
        <x:v>38</x:v>
      </x:c>
      <x:c r="AG440" s="119" t="n">
        <x:f>IF(3&gt;D440,0,ROUND(('难度参数'!$E$13*POWER(A440,'难度参数'!$E$20)*MIN('难度参数'!$E$23,1+MAX(0,A440-'难度参数'!$E$21)*'难度参数'!$E$22))*(36+3*7)/(36+7*(D440+1)/2)*E440,0))</x:f>
        <x:v>9528</x:v>
      </x:c>
      <x:c r="AH440" s="119" t="n">
        <x:f>IF(AF440=0,0,(AF440-IF(3=D440,1,0))*ROUND(AG440*VLOOKUP(INDEX('章节与怪物'!$E$31:$K$37,B440,3),'章节与怪物'!$A$41:$F$44,2,FALSE),0)+IF(3=D440,ROUND(AG440*'难度参数'!$E$28*'章节与怪物'!$E$17,0),0))</x:f>
        <x:v>615524</x:v>
      </x:c>
      <x:c r="AI440" s="119" t="n">
        <x:f>IF(AF440=0,0,(AF440-IF(3=D440,1,0))*VLOOKUP(INDEX('章节与怪物'!$E$31:$K$37,B440,3),'章节与怪物'!$A$41:$F$44,4,FALSE)+IF(3=D440,'难度参数'!$E$30,0))</x:f>
        <x:v>1064</x:v>
      </x:c>
      <x:c r="AJ440" s="119" t="n">
        <x:f>IF(4&gt;D440,0,MAX(2,MIN('难度参数'!$E$12,ROUND(('难度参数'!$E$18*POWER(A440,'难度参数'!$E$19)/D440*(0.85+0.3*(4-1)/MAX(1,D440-1))),0)+F440)))</x:f>
        <x:v>39</x:v>
      </x:c>
      <x:c r="AK440" s="119" t="n">
        <x:f>IF(4&gt;D440,0,ROUND(('难度参数'!$E$13*POWER(A440,'难度参数'!$E$20)*MIN('难度参数'!$E$23,1+MAX(0,A440-'难度参数'!$E$21)*'难度参数'!$E$22))*(36+4*7)/(36+7*(D440+1)/2)*E440,0))</x:f>
        <x:v>10699</x:v>
      </x:c>
      <x:c r="AL440" s="119" t="n">
        <x:f>IF(AJ440=0,0,(AJ440-IF(4=D440,1,0))*ROUND(AK440*VLOOKUP(INDEX('章节与怪物'!$E$31:$K$37,B440,4),'章节与怪物'!$A$41:$F$44,2,FALSE),0)+IF(4=D440,ROUND(AK440*'难度参数'!$E$28*'章节与怪物'!$E$17,0),0))</x:f>
        <x:v>563316</x:v>
      </x:c>
      <x:c r="AM440" s="119" t="n">
        <x:f>IF(AJ440=0,0,(AJ440-IF(4=D440,1,0))*VLOOKUP(INDEX('章节与怪物'!$E$31:$K$37,B440,4),'章节与怪物'!$A$41:$F$44,4,FALSE)+IF(4=D440,'难度参数'!$E$30,0))</x:f>
        <x:v>1326</x:v>
      </x:c>
      <x:c r="AN440" s="119" t="n">
        <x:f>IF(5&gt;D440,0,MAX(2,MIN('难度参数'!$E$12,ROUND(('难度参数'!$E$18*POWER(A440,'难度参数'!$E$19)/D440*(0.85+0.3*(5-1)/MAX(1,D440-1))),0)+F440)))</x:f>
        <x:v>41</x:v>
      </x:c>
      <x:c r="AO440" s="119" t="n">
        <x:f>IF(5&gt;D440,0,ROUND(('难度参数'!$E$13*POWER(A440,'难度参数'!$E$20)*MIN('难度参数'!$E$23,1+MAX(0,A440-'难度参数'!$E$21)*'难度参数'!$E$22))*(36+5*7)/(36+7*(D440+1)/2)*E440,0))</x:f>
        <x:v>11869</x:v>
      </x:c>
      <x:c r="AP440" s="119" t="n">
        <x:f>IF(AN440=0,0,(AN440-IF(5=D440,1,0))*ROUND(AO440*VLOOKUP(INDEX('章节与怪物'!$E$31:$K$37,B440,5),'章节与怪物'!$A$41:$F$44,2,FALSE),0)+IF(5=D440,ROUND(AO440*'难度参数'!$E$28*'章节与怪物'!$E$17,0),0))</x:f>
        <x:v>350386</x:v>
      </x:c>
      <x:c r="AQ440" s="119" t="n">
        <x:f>IF(AN440=0,0,(AN440-IF(5=D440,1,0))*VLOOKUP(INDEX('章节与怪物'!$E$31:$K$37,B440,5),'章节与怪物'!$A$41:$F$44,4,FALSE)+IF(5=D440,'难度参数'!$E$30,0))</x:f>
        <x:v>820</x:v>
      </x:c>
      <x:c r="AR440" s="119" t="n">
        <x:f>IF(6&gt;D440,0,MAX(2,MIN('难度参数'!$E$12,ROUND(('难度参数'!$E$18*POWER(A440,'难度参数'!$E$19)/D440*(0.85+0.3*(6-1)/MAX(1,D440-1))),0)+F440)))</x:f>
        <x:v>43</x:v>
      </x:c>
      <x:c r="AS440" s="119" t="n">
        <x:f>IF(6&gt;D440,0,ROUND(('难度参数'!$E$13*POWER(A440,'难度参数'!$E$20)*MIN('难度参数'!$E$23,1+MAX(0,A440-'难度参数'!$E$21)*'难度参数'!$E$22))*(36+6*7)/(36+7*(D440+1)/2)*E440,0))</x:f>
        <x:v>13039</x:v>
      </x:c>
      <x:c r="AT440" s="119" t="n">
        <x:f>IF(AR440=0,0,(AR440-IF(6=D440,1,0))*ROUND(AS440*VLOOKUP(INDEX('章节与怪物'!$E$31:$K$37,B440,6),'章节与怪物'!$A$41:$F$44,2,FALSE),0)+IF(6=D440,ROUND(AS440*'难度参数'!$E$28*'章节与怪物'!$E$17,0),0))</x:f>
        <x:v>953138</x:v>
      </x:c>
      <x:c r="AU440" s="119" t="n">
        <x:f>IF(AR440=0,0,(AR440-IF(6=D440,1,0))*VLOOKUP(INDEX('章节与怪物'!$E$31:$K$37,B440,6),'章节与怪物'!$A$41:$F$44,4,FALSE)+IF(6=D440,'难度参数'!$E$30,0))</x:f>
        <x:v>1204</x:v>
      </x:c>
      <x:c r="AV440" s="119" t="n">
        <x:f>IF(7&gt;D440,0,MAX(2,MIN('难度参数'!$E$12,ROUND(('难度参数'!$E$18*POWER(A440,'难度参数'!$E$19)/D440*(0.85+0.3*(7-1)/MAX(1,D440-1))),0)+F440)))</x:f>
        <x:v>45</x:v>
      </x:c>
      <x:c r="AW440" s="119" t="n">
        <x:f>IF(7&gt;D440,0,ROUND(('难度参数'!$E$13*POWER(A440,'难度参数'!$E$20)*MIN('难度参数'!$E$23,1+MAX(0,A440-'难度参数'!$E$21)*'难度参数'!$E$22))*(36+7*7)/(36+7*(D440+1)/2)*E440,0))</x:f>
        <x:v>14209</x:v>
      </x:c>
      <x:c r="AX440" s="119" t="n">
        <x:f>IF(AV440=0,0,(AV440-IF(7=D440,1,0))*ROUND(AW440*VLOOKUP(INDEX('章节与怪物'!$E$31:$K$37,B440,7),'章节与怪物'!$A$41:$F$44,2,FALSE),0)+IF(7=D440,ROUND(AW440*'难度参数'!$E$28*'章节与怪物'!$E$17,0),0))</x:f>
        <x:v>940629</x:v>
      </x:c>
      <x:c r="AY440" s="119" t="n">
        <x:f>IF(AV440=0,0,(AV440-IF(7=D440,1,0))*VLOOKUP(INDEX('章节与怪物'!$E$31:$K$37,B440,7),'章节与怪物'!$A$41:$F$44,4,FALSE)+IF(7=D440,'难度参数'!$E$30,0))</x:f>
        <x:v>1696</x:v>
      </x:c>
    </x:row>
    <x:row r="441" ht="23" customHeight="1">
      <x:c r="A441" s="119" t="n">
        <x:v>435</x:v>
      </x:c>
      <x:c r="B441" s="119" t="n">
        <x:f>MOD(INT((A441-1)/5),7)+1</x:f>
        <x:v>3</x:v>
      </x:c>
      <x:c r="C441" s="62" t="str">
        <x:f>INDEX('章节与怪物'!$B$31:$B$37,B441)</x:f>
        <x:v>腐沼秘林</x:v>
      </x:c>
      <x:c r="D441" s="119" t="n">
        <x:f>MIN('难度参数'!$E$8,MAX('难度参数'!$E$7,A441))</x:f>
        <x:v>7</x:v>
      </x:c>
      <x:c r="E441" s="106" t="n">
        <x:v>1</x:v>
      </x:c>
      <x:c r="F441" s="106" t="n">
        <x:v>0</x:v>
      </x:c>
      <x:c r="G441" s="106" t="n">
        <x:v>1</x:v>
      </x:c>
      <x:c r="H441" s="119" t="n">
        <x:f>SUM(X441,AB441,AF441,AJ441,AN441,AR441,AV441)</x:f>
        <x:v>278</x:v>
      </x:c>
      <x:c r="I441" s="119" t="n">
        <x:f>SUM(Z441,AD441,AH441,AL441,AP441,AT441,AX441)</x:f>
        <x:v>3913532</x:v>
      </x:c>
      <x:c r="J441" s="119" t="n">
        <x:f>ROUND(INDEX(X441:AY441,1,(D441-1)*4+2)*'难度参数'!$E$28*'章节与怪物'!$E$17,0)</x:f>
        <x:v>96784</x:v>
      </x:c>
      <x:c r="K441" s="119" t="n">
        <x:f>SUM(AA441,AE441,AI441,AM441,AQ441,AU441,AY441)</x:f>
        <x:v>7496</x:v>
      </x:c>
      <x:c r="L441" s="62" t="n">
        <x:f>H441*(ROUNDUP('难度参数'!$E$24/('难度参数'!$E$26*'难度参数'!$E$27),0)*'难度参数'!$E$26)/60</x:f>
        <x:v>3.7066666666666666</x:v>
      </x:c>
      <x:c r="M441" s="62" t="n">
        <x:f>L441+D441*('难度参数'!$E$49+'难度参数'!$E$50)/60</x:f>
        <x:v>4.873333333333333</x:v>
      </x:c>
      <x:c r="N441" s="119" t="n">
        <x:f>ROUNDDOWN(('经济参数'!$E$20+A441*'经济参数'!$E$21)*G441,0)</x:f>
        <x:v>8880</x:v>
      </x:c>
      <x:c r="O441" s="119" t="n">
        <x:f>ROUNDDOWN(MIN('经济参数'!$E$24,'经济参数'!$E$22+A441*'经济参数'!$E$23)*G441,0)</x:f>
        <x:v>0</x:v>
      </x:c>
      <x:c r="P441" s="119" t="n">
        <x:f>ROUNDDOWN((IF(A441&gt;='材料与任务'!$E$31,'材料与任务'!$E$32,IF(A441&gt;='材料与任务'!$E$25,'材料与任务'!$E$26,IF(A441&gt;='材料与任务'!$E$19,'材料与任务'!$E$20,IF(A441&gt;='材料与任务'!$E$13,'材料与任务'!$E$14,'材料与任务'!$E$8)))))*G441,0)</x:f>
        <x:v>6</x:v>
      </x:c>
      <x:c r="Q441" s="119" t="n">
        <x:f>ROUNDDOWN((IF(A441&gt;='材料与任务'!$E$31,'材料与任务'!$E$33,IF(A441&gt;='材料与任务'!$E$25,'材料与任务'!$E$27,IF(A441&gt;='材料与任务'!$E$19,'材料与任务'!$E$21,IF(A441&gt;='材料与任务'!$E$13,'材料与任务'!$E$15,'材料与任务'!$E$9)))))*G441,0)</x:f>
        <x:v>3</x:v>
      </x:c>
      <x:c r="R441" s="110" t="n">
        <x:f>'装备掉落'!$B$38</x:f>
        <x:v>0.6872058758851213</x:v>
      </x:c>
      <x:c r="S441" s="119" t="n">
        <x:f>MAX(IF(VLOOKUP(A441,'装备掉落'!$A$29:$H$34,2,TRUE)&gt;0,1,0),IF(VLOOKUP(A441,'装备掉落'!$A$29:$H$34,3,TRUE)&gt;0,2,0),IF(VLOOKUP(A441,'装备掉落'!$A$29:$H$34,4,TRUE)&gt;0,3,0),IF(VLOOKUP(A441,'装备掉落'!$A$29:$H$34,5,TRUE)&gt;0,4,0),IF(VLOOKUP(A441,'装备掉落'!$A$29:$H$34,6,TRUE)&gt;0,5,0),IF(VLOOKUP(A441,'装备掉落'!$A$29:$H$34,7,TRUE)&gt;0,6,0),IF(VLOOKUP(A441,'装备掉落'!$A$29:$H$34,8,TRUE)&gt;0,7,0))</x:f>
        <x:v>7</x:v>
      </x:c>
      <x:c r="T441" s="119" t="n">
        <x:f>MIN(7,S441+'经济参数'!$E$70)</x:f>
        <x:v>7</x:v>
      </x:c>
      <x:c r="U441" s="119" t="n">
        <x:f>MIN(7,S441+'经济参数'!$E$71)</x:f>
        <x:v>7</x:v>
      </x:c>
      <x:c r="V441" s="119" t="n">
        <x:f>IF(H441&gt;=('难度参数'!$E$52),1,0)+IF(H441&gt;=('难度参数'!$E$52+'难度参数'!$E$53),1,0)+IF(H441&gt;=('难度参数'!$E$52+'难度参数'!$E$53+'难度参数'!$E$54),1,0)+IF(H441&gt;=('难度参数'!$E$52+'难度参数'!$E$53+'难度参数'!$E$54+'难度参数'!$E$55),1,0)+IF(H441&gt;=('难度参数'!$E$52+'难度参数'!$E$53+'难度参数'!$E$54+'难度参数'!$E$55+'难度参数'!$E$56),1,0)+IF(H441&gt;=('难度参数'!$E$52+'难度参数'!$E$53+'难度参数'!$E$54+'难度参数'!$E$55+'难度参数'!$E$56+'难度参数'!$E$57),1,0)</x:f>
        <x:v>6</x:v>
      </x:c>
      <x:c r="W441" s="62" t="str">
        <x:f>IF(L441&gt;'难度参数'!$E$51,"仅出怪已超目标","还需实测")</x:f>
        <x:v>仅出怪已超目标</x:v>
      </x:c>
      <x:c r="X441" s="119" t="n">
        <x:f>IF(1&gt;D441,0,MAX(2,MIN('难度参数'!$E$12,ROUND(('难度参数'!$E$18*POWER(A441,'难度参数'!$E$19)/D441*(0.85+0.3*(1-1)/MAX(1,D441-1))),0)+F441)))</x:f>
        <x:v>34</x:v>
      </x:c>
      <x:c r="Y441" s="119" t="n">
        <x:f>IF(1&gt;D441,0,ROUND(('难度参数'!$E$13*POWER(A441,'难度参数'!$E$20)*MIN('难度参数'!$E$23,1+MAX(0,A441-'难度参数'!$E$21)*'难度参数'!$E$22))*(36+1*7)/(36+7*(D441+1)/2)*E441,0))</x:f>
        <x:v>7200</x:v>
      </x:c>
      <x:c r="Z441" s="119" t="n">
        <x:f>IF(X441=0,0,(X441-IF(1=D441,1,0))*ROUND(Y441*VLOOKUP(INDEX('章节与怪物'!$E$31:$K$37,B441,1),'章节与怪物'!$A$41:$F$44,2,FALSE),0)+IF(1=D441,ROUND(Y441*'难度参数'!$E$28*'章节与怪物'!$E$17,0),0))</x:f>
        <x:v>244800</x:v>
      </x:c>
      <x:c r="AA441" s="119" t="n">
        <x:f>IF(X441=0,0,(X441-IF(1=D441,1,0))*VLOOKUP(INDEX('章节与怪物'!$E$31:$K$37,B441,1),'章节与怪物'!$A$41:$F$44,4,FALSE)+IF(1=D441,'难度参数'!$E$30,0))</x:f>
        <x:v>612</x:v>
      </x:c>
      <x:c r="AB441" s="119" t="n">
        <x:f>IF(2&gt;D441,0,MAX(2,MIN('难度参数'!$E$12,ROUND(('难度参数'!$E$18*POWER(A441,'难度参数'!$E$19)/D441*(0.85+0.3*(2-1)/MAX(1,D441-1))),0)+F441)))</x:f>
        <x:v>36</x:v>
      </x:c>
      <x:c r="AC441" s="119" t="n">
        <x:f>IF(2&gt;D441,0,ROUND(('难度参数'!$E$13*POWER(A441,'难度参数'!$E$20)*MIN('难度参数'!$E$23,1+MAX(0,A441-'难度参数'!$E$21)*'难度参数'!$E$22))*(36+2*7)/(36+7*(D441+1)/2)*E441,0))</x:f>
        <x:v>8372</x:v>
      </x:c>
      <x:c r="AD441" s="119" t="n">
        <x:f>IF(AB441=0,0,(AB441-IF(2=D441,1,0))*ROUND(AC441*VLOOKUP(INDEX('章节与怪物'!$E$31:$K$37,B441,2),'章节与怪物'!$A$41:$F$44,2,FALSE),0)+IF(2=D441,ROUND(AC441*'难度参数'!$E$28*'章节与怪物'!$E$17,0),0))</x:f>
        <x:v>217008</x:v>
      </x:c>
      <x:c r="AE441" s="119" t="n">
        <x:f>IF(AB441=0,0,(AB441-IF(2=D441,1,0))*VLOOKUP(INDEX('章节与怪物'!$E$31:$K$37,B441,2),'章节与怪物'!$A$41:$F$44,4,FALSE)+IF(2=D441,'难度参数'!$E$30,0))</x:f>
        <x:v>720</x:v>
      </x:c>
      <x:c r="AF441" s="119" t="n">
        <x:f>IF(3&gt;D441,0,MAX(2,MIN('难度参数'!$E$12,ROUND(('难度参数'!$E$18*POWER(A441,'难度参数'!$E$19)/D441*(0.85+0.3*(3-1)/MAX(1,D441-1))),0)+F441)))</x:f>
        <x:v>38</x:v>
      </x:c>
      <x:c r="AG441" s="119" t="n">
        <x:f>IF(3&gt;D441,0,ROUND(('难度参数'!$E$13*POWER(A441,'难度参数'!$E$20)*MIN('难度参数'!$E$23,1+MAX(0,A441-'难度参数'!$E$21)*'难度参数'!$E$22))*(36+3*7)/(36+7*(D441+1)/2)*E441,0))</x:f>
        <x:v>9544</x:v>
      </x:c>
      <x:c r="AH441" s="119" t="n">
        <x:f>IF(AF441=0,0,(AF441-IF(3=D441,1,0))*ROUND(AG441*VLOOKUP(INDEX('章节与怪物'!$E$31:$K$37,B441,3),'章节与怪物'!$A$41:$F$44,2,FALSE),0)+IF(3=D441,ROUND(AG441*'难度参数'!$E$28*'章节与怪物'!$E$17,0),0))</x:f>
        <x:v>616550</x:v>
      </x:c>
      <x:c r="AI441" s="119" t="n">
        <x:f>IF(AF441=0,0,(AF441-IF(3=D441,1,0))*VLOOKUP(INDEX('章节与怪物'!$E$31:$K$37,B441,3),'章节与怪物'!$A$41:$F$44,4,FALSE)+IF(3=D441,'难度参数'!$E$30,0))</x:f>
        <x:v>1064</x:v>
      </x:c>
      <x:c r="AJ441" s="119" t="n">
        <x:f>IF(4&gt;D441,0,MAX(2,MIN('难度参数'!$E$12,ROUND(('难度参数'!$E$18*POWER(A441,'难度参数'!$E$19)/D441*(0.85+0.3*(4-1)/MAX(1,D441-1))),0)+F441)))</x:f>
        <x:v>40</x:v>
      </x:c>
      <x:c r="AK441" s="119" t="n">
        <x:f>IF(4&gt;D441,0,ROUND(('难度参数'!$E$13*POWER(A441,'难度参数'!$E$20)*MIN('难度参数'!$E$23,1+MAX(0,A441-'难度参数'!$E$21)*'难度参数'!$E$22))*(36+4*7)/(36+7*(D441+1)/2)*E441,0))</x:f>
        <x:v>10716</x:v>
      </x:c>
      <x:c r="AL441" s="119" t="n">
        <x:f>IF(AJ441=0,0,(AJ441-IF(4=D441,1,0))*ROUND(AK441*VLOOKUP(INDEX('章节与怪物'!$E$31:$K$37,B441,4),'章节与怪物'!$A$41:$F$44,2,FALSE),0)+IF(4=D441,ROUND(AK441*'难度参数'!$E$28*'章节与怪物'!$E$17,0),0))</x:f>
        <x:v>578680</x:v>
      </x:c>
      <x:c r="AM441" s="119" t="n">
        <x:f>IF(AJ441=0,0,(AJ441-IF(4=D441,1,0))*VLOOKUP(INDEX('章节与怪物'!$E$31:$K$37,B441,4),'章节与怪物'!$A$41:$F$44,4,FALSE)+IF(4=D441,'难度参数'!$E$30,0))</x:f>
        <x:v>1360</x:v>
      </x:c>
      <x:c r="AN441" s="119" t="n">
        <x:f>IF(5&gt;D441,0,MAX(2,MIN('难度参数'!$E$12,ROUND(('难度参数'!$E$18*POWER(A441,'难度参数'!$E$19)/D441*(0.85+0.3*(5-1)/MAX(1,D441-1))),0)+F441)))</x:f>
        <x:v>42</x:v>
      </x:c>
      <x:c r="AO441" s="119" t="n">
        <x:f>IF(5&gt;D441,0,ROUND(('难度参数'!$E$13*POWER(A441,'难度参数'!$E$20)*MIN('难度参数'!$E$23,1+MAX(0,A441-'难度参数'!$E$21)*'难度参数'!$E$22))*(36+5*7)/(36+7*(D441+1)/2)*E441,0))</x:f>
        <x:v>11888</x:v>
      </x:c>
      <x:c r="AP441" s="119" t="n">
        <x:f>IF(AN441=0,0,(AN441-IF(5=D441,1,0))*ROUND(AO441*VLOOKUP(INDEX('章节与怪物'!$E$31:$K$37,B441,5),'章节与怪物'!$A$41:$F$44,2,FALSE),0)+IF(5=D441,ROUND(AO441*'难度参数'!$E$28*'章节与怪物'!$E$17,0),0))</x:f>
        <x:v>359478</x:v>
      </x:c>
      <x:c r="AQ441" s="119" t="n">
        <x:f>IF(AN441=0,0,(AN441-IF(5=D441,1,0))*VLOOKUP(INDEX('章节与怪物'!$E$31:$K$37,B441,5),'章节与怪物'!$A$41:$F$44,4,FALSE)+IF(5=D441,'难度参数'!$E$30,0))</x:f>
        <x:v>840</x:v>
      </x:c>
      <x:c r="AR441" s="119" t="n">
        <x:f>IF(6&gt;D441,0,MAX(2,MIN('难度参数'!$E$12,ROUND(('难度参数'!$E$18*POWER(A441,'难度参数'!$E$19)/D441*(0.85+0.3*(6-1)/MAX(1,D441-1))),0)+F441)))</x:f>
        <x:v>43</x:v>
      </x:c>
      <x:c r="AS441" s="119" t="n">
        <x:f>IF(6&gt;D441,0,ROUND(('难度参数'!$E$13*POWER(A441,'难度参数'!$E$20)*MIN('难度参数'!$E$23,1+MAX(0,A441-'难度参数'!$E$21)*'难度参数'!$E$22))*(36+6*7)/(36+7*(D441+1)/2)*E441,0))</x:f>
        <x:v>13061</x:v>
      </x:c>
      <x:c r="AT441" s="119" t="n">
        <x:f>IF(AR441=0,0,(AR441-IF(6=D441,1,0))*ROUND(AS441*VLOOKUP(INDEX('章节与怪物'!$E$31:$K$37,B441,6),'章节与怪物'!$A$41:$F$44,2,FALSE),0)+IF(6=D441,ROUND(AS441*'难度参数'!$E$28*'章节与怪物'!$E$17,0),0))</x:f>
        <x:v>954772</x:v>
      </x:c>
      <x:c r="AU441" s="119" t="n">
        <x:f>IF(AR441=0,0,(AR441-IF(6=D441,1,0))*VLOOKUP(INDEX('章节与怪物'!$E$31:$K$37,B441,6),'章节与怪物'!$A$41:$F$44,4,FALSE)+IF(6=D441,'难度参数'!$E$30,0))</x:f>
        <x:v>1204</x:v>
      </x:c>
      <x:c r="AV441" s="119" t="n">
        <x:f>IF(7&gt;D441,0,MAX(2,MIN('难度参数'!$E$12,ROUND(('难度参数'!$E$18*POWER(A441,'难度参数'!$E$19)/D441*(0.85+0.3*(7-1)/MAX(1,D441-1))),0)+F441)))</x:f>
        <x:v>45</x:v>
      </x:c>
      <x:c r="AW441" s="119" t="n">
        <x:f>IF(7&gt;D441,0,ROUND(('难度参数'!$E$13*POWER(A441,'难度参数'!$E$20)*MIN('难度参数'!$E$23,1+MAX(0,A441-'难度参数'!$E$21)*'难度参数'!$E$22))*(36+7*7)/(36+7*(D441+1)/2)*E441,0))</x:f>
        <x:v>14233</x:v>
      </x:c>
      <x:c r="AX441" s="119" t="n">
        <x:f>IF(AV441=0,0,(AV441-IF(7=D441,1,0))*ROUND(AW441*VLOOKUP(INDEX('章节与怪物'!$E$31:$K$37,B441,7),'章节与怪物'!$A$41:$F$44,2,FALSE),0)+IF(7=D441,ROUND(AW441*'难度参数'!$E$28*'章节与怪物'!$E$17,0),0))</x:f>
        <x:v>942244</x:v>
      </x:c>
      <x:c r="AY441" s="119" t="n">
        <x:f>IF(AV441=0,0,(AV441-IF(7=D441,1,0))*VLOOKUP(INDEX('章节与怪物'!$E$31:$K$37,B441,7),'章节与怪物'!$A$41:$F$44,4,FALSE)+IF(7=D441,'难度参数'!$E$30,0))</x:f>
        <x:v>1696</x:v>
      </x:c>
    </x:row>
    <x:row r="442" ht="23" customHeight="1">
      <x:c r="A442" s="119" t="n">
        <x:v>436</x:v>
      </x:c>
      <x:c r="B442" s="119" t="n">
        <x:f>MOD(INT((A442-1)/5),7)+1</x:f>
        <x:v>4</x:v>
      </x:c>
      <x:c r="C442" s="62" t="str">
        <x:f>INDEX('章节与怪物'!$B$31:$B$37,B442)</x:f>
        <x:v>翠野边城</x:v>
      </x:c>
      <x:c r="D442" s="119" t="n">
        <x:f>MIN('难度参数'!$E$8,MAX('难度参数'!$E$7,A442))</x:f>
        <x:v>7</x:v>
      </x:c>
      <x:c r="E442" s="106" t="n">
        <x:v>1</x:v>
      </x:c>
      <x:c r="F442" s="106" t="n">
        <x:v>0</x:v>
      </x:c>
      <x:c r="G442" s="106" t="n">
        <x:v>1</x:v>
      </x:c>
      <x:c r="H442" s="119" t="n">
        <x:f>SUM(X442,AB442,AF442,AJ442,AN442,AR442,AV442)</x:f>
        <x:v>279</x:v>
      </x:c>
      <x:c r="I442" s="119" t="n">
        <x:f>SUM(Z442,AD442,AH442,AL442,AP442,AT442,AX442)</x:f>
        <x:v>3534011</x:v>
      </x:c>
      <x:c r="J442" s="119" t="n">
        <x:f>ROUND(INDEX(X442:AY442,1,(D442-1)*4+2)*'难度参数'!$E$28*'章节与怪物'!$E$17,0)</x:f>
        <x:v>96941</x:v>
      </x:c>
      <x:c r="K442" s="119" t="n">
        <x:f>SUM(AA442,AE442,AI442,AM442,AQ442,AU442,AY442)</x:f>
        <x:v>7084</x:v>
      </x:c>
      <x:c r="L442" s="62" t="n">
        <x:f>H442*(ROUNDUP('难度参数'!$E$24/('难度参数'!$E$26*'难度参数'!$E$27),0)*'难度参数'!$E$26)/60</x:f>
        <x:v>3.72</x:v>
      </x:c>
      <x:c r="M442" s="62" t="n">
        <x:f>L442+D442*('难度参数'!$E$49+'难度参数'!$E$50)/60</x:f>
        <x:v>4.886666666666667</x:v>
      </x:c>
      <x:c r="N442" s="119" t="n">
        <x:f>ROUNDDOWN(('经济参数'!$E$20+A442*'经济参数'!$E$21)*G442,0)</x:f>
        <x:v>8900</x:v>
      </x:c>
      <x:c r="O442" s="119" t="n">
        <x:f>ROUNDDOWN(MIN('经济参数'!$E$24,'经济参数'!$E$22+A442*'经济参数'!$E$23)*G442,0)</x:f>
        <x:v>0</x:v>
      </x:c>
      <x:c r="P442" s="119" t="n">
        <x:f>ROUNDDOWN((IF(A442&gt;='材料与任务'!$E$31,'材料与任务'!$E$32,IF(A442&gt;='材料与任务'!$E$25,'材料与任务'!$E$26,IF(A442&gt;='材料与任务'!$E$19,'材料与任务'!$E$20,IF(A442&gt;='材料与任务'!$E$13,'材料与任务'!$E$14,'材料与任务'!$E$8)))))*G442,0)</x:f>
        <x:v>6</x:v>
      </x:c>
      <x:c r="Q442" s="119" t="n">
        <x:f>ROUNDDOWN((IF(A442&gt;='材料与任务'!$E$31,'材料与任务'!$E$33,IF(A442&gt;='材料与任务'!$E$25,'材料与任务'!$E$27,IF(A442&gt;='材料与任务'!$E$19,'材料与任务'!$E$21,IF(A442&gt;='材料与任务'!$E$13,'材料与任务'!$E$15,'材料与任务'!$E$9)))))*G442,0)</x:f>
        <x:v>3</x:v>
      </x:c>
      <x:c r="R442" s="110" t="n">
        <x:f>'装备掉落'!$B$38</x:f>
        <x:v>0.6872058758851213</x:v>
      </x:c>
      <x:c r="S442" s="119" t="n">
        <x:f>MAX(IF(VLOOKUP(A442,'装备掉落'!$A$29:$H$34,2,TRUE)&gt;0,1,0),IF(VLOOKUP(A442,'装备掉落'!$A$29:$H$34,3,TRUE)&gt;0,2,0),IF(VLOOKUP(A442,'装备掉落'!$A$29:$H$34,4,TRUE)&gt;0,3,0),IF(VLOOKUP(A442,'装备掉落'!$A$29:$H$34,5,TRUE)&gt;0,4,0),IF(VLOOKUP(A442,'装备掉落'!$A$29:$H$34,6,TRUE)&gt;0,5,0),IF(VLOOKUP(A442,'装备掉落'!$A$29:$H$34,7,TRUE)&gt;0,6,0),IF(VLOOKUP(A442,'装备掉落'!$A$29:$H$34,8,TRUE)&gt;0,7,0))</x:f>
        <x:v>7</x:v>
      </x:c>
      <x:c r="T442" s="119" t="n">
        <x:f>MIN(7,S442+'经济参数'!$E$70)</x:f>
        <x:v>7</x:v>
      </x:c>
      <x:c r="U442" s="119" t="n">
        <x:f>MIN(7,S442+'经济参数'!$E$71)</x:f>
        <x:v>7</x:v>
      </x:c>
      <x:c r="V442" s="119" t="n">
        <x:f>IF(H442&gt;=('难度参数'!$E$52),1,0)+IF(H442&gt;=('难度参数'!$E$52+'难度参数'!$E$53),1,0)+IF(H442&gt;=('难度参数'!$E$52+'难度参数'!$E$53+'难度参数'!$E$54),1,0)+IF(H442&gt;=('难度参数'!$E$52+'难度参数'!$E$53+'难度参数'!$E$54+'难度参数'!$E$55),1,0)+IF(H442&gt;=('难度参数'!$E$52+'难度参数'!$E$53+'难度参数'!$E$54+'难度参数'!$E$55+'难度参数'!$E$56),1,0)+IF(H442&gt;=('难度参数'!$E$52+'难度参数'!$E$53+'难度参数'!$E$54+'难度参数'!$E$55+'难度参数'!$E$56+'难度参数'!$E$57),1,0)</x:f>
        <x:v>6</x:v>
      </x:c>
      <x:c r="W442" s="62" t="str">
        <x:f>IF(L442&gt;'难度参数'!$E$51,"仅出怪已超目标","还需实测")</x:f>
        <x:v>仅出怪已超目标</x:v>
      </x:c>
      <x:c r="X442" s="119" t="n">
        <x:f>IF(1&gt;D442,0,MAX(2,MIN('难度参数'!$E$12,ROUND(('难度参数'!$E$18*POWER(A442,'难度参数'!$E$19)/D442*(0.85+0.3*(1-1)/MAX(1,D442-1))),0)+F442)))</x:f>
        <x:v>34</x:v>
      </x:c>
      <x:c r="Y442" s="119" t="n">
        <x:f>IF(1&gt;D442,0,ROUND(('难度参数'!$E$13*POWER(A442,'难度参数'!$E$20)*MIN('难度参数'!$E$23,1+MAX(0,A442-'难度参数'!$E$21)*'难度参数'!$E$22))*(36+1*7)/(36+7*(D442+1)/2)*E442,0))</x:f>
        <x:v>7212</x:v>
      </x:c>
      <x:c r="Z442" s="119" t="n">
        <x:f>IF(X442=0,0,(X442-IF(1=D442,1,0))*ROUND(Y442*VLOOKUP(INDEX('章节与怪物'!$E$31:$K$37,B442,1),'章节与怪物'!$A$41:$F$44,2,FALSE),0)+IF(1=D442,ROUND(Y442*'难度参数'!$E$28*'章节与怪物'!$E$17,0),0))</x:f>
        <x:v>176562</x:v>
      </x:c>
      <x:c r="AA442" s="119" t="n">
        <x:f>IF(X442=0,0,(X442-IF(1=D442,1,0))*VLOOKUP(INDEX('章节与怪物'!$E$31:$K$37,B442,1),'章节与怪物'!$A$41:$F$44,4,FALSE)+IF(1=D442,'难度参数'!$E$30,0))</x:f>
        <x:v>680</x:v>
      </x:c>
      <x:c r="AB442" s="119" t="n">
        <x:f>IF(2&gt;D442,0,MAX(2,MIN('难度参数'!$E$12,ROUND(('难度参数'!$E$18*POWER(A442,'难度参数'!$E$19)/D442*(0.85+0.3*(2-1)/MAX(1,D442-1))),0)+F442)))</x:f>
        <x:v>36</x:v>
      </x:c>
      <x:c r="AC442" s="119" t="n">
        <x:f>IF(2&gt;D442,0,ROUND(('难度参数'!$E$13*POWER(A442,'难度参数'!$E$20)*MIN('难度参数'!$E$23,1+MAX(0,A442-'难度参数'!$E$21)*'难度参数'!$E$22))*(36+2*7)/(36+7*(D442+1)/2)*E442,0))</x:f>
        <x:v>8386</x:v>
      </x:c>
      <x:c r="AD442" s="119" t="n">
        <x:f>IF(AB442=0,0,(AB442-IF(2=D442,1,0))*ROUND(AC442*VLOOKUP(INDEX('章节与怪物'!$E$31:$K$37,B442,2),'章节与怪物'!$A$41:$F$44,2,FALSE),0)+IF(2=D442,ROUND(AC442*'难度参数'!$E$28*'章节与怪物'!$E$17,0),0))</x:f>
        <x:v>301896</x:v>
      </x:c>
      <x:c r="AE442" s="119" t="n">
        <x:f>IF(AB442=0,0,(AB442-IF(2=D442,1,0))*VLOOKUP(INDEX('章节与怪物'!$E$31:$K$37,B442,2),'章节与怪物'!$A$41:$F$44,4,FALSE)+IF(2=D442,'难度参数'!$E$30,0))</x:f>
        <x:v>648</x:v>
      </x:c>
      <x:c r="AF442" s="119" t="n">
        <x:f>IF(3&gt;D442,0,MAX(2,MIN('难度参数'!$E$12,ROUND(('难度参数'!$E$18*POWER(A442,'难度参数'!$E$19)/D442*(0.85+0.3*(3-1)/MAX(1,D442-1))),0)+F442)))</x:f>
        <x:v>38</x:v>
      </x:c>
      <x:c r="AG442" s="119" t="n">
        <x:f>IF(3&gt;D442,0,ROUND(('难度参数'!$E$13*POWER(A442,'难度参数'!$E$20)*MIN('难度参数'!$E$23,1+MAX(0,A442-'难度参数'!$E$21)*'难度参数'!$E$22))*(36+3*7)/(36+7*(D442+1)/2)*E442,0))</x:f>
        <x:v>9560</x:v>
      </x:c>
      <x:c r="AH442" s="119" t="n">
        <x:f>IF(AF442=0,0,(AF442-IF(3=D442,1,0))*ROUND(AG442*VLOOKUP(INDEX('章节与怪物'!$E$31:$K$37,B442,3),'章节与怪物'!$A$41:$F$44,2,FALSE),0)+IF(3=D442,ROUND(AG442*'难度参数'!$E$28*'章节与怪物'!$E$17,0),0))</x:f>
        <x:v>617576</x:v>
      </x:c>
      <x:c r="AI442" s="119" t="n">
        <x:f>IF(AF442=0,0,(AF442-IF(3=D442,1,0))*VLOOKUP(INDEX('章节与怪物'!$E$31:$K$37,B442,3),'章节与怪物'!$A$41:$F$44,4,FALSE)+IF(3=D442,'难度参数'!$E$30,0))</x:f>
        <x:v>1064</x:v>
      </x:c>
      <x:c r="AJ442" s="119" t="n">
        <x:f>IF(4&gt;D442,0,MAX(2,MIN('难度参数'!$E$12,ROUND(('难度参数'!$E$18*POWER(A442,'难度参数'!$E$19)/D442*(0.85+0.3*(4-1)/MAX(1,D442-1))),0)+F442)))</x:f>
        <x:v>40</x:v>
      </x:c>
      <x:c r="AK442" s="119" t="n">
        <x:f>IF(4&gt;D442,0,ROUND(('难度参数'!$E$13*POWER(A442,'难度参数'!$E$20)*MIN('难度参数'!$E$23,1+MAX(0,A442-'难度参数'!$E$21)*'难度参数'!$E$22))*(36+4*7)/(36+7*(D442+1)/2)*E442,0))</x:f>
        <x:v>10734</x:v>
      </x:c>
      <x:c r="AL442" s="119" t="n">
        <x:f>IF(AJ442=0,0,(AJ442-IF(4=D442,1,0))*ROUND(AK442*VLOOKUP(INDEX('章节与怪物'!$E$31:$K$37,B442,4),'章节与怪物'!$A$41:$F$44,2,FALSE),0)+IF(4=D442,ROUND(AK442*'难度参数'!$E$28*'章节与怪物'!$E$17,0),0))</x:f>
        <x:v>579640</x:v>
      </x:c>
      <x:c r="AM442" s="119" t="n">
        <x:f>IF(AJ442=0,0,(AJ442-IF(4=D442,1,0))*VLOOKUP(INDEX('章节与怪物'!$E$31:$K$37,B442,4),'章节与怪物'!$A$41:$F$44,4,FALSE)+IF(4=D442,'难度参数'!$E$30,0))</x:f>
        <x:v>1360</x:v>
      </x:c>
      <x:c r="AN442" s="119" t="n">
        <x:f>IF(5&gt;D442,0,MAX(2,MIN('难度参数'!$E$12,ROUND(('难度参数'!$E$18*POWER(A442,'难度参数'!$E$19)/D442*(0.85+0.3*(5-1)/MAX(1,D442-1))),0)+F442)))</x:f>
        <x:v>42</x:v>
      </x:c>
      <x:c r="AO442" s="119" t="n">
        <x:f>IF(5&gt;D442,0,ROUND(('难度参数'!$E$13*POWER(A442,'难度参数'!$E$20)*MIN('难度参数'!$E$23,1+MAX(0,A442-'难度参数'!$E$21)*'难度参数'!$E$22))*(36+5*7)/(36+7*(D442+1)/2)*E442,0))</x:f>
        <x:v>11908</x:v>
      </x:c>
      <x:c r="AP442" s="119" t="n">
        <x:f>IF(AN442=0,0,(AN442-IF(5=D442,1,0))*ROUND(AO442*VLOOKUP(INDEX('章节与怪物'!$E$31:$K$37,B442,5),'章节与怪物'!$A$41:$F$44,2,FALSE),0)+IF(5=D442,ROUND(AO442*'难度参数'!$E$28*'章节与怪物'!$E$17,0),0))</x:f>
        <x:v>500136</x:v>
      </x:c>
      <x:c r="AQ442" s="119" t="n">
        <x:f>IF(AN442=0,0,(AN442-IF(5=D442,1,0))*VLOOKUP(INDEX('章节与怪物'!$E$31:$K$37,B442,5),'章节与怪物'!$A$41:$F$44,4,FALSE)+IF(5=D442,'难度参数'!$E$30,0))</x:f>
        <x:v>756</x:v>
      </x:c>
      <x:c r="AR442" s="119" t="n">
        <x:f>IF(6&gt;D442,0,MAX(2,MIN('难度参数'!$E$12,ROUND(('难度参数'!$E$18*POWER(A442,'难度参数'!$E$19)/D442*(0.85+0.3*(6-1)/MAX(1,D442-1))),0)+F442)))</x:f>
        <x:v>44</x:v>
      </x:c>
      <x:c r="AS442" s="119" t="n">
        <x:f>IF(6&gt;D442,0,ROUND(('难度参数'!$E$13*POWER(A442,'难度参数'!$E$20)*MIN('难度参数'!$E$23,1+MAX(0,A442-'难度参数'!$E$21)*'难度参数'!$E$22))*(36+6*7)/(36+7*(D442+1)/2)*E442,0))</x:f>
        <x:v>13082</x:v>
      </x:c>
      <x:c r="AT442" s="119" t="n">
        <x:f>IF(AR442=0,0,(AR442-IF(6=D442,1,0))*ROUND(AS442*VLOOKUP(INDEX('章节与怪物'!$E$31:$K$37,B442,6),'章节与怪物'!$A$41:$F$44,2,FALSE),0)+IF(6=D442,ROUND(AS442*'难度参数'!$E$28*'章节与怪物'!$E$17,0),0))</x:f>
        <x:v>414436</x:v>
      </x:c>
      <x:c r="AU442" s="119" t="n">
        <x:f>IF(AR442=0,0,(AR442-IF(6=D442,1,0))*VLOOKUP(INDEX('章节与怪物'!$E$31:$K$37,B442,6),'章节与怪物'!$A$41:$F$44,4,FALSE)+IF(6=D442,'难度参数'!$E$30,0))</x:f>
        <x:v>880</x:v>
      </x:c>
      <x:c r="AV442" s="119" t="n">
        <x:f>IF(7&gt;D442,0,MAX(2,MIN('难度参数'!$E$12,ROUND(('难度参数'!$E$18*POWER(A442,'难度参数'!$E$19)/D442*(0.85+0.3*(7-1)/MAX(1,D442-1))),0)+F442)))</x:f>
        <x:v>45</x:v>
      </x:c>
      <x:c r="AW442" s="119" t="n">
        <x:f>IF(7&gt;D442,0,ROUND(('难度参数'!$E$13*POWER(A442,'难度参数'!$E$20)*MIN('难度参数'!$E$23,1+MAX(0,A442-'难度参数'!$E$21)*'难度参数'!$E$22))*(36+7*7)/(36+7*(D442+1)/2)*E442,0))</x:f>
        <x:v>14256</x:v>
      </x:c>
      <x:c r="AX442" s="119" t="n">
        <x:f>IF(AV442=0,0,(AV442-IF(7=D442,1,0))*ROUND(AW442*VLOOKUP(INDEX('章节与怪物'!$E$31:$K$37,B442,7),'章节与怪物'!$A$41:$F$44,2,FALSE),0)+IF(7=D442,ROUND(AW442*'难度参数'!$E$28*'章节与怪物'!$E$17,0),0))</x:f>
        <x:v>943765</x:v>
      </x:c>
      <x:c r="AY442" s="119" t="n">
        <x:f>IF(AV442=0,0,(AV442-IF(7=D442,1,0))*VLOOKUP(INDEX('章节与怪物'!$E$31:$K$37,B442,7),'章节与怪物'!$A$41:$F$44,4,FALSE)+IF(7=D442,'难度参数'!$E$30,0))</x:f>
        <x:v>1696</x:v>
      </x:c>
    </x:row>
    <x:row r="443" ht="23" customHeight="1">
      <x:c r="A443" s="119" t="n">
        <x:v>437</x:v>
      </x:c>
      <x:c r="B443" s="119" t="n">
        <x:f>MOD(INT((A443-1)/5),7)+1</x:f>
        <x:v>4</x:v>
      </x:c>
      <x:c r="C443" s="62" t="str">
        <x:f>INDEX('章节与怪物'!$B$31:$B$37,B443)</x:f>
        <x:v>翠野边城</x:v>
      </x:c>
      <x:c r="D443" s="119" t="n">
        <x:f>MIN('难度参数'!$E$8,MAX('难度参数'!$E$7,A443))</x:f>
        <x:v>7</x:v>
      </x:c>
      <x:c r="E443" s="106" t="n">
        <x:v>1</x:v>
      </x:c>
      <x:c r="F443" s="106" t="n">
        <x:v>0</x:v>
      </x:c>
      <x:c r="G443" s="106" t="n">
        <x:v>1</x:v>
      </x:c>
      <x:c r="H443" s="119" t="n">
        <x:f>SUM(X443,AB443,AF443,AJ443,AN443,AR443,AV443)</x:f>
        <x:v>280</x:v>
      </x:c>
      <x:c r="I443" s="119" t="n">
        <x:f>SUM(Z443,AD443,AH443,AL443,AP443,AT443,AX443)</x:f>
        <x:v>3559166</x:v>
      </x:c>
      <x:c r="J443" s="119" t="n">
        <x:f>ROUND(INDEX(X443:AY443,1,(D443-1)*4+2)*'难度参数'!$E$28*'章节与怪物'!$E$17,0)</x:f>
        <x:v>97104</x:v>
      </x:c>
      <x:c r="K443" s="119" t="n">
        <x:f>SUM(AA443,AE443,AI443,AM443,AQ443,AU443,AY443)</x:f>
        <x:v>7118</x:v>
      </x:c>
      <x:c r="L443" s="62" t="n">
        <x:f>H443*(ROUNDUP('难度参数'!$E$24/('难度参数'!$E$26*'难度参数'!$E$27),0)*'难度参数'!$E$26)/60</x:f>
        <x:v>3.7333333333333334</x:v>
      </x:c>
      <x:c r="M443" s="62" t="n">
        <x:f>L443+D443*('难度参数'!$E$49+'难度参数'!$E$50)/60</x:f>
        <x:v>4.9</x:v>
      </x:c>
      <x:c r="N443" s="119" t="n">
        <x:f>ROUNDDOWN(('经济参数'!$E$20+A443*'经济参数'!$E$21)*G443,0)</x:f>
        <x:v>8920</x:v>
      </x:c>
      <x:c r="O443" s="119" t="n">
        <x:f>ROUNDDOWN(MIN('经济参数'!$E$24,'经济参数'!$E$22+A443*'经济参数'!$E$23)*G443,0)</x:f>
        <x:v>0</x:v>
      </x:c>
      <x:c r="P443" s="119" t="n">
        <x:f>ROUNDDOWN((IF(A443&gt;='材料与任务'!$E$31,'材料与任务'!$E$32,IF(A443&gt;='材料与任务'!$E$25,'材料与任务'!$E$26,IF(A443&gt;='材料与任务'!$E$19,'材料与任务'!$E$20,IF(A443&gt;='材料与任务'!$E$13,'材料与任务'!$E$14,'材料与任务'!$E$8)))))*G443,0)</x:f>
        <x:v>6</x:v>
      </x:c>
      <x:c r="Q443" s="119" t="n">
        <x:f>ROUNDDOWN((IF(A443&gt;='材料与任务'!$E$31,'材料与任务'!$E$33,IF(A443&gt;='材料与任务'!$E$25,'材料与任务'!$E$27,IF(A443&gt;='材料与任务'!$E$19,'材料与任务'!$E$21,IF(A443&gt;='材料与任务'!$E$13,'材料与任务'!$E$15,'材料与任务'!$E$9)))))*G443,0)</x:f>
        <x:v>3</x:v>
      </x:c>
      <x:c r="R443" s="110" t="n">
        <x:f>'装备掉落'!$B$38</x:f>
        <x:v>0.6872058758851213</x:v>
      </x:c>
      <x:c r="S443" s="119" t="n">
        <x:f>MAX(IF(VLOOKUP(A443,'装备掉落'!$A$29:$H$34,2,TRUE)&gt;0,1,0),IF(VLOOKUP(A443,'装备掉落'!$A$29:$H$34,3,TRUE)&gt;0,2,0),IF(VLOOKUP(A443,'装备掉落'!$A$29:$H$34,4,TRUE)&gt;0,3,0),IF(VLOOKUP(A443,'装备掉落'!$A$29:$H$34,5,TRUE)&gt;0,4,0),IF(VLOOKUP(A443,'装备掉落'!$A$29:$H$34,6,TRUE)&gt;0,5,0),IF(VLOOKUP(A443,'装备掉落'!$A$29:$H$34,7,TRUE)&gt;0,6,0),IF(VLOOKUP(A443,'装备掉落'!$A$29:$H$34,8,TRUE)&gt;0,7,0))</x:f>
        <x:v>7</x:v>
      </x:c>
      <x:c r="T443" s="119" t="n">
        <x:f>MIN(7,S443+'经济参数'!$E$70)</x:f>
        <x:v>7</x:v>
      </x:c>
      <x:c r="U443" s="119" t="n">
        <x:f>MIN(7,S443+'经济参数'!$E$71)</x:f>
        <x:v>7</x:v>
      </x:c>
      <x:c r="V443" s="119" t="n">
        <x:f>IF(H443&gt;=('难度参数'!$E$52),1,0)+IF(H443&gt;=('难度参数'!$E$52+'难度参数'!$E$53),1,0)+IF(H443&gt;=('难度参数'!$E$52+'难度参数'!$E$53+'难度参数'!$E$54),1,0)+IF(H443&gt;=('难度参数'!$E$52+'难度参数'!$E$53+'难度参数'!$E$54+'难度参数'!$E$55),1,0)+IF(H443&gt;=('难度参数'!$E$52+'难度参数'!$E$53+'难度参数'!$E$54+'难度参数'!$E$55+'难度参数'!$E$56),1,0)+IF(H443&gt;=('难度参数'!$E$52+'难度参数'!$E$53+'难度参数'!$E$54+'难度参数'!$E$55+'难度参数'!$E$56+'难度参数'!$E$57),1,0)</x:f>
        <x:v>6</x:v>
      </x:c>
      <x:c r="W443" s="62" t="str">
        <x:f>IF(L443&gt;'难度参数'!$E$51,"仅出怪已超目标","还需实测")</x:f>
        <x:v>仅出怪已超目标</x:v>
      </x:c>
      <x:c r="X443" s="119" t="n">
        <x:f>IF(1&gt;D443,0,MAX(2,MIN('难度参数'!$E$12,ROUND(('难度参数'!$E$18*POWER(A443,'难度参数'!$E$19)/D443*(0.85+0.3*(1-1)/MAX(1,D443-1))),0)+F443)))</x:f>
        <x:v>34</x:v>
      </x:c>
      <x:c r="Y443" s="119" t="n">
        <x:f>IF(1&gt;D443,0,ROUND(('难度参数'!$E$13*POWER(A443,'难度参数'!$E$20)*MIN('难度参数'!$E$23,1+MAX(0,A443-'难度参数'!$E$21)*'难度参数'!$E$22))*(36+1*7)/(36+7*(D443+1)/2)*E443,0))</x:f>
        <x:v>7224</x:v>
      </x:c>
      <x:c r="Z443" s="119" t="n">
        <x:f>IF(X443=0,0,(X443-IF(1=D443,1,0))*ROUND(Y443*VLOOKUP(INDEX('章节与怪物'!$E$31:$K$37,B443,1),'章节与怪物'!$A$41:$F$44,2,FALSE),0)+IF(1=D443,ROUND(Y443*'难度参数'!$E$28*'章节与怪物'!$E$17,0),0))</x:f>
        <x:v>176834</x:v>
      </x:c>
      <x:c r="AA443" s="119" t="n">
        <x:f>IF(X443=0,0,(X443-IF(1=D443,1,0))*VLOOKUP(INDEX('章节与怪物'!$E$31:$K$37,B443,1),'章节与怪物'!$A$41:$F$44,4,FALSE)+IF(1=D443,'难度参数'!$E$30,0))</x:f>
        <x:v>680</x:v>
      </x:c>
      <x:c r="AB443" s="119" t="n">
        <x:f>IF(2&gt;D443,0,MAX(2,MIN('难度参数'!$E$12,ROUND(('难度参数'!$E$18*POWER(A443,'难度参数'!$E$19)/D443*(0.85+0.3*(2-1)/MAX(1,D443-1))),0)+F443)))</x:f>
        <x:v>36</x:v>
      </x:c>
      <x:c r="AC443" s="119" t="n">
        <x:f>IF(2&gt;D443,0,ROUND(('难度参数'!$E$13*POWER(A443,'难度参数'!$E$20)*MIN('难度参数'!$E$23,1+MAX(0,A443-'难度参数'!$E$21)*'难度参数'!$E$22))*(36+2*7)/(36+7*(D443+1)/2)*E443,0))</x:f>
        <x:v>8400</x:v>
      </x:c>
      <x:c r="AD443" s="119" t="n">
        <x:f>IF(AB443=0,0,(AB443-IF(2=D443,1,0))*ROUND(AC443*VLOOKUP(INDEX('章节与怪物'!$E$31:$K$37,B443,2),'章节与怪物'!$A$41:$F$44,2,FALSE),0)+IF(2=D443,ROUND(AC443*'难度参数'!$E$28*'章节与怪物'!$E$17,0),0))</x:f>
        <x:v>302400</x:v>
      </x:c>
      <x:c r="AE443" s="119" t="n">
        <x:f>IF(AB443=0,0,(AB443-IF(2=D443,1,0))*VLOOKUP(INDEX('章节与怪物'!$E$31:$K$37,B443,2),'章节与怪物'!$A$41:$F$44,4,FALSE)+IF(2=D443,'难度参数'!$E$30,0))</x:f>
        <x:v>648</x:v>
      </x:c>
      <x:c r="AF443" s="119" t="n">
        <x:f>IF(3&gt;D443,0,MAX(2,MIN('难度参数'!$E$12,ROUND(('难度参数'!$E$18*POWER(A443,'难度参数'!$E$19)/D443*(0.85+0.3*(3-1)/MAX(1,D443-1))),0)+F443)))</x:f>
        <x:v>38</x:v>
      </x:c>
      <x:c r="AG443" s="119" t="n">
        <x:f>IF(3&gt;D443,0,ROUND(('难度参数'!$E$13*POWER(A443,'难度参数'!$E$20)*MIN('难度参数'!$E$23,1+MAX(0,A443-'难度参数'!$E$21)*'难度参数'!$E$22))*(36+3*7)/(36+7*(D443+1)/2)*E443,0))</x:f>
        <x:v>9576</x:v>
      </x:c>
      <x:c r="AH443" s="119" t="n">
        <x:f>IF(AF443=0,0,(AF443-IF(3=D443,1,0))*ROUND(AG443*VLOOKUP(INDEX('章节与怪物'!$E$31:$K$37,B443,3),'章节与怪物'!$A$41:$F$44,2,FALSE),0)+IF(3=D443,ROUND(AG443*'难度参数'!$E$28*'章节与怪物'!$E$17,0),0))</x:f>
        <x:v>618602</x:v>
      </x:c>
      <x:c r="AI443" s="119" t="n">
        <x:f>IF(AF443=0,0,(AF443-IF(3=D443,1,0))*VLOOKUP(INDEX('章节与怪物'!$E$31:$K$37,B443,3),'章节与怪物'!$A$41:$F$44,4,FALSE)+IF(3=D443,'难度参数'!$E$30,0))</x:f>
        <x:v>1064</x:v>
      </x:c>
      <x:c r="AJ443" s="119" t="n">
        <x:f>IF(4&gt;D443,0,MAX(2,MIN('难度参数'!$E$12,ROUND(('难度参数'!$E$18*POWER(A443,'难度参数'!$E$19)/D443*(0.85+0.3*(4-1)/MAX(1,D443-1))),0)+F443)))</x:f>
        <x:v>40</x:v>
      </x:c>
      <x:c r="AK443" s="119" t="n">
        <x:f>IF(4&gt;D443,0,ROUND(('难度参数'!$E$13*POWER(A443,'难度参数'!$E$20)*MIN('难度参数'!$E$23,1+MAX(0,A443-'难度参数'!$E$21)*'难度参数'!$E$22))*(36+4*7)/(36+7*(D443+1)/2)*E443,0))</x:f>
        <x:v>10752</x:v>
      </x:c>
      <x:c r="AL443" s="119" t="n">
        <x:f>IF(AJ443=0,0,(AJ443-IF(4=D443,1,0))*ROUND(AK443*VLOOKUP(INDEX('章节与怪物'!$E$31:$K$37,B443,4),'章节与怪物'!$A$41:$F$44,2,FALSE),0)+IF(4=D443,ROUND(AK443*'难度参数'!$E$28*'章节与怪物'!$E$17,0),0))</x:f>
        <x:v>580600</x:v>
      </x:c>
      <x:c r="AM443" s="119" t="n">
        <x:f>IF(AJ443=0,0,(AJ443-IF(4=D443,1,0))*VLOOKUP(INDEX('章节与怪物'!$E$31:$K$37,B443,4),'章节与怪物'!$A$41:$F$44,4,FALSE)+IF(4=D443,'难度参数'!$E$30,0))</x:f>
        <x:v>1360</x:v>
      </x:c>
      <x:c r="AN443" s="119" t="n">
        <x:f>IF(5&gt;D443,0,MAX(2,MIN('难度参数'!$E$12,ROUND(('难度参数'!$E$18*POWER(A443,'难度参数'!$E$19)/D443*(0.85+0.3*(5-1)/MAX(1,D443-1))),0)+F443)))</x:f>
        <x:v>42</x:v>
      </x:c>
      <x:c r="AO443" s="119" t="n">
        <x:f>IF(5&gt;D443,0,ROUND(('难度参数'!$E$13*POWER(A443,'难度参数'!$E$20)*MIN('难度参数'!$E$23,1+MAX(0,A443-'难度参数'!$E$21)*'难度参数'!$E$22))*(36+5*7)/(36+7*(D443+1)/2)*E443,0))</x:f>
        <x:v>11928</x:v>
      </x:c>
      <x:c r="AP443" s="119" t="n">
        <x:f>IF(AN443=0,0,(AN443-IF(5=D443,1,0))*ROUND(AO443*VLOOKUP(INDEX('章节与怪物'!$E$31:$K$37,B443,5),'章节与怪物'!$A$41:$F$44,2,FALSE),0)+IF(5=D443,ROUND(AO443*'难度参数'!$E$28*'章节与怪物'!$E$17,0),0))</x:f>
        <x:v>500976</x:v>
      </x:c>
      <x:c r="AQ443" s="119" t="n">
        <x:f>IF(AN443=0,0,(AN443-IF(5=D443,1,0))*VLOOKUP(INDEX('章节与怪物'!$E$31:$K$37,B443,5),'章节与怪物'!$A$41:$F$44,4,FALSE)+IF(5=D443,'难度参数'!$E$30,0))</x:f>
        <x:v>756</x:v>
      </x:c>
      <x:c r="AR443" s="119" t="n">
        <x:f>IF(6&gt;D443,0,MAX(2,MIN('难度参数'!$E$12,ROUND(('难度参数'!$E$18*POWER(A443,'难度参数'!$E$19)/D443*(0.85+0.3*(6-1)/MAX(1,D443-1))),0)+F443)))</x:f>
        <x:v>44</x:v>
      </x:c>
      <x:c r="AS443" s="119" t="n">
        <x:f>IF(6&gt;D443,0,ROUND(('难度参数'!$E$13*POWER(A443,'难度参数'!$E$20)*MIN('难度参数'!$E$23,1+MAX(0,A443-'难度参数'!$E$21)*'难度参数'!$E$22))*(36+6*7)/(36+7*(D443+1)/2)*E443,0))</x:f>
        <x:v>13104</x:v>
      </x:c>
      <x:c r="AT443" s="119" t="n">
        <x:f>IF(AR443=0,0,(AR443-IF(6=D443,1,0))*ROUND(AS443*VLOOKUP(INDEX('章节与怪物'!$E$31:$K$37,B443,6),'章节与怪物'!$A$41:$F$44,2,FALSE),0)+IF(6=D443,ROUND(AS443*'难度参数'!$E$28*'章节与怪物'!$E$17,0),0))</x:f>
        <x:v>415140</x:v>
      </x:c>
      <x:c r="AU443" s="119" t="n">
        <x:f>IF(AR443=0,0,(AR443-IF(6=D443,1,0))*VLOOKUP(INDEX('章节与怪物'!$E$31:$K$37,B443,6),'章节与怪物'!$A$41:$F$44,4,FALSE)+IF(6=D443,'难度参数'!$E$30,0))</x:f>
        <x:v>880</x:v>
      </x:c>
      <x:c r="AV443" s="119" t="n">
        <x:f>IF(7&gt;D443,0,MAX(2,MIN('难度参数'!$E$12,ROUND(('难度参数'!$E$18*POWER(A443,'难度参数'!$E$19)/D443*(0.85+0.3*(7-1)/MAX(1,D443-1))),0)+F443)))</x:f>
        <x:v>46</x:v>
      </x:c>
      <x:c r="AW443" s="119" t="n">
        <x:f>IF(7&gt;D443,0,ROUND(('难度参数'!$E$13*POWER(A443,'难度参数'!$E$20)*MIN('难度参数'!$E$23,1+MAX(0,A443-'难度参数'!$E$21)*'难度参数'!$E$22))*(36+7*7)/(36+7*(D443+1)/2)*E443,0))</x:f>
        <x:v>14280</x:v>
      </x:c>
      <x:c r="AX443" s="119" t="n">
        <x:f>IF(AV443=0,0,(AV443-IF(7=D443,1,0))*ROUND(AW443*VLOOKUP(INDEX('章节与怪物'!$E$31:$K$37,B443,7),'章节与怪物'!$A$41:$F$44,2,FALSE),0)+IF(7=D443,ROUND(AW443*'难度参数'!$E$28*'章节与怪物'!$E$17,0),0))</x:f>
        <x:v>964614</x:v>
      </x:c>
      <x:c r="AY443" s="119" t="n">
        <x:f>IF(AV443=0,0,(AV443-IF(7=D443,1,0))*VLOOKUP(INDEX('章节与怪物'!$E$31:$K$37,B443,7),'章节与怪物'!$A$41:$F$44,4,FALSE)+IF(7=D443,'难度参数'!$E$30,0))</x:f>
        <x:v>1730</x:v>
      </x:c>
    </x:row>
    <x:row r="444" ht="23" customHeight="1">
      <x:c r="A444" s="119" t="n">
        <x:v>438</x:v>
      </x:c>
      <x:c r="B444" s="119" t="n">
        <x:f>MOD(INT((A444-1)/5),7)+1</x:f>
        <x:v>4</x:v>
      </x:c>
      <x:c r="C444" s="62" t="str">
        <x:f>INDEX('章节与怪物'!$B$31:$B$37,B444)</x:f>
        <x:v>翠野边城</x:v>
      </x:c>
      <x:c r="D444" s="119" t="n">
        <x:f>MIN('难度参数'!$E$8,MAX('难度参数'!$E$7,A444))</x:f>
        <x:v>7</x:v>
      </x:c>
      <x:c r="E444" s="106" t="n">
        <x:v>1</x:v>
      </x:c>
      <x:c r="F444" s="106" t="n">
        <x:v>0</x:v>
      </x:c>
      <x:c r="G444" s="106" t="n">
        <x:v>1</x:v>
      </x:c>
      <x:c r="H444" s="119" t="n">
        <x:f>SUM(X444,AB444,AF444,AJ444,AN444,AR444,AV444)</x:f>
        <x:v>280</x:v>
      </x:c>
      <x:c r="I444" s="119" t="n">
        <x:f>SUM(Z444,AD444,AH444,AL444,AP444,AT444,AX444)</x:f>
        <x:v>3564931</x:v>
      </x:c>
      <x:c r="J444" s="119" t="n">
        <x:f>ROUND(INDEX(X444:AY444,1,(D444-1)*4+2)*'难度参数'!$E$28*'章节与怪物'!$E$17,0)</x:f>
        <x:v>97260</x:v>
      </x:c>
      <x:c r="K444" s="119" t="n">
        <x:f>SUM(AA444,AE444,AI444,AM444,AQ444,AU444,AY444)</x:f>
        <x:v>7118</x:v>
      </x:c>
      <x:c r="L444" s="62" t="n">
        <x:f>H444*(ROUNDUP('难度参数'!$E$24/('难度参数'!$E$26*'难度参数'!$E$27),0)*'难度参数'!$E$26)/60</x:f>
        <x:v>3.7333333333333334</x:v>
      </x:c>
      <x:c r="M444" s="62" t="n">
        <x:f>L444+D444*('难度参数'!$E$49+'难度参数'!$E$50)/60</x:f>
        <x:v>4.9</x:v>
      </x:c>
      <x:c r="N444" s="119" t="n">
        <x:f>ROUNDDOWN(('经济参数'!$E$20+A444*'经济参数'!$E$21)*G444,0)</x:f>
        <x:v>8940</x:v>
      </x:c>
      <x:c r="O444" s="119" t="n">
        <x:f>ROUNDDOWN(MIN('经济参数'!$E$24,'经济参数'!$E$22+A444*'经济参数'!$E$23)*G444,0)</x:f>
        <x:v>0</x:v>
      </x:c>
      <x:c r="P444" s="119" t="n">
        <x:f>ROUNDDOWN((IF(A444&gt;='材料与任务'!$E$31,'材料与任务'!$E$32,IF(A444&gt;='材料与任务'!$E$25,'材料与任务'!$E$26,IF(A444&gt;='材料与任务'!$E$19,'材料与任务'!$E$20,IF(A444&gt;='材料与任务'!$E$13,'材料与任务'!$E$14,'材料与任务'!$E$8)))))*G444,0)</x:f>
        <x:v>6</x:v>
      </x:c>
      <x:c r="Q444" s="119" t="n">
        <x:f>ROUNDDOWN((IF(A444&gt;='材料与任务'!$E$31,'材料与任务'!$E$33,IF(A444&gt;='材料与任务'!$E$25,'材料与任务'!$E$27,IF(A444&gt;='材料与任务'!$E$19,'材料与任务'!$E$21,IF(A444&gt;='材料与任务'!$E$13,'材料与任务'!$E$15,'材料与任务'!$E$9)))))*G444,0)</x:f>
        <x:v>3</x:v>
      </x:c>
      <x:c r="R444" s="110" t="n">
        <x:f>'装备掉落'!$B$38</x:f>
        <x:v>0.6872058758851213</x:v>
      </x:c>
      <x:c r="S444" s="119" t="n">
        <x:f>MAX(IF(VLOOKUP(A444,'装备掉落'!$A$29:$H$34,2,TRUE)&gt;0,1,0),IF(VLOOKUP(A444,'装备掉落'!$A$29:$H$34,3,TRUE)&gt;0,2,0),IF(VLOOKUP(A444,'装备掉落'!$A$29:$H$34,4,TRUE)&gt;0,3,0),IF(VLOOKUP(A444,'装备掉落'!$A$29:$H$34,5,TRUE)&gt;0,4,0),IF(VLOOKUP(A444,'装备掉落'!$A$29:$H$34,6,TRUE)&gt;0,5,0),IF(VLOOKUP(A444,'装备掉落'!$A$29:$H$34,7,TRUE)&gt;0,6,0),IF(VLOOKUP(A444,'装备掉落'!$A$29:$H$34,8,TRUE)&gt;0,7,0))</x:f>
        <x:v>7</x:v>
      </x:c>
      <x:c r="T444" s="119" t="n">
        <x:f>MIN(7,S444+'经济参数'!$E$70)</x:f>
        <x:v>7</x:v>
      </x:c>
      <x:c r="U444" s="119" t="n">
        <x:f>MIN(7,S444+'经济参数'!$E$71)</x:f>
        <x:v>7</x:v>
      </x:c>
      <x:c r="V444" s="119" t="n">
        <x:f>IF(H444&gt;=('难度参数'!$E$52),1,0)+IF(H444&gt;=('难度参数'!$E$52+'难度参数'!$E$53),1,0)+IF(H444&gt;=('难度参数'!$E$52+'难度参数'!$E$53+'难度参数'!$E$54),1,0)+IF(H444&gt;=('难度参数'!$E$52+'难度参数'!$E$53+'难度参数'!$E$54+'难度参数'!$E$55),1,0)+IF(H444&gt;=('难度参数'!$E$52+'难度参数'!$E$53+'难度参数'!$E$54+'难度参数'!$E$55+'难度参数'!$E$56),1,0)+IF(H444&gt;=('难度参数'!$E$52+'难度参数'!$E$53+'难度参数'!$E$54+'难度参数'!$E$55+'难度参数'!$E$56+'难度参数'!$E$57),1,0)</x:f>
        <x:v>6</x:v>
      </x:c>
      <x:c r="W444" s="62" t="str">
        <x:f>IF(L444&gt;'难度参数'!$E$51,"仅出怪已超目标","还需实测")</x:f>
        <x:v>仅出怪已超目标</x:v>
      </x:c>
      <x:c r="X444" s="119" t="n">
        <x:f>IF(1&gt;D444,0,MAX(2,MIN('难度参数'!$E$12,ROUND(('难度参数'!$E$18*POWER(A444,'难度参数'!$E$19)/D444*(0.85+0.3*(1-1)/MAX(1,D444-1))),0)+F444)))</x:f>
        <x:v>34</x:v>
      </x:c>
      <x:c r="Y444" s="119" t="n">
        <x:f>IF(1&gt;D444,0,ROUND(('难度参数'!$E$13*POWER(A444,'难度参数'!$E$20)*MIN('难度参数'!$E$23,1+MAX(0,A444-'难度参数'!$E$21)*'难度参数'!$E$22))*(36+1*7)/(36+7*(D444+1)/2)*E444,0))</x:f>
        <x:v>7236</x:v>
      </x:c>
      <x:c r="Z444" s="119" t="n">
        <x:f>IF(X444=0,0,(X444-IF(1=D444,1,0))*ROUND(Y444*VLOOKUP(INDEX('章节与怪物'!$E$31:$K$37,B444,1),'章节与怪物'!$A$41:$F$44,2,FALSE),0)+IF(1=D444,ROUND(Y444*'难度参数'!$E$28*'章节与怪物'!$E$17,0),0))</x:f>
        <x:v>177140</x:v>
      </x:c>
      <x:c r="AA444" s="119" t="n">
        <x:f>IF(X444=0,0,(X444-IF(1=D444,1,0))*VLOOKUP(INDEX('章节与怪物'!$E$31:$K$37,B444,1),'章节与怪物'!$A$41:$F$44,4,FALSE)+IF(1=D444,'难度参数'!$E$30,0))</x:f>
        <x:v>680</x:v>
      </x:c>
      <x:c r="AB444" s="119" t="n">
        <x:f>IF(2&gt;D444,0,MAX(2,MIN('难度参数'!$E$12,ROUND(('难度参数'!$E$18*POWER(A444,'难度参数'!$E$19)/D444*(0.85+0.3*(2-1)/MAX(1,D444-1))),0)+F444)))</x:f>
        <x:v>36</x:v>
      </x:c>
      <x:c r="AC444" s="119" t="n">
        <x:f>IF(2&gt;D444,0,ROUND(('难度参数'!$E$13*POWER(A444,'难度参数'!$E$20)*MIN('难度参数'!$E$23,1+MAX(0,A444-'难度参数'!$E$21)*'难度参数'!$E$22))*(36+2*7)/(36+7*(D444+1)/2)*E444,0))</x:f>
        <x:v>8414</x:v>
      </x:c>
      <x:c r="AD444" s="119" t="n">
        <x:f>IF(AB444=0,0,(AB444-IF(2=D444,1,0))*ROUND(AC444*VLOOKUP(INDEX('章节与怪物'!$E$31:$K$37,B444,2),'章节与怪物'!$A$41:$F$44,2,FALSE),0)+IF(2=D444,ROUND(AC444*'难度参数'!$E$28*'章节与怪物'!$E$17,0),0))</x:f>
        <x:v>302904</x:v>
      </x:c>
      <x:c r="AE444" s="119" t="n">
        <x:f>IF(AB444=0,0,(AB444-IF(2=D444,1,0))*VLOOKUP(INDEX('章节与怪物'!$E$31:$K$37,B444,2),'章节与怪物'!$A$41:$F$44,4,FALSE)+IF(2=D444,'难度参数'!$E$30,0))</x:f>
        <x:v>648</x:v>
      </x:c>
      <x:c r="AF444" s="119" t="n">
        <x:f>IF(3&gt;D444,0,MAX(2,MIN('难度参数'!$E$12,ROUND(('难度参数'!$E$18*POWER(A444,'难度参数'!$E$19)/D444*(0.85+0.3*(3-1)/MAX(1,D444-1))),0)+F444)))</x:f>
        <x:v>38</x:v>
      </x:c>
      <x:c r="AG444" s="119" t="n">
        <x:f>IF(3&gt;D444,0,ROUND(('难度参数'!$E$13*POWER(A444,'难度参数'!$E$20)*MIN('难度参数'!$E$23,1+MAX(0,A444-'难度参数'!$E$21)*'难度参数'!$E$22))*(36+3*7)/(36+7*(D444+1)/2)*E444,0))</x:f>
        <x:v>9592</x:v>
      </x:c>
      <x:c r="AH444" s="119" t="n">
        <x:f>IF(AF444=0,0,(AF444-IF(3=D444,1,0))*ROUND(AG444*VLOOKUP(INDEX('章节与怪物'!$E$31:$K$37,B444,3),'章节与怪物'!$A$41:$F$44,2,FALSE),0)+IF(3=D444,ROUND(AG444*'难度参数'!$E$28*'章节与怪物'!$E$17,0),0))</x:f>
        <x:v>619628</x:v>
      </x:c>
      <x:c r="AI444" s="119" t="n">
        <x:f>IF(AF444=0,0,(AF444-IF(3=D444,1,0))*VLOOKUP(INDEX('章节与怪物'!$E$31:$K$37,B444,3),'章节与怪物'!$A$41:$F$44,4,FALSE)+IF(3=D444,'难度参数'!$E$30,0))</x:f>
        <x:v>1064</x:v>
      </x:c>
      <x:c r="AJ444" s="119" t="n">
        <x:f>IF(4&gt;D444,0,MAX(2,MIN('难度参数'!$E$12,ROUND(('难度参数'!$E$18*POWER(A444,'难度参数'!$E$19)/D444*(0.85+0.3*(4-1)/MAX(1,D444-1))),0)+F444)))</x:f>
        <x:v>40</x:v>
      </x:c>
      <x:c r="AK444" s="119" t="n">
        <x:f>IF(4&gt;D444,0,ROUND(('难度参数'!$E$13*POWER(A444,'难度参数'!$E$20)*MIN('难度参数'!$E$23,1+MAX(0,A444-'难度参数'!$E$21)*'难度参数'!$E$22))*(36+4*7)/(36+7*(D444+1)/2)*E444,0))</x:f>
        <x:v>10769</x:v>
      </x:c>
      <x:c r="AL444" s="119" t="n">
        <x:f>IF(AJ444=0,0,(AJ444-IF(4=D444,1,0))*ROUND(AK444*VLOOKUP(INDEX('章节与怪物'!$E$31:$K$37,B444,4),'章节与怪物'!$A$41:$F$44,2,FALSE),0)+IF(4=D444,ROUND(AK444*'难度参数'!$E$28*'章节与怪物'!$E$17,0),0))</x:f>
        <x:v>581520</x:v>
      </x:c>
      <x:c r="AM444" s="119" t="n">
        <x:f>IF(AJ444=0,0,(AJ444-IF(4=D444,1,0))*VLOOKUP(INDEX('章节与怪物'!$E$31:$K$37,B444,4),'章节与怪物'!$A$41:$F$44,4,FALSE)+IF(4=D444,'难度参数'!$E$30,0))</x:f>
        <x:v>1360</x:v>
      </x:c>
      <x:c r="AN444" s="119" t="n">
        <x:f>IF(5&gt;D444,0,MAX(2,MIN('难度参数'!$E$12,ROUND(('难度参数'!$E$18*POWER(A444,'难度参数'!$E$19)/D444*(0.85+0.3*(5-1)/MAX(1,D444-1))),0)+F444)))</x:f>
        <x:v>42</x:v>
      </x:c>
      <x:c r="AO444" s="119" t="n">
        <x:f>IF(5&gt;D444,0,ROUND(('难度参数'!$E$13*POWER(A444,'难度参数'!$E$20)*MIN('难度参数'!$E$23,1+MAX(0,A444-'难度参数'!$E$21)*'难度参数'!$E$22))*(36+5*7)/(36+7*(D444+1)/2)*E444,0))</x:f>
        <x:v>11947</x:v>
      </x:c>
      <x:c r="AP444" s="119" t="n">
        <x:f>IF(AN444=0,0,(AN444-IF(5=D444,1,0))*ROUND(AO444*VLOOKUP(INDEX('章节与怪物'!$E$31:$K$37,B444,5),'章节与怪物'!$A$41:$F$44,2,FALSE),0)+IF(5=D444,ROUND(AO444*'难度参数'!$E$28*'章节与怪物'!$E$17,0),0))</x:f>
        <x:v>501774</x:v>
      </x:c>
      <x:c r="AQ444" s="119" t="n">
        <x:f>IF(AN444=0,0,(AN444-IF(5=D444,1,0))*VLOOKUP(INDEX('章节与怪物'!$E$31:$K$37,B444,5),'章节与怪物'!$A$41:$F$44,4,FALSE)+IF(5=D444,'难度参数'!$E$30,0))</x:f>
        <x:v>756</x:v>
      </x:c>
      <x:c r="AR444" s="119" t="n">
        <x:f>IF(6&gt;D444,0,MAX(2,MIN('难度参数'!$E$12,ROUND(('难度参数'!$E$18*POWER(A444,'难度参数'!$E$19)/D444*(0.85+0.3*(6-1)/MAX(1,D444-1))),0)+F444)))</x:f>
        <x:v>44</x:v>
      </x:c>
      <x:c r="AS444" s="119" t="n">
        <x:f>IF(6&gt;D444,0,ROUND(('难度参数'!$E$13*POWER(A444,'难度参数'!$E$20)*MIN('难度参数'!$E$23,1+MAX(0,A444-'难度参数'!$E$21)*'难度参数'!$E$22))*(36+6*7)/(36+7*(D444+1)/2)*E444,0))</x:f>
        <x:v>13125</x:v>
      </x:c>
      <x:c r="AT444" s="119" t="n">
        <x:f>IF(AR444=0,0,(AR444-IF(6=D444,1,0))*ROUND(AS444*VLOOKUP(INDEX('章节与怪物'!$E$31:$K$37,B444,6),'章节与怪物'!$A$41:$F$44,2,FALSE),0)+IF(6=D444,ROUND(AS444*'难度参数'!$E$28*'章节与怪物'!$E$17,0),0))</x:f>
        <x:v>415800</x:v>
      </x:c>
      <x:c r="AU444" s="119" t="n">
        <x:f>IF(AR444=0,0,(AR444-IF(6=D444,1,0))*VLOOKUP(INDEX('章节与怪物'!$E$31:$K$37,B444,6),'章节与怪物'!$A$41:$F$44,4,FALSE)+IF(6=D444,'难度参数'!$E$30,0))</x:f>
        <x:v>880</x:v>
      </x:c>
      <x:c r="AV444" s="119" t="n">
        <x:f>IF(7&gt;D444,0,MAX(2,MIN('难度参数'!$E$12,ROUND(('难度参数'!$E$18*POWER(A444,'难度参数'!$E$19)/D444*(0.85+0.3*(7-1)/MAX(1,D444-1))),0)+F444)))</x:f>
        <x:v>46</x:v>
      </x:c>
      <x:c r="AW444" s="119" t="n">
        <x:f>IF(7&gt;D444,0,ROUND(('难度参数'!$E$13*POWER(A444,'难度参数'!$E$20)*MIN('难度参数'!$E$23,1+MAX(0,A444-'难度参数'!$E$21)*'难度参数'!$E$22))*(36+7*7)/(36+7*(D444+1)/2)*E444,0))</x:f>
        <x:v>14303</x:v>
      </x:c>
      <x:c r="AX444" s="119" t="n">
        <x:f>IF(AV444=0,0,(AV444-IF(7=D444,1,0))*ROUND(AW444*VLOOKUP(INDEX('章节与怪物'!$E$31:$K$37,B444,7),'章节与怪物'!$A$41:$F$44,2,FALSE),0)+IF(7=D444,ROUND(AW444*'难度参数'!$E$28*'章节与怪物'!$E$17,0),0))</x:f>
        <x:v>966165</x:v>
      </x:c>
      <x:c r="AY444" s="119" t="n">
        <x:f>IF(AV444=0,0,(AV444-IF(7=D444,1,0))*VLOOKUP(INDEX('章节与怪物'!$E$31:$K$37,B444,7),'章节与怪物'!$A$41:$F$44,4,FALSE)+IF(7=D444,'难度参数'!$E$30,0))</x:f>
        <x:v>1730</x:v>
      </x:c>
    </x:row>
    <x:row r="445" ht="23" customHeight="1">
      <x:c r="A445" s="119" t="n">
        <x:v>439</x:v>
      </x:c>
      <x:c r="B445" s="119" t="n">
        <x:f>MOD(INT((A445-1)/5),7)+1</x:f>
        <x:v>4</x:v>
      </x:c>
      <x:c r="C445" s="62" t="str">
        <x:f>INDEX('章节与怪物'!$B$31:$B$37,B445)</x:f>
        <x:v>翠野边城</x:v>
      </x:c>
      <x:c r="D445" s="119" t="n">
        <x:f>MIN('难度参数'!$E$8,MAX('难度参数'!$E$7,A445))</x:f>
        <x:v>7</x:v>
      </x:c>
      <x:c r="E445" s="106" t="n">
        <x:v>1</x:v>
      </x:c>
      <x:c r="F445" s="106" t="n">
        <x:v>0</x:v>
      </x:c>
      <x:c r="G445" s="106" t="n">
        <x:v>1</x:v>
      </x:c>
      <x:c r="H445" s="119" t="n">
        <x:f>SUM(X445,AB445,AF445,AJ445,AN445,AR445,AV445)</x:f>
        <x:v>280</x:v>
      </x:c>
      <x:c r="I445" s="119" t="n">
        <x:f>SUM(Z445,AD445,AH445,AL445,AP445,AT445,AX445)</x:f>
        <x:v>3570801</x:v>
      </x:c>
      <x:c r="J445" s="119" t="n">
        <x:f>ROUND(INDEX(X445:AY445,1,(D445-1)*4+2)*'难度参数'!$E$28*'章节与怪物'!$E$17,0)</x:f>
        <x:v>97424</x:v>
      </x:c>
      <x:c r="K445" s="119" t="n">
        <x:f>SUM(AA445,AE445,AI445,AM445,AQ445,AU445,AY445)</x:f>
        <x:v>7118</x:v>
      </x:c>
      <x:c r="L445" s="62" t="n">
        <x:f>H445*(ROUNDUP('难度参数'!$E$24/('难度参数'!$E$26*'难度参数'!$E$27),0)*'难度参数'!$E$26)/60</x:f>
        <x:v>3.7333333333333334</x:v>
      </x:c>
      <x:c r="M445" s="62" t="n">
        <x:f>L445+D445*('难度参数'!$E$49+'难度参数'!$E$50)/60</x:f>
        <x:v>4.9</x:v>
      </x:c>
      <x:c r="N445" s="119" t="n">
        <x:f>ROUNDDOWN(('经济参数'!$E$20+A445*'经济参数'!$E$21)*G445,0)</x:f>
        <x:v>8960</x:v>
      </x:c>
      <x:c r="O445" s="119" t="n">
        <x:f>ROUNDDOWN(MIN('经济参数'!$E$24,'经济参数'!$E$22+A445*'经济参数'!$E$23)*G445,0)</x:f>
        <x:v>0</x:v>
      </x:c>
      <x:c r="P445" s="119" t="n">
        <x:f>ROUNDDOWN((IF(A445&gt;='材料与任务'!$E$31,'材料与任务'!$E$32,IF(A445&gt;='材料与任务'!$E$25,'材料与任务'!$E$26,IF(A445&gt;='材料与任务'!$E$19,'材料与任务'!$E$20,IF(A445&gt;='材料与任务'!$E$13,'材料与任务'!$E$14,'材料与任务'!$E$8)))))*G445,0)</x:f>
        <x:v>6</x:v>
      </x:c>
      <x:c r="Q445" s="119" t="n">
        <x:f>ROUNDDOWN((IF(A445&gt;='材料与任务'!$E$31,'材料与任务'!$E$33,IF(A445&gt;='材料与任务'!$E$25,'材料与任务'!$E$27,IF(A445&gt;='材料与任务'!$E$19,'材料与任务'!$E$21,IF(A445&gt;='材料与任务'!$E$13,'材料与任务'!$E$15,'材料与任务'!$E$9)))))*G445,0)</x:f>
        <x:v>3</x:v>
      </x:c>
      <x:c r="R445" s="110" t="n">
        <x:f>'装备掉落'!$B$38</x:f>
        <x:v>0.6872058758851213</x:v>
      </x:c>
      <x:c r="S445" s="119" t="n">
        <x:f>MAX(IF(VLOOKUP(A445,'装备掉落'!$A$29:$H$34,2,TRUE)&gt;0,1,0),IF(VLOOKUP(A445,'装备掉落'!$A$29:$H$34,3,TRUE)&gt;0,2,0),IF(VLOOKUP(A445,'装备掉落'!$A$29:$H$34,4,TRUE)&gt;0,3,0),IF(VLOOKUP(A445,'装备掉落'!$A$29:$H$34,5,TRUE)&gt;0,4,0),IF(VLOOKUP(A445,'装备掉落'!$A$29:$H$34,6,TRUE)&gt;0,5,0),IF(VLOOKUP(A445,'装备掉落'!$A$29:$H$34,7,TRUE)&gt;0,6,0),IF(VLOOKUP(A445,'装备掉落'!$A$29:$H$34,8,TRUE)&gt;0,7,0))</x:f>
        <x:v>7</x:v>
      </x:c>
      <x:c r="T445" s="119" t="n">
        <x:f>MIN(7,S445+'经济参数'!$E$70)</x:f>
        <x:v>7</x:v>
      </x:c>
      <x:c r="U445" s="119" t="n">
        <x:f>MIN(7,S445+'经济参数'!$E$71)</x:f>
        <x:v>7</x:v>
      </x:c>
      <x:c r="V445" s="119" t="n">
        <x:f>IF(H445&gt;=('难度参数'!$E$52),1,0)+IF(H445&gt;=('难度参数'!$E$52+'难度参数'!$E$53),1,0)+IF(H445&gt;=('难度参数'!$E$52+'难度参数'!$E$53+'难度参数'!$E$54),1,0)+IF(H445&gt;=('难度参数'!$E$52+'难度参数'!$E$53+'难度参数'!$E$54+'难度参数'!$E$55),1,0)+IF(H445&gt;=('难度参数'!$E$52+'难度参数'!$E$53+'难度参数'!$E$54+'难度参数'!$E$55+'难度参数'!$E$56),1,0)+IF(H445&gt;=('难度参数'!$E$52+'难度参数'!$E$53+'难度参数'!$E$54+'难度参数'!$E$55+'难度参数'!$E$56+'难度参数'!$E$57),1,0)</x:f>
        <x:v>6</x:v>
      </x:c>
      <x:c r="W445" s="62" t="str">
        <x:f>IF(L445&gt;'难度参数'!$E$51,"仅出怪已超目标","还需实测")</x:f>
        <x:v>仅出怪已超目标</x:v>
      </x:c>
      <x:c r="X445" s="119" t="n">
        <x:f>IF(1&gt;D445,0,MAX(2,MIN('难度参数'!$E$12,ROUND(('难度参数'!$E$18*POWER(A445,'难度参数'!$E$19)/D445*(0.85+0.3*(1-1)/MAX(1,D445-1))),0)+F445)))</x:f>
        <x:v>34</x:v>
      </x:c>
      <x:c r="Y445" s="119" t="n">
        <x:f>IF(1&gt;D445,0,ROUND(('难度参数'!$E$13*POWER(A445,'难度参数'!$E$20)*MIN('难度参数'!$E$23,1+MAX(0,A445-'难度参数'!$E$21)*'难度参数'!$E$22))*(36+1*7)/(36+7*(D445+1)/2)*E445,0))</x:f>
        <x:v>7248</x:v>
      </x:c>
      <x:c r="Z445" s="119" t="n">
        <x:f>IF(X445=0,0,(X445-IF(1=D445,1,0))*ROUND(Y445*VLOOKUP(INDEX('章节与怪物'!$E$31:$K$37,B445,1),'章节与怪物'!$A$41:$F$44,2,FALSE),0)+IF(1=D445,ROUND(Y445*'难度参数'!$E$28*'章节与怪物'!$E$17,0),0))</x:f>
        <x:v>177446</x:v>
      </x:c>
      <x:c r="AA445" s="119" t="n">
        <x:f>IF(X445=0,0,(X445-IF(1=D445,1,0))*VLOOKUP(INDEX('章节与怪物'!$E$31:$K$37,B445,1),'章节与怪物'!$A$41:$F$44,4,FALSE)+IF(1=D445,'难度参数'!$E$30,0))</x:f>
        <x:v>680</x:v>
      </x:c>
      <x:c r="AB445" s="119" t="n">
        <x:f>IF(2&gt;D445,0,MAX(2,MIN('难度参数'!$E$12,ROUND(('难度参数'!$E$18*POWER(A445,'难度参数'!$E$19)/D445*(0.85+0.3*(2-1)/MAX(1,D445-1))),0)+F445)))</x:f>
        <x:v>36</x:v>
      </x:c>
      <x:c r="AC445" s="119" t="n">
        <x:f>IF(2&gt;D445,0,ROUND(('难度参数'!$E$13*POWER(A445,'难度参数'!$E$20)*MIN('难度参数'!$E$23,1+MAX(0,A445-'难度参数'!$E$21)*'难度参数'!$E$22))*(36+2*7)/(36+7*(D445+1)/2)*E445,0))</x:f>
        <x:v>8427</x:v>
      </x:c>
      <x:c r="AD445" s="119" t="n">
        <x:f>IF(AB445=0,0,(AB445-IF(2=D445,1,0))*ROUND(AC445*VLOOKUP(INDEX('章节与怪物'!$E$31:$K$37,B445,2),'章节与怪物'!$A$41:$F$44,2,FALSE),0)+IF(2=D445,ROUND(AC445*'难度参数'!$E$28*'章节与怪物'!$E$17,0),0))</x:f>
        <x:v>303372</x:v>
      </x:c>
      <x:c r="AE445" s="119" t="n">
        <x:f>IF(AB445=0,0,(AB445-IF(2=D445,1,0))*VLOOKUP(INDEX('章节与怪物'!$E$31:$K$37,B445,2),'章节与怪物'!$A$41:$F$44,4,FALSE)+IF(2=D445,'难度参数'!$E$30,0))</x:f>
        <x:v>648</x:v>
      </x:c>
      <x:c r="AF445" s="119" t="n">
        <x:f>IF(3&gt;D445,0,MAX(2,MIN('难度参数'!$E$12,ROUND(('难度参数'!$E$18*POWER(A445,'难度参数'!$E$19)/D445*(0.85+0.3*(3-1)/MAX(1,D445-1))),0)+F445)))</x:f>
        <x:v>38</x:v>
      </x:c>
      <x:c r="AG445" s="119" t="n">
        <x:f>IF(3&gt;D445,0,ROUND(('难度参数'!$E$13*POWER(A445,'难度参数'!$E$20)*MIN('难度参数'!$E$23,1+MAX(0,A445-'难度参数'!$E$21)*'难度参数'!$E$22))*(36+3*7)/(36+7*(D445+1)/2)*E445,0))</x:f>
        <x:v>9607</x:v>
      </x:c>
      <x:c r="AH445" s="119" t="n">
        <x:f>IF(AF445=0,0,(AF445-IF(3=D445,1,0))*ROUND(AG445*VLOOKUP(INDEX('章节与怪物'!$E$31:$K$37,B445,3),'章节与怪物'!$A$41:$F$44,2,FALSE),0)+IF(3=D445,ROUND(AG445*'难度参数'!$E$28*'章节与怪物'!$E$17,0),0))</x:f>
        <x:v>620616</x:v>
      </x:c>
      <x:c r="AI445" s="119" t="n">
        <x:f>IF(AF445=0,0,(AF445-IF(3=D445,1,0))*VLOOKUP(INDEX('章节与怪物'!$E$31:$K$37,B445,3),'章节与怪物'!$A$41:$F$44,4,FALSE)+IF(3=D445,'难度参数'!$E$30,0))</x:f>
        <x:v>1064</x:v>
      </x:c>
      <x:c r="AJ445" s="119" t="n">
        <x:f>IF(4&gt;D445,0,MAX(2,MIN('难度参数'!$E$12,ROUND(('难度参数'!$E$18*POWER(A445,'难度参数'!$E$19)/D445*(0.85+0.3*(4-1)/MAX(1,D445-1))),0)+F445)))</x:f>
        <x:v>40</x:v>
      </x:c>
      <x:c r="AK445" s="119" t="n">
        <x:f>IF(4&gt;D445,0,ROUND(('难度参数'!$E$13*POWER(A445,'难度参数'!$E$20)*MIN('难度参数'!$E$23,1+MAX(0,A445-'难度参数'!$E$21)*'难度参数'!$E$22))*(36+4*7)/(36+7*(D445+1)/2)*E445,0))</x:f>
        <x:v>10787</x:v>
      </x:c>
      <x:c r="AL445" s="119" t="n">
        <x:f>IF(AJ445=0,0,(AJ445-IF(4=D445,1,0))*ROUND(AK445*VLOOKUP(INDEX('章节与怪物'!$E$31:$K$37,B445,4),'章节与怪物'!$A$41:$F$44,2,FALSE),0)+IF(4=D445,ROUND(AK445*'难度参数'!$E$28*'章节与怪物'!$E$17,0),0))</x:f>
        <x:v>582480</x:v>
      </x:c>
      <x:c r="AM445" s="119" t="n">
        <x:f>IF(AJ445=0,0,(AJ445-IF(4=D445,1,0))*VLOOKUP(INDEX('章节与怪物'!$E$31:$K$37,B445,4),'章节与怪物'!$A$41:$F$44,4,FALSE)+IF(4=D445,'难度参数'!$E$30,0))</x:f>
        <x:v>1360</x:v>
      </x:c>
      <x:c r="AN445" s="119" t="n">
        <x:f>IF(5&gt;D445,0,MAX(2,MIN('难度参数'!$E$12,ROUND(('难度参数'!$E$18*POWER(A445,'难度参数'!$E$19)/D445*(0.85+0.3*(5-1)/MAX(1,D445-1))),0)+F445)))</x:f>
        <x:v>42</x:v>
      </x:c>
      <x:c r="AO445" s="119" t="n">
        <x:f>IF(5&gt;D445,0,ROUND(('难度参数'!$E$13*POWER(A445,'难度参数'!$E$20)*MIN('难度参数'!$E$23,1+MAX(0,A445-'难度参数'!$E$21)*'难度参数'!$E$22))*(36+5*7)/(36+7*(D445+1)/2)*E445,0))</x:f>
        <x:v>11967</x:v>
      </x:c>
      <x:c r="AP445" s="119" t="n">
        <x:f>IF(AN445=0,0,(AN445-IF(5=D445,1,0))*ROUND(AO445*VLOOKUP(INDEX('章节与怪物'!$E$31:$K$37,B445,5),'章节与怪物'!$A$41:$F$44,2,FALSE),0)+IF(5=D445,ROUND(AO445*'难度参数'!$E$28*'章节与怪物'!$E$17,0),0))</x:f>
        <x:v>502614</x:v>
      </x:c>
      <x:c r="AQ445" s="119" t="n">
        <x:f>IF(AN445=0,0,(AN445-IF(5=D445,1,0))*VLOOKUP(INDEX('章节与怪物'!$E$31:$K$37,B445,5),'章节与怪物'!$A$41:$F$44,4,FALSE)+IF(5=D445,'难度参数'!$E$30,0))</x:f>
        <x:v>756</x:v>
      </x:c>
      <x:c r="AR445" s="119" t="n">
        <x:f>IF(6&gt;D445,0,MAX(2,MIN('难度参数'!$E$12,ROUND(('难度参数'!$E$18*POWER(A445,'难度参数'!$E$19)/D445*(0.85+0.3*(6-1)/MAX(1,D445-1))),0)+F445)))</x:f>
        <x:v>44</x:v>
      </x:c>
      <x:c r="AS445" s="119" t="n">
        <x:f>IF(6&gt;D445,0,ROUND(('难度参数'!$E$13*POWER(A445,'难度参数'!$E$20)*MIN('难度参数'!$E$23,1+MAX(0,A445-'难度参数'!$E$21)*'难度参数'!$E$22))*(36+6*7)/(36+7*(D445+1)/2)*E445,0))</x:f>
        <x:v>13147</x:v>
      </x:c>
      <x:c r="AT445" s="119" t="n">
        <x:f>IF(AR445=0,0,(AR445-IF(6=D445,1,0))*ROUND(AS445*VLOOKUP(INDEX('章节与怪物'!$E$31:$K$37,B445,6),'章节与怪物'!$A$41:$F$44,2,FALSE),0)+IF(6=D445,ROUND(AS445*'难度参数'!$E$28*'章节与怪物'!$E$17,0),0))</x:f>
        <x:v>416504</x:v>
      </x:c>
      <x:c r="AU445" s="119" t="n">
        <x:f>IF(AR445=0,0,(AR445-IF(6=D445,1,0))*VLOOKUP(INDEX('章节与怪物'!$E$31:$K$37,B445,6),'章节与怪物'!$A$41:$F$44,4,FALSE)+IF(6=D445,'难度参数'!$E$30,0))</x:f>
        <x:v>880</x:v>
      </x:c>
      <x:c r="AV445" s="119" t="n">
        <x:f>IF(7&gt;D445,0,MAX(2,MIN('难度参数'!$E$12,ROUND(('难度参数'!$E$18*POWER(A445,'难度参数'!$E$19)/D445*(0.85+0.3*(7-1)/MAX(1,D445-1))),0)+F445)))</x:f>
        <x:v>46</x:v>
      </x:c>
      <x:c r="AW445" s="119" t="n">
        <x:f>IF(7&gt;D445,0,ROUND(('难度参数'!$E$13*POWER(A445,'难度参数'!$E$20)*MIN('难度参数'!$E$23,1+MAX(0,A445-'难度参数'!$E$21)*'难度参数'!$E$22))*(36+7*7)/(36+7*(D445+1)/2)*E445,0))</x:f>
        <x:v>14327</x:v>
      </x:c>
      <x:c r="AX445" s="119" t="n">
        <x:f>IF(AV445=0,0,(AV445-IF(7=D445,1,0))*ROUND(AW445*VLOOKUP(INDEX('章节与怪物'!$E$31:$K$37,B445,7),'章节与怪物'!$A$41:$F$44,2,FALSE),0)+IF(7=D445,ROUND(AW445*'难度参数'!$E$28*'章节与怪物'!$E$17,0),0))</x:f>
        <x:v>967769</x:v>
      </x:c>
      <x:c r="AY445" s="119" t="n">
        <x:f>IF(AV445=0,0,(AV445-IF(7=D445,1,0))*VLOOKUP(INDEX('章节与怪物'!$E$31:$K$37,B445,7),'章节与怪物'!$A$41:$F$44,4,FALSE)+IF(7=D445,'难度参数'!$E$30,0))</x:f>
        <x:v>1730</x:v>
      </x:c>
    </x:row>
    <x:row r="446" ht="23" customHeight="1">
      <x:c r="A446" s="119" t="n">
        <x:v>440</x:v>
      </x:c>
      <x:c r="B446" s="119" t="n">
        <x:f>MOD(INT((A446-1)/5),7)+1</x:f>
        <x:v>4</x:v>
      </x:c>
      <x:c r="C446" s="62" t="str">
        <x:f>INDEX('章节与怪物'!$B$31:$B$37,B446)</x:f>
        <x:v>翠野边城</x:v>
      </x:c>
      <x:c r="D446" s="119" t="n">
        <x:f>MIN('难度参数'!$E$8,MAX('难度参数'!$E$7,A446))</x:f>
        <x:v>7</x:v>
      </x:c>
      <x:c r="E446" s="106" t="n">
        <x:v>1</x:v>
      </x:c>
      <x:c r="F446" s="106" t="n">
        <x:v>0</x:v>
      </x:c>
      <x:c r="G446" s="106" t="n">
        <x:v>1</x:v>
      </x:c>
      <x:c r="H446" s="119" t="n">
        <x:f>SUM(X446,AB446,AF446,AJ446,AN446,AR446,AV446)</x:f>
        <x:v>280</x:v>
      </x:c>
      <x:c r="I446" s="119" t="n">
        <x:f>SUM(Z446,AD446,AH446,AL446,AP446,AT446,AX446)</x:f>
        <x:v>3576699</x:v>
      </x:c>
      <x:c r="J446" s="119" t="n">
        <x:f>ROUND(INDEX(X446:AY446,1,(D446-1)*4+2)*'难度参数'!$E$28*'章节与怪物'!$E$17,0)</x:f>
        <x:v>97580</x:v>
      </x:c>
      <x:c r="K446" s="119" t="n">
        <x:f>SUM(AA446,AE446,AI446,AM446,AQ446,AU446,AY446)</x:f>
        <x:v>7118</x:v>
      </x:c>
      <x:c r="L446" s="62" t="n">
        <x:f>H446*(ROUNDUP('难度参数'!$E$24/('难度参数'!$E$26*'难度参数'!$E$27),0)*'难度参数'!$E$26)/60</x:f>
        <x:v>3.7333333333333334</x:v>
      </x:c>
      <x:c r="M446" s="62" t="n">
        <x:f>L446+D446*('难度参数'!$E$49+'难度参数'!$E$50)/60</x:f>
        <x:v>4.9</x:v>
      </x:c>
      <x:c r="N446" s="119" t="n">
        <x:f>ROUNDDOWN(('经济参数'!$E$20+A446*'经济参数'!$E$21)*G446,0)</x:f>
        <x:v>8980</x:v>
      </x:c>
      <x:c r="O446" s="119" t="n">
        <x:f>ROUNDDOWN(MIN('经济参数'!$E$24,'经济参数'!$E$22+A446*'经济参数'!$E$23)*G446,0)</x:f>
        <x:v>0</x:v>
      </x:c>
      <x:c r="P446" s="119" t="n">
        <x:f>ROUNDDOWN((IF(A446&gt;='材料与任务'!$E$31,'材料与任务'!$E$32,IF(A446&gt;='材料与任务'!$E$25,'材料与任务'!$E$26,IF(A446&gt;='材料与任务'!$E$19,'材料与任务'!$E$20,IF(A446&gt;='材料与任务'!$E$13,'材料与任务'!$E$14,'材料与任务'!$E$8)))))*G446,0)</x:f>
        <x:v>6</x:v>
      </x:c>
      <x:c r="Q446" s="119" t="n">
        <x:f>ROUNDDOWN((IF(A446&gt;='材料与任务'!$E$31,'材料与任务'!$E$33,IF(A446&gt;='材料与任务'!$E$25,'材料与任务'!$E$27,IF(A446&gt;='材料与任务'!$E$19,'材料与任务'!$E$21,IF(A446&gt;='材料与任务'!$E$13,'材料与任务'!$E$15,'材料与任务'!$E$9)))))*G446,0)</x:f>
        <x:v>3</x:v>
      </x:c>
      <x:c r="R446" s="110" t="n">
        <x:f>'装备掉落'!$B$38</x:f>
        <x:v>0.6872058758851213</x:v>
      </x:c>
      <x:c r="S446" s="119" t="n">
        <x:f>MAX(IF(VLOOKUP(A446,'装备掉落'!$A$29:$H$34,2,TRUE)&gt;0,1,0),IF(VLOOKUP(A446,'装备掉落'!$A$29:$H$34,3,TRUE)&gt;0,2,0),IF(VLOOKUP(A446,'装备掉落'!$A$29:$H$34,4,TRUE)&gt;0,3,0),IF(VLOOKUP(A446,'装备掉落'!$A$29:$H$34,5,TRUE)&gt;0,4,0),IF(VLOOKUP(A446,'装备掉落'!$A$29:$H$34,6,TRUE)&gt;0,5,0),IF(VLOOKUP(A446,'装备掉落'!$A$29:$H$34,7,TRUE)&gt;0,6,0),IF(VLOOKUP(A446,'装备掉落'!$A$29:$H$34,8,TRUE)&gt;0,7,0))</x:f>
        <x:v>7</x:v>
      </x:c>
      <x:c r="T446" s="119" t="n">
        <x:f>MIN(7,S446+'经济参数'!$E$70)</x:f>
        <x:v>7</x:v>
      </x:c>
      <x:c r="U446" s="119" t="n">
        <x:f>MIN(7,S446+'经济参数'!$E$71)</x:f>
        <x:v>7</x:v>
      </x:c>
      <x:c r="V446" s="119" t="n">
        <x:f>IF(H446&gt;=('难度参数'!$E$52),1,0)+IF(H446&gt;=('难度参数'!$E$52+'难度参数'!$E$53),1,0)+IF(H446&gt;=('难度参数'!$E$52+'难度参数'!$E$53+'难度参数'!$E$54),1,0)+IF(H446&gt;=('难度参数'!$E$52+'难度参数'!$E$53+'难度参数'!$E$54+'难度参数'!$E$55),1,0)+IF(H446&gt;=('难度参数'!$E$52+'难度参数'!$E$53+'难度参数'!$E$54+'难度参数'!$E$55+'难度参数'!$E$56),1,0)+IF(H446&gt;=('难度参数'!$E$52+'难度参数'!$E$53+'难度参数'!$E$54+'难度参数'!$E$55+'难度参数'!$E$56+'难度参数'!$E$57),1,0)</x:f>
        <x:v>6</x:v>
      </x:c>
      <x:c r="W446" s="62" t="str">
        <x:f>IF(L446&gt;'难度参数'!$E$51,"仅出怪已超目标","还需实测")</x:f>
        <x:v>仅出怪已超目标</x:v>
      </x:c>
      <x:c r="X446" s="119" t="n">
        <x:f>IF(1&gt;D446,0,MAX(2,MIN('难度参数'!$E$12,ROUND(('难度参数'!$E$18*POWER(A446,'难度参数'!$E$19)/D446*(0.85+0.3*(1-1)/MAX(1,D446-1))),0)+F446)))</x:f>
        <x:v>34</x:v>
      </x:c>
      <x:c r="Y446" s="119" t="n">
        <x:f>IF(1&gt;D446,0,ROUND(('难度参数'!$E$13*POWER(A446,'难度参数'!$E$20)*MIN('难度参数'!$E$23,1+MAX(0,A446-'难度参数'!$E$21)*'难度参数'!$E$22))*(36+1*7)/(36+7*(D446+1)/2)*E446,0))</x:f>
        <x:v>7260</x:v>
      </x:c>
      <x:c r="Z446" s="119" t="n">
        <x:f>IF(X446=0,0,(X446-IF(1=D446,1,0))*ROUND(Y446*VLOOKUP(INDEX('章节与怪物'!$E$31:$K$37,B446,1),'章节与怪物'!$A$41:$F$44,2,FALSE),0)+IF(1=D446,ROUND(Y446*'难度参数'!$E$28*'章节与怪物'!$E$17,0),0))</x:f>
        <x:v>177718</x:v>
      </x:c>
      <x:c r="AA446" s="119" t="n">
        <x:f>IF(X446=0,0,(X446-IF(1=D446,1,0))*VLOOKUP(INDEX('章节与怪物'!$E$31:$K$37,B446,1),'章节与怪物'!$A$41:$F$44,4,FALSE)+IF(1=D446,'难度参数'!$E$30,0))</x:f>
        <x:v>680</x:v>
      </x:c>
      <x:c r="AB446" s="119" t="n">
        <x:f>IF(2&gt;D446,0,MAX(2,MIN('难度参数'!$E$12,ROUND(('难度参数'!$E$18*POWER(A446,'难度参数'!$E$19)/D446*(0.85+0.3*(2-1)/MAX(1,D446-1))),0)+F446)))</x:f>
        <x:v>36</x:v>
      </x:c>
      <x:c r="AC446" s="119" t="n">
        <x:f>IF(2&gt;D446,0,ROUND(('难度参数'!$E$13*POWER(A446,'难度参数'!$E$20)*MIN('难度参数'!$E$23,1+MAX(0,A446-'难度参数'!$E$21)*'难度参数'!$E$22))*(36+2*7)/(36+7*(D446+1)/2)*E446,0))</x:f>
        <x:v>8441</x:v>
      </x:c>
      <x:c r="AD446" s="119" t="n">
        <x:f>IF(AB446=0,0,(AB446-IF(2=D446,1,0))*ROUND(AC446*VLOOKUP(INDEX('章节与怪物'!$E$31:$K$37,B446,2),'章节与怪物'!$A$41:$F$44,2,FALSE),0)+IF(2=D446,ROUND(AC446*'难度参数'!$E$28*'章节与怪物'!$E$17,0),0))</x:f>
        <x:v>303876</x:v>
      </x:c>
      <x:c r="AE446" s="119" t="n">
        <x:f>IF(AB446=0,0,(AB446-IF(2=D446,1,0))*VLOOKUP(INDEX('章节与怪物'!$E$31:$K$37,B446,2),'章节与怪物'!$A$41:$F$44,4,FALSE)+IF(2=D446,'难度参数'!$E$30,0))</x:f>
        <x:v>648</x:v>
      </x:c>
      <x:c r="AF446" s="119" t="n">
        <x:f>IF(3&gt;D446,0,MAX(2,MIN('难度参数'!$E$12,ROUND(('难度参数'!$E$18*POWER(A446,'难度参数'!$E$19)/D446*(0.85+0.3*(3-1)/MAX(1,D446-1))),0)+F446)))</x:f>
        <x:v>38</x:v>
      </x:c>
      <x:c r="AG446" s="119" t="n">
        <x:f>IF(3&gt;D446,0,ROUND(('难度参数'!$E$13*POWER(A446,'难度参数'!$E$20)*MIN('难度参数'!$E$23,1+MAX(0,A446-'难度参数'!$E$21)*'难度参数'!$E$22))*(36+3*7)/(36+7*(D446+1)/2)*E446,0))</x:f>
        <x:v>9623</x:v>
      </x:c>
      <x:c r="AH446" s="119" t="n">
        <x:f>IF(AF446=0,0,(AF446-IF(3=D446,1,0))*ROUND(AG446*VLOOKUP(INDEX('章节与怪物'!$E$31:$K$37,B446,3),'章节与怪物'!$A$41:$F$44,2,FALSE),0)+IF(3=D446,ROUND(AG446*'难度参数'!$E$28*'章节与怪物'!$E$17,0),0))</x:f>
        <x:v>621642</x:v>
      </x:c>
      <x:c r="AI446" s="119" t="n">
        <x:f>IF(AF446=0,0,(AF446-IF(3=D446,1,0))*VLOOKUP(INDEX('章节与怪物'!$E$31:$K$37,B446,3),'章节与怪物'!$A$41:$F$44,4,FALSE)+IF(3=D446,'难度参数'!$E$30,0))</x:f>
        <x:v>1064</x:v>
      </x:c>
      <x:c r="AJ446" s="119" t="n">
        <x:f>IF(4&gt;D446,0,MAX(2,MIN('难度参数'!$E$12,ROUND(('难度参数'!$E$18*POWER(A446,'难度参数'!$E$19)/D446*(0.85+0.3*(4-1)/MAX(1,D446-1))),0)+F446)))</x:f>
        <x:v>40</x:v>
      </x:c>
      <x:c r="AK446" s="119" t="n">
        <x:f>IF(4&gt;D446,0,ROUND(('难度参数'!$E$13*POWER(A446,'难度参数'!$E$20)*MIN('难度参数'!$E$23,1+MAX(0,A446-'难度参数'!$E$21)*'难度参数'!$E$22))*(36+4*7)/(36+7*(D446+1)/2)*E446,0))</x:f>
        <x:v>10805</x:v>
      </x:c>
      <x:c r="AL446" s="119" t="n">
        <x:f>IF(AJ446=0,0,(AJ446-IF(4=D446,1,0))*ROUND(AK446*VLOOKUP(INDEX('章节与怪物'!$E$31:$K$37,B446,4),'章节与怪物'!$A$41:$F$44,2,FALSE),0)+IF(4=D446,ROUND(AK446*'难度参数'!$E$28*'章节与怪物'!$E$17,0),0))</x:f>
        <x:v>583480</x:v>
      </x:c>
      <x:c r="AM446" s="119" t="n">
        <x:f>IF(AJ446=0,0,(AJ446-IF(4=D446,1,0))*VLOOKUP(INDEX('章节与怪物'!$E$31:$K$37,B446,4),'章节与怪物'!$A$41:$F$44,4,FALSE)+IF(4=D446,'难度参数'!$E$30,0))</x:f>
        <x:v>1360</x:v>
      </x:c>
      <x:c r="AN446" s="119" t="n">
        <x:f>IF(5&gt;D446,0,MAX(2,MIN('难度参数'!$E$12,ROUND(('难度参数'!$E$18*POWER(A446,'难度参数'!$E$19)/D446*(0.85+0.3*(5-1)/MAX(1,D446-1))),0)+F446)))</x:f>
        <x:v>42</x:v>
      </x:c>
      <x:c r="AO446" s="119" t="n">
        <x:f>IF(5&gt;D446,0,ROUND(('难度参数'!$E$13*POWER(A446,'难度参数'!$E$20)*MIN('难度参数'!$E$23,1+MAX(0,A446-'难度参数'!$E$21)*'难度参数'!$E$22))*(36+5*7)/(36+7*(D446+1)/2)*E446,0))</x:f>
        <x:v>11987</x:v>
      </x:c>
      <x:c r="AP446" s="119" t="n">
        <x:f>IF(AN446=0,0,(AN446-IF(5=D446,1,0))*ROUND(AO446*VLOOKUP(INDEX('章节与怪物'!$E$31:$K$37,B446,5),'章节与怪物'!$A$41:$F$44,2,FALSE),0)+IF(5=D446,ROUND(AO446*'难度参数'!$E$28*'章节与怪物'!$E$17,0),0))</x:f>
        <x:v>503454</x:v>
      </x:c>
      <x:c r="AQ446" s="119" t="n">
        <x:f>IF(AN446=0,0,(AN446-IF(5=D446,1,0))*VLOOKUP(INDEX('章节与怪物'!$E$31:$K$37,B446,5),'章节与怪物'!$A$41:$F$44,4,FALSE)+IF(5=D446,'难度参数'!$E$30,0))</x:f>
        <x:v>756</x:v>
      </x:c>
      <x:c r="AR446" s="119" t="n">
        <x:f>IF(6&gt;D446,0,MAX(2,MIN('难度参数'!$E$12,ROUND(('难度参数'!$E$18*POWER(A446,'难度参数'!$E$19)/D446*(0.85+0.3*(6-1)/MAX(1,D446-1))),0)+F446)))</x:f>
        <x:v>44</x:v>
      </x:c>
      <x:c r="AS446" s="119" t="n">
        <x:f>IF(6&gt;D446,0,ROUND(('难度参数'!$E$13*POWER(A446,'难度参数'!$E$20)*MIN('难度参数'!$E$23,1+MAX(0,A446-'难度参数'!$E$21)*'难度参数'!$E$22))*(36+6*7)/(36+7*(D446+1)/2)*E446,0))</x:f>
        <x:v>13168</x:v>
      </x:c>
      <x:c r="AT446" s="119" t="n">
        <x:f>IF(AR446=0,0,(AR446-IF(6=D446,1,0))*ROUND(AS446*VLOOKUP(INDEX('章节与怪物'!$E$31:$K$37,B446,6),'章节与怪物'!$A$41:$F$44,2,FALSE),0)+IF(6=D446,ROUND(AS446*'难度参数'!$E$28*'章节与怪物'!$E$17,0),0))</x:f>
        <x:v>417164</x:v>
      </x:c>
      <x:c r="AU446" s="119" t="n">
        <x:f>IF(AR446=0,0,(AR446-IF(6=D446,1,0))*VLOOKUP(INDEX('章节与怪物'!$E$31:$K$37,B446,6),'章节与怪物'!$A$41:$F$44,4,FALSE)+IF(6=D446,'难度参数'!$E$30,0))</x:f>
        <x:v>880</x:v>
      </x:c>
      <x:c r="AV446" s="119" t="n">
        <x:f>IF(7&gt;D446,0,MAX(2,MIN('难度参数'!$E$12,ROUND(('难度参数'!$E$18*POWER(A446,'难度参数'!$E$19)/D446*(0.85+0.3*(7-1)/MAX(1,D446-1))),0)+F446)))</x:f>
        <x:v>46</x:v>
      </x:c>
      <x:c r="AW446" s="119" t="n">
        <x:f>IF(7&gt;D446,0,ROUND(('难度参数'!$E$13*POWER(A446,'难度参数'!$E$20)*MIN('难度参数'!$E$23,1+MAX(0,A446-'难度参数'!$E$21)*'难度参数'!$E$22))*(36+7*7)/(36+7*(D446+1)/2)*E446,0))</x:f>
        <x:v>14350</x:v>
      </x:c>
      <x:c r="AX446" s="119" t="n">
        <x:f>IF(AV446=0,0,(AV446-IF(7=D446,1,0))*ROUND(AW446*VLOOKUP(INDEX('章节与怪物'!$E$31:$K$37,B446,7),'章节与怪物'!$A$41:$F$44,2,FALSE),0)+IF(7=D446,ROUND(AW446*'难度参数'!$E$28*'章节与怪物'!$E$17,0),0))</x:f>
        <x:v>969365</x:v>
      </x:c>
      <x:c r="AY446" s="119" t="n">
        <x:f>IF(AV446=0,0,(AV446-IF(7=D446,1,0))*VLOOKUP(INDEX('章节与怪物'!$E$31:$K$37,B446,7),'章节与怪物'!$A$41:$F$44,4,FALSE)+IF(7=D446,'难度参数'!$E$30,0))</x:f>
        <x:v>1730</x:v>
      </x:c>
    </x:row>
    <x:row r="447" ht="23" customHeight="1">
      <x:c r="A447" s="119" t="n">
        <x:v>441</x:v>
      </x:c>
      <x:c r="B447" s="119" t="n">
        <x:f>MOD(INT((A447-1)/5),7)+1</x:f>
        <x:v>5</x:v>
      </x:c>
      <x:c r="C447" s="62" t="str">
        <x:f>INDEX('章节与怪物'!$B$31:$B$37,B447)</x:f>
        <x:v>雨林遗迹</x:v>
      </x:c>
      <x:c r="D447" s="119" t="n">
        <x:f>MIN('难度参数'!$E$8,MAX('难度参数'!$E$7,A447))</x:f>
        <x:v>7</x:v>
      </x:c>
      <x:c r="E447" s="106" t="n">
        <x:v>1</x:v>
      </x:c>
      <x:c r="F447" s="106" t="n">
        <x:v>0</x:v>
      </x:c>
      <x:c r="G447" s="106" t="n">
        <x:v>1</x:v>
      </x:c>
      <x:c r="H447" s="119" t="n">
        <x:f>SUM(X447,AB447,AF447,AJ447,AN447,AR447,AV447)</x:f>
        <x:v>280</x:v>
      </x:c>
      <x:c r="I447" s="119" t="n">
        <x:f>SUM(Z447,AD447,AH447,AL447,AP447,AT447,AX447)</x:f>
        <x:v>3994118</x:v>
      </x:c>
      <x:c r="J447" s="119" t="n">
        <x:f>ROUND(INDEX(X447:AY447,1,(D447-1)*4+2)*'难度参数'!$E$28*'章节与怪物'!$E$17,0)</x:f>
        <x:v>97743</x:v>
      </x:c>
      <x:c r="K447" s="119" t="n">
        <x:f>SUM(AA447,AE447,AI447,AM447,AQ447,AU447,AY447)</x:f>
        <x:v>7558</x:v>
      </x:c>
      <x:c r="L447" s="62" t="n">
        <x:f>H447*(ROUNDUP('难度参数'!$E$24/('难度参数'!$E$26*'难度参数'!$E$27),0)*'难度参数'!$E$26)/60</x:f>
        <x:v>3.7333333333333334</x:v>
      </x:c>
      <x:c r="M447" s="62" t="n">
        <x:f>L447+D447*('难度参数'!$E$49+'难度参数'!$E$50)/60</x:f>
        <x:v>4.9</x:v>
      </x:c>
      <x:c r="N447" s="119" t="n">
        <x:f>ROUNDDOWN(('经济参数'!$E$20+A447*'经济参数'!$E$21)*G447,0)</x:f>
        <x:v>9000</x:v>
      </x:c>
      <x:c r="O447" s="119" t="n">
        <x:f>ROUNDDOWN(MIN('经济参数'!$E$24,'经济参数'!$E$22+A447*'经济参数'!$E$23)*G447,0)</x:f>
        <x:v>0</x:v>
      </x:c>
      <x:c r="P447" s="119" t="n">
        <x:f>ROUNDDOWN((IF(A447&gt;='材料与任务'!$E$31,'材料与任务'!$E$32,IF(A447&gt;='材料与任务'!$E$25,'材料与任务'!$E$26,IF(A447&gt;='材料与任务'!$E$19,'材料与任务'!$E$20,IF(A447&gt;='材料与任务'!$E$13,'材料与任务'!$E$14,'材料与任务'!$E$8)))))*G447,0)</x:f>
        <x:v>6</x:v>
      </x:c>
      <x:c r="Q447" s="119" t="n">
        <x:f>ROUNDDOWN((IF(A447&gt;='材料与任务'!$E$31,'材料与任务'!$E$33,IF(A447&gt;='材料与任务'!$E$25,'材料与任务'!$E$27,IF(A447&gt;='材料与任务'!$E$19,'材料与任务'!$E$21,IF(A447&gt;='材料与任务'!$E$13,'材料与任务'!$E$15,'材料与任务'!$E$9)))))*G447,0)</x:f>
        <x:v>3</x:v>
      </x:c>
      <x:c r="R447" s="110" t="n">
        <x:f>'装备掉落'!$B$38</x:f>
        <x:v>0.6872058758851213</x:v>
      </x:c>
      <x:c r="S447" s="119" t="n">
        <x:f>MAX(IF(VLOOKUP(A447,'装备掉落'!$A$29:$H$34,2,TRUE)&gt;0,1,0),IF(VLOOKUP(A447,'装备掉落'!$A$29:$H$34,3,TRUE)&gt;0,2,0),IF(VLOOKUP(A447,'装备掉落'!$A$29:$H$34,4,TRUE)&gt;0,3,0),IF(VLOOKUP(A447,'装备掉落'!$A$29:$H$34,5,TRUE)&gt;0,4,0),IF(VLOOKUP(A447,'装备掉落'!$A$29:$H$34,6,TRUE)&gt;0,5,0),IF(VLOOKUP(A447,'装备掉落'!$A$29:$H$34,7,TRUE)&gt;0,6,0),IF(VLOOKUP(A447,'装备掉落'!$A$29:$H$34,8,TRUE)&gt;0,7,0))</x:f>
        <x:v>7</x:v>
      </x:c>
      <x:c r="T447" s="119" t="n">
        <x:f>MIN(7,S447+'经济参数'!$E$70)</x:f>
        <x:v>7</x:v>
      </x:c>
      <x:c r="U447" s="119" t="n">
        <x:f>MIN(7,S447+'经济参数'!$E$71)</x:f>
        <x:v>7</x:v>
      </x:c>
      <x:c r="V447" s="119" t="n">
        <x:f>IF(H447&gt;=('难度参数'!$E$52),1,0)+IF(H447&gt;=('难度参数'!$E$52+'难度参数'!$E$53),1,0)+IF(H447&gt;=('难度参数'!$E$52+'难度参数'!$E$53+'难度参数'!$E$54),1,0)+IF(H447&gt;=('难度参数'!$E$52+'难度参数'!$E$53+'难度参数'!$E$54+'难度参数'!$E$55),1,0)+IF(H447&gt;=('难度参数'!$E$52+'难度参数'!$E$53+'难度参数'!$E$54+'难度参数'!$E$55+'难度参数'!$E$56),1,0)+IF(H447&gt;=('难度参数'!$E$52+'难度参数'!$E$53+'难度参数'!$E$54+'难度参数'!$E$55+'难度参数'!$E$56+'难度参数'!$E$57),1,0)</x:f>
        <x:v>6</x:v>
      </x:c>
      <x:c r="W447" s="62" t="str">
        <x:f>IF(L447&gt;'难度参数'!$E$51,"仅出怪已超目标","还需实测")</x:f>
        <x:v>仅出怪已超目标</x:v>
      </x:c>
      <x:c r="X447" s="119" t="n">
        <x:f>IF(1&gt;D447,0,MAX(2,MIN('难度参数'!$E$12,ROUND(('难度参数'!$E$18*POWER(A447,'难度参数'!$E$19)/D447*(0.85+0.3*(1-1)/MAX(1,D447-1))),0)+F447)))</x:f>
        <x:v>34</x:v>
      </x:c>
      <x:c r="Y447" s="119" t="n">
        <x:f>IF(1&gt;D447,0,ROUND(('难度参数'!$E$13*POWER(A447,'难度参数'!$E$20)*MIN('难度参数'!$E$23,1+MAX(0,A447-'难度参数'!$E$21)*'难度参数'!$E$22))*(36+1*7)/(36+7*(D447+1)/2)*E447,0))</x:f>
        <x:v>7271</x:v>
      </x:c>
      <x:c r="Z447" s="119" t="n">
        <x:f>IF(X447=0,0,(X447-IF(1=D447,1,0))*ROUND(Y447*VLOOKUP(INDEX('章节与怪物'!$E$31:$K$37,B447,1),'章节与怪物'!$A$41:$F$44,2,FALSE),0)+IF(1=D447,ROUND(Y447*'难度参数'!$E$28*'章节与怪物'!$E$17,0),0))</x:f>
        <x:v>247214</x:v>
      </x:c>
      <x:c r="AA447" s="119" t="n">
        <x:f>IF(X447=0,0,(X447-IF(1=D447,1,0))*VLOOKUP(INDEX('章节与怪物'!$E$31:$K$37,B447,1),'章节与怪物'!$A$41:$F$44,4,FALSE)+IF(1=D447,'难度参数'!$E$30,0))</x:f>
        <x:v>612</x:v>
      </x:c>
      <x:c r="AB447" s="119" t="n">
        <x:f>IF(2&gt;D447,0,MAX(2,MIN('难度参数'!$E$12,ROUND(('难度参数'!$E$18*POWER(A447,'难度参数'!$E$19)/D447*(0.85+0.3*(2-1)/MAX(1,D447-1))),0)+F447)))</x:f>
        <x:v>36</x:v>
      </x:c>
      <x:c r="AC447" s="119" t="n">
        <x:f>IF(2&gt;D447,0,ROUND(('难度参数'!$E$13*POWER(A447,'难度参数'!$E$20)*MIN('难度参数'!$E$23,1+MAX(0,A447-'难度参数'!$E$21)*'难度参数'!$E$22))*(36+2*7)/(36+7*(D447+1)/2)*E447,0))</x:f>
        <x:v>8455</x:v>
      </x:c>
      <x:c r="AD447" s="119" t="n">
        <x:f>IF(AB447=0,0,(AB447-IF(2=D447,1,0))*ROUND(AC447*VLOOKUP(INDEX('章节与怪物'!$E$31:$K$37,B447,2),'章节与怪物'!$A$41:$F$44,2,FALSE),0)+IF(2=D447,ROUND(AC447*'难度参数'!$E$28*'章节与怪物'!$E$17,0),0))</x:f>
        <x:v>219168</x:v>
      </x:c>
      <x:c r="AE447" s="119" t="n">
        <x:f>IF(AB447=0,0,(AB447-IF(2=D447,1,0))*VLOOKUP(INDEX('章节与怪物'!$E$31:$K$37,B447,2),'章节与怪物'!$A$41:$F$44,4,FALSE)+IF(2=D447,'难度参数'!$E$30,0))</x:f>
        <x:v>720</x:v>
      </x:c>
      <x:c r="AF447" s="119" t="n">
        <x:f>IF(3&gt;D447,0,MAX(2,MIN('难度参数'!$E$12,ROUND(('难度参数'!$E$18*POWER(A447,'难度参数'!$E$19)/D447*(0.85+0.3*(3-1)/MAX(1,D447-1))),0)+F447)))</x:f>
        <x:v>38</x:v>
      </x:c>
      <x:c r="AG447" s="119" t="n">
        <x:f>IF(3&gt;D447,0,ROUND(('难度参数'!$E$13*POWER(A447,'难度参数'!$E$20)*MIN('难度参数'!$E$23,1+MAX(0,A447-'难度参数'!$E$21)*'难度参数'!$E$22))*(36+3*7)/(36+7*(D447+1)/2)*E447,0))</x:f>
        <x:v>9639</x:v>
      </x:c>
      <x:c r="AH447" s="119" t="n">
        <x:f>IF(AF447=0,0,(AF447-IF(3=D447,1,0))*ROUND(AG447*VLOOKUP(INDEX('章节与怪物'!$E$31:$K$37,B447,3),'章节与怪物'!$A$41:$F$44,2,FALSE),0)+IF(3=D447,ROUND(AG447*'难度参数'!$E$28*'章节与怪物'!$E$17,0),0))</x:f>
        <x:v>622668</x:v>
      </x:c>
      <x:c r="AI447" s="119" t="n">
        <x:f>IF(AF447=0,0,(AF447-IF(3=D447,1,0))*VLOOKUP(INDEX('章节与怪物'!$E$31:$K$37,B447,3),'章节与怪物'!$A$41:$F$44,4,FALSE)+IF(3=D447,'难度参数'!$E$30,0))</x:f>
        <x:v>1064</x:v>
      </x:c>
      <x:c r="AJ447" s="119" t="n">
        <x:f>IF(4&gt;D447,0,MAX(2,MIN('难度参数'!$E$12,ROUND(('难度参数'!$E$18*POWER(A447,'难度参数'!$E$19)/D447*(0.85+0.3*(4-1)/MAX(1,D447-1))),0)+F447)))</x:f>
        <x:v>40</x:v>
      </x:c>
      <x:c r="AK447" s="119" t="n">
        <x:f>IF(4&gt;D447,0,ROUND(('难度参数'!$E$13*POWER(A447,'难度参数'!$E$20)*MIN('难度参数'!$E$23,1+MAX(0,A447-'难度参数'!$E$21)*'难度参数'!$E$22))*(36+4*7)/(36+7*(D447+1)/2)*E447,0))</x:f>
        <x:v>10823</x:v>
      </x:c>
      <x:c r="AL447" s="119" t="n">
        <x:f>IF(AJ447=0,0,(AJ447-IF(4=D447,1,0))*ROUND(AK447*VLOOKUP(INDEX('章节与怪物'!$E$31:$K$37,B447,4),'章节与怪物'!$A$41:$F$44,2,FALSE),0)+IF(4=D447,ROUND(AK447*'难度参数'!$E$28*'章节与怪物'!$E$17,0),0))</x:f>
        <x:v>584440</x:v>
      </x:c>
      <x:c r="AM447" s="119" t="n">
        <x:f>IF(AJ447=0,0,(AJ447-IF(4=D447,1,0))*VLOOKUP(INDEX('章节与怪物'!$E$31:$K$37,B447,4),'章节与怪物'!$A$41:$F$44,4,FALSE)+IF(4=D447,'难度参数'!$E$30,0))</x:f>
        <x:v>1360</x:v>
      </x:c>
      <x:c r="AN447" s="119" t="n">
        <x:f>IF(5&gt;D447,0,MAX(2,MIN('难度参数'!$E$12,ROUND(('难度参数'!$E$18*POWER(A447,'难度参数'!$E$19)/D447*(0.85+0.3*(5-1)/MAX(1,D447-1))),0)+F447)))</x:f>
        <x:v>42</x:v>
      </x:c>
      <x:c r="AO447" s="119" t="n">
        <x:f>IF(5&gt;D447,0,ROUND(('难度参数'!$E$13*POWER(A447,'难度参数'!$E$20)*MIN('难度参数'!$E$23,1+MAX(0,A447-'难度参数'!$E$21)*'难度参数'!$E$22))*(36+5*7)/(36+7*(D447+1)/2)*E447,0))</x:f>
        <x:v>12006</x:v>
      </x:c>
      <x:c r="AP447" s="119" t="n">
        <x:f>IF(AN447=0,0,(AN447-IF(5=D447,1,0))*ROUND(AO447*VLOOKUP(INDEX('章节与怪物'!$E$31:$K$37,B447,5),'章节与怪物'!$A$41:$F$44,2,FALSE),0)+IF(5=D447,ROUND(AO447*'难度参数'!$E$28*'章节与怪物'!$E$17,0),0))</x:f>
        <x:v>363048</x:v>
      </x:c>
      <x:c r="AQ447" s="119" t="n">
        <x:f>IF(AN447=0,0,(AN447-IF(5=D447,1,0))*VLOOKUP(INDEX('章节与怪物'!$E$31:$K$37,B447,5),'章节与怪物'!$A$41:$F$44,4,FALSE)+IF(5=D447,'难度参数'!$E$30,0))</x:f>
        <x:v>840</x:v>
      </x:c>
      <x:c r="AR447" s="119" t="n">
        <x:f>IF(6&gt;D447,0,MAX(2,MIN('难度参数'!$E$12,ROUND(('难度参数'!$E$18*POWER(A447,'难度参数'!$E$19)/D447*(0.85+0.3*(6-1)/MAX(1,D447-1))),0)+F447)))</x:f>
        <x:v>44</x:v>
      </x:c>
      <x:c r="AS447" s="119" t="n">
        <x:f>IF(6&gt;D447,0,ROUND(('难度参数'!$E$13*POWER(A447,'难度参数'!$E$20)*MIN('难度参数'!$E$23,1+MAX(0,A447-'难度参数'!$E$21)*'难度参数'!$E$22))*(36+6*7)/(36+7*(D447+1)/2)*E447,0))</x:f>
        <x:v>13190</x:v>
      </x:c>
      <x:c r="AT447" s="119" t="n">
        <x:f>IF(AR447=0,0,(AR447-IF(6=D447,1,0))*ROUND(AS447*VLOOKUP(INDEX('章节与怪物'!$E$31:$K$37,B447,6),'章节与怪物'!$A$41:$F$44,2,FALSE),0)+IF(6=D447,ROUND(AS447*'难度参数'!$E$28*'章节与怪物'!$E$17,0),0))</x:f>
        <x:v>986612</x:v>
      </x:c>
      <x:c r="AU447" s="119" t="n">
        <x:f>IF(AR447=0,0,(AR447-IF(6=D447,1,0))*VLOOKUP(INDEX('章节与怪物'!$E$31:$K$37,B447,6),'章节与怪物'!$A$41:$F$44,4,FALSE)+IF(6=D447,'难度参数'!$E$30,0))</x:f>
        <x:v>1232</x:v>
      </x:c>
      <x:c r="AV447" s="119" t="n">
        <x:f>IF(7&gt;D447,0,MAX(2,MIN('难度参数'!$E$12,ROUND(('难度参数'!$E$18*POWER(A447,'难度参数'!$E$19)/D447*(0.85+0.3*(7-1)/MAX(1,D447-1))),0)+F447)))</x:f>
        <x:v>46</x:v>
      </x:c>
      <x:c r="AW447" s="119" t="n">
        <x:f>IF(7&gt;D447,0,ROUND(('难度参数'!$E$13*POWER(A447,'难度参数'!$E$20)*MIN('难度参数'!$E$23,1+MAX(0,A447-'难度参数'!$E$21)*'难度参数'!$E$22))*(36+7*7)/(36+7*(D447+1)/2)*E447,0))</x:f>
        <x:v>14374</x:v>
      </x:c>
      <x:c r="AX447" s="119" t="n">
        <x:f>IF(AV447=0,0,(AV447-IF(7=D447,1,0))*ROUND(AW447*VLOOKUP(INDEX('章节与怪物'!$E$31:$K$37,B447,7),'章节与怪物'!$A$41:$F$44,2,FALSE),0)+IF(7=D447,ROUND(AW447*'难度参数'!$E$28*'章节与怪物'!$E$17,0),0))</x:f>
        <x:v>970968</x:v>
      </x:c>
      <x:c r="AY447" s="119" t="n">
        <x:f>IF(AV447=0,0,(AV447-IF(7=D447,1,0))*VLOOKUP(INDEX('章节与怪物'!$E$31:$K$37,B447,7),'章节与怪物'!$A$41:$F$44,4,FALSE)+IF(7=D447,'难度参数'!$E$30,0))</x:f>
        <x:v>1730</x:v>
      </x:c>
    </x:row>
    <x:row r="448" ht="23" customHeight="1">
      <x:c r="A448" s="119" t="n">
        <x:v>442</x:v>
      </x:c>
      <x:c r="B448" s="119" t="n">
        <x:f>MOD(INT((A448-1)/5),7)+1</x:f>
        <x:v>5</x:v>
      </x:c>
      <x:c r="C448" s="62" t="str">
        <x:f>INDEX('章节与怪物'!$B$31:$B$37,B448)</x:f>
        <x:v>雨林遗迹</x:v>
      </x:c>
      <x:c r="D448" s="119" t="n">
        <x:f>MIN('难度参数'!$E$8,MAX('难度参数'!$E$7,A448))</x:f>
        <x:v>7</x:v>
      </x:c>
      <x:c r="E448" s="106" t="n">
        <x:v>1</x:v>
      </x:c>
      <x:c r="F448" s="106" t="n">
        <x:v>0</x:v>
      </x:c>
      <x:c r="G448" s="106" t="n">
        <x:v>1</x:v>
      </x:c>
      <x:c r="H448" s="119" t="n">
        <x:f>SUM(X448,AB448,AF448,AJ448,AN448,AR448,AV448)</x:f>
        <x:v>280</x:v>
      </x:c>
      <x:c r="I448" s="119" t="n">
        <x:f>SUM(Z448,AD448,AH448,AL448,AP448,AT448,AX448)</x:f>
        <x:v>4000680</x:v>
      </x:c>
      <x:c r="J448" s="119" t="n">
        <x:f>ROUND(INDEX(X448:AY448,1,(D448-1)*4+2)*'难度参数'!$E$28*'章节与怪物'!$E$17,0)</x:f>
        <x:v>97900</x:v>
      </x:c>
      <x:c r="K448" s="119" t="n">
        <x:f>SUM(AA448,AE448,AI448,AM448,AQ448,AU448,AY448)</x:f>
        <x:v>7558</x:v>
      </x:c>
      <x:c r="L448" s="62" t="n">
        <x:f>H448*(ROUNDUP('难度参数'!$E$24/('难度参数'!$E$26*'难度参数'!$E$27),0)*'难度参数'!$E$26)/60</x:f>
        <x:v>3.7333333333333334</x:v>
      </x:c>
      <x:c r="M448" s="62" t="n">
        <x:f>L448+D448*('难度参数'!$E$49+'难度参数'!$E$50)/60</x:f>
        <x:v>4.9</x:v>
      </x:c>
      <x:c r="N448" s="119" t="n">
        <x:f>ROUNDDOWN(('经济参数'!$E$20+A448*'经济参数'!$E$21)*G448,0)</x:f>
        <x:v>9020</x:v>
      </x:c>
      <x:c r="O448" s="119" t="n">
        <x:f>ROUNDDOWN(MIN('经济参数'!$E$24,'经济参数'!$E$22+A448*'经济参数'!$E$23)*G448,0)</x:f>
        <x:v>0</x:v>
      </x:c>
      <x:c r="P448" s="119" t="n">
        <x:f>ROUNDDOWN((IF(A448&gt;='材料与任务'!$E$31,'材料与任务'!$E$32,IF(A448&gt;='材料与任务'!$E$25,'材料与任务'!$E$26,IF(A448&gt;='材料与任务'!$E$19,'材料与任务'!$E$20,IF(A448&gt;='材料与任务'!$E$13,'材料与任务'!$E$14,'材料与任务'!$E$8)))))*G448,0)</x:f>
        <x:v>6</x:v>
      </x:c>
      <x:c r="Q448" s="119" t="n">
        <x:f>ROUNDDOWN((IF(A448&gt;='材料与任务'!$E$31,'材料与任务'!$E$33,IF(A448&gt;='材料与任务'!$E$25,'材料与任务'!$E$27,IF(A448&gt;='材料与任务'!$E$19,'材料与任务'!$E$21,IF(A448&gt;='材料与任务'!$E$13,'材料与任务'!$E$15,'材料与任务'!$E$9)))))*G448,0)</x:f>
        <x:v>3</x:v>
      </x:c>
      <x:c r="R448" s="110" t="n">
        <x:f>'装备掉落'!$B$38</x:f>
        <x:v>0.6872058758851213</x:v>
      </x:c>
      <x:c r="S448" s="119" t="n">
        <x:f>MAX(IF(VLOOKUP(A448,'装备掉落'!$A$29:$H$34,2,TRUE)&gt;0,1,0),IF(VLOOKUP(A448,'装备掉落'!$A$29:$H$34,3,TRUE)&gt;0,2,0),IF(VLOOKUP(A448,'装备掉落'!$A$29:$H$34,4,TRUE)&gt;0,3,0),IF(VLOOKUP(A448,'装备掉落'!$A$29:$H$34,5,TRUE)&gt;0,4,0),IF(VLOOKUP(A448,'装备掉落'!$A$29:$H$34,6,TRUE)&gt;0,5,0),IF(VLOOKUP(A448,'装备掉落'!$A$29:$H$34,7,TRUE)&gt;0,6,0),IF(VLOOKUP(A448,'装备掉落'!$A$29:$H$34,8,TRUE)&gt;0,7,0))</x:f>
        <x:v>7</x:v>
      </x:c>
      <x:c r="T448" s="119" t="n">
        <x:f>MIN(7,S448+'经济参数'!$E$70)</x:f>
        <x:v>7</x:v>
      </x:c>
      <x:c r="U448" s="119" t="n">
        <x:f>MIN(7,S448+'经济参数'!$E$71)</x:f>
        <x:v>7</x:v>
      </x:c>
      <x:c r="V448" s="119" t="n">
        <x:f>IF(H448&gt;=('难度参数'!$E$52),1,0)+IF(H448&gt;=('难度参数'!$E$52+'难度参数'!$E$53),1,0)+IF(H448&gt;=('难度参数'!$E$52+'难度参数'!$E$53+'难度参数'!$E$54),1,0)+IF(H448&gt;=('难度参数'!$E$52+'难度参数'!$E$53+'难度参数'!$E$54+'难度参数'!$E$55),1,0)+IF(H448&gt;=('难度参数'!$E$52+'难度参数'!$E$53+'难度参数'!$E$54+'难度参数'!$E$55+'难度参数'!$E$56),1,0)+IF(H448&gt;=('难度参数'!$E$52+'难度参数'!$E$53+'难度参数'!$E$54+'难度参数'!$E$55+'难度参数'!$E$56+'难度参数'!$E$57),1,0)</x:f>
        <x:v>6</x:v>
      </x:c>
      <x:c r="W448" s="62" t="str">
        <x:f>IF(L448&gt;'难度参数'!$E$51,"仅出怪已超目标","还需实测")</x:f>
        <x:v>仅出怪已超目标</x:v>
      </x:c>
      <x:c r="X448" s="119" t="n">
        <x:f>IF(1&gt;D448,0,MAX(2,MIN('难度参数'!$E$12,ROUND(('难度参数'!$E$18*POWER(A448,'难度参数'!$E$19)/D448*(0.85+0.3*(1-1)/MAX(1,D448-1))),0)+F448)))</x:f>
        <x:v>34</x:v>
      </x:c>
      <x:c r="Y448" s="119" t="n">
        <x:f>IF(1&gt;D448,0,ROUND(('难度参数'!$E$13*POWER(A448,'难度参数'!$E$20)*MIN('难度参数'!$E$23,1+MAX(0,A448-'难度参数'!$E$21)*'难度参数'!$E$22))*(36+1*7)/(36+7*(D448+1)/2)*E448,0))</x:f>
        <x:v>7283</x:v>
      </x:c>
      <x:c r="Z448" s="119" t="n">
        <x:f>IF(X448=0,0,(X448-IF(1=D448,1,0))*ROUND(Y448*VLOOKUP(INDEX('章节与怪物'!$E$31:$K$37,B448,1),'章节与怪物'!$A$41:$F$44,2,FALSE),0)+IF(1=D448,ROUND(Y448*'难度参数'!$E$28*'章节与怪物'!$E$17,0),0))</x:f>
        <x:v>247622</x:v>
      </x:c>
      <x:c r="AA448" s="119" t="n">
        <x:f>IF(X448=0,0,(X448-IF(1=D448,1,0))*VLOOKUP(INDEX('章节与怪物'!$E$31:$K$37,B448,1),'章节与怪物'!$A$41:$F$44,4,FALSE)+IF(1=D448,'难度参数'!$E$30,0))</x:f>
        <x:v>612</x:v>
      </x:c>
      <x:c r="AB448" s="119" t="n">
        <x:f>IF(2&gt;D448,0,MAX(2,MIN('难度参数'!$E$12,ROUND(('难度参数'!$E$18*POWER(A448,'难度参数'!$E$19)/D448*(0.85+0.3*(2-1)/MAX(1,D448-1))),0)+F448)))</x:f>
        <x:v>36</x:v>
      </x:c>
      <x:c r="AC448" s="119" t="n">
        <x:f>IF(2&gt;D448,0,ROUND(('难度参数'!$E$13*POWER(A448,'难度参数'!$E$20)*MIN('难度参数'!$E$23,1+MAX(0,A448-'难度参数'!$E$21)*'难度参数'!$E$22))*(36+2*7)/(36+7*(D448+1)/2)*E448,0))</x:f>
        <x:v>8469</x:v>
      </x:c>
      <x:c r="AD448" s="119" t="n">
        <x:f>IF(AB448=0,0,(AB448-IF(2=D448,1,0))*ROUND(AC448*VLOOKUP(INDEX('章节与怪物'!$E$31:$K$37,B448,2),'章节与怪物'!$A$41:$F$44,2,FALSE),0)+IF(2=D448,ROUND(AC448*'难度参数'!$E$28*'章节与怪物'!$E$17,0),0))</x:f>
        <x:v>219528</x:v>
      </x:c>
      <x:c r="AE448" s="119" t="n">
        <x:f>IF(AB448=0,0,(AB448-IF(2=D448,1,0))*VLOOKUP(INDEX('章节与怪物'!$E$31:$K$37,B448,2),'章节与怪物'!$A$41:$F$44,4,FALSE)+IF(2=D448,'难度参数'!$E$30,0))</x:f>
        <x:v>720</x:v>
      </x:c>
      <x:c r="AF448" s="119" t="n">
        <x:f>IF(3&gt;D448,0,MAX(2,MIN('难度参数'!$E$12,ROUND(('难度参数'!$E$18*POWER(A448,'难度参数'!$E$19)/D448*(0.85+0.3*(3-1)/MAX(1,D448-1))),0)+F448)))</x:f>
        <x:v>38</x:v>
      </x:c>
      <x:c r="AG448" s="119" t="n">
        <x:f>IF(3&gt;D448,0,ROUND(('难度参数'!$E$13*POWER(A448,'难度参数'!$E$20)*MIN('难度参数'!$E$23,1+MAX(0,A448-'难度参数'!$E$21)*'难度参数'!$E$22))*(36+3*7)/(36+7*(D448+1)/2)*E448,0))</x:f>
        <x:v>9655</x:v>
      </x:c>
      <x:c r="AH448" s="119" t="n">
        <x:f>IF(AF448=0,0,(AF448-IF(3=D448,1,0))*ROUND(AG448*VLOOKUP(INDEX('章节与怪物'!$E$31:$K$37,B448,3),'章节与怪物'!$A$41:$F$44,2,FALSE),0)+IF(3=D448,ROUND(AG448*'难度参数'!$E$28*'章节与怪物'!$E$17,0),0))</x:f>
        <x:v>623732</x:v>
      </x:c>
      <x:c r="AI448" s="119" t="n">
        <x:f>IF(AF448=0,0,(AF448-IF(3=D448,1,0))*VLOOKUP(INDEX('章节与怪物'!$E$31:$K$37,B448,3),'章节与怪物'!$A$41:$F$44,4,FALSE)+IF(3=D448,'难度参数'!$E$30,0))</x:f>
        <x:v>1064</x:v>
      </x:c>
      <x:c r="AJ448" s="119" t="n">
        <x:f>IF(4&gt;D448,0,MAX(2,MIN('难度参数'!$E$12,ROUND(('难度参数'!$E$18*POWER(A448,'难度参数'!$E$19)/D448*(0.85+0.3*(4-1)/MAX(1,D448-1))),0)+F448)))</x:f>
        <x:v>40</x:v>
      </x:c>
      <x:c r="AK448" s="119" t="n">
        <x:f>IF(4&gt;D448,0,ROUND(('难度参数'!$E$13*POWER(A448,'难度参数'!$E$20)*MIN('难度参数'!$E$23,1+MAX(0,A448-'难度参数'!$E$21)*'难度参数'!$E$22))*(36+4*7)/(36+7*(D448+1)/2)*E448,0))</x:f>
        <x:v>10840</x:v>
      </x:c>
      <x:c r="AL448" s="119" t="n">
        <x:f>IF(AJ448=0,0,(AJ448-IF(4=D448,1,0))*ROUND(AK448*VLOOKUP(INDEX('章节与怪物'!$E$31:$K$37,B448,4),'章节与怪物'!$A$41:$F$44,2,FALSE),0)+IF(4=D448,ROUND(AK448*'难度参数'!$E$28*'章节与怪物'!$E$17,0),0))</x:f>
        <x:v>585360</x:v>
      </x:c>
      <x:c r="AM448" s="119" t="n">
        <x:f>IF(AJ448=0,0,(AJ448-IF(4=D448,1,0))*VLOOKUP(INDEX('章节与怪物'!$E$31:$K$37,B448,4),'章节与怪物'!$A$41:$F$44,4,FALSE)+IF(4=D448,'难度参数'!$E$30,0))</x:f>
        <x:v>1360</x:v>
      </x:c>
      <x:c r="AN448" s="119" t="n">
        <x:f>IF(5&gt;D448,0,MAX(2,MIN('难度参数'!$E$12,ROUND(('难度参数'!$E$18*POWER(A448,'难度参数'!$E$19)/D448*(0.85+0.3*(5-1)/MAX(1,D448-1))),0)+F448)))</x:f>
        <x:v>42</x:v>
      </x:c>
      <x:c r="AO448" s="119" t="n">
        <x:f>IF(5&gt;D448,0,ROUND(('难度参数'!$E$13*POWER(A448,'难度参数'!$E$20)*MIN('难度参数'!$E$23,1+MAX(0,A448-'难度参数'!$E$21)*'难度参数'!$E$22))*(36+5*7)/(36+7*(D448+1)/2)*E448,0))</x:f>
        <x:v>12026</x:v>
      </x:c>
      <x:c r="AP448" s="119" t="n">
        <x:f>IF(AN448=0,0,(AN448-IF(5=D448,1,0))*ROUND(AO448*VLOOKUP(INDEX('章节与怪物'!$E$31:$K$37,B448,5),'章节与怪物'!$A$41:$F$44,2,FALSE),0)+IF(5=D448,ROUND(AO448*'难度参数'!$E$28*'章节与怪物'!$E$17,0),0))</x:f>
        <x:v>363678</x:v>
      </x:c>
      <x:c r="AQ448" s="119" t="n">
        <x:f>IF(AN448=0,0,(AN448-IF(5=D448,1,0))*VLOOKUP(INDEX('章节与怪物'!$E$31:$K$37,B448,5),'章节与怪物'!$A$41:$F$44,4,FALSE)+IF(5=D448,'难度参数'!$E$30,0))</x:f>
        <x:v>840</x:v>
      </x:c>
      <x:c r="AR448" s="119" t="n">
        <x:f>IF(6&gt;D448,0,MAX(2,MIN('难度参数'!$E$12,ROUND(('难度参数'!$E$18*POWER(A448,'难度参数'!$E$19)/D448*(0.85+0.3*(6-1)/MAX(1,D448-1))),0)+F448)))</x:f>
        <x:v>44</x:v>
      </x:c>
      <x:c r="AS448" s="119" t="n">
        <x:f>IF(6&gt;D448,0,ROUND(('难度参数'!$E$13*POWER(A448,'难度参数'!$E$20)*MIN('难度参数'!$E$23,1+MAX(0,A448-'难度参数'!$E$21)*'难度参数'!$E$22))*(36+6*7)/(36+7*(D448+1)/2)*E448,0))</x:f>
        <x:v>13212</x:v>
      </x:c>
      <x:c r="AT448" s="119" t="n">
        <x:f>IF(AR448=0,0,(AR448-IF(6=D448,1,0))*ROUND(AS448*VLOOKUP(INDEX('章节与怪物'!$E$31:$K$37,B448,6),'章节与怪物'!$A$41:$F$44,2,FALSE),0)+IF(6=D448,ROUND(AS448*'难度参数'!$E$28*'章节与怪物'!$E$17,0),0))</x:f>
        <x:v>988240</x:v>
      </x:c>
      <x:c r="AU448" s="119" t="n">
        <x:f>IF(AR448=0,0,(AR448-IF(6=D448,1,0))*VLOOKUP(INDEX('章节与怪物'!$E$31:$K$37,B448,6),'章节与怪物'!$A$41:$F$44,4,FALSE)+IF(6=D448,'难度参数'!$E$30,0))</x:f>
        <x:v>1232</x:v>
      </x:c>
      <x:c r="AV448" s="119" t="n">
        <x:f>IF(7&gt;D448,0,MAX(2,MIN('难度参数'!$E$12,ROUND(('难度参数'!$E$18*POWER(A448,'难度参数'!$E$19)/D448*(0.85+0.3*(7-1)/MAX(1,D448-1))),0)+F448)))</x:f>
        <x:v>46</x:v>
      </x:c>
      <x:c r="AW448" s="119" t="n">
        <x:f>IF(7&gt;D448,0,ROUND(('难度参数'!$E$13*POWER(A448,'难度参数'!$E$20)*MIN('难度参数'!$E$23,1+MAX(0,A448-'难度参数'!$E$21)*'难度参数'!$E$22))*(36+7*7)/(36+7*(D448+1)/2)*E448,0))</x:f>
        <x:v>14397</x:v>
      </x:c>
      <x:c r="AX448" s="119" t="n">
        <x:f>IF(AV448=0,0,(AV448-IF(7=D448,1,0))*ROUND(AW448*VLOOKUP(INDEX('章节与怪物'!$E$31:$K$37,B448,7),'章节与怪物'!$A$41:$F$44,2,FALSE),0)+IF(7=D448,ROUND(AW448*'难度参数'!$E$28*'章节与怪物'!$E$17,0),0))</x:f>
        <x:v>972520</x:v>
      </x:c>
      <x:c r="AY448" s="119" t="n">
        <x:f>IF(AV448=0,0,(AV448-IF(7=D448,1,0))*VLOOKUP(INDEX('章节与怪物'!$E$31:$K$37,B448,7),'章节与怪物'!$A$41:$F$44,4,FALSE)+IF(7=D448,'难度参数'!$E$30,0))</x:f>
        <x:v>1730</x:v>
      </x:c>
    </x:row>
    <x:row r="449" ht="23" customHeight="1">
      <x:c r="A449" s="119" t="n">
        <x:v>443</x:v>
      </x:c>
      <x:c r="B449" s="119" t="n">
        <x:f>MOD(INT((A449-1)/5),7)+1</x:f>
        <x:v>5</x:v>
      </x:c>
      <x:c r="C449" s="62" t="str">
        <x:f>INDEX('章节与怪物'!$B$31:$B$37,B449)</x:f>
        <x:v>雨林遗迹</x:v>
      </x:c>
      <x:c r="D449" s="119" t="n">
        <x:f>MIN('难度参数'!$E$8,MAX('难度参数'!$E$7,A449))</x:f>
        <x:v>7</x:v>
      </x:c>
      <x:c r="E449" s="106" t="n">
        <x:v>1</x:v>
      </x:c>
      <x:c r="F449" s="106" t="n">
        <x:v>0</x:v>
      </x:c>
      <x:c r="G449" s="106" t="n">
        <x:v>1</x:v>
      </x:c>
      <x:c r="H449" s="119" t="n">
        <x:f>SUM(X449,AB449,AF449,AJ449,AN449,AR449,AV449)</x:f>
        <x:v>280</x:v>
      </x:c>
      <x:c r="I449" s="119" t="n">
        <x:f>SUM(Z449,AD449,AH449,AL449,AP449,AT449,AX449)</x:f>
        <x:v>4007091</x:v>
      </x:c>
      <x:c r="J449" s="119" t="n">
        <x:f>ROUND(INDEX(X449:AY449,1,(D449-1)*4+2)*'难度参数'!$E$28*'章节与怪物'!$E$17,0)</x:f>
        <x:v>98063</x:v>
      </x:c>
      <x:c r="K449" s="119" t="n">
        <x:f>SUM(AA449,AE449,AI449,AM449,AQ449,AU449,AY449)</x:f>
        <x:v>7558</x:v>
      </x:c>
      <x:c r="L449" s="62" t="n">
        <x:f>H449*(ROUNDUP('难度参数'!$E$24/('难度参数'!$E$26*'难度参数'!$E$27),0)*'难度参数'!$E$26)/60</x:f>
        <x:v>3.7333333333333334</x:v>
      </x:c>
      <x:c r="M449" s="62" t="n">
        <x:f>L449+D449*('难度参数'!$E$49+'难度参数'!$E$50)/60</x:f>
        <x:v>4.9</x:v>
      </x:c>
      <x:c r="N449" s="119" t="n">
        <x:f>ROUNDDOWN(('经济参数'!$E$20+A449*'经济参数'!$E$21)*G449,0)</x:f>
        <x:v>9040</x:v>
      </x:c>
      <x:c r="O449" s="119" t="n">
        <x:f>ROUNDDOWN(MIN('经济参数'!$E$24,'经济参数'!$E$22+A449*'经济参数'!$E$23)*G449,0)</x:f>
        <x:v>0</x:v>
      </x:c>
      <x:c r="P449" s="119" t="n">
        <x:f>ROUNDDOWN((IF(A449&gt;='材料与任务'!$E$31,'材料与任务'!$E$32,IF(A449&gt;='材料与任务'!$E$25,'材料与任务'!$E$26,IF(A449&gt;='材料与任务'!$E$19,'材料与任务'!$E$20,IF(A449&gt;='材料与任务'!$E$13,'材料与任务'!$E$14,'材料与任务'!$E$8)))))*G449,0)</x:f>
        <x:v>6</x:v>
      </x:c>
      <x:c r="Q449" s="119" t="n">
        <x:f>ROUNDDOWN((IF(A449&gt;='材料与任务'!$E$31,'材料与任务'!$E$33,IF(A449&gt;='材料与任务'!$E$25,'材料与任务'!$E$27,IF(A449&gt;='材料与任务'!$E$19,'材料与任务'!$E$21,IF(A449&gt;='材料与任务'!$E$13,'材料与任务'!$E$15,'材料与任务'!$E$9)))))*G449,0)</x:f>
        <x:v>3</x:v>
      </x:c>
      <x:c r="R449" s="110" t="n">
        <x:f>'装备掉落'!$B$38</x:f>
        <x:v>0.6872058758851213</x:v>
      </x:c>
      <x:c r="S449" s="119" t="n">
        <x:f>MAX(IF(VLOOKUP(A449,'装备掉落'!$A$29:$H$34,2,TRUE)&gt;0,1,0),IF(VLOOKUP(A449,'装备掉落'!$A$29:$H$34,3,TRUE)&gt;0,2,0),IF(VLOOKUP(A449,'装备掉落'!$A$29:$H$34,4,TRUE)&gt;0,3,0),IF(VLOOKUP(A449,'装备掉落'!$A$29:$H$34,5,TRUE)&gt;0,4,0),IF(VLOOKUP(A449,'装备掉落'!$A$29:$H$34,6,TRUE)&gt;0,5,0),IF(VLOOKUP(A449,'装备掉落'!$A$29:$H$34,7,TRUE)&gt;0,6,0),IF(VLOOKUP(A449,'装备掉落'!$A$29:$H$34,8,TRUE)&gt;0,7,0))</x:f>
        <x:v>7</x:v>
      </x:c>
      <x:c r="T449" s="119" t="n">
        <x:f>MIN(7,S449+'经济参数'!$E$70)</x:f>
        <x:v>7</x:v>
      </x:c>
      <x:c r="U449" s="119" t="n">
        <x:f>MIN(7,S449+'经济参数'!$E$71)</x:f>
        <x:v>7</x:v>
      </x:c>
      <x:c r="V449" s="119" t="n">
        <x:f>IF(H449&gt;=('难度参数'!$E$52),1,0)+IF(H449&gt;=('难度参数'!$E$52+'难度参数'!$E$53),1,0)+IF(H449&gt;=('难度参数'!$E$52+'难度参数'!$E$53+'难度参数'!$E$54),1,0)+IF(H449&gt;=('难度参数'!$E$52+'难度参数'!$E$53+'难度参数'!$E$54+'难度参数'!$E$55),1,0)+IF(H449&gt;=('难度参数'!$E$52+'难度参数'!$E$53+'难度参数'!$E$54+'难度参数'!$E$55+'难度参数'!$E$56),1,0)+IF(H449&gt;=('难度参数'!$E$52+'难度参数'!$E$53+'难度参数'!$E$54+'难度参数'!$E$55+'难度参数'!$E$56+'难度参数'!$E$57),1,0)</x:f>
        <x:v>6</x:v>
      </x:c>
      <x:c r="W449" s="62" t="str">
        <x:f>IF(L449&gt;'难度参数'!$E$51,"仅出怪已超目标","还需实测")</x:f>
        <x:v>仅出怪已超目标</x:v>
      </x:c>
      <x:c r="X449" s="119" t="n">
        <x:f>IF(1&gt;D449,0,MAX(2,MIN('难度参数'!$E$12,ROUND(('难度参数'!$E$18*POWER(A449,'难度参数'!$E$19)/D449*(0.85+0.3*(1-1)/MAX(1,D449-1))),0)+F449)))</x:f>
        <x:v>34</x:v>
      </x:c>
      <x:c r="Y449" s="119" t="n">
        <x:f>IF(1&gt;D449,0,ROUND(('难度参数'!$E$13*POWER(A449,'难度参数'!$E$20)*MIN('难度参数'!$E$23,1+MAX(0,A449-'难度参数'!$E$21)*'难度参数'!$E$22))*(36+1*7)/(36+7*(D449+1)/2)*E449,0))</x:f>
        <x:v>7295</x:v>
      </x:c>
      <x:c r="Z449" s="119" t="n">
        <x:f>IF(X449=0,0,(X449-IF(1=D449,1,0))*ROUND(Y449*VLOOKUP(INDEX('章节与怪物'!$E$31:$K$37,B449,1),'章节与怪物'!$A$41:$F$44,2,FALSE),0)+IF(1=D449,ROUND(Y449*'难度参数'!$E$28*'章节与怪物'!$E$17,0),0))</x:f>
        <x:v>248030</x:v>
      </x:c>
      <x:c r="AA449" s="119" t="n">
        <x:f>IF(X449=0,0,(X449-IF(1=D449,1,0))*VLOOKUP(INDEX('章节与怪物'!$E$31:$K$37,B449,1),'章节与怪物'!$A$41:$F$44,4,FALSE)+IF(1=D449,'难度参数'!$E$30,0))</x:f>
        <x:v>612</x:v>
      </x:c>
      <x:c r="AB449" s="119" t="n">
        <x:f>IF(2&gt;D449,0,MAX(2,MIN('难度参数'!$E$12,ROUND(('难度参数'!$E$18*POWER(A449,'难度参数'!$E$19)/D449*(0.85+0.3*(2-1)/MAX(1,D449-1))),0)+F449)))</x:f>
        <x:v>36</x:v>
      </x:c>
      <x:c r="AC449" s="119" t="n">
        <x:f>IF(2&gt;D449,0,ROUND(('难度参数'!$E$13*POWER(A449,'难度参数'!$E$20)*MIN('难度参数'!$E$23,1+MAX(0,A449-'难度参数'!$E$21)*'难度参数'!$E$22))*(36+2*7)/(36+7*(D449+1)/2)*E449,0))</x:f>
        <x:v>8483</x:v>
      </x:c>
      <x:c r="AD449" s="119" t="n">
        <x:f>IF(AB449=0,0,(AB449-IF(2=D449,1,0))*ROUND(AC449*VLOOKUP(INDEX('章节与怪物'!$E$31:$K$37,B449,2),'章节与怪物'!$A$41:$F$44,2,FALSE),0)+IF(2=D449,ROUND(AC449*'难度参数'!$E$28*'章节与怪物'!$E$17,0),0))</x:f>
        <x:v>219888</x:v>
      </x:c>
      <x:c r="AE449" s="119" t="n">
        <x:f>IF(AB449=0,0,(AB449-IF(2=D449,1,0))*VLOOKUP(INDEX('章节与怪物'!$E$31:$K$37,B449,2),'章节与怪物'!$A$41:$F$44,4,FALSE)+IF(2=D449,'难度参数'!$E$30,0))</x:f>
        <x:v>720</x:v>
      </x:c>
      <x:c r="AF449" s="119" t="n">
        <x:f>IF(3&gt;D449,0,MAX(2,MIN('难度参数'!$E$12,ROUND(('难度参数'!$E$18*POWER(A449,'难度参数'!$E$19)/D449*(0.85+0.3*(3-1)/MAX(1,D449-1))),0)+F449)))</x:f>
        <x:v>38</x:v>
      </x:c>
      <x:c r="AG449" s="119" t="n">
        <x:f>IF(3&gt;D449,0,ROUND(('难度参数'!$E$13*POWER(A449,'难度参数'!$E$20)*MIN('难度参数'!$E$23,1+MAX(0,A449-'难度参数'!$E$21)*'难度参数'!$E$22))*(36+3*7)/(36+7*(D449+1)/2)*E449,0))</x:f>
        <x:v>9670</x:v>
      </x:c>
      <x:c r="AH449" s="119" t="n">
        <x:f>IF(AF449=0,0,(AF449-IF(3=D449,1,0))*ROUND(AG449*VLOOKUP(INDEX('章节与怪物'!$E$31:$K$37,B449,3),'章节与怪物'!$A$41:$F$44,2,FALSE),0)+IF(3=D449,ROUND(AG449*'难度参数'!$E$28*'章节与怪物'!$E$17,0),0))</x:f>
        <x:v>624682</x:v>
      </x:c>
      <x:c r="AI449" s="119" t="n">
        <x:f>IF(AF449=0,0,(AF449-IF(3=D449,1,0))*VLOOKUP(INDEX('章节与怪物'!$E$31:$K$37,B449,3),'章节与怪物'!$A$41:$F$44,4,FALSE)+IF(3=D449,'难度参数'!$E$30,0))</x:f>
        <x:v>1064</x:v>
      </x:c>
      <x:c r="AJ449" s="119" t="n">
        <x:f>IF(4&gt;D449,0,MAX(2,MIN('难度参数'!$E$12,ROUND(('难度参数'!$E$18*POWER(A449,'难度参数'!$E$19)/D449*(0.85+0.3*(4-1)/MAX(1,D449-1))),0)+F449)))</x:f>
        <x:v>40</x:v>
      </x:c>
      <x:c r="AK449" s="119" t="n">
        <x:f>IF(4&gt;D449,0,ROUND(('难度参数'!$E$13*POWER(A449,'难度参数'!$E$20)*MIN('难度参数'!$E$23,1+MAX(0,A449-'难度参数'!$E$21)*'难度参数'!$E$22))*(36+4*7)/(36+7*(D449+1)/2)*E449,0))</x:f>
        <x:v>10858</x:v>
      </x:c>
      <x:c r="AL449" s="119" t="n">
        <x:f>IF(AJ449=0,0,(AJ449-IF(4=D449,1,0))*ROUND(AK449*VLOOKUP(INDEX('章节与怪物'!$E$31:$K$37,B449,4),'章节与怪物'!$A$41:$F$44,2,FALSE),0)+IF(4=D449,ROUND(AK449*'难度参数'!$E$28*'章节与怪物'!$E$17,0),0))</x:f>
        <x:v>586320</x:v>
      </x:c>
      <x:c r="AM449" s="119" t="n">
        <x:f>IF(AJ449=0,0,(AJ449-IF(4=D449,1,0))*VLOOKUP(INDEX('章节与怪物'!$E$31:$K$37,B449,4),'章节与怪物'!$A$41:$F$44,4,FALSE)+IF(4=D449,'难度参数'!$E$30,0))</x:f>
        <x:v>1360</x:v>
      </x:c>
      <x:c r="AN449" s="119" t="n">
        <x:f>IF(5&gt;D449,0,MAX(2,MIN('难度参数'!$E$12,ROUND(('难度参数'!$E$18*POWER(A449,'难度参数'!$E$19)/D449*(0.85+0.3*(5-1)/MAX(1,D449-1))),0)+F449)))</x:f>
        <x:v>42</x:v>
      </x:c>
      <x:c r="AO449" s="119" t="n">
        <x:f>IF(5&gt;D449,0,ROUND(('难度参数'!$E$13*POWER(A449,'难度参数'!$E$20)*MIN('难度参数'!$E$23,1+MAX(0,A449-'难度参数'!$E$21)*'难度参数'!$E$22))*(36+5*7)/(36+7*(D449+1)/2)*E449,0))</x:f>
        <x:v>12045</x:v>
      </x:c>
      <x:c r="AP449" s="119" t="n">
        <x:f>IF(AN449=0,0,(AN449-IF(5=D449,1,0))*ROUND(AO449*VLOOKUP(INDEX('章节与怪物'!$E$31:$K$37,B449,5),'章节与怪物'!$A$41:$F$44,2,FALSE),0)+IF(5=D449,ROUND(AO449*'难度参数'!$E$28*'章节与怪物'!$E$17,0),0))</x:f>
        <x:v>364224</x:v>
      </x:c>
      <x:c r="AQ449" s="119" t="n">
        <x:f>IF(AN449=0,0,(AN449-IF(5=D449,1,0))*VLOOKUP(INDEX('章节与怪物'!$E$31:$K$37,B449,5),'章节与怪物'!$A$41:$F$44,4,FALSE)+IF(5=D449,'难度参数'!$E$30,0))</x:f>
        <x:v>840</x:v>
      </x:c>
      <x:c r="AR449" s="119" t="n">
        <x:f>IF(6&gt;D449,0,MAX(2,MIN('难度参数'!$E$12,ROUND(('难度参数'!$E$18*POWER(A449,'难度参数'!$E$19)/D449*(0.85+0.3*(6-1)/MAX(1,D449-1))),0)+F449)))</x:f>
        <x:v>44</x:v>
      </x:c>
      <x:c r="AS449" s="119" t="n">
        <x:f>IF(6&gt;D449,0,ROUND(('难度参数'!$E$13*POWER(A449,'难度参数'!$E$20)*MIN('难度参数'!$E$23,1+MAX(0,A449-'难度参数'!$E$21)*'难度参数'!$E$22))*(36+6*7)/(36+7*(D449+1)/2)*E449,0))</x:f>
        <x:v>13233</x:v>
      </x:c>
      <x:c r="AT449" s="119" t="n">
        <x:f>IF(AR449=0,0,(AR449-IF(6=D449,1,0))*ROUND(AS449*VLOOKUP(INDEX('章节与怪物'!$E$31:$K$37,B449,6),'章节与怪物'!$A$41:$F$44,2,FALSE),0)+IF(6=D449,ROUND(AS449*'难度参数'!$E$28*'章节与怪物'!$E$17,0),0))</x:f>
        <x:v>989824</x:v>
      </x:c>
      <x:c r="AU449" s="119" t="n">
        <x:f>IF(AR449=0,0,(AR449-IF(6=D449,1,0))*VLOOKUP(INDEX('章节与怪物'!$E$31:$K$37,B449,6),'章节与怪物'!$A$41:$F$44,4,FALSE)+IF(6=D449,'难度参数'!$E$30,0))</x:f>
        <x:v>1232</x:v>
      </x:c>
      <x:c r="AV449" s="119" t="n">
        <x:f>IF(7&gt;D449,0,MAX(2,MIN('难度参数'!$E$12,ROUND(('难度参数'!$E$18*POWER(A449,'难度参数'!$E$19)/D449*(0.85+0.3*(7-1)/MAX(1,D449-1))),0)+F449)))</x:f>
        <x:v>46</x:v>
      </x:c>
      <x:c r="AW449" s="119" t="n">
        <x:f>IF(7&gt;D449,0,ROUND(('难度参数'!$E$13*POWER(A449,'难度参数'!$E$20)*MIN('难度参数'!$E$23,1+MAX(0,A449-'难度参数'!$E$21)*'难度参数'!$E$22))*(36+7*7)/(36+7*(D449+1)/2)*E449,0))</x:f>
        <x:v>14421</x:v>
      </x:c>
      <x:c r="AX449" s="119" t="n">
        <x:f>IF(AV449=0,0,(AV449-IF(7=D449,1,0))*ROUND(AW449*VLOOKUP(INDEX('章节与怪物'!$E$31:$K$37,B449,7),'章节与怪物'!$A$41:$F$44,2,FALSE),0)+IF(7=D449,ROUND(AW449*'难度参数'!$E$28*'章节与怪物'!$E$17,0),0))</x:f>
        <x:v>974123</x:v>
      </x:c>
      <x:c r="AY449" s="119" t="n">
        <x:f>IF(AV449=0,0,(AV449-IF(7=D449,1,0))*VLOOKUP(INDEX('章节与怪物'!$E$31:$K$37,B449,7),'章节与怪物'!$A$41:$F$44,4,FALSE)+IF(7=D449,'难度参数'!$E$30,0))</x:f>
        <x:v>1730</x:v>
      </x:c>
    </x:row>
    <x:row r="450" ht="23" customHeight="1">
      <x:c r="A450" s="119" t="n">
        <x:v>444</x:v>
      </x:c>
      <x:c r="B450" s="119" t="n">
        <x:f>MOD(INT((A450-1)/5),7)+1</x:f>
        <x:v>5</x:v>
      </x:c>
      <x:c r="C450" s="62" t="str">
        <x:f>INDEX('章节与怪物'!$B$31:$B$37,B450)</x:f>
        <x:v>雨林遗迹</x:v>
      </x:c>
      <x:c r="D450" s="119" t="n">
        <x:f>MIN('难度参数'!$E$8,MAX('难度参数'!$E$7,A450))</x:f>
        <x:v>7</x:v>
      </x:c>
      <x:c r="E450" s="106" t="n">
        <x:v>1</x:v>
      </x:c>
      <x:c r="F450" s="106" t="n">
        <x:v>0</x:v>
      </x:c>
      <x:c r="G450" s="106" t="n">
        <x:v>1</x:v>
      </x:c>
      <x:c r="H450" s="119" t="n">
        <x:f>SUM(X450,AB450,AF450,AJ450,AN450,AR450,AV450)</x:f>
        <x:v>280</x:v>
      </x:c>
      <x:c r="I450" s="119" t="n">
        <x:f>SUM(Z450,AD450,AH450,AL450,AP450,AT450,AX450)</x:f>
        <x:v>4013702</x:v>
      </x:c>
      <x:c r="J450" s="119" t="n">
        <x:f>ROUND(INDEX(X450:AY450,1,(D450-1)*4+2)*'难度参数'!$E$28*'章节与怪物'!$E$17,0)</x:f>
        <x:v>98219</x:v>
      </x:c>
      <x:c r="K450" s="119" t="n">
        <x:f>SUM(AA450,AE450,AI450,AM450,AQ450,AU450,AY450)</x:f>
        <x:v>7558</x:v>
      </x:c>
      <x:c r="L450" s="62" t="n">
        <x:f>H450*(ROUNDUP('难度参数'!$E$24/('难度参数'!$E$26*'难度参数'!$E$27),0)*'难度参数'!$E$26)/60</x:f>
        <x:v>3.7333333333333334</x:v>
      </x:c>
      <x:c r="M450" s="62" t="n">
        <x:f>L450+D450*('难度参数'!$E$49+'难度参数'!$E$50)/60</x:f>
        <x:v>4.9</x:v>
      </x:c>
      <x:c r="N450" s="119" t="n">
        <x:f>ROUNDDOWN(('经济参数'!$E$20+A450*'经济参数'!$E$21)*G450,0)</x:f>
        <x:v>9060</x:v>
      </x:c>
      <x:c r="O450" s="119" t="n">
        <x:f>ROUNDDOWN(MIN('经济参数'!$E$24,'经济参数'!$E$22+A450*'经济参数'!$E$23)*G450,0)</x:f>
        <x:v>0</x:v>
      </x:c>
      <x:c r="P450" s="119" t="n">
        <x:f>ROUNDDOWN((IF(A450&gt;='材料与任务'!$E$31,'材料与任务'!$E$32,IF(A450&gt;='材料与任务'!$E$25,'材料与任务'!$E$26,IF(A450&gt;='材料与任务'!$E$19,'材料与任务'!$E$20,IF(A450&gt;='材料与任务'!$E$13,'材料与任务'!$E$14,'材料与任务'!$E$8)))))*G450,0)</x:f>
        <x:v>6</x:v>
      </x:c>
      <x:c r="Q450" s="119" t="n">
        <x:f>ROUNDDOWN((IF(A450&gt;='材料与任务'!$E$31,'材料与任务'!$E$33,IF(A450&gt;='材料与任务'!$E$25,'材料与任务'!$E$27,IF(A450&gt;='材料与任务'!$E$19,'材料与任务'!$E$21,IF(A450&gt;='材料与任务'!$E$13,'材料与任务'!$E$15,'材料与任务'!$E$9)))))*G450,0)</x:f>
        <x:v>3</x:v>
      </x:c>
      <x:c r="R450" s="110" t="n">
        <x:f>'装备掉落'!$B$38</x:f>
        <x:v>0.6872058758851213</x:v>
      </x:c>
      <x:c r="S450" s="119" t="n">
        <x:f>MAX(IF(VLOOKUP(A450,'装备掉落'!$A$29:$H$34,2,TRUE)&gt;0,1,0),IF(VLOOKUP(A450,'装备掉落'!$A$29:$H$34,3,TRUE)&gt;0,2,0),IF(VLOOKUP(A450,'装备掉落'!$A$29:$H$34,4,TRUE)&gt;0,3,0),IF(VLOOKUP(A450,'装备掉落'!$A$29:$H$34,5,TRUE)&gt;0,4,0),IF(VLOOKUP(A450,'装备掉落'!$A$29:$H$34,6,TRUE)&gt;0,5,0),IF(VLOOKUP(A450,'装备掉落'!$A$29:$H$34,7,TRUE)&gt;0,6,0),IF(VLOOKUP(A450,'装备掉落'!$A$29:$H$34,8,TRUE)&gt;0,7,0))</x:f>
        <x:v>7</x:v>
      </x:c>
      <x:c r="T450" s="119" t="n">
        <x:f>MIN(7,S450+'经济参数'!$E$70)</x:f>
        <x:v>7</x:v>
      </x:c>
      <x:c r="U450" s="119" t="n">
        <x:f>MIN(7,S450+'经济参数'!$E$71)</x:f>
        <x:v>7</x:v>
      </x:c>
      <x:c r="V450" s="119" t="n">
        <x:f>IF(H450&gt;=('难度参数'!$E$52),1,0)+IF(H450&gt;=('难度参数'!$E$52+'难度参数'!$E$53),1,0)+IF(H450&gt;=('难度参数'!$E$52+'难度参数'!$E$53+'难度参数'!$E$54),1,0)+IF(H450&gt;=('难度参数'!$E$52+'难度参数'!$E$53+'难度参数'!$E$54+'难度参数'!$E$55),1,0)+IF(H450&gt;=('难度参数'!$E$52+'难度参数'!$E$53+'难度参数'!$E$54+'难度参数'!$E$55+'难度参数'!$E$56),1,0)+IF(H450&gt;=('难度参数'!$E$52+'难度参数'!$E$53+'难度参数'!$E$54+'难度参数'!$E$55+'难度参数'!$E$56+'难度参数'!$E$57),1,0)</x:f>
        <x:v>6</x:v>
      </x:c>
      <x:c r="W450" s="62" t="str">
        <x:f>IF(L450&gt;'难度参数'!$E$51,"仅出怪已超目标","还需实测")</x:f>
        <x:v>仅出怪已超目标</x:v>
      </x:c>
      <x:c r="X450" s="119" t="n">
        <x:f>IF(1&gt;D450,0,MAX(2,MIN('难度参数'!$E$12,ROUND(('难度参数'!$E$18*POWER(A450,'难度参数'!$E$19)/D450*(0.85+0.3*(1-1)/MAX(1,D450-1))),0)+F450)))</x:f>
        <x:v>34</x:v>
      </x:c>
      <x:c r="Y450" s="119" t="n">
        <x:f>IF(1&gt;D450,0,ROUND(('难度参数'!$E$13*POWER(A450,'难度参数'!$E$20)*MIN('难度参数'!$E$23,1+MAX(0,A450-'难度参数'!$E$21)*'难度参数'!$E$22))*(36+1*7)/(36+7*(D450+1)/2)*E450,0))</x:f>
        <x:v>7307</x:v>
      </x:c>
      <x:c r="Z450" s="119" t="n">
        <x:f>IF(X450=0,0,(X450-IF(1=D450,1,0))*ROUND(Y450*VLOOKUP(INDEX('章节与怪物'!$E$31:$K$37,B450,1),'章节与怪物'!$A$41:$F$44,2,FALSE),0)+IF(1=D450,ROUND(Y450*'难度参数'!$E$28*'章节与怪物'!$E$17,0),0))</x:f>
        <x:v>248438</x:v>
      </x:c>
      <x:c r="AA450" s="119" t="n">
        <x:f>IF(X450=0,0,(X450-IF(1=D450,1,0))*VLOOKUP(INDEX('章节与怪物'!$E$31:$K$37,B450,1),'章节与怪物'!$A$41:$F$44,4,FALSE)+IF(1=D450,'难度参数'!$E$30,0))</x:f>
        <x:v>612</x:v>
      </x:c>
      <x:c r="AB450" s="119" t="n">
        <x:f>IF(2&gt;D450,0,MAX(2,MIN('难度参数'!$E$12,ROUND(('难度参数'!$E$18*POWER(A450,'难度参数'!$E$19)/D450*(0.85+0.3*(2-1)/MAX(1,D450-1))),0)+F450)))</x:f>
        <x:v>36</x:v>
      </x:c>
      <x:c r="AC450" s="119" t="n">
        <x:f>IF(2&gt;D450,0,ROUND(('难度参数'!$E$13*POWER(A450,'难度参数'!$E$20)*MIN('难度参数'!$E$23,1+MAX(0,A450-'难度参数'!$E$21)*'难度参数'!$E$22))*(36+2*7)/(36+7*(D450+1)/2)*E450,0))</x:f>
        <x:v>8496</x:v>
      </x:c>
      <x:c r="AD450" s="119" t="n">
        <x:f>IF(AB450=0,0,(AB450-IF(2=D450,1,0))*ROUND(AC450*VLOOKUP(INDEX('章节与怪物'!$E$31:$K$37,B450,2),'章节与怪物'!$A$41:$F$44,2,FALSE),0)+IF(2=D450,ROUND(AC450*'难度参数'!$E$28*'章节与怪物'!$E$17,0),0))</x:f>
        <x:v>220212</x:v>
      </x:c>
      <x:c r="AE450" s="119" t="n">
        <x:f>IF(AB450=0,0,(AB450-IF(2=D450,1,0))*VLOOKUP(INDEX('章节与怪物'!$E$31:$K$37,B450,2),'章节与怪物'!$A$41:$F$44,4,FALSE)+IF(2=D450,'难度参数'!$E$30,0))</x:f>
        <x:v>720</x:v>
      </x:c>
      <x:c r="AF450" s="119" t="n">
        <x:f>IF(3&gt;D450,0,MAX(2,MIN('难度参数'!$E$12,ROUND(('难度参数'!$E$18*POWER(A450,'难度参数'!$E$19)/D450*(0.85+0.3*(3-1)/MAX(1,D450-1))),0)+F450)))</x:f>
        <x:v>38</x:v>
      </x:c>
      <x:c r="AG450" s="119" t="n">
        <x:f>IF(3&gt;D450,0,ROUND(('难度参数'!$E$13*POWER(A450,'难度参数'!$E$20)*MIN('难度参数'!$E$23,1+MAX(0,A450-'难度参数'!$E$21)*'难度参数'!$E$22))*(36+3*7)/(36+7*(D450+1)/2)*E450,0))</x:f>
        <x:v>9686</x:v>
      </x:c>
      <x:c r="AH450" s="119" t="n">
        <x:f>IF(AF450=0,0,(AF450-IF(3=D450,1,0))*ROUND(AG450*VLOOKUP(INDEX('章节与怪物'!$E$31:$K$37,B450,3),'章节与怪物'!$A$41:$F$44,2,FALSE),0)+IF(3=D450,ROUND(AG450*'难度参数'!$E$28*'章节与怪物'!$E$17,0),0))</x:f>
        <x:v>625708</x:v>
      </x:c>
      <x:c r="AI450" s="119" t="n">
        <x:f>IF(AF450=0,0,(AF450-IF(3=D450,1,0))*VLOOKUP(INDEX('章节与怪物'!$E$31:$K$37,B450,3),'章节与怪物'!$A$41:$F$44,4,FALSE)+IF(3=D450,'难度参数'!$E$30,0))</x:f>
        <x:v>1064</x:v>
      </x:c>
      <x:c r="AJ450" s="119" t="n">
        <x:f>IF(4&gt;D450,0,MAX(2,MIN('难度参数'!$E$12,ROUND(('难度参数'!$E$18*POWER(A450,'难度参数'!$E$19)/D450*(0.85+0.3*(4-1)/MAX(1,D450-1))),0)+F450)))</x:f>
        <x:v>40</x:v>
      </x:c>
      <x:c r="AK450" s="119" t="n">
        <x:f>IF(4&gt;D450,0,ROUND(('难度参数'!$E$13*POWER(A450,'难度参数'!$E$20)*MIN('难度参数'!$E$23,1+MAX(0,A450-'难度参数'!$E$21)*'难度参数'!$E$22))*(36+4*7)/(36+7*(D450+1)/2)*E450,0))</x:f>
        <x:v>10876</x:v>
      </x:c>
      <x:c r="AL450" s="119" t="n">
        <x:f>IF(AJ450=0,0,(AJ450-IF(4=D450,1,0))*ROUND(AK450*VLOOKUP(INDEX('章节与怪物'!$E$31:$K$37,B450,4),'章节与怪物'!$A$41:$F$44,2,FALSE),0)+IF(4=D450,ROUND(AK450*'难度参数'!$E$28*'章节与怪物'!$E$17,0),0))</x:f>
        <x:v>587320</x:v>
      </x:c>
      <x:c r="AM450" s="119" t="n">
        <x:f>IF(AJ450=0,0,(AJ450-IF(4=D450,1,0))*VLOOKUP(INDEX('章节与怪物'!$E$31:$K$37,B450,4),'章节与怪物'!$A$41:$F$44,4,FALSE)+IF(4=D450,'难度参数'!$E$30,0))</x:f>
        <x:v>1360</x:v>
      </x:c>
      <x:c r="AN450" s="119" t="n">
        <x:f>IF(5&gt;D450,0,MAX(2,MIN('难度参数'!$E$12,ROUND(('难度参数'!$E$18*POWER(A450,'难度参数'!$E$19)/D450*(0.85+0.3*(5-1)/MAX(1,D450-1))),0)+F450)))</x:f>
        <x:v>42</x:v>
      </x:c>
      <x:c r="AO450" s="119" t="n">
        <x:f>IF(5&gt;D450,0,ROUND(('难度参数'!$E$13*POWER(A450,'难度参数'!$E$20)*MIN('难度参数'!$E$23,1+MAX(0,A450-'难度参数'!$E$21)*'难度参数'!$E$22))*(36+5*7)/(36+7*(D450+1)/2)*E450,0))</x:f>
        <x:v>12065</x:v>
      </x:c>
      <x:c r="AP450" s="119" t="n">
        <x:f>IF(AN450=0,0,(AN450-IF(5=D450,1,0))*ROUND(AO450*VLOOKUP(INDEX('章节与怪物'!$E$31:$K$37,B450,5),'章节与怪物'!$A$41:$F$44,2,FALSE),0)+IF(5=D450,ROUND(AO450*'难度参数'!$E$28*'章节与怪物'!$E$17,0),0))</x:f>
        <x:v>364854</x:v>
      </x:c>
      <x:c r="AQ450" s="119" t="n">
        <x:f>IF(AN450=0,0,(AN450-IF(5=D450,1,0))*VLOOKUP(INDEX('章节与怪物'!$E$31:$K$37,B450,5),'章节与怪物'!$A$41:$F$44,4,FALSE)+IF(5=D450,'难度参数'!$E$30,0))</x:f>
        <x:v>840</x:v>
      </x:c>
      <x:c r="AR450" s="119" t="n">
        <x:f>IF(6&gt;D450,0,MAX(2,MIN('难度参数'!$E$12,ROUND(('难度参数'!$E$18*POWER(A450,'难度参数'!$E$19)/D450*(0.85+0.3*(6-1)/MAX(1,D450-1))),0)+F450)))</x:f>
        <x:v>44</x:v>
      </x:c>
      <x:c r="AS450" s="119" t="n">
        <x:f>IF(6&gt;D450,0,ROUND(('难度参数'!$E$13*POWER(A450,'难度参数'!$E$20)*MIN('难度参数'!$E$23,1+MAX(0,A450-'难度参数'!$E$21)*'难度参数'!$E$22))*(36+6*7)/(36+7*(D450+1)/2)*E450,0))</x:f>
        <x:v>13255</x:v>
      </x:c>
      <x:c r="AT450" s="119" t="n">
        <x:f>IF(AR450=0,0,(AR450-IF(6=D450,1,0))*ROUND(AS450*VLOOKUP(INDEX('章节与怪物'!$E$31:$K$37,B450,6),'章节与怪物'!$A$41:$F$44,2,FALSE),0)+IF(6=D450,ROUND(AS450*'难度参数'!$E$28*'章节与怪物'!$E$17,0),0))</x:f>
        <x:v>991496</x:v>
      </x:c>
      <x:c r="AU450" s="119" t="n">
        <x:f>IF(AR450=0,0,(AR450-IF(6=D450,1,0))*VLOOKUP(INDEX('章节与怪物'!$E$31:$K$37,B450,6),'章节与怪物'!$A$41:$F$44,4,FALSE)+IF(6=D450,'难度参数'!$E$30,0))</x:f>
        <x:v>1232</x:v>
      </x:c>
      <x:c r="AV450" s="119" t="n">
        <x:f>IF(7&gt;D450,0,MAX(2,MIN('难度参数'!$E$12,ROUND(('难度参数'!$E$18*POWER(A450,'难度参数'!$E$19)/D450*(0.85+0.3*(7-1)/MAX(1,D450-1))),0)+F450)))</x:f>
        <x:v>46</x:v>
      </x:c>
      <x:c r="AW450" s="119" t="n">
        <x:f>IF(7&gt;D450,0,ROUND(('难度参数'!$E$13*POWER(A450,'难度参数'!$E$20)*MIN('难度参数'!$E$23,1+MAX(0,A450-'难度参数'!$E$21)*'难度参数'!$E$22))*(36+7*7)/(36+7*(D450+1)/2)*E450,0))</x:f>
        <x:v>14444</x:v>
      </x:c>
      <x:c r="AX450" s="119" t="n">
        <x:f>IF(AV450=0,0,(AV450-IF(7=D450,1,0))*ROUND(AW450*VLOOKUP(INDEX('章节与怪物'!$E$31:$K$37,B450,7),'章节与怪物'!$A$41:$F$44,2,FALSE),0)+IF(7=D450,ROUND(AW450*'难度参数'!$E$28*'章节与怪物'!$E$17,0),0))</x:f>
        <x:v>975674</x:v>
      </x:c>
      <x:c r="AY450" s="119" t="n">
        <x:f>IF(AV450=0,0,(AV450-IF(7=D450,1,0))*VLOOKUP(INDEX('章节与怪物'!$E$31:$K$37,B450,7),'章节与怪物'!$A$41:$F$44,4,FALSE)+IF(7=D450,'难度参数'!$E$30,0))</x:f>
        <x:v>1730</x:v>
      </x:c>
    </x:row>
    <x:row r="451" ht="23" customHeight="1">
      <x:c r="A451" s="119" t="n">
        <x:v>445</x:v>
      </x:c>
      <x:c r="B451" s="119" t="n">
        <x:f>MOD(INT((A451-1)/5),7)+1</x:f>
        <x:v>5</x:v>
      </x:c>
      <x:c r="C451" s="62" t="str">
        <x:f>INDEX('章节与怪物'!$B$31:$B$37,B451)</x:f>
        <x:v>雨林遗迹</x:v>
      </x:c>
      <x:c r="D451" s="119" t="n">
        <x:f>MIN('难度参数'!$E$8,MAX('难度参数'!$E$7,A451))</x:f>
        <x:v>7</x:v>
      </x:c>
      <x:c r="E451" s="106" t="n">
        <x:v>1</x:v>
      </x:c>
      <x:c r="F451" s="106" t="n">
        <x:v>0</x:v>
      </x:c>
      <x:c r="G451" s="106" t="n">
        <x:v>1</x:v>
      </x:c>
      <x:c r="H451" s="119" t="n">
        <x:f>SUM(X451,AB451,AF451,AJ451,AN451,AR451,AV451)</x:f>
        <x:v>280</x:v>
      </x:c>
      <x:c r="I451" s="119" t="n">
        <x:f>SUM(Z451,AD451,AH451,AL451,AP451,AT451,AX451)</x:f>
        <x:v>4020096</x:v>
      </x:c>
      <x:c r="J451" s="119" t="n">
        <x:f>ROUND(INDEX(X451:AY451,1,(D451-1)*4+2)*'难度参数'!$E$28*'章节与怪物'!$E$17,0)</x:f>
        <x:v>98376</x:v>
      </x:c>
      <x:c r="K451" s="119" t="n">
        <x:f>SUM(AA451,AE451,AI451,AM451,AQ451,AU451,AY451)</x:f>
        <x:v>7558</x:v>
      </x:c>
      <x:c r="L451" s="62" t="n">
        <x:f>H451*(ROUNDUP('难度参数'!$E$24/('难度参数'!$E$26*'难度参数'!$E$27),0)*'难度参数'!$E$26)/60</x:f>
        <x:v>3.7333333333333334</x:v>
      </x:c>
      <x:c r="M451" s="62" t="n">
        <x:f>L451+D451*('难度参数'!$E$49+'难度参数'!$E$50)/60</x:f>
        <x:v>4.9</x:v>
      </x:c>
      <x:c r="N451" s="119" t="n">
        <x:f>ROUNDDOWN(('经济参数'!$E$20+A451*'经济参数'!$E$21)*G451,0)</x:f>
        <x:v>9080</x:v>
      </x:c>
      <x:c r="O451" s="119" t="n">
        <x:f>ROUNDDOWN(MIN('经济参数'!$E$24,'经济参数'!$E$22+A451*'经济参数'!$E$23)*G451,0)</x:f>
        <x:v>0</x:v>
      </x:c>
      <x:c r="P451" s="119" t="n">
        <x:f>ROUNDDOWN((IF(A451&gt;='材料与任务'!$E$31,'材料与任务'!$E$32,IF(A451&gt;='材料与任务'!$E$25,'材料与任务'!$E$26,IF(A451&gt;='材料与任务'!$E$19,'材料与任务'!$E$20,IF(A451&gt;='材料与任务'!$E$13,'材料与任务'!$E$14,'材料与任务'!$E$8)))))*G451,0)</x:f>
        <x:v>6</x:v>
      </x:c>
      <x:c r="Q451" s="119" t="n">
        <x:f>ROUNDDOWN((IF(A451&gt;='材料与任务'!$E$31,'材料与任务'!$E$33,IF(A451&gt;='材料与任务'!$E$25,'材料与任务'!$E$27,IF(A451&gt;='材料与任务'!$E$19,'材料与任务'!$E$21,IF(A451&gt;='材料与任务'!$E$13,'材料与任务'!$E$15,'材料与任务'!$E$9)))))*G451,0)</x:f>
        <x:v>3</x:v>
      </x:c>
      <x:c r="R451" s="110" t="n">
        <x:f>'装备掉落'!$B$38</x:f>
        <x:v>0.6872058758851213</x:v>
      </x:c>
      <x:c r="S451" s="119" t="n">
        <x:f>MAX(IF(VLOOKUP(A451,'装备掉落'!$A$29:$H$34,2,TRUE)&gt;0,1,0),IF(VLOOKUP(A451,'装备掉落'!$A$29:$H$34,3,TRUE)&gt;0,2,0),IF(VLOOKUP(A451,'装备掉落'!$A$29:$H$34,4,TRUE)&gt;0,3,0),IF(VLOOKUP(A451,'装备掉落'!$A$29:$H$34,5,TRUE)&gt;0,4,0),IF(VLOOKUP(A451,'装备掉落'!$A$29:$H$34,6,TRUE)&gt;0,5,0),IF(VLOOKUP(A451,'装备掉落'!$A$29:$H$34,7,TRUE)&gt;0,6,0),IF(VLOOKUP(A451,'装备掉落'!$A$29:$H$34,8,TRUE)&gt;0,7,0))</x:f>
        <x:v>7</x:v>
      </x:c>
      <x:c r="T451" s="119" t="n">
        <x:f>MIN(7,S451+'经济参数'!$E$70)</x:f>
        <x:v>7</x:v>
      </x:c>
      <x:c r="U451" s="119" t="n">
        <x:f>MIN(7,S451+'经济参数'!$E$71)</x:f>
        <x:v>7</x:v>
      </x:c>
      <x:c r="V451" s="119" t="n">
        <x:f>IF(H451&gt;=('难度参数'!$E$52),1,0)+IF(H451&gt;=('难度参数'!$E$52+'难度参数'!$E$53),1,0)+IF(H451&gt;=('难度参数'!$E$52+'难度参数'!$E$53+'难度参数'!$E$54),1,0)+IF(H451&gt;=('难度参数'!$E$52+'难度参数'!$E$53+'难度参数'!$E$54+'难度参数'!$E$55),1,0)+IF(H451&gt;=('难度参数'!$E$52+'难度参数'!$E$53+'难度参数'!$E$54+'难度参数'!$E$55+'难度参数'!$E$56),1,0)+IF(H451&gt;=('难度参数'!$E$52+'难度参数'!$E$53+'难度参数'!$E$54+'难度参数'!$E$55+'难度参数'!$E$56+'难度参数'!$E$57),1,0)</x:f>
        <x:v>6</x:v>
      </x:c>
      <x:c r="W451" s="62" t="str">
        <x:f>IF(L451&gt;'难度参数'!$E$51,"仅出怪已超目标","还需实测")</x:f>
        <x:v>仅出怪已超目标</x:v>
      </x:c>
      <x:c r="X451" s="119" t="n">
        <x:f>IF(1&gt;D451,0,MAX(2,MIN('难度参数'!$E$12,ROUND(('难度参数'!$E$18*POWER(A451,'难度参数'!$E$19)/D451*(0.85+0.3*(1-1)/MAX(1,D451-1))),0)+F451)))</x:f>
        <x:v>34</x:v>
      </x:c>
      <x:c r="Y451" s="119" t="n">
        <x:f>IF(1&gt;D451,0,ROUND(('难度参数'!$E$13*POWER(A451,'难度参数'!$E$20)*MIN('难度参数'!$E$23,1+MAX(0,A451-'难度参数'!$E$21)*'难度参数'!$E$22))*(36+1*7)/(36+7*(D451+1)/2)*E451,0))</x:f>
        <x:v>7319</x:v>
      </x:c>
      <x:c r="Z451" s="119" t="n">
        <x:f>IF(X451=0,0,(X451-IF(1=D451,1,0))*ROUND(Y451*VLOOKUP(INDEX('章节与怪物'!$E$31:$K$37,B451,1),'章节与怪物'!$A$41:$F$44,2,FALSE),0)+IF(1=D451,ROUND(Y451*'难度参数'!$E$28*'章节与怪物'!$E$17,0),0))</x:f>
        <x:v>248846</x:v>
      </x:c>
      <x:c r="AA451" s="119" t="n">
        <x:f>IF(X451=0,0,(X451-IF(1=D451,1,0))*VLOOKUP(INDEX('章节与怪物'!$E$31:$K$37,B451,1),'章节与怪物'!$A$41:$F$44,4,FALSE)+IF(1=D451,'难度参数'!$E$30,0))</x:f>
        <x:v>612</x:v>
      </x:c>
      <x:c r="AB451" s="119" t="n">
        <x:f>IF(2&gt;D451,0,MAX(2,MIN('难度参数'!$E$12,ROUND(('难度参数'!$E$18*POWER(A451,'难度参数'!$E$19)/D451*(0.85+0.3*(2-1)/MAX(1,D451-1))),0)+F451)))</x:f>
        <x:v>36</x:v>
      </x:c>
      <x:c r="AC451" s="119" t="n">
        <x:f>IF(2&gt;D451,0,ROUND(('难度参数'!$E$13*POWER(A451,'难度参数'!$E$20)*MIN('难度参数'!$E$23,1+MAX(0,A451-'难度参数'!$E$21)*'难度参数'!$E$22))*(36+2*7)/(36+7*(D451+1)/2)*E451,0))</x:f>
        <x:v>8510</x:v>
      </x:c>
      <x:c r="AD451" s="119" t="n">
        <x:f>IF(AB451=0,0,(AB451-IF(2=D451,1,0))*ROUND(AC451*VLOOKUP(INDEX('章节与怪物'!$E$31:$K$37,B451,2),'章节与怪物'!$A$41:$F$44,2,FALSE),0)+IF(2=D451,ROUND(AC451*'难度参数'!$E$28*'章节与怪物'!$E$17,0),0))</x:f>
        <x:v>220572</x:v>
      </x:c>
      <x:c r="AE451" s="119" t="n">
        <x:f>IF(AB451=0,0,(AB451-IF(2=D451,1,0))*VLOOKUP(INDEX('章节与怪物'!$E$31:$K$37,B451,2),'章节与怪物'!$A$41:$F$44,4,FALSE)+IF(2=D451,'难度参数'!$E$30,0))</x:f>
        <x:v>720</x:v>
      </x:c>
      <x:c r="AF451" s="119" t="n">
        <x:f>IF(3&gt;D451,0,MAX(2,MIN('难度参数'!$E$12,ROUND(('难度参数'!$E$18*POWER(A451,'难度参数'!$E$19)/D451*(0.85+0.3*(3-1)/MAX(1,D451-1))),0)+F451)))</x:f>
        <x:v>38</x:v>
      </x:c>
      <x:c r="AG451" s="119" t="n">
        <x:f>IF(3&gt;D451,0,ROUND(('难度参数'!$E$13*POWER(A451,'难度参数'!$E$20)*MIN('难度参数'!$E$23,1+MAX(0,A451-'难度参数'!$E$21)*'难度参数'!$E$22))*(36+3*7)/(36+7*(D451+1)/2)*E451,0))</x:f>
        <x:v>9702</x:v>
      </x:c>
      <x:c r="AH451" s="119" t="n">
        <x:f>IF(AF451=0,0,(AF451-IF(3=D451,1,0))*ROUND(AG451*VLOOKUP(INDEX('章节与怪物'!$E$31:$K$37,B451,3),'章节与怪物'!$A$41:$F$44,2,FALSE),0)+IF(3=D451,ROUND(AG451*'难度参数'!$E$28*'章节与怪物'!$E$17,0),0))</x:f>
        <x:v>626734</x:v>
      </x:c>
      <x:c r="AI451" s="119" t="n">
        <x:f>IF(AF451=0,0,(AF451-IF(3=D451,1,0))*VLOOKUP(INDEX('章节与怪物'!$E$31:$K$37,B451,3),'章节与怪物'!$A$41:$F$44,4,FALSE)+IF(3=D451,'难度参数'!$E$30,0))</x:f>
        <x:v>1064</x:v>
      </x:c>
      <x:c r="AJ451" s="119" t="n">
        <x:f>IF(4&gt;D451,0,MAX(2,MIN('难度参数'!$E$12,ROUND(('难度参数'!$E$18*POWER(A451,'难度参数'!$E$19)/D451*(0.85+0.3*(4-1)/MAX(1,D451-1))),0)+F451)))</x:f>
        <x:v>40</x:v>
      </x:c>
      <x:c r="AK451" s="119" t="n">
        <x:f>IF(4&gt;D451,0,ROUND(('难度参数'!$E$13*POWER(A451,'难度参数'!$E$20)*MIN('难度参数'!$E$23,1+MAX(0,A451-'难度参数'!$E$21)*'难度参数'!$E$22))*(36+4*7)/(36+7*(D451+1)/2)*E451,0))</x:f>
        <x:v>10893</x:v>
      </x:c>
      <x:c r="AL451" s="119" t="n">
        <x:f>IF(AJ451=0,0,(AJ451-IF(4=D451,1,0))*ROUND(AK451*VLOOKUP(INDEX('章节与怪物'!$E$31:$K$37,B451,4),'章节与怪物'!$A$41:$F$44,2,FALSE),0)+IF(4=D451,ROUND(AK451*'难度参数'!$E$28*'章节与怪物'!$E$17,0),0))</x:f>
        <x:v>588240</x:v>
      </x:c>
      <x:c r="AM451" s="119" t="n">
        <x:f>IF(AJ451=0,0,(AJ451-IF(4=D451,1,0))*VLOOKUP(INDEX('章节与怪物'!$E$31:$K$37,B451,4),'章节与怪物'!$A$41:$F$44,4,FALSE)+IF(4=D451,'难度参数'!$E$30,0))</x:f>
        <x:v>1360</x:v>
      </x:c>
      <x:c r="AN451" s="119" t="n">
        <x:f>IF(5&gt;D451,0,MAX(2,MIN('难度参数'!$E$12,ROUND(('难度参数'!$E$18*POWER(A451,'难度参数'!$E$19)/D451*(0.85+0.3*(5-1)/MAX(1,D451-1))),0)+F451)))</x:f>
        <x:v>42</x:v>
      </x:c>
      <x:c r="AO451" s="119" t="n">
        <x:f>IF(5&gt;D451,0,ROUND(('难度参数'!$E$13*POWER(A451,'难度参数'!$E$20)*MIN('难度参数'!$E$23,1+MAX(0,A451-'难度参数'!$E$21)*'难度参数'!$E$22))*(36+5*7)/(36+7*(D451+1)/2)*E451,0))</x:f>
        <x:v>12085</x:v>
      </x:c>
      <x:c r="AP451" s="119" t="n">
        <x:f>IF(AN451=0,0,(AN451-IF(5=D451,1,0))*ROUND(AO451*VLOOKUP(INDEX('章节与怪物'!$E$31:$K$37,B451,5),'章节与怪物'!$A$41:$F$44,2,FALSE),0)+IF(5=D451,ROUND(AO451*'难度参数'!$E$28*'章节与怪物'!$E$17,0),0))</x:f>
        <x:v>365442</x:v>
      </x:c>
      <x:c r="AQ451" s="119" t="n">
        <x:f>IF(AN451=0,0,(AN451-IF(5=D451,1,0))*VLOOKUP(INDEX('章节与怪物'!$E$31:$K$37,B451,5),'章节与怪物'!$A$41:$F$44,4,FALSE)+IF(5=D451,'难度参数'!$E$30,0))</x:f>
        <x:v>840</x:v>
      </x:c>
      <x:c r="AR451" s="119" t="n">
        <x:f>IF(6&gt;D451,0,MAX(2,MIN('难度参数'!$E$12,ROUND(('难度参数'!$E$18*POWER(A451,'难度参数'!$E$19)/D451*(0.85+0.3*(6-1)/MAX(1,D451-1))),0)+F451)))</x:f>
        <x:v>44</x:v>
      </x:c>
      <x:c r="AS451" s="119" t="n">
        <x:f>IF(6&gt;D451,0,ROUND(('难度参数'!$E$13*POWER(A451,'难度参数'!$E$20)*MIN('难度参数'!$E$23,1+MAX(0,A451-'难度参数'!$E$21)*'难度参数'!$E$22))*(36+6*7)/(36+7*(D451+1)/2)*E451,0))</x:f>
        <x:v>13276</x:v>
      </x:c>
      <x:c r="AT451" s="119" t="n">
        <x:f>IF(AR451=0,0,(AR451-IF(6=D451,1,0))*ROUND(AS451*VLOOKUP(INDEX('章节与怪物'!$E$31:$K$37,B451,6),'章节与怪物'!$A$41:$F$44,2,FALSE),0)+IF(6=D451,ROUND(AS451*'难度参数'!$E$28*'章节与怪物'!$E$17,0),0))</x:f>
        <x:v>993036</x:v>
      </x:c>
      <x:c r="AU451" s="119" t="n">
        <x:f>IF(AR451=0,0,(AR451-IF(6=D451,1,0))*VLOOKUP(INDEX('章节与怪物'!$E$31:$K$37,B451,6),'章节与怪物'!$A$41:$F$44,4,FALSE)+IF(6=D451,'难度参数'!$E$30,0))</x:f>
        <x:v>1232</x:v>
      </x:c>
      <x:c r="AV451" s="119" t="n">
        <x:f>IF(7&gt;D451,0,MAX(2,MIN('难度参数'!$E$12,ROUND(('难度参数'!$E$18*POWER(A451,'难度参数'!$E$19)/D451*(0.85+0.3*(7-1)/MAX(1,D451-1))),0)+F451)))</x:f>
        <x:v>46</x:v>
      </x:c>
      <x:c r="AW451" s="119" t="n">
        <x:f>IF(7&gt;D451,0,ROUND(('难度参数'!$E$13*POWER(A451,'难度参数'!$E$20)*MIN('难度参数'!$E$23,1+MAX(0,A451-'难度参数'!$E$21)*'难度参数'!$E$22))*(36+7*7)/(36+7*(D451+1)/2)*E451,0))</x:f>
        <x:v>14467</x:v>
      </x:c>
      <x:c r="AX451" s="119" t="n">
        <x:f>IF(AV451=0,0,(AV451-IF(7=D451,1,0))*ROUND(AW451*VLOOKUP(INDEX('章节与怪物'!$E$31:$K$37,B451,7),'章节与怪物'!$A$41:$F$44,2,FALSE),0)+IF(7=D451,ROUND(AW451*'难度参数'!$E$28*'章节与怪物'!$E$17,0),0))</x:f>
        <x:v>977226</x:v>
      </x:c>
      <x:c r="AY451" s="119" t="n">
        <x:f>IF(AV451=0,0,(AV451-IF(7=D451,1,0))*VLOOKUP(INDEX('章节与怪物'!$E$31:$K$37,B451,7),'章节与怪物'!$A$41:$F$44,4,FALSE)+IF(7=D451,'难度参数'!$E$30,0))</x:f>
        <x:v>1730</x:v>
      </x:c>
    </x:row>
    <x:row r="452" ht="23" customHeight="1">
      <x:c r="A452" s="119" t="n">
        <x:v>446</x:v>
      </x:c>
      <x:c r="B452" s="119" t="n">
        <x:f>MOD(INT((A452-1)/5),7)+1</x:f>
        <x:v>6</x:v>
      </x:c>
      <x:c r="C452" s="62" t="str">
        <x:f>INDEX('章节与怪物'!$B$31:$B$37,B452)</x:f>
        <x:v>熔岩山脉</x:v>
      </x:c>
      <x:c r="D452" s="119" t="n">
        <x:f>MIN('难度参数'!$E$8,MAX('难度参数'!$E$7,A452))</x:f>
        <x:v>7</x:v>
      </x:c>
      <x:c r="E452" s="106" t="n">
        <x:v>1</x:v>
      </x:c>
      <x:c r="F452" s="106" t="n">
        <x:v>0</x:v>
      </x:c>
      <x:c r="G452" s="106" t="n">
        <x:v>1</x:v>
      </x:c>
      <x:c r="H452" s="119" t="n">
        <x:f>SUM(X452,AB452,AF452,AJ452,AN452,AR452,AV452)</x:f>
        <x:v>280</x:v>
      </x:c>
      <x:c r="I452" s="119" t="n">
        <x:f>SUM(Z452,AD452,AH452,AL452,AP452,AT452,AX452)</x:f>
        <x:v>4185100</x:v>
      </x:c>
      <x:c r="J452" s="119" t="n">
        <x:f>ROUND(INDEX(X452:AY452,1,(D452-1)*4+2)*'难度参数'!$E$28*'章节与怪物'!$E$17,0)</x:f>
        <x:v>98539</x:v>
      </x:c>
      <x:c r="K452" s="119" t="n">
        <x:f>SUM(AA452,AE452,AI452,AM452,AQ452,AU452,AY452)</x:f>
        <x:v>7470</x:v>
      </x:c>
      <x:c r="L452" s="62" t="n">
        <x:f>H452*(ROUNDUP('难度参数'!$E$24/('难度参数'!$E$26*'难度参数'!$E$27),0)*'难度参数'!$E$26)/60</x:f>
        <x:v>3.7333333333333334</x:v>
      </x:c>
      <x:c r="M452" s="62" t="n">
        <x:f>L452+D452*('难度参数'!$E$49+'难度参数'!$E$50)/60</x:f>
        <x:v>4.9</x:v>
      </x:c>
      <x:c r="N452" s="119" t="n">
        <x:f>ROUNDDOWN(('经济参数'!$E$20+A452*'经济参数'!$E$21)*G452,0)</x:f>
        <x:v>9100</x:v>
      </x:c>
      <x:c r="O452" s="119" t="n">
        <x:f>ROUNDDOWN(MIN('经济参数'!$E$24,'经济参数'!$E$22+A452*'经济参数'!$E$23)*G452,0)</x:f>
        <x:v>0</x:v>
      </x:c>
      <x:c r="P452" s="119" t="n">
        <x:f>ROUNDDOWN((IF(A452&gt;='材料与任务'!$E$31,'材料与任务'!$E$32,IF(A452&gt;='材料与任务'!$E$25,'材料与任务'!$E$26,IF(A452&gt;='材料与任务'!$E$19,'材料与任务'!$E$20,IF(A452&gt;='材料与任务'!$E$13,'材料与任务'!$E$14,'材料与任务'!$E$8)))))*G452,0)</x:f>
        <x:v>6</x:v>
      </x:c>
      <x:c r="Q452" s="119" t="n">
        <x:f>ROUNDDOWN((IF(A452&gt;='材料与任务'!$E$31,'材料与任务'!$E$33,IF(A452&gt;='材料与任务'!$E$25,'材料与任务'!$E$27,IF(A452&gt;='材料与任务'!$E$19,'材料与任务'!$E$21,IF(A452&gt;='材料与任务'!$E$13,'材料与任务'!$E$15,'材料与任务'!$E$9)))))*G452,0)</x:f>
        <x:v>3</x:v>
      </x:c>
      <x:c r="R452" s="110" t="n">
        <x:f>'装备掉落'!$B$38</x:f>
        <x:v>0.6872058758851213</x:v>
      </x:c>
      <x:c r="S452" s="119" t="n">
        <x:f>MAX(IF(VLOOKUP(A452,'装备掉落'!$A$29:$H$34,2,TRUE)&gt;0,1,0),IF(VLOOKUP(A452,'装备掉落'!$A$29:$H$34,3,TRUE)&gt;0,2,0),IF(VLOOKUP(A452,'装备掉落'!$A$29:$H$34,4,TRUE)&gt;0,3,0),IF(VLOOKUP(A452,'装备掉落'!$A$29:$H$34,5,TRUE)&gt;0,4,0),IF(VLOOKUP(A452,'装备掉落'!$A$29:$H$34,6,TRUE)&gt;0,5,0),IF(VLOOKUP(A452,'装备掉落'!$A$29:$H$34,7,TRUE)&gt;0,6,0),IF(VLOOKUP(A452,'装备掉落'!$A$29:$H$34,8,TRUE)&gt;0,7,0))</x:f>
        <x:v>7</x:v>
      </x:c>
      <x:c r="T452" s="119" t="n">
        <x:f>MIN(7,S452+'经济参数'!$E$70)</x:f>
        <x:v>7</x:v>
      </x:c>
      <x:c r="U452" s="119" t="n">
        <x:f>MIN(7,S452+'经济参数'!$E$71)</x:f>
        <x:v>7</x:v>
      </x:c>
      <x:c r="V452" s="119" t="n">
        <x:f>IF(H452&gt;=('难度参数'!$E$52),1,0)+IF(H452&gt;=('难度参数'!$E$52+'难度参数'!$E$53),1,0)+IF(H452&gt;=('难度参数'!$E$52+'难度参数'!$E$53+'难度参数'!$E$54),1,0)+IF(H452&gt;=('难度参数'!$E$52+'难度参数'!$E$53+'难度参数'!$E$54+'难度参数'!$E$55),1,0)+IF(H452&gt;=('难度参数'!$E$52+'难度参数'!$E$53+'难度参数'!$E$54+'难度参数'!$E$55+'难度参数'!$E$56),1,0)+IF(H452&gt;=('难度参数'!$E$52+'难度参数'!$E$53+'难度参数'!$E$54+'难度参数'!$E$55+'难度参数'!$E$56+'难度参数'!$E$57),1,0)</x:f>
        <x:v>6</x:v>
      </x:c>
      <x:c r="W452" s="62" t="str">
        <x:f>IF(L452&gt;'难度参数'!$E$51,"仅出怪已超目标","还需实测")</x:f>
        <x:v>仅出怪已超目标</x:v>
      </x:c>
      <x:c r="X452" s="119" t="n">
        <x:f>IF(1&gt;D452,0,MAX(2,MIN('难度参数'!$E$12,ROUND(('难度参数'!$E$18*POWER(A452,'难度参数'!$E$19)/D452*(0.85+0.3*(1-1)/MAX(1,D452-1))),0)+F452)))</x:f>
        <x:v>34</x:v>
      </x:c>
      <x:c r="Y452" s="119" t="n">
        <x:f>IF(1&gt;D452,0,ROUND(('难度参数'!$E$13*POWER(A452,'难度参数'!$E$20)*MIN('难度参数'!$E$23,1+MAX(0,A452-'难度参数'!$E$21)*'难度参数'!$E$22))*(36+1*7)/(36+7*(D452+1)/2)*E452,0))</x:f>
        <x:v>7331</x:v>
      </x:c>
      <x:c r="Z452" s="119" t="n">
        <x:f>IF(X452=0,0,(X452-IF(1=D452,1,0))*ROUND(Y452*VLOOKUP(INDEX('章节与怪物'!$E$31:$K$37,B452,1),'章节与怪物'!$A$41:$F$44,2,FALSE),0)+IF(1=D452,ROUND(Y452*'难度参数'!$E$28*'章节与怪物'!$E$17,0),0))</x:f>
        <x:v>179452</x:v>
      </x:c>
      <x:c r="AA452" s="119" t="n">
        <x:f>IF(X452=0,0,(X452-IF(1=D452,1,0))*VLOOKUP(INDEX('章节与怪物'!$E$31:$K$37,B452,1),'章节与怪物'!$A$41:$F$44,4,FALSE)+IF(1=D452,'难度参数'!$E$30,0))</x:f>
        <x:v>680</x:v>
      </x:c>
      <x:c r="AB452" s="119" t="n">
        <x:f>IF(2&gt;D452,0,MAX(2,MIN('难度参数'!$E$12,ROUND(('难度参数'!$E$18*POWER(A452,'难度参数'!$E$19)/D452*(0.85+0.3*(2-1)/MAX(1,D452-1))),0)+F452)))</x:f>
        <x:v>36</x:v>
      </x:c>
      <x:c r="AC452" s="119" t="n">
        <x:f>IF(2&gt;D452,0,ROUND(('难度参数'!$E$13*POWER(A452,'难度参数'!$E$20)*MIN('难度参数'!$E$23,1+MAX(0,A452-'难度参数'!$E$21)*'难度参数'!$E$22))*(36+2*7)/(36+7*(D452+1)/2)*E452,0))</x:f>
        <x:v>8524</x:v>
      </x:c>
      <x:c r="AD452" s="119" t="n">
        <x:f>IF(AB452=0,0,(AB452-IF(2=D452,1,0))*ROUND(AC452*VLOOKUP(INDEX('章节与怪物'!$E$31:$K$37,B452,2),'章节与怪物'!$A$41:$F$44,2,FALSE),0)+IF(2=D452,ROUND(AC452*'难度参数'!$E$28*'章节与怪物'!$E$17,0),0))</x:f>
        <x:v>306864</x:v>
      </x:c>
      <x:c r="AE452" s="119" t="n">
        <x:f>IF(AB452=0,0,(AB452-IF(2=D452,1,0))*VLOOKUP(INDEX('章节与怪物'!$E$31:$K$37,B452,2),'章节与怪物'!$A$41:$F$44,4,FALSE)+IF(2=D452,'难度参数'!$E$30,0))</x:f>
        <x:v>648</x:v>
      </x:c>
      <x:c r="AF452" s="119" t="n">
        <x:f>IF(3&gt;D452,0,MAX(2,MIN('难度参数'!$E$12,ROUND(('难度参数'!$E$18*POWER(A452,'难度参数'!$E$19)/D452*(0.85+0.3*(3-1)/MAX(1,D452-1))),0)+F452)))</x:f>
        <x:v>38</x:v>
      </x:c>
      <x:c r="AG452" s="119" t="n">
        <x:f>IF(3&gt;D452,0,ROUND(('难度参数'!$E$13*POWER(A452,'难度参数'!$E$20)*MIN('难度参数'!$E$23,1+MAX(0,A452-'难度参数'!$E$21)*'难度参数'!$E$22))*(36+3*7)/(36+7*(D452+1)/2)*E452,0))</x:f>
        <x:v>9717</x:v>
      </x:c>
      <x:c r="AH452" s="119" t="n">
        <x:f>IF(AF452=0,0,(AF452-IF(3=D452,1,0))*ROUND(AG452*VLOOKUP(INDEX('章节与怪物'!$E$31:$K$37,B452,3),'章节与怪物'!$A$41:$F$44,2,FALSE),0)+IF(3=D452,ROUND(AG452*'难度参数'!$E$28*'章节与怪物'!$E$17,0),0))</x:f>
        <x:v>627722</x:v>
      </x:c>
      <x:c r="AI452" s="119" t="n">
        <x:f>IF(AF452=0,0,(AF452-IF(3=D452,1,0))*VLOOKUP(INDEX('章节与怪物'!$E$31:$K$37,B452,3),'章节与怪物'!$A$41:$F$44,4,FALSE)+IF(3=D452,'难度参数'!$E$30,0))</x:f>
        <x:v>1064</x:v>
      </x:c>
      <x:c r="AJ452" s="119" t="n">
        <x:f>IF(4&gt;D452,0,MAX(2,MIN('难度参数'!$E$12,ROUND(('难度参数'!$E$18*POWER(A452,'难度参数'!$E$19)/D452*(0.85+0.3*(4-1)/MAX(1,D452-1))),0)+F452)))</x:f>
        <x:v>40</x:v>
      </x:c>
      <x:c r="AK452" s="119" t="n">
        <x:f>IF(4&gt;D452,0,ROUND(('难度参数'!$E$13*POWER(A452,'难度参数'!$E$20)*MIN('难度参数'!$E$23,1+MAX(0,A452-'难度参数'!$E$21)*'难度参数'!$E$22))*(36+4*7)/(36+7*(D452+1)/2)*E452,0))</x:f>
        <x:v>10911</x:v>
      </x:c>
      <x:c r="AL452" s="119" t="n">
        <x:f>IF(AJ452=0,0,(AJ452-IF(4=D452,1,0))*ROUND(AK452*VLOOKUP(INDEX('章节与怪物'!$E$31:$K$37,B452,4),'章节与怪物'!$A$41:$F$44,2,FALSE),0)+IF(4=D452,ROUND(AK452*'难度参数'!$E$28*'章节与怪物'!$E$17,0),0))</x:f>
        <x:v>589200</x:v>
      </x:c>
      <x:c r="AM452" s="119" t="n">
        <x:f>IF(AJ452=0,0,(AJ452-IF(4=D452,1,0))*VLOOKUP(INDEX('章节与怪物'!$E$31:$K$37,B452,4),'章节与怪物'!$A$41:$F$44,4,FALSE)+IF(4=D452,'难度参数'!$E$30,0))</x:f>
        <x:v>1360</x:v>
      </x:c>
      <x:c r="AN452" s="119" t="n">
        <x:f>IF(5&gt;D452,0,MAX(2,MIN('难度参数'!$E$12,ROUND(('难度参数'!$E$18*POWER(A452,'难度参数'!$E$19)/D452*(0.85+0.3*(5-1)/MAX(1,D452-1))),0)+F452)))</x:f>
        <x:v>42</x:v>
      </x:c>
      <x:c r="AO452" s="119" t="n">
        <x:f>IF(5&gt;D452,0,ROUND(('难度参数'!$E$13*POWER(A452,'难度参数'!$E$20)*MIN('难度参数'!$E$23,1+MAX(0,A452-'难度参数'!$E$21)*'难度参数'!$E$22))*(36+5*7)/(36+7*(D452+1)/2)*E452,0))</x:f>
        <x:v>12104</x:v>
      </x:c>
      <x:c r="AP452" s="119" t="n">
        <x:f>IF(AN452=0,0,(AN452-IF(5=D452,1,0))*ROUND(AO452*VLOOKUP(INDEX('章节与怪物'!$E$31:$K$37,B452,5),'章节与怪物'!$A$41:$F$44,2,FALSE),0)+IF(5=D452,ROUND(AO452*'难度参数'!$E$28*'章节与怪物'!$E$17,0),0))</x:f>
        <x:v>508368</x:v>
      </x:c>
      <x:c r="AQ452" s="119" t="n">
        <x:f>IF(AN452=0,0,(AN452-IF(5=D452,1,0))*VLOOKUP(INDEX('章节与怪物'!$E$31:$K$37,B452,5),'章节与怪物'!$A$41:$F$44,4,FALSE)+IF(5=D452,'难度参数'!$E$30,0))</x:f>
        <x:v>756</x:v>
      </x:c>
      <x:c r="AR452" s="119" t="n">
        <x:f>IF(6&gt;D452,0,MAX(2,MIN('难度参数'!$E$12,ROUND(('难度参数'!$E$18*POWER(A452,'难度参数'!$E$19)/D452*(0.85+0.3*(6-1)/MAX(1,D452-1))),0)+F452)))</x:f>
        <x:v>44</x:v>
      </x:c>
      <x:c r="AS452" s="119" t="n">
        <x:f>IF(6&gt;D452,0,ROUND(('难度参数'!$E$13*POWER(A452,'难度参数'!$E$20)*MIN('难度参数'!$E$23,1+MAX(0,A452-'难度参数'!$E$21)*'难度参数'!$E$22))*(36+6*7)/(36+7*(D452+1)/2)*E452,0))</x:f>
        <x:v>13297</x:v>
      </x:c>
      <x:c r="AT452" s="119" t="n">
        <x:f>IF(AR452=0,0,(AR452-IF(6=D452,1,0))*ROUND(AS452*VLOOKUP(INDEX('章节与怪物'!$E$31:$K$37,B452,6),'章节与怪物'!$A$41:$F$44,2,FALSE),0)+IF(6=D452,ROUND(AS452*'难度参数'!$E$28*'章节与怪物'!$E$17,0),0))</x:f>
        <x:v>994620</x:v>
      </x:c>
      <x:c r="AU452" s="119" t="n">
        <x:f>IF(AR452=0,0,(AR452-IF(6=D452,1,0))*VLOOKUP(INDEX('章节与怪物'!$E$31:$K$37,B452,6),'章节与怪物'!$A$41:$F$44,4,FALSE)+IF(6=D452,'难度参数'!$E$30,0))</x:f>
        <x:v>1232</x:v>
      </x:c>
      <x:c r="AV452" s="119" t="n">
        <x:f>IF(7&gt;D452,0,MAX(2,MIN('难度参数'!$E$12,ROUND(('难度参数'!$E$18*POWER(A452,'难度参数'!$E$19)/D452*(0.85+0.3*(7-1)/MAX(1,D452-1))),0)+F452)))</x:f>
        <x:v>46</x:v>
      </x:c>
      <x:c r="AW452" s="119" t="n">
        <x:f>IF(7&gt;D452,0,ROUND(('难度参数'!$E$13*POWER(A452,'难度参数'!$E$20)*MIN('难度参数'!$E$23,1+MAX(0,A452-'难度参数'!$E$21)*'难度参数'!$E$22))*(36+7*7)/(36+7*(D452+1)/2)*E452,0))</x:f>
        <x:v>14491</x:v>
      </x:c>
      <x:c r="AX452" s="119" t="n">
        <x:f>IF(AV452=0,0,(AV452-IF(7=D452,1,0))*ROUND(AW452*VLOOKUP(INDEX('章节与怪物'!$E$31:$K$37,B452,7),'章节与怪物'!$A$41:$F$44,2,FALSE),0)+IF(7=D452,ROUND(AW452*'难度参数'!$E$28*'章节与怪物'!$E$17,0),0))</x:f>
        <x:v>978874</x:v>
      </x:c>
      <x:c r="AY452" s="119" t="n">
        <x:f>IF(AV452=0,0,(AV452-IF(7=D452,1,0))*VLOOKUP(INDEX('章节与怪物'!$E$31:$K$37,B452,7),'章节与怪物'!$A$41:$F$44,4,FALSE)+IF(7=D452,'难度参数'!$E$30,0))</x:f>
        <x:v>1730</x:v>
      </x:c>
    </x:row>
    <x:row r="453" ht="23" customHeight="1">
      <x:c r="A453" s="119" t="n">
        <x:v>447</x:v>
      </x:c>
      <x:c r="B453" s="119" t="n">
        <x:f>MOD(INT((A453-1)/5),7)+1</x:f>
        <x:v>6</x:v>
      </x:c>
      <x:c r="C453" s="62" t="str">
        <x:f>INDEX('章节与怪物'!$B$31:$B$37,B453)</x:f>
        <x:v>熔岩山脉</x:v>
      </x:c>
      <x:c r="D453" s="119" t="n">
        <x:f>MIN('难度参数'!$E$8,MAX('难度参数'!$E$7,A453))</x:f>
        <x:v>7</x:v>
      </x:c>
      <x:c r="E453" s="106" t="n">
        <x:v>1</x:v>
      </x:c>
      <x:c r="F453" s="106" t="n">
        <x:v>0</x:v>
      </x:c>
      <x:c r="G453" s="106" t="n">
        <x:v>1</x:v>
      </x:c>
      <x:c r="H453" s="119" t="n">
        <x:f>SUM(X453,AB453,AF453,AJ453,AN453,AR453,AV453)</x:f>
        <x:v>280</x:v>
      </x:c>
      <x:c r="I453" s="119" t="n">
        <x:f>SUM(Z453,AD453,AH453,AL453,AP453,AT453,AX453)</x:f>
        <x:v>4191841</x:v>
      </x:c>
      <x:c r="J453" s="119" t="n">
        <x:f>ROUND(INDEX(X453:AY453,1,(D453-1)*4+2)*'难度参数'!$E$28*'章节与怪物'!$E$17,0)</x:f>
        <x:v>98695</x:v>
      </x:c>
      <x:c r="K453" s="119" t="n">
        <x:f>SUM(AA453,AE453,AI453,AM453,AQ453,AU453,AY453)</x:f>
        <x:v>7470</x:v>
      </x:c>
      <x:c r="L453" s="62" t="n">
        <x:f>H453*(ROUNDUP('难度参数'!$E$24/('难度参数'!$E$26*'难度参数'!$E$27),0)*'难度参数'!$E$26)/60</x:f>
        <x:v>3.7333333333333334</x:v>
      </x:c>
      <x:c r="M453" s="62" t="n">
        <x:f>L453+D453*('难度参数'!$E$49+'难度参数'!$E$50)/60</x:f>
        <x:v>4.9</x:v>
      </x:c>
      <x:c r="N453" s="119" t="n">
        <x:f>ROUNDDOWN(('经济参数'!$E$20+A453*'经济参数'!$E$21)*G453,0)</x:f>
        <x:v>9120</x:v>
      </x:c>
      <x:c r="O453" s="119" t="n">
        <x:f>ROUNDDOWN(MIN('经济参数'!$E$24,'经济参数'!$E$22+A453*'经济参数'!$E$23)*G453,0)</x:f>
        <x:v>0</x:v>
      </x:c>
      <x:c r="P453" s="119" t="n">
        <x:f>ROUNDDOWN((IF(A453&gt;='材料与任务'!$E$31,'材料与任务'!$E$32,IF(A453&gt;='材料与任务'!$E$25,'材料与任务'!$E$26,IF(A453&gt;='材料与任务'!$E$19,'材料与任务'!$E$20,IF(A453&gt;='材料与任务'!$E$13,'材料与任务'!$E$14,'材料与任务'!$E$8)))))*G453,0)</x:f>
        <x:v>6</x:v>
      </x:c>
      <x:c r="Q453" s="119" t="n">
        <x:f>ROUNDDOWN((IF(A453&gt;='材料与任务'!$E$31,'材料与任务'!$E$33,IF(A453&gt;='材料与任务'!$E$25,'材料与任务'!$E$27,IF(A453&gt;='材料与任务'!$E$19,'材料与任务'!$E$21,IF(A453&gt;='材料与任务'!$E$13,'材料与任务'!$E$15,'材料与任务'!$E$9)))))*G453,0)</x:f>
        <x:v>3</x:v>
      </x:c>
      <x:c r="R453" s="110" t="n">
        <x:f>'装备掉落'!$B$38</x:f>
        <x:v>0.6872058758851213</x:v>
      </x:c>
      <x:c r="S453" s="119" t="n">
        <x:f>MAX(IF(VLOOKUP(A453,'装备掉落'!$A$29:$H$34,2,TRUE)&gt;0,1,0),IF(VLOOKUP(A453,'装备掉落'!$A$29:$H$34,3,TRUE)&gt;0,2,0),IF(VLOOKUP(A453,'装备掉落'!$A$29:$H$34,4,TRUE)&gt;0,3,0),IF(VLOOKUP(A453,'装备掉落'!$A$29:$H$34,5,TRUE)&gt;0,4,0),IF(VLOOKUP(A453,'装备掉落'!$A$29:$H$34,6,TRUE)&gt;0,5,0),IF(VLOOKUP(A453,'装备掉落'!$A$29:$H$34,7,TRUE)&gt;0,6,0),IF(VLOOKUP(A453,'装备掉落'!$A$29:$H$34,8,TRUE)&gt;0,7,0))</x:f>
        <x:v>7</x:v>
      </x:c>
      <x:c r="T453" s="119" t="n">
        <x:f>MIN(7,S453+'经济参数'!$E$70)</x:f>
        <x:v>7</x:v>
      </x:c>
      <x:c r="U453" s="119" t="n">
        <x:f>MIN(7,S453+'经济参数'!$E$71)</x:f>
        <x:v>7</x:v>
      </x:c>
      <x:c r="V453" s="119" t="n">
        <x:f>IF(H453&gt;=('难度参数'!$E$52),1,0)+IF(H453&gt;=('难度参数'!$E$52+'难度参数'!$E$53),1,0)+IF(H453&gt;=('难度参数'!$E$52+'难度参数'!$E$53+'难度参数'!$E$54),1,0)+IF(H453&gt;=('难度参数'!$E$52+'难度参数'!$E$53+'难度参数'!$E$54+'难度参数'!$E$55),1,0)+IF(H453&gt;=('难度参数'!$E$52+'难度参数'!$E$53+'难度参数'!$E$54+'难度参数'!$E$55+'难度参数'!$E$56),1,0)+IF(H453&gt;=('难度参数'!$E$52+'难度参数'!$E$53+'难度参数'!$E$54+'难度参数'!$E$55+'难度参数'!$E$56+'难度参数'!$E$57),1,0)</x:f>
        <x:v>6</x:v>
      </x:c>
      <x:c r="W453" s="62" t="str">
        <x:f>IF(L453&gt;'难度参数'!$E$51,"仅出怪已超目标","还需实测")</x:f>
        <x:v>仅出怪已超目标</x:v>
      </x:c>
      <x:c r="X453" s="119" t="n">
        <x:f>IF(1&gt;D453,0,MAX(2,MIN('难度参数'!$E$12,ROUND(('难度参数'!$E$18*POWER(A453,'难度参数'!$E$19)/D453*(0.85+0.3*(1-1)/MAX(1,D453-1))),0)+F453)))</x:f>
        <x:v>34</x:v>
      </x:c>
      <x:c r="Y453" s="119" t="n">
        <x:f>IF(1&gt;D453,0,ROUND(('难度参数'!$E$13*POWER(A453,'难度参数'!$E$20)*MIN('难度参数'!$E$23,1+MAX(0,A453-'难度参数'!$E$21)*'难度参数'!$E$22))*(36+1*7)/(36+7*(D453+1)/2)*E453,0))</x:f>
        <x:v>7342</x:v>
      </x:c>
      <x:c r="Z453" s="119" t="n">
        <x:f>IF(X453=0,0,(X453-IF(1=D453,1,0))*ROUND(Y453*VLOOKUP(INDEX('章节与怪物'!$E$31:$K$37,B453,1),'章节与怪物'!$A$41:$F$44,2,FALSE),0)+IF(1=D453,ROUND(Y453*'难度参数'!$E$28*'章节与怪物'!$E$17,0),0))</x:f>
        <x:v>179724</x:v>
      </x:c>
      <x:c r="AA453" s="119" t="n">
        <x:f>IF(X453=0,0,(X453-IF(1=D453,1,0))*VLOOKUP(INDEX('章节与怪物'!$E$31:$K$37,B453,1),'章节与怪物'!$A$41:$F$44,4,FALSE)+IF(1=D453,'难度参数'!$E$30,0))</x:f>
        <x:v>680</x:v>
      </x:c>
      <x:c r="AB453" s="119" t="n">
        <x:f>IF(2&gt;D453,0,MAX(2,MIN('难度参数'!$E$12,ROUND(('难度参数'!$E$18*POWER(A453,'难度参数'!$E$19)/D453*(0.85+0.3*(2-1)/MAX(1,D453-1))),0)+F453)))</x:f>
        <x:v>36</x:v>
      </x:c>
      <x:c r="AC453" s="119" t="n">
        <x:f>IF(2&gt;D453,0,ROUND(('难度参数'!$E$13*POWER(A453,'难度参数'!$E$20)*MIN('难度参数'!$E$23,1+MAX(0,A453-'难度参数'!$E$21)*'难度参数'!$E$22))*(36+2*7)/(36+7*(D453+1)/2)*E453,0))</x:f>
        <x:v>8538</x:v>
      </x:c>
      <x:c r="AD453" s="119" t="n">
        <x:f>IF(AB453=0,0,(AB453-IF(2=D453,1,0))*ROUND(AC453*VLOOKUP(INDEX('章节与怪物'!$E$31:$K$37,B453,2),'章节与怪物'!$A$41:$F$44,2,FALSE),0)+IF(2=D453,ROUND(AC453*'难度参数'!$E$28*'章节与怪物'!$E$17,0),0))</x:f>
        <x:v>307368</x:v>
      </x:c>
      <x:c r="AE453" s="119" t="n">
        <x:f>IF(AB453=0,0,(AB453-IF(2=D453,1,0))*VLOOKUP(INDEX('章节与怪物'!$E$31:$K$37,B453,2),'章节与怪物'!$A$41:$F$44,4,FALSE)+IF(2=D453,'难度参数'!$E$30,0))</x:f>
        <x:v>648</x:v>
      </x:c>
      <x:c r="AF453" s="119" t="n">
        <x:f>IF(3&gt;D453,0,MAX(2,MIN('难度参数'!$E$12,ROUND(('难度参数'!$E$18*POWER(A453,'难度参数'!$E$19)/D453*(0.85+0.3*(3-1)/MAX(1,D453-1))),0)+F453)))</x:f>
        <x:v>38</x:v>
      </x:c>
      <x:c r="AG453" s="119" t="n">
        <x:f>IF(3&gt;D453,0,ROUND(('难度参数'!$E$13*POWER(A453,'难度参数'!$E$20)*MIN('难度参数'!$E$23,1+MAX(0,A453-'难度参数'!$E$21)*'难度参数'!$E$22))*(36+3*7)/(36+7*(D453+1)/2)*E453,0))</x:f>
        <x:v>9733</x:v>
      </x:c>
      <x:c r="AH453" s="119" t="n">
        <x:f>IF(AF453=0,0,(AF453-IF(3=D453,1,0))*ROUND(AG453*VLOOKUP(INDEX('章节与怪物'!$E$31:$K$37,B453,3),'章节与怪物'!$A$41:$F$44,2,FALSE),0)+IF(3=D453,ROUND(AG453*'难度参数'!$E$28*'章节与怪物'!$E$17,0),0))</x:f>
        <x:v>628748</x:v>
      </x:c>
      <x:c r="AI453" s="119" t="n">
        <x:f>IF(AF453=0,0,(AF453-IF(3=D453,1,0))*VLOOKUP(INDEX('章节与怪物'!$E$31:$K$37,B453,3),'章节与怪物'!$A$41:$F$44,4,FALSE)+IF(3=D453,'难度参数'!$E$30,0))</x:f>
        <x:v>1064</x:v>
      </x:c>
      <x:c r="AJ453" s="119" t="n">
        <x:f>IF(4&gt;D453,0,MAX(2,MIN('难度参数'!$E$12,ROUND(('难度参数'!$E$18*POWER(A453,'难度参数'!$E$19)/D453*(0.85+0.3*(4-1)/MAX(1,D453-1))),0)+F453)))</x:f>
        <x:v>40</x:v>
      </x:c>
      <x:c r="AK453" s="119" t="n">
        <x:f>IF(4&gt;D453,0,ROUND(('难度参数'!$E$13*POWER(A453,'难度参数'!$E$20)*MIN('难度参数'!$E$23,1+MAX(0,A453-'难度参数'!$E$21)*'难度参数'!$E$22))*(36+4*7)/(36+7*(D453+1)/2)*E453,0))</x:f>
        <x:v>10928</x:v>
      </x:c>
      <x:c r="AL453" s="119" t="n">
        <x:f>IF(AJ453=0,0,(AJ453-IF(4=D453,1,0))*ROUND(AK453*VLOOKUP(INDEX('章节与怪物'!$E$31:$K$37,B453,4),'章节与怪物'!$A$41:$F$44,2,FALSE),0)+IF(4=D453,ROUND(AK453*'难度参数'!$E$28*'章节与怪物'!$E$17,0),0))</x:f>
        <x:v>590120</x:v>
      </x:c>
      <x:c r="AM453" s="119" t="n">
        <x:f>IF(AJ453=0,0,(AJ453-IF(4=D453,1,0))*VLOOKUP(INDEX('章节与怪物'!$E$31:$K$37,B453,4),'章节与怪物'!$A$41:$F$44,4,FALSE)+IF(4=D453,'难度参数'!$E$30,0))</x:f>
        <x:v>1360</x:v>
      </x:c>
      <x:c r="AN453" s="119" t="n">
        <x:f>IF(5&gt;D453,0,MAX(2,MIN('难度参数'!$E$12,ROUND(('难度参数'!$E$18*POWER(A453,'难度参数'!$E$19)/D453*(0.85+0.3*(5-1)/MAX(1,D453-1))),0)+F453)))</x:f>
        <x:v>42</x:v>
      </x:c>
      <x:c r="AO453" s="119" t="n">
        <x:f>IF(5&gt;D453,0,ROUND(('难度参数'!$E$13*POWER(A453,'难度参数'!$E$20)*MIN('难度参数'!$E$23,1+MAX(0,A453-'难度参数'!$E$21)*'难度参数'!$E$22))*(36+5*7)/(36+7*(D453+1)/2)*E453,0))</x:f>
        <x:v>12124</x:v>
      </x:c>
      <x:c r="AP453" s="119" t="n">
        <x:f>IF(AN453=0,0,(AN453-IF(5=D453,1,0))*ROUND(AO453*VLOOKUP(INDEX('章节与怪物'!$E$31:$K$37,B453,5),'章节与怪物'!$A$41:$F$44,2,FALSE),0)+IF(5=D453,ROUND(AO453*'难度参数'!$E$28*'章节与怪物'!$E$17,0),0))</x:f>
        <x:v>509208</x:v>
      </x:c>
      <x:c r="AQ453" s="119" t="n">
        <x:f>IF(AN453=0,0,(AN453-IF(5=D453,1,0))*VLOOKUP(INDEX('章节与怪物'!$E$31:$K$37,B453,5),'章节与怪物'!$A$41:$F$44,4,FALSE)+IF(5=D453,'难度参数'!$E$30,0))</x:f>
        <x:v>756</x:v>
      </x:c>
      <x:c r="AR453" s="119" t="n">
        <x:f>IF(6&gt;D453,0,MAX(2,MIN('难度参数'!$E$12,ROUND(('难度参数'!$E$18*POWER(A453,'难度参数'!$E$19)/D453*(0.85+0.3*(6-1)/MAX(1,D453-1))),0)+F453)))</x:f>
        <x:v>44</x:v>
      </x:c>
      <x:c r="AS453" s="119" t="n">
        <x:f>IF(6&gt;D453,0,ROUND(('难度参数'!$E$13*POWER(A453,'难度参数'!$E$20)*MIN('难度参数'!$E$23,1+MAX(0,A453-'难度参数'!$E$21)*'难度参数'!$E$22))*(36+6*7)/(36+7*(D453+1)/2)*E453,0))</x:f>
        <x:v>13319</x:v>
      </x:c>
      <x:c r="AT453" s="119" t="n">
        <x:f>IF(AR453=0,0,(AR453-IF(6=D453,1,0))*ROUND(AS453*VLOOKUP(INDEX('章节与怪物'!$E$31:$K$37,B453,6),'章节与怪物'!$A$41:$F$44,2,FALSE),0)+IF(6=D453,ROUND(AS453*'难度参数'!$E$28*'章节与怪物'!$E$17,0),0))</x:f>
        <x:v>996248</x:v>
      </x:c>
      <x:c r="AU453" s="119" t="n">
        <x:f>IF(AR453=0,0,(AR453-IF(6=D453,1,0))*VLOOKUP(INDEX('章节与怪物'!$E$31:$K$37,B453,6),'章节与怪物'!$A$41:$F$44,4,FALSE)+IF(6=D453,'难度参数'!$E$30,0))</x:f>
        <x:v>1232</x:v>
      </x:c>
      <x:c r="AV453" s="119" t="n">
        <x:f>IF(7&gt;D453,0,MAX(2,MIN('难度参数'!$E$12,ROUND(('难度参数'!$E$18*POWER(A453,'难度参数'!$E$19)/D453*(0.85+0.3*(7-1)/MAX(1,D453-1))),0)+F453)))</x:f>
        <x:v>46</x:v>
      </x:c>
      <x:c r="AW453" s="119" t="n">
        <x:f>IF(7&gt;D453,0,ROUND(('难度参数'!$E$13*POWER(A453,'难度参数'!$E$20)*MIN('难度参数'!$E$23,1+MAX(0,A453-'难度参数'!$E$21)*'难度参数'!$E$22))*(36+7*7)/(36+7*(D453+1)/2)*E453,0))</x:f>
        <x:v>14514</x:v>
      </x:c>
      <x:c r="AX453" s="119" t="n">
        <x:f>IF(AV453=0,0,(AV453-IF(7=D453,1,0))*ROUND(AW453*VLOOKUP(INDEX('章节与怪物'!$E$31:$K$37,B453,7),'章节与怪物'!$A$41:$F$44,2,FALSE),0)+IF(7=D453,ROUND(AW453*'难度参数'!$E$28*'章节与怪物'!$E$17,0),0))</x:f>
        <x:v>980425</x:v>
      </x:c>
      <x:c r="AY453" s="119" t="n">
        <x:f>IF(AV453=0,0,(AV453-IF(7=D453,1,0))*VLOOKUP(INDEX('章节与怪物'!$E$31:$K$37,B453,7),'章节与怪物'!$A$41:$F$44,4,FALSE)+IF(7=D453,'难度参数'!$E$30,0))</x:f>
        <x:v>1730</x:v>
      </x:c>
    </x:row>
    <x:row r="454" ht="23" customHeight="1">
      <x:c r="A454" s="119" t="n">
        <x:v>448</x:v>
      </x:c>
      <x:c r="B454" s="119" t="n">
        <x:f>MOD(INT((A454-1)/5),7)+1</x:f>
        <x:v>6</x:v>
      </x:c>
      <x:c r="C454" s="62" t="str">
        <x:f>INDEX('章节与怪物'!$B$31:$B$37,B454)</x:f>
        <x:v>熔岩山脉</x:v>
      </x:c>
      <x:c r="D454" s="119" t="n">
        <x:f>MIN('难度参数'!$E$8,MAX('难度参数'!$E$7,A454))</x:f>
        <x:v>7</x:v>
      </x:c>
      <x:c r="E454" s="106" t="n">
        <x:v>1</x:v>
      </x:c>
      <x:c r="F454" s="106" t="n">
        <x:v>0</x:v>
      </x:c>
      <x:c r="G454" s="106" t="n">
        <x:v>1</x:v>
      </x:c>
      <x:c r="H454" s="119" t="n">
        <x:f>SUM(X454,AB454,AF454,AJ454,AN454,AR454,AV454)</x:f>
        <x:v>280</x:v>
      </x:c>
      <x:c r="I454" s="119" t="n">
        <x:f>SUM(Z454,AD454,AH454,AL454,AP454,AT454,AX454)</x:f>
        <x:v>4198622</x:v>
      </x:c>
      <x:c r="J454" s="119" t="n">
        <x:f>ROUND(INDEX(X454:AY454,1,(D454-1)*4+2)*'难度参数'!$E$28*'章节与怪物'!$E$17,0)</x:f>
        <x:v>98858</x:v>
      </x:c>
      <x:c r="K454" s="119" t="n">
        <x:f>SUM(AA454,AE454,AI454,AM454,AQ454,AU454,AY454)</x:f>
        <x:v>7470</x:v>
      </x:c>
      <x:c r="L454" s="62" t="n">
        <x:f>H454*(ROUNDUP('难度参数'!$E$24/('难度参数'!$E$26*'难度参数'!$E$27),0)*'难度参数'!$E$26)/60</x:f>
        <x:v>3.7333333333333334</x:v>
      </x:c>
      <x:c r="M454" s="62" t="n">
        <x:f>L454+D454*('难度参数'!$E$49+'难度参数'!$E$50)/60</x:f>
        <x:v>4.9</x:v>
      </x:c>
      <x:c r="N454" s="119" t="n">
        <x:f>ROUNDDOWN(('经济参数'!$E$20+A454*'经济参数'!$E$21)*G454,0)</x:f>
        <x:v>9140</x:v>
      </x:c>
      <x:c r="O454" s="119" t="n">
        <x:f>ROUNDDOWN(MIN('经济参数'!$E$24,'经济参数'!$E$22+A454*'经济参数'!$E$23)*G454,0)</x:f>
        <x:v>0</x:v>
      </x:c>
      <x:c r="P454" s="119" t="n">
        <x:f>ROUNDDOWN((IF(A454&gt;='材料与任务'!$E$31,'材料与任务'!$E$32,IF(A454&gt;='材料与任务'!$E$25,'材料与任务'!$E$26,IF(A454&gt;='材料与任务'!$E$19,'材料与任务'!$E$20,IF(A454&gt;='材料与任务'!$E$13,'材料与任务'!$E$14,'材料与任务'!$E$8)))))*G454,0)</x:f>
        <x:v>6</x:v>
      </x:c>
      <x:c r="Q454" s="119" t="n">
        <x:f>ROUNDDOWN((IF(A454&gt;='材料与任务'!$E$31,'材料与任务'!$E$33,IF(A454&gt;='材料与任务'!$E$25,'材料与任务'!$E$27,IF(A454&gt;='材料与任务'!$E$19,'材料与任务'!$E$21,IF(A454&gt;='材料与任务'!$E$13,'材料与任务'!$E$15,'材料与任务'!$E$9)))))*G454,0)</x:f>
        <x:v>3</x:v>
      </x:c>
      <x:c r="R454" s="110" t="n">
        <x:f>'装备掉落'!$B$38</x:f>
        <x:v>0.6872058758851213</x:v>
      </x:c>
      <x:c r="S454" s="119" t="n">
        <x:f>MAX(IF(VLOOKUP(A454,'装备掉落'!$A$29:$H$34,2,TRUE)&gt;0,1,0),IF(VLOOKUP(A454,'装备掉落'!$A$29:$H$34,3,TRUE)&gt;0,2,0),IF(VLOOKUP(A454,'装备掉落'!$A$29:$H$34,4,TRUE)&gt;0,3,0),IF(VLOOKUP(A454,'装备掉落'!$A$29:$H$34,5,TRUE)&gt;0,4,0),IF(VLOOKUP(A454,'装备掉落'!$A$29:$H$34,6,TRUE)&gt;0,5,0),IF(VLOOKUP(A454,'装备掉落'!$A$29:$H$34,7,TRUE)&gt;0,6,0),IF(VLOOKUP(A454,'装备掉落'!$A$29:$H$34,8,TRUE)&gt;0,7,0))</x:f>
        <x:v>7</x:v>
      </x:c>
      <x:c r="T454" s="119" t="n">
        <x:f>MIN(7,S454+'经济参数'!$E$70)</x:f>
        <x:v>7</x:v>
      </x:c>
      <x:c r="U454" s="119" t="n">
        <x:f>MIN(7,S454+'经济参数'!$E$71)</x:f>
        <x:v>7</x:v>
      </x:c>
      <x:c r="V454" s="119" t="n">
        <x:f>IF(H454&gt;=('难度参数'!$E$52),1,0)+IF(H454&gt;=('难度参数'!$E$52+'难度参数'!$E$53),1,0)+IF(H454&gt;=('难度参数'!$E$52+'难度参数'!$E$53+'难度参数'!$E$54),1,0)+IF(H454&gt;=('难度参数'!$E$52+'难度参数'!$E$53+'难度参数'!$E$54+'难度参数'!$E$55),1,0)+IF(H454&gt;=('难度参数'!$E$52+'难度参数'!$E$53+'难度参数'!$E$54+'难度参数'!$E$55+'难度参数'!$E$56),1,0)+IF(H454&gt;=('难度参数'!$E$52+'难度参数'!$E$53+'难度参数'!$E$54+'难度参数'!$E$55+'难度参数'!$E$56+'难度参数'!$E$57),1,0)</x:f>
        <x:v>6</x:v>
      </x:c>
      <x:c r="W454" s="62" t="str">
        <x:f>IF(L454&gt;'难度参数'!$E$51,"仅出怪已超目标","还需实测")</x:f>
        <x:v>仅出怪已超目标</x:v>
      </x:c>
      <x:c r="X454" s="119" t="n">
        <x:f>IF(1&gt;D454,0,MAX(2,MIN('难度参数'!$E$12,ROUND(('难度参数'!$E$18*POWER(A454,'难度参数'!$E$19)/D454*(0.85+0.3*(1-1)/MAX(1,D454-1))),0)+F454)))</x:f>
        <x:v>34</x:v>
      </x:c>
      <x:c r="Y454" s="119" t="n">
        <x:f>IF(1&gt;D454,0,ROUND(('难度参数'!$E$13*POWER(A454,'难度参数'!$E$20)*MIN('难度参数'!$E$23,1+MAX(0,A454-'难度参数'!$E$21)*'难度参数'!$E$22))*(36+1*7)/(36+7*(D454+1)/2)*E454,0))</x:f>
        <x:v>7354</x:v>
      </x:c>
      <x:c r="Z454" s="119" t="n">
        <x:f>IF(X454=0,0,(X454-IF(1=D454,1,0))*ROUND(Y454*VLOOKUP(INDEX('章节与怪物'!$E$31:$K$37,B454,1),'章节与怪物'!$A$41:$F$44,2,FALSE),0)+IF(1=D454,ROUND(Y454*'难度参数'!$E$28*'章节与怪物'!$E$17,0),0))</x:f>
        <x:v>180030</x:v>
      </x:c>
      <x:c r="AA454" s="119" t="n">
        <x:f>IF(X454=0,0,(X454-IF(1=D454,1,0))*VLOOKUP(INDEX('章节与怪物'!$E$31:$K$37,B454,1),'章节与怪物'!$A$41:$F$44,4,FALSE)+IF(1=D454,'难度参数'!$E$30,0))</x:f>
        <x:v>680</x:v>
      </x:c>
      <x:c r="AB454" s="119" t="n">
        <x:f>IF(2&gt;D454,0,MAX(2,MIN('难度参数'!$E$12,ROUND(('难度参数'!$E$18*POWER(A454,'难度参数'!$E$19)/D454*(0.85+0.3*(2-1)/MAX(1,D454-1))),0)+F454)))</x:f>
        <x:v>36</x:v>
      </x:c>
      <x:c r="AC454" s="119" t="n">
        <x:f>IF(2&gt;D454,0,ROUND(('难度参数'!$E$13*POWER(A454,'难度参数'!$E$20)*MIN('难度参数'!$E$23,1+MAX(0,A454-'难度参数'!$E$21)*'难度参数'!$E$22))*(36+2*7)/(36+7*(D454+1)/2)*E454,0))</x:f>
        <x:v>8552</x:v>
      </x:c>
      <x:c r="AD454" s="119" t="n">
        <x:f>IF(AB454=0,0,(AB454-IF(2=D454,1,0))*ROUND(AC454*VLOOKUP(INDEX('章节与怪物'!$E$31:$K$37,B454,2),'章节与怪物'!$A$41:$F$44,2,FALSE),0)+IF(2=D454,ROUND(AC454*'难度参数'!$E$28*'章节与怪物'!$E$17,0),0))</x:f>
        <x:v>307872</x:v>
      </x:c>
      <x:c r="AE454" s="119" t="n">
        <x:f>IF(AB454=0,0,(AB454-IF(2=D454,1,0))*VLOOKUP(INDEX('章节与怪物'!$E$31:$K$37,B454,2),'章节与怪物'!$A$41:$F$44,4,FALSE)+IF(2=D454,'难度参数'!$E$30,0))</x:f>
        <x:v>648</x:v>
      </x:c>
      <x:c r="AF454" s="119" t="n">
        <x:f>IF(3&gt;D454,0,MAX(2,MIN('难度参数'!$E$12,ROUND(('难度参数'!$E$18*POWER(A454,'难度参数'!$E$19)/D454*(0.85+0.3*(3-1)/MAX(1,D454-1))),0)+F454)))</x:f>
        <x:v>38</x:v>
      </x:c>
      <x:c r="AG454" s="119" t="n">
        <x:f>IF(3&gt;D454,0,ROUND(('难度参数'!$E$13*POWER(A454,'难度参数'!$E$20)*MIN('难度参数'!$E$23,1+MAX(0,A454-'难度参数'!$E$21)*'难度参数'!$E$22))*(36+3*7)/(36+7*(D454+1)/2)*E454,0))</x:f>
        <x:v>9749</x:v>
      </x:c>
      <x:c r="AH454" s="119" t="n">
        <x:f>IF(AF454=0,0,(AF454-IF(3=D454,1,0))*ROUND(AG454*VLOOKUP(INDEX('章节与怪物'!$E$31:$K$37,B454,3),'章节与怪物'!$A$41:$F$44,2,FALSE),0)+IF(3=D454,ROUND(AG454*'难度参数'!$E$28*'章节与怪物'!$E$17,0),0))</x:f>
        <x:v>629774</x:v>
      </x:c>
      <x:c r="AI454" s="119" t="n">
        <x:f>IF(AF454=0,0,(AF454-IF(3=D454,1,0))*VLOOKUP(INDEX('章节与怪物'!$E$31:$K$37,B454,3),'章节与怪物'!$A$41:$F$44,4,FALSE)+IF(3=D454,'难度参数'!$E$30,0))</x:f>
        <x:v>1064</x:v>
      </x:c>
      <x:c r="AJ454" s="119" t="n">
        <x:f>IF(4&gt;D454,0,MAX(2,MIN('难度参数'!$E$12,ROUND(('难度参数'!$E$18*POWER(A454,'难度参数'!$E$19)/D454*(0.85+0.3*(4-1)/MAX(1,D454-1))),0)+F454)))</x:f>
        <x:v>40</x:v>
      </x:c>
      <x:c r="AK454" s="119" t="n">
        <x:f>IF(4&gt;D454,0,ROUND(('难度参数'!$E$13*POWER(A454,'难度参数'!$E$20)*MIN('难度参数'!$E$23,1+MAX(0,A454-'难度参数'!$E$21)*'难度参数'!$E$22))*(36+4*7)/(36+7*(D454+1)/2)*E454,0))</x:f>
        <x:v>10946</x:v>
      </x:c>
      <x:c r="AL454" s="119" t="n">
        <x:f>IF(AJ454=0,0,(AJ454-IF(4=D454,1,0))*ROUND(AK454*VLOOKUP(INDEX('章节与怪物'!$E$31:$K$37,B454,4),'章节与怪物'!$A$41:$F$44,2,FALSE),0)+IF(4=D454,ROUND(AK454*'难度参数'!$E$28*'章节与怪物'!$E$17,0),0))</x:f>
        <x:v>591080</x:v>
      </x:c>
      <x:c r="AM454" s="119" t="n">
        <x:f>IF(AJ454=0,0,(AJ454-IF(4=D454,1,0))*VLOOKUP(INDEX('章节与怪物'!$E$31:$K$37,B454,4),'章节与怪物'!$A$41:$F$44,4,FALSE)+IF(4=D454,'难度参数'!$E$30,0))</x:f>
        <x:v>1360</x:v>
      </x:c>
      <x:c r="AN454" s="119" t="n">
        <x:f>IF(5&gt;D454,0,MAX(2,MIN('难度参数'!$E$12,ROUND(('难度参数'!$E$18*POWER(A454,'难度参数'!$E$19)/D454*(0.85+0.3*(5-1)/MAX(1,D454-1))),0)+F454)))</x:f>
        <x:v>42</x:v>
      </x:c>
      <x:c r="AO454" s="119" t="n">
        <x:f>IF(5&gt;D454,0,ROUND(('难度参数'!$E$13*POWER(A454,'难度参数'!$E$20)*MIN('难度参数'!$E$23,1+MAX(0,A454-'难度参数'!$E$21)*'难度参数'!$E$22))*(36+5*7)/(36+7*(D454+1)/2)*E454,0))</x:f>
        <x:v>12143</x:v>
      </x:c>
      <x:c r="AP454" s="119" t="n">
        <x:f>IF(AN454=0,0,(AN454-IF(5=D454,1,0))*ROUND(AO454*VLOOKUP(INDEX('章节与怪物'!$E$31:$K$37,B454,5),'章节与怪物'!$A$41:$F$44,2,FALSE),0)+IF(5=D454,ROUND(AO454*'难度参数'!$E$28*'章节与怪物'!$E$17,0),0))</x:f>
        <x:v>510006</x:v>
      </x:c>
      <x:c r="AQ454" s="119" t="n">
        <x:f>IF(AN454=0,0,(AN454-IF(5=D454,1,0))*VLOOKUP(INDEX('章节与怪物'!$E$31:$K$37,B454,5),'章节与怪物'!$A$41:$F$44,4,FALSE)+IF(5=D454,'难度参数'!$E$30,0))</x:f>
        <x:v>756</x:v>
      </x:c>
      <x:c r="AR454" s="119" t="n">
        <x:f>IF(6&gt;D454,0,MAX(2,MIN('难度参数'!$E$12,ROUND(('难度参数'!$E$18*POWER(A454,'难度参数'!$E$19)/D454*(0.85+0.3*(6-1)/MAX(1,D454-1))),0)+F454)))</x:f>
        <x:v>44</x:v>
      </x:c>
      <x:c r="AS454" s="119" t="n">
        <x:f>IF(6&gt;D454,0,ROUND(('难度参数'!$E$13*POWER(A454,'难度参数'!$E$20)*MIN('难度参数'!$E$23,1+MAX(0,A454-'难度参数'!$E$21)*'难度参数'!$E$22))*(36+6*7)/(36+7*(D454+1)/2)*E454,0))</x:f>
        <x:v>13340</x:v>
      </x:c>
      <x:c r="AT454" s="119" t="n">
        <x:f>IF(AR454=0,0,(AR454-IF(6=D454,1,0))*ROUND(AS454*VLOOKUP(INDEX('章节与怪物'!$E$31:$K$37,B454,6),'章节与怪物'!$A$41:$F$44,2,FALSE),0)+IF(6=D454,ROUND(AS454*'难度参数'!$E$28*'章节与怪物'!$E$17,0),0))</x:f>
        <x:v>997832</x:v>
      </x:c>
      <x:c r="AU454" s="119" t="n">
        <x:f>IF(AR454=0,0,(AR454-IF(6=D454,1,0))*VLOOKUP(INDEX('章节与怪物'!$E$31:$K$37,B454,6),'章节与怪物'!$A$41:$F$44,4,FALSE)+IF(6=D454,'难度参数'!$E$30,0))</x:f>
        <x:v>1232</x:v>
      </x:c>
      <x:c r="AV454" s="119" t="n">
        <x:f>IF(7&gt;D454,0,MAX(2,MIN('难度参数'!$E$12,ROUND(('难度参数'!$E$18*POWER(A454,'难度参数'!$E$19)/D454*(0.85+0.3*(7-1)/MAX(1,D454-1))),0)+F454)))</x:f>
        <x:v>46</x:v>
      </x:c>
      <x:c r="AW454" s="119" t="n">
        <x:f>IF(7&gt;D454,0,ROUND(('难度参数'!$E$13*POWER(A454,'难度参数'!$E$20)*MIN('难度参数'!$E$23,1+MAX(0,A454-'难度参数'!$E$21)*'难度参数'!$E$22))*(36+7*7)/(36+7*(D454+1)/2)*E454,0))</x:f>
        <x:v>14538</x:v>
      </x:c>
      <x:c r="AX454" s="119" t="n">
        <x:f>IF(AV454=0,0,(AV454-IF(7=D454,1,0))*ROUND(AW454*VLOOKUP(INDEX('章节与怪物'!$E$31:$K$37,B454,7),'章节与怪物'!$A$41:$F$44,2,FALSE),0)+IF(7=D454,ROUND(AW454*'难度参数'!$E$28*'章节与怪物'!$E$17,0),0))</x:f>
        <x:v>982028</x:v>
      </x:c>
      <x:c r="AY454" s="119" t="n">
        <x:f>IF(AV454=0,0,(AV454-IF(7=D454,1,0))*VLOOKUP(INDEX('章节与怪物'!$E$31:$K$37,B454,7),'章节与怪物'!$A$41:$F$44,4,FALSE)+IF(7=D454,'难度参数'!$E$30,0))</x:f>
        <x:v>1730</x:v>
      </x:c>
    </x:row>
    <x:row r="455" ht="23" customHeight="1">
      <x:c r="A455" s="119" t="n">
        <x:v>449</x:v>
      </x:c>
      <x:c r="B455" s="119" t="n">
        <x:f>MOD(INT((A455-1)/5),7)+1</x:f>
        <x:v>6</x:v>
      </x:c>
      <x:c r="C455" s="62" t="str">
        <x:f>INDEX('章节与怪物'!$B$31:$B$37,B455)</x:f>
        <x:v>熔岩山脉</x:v>
      </x:c>
      <x:c r="D455" s="119" t="n">
        <x:f>MIN('难度参数'!$E$8,MAX('难度参数'!$E$7,A455))</x:f>
        <x:v>7</x:v>
      </x:c>
      <x:c r="E455" s="106" t="n">
        <x:v>1</x:v>
      </x:c>
      <x:c r="F455" s="106" t="n">
        <x:v>0</x:v>
      </x:c>
      <x:c r="G455" s="106" t="n">
        <x:v>1</x:v>
      </x:c>
      <x:c r="H455" s="119" t="n">
        <x:f>SUM(X455,AB455,AF455,AJ455,AN455,AR455,AV455)</x:f>
        <x:v>280</x:v>
      </x:c>
      <x:c r="I455" s="119" t="n">
        <x:f>SUM(Z455,AD455,AH455,AL455,AP455,AT455,AX455)</x:f>
        <x:v>4205364</x:v>
      </x:c>
      <x:c r="J455" s="119" t="n">
        <x:f>ROUND(INDEX(X455:AY455,1,(D455-1)*4+2)*'难度参数'!$E$28*'章节与怪物'!$E$17,0)</x:f>
        <x:v>99015</x:v>
      </x:c>
      <x:c r="K455" s="119" t="n">
        <x:f>SUM(AA455,AE455,AI455,AM455,AQ455,AU455,AY455)</x:f>
        <x:v>7470</x:v>
      </x:c>
      <x:c r="L455" s="62" t="n">
        <x:f>H455*(ROUNDUP('难度参数'!$E$24/('难度参数'!$E$26*'难度参数'!$E$27),0)*'难度参数'!$E$26)/60</x:f>
        <x:v>3.7333333333333334</x:v>
      </x:c>
      <x:c r="M455" s="62" t="n">
        <x:f>L455+D455*('难度参数'!$E$49+'难度参数'!$E$50)/60</x:f>
        <x:v>4.9</x:v>
      </x:c>
      <x:c r="N455" s="119" t="n">
        <x:f>ROUNDDOWN(('经济参数'!$E$20+A455*'经济参数'!$E$21)*G455,0)</x:f>
        <x:v>9160</x:v>
      </x:c>
      <x:c r="O455" s="119" t="n">
        <x:f>ROUNDDOWN(MIN('经济参数'!$E$24,'经济参数'!$E$22+A455*'经济参数'!$E$23)*G455,0)</x:f>
        <x:v>0</x:v>
      </x:c>
      <x:c r="P455" s="119" t="n">
        <x:f>ROUNDDOWN((IF(A455&gt;='材料与任务'!$E$31,'材料与任务'!$E$32,IF(A455&gt;='材料与任务'!$E$25,'材料与任务'!$E$26,IF(A455&gt;='材料与任务'!$E$19,'材料与任务'!$E$20,IF(A455&gt;='材料与任务'!$E$13,'材料与任务'!$E$14,'材料与任务'!$E$8)))))*G455,0)</x:f>
        <x:v>6</x:v>
      </x:c>
      <x:c r="Q455" s="119" t="n">
        <x:f>ROUNDDOWN((IF(A455&gt;='材料与任务'!$E$31,'材料与任务'!$E$33,IF(A455&gt;='材料与任务'!$E$25,'材料与任务'!$E$27,IF(A455&gt;='材料与任务'!$E$19,'材料与任务'!$E$21,IF(A455&gt;='材料与任务'!$E$13,'材料与任务'!$E$15,'材料与任务'!$E$9)))))*G455,0)</x:f>
        <x:v>3</x:v>
      </x:c>
      <x:c r="R455" s="110" t="n">
        <x:f>'装备掉落'!$B$38</x:f>
        <x:v>0.6872058758851213</x:v>
      </x:c>
      <x:c r="S455" s="119" t="n">
        <x:f>MAX(IF(VLOOKUP(A455,'装备掉落'!$A$29:$H$34,2,TRUE)&gt;0,1,0),IF(VLOOKUP(A455,'装备掉落'!$A$29:$H$34,3,TRUE)&gt;0,2,0),IF(VLOOKUP(A455,'装备掉落'!$A$29:$H$34,4,TRUE)&gt;0,3,0),IF(VLOOKUP(A455,'装备掉落'!$A$29:$H$34,5,TRUE)&gt;0,4,0),IF(VLOOKUP(A455,'装备掉落'!$A$29:$H$34,6,TRUE)&gt;0,5,0),IF(VLOOKUP(A455,'装备掉落'!$A$29:$H$34,7,TRUE)&gt;0,6,0),IF(VLOOKUP(A455,'装备掉落'!$A$29:$H$34,8,TRUE)&gt;0,7,0))</x:f>
        <x:v>7</x:v>
      </x:c>
      <x:c r="T455" s="119" t="n">
        <x:f>MIN(7,S455+'经济参数'!$E$70)</x:f>
        <x:v>7</x:v>
      </x:c>
      <x:c r="U455" s="119" t="n">
        <x:f>MIN(7,S455+'经济参数'!$E$71)</x:f>
        <x:v>7</x:v>
      </x:c>
      <x:c r="V455" s="119" t="n">
        <x:f>IF(H455&gt;=('难度参数'!$E$52),1,0)+IF(H455&gt;=('难度参数'!$E$52+'难度参数'!$E$53),1,0)+IF(H455&gt;=('难度参数'!$E$52+'难度参数'!$E$53+'难度参数'!$E$54),1,0)+IF(H455&gt;=('难度参数'!$E$52+'难度参数'!$E$53+'难度参数'!$E$54+'难度参数'!$E$55),1,0)+IF(H455&gt;=('难度参数'!$E$52+'难度参数'!$E$53+'难度参数'!$E$54+'难度参数'!$E$55+'难度参数'!$E$56),1,0)+IF(H455&gt;=('难度参数'!$E$52+'难度参数'!$E$53+'难度参数'!$E$54+'难度参数'!$E$55+'难度参数'!$E$56+'难度参数'!$E$57),1,0)</x:f>
        <x:v>6</x:v>
      </x:c>
      <x:c r="W455" s="62" t="str">
        <x:f>IF(L455&gt;'难度参数'!$E$51,"仅出怪已超目标","还需实测")</x:f>
        <x:v>仅出怪已超目标</x:v>
      </x:c>
      <x:c r="X455" s="119" t="n">
        <x:f>IF(1&gt;D455,0,MAX(2,MIN('难度参数'!$E$12,ROUND(('难度参数'!$E$18*POWER(A455,'难度参数'!$E$19)/D455*(0.85+0.3*(1-1)/MAX(1,D455-1))),0)+F455)))</x:f>
        <x:v>34</x:v>
      </x:c>
      <x:c r="Y455" s="119" t="n">
        <x:f>IF(1&gt;D455,0,ROUND(('难度参数'!$E$13*POWER(A455,'难度参数'!$E$20)*MIN('难度参数'!$E$23,1+MAX(0,A455-'难度参数'!$E$21)*'难度参数'!$E$22))*(36+1*7)/(36+7*(D455+1)/2)*E455,0))</x:f>
        <x:v>7366</x:v>
      </x:c>
      <x:c r="Z455" s="119" t="n">
        <x:f>IF(X455=0,0,(X455-IF(1=D455,1,0))*ROUND(Y455*VLOOKUP(INDEX('章节与怪物'!$E$31:$K$37,B455,1),'章节与怪物'!$A$41:$F$44,2,FALSE),0)+IF(1=D455,ROUND(Y455*'难度参数'!$E$28*'章节与怪物'!$E$17,0),0))</x:f>
        <x:v>180336</x:v>
      </x:c>
      <x:c r="AA455" s="119" t="n">
        <x:f>IF(X455=0,0,(X455-IF(1=D455,1,0))*VLOOKUP(INDEX('章节与怪物'!$E$31:$K$37,B455,1),'章节与怪物'!$A$41:$F$44,4,FALSE)+IF(1=D455,'难度参数'!$E$30,0))</x:f>
        <x:v>680</x:v>
      </x:c>
      <x:c r="AB455" s="119" t="n">
        <x:f>IF(2&gt;D455,0,MAX(2,MIN('难度参数'!$E$12,ROUND(('难度参数'!$E$18*POWER(A455,'难度参数'!$E$19)/D455*(0.85+0.3*(2-1)/MAX(1,D455-1))),0)+F455)))</x:f>
        <x:v>36</x:v>
      </x:c>
      <x:c r="AC455" s="119" t="n">
        <x:f>IF(2&gt;D455,0,ROUND(('难度参数'!$E$13*POWER(A455,'难度参数'!$E$20)*MIN('难度参数'!$E$23,1+MAX(0,A455-'难度参数'!$E$21)*'难度参数'!$E$22))*(36+2*7)/(36+7*(D455+1)/2)*E455,0))</x:f>
        <x:v>8565</x:v>
      </x:c>
      <x:c r="AD455" s="119" t="n">
        <x:f>IF(AB455=0,0,(AB455-IF(2=D455,1,0))*ROUND(AC455*VLOOKUP(INDEX('章节与怪物'!$E$31:$K$37,B455,2),'章节与怪物'!$A$41:$F$44,2,FALSE),0)+IF(2=D455,ROUND(AC455*'难度参数'!$E$28*'章节与怪物'!$E$17,0),0))</x:f>
        <x:v>308340</x:v>
      </x:c>
      <x:c r="AE455" s="119" t="n">
        <x:f>IF(AB455=0,0,(AB455-IF(2=D455,1,0))*VLOOKUP(INDEX('章节与怪物'!$E$31:$K$37,B455,2),'章节与怪物'!$A$41:$F$44,4,FALSE)+IF(2=D455,'难度参数'!$E$30,0))</x:f>
        <x:v>648</x:v>
      </x:c>
      <x:c r="AF455" s="119" t="n">
        <x:f>IF(3&gt;D455,0,MAX(2,MIN('难度参数'!$E$12,ROUND(('难度参数'!$E$18*POWER(A455,'难度参数'!$E$19)/D455*(0.85+0.3*(3-1)/MAX(1,D455-1))),0)+F455)))</x:f>
        <x:v>38</x:v>
      </x:c>
      <x:c r="AG455" s="119" t="n">
        <x:f>IF(3&gt;D455,0,ROUND(('难度参数'!$E$13*POWER(A455,'难度参数'!$E$20)*MIN('难度参数'!$E$23,1+MAX(0,A455-'难度参数'!$E$21)*'难度参数'!$E$22))*(36+3*7)/(36+7*(D455+1)/2)*E455,0))</x:f>
        <x:v>9764</x:v>
      </x:c>
      <x:c r="AH455" s="119" t="n">
        <x:f>IF(AF455=0,0,(AF455-IF(3=D455,1,0))*ROUND(AG455*VLOOKUP(INDEX('章节与怪物'!$E$31:$K$37,B455,3),'章节与怪物'!$A$41:$F$44,2,FALSE),0)+IF(3=D455,ROUND(AG455*'难度参数'!$E$28*'章节与怪物'!$E$17,0),0))</x:f>
        <x:v>630762</x:v>
      </x:c>
      <x:c r="AI455" s="119" t="n">
        <x:f>IF(AF455=0,0,(AF455-IF(3=D455,1,0))*VLOOKUP(INDEX('章节与怪物'!$E$31:$K$37,B455,3),'章节与怪物'!$A$41:$F$44,4,FALSE)+IF(3=D455,'难度参数'!$E$30,0))</x:f>
        <x:v>1064</x:v>
      </x:c>
      <x:c r="AJ455" s="119" t="n">
        <x:f>IF(4&gt;D455,0,MAX(2,MIN('难度参数'!$E$12,ROUND(('难度参数'!$E$18*POWER(A455,'难度参数'!$E$19)/D455*(0.85+0.3*(4-1)/MAX(1,D455-1))),0)+F455)))</x:f>
        <x:v>40</x:v>
      </x:c>
      <x:c r="AK455" s="119" t="n">
        <x:f>IF(4&gt;D455,0,ROUND(('难度参数'!$E$13*POWER(A455,'难度参数'!$E$20)*MIN('难度参数'!$E$23,1+MAX(0,A455-'难度参数'!$E$21)*'难度参数'!$E$22))*(36+4*7)/(36+7*(D455+1)/2)*E455,0))</x:f>
        <x:v>10964</x:v>
      </x:c>
      <x:c r="AL455" s="119" t="n">
        <x:f>IF(AJ455=0,0,(AJ455-IF(4=D455,1,0))*ROUND(AK455*VLOOKUP(INDEX('章节与怪物'!$E$31:$K$37,B455,4),'章节与怪物'!$A$41:$F$44,2,FALSE),0)+IF(4=D455,ROUND(AK455*'难度参数'!$E$28*'章节与怪物'!$E$17,0),0))</x:f>
        <x:v>592040</x:v>
      </x:c>
      <x:c r="AM455" s="119" t="n">
        <x:f>IF(AJ455=0,0,(AJ455-IF(4=D455,1,0))*VLOOKUP(INDEX('章节与怪物'!$E$31:$K$37,B455,4),'章节与怪物'!$A$41:$F$44,4,FALSE)+IF(4=D455,'难度参数'!$E$30,0))</x:f>
        <x:v>1360</x:v>
      </x:c>
      <x:c r="AN455" s="119" t="n">
        <x:f>IF(5&gt;D455,0,MAX(2,MIN('难度参数'!$E$12,ROUND(('难度参数'!$E$18*POWER(A455,'难度参数'!$E$19)/D455*(0.85+0.3*(5-1)/MAX(1,D455-1))),0)+F455)))</x:f>
        <x:v>42</x:v>
      </x:c>
      <x:c r="AO455" s="119" t="n">
        <x:f>IF(5&gt;D455,0,ROUND(('难度参数'!$E$13*POWER(A455,'难度参数'!$E$20)*MIN('难度参数'!$E$23,1+MAX(0,A455-'难度参数'!$E$21)*'难度参数'!$E$22))*(36+5*7)/(36+7*(D455+1)/2)*E455,0))</x:f>
        <x:v>12163</x:v>
      </x:c>
      <x:c r="AP455" s="119" t="n">
        <x:f>IF(AN455=0,0,(AN455-IF(5=D455,1,0))*ROUND(AO455*VLOOKUP(INDEX('章节与怪物'!$E$31:$K$37,B455,5),'章节与怪物'!$A$41:$F$44,2,FALSE),0)+IF(5=D455,ROUND(AO455*'难度参数'!$E$28*'章节与怪物'!$E$17,0),0))</x:f>
        <x:v>510846</x:v>
      </x:c>
      <x:c r="AQ455" s="119" t="n">
        <x:f>IF(AN455=0,0,(AN455-IF(5=D455,1,0))*VLOOKUP(INDEX('章节与怪物'!$E$31:$K$37,B455,5),'章节与怪物'!$A$41:$F$44,4,FALSE)+IF(5=D455,'难度参数'!$E$30,0))</x:f>
        <x:v>756</x:v>
      </x:c>
      <x:c r="AR455" s="119" t="n">
        <x:f>IF(6&gt;D455,0,MAX(2,MIN('难度参数'!$E$12,ROUND(('难度参数'!$E$18*POWER(A455,'难度参数'!$E$19)/D455*(0.85+0.3*(6-1)/MAX(1,D455-1))),0)+F455)))</x:f>
        <x:v>44</x:v>
      </x:c>
      <x:c r="AS455" s="119" t="n">
        <x:f>IF(6&gt;D455,0,ROUND(('难度参数'!$E$13*POWER(A455,'难度参数'!$E$20)*MIN('难度参数'!$E$23,1+MAX(0,A455-'难度参数'!$E$21)*'难度参数'!$E$22))*(36+6*7)/(36+7*(D455+1)/2)*E455,0))</x:f>
        <x:v>13362</x:v>
      </x:c>
      <x:c r="AT455" s="119" t="n">
        <x:f>IF(AR455=0,0,(AR455-IF(6=D455,1,0))*ROUND(AS455*VLOOKUP(INDEX('章节与怪物'!$E$31:$K$37,B455,6),'章节与怪物'!$A$41:$F$44,2,FALSE),0)+IF(6=D455,ROUND(AS455*'难度参数'!$E$28*'章节与怪物'!$E$17,0),0))</x:f>
        <x:v>999460</x:v>
      </x:c>
      <x:c r="AU455" s="119" t="n">
        <x:f>IF(AR455=0,0,(AR455-IF(6=D455,1,0))*VLOOKUP(INDEX('章节与怪物'!$E$31:$K$37,B455,6),'章节与怪物'!$A$41:$F$44,4,FALSE)+IF(6=D455,'难度参数'!$E$30,0))</x:f>
        <x:v>1232</x:v>
      </x:c>
      <x:c r="AV455" s="119" t="n">
        <x:f>IF(7&gt;D455,0,MAX(2,MIN('难度参数'!$E$12,ROUND(('难度参数'!$E$18*POWER(A455,'难度参数'!$E$19)/D455*(0.85+0.3*(7-1)/MAX(1,D455-1))),0)+F455)))</x:f>
        <x:v>46</x:v>
      </x:c>
      <x:c r="AW455" s="119" t="n">
        <x:f>IF(7&gt;D455,0,ROUND(('难度参数'!$E$13*POWER(A455,'难度参数'!$E$20)*MIN('难度参数'!$E$23,1+MAX(0,A455-'难度参数'!$E$21)*'难度参数'!$E$22))*(36+7*7)/(36+7*(D455+1)/2)*E455,0))</x:f>
        <x:v>14561</x:v>
      </x:c>
      <x:c r="AX455" s="119" t="n">
        <x:f>IF(AV455=0,0,(AV455-IF(7=D455,1,0))*ROUND(AW455*VLOOKUP(INDEX('章节与怪物'!$E$31:$K$37,B455,7),'章节与怪物'!$A$41:$F$44,2,FALSE),0)+IF(7=D455,ROUND(AW455*'难度参数'!$E$28*'章节与怪物'!$E$17,0),0))</x:f>
        <x:v>983580</x:v>
      </x:c>
      <x:c r="AY455" s="119" t="n">
        <x:f>IF(AV455=0,0,(AV455-IF(7=D455,1,0))*VLOOKUP(INDEX('章节与怪物'!$E$31:$K$37,B455,7),'章节与怪物'!$A$41:$F$44,4,FALSE)+IF(7=D455,'难度参数'!$E$30,0))</x:f>
        <x:v>1730</x:v>
      </x:c>
    </x:row>
    <x:row r="456" ht="23" customHeight="1">
      <x:c r="A456" s="119" t="n">
        <x:v>450</x:v>
      </x:c>
      <x:c r="B456" s="119" t="n">
        <x:f>MOD(INT((A456-1)/5),7)+1</x:f>
        <x:v>6</x:v>
      </x:c>
      <x:c r="C456" s="62" t="str">
        <x:f>INDEX('章节与怪物'!$B$31:$B$37,B456)</x:f>
        <x:v>熔岩山脉</x:v>
      </x:c>
      <x:c r="D456" s="119" t="n">
        <x:f>MIN('难度参数'!$E$8,MAX('难度参数'!$E$7,A456))</x:f>
        <x:v>7</x:v>
      </x:c>
      <x:c r="E456" s="106" t="n">
        <x:v>1</x:v>
      </x:c>
      <x:c r="F456" s="106" t="n">
        <x:v>0</x:v>
      </x:c>
      <x:c r="G456" s="106" t="n">
        <x:v>1</x:v>
      </x:c>
      <x:c r="H456" s="119" t="n">
        <x:f>SUM(X456,AB456,AF456,AJ456,AN456,AR456,AV456)</x:f>
        <x:v>280</x:v>
      </x:c>
      <x:c r="I456" s="119" t="n">
        <x:f>SUM(Z456,AD456,AH456,AL456,AP456,AT456,AX456)</x:f>
        <x:v>4212019</x:v>
      </x:c>
      <x:c r="J456" s="119" t="n">
        <x:f>ROUND(INDEX(X456:AY456,1,(D456-1)*4+2)*'难度参数'!$E$28*'章节与怪物'!$E$17,0)</x:f>
        <x:v>99171</x:v>
      </x:c>
      <x:c r="K456" s="119" t="n">
        <x:f>SUM(AA456,AE456,AI456,AM456,AQ456,AU456,AY456)</x:f>
        <x:v>7470</x:v>
      </x:c>
      <x:c r="L456" s="62" t="n">
        <x:f>H456*(ROUNDUP('难度参数'!$E$24/('难度参数'!$E$26*'难度参数'!$E$27),0)*'难度参数'!$E$26)/60</x:f>
        <x:v>3.7333333333333334</x:v>
      </x:c>
      <x:c r="M456" s="62" t="n">
        <x:f>L456+D456*('难度参数'!$E$49+'难度参数'!$E$50)/60</x:f>
        <x:v>4.9</x:v>
      </x:c>
      <x:c r="N456" s="119" t="n">
        <x:f>ROUNDDOWN(('经济参数'!$E$20+A456*'经济参数'!$E$21)*G456,0)</x:f>
        <x:v>9180</x:v>
      </x:c>
      <x:c r="O456" s="119" t="n">
        <x:f>ROUNDDOWN(MIN('经济参数'!$E$24,'经济参数'!$E$22+A456*'经济参数'!$E$23)*G456,0)</x:f>
        <x:v>0</x:v>
      </x:c>
      <x:c r="P456" s="119" t="n">
        <x:f>ROUNDDOWN((IF(A456&gt;='材料与任务'!$E$31,'材料与任务'!$E$32,IF(A456&gt;='材料与任务'!$E$25,'材料与任务'!$E$26,IF(A456&gt;='材料与任务'!$E$19,'材料与任务'!$E$20,IF(A456&gt;='材料与任务'!$E$13,'材料与任务'!$E$14,'材料与任务'!$E$8)))))*G456,0)</x:f>
        <x:v>6</x:v>
      </x:c>
      <x:c r="Q456" s="119" t="n">
        <x:f>ROUNDDOWN((IF(A456&gt;='材料与任务'!$E$31,'材料与任务'!$E$33,IF(A456&gt;='材料与任务'!$E$25,'材料与任务'!$E$27,IF(A456&gt;='材料与任务'!$E$19,'材料与任务'!$E$21,IF(A456&gt;='材料与任务'!$E$13,'材料与任务'!$E$15,'材料与任务'!$E$9)))))*G456,0)</x:f>
        <x:v>3</x:v>
      </x:c>
      <x:c r="R456" s="110" t="n">
        <x:f>'装备掉落'!$B$38</x:f>
        <x:v>0.6872058758851213</x:v>
      </x:c>
      <x:c r="S456" s="119" t="n">
        <x:f>MAX(IF(VLOOKUP(A456,'装备掉落'!$A$29:$H$34,2,TRUE)&gt;0,1,0),IF(VLOOKUP(A456,'装备掉落'!$A$29:$H$34,3,TRUE)&gt;0,2,0),IF(VLOOKUP(A456,'装备掉落'!$A$29:$H$34,4,TRUE)&gt;0,3,0),IF(VLOOKUP(A456,'装备掉落'!$A$29:$H$34,5,TRUE)&gt;0,4,0),IF(VLOOKUP(A456,'装备掉落'!$A$29:$H$34,6,TRUE)&gt;0,5,0),IF(VLOOKUP(A456,'装备掉落'!$A$29:$H$34,7,TRUE)&gt;0,6,0),IF(VLOOKUP(A456,'装备掉落'!$A$29:$H$34,8,TRUE)&gt;0,7,0))</x:f>
        <x:v>7</x:v>
      </x:c>
      <x:c r="T456" s="119" t="n">
        <x:f>MIN(7,S456+'经济参数'!$E$70)</x:f>
        <x:v>7</x:v>
      </x:c>
      <x:c r="U456" s="119" t="n">
        <x:f>MIN(7,S456+'经济参数'!$E$71)</x:f>
        <x:v>7</x:v>
      </x:c>
      <x:c r="V456" s="119" t="n">
        <x:f>IF(H456&gt;=('难度参数'!$E$52),1,0)+IF(H456&gt;=('难度参数'!$E$52+'难度参数'!$E$53),1,0)+IF(H456&gt;=('难度参数'!$E$52+'难度参数'!$E$53+'难度参数'!$E$54),1,0)+IF(H456&gt;=('难度参数'!$E$52+'难度参数'!$E$53+'难度参数'!$E$54+'难度参数'!$E$55),1,0)+IF(H456&gt;=('难度参数'!$E$52+'难度参数'!$E$53+'难度参数'!$E$54+'难度参数'!$E$55+'难度参数'!$E$56),1,0)+IF(H456&gt;=('难度参数'!$E$52+'难度参数'!$E$53+'难度参数'!$E$54+'难度参数'!$E$55+'难度参数'!$E$56+'难度参数'!$E$57),1,0)</x:f>
        <x:v>6</x:v>
      </x:c>
      <x:c r="W456" s="62" t="str">
        <x:f>IF(L456&gt;'难度参数'!$E$51,"仅出怪已超目标","还需实测")</x:f>
        <x:v>仅出怪已超目标</x:v>
      </x:c>
      <x:c r="X456" s="119" t="n">
        <x:f>IF(1&gt;D456,0,MAX(2,MIN('难度参数'!$E$12,ROUND(('难度参数'!$E$18*POWER(A456,'难度参数'!$E$19)/D456*(0.85+0.3*(1-1)/MAX(1,D456-1))),0)+F456)))</x:f>
        <x:v>34</x:v>
      </x:c>
      <x:c r="Y456" s="119" t="n">
        <x:f>IF(1&gt;D456,0,ROUND(('难度参数'!$E$13*POWER(A456,'难度参数'!$E$20)*MIN('难度参数'!$E$23,1+MAX(0,A456-'难度参数'!$E$21)*'难度参数'!$E$22))*(36+1*7)/(36+7*(D456+1)/2)*E456,0))</x:f>
        <x:v>7378</x:v>
      </x:c>
      <x:c r="Z456" s="119" t="n">
        <x:f>IF(X456=0,0,(X456-IF(1=D456,1,0))*ROUND(Y456*VLOOKUP(INDEX('章节与怪物'!$E$31:$K$37,B456,1),'章节与怪物'!$A$41:$F$44,2,FALSE),0)+IF(1=D456,ROUND(Y456*'难度参数'!$E$28*'章节与怪物'!$E$17,0),0))</x:f>
        <x:v>180608</x:v>
      </x:c>
      <x:c r="AA456" s="119" t="n">
        <x:f>IF(X456=0,0,(X456-IF(1=D456,1,0))*VLOOKUP(INDEX('章节与怪物'!$E$31:$K$37,B456,1),'章节与怪物'!$A$41:$F$44,4,FALSE)+IF(1=D456,'难度参数'!$E$30,0))</x:f>
        <x:v>680</x:v>
      </x:c>
      <x:c r="AB456" s="119" t="n">
        <x:f>IF(2&gt;D456,0,MAX(2,MIN('难度参数'!$E$12,ROUND(('难度参数'!$E$18*POWER(A456,'难度参数'!$E$19)/D456*(0.85+0.3*(2-1)/MAX(1,D456-1))),0)+F456)))</x:f>
        <x:v>36</x:v>
      </x:c>
      <x:c r="AC456" s="119" t="n">
        <x:f>IF(2&gt;D456,0,ROUND(('难度参数'!$E$13*POWER(A456,'难度参数'!$E$20)*MIN('难度参数'!$E$23,1+MAX(0,A456-'难度参数'!$E$21)*'难度参数'!$E$22))*(36+2*7)/(36+7*(D456+1)/2)*E456,0))</x:f>
        <x:v>8579</x:v>
      </x:c>
      <x:c r="AD456" s="119" t="n">
        <x:f>IF(AB456=0,0,(AB456-IF(2=D456,1,0))*ROUND(AC456*VLOOKUP(INDEX('章节与怪物'!$E$31:$K$37,B456,2),'章节与怪物'!$A$41:$F$44,2,FALSE),0)+IF(2=D456,ROUND(AC456*'难度参数'!$E$28*'章节与怪物'!$E$17,0),0))</x:f>
        <x:v>308844</x:v>
      </x:c>
      <x:c r="AE456" s="119" t="n">
        <x:f>IF(AB456=0,0,(AB456-IF(2=D456,1,0))*VLOOKUP(INDEX('章节与怪物'!$E$31:$K$37,B456,2),'章节与怪物'!$A$41:$F$44,4,FALSE)+IF(2=D456,'难度参数'!$E$30,0))</x:f>
        <x:v>648</x:v>
      </x:c>
      <x:c r="AF456" s="119" t="n">
        <x:f>IF(3&gt;D456,0,MAX(2,MIN('难度参数'!$E$12,ROUND(('难度参数'!$E$18*POWER(A456,'难度参数'!$E$19)/D456*(0.85+0.3*(3-1)/MAX(1,D456-1))),0)+F456)))</x:f>
        <x:v>38</x:v>
      </x:c>
      <x:c r="AG456" s="119" t="n">
        <x:f>IF(3&gt;D456,0,ROUND(('难度参数'!$E$13*POWER(A456,'难度参数'!$E$20)*MIN('难度参数'!$E$23,1+MAX(0,A456-'难度参数'!$E$21)*'难度参数'!$E$22))*(36+3*7)/(36+7*(D456+1)/2)*E456,0))</x:f>
        <x:v>9780</x:v>
      </x:c>
      <x:c r="AH456" s="119" t="n">
        <x:f>IF(AF456=0,0,(AF456-IF(3=D456,1,0))*ROUND(AG456*VLOOKUP(INDEX('章节与怪物'!$E$31:$K$37,B456,3),'章节与怪物'!$A$41:$F$44,2,FALSE),0)+IF(3=D456,ROUND(AG456*'难度参数'!$E$28*'章节与怪物'!$E$17,0),0))</x:f>
        <x:v>631788</x:v>
      </x:c>
      <x:c r="AI456" s="119" t="n">
        <x:f>IF(AF456=0,0,(AF456-IF(3=D456,1,0))*VLOOKUP(INDEX('章节与怪物'!$E$31:$K$37,B456,3),'章节与怪物'!$A$41:$F$44,4,FALSE)+IF(3=D456,'难度参数'!$E$30,0))</x:f>
        <x:v>1064</x:v>
      </x:c>
      <x:c r="AJ456" s="119" t="n">
        <x:f>IF(4&gt;D456,0,MAX(2,MIN('难度参数'!$E$12,ROUND(('难度参数'!$E$18*POWER(A456,'难度参数'!$E$19)/D456*(0.85+0.3*(4-1)/MAX(1,D456-1))),0)+F456)))</x:f>
        <x:v>40</x:v>
      </x:c>
      <x:c r="AK456" s="119" t="n">
        <x:f>IF(4&gt;D456,0,ROUND(('难度参数'!$E$13*POWER(A456,'难度参数'!$E$20)*MIN('难度参数'!$E$23,1+MAX(0,A456-'难度参数'!$E$21)*'难度参数'!$E$22))*(36+4*7)/(36+7*(D456+1)/2)*E456,0))</x:f>
        <x:v>10981</x:v>
      </x:c>
      <x:c r="AL456" s="119" t="n">
        <x:f>IF(AJ456=0,0,(AJ456-IF(4=D456,1,0))*ROUND(AK456*VLOOKUP(INDEX('章节与怪物'!$E$31:$K$37,B456,4),'章节与怪物'!$A$41:$F$44,2,FALSE),0)+IF(4=D456,ROUND(AK456*'难度参数'!$E$28*'章节与怪物'!$E$17,0),0))</x:f>
        <x:v>592960</x:v>
      </x:c>
      <x:c r="AM456" s="119" t="n">
        <x:f>IF(AJ456=0,0,(AJ456-IF(4=D456,1,0))*VLOOKUP(INDEX('章节与怪物'!$E$31:$K$37,B456,4),'章节与怪物'!$A$41:$F$44,4,FALSE)+IF(4=D456,'难度参数'!$E$30,0))</x:f>
        <x:v>1360</x:v>
      </x:c>
      <x:c r="AN456" s="119" t="n">
        <x:f>IF(5&gt;D456,0,MAX(2,MIN('难度参数'!$E$12,ROUND(('难度参数'!$E$18*POWER(A456,'难度参数'!$E$19)/D456*(0.85+0.3*(5-1)/MAX(1,D456-1))),0)+F456)))</x:f>
        <x:v>42</x:v>
      </x:c>
      <x:c r="AO456" s="119" t="n">
        <x:f>IF(5&gt;D456,0,ROUND(('难度参数'!$E$13*POWER(A456,'难度参数'!$E$20)*MIN('难度参数'!$E$23,1+MAX(0,A456-'难度参数'!$E$21)*'难度参数'!$E$22))*(36+5*7)/(36+7*(D456+1)/2)*E456,0))</x:f>
        <x:v>12182</x:v>
      </x:c>
      <x:c r="AP456" s="119" t="n">
        <x:f>IF(AN456=0,0,(AN456-IF(5=D456,1,0))*ROUND(AO456*VLOOKUP(INDEX('章节与怪物'!$E$31:$K$37,B456,5),'章节与怪物'!$A$41:$F$44,2,FALSE),0)+IF(5=D456,ROUND(AO456*'难度参数'!$E$28*'章节与怪物'!$E$17,0),0))</x:f>
        <x:v>511644</x:v>
      </x:c>
      <x:c r="AQ456" s="119" t="n">
        <x:f>IF(AN456=0,0,(AN456-IF(5=D456,1,0))*VLOOKUP(INDEX('章节与怪物'!$E$31:$K$37,B456,5),'章节与怪物'!$A$41:$F$44,4,FALSE)+IF(5=D456,'难度参数'!$E$30,0))</x:f>
        <x:v>756</x:v>
      </x:c>
      <x:c r="AR456" s="119" t="n">
        <x:f>IF(6&gt;D456,0,MAX(2,MIN('难度参数'!$E$12,ROUND(('难度参数'!$E$18*POWER(A456,'难度参数'!$E$19)/D456*(0.85+0.3*(6-1)/MAX(1,D456-1))),0)+F456)))</x:f>
        <x:v>44</x:v>
      </x:c>
      <x:c r="AS456" s="119" t="n">
        <x:f>IF(6&gt;D456,0,ROUND(('难度参数'!$E$13*POWER(A456,'难度参数'!$E$20)*MIN('难度参数'!$E$23,1+MAX(0,A456-'难度参数'!$E$21)*'难度参数'!$E$22))*(36+6*7)/(36+7*(D456+1)/2)*E456,0))</x:f>
        <x:v>13383</x:v>
      </x:c>
      <x:c r="AT456" s="119" t="n">
        <x:f>IF(AR456=0,0,(AR456-IF(6=D456,1,0))*ROUND(AS456*VLOOKUP(INDEX('章节与怪物'!$E$31:$K$37,B456,6),'章节与怪物'!$A$41:$F$44,2,FALSE),0)+IF(6=D456,ROUND(AS456*'难度参数'!$E$28*'章节与怪物'!$E$17,0),0))</x:f>
        <x:v>1001044</x:v>
      </x:c>
      <x:c r="AU456" s="119" t="n">
        <x:f>IF(AR456=0,0,(AR456-IF(6=D456,1,0))*VLOOKUP(INDEX('章节与怪物'!$E$31:$K$37,B456,6),'章节与怪物'!$A$41:$F$44,4,FALSE)+IF(6=D456,'难度参数'!$E$30,0))</x:f>
        <x:v>1232</x:v>
      </x:c>
      <x:c r="AV456" s="119" t="n">
        <x:f>IF(7&gt;D456,0,MAX(2,MIN('难度参数'!$E$12,ROUND(('难度参数'!$E$18*POWER(A456,'难度参数'!$E$19)/D456*(0.85+0.3*(7-1)/MAX(1,D456-1))),0)+F456)))</x:f>
        <x:v>46</x:v>
      </x:c>
      <x:c r="AW456" s="119" t="n">
        <x:f>IF(7&gt;D456,0,ROUND(('难度参数'!$E$13*POWER(A456,'难度参数'!$E$20)*MIN('难度参数'!$E$23,1+MAX(0,A456-'难度参数'!$E$21)*'难度参数'!$E$22))*(36+7*7)/(36+7*(D456+1)/2)*E456,0))</x:f>
        <x:v>14584</x:v>
      </x:c>
      <x:c r="AX456" s="119" t="n">
        <x:f>IF(AV456=0,0,(AV456-IF(7=D456,1,0))*ROUND(AW456*VLOOKUP(INDEX('章节与怪物'!$E$31:$K$37,B456,7),'章节与怪物'!$A$41:$F$44,2,FALSE),0)+IF(7=D456,ROUND(AW456*'难度参数'!$E$28*'章节与怪物'!$E$17,0),0))</x:f>
        <x:v>985131</x:v>
      </x:c>
      <x:c r="AY456" s="119" t="n">
        <x:f>IF(AV456=0,0,(AV456-IF(7=D456,1,0))*VLOOKUP(INDEX('章节与怪物'!$E$31:$K$37,B456,7),'章节与怪物'!$A$41:$F$44,4,FALSE)+IF(7=D456,'难度参数'!$E$30,0))</x:f>
        <x:v>1730</x:v>
      </x:c>
    </x:row>
    <x:row r="457" ht="23" customHeight="1">
      <x:c r="A457" s="119" t="n">
        <x:v>451</x:v>
      </x:c>
      <x:c r="B457" s="119" t="n">
        <x:f>MOD(INT((A457-1)/5),7)+1</x:f>
        <x:v>7</x:v>
      </x:c>
      <x:c r="C457" s="62" t="str">
        <x:f>INDEX('章节与怪物'!$B$31:$B$37,B457)</x:f>
        <x:v>魔法山脊</x:v>
      </x:c>
      <x:c r="D457" s="119" t="n">
        <x:f>MIN('难度参数'!$E$8,MAX('难度参数'!$E$7,A457))</x:f>
        <x:v>7</x:v>
      </x:c>
      <x:c r="E457" s="106" t="n">
        <x:v>1</x:v>
      </x:c>
      <x:c r="F457" s="106" t="n">
        <x:v>0</x:v>
      </x:c>
      <x:c r="G457" s="106" t="n">
        <x:v>1</x:v>
      </x:c>
      <x:c r="H457" s="119" t="n">
        <x:f>SUM(X457,AB457,AF457,AJ457,AN457,AR457,AV457)</x:f>
        <x:v>280</x:v>
      </x:c>
      <x:c r="I457" s="119" t="n">
        <x:f>SUM(Z457,AD457,AH457,AL457,AP457,AT457,AX457)</x:f>
        <x:v>4059231</x:v>
      </x:c>
      <x:c r="J457" s="119" t="n">
        <x:f>ROUND(INDEX(X457:AY457,1,(D457-1)*4+2)*'难度参数'!$E$28*'章节与怪物'!$E$17,0)</x:f>
        <x:v>99334</x:v>
      </x:c>
      <x:c r="K457" s="119" t="n">
        <x:f>SUM(AA457,AE457,AI457,AM457,AQ457,AU457,AY457)</x:f>
        <x:v>7558</x:v>
      </x:c>
      <x:c r="L457" s="62" t="n">
        <x:f>H457*(ROUNDUP('难度参数'!$E$24/('难度参数'!$E$26*'难度参数'!$E$27),0)*'难度参数'!$E$26)/60</x:f>
        <x:v>3.7333333333333334</x:v>
      </x:c>
      <x:c r="M457" s="62" t="n">
        <x:f>L457+D457*('难度参数'!$E$49+'难度参数'!$E$50)/60</x:f>
        <x:v>4.9</x:v>
      </x:c>
      <x:c r="N457" s="119" t="n">
        <x:f>ROUNDDOWN(('经济参数'!$E$20+A457*'经济参数'!$E$21)*G457,0)</x:f>
        <x:v>9200</x:v>
      </x:c>
      <x:c r="O457" s="119" t="n">
        <x:f>ROUNDDOWN(MIN('经济参数'!$E$24,'经济参数'!$E$22+A457*'经济参数'!$E$23)*G457,0)</x:f>
        <x:v>0</x:v>
      </x:c>
      <x:c r="P457" s="119" t="n">
        <x:f>ROUNDDOWN((IF(A457&gt;='材料与任务'!$E$31,'材料与任务'!$E$32,IF(A457&gt;='材料与任务'!$E$25,'材料与任务'!$E$26,IF(A457&gt;='材料与任务'!$E$19,'材料与任务'!$E$20,IF(A457&gt;='材料与任务'!$E$13,'材料与任务'!$E$14,'材料与任务'!$E$8)))))*G457,0)</x:f>
        <x:v>6</x:v>
      </x:c>
      <x:c r="Q457" s="119" t="n">
        <x:f>ROUNDDOWN((IF(A457&gt;='材料与任务'!$E$31,'材料与任务'!$E$33,IF(A457&gt;='材料与任务'!$E$25,'材料与任务'!$E$27,IF(A457&gt;='材料与任务'!$E$19,'材料与任务'!$E$21,IF(A457&gt;='材料与任务'!$E$13,'材料与任务'!$E$15,'材料与任务'!$E$9)))))*G457,0)</x:f>
        <x:v>3</x:v>
      </x:c>
      <x:c r="R457" s="110" t="n">
        <x:f>'装备掉落'!$B$38</x:f>
        <x:v>0.6872058758851213</x:v>
      </x:c>
      <x:c r="S457" s="119" t="n">
        <x:f>MAX(IF(VLOOKUP(A457,'装备掉落'!$A$29:$H$34,2,TRUE)&gt;0,1,0),IF(VLOOKUP(A457,'装备掉落'!$A$29:$H$34,3,TRUE)&gt;0,2,0),IF(VLOOKUP(A457,'装备掉落'!$A$29:$H$34,4,TRUE)&gt;0,3,0),IF(VLOOKUP(A457,'装备掉落'!$A$29:$H$34,5,TRUE)&gt;0,4,0),IF(VLOOKUP(A457,'装备掉落'!$A$29:$H$34,6,TRUE)&gt;0,5,0),IF(VLOOKUP(A457,'装备掉落'!$A$29:$H$34,7,TRUE)&gt;0,6,0),IF(VLOOKUP(A457,'装备掉落'!$A$29:$H$34,8,TRUE)&gt;0,7,0))</x:f>
        <x:v>7</x:v>
      </x:c>
      <x:c r="T457" s="119" t="n">
        <x:f>MIN(7,S457+'经济参数'!$E$70)</x:f>
        <x:v>7</x:v>
      </x:c>
      <x:c r="U457" s="119" t="n">
        <x:f>MIN(7,S457+'经济参数'!$E$71)</x:f>
        <x:v>7</x:v>
      </x:c>
      <x:c r="V457" s="119" t="n">
        <x:f>IF(H457&gt;=('难度参数'!$E$52),1,0)+IF(H457&gt;=('难度参数'!$E$52+'难度参数'!$E$53),1,0)+IF(H457&gt;=('难度参数'!$E$52+'难度参数'!$E$53+'难度参数'!$E$54),1,0)+IF(H457&gt;=('难度参数'!$E$52+'难度参数'!$E$53+'难度参数'!$E$54+'难度参数'!$E$55),1,0)+IF(H457&gt;=('难度参数'!$E$52+'难度参数'!$E$53+'难度参数'!$E$54+'难度参数'!$E$55+'难度参数'!$E$56),1,0)+IF(H457&gt;=('难度参数'!$E$52+'难度参数'!$E$53+'难度参数'!$E$54+'难度参数'!$E$55+'难度参数'!$E$56+'难度参数'!$E$57),1,0)</x:f>
        <x:v>6</x:v>
      </x:c>
      <x:c r="W457" s="62" t="str">
        <x:f>IF(L457&gt;'难度参数'!$E$51,"仅出怪已超目标","还需实测")</x:f>
        <x:v>仅出怪已超目标</x:v>
      </x:c>
      <x:c r="X457" s="119" t="n">
        <x:f>IF(1&gt;D457,0,MAX(2,MIN('难度参数'!$E$12,ROUND(('难度参数'!$E$18*POWER(A457,'难度参数'!$E$19)/D457*(0.85+0.3*(1-1)/MAX(1,D457-1))),0)+F457)))</x:f>
        <x:v>34</x:v>
      </x:c>
      <x:c r="Y457" s="119" t="n">
        <x:f>IF(1&gt;D457,0,ROUND(('难度参数'!$E$13*POWER(A457,'难度参数'!$E$20)*MIN('难度参数'!$E$23,1+MAX(0,A457-'难度参数'!$E$21)*'难度参数'!$E$22))*(36+1*7)/(36+7*(D457+1)/2)*E457,0))</x:f>
        <x:v>7390</x:v>
      </x:c>
      <x:c r="Z457" s="119" t="n">
        <x:f>IF(X457=0,0,(X457-IF(1=D457,1,0))*ROUND(Y457*VLOOKUP(INDEX('章节与怪物'!$E$31:$K$37,B457,1),'章节与怪物'!$A$41:$F$44,2,FALSE),0)+IF(1=D457,ROUND(Y457*'难度参数'!$E$28*'章节与怪物'!$E$17,0),0))</x:f>
        <x:v>251260</x:v>
      </x:c>
      <x:c r="AA457" s="119" t="n">
        <x:f>IF(X457=0,0,(X457-IF(1=D457,1,0))*VLOOKUP(INDEX('章节与怪物'!$E$31:$K$37,B457,1),'章节与怪物'!$A$41:$F$44,4,FALSE)+IF(1=D457,'难度参数'!$E$30,0))</x:f>
        <x:v>612</x:v>
      </x:c>
      <x:c r="AB457" s="119" t="n">
        <x:f>IF(2&gt;D457,0,MAX(2,MIN('难度参数'!$E$12,ROUND(('难度参数'!$E$18*POWER(A457,'难度参数'!$E$19)/D457*(0.85+0.3*(2-1)/MAX(1,D457-1))),0)+F457)))</x:f>
        <x:v>36</x:v>
      </x:c>
      <x:c r="AC457" s="119" t="n">
        <x:f>IF(2&gt;D457,0,ROUND(('难度参数'!$E$13*POWER(A457,'难度参数'!$E$20)*MIN('难度参数'!$E$23,1+MAX(0,A457-'难度参数'!$E$21)*'难度参数'!$E$22))*(36+2*7)/(36+7*(D457+1)/2)*E457,0))</x:f>
        <x:v>8593</x:v>
      </x:c>
      <x:c r="AD457" s="119" t="n">
        <x:f>IF(AB457=0,0,(AB457-IF(2=D457,1,0))*ROUND(AC457*VLOOKUP(INDEX('章节与怪物'!$E$31:$K$37,B457,2),'章节与怪物'!$A$41:$F$44,2,FALSE),0)+IF(2=D457,ROUND(AC457*'难度参数'!$E$28*'章节与怪物'!$E$17,0),0))</x:f>
        <x:v>222732</x:v>
      </x:c>
      <x:c r="AE457" s="119" t="n">
        <x:f>IF(AB457=0,0,(AB457-IF(2=D457,1,0))*VLOOKUP(INDEX('章节与怪物'!$E$31:$K$37,B457,2),'章节与怪物'!$A$41:$F$44,4,FALSE)+IF(2=D457,'难度参数'!$E$30,0))</x:f>
        <x:v>720</x:v>
      </x:c>
      <x:c r="AF457" s="119" t="n">
        <x:f>IF(3&gt;D457,0,MAX(2,MIN('难度参数'!$E$12,ROUND(('难度参数'!$E$18*POWER(A457,'难度参数'!$E$19)/D457*(0.85+0.3*(3-1)/MAX(1,D457-1))),0)+F457)))</x:f>
        <x:v>38</x:v>
      </x:c>
      <x:c r="AG457" s="119" t="n">
        <x:f>IF(3&gt;D457,0,ROUND(('难度参数'!$E$13*POWER(A457,'难度参数'!$E$20)*MIN('难度参数'!$E$23,1+MAX(0,A457-'难度参数'!$E$21)*'难度参数'!$E$22))*(36+3*7)/(36+7*(D457+1)/2)*E457,0))</x:f>
        <x:v>9796</x:v>
      </x:c>
      <x:c r="AH457" s="119" t="n">
        <x:f>IF(AF457=0,0,(AF457-IF(3=D457,1,0))*ROUND(AG457*VLOOKUP(INDEX('章节与怪物'!$E$31:$K$37,B457,3),'章节与怪物'!$A$41:$F$44,2,FALSE),0)+IF(3=D457,ROUND(AG457*'难度参数'!$E$28*'章节与怪物'!$E$17,0),0))</x:f>
        <x:v>632814</x:v>
      </x:c>
      <x:c r="AI457" s="119" t="n">
        <x:f>IF(AF457=0,0,(AF457-IF(3=D457,1,0))*VLOOKUP(INDEX('章节与怪物'!$E$31:$K$37,B457,3),'章节与怪物'!$A$41:$F$44,4,FALSE)+IF(3=D457,'难度参数'!$E$30,0))</x:f>
        <x:v>1064</x:v>
      </x:c>
      <x:c r="AJ457" s="119" t="n">
        <x:f>IF(4&gt;D457,0,MAX(2,MIN('难度参数'!$E$12,ROUND(('难度参数'!$E$18*POWER(A457,'难度参数'!$E$19)/D457*(0.85+0.3*(4-1)/MAX(1,D457-1))),0)+F457)))</x:f>
        <x:v>40</x:v>
      </x:c>
      <x:c r="AK457" s="119" t="n">
        <x:f>IF(4&gt;D457,0,ROUND(('难度参数'!$E$13*POWER(A457,'难度参数'!$E$20)*MIN('难度参数'!$E$23,1+MAX(0,A457-'难度参数'!$E$21)*'难度参数'!$E$22))*(36+4*7)/(36+7*(D457+1)/2)*E457,0))</x:f>
        <x:v>10999</x:v>
      </x:c>
      <x:c r="AL457" s="119" t="n">
        <x:f>IF(AJ457=0,0,(AJ457-IF(4=D457,1,0))*ROUND(AK457*VLOOKUP(INDEX('章节与怪物'!$E$31:$K$37,B457,4),'章节与怪物'!$A$41:$F$44,2,FALSE),0)+IF(4=D457,ROUND(AK457*'难度参数'!$E$28*'章节与怪物'!$E$17,0),0))</x:f>
        <x:v>593960</x:v>
      </x:c>
      <x:c r="AM457" s="119" t="n">
        <x:f>IF(AJ457=0,0,(AJ457-IF(4=D457,1,0))*VLOOKUP(INDEX('章节与怪物'!$E$31:$K$37,B457,4),'章节与怪物'!$A$41:$F$44,4,FALSE)+IF(4=D457,'难度参数'!$E$30,0))</x:f>
        <x:v>1360</x:v>
      </x:c>
      <x:c r="AN457" s="119" t="n">
        <x:f>IF(5&gt;D457,0,MAX(2,MIN('难度参数'!$E$12,ROUND(('难度参数'!$E$18*POWER(A457,'难度参数'!$E$19)/D457*(0.85+0.3*(5-1)/MAX(1,D457-1))),0)+F457)))</x:f>
        <x:v>42</x:v>
      </x:c>
      <x:c r="AO457" s="119" t="n">
        <x:f>IF(5&gt;D457,0,ROUND(('难度参数'!$E$13*POWER(A457,'难度参数'!$E$20)*MIN('难度参数'!$E$23,1+MAX(0,A457-'难度参数'!$E$21)*'难度参数'!$E$22))*(36+5*7)/(36+7*(D457+1)/2)*E457,0))</x:f>
        <x:v>12202</x:v>
      </x:c>
      <x:c r="AP457" s="119" t="n">
        <x:f>IF(AN457=0,0,(AN457-IF(5=D457,1,0))*ROUND(AO457*VLOOKUP(INDEX('章节与怪物'!$E$31:$K$37,B457,5),'章节与怪物'!$A$41:$F$44,2,FALSE),0)+IF(5=D457,ROUND(AO457*'难度参数'!$E$28*'章节与怪物'!$E$17,0),0))</x:f>
        <x:v>368970</x:v>
      </x:c>
      <x:c r="AQ457" s="119" t="n">
        <x:f>IF(AN457=0,0,(AN457-IF(5=D457,1,0))*VLOOKUP(INDEX('章节与怪物'!$E$31:$K$37,B457,5),'章节与怪物'!$A$41:$F$44,4,FALSE)+IF(5=D457,'难度参数'!$E$30,0))</x:f>
        <x:v>840</x:v>
      </x:c>
      <x:c r="AR457" s="119" t="n">
        <x:f>IF(6&gt;D457,0,MAX(2,MIN('难度参数'!$E$12,ROUND(('难度参数'!$E$18*POWER(A457,'难度参数'!$E$19)/D457*(0.85+0.3*(6-1)/MAX(1,D457-1))),0)+F457)))</x:f>
        <x:v>44</x:v>
      </x:c>
      <x:c r="AS457" s="119" t="n">
        <x:f>IF(6&gt;D457,0,ROUND(('难度参数'!$E$13*POWER(A457,'难度参数'!$E$20)*MIN('难度参数'!$E$23,1+MAX(0,A457-'难度参数'!$E$21)*'难度参数'!$E$22))*(36+6*7)/(36+7*(D457+1)/2)*E457,0))</x:f>
        <x:v>13405</x:v>
      </x:c>
      <x:c r="AT457" s="119" t="n">
        <x:f>IF(AR457=0,0,(AR457-IF(6=D457,1,0))*ROUND(AS457*VLOOKUP(INDEX('章节与怪物'!$E$31:$K$37,B457,6),'章节与怪物'!$A$41:$F$44,2,FALSE),0)+IF(6=D457,ROUND(AS457*'难度参数'!$E$28*'章节与怪物'!$E$17,0),0))</x:f>
        <x:v>1002716</x:v>
      </x:c>
      <x:c r="AU457" s="119" t="n">
        <x:f>IF(AR457=0,0,(AR457-IF(6=D457,1,0))*VLOOKUP(INDEX('章节与怪物'!$E$31:$K$37,B457,6),'章节与怪物'!$A$41:$F$44,4,FALSE)+IF(6=D457,'难度参数'!$E$30,0))</x:f>
        <x:v>1232</x:v>
      </x:c>
      <x:c r="AV457" s="119" t="n">
        <x:f>IF(7&gt;D457,0,MAX(2,MIN('难度参数'!$E$12,ROUND(('难度参数'!$E$18*POWER(A457,'难度参数'!$E$19)/D457*(0.85+0.3*(7-1)/MAX(1,D457-1))),0)+F457)))</x:f>
        <x:v>46</x:v>
      </x:c>
      <x:c r="AW457" s="119" t="n">
        <x:f>IF(7&gt;D457,0,ROUND(('难度参数'!$E$13*POWER(A457,'难度参数'!$E$20)*MIN('难度参数'!$E$23,1+MAX(0,A457-'难度参数'!$E$21)*'难度参数'!$E$22))*(36+7*7)/(36+7*(D457+1)/2)*E457,0))</x:f>
        <x:v>14608</x:v>
      </x:c>
      <x:c r="AX457" s="119" t="n">
        <x:f>IF(AV457=0,0,(AV457-IF(7=D457,1,0))*ROUND(AW457*VLOOKUP(INDEX('章节与怪物'!$E$31:$K$37,B457,7),'章节与怪物'!$A$41:$F$44,2,FALSE),0)+IF(7=D457,ROUND(AW457*'难度参数'!$E$28*'章节与怪物'!$E$17,0),0))</x:f>
        <x:v>986779</x:v>
      </x:c>
      <x:c r="AY457" s="119" t="n">
        <x:f>IF(AV457=0,0,(AV457-IF(7=D457,1,0))*VLOOKUP(INDEX('章节与怪物'!$E$31:$K$37,B457,7),'章节与怪物'!$A$41:$F$44,4,FALSE)+IF(7=D457,'难度参数'!$E$30,0))</x:f>
        <x:v>1730</x:v>
      </x:c>
    </x:row>
    <x:row r="458" ht="23" customHeight="1">
      <x:c r="A458" s="119" t="n">
        <x:v>452</x:v>
      </x:c>
      <x:c r="B458" s="119" t="n">
        <x:f>MOD(INT((A458-1)/5),7)+1</x:f>
        <x:v>7</x:v>
      </x:c>
      <x:c r="C458" s="62" t="str">
        <x:f>INDEX('章节与怪物'!$B$31:$B$37,B458)</x:f>
        <x:v>魔法山脊</x:v>
      </x:c>
      <x:c r="D458" s="119" t="n">
        <x:f>MIN('难度参数'!$E$8,MAX('难度参数'!$E$7,A458))</x:f>
        <x:v>7</x:v>
      </x:c>
      <x:c r="E458" s="106" t="n">
        <x:v>1</x:v>
      </x:c>
      <x:c r="F458" s="106" t="n">
        <x:v>0</x:v>
      </x:c>
      <x:c r="G458" s="106" t="n">
        <x:v>1</x:v>
      </x:c>
      <x:c r="H458" s="119" t="n">
        <x:f>SUM(X458,AB458,AF458,AJ458,AN458,AR458,AV458)</x:f>
        <x:v>280</x:v>
      </x:c>
      <x:c r="I458" s="119" t="n">
        <x:f>SUM(Z458,AD458,AH458,AL458,AP458,AT458,AX458)</x:f>
        <x:v>4065551</x:v>
      </x:c>
      <x:c r="J458" s="119" t="n">
        <x:f>ROUND(INDEX(X458:AY458,1,(D458-1)*4+2)*'难度参数'!$E$28*'章节与怪物'!$E$17,0)</x:f>
        <x:v>99491</x:v>
      </x:c>
      <x:c r="K458" s="119" t="n">
        <x:f>SUM(AA458,AE458,AI458,AM458,AQ458,AU458,AY458)</x:f>
        <x:v>7558</x:v>
      </x:c>
      <x:c r="L458" s="62" t="n">
        <x:f>H458*(ROUNDUP('难度参数'!$E$24/('难度参数'!$E$26*'难度参数'!$E$27),0)*'难度参数'!$E$26)/60</x:f>
        <x:v>3.7333333333333334</x:v>
      </x:c>
      <x:c r="M458" s="62" t="n">
        <x:f>L458+D458*('难度参数'!$E$49+'难度参数'!$E$50)/60</x:f>
        <x:v>4.9</x:v>
      </x:c>
      <x:c r="N458" s="119" t="n">
        <x:f>ROUNDDOWN(('经济参数'!$E$20+A458*'经济参数'!$E$21)*G458,0)</x:f>
        <x:v>9220</x:v>
      </x:c>
      <x:c r="O458" s="119" t="n">
        <x:f>ROUNDDOWN(MIN('经济参数'!$E$24,'经济参数'!$E$22+A458*'经济参数'!$E$23)*G458,0)</x:f>
        <x:v>0</x:v>
      </x:c>
      <x:c r="P458" s="119" t="n">
        <x:f>ROUNDDOWN((IF(A458&gt;='材料与任务'!$E$31,'材料与任务'!$E$32,IF(A458&gt;='材料与任务'!$E$25,'材料与任务'!$E$26,IF(A458&gt;='材料与任务'!$E$19,'材料与任务'!$E$20,IF(A458&gt;='材料与任务'!$E$13,'材料与任务'!$E$14,'材料与任务'!$E$8)))))*G458,0)</x:f>
        <x:v>6</x:v>
      </x:c>
      <x:c r="Q458" s="119" t="n">
        <x:f>ROUNDDOWN((IF(A458&gt;='材料与任务'!$E$31,'材料与任务'!$E$33,IF(A458&gt;='材料与任务'!$E$25,'材料与任务'!$E$27,IF(A458&gt;='材料与任务'!$E$19,'材料与任务'!$E$21,IF(A458&gt;='材料与任务'!$E$13,'材料与任务'!$E$15,'材料与任务'!$E$9)))))*G458,0)</x:f>
        <x:v>3</x:v>
      </x:c>
      <x:c r="R458" s="110" t="n">
        <x:f>'装备掉落'!$B$38</x:f>
        <x:v>0.6872058758851213</x:v>
      </x:c>
      <x:c r="S458" s="119" t="n">
        <x:f>MAX(IF(VLOOKUP(A458,'装备掉落'!$A$29:$H$34,2,TRUE)&gt;0,1,0),IF(VLOOKUP(A458,'装备掉落'!$A$29:$H$34,3,TRUE)&gt;0,2,0),IF(VLOOKUP(A458,'装备掉落'!$A$29:$H$34,4,TRUE)&gt;0,3,0),IF(VLOOKUP(A458,'装备掉落'!$A$29:$H$34,5,TRUE)&gt;0,4,0),IF(VLOOKUP(A458,'装备掉落'!$A$29:$H$34,6,TRUE)&gt;0,5,0),IF(VLOOKUP(A458,'装备掉落'!$A$29:$H$34,7,TRUE)&gt;0,6,0),IF(VLOOKUP(A458,'装备掉落'!$A$29:$H$34,8,TRUE)&gt;0,7,0))</x:f>
        <x:v>7</x:v>
      </x:c>
      <x:c r="T458" s="119" t="n">
        <x:f>MIN(7,S458+'经济参数'!$E$70)</x:f>
        <x:v>7</x:v>
      </x:c>
      <x:c r="U458" s="119" t="n">
        <x:f>MIN(7,S458+'经济参数'!$E$71)</x:f>
        <x:v>7</x:v>
      </x:c>
      <x:c r="V458" s="119" t="n">
        <x:f>IF(H458&gt;=('难度参数'!$E$52),1,0)+IF(H458&gt;=('难度参数'!$E$52+'难度参数'!$E$53),1,0)+IF(H458&gt;=('难度参数'!$E$52+'难度参数'!$E$53+'难度参数'!$E$54),1,0)+IF(H458&gt;=('难度参数'!$E$52+'难度参数'!$E$53+'难度参数'!$E$54+'难度参数'!$E$55),1,0)+IF(H458&gt;=('难度参数'!$E$52+'难度参数'!$E$53+'难度参数'!$E$54+'难度参数'!$E$55+'难度参数'!$E$56),1,0)+IF(H458&gt;=('难度参数'!$E$52+'难度参数'!$E$53+'难度参数'!$E$54+'难度参数'!$E$55+'难度参数'!$E$56+'难度参数'!$E$57),1,0)</x:f>
        <x:v>6</x:v>
      </x:c>
      <x:c r="W458" s="62" t="str">
        <x:f>IF(L458&gt;'难度参数'!$E$51,"仅出怪已超目标","还需实测")</x:f>
        <x:v>仅出怪已超目标</x:v>
      </x:c>
      <x:c r="X458" s="119" t="n">
        <x:f>IF(1&gt;D458,0,MAX(2,MIN('难度参数'!$E$12,ROUND(('难度参数'!$E$18*POWER(A458,'难度参数'!$E$19)/D458*(0.85+0.3*(1-1)/MAX(1,D458-1))),0)+F458)))</x:f>
        <x:v>34</x:v>
      </x:c>
      <x:c r="Y458" s="119" t="n">
        <x:f>IF(1&gt;D458,0,ROUND(('难度参数'!$E$13*POWER(A458,'难度参数'!$E$20)*MIN('难度参数'!$E$23,1+MAX(0,A458-'难度参数'!$E$21)*'难度参数'!$E$22))*(36+1*7)/(36+7*(D458+1)/2)*E458,0))</x:f>
        <x:v>7402</x:v>
      </x:c>
      <x:c r="Z458" s="119" t="n">
        <x:f>IF(X458=0,0,(X458-IF(1=D458,1,0))*ROUND(Y458*VLOOKUP(INDEX('章节与怪物'!$E$31:$K$37,B458,1),'章节与怪物'!$A$41:$F$44,2,FALSE),0)+IF(1=D458,ROUND(Y458*'难度参数'!$E$28*'章节与怪物'!$E$17,0),0))</x:f>
        <x:v>251668</x:v>
      </x:c>
      <x:c r="AA458" s="119" t="n">
        <x:f>IF(X458=0,0,(X458-IF(1=D458,1,0))*VLOOKUP(INDEX('章节与怪物'!$E$31:$K$37,B458,1),'章节与怪物'!$A$41:$F$44,4,FALSE)+IF(1=D458,'难度参数'!$E$30,0))</x:f>
        <x:v>612</x:v>
      </x:c>
      <x:c r="AB458" s="119" t="n">
        <x:f>IF(2&gt;D458,0,MAX(2,MIN('难度参数'!$E$12,ROUND(('难度参数'!$E$18*POWER(A458,'难度参数'!$E$19)/D458*(0.85+0.3*(2-1)/MAX(1,D458-1))),0)+F458)))</x:f>
        <x:v>36</x:v>
      </x:c>
      <x:c r="AC458" s="119" t="n">
        <x:f>IF(2&gt;D458,0,ROUND(('难度参数'!$E$13*POWER(A458,'难度参数'!$E$20)*MIN('难度参数'!$E$23,1+MAX(0,A458-'难度参数'!$E$21)*'难度参数'!$E$22))*(36+2*7)/(36+7*(D458+1)/2)*E458,0))</x:f>
        <x:v>8606</x:v>
      </x:c>
      <x:c r="AD458" s="119" t="n">
        <x:f>IF(AB458=0,0,(AB458-IF(2=D458,1,0))*ROUND(AC458*VLOOKUP(INDEX('章节与怪物'!$E$31:$K$37,B458,2),'章节与怪物'!$A$41:$F$44,2,FALSE),0)+IF(2=D458,ROUND(AC458*'难度参数'!$E$28*'章节与怪物'!$E$17,0),0))</x:f>
        <x:v>223056</x:v>
      </x:c>
      <x:c r="AE458" s="119" t="n">
        <x:f>IF(AB458=0,0,(AB458-IF(2=D458,1,0))*VLOOKUP(INDEX('章节与怪物'!$E$31:$K$37,B458,2),'章节与怪物'!$A$41:$F$44,4,FALSE)+IF(2=D458,'难度参数'!$E$30,0))</x:f>
        <x:v>720</x:v>
      </x:c>
      <x:c r="AF458" s="119" t="n">
        <x:f>IF(3&gt;D458,0,MAX(2,MIN('难度参数'!$E$12,ROUND(('难度参数'!$E$18*POWER(A458,'难度参数'!$E$19)/D458*(0.85+0.3*(3-1)/MAX(1,D458-1))),0)+F458)))</x:f>
        <x:v>38</x:v>
      </x:c>
      <x:c r="AG458" s="119" t="n">
        <x:f>IF(3&gt;D458,0,ROUND(('难度参数'!$E$13*POWER(A458,'难度参数'!$E$20)*MIN('难度参数'!$E$23,1+MAX(0,A458-'难度参数'!$E$21)*'难度参数'!$E$22))*(36+3*7)/(36+7*(D458+1)/2)*E458,0))</x:f>
        <x:v>9811</x:v>
      </x:c>
      <x:c r="AH458" s="119" t="n">
        <x:f>IF(AF458=0,0,(AF458-IF(3=D458,1,0))*ROUND(AG458*VLOOKUP(INDEX('章节与怪物'!$E$31:$K$37,B458,3),'章节与怪物'!$A$41:$F$44,2,FALSE),0)+IF(3=D458,ROUND(AG458*'难度参数'!$E$28*'章节与怪物'!$E$17,0),0))</x:f>
        <x:v>633802</x:v>
      </x:c>
      <x:c r="AI458" s="119" t="n">
        <x:f>IF(AF458=0,0,(AF458-IF(3=D458,1,0))*VLOOKUP(INDEX('章节与怪物'!$E$31:$K$37,B458,3),'章节与怪物'!$A$41:$F$44,4,FALSE)+IF(3=D458,'难度参数'!$E$30,0))</x:f>
        <x:v>1064</x:v>
      </x:c>
      <x:c r="AJ458" s="119" t="n">
        <x:f>IF(4&gt;D458,0,MAX(2,MIN('难度参数'!$E$12,ROUND(('难度参数'!$E$18*POWER(A458,'难度参数'!$E$19)/D458*(0.85+0.3*(4-1)/MAX(1,D458-1))),0)+F458)))</x:f>
        <x:v>40</x:v>
      </x:c>
      <x:c r="AK458" s="119" t="n">
        <x:f>IF(4&gt;D458,0,ROUND(('难度参数'!$E$13*POWER(A458,'难度参数'!$E$20)*MIN('难度参数'!$E$23,1+MAX(0,A458-'难度参数'!$E$21)*'难度参数'!$E$22))*(36+4*7)/(36+7*(D458+1)/2)*E458,0))</x:f>
        <x:v>11016</x:v>
      </x:c>
      <x:c r="AL458" s="119" t="n">
        <x:f>IF(AJ458=0,0,(AJ458-IF(4=D458,1,0))*ROUND(AK458*VLOOKUP(INDEX('章节与怪物'!$E$31:$K$37,B458,4),'章节与怪物'!$A$41:$F$44,2,FALSE),0)+IF(4=D458,ROUND(AK458*'难度参数'!$E$28*'章节与怪物'!$E$17,0),0))</x:f>
        <x:v>594880</x:v>
      </x:c>
      <x:c r="AM458" s="119" t="n">
        <x:f>IF(AJ458=0,0,(AJ458-IF(4=D458,1,0))*VLOOKUP(INDEX('章节与怪物'!$E$31:$K$37,B458,4),'章节与怪物'!$A$41:$F$44,4,FALSE)+IF(4=D458,'难度参数'!$E$30,0))</x:f>
        <x:v>1360</x:v>
      </x:c>
      <x:c r="AN458" s="119" t="n">
        <x:f>IF(5&gt;D458,0,MAX(2,MIN('难度参数'!$E$12,ROUND(('难度参数'!$E$18*POWER(A458,'难度参数'!$E$19)/D458*(0.85+0.3*(5-1)/MAX(1,D458-1))),0)+F458)))</x:f>
        <x:v>42</x:v>
      </x:c>
      <x:c r="AO458" s="119" t="n">
        <x:f>IF(5&gt;D458,0,ROUND(('难度参数'!$E$13*POWER(A458,'难度参数'!$E$20)*MIN('难度参数'!$E$23,1+MAX(0,A458-'难度参数'!$E$21)*'难度参数'!$E$22))*(36+5*7)/(36+7*(D458+1)/2)*E458,0))</x:f>
        <x:v>12221</x:v>
      </x:c>
      <x:c r="AP458" s="119" t="n">
        <x:f>IF(AN458=0,0,(AN458-IF(5=D458,1,0))*ROUND(AO458*VLOOKUP(INDEX('章节与怪物'!$E$31:$K$37,B458,5),'章节与怪物'!$A$41:$F$44,2,FALSE),0)+IF(5=D458,ROUND(AO458*'难度参数'!$E$28*'章节与怪物'!$E$17,0),0))</x:f>
        <x:v>369558</x:v>
      </x:c>
      <x:c r="AQ458" s="119" t="n">
        <x:f>IF(AN458=0,0,(AN458-IF(5=D458,1,0))*VLOOKUP(INDEX('章节与怪物'!$E$31:$K$37,B458,5),'章节与怪物'!$A$41:$F$44,4,FALSE)+IF(5=D458,'难度参数'!$E$30,0))</x:f>
        <x:v>840</x:v>
      </x:c>
      <x:c r="AR458" s="119" t="n">
        <x:f>IF(6&gt;D458,0,MAX(2,MIN('难度参数'!$E$12,ROUND(('难度参数'!$E$18*POWER(A458,'难度参数'!$E$19)/D458*(0.85+0.3*(6-1)/MAX(1,D458-1))),0)+F458)))</x:f>
        <x:v>44</x:v>
      </x:c>
      <x:c r="AS458" s="119" t="n">
        <x:f>IF(6&gt;D458,0,ROUND(('难度参数'!$E$13*POWER(A458,'难度参数'!$E$20)*MIN('难度参数'!$E$23,1+MAX(0,A458-'难度参数'!$E$21)*'难度参数'!$E$22))*(36+6*7)/(36+7*(D458+1)/2)*E458,0))</x:f>
        <x:v>13426</x:v>
      </x:c>
      <x:c r="AT458" s="119" t="n">
        <x:f>IF(AR458=0,0,(AR458-IF(6=D458,1,0))*ROUND(AS458*VLOOKUP(INDEX('章节与怪物'!$E$31:$K$37,B458,6),'章节与怪物'!$A$41:$F$44,2,FALSE),0)+IF(6=D458,ROUND(AS458*'难度参数'!$E$28*'章节与怪物'!$E$17,0),0))</x:f>
        <x:v>1004256</x:v>
      </x:c>
      <x:c r="AU458" s="119" t="n">
        <x:f>IF(AR458=0,0,(AR458-IF(6=D458,1,0))*VLOOKUP(INDEX('章节与怪物'!$E$31:$K$37,B458,6),'章节与怪物'!$A$41:$F$44,4,FALSE)+IF(6=D458,'难度参数'!$E$30,0))</x:f>
        <x:v>1232</x:v>
      </x:c>
      <x:c r="AV458" s="119" t="n">
        <x:f>IF(7&gt;D458,0,MAX(2,MIN('难度参数'!$E$12,ROUND(('难度参数'!$E$18*POWER(A458,'难度参数'!$E$19)/D458*(0.85+0.3*(7-1)/MAX(1,D458-1))),0)+F458)))</x:f>
        <x:v>46</x:v>
      </x:c>
      <x:c r="AW458" s="119" t="n">
        <x:f>IF(7&gt;D458,0,ROUND(('难度参数'!$E$13*POWER(A458,'难度参数'!$E$20)*MIN('难度参数'!$E$23,1+MAX(0,A458-'难度参数'!$E$21)*'难度参数'!$E$22))*(36+7*7)/(36+7*(D458+1)/2)*E458,0))</x:f>
        <x:v>14631</x:v>
      </x:c>
      <x:c r="AX458" s="119" t="n">
        <x:f>IF(AV458=0,0,(AV458-IF(7=D458,1,0))*ROUND(AW458*VLOOKUP(INDEX('章节与怪物'!$E$31:$K$37,B458,7),'章节与怪物'!$A$41:$F$44,2,FALSE),0)+IF(7=D458,ROUND(AW458*'难度参数'!$E$28*'章节与怪物'!$E$17,0),0))</x:f>
        <x:v>988331</x:v>
      </x:c>
      <x:c r="AY458" s="119" t="n">
        <x:f>IF(AV458=0,0,(AV458-IF(7=D458,1,0))*VLOOKUP(INDEX('章节与怪物'!$E$31:$K$37,B458,7),'章节与怪物'!$A$41:$F$44,4,FALSE)+IF(7=D458,'难度参数'!$E$30,0))</x:f>
        <x:v>1730</x:v>
      </x:c>
    </x:row>
    <x:row r="459" ht="23" customHeight="1">
      <x:c r="A459" s="119" t="n">
        <x:v>453</x:v>
      </x:c>
      <x:c r="B459" s="119" t="n">
        <x:f>MOD(INT((A459-1)/5),7)+1</x:f>
        <x:v>7</x:v>
      </x:c>
      <x:c r="C459" s="62" t="str">
        <x:f>INDEX('章节与怪物'!$B$31:$B$37,B459)</x:f>
        <x:v>魔法山脊</x:v>
      </x:c>
      <x:c r="D459" s="119" t="n">
        <x:f>MIN('难度参数'!$E$8,MAX('难度参数'!$E$7,A459))</x:f>
        <x:v>7</x:v>
      </x:c>
      <x:c r="E459" s="106" t="n">
        <x:v>1</x:v>
      </x:c>
      <x:c r="F459" s="106" t="n">
        <x:v>0</x:v>
      </x:c>
      <x:c r="G459" s="106" t="n">
        <x:v>1</x:v>
      </x:c>
      <x:c r="H459" s="119" t="n">
        <x:f>SUM(X459,AB459,AF459,AJ459,AN459,AR459,AV459)</x:f>
        <x:v>280</x:v>
      </x:c>
      <x:c r="I459" s="119" t="n">
        <x:f>SUM(Z459,AD459,AH459,AL459,AP459,AT459,AX459)</x:f>
        <x:v>4072036</x:v>
      </x:c>
      <x:c r="J459" s="119" t="n">
        <x:f>ROUND(INDEX(X459:AY459,1,(D459-1)*4+2)*'难度参数'!$E$28*'章节与怪物'!$E$17,0)</x:f>
        <x:v>99647</x:v>
      </x:c>
      <x:c r="K459" s="119" t="n">
        <x:f>SUM(AA459,AE459,AI459,AM459,AQ459,AU459,AY459)</x:f>
        <x:v>7558</x:v>
      </x:c>
      <x:c r="L459" s="62" t="n">
        <x:f>H459*(ROUNDUP('难度参数'!$E$24/('难度参数'!$E$26*'难度参数'!$E$27),0)*'难度参数'!$E$26)/60</x:f>
        <x:v>3.7333333333333334</x:v>
      </x:c>
      <x:c r="M459" s="62" t="n">
        <x:f>L459+D459*('难度参数'!$E$49+'难度参数'!$E$50)/60</x:f>
        <x:v>4.9</x:v>
      </x:c>
      <x:c r="N459" s="119" t="n">
        <x:f>ROUNDDOWN(('经济参数'!$E$20+A459*'经济参数'!$E$21)*G459,0)</x:f>
        <x:v>9240</x:v>
      </x:c>
      <x:c r="O459" s="119" t="n">
        <x:f>ROUNDDOWN(MIN('经济参数'!$E$24,'经济参数'!$E$22+A459*'经济参数'!$E$23)*G459,0)</x:f>
        <x:v>0</x:v>
      </x:c>
      <x:c r="P459" s="119" t="n">
        <x:f>ROUNDDOWN((IF(A459&gt;='材料与任务'!$E$31,'材料与任务'!$E$32,IF(A459&gt;='材料与任务'!$E$25,'材料与任务'!$E$26,IF(A459&gt;='材料与任务'!$E$19,'材料与任务'!$E$20,IF(A459&gt;='材料与任务'!$E$13,'材料与任务'!$E$14,'材料与任务'!$E$8)))))*G459,0)</x:f>
        <x:v>6</x:v>
      </x:c>
      <x:c r="Q459" s="119" t="n">
        <x:f>ROUNDDOWN((IF(A459&gt;='材料与任务'!$E$31,'材料与任务'!$E$33,IF(A459&gt;='材料与任务'!$E$25,'材料与任务'!$E$27,IF(A459&gt;='材料与任务'!$E$19,'材料与任务'!$E$21,IF(A459&gt;='材料与任务'!$E$13,'材料与任务'!$E$15,'材料与任务'!$E$9)))))*G459,0)</x:f>
        <x:v>3</x:v>
      </x:c>
      <x:c r="R459" s="110" t="n">
        <x:f>'装备掉落'!$B$38</x:f>
        <x:v>0.6872058758851213</x:v>
      </x:c>
      <x:c r="S459" s="119" t="n">
        <x:f>MAX(IF(VLOOKUP(A459,'装备掉落'!$A$29:$H$34,2,TRUE)&gt;0,1,0),IF(VLOOKUP(A459,'装备掉落'!$A$29:$H$34,3,TRUE)&gt;0,2,0),IF(VLOOKUP(A459,'装备掉落'!$A$29:$H$34,4,TRUE)&gt;0,3,0),IF(VLOOKUP(A459,'装备掉落'!$A$29:$H$34,5,TRUE)&gt;0,4,0),IF(VLOOKUP(A459,'装备掉落'!$A$29:$H$34,6,TRUE)&gt;0,5,0),IF(VLOOKUP(A459,'装备掉落'!$A$29:$H$34,7,TRUE)&gt;0,6,0),IF(VLOOKUP(A459,'装备掉落'!$A$29:$H$34,8,TRUE)&gt;0,7,0))</x:f>
        <x:v>7</x:v>
      </x:c>
      <x:c r="T459" s="119" t="n">
        <x:f>MIN(7,S459+'经济参数'!$E$70)</x:f>
        <x:v>7</x:v>
      </x:c>
      <x:c r="U459" s="119" t="n">
        <x:f>MIN(7,S459+'经济参数'!$E$71)</x:f>
        <x:v>7</x:v>
      </x:c>
      <x:c r="V459" s="119" t="n">
        <x:f>IF(H459&gt;=('难度参数'!$E$52),1,0)+IF(H459&gt;=('难度参数'!$E$52+'难度参数'!$E$53),1,0)+IF(H459&gt;=('难度参数'!$E$52+'难度参数'!$E$53+'难度参数'!$E$54),1,0)+IF(H459&gt;=('难度参数'!$E$52+'难度参数'!$E$53+'难度参数'!$E$54+'难度参数'!$E$55),1,0)+IF(H459&gt;=('难度参数'!$E$52+'难度参数'!$E$53+'难度参数'!$E$54+'难度参数'!$E$55+'难度参数'!$E$56),1,0)+IF(H459&gt;=('难度参数'!$E$52+'难度参数'!$E$53+'难度参数'!$E$54+'难度参数'!$E$55+'难度参数'!$E$56+'难度参数'!$E$57),1,0)</x:f>
        <x:v>6</x:v>
      </x:c>
      <x:c r="W459" s="62" t="str">
        <x:f>IF(L459&gt;'难度参数'!$E$51,"仅出怪已超目标","还需实测")</x:f>
        <x:v>仅出怪已超目标</x:v>
      </x:c>
      <x:c r="X459" s="119" t="n">
        <x:f>IF(1&gt;D459,0,MAX(2,MIN('难度参数'!$E$12,ROUND(('难度参数'!$E$18*POWER(A459,'难度参数'!$E$19)/D459*(0.85+0.3*(1-1)/MAX(1,D459-1))),0)+F459)))</x:f>
        <x:v>34</x:v>
      </x:c>
      <x:c r="Y459" s="119" t="n">
        <x:f>IF(1&gt;D459,0,ROUND(('难度参数'!$E$13*POWER(A459,'难度参数'!$E$20)*MIN('难度参数'!$E$23,1+MAX(0,A459-'难度参数'!$E$21)*'难度参数'!$E$22))*(36+1*7)/(36+7*(D459+1)/2)*E459,0))</x:f>
        <x:v>7413</x:v>
      </x:c>
      <x:c r="Z459" s="119" t="n">
        <x:f>IF(X459=0,0,(X459-IF(1=D459,1,0))*ROUND(Y459*VLOOKUP(INDEX('章节与怪物'!$E$31:$K$37,B459,1),'章节与怪物'!$A$41:$F$44,2,FALSE),0)+IF(1=D459,ROUND(Y459*'难度参数'!$E$28*'章节与怪物'!$E$17,0),0))</x:f>
        <x:v>252042</x:v>
      </x:c>
      <x:c r="AA459" s="119" t="n">
        <x:f>IF(X459=0,0,(X459-IF(1=D459,1,0))*VLOOKUP(INDEX('章节与怪物'!$E$31:$K$37,B459,1),'章节与怪物'!$A$41:$F$44,4,FALSE)+IF(1=D459,'难度参数'!$E$30,0))</x:f>
        <x:v>612</x:v>
      </x:c>
      <x:c r="AB459" s="119" t="n">
        <x:f>IF(2&gt;D459,0,MAX(2,MIN('难度参数'!$E$12,ROUND(('难度参数'!$E$18*POWER(A459,'难度参数'!$E$19)/D459*(0.85+0.3*(2-1)/MAX(1,D459-1))),0)+F459)))</x:f>
        <x:v>36</x:v>
      </x:c>
      <x:c r="AC459" s="119" t="n">
        <x:f>IF(2&gt;D459,0,ROUND(('难度参数'!$E$13*POWER(A459,'难度参数'!$E$20)*MIN('难度参数'!$E$23,1+MAX(0,A459-'难度参数'!$E$21)*'难度参数'!$E$22))*(36+2*7)/(36+7*(D459+1)/2)*E459,0))</x:f>
        <x:v>8620</x:v>
      </x:c>
      <x:c r="AD459" s="119" t="n">
        <x:f>IF(AB459=0,0,(AB459-IF(2=D459,1,0))*ROUND(AC459*VLOOKUP(INDEX('章节与怪物'!$E$31:$K$37,B459,2),'章节与怪物'!$A$41:$F$44,2,FALSE),0)+IF(2=D459,ROUND(AC459*'难度参数'!$E$28*'章节与怪物'!$E$17,0),0))</x:f>
        <x:v>223416</x:v>
      </x:c>
      <x:c r="AE459" s="119" t="n">
        <x:f>IF(AB459=0,0,(AB459-IF(2=D459,1,0))*VLOOKUP(INDEX('章节与怪物'!$E$31:$K$37,B459,2),'章节与怪物'!$A$41:$F$44,4,FALSE)+IF(2=D459,'难度参数'!$E$30,0))</x:f>
        <x:v>720</x:v>
      </x:c>
      <x:c r="AF459" s="119" t="n">
        <x:f>IF(3&gt;D459,0,MAX(2,MIN('难度参数'!$E$12,ROUND(('难度参数'!$E$18*POWER(A459,'难度参数'!$E$19)/D459*(0.85+0.3*(3-1)/MAX(1,D459-1))),0)+F459)))</x:f>
        <x:v>38</x:v>
      </x:c>
      <x:c r="AG459" s="119" t="n">
        <x:f>IF(3&gt;D459,0,ROUND(('难度参数'!$E$13*POWER(A459,'难度参数'!$E$20)*MIN('难度参数'!$E$23,1+MAX(0,A459-'难度参数'!$E$21)*'难度参数'!$E$22))*(36+3*7)/(36+7*(D459+1)/2)*E459,0))</x:f>
        <x:v>9827</x:v>
      </x:c>
      <x:c r="AH459" s="119" t="n">
        <x:f>IF(AF459=0,0,(AF459-IF(3=D459,1,0))*ROUND(AG459*VLOOKUP(INDEX('章节与怪物'!$E$31:$K$37,B459,3),'章节与怪物'!$A$41:$F$44,2,FALSE),0)+IF(3=D459,ROUND(AG459*'难度参数'!$E$28*'章节与怪物'!$E$17,0),0))</x:f>
        <x:v>634828</x:v>
      </x:c>
      <x:c r="AI459" s="119" t="n">
        <x:f>IF(AF459=0,0,(AF459-IF(3=D459,1,0))*VLOOKUP(INDEX('章节与怪物'!$E$31:$K$37,B459,3),'章节与怪物'!$A$41:$F$44,4,FALSE)+IF(3=D459,'难度参数'!$E$30,0))</x:f>
        <x:v>1064</x:v>
      </x:c>
      <x:c r="AJ459" s="119" t="n">
        <x:f>IF(4&gt;D459,0,MAX(2,MIN('难度参数'!$E$12,ROUND(('难度参数'!$E$18*POWER(A459,'难度参数'!$E$19)/D459*(0.85+0.3*(4-1)/MAX(1,D459-1))),0)+F459)))</x:f>
        <x:v>40</x:v>
      </x:c>
      <x:c r="AK459" s="119" t="n">
        <x:f>IF(4&gt;D459,0,ROUND(('难度参数'!$E$13*POWER(A459,'难度参数'!$E$20)*MIN('难度参数'!$E$23,1+MAX(0,A459-'难度参数'!$E$21)*'难度参数'!$E$22))*(36+4*7)/(36+7*(D459+1)/2)*E459,0))</x:f>
        <x:v>11034</x:v>
      </x:c>
      <x:c r="AL459" s="119" t="n">
        <x:f>IF(AJ459=0,0,(AJ459-IF(4=D459,1,0))*ROUND(AK459*VLOOKUP(INDEX('章节与怪物'!$E$31:$K$37,B459,4),'章节与怪物'!$A$41:$F$44,2,FALSE),0)+IF(4=D459,ROUND(AK459*'难度参数'!$E$28*'章节与怪物'!$E$17,0),0))</x:f>
        <x:v>595840</x:v>
      </x:c>
      <x:c r="AM459" s="119" t="n">
        <x:f>IF(AJ459=0,0,(AJ459-IF(4=D459,1,0))*VLOOKUP(INDEX('章节与怪物'!$E$31:$K$37,B459,4),'章节与怪物'!$A$41:$F$44,4,FALSE)+IF(4=D459,'难度参数'!$E$30,0))</x:f>
        <x:v>1360</x:v>
      </x:c>
      <x:c r="AN459" s="119" t="n">
        <x:f>IF(5&gt;D459,0,MAX(2,MIN('难度参数'!$E$12,ROUND(('难度参数'!$E$18*POWER(A459,'难度参数'!$E$19)/D459*(0.85+0.3*(5-1)/MAX(1,D459-1))),0)+F459)))</x:f>
        <x:v>42</x:v>
      </x:c>
      <x:c r="AO459" s="119" t="n">
        <x:f>IF(5&gt;D459,0,ROUND(('难度参数'!$E$13*POWER(A459,'难度参数'!$E$20)*MIN('难度参数'!$E$23,1+MAX(0,A459-'难度参数'!$E$21)*'难度参数'!$E$22))*(36+5*7)/(36+7*(D459+1)/2)*E459,0))</x:f>
        <x:v>12241</x:v>
      </x:c>
      <x:c r="AP459" s="119" t="n">
        <x:f>IF(AN459=0,0,(AN459-IF(5=D459,1,0))*ROUND(AO459*VLOOKUP(INDEX('章节与怪物'!$E$31:$K$37,B459,5),'章节与怪物'!$A$41:$F$44,2,FALSE),0)+IF(5=D459,ROUND(AO459*'难度参数'!$E$28*'章节与怪物'!$E$17,0),0))</x:f>
        <x:v>370188</x:v>
      </x:c>
      <x:c r="AQ459" s="119" t="n">
        <x:f>IF(AN459=0,0,(AN459-IF(5=D459,1,0))*VLOOKUP(INDEX('章节与怪物'!$E$31:$K$37,B459,5),'章节与怪物'!$A$41:$F$44,4,FALSE)+IF(5=D459,'难度参数'!$E$30,0))</x:f>
        <x:v>840</x:v>
      </x:c>
      <x:c r="AR459" s="119" t="n">
        <x:f>IF(6&gt;D459,0,MAX(2,MIN('难度参数'!$E$12,ROUND(('难度参数'!$E$18*POWER(A459,'难度参数'!$E$19)/D459*(0.85+0.3*(6-1)/MAX(1,D459-1))),0)+F459)))</x:f>
        <x:v>44</x:v>
      </x:c>
      <x:c r="AS459" s="119" t="n">
        <x:f>IF(6&gt;D459,0,ROUND(('难度参数'!$E$13*POWER(A459,'难度参数'!$E$20)*MIN('难度参数'!$E$23,1+MAX(0,A459-'难度参数'!$E$21)*'难度参数'!$E$22))*(36+6*7)/(36+7*(D459+1)/2)*E459,0))</x:f>
        <x:v>13447</x:v>
      </x:c>
      <x:c r="AT459" s="119" t="n">
        <x:f>IF(AR459=0,0,(AR459-IF(6=D459,1,0))*ROUND(AS459*VLOOKUP(INDEX('章节与怪物'!$E$31:$K$37,B459,6),'章节与怪物'!$A$41:$F$44,2,FALSE),0)+IF(6=D459,ROUND(AS459*'难度参数'!$E$28*'章节与怪物'!$E$17,0),0))</x:f>
        <x:v>1005840</x:v>
      </x:c>
      <x:c r="AU459" s="119" t="n">
        <x:f>IF(AR459=0,0,(AR459-IF(6=D459,1,0))*VLOOKUP(INDEX('章节与怪物'!$E$31:$K$37,B459,6),'章节与怪物'!$A$41:$F$44,4,FALSE)+IF(6=D459,'难度参数'!$E$30,0))</x:f>
        <x:v>1232</x:v>
      </x:c>
      <x:c r="AV459" s="119" t="n">
        <x:f>IF(7&gt;D459,0,MAX(2,MIN('难度参数'!$E$12,ROUND(('难度参数'!$E$18*POWER(A459,'难度参数'!$E$19)/D459*(0.85+0.3*(7-1)/MAX(1,D459-1))),0)+F459)))</x:f>
        <x:v>46</x:v>
      </x:c>
      <x:c r="AW459" s="119" t="n">
        <x:f>IF(7&gt;D459,0,ROUND(('难度参数'!$E$13*POWER(A459,'难度参数'!$E$20)*MIN('难度参数'!$E$23,1+MAX(0,A459-'难度参数'!$E$21)*'难度参数'!$E$22))*(36+7*7)/(36+7*(D459+1)/2)*E459,0))</x:f>
        <x:v>14654</x:v>
      </x:c>
      <x:c r="AX459" s="119" t="n">
        <x:f>IF(AV459=0,0,(AV459-IF(7=D459,1,0))*ROUND(AW459*VLOOKUP(INDEX('章节与怪物'!$E$31:$K$37,B459,7),'章节与怪物'!$A$41:$F$44,2,FALSE),0)+IF(7=D459,ROUND(AW459*'难度参数'!$E$28*'章节与怪物'!$E$17,0),0))</x:f>
        <x:v>989882</x:v>
      </x:c>
      <x:c r="AY459" s="119" t="n">
        <x:f>IF(AV459=0,0,(AV459-IF(7=D459,1,0))*VLOOKUP(INDEX('章节与怪物'!$E$31:$K$37,B459,7),'章节与怪物'!$A$41:$F$44,4,FALSE)+IF(7=D459,'难度参数'!$E$30,0))</x:f>
        <x:v>1730</x:v>
      </x:c>
    </x:row>
    <x:row r="460" ht="23" customHeight="1">
      <x:c r="A460" s="119" t="n">
        <x:v>454</x:v>
      </x:c>
      <x:c r="B460" s="119" t="n">
        <x:f>MOD(INT((A460-1)/5),7)+1</x:f>
        <x:v>7</x:v>
      </x:c>
      <x:c r="C460" s="62" t="str">
        <x:f>INDEX('章节与怪物'!$B$31:$B$37,B460)</x:f>
        <x:v>魔法山脊</x:v>
      </x:c>
      <x:c r="D460" s="119" t="n">
        <x:f>MIN('难度参数'!$E$8,MAX('难度参数'!$E$7,A460))</x:f>
        <x:v>7</x:v>
      </x:c>
      <x:c r="E460" s="106" t="n">
        <x:v>1</x:v>
      </x:c>
      <x:c r="F460" s="106" t="n">
        <x:v>0</x:v>
      </x:c>
      <x:c r="G460" s="106" t="n">
        <x:v>1</x:v>
      </x:c>
      <x:c r="H460" s="119" t="n">
        <x:f>SUM(X460,AB460,AF460,AJ460,AN460,AR460,AV460)</x:f>
        <x:v>280</x:v>
      </x:c>
      <x:c r="I460" s="119" t="n">
        <x:f>SUM(Z460,AD460,AH460,AL460,AP460,AT460,AX460)</x:f>
        <x:v>4078527</x:v>
      </x:c>
      <x:c r="J460" s="119" t="n">
        <x:f>ROUND(INDEX(X460:AY460,1,(D460-1)*4+2)*'难度参数'!$E$28*'章节与怪物'!$E$17,0)</x:f>
        <x:v>99810</x:v>
      </x:c>
      <x:c r="K460" s="119" t="n">
        <x:f>SUM(AA460,AE460,AI460,AM460,AQ460,AU460,AY460)</x:f>
        <x:v>7558</x:v>
      </x:c>
      <x:c r="L460" s="62" t="n">
        <x:f>H460*(ROUNDUP('难度参数'!$E$24/('难度参数'!$E$26*'难度参数'!$E$27),0)*'难度参数'!$E$26)/60</x:f>
        <x:v>3.7333333333333334</x:v>
      </x:c>
      <x:c r="M460" s="62" t="n">
        <x:f>L460+D460*('难度参数'!$E$49+'难度参数'!$E$50)/60</x:f>
        <x:v>4.9</x:v>
      </x:c>
      <x:c r="N460" s="119" t="n">
        <x:f>ROUNDDOWN(('经济参数'!$E$20+A460*'经济参数'!$E$21)*G460,0)</x:f>
        <x:v>9260</x:v>
      </x:c>
      <x:c r="O460" s="119" t="n">
        <x:f>ROUNDDOWN(MIN('经济参数'!$E$24,'经济参数'!$E$22+A460*'经济参数'!$E$23)*G460,0)</x:f>
        <x:v>0</x:v>
      </x:c>
      <x:c r="P460" s="119" t="n">
        <x:f>ROUNDDOWN((IF(A460&gt;='材料与任务'!$E$31,'材料与任务'!$E$32,IF(A460&gt;='材料与任务'!$E$25,'材料与任务'!$E$26,IF(A460&gt;='材料与任务'!$E$19,'材料与任务'!$E$20,IF(A460&gt;='材料与任务'!$E$13,'材料与任务'!$E$14,'材料与任务'!$E$8)))))*G460,0)</x:f>
        <x:v>6</x:v>
      </x:c>
      <x:c r="Q460" s="119" t="n">
        <x:f>ROUNDDOWN((IF(A460&gt;='材料与任务'!$E$31,'材料与任务'!$E$33,IF(A460&gt;='材料与任务'!$E$25,'材料与任务'!$E$27,IF(A460&gt;='材料与任务'!$E$19,'材料与任务'!$E$21,IF(A460&gt;='材料与任务'!$E$13,'材料与任务'!$E$15,'材料与任务'!$E$9)))))*G460,0)</x:f>
        <x:v>3</x:v>
      </x:c>
      <x:c r="R460" s="110" t="n">
        <x:f>'装备掉落'!$B$38</x:f>
        <x:v>0.6872058758851213</x:v>
      </x:c>
      <x:c r="S460" s="119" t="n">
        <x:f>MAX(IF(VLOOKUP(A460,'装备掉落'!$A$29:$H$34,2,TRUE)&gt;0,1,0),IF(VLOOKUP(A460,'装备掉落'!$A$29:$H$34,3,TRUE)&gt;0,2,0),IF(VLOOKUP(A460,'装备掉落'!$A$29:$H$34,4,TRUE)&gt;0,3,0),IF(VLOOKUP(A460,'装备掉落'!$A$29:$H$34,5,TRUE)&gt;0,4,0),IF(VLOOKUP(A460,'装备掉落'!$A$29:$H$34,6,TRUE)&gt;0,5,0),IF(VLOOKUP(A460,'装备掉落'!$A$29:$H$34,7,TRUE)&gt;0,6,0),IF(VLOOKUP(A460,'装备掉落'!$A$29:$H$34,8,TRUE)&gt;0,7,0))</x:f>
        <x:v>7</x:v>
      </x:c>
      <x:c r="T460" s="119" t="n">
        <x:f>MIN(7,S460+'经济参数'!$E$70)</x:f>
        <x:v>7</x:v>
      </x:c>
      <x:c r="U460" s="119" t="n">
        <x:f>MIN(7,S460+'经济参数'!$E$71)</x:f>
        <x:v>7</x:v>
      </x:c>
      <x:c r="V460" s="119" t="n">
        <x:f>IF(H460&gt;=('难度参数'!$E$52),1,0)+IF(H460&gt;=('难度参数'!$E$52+'难度参数'!$E$53),1,0)+IF(H460&gt;=('难度参数'!$E$52+'难度参数'!$E$53+'难度参数'!$E$54),1,0)+IF(H460&gt;=('难度参数'!$E$52+'难度参数'!$E$53+'难度参数'!$E$54+'难度参数'!$E$55),1,0)+IF(H460&gt;=('难度参数'!$E$52+'难度参数'!$E$53+'难度参数'!$E$54+'难度参数'!$E$55+'难度参数'!$E$56),1,0)+IF(H460&gt;=('难度参数'!$E$52+'难度参数'!$E$53+'难度参数'!$E$54+'难度参数'!$E$55+'难度参数'!$E$56+'难度参数'!$E$57),1,0)</x:f>
        <x:v>6</x:v>
      </x:c>
      <x:c r="W460" s="62" t="str">
        <x:f>IF(L460&gt;'难度参数'!$E$51,"仅出怪已超目标","还需实测")</x:f>
        <x:v>仅出怪已超目标</x:v>
      </x:c>
      <x:c r="X460" s="119" t="n">
        <x:f>IF(1&gt;D460,0,MAX(2,MIN('难度参数'!$E$12,ROUND(('难度参数'!$E$18*POWER(A460,'难度参数'!$E$19)/D460*(0.85+0.3*(1-1)/MAX(1,D460-1))),0)+F460)))</x:f>
        <x:v>34</x:v>
      </x:c>
      <x:c r="Y460" s="119" t="n">
        <x:f>IF(1&gt;D460,0,ROUND(('难度参数'!$E$13*POWER(A460,'难度参数'!$E$20)*MIN('难度参数'!$E$23,1+MAX(0,A460-'难度参数'!$E$21)*'难度参数'!$E$22))*(36+1*7)/(36+7*(D460+1)/2)*E460,0))</x:f>
        <x:v>7425</x:v>
      </x:c>
      <x:c r="Z460" s="119" t="n">
        <x:f>IF(X460=0,0,(X460-IF(1=D460,1,0))*ROUND(Y460*VLOOKUP(INDEX('章节与怪物'!$E$31:$K$37,B460,1),'章节与怪物'!$A$41:$F$44,2,FALSE),0)+IF(1=D460,ROUND(Y460*'难度参数'!$E$28*'章节与怪物'!$E$17,0),0))</x:f>
        <x:v>252450</x:v>
      </x:c>
      <x:c r="AA460" s="119" t="n">
        <x:f>IF(X460=0,0,(X460-IF(1=D460,1,0))*VLOOKUP(INDEX('章节与怪物'!$E$31:$K$37,B460,1),'章节与怪物'!$A$41:$F$44,4,FALSE)+IF(1=D460,'难度参数'!$E$30,0))</x:f>
        <x:v>612</x:v>
      </x:c>
      <x:c r="AB460" s="119" t="n">
        <x:f>IF(2&gt;D460,0,MAX(2,MIN('难度参数'!$E$12,ROUND(('难度参数'!$E$18*POWER(A460,'难度参数'!$E$19)/D460*(0.85+0.3*(2-1)/MAX(1,D460-1))),0)+F460)))</x:f>
        <x:v>36</x:v>
      </x:c>
      <x:c r="AC460" s="119" t="n">
        <x:f>IF(2&gt;D460,0,ROUND(('难度参数'!$E$13*POWER(A460,'难度参数'!$E$20)*MIN('难度参数'!$E$23,1+MAX(0,A460-'难度参数'!$E$21)*'难度参数'!$E$22))*(36+2*7)/(36+7*(D460+1)/2)*E460,0))</x:f>
        <x:v>8634</x:v>
      </x:c>
      <x:c r="AD460" s="119" t="n">
        <x:f>IF(AB460=0,0,(AB460-IF(2=D460,1,0))*ROUND(AC460*VLOOKUP(INDEX('章节与怪物'!$E$31:$K$37,B460,2),'章节与怪物'!$A$41:$F$44,2,FALSE),0)+IF(2=D460,ROUND(AC460*'难度参数'!$E$28*'章节与怪物'!$E$17,0),0))</x:f>
        <x:v>223776</x:v>
      </x:c>
      <x:c r="AE460" s="119" t="n">
        <x:f>IF(AB460=0,0,(AB460-IF(2=D460,1,0))*VLOOKUP(INDEX('章节与怪物'!$E$31:$K$37,B460,2),'章节与怪物'!$A$41:$F$44,4,FALSE)+IF(2=D460,'难度参数'!$E$30,0))</x:f>
        <x:v>720</x:v>
      </x:c>
      <x:c r="AF460" s="119" t="n">
        <x:f>IF(3&gt;D460,0,MAX(2,MIN('难度参数'!$E$12,ROUND(('难度参数'!$E$18*POWER(A460,'难度参数'!$E$19)/D460*(0.85+0.3*(3-1)/MAX(1,D460-1))),0)+F460)))</x:f>
        <x:v>38</x:v>
      </x:c>
      <x:c r="AG460" s="119" t="n">
        <x:f>IF(3&gt;D460,0,ROUND(('难度参数'!$E$13*POWER(A460,'难度参数'!$E$20)*MIN('难度参数'!$E$23,1+MAX(0,A460-'难度参数'!$E$21)*'难度参数'!$E$22))*(36+3*7)/(36+7*(D460+1)/2)*E460,0))</x:f>
        <x:v>9843</x:v>
      </x:c>
      <x:c r="AH460" s="119" t="n">
        <x:f>IF(AF460=0,0,(AF460-IF(3=D460,1,0))*ROUND(AG460*VLOOKUP(INDEX('章节与怪物'!$E$31:$K$37,B460,3),'章节与怪物'!$A$41:$F$44,2,FALSE),0)+IF(3=D460,ROUND(AG460*'难度参数'!$E$28*'章节与怪物'!$E$17,0),0))</x:f>
        <x:v>635854</x:v>
      </x:c>
      <x:c r="AI460" s="119" t="n">
        <x:f>IF(AF460=0,0,(AF460-IF(3=D460,1,0))*VLOOKUP(INDEX('章节与怪物'!$E$31:$K$37,B460,3),'章节与怪物'!$A$41:$F$44,4,FALSE)+IF(3=D460,'难度参数'!$E$30,0))</x:f>
        <x:v>1064</x:v>
      </x:c>
      <x:c r="AJ460" s="119" t="n">
        <x:f>IF(4&gt;D460,0,MAX(2,MIN('难度参数'!$E$12,ROUND(('难度参数'!$E$18*POWER(A460,'难度参数'!$E$19)/D460*(0.85+0.3*(4-1)/MAX(1,D460-1))),0)+F460)))</x:f>
        <x:v>40</x:v>
      </x:c>
      <x:c r="AK460" s="119" t="n">
        <x:f>IF(4&gt;D460,0,ROUND(('难度参数'!$E$13*POWER(A460,'难度参数'!$E$20)*MIN('难度参数'!$E$23,1+MAX(0,A460-'难度参数'!$E$21)*'难度参数'!$E$22))*(36+4*7)/(36+7*(D460+1)/2)*E460,0))</x:f>
        <x:v>11051</x:v>
      </x:c>
      <x:c r="AL460" s="119" t="n">
        <x:f>IF(AJ460=0,0,(AJ460-IF(4=D460,1,0))*ROUND(AK460*VLOOKUP(INDEX('章节与怪物'!$E$31:$K$37,B460,4),'章节与怪物'!$A$41:$F$44,2,FALSE),0)+IF(4=D460,ROUND(AK460*'难度参数'!$E$28*'章节与怪物'!$E$17,0),0))</x:f>
        <x:v>596760</x:v>
      </x:c>
      <x:c r="AM460" s="119" t="n">
        <x:f>IF(AJ460=0,0,(AJ460-IF(4=D460,1,0))*VLOOKUP(INDEX('章节与怪物'!$E$31:$K$37,B460,4),'章节与怪物'!$A$41:$F$44,4,FALSE)+IF(4=D460,'难度参数'!$E$30,0))</x:f>
        <x:v>1360</x:v>
      </x:c>
      <x:c r="AN460" s="119" t="n">
        <x:f>IF(5&gt;D460,0,MAX(2,MIN('难度参数'!$E$12,ROUND(('难度参数'!$E$18*POWER(A460,'难度参数'!$E$19)/D460*(0.85+0.3*(5-1)/MAX(1,D460-1))),0)+F460)))</x:f>
        <x:v>42</x:v>
      </x:c>
      <x:c r="AO460" s="119" t="n">
        <x:f>IF(5&gt;D460,0,ROUND(('难度参数'!$E$13*POWER(A460,'难度参数'!$E$20)*MIN('难度参数'!$E$23,1+MAX(0,A460-'难度参数'!$E$21)*'难度参数'!$E$22))*(36+5*7)/(36+7*(D460+1)/2)*E460,0))</x:f>
        <x:v>12260</x:v>
      </x:c>
      <x:c r="AP460" s="119" t="n">
        <x:f>IF(AN460=0,0,(AN460-IF(5=D460,1,0))*ROUND(AO460*VLOOKUP(INDEX('章节与怪物'!$E$31:$K$37,B460,5),'章节与怪物'!$A$41:$F$44,2,FALSE),0)+IF(5=D460,ROUND(AO460*'难度参数'!$E$28*'章节与怪物'!$E$17,0),0))</x:f>
        <x:v>370734</x:v>
      </x:c>
      <x:c r="AQ460" s="119" t="n">
        <x:f>IF(AN460=0,0,(AN460-IF(5=D460,1,0))*VLOOKUP(INDEX('章节与怪物'!$E$31:$K$37,B460,5),'章节与怪物'!$A$41:$F$44,4,FALSE)+IF(5=D460,'难度参数'!$E$30,0))</x:f>
        <x:v>840</x:v>
      </x:c>
      <x:c r="AR460" s="119" t="n">
        <x:f>IF(6&gt;D460,0,MAX(2,MIN('难度参数'!$E$12,ROUND(('难度参数'!$E$18*POWER(A460,'难度参数'!$E$19)/D460*(0.85+0.3*(6-1)/MAX(1,D460-1))),0)+F460)))</x:f>
        <x:v>44</x:v>
      </x:c>
      <x:c r="AS460" s="119" t="n">
        <x:f>IF(6&gt;D460,0,ROUND(('难度参数'!$E$13*POWER(A460,'难度参数'!$E$20)*MIN('难度参数'!$E$23,1+MAX(0,A460-'难度参数'!$E$21)*'难度参数'!$E$22))*(36+6*7)/(36+7*(D460+1)/2)*E460,0))</x:f>
        <x:v>13469</x:v>
      </x:c>
      <x:c r="AT460" s="119" t="n">
        <x:f>IF(AR460=0,0,(AR460-IF(6=D460,1,0))*ROUND(AS460*VLOOKUP(INDEX('章节与怪物'!$E$31:$K$37,B460,6),'章节与怪物'!$A$41:$F$44,2,FALSE),0)+IF(6=D460,ROUND(AS460*'难度参数'!$E$28*'章节与怪物'!$E$17,0),0))</x:f>
        <x:v>1007468</x:v>
      </x:c>
      <x:c r="AU460" s="119" t="n">
        <x:f>IF(AR460=0,0,(AR460-IF(6=D460,1,0))*VLOOKUP(INDEX('章节与怪物'!$E$31:$K$37,B460,6),'章节与怪物'!$A$41:$F$44,4,FALSE)+IF(6=D460,'难度参数'!$E$30,0))</x:f>
        <x:v>1232</x:v>
      </x:c>
      <x:c r="AV460" s="119" t="n">
        <x:f>IF(7&gt;D460,0,MAX(2,MIN('难度参数'!$E$12,ROUND(('难度参数'!$E$18*POWER(A460,'难度参数'!$E$19)/D460*(0.85+0.3*(7-1)/MAX(1,D460-1))),0)+F460)))</x:f>
        <x:v>46</x:v>
      </x:c>
      <x:c r="AW460" s="119" t="n">
        <x:f>IF(7&gt;D460,0,ROUND(('难度参数'!$E$13*POWER(A460,'难度参数'!$E$20)*MIN('难度参数'!$E$23,1+MAX(0,A460-'难度参数'!$E$21)*'难度参数'!$E$22))*(36+7*7)/(36+7*(D460+1)/2)*E460,0))</x:f>
        <x:v>14678</x:v>
      </x:c>
      <x:c r="AX460" s="119" t="n">
        <x:f>IF(AV460=0,0,(AV460-IF(7=D460,1,0))*ROUND(AW460*VLOOKUP(INDEX('章节与怪物'!$E$31:$K$37,B460,7),'章节与怪物'!$A$41:$F$44,2,FALSE),0)+IF(7=D460,ROUND(AW460*'难度参数'!$E$28*'章节与怪物'!$E$17,0),0))</x:f>
        <x:v>991485</x:v>
      </x:c>
      <x:c r="AY460" s="119" t="n">
        <x:f>IF(AV460=0,0,(AV460-IF(7=D460,1,0))*VLOOKUP(INDEX('章节与怪物'!$E$31:$K$37,B460,7),'章节与怪物'!$A$41:$F$44,4,FALSE)+IF(7=D460,'难度参数'!$E$30,0))</x:f>
        <x:v>1730</x:v>
      </x:c>
    </x:row>
    <x:row r="461" ht="23" customHeight="1">
      <x:c r="A461" s="119" t="n">
        <x:v>455</x:v>
      </x:c>
      <x:c r="B461" s="119" t="n">
        <x:f>MOD(INT((A461-1)/5),7)+1</x:f>
        <x:v>7</x:v>
      </x:c>
      <x:c r="C461" s="62" t="str">
        <x:f>INDEX('章节与怪物'!$B$31:$B$37,B461)</x:f>
        <x:v>魔法山脊</x:v>
      </x:c>
      <x:c r="D461" s="119" t="n">
        <x:f>MIN('难度参数'!$E$8,MAX('难度参数'!$E$7,A461))</x:f>
        <x:v>7</x:v>
      </x:c>
      <x:c r="E461" s="106" t="n">
        <x:v>1</x:v>
      </x:c>
      <x:c r="F461" s="106" t="n">
        <x:v>0</x:v>
      </x:c>
      <x:c r="G461" s="106" t="n">
        <x:v>1</x:v>
      </x:c>
      <x:c r="H461" s="119" t="n">
        <x:f>SUM(X461,AB461,AF461,AJ461,AN461,AR461,AV461)</x:f>
        <x:v>280</x:v>
      </x:c>
      <x:c r="I461" s="119" t="n">
        <x:f>SUM(Z461,AD461,AH461,AL461,AP461,AT461,AX461)</x:f>
        <x:v>4085003</x:v>
      </x:c>
      <x:c r="J461" s="119" t="n">
        <x:f>ROUND(INDEX(X461:AY461,1,(D461-1)*4+2)*'难度参数'!$E$28*'章节与怪物'!$E$17,0)</x:f>
        <x:v>99967</x:v>
      </x:c>
      <x:c r="K461" s="119" t="n">
        <x:f>SUM(AA461,AE461,AI461,AM461,AQ461,AU461,AY461)</x:f>
        <x:v>7558</x:v>
      </x:c>
      <x:c r="L461" s="62" t="n">
        <x:f>H461*(ROUNDUP('难度参数'!$E$24/('难度参数'!$E$26*'难度参数'!$E$27),0)*'难度参数'!$E$26)/60</x:f>
        <x:v>3.7333333333333334</x:v>
      </x:c>
      <x:c r="M461" s="62" t="n">
        <x:f>L461+D461*('难度参数'!$E$49+'难度参数'!$E$50)/60</x:f>
        <x:v>4.9</x:v>
      </x:c>
      <x:c r="N461" s="119" t="n">
        <x:f>ROUNDDOWN(('经济参数'!$E$20+A461*'经济参数'!$E$21)*G461,0)</x:f>
        <x:v>9280</x:v>
      </x:c>
      <x:c r="O461" s="119" t="n">
        <x:f>ROUNDDOWN(MIN('经济参数'!$E$24,'经济参数'!$E$22+A461*'经济参数'!$E$23)*G461,0)</x:f>
        <x:v>0</x:v>
      </x:c>
      <x:c r="P461" s="119" t="n">
        <x:f>ROUNDDOWN((IF(A461&gt;='材料与任务'!$E$31,'材料与任务'!$E$32,IF(A461&gt;='材料与任务'!$E$25,'材料与任务'!$E$26,IF(A461&gt;='材料与任务'!$E$19,'材料与任务'!$E$20,IF(A461&gt;='材料与任务'!$E$13,'材料与任务'!$E$14,'材料与任务'!$E$8)))))*G461,0)</x:f>
        <x:v>6</x:v>
      </x:c>
      <x:c r="Q461" s="119" t="n">
        <x:f>ROUNDDOWN((IF(A461&gt;='材料与任务'!$E$31,'材料与任务'!$E$33,IF(A461&gt;='材料与任务'!$E$25,'材料与任务'!$E$27,IF(A461&gt;='材料与任务'!$E$19,'材料与任务'!$E$21,IF(A461&gt;='材料与任务'!$E$13,'材料与任务'!$E$15,'材料与任务'!$E$9)))))*G461,0)</x:f>
        <x:v>3</x:v>
      </x:c>
      <x:c r="R461" s="110" t="n">
        <x:f>'装备掉落'!$B$38</x:f>
        <x:v>0.6872058758851213</x:v>
      </x:c>
      <x:c r="S461" s="119" t="n">
        <x:f>MAX(IF(VLOOKUP(A461,'装备掉落'!$A$29:$H$34,2,TRUE)&gt;0,1,0),IF(VLOOKUP(A461,'装备掉落'!$A$29:$H$34,3,TRUE)&gt;0,2,0),IF(VLOOKUP(A461,'装备掉落'!$A$29:$H$34,4,TRUE)&gt;0,3,0),IF(VLOOKUP(A461,'装备掉落'!$A$29:$H$34,5,TRUE)&gt;0,4,0),IF(VLOOKUP(A461,'装备掉落'!$A$29:$H$34,6,TRUE)&gt;0,5,0),IF(VLOOKUP(A461,'装备掉落'!$A$29:$H$34,7,TRUE)&gt;0,6,0),IF(VLOOKUP(A461,'装备掉落'!$A$29:$H$34,8,TRUE)&gt;0,7,0))</x:f>
        <x:v>7</x:v>
      </x:c>
      <x:c r="T461" s="119" t="n">
        <x:f>MIN(7,S461+'经济参数'!$E$70)</x:f>
        <x:v>7</x:v>
      </x:c>
      <x:c r="U461" s="119" t="n">
        <x:f>MIN(7,S461+'经济参数'!$E$71)</x:f>
        <x:v>7</x:v>
      </x:c>
      <x:c r="V461" s="119" t="n">
        <x:f>IF(H461&gt;=('难度参数'!$E$52),1,0)+IF(H461&gt;=('难度参数'!$E$52+'难度参数'!$E$53),1,0)+IF(H461&gt;=('难度参数'!$E$52+'难度参数'!$E$53+'难度参数'!$E$54),1,0)+IF(H461&gt;=('难度参数'!$E$52+'难度参数'!$E$53+'难度参数'!$E$54+'难度参数'!$E$55),1,0)+IF(H461&gt;=('难度参数'!$E$52+'难度参数'!$E$53+'难度参数'!$E$54+'难度参数'!$E$55+'难度参数'!$E$56),1,0)+IF(H461&gt;=('难度参数'!$E$52+'难度参数'!$E$53+'难度参数'!$E$54+'难度参数'!$E$55+'难度参数'!$E$56+'难度参数'!$E$57),1,0)</x:f>
        <x:v>6</x:v>
      </x:c>
      <x:c r="W461" s="62" t="str">
        <x:f>IF(L461&gt;'难度参数'!$E$51,"仅出怪已超目标","还需实测")</x:f>
        <x:v>仅出怪已超目标</x:v>
      </x:c>
      <x:c r="X461" s="119" t="n">
        <x:f>IF(1&gt;D461,0,MAX(2,MIN('难度参数'!$E$12,ROUND(('难度参数'!$E$18*POWER(A461,'难度参数'!$E$19)/D461*(0.85+0.3*(1-1)/MAX(1,D461-1))),0)+F461)))</x:f>
        <x:v>34</x:v>
      </x:c>
      <x:c r="Y461" s="119" t="n">
        <x:f>IF(1&gt;D461,0,ROUND(('难度参数'!$E$13*POWER(A461,'难度参数'!$E$20)*MIN('难度参数'!$E$23,1+MAX(0,A461-'难度参数'!$E$21)*'难度参数'!$E$22))*(36+1*7)/(36+7*(D461+1)/2)*E461,0))</x:f>
        <x:v>7437</x:v>
      </x:c>
      <x:c r="Z461" s="119" t="n">
        <x:f>IF(X461=0,0,(X461-IF(1=D461,1,0))*ROUND(Y461*VLOOKUP(INDEX('章节与怪物'!$E$31:$K$37,B461,1),'章节与怪物'!$A$41:$F$44,2,FALSE),0)+IF(1=D461,ROUND(Y461*'难度参数'!$E$28*'章节与怪物'!$E$17,0),0))</x:f>
        <x:v>252858</x:v>
      </x:c>
      <x:c r="AA461" s="119" t="n">
        <x:f>IF(X461=0,0,(X461-IF(1=D461,1,0))*VLOOKUP(INDEX('章节与怪物'!$E$31:$K$37,B461,1),'章节与怪物'!$A$41:$F$44,4,FALSE)+IF(1=D461,'难度参数'!$E$30,0))</x:f>
        <x:v>612</x:v>
      </x:c>
      <x:c r="AB461" s="119" t="n">
        <x:f>IF(2&gt;D461,0,MAX(2,MIN('难度参数'!$E$12,ROUND(('难度参数'!$E$18*POWER(A461,'难度参数'!$E$19)/D461*(0.85+0.3*(2-1)/MAX(1,D461-1))),0)+F461)))</x:f>
        <x:v>36</x:v>
      </x:c>
      <x:c r="AC461" s="119" t="n">
        <x:f>IF(2&gt;D461,0,ROUND(('难度参数'!$E$13*POWER(A461,'难度参数'!$E$20)*MIN('难度参数'!$E$23,1+MAX(0,A461-'难度参数'!$E$21)*'难度参数'!$E$22))*(36+2*7)/(36+7*(D461+1)/2)*E461,0))</x:f>
        <x:v>8648</x:v>
      </x:c>
      <x:c r="AD461" s="119" t="n">
        <x:f>IF(AB461=0,0,(AB461-IF(2=D461,1,0))*ROUND(AC461*VLOOKUP(INDEX('章节与怪物'!$E$31:$K$37,B461,2),'章节与怪物'!$A$41:$F$44,2,FALSE),0)+IF(2=D461,ROUND(AC461*'难度参数'!$E$28*'章节与怪物'!$E$17,0),0))</x:f>
        <x:v>224172</x:v>
      </x:c>
      <x:c r="AE461" s="119" t="n">
        <x:f>IF(AB461=0,0,(AB461-IF(2=D461,1,0))*VLOOKUP(INDEX('章节与怪物'!$E$31:$K$37,B461,2),'章节与怪物'!$A$41:$F$44,4,FALSE)+IF(2=D461,'难度参数'!$E$30,0))</x:f>
        <x:v>720</x:v>
      </x:c>
      <x:c r="AF461" s="119" t="n">
        <x:f>IF(3&gt;D461,0,MAX(2,MIN('难度参数'!$E$12,ROUND(('难度参数'!$E$18*POWER(A461,'难度参数'!$E$19)/D461*(0.85+0.3*(3-1)/MAX(1,D461-1))),0)+F461)))</x:f>
        <x:v>38</x:v>
      </x:c>
      <x:c r="AG461" s="119" t="n">
        <x:f>IF(3&gt;D461,0,ROUND(('难度参数'!$E$13*POWER(A461,'难度参数'!$E$20)*MIN('难度参数'!$E$23,1+MAX(0,A461-'难度参数'!$E$21)*'难度参数'!$E$22))*(36+3*7)/(36+7*(D461+1)/2)*E461,0))</x:f>
        <x:v>9858</x:v>
      </x:c>
      <x:c r="AH461" s="119" t="n">
        <x:f>IF(AF461=0,0,(AF461-IF(3=D461,1,0))*ROUND(AG461*VLOOKUP(INDEX('章节与怪物'!$E$31:$K$37,B461,3),'章节与怪物'!$A$41:$F$44,2,FALSE),0)+IF(3=D461,ROUND(AG461*'难度参数'!$E$28*'章节与怪物'!$E$17,0),0))</x:f>
        <x:v>636842</x:v>
      </x:c>
      <x:c r="AI461" s="119" t="n">
        <x:f>IF(AF461=0,0,(AF461-IF(3=D461,1,0))*VLOOKUP(INDEX('章节与怪物'!$E$31:$K$37,B461,3),'章节与怪物'!$A$41:$F$44,4,FALSE)+IF(3=D461,'难度参数'!$E$30,0))</x:f>
        <x:v>1064</x:v>
      </x:c>
      <x:c r="AJ461" s="119" t="n">
        <x:f>IF(4&gt;D461,0,MAX(2,MIN('难度参数'!$E$12,ROUND(('难度参数'!$E$18*POWER(A461,'难度参数'!$E$19)/D461*(0.85+0.3*(4-1)/MAX(1,D461-1))),0)+F461)))</x:f>
        <x:v>40</x:v>
      </x:c>
      <x:c r="AK461" s="119" t="n">
        <x:f>IF(4&gt;D461,0,ROUND(('难度参数'!$E$13*POWER(A461,'难度参数'!$E$20)*MIN('难度参数'!$E$23,1+MAX(0,A461-'难度参数'!$E$21)*'难度参数'!$E$22))*(36+4*7)/(36+7*(D461+1)/2)*E461,0))</x:f>
        <x:v>11069</x:v>
      </x:c>
      <x:c r="AL461" s="119" t="n">
        <x:f>IF(AJ461=0,0,(AJ461-IF(4=D461,1,0))*ROUND(AK461*VLOOKUP(INDEX('章节与怪物'!$E$31:$K$37,B461,4),'章节与怪物'!$A$41:$F$44,2,FALSE),0)+IF(4=D461,ROUND(AK461*'难度参数'!$E$28*'章节与怪物'!$E$17,0),0))</x:f>
        <x:v>597720</x:v>
      </x:c>
      <x:c r="AM461" s="119" t="n">
        <x:f>IF(AJ461=0,0,(AJ461-IF(4=D461,1,0))*VLOOKUP(INDEX('章节与怪物'!$E$31:$K$37,B461,4),'章节与怪物'!$A$41:$F$44,4,FALSE)+IF(4=D461,'难度参数'!$E$30,0))</x:f>
        <x:v>1360</x:v>
      </x:c>
      <x:c r="AN461" s="119" t="n">
        <x:f>IF(5&gt;D461,0,MAX(2,MIN('难度参数'!$E$12,ROUND(('难度参数'!$E$18*POWER(A461,'难度参数'!$E$19)/D461*(0.85+0.3*(5-1)/MAX(1,D461-1))),0)+F461)))</x:f>
        <x:v>42</x:v>
      </x:c>
      <x:c r="AO461" s="119" t="n">
        <x:f>IF(5&gt;D461,0,ROUND(('难度参数'!$E$13*POWER(A461,'难度参数'!$E$20)*MIN('难度参数'!$E$23,1+MAX(0,A461-'难度参数'!$E$21)*'难度参数'!$E$22))*(36+5*7)/(36+7*(D461+1)/2)*E461,0))</x:f>
        <x:v>12279</x:v>
      </x:c>
      <x:c r="AP461" s="119" t="n">
        <x:f>IF(AN461=0,0,(AN461-IF(5=D461,1,0))*ROUND(AO461*VLOOKUP(INDEX('章节与怪物'!$E$31:$K$37,B461,5),'章节与怪物'!$A$41:$F$44,2,FALSE),0)+IF(5=D461,ROUND(AO461*'难度参数'!$E$28*'章节与怪物'!$E$17,0),0))</x:f>
        <x:v>371322</x:v>
      </x:c>
      <x:c r="AQ461" s="119" t="n">
        <x:f>IF(AN461=0,0,(AN461-IF(5=D461,1,0))*VLOOKUP(INDEX('章节与怪物'!$E$31:$K$37,B461,5),'章节与怪物'!$A$41:$F$44,4,FALSE)+IF(5=D461,'难度参数'!$E$30,0))</x:f>
        <x:v>840</x:v>
      </x:c>
      <x:c r="AR461" s="119" t="n">
        <x:f>IF(6&gt;D461,0,MAX(2,MIN('难度参数'!$E$12,ROUND(('难度参数'!$E$18*POWER(A461,'难度参数'!$E$19)/D461*(0.85+0.3*(6-1)/MAX(1,D461-1))),0)+F461)))</x:f>
        <x:v>44</x:v>
      </x:c>
      <x:c r="AS461" s="119" t="n">
        <x:f>IF(6&gt;D461,0,ROUND(('难度参数'!$E$13*POWER(A461,'难度参数'!$E$20)*MIN('难度参数'!$E$23,1+MAX(0,A461-'难度参数'!$E$21)*'难度参数'!$E$22))*(36+6*7)/(36+7*(D461+1)/2)*E461,0))</x:f>
        <x:v>13490</x:v>
      </x:c>
      <x:c r="AT461" s="119" t="n">
        <x:f>IF(AR461=0,0,(AR461-IF(6=D461,1,0))*ROUND(AS461*VLOOKUP(INDEX('章节与怪物'!$E$31:$K$37,B461,6),'章节与怪物'!$A$41:$F$44,2,FALSE),0)+IF(6=D461,ROUND(AS461*'难度参数'!$E$28*'章节与怪物'!$E$17,0),0))</x:f>
        <x:v>1009052</x:v>
      </x:c>
      <x:c r="AU461" s="119" t="n">
        <x:f>IF(AR461=0,0,(AR461-IF(6=D461,1,0))*VLOOKUP(INDEX('章节与怪物'!$E$31:$K$37,B461,6),'章节与怪物'!$A$41:$F$44,4,FALSE)+IF(6=D461,'难度参数'!$E$30,0))</x:f>
        <x:v>1232</x:v>
      </x:c>
      <x:c r="AV461" s="119" t="n">
        <x:f>IF(7&gt;D461,0,MAX(2,MIN('难度参数'!$E$12,ROUND(('难度参数'!$E$18*POWER(A461,'难度参数'!$E$19)/D461*(0.85+0.3*(7-1)/MAX(1,D461-1))),0)+F461)))</x:f>
        <x:v>46</x:v>
      </x:c>
      <x:c r="AW461" s="119" t="n">
        <x:f>IF(7&gt;D461,0,ROUND(('难度参数'!$E$13*POWER(A461,'难度参数'!$E$20)*MIN('难度参数'!$E$23,1+MAX(0,A461-'难度参数'!$E$21)*'难度参数'!$E$22))*(36+7*7)/(36+7*(D461+1)/2)*E461,0))</x:f>
        <x:v>14701</x:v>
      </x:c>
      <x:c r="AX461" s="119" t="n">
        <x:f>IF(AV461=0,0,(AV461-IF(7=D461,1,0))*ROUND(AW461*VLOOKUP(INDEX('章节与怪物'!$E$31:$K$37,B461,7),'章节与怪物'!$A$41:$F$44,2,FALSE),0)+IF(7=D461,ROUND(AW461*'难度参数'!$E$28*'章节与怪物'!$E$17,0),0))</x:f>
        <x:v>993037</x:v>
      </x:c>
      <x:c r="AY461" s="119" t="n">
        <x:f>IF(AV461=0,0,(AV461-IF(7=D461,1,0))*VLOOKUP(INDEX('章节与怪物'!$E$31:$K$37,B461,7),'章节与怪物'!$A$41:$F$44,4,FALSE)+IF(7=D461,'难度参数'!$E$30,0))</x:f>
        <x:v>1730</x:v>
      </x:c>
    </x:row>
    <x:row r="462" ht="23" customHeight="1">
      <x:c r="A462" s="119" t="n">
        <x:v>456</x:v>
      </x:c>
      <x:c r="B462" s="119" t="n">
        <x:f>MOD(INT((A462-1)/5),7)+1</x:f>
        <x:v>1</x:v>
      </x:c>
      <x:c r="C462" s="62" t="str">
        <x:f>INDEX('章节与怪物'!$B$31:$B$37,B462)</x:f>
        <x:v>冰雪荒原</x:v>
      </x:c>
      <x:c r="D462" s="119" t="n">
        <x:f>MIN('难度参数'!$E$8,MAX('难度参数'!$E$7,A462))</x:f>
        <x:v>7</x:v>
      </x:c>
      <x:c r="E462" s="106" t="n">
        <x:v>1</x:v>
      </x:c>
      <x:c r="F462" s="106" t="n">
        <x:v>0</x:v>
      </x:c>
      <x:c r="G462" s="106" t="n">
        <x:v>1</x:v>
      </x:c>
      <x:c r="H462" s="119" t="n">
        <x:f>SUM(X462,AB462,AF462,AJ462,AN462,AR462,AV462)</x:f>
        <x:v>280</x:v>
      </x:c>
      <x:c r="I462" s="119" t="n">
        <x:f>SUM(Z462,AD462,AH462,AL462,AP462,AT462,AX462)</x:f>
        <x:v>3940962</x:v>
      </x:c>
      <x:c r="J462" s="119" t="n">
        <x:f>ROUND(INDEX(X462:AY462,1,(D462-1)*4+2)*'难度参数'!$E$28*'章节与怪物'!$E$17,0)</x:f>
        <x:v>100123</x:v>
      </x:c>
      <x:c r="K462" s="119" t="n">
        <x:f>SUM(AA462,AE462,AI462,AM462,AQ462,AU462,AY462)</x:f>
        <x:v>6908</x:v>
      </x:c>
      <x:c r="L462" s="62" t="n">
        <x:f>H462*(ROUNDUP('难度参数'!$E$24/('难度参数'!$E$26*'难度参数'!$E$27),0)*'难度参数'!$E$26)/60</x:f>
        <x:v>3.7333333333333334</x:v>
      </x:c>
      <x:c r="M462" s="62" t="n">
        <x:f>L462+D462*('难度参数'!$E$49+'难度参数'!$E$50)/60</x:f>
        <x:v>4.9</x:v>
      </x:c>
      <x:c r="N462" s="119" t="n">
        <x:f>ROUNDDOWN(('经济参数'!$E$20+A462*'经济参数'!$E$21)*G462,0)</x:f>
        <x:v>9300</x:v>
      </x:c>
      <x:c r="O462" s="119" t="n">
        <x:f>ROUNDDOWN(MIN('经济参数'!$E$24,'经济参数'!$E$22+A462*'经济参数'!$E$23)*G462,0)</x:f>
        <x:v>0</x:v>
      </x:c>
      <x:c r="P462" s="119" t="n">
        <x:f>ROUNDDOWN((IF(A462&gt;='材料与任务'!$E$31,'材料与任务'!$E$32,IF(A462&gt;='材料与任务'!$E$25,'材料与任务'!$E$26,IF(A462&gt;='材料与任务'!$E$19,'材料与任务'!$E$20,IF(A462&gt;='材料与任务'!$E$13,'材料与任务'!$E$14,'材料与任务'!$E$8)))))*G462,0)</x:f>
        <x:v>6</x:v>
      </x:c>
      <x:c r="Q462" s="119" t="n">
        <x:f>ROUNDDOWN((IF(A462&gt;='材料与任务'!$E$31,'材料与任务'!$E$33,IF(A462&gt;='材料与任务'!$E$25,'材料与任务'!$E$27,IF(A462&gt;='材料与任务'!$E$19,'材料与任务'!$E$21,IF(A462&gt;='材料与任务'!$E$13,'材料与任务'!$E$15,'材料与任务'!$E$9)))))*G462,0)</x:f>
        <x:v>3</x:v>
      </x:c>
      <x:c r="R462" s="110" t="n">
        <x:f>'装备掉落'!$B$38</x:f>
        <x:v>0.6872058758851213</x:v>
      </x:c>
      <x:c r="S462" s="119" t="n">
        <x:f>MAX(IF(VLOOKUP(A462,'装备掉落'!$A$29:$H$34,2,TRUE)&gt;0,1,0),IF(VLOOKUP(A462,'装备掉落'!$A$29:$H$34,3,TRUE)&gt;0,2,0),IF(VLOOKUP(A462,'装备掉落'!$A$29:$H$34,4,TRUE)&gt;0,3,0),IF(VLOOKUP(A462,'装备掉落'!$A$29:$H$34,5,TRUE)&gt;0,4,0),IF(VLOOKUP(A462,'装备掉落'!$A$29:$H$34,6,TRUE)&gt;0,5,0),IF(VLOOKUP(A462,'装备掉落'!$A$29:$H$34,7,TRUE)&gt;0,6,0),IF(VLOOKUP(A462,'装备掉落'!$A$29:$H$34,8,TRUE)&gt;0,7,0))</x:f>
        <x:v>7</x:v>
      </x:c>
      <x:c r="T462" s="119" t="n">
        <x:f>MIN(7,S462+'经济参数'!$E$70)</x:f>
        <x:v>7</x:v>
      </x:c>
      <x:c r="U462" s="119" t="n">
        <x:f>MIN(7,S462+'经济参数'!$E$71)</x:f>
        <x:v>7</x:v>
      </x:c>
      <x:c r="V462" s="119" t="n">
        <x:f>IF(H462&gt;=('难度参数'!$E$52),1,0)+IF(H462&gt;=('难度参数'!$E$52+'难度参数'!$E$53),1,0)+IF(H462&gt;=('难度参数'!$E$52+'难度参数'!$E$53+'难度参数'!$E$54),1,0)+IF(H462&gt;=('难度参数'!$E$52+'难度参数'!$E$53+'难度参数'!$E$54+'难度参数'!$E$55),1,0)+IF(H462&gt;=('难度参数'!$E$52+'难度参数'!$E$53+'难度参数'!$E$54+'难度参数'!$E$55+'难度参数'!$E$56),1,0)+IF(H462&gt;=('难度参数'!$E$52+'难度参数'!$E$53+'难度参数'!$E$54+'难度参数'!$E$55+'难度参数'!$E$56+'难度参数'!$E$57),1,0)</x:f>
        <x:v>6</x:v>
      </x:c>
      <x:c r="W462" s="62" t="str">
        <x:f>IF(L462&gt;'难度参数'!$E$51,"仅出怪已超目标","还需实测")</x:f>
        <x:v>仅出怪已超目标</x:v>
      </x:c>
      <x:c r="X462" s="119" t="n">
        <x:f>IF(1&gt;D462,0,MAX(2,MIN('难度参数'!$E$12,ROUND(('难度参数'!$E$18*POWER(A462,'难度参数'!$E$19)/D462*(0.85+0.3*(1-1)/MAX(1,D462-1))),0)+F462)))</x:f>
        <x:v>34</x:v>
      </x:c>
      <x:c r="Y462" s="119" t="n">
        <x:f>IF(1&gt;D462,0,ROUND(('难度参数'!$E$13*POWER(A462,'难度参数'!$E$20)*MIN('难度参数'!$E$23,1+MAX(0,A462-'难度参数'!$E$21)*'难度参数'!$E$22))*(36+1*7)/(36+7*(D462+1)/2)*E462,0))</x:f>
        <x:v>7449</x:v>
      </x:c>
      <x:c r="Z462" s="119" t="n">
        <x:f>IF(X462=0,0,(X462-IF(1=D462,1,0))*ROUND(Y462*VLOOKUP(INDEX('章节与怪物'!$E$31:$K$37,B462,1),'章节与怪物'!$A$41:$F$44,2,FALSE),0)+IF(1=D462,ROUND(Y462*'难度参数'!$E$28*'章节与怪物'!$E$17,0),0))</x:f>
        <x:v>253266</x:v>
      </x:c>
      <x:c r="AA462" s="119" t="n">
        <x:f>IF(X462=0,0,(X462-IF(1=D462,1,0))*VLOOKUP(INDEX('章节与怪物'!$E$31:$K$37,B462,1),'章节与怪物'!$A$41:$F$44,4,FALSE)+IF(1=D462,'难度参数'!$E$30,0))</x:f>
        <x:v>612</x:v>
      </x:c>
      <x:c r="AB462" s="119" t="n">
        <x:f>IF(2&gt;D462,0,MAX(2,MIN('难度参数'!$E$12,ROUND(('难度参数'!$E$18*POWER(A462,'难度参数'!$E$19)/D462*(0.85+0.3*(2-1)/MAX(1,D462-1))),0)+F462)))</x:f>
        <x:v>36</x:v>
      </x:c>
      <x:c r="AC462" s="119" t="n">
        <x:f>IF(2&gt;D462,0,ROUND(('难度参数'!$E$13*POWER(A462,'难度参数'!$E$20)*MIN('难度参数'!$E$23,1+MAX(0,A462-'难度参数'!$E$21)*'难度参数'!$E$22))*(36+2*7)/(36+7*(D462+1)/2)*E462,0))</x:f>
        <x:v>8661</x:v>
      </x:c>
      <x:c r="AD462" s="119" t="n">
        <x:f>IF(AB462=0,0,(AB462-IF(2=D462,1,0))*ROUND(AC462*VLOOKUP(INDEX('章节与怪物'!$E$31:$K$37,B462,2),'章节与怪物'!$A$41:$F$44,2,FALSE),0)+IF(2=D462,ROUND(AC462*'难度参数'!$E$28*'章节与怪物'!$E$17,0),0))</x:f>
        <x:v>311796</x:v>
      </x:c>
      <x:c r="AE462" s="119" t="n">
        <x:f>IF(AB462=0,0,(AB462-IF(2=D462,1,0))*VLOOKUP(INDEX('章节与怪物'!$E$31:$K$37,B462,2),'章节与怪物'!$A$41:$F$44,4,FALSE)+IF(2=D462,'难度参数'!$E$30,0))</x:f>
        <x:v>648</x:v>
      </x:c>
      <x:c r="AF462" s="119" t="n">
        <x:f>IF(3&gt;D462,0,MAX(2,MIN('难度参数'!$E$12,ROUND(('难度参数'!$E$18*POWER(A462,'难度参数'!$E$19)/D462*(0.85+0.3*(3-1)/MAX(1,D462-1))),0)+F462)))</x:f>
        <x:v>38</x:v>
      </x:c>
      <x:c r="AG462" s="119" t="n">
        <x:f>IF(3&gt;D462,0,ROUND(('难度参数'!$E$13*POWER(A462,'难度参数'!$E$20)*MIN('难度参数'!$E$23,1+MAX(0,A462-'难度参数'!$E$21)*'难度参数'!$E$22))*(36+3*7)/(36+7*(D462+1)/2)*E462,0))</x:f>
        <x:v>9874</x:v>
      </x:c>
      <x:c r="AH462" s="119" t="n">
        <x:f>IF(AF462=0,0,(AF462-IF(3=D462,1,0))*ROUND(AG462*VLOOKUP(INDEX('章节与怪物'!$E$31:$K$37,B462,3),'章节与怪物'!$A$41:$F$44,2,FALSE),0)+IF(3=D462,ROUND(AG462*'难度参数'!$E$28*'章节与怪物'!$E$17,0),0))</x:f>
        <x:v>270142</x:v>
      </x:c>
      <x:c r="AI462" s="119" t="n">
        <x:f>IF(AF462=0,0,(AF462-IF(3=D462,1,0))*VLOOKUP(INDEX('章节与怪物'!$E$31:$K$37,B462,3),'章节与怪物'!$A$41:$F$44,4,FALSE)+IF(3=D462,'难度参数'!$E$30,0))</x:f>
        <x:v>760</x:v>
      </x:c>
      <x:c r="AJ462" s="119" t="n">
        <x:f>IF(4&gt;D462,0,MAX(2,MIN('难度参数'!$E$12,ROUND(('难度参数'!$E$18*POWER(A462,'难度参数'!$E$19)/D462*(0.85+0.3*(4-1)/MAX(1,D462-1))),0)+F462)))</x:f>
        <x:v>40</x:v>
      </x:c>
      <x:c r="AK462" s="119" t="n">
        <x:f>IF(4&gt;D462,0,ROUND(('难度参数'!$E$13*POWER(A462,'难度参数'!$E$20)*MIN('难度参数'!$E$23,1+MAX(0,A462-'难度参数'!$E$21)*'难度参数'!$E$22))*(36+4*7)/(36+7*(D462+1)/2)*E462,0))</x:f>
        <x:v>11086</x:v>
      </x:c>
      <x:c r="AL462" s="119" t="n">
        <x:f>IF(AJ462=0,0,(AJ462-IF(4=D462,1,0))*ROUND(AK462*VLOOKUP(INDEX('章节与怪物'!$E$31:$K$37,B462,4),'章节与怪物'!$A$41:$F$44,2,FALSE),0)+IF(4=D462,ROUND(AK462*'难度参数'!$E$28*'章节与怪物'!$E$17,0),0))</x:f>
        <x:v>753840</x:v>
      </x:c>
      <x:c r="AM462" s="119" t="n">
        <x:f>IF(AJ462=0,0,(AJ462-IF(4=D462,1,0))*VLOOKUP(INDEX('章节与怪物'!$E$31:$K$37,B462,4),'章节与怪物'!$A$41:$F$44,4,FALSE)+IF(4=D462,'难度参数'!$E$30,0))</x:f>
        <x:v>1120</x:v>
      </x:c>
      <x:c r="AN462" s="119" t="n">
        <x:f>IF(5&gt;D462,0,MAX(2,MIN('难度参数'!$E$12,ROUND(('难度参数'!$E$18*POWER(A462,'难度参数'!$E$19)/D462*(0.85+0.3*(5-1)/MAX(1,D462-1))),0)+F462)))</x:f>
        <x:v>42</x:v>
      </x:c>
      <x:c r="AO462" s="119" t="n">
        <x:f>IF(5&gt;D462,0,ROUND(('难度参数'!$E$13*POWER(A462,'难度参数'!$E$20)*MIN('难度参数'!$E$23,1+MAX(0,A462-'难度参数'!$E$21)*'难度参数'!$E$22))*(36+5*7)/(36+7*(D462+1)/2)*E462,0))</x:f>
        <x:v>12299</x:v>
      </x:c>
      <x:c r="AP462" s="119" t="n">
        <x:f>IF(AN462=0,0,(AN462-IF(5=D462,1,0))*ROUND(AO462*VLOOKUP(INDEX('章节与怪物'!$E$31:$K$37,B462,5),'章节与怪物'!$A$41:$F$44,2,FALSE),0)+IF(5=D462,ROUND(AO462*'难度参数'!$E$28*'章节与怪物'!$E$17,0),0))</x:f>
        <x:v>697368</x:v>
      </x:c>
      <x:c r="AQ462" s="119" t="n">
        <x:f>IF(AN462=0,0,(AN462-IF(5=D462,1,0))*VLOOKUP(INDEX('章节与怪物'!$E$31:$K$37,B462,5),'章节与怪物'!$A$41:$F$44,4,FALSE)+IF(5=D462,'难度参数'!$E$30,0))</x:f>
        <x:v>1428</x:v>
      </x:c>
      <x:c r="AR462" s="119" t="n">
        <x:f>IF(6&gt;D462,0,MAX(2,MIN('难度参数'!$E$12,ROUND(('难度参数'!$E$18*POWER(A462,'难度参数'!$E$19)/D462*(0.85+0.3*(6-1)/MAX(1,D462-1))),0)+F462)))</x:f>
        <x:v>44</x:v>
      </x:c>
      <x:c r="AS462" s="119" t="n">
        <x:f>IF(6&gt;D462,0,ROUND(('难度参数'!$E$13*POWER(A462,'难度参数'!$E$20)*MIN('难度参数'!$E$23,1+MAX(0,A462-'难度参数'!$E$21)*'难度参数'!$E$22))*(36+6*7)/(36+7*(D462+1)/2)*E462,0))</x:f>
        <x:v>13511</x:v>
      </x:c>
      <x:c r="AT462" s="119" t="n">
        <x:f>IF(AR462=0,0,(AR462-IF(6=D462,1,0))*ROUND(AS462*VLOOKUP(INDEX('章节与怪物'!$E$31:$K$37,B462,6),'章节与怪物'!$A$41:$F$44,2,FALSE),0)+IF(6=D462,ROUND(AS462*'难度参数'!$E$28*'章节与怪物'!$E$17,0),0))</x:f>
        <x:v>428032</x:v>
      </x:c>
      <x:c r="AU462" s="119" t="n">
        <x:f>IF(AR462=0,0,(AR462-IF(6=D462,1,0))*VLOOKUP(INDEX('章节与怪物'!$E$31:$K$37,B462,6),'章节与怪物'!$A$41:$F$44,4,FALSE)+IF(6=D462,'难度参数'!$E$30,0))</x:f>
        <x:v>880</x:v>
      </x:c>
      <x:c r="AV462" s="119" t="n">
        <x:f>IF(7&gt;D462,0,MAX(2,MIN('难度参数'!$E$12,ROUND(('难度参数'!$E$18*POWER(A462,'难度参数'!$E$19)/D462*(0.85+0.3*(7-1)/MAX(1,D462-1))),0)+F462)))</x:f>
        <x:v>46</x:v>
      </x:c>
      <x:c r="AW462" s="119" t="n">
        <x:f>IF(7&gt;D462,0,ROUND(('难度参数'!$E$13*POWER(A462,'难度参数'!$E$20)*MIN('难度参数'!$E$23,1+MAX(0,A462-'难度参数'!$E$21)*'难度参数'!$E$22))*(36+7*7)/(36+7*(D462+1)/2)*E462,0))</x:f>
        <x:v>14724</x:v>
      </x:c>
      <x:c r="AX462" s="119" t="n">
        <x:f>IF(AV462=0,0,(AV462-IF(7=D462,1,0))*ROUND(AW462*VLOOKUP(INDEX('章节与怪物'!$E$31:$K$37,B462,7),'章节与怪物'!$A$41:$F$44,2,FALSE),0)+IF(7=D462,ROUND(AW462*'难度参数'!$E$28*'章节与怪物'!$E$17,0),0))</x:f>
        <x:v>1226518</x:v>
      </x:c>
      <x:c r="AY462" s="119" t="n">
        <x:f>IF(AV462=0,0,(AV462-IF(7=D462,1,0))*VLOOKUP(INDEX('章节与怪物'!$E$31:$K$37,B462,7),'章节与怪物'!$A$41:$F$44,4,FALSE)+IF(7=D462,'难度参数'!$E$30,0))</x:f>
        <x:v>1460</x:v>
      </x:c>
    </x:row>
    <x:row r="463" ht="23" customHeight="1">
      <x:c r="A463" s="119" t="n">
        <x:v>457</x:v>
      </x:c>
      <x:c r="B463" s="119" t="n">
        <x:f>MOD(INT((A463-1)/5),7)+1</x:f>
        <x:v>1</x:v>
      </x:c>
      <x:c r="C463" s="62" t="str">
        <x:f>INDEX('章节与怪物'!$B$31:$B$37,B463)</x:f>
        <x:v>冰雪荒原</x:v>
      </x:c>
      <x:c r="D463" s="119" t="n">
        <x:f>MIN('难度参数'!$E$8,MAX('难度参数'!$E$7,A463))</x:f>
        <x:v>7</x:v>
      </x:c>
      <x:c r="E463" s="106" t="n">
        <x:v>1</x:v>
      </x:c>
      <x:c r="F463" s="106" t="n">
        <x:v>0</x:v>
      </x:c>
      <x:c r="G463" s="106" t="n">
        <x:v>1</x:v>
      </x:c>
      <x:c r="H463" s="119" t="n">
        <x:f>SUM(X463,AB463,AF463,AJ463,AN463,AR463,AV463)</x:f>
        <x:v>280</x:v>
      </x:c>
      <x:c r="I463" s="119" t="n">
        <x:f>SUM(Z463,AD463,AH463,AL463,AP463,AT463,AX463)</x:f>
        <x:v>3947164</x:v>
      </x:c>
      <x:c r="J463" s="119" t="n">
        <x:f>ROUND(INDEX(X463:AY463,1,(D463-1)*4+2)*'难度参数'!$E$28*'章节与怪物'!$E$17,0)</x:f>
        <x:v>100280</x:v>
      </x:c>
      <x:c r="K463" s="119" t="n">
        <x:f>SUM(AA463,AE463,AI463,AM463,AQ463,AU463,AY463)</x:f>
        <x:v>6908</x:v>
      </x:c>
      <x:c r="L463" s="62" t="n">
        <x:f>H463*(ROUNDUP('难度参数'!$E$24/('难度参数'!$E$26*'难度参数'!$E$27),0)*'难度参数'!$E$26)/60</x:f>
        <x:v>3.7333333333333334</x:v>
      </x:c>
      <x:c r="M463" s="62" t="n">
        <x:f>L463+D463*('难度参数'!$E$49+'难度参数'!$E$50)/60</x:f>
        <x:v>4.9</x:v>
      </x:c>
      <x:c r="N463" s="119" t="n">
        <x:f>ROUNDDOWN(('经济参数'!$E$20+A463*'经济参数'!$E$21)*G463,0)</x:f>
        <x:v>9320</x:v>
      </x:c>
      <x:c r="O463" s="119" t="n">
        <x:f>ROUNDDOWN(MIN('经济参数'!$E$24,'经济参数'!$E$22+A463*'经济参数'!$E$23)*G463,0)</x:f>
        <x:v>0</x:v>
      </x:c>
      <x:c r="P463" s="119" t="n">
        <x:f>ROUNDDOWN((IF(A463&gt;='材料与任务'!$E$31,'材料与任务'!$E$32,IF(A463&gt;='材料与任务'!$E$25,'材料与任务'!$E$26,IF(A463&gt;='材料与任务'!$E$19,'材料与任务'!$E$20,IF(A463&gt;='材料与任务'!$E$13,'材料与任务'!$E$14,'材料与任务'!$E$8)))))*G463,0)</x:f>
        <x:v>6</x:v>
      </x:c>
      <x:c r="Q463" s="119" t="n">
        <x:f>ROUNDDOWN((IF(A463&gt;='材料与任务'!$E$31,'材料与任务'!$E$33,IF(A463&gt;='材料与任务'!$E$25,'材料与任务'!$E$27,IF(A463&gt;='材料与任务'!$E$19,'材料与任务'!$E$21,IF(A463&gt;='材料与任务'!$E$13,'材料与任务'!$E$15,'材料与任务'!$E$9)))))*G463,0)</x:f>
        <x:v>3</x:v>
      </x:c>
      <x:c r="R463" s="110" t="n">
        <x:f>'装备掉落'!$B$38</x:f>
        <x:v>0.6872058758851213</x:v>
      </x:c>
      <x:c r="S463" s="119" t="n">
        <x:f>MAX(IF(VLOOKUP(A463,'装备掉落'!$A$29:$H$34,2,TRUE)&gt;0,1,0),IF(VLOOKUP(A463,'装备掉落'!$A$29:$H$34,3,TRUE)&gt;0,2,0),IF(VLOOKUP(A463,'装备掉落'!$A$29:$H$34,4,TRUE)&gt;0,3,0),IF(VLOOKUP(A463,'装备掉落'!$A$29:$H$34,5,TRUE)&gt;0,4,0),IF(VLOOKUP(A463,'装备掉落'!$A$29:$H$34,6,TRUE)&gt;0,5,0),IF(VLOOKUP(A463,'装备掉落'!$A$29:$H$34,7,TRUE)&gt;0,6,0),IF(VLOOKUP(A463,'装备掉落'!$A$29:$H$34,8,TRUE)&gt;0,7,0))</x:f>
        <x:v>7</x:v>
      </x:c>
      <x:c r="T463" s="119" t="n">
        <x:f>MIN(7,S463+'经济参数'!$E$70)</x:f>
        <x:v>7</x:v>
      </x:c>
      <x:c r="U463" s="119" t="n">
        <x:f>MIN(7,S463+'经济参数'!$E$71)</x:f>
        <x:v>7</x:v>
      </x:c>
      <x:c r="V463" s="119" t="n">
        <x:f>IF(H463&gt;=('难度参数'!$E$52),1,0)+IF(H463&gt;=('难度参数'!$E$52+'难度参数'!$E$53),1,0)+IF(H463&gt;=('难度参数'!$E$52+'难度参数'!$E$53+'难度参数'!$E$54),1,0)+IF(H463&gt;=('难度参数'!$E$52+'难度参数'!$E$53+'难度参数'!$E$54+'难度参数'!$E$55),1,0)+IF(H463&gt;=('难度参数'!$E$52+'难度参数'!$E$53+'难度参数'!$E$54+'难度参数'!$E$55+'难度参数'!$E$56),1,0)+IF(H463&gt;=('难度参数'!$E$52+'难度参数'!$E$53+'难度参数'!$E$54+'难度参数'!$E$55+'难度参数'!$E$56+'难度参数'!$E$57),1,0)</x:f>
        <x:v>6</x:v>
      </x:c>
      <x:c r="W463" s="62" t="str">
        <x:f>IF(L463&gt;'难度参数'!$E$51,"仅出怪已超目标","还需实测")</x:f>
        <x:v>仅出怪已超目标</x:v>
      </x:c>
      <x:c r="X463" s="119" t="n">
        <x:f>IF(1&gt;D463,0,MAX(2,MIN('难度参数'!$E$12,ROUND(('难度参数'!$E$18*POWER(A463,'难度参数'!$E$19)/D463*(0.85+0.3*(1-1)/MAX(1,D463-1))),0)+F463)))</x:f>
        <x:v>34</x:v>
      </x:c>
      <x:c r="Y463" s="119" t="n">
        <x:f>IF(1&gt;D463,0,ROUND(('难度参数'!$E$13*POWER(A463,'难度参数'!$E$20)*MIN('难度参数'!$E$23,1+MAX(0,A463-'难度参数'!$E$21)*'难度参数'!$E$22))*(36+1*7)/(36+7*(D463+1)/2)*E463,0))</x:f>
        <x:v>7460</x:v>
      </x:c>
      <x:c r="Z463" s="119" t="n">
        <x:f>IF(X463=0,0,(X463-IF(1=D463,1,0))*ROUND(Y463*VLOOKUP(INDEX('章节与怪物'!$E$31:$K$37,B463,1),'章节与怪物'!$A$41:$F$44,2,FALSE),0)+IF(1=D463,ROUND(Y463*'难度参数'!$E$28*'章节与怪物'!$E$17,0),0))</x:f>
        <x:v>253640</x:v>
      </x:c>
      <x:c r="AA463" s="119" t="n">
        <x:f>IF(X463=0,0,(X463-IF(1=D463,1,0))*VLOOKUP(INDEX('章节与怪物'!$E$31:$K$37,B463,1),'章节与怪物'!$A$41:$F$44,4,FALSE)+IF(1=D463,'难度参数'!$E$30,0))</x:f>
        <x:v>612</x:v>
      </x:c>
      <x:c r="AB463" s="119" t="n">
        <x:f>IF(2&gt;D463,0,MAX(2,MIN('难度参数'!$E$12,ROUND(('难度参数'!$E$18*POWER(A463,'难度参数'!$E$19)/D463*(0.85+0.3*(2-1)/MAX(1,D463-1))),0)+F463)))</x:f>
        <x:v>36</x:v>
      </x:c>
      <x:c r="AC463" s="119" t="n">
        <x:f>IF(2&gt;D463,0,ROUND(('难度参数'!$E$13*POWER(A463,'难度参数'!$E$20)*MIN('难度参数'!$E$23,1+MAX(0,A463-'难度参数'!$E$21)*'难度参数'!$E$22))*(36+2*7)/(36+7*(D463+1)/2)*E463,0))</x:f>
        <x:v>8675</x:v>
      </x:c>
      <x:c r="AD463" s="119" t="n">
        <x:f>IF(AB463=0,0,(AB463-IF(2=D463,1,0))*ROUND(AC463*VLOOKUP(INDEX('章节与怪物'!$E$31:$K$37,B463,2),'章节与怪物'!$A$41:$F$44,2,FALSE),0)+IF(2=D463,ROUND(AC463*'难度参数'!$E$28*'章节与怪物'!$E$17,0),0))</x:f>
        <x:v>312300</x:v>
      </x:c>
      <x:c r="AE463" s="119" t="n">
        <x:f>IF(AB463=0,0,(AB463-IF(2=D463,1,0))*VLOOKUP(INDEX('章节与怪物'!$E$31:$K$37,B463,2),'章节与怪物'!$A$41:$F$44,4,FALSE)+IF(2=D463,'难度参数'!$E$30,0))</x:f>
        <x:v>648</x:v>
      </x:c>
      <x:c r="AF463" s="119" t="n">
        <x:f>IF(3&gt;D463,0,MAX(2,MIN('难度参数'!$E$12,ROUND(('难度参数'!$E$18*POWER(A463,'难度参数'!$E$19)/D463*(0.85+0.3*(3-1)/MAX(1,D463-1))),0)+F463)))</x:f>
        <x:v>38</x:v>
      </x:c>
      <x:c r="AG463" s="119" t="n">
        <x:f>IF(3&gt;D463,0,ROUND(('难度参数'!$E$13*POWER(A463,'难度参数'!$E$20)*MIN('难度参数'!$E$23,1+MAX(0,A463-'难度参数'!$E$21)*'难度参数'!$E$22))*(36+3*7)/(36+7*(D463+1)/2)*E463,0))</x:f>
        <x:v>9889</x:v>
      </x:c>
      <x:c r="AH463" s="119" t="n">
        <x:f>IF(AF463=0,0,(AF463-IF(3=D463,1,0))*ROUND(AG463*VLOOKUP(INDEX('章节与怪物'!$E$31:$K$37,B463,3),'章节与怪物'!$A$41:$F$44,2,FALSE),0)+IF(3=D463,ROUND(AG463*'难度参数'!$E$28*'章节与怪物'!$E$17,0),0))</x:f>
        <x:v>270560</x:v>
      </x:c>
      <x:c r="AI463" s="119" t="n">
        <x:f>IF(AF463=0,0,(AF463-IF(3=D463,1,0))*VLOOKUP(INDEX('章节与怪物'!$E$31:$K$37,B463,3),'章节与怪物'!$A$41:$F$44,4,FALSE)+IF(3=D463,'难度参数'!$E$30,0))</x:f>
        <x:v>760</x:v>
      </x:c>
      <x:c r="AJ463" s="119" t="n">
        <x:f>IF(4&gt;D463,0,MAX(2,MIN('难度参数'!$E$12,ROUND(('难度参数'!$E$18*POWER(A463,'难度参数'!$E$19)/D463*(0.85+0.3*(4-1)/MAX(1,D463-1))),0)+F463)))</x:f>
        <x:v>40</x:v>
      </x:c>
      <x:c r="AK463" s="119" t="n">
        <x:f>IF(4&gt;D463,0,ROUND(('难度参数'!$E$13*POWER(A463,'难度参数'!$E$20)*MIN('难度参数'!$E$23,1+MAX(0,A463-'难度参数'!$E$21)*'难度参数'!$E$22))*(36+4*7)/(36+7*(D463+1)/2)*E463,0))</x:f>
        <x:v>11104</x:v>
      </x:c>
      <x:c r="AL463" s="119" t="n">
        <x:f>IF(AJ463=0,0,(AJ463-IF(4=D463,1,0))*ROUND(AK463*VLOOKUP(INDEX('章节与怪物'!$E$31:$K$37,B463,4),'章节与怪物'!$A$41:$F$44,2,FALSE),0)+IF(4=D463,ROUND(AK463*'难度参数'!$E$28*'章节与怪物'!$E$17,0),0))</x:f>
        <x:v>755080</x:v>
      </x:c>
      <x:c r="AM463" s="119" t="n">
        <x:f>IF(AJ463=0,0,(AJ463-IF(4=D463,1,0))*VLOOKUP(INDEX('章节与怪物'!$E$31:$K$37,B463,4),'章节与怪物'!$A$41:$F$44,4,FALSE)+IF(4=D463,'难度参数'!$E$30,0))</x:f>
        <x:v>1120</x:v>
      </x:c>
      <x:c r="AN463" s="119" t="n">
        <x:f>IF(5&gt;D463,0,MAX(2,MIN('难度参数'!$E$12,ROUND(('难度参数'!$E$18*POWER(A463,'难度参数'!$E$19)/D463*(0.85+0.3*(5-1)/MAX(1,D463-1))),0)+F463)))</x:f>
        <x:v>42</x:v>
      </x:c>
      <x:c r="AO463" s="119" t="n">
        <x:f>IF(5&gt;D463,0,ROUND(('难度参数'!$E$13*POWER(A463,'难度参数'!$E$20)*MIN('难度参数'!$E$23,1+MAX(0,A463-'难度参数'!$E$21)*'难度参数'!$E$22))*(36+5*7)/(36+7*(D463+1)/2)*E463,0))</x:f>
        <x:v>12318</x:v>
      </x:c>
      <x:c r="AP463" s="119" t="n">
        <x:f>IF(AN463=0,0,(AN463-IF(5=D463,1,0))*ROUND(AO463*VLOOKUP(INDEX('章节与怪物'!$E$31:$K$37,B463,5),'章节与怪物'!$A$41:$F$44,2,FALSE),0)+IF(5=D463,ROUND(AO463*'难度参数'!$E$28*'章节与怪物'!$E$17,0),0))</x:f>
        <x:v>698418</x:v>
      </x:c>
      <x:c r="AQ463" s="119" t="n">
        <x:f>IF(AN463=0,0,(AN463-IF(5=D463,1,0))*VLOOKUP(INDEX('章节与怪物'!$E$31:$K$37,B463,5),'章节与怪物'!$A$41:$F$44,4,FALSE)+IF(5=D463,'难度参数'!$E$30,0))</x:f>
        <x:v>1428</x:v>
      </x:c>
      <x:c r="AR463" s="119" t="n">
        <x:f>IF(6&gt;D463,0,MAX(2,MIN('难度参数'!$E$12,ROUND(('难度参数'!$E$18*POWER(A463,'难度参数'!$E$19)/D463*(0.85+0.3*(6-1)/MAX(1,D463-1))),0)+F463)))</x:f>
        <x:v>44</x:v>
      </x:c>
      <x:c r="AS463" s="119" t="n">
        <x:f>IF(6&gt;D463,0,ROUND(('难度参数'!$E$13*POWER(A463,'难度参数'!$E$20)*MIN('难度参数'!$E$23,1+MAX(0,A463-'难度参数'!$E$21)*'难度参数'!$E$22))*(36+6*7)/(36+7*(D463+1)/2)*E463,0))</x:f>
        <x:v>13533</x:v>
      </x:c>
      <x:c r="AT463" s="119" t="n">
        <x:f>IF(AR463=0,0,(AR463-IF(6=D463,1,0))*ROUND(AS463*VLOOKUP(INDEX('章节与怪物'!$E$31:$K$37,B463,6),'章节与怪物'!$A$41:$F$44,2,FALSE),0)+IF(6=D463,ROUND(AS463*'难度参数'!$E$28*'章节与怪物'!$E$17,0),0))</x:f>
        <x:v>428736</x:v>
      </x:c>
      <x:c r="AU463" s="119" t="n">
        <x:f>IF(AR463=0,0,(AR463-IF(6=D463,1,0))*VLOOKUP(INDEX('章节与怪物'!$E$31:$K$37,B463,6),'章节与怪物'!$A$41:$F$44,4,FALSE)+IF(6=D463,'难度参数'!$E$30,0))</x:f>
        <x:v>880</x:v>
      </x:c>
      <x:c r="AV463" s="119" t="n">
        <x:f>IF(7&gt;D463,0,MAX(2,MIN('难度参数'!$E$12,ROUND(('难度参数'!$E$18*POWER(A463,'难度参数'!$E$19)/D463*(0.85+0.3*(7-1)/MAX(1,D463-1))),0)+F463)))</x:f>
        <x:v>46</x:v>
      </x:c>
      <x:c r="AW463" s="119" t="n">
        <x:f>IF(7&gt;D463,0,ROUND(('难度参数'!$E$13*POWER(A463,'难度参数'!$E$20)*MIN('难度参数'!$E$23,1+MAX(0,A463-'难度参数'!$E$21)*'难度参数'!$E$22))*(36+7*7)/(36+7*(D463+1)/2)*E463,0))</x:f>
        <x:v>14747</x:v>
      </x:c>
      <x:c r="AX463" s="119" t="n">
        <x:f>IF(AV463=0,0,(AV463-IF(7=D463,1,0))*ROUND(AW463*VLOOKUP(INDEX('章节与怪物'!$E$31:$K$37,B463,7),'章节与怪物'!$A$41:$F$44,2,FALSE),0)+IF(7=D463,ROUND(AW463*'难度参数'!$E$28*'章节与怪物'!$E$17,0),0))</x:f>
        <x:v>1228430</x:v>
      </x:c>
      <x:c r="AY463" s="119" t="n">
        <x:f>IF(AV463=0,0,(AV463-IF(7=D463,1,0))*VLOOKUP(INDEX('章节与怪物'!$E$31:$K$37,B463,7),'章节与怪物'!$A$41:$F$44,4,FALSE)+IF(7=D463,'难度参数'!$E$30,0))</x:f>
        <x:v>1460</x:v>
      </x:c>
    </x:row>
    <x:row r="464" ht="23" customHeight="1">
      <x:c r="A464" s="119" t="n">
        <x:v>458</x:v>
      </x:c>
      <x:c r="B464" s="119" t="n">
        <x:f>MOD(INT((A464-1)/5),7)+1</x:f>
        <x:v>1</x:v>
      </x:c>
      <x:c r="C464" s="62" t="str">
        <x:f>INDEX('章节与怪物'!$B$31:$B$37,B464)</x:f>
        <x:v>冰雪荒原</x:v>
      </x:c>
      <x:c r="D464" s="119" t="n">
        <x:f>MIN('难度参数'!$E$8,MAX('难度参数'!$E$7,A464))</x:f>
        <x:v>7</x:v>
      </x:c>
      <x:c r="E464" s="106" t="n">
        <x:v>1</x:v>
      </x:c>
      <x:c r="F464" s="106" t="n">
        <x:v>0</x:v>
      </x:c>
      <x:c r="G464" s="106" t="n">
        <x:v>1</x:v>
      </x:c>
      <x:c r="H464" s="119" t="n">
        <x:f>SUM(X464,AB464,AF464,AJ464,AN464,AR464,AV464)</x:f>
        <x:v>280</x:v>
      </x:c>
      <x:c r="I464" s="119" t="n">
        <x:f>SUM(Z464,AD464,AH464,AL464,AP464,AT464,AX464)</x:f>
        <x:v>3953494</x:v>
      </x:c>
      <x:c r="J464" s="119" t="n">
        <x:f>ROUND(INDEX(X464:AY464,1,(D464-1)*4+2)*'难度参数'!$E$28*'章节与怪物'!$E$17,0)</x:f>
        <x:v>100443</x:v>
      </x:c>
      <x:c r="K464" s="119" t="n">
        <x:f>SUM(AA464,AE464,AI464,AM464,AQ464,AU464,AY464)</x:f>
        <x:v>6908</x:v>
      </x:c>
      <x:c r="L464" s="62" t="n">
        <x:f>H464*(ROUNDUP('难度参数'!$E$24/('难度参数'!$E$26*'难度参数'!$E$27),0)*'难度参数'!$E$26)/60</x:f>
        <x:v>3.7333333333333334</x:v>
      </x:c>
      <x:c r="M464" s="62" t="n">
        <x:f>L464+D464*('难度参数'!$E$49+'难度参数'!$E$50)/60</x:f>
        <x:v>4.9</x:v>
      </x:c>
      <x:c r="N464" s="119" t="n">
        <x:f>ROUNDDOWN(('经济参数'!$E$20+A464*'经济参数'!$E$21)*G464,0)</x:f>
        <x:v>9340</x:v>
      </x:c>
      <x:c r="O464" s="119" t="n">
        <x:f>ROUNDDOWN(MIN('经济参数'!$E$24,'经济参数'!$E$22+A464*'经济参数'!$E$23)*G464,0)</x:f>
        <x:v>0</x:v>
      </x:c>
      <x:c r="P464" s="119" t="n">
        <x:f>ROUNDDOWN((IF(A464&gt;='材料与任务'!$E$31,'材料与任务'!$E$32,IF(A464&gt;='材料与任务'!$E$25,'材料与任务'!$E$26,IF(A464&gt;='材料与任务'!$E$19,'材料与任务'!$E$20,IF(A464&gt;='材料与任务'!$E$13,'材料与任务'!$E$14,'材料与任务'!$E$8)))))*G464,0)</x:f>
        <x:v>6</x:v>
      </x:c>
      <x:c r="Q464" s="119" t="n">
        <x:f>ROUNDDOWN((IF(A464&gt;='材料与任务'!$E$31,'材料与任务'!$E$33,IF(A464&gt;='材料与任务'!$E$25,'材料与任务'!$E$27,IF(A464&gt;='材料与任务'!$E$19,'材料与任务'!$E$21,IF(A464&gt;='材料与任务'!$E$13,'材料与任务'!$E$15,'材料与任务'!$E$9)))))*G464,0)</x:f>
        <x:v>3</x:v>
      </x:c>
      <x:c r="R464" s="110" t="n">
        <x:f>'装备掉落'!$B$38</x:f>
        <x:v>0.6872058758851213</x:v>
      </x:c>
      <x:c r="S464" s="119" t="n">
        <x:f>MAX(IF(VLOOKUP(A464,'装备掉落'!$A$29:$H$34,2,TRUE)&gt;0,1,0),IF(VLOOKUP(A464,'装备掉落'!$A$29:$H$34,3,TRUE)&gt;0,2,0),IF(VLOOKUP(A464,'装备掉落'!$A$29:$H$34,4,TRUE)&gt;0,3,0),IF(VLOOKUP(A464,'装备掉落'!$A$29:$H$34,5,TRUE)&gt;0,4,0),IF(VLOOKUP(A464,'装备掉落'!$A$29:$H$34,6,TRUE)&gt;0,5,0),IF(VLOOKUP(A464,'装备掉落'!$A$29:$H$34,7,TRUE)&gt;0,6,0),IF(VLOOKUP(A464,'装备掉落'!$A$29:$H$34,8,TRUE)&gt;0,7,0))</x:f>
        <x:v>7</x:v>
      </x:c>
      <x:c r="T464" s="119" t="n">
        <x:f>MIN(7,S464+'经济参数'!$E$70)</x:f>
        <x:v>7</x:v>
      </x:c>
      <x:c r="U464" s="119" t="n">
        <x:f>MIN(7,S464+'经济参数'!$E$71)</x:f>
        <x:v>7</x:v>
      </x:c>
      <x:c r="V464" s="119" t="n">
        <x:f>IF(H464&gt;=('难度参数'!$E$52),1,0)+IF(H464&gt;=('难度参数'!$E$52+'难度参数'!$E$53),1,0)+IF(H464&gt;=('难度参数'!$E$52+'难度参数'!$E$53+'难度参数'!$E$54),1,0)+IF(H464&gt;=('难度参数'!$E$52+'难度参数'!$E$53+'难度参数'!$E$54+'难度参数'!$E$55),1,0)+IF(H464&gt;=('难度参数'!$E$52+'难度参数'!$E$53+'难度参数'!$E$54+'难度参数'!$E$55+'难度参数'!$E$56),1,0)+IF(H464&gt;=('难度参数'!$E$52+'难度参数'!$E$53+'难度参数'!$E$54+'难度参数'!$E$55+'难度参数'!$E$56+'难度参数'!$E$57),1,0)</x:f>
        <x:v>6</x:v>
      </x:c>
      <x:c r="W464" s="62" t="str">
        <x:f>IF(L464&gt;'难度参数'!$E$51,"仅出怪已超目标","还需实测")</x:f>
        <x:v>仅出怪已超目标</x:v>
      </x:c>
      <x:c r="X464" s="119" t="n">
        <x:f>IF(1&gt;D464,0,MAX(2,MIN('难度参数'!$E$12,ROUND(('难度参数'!$E$18*POWER(A464,'难度参数'!$E$19)/D464*(0.85+0.3*(1-1)/MAX(1,D464-1))),0)+F464)))</x:f>
        <x:v>34</x:v>
      </x:c>
      <x:c r="Y464" s="119" t="n">
        <x:f>IF(1&gt;D464,0,ROUND(('难度参数'!$E$13*POWER(A464,'难度参数'!$E$20)*MIN('难度参数'!$E$23,1+MAX(0,A464-'难度参数'!$E$21)*'难度参数'!$E$22))*(36+1*7)/(36+7*(D464+1)/2)*E464,0))</x:f>
        <x:v>7472</x:v>
      </x:c>
      <x:c r="Z464" s="119" t="n">
        <x:f>IF(X464=0,0,(X464-IF(1=D464,1,0))*ROUND(Y464*VLOOKUP(INDEX('章节与怪物'!$E$31:$K$37,B464,1),'章节与怪物'!$A$41:$F$44,2,FALSE),0)+IF(1=D464,ROUND(Y464*'难度参数'!$E$28*'章节与怪物'!$E$17,0),0))</x:f>
        <x:v>254048</x:v>
      </x:c>
      <x:c r="AA464" s="119" t="n">
        <x:f>IF(X464=0,0,(X464-IF(1=D464,1,0))*VLOOKUP(INDEX('章节与怪物'!$E$31:$K$37,B464,1),'章节与怪物'!$A$41:$F$44,4,FALSE)+IF(1=D464,'难度参数'!$E$30,0))</x:f>
        <x:v>612</x:v>
      </x:c>
      <x:c r="AB464" s="119" t="n">
        <x:f>IF(2&gt;D464,0,MAX(2,MIN('难度参数'!$E$12,ROUND(('难度参数'!$E$18*POWER(A464,'难度参数'!$E$19)/D464*(0.85+0.3*(2-1)/MAX(1,D464-1))),0)+F464)))</x:f>
        <x:v>36</x:v>
      </x:c>
      <x:c r="AC464" s="119" t="n">
        <x:f>IF(2&gt;D464,0,ROUND(('难度参数'!$E$13*POWER(A464,'难度参数'!$E$20)*MIN('难度参数'!$E$23,1+MAX(0,A464-'难度参数'!$E$21)*'难度参数'!$E$22))*(36+2*7)/(36+7*(D464+1)/2)*E464,0))</x:f>
        <x:v>8689</x:v>
      </x:c>
      <x:c r="AD464" s="119" t="n">
        <x:f>IF(AB464=0,0,(AB464-IF(2=D464,1,0))*ROUND(AC464*VLOOKUP(INDEX('章节与怪物'!$E$31:$K$37,B464,2),'章节与怪物'!$A$41:$F$44,2,FALSE),0)+IF(2=D464,ROUND(AC464*'难度参数'!$E$28*'章节与怪物'!$E$17,0),0))</x:f>
        <x:v>312804</x:v>
      </x:c>
      <x:c r="AE464" s="119" t="n">
        <x:f>IF(AB464=0,0,(AB464-IF(2=D464,1,0))*VLOOKUP(INDEX('章节与怪物'!$E$31:$K$37,B464,2),'章节与怪物'!$A$41:$F$44,4,FALSE)+IF(2=D464,'难度参数'!$E$30,0))</x:f>
        <x:v>648</x:v>
      </x:c>
      <x:c r="AF464" s="119" t="n">
        <x:f>IF(3&gt;D464,0,MAX(2,MIN('难度参数'!$E$12,ROUND(('难度参数'!$E$18*POWER(A464,'难度参数'!$E$19)/D464*(0.85+0.3*(3-1)/MAX(1,D464-1))),0)+F464)))</x:f>
        <x:v>38</x:v>
      </x:c>
      <x:c r="AG464" s="119" t="n">
        <x:f>IF(3&gt;D464,0,ROUND(('难度参数'!$E$13*POWER(A464,'难度参数'!$E$20)*MIN('难度参数'!$E$23,1+MAX(0,A464-'难度参数'!$E$21)*'难度参数'!$E$22))*(36+3*7)/(36+7*(D464+1)/2)*E464,0))</x:f>
        <x:v>9905</x:v>
      </x:c>
      <x:c r="AH464" s="119" t="n">
        <x:f>IF(AF464=0,0,(AF464-IF(3=D464,1,0))*ROUND(AG464*VLOOKUP(INDEX('章节与怪物'!$E$31:$K$37,B464,3),'章节与怪物'!$A$41:$F$44,2,FALSE),0)+IF(3=D464,ROUND(AG464*'难度参数'!$E$28*'章节与怪物'!$E$17,0),0))</x:f>
        <x:v>271016</x:v>
      </x:c>
      <x:c r="AI464" s="119" t="n">
        <x:f>IF(AF464=0,0,(AF464-IF(3=D464,1,0))*VLOOKUP(INDEX('章节与怪物'!$E$31:$K$37,B464,3),'章节与怪物'!$A$41:$F$44,4,FALSE)+IF(3=D464,'难度参数'!$E$30,0))</x:f>
        <x:v>760</x:v>
      </x:c>
      <x:c r="AJ464" s="119" t="n">
        <x:f>IF(4&gt;D464,0,MAX(2,MIN('难度参数'!$E$12,ROUND(('难度参数'!$E$18*POWER(A464,'难度参数'!$E$19)/D464*(0.85+0.3*(4-1)/MAX(1,D464-1))),0)+F464)))</x:f>
        <x:v>40</x:v>
      </x:c>
      <x:c r="AK464" s="119" t="n">
        <x:f>IF(4&gt;D464,0,ROUND(('难度参数'!$E$13*POWER(A464,'难度参数'!$E$20)*MIN('难度参数'!$E$23,1+MAX(0,A464-'难度参数'!$E$21)*'难度参数'!$E$22))*(36+4*7)/(36+7*(D464+1)/2)*E464,0))</x:f>
        <x:v>11121</x:v>
      </x:c>
      <x:c r="AL464" s="119" t="n">
        <x:f>IF(AJ464=0,0,(AJ464-IF(4=D464,1,0))*ROUND(AK464*VLOOKUP(INDEX('章节与怪物'!$E$31:$K$37,B464,4),'章节与怪物'!$A$41:$F$44,2,FALSE),0)+IF(4=D464,ROUND(AK464*'难度参数'!$E$28*'章节与怪物'!$E$17,0),0))</x:f>
        <x:v>756240</x:v>
      </x:c>
      <x:c r="AM464" s="119" t="n">
        <x:f>IF(AJ464=0,0,(AJ464-IF(4=D464,1,0))*VLOOKUP(INDEX('章节与怪物'!$E$31:$K$37,B464,4),'章节与怪物'!$A$41:$F$44,4,FALSE)+IF(4=D464,'难度参数'!$E$30,0))</x:f>
        <x:v>1120</x:v>
      </x:c>
      <x:c r="AN464" s="119" t="n">
        <x:f>IF(5&gt;D464,0,MAX(2,MIN('难度参数'!$E$12,ROUND(('难度参数'!$E$18*POWER(A464,'难度参数'!$E$19)/D464*(0.85+0.3*(5-1)/MAX(1,D464-1))),0)+F464)))</x:f>
        <x:v>42</x:v>
      </x:c>
      <x:c r="AO464" s="119" t="n">
        <x:f>IF(5&gt;D464,0,ROUND(('难度参数'!$E$13*POWER(A464,'难度参数'!$E$20)*MIN('难度参数'!$E$23,1+MAX(0,A464-'难度参数'!$E$21)*'难度参数'!$E$22))*(36+5*7)/(36+7*(D464+1)/2)*E464,0))</x:f>
        <x:v>12338</x:v>
      </x:c>
      <x:c r="AP464" s="119" t="n">
        <x:f>IF(AN464=0,0,(AN464-IF(5=D464,1,0))*ROUND(AO464*VLOOKUP(INDEX('章节与怪物'!$E$31:$K$37,B464,5),'章节与怪物'!$A$41:$F$44,2,FALSE),0)+IF(5=D464,ROUND(AO464*'难度参数'!$E$28*'章节与怪物'!$E$17,0),0))</x:f>
        <x:v>699552</x:v>
      </x:c>
      <x:c r="AQ464" s="119" t="n">
        <x:f>IF(AN464=0,0,(AN464-IF(5=D464,1,0))*VLOOKUP(INDEX('章节与怪物'!$E$31:$K$37,B464,5),'章节与怪物'!$A$41:$F$44,4,FALSE)+IF(5=D464,'难度参数'!$E$30,0))</x:f>
        <x:v>1428</x:v>
      </x:c>
      <x:c r="AR464" s="119" t="n">
        <x:f>IF(6&gt;D464,0,MAX(2,MIN('难度参数'!$E$12,ROUND(('难度参数'!$E$18*POWER(A464,'难度参数'!$E$19)/D464*(0.85+0.3*(6-1)/MAX(1,D464-1))),0)+F464)))</x:f>
        <x:v>44</x:v>
      </x:c>
      <x:c r="AS464" s="119" t="n">
        <x:f>IF(6&gt;D464,0,ROUND(('难度参数'!$E$13*POWER(A464,'难度参数'!$E$20)*MIN('难度参数'!$E$23,1+MAX(0,A464-'难度参数'!$E$21)*'难度参数'!$E$22))*(36+6*7)/(36+7*(D464+1)/2)*E464,0))</x:f>
        <x:v>13554</x:v>
      </x:c>
      <x:c r="AT464" s="119" t="n">
        <x:f>IF(AR464=0,0,(AR464-IF(6=D464,1,0))*ROUND(AS464*VLOOKUP(INDEX('章节与怪物'!$E$31:$K$37,B464,6),'章节与怪物'!$A$41:$F$44,2,FALSE),0)+IF(6=D464,ROUND(AS464*'难度参数'!$E$28*'章节与怪物'!$E$17,0),0))</x:f>
        <x:v>429396</x:v>
      </x:c>
      <x:c r="AU464" s="119" t="n">
        <x:f>IF(AR464=0,0,(AR464-IF(6=D464,1,0))*VLOOKUP(INDEX('章节与怪物'!$E$31:$K$37,B464,6),'章节与怪物'!$A$41:$F$44,4,FALSE)+IF(6=D464,'难度参数'!$E$30,0))</x:f>
        <x:v>880</x:v>
      </x:c>
      <x:c r="AV464" s="119" t="n">
        <x:f>IF(7&gt;D464,0,MAX(2,MIN('难度参数'!$E$12,ROUND(('难度参数'!$E$18*POWER(A464,'难度参数'!$E$19)/D464*(0.85+0.3*(7-1)/MAX(1,D464-1))),0)+F464)))</x:f>
        <x:v>46</x:v>
      </x:c>
      <x:c r="AW464" s="119" t="n">
        <x:f>IF(7&gt;D464,0,ROUND(('难度参数'!$E$13*POWER(A464,'难度参数'!$E$20)*MIN('难度参数'!$E$23,1+MAX(0,A464-'难度参数'!$E$21)*'难度参数'!$E$22))*(36+7*7)/(36+7*(D464+1)/2)*E464,0))</x:f>
        <x:v>14771</x:v>
      </x:c>
      <x:c r="AX464" s="119" t="n">
        <x:f>IF(AV464=0,0,(AV464-IF(7=D464,1,0))*ROUND(AW464*VLOOKUP(INDEX('章节与怪物'!$E$31:$K$37,B464,7),'章节与怪物'!$A$41:$F$44,2,FALSE),0)+IF(7=D464,ROUND(AW464*'难度参数'!$E$28*'章节与怪物'!$E$17,0),0))</x:f>
        <x:v>1230438</x:v>
      </x:c>
      <x:c r="AY464" s="119" t="n">
        <x:f>IF(AV464=0,0,(AV464-IF(7=D464,1,0))*VLOOKUP(INDEX('章节与怪物'!$E$31:$K$37,B464,7),'章节与怪物'!$A$41:$F$44,4,FALSE)+IF(7=D464,'难度参数'!$E$30,0))</x:f>
        <x:v>1460</x:v>
      </x:c>
    </x:row>
    <x:row r="465" ht="23" customHeight="1">
      <x:c r="A465" s="119" t="n">
        <x:v>459</x:v>
      </x:c>
      <x:c r="B465" s="119" t="n">
        <x:f>MOD(INT((A465-1)/5),7)+1</x:f>
        <x:v>1</x:v>
      </x:c>
      <x:c r="C465" s="62" t="str">
        <x:f>INDEX('章节与怪物'!$B$31:$B$37,B465)</x:f>
        <x:v>冰雪荒原</x:v>
      </x:c>
      <x:c r="D465" s="119" t="n">
        <x:f>MIN('难度参数'!$E$8,MAX('难度参数'!$E$7,A465))</x:f>
        <x:v>7</x:v>
      </x:c>
      <x:c r="E465" s="106" t="n">
        <x:v>1</x:v>
      </x:c>
      <x:c r="F465" s="106" t="n">
        <x:v>0</x:v>
      </x:c>
      <x:c r="G465" s="106" t="n">
        <x:v>1</x:v>
      </x:c>
      <x:c r="H465" s="119" t="n">
        <x:f>SUM(X465,AB465,AF465,AJ465,AN465,AR465,AV465)</x:f>
        <x:v>280</x:v>
      </x:c>
      <x:c r="I465" s="119" t="n">
        <x:f>SUM(Z465,AD465,AH465,AL465,AP465,AT465,AX465)</x:f>
        <x:v>3959651</x:v>
      </x:c>
      <x:c r="J465" s="119" t="n">
        <x:f>ROUND(INDEX(X465:AY465,1,(D465-1)*4+2)*'难度参数'!$E$28*'章节与怪物'!$E$17,0)</x:f>
        <x:v>100599</x:v>
      </x:c>
      <x:c r="K465" s="119" t="n">
        <x:f>SUM(AA465,AE465,AI465,AM465,AQ465,AU465,AY465)</x:f>
        <x:v>6908</x:v>
      </x:c>
      <x:c r="L465" s="62" t="n">
        <x:f>H465*(ROUNDUP('难度参数'!$E$24/('难度参数'!$E$26*'难度参数'!$E$27),0)*'难度参数'!$E$26)/60</x:f>
        <x:v>3.7333333333333334</x:v>
      </x:c>
      <x:c r="M465" s="62" t="n">
        <x:f>L465+D465*('难度参数'!$E$49+'难度参数'!$E$50)/60</x:f>
        <x:v>4.9</x:v>
      </x:c>
      <x:c r="N465" s="119" t="n">
        <x:f>ROUNDDOWN(('经济参数'!$E$20+A465*'经济参数'!$E$21)*G465,0)</x:f>
        <x:v>9360</x:v>
      </x:c>
      <x:c r="O465" s="119" t="n">
        <x:f>ROUNDDOWN(MIN('经济参数'!$E$24,'经济参数'!$E$22+A465*'经济参数'!$E$23)*G465,0)</x:f>
        <x:v>0</x:v>
      </x:c>
      <x:c r="P465" s="119" t="n">
        <x:f>ROUNDDOWN((IF(A465&gt;='材料与任务'!$E$31,'材料与任务'!$E$32,IF(A465&gt;='材料与任务'!$E$25,'材料与任务'!$E$26,IF(A465&gt;='材料与任务'!$E$19,'材料与任务'!$E$20,IF(A465&gt;='材料与任务'!$E$13,'材料与任务'!$E$14,'材料与任务'!$E$8)))))*G465,0)</x:f>
        <x:v>6</x:v>
      </x:c>
      <x:c r="Q465" s="119" t="n">
        <x:f>ROUNDDOWN((IF(A465&gt;='材料与任务'!$E$31,'材料与任务'!$E$33,IF(A465&gt;='材料与任务'!$E$25,'材料与任务'!$E$27,IF(A465&gt;='材料与任务'!$E$19,'材料与任务'!$E$21,IF(A465&gt;='材料与任务'!$E$13,'材料与任务'!$E$15,'材料与任务'!$E$9)))))*G465,0)</x:f>
        <x:v>3</x:v>
      </x:c>
      <x:c r="R465" s="110" t="n">
        <x:f>'装备掉落'!$B$38</x:f>
        <x:v>0.6872058758851213</x:v>
      </x:c>
      <x:c r="S465" s="119" t="n">
        <x:f>MAX(IF(VLOOKUP(A465,'装备掉落'!$A$29:$H$34,2,TRUE)&gt;0,1,0),IF(VLOOKUP(A465,'装备掉落'!$A$29:$H$34,3,TRUE)&gt;0,2,0),IF(VLOOKUP(A465,'装备掉落'!$A$29:$H$34,4,TRUE)&gt;0,3,0),IF(VLOOKUP(A465,'装备掉落'!$A$29:$H$34,5,TRUE)&gt;0,4,0),IF(VLOOKUP(A465,'装备掉落'!$A$29:$H$34,6,TRUE)&gt;0,5,0),IF(VLOOKUP(A465,'装备掉落'!$A$29:$H$34,7,TRUE)&gt;0,6,0),IF(VLOOKUP(A465,'装备掉落'!$A$29:$H$34,8,TRUE)&gt;0,7,0))</x:f>
        <x:v>7</x:v>
      </x:c>
      <x:c r="T465" s="119" t="n">
        <x:f>MIN(7,S465+'经济参数'!$E$70)</x:f>
        <x:v>7</x:v>
      </x:c>
      <x:c r="U465" s="119" t="n">
        <x:f>MIN(7,S465+'经济参数'!$E$71)</x:f>
        <x:v>7</x:v>
      </x:c>
      <x:c r="V465" s="119" t="n">
        <x:f>IF(H465&gt;=('难度参数'!$E$52),1,0)+IF(H465&gt;=('难度参数'!$E$52+'难度参数'!$E$53),1,0)+IF(H465&gt;=('难度参数'!$E$52+'难度参数'!$E$53+'难度参数'!$E$54),1,0)+IF(H465&gt;=('难度参数'!$E$52+'难度参数'!$E$53+'难度参数'!$E$54+'难度参数'!$E$55),1,0)+IF(H465&gt;=('难度参数'!$E$52+'难度参数'!$E$53+'难度参数'!$E$54+'难度参数'!$E$55+'难度参数'!$E$56),1,0)+IF(H465&gt;=('难度参数'!$E$52+'难度参数'!$E$53+'难度参数'!$E$54+'难度参数'!$E$55+'难度参数'!$E$56+'难度参数'!$E$57),1,0)</x:f>
        <x:v>6</x:v>
      </x:c>
      <x:c r="W465" s="62" t="str">
        <x:f>IF(L465&gt;'难度参数'!$E$51,"仅出怪已超目标","还需实测")</x:f>
        <x:v>仅出怪已超目标</x:v>
      </x:c>
      <x:c r="X465" s="119" t="n">
        <x:f>IF(1&gt;D465,0,MAX(2,MIN('难度参数'!$E$12,ROUND(('难度参数'!$E$18*POWER(A465,'难度参数'!$E$19)/D465*(0.85+0.3*(1-1)/MAX(1,D465-1))),0)+F465)))</x:f>
        <x:v>34</x:v>
      </x:c>
      <x:c r="Y465" s="119" t="n">
        <x:f>IF(1&gt;D465,0,ROUND(('难度参数'!$E$13*POWER(A465,'难度参数'!$E$20)*MIN('难度参数'!$E$23,1+MAX(0,A465-'难度参数'!$E$21)*'难度参数'!$E$22))*(36+1*7)/(36+7*(D465+1)/2)*E465,0))</x:f>
        <x:v>7484</x:v>
      </x:c>
      <x:c r="Z465" s="119" t="n">
        <x:f>IF(X465=0,0,(X465-IF(1=D465,1,0))*ROUND(Y465*VLOOKUP(INDEX('章节与怪物'!$E$31:$K$37,B465,1),'章节与怪物'!$A$41:$F$44,2,FALSE),0)+IF(1=D465,ROUND(Y465*'难度参数'!$E$28*'章节与怪物'!$E$17,0),0))</x:f>
        <x:v>254456</x:v>
      </x:c>
      <x:c r="AA465" s="119" t="n">
        <x:f>IF(X465=0,0,(X465-IF(1=D465,1,0))*VLOOKUP(INDEX('章节与怪物'!$E$31:$K$37,B465,1),'章节与怪物'!$A$41:$F$44,4,FALSE)+IF(1=D465,'难度参数'!$E$30,0))</x:f>
        <x:v>612</x:v>
      </x:c>
      <x:c r="AB465" s="119" t="n">
        <x:f>IF(2&gt;D465,0,MAX(2,MIN('难度参数'!$E$12,ROUND(('难度参数'!$E$18*POWER(A465,'难度参数'!$E$19)/D465*(0.85+0.3*(2-1)/MAX(1,D465-1))),0)+F465)))</x:f>
        <x:v>36</x:v>
      </x:c>
      <x:c r="AC465" s="119" t="n">
        <x:f>IF(2&gt;D465,0,ROUND(('难度参数'!$E$13*POWER(A465,'难度参数'!$E$20)*MIN('难度参数'!$E$23,1+MAX(0,A465-'难度参数'!$E$21)*'难度参数'!$E$22))*(36+2*7)/(36+7*(D465+1)/2)*E465,0))</x:f>
        <x:v>8702</x:v>
      </x:c>
      <x:c r="AD465" s="119" t="n">
        <x:f>IF(AB465=0,0,(AB465-IF(2=D465,1,0))*ROUND(AC465*VLOOKUP(INDEX('章节与怪物'!$E$31:$K$37,B465,2),'章节与怪物'!$A$41:$F$44,2,FALSE),0)+IF(2=D465,ROUND(AC465*'难度参数'!$E$28*'章节与怪物'!$E$17,0),0))</x:f>
        <x:v>313272</x:v>
      </x:c>
      <x:c r="AE465" s="119" t="n">
        <x:f>IF(AB465=0,0,(AB465-IF(2=D465,1,0))*VLOOKUP(INDEX('章节与怪物'!$E$31:$K$37,B465,2),'章节与怪物'!$A$41:$F$44,4,FALSE)+IF(2=D465,'难度参数'!$E$30,0))</x:f>
        <x:v>648</x:v>
      </x:c>
      <x:c r="AF465" s="119" t="n">
        <x:f>IF(3&gt;D465,0,MAX(2,MIN('难度参数'!$E$12,ROUND(('难度参数'!$E$18*POWER(A465,'难度参数'!$E$19)/D465*(0.85+0.3*(3-1)/MAX(1,D465-1))),0)+F465)))</x:f>
        <x:v>38</x:v>
      </x:c>
      <x:c r="AG465" s="119" t="n">
        <x:f>IF(3&gt;D465,0,ROUND(('难度参数'!$E$13*POWER(A465,'难度参数'!$E$20)*MIN('难度参数'!$E$23,1+MAX(0,A465-'难度参数'!$E$21)*'难度参数'!$E$22))*(36+3*7)/(36+7*(D465+1)/2)*E465,0))</x:f>
        <x:v>9921</x:v>
      </x:c>
      <x:c r="AH465" s="119" t="n">
        <x:f>IF(AF465=0,0,(AF465-IF(3=D465,1,0))*ROUND(AG465*VLOOKUP(INDEX('章节与怪物'!$E$31:$K$37,B465,3),'章节与怪物'!$A$41:$F$44,2,FALSE),0)+IF(3=D465,ROUND(AG465*'难度参数'!$E$28*'章节与怪物'!$E$17,0),0))</x:f>
        <x:v>271434</x:v>
      </x:c>
      <x:c r="AI465" s="119" t="n">
        <x:f>IF(AF465=0,0,(AF465-IF(3=D465,1,0))*VLOOKUP(INDEX('章节与怪物'!$E$31:$K$37,B465,3),'章节与怪物'!$A$41:$F$44,4,FALSE)+IF(3=D465,'难度参数'!$E$30,0))</x:f>
        <x:v>760</x:v>
      </x:c>
      <x:c r="AJ465" s="119" t="n">
        <x:f>IF(4&gt;D465,0,MAX(2,MIN('难度参数'!$E$12,ROUND(('难度参数'!$E$18*POWER(A465,'难度参数'!$E$19)/D465*(0.85+0.3*(4-1)/MAX(1,D465-1))),0)+F465)))</x:f>
        <x:v>40</x:v>
      </x:c>
      <x:c r="AK465" s="119" t="n">
        <x:f>IF(4&gt;D465,0,ROUND(('难度参数'!$E$13*POWER(A465,'难度参数'!$E$20)*MIN('难度参数'!$E$23,1+MAX(0,A465-'难度参数'!$E$21)*'难度参数'!$E$22))*(36+4*7)/(36+7*(D465+1)/2)*E465,0))</x:f>
        <x:v>11139</x:v>
      </x:c>
      <x:c r="AL465" s="119" t="n">
        <x:f>IF(AJ465=0,0,(AJ465-IF(4=D465,1,0))*ROUND(AK465*VLOOKUP(INDEX('章节与怪物'!$E$31:$K$37,B465,4),'章节与怪物'!$A$41:$F$44,2,FALSE),0)+IF(4=D465,ROUND(AK465*'难度参数'!$E$28*'章节与怪物'!$E$17,0),0))</x:f>
        <x:v>757440</x:v>
      </x:c>
      <x:c r="AM465" s="119" t="n">
        <x:f>IF(AJ465=0,0,(AJ465-IF(4=D465,1,0))*VLOOKUP(INDEX('章节与怪物'!$E$31:$K$37,B465,4),'章节与怪物'!$A$41:$F$44,4,FALSE)+IF(4=D465,'难度参数'!$E$30,0))</x:f>
        <x:v>1120</x:v>
      </x:c>
      <x:c r="AN465" s="119" t="n">
        <x:f>IF(5&gt;D465,0,MAX(2,MIN('难度参数'!$E$12,ROUND(('难度参数'!$E$18*POWER(A465,'难度参数'!$E$19)/D465*(0.85+0.3*(5-1)/MAX(1,D465-1))),0)+F465)))</x:f>
        <x:v>42</x:v>
      </x:c>
      <x:c r="AO465" s="119" t="n">
        <x:f>IF(5&gt;D465,0,ROUND(('难度参数'!$E$13*POWER(A465,'难度参数'!$E$20)*MIN('难度参数'!$E$23,1+MAX(0,A465-'难度参数'!$E$21)*'难度参数'!$E$22))*(36+5*7)/(36+7*(D465+1)/2)*E465,0))</x:f>
        <x:v>12357</x:v>
      </x:c>
      <x:c r="AP465" s="119" t="n">
        <x:f>IF(AN465=0,0,(AN465-IF(5=D465,1,0))*ROUND(AO465*VLOOKUP(INDEX('章节与怪物'!$E$31:$K$37,B465,5),'章节与怪物'!$A$41:$F$44,2,FALSE),0)+IF(5=D465,ROUND(AO465*'难度参数'!$E$28*'章节与怪物'!$E$17,0),0))</x:f>
        <x:v>700644</x:v>
      </x:c>
      <x:c r="AQ465" s="119" t="n">
        <x:f>IF(AN465=0,0,(AN465-IF(5=D465,1,0))*VLOOKUP(INDEX('章节与怪物'!$E$31:$K$37,B465,5),'章节与怪物'!$A$41:$F$44,4,FALSE)+IF(5=D465,'难度参数'!$E$30,0))</x:f>
        <x:v>1428</x:v>
      </x:c>
      <x:c r="AR465" s="119" t="n">
        <x:f>IF(6&gt;D465,0,MAX(2,MIN('难度参数'!$E$12,ROUND(('难度参数'!$E$18*POWER(A465,'难度参数'!$E$19)/D465*(0.85+0.3*(6-1)/MAX(1,D465-1))),0)+F465)))</x:f>
        <x:v>44</x:v>
      </x:c>
      <x:c r="AS465" s="119" t="n">
        <x:f>IF(6&gt;D465,0,ROUND(('难度参数'!$E$13*POWER(A465,'难度参数'!$E$20)*MIN('难度参数'!$E$23,1+MAX(0,A465-'难度参数'!$E$21)*'难度参数'!$E$22))*(36+6*7)/(36+7*(D465+1)/2)*E465,0))</x:f>
        <x:v>13575</x:v>
      </x:c>
      <x:c r="AT465" s="119" t="n">
        <x:f>IF(AR465=0,0,(AR465-IF(6=D465,1,0))*ROUND(AS465*VLOOKUP(INDEX('章节与怪物'!$E$31:$K$37,B465,6),'章节与怪物'!$A$41:$F$44,2,FALSE),0)+IF(6=D465,ROUND(AS465*'难度参数'!$E$28*'章节与怪物'!$E$17,0),0))</x:f>
        <x:v>430056</x:v>
      </x:c>
      <x:c r="AU465" s="119" t="n">
        <x:f>IF(AR465=0,0,(AR465-IF(6=D465,1,0))*VLOOKUP(INDEX('章节与怪物'!$E$31:$K$37,B465,6),'章节与怪物'!$A$41:$F$44,4,FALSE)+IF(6=D465,'难度参数'!$E$30,0))</x:f>
        <x:v>880</x:v>
      </x:c>
      <x:c r="AV465" s="119" t="n">
        <x:f>IF(7&gt;D465,0,MAX(2,MIN('难度参数'!$E$12,ROUND(('难度参数'!$E$18*POWER(A465,'难度参数'!$E$19)/D465*(0.85+0.3*(7-1)/MAX(1,D465-1))),0)+F465)))</x:f>
        <x:v>46</x:v>
      </x:c>
      <x:c r="AW465" s="119" t="n">
        <x:f>IF(7&gt;D465,0,ROUND(('难度参数'!$E$13*POWER(A465,'难度参数'!$E$20)*MIN('难度参数'!$E$23,1+MAX(0,A465-'难度参数'!$E$21)*'难度参数'!$E$22))*(36+7*7)/(36+7*(D465+1)/2)*E465,0))</x:f>
        <x:v>14794</x:v>
      </x:c>
      <x:c r="AX465" s="119" t="n">
        <x:f>IF(AV465=0,0,(AV465-IF(7=D465,1,0))*ROUND(AW465*VLOOKUP(INDEX('章节与怪物'!$E$31:$K$37,B465,7),'章节与怪物'!$A$41:$F$44,2,FALSE),0)+IF(7=D465,ROUND(AW465*'难度参数'!$E$28*'章节与怪物'!$E$17,0),0))</x:f>
        <x:v>1232349</x:v>
      </x:c>
      <x:c r="AY465" s="119" t="n">
        <x:f>IF(AV465=0,0,(AV465-IF(7=D465,1,0))*VLOOKUP(INDEX('章节与怪物'!$E$31:$K$37,B465,7),'章节与怪物'!$A$41:$F$44,4,FALSE)+IF(7=D465,'难度参数'!$E$30,0))</x:f>
        <x:v>1460</x:v>
      </x:c>
    </x:row>
    <x:row r="466" ht="23" customHeight="1">
      <x:c r="A466" s="119" t="n">
        <x:v>460</x:v>
      </x:c>
      <x:c r="B466" s="119" t="n">
        <x:f>MOD(INT((A466-1)/5),7)+1</x:f>
        <x:v>1</x:v>
      </x:c>
      <x:c r="C466" s="62" t="str">
        <x:f>INDEX('章节与怪物'!$B$31:$B$37,B466)</x:f>
        <x:v>冰雪荒原</x:v>
      </x:c>
      <x:c r="D466" s="119" t="n">
        <x:f>MIN('难度参数'!$E$8,MAX('难度参数'!$E$7,A466))</x:f>
        <x:v>7</x:v>
      </x:c>
      <x:c r="E466" s="106" t="n">
        <x:v>1</x:v>
      </x:c>
      <x:c r="F466" s="106" t="n">
        <x:v>0</x:v>
      </x:c>
      <x:c r="G466" s="106" t="n">
        <x:v>1</x:v>
      </x:c>
      <x:c r="H466" s="119" t="n">
        <x:f>SUM(X466,AB466,AF466,AJ466,AN466,AR466,AV466)</x:f>
        <x:v>280</x:v>
      </x:c>
      <x:c r="I466" s="119" t="n">
        <x:f>SUM(Z466,AD466,AH466,AL466,AP466,AT466,AX466)</x:f>
        <x:v>3965849</x:v>
      </x:c>
      <x:c r="J466" s="119" t="n">
        <x:f>ROUND(INDEX(X466:AY466,1,(D466-1)*4+2)*'难度参数'!$E$28*'章节与怪物'!$E$17,0)</x:f>
        <x:v>100756</x:v>
      </x:c>
      <x:c r="K466" s="119" t="n">
        <x:f>SUM(AA466,AE466,AI466,AM466,AQ466,AU466,AY466)</x:f>
        <x:v>6908</x:v>
      </x:c>
      <x:c r="L466" s="62" t="n">
        <x:f>H466*(ROUNDUP('难度参数'!$E$24/('难度参数'!$E$26*'难度参数'!$E$27),0)*'难度参数'!$E$26)/60</x:f>
        <x:v>3.7333333333333334</x:v>
      </x:c>
      <x:c r="M466" s="62" t="n">
        <x:f>L466+D466*('难度参数'!$E$49+'难度参数'!$E$50)/60</x:f>
        <x:v>4.9</x:v>
      </x:c>
      <x:c r="N466" s="119" t="n">
        <x:f>ROUNDDOWN(('经济参数'!$E$20+A466*'经济参数'!$E$21)*G466,0)</x:f>
        <x:v>9380</x:v>
      </x:c>
      <x:c r="O466" s="119" t="n">
        <x:f>ROUNDDOWN(MIN('经济参数'!$E$24,'经济参数'!$E$22+A466*'经济参数'!$E$23)*G466,0)</x:f>
        <x:v>0</x:v>
      </x:c>
      <x:c r="P466" s="119" t="n">
        <x:f>ROUNDDOWN((IF(A466&gt;='材料与任务'!$E$31,'材料与任务'!$E$32,IF(A466&gt;='材料与任务'!$E$25,'材料与任务'!$E$26,IF(A466&gt;='材料与任务'!$E$19,'材料与任务'!$E$20,IF(A466&gt;='材料与任务'!$E$13,'材料与任务'!$E$14,'材料与任务'!$E$8)))))*G466,0)</x:f>
        <x:v>6</x:v>
      </x:c>
      <x:c r="Q466" s="119" t="n">
        <x:f>ROUNDDOWN((IF(A466&gt;='材料与任务'!$E$31,'材料与任务'!$E$33,IF(A466&gt;='材料与任务'!$E$25,'材料与任务'!$E$27,IF(A466&gt;='材料与任务'!$E$19,'材料与任务'!$E$21,IF(A466&gt;='材料与任务'!$E$13,'材料与任务'!$E$15,'材料与任务'!$E$9)))))*G466,0)</x:f>
        <x:v>3</x:v>
      </x:c>
      <x:c r="R466" s="110" t="n">
        <x:f>'装备掉落'!$B$38</x:f>
        <x:v>0.6872058758851213</x:v>
      </x:c>
      <x:c r="S466" s="119" t="n">
        <x:f>MAX(IF(VLOOKUP(A466,'装备掉落'!$A$29:$H$34,2,TRUE)&gt;0,1,0),IF(VLOOKUP(A466,'装备掉落'!$A$29:$H$34,3,TRUE)&gt;0,2,0),IF(VLOOKUP(A466,'装备掉落'!$A$29:$H$34,4,TRUE)&gt;0,3,0),IF(VLOOKUP(A466,'装备掉落'!$A$29:$H$34,5,TRUE)&gt;0,4,0),IF(VLOOKUP(A466,'装备掉落'!$A$29:$H$34,6,TRUE)&gt;0,5,0),IF(VLOOKUP(A466,'装备掉落'!$A$29:$H$34,7,TRUE)&gt;0,6,0),IF(VLOOKUP(A466,'装备掉落'!$A$29:$H$34,8,TRUE)&gt;0,7,0))</x:f>
        <x:v>7</x:v>
      </x:c>
      <x:c r="T466" s="119" t="n">
        <x:f>MIN(7,S466+'经济参数'!$E$70)</x:f>
        <x:v>7</x:v>
      </x:c>
      <x:c r="U466" s="119" t="n">
        <x:f>MIN(7,S466+'经济参数'!$E$71)</x:f>
        <x:v>7</x:v>
      </x:c>
      <x:c r="V466" s="119" t="n">
        <x:f>IF(H466&gt;=('难度参数'!$E$52),1,0)+IF(H466&gt;=('难度参数'!$E$52+'难度参数'!$E$53),1,0)+IF(H466&gt;=('难度参数'!$E$52+'难度参数'!$E$53+'难度参数'!$E$54),1,0)+IF(H466&gt;=('难度参数'!$E$52+'难度参数'!$E$53+'难度参数'!$E$54+'难度参数'!$E$55),1,0)+IF(H466&gt;=('难度参数'!$E$52+'难度参数'!$E$53+'难度参数'!$E$54+'难度参数'!$E$55+'难度参数'!$E$56),1,0)+IF(H466&gt;=('难度参数'!$E$52+'难度参数'!$E$53+'难度参数'!$E$54+'难度参数'!$E$55+'难度参数'!$E$56+'难度参数'!$E$57),1,0)</x:f>
        <x:v>6</x:v>
      </x:c>
      <x:c r="W466" s="62" t="str">
        <x:f>IF(L466&gt;'难度参数'!$E$51,"仅出怪已超目标","还需实测")</x:f>
        <x:v>仅出怪已超目标</x:v>
      </x:c>
      <x:c r="X466" s="119" t="n">
        <x:f>IF(1&gt;D466,0,MAX(2,MIN('难度参数'!$E$12,ROUND(('难度参数'!$E$18*POWER(A466,'难度参数'!$E$19)/D466*(0.85+0.3*(1-1)/MAX(1,D466-1))),0)+F466)))</x:f>
        <x:v>34</x:v>
      </x:c>
      <x:c r="Y466" s="119" t="n">
        <x:f>IF(1&gt;D466,0,ROUND(('难度参数'!$E$13*POWER(A466,'难度参数'!$E$20)*MIN('难度参数'!$E$23,1+MAX(0,A466-'难度参数'!$E$21)*'难度参数'!$E$22))*(36+1*7)/(36+7*(D466+1)/2)*E466,0))</x:f>
        <x:v>7496</x:v>
      </x:c>
      <x:c r="Z466" s="119" t="n">
        <x:f>IF(X466=0,0,(X466-IF(1=D466,1,0))*ROUND(Y466*VLOOKUP(INDEX('章节与怪物'!$E$31:$K$37,B466,1),'章节与怪物'!$A$41:$F$44,2,FALSE),0)+IF(1=D466,ROUND(Y466*'难度参数'!$E$28*'章节与怪物'!$E$17,0),0))</x:f>
        <x:v>254864</x:v>
      </x:c>
      <x:c r="AA466" s="119" t="n">
        <x:f>IF(X466=0,0,(X466-IF(1=D466,1,0))*VLOOKUP(INDEX('章节与怪物'!$E$31:$K$37,B466,1),'章节与怪物'!$A$41:$F$44,4,FALSE)+IF(1=D466,'难度参数'!$E$30,0))</x:f>
        <x:v>612</x:v>
      </x:c>
      <x:c r="AB466" s="119" t="n">
        <x:f>IF(2&gt;D466,0,MAX(2,MIN('难度参数'!$E$12,ROUND(('难度参数'!$E$18*POWER(A466,'难度参数'!$E$19)/D466*(0.85+0.3*(2-1)/MAX(1,D466-1))),0)+F466)))</x:f>
        <x:v>36</x:v>
      </x:c>
      <x:c r="AC466" s="119" t="n">
        <x:f>IF(2&gt;D466,0,ROUND(('难度参数'!$E$13*POWER(A466,'难度参数'!$E$20)*MIN('难度参数'!$E$23,1+MAX(0,A466-'难度参数'!$E$21)*'难度参数'!$E$22))*(36+2*7)/(36+7*(D466+1)/2)*E466,0))</x:f>
        <x:v>8716</x:v>
      </x:c>
      <x:c r="AD466" s="119" t="n">
        <x:f>IF(AB466=0,0,(AB466-IF(2=D466,1,0))*ROUND(AC466*VLOOKUP(INDEX('章节与怪物'!$E$31:$K$37,B466,2),'章节与怪物'!$A$41:$F$44,2,FALSE),0)+IF(2=D466,ROUND(AC466*'难度参数'!$E$28*'章节与怪物'!$E$17,0),0))</x:f>
        <x:v>313776</x:v>
      </x:c>
      <x:c r="AE466" s="119" t="n">
        <x:f>IF(AB466=0,0,(AB466-IF(2=D466,1,0))*VLOOKUP(INDEX('章节与怪物'!$E$31:$K$37,B466,2),'章节与怪物'!$A$41:$F$44,4,FALSE)+IF(2=D466,'难度参数'!$E$30,0))</x:f>
        <x:v>648</x:v>
      </x:c>
      <x:c r="AF466" s="119" t="n">
        <x:f>IF(3&gt;D466,0,MAX(2,MIN('难度参数'!$E$12,ROUND(('难度参数'!$E$18*POWER(A466,'难度参数'!$E$19)/D466*(0.85+0.3*(3-1)/MAX(1,D466-1))),0)+F466)))</x:f>
        <x:v>38</x:v>
      </x:c>
      <x:c r="AG466" s="119" t="n">
        <x:f>IF(3&gt;D466,0,ROUND(('难度参数'!$E$13*POWER(A466,'难度参数'!$E$20)*MIN('难度参数'!$E$23,1+MAX(0,A466-'难度参数'!$E$21)*'难度参数'!$E$22))*(36+3*7)/(36+7*(D466+1)/2)*E466,0))</x:f>
        <x:v>9936</x:v>
      </x:c>
      <x:c r="AH466" s="119" t="n">
        <x:f>IF(AF466=0,0,(AF466-IF(3=D466,1,0))*ROUND(AG466*VLOOKUP(INDEX('章节与怪物'!$E$31:$K$37,B466,3),'章节与怪物'!$A$41:$F$44,2,FALSE),0)+IF(3=D466,ROUND(AG466*'难度参数'!$E$28*'章节与怪物'!$E$17,0),0))</x:f>
        <x:v>271852</x:v>
      </x:c>
      <x:c r="AI466" s="119" t="n">
        <x:f>IF(AF466=0,0,(AF466-IF(3=D466,1,0))*VLOOKUP(INDEX('章节与怪物'!$E$31:$K$37,B466,3),'章节与怪物'!$A$41:$F$44,4,FALSE)+IF(3=D466,'难度参数'!$E$30,0))</x:f>
        <x:v>760</x:v>
      </x:c>
      <x:c r="AJ466" s="119" t="n">
        <x:f>IF(4&gt;D466,0,MAX(2,MIN('难度参数'!$E$12,ROUND(('难度参数'!$E$18*POWER(A466,'难度参数'!$E$19)/D466*(0.85+0.3*(4-1)/MAX(1,D466-1))),0)+F466)))</x:f>
        <x:v>40</x:v>
      </x:c>
      <x:c r="AK466" s="119" t="n">
        <x:f>IF(4&gt;D466,0,ROUND(('难度参数'!$E$13*POWER(A466,'难度参数'!$E$20)*MIN('难度参数'!$E$23,1+MAX(0,A466-'难度参数'!$E$21)*'难度参数'!$E$22))*(36+4*7)/(36+7*(D466+1)/2)*E466,0))</x:f>
        <x:v>11156</x:v>
      </x:c>
      <x:c r="AL466" s="119" t="n">
        <x:f>IF(AJ466=0,0,(AJ466-IF(4=D466,1,0))*ROUND(AK466*VLOOKUP(INDEX('章节与怪物'!$E$31:$K$37,B466,4),'章节与怪物'!$A$41:$F$44,2,FALSE),0)+IF(4=D466,ROUND(AK466*'难度参数'!$E$28*'章节与怪物'!$E$17,0),0))</x:f>
        <x:v>758600</x:v>
      </x:c>
      <x:c r="AM466" s="119" t="n">
        <x:f>IF(AJ466=0,0,(AJ466-IF(4=D466,1,0))*VLOOKUP(INDEX('章节与怪物'!$E$31:$K$37,B466,4),'章节与怪物'!$A$41:$F$44,4,FALSE)+IF(4=D466,'难度参数'!$E$30,0))</x:f>
        <x:v>1120</x:v>
      </x:c>
      <x:c r="AN466" s="119" t="n">
        <x:f>IF(5&gt;D466,0,MAX(2,MIN('难度参数'!$E$12,ROUND(('难度参数'!$E$18*POWER(A466,'难度参数'!$E$19)/D466*(0.85+0.3*(5-1)/MAX(1,D466-1))),0)+F466)))</x:f>
        <x:v>42</x:v>
      </x:c>
      <x:c r="AO466" s="119" t="n">
        <x:f>IF(5&gt;D466,0,ROUND(('难度参数'!$E$13*POWER(A466,'难度参数'!$E$20)*MIN('难度参数'!$E$23,1+MAX(0,A466-'难度参数'!$E$21)*'难度参数'!$E$22))*(36+5*7)/(36+7*(D466+1)/2)*E466,0))</x:f>
        <x:v>12376</x:v>
      </x:c>
      <x:c r="AP466" s="119" t="n">
        <x:f>IF(AN466=0,0,(AN466-IF(5=D466,1,0))*ROUND(AO466*VLOOKUP(INDEX('章节与怪物'!$E$31:$K$37,B466,5),'章节与怪物'!$A$41:$F$44,2,FALSE),0)+IF(5=D466,ROUND(AO466*'难度参数'!$E$28*'章节与怪物'!$E$17,0),0))</x:f>
        <x:v>701736</x:v>
      </x:c>
      <x:c r="AQ466" s="119" t="n">
        <x:f>IF(AN466=0,0,(AN466-IF(5=D466,1,0))*VLOOKUP(INDEX('章节与怪物'!$E$31:$K$37,B466,5),'章节与怪物'!$A$41:$F$44,4,FALSE)+IF(5=D466,'难度参数'!$E$30,0))</x:f>
        <x:v>1428</x:v>
      </x:c>
      <x:c r="AR466" s="119" t="n">
        <x:f>IF(6&gt;D466,0,MAX(2,MIN('难度参数'!$E$12,ROUND(('难度参数'!$E$18*POWER(A466,'难度参数'!$E$19)/D466*(0.85+0.3*(6-1)/MAX(1,D466-1))),0)+F466)))</x:f>
        <x:v>44</x:v>
      </x:c>
      <x:c r="AS466" s="119" t="n">
        <x:f>IF(6&gt;D466,0,ROUND(('难度参数'!$E$13*POWER(A466,'难度参数'!$E$20)*MIN('难度参数'!$E$23,1+MAX(0,A466-'难度参数'!$E$21)*'难度参数'!$E$22))*(36+6*7)/(36+7*(D466+1)/2)*E466,0))</x:f>
        <x:v>13597</x:v>
      </x:c>
      <x:c r="AT466" s="119" t="n">
        <x:f>IF(AR466=0,0,(AR466-IF(6=D466,1,0))*ROUND(AS466*VLOOKUP(INDEX('章节与怪物'!$E$31:$K$37,B466,6),'章节与怪物'!$A$41:$F$44,2,FALSE),0)+IF(6=D466,ROUND(AS466*'难度参数'!$E$28*'章节与怪物'!$E$17,0),0))</x:f>
        <x:v>430760</x:v>
      </x:c>
      <x:c r="AU466" s="119" t="n">
        <x:f>IF(AR466=0,0,(AR466-IF(6=D466,1,0))*VLOOKUP(INDEX('章节与怪物'!$E$31:$K$37,B466,6),'章节与怪物'!$A$41:$F$44,4,FALSE)+IF(6=D466,'难度参数'!$E$30,0))</x:f>
        <x:v>880</x:v>
      </x:c>
      <x:c r="AV466" s="119" t="n">
        <x:f>IF(7&gt;D466,0,MAX(2,MIN('难度参数'!$E$12,ROUND(('难度参数'!$E$18*POWER(A466,'难度参数'!$E$19)/D466*(0.85+0.3*(7-1)/MAX(1,D466-1))),0)+F466)))</x:f>
        <x:v>46</x:v>
      </x:c>
      <x:c r="AW466" s="119" t="n">
        <x:f>IF(7&gt;D466,0,ROUND(('难度参数'!$E$13*POWER(A466,'难度参数'!$E$20)*MIN('难度参数'!$E$23,1+MAX(0,A466-'难度参数'!$E$21)*'难度参数'!$E$22))*(36+7*7)/(36+7*(D466+1)/2)*E466,0))</x:f>
        <x:v>14817</x:v>
      </x:c>
      <x:c r="AX466" s="119" t="n">
        <x:f>IF(AV466=0,0,(AV466-IF(7=D466,1,0))*ROUND(AW466*VLOOKUP(INDEX('章节与怪物'!$E$31:$K$37,B466,7),'章节与怪物'!$A$41:$F$44,2,FALSE),0)+IF(7=D466,ROUND(AW466*'难度参数'!$E$28*'章节与怪物'!$E$17,0),0))</x:f>
        <x:v>1234261</x:v>
      </x:c>
      <x:c r="AY466" s="119" t="n">
        <x:f>IF(AV466=0,0,(AV466-IF(7=D466,1,0))*VLOOKUP(INDEX('章节与怪物'!$E$31:$K$37,B466,7),'章节与怪物'!$A$41:$F$44,4,FALSE)+IF(7=D466,'难度参数'!$E$30,0))</x:f>
        <x:v>1460</x:v>
      </x:c>
    </x:row>
    <x:row r="467" ht="23" customHeight="1">
      <x:c r="A467" s="119" t="n">
        <x:v>461</x:v>
      </x:c>
      <x:c r="B467" s="119" t="n">
        <x:f>MOD(INT((A467-1)/5),7)+1</x:f>
        <x:v>2</x:v>
      </x:c>
      <x:c r="C467" s="62" t="str">
        <x:f>INDEX('章节与怪物'!$B$31:$B$37,B467)</x:f>
        <x:v>黄沙要塞</x:v>
      </x:c>
      <x:c r="D467" s="119" t="n">
        <x:f>MIN('难度参数'!$E$8,MAX('难度参数'!$E$7,A467))</x:f>
        <x:v>7</x:v>
      </x:c>
      <x:c r="E467" s="106" t="n">
        <x:v>1</x:v>
      </x:c>
      <x:c r="F467" s="106" t="n">
        <x:v>0</x:v>
      </x:c>
      <x:c r="G467" s="106" t="n">
        <x:v>1</x:v>
      </x:c>
      <x:c r="H467" s="119" t="n">
        <x:f>SUM(X467,AB467,AF467,AJ467,AN467,AR467,AV467)</x:f>
        <x:v>280</x:v>
      </x:c>
      <x:c r="I467" s="119" t="n">
        <x:f>SUM(Z467,AD467,AH467,AL467,AP467,AT467,AX467)</x:f>
        <x:v>4286016</x:v>
      </x:c>
      <x:c r="J467" s="119" t="n">
        <x:f>ROUND(INDEX(X467:AY467,1,(D467-1)*4+2)*'难度参数'!$E$28*'章节与怪物'!$E$17,0)</x:f>
        <x:v>100912</x:v>
      </x:c>
      <x:c r="K467" s="119" t="n">
        <x:f>SUM(AA467,AE467,AI467,AM467,AQ467,AU467,AY467)</x:f>
        <x:v>7470</x:v>
      </x:c>
      <x:c r="L467" s="62" t="n">
        <x:f>H467*(ROUNDUP('难度参数'!$E$24/('难度参数'!$E$26*'难度参数'!$E$27),0)*'难度参数'!$E$26)/60</x:f>
        <x:v>3.7333333333333334</x:v>
      </x:c>
      <x:c r="M467" s="62" t="n">
        <x:f>L467+D467*('难度参数'!$E$49+'难度参数'!$E$50)/60</x:f>
        <x:v>4.9</x:v>
      </x:c>
      <x:c r="N467" s="119" t="n">
        <x:f>ROUNDDOWN(('经济参数'!$E$20+A467*'经济参数'!$E$21)*G467,0)</x:f>
        <x:v>9400</x:v>
      </x:c>
      <x:c r="O467" s="119" t="n">
        <x:f>ROUNDDOWN(MIN('经济参数'!$E$24,'经济参数'!$E$22+A467*'经济参数'!$E$23)*G467,0)</x:f>
        <x:v>0</x:v>
      </x:c>
      <x:c r="P467" s="119" t="n">
        <x:f>ROUNDDOWN((IF(A467&gt;='材料与任务'!$E$31,'材料与任务'!$E$32,IF(A467&gt;='材料与任务'!$E$25,'材料与任务'!$E$26,IF(A467&gt;='材料与任务'!$E$19,'材料与任务'!$E$20,IF(A467&gt;='材料与任务'!$E$13,'材料与任务'!$E$14,'材料与任务'!$E$8)))))*G467,0)</x:f>
        <x:v>6</x:v>
      </x:c>
      <x:c r="Q467" s="119" t="n">
        <x:f>ROUNDDOWN((IF(A467&gt;='材料与任务'!$E$31,'材料与任务'!$E$33,IF(A467&gt;='材料与任务'!$E$25,'材料与任务'!$E$27,IF(A467&gt;='材料与任务'!$E$19,'材料与任务'!$E$21,IF(A467&gt;='材料与任务'!$E$13,'材料与任务'!$E$15,'材料与任务'!$E$9)))))*G467,0)</x:f>
        <x:v>3</x:v>
      </x:c>
      <x:c r="R467" s="110" t="n">
        <x:f>'装备掉落'!$B$38</x:f>
        <x:v>0.6872058758851213</x:v>
      </x:c>
      <x:c r="S467" s="119" t="n">
        <x:f>MAX(IF(VLOOKUP(A467,'装备掉落'!$A$29:$H$34,2,TRUE)&gt;0,1,0),IF(VLOOKUP(A467,'装备掉落'!$A$29:$H$34,3,TRUE)&gt;0,2,0),IF(VLOOKUP(A467,'装备掉落'!$A$29:$H$34,4,TRUE)&gt;0,3,0),IF(VLOOKUP(A467,'装备掉落'!$A$29:$H$34,5,TRUE)&gt;0,4,0),IF(VLOOKUP(A467,'装备掉落'!$A$29:$H$34,6,TRUE)&gt;0,5,0),IF(VLOOKUP(A467,'装备掉落'!$A$29:$H$34,7,TRUE)&gt;0,6,0),IF(VLOOKUP(A467,'装备掉落'!$A$29:$H$34,8,TRUE)&gt;0,7,0))</x:f>
        <x:v>7</x:v>
      </x:c>
      <x:c r="T467" s="119" t="n">
        <x:f>MIN(7,S467+'经济参数'!$E$70)</x:f>
        <x:v>7</x:v>
      </x:c>
      <x:c r="U467" s="119" t="n">
        <x:f>MIN(7,S467+'经济参数'!$E$71)</x:f>
        <x:v>7</x:v>
      </x:c>
      <x:c r="V467" s="119" t="n">
        <x:f>IF(H467&gt;=('难度参数'!$E$52),1,0)+IF(H467&gt;=('难度参数'!$E$52+'难度参数'!$E$53),1,0)+IF(H467&gt;=('难度参数'!$E$52+'难度参数'!$E$53+'难度参数'!$E$54),1,0)+IF(H467&gt;=('难度参数'!$E$52+'难度参数'!$E$53+'难度参数'!$E$54+'难度参数'!$E$55),1,0)+IF(H467&gt;=('难度参数'!$E$52+'难度参数'!$E$53+'难度参数'!$E$54+'难度参数'!$E$55+'难度参数'!$E$56),1,0)+IF(H467&gt;=('难度参数'!$E$52+'难度参数'!$E$53+'难度参数'!$E$54+'难度参数'!$E$55+'难度参数'!$E$56+'难度参数'!$E$57),1,0)</x:f>
        <x:v>6</x:v>
      </x:c>
      <x:c r="W467" s="62" t="str">
        <x:f>IF(L467&gt;'难度参数'!$E$51,"仅出怪已超目标","还需实测")</x:f>
        <x:v>仅出怪已超目标</x:v>
      </x:c>
      <x:c r="X467" s="119" t="n">
        <x:f>IF(1&gt;D467,0,MAX(2,MIN('难度参数'!$E$12,ROUND(('难度参数'!$E$18*POWER(A467,'难度参数'!$E$19)/D467*(0.85+0.3*(1-1)/MAX(1,D467-1))),0)+F467)))</x:f>
        <x:v>34</x:v>
      </x:c>
      <x:c r="Y467" s="119" t="n">
        <x:f>IF(1&gt;D467,0,ROUND(('难度参数'!$E$13*POWER(A467,'难度参数'!$E$20)*MIN('难度参数'!$E$23,1+MAX(0,A467-'难度参数'!$E$21)*'难度参数'!$E$22))*(36+1*7)/(36+7*(D467+1)/2)*E467,0))</x:f>
        <x:v>7507</x:v>
      </x:c>
      <x:c r="Z467" s="119" t="n">
        <x:f>IF(X467=0,0,(X467-IF(1=D467,1,0))*ROUND(Y467*VLOOKUP(INDEX('章节与怪物'!$E$31:$K$37,B467,1),'章节与怪物'!$A$41:$F$44,2,FALSE),0)+IF(1=D467,ROUND(Y467*'难度参数'!$E$28*'章节与怪物'!$E$17,0),0))</x:f>
        <x:v>183770</x:v>
      </x:c>
      <x:c r="AA467" s="119" t="n">
        <x:f>IF(X467=0,0,(X467-IF(1=D467,1,0))*VLOOKUP(INDEX('章节与怪物'!$E$31:$K$37,B467,1),'章节与怪物'!$A$41:$F$44,4,FALSE)+IF(1=D467,'难度参数'!$E$30,0))</x:f>
        <x:v>680</x:v>
      </x:c>
      <x:c r="AB467" s="119" t="n">
        <x:f>IF(2&gt;D467,0,MAX(2,MIN('难度参数'!$E$12,ROUND(('难度参数'!$E$18*POWER(A467,'难度参数'!$E$19)/D467*(0.85+0.3*(2-1)/MAX(1,D467-1))),0)+F467)))</x:f>
        <x:v>36</x:v>
      </x:c>
      <x:c r="AC467" s="119" t="n">
        <x:f>IF(2&gt;D467,0,ROUND(('难度参数'!$E$13*POWER(A467,'难度参数'!$E$20)*MIN('难度参数'!$E$23,1+MAX(0,A467-'难度参数'!$E$21)*'难度参数'!$E$22))*(36+2*7)/(36+7*(D467+1)/2)*E467,0))</x:f>
        <x:v>8729</x:v>
      </x:c>
      <x:c r="AD467" s="119" t="n">
        <x:f>IF(AB467=0,0,(AB467-IF(2=D467,1,0))*ROUND(AC467*VLOOKUP(INDEX('章节与怪物'!$E$31:$K$37,B467,2),'章节与怪物'!$A$41:$F$44,2,FALSE),0)+IF(2=D467,ROUND(AC467*'难度参数'!$E$28*'章节与怪物'!$E$17,0),0))</x:f>
        <x:v>314244</x:v>
      </x:c>
      <x:c r="AE467" s="119" t="n">
        <x:f>IF(AB467=0,0,(AB467-IF(2=D467,1,0))*VLOOKUP(INDEX('章节与怪物'!$E$31:$K$37,B467,2),'章节与怪物'!$A$41:$F$44,4,FALSE)+IF(2=D467,'难度参数'!$E$30,0))</x:f>
        <x:v>648</x:v>
      </x:c>
      <x:c r="AF467" s="119" t="n">
        <x:f>IF(3&gt;D467,0,MAX(2,MIN('难度参数'!$E$12,ROUND(('难度参数'!$E$18*POWER(A467,'难度参数'!$E$19)/D467*(0.85+0.3*(3-1)/MAX(1,D467-1))),0)+F467)))</x:f>
        <x:v>38</x:v>
      </x:c>
      <x:c r="AG467" s="119" t="n">
        <x:f>IF(3&gt;D467,0,ROUND(('难度参数'!$E$13*POWER(A467,'难度参数'!$E$20)*MIN('难度参数'!$E$23,1+MAX(0,A467-'难度参数'!$E$21)*'难度参数'!$E$22))*(36+3*7)/(36+7*(D467+1)/2)*E467,0))</x:f>
        <x:v>9952</x:v>
      </x:c>
      <x:c r="AH467" s="119" t="n">
        <x:f>IF(AF467=0,0,(AF467-IF(3=D467,1,0))*ROUND(AG467*VLOOKUP(INDEX('章节与怪物'!$E$31:$K$37,B467,3),'章节与怪物'!$A$41:$F$44,2,FALSE),0)+IF(3=D467,ROUND(AG467*'难度参数'!$E$28*'章节与怪物'!$E$17,0),0))</x:f>
        <x:v>642884</x:v>
      </x:c>
      <x:c r="AI467" s="119" t="n">
        <x:f>IF(AF467=0,0,(AF467-IF(3=D467,1,0))*VLOOKUP(INDEX('章节与怪物'!$E$31:$K$37,B467,3),'章节与怪物'!$A$41:$F$44,4,FALSE)+IF(3=D467,'难度参数'!$E$30,0))</x:f>
        <x:v>1064</x:v>
      </x:c>
      <x:c r="AJ467" s="119" t="n">
        <x:f>IF(4&gt;D467,0,MAX(2,MIN('难度参数'!$E$12,ROUND(('难度参数'!$E$18*POWER(A467,'难度参数'!$E$19)/D467*(0.85+0.3*(4-1)/MAX(1,D467-1))),0)+F467)))</x:f>
        <x:v>40</x:v>
      </x:c>
      <x:c r="AK467" s="119" t="n">
        <x:f>IF(4&gt;D467,0,ROUND(('难度参数'!$E$13*POWER(A467,'难度参数'!$E$20)*MIN('难度参数'!$E$23,1+MAX(0,A467-'难度参数'!$E$21)*'难度参数'!$E$22))*(36+4*7)/(36+7*(D467+1)/2)*E467,0))</x:f>
        <x:v>11174</x:v>
      </x:c>
      <x:c r="AL467" s="119" t="n">
        <x:f>IF(AJ467=0,0,(AJ467-IF(4=D467,1,0))*ROUND(AK467*VLOOKUP(INDEX('章节与怪物'!$E$31:$K$37,B467,4),'章节与怪物'!$A$41:$F$44,2,FALSE),0)+IF(4=D467,ROUND(AK467*'难度参数'!$E$28*'章节与怪物'!$E$17,0),0))</x:f>
        <x:v>603400</x:v>
      </x:c>
      <x:c r="AM467" s="119" t="n">
        <x:f>IF(AJ467=0,0,(AJ467-IF(4=D467,1,0))*VLOOKUP(INDEX('章节与怪物'!$E$31:$K$37,B467,4),'章节与怪物'!$A$41:$F$44,4,FALSE)+IF(4=D467,'难度参数'!$E$30,0))</x:f>
        <x:v>1360</x:v>
      </x:c>
      <x:c r="AN467" s="119" t="n">
        <x:f>IF(5&gt;D467,0,MAX(2,MIN('难度参数'!$E$12,ROUND(('难度参数'!$E$18*POWER(A467,'难度参数'!$E$19)/D467*(0.85+0.3*(5-1)/MAX(1,D467-1))),0)+F467)))</x:f>
        <x:v>42</x:v>
      </x:c>
      <x:c r="AO467" s="119" t="n">
        <x:f>IF(5&gt;D467,0,ROUND(('难度参数'!$E$13*POWER(A467,'难度参数'!$E$20)*MIN('难度参数'!$E$23,1+MAX(0,A467-'难度参数'!$E$21)*'难度参数'!$E$22))*(36+5*7)/(36+7*(D467+1)/2)*E467,0))</x:f>
        <x:v>12396</x:v>
      </x:c>
      <x:c r="AP467" s="119" t="n">
        <x:f>IF(AN467=0,0,(AN467-IF(5=D467,1,0))*ROUND(AO467*VLOOKUP(INDEX('章节与怪物'!$E$31:$K$37,B467,5),'章节与怪物'!$A$41:$F$44,2,FALSE),0)+IF(5=D467,ROUND(AO467*'难度参数'!$E$28*'章节与怪物'!$E$17,0),0))</x:f>
        <x:v>520632</x:v>
      </x:c>
      <x:c r="AQ467" s="119" t="n">
        <x:f>IF(AN467=0,0,(AN467-IF(5=D467,1,0))*VLOOKUP(INDEX('章节与怪物'!$E$31:$K$37,B467,5),'章节与怪物'!$A$41:$F$44,4,FALSE)+IF(5=D467,'难度参数'!$E$30,0))</x:f>
        <x:v>756</x:v>
      </x:c>
      <x:c r="AR467" s="119" t="n">
        <x:f>IF(6&gt;D467,0,MAX(2,MIN('难度参数'!$E$12,ROUND(('难度参数'!$E$18*POWER(A467,'难度参数'!$E$19)/D467*(0.85+0.3*(6-1)/MAX(1,D467-1))),0)+F467)))</x:f>
        <x:v>44</x:v>
      </x:c>
      <x:c r="AS467" s="119" t="n">
        <x:f>IF(6&gt;D467,0,ROUND(('难度参数'!$E$13*POWER(A467,'难度参数'!$E$20)*MIN('难度参数'!$E$23,1+MAX(0,A467-'难度参数'!$E$21)*'难度参数'!$E$22))*(36+6*7)/(36+7*(D467+1)/2)*E467,0))</x:f>
        <x:v>13618</x:v>
      </x:c>
      <x:c r="AT467" s="119" t="n">
        <x:f>IF(AR467=0,0,(AR467-IF(6=D467,1,0))*ROUND(AS467*VLOOKUP(INDEX('章节与怪物'!$E$31:$K$37,B467,6),'章节与怪物'!$A$41:$F$44,2,FALSE),0)+IF(6=D467,ROUND(AS467*'难度参数'!$E$28*'章节与怪物'!$E$17,0),0))</x:f>
        <x:v>1018644</x:v>
      </x:c>
      <x:c r="AU467" s="119" t="n">
        <x:f>IF(AR467=0,0,(AR467-IF(6=D467,1,0))*VLOOKUP(INDEX('章节与怪物'!$E$31:$K$37,B467,6),'章节与怪物'!$A$41:$F$44,4,FALSE)+IF(6=D467,'难度参数'!$E$30,0))</x:f>
        <x:v>1232</x:v>
      </x:c>
      <x:c r="AV467" s="119" t="n">
        <x:f>IF(7&gt;D467,0,MAX(2,MIN('难度参数'!$E$12,ROUND(('难度参数'!$E$18*POWER(A467,'难度参数'!$E$19)/D467*(0.85+0.3*(7-1)/MAX(1,D467-1))),0)+F467)))</x:f>
        <x:v>46</x:v>
      </x:c>
      <x:c r="AW467" s="119" t="n">
        <x:f>IF(7&gt;D467,0,ROUND(('难度参数'!$E$13*POWER(A467,'难度参数'!$E$20)*MIN('难度参数'!$E$23,1+MAX(0,A467-'难度参数'!$E$21)*'难度参数'!$E$22))*(36+7*7)/(36+7*(D467+1)/2)*E467,0))</x:f>
        <x:v>14840</x:v>
      </x:c>
      <x:c r="AX467" s="119" t="n">
        <x:f>IF(AV467=0,0,(AV467-IF(7=D467,1,0))*ROUND(AW467*VLOOKUP(INDEX('章节与怪物'!$E$31:$K$37,B467,7),'章节与怪物'!$A$41:$F$44,2,FALSE),0)+IF(7=D467,ROUND(AW467*'难度参数'!$E$28*'章节与怪物'!$E$17,0),0))</x:f>
        <x:v>1002442</x:v>
      </x:c>
      <x:c r="AY467" s="119" t="n">
        <x:f>IF(AV467=0,0,(AV467-IF(7=D467,1,0))*VLOOKUP(INDEX('章节与怪物'!$E$31:$K$37,B467,7),'章节与怪物'!$A$41:$F$44,4,FALSE)+IF(7=D467,'难度参数'!$E$30,0))</x:f>
        <x:v>1730</x:v>
      </x:c>
    </x:row>
    <x:row r="468" ht="23" customHeight="1">
      <x:c r="A468" s="119" t="n">
        <x:v>462</x:v>
      </x:c>
      <x:c r="B468" s="119" t="n">
        <x:f>MOD(INT((A468-1)/5),7)+1</x:f>
        <x:v>2</x:v>
      </x:c>
      <x:c r="C468" s="62" t="str">
        <x:f>INDEX('章节与怪物'!$B$31:$B$37,B468)</x:f>
        <x:v>黄沙要塞</x:v>
      </x:c>
      <x:c r="D468" s="119" t="n">
        <x:f>MIN('难度参数'!$E$8,MAX('难度参数'!$E$7,A468))</x:f>
        <x:v>7</x:v>
      </x:c>
      <x:c r="E468" s="106" t="n">
        <x:v>1</x:v>
      </x:c>
      <x:c r="F468" s="106" t="n">
        <x:v>0</x:v>
      </x:c>
      <x:c r="G468" s="106" t="n">
        <x:v>1</x:v>
      </x:c>
      <x:c r="H468" s="119" t="n">
        <x:f>SUM(X468,AB468,AF468,AJ468,AN468,AR468,AV468)</x:f>
        <x:v>280</x:v>
      </x:c>
      <x:c r="I468" s="119" t="n">
        <x:f>SUM(Z468,AD468,AH468,AL468,AP468,AT468,AX468)</x:f>
        <x:v>4292623</x:v>
      </x:c>
      <x:c r="J468" s="119" t="n">
        <x:f>ROUND(INDEX(X468:AY468,1,(D468-1)*4+2)*'难度参数'!$E$28*'章节与怪物'!$E$17,0)</x:f>
        <x:v>101068</x:v>
      </x:c>
      <x:c r="K468" s="119" t="n">
        <x:f>SUM(AA468,AE468,AI468,AM468,AQ468,AU468,AY468)</x:f>
        <x:v>7470</x:v>
      </x:c>
      <x:c r="L468" s="62" t="n">
        <x:f>H468*(ROUNDUP('难度参数'!$E$24/('难度参数'!$E$26*'难度参数'!$E$27),0)*'难度参数'!$E$26)/60</x:f>
        <x:v>3.7333333333333334</x:v>
      </x:c>
      <x:c r="M468" s="62" t="n">
        <x:f>L468+D468*('难度参数'!$E$49+'难度参数'!$E$50)/60</x:f>
        <x:v>4.9</x:v>
      </x:c>
      <x:c r="N468" s="119" t="n">
        <x:f>ROUNDDOWN(('经济参数'!$E$20+A468*'经济参数'!$E$21)*G468,0)</x:f>
        <x:v>9420</x:v>
      </x:c>
      <x:c r="O468" s="119" t="n">
        <x:f>ROUNDDOWN(MIN('经济参数'!$E$24,'经济参数'!$E$22+A468*'经济参数'!$E$23)*G468,0)</x:f>
        <x:v>0</x:v>
      </x:c>
      <x:c r="P468" s="119" t="n">
        <x:f>ROUNDDOWN((IF(A468&gt;='材料与任务'!$E$31,'材料与任务'!$E$32,IF(A468&gt;='材料与任务'!$E$25,'材料与任务'!$E$26,IF(A468&gt;='材料与任务'!$E$19,'材料与任务'!$E$20,IF(A468&gt;='材料与任务'!$E$13,'材料与任务'!$E$14,'材料与任务'!$E$8)))))*G468,0)</x:f>
        <x:v>6</x:v>
      </x:c>
      <x:c r="Q468" s="119" t="n">
        <x:f>ROUNDDOWN((IF(A468&gt;='材料与任务'!$E$31,'材料与任务'!$E$33,IF(A468&gt;='材料与任务'!$E$25,'材料与任务'!$E$27,IF(A468&gt;='材料与任务'!$E$19,'材料与任务'!$E$21,IF(A468&gt;='材料与任务'!$E$13,'材料与任务'!$E$15,'材料与任务'!$E$9)))))*G468,0)</x:f>
        <x:v>3</x:v>
      </x:c>
      <x:c r="R468" s="110" t="n">
        <x:f>'装备掉落'!$B$38</x:f>
        <x:v>0.6872058758851213</x:v>
      </x:c>
      <x:c r="S468" s="119" t="n">
        <x:f>MAX(IF(VLOOKUP(A468,'装备掉落'!$A$29:$H$34,2,TRUE)&gt;0,1,0),IF(VLOOKUP(A468,'装备掉落'!$A$29:$H$34,3,TRUE)&gt;0,2,0),IF(VLOOKUP(A468,'装备掉落'!$A$29:$H$34,4,TRUE)&gt;0,3,0),IF(VLOOKUP(A468,'装备掉落'!$A$29:$H$34,5,TRUE)&gt;0,4,0),IF(VLOOKUP(A468,'装备掉落'!$A$29:$H$34,6,TRUE)&gt;0,5,0),IF(VLOOKUP(A468,'装备掉落'!$A$29:$H$34,7,TRUE)&gt;0,6,0),IF(VLOOKUP(A468,'装备掉落'!$A$29:$H$34,8,TRUE)&gt;0,7,0))</x:f>
        <x:v>7</x:v>
      </x:c>
      <x:c r="T468" s="119" t="n">
        <x:f>MIN(7,S468+'经济参数'!$E$70)</x:f>
        <x:v>7</x:v>
      </x:c>
      <x:c r="U468" s="119" t="n">
        <x:f>MIN(7,S468+'经济参数'!$E$71)</x:f>
        <x:v>7</x:v>
      </x:c>
      <x:c r="V468" s="119" t="n">
        <x:f>IF(H468&gt;=('难度参数'!$E$52),1,0)+IF(H468&gt;=('难度参数'!$E$52+'难度参数'!$E$53),1,0)+IF(H468&gt;=('难度参数'!$E$52+'难度参数'!$E$53+'难度参数'!$E$54),1,0)+IF(H468&gt;=('难度参数'!$E$52+'难度参数'!$E$53+'难度参数'!$E$54+'难度参数'!$E$55),1,0)+IF(H468&gt;=('难度参数'!$E$52+'难度参数'!$E$53+'难度参数'!$E$54+'难度参数'!$E$55+'难度参数'!$E$56),1,0)+IF(H468&gt;=('难度参数'!$E$52+'难度参数'!$E$53+'难度参数'!$E$54+'难度参数'!$E$55+'难度参数'!$E$56+'难度参数'!$E$57),1,0)</x:f>
        <x:v>6</x:v>
      </x:c>
      <x:c r="W468" s="62" t="str">
        <x:f>IF(L468&gt;'难度参数'!$E$51,"仅出怪已超目标","还需实测")</x:f>
        <x:v>仅出怪已超目标</x:v>
      </x:c>
      <x:c r="X468" s="119" t="n">
        <x:f>IF(1&gt;D468,0,MAX(2,MIN('难度参数'!$E$12,ROUND(('难度参数'!$E$18*POWER(A468,'难度参数'!$E$19)/D468*(0.85+0.3*(1-1)/MAX(1,D468-1))),0)+F468)))</x:f>
        <x:v>34</x:v>
      </x:c>
      <x:c r="Y468" s="119" t="n">
        <x:f>IF(1&gt;D468,0,ROUND(('难度参数'!$E$13*POWER(A468,'难度参数'!$E$20)*MIN('难度参数'!$E$23,1+MAX(0,A468-'难度参数'!$E$21)*'难度参数'!$E$22))*(36+1*7)/(36+7*(D468+1)/2)*E468,0))</x:f>
        <x:v>7519</x:v>
      </x:c>
      <x:c r="Z468" s="119" t="n">
        <x:f>IF(X468=0,0,(X468-IF(1=D468,1,0))*ROUND(Y468*VLOOKUP(INDEX('章节与怪物'!$E$31:$K$37,B468,1),'章节与怪物'!$A$41:$F$44,2,FALSE),0)+IF(1=D468,ROUND(Y468*'难度参数'!$E$28*'章节与怪物'!$E$17,0),0))</x:f>
        <x:v>184076</x:v>
      </x:c>
      <x:c r="AA468" s="119" t="n">
        <x:f>IF(X468=0,0,(X468-IF(1=D468,1,0))*VLOOKUP(INDEX('章节与怪物'!$E$31:$K$37,B468,1),'章节与怪物'!$A$41:$F$44,4,FALSE)+IF(1=D468,'难度参数'!$E$30,0))</x:f>
        <x:v>680</x:v>
      </x:c>
      <x:c r="AB468" s="119" t="n">
        <x:f>IF(2&gt;D468,0,MAX(2,MIN('难度参数'!$E$12,ROUND(('难度参数'!$E$18*POWER(A468,'难度参数'!$E$19)/D468*(0.85+0.3*(2-1)/MAX(1,D468-1))),0)+F468)))</x:f>
        <x:v>36</x:v>
      </x:c>
      <x:c r="AC468" s="119" t="n">
        <x:f>IF(2&gt;D468,0,ROUND(('难度参数'!$E$13*POWER(A468,'难度参数'!$E$20)*MIN('难度参数'!$E$23,1+MAX(0,A468-'难度参数'!$E$21)*'难度参数'!$E$22))*(36+2*7)/(36+7*(D468+1)/2)*E468,0))</x:f>
        <x:v>8743</x:v>
      </x:c>
      <x:c r="AD468" s="119" t="n">
        <x:f>IF(AB468=0,0,(AB468-IF(2=D468,1,0))*ROUND(AC468*VLOOKUP(INDEX('章节与怪物'!$E$31:$K$37,B468,2),'章节与怪物'!$A$41:$F$44,2,FALSE),0)+IF(2=D468,ROUND(AC468*'难度参数'!$E$28*'章节与怪物'!$E$17,0),0))</x:f>
        <x:v>314748</x:v>
      </x:c>
      <x:c r="AE468" s="119" t="n">
        <x:f>IF(AB468=0,0,(AB468-IF(2=D468,1,0))*VLOOKUP(INDEX('章节与怪物'!$E$31:$K$37,B468,2),'章节与怪物'!$A$41:$F$44,4,FALSE)+IF(2=D468,'难度参数'!$E$30,0))</x:f>
        <x:v>648</x:v>
      </x:c>
      <x:c r="AF468" s="119" t="n">
        <x:f>IF(3&gt;D468,0,MAX(2,MIN('难度参数'!$E$12,ROUND(('难度参数'!$E$18*POWER(A468,'难度参数'!$E$19)/D468*(0.85+0.3*(3-1)/MAX(1,D468-1))),0)+F468)))</x:f>
        <x:v>38</x:v>
      </x:c>
      <x:c r="AG468" s="119" t="n">
        <x:f>IF(3&gt;D468,0,ROUND(('难度参数'!$E$13*POWER(A468,'难度参数'!$E$20)*MIN('难度参数'!$E$23,1+MAX(0,A468-'难度参数'!$E$21)*'难度参数'!$E$22))*(36+3*7)/(36+7*(D468+1)/2)*E468,0))</x:f>
        <x:v>9967</x:v>
      </x:c>
      <x:c r="AH468" s="119" t="n">
        <x:f>IF(AF468=0,0,(AF468-IF(3=D468,1,0))*ROUND(AG468*VLOOKUP(INDEX('章节与怪物'!$E$31:$K$37,B468,3),'章节与怪物'!$A$41:$F$44,2,FALSE),0)+IF(3=D468,ROUND(AG468*'难度参数'!$E$28*'章节与怪物'!$E$17,0),0))</x:f>
        <x:v>643872</x:v>
      </x:c>
      <x:c r="AI468" s="119" t="n">
        <x:f>IF(AF468=0,0,(AF468-IF(3=D468,1,0))*VLOOKUP(INDEX('章节与怪物'!$E$31:$K$37,B468,3),'章节与怪物'!$A$41:$F$44,4,FALSE)+IF(3=D468,'难度参数'!$E$30,0))</x:f>
        <x:v>1064</x:v>
      </x:c>
      <x:c r="AJ468" s="119" t="n">
        <x:f>IF(4&gt;D468,0,MAX(2,MIN('难度参数'!$E$12,ROUND(('难度参数'!$E$18*POWER(A468,'难度参数'!$E$19)/D468*(0.85+0.3*(4-1)/MAX(1,D468-1))),0)+F468)))</x:f>
        <x:v>40</x:v>
      </x:c>
      <x:c r="AK468" s="119" t="n">
        <x:f>IF(4&gt;D468,0,ROUND(('难度参数'!$E$13*POWER(A468,'难度参数'!$E$20)*MIN('难度参数'!$E$23,1+MAX(0,A468-'难度参数'!$E$21)*'难度参数'!$E$22))*(36+4*7)/(36+7*(D468+1)/2)*E468,0))</x:f>
        <x:v>11191</x:v>
      </x:c>
      <x:c r="AL468" s="119" t="n">
        <x:f>IF(AJ468=0,0,(AJ468-IF(4=D468,1,0))*ROUND(AK468*VLOOKUP(INDEX('章节与怪物'!$E$31:$K$37,B468,4),'章节与怪物'!$A$41:$F$44,2,FALSE),0)+IF(4=D468,ROUND(AK468*'难度参数'!$E$28*'章节与怪物'!$E$17,0),0))</x:f>
        <x:v>604320</x:v>
      </x:c>
      <x:c r="AM468" s="119" t="n">
        <x:f>IF(AJ468=0,0,(AJ468-IF(4=D468,1,0))*VLOOKUP(INDEX('章节与怪物'!$E$31:$K$37,B468,4),'章节与怪物'!$A$41:$F$44,4,FALSE)+IF(4=D468,'难度参数'!$E$30,0))</x:f>
        <x:v>1360</x:v>
      </x:c>
      <x:c r="AN468" s="119" t="n">
        <x:f>IF(5&gt;D468,0,MAX(2,MIN('难度参数'!$E$12,ROUND(('难度参数'!$E$18*POWER(A468,'难度参数'!$E$19)/D468*(0.85+0.3*(5-1)/MAX(1,D468-1))),0)+F468)))</x:f>
        <x:v>42</x:v>
      </x:c>
      <x:c r="AO468" s="119" t="n">
        <x:f>IF(5&gt;D468,0,ROUND(('难度参数'!$E$13*POWER(A468,'难度参数'!$E$20)*MIN('难度参数'!$E$23,1+MAX(0,A468-'难度参数'!$E$21)*'难度参数'!$E$22))*(36+5*7)/(36+7*(D468+1)/2)*E468,0))</x:f>
        <x:v>12415</x:v>
      </x:c>
      <x:c r="AP468" s="119" t="n">
        <x:f>IF(AN468=0,0,(AN468-IF(5=D468,1,0))*ROUND(AO468*VLOOKUP(INDEX('章节与怪物'!$E$31:$K$37,B468,5),'章节与怪物'!$A$41:$F$44,2,FALSE),0)+IF(5=D468,ROUND(AO468*'难度参数'!$E$28*'章节与怪物'!$E$17,0),0))</x:f>
        <x:v>521430</x:v>
      </x:c>
      <x:c r="AQ468" s="119" t="n">
        <x:f>IF(AN468=0,0,(AN468-IF(5=D468,1,0))*VLOOKUP(INDEX('章节与怪物'!$E$31:$K$37,B468,5),'章节与怪物'!$A$41:$F$44,4,FALSE)+IF(5=D468,'难度参数'!$E$30,0))</x:f>
        <x:v>756</x:v>
      </x:c>
      <x:c r="AR468" s="119" t="n">
        <x:f>IF(6&gt;D468,0,MAX(2,MIN('难度参数'!$E$12,ROUND(('难度参数'!$E$18*POWER(A468,'难度参数'!$E$19)/D468*(0.85+0.3*(6-1)/MAX(1,D468-1))),0)+F468)))</x:f>
        <x:v>44</x:v>
      </x:c>
      <x:c r="AS468" s="119" t="n">
        <x:f>IF(6&gt;D468,0,ROUND(('难度参数'!$E$13*POWER(A468,'难度参数'!$E$20)*MIN('难度参数'!$E$23,1+MAX(0,A468-'难度参数'!$E$21)*'难度参数'!$E$22))*(36+6*7)/(36+7*(D468+1)/2)*E468,0))</x:f>
        <x:v>13639</x:v>
      </x:c>
      <x:c r="AT468" s="119" t="n">
        <x:f>IF(AR468=0,0,(AR468-IF(6=D468,1,0))*ROUND(AS468*VLOOKUP(INDEX('章节与怪物'!$E$31:$K$37,B468,6),'章节与怪物'!$A$41:$F$44,2,FALSE),0)+IF(6=D468,ROUND(AS468*'难度参数'!$E$28*'章节与怪物'!$E$17,0),0))</x:f>
        <x:v>1020184</x:v>
      </x:c>
      <x:c r="AU468" s="119" t="n">
        <x:f>IF(AR468=0,0,(AR468-IF(6=D468,1,0))*VLOOKUP(INDEX('章节与怪物'!$E$31:$K$37,B468,6),'章节与怪物'!$A$41:$F$44,4,FALSE)+IF(6=D468,'难度参数'!$E$30,0))</x:f>
        <x:v>1232</x:v>
      </x:c>
      <x:c r="AV468" s="119" t="n">
        <x:f>IF(7&gt;D468,0,MAX(2,MIN('难度参数'!$E$12,ROUND(('难度参数'!$E$18*POWER(A468,'难度参数'!$E$19)/D468*(0.85+0.3*(7-1)/MAX(1,D468-1))),0)+F468)))</x:f>
        <x:v>46</x:v>
      </x:c>
      <x:c r="AW468" s="119" t="n">
        <x:f>IF(7&gt;D468,0,ROUND(('难度参数'!$E$13*POWER(A468,'难度参数'!$E$20)*MIN('难度参数'!$E$23,1+MAX(0,A468-'难度参数'!$E$21)*'难度参数'!$E$22))*(36+7*7)/(36+7*(D468+1)/2)*E468,0))</x:f>
        <x:v>14863</x:v>
      </x:c>
      <x:c r="AX468" s="119" t="n">
        <x:f>IF(AV468=0,0,(AV468-IF(7=D468,1,0))*ROUND(AW468*VLOOKUP(INDEX('章节与怪物'!$E$31:$K$37,B468,7),'章节与怪物'!$A$41:$F$44,2,FALSE),0)+IF(7=D468,ROUND(AW468*'难度参数'!$E$28*'章节与怪物'!$E$17,0),0))</x:f>
        <x:v>1003993</x:v>
      </x:c>
      <x:c r="AY468" s="119" t="n">
        <x:f>IF(AV468=0,0,(AV468-IF(7=D468,1,0))*VLOOKUP(INDEX('章节与怪物'!$E$31:$K$37,B468,7),'章节与怪物'!$A$41:$F$44,4,FALSE)+IF(7=D468,'难度参数'!$E$30,0))</x:f>
        <x:v>1730</x:v>
      </x:c>
    </x:row>
    <x:row r="469" ht="23" customHeight="1">
      <x:c r="A469" s="119" t="n">
        <x:v>463</x:v>
      </x:c>
      <x:c r="B469" s="119" t="n">
        <x:f>MOD(INT((A469-1)/5),7)+1</x:f>
        <x:v>2</x:v>
      </x:c>
      <x:c r="C469" s="62" t="str">
        <x:f>INDEX('章节与怪物'!$B$31:$B$37,B469)</x:f>
        <x:v>黄沙要塞</x:v>
      </x:c>
      <x:c r="D469" s="119" t="n">
        <x:f>MIN('难度参数'!$E$8,MAX('难度参数'!$E$7,A469))</x:f>
        <x:v>7</x:v>
      </x:c>
      <x:c r="E469" s="106" t="n">
        <x:v>1</x:v>
      </x:c>
      <x:c r="F469" s="106" t="n">
        <x:v>0</x:v>
      </x:c>
      <x:c r="G469" s="106" t="n">
        <x:v>1</x:v>
      </x:c>
      <x:c r="H469" s="119" t="n">
        <x:f>SUM(X469,AB469,AF469,AJ469,AN469,AR469,AV469)</x:f>
        <x:v>280</x:v>
      </x:c>
      <x:c r="I469" s="119" t="n">
        <x:f>SUM(Z469,AD469,AH469,AL469,AP469,AT469,AX469)</x:f>
        <x:v>4299449</x:v>
      </x:c>
      <x:c r="J469" s="119" t="n">
        <x:f>ROUND(INDEX(X469:AY469,1,(D469-1)*4+2)*'难度参数'!$E$28*'章节与怪物'!$E$17,0)</x:f>
        <x:v>101225</x:v>
      </x:c>
      <x:c r="K469" s="119" t="n">
        <x:f>SUM(AA469,AE469,AI469,AM469,AQ469,AU469,AY469)</x:f>
        <x:v>7470</x:v>
      </x:c>
      <x:c r="L469" s="62" t="n">
        <x:f>H469*(ROUNDUP('难度参数'!$E$24/('难度参数'!$E$26*'难度参数'!$E$27),0)*'难度参数'!$E$26)/60</x:f>
        <x:v>3.7333333333333334</x:v>
      </x:c>
      <x:c r="M469" s="62" t="n">
        <x:f>L469+D469*('难度参数'!$E$49+'难度参数'!$E$50)/60</x:f>
        <x:v>4.9</x:v>
      </x:c>
      <x:c r="N469" s="119" t="n">
        <x:f>ROUNDDOWN(('经济参数'!$E$20+A469*'经济参数'!$E$21)*G469,0)</x:f>
        <x:v>9440</x:v>
      </x:c>
      <x:c r="O469" s="119" t="n">
        <x:f>ROUNDDOWN(MIN('经济参数'!$E$24,'经济参数'!$E$22+A469*'经济参数'!$E$23)*G469,0)</x:f>
        <x:v>0</x:v>
      </x:c>
      <x:c r="P469" s="119" t="n">
        <x:f>ROUNDDOWN((IF(A469&gt;='材料与任务'!$E$31,'材料与任务'!$E$32,IF(A469&gt;='材料与任务'!$E$25,'材料与任务'!$E$26,IF(A469&gt;='材料与任务'!$E$19,'材料与任务'!$E$20,IF(A469&gt;='材料与任务'!$E$13,'材料与任务'!$E$14,'材料与任务'!$E$8)))))*G469,0)</x:f>
        <x:v>6</x:v>
      </x:c>
      <x:c r="Q469" s="119" t="n">
        <x:f>ROUNDDOWN((IF(A469&gt;='材料与任务'!$E$31,'材料与任务'!$E$33,IF(A469&gt;='材料与任务'!$E$25,'材料与任务'!$E$27,IF(A469&gt;='材料与任务'!$E$19,'材料与任务'!$E$21,IF(A469&gt;='材料与任务'!$E$13,'材料与任务'!$E$15,'材料与任务'!$E$9)))))*G469,0)</x:f>
        <x:v>3</x:v>
      </x:c>
      <x:c r="R469" s="110" t="n">
        <x:f>'装备掉落'!$B$38</x:f>
        <x:v>0.6872058758851213</x:v>
      </x:c>
      <x:c r="S469" s="119" t="n">
        <x:f>MAX(IF(VLOOKUP(A469,'装备掉落'!$A$29:$H$34,2,TRUE)&gt;0,1,0),IF(VLOOKUP(A469,'装备掉落'!$A$29:$H$34,3,TRUE)&gt;0,2,0),IF(VLOOKUP(A469,'装备掉落'!$A$29:$H$34,4,TRUE)&gt;0,3,0),IF(VLOOKUP(A469,'装备掉落'!$A$29:$H$34,5,TRUE)&gt;0,4,0),IF(VLOOKUP(A469,'装备掉落'!$A$29:$H$34,6,TRUE)&gt;0,5,0),IF(VLOOKUP(A469,'装备掉落'!$A$29:$H$34,7,TRUE)&gt;0,6,0),IF(VLOOKUP(A469,'装备掉落'!$A$29:$H$34,8,TRUE)&gt;0,7,0))</x:f>
        <x:v>7</x:v>
      </x:c>
      <x:c r="T469" s="119" t="n">
        <x:f>MIN(7,S469+'经济参数'!$E$70)</x:f>
        <x:v>7</x:v>
      </x:c>
      <x:c r="U469" s="119" t="n">
        <x:f>MIN(7,S469+'经济参数'!$E$71)</x:f>
        <x:v>7</x:v>
      </x:c>
      <x:c r="V469" s="119" t="n">
        <x:f>IF(H469&gt;=('难度参数'!$E$52),1,0)+IF(H469&gt;=('难度参数'!$E$52+'难度参数'!$E$53),1,0)+IF(H469&gt;=('难度参数'!$E$52+'难度参数'!$E$53+'难度参数'!$E$54),1,0)+IF(H469&gt;=('难度参数'!$E$52+'难度参数'!$E$53+'难度参数'!$E$54+'难度参数'!$E$55),1,0)+IF(H469&gt;=('难度参数'!$E$52+'难度参数'!$E$53+'难度参数'!$E$54+'难度参数'!$E$55+'难度参数'!$E$56),1,0)+IF(H469&gt;=('难度参数'!$E$52+'难度参数'!$E$53+'难度参数'!$E$54+'难度参数'!$E$55+'难度参数'!$E$56+'难度参数'!$E$57),1,0)</x:f>
        <x:v>6</x:v>
      </x:c>
      <x:c r="W469" s="62" t="str">
        <x:f>IF(L469&gt;'难度参数'!$E$51,"仅出怪已超目标","还需实测")</x:f>
        <x:v>仅出怪已超目标</x:v>
      </x:c>
      <x:c r="X469" s="119" t="n">
        <x:f>IF(1&gt;D469,0,MAX(2,MIN('难度参数'!$E$12,ROUND(('难度参数'!$E$18*POWER(A469,'难度参数'!$E$19)/D469*(0.85+0.3*(1-1)/MAX(1,D469-1))),0)+F469)))</x:f>
        <x:v>34</x:v>
      </x:c>
      <x:c r="Y469" s="119" t="n">
        <x:f>IF(1&gt;D469,0,ROUND(('难度参数'!$E$13*POWER(A469,'难度参数'!$E$20)*MIN('难度参数'!$E$23,1+MAX(0,A469-'难度参数'!$E$21)*'难度参数'!$E$22))*(36+1*7)/(36+7*(D469+1)/2)*E469,0))</x:f>
        <x:v>7531</x:v>
      </x:c>
      <x:c r="Z469" s="119" t="n">
        <x:f>IF(X469=0,0,(X469-IF(1=D469,1,0))*ROUND(Y469*VLOOKUP(INDEX('章节与怪物'!$E$31:$K$37,B469,1),'章节与怪物'!$A$41:$F$44,2,FALSE),0)+IF(1=D469,ROUND(Y469*'难度参数'!$E$28*'章节与怪物'!$E$17,0),0))</x:f>
        <x:v>184348</x:v>
      </x:c>
      <x:c r="AA469" s="119" t="n">
        <x:f>IF(X469=0,0,(X469-IF(1=D469,1,0))*VLOOKUP(INDEX('章节与怪物'!$E$31:$K$37,B469,1),'章节与怪物'!$A$41:$F$44,4,FALSE)+IF(1=D469,'难度参数'!$E$30,0))</x:f>
        <x:v>680</x:v>
      </x:c>
      <x:c r="AB469" s="119" t="n">
        <x:f>IF(2&gt;D469,0,MAX(2,MIN('难度参数'!$E$12,ROUND(('难度参数'!$E$18*POWER(A469,'难度参数'!$E$19)/D469*(0.85+0.3*(2-1)/MAX(1,D469-1))),0)+F469)))</x:f>
        <x:v>36</x:v>
      </x:c>
      <x:c r="AC469" s="119" t="n">
        <x:f>IF(2&gt;D469,0,ROUND(('难度参数'!$E$13*POWER(A469,'难度参数'!$E$20)*MIN('难度参数'!$E$23,1+MAX(0,A469-'难度参数'!$E$21)*'难度参数'!$E$22))*(36+2*7)/(36+7*(D469+1)/2)*E469,0))</x:f>
        <x:v>8757</x:v>
      </x:c>
      <x:c r="AD469" s="119" t="n">
        <x:f>IF(AB469=0,0,(AB469-IF(2=D469,1,0))*ROUND(AC469*VLOOKUP(INDEX('章节与怪物'!$E$31:$K$37,B469,2),'章节与怪物'!$A$41:$F$44,2,FALSE),0)+IF(2=D469,ROUND(AC469*'难度参数'!$E$28*'章节与怪物'!$E$17,0),0))</x:f>
        <x:v>315252</x:v>
      </x:c>
      <x:c r="AE469" s="119" t="n">
        <x:f>IF(AB469=0,0,(AB469-IF(2=D469,1,0))*VLOOKUP(INDEX('章节与怪物'!$E$31:$K$37,B469,2),'章节与怪物'!$A$41:$F$44,4,FALSE)+IF(2=D469,'难度参数'!$E$30,0))</x:f>
        <x:v>648</x:v>
      </x:c>
      <x:c r="AF469" s="119" t="n">
        <x:f>IF(3&gt;D469,0,MAX(2,MIN('难度参数'!$E$12,ROUND(('难度参数'!$E$18*POWER(A469,'难度参数'!$E$19)/D469*(0.85+0.3*(3-1)/MAX(1,D469-1))),0)+F469)))</x:f>
        <x:v>38</x:v>
      </x:c>
      <x:c r="AG469" s="119" t="n">
        <x:f>IF(3&gt;D469,0,ROUND(('难度参数'!$E$13*POWER(A469,'难度参数'!$E$20)*MIN('难度参数'!$E$23,1+MAX(0,A469-'难度参数'!$E$21)*'难度参数'!$E$22))*(36+3*7)/(36+7*(D469+1)/2)*E469,0))</x:f>
        <x:v>9983</x:v>
      </x:c>
      <x:c r="AH469" s="119" t="n">
        <x:f>IF(AF469=0,0,(AF469-IF(3=D469,1,0))*ROUND(AG469*VLOOKUP(INDEX('章节与怪物'!$E$31:$K$37,B469,3),'章节与怪物'!$A$41:$F$44,2,FALSE),0)+IF(3=D469,ROUND(AG469*'难度参数'!$E$28*'章节与怪物'!$E$17,0),0))</x:f>
        <x:v>644898</x:v>
      </x:c>
      <x:c r="AI469" s="119" t="n">
        <x:f>IF(AF469=0,0,(AF469-IF(3=D469,1,0))*VLOOKUP(INDEX('章节与怪物'!$E$31:$K$37,B469,3),'章节与怪物'!$A$41:$F$44,4,FALSE)+IF(3=D469,'难度参数'!$E$30,0))</x:f>
        <x:v>1064</x:v>
      </x:c>
      <x:c r="AJ469" s="119" t="n">
        <x:f>IF(4&gt;D469,0,MAX(2,MIN('难度参数'!$E$12,ROUND(('难度参数'!$E$18*POWER(A469,'难度参数'!$E$19)/D469*(0.85+0.3*(4-1)/MAX(1,D469-1))),0)+F469)))</x:f>
        <x:v>40</x:v>
      </x:c>
      <x:c r="AK469" s="119" t="n">
        <x:f>IF(4&gt;D469,0,ROUND(('难度参数'!$E$13*POWER(A469,'难度参数'!$E$20)*MIN('难度参数'!$E$23,1+MAX(0,A469-'难度参数'!$E$21)*'难度参数'!$E$22))*(36+4*7)/(36+7*(D469+1)/2)*E469,0))</x:f>
        <x:v>11209</x:v>
      </x:c>
      <x:c r="AL469" s="119" t="n">
        <x:f>IF(AJ469=0,0,(AJ469-IF(4=D469,1,0))*ROUND(AK469*VLOOKUP(INDEX('章节与怪物'!$E$31:$K$37,B469,4),'章节与怪物'!$A$41:$F$44,2,FALSE),0)+IF(4=D469,ROUND(AK469*'难度参数'!$E$28*'章节与怪物'!$E$17,0),0))</x:f>
        <x:v>605280</x:v>
      </x:c>
      <x:c r="AM469" s="119" t="n">
        <x:f>IF(AJ469=0,0,(AJ469-IF(4=D469,1,0))*VLOOKUP(INDEX('章节与怪物'!$E$31:$K$37,B469,4),'章节与怪物'!$A$41:$F$44,4,FALSE)+IF(4=D469,'难度参数'!$E$30,0))</x:f>
        <x:v>1360</x:v>
      </x:c>
      <x:c r="AN469" s="119" t="n">
        <x:f>IF(5&gt;D469,0,MAX(2,MIN('难度参数'!$E$12,ROUND(('难度参数'!$E$18*POWER(A469,'难度参数'!$E$19)/D469*(0.85+0.3*(5-1)/MAX(1,D469-1))),0)+F469)))</x:f>
        <x:v>42</x:v>
      </x:c>
      <x:c r="AO469" s="119" t="n">
        <x:f>IF(5&gt;D469,0,ROUND(('难度参数'!$E$13*POWER(A469,'难度参数'!$E$20)*MIN('难度参数'!$E$23,1+MAX(0,A469-'难度参数'!$E$21)*'难度参数'!$E$22))*(36+5*7)/(36+7*(D469+1)/2)*E469,0))</x:f>
        <x:v>12435</x:v>
      </x:c>
      <x:c r="AP469" s="119" t="n">
        <x:f>IF(AN469=0,0,(AN469-IF(5=D469,1,0))*ROUND(AO469*VLOOKUP(INDEX('章节与怪物'!$E$31:$K$37,B469,5),'章节与怪物'!$A$41:$F$44,2,FALSE),0)+IF(5=D469,ROUND(AO469*'难度参数'!$E$28*'章节与怪物'!$E$17,0),0))</x:f>
        <x:v>522270</x:v>
      </x:c>
      <x:c r="AQ469" s="119" t="n">
        <x:f>IF(AN469=0,0,(AN469-IF(5=D469,1,0))*VLOOKUP(INDEX('章节与怪物'!$E$31:$K$37,B469,5),'章节与怪物'!$A$41:$F$44,4,FALSE)+IF(5=D469,'难度参数'!$E$30,0))</x:f>
        <x:v>756</x:v>
      </x:c>
      <x:c r="AR469" s="119" t="n">
        <x:f>IF(6&gt;D469,0,MAX(2,MIN('难度参数'!$E$12,ROUND(('难度参数'!$E$18*POWER(A469,'难度参数'!$E$19)/D469*(0.85+0.3*(6-1)/MAX(1,D469-1))),0)+F469)))</x:f>
        <x:v>44</x:v>
      </x:c>
      <x:c r="AS469" s="119" t="n">
        <x:f>IF(6&gt;D469,0,ROUND(('难度参数'!$E$13*POWER(A469,'难度参数'!$E$20)*MIN('难度参数'!$E$23,1+MAX(0,A469-'难度参数'!$E$21)*'难度参数'!$E$22))*(36+6*7)/(36+7*(D469+1)/2)*E469,0))</x:f>
        <x:v>13661</x:v>
      </x:c>
      <x:c r="AT469" s="119" t="n">
        <x:f>IF(AR469=0,0,(AR469-IF(6=D469,1,0))*ROUND(AS469*VLOOKUP(INDEX('章节与怪物'!$E$31:$K$37,B469,6),'章节与怪物'!$A$41:$F$44,2,FALSE),0)+IF(6=D469,ROUND(AS469*'难度参数'!$E$28*'章节与怪物'!$E$17,0),0))</x:f>
        <x:v>1021856</x:v>
      </x:c>
      <x:c r="AU469" s="119" t="n">
        <x:f>IF(AR469=0,0,(AR469-IF(6=D469,1,0))*VLOOKUP(INDEX('章节与怪物'!$E$31:$K$37,B469,6),'章节与怪物'!$A$41:$F$44,4,FALSE)+IF(6=D469,'难度参数'!$E$30,0))</x:f>
        <x:v>1232</x:v>
      </x:c>
      <x:c r="AV469" s="119" t="n">
        <x:f>IF(7&gt;D469,0,MAX(2,MIN('难度参数'!$E$12,ROUND(('难度参数'!$E$18*POWER(A469,'难度参数'!$E$19)/D469*(0.85+0.3*(7-1)/MAX(1,D469-1))),0)+F469)))</x:f>
        <x:v>46</x:v>
      </x:c>
      <x:c r="AW469" s="119" t="n">
        <x:f>IF(7&gt;D469,0,ROUND(('难度参数'!$E$13*POWER(A469,'难度参数'!$E$20)*MIN('难度参数'!$E$23,1+MAX(0,A469-'难度参数'!$E$21)*'难度参数'!$E$22))*(36+7*7)/(36+7*(D469+1)/2)*E469,0))</x:f>
        <x:v>14886</x:v>
      </x:c>
      <x:c r="AX469" s="119" t="n">
        <x:f>IF(AV469=0,0,(AV469-IF(7=D469,1,0))*ROUND(AW469*VLOOKUP(INDEX('章节与怪物'!$E$31:$K$37,B469,7),'章节与怪物'!$A$41:$F$44,2,FALSE),0)+IF(7=D469,ROUND(AW469*'难度参数'!$E$28*'章节与怪物'!$E$17,0),0))</x:f>
        <x:v>1005545</x:v>
      </x:c>
      <x:c r="AY469" s="119" t="n">
        <x:f>IF(AV469=0,0,(AV469-IF(7=D469,1,0))*VLOOKUP(INDEX('章节与怪物'!$E$31:$K$37,B469,7),'章节与怪物'!$A$41:$F$44,4,FALSE)+IF(7=D469,'难度参数'!$E$30,0))</x:f>
        <x:v>1730</x:v>
      </x:c>
    </x:row>
    <x:row r="470" ht="23" customHeight="1">
      <x:c r="A470" s="119" t="n">
        <x:v>464</x:v>
      </x:c>
      <x:c r="B470" s="119" t="n">
        <x:f>MOD(INT((A470-1)/5),7)+1</x:f>
        <x:v>2</x:v>
      </x:c>
      <x:c r="C470" s="62" t="str">
        <x:f>INDEX('章节与怪物'!$B$31:$B$37,B470)</x:f>
        <x:v>黄沙要塞</x:v>
      </x:c>
      <x:c r="D470" s="119" t="n">
        <x:f>MIN('难度参数'!$E$8,MAX('难度参数'!$E$7,A470))</x:f>
        <x:v>7</x:v>
      </x:c>
      <x:c r="E470" s="106" t="n">
        <x:v>1</x:v>
      </x:c>
      <x:c r="F470" s="106" t="n">
        <x:v>0</x:v>
      </x:c>
      <x:c r="G470" s="106" t="n">
        <x:v>1</x:v>
      </x:c>
      <x:c r="H470" s="119" t="n">
        <x:f>SUM(X470,AB470,AF470,AJ470,AN470,AR470,AV470)</x:f>
        <x:v>280</x:v>
      </x:c>
      <x:c r="I470" s="119" t="n">
        <x:f>SUM(Z470,AD470,AH470,AL470,AP470,AT470,AX470)</x:f>
        <x:v>4306083</x:v>
      </x:c>
      <x:c r="J470" s="119" t="n">
        <x:f>ROUND(INDEX(X470:AY470,1,(D470-1)*4+2)*'难度参数'!$E$28*'章节与怪物'!$E$17,0)</x:f>
        <x:v>101388</x:v>
      </x:c>
      <x:c r="K470" s="119" t="n">
        <x:f>SUM(AA470,AE470,AI470,AM470,AQ470,AU470,AY470)</x:f>
        <x:v>7470</x:v>
      </x:c>
      <x:c r="L470" s="62" t="n">
        <x:f>H470*(ROUNDUP('难度参数'!$E$24/('难度参数'!$E$26*'难度参数'!$E$27),0)*'难度参数'!$E$26)/60</x:f>
        <x:v>3.7333333333333334</x:v>
      </x:c>
      <x:c r="M470" s="62" t="n">
        <x:f>L470+D470*('难度参数'!$E$49+'难度参数'!$E$50)/60</x:f>
        <x:v>4.9</x:v>
      </x:c>
      <x:c r="N470" s="119" t="n">
        <x:f>ROUNDDOWN(('经济参数'!$E$20+A470*'经济参数'!$E$21)*G470,0)</x:f>
        <x:v>9460</x:v>
      </x:c>
      <x:c r="O470" s="119" t="n">
        <x:f>ROUNDDOWN(MIN('经济参数'!$E$24,'经济参数'!$E$22+A470*'经济参数'!$E$23)*G470,0)</x:f>
        <x:v>0</x:v>
      </x:c>
      <x:c r="P470" s="119" t="n">
        <x:f>ROUNDDOWN((IF(A470&gt;='材料与任务'!$E$31,'材料与任务'!$E$32,IF(A470&gt;='材料与任务'!$E$25,'材料与任务'!$E$26,IF(A470&gt;='材料与任务'!$E$19,'材料与任务'!$E$20,IF(A470&gt;='材料与任务'!$E$13,'材料与任务'!$E$14,'材料与任务'!$E$8)))))*G470,0)</x:f>
        <x:v>6</x:v>
      </x:c>
      <x:c r="Q470" s="119" t="n">
        <x:f>ROUNDDOWN((IF(A470&gt;='材料与任务'!$E$31,'材料与任务'!$E$33,IF(A470&gt;='材料与任务'!$E$25,'材料与任务'!$E$27,IF(A470&gt;='材料与任务'!$E$19,'材料与任务'!$E$21,IF(A470&gt;='材料与任务'!$E$13,'材料与任务'!$E$15,'材料与任务'!$E$9)))))*G470,0)</x:f>
        <x:v>3</x:v>
      </x:c>
      <x:c r="R470" s="110" t="n">
        <x:f>'装备掉落'!$B$38</x:f>
        <x:v>0.6872058758851213</x:v>
      </x:c>
      <x:c r="S470" s="119" t="n">
        <x:f>MAX(IF(VLOOKUP(A470,'装备掉落'!$A$29:$H$34,2,TRUE)&gt;0,1,0),IF(VLOOKUP(A470,'装备掉落'!$A$29:$H$34,3,TRUE)&gt;0,2,0),IF(VLOOKUP(A470,'装备掉落'!$A$29:$H$34,4,TRUE)&gt;0,3,0),IF(VLOOKUP(A470,'装备掉落'!$A$29:$H$34,5,TRUE)&gt;0,4,0),IF(VLOOKUP(A470,'装备掉落'!$A$29:$H$34,6,TRUE)&gt;0,5,0),IF(VLOOKUP(A470,'装备掉落'!$A$29:$H$34,7,TRUE)&gt;0,6,0),IF(VLOOKUP(A470,'装备掉落'!$A$29:$H$34,8,TRUE)&gt;0,7,0))</x:f>
        <x:v>7</x:v>
      </x:c>
      <x:c r="T470" s="119" t="n">
        <x:f>MIN(7,S470+'经济参数'!$E$70)</x:f>
        <x:v>7</x:v>
      </x:c>
      <x:c r="U470" s="119" t="n">
        <x:f>MIN(7,S470+'经济参数'!$E$71)</x:f>
        <x:v>7</x:v>
      </x:c>
      <x:c r="V470" s="119" t="n">
        <x:f>IF(H470&gt;=('难度参数'!$E$52),1,0)+IF(H470&gt;=('难度参数'!$E$52+'难度参数'!$E$53),1,0)+IF(H470&gt;=('难度参数'!$E$52+'难度参数'!$E$53+'难度参数'!$E$54),1,0)+IF(H470&gt;=('难度参数'!$E$52+'难度参数'!$E$53+'难度参数'!$E$54+'难度参数'!$E$55),1,0)+IF(H470&gt;=('难度参数'!$E$52+'难度参数'!$E$53+'难度参数'!$E$54+'难度参数'!$E$55+'难度参数'!$E$56),1,0)+IF(H470&gt;=('难度参数'!$E$52+'难度参数'!$E$53+'难度参数'!$E$54+'难度参数'!$E$55+'难度参数'!$E$56+'难度参数'!$E$57),1,0)</x:f>
        <x:v>6</x:v>
      </x:c>
      <x:c r="W470" s="62" t="str">
        <x:f>IF(L470&gt;'难度参数'!$E$51,"仅出怪已超目标","还需实测")</x:f>
        <x:v>仅出怪已超目标</x:v>
      </x:c>
      <x:c r="X470" s="119" t="n">
        <x:f>IF(1&gt;D470,0,MAX(2,MIN('难度参数'!$E$12,ROUND(('难度参数'!$E$18*POWER(A470,'难度参数'!$E$19)/D470*(0.85+0.3*(1-1)/MAX(1,D470-1))),0)+F470)))</x:f>
        <x:v>34</x:v>
      </x:c>
      <x:c r="Y470" s="119" t="n">
        <x:f>IF(1&gt;D470,0,ROUND(('难度参数'!$E$13*POWER(A470,'难度参数'!$E$20)*MIN('难度参数'!$E$23,1+MAX(0,A470-'难度参数'!$E$21)*'难度参数'!$E$22))*(36+1*7)/(36+7*(D470+1)/2)*E470,0))</x:f>
        <x:v>7542</x:v>
      </x:c>
      <x:c r="Z470" s="119" t="n">
        <x:f>IF(X470=0,0,(X470-IF(1=D470,1,0))*ROUND(Y470*VLOOKUP(INDEX('章节与怪物'!$E$31:$K$37,B470,1),'章节与怪物'!$A$41:$F$44,2,FALSE),0)+IF(1=D470,ROUND(Y470*'难度参数'!$E$28*'章节与怪物'!$E$17,0),0))</x:f>
        <x:v>184620</x:v>
      </x:c>
      <x:c r="AA470" s="119" t="n">
        <x:f>IF(X470=0,0,(X470-IF(1=D470,1,0))*VLOOKUP(INDEX('章节与怪物'!$E$31:$K$37,B470,1),'章节与怪物'!$A$41:$F$44,4,FALSE)+IF(1=D470,'难度参数'!$E$30,0))</x:f>
        <x:v>680</x:v>
      </x:c>
      <x:c r="AB470" s="119" t="n">
        <x:f>IF(2&gt;D470,0,MAX(2,MIN('难度参数'!$E$12,ROUND(('难度参数'!$E$18*POWER(A470,'难度参数'!$E$19)/D470*(0.85+0.3*(2-1)/MAX(1,D470-1))),0)+F470)))</x:f>
        <x:v>36</x:v>
      </x:c>
      <x:c r="AC470" s="119" t="n">
        <x:f>IF(2&gt;D470,0,ROUND(('难度参数'!$E$13*POWER(A470,'难度参数'!$E$20)*MIN('难度参数'!$E$23,1+MAX(0,A470-'难度参数'!$E$21)*'难度参数'!$E$22))*(36+2*7)/(36+7*(D470+1)/2)*E470,0))</x:f>
        <x:v>8770</x:v>
      </x:c>
      <x:c r="AD470" s="119" t="n">
        <x:f>IF(AB470=0,0,(AB470-IF(2=D470,1,0))*ROUND(AC470*VLOOKUP(INDEX('章节与怪物'!$E$31:$K$37,B470,2),'章节与怪物'!$A$41:$F$44,2,FALSE),0)+IF(2=D470,ROUND(AC470*'难度参数'!$E$28*'章节与怪物'!$E$17,0),0))</x:f>
        <x:v>315720</x:v>
      </x:c>
      <x:c r="AE470" s="119" t="n">
        <x:f>IF(AB470=0,0,(AB470-IF(2=D470,1,0))*VLOOKUP(INDEX('章节与怪物'!$E$31:$K$37,B470,2),'章节与怪物'!$A$41:$F$44,4,FALSE)+IF(2=D470,'难度参数'!$E$30,0))</x:f>
        <x:v>648</x:v>
      </x:c>
      <x:c r="AF470" s="119" t="n">
        <x:f>IF(3&gt;D470,0,MAX(2,MIN('难度参数'!$E$12,ROUND(('难度参数'!$E$18*POWER(A470,'难度参数'!$E$19)/D470*(0.85+0.3*(3-1)/MAX(1,D470-1))),0)+F470)))</x:f>
        <x:v>38</x:v>
      </x:c>
      <x:c r="AG470" s="119" t="n">
        <x:f>IF(3&gt;D470,0,ROUND(('难度参数'!$E$13*POWER(A470,'难度参数'!$E$20)*MIN('难度参数'!$E$23,1+MAX(0,A470-'难度参数'!$E$21)*'难度参数'!$E$22))*(36+3*7)/(36+7*(D470+1)/2)*E470,0))</x:f>
        <x:v>9998</x:v>
      </x:c>
      <x:c r="AH470" s="119" t="n">
        <x:f>IF(AF470=0,0,(AF470-IF(3=D470,1,0))*ROUND(AG470*VLOOKUP(INDEX('章节与怪物'!$E$31:$K$37,B470,3),'章节与怪物'!$A$41:$F$44,2,FALSE),0)+IF(3=D470,ROUND(AG470*'难度参数'!$E$28*'章节与怪物'!$E$17,0),0))</x:f>
        <x:v>645886</x:v>
      </x:c>
      <x:c r="AI470" s="119" t="n">
        <x:f>IF(AF470=0,0,(AF470-IF(3=D470,1,0))*VLOOKUP(INDEX('章节与怪物'!$E$31:$K$37,B470,3),'章节与怪物'!$A$41:$F$44,4,FALSE)+IF(3=D470,'难度参数'!$E$30,0))</x:f>
        <x:v>1064</x:v>
      </x:c>
      <x:c r="AJ470" s="119" t="n">
        <x:f>IF(4&gt;D470,0,MAX(2,MIN('难度参数'!$E$12,ROUND(('难度参数'!$E$18*POWER(A470,'难度参数'!$E$19)/D470*(0.85+0.3*(4-1)/MAX(1,D470-1))),0)+F470)))</x:f>
        <x:v>40</x:v>
      </x:c>
      <x:c r="AK470" s="119" t="n">
        <x:f>IF(4&gt;D470,0,ROUND(('难度参数'!$E$13*POWER(A470,'难度参数'!$E$20)*MIN('难度参数'!$E$23,1+MAX(0,A470-'难度参数'!$E$21)*'难度参数'!$E$22))*(36+4*7)/(36+7*(D470+1)/2)*E470,0))</x:f>
        <x:v>11226</x:v>
      </x:c>
      <x:c r="AL470" s="119" t="n">
        <x:f>IF(AJ470=0,0,(AJ470-IF(4=D470,1,0))*ROUND(AK470*VLOOKUP(INDEX('章节与怪物'!$E$31:$K$37,B470,4),'章节与怪物'!$A$41:$F$44,2,FALSE),0)+IF(4=D470,ROUND(AK470*'难度参数'!$E$28*'章节与怪物'!$E$17,0),0))</x:f>
        <x:v>606200</x:v>
      </x:c>
      <x:c r="AM470" s="119" t="n">
        <x:f>IF(AJ470=0,0,(AJ470-IF(4=D470,1,0))*VLOOKUP(INDEX('章节与怪物'!$E$31:$K$37,B470,4),'章节与怪物'!$A$41:$F$44,4,FALSE)+IF(4=D470,'难度参数'!$E$30,0))</x:f>
        <x:v>1360</x:v>
      </x:c>
      <x:c r="AN470" s="119" t="n">
        <x:f>IF(5&gt;D470,0,MAX(2,MIN('难度参数'!$E$12,ROUND(('难度参数'!$E$18*POWER(A470,'难度参数'!$E$19)/D470*(0.85+0.3*(5-1)/MAX(1,D470-1))),0)+F470)))</x:f>
        <x:v>42</x:v>
      </x:c>
      <x:c r="AO470" s="119" t="n">
        <x:f>IF(5&gt;D470,0,ROUND(('难度参数'!$E$13*POWER(A470,'难度参数'!$E$20)*MIN('难度参数'!$E$23,1+MAX(0,A470-'难度参数'!$E$21)*'难度参数'!$E$22))*(36+5*7)/(36+7*(D470+1)/2)*E470,0))</x:f>
        <x:v>12454</x:v>
      </x:c>
      <x:c r="AP470" s="119" t="n">
        <x:f>IF(AN470=0,0,(AN470-IF(5=D470,1,0))*ROUND(AO470*VLOOKUP(INDEX('章节与怪物'!$E$31:$K$37,B470,5),'章节与怪物'!$A$41:$F$44,2,FALSE),0)+IF(5=D470,ROUND(AO470*'难度参数'!$E$28*'章节与怪物'!$E$17,0),0))</x:f>
        <x:v>523068</x:v>
      </x:c>
      <x:c r="AQ470" s="119" t="n">
        <x:f>IF(AN470=0,0,(AN470-IF(5=D470,1,0))*VLOOKUP(INDEX('章节与怪物'!$E$31:$K$37,B470,5),'章节与怪物'!$A$41:$F$44,4,FALSE)+IF(5=D470,'难度参数'!$E$30,0))</x:f>
        <x:v>756</x:v>
      </x:c>
      <x:c r="AR470" s="119" t="n">
        <x:f>IF(6&gt;D470,0,MAX(2,MIN('难度参数'!$E$12,ROUND(('难度参数'!$E$18*POWER(A470,'难度参数'!$E$19)/D470*(0.85+0.3*(6-1)/MAX(1,D470-1))),0)+F470)))</x:f>
        <x:v>44</x:v>
      </x:c>
      <x:c r="AS470" s="119" t="n">
        <x:f>IF(6&gt;D470,0,ROUND(('难度参数'!$E$13*POWER(A470,'难度参数'!$E$20)*MIN('难度参数'!$E$23,1+MAX(0,A470-'难度参数'!$E$21)*'难度参数'!$E$22))*(36+6*7)/(36+7*(D470+1)/2)*E470,0))</x:f>
        <x:v>13682</x:v>
      </x:c>
      <x:c r="AT470" s="119" t="n">
        <x:f>IF(AR470=0,0,(AR470-IF(6=D470,1,0))*ROUND(AS470*VLOOKUP(INDEX('章节与怪物'!$E$31:$K$37,B470,6),'章节与怪物'!$A$41:$F$44,2,FALSE),0)+IF(6=D470,ROUND(AS470*'难度参数'!$E$28*'章节与怪物'!$E$17,0),0))</x:f>
        <x:v>1023396</x:v>
      </x:c>
      <x:c r="AU470" s="119" t="n">
        <x:f>IF(AR470=0,0,(AR470-IF(6=D470,1,0))*VLOOKUP(INDEX('章节与怪物'!$E$31:$K$37,B470,6),'章节与怪物'!$A$41:$F$44,4,FALSE)+IF(6=D470,'难度参数'!$E$30,0))</x:f>
        <x:v>1232</x:v>
      </x:c>
      <x:c r="AV470" s="119" t="n">
        <x:f>IF(7&gt;D470,0,MAX(2,MIN('难度参数'!$E$12,ROUND(('难度参数'!$E$18*POWER(A470,'难度参数'!$E$19)/D470*(0.85+0.3*(7-1)/MAX(1,D470-1))),0)+F470)))</x:f>
        <x:v>46</x:v>
      </x:c>
      <x:c r="AW470" s="119" t="n">
        <x:f>IF(7&gt;D470,0,ROUND(('难度参数'!$E$13*POWER(A470,'难度参数'!$E$20)*MIN('难度参数'!$E$23,1+MAX(0,A470-'难度参数'!$E$21)*'难度参数'!$E$22))*(36+7*7)/(36+7*(D470+1)/2)*E470,0))</x:f>
        <x:v>14910</x:v>
      </x:c>
      <x:c r="AX470" s="119" t="n">
        <x:f>IF(AV470=0,0,(AV470-IF(7=D470,1,0))*ROUND(AW470*VLOOKUP(INDEX('章节与怪物'!$E$31:$K$37,B470,7),'章节与怪物'!$A$41:$F$44,2,FALSE),0)+IF(7=D470,ROUND(AW470*'难度参数'!$E$28*'章节与怪物'!$E$17,0),0))</x:f>
        <x:v>1007193</x:v>
      </x:c>
      <x:c r="AY470" s="119" t="n">
        <x:f>IF(AV470=0,0,(AV470-IF(7=D470,1,0))*VLOOKUP(INDEX('章节与怪物'!$E$31:$K$37,B470,7),'章节与怪物'!$A$41:$F$44,4,FALSE)+IF(7=D470,'难度参数'!$E$30,0))</x:f>
        <x:v>1730</x:v>
      </x:c>
    </x:row>
    <x:row r="471" ht="23" customHeight="1">
      <x:c r="A471" s="119" t="n">
        <x:v>465</x:v>
      </x:c>
      <x:c r="B471" s="119" t="n">
        <x:f>MOD(INT((A471-1)/5),7)+1</x:f>
        <x:v>2</x:v>
      </x:c>
      <x:c r="C471" s="62" t="str">
        <x:f>INDEX('章节与怪物'!$B$31:$B$37,B471)</x:f>
        <x:v>黄沙要塞</x:v>
      </x:c>
      <x:c r="D471" s="119" t="n">
        <x:f>MIN('难度参数'!$E$8,MAX('难度参数'!$E$7,A471))</x:f>
        <x:v>7</x:v>
      </x:c>
      <x:c r="E471" s="106" t="n">
        <x:v>1</x:v>
      </x:c>
      <x:c r="F471" s="106" t="n">
        <x:v>0</x:v>
      </x:c>
      <x:c r="G471" s="106" t="n">
        <x:v>1</x:v>
      </x:c>
      <x:c r="H471" s="119" t="n">
        <x:f>SUM(X471,AB471,AF471,AJ471,AN471,AR471,AV471)</x:f>
        <x:v>282</x:v>
      </x:c>
      <x:c r="I471" s="119" t="n">
        <x:f>SUM(Z471,AD471,AH471,AL471,AP471,AT471,AX471)</x:f>
        <x:v>4356227</x:v>
      </x:c>
      <x:c r="J471" s="119" t="n">
        <x:f>ROUND(INDEX(X471:AY471,1,(D471-1)*4+2)*'难度参数'!$E$28*'章节与怪物'!$E$17,0)</x:f>
        <x:v>101544</x:v>
      </x:c>
      <x:c r="K471" s="119" t="n">
        <x:f>SUM(AA471,AE471,AI471,AM471,AQ471,AU471,AY471)</x:f>
        <x:v>7532</x:v>
      </x:c>
      <x:c r="L471" s="62" t="n">
        <x:f>H471*(ROUNDUP('难度参数'!$E$24/('难度参数'!$E$26*'难度参数'!$E$27),0)*'难度参数'!$E$26)/60</x:f>
        <x:v>3.7600000000000002</x:v>
      </x:c>
      <x:c r="M471" s="62" t="n">
        <x:f>L471+D471*('难度参数'!$E$49+'难度参数'!$E$50)/60</x:f>
        <x:v>4.926666666666667</x:v>
      </x:c>
      <x:c r="N471" s="119" t="n">
        <x:f>ROUNDDOWN(('经济参数'!$E$20+A471*'经济参数'!$E$21)*G471,0)</x:f>
        <x:v>9480</x:v>
      </x:c>
      <x:c r="O471" s="119" t="n">
        <x:f>ROUNDDOWN(MIN('经济参数'!$E$24,'经济参数'!$E$22+A471*'经济参数'!$E$23)*G471,0)</x:f>
        <x:v>0</x:v>
      </x:c>
      <x:c r="P471" s="119" t="n">
        <x:f>ROUNDDOWN((IF(A471&gt;='材料与任务'!$E$31,'材料与任务'!$E$32,IF(A471&gt;='材料与任务'!$E$25,'材料与任务'!$E$26,IF(A471&gt;='材料与任务'!$E$19,'材料与任务'!$E$20,IF(A471&gt;='材料与任务'!$E$13,'材料与任务'!$E$14,'材料与任务'!$E$8)))))*G471,0)</x:f>
        <x:v>6</x:v>
      </x:c>
      <x:c r="Q471" s="119" t="n">
        <x:f>ROUNDDOWN((IF(A471&gt;='材料与任务'!$E$31,'材料与任务'!$E$33,IF(A471&gt;='材料与任务'!$E$25,'材料与任务'!$E$27,IF(A471&gt;='材料与任务'!$E$19,'材料与任务'!$E$21,IF(A471&gt;='材料与任务'!$E$13,'材料与任务'!$E$15,'材料与任务'!$E$9)))))*G471,0)</x:f>
        <x:v>3</x:v>
      </x:c>
      <x:c r="R471" s="110" t="n">
        <x:f>'装备掉落'!$B$38</x:f>
        <x:v>0.6872058758851213</x:v>
      </x:c>
      <x:c r="S471" s="119" t="n">
        <x:f>MAX(IF(VLOOKUP(A471,'装备掉落'!$A$29:$H$34,2,TRUE)&gt;0,1,0),IF(VLOOKUP(A471,'装备掉落'!$A$29:$H$34,3,TRUE)&gt;0,2,0),IF(VLOOKUP(A471,'装备掉落'!$A$29:$H$34,4,TRUE)&gt;0,3,0),IF(VLOOKUP(A471,'装备掉落'!$A$29:$H$34,5,TRUE)&gt;0,4,0),IF(VLOOKUP(A471,'装备掉落'!$A$29:$H$34,6,TRUE)&gt;0,5,0),IF(VLOOKUP(A471,'装备掉落'!$A$29:$H$34,7,TRUE)&gt;0,6,0),IF(VLOOKUP(A471,'装备掉落'!$A$29:$H$34,8,TRUE)&gt;0,7,0))</x:f>
        <x:v>7</x:v>
      </x:c>
      <x:c r="T471" s="119" t="n">
        <x:f>MIN(7,S471+'经济参数'!$E$70)</x:f>
        <x:v>7</x:v>
      </x:c>
      <x:c r="U471" s="119" t="n">
        <x:f>MIN(7,S471+'经济参数'!$E$71)</x:f>
        <x:v>7</x:v>
      </x:c>
      <x:c r="V471" s="119" t="n">
        <x:f>IF(H471&gt;=('难度参数'!$E$52),1,0)+IF(H471&gt;=('难度参数'!$E$52+'难度参数'!$E$53),1,0)+IF(H471&gt;=('难度参数'!$E$52+'难度参数'!$E$53+'难度参数'!$E$54),1,0)+IF(H471&gt;=('难度参数'!$E$52+'难度参数'!$E$53+'难度参数'!$E$54+'难度参数'!$E$55),1,0)+IF(H471&gt;=('难度参数'!$E$52+'难度参数'!$E$53+'难度参数'!$E$54+'难度参数'!$E$55+'难度参数'!$E$56),1,0)+IF(H471&gt;=('难度参数'!$E$52+'难度参数'!$E$53+'难度参数'!$E$54+'难度参数'!$E$55+'难度参数'!$E$56+'难度参数'!$E$57),1,0)</x:f>
        <x:v>6</x:v>
      </x:c>
      <x:c r="W471" s="62" t="str">
        <x:f>IF(L471&gt;'难度参数'!$E$51,"仅出怪已超目标","还需实测")</x:f>
        <x:v>仅出怪已超目标</x:v>
      </x:c>
      <x:c r="X471" s="119" t="n">
        <x:f>IF(1&gt;D471,0,MAX(2,MIN('难度参数'!$E$12,ROUND(('难度参数'!$E$18*POWER(A471,'难度参数'!$E$19)/D471*(0.85+0.3*(1-1)/MAX(1,D471-1))),0)+F471)))</x:f>
        <x:v>34</x:v>
      </x:c>
      <x:c r="Y471" s="119" t="n">
        <x:f>IF(1&gt;D471,0,ROUND(('难度参数'!$E$13*POWER(A471,'难度参数'!$E$20)*MIN('难度参数'!$E$23,1+MAX(0,A471-'难度参数'!$E$21)*'难度参数'!$E$22))*(36+1*7)/(36+7*(D471+1)/2)*E471,0))</x:f>
        <x:v>7554</x:v>
      </x:c>
      <x:c r="Z471" s="119" t="n">
        <x:f>IF(X471=0,0,(X471-IF(1=D471,1,0))*ROUND(Y471*VLOOKUP(INDEX('章节与怪物'!$E$31:$K$37,B471,1),'章节与怪物'!$A$41:$F$44,2,FALSE),0)+IF(1=D471,ROUND(Y471*'难度参数'!$E$28*'章节与怪物'!$E$17,0),0))</x:f>
        <x:v>184926</x:v>
      </x:c>
      <x:c r="AA471" s="119" t="n">
        <x:f>IF(X471=0,0,(X471-IF(1=D471,1,0))*VLOOKUP(INDEX('章节与怪物'!$E$31:$K$37,B471,1),'章节与怪物'!$A$41:$F$44,4,FALSE)+IF(1=D471,'难度参数'!$E$30,0))</x:f>
        <x:v>680</x:v>
      </x:c>
      <x:c r="AB471" s="119" t="n">
        <x:f>IF(2&gt;D471,0,MAX(2,MIN('难度参数'!$E$12,ROUND(('难度参数'!$E$18*POWER(A471,'难度参数'!$E$19)/D471*(0.85+0.3*(2-1)/MAX(1,D471-1))),0)+F471)))</x:f>
        <x:v>36</x:v>
      </x:c>
      <x:c r="AC471" s="119" t="n">
        <x:f>IF(2&gt;D471,0,ROUND(('难度参数'!$E$13*POWER(A471,'难度参数'!$E$20)*MIN('难度参数'!$E$23,1+MAX(0,A471-'难度参数'!$E$21)*'难度参数'!$E$22))*(36+2*7)/(36+7*(D471+1)/2)*E471,0))</x:f>
        <x:v>8784</x:v>
      </x:c>
      <x:c r="AD471" s="119" t="n">
        <x:f>IF(AB471=0,0,(AB471-IF(2=D471,1,0))*ROUND(AC471*VLOOKUP(INDEX('章节与怪物'!$E$31:$K$37,B471,2),'章节与怪物'!$A$41:$F$44,2,FALSE),0)+IF(2=D471,ROUND(AC471*'难度参数'!$E$28*'章节与怪物'!$E$17,0),0))</x:f>
        <x:v>316224</x:v>
      </x:c>
      <x:c r="AE471" s="119" t="n">
        <x:f>IF(AB471=0,0,(AB471-IF(2=D471,1,0))*VLOOKUP(INDEX('章节与怪物'!$E$31:$K$37,B471,2),'章节与怪物'!$A$41:$F$44,4,FALSE)+IF(2=D471,'难度参数'!$E$30,0))</x:f>
        <x:v>648</x:v>
      </x:c>
      <x:c r="AF471" s="119" t="n">
        <x:f>IF(3&gt;D471,0,MAX(2,MIN('难度参数'!$E$12,ROUND(('难度参数'!$E$18*POWER(A471,'难度参数'!$E$19)/D471*(0.85+0.3*(3-1)/MAX(1,D471-1))),0)+F471)))</x:f>
        <x:v>38</x:v>
      </x:c>
      <x:c r="AG471" s="119" t="n">
        <x:f>IF(3&gt;D471,0,ROUND(('难度参数'!$E$13*POWER(A471,'难度参数'!$E$20)*MIN('难度参数'!$E$23,1+MAX(0,A471-'难度参数'!$E$21)*'难度参数'!$E$22))*(36+3*7)/(36+7*(D471+1)/2)*E471,0))</x:f>
        <x:v>10014</x:v>
      </x:c>
      <x:c r="AH471" s="119" t="n">
        <x:f>IF(AF471=0,0,(AF471-IF(3=D471,1,0))*ROUND(AG471*VLOOKUP(INDEX('章节与怪物'!$E$31:$K$37,B471,3),'章节与怪物'!$A$41:$F$44,2,FALSE),0)+IF(3=D471,ROUND(AG471*'难度参数'!$E$28*'章节与怪物'!$E$17,0),0))</x:f>
        <x:v>646912</x:v>
      </x:c>
      <x:c r="AI471" s="119" t="n">
        <x:f>IF(AF471=0,0,(AF471-IF(3=D471,1,0))*VLOOKUP(INDEX('章节与怪物'!$E$31:$K$37,B471,3),'章节与怪物'!$A$41:$F$44,4,FALSE)+IF(3=D471,'难度参数'!$E$30,0))</x:f>
        <x:v>1064</x:v>
      </x:c>
      <x:c r="AJ471" s="119" t="n">
        <x:f>IF(4&gt;D471,0,MAX(2,MIN('难度参数'!$E$12,ROUND(('难度参数'!$E$18*POWER(A471,'难度参数'!$E$19)/D471*(0.85+0.3*(4-1)/MAX(1,D471-1))),0)+F471)))</x:f>
        <x:v>40</x:v>
      </x:c>
      <x:c r="AK471" s="119" t="n">
        <x:f>IF(4&gt;D471,0,ROUND(('难度参数'!$E$13*POWER(A471,'难度参数'!$E$20)*MIN('难度参数'!$E$23,1+MAX(0,A471-'难度参数'!$E$21)*'难度参数'!$E$22))*(36+4*7)/(36+7*(D471+1)/2)*E471,0))</x:f>
        <x:v>11243</x:v>
      </x:c>
      <x:c r="AL471" s="119" t="n">
        <x:f>IF(AJ471=0,0,(AJ471-IF(4=D471,1,0))*ROUND(AK471*VLOOKUP(INDEX('章节与怪物'!$E$31:$K$37,B471,4),'章节与怪物'!$A$41:$F$44,2,FALSE),0)+IF(4=D471,ROUND(AK471*'难度参数'!$E$28*'章节与怪物'!$E$17,0),0))</x:f>
        <x:v>607120</x:v>
      </x:c>
      <x:c r="AM471" s="119" t="n">
        <x:f>IF(AJ471=0,0,(AJ471-IF(4=D471,1,0))*VLOOKUP(INDEX('章节与怪物'!$E$31:$K$37,B471,4),'章节与怪物'!$A$41:$F$44,4,FALSE)+IF(4=D471,'难度参数'!$E$30,0))</x:f>
        <x:v>1360</x:v>
      </x:c>
      <x:c r="AN471" s="119" t="n">
        <x:f>IF(5&gt;D471,0,MAX(2,MIN('难度参数'!$E$12,ROUND(('难度参数'!$E$18*POWER(A471,'难度参数'!$E$19)/D471*(0.85+0.3*(5-1)/MAX(1,D471-1))),0)+F471)))</x:f>
        <x:v>42</x:v>
      </x:c>
      <x:c r="AO471" s="119" t="n">
        <x:f>IF(5&gt;D471,0,ROUND(('难度参数'!$E$13*POWER(A471,'难度参数'!$E$20)*MIN('难度参数'!$E$23,1+MAX(0,A471-'难度参数'!$E$21)*'难度参数'!$E$22))*(36+5*7)/(36+7*(D471+1)/2)*E471,0))</x:f>
        <x:v>12473</x:v>
      </x:c>
      <x:c r="AP471" s="119" t="n">
        <x:f>IF(AN471=0,0,(AN471-IF(5=D471,1,0))*ROUND(AO471*VLOOKUP(INDEX('章节与怪物'!$E$31:$K$37,B471,5),'章节与怪物'!$A$41:$F$44,2,FALSE),0)+IF(5=D471,ROUND(AO471*'难度参数'!$E$28*'章节与怪物'!$E$17,0),0))</x:f>
        <x:v>523866</x:v>
      </x:c>
      <x:c r="AQ471" s="119" t="n">
        <x:f>IF(AN471=0,0,(AN471-IF(5=D471,1,0))*VLOOKUP(INDEX('章节与怪物'!$E$31:$K$37,B471,5),'章节与怪物'!$A$41:$F$44,4,FALSE)+IF(5=D471,'难度参数'!$E$30,0))</x:f>
        <x:v>756</x:v>
      </x:c>
      <x:c r="AR471" s="119" t="n">
        <x:f>IF(6&gt;D471,0,MAX(2,MIN('难度参数'!$E$12,ROUND(('难度参数'!$E$18*POWER(A471,'难度参数'!$E$19)/D471*(0.85+0.3*(6-1)/MAX(1,D471-1))),0)+F471)))</x:f>
        <x:v>45</x:v>
      </x:c>
      <x:c r="AS471" s="119" t="n">
        <x:f>IF(6&gt;D471,0,ROUND(('难度参数'!$E$13*POWER(A471,'难度参数'!$E$20)*MIN('难度参数'!$E$23,1+MAX(0,A471-'难度参数'!$E$21)*'难度参数'!$E$22))*(36+6*7)/(36+7*(D471+1)/2)*E471,0))</x:f>
        <x:v>13703</x:v>
      </x:c>
      <x:c r="AT471" s="119" t="n">
        <x:f>IF(AR471=0,0,(AR471-IF(6=D471,1,0))*ROUND(AS471*VLOOKUP(INDEX('章节与怪物'!$E$31:$K$37,B471,6),'章节与怪物'!$A$41:$F$44,2,FALSE),0)+IF(6=D471,ROUND(AS471*'难度参数'!$E$28*'章节与怪物'!$E$17,0),0))</x:f>
        <x:v>1048275</x:v>
      </x:c>
      <x:c r="AU471" s="119" t="n">
        <x:f>IF(AR471=0,0,(AR471-IF(6=D471,1,0))*VLOOKUP(INDEX('章节与怪物'!$E$31:$K$37,B471,6),'章节与怪物'!$A$41:$F$44,4,FALSE)+IF(6=D471,'难度参数'!$E$30,0))</x:f>
        <x:v>1260</x:v>
      </x:c>
      <x:c r="AV471" s="119" t="n">
        <x:f>IF(7&gt;D471,0,MAX(2,MIN('难度参数'!$E$12,ROUND(('难度参数'!$E$18*POWER(A471,'难度参数'!$E$19)/D471*(0.85+0.3*(7-1)/MAX(1,D471-1))),0)+F471)))</x:f>
        <x:v>47</x:v>
      </x:c>
      <x:c r="AW471" s="119" t="n">
        <x:f>IF(7&gt;D471,0,ROUND(('难度参数'!$E$13*POWER(A471,'难度参数'!$E$20)*MIN('难度参数'!$E$23,1+MAX(0,A471-'难度参数'!$E$21)*'难度参数'!$E$22))*(36+7*7)/(36+7*(D471+1)/2)*E471,0))</x:f>
        <x:v>14933</x:v>
      </x:c>
      <x:c r="AX471" s="119" t="n">
        <x:f>IF(AV471=0,0,(AV471-IF(7=D471,1,0))*ROUND(AW471*VLOOKUP(INDEX('章节与怪物'!$E$31:$K$37,B471,7),'章节与怪物'!$A$41:$F$44,2,FALSE),0)+IF(7=D471,ROUND(AW471*'难度参数'!$E$28*'章节与怪物'!$E$17,0),0))</x:f>
        <x:v>1028904</x:v>
      </x:c>
      <x:c r="AY471" s="119" t="n">
        <x:f>IF(AV471=0,0,(AV471-IF(7=D471,1,0))*VLOOKUP(INDEX('章节与怪物'!$E$31:$K$37,B471,7),'章节与怪物'!$A$41:$F$44,4,FALSE)+IF(7=D471,'难度参数'!$E$30,0))</x:f>
        <x:v>1764</x:v>
      </x:c>
    </x:row>
    <x:row r="472" ht="23" customHeight="1">
      <x:c r="A472" s="119" t="n">
        <x:v>466</x:v>
      </x:c>
      <x:c r="B472" s="119" t="n">
        <x:f>MOD(INT((A472-1)/5),7)+1</x:f>
        <x:v>3</x:v>
      </x:c>
      <x:c r="C472" s="62" t="str">
        <x:f>INDEX('章节与怪物'!$B$31:$B$37,B472)</x:f>
        <x:v>腐沼秘林</x:v>
      </x:c>
      <x:c r="D472" s="119" t="n">
        <x:f>MIN('难度参数'!$E$8,MAX('难度参数'!$E$7,A472))</x:f>
        <x:v>7</x:v>
      </x:c>
      <x:c r="E472" s="106" t="n">
        <x:v>1</x:v>
      </x:c>
      <x:c r="F472" s="106" t="n">
        <x:v>0</x:v>
      </x:c>
      <x:c r="G472" s="106" t="n">
        <x:v>1</x:v>
      </x:c>
      <x:c r="H472" s="119" t="n">
        <x:f>SUM(X472,AB472,AF472,AJ472,AN472,AR472,AV472)</x:f>
        <x:v>283</x:v>
      </x:c>
      <x:c r="I472" s="119" t="n">
        <x:f>SUM(Z472,AD472,AH472,AL472,AP472,AT472,AX472)</x:f>
        <x:v>4208413</x:v>
      </x:c>
      <x:c r="J472" s="119" t="n">
        <x:f>ROUND(INDEX(X472:AY472,1,(D472-1)*4+2)*'难度参数'!$E$28*'章节与怪物'!$E$17,0)</x:f>
        <x:v>101701</x:v>
      </x:c>
      <x:c r="K472" s="119" t="n">
        <x:f>SUM(AA472,AE472,AI472,AM472,AQ472,AU472,AY472)</x:f>
        <x:v>7640</x:v>
      </x:c>
      <x:c r="L472" s="62" t="n">
        <x:f>H472*(ROUNDUP('难度参数'!$E$24/('难度参数'!$E$26*'难度参数'!$E$27),0)*'难度参数'!$E$26)/60</x:f>
        <x:v>3.7733333333333334</x:v>
      </x:c>
      <x:c r="M472" s="62" t="n">
        <x:f>L472+D472*('难度参数'!$E$49+'难度参数'!$E$50)/60</x:f>
        <x:v>4.94</x:v>
      </x:c>
      <x:c r="N472" s="119" t="n">
        <x:f>ROUNDDOWN(('经济参数'!$E$20+A472*'经济参数'!$E$21)*G472,0)</x:f>
        <x:v>9500</x:v>
      </x:c>
      <x:c r="O472" s="119" t="n">
        <x:f>ROUNDDOWN(MIN('经济参数'!$E$24,'经济参数'!$E$22+A472*'经济参数'!$E$23)*G472,0)</x:f>
        <x:v>0</x:v>
      </x:c>
      <x:c r="P472" s="119" t="n">
        <x:f>ROUNDDOWN((IF(A472&gt;='材料与任务'!$E$31,'材料与任务'!$E$32,IF(A472&gt;='材料与任务'!$E$25,'材料与任务'!$E$26,IF(A472&gt;='材料与任务'!$E$19,'材料与任务'!$E$20,IF(A472&gt;='材料与任务'!$E$13,'材料与任务'!$E$14,'材料与任务'!$E$8)))))*G472,0)</x:f>
        <x:v>6</x:v>
      </x:c>
      <x:c r="Q472" s="119" t="n">
        <x:f>ROUNDDOWN((IF(A472&gt;='材料与任务'!$E$31,'材料与任务'!$E$33,IF(A472&gt;='材料与任务'!$E$25,'材料与任务'!$E$27,IF(A472&gt;='材料与任务'!$E$19,'材料与任务'!$E$21,IF(A472&gt;='材料与任务'!$E$13,'材料与任务'!$E$15,'材料与任务'!$E$9)))))*G472,0)</x:f>
        <x:v>3</x:v>
      </x:c>
      <x:c r="R472" s="110" t="n">
        <x:f>'装备掉落'!$B$38</x:f>
        <x:v>0.6872058758851213</x:v>
      </x:c>
      <x:c r="S472" s="119" t="n">
        <x:f>MAX(IF(VLOOKUP(A472,'装备掉落'!$A$29:$H$34,2,TRUE)&gt;0,1,0),IF(VLOOKUP(A472,'装备掉落'!$A$29:$H$34,3,TRUE)&gt;0,2,0),IF(VLOOKUP(A472,'装备掉落'!$A$29:$H$34,4,TRUE)&gt;0,3,0),IF(VLOOKUP(A472,'装备掉落'!$A$29:$H$34,5,TRUE)&gt;0,4,0),IF(VLOOKUP(A472,'装备掉落'!$A$29:$H$34,6,TRUE)&gt;0,5,0),IF(VLOOKUP(A472,'装备掉落'!$A$29:$H$34,7,TRUE)&gt;0,6,0),IF(VLOOKUP(A472,'装备掉落'!$A$29:$H$34,8,TRUE)&gt;0,7,0))</x:f>
        <x:v>7</x:v>
      </x:c>
      <x:c r="T472" s="119" t="n">
        <x:f>MIN(7,S472+'经济参数'!$E$70)</x:f>
        <x:v>7</x:v>
      </x:c>
      <x:c r="U472" s="119" t="n">
        <x:f>MIN(7,S472+'经济参数'!$E$71)</x:f>
        <x:v>7</x:v>
      </x:c>
      <x:c r="V472" s="119" t="n">
        <x:f>IF(H472&gt;=('难度参数'!$E$52),1,0)+IF(H472&gt;=('难度参数'!$E$52+'难度参数'!$E$53),1,0)+IF(H472&gt;=('难度参数'!$E$52+'难度参数'!$E$53+'难度参数'!$E$54),1,0)+IF(H472&gt;=('难度参数'!$E$52+'难度参数'!$E$53+'难度参数'!$E$54+'难度参数'!$E$55),1,0)+IF(H472&gt;=('难度参数'!$E$52+'难度参数'!$E$53+'难度参数'!$E$54+'难度参数'!$E$55+'难度参数'!$E$56),1,0)+IF(H472&gt;=('难度参数'!$E$52+'难度参数'!$E$53+'难度参数'!$E$54+'难度参数'!$E$55+'难度参数'!$E$56+'难度参数'!$E$57),1,0)</x:f>
        <x:v>6</x:v>
      </x:c>
      <x:c r="W472" s="62" t="str">
        <x:f>IF(L472&gt;'难度参数'!$E$51,"仅出怪已超目标","还需实测")</x:f>
        <x:v>仅出怪已超目标</x:v>
      </x:c>
      <x:c r="X472" s="119" t="n">
        <x:f>IF(1&gt;D472,0,MAX(2,MIN('难度参数'!$E$12,ROUND(('难度参数'!$E$18*POWER(A472,'难度参数'!$E$19)/D472*(0.85+0.3*(1-1)/MAX(1,D472-1))),0)+F472)))</x:f>
        <x:v>34</x:v>
      </x:c>
      <x:c r="Y472" s="119" t="n">
        <x:f>IF(1&gt;D472,0,ROUND(('难度参数'!$E$13*POWER(A472,'难度参数'!$E$20)*MIN('难度参数'!$E$23,1+MAX(0,A472-'难度参数'!$E$21)*'难度参数'!$E$22))*(36+1*7)/(36+7*(D472+1)/2)*E472,0))</x:f>
        <x:v>7566</x:v>
      </x:c>
      <x:c r="Z472" s="119" t="n">
        <x:f>IF(X472=0,0,(X472-IF(1=D472,1,0))*ROUND(Y472*VLOOKUP(INDEX('章节与怪物'!$E$31:$K$37,B472,1),'章节与怪物'!$A$41:$F$44,2,FALSE),0)+IF(1=D472,ROUND(Y472*'难度参数'!$E$28*'章节与怪物'!$E$17,0),0))</x:f>
        <x:v>257244</x:v>
      </x:c>
      <x:c r="AA472" s="119" t="n">
        <x:f>IF(X472=0,0,(X472-IF(1=D472,1,0))*VLOOKUP(INDEX('章节与怪物'!$E$31:$K$37,B472,1),'章节与怪物'!$A$41:$F$44,4,FALSE)+IF(1=D472,'难度参数'!$E$30,0))</x:f>
        <x:v>612</x:v>
      </x:c>
      <x:c r="AB472" s="119" t="n">
        <x:f>IF(2&gt;D472,0,MAX(2,MIN('难度参数'!$E$12,ROUND(('难度参数'!$E$18*POWER(A472,'难度参数'!$E$19)/D472*(0.85+0.3*(2-1)/MAX(1,D472-1))),0)+F472)))</x:f>
        <x:v>36</x:v>
      </x:c>
      <x:c r="AC472" s="119" t="n">
        <x:f>IF(2&gt;D472,0,ROUND(('难度参数'!$E$13*POWER(A472,'难度参数'!$E$20)*MIN('难度参数'!$E$23,1+MAX(0,A472-'难度参数'!$E$21)*'难度参数'!$E$22))*(36+2*7)/(36+7*(D472+1)/2)*E472,0))</x:f>
        <x:v>8798</x:v>
      </x:c>
      <x:c r="AD472" s="119" t="n">
        <x:f>IF(AB472=0,0,(AB472-IF(2=D472,1,0))*ROUND(AC472*VLOOKUP(INDEX('章节与怪物'!$E$31:$K$37,B472,2),'章节与怪物'!$A$41:$F$44,2,FALSE),0)+IF(2=D472,ROUND(AC472*'难度参数'!$E$28*'章节与怪物'!$E$17,0),0))</x:f>
        <x:v>228060</x:v>
      </x:c>
      <x:c r="AE472" s="119" t="n">
        <x:f>IF(AB472=0,0,(AB472-IF(2=D472,1,0))*VLOOKUP(INDEX('章节与怪物'!$E$31:$K$37,B472,2),'章节与怪物'!$A$41:$F$44,4,FALSE)+IF(2=D472,'难度参数'!$E$30,0))</x:f>
        <x:v>720</x:v>
      </x:c>
      <x:c r="AF472" s="119" t="n">
        <x:f>IF(3&gt;D472,0,MAX(2,MIN('难度参数'!$E$12,ROUND(('难度参数'!$E$18*POWER(A472,'难度参数'!$E$19)/D472*(0.85+0.3*(3-1)/MAX(1,D472-1))),0)+F472)))</x:f>
        <x:v>38</x:v>
      </x:c>
      <x:c r="AG472" s="119" t="n">
        <x:f>IF(3&gt;D472,0,ROUND(('难度参数'!$E$13*POWER(A472,'难度参数'!$E$20)*MIN('难度参数'!$E$23,1+MAX(0,A472-'难度参数'!$E$21)*'难度参数'!$E$22))*(36+3*7)/(36+7*(D472+1)/2)*E472,0))</x:f>
        <x:v>10029</x:v>
      </x:c>
      <x:c r="AH472" s="119" t="n">
        <x:f>IF(AF472=0,0,(AF472-IF(3=D472,1,0))*ROUND(AG472*VLOOKUP(INDEX('章节与怪物'!$E$31:$K$37,B472,3),'章节与怪物'!$A$41:$F$44,2,FALSE),0)+IF(3=D472,ROUND(AG472*'难度参数'!$E$28*'章节与怪物'!$E$17,0),0))</x:f>
        <x:v>647862</x:v>
      </x:c>
      <x:c r="AI472" s="119" t="n">
        <x:f>IF(AF472=0,0,(AF472-IF(3=D472,1,0))*VLOOKUP(INDEX('章节与怪物'!$E$31:$K$37,B472,3),'章节与怪物'!$A$41:$F$44,4,FALSE)+IF(3=D472,'难度参数'!$E$30,0))</x:f>
        <x:v>1064</x:v>
      </x:c>
      <x:c r="AJ472" s="119" t="n">
        <x:f>IF(4&gt;D472,0,MAX(2,MIN('难度参数'!$E$12,ROUND(('难度参数'!$E$18*POWER(A472,'难度参数'!$E$19)/D472*(0.85+0.3*(4-1)/MAX(1,D472-1))),0)+F472)))</x:f>
        <x:v>40</x:v>
      </x:c>
      <x:c r="AK472" s="119" t="n">
        <x:f>IF(4&gt;D472,0,ROUND(('难度参数'!$E$13*POWER(A472,'难度参数'!$E$20)*MIN('难度参数'!$E$23,1+MAX(0,A472-'难度参数'!$E$21)*'难度参数'!$E$22))*(36+4*7)/(36+7*(D472+1)/2)*E472,0))</x:f>
        <x:v>11261</x:v>
      </x:c>
      <x:c r="AL472" s="119" t="n">
        <x:f>IF(AJ472=0,0,(AJ472-IF(4=D472,1,0))*ROUND(AK472*VLOOKUP(INDEX('章节与怪物'!$E$31:$K$37,B472,4),'章节与怪物'!$A$41:$F$44,2,FALSE),0)+IF(4=D472,ROUND(AK472*'难度参数'!$E$28*'章节与怪物'!$E$17,0),0))</x:f>
        <x:v>608080</x:v>
      </x:c>
      <x:c r="AM472" s="119" t="n">
        <x:f>IF(AJ472=0,0,(AJ472-IF(4=D472,1,0))*VLOOKUP(INDEX('章节与怪物'!$E$31:$K$37,B472,4),'章节与怪物'!$A$41:$F$44,4,FALSE)+IF(4=D472,'难度参数'!$E$30,0))</x:f>
        <x:v>1360</x:v>
      </x:c>
      <x:c r="AN472" s="119" t="n">
        <x:f>IF(5&gt;D472,0,MAX(2,MIN('难度参数'!$E$12,ROUND(('难度参数'!$E$18*POWER(A472,'难度参数'!$E$19)/D472*(0.85+0.3*(5-1)/MAX(1,D472-1))),0)+F472)))</x:f>
        <x:v>43</x:v>
      </x:c>
      <x:c r="AO472" s="119" t="n">
        <x:f>IF(5&gt;D472,0,ROUND(('难度参数'!$E$13*POWER(A472,'难度参数'!$E$20)*MIN('难度参数'!$E$23,1+MAX(0,A472-'难度参数'!$E$21)*'难度参数'!$E$22))*(36+5*7)/(36+7*(D472+1)/2)*E472,0))</x:f>
        <x:v>12493</x:v>
      </x:c>
      <x:c r="AP472" s="119" t="n">
        <x:f>IF(AN472=0,0,(AN472-IF(5=D472,1,0))*ROUND(AO472*VLOOKUP(INDEX('章节与怪物'!$E$31:$K$37,B472,5),'章节与怪物'!$A$41:$F$44,2,FALSE),0)+IF(5=D472,ROUND(AO472*'难度参数'!$E$28*'章节与怪物'!$E$17,0),0))</x:f>
        <x:v>386785</x:v>
      </x:c>
      <x:c r="AQ472" s="119" t="n">
        <x:f>IF(AN472=0,0,(AN472-IF(5=D472,1,0))*VLOOKUP(INDEX('章节与怪物'!$E$31:$K$37,B472,5),'章节与怪物'!$A$41:$F$44,4,FALSE)+IF(5=D472,'难度参数'!$E$30,0))</x:f>
        <x:v>860</x:v>
      </x:c>
      <x:c r="AR472" s="119" t="n">
        <x:f>IF(6&gt;D472,0,MAX(2,MIN('难度参数'!$E$12,ROUND(('难度参数'!$E$18*POWER(A472,'难度参数'!$E$19)/D472*(0.85+0.3*(6-1)/MAX(1,D472-1))),0)+F472)))</x:f>
        <x:v>45</x:v>
      </x:c>
      <x:c r="AS472" s="119" t="n">
        <x:f>IF(6&gt;D472,0,ROUND(('难度参数'!$E$13*POWER(A472,'难度参数'!$E$20)*MIN('难度参数'!$E$23,1+MAX(0,A472-'难度参数'!$E$21)*'难度参数'!$E$22))*(36+6*7)/(36+7*(D472+1)/2)*E472,0))</x:f>
        <x:v>13724</x:v>
      </x:c>
      <x:c r="AT472" s="119" t="n">
        <x:f>IF(AR472=0,0,(AR472-IF(6=D472,1,0))*ROUND(AS472*VLOOKUP(INDEX('章节与怪物'!$E$31:$K$37,B472,6),'章节与怪物'!$A$41:$F$44,2,FALSE),0)+IF(6=D472,ROUND(AS472*'难度参数'!$E$28*'章节与怪物'!$E$17,0),0))</x:f>
        <x:v>1049895</x:v>
      </x:c>
      <x:c r="AU472" s="119" t="n">
        <x:f>IF(AR472=0,0,(AR472-IF(6=D472,1,0))*VLOOKUP(INDEX('章节与怪物'!$E$31:$K$37,B472,6),'章节与怪物'!$A$41:$F$44,4,FALSE)+IF(6=D472,'难度参数'!$E$30,0))</x:f>
        <x:v>1260</x:v>
      </x:c>
      <x:c r="AV472" s="119" t="n">
        <x:f>IF(7&gt;D472,0,MAX(2,MIN('难度参数'!$E$12,ROUND(('难度参数'!$E$18*POWER(A472,'难度参数'!$E$19)/D472*(0.85+0.3*(7-1)/MAX(1,D472-1))),0)+F472)))</x:f>
        <x:v>47</x:v>
      </x:c>
      <x:c r="AW472" s="119" t="n">
        <x:f>IF(7&gt;D472,0,ROUND(('难度参数'!$E$13*POWER(A472,'难度参数'!$E$20)*MIN('难度参数'!$E$23,1+MAX(0,A472-'难度参数'!$E$21)*'难度参数'!$E$22))*(36+7*7)/(36+7*(D472+1)/2)*E472,0))</x:f>
        <x:v>14956</x:v>
      </x:c>
      <x:c r="AX472" s="119" t="n">
        <x:f>IF(AV472=0,0,(AV472-IF(7=D472,1,0))*ROUND(AW472*VLOOKUP(INDEX('章节与怪物'!$E$31:$K$37,B472,7),'章节与怪物'!$A$41:$F$44,2,FALSE),0)+IF(7=D472,ROUND(AW472*'难度参数'!$E$28*'章节与怪物'!$E$17,0),0))</x:f>
        <x:v>1030487</x:v>
      </x:c>
      <x:c r="AY472" s="119" t="n">
        <x:f>IF(AV472=0,0,(AV472-IF(7=D472,1,0))*VLOOKUP(INDEX('章节与怪物'!$E$31:$K$37,B472,7),'章节与怪物'!$A$41:$F$44,4,FALSE)+IF(7=D472,'难度参数'!$E$30,0))</x:f>
        <x:v>1764</x:v>
      </x:c>
    </x:row>
    <x:row r="473" ht="23" customHeight="1">
      <x:c r="A473" s="119" t="n">
        <x:v>467</x:v>
      </x:c>
      <x:c r="B473" s="119" t="n">
        <x:f>MOD(INT((A473-1)/5),7)+1</x:f>
        <x:v>3</x:v>
      </x:c>
      <x:c r="C473" s="62" t="str">
        <x:f>INDEX('章节与怪物'!$B$31:$B$37,B473)</x:f>
        <x:v>腐沼秘林</x:v>
      </x:c>
      <x:c r="D473" s="119" t="n">
        <x:f>MIN('难度参数'!$E$8,MAX('难度参数'!$E$7,A473))</x:f>
        <x:v>7</x:v>
      </x:c>
      <x:c r="E473" s="106" t="n">
        <x:v>1</x:v>
      </x:c>
      <x:c r="F473" s="106" t="n">
        <x:v>0</x:v>
      </x:c>
      <x:c r="G473" s="106" t="n">
        <x:v>1</x:v>
      </x:c>
      <x:c r="H473" s="119" t="n">
        <x:f>SUM(X473,AB473,AF473,AJ473,AN473,AR473,AV473)</x:f>
        <x:v>284</x:v>
      </x:c>
      <x:c r="I473" s="119" t="n">
        <x:f>SUM(Z473,AD473,AH473,AL473,AP473,AT473,AX473)</x:f>
        <x:v>4230158</x:v>
      </x:c>
      <x:c r="J473" s="119" t="n">
        <x:f>ROUND(INDEX(X473:AY473,1,(D473-1)*4+2)*'难度参数'!$E$28*'章节与怪物'!$E$17,0)</x:f>
        <x:v>101857</x:v>
      </x:c>
      <x:c r="K473" s="119" t="n">
        <x:f>SUM(AA473,AE473,AI473,AM473,AQ473,AU473,AY473)</x:f>
        <x:v>7674</x:v>
      </x:c>
      <x:c r="L473" s="62" t="n">
        <x:f>H473*(ROUNDUP('难度参数'!$E$24/('难度参数'!$E$26*'难度参数'!$E$27),0)*'难度参数'!$E$26)/60</x:f>
        <x:v>3.786666666666667</x:v>
      </x:c>
      <x:c r="M473" s="62" t="n">
        <x:f>L473+D473*('难度参数'!$E$49+'难度参数'!$E$50)/60</x:f>
        <x:v>4.953333333333334</x:v>
      </x:c>
      <x:c r="N473" s="119" t="n">
        <x:f>ROUNDDOWN(('经济参数'!$E$20+A473*'经济参数'!$E$21)*G473,0)</x:f>
        <x:v>9520</x:v>
      </x:c>
      <x:c r="O473" s="119" t="n">
        <x:f>ROUNDDOWN(MIN('经济参数'!$E$24,'经济参数'!$E$22+A473*'经济参数'!$E$23)*G473,0)</x:f>
        <x:v>0</x:v>
      </x:c>
      <x:c r="P473" s="119" t="n">
        <x:f>ROUNDDOWN((IF(A473&gt;='材料与任务'!$E$31,'材料与任务'!$E$32,IF(A473&gt;='材料与任务'!$E$25,'材料与任务'!$E$26,IF(A473&gt;='材料与任务'!$E$19,'材料与任务'!$E$20,IF(A473&gt;='材料与任务'!$E$13,'材料与任务'!$E$14,'材料与任务'!$E$8)))))*G473,0)</x:f>
        <x:v>6</x:v>
      </x:c>
      <x:c r="Q473" s="119" t="n">
        <x:f>ROUNDDOWN((IF(A473&gt;='材料与任务'!$E$31,'材料与任务'!$E$33,IF(A473&gt;='材料与任务'!$E$25,'材料与任务'!$E$27,IF(A473&gt;='材料与任务'!$E$19,'材料与任务'!$E$21,IF(A473&gt;='材料与任务'!$E$13,'材料与任务'!$E$15,'材料与任务'!$E$9)))))*G473,0)</x:f>
        <x:v>3</x:v>
      </x:c>
      <x:c r="R473" s="110" t="n">
        <x:f>'装备掉落'!$B$38</x:f>
        <x:v>0.6872058758851213</x:v>
      </x:c>
      <x:c r="S473" s="119" t="n">
        <x:f>MAX(IF(VLOOKUP(A473,'装备掉落'!$A$29:$H$34,2,TRUE)&gt;0,1,0),IF(VLOOKUP(A473,'装备掉落'!$A$29:$H$34,3,TRUE)&gt;0,2,0),IF(VLOOKUP(A473,'装备掉落'!$A$29:$H$34,4,TRUE)&gt;0,3,0),IF(VLOOKUP(A473,'装备掉落'!$A$29:$H$34,5,TRUE)&gt;0,4,0),IF(VLOOKUP(A473,'装备掉落'!$A$29:$H$34,6,TRUE)&gt;0,5,0),IF(VLOOKUP(A473,'装备掉落'!$A$29:$H$34,7,TRUE)&gt;0,6,0),IF(VLOOKUP(A473,'装备掉落'!$A$29:$H$34,8,TRUE)&gt;0,7,0))</x:f>
        <x:v>7</x:v>
      </x:c>
      <x:c r="T473" s="119" t="n">
        <x:f>MIN(7,S473+'经济参数'!$E$70)</x:f>
        <x:v>7</x:v>
      </x:c>
      <x:c r="U473" s="119" t="n">
        <x:f>MIN(7,S473+'经济参数'!$E$71)</x:f>
        <x:v>7</x:v>
      </x:c>
      <x:c r="V473" s="119" t="n">
        <x:f>IF(H473&gt;=('难度参数'!$E$52),1,0)+IF(H473&gt;=('难度参数'!$E$52+'难度参数'!$E$53),1,0)+IF(H473&gt;=('难度参数'!$E$52+'难度参数'!$E$53+'难度参数'!$E$54),1,0)+IF(H473&gt;=('难度参数'!$E$52+'难度参数'!$E$53+'难度参数'!$E$54+'难度参数'!$E$55),1,0)+IF(H473&gt;=('难度参数'!$E$52+'难度参数'!$E$53+'难度参数'!$E$54+'难度参数'!$E$55+'难度参数'!$E$56),1,0)+IF(H473&gt;=('难度参数'!$E$52+'难度参数'!$E$53+'难度参数'!$E$54+'难度参数'!$E$55+'难度参数'!$E$56+'难度参数'!$E$57),1,0)</x:f>
        <x:v>6</x:v>
      </x:c>
      <x:c r="W473" s="62" t="str">
        <x:f>IF(L473&gt;'难度参数'!$E$51,"仅出怪已超目标","还需实测")</x:f>
        <x:v>仅出怪已超目标</x:v>
      </x:c>
      <x:c r="X473" s="119" t="n">
        <x:f>IF(1&gt;D473,0,MAX(2,MIN('难度参数'!$E$12,ROUND(('难度参数'!$E$18*POWER(A473,'难度参数'!$E$19)/D473*(0.85+0.3*(1-1)/MAX(1,D473-1))),0)+F473)))</x:f>
        <x:v>34</x:v>
      </x:c>
      <x:c r="Y473" s="119" t="n">
        <x:f>IF(1&gt;D473,0,ROUND(('难度参数'!$E$13*POWER(A473,'难度参数'!$E$20)*MIN('难度参数'!$E$23,1+MAX(0,A473-'难度参数'!$E$21)*'难度参数'!$E$22))*(36+1*7)/(36+7*(D473+1)/2)*E473,0))</x:f>
        <x:v>7578</x:v>
      </x:c>
      <x:c r="Z473" s="119" t="n">
        <x:f>IF(X473=0,0,(X473-IF(1=D473,1,0))*ROUND(Y473*VLOOKUP(INDEX('章节与怪物'!$E$31:$K$37,B473,1),'章节与怪物'!$A$41:$F$44,2,FALSE),0)+IF(1=D473,ROUND(Y473*'难度参数'!$E$28*'章节与怪物'!$E$17,0),0))</x:f>
        <x:v>257652</x:v>
      </x:c>
      <x:c r="AA473" s="119" t="n">
        <x:f>IF(X473=0,0,(X473-IF(1=D473,1,0))*VLOOKUP(INDEX('章节与怪物'!$E$31:$K$37,B473,1),'章节与怪物'!$A$41:$F$44,4,FALSE)+IF(1=D473,'难度参数'!$E$30,0))</x:f>
        <x:v>612</x:v>
      </x:c>
      <x:c r="AB473" s="119" t="n">
        <x:f>IF(2&gt;D473,0,MAX(2,MIN('难度参数'!$E$12,ROUND(('难度参数'!$E$18*POWER(A473,'难度参数'!$E$19)/D473*(0.85+0.3*(2-1)/MAX(1,D473-1))),0)+F473)))</x:f>
        <x:v>36</x:v>
      </x:c>
      <x:c r="AC473" s="119" t="n">
        <x:f>IF(2&gt;D473,0,ROUND(('难度参数'!$E$13*POWER(A473,'难度参数'!$E$20)*MIN('难度参数'!$E$23,1+MAX(0,A473-'难度参数'!$E$21)*'难度参数'!$E$22))*(36+2*7)/(36+7*(D473+1)/2)*E473,0))</x:f>
        <x:v>8811</x:v>
      </x:c>
      <x:c r="AD473" s="119" t="n">
        <x:f>IF(AB473=0,0,(AB473-IF(2=D473,1,0))*ROUND(AC473*VLOOKUP(INDEX('章节与怪物'!$E$31:$K$37,B473,2),'章节与怪物'!$A$41:$F$44,2,FALSE),0)+IF(2=D473,ROUND(AC473*'难度参数'!$E$28*'章节与怪物'!$E$17,0),0))</x:f>
        <x:v>228384</x:v>
      </x:c>
      <x:c r="AE473" s="119" t="n">
        <x:f>IF(AB473=0,0,(AB473-IF(2=D473,1,0))*VLOOKUP(INDEX('章节与怪物'!$E$31:$K$37,B473,2),'章节与怪物'!$A$41:$F$44,4,FALSE)+IF(2=D473,'难度参数'!$E$30,0))</x:f>
        <x:v>720</x:v>
      </x:c>
      <x:c r="AF473" s="119" t="n">
        <x:f>IF(3&gt;D473,0,MAX(2,MIN('难度参数'!$E$12,ROUND(('难度参数'!$E$18*POWER(A473,'难度参数'!$E$19)/D473*(0.85+0.3*(3-1)/MAX(1,D473-1))),0)+F473)))</x:f>
        <x:v>38</x:v>
      </x:c>
      <x:c r="AG473" s="119" t="n">
        <x:f>IF(3&gt;D473,0,ROUND(('难度参数'!$E$13*POWER(A473,'难度参数'!$E$20)*MIN('难度参数'!$E$23,1+MAX(0,A473-'难度参数'!$E$21)*'难度参数'!$E$22))*(36+3*7)/(36+7*(D473+1)/2)*E473,0))</x:f>
        <x:v>10045</x:v>
      </x:c>
      <x:c r="AH473" s="119" t="n">
        <x:f>IF(AF473=0,0,(AF473-IF(3=D473,1,0))*ROUND(AG473*VLOOKUP(INDEX('章节与怪物'!$E$31:$K$37,B473,3),'章节与怪物'!$A$41:$F$44,2,FALSE),0)+IF(3=D473,ROUND(AG473*'难度参数'!$E$28*'章节与怪物'!$E$17,0),0))</x:f>
        <x:v>648926</x:v>
      </x:c>
      <x:c r="AI473" s="119" t="n">
        <x:f>IF(AF473=0,0,(AF473-IF(3=D473,1,0))*VLOOKUP(INDEX('章节与怪物'!$E$31:$K$37,B473,3),'章节与怪物'!$A$41:$F$44,4,FALSE)+IF(3=D473,'难度参数'!$E$30,0))</x:f>
        <x:v>1064</x:v>
      </x:c>
      <x:c r="AJ473" s="119" t="n">
        <x:f>IF(4&gt;D473,0,MAX(2,MIN('难度参数'!$E$12,ROUND(('难度参数'!$E$18*POWER(A473,'难度参数'!$E$19)/D473*(0.85+0.3*(4-1)/MAX(1,D473-1))),0)+F473)))</x:f>
        <x:v>41</x:v>
      </x:c>
      <x:c r="AK473" s="119" t="n">
        <x:f>IF(4&gt;D473,0,ROUND(('难度参数'!$E$13*POWER(A473,'难度参数'!$E$20)*MIN('难度参数'!$E$23,1+MAX(0,A473-'难度参数'!$E$21)*'难度参数'!$E$22))*(36+4*7)/(36+7*(D473+1)/2)*E473,0))</x:f>
        <x:v>11278</x:v>
      </x:c>
      <x:c r="AL473" s="119" t="n">
        <x:f>IF(AJ473=0,0,(AJ473-IF(4=D473,1,0))*ROUND(AK473*VLOOKUP(INDEX('章节与怪物'!$E$31:$K$37,B473,4),'章节与怪物'!$A$41:$F$44,2,FALSE),0)+IF(4=D473,ROUND(AK473*'难度参数'!$E$28*'章节与怪物'!$E$17,0),0))</x:f>
        <x:v>624225</x:v>
      </x:c>
      <x:c r="AM473" s="119" t="n">
        <x:f>IF(AJ473=0,0,(AJ473-IF(4=D473,1,0))*VLOOKUP(INDEX('章节与怪物'!$E$31:$K$37,B473,4),'章节与怪物'!$A$41:$F$44,4,FALSE)+IF(4=D473,'难度参数'!$E$30,0))</x:f>
        <x:v>1394</x:v>
      </x:c>
      <x:c r="AN473" s="119" t="n">
        <x:f>IF(5&gt;D473,0,MAX(2,MIN('难度参数'!$E$12,ROUND(('难度参数'!$E$18*POWER(A473,'难度参数'!$E$19)/D473*(0.85+0.3*(5-1)/MAX(1,D473-1))),0)+F473)))</x:f>
        <x:v>43</x:v>
      </x:c>
      <x:c r="AO473" s="119" t="n">
        <x:f>IF(5&gt;D473,0,ROUND(('难度参数'!$E$13*POWER(A473,'难度参数'!$E$20)*MIN('难度参数'!$E$23,1+MAX(0,A473-'难度参数'!$E$21)*'难度参数'!$E$22))*(36+5*7)/(36+7*(D473+1)/2)*E473,0))</x:f>
        <x:v>12512</x:v>
      </x:c>
      <x:c r="AP473" s="119" t="n">
        <x:f>IF(AN473=0,0,(AN473-IF(5=D473,1,0))*ROUND(AO473*VLOOKUP(INDEX('章节与怪物'!$E$31:$K$37,B473,5),'章节与怪物'!$A$41:$F$44,2,FALSE),0)+IF(5=D473,ROUND(AO473*'难度参数'!$E$28*'章节与怪物'!$E$17,0),0))</x:f>
        <x:v>387387</x:v>
      </x:c>
      <x:c r="AQ473" s="119" t="n">
        <x:f>IF(AN473=0,0,(AN473-IF(5=D473,1,0))*VLOOKUP(INDEX('章节与怪物'!$E$31:$K$37,B473,5),'章节与怪物'!$A$41:$F$44,4,FALSE)+IF(5=D473,'难度参数'!$E$30,0))</x:f>
        <x:v>860</x:v>
      </x:c>
      <x:c r="AR473" s="119" t="n">
        <x:f>IF(6&gt;D473,0,MAX(2,MIN('难度参数'!$E$12,ROUND(('难度参数'!$E$18*POWER(A473,'难度参数'!$E$19)/D473*(0.85+0.3*(6-1)/MAX(1,D473-1))),0)+F473)))</x:f>
        <x:v>45</x:v>
      </x:c>
      <x:c r="AS473" s="119" t="n">
        <x:f>IF(6&gt;D473,0,ROUND(('难度参数'!$E$13*POWER(A473,'难度参数'!$E$20)*MIN('难度参数'!$E$23,1+MAX(0,A473-'难度参数'!$E$21)*'难度参数'!$E$22))*(36+6*7)/(36+7*(D473+1)/2)*E473,0))</x:f>
        <x:v>13745</x:v>
      </x:c>
      <x:c r="AT473" s="119" t="n">
        <x:f>IF(AR473=0,0,(AR473-IF(6=D473,1,0))*ROUND(AS473*VLOOKUP(INDEX('章节与怪物'!$E$31:$K$37,B473,6),'章节与怪物'!$A$41:$F$44,2,FALSE),0)+IF(6=D473,ROUND(AS473*'难度参数'!$E$28*'章节与怪物'!$E$17,0),0))</x:f>
        <x:v>1051515</x:v>
      </x:c>
      <x:c r="AU473" s="119" t="n">
        <x:f>IF(AR473=0,0,(AR473-IF(6=D473,1,0))*VLOOKUP(INDEX('章节与怪物'!$E$31:$K$37,B473,6),'章节与怪物'!$A$41:$F$44,4,FALSE)+IF(6=D473,'难度参数'!$E$30,0))</x:f>
        <x:v>1260</x:v>
      </x:c>
      <x:c r="AV473" s="119" t="n">
        <x:f>IF(7&gt;D473,0,MAX(2,MIN('难度参数'!$E$12,ROUND(('难度参数'!$E$18*POWER(A473,'难度参数'!$E$19)/D473*(0.85+0.3*(7-1)/MAX(1,D473-1))),0)+F473)))</x:f>
        <x:v>47</x:v>
      </x:c>
      <x:c r="AW473" s="119" t="n">
        <x:f>IF(7&gt;D473,0,ROUND(('难度参数'!$E$13*POWER(A473,'难度参数'!$E$20)*MIN('难度参数'!$E$23,1+MAX(0,A473-'难度参数'!$E$21)*'难度参数'!$E$22))*(36+7*7)/(36+7*(D473+1)/2)*E473,0))</x:f>
        <x:v>14979</x:v>
      </x:c>
      <x:c r="AX473" s="119" t="n">
        <x:f>IF(AV473=0,0,(AV473-IF(7=D473,1,0))*ROUND(AW473*VLOOKUP(INDEX('章节与怪物'!$E$31:$K$37,B473,7),'章节与怪物'!$A$41:$F$44,2,FALSE),0)+IF(7=D473,ROUND(AW473*'难度参数'!$E$28*'章节与怪物'!$E$17,0),0))</x:f>
        <x:v>1032069</x:v>
      </x:c>
      <x:c r="AY473" s="119" t="n">
        <x:f>IF(AV473=0,0,(AV473-IF(7=D473,1,0))*VLOOKUP(INDEX('章节与怪物'!$E$31:$K$37,B473,7),'章节与怪物'!$A$41:$F$44,4,FALSE)+IF(7=D473,'难度参数'!$E$30,0))</x:f>
        <x:v>1764</x:v>
      </x:c>
    </x:row>
    <x:row r="474" ht="23" customHeight="1">
      <x:c r="A474" s="119" t="n">
        <x:v>468</x:v>
      </x:c>
      <x:c r="B474" s="119" t="n">
        <x:f>MOD(INT((A474-1)/5),7)+1</x:f>
        <x:v>3</x:v>
      </x:c>
      <x:c r="C474" s="62" t="str">
        <x:f>INDEX('章节与怪物'!$B$31:$B$37,B474)</x:f>
        <x:v>腐沼秘林</x:v>
      </x:c>
      <x:c r="D474" s="119" t="n">
        <x:f>MIN('难度参数'!$E$8,MAX('难度参数'!$E$7,A474))</x:f>
        <x:v>7</x:v>
      </x:c>
      <x:c r="E474" s="106" t="n">
        <x:v>1</x:v>
      </x:c>
      <x:c r="F474" s="106" t="n">
        <x:v>0</x:v>
      </x:c>
      <x:c r="G474" s="106" t="n">
        <x:v>1</x:v>
      </x:c>
      <x:c r="H474" s="119" t="n">
        <x:f>SUM(X474,AB474,AF474,AJ474,AN474,AR474,AV474)</x:f>
        <x:v>285</x:v>
      </x:c>
      <x:c r="I474" s="119" t="n">
        <x:f>SUM(Z474,AD474,AH474,AL474,AP474,AT474,AX474)</x:f>
        <x:v>4253776</x:v>
      </x:c>
      <x:c r="J474" s="119" t="n">
        <x:f>ROUND(INDEX(X474:AY474,1,(D474-1)*4+2)*'难度参数'!$E$28*'章节与怪物'!$E$17,0)</x:f>
        <x:v>102014</x:v>
      </x:c>
      <x:c r="K474" s="119" t="n">
        <x:f>SUM(AA474,AE474,AI474,AM474,AQ474,AU474,AY474)</x:f>
        <x:v>7702</x:v>
      </x:c>
      <x:c r="L474" s="62" t="n">
        <x:f>H474*(ROUNDUP('难度参数'!$E$24/('难度参数'!$E$26*'难度参数'!$E$27),0)*'难度参数'!$E$26)/60</x:f>
        <x:v>3.8</x:v>
      </x:c>
      <x:c r="M474" s="62" t="n">
        <x:f>L474+D474*('难度参数'!$E$49+'难度参数'!$E$50)/60</x:f>
        <x:v>4.966666666666667</x:v>
      </x:c>
      <x:c r="N474" s="119" t="n">
        <x:f>ROUNDDOWN(('经济参数'!$E$20+A474*'经济参数'!$E$21)*G474,0)</x:f>
        <x:v>9540</x:v>
      </x:c>
      <x:c r="O474" s="119" t="n">
        <x:f>ROUNDDOWN(MIN('经济参数'!$E$24,'经济参数'!$E$22+A474*'经济参数'!$E$23)*G474,0)</x:f>
        <x:v>0</x:v>
      </x:c>
      <x:c r="P474" s="119" t="n">
        <x:f>ROUNDDOWN((IF(A474&gt;='材料与任务'!$E$31,'材料与任务'!$E$32,IF(A474&gt;='材料与任务'!$E$25,'材料与任务'!$E$26,IF(A474&gt;='材料与任务'!$E$19,'材料与任务'!$E$20,IF(A474&gt;='材料与任务'!$E$13,'材料与任务'!$E$14,'材料与任务'!$E$8)))))*G474,0)</x:f>
        <x:v>6</x:v>
      </x:c>
      <x:c r="Q474" s="119" t="n">
        <x:f>ROUNDDOWN((IF(A474&gt;='材料与任务'!$E$31,'材料与任务'!$E$33,IF(A474&gt;='材料与任务'!$E$25,'材料与任务'!$E$27,IF(A474&gt;='材料与任务'!$E$19,'材料与任务'!$E$21,IF(A474&gt;='材料与任务'!$E$13,'材料与任务'!$E$15,'材料与任务'!$E$9)))))*G474,0)</x:f>
        <x:v>3</x:v>
      </x:c>
      <x:c r="R474" s="110" t="n">
        <x:f>'装备掉落'!$B$38</x:f>
        <x:v>0.6872058758851213</x:v>
      </x:c>
      <x:c r="S474" s="119" t="n">
        <x:f>MAX(IF(VLOOKUP(A474,'装备掉落'!$A$29:$H$34,2,TRUE)&gt;0,1,0),IF(VLOOKUP(A474,'装备掉落'!$A$29:$H$34,3,TRUE)&gt;0,2,0),IF(VLOOKUP(A474,'装备掉落'!$A$29:$H$34,4,TRUE)&gt;0,3,0),IF(VLOOKUP(A474,'装备掉落'!$A$29:$H$34,5,TRUE)&gt;0,4,0),IF(VLOOKUP(A474,'装备掉落'!$A$29:$H$34,6,TRUE)&gt;0,5,0),IF(VLOOKUP(A474,'装备掉落'!$A$29:$H$34,7,TRUE)&gt;0,6,0),IF(VLOOKUP(A474,'装备掉落'!$A$29:$H$34,8,TRUE)&gt;0,7,0))</x:f>
        <x:v>7</x:v>
      </x:c>
      <x:c r="T474" s="119" t="n">
        <x:f>MIN(7,S474+'经济参数'!$E$70)</x:f>
        <x:v>7</x:v>
      </x:c>
      <x:c r="U474" s="119" t="n">
        <x:f>MIN(7,S474+'经济参数'!$E$71)</x:f>
        <x:v>7</x:v>
      </x:c>
      <x:c r="V474" s="119" t="n">
        <x:f>IF(H474&gt;=('难度参数'!$E$52),1,0)+IF(H474&gt;=('难度参数'!$E$52+'难度参数'!$E$53),1,0)+IF(H474&gt;=('难度参数'!$E$52+'难度参数'!$E$53+'难度参数'!$E$54),1,0)+IF(H474&gt;=('难度参数'!$E$52+'难度参数'!$E$53+'难度参数'!$E$54+'难度参数'!$E$55),1,0)+IF(H474&gt;=('难度参数'!$E$52+'难度参数'!$E$53+'难度参数'!$E$54+'难度参数'!$E$55+'难度参数'!$E$56),1,0)+IF(H474&gt;=('难度参数'!$E$52+'难度参数'!$E$53+'难度参数'!$E$54+'难度参数'!$E$55+'难度参数'!$E$56+'难度参数'!$E$57),1,0)</x:f>
        <x:v>6</x:v>
      </x:c>
      <x:c r="W474" s="62" t="str">
        <x:f>IF(L474&gt;'难度参数'!$E$51,"仅出怪已超目标","还需实测")</x:f>
        <x:v>仅出怪已超目标</x:v>
      </x:c>
      <x:c r="X474" s="119" t="n">
        <x:f>IF(1&gt;D474,0,MAX(2,MIN('难度参数'!$E$12,ROUND(('难度参数'!$E$18*POWER(A474,'难度参数'!$E$19)/D474*(0.85+0.3*(1-1)/MAX(1,D474-1))),0)+F474)))</x:f>
        <x:v>34</x:v>
      </x:c>
      <x:c r="Y474" s="119" t="n">
        <x:f>IF(1&gt;D474,0,ROUND(('难度参数'!$E$13*POWER(A474,'难度参数'!$E$20)*MIN('难度参数'!$E$23,1+MAX(0,A474-'难度参数'!$E$21)*'难度参数'!$E$22))*(36+1*7)/(36+7*(D474+1)/2)*E474,0))</x:f>
        <x:v>7589</x:v>
      </x:c>
      <x:c r="Z474" s="119" t="n">
        <x:f>IF(X474=0,0,(X474-IF(1=D474,1,0))*ROUND(Y474*VLOOKUP(INDEX('章节与怪物'!$E$31:$K$37,B474,1),'章节与怪物'!$A$41:$F$44,2,FALSE),0)+IF(1=D474,ROUND(Y474*'难度参数'!$E$28*'章节与怪物'!$E$17,0),0))</x:f>
        <x:v>258026</x:v>
      </x:c>
      <x:c r="AA474" s="119" t="n">
        <x:f>IF(X474=0,0,(X474-IF(1=D474,1,0))*VLOOKUP(INDEX('章节与怪物'!$E$31:$K$37,B474,1),'章节与怪物'!$A$41:$F$44,4,FALSE)+IF(1=D474,'难度参数'!$E$30,0))</x:f>
        <x:v>612</x:v>
      </x:c>
      <x:c r="AB474" s="119" t="n">
        <x:f>IF(2&gt;D474,0,MAX(2,MIN('难度参数'!$E$12,ROUND(('难度参数'!$E$18*POWER(A474,'难度参数'!$E$19)/D474*(0.85+0.3*(2-1)/MAX(1,D474-1))),0)+F474)))</x:f>
        <x:v>36</x:v>
      </x:c>
      <x:c r="AC474" s="119" t="n">
        <x:f>IF(2&gt;D474,0,ROUND(('难度参数'!$E$13*POWER(A474,'难度参数'!$E$20)*MIN('难度参数'!$E$23,1+MAX(0,A474-'难度参数'!$E$21)*'难度参数'!$E$22))*(36+2*7)/(36+7*(D474+1)/2)*E474,0))</x:f>
        <x:v>8825</x:v>
      </x:c>
      <x:c r="AD474" s="119" t="n">
        <x:f>IF(AB474=0,0,(AB474-IF(2=D474,1,0))*ROUND(AC474*VLOOKUP(INDEX('章节与怪物'!$E$31:$K$37,B474,2),'章节与怪物'!$A$41:$F$44,2,FALSE),0)+IF(2=D474,ROUND(AC474*'难度参数'!$E$28*'章节与怪物'!$E$17,0),0))</x:f>
        <x:v>228744</x:v>
      </x:c>
      <x:c r="AE474" s="119" t="n">
        <x:f>IF(AB474=0,0,(AB474-IF(2=D474,1,0))*VLOOKUP(INDEX('章节与怪物'!$E$31:$K$37,B474,2),'章节与怪物'!$A$41:$F$44,4,FALSE)+IF(2=D474,'难度参数'!$E$30,0))</x:f>
        <x:v>720</x:v>
      </x:c>
      <x:c r="AF474" s="119" t="n">
        <x:f>IF(3&gt;D474,0,MAX(2,MIN('难度参数'!$E$12,ROUND(('难度参数'!$E$18*POWER(A474,'难度参数'!$E$19)/D474*(0.85+0.3*(3-1)/MAX(1,D474-1))),0)+F474)))</x:f>
        <x:v>39</x:v>
      </x:c>
      <x:c r="AG474" s="119" t="n">
        <x:f>IF(3&gt;D474,0,ROUND(('难度参数'!$E$13*POWER(A474,'难度参数'!$E$20)*MIN('难度参数'!$E$23,1+MAX(0,A474-'难度参数'!$E$21)*'难度参数'!$E$22))*(36+3*7)/(36+7*(D474+1)/2)*E474,0))</x:f>
        <x:v>10060</x:v>
      </x:c>
      <x:c r="AH474" s="119" t="n">
        <x:f>IF(AF474=0,0,(AF474-IF(3=D474,1,0))*ROUND(AG474*VLOOKUP(INDEX('章节与怪物'!$E$31:$K$37,B474,3),'章节与怪物'!$A$41:$F$44,2,FALSE),0)+IF(3=D474,ROUND(AG474*'难度参数'!$E$28*'章节与怪物'!$E$17,0),0))</x:f>
        <x:v>666978</x:v>
      </x:c>
      <x:c r="AI474" s="119" t="n">
        <x:f>IF(AF474=0,0,(AF474-IF(3=D474,1,0))*VLOOKUP(INDEX('章节与怪物'!$E$31:$K$37,B474,3),'章节与怪物'!$A$41:$F$44,4,FALSE)+IF(3=D474,'难度参数'!$E$30,0))</x:f>
        <x:v>1092</x:v>
      </x:c>
      <x:c r="AJ474" s="119" t="n">
        <x:f>IF(4&gt;D474,0,MAX(2,MIN('难度参数'!$E$12,ROUND(('难度参数'!$E$18*POWER(A474,'难度参数'!$E$19)/D474*(0.85+0.3*(4-1)/MAX(1,D474-1))),0)+F474)))</x:f>
        <x:v>41</x:v>
      </x:c>
      <x:c r="AK474" s="119" t="n">
        <x:f>IF(4&gt;D474,0,ROUND(('难度参数'!$E$13*POWER(A474,'难度参数'!$E$20)*MIN('难度参数'!$E$23,1+MAX(0,A474-'难度参数'!$E$21)*'难度参数'!$E$22))*(36+4*7)/(36+7*(D474+1)/2)*E474,0))</x:f>
        <x:v>11296</x:v>
      </x:c>
      <x:c r="AL474" s="119" t="n">
        <x:f>IF(AJ474=0,0,(AJ474-IF(4=D474,1,0))*ROUND(AK474*VLOOKUP(INDEX('章节与怪物'!$E$31:$K$37,B474,4),'章节与怪物'!$A$41:$F$44,2,FALSE),0)+IF(4=D474,ROUND(AK474*'难度参数'!$E$28*'章节与怪物'!$E$17,0),0))</x:f>
        <x:v>625250</x:v>
      </x:c>
      <x:c r="AM474" s="119" t="n">
        <x:f>IF(AJ474=0,0,(AJ474-IF(4=D474,1,0))*VLOOKUP(INDEX('章节与怪物'!$E$31:$K$37,B474,4),'章节与怪物'!$A$41:$F$44,4,FALSE)+IF(4=D474,'难度参数'!$E$30,0))</x:f>
        <x:v>1394</x:v>
      </x:c>
      <x:c r="AN474" s="119" t="n">
        <x:f>IF(5&gt;D474,0,MAX(2,MIN('难度参数'!$E$12,ROUND(('难度参数'!$E$18*POWER(A474,'难度参数'!$E$19)/D474*(0.85+0.3*(5-1)/MAX(1,D474-1))),0)+F474)))</x:f>
        <x:v>43</x:v>
      </x:c>
      <x:c r="AO474" s="119" t="n">
        <x:f>IF(5&gt;D474,0,ROUND(('难度参数'!$E$13*POWER(A474,'难度参数'!$E$20)*MIN('难度参数'!$E$23,1+MAX(0,A474-'难度参数'!$E$21)*'难度参数'!$E$22))*(36+5*7)/(36+7*(D474+1)/2)*E474,0))</x:f>
        <x:v>12531</x:v>
      </x:c>
      <x:c r="AP474" s="119" t="n">
        <x:f>IF(AN474=0,0,(AN474-IF(5=D474,1,0))*ROUND(AO474*VLOOKUP(INDEX('章节与怪物'!$E$31:$K$37,B474,5),'章节与怪物'!$A$41:$F$44,2,FALSE),0)+IF(5=D474,ROUND(AO474*'难度参数'!$E$28*'章节与怪物'!$E$17,0),0))</x:f>
        <x:v>387946</x:v>
      </x:c>
      <x:c r="AQ474" s="119" t="n">
        <x:f>IF(AN474=0,0,(AN474-IF(5=D474,1,0))*VLOOKUP(INDEX('章节与怪物'!$E$31:$K$37,B474,5),'章节与怪物'!$A$41:$F$44,4,FALSE)+IF(5=D474,'难度参数'!$E$30,0))</x:f>
        <x:v>860</x:v>
      </x:c>
      <x:c r="AR474" s="119" t="n">
        <x:f>IF(6&gt;D474,0,MAX(2,MIN('难度参数'!$E$12,ROUND(('难度参数'!$E$18*POWER(A474,'难度参数'!$E$19)/D474*(0.85+0.3*(6-1)/MAX(1,D474-1))),0)+F474)))</x:f>
        <x:v>45</x:v>
      </x:c>
      <x:c r="AS474" s="119" t="n">
        <x:f>IF(6&gt;D474,0,ROUND(('难度参数'!$E$13*POWER(A474,'难度参数'!$E$20)*MIN('难度参数'!$E$23,1+MAX(0,A474-'难度参数'!$E$21)*'难度参数'!$E$22))*(36+6*7)/(36+7*(D474+1)/2)*E474,0))</x:f>
        <x:v>13767</x:v>
      </x:c>
      <x:c r="AT474" s="119" t="n">
        <x:f>IF(AR474=0,0,(AR474-IF(6=D474,1,0))*ROUND(AS474*VLOOKUP(INDEX('章节与怪物'!$E$31:$K$37,B474,6),'章节与怪物'!$A$41:$F$44,2,FALSE),0)+IF(6=D474,ROUND(AS474*'难度参数'!$E$28*'章节与怪物'!$E$17,0),0))</x:f>
        <x:v>1053180</x:v>
      </x:c>
      <x:c r="AU474" s="119" t="n">
        <x:f>IF(AR474=0,0,(AR474-IF(6=D474,1,0))*VLOOKUP(INDEX('章节与怪物'!$E$31:$K$37,B474,6),'章节与怪物'!$A$41:$F$44,4,FALSE)+IF(6=D474,'难度参数'!$E$30,0))</x:f>
        <x:v>1260</x:v>
      </x:c>
      <x:c r="AV474" s="119" t="n">
        <x:f>IF(7&gt;D474,0,MAX(2,MIN('难度参数'!$E$12,ROUND(('难度参数'!$E$18*POWER(A474,'难度参数'!$E$19)/D474*(0.85+0.3*(7-1)/MAX(1,D474-1))),0)+F474)))</x:f>
        <x:v>47</x:v>
      </x:c>
      <x:c r="AW474" s="119" t="n">
        <x:f>IF(7&gt;D474,0,ROUND(('难度参数'!$E$13*POWER(A474,'难度参数'!$E$20)*MIN('难度参数'!$E$23,1+MAX(0,A474-'难度参数'!$E$21)*'难度参数'!$E$22))*(36+7*7)/(36+7*(D474+1)/2)*E474,0))</x:f>
        <x:v>15002</x:v>
      </x:c>
      <x:c r="AX474" s="119" t="n">
        <x:f>IF(AV474=0,0,(AV474-IF(7=D474,1,0))*ROUND(AW474*VLOOKUP(INDEX('章节与怪物'!$E$31:$K$37,B474,7),'章节与怪物'!$A$41:$F$44,2,FALSE),0)+IF(7=D474,ROUND(AW474*'难度参数'!$E$28*'章节与怪物'!$E$17,0),0))</x:f>
        <x:v>1033652</x:v>
      </x:c>
      <x:c r="AY474" s="119" t="n">
        <x:f>IF(AV474=0,0,(AV474-IF(7=D474,1,0))*VLOOKUP(INDEX('章节与怪物'!$E$31:$K$37,B474,7),'章节与怪物'!$A$41:$F$44,4,FALSE)+IF(7=D474,'难度参数'!$E$30,0))</x:f>
        <x:v>1764</x:v>
      </x:c>
    </x:row>
    <x:row r="475" ht="23" customHeight="1">
      <x:c r="A475" s="119" t="n">
        <x:v>469</x:v>
      </x:c>
      <x:c r="B475" s="119" t="n">
        <x:f>MOD(INT((A475-1)/5),7)+1</x:f>
        <x:v>3</x:v>
      </x:c>
      <x:c r="C475" s="62" t="str">
        <x:f>INDEX('章节与怪物'!$B$31:$B$37,B475)</x:f>
        <x:v>腐沼秘林</x:v>
      </x:c>
      <x:c r="D475" s="119" t="n">
        <x:f>MIN('难度参数'!$E$8,MAX('难度参数'!$E$7,A475))</x:f>
        <x:v>7</x:v>
      </x:c>
      <x:c r="E475" s="106" t="n">
        <x:v>1</x:v>
      </x:c>
      <x:c r="F475" s="106" t="n">
        <x:v>0</x:v>
      </x:c>
      <x:c r="G475" s="106" t="n">
        <x:v>1</x:v>
      </x:c>
      <x:c r="H475" s="119" t="n">
        <x:f>SUM(X475,AB475,AF475,AJ475,AN475,AR475,AV475)</x:f>
        <x:v>286</x:v>
      </x:c>
      <x:c r="I475" s="119" t="n">
        <x:f>SUM(Z475,AD475,AH475,AL475,AP475,AT475,AX475)</x:f>
        <x:v>4266671</x:v>
      </x:c>
      <x:c r="J475" s="119" t="n">
        <x:f>ROUND(INDEX(X475:AY475,1,(D475-1)*4+2)*'难度参数'!$E$28*'章节与怪物'!$E$17,0)</x:f>
        <x:v>102170</x:v>
      </x:c>
      <x:c r="K475" s="119" t="n">
        <x:f>SUM(AA475,AE475,AI475,AM475,AQ475,AU475,AY475)</x:f>
        <x:v>7722</x:v>
      </x:c>
      <x:c r="L475" s="62" t="n">
        <x:f>H475*(ROUNDUP('难度参数'!$E$24/('难度参数'!$E$26*'难度参数'!$E$27),0)*'难度参数'!$E$26)/60</x:f>
        <x:v>3.8133333333333335</x:v>
      </x:c>
      <x:c r="M475" s="62" t="n">
        <x:f>L475+D475*('难度参数'!$E$49+'难度参数'!$E$50)/60</x:f>
        <x:v>4.98</x:v>
      </x:c>
      <x:c r="N475" s="119" t="n">
        <x:f>ROUNDDOWN(('经济参数'!$E$20+A475*'经济参数'!$E$21)*G475,0)</x:f>
        <x:v>9560</x:v>
      </x:c>
      <x:c r="O475" s="119" t="n">
        <x:f>ROUNDDOWN(MIN('经济参数'!$E$24,'经济参数'!$E$22+A475*'经济参数'!$E$23)*G475,0)</x:f>
        <x:v>0</x:v>
      </x:c>
      <x:c r="P475" s="119" t="n">
        <x:f>ROUNDDOWN((IF(A475&gt;='材料与任务'!$E$31,'材料与任务'!$E$32,IF(A475&gt;='材料与任务'!$E$25,'材料与任务'!$E$26,IF(A475&gt;='材料与任务'!$E$19,'材料与任务'!$E$20,IF(A475&gt;='材料与任务'!$E$13,'材料与任务'!$E$14,'材料与任务'!$E$8)))))*G475,0)</x:f>
        <x:v>6</x:v>
      </x:c>
      <x:c r="Q475" s="119" t="n">
        <x:f>ROUNDDOWN((IF(A475&gt;='材料与任务'!$E$31,'材料与任务'!$E$33,IF(A475&gt;='材料与任务'!$E$25,'材料与任务'!$E$27,IF(A475&gt;='材料与任务'!$E$19,'材料与任务'!$E$21,IF(A475&gt;='材料与任务'!$E$13,'材料与任务'!$E$15,'材料与任务'!$E$9)))))*G475,0)</x:f>
        <x:v>3</x:v>
      </x:c>
      <x:c r="R475" s="110" t="n">
        <x:f>'装备掉落'!$B$38</x:f>
        <x:v>0.6872058758851213</x:v>
      </x:c>
      <x:c r="S475" s="119" t="n">
        <x:f>MAX(IF(VLOOKUP(A475,'装备掉落'!$A$29:$H$34,2,TRUE)&gt;0,1,0),IF(VLOOKUP(A475,'装备掉落'!$A$29:$H$34,3,TRUE)&gt;0,2,0),IF(VLOOKUP(A475,'装备掉落'!$A$29:$H$34,4,TRUE)&gt;0,3,0),IF(VLOOKUP(A475,'装备掉落'!$A$29:$H$34,5,TRUE)&gt;0,4,0),IF(VLOOKUP(A475,'装备掉落'!$A$29:$H$34,6,TRUE)&gt;0,5,0),IF(VLOOKUP(A475,'装备掉落'!$A$29:$H$34,7,TRUE)&gt;0,6,0),IF(VLOOKUP(A475,'装备掉落'!$A$29:$H$34,8,TRUE)&gt;0,7,0))</x:f>
        <x:v>7</x:v>
      </x:c>
      <x:c r="T475" s="119" t="n">
        <x:f>MIN(7,S475+'经济参数'!$E$70)</x:f>
        <x:v>7</x:v>
      </x:c>
      <x:c r="U475" s="119" t="n">
        <x:f>MIN(7,S475+'经济参数'!$E$71)</x:f>
        <x:v>7</x:v>
      </x:c>
      <x:c r="V475" s="119" t="n">
        <x:f>IF(H475&gt;=('难度参数'!$E$52),1,0)+IF(H475&gt;=('难度参数'!$E$52+'难度参数'!$E$53),1,0)+IF(H475&gt;=('难度参数'!$E$52+'难度参数'!$E$53+'难度参数'!$E$54),1,0)+IF(H475&gt;=('难度参数'!$E$52+'难度参数'!$E$53+'难度参数'!$E$54+'难度参数'!$E$55),1,0)+IF(H475&gt;=('难度参数'!$E$52+'难度参数'!$E$53+'难度参数'!$E$54+'难度参数'!$E$55+'难度参数'!$E$56),1,0)+IF(H475&gt;=('难度参数'!$E$52+'难度参数'!$E$53+'难度参数'!$E$54+'难度参数'!$E$55+'难度参数'!$E$56+'难度参数'!$E$57),1,0)</x:f>
        <x:v>6</x:v>
      </x:c>
      <x:c r="W475" s="62" t="str">
        <x:f>IF(L475&gt;'难度参数'!$E$51,"仅出怪已超目标","还需实测")</x:f>
        <x:v>仅出怪已超目标</x:v>
      </x:c>
      <x:c r="X475" s="119" t="n">
        <x:f>IF(1&gt;D475,0,MAX(2,MIN('难度参数'!$E$12,ROUND(('难度参数'!$E$18*POWER(A475,'难度参数'!$E$19)/D475*(0.85+0.3*(1-1)/MAX(1,D475-1))),0)+F475)))</x:f>
        <x:v>34</x:v>
      </x:c>
      <x:c r="Y475" s="119" t="n">
        <x:f>IF(1&gt;D475,0,ROUND(('难度参数'!$E$13*POWER(A475,'难度参数'!$E$20)*MIN('难度参数'!$E$23,1+MAX(0,A475-'难度参数'!$E$21)*'难度参数'!$E$22))*(36+1*7)/(36+7*(D475+1)/2)*E475,0))</x:f>
        <x:v>7601</x:v>
      </x:c>
      <x:c r="Z475" s="119" t="n">
        <x:f>IF(X475=0,0,(X475-IF(1=D475,1,0))*ROUND(Y475*VLOOKUP(INDEX('章节与怪物'!$E$31:$K$37,B475,1),'章节与怪物'!$A$41:$F$44,2,FALSE),0)+IF(1=D475,ROUND(Y475*'难度参数'!$E$28*'章节与怪物'!$E$17,0),0))</x:f>
        <x:v>258434</x:v>
      </x:c>
      <x:c r="AA475" s="119" t="n">
        <x:f>IF(X475=0,0,(X475-IF(1=D475,1,0))*VLOOKUP(INDEX('章节与怪物'!$E$31:$K$37,B475,1),'章节与怪物'!$A$41:$F$44,4,FALSE)+IF(1=D475,'难度参数'!$E$30,0))</x:f>
        <x:v>612</x:v>
      </x:c>
      <x:c r="AB475" s="119" t="n">
        <x:f>IF(2&gt;D475,0,MAX(2,MIN('难度参数'!$E$12,ROUND(('难度参数'!$E$18*POWER(A475,'难度参数'!$E$19)/D475*(0.85+0.3*(2-1)/MAX(1,D475-1))),0)+F475)))</x:f>
        <x:v>37</x:v>
      </x:c>
      <x:c r="AC475" s="119" t="n">
        <x:f>IF(2&gt;D475,0,ROUND(('难度参数'!$E$13*POWER(A475,'难度参数'!$E$20)*MIN('难度参数'!$E$23,1+MAX(0,A475-'难度参数'!$E$21)*'难度参数'!$E$22))*(36+2*7)/(36+7*(D475+1)/2)*E475,0))</x:f>
        <x:v>8838</x:v>
      </x:c>
      <x:c r="AD475" s="119" t="n">
        <x:f>IF(AB475=0,0,(AB475-IF(2=D475,1,0))*ROUND(AC475*VLOOKUP(INDEX('章节与怪物'!$E$31:$K$37,B475,2),'章节与怪物'!$A$41:$F$44,2,FALSE),0)+IF(2=D475,ROUND(AC475*'难度参数'!$E$28*'章节与怪物'!$E$17,0),0))</x:f>
        <x:v>235431</x:v>
      </x:c>
      <x:c r="AE475" s="119" t="n">
        <x:f>IF(AB475=0,0,(AB475-IF(2=D475,1,0))*VLOOKUP(INDEX('章节与怪物'!$E$31:$K$37,B475,2),'章节与怪物'!$A$41:$F$44,4,FALSE)+IF(2=D475,'难度参数'!$E$30,0))</x:f>
        <x:v>740</x:v>
      </x:c>
      <x:c r="AF475" s="119" t="n">
        <x:f>IF(3&gt;D475,0,MAX(2,MIN('难度参数'!$E$12,ROUND(('难度参数'!$E$18*POWER(A475,'难度参数'!$E$19)/D475*(0.85+0.3*(3-1)/MAX(1,D475-1))),0)+F475)))</x:f>
        <x:v>39</x:v>
      </x:c>
      <x:c r="AG475" s="119" t="n">
        <x:f>IF(3&gt;D475,0,ROUND(('难度参数'!$E$13*POWER(A475,'难度参数'!$E$20)*MIN('难度参数'!$E$23,1+MAX(0,A475-'难度参数'!$E$21)*'难度参数'!$E$22))*(36+3*7)/(36+7*(D475+1)/2)*E475,0))</x:f>
        <x:v>10076</x:v>
      </x:c>
      <x:c r="AH475" s="119" t="n">
        <x:f>IF(AF475=0,0,(AF475-IF(3=D475,1,0))*ROUND(AG475*VLOOKUP(INDEX('章节与怪物'!$E$31:$K$37,B475,3),'章节与怪物'!$A$41:$F$44,2,FALSE),0)+IF(3=D475,ROUND(AG475*'难度参数'!$E$28*'章节与怪物'!$E$17,0),0))</x:f>
        <x:v>668031</x:v>
      </x:c>
      <x:c r="AI475" s="119" t="n">
        <x:f>IF(AF475=0,0,(AF475-IF(3=D475,1,0))*VLOOKUP(INDEX('章节与怪物'!$E$31:$K$37,B475,3),'章节与怪物'!$A$41:$F$44,4,FALSE)+IF(3=D475,'难度参数'!$E$30,0))</x:f>
        <x:v>1092</x:v>
      </x:c>
      <x:c r="AJ475" s="119" t="n">
        <x:f>IF(4&gt;D475,0,MAX(2,MIN('难度参数'!$E$12,ROUND(('难度参数'!$E$18*POWER(A475,'难度参数'!$E$19)/D475*(0.85+0.3*(4-1)/MAX(1,D475-1))),0)+F475)))</x:f>
        <x:v>41</x:v>
      </x:c>
      <x:c r="AK475" s="119" t="n">
        <x:f>IF(4&gt;D475,0,ROUND(('难度参数'!$E$13*POWER(A475,'难度参数'!$E$20)*MIN('难度参数'!$E$23,1+MAX(0,A475-'难度参数'!$E$21)*'难度参数'!$E$22))*(36+4*7)/(36+7*(D475+1)/2)*E475,0))</x:f>
        <x:v>11313</x:v>
      </x:c>
      <x:c r="AL475" s="119" t="n">
        <x:f>IF(AJ475=0,0,(AJ475-IF(4=D475,1,0))*ROUND(AK475*VLOOKUP(INDEX('章节与怪物'!$E$31:$K$37,B475,4),'章节与怪物'!$A$41:$F$44,2,FALSE),0)+IF(4=D475,ROUND(AK475*'难度参数'!$E$28*'章节与怪物'!$E$17,0),0))</x:f>
        <x:v>626193</x:v>
      </x:c>
      <x:c r="AM475" s="119" t="n">
        <x:f>IF(AJ475=0,0,(AJ475-IF(4=D475,1,0))*VLOOKUP(INDEX('章节与怪物'!$E$31:$K$37,B475,4),'章节与怪物'!$A$41:$F$44,4,FALSE)+IF(4=D475,'难度参数'!$E$30,0))</x:f>
        <x:v>1394</x:v>
      </x:c>
      <x:c r="AN475" s="119" t="n">
        <x:f>IF(5&gt;D475,0,MAX(2,MIN('难度参数'!$E$12,ROUND(('难度参数'!$E$18*POWER(A475,'难度参数'!$E$19)/D475*(0.85+0.3*(5-1)/MAX(1,D475-1))),0)+F475)))</x:f>
        <x:v>43</x:v>
      </x:c>
      <x:c r="AO475" s="119" t="n">
        <x:f>IF(5&gt;D475,0,ROUND(('难度参数'!$E$13*POWER(A475,'难度参数'!$E$20)*MIN('难度参数'!$E$23,1+MAX(0,A475-'难度参数'!$E$21)*'难度参数'!$E$22))*(36+5*7)/(36+7*(D475+1)/2)*E475,0))</x:f>
        <x:v>12550</x:v>
      </x:c>
      <x:c r="AP475" s="119" t="n">
        <x:f>IF(AN475=0,0,(AN475-IF(5=D475,1,0))*ROUND(AO475*VLOOKUP(INDEX('章节与怪物'!$E$31:$K$37,B475,5),'章节与怪物'!$A$41:$F$44,2,FALSE),0)+IF(5=D475,ROUND(AO475*'难度参数'!$E$28*'章节与怪物'!$E$17,0),0))</x:f>
        <x:v>388548</x:v>
      </x:c>
      <x:c r="AQ475" s="119" t="n">
        <x:f>IF(AN475=0,0,(AN475-IF(5=D475,1,0))*VLOOKUP(INDEX('章节与怪物'!$E$31:$K$37,B475,5),'章节与怪物'!$A$41:$F$44,4,FALSE)+IF(5=D475,'难度参数'!$E$30,0))</x:f>
        <x:v>860</x:v>
      </x:c>
      <x:c r="AR475" s="119" t="n">
        <x:f>IF(6&gt;D475,0,MAX(2,MIN('难度参数'!$E$12,ROUND(('难度参数'!$E$18*POWER(A475,'难度参数'!$E$19)/D475*(0.85+0.3*(6-1)/MAX(1,D475-1))),0)+F475)))</x:f>
        <x:v>45</x:v>
      </x:c>
      <x:c r="AS475" s="119" t="n">
        <x:f>IF(6&gt;D475,0,ROUND(('难度参数'!$E$13*POWER(A475,'难度参数'!$E$20)*MIN('难度参数'!$E$23,1+MAX(0,A475-'难度参数'!$E$21)*'难度参数'!$E$22))*(36+6*7)/(36+7*(D475+1)/2)*E475,0))</x:f>
        <x:v>13788</x:v>
      </x:c>
      <x:c r="AT475" s="119" t="n">
        <x:f>IF(AR475=0,0,(AR475-IF(6=D475,1,0))*ROUND(AS475*VLOOKUP(INDEX('章节与怪物'!$E$31:$K$37,B475,6),'章节与怪物'!$A$41:$F$44,2,FALSE),0)+IF(6=D475,ROUND(AS475*'难度参数'!$E$28*'章节与怪物'!$E$17,0),0))</x:f>
        <x:v>1054800</x:v>
      </x:c>
      <x:c r="AU475" s="119" t="n">
        <x:f>IF(AR475=0,0,(AR475-IF(6=D475,1,0))*VLOOKUP(INDEX('章节与怪物'!$E$31:$K$37,B475,6),'章节与怪物'!$A$41:$F$44,4,FALSE)+IF(6=D475,'难度参数'!$E$30,0))</x:f>
        <x:v>1260</x:v>
      </x:c>
      <x:c r="AV475" s="119" t="n">
        <x:f>IF(7&gt;D475,0,MAX(2,MIN('难度参数'!$E$12,ROUND(('难度参数'!$E$18*POWER(A475,'难度参数'!$E$19)/D475*(0.85+0.3*(7-1)/MAX(1,D475-1))),0)+F475)))</x:f>
        <x:v>47</x:v>
      </x:c>
      <x:c r="AW475" s="119" t="n">
        <x:f>IF(7&gt;D475,0,ROUND(('难度参数'!$E$13*POWER(A475,'难度参数'!$E$20)*MIN('难度参数'!$E$23,1+MAX(0,A475-'难度参数'!$E$21)*'难度参数'!$E$22))*(36+7*7)/(36+7*(D475+1)/2)*E475,0))</x:f>
        <x:v>15025</x:v>
      </x:c>
      <x:c r="AX475" s="119" t="n">
        <x:f>IF(AV475=0,0,(AV475-IF(7=D475,1,0))*ROUND(AW475*VLOOKUP(INDEX('章节与怪物'!$E$31:$K$37,B475,7),'章节与怪物'!$A$41:$F$44,2,FALSE),0)+IF(7=D475,ROUND(AW475*'难度参数'!$E$28*'章节与怪物'!$E$17,0),0))</x:f>
        <x:v>1035234</x:v>
      </x:c>
      <x:c r="AY475" s="119" t="n">
        <x:f>IF(AV475=0,0,(AV475-IF(7=D475,1,0))*VLOOKUP(INDEX('章节与怪物'!$E$31:$K$37,B475,7),'章节与怪物'!$A$41:$F$44,4,FALSE)+IF(7=D475,'难度参数'!$E$30,0))</x:f>
        <x:v>1764</x:v>
      </x:c>
    </x:row>
    <x:row r="476" ht="23" customHeight="1">
      <x:c r="A476" s="119" t="n">
        <x:v>470</x:v>
      </x:c>
      <x:c r="B476" s="119" t="n">
        <x:f>MOD(INT((A476-1)/5),7)+1</x:f>
        <x:v>3</x:v>
      </x:c>
      <x:c r="C476" s="62" t="str">
        <x:f>INDEX('章节与怪物'!$B$31:$B$37,B476)</x:f>
        <x:v>腐沼秘林</x:v>
      </x:c>
      <x:c r="D476" s="119" t="n">
        <x:f>MIN('难度参数'!$E$8,MAX('难度参数'!$E$7,A476))</x:f>
        <x:v>7</x:v>
      </x:c>
      <x:c r="E476" s="106" t="n">
        <x:v>1</x:v>
      </x:c>
      <x:c r="F476" s="106" t="n">
        <x:v>0</x:v>
      </x:c>
      <x:c r="G476" s="106" t="n">
        <x:v>1</x:v>
      </x:c>
      <x:c r="H476" s="119" t="n">
        <x:f>SUM(X476,AB476,AF476,AJ476,AN476,AR476,AV476)</x:f>
        <x:v>287</x:v>
      </x:c>
      <x:c r="I476" s="119" t="n">
        <x:f>SUM(Z476,AD476,AH476,AL476,AP476,AT476,AX476)</x:f>
        <x:v>4280778</x:v>
      </x:c>
      <x:c r="J476" s="119" t="n">
        <x:f>ROUND(INDEX(X476:AY476,1,(D476-1)*4+2)*'难度参数'!$E$28*'章节与怪物'!$E$17,0)</x:f>
        <x:v>102326</x:v>
      </x:c>
      <x:c r="K476" s="119" t="n">
        <x:f>SUM(AA476,AE476,AI476,AM476,AQ476,AU476,AY476)</x:f>
        <x:v>7740</x:v>
      </x:c>
      <x:c r="L476" s="62" t="n">
        <x:f>H476*(ROUNDUP('难度参数'!$E$24/('难度参数'!$E$26*'难度参数'!$E$27),0)*'难度参数'!$E$26)/60</x:f>
        <x:v>3.826666666666667</x:v>
      </x:c>
      <x:c r="M476" s="62" t="n">
        <x:f>L476+D476*('难度参数'!$E$49+'难度参数'!$E$50)/60</x:f>
        <x:v>4.993333333333334</x:v>
      </x:c>
      <x:c r="N476" s="119" t="n">
        <x:f>ROUNDDOWN(('经济参数'!$E$20+A476*'经济参数'!$E$21)*G476,0)</x:f>
        <x:v>9580</x:v>
      </x:c>
      <x:c r="O476" s="119" t="n">
        <x:f>ROUNDDOWN(MIN('经济参数'!$E$24,'经济参数'!$E$22+A476*'经济参数'!$E$23)*G476,0)</x:f>
        <x:v>0</x:v>
      </x:c>
      <x:c r="P476" s="119" t="n">
        <x:f>ROUNDDOWN((IF(A476&gt;='材料与任务'!$E$31,'材料与任务'!$E$32,IF(A476&gt;='材料与任务'!$E$25,'材料与任务'!$E$26,IF(A476&gt;='材料与任务'!$E$19,'材料与任务'!$E$20,IF(A476&gt;='材料与任务'!$E$13,'材料与任务'!$E$14,'材料与任务'!$E$8)))))*G476,0)</x:f>
        <x:v>6</x:v>
      </x:c>
      <x:c r="Q476" s="119" t="n">
        <x:f>ROUNDDOWN((IF(A476&gt;='材料与任务'!$E$31,'材料与任务'!$E$33,IF(A476&gt;='材料与任务'!$E$25,'材料与任务'!$E$27,IF(A476&gt;='材料与任务'!$E$19,'材料与任务'!$E$21,IF(A476&gt;='材料与任务'!$E$13,'材料与任务'!$E$15,'材料与任务'!$E$9)))))*G476,0)</x:f>
        <x:v>3</x:v>
      </x:c>
      <x:c r="R476" s="110" t="n">
        <x:f>'装备掉落'!$B$38</x:f>
        <x:v>0.6872058758851213</x:v>
      </x:c>
      <x:c r="S476" s="119" t="n">
        <x:f>MAX(IF(VLOOKUP(A476,'装备掉落'!$A$29:$H$34,2,TRUE)&gt;0,1,0),IF(VLOOKUP(A476,'装备掉落'!$A$29:$H$34,3,TRUE)&gt;0,2,0),IF(VLOOKUP(A476,'装备掉落'!$A$29:$H$34,4,TRUE)&gt;0,3,0),IF(VLOOKUP(A476,'装备掉落'!$A$29:$H$34,5,TRUE)&gt;0,4,0),IF(VLOOKUP(A476,'装备掉落'!$A$29:$H$34,6,TRUE)&gt;0,5,0),IF(VLOOKUP(A476,'装备掉落'!$A$29:$H$34,7,TRUE)&gt;0,6,0),IF(VLOOKUP(A476,'装备掉落'!$A$29:$H$34,8,TRUE)&gt;0,7,0))</x:f>
        <x:v>7</x:v>
      </x:c>
      <x:c r="T476" s="119" t="n">
        <x:f>MIN(7,S476+'经济参数'!$E$70)</x:f>
        <x:v>7</x:v>
      </x:c>
      <x:c r="U476" s="119" t="n">
        <x:f>MIN(7,S476+'经济参数'!$E$71)</x:f>
        <x:v>7</x:v>
      </x:c>
      <x:c r="V476" s="119" t="n">
        <x:f>IF(H476&gt;=('难度参数'!$E$52),1,0)+IF(H476&gt;=('难度参数'!$E$52+'难度参数'!$E$53),1,0)+IF(H476&gt;=('难度参数'!$E$52+'难度参数'!$E$53+'难度参数'!$E$54),1,0)+IF(H476&gt;=('难度参数'!$E$52+'难度参数'!$E$53+'难度参数'!$E$54+'难度参数'!$E$55),1,0)+IF(H476&gt;=('难度参数'!$E$52+'难度参数'!$E$53+'难度参数'!$E$54+'难度参数'!$E$55+'难度参数'!$E$56),1,0)+IF(H476&gt;=('难度参数'!$E$52+'难度参数'!$E$53+'难度参数'!$E$54+'难度参数'!$E$55+'难度参数'!$E$56+'难度参数'!$E$57),1,0)</x:f>
        <x:v>6</x:v>
      </x:c>
      <x:c r="W476" s="62" t="str">
        <x:f>IF(L476&gt;'难度参数'!$E$51,"仅出怪已超目标","还需实测")</x:f>
        <x:v>仅出怪已超目标</x:v>
      </x:c>
      <x:c r="X476" s="119" t="n">
        <x:f>IF(1&gt;D476,0,MAX(2,MIN('难度参数'!$E$12,ROUND(('难度参数'!$E$18*POWER(A476,'难度参数'!$E$19)/D476*(0.85+0.3*(1-1)/MAX(1,D476-1))),0)+F476)))</x:f>
        <x:v>35</x:v>
      </x:c>
      <x:c r="Y476" s="119" t="n">
        <x:f>IF(1&gt;D476,0,ROUND(('难度参数'!$E$13*POWER(A476,'难度参数'!$E$20)*MIN('难度参数'!$E$23,1+MAX(0,A476-'难度参数'!$E$21)*'难度参数'!$E$22))*(36+1*7)/(36+7*(D476+1)/2)*E476,0))</x:f>
        <x:v>7613</x:v>
      </x:c>
      <x:c r="Z476" s="119" t="n">
        <x:f>IF(X476=0,0,(X476-IF(1=D476,1,0))*ROUND(Y476*VLOOKUP(INDEX('章节与怪物'!$E$31:$K$37,B476,1),'章节与怪物'!$A$41:$F$44,2,FALSE),0)+IF(1=D476,ROUND(Y476*'难度参数'!$E$28*'章节与怪物'!$E$17,0),0))</x:f>
        <x:v>266455</x:v>
      </x:c>
      <x:c r="AA476" s="119" t="n">
        <x:f>IF(X476=0,0,(X476-IF(1=D476,1,0))*VLOOKUP(INDEX('章节与怪物'!$E$31:$K$37,B476,1),'章节与怪物'!$A$41:$F$44,4,FALSE)+IF(1=D476,'难度参数'!$E$30,0))</x:f>
        <x:v>630</x:v>
      </x:c>
      <x:c r="AB476" s="119" t="n">
        <x:f>IF(2&gt;D476,0,MAX(2,MIN('难度参数'!$E$12,ROUND(('难度参数'!$E$18*POWER(A476,'难度参数'!$E$19)/D476*(0.85+0.3*(2-1)/MAX(1,D476-1))),0)+F476)))</x:f>
        <x:v>37</x:v>
      </x:c>
      <x:c r="AC476" s="119" t="n">
        <x:f>IF(2&gt;D476,0,ROUND(('难度参数'!$E$13*POWER(A476,'难度参数'!$E$20)*MIN('难度参数'!$E$23,1+MAX(0,A476-'难度参数'!$E$21)*'难度参数'!$E$22))*(36+2*7)/(36+7*(D476+1)/2)*E476,0))</x:f>
        <x:v>8852</x:v>
      </x:c>
      <x:c r="AD476" s="119" t="n">
        <x:f>IF(AB476=0,0,(AB476-IF(2=D476,1,0))*ROUND(AC476*VLOOKUP(INDEX('章节与怪物'!$E$31:$K$37,B476,2),'章节与怪物'!$A$41:$F$44,2,FALSE),0)+IF(2=D476,ROUND(AC476*'难度参数'!$E$28*'章节与怪物'!$E$17,0),0))</x:f>
        <x:v>235801</x:v>
      </x:c>
      <x:c r="AE476" s="119" t="n">
        <x:f>IF(AB476=0,0,(AB476-IF(2=D476,1,0))*VLOOKUP(INDEX('章节与怪物'!$E$31:$K$37,B476,2),'章节与怪物'!$A$41:$F$44,4,FALSE)+IF(2=D476,'难度参数'!$E$30,0))</x:f>
        <x:v>740</x:v>
      </x:c>
      <x:c r="AF476" s="119" t="n">
        <x:f>IF(3&gt;D476,0,MAX(2,MIN('难度参数'!$E$12,ROUND(('难度参数'!$E$18*POWER(A476,'难度参数'!$E$19)/D476*(0.85+0.3*(3-1)/MAX(1,D476-1))),0)+F476)))</x:f>
        <x:v>39</x:v>
      </x:c>
      <x:c r="AG476" s="119" t="n">
        <x:f>IF(3&gt;D476,0,ROUND(('难度参数'!$E$13*POWER(A476,'难度参数'!$E$20)*MIN('难度参数'!$E$23,1+MAX(0,A476-'难度参数'!$E$21)*'难度参数'!$E$22))*(36+3*7)/(36+7*(D476+1)/2)*E476,0))</x:f>
        <x:v>10091</x:v>
      </x:c>
      <x:c r="AH476" s="119" t="n">
        <x:f>IF(AF476=0,0,(AF476-IF(3=D476,1,0))*ROUND(AG476*VLOOKUP(INDEX('章节与怪物'!$E$31:$K$37,B476,3),'章节与怪物'!$A$41:$F$44,2,FALSE),0)+IF(3=D476,ROUND(AG476*'难度参数'!$E$28*'章节与怪物'!$E$17,0),0))</x:f>
        <x:v>669045</x:v>
      </x:c>
      <x:c r="AI476" s="119" t="n">
        <x:f>IF(AF476=0,0,(AF476-IF(3=D476,1,0))*VLOOKUP(INDEX('章节与怪物'!$E$31:$K$37,B476,3),'章节与怪物'!$A$41:$F$44,4,FALSE)+IF(3=D476,'难度参数'!$E$30,0))</x:f>
        <x:v>1092</x:v>
      </x:c>
      <x:c r="AJ476" s="119" t="n">
        <x:f>IF(4&gt;D476,0,MAX(2,MIN('难度参数'!$E$12,ROUND(('难度参数'!$E$18*POWER(A476,'难度参数'!$E$19)/D476*(0.85+0.3*(4-1)/MAX(1,D476-1))),0)+F476)))</x:f>
        <x:v>41</x:v>
      </x:c>
      <x:c r="AK476" s="119" t="n">
        <x:f>IF(4&gt;D476,0,ROUND(('难度参数'!$E$13*POWER(A476,'难度参数'!$E$20)*MIN('难度参数'!$E$23,1+MAX(0,A476-'难度参数'!$E$21)*'难度参数'!$E$22))*(36+4*7)/(36+7*(D476+1)/2)*E476,0))</x:f>
        <x:v>11330</x:v>
      </x:c>
      <x:c r="AL476" s="119" t="n">
        <x:f>IF(AJ476=0,0,(AJ476-IF(4=D476,1,0))*ROUND(AK476*VLOOKUP(INDEX('章节与怪物'!$E$31:$K$37,B476,4),'章节与怪物'!$A$41:$F$44,2,FALSE),0)+IF(4=D476,ROUND(AK476*'难度参数'!$E$28*'章节与怪物'!$E$17,0),0))</x:f>
        <x:v>627136</x:v>
      </x:c>
      <x:c r="AM476" s="119" t="n">
        <x:f>IF(AJ476=0,0,(AJ476-IF(4=D476,1,0))*VLOOKUP(INDEX('章节与怪物'!$E$31:$K$37,B476,4),'章节与怪物'!$A$41:$F$44,4,FALSE)+IF(4=D476,'难度参数'!$E$30,0))</x:f>
        <x:v>1394</x:v>
      </x:c>
      <x:c r="AN476" s="119" t="n">
        <x:f>IF(5&gt;D476,0,MAX(2,MIN('难度参数'!$E$12,ROUND(('难度参数'!$E$18*POWER(A476,'难度参数'!$E$19)/D476*(0.85+0.3*(5-1)/MAX(1,D476-1))),0)+F476)))</x:f>
        <x:v>43</x:v>
      </x:c>
      <x:c r="AO476" s="119" t="n">
        <x:f>IF(5&gt;D476,0,ROUND(('难度参数'!$E$13*POWER(A476,'难度参数'!$E$20)*MIN('难度参数'!$E$23,1+MAX(0,A476-'难度参数'!$E$21)*'难度参数'!$E$22))*(36+5*7)/(36+7*(D476+1)/2)*E476,0))</x:f>
        <x:v>12570</x:v>
      </x:c>
      <x:c r="AP476" s="119" t="n">
        <x:f>IF(AN476=0,0,(AN476-IF(5=D476,1,0))*ROUND(AO476*VLOOKUP(INDEX('章节与怪物'!$E$31:$K$37,B476,5),'章节与怪物'!$A$41:$F$44,2,FALSE),0)+IF(5=D476,ROUND(AO476*'难度参数'!$E$28*'章节与怪物'!$E$17,0),0))</x:f>
        <x:v>389150</x:v>
      </x:c>
      <x:c r="AQ476" s="119" t="n">
        <x:f>IF(AN476=0,0,(AN476-IF(5=D476,1,0))*VLOOKUP(INDEX('章节与怪物'!$E$31:$K$37,B476,5),'章节与怪物'!$A$41:$F$44,4,FALSE)+IF(5=D476,'难度参数'!$E$30,0))</x:f>
        <x:v>860</x:v>
      </x:c>
      <x:c r="AR476" s="119" t="n">
        <x:f>IF(6&gt;D476,0,MAX(2,MIN('难度参数'!$E$12,ROUND(('难度参数'!$E$18*POWER(A476,'难度参数'!$E$19)/D476*(0.85+0.3*(6-1)/MAX(1,D476-1))),0)+F476)))</x:f>
        <x:v>45</x:v>
      </x:c>
      <x:c r="AS476" s="119" t="n">
        <x:f>IF(6&gt;D476,0,ROUND(('难度参数'!$E$13*POWER(A476,'难度参数'!$E$20)*MIN('难度参数'!$E$23,1+MAX(0,A476-'难度参数'!$E$21)*'难度参数'!$E$22))*(36+6*7)/(36+7*(D476+1)/2)*E476,0))</x:f>
        <x:v>13809</x:v>
      </x:c>
      <x:c r="AT476" s="119" t="n">
        <x:f>IF(AR476=0,0,(AR476-IF(6=D476,1,0))*ROUND(AS476*VLOOKUP(INDEX('章节与怪物'!$E$31:$K$37,B476,6),'章节与怪物'!$A$41:$F$44,2,FALSE),0)+IF(6=D476,ROUND(AS476*'难度参数'!$E$28*'章节与怪物'!$E$17,0),0))</x:f>
        <x:v>1056375</x:v>
      </x:c>
      <x:c r="AU476" s="119" t="n">
        <x:f>IF(AR476=0,0,(AR476-IF(6=D476,1,0))*VLOOKUP(INDEX('章节与怪物'!$E$31:$K$37,B476,6),'章节与怪物'!$A$41:$F$44,4,FALSE)+IF(6=D476,'难度参数'!$E$30,0))</x:f>
        <x:v>1260</x:v>
      </x:c>
      <x:c r="AV476" s="119" t="n">
        <x:f>IF(7&gt;D476,0,MAX(2,MIN('难度参数'!$E$12,ROUND(('难度参数'!$E$18*POWER(A476,'难度参数'!$E$19)/D476*(0.85+0.3*(7-1)/MAX(1,D476-1))),0)+F476)))</x:f>
        <x:v>47</x:v>
      </x:c>
      <x:c r="AW476" s="119" t="n">
        <x:f>IF(7&gt;D476,0,ROUND(('难度参数'!$E$13*POWER(A476,'难度参数'!$E$20)*MIN('难度参数'!$E$23,1+MAX(0,A476-'难度参数'!$E$21)*'难度参数'!$E$22))*(36+7*7)/(36+7*(D476+1)/2)*E476,0))</x:f>
        <x:v>15048</x:v>
      </x:c>
      <x:c r="AX476" s="119" t="n">
        <x:f>IF(AV476=0,0,(AV476-IF(7=D476,1,0))*ROUND(AW476*VLOOKUP(INDEX('章节与怪物'!$E$31:$K$37,B476,7),'章节与怪物'!$A$41:$F$44,2,FALSE),0)+IF(7=D476,ROUND(AW476*'难度参数'!$E$28*'章节与怪物'!$E$17,0),0))</x:f>
        <x:v>1036816</x:v>
      </x:c>
      <x:c r="AY476" s="119" t="n">
        <x:f>IF(AV476=0,0,(AV476-IF(7=D476,1,0))*VLOOKUP(INDEX('章节与怪物'!$E$31:$K$37,B476,7),'章节与怪物'!$A$41:$F$44,4,FALSE)+IF(7=D476,'难度参数'!$E$30,0))</x:f>
        <x:v>1764</x:v>
      </x:c>
    </x:row>
    <x:row r="477" ht="23" customHeight="1">
      <x:c r="A477" s="119" t="n">
        <x:v>471</x:v>
      </x:c>
      <x:c r="B477" s="119" t="n">
        <x:f>MOD(INT((A477-1)/5),7)+1</x:f>
        <x:v>4</x:v>
      </x:c>
      <x:c r="C477" s="62" t="str">
        <x:f>INDEX('章节与怪物'!$B$31:$B$37,B477)</x:f>
        <x:v>翠野边城</x:v>
      </x:c>
      <x:c r="D477" s="119" t="n">
        <x:f>MIN('难度参数'!$E$8,MAX('难度参数'!$E$7,A477))</x:f>
        <x:v>7</x:v>
      </x:c>
      <x:c r="E477" s="106" t="n">
        <x:v>1</x:v>
      </x:c>
      <x:c r="F477" s="106" t="n">
        <x:v>0</x:v>
      </x:c>
      <x:c r="G477" s="106" t="n">
        <x:v>1</x:v>
      </x:c>
      <x:c r="H477" s="119" t="n">
        <x:f>SUM(X477,AB477,AF477,AJ477,AN477,AR477,AV477)</x:f>
        <x:v>287</x:v>
      </x:c>
      <x:c r="I477" s="119" t="n">
        <x:f>SUM(Z477,AD477,AH477,AL477,AP477,AT477,AX477)</x:f>
        <x:v>3846174</x:v>
      </x:c>
      <x:c r="J477" s="119" t="n">
        <x:f>ROUND(INDEX(X477:AY477,1,(D477-1)*4+2)*'难度参数'!$E$28*'章节与怪物'!$E$17,0)</x:f>
        <x:v>102483</x:v>
      </x:c>
      <x:c r="K477" s="119" t="n">
        <x:f>SUM(AA477,AE477,AI477,AM477,AQ477,AU477,AY477)</x:f>
        <x:v>7290</x:v>
      </x:c>
      <x:c r="L477" s="62" t="n">
        <x:f>H477*(ROUNDUP('难度参数'!$E$24/('难度参数'!$E$26*'难度参数'!$E$27),0)*'难度参数'!$E$26)/60</x:f>
        <x:v>3.826666666666667</x:v>
      </x:c>
      <x:c r="M477" s="62" t="n">
        <x:f>L477+D477*('难度参数'!$E$49+'难度参数'!$E$50)/60</x:f>
        <x:v>4.993333333333334</x:v>
      </x:c>
      <x:c r="N477" s="119" t="n">
        <x:f>ROUNDDOWN(('经济参数'!$E$20+A477*'经济参数'!$E$21)*G477,0)</x:f>
        <x:v>9600</x:v>
      </x:c>
      <x:c r="O477" s="119" t="n">
        <x:f>ROUNDDOWN(MIN('经济参数'!$E$24,'经济参数'!$E$22+A477*'经济参数'!$E$23)*G477,0)</x:f>
        <x:v>0</x:v>
      </x:c>
      <x:c r="P477" s="119" t="n">
        <x:f>ROUNDDOWN((IF(A477&gt;='材料与任务'!$E$31,'材料与任务'!$E$32,IF(A477&gt;='材料与任务'!$E$25,'材料与任务'!$E$26,IF(A477&gt;='材料与任务'!$E$19,'材料与任务'!$E$20,IF(A477&gt;='材料与任务'!$E$13,'材料与任务'!$E$14,'材料与任务'!$E$8)))))*G477,0)</x:f>
        <x:v>6</x:v>
      </x:c>
      <x:c r="Q477" s="119" t="n">
        <x:f>ROUNDDOWN((IF(A477&gt;='材料与任务'!$E$31,'材料与任务'!$E$33,IF(A477&gt;='材料与任务'!$E$25,'材料与任务'!$E$27,IF(A477&gt;='材料与任务'!$E$19,'材料与任务'!$E$21,IF(A477&gt;='材料与任务'!$E$13,'材料与任务'!$E$15,'材料与任务'!$E$9)))))*G477,0)</x:f>
        <x:v>3</x:v>
      </x:c>
      <x:c r="R477" s="110" t="n">
        <x:f>'装备掉落'!$B$38</x:f>
        <x:v>0.6872058758851213</x:v>
      </x:c>
      <x:c r="S477" s="119" t="n">
        <x:f>MAX(IF(VLOOKUP(A477,'装备掉落'!$A$29:$H$34,2,TRUE)&gt;0,1,0),IF(VLOOKUP(A477,'装备掉落'!$A$29:$H$34,3,TRUE)&gt;0,2,0),IF(VLOOKUP(A477,'装备掉落'!$A$29:$H$34,4,TRUE)&gt;0,3,0),IF(VLOOKUP(A477,'装备掉落'!$A$29:$H$34,5,TRUE)&gt;0,4,0),IF(VLOOKUP(A477,'装备掉落'!$A$29:$H$34,6,TRUE)&gt;0,5,0),IF(VLOOKUP(A477,'装备掉落'!$A$29:$H$34,7,TRUE)&gt;0,6,0),IF(VLOOKUP(A477,'装备掉落'!$A$29:$H$34,8,TRUE)&gt;0,7,0))</x:f>
        <x:v>7</x:v>
      </x:c>
      <x:c r="T477" s="119" t="n">
        <x:f>MIN(7,S477+'经济参数'!$E$70)</x:f>
        <x:v>7</x:v>
      </x:c>
      <x:c r="U477" s="119" t="n">
        <x:f>MIN(7,S477+'经济参数'!$E$71)</x:f>
        <x:v>7</x:v>
      </x:c>
      <x:c r="V477" s="119" t="n">
        <x:f>IF(H477&gt;=('难度参数'!$E$52),1,0)+IF(H477&gt;=('难度参数'!$E$52+'难度参数'!$E$53),1,0)+IF(H477&gt;=('难度参数'!$E$52+'难度参数'!$E$53+'难度参数'!$E$54),1,0)+IF(H477&gt;=('难度参数'!$E$52+'难度参数'!$E$53+'难度参数'!$E$54+'难度参数'!$E$55),1,0)+IF(H477&gt;=('难度参数'!$E$52+'难度参数'!$E$53+'难度参数'!$E$54+'难度参数'!$E$55+'难度参数'!$E$56),1,0)+IF(H477&gt;=('难度参数'!$E$52+'难度参数'!$E$53+'难度参数'!$E$54+'难度参数'!$E$55+'难度参数'!$E$56+'难度参数'!$E$57),1,0)</x:f>
        <x:v>6</x:v>
      </x:c>
      <x:c r="W477" s="62" t="str">
        <x:f>IF(L477&gt;'难度参数'!$E$51,"仅出怪已超目标","还需实测")</x:f>
        <x:v>仅出怪已超目标</x:v>
      </x:c>
      <x:c r="X477" s="119" t="n">
        <x:f>IF(1&gt;D477,0,MAX(2,MIN('难度参数'!$E$12,ROUND(('难度参数'!$E$18*POWER(A477,'难度参数'!$E$19)/D477*(0.85+0.3*(1-1)/MAX(1,D477-1))),0)+F477)))</x:f>
        <x:v>35</x:v>
      </x:c>
      <x:c r="Y477" s="119" t="n">
        <x:f>IF(1&gt;D477,0,ROUND(('难度参数'!$E$13*POWER(A477,'难度参数'!$E$20)*MIN('难度参数'!$E$23,1+MAX(0,A477-'难度参数'!$E$21)*'难度参数'!$E$22))*(36+1*7)/(36+7*(D477+1)/2)*E477,0))</x:f>
        <x:v>7624</x:v>
      </x:c>
      <x:c r="Z477" s="119" t="n">
        <x:f>IF(X477=0,0,(X477-IF(1=D477,1,0))*ROUND(Y477*VLOOKUP(INDEX('章节与怪物'!$E$31:$K$37,B477,1),'章节与怪物'!$A$41:$F$44,2,FALSE),0)+IF(1=D477,ROUND(Y477*'难度参数'!$E$28*'章节与怪物'!$E$17,0),0))</x:f>
        <x:v>192115</x:v>
      </x:c>
      <x:c r="AA477" s="119" t="n">
        <x:f>IF(X477=0,0,(X477-IF(1=D477,1,0))*VLOOKUP(INDEX('章节与怪物'!$E$31:$K$37,B477,1),'章节与怪物'!$A$41:$F$44,4,FALSE)+IF(1=D477,'难度参数'!$E$30,0))</x:f>
        <x:v>700</x:v>
      </x:c>
      <x:c r="AB477" s="119" t="n">
        <x:f>IF(2&gt;D477,0,MAX(2,MIN('难度参数'!$E$12,ROUND(('难度参数'!$E$18*POWER(A477,'难度参数'!$E$19)/D477*(0.85+0.3*(2-1)/MAX(1,D477-1))),0)+F477)))</x:f>
        <x:v>37</x:v>
      </x:c>
      <x:c r="AC477" s="119" t="n">
        <x:f>IF(2&gt;D477,0,ROUND(('难度参数'!$E$13*POWER(A477,'难度参数'!$E$20)*MIN('难度参数'!$E$23,1+MAX(0,A477-'难度参数'!$E$21)*'难度参数'!$E$22))*(36+2*7)/(36+7*(D477+1)/2)*E477,0))</x:f>
        <x:v>8865</x:v>
      </x:c>
      <x:c r="AD477" s="119" t="n">
        <x:f>IF(AB477=0,0,(AB477-IF(2=D477,1,0))*ROUND(AC477*VLOOKUP(INDEX('章节与怪物'!$E$31:$K$37,B477,2),'章节与怪物'!$A$41:$F$44,2,FALSE),0)+IF(2=D477,ROUND(AC477*'难度参数'!$E$28*'章节与怪物'!$E$17,0),0))</x:f>
        <x:v>328005</x:v>
      </x:c>
      <x:c r="AE477" s="119" t="n">
        <x:f>IF(AB477=0,0,(AB477-IF(2=D477,1,0))*VLOOKUP(INDEX('章节与怪物'!$E$31:$K$37,B477,2),'章节与怪物'!$A$41:$F$44,4,FALSE)+IF(2=D477,'难度参数'!$E$30,0))</x:f>
        <x:v>666</x:v>
      </x:c>
      <x:c r="AF477" s="119" t="n">
        <x:f>IF(3&gt;D477,0,MAX(2,MIN('难度参数'!$E$12,ROUND(('难度参数'!$E$18*POWER(A477,'难度参数'!$E$19)/D477*(0.85+0.3*(3-1)/MAX(1,D477-1))),0)+F477)))</x:f>
        <x:v>39</x:v>
      </x:c>
      <x:c r="AG477" s="119" t="n">
        <x:f>IF(3&gt;D477,0,ROUND(('难度参数'!$E$13*POWER(A477,'难度参数'!$E$20)*MIN('难度参数'!$E$23,1+MAX(0,A477-'难度参数'!$E$21)*'难度参数'!$E$22))*(36+3*7)/(36+7*(D477+1)/2)*E477,0))</x:f>
        <x:v>10107</x:v>
      </x:c>
      <x:c r="AH477" s="119" t="n">
        <x:f>IF(AF477=0,0,(AF477-IF(3=D477,1,0))*ROUND(AG477*VLOOKUP(INDEX('章节与怪物'!$E$31:$K$37,B477,3),'章节与怪物'!$A$41:$F$44,2,FALSE),0)+IF(3=D477,ROUND(AG477*'难度参数'!$E$28*'章节与怪物'!$E$17,0),0))</x:f>
        <x:v>670098</x:v>
      </x:c>
      <x:c r="AI477" s="119" t="n">
        <x:f>IF(AF477=0,0,(AF477-IF(3=D477,1,0))*VLOOKUP(INDEX('章节与怪物'!$E$31:$K$37,B477,3),'章节与怪物'!$A$41:$F$44,4,FALSE)+IF(3=D477,'难度参数'!$E$30,0))</x:f>
        <x:v>1092</x:v>
      </x:c>
      <x:c r="AJ477" s="119" t="n">
        <x:f>IF(4&gt;D477,0,MAX(2,MIN('难度参数'!$E$12,ROUND(('难度参数'!$E$18*POWER(A477,'难度参数'!$E$19)/D477*(0.85+0.3*(4-1)/MAX(1,D477-1))),0)+F477)))</x:f>
        <x:v>41</x:v>
      </x:c>
      <x:c r="AK477" s="119" t="n">
        <x:f>IF(4&gt;D477,0,ROUND(('难度参数'!$E$13*POWER(A477,'难度参数'!$E$20)*MIN('难度参数'!$E$23,1+MAX(0,A477-'难度参数'!$E$21)*'难度参数'!$E$22))*(36+4*7)/(36+7*(D477+1)/2)*E477,0))</x:f>
        <x:v>11348</x:v>
      </x:c>
      <x:c r="AL477" s="119" t="n">
        <x:f>IF(AJ477=0,0,(AJ477-IF(4=D477,1,0))*ROUND(AK477*VLOOKUP(INDEX('章节与怪物'!$E$31:$K$37,B477,4),'章节与怪物'!$A$41:$F$44,2,FALSE),0)+IF(4=D477,ROUND(AK477*'难度参数'!$E$28*'章节与怪物'!$E$17,0),0))</x:f>
        <x:v>628120</x:v>
      </x:c>
      <x:c r="AM477" s="119" t="n">
        <x:f>IF(AJ477=0,0,(AJ477-IF(4=D477,1,0))*VLOOKUP(INDEX('章节与怪物'!$E$31:$K$37,B477,4),'章节与怪物'!$A$41:$F$44,4,FALSE)+IF(4=D477,'难度参数'!$E$30,0))</x:f>
        <x:v>1394</x:v>
      </x:c>
      <x:c r="AN477" s="119" t="n">
        <x:f>IF(5&gt;D477,0,MAX(2,MIN('难度参数'!$E$12,ROUND(('难度参数'!$E$18*POWER(A477,'难度参数'!$E$19)/D477*(0.85+0.3*(5-1)/MAX(1,D477-1))),0)+F477)))</x:f>
        <x:v>43</x:v>
      </x:c>
      <x:c r="AO477" s="119" t="n">
        <x:f>IF(5&gt;D477,0,ROUND(('难度参数'!$E$13*POWER(A477,'难度参数'!$E$20)*MIN('难度参数'!$E$23,1+MAX(0,A477-'难度参数'!$E$21)*'难度参数'!$E$22))*(36+5*7)/(36+7*(D477+1)/2)*E477,0))</x:f>
        <x:v>12589</x:v>
      </x:c>
      <x:c r="AP477" s="119" t="n">
        <x:f>IF(AN477=0,0,(AN477-IF(5=D477,1,0))*ROUND(AO477*VLOOKUP(INDEX('章节与怪物'!$E$31:$K$37,B477,5),'章节与怪物'!$A$41:$F$44,2,FALSE),0)+IF(5=D477,ROUND(AO477*'难度参数'!$E$28*'章节与怪物'!$E$17,0),0))</x:f>
        <x:v>541327</x:v>
      </x:c>
      <x:c r="AQ477" s="119" t="n">
        <x:f>IF(AN477=0,0,(AN477-IF(5=D477,1,0))*VLOOKUP(INDEX('章节与怪物'!$E$31:$K$37,B477,5),'章节与怪物'!$A$41:$F$44,4,FALSE)+IF(5=D477,'难度参数'!$E$30,0))</x:f>
        <x:v>774</x:v>
      </x:c>
      <x:c r="AR477" s="119" t="n">
        <x:f>IF(6&gt;D477,0,MAX(2,MIN('难度参数'!$E$12,ROUND(('难度参数'!$E$18*POWER(A477,'难度参数'!$E$19)/D477*(0.85+0.3*(6-1)/MAX(1,D477-1))),0)+F477)))</x:f>
        <x:v>45</x:v>
      </x:c>
      <x:c r="AS477" s="119" t="n">
        <x:f>IF(6&gt;D477,0,ROUND(('难度参数'!$E$13*POWER(A477,'难度参数'!$E$20)*MIN('难度参数'!$E$23,1+MAX(0,A477-'难度参数'!$E$21)*'难度参数'!$E$22))*(36+6*7)/(36+7*(D477+1)/2)*E477,0))</x:f>
        <x:v>13830</x:v>
      </x:c>
      <x:c r="AT477" s="119" t="n">
        <x:f>IF(AR477=0,0,(AR477-IF(6=D477,1,0))*ROUND(AS477*VLOOKUP(INDEX('章节与怪物'!$E$31:$K$37,B477,6),'章节与怪物'!$A$41:$F$44,2,FALSE),0)+IF(6=D477,ROUND(AS477*'难度参数'!$E$28*'章节与怪物'!$E$17,0),0))</x:f>
        <x:v>448110</x:v>
      </x:c>
      <x:c r="AU477" s="119" t="n">
        <x:f>IF(AR477=0,0,(AR477-IF(6=D477,1,0))*VLOOKUP(INDEX('章节与怪物'!$E$31:$K$37,B477,6),'章节与怪物'!$A$41:$F$44,4,FALSE)+IF(6=D477,'难度参数'!$E$30,0))</x:f>
        <x:v>900</x:v>
      </x:c>
      <x:c r="AV477" s="119" t="n">
        <x:f>IF(7&gt;D477,0,MAX(2,MIN('难度参数'!$E$12,ROUND(('难度参数'!$E$18*POWER(A477,'难度参数'!$E$19)/D477*(0.85+0.3*(7-1)/MAX(1,D477-1))),0)+F477)))</x:f>
        <x:v>47</x:v>
      </x:c>
      <x:c r="AW477" s="119" t="n">
        <x:f>IF(7&gt;D477,0,ROUND(('难度参数'!$E$13*POWER(A477,'难度参数'!$E$20)*MIN('难度参数'!$E$23,1+MAX(0,A477-'难度参数'!$E$21)*'难度参数'!$E$22))*(36+7*7)/(36+7*(D477+1)/2)*E477,0))</x:f>
        <x:v>15071</x:v>
      </x:c>
      <x:c r="AX477" s="119" t="n">
        <x:f>IF(AV477=0,0,(AV477-IF(7=D477,1,0))*ROUND(AW477*VLOOKUP(INDEX('章节与怪物'!$E$31:$K$37,B477,7),'章节与怪物'!$A$41:$F$44,2,FALSE),0)+IF(7=D477,ROUND(AW477*'难度参数'!$E$28*'章节与怪物'!$E$17,0),0))</x:f>
        <x:v>1038399</x:v>
      </x:c>
      <x:c r="AY477" s="119" t="n">
        <x:f>IF(AV477=0,0,(AV477-IF(7=D477,1,0))*VLOOKUP(INDEX('章节与怪物'!$E$31:$K$37,B477,7),'章节与怪物'!$A$41:$F$44,4,FALSE)+IF(7=D477,'难度参数'!$E$30,0))</x:f>
        <x:v>1764</x:v>
      </x:c>
    </x:row>
    <x:row r="478" ht="23" customHeight="1">
      <x:c r="A478" s="119" t="n">
        <x:v>472</x:v>
      </x:c>
      <x:c r="B478" s="119" t="n">
        <x:f>MOD(INT((A478-1)/5),7)+1</x:f>
        <x:v>4</x:v>
      </x:c>
      <x:c r="C478" s="62" t="str">
        <x:f>INDEX('章节与怪物'!$B$31:$B$37,B478)</x:f>
        <x:v>翠野边城</x:v>
      </x:c>
      <x:c r="D478" s="119" t="n">
        <x:f>MIN('难度参数'!$E$8,MAX('难度参数'!$E$7,A478))</x:f>
        <x:v>7</x:v>
      </x:c>
      <x:c r="E478" s="106" t="n">
        <x:v>1</x:v>
      </x:c>
      <x:c r="F478" s="106" t="n">
        <x:v>0</x:v>
      </x:c>
      <x:c r="G478" s="106" t="n">
        <x:v>1</x:v>
      </x:c>
      <x:c r="H478" s="119" t="n">
        <x:f>SUM(X478,AB478,AF478,AJ478,AN478,AR478,AV478)</x:f>
        <x:v>287</x:v>
      </x:c>
      <x:c r="I478" s="119" t="n">
        <x:f>SUM(Z478,AD478,AH478,AL478,AP478,AT478,AX478)</x:f>
        <x:v>3851999</x:v>
      </x:c>
      <x:c r="J478" s="119" t="n">
        <x:f>ROUND(INDEX(X478:AY478,1,(D478-1)*4+2)*'难度参数'!$E$28*'章节与怪物'!$E$17,0)</x:f>
        <x:v>102639</x:v>
      </x:c>
      <x:c r="K478" s="119" t="n">
        <x:f>SUM(AA478,AE478,AI478,AM478,AQ478,AU478,AY478)</x:f>
        <x:v>7290</x:v>
      </x:c>
      <x:c r="L478" s="62" t="n">
        <x:f>H478*(ROUNDUP('难度参数'!$E$24/('难度参数'!$E$26*'难度参数'!$E$27),0)*'难度参数'!$E$26)/60</x:f>
        <x:v>3.826666666666667</x:v>
      </x:c>
      <x:c r="M478" s="62" t="n">
        <x:f>L478+D478*('难度参数'!$E$49+'难度参数'!$E$50)/60</x:f>
        <x:v>4.993333333333334</x:v>
      </x:c>
      <x:c r="N478" s="119" t="n">
        <x:f>ROUNDDOWN(('经济参数'!$E$20+A478*'经济参数'!$E$21)*G478,0)</x:f>
        <x:v>9620</x:v>
      </x:c>
      <x:c r="O478" s="119" t="n">
        <x:f>ROUNDDOWN(MIN('经济参数'!$E$24,'经济参数'!$E$22+A478*'经济参数'!$E$23)*G478,0)</x:f>
        <x:v>0</x:v>
      </x:c>
      <x:c r="P478" s="119" t="n">
        <x:f>ROUNDDOWN((IF(A478&gt;='材料与任务'!$E$31,'材料与任务'!$E$32,IF(A478&gt;='材料与任务'!$E$25,'材料与任务'!$E$26,IF(A478&gt;='材料与任务'!$E$19,'材料与任务'!$E$20,IF(A478&gt;='材料与任务'!$E$13,'材料与任务'!$E$14,'材料与任务'!$E$8)))))*G478,0)</x:f>
        <x:v>6</x:v>
      </x:c>
      <x:c r="Q478" s="119" t="n">
        <x:f>ROUNDDOWN((IF(A478&gt;='材料与任务'!$E$31,'材料与任务'!$E$33,IF(A478&gt;='材料与任务'!$E$25,'材料与任务'!$E$27,IF(A478&gt;='材料与任务'!$E$19,'材料与任务'!$E$21,IF(A478&gt;='材料与任务'!$E$13,'材料与任务'!$E$15,'材料与任务'!$E$9)))))*G478,0)</x:f>
        <x:v>3</x:v>
      </x:c>
      <x:c r="R478" s="110" t="n">
        <x:f>'装备掉落'!$B$38</x:f>
        <x:v>0.6872058758851213</x:v>
      </x:c>
      <x:c r="S478" s="119" t="n">
        <x:f>MAX(IF(VLOOKUP(A478,'装备掉落'!$A$29:$H$34,2,TRUE)&gt;0,1,0),IF(VLOOKUP(A478,'装备掉落'!$A$29:$H$34,3,TRUE)&gt;0,2,0),IF(VLOOKUP(A478,'装备掉落'!$A$29:$H$34,4,TRUE)&gt;0,3,0),IF(VLOOKUP(A478,'装备掉落'!$A$29:$H$34,5,TRUE)&gt;0,4,0),IF(VLOOKUP(A478,'装备掉落'!$A$29:$H$34,6,TRUE)&gt;0,5,0),IF(VLOOKUP(A478,'装备掉落'!$A$29:$H$34,7,TRUE)&gt;0,6,0),IF(VLOOKUP(A478,'装备掉落'!$A$29:$H$34,8,TRUE)&gt;0,7,0))</x:f>
        <x:v>7</x:v>
      </x:c>
      <x:c r="T478" s="119" t="n">
        <x:f>MIN(7,S478+'经济参数'!$E$70)</x:f>
        <x:v>7</x:v>
      </x:c>
      <x:c r="U478" s="119" t="n">
        <x:f>MIN(7,S478+'经济参数'!$E$71)</x:f>
        <x:v>7</x:v>
      </x:c>
      <x:c r="V478" s="119" t="n">
        <x:f>IF(H478&gt;=('难度参数'!$E$52),1,0)+IF(H478&gt;=('难度参数'!$E$52+'难度参数'!$E$53),1,0)+IF(H478&gt;=('难度参数'!$E$52+'难度参数'!$E$53+'难度参数'!$E$54),1,0)+IF(H478&gt;=('难度参数'!$E$52+'难度参数'!$E$53+'难度参数'!$E$54+'难度参数'!$E$55),1,0)+IF(H478&gt;=('难度参数'!$E$52+'难度参数'!$E$53+'难度参数'!$E$54+'难度参数'!$E$55+'难度参数'!$E$56),1,0)+IF(H478&gt;=('难度参数'!$E$52+'难度参数'!$E$53+'难度参数'!$E$54+'难度参数'!$E$55+'难度参数'!$E$56+'难度参数'!$E$57),1,0)</x:f>
        <x:v>6</x:v>
      </x:c>
      <x:c r="W478" s="62" t="str">
        <x:f>IF(L478&gt;'难度参数'!$E$51,"仅出怪已超目标","还需实测")</x:f>
        <x:v>仅出怪已超目标</x:v>
      </x:c>
      <x:c r="X478" s="119" t="n">
        <x:f>IF(1&gt;D478,0,MAX(2,MIN('难度参数'!$E$12,ROUND(('难度参数'!$E$18*POWER(A478,'难度参数'!$E$19)/D478*(0.85+0.3*(1-1)/MAX(1,D478-1))),0)+F478)))</x:f>
        <x:v>35</x:v>
      </x:c>
      <x:c r="Y478" s="119" t="n">
        <x:f>IF(1&gt;D478,0,ROUND(('难度参数'!$E$13*POWER(A478,'难度参数'!$E$20)*MIN('难度参数'!$E$23,1+MAX(0,A478-'难度参数'!$E$21)*'难度参数'!$E$22))*(36+1*7)/(36+7*(D478+1)/2)*E478,0))</x:f>
        <x:v>7636</x:v>
      </x:c>
      <x:c r="Z478" s="119" t="n">
        <x:f>IF(X478=0,0,(X478-IF(1=D478,1,0))*ROUND(Y478*VLOOKUP(INDEX('章节与怪物'!$E$31:$K$37,B478,1),'章节与怪物'!$A$41:$F$44,2,FALSE),0)+IF(1=D478,ROUND(Y478*'难度参数'!$E$28*'章节与怪物'!$E$17,0),0))</x:f>
        <x:v>192430</x:v>
      </x:c>
      <x:c r="AA478" s="119" t="n">
        <x:f>IF(X478=0,0,(X478-IF(1=D478,1,0))*VLOOKUP(INDEX('章节与怪物'!$E$31:$K$37,B478,1),'章节与怪物'!$A$41:$F$44,4,FALSE)+IF(1=D478,'难度参数'!$E$30,0))</x:f>
        <x:v>700</x:v>
      </x:c>
      <x:c r="AB478" s="119" t="n">
        <x:f>IF(2&gt;D478,0,MAX(2,MIN('难度参数'!$E$12,ROUND(('难度参数'!$E$18*POWER(A478,'难度参数'!$E$19)/D478*(0.85+0.3*(2-1)/MAX(1,D478-1))),0)+F478)))</x:f>
        <x:v>37</x:v>
      </x:c>
      <x:c r="AC478" s="119" t="n">
        <x:f>IF(2&gt;D478,0,ROUND(('难度参数'!$E$13*POWER(A478,'难度参数'!$E$20)*MIN('难度参数'!$E$23,1+MAX(0,A478-'难度参数'!$E$21)*'难度参数'!$E$22))*(36+2*7)/(36+7*(D478+1)/2)*E478,0))</x:f>
        <x:v>8879</x:v>
      </x:c>
      <x:c r="AD478" s="119" t="n">
        <x:f>IF(AB478=0,0,(AB478-IF(2=D478,1,0))*ROUND(AC478*VLOOKUP(INDEX('章节与怪物'!$E$31:$K$37,B478,2),'章节与怪物'!$A$41:$F$44,2,FALSE),0)+IF(2=D478,ROUND(AC478*'难度参数'!$E$28*'章节与怪物'!$E$17,0),0))</x:f>
        <x:v>328523</x:v>
      </x:c>
      <x:c r="AE478" s="119" t="n">
        <x:f>IF(AB478=0,0,(AB478-IF(2=D478,1,0))*VLOOKUP(INDEX('章节与怪物'!$E$31:$K$37,B478,2),'章节与怪物'!$A$41:$F$44,4,FALSE)+IF(2=D478,'难度参数'!$E$30,0))</x:f>
        <x:v>666</x:v>
      </x:c>
      <x:c r="AF478" s="119" t="n">
        <x:f>IF(3&gt;D478,0,MAX(2,MIN('难度参数'!$E$12,ROUND(('难度参数'!$E$18*POWER(A478,'难度参数'!$E$19)/D478*(0.85+0.3*(3-1)/MAX(1,D478-1))),0)+F478)))</x:f>
        <x:v>39</x:v>
      </x:c>
      <x:c r="AG478" s="119" t="n">
        <x:f>IF(3&gt;D478,0,ROUND(('难度参数'!$E$13*POWER(A478,'难度参数'!$E$20)*MIN('难度参数'!$E$23,1+MAX(0,A478-'难度参数'!$E$21)*'难度参数'!$E$22))*(36+3*7)/(36+7*(D478+1)/2)*E478,0))</x:f>
        <x:v>10122</x:v>
      </x:c>
      <x:c r="AH478" s="119" t="n">
        <x:f>IF(AF478=0,0,(AF478-IF(3=D478,1,0))*ROUND(AG478*VLOOKUP(INDEX('章节与怪物'!$E$31:$K$37,B478,3),'章节与怪物'!$A$41:$F$44,2,FALSE),0)+IF(3=D478,ROUND(AG478*'难度参数'!$E$28*'章节与怪物'!$E$17,0),0))</x:f>
        <x:v>671073</x:v>
      </x:c>
      <x:c r="AI478" s="119" t="n">
        <x:f>IF(AF478=0,0,(AF478-IF(3=D478,1,0))*VLOOKUP(INDEX('章节与怪物'!$E$31:$K$37,B478,3),'章节与怪物'!$A$41:$F$44,4,FALSE)+IF(3=D478,'难度参数'!$E$30,0))</x:f>
        <x:v>1092</x:v>
      </x:c>
      <x:c r="AJ478" s="119" t="n">
        <x:f>IF(4&gt;D478,0,MAX(2,MIN('难度参数'!$E$12,ROUND(('难度参数'!$E$18*POWER(A478,'难度参数'!$E$19)/D478*(0.85+0.3*(4-1)/MAX(1,D478-1))),0)+F478)))</x:f>
        <x:v>41</x:v>
      </x:c>
      <x:c r="AK478" s="119" t="n">
        <x:f>IF(4&gt;D478,0,ROUND(('难度参数'!$E$13*POWER(A478,'难度参数'!$E$20)*MIN('难度参数'!$E$23,1+MAX(0,A478-'难度参数'!$E$21)*'难度参数'!$E$22))*(36+4*7)/(36+7*(D478+1)/2)*E478,0))</x:f>
        <x:v>11365</x:v>
      </x:c>
      <x:c r="AL478" s="119" t="n">
        <x:f>IF(AJ478=0,0,(AJ478-IF(4=D478,1,0))*ROUND(AK478*VLOOKUP(INDEX('章节与怪物'!$E$31:$K$37,B478,4),'章节与怪物'!$A$41:$F$44,2,FALSE),0)+IF(4=D478,ROUND(AK478*'难度参数'!$E$28*'章节与怪物'!$E$17,0),0))</x:f>
        <x:v>629063</x:v>
      </x:c>
      <x:c r="AM478" s="119" t="n">
        <x:f>IF(AJ478=0,0,(AJ478-IF(4=D478,1,0))*VLOOKUP(INDEX('章节与怪物'!$E$31:$K$37,B478,4),'章节与怪物'!$A$41:$F$44,4,FALSE)+IF(4=D478,'难度参数'!$E$30,0))</x:f>
        <x:v>1394</x:v>
      </x:c>
      <x:c r="AN478" s="119" t="n">
        <x:f>IF(5&gt;D478,0,MAX(2,MIN('难度参数'!$E$12,ROUND(('难度参数'!$E$18*POWER(A478,'难度参数'!$E$19)/D478*(0.85+0.3*(5-1)/MAX(1,D478-1))),0)+F478)))</x:f>
        <x:v>43</x:v>
      </x:c>
      <x:c r="AO478" s="119" t="n">
        <x:f>IF(5&gt;D478,0,ROUND(('难度参数'!$E$13*POWER(A478,'难度参数'!$E$20)*MIN('难度参数'!$E$23,1+MAX(0,A478-'难度参数'!$E$21)*'难度参数'!$E$22))*(36+5*7)/(36+7*(D478+1)/2)*E478,0))</x:f>
        <x:v>12608</x:v>
      </x:c>
      <x:c r="AP478" s="119" t="n">
        <x:f>IF(AN478=0,0,(AN478-IF(5=D478,1,0))*ROUND(AO478*VLOOKUP(INDEX('章节与怪物'!$E$31:$K$37,B478,5),'章节与怪物'!$A$41:$F$44,2,FALSE),0)+IF(5=D478,ROUND(AO478*'难度参数'!$E$28*'章节与怪物'!$E$17,0),0))</x:f>
        <x:v>542144</x:v>
      </x:c>
      <x:c r="AQ478" s="119" t="n">
        <x:f>IF(AN478=0,0,(AN478-IF(5=D478,1,0))*VLOOKUP(INDEX('章节与怪物'!$E$31:$K$37,B478,5),'章节与怪物'!$A$41:$F$44,4,FALSE)+IF(5=D478,'难度参数'!$E$30,0))</x:f>
        <x:v>774</x:v>
      </x:c>
      <x:c r="AR478" s="119" t="n">
        <x:f>IF(6&gt;D478,0,MAX(2,MIN('难度参数'!$E$12,ROUND(('难度参数'!$E$18*POWER(A478,'难度参数'!$E$19)/D478*(0.85+0.3*(6-1)/MAX(1,D478-1))),0)+F478)))</x:f>
        <x:v>45</x:v>
      </x:c>
      <x:c r="AS478" s="119" t="n">
        <x:f>IF(6&gt;D478,0,ROUND(('难度参数'!$E$13*POWER(A478,'难度参数'!$E$20)*MIN('难度参数'!$E$23,1+MAX(0,A478-'难度参数'!$E$21)*'难度参数'!$E$22))*(36+6*7)/(36+7*(D478+1)/2)*E478,0))</x:f>
        <x:v>13851</x:v>
      </x:c>
      <x:c r="AT478" s="119" t="n">
        <x:f>IF(AR478=0,0,(AR478-IF(6=D478,1,0))*ROUND(AS478*VLOOKUP(INDEX('章节与怪物'!$E$31:$K$37,B478,6),'章节与怪物'!$A$41:$F$44,2,FALSE),0)+IF(6=D478,ROUND(AS478*'难度参数'!$E$28*'章节与怪物'!$E$17,0),0))</x:f>
        <x:v>448785</x:v>
      </x:c>
      <x:c r="AU478" s="119" t="n">
        <x:f>IF(AR478=0,0,(AR478-IF(6=D478,1,0))*VLOOKUP(INDEX('章节与怪物'!$E$31:$K$37,B478,6),'章节与怪物'!$A$41:$F$44,4,FALSE)+IF(6=D478,'难度参数'!$E$30,0))</x:f>
        <x:v>900</x:v>
      </x:c>
      <x:c r="AV478" s="119" t="n">
        <x:f>IF(7&gt;D478,0,MAX(2,MIN('难度参数'!$E$12,ROUND(('难度参数'!$E$18*POWER(A478,'难度参数'!$E$19)/D478*(0.85+0.3*(7-1)/MAX(1,D478-1))),0)+F478)))</x:f>
        <x:v>47</x:v>
      </x:c>
      <x:c r="AW478" s="119" t="n">
        <x:f>IF(7&gt;D478,0,ROUND(('难度参数'!$E$13*POWER(A478,'难度参数'!$E$20)*MIN('难度参数'!$E$23,1+MAX(0,A478-'难度参数'!$E$21)*'难度参数'!$E$22))*(36+7*7)/(36+7*(D478+1)/2)*E478,0))</x:f>
        <x:v>15094</x:v>
      </x:c>
      <x:c r="AX478" s="119" t="n">
        <x:f>IF(AV478=0,0,(AV478-IF(7=D478,1,0))*ROUND(AW478*VLOOKUP(INDEX('章节与怪物'!$E$31:$K$37,B478,7),'章节与怪物'!$A$41:$F$44,2,FALSE),0)+IF(7=D478,ROUND(AW478*'难度参数'!$E$28*'章节与怪物'!$E$17,0),0))</x:f>
        <x:v>1039981</x:v>
      </x:c>
      <x:c r="AY478" s="119" t="n">
        <x:f>IF(AV478=0,0,(AV478-IF(7=D478,1,0))*VLOOKUP(INDEX('章节与怪物'!$E$31:$K$37,B478,7),'章节与怪物'!$A$41:$F$44,4,FALSE)+IF(7=D478,'难度参数'!$E$30,0))</x:f>
        <x:v>1764</x:v>
      </x:c>
    </x:row>
    <x:row r="479" ht="23" customHeight="1">
      <x:c r="A479" s="119" t="n">
        <x:v>473</x:v>
      </x:c>
      <x:c r="B479" s="119" t="n">
        <x:f>MOD(INT((A479-1)/5),7)+1</x:f>
        <x:v>4</x:v>
      </x:c>
      <x:c r="C479" s="62" t="str">
        <x:f>INDEX('章节与怪物'!$B$31:$B$37,B479)</x:f>
        <x:v>翠野边城</x:v>
      </x:c>
      <x:c r="D479" s="119" t="n">
        <x:f>MIN('难度参数'!$E$8,MAX('难度参数'!$E$7,A479))</x:f>
        <x:v>7</x:v>
      </x:c>
      <x:c r="E479" s="106" t="n">
        <x:v>1</x:v>
      </x:c>
      <x:c r="F479" s="106" t="n">
        <x:v>0</x:v>
      </x:c>
      <x:c r="G479" s="106" t="n">
        <x:v>1</x:v>
      </x:c>
      <x:c r="H479" s="119" t="n">
        <x:f>SUM(X479,AB479,AF479,AJ479,AN479,AR479,AV479)</x:f>
        <x:v>287</x:v>
      </x:c>
      <x:c r="I479" s="119" t="n">
        <x:f>SUM(Z479,AD479,AH479,AL479,AP479,AT479,AX479)</x:f>
        <x:v>3857827</x:v>
      </x:c>
      <x:c r="J479" s="119" t="n">
        <x:f>ROUND(INDEX(X479:AY479,1,(D479-1)*4+2)*'难度参数'!$E$28*'章节与怪物'!$E$17,0)</x:f>
        <x:v>102796</x:v>
      </x:c>
      <x:c r="K479" s="119" t="n">
        <x:f>SUM(AA479,AE479,AI479,AM479,AQ479,AU479,AY479)</x:f>
        <x:v>7290</x:v>
      </x:c>
      <x:c r="L479" s="62" t="n">
        <x:f>H479*(ROUNDUP('难度参数'!$E$24/('难度参数'!$E$26*'难度参数'!$E$27),0)*'难度参数'!$E$26)/60</x:f>
        <x:v>3.826666666666667</x:v>
      </x:c>
      <x:c r="M479" s="62" t="n">
        <x:f>L479+D479*('难度参数'!$E$49+'难度参数'!$E$50)/60</x:f>
        <x:v>4.993333333333334</x:v>
      </x:c>
      <x:c r="N479" s="119" t="n">
        <x:f>ROUNDDOWN(('经济参数'!$E$20+A479*'经济参数'!$E$21)*G479,0)</x:f>
        <x:v>9640</x:v>
      </x:c>
      <x:c r="O479" s="119" t="n">
        <x:f>ROUNDDOWN(MIN('经济参数'!$E$24,'经济参数'!$E$22+A479*'经济参数'!$E$23)*G479,0)</x:f>
        <x:v>0</x:v>
      </x:c>
      <x:c r="P479" s="119" t="n">
        <x:f>ROUNDDOWN((IF(A479&gt;='材料与任务'!$E$31,'材料与任务'!$E$32,IF(A479&gt;='材料与任务'!$E$25,'材料与任务'!$E$26,IF(A479&gt;='材料与任务'!$E$19,'材料与任务'!$E$20,IF(A479&gt;='材料与任务'!$E$13,'材料与任务'!$E$14,'材料与任务'!$E$8)))))*G479,0)</x:f>
        <x:v>6</x:v>
      </x:c>
      <x:c r="Q479" s="119" t="n">
        <x:f>ROUNDDOWN((IF(A479&gt;='材料与任务'!$E$31,'材料与任务'!$E$33,IF(A479&gt;='材料与任务'!$E$25,'材料与任务'!$E$27,IF(A479&gt;='材料与任务'!$E$19,'材料与任务'!$E$21,IF(A479&gt;='材料与任务'!$E$13,'材料与任务'!$E$15,'材料与任务'!$E$9)))))*G479,0)</x:f>
        <x:v>3</x:v>
      </x:c>
      <x:c r="R479" s="110" t="n">
        <x:f>'装备掉落'!$B$38</x:f>
        <x:v>0.6872058758851213</x:v>
      </x:c>
      <x:c r="S479" s="119" t="n">
        <x:f>MAX(IF(VLOOKUP(A479,'装备掉落'!$A$29:$H$34,2,TRUE)&gt;0,1,0),IF(VLOOKUP(A479,'装备掉落'!$A$29:$H$34,3,TRUE)&gt;0,2,0),IF(VLOOKUP(A479,'装备掉落'!$A$29:$H$34,4,TRUE)&gt;0,3,0),IF(VLOOKUP(A479,'装备掉落'!$A$29:$H$34,5,TRUE)&gt;0,4,0),IF(VLOOKUP(A479,'装备掉落'!$A$29:$H$34,6,TRUE)&gt;0,5,0),IF(VLOOKUP(A479,'装备掉落'!$A$29:$H$34,7,TRUE)&gt;0,6,0),IF(VLOOKUP(A479,'装备掉落'!$A$29:$H$34,8,TRUE)&gt;0,7,0))</x:f>
        <x:v>7</x:v>
      </x:c>
      <x:c r="T479" s="119" t="n">
        <x:f>MIN(7,S479+'经济参数'!$E$70)</x:f>
        <x:v>7</x:v>
      </x:c>
      <x:c r="U479" s="119" t="n">
        <x:f>MIN(7,S479+'经济参数'!$E$71)</x:f>
        <x:v>7</x:v>
      </x:c>
      <x:c r="V479" s="119" t="n">
        <x:f>IF(H479&gt;=('难度参数'!$E$52),1,0)+IF(H479&gt;=('难度参数'!$E$52+'难度参数'!$E$53),1,0)+IF(H479&gt;=('难度参数'!$E$52+'难度参数'!$E$53+'难度参数'!$E$54),1,0)+IF(H479&gt;=('难度参数'!$E$52+'难度参数'!$E$53+'难度参数'!$E$54+'难度参数'!$E$55),1,0)+IF(H479&gt;=('难度参数'!$E$52+'难度参数'!$E$53+'难度参数'!$E$54+'难度参数'!$E$55+'难度参数'!$E$56),1,0)+IF(H479&gt;=('难度参数'!$E$52+'难度参数'!$E$53+'难度参数'!$E$54+'难度参数'!$E$55+'难度参数'!$E$56+'难度参数'!$E$57),1,0)</x:f>
        <x:v>6</x:v>
      </x:c>
      <x:c r="W479" s="62" t="str">
        <x:f>IF(L479&gt;'难度参数'!$E$51,"仅出怪已超目标","还需实测")</x:f>
        <x:v>仅出怪已超目标</x:v>
      </x:c>
      <x:c r="X479" s="119" t="n">
        <x:f>IF(1&gt;D479,0,MAX(2,MIN('难度参数'!$E$12,ROUND(('难度参数'!$E$18*POWER(A479,'难度参数'!$E$19)/D479*(0.85+0.3*(1-1)/MAX(1,D479-1))),0)+F479)))</x:f>
        <x:v>35</x:v>
      </x:c>
      <x:c r="Y479" s="119" t="n">
        <x:f>IF(1&gt;D479,0,ROUND(('难度参数'!$E$13*POWER(A479,'难度参数'!$E$20)*MIN('难度参数'!$E$23,1+MAX(0,A479-'难度参数'!$E$21)*'难度参数'!$E$22))*(36+1*7)/(36+7*(D479+1)/2)*E479,0))</x:f>
        <x:v>7648</x:v>
      </x:c>
      <x:c r="Z479" s="119" t="n">
        <x:f>IF(X479=0,0,(X479-IF(1=D479,1,0))*ROUND(Y479*VLOOKUP(INDEX('章节与怪物'!$E$31:$K$37,B479,1),'章节与怪物'!$A$41:$F$44,2,FALSE),0)+IF(1=D479,ROUND(Y479*'难度参数'!$E$28*'章节与怪物'!$E$17,0),0))</x:f>
        <x:v>192745</x:v>
      </x:c>
      <x:c r="AA479" s="119" t="n">
        <x:f>IF(X479=0,0,(X479-IF(1=D479,1,0))*VLOOKUP(INDEX('章节与怪物'!$E$31:$K$37,B479,1),'章节与怪物'!$A$41:$F$44,4,FALSE)+IF(1=D479,'难度参数'!$E$30,0))</x:f>
        <x:v>700</x:v>
      </x:c>
      <x:c r="AB479" s="119" t="n">
        <x:f>IF(2&gt;D479,0,MAX(2,MIN('难度参数'!$E$12,ROUND(('难度参数'!$E$18*POWER(A479,'难度参数'!$E$19)/D479*(0.85+0.3*(2-1)/MAX(1,D479-1))),0)+F479)))</x:f>
        <x:v>37</x:v>
      </x:c>
      <x:c r="AC479" s="119" t="n">
        <x:f>IF(2&gt;D479,0,ROUND(('难度参数'!$E$13*POWER(A479,'难度参数'!$E$20)*MIN('难度参数'!$E$23,1+MAX(0,A479-'难度参数'!$E$21)*'难度参数'!$E$22))*(36+2*7)/(36+7*(D479+1)/2)*E479,0))</x:f>
        <x:v>8892</x:v>
      </x:c>
      <x:c r="AD479" s="119" t="n">
        <x:f>IF(AB479=0,0,(AB479-IF(2=D479,1,0))*ROUND(AC479*VLOOKUP(INDEX('章节与怪物'!$E$31:$K$37,B479,2),'章节与怪物'!$A$41:$F$44,2,FALSE),0)+IF(2=D479,ROUND(AC479*'难度参数'!$E$28*'章节与怪物'!$E$17,0),0))</x:f>
        <x:v>329004</x:v>
      </x:c>
      <x:c r="AE479" s="119" t="n">
        <x:f>IF(AB479=0,0,(AB479-IF(2=D479,1,0))*VLOOKUP(INDEX('章节与怪物'!$E$31:$K$37,B479,2),'章节与怪物'!$A$41:$F$44,4,FALSE)+IF(2=D479,'难度参数'!$E$30,0))</x:f>
        <x:v>666</x:v>
      </x:c>
      <x:c r="AF479" s="119" t="n">
        <x:f>IF(3&gt;D479,0,MAX(2,MIN('难度参数'!$E$12,ROUND(('难度参数'!$E$18*POWER(A479,'难度参数'!$E$19)/D479*(0.85+0.3*(3-1)/MAX(1,D479-1))),0)+F479)))</x:f>
        <x:v>39</x:v>
      </x:c>
      <x:c r="AG479" s="119" t="n">
        <x:f>IF(3&gt;D479,0,ROUND(('难度参数'!$E$13*POWER(A479,'难度参数'!$E$20)*MIN('难度参数'!$E$23,1+MAX(0,A479-'难度参数'!$E$21)*'难度参数'!$E$22))*(36+3*7)/(36+7*(D479+1)/2)*E479,0))</x:f>
        <x:v>10137</x:v>
      </x:c>
      <x:c r="AH479" s="119" t="n">
        <x:f>IF(AF479=0,0,(AF479-IF(3=D479,1,0))*ROUND(AG479*VLOOKUP(INDEX('章节与怪物'!$E$31:$K$37,B479,3),'章节与怪物'!$A$41:$F$44,2,FALSE),0)+IF(3=D479,ROUND(AG479*'难度参数'!$E$28*'章节与怪物'!$E$17,0),0))</x:f>
        <x:v>672087</x:v>
      </x:c>
      <x:c r="AI479" s="119" t="n">
        <x:f>IF(AF479=0,0,(AF479-IF(3=D479,1,0))*VLOOKUP(INDEX('章节与怪物'!$E$31:$K$37,B479,3),'章节与怪物'!$A$41:$F$44,4,FALSE)+IF(3=D479,'难度参数'!$E$30,0))</x:f>
        <x:v>1092</x:v>
      </x:c>
      <x:c r="AJ479" s="119" t="n">
        <x:f>IF(4&gt;D479,0,MAX(2,MIN('难度参数'!$E$12,ROUND(('难度参数'!$E$18*POWER(A479,'难度参数'!$E$19)/D479*(0.85+0.3*(4-1)/MAX(1,D479-1))),0)+F479)))</x:f>
        <x:v>41</x:v>
      </x:c>
      <x:c r="AK479" s="119" t="n">
        <x:f>IF(4&gt;D479,0,ROUND(('难度参数'!$E$13*POWER(A479,'难度参数'!$E$20)*MIN('难度参数'!$E$23,1+MAX(0,A479-'难度参数'!$E$21)*'难度参数'!$E$22))*(36+4*7)/(36+7*(D479+1)/2)*E479,0))</x:f>
        <x:v>11382</x:v>
      </x:c>
      <x:c r="AL479" s="119" t="n">
        <x:f>IF(AJ479=0,0,(AJ479-IF(4=D479,1,0))*ROUND(AK479*VLOOKUP(INDEX('章节与怪物'!$E$31:$K$37,B479,4),'章节与怪物'!$A$41:$F$44,2,FALSE),0)+IF(4=D479,ROUND(AK479*'难度参数'!$E$28*'章节与怪物'!$E$17,0),0))</x:f>
        <x:v>630006</x:v>
      </x:c>
      <x:c r="AM479" s="119" t="n">
        <x:f>IF(AJ479=0,0,(AJ479-IF(4=D479,1,0))*VLOOKUP(INDEX('章节与怪物'!$E$31:$K$37,B479,4),'章节与怪物'!$A$41:$F$44,4,FALSE)+IF(4=D479,'难度参数'!$E$30,0))</x:f>
        <x:v>1394</x:v>
      </x:c>
      <x:c r="AN479" s="119" t="n">
        <x:f>IF(5&gt;D479,0,MAX(2,MIN('难度参数'!$E$12,ROUND(('难度参数'!$E$18*POWER(A479,'难度参数'!$E$19)/D479*(0.85+0.3*(5-1)/MAX(1,D479-1))),0)+F479)))</x:f>
        <x:v>43</x:v>
      </x:c>
      <x:c r="AO479" s="119" t="n">
        <x:f>IF(5&gt;D479,0,ROUND(('难度参数'!$E$13*POWER(A479,'难度参数'!$E$20)*MIN('难度参数'!$E$23,1+MAX(0,A479-'难度参数'!$E$21)*'难度参数'!$E$22))*(36+5*7)/(36+7*(D479+1)/2)*E479,0))</x:f>
        <x:v>12627</x:v>
      </x:c>
      <x:c r="AP479" s="119" t="n">
        <x:f>IF(AN479=0,0,(AN479-IF(5=D479,1,0))*ROUND(AO479*VLOOKUP(INDEX('章节与怪物'!$E$31:$K$37,B479,5),'章节与怪物'!$A$41:$F$44,2,FALSE),0)+IF(5=D479,ROUND(AO479*'难度参数'!$E$28*'章节与怪物'!$E$17,0),0))</x:f>
        <x:v>542961</x:v>
      </x:c>
      <x:c r="AQ479" s="119" t="n">
        <x:f>IF(AN479=0,0,(AN479-IF(5=D479,1,0))*VLOOKUP(INDEX('章节与怪物'!$E$31:$K$37,B479,5),'章节与怪物'!$A$41:$F$44,4,FALSE)+IF(5=D479,'难度参数'!$E$30,0))</x:f>
        <x:v>774</x:v>
      </x:c>
      <x:c r="AR479" s="119" t="n">
        <x:f>IF(6&gt;D479,0,MAX(2,MIN('难度参数'!$E$12,ROUND(('难度参数'!$E$18*POWER(A479,'难度参数'!$E$19)/D479*(0.85+0.3*(6-1)/MAX(1,D479-1))),0)+F479)))</x:f>
        <x:v>45</x:v>
      </x:c>
      <x:c r="AS479" s="119" t="n">
        <x:f>IF(6&gt;D479,0,ROUND(('难度参数'!$E$13*POWER(A479,'难度参数'!$E$20)*MIN('难度参数'!$E$23,1+MAX(0,A479-'难度参数'!$E$21)*'难度参数'!$E$22))*(36+6*7)/(36+7*(D479+1)/2)*E479,0))</x:f>
        <x:v>13872</x:v>
      </x:c>
      <x:c r="AT479" s="119" t="n">
        <x:f>IF(AR479=0,0,(AR479-IF(6=D479,1,0))*ROUND(AS479*VLOOKUP(INDEX('章节与怪物'!$E$31:$K$37,B479,6),'章节与怪物'!$A$41:$F$44,2,FALSE),0)+IF(6=D479,ROUND(AS479*'难度参数'!$E$28*'章节与怪物'!$E$17,0),0))</x:f>
        <x:v>449460</x:v>
      </x:c>
      <x:c r="AU479" s="119" t="n">
        <x:f>IF(AR479=0,0,(AR479-IF(6=D479,1,0))*VLOOKUP(INDEX('章节与怪物'!$E$31:$K$37,B479,6),'章节与怪物'!$A$41:$F$44,4,FALSE)+IF(6=D479,'难度参数'!$E$30,0))</x:f>
        <x:v>900</x:v>
      </x:c>
      <x:c r="AV479" s="119" t="n">
        <x:f>IF(7&gt;D479,0,MAX(2,MIN('难度参数'!$E$12,ROUND(('难度参数'!$E$18*POWER(A479,'难度参数'!$E$19)/D479*(0.85+0.3*(7-1)/MAX(1,D479-1))),0)+F479)))</x:f>
        <x:v>47</x:v>
      </x:c>
      <x:c r="AW479" s="119" t="n">
        <x:f>IF(7&gt;D479,0,ROUND(('难度参数'!$E$13*POWER(A479,'难度参数'!$E$20)*MIN('难度参数'!$E$23,1+MAX(0,A479-'难度参数'!$E$21)*'难度参数'!$E$22))*(36+7*7)/(36+7*(D479+1)/2)*E479,0))</x:f>
        <x:v>15117</x:v>
      </x:c>
      <x:c r="AX479" s="119" t="n">
        <x:f>IF(AV479=0,0,(AV479-IF(7=D479,1,0))*ROUND(AW479*VLOOKUP(INDEX('章节与怪物'!$E$31:$K$37,B479,7),'章节与怪物'!$A$41:$F$44,2,FALSE),0)+IF(7=D479,ROUND(AW479*'难度参数'!$E$28*'章节与怪物'!$E$17,0),0))</x:f>
        <x:v>1041564</x:v>
      </x:c>
      <x:c r="AY479" s="119" t="n">
        <x:f>IF(AV479=0,0,(AV479-IF(7=D479,1,0))*VLOOKUP(INDEX('章节与怪物'!$E$31:$K$37,B479,7),'章节与怪物'!$A$41:$F$44,4,FALSE)+IF(7=D479,'难度参数'!$E$30,0))</x:f>
        <x:v>1764</x:v>
      </x:c>
    </x:row>
    <x:row r="480" ht="23" customHeight="1">
      <x:c r="A480" s="119" t="n">
        <x:v>474</x:v>
      </x:c>
      <x:c r="B480" s="119" t="n">
        <x:f>MOD(INT((A480-1)/5),7)+1</x:f>
        <x:v>4</x:v>
      </x:c>
      <x:c r="C480" s="62" t="str">
        <x:f>INDEX('章节与怪物'!$B$31:$B$37,B480)</x:f>
        <x:v>翠野边城</x:v>
      </x:c>
      <x:c r="D480" s="119" t="n">
        <x:f>MIN('难度参数'!$E$8,MAX('难度参数'!$E$7,A480))</x:f>
        <x:v>7</x:v>
      </x:c>
      <x:c r="E480" s="106" t="n">
        <x:v>1</x:v>
      </x:c>
      <x:c r="F480" s="106" t="n">
        <x:v>0</x:v>
      </x:c>
      <x:c r="G480" s="106" t="n">
        <x:v>1</x:v>
      </x:c>
      <x:c r="H480" s="119" t="n">
        <x:f>SUM(X480,AB480,AF480,AJ480,AN480,AR480,AV480)</x:f>
        <x:v>287</x:v>
      </x:c>
      <x:c r="I480" s="119" t="n">
        <x:f>SUM(Z480,AD480,AH480,AL480,AP480,AT480,AX480)</x:f>
        <x:v>3863744</x:v>
      </x:c>
      <x:c r="J480" s="119" t="n">
        <x:f>ROUND(INDEX(X480:AY480,1,(D480-1)*4+2)*'难度参数'!$E$28*'章节与怪物'!$E$17,0)</x:f>
        <x:v>102952</x:v>
      </x:c>
      <x:c r="K480" s="119" t="n">
        <x:f>SUM(AA480,AE480,AI480,AM480,AQ480,AU480,AY480)</x:f>
        <x:v>7290</x:v>
      </x:c>
      <x:c r="L480" s="62" t="n">
        <x:f>H480*(ROUNDUP('难度参数'!$E$24/('难度参数'!$E$26*'难度参数'!$E$27),0)*'难度参数'!$E$26)/60</x:f>
        <x:v>3.826666666666667</x:v>
      </x:c>
      <x:c r="M480" s="62" t="n">
        <x:f>L480+D480*('难度参数'!$E$49+'难度参数'!$E$50)/60</x:f>
        <x:v>4.993333333333334</x:v>
      </x:c>
      <x:c r="N480" s="119" t="n">
        <x:f>ROUNDDOWN(('经济参数'!$E$20+A480*'经济参数'!$E$21)*G480,0)</x:f>
        <x:v>9660</x:v>
      </x:c>
      <x:c r="O480" s="119" t="n">
        <x:f>ROUNDDOWN(MIN('经济参数'!$E$24,'经济参数'!$E$22+A480*'经济参数'!$E$23)*G480,0)</x:f>
        <x:v>0</x:v>
      </x:c>
      <x:c r="P480" s="119" t="n">
        <x:f>ROUNDDOWN((IF(A480&gt;='材料与任务'!$E$31,'材料与任务'!$E$32,IF(A480&gt;='材料与任务'!$E$25,'材料与任务'!$E$26,IF(A480&gt;='材料与任务'!$E$19,'材料与任务'!$E$20,IF(A480&gt;='材料与任务'!$E$13,'材料与任务'!$E$14,'材料与任务'!$E$8)))))*G480,0)</x:f>
        <x:v>6</x:v>
      </x:c>
      <x:c r="Q480" s="119" t="n">
        <x:f>ROUNDDOWN((IF(A480&gt;='材料与任务'!$E$31,'材料与任务'!$E$33,IF(A480&gt;='材料与任务'!$E$25,'材料与任务'!$E$27,IF(A480&gt;='材料与任务'!$E$19,'材料与任务'!$E$21,IF(A480&gt;='材料与任务'!$E$13,'材料与任务'!$E$15,'材料与任务'!$E$9)))))*G480,0)</x:f>
        <x:v>3</x:v>
      </x:c>
      <x:c r="R480" s="110" t="n">
        <x:f>'装备掉落'!$B$38</x:f>
        <x:v>0.6872058758851213</x:v>
      </x:c>
      <x:c r="S480" s="119" t="n">
        <x:f>MAX(IF(VLOOKUP(A480,'装备掉落'!$A$29:$H$34,2,TRUE)&gt;0,1,0),IF(VLOOKUP(A480,'装备掉落'!$A$29:$H$34,3,TRUE)&gt;0,2,0),IF(VLOOKUP(A480,'装备掉落'!$A$29:$H$34,4,TRUE)&gt;0,3,0),IF(VLOOKUP(A480,'装备掉落'!$A$29:$H$34,5,TRUE)&gt;0,4,0),IF(VLOOKUP(A480,'装备掉落'!$A$29:$H$34,6,TRUE)&gt;0,5,0),IF(VLOOKUP(A480,'装备掉落'!$A$29:$H$34,7,TRUE)&gt;0,6,0),IF(VLOOKUP(A480,'装备掉落'!$A$29:$H$34,8,TRUE)&gt;0,7,0))</x:f>
        <x:v>7</x:v>
      </x:c>
      <x:c r="T480" s="119" t="n">
        <x:f>MIN(7,S480+'经济参数'!$E$70)</x:f>
        <x:v>7</x:v>
      </x:c>
      <x:c r="U480" s="119" t="n">
        <x:f>MIN(7,S480+'经济参数'!$E$71)</x:f>
        <x:v>7</x:v>
      </x:c>
      <x:c r="V480" s="119" t="n">
        <x:f>IF(H480&gt;=('难度参数'!$E$52),1,0)+IF(H480&gt;=('难度参数'!$E$52+'难度参数'!$E$53),1,0)+IF(H480&gt;=('难度参数'!$E$52+'难度参数'!$E$53+'难度参数'!$E$54),1,0)+IF(H480&gt;=('难度参数'!$E$52+'难度参数'!$E$53+'难度参数'!$E$54+'难度参数'!$E$55),1,0)+IF(H480&gt;=('难度参数'!$E$52+'难度参数'!$E$53+'难度参数'!$E$54+'难度参数'!$E$55+'难度参数'!$E$56),1,0)+IF(H480&gt;=('难度参数'!$E$52+'难度参数'!$E$53+'难度参数'!$E$54+'难度参数'!$E$55+'难度参数'!$E$56+'难度参数'!$E$57),1,0)</x:f>
        <x:v>6</x:v>
      </x:c>
      <x:c r="W480" s="62" t="str">
        <x:f>IF(L480&gt;'难度参数'!$E$51,"仅出怪已超目标","还需实测")</x:f>
        <x:v>仅出怪已超目标</x:v>
      </x:c>
      <x:c r="X480" s="119" t="n">
        <x:f>IF(1&gt;D480,0,MAX(2,MIN('难度参数'!$E$12,ROUND(('难度参数'!$E$18*POWER(A480,'难度参数'!$E$19)/D480*(0.85+0.3*(1-1)/MAX(1,D480-1))),0)+F480)))</x:f>
        <x:v>35</x:v>
      </x:c>
      <x:c r="Y480" s="119" t="n">
        <x:f>IF(1&gt;D480,0,ROUND(('难度参数'!$E$13*POWER(A480,'难度参数'!$E$20)*MIN('难度参数'!$E$23,1+MAX(0,A480-'难度参数'!$E$21)*'难度参数'!$E$22))*(36+1*7)/(36+7*(D480+1)/2)*E480,0))</x:f>
        <x:v>7659</x:v>
      </x:c>
      <x:c r="Z480" s="119" t="n">
        <x:f>IF(X480=0,0,(X480-IF(1=D480,1,0))*ROUND(Y480*VLOOKUP(INDEX('章节与怪物'!$E$31:$K$37,B480,1),'章节与怪物'!$A$41:$F$44,2,FALSE),0)+IF(1=D480,ROUND(Y480*'难度参数'!$E$28*'章节与怪物'!$E$17,0),0))</x:f>
        <x:v>192990</x:v>
      </x:c>
      <x:c r="AA480" s="119" t="n">
        <x:f>IF(X480=0,0,(X480-IF(1=D480,1,0))*VLOOKUP(INDEX('章节与怪物'!$E$31:$K$37,B480,1),'章节与怪物'!$A$41:$F$44,4,FALSE)+IF(1=D480,'难度参数'!$E$30,0))</x:f>
        <x:v>700</x:v>
      </x:c>
      <x:c r="AB480" s="119" t="n">
        <x:f>IF(2&gt;D480,0,MAX(2,MIN('难度参数'!$E$12,ROUND(('难度参数'!$E$18*POWER(A480,'难度参数'!$E$19)/D480*(0.85+0.3*(2-1)/MAX(1,D480-1))),0)+F480)))</x:f>
        <x:v>37</x:v>
      </x:c>
      <x:c r="AC480" s="119" t="n">
        <x:f>IF(2&gt;D480,0,ROUND(('难度参数'!$E$13*POWER(A480,'难度参数'!$E$20)*MIN('难度参数'!$E$23,1+MAX(0,A480-'难度参数'!$E$21)*'难度参数'!$E$22))*(36+2*7)/(36+7*(D480+1)/2)*E480,0))</x:f>
        <x:v>8906</x:v>
      </x:c>
      <x:c r="AD480" s="119" t="n">
        <x:f>IF(AB480=0,0,(AB480-IF(2=D480,1,0))*ROUND(AC480*VLOOKUP(INDEX('章节与怪物'!$E$31:$K$37,B480,2),'章节与怪物'!$A$41:$F$44,2,FALSE),0)+IF(2=D480,ROUND(AC480*'难度参数'!$E$28*'章节与怪物'!$E$17,0),0))</x:f>
        <x:v>329522</x:v>
      </x:c>
      <x:c r="AE480" s="119" t="n">
        <x:f>IF(AB480=0,0,(AB480-IF(2=D480,1,0))*VLOOKUP(INDEX('章节与怪物'!$E$31:$K$37,B480,2),'章节与怪物'!$A$41:$F$44,4,FALSE)+IF(2=D480,'难度参数'!$E$30,0))</x:f>
        <x:v>666</x:v>
      </x:c>
      <x:c r="AF480" s="119" t="n">
        <x:f>IF(3&gt;D480,0,MAX(2,MIN('难度参数'!$E$12,ROUND(('难度参数'!$E$18*POWER(A480,'难度参数'!$E$19)/D480*(0.85+0.3*(3-1)/MAX(1,D480-1))),0)+F480)))</x:f>
        <x:v>39</x:v>
      </x:c>
      <x:c r="AG480" s="119" t="n">
        <x:f>IF(3&gt;D480,0,ROUND(('难度参数'!$E$13*POWER(A480,'难度参数'!$E$20)*MIN('难度参数'!$E$23,1+MAX(0,A480-'难度参数'!$E$21)*'难度参数'!$E$22))*(36+3*7)/(36+7*(D480+1)/2)*E480,0))</x:f>
        <x:v>10153</x:v>
      </x:c>
      <x:c r="AH480" s="119" t="n">
        <x:f>IF(AF480=0,0,(AF480-IF(3=D480,1,0))*ROUND(AG480*VLOOKUP(INDEX('章节与怪物'!$E$31:$K$37,B480,3),'章节与怪物'!$A$41:$F$44,2,FALSE),0)+IF(3=D480,ROUND(AG480*'难度参数'!$E$28*'章节与怪物'!$E$17,0),0))</x:f>
        <x:v>673140</x:v>
      </x:c>
      <x:c r="AI480" s="119" t="n">
        <x:f>IF(AF480=0,0,(AF480-IF(3=D480,1,0))*VLOOKUP(INDEX('章节与怪物'!$E$31:$K$37,B480,3),'章节与怪物'!$A$41:$F$44,4,FALSE)+IF(3=D480,'难度参数'!$E$30,0))</x:f>
        <x:v>1092</x:v>
      </x:c>
      <x:c r="AJ480" s="119" t="n">
        <x:f>IF(4&gt;D480,0,MAX(2,MIN('难度参数'!$E$12,ROUND(('难度参数'!$E$18*POWER(A480,'难度参数'!$E$19)/D480*(0.85+0.3*(4-1)/MAX(1,D480-1))),0)+F480)))</x:f>
        <x:v>41</x:v>
      </x:c>
      <x:c r="AK480" s="119" t="n">
        <x:f>IF(4&gt;D480,0,ROUND(('难度参数'!$E$13*POWER(A480,'难度参数'!$E$20)*MIN('难度参数'!$E$23,1+MAX(0,A480-'难度参数'!$E$21)*'难度参数'!$E$22))*(36+4*7)/(36+7*(D480+1)/2)*E480,0))</x:f>
        <x:v>11400</x:v>
      </x:c>
      <x:c r="AL480" s="119" t="n">
        <x:f>IF(AJ480=0,0,(AJ480-IF(4=D480,1,0))*ROUND(AK480*VLOOKUP(INDEX('章节与怪物'!$E$31:$K$37,B480,4),'章节与怪物'!$A$41:$F$44,2,FALSE),0)+IF(4=D480,ROUND(AK480*'难度参数'!$E$28*'章节与怪物'!$E$17,0),0))</x:f>
        <x:v>630990</x:v>
      </x:c>
      <x:c r="AM480" s="119" t="n">
        <x:f>IF(AJ480=0,0,(AJ480-IF(4=D480,1,0))*VLOOKUP(INDEX('章节与怪物'!$E$31:$K$37,B480,4),'章节与怪物'!$A$41:$F$44,4,FALSE)+IF(4=D480,'难度参数'!$E$30,0))</x:f>
        <x:v>1394</x:v>
      </x:c>
      <x:c r="AN480" s="119" t="n">
        <x:f>IF(5&gt;D480,0,MAX(2,MIN('难度参数'!$E$12,ROUND(('难度参数'!$E$18*POWER(A480,'难度参数'!$E$19)/D480*(0.85+0.3*(5-1)/MAX(1,D480-1))),0)+F480)))</x:f>
        <x:v>43</x:v>
      </x:c>
      <x:c r="AO480" s="119" t="n">
        <x:f>IF(5&gt;D480,0,ROUND(('难度参数'!$E$13*POWER(A480,'难度参数'!$E$20)*MIN('难度参数'!$E$23,1+MAX(0,A480-'难度参数'!$E$21)*'难度参数'!$E$22))*(36+5*7)/(36+7*(D480+1)/2)*E480,0))</x:f>
        <x:v>12647</x:v>
      </x:c>
      <x:c r="AP480" s="119" t="n">
        <x:f>IF(AN480=0,0,(AN480-IF(5=D480,1,0))*ROUND(AO480*VLOOKUP(INDEX('章节与怪物'!$E$31:$K$37,B480,5),'章节与怪物'!$A$41:$F$44,2,FALSE),0)+IF(5=D480,ROUND(AO480*'难度参数'!$E$28*'章节与怪物'!$E$17,0),0))</x:f>
        <x:v>543821</x:v>
      </x:c>
      <x:c r="AQ480" s="119" t="n">
        <x:f>IF(AN480=0,0,(AN480-IF(5=D480,1,0))*VLOOKUP(INDEX('章节与怪物'!$E$31:$K$37,B480,5),'章节与怪物'!$A$41:$F$44,4,FALSE)+IF(5=D480,'难度参数'!$E$30,0))</x:f>
        <x:v>774</x:v>
      </x:c>
      <x:c r="AR480" s="119" t="n">
        <x:f>IF(6&gt;D480,0,MAX(2,MIN('难度参数'!$E$12,ROUND(('难度参数'!$E$18*POWER(A480,'难度参数'!$E$19)/D480*(0.85+0.3*(6-1)/MAX(1,D480-1))),0)+F480)))</x:f>
        <x:v>45</x:v>
      </x:c>
      <x:c r="AS480" s="119" t="n">
        <x:f>IF(6&gt;D480,0,ROUND(('难度参数'!$E$13*POWER(A480,'难度参数'!$E$20)*MIN('难度参数'!$E$23,1+MAX(0,A480-'难度参数'!$E$21)*'难度参数'!$E$22))*(36+6*7)/(36+7*(D480+1)/2)*E480,0))</x:f>
        <x:v>13893</x:v>
      </x:c>
      <x:c r="AT480" s="119" t="n">
        <x:f>IF(AR480=0,0,(AR480-IF(6=D480,1,0))*ROUND(AS480*VLOOKUP(INDEX('章节与怪物'!$E$31:$K$37,B480,6),'章节与怪物'!$A$41:$F$44,2,FALSE),0)+IF(6=D480,ROUND(AS480*'难度参数'!$E$28*'章节与怪物'!$E$17,0),0))</x:f>
        <x:v>450135</x:v>
      </x:c>
      <x:c r="AU480" s="119" t="n">
        <x:f>IF(AR480=0,0,(AR480-IF(6=D480,1,0))*VLOOKUP(INDEX('章节与怪物'!$E$31:$K$37,B480,6),'章节与怪物'!$A$41:$F$44,4,FALSE)+IF(6=D480,'难度参数'!$E$30,0))</x:f>
        <x:v>900</x:v>
      </x:c>
      <x:c r="AV480" s="119" t="n">
        <x:f>IF(7&gt;D480,0,MAX(2,MIN('难度参数'!$E$12,ROUND(('难度参数'!$E$18*POWER(A480,'难度参数'!$E$19)/D480*(0.85+0.3*(7-1)/MAX(1,D480-1))),0)+F480)))</x:f>
        <x:v>47</x:v>
      </x:c>
      <x:c r="AW480" s="119" t="n">
        <x:f>IF(7&gt;D480,0,ROUND(('难度参数'!$E$13*POWER(A480,'难度参数'!$E$20)*MIN('难度参数'!$E$23,1+MAX(0,A480-'难度参数'!$E$21)*'难度参数'!$E$22))*(36+7*7)/(36+7*(D480+1)/2)*E480,0))</x:f>
        <x:v>15140</x:v>
      </x:c>
      <x:c r="AX480" s="119" t="n">
        <x:f>IF(AV480=0,0,(AV480-IF(7=D480,1,0))*ROUND(AW480*VLOOKUP(INDEX('章节与怪物'!$E$31:$K$37,B480,7),'章节与怪物'!$A$41:$F$44,2,FALSE),0)+IF(7=D480,ROUND(AW480*'难度参数'!$E$28*'章节与怪物'!$E$17,0),0))</x:f>
        <x:v>1043146</x:v>
      </x:c>
      <x:c r="AY480" s="119" t="n">
        <x:f>IF(AV480=0,0,(AV480-IF(7=D480,1,0))*VLOOKUP(INDEX('章节与怪物'!$E$31:$K$37,B480,7),'章节与怪物'!$A$41:$F$44,4,FALSE)+IF(7=D480,'难度参数'!$E$30,0))</x:f>
        <x:v>1764</x:v>
      </x:c>
    </x:row>
    <x:row r="481" ht="23" customHeight="1">
      <x:c r="A481" s="119" t="n">
        <x:v>475</x:v>
      </x:c>
      <x:c r="B481" s="119" t="n">
        <x:f>MOD(INT((A481-1)/5),7)+1</x:f>
        <x:v>4</x:v>
      </x:c>
      <x:c r="C481" s="62" t="str">
        <x:f>INDEX('章节与怪物'!$B$31:$B$37,B481)</x:f>
        <x:v>翠野边城</x:v>
      </x:c>
      <x:c r="D481" s="119" t="n">
        <x:f>MIN('难度参数'!$E$8,MAX('难度参数'!$E$7,A481))</x:f>
        <x:v>7</x:v>
      </x:c>
      <x:c r="E481" s="106" t="n">
        <x:v>1</x:v>
      </x:c>
      <x:c r="F481" s="106" t="n">
        <x:v>0</x:v>
      </x:c>
      <x:c r="G481" s="106" t="n">
        <x:v>1</x:v>
      </x:c>
      <x:c r="H481" s="119" t="n">
        <x:f>SUM(X481,AB481,AF481,AJ481,AN481,AR481,AV481)</x:f>
        <x:v>287</x:v>
      </x:c>
      <x:c r="I481" s="119" t="n">
        <x:f>SUM(Z481,AD481,AH481,AL481,AP481,AT481,AX481)</x:f>
        <x:v>3869653</x:v>
      </x:c>
      <x:c r="J481" s="119" t="n">
        <x:f>ROUND(INDEX(X481:AY481,1,(D481-1)*4+2)*'难度参数'!$E$28*'章节与怪物'!$E$17,0)</x:f>
        <x:v>103108</x:v>
      </x:c>
      <x:c r="K481" s="119" t="n">
        <x:f>SUM(AA481,AE481,AI481,AM481,AQ481,AU481,AY481)</x:f>
        <x:v>7290</x:v>
      </x:c>
      <x:c r="L481" s="62" t="n">
        <x:f>H481*(ROUNDUP('难度参数'!$E$24/('难度参数'!$E$26*'难度参数'!$E$27),0)*'难度参数'!$E$26)/60</x:f>
        <x:v>3.826666666666667</x:v>
      </x:c>
      <x:c r="M481" s="62" t="n">
        <x:f>L481+D481*('难度参数'!$E$49+'难度参数'!$E$50)/60</x:f>
        <x:v>4.993333333333334</x:v>
      </x:c>
      <x:c r="N481" s="119" t="n">
        <x:f>ROUNDDOWN(('经济参数'!$E$20+A481*'经济参数'!$E$21)*G481,0)</x:f>
        <x:v>9680</x:v>
      </x:c>
      <x:c r="O481" s="119" t="n">
        <x:f>ROUNDDOWN(MIN('经济参数'!$E$24,'经济参数'!$E$22+A481*'经济参数'!$E$23)*G481,0)</x:f>
        <x:v>0</x:v>
      </x:c>
      <x:c r="P481" s="119" t="n">
        <x:f>ROUNDDOWN((IF(A481&gt;='材料与任务'!$E$31,'材料与任务'!$E$32,IF(A481&gt;='材料与任务'!$E$25,'材料与任务'!$E$26,IF(A481&gt;='材料与任务'!$E$19,'材料与任务'!$E$20,IF(A481&gt;='材料与任务'!$E$13,'材料与任务'!$E$14,'材料与任务'!$E$8)))))*G481,0)</x:f>
        <x:v>6</x:v>
      </x:c>
      <x:c r="Q481" s="119" t="n">
        <x:f>ROUNDDOWN((IF(A481&gt;='材料与任务'!$E$31,'材料与任务'!$E$33,IF(A481&gt;='材料与任务'!$E$25,'材料与任务'!$E$27,IF(A481&gt;='材料与任务'!$E$19,'材料与任务'!$E$21,IF(A481&gt;='材料与任务'!$E$13,'材料与任务'!$E$15,'材料与任务'!$E$9)))))*G481,0)</x:f>
        <x:v>3</x:v>
      </x:c>
      <x:c r="R481" s="110" t="n">
        <x:f>'装备掉落'!$B$38</x:f>
        <x:v>0.6872058758851213</x:v>
      </x:c>
      <x:c r="S481" s="119" t="n">
        <x:f>MAX(IF(VLOOKUP(A481,'装备掉落'!$A$29:$H$34,2,TRUE)&gt;0,1,0),IF(VLOOKUP(A481,'装备掉落'!$A$29:$H$34,3,TRUE)&gt;0,2,0),IF(VLOOKUP(A481,'装备掉落'!$A$29:$H$34,4,TRUE)&gt;0,3,0),IF(VLOOKUP(A481,'装备掉落'!$A$29:$H$34,5,TRUE)&gt;0,4,0),IF(VLOOKUP(A481,'装备掉落'!$A$29:$H$34,6,TRUE)&gt;0,5,0),IF(VLOOKUP(A481,'装备掉落'!$A$29:$H$34,7,TRUE)&gt;0,6,0),IF(VLOOKUP(A481,'装备掉落'!$A$29:$H$34,8,TRUE)&gt;0,7,0))</x:f>
        <x:v>7</x:v>
      </x:c>
      <x:c r="T481" s="119" t="n">
        <x:f>MIN(7,S481+'经济参数'!$E$70)</x:f>
        <x:v>7</x:v>
      </x:c>
      <x:c r="U481" s="119" t="n">
        <x:f>MIN(7,S481+'经济参数'!$E$71)</x:f>
        <x:v>7</x:v>
      </x:c>
      <x:c r="V481" s="119" t="n">
        <x:f>IF(H481&gt;=('难度参数'!$E$52),1,0)+IF(H481&gt;=('难度参数'!$E$52+'难度参数'!$E$53),1,0)+IF(H481&gt;=('难度参数'!$E$52+'难度参数'!$E$53+'难度参数'!$E$54),1,0)+IF(H481&gt;=('难度参数'!$E$52+'难度参数'!$E$53+'难度参数'!$E$54+'难度参数'!$E$55),1,0)+IF(H481&gt;=('难度参数'!$E$52+'难度参数'!$E$53+'难度参数'!$E$54+'难度参数'!$E$55+'难度参数'!$E$56),1,0)+IF(H481&gt;=('难度参数'!$E$52+'难度参数'!$E$53+'难度参数'!$E$54+'难度参数'!$E$55+'难度参数'!$E$56+'难度参数'!$E$57),1,0)</x:f>
        <x:v>6</x:v>
      </x:c>
      <x:c r="W481" s="62" t="str">
        <x:f>IF(L481&gt;'难度参数'!$E$51,"仅出怪已超目标","还需实测")</x:f>
        <x:v>仅出怪已超目标</x:v>
      </x:c>
      <x:c r="X481" s="119" t="n">
        <x:f>IF(1&gt;D481,0,MAX(2,MIN('难度参数'!$E$12,ROUND(('难度参数'!$E$18*POWER(A481,'难度参数'!$E$19)/D481*(0.85+0.3*(1-1)/MAX(1,D481-1))),0)+F481)))</x:f>
        <x:v>35</x:v>
      </x:c>
      <x:c r="Y481" s="119" t="n">
        <x:f>IF(1&gt;D481,0,ROUND(('难度参数'!$E$13*POWER(A481,'难度参数'!$E$20)*MIN('难度参数'!$E$23,1+MAX(0,A481-'难度参数'!$E$21)*'难度参数'!$E$22))*(36+1*7)/(36+7*(D481+1)/2)*E481,0))</x:f>
        <x:v>7671</x:v>
      </x:c>
      <x:c r="Z481" s="119" t="n">
        <x:f>IF(X481=0,0,(X481-IF(1=D481,1,0))*ROUND(Y481*VLOOKUP(INDEX('章节与怪物'!$E$31:$K$37,B481,1),'章节与怪物'!$A$41:$F$44,2,FALSE),0)+IF(1=D481,ROUND(Y481*'难度参数'!$E$28*'章节与怪物'!$E$17,0),0))</x:f>
        <x:v>193305</x:v>
      </x:c>
      <x:c r="AA481" s="119" t="n">
        <x:f>IF(X481=0,0,(X481-IF(1=D481,1,0))*VLOOKUP(INDEX('章节与怪物'!$E$31:$K$37,B481,1),'章节与怪物'!$A$41:$F$44,4,FALSE)+IF(1=D481,'难度参数'!$E$30,0))</x:f>
        <x:v>700</x:v>
      </x:c>
      <x:c r="AB481" s="119" t="n">
        <x:f>IF(2&gt;D481,0,MAX(2,MIN('难度参数'!$E$12,ROUND(('难度参数'!$E$18*POWER(A481,'难度参数'!$E$19)/D481*(0.85+0.3*(2-1)/MAX(1,D481-1))),0)+F481)))</x:f>
        <x:v>37</x:v>
      </x:c>
      <x:c r="AC481" s="119" t="n">
        <x:f>IF(2&gt;D481,0,ROUND(('难度参数'!$E$13*POWER(A481,'难度参数'!$E$20)*MIN('难度参数'!$E$23,1+MAX(0,A481-'难度参数'!$E$21)*'难度参数'!$E$22))*(36+2*7)/(36+7*(D481+1)/2)*E481,0))</x:f>
        <x:v>8920</x:v>
      </x:c>
      <x:c r="AD481" s="119" t="n">
        <x:f>IF(AB481=0,0,(AB481-IF(2=D481,1,0))*ROUND(AC481*VLOOKUP(INDEX('章节与怪物'!$E$31:$K$37,B481,2),'章节与怪物'!$A$41:$F$44,2,FALSE),0)+IF(2=D481,ROUND(AC481*'难度参数'!$E$28*'章节与怪物'!$E$17,0),0))</x:f>
        <x:v>330040</x:v>
      </x:c>
      <x:c r="AE481" s="119" t="n">
        <x:f>IF(AB481=0,0,(AB481-IF(2=D481,1,0))*VLOOKUP(INDEX('章节与怪物'!$E$31:$K$37,B481,2),'章节与怪物'!$A$41:$F$44,4,FALSE)+IF(2=D481,'难度参数'!$E$30,0))</x:f>
        <x:v>666</x:v>
      </x:c>
      <x:c r="AF481" s="119" t="n">
        <x:f>IF(3&gt;D481,0,MAX(2,MIN('难度参数'!$E$12,ROUND(('难度参数'!$E$18*POWER(A481,'难度参数'!$E$19)/D481*(0.85+0.3*(3-1)/MAX(1,D481-1))),0)+F481)))</x:f>
        <x:v>39</x:v>
      </x:c>
      <x:c r="AG481" s="119" t="n">
        <x:f>IF(3&gt;D481,0,ROUND(('难度参数'!$E$13*POWER(A481,'难度参数'!$E$20)*MIN('难度参数'!$E$23,1+MAX(0,A481-'难度参数'!$E$21)*'难度参数'!$E$22))*(36+3*7)/(36+7*(D481+1)/2)*E481,0))</x:f>
        <x:v>10168</x:v>
      </x:c>
      <x:c r="AH481" s="119" t="n">
        <x:f>IF(AF481=0,0,(AF481-IF(3=D481,1,0))*ROUND(AG481*VLOOKUP(INDEX('章节与怪物'!$E$31:$K$37,B481,3),'章节与怪物'!$A$41:$F$44,2,FALSE),0)+IF(3=D481,ROUND(AG481*'难度参数'!$E$28*'章节与怪物'!$E$17,0),0))</x:f>
        <x:v>674154</x:v>
      </x:c>
      <x:c r="AI481" s="119" t="n">
        <x:f>IF(AF481=0,0,(AF481-IF(3=D481,1,0))*VLOOKUP(INDEX('章节与怪物'!$E$31:$K$37,B481,3),'章节与怪物'!$A$41:$F$44,4,FALSE)+IF(3=D481,'难度参数'!$E$30,0))</x:f>
        <x:v>1092</x:v>
      </x:c>
      <x:c r="AJ481" s="119" t="n">
        <x:f>IF(4&gt;D481,0,MAX(2,MIN('难度参数'!$E$12,ROUND(('难度参数'!$E$18*POWER(A481,'难度参数'!$E$19)/D481*(0.85+0.3*(4-1)/MAX(1,D481-1))),0)+F481)))</x:f>
        <x:v>41</x:v>
      </x:c>
      <x:c r="AK481" s="119" t="n">
        <x:f>IF(4&gt;D481,0,ROUND(('难度参数'!$E$13*POWER(A481,'难度参数'!$E$20)*MIN('难度参数'!$E$23,1+MAX(0,A481-'难度参数'!$E$21)*'难度参数'!$E$22))*(36+4*7)/(36+7*(D481+1)/2)*E481,0))</x:f>
        <x:v>11417</x:v>
      </x:c>
      <x:c r="AL481" s="119" t="n">
        <x:f>IF(AJ481=0,0,(AJ481-IF(4=D481,1,0))*ROUND(AK481*VLOOKUP(INDEX('章节与怪物'!$E$31:$K$37,B481,4),'章节与怪物'!$A$41:$F$44,2,FALSE),0)+IF(4=D481,ROUND(AK481*'难度参数'!$E$28*'章节与怪物'!$E$17,0),0))</x:f>
        <x:v>631933</x:v>
      </x:c>
      <x:c r="AM481" s="119" t="n">
        <x:f>IF(AJ481=0,0,(AJ481-IF(4=D481,1,0))*VLOOKUP(INDEX('章节与怪物'!$E$31:$K$37,B481,4),'章节与怪物'!$A$41:$F$44,4,FALSE)+IF(4=D481,'难度参数'!$E$30,0))</x:f>
        <x:v>1394</x:v>
      </x:c>
      <x:c r="AN481" s="119" t="n">
        <x:f>IF(5&gt;D481,0,MAX(2,MIN('难度参数'!$E$12,ROUND(('难度参数'!$E$18*POWER(A481,'难度参数'!$E$19)/D481*(0.85+0.3*(5-1)/MAX(1,D481-1))),0)+F481)))</x:f>
        <x:v>43</x:v>
      </x:c>
      <x:c r="AO481" s="119" t="n">
        <x:f>IF(5&gt;D481,0,ROUND(('难度参数'!$E$13*POWER(A481,'难度参数'!$E$20)*MIN('难度参数'!$E$23,1+MAX(0,A481-'难度参数'!$E$21)*'难度参数'!$E$22))*(36+5*7)/(36+7*(D481+1)/2)*E481,0))</x:f>
        <x:v>12666</x:v>
      </x:c>
      <x:c r="AP481" s="119" t="n">
        <x:f>IF(AN481=0,0,(AN481-IF(5=D481,1,0))*ROUND(AO481*VLOOKUP(INDEX('章节与怪物'!$E$31:$K$37,B481,5),'章节与怪物'!$A$41:$F$44,2,FALSE),0)+IF(5=D481,ROUND(AO481*'难度参数'!$E$28*'章节与怪物'!$E$17,0),0))</x:f>
        <x:v>544638</x:v>
      </x:c>
      <x:c r="AQ481" s="119" t="n">
        <x:f>IF(AN481=0,0,(AN481-IF(5=D481,1,0))*VLOOKUP(INDEX('章节与怪物'!$E$31:$K$37,B481,5),'章节与怪物'!$A$41:$F$44,4,FALSE)+IF(5=D481,'难度参数'!$E$30,0))</x:f>
        <x:v>774</x:v>
      </x:c>
      <x:c r="AR481" s="119" t="n">
        <x:f>IF(6&gt;D481,0,MAX(2,MIN('难度参数'!$E$12,ROUND(('难度参数'!$E$18*POWER(A481,'难度参数'!$E$19)/D481*(0.85+0.3*(6-1)/MAX(1,D481-1))),0)+F481)))</x:f>
        <x:v>45</x:v>
      </x:c>
      <x:c r="AS481" s="119" t="n">
        <x:f>IF(6&gt;D481,0,ROUND(('难度参数'!$E$13*POWER(A481,'难度参数'!$E$20)*MIN('难度参数'!$E$23,1+MAX(0,A481-'难度参数'!$E$21)*'难度参数'!$E$22))*(36+6*7)/(36+7*(D481+1)/2)*E481,0))</x:f>
        <x:v>13915</x:v>
      </x:c>
      <x:c r="AT481" s="119" t="n">
        <x:f>IF(AR481=0,0,(AR481-IF(6=D481,1,0))*ROUND(AS481*VLOOKUP(INDEX('章节与怪物'!$E$31:$K$37,B481,6),'章节与怪物'!$A$41:$F$44,2,FALSE),0)+IF(6=D481,ROUND(AS481*'难度参数'!$E$28*'章节与怪物'!$E$17,0),0))</x:f>
        <x:v>450855</x:v>
      </x:c>
      <x:c r="AU481" s="119" t="n">
        <x:f>IF(AR481=0,0,(AR481-IF(6=D481,1,0))*VLOOKUP(INDEX('章节与怪物'!$E$31:$K$37,B481,6),'章节与怪物'!$A$41:$F$44,4,FALSE)+IF(6=D481,'难度参数'!$E$30,0))</x:f>
        <x:v>900</x:v>
      </x:c>
      <x:c r="AV481" s="119" t="n">
        <x:f>IF(7&gt;D481,0,MAX(2,MIN('难度参数'!$E$12,ROUND(('难度参数'!$E$18*POWER(A481,'难度参数'!$E$19)/D481*(0.85+0.3*(7-1)/MAX(1,D481-1))),0)+F481)))</x:f>
        <x:v>47</x:v>
      </x:c>
      <x:c r="AW481" s="119" t="n">
        <x:f>IF(7&gt;D481,0,ROUND(('难度参数'!$E$13*POWER(A481,'难度参数'!$E$20)*MIN('难度参数'!$E$23,1+MAX(0,A481-'难度参数'!$E$21)*'难度参数'!$E$22))*(36+7*7)/(36+7*(D481+1)/2)*E481,0))</x:f>
        <x:v>15163</x:v>
      </x:c>
      <x:c r="AX481" s="119" t="n">
        <x:f>IF(AV481=0,0,(AV481-IF(7=D481,1,0))*ROUND(AW481*VLOOKUP(INDEX('章节与怪物'!$E$31:$K$37,B481,7),'章节与怪物'!$A$41:$F$44,2,FALSE),0)+IF(7=D481,ROUND(AW481*'难度参数'!$E$28*'章节与怪物'!$E$17,0),0))</x:f>
        <x:v>1044728</x:v>
      </x:c>
      <x:c r="AY481" s="119" t="n">
        <x:f>IF(AV481=0,0,(AV481-IF(7=D481,1,0))*VLOOKUP(INDEX('章节与怪物'!$E$31:$K$37,B481,7),'章节与怪物'!$A$41:$F$44,4,FALSE)+IF(7=D481,'难度参数'!$E$30,0))</x:f>
        <x:v>1764</x:v>
      </x:c>
    </x:row>
    <x:row r="482" ht="23" customHeight="1">
      <x:c r="A482" s="119" t="n">
        <x:v>476</x:v>
      </x:c>
      <x:c r="B482" s="119" t="n">
        <x:f>MOD(INT((A482-1)/5),7)+1</x:f>
        <x:v>5</x:v>
      </x:c>
      <x:c r="C482" s="62" t="str">
        <x:f>INDEX('章节与怪物'!$B$31:$B$37,B482)</x:f>
        <x:v>雨林遗迹</x:v>
      </x:c>
      <x:c r="D482" s="119" t="n">
        <x:f>MIN('难度参数'!$E$8,MAX('难度参数'!$E$7,A482))</x:f>
        <x:v>7</x:v>
      </x:c>
      <x:c r="E482" s="106" t="n">
        <x:v>1</x:v>
      </x:c>
      <x:c r="F482" s="106" t="n">
        <x:v>0</x:v>
      </x:c>
      <x:c r="G482" s="106" t="n">
        <x:v>1</x:v>
      </x:c>
      <x:c r="H482" s="119" t="n">
        <x:f>SUM(X482,AB482,AF482,AJ482,AN482,AR482,AV482)</x:f>
        <x:v>287</x:v>
      </x:c>
      <x:c r="I482" s="119" t="n">
        <x:f>SUM(Z482,AD482,AH482,AL482,AP482,AT482,AX482)</x:f>
        <x:v>4320062</x:v>
      </x:c>
      <x:c r="J482" s="119" t="n">
        <x:f>ROUND(INDEX(X482:AY482,1,(D482-1)*4+2)*'难度参数'!$E$28*'章节与怪物'!$E$17,0)</x:f>
        <x:v>103265</x:v>
      </x:c>
      <x:c r="K482" s="119" t="n">
        <x:f>SUM(AA482,AE482,AI482,AM482,AQ482,AU482,AY482)</x:f>
        <x:v>7740</x:v>
      </x:c>
      <x:c r="L482" s="62" t="n">
        <x:f>H482*(ROUNDUP('难度参数'!$E$24/('难度参数'!$E$26*'难度参数'!$E$27),0)*'难度参数'!$E$26)/60</x:f>
        <x:v>3.826666666666667</x:v>
      </x:c>
      <x:c r="M482" s="62" t="n">
        <x:f>L482+D482*('难度参数'!$E$49+'难度参数'!$E$50)/60</x:f>
        <x:v>4.993333333333334</x:v>
      </x:c>
      <x:c r="N482" s="119" t="n">
        <x:f>ROUNDDOWN(('经济参数'!$E$20+A482*'经济参数'!$E$21)*G482,0)</x:f>
        <x:v>9700</x:v>
      </x:c>
      <x:c r="O482" s="119" t="n">
        <x:f>ROUNDDOWN(MIN('经济参数'!$E$24,'经济参数'!$E$22+A482*'经济参数'!$E$23)*G482,0)</x:f>
        <x:v>0</x:v>
      </x:c>
      <x:c r="P482" s="119" t="n">
        <x:f>ROUNDDOWN((IF(A482&gt;='材料与任务'!$E$31,'材料与任务'!$E$32,IF(A482&gt;='材料与任务'!$E$25,'材料与任务'!$E$26,IF(A482&gt;='材料与任务'!$E$19,'材料与任务'!$E$20,IF(A482&gt;='材料与任务'!$E$13,'材料与任务'!$E$14,'材料与任务'!$E$8)))))*G482,0)</x:f>
        <x:v>6</x:v>
      </x:c>
      <x:c r="Q482" s="119" t="n">
        <x:f>ROUNDDOWN((IF(A482&gt;='材料与任务'!$E$31,'材料与任务'!$E$33,IF(A482&gt;='材料与任务'!$E$25,'材料与任务'!$E$27,IF(A482&gt;='材料与任务'!$E$19,'材料与任务'!$E$21,IF(A482&gt;='材料与任务'!$E$13,'材料与任务'!$E$15,'材料与任务'!$E$9)))))*G482,0)</x:f>
        <x:v>3</x:v>
      </x:c>
      <x:c r="R482" s="110" t="n">
        <x:f>'装备掉落'!$B$38</x:f>
        <x:v>0.6872058758851213</x:v>
      </x:c>
      <x:c r="S482" s="119" t="n">
        <x:f>MAX(IF(VLOOKUP(A482,'装备掉落'!$A$29:$H$34,2,TRUE)&gt;0,1,0),IF(VLOOKUP(A482,'装备掉落'!$A$29:$H$34,3,TRUE)&gt;0,2,0),IF(VLOOKUP(A482,'装备掉落'!$A$29:$H$34,4,TRUE)&gt;0,3,0),IF(VLOOKUP(A482,'装备掉落'!$A$29:$H$34,5,TRUE)&gt;0,4,0),IF(VLOOKUP(A482,'装备掉落'!$A$29:$H$34,6,TRUE)&gt;0,5,0),IF(VLOOKUP(A482,'装备掉落'!$A$29:$H$34,7,TRUE)&gt;0,6,0),IF(VLOOKUP(A482,'装备掉落'!$A$29:$H$34,8,TRUE)&gt;0,7,0))</x:f>
        <x:v>7</x:v>
      </x:c>
      <x:c r="T482" s="119" t="n">
        <x:f>MIN(7,S482+'经济参数'!$E$70)</x:f>
        <x:v>7</x:v>
      </x:c>
      <x:c r="U482" s="119" t="n">
        <x:f>MIN(7,S482+'经济参数'!$E$71)</x:f>
        <x:v>7</x:v>
      </x:c>
      <x:c r="V482" s="119" t="n">
        <x:f>IF(H482&gt;=('难度参数'!$E$52),1,0)+IF(H482&gt;=('难度参数'!$E$52+'难度参数'!$E$53),1,0)+IF(H482&gt;=('难度参数'!$E$52+'难度参数'!$E$53+'难度参数'!$E$54),1,0)+IF(H482&gt;=('难度参数'!$E$52+'难度参数'!$E$53+'难度参数'!$E$54+'难度参数'!$E$55),1,0)+IF(H482&gt;=('难度参数'!$E$52+'难度参数'!$E$53+'难度参数'!$E$54+'难度参数'!$E$55+'难度参数'!$E$56),1,0)+IF(H482&gt;=('难度参数'!$E$52+'难度参数'!$E$53+'难度参数'!$E$54+'难度参数'!$E$55+'难度参数'!$E$56+'难度参数'!$E$57),1,0)</x:f>
        <x:v>6</x:v>
      </x:c>
      <x:c r="W482" s="62" t="str">
        <x:f>IF(L482&gt;'难度参数'!$E$51,"仅出怪已超目标","还需实测")</x:f>
        <x:v>仅出怪已超目标</x:v>
      </x:c>
      <x:c r="X482" s="119" t="n">
        <x:f>IF(1&gt;D482,0,MAX(2,MIN('难度参数'!$E$12,ROUND(('难度参数'!$E$18*POWER(A482,'难度参数'!$E$19)/D482*(0.85+0.3*(1-1)/MAX(1,D482-1))),0)+F482)))</x:f>
        <x:v>35</x:v>
      </x:c>
      <x:c r="Y482" s="119" t="n">
        <x:f>IF(1&gt;D482,0,ROUND(('难度参数'!$E$13*POWER(A482,'难度参数'!$E$20)*MIN('难度参数'!$E$23,1+MAX(0,A482-'难度参数'!$E$21)*'难度参数'!$E$22))*(36+1*7)/(36+7*(D482+1)/2)*E482,0))</x:f>
        <x:v>7682</x:v>
      </x:c>
      <x:c r="Z482" s="119" t="n">
        <x:f>IF(X482=0,0,(X482-IF(1=D482,1,0))*ROUND(Y482*VLOOKUP(INDEX('章节与怪物'!$E$31:$K$37,B482,1),'章节与怪物'!$A$41:$F$44,2,FALSE),0)+IF(1=D482,ROUND(Y482*'难度参数'!$E$28*'章节与怪物'!$E$17,0),0))</x:f>
        <x:v>268870</x:v>
      </x:c>
      <x:c r="AA482" s="119" t="n">
        <x:f>IF(X482=0,0,(X482-IF(1=D482,1,0))*VLOOKUP(INDEX('章节与怪物'!$E$31:$K$37,B482,1),'章节与怪物'!$A$41:$F$44,4,FALSE)+IF(1=D482,'难度参数'!$E$30,0))</x:f>
        <x:v>630</x:v>
      </x:c>
      <x:c r="AB482" s="119" t="n">
        <x:f>IF(2&gt;D482,0,MAX(2,MIN('难度参数'!$E$12,ROUND(('难度参数'!$E$18*POWER(A482,'难度参数'!$E$19)/D482*(0.85+0.3*(2-1)/MAX(1,D482-1))),0)+F482)))</x:f>
        <x:v>37</x:v>
      </x:c>
      <x:c r="AC482" s="119" t="n">
        <x:f>IF(2&gt;D482,0,ROUND(('难度参数'!$E$13*POWER(A482,'难度参数'!$E$20)*MIN('难度参数'!$E$23,1+MAX(0,A482-'难度参数'!$E$21)*'难度参数'!$E$22))*(36+2*7)/(36+7*(D482+1)/2)*E482,0))</x:f>
        <x:v>8933</x:v>
      </x:c>
      <x:c r="AD482" s="119" t="n">
        <x:f>IF(AB482=0,0,(AB482-IF(2=D482,1,0))*ROUND(AC482*VLOOKUP(INDEX('章节与怪物'!$E$31:$K$37,B482,2),'章节与怪物'!$A$41:$F$44,2,FALSE),0)+IF(2=D482,ROUND(AC482*'难度参数'!$E$28*'章节与怪物'!$E$17,0),0))</x:f>
        <x:v>237984</x:v>
      </x:c>
      <x:c r="AE482" s="119" t="n">
        <x:f>IF(AB482=0,0,(AB482-IF(2=D482,1,0))*VLOOKUP(INDEX('章节与怪物'!$E$31:$K$37,B482,2),'章节与怪物'!$A$41:$F$44,4,FALSE)+IF(2=D482,'难度参数'!$E$30,0))</x:f>
        <x:v>740</x:v>
      </x:c>
      <x:c r="AF482" s="119" t="n">
        <x:f>IF(3&gt;D482,0,MAX(2,MIN('难度参数'!$E$12,ROUND(('难度参数'!$E$18*POWER(A482,'难度参数'!$E$19)/D482*(0.85+0.3*(3-1)/MAX(1,D482-1))),0)+F482)))</x:f>
        <x:v>39</x:v>
      </x:c>
      <x:c r="AG482" s="119" t="n">
        <x:f>IF(3&gt;D482,0,ROUND(('难度参数'!$E$13*POWER(A482,'难度参数'!$E$20)*MIN('难度参数'!$E$23,1+MAX(0,A482-'难度参数'!$E$21)*'难度参数'!$E$22))*(36+3*7)/(36+7*(D482+1)/2)*E482,0))</x:f>
        <x:v>10184</x:v>
      </x:c>
      <x:c r="AH482" s="119" t="n">
        <x:f>IF(AF482=0,0,(AF482-IF(3=D482,1,0))*ROUND(AG482*VLOOKUP(INDEX('章节与怪物'!$E$31:$K$37,B482,3),'章节与怪物'!$A$41:$F$44,2,FALSE),0)+IF(3=D482,ROUND(AG482*'难度参数'!$E$28*'章节与怪物'!$E$17,0),0))</x:f>
        <x:v>675207</x:v>
      </x:c>
      <x:c r="AI482" s="119" t="n">
        <x:f>IF(AF482=0,0,(AF482-IF(3=D482,1,0))*VLOOKUP(INDEX('章节与怪物'!$E$31:$K$37,B482,3),'章节与怪物'!$A$41:$F$44,4,FALSE)+IF(3=D482,'难度参数'!$E$30,0))</x:f>
        <x:v>1092</x:v>
      </x:c>
      <x:c r="AJ482" s="119" t="n">
        <x:f>IF(4&gt;D482,0,MAX(2,MIN('难度参数'!$E$12,ROUND(('难度参数'!$E$18*POWER(A482,'难度参数'!$E$19)/D482*(0.85+0.3*(4-1)/MAX(1,D482-1))),0)+F482)))</x:f>
        <x:v>41</x:v>
      </x:c>
      <x:c r="AK482" s="119" t="n">
        <x:f>IF(4&gt;D482,0,ROUND(('难度参数'!$E$13*POWER(A482,'难度参数'!$E$20)*MIN('难度参数'!$E$23,1+MAX(0,A482-'难度参数'!$E$21)*'难度参数'!$E$22))*(36+4*7)/(36+7*(D482+1)/2)*E482,0))</x:f>
        <x:v>11434</x:v>
      </x:c>
      <x:c r="AL482" s="119" t="n">
        <x:f>IF(AJ482=0,0,(AJ482-IF(4=D482,1,0))*ROUND(AK482*VLOOKUP(INDEX('章节与怪物'!$E$31:$K$37,B482,4),'章节与怪物'!$A$41:$F$44,2,FALSE),0)+IF(4=D482,ROUND(AK482*'难度参数'!$E$28*'章节与怪物'!$E$17,0),0))</x:f>
        <x:v>632876</x:v>
      </x:c>
      <x:c r="AM482" s="119" t="n">
        <x:f>IF(AJ482=0,0,(AJ482-IF(4=D482,1,0))*VLOOKUP(INDEX('章节与怪物'!$E$31:$K$37,B482,4),'章节与怪物'!$A$41:$F$44,4,FALSE)+IF(4=D482,'难度参数'!$E$30,0))</x:f>
        <x:v>1394</x:v>
      </x:c>
      <x:c r="AN482" s="119" t="n">
        <x:f>IF(5&gt;D482,0,MAX(2,MIN('难度参数'!$E$12,ROUND(('难度参数'!$E$18*POWER(A482,'难度参数'!$E$19)/D482*(0.85+0.3*(5-1)/MAX(1,D482-1))),0)+F482)))</x:f>
        <x:v>43</x:v>
      </x:c>
      <x:c r="AO482" s="119" t="n">
        <x:f>IF(5&gt;D482,0,ROUND(('难度参数'!$E$13*POWER(A482,'难度参数'!$E$20)*MIN('难度参数'!$E$23,1+MAX(0,A482-'难度参数'!$E$21)*'难度参数'!$E$22))*(36+5*7)/(36+7*(D482+1)/2)*E482,0))</x:f>
        <x:v>12685</x:v>
      </x:c>
      <x:c r="AP482" s="119" t="n">
        <x:f>IF(AN482=0,0,(AN482-IF(5=D482,1,0))*ROUND(AO482*VLOOKUP(INDEX('章节与怪物'!$E$31:$K$37,B482,5),'章节与怪物'!$A$41:$F$44,2,FALSE),0)+IF(5=D482,ROUND(AO482*'难度参数'!$E$28*'章节与怪物'!$E$17,0),0))</x:f>
        <x:v>392719</x:v>
      </x:c>
      <x:c r="AQ482" s="119" t="n">
        <x:f>IF(AN482=0,0,(AN482-IF(5=D482,1,0))*VLOOKUP(INDEX('章节与怪物'!$E$31:$K$37,B482,5),'章节与怪物'!$A$41:$F$44,4,FALSE)+IF(5=D482,'难度参数'!$E$30,0))</x:f>
        <x:v>860</x:v>
      </x:c>
      <x:c r="AR482" s="119" t="n">
        <x:f>IF(6&gt;D482,0,MAX(2,MIN('难度参数'!$E$12,ROUND(('难度参数'!$E$18*POWER(A482,'难度参数'!$E$19)/D482*(0.85+0.3*(6-1)/MAX(1,D482-1))),0)+F482)))</x:f>
        <x:v>45</x:v>
      </x:c>
      <x:c r="AS482" s="119" t="n">
        <x:f>IF(6&gt;D482,0,ROUND(('难度参数'!$E$13*POWER(A482,'难度参数'!$E$20)*MIN('难度参数'!$E$23,1+MAX(0,A482-'难度参数'!$E$21)*'难度参数'!$E$22))*(36+6*7)/(36+7*(D482+1)/2)*E482,0))</x:f>
        <x:v>13936</x:v>
      </x:c>
      <x:c r="AT482" s="119" t="n">
        <x:f>IF(AR482=0,0,(AR482-IF(6=D482,1,0))*ROUND(AS482*VLOOKUP(INDEX('章节与怪物'!$E$31:$K$37,B482,6),'章节与怪物'!$A$41:$F$44,2,FALSE),0)+IF(6=D482,ROUND(AS482*'难度参数'!$E$28*'章节与怪物'!$E$17,0),0))</x:f>
        <x:v>1066095</x:v>
      </x:c>
      <x:c r="AU482" s="119" t="n">
        <x:f>IF(AR482=0,0,(AR482-IF(6=D482,1,0))*VLOOKUP(INDEX('章节与怪物'!$E$31:$K$37,B482,6),'章节与怪物'!$A$41:$F$44,4,FALSE)+IF(6=D482,'难度参数'!$E$30,0))</x:f>
        <x:v>1260</x:v>
      </x:c>
      <x:c r="AV482" s="119" t="n">
        <x:f>IF(7&gt;D482,0,MAX(2,MIN('难度参数'!$E$12,ROUND(('难度参数'!$E$18*POWER(A482,'难度参数'!$E$19)/D482*(0.85+0.3*(7-1)/MAX(1,D482-1))),0)+F482)))</x:f>
        <x:v>47</x:v>
      </x:c>
      <x:c r="AW482" s="119" t="n">
        <x:f>IF(7&gt;D482,0,ROUND(('难度参数'!$E$13*POWER(A482,'难度参数'!$E$20)*MIN('难度参数'!$E$23,1+MAX(0,A482-'难度参数'!$E$21)*'难度参数'!$E$22))*(36+7*7)/(36+7*(D482+1)/2)*E482,0))</x:f>
        <x:v>15186</x:v>
      </x:c>
      <x:c r="AX482" s="119" t="n">
        <x:f>IF(AV482=0,0,(AV482-IF(7=D482,1,0))*ROUND(AW482*VLOOKUP(INDEX('章节与怪物'!$E$31:$K$37,B482,7),'章节与怪物'!$A$41:$F$44,2,FALSE),0)+IF(7=D482,ROUND(AW482*'难度参数'!$E$28*'章节与怪物'!$E$17,0),0))</x:f>
        <x:v>1046311</x:v>
      </x:c>
      <x:c r="AY482" s="119" t="n">
        <x:f>IF(AV482=0,0,(AV482-IF(7=D482,1,0))*VLOOKUP(INDEX('章节与怪物'!$E$31:$K$37,B482,7),'章节与怪物'!$A$41:$F$44,4,FALSE)+IF(7=D482,'难度参数'!$E$30,0))</x:f>
        <x:v>1764</x:v>
      </x:c>
    </x:row>
    <x:row r="483" ht="23" customHeight="1">
      <x:c r="A483" s="119" t="n">
        <x:v>477</x:v>
      </x:c>
      <x:c r="B483" s="119" t="n">
        <x:f>MOD(INT((A483-1)/5),7)+1</x:f>
        <x:v>5</x:v>
      </x:c>
      <x:c r="C483" s="62" t="str">
        <x:f>INDEX('章节与怪物'!$B$31:$B$37,B483)</x:f>
        <x:v>雨林遗迹</x:v>
      </x:c>
      <x:c r="D483" s="119" t="n">
        <x:f>MIN('难度参数'!$E$8,MAX('难度参数'!$E$7,A483))</x:f>
        <x:v>7</x:v>
      </x:c>
      <x:c r="E483" s="106" t="n">
        <x:v>1</x:v>
      </x:c>
      <x:c r="F483" s="106" t="n">
        <x:v>0</x:v>
      </x:c>
      <x:c r="G483" s="106" t="n">
        <x:v>1</x:v>
      </x:c>
      <x:c r="H483" s="119" t="n">
        <x:f>SUM(X483,AB483,AF483,AJ483,AN483,AR483,AV483)</x:f>
        <x:v>287</x:v>
      </x:c>
      <x:c r="I483" s="119" t="n">
        <x:f>SUM(Z483,AD483,AH483,AL483,AP483,AT483,AX483)</x:f>
        <x:v>4326615</x:v>
      </x:c>
      <x:c r="J483" s="119" t="n">
        <x:f>ROUND(INDEX(X483:AY483,1,(D483-1)*4+2)*'难度参数'!$E$28*'章节与怪物'!$E$17,0)</x:f>
        <x:v>103421</x:v>
      </x:c>
      <x:c r="K483" s="119" t="n">
        <x:f>SUM(AA483,AE483,AI483,AM483,AQ483,AU483,AY483)</x:f>
        <x:v>7740</x:v>
      </x:c>
      <x:c r="L483" s="62" t="n">
        <x:f>H483*(ROUNDUP('难度参数'!$E$24/('难度参数'!$E$26*'难度参数'!$E$27),0)*'难度参数'!$E$26)/60</x:f>
        <x:v>3.826666666666667</x:v>
      </x:c>
      <x:c r="M483" s="62" t="n">
        <x:f>L483+D483*('难度参数'!$E$49+'难度参数'!$E$50)/60</x:f>
        <x:v>4.993333333333334</x:v>
      </x:c>
      <x:c r="N483" s="119" t="n">
        <x:f>ROUNDDOWN(('经济参数'!$E$20+A483*'经济参数'!$E$21)*G483,0)</x:f>
        <x:v>9720</x:v>
      </x:c>
      <x:c r="O483" s="119" t="n">
        <x:f>ROUNDDOWN(MIN('经济参数'!$E$24,'经济参数'!$E$22+A483*'经济参数'!$E$23)*G483,0)</x:f>
        <x:v>0</x:v>
      </x:c>
      <x:c r="P483" s="119" t="n">
        <x:f>ROUNDDOWN((IF(A483&gt;='材料与任务'!$E$31,'材料与任务'!$E$32,IF(A483&gt;='材料与任务'!$E$25,'材料与任务'!$E$26,IF(A483&gt;='材料与任务'!$E$19,'材料与任务'!$E$20,IF(A483&gt;='材料与任务'!$E$13,'材料与任务'!$E$14,'材料与任务'!$E$8)))))*G483,0)</x:f>
        <x:v>6</x:v>
      </x:c>
      <x:c r="Q483" s="119" t="n">
        <x:f>ROUNDDOWN((IF(A483&gt;='材料与任务'!$E$31,'材料与任务'!$E$33,IF(A483&gt;='材料与任务'!$E$25,'材料与任务'!$E$27,IF(A483&gt;='材料与任务'!$E$19,'材料与任务'!$E$21,IF(A483&gt;='材料与任务'!$E$13,'材料与任务'!$E$15,'材料与任务'!$E$9)))))*G483,0)</x:f>
        <x:v>3</x:v>
      </x:c>
      <x:c r="R483" s="110" t="n">
        <x:f>'装备掉落'!$B$38</x:f>
        <x:v>0.6872058758851213</x:v>
      </x:c>
      <x:c r="S483" s="119" t="n">
        <x:f>MAX(IF(VLOOKUP(A483,'装备掉落'!$A$29:$H$34,2,TRUE)&gt;0,1,0),IF(VLOOKUP(A483,'装备掉落'!$A$29:$H$34,3,TRUE)&gt;0,2,0),IF(VLOOKUP(A483,'装备掉落'!$A$29:$H$34,4,TRUE)&gt;0,3,0),IF(VLOOKUP(A483,'装备掉落'!$A$29:$H$34,5,TRUE)&gt;0,4,0),IF(VLOOKUP(A483,'装备掉落'!$A$29:$H$34,6,TRUE)&gt;0,5,0),IF(VLOOKUP(A483,'装备掉落'!$A$29:$H$34,7,TRUE)&gt;0,6,0),IF(VLOOKUP(A483,'装备掉落'!$A$29:$H$34,8,TRUE)&gt;0,7,0))</x:f>
        <x:v>7</x:v>
      </x:c>
      <x:c r="T483" s="119" t="n">
        <x:f>MIN(7,S483+'经济参数'!$E$70)</x:f>
        <x:v>7</x:v>
      </x:c>
      <x:c r="U483" s="119" t="n">
        <x:f>MIN(7,S483+'经济参数'!$E$71)</x:f>
        <x:v>7</x:v>
      </x:c>
      <x:c r="V483" s="119" t="n">
        <x:f>IF(H483&gt;=('难度参数'!$E$52),1,0)+IF(H483&gt;=('难度参数'!$E$52+'难度参数'!$E$53),1,0)+IF(H483&gt;=('难度参数'!$E$52+'难度参数'!$E$53+'难度参数'!$E$54),1,0)+IF(H483&gt;=('难度参数'!$E$52+'难度参数'!$E$53+'难度参数'!$E$54+'难度参数'!$E$55),1,0)+IF(H483&gt;=('难度参数'!$E$52+'难度参数'!$E$53+'难度参数'!$E$54+'难度参数'!$E$55+'难度参数'!$E$56),1,0)+IF(H483&gt;=('难度参数'!$E$52+'难度参数'!$E$53+'难度参数'!$E$54+'难度参数'!$E$55+'难度参数'!$E$56+'难度参数'!$E$57),1,0)</x:f>
        <x:v>6</x:v>
      </x:c>
      <x:c r="W483" s="62" t="str">
        <x:f>IF(L483&gt;'难度参数'!$E$51,"仅出怪已超目标","还需实测")</x:f>
        <x:v>仅出怪已超目标</x:v>
      </x:c>
      <x:c r="X483" s="119" t="n">
        <x:f>IF(1&gt;D483,0,MAX(2,MIN('难度参数'!$E$12,ROUND(('难度参数'!$E$18*POWER(A483,'难度参数'!$E$19)/D483*(0.85+0.3*(1-1)/MAX(1,D483-1))),0)+F483)))</x:f>
        <x:v>35</x:v>
      </x:c>
      <x:c r="Y483" s="119" t="n">
        <x:f>IF(1&gt;D483,0,ROUND(('难度参数'!$E$13*POWER(A483,'难度参数'!$E$20)*MIN('难度参数'!$E$23,1+MAX(0,A483-'难度参数'!$E$21)*'难度参数'!$E$22))*(36+1*7)/(36+7*(D483+1)/2)*E483,0))</x:f>
        <x:v>7694</x:v>
      </x:c>
      <x:c r="Z483" s="119" t="n">
        <x:f>IF(X483=0,0,(X483-IF(1=D483,1,0))*ROUND(Y483*VLOOKUP(INDEX('章节与怪物'!$E$31:$K$37,B483,1),'章节与怪物'!$A$41:$F$44,2,FALSE),0)+IF(1=D483,ROUND(Y483*'难度参数'!$E$28*'章节与怪物'!$E$17,0),0))</x:f>
        <x:v>269290</x:v>
      </x:c>
      <x:c r="AA483" s="119" t="n">
        <x:f>IF(X483=0,0,(X483-IF(1=D483,1,0))*VLOOKUP(INDEX('章节与怪物'!$E$31:$K$37,B483,1),'章节与怪物'!$A$41:$F$44,4,FALSE)+IF(1=D483,'难度参数'!$E$30,0))</x:f>
        <x:v>630</x:v>
      </x:c>
      <x:c r="AB483" s="119" t="n">
        <x:f>IF(2&gt;D483,0,MAX(2,MIN('难度参数'!$E$12,ROUND(('难度参数'!$E$18*POWER(A483,'难度参数'!$E$19)/D483*(0.85+0.3*(2-1)/MAX(1,D483-1))),0)+F483)))</x:f>
        <x:v>37</x:v>
      </x:c>
      <x:c r="AC483" s="119" t="n">
        <x:f>IF(2&gt;D483,0,ROUND(('难度参数'!$E$13*POWER(A483,'难度参数'!$E$20)*MIN('难度参数'!$E$23,1+MAX(0,A483-'难度参数'!$E$21)*'难度参数'!$E$22))*(36+2*7)/(36+7*(D483+1)/2)*E483,0))</x:f>
        <x:v>8947</x:v>
      </x:c>
      <x:c r="AD483" s="119" t="n">
        <x:f>IF(AB483=0,0,(AB483-IF(2=D483,1,0))*ROUND(AC483*VLOOKUP(INDEX('章节与怪物'!$E$31:$K$37,B483,2),'章节与怪物'!$A$41:$F$44,2,FALSE),0)+IF(2=D483,ROUND(AC483*'难度参数'!$E$28*'章节与怪物'!$E$17,0),0))</x:f>
        <x:v>238354</x:v>
      </x:c>
      <x:c r="AE483" s="119" t="n">
        <x:f>IF(AB483=0,0,(AB483-IF(2=D483,1,0))*VLOOKUP(INDEX('章节与怪物'!$E$31:$K$37,B483,2),'章节与怪物'!$A$41:$F$44,4,FALSE)+IF(2=D483,'难度参数'!$E$30,0))</x:f>
        <x:v>740</x:v>
      </x:c>
      <x:c r="AF483" s="119" t="n">
        <x:f>IF(3&gt;D483,0,MAX(2,MIN('难度参数'!$E$12,ROUND(('难度参数'!$E$18*POWER(A483,'难度参数'!$E$19)/D483*(0.85+0.3*(3-1)/MAX(1,D483-1))),0)+F483)))</x:f>
        <x:v>39</x:v>
      </x:c>
      <x:c r="AG483" s="119" t="n">
        <x:f>IF(3&gt;D483,0,ROUND(('难度参数'!$E$13*POWER(A483,'难度参数'!$E$20)*MIN('难度参数'!$E$23,1+MAX(0,A483-'难度参数'!$E$21)*'难度参数'!$E$22))*(36+3*7)/(36+7*(D483+1)/2)*E483,0))</x:f>
        <x:v>10199</x:v>
      </x:c>
      <x:c r="AH483" s="119" t="n">
        <x:f>IF(AF483=0,0,(AF483-IF(3=D483,1,0))*ROUND(AG483*VLOOKUP(INDEX('章节与怪物'!$E$31:$K$37,B483,3),'章节与怪物'!$A$41:$F$44,2,FALSE),0)+IF(3=D483,ROUND(AG483*'难度参数'!$E$28*'章节与怪物'!$E$17,0),0))</x:f>
        <x:v>676182</x:v>
      </x:c>
      <x:c r="AI483" s="119" t="n">
        <x:f>IF(AF483=0,0,(AF483-IF(3=D483,1,0))*VLOOKUP(INDEX('章节与怪物'!$E$31:$K$37,B483,3),'章节与怪物'!$A$41:$F$44,4,FALSE)+IF(3=D483,'难度参数'!$E$30,0))</x:f>
        <x:v>1092</x:v>
      </x:c>
      <x:c r="AJ483" s="119" t="n">
        <x:f>IF(4&gt;D483,0,MAX(2,MIN('难度参数'!$E$12,ROUND(('难度参数'!$E$18*POWER(A483,'难度参数'!$E$19)/D483*(0.85+0.3*(4-1)/MAX(1,D483-1))),0)+F483)))</x:f>
        <x:v>41</x:v>
      </x:c>
      <x:c r="AK483" s="119" t="n">
        <x:f>IF(4&gt;D483,0,ROUND(('难度参数'!$E$13*POWER(A483,'难度参数'!$E$20)*MIN('难度参数'!$E$23,1+MAX(0,A483-'难度参数'!$E$21)*'难度参数'!$E$22))*(36+4*7)/(36+7*(D483+1)/2)*E483,0))</x:f>
        <x:v>11452</x:v>
      </x:c>
      <x:c r="AL483" s="119" t="n">
        <x:f>IF(AJ483=0,0,(AJ483-IF(4=D483,1,0))*ROUND(AK483*VLOOKUP(INDEX('章节与怪物'!$E$31:$K$37,B483,4),'章节与怪物'!$A$41:$F$44,2,FALSE),0)+IF(4=D483,ROUND(AK483*'难度参数'!$E$28*'章节与怪物'!$E$17,0),0))</x:f>
        <x:v>633860</x:v>
      </x:c>
      <x:c r="AM483" s="119" t="n">
        <x:f>IF(AJ483=0,0,(AJ483-IF(4=D483,1,0))*VLOOKUP(INDEX('章节与怪物'!$E$31:$K$37,B483,4),'章节与怪物'!$A$41:$F$44,4,FALSE)+IF(4=D483,'难度参数'!$E$30,0))</x:f>
        <x:v>1394</x:v>
      </x:c>
      <x:c r="AN483" s="119" t="n">
        <x:f>IF(5&gt;D483,0,MAX(2,MIN('难度参数'!$E$12,ROUND(('难度参数'!$E$18*POWER(A483,'难度参数'!$E$19)/D483*(0.85+0.3*(5-1)/MAX(1,D483-1))),0)+F483)))</x:f>
        <x:v>43</x:v>
      </x:c>
      <x:c r="AO483" s="119" t="n">
        <x:f>IF(5&gt;D483,0,ROUND(('难度参数'!$E$13*POWER(A483,'难度参数'!$E$20)*MIN('难度参数'!$E$23,1+MAX(0,A483-'难度参数'!$E$21)*'难度参数'!$E$22))*(36+5*7)/(36+7*(D483+1)/2)*E483,0))</x:f>
        <x:v>12704</x:v>
      </x:c>
      <x:c r="AP483" s="119" t="n">
        <x:f>IF(AN483=0,0,(AN483-IF(5=D483,1,0))*ROUND(AO483*VLOOKUP(INDEX('章节与怪物'!$E$31:$K$37,B483,5),'章节与怪物'!$A$41:$F$44,2,FALSE),0)+IF(5=D483,ROUND(AO483*'难度参数'!$E$28*'章节与怪物'!$E$17,0),0))</x:f>
        <x:v>393321</x:v>
      </x:c>
      <x:c r="AQ483" s="119" t="n">
        <x:f>IF(AN483=0,0,(AN483-IF(5=D483,1,0))*VLOOKUP(INDEX('章节与怪物'!$E$31:$K$37,B483,5),'章节与怪物'!$A$41:$F$44,4,FALSE)+IF(5=D483,'难度参数'!$E$30,0))</x:f>
        <x:v>860</x:v>
      </x:c>
      <x:c r="AR483" s="119" t="n">
        <x:f>IF(6&gt;D483,0,MAX(2,MIN('难度参数'!$E$12,ROUND(('难度参数'!$E$18*POWER(A483,'难度参数'!$E$19)/D483*(0.85+0.3*(6-1)/MAX(1,D483-1))),0)+F483)))</x:f>
        <x:v>45</x:v>
      </x:c>
      <x:c r="AS483" s="119" t="n">
        <x:f>IF(6&gt;D483,0,ROUND(('难度参数'!$E$13*POWER(A483,'难度参数'!$E$20)*MIN('难度参数'!$E$23,1+MAX(0,A483-'难度参数'!$E$21)*'难度参数'!$E$22))*(36+6*7)/(36+7*(D483+1)/2)*E483,0))</x:f>
        <x:v>13957</x:v>
      </x:c>
      <x:c r="AT483" s="119" t="n">
        <x:f>IF(AR483=0,0,(AR483-IF(6=D483,1,0))*ROUND(AS483*VLOOKUP(INDEX('章节与怪物'!$E$31:$K$37,B483,6),'章节与怪物'!$A$41:$F$44,2,FALSE),0)+IF(6=D483,ROUND(AS483*'难度参数'!$E$28*'章节与怪物'!$E$17,0),0))</x:f>
        <x:v>1067715</x:v>
      </x:c>
      <x:c r="AU483" s="119" t="n">
        <x:f>IF(AR483=0,0,(AR483-IF(6=D483,1,0))*VLOOKUP(INDEX('章节与怪物'!$E$31:$K$37,B483,6),'章节与怪物'!$A$41:$F$44,4,FALSE)+IF(6=D483,'难度参数'!$E$30,0))</x:f>
        <x:v>1260</x:v>
      </x:c>
      <x:c r="AV483" s="119" t="n">
        <x:f>IF(7&gt;D483,0,MAX(2,MIN('难度参数'!$E$12,ROUND(('难度参数'!$E$18*POWER(A483,'难度参数'!$E$19)/D483*(0.85+0.3*(7-1)/MAX(1,D483-1))),0)+F483)))</x:f>
        <x:v>47</x:v>
      </x:c>
      <x:c r="AW483" s="119" t="n">
        <x:f>IF(7&gt;D483,0,ROUND(('难度参数'!$E$13*POWER(A483,'难度参数'!$E$20)*MIN('难度参数'!$E$23,1+MAX(0,A483-'难度参数'!$E$21)*'难度参数'!$E$22))*(36+7*7)/(36+7*(D483+1)/2)*E483,0))</x:f>
        <x:v>15209</x:v>
      </x:c>
      <x:c r="AX483" s="119" t="n">
        <x:f>IF(AV483=0,0,(AV483-IF(7=D483,1,0))*ROUND(AW483*VLOOKUP(INDEX('章节与怪物'!$E$31:$K$37,B483,7),'章节与怪物'!$A$41:$F$44,2,FALSE),0)+IF(7=D483,ROUND(AW483*'难度参数'!$E$28*'章节与怪物'!$E$17,0),0))</x:f>
        <x:v>1047893</x:v>
      </x:c>
      <x:c r="AY483" s="119" t="n">
        <x:f>IF(AV483=0,0,(AV483-IF(7=D483,1,0))*VLOOKUP(INDEX('章节与怪物'!$E$31:$K$37,B483,7),'章节与怪物'!$A$41:$F$44,4,FALSE)+IF(7=D483,'难度参数'!$E$30,0))</x:f>
        <x:v>1764</x:v>
      </x:c>
    </x:row>
    <x:row r="484" ht="23" customHeight="1">
      <x:c r="A484" s="119" t="n">
        <x:v>478</x:v>
      </x:c>
      <x:c r="B484" s="119" t="n">
        <x:f>MOD(INT((A484-1)/5),7)+1</x:f>
        <x:v>5</x:v>
      </x:c>
      <x:c r="C484" s="62" t="str">
        <x:f>INDEX('章节与怪物'!$B$31:$B$37,B484)</x:f>
        <x:v>雨林遗迹</x:v>
      </x:c>
      <x:c r="D484" s="119" t="n">
        <x:f>MIN('难度参数'!$E$8,MAX('难度参数'!$E$7,A484))</x:f>
        <x:v>7</x:v>
      </x:c>
      <x:c r="E484" s="106" t="n">
        <x:v>1</x:v>
      </x:c>
      <x:c r="F484" s="106" t="n">
        <x:v>0</x:v>
      </x:c>
      <x:c r="G484" s="106" t="n">
        <x:v>1</x:v>
      </x:c>
      <x:c r="H484" s="119" t="n">
        <x:f>SUM(X484,AB484,AF484,AJ484,AN484,AR484,AV484)</x:f>
        <x:v>287</x:v>
      </x:c>
      <x:c r="I484" s="119" t="n">
        <x:f>SUM(Z484,AD484,AH484,AL484,AP484,AT484,AX484)</x:f>
        <x:v>4333130</x:v>
      </x:c>
      <x:c r="J484" s="119" t="n">
        <x:f>ROUND(INDEX(X484:AY484,1,(D484-1)*4+2)*'难度参数'!$E$28*'章节与怪物'!$E$17,0)</x:f>
        <x:v>103578</x:v>
      </x:c>
      <x:c r="K484" s="119" t="n">
        <x:f>SUM(AA484,AE484,AI484,AM484,AQ484,AU484,AY484)</x:f>
        <x:v>7740</x:v>
      </x:c>
      <x:c r="L484" s="62" t="n">
        <x:f>H484*(ROUNDUP('难度参数'!$E$24/('难度参数'!$E$26*'难度参数'!$E$27),0)*'难度参数'!$E$26)/60</x:f>
        <x:v>3.826666666666667</x:v>
      </x:c>
      <x:c r="M484" s="62" t="n">
        <x:f>L484+D484*('难度参数'!$E$49+'难度参数'!$E$50)/60</x:f>
        <x:v>4.993333333333334</x:v>
      </x:c>
      <x:c r="N484" s="119" t="n">
        <x:f>ROUNDDOWN(('经济参数'!$E$20+A484*'经济参数'!$E$21)*G484,0)</x:f>
        <x:v>9740</x:v>
      </x:c>
      <x:c r="O484" s="119" t="n">
        <x:f>ROUNDDOWN(MIN('经济参数'!$E$24,'经济参数'!$E$22+A484*'经济参数'!$E$23)*G484,0)</x:f>
        <x:v>0</x:v>
      </x:c>
      <x:c r="P484" s="119" t="n">
        <x:f>ROUNDDOWN((IF(A484&gt;='材料与任务'!$E$31,'材料与任务'!$E$32,IF(A484&gt;='材料与任务'!$E$25,'材料与任务'!$E$26,IF(A484&gt;='材料与任务'!$E$19,'材料与任务'!$E$20,IF(A484&gt;='材料与任务'!$E$13,'材料与任务'!$E$14,'材料与任务'!$E$8)))))*G484,0)</x:f>
        <x:v>6</x:v>
      </x:c>
      <x:c r="Q484" s="119" t="n">
        <x:f>ROUNDDOWN((IF(A484&gt;='材料与任务'!$E$31,'材料与任务'!$E$33,IF(A484&gt;='材料与任务'!$E$25,'材料与任务'!$E$27,IF(A484&gt;='材料与任务'!$E$19,'材料与任务'!$E$21,IF(A484&gt;='材料与任务'!$E$13,'材料与任务'!$E$15,'材料与任务'!$E$9)))))*G484,0)</x:f>
        <x:v>3</x:v>
      </x:c>
      <x:c r="R484" s="110" t="n">
        <x:f>'装备掉落'!$B$38</x:f>
        <x:v>0.6872058758851213</x:v>
      </x:c>
      <x:c r="S484" s="119" t="n">
        <x:f>MAX(IF(VLOOKUP(A484,'装备掉落'!$A$29:$H$34,2,TRUE)&gt;0,1,0),IF(VLOOKUP(A484,'装备掉落'!$A$29:$H$34,3,TRUE)&gt;0,2,0),IF(VLOOKUP(A484,'装备掉落'!$A$29:$H$34,4,TRUE)&gt;0,3,0),IF(VLOOKUP(A484,'装备掉落'!$A$29:$H$34,5,TRUE)&gt;0,4,0),IF(VLOOKUP(A484,'装备掉落'!$A$29:$H$34,6,TRUE)&gt;0,5,0),IF(VLOOKUP(A484,'装备掉落'!$A$29:$H$34,7,TRUE)&gt;0,6,0),IF(VLOOKUP(A484,'装备掉落'!$A$29:$H$34,8,TRUE)&gt;0,7,0))</x:f>
        <x:v>7</x:v>
      </x:c>
      <x:c r="T484" s="119" t="n">
        <x:f>MIN(7,S484+'经济参数'!$E$70)</x:f>
        <x:v>7</x:v>
      </x:c>
      <x:c r="U484" s="119" t="n">
        <x:f>MIN(7,S484+'经济参数'!$E$71)</x:f>
        <x:v>7</x:v>
      </x:c>
      <x:c r="V484" s="119" t="n">
        <x:f>IF(H484&gt;=('难度参数'!$E$52),1,0)+IF(H484&gt;=('难度参数'!$E$52+'难度参数'!$E$53),1,0)+IF(H484&gt;=('难度参数'!$E$52+'难度参数'!$E$53+'难度参数'!$E$54),1,0)+IF(H484&gt;=('难度参数'!$E$52+'难度参数'!$E$53+'难度参数'!$E$54+'难度参数'!$E$55),1,0)+IF(H484&gt;=('难度参数'!$E$52+'难度参数'!$E$53+'难度参数'!$E$54+'难度参数'!$E$55+'难度参数'!$E$56),1,0)+IF(H484&gt;=('难度参数'!$E$52+'难度参数'!$E$53+'难度参数'!$E$54+'难度参数'!$E$55+'难度参数'!$E$56+'难度参数'!$E$57),1,0)</x:f>
        <x:v>6</x:v>
      </x:c>
      <x:c r="W484" s="62" t="str">
        <x:f>IF(L484&gt;'难度参数'!$E$51,"仅出怪已超目标","还需实测")</x:f>
        <x:v>仅出怪已超目标</x:v>
      </x:c>
      <x:c r="X484" s="119" t="n">
        <x:f>IF(1&gt;D484,0,MAX(2,MIN('难度参数'!$E$12,ROUND(('难度参数'!$E$18*POWER(A484,'难度参数'!$E$19)/D484*(0.85+0.3*(1-1)/MAX(1,D484-1))),0)+F484)))</x:f>
        <x:v>35</x:v>
      </x:c>
      <x:c r="Y484" s="119" t="n">
        <x:f>IF(1&gt;D484,0,ROUND(('难度参数'!$E$13*POWER(A484,'难度参数'!$E$20)*MIN('难度参数'!$E$23,1+MAX(0,A484-'难度参数'!$E$21)*'难度参数'!$E$22))*(36+1*7)/(36+7*(D484+1)/2)*E484,0))</x:f>
        <x:v>7706</x:v>
      </x:c>
      <x:c r="Z484" s="119" t="n">
        <x:f>IF(X484=0,0,(X484-IF(1=D484,1,0))*ROUND(Y484*VLOOKUP(INDEX('章节与怪物'!$E$31:$K$37,B484,1),'章节与怪物'!$A$41:$F$44,2,FALSE),0)+IF(1=D484,ROUND(Y484*'难度参数'!$E$28*'章节与怪物'!$E$17,0),0))</x:f>
        <x:v>269710</x:v>
      </x:c>
      <x:c r="AA484" s="119" t="n">
        <x:f>IF(X484=0,0,(X484-IF(1=D484,1,0))*VLOOKUP(INDEX('章节与怪物'!$E$31:$K$37,B484,1),'章节与怪物'!$A$41:$F$44,4,FALSE)+IF(1=D484,'难度参数'!$E$30,0))</x:f>
        <x:v>630</x:v>
      </x:c>
      <x:c r="AB484" s="119" t="n">
        <x:f>IF(2&gt;D484,0,MAX(2,MIN('难度参数'!$E$12,ROUND(('难度参数'!$E$18*POWER(A484,'难度参数'!$E$19)/D484*(0.85+0.3*(2-1)/MAX(1,D484-1))),0)+F484)))</x:f>
        <x:v>37</x:v>
      </x:c>
      <x:c r="AC484" s="119" t="n">
        <x:f>IF(2&gt;D484,0,ROUND(('难度参数'!$E$13*POWER(A484,'难度参数'!$E$20)*MIN('难度参数'!$E$23,1+MAX(0,A484-'难度参数'!$E$21)*'难度参数'!$E$22))*(36+2*7)/(36+7*(D484+1)/2)*E484,0))</x:f>
        <x:v>8960</x:v>
      </x:c>
      <x:c r="AD484" s="119" t="n">
        <x:f>IF(AB484=0,0,(AB484-IF(2=D484,1,0))*ROUND(AC484*VLOOKUP(INDEX('章节与怪物'!$E$31:$K$37,B484,2),'章节与怪物'!$A$41:$F$44,2,FALSE),0)+IF(2=D484,ROUND(AC484*'难度参数'!$E$28*'章节与怪物'!$E$17,0),0))</x:f>
        <x:v>238687</x:v>
      </x:c>
      <x:c r="AE484" s="119" t="n">
        <x:f>IF(AB484=0,0,(AB484-IF(2=D484,1,0))*VLOOKUP(INDEX('章节与怪物'!$E$31:$K$37,B484,2),'章节与怪物'!$A$41:$F$44,4,FALSE)+IF(2=D484,'难度参数'!$E$30,0))</x:f>
        <x:v>740</x:v>
      </x:c>
      <x:c r="AF484" s="119" t="n">
        <x:f>IF(3&gt;D484,0,MAX(2,MIN('难度参数'!$E$12,ROUND(('难度参数'!$E$18*POWER(A484,'难度参数'!$E$19)/D484*(0.85+0.3*(3-1)/MAX(1,D484-1))),0)+F484)))</x:f>
        <x:v>39</x:v>
      </x:c>
      <x:c r="AG484" s="119" t="n">
        <x:f>IF(3&gt;D484,0,ROUND(('难度参数'!$E$13*POWER(A484,'难度参数'!$E$20)*MIN('难度参数'!$E$23,1+MAX(0,A484-'难度参数'!$E$21)*'难度参数'!$E$22))*(36+3*7)/(36+7*(D484+1)/2)*E484,0))</x:f>
        <x:v>10214</x:v>
      </x:c>
      <x:c r="AH484" s="119" t="n">
        <x:f>IF(AF484=0,0,(AF484-IF(3=D484,1,0))*ROUND(AG484*VLOOKUP(INDEX('章节与怪物'!$E$31:$K$37,B484,3),'章节与怪物'!$A$41:$F$44,2,FALSE),0)+IF(3=D484,ROUND(AG484*'难度参数'!$E$28*'章节与怪物'!$E$17,0),0))</x:f>
        <x:v>677196</x:v>
      </x:c>
      <x:c r="AI484" s="119" t="n">
        <x:f>IF(AF484=0,0,(AF484-IF(3=D484,1,0))*VLOOKUP(INDEX('章节与怪物'!$E$31:$K$37,B484,3),'章节与怪物'!$A$41:$F$44,4,FALSE)+IF(3=D484,'难度参数'!$E$30,0))</x:f>
        <x:v>1092</x:v>
      </x:c>
      <x:c r="AJ484" s="119" t="n">
        <x:f>IF(4&gt;D484,0,MAX(2,MIN('难度参数'!$E$12,ROUND(('难度参数'!$E$18*POWER(A484,'难度参数'!$E$19)/D484*(0.85+0.3*(4-1)/MAX(1,D484-1))),0)+F484)))</x:f>
        <x:v>41</x:v>
      </x:c>
      <x:c r="AK484" s="119" t="n">
        <x:f>IF(4&gt;D484,0,ROUND(('难度参数'!$E$13*POWER(A484,'难度参数'!$E$20)*MIN('难度参数'!$E$23,1+MAX(0,A484-'难度参数'!$E$21)*'难度参数'!$E$22))*(36+4*7)/(36+7*(D484+1)/2)*E484,0))</x:f>
        <x:v>11469</x:v>
      </x:c>
      <x:c r="AL484" s="119" t="n">
        <x:f>IF(AJ484=0,0,(AJ484-IF(4=D484,1,0))*ROUND(AK484*VLOOKUP(INDEX('章节与怪物'!$E$31:$K$37,B484,4),'章节与怪物'!$A$41:$F$44,2,FALSE),0)+IF(4=D484,ROUND(AK484*'难度参数'!$E$28*'章节与怪物'!$E$17,0),0))</x:f>
        <x:v>634803</x:v>
      </x:c>
      <x:c r="AM484" s="119" t="n">
        <x:f>IF(AJ484=0,0,(AJ484-IF(4=D484,1,0))*VLOOKUP(INDEX('章节与怪物'!$E$31:$K$37,B484,4),'章节与怪物'!$A$41:$F$44,4,FALSE)+IF(4=D484,'难度参数'!$E$30,0))</x:f>
        <x:v>1394</x:v>
      </x:c>
      <x:c r="AN484" s="119" t="n">
        <x:f>IF(5&gt;D484,0,MAX(2,MIN('难度参数'!$E$12,ROUND(('难度参数'!$E$18*POWER(A484,'难度参数'!$E$19)/D484*(0.85+0.3*(5-1)/MAX(1,D484-1))),0)+F484)))</x:f>
        <x:v>43</x:v>
      </x:c>
      <x:c r="AO484" s="119" t="n">
        <x:f>IF(5&gt;D484,0,ROUND(('难度参数'!$E$13*POWER(A484,'难度参数'!$E$20)*MIN('难度参数'!$E$23,1+MAX(0,A484-'难度参数'!$E$21)*'难度参数'!$E$22))*(36+5*7)/(36+7*(D484+1)/2)*E484,0))</x:f>
        <x:v>12723</x:v>
      </x:c>
      <x:c r="AP484" s="119" t="n">
        <x:f>IF(AN484=0,0,(AN484-IF(5=D484,1,0))*ROUND(AO484*VLOOKUP(INDEX('章节与怪物'!$E$31:$K$37,B484,5),'章节与怪物'!$A$41:$F$44,2,FALSE),0)+IF(5=D484,ROUND(AO484*'难度参数'!$E$28*'章节与怪物'!$E$17,0),0))</x:f>
        <x:v>393923</x:v>
      </x:c>
      <x:c r="AQ484" s="119" t="n">
        <x:f>IF(AN484=0,0,(AN484-IF(5=D484,1,0))*VLOOKUP(INDEX('章节与怪物'!$E$31:$K$37,B484,5),'章节与怪物'!$A$41:$F$44,4,FALSE)+IF(5=D484,'难度参数'!$E$30,0))</x:f>
        <x:v>860</x:v>
      </x:c>
      <x:c r="AR484" s="119" t="n">
        <x:f>IF(6&gt;D484,0,MAX(2,MIN('难度参数'!$E$12,ROUND(('难度参数'!$E$18*POWER(A484,'难度参数'!$E$19)/D484*(0.85+0.3*(6-1)/MAX(1,D484-1))),0)+F484)))</x:f>
        <x:v>45</x:v>
      </x:c>
      <x:c r="AS484" s="119" t="n">
        <x:f>IF(6&gt;D484,0,ROUND(('难度参数'!$E$13*POWER(A484,'难度参数'!$E$20)*MIN('难度参数'!$E$23,1+MAX(0,A484-'难度参数'!$E$21)*'难度参数'!$E$22))*(36+6*7)/(36+7*(D484+1)/2)*E484,0))</x:f>
        <x:v>13978</x:v>
      </x:c>
      <x:c r="AT484" s="119" t="n">
        <x:f>IF(AR484=0,0,(AR484-IF(6=D484,1,0))*ROUND(AS484*VLOOKUP(INDEX('章节与怪物'!$E$31:$K$37,B484,6),'章节与怪物'!$A$41:$F$44,2,FALSE),0)+IF(6=D484,ROUND(AS484*'难度参数'!$E$28*'章节与怪物'!$E$17,0),0))</x:f>
        <x:v>1069335</x:v>
      </x:c>
      <x:c r="AU484" s="119" t="n">
        <x:f>IF(AR484=0,0,(AR484-IF(6=D484,1,0))*VLOOKUP(INDEX('章节与怪物'!$E$31:$K$37,B484,6),'章节与怪物'!$A$41:$F$44,4,FALSE)+IF(6=D484,'难度参数'!$E$30,0))</x:f>
        <x:v>1260</x:v>
      </x:c>
      <x:c r="AV484" s="119" t="n">
        <x:f>IF(7&gt;D484,0,MAX(2,MIN('难度参数'!$E$12,ROUND(('难度参数'!$E$18*POWER(A484,'难度参数'!$E$19)/D484*(0.85+0.3*(7-1)/MAX(1,D484-1))),0)+F484)))</x:f>
        <x:v>47</x:v>
      </x:c>
      <x:c r="AW484" s="119" t="n">
        <x:f>IF(7&gt;D484,0,ROUND(('难度参数'!$E$13*POWER(A484,'难度参数'!$E$20)*MIN('难度参数'!$E$23,1+MAX(0,A484-'难度参数'!$E$21)*'难度参数'!$E$22))*(36+7*7)/(36+7*(D484+1)/2)*E484,0))</x:f>
        <x:v>15232</x:v>
      </x:c>
      <x:c r="AX484" s="119" t="n">
        <x:f>IF(AV484=0,0,(AV484-IF(7=D484,1,0))*ROUND(AW484*VLOOKUP(INDEX('章节与怪物'!$E$31:$K$37,B484,7),'章节与怪物'!$A$41:$F$44,2,FALSE),0)+IF(7=D484,ROUND(AW484*'难度参数'!$E$28*'章节与怪物'!$E$17,0),0))</x:f>
        <x:v>1049476</x:v>
      </x:c>
      <x:c r="AY484" s="119" t="n">
        <x:f>IF(AV484=0,0,(AV484-IF(7=D484,1,0))*VLOOKUP(INDEX('章节与怪物'!$E$31:$K$37,B484,7),'章节与怪物'!$A$41:$F$44,4,FALSE)+IF(7=D484,'难度参数'!$E$30,0))</x:f>
        <x:v>1764</x:v>
      </x:c>
    </x:row>
    <x:row r="485" ht="23" customHeight="1">
      <x:c r="A485" s="119" t="n">
        <x:v>479</x:v>
      </x:c>
      <x:c r="B485" s="119" t="n">
        <x:f>MOD(INT((A485-1)/5),7)+1</x:f>
        <x:v>5</x:v>
      </x:c>
      <x:c r="C485" s="62" t="str">
        <x:f>INDEX('章节与怪物'!$B$31:$B$37,B485)</x:f>
        <x:v>雨林遗迹</x:v>
      </x:c>
      <x:c r="D485" s="119" t="n">
        <x:f>MIN('难度参数'!$E$8,MAX('难度参数'!$E$7,A485))</x:f>
        <x:v>7</x:v>
      </x:c>
      <x:c r="E485" s="106" t="n">
        <x:v>1</x:v>
      </x:c>
      <x:c r="F485" s="106" t="n">
        <x:v>0</x:v>
      </x:c>
      <x:c r="G485" s="106" t="n">
        <x:v>1</x:v>
      </x:c>
      <x:c r="H485" s="119" t="n">
        <x:f>SUM(X485,AB485,AF485,AJ485,AN485,AR485,AV485)</x:f>
        <x:v>287</x:v>
      </x:c>
      <x:c r="I485" s="119" t="n">
        <x:f>SUM(Z485,AD485,AH485,AL485,AP485,AT485,AX485)</x:f>
        <x:v>4339597</x:v>
      </x:c>
      <x:c r="J485" s="119" t="n">
        <x:f>ROUND(INDEX(X485:AY485,1,(D485-1)*4+2)*'难度参数'!$E$28*'章节与怪物'!$E$17,0)</x:f>
        <x:v>103734</x:v>
      </x:c>
      <x:c r="K485" s="119" t="n">
        <x:f>SUM(AA485,AE485,AI485,AM485,AQ485,AU485,AY485)</x:f>
        <x:v>7740</x:v>
      </x:c>
      <x:c r="L485" s="62" t="n">
        <x:f>H485*(ROUNDUP('难度参数'!$E$24/('难度参数'!$E$26*'难度参数'!$E$27),0)*'难度参数'!$E$26)/60</x:f>
        <x:v>3.826666666666667</x:v>
      </x:c>
      <x:c r="M485" s="62" t="n">
        <x:f>L485+D485*('难度参数'!$E$49+'难度参数'!$E$50)/60</x:f>
        <x:v>4.993333333333334</x:v>
      </x:c>
      <x:c r="N485" s="119" t="n">
        <x:f>ROUNDDOWN(('经济参数'!$E$20+A485*'经济参数'!$E$21)*G485,0)</x:f>
        <x:v>9760</x:v>
      </x:c>
      <x:c r="O485" s="119" t="n">
        <x:f>ROUNDDOWN(MIN('经济参数'!$E$24,'经济参数'!$E$22+A485*'经济参数'!$E$23)*G485,0)</x:f>
        <x:v>0</x:v>
      </x:c>
      <x:c r="P485" s="119" t="n">
        <x:f>ROUNDDOWN((IF(A485&gt;='材料与任务'!$E$31,'材料与任务'!$E$32,IF(A485&gt;='材料与任务'!$E$25,'材料与任务'!$E$26,IF(A485&gt;='材料与任务'!$E$19,'材料与任务'!$E$20,IF(A485&gt;='材料与任务'!$E$13,'材料与任务'!$E$14,'材料与任务'!$E$8)))))*G485,0)</x:f>
        <x:v>6</x:v>
      </x:c>
      <x:c r="Q485" s="119" t="n">
        <x:f>ROUNDDOWN((IF(A485&gt;='材料与任务'!$E$31,'材料与任务'!$E$33,IF(A485&gt;='材料与任务'!$E$25,'材料与任务'!$E$27,IF(A485&gt;='材料与任务'!$E$19,'材料与任务'!$E$21,IF(A485&gt;='材料与任务'!$E$13,'材料与任务'!$E$15,'材料与任务'!$E$9)))))*G485,0)</x:f>
        <x:v>3</x:v>
      </x:c>
      <x:c r="R485" s="110" t="n">
        <x:f>'装备掉落'!$B$38</x:f>
        <x:v>0.6872058758851213</x:v>
      </x:c>
      <x:c r="S485" s="119" t="n">
        <x:f>MAX(IF(VLOOKUP(A485,'装备掉落'!$A$29:$H$34,2,TRUE)&gt;0,1,0),IF(VLOOKUP(A485,'装备掉落'!$A$29:$H$34,3,TRUE)&gt;0,2,0),IF(VLOOKUP(A485,'装备掉落'!$A$29:$H$34,4,TRUE)&gt;0,3,0),IF(VLOOKUP(A485,'装备掉落'!$A$29:$H$34,5,TRUE)&gt;0,4,0),IF(VLOOKUP(A485,'装备掉落'!$A$29:$H$34,6,TRUE)&gt;0,5,0),IF(VLOOKUP(A485,'装备掉落'!$A$29:$H$34,7,TRUE)&gt;0,6,0),IF(VLOOKUP(A485,'装备掉落'!$A$29:$H$34,8,TRUE)&gt;0,7,0))</x:f>
        <x:v>7</x:v>
      </x:c>
      <x:c r="T485" s="119" t="n">
        <x:f>MIN(7,S485+'经济参数'!$E$70)</x:f>
        <x:v>7</x:v>
      </x:c>
      <x:c r="U485" s="119" t="n">
        <x:f>MIN(7,S485+'经济参数'!$E$71)</x:f>
        <x:v>7</x:v>
      </x:c>
      <x:c r="V485" s="119" t="n">
        <x:f>IF(H485&gt;=('难度参数'!$E$52),1,0)+IF(H485&gt;=('难度参数'!$E$52+'难度参数'!$E$53),1,0)+IF(H485&gt;=('难度参数'!$E$52+'难度参数'!$E$53+'难度参数'!$E$54),1,0)+IF(H485&gt;=('难度参数'!$E$52+'难度参数'!$E$53+'难度参数'!$E$54+'难度参数'!$E$55),1,0)+IF(H485&gt;=('难度参数'!$E$52+'难度参数'!$E$53+'难度参数'!$E$54+'难度参数'!$E$55+'难度参数'!$E$56),1,0)+IF(H485&gt;=('难度参数'!$E$52+'难度参数'!$E$53+'难度参数'!$E$54+'难度参数'!$E$55+'难度参数'!$E$56+'难度参数'!$E$57),1,0)</x:f>
        <x:v>6</x:v>
      </x:c>
      <x:c r="W485" s="62" t="str">
        <x:f>IF(L485&gt;'难度参数'!$E$51,"仅出怪已超目标","还需实测")</x:f>
        <x:v>仅出怪已超目标</x:v>
      </x:c>
      <x:c r="X485" s="119" t="n">
        <x:f>IF(1&gt;D485,0,MAX(2,MIN('难度参数'!$E$12,ROUND(('难度参数'!$E$18*POWER(A485,'难度参数'!$E$19)/D485*(0.85+0.3*(1-1)/MAX(1,D485-1))),0)+F485)))</x:f>
        <x:v>35</x:v>
      </x:c>
      <x:c r="Y485" s="119" t="n">
        <x:f>IF(1&gt;D485,0,ROUND(('难度参数'!$E$13*POWER(A485,'难度参数'!$E$20)*MIN('难度参数'!$E$23,1+MAX(0,A485-'难度参数'!$E$21)*'难度参数'!$E$22))*(36+1*7)/(36+7*(D485+1)/2)*E485,0))</x:f>
        <x:v>7717</x:v>
      </x:c>
      <x:c r="Z485" s="119" t="n">
        <x:f>IF(X485=0,0,(X485-IF(1=D485,1,0))*ROUND(Y485*VLOOKUP(INDEX('章节与怪物'!$E$31:$K$37,B485,1),'章节与怪物'!$A$41:$F$44,2,FALSE),0)+IF(1=D485,ROUND(Y485*'难度参数'!$E$28*'章节与怪物'!$E$17,0),0))</x:f>
        <x:v>270095</x:v>
      </x:c>
      <x:c r="AA485" s="119" t="n">
        <x:f>IF(X485=0,0,(X485-IF(1=D485,1,0))*VLOOKUP(INDEX('章节与怪物'!$E$31:$K$37,B485,1),'章节与怪物'!$A$41:$F$44,4,FALSE)+IF(1=D485,'难度参数'!$E$30,0))</x:f>
        <x:v>630</x:v>
      </x:c>
      <x:c r="AB485" s="119" t="n">
        <x:f>IF(2&gt;D485,0,MAX(2,MIN('难度参数'!$E$12,ROUND(('难度参数'!$E$18*POWER(A485,'难度参数'!$E$19)/D485*(0.85+0.3*(2-1)/MAX(1,D485-1))),0)+F485)))</x:f>
        <x:v>37</x:v>
      </x:c>
      <x:c r="AC485" s="119" t="n">
        <x:f>IF(2&gt;D485,0,ROUND(('难度参数'!$E$13*POWER(A485,'难度参数'!$E$20)*MIN('难度参数'!$E$23,1+MAX(0,A485-'难度参数'!$E$21)*'难度参数'!$E$22))*(36+2*7)/(36+7*(D485+1)/2)*E485,0))</x:f>
        <x:v>8974</x:v>
      </x:c>
      <x:c r="AD485" s="119" t="n">
        <x:f>IF(AB485=0,0,(AB485-IF(2=D485,1,0))*ROUND(AC485*VLOOKUP(INDEX('章节与怪物'!$E$31:$K$37,B485,2),'章节与怪物'!$A$41:$F$44,2,FALSE),0)+IF(2=D485,ROUND(AC485*'难度参数'!$E$28*'章节与怪物'!$E$17,0),0))</x:f>
        <x:v>239057</x:v>
      </x:c>
      <x:c r="AE485" s="119" t="n">
        <x:f>IF(AB485=0,0,(AB485-IF(2=D485,1,0))*VLOOKUP(INDEX('章节与怪物'!$E$31:$K$37,B485,2),'章节与怪物'!$A$41:$F$44,4,FALSE)+IF(2=D485,'难度参数'!$E$30,0))</x:f>
        <x:v>740</x:v>
      </x:c>
      <x:c r="AF485" s="119" t="n">
        <x:f>IF(3&gt;D485,0,MAX(2,MIN('难度参数'!$E$12,ROUND(('难度参数'!$E$18*POWER(A485,'难度参数'!$E$19)/D485*(0.85+0.3*(3-1)/MAX(1,D485-1))),0)+F485)))</x:f>
        <x:v>39</x:v>
      </x:c>
      <x:c r="AG485" s="119" t="n">
        <x:f>IF(3&gt;D485,0,ROUND(('难度参数'!$E$13*POWER(A485,'难度参数'!$E$20)*MIN('难度参数'!$E$23,1+MAX(0,A485-'难度参数'!$E$21)*'难度参数'!$E$22))*(36+3*7)/(36+7*(D485+1)/2)*E485,0))</x:f>
        <x:v>10230</x:v>
      </x:c>
      <x:c r="AH485" s="119" t="n">
        <x:f>IF(AF485=0,0,(AF485-IF(3=D485,1,0))*ROUND(AG485*VLOOKUP(INDEX('章节与怪物'!$E$31:$K$37,B485,3),'章节与怪物'!$A$41:$F$44,2,FALSE),0)+IF(3=D485,ROUND(AG485*'难度参数'!$E$28*'章节与怪物'!$E$17,0),0))</x:f>
        <x:v>678249</x:v>
      </x:c>
      <x:c r="AI485" s="119" t="n">
        <x:f>IF(AF485=0,0,(AF485-IF(3=D485,1,0))*VLOOKUP(INDEX('章节与怪物'!$E$31:$K$37,B485,3),'章节与怪物'!$A$41:$F$44,4,FALSE)+IF(3=D485,'难度参数'!$E$30,0))</x:f>
        <x:v>1092</x:v>
      </x:c>
      <x:c r="AJ485" s="119" t="n">
        <x:f>IF(4&gt;D485,0,MAX(2,MIN('难度参数'!$E$12,ROUND(('难度参数'!$E$18*POWER(A485,'难度参数'!$E$19)/D485*(0.85+0.3*(4-1)/MAX(1,D485-1))),0)+F485)))</x:f>
        <x:v>41</x:v>
      </x:c>
      <x:c r="AK485" s="119" t="n">
        <x:f>IF(4&gt;D485,0,ROUND(('难度参数'!$E$13*POWER(A485,'难度参数'!$E$20)*MIN('难度参数'!$E$23,1+MAX(0,A485-'难度参数'!$E$21)*'难度参数'!$E$22))*(36+4*7)/(36+7*(D485+1)/2)*E485,0))</x:f>
        <x:v>11486</x:v>
      </x:c>
      <x:c r="AL485" s="119" t="n">
        <x:f>IF(AJ485=0,0,(AJ485-IF(4=D485,1,0))*ROUND(AK485*VLOOKUP(INDEX('章节与怪物'!$E$31:$K$37,B485,4),'章节与怪物'!$A$41:$F$44,2,FALSE),0)+IF(4=D485,ROUND(AK485*'难度参数'!$E$28*'章节与怪物'!$E$17,0),0))</x:f>
        <x:v>635746</x:v>
      </x:c>
      <x:c r="AM485" s="119" t="n">
        <x:f>IF(AJ485=0,0,(AJ485-IF(4=D485,1,0))*VLOOKUP(INDEX('章节与怪物'!$E$31:$K$37,B485,4),'章节与怪物'!$A$41:$F$44,4,FALSE)+IF(4=D485,'难度参数'!$E$30,0))</x:f>
        <x:v>1394</x:v>
      </x:c>
      <x:c r="AN485" s="119" t="n">
        <x:f>IF(5&gt;D485,0,MAX(2,MIN('难度参数'!$E$12,ROUND(('难度参数'!$E$18*POWER(A485,'难度参数'!$E$19)/D485*(0.85+0.3*(5-1)/MAX(1,D485-1))),0)+F485)))</x:f>
        <x:v>43</x:v>
      </x:c>
      <x:c r="AO485" s="119" t="n">
        <x:f>IF(5&gt;D485,0,ROUND(('难度参数'!$E$13*POWER(A485,'难度参数'!$E$20)*MIN('难度参数'!$E$23,1+MAX(0,A485-'难度参数'!$E$21)*'难度参数'!$E$22))*(36+5*7)/(36+7*(D485+1)/2)*E485,0))</x:f>
        <x:v>12742</x:v>
      </x:c>
      <x:c r="AP485" s="119" t="n">
        <x:f>IF(AN485=0,0,(AN485-IF(5=D485,1,0))*ROUND(AO485*VLOOKUP(INDEX('章节与怪物'!$E$31:$K$37,B485,5),'章节与怪物'!$A$41:$F$44,2,FALSE),0)+IF(5=D485,ROUND(AO485*'难度参数'!$E$28*'章节与怪物'!$E$17,0),0))</x:f>
        <x:v>394482</x:v>
      </x:c>
      <x:c r="AQ485" s="119" t="n">
        <x:f>IF(AN485=0,0,(AN485-IF(5=D485,1,0))*VLOOKUP(INDEX('章节与怪物'!$E$31:$K$37,B485,5),'章节与怪物'!$A$41:$F$44,4,FALSE)+IF(5=D485,'难度参数'!$E$30,0))</x:f>
        <x:v>860</x:v>
      </x:c>
      <x:c r="AR485" s="119" t="n">
        <x:f>IF(6&gt;D485,0,MAX(2,MIN('难度参数'!$E$12,ROUND(('难度参数'!$E$18*POWER(A485,'难度参数'!$E$19)/D485*(0.85+0.3*(6-1)/MAX(1,D485-1))),0)+F485)))</x:f>
        <x:v>45</x:v>
      </x:c>
      <x:c r="AS485" s="119" t="n">
        <x:f>IF(6&gt;D485,0,ROUND(('难度参数'!$E$13*POWER(A485,'难度参数'!$E$20)*MIN('难度参数'!$E$23,1+MAX(0,A485-'难度参数'!$E$21)*'难度参数'!$E$22))*(36+6*7)/(36+7*(D485+1)/2)*E485,0))</x:f>
        <x:v>13999</x:v>
      </x:c>
      <x:c r="AT485" s="119" t="n">
        <x:f>IF(AR485=0,0,(AR485-IF(6=D485,1,0))*ROUND(AS485*VLOOKUP(INDEX('章节与怪物'!$E$31:$K$37,B485,6),'章节与怪物'!$A$41:$F$44,2,FALSE),0)+IF(6=D485,ROUND(AS485*'难度参数'!$E$28*'章节与怪物'!$E$17,0),0))</x:f>
        <x:v>1070910</x:v>
      </x:c>
      <x:c r="AU485" s="119" t="n">
        <x:f>IF(AR485=0,0,(AR485-IF(6=D485,1,0))*VLOOKUP(INDEX('章节与怪物'!$E$31:$K$37,B485,6),'章节与怪物'!$A$41:$F$44,4,FALSE)+IF(6=D485,'难度参数'!$E$30,0))</x:f>
        <x:v>1260</x:v>
      </x:c>
      <x:c r="AV485" s="119" t="n">
        <x:f>IF(7&gt;D485,0,MAX(2,MIN('难度参数'!$E$12,ROUND(('难度参数'!$E$18*POWER(A485,'难度参数'!$E$19)/D485*(0.85+0.3*(7-1)/MAX(1,D485-1))),0)+F485)))</x:f>
        <x:v>47</x:v>
      </x:c>
      <x:c r="AW485" s="119" t="n">
        <x:f>IF(7&gt;D485,0,ROUND(('难度参数'!$E$13*POWER(A485,'难度参数'!$E$20)*MIN('难度参数'!$E$23,1+MAX(0,A485-'难度参数'!$E$21)*'难度参数'!$E$22))*(36+7*7)/(36+7*(D485+1)/2)*E485,0))</x:f>
        <x:v>15255</x:v>
      </x:c>
      <x:c r="AX485" s="119" t="n">
        <x:f>IF(AV485=0,0,(AV485-IF(7=D485,1,0))*ROUND(AW485*VLOOKUP(INDEX('章节与怪物'!$E$31:$K$37,B485,7),'章节与怪物'!$A$41:$F$44,2,FALSE),0)+IF(7=D485,ROUND(AW485*'难度参数'!$E$28*'章节与怪物'!$E$17,0),0))</x:f>
        <x:v>1051058</x:v>
      </x:c>
      <x:c r="AY485" s="119" t="n">
        <x:f>IF(AV485=0,0,(AV485-IF(7=D485,1,0))*VLOOKUP(INDEX('章节与怪物'!$E$31:$K$37,B485,7),'章节与怪物'!$A$41:$F$44,4,FALSE)+IF(7=D485,'难度参数'!$E$30,0))</x:f>
        <x:v>1764</x:v>
      </x:c>
    </x:row>
    <x:row r="486" ht="23" customHeight="1">
      <x:c r="A486" s="119" t="n">
        <x:v>480</x:v>
      </x:c>
      <x:c r="B486" s="119" t="n">
        <x:f>MOD(INT((A486-1)/5),7)+1</x:f>
        <x:v>5</x:v>
      </x:c>
      <x:c r="C486" s="62" t="str">
        <x:f>INDEX('章节与怪物'!$B$31:$B$37,B486)</x:f>
        <x:v>雨林遗迹</x:v>
      </x:c>
      <x:c r="D486" s="119" t="n">
        <x:f>MIN('难度参数'!$E$8,MAX('难度参数'!$E$7,A486))</x:f>
        <x:v>7</x:v>
      </x:c>
      <x:c r="E486" s="106" t="n">
        <x:v>1</x:v>
      </x:c>
      <x:c r="F486" s="106" t="n">
        <x:v>0</x:v>
      </x:c>
      <x:c r="G486" s="106" t="n">
        <x:v>1</x:v>
      </x:c>
      <x:c r="H486" s="119" t="n">
        <x:f>SUM(X486,AB486,AF486,AJ486,AN486,AR486,AV486)</x:f>
        <x:v>287</x:v>
      </x:c>
      <x:c r="I486" s="119" t="n">
        <x:f>SUM(Z486,AD486,AH486,AL486,AP486,AT486,AX486)</x:f>
        <x:v>4346191</x:v>
      </x:c>
      <x:c r="J486" s="119" t="n">
        <x:f>ROUND(INDEX(X486:AY486,1,(D486-1)*4+2)*'难度参数'!$E$28*'章节与怪物'!$E$17,0)</x:f>
        <x:v>103890</x:v>
      </x:c>
      <x:c r="K486" s="119" t="n">
        <x:f>SUM(AA486,AE486,AI486,AM486,AQ486,AU486,AY486)</x:f>
        <x:v>7740</x:v>
      </x:c>
      <x:c r="L486" s="62" t="n">
        <x:f>H486*(ROUNDUP('难度参数'!$E$24/('难度参数'!$E$26*'难度参数'!$E$27),0)*'难度参数'!$E$26)/60</x:f>
        <x:v>3.826666666666667</x:v>
      </x:c>
      <x:c r="M486" s="62" t="n">
        <x:f>L486+D486*('难度参数'!$E$49+'难度参数'!$E$50)/60</x:f>
        <x:v>4.993333333333334</x:v>
      </x:c>
      <x:c r="N486" s="119" t="n">
        <x:f>ROUNDDOWN(('经济参数'!$E$20+A486*'经济参数'!$E$21)*G486,0)</x:f>
        <x:v>9780</x:v>
      </x:c>
      <x:c r="O486" s="119" t="n">
        <x:f>ROUNDDOWN(MIN('经济参数'!$E$24,'经济参数'!$E$22+A486*'经济参数'!$E$23)*G486,0)</x:f>
        <x:v>0</x:v>
      </x:c>
      <x:c r="P486" s="119" t="n">
        <x:f>ROUNDDOWN((IF(A486&gt;='材料与任务'!$E$31,'材料与任务'!$E$32,IF(A486&gt;='材料与任务'!$E$25,'材料与任务'!$E$26,IF(A486&gt;='材料与任务'!$E$19,'材料与任务'!$E$20,IF(A486&gt;='材料与任务'!$E$13,'材料与任务'!$E$14,'材料与任务'!$E$8)))))*G486,0)</x:f>
        <x:v>6</x:v>
      </x:c>
      <x:c r="Q486" s="119" t="n">
        <x:f>ROUNDDOWN((IF(A486&gt;='材料与任务'!$E$31,'材料与任务'!$E$33,IF(A486&gt;='材料与任务'!$E$25,'材料与任务'!$E$27,IF(A486&gt;='材料与任务'!$E$19,'材料与任务'!$E$21,IF(A486&gt;='材料与任务'!$E$13,'材料与任务'!$E$15,'材料与任务'!$E$9)))))*G486,0)</x:f>
        <x:v>3</x:v>
      </x:c>
      <x:c r="R486" s="110" t="n">
        <x:f>'装备掉落'!$B$38</x:f>
        <x:v>0.6872058758851213</x:v>
      </x:c>
      <x:c r="S486" s="119" t="n">
        <x:f>MAX(IF(VLOOKUP(A486,'装备掉落'!$A$29:$H$34,2,TRUE)&gt;0,1,0),IF(VLOOKUP(A486,'装备掉落'!$A$29:$H$34,3,TRUE)&gt;0,2,0),IF(VLOOKUP(A486,'装备掉落'!$A$29:$H$34,4,TRUE)&gt;0,3,0),IF(VLOOKUP(A486,'装备掉落'!$A$29:$H$34,5,TRUE)&gt;0,4,0),IF(VLOOKUP(A486,'装备掉落'!$A$29:$H$34,6,TRUE)&gt;0,5,0),IF(VLOOKUP(A486,'装备掉落'!$A$29:$H$34,7,TRUE)&gt;0,6,0),IF(VLOOKUP(A486,'装备掉落'!$A$29:$H$34,8,TRUE)&gt;0,7,0))</x:f>
        <x:v>7</x:v>
      </x:c>
      <x:c r="T486" s="119" t="n">
        <x:f>MIN(7,S486+'经济参数'!$E$70)</x:f>
        <x:v>7</x:v>
      </x:c>
      <x:c r="U486" s="119" t="n">
        <x:f>MIN(7,S486+'经济参数'!$E$71)</x:f>
        <x:v>7</x:v>
      </x:c>
      <x:c r="V486" s="119" t="n">
        <x:f>IF(H486&gt;=('难度参数'!$E$52),1,0)+IF(H486&gt;=('难度参数'!$E$52+'难度参数'!$E$53),1,0)+IF(H486&gt;=('难度参数'!$E$52+'难度参数'!$E$53+'难度参数'!$E$54),1,0)+IF(H486&gt;=('难度参数'!$E$52+'难度参数'!$E$53+'难度参数'!$E$54+'难度参数'!$E$55),1,0)+IF(H486&gt;=('难度参数'!$E$52+'难度参数'!$E$53+'难度参数'!$E$54+'难度参数'!$E$55+'难度参数'!$E$56),1,0)+IF(H486&gt;=('难度参数'!$E$52+'难度参数'!$E$53+'难度参数'!$E$54+'难度参数'!$E$55+'难度参数'!$E$56+'难度参数'!$E$57),1,0)</x:f>
        <x:v>6</x:v>
      </x:c>
      <x:c r="W486" s="62" t="str">
        <x:f>IF(L486&gt;'难度参数'!$E$51,"仅出怪已超目标","还需实测")</x:f>
        <x:v>仅出怪已超目标</x:v>
      </x:c>
      <x:c r="X486" s="119" t="n">
        <x:f>IF(1&gt;D486,0,MAX(2,MIN('难度参数'!$E$12,ROUND(('难度参数'!$E$18*POWER(A486,'难度参数'!$E$19)/D486*(0.85+0.3*(1-1)/MAX(1,D486-1))),0)+F486)))</x:f>
        <x:v>35</x:v>
      </x:c>
      <x:c r="Y486" s="119" t="n">
        <x:f>IF(1&gt;D486,0,ROUND(('难度参数'!$E$13*POWER(A486,'难度参数'!$E$20)*MIN('难度参数'!$E$23,1+MAX(0,A486-'难度参数'!$E$21)*'难度参数'!$E$22))*(36+1*7)/(36+7*(D486+1)/2)*E486,0))</x:f>
        <x:v>7729</x:v>
      </x:c>
      <x:c r="Z486" s="119" t="n">
        <x:f>IF(X486=0,0,(X486-IF(1=D486,1,0))*ROUND(Y486*VLOOKUP(INDEX('章节与怪物'!$E$31:$K$37,B486,1),'章节与怪物'!$A$41:$F$44,2,FALSE),0)+IF(1=D486,ROUND(Y486*'难度参数'!$E$28*'章节与怪物'!$E$17,0),0))</x:f>
        <x:v>270515</x:v>
      </x:c>
      <x:c r="AA486" s="119" t="n">
        <x:f>IF(X486=0,0,(X486-IF(1=D486,1,0))*VLOOKUP(INDEX('章节与怪物'!$E$31:$K$37,B486,1),'章节与怪物'!$A$41:$F$44,4,FALSE)+IF(1=D486,'难度参数'!$E$30,0))</x:f>
        <x:v>630</x:v>
      </x:c>
      <x:c r="AB486" s="119" t="n">
        <x:f>IF(2&gt;D486,0,MAX(2,MIN('难度参数'!$E$12,ROUND(('难度参数'!$E$18*POWER(A486,'难度参数'!$E$19)/D486*(0.85+0.3*(2-1)/MAX(1,D486-1))),0)+F486)))</x:f>
        <x:v>37</x:v>
      </x:c>
      <x:c r="AC486" s="119" t="n">
        <x:f>IF(2&gt;D486,0,ROUND(('难度参数'!$E$13*POWER(A486,'难度参数'!$E$20)*MIN('难度参数'!$E$23,1+MAX(0,A486-'难度参数'!$E$21)*'难度参数'!$E$22))*(36+2*7)/(36+7*(D486+1)/2)*E486,0))</x:f>
        <x:v>8987</x:v>
      </x:c>
      <x:c r="AD486" s="119" t="n">
        <x:f>IF(AB486=0,0,(AB486-IF(2=D486,1,0))*ROUND(AC486*VLOOKUP(INDEX('章节与怪物'!$E$31:$K$37,B486,2),'章节与怪物'!$A$41:$F$44,2,FALSE),0)+IF(2=D486,ROUND(AC486*'难度参数'!$E$28*'章节与怪物'!$E$17,0),0))</x:f>
        <x:v>239427</x:v>
      </x:c>
      <x:c r="AE486" s="119" t="n">
        <x:f>IF(AB486=0,0,(AB486-IF(2=D486,1,0))*VLOOKUP(INDEX('章节与怪物'!$E$31:$K$37,B486,2),'章节与怪物'!$A$41:$F$44,4,FALSE)+IF(2=D486,'难度参数'!$E$30,0))</x:f>
        <x:v>740</x:v>
      </x:c>
      <x:c r="AF486" s="119" t="n">
        <x:f>IF(3&gt;D486,0,MAX(2,MIN('难度参数'!$E$12,ROUND(('难度参数'!$E$18*POWER(A486,'难度参数'!$E$19)/D486*(0.85+0.3*(3-1)/MAX(1,D486-1))),0)+F486)))</x:f>
        <x:v>39</x:v>
      </x:c>
      <x:c r="AG486" s="119" t="n">
        <x:f>IF(3&gt;D486,0,ROUND(('难度参数'!$E$13*POWER(A486,'难度参数'!$E$20)*MIN('难度参数'!$E$23,1+MAX(0,A486-'难度参数'!$E$21)*'难度参数'!$E$22))*(36+3*7)/(36+7*(D486+1)/2)*E486,0))</x:f>
        <x:v>10245</x:v>
      </x:c>
      <x:c r="AH486" s="119" t="n">
        <x:f>IF(AF486=0,0,(AF486-IF(3=D486,1,0))*ROUND(AG486*VLOOKUP(INDEX('章节与怪物'!$E$31:$K$37,B486,3),'章节与怪物'!$A$41:$F$44,2,FALSE),0)+IF(3=D486,ROUND(AG486*'难度参数'!$E$28*'章节与怪物'!$E$17,0),0))</x:f>
        <x:v>679263</x:v>
      </x:c>
      <x:c r="AI486" s="119" t="n">
        <x:f>IF(AF486=0,0,(AF486-IF(3=D486,1,0))*VLOOKUP(INDEX('章节与怪物'!$E$31:$K$37,B486,3),'章节与怪物'!$A$41:$F$44,4,FALSE)+IF(3=D486,'难度参数'!$E$30,0))</x:f>
        <x:v>1092</x:v>
      </x:c>
      <x:c r="AJ486" s="119" t="n">
        <x:f>IF(4&gt;D486,0,MAX(2,MIN('难度参数'!$E$12,ROUND(('难度参数'!$E$18*POWER(A486,'难度参数'!$E$19)/D486*(0.85+0.3*(4-1)/MAX(1,D486-1))),0)+F486)))</x:f>
        <x:v>41</x:v>
      </x:c>
      <x:c r="AK486" s="119" t="n">
        <x:f>IF(4&gt;D486,0,ROUND(('难度参数'!$E$13*POWER(A486,'难度参数'!$E$20)*MIN('难度参数'!$E$23,1+MAX(0,A486-'难度参数'!$E$21)*'难度参数'!$E$22))*(36+4*7)/(36+7*(D486+1)/2)*E486,0))</x:f>
        <x:v>11503</x:v>
      </x:c>
      <x:c r="AL486" s="119" t="n">
        <x:f>IF(AJ486=0,0,(AJ486-IF(4=D486,1,0))*ROUND(AK486*VLOOKUP(INDEX('章节与怪物'!$E$31:$K$37,B486,4),'章节与怪物'!$A$41:$F$44,2,FALSE),0)+IF(4=D486,ROUND(AK486*'难度参数'!$E$28*'章节与怪物'!$E$17,0),0))</x:f>
        <x:v>636689</x:v>
      </x:c>
      <x:c r="AM486" s="119" t="n">
        <x:f>IF(AJ486=0,0,(AJ486-IF(4=D486,1,0))*VLOOKUP(INDEX('章节与怪物'!$E$31:$K$37,B486,4),'章节与怪物'!$A$41:$F$44,4,FALSE)+IF(4=D486,'难度参数'!$E$30,0))</x:f>
        <x:v>1394</x:v>
      </x:c>
      <x:c r="AN486" s="119" t="n">
        <x:f>IF(5&gt;D486,0,MAX(2,MIN('难度参数'!$E$12,ROUND(('难度参数'!$E$18*POWER(A486,'难度参数'!$E$19)/D486*(0.85+0.3*(5-1)/MAX(1,D486-1))),0)+F486)))</x:f>
        <x:v>43</x:v>
      </x:c>
      <x:c r="AO486" s="119" t="n">
        <x:f>IF(5&gt;D486,0,ROUND(('难度参数'!$E$13*POWER(A486,'难度参数'!$E$20)*MIN('难度参数'!$E$23,1+MAX(0,A486-'难度参数'!$E$21)*'难度参数'!$E$22))*(36+5*7)/(36+7*(D486+1)/2)*E486,0))</x:f>
        <x:v>12762</x:v>
      </x:c>
      <x:c r="AP486" s="119" t="n">
        <x:f>IF(AN486=0,0,(AN486-IF(5=D486,1,0))*ROUND(AO486*VLOOKUP(INDEX('章节与怪物'!$E$31:$K$37,B486,5),'章节与怪物'!$A$41:$F$44,2,FALSE),0)+IF(5=D486,ROUND(AO486*'难度参数'!$E$28*'章节与怪物'!$E$17,0),0))</x:f>
        <x:v>395127</x:v>
      </x:c>
      <x:c r="AQ486" s="119" t="n">
        <x:f>IF(AN486=0,0,(AN486-IF(5=D486,1,0))*VLOOKUP(INDEX('章节与怪物'!$E$31:$K$37,B486,5),'章节与怪物'!$A$41:$F$44,4,FALSE)+IF(5=D486,'难度参数'!$E$30,0))</x:f>
        <x:v>860</x:v>
      </x:c>
      <x:c r="AR486" s="119" t="n">
        <x:f>IF(6&gt;D486,0,MAX(2,MIN('难度参数'!$E$12,ROUND(('难度参数'!$E$18*POWER(A486,'难度参数'!$E$19)/D486*(0.85+0.3*(6-1)/MAX(1,D486-1))),0)+F486)))</x:f>
        <x:v>45</x:v>
      </x:c>
      <x:c r="AS486" s="119" t="n">
        <x:f>IF(6&gt;D486,0,ROUND(('难度参数'!$E$13*POWER(A486,'难度参数'!$E$20)*MIN('难度参数'!$E$23,1+MAX(0,A486-'难度参数'!$E$21)*'难度参数'!$E$22))*(36+6*7)/(36+7*(D486+1)/2)*E486,0))</x:f>
        <x:v>14020</x:v>
      </x:c>
      <x:c r="AT486" s="119" t="n">
        <x:f>IF(AR486=0,0,(AR486-IF(6=D486,1,0))*ROUND(AS486*VLOOKUP(INDEX('章节与怪物'!$E$31:$K$37,B486,6),'章节与怪物'!$A$41:$F$44,2,FALSE),0)+IF(6=D486,ROUND(AS486*'难度参数'!$E$28*'章节与怪物'!$E$17,0),0))</x:f>
        <x:v>1072530</x:v>
      </x:c>
      <x:c r="AU486" s="119" t="n">
        <x:f>IF(AR486=0,0,(AR486-IF(6=D486,1,0))*VLOOKUP(INDEX('章节与怪物'!$E$31:$K$37,B486,6),'章节与怪物'!$A$41:$F$44,4,FALSE)+IF(6=D486,'难度参数'!$E$30,0))</x:f>
        <x:v>1260</x:v>
      </x:c>
      <x:c r="AV486" s="119" t="n">
        <x:f>IF(7&gt;D486,0,MAX(2,MIN('难度参数'!$E$12,ROUND(('难度参数'!$E$18*POWER(A486,'难度参数'!$E$19)/D486*(0.85+0.3*(7-1)/MAX(1,D486-1))),0)+F486)))</x:f>
        <x:v>47</x:v>
      </x:c>
      <x:c r="AW486" s="119" t="n">
        <x:f>IF(7&gt;D486,0,ROUND(('难度参数'!$E$13*POWER(A486,'难度参数'!$E$20)*MIN('难度参数'!$E$23,1+MAX(0,A486-'难度参数'!$E$21)*'难度参数'!$E$22))*(36+7*7)/(36+7*(D486+1)/2)*E486,0))</x:f>
        <x:v>15278</x:v>
      </x:c>
      <x:c r="AX486" s="119" t="n">
        <x:f>IF(AV486=0,0,(AV486-IF(7=D486,1,0))*ROUND(AW486*VLOOKUP(INDEX('章节与怪物'!$E$31:$K$37,B486,7),'章节与怪物'!$A$41:$F$44,2,FALSE),0)+IF(7=D486,ROUND(AW486*'难度参数'!$E$28*'章节与怪物'!$E$17,0),0))</x:f>
        <x:v>1052640</x:v>
      </x:c>
      <x:c r="AY486" s="119" t="n">
        <x:f>IF(AV486=0,0,(AV486-IF(7=D486,1,0))*VLOOKUP(INDEX('章节与怪物'!$E$31:$K$37,B486,7),'章节与怪物'!$A$41:$F$44,4,FALSE)+IF(7=D486,'难度参数'!$E$30,0))</x:f>
        <x:v>1764</x:v>
      </x:c>
    </x:row>
    <x:row r="487" ht="23" customHeight="1">
      <x:c r="A487" s="119" t="n">
        <x:v>481</x:v>
      </x:c>
      <x:c r="B487" s="119" t="n">
        <x:f>MOD(INT((A487-1)/5),7)+1</x:f>
        <x:v>6</x:v>
      </x:c>
      <x:c r="C487" s="62" t="str">
        <x:f>INDEX('章节与怪物'!$B$31:$B$37,B487)</x:f>
        <x:v>熔岩山脉</x:v>
      </x:c>
      <x:c r="D487" s="119" t="n">
        <x:f>MIN('难度参数'!$E$8,MAX('难度参数'!$E$7,A487))</x:f>
        <x:v>7</x:v>
      </x:c>
      <x:c r="E487" s="106" t="n">
        <x:v>1</x:v>
      </x:c>
      <x:c r="F487" s="106" t="n">
        <x:v>0</x:v>
      </x:c>
      <x:c r="G487" s="106" t="n">
        <x:v>1</x:v>
      </x:c>
      <x:c r="H487" s="119" t="n">
        <x:f>SUM(X487,AB487,AF487,AJ487,AN487,AR487,AV487)</x:f>
        <x:v>287</x:v>
      </x:c>
      <x:c r="I487" s="119" t="n">
        <x:f>SUM(Z487,AD487,AH487,AL487,AP487,AT487,AX487)</x:f>
        <x:v>4524037</x:v>
      </x:c>
      <x:c r="J487" s="119" t="n">
        <x:f>ROUND(INDEX(X487:AY487,1,(D487-1)*4+2)*'难度参数'!$E$28*'章节与怪物'!$E$17,0)</x:f>
        <x:v>104047</x:v>
      </x:c>
      <x:c r="K487" s="119" t="n">
        <x:f>SUM(AA487,AE487,AI487,AM487,AQ487,AU487,AY487)</x:f>
        <x:v>7650</x:v>
      </x:c>
      <x:c r="L487" s="62" t="n">
        <x:f>H487*(ROUNDUP('难度参数'!$E$24/('难度参数'!$E$26*'难度参数'!$E$27),0)*'难度参数'!$E$26)/60</x:f>
        <x:v>3.826666666666667</x:v>
      </x:c>
      <x:c r="M487" s="62" t="n">
        <x:f>L487+D487*('难度参数'!$E$49+'难度参数'!$E$50)/60</x:f>
        <x:v>4.993333333333334</x:v>
      </x:c>
      <x:c r="N487" s="119" t="n">
        <x:f>ROUNDDOWN(('经济参数'!$E$20+A487*'经济参数'!$E$21)*G487,0)</x:f>
        <x:v>9800</x:v>
      </x:c>
      <x:c r="O487" s="119" t="n">
        <x:f>ROUNDDOWN(MIN('经济参数'!$E$24,'经济参数'!$E$22+A487*'经济参数'!$E$23)*G487,0)</x:f>
        <x:v>0</x:v>
      </x:c>
      <x:c r="P487" s="119" t="n">
        <x:f>ROUNDDOWN((IF(A487&gt;='材料与任务'!$E$31,'材料与任务'!$E$32,IF(A487&gt;='材料与任务'!$E$25,'材料与任务'!$E$26,IF(A487&gt;='材料与任务'!$E$19,'材料与任务'!$E$20,IF(A487&gt;='材料与任务'!$E$13,'材料与任务'!$E$14,'材料与任务'!$E$8)))))*G487,0)</x:f>
        <x:v>6</x:v>
      </x:c>
      <x:c r="Q487" s="119" t="n">
        <x:f>ROUNDDOWN((IF(A487&gt;='材料与任务'!$E$31,'材料与任务'!$E$33,IF(A487&gt;='材料与任务'!$E$25,'材料与任务'!$E$27,IF(A487&gt;='材料与任务'!$E$19,'材料与任务'!$E$21,IF(A487&gt;='材料与任务'!$E$13,'材料与任务'!$E$15,'材料与任务'!$E$9)))))*G487,0)</x:f>
        <x:v>3</x:v>
      </x:c>
      <x:c r="R487" s="110" t="n">
        <x:f>'装备掉落'!$B$38</x:f>
        <x:v>0.6872058758851213</x:v>
      </x:c>
      <x:c r="S487" s="119" t="n">
        <x:f>MAX(IF(VLOOKUP(A487,'装备掉落'!$A$29:$H$34,2,TRUE)&gt;0,1,0),IF(VLOOKUP(A487,'装备掉落'!$A$29:$H$34,3,TRUE)&gt;0,2,0),IF(VLOOKUP(A487,'装备掉落'!$A$29:$H$34,4,TRUE)&gt;0,3,0),IF(VLOOKUP(A487,'装备掉落'!$A$29:$H$34,5,TRUE)&gt;0,4,0),IF(VLOOKUP(A487,'装备掉落'!$A$29:$H$34,6,TRUE)&gt;0,5,0),IF(VLOOKUP(A487,'装备掉落'!$A$29:$H$34,7,TRUE)&gt;0,6,0),IF(VLOOKUP(A487,'装备掉落'!$A$29:$H$34,8,TRUE)&gt;0,7,0))</x:f>
        <x:v>7</x:v>
      </x:c>
      <x:c r="T487" s="119" t="n">
        <x:f>MIN(7,S487+'经济参数'!$E$70)</x:f>
        <x:v>7</x:v>
      </x:c>
      <x:c r="U487" s="119" t="n">
        <x:f>MIN(7,S487+'经济参数'!$E$71)</x:f>
        <x:v>7</x:v>
      </x:c>
      <x:c r="V487" s="119" t="n">
        <x:f>IF(H487&gt;=('难度参数'!$E$52),1,0)+IF(H487&gt;=('难度参数'!$E$52+'难度参数'!$E$53),1,0)+IF(H487&gt;=('难度参数'!$E$52+'难度参数'!$E$53+'难度参数'!$E$54),1,0)+IF(H487&gt;=('难度参数'!$E$52+'难度参数'!$E$53+'难度参数'!$E$54+'难度参数'!$E$55),1,0)+IF(H487&gt;=('难度参数'!$E$52+'难度参数'!$E$53+'难度参数'!$E$54+'难度参数'!$E$55+'难度参数'!$E$56),1,0)+IF(H487&gt;=('难度参数'!$E$52+'难度参数'!$E$53+'难度参数'!$E$54+'难度参数'!$E$55+'难度参数'!$E$56+'难度参数'!$E$57),1,0)</x:f>
        <x:v>6</x:v>
      </x:c>
      <x:c r="W487" s="62" t="str">
        <x:f>IF(L487&gt;'难度参数'!$E$51,"仅出怪已超目标","还需实测")</x:f>
        <x:v>仅出怪已超目标</x:v>
      </x:c>
      <x:c r="X487" s="119" t="n">
        <x:f>IF(1&gt;D487,0,MAX(2,MIN('难度参数'!$E$12,ROUND(('难度参数'!$E$18*POWER(A487,'难度参数'!$E$19)/D487*(0.85+0.3*(1-1)/MAX(1,D487-1))),0)+F487)))</x:f>
        <x:v>35</x:v>
      </x:c>
      <x:c r="Y487" s="119" t="n">
        <x:f>IF(1&gt;D487,0,ROUND(('难度参数'!$E$13*POWER(A487,'难度参数'!$E$20)*MIN('难度参数'!$E$23,1+MAX(0,A487-'难度参数'!$E$21)*'难度参数'!$E$22))*(36+1*7)/(36+7*(D487+1)/2)*E487,0))</x:f>
        <x:v>7740</x:v>
      </x:c>
      <x:c r="Z487" s="119" t="n">
        <x:f>IF(X487=0,0,(X487-IF(1=D487,1,0))*ROUND(Y487*VLOOKUP(INDEX('章节与怪物'!$E$31:$K$37,B487,1),'章节与怪物'!$A$41:$F$44,2,FALSE),0)+IF(1=D487,ROUND(Y487*'难度参数'!$E$28*'章节与怪物'!$E$17,0),0))</x:f>
        <x:v>195055</x:v>
      </x:c>
      <x:c r="AA487" s="119" t="n">
        <x:f>IF(X487=0,0,(X487-IF(1=D487,1,0))*VLOOKUP(INDEX('章节与怪物'!$E$31:$K$37,B487,1),'章节与怪物'!$A$41:$F$44,4,FALSE)+IF(1=D487,'难度参数'!$E$30,0))</x:f>
        <x:v>700</x:v>
      </x:c>
      <x:c r="AB487" s="119" t="n">
        <x:f>IF(2&gt;D487,0,MAX(2,MIN('难度参数'!$E$12,ROUND(('难度参数'!$E$18*POWER(A487,'难度参数'!$E$19)/D487*(0.85+0.3*(2-1)/MAX(1,D487-1))),0)+F487)))</x:f>
        <x:v>37</x:v>
      </x:c>
      <x:c r="AC487" s="119" t="n">
        <x:f>IF(2&gt;D487,0,ROUND(('难度参数'!$E$13*POWER(A487,'难度参数'!$E$20)*MIN('难度参数'!$E$23,1+MAX(0,A487-'难度参数'!$E$21)*'难度参数'!$E$22))*(36+2*7)/(36+7*(D487+1)/2)*E487,0))</x:f>
        <x:v>9001</x:v>
      </x:c>
      <x:c r="AD487" s="119" t="n">
        <x:f>IF(AB487=0,0,(AB487-IF(2=D487,1,0))*ROUND(AC487*VLOOKUP(INDEX('章节与怪物'!$E$31:$K$37,B487,2),'章节与怪物'!$A$41:$F$44,2,FALSE),0)+IF(2=D487,ROUND(AC487*'难度参数'!$E$28*'章节与怪物'!$E$17,0),0))</x:f>
        <x:v>333037</x:v>
      </x:c>
      <x:c r="AE487" s="119" t="n">
        <x:f>IF(AB487=0,0,(AB487-IF(2=D487,1,0))*VLOOKUP(INDEX('章节与怪物'!$E$31:$K$37,B487,2),'章节与怪物'!$A$41:$F$44,4,FALSE)+IF(2=D487,'难度参数'!$E$30,0))</x:f>
        <x:v>666</x:v>
      </x:c>
      <x:c r="AF487" s="119" t="n">
        <x:f>IF(3&gt;D487,0,MAX(2,MIN('难度参数'!$E$12,ROUND(('难度参数'!$E$18*POWER(A487,'难度参数'!$E$19)/D487*(0.85+0.3*(3-1)/MAX(1,D487-1))),0)+F487)))</x:f>
        <x:v>39</x:v>
      </x:c>
      <x:c r="AG487" s="119" t="n">
        <x:f>IF(3&gt;D487,0,ROUND(('难度参数'!$E$13*POWER(A487,'难度参数'!$E$20)*MIN('难度参数'!$E$23,1+MAX(0,A487-'难度参数'!$E$21)*'难度参数'!$E$22))*(36+3*7)/(36+7*(D487+1)/2)*E487,0))</x:f>
        <x:v>10261</x:v>
      </x:c>
      <x:c r="AH487" s="119" t="n">
        <x:f>IF(AF487=0,0,(AF487-IF(3=D487,1,0))*ROUND(AG487*VLOOKUP(INDEX('章节与怪物'!$E$31:$K$37,B487,3),'章节与怪物'!$A$41:$F$44,2,FALSE),0)+IF(3=D487,ROUND(AG487*'难度参数'!$E$28*'章节与怪物'!$E$17,0),0))</x:f>
        <x:v>680316</x:v>
      </x:c>
      <x:c r="AI487" s="119" t="n">
        <x:f>IF(AF487=0,0,(AF487-IF(3=D487,1,0))*VLOOKUP(INDEX('章节与怪物'!$E$31:$K$37,B487,3),'章节与怪物'!$A$41:$F$44,4,FALSE)+IF(3=D487,'难度参数'!$E$30,0))</x:f>
        <x:v>1092</x:v>
      </x:c>
      <x:c r="AJ487" s="119" t="n">
        <x:f>IF(4&gt;D487,0,MAX(2,MIN('难度参数'!$E$12,ROUND(('难度参数'!$E$18*POWER(A487,'难度参数'!$E$19)/D487*(0.85+0.3*(4-1)/MAX(1,D487-1))),0)+F487)))</x:f>
        <x:v>41</x:v>
      </x:c>
      <x:c r="AK487" s="119" t="n">
        <x:f>IF(4&gt;D487,0,ROUND(('难度参数'!$E$13*POWER(A487,'难度参数'!$E$20)*MIN('难度参数'!$E$23,1+MAX(0,A487-'难度参数'!$E$21)*'难度参数'!$E$22))*(36+4*7)/(36+7*(D487+1)/2)*E487,0))</x:f>
        <x:v>11521</x:v>
      </x:c>
      <x:c r="AL487" s="119" t="n">
        <x:f>IF(AJ487=0,0,(AJ487-IF(4=D487,1,0))*ROUND(AK487*VLOOKUP(INDEX('章节与怪物'!$E$31:$K$37,B487,4),'章节与怪物'!$A$41:$F$44,2,FALSE),0)+IF(4=D487,ROUND(AK487*'难度参数'!$E$28*'章节与怪物'!$E$17,0),0))</x:f>
        <x:v>637673</x:v>
      </x:c>
      <x:c r="AM487" s="119" t="n">
        <x:f>IF(AJ487=0,0,(AJ487-IF(4=D487,1,0))*VLOOKUP(INDEX('章节与怪物'!$E$31:$K$37,B487,4),'章节与怪物'!$A$41:$F$44,4,FALSE)+IF(4=D487,'难度参数'!$E$30,0))</x:f>
        <x:v>1394</x:v>
      </x:c>
      <x:c r="AN487" s="119" t="n">
        <x:f>IF(5&gt;D487,0,MAX(2,MIN('难度参数'!$E$12,ROUND(('难度参数'!$E$18*POWER(A487,'难度参数'!$E$19)/D487*(0.85+0.3*(5-1)/MAX(1,D487-1))),0)+F487)))</x:f>
        <x:v>43</x:v>
      </x:c>
      <x:c r="AO487" s="119" t="n">
        <x:f>IF(5&gt;D487,0,ROUND(('难度参数'!$E$13*POWER(A487,'难度参数'!$E$20)*MIN('难度参数'!$E$23,1+MAX(0,A487-'难度参数'!$E$21)*'难度参数'!$E$22))*(36+5*7)/(36+7*(D487+1)/2)*E487,0))</x:f>
        <x:v>12781</x:v>
      </x:c>
      <x:c r="AP487" s="119" t="n">
        <x:f>IF(AN487=0,0,(AN487-IF(5=D487,1,0))*ROUND(AO487*VLOOKUP(INDEX('章节与怪物'!$E$31:$K$37,B487,5),'章节与怪物'!$A$41:$F$44,2,FALSE),0)+IF(5=D487,ROUND(AO487*'难度参数'!$E$28*'章节与怪物'!$E$17,0),0))</x:f>
        <x:v>549583</x:v>
      </x:c>
      <x:c r="AQ487" s="119" t="n">
        <x:f>IF(AN487=0,0,(AN487-IF(5=D487,1,0))*VLOOKUP(INDEX('章节与怪物'!$E$31:$K$37,B487,5),'章节与怪物'!$A$41:$F$44,4,FALSE)+IF(5=D487,'难度参数'!$E$30,0))</x:f>
        <x:v>774</x:v>
      </x:c>
      <x:c r="AR487" s="119" t="n">
        <x:f>IF(6&gt;D487,0,MAX(2,MIN('难度参数'!$E$12,ROUND(('难度参数'!$E$18*POWER(A487,'难度参数'!$E$19)/D487*(0.85+0.3*(6-1)/MAX(1,D487-1))),0)+F487)))</x:f>
        <x:v>45</x:v>
      </x:c>
      <x:c r="AS487" s="119" t="n">
        <x:f>IF(6&gt;D487,0,ROUND(('难度参数'!$E$13*POWER(A487,'难度参数'!$E$20)*MIN('难度参数'!$E$23,1+MAX(0,A487-'难度参数'!$E$21)*'难度参数'!$E$22))*(36+6*7)/(36+7*(D487+1)/2)*E487,0))</x:f>
        <x:v>14041</x:v>
      </x:c>
      <x:c r="AT487" s="119" t="n">
        <x:f>IF(AR487=0,0,(AR487-IF(6=D487,1,0))*ROUND(AS487*VLOOKUP(INDEX('章节与怪物'!$E$31:$K$37,B487,6),'章节与怪物'!$A$41:$F$44,2,FALSE),0)+IF(6=D487,ROUND(AS487*'难度参数'!$E$28*'章节与怪物'!$E$17,0),0))</x:f>
        <x:v>1074150</x:v>
      </x:c>
      <x:c r="AU487" s="119" t="n">
        <x:f>IF(AR487=0,0,(AR487-IF(6=D487,1,0))*VLOOKUP(INDEX('章节与怪物'!$E$31:$K$37,B487,6),'章节与怪物'!$A$41:$F$44,4,FALSE)+IF(6=D487,'难度参数'!$E$30,0))</x:f>
        <x:v>1260</x:v>
      </x:c>
      <x:c r="AV487" s="119" t="n">
        <x:f>IF(7&gt;D487,0,MAX(2,MIN('难度参数'!$E$12,ROUND(('难度参数'!$E$18*POWER(A487,'难度参数'!$E$19)/D487*(0.85+0.3*(7-1)/MAX(1,D487-1))),0)+F487)))</x:f>
        <x:v>47</x:v>
      </x:c>
      <x:c r="AW487" s="119" t="n">
        <x:f>IF(7&gt;D487,0,ROUND(('难度参数'!$E$13*POWER(A487,'难度参数'!$E$20)*MIN('难度参数'!$E$23,1+MAX(0,A487-'难度参数'!$E$21)*'难度参数'!$E$22))*(36+7*7)/(36+7*(D487+1)/2)*E487,0))</x:f>
        <x:v>15301</x:v>
      </x:c>
      <x:c r="AX487" s="119" t="n">
        <x:f>IF(AV487=0,0,(AV487-IF(7=D487,1,0))*ROUND(AW487*VLOOKUP(INDEX('章节与怪物'!$E$31:$K$37,B487,7),'章节与怪物'!$A$41:$F$44,2,FALSE),0)+IF(7=D487,ROUND(AW487*'难度参数'!$E$28*'章节与怪物'!$E$17,0),0))</x:f>
        <x:v>1054223</x:v>
      </x:c>
      <x:c r="AY487" s="119" t="n">
        <x:f>IF(AV487=0,0,(AV487-IF(7=D487,1,0))*VLOOKUP(INDEX('章节与怪物'!$E$31:$K$37,B487,7),'章节与怪物'!$A$41:$F$44,4,FALSE)+IF(7=D487,'难度参数'!$E$30,0))</x:f>
        <x:v>1764</x:v>
      </x:c>
    </x:row>
    <x:row r="488" ht="23" customHeight="1">
      <x:c r="A488" s="119" t="n">
        <x:v>482</x:v>
      </x:c>
      <x:c r="B488" s="119" t="n">
        <x:f>MOD(INT((A488-1)/5),7)+1</x:f>
        <x:v>6</x:v>
      </x:c>
      <x:c r="C488" s="62" t="str">
        <x:f>INDEX('章节与怪物'!$B$31:$B$37,B488)</x:f>
        <x:v>熔岩山脉</x:v>
      </x:c>
      <x:c r="D488" s="119" t="n">
        <x:f>MIN('难度参数'!$E$8,MAX('难度参数'!$E$7,A488))</x:f>
        <x:v>7</x:v>
      </x:c>
      <x:c r="E488" s="106" t="n">
        <x:v>1</x:v>
      </x:c>
      <x:c r="F488" s="106" t="n">
        <x:v>0</x:v>
      </x:c>
      <x:c r="G488" s="106" t="n">
        <x:v>1</x:v>
      </x:c>
      <x:c r="H488" s="119" t="n">
        <x:f>SUM(X488,AB488,AF488,AJ488,AN488,AR488,AV488)</x:f>
        <x:v>287</x:v>
      </x:c>
      <x:c r="I488" s="119" t="n">
        <x:f>SUM(Z488,AD488,AH488,AL488,AP488,AT488,AX488)</x:f>
        <x:v>4530690</x:v>
      </x:c>
      <x:c r="J488" s="119" t="n">
        <x:f>ROUND(INDEX(X488:AY488,1,(D488-1)*4+2)*'难度参数'!$E$28*'章节与怪物'!$E$17,0)</x:f>
        <x:v>104203</x:v>
      </x:c>
      <x:c r="K488" s="119" t="n">
        <x:f>SUM(AA488,AE488,AI488,AM488,AQ488,AU488,AY488)</x:f>
        <x:v>7650</x:v>
      </x:c>
      <x:c r="L488" s="62" t="n">
        <x:f>H488*(ROUNDUP('难度参数'!$E$24/('难度参数'!$E$26*'难度参数'!$E$27),0)*'难度参数'!$E$26)/60</x:f>
        <x:v>3.826666666666667</x:v>
      </x:c>
      <x:c r="M488" s="62" t="n">
        <x:f>L488+D488*('难度参数'!$E$49+'难度参数'!$E$50)/60</x:f>
        <x:v>4.993333333333334</x:v>
      </x:c>
      <x:c r="N488" s="119" t="n">
        <x:f>ROUNDDOWN(('经济参数'!$E$20+A488*'经济参数'!$E$21)*G488,0)</x:f>
        <x:v>9820</x:v>
      </x:c>
      <x:c r="O488" s="119" t="n">
        <x:f>ROUNDDOWN(MIN('经济参数'!$E$24,'经济参数'!$E$22+A488*'经济参数'!$E$23)*G488,0)</x:f>
        <x:v>0</x:v>
      </x:c>
      <x:c r="P488" s="119" t="n">
        <x:f>ROUNDDOWN((IF(A488&gt;='材料与任务'!$E$31,'材料与任务'!$E$32,IF(A488&gt;='材料与任务'!$E$25,'材料与任务'!$E$26,IF(A488&gt;='材料与任务'!$E$19,'材料与任务'!$E$20,IF(A488&gt;='材料与任务'!$E$13,'材料与任务'!$E$14,'材料与任务'!$E$8)))))*G488,0)</x:f>
        <x:v>6</x:v>
      </x:c>
      <x:c r="Q488" s="119" t="n">
        <x:f>ROUNDDOWN((IF(A488&gt;='材料与任务'!$E$31,'材料与任务'!$E$33,IF(A488&gt;='材料与任务'!$E$25,'材料与任务'!$E$27,IF(A488&gt;='材料与任务'!$E$19,'材料与任务'!$E$21,IF(A488&gt;='材料与任务'!$E$13,'材料与任务'!$E$15,'材料与任务'!$E$9)))))*G488,0)</x:f>
        <x:v>3</x:v>
      </x:c>
      <x:c r="R488" s="110" t="n">
        <x:f>'装备掉落'!$B$38</x:f>
        <x:v>0.6872058758851213</x:v>
      </x:c>
      <x:c r="S488" s="119" t="n">
        <x:f>MAX(IF(VLOOKUP(A488,'装备掉落'!$A$29:$H$34,2,TRUE)&gt;0,1,0),IF(VLOOKUP(A488,'装备掉落'!$A$29:$H$34,3,TRUE)&gt;0,2,0),IF(VLOOKUP(A488,'装备掉落'!$A$29:$H$34,4,TRUE)&gt;0,3,0),IF(VLOOKUP(A488,'装备掉落'!$A$29:$H$34,5,TRUE)&gt;0,4,0),IF(VLOOKUP(A488,'装备掉落'!$A$29:$H$34,6,TRUE)&gt;0,5,0),IF(VLOOKUP(A488,'装备掉落'!$A$29:$H$34,7,TRUE)&gt;0,6,0),IF(VLOOKUP(A488,'装备掉落'!$A$29:$H$34,8,TRUE)&gt;0,7,0))</x:f>
        <x:v>7</x:v>
      </x:c>
      <x:c r="T488" s="119" t="n">
        <x:f>MIN(7,S488+'经济参数'!$E$70)</x:f>
        <x:v>7</x:v>
      </x:c>
      <x:c r="U488" s="119" t="n">
        <x:f>MIN(7,S488+'经济参数'!$E$71)</x:f>
        <x:v>7</x:v>
      </x:c>
      <x:c r="V488" s="119" t="n">
        <x:f>IF(H488&gt;=('难度参数'!$E$52),1,0)+IF(H488&gt;=('难度参数'!$E$52+'难度参数'!$E$53),1,0)+IF(H488&gt;=('难度参数'!$E$52+'难度参数'!$E$53+'难度参数'!$E$54),1,0)+IF(H488&gt;=('难度参数'!$E$52+'难度参数'!$E$53+'难度参数'!$E$54+'难度参数'!$E$55),1,0)+IF(H488&gt;=('难度参数'!$E$52+'难度参数'!$E$53+'难度参数'!$E$54+'难度参数'!$E$55+'难度参数'!$E$56),1,0)+IF(H488&gt;=('难度参数'!$E$52+'难度参数'!$E$53+'难度参数'!$E$54+'难度参数'!$E$55+'难度参数'!$E$56+'难度参数'!$E$57),1,0)</x:f>
        <x:v>6</x:v>
      </x:c>
      <x:c r="W488" s="62" t="str">
        <x:f>IF(L488&gt;'难度参数'!$E$51,"仅出怪已超目标","还需实测")</x:f>
        <x:v>仅出怪已超目标</x:v>
      </x:c>
      <x:c r="X488" s="119" t="n">
        <x:f>IF(1&gt;D488,0,MAX(2,MIN('难度参数'!$E$12,ROUND(('难度参数'!$E$18*POWER(A488,'难度参数'!$E$19)/D488*(0.85+0.3*(1-1)/MAX(1,D488-1))),0)+F488)))</x:f>
        <x:v>35</x:v>
      </x:c>
      <x:c r="Y488" s="119" t="n">
        <x:f>IF(1&gt;D488,0,ROUND(('难度参数'!$E$13*POWER(A488,'难度参数'!$E$20)*MIN('难度参数'!$E$23,1+MAX(0,A488-'难度参数'!$E$21)*'难度参数'!$E$22))*(36+1*7)/(36+7*(D488+1)/2)*E488,0))</x:f>
        <x:v>7752</x:v>
      </x:c>
      <x:c r="Z488" s="119" t="n">
        <x:f>IF(X488=0,0,(X488-IF(1=D488,1,0))*ROUND(Y488*VLOOKUP(INDEX('章节与怪物'!$E$31:$K$37,B488,1),'章节与怪物'!$A$41:$F$44,2,FALSE),0)+IF(1=D488,ROUND(Y488*'难度参数'!$E$28*'章节与怪物'!$E$17,0),0))</x:f>
        <x:v>195335</x:v>
      </x:c>
      <x:c r="AA488" s="119" t="n">
        <x:f>IF(X488=0,0,(X488-IF(1=D488,1,0))*VLOOKUP(INDEX('章节与怪物'!$E$31:$K$37,B488,1),'章节与怪物'!$A$41:$F$44,4,FALSE)+IF(1=D488,'难度参数'!$E$30,0))</x:f>
        <x:v>700</x:v>
      </x:c>
      <x:c r="AB488" s="119" t="n">
        <x:f>IF(2&gt;D488,0,MAX(2,MIN('难度参数'!$E$12,ROUND(('难度参数'!$E$18*POWER(A488,'难度参数'!$E$19)/D488*(0.85+0.3*(2-1)/MAX(1,D488-1))),0)+F488)))</x:f>
        <x:v>37</x:v>
      </x:c>
      <x:c r="AC488" s="119" t="n">
        <x:f>IF(2&gt;D488,0,ROUND(('难度参数'!$E$13*POWER(A488,'难度参数'!$E$20)*MIN('难度参数'!$E$23,1+MAX(0,A488-'难度参数'!$E$21)*'难度参数'!$E$22))*(36+2*7)/(36+7*(D488+1)/2)*E488,0))</x:f>
        <x:v>9014</x:v>
      </x:c>
      <x:c r="AD488" s="119" t="n">
        <x:f>IF(AB488=0,0,(AB488-IF(2=D488,1,0))*ROUND(AC488*VLOOKUP(INDEX('章节与怪物'!$E$31:$K$37,B488,2),'章节与怪物'!$A$41:$F$44,2,FALSE),0)+IF(2=D488,ROUND(AC488*'难度参数'!$E$28*'章节与怪物'!$E$17,0),0))</x:f>
        <x:v>333518</x:v>
      </x:c>
      <x:c r="AE488" s="119" t="n">
        <x:f>IF(AB488=0,0,(AB488-IF(2=D488,1,0))*VLOOKUP(INDEX('章节与怪物'!$E$31:$K$37,B488,2),'章节与怪物'!$A$41:$F$44,4,FALSE)+IF(2=D488,'难度参数'!$E$30,0))</x:f>
        <x:v>666</x:v>
      </x:c>
      <x:c r="AF488" s="119" t="n">
        <x:f>IF(3&gt;D488,0,MAX(2,MIN('难度参数'!$E$12,ROUND(('难度参数'!$E$18*POWER(A488,'难度参数'!$E$19)/D488*(0.85+0.3*(3-1)/MAX(1,D488-1))),0)+F488)))</x:f>
        <x:v>39</x:v>
      </x:c>
      <x:c r="AG488" s="119" t="n">
        <x:f>IF(3&gt;D488,0,ROUND(('难度参数'!$E$13*POWER(A488,'难度参数'!$E$20)*MIN('难度参数'!$E$23,1+MAX(0,A488-'难度参数'!$E$21)*'难度参数'!$E$22))*(36+3*7)/(36+7*(D488+1)/2)*E488,0))</x:f>
        <x:v>10276</x:v>
      </x:c>
      <x:c r="AH488" s="119" t="n">
        <x:f>IF(AF488=0,0,(AF488-IF(3=D488,1,0))*ROUND(AG488*VLOOKUP(INDEX('章节与怪物'!$E$31:$K$37,B488,3),'章节与怪物'!$A$41:$F$44,2,FALSE),0)+IF(3=D488,ROUND(AG488*'难度参数'!$E$28*'章节与怪物'!$E$17,0),0))</x:f>
        <x:v>681291</x:v>
      </x:c>
      <x:c r="AI488" s="119" t="n">
        <x:f>IF(AF488=0,0,(AF488-IF(3=D488,1,0))*VLOOKUP(INDEX('章节与怪物'!$E$31:$K$37,B488,3),'章节与怪物'!$A$41:$F$44,4,FALSE)+IF(3=D488,'难度参数'!$E$30,0))</x:f>
        <x:v>1092</x:v>
      </x:c>
      <x:c r="AJ488" s="119" t="n">
        <x:f>IF(4&gt;D488,0,MAX(2,MIN('难度参数'!$E$12,ROUND(('难度参数'!$E$18*POWER(A488,'难度参数'!$E$19)/D488*(0.85+0.3*(4-1)/MAX(1,D488-1))),0)+F488)))</x:f>
        <x:v>41</x:v>
      </x:c>
      <x:c r="AK488" s="119" t="n">
        <x:f>IF(4&gt;D488,0,ROUND(('难度参数'!$E$13*POWER(A488,'难度参数'!$E$20)*MIN('难度参数'!$E$23,1+MAX(0,A488-'难度参数'!$E$21)*'难度参数'!$E$22))*(36+4*7)/(36+7*(D488+1)/2)*E488,0))</x:f>
        <x:v>11538</x:v>
      </x:c>
      <x:c r="AL488" s="119" t="n">
        <x:f>IF(AJ488=0,0,(AJ488-IF(4=D488,1,0))*ROUND(AK488*VLOOKUP(INDEX('章节与怪物'!$E$31:$K$37,B488,4),'章节与怪物'!$A$41:$F$44,2,FALSE),0)+IF(4=D488,ROUND(AK488*'难度参数'!$E$28*'章节与怪物'!$E$17,0),0))</x:f>
        <x:v>638616</x:v>
      </x:c>
      <x:c r="AM488" s="119" t="n">
        <x:f>IF(AJ488=0,0,(AJ488-IF(4=D488,1,0))*VLOOKUP(INDEX('章节与怪物'!$E$31:$K$37,B488,4),'章节与怪物'!$A$41:$F$44,4,FALSE)+IF(4=D488,'难度参数'!$E$30,0))</x:f>
        <x:v>1394</x:v>
      </x:c>
      <x:c r="AN488" s="119" t="n">
        <x:f>IF(5&gt;D488,0,MAX(2,MIN('难度参数'!$E$12,ROUND(('难度参数'!$E$18*POWER(A488,'难度参数'!$E$19)/D488*(0.85+0.3*(5-1)/MAX(1,D488-1))),0)+F488)))</x:f>
        <x:v>43</x:v>
      </x:c>
      <x:c r="AO488" s="119" t="n">
        <x:f>IF(5&gt;D488,0,ROUND(('难度参数'!$E$13*POWER(A488,'难度参数'!$E$20)*MIN('难度参数'!$E$23,1+MAX(0,A488-'难度参数'!$E$21)*'难度参数'!$E$22))*(36+5*7)/(36+7*(D488+1)/2)*E488,0))</x:f>
        <x:v>12800</x:v>
      </x:c>
      <x:c r="AP488" s="119" t="n">
        <x:f>IF(AN488=0,0,(AN488-IF(5=D488,1,0))*ROUND(AO488*VLOOKUP(INDEX('章节与怪物'!$E$31:$K$37,B488,5),'章节与怪物'!$A$41:$F$44,2,FALSE),0)+IF(5=D488,ROUND(AO488*'难度参数'!$E$28*'章节与怪物'!$E$17,0),0))</x:f>
        <x:v>550400</x:v>
      </x:c>
      <x:c r="AQ488" s="119" t="n">
        <x:f>IF(AN488=0,0,(AN488-IF(5=D488,1,0))*VLOOKUP(INDEX('章节与怪物'!$E$31:$K$37,B488,5),'章节与怪物'!$A$41:$F$44,4,FALSE)+IF(5=D488,'难度参数'!$E$30,0))</x:f>
        <x:v>774</x:v>
      </x:c>
      <x:c r="AR488" s="119" t="n">
        <x:f>IF(6&gt;D488,0,MAX(2,MIN('难度参数'!$E$12,ROUND(('难度参数'!$E$18*POWER(A488,'难度参数'!$E$19)/D488*(0.85+0.3*(6-1)/MAX(1,D488-1))),0)+F488)))</x:f>
        <x:v>45</x:v>
      </x:c>
      <x:c r="AS488" s="119" t="n">
        <x:f>IF(6&gt;D488,0,ROUND(('难度参数'!$E$13*POWER(A488,'难度参数'!$E$20)*MIN('难度参数'!$E$23,1+MAX(0,A488-'难度参数'!$E$21)*'难度参数'!$E$22))*(36+6*7)/(36+7*(D488+1)/2)*E488,0))</x:f>
        <x:v>14062</x:v>
      </x:c>
      <x:c r="AT488" s="119" t="n">
        <x:f>IF(AR488=0,0,(AR488-IF(6=D488,1,0))*ROUND(AS488*VLOOKUP(INDEX('章节与怪物'!$E$31:$K$37,B488,6),'章节与怪物'!$A$41:$F$44,2,FALSE),0)+IF(6=D488,ROUND(AS488*'难度参数'!$E$28*'章节与怪物'!$E$17,0),0))</x:f>
        <x:v>1075725</x:v>
      </x:c>
      <x:c r="AU488" s="119" t="n">
        <x:f>IF(AR488=0,0,(AR488-IF(6=D488,1,0))*VLOOKUP(INDEX('章节与怪物'!$E$31:$K$37,B488,6),'章节与怪物'!$A$41:$F$44,4,FALSE)+IF(6=D488,'难度参数'!$E$30,0))</x:f>
        <x:v>1260</x:v>
      </x:c>
      <x:c r="AV488" s="119" t="n">
        <x:f>IF(7&gt;D488,0,MAX(2,MIN('难度参数'!$E$12,ROUND(('难度参数'!$E$18*POWER(A488,'难度参数'!$E$19)/D488*(0.85+0.3*(7-1)/MAX(1,D488-1))),0)+F488)))</x:f>
        <x:v>47</x:v>
      </x:c>
      <x:c r="AW488" s="119" t="n">
        <x:f>IF(7&gt;D488,0,ROUND(('难度参数'!$E$13*POWER(A488,'难度参数'!$E$20)*MIN('难度参数'!$E$23,1+MAX(0,A488-'难度参数'!$E$21)*'难度参数'!$E$22))*(36+7*7)/(36+7*(D488+1)/2)*E488,0))</x:f>
        <x:v>15324</x:v>
      </x:c>
      <x:c r="AX488" s="119" t="n">
        <x:f>IF(AV488=0,0,(AV488-IF(7=D488,1,0))*ROUND(AW488*VLOOKUP(INDEX('章节与怪物'!$E$31:$K$37,B488,7),'章节与怪物'!$A$41:$F$44,2,FALSE),0)+IF(7=D488,ROUND(AW488*'难度参数'!$E$28*'章节与怪物'!$E$17,0),0))</x:f>
        <x:v>1055805</x:v>
      </x:c>
      <x:c r="AY488" s="119" t="n">
        <x:f>IF(AV488=0,0,(AV488-IF(7=D488,1,0))*VLOOKUP(INDEX('章节与怪物'!$E$31:$K$37,B488,7),'章节与怪物'!$A$41:$F$44,4,FALSE)+IF(7=D488,'难度参数'!$E$30,0))</x:f>
        <x:v>1764</x:v>
      </x:c>
    </x:row>
    <x:row r="489" ht="23" customHeight="1">
      <x:c r="A489" s="119" t="n">
        <x:v>483</x:v>
      </x:c>
      <x:c r="B489" s="119" t="n">
        <x:f>MOD(INT((A489-1)/5),7)+1</x:f>
        <x:v>6</x:v>
      </x:c>
      <x:c r="C489" s="62" t="str">
        <x:f>INDEX('章节与怪物'!$B$31:$B$37,B489)</x:f>
        <x:v>熔岩山脉</x:v>
      </x:c>
      <x:c r="D489" s="119" t="n">
        <x:f>MIN('难度参数'!$E$8,MAX('难度参数'!$E$7,A489))</x:f>
        <x:v>7</x:v>
      </x:c>
      <x:c r="E489" s="106" t="n">
        <x:v>1</x:v>
      </x:c>
      <x:c r="F489" s="106" t="n">
        <x:v>0</x:v>
      </x:c>
      <x:c r="G489" s="106" t="n">
        <x:v>1</x:v>
      </x:c>
      <x:c r="H489" s="119" t="n">
        <x:f>SUM(X489,AB489,AF489,AJ489,AN489,AR489,AV489)</x:f>
        <x:v>287</x:v>
      </x:c>
      <x:c r="I489" s="119" t="n">
        <x:f>SUM(Z489,AD489,AH489,AL489,AP489,AT489,AX489)</x:f>
        <x:v>4537463</x:v>
      </x:c>
      <x:c r="J489" s="119" t="n">
        <x:f>ROUND(INDEX(X489:AY489,1,(D489-1)*4+2)*'难度参数'!$E$28*'章节与怪物'!$E$17,0)</x:f>
        <x:v>104360</x:v>
      </x:c>
      <x:c r="K489" s="119" t="n">
        <x:f>SUM(AA489,AE489,AI489,AM489,AQ489,AU489,AY489)</x:f>
        <x:v>7650</x:v>
      </x:c>
      <x:c r="L489" s="62" t="n">
        <x:f>H489*(ROUNDUP('难度参数'!$E$24/('难度参数'!$E$26*'难度参数'!$E$27),0)*'难度参数'!$E$26)/60</x:f>
        <x:v>3.826666666666667</x:v>
      </x:c>
      <x:c r="M489" s="62" t="n">
        <x:f>L489+D489*('难度参数'!$E$49+'难度参数'!$E$50)/60</x:f>
        <x:v>4.993333333333334</x:v>
      </x:c>
      <x:c r="N489" s="119" t="n">
        <x:f>ROUNDDOWN(('经济参数'!$E$20+A489*'经济参数'!$E$21)*G489,0)</x:f>
        <x:v>9840</x:v>
      </x:c>
      <x:c r="O489" s="119" t="n">
        <x:f>ROUNDDOWN(MIN('经济参数'!$E$24,'经济参数'!$E$22+A489*'经济参数'!$E$23)*G489,0)</x:f>
        <x:v>0</x:v>
      </x:c>
      <x:c r="P489" s="119" t="n">
        <x:f>ROUNDDOWN((IF(A489&gt;='材料与任务'!$E$31,'材料与任务'!$E$32,IF(A489&gt;='材料与任务'!$E$25,'材料与任务'!$E$26,IF(A489&gt;='材料与任务'!$E$19,'材料与任务'!$E$20,IF(A489&gt;='材料与任务'!$E$13,'材料与任务'!$E$14,'材料与任务'!$E$8)))))*G489,0)</x:f>
        <x:v>6</x:v>
      </x:c>
      <x:c r="Q489" s="119" t="n">
        <x:f>ROUNDDOWN((IF(A489&gt;='材料与任务'!$E$31,'材料与任务'!$E$33,IF(A489&gt;='材料与任务'!$E$25,'材料与任务'!$E$27,IF(A489&gt;='材料与任务'!$E$19,'材料与任务'!$E$21,IF(A489&gt;='材料与任务'!$E$13,'材料与任务'!$E$15,'材料与任务'!$E$9)))))*G489,0)</x:f>
        <x:v>3</x:v>
      </x:c>
      <x:c r="R489" s="110" t="n">
        <x:f>'装备掉落'!$B$38</x:f>
        <x:v>0.6872058758851213</x:v>
      </x:c>
      <x:c r="S489" s="119" t="n">
        <x:f>MAX(IF(VLOOKUP(A489,'装备掉落'!$A$29:$H$34,2,TRUE)&gt;0,1,0),IF(VLOOKUP(A489,'装备掉落'!$A$29:$H$34,3,TRUE)&gt;0,2,0),IF(VLOOKUP(A489,'装备掉落'!$A$29:$H$34,4,TRUE)&gt;0,3,0),IF(VLOOKUP(A489,'装备掉落'!$A$29:$H$34,5,TRUE)&gt;0,4,0),IF(VLOOKUP(A489,'装备掉落'!$A$29:$H$34,6,TRUE)&gt;0,5,0),IF(VLOOKUP(A489,'装备掉落'!$A$29:$H$34,7,TRUE)&gt;0,6,0),IF(VLOOKUP(A489,'装备掉落'!$A$29:$H$34,8,TRUE)&gt;0,7,0))</x:f>
        <x:v>7</x:v>
      </x:c>
      <x:c r="T489" s="119" t="n">
        <x:f>MIN(7,S489+'经济参数'!$E$70)</x:f>
        <x:v>7</x:v>
      </x:c>
      <x:c r="U489" s="119" t="n">
        <x:f>MIN(7,S489+'经济参数'!$E$71)</x:f>
        <x:v>7</x:v>
      </x:c>
      <x:c r="V489" s="119" t="n">
        <x:f>IF(H489&gt;=('难度参数'!$E$52),1,0)+IF(H489&gt;=('难度参数'!$E$52+'难度参数'!$E$53),1,0)+IF(H489&gt;=('难度参数'!$E$52+'难度参数'!$E$53+'难度参数'!$E$54),1,0)+IF(H489&gt;=('难度参数'!$E$52+'难度参数'!$E$53+'难度参数'!$E$54+'难度参数'!$E$55),1,0)+IF(H489&gt;=('难度参数'!$E$52+'难度参数'!$E$53+'难度参数'!$E$54+'难度参数'!$E$55+'难度参数'!$E$56),1,0)+IF(H489&gt;=('难度参数'!$E$52+'难度参数'!$E$53+'难度参数'!$E$54+'难度参数'!$E$55+'难度参数'!$E$56+'难度参数'!$E$57),1,0)</x:f>
        <x:v>6</x:v>
      </x:c>
      <x:c r="W489" s="62" t="str">
        <x:f>IF(L489&gt;'难度参数'!$E$51,"仅出怪已超目标","还需实测")</x:f>
        <x:v>仅出怪已超目标</x:v>
      </x:c>
      <x:c r="X489" s="119" t="n">
        <x:f>IF(1&gt;D489,0,MAX(2,MIN('难度参数'!$E$12,ROUND(('难度参数'!$E$18*POWER(A489,'难度参数'!$E$19)/D489*(0.85+0.3*(1-1)/MAX(1,D489-1))),0)+F489)))</x:f>
        <x:v>35</x:v>
      </x:c>
      <x:c r="Y489" s="119" t="n">
        <x:f>IF(1&gt;D489,0,ROUND(('难度参数'!$E$13*POWER(A489,'难度参数'!$E$20)*MIN('难度参数'!$E$23,1+MAX(0,A489-'难度参数'!$E$21)*'难度参数'!$E$22))*(36+1*7)/(36+7*(D489+1)/2)*E489,0))</x:f>
        <x:v>7764</x:v>
      </x:c>
      <x:c r="Z489" s="119" t="n">
        <x:f>IF(X489=0,0,(X489-IF(1=D489,1,0))*ROUND(Y489*VLOOKUP(INDEX('章节与怪物'!$E$31:$K$37,B489,1),'章节与怪物'!$A$41:$F$44,2,FALSE),0)+IF(1=D489,ROUND(Y489*'难度参数'!$E$28*'章节与怪物'!$E$17,0),0))</x:f>
        <x:v>195650</x:v>
      </x:c>
      <x:c r="AA489" s="119" t="n">
        <x:f>IF(X489=0,0,(X489-IF(1=D489,1,0))*VLOOKUP(INDEX('章节与怪物'!$E$31:$K$37,B489,1),'章节与怪物'!$A$41:$F$44,4,FALSE)+IF(1=D489,'难度参数'!$E$30,0))</x:f>
        <x:v>700</x:v>
      </x:c>
      <x:c r="AB489" s="119" t="n">
        <x:f>IF(2&gt;D489,0,MAX(2,MIN('难度参数'!$E$12,ROUND(('难度参数'!$E$18*POWER(A489,'难度参数'!$E$19)/D489*(0.85+0.3*(2-1)/MAX(1,D489-1))),0)+F489)))</x:f>
        <x:v>37</x:v>
      </x:c>
      <x:c r="AC489" s="119" t="n">
        <x:f>IF(2&gt;D489,0,ROUND(('难度参数'!$E$13*POWER(A489,'难度参数'!$E$20)*MIN('难度参数'!$E$23,1+MAX(0,A489-'难度参数'!$E$21)*'难度参数'!$E$22))*(36+2*7)/(36+7*(D489+1)/2)*E489,0))</x:f>
        <x:v>9027</x:v>
      </x:c>
      <x:c r="AD489" s="119" t="n">
        <x:f>IF(AB489=0,0,(AB489-IF(2=D489,1,0))*ROUND(AC489*VLOOKUP(INDEX('章节与怪物'!$E$31:$K$37,B489,2),'章节与怪物'!$A$41:$F$44,2,FALSE),0)+IF(2=D489,ROUND(AC489*'难度参数'!$E$28*'章节与怪物'!$E$17,0),0))</x:f>
        <x:v>333999</x:v>
      </x:c>
      <x:c r="AE489" s="119" t="n">
        <x:f>IF(AB489=0,0,(AB489-IF(2=D489,1,0))*VLOOKUP(INDEX('章节与怪物'!$E$31:$K$37,B489,2),'章节与怪物'!$A$41:$F$44,4,FALSE)+IF(2=D489,'难度参数'!$E$30,0))</x:f>
        <x:v>666</x:v>
      </x:c>
      <x:c r="AF489" s="119" t="n">
        <x:f>IF(3&gt;D489,0,MAX(2,MIN('难度参数'!$E$12,ROUND(('难度参数'!$E$18*POWER(A489,'难度参数'!$E$19)/D489*(0.85+0.3*(3-1)/MAX(1,D489-1))),0)+F489)))</x:f>
        <x:v>39</x:v>
      </x:c>
      <x:c r="AG489" s="119" t="n">
        <x:f>IF(3&gt;D489,0,ROUND(('难度参数'!$E$13*POWER(A489,'难度参数'!$E$20)*MIN('难度参数'!$E$23,1+MAX(0,A489-'难度参数'!$E$21)*'难度参数'!$E$22))*(36+3*7)/(36+7*(D489+1)/2)*E489,0))</x:f>
        <x:v>10291</x:v>
      </x:c>
      <x:c r="AH489" s="119" t="n">
        <x:f>IF(AF489=0,0,(AF489-IF(3=D489,1,0))*ROUND(AG489*VLOOKUP(INDEX('章节与怪物'!$E$31:$K$37,B489,3),'章节与怪物'!$A$41:$F$44,2,FALSE),0)+IF(3=D489,ROUND(AG489*'难度参数'!$E$28*'章节与怪物'!$E$17,0),0))</x:f>
        <x:v>682305</x:v>
      </x:c>
      <x:c r="AI489" s="119" t="n">
        <x:f>IF(AF489=0,0,(AF489-IF(3=D489,1,0))*VLOOKUP(INDEX('章节与怪物'!$E$31:$K$37,B489,3),'章节与怪物'!$A$41:$F$44,4,FALSE)+IF(3=D489,'难度参数'!$E$30,0))</x:f>
        <x:v>1092</x:v>
      </x:c>
      <x:c r="AJ489" s="119" t="n">
        <x:f>IF(4&gt;D489,0,MAX(2,MIN('难度参数'!$E$12,ROUND(('难度参数'!$E$18*POWER(A489,'难度参数'!$E$19)/D489*(0.85+0.3*(4-1)/MAX(1,D489-1))),0)+F489)))</x:f>
        <x:v>41</x:v>
      </x:c>
      <x:c r="AK489" s="119" t="n">
        <x:f>IF(4&gt;D489,0,ROUND(('难度参数'!$E$13*POWER(A489,'难度参数'!$E$20)*MIN('难度参数'!$E$23,1+MAX(0,A489-'难度参数'!$E$21)*'难度参数'!$E$22))*(36+4*7)/(36+7*(D489+1)/2)*E489,0))</x:f>
        <x:v>11555</x:v>
      </x:c>
      <x:c r="AL489" s="119" t="n">
        <x:f>IF(AJ489=0,0,(AJ489-IF(4=D489,1,0))*ROUND(AK489*VLOOKUP(INDEX('章节与怪物'!$E$31:$K$37,B489,4),'章节与怪物'!$A$41:$F$44,2,FALSE),0)+IF(4=D489,ROUND(AK489*'难度参数'!$E$28*'章节与怪物'!$E$17,0),0))</x:f>
        <x:v>639559</x:v>
      </x:c>
      <x:c r="AM489" s="119" t="n">
        <x:f>IF(AJ489=0,0,(AJ489-IF(4=D489,1,0))*VLOOKUP(INDEX('章节与怪物'!$E$31:$K$37,B489,4),'章节与怪物'!$A$41:$F$44,4,FALSE)+IF(4=D489,'难度参数'!$E$30,0))</x:f>
        <x:v>1394</x:v>
      </x:c>
      <x:c r="AN489" s="119" t="n">
        <x:f>IF(5&gt;D489,0,MAX(2,MIN('难度参数'!$E$12,ROUND(('难度参数'!$E$18*POWER(A489,'难度参数'!$E$19)/D489*(0.85+0.3*(5-1)/MAX(1,D489-1))),0)+F489)))</x:f>
        <x:v>43</x:v>
      </x:c>
      <x:c r="AO489" s="119" t="n">
        <x:f>IF(5&gt;D489,0,ROUND(('难度参数'!$E$13*POWER(A489,'难度参数'!$E$20)*MIN('难度参数'!$E$23,1+MAX(0,A489-'难度参数'!$E$21)*'难度参数'!$E$22))*(36+5*7)/(36+7*(D489+1)/2)*E489,0))</x:f>
        <x:v>12819</x:v>
      </x:c>
      <x:c r="AP489" s="119" t="n">
        <x:f>IF(AN489=0,0,(AN489-IF(5=D489,1,0))*ROUND(AO489*VLOOKUP(INDEX('章节与怪物'!$E$31:$K$37,B489,5),'章节与怪物'!$A$41:$F$44,2,FALSE),0)+IF(5=D489,ROUND(AO489*'难度参数'!$E$28*'章节与怪物'!$E$17,0),0))</x:f>
        <x:v>551217</x:v>
      </x:c>
      <x:c r="AQ489" s="119" t="n">
        <x:f>IF(AN489=0,0,(AN489-IF(5=D489,1,0))*VLOOKUP(INDEX('章节与怪物'!$E$31:$K$37,B489,5),'章节与怪物'!$A$41:$F$44,4,FALSE)+IF(5=D489,'难度参数'!$E$30,0))</x:f>
        <x:v>774</x:v>
      </x:c>
      <x:c r="AR489" s="119" t="n">
        <x:f>IF(6&gt;D489,0,MAX(2,MIN('难度参数'!$E$12,ROUND(('难度参数'!$E$18*POWER(A489,'难度参数'!$E$19)/D489*(0.85+0.3*(6-1)/MAX(1,D489-1))),0)+F489)))</x:f>
        <x:v>45</x:v>
      </x:c>
      <x:c r="AS489" s="119" t="n">
        <x:f>IF(6&gt;D489,0,ROUND(('难度参数'!$E$13*POWER(A489,'难度参数'!$E$20)*MIN('难度参数'!$E$23,1+MAX(0,A489-'难度参数'!$E$21)*'难度参数'!$E$22))*(36+6*7)/(36+7*(D489+1)/2)*E489,0))</x:f>
        <x:v>14083</x:v>
      </x:c>
      <x:c r="AT489" s="119" t="n">
        <x:f>IF(AR489=0,0,(AR489-IF(6=D489,1,0))*ROUND(AS489*VLOOKUP(INDEX('章节与怪物'!$E$31:$K$37,B489,6),'章节与怪物'!$A$41:$F$44,2,FALSE),0)+IF(6=D489,ROUND(AS489*'难度参数'!$E$28*'章节与怪物'!$E$17,0),0))</x:f>
        <x:v>1077345</x:v>
      </x:c>
      <x:c r="AU489" s="119" t="n">
        <x:f>IF(AR489=0,0,(AR489-IF(6=D489,1,0))*VLOOKUP(INDEX('章节与怪物'!$E$31:$K$37,B489,6),'章节与怪物'!$A$41:$F$44,4,FALSE)+IF(6=D489,'难度参数'!$E$30,0))</x:f>
        <x:v>1260</x:v>
      </x:c>
      <x:c r="AV489" s="119" t="n">
        <x:f>IF(7&gt;D489,0,MAX(2,MIN('难度参数'!$E$12,ROUND(('难度参数'!$E$18*POWER(A489,'难度参数'!$E$19)/D489*(0.85+0.3*(7-1)/MAX(1,D489-1))),0)+F489)))</x:f>
        <x:v>47</x:v>
      </x:c>
      <x:c r="AW489" s="119" t="n">
        <x:f>IF(7&gt;D489,0,ROUND(('难度参数'!$E$13*POWER(A489,'难度参数'!$E$20)*MIN('难度参数'!$E$23,1+MAX(0,A489-'难度参数'!$E$21)*'难度参数'!$E$22))*(36+7*7)/(36+7*(D489+1)/2)*E489,0))</x:f>
        <x:v>15347</x:v>
      </x:c>
      <x:c r="AX489" s="119" t="n">
        <x:f>IF(AV489=0,0,(AV489-IF(7=D489,1,0))*ROUND(AW489*VLOOKUP(INDEX('章节与怪物'!$E$31:$K$37,B489,7),'章节与怪物'!$A$41:$F$44,2,FALSE),0)+IF(7=D489,ROUND(AW489*'难度参数'!$E$28*'章节与怪物'!$E$17,0),0))</x:f>
        <x:v>1057388</x:v>
      </x:c>
      <x:c r="AY489" s="119" t="n">
        <x:f>IF(AV489=0,0,(AV489-IF(7=D489,1,0))*VLOOKUP(INDEX('章节与怪物'!$E$31:$K$37,B489,7),'章节与怪物'!$A$41:$F$44,4,FALSE)+IF(7=D489,'难度参数'!$E$30,0))</x:f>
        <x:v>1764</x:v>
      </x:c>
    </x:row>
    <x:row r="490" ht="23" customHeight="1">
      <x:c r="A490" s="119" t="n">
        <x:v>484</x:v>
      </x:c>
      <x:c r="B490" s="119" t="n">
        <x:f>MOD(INT((A490-1)/5),7)+1</x:f>
        <x:v>6</x:v>
      </x:c>
      <x:c r="C490" s="62" t="str">
        <x:f>INDEX('章节与怪物'!$B$31:$B$37,B490)</x:f>
        <x:v>熔岩山脉</x:v>
      </x:c>
      <x:c r="D490" s="119" t="n">
        <x:f>MIN('难度参数'!$E$8,MAX('难度参数'!$E$7,A490))</x:f>
        <x:v>7</x:v>
      </x:c>
      <x:c r="E490" s="106" t="n">
        <x:v>1</x:v>
      </x:c>
      <x:c r="F490" s="106" t="n">
        <x:v>0</x:v>
      </x:c>
      <x:c r="G490" s="106" t="n">
        <x:v>1</x:v>
      </x:c>
      <x:c r="H490" s="119" t="n">
        <x:f>SUM(X490,AB490,AF490,AJ490,AN490,AR490,AV490)</x:f>
        <x:v>287</x:v>
      </x:c>
      <x:c r="I490" s="119" t="n">
        <x:f>SUM(Z490,AD490,AH490,AL490,AP490,AT490,AX490)</x:f>
        <x:v>4544322</x:v>
      </x:c>
      <x:c r="J490" s="119" t="n">
        <x:f>ROUND(INDEX(X490:AY490,1,(D490-1)*4+2)*'难度参数'!$E$28*'章节与怪物'!$E$17,0)</x:f>
        <x:v>104516</x:v>
      </x:c>
      <x:c r="K490" s="119" t="n">
        <x:f>SUM(AA490,AE490,AI490,AM490,AQ490,AU490,AY490)</x:f>
        <x:v>7650</x:v>
      </x:c>
      <x:c r="L490" s="62" t="n">
        <x:f>H490*(ROUNDUP('难度参数'!$E$24/('难度参数'!$E$26*'难度参数'!$E$27),0)*'难度参数'!$E$26)/60</x:f>
        <x:v>3.826666666666667</x:v>
      </x:c>
      <x:c r="M490" s="62" t="n">
        <x:f>L490+D490*('难度参数'!$E$49+'难度参数'!$E$50)/60</x:f>
        <x:v>4.993333333333334</x:v>
      </x:c>
      <x:c r="N490" s="119" t="n">
        <x:f>ROUNDDOWN(('经济参数'!$E$20+A490*'经济参数'!$E$21)*G490,0)</x:f>
        <x:v>9860</x:v>
      </x:c>
      <x:c r="O490" s="119" t="n">
        <x:f>ROUNDDOWN(MIN('经济参数'!$E$24,'经济参数'!$E$22+A490*'经济参数'!$E$23)*G490,0)</x:f>
        <x:v>0</x:v>
      </x:c>
      <x:c r="P490" s="119" t="n">
        <x:f>ROUNDDOWN((IF(A490&gt;='材料与任务'!$E$31,'材料与任务'!$E$32,IF(A490&gt;='材料与任务'!$E$25,'材料与任务'!$E$26,IF(A490&gt;='材料与任务'!$E$19,'材料与任务'!$E$20,IF(A490&gt;='材料与任务'!$E$13,'材料与任务'!$E$14,'材料与任务'!$E$8)))))*G490,0)</x:f>
        <x:v>6</x:v>
      </x:c>
      <x:c r="Q490" s="119" t="n">
        <x:f>ROUNDDOWN((IF(A490&gt;='材料与任务'!$E$31,'材料与任务'!$E$33,IF(A490&gt;='材料与任务'!$E$25,'材料与任务'!$E$27,IF(A490&gt;='材料与任务'!$E$19,'材料与任务'!$E$21,IF(A490&gt;='材料与任务'!$E$13,'材料与任务'!$E$15,'材料与任务'!$E$9)))))*G490,0)</x:f>
        <x:v>3</x:v>
      </x:c>
      <x:c r="R490" s="110" t="n">
        <x:f>'装备掉落'!$B$38</x:f>
        <x:v>0.6872058758851213</x:v>
      </x:c>
      <x:c r="S490" s="119" t="n">
        <x:f>MAX(IF(VLOOKUP(A490,'装备掉落'!$A$29:$H$34,2,TRUE)&gt;0,1,0),IF(VLOOKUP(A490,'装备掉落'!$A$29:$H$34,3,TRUE)&gt;0,2,0),IF(VLOOKUP(A490,'装备掉落'!$A$29:$H$34,4,TRUE)&gt;0,3,0),IF(VLOOKUP(A490,'装备掉落'!$A$29:$H$34,5,TRUE)&gt;0,4,0),IF(VLOOKUP(A490,'装备掉落'!$A$29:$H$34,6,TRUE)&gt;0,5,0),IF(VLOOKUP(A490,'装备掉落'!$A$29:$H$34,7,TRUE)&gt;0,6,0),IF(VLOOKUP(A490,'装备掉落'!$A$29:$H$34,8,TRUE)&gt;0,7,0))</x:f>
        <x:v>7</x:v>
      </x:c>
      <x:c r="T490" s="119" t="n">
        <x:f>MIN(7,S490+'经济参数'!$E$70)</x:f>
        <x:v>7</x:v>
      </x:c>
      <x:c r="U490" s="119" t="n">
        <x:f>MIN(7,S490+'经济参数'!$E$71)</x:f>
        <x:v>7</x:v>
      </x:c>
      <x:c r="V490" s="119" t="n">
        <x:f>IF(H490&gt;=('难度参数'!$E$52),1,0)+IF(H490&gt;=('难度参数'!$E$52+'难度参数'!$E$53),1,0)+IF(H490&gt;=('难度参数'!$E$52+'难度参数'!$E$53+'难度参数'!$E$54),1,0)+IF(H490&gt;=('难度参数'!$E$52+'难度参数'!$E$53+'难度参数'!$E$54+'难度参数'!$E$55),1,0)+IF(H490&gt;=('难度参数'!$E$52+'难度参数'!$E$53+'难度参数'!$E$54+'难度参数'!$E$55+'难度参数'!$E$56),1,0)+IF(H490&gt;=('难度参数'!$E$52+'难度参数'!$E$53+'难度参数'!$E$54+'难度参数'!$E$55+'难度参数'!$E$56+'难度参数'!$E$57),1,0)</x:f>
        <x:v>6</x:v>
      </x:c>
      <x:c r="W490" s="62" t="str">
        <x:f>IF(L490&gt;'难度参数'!$E$51,"仅出怪已超目标","还需实测")</x:f>
        <x:v>仅出怪已超目标</x:v>
      </x:c>
      <x:c r="X490" s="119" t="n">
        <x:f>IF(1&gt;D490,0,MAX(2,MIN('难度参数'!$E$12,ROUND(('难度参数'!$E$18*POWER(A490,'难度参数'!$E$19)/D490*(0.85+0.3*(1-1)/MAX(1,D490-1))),0)+F490)))</x:f>
        <x:v>35</x:v>
      </x:c>
      <x:c r="Y490" s="119" t="n">
        <x:f>IF(1&gt;D490,0,ROUND(('难度参数'!$E$13*POWER(A490,'难度参数'!$E$20)*MIN('难度参数'!$E$23,1+MAX(0,A490-'难度参数'!$E$21)*'难度参数'!$E$22))*(36+1*7)/(36+7*(D490+1)/2)*E490,0))</x:f>
        <x:v>7775</x:v>
      </x:c>
      <x:c r="Z490" s="119" t="n">
        <x:f>IF(X490=0,0,(X490-IF(1=D490,1,0))*ROUND(Y490*VLOOKUP(INDEX('章节与怪物'!$E$31:$K$37,B490,1),'章节与怪物'!$A$41:$F$44,2,FALSE),0)+IF(1=D490,ROUND(Y490*'难度参数'!$E$28*'章节与怪物'!$E$17,0),0))</x:f>
        <x:v>195930</x:v>
      </x:c>
      <x:c r="AA490" s="119" t="n">
        <x:f>IF(X490=0,0,(X490-IF(1=D490,1,0))*VLOOKUP(INDEX('章节与怪物'!$E$31:$K$37,B490,1),'章节与怪物'!$A$41:$F$44,4,FALSE)+IF(1=D490,'难度参数'!$E$30,0))</x:f>
        <x:v>700</x:v>
      </x:c>
      <x:c r="AB490" s="119" t="n">
        <x:f>IF(2&gt;D490,0,MAX(2,MIN('难度参数'!$E$12,ROUND(('难度参数'!$E$18*POWER(A490,'难度参数'!$E$19)/D490*(0.85+0.3*(2-1)/MAX(1,D490-1))),0)+F490)))</x:f>
        <x:v>37</x:v>
      </x:c>
      <x:c r="AC490" s="119" t="n">
        <x:f>IF(2&gt;D490,0,ROUND(('难度参数'!$E$13*POWER(A490,'难度参数'!$E$20)*MIN('难度参数'!$E$23,1+MAX(0,A490-'难度参数'!$E$21)*'难度参数'!$E$22))*(36+2*7)/(36+7*(D490+1)/2)*E490,0))</x:f>
        <x:v>9041</x:v>
      </x:c>
      <x:c r="AD490" s="119" t="n">
        <x:f>IF(AB490=0,0,(AB490-IF(2=D490,1,0))*ROUND(AC490*VLOOKUP(INDEX('章节与怪物'!$E$31:$K$37,B490,2),'章节与怪物'!$A$41:$F$44,2,FALSE),0)+IF(2=D490,ROUND(AC490*'难度参数'!$E$28*'章节与怪物'!$E$17,0),0))</x:f>
        <x:v>334517</x:v>
      </x:c>
      <x:c r="AE490" s="119" t="n">
        <x:f>IF(AB490=0,0,(AB490-IF(2=D490,1,0))*VLOOKUP(INDEX('章节与怪物'!$E$31:$K$37,B490,2),'章节与怪物'!$A$41:$F$44,4,FALSE)+IF(2=D490,'难度参数'!$E$30,0))</x:f>
        <x:v>666</x:v>
      </x:c>
      <x:c r="AF490" s="119" t="n">
        <x:f>IF(3&gt;D490,0,MAX(2,MIN('难度参数'!$E$12,ROUND(('难度参数'!$E$18*POWER(A490,'难度参数'!$E$19)/D490*(0.85+0.3*(3-1)/MAX(1,D490-1))),0)+F490)))</x:f>
        <x:v>39</x:v>
      </x:c>
      <x:c r="AG490" s="119" t="n">
        <x:f>IF(3&gt;D490,0,ROUND(('难度参数'!$E$13*POWER(A490,'难度参数'!$E$20)*MIN('难度参数'!$E$23,1+MAX(0,A490-'难度参数'!$E$21)*'难度参数'!$E$22))*(36+3*7)/(36+7*(D490+1)/2)*E490,0))</x:f>
        <x:v>10307</x:v>
      </x:c>
      <x:c r="AH490" s="119" t="n">
        <x:f>IF(AF490=0,0,(AF490-IF(3=D490,1,0))*ROUND(AG490*VLOOKUP(INDEX('章节与怪物'!$E$31:$K$37,B490,3),'章节与怪物'!$A$41:$F$44,2,FALSE),0)+IF(3=D490,ROUND(AG490*'难度参数'!$E$28*'章节与怪物'!$E$17,0),0))</x:f>
        <x:v>683358</x:v>
      </x:c>
      <x:c r="AI490" s="119" t="n">
        <x:f>IF(AF490=0,0,(AF490-IF(3=D490,1,0))*VLOOKUP(INDEX('章节与怪物'!$E$31:$K$37,B490,3),'章节与怪物'!$A$41:$F$44,4,FALSE)+IF(3=D490,'难度参数'!$E$30,0))</x:f>
        <x:v>1092</x:v>
      </x:c>
      <x:c r="AJ490" s="119" t="n">
        <x:f>IF(4&gt;D490,0,MAX(2,MIN('难度参数'!$E$12,ROUND(('难度参数'!$E$18*POWER(A490,'难度参数'!$E$19)/D490*(0.85+0.3*(4-1)/MAX(1,D490-1))),0)+F490)))</x:f>
        <x:v>41</x:v>
      </x:c>
      <x:c r="AK490" s="119" t="n">
        <x:f>IF(4&gt;D490,0,ROUND(('难度参数'!$E$13*POWER(A490,'难度参数'!$E$20)*MIN('难度参数'!$E$23,1+MAX(0,A490-'难度参数'!$E$21)*'难度参数'!$E$22))*(36+4*7)/(36+7*(D490+1)/2)*E490,0))</x:f>
        <x:v>11572</x:v>
      </x:c>
      <x:c r="AL490" s="119" t="n">
        <x:f>IF(AJ490=0,0,(AJ490-IF(4=D490,1,0))*ROUND(AK490*VLOOKUP(INDEX('章节与怪物'!$E$31:$K$37,B490,4),'章节与怪物'!$A$41:$F$44,2,FALSE),0)+IF(4=D490,ROUND(AK490*'难度参数'!$E$28*'章节与怪物'!$E$17,0),0))</x:f>
        <x:v>640502</x:v>
      </x:c>
      <x:c r="AM490" s="119" t="n">
        <x:f>IF(AJ490=0,0,(AJ490-IF(4=D490,1,0))*VLOOKUP(INDEX('章节与怪物'!$E$31:$K$37,B490,4),'章节与怪物'!$A$41:$F$44,4,FALSE)+IF(4=D490,'难度参数'!$E$30,0))</x:f>
        <x:v>1394</x:v>
      </x:c>
      <x:c r="AN490" s="119" t="n">
        <x:f>IF(5&gt;D490,0,MAX(2,MIN('难度参数'!$E$12,ROUND(('难度参数'!$E$18*POWER(A490,'难度参数'!$E$19)/D490*(0.85+0.3*(5-1)/MAX(1,D490-1))),0)+F490)))</x:f>
        <x:v>43</x:v>
      </x:c>
      <x:c r="AO490" s="119" t="n">
        <x:f>IF(5&gt;D490,0,ROUND(('难度参数'!$E$13*POWER(A490,'难度参数'!$E$20)*MIN('难度参数'!$E$23,1+MAX(0,A490-'难度参数'!$E$21)*'难度参数'!$E$22))*(36+5*7)/(36+7*(D490+1)/2)*E490,0))</x:f>
        <x:v>12838</x:v>
      </x:c>
      <x:c r="AP490" s="119" t="n">
        <x:f>IF(AN490=0,0,(AN490-IF(5=D490,1,0))*ROUND(AO490*VLOOKUP(INDEX('章节与怪物'!$E$31:$K$37,B490,5),'章节与怪物'!$A$41:$F$44,2,FALSE),0)+IF(5=D490,ROUND(AO490*'难度参数'!$E$28*'章节与怪物'!$E$17,0),0))</x:f>
        <x:v>552034</x:v>
      </x:c>
      <x:c r="AQ490" s="119" t="n">
        <x:f>IF(AN490=0,0,(AN490-IF(5=D490,1,0))*VLOOKUP(INDEX('章节与怪物'!$E$31:$K$37,B490,5),'章节与怪物'!$A$41:$F$44,4,FALSE)+IF(5=D490,'难度参数'!$E$30,0))</x:f>
        <x:v>774</x:v>
      </x:c>
      <x:c r="AR490" s="119" t="n">
        <x:f>IF(6&gt;D490,0,MAX(2,MIN('难度参数'!$E$12,ROUND(('难度参数'!$E$18*POWER(A490,'难度参数'!$E$19)/D490*(0.85+0.3*(6-1)/MAX(1,D490-1))),0)+F490)))</x:f>
        <x:v>45</x:v>
      </x:c>
      <x:c r="AS490" s="119" t="n">
        <x:f>IF(6&gt;D490,0,ROUND(('难度参数'!$E$13*POWER(A490,'难度参数'!$E$20)*MIN('难度参数'!$E$23,1+MAX(0,A490-'难度参数'!$E$21)*'难度参数'!$E$22))*(36+6*7)/(36+7*(D490+1)/2)*E490,0))</x:f>
        <x:v>14104</x:v>
      </x:c>
      <x:c r="AT490" s="119" t="n">
        <x:f>IF(AR490=0,0,(AR490-IF(6=D490,1,0))*ROUND(AS490*VLOOKUP(INDEX('章节与怪物'!$E$31:$K$37,B490,6),'章节与怪物'!$A$41:$F$44,2,FALSE),0)+IF(6=D490,ROUND(AS490*'难度参数'!$E$28*'章节与怪物'!$E$17,0),0))</x:f>
        <x:v>1078965</x:v>
      </x:c>
      <x:c r="AU490" s="119" t="n">
        <x:f>IF(AR490=0,0,(AR490-IF(6=D490,1,0))*VLOOKUP(INDEX('章节与怪物'!$E$31:$K$37,B490,6),'章节与怪物'!$A$41:$F$44,4,FALSE)+IF(6=D490,'难度参数'!$E$30,0))</x:f>
        <x:v>1260</x:v>
      </x:c>
      <x:c r="AV490" s="119" t="n">
        <x:f>IF(7&gt;D490,0,MAX(2,MIN('难度参数'!$E$12,ROUND(('难度参数'!$E$18*POWER(A490,'难度参数'!$E$19)/D490*(0.85+0.3*(7-1)/MAX(1,D490-1))),0)+F490)))</x:f>
        <x:v>47</x:v>
      </x:c>
      <x:c r="AW490" s="119" t="n">
        <x:f>IF(7&gt;D490,0,ROUND(('难度参数'!$E$13*POWER(A490,'难度参数'!$E$20)*MIN('难度参数'!$E$23,1+MAX(0,A490-'难度参数'!$E$21)*'难度参数'!$E$22))*(36+7*7)/(36+7*(D490+1)/2)*E490,0))</x:f>
        <x:v>15370</x:v>
      </x:c>
      <x:c r="AX490" s="119" t="n">
        <x:f>IF(AV490=0,0,(AV490-IF(7=D490,1,0))*ROUND(AW490*VLOOKUP(INDEX('章节与怪物'!$E$31:$K$37,B490,7),'章节与怪物'!$A$41:$F$44,2,FALSE),0)+IF(7=D490,ROUND(AW490*'难度参数'!$E$28*'章节与怪物'!$E$17,0),0))</x:f>
        <x:v>1059016</x:v>
      </x:c>
      <x:c r="AY490" s="119" t="n">
        <x:f>IF(AV490=0,0,(AV490-IF(7=D490,1,0))*VLOOKUP(INDEX('章节与怪物'!$E$31:$K$37,B490,7),'章节与怪物'!$A$41:$F$44,4,FALSE)+IF(7=D490,'难度参数'!$E$30,0))</x:f>
        <x:v>1764</x:v>
      </x:c>
    </x:row>
    <x:row r="491" ht="23" customHeight="1">
      <x:c r="A491" s="119" t="n">
        <x:v>485</x:v>
      </x:c>
      <x:c r="B491" s="119" t="n">
        <x:f>MOD(INT((A491-1)/5),7)+1</x:f>
        <x:v>6</x:v>
      </x:c>
      <x:c r="C491" s="62" t="str">
        <x:f>INDEX('章节与怪物'!$B$31:$B$37,B491)</x:f>
        <x:v>熔岩山脉</x:v>
      </x:c>
      <x:c r="D491" s="119" t="n">
        <x:f>MIN('难度参数'!$E$8,MAX('难度参数'!$E$7,A491))</x:f>
        <x:v>7</x:v>
      </x:c>
      <x:c r="E491" s="106" t="n">
        <x:v>1</x:v>
      </x:c>
      <x:c r="F491" s="106" t="n">
        <x:v>0</x:v>
      </x:c>
      <x:c r="G491" s="106" t="n">
        <x:v>1</x:v>
      </x:c>
      <x:c r="H491" s="119" t="n">
        <x:f>SUM(X491,AB491,AF491,AJ491,AN491,AR491,AV491)</x:f>
        <x:v>287</x:v>
      </x:c>
      <x:c r="I491" s="119" t="n">
        <x:f>SUM(Z491,AD491,AH491,AL491,AP491,AT491,AX491)</x:f>
        <x:v>4551039</x:v>
      </x:c>
      <x:c r="J491" s="119" t="n">
        <x:f>ROUND(INDEX(X491:AY491,1,(D491-1)*4+2)*'难度参数'!$E$28*'章节与怪物'!$E$17,0)</x:f>
        <x:v>104666</x:v>
      </x:c>
      <x:c r="K491" s="119" t="n">
        <x:f>SUM(AA491,AE491,AI491,AM491,AQ491,AU491,AY491)</x:f>
        <x:v>7650</x:v>
      </x:c>
      <x:c r="L491" s="62" t="n">
        <x:f>H491*(ROUNDUP('难度参数'!$E$24/('难度参数'!$E$26*'难度参数'!$E$27),0)*'难度参数'!$E$26)/60</x:f>
        <x:v>3.826666666666667</x:v>
      </x:c>
      <x:c r="M491" s="62" t="n">
        <x:f>L491+D491*('难度参数'!$E$49+'难度参数'!$E$50)/60</x:f>
        <x:v>4.993333333333334</x:v>
      </x:c>
      <x:c r="N491" s="119" t="n">
        <x:f>ROUNDDOWN(('经济参数'!$E$20+A491*'经济参数'!$E$21)*G491,0)</x:f>
        <x:v>9880</x:v>
      </x:c>
      <x:c r="O491" s="119" t="n">
        <x:f>ROUNDDOWN(MIN('经济参数'!$E$24,'经济参数'!$E$22+A491*'经济参数'!$E$23)*G491,0)</x:f>
        <x:v>0</x:v>
      </x:c>
      <x:c r="P491" s="119" t="n">
        <x:f>ROUNDDOWN((IF(A491&gt;='材料与任务'!$E$31,'材料与任务'!$E$32,IF(A491&gt;='材料与任务'!$E$25,'材料与任务'!$E$26,IF(A491&gt;='材料与任务'!$E$19,'材料与任务'!$E$20,IF(A491&gt;='材料与任务'!$E$13,'材料与任务'!$E$14,'材料与任务'!$E$8)))))*G491,0)</x:f>
        <x:v>6</x:v>
      </x:c>
      <x:c r="Q491" s="119" t="n">
        <x:f>ROUNDDOWN((IF(A491&gt;='材料与任务'!$E$31,'材料与任务'!$E$33,IF(A491&gt;='材料与任务'!$E$25,'材料与任务'!$E$27,IF(A491&gt;='材料与任务'!$E$19,'材料与任务'!$E$21,IF(A491&gt;='材料与任务'!$E$13,'材料与任务'!$E$15,'材料与任务'!$E$9)))))*G491,0)</x:f>
        <x:v>3</x:v>
      </x:c>
      <x:c r="R491" s="110" t="n">
        <x:f>'装备掉落'!$B$38</x:f>
        <x:v>0.6872058758851213</x:v>
      </x:c>
      <x:c r="S491" s="119" t="n">
        <x:f>MAX(IF(VLOOKUP(A491,'装备掉落'!$A$29:$H$34,2,TRUE)&gt;0,1,0),IF(VLOOKUP(A491,'装备掉落'!$A$29:$H$34,3,TRUE)&gt;0,2,0),IF(VLOOKUP(A491,'装备掉落'!$A$29:$H$34,4,TRUE)&gt;0,3,0),IF(VLOOKUP(A491,'装备掉落'!$A$29:$H$34,5,TRUE)&gt;0,4,0),IF(VLOOKUP(A491,'装备掉落'!$A$29:$H$34,6,TRUE)&gt;0,5,0),IF(VLOOKUP(A491,'装备掉落'!$A$29:$H$34,7,TRUE)&gt;0,6,0),IF(VLOOKUP(A491,'装备掉落'!$A$29:$H$34,8,TRUE)&gt;0,7,0))</x:f>
        <x:v>7</x:v>
      </x:c>
      <x:c r="T491" s="119" t="n">
        <x:f>MIN(7,S491+'经济参数'!$E$70)</x:f>
        <x:v>7</x:v>
      </x:c>
      <x:c r="U491" s="119" t="n">
        <x:f>MIN(7,S491+'经济参数'!$E$71)</x:f>
        <x:v>7</x:v>
      </x:c>
      <x:c r="V491" s="119" t="n">
        <x:f>IF(H491&gt;=('难度参数'!$E$52),1,0)+IF(H491&gt;=('难度参数'!$E$52+'难度参数'!$E$53),1,0)+IF(H491&gt;=('难度参数'!$E$52+'难度参数'!$E$53+'难度参数'!$E$54),1,0)+IF(H491&gt;=('难度参数'!$E$52+'难度参数'!$E$53+'难度参数'!$E$54+'难度参数'!$E$55),1,0)+IF(H491&gt;=('难度参数'!$E$52+'难度参数'!$E$53+'难度参数'!$E$54+'难度参数'!$E$55+'难度参数'!$E$56),1,0)+IF(H491&gt;=('难度参数'!$E$52+'难度参数'!$E$53+'难度参数'!$E$54+'难度参数'!$E$55+'难度参数'!$E$56+'难度参数'!$E$57),1,0)</x:f>
        <x:v>6</x:v>
      </x:c>
      <x:c r="W491" s="62" t="str">
        <x:f>IF(L491&gt;'难度参数'!$E$51,"仅出怪已超目标","还需实测")</x:f>
        <x:v>仅出怪已超目标</x:v>
      </x:c>
      <x:c r="X491" s="119" t="n">
        <x:f>IF(1&gt;D491,0,MAX(2,MIN('难度参数'!$E$12,ROUND(('难度参数'!$E$18*POWER(A491,'难度参数'!$E$19)/D491*(0.85+0.3*(1-1)/MAX(1,D491-1))),0)+F491)))</x:f>
        <x:v>35</x:v>
      </x:c>
      <x:c r="Y491" s="119" t="n">
        <x:f>IF(1&gt;D491,0,ROUND(('难度参数'!$E$13*POWER(A491,'难度参数'!$E$20)*MIN('难度参数'!$E$23,1+MAX(0,A491-'难度参数'!$E$21)*'难度参数'!$E$22))*(36+1*7)/(36+7*(D491+1)/2)*E491,0))</x:f>
        <x:v>7787</x:v>
      </x:c>
      <x:c r="Z491" s="119" t="n">
        <x:f>IF(X491=0,0,(X491-IF(1=D491,1,0))*ROUND(Y491*VLOOKUP(INDEX('章节与怪物'!$E$31:$K$37,B491,1),'章节与怪物'!$A$41:$F$44,2,FALSE),0)+IF(1=D491,ROUND(Y491*'难度参数'!$E$28*'章节与怪物'!$E$17,0),0))</x:f>
        <x:v>196245</x:v>
      </x:c>
      <x:c r="AA491" s="119" t="n">
        <x:f>IF(X491=0,0,(X491-IF(1=D491,1,0))*VLOOKUP(INDEX('章节与怪物'!$E$31:$K$37,B491,1),'章节与怪物'!$A$41:$F$44,4,FALSE)+IF(1=D491,'难度参数'!$E$30,0))</x:f>
        <x:v>700</x:v>
      </x:c>
      <x:c r="AB491" s="119" t="n">
        <x:f>IF(2&gt;D491,0,MAX(2,MIN('难度参数'!$E$12,ROUND(('难度参数'!$E$18*POWER(A491,'难度参数'!$E$19)/D491*(0.85+0.3*(2-1)/MAX(1,D491-1))),0)+F491)))</x:f>
        <x:v>37</x:v>
      </x:c>
      <x:c r="AC491" s="119" t="n">
        <x:f>IF(2&gt;D491,0,ROUND(('难度参数'!$E$13*POWER(A491,'难度参数'!$E$20)*MIN('难度参数'!$E$23,1+MAX(0,A491-'难度参数'!$E$21)*'难度参数'!$E$22))*(36+2*7)/(36+7*(D491+1)/2)*E491,0))</x:f>
        <x:v>9054</x:v>
      </x:c>
      <x:c r="AD491" s="119" t="n">
        <x:f>IF(AB491=0,0,(AB491-IF(2=D491,1,0))*ROUND(AC491*VLOOKUP(INDEX('章节与怪物'!$E$31:$K$37,B491,2),'章节与怪物'!$A$41:$F$44,2,FALSE),0)+IF(2=D491,ROUND(AC491*'难度参数'!$E$28*'章节与怪物'!$E$17,0),0))</x:f>
        <x:v>334998</x:v>
      </x:c>
      <x:c r="AE491" s="119" t="n">
        <x:f>IF(AB491=0,0,(AB491-IF(2=D491,1,0))*VLOOKUP(INDEX('章节与怪物'!$E$31:$K$37,B491,2),'章节与怪物'!$A$41:$F$44,4,FALSE)+IF(2=D491,'难度参数'!$E$30,0))</x:f>
        <x:v>666</x:v>
      </x:c>
      <x:c r="AF491" s="119" t="n">
        <x:f>IF(3&gt;D491,0,MAX(2,MIN('难度参数'!$E$12,ROUND(('难度参数'!$E$18*POWER(A491,'难度参数'!$E$19)/D491*(0.85+0.3*(3-1)/MAX(1,D491-1))),0)+F491)))</x:f>
        <x:v>39</x:v>
      </x:c>
      <x:c r="AG491" s="119" t="n">
        <x:f>IF(3&gt;D491,0,ROUND(('难度参数'!$E$13*POWER(A491,'难度参数'!$E$20)*MIN('难度参数'!$E$23,1+MAX(0,A491-'难度参数'!$E$21)*'难度参数'!$E$22))*(36+3*7)/(36+7*(D491+1)/2)*E491,0))</x:f>
        <x:v>10322</x:v>
      </x:c>
      <x:c r="AH491" s="119" t="n">
        <x:f>IF(AF491=0,0,(AF491-IF(3=D491,1,0))*ROUND(AG491*VLOOKUP(INDEX('章节与怪物'!$E$31:$K$37,B491,3),'章节与怪物'!$A$41:$F$44,2,FALSE),0)+IF(3=D491,ROUND(AG491*'难度参数'!$E$28*'章节与怪物'!$E$17,0),0))</x:f>
        <x:v>684333</x:v>
      </x:c>
      <x:c r="AI491" s="119" t="n">
        <x:f>IF(AF491=0,0,(AF491-IF(3=D491,1,0))*VLOOKUP(INDEX('章节与怪物'!$E$31:$K$37,B491,3),'章节与怪物'!$A$41:$F$44,4,FALSE)+IF(3=D491,'难度参数'!$E$30,0))</x:f>
        <x:v>1092</x:v>
      </x:c>
      <x:c r="AJ491" s="119" t="n">
        <x:f>IF(4&gt;D491,0,MAX(2,MIN('难度参数'!$E$12,ROUND(('难度参数'!$E$18*POWER(A491,'难度参数'!$E$19)/D491*(0.85+0.3*(4-1)/MAX(1,D491-1))),0)+F491)))</x:f>
        <x:v>41</x:v>
      </x:c>
      <x:c r="AK491" s="119" t="n">
        <x:f>IF(4&gt;D491,0,ROUND(('难度参数'!$E$13*POWER(A491,'难度参数'!$E$20)*MIN('难度参数'!$E$23,1+MAX(0,A491-'难度参数'!$E$21)*'难度参数'!$E$22))*(36+4*7)/(36+7*(D491+1)/2)*E491,0))</x:f>
        <x:v>11590</x:v>
      </x:c>
      <x:c r="AL491" s="119" t="n">
        <x:f>IF(AJ491=0,0,(AJ491-IF(4=D491,1,0))*ROUND(AK491*VLOOKUP(INDEX('章节与怪物'!$E$31:$K$37,B491,4),'章节与怪物'!$A$41:$F$44,2,FALSE),0)+IF(4=D491,ROUND(AK491*'难度参数'!$E$28*'章节与怪物'!$E$17,0),0))</x:f>
        <x:v>641527</x:v>
      </x:c>
      <x:c r="AM491" s="119" t="n">
        <x:f>IF(AJ491=0,0,(AJ491-IF(4=D491,1,0))*VLOOKUP(INDEX('章节与怪物'!$E$31:$K$37,B491,4),'章节与怪物'!$A$41:$F$44,4,FALSE)+IF(4=D491,'难度参数'!$E$30,0))</x:f>
        <x:v>1394</x:v>
      </x:c>
      <x:c r="AN491" s="119" t="n">
        <x:f>IF(5&gt;D491,0,MAX(2,MIN('难度参数'!$E$12,ROUND(('难度参数'!$E$18*POWER(A491,'难度参数'!$E$19)/D491*(0.85+0.3*(5-1)/MAX(1,D491-1))),0)+F491)))</x:f>
        <x:v>43</x:v>
      </x:c>
      <x:c r="AO491" s="119" t="n">
        <x:f>IF(5&gt;D491,0,ROUND(('难度参数'!$E$13*POWER(A491,'难度参数'!$E$20)*MIN('难度参数'!$E$23,1+MAX(0,A491-'难度参数'!$E$21)*'难度参数'!$E$22))*(36+5*7)/(36+7*(D491+1)/2)*E491,0))</x:f>
        <x:v>12857</x:v>
      </x:c>
      <x:c r="AP491" s="119" t="n">
        <x:f>IF(AN491=0,0,(AN491-IF(5=D491,1,0))*ROUND(AO491*VLOOKUP(INDEX('章节与怪物'!$E$31:$K$37,B491,5),'章节与怪物'!$A$41:$F$44,2,FALSE),0)+IF(5=D491,ROUND(AO491*'难度参数'!$E$28*'章节与怪物'!$E$17,0),0))</x:f>
        <x:v>552851</x:v>
      </x:c>
      <x:c r="AQ491" s="119" t="n">
        <x:f>IF(AN491=0,0,(AN491-IF(5=D491,1,0))*VLOOKUP(INDEX('章节与怪物'!$E$31:$K$37,B491,5),'章节与怪物'!$A$41:$F$44,4,FALSE)+IF(5=D491,'难度参数'!$E$30,0))</x:f>
        <x:v>774</x:v>
      </x:c>
      <x:c r="AR491" s="119" t="n">
        <x:f>IF(6&gt;D491,0,MAX(2,MIN('难度参数'!$E$12,ROUND(('难度参数'!$E$18*POWER(A491,'难度参数'!$E$19)/D491*(0.85+0.3*(6-1)/MAX(1,D491-1))),0)+F491)))</x:f>
        <x:v>45</x:v>
      </x:c>
      <x:c r="AS491" s="119" t="n">
        <x:f>IF(6&gt;D491,0,ROUND(('难度参数'!$E$13*POWER(A491,'难度参数'!$E$20)*MIN('难度参数'!$E$23,1+MAX(0,A491-'难度参数'!$E$21)*'难度参数'!$E$22))*(36+6*7)/(36+7*(D491+1)/2)*E491,0))</x:f>
        <x:v>14125</x:v>
      </x:c>
      <x:c r="AT491" s="119" t="n">
        <x:f>IF(AR491=0,0,(AR491-IF(6=D491,1,0))*ROUND(AS491*VLOOKUP(INDEX('章节与怪物'!$E$31:$K$37,B491,6),'章节与怪物'!$A$41:$F$44,2,FALSE),0)+IF(6=D491,ROUND(AS491*'难度参数'!$E$28*'章节与怪物'!$E$17,0),0))</x:f>
        <x:v>1080585</x:v>
      </x:c>
      <x:c r="AU491" s="119" t="n">
        <x:f>IF(AR491=0,0,(AR491-IF(6=D491,1,0))*VLOOKUP(INDEX('章节与怪物'!$E$31:$K$37,B491,6),'章节与怪物'!$A$41:$F$44,4,FALSE)+IF(6=D491,'难度参数'!$E$30,0))</x:f>
        <x:v>1260</x:v>
      </x:c>
      <x:c r="AV491" s="119" t="n">
        <x:f>IF(7&gt;D491,0,MAX(2,MIN('难度参数'!$E$12,ROUND(('难度参数'!$E$18*POWER(A491,'难度参数'!$E$19)/D491*(0.85+0.3*(7-1)/MAX(1,D491-1))),0)+F491)))</x:f>
        <x:v>47</x:v>
      </x:c>
      <x:c r="AW491" s="119" t="n">
        <x:f>IF(7&gt;D491,0,ROUND(('难度参数'!$E$13*POWER(A491,'难度参数'!$E$20)*MIN('难度参数'!$E$23,1+MAX(0,A491-'难度参数'!$E$21)*'难度参数'!$E$22))*(36+7*7)/(36+7*(D491+1)/2)*E491,0))</x:f>
        <x:v>15392</x:v>
      </x:c>
      <x:c r="AX491" s="119" t="n">
        <x:f>IF(AV491=0,0,(AV491-IF(7=D491,1,0))*ROUND(AW491*VLOOKUP(INDEX('章节与怪物'!$E$31:$K$37,B491,7),'章节与怪物'!$A$41:$F$44,2,FALSE),0)+IF(7=D491,ROUND(AW491*'难度参数'!$E$28*'章节与怪物'!$E$17,0),0))</x:f>
        <x:v>1060500</x:v>
      </x:c>
      <x:c r="AY491" s="119" t="n">
        <x:f>IF(AV491=0,0,(AV491-IF(7=D491,1,0))*VLOOKUP(INDEX('章节与怪物'!$E$31:$K$37,B491,7),'章节与怪物'!$A$41:$F$44,4,FALSE)+IF(7=D491,'难度参数'!$E$30,0))</x:f>
        <x:v>1764</x:v>
      </x:c>
    </x:row>
    <x:row r="492" ht="23" customHeight="1">
      <x:c r="A492" s="119" t="n">
        <x:v>486</x:v>
      </x:c>
      <x:c r="B492" s="119" t="n">
        <x:f>MOD(INT((A492-1)/5),7)+1</x:f>
        <x:v>7</x:v>
      </x:c>
      <x:c r="C492" s="62" t="str">
        <x:f>INDEX('章节与怪物'!$B$31:$B$37,B492)</x:f>
        <x:v>魔法山脊</x:v>
      </x:c>
      <x:c r="D492" s="119" t="n">
        <x:f>MIN('难度参数'!$E$8,MAX('难度参数'!$E$7,A492))</x:f>
        <x:v>7</x:v>
      </x:c>
      <x:c r="E492" s="106" t="n">
        <x:v>1</x:v>
      </x:c>
      <x:c r="F492" s="106" t="n">
        <x:v>0</x:v>
      </x:c>
      <x:c r="G492" s="106" t="n">
        <x:v>1</x:v>
      </x:c>
      <x:c r="H492" s="119" t="n">
        <x:f>SUM(X492,AB492,AF492,AJ492,AN492,AR492,AV492)</x:f>
        <x:v>287</x:v>
      </x:c>
      <x:c r="I492" s="119" t="n">
        <x:f>SUM(Z492,AD492,AH492,AL492,AP492,AT492,AX492)</x:f>
        <x:v>4385174</x:v>
      </x:c>
      <x:c r="J492" s="119" t="n">
        <x:f>ROUND(INDEX(X492:AY492,1,(D492-1)*4+2)*'难度参数'!$E$28*'章节与怪物'!$E$17,0)</x:f>
        <x:v>104822</x:v>
      </x:c>
      <x:c r="K492" s="119" t="n">
        <x:f>SUM(AA492,AE492,AI492,AM492,AQ492,AU492,AY492)</x:f>
        <x:v>7740</x:v>
      </x:c>
      <x:c r="L492" s="62" t="n">
        <x:f>H492*(ROUNDUP('难度参数'!$E$24/('难度参数'!$E$26*'难度参数'!$E$27),0)*'难度参数'!$E$26)/60</x:f>
        <x:v>3.826666666666667</x:v>
      </x:c>
      <x:c r="M492" s="62" t="n">
        <x:f>L492+D492*('难度参数'!$E$49+'难度参数'!$E$50)/60</x:f>
        <x:v>4.993333333333334</x:v>
      </x:c>
      <x:c r="N492" s="119" t="n">
        <x:f>ROUNDDOWN(('经济参数'!$E$20+A492*'经济参数'!$E$21)*G492,0)</x:f>
        <x:v>9900</x:v>
      </x:c>
      <x:c r="O492" s="119" t="n">
        <x:f>ROUNDDOWN(MIN('经济参数'!$E$24,'经济参数'!$E$22+A492*'经济参数'!$E$23)*G492,0)</x:f>
        <x:v>0</x:v>
      </x:c>
      <x:c r="P492" s="119" t="n">
        <x:f>ROUNDDOWN((IF(A492&gt;='材料与任务'!$E$31,'材料与任务'!$E$32,IF(A492&gt;='材料与任务'!$E$25,'材料与任务'!$E$26,IF(A492&gt;='材料与任务'!$E$19,'材料与任务'!$E$20,IF(A492&gt;='材料与任务'!$E$13,'材料与任务'!$E$14,'材料与任务'!$E$8)))))*G492,0)</x:f>
        <x:v>6</x:v>
      </x:c>
      <x:c r="Q492" s="119" t="n">
        <x:f>ROUNDDOWN((IF(A492&gt;='材料与任务'!$E$31,'材料与任务'!$E$33,IF(A492&gt;='材料与任务'!$E$25,'材料与任务'!$E$27,IF(A492&gt;='材料与任务'!$E$19,'材料与任务'!$E$21,IF(A492&gt;='材料与任务'!$E$13,'材料与任务'!$E$15,'材料与任务'!$E$9)))))*G492,0)</x:f>
        <x:v>3</x:v>
      </x:c>
      <x:c r="R492" s="110" t="n">
        <x:f>'装备掉落'!$B$38</x:f>
        <x:v>0.6872058758851213</x:v>
      </x:c>
      <x:c r="S492" s="119" t="n">
        <x:f>MAX(IF(VLOOKUP(A492,'装备掉落'!$A$29:$H$34,2,TRUE)&gt;0,1,0),IF(VLOOKUP(A492,'装备掉落'!$A$29:$H$34,3,TRUE)&gt;0,2,0),IF(VLOOKUP(A492,'装备掉落'!$A$29:$H$34,4,TRUE)&gt;0,3,0),IF(VLOOKUP(A492,'装备掉落'!$A$29:$H$34,5,TRUE)&gt;0,4,0),IF(VLOOKUP(A492,'装备掉落'!$A$29:$H$34,6,TRUE)&gt;0,5,0),IF(VLOOKUP(A492,'装备掉落'!$A$29:$H$34,7,TRUE)&gt;0,6,0),IF(VLOOKUP(A492,'装备掉落'!$A$29:$H$34,8,TRUE)&gt;0,7,0))</x:f>
        <x:v>7</x:v>
      </x:c>
      <x:c r="T492" s="119" t="n">
        <x:f>MIN(7,S492+'经济参数'!$E$70)</x:f>
        <x:v>7</x:v>
      </x:c>
      <x:c r="U492" s="119" t="n">
        <x:f>MIN(7,S492+'经济参数'!$E$71)</x:f>
        <x:v>7</x:v>
      </x:c>
      <x:c r="V492" s="119" t="n">
        <x:f>IF(H492&gt;=('难度参数'!$E$52),1,0)+IF(H492&gt;=('难度参数'!$E$52+'难度参数'!$E$53),1,0)+IF(H492&gt;=('难度参数'!$E$52+'难度参数'!$E$53+'难度参数'!$E$54),1,0)+IF(H492&gt;=('难度参数'!$E$52+'难度参数'!$E$53+'难度参数'!$E$54+'难度参数'!$E$55),1,0)+IF(H492&gt;=('难度参数'!$E$52+'难度参数'!$E$53+'难度参数'!$E$54+'难度参数'!$E$55+'难度参数'!$E$56),1,0)+IF(H492&gt;=('难度参数'!$E$52+'难度参数'!$E$53+'难度参数'!$E$54+'难度参数'!$E$55+'难度参数'!$E$56+'难度参数'!$E$57),1,0)</x:f>
        <x:v>6</x:v>
      </x:c>
      <x:c r="W492" s="62" t="str">
        <x:f>IF(L492&gt;'难度参数'!$E$51,"仅出怪已超目标","还需实测")</x:f>
        <x:v>仅出怪已超目标</x:v>
      </x:c>
      <x:c r="X492" s="119" t="n">
        <x:f>IF(1&gt;D492,0,MAX(2,MIN('难度参数'!$E$12,ROUND(('难度参数'!$E$18*POWER(A492,'难度参数'!$E$19)/D492*(0.85+0.3*(1-1)/MAX(1,D492-1))),0)+F492)))</x:f>
        <x:v>35</x:v>
      </x:c>
      <x:c r="Y492" s="119" t="n">
        <x:f>IF(1&gt;D492,0,ROUND(('难度参数'!$E$13*POWER(A492,'难度参数'!$E$20)*MIN('难度参数'!$E$23,1+MAX(0,A492-'难度参数'!$E$21)*'难度参数'!$E$22))*(36+1*7)/(36+7*(D492+1)/2)*E492,0))</x:f>
        <x:v>7798</x:v>
      </x:c>
      <x:c r="Z492" s="119" t="n">
        <x:f>IF(X492=0,0,(X492-IF(1=D492,1,0))*ROUND(Y492*VLOOKUP(INDEX('章节与怪物'!$E$31:$K$37,B492,1),'章节与怪物'!$A$41:$F$44,2,FALSE),0)+IF(1=D492,ROUND(Y492*'难度参数'!$E$28*'章节与怪物'!$E$17,0),0))</x:f>
        <x:v>272930</x:v>
      </x:c>
      <x:c r="AA492" s="119" t="n">
        <x:f>IF(X492=0,0,(X492-IF(1=D492,1,0))*VLOOKUP(INDEX('章节与怪物'!$E$31:$K$37,B492,1),'章节与怪物'!$A$41:$F$44,4,FALSE)+IF(1=D492,'难度参数'!$E$30,0))</x:f>
        <x:v>630</x:v>
      </x:c>
      <x:c r="AB492" s="119" t="n">
        <x:f>IF(2&gt;D492,0,MAX(2,MIN('难度参数'!$E$12,ROUND(('难度参数'!$E$18*POWER(A492,'难度参数'!$E$19)/D492*(0.85+0.3*(2-1)/MAX(1,D492-1))),0)+F492)))</x:f>
        <x:v>37</x:v>
      </x:c>
      <x:c r="AC492" s="119" t="n">
        <x:f>IF(2&gt;D492,0,ROUND(('难度参数'!$E$13*POWER(A492,'难度参数'!$E$20)*MIN('难度参数'!$E$23,1+MAX(0,A492-'难度参数'!$E$21)*'难度参数'!$E$22))*(36+2*7)/(36+7*(D492+1)/2)*E492,0))</x:f>
        <x:v>9068</x:v>
      </x:c>
      <x:c r="AD492" s="119" t="n">
        <x:f>IF(AB492=0,0,(AB492-IF(2=D492,1,0))*ROUND(AC492*VLOOKUP(INDEX('章节与怪物'!$E$31:$K$37,B492,2),'章节与怪物'!$A$41:$F$44,2,FALSE),0)+IF(2=D492,ROUND(AC492*'难度参数'!$E$28*'章节与怪物'!$E$17,0),0))</x:f>
        <x:v>241573</x:v>
      </x:c>
      <x:c r="AE492" s="119" t="n">
        <x:f>IF(AB492=0,0,(AB492-IF(2=D492,1,0))*VLOOKUP(INDEX('章节与怪物'!$E$31:$K$37,B492,2),'章节与怪物'!$A$41:$F$44,4,FALSE)+IF(2=D492,'难度参数'!$E$30,0))</x:f>
        <x:v>740</x:v>
      </x:c>
      <x:c r="AF492" s="119" t="n">
        <x:f>IF(3&gt;D492,0,MAX(2,MIN('难度参数'!$E$12,ROUND(('难度参数'!$E$18*POWER(A492,'难度参数'!$E$19)/D492*(0.85+0.3*(3-1)/MAX(1,D492-1))),0)+F492)))</x:f>
        <x:v>39</x:v>
      </x:c>
      <x:c r="AG492" s="119" t="n">
        <x:f>IF(3&gt;D492,0,ROUND(('难度参数'!$E$13*POWER(A492,'难度参数'!$E$20)*MIN('难度参数'!$E$23,1+MAX(0,A492-'难度参数'!$E$21)*'难度参数'!$E$22))*(36+3*7)/(36+7*(D492+1)/2)*E492,0))</x:f>
        <x:v>10337</x:v>
      </x:c>
      <x:c r="AH492" s="119" t="n">
        <x:f>IF(AF492=0,0,(AF492-IF(3=D492,1,0))*ROUND(AG492*VLOOKUP(INDEX('章节与怪物'!$E$31:$K$37,B492,3),'章节与怪物'!$A$41:$F$44,2,FALSE),0)+IF(3=D492,ROUND(AG492*'难度参数'!$E$28*'章节与怪物'!$E$17,0),0))</x:f>
        <x:v>685347</x:v>
      </x:c>
      <x:c r="AI492" s="119" t="n">
        <x:f>IF(AF492=0,0,(AF492-IF(3=D492,1,0))*VLOOKUP(INDEX('章节与怪物'!$E$31:$K$37,B492,3),'章节与怪物'!$A$41:$F$44,4,FALSE)+IF(3=D492,'难度参数'!$E$30,0))</x:f>
        <x:v>1092</x:v>
      </x:c>
      <x:c r="AJ492" s="119" t="n">
        <x:f>IF(4&gt;D492,0,MAX(2,MIN('难度参数'!$E$12,ROUND(('难度参数'!$E$18*POWER(A492,'难度参数'!$E$19)/D492*(0.85+0.3*(4-1)/MAX(1,D492-1))),0)+F492)))</x:f>
        <x:v>41</x:v>
      </x:c>
      <x:c r="AK492" s="119" t="n">
        <x:f>IF(4&gt;D492,0,ROUND(('难度参数'!$E$13*POWER(A492,'难度参数'!$E$20)*MIN('难度参数'!$E$23,1+MAX(0,A492-'难度参数'!$E$21)*'难度参数'!$E$22))*(36+4*7)/(36+7*(D492+1)/2)*E492,0))</x:f>
        <x:v>11607</x:v>
      </x:c>
      <x:c r="AL492" s="119" t="n">
        <x:f>IF(AJ492=0,0,(AJ492-IF(4=D492,1,0))*ROUND(AK492*VLOOKUP(INDEX('章节与怪物'!$E$31:$K$37,B492,4),'章节与怪物'!$A$41:$F$44,2,FALSE),0)+IF(4=D492,ROUND(AK492*'难度参数'!$E$28*'章节与怪物'!$E$17,0),0))</x:f>
        <x:v>642429</x:v>
      </x:c>
      <x:c r="AM492" s="119" t="n">
        <x:f>IF(AJ492=0,0,(AJ492-IF(4=D492,1,0))*VLOOKUP(INDEX('章节与怪物'!$E$31:$K$37,B492,4),'章节与怪物'!$A$41:$F$44,4,FALSE)+IF(4=D492,'难度参数'!$E$30,0))</x:f>
        <x:v>1394</x:v>
      </x:c>
      <x:c r="AN492" s="119" t="n">
        <x:f>IF(5&gt;D492,0,MAX(2,MIN('难度参数'!$E$12,ROUND(('难度参数'!$E$18*POWER(A492,'难度参数'!$E$19)/D492*(0.85+0.3*(5-1)/MAX(1,D492-1))),0)+F492)))</x:f>
        <x:v>43</x:v>
      </x:c>
      <x:c r="AO492" s="119" t="n">
        <x:f>IF(5&gt;D492,0,ROUND(('难度参数'!$E$13*POWER(A492,'难度参数'!$E$20)*MIN('难度参数'!$E$23,1+MAX(0,A492-'难度参数'!$E$21)*'难度参数'!$E$22))*(36+5*7)/(36+7*(D492+1)/2)*E492,0))</x:f>
        <x:v>12876</x:v>
      </x:c>
      <x:c r="AP492" s="119" t="n">
        <x:f>IF(AN492=0,0,(AN492-IF(5=D492,1,0))*ROUND(AO492*VLOOKUP(INDEX('章节与怪物'!$E$31:$K$37,B492,5),'章节与怪物'!$A$41:$F$44,2,FALSE),0)+IF(5=D492,ROUND(AO492*'难度参数'!$E$28*'章节与怪物'!$E$17,0),0))</x:f>
        <x:v>398653</x:v>
      </x:c>
      <x:c r="AQ492" s="119" t="n">
        <x:f>IF(AN492=0,0,(AN492-IF(5=D492,1,0))*VLOOKUP(INDEX('章节与怪物'!$E$31:$K$37,B492,5),'章节与怪物'!$A$41:$F$44,4,FALSE)+IF(5=D492,'难度参数'!$E$30,0))</x:f>
        <x:v>860</x:v>
      </x:c>
      <x:c r="AR492" s="119" t="n">
        <x:f>IF(6&gt;D492,0,MAX(2,MIN('难度参数'!$E$12,ROUND(('难度参数'!$E$18*POWER(A492,'难度参数'!$E$19)/D492*(0.85+0.3*(6-1)/MAX(1,D492-1))),0)+F492)))</x:f>
        <x:v>45</x:v>
      </x:c>
      <x:c r="AS492" s="119" t="n">
        <x:f>IF(6&gt;D492,0,ROUND(('难度参数'!$E$13*POWER(A492,'难度参数'!$E$20)*MIN('难度参数'!$E$23,1+MAX(0,A492-'难度参数'!$E$21)*'难度参数'!$E$22))*(36+6*7)/(36+7*(D492+1)/2)*E492,0))</x:f>
        <x:v>14146</x:v>
      </x:c>
      <x:c r="AT492" s="119" t="n">
        <x:f>IF(AR492=0,0,(AR492-IF(6=D492,1,0))*ROUND(AS492*VLOOKUP(INDEX('章节与怪物'!$E$31:$K$37,B492,6),'章节与怪物'!$A$41:$F$44,2,FALSE),0)+IF(6=D492,ROUND(AS492*'难度参数'!$E$28*'章节与怪物'!$E$17,0),0))</x:f>
        <x:v>1082160</x:v>
      </x:c>
      <x:c r="AU492" s="119" t="n">
        <x:f>IF(AR492=0,0,(AR492-IF(6=D492,1,0))*VLOOKUP(INDEX('章节与怪物'!$E$31:$K$37,B492,6),'章节与怪物'!$A$41:$F$44,4,FALSE)+IF(6=D492,'难度参数'!$E$30,0))</x:f>
        <x:v>1260</x:v>
      </x:c>
      <x:c r="AV492" s="119" t="n">
        <x:f>IF(7&gt;D492,0,MAX(2,MIN('难度参数'!$E$12,ROUND(('难度参数'!$E$18*POWER(A492,'难度参数'!$E$19)/D492*(0.85+0.3*(7-1)/MAX(1,D492-1))),0)+F492)))</x:f>
        <x:v>47</x:v>
      </x:c>
      <x:c r="AW492" s="119" t="n">
        <x:f>IF(7&gt;D492,0,ROUND(('难度参数'!$E$13*POWER(A492,'难度参数'!$E$20)*MIN('难度参数'!$E$23,1+MAX(0,A492-'难度参数'!$E$21)*'难度参数'!$E$22))*(36+7*7)/(36+7*(D492+1)/2)*E492,0))</x:f>
        <x:v>15415</x:v>
      </x:c>
      <x:c r="AX492" s="119" t="n">
        <x:f>IF(AV492=0,0,(AV492-IF(7=D492,1,0))*ROUND(AW492*VLOOKUP(INDEX('章节与怪物'!$E$31:$K$37,B492,7),'章节与怪物'!$A$41:$F$44,2,FALSE),0)+IF(7=D492,ROUND(AW492*'难度参数'!$E$28*'章节与怪物'!$E$17,0),0))</x:f>
        <x:v>1062082</x:v>
      </x:c>
      <x:c r="AY492" s="119" t="n">
        <x:f>IF(AV492=0,0,(AV492-IF(7=D492,1,0))*VLOOKUP(INDEX('章节与怪物'!$E$31:$K$37,B492,7),'章节与怪物'!$A$41:$F$44,4,FALSE)+IF(7=D492,'难度参数'!$E$30,0))</x:f>
        <x:v>1764</x:v>
      </x:c>
    </x:row>
    <x:row r="493" ht="23" customHeight="1">
      <x:c r="A493" s="119" t="n">
        <x:v>487</x:v>
      </x:c>
      <x:c r="B493" s="119" t="n">
        <x:f>MOD(INT((A493-1)/5),7)+1</x:f>
        <x:v>7</x:v>
      </x:c>
      <x:c r="C493" s="62" t="str">
        <x:f>INDEX('章节与怪物'!$B$31:$B$37,B493)</x:f>
        <x:v>魔法山脊</x:v>
      </x:c>
      <x:c r="D493" s="119" t="n">
        <x:f>MIN('难度参数'!$E$8,MAX('难度参数'!$E$7,A493))</x:f>
        <x:v>7</x:v>
      </x:c>
      <x:c r="E493" s="106" t="n">
        <x:v>1</x:v>
      </x:c>
      <x:c r="F493" s="106" t="n">
        <x:v>0</x:v>
      </x:c>
      <x:c r="G493" s="106" t="n">
        <x:v>1</x:v>
      </x:c>
      <x:c r="H493" s="119" t="n">
        <x:f>SUM(X493,AB493,AF493,AJ493,AN493,AR493,AV493)</x:f>
        <x:v>287</x:v>
      </x:c>
      <x:c r="I493" s="119" t="n">
        <x:f>SUM(Z493,AD493,AH493,AL493,AP493,AT493,AX493)</x:f>
        <x:v>4391684</x:v>
      </x:c>
      <x:c r="J493" s="119" t="n">
        <x:f>ROUND(INDEX(X493:AY493,1,(D493-1)*4+2)*'难度参数'!$E$28*'章节与怪物'!$E$17,0)</x:f>
        <x:v>104978</x:v>
      </x:c>
      <x:c r="K493" s="119" t="n">
        <x:f>SUM(AA493,AE493,AI493,AM493,AQ493,AU493,AY493)</x:f>
        <x:v>7740</x:v>
      </x:c>
      <x:c r="L493" s="62" t="n">
        <x:f>H493*(ROUNDUP('难度参数'!$E$24/('难度参数'!$E$26*'难度参数'!$E$27),0)*'难度参数'!$E$26)/60</x:f>
        <x:v>3.826666666666667</x:v>
      </x:c>
      <x:c r="M493" s="62" t="n">
        <x:f>L493+D493*('难度参数'!$E$49+'难度参数'!$E$50)/60</x:f>
        <x:v>4.993333333333334</x:v>
      </x:c>
      <x:c r="N493" s="119" t="n">
        <x:f>ROUNDDOWN(('经济参数'!$E$20+A493*'经济参数'!$E$21)*G493,0)</x:f>
        <x:v>9920</x:v>
      </x:c>
      <x:c r="O493" s="119" t="n">
        <x:f>ROUNDDOWN(MIN('经济参数'!$E$24,'经济参数'!$E$22+A493*'经济参数'!$E$23)*G493,0)</x:f>
        <x:v>0</x:v>
      </x:c>
      <x:c r="P493" s="119" t="n">
        <x:f>ROUNDDOWN((IF(A493&gt;='材料与任务'!$E$31,'材料与任务'!$E$32,IF(A493&gt;='材料与任务'!$E$25,'材料与任务'!$E$26,IF(A493&gt;='材料与任务'!$E$19,'材料与任务'!$E$20,IF(A493&gt;='材料与任务'!$E$13,'材料与任务'!$E$14,'材料与任务'!$E$8)))))*G493,0)</x:f>
        <x:v>6</x:v>
      </x:c>
      <x:c r="Q493" s="119" t="n">
        <x:f>ROUNDDOWN((IF(A493&gt;='材料与任务'!$E$31,'材料与任务'!$E$33,IF(A493&gt;='材料与任务'!$E$25,'材料与任务'!$E$27,IF(A493&gt;='材料与任务'!$E$19,'材料与任务'!$E$21,IF(A493&gt;='材料与任务'!$E$13,'材料与任务'!$E$15,'材料与任务'!$E$9)))))*G493,0)</x:f>
        <x:v>3</x:v>
      </x:c>
      <x:c r="R493" s="110" t="n">
        <x:f>'装备掉落'!$B$38</x:f>
        <x:v>0.6872058758851213</x:v>
      </x:c>
      <x:c r="S493" s="119" t="n">
        <x:f>MAX(IF(VLOOKUP(A493,'装备掉落'!$A$29:$H$34,2,TRUE)&gt;0,1,0),IF(VLOOKUP(A493,'装备掉落'!$A$29:$H$34,3,TRUE)&gt;0,2,0),IF(VLOOKUP(A493,'装备掉落'!$A$29:$H$34,4,TRUE)&gt;0,3,0),IF(VLOOKUP(A493,'装备掉落'!$A$29:$H$34,5,TRUE)&gt;0,4,0),IF(VLOOKUP(A493,'装备掉落'!$A$29:$H$34,6,TRUE)&gt;0,5,0),IF(VLOOKUP(A493,'装备掉落'!$A$29:$H$34,7,TRUE)&gt;0,6,0),IF(VLOOKUP(A493,'装备掉落'!$A$29:$H$34,8,TRUE)&gt;0,7,0))</x:f>
        <x:v>7</x:v>
      </x:c>
      <x:c r="T493" s="119" t="n">
        <x:f>MIN(7,S493+'经济参数'!$E$70)</x:f>
        <x:v>7</x:v>
      </x:c>
      <x:c r="U493" s="119" t="n">
        <x:f>MIN(7,S493+'经济参数'!$E$71)</x:f>
        <x:v>7</x:v>
      </x:c>
      <x:c r="V493" s="119" t="n">
        <x:f>IF(H493&gt;=('难度参数'!$E$52),1,0)+IF(H493&gt;=('难度参数'!$E$52+'难度参数'!$E$53),1,0)+IF(H493&gt;=('难度参数'!$E$52+'难度参数'!$E$53+'难度参数'!$E$54),1,0)+IF(H493&gt;=('难度参数'!$E$52+'难度参数'!$E$53+'难度参数'!$E$54+'难度参数'!$E$55),1,0)+IF(H493&gt;=('难度参数'!$E$52+'难度参数'!$E$53+'难度参数'!$E$54+'难度参数'!$E$55+'难度参数'!$E$56),1,0)+IF(H493&gt;=('难度参数'!$E$52+'难度参数'!$E$53+'难度参数'!$E$54+'难度参数'!$E$55+'难度参数'!$E$56+'难度参数'!$E$57),1,0)</x:f>
        <x:v>6</x:v>
      </x:c>
      <x:c r="W493" s="62" t="str">
        <x:f>IF(L493&gt;'难度参数'!$E$51,"仅出怪已超目标","还需实测")</x:f>
        <x:v>仅出怪已超目标</x:v>
      </x:c>
      <x:c r="X493" s="119" t="n">
        <x:f>IF(1&gt;D493,0,MAX(2,MIN('难度参数'!$E$12,ROUND(('难度参数'!$E$18*POWER(A493,'难度参数'!$E$19)/D493*(0.85+0.3*(1-1)/MAX(1,D493-1))),0)+F493)))</x:f>
        <x:v>35</x:v>
      </x:c>
      <x:c r="Y493" s="119" t="n">
        <x:f>IF(1&gt;D493,0,ROUND(('难度参数'!$E$13*POWER(A493,'难度参数'!$E$20)*MIN('难度参数'!$E$23,1+MAX(0,A493-'难度参数'!$E$21)*'难度参数'!$E$22))*(36+1*7)/(36+7*(D493+1)/2)*E493,0))</x:f>
        <x:v>7810</x:v>
      </x:c>
      <x:c r="Z493" s="119" t="n">
        <x:f>IF(X493=0,0,(X493-IF(1=D493,1,0))*ROUND(Y493*VLOOKUP(INDEX('章节与怪物'!$E$31:$K$37,B493,1),'章节与怪物'!$A$41:$F$44,2,FALSE),0)+IF(1=D493,ROUND(Y493*'难度参数'!$E$28*'章节与怪物'!$E$17,0),0))</x:f>
        <x:v>273350</x:v>
      </x:c>
      <x:c r="AA493" s="119" t="n">
        <x:f>IF(X493=0,0,(X493-IF(1=D493,1,0))*VLOOKUP(INDEX('章节与怪物'!$E$31:$K$37,B493,1),'章节与怪物'!$A$41:$F$44,4,FALSE)+IF(1=D493,'难度参数'!$E$30,0))</x:f>
        <x:v>630</x:v>
      </x:c>
      <x:c r="AB493" s="119" t="n">
        <x:f>IF(2&gt;D493,0,MAX(2,MIN('难度参数'!$E$12,ROUND(('难度参数'!$E$18*POWER(A493,'难度参数'!$E$19)/D493*(0.85+0.3*(2-1)/MAX(1,D493-1))),0)+F493)))</x:f>
        <x:v>37</x:v>
      </x:c>
      <x:c r="AC493" s="119" t="n">
        <x:f>IF(2&gt;D493,0,ROUND(('难度参数'!$E$13*POWER(A493,'难度参数'!$E$20)*MIN('难度参数'!$E$23,1+MAX(0,A493-'难度参数'!$E$21)*'难度参数'!$E$22))*(36+2*7)/(36+7*(D493+1)/2)*E493,0))</x:f>
        <x:v>9081</x:v>
      </x:c>
      <x:c r="AD493" s="119" t="n">
        <x:f>IF(AB493=0,0,(AB493-IF(2=D493,1,0))*ROUND(AC493*VLOOKUP(INDEX('章节与怪物'!$E$31:$K$37,B493,2),'章节与怪物'!$A$41:$F$44,2,FALSE),0)+IF(2=D493,ROUND(AC493*'难度参数'!$E$28*'章节与怪物'!$E$17,0),0))</x:f>
        <x:v>241906</x:v>
      </x:c>
      <x:c r="AE493" s="119" t="n">
        <x:f>IF(AB493=0,0,(AB493-IF(2=D493,1,0))*VLOOKUP(INDEX('章节与怪物'!$E$31:$K$37,B493,2),'章节与怪物'!$A$41:$F$44,4,FALSE)+IF(2=D493,'难度参数'!$E$30,0))</x:f>
        <x:v>740</x:v>
      </x:c>
      <x:c r="AF493" s="119" t="n">
        <x:f>IF(3&gt;D493,0,MAX(2,MIN('难度参数'!$E$12,ROUND(('难度参数'!$E$18*POWER(A493,'难度参数'!$E$19)/D493*(0.85+0.3*(3-1)/MAX(1,D493-1))),0)+F493)))</x:f>
        <x:v>39</x:v>
      </x:c>
      <x:c r="AG493" s="119" t="n">
        <x:f>IF(3&gt;D493,0,ROUND(('难度参数'!$E$13*POWER(A493,'难度参数'!$E$20)*MIN('难度参数'!$E$23,1+MAX(0,A493-'难度参数'!$E$21)*'难度参数'!$E$22))*(36+3*7)/(36+7*(D493+1)/2)*E493,0))</x:f>
        <x:v>10353</x:v>
      </x:c>
      <x:c r="AH493" s="119" t="n">
        <x:f>IF(AF493=0,0,(AF493-IF(3=D493,1,0))*ROUND(AG493*VLOOKUP(INDEX('章节与怪物'!$E$31:$K$37,B493,3),'章节与怪物'!$A$41:$F$44,2,FALSE),0)+IF(3=D493,ROUND(AG493*'难度参数'!$E$28*'章节与怪物'!$E$17,0),0))</x:f>
        <x:v>686400</x:v>
      </x:c>
      <x:c r="AI493" s="119" t="n">
        <x:f>IF(AF493=0,0,(AF493-IF(3=D493,1,0))*VLOOKUP(INDEX('章节与怪物'!$E$31:$K$37,B493,3),'章节与怪物'!$A$41:$F$44,4,FALSE)+IF(3=D493,'难度参数'!$E$30,0))</x:f>
        <x:v>1092</x:v>
      </x:c>
      <x:c r="AJ493" s="119" t="n">
        <x:f>IF(4&gt;D493,0,MAX(2,MIN('难度参数'!$E$12,ROUND(('难度参数'!$E$18*POWER(A493,'难度参数'!$E$19)/D493*(0.85+0.3*(4-1)/MAX(1,D493-1))),0)+F493)))</x:f>
        <x:v>41</x:v>
      </x:c>
      <x:c r="AK493" s="119" t="n">
        <x:f>IF(4&gt;D493,0,ROUND(('难度参数'!$E$13*POWER(A493,'难度参数'!$E$20)*MIN('难度参数'!$E$23,1+MAX(0,A493-'难度参数'!$E$21)*'难度参数'!$E$22))*(36+4*7)/(36+7*(D493+1)/2)*E493,0))</x:f>
        <x:v>11624</x:v>
      </x:c>
      <x:c r="AL493" s="119" t="n">
        <x:f>IF(AJ493=0,0,(AJ493-IF(4=D493,1,0))*ROUND(AK493*VLOOKUP(INDEX('章节与怪物'!$E$31:$K$37,B493,4),'章节与怪物'!$A$41:$F$44,2,FALSE),0)+IF(4=D493,ROUND(AK493*'难度参数'!$E$28*'章节与怪物'!$E$17,0),0))</x:f>
        <x:v>643372</x:v>
      </x:c>
      <x:c r="AM493" s="119" t="n">
        <x:f>IF(AJ493=0,0,(AJ493-IF(4=D493,1,0))*VLOOKUP(INDEX('章节与怪物'!$E$31:$K$37,B493,4),'章节与怪物'!$A$41:$F$44,4,FALSE)+IF(4=D493,'难度参数'!$E$30,0))</x:f>
        <x:v>1394</x:v>
      </x:c>
      <x:c r="AN493" s="119" t="n">
        <x:f>IF(5&gt;D493,0,MAX(2,MIN('难度参数'!$E$12,ROUND(('难度参数'!$E$18*POWER(A493,'难度参数'!$E$19)/D493*(0.85+0.3*(5-1)/MAX(1,D493-1))),0)+F493)))</x:f>
        <x:v>43</x:v>
      </x:c>
      <x:c r="AO493" s="119" t="n">
        <x:f>IF(5&gt;D493,0,ROUND(('难度参数'!$E$13*POWER(A493,'难度参数'!$E$20)*MIN('难度参数'!$E$23,1+MAX(0,A493-'难度参数'!$E$21)*'难度参数'!$E$22))*(36+5*7)/(36+7*(D493+1)/2)*E493,0))</x:f>
        <x:v>12895</x:v>
      </x:c>
      <x:c r="AP493" s="119" t="n">
        <x:f>IF(AN493=0,0,(AN493-IF(5=D493,1,0))*ROUND(AO493*VLOOKUP(INDEX('章节与怪物'!$E$31:$K$37,B493,5),'章节与怪物'!$A$41:$F$44,2,FALSE),0)+IF(5=D493,ROUND(AO493*'难度参数'!$E$28*'章节与怪物'!$E$17,0),0))</x:f>
        <x:v>399212</x:v>
      </x:c>
      <x:c r="AQ493" s="119" t="n">
        <x:f>IF(AN493=0,0,(AN493-IF(5=D493,1,0))*VLOOKUP(INDEX('章节与怪物'!$E$31:$K$37,B493,5),'章节与怪物'!$A$41:$F$44,4,FALSE)+IF(5=D493,'难度参数'!$E$30,0))</x:f>
        <x:v>860</x:v>
      </x:c>
      <x:c r="AR493" s="119" t="n">
        <x:f>IF(6&gt;D493,0,MAX(2,MIN('难度参数'!$E$12,ROUND(('难度参数'!$E$18*POWER(A493,'难度参数'!$E$19)/D493*(0.85+0.3*(6-1)/MAX(1,D493-1))),0)+F493)))</x:f>
        <x:v>45</x:v>
      </x:c>
      <x:c r="AS493" s="119" t="n">
        <x:f>IF(6&gt;D493,0,ROUND(('难度参数'!$E$13*POWER(A493,'难度参数'!$E$20)*MIN('难度参数'!$E$23,1+MAX(0,A493-'难度参数'!$E$21)*'难度参数'!$E$22))*(36+6*7)/(36+7*(D493+1)/2)*E493,0))</x:f>
        <x:v>14167</x:v>
      </x:c>
      <x:c r="AT493" s="119" t="n">
        <x:f>IF(AR493=0,0,(AR493-IF(6=D493,1,0))*ROUND(AS493*VLOOKUP(INDEX('章节与怪物'!$E$31:$K$37,B493,6),'章节与怪物'!$A$41:$F$44,2,FALSE),0)+IF(6=D493,ROUND(AS493*'难度参数'!$E$28*'章节与怪物'!$E$17,0),0))</x:f>
        <x:v>1083780</x:v>
      </x:c>
      <x:c r="AU493" s="119" t="n">
        <x:f>IF(AR493=0,0,(AR493-IF(6=D493,1,0))*VLOOKUP(INDEX('章节与怪物'!$E$31:$K$37,B493,6),'章节与怪物'!$A$41:$F$44,4,FALSE)+IF(6=D493,'难度参数'!$E$30,0))</x:f>
        <x:v>1260</x:v>
      </x:c>
      <x:c r="AV493" s="119" t="n">
        <x:f>IF(7&gt;D493,0,MAX(2,MIN('难度参数'!$E$12,ROUND(('难度参数'!$E$18*POWER(A493,'难度参数'!$E$19)/D493*(0.85+0.3*(7-1)/MAX(1,D493-1))),0)+F493)))</x:f>
        <x:v>47</x:v>
      </x:c>
      <x:c r="AW493" s="119" t="n">
        <x:f>IF(7&gt;D493,0,ROUND(('难度参数'!$E$13*POWER(A493,'难度参数'!$E$20)*MIN('难度参数'!$E$23,1+MAX(0,A493-'难度参数'!$E$21)*'难度参数'!$E$22))*(36+7*7)/(36+7*(D493+1)/2)*E493,0))</x:f>
        <x:v>15438</x:v>
      </x:c>
      <x:c r="AX493" s="119" t="n">
        <x:f>IF(AV493=0,0,(AV493-IF(7=D493,1,0))*ROUND(AW493*VLOOKUP(INDEX('章节与怪物'!$E$31:$K$37,B493,7),'章节与怪物'!$A$41:$F$44,2,FALSE),0)+IF(7=D493,ROUND(AW493*'难度参数'!$E$28*'章节与怪物'!$E$17,0),0))</x:f>
        <x:v>1063664</x:v>
      </x:c>
      <x:c r="AY493" s="119" t="n">
        <x:f>IF(AV493=0,0,(AV493-IF(7=D493,1,0))*VLOOKUP(INDEX('章节与怪物'!$E$31:$K$37,B493,7),'章节与怪物'!$A$41:$F$44,4,FALSE)+IF(7=D493,'难度参数'!$E$30,0))</x:f>
        <x:v>1764</x:v>
      </x:c>
    </x:row>
    <x:row r="494" ht="23" customHeight="1">
      <x:c r="A494" s="119" t="n">
        <x:v>488</x:v>
      </x:c>
      <x:c r="B494" s="119" t="n">
        <x:f>MOD(INT((A494-1)/5),7)+1</x:f>
        <x:v>7</x:v>
      </x:c>
      <x:c r="C494" s="62" t="str">
        <x:f>INDEX('章节与怪物'!$B$31:$B$37,B494)</x:f>
        <x:v>魔法山脊</x:v>
      </x:c>
      <x:c r="D494" s="119" t="n">
        <x:f>MIN('难度参数'!$E$8,MAX('难度参数'!$E$7,A494))</x:f>
        <x:v>7</x:v>
      </x:c>
      <x:c r="E494" s="106" t="n">
        <x:v>1</x:v>
      </x:c>
      <x:c r="F494" s="106" t="n">
        <x:v>0</x:v>
      </x:c>
      <x:c r="G494" s="106" t="n">
        <x:v>1</x:v>
      </x:c>
      <x:c r="H494" s="119" t="n">
        <x:f>SUM(X494,AB494,AF494,AJ494,AN494,AR494,AV494)</x:f>
        <x:v>287</x:v>
      </x:c>
      <x:c r="I494" s="119" t="n">
        <x:f>SUM(Z494,AD494,AH494,AL494,AP494,AT494,AX494)</x:f>
        <x:v>4398201</x:v>
      </x:c>
      <x:c r="J494" s="119" t="n">
        <x:f>ROUND(INDEX(X494:AY494,1,(D494-1)*4+2)*'难度参数'!$E$28*'章节与怪物'!$E$17,0)</x:f>
        <x:v>105135</x:v>
      </x:c>
      <x:c r="K494" s="119" t="n">
        <x:f>SUM(AA494,AE494,AI494,AM494,AQ494,AU494,AY494)</x:f>
        <x:v>7740</x:v>
      </x:c>
      <x:c r="L494" s="62" t="n">
        <x:f>H494*(ROUNDUP('难度参数'!$E$24/('难度参数'!$E$26*'难度参数'!$E$27),0)*'难度参数'!$E$26)/60</x:f>
        <x:v>3.826666666666667</x:v>
      </x:c>
      <x:c r="M494" s="62" t="n">
        <x:f>L494+D494*('难度参数'!$E$49+'难度参数'!$E$50)/60</x:f>
        <x:v>4.993333333333334</x:v>
      </x:c>
      <x:c r="N494" s="119" t="n">
        <x:f>ROUNDDOWN(('经济参数'!$E$20+A494*'经济参数'!$E$21)*G494,0)</x:f>
        <x:v>9940</x:v>
      </x:c>
      <x:c r="O494" s="119" t="n">
        <x:f>ROUNDDOWN(MIN('经济参数'!$E$24,'经济参数'!$E$22+A494*'经济参数'!$E$23)*G494,0)</x:f>
        <x:v>0</x:v>
      </x:c>
      <x:c r="P494" s="119" t="n">
        <x:f>ROUNDDOWN((IF(A494&gt;='材料与任务'!$E$31,'材料与任务'!$E$32,IF(A494&gt;='材料与任务'!$E$25,'材料与任务'!$E$26,IF(A494&gt;='材料与任务'!$E$19,'材料与任务'!$E$20,IF(A494&gt;='材料与任务'!$E$13,'材料与任务'!$E$14,'材料与任务'!$E$8)))))*G494,0)</x:f>
        <x:v>6</x:v>
      </x:c>
      <x:c r="Q494" s="119" t="n">
        <x:f>ROUNDDOWN((IF(A494&gt;='材料与任务'!$E$31,'材料与任务'!$E$33,IF(A494&gt;='材料与任务'!$E$25,'材料与任务'!$E$27,IF(A494&gt;='材料与任务'!$E$19,'材料与任务'!$E$21,IF(A494&gt;='材料与任务'!$E$13,'材料与任务'!$E$15,'材料与任务'!$E$9)))))*G494,0)</x:f>
        <x:v>3</x:v>
      </x:c>
      <x:c r="R494" s="110" t="n">
        <x:f>'装备掉落'!$B$38</x:f>
        <x:v>0.6872058758851213</x:v>
      </x:c>
      <x:c r="S494" s="119" t="n">
        <x:f>MAX(IF(VLOOKUP(A494,'装备掉落'!$A$29:$H$34,2,TRUE)&gt;0,1,0),IF(VLOOKUP(A494,'装备掉落'!$A$29:$H$34,3,TRUE)&gt;0,2,0),IF(VLOOKUP(A494,'装备掉落'!$A$29:$H$34,4,TRUE)&gt;0,3,0),IF(VLOOKUP(A494,'装备掉落'!$A$29:$H$34,5,TRUE)&gt;0,4,0),IF(VLOOKUP(A494,'装备掉落'!$A$29:$H$34,6,TRUE)&gt;0,5,0),IF(VLOOKUP(A494,'装备掉落'!$A$29:$H$34,7,TRUE)&gt;0,6,0),IF(VLOOKUP(A494,'装备掉落'!$A$29:$H$34,8,TRUE)&gt;0,7,0))</x:f>
        <x:v>7</x:v>
      </x:c>
      <x:c r="T494" s="119" t="n">
        <x:f>MIN(7,S494+'经济参数'!$E$70)</x:f>
        <x:v>7</x:v>
      </x:c>
      <x:c r="U494" s="119" t="n">
        <x:f>MIN(7,S494+'经济参数'!$E$71)</x:f>
        <x:v>7</x:v>
      </x:c>
      <x:c r="V494" s="119" t="n">
        <x:f>IF(H494&gt;=('难度参数'!$E$52),1,0)+IF(H494&gt;=('难度参数'!$E$52+'难度参数'!$E$53),1,0)+IF(H494&gt;=('难度参数'!$E$52+'难度参数'!$E$53+'难度参数'!$E$54),1,0)+IF(H494&gt;=('难度参数'!$E$52+'难度参数'!$E$53+'难度参数'!$E$54+'难度参数'!$E$55),1,0)+IF(H494&gt;=('难度参数'!$E$52+'难度参数'!$E$53+'难度参数'!$E$54+'难度参数'!$E$55+'难度参数'!$E$56),1,0)+IF(H494&gt;=('难度参数'!$E$52+'难度参数'!$E$53+'难度参数'!$E$54+'难度参数'!$E$55+'难度参数'!$E$56+'难度参数'!$E$57),1,0)</x:f>
        <x:v>6</x:v>
      </x:c>
      <x:c r="W494" s="62" t="str">
        <x:f>IF(L494&gt;'难度参数'!$E$51,"仅出怪已超目标","还需实测")</x:f>
        <x:v>仅出怪已超目标</x:v>
      </x:c>
      <x:c r="X494" s="119" t="n">
        <x:f>IF(1&gt;D494,0,MAX(2,MIN('难度参数'!$E$12,ROUND(('难度参数'!$E$18*POWER(A494,'难度参数'!$E$19)/D494*(0.85+0.3*(1-1)/MAX(1,D494-1))),0)+F494)))</x:f>
        <x:v>35</x:v>
      </x:c>
      <x:c r="Y494" s="119" t="n">
        <x:f>IF(1&gt;D494,0,ROUND(('难度参数'!$E$13*POWER(A494,'难度参数'!$E$20)*MIN('难度参数'!$E$23,1+MAX(0,A494-'难度参数'!$E$21)*'难度参数'!$E$22))*(36+1*7)/(36+7*(D494+1)/2)*E494,0))</x:f>
        <x:v>7821</x:v>
      </x:c>
      <x:c r="Z494" s="119" t="n">
        <x:f>IF(X494=0,0,(X494-IF(1=D494,1,0))*ROUND(Y494*VLOOKUP(INDEX('章节与怪物'!$E$31:$K$37,B494,1),'章节与怪物'!$A$41:$F$44,2,FALSE),0)+IF(1=D494,ROUND(Y494*'难度参数'!$E$28*'章节与怪物'!$E$17,0),0))</x:f>
        <x:v>273735</x:v>
      </x:c>
      <x:c r="AA494" s="119" t="n">
        <x:f>IF(X494=0,0,(X494-IF(1=D494,1,0))*VLOOKUP(INDEX('章节与怪物'!$E$31:$K$37,B494,1),'章节与怪物'!$A$41:$F$44,4,FALSE)+IF(1=D494,'难度参数'!$E$30,0))</x:f>
        <x:v>630</x:v>
      </x:c>
      <x:c r="AB494" s="119" t="n">
        <x:f>IF(2&gt;D494,0,MAX(2,MIN('难度参数'!$E$12,ROUND(('难度参数'!$E$18*POWER(A494,'难度参数'!$E$19)/D494*(0.85+0.3*(2-1)/MAX(1,D494-1))),0)+F494)))</x:f>
        <x:v>37</x:v>
      </x:c>
      <x:c r="AC494" s="119" t="n">
        <x:f>IF(2&gt;D494,0,ROUND(('难度参数'!$E$13*POWER(A494,'难度参数'!$E$20)*MIN('难度参数'!$E$23,1+MAX(0,A494-'难度参数'!$E$21)*'难度参数'!$E$22))*(36+2*7)/(36+7*(D494+1)/2)*E494,0))</x:f>
        <x:v>9095</x:v>
      </x:c>
      <x:c r="AD494" s="119" t="n">
        <x:f>IF(AB494=0,0,(AB494-IF(2=D494,1,0))*ROUND(AC494*VLOOKUP(INDEX('章节与怪物'!$E$31:$K$37,B494,2),'章节与怪物'!$A$41:$F$44,2,FALSE),0)+IF(2=D494,ROUND(AC494*'难度参数'!$E$28*'章节与怪物'!$E$17,0),0))</x:f>
        <x:v>242276</x:v>
      </x:c>
      <x:c r="AE494" s="119" t="n">
        <x:f>IF(AB494=0,0,(AB494-IF(2=D494,1,0))*VLOOKUP(INDEX('章节与怪物'!$E$31:$K$37,B494,2),'章节与怪物'!$A$41:$F$44,4,FALSE)+IF(2=D494,'难度参数'!$E$30,0))</x:f>
        <x:v>740</x:v>
      </x:c>
      <x:c r="AF494" s="119" t="n">
        <x:f>IF(3&gt;D494,0,MAX(2,MIN('难度参数'!$E$12,ROUND(('难度参数'!$E$18*POWER(A494,'难度参数'!$E$19)/D494*(0.85+0.3*(3-1)/MAX(1,D494-1))),0)+F494)))</x:f>
        <x:v>39</x:v>
      </x:c>
      <x:c r="AG494" s="119" t="n">
        <x:f>IF(3&gt;D494,0,ROUND(('难度参数'!$E$13*POWER(A494,'难度参数'!$E$20)*MIN('难度参数'!$E$23,1+MAX(0,A494-'难度参数'!$E$21)*'难度参数'!$E$22))*(36+3*7)/(36+7*(D494+1)/2)*E494,0))</x:f>
        <x:v>10368</x:v>
      </x:c>
      <x:c r="AH494" s="119" t="n">
        <x:f>IF(AF494=0,0,(AF494-IF(3=D494,1,0))*ROUND(AG494*VLOOKUP(INDEX('章节与怪物'!$E$31:$K$37,B494,3),'章节与怪物'!$A$41:$F$44,2,FALSE),0)+IF(3=D494,ROUND(AG494*'难度参数'!$E$28*'章节与怪物'!$E$17,0),0))</x:f>
        <x:v>687414</x:v>
      </x:c>
      <x:c r="AI494" s="119" t="n">
        <x:f>IF(AF494=0,0,(AF494-IF(3=D494,1,0))*VLOOKUP(INDEX('章节与怪物'!$E$31:$K$37,B494,3),'章节与怪物'!$A$41:$F$44,4,FALSE)+IF(3=D494,'难度参数'!$E$30,0))</x:f>
        <x:v>1092</x:v>
      </x:c>
      <x:c r="AJ494" s="119" t="n">
        <x:f>IF(4&gt;D494,0,MAX(2,MIN('难度参数'!$E$12,ROUND(('难度参数'!$E$18*POWER(A494,'难度参数'!$E$19)/D494*(0.85+0.3*(4-1)/MAX(1,D494-1))),0)+F494)))</x:f>
        <x:v>41</x:v>
      </x:c>
      <x:c r="AK494" s="119" t="n">
        <x:f>IF(4&gt;D494,0,ROUND(('难度参数'!$E$13*POWER(A494,'难度参数'!$E$20)*MIN('难度参数'!$E$23,1+MAX(0,A494-'难度参数'!$E$21)*'难度参数'!$E$22))*(36+4*7)/(36+7*(D494+1)/2)*E494,0))</x:f>
        <x:v>11641</x:v>
      </x:c>
      <x:c r="AL494" s="119" t="n">
        <x:f>IF(AJ494=0,0,(AJ494-IF(4=D494,1,0))*ROUND(AK494*VLOOKUP(INDEX('章节与怪物'!$E$31:$K$37,B494,4),'章节与怪物'!$A$41:$F$44,2,FALSE),0)+IF(4=D494,ROUND(AK494*'难度参数'!$E$28*'章节与怪物'!$E$17,0),0))</x:f>
        <x:v>644315</x:v>
      </x:c>
      <x:c r="AM494" s="119" t="n">
        <x:f>IF(AJ494=0,0,(AJ494-IF(4=D494,1,0))*VLOOKUP(INDEX('章节与怪物'!$E$31:$K$37,B494,4),'章节与怪物'!$A$41:$F$44,4,FALSE)+IF(4=D494,'难度参数'!$E$30,0))</x:f>
        <x:v>1394</x:v>
      </x:c>
      <x:c r="AN494" s="119" t="n">
        <x:f>IF(5&gt;D494,0,MAX(2,MIN('难度参数'!$E$12,ROUND(('难度参数'!$E$18*POWER(A494,'难度参数'!$E$19)/D494*(0.85+0.3*(5-1)/MAX(1,D494-1))),0)+F494)))</x:f>
        <x:v>43</x:v>
      </x:c>
      <x:c r="AO494" s="119" t="n">
        <x:f>IF(5&gt;D494,0,ROUND(('难度参数'!$E$13*POWER(A494,'难度参数'!$E$20)*MIN('难度参数'!$E$23,1+MAX(0,A494-'难度参数'!$E$21)*'难度参数'!$E$22))*(36+5*7)/(36+7*(D494+1)/2)*E494,0))</x:f>
        <x:v>12914</x:v>
      </x:c>
      <x:c r="AP494" s="119" t="n">
        <x:f>IF(AN494=0,0,(AN494-IF(5=D494,1,0))*ROUND(AO494*VLOOKUP(INDEX('章节与怪物'!$E$31:$K$37,B494,5),'章节与怪物'!$A$41:$F$44,2,FALSE),0)+IF(5=D494,ROUND(AO494*'难度参数'!$E$28*'章节与怪物'!$E$17,0),0))</x:f>
        <x:v>399814</x:v>
      </x:c>
      <x:c r="AQ494" s="119" t="n">
        <x:f>IF(AN494=0,0,(AN494-IF(5=D494,1,0))*VLOOKUP(INDEX('章节与怪物'!$E$31:$K$37,B494,5),'章节与怪物'!$A$41:$F$44,4,FALSE)+IF(5=D494,'难度参数'!$E$30,0))</x:f>
        <x:v>860</x:v>
      </x:c>
      <x:c r="AR494" s="119" t="n">
        <x:f>IF(6&gt;D494,0,MAX(2,MIN('难度参数'!$E$12,ROUND(('难度参数'!$E$18*POWER(A494,'难度参数'!$E$19)/D494*(0.85+0.3*(6-1)/MAX(1,D494-1))),0)+F494)))</x:f>
        <x:v>45</x:v>
      </x:c>
      <x:c r="AS494" s="119" t="n">
        <x:f>IF(6&gt;D494,0,ROUND(('难度参数'!$E$13*POWER(A494,'难度参数'!$E$20)*MIN('难度参数'!$E$23,1+MAX(0,A494-'难度参数'!$E$21)*'难度参数'!$E$22))*(36+6*7)/(36+7*(D494+1)/2)*E494,0))</x:f>
        <x:v>14188</x:v>
      </x:c>
      <x:c r="AT494" s="119" t="n">
        <x:f>IF(AR494=0,0,(AR494-IF(6=D494,1,0))*ROUND(AS494*VLOOKUP(INDEX('章节与怪物'!$E$31:$K$37,B494,6),'章节与怪物'!$A$41:$F$44,2,FALSE),0)+IF(6=D494,ROUND(AS494*'难度参数'!$E$28*'章节与怪物'!$E$17,0),0))</x:f>
        <x:v>1085400</x:v>
      </x:c>
      <x:c r="AU494" s="119" t="n">
        <x:f>IF(AR494=0,0,(AR494-IF(6=D494,1,0))*VLOOKUP(INDEX('章节与怪物'!$E$31:$K$37,B494,6),'章节与怪物'!$A$41:$F$44,4,FALSE)+IF(6=D494,'难度参数'!$E$30,0))</x:f>
        <x:v>1260</x:v>
      </x:c>
      <x:c r="AV494" s="119" t="n">
        <x:f>IF(7&gt;D494,0,MAX(2,MIN('难度参数'!$E$12,ROUND(('难度参数'!$E$18*POWER(A494,'难度参数'!$E$19)/D494*(0.85+0.3*(7-1)/MAX(1,D494-1))),0)+F494)))</x:f>
        <x:v>47</x:v>
      </x:c>
      <x:c r="AW494" s="119" t="n">
        <x:f>IF(7&gt;D494,0,ROUND(('难度参数'!$E$13*POWER(A494,'难度参数'!$E$20)*MIN('难度参数'!$E$23,1+MAX(0,A494-'难度参数'!$E$21)*'难度参数'!$E$22))*(36+7*7)/(36+7*(D494+1)/2)*E494,0))</x:f>
        <x:v>15461</x:v>
      </x:c>
      <x:c r="AX494" s="119" t="n">
        <x:f>IF(AV494=0,0,(AV494-IF(7=D494,1,0))*ROUND(AW494*VLOOKUP(INDEX('章节与怪物'!$E$31:$K$37,B494,7),'章节与怪物'!$A$41:$F$44,2,FALSE),0)+IF(7=D494,ROUND(AW494*'难度参数'!$E$28*'章节与怪物'!$E$17,0),0))</x:f>
        <x:v>1065247</x:v>
      </x:c>
      <x:c r="AY494" s="119" t="n">
        <x:f>IF(AV494=0,0,(AV494-IF(7=D494,1,0))*VLOOKUP(INDEX('章节与怪物'!$E$31:$K$37,B494,7),'章节与怪物'!$A$41:$F$44,4,FALSE)+IF(7=D494,'难度参数'!$E$30,0))</x:f>
        <x:v>1764</x:v>
      </x:c>
    </x:row>
    <x:row r="495" ht="23" customHeight="1">
      <x:c r="A495" s="119" t="n">
        <x:v>489</x:v>
      </x:c>
      <x:c r="B495" s="119" t="n">
        <x:f>MOD(INT((A495-1)/5),7)+1</x:f>
        <x:v>7</x:v>
      </x:c>
      <x:c r="C495" s="62" t="str">
        <x:f>INDEX('章节与怪物'!$B$31:$B$37,B495)</x:f>
        <x:v>魔法山脊</x:v>
      </x:c>
      <x:c r="D495" s="119" t="n">
        <x:f>MIN('难度参数'!$E$8,MAX('难度参数'!$E$7,A495))</x:f>
        <x:v>7</x:v>
      </x:c>
      <x:c r="E495" s="106" t="n">
        <x:v>1</x:v>
      </x:c>
      <x:c r="F495" s="106" t="n">
        <x:v>0</x:v>
      </x:c>
      <x:c r="G495" s="106" t="n">
        <x:v>1</x:v>
      </x:c>
      <x:c r="H495" s="119" t="n">
        <x:f>SUM(X495,AB495,AF495,AJ495,AN495,AR495,AV495)</x:f>
        <x:v>287</x:v>
      </x:c>
      <x:c r="I495" s="119" t="n">
        <x:f>SUM(Z495,AD495,AH495,AL495,AP495,AT495,AX495)</x:f>
        <x:v>4404668</x:v>
      </x:c>
      <x:c r="J495" s="119" t="n">
        <x:f>ROUND(INDEX(X495:AY495,1,(D495-1)*4+2)*'难度参数'!$E$28*'章节与怪物'!$E$17,0)</x:f>
        <x:v>105291</x:v>
      </x:c>
      <x:c r="K495" s="119" t="n">
        <x:f>SUM(AA495,AE495,AI495,AM495,AQ495,AU495,AY495)</x:f>
        <x:v>7740</x:v>
      </x:c>
      <x:c r="L495" s="62" t="n">
        <x:f>H495*(ROUNDUP('难度参数'!$E$24/('难度参数'!$E$26*'难度参数'!$E$27),0)*'难度参数'!$E$26)/60</x:f>
        <x:v>3.826666666666667</x:v>
      </x:c>
      <x:c r="M495" s="62" t="n">
        <x:f>L495+D495*('难度参数'!$E$49+'难度参数'!$E$50)/60</x:f>
        <x:v>4.993333333333334</x:v>
      </x:c>
      <x:c r="N495" s="119" t="n">
        <x:f>ROUNDDOWN(('经济参数'!$E$20+A495*'经济参数'!$E$21)*G495,0)</x:f>
        <x:v>9960</x:v>
      </x:c>
      <x:c r="O495" s="119" t="n">
        <x:f>ROUNDDOWN(MIN('经济参数'!$E$24,'经济参数'!$E$22+A495*'经济参数'!$E$23)*G495,0)</x:f>
        <x:v>0</x:v>
      </x:c>
      <x:c r="P495" s="119" t="n">
        <x:f>ROUNDDOWN((IF(A495&gt;='材料与任务'!$E$31,'材料与任务'!$E$32,IF(A495&gt;='材料与任务'!$E$25,'材料与任务'!$E$26,IF(A495&gt;='材料与任务'!$E$19,'材料与任务'!$E$20,IF(A495&gt;='材料与任务'!$E$13,'材料与任务'!$E$14,'材料与任务'!$E$8)))))*G495,0)</x:f>
        <x:v>6</x:v>
      </x:c>
      <x:c r="Q495" s="119" t="n">
        <x:f>ROUNDDOWN((IF(A495&gt;='材料与任务'!$E$31,'材料与任务'!$E$33,IF(A495&gt;='材料与任务'!$E$25,'材料与任务'!$E$27,IF(A495&gt;='材料与任务'!$E$19,'材料与任务'!$E$21,IF(A495&gt;='材料与任务'!$E$13,'材料与任务'!$E$15,'材料与任务'!$E$9)))))*G495,0)</x:f>
        <x:v>3</x:v>
      </x:c>
      <x:c r="R495" s="110" t="n">
        <x:f>'装备掉落'!$B$38</x:f>
        <x:v>0.6872058758851213</x:v>
      </x:c>
      <x:c r="S495" s="119" t="n">
        <x:f>MAX(IF(VLOOKUP(A495,'装备掉落'!$A$29:$H$34,2,TRUE)&gt;0,1,0),IF(VLOOKUP(A495,'装备掉落'!$A$29:$H$34,3,TRUE)&gt;0,2,0),IF(VLOOKUP(A495,'装备掉落'!$A$29:$H$34,4,TRUE)&gt;0,3,0),IF(VLOOKUP(A495,'装备掉落'!$A$29:$H$34,5,TRUE)&gt;0,4,0),IF(VLOOKUP(A495,'装备掉落'!$A$29:$H$34,6,TRUE)&gt;0,5,0),IF(VLOOKUP(A495,'装备掉落'!$A$29:$H$34,7,TRUE)&gt;0,6,0),IF(VLOOKUP(A495,'装备掉落'!$A$29:$H$34,8,TRUE)&gt;0,7,0))</x:f>
        <x:v>7</x:v>
      </x:c>
      <x:c r="T495" s="119" t="n">
        <x:f>MIN(7,S495+'经济参数'!$E$70)</x:f>
        <x:v>7</x:v>
      </x:c>
      <x:c r="U495" s="119" t="n">
        <x:f>MIN(7,S495+'经济参数'!$E$71)</x:f>
        <x:v>7</x:v>
      </x:c>
      <x:c r="V495" s="119" t="n">
        <x:f>IF(H495&gt;=('难度参数'!$E$52),1,0)+IF(H495&gt;=('难度参数'!$E$52+'难度参数'!$E$53),1,0)+IF(H495&gt;=('难度参数'!$E$52+'难度参数'!$E$53+'难度参数'!$E$54),1,0)+IF(H495&gt;=('难度参数'!$E$52+'难度参数'!$E$53+'难度参数'!$E$54+'难度参数'!$E$55),1,0)+IF(H495&gt;=('难度参数'!$E$52+'难度参数'!$E$53+'难度参数'!$E$54+'难度参数'!$E$55+'难度参数'!$E$56),1,0)+IF(H495&gt;=('难度参数'!$E$52+'难度参数'!$E$53+'难度参数'!$E$54+'难度参数'!$E$55+'难度参数'!$E$56+'难度参数'!$E$57),1,0)</x:f>
        <x:v>6</x:v>
      </x:c>
      <x:c r="W495" s="62" t="str">
        <x:f>IF(L495&gt;'难度参数'!$E$51,"仅出怪已超目标","还需实测")</x:f>
        <x:v>仅出怪已超目标</x:v>
      </x:c>
      <x:c r="X495" s="119" t="n">
        <x:f>IF(1&gt;D495,0,MAX(2,MIN('难度参数'!$E$12,ROUND(('难度参数'!$E$18*POWER(A495,'难度参数'!$E$19)/D495*(0.85+0.3*(1-1)/MAX(1,D495-1))),0)+F495)))</x:f>
        <x:v>35</x:v>
      </x:c>
      <x:c r="Y495" s="119" t="n">
        <x:f>IF(1&gt;D495,0,ROUND(('难度参数'!$E$13*POWER(A495,'难度参数'!$E$20)*MIN('难度参数'!$E$23,1+MAX(0,A495-'难度参数'!$E$21)*'难度参数'!$E$22))*(36+1*7)/(36+7*(D495+1)/2)*E495,0))</x:f>
        <x:v>7833</x:v>
      </x:c>
      <x:c r="Z495" s="119" t="n">
        <x:f>IF(X495=0,0,(X495-IF(1=D495,1,0))*ROUND(Y495*VLOOKUP(INDEX('章节与怪物'!$E$31:$K$37,B495,1),'章节与怪物'!$A$41:$F$44,2,FALSE),0)+IF(1=D495,ROUND(Y495*'难度参数'!$E$28*'章节与怪物'!$E$17,0),0))</x:f>
        <x:v>274155</x:v>
      </x:c>
      <x:c r="AA495" s="119" t="n">
        <x:f>IF(X495=0,0,(X495-IF(1=D495,1,0))*VLOOKUP(INDEX('章节与怪物'!$E$31:$K$37,B495,1),'章节与怪物'!$A$41:$F$44,4,FALSE)+IF(1=D495,'难度参数'!$E$30,0))</x:f>
        <x:v>630</x:v>
      </x:c>
      <x:c r="AB495" s="119" t="n">
        <x:f>IF(2&gt;D495,0,MAX(2,MIN('难度参数'!$E$12,ROUND(('难度参数'!$E$18*POWER(A495,'难度参数'!$E$19)/D495*(0.85+0.3*(2-1)/MAX(1,D495-1))),0)+F495)))</x:f>
        <x:v>37</x:v>
      </x:c>
      <x:c r="AC495" s="119" t="n">
        <x:f>IF(2&gt;D495,0,ROUND(('难度参数'!$E$13*POWER(A495,'难度参数'!$E$20)*MIN('难度参数'!$E$23,1+MAX(0,A495-'难度参数'!$E$21)*'难度参数'!$E$22))*(36+2*7)/(36+7*(D495+1)/2)*E495,0))</x:f>
        <x:v>9108</x:v>
      </x:c>
      <x:c r="AD495" s="119" t="n">
        <x:f>IF(AB495=0,0,(AB495-IF(2=D495,1,0))*ROUND(AC495*VLOOKUP(INDEX('章节与怪物'!$E$31:$K$37,B495,2),'章节与怪物'!$A$41:$F$44,2,FALSE),0)+IF(2=D495,ROUND(AC495*'难度参数'!$E$28*'章节与怪物'!$E$17,0),0))</x:f>
        <x:v>242646</x:v>
      </x:c>
      <x:c r="AE495" s="119" t="n">
        <x:f>IF(AB495=0,0,(AB495-IF(2=D495,1,0))*VLOOKUP(INDEX('章节与怪物'!$E$31:$K$37,B495,2),'章节与怪物'!$A$41:$F$44,4,FALSE)+IF(2=D495,'难度参数'!$E$30,0))</x:f>
        <x:v>740</x:v>
      </x:c>
      <x:c r="AF495" s="119" t="n">
        <x:f>IF(3&gt;D495,0,MAX(2,MIN('难度参数'!$E$12,ROUND(('难度参数'!$E$18*POWER(A495,'难度参数'!$E$19)/D495*(0.85+0.3*(3-1)/MAX(1,D495-1))),0)+F495)))</x:f>
        <x:v>39</x:v>
      </x:c>
      <x:c r="AG495" s="119" t="n">
        <x:f>IF(3&gt;D495,0,ROUND(('难度参数'!$E$13*POWER(A495,'难度参数'!$E$20)*MIN('难度参数'!$E$23,1+MAX(0,A495-'难度参数'!$E$21)*'难度参数'!$E$22))*(36+3*7)/(36+7*(D495+1)/2)*E495,0))</x:f>
        <x:v>10383</x:v>
      </x:c>
      <x:c r="AH495" s="119" t="n">
        <x:f>IF(AF495=0,0,(AF495-IF(3=D495,1,0))*ROUND(AG495*VLOOKUP(INDEX('章节与怪物'!$E$31:$K$37,B495,3),'章节与怪物'!$A$41:$F$44,2,FALSE),0)+IF(3=D495,ROUND(AG495*'难度参数'!$E$28*'章节与怪物'!$E$17,0),0))</x:f>
        <x:v>688389</x:v>
      </x:c>
      <x:c r="AI495" s="119" t="n">
        <x:f>IF(AF495=0,0,(AF495-IF(3=D495,1,0))*VLOOKUP(INDEX('章节与怪物'!$E$31:$K$37,B495,3),'章节与怪物'!$A$41:$F$44,4,FALSE)+IF(3=D495,'难度参数'!$E$30,0))</x:f>
        <x:v>1092</x:v>
      </x:c>
      <x:c r="AJ495" s="119" t="n">
        <x:f>IF(4&gt;D495,0,MAX(2,MIN('难度参数'!$E$12,ROUND(('难度参数'!$E$18*POWER(A495,'难度参数'!$E$19)/D495*(0.85+0.3*(4-1)/MAX(1,D495-1))),0)+F495)))</x:f>
        <x:v>41</x:v>
      </x:c>
      <x:c r="AK495" s="119" t="n">
        <x:f>IF(4&gt;D495,0,ROUND(('难度参数'!$E$13*POWER(A495,'难度参数'!$E$20)*MIN('难度参数'!$E$23,1+MAX(0,A495-'难度参数'!$E$21)*'难度参数'!$E$22))*(36+4*7)/(36+7*(D495+1)/2)*E495,0))</x:f>
        <x:v>11658</x:v>
      </x:c>
      <x:c r="AL495" s="119" t="n">
        <x:f>IF(AJ495=0,0,(AJ495-IF(4=D495,1,0))*ROUND(AK495*VLOOKUP(INDEX('章节与怪物'!$E$31:$K$37,B495,4),'章节与怪物'!$A$41:$F$44,2,FALSE),0)+IF(4=D495,ROUND(AK495*'难度参数'!$E$28*'章节与怪物'!$E$17,0),0))</x:f>
        <x:v>645258</x:v>
      </x:c>
      <x:c r="AM495" s="119" t="n">
        <x:f>IF(AJ495=0,0,(AJ495-IF(4=D495,1,0))*VLOOKUP(INDEX('章节与怪物'!$E$31:$K$37,B495,4),'章节与怪物'!$A$41:$F$44,4,FALSE)+IF(4=D495,'难度参数'!$E$30,0))</x:f>
        <x:v>1394</x:v>
      </x:c>
      <x:c r="AN495" s="119" t="n">
        <x:f>IF(5&gt;D495,0,MAX(2,MIN('难度参数'!$E$12,ROUND(('难度参数'!$E$18*POWER(A495,'难度参数'!$E$19)/D495*(0.85+0.3*(5-1)/MAX(1,D495-1))),0)+F495)))</x:f>
        <x:v>43</x:v>
      </x:c>
      <x:c r="AO495" s="119" t="n">
        <x:f>IF(5&gt;D495,0,ROUND(('难度参数'!$E$13*POWER(A495,'难度参数'!$E$20)*MIN('难度参数'!$E$23,1+MAX(0,A495-'难度参数'!$E$21)*'难度参数'!$E$22))*(36+5*7)/(36+7*(D495+1)/2)*E495,0))</x:f>
        <x:v>12933</x:v>
      </x:c>
      <x:c r="AP495" s="119" t="n">
        <x:f>IF(AN495=0,0,(AN495-IF(5=D495,1,0))*ROUND(AO495*VLOOKUP(INDEX('章节与怪物'!$E$31:$K$37,B495,5),'章节与怪物'!$A$41:$F$44,2,FALSE),0)+IF(5=D495,ROUND(AO495*'难度参数'!$E$28*'章节与怪物'!$E$17,0),0))</x:f>
        <x:v>400416</x:v>
      </x:c>
      <x:c r="AQ495" s="119" t="n">
        <x:f>IF(AN495=0,0,(AN495-IF(5=D495,1,0))*VLOOKUP(INDEX('章节与怪物'!$E$31:$K$37,B495,5),'章节与怪物'!$A$41:$F$44,4,FALSE)+IF(5=D495,'难度参数'!$E$30,0))</x:f>
        <x:v>860</x:v>
      </x:c>
      <x:c r="AR495" s="119" t="n">
        <x:f>IF(6&gt;D495,0,MAX(2,MIN('难度参数'!$E$12,ROUND(('难度参数'!$E$18*POWER(A495,'难度参数'!$E$19)/D495*(0.85+0.3*(6-1)/MAX(1,D495-1))),0)+F495)))</x:f>
        <x:v>45</x:v>
      </x:c>
      <x:c r="AS495" s="119" t="n">
        <x:f>IF(6&gt;D495,0,ROUND(('难度参数'!$E$13*POWER(A495,'难度参数'!$E$20)*MIN('难度参数'!$E$23,1+MAX(0,A495-'难度参数'!$E$21)*'难度参数'!$E$22))*(36+6*7)/(36+7*(D495+1)/2)*E495,0))</x:f>
        <x:v>14209</x:v>
      </x:c>
      <x:c r="AT495" s="119" t="n">
        <x:f>IF(AR495=0,0,(AR495-IF(6=D495,1,0))*ROUND(AS495*VLOOKUP(INDEX('章节与怪物'!$E$31:$K$37,B495,6),'章节与怪物'!$A$41:$F$44,2,FALSE),0)+IF(6=D495,ROUND(AS495*'难度参数'!$E$28*'章节与怪物'!$E$17,0),0))</x:f>
        <x:v>1086975</x:v>
      </x:c>
      <x:c r="AU495" s="119" t="n">
        <x:f>IF(AR495=0,0,(AR495-IF(6=D495,1,0))*VLOOKUP(INDEX('章节与怪物'!$E$31:$K$37,B495,6),'章节与怪物'!$A$41:$F$44,4,FALSE)+IF(6=D495,'难度参数'!$E$30,0))</x:f>
        <x:v>1260</x:v>
      </x:c>
      <x:c r="AV495" s="119" t="n">
        <x:f>IF(7&gt;D495,0,MAX(2,MIN('难度参数'!$E$12,ROUND(('难度参数'!$E$18*POWER(A495,'难度参数'!$E$19)/D495*(0.85+0.3*(7-1)/MAX(1,D495-1))),0)+F495)))</x:f>
        <x:v>47</x:v>
      </x:c>
      <x:c r="AW495" s="119" t="n">
        <x:f>IF(7&gt;D495,0,ROUND(('难度参数'!$E$13*POWER(A495,'难度参数'!$E$20)*MIN('难度参数'!$E$23,1+MAX(0,A495-'难度参数'!$E$21)*'难度参数'!$E$22))*(36+7*7)/(36+7*(D495+1)/2)*E495,0))</x:f>
        <x:v>15484</x:v>
      </x:c>
      <x:c r="AX495" s="119" t="n">
        <x:f>IF(AV495=0,0,(AV495-IF(7=D495,1,0))*ROUND(AW495*VLOOKUP(INDEX('章节与怪物'!$E$31:$K$37,B495,7),'章节与怪物'!$A$41:$F$44,2,FALSE),0)+IF(7=D495,ROUND(AW495*'难度参数'!$E$28*'章节与怪物'!$E$17,0),0))</x:f>
        <x:v>1066829</x:v>
      </x:c>
      <x:c r="AY495" s="119" t="n">
        <x:f>IF(AV495=0,0,(AV495-IF(7=D495,1,0))*VLOOKUP(INDEX('章节与怪物'!$E$31:$K$37,B495,7),'章节与怪物'!$A$41:$F$44,4,FALSE)+IF(7=D495,'难度参数'!$E$30,0))</x:f>
        <x:v>1764</x:v>
      </x:c>
    </x:row>
    <x:row r="496" ht="23" customHeight="1">
      <x:c r="A496" s="119" t="n">
        <x:v>490</x:v>
      </x:c>
      <x:c r="B496" s="119" t="n">
        <x:f>MOD(INT((A496-1)/5),7)+1</x:f>
        <x:v>7</x:v>
      </x:c>
      <x:c r="C496" s="62" t="str">
        <x:f>INDEX('章节与怪物'!$B$31:$B$37,B496)</x:f>
        <x:v>魔法山脊</x:v>
      </x:c>
      <x:c r="D496" s="119" t="n">
        <x:f>MIN('难度参数'!$E$8,MAX('难度参数'!$E$7,A496))</x:f>
        <x:v>7</x:v>
      </x:c>
      <x:c r="E496" s="106" t="n">
        <x:v>1</x:v>
      </x:c>
      <x:c r="F496" s="106" t="n">
        <x:v>0</x:v>
      </x:c>
      <x:c r="G496" s="106" t="n">
        <x:v>1</x:v>
      </x:c>
      <x:c r="H496" s="119" t="n">
        <x:f>SUM(X496,AB496,AF496,AJ496,AN496,AR496,AV496)</x:f>
        <x:v>287</x:v>
      </x:c>
      <x:c r="I496" s="119" t="n">
        <x:f>SUM(Z496,AD496,AH496,AL496,AP496,AT496,AX496)</x:f>
        <x:v>4411015</x:v>
      </x:c>
      <x:c r="J496" s="119" t="n">
        <x:f>ROUND(INDEX(X496:AY496,1,(D496-1)*4+2)*'难度参数'!$E$28*'章节与怪物'!$E$17,0)</x:f>
        <x:v>105448</x:v>
      </x:c>
      <x:c r="K496" s="119" t="n">
        <x:f>SUM(AA496,AE496,AI496,AM496,AQ496,AU496,AY496)</x:f>
        <x:v>7740</x:v>
      </x:c>
      <x:c r="L496" s="62" t="n">
        <x:f>H496*(ROUNDUP('难度参数'!$E$24/('难度参数'!$E$26*'难度参数'!$E$27),0)*'难度参数'!$E$26)/60</x:f>
        <x:v>3.826666666666667</x:v>
      </x:c>
      <x:c r="M496" s="62" t="n">
        <x:f>L496+D496*('难度参数'!$E$49+'难度参数'!$E$50)/60</x:f>
        <x:v>4.993333333333334</x:v>
      </x:c>
      <x:c r="N496" s="119" t="n">
        <x:f>ROUNDDOWN(('经济参数'!$E$20+A496*'经济参数'!$E$21)*G496,0)</x:f>
        <x:v>9980</x:v>
      </x:c>
      <x:c r="O496" s="119" t="n">
        <x:f>ROUNDDOWN(MIN('经济参数'!$E$24,'经济参数'!$E$22+A496*'经济参数'!$E$23)*G496,0)</x:f>
        <x:v>0</x:v>
      </x:c>
      <x:c r="P496" s="119" t="n">
        <x:f>ROUNDDOWN((IF(A496&gt;='材料与任务'!$E$31,'材料与任务'!$E$32,IF(A496&gt;='材料与任务'!$E$25,'材料与任务'!$E$26,IF(A496&gt;='材料与任务'!$E$19,'材料与任务'!$E$20,IF(A496&gt;='材料与任务'!$E$13,'材料与任务'!$E$14,'材料与任务'!$E$8)))))*G496,0)</x:f>
        <x:v>6</x:v>
      </x:c>
      <x:c r="Q496" s="119" t="n">
        <x:f>ROUNDDOWN((IF(A496&gt;='材料与任务'!$E$31,'材料与任务'!$E$33,IF(A496&gt;='材料与任务'!$E$25,'材料与任务'!$E$27,IF(A496&gt;='材料与任务'!$E$19,'材料与任务'!$E$21,IF(A496&gt;='材料与任务'!$E$13,'材料与任务'!$E$15,'材料与任务'!$E$9)))))*G496,0)</x:f>
        <x:v>3</x:v>
      </x:c>
      <x:c r="R496" s="110" t="n">
        <x:f>'装备掉落'!$B$38</x:f>
        <x:v>0.6872058758851213</x:v>
      </x:c>
      <x:c r="S496" s="119" t="n">
        <x:f>MAX(IF(VLOOKUP(A496,'装备掉落'!$A$29:$H$34,2,TRUE)&gt;0,1,0),IF(VLOOKUP(A496,'装备掉落'!$A$29:$H$34,3,TRUE)&gt;0,2,0),IF(VLOOKUP(A496,'装备掉落'!$A$29:$H$34,4,TRUE)&gt;0,3,0),IF(VLOOKUP(A496,'装备掉落'!$A$29:$H$34,5,TRUE)&gt;0,4,0),IF(VLOOKUP(A496,'装备掉落'!$A$29:$H$34,6,TRUE)&gt;0,5,0),IF(VLOOKUP(A496,'装备掉落'!$A$29:$H$34,7,TRUE)&gt;0,6,0),IF(VLOOKUP(A496,'装备掉落'!$A$29:$H$34,8,TRUE)&gt;0,7,0))</x:f>
        <x:v>7</x:v>
      </x:c>
      <x:c r="T496" s="119" t="n">
        <x:f>MIN(7,S496+'经济参数'!$E$70)</x:f>
        <x:v>7</x:v>
      </x:c>
      <x:c r="U496" s="119" t="n">
        <x:f>MIN(7,S496+'经济参数'!$E$71)</x:f>
        <x:v>7</x:v>
      </x:c>
      <x:c r="V496" s="119" t="n">
        <x:f>IF(H496&gt;=('难度参数'!$E$52),1,0)+IF(H496&gt;=('难度参数'!$E$52+'难度参数'!$E$53),1,0)+IF(H496&gt;=('难度参数'!$E$52+'难度参数'!$E$53+'难度参数'!$E$54),1,0)+IF(H496&gt;=('难度参数'!$E$52+'难度参数'!$E$53+'难度参数'!$E$54+'难度参数'!$E$55),1,0)+IF(H496&gt;=('难度参数'!$E$52+'难度参数'!$E$53+'难度参数'!$E$54+'难度参数'!$E$55+'难度参数'!$E$56),1,0)+IF(H496&gt;=('难度参数'!$E$52+'难度参数'!$E$53+'难度参数'!$E$54+'难度参数'!$E$55+'难度参数'!$E$56+'难度参数'!$E$57),1,0)</x:f>
        <x:v>6</x:v>
      </x:c>
      <x:c r="W496" s="62" t="str">
        <x:f>IF(L496&gt;'难度参数'!$E$51,"仅出怪已超目标","还需实测")</x:f>
        <x:v>仅出怪已超目标</x:v>
      </x:c>
      <x:c r="X496" s="119" t="n">
        <x:f>IF(1&gt;D496,0,MAX(2,MIN('难度参数'!$E$12,ROUND(('难度参数'!$E$18*POWER(A496,'难度参数'!$E$19)/D496*(0.85+0.3*(1-1)/MAX(1,D496-1))),0)+F496)))</x:f>
        <x:v>35</x:v>
      </x:c>
      <x:c r="Y496" s="119" t="n">
        <x:f>IF(1&gt;D496,0,ROUND(('难度参数'!$E$13*POWER(A496,'难度参数'!$E$20)*MIN('难度参数'!$E$23,1+MAX(0,A496-'难度参数'!$E$21)*'难度参数'!$E$22))*(36+1*7)/(36+7*(D496+1)/2)*E496,0))</x:f>
        <x:v>7844</x:v>
      </x:c>
      <x:c r="Z496" s="119" t="n">
        <x:f>IF(X496=0,0,(X496-IF(1=D496,1,0))*ROUND(Y496*VLOOKUP(INDEX('章节与怪物'!$E$31:$K$37,B496,1),'章节与怪物'!$A$41:$F$44,2,FALSE),0)+IF(1=D496,ROUND(Y496*'难度参数'!$E$28*'章节与怪物'!$E$17,0),0))</x:f>
        <x:v>274540</x:v>
      </x:c>
      <x:c r="AA496" s="119" t="n">
        <x:f>IF(X496=0,0,(X496-IF(1=D496,1,0))*VLOOKUP(INDEX('章节与怪物'!$E$31:$K$37,B496,1),'章节与怪物'!$A$41:$F$44,4,FALSE)+IF(1=D496,'难度参数'!$E$30,0))</x:f>
        <x:v>630</x:v>
      </x:c>
      <x:c r="AB496" s="119" t="n">
        <x:f>IF(2&gt;D496,0,MAX(2,MIN('难度参数'!$E$12,ROUND(('难度参数'!$E$18*POWER(A496,'难度参数'!$E$19)/D496*(0.85+0.3*(2-1)/MAX(1,D496-1))),0)+F496)))</x:f>
        <x:v>37</x:v>
      </x:c>
      <x:c r="AC496" s="119" t="n">
        <x:f>IF(2&gt;D496,0,ROUND(('难度参数'!$E$13*POWER(A496,'难度参数'!$E$20)*MIN('难度参数'!$E$23,1+MAX(0,A496-'难度参数'!$E$21)*'难度参数'!$E$22))*(36+2*7)/(36+7*(D496+1)/2)*E496,0))</x:f>
        <x:v>9121</x:v>
      </x:c>
      <x:c r="AD496" s="119" t="n">
        <x:f>IF(AB496=0,0,(AB496-IF(2=D496,1,0))*ROUND(AC496*VLOOKUP(INDEX('章节与怪物'!$E$31:$K$37,B496,2),'章节与怪物'!$A$41:$F$44,2,FALSE),0)+IF(2=D496,ROUND(AC496*'难度参数'!$E$28*'章节与怪物'!$E$17,0),0))</x:f>
        <x:v>242979</x:v>
      </x:c>
      <x:c r="AE496" s="119" t="n">
        <x:f>IF(AB496=0,0,(AB496-IF(2=D496,1,0))*VLOOKUP(INDEX('章节与怪物'!$E$31:$K$37,B496,2),'章节与怪物'!$A$41:$F$44,4,FALSE)+IF(2=D496,'难度参数'!$E$30,0))</x:f>
        <x:v>740</x:v>
      </x:c>
      <x:c r="AF496" s="119" t="n">
        <x:f>IF(3&gt;D496,0,MAX(2,MIN('难度参数'!$E$12,ROUND(('难度参数'!$E$18*POWER(A496,'难度参数'!$E$19)/D496*(0.85+0.3*(3-1)/MAX(1,D496-1))),0)+F496)))</x:f>
        <x:v>39</x:v>
      </x:c>
      <x:c r="AG496" s="119" t="n">
        <x:f>IF(3&gt;D496,0,ROUND(('难度参数'!$E$13*POWER(A496,'难度参数'!$E$20)*MIN('难度参数'!$E$23,1+MAX(0,A496-'难度参数'!$E$21)*'难度参数'!$E$22))*(36+3*7)/(36+7*(D496+1)/2)*E496,0))</x:f>
        <x:v>10398</x:v>
      </x:c>
      <x:c r="AH496" s="119" t="n">
        <x:f>IF(AF496=0,0,(AF496-IF(3=D496,1,0))*ROUND(AG496*VLOOKUP(INDEX('章节与怪物'!$E$31:$K$37,B496,3),'章节与怪物'!$A$41:$F$44,2,FALSE),0)+IF(3=D496,ROUND(AG496*'难度参数'!$E$28*'章节与怪物'!$E$17,0),0))</x:f>
        <x:v>689403</x:v>
      </x:c>
      <x:c r="AI496" s="119" t="n">
        <x:f>IF(AF496=0,0,(AF496-IF(3=D496,1,0))*VLOOKUP(INDEX('章节与怪物'!$E$31:$K$37,B496,3),'章节与怪物'!$A$41:$F$44,4,FALSE)+IF(3=D496,'难度参数'!$E$30,0))</x:f>
        <x:v>1092</x:v>
      </x:c>
      <x:c r="AJ496" s="119" t="n">
        <x:f>IF(4&gt;D496,0,MAX(2,MIN('难度参数'!$E$12,ROUND(('难度参数'!$E$18*POWER(A496,'难度参数'!$E$19)/D496*(0.85+0.3*(4-1)/MAX(1,D496-1))),0)+F496)))</x:f>
        <x:v>41</x:v>
      </x:c>
      <x:c r="AK496" s="119" t="n">
        <x:f>IF(4&gt;D496,0,ROUND(('难度参数'!$E$13*POWER(A496,'难度参数'!$E$20)*MIN('难度参数'!$E$23,1+MAX(0,A496-'难度参数'!$E$21)*'难度参数'!$E$22))*(36+4*7)/(36+7*(D496+1)/2)*E496,0))</x:f>
        <x:v>11675</x:v>
      </x:c>
      <x:c r="AL496" s="119" t="n">
        <x:f>IF(AJ496=0,0,(AJ496-IF(4=D496,1,0))*ROUND(AK496*VLOOKUP(INDEX('章节与怪物'!$E$31:$K$37,B496,4),'章节与怪物'!$A$41:$F$44,2,FALSE),0)+IF(4=D496,ROUND(AK496*'难度参数'!$E$28*'章节与怪物'!$E$17,0),0))</x:f>
        <x:v>646201</x:v>
      </x:c>
      <x:c r="AM496" s="119" t="n">
        <x:f>IF(AJ496=0,0,(AJ496-IF(4=D496,1,0))*VLOOKUP(INDEX('章节与怪物'!$E$31:$K$37,B496,4),'章节与怪物'!$A$41:$F$44,4,FALSE)+IF(4=D496,'难度参数'!$E$30,0))</x:f>
        <x:v>1394</x:v>
      </x:c>
      <x:c r="AN496" s="119" t="n">
        <x:f>IF(5&gt;D496,0,MAX(2,MIN('难度参数'!$E$12,ROUND(('难度参数'!$E$18*POWER(A496,'难度参数'!$E$19)/D496*(0.85+0.3*(5-1)/MAX(1,D496-1))),0)+F496)))</x:f>
        <x:v>43</x:v>
      </x:c>
      <x:c r="AO496" s="119" t="n">
        <x:f>IF(5&gt;D496,0,ROUND(('难度参数'!$E$13*POWER(A496,'难度参数'!$E$20)*MIN('难度参数'!$E$23,1+MAX(0,A496-'难度参数'!$E$21)*'难度参数'!$E$22))*(36+5*7)/(36+7*(D496+1)/2)*E496,0))</x:f>
        <x:v>12952</x:v>
      </x:c>
      <x:c r="AP496" s="119" t="n">
        <x:f>IF(AN496=0,0,(AN496-IF(5=D496,1,0))*ROUND(AO496*VLOOKUP(INDEX('章节与怪物'!$E$31:$K$37,B496,5),'章节与怪物'!$A$41:$F$44,2,FALSE),0)+IF(5=D496,ROUND(AO496*'难度参数'!$E$28*'章节与怪物'!$E$17,0),0))</x:f>
        <x:v>400975</x:v>
      </x:c>
      <x:c r="AQ496" s="119" t="n">
        <x:f>IF(AN496=0,0,(AN496-IF(5=D496,1,0))*VLOOKUP(INDEX('章节与怪物'!$E$31:$K$37,B496,5),'章节与怪物'!$A$41:$F$44,4,FALSE)+IF(5=D496,'难度参数'!$E$30,0))</x:f>
        <x:v>860</x:v>
      </x:c>
      <x:c r="AR496" s="119" t="n">
        <x:f>IF(6&gt;D496,0,MAX(2,MIN('难度参数'!$E$12,ROUND(('难度参数'!$E$18*POWER(A496,'难度参数'!$E$19)/D496*(0.85+0.3*(6-1)/MAX(1,D496-1))),0)+F496)))</x:f>
        <x:v>45</x:v>
      </x:c>
      <x:c r="AS496" s="119" t="n">
        <x:f>IF(6&gt;D496,0,ROUND(('难度参数'!$E$13*POWER(A496,'难度参数'!$E$20)*MIN('难度参数'!$E$23,1+MAX(0,A496-'难度参数'!$E$21)*'难度参数'!$E$22))*(36+6*7)/(36+7*(D496+1)/2)*E496,0))</x:f>
        <x:v>14229</x:v>
      </x:c>
      <x:c r="AT496" s="119" t="n">
        <x:f>IF(AR496=0,0,(AR496-IF(6=D496,1,0))*ROUND(AS496*VLOOKUP(INDEX('章节与怪物'!$E$31:$K$37,B496,6),'章节与怪物'!$A$41:$F$44,2,FALSE),0)+IF(6=D496,ROUND(AS496*'难度参数'!$E$28*'章节与怪物'!$E$17,0),0))</x:f>
        <x:v>1088505</x:v>
      </x:c>
      <x:c r="AU496" s="119" t="n">
        <x:f>IF(AR496=0,0,(AR496-IF(6=D496,1,0))*VLOOKUP(INDEX('章节与怪物'!$E$31:$K$37,B496,6),'章节与怪物'!$A$41:$F$44,4,FALSE)+IF(6=D496,'难度参数'!$E$30,0))</x:f>
        <x:v>1260</x:v>
      </x:c>
      <x:c r="AV496" s="119" t="n">
        <x:f>IF(7&gt;D496,0,MAX(2,MIN('难度参数'!$E$12,ROUND(('难度参数'!$E$18*POWER(A496,'难度参数'!$E$19)/D496*(0.85+0.3*(7-1)/MAX(1,D496-1))),0)+F496)))</x:f>
        <x:v>47</x:v>
      </x:c>
      <x:c r="AW496" s="119" t="n">
        <x:f>IF(7&gt;D496,0,ROUND(('难度参数'!$E$13*POWER(A496,'难度参数'!$E$20)*MIN('难度参数'!$E$23,1+MAX(0,A496-'难度参数'!$E$21)*'难度参数'!$E$22))*(36+7*7)/(36+7*(D496+1)/2)*E496,0))</x:f>
        <x:v>15507</x:v>
      </x:c>
      <x:c r="AX496" s="119" t="n">
        <x:f>IF(AV496=0,0,(AV496-IF(7=D496,1,0))*ROUND(AW496*VLOOKUP(INDEX('章节与怪物'!$E$31:$K$37,B496,7),'章节与怪物'!$A$41:$F$44,2,FALSE),0)+IF(7=D496,ROUND(AW496*'难度参数'!$E$28*'章节与怪物'!$E$17,0),0))</x:f>
        <x:v>1068412</x:v>
      </x:c>
      <x:c r="AY496" s="119" t="n">
        <x:f>IF(AV496=0,0,(AV496-IF(7=D496,1,0))*VLOOKUP(INDEX('章节与怪物'!$E$31:$K$37,B496,7),'章节与怪物'!$A$41:$F$44,4,FALSE)+IF(7=D496,'难度参数'!$E$30,0))</x:f>
        <x:v>1764</x:v>
      </x:c>
    </x:row>
    <x:row r="497" ht="23" customHeight="1">
      <x:c r="A497" s="119" t="n">
        <x:v>491</x:v>
      </x:c>
      <x:c r="B497" s="119" t="n">
        <x:f>MOD(INT((A497-1)/5),7)+1</x:f>
        <x:v>1</x:v>
      </x:c>
      <x:c r="C497" s="62" t="str">
        <x:f>INDEX('章节与怪物'!$B$31:$B$37,B497)</x:f>
        <x:v>冰雪荒原</x:v>
      </x:c>
      <x:c r="D497" s="119" t="n">
        <x:f>MIN('难度参数'!$E$8,MAX('难度参数'!$E$7,A497))</x:f>
        <x:v>7</x:v>
      </x:c>
      <x:c r="E497" s="106" t="n">
        <x:v>1</x:v>
      </x:c>
      <x:c r="F497" s="106" t="n">
        <x:v>0</x:v>
      </x:c>
      <x:c r="G497" s="106" t="n">
        <x:v>1</x:v>
      </x:c>
      <x:c r="H497" s="119" t="n">
        <x:f>SUM(X497,AB497,AF497,AJ497,AN497,AR497,AV497)</x:f>
        <x:v>287</x:v>
      </x:c>
      <x:c r="I497" s="119" t="n">
        <x:f>SUM(Z497,AD497,AH497,AL497,AP497,AT497,AX497)</x:f>
        <x:v>4255042</x:v>
      </x:c>
      <x:c r="J497" s="119" t="n">
        <x:f>ROUND(INDEX(X497:AY497,1,(D497-1)*4+2)*'难度参数'!$E$28*'章节与怪物'!$E$17,0)</x:f>
        <x:v>105597</x:v>
      </x:c>
      <x:c r="K497" s="119" t="n">
        <x:f>SUM(AA497,AE497,AI497,AM497,AQ497,AU497,AY497)</x:f>
        <x:v>7074</x:v>
      </x:c>
      <x:c r="L497" s="62" t="n">
        <x:f>H497*(ROUNDUP('难度参数'!$E$24/('难度参数'!$E$26*'难度参数'!$E$27),0)*'难度参数'!$E$26)/60</x:f>
        <x:v>3.826666666666667</x:v>
      </x:c>
      <x:c r="M497" s="62" t="n">
        <x:f>L497+D497*('难度参数'!$E$49+'难度参数'!$E$50)/60</x:f>
        <x:v>4.993333333333334</x:v>
      </x:c>
      <x:c r="N497" s="119" t="n">
        <x:f>ROUNDDOWN(('经济参数'!$E$20+A497*'经济参数'!$E$21)*G497,0)</x:f>
        <x:v>10000</x:v>
      </x:c>
      <x:c r="O497" s="119" t="n">
        <x:f>ROUNDDOWN(MIN('经济参数'!$E$24,'经济参数'!$E$22+A497*'经济参数'!$E$23)*G497,0)</x:f>
        <x:v>0</x:v>
      </x:c>
      <x:c r="P497" s="119" t="n">
        <x:f>ROUNDDOWN((IF(A497&gt;='材料与任务'!$E$31,'材料与任务'!$E$32,IF(A497&gt;='材料与任务'!$E$25,'材料与任务'!$E$26,IF(A497&gt;='材料与任务'!$E$19,'材料与任务'!$E$20,IF(A497&gt;='材料与任务'!$E$13,'材料与任务'!$E$14,'材料与任务'!$E$8)))))*G497,0)</x:f>
        <x:v>6</x:v>
      </x:c>
      <x:c r="Q497" s="119" t="n">
        <x:f>ROUNDDOWN((IF(A497&gt;='材料与任务'!$E$31,'材料与任务'!$E$33,IF(A497&gt;='材料与任务'!$E$25,'材料与任务'!$E$27,IF(A497&gt;='材料与任务'!$E$19,'材料与任务'!$E$21,IF(A497&gt;='材料与任务'!$E$13,'材料与任务'!$E$15,'材料与任务'!$E$9)))))*G497,0)</x:f>
        <x:v>3</x:v>
      </x:c>
      <x:c r="R497" s="110" t="n">
        <x:f>'装备掉落'!$B$38</x:f>
        <x:v>0.6872058758851213</x:v>
      </x:c>
      <x:c r="S497" s="119" t="n">
        <x:f>MAX(IF(VLOOKUP(A497,'装备掉落'!$A$29:$H$34,2,TRUE)&gt;0,1,0),IF(VLOOKUP(A497,'装备掉落'!$A$29:$H$34,3,TRUE)&gt;0,2,0),IF(VLOOKUP(A497,'装备掉落'!$A$29:$H$34,4,TRUE)&gt;0,3,0),IF(VLOOKUP(A497,'装备掉落'!$A$29:$H$34,5,TRUE)&gt;0,4,0),IF(VLOOKUP(A497,'装备掉落'!$A$29:$H$34,6,TRUE)&gt;0,5,0),IF(VLOOKUP(A497,'装备掉落'!$A$29:$H$34,7,TRUE)&gt;0,6,0),IF(VLOOKUP(A497,'装备掉落'!$A$29:$H$34,8,TRUE)&gt;0,7,0))</x:f>
        <x:v>7</x:v>
      </x:c>
      <x:c r="T497" s="119" t="n">
        <x:f>MIN(7,S497+'经济参数'!$E$70)</x:f>
        <x:v>7</x:v>
      </x:c>
      <x:c r="U497" s="119" t="n">
        <x:f>MIN(7,S497+'经济参数'!$E$71)</x:f>
        <x:v>7</x:v>
      </x:c>
      <x:c r="V497" s="119" t="n">
        <x:f>IF(H497&gt;=('难度参数'!$E$52),1,0)+IF(H497&gt;=('难度参数'!$E$52+'难度参数'!$E$53),1,0)+IF(H497&gt;=('难度参数'!$E$52+'难度参数'!$E$53+'难度参数'!$E$54),1,0)+IF(H497&gt;=('难度参数'!$E$52+'难度参数'!$E$53+'难度参数'!$E$54+'难度参数'!$E$55),1,0)+IF(H497&gt;=('难度参数'!$E$52+'难度参数'!$E$53+'难度参数'!$E$54+'难度参数'!$E$55+'难度参数'!$E$56),1,0)+IF(H497&gt;=('难度参数'!$E$52+'难度参数'!$E$53+'难度参数'!$E$54+'难度参数'!$E$55+'难度参数'!$E$56+'难度参数'!$E$57),1,0)</x:f>
        <x:v>6</x:v>
      </x:c>
      <x:c r="W497" s="62" t="str">
        <x:f>IF(L497&gt;'难度参数'!$E$51,"仅出怪已超目标","还需实测")</x:f>
        <x:v>仅出怪已超目标</x:v>
      </x:c>
      <x:c r="X497" s="119" t="n">
        <x:f>IF(1&gt;D497,0,MAX(2,MIN('难度参数'!$E$12,ROUND(('难度参数'!$E$18*POWER(A497,'难度参数'!$E$19)/D497*(0.85+0.3*(1-1)/MAX(1,D497-1))),0)+F497)))</x:f>
        <x:v>35</x:v>
      </x:c>
      <x:c r="Y497" s="119" t="n">
        <x:f>IF(1&gt;D497,0,ROUND(('难度参数'!$E$13*POWER(A497,'难度参数'!$E$20)*MIN('难度参数'!$E$23,1+MAX(0,A497-'难度参数'!$E$21)*'难度参数'!$E$22))*(36+1*7)/(36+7*(D497+1)/2)*E497,0))</x:f>
        <x:v>7856</x:v>
      </x:c>
      <x:c r="Z497" s="119" t="n">
        <x:f>IF(X497=0,0,(X497-IF(1=D497,1,0))*ROUND(Y497*VLOOKUP(INDEX('章节与怪物'!$E$31:$K$37,B497,1),'章节与怪物'!$A$41:$F$44,2,FALSE),0)+IF(1=D497,ROUND(Y497*'难度参数'!$E$28*'章节与怪物'!$E$17,0),0))</x:f>
        <x:v>274960</x:v>
      </x:c>
      <x:c r="AA497" s="119" t="n">
        <x:f>IF(X497=0,0,(X497-IF(1=D497,1,0))*VLOOKUP(INDEX('章节与怪物'!$E$31:$K$37,B497,1),'章节与怪物'!$A$41:$F$44,4,FALSE)+IF(1=D497,'难度参数'!$E$30,0))</x:f>
        <x:v>630</x:v>
      </x:c>
      <x:c r="AB497" s="119" t="n">
        <x:f>IF(2&gt;D497,0,MAX(2,MIN('难度参数'!$E$12,ROUND(('难度参数'!$E$18*POWER(A497,'难度参数'!$E$19)/D497*(0.85+0.3*(2-1)/MAX(1,D497-1))),0)+F497)))</x:f>
        <x:v>37</x:v>
      </x:c>
      <x:c r="AC497" s="119" t="n">
        <x:f>IF(2&gt;D497,0,ROUND(('难度参数'!$E$13*POWER(A497,'难度参数'!$E$20)*MIN('难度参数'!$E$23,1+MAX(0,A497-'难度参数'!$E$21)*'难度参数'!$E$22))*(36+2*7)/(36+7*(D497+1)/2)*E497,0))</x:f>
        <x:v>9135</x:v>
      </x:c>
      <x:c r="AD497" s="119" t="n">
        <x:f>IF(AB497=0,0,(AB497-IF(2=D497,1,0))*ROUND(AC497*VLOOKUP(INDEX('章节与怪物'!$E$31:$K$37,B497,2),'章节与怪物'!$A$41:$F$44,2,FALSE),0)+IF(2=D497,ROUND(AC497*'难度参数'!$E$28*'章节与怪物'!$E$17,0),0))</x:f>
        <x:v>337995</x:v>
      </x:c>
      <x:c r="AE497" s="119" t="n">
        <x:f>IF(AB497=0,0,(AB497-IF(2=D497,1,0))*VLOOKUP(INDEX('章节与怪物'!$E$31:$K$37,B497,2),'章节与怪物'!$A$41:$F$44,4,FALSE)+IF(2=D497,'难度参数'!$E$30,0))</x:f>
        <x:v>666</x:v>
      </x:c>
      <x:c r="AF497" s="119" t="n">
        <x:f>IF(3&gt;D497,0,MAX(2,MIN('难度参数'!$E$12,ROUND(('难度参数'!$E$18*POWER(A497,'难度参数'!$E$19)/D497*(0.85+0.3*(3-1)/MAX(1,D497-1))),0)+F497)))</x:f>
        <x:v>39</x:v>
      </x:c>
      <x:c r="AG497" s="119" t="n">
        <x:f>IF(3&gt;D497,0,ROUND(('难度参数'!$E$13*POWER(A497,'难度参数'!$E$20)*MIN('难度参数'!$E$23,1+MAX(0,A497-'难度参数'!$E$21)*'难度参数'!$E$22))*(36+3*7)/(36+7*(D497+1)/2)*E497,0))</x:f>
        <x:v>10414</x:v>
      </x:c>
      <x:c r="AH497" s="119" t="n">
        <x:f>IF(AF497=0,0,(AF497-IF(3=D497,1,0))*ROUND(AG497*VLOOKUP(INDEX('章节与怪物'!$E$31:$K$37,B497,3),'章节与怪物'!$A$41:$F$44,2,FALSE),0)+IF(3=D497,ROUND(AG497*'难度参数'!$E$28*'章节与怪物'!$E$17,0),0))</x:f>
        <x:v>292422</x:v>
      </x:c>
      <x:c r="AI497" s="119" t="n">
        <x:f>IF(AF497=0,0,(AF497-IF(3=D497,1,0))*VLOOKUP(INDEX('章节与怪物'!$E$31:$K$37,B497,3),'章节与怪物'!$A$41:$F$44,4,FALSE)+IF(3=D497,'难度参数'!$E$30,0))</x:f>
        <x:v>780</x:v>
      </x:c>
      <x:c r="AJ497" s="119" t="n">
        <x:f>IF(4&gt;D497,0,MAX(2,MIN('难度参数'!$E$12,ROUND(('难度参数'!$E$18*POWER(A497,'难度参数'!$E$19)/D497*(0.85+0.3*(4-1)/MAX(1,D497-1))),0)+F497)))</x:f>
        <x:v>41</x:v>
      </x:c>
      <x:c r="AK497" s="119" t="n">
        <x:f>IF(4&gt;D497,0,ROUND(('难度参数'!$E$13*POWER(A497,'难度参数'!$E$20)*MIN('难度参数'!$E$23,1+MAX(0,A497-'难度参数'!$E$21)*'难度参数'!$E$22))*(36+4*7)/(36+7*(D497+1)/2)*E497,0))</x:f>
        <x:v>11693</x:v>
      </x:c>
      <x:c r="AL497" s="119" t="n">
        <x:f>IF(AJ497=0,0,(AJ497-IF(4=D497,1,0))*ROUND(AK497*VLOOKUP(INDEX('章节与怪物'!$E$31:$K$37,B497,4),'章节与怪物'!$A$41:$F$44,2,FALSE),0)+IF(4=D497,ROUND(AK497*'难度参数'!$E$28*'章节与怪物'!$E$17,0),0))</x:f>
        <x:v>814998</x:v>
      </x:c>
      <x:c r="AM497" s="119" t="n">
        <x:f>IF(AJ497=0,0,(AJ497-IF(4=D497,1,0))*VLOOKUP(INDEX('章节与怪物'!$E$31:$K$37,B497,4),'章节与怪物'!$A$41:$F$44,4,FALSE)+IF(4=D497,'难度参数'!$E$30,0))</x:f>
        <x:v>1148</x:v>
      </x:c>
      <x:c r="AN497" s="119" t="n">
        <x:f>IF(5&gt;D497,0,MAX(2,MIN('难度参数'!$E$12,ROUND(('难度参数'!$E$18*POWER(A497,'难度参数'!$E$19)/D497*(0.85+0.3*(5-1)/MAX(1,D497-1))),0)+F497)))</x:f>
        <x:v>43</x:v>
      </x:c>
      <x:c r="AO497" s="119" t="n">
        <x:f>IF(5&gt;D497,0,ROUND(('难度参数'!$E$13*POWER(A497,'难度参数'!$E$20)*MIN('难度参数'!$E$23,1+MAX(0,A497-'难度参数'!$E$21)*'难度参数'!$E$22))*(36+5*7)/(36+7*(D497+1)/2)*E497,0))</x:f>
        <x:v>12972</x:v>
      </x:c>
      <x:c r="AP497" s="119" t="n">
        <x:f>IF(AN497=0,0,(AN497-IF(5=D497,1,0))*ROUND(AO497*VLOOKUP(INDEX('章节与怪物'!$E$31:$K$37,B497,5),'章节与怪物'!$A$41:$F$44,2,FALSE),0)+IF(5=D497,ROUND(AO497*'难度参数'!$E$28*'章节与怪物'!$E$17,0),0))</x:f>
        <x:v>753016</x:v>
      </x:c>
      <x:c r="AQ497" s="119" t="n">
        <x:f>IF(AN497=0,0,(AN497-IF(5=D497,1,0))*VLOOKUP(INDEX('章节与怪物'!$E$31:$K$37,B497,5),'章节与怪物'!$A$41:$F$44,4,FALSE)+IF(5=D497,'难度参数'!$E$30,0))</x:f>
        <x:v>1462</x:v>
      </x:c>
      <x:c r="AR497" s="119" t="n">
        <x:f>IF(6&gt;D497,0,MAX(2,MIN('难度参数'!$E$12,ROUND(('难度参数'!$E$18*POWER(A497,'难度参数'!$E$19)/D497*(0.85+0.3*(6-1)/MAX(1,D497-1))),0)+F497)))</x:f>
        <x:v>45</x:v>
      </x:c>
      <x:c r="AS497" s="119" t="n">
        <x:f>IF(6&gt;D497,0,ROUND(('难度参数'!$E$13*POWER(A497,'难度参数'!$E$20)*MIN('难度参数'!$E$23,1+MAX(0,A497-'难度参数'!$E$21)*'难度参数'!$E$22))*(36+6*7)/(36+7*(D497+1)/2)*E497,0))</x:f>
        <x:v>14250</x:v>
      </x:c>
      <x:c r="AT497" s="119" t="n">
        <x:f>IF(AR497=0,0,(AR497-IF(6=D497,1,0))*ROUND(AS497*VLOOKUP(INDEX('章节与怪物'!$E$31:$K$37,B497,6),'章节与怪物'!$A$41:$F$44,2,FALSE),0)+IF(6=D497,ROUND(AS497*'难度参数'!$E$28*'章节与怪物'!$E$17,0),0))</x:f>
        <x:v>461700</x:v>
      </x:c>
      <x:c r="AU497" s="119" t="n">
        <x:f>IF(AR497=0,0,(AR497-IF(6=D497,1,0))*VLOOKUP(INDEX('章节与怪物'!$E$31:$K$37,B497,6),'章节与怪物'!$A$41:$F$44,4,FALSE)+IF(6=D497,'难度参数'!$E$30,0))</x:f>
        <x:v>900</x:v>
      </x:c>
      <x:c r="AV497" s="119" t="n">
        <x:f>IF(7&gt;D497,0,MAX(2,MIN('难度参数'!$E$12,ROUND(('难度参数'!$E$18*POWER(A497,'难度参数'!$E$19)/D497*(0.85+0.3*(7-1)/MAX(1,D497-1))),0)+F497)))</x:f>
        <x:v>47</x:v>
      </x:c>
      <x:c r="AW497" s="119" t="n">
        <x:f>IF(7&gt;D497,0,ROUND(('难度参数'!$E$13*POWER(A497,'难度参数'!$E$20)*MIN('难度参数'!$E$23,1+MAX(0,A497-'难度参数'!$E$21)*'难度参数'!$E$22))*(36+7*7)/(36+7*(D497+1)/2)*E497,0))</x:f>
        <x:v>15529</x:v>
      </x:c>
      <x:c r="AX497" s="119" t="n">
        <x:f>IF(AV497=0,0,(AV497-IF(7=D497,1,0))*ROUND(AW497*VLOOKUP(INDEX('章节与怪物'!$E$31:$K$37,B497,7),'章节与怪物'!$A$41:$F$44,2,FALSE),0)+IF(7=D497,ROUND(AW497*'难度参数'!$E$28*'章节与怪物'!$E$17,0),0))</x:f>
        <x:v>1319951</x:v>
      </x:c>
      <x:c r="AY497" s="119" t="n">
        <x:f>IF(AV497=0,0,(AV497-IF(7=D497,1,0))*VLOOKUP(INDEX('章节与怪物'!$E$31:$K$37,B497,7),'章节与怪物'!$A$41:$F$44,4,FALSE)+IF(7=D497,'难度参数'!$E$30,0))</x:f>
        <x:v>1488</x:v>
      </x:c>
    </x:row>
    <x:row r="498" ht="23" customHeight="1">
      <x:c r="A498" s="119" t="n">
        <x:v>492</x:v>
      </x:c>
      <x:c r="B498" s="119" t="n">
        <x:f>MOD(INT((A498-1)/5),7)+1</x:f>
        <x:v>1</x:v>
      </x:c>
      <x:c r="C498" s="62" t="str">
        <x:f>INDEX('章节与怪物'!$B$31:$B$37,B498)</x:f>
        <x:v>冰雪荒原</x:v>
      </x:c>
      <x:c r="D498" s="119" t="n">
        <x:f>MIN('难度参数'!$E$8,MAX('难度参数'!$E$7,A498))</x:f>
        <x:v>7</x:v>
      </x:c>
      <x:c r="E498" s="106" t="n">
        <x:v>1</x:v>
      </x:c>
      <x:c r="F498" s="106" t="n">
        <x:v>0</x:v>
      </x:c>
      <x:c r="G498" s="106" t="n">
        <x:v>1</x:v>
      </x:c>
      <x:c r="H498" s="119" t="n">
        <x:f>SUM(X498,AB498,AF498,AJ498,AN498,AR498,AV498)</x:f>
        <x:v>287</x:v>
      </x:c>
      <x:c r="I498" s="119" t="n">
        <x:f>SUM(Z498,AD498,AH498,AL498,AP498,AT498,AX498)</x:f>
        <x:v>4261305</x:v>
      </x:c>
      <x:c r="J498" s="119" t="n">
        <x:f>ROUND(INDEX(X498:AY498,1,(D498-1)*4+2)*'难度参数'!$E$28*'章节与怪物'!$E$17,0)</x:f>
        <x:v>105754</x:v>
      </x:c>
      <x:c r="K498" s="119" t="n">
        <x:f>SUM(AA498,AE498,AI498,AM498,AQ498,AU498,AY498)</x:f>
        <x:v>7074</x:v>
      </x:c>
      <x:c r="L498" s="62" t="n">
        <x:f>H498*(ROUNDUP('难度参数'!$E$24/('难度参数'!$E$26*'难度参数'!$E$27),0)*'难度参数'!$E$26)/60</x:f>
        <x:v>3.826666666666667</x:v>
      </x:c>
      <x:c r="M498" s="62" t="n">
        <x:f>L498+D498*('难度参数'!$E$49+'难度参数'!$E$50)/60</x:f>
        <x:v>4.993333333333334</x:v>
      </x:c>
      <x:c r="N498" s="119" t="n">
        <x:f>ROUNDDOWN(('经济参数'!$E$20+A498*'经济参数'!$E$21)*G498,0)</x:f>
        <x:v>10020</x:v>
      </x:c>
      <x:c r="O498" s="119" t="n">
        <x:f>ROUNDDOWN(MIN('经济参数'!$E$24,'经济参数'!$E$22+A498*'经济参数'!$E$23)*G498,0)</x:f>
        <x:v>0</x:v>
      </x:c>
      <x:c r="P498" s="119" t="n">
        <x:f>ROUNDDOWN((IF(A498&gt;='材料与任务'!$E$31,'材料与任务'!$E$32,IF(A498&gt;='材料与任务'!$E$25,'材料与任务'!$E$26,IF(A498&gt;='材料与任务'!$E$19,'材料与任务'!$E$20,IF(A498&gt;='材料与任务'!$E$13,'材料与任务'!$E$14,'材料与任务'!$E$8)))))*G498,0)</x:f>
        <x:v>6</x:v>
      </x:c>
      <x:c r="Q498" s="119" t="n">
        <x:f>ROUNDDOWN((IF(A498&gt;='材料与任务'!$E$31,'材料与任务'!$E$33,IF(A498&gt;='材料与任务'!$E$25,'材料与任务'!$E$27,IF(A498&gt;='材料与任务'!$E$19,'材料与任务'!$E$21,IF(A498&gt;='材料与任务'!$E$13,'材料与任务'!$E$15,'材料与任务'!$E$9)))))*G498,0)</x:f>
        <x:v>3</x:v>
      </x:c>
      <x:c r="R498" s="110" t="n">
        <x:f>'装备掉落'!$B$38</x:f>
        <x:v>0.6872058758851213</x:v>
      </x:c>
      <x:c r="S498" s="119" t="n">
        <x:f>MAX(IF(VLOOKUP(A498,'装备掉落'!$A$29:$H$34,2,TRUE)&gt;0,1,0),IF(VLOOKUP(A498,'装备掉落'!$A$29:$H$34,3,TRUE)&gt;0,2,0),IF(VLOOKUP(A498,'装备掉落'!$A$29:$H$34,4,TRUE)&gt;0,3,0),IF(VLOOKUP(A498,'装备掉落'!$A$29:$H$34,5,TRUE)&gt;0,4,0),IF(VLOOKUP(A498,'装备掉落'!$A$29:$H$34,6,TRUE)&gt;0,5,0),IF(VLOOKUP(A498,'装备掉落'!$A$29:$H$34,7,TRUE)&gt;0,6,0),IF(VLOOKUP(A498,'装备掉落'!$A$29:$H$34,8,TRUE)&gt;0,7,0))</x:f>
        <x:v>7</x:v>
      </x:c>
      <x:c r="T498" s="119" t="n">
        <x:f>MIN(7,S498+'经济参数'!$E$70)</x:f>
        <x:v>7</x:v>
      </x:c>
      <x:c r="U498" s="119" t="n">
        <x:f>MIN(7,S498+'经济参数'!$E$71)</x:f>
        <x:v>7</x:v>
      </x:c>
      <x:c r="V498" s="119" t="n">
        <x:f>IF(H498&gt;=('难度参数'!$E$52),1,0)+IF(H498&gt;=('难度参数'!$E$52+'难度参数'!$E$53),1,0)+IF(H498&gt;=('难度参数'!$E$52+'难度参数'!$E$53+'难度参数'!$E$54),1,0)+IF(H498&gt;=('难度参数'!$E$52+'难度参数'!$E$53+'难度参数'!$E$54+'难度参数'!$E$55),1,0)+IF(H498&gt;=('难度参数'!$E$52+'难度参数'!$E$53+'难度参数'!$E$54+'难度参数'!$E$55+'难度参数'!$E$56),1,0)+IF(H498&gt;=('难度参数'!$E$52+'难度参数'!$E$53+'难度参数'!$E$54+'难度参数'!$E$55+'难度参数'!$E$56+'难度参数'!$E$57),1,0)</x:f>
        <x:v>6</x:v>
      </x:c>
      <x:c r="W498" s="62" t="str">
        <x:f>IF(L498&gt;'难度参数'!$E$51,"仅出怪已超目标","还需实测")</x:f>
        <x:v>仅出怪已超目标</x:v>
      </x:c>
      <x:c r="X498" s="119" t="n">
        <x:f>IF(1&gt;D498,0,MAX(2,MIN('难度参数'!$E$12,ROUND(('难度参数'!$E$18*POWER(A498,'难度参数'!$E$19)/D498*(0.85+0.3*(1-1)/MAX(1,D498-1))),0)+F498)))</x:f>
        <x:v>35</x:v>
      </x:c>
      <x:c r="Y498" s="119" t="n">
        <x:f>IF(1&gt;D498,0,ROUND(('难度参数'!$E$13*POWER(A498,'难度参数'!$E$20)*MIN('难度参数'!$E$23,1+MAX(0,A498-'难度参数'!$E$21)*'难度参数'!$E$22))*(36+1*7)/(36+7*(D498+1)/2)*E498,0))</x:f>
        <x:v>7868</x:v>
      </x:c>
      <x:c r="Z498" s="119" t="n">
        <x:f>IF(X498=0,0,(X498-IF(1=D498,1,0))*ROUND(Y498*VLOOKUP(INDEX('章节与怪物'!$E$31:$K$37,B498,1),'章节与怪物'!$A$41:$F$44,2,FALSE),0)+IF(1=D498,ROUND(Y498*'难度参数'!$E$28*'章节与怪物'!$E$17,0),0))</x:f>
        <x:v>275380</x:v>
      </x:c>
      <x:c r="AA498" s="119" t="n">
        <x:f>IF(X498=0,0,(X498-IF(1=D498,1,0))*VLOOKUP(INDEX('章节与怪物'!$E$31:$K$37,B498,1),'章节与怪物'!$A$41:$F$44,4,FALSE)+IF(1=D498,'难度参数'!$E$30,0))</x:f>
        <x:v>630</x:v>
      </x:c>
      <x:c r="AB498" s="119" t="n">
        <x:f>IF(2&gt;D498,0,MAX(2,MIN('难度参数'!$E$12,ROUND(('难度参数'!$E$18*POWER(A498,'难度参数'!$E$19)/D498*(0.85+0.3*(2-1)/MAX(1,D498-1))),0)+F498)))</x:f>
        <x:v>37</x:v>
      </x:c>
      <x:c r="AC498" s="119" t="n">
        <x:f>IF(2&gt;D498,0,ROUND(('难度参数'!$E$13*POWER(A498,'难度参数'!$E$20)*MIN('难度参数'!$E$23,1+MAX(0,A498-'难度参数'!$E$21)*'难度参数'!$E$22))*(36+2*7)/(36+7*(D498+1)/2)*E498,0))</x:f>
        <x:v>9148</x:v>
      </x:c>
      <x:c r="AD498" s="119" t="n">
        <x:f>IF(AB498=0,0,(AB498-IF(2=D498,1,0))*ROUND(AC498*VLOOKUP(INDEX('章节与怪物'!$E$31:$K$37,B498,2),'章节与怪物'!$A$41:$F$44,2,FALSE),0)+IF(2=D498,ROUND(AC498*'难度参数'!$E$28*'章节与怪物'!$E$17,0),0))</x:f>
        <x:v>338476</x:v>
      </x:c>
      <x:c r="AE498" s="119" t="n">
        <x:f>IF(AB498=0,0,(AB498-IF(2=D498,1,0))*VLOOKUP(INDEX('章节与怪物'!$E$31:$K$37,B498,2),'章节与怪物'!$A$41:$F$44,4,FALSE)+IF(2=D498,'难度参数'!$E$30,0))</x:f>
        <x:v>666</x:v>
      </x:c>
      <x:c r="AF498" s="119" t="n">
        <x:f>IF(3&gt;D498,0,MAX(2,MIN('难度参数'!$E$12,ROUND(('难度参数'!$E$18*POWER(A498,'难度参数'!$E$19)/D498*(0.85+0.3*(3-1)/MAX(1,D498-1))),0)+F498)))</x:f>
        <x:v>39</x:v>
      </x:c>
      <x:c r="AG498" s="119" t="n">
        <x:f>IF(3&gt;D498,0,ROUND(('难度参数'!$E$13*POWER(A498,'难度参数'!$E$20)*MIN('难度参数'!$E$23,1+MAX(0,A498-'难度参数'!$E$21)*'难度参数'!$E$22))*(36+3*7)/(36+7*(D498+1)/2)*E498,0))</x:f>
        <x:v>10429</x:v>
      </x:c>
      <x:c r="AH498" s="119" t="n">
        <x:f>IF(AF498=0,0,(AF498-IF(3=D498,1,0))*ROUND(AG498*VLOOKUP(INDEX('章节与怪物'!$E$31:$K$37,B498,3),'章节与怪物'!$A$41:$F$44,2,FALSE),0)+IF(3=D498,ROUND(AG498*'难度参数'!$E$28*'章节与怪物'!$E$17,0),0))</x:f>
        <x:v>292851</x:v>
      </x:c>
      <x:c r="AI498" s="119" t="n">
        <x:f>IF(AF498=0,0,(AF498-IF(3=D498,1,0))*VLOOKUP(INDEX('章节与怪物'!$E$31:$K$37,B498,3),'章节与怪物'!$A$41:$F$44,4,FALSE)+IF(3=D498,'难度参数'!$E$30,0))</x:f>
        <x:v>780</x:v>
      </x:c>
      <x:c r="AJ498" s="119" t="n">
        <x:f>IF(4&gt;D498,0,MAX(2,MIN('难度参数'!$E$12,ROUND(('难度参数'!$E$18*POWER(A498,'难度参数'!$E$19)/D498*(0.85+0.3*(4-1)/MAX(1,D498-1))),0)+F498)))</x:f>
        <x:v>41</x:v>
      </x:c>
      <x:c r="AK498" s="119" t="n">
        <x:f>IF(4&gt;D498,0,ROUND(('难度参数'!$E$13*POWER(A498,'难度参数'!$E$20)*MIN('难度参数'!$E$23,1+MAX(0,A498-'难度参数'!$E$21)*'难度参数'!$E$22))*(36+4*7)/(36+7*(D498+1)/2)*E498,0))</x:f>
        <x:v>11710</x:v>
      </x:c>
      <x:c r="AL498" s="119" t="n">
        <x:f>IF(AJ498=0,0,(AJ498-IF(4=D498,1,0))*ROUND(AK498*VLOOKUP(INDEX('章节与怪物'!$E$31:$K$37,B498,4),'章节与怪物'!$A$41:$F$44,2,FALSE),0)+IF(4=D498,ROUND(AK498*'难度参数'!$E$28*'章节与怪物'!$E$17,0),0))</x:f>
        <x:v>816187</x:v>
      </x:c>
      <x:c r="AM498" s="119" t="n">
        <x:f>IF(AJ498=0,0,(AJ498-IF(4=D498,1,0))*VLOOKUP(INDEX('章节与怪物'!$E$31:$K$37,B498,4),'章节与怪物'!$A$41:$F$44,4,FALSE)+IF(4=D498,'难度参数'!$E$30,0))</x:f>
        <x:v>1148</x:v>
      </x:c>
      <x:c r="AN498" s="119" t="n">
        <x:f>IF(5&gt;D498,0,MAX(2,MIN('难度参数'!$E$12,ROUND(('难度参数'!$E$18*POWER(A498,'难度参数'!$E$19)/D498*(0.85+0.3*(5-1)/MAX(1,D498-1))),0)+F498)))</x:f>
        <x:v>43</x:v>
      </x:c>
      <x:c r="AO498" s="119" t="n">
        <x:f>IF(5&gt;D498,0,ROUND(('难度参数'!$E$13*POWER(A498,'难度参数'!$E$20)*MIN('难度参数'!$E$23,1+MAX(0,A498-'难度参数'!$E$21)*'难度参数'!$E$22))*(36+5*7)/(36+7*(D498+1)/2)*E498,0))</x:f>
        <x:v>12991</x:v>
      </x:c>
      <x:c r="AP498" s="119" t="n">
        <x:f>IF(AN498=0,0,(AN498-IF(5=D498,1,0))*ROUND(AO498*VLOOKUP(INDEX('章节与怪物'!$E$31:$K$37,B498,5),'章节与怪物'!$A$41:$F$44,2,FALSE),0)+IF(5=D498,ROUND(AO498*'难度参数'!$E$28*'章节与怪物'!$E$17,0),0))</x:f>
        <x:v>754134</x:v>
      </x:c>
      <x:c r="AQ498" s="119" t="n">
        <x:f>IF(AN498=0,0,(AN498-IF(5=D498,1,0))*VLOOKUP(INDEX('章节与怪物'!$E$31:$K$37,B498,5),'章节与怪物'!$A$41:$F$44,4,FALSE)+IF(5=D498,'难度参数'!$E$30,0))</x:f>
        <x:v>1462</x:v>
      </x:c>
      <x:c r="AR498" s="119" t="n">
        <x:f>IF(6&gt;D498,0,MAX(2,MIN('难度参数'!$E$12,ROUND(('难度参数'!$E$18*POWER(A498,'难度参数'!$E$19)/D498*(0.85+0.3*(6-1)/MAX(1,D498-1))),0)+F498)))</x:f>
        <x:v>45</x:v>
      </x:c>
      <x:c r="AS498" s="119" t="n">
        <x:f>IF(6&gt;D498,0,ROUND(('难度参数'!$E$13*POWER(A498,'难度参数'!$E$20)*MIN('难度参数'!$E$23,1+MAX(0,A498-'难度参数'!$E$21)*'难度参数'!$E$22))*(36+6*7)/(36+7*(D498+1)/2)*E498,0))</x:f>
        <x:v>14271</x:v>
      </x:c>
      <x:c r="AT498" s="119" t="n">
        <x:f>IF(AR498=0,0,(AR498-IF(6=D498,1,0))*ROUND(AS498*VLOOKUP(INDEX('章节与怪物'!$E$31:$K$37,B498,6),'章节与怪物'!$A$41:$F$44,2,FALSE),0)+IF(6=D498,ROUND(AS498*'难度参数'!$E$28*'章节与怪物'!$E$17,0),0))</x:f>
        <x:v>462375</x:v>
      </x:c>
      <x:c r="AU498" s="119" t="n">
        <x:f>IF(AR498=0,0,(AR498-IF(6=D498,1,0))*VLOOKUP(INDEX('章节与怪物'!$E$31:$K$37,B498,6),'章节与怪物'!$A$41:$F$44,4,FALSE)+IF(6=D498,'难度参数'!$E$30,0))</x:f>
        <x:v>900</x:v>
      </x:c>
      <x:c r="AV498" s="119" t="n">
        <x:f>IF(7&gt;D498,0,MAX(2,MIN('难度参数'!$E$12,ROUND(('难度参数'!$E$18*POWER(A498,'难度参数'!$E$19)/D498*(0.85+0.3*(7-1)/MAX(1,D498-1))),0)+F498)))</x:f>
        <x:v>47</x:v>
      </x:c>
      <x:c r="AW498" s="119" t="n">
        <x:f>IF(7&gt;D498,0,ROUND(('难度参数'!$E$13*POWER(A498,'难度参数'!$E$20)*MIN('难度参数'!$E$23,1+MAX(0,A498-'难度参数'!$E$21)*'难度参数'!$E$22))*(36+7*7)/(36+7*(D498+1)/2)*E498,0))</x:f>
        <x:v>15552</x:v>
      </x:c>
      <x:c r="AX498" s="119" t="n">
        <x:f>IF(AV498=0,0,(AV498-IF(7=D498,1,0))*ROUND(AW498*VLOOKUP(INDEX('章节与怪物'!$E$31:$K$37,B498,7),'章节与怪物'!$A$41:$F$44,2,FALSE),0)+IF(7=D498,ROUND(AW498*'难度参数'!$E$28*'章节与怪物'!$E$17,0),0))</x:f>
        <x:v>1321902</x:v>
      </x:c>
      <x:c r="AY498" s="119" t="n">
        <x:f>IF(AV498=0,0,(AV498-IF(7=D498,1,0))*VLOOKUP(INDEX('章节与怪物'!$E$31:$K$37,B498,7),'章节与怪物'!$A$41:$F$44,4,FALSE)+IF(7=D498,'难度参数'!$E$30,0))</x:f>
        <x:v>1488</x:v>
      </x:c>
    </x:row>
    <x:row r="499" ht="23" customHeight="1">
      <x:c r="A499" s="119" t="n">
        <x:v>493</x:v>
      </x:c>
      <x:c r="B499" s="119" t="n">
        <x:f>MOD(INT((A499-1)/5),7)+1</x:f>
        <x:v>1</x:v>
      </x:c>
      <x:c r="C499" s="62" t="str">
        <x:f>INDEX('章节与怪物'!$B$31:$B$37,B499)</x:f>
        <x:v>冰雪荒原</x:v>
      </x:c>
      <x:c r="D499" s="119" t="n">
        <x:f>MIN('难度参数'!$E$8,MAX('难度参数'!$E$7,A499))</x:f>
        <x:v>7</x:v>
      </x:c>
      <x:c r="E499" s="106" t="n">
        <x:v>1</x:v>
      </x:c>
      <x:c r="F499" s="106" t="n">
        <x:v>0</x:v>
      </x:c>
      <x:c r="G499" s="106" t="n">
        <x:v>1</x:v>
      </x:c>
      <x:c r="H499" s="119" t="n">
        <x:f>SUM(X499,AB499,AF499,AJ499,AN499,AR499,AV499)</x:f>
        <x:v>287</x:v>
      </x:c>
      <x:c r="I499" s="119" t="n">
        <x:f>SUM(Z499,AD499,AH499,AL499,AP499,AT499,AX499)</x:f>
        <x:v>4267615</x:v>
      </x:c>
      <x:c r="J499" s="119" t="n">
        <x:f>ROUND(INDEX(X499:AY499,1,(D499-1)*4+2)*'难度参数'!$E$28*'章节与怪物'!$E$17,0)</x:f>
        <x:v>105910</x:v>
      </x:c>
      <x:c r="K499" s="119" t="n">
        <x:f>SUM(AA499,AE499,AI499,AM499,AQ499,AU499,AY499)</x:f>
        <x:v>7074</x:v>
      </x:c>
      <x:c r="L499" s="62" t="n">
        <x:f>H499*(ROUNDUP('难度参数'!$E$24/('难度参数'!$E$26*'难度参数'!$E$27),0)*'难度参数'!$E$26)/60</x:f>
        <x:v>3.826666666666667</x:v>
      </x:c>
      <x:c r="M499" s="62" t="n">
        <x:f>L499+D499*('难度参数'!$E$49+'难度参数'!$E$50)/60</x:f>
        <x:v>4.993333333333334</x:v>
      </x:c>
      <x:c r="N499" s="119" t="n">
        <x:f>ROUNDDOWN(('经济参数'!$E$20+A499*'经济参数'!$E$21)*G499,0)</x:f>
        <x:v>10040</x:v>
      </x:c>
      <x:c r="O499" s="119" t="n">
        <x:f>ROUNDDOWN(MIN('经济参数'!$E$24,'经济参数'!$E$22+A499*'经济参数'!$E$23)*G499,0)</x:f>
        <x:v>0</x:v>
      </x:c>
      <x:c r="P499" s="119" t="n">
        <x:f>ROUNDDOWN((IF(A499&gt;='材料与任务'!$E$31,'材料与任务'!$E$32,IF(A499&gt;='材料与任务'!$E$25,'材料与任务'!$E$26,IF(A499&gt;='材料与任务'!$E$19,'材料与任务'!$E$20,IF(A499&gt;='材料与任务'!$E$13,'材料与任务'!$E$14,'材料与任务'!$E$8)))))*G499,0)</x:f>
        <x:v>6</x:v>
      </x:c>
      <x:c r="Q499" s="119" t="n">
        <x:f>ROUNDDOWN((IF(A499&gt;='材料与任务'!$E$31,'材料与任务'!$E$33,IF(A499&gt;='材料与任务'!$E$25,'材料与任务'!$E$27,IF(A499&gt;='材料与任务'!$E$19,'材料与任务'!$E$21,IF(A499&gt;='材料与任务'!$E$13,'材料与任务'!$E$15,'材料与任务'!$E$9)))))*G499,0)</x:f>
        <x:v>3</x:v>
      </x:c>
      <x:c r="R499" s="110" t="n">
        <x:f>'装备掉落'!$B$38</x:f>
        <x:v>0.6872058758851213</x:v>
      </x:c>
      <x:c r="S499" s="119" t="n">
        <x:f>MAX(IF(VLOOKUP(A499,'装备掉落'!$A$29:$H$34,2,TRUE)&gt;0,1,0),IF(VLOOKUP(A499,'装备掉落'!$A$29:$H$34,3,TRUE)&gt;0,2,0),IF(VLOOKUP(A499,'装备掉落'!$A$29:$H$34,4,TRUE)&gt;0,3,0),IF(VLOOKUP(A499,'装备掉落'!$A$29:$H$34,5,TRUE)&gt;0,4,0),IF(VLOOKUP(A499,'装备掉落'!$A$29:$H$34,6,TRUE)&gt;0,5,0),IF(VLOOKUP(A499,'装备掉落'!$A$29:$H$34,7,TRUE)&gt;0,6,0),IF(VLOOKUP(A499,'装备掉落'!$A$29:$H$34,8,TRUE)&gt;0,7,0))</x:f>
        <x:v>7</x:v>
      </x:c>
      <x:c r="T499" s="119" t="n">
        <x:f>MIN(7,S499+'经济参数'!$E$70)</x:f>
        <x:v>7</x:v>
      </x:c>
      <x:c r="U499" s="119" t="n">
        <x:f>MIN(7,S499+'经济参数'!$E$71)</x:f>
        <x:v>7</x:v>
      </x:c>
      <x:c r="V499" s="119" t="n">
        <x:f>IF(H499&gt;=('难度参数'!$E$52),1,0)+IF(H499&gt;=('难度参数'!$E$52+'难度参数'!$E$53),1,0)+IF(H499&gt;=('难度参数'!$E$52+'难度参数'!$E$53+'难度参数'!$E$54),1,0)+IF(H499&gt;=('难度参数'!$E$52+'难度参数'!$E$53+'难度参数'!$E$54+'难度参数'!$E$55),1,0)+IF(H499&gt;=('难度参数'!$E$52+'难度参数'!$E$53+'难度参数'!$E$54+'难度参数'!$E$55+'难度参数'!$E$56),1,0)+IF(H499&gt;=('难度参数'!$E$52+'难度参数'!$E$53+'难度参数'!$E$54+'难度参数'!$E$55+'难度参数'!$E$56+'难度参数'!$E$57),1,0)</x:f>
        <x:v>6</x:v>
      </x:c>
      <x:c r="W499" s="62" t="str">
        <x:f>IF(L499&gt;'难度参数'!$E$51,"仅出怪已超目标","还需实测")</x:f>
        <x:v>仅出怪已超目标</x:v>
      </x:c>
      <x:c r="X499" s="119" t="n">
        <x:f>IF(1&gt;D499,0,MAX(2,MIN('难度参数'!$E$12,ROUND(('难度参数'!$E$18*POWER(A499,'难度参数'!$E$19)/D499*(0.85+0.3*(1-1)/MAX(1,D499-1))),0)+F499)))</x:f>
        <x:v>35</x:v>
      </x:c>
      <x:c r="Y499" s="119" t="n">
        <x:f>IF(1&gt;D499,0,ROUND(('难度参数'!$E$13*POWER(A499,'难度参数'!$E$20)*MIN('难度参数'!$E$23,1+MAX(0,A499-'难度参数'!$E$21)*'难度参数'!$E$22))*(36+1*7)/(36+7*(D499+1)/2)*E499,0))</x:f>
        <x:v>7879</x:v>
      </x:c>
      <x:c r="Z499" s="119" t="n">
        <x:f>IF(X499=0,0,(X499-IF(1=D499,1,0))*ROUND(Y499*VLOOKUP(INDEX('章节与怪物'!$E$31:$K$37,B499,1),'章节与怪物'!$A$41:$F$44,2,FALSE),0)+IF(1=D499,ROUND(Y499*'难度参数'!$E$28*'章节与怪物'!$E$17,0),0))</x:f>
        <x:v>275765</x:v>
      </x:c>
      <x:c r="AA499" s="119" t="n">
        <x:f>IF(X499=0,0,(X499-IF(1=D499,1,0))*VLOOKUP(INDEX('章节与怪物'!$E$31:$K$37,B499,1),'章节与怪物'!$A$41:$F$44,4,FALSE)+IF(1=D499,'难度参数'!$E$30,0))</x:f>
        <x:v>630</x:v>
      </x:c>
      <x:c r="AB499" s="119" t="n">
        <x:f>IF(2&gt;D499,0,MAX(2,MIN('难度参数'!$E$12,ROUND(('难度参数'!$E$18*POWER(A499,'难度参数'!$E$19)/D499*(0.85+0.3*(2-1)/MAX(1,D499-1))),0)+F499)))</x:f>
        <x:v>37</x:v>
      </x:c>
      <x:c r="AC499" s="119" t="n">
        <x:f>IF(2&gt;D499,0,ROUND(('难度参数'!$E$13*POWER(A499,'难度参数'!$E$20)*MIN('难度参数'!$E$23,1+MAX(0,A499-'难度参数'!$E$21)*'难度参数'!$E$22))*(36+2*7)/(36+7*(D499+1)/2)*E499,0))</x:f>
        <x:v>9162</x:v>
      </x:c>
      <x:c r="AD499" s="119" t="n">
        <x:f>IF(AB499=0,0,(AB499-IF(2=D499,1,0))*ROUND(AC499*VLOOKUP(INDEX('章节与怪物'!$E$31:$K$37,B499,2),'章节与怪物'!$A$41:$F$44,2,FALSE),0)+IF(2=D499,ROUND(AC499*'难度参数'!$E$28*'章节与怪物'!$E$17,0),0))</x:f>
        <x:v>338994</x:v>
      </x:c>
      <x:c r="AE499" s="119" t="n">
        <x:f>IF(AB499=0,0,(AB499-IF(2=D499,1,0))*VLOOKUP(INDEX('章节与怪物'!$E$31:$K$37,B499,2),'章节与怪物'!$A$41:$F$44,4,FALSE)+IF(2=D499,'难度参数'!$E$30,0))</x:f>
        <x:v>666</x:v>
      </x:c>
      <x:c r="AF499" s="119" t="n">
        <x:f>IF(3&gt;D499,0,MAX(2,MIN('难度参数'!$E$12,ROUND(('难度参数'!$E$18*POWER(A499,'难度参数'!$E$19)/D499*(0.85+0.3*(3-1)/MAX(1,D499-1))),0)+F499)))</x:f>
        <x:v>39</x:v>
      </x:c>
      <x:c r="AG499" s="119" t="n">
        <x:f>IF(3&gt;D499,0,ROUND(('难度参数'!$E$13*POWER(A499,'难度参数'!$E$20)*MIN('难度参数'!$E$23,1+MAX(0,A499-'难度参数'!$E$21)*'难度参数'!$E$22))*(36+3*7)/(36+7*(D499+1)/2)*E499,0))</x:f>
        <x:v>10444</x:v>
      </x:c>
      <x:c r="AH499" s="119" t="n">
        <x:f>IF(AF499=0,0,(AF499-IF(3=D499,1,0))*ROUND(AG499*VLOOKUP(INDEX('章节与怪物'!$E$31:$K$37,B499,3),'章节与怪物'!$A$41:$F$44,2,FALSE),0)+IF(3=D499,ROUND(AG499*'难度参数'!$E$28*'章节与怪物'!$E$17,0),0))</x:f>
        <x:v>293280</x:v>
      </x:c>
      <x:c r="AI499" s="119" t="n">
        <x:f>IF(AF499=0,0,(AF499-IF(3=D499,1,0))*VLOOKUP(INDEX('章节与怪物'!$E$31:$K$37,B499,3),'章节与怪物'!$A$41:$F$44,4,FALSE)+IF(3=D499,'难度参数'!$E$30,0))</x:f>
        <x:v>780</x:v>
      </x:c>
      <x:c r="AJ499" s="119" t="n">
        <x:f>IF(4&gt;D499,0,MAX(2,MIN('难度参数'!$E$12,ROUND(('难度参数'!$E$18*POWER(A499,'难度参数'!$E$19)/D499*(0.85+0.3*(4-1)/MAX(1,D499-1))),0)+F499)))</x:f>
        <x:v>41</x:v>
      </x:c>
      <x:c r="AK499" s="119" t="n">
        <x:f>IF(4&gt;D499,0,ROUND(('难度参数'!$E$13*POWER(A499,'难度参数'!$E$20)*MIN('难度参数'!$E$23,1+MAX(0,A499-'难度参数'!$E$21)*'难度参数'!$E$22))*(36+4*7)/(36+7*(D499+1)/2)*E499,0))</x:f>
        <x:v>11727</x:v>
      </x:c>
      <x:c r="AL499" s="119" t="n">
        <x:f>IF(AJ499=0,0,(AJ499-IF(4=D499,1,0))*ROUND(AK499*VLOOKUP(INDEX('章节与怪物'!$E$31:$K$37,B499,4),'章节与怪物'!$A$41:$F$44,2,FALSE),0)+IF(4=D499,ROUND(AK499*'难度参数'!$E$28*'章节与怪物'!$E$17,0),0))</x:f>
        <x:v>817376</x:v>
      </x:c>
      <x:c r="AM499" s="119" t="n">
        <x:f>IF(AJ499=0,0,(AJ499-IF(4=D499,1,0))*VLOOKUP(INDEX('章节与怪物'!$E$31:$K$37,B499,4),'章节与怪物'!$A$41:$F$44,4,FALSE)+IF(4=D499,'难度参数'!$E$30,0))</x:f>
        <x:v>1148</x:v>
      </x:c>
      <x:c r="AN499" s="119" t="n">
        <x:f>IF(5&gt;D499,0,MAX(2,MIN('难度参数'!$E$12,ROUND(('难度参数'!$E$18*POWER(A499,'难度参数'!$E$19)/D499*(0.85+0.3*(5-1)/MAX(1,D499-1))),0)+F499)))</x:f>
        <x:v>43</x:v>
      </x:c>
      <x:c r="AO499" s="119" t="n">
        <x:f>IF(5&gt;D499,0,ROUND(('难度参数'!$E$13*POWER(A499,'难度参数'!$E$20)*MIN('难度参数'!$E$23,1+MAX(0,A499-'难度参数'!$E$21)*'难度参数'!$E$22))*(36+5*7)/(36+7*(D499+1)/2)*E499,0))</x:f>
        <x:v>13010</x:v>
      </x:c>
      <x:c r="AP499" s="119" t="n">
        <x:f>IF(AN499=0,0,(AN499-IF(5=D499,1,0))*ROUND(AO499*VLOOKUP(INDEX('章节与怪物'!$E$31:$K$37,B499,5),'章节与怪物'!$A$41:$F$44,2,FALSE),0)+IF(5=D499,ROUND(AO499*'难度参数'!$E$28*'章节与怪物'!$E$17,0),0))</x:f>
        <x:v>755252</x:v>
      </x:c>
      <x:c r="AQ499" s="119" t="n">
        <x:f>IF(AN499=0,0,(AN499-IF(5=D499,1,0))*VLOOKUP(INDEX('章节与怪物'!$E$31:$K$37,B499,5),'章节与怪物'!$A$41:$F$44,4,FALSE)+IF(5=D499,'难度参数'!$E$30,0))</x:f>
        <x:v>1462</x:v>
      </x:c>
      <x:c r="AR499" s="119" t="n">
        <x:f>IF(6&gt;D499,0,MAX(2,MIN('难度参数'!$E$12,ROUND(('难度参数'!$E$18*POWER(A499,'难度参数'!$E$19)/D499*(0.85+0.3*(6-1)/MAX(1,D499-1))),0)+F499)))</x:f>
        <x:v>45</x:v>
      </x:c>
      <x:c r="AS499" s="119" t="n">
        <x:f>IF(6&gt;D499,0,ROUND(('难度参数'!$E$13*POWER(A499,'难度参数'!$E$20)*MIN('难度参数'!$E$23,1+MAX(0,A499-'难度参数'!$E$21)*'难度参数'!$E$22))*(36+6*7)/(36+7*(D499+1)/2)*E499,0))</x:f>
        <x:v>14292</x:v>
      </x:c>
      <x:c r="AT499" s="119" t="n">
        <x:f>IF(AR499=0,0,(AR499-IF(6=D499,1,0))*ROUND(AS499*VLOOKUP(INDEX('章节与怪物'!$E$31:$K$37,B499,6),'章节与怪物'!$A$41:$F$44,2,FALSE),0)+IF(6=D499,ROUND(AS499*'难度参数'!$E$28*'章节与怪物'!$E$17,0),0))</x:f>
        <x:v>463050</x:v>
      </x:c>
      <x:c r="AU499" s="119" t="n">
        <x:f>IF(AR499=0,0,(AR499-IF(6=D499,1,0))*VLOOKUP(INDEX('章节与怪物'!$E$31:$K$37,B499,6),'章节与怪物'!$A$41:$F$44,4,FALSE)+IF(6=D499,'难度参数'!$E$30,0))</x:f>
        <x:v>900</x:v>
      </x:c>
      <x:c r="AV499" s="119" t="n">
        <x:f>IF(7&gt;D499,0,MAX(2,MIN('难度参数'!$E$12,ROUND(('难度参数'!$E$18*POWER(A499,'难度参数'!$E$19)/D499*(0.85+0.3*(7-1)/MAX(1,D499-1))),0)+F499)))</x:f>
        <x:v>47</x:v>
      </x:c>
      <x:c r="AW499" s="119" t="n">
        <x:f>IF(7&gt;D499,0,ROUND(('难度参数'!$E$13*POWER(A499,'难度参数'!$E$20)*MIN('难度参数'!$E$23,1+MAX(0,A499-'难度参数'!$E$21)*'难度参数'!$E$22))*(36+7*7)/(36+7*(D499+1)/2)*E499,0))</x:f>
        <x:v>15575</x:v>
      </x:c>
      <x:c r="AX499" s="119" t="n">
        <x:f>IF(AV499=0,0,(AV499-IF(7=D499,1,0))*ROUND(AW499*VLOOKUP(INDEX('章节与怪物'!$E$31:$K$37,B499,7),'章节与怪物'!$A$41:$F$44,2,FALSE),0)+IF(7=D499,ROUND(AW499*'难度参数'!$E$28*'章节与怪物'!$E$17,0),0))</x:f>
        <x:v>1323898</x:v>
      </x:c>
      <x:c r="AY499" s="119" t="n">
        <x:f>IF(AV499=0,0,(AV499-IF(7=D499,1,0))*VLOOKUP(INDEX('章节与怪物'!$E$31:$K$37,B499,7),'章节与怪物'!$A$41:$F$44,4,FALSE)+IF(7=D499,'难度参数'!$E$30,0))</x:f>
        <x:v>1488</x:v>
      </x:c>
    </x:row>
    <x:row r="500" ht="23" customHeight="1">
      <x:c r="A500" s="119" t="n">
        <x:v>494</x:v>
      </x:c>
      <x:c r="B500" s="119" t="n">
        <x:f>MOD(INT((A500-1)/5),7)+1</x:f>
        <x:v>1</x:v>
      </x:c>
      <x:c r="C500" s="62" t="str">
        <x:f>INDEX('章节与怪物'!$B$31:$B$37,B500)</x:f>
        <x:v>冰雪荒原</x:v>
      </x:c>
      <x:c r="D500" s="119" t="n">
        <x:f>MIN('难度参数'!$E$8,MAX('难度参数'!$E$7,A500))</x:f>
        <x:v>7</x:v>
      </x:c>
      <x:c r="E500" s="106" t="n">
        <x:v>1</x:v>
      </x:c>
      <x:c r="F500" s="106" t="n">
        <x:v>0</x:v>
      </x:c>
      <x:c r="G500" s="106" t="n">
        <x:v>1</x:v>
      </x:c>
      <x:c r="H500" s="119" t="n">
        <x:f>SUM(X500,AB500,AF500,AJ500,AN500,AR500,AV500)</x:f>
        <x:v>288</x:v>
      </x:c>
      <x:c r="I500" s="119" t="n">
        <x:f>SUM(Z500,AD500,AH500,AL500,AP500,AT500,AX500)</x:f>
        <x:v>4300351</x:v>
      </x:c>
      <x:c r="J500" s="119" t="n">
        <x:f>ROUND(INDEX(X500:AY500,1,(D500-1)*4+2)*'难度参数'!$E$28*'章节与怪物'!$E$17,0)</x:f>
        <x:v>106066</x:v>
      </x:c>
      <x:c r="K500" s="119" t="n">
        <x:f>SUM(AA500,AE500,AI500,AM500,AQ500,AU500,AY500)</x:f>
        <x:v>7102</x:v>
      </x:c>
      <x:c r="L500" s="62" t="n">
        <x:f>H500*(ROUNDUP('难度参数'!$E$24/('难度参数'!$E$26*'难度参数'!$E$27),0)*'难度参数'!$E$26)/60</x:f>
        <x:v>3.8400000000000003</x:v>
      </x:c>
      <x:c r="M500" s="62" t="n">
        <x:f>L500+D500*('难度参数'!$E$49+'难度参数'!$E$50)/60</x:f>
        <x:v>5.006666666666667</x:v>
      </x:c>
      <x:c r="N500" s="119" t="n">
        <x:f>ROUNDDOWN(('经济参数'!$E$20+A500*'经济参数'!$E$21)*G500,0)</x:f>
        <x:v>10060</x:v>
      </x:c>
      <x:c r="O500" s="119" t="n">
        <x:f>ROUNDDOWN(MIN('经济参数'!$E$24,'经济参数'!$E$22+A500*'经济参数'!$E$23)*G500,0)</x:f>
        <x:v>0</x:v>
      </x:c>
      <x:c r="P500" s="119" t="n">
        <x:f>ROUNDDOWN((IF(A500&gt;='材料与任务'!$E$31,'材料与任务'!$E$32,IF(A500&gt;='材料与任务'!$E$25,'材料与任务'!$E$26,IF(A500&gt;='材料与任务'!$E$19,'材料与任务'!$E$20,IF(A500&gt;='材料与任务'!$E$13,'材料与任务'!$E$14,'材料与任务'!$E$8)))))*G500,0)</x:f>
        <x:v>6</x:v>
      </x:c>
      <x:c r="Q500" s="119" t="n">
        <x:f>ROUNDDOWN((IF(A500&gt;='材料与任务'!$E$31,'材料与任务'!$E$33,IF(A500&gt;='材料与任务'!$E$25,'材料与任务'!$E$27,IF(A500&gt;='材料与任务'!$E$19,'材料与任务'!$E$21,IF(A500&gt;='材料与任务'!$E$13,'材料与任务'!$E$15,'材料与任务'!$E$9)))))*G500,0)</x:f>
        <x:v>3</x:v>
      </x:c>
      <x:c r="R500" s="110" t="n">
        <x:f>'装备掉落'!$B$38</x:f>
        <x:v>0.6872058758851213</x:v>
      </x:c>
      <x:c r="S500" s="119" t="n">
        <x:f>MAX(IF(VLOOKUP(A500,'装备掉落'!$A$29:$H$34,2,TRUE)&gt;0,1,0),IF(VLOOKUP(A500,'装备掉落'!$A$29:$H$34,3,TRUE)&gt;0,2,0),IF(VLOOKUP(A500,'装备掉落'!$A$29:$H$34,4,TRUE)&gt;0,3,0),IF(VLOOKUP(A500,'装备掉落'!$A$29:$H$34,5,TRUE)&gt;0,4,0),IF(VLOOKUP(A500,'装备掉落'!$A$29:$H$34,6,TRUE)&gt;0,5,0),IF(VLOOKUP(A500,'装备掉落'!$A$29:$H$34,7,TRUE)&gt;0,6,0),IF(VLOOKUP(A500,'装备掉落'!$A$29:$H$34,8,TRUE)&gt;0,7,0))</x:f>
        <x:v>7</x:v>
      </x:c>
      <x:c r="T500" s="119" t="n">
        <x:f>MIN(7,S500+'经济参数'!$E$70)</x:f>
        <x:v>7</x:v>
      </x:c>
      <x:c r="U500" s="119" t="n">
        <x:f>MIN(7,S500+'经济参数'!$E$71)</x:f>
        <x:v>7</x:v>
      </x:c>
      <x:c r="V500" s="119" t="n">
        <x:f>IF(H500&gt;=('难度参数'!$E$52),1,0)+IF(H500&gt;=('难度参数'!$E$52+'难度参数'!$E$53),1,0)+IF(H500&gt;=('难度参数'!$E$52+'难度参数'!$E$53+'难度参数'!$E$54),1,0)+IF(H500&gt;=('难度参数'!$E$52+'难度参数'!$E$53+'难度参数'!$E$54+'难度参数'!$E$55),1,0)+IF(H500&gt;=('难度参数'!$E$52+'难度参数'!$E$53+'难度参数'!$E$54+'难度参数'!$E$55+'难度参数'!$E$56),1,0)+IF(H500&gt;=('难度参数'!$E$52+'难度参数'!$E$53+'难度参数'!$E$54+'难度参数'!$E$55+'难度参数'!$E$56+'难度参数'!$E$57),1,0)</x:f>
        <x:v>6</x:v>
      </x:c>
      <x:c r="W500" s="62" t="str">
        <x:f>IF(L500&gt;'难度参数'!$E$51,"仅出怪已超目标","还需实测")</x:f>
        <x:v>仅出怪已超目标</x:v>
      </x:c>
      <x:c r="X500" s="119" t="n">
        <x:f>IF(1&gt;D500,0,MAX(2,MIN('难度参数'!$E$12,ROUND(('难度参数'!$E$18*POWER(A500,'难度参数'!$E$19)/D500*(0.85+0.3*(1-1)/MAX(1,D500-1))),0)+F500)))</x:f>
        <x:v>35</x:v>
      </x:c>
      <x:c r="Y500" s="119" t="n">
        <x:f>IF(1&gt;D500,0,ROUND(('难度参数'!$E$13*POWER(A500,'难度参数'!$E$20)*MIN('难度参数'!$E$23,1+MAX(0,A500-'难度参数'!$E$21)*'难度参数'!$E$22))*(36+1*7)/(36+7*(D500+1)/2)*E500,0))</x:f>
        <x:v>7891</x:v>
      </x:c>
      <x:c r="Z500" s="119" t="n">
        <x:f>IF(X500=0,0,(X500-IF(1=D500,1,0))*ROUND(Y500*VLOOKUP(INDEX('章节与怪物'!$E$31:$K$37,B500,1),'章节与怪物'!$A$41:$F$44,2,FALSE),0)+IF(1=D500,ROUND(Y500*'难度参数'!$E$28*'章节与怪物'!$E$17,0),0))</x:f>
        <x:v>276185</x:v>
      </x:c>
      <x:c r="AA500" s="119" t="n">
        <x:f>IF(X500=0,0,(X500-IF(1=D500,1,0))*VLOOKUP(INDEX('章节与怪物'!$E$31:$K$37,B500,1),'章节与怪物'!$A$41:$F$44,4,FALSE)+IF(1=D500,'难度参数'!$E$30,0))</x:f>
        <x:v>630</x:v>
      </x:c>
      <x:c r="AB500" s="119" t="n">
        <x:f>IF(2&gt;D500,0,MAX(2,MIN('难度参数'!$E$12,ROUND(('难度参数'!$E$18*POWER(A500,'难度参数'!$E$19)/D500*(0.85+0.3*(2-1)/MAX(1,D500-1))),0)+F500)))</x:f>
        <x:v>37</x:v>
      </x:c>
      <x:c r="AC500" s="119" t="n">
        <x:f>IF(2&gt;D500,0,ROUND(('难度参数'!$E$13*POWER(A500,'难度参数'!$E$20)*MIN('难度参数'!$E$23,1+MAX(0,A500-'难度参数'!$E$21)*'难度参数'!$E$22))*(36+2*7)/(36+7*(D500+1)/2)*E500,0))</x:f>
        <x:v>9175</x:v>
      </x:c>
      <x:c r="AD500" s="119" t="n">
        <x:f>IF(AB500=0,0,(AB500-IF(2=D500,1,0))*ROUND(AC500*VLOOKUP(INDEX('章节与怪物'!$E$31:$K$37,B500,2),'章节与怪物'!$A$41:$F$44,2,FALSE),0)+IF(2=D500,ROUND(AC500*'难度参数'!$E$28*'章节与怪物'!$E$17,0),0))</x:f>
        <x:v>339475</x:v>
      </x:c>
      <x:c r="AE500" s="119" t="n">
        <x:f>IF(AB500=0,0,(AB500-IF(2=D500,1,0))*VLOOKUP(INDEX('章节与怪物'!$E$31:$K$37,B500,2),'章节与怪物'!$A$41:$F$44,4,FALSE)+IF(2=D500,'难度参数'!$E$30,0))</x:f>
        <x:v>666</x:v>
      </x:c>
      <x:c r="AF500" s="119" t="n">
        <x:f>IF(3&gt;D500,0,MAX(2,MIN('难度参数'!$E$12,ROUND(('难度参数'!$E$18*POWER(A500,'难度参数'!$E$19)/D500*(0.85+0.3*(3-1)/MAX(1,D500-1))),0)+F500)))</x:f>
        <x:v>39</x:v>
      </x:c>
      <x:c r="AG500" s="119" t="n">
        <x:f>IF(3&gt;D500,0,ROUND(('难度参数'!$E$13*POWER(A500,'难度参数'!$E$20)*MIN('难度参数'!$E$23,1+MAX(0,A500-'难度参数'!$E$21)*'难度参数'!$E$22))*(36+3*7)/(36+7*(D500+1)/2)*E500,0))</x:f>
        <x:v>10460</x:v>
      </x:c>
      <x:c r="AH500" s="119" t="n">
        <x:f>IF(AF500=0,0,(AF500-IF(3=D500,1,0))*ROUND(AG500*VLOOKUP(INDEX('章节与怪物'!$E$31:$K$37,B500,3),'章节与怪物'!$A$41:$F$44,2,FALSE),0)+IF(3=D500,ROUND(AG500*'难度参数'!$E$28*'章节与怪物'!$E$17,0),0))</x:f>
        <x:v>293709</x:v>
      </x:c>
      <x:c r="AI500" s="119" t="n">
        <x:f>IF(AF500=0,0,(AF500-IF(3=D500,1,0))*VLOOKUP(INDEX('章节与怪物'!$E$31:$K$37,B500,3),'章节与怪物'!$A$41:$F$44,4,FALSE)+IF(3=D500,'难度参数'!$E$30,0))</x:f>
        <x:v>780</x:v>
      </x:c>
      <x:c r="AJ500" s="119" t="n">
        <x:f>IF(4&gt;D500,0,MAX(2,MIN('难度参数'!$E$12,ROUND(('难度参数'!$E$18*POWER(A500,'难度参数'!$E$19)/D500*(0.85+0.3*(4-1)/MAX(1,D500-1))),0)+F500)))</x:f>
        <x:v>41</x:v>
      </x:c>
      <x:c r="AK500" s="119" t="n">
        <x:f>IF(4&gt;D500,0,ROUND(('难度参数'!$E$13*POWER(A500,'难度参数'!$E$20)*MIN('难度参数'!$E$23,1+MAX(0,A500-'难度参数'!$E$21)*'难度参数'!$E$22))*(36+4*7)/(36+7*(D500+1)/2)*E500,0))</x:f>
        <x:v>11744</x:v>
      </x:c>
      <x:c r="AL500" s="119" t="n">
        <x:f>IF(AJ500=0,0,(AJ500-IF(4=D500,1,0))*ROUND(AK500*VLOOKUP(INDEX('章节与怪物'!$E$31:$K$37,B500,4),'章节与怪物'!$A$41:$F$44,2,FALSE),0)+IF(4=D500,ROUND(AK500*'难度参数'!$E$28*'章节与怪物'!$E$17,0),0))</x:f>
        <x:v>818565</x:v>
      </x:c>
      <x:c r="AM500" s="119" t="n">
        <x:f>IF(AJ500=0,0,(AJ500-IF(4=D500,1,0))*VLOOKUP(INDEX('章节与怪物'!$E$31:$K$37,B500,4),'章节与怪物'!$A$41:$F$44,4,FALSE)+IF(4=D500,'难度参数'!$E$30,0))</x:f>
        <x:v>1148</x:v>
      </x:c>
      <x:c r="AN500" s="119" t="n">
        <x:f>IF(5&gt;D500,0,MAX(2,MIN('难度参数'!$E$12,ROUND(('难度参数'!$E$18*POWER(A500,'难度参数'!$E$19)/D500*(0.85+0.3*(5-1)/MAX(1,D500-1))),0)+F500)))</x:f>
        <x:v>43</x:v>
      </x:c>
      <x:c r="AO500" s="119" t="n">
        <x:f>IF(5&gt;D500,0,ROUND(('难度参数'!$E$13*POWER(A500,'难度参数'!$E$20)*MIN('难度参数'!$E$23,1+MAX(0,A500-'难度参数'!$E$21)*'难度参数'!$E$22))*(36+5*7)/(36+7*(D500+1)/2)*E500,0))</x:f>
        <x:v>13029</x:v>
      </x:c>
      <x:c r="AP500" s="119" t="n">
        <x:f>IF(AN500=0,0,(AN500-IF(5=D500,1,0))*ROUND(AO500*VLOOKUP(INDEX('章节与怪物'!$E$31:$K$37,B500,5),'章节与怪物'!$A$41:$F$44,2,FALSE),0)+IF(5=D500,ROUND(AO500*'难度参数'!$E$28*'章节与怪物'!$E$17,0),0))</x:f>
        <x:v>756327</x:v>
      </x:c>
      <x:c r="AQ500" s="119" t="n">
        <x:f>IF(AN500=0,0,(AN500-IF(5=D500,1,0))*VLOOKUP(INDEX('章节与怪物'!$E$31:$K$37,B500,5),'章节与怪物'!$A$41:$F$44,4,FALSE)+IF(5=D500,'难度参数'!$E$30,0))</x:f>
        <x:v>1462</x:v>
      </x:c>
      <x:c r="AR500" s="119" t="n">
        <x:f>IF(6&gt;D500,0,MAX(2,MIN('难度参数'!$E$12,ROUND(('难度参数'!$E$18*POWER(A500,'难度参数'!$E$19)/D500*(0.85+0.3*(6-1)/MAX(1,D500-1))),0)+F500)))</x:f>
        <x:v>45</x:v>
      </x:c>
      <x:c r="AS500" s="119" t="n">
        <x:f>IF(6&gt;D500,0,ROUND(('难度参数'!$E$13*POWER(A500,'难度参数'!$E$20)*MIN('难度参数'!$E$23,1+MAX(0,A500-'难度参数'!$E$21)*'难度参数'!$E$22))*(36+6*7)/(36+7*(D500+1)/2)*E500,0))</x:f>
        <x:v>14313</x:v>
      </x:c>
      <x:c r="AT500" s="119" t="n">
        <x:f>IF(AR500=0,0,(AR500-IF(6=D500,1,0))*ROUND(AS500*VLOOKUP(INDEX('章节与怪物'!$E$31:$K$37,B500,6),'章节与怪物'!$A$41:$F$44,2,FALSE),0)+IF(6=D500,ROUND(AS500*'难度参数'!$E$28*'章节与怪物'!$E$17,0),0))</x:f>
        <x:v>463725</x:v>
      </x:c>
      <x:c r="AU500" s="119" t="n">
        <x:f>IF(AR500=0,0,(AR500-IF(6=D500,1,0))*VLOOKUP(INDEX('章节与怪物'!$E$31:$K$37,B500,6),'章节与怪物'!$A$41:$F$44,4,FALSE)+IF(6=D500,'难度参数'!$E$30,0))</x:f>
        <x:v>900</x:v>
      </x:c>
      <x:c r="AV500" s="119" t="n">
        <x:f>IF(7&gt;D500,0,MAX(2,MIN('难度参数'!$E$12,ROUND(('难度参数'!$E$18*POWER(A500,'难度参数'!$E$19)/D500*(0.85+0.3*(7-1)/MAX(1,D500-1))),0)+F500)))</x:f>
        <x:v>48</x:v>
      </x:c>
      <x:c r="AW500" s="119" t="n">
        <x:f>IF(7&gt;D500,0,ROUND(('难度参数'!$E$13*POWER(A500,'难度参数'!$E$20)*MIN('难度参数'!$E$23,1+MAX(0,A500-'难度参数'!$E$21)*'难度参数'!$E$22))*(36+7*7)/(36+7*(D500+1)/2)*E500,0))</x:f>
        <x:v>15598</x:v>
      </x:c>
      <x:c r="AX500" s="119" t="n">
        <x:f>IF(AV500=0,0,(AV500-IF(7=D500,1,0))*ROUND(AW500*VLOOKUP(INDEX('章节与怪物'!$E$31:$K$37,B500,7),'章节与怪物'!$A$41:$F$44,2,FALSE),0)+IF(7=D500,ROUND(AW500*'难度参数'!$E$28*'章节与怪物'!$E$17,0),0))</x:f>
        <x:v>1352365</x:v>
      </x:c>
      <x:c r="AY500" s="119" t="n">
        <x:f>IF(AV500=0,0,(AV500-IF(7=D500,1,0))*VLOOKUP(INDEX('章节与怪物'!$E$31:$K$37,B500,7),'章节与怪物'!$A$41:$F$44,4,FALSE)+IF(7=D500,'难度参数'!$E$30,0))</x:f>
        <x:v>1516</x:v>
      </x:c>
    </x:row>
    <x:row r="501" ht="23" customHeight="1">
      <x:c r="A501" s="119" t="n">
        <x:v>495</x:v>
      </x:c>
      <x:c r="B501" s="119" t="n">
        <x:f>MOD(INT((A501-1)/5),7)+1</x:f>
        <x:v>1</x:v>
      </x:c>
      <x:c r="C501" s="62" t="str">
        <x:f>INDEX('章节与怪物'!$B$31:$B$37,B501)</x:f>
        <x:v>冰雪荒原</x:v>
      </x:c>
      <x:c r="D501" s="119" t="n">
        <x:f>MIN('难度参数'!$E$8,MAX('难度参数'!$E$7,A501))</x:f>
        <x:v>7</x:v>
      </x:c>
      <x:c r="E501" s="106" t="n">
        <x:v>1</x:v>
      </x:c>
      <x:c r="F501" s="106" t="n">
        <x:v>0</x:v>
      </x:c>
      <x:c r="G501" s="106" t="n">
        <x:v>1</x:v>
      </x:c>
      <x:c r="H501" s="119" t="n">
        <x:f>SUM(X501,AB501,AF501,AJ501,AN501,AR501,AV501)</x:f>
        <x:v>288</x:v>
      </x:c>
      <x:c r="I501" s="119" t="n">
        <x:f>SUM(Z501,AD501,AH501,AL501,AP501,AT501,AX501)</x:f>
        <x:v>4306517</x:v>
      </x:c>
      <x:c r="J501" s="119" t="n">
        <x:f>ROUND(INDEX(X501:AY501,1,(D501-1)*4+2)*'难度参数'!$E$28*'章节与怪物'!$E$17,0)</x:f>
        <x:v>106216</x:v>
      </x:c>
      <x:c r="K501" s="119" t="n">
        <x:f>SUM(AA501,AE501,AI501,AM501,AQ501,AU501,AY501)</x:f>
        <x:v>7102</x:v>
      </x:c>
      <x:c r="L501" s="62" t="n">
        <x:f>H501*(ROUNDUP('难度参数'!$E$24/('难度参数'!$E$26*'难度参数'!$E$27),0)*'难度参数'!$E$26)/60</x:f>
        <x:v>3.8400000000000003</x:v>
      </x:c>
      <x:c r="M501" s="62" t="n">
        <x:f>L501+D501*('难度参数'!$E$49+'难度参数'!$E$50)/60</x:f>
        <x:v>5.006666666666667</x:v>
      </x:c>
      <x:c r="N501" s="119" t="n">
        <x:f>ROUNDDOWN(('经济参数'!$E$20+A501*'经济参数'!$E$21)*G501,0)</x:f>
        <x:v>10080</x:v>
      </x:c>
      <x:c r="O501" s="119" t="n">
        <x:f>ROUNDDOWN(MIN('经济参数'!$E$24,'经济参数'!$E$22+A501*'经济参数'!$E$23)*G501,0)</x:f>
        <x:v>0</x:v>
      </x:c>
      <x:c r="P501" s="119" t="n">
        <x:f>ROUNDDOWN((IF(A501&gt;='材料与任务'!$E$31,'材料与任务'!$E$32,IF(A501&gt;='材料与任务'!$E$25,'材料与任务'!$E$26,IF(A501&gt;='材料与任务'!$E$19,'材料与任务'!$E$20,IF(A501&gt;='材料与任务'!$E$13,'材料与任务'!$E$14,'材料与任务'!$E$8)))))*G501,0)</x:f>
        <x:v>6</x:v>
      </x:c>
      <x:c r="Q501" s="119" t="n">
        <x:f>ROUNDDOWN((IF(A501&gt;='材料与任务'!$E$31,'材料与任务'!$E$33,IF(A501&gt;='材料与任务'!$E$25,'材料与任务'!$E$27,IF(A501&gt;='材料与任务'!$E$19,'材料与任务'!$E$21,IF(A501&gt;='材料与任务'!$E$13,'材料与任务'!$E$15,'材料与任务'!$E$9)))))*G501,0)</x:f>
        <x:v>3</x:v>
      </x:c>
      <x:c r="R501" s="110" t="n">
        <x:f>'装备掉落'!$B$38</x:f>
        <x:v>0.6872058758851213</x:v>
      </x:c>
      <x:c r="S501" s="119" t="n">
        <x:f>MAX(IF(VLOOKUP(A501,'装备掉落'!$A$29:$H$34,2,TRUE)&gt;0,1,0),IF(VLOOKUP(A501,'装备掉落'!$A$29:$H$34,3,TRUE)&gt;0,2,0),IF(VLOOKUP(A501,'装备掉落'!$A$29:$H$34,4,TRUE)&gt;0,3,0),IF(VLOOKUP(A501,'装备掉落'!$A$29:$H$34,5,TRUE)&gt;0,4,0),IF(VLOOKUP(A501,'装备掉落'!$A$29:$H$34,6,TRUE)&gt;0,5,0),IF(VLOOKUP(A501,'装备掉落'!$A$29:$H$34,7,TRUE)&gt;0,6,0),IF(VLOOKUP(A501,'装备掉落'!$A$29:$H$34,8,TRUE)&gt;0,7,0))</x:f>
        <x:v>7</x:v>
      </x:c>
      <x:c r="T501" s="119" t="n">
        <x:f>MIN(7,S501+'经济参数'!$E$70)</x:f>
        <x:v>7</x:v>
      </x:c>
      <x:c r="U501" s="119" t="n">
        <x:f>MIN(7,S501+'经济参数'!$E$71)</x:f>
        <x:v>7</x:v>
      </x:c>
      <x:c r="V501" s="119" t="n">
        <x:f>IF(H501&gt;=('难度参数'!$E$52),1,0)+IF(H501&gt;=('难度参数'!$E$52+'难度参数'!$E$53),1,0)+IF(H501&gt;=('难度参数'!$E$52+'难度参数'!$E$53+'难度参数'!$E$54),1,0)+IF(H501&gt;=('难度参数'!$E$52+'难度参数'!$E$53+'难度参数'!$E$54+'难度参数'!$E$55),1,0)+IF(H501&gt;=('难度参数'!$E$52+'难度参数'!$E$53+'难度参数'!$E$54+'难度参数'!$E$55+'难度参数'!$E$56),1,0)+IF(H501&gt;=('难度参数'!$E$52+'难度参数'!$E$53+'难度参数'!$E$54+'难度参数'!$E$55+'难度参数'!$E$56+'难度参数'!$E$57),1,0)</x:f>
        <x:v>6</x:v>
      </x:c>
      <x:c r="W501" s="62" t="str">
        <x:f>IF(L501&gt;'难度参数'!$E$51,"仅出怪已超目标","还需实测")</x:f>
        <x:v>仅出怪已超目标</x:v>
      </x:c>
      <x:c r="X501" s="119" t="n">
        <x:f>IF(1&gt;D501,0,MAX(2,MIN('难度参数'!$E$12,ROUND(('难度参数'!$E$18*POWER(A501,'难度参数'!$E$19)/D501*(0.85+0.3*(1-1)/MAX(1,D501-1))),0)+F501)))</x:f>
        <x:v>35</x:v>
      </x:c>
      <x:c r="Y501" s="119" t="n">
        <x:f>IF(1&gt;D501,0,ROUND(('难度参数'!$E$13*POWER(A501,'难度参数'!$E$20)*MIN('难度参数'!$E$23,1+MAX(0,A501-'难度参数'!$E$21)*'难度参数'!$E$22))*(36+1*7)/(36+7*(D501+1)/2)*E501,0))</x:f>
        <x:v>7902</x:v>
      </x:c>
      <x:c r="Z501" s="119" t="n">
        <x:f>IF(X501=0,0,(X501-IF(1=D501,1,0))*ROUND(Y501*VLOOKUP(INDEX('章节与怪物'!$E$31:$K$37,B501,1),'章节与怪物'!$A$41:$F$44,2,FALSE),0)+IF(1=D501,ROUND(Y501*'难度参数'!$E$28*'章节与怪物'!$E$17,0),0))</x:f>
        <x:v>276570</x:v>
      </x:c>
      <x:c r="AA501" s="119" t="n">
        <x:f>IF(X501=0,0,(X501-IF(1=D501,1,0))*VLOOKUP(INDEX('章节与怪物'!$E$31:$K$37,B501,1),'章节与怪物'!$A$41:$F$44,4,FALSE)+IF(1=D501,'难度参数'!$E$30,0))</x:f>
        <x:v>630</x:v>
      </x:c>
      <x:c r="AB501" s="119" t="n">
        <x:f>IF(2&gt;D501,0,MAX(2,MIN('难度参数'!$E$12,ROUND(('难度参数'!$E$18*POWER(A501,'难度参数'!$E$19)/D501*(0.85+0.3*(2-1)/MAX(1,D501-1))),0)+F501)))</x:f>
        <x:v>37</x:v>
      </x:c>
      <x:c r="AC501" s="119" t="n">
        <x:f>IF(2&gt;D501,0,ROUND(('难度参数'!$E$13*POWER(A501,'难度参数'!$E$20)*MIN('难度参数'!$E$23,1+MAX(0,A501-'难度参数'!$E$21)*'难度参数'!$E$22))*(36+2*7)/(36+7*(D501+1)/2)*E501,0))</x:f>
        <x:v>9188</x:v>
      </x:c>
      <x:c r="AD501" s="119" t="n">
        <x:f>IF(AB501=0,0,(AB501-IF(2=D501,1,0))*ROUND(AC501*VLOOKUP(INDEX('章节与怪物'!$E$31:$K$37,B501,2),'章节与怪物'!$A$41:$F$44,2,FALSE),0)+IF(2=D501,ROUND(AC501*'难度参数'!$E$28*'章节与怪物'!$E$17,0),0))</x:f>
        <x:v>339956</x:v>
      </x:c>
      <x:c r="AE501" s="119" t="n">
        <x:f>IF(AB501=0,0,(AB501-IF(2=D501,1,0))*VLOOKUP(INDEX('章节与怪物'!$E$31:$K$37,B501,2),'章节与怪物'!$A$41:$F$44,4,FALSE)+IF(2=D501,'难度参数'!$E$30,0))</x:f>
        <x:v>666</x:v>
      </x:c>
      <x:c r="AF501" s="119" t="n">
        <x:f>IF(3&gt;D501,0,MAX(2,MIN('难度参数'!$E$12,ROUND(('难度参数'!$E$18*POWER(A501,'难度参数'!$E$19)/D501*(0.85+0.3*(3-1)/MAX(1,D501-1))),0)+F501)))</x:f>
        <x:v>39</x:v>
      </x:c>
      <x:c r="AG501" s="119" t="n">
        <x:f>IF(3&gt;D501,0,ROUND(('难度参数'!$E$13*POWER(A501,'难度参数'!$E$20)*MIN('难度参数'!$E$23,1+MAX(0,A501-'难度参数'!$E$21)*'难度参数'!$E$22))*(36+3*7)/(36+7*(D501+1)/2)*E501,0))</x:f>
        <x:v>10475</x:v>
      </x:c>
      <x:c r="AH501" s="119" t="n">
        <x:f>IF(AF501=0,0,(AF501-IF(3=D501,1,0))*ROUND(AG501*VLOOKUP(INDEX('章节与怪物'!$E$31:$K$37,B501,3),'章节与怪物'!$A$41:$F$44,2,FALSE),0)+IF(3=D501,ROUND(AG501*'难度参数'!$E$28*'章节与怪物'!$E$17,0),0))</x:f>
        <x:v>294138</x:v>
      </x:c>
      <x:c r="AI501" s="119" t="n">
        <x:f>IF(AF501=0,0,(AF501-IF(3=D501,1,0))*VLOOKUP(INDEX('章节与怪物'!$E$31:$K$37,B501,3),'章节与怪物'!$A$41:$F$44,4,FALSE)+IF(3=D501,'难度参数'!$E$30,0))</x:f>
        <x:v>780</x:v>
      </x:c>
      <x:c r="AJ501" s="119" t="n">
        <x:f>IF(4&gt;D501,0,MAX(2,MIN('难度参数'!$E$12,ROUND(('难度参数'!$E$18*POWER(A501,'难度参数'!$E$19)/D501*(0.85+0.3*(4-1)/MAX(1,D501-1))),0)+F501)))</x:f>
        <x:v>41</x:v>
      </x:c>
      <x:c r="AK501" s="119" t="n">
        <x:f>IF(4&gt;D501,0,ROUND(('难度参数'!$E$13*POWER(A501,'难度参数'!$E$20)*MIN('难度参数'!$E$23,1+MAX(0,A501-'难度参数'!$E$21)*'难度参数'!$E$22))*(36+4*7)/(36+7*(D501+1)/2)*E501,0))</x:f>
        <x:v>11761</x:v>
      </x:c>
      <x:c r="AL501" s="119" t="n">
        <x:f>IF(AJ501=0,0,(AJ501-IF(4=D501,1,0))*ROUND(AK501*VLOOKUP(INDEX('章节与怪物'!$E$31:$K$37,B501,4),'章节与怪物'!$A$41:$F$44,2,FALSE),0)+IF(4=D501,ROUND(AK501*'难度参数'!$E$28*'章节与怪物'!$E$17,0),0))</x:f>
        <x:v>819754</x:v>
      </x:c>
      <x:c r="AM501" s="119" t="n">
        <x:f>IF(AJ501=0,0,(AJ501-IF(4=D501,1,0))*VLOOKUP(INDEX('章节与怪物'!$E$31:$K$37,B501,4),'章节与怪物'!$A$41:$F$44,4,FALSE)+IF(4=D501,'难度参数'!$E$30,0))</x:f>
        <x:v>1148</x:v>
      </x:c>
      <x:c r="AN501" s="119" t="n">
        <x:f>IF(5&gt;D501,0,MAX(2,MIN('难度参数'!$E$12,ROUND(('难度参数'!$E$18*POWER(A501,'难度参数'!$E$19)/D501*(0.85+0.3*(5-1)/MAX(1,D501-1))),0)+F501)))</x:f>
        <x:v>43</x:v>
      </x:c>
      <x:c r="AO501" s="119" t="n">
        <x:f>IF(5&gt;D501,0,ROUND(('难度参数'!$E$13*POWER(A501,'难度参数'!$E$20)*MIN('难度参数'!$E$23,1+MAX(0,A501-'难度参数'!$E$21)*'难度参数'!$E$22))*(36+5*7)/(36+7*(D501+1)/2)*E501,0))</x:f>
        <x:v>13048</x:v>
      </x:c>
      <x:c r="AP501" s="119" t="n">
        <x:f>IF(AN501=0,0,(AN501-IF(5=D501,1,0))*ROUND(AO501*VLOOKUP(INDEX('章节与怪物'!$E$31:$K$37,B501,5),'章节与怪物'!$A$41:$F$44,2,FALSE),0)+IF(5=D501,ROUND(AO501*'难度参数'!$E$28*'章节与怪物'!$E$17,0),0))</x:f>
        <x:v>757445</x:v>
      </x:c>
      <x:c r="AQ501" s="119" t="n">
        <x:f>IF(AN501=0,0,(AN501-IF(5=D501,1,0))*VLOOKUP(INDEX('章节与怪物'!$E$31:$K$37,B501,5),'章节与怪物'!$A$41:$F$44,4,FALSE)+IF(5=D501,'难度参数'!$E$30,0))</x:f>
        <x:v>1462</x:v>
      </x:c>
      <x:c r="AR501" s="119" t="n">
        <x:f>IF(6&gt;D501,0,MAX(2,MIN('难度参数'!$E$12,ROUND(('难度参数'!$E$18*POWER(A501,'难度参数'!$E$19)/D501*(0.85+0.3*(6-1)/MAX(1,D501-1))),0)+F501)))</x:f>
        <x:v>45</x:v>
      </x:c>
      <x:c r="AS501" s="119" t="n">
        <x:f>IF(6&gt;D501,0,ROUND(('难度参数'!$E$13*POWER(A501,'难度参数'!$E$20)*MIN('难度参数'!$E$23,1+MAX(0,A501-'难度参数'!$E$21)*'难度参数'!$E$22))*(36+6*7)/(36+7*(D501+1)/2)*E501,0))</x:f>
        <x:v>14334</x:v>
      </x:c>
      <x:c r="AT501" s="119" t="n">
        <x:f>IF(AR501=0,0,(AR501-IF(6=D501,1,0))*ROUND(AS501*VLOOKUP(INDEX('章节与怪物'!$E$31:$K$37,B501,6),'章节与怪物'!$A$41:$F$44,2,FALSE),0)+IF(6=D501,ROUND(AS501*'难度参数'!$E$28*'章节与怪物'!$E$17,0),0))</x:f>
        <x:v>464400</x:v>
      </x:c>
      <x:c r="AU501" s="119" t="n">
        <x:f>IF(AR501=0,0,(AR501-IF(6=D501,1,0))*VLOOKUP(INDEX('章节与怪物'!$E$31:$K$37,B501,6),'章节与怪物'!$A$41:$F$44,4,FALSE)+IF(6=D501,'难度参数'!$E$30,0))</x:f>
        <x:v>900</x:v>
      </x:c>
      <x:c r="AV501" s="119" t="n">
        <x:f>IF(7&gt;D501,0,MAX(2,MIN('难度参数'!$E$12,ROUND(('难度参数'!$E$18*POWER(A501,'难度参数'!$E$19)/D501*(0.85+0.3*(7-1)/MAX(1,D501-1))),0)+F501)))</x:f>
        <x:v>48</x:v>
      </x:c>
      <x:c r="AW501" s="119" t="n">
        <x:f>IF(7&gt;D501,0,ROUND(('难度参数'!$E$13*POWER(A501,'难度参数'!$E$20)*MIN('难度参数'!$E$23,1+MAX(0,A501-'难度参数'!$E$21)*'难度参数'!$E$22))*(36+7*7)/(36+7*(D501+1)/2)*E501,0))</x:f>
        <x:v>15620</x:v>
      </x:c>
      <x:c r="AX501" s="119" t="n">
        <x:f>IF(AV501=0,0,(AV501-IF(7=D501,1,0))*ROUND(AW501*VLOOKUP(INDEX('章节与怪物'!$E$31:$K$37,B501,7),'章节与怪物'!$A$41:$F$44,2,FALSE),0)+IF(7=D501,ROUND(AW501*'难度参数'!$E$28*'章节与怪物'!$E$17,0),0))</x:f>
        <x:v>1354254</x:v>
      </x:c>
      <x:c r="AY501" s="119" t="n">
        <x:f>IF(AV501=0,0,(AV501-IF(7=D501,1,0))*VLOOKUP(INDEX('章节与怪物'!$E$31:$K$37,B501,7),'章节与怪物'!$A$41:$F$44,4,FALSE)+IF(7=D501,'难度参数'!$E$30,0))</x:f>
        <x:v>1516</x:v>
      </x:c>
    </x:row>
    <x:row r="502" ht="23" customHeight="1">
      <x:c r="A502" s="119" t="n">
        <x:v>496</x:v>
      </x:c>
      <x:c r="B502" s="119" t="n">
        <x:f>MOD(INT((A502-1)/5),7)+1</x:f>
        <x:v>2</x:v>
      </x:c>
      <x:c r="C502" s="62" t="str">
        <x:f>INDEX('章节与怪物'!$B$31:$B$37,B502)</x:f>
        <x:v>黄沙要塞</x:v>
      </x:c>
      <x:c r="D502" s="119" t="n">
        <x:f>MIN('难度参数'!$E$8,MAX('难度参数'!$E$7,A502))</x:f>
        <x:v>7</x:v>
      </x:c>
      <x:c r="E502" s="106" t="n">
        <x:v>1</x:v>
      </x:c>
      <x:c r="F502" s="106" t="n">
        <x:v>0</x:v>
      </x:c>
      <x:c r="G502" s="106" t="n">
        <x:v>1</x:v>
      </x:c>
      <x:c r="H502" s="119" t="n">
        <x:f>SUM(X502,AB502,AF502,AJ502,AN502,AR502,AV502)</x:f>
        <x:v>289</x:v>
      </x:c>
      <x:c r="I502" s="119" t="n">
        <x:f>SUM(Z502,AD502,AH502,AL502,AP502,AT502,AX502)</x:f>
        <x:v>4670631</x:v>
      </x:c>
      <x:c r="J502" s="119" t="n">
        <x:f>ROUND(INDEX(X502:AY502,1,(D502-1)*4+2)*'难度参数'!$E$28*'章节与怪物'!$E$17,0)</x:f>
        <x:v>106372</x:v>
      </x:c>
      <x:c r="K502" s="119" t="n">
        <x:f>SUM(AA502,AE502,AI502,AM502,AQ502,AU502,AY502)</x:f>
        <x:v>7712</x:v>
      </x:c>
      <x:c r="L502" s="62" t="n">
        <x:f>H502*(ROUNDUP('难度参数'!$E$24/('难度参数'!$E$26*'难度参数'!$E$27),0)*'难度参数'!$E$26)/60</x:f>
        <x:v>3.8533333333333335</x:v>
      </x:c>
      <x:c r="M502" s="62" t="n">
        <x:f>L502+D502*('难度参数'!$E$49+'难度参数'!$E$50)/60</x:f>
        <x:v>5.0200000000000005</x:v>
      </x:c>
      <x:c r="N502" s="119" t="n">
        <x:f>ROUNDDOWN(('经济参数'!$E$20+A502*'经济参数'!$E$21)*G502,0)</x:f>
        <x:v>10100</x:v>
      </x:c>
      <x:c r="O502" s="119" t="n">
        <x:f>ROUNDDOWN(MIN('经济参数'!$E$24,'经济参数'!$E$22+A502*'经济参数'!$E$23)*G502,0)</x:f>
        <x:v>0</x:v>
      </x:c>
      <x:c r="P502" s="119" t="n">
        <x:f>ROUNDDOWN((IF(A502&gt;='材料与任务'!$E$31,'材料与任务'!$E$32,IF(A502&gt;='材料与任务'!$E$25,'材料与任务'!$E$26,IF(A502&gt;='材料与任务'!$E$19,'材料与任务'!$E$20,IF(A502&gt;='材料与任务'!$E$13,'材料与任务'!$E$14,'材料与任务'!$E$8)))))*G502,0)</x:f>
        <x:v>6</x:v>
      </x:c>
      <x:c r="Q502" s="119" t="n">
        <x:f>ROUNDDOWN((IF(A502&gt;='材料与任务'!$E$31,'材料与任务'!$E$33,IF(A502&gt;='材料与任务'!$E$25,'材料与任务'!$E$27,IF(A502&gt;='材料与任务'!$E$19,'材料与任务'!$E$21,IF(A502&gt;='材料与任务'!$E$13,'材料与任务'!$E$15,'材料与任务'!$E$9)))))*G502,0)</x:f>
        <x:v>3</x:v>
      </x:c>
      <x:c r="R502" s="110" t="n">
        <x:f>'装备掉落'!$B$38</x:f>
        <x:v>0.6872058758851213</x:v>
      </x:c>
      <x:c r="S502" s="119" t="n">
        <x:f>MAX(IF(VLOOKUP(A502,'装备掉落'!$A$29:$H$34,2,TRUE)&gt;0,1,0),IF(VLOOKUP(A502,'装备掉落'!$A$29:$H$34,3,TRUE)&gt;0,2,0),IF(VLOOKUP(A502,'装备掉落'!$A$29:$H$34,4,TRUE)&gt;0,3,0),IF(VLOOKUP(A502,'装备掉落'!$A$29:$H$34,5,TRUE)&gt;0,4,0),IF(VLOOKUP(A502,'装备掉落'!$A$29:$H$34,6,TRUE)&gt;0,5,0),IF(VLOOKUP(A502,'装备掉落'!$A$29:$H$34,7,TRUE)&gt;0,6,0),IF(VLOOKUP(A502,'装备掉落'!$A$29:$H$34,8,TRUE)&gt;0,7,0))</x:f>
        <x:v>7</x:v>
      </x:c>
      <x:c r="T502" s="119" t="n">
        <x:f>MIN(7,S502+'经济参数'!$E$70)</x:f>
        <x:v>7</x:v>
      </x:c>
      <x:c r="U502" s="119" t="n">
        <x:f>MIN(7,S502+'经济参数'!$E$71)</x:f>
        <x:v>7</x:v>
      </x:c>
      <x:c r="V502" s="119" t="n">
        <x:f>IF(H502&gt;=('难度参数'!$E$52),1,0)+IF(H502&gt;=('难度参数'!$E$52+'难度参数'!$E$53),1,0)+IF(H502&gt;=('难度参数'!$E$52+'难度参数'!$E$53+'难度参数'!$E$54),1,0)+IF(H502&gt;=('难度参数'!$E$52+'难度参数'!$E$53+'难度参数'!$E$54+'难度参数'!$E$55),1,0)+IF(H502&gt;=('难度参数'!$E$52+'难度参数'!$E$53+'难度参数'!$E$54+'难度参数'!$E$55+'难度参数'!$E$56),1,0)+IF(H502&gt;=('难度参数'!$E$52+'难度参数'!$E$53+'难度参数'!$E$54+'难度参数'!$E$55+'难度参数'!$E$56+'难度参数'!$E$57),1,0)</x:f>
        <x:v>6</x:v>
      </x:c>
      <x:c r="W502" s="62" t="str">
        <x:f>IF(L502&gt;'难度参数'!$E$51,"仅出怪已超目标","还需实测")</x:f>
        <x:v>仅出怪已超目标</x:v>
      </x:c>
      <x:c r="X502" s="119" t="n">
        <x:f>IF(1&gt;D502,0,MAX(2,MIN('难度参数'!$E$12,ROUND(('难度参数'!$E$18*POWER(A502,'难度参数'!$E$19)/D502*(0.85+0.3*(1-1)/MAX(1,D502-1))),0)+F502)))</x:f>
        <x:v>35</x:v>
      </x:c>
      <x:c r="Y502" s="119" t="n">
        <x:f>IF(1&gt;D502,0,ROUND(('难度参数'!$E$13*POWER(A502,'难度参数'!$E$20)*MIN('难度参数'!$E$23,1+MAX(0,A502-'难度参数'!$E$21)*'难度参数'!$E$22))*(36+1*7)/(36+7*(D502+1)/2)*E502,0))</x:f>
        <x:v>7914</x:v>
      </x:c>
      <x:c r="Z502" s="119" t="n">
        <x:f>IF(X502=0,0,(X502-IF(1=D502,1,0))*ROUND(Y502*VLOOKUP(INDEX('章节与怪物'!$E$31:$K$37,B502,1),'章节与怪物'!$A$41:$F$44,2,FALSE),0)+IF(1=D502,ROUND(Y502*'难度参数'!$E$28*'章节与怪物'!$E$17,0),0))</x:f>
        <x:v>199430</x:v>
      </x:c>
      <x:c r="AA502" s="119" t="n">
        <x:f>IF(X502=0,0,(X502-IF(1=D502,1,0))*VLOOKUP(INDEX('章节与怪物'!$E$31:$K$37,B502,1),'章节与怪物'!$A$41:$F$44,4,FALSE)+IF(1=D502,'难度参数'!$E$30,0))</x:f>
        <x:v>700</x:v>
      </x:c>
      <x:c r="AB502" s="119" t="n">
        <x:f>IF(2&gt;D502,0,MAX(2,MIN('难度参数'!$E$12,ROUND(('难度参数'!$E$18*POWER(A502,'难度参数'!$E$19)/D502*(0.85+0.3*(2-1)/MAX(1,D502-1))),0)+F502)))</x:f>
        <x:v>37</x:v>
      </x:c>
      <x:c r="AC502" s="119" t="n">
        <x:f>IF(2&gt;D502,0,ROUND(('难度参数'!$E$13*POWER(A502,'难度参数'!$E$20)*MIN('难度参数'!$E$23,1+MAX(0,A502-'难度参数'!$E$21)*'难度参数'!$E$22))*(36+2*7)/(36+7*(D502+1)/2)*E502,0))</x:f>
        <x:v>9202</x:v>
      </x:c>
      <x:c r="AD502" s="119" t="n">
        <x:f>IF(AB502=0,0,(AB502-IF(2=D502,1,0))*ROUND(AC502*VLOOKUP(INDEX('章节与怪物'!$E$31:$K$37,B502,2),'章节与怪物'!$A$41:$F$44,2,FALSE),0)+IF(2=D502,ROUND(AC502*'难度参数'!$E$28*'章节与怪物'!$E$17,0),0))</x:f>
        <x:v>340474</x:v>
      </x:c>
      <x:c r="AE502" s="119" t="n">
        <x:f>IF(AB502=0,0,(AB502-IF(2=D502,1,0))*VLOOKUP(INDEX('章节与怪物'!$E$31:$K$37,B502,2),'章节与怪物'!$A$41:$F$44,4,FALSE)+IF(2=D502,'难度参数'!$E$30,0))</x:f>
        <x:v>666</x:v>
      </x:c>
      <x:c r="AF502" s="119" t="n">
        <x:f>IF(3&gt;D502,0,MAX(2,MIN('难度参数'!$E$12,ROUND(('难度参数'!$E$18*POWER(A502,'难度参数'!$E$19)/D502*(0.85+0.3*(3-1)/MAX(1,D502-1))),0)+F502)))</x:f>
        <x:v>39</x:v>
      </x:c>
      <x:c r="AG502" s="119" t="n">
        <x:f>IF(3&gt;D502,0,ROUND(('难度参数'!$E$13*POWER(A502,'难度参数'!$E$20)*MIN('难度参数'!$E$23,1+MAX(0,A502-'难度参数'!$E$21)*'难度参数'!$E$22))*(36+3*7)/(36+7*(D502+1)/2)*E502,0))</x:f>
        <x:v>10490</x:v>
      </x:c>
      <x:c r="AH502" s="119" t="n">
        <x:f>IF(AF502=0,0,(AF502-IF(3=D502,1,0))*ROUND(AG502*VLOOKUP(INDEX('章节与怪物'!$E$31:$K$37,B502,3),'章节与怪物'!$A$41:$F$44,2,FALSE),0)+IF(3=D502,ROUND(AG502*'难度参数'!$E$28*'章节与怪物'!$E$17,0),0))</x:f>
        <x:v>695487</x:v>
      </x:c>
      <x:c r="AI502" s="119" t="n">
        <x:f>IF(AF502=0,0,(AF502-IF(3=D502,1,0))*VLOOKUP(INDEX('章节与怪物'!$E$31:$K$37,B502,3),'章节与怪物'!$A$41:$F$44,4,FALSE)+IF(3=D502,'难度参数'!$E$30,0))</x:f>
        <x:v>1092</x:v>
      </x:c>
      <x:c r="AJ502" s="119" t="n">
        <x:f>IF(4&gt;D502,0,MAX(2,MIN('难度参数'!$E$12,ROUND(('难度参数'!$E$18*POWER(A502,'难度参数'!$E$19)/D502*(0.85+0.3*(4-1)/MAX(1,D502-1))),0)+F502)))</x:f>
        <x:v>41</x:v>
      </x:c>
      <x:c r="AK502" s="119" t="n">
        <x:f>IF(4&gt;D502,0,ROUND(('难度参数'!$E$13*POWER(A502,'难度参数'!$E$20)*MIN('难度参数'!$E$23,1+MAX(0,A502-'难度参数'!$E$21)*'难度参数'!$E$22))*(36+4*7)/(36+7*(D502+1)/2)*E502,0))</x:f>
        <x:v>11778</x:v>
      </x:c>
      <x:c r="AL502" s="119" t="n">
        <x:f>IF(AJ502=0,0,(AJ502-IF(4=D502,1,0))*ROUND(AK502*VLOOKUP(INDEX('章节与怪物'!$E$31:$K$37,B502,4),'章节与怪物'!$A$41:$F$44,2,FALSE),0)+IF(4=D502,ROUND(AK502*'难度参数'!$E$28*'章节与怪物'!$E$17,0),0))</x:f>
        <x:v>651900</x:v>
      </x:c>
      <x:c r="AM502" s="119" t="n">
        <x:f>IF(AJ502=0,0,(AJ502-IF(4=D502,1,0))*VLOOKUP(INDEX('章节与怪物'!$E$31:$K$37,B502,4),'章节与怪物'!$A$41:$F$44,4,FALSE)+IF(4=D502,'难度参数'!$E$30,0))</x:f>
        <x:v>1394</x:v>
      </x:c>
      <x:c r="AN502" s="119" t="n">
        <x:f>IF(5&gt;D502,0,MAX(2,MIN('难度参数'!$E$12,ROUND(('难度参数'!$E$18*POWER(A502,'难度参数'!$E$19)/D502*(0.85+0.3*(5-1)/MAX(1,D502-1))),0)+F502)))</x:f>
        <x:v>43</x:v>
      </x:c>
      <x:c r="AO502" s="119" t="n">
        <x:f>IF(5&gt;D502,0,ROUND(('难度参数'!$E$13*POWER(A502,'难度参数'!$E$20)*MIN('难度参数'!$E$23,1+MAX(0,A502-'难度参数'!$E$21)*'难度参数'!$E$22))*(36+5*7)/(36+7*(D502+1)/2)*E502,0))</x:f>
        <x:v>13066</x:v>
      </x:c>
      <x:c r="AP502" s="119" t="n">
        <x:f>IF(AN502=0,0,(AN502-IF(5=D502,1,0))*ROUND(AO502*VLOOKUP(INDEX('章节与怪物'!$E$31:$K$37,B502,5),'章节与怪物'!$A$41:$F$44,2,FALSE),0)+IF(5=D502,ROUND(AO502*'难度参数'!$E$28*'章节与怪物'!$E$17,0),0))</x:f>
        <x:v>561838</x:v>
      </x:c>
      <x:c r="AQ502" s="119" t="n">
        <x:f>IF(AN502=0,0,(AN502-IF(5=D502,1,0))*VLOOKUP(INDEX('章节与怪物'!$E$31:$K$37,B502,5),'章节与怪物'!$A$41:$F$44,4,FALSE)+IF(5=D502,'难度参数'!$E$30,0))</x:f>
        <x:v>774</x:v>
      </x:c>
      <x:c r="AR502" s="119" t="n">
        <x:f>IF(6&gt;D502,0,MAX(2,MIN('难度参数'!$E$12,ROUND(('难度参数'!$E$18*POWER(A502,'难度参数'!$E$19)/D502*(0.85+0.3*(6-1)/MAX(1,D502-1))),0)+F502)))</x:f>
        <x:v>46</x:v>
      </x:c>
      <x:c r="AS502" s="119" t="n">
        <x:f>IF(6&gt;D502,0,ROUND(('难度参数'!$E$13*POWER(A502,'难度参数'!$E$20)*MIN('难度参数'!$E$23,1+MAX(0,A502-'难度参数'!$E$21)*'难度参数'!$E$22))*(36+6*7)/(36+7*(D502+1)/2)*E502,0))</x:f>
        <x:v>14355</x:v>
      </x:c>
      <x:c r="AT502" s="119" t="n">
        <x:f>IF(AR502=0,0,(AR502-IF(6=D502,1,0))*ROUND(AS502*VLOOKUP(INDEX('章节与怪物'!$E$31:$K$37,B502,6),'章节与怪物'!$A$41:$F$44,2,FALSE),0)+IF(6=D502,ROUND(AS502*'难度参数'!$E$28*'章节与怪物'!$E$17,0),0))</x:f>
        <x:v>1122584</x:v>
      </x:c>
      <x:c r="AU502" s="119" t="n">
        <x:f>IF(AR502=0,0,(AR502-IF(6=D502,1,0))*VLOOKUP(INDEX('章节与怪物'!$E$31:$K$37,B502,6),'章节与怪物'!$A$41:$F$44,4,FALSE)+IF(6=D502,'难度参数'!$E$30,0))</x:f>
        <x:v>1288</x:v>
      </x:c>
      <x:c r="AV502" s="119" t="n">
        <x:f>IF(7&gt;D502,0,MAX(2,MIN('难度参数'!$E$12,ROUND(('难度参数'!$E$18*POWER(A502,'难度参数'!$E$19)/D502*(0.85+0.3*(7-1)/MAX(1,D502-1))),0)+F502)))</x:f>
        <x:v>48</x:v>
      </x:c>
      <x:c r="AW502" s="119" t="n">
        <x:f>IF(7&gt;D502,0,ROUND(('难度参数'!$E$13*POWER(A502,'难度参数'!$E$20)*MIN('难度参数'!$E$23,1+MAX(0,A502-'难度参数'!$E$21)*'难度参数'!$E$22))*(36+7*7)/(36+7*(D502+1)/2)*E502,0))</x:f>
        <x:v>15643</x:v>
      </x:c>
      <x:c r="AX502" s="119" t="n">
        <x:f>IF(AV502=0,0,(AV502-IF(7=D502,1,0))*ROUND(AW502*VLOOKUP(INDEX('章节与怪物'!$E$31:$K$37,B502,7),'章节与怪物'!$A$41:$F$44,2,FALSE),0)+IF(7=D502,ROUND(AW502*'难度参数'!$E$28*'章节与怪物'!$E$17,0),0))</x:f>
        <x:v>1098918</x:v>
      </x:c>
      <x:c r="AY502" s="119" t="n">
        <x:f>IF(AV502=0,0,(AV502-IF(7=D502,1,0))*VLOOKUP(INDEX('章节与怪物'!$E$31:$K$37,B502,7),'章节与怪物'!$A$41:$F$44,4,FALSE)+IF(7=D502,'难度参数'!$E$30,0))</x:f>
        <x:v>1798</x:v>
      </x:c>
    </x:row>
    <x:row r="503" ht="23" customHeight="1">
      <x:c r="A503" s="119" t="n">
        <x:v>497</x:v>
      </x:c>
      <x:c r="B503" s="119" t="n">
        <x:f>MOD(INT((A503-1)/5),7)+1</x:f>
        <x:v>2</x:v>
      </x:c>
      <x:c r="C503" s="62" t="str">
        <x:f>INDEX('章节与怪物'!$B$31:$B$37,B503)</x:f>
        <x:v>黄沙要塞</x:v>
      </x:c>
      <x:c r="D503" s="119" t="n">
        <x:f>MIN('难度参数'!$E$8,MAX('难度参数'!$E$7,A503))</x:f>
        <x:v>7</x:v>
      </x:c>
      <x:c r="E503" s="106" t="n">
        <x:v>1</x:v>
      </x:c>
      <x:c r="F503" s="106" t="n">
        <x:v>0</x:v>
      </x:c>
      <x:c r="G503" s="106" t="n">
        <x:v>1</x:v>
      </x:c>
      <x:c r="H503" s="119" t="n">
        <x:f>SUM(X503,AB503,AF503,AJ503,AN503,AR503,AV503)</x:f>
        <x:v>289</x:v>
      </x:c>
      <x:c r="I503" s="119" t="n">
        <x:f>SUM(Z503,AD503,AH503,AL503,AP503,AT503,AX503)</x:f>
        <x:v>4677390</x:v>
      </x:c>
      <x:c r="J503" s="119" t="n">
        <x:f>ROUND(INDEX(X503:AY503,1,(D503-1)*4+2)*'难度参数'!$E$28*'章节与怪物'!$E$17,0)</x:f>
        <x:v>106529</x:v>
      </x:c>
      <x:c r="K503" s="119" t="n">
        <x:f>SUM(AA503,AE503,AI503,AM503,AQ503,AU503,AY503)</x:f>
        <x:v>7712</x:v>
      </x:c>
      <x:c r="L503" s="62" t="n">
        <x:f>H503*(ROUNDUP('难度参数'!$E$24/('难度参数'!$E$26*'难度参数'!$E$27),0)*'难度参数'!$E$26)/60</x:f>
        <x:v>3.8533333333333335</x:v>
      </x:c>
      <x:c r="M503" s="62" t="n">
        <x:f>L503+D503*('难度参数'!$E$49+'难度参数'!$E$50)/60</x:f>
        <x:v>5.0200000000000005</x:v>
      </x:c>
      <x:c r="N503" s="119" t="n">
        <x:f>ROUNDDOWN(('经济参数'!$E$20+A503*'经济参数'!$E$21)*G503,0)</x:f>
        <x:v>10120</x:v>
      </x:c>
      <x:c r="O503" s="119" t="n">
        <x:f>ROUNDDOWN(MIN('经济参数'!$E$24,'经济参数'!$E$22+A503*'经济参数'!$E$23)*G503,0)</x:f>
        <x:v>0</x:v>
      </x:c>
      <x:c r="P503" s="119" t="n">
        <x:f>ROUNDDOWN((IF(A503&gt;='材料与任务'!$E$31,'材料与任务'!$E$32,IF(A503&gt;='材料与任务'!$E$25,'材料与任务'!$E$26,IF(A503&gt;='材料与任务'!$E$19,'材料与任务'!$E$20,IF(A503&gt;='材料与任务'!$E$13,'材料与任务'!$E$14,'材料与任务'!$E$8)))))*G503,0)</x:f>
        <x:v>6</x:v>
      </x:c>
      <x:c r="Q503" s="119" t="n">
        <x:f>ROUNDDOWN((IF(A503&gt;='材料与任务'!$E$31,'材料与任务'!$E$33,IF(A503&gt;='材料与任务'!$E$25,'材料与任务'!$E$27,IF(A503&gt;='材料与任务'!$E$19,'材料与任务'!$E$21,IF(A503&gt;='材料与任务'!$E$13,'材料与任务'!$E$15,'材料与任务'!$E$9)))))*G503,0)</x:f>
        <x:v>3</x:v>
      </x:c>
      <x:c r="R503" s="110" t="n">
        <x:f>'装备掉落'!$B$38</x:f>
        <x:v>0.6872058758851213</x:v>
      </x:c>
      <x:c r="S503" s="119" t="n">
        <x:f>MAX(IF(VLOOKUP(A503,'装备掉落'!$A$29:$H$34,2,TRUE)&gt;0,1,0),IF(VLOOKUP(A503,'装备掉落'!$A$29:$H$34,3,TRUE)&gt;0,2,0),IF(VLOOKUP(A503,'装备掉落'!$A$29:$H$34,4,TRUE)&gt;0,3,0),IF(VLOOKUP(A503,'装备掉落'!$A$29:$H$34,5,TRUE)&gt;0,4,0),IF(VLOOKUP(A503,'装备掉落'!$A$29:$H$34,6,TRUE)&gt;0,5,0),IF(VLOOKUP(A503,'装备掉落'!$A$29:$H$34,7,TRUE)&gt;0,6,0),IF(VLOOKUP(A503,'装备掉落'!$A$29:$H$34,8,TRUE)&gt;0,7,0))</x:f>
        <x:v>7</x:v>
      </x:c>
      <x:c r="T503" s="119" t="n">
        <x:f>MIN(7,S503+'经济参数'!$E$70)</x:f>
        <x:v>7</x:v>
      </x:c>
      <x:c r="U503" s="119" t="n">
        <x:f>MIN(7,S503+'经济参数'!$E$71)</x:f>
        <x:v>7</x:v>
      </x:c>
      <x:c r="V503" s="119" t="n">
        <x:f>IF(H503&gt;=('难度参数'!$E$52),1,0)+IF(H503&gt;=('难度参数'!$E$52+'难度参数'!$E$53),1,0)+IF(H503&gt;=('难度参数'!$E$52+'难度参数'!$E$53+'难度参数'!$E$54),1,0)+IF(H503&gt;=('难度参数'!$E$52+'难度参数'!$E$53+'难度参数'!$E$54+'难度参数'!$E$55),1,0)+IF(H503&gt;=('难度参数'!$E$52+'难度参数'!$E$53+'难度参数'!$E$54+'难度参数'!$E$55+'难度参数'!$E$56),1,0)+IF(H503&gt;=('难度参数'!$E$52+'难度参数'!$E$53+'难度参数'!$E$54+'难度参数'!$E$55+'难度参数'!$E$56+'难度参数'!$E$57),1,0)</x:f>
        <x:v>6</x:v>
      </x:c>
      <x:c r="W503" s="62" t="str">
        <x:f>IF(L503&gt;'难度参数'!$E$51,"仅出怪已超目标","还需实测")</x:f>
        <x:v>仅出怪已超目标</x:v>
      </x:c>
      <x:c r="X503" s="119" t="n">
        <x:f>IF(1&gt;D503,0,MAX(2,MIN('难度参数'!$E$12,ROUND(('难度参数'!$E$18*POWER(A503,'难度参数'!$E$19)/D503*(0.85+0.3*(1-1)/MAX(1,D503-1))),0)+F503)))</x:f>
        <x:v>35</x:v>
      </x:c>
      <x:c r="Y503" s="119" t="n">
        <x:f>IF(1&gt;D503,0,ROUND(('难度参数'!$E$13*POWER(A503,'难度参数'!$E$20)*MIN('难度参数'!$E$23,1+MAX(0,A503-'难度参数'!$E$21)*'难度参数'!$E$22))*(36+1*7)/(36+7*(D503+1)/2)*E503,0))</x:f>
        <x:v>7925</x:v>
      </x:c>
      <x:c r="Z503" s="119" t="n">
        <x:f>IF(X503=0,0,(X503-IF(1=D503,1,0))*ROUND(Y503*VLOOKUP(INDEX('章节与怪物'!$E$31:$K$37,B503,1),'章节与怪物'!$A$41:$F$44,2,FALSE),0)+IF(1=D503,ROUND(Y503*'难度参数'!$E$28*'章节与怪物'!$E$17,0),0))</x:f>
        <x:v>199710</x:v>
      </x:c>
      <x:c r="AA503" s="119" t="n">
        <x:f>IF(X503=0,0,(X503-IF(1=D503,1,0))*VLOOKUP(INDEX('章节与怪物'!$E$31:$K$37,B503,1),'章节与怪物'!$A$41:$F$44,4,FALSE)+IF(1=D503,'难度参数'!$E$30,0))</x:f>
        <x:v>700</x:v>
      </x:c>
      <x:c r="AB503" s="119" t="n">
        <x:f>IF(2&gt;D503,0,MAX(2,MIN('难度参数'!$E$12,ROUND(('难度参数'!$E$18*POWER(A503,'难度参数'!$E$19)/D503*(0.85+0.3*(2-1)/MAX(1,D503-1))),0)+F503)))</x:f>
        <x:v>37</x:v>
      </x:c>
      <x:c r="AC503" s="119" t="n">
        <x:f>IF(2&gt;D503,0,ROUND(('难度参数'!$E$13*POWER(A503,'难度参数'!$E$20)*MIN('难度参数'!$E$23,1+MAX(0,A503-'难度参数'!$E$21)*'难度参数'!$E$22))*(36+2*7)/(36+7*(D503+1)/2)*E503,0))</x:f>
        <x:v>9215</x:v>
      </x:c>
      <x:c r="AD503" s="119" t="n">
        <x:f>IF(AB503=0,0,(AB503-IF(2=D503,1,0))*ROUND(AC503*VLOOKUP(INDEX('章节与怪物'!$E$31:$K$37,B503,2),'章节与怪物'!$A$41:$F$44,2,FALSE),0)+IF(2=D503,ROUND(AC503*'难度参数'!$E$28*'章节与怪物'!$E$17,0),0))</x:f>
        <x:v>340955</x:v>
      </x:c>
      <x:c r="AE503" s="119" t="n">
        <x:f>IF(AB503=0,0,(AB503-IF(2=D503,1,0))*VLOOKUP(INDEX('章节与怪物'!$E$31:$K$37,B503,2),'章节与怪物'!$A$41:$F$44,4,FALSE)+IF(2=D503,'难度参数'!$E$30,0))</x:f>
        <x:v>666</x:v>
      </x:c>
      <x:c r="AF503" s="119" t="n">
        <x:f>IF(3&gt;D503,0,MAX(2,MIN('难度参数'!$E$12,ROUND(('难度参数'!$E$18*POWER(A503,'难度参数'!$E$19)/D503*(0.85+0.3*(3-1)/MAX(1,D503-1))),0)+F503)))</x:f>
        <x:v>39</x:v>
      </x:c>
      <x:c r="AG503" s="119" t="n">
        <x:f>IF(3&gt;D503,0,ROUND(('难度参数'!$E$13*POWER(A503,'难度参数'!$E$20)*MIN('难度参数'!$E$23,1+MAX(0,A503-'难度参数'!$E$21)*'难度参数'!$E$22))*(36+3*7)/(36+7*(D503+1)/2)*E503,0))</x:f>
        <x:v>10505</x:v>
      </x:c>
      <x:c r="AH503" s="119" t="n">
        <x:f>IF(AF503=0,0,(AF503-IF(3=D503,1,0))*ROUND(AG503*VLOOKUP(INDEX('章节与怪物'!$E$31:$K$37,B503,3),'章节与怪物'!$A$41:$F$44,2,FALSE),0)+IF(3=D503,ROUND(AG503*'难度参数'!$E$28*'章节与怪物'!$E$17,0),0))</x:f>
        <x:v>696501</x:v>
      </x:c>
      <x:c r="AI503" s="119" t="n">
        <x:f>IF(AF503=0,0,(AF503-IF(3=D503,1,0))*VLOOKUP(INDEX('章节与怪物'!$E$31:$K$37,B503,3),'章节与怪物'!$A$41:$F$44,4,FALSE)+IF(3=D503,'难度参数'!$E$30,0))</x:f>
        <x:v>1092</x:v>
      </x:c>
      <x:c r="AJ503" s="119" t="n">
        <x:f>IF(4&gt;D503,0,MAX(2,MIN('难度参数'!$E$12,ROUND(('难度参数'!$E$18*POWER(A503,'难度参数'!$E$19)/D503*(0.85+0.3*(4-1)/MAX(1,D503-1))),0)+F503)))</x:f>
        <x:v>41</x:v>
      </x:c>
      <x:c r="AK503" s="119" t="n">
        <x:f>IF(4&gt;D503,0,ROUND(('难度参数'!$E$13*POWER(A503,'难度参数'!$E$20)*MIN('难度参数'!$E$23,1+MAX(0,A503-'难度参数'!$E$21)*'难度参数'!$E$22))*(36+4*7)/(36+7*(D503+1)/2)*E503,0))</x:f>
        <x:v>11795</x:v>
      </x:c>
      <x:c r="AL503" s="119" t="n">
        <x:f>IF(AJ503=0,0,(AJ503-IF(4=D503,1,0))*ROUND(AK503*VLOOKUP(INDEX('章节与怪物'!$E$31:$K$37,B503,4),'章节与怪物'!$A$41:$F$44,2,FALSE),0)+IF(4=D503,ROUND(AK503*'难度参数'!$E$28*'章节与怪物'!$E$17,0),0))</x:f>
        <x:v>652843</x:v>
      </x:c>
      <x:c r="AM503" s="119" t="n">
        <x:f>IF(AJ503=0,0,(AJ503-IF(4=D503,1,0))*VLOOKUP(INDEX('章节与怪物'!$E$31:$K$37,B503,4),'章节与怪物'!$A$41:$F$44,4,FALSE)+IF(4=D503,'难度参数'!$E$30,0))</x:f>
        <x:v>1394</x:v>
      </x:c>
      <x:c r="AN503" s="119" t="n">
        <x:f>IF(5&gt;D503,0,MAX(2,MIN('难度参数'!$E$12,ROUND(('难度参数'!$E$18*POWER(A503,'难度参数'!$E$19)/D503*(0.85+0.3*(5-1)/MAX(1,D503-1))),0)+F503)))</x:f>
        <x:v>43</x:v>
      </x:c>
      <x:c r="AO503" s="119" t="n">
        <x:f>IF(5&gt;D503,0,ROUND(('难度参数'!$E$13*POWER(A503,'难度参数'!$E$20)*MIN('难度参数'!$E$23,1+MAX(0,A503-'难度参数'!$E$21)*'难度参数'!$E$22))*(36+5*7)/(36+7*(D503+1)/2)*E503,0))</x:f>
        <x:v>13085</x:v>
      </x:c>
      <x:c r="AP503" s="119" t="n">
        <x:f>IF(AN503=0,0,(AN503-IF(5=D503,1,0))*ROUND(AO503*VLOOKUP(INDEX('章节与怪物'!$E$31:$K$37,B503,5),'章节与怪物'!$A$41:$F$44,2,FALSE),0)+IF(5=D503,ROUND(AO503*'难度参数'!$E$28*'章节与怪物'!$E$17,0),0))</x:f>
        <x:v>562655</x:v>
      </x:c>
      <x:c r="AQ503" s="119" t="n">
        <x:f>IF(AN503=0,0,(AN503-IF(5=D503,1,0))*VLOOKUP(INDEX('章节与怪物'!$E$31:$K$37,B503,5),'章节与怪物'!$A$41:$F$44,4,FALSE)+IF(5=D503,'难度参数'!$E$30,0))</x:f>
        <x:v>774</x:v>
      </x:c>
      <x:c r="AR503" s="119" t="n">
        <x:f>IF(6&gt;D503,0,MAX(2,MIN('难度参数'!$E$12,ROUND(('难度参数'!$E$18*POWER(A503,'难度参数'!$E$19)/D503*(0.85+0.3*(6-1)/MAX(1,D503-1))),0)+F503)))</x:f>
        <x:v>46</x:v>
      </x:c>
      <x:c r="AS503" s="119" t="n">
        <x:f>IF(6&gt;D503,0,ROUND(('难度参数'!$E$13*POWER(A503,'难度参数'!$E$20)*MIN('难度参数'!$E$23,1+MAX(0,A503-'难度参数'!$E$21)*'难度参数'!$E$22))*(36+6*7)/(36+7*(D503+1)/2)*E503,0))</x:f>
        <x:v>14376</x:v>
      </x:c>
      <x:c r="AT503" s="119" t="n">
        <x:f>IF(AR503=0,0,(AR503-IF(6=D503,1,0))*ROUND(AS503*VLOOKUP(INDEX('章节与怪物'!$E$31:$K$37,B503,6),'章节与怪物'!$A$41:$F$44,2,FALSE),0)+IF(6=D503,ROUND(AS503*'难度参数'!$E$28*'章节与怪物'!$E$17,0),0))</x:f>
        <x:v>1124194</x:v>
      </x:c>
      <x:c r="AU503" s="119" t="n">
        <x:f>IF(AR503=0,0,(AR503-IF(6=D503,1,0))*VLOOKUP(INDEX('章节与怪物'!$E$31:$K$37,B503,6),'章节与怪物'!$A$41:$F$44,4,FALSE)+IF(6=D503,'难度参数'!$E$30,0))</x:f>
        <x:v>1288</x:v>
      </x:c>
      <x:c r="AV503" s="119" t="n">
        <x:f>IF(7&gt;D503,0,MAX(2,MIN('难度参数'!$E$12,ROUND(('难度参数'!$E$18*POWER(A503,'难度参数'!$E$19)/D503*(0.85+0.3*(7-1)/MAX(1,D503-1))),0)+F503)))</x:f>
        <x:v>48</x:v>
      </x:c>
      <x:c r="AW503" s="119" t="n">
        <x:f>IF(7&gt;D503,0,ROUND(('难度参数'!$E$13*POWER(A503,'难度参数'!$E$20)*MIN('难度参数'!$E$23,1+MAX(0,A503-'难度参数'!$E$21)*'难度参数'!$E$22))*(36+7*7)/(36+7*(D503+1)/2)*E503,0))</x:f>
        <x:v>15666</x:v>
      </x:c>
      <x:c r="AX503" s="119" t="n">
        <x:f>IF(AV503=0,0,(AV503-IF(7=D503,1,0))*ROUND(AW503*VLOOKUP(INDEX('章节与怪物'!$E$31:$K$37,B503,7),'章节与怪物'!$A$41:$F$44,2,FALSE),0)+IF(7=D503,ROUND(AW503*'难度参数'!$E$28*'章节与怪物'!$E$17,0),0))</x:f>
        <x:v>1100532</x:v>
      </x:c>
      <x:c r="AY503" s="119" t="n">
        <x:f>IF(AV503=0,0,(AV503-IF(7=D503,1,0))*VLOOKUP(INDEX('章节与怪物'!$E$31:$K$37,B503,7),'章节与怪物'!$A$41:$F$44,4,FALSE)+IF(7=D503,'难度参数'!$E$30,0))</x:f>
        <x:v>1798</x:v>
      </x:c>
    </x:row>
    <x:row r="504" ht="23" customHeight="1">
      <x:c r="A504" s="119" t="n">
        <x:v>498</x:v>
      </x:c>
      <x:c r="B504" s="119" t="n">
        <x:f>MOD(INT((A504-1)/5),7)+1</x:f>
        <x:v>2</x:v>
      </x:c>
      <x:c r="C504" s="62" t="str">
        <x:f>INDEX('章节与怪物'!$B$31:$B$37,B504)</x:f>
        <x:v>黄沙要塞</x:v>
      </x:c>
      <x:c r="D504" s="119" t="n">
        <x:f>MIN('难度参数'!$E$8,MAX('难度参数'!$E$7,A504))</x:f>
        <x:v>7</x:v>
      </x:c>
      <x:c r="E504" s="106" t="n">
        <x:v>1</x:v>
      </x:c>
      <x:c r="F504" s="106" t="n">
        <x:v>0</x:v>
      </x:c>
      <x:c r="G504" s="106" t="n">
        <x:v>1</x:v>
      </x:c>
      <x:c r="H504" s="119" t="n">
        <x:f>SUM(X504,AB504,AF504,AJ504,AN504,AR504,AV504)</x:f>
        <x:v>290</x:v>
      </x:c>
      <x:c r="I504" s="119" t="n">
        <x:f>SUM(Z504,AD504,AH504,AL504,AP504,AT504,AX504)</x:f>
        <x:v>4697113</x:v>
      </x:c>
      <x:c r="J504" s="119" t="n">
        <x:f>ROUND(INDEX(X504:AY504,1,(D504-1)*4+2)*'难度参数'!$E$28*'章节与怪物'!$E$17,0)</x:f>
        <x:v>106678</x:v>
      </x:c>
      <x:c r="K504" s="119" t="n">
        <x:f>SUM(AA504,AE504,AI504,AM504,AQ504,AU504,AY504)</x:f>
        <x:v>7730</x:v>
      </x:c>
      <x:c r="L504" s="62" t="n">
        <x:f>H504*(ROUNDUP('难度参数'!$E$24/('难度参数'!$E$26*'难度参数'!$E$27),0)*'难度参数'!$E$26)/60</x:f>
        <x:v>3.8666666666666667</x:v>
      </x:c>
      <x:c r="M504" s="62" t="n">
        <x:f>L504+D504*('难度参数'!$E$49+'难度参数'!$E$50)/60</x:f>
        <x:v>5.033333333333333</x:v>
      </x:c>
      <x:c r="N504" s="119" t="n">
        <x:f>ROUNDDOWN(('经济参数'!$E$20+A504*'经济参数'!$E$21)*G504,0)</x:f>
        <x:v>10140</x:v>
      </x:c>
      <x:c r="O504" s="119" t="n">
        <x:f>ROUNDDOWN(MIN('经济参数'!$E$24,'经济参数'!$E$22+A504*'经济参数'!$E$23)*G504,0)</x:f>
        <x:v>0</x:v>
      </x:c>
      <x:c r="P504" s="119" t="n">
        <x:f>ROUNDDOWN((IF(A504&gt;='材料与任务'!$E$31,'材料与任务'!$E$32,IF(A504&gt;='材料与任务'!$E$25,'材料与任务'!$E$26,IF(A504&gt;='材料与任务'!$E$19,'材料与任务'!$E$20,IF(A504&gt;='材料与任务'!$E$13,'材料与任务'!$E$14,'材料与任务'!$E$8)))))*G504,0)</x:f>
        <x:v>6</x:v>
      </x:c>
      <x:c r="Q504" s="119" t="n">
        <x:f>ROUNDDOWN((IF(A504&gt;='材料与任务'!$E$31,'材料与任务'!$E$33,IF(A504&gt;='材料与任务'!$E$25,'材料与任务'!$E$27,IF(A504&gt;='材料与任务'!$E$19,'材料与任务'!$E$21,IF(A504&gt;='材料与任务'!$E$13,'材料与任务'!$E$15,'材料与任务'!$E$9)))))*G504,0)</x:f>
        <x:v>3</x:v>
      </x:c>
      <x:c r="R504" s="110" t="n">
        <x:f>'装备掉落'!$B$38</x:f>
        <x:v>0.6872058758851213</x:v>
      </x:c>
      <x:c r="S504" s="119" t="n">
        <x:f>MAX(IF(VLOOKUP(A504,'装备掉落'!$A$29:$H$34,2,TRUE)&gt;0,1,0),IF(VLOOKUP(A504,'装备掉落'!$A$29:$H$34,3,TRUE)&gt;0,2,0),IF(VLOOKUP(A504,'装备掉落'!$A$29:$H$34,4,TRUE)&gt;0,3,0),IF(VLOOKUP(A504,'装备掉落'!$A$29:$H$34,5,TRUE)&gt;0,4,0),IF(VLOOKUP(A504,'装备掉落'!$A$29:$H$34,6,TRUE)&gt;0,5,0),IF(VLOOKUP(A504,'装备掉落'!$A$29:$H$34,7,TRUE)&gt;0,6,0),IF(VLOOKUP(A504,'装备掉落'!$A$29:$H$34,8,TRUE)&gt;0,7,0))</x:f>
        <x:v>7</x:v>
      </x:c>
      <x:c r="T504" s="119" t="n">
        <x:f>MIN(7,S504+'经济参数'!$E$70)</x:f>
        <x:v>7</x:v>
      </x:c>
      <x:c r="U504" s="119" t="n">
        <x:f>MIN(7,S504+'经济参数'!$E$71)</x:f>
        <x:v>7</x:v>
      </x:c>
      <x:c r="V504" s="119" t="n">
        <x:f>IF(H504&gt;=('难度参数'!$E$52),1,0)+IF(H504&gt;=('难度参数'!$E$52+'难度参数'!$E$53),1,0)+IF(H504&gt;=('难度参数'!$E$52+'难度参数'!$E$53+'难度参数'!$E$54),1,0)+IF(H504&gt;=('难度参数'!$E$52+'难度参数'!$E$53+'难度参数'!$E$54+'难度参数'!$E$55),1,0)+IF(H504&gt;=('难度参数'!$E$52+'难度参数'!$E$53+'难度参数'!$E$54+'难度参数'!$E$55+'难度参数'!$E$56),1,0)+IF(H504&gt;=('难度参数'!$E$52+'难度参数'!$E$53+'难度参数'!$E$54+'难度参数'!$E$55+'难度参数'!$E$56+'难度参数'!$E$57),1,0)</x:f>
        <x:v>6</x:v>
      </x:c>
      <x:c r="W504" s="62" t="str">
        <x:f>IF(L504&gt;'难度参数'!$E$51,"仅出怪已超目标","还需实测")</x:f>
        <x:v>仅出怪已超目标</x:v>
      </x:c>
      <x:c r="X504" s="119" t="n">
        <x:f>IF(1&gt;D504,0,MAX(2,MIN('难度参数'!$E$12,ROUND(('难度参数'!$E$18*POWER(A504,'难度参数'!$E$19)/D504*(0.85+0.3*(1-1)/MAX(1,D504-1))),0)+F504)))</x:f>
        <x:v>35</x:v>
      </x:c>
      <x:c r="Y504" s="119" t="n">
        <x:f>IF(1&gt;D504,0,ROUND(('难度参数'!$E$13*POWER(A504,'难度参数'!$E$20)*MIN('难度参数'!$E$23,1+MAX(0,A504-'难度参数'!$E$21)*'难度参数'!$E$22))*(36+1*7)/(36+7*(D504+1)/2)*E504,0))</x:f>
        <x:v>7936</x:v>
      </x:c>
      <x:c r="Z504" s="119" t="n">
        <x:f>IF(X504=0,0,(X504-IF(1=D504,1,0))*ROUND(Y504*VLOOKUP(INDEX('章节与怪物'!$E$31:$K$37,B504,1),'章节与怪物'!$A$41:$F$44,2,FALSE),0)+IF(1=D504,ROUND(Y504*'难度参数'!$E$28*'章节与怪物'!$E$17,0),0))</x:f>
        <x:v>199990</x:v>
      </x:c>
      <x:c r="AA504" s="119" t="n">
        <x:f>IF(X504=0,0,(X504-IF(1=D504,1,0))*VLOOKUP(INDEX('章节与怪物'!$E$31:$K$37,B504,1),'章节与怪物'!$A$41:$F$44,4,FALSE)+IF(1=D504,'难度参数'!$E$30,0))</x:f>
        <x:v>700</x:v>
      </x:c>
      <x:c r="AB504" s="119" t="n">
        <x:f>IF(2&gt;D504,0,MAX(2,MIN('难度参数'!$E$12,ROUND(('难度参数'!$E$18*POWER(A504,'难度参数'!$E$19)/D504*(0.85+0.3*(2-1)/MAX(1,D504-1))),0)+F504)))</x:f>
        <x:v>37</x:v>
      </x:c>
      <x:c r="AC504" s="119" t="n">
        <x:f>IF(2&gt;D504,0,ROUND(('难度参数'!$E$13*POWER(A504,'难度参数'!$E$20)*MIN('难度参数'!$E$23,1+MAX(0,A504-'难度参数'!$E$21)*'难度参数'!$E$22))*(36+2*7)/(36+7*(D504+1)/2)*E504,0))</x:f>
        <x:v>9228</x:v>
      </x:c>
      <x:c r="AD504" s="119" t="n">
        <x:f>IF(AB504=0,0,(AB504-IF(2=D504,1,0))*ROUND(AC504*VLOOKUP(INDEX('章节与怪物'!$E$31:$K$37,B504,2),'章节与怪物'!$A$41:$F$44,2,FALSE),0)+IF(2=D504,ROUND(AC504*'难度参数'!$E$28*'章节与怪物'!$E$17,0),0))</x:f>
        <x:v>341436</x:v>
      </x:c>
      <x:c r="AE504" s="119" t="n">
        <x:f>IF(AB504=0,0,(AB504-IF(2=D504,1,0))*VLOOKUP(INDEX('章节与怪物'!$E$31:$K$37,B504,2),'章节与怪物'!$A$41:$F$44,4,FALSE)+IF(2=D504,'难度参数'!$E$30,0))</x:f>
        <x:v>666</x:v>
      </x:c>
      <x:c r="AF504" s="119" t="n">
        <x:f>IF(3&gt;D504,0,MAX(2,MIN('难度参数'!$E$12,ROUND(('难度参数'!$E$18*POWER(A504,'难度参数'!$E$19)/D504*(0.85+0.3*(3-1)/MAX(1,D504-1))),0)+F504)))</x:f>
        <x:v>39</x:v>
      </x:c>
      <x:c r="AG504" s="119" t="n">
        <x:f>IF(3&gt;D504,0,ROUND(('难度参数'!$E$13*POWER(A504,'难度参数'!$E$20)*MIN('难度参数'!$E$23,1+MAX(0,A504-'难度参数'!$E$21)*'难度参数'!$E$22))*(36+3*7)/(36+7*(D504+1)/2)*E504,0))</x:f>
        <x:v>10520</x:v>
      </x:c>
      <x:c r="AH504" s="119" t="n">
        <x:f>IF(AF504=0,0,(AF504-IF(3=D504,1,0))*ROUND(AG504*VLOOKUP(INDEX('章节与怪物'!$E$31:$K$37,B504,3),'章节与怪物'!$A$41:$F$44,2,FALSE),0)+IF(3=D504,ROUND(AG504*'难度参数'!$E$28*'章节与怪物'!$E$17,0),0))</x:f>
        <x:v>697476</x:v>
      </x:c>
      <x:c r="AI504" s="119" t="n">
        <x:f>IF(AF504=0,0,(AF504-IF(3=D504,1,0))*VLOOKUP(INDEX('章节与怪物'!$E$31:$K$37,B504,3),'章节与怪物'!$A$41:$F$44,4,FALSE)+IF(3=D504,'难度参数'!$E$30,0))</x:f>
        <x:v>1092</x:v>
      </x:c>
      <x:c r="AJ504" s="119" t="n">
        <x:f>IF(4&gt;D504,0,MAX(2,MIN('难度参数'!$E$12,ROUND(('难度参数'!$E$18*POWER(A504,'难度参数'!$E$19)/D504*(0.85+0.3*(4-1)/MAX(1,D504-1))),0)+F504)))</x:f>
        <x:v>41</x:v>
      </x:c>
      <x:c r="AK504" s="119" t="n">
        <x:f>IF(4&gt;D504,0,ROUND(('难度参数'!$E$13*POWER(A504,'难度参数'!$E$20)*MIN('难度参数'!$E$23,1+MAX(0,A504-'难度参数'!$E$21)*'难度参数'!$E$22))*(36+4*7)/(36+7*(D504+1)/2)*E504,0))</x:f>
        <x:v>11812</x:v>
      </x:c>
      <x:c r="AL504" s="119" t="n">
        <x:f>IF(AJ504=0,0,(AJ504-IF(4=D504,1,0))*ROUND(AK504*VLOOKUP(INDEX('章节与怪物'!$E$31:$K$37,B504,4),'章节与怪物'!$A$41:$F$44,2,FALSE),0)+IF(4=D504,ROUND(AK504*'难度参数'!$E$28*'章节与怪物'!$E$17,0),0))</x:f>
        <x:v>653786</x:v>
      </x:c>
      <x:c r="AM504" s="119" t="n">
        <x:f>IF(AJ504=0,0,(AJ504-IF(4=D504,1,0))*VLOOKUP(INDEX('章节与怪物'!$E$31:$K$37,B504,4),'章节与怪物'!$A$41:$F$44,4,FALSE)+IF(4=D504,'难度参数'!$E$30,0))</x:f>
        <x:v>1394</x:v>
      </x:c>
      <x:c r="AN504" s="119" t="n">
        <x:f>IF(5&gt;D504,0,MAX(2,MIN('难度参数'!$E$12,ROUND(('难度参数'!$E$18*POWER(A504,'难度参数'!$E$19)/D504*(0.85+0.3*(5-1)/MAX(1,D504-1))),0)+F504)))</x:f>
        <x:v>44</x:v>
      </x:c>
      <x:c r="AO504" s="119" t="n">
        <x:f>IF(5&gt;D504,0,ROUND(('难度参数'!$E$13*POWER(A504,'难度参数'!$E$20)*MIN('难度参数'!$E$23,1+MAX(0,A504-'难度参数'!$E$21)*'难度参数'!$E$22))*(36+5*7)/(36+7*(D504+1)/2)*E504,0))</x:f>
        <x:v>13104</x:v>
      </x:c>
      <x:c r="AP504" s="119" t="n">
        <x:f>IF(AN504=0,0,(AN504-IF(5=D504,1,0))*ROUND(AO504*VLOOKUP(INDEX('章节与怪物'!$E$31:$K$37,B504,5),'章节与怪物'!$A$41:$F$44,2,FALSE),0)+IF(5=D504,ROUND(AO504*'难度参数'!$E$28*'章节与怪物'!$E$17,0),0))</x:f>
        <x:v>576576</x:v>
      </x:c>
      <x:c r="AQ504" s="119" t="n">
        <x:f>IF(AN504=0,0,(AN504-IF(5=D504,1,0))*VLOOKUP(INDEX('章节与怪物'!$E$31:$K$37,B504,5),'章节与怪物'!$A$41:$F$44,4,FALSE)+IF(5=D504,'难度参数'!$E$30,0))</x:f>
        <x:v>792</x:v>
      </x:c>
      <x:c r="AR504" s="119" t="n">
        <x:f>IF(6&gt;D504,0,MAX(2,MIN('难度参数'!$E$12,ROUND(('难度参数'!$E$18*POWER(A504,'难度参数'!$E$19)/D504*(0.85+0.3*(6-1)/MAX(1,D504-1))),0)+F504)))</x:f>
        <x:v>46</x:v>
      </x:c>
      <x:c r="AS504" s="119" t="n">
        <x:f>IF(6&gt;D504,0,ROUND(('难度参数'!$E$13*POWER(A504,'难度参数'!$E$20)*MIN('难度参数'!$E$23,1+MAX(0,A504-'难度参数'!$E$21)*'难度参数'!$E$22))*(36+6*7)/(36+7*(D504+1)/2)*E504,0))</x:f>
        <x:v>14396</x:v>
      </x:c>
      <x:c r="AT504" s="119" t="n">
        <x:f>IF(AR504=0,0,(AR504-IF(6=D504,1,0))*ROUND(AS504*VLOOKUP(INDEX('章节与怪物'!$E$31:$K$37,B504,6),'章节与怪物'!$A$41:$F$44,2,FALSE),0)+IF(6=D504,ROUND(AS504*'难度参数'!$E$28*'章节与怪物'!$E$17,0),0))</x:f>
        <x:v>1125758</x:v>
      </x:c>
      <x:c r="AU504" s="119" t="n">
        <x:f>IF(AR504=0,0,(AR504-IF(6=D504,1,0))*VLOOKUP(INDEX('章节与怪物'!$E$31:$K$37,B504,6),'章节与怪物'!$A$41:$F$44,4,FALSE)+IF(6=D504,'难度参数'!$E$30,0))</x:f>
        <x:v>1288</x:v>
      </x:c>
      <x:c r="AV504" s="119" t="n">
        <x:f>IF(7&gt;D504,0,MAX(2,MIN('难度参数'!$E$12,ROUND(('难度参数'!$E$18*POWER(A504,'难度参数'!$E$19)/D504*(0.85+0.3*(7-1)/MAX(1,D504-1))),0)+F504)))</x:f>
        <x:v>48</x:v>
      </x:c>
      <x:c r="AW504" s="119" t="n">
        <x:f>IF(7&gt;D504,0,ROUND(('难度参数'!$E$13*POWER(A504,'难度参数'!$E$20)*MIN('难度参数'!$E$23,1+MAX(0,A504-'难度参数'!$E$21)*'难度参数'!$E$22))*(36+7*7)/(36+7*(D504+1)/2)*E504,0))</x:f>
        <x:v>15688</x:v>
      </x:c>
      <x:c r="AX504" s="119" t="n">
        <x:f>IF(AV504=0,0,(AV504-IF(7=D504,1,0))*ROUND(AW504*VLOOKUP(INDEX('章节与怪物'!$E$31:$K$37,B504,7),'章节与怪物'!$A$41:$F$44,2,FALSE),0)+IF(7=D504,ROUND(AW504*'难度参数'!$E$28*'章节与怪物'!$E$17,0),0))</x:f>
        <x:v>1102091</x:v>
      </x:c>
      <x:c r="AY504" s="119" t="n">
        <x:f>IF(AV504=0,0,(AV504-IF(7=D504,1,0))*VLOOKUP(INDEX('章节与怪物'!$E$31:$K$37,B504,7),'章节与怪物'!$A$41:$F$44,4,FALSE)+IF(7=D504,'难度参数'!$E$30,0))</x:f>
        <x:v>1798</x:v>
      </x:c>
    </x:row>
    <x:row r="505" ht="23" customHeight="1">
      <x:c r="A505" s="119" t="n">
        <x:v>499</x:v>
      </x:c>
      <x:c r="B505" s="119" t="n">
        <x:f>MOD(INT((A505-1)/5),7)+1</x:f>
        <x:v>2</x:v>
      </x:c>
      <x:c r="C505" s="62" t="str">
        <x:f>INDEX('章节与怪物'!$B$31:$B$37,B505)</x:f>
        <x:v>黄沙要塞</x:v>
      </x:c>
      <x:c r="D505" s="119" t="n">
        <x:f>MIN('难度参数'!$E$8,MAX('难度参数'!$E$7,A505))</x:f>
        <x:v>7</x:v>
      </x:c>
      <x:c r="E505" s="106" t="n">
        <x:v>1</x:v>
      </x:c>
      <x:c r="F505" s="106" t="n">
        <x:v>0</x:v>
      </x:c>
      <x:c r="G505" s="106" t="n">
        <x:v>1</x:v>
      </x:c>
      <x:c r="H505" s="119" t="n">
        <x:f>SUM(X505,AB505,AF505,AJ505,AN505,AR505,AV505)</x:f>
        <x:v>290</x:v>
      </x:c>
      <x:c r="I505" s="119" t="n">
        <x:f>SUM(Z505,AD505,AH505,AL505,AP505,AT505,AX505)</x:f>
        <x:v>4704048</x:v>
      </x:c>
      <x:c r="J505" s="119" t="n">
        <x:f>ROUND(INDEX(X505:AY505,1,(D505-1)*4+2)*'难度参数'!$E$28*'章节与怪物'!$E$17,0)</x:f>
        <x:v>106835</x:v>
      </x:c>
      <x:c r="K505" s="119" t="n">
        <x:f>SUM(AA505,AE505,AI505,AM505,AQ505,AU505,AY505)</x:f>
        <x:v>7730</x:v>
      </x:c>
      <x:c r="L505" s="62" t="n">
        <x:f>H505*(ROUNDUP('难度参数'!$E$24/('难度参数'!$E$26*'难度参数'!$E$27),0)*'难度参数'!$E$26)/60</x:f>
        <x:v>3.8666666666666667</x:v>
      </x:c>
      <x:c r="M505" s="62" t="n">
        <x:f>L505+D505*('难度参数'!$E$49+'难度参数'!$E$50)/60</x:f>
        <x:v>5.033333333333333</x:v>
      </x:c>
      <x:c r="N505" s="119" t="n">
        <x:f>ROUNDDOWN(('经济参数'!$E$20+A505*'经济参数'!$E$21)*G505,0)</x:f>
        <x:v>10160</x:v>
      </x:c>
      <x:c r="O505" s="119" t="n">
        <x:f>ROUNDDOWN(MIN('经济参数'!$E$24,'经济参数'!$E$22+A505*'经济参数'!$E$23)*G505,0)</x:f>
        <x:v>0</x:v>
      </x:c>
      <x:c r="P505" s="119" t="n">
        <x:f>ROUNDDOWN((IF(A505&gt;='材料与任务'!$E$31,'材料与任务'!$E$32,IF(A505&gt;='材料与任务'!$E$25,'材料与任务'!$E$26,IF(A505&gt;='材料与任务'!$E$19,'材料与任务'!$E$20,IF(A505&gt;='材料与任务'!$E$13,'材料与任务'!$E$14,'材料与任务'!$E$8)))))*G505,0)</x:f>
        <x:v>6</x:v>
      </x:c>
      <x:c r="Q505" s="119" t="n">
        <x:f>ROUNDDOWN((IF(A505&gt;='材料与任务'!$E$31,'材料与任务'!$E$33,IF(A505&gt;='材料与任务'!$E$25,'材料与任务'!$E$27,IF(A505&gt;='材料与任务'!$E$19,'材料与任务'!$E$21,IF(A505&gt;='材料与任务'!$E$13,'材料与任务'!$E$15,'材料与任务'!$E$9)))))*G505,0)</x:f>
        <x:v>3</x:v>
      </x:c>
      <x:c r="R505" s="110" t="n">
        <x:f>'装备掉落'!$B$38</x:f>
        <x:v>0.6872058758851213</x:v>
      </x:c>
      <x:c r="S505" s="119" t="n">
        <x:f>MAX(IF(VLOOKUP(A505,'装备掉落'!$A$29:$H$34,2,TRUE)&gt;0,1,0),IF(VLOOKUP(A505,'装备掉落'!$A$29:$H$34,3,TRUE)&gt;0,2,0),IF(VLOOKUP(A505,'装备掉落'!$A$29:$H$34,4,TRUE)&gt;0,3,0),IF(VLOOKUP(A505,'装备掉落'!$A$29:$H$34,5,TRUE)&gt;0,4,0),IF(VLOOKUP(A505,'装备掉落'!$A$29:$H$34,6,TRUE)&gt;0,5,0),IF(VLOOKUP(A505,'装备掉落'!$A$29:$H$34,7,TRUE)&gt;0,6,0),IF(VLOOKUP(A505,'装备掉落'!$A$29:$H$34,8,TRUE)&gt;0,7,0))</x:f>
        <x:v>7</x:v>
      </x:c>
      <x:c r="T505" s="119" t="n">
        <x:f>MIN(7,S505+'经济参数'!$E$70)</x:f>
        <x:v>7</x:v>
      </x:c>
      <x:c r="U505" s="119" t="n">
        <x:f>MIN(7,S505+'经济参数'!$E$71)</x:f>
        <x:v>7</x:v>
      </x:c>
      <x:c r="V505" s="119" t="n">
        <x:f>IF(H505&gt;=('难度参数'!$E$52),1,0)+IF(H505&gt;=('难度参数'!$E$52+'难度参数'!$E$53),1,0)+IF(H505&gt;=('难度参数'!$E$52+'难度参数'!$E$53+'难度参数'!$E$54),1,0)+IF(H505&gt;=('难度参数'!$E$52+'难度参数'!$E$53+'难度参数'!$E$54+'难度参数'!$E$55),1,0)+IF(H505&gt;=('难度参数'!$E$52+'难度参数'!$E$53+'难度参数'!$E$54+'难度参数'!$E$55+'难度参数'!$E$56),1,0)+IF(H505&gt;=('难度参数'!$E$52+'难度参数'!$E$53+'难度参数'!$E$54+'难度参数'!$E$55+'难度参数'!$E$56+'难度参数'!$E$57),1,0)</x:f>
        <x:v>6</x:v>
      </x:c>
      <x:c r="W505" s="62" t="str">
        <x:f>IF(L505&gt;'难度参数'!$E$51,"仅出怪已超目标","还需实测")</x:f>
        <x:v>仅出怪已超目标</x:v>
      </x:c>
      <x:c r="X505" s="119" t="n">
        <x:f>IF(1&gt;D505,0,MAX(2,MIN('难度参数'!$E$12,ROUND(('难度参数'!$E$18*POWER(A505,'难度参数'!$E$19)/D505*(0.85+0.3*(1-1)/MAX(1,D505-1))),0)+F505)))</x:f>
        <x:v>35</x:v>
      </x:c>
      <x:c r="Y505" s="119" t="n">
        <x:f>IF(1&gt;D505,0,ROUND(('难度参数'!$E$13*POWER(A505,'难度参数'!$E$20)*MIN('难度参数'!$E$23,1+MAX(0,A505-'难度参数'!$E$21)*'难度参数'!$E$22))*(36+1*7)/(36+7*(D505+1)/2)*E505,0))</x:f>
        <x:v>7948</x:v>
      </x:c>
      <x:c r="Z505" s="119" t="n">
        <x:f>IF(X505=0,0,(X505-IF(1=D505,1,0))*ROUND(Y505*VLOOKUP(INDEX('章节与怪物'!$E$31:$K$37,B505,1),'章节与怪物'!$A$41:$F$44,2,FALSE),0)+IF(1=D505,ROUND(Y505*'难度参数'!$E$28*'章节与怪物'!$E$17,0),0))</x:f>
        <x:v>200305</x:v>
      </x:c>
      <x:c r="AA505" s="119" t="n">
        <x:f>IF(X505=0,0,(X505-IF(1=D505,1,0))*VLOOKUP(INDEX('章节与怪物'!$E$31:$K$37,B505,1),'章节与怪物'!$A$41:$F$44,4,FALSE)+IF(1=D505,'难度参数'!$E$30,0))</x:f>
        <x:v>700</x:v>
      </x:c>
      <x:c r="AB505" s="119" t="n">
        <x:f>IF(2&gt;D505,0,MAX(2,MIN('难度参数'!$E$12,ROUND(('难度参数'!$E$18*POWER(A505,'难度参数'!$E$19)/D505*(0.85+0.3*(2-1)/MAX(1,D505-1))),0)+F505)))</x:f>
        <x:v>37</x:v>
      </x:c>
      <x:c r="AC505" s="119" t="n">
        <x:f>IF(2&gt;D505,0,ROUND(('难度参数'!$E$13*POWER(A505,'难度参数'!$E$20)*MIN('难度参数'!$E$23,1+MAX(0,A505-'难度参数'!$E$21)*'难度参数'!$E$22))*(36+2*7)/(36+7*(D505+1)/2)*E505,0))</x:f>
        <x:v>9242</x:v>
      </x:c>
      <x:c r="AD505" s="119" t="n">
        <x:f>IF(AB505=0,0,(AB505-IF(2=D505,1,0))*ROUND(AC505*VLOOKUP(INDEX('章节与怪物'!$E$31:$K$37,B505,2),'章节与怪物'!$A$41:$F$44,2,FALSE),0)+IF(2=D505,ROUND(AC505*'难度参数'!$E$28*'章节与怪物'!$E$17,0),0))</x:f>
        <x:v>341954</x:v>
      </x:c>
      <x:c r="AE505" s="119" t="n">
        <x:f>IF(AB505=0,0,(AB505-IF(2=D505,1,0))*VLOOKUP(INDEX('章节与怪物'!$E$31:$K$37,B505,2),'章节与怪物'!$A$41:$F$44,4,FALSE)+IF(2=D505,'难度参数'!$E$30,0))</x:f>
        <x:v>666</x:v>
      </x:c>
      <x:c r="AF505" s="119" t="n">
        <x:f>IF(3&gt;D505,0,MAX(2,MIN('难度参数'!$E$12,ROUND(('难度参数'!$E$18*POWER(A505,'难度参数'!$E$19)/D505*(0.85+0.3*(3-1)/MAX(1,D505-1))),0)+F505)))</x:f>
        <x:v>39</x:v>
      </x:c>
      <x:c r="AG505" s="119" t="n">
        <x:f>IF(3&gt;D505,0,ROUND(('难度参数'!$E$13*POWER(A505,'难度参数'!$E$20)*MIN('难度参数'!$E$23,1+MAX(0,A505-'难度参数'!$E$21)*'难度参数'!$E$22))*(36+3*7)/(36+7*(D505+1)/2)*E505,0))</x:f>
        <x:v>10536</x:v>
      </x:c>
      <x:c r="AH505" s="119" t="n">
        <x:f>IF(AF505=0,0,(AF505-IF(3=D505,1,0))*ROUND(AG505*VLOOKUP(INDEX('章节与怪物'!$E$31:$K$37,B505,3),'章节与怪物'!$A$41:$F$44,2,FALSE),0)+IF(3=D505,ROUND(AG505*'难度参数'!$E$28*'章节与怪物'!$E$17,0),0))</x:f>
        <x:v>698529</x:v>
      </x:c>
      <x:c r="AI505" s="119" t="n">
        <x:f>IF(AF505=0,0,(AF505-IF(3=D505,1,0))*VLOOKUP(INDEX('章节与怪物'!$E$31:$K$37,B505,3),'章节与怪物'!$A$41:$F$44,4,FALSE)+IF(3=D505,'难度参数'!$E$30,0))</x:f>
        <x:v>1092</x:v>
      </x:c>
      <x:c r="AJ505" s="119" t="n">
        <x:f>IF(4&gt;D505,0,MAX(2,MIN('难度参数'!$E$12,ROUND(('难度参数'!$E$18*POWER(A505,'难度参数'!$E$19)/D505*(0.85+0.3*(4-1)/MAX(1,D505-1))),0)+F505)))</x:f>
        <x:v>41</x:v>
      </x:c>
      <x:c r="AK505" s="119" t="n">
        <x:f>IF(4&gt;D505,0,ROUND(('难度参数'!$E$13*POWER(A505,'难度参数'!$E$20)*MIN('难度参数'!$E$23,1+MAX(0,A505-'难度参数'!$E$21)*'难度参数'!$E$22))*(36+4*7)/(36+7*(D505+1)/2)*E505,0))</x:f>
        <x:v>11829</x:v>
      </x:c>
      <x:c r="AL505" s="119" t="n">
        <x:f>IF(AJ505=0,0,(AJ505-IF(4=D505,1,0))*ROUND(AK505*VLOOKUP(INDEX('章节与怪物'!$E$31:$K$37,B505,4),'章节与怪物'!$A$41:$F$44,2,FALSE),0)+IF(4=D505,ROUND(AK505*'难度参数'!$E$28*'章节与怪物'!$E$17,0),0))</x:f>
        <x:v>654729</x:v>
      </x:c>
      <x:c r="AM505" s="119" t="n">
        <x:f>IF(AJ505=0,0,(AJ505-IF(4=D505,1,0))*VLOOKUP(INDEX('章节与怪物'!$E$31:$K$37,B505,4),'章节与怪物'!$A$41:$F$44,4,FALSE)+IF(4=D505,'难度参数'!$E$30,0))</x:f>
        <x:v>1394</x:v>
      </x:c>
      <x:c r="AN505" s="119" t="n">
        <x:f>IF(5&gt;D505,0,MAX(2,MIN('难度参数'!$E$12,ROUND(('难度参数'!$E$18*POWER(A505,'难度参数'!$E$19)/D505*(0.85+0.3*(5-1)/MAX(1,D505-1))),0)+F505)))</x:f>
        <x:v>44</x:v>
      </x:c>
      <x:c r="AO505" s="119" t="n">
        <x:f>IF(5&gt;D505,0,ROUND(('难度参数'!$E$13*POWER(A505,'难度参数'!$E$20)*MIN('难度参数'!$E$23,1+MAX(0,A505-'难度参数'!$E$21)*'难度参数'!$E$22))*(36+5*7)/(36+7*(D505+1)/2)*E505,0))</x:f>
        <x:v>13123</x:v>
      </x:c>
      <x:c r="AP505" s="119" t="n">
        <x:f>IF(AN505=0,0,(AN505-IF(5=D505,1,0))*ROUND(AO505*VLOOKUP(INDEX('章节与怪物'!$E$31:$K$37,B505,5),'章节与怪物'!$A$41:$F$44,2,FALSE),0)+IF(5=D505,ROUND(AO505*'难度参数'!$E$28*'章节与怪物'!$E$17,0),0))</x:f>
        <x:v>577412</x:v>
      </x:c>
      <x:c r="AQ505" s="119" t="n">
        <x:f>IF(AN505=0,0,(AN505-IF(5=D505,1,0))*VLOOKUP(INDEX('章节与怪物'!$E$31:$K$37,B505,5),'章节与怪物'!$A$41:$F$44,4,FALSE)+IF(5=D505,'难度参数'!$E$30,0))</x:f>
        <x:v>792</x:v>
      </x:c>
      <x:c r="AR505" s="119" t="n">
        <x:f>IF(6&gt;D505,0,MAX(2,MIN('难度参数'!$E$12,ROUND(('难度参数'!$E$18*POWER(A505,'难度参数'!$E$19)/D505*(0.85+0.3*(6-1)/MAX(1,D505-1))),0)+F505)))</x:f>
        <x:v>46</x:v>
      </x:c>
      <x:c r="AS505" s="119" t="n">
        <x:f>IF(6&gt;D505,0,ROUND(('难度参数'!$E$13*POWER(A505,'难度参数'!$E$20)*MIN('难度参数'!$E$23,1+MAX(0,A505-'难度参数'!$E$21)*'难度参数'!$E$22))*(36+6*7)/(36+7*(D505+1)/2)*E505,0))</x:f>
        <x:v>14417</x:v>
      </x:c>
      <x:c r="AT505" s="119" t="n">
        <x:f>IF(AR505=0,0,(AR505-IF(6=D505,1,0))*ROUND(AS505*VLOOKUP(INDEX('章节与怪物'!$E$31:$K$37,B505,6),'章节与怪物'!$A$41:$F$44,2,FALSE),0)+IF(6=D505,ROUND(AS505*'难度参数'!$E$28*'章节与怪物'!$E$17,0),0))</x:f>
        <x:v>1127414</x:v>
      </x:c>
      <x:c r="AU505" s="119" t="n">
        <x:f>IF(AR505=0,0,(AR505-IF(6=D505,1,0))*VLOOKUP(INDEX('章节与怪物'!$E$31:$K$37,B505,6),'章节与怪物'!$A$41:$F$44,4,FALSE)+IF(6=D505,'难度参数'!$E$30,0))</x:f>
        <x:v>1288</x:v>
      </x:c>
      <x:c r="AV505" s="119" t="n">
        <x:f>IF(7&gt;D505,0,MAX(2,MIN('难度参数'!$E$12,ROUND(('难度参数'!$E$18*POWER(A505,'难度参数'!$E$19)/D505*(0.85+0.3*(7-1)/MAX(1,D505-1))),0)+F505)))</x:f>
        <x:v>48</x:v>
      </x:c>
      <x:c r="AW505" s="119" t="n">
        <x:f>IF(7&gt;D505,0,ROUND(('难度参数'!$E$13*POWER(A505,'难度参数'!$E$20)*MIN('难度参数'!$E$23,1+MAX(0,A505-'难度参数'!$E$21)*'难度参数'!$E$22))*(36+7*7)/(36+7*(D505+1)/2)*E505,0))</x:f>
        <x:v>15711</x:v>
      </x:c>
      <x:c r="AX505" s="119" t="n">
        <x:f>IF(AV505=0,0,(AV505-IF(7=D505,1,0))*ROUND(AW505*VLOOKUP(INDEX('章节与怪物'!$E$31:$K$37,B505,7),'章节与怪物'!$A$41:$F$44,2,FALSE),0)+IF(7=D505,ROUND(AW505*'难度参数'!$E$28*'章节与怪物'!$E$17,0),0))</x:f>
        <x:v>1103705</x:v>
      </x:c>
      <x:c r="AY505" s="119" t="n">
        <x:f>IF(AV505=0,0,(AV505-IF(7=D505,1,0))*VLOOKUP(INDEX('章节与怪物'!$E$31:$K$37,B505,7),'章节与怪物'!$A$41:$F$44,4,FALSE)+IF(7=D505,'难度参数'!$E$30,0))</x:f>
        <x:v>1798</x:v>
      </x:c>
    </x:row>
    <x:row r="506" ht="23" customHeight="1">
      <x:c r="A506" s="119" t="n">
        <x:v>500</x:v>
      </x:c>
      <x:c r="B506" s="119" t="n">
        <x:f>MOD(INT((A506-1)/5),7)+1</x:f>
        <x:v>2</x:v>
      </x:c>
      <x:c r="C506" s="62" t="str">
        <x:f>INDEX('章节与怪物'!$B$31:$B$37,B506)</x:f>
        <x:v>黄沙要塞</x:v>
      </x:c>
      <x:c r="D506" s="119" t="n">
        <x:f>MIN('难度参数'!$E$8,MAX('难度参数'!$E$7,A506))</x:f>
        <x:v>7</x:v>
      </x:c>
      <x:c r="E506" s="106" t="n">
        <x:v>1</x:v>
      </x:c>
      <x:c r="F506" s="106" t="n">
        <x:v>0</x:v>
      </x:c>
      <x:c r="G506" s="106" t="n">
        <x:v>1</x:v>
      </x:c>
      <x:c r="H506" s="119" t="n">
        <x:f>SUM(X506,AB506,AF506,AJ506,AN506,AR506,AV506)</x:f>
        <x:v>291</x:v>
      </x:c>
      <x:c r="I506" s="119" t="n">
        <x:f>SUM(Z506,AD506,AH506,AL506,AP506,AT506,AX506)</x:f>
        <x:v>4726870</x:v>
      </x:c>
      <x:c r="J506" s="119" t="n">
        <x:f>ROUND(INDEX(X506:AY506,1,(D506-1)*4+2)*'难度参数'!$E$28*'章节与怪物'!$E$17,0)</x:f>
        <x:v>106991</x:v>
      </x:c>
      <x:c r="K506" s="119" t="n">
        <x:f>SUM(AA506,AE506,AI506,AM506,AQ506,AU506,AY506)</x:f>
        <x:v>7764</x:v>
      </x:c>
      <x:c r="L506" s="62" t="n">
        <x:f>H506*(ROUNDUP('难度参数'!$E$24/('难度参数'!$E$26*'难度参数'!$E$27),0)*'难度参数'!$E$26)/60</x:f>
        <x:v>3.8800000000000003</x:v>
      </x:c>
      <x:c r="M506" s="62" t="n">
        <x:f>L506+D506*('难度参数'!$E$49+'难度参数'!$E$50)/60</x:f>
        <x:v>5.046666666666667</x:v>
      </x:c>
      <x:c r="N506" s="119" t="n">
        <x:f>ROUNDDOWN(('经济参数'!$E$20+A506*'经济参数'!$E$21)*G506,0)</x:f>
        <x:v>10180</x:v>
      </x:c>
      <x:c r="O506" s="119" t="n">
        <x:f>ROUNDDOWN(MIN('经济参数'!$E$24,'经济参数'!$E$22+A506*'经济参数'!$E$23)*G506,0)</x:f>
        <x:v>0</x:v>
      </x:c>
      <x:c r="P506" s="119" t="n">
        <x:f>ROUNDDOWN((IF(A506&gt;='材料与任务'!$E$31,'材料与任务'!$E$32,IF(A506&gt;='材料与任务'!$E$25,'材料与任务'!$E$26,IF(A506&gt;='材料与任务'!$E$19,'材料与任务'!$E$20,IF(A506&gt;='材料与任务'!$E$13,'材料与任务'!$E$14,'材料与任务'!$E$8)))))*G506,0)</x:f>
        <x:v>6</x:v>
      </x:c>
      <x:c r="Q506" s="119" t="n">
        <x:f>ROUNDDOWN((IF(A506&gt;='材料与任务'!$E$31,'材料与任务'!$E$33,IF(A506&gt;='材料与任务'!$E$25,'材料与任务'!$E$27,IF(A506&gt;='材料与任务'!$E$19,'材料与任务'!$E$21,IF(A506&gt;='材料与任务'!$E$13,'材料与任务'!$E$15,'材料与任务'!$E$9)))))*G506,0)</x:f>
        <x:v>3</x:v>
      </x:c>
      <x:c r="R506" s="110" t="n">
        <x:f>'装备掉落'!$B$38</x:f>
        <x:v>0.6872058758851213</x:v>
      </x:c>
      <x:c r="S506" s="119" t="n">
        <x:f>MAX(IF(VLOOKUP(A506,'装备掉落'!$A$29:$H$34,2,TRUE)&gt;0,1,0),IF(VLOOKUP(A506,'装备掉落'!$A$29:$H$34,3,TRUE)&gt;0,2,0),IF(VLOOKUP(A506,'装备掉落'!$A$29:$H$34,4,TRUE)&gt;0,3,0),IF(VLOOKUP(A506,'装备掉落'!$A$29:$H$34,5,TRUE)&gt;0,4,0),IF(VLOOKUP(A506,'装备掉落'!$A$29:$H$34,6,TRUE)&gt;0,5,0),IF(VLOOKUP(A506,'装备掉落'!$A$29:$H$34,7,TRUE)&gt;0,6,0),IF(VLOOKUP(A506,'装备掉落'!$A$29:$H$34,8,TRUE)&gt;0,7,0))</x:f>
        <x:v>7</x:v>
      </x:c>
      <x:c r="T506" s="119" t="n">
        <x:f>MIN(7,S506+'经济参数'!$E$70)</x:f>
        <x:v>7</x:v>
      </x:c>
      <x:c r="U506" s="119" t="n">
        <x:f>MIN(7,S506+'经济参数'!$E$71)</x:f>
        <x:v>7</x:v>
      </x:c>
      <x:c r="V506" s="119" t="n">
        <x:f>IF(H506&gt;=('难度参数'!$E$52),1,0)+IF(H506&gt;=('难度参数'!$E$52+'难度参数'!$E$53),1,0)+IF(H506&gt;=('难度参数'!$E$52+'难度参数'!$E$53+'难度参数'!$E$54),1,0)+IF(H506&gt;=('难度参数'!$E$52+'难度参数'!$E$53+'难度参数'!$E$54+'难度参数'!$E$55),1,0)+IF(H506&gt;=('难度参数'!$E$52+'难度参数'!$E$53+'难度参数'!$E$54+'难度参数'!$E$55+'难度参数'!$E$56),1,0)+IF(H506&gt;=('难度参数'!$E$52+'难度参数'!$E$53+'难度参数'!$E$54+'难度参数'!$E$55+'难度参数'!$E$56+'难度参数'!$E$57),1,0)</x:f>
        <x:v>6</x:v>
      </x:c>
      <x:c r="W506" s="62" t="str">
        <x:f>IF(L506&gt;'难度参数'!$E$51,"仅出怪已超目标","还需实测")</x:f>
        <x:v>仅出怪已超目标</x:v>
      </x:c>
      <x:c r="X506" s="119" t="n">
        <x:f>IF(1&gt;D506,0,MAX(2,MIN('难度参数'!$E$12,ROUND(('难度参数'!$E$18*POWER(A506,'难度参数'!$E$19)/D506*(0.85+0.3*(1-1)/MAX(1,D506-1))),0)+F506)))</x:f>
        <x:v>35</x:v>
      </x:c>
      <x:c r="Y506" s="119" t="n">
        <x:f>IF(1&gt;D506,0,ROUND(('难度参数'!$E$13*POWER(A506,'难度参数'!$E$20)*MIN('难度参数'!$E$23,1+MAX(0,A506-'难度参数'!$E$21)*'难度参数'!$E$22))*(36+1*7)/(36+7*(D506+1)/2)*E506,0))</x:f>
        <x:v>7959</x:v>
      </x:c>
      <x:c r="Z506" s="119" t="n">
        <x:f>IF(X506=0,0,(X506-IF(1=D506,1,0))*ROUND(Y506*VLOOKUP(INDEX('章节与怪物'!$E$31:$K$37,B506,1),'章节与怪物'!$A$41:$F$44,2,FALSE),0)+IF(1=D506,ROUND(Y506*'难度参数'!$E$28*'章节与怪物'!$E$17,0),0))</x:f>
        <x:v>200550</x:v>
      </x:c>
      <x:c r="AA506" s="119" t="n">
        <x:f>IF(X506=0,0,(X506-IF(1=D506,1,0))*VLOOKUP(INDEX('章节与怪物'!$E$31:$K$37,B506,1),'章节与怪物'!$A$41:$F$44,4,FALSE)+IF(1=D506,'难度参数'!$E$30,0))</x:f>
        <x:v>700</x:v>
      </x:c>
      <x:c r="AB506" s="119" t="n">
        <x:f>IF(2&gt;D506,0,MAX(2,MIN('难度参数'!$E$12,ROUND(('难度参数'!$E$18*POWER(A506,'难度参数'!$E$19)/D506*(0.85+0.3*(2-1)/MAX(1,D506-1))),0)+F506)))</x:f>
        <x:v>37</x:v>
      </x:c>
      <x:c r="AC506" s="119" t="n">
        <x:f>IF(2&gt;D506,0,ROUND(('难度参数'!$E$13*POWER(A506,'难度参数'!$E$20)*MIN('难度参数'!$E$23,1+MAX(0,A506-'难度参数'!$E$21)*'难度参数'!$E$22))*(36+2*7)/(36+7*(D506+1)/2)*E506,0))</x:f>
        <x:v>9255</x:v>
      </x:c>
      <x:c r="AD506" s="119" t="n">
        <x:f>IF(AB506=0,0,(AB506-IF(2=D506,1,0))*ROUND(AC506*VLOOKUP(INDEX('章节与怪物'!$E$31:$K$37,B506,2),'章节与怪物'!$A$41:$F$44,2,FALSE),0)+IF(2=D506,ROUND(AC506*'难度参数'!$E$28*'章节与怪物'!$E$17,0),0))</x:f>
        <x:v>342435</x:v>
      </x:c>
      <x:c r="AE506" s="119" t="n">
        <x:f>IF(AB506=0,0,(AB506-IF(2=D506,1,0))*VLOOKUP(INDEX('章节与怪物'!$E$31:$K$37,B506,2),'章节与怪物'!$A$41:$F$44,4,FALSE)+IF(2=D506,'难度参数'!$E$30,0))</x:f>
        <x:v>666</x:v>
      </x:c>
      <x:c r="AF506" s="119" t="n">
        <x:f>IF(3&gt;D506,0,MAX(2,MIN('难度参数'!$E$12,ROUND(('难度参数'!$E$18*POWER(A506,'难度参数'!$E$19)/D506*(0.85+0.3*(3-1)/MAX(1,D506-1))),0)+F506)))</x:f>
        <x:v>39</x:v>
      </x:c>
      <x:c r="AG506" s="119" t="n">
        <x:f>IF(3&gt;D506,0,ROUND(('难度参数'!$E$13*POWER(A506,'难度参数'!$E$20)*MIN('难度参数'!$E$23,1+MAX(0,A506-'难度参数'!$E$21)*'难度参数'!$E$22))*(36+3*7)/(36+7*(D506+1)/2)*E506,0))</x:f>
        <x:v>10551</x:v>
      </x:c>
      <x:c r="AH506" s="119" t="n">
        <x:f>IF(AF506=0,0,(AF506-IF(3=D506,1,0))*ROUND(AG506*VLOOKUP(INDEX('章节与怪物'!$E$31:$K$37,B506,3),'章节与怪物'!$A$41:$F$44,2,FALSE),0)+IF(3=D506,ROUND(AG506*'难度参数'!$E$28*'章节与怪物'!$E$17,0),0))</x:f>
        <x:v>699543</x:v>
      </x:c>
      <x:c r="AI506" s="119" t="n">
        <x:f>IF(AF506=0,0,(AF506-IF(3=D506,1,0))*VLOOKUP(INDEX('章节与怪物'!$E$31:$K$37,B506,3),'章节与怪物'!$A$41:$F$44,4,FALSE)+IF(3=D506,'难度参数'!$E$30,0))</x:f>
        <x:v>1092</x:v>
      </x:c>
      <x:c r="AJ506" s="119" t="n">
        <x:f>IF(4&gt;D506,0,MAX(2,MIN('难度参数'!$E$12,ROUND(('难度参数'!$E$18*POWER(A506,'难度参数'!$E$19)/D506*(0.85+0.3*(4-1)/MAX(1,D506-1))),0)+F506)))</x:f>
        <x:v>42</x:v>
      </x:c>
      <x:c r="AK506" s="119" t="n">
        <x:f>IF(4&gt;D506,0,ROUND(('难度参数'!$E$13*POWER(A506,'难度参数'!$E$20)*MIN('难度参数'!$E$23,1+MAX(0,A506-'难度参数'!$E$21)*'难度参数'!$E$22))*(36+4*7)/(36+7*(D506+1)/2)*E506,0))</x:f>
        <x:v>11847</x:v>
      </x:c>
      <x:c r="AL506" s="119" t="n">
        <x:f>IF(AJ506=0,0,(AJ506-IF(4=D506,1,0))*ROUND(AK506*VLOOKUP(INDEX('章节与怪物'!$E$31:$K$37,B506,4),'章节与怪物'!$A$41:$F$44,2,FALSE),0)+IF(4=D506,ROUND(AK506*'难度参数'!$E$28*'章节与怪物'!$E$17,0),0))</x:f>
        <x:v>671706</x:v>
      </x:c>
      <x:c r="AM506" s="119" t="n">
        <x:f>IF(AJ506=0,0,(AJ506-IF(4=D506,1,0))*VLOOKUP(INDEX('章节与怪物'!$E$31:$K$37,B506,4),'章节与怪物'!$A$41:$F$44,4,FALSE)+IF(4=D506,'难度参数'!$E$30,0))</x:f>
        <x:v>1428</x:v>
      </x:c>
      <x:c r="AN506" s="119" t="n">
        <x:f>IF(5&gt;D506,0,MAX(2,MIN('难度参数'!$E$12,ROUND(('难度参数'!$E$18*POWER(A506,'难度参数'!$E$19)/D506*(0.85+0.3*(5-1)/MAX(1,D506-1))),0)+F506)))</x:f>
        <x:v>44</x:v>
      </x:c>
      <x:c r="AO506" s="119" t="n">
        <x:f>IF(5&gt;D506,0,ROUND(('难度参数'!$E$13*POWER(A506,'难度参数'!$E$20)*MIN('难度参数'!$E$23,1+MAX(0,A506-'难度参数'!$E$21)*'难度参数'!$E$22))*(36+5*7)/(36+7*(D506+1)/2)*E506,0))</x:f>
        <x:v>13142</x:v>
      </x:c>
      <x:c r="AP506" s="119" t="n">
        <x:f>IF(AN506=0,0,(AN506-IF(5=D506,1,0))*ROUND(AO506*VLOOKUP(INDEX('章节与怪物'!$E$31:$K$37,B506,5),'章节与怪物'!$A$41:$F$44,2,FALSE),0)+IF(5=D506,ROUND(AO506*'难度参数'!$E$28*'章节与怪物'!$E$17,0),0))</x:f>
        <x:v>578248</x:v>
      </x:c>
      <x:c r="AQ506" s="119" t="n">
        <x:f>IF(AN506=0,0,(AN506-IF(5=D506,1,0))*VLOOKUP(INDEX('章节与怪物'!$E$31:$K$37,B506,5),'章节与怪物'!$A$41:$F$44,4,FALSE)+IF(5=D506,'难度参数'!$E$30,0))</x:f>
        <x:v>792</x:v>
      </x:c>
      <x:c r="AR506" s="119" t="n">
        <x:f>IF(6&gt;D506,0,MAX(2,MIN('难度参数'!$E$12,ROUND(('难度参数'!$E$18*POWER(A506,'难度参数'!$E$19)/D506*(0.85+0.3*(6-1)/MAX(1,D506-1))),0)+F506)))</x:f>
        <x:v>46</x:v>
      </x:c>
      <x:c r="AS506" s="119" t="n">
        <x:f>IF(6&gt;D506,0,ROUND(('难度参数'!$E$13*POWER(A506,'难度参数'!$E$20)*MIN('难度参数'!$E$23,1+MAX(0,A506-'难度参数'!$E$21)*'难度参数'!$E$22))*(36+6*7)/(36+7*(D506+1)/2)*E506,0))</x:f>
        <x:v>14438</x:v>
      </x:c>
      <x:c r="AT506" s="119" t="n">
        <x:f>IF(AR506=0,0,(AR506-IF(6=D506,1,0))*ROUND(AS506*VLOOKUP(INDEX('章节与怪物'!$E$31:$K$37,B506,6),'章节与怪物'!$A$41:$F$44,2,FALSE),0)+IF(6=D506,ROUND(AS506*'难度参数'!$E$28*'章节与怪物'!$E$17,0),0))</x:f>
        <x:v>1129070</x:v>
      </x:c>
      <x:c r="AU506" s="119" t="n">
        <x:f>IF(AR506=0,0,(AR506-IF(6=D506,1,0))*VLOOKUP(INDEX('章节与怪物'!$E$31:$K$37,B506,6),'章节与怪物'!$A$41:$F$44,4,FALSE)+IF(6=D506,'难度参数'!$E$30,0))</x:f>
        <x:v>1288</x:v>
      </x:c>
      <x:c r="AV506" s="119" t="n">
        <x:f>IF(7&gt;D506,0,MAX(2,MIN('难度参数'!$E$12,ROUND(('难度参数'!$E$18*POWER(A506,'难度参数'!$E$19)/D506*(0.85+0.3*(7-1)/MAX(1,D506-1))),0)+F506)))</x:f>
        <x:v>48</x:v>
      </x:c>
      <x:c r="AW506" s="119" t="n">
        <x:f>IF(7&gt;D506,0,ROUND(('难度参数'!$E$13*POWER(A506,'难度参数'!$E$20)*MIN('难度参数'!$E$23,1+MAX(0,A506-'难度参数'!$E$21)*'难度参数'!$E$22))*(36+7*7)/(36+7*(D506+1)/2)*E506,0))</x:f>
        <x:v>15734</x:v>
      </x:c>
      <x:c r="AX506" s="119" t="n">
        <x:f>IF(AV506=0,0,(AV506-IF(7=D506,1,0))*ROUND(AW506*VLOOKUP(INDEX('章节与怪物'!$E$31:$K$37,B506,7),'章节与怪物'!$A$41:$F$44,2,FALSE),0)+IF(7=D506,ROUND(AW506*'难度参数'!$E$28*'章节与怪物'!$E$17,0),0))</x:f>
        <x:v>1105318</x:v>
      </x:c>
      <x:c r="AY506" s="119" t="n">
        <x:f>IF(AV506=0,0,(AV506-IF(7=D506,1,0))*VLOOKUP(INDEX('章节与怪物'!$E$31:$K$37,B506,7),'章节与怪物'!$A$41:$F$44,4,FALSE)+IF(7=D506,'难度参数'!$E$30,0))</x:f>
        <x:v>1798</x:v>
      </x:c>
    </x:row>
    <x:row r="507" ht="23" customHeight="1">
      <x:c r="A507" s="119" t="n">
        <x:v>501</x:v>
      </x:c>
      <x:c r="B507" s="119" t="n">
        <x:f>MOD(INT((A507-1)/5),7)+1</x:f>
        <x:v>3</x:v>
      </x:c>
      <x:c r="C507" s="62" t="str">
        <x:f>INDEX('章节与怪物'!$B$31:$B$37,B507)</x:f>
        <x:v>腐沼秘林</x:v>
      </x:c>
      <x:c r="D507" s="119" t="n">
        <x:f>MIN('难度参数'!$E$8,MAX('难度参数'!$E$7,A507))</x:f>
        <x:v>7</x:v>
      </x:c>
      <x:c r="E507" s="106" t="n">
        <x:v>1</x:v>
      </x:c>
      <x:c r="F507" s="106" t="n">
        <x:v>0</x:v>
      </x:c>
      <x:c r="G507" s="106" t="n">
        <x:v>1</x:v>
      </x:c>
      <x:c r="H507" s="119" t="n">
        <x:f>SUM(X507,AB507,AF507,AJ507,AN507,AR507,AV507)</x:f>
        <x:v>291</x:v>
      </x:c>
      <x:c r="I507" s="119" t="n">
        <x:f>SUM(Z507,AD507,AH507,AL507,AP507,AT507,AX507)</x:f>
        <x:v>4553578</x:v>
      </x:c>
      <x:c r="J507" s="119" t="n">
        <x:f>ROUND(INDEX(X507:AY507,1,(D507-1)*4+2)*'难度参数'!$E$28*'章节与怪物'!$E$17,0)</x:f>
        <x:v>107141</x:v>
      </x:c>
      <x:c r="K507" s="119" t="n">
        <x:f>SUM(AA507,AE507,AI507,AM507,AQ507,AU507,AY507)</x:f>
        <x:v>7856</x:v>
      </x:c>
      <x:c r="L507" s="62" t="n">
        <x:f>H507*(ROUNDUP('难度参数'!$E$24/('难度参数'!$E$26*'难度参数'!$E$27),0)*'难度参数'!$E$26)/60</x:f>
        <x:v>3.8800000000000003</x:v>
      </x:c>
      <x:c r="M507" s="62" t="n">
        <x:f>L507+D507*('难度参数'!$E$49+'难度参数'!$E$50)/60</x:f>
        <x:v>5.046666666666667</x:v>
      </x:c>
      <x:c r="N507" s="119" t="n">
        <x:f>ROUNDDOWN(('经济参数'!$E$20+A507*'经济参数'!$E$21)*G507,0)</x:f>
        <x:v>10200</x:v>
      </x:c>
      <x:c r="O507" s="119" t="n">
        <x:f>ROUNDDOWN(MIN('经济参数'!$E$24,'经济参数'!$E$22+A507*'经济参数'!$E$23)*G507,0)</x:f>
        <x:v>0</x:v>
      </x:c>
      <x:c r="P507" s="119" t="n">
        <x:f>ROUNDDOWN((IF(A507&gt;='材料与任务'!$E$31,'材料与任务'!$E$32,IF(A507&gt;='材料与任务'!$E$25,'材料与任务'!$E$26,IF(A507&gt;='材料与任务'!$E$19,'材料与任务'!$E$20,IF(A507&gt;='材料与任务'!$E$13,'材料与任务'!$E$14,'材料与任务'!$E$8)))))*G507,0)</x:f>
        <x:v>6</x:v>
      </x:c>
      <x:c r="Q507" s="119" t="n">
        <x:f>ROUNDDOWN((IF(A507&gt;='材料与任务'!$E$31,'材料与任务'!$E$33,IF(A507&gt;='材料与任务'!$E$25,'材料与任务'!$E$27,IF(A507&gt;='材料与任务'!$E$19,'材料与任务'!$E$21,IF(A507&gt;='材料与任务'!$E$13,'材料与任务'!$E$15,'材料与任务'!$E$9)))))*G507,0)</x:f>
        <x:v>3</x:v>
      </x:c>
      <x:c r="R507" s="110" t="n">
        <x:f>'装备掉落'!$B$38</x:f>
        <x:v>0.6872058758851213</x:v>
      </x:c>
      <x:c r="S507" s="119" t="n">
        <x:f>MAX(IF(VLOOKUP(A507,'装备掉落'!$A$29:$H$34,2,TRUE)&gt;0,1,0),IF(VLOOKUP(A507,'装备掉落'!$A$29:$H$34,3,TRUE)&gt;0,2,0),IF(VLOOKUP(A507,'装备掉落'!$A$29:$H$34,4,TRUE)&gt;0,3,0),IF(VLOOKUP(A507,'装备掉落'!$A$29:$H$34,5,TRUE)&gt;0,4,0),IF(VLOOKUP(A507,'装备掉落'!$A$29:$H$34,6,TRUE)&gt;0,5,0),IF(VLOOKUP(A507,'装备掉落'!$A$29:$H$34,7,TRUE)&gt;0,6,0),IF(VLOOKUP(A507,'装备掉落'!$A$29:$H$34,8,TRUE)&gt;0,7,0))</x:f>
        <x:v>7</x:v>
      </x:c>
      <x:c r="T507" s="119" t="n">
        <x:f>MIN(7,S507+'经济参数'!$E$70)</x:f>
        <x:v>7</x:v>
      </x:c>
      <x:c r="U507" s="119" t="n">
        <x:f>MIN(7,S507+'经济参数'!$E$71)</x:f>
        <x:v>7</x:v>
      </x:c>
      <x:c r="V507" s="119" t="n">
        <x:f>IF(H507&gt;=('难度参数'!$E$52),1,0)+IF(H507&gt;=('难度参数'!$E$52+'难度参数'!$E$53),1,0)+IF(H507&gt;=('难度参数'!$E$52+'难度参数'!$E$53+'难度参数'!$E$54),1,0)+IF(H507&gt;=('难度参数'!$E$52+'难度参数'!$E$53+'难度参数'!$E$54+'难度参数'!$E$55),1,0)+IF(H507&gt;=('难度参数'!$E$52+'难度参数'!$E$53+'难度参数'!$E$54+'难度参数'!$E$55+'难度参数'!$E$56),1,0)+IF(H507&gt;=('难度参数'!$E$52+'难度参数'!$E$53+'难度参数'!$E$54+'难度参数'!$E$55+'难度参数'!$E$56+'难度参数'!$E$57),1,0)</x:f>
        <x:v>6</x:v>
      </x:c>
      <x:c r="W507" s="62" t="str">
        <x:f>IF(L507&gt;'难度参数'!$E$51,"仅出怪已超目标","还需实测")</x:f>
        <x:v>仅出怪已超目标</x:v>
      </x:c>
      <x:c r="X507" s="119" t="n">
        <x:f>IF(1&gt;D507,0,MAX(2,MIN('难度参数'!$E$12,ROUND(('难度参数'!$E$18*POWER(A507,'难度参数'!$E$19)/D507*(0.85+0.3*(1-1)/MAX(1,D507-1))),0)+F507)))</x:f>
        <x:v>35</x:v>
      </x:c>
      <x:c r="Y507" s="119" t="n">
        <x:f>IF(1&gt;D507,0,ROUND(('难度参数'!$E$13*POWER(A507,'难度参数'!$E$20)*MIN('难度参数'!$E$23,1+MAX(0,A507-'难度参数'!$E$21)*'难度参数'!$E$22))*(36+1*7)/(36+7*(D507+1)/2)*E507,0))</x:f>
        <x:v>7971</x:v>
      </x:c>
      <x:c r="Z507" s="119" t="n">
        <x:f>IF(X507=0,0,(X507-IF(1=D507,1,0))*ROUND(Y507*VLOOKUP(INDEX('章节与怪物'!$E$31:$K$37,B507,1),'章节与怪物'!$A$41:$F$44,2,FALSE),0)+IF(1=D507,ROUND(Y507*'难度参数'!$E$28*'章节与怪物'!$E$17,0),0))</x:f>
        <x:v>278985</x:v>
      </x:c>
      <x:c r="AA507" s="119" t="n">
        <x:f>IF(X507=0,0,(X507-IF(1=D507,1,0))*VLOOKUP(INDEX('章节与怪物'!$E$31:$K$37,B507,1),'章节与怪物'!$A$41:$F$44,4,FALSE)+IF(1=D507,'难度参数'!$E$30,0))</x:f>
        <x:v>630</x:v>
      </x:c>
      <x:c r="AB507" s="119" t="n">
        <x:f>IF(2&gt;D507,0,MAX(2,MIN('难度参数'!$E$12,ROUND(('难度参数'!$E$18*POWER(A507,'难度参数'!$E$19)/D507*(0.85+0.3*(2-1)/MAX(1,D507-1))),0)+F507)))</x:f>
        <x:v>37</x:v>
      </x:c>
      <x:c r="AC507" s="119" t="n">
        <x:f>IF(2&gt;D507,0,ROUND(('难度参数'!$E$13*POWER(A507,'难度参数'!$E$20)*MIN('难度参数'!$E$23,1+MAX(0,A507-'难度参数'!$E$21)*'难度参数'!$E$22))*(36+2*7)/(36+7*(D507+1)/2)*E507,0))</x:f>
        <x:v>9268</x:v>
      </x:c>
      <x:c r="AD507" s="119" t="n">
        <x:f>IF(AB507=0,0,(AB507-IF(2=D507,1,0))*ROUND(AC507*VLOOKUP(INDEX('章节与怪物'!$E$31:$K$37,B507,2),'章节与怪物'!$A$41:$F$44,2,FALSE),0)+IF(2=D507,ROUND(AC507*'难度参数'!$E$28*'章节与怪物'!$E$17,0),0))</x:f>
        <x:v>246901</x:v>
      </x:c>
      <x:c r="AE507" s="119" t="n">
        <x:f>IF(AB507=0,0,(AB507-IF(2=D507,1,0))*VLOOKUP(INDEX('章节与怪物'!$E$31:$K$37,B507,2),'章节与怪物'!$A$41:$F$44,4,FALSE)+IF(2=D507,'难度参数'!$E$30,0))</x:f>
        <x:v>740</x:v>
      </x:c>
      <x:c r="AF507" s="119" t="n">
        <x:f>IF(3&gt;D507,0,MAX(2,MIN('难度参数'!$E$12,ROUND(('难度参数'!$E$18*POWER(A507,'难度参数'!$E$19)/D507*(0.85+0.3*(3-1)/MAX(1,D507-1))),0)+F507)))</x:f>
        <x:v>39</x:v>
      </x:c>
      <x:c r="AG507" s="119" t="n">
        <x:f>IF(3&gt;D507,0,ROUND(('难度参数'!$E$13*POWER(A507,'难度参数'!$E$20)*MIN('难度参数'!$E$23,1+MAX(0,A507-'难度参数'!$E$21)*'难度参数'!$E$22))*(36+3*7)/(36+7*(D507+1)/2)*E507,0))</x:f>
        <x:v>10566</x:v>
      </x:c>
      <x:c r="AH507" s="119" t="n">
        <x:f>IF(AF507=0,0,(AF507-IF(3=D507,1,0))*ROUND(AG507*VLOOKUP(INDEX('章节与怪物'!$E$31:$K$37,B507,3),'章节与怪物'!$A$41:$F$44,2,FALSE),0)+IF(3=D507,ROUND(AG507*'难度参数'!$E$28*'章节与怪物'!$E$17,0),0))</x:f>
        <x:v>700518</x:v>
      </x:c>
      <x:c r="AI507" s="119" t="n">
        <x:f>IF(AF507=0,0,(AF507-IF(3=D507,1,0))*VLOOKUP(INDEX('章节与怪物'!$E$31:$K$37,B507,3),'章节与怪物'!$A$41:$F$44,4,FALSE)+IF(3=D507,'难度参数'!$E$30,0))</x:f>
        <x:v>1092</x:v>
      </x:c>
      <x:c r="AJ507" s="119" t="n">
        <x:f>IF(4&gt;D507,0,MAX(2,MIN('难度参数'!$E$12,ROUND(('难度参数'!$E$18*POWER(A507,'难度参数'!$E$19)/D507*(0.85+0.3*(4-1)/MAX(1,D507-1))),0)+F507)))</x:f>
        <x:v>42</x:v>
      </x:c>
      <x:c r="AK507" s="119" t="n">
        <x:f>IF(4&gt;D507,0,ROUND(('难度参数'!$E$13*POWER(A507,'难度参数'!$E$20)*MIN('难度参数'!$E$23,1+MAX(0,A507-'难度参数'!$E$21)*'难度参数'!$E$22))*(36+4*7)/(36+7*(D507+1)/2)*E507,0))</x:f>
        <x:v>11864</x:v>
      </x:c>
      <x:c r="AL507" s="119" t="n">
        <x:f>IF(AJ507=0,0,(AJ507-IF(4=D507,1,0))*ROUND(AK507*VLOOKUP(INDEX('章节与怪物'!$E$31:$K$37,B507,4),'章节与怪物'!$A$41:$F$44,2,FALSE),0)+IF(4=D507,ROUND(AK507*'难度参数'!$E$28*'章节与怪物'!$E$17,0),0))</x:f>
        <x:v>672672</x:v>
      </x:c>
      <x:c r="AM507" s="119" t="n">
        <x:f>IF(AJ507=0,0,(AJ507-IF(4=D507,1,0))*VLOOKUP(INDEX('章节与怪物'!$E$31:$K$37,B507,4),'章节与怪物'!$A$41:$F$44,4,FALSE)+IF(4=D507,'难度参数'!$E$30,0))</x:f>
        <x:v>1428</x:v>
      </x:c>
      <x:c r="AN507" s="119" t="n">
        <x:f>IF(5&gt;D507,0,MAX(2,MIN('难度参数'!$E$12,ROUND(('难度参数'!$E$18*POWER(A507,'难度参数'!$E$19)/D507*(0.85+0.3*(5-1)/MAX(1,D507-1))),0)+F507)))</x:f>
        <x:v>44</x:v>
      </x:c>
      <x:c r="AO507" s="119" t="n">
        <x:f>IF(5&gt;D507,0,ROUND(('难度参数'!$E$13*POWER(A507,'难度参数'!$E$20)*MIN('难度参数'!$E$23,1+MAX(0,A507-'难度参数'!$E$21)*'难度参数'!$E$22))*(36+5*7)/(36+7*(D507+1)/2)*E507,0))</x:f>
        <x:v>13161</x:v>
      </x:c>
      <x:c r="AP507" s="119" t="n">
        <x:f>IF(AN507=0,0,(AN507-IF(5=D507,1,0))*ROUND(AO507*VLOOKUP(INDEX('章节与怪物'!$E$31:$K$37,B507,5),'章节与怪物'!$A$41:$F$44,2,FALSE),0)+IF(5=D507,ROUND(AO507*'难度参数'!$E$28*'章节与怪物'!$E$17,0),0))</x:f>
        <x:v>416944</x:v>
      </x:c>
      <x:c r="AQ507" s="119" t="n">
        <x:f>IF(AN507=0,0,(AN507-IF(5=D507,1,0))*VLOOKUP(INDEX('章节与怪物'!$E$31:$K$37,B507,5),'章节与怪物'!$A$41:$F$44,4,FALSE)+IF(5=D507,'难度参数'!$E$30,0))</x:f>
        <x:v>880</x:v>
      </x:c>
      <x:c r="AR507" s="119" t="n">
        <x:f>IF(6&gt;D507,0,MAX(2,MIN('难度参数'!$E$12,ROUND(('难度参数'!$E$18*POWER(A507,'难度参数'!$E$19)/D507*(0.85+0.3*(6-1)/MAX(1,D507-1))),0)+F507)))</x:f>
        <x:v>46</x:v>
      </x:c>
      <x:c r="AS507" s="119" t="n">
        <x:f>IF(6&gt;D507,0,ROUND(('难度参数'!$E$13*POWER(A507,'难度参数'!$E$20)*MIN('难度参数'!$E$23,1+MAX(0,A507-'难度参数'!$E$21)*'难度参数'!$E$22))*(36+6*7)/(36+7*(D507+1)/2)*E507,0))</x:f>
        <x:v>14459</x:v>
      </x:c>
      <x:c r="AT507" s="119" t="n">
        <x:f>IF(AR507=0,0,(AR507-IF(6=D507,1,0))*ROUND(AS507*VLOOKUP(INDEX('章节与怪物'!$E$31:$K$37,B507,6),'章节与怪物'!$A$41:$F$44,2,FALSE),0)+IF(6=D507,ROUND(AS507*'难度参数'!$E$28*'章节与怪物'!$E$17,0),0))</x:f>
        <x:v>1130680</x:v>
      </x:c>
      <x:c r="AU507" s="119" t="n">
        <x:f>IF(AR507=0,0,(AR507-IF(6=D507,1,0))*VLOOKUP(INDEX('章节与怪物'!$E$31:$K$37,B507,6),'章节与怪物'!$A$41:$F$44,4,FALSE)+IF(6=D507,'难度参数'!$E$30,0))</x:f>
        <x:v>1288</x:v>
      </x:c>
      <x:c r="AV507" s="119" t="n">
        <x:f>IF(7&gt;D507,0,MAX(2,MIN('难度参数'!$E$12,ROUND(('难度参数'!$E$18*POWER(A507,'难度参数'!$E$19)/D507*(0.85+0.3*(7-1)/MAX(1,D507-1))),0)+F507)))</x:f>
        <x:v>48</x:v>
      </x:c>
      <x:c r="AW507" s="119" t="n">
        <x:f>IF(7&gt;D507,0,ROUND(('难度参数'!$E$13*POWER(A507,'难度参数'!$E$20)*MIN('难度参数'!$E$23,1+MAX(0,A507-'难度参数'!$E$21)*'难度参数'!$E$22))*(36+7*7)/(36+7*(D507+1)/2)*E507,0))</x:f>
        <x:v>15756</x:v>
      </x:c>
      <x:c r="AX507" s="119" t="n">
        <x:f>IF(AV507=0,0,(AV507-IF(7=D507,1,0))*ROUND(AW507*VLOOKUP(INDEX('章节与怪物'!$E$31:$K$37,B507,7),'章节与怪物'!$A$41:$F$44,2,FALSE),0)+IF(7=D507,ROUND(AW507*'难度参数'!$E$28*'章节与怪物'!$E$17,0),0))</x:f>
        <x:v>1106878</x:v>
      </x:c>
      <x:c r="AY507" s="119" t="n">
        <x:f>IF(AV507=0,0,(AV507-IF(7=D507,1,0))*VLOOKUP(INDEX('章节与怪物'!$E$31:$K$37,B507,7),'章节与怪物'!$A$41:$F$44,4,FALSE)+IF(7=D507,'难度参数'!$E$30,0))</x:f>
        <x:v>1798</x:v>
      </x:c>
    </x:row>
    <x:row r="508" ht="23" customHeight="1">
      <x:c r="A508" s="119" t="n">
        <x:v>502</x:v>
      </x:c>
      <x:c r="B508" s="119" t="n">
        <x:f>MOD(INT((A508-1)/5),7)+1</x:f>
        <x:v>3</x:v>
      </x:c>
      <x:c r="C508" s="62" t="str">
        <x:f>INDEX('章节与怪物'!$B$31:$B$37,B508)</x:f>
        <x:v>腐沼秘林</x:v>
      </x:c>
      <x:c r="D508" s="119" t="n">
        <x:f>MIN('难度参数'!$E$8,MAX('难度参数'!$E$7,A508))</x:f>
        <x:v>7</x:v>
      </x:c>
      <x:c r="E508" s="106" t="n">
        <x:v>1</x:v>
      </x:c>
      <x:c r="F508" s="106" t="n">
        <x:v>0</x:v>
      </x:c>
      <x:c r="G508" s="106" t="n">
        <x:v>1</x:v>
      </x:c>
      <x:c r="H508" s="119" t="n">
        <x:f>SUM(X508,AB508,AF508,AJ508,AN508,AR508,AV508)</x:f>
        <x:v>291</x:v>
      </x:c>
      <x:c r="I508" s="119" t="n">
        <x:f>SUM(Z508,AD508,AH508,AL508,AP508,AT508,AX508)</x:f>
        <x:v>4560198</x:v>
      </x:c>
      <x:c r="J508" s="119" t="n">
        <x:f>ROUND(INDEX(X508:AY508,1,(D508-1)*4+2)*'难度参数'!$E$28*'章节与怪物'!$E$17,0)</x:f>
        <x:v>107297</x:v>
      </x:c>
      <x:c r="K508" s="119" t="n">
        <x:f>SUM(AA508,AE508,AI508,AM508,AQ508,AU508,AY508)</x:f>
        <x:v>7856</x:v>
      </x:c>
      <x:c r="L508" s="62" t="n">
        <x:f>H508*(ROUNDUP('难度参数'!$E$24/('难度参数'!$E$26*'难度参数'!$E$27),0)*'难度参数'!$E$26)/60</x:f>
        <x:v>3.8800000000000003</x:v>
      </x:c>
      <x:c r="M508" s="62" t="n">
        <x:f>L508+D508*('难度参数'!$E$49+'难度参数'!$E$50)/60</x:f>
        <x:v>5.046666666666667</x:v>
      </x:c>
      <x:c r="N508" s="119" t="n">
        <x:f>ROUNDDOWN(('经济参数'!$E$20+A508*'经济参数'!$E$21)*G508,0)</x:f>
        <x:v>10220</x:v>
      </x:c>
      <x:c r="O508" s="119" t="n">
        <x:f>ROUNDDOWN(MIN('经济参数'!$E$24,'经济参数'!$E$22+A508*'经济参数'!$E$23)*G508,0)</x:f>
        <x:v>0</x:v>
      </x:c>
      <x:c r="P508" s="119" t="n">
        <x:f>ROUNDDOWN((IF(A508&gt;='材料与任务'!$E$31,'材料与任务'!$E$32,IF(A508&gt;='材料与任务'!$E$25,'材料与任务'!$E$26,IF(A508&gt;='材料与任务'!$E$19,'材料与任务'!$E$20,IF(A508&gt;='材料与任务'!$E$13,'材料与任务'!$E$14,'材料与任务'!$E$8)))))*G508,0)</x:f>
        <x:v>6</x:v>
      </x:c>
      <x:c r="Q508" s="119" t="n">
        <x:f>ROUNDDOWN((IF(A508&gt;='材料与任务'!$E$31,'材料与任务'!$E$33,IF(A508&gt;='材料与任务'!$E$25,'材料与任务'!$E$27,IF(A508&gt;='材料与任务'!$E$19,'材料与任务'!$E$21,IF(A508&gt;='材料与任务'!$E$13,'材料与任务'!$E$15,'材料与任务'!$E$9)))))*G508,0)</x:f>
        <x:v>3</x:v>
      </x:c>
      <x:c r="R508" s="110" t="n">
        <x:f>'装备掉落'!$B$38</x:f>
        <x:v>0.6872058758851213</x:v>
      </x:c>
      <x:c r="S508" s="119" t="n">
        <x:f>MAX(IF(VLOOKUP(A508,'装备掉落'!$A$29:$H$34,2,TRUE)&gt;0,1,0),IF(VLOOKUP(A508,'装备掉落'!$A$29:$H$34,3,TRUE)&gt;0,2,0),IF(VLOOKUP(A508,'装备掉落'!$A$29:$H$34,4,TRUE)&gt;0,3,0),IF(VLOOKUP(A508,'装备掉落'!$A$29:$H$34,5,TRUE)&gt;0,4,0),IF(VLOOKUP(A508,'装备掉落'!$A$29:$H$34,6,TRUE)&gt;0,5,0),IF(VLOOKUP(A508,'装备掉落'!$A$29:$H$34,7,TRUE)&gt;0,6,0),IF(VLOOKUP(A508,'装备掉落'!$A$29:$H$34,8,TRUE)&gt;0,7,0))</x:f>
        <x:v>7</x:v>
      </x:c>
      <x:c r="T508" s="119" t="n">
        <x:f>MIN(7,S508+'经济参数'!$E$70)</x:f>
        <x:v>7</x:v>
      </x:c>
      <x:c r="U508" s="119" t="n">
        <x:f>MIN(7,S508+'经济参数'!$E$71)</x:f>
        <x:v>7</x:v>
      </x:c>
      <x:c r="V508" s="119" t="n">
        <x:f>IF(H508&gt;=('难度参数'!$E$52),1,0)+IF(H508&gt;=('难度参数'!$E$52+'难度参数'!$E$53),1,0)+IF(H508&gt;=('难度参数'!$E$52+'难度参数'!$E$53+'难度参数'!$E$54),1,0)+IF(H508&gt;=('难度参数'!$E$52+'难度参数'!$E$53+'难度参数'!$E$54+'难度参数'!$E$55),1,0)+IF(H508&gt;=('难度参数'!$E$52+'难度参数'!$E$53+'难度参数'!$E$54+'难度参数'!$E$55+'难度参数'!$E$56),1,0)+IF(H508&gt;=('难度参数'!$E$52+'难度参数'!$E$53+'难度参数'!$E$54+'难度参数'!$E$55+'难度参数'!$E$56+'难度参数'!$E$57),1,0)</x:f>
        <x:v>6</x:v>
      </x:c>
      <x:c r="W508" s="62" t="str">
        <x:f>IF(L508&gt;'难度参数'!$E$51,"仅出怪已超目标","还需实测")</x:f>
        <x:v>仅出怪已超目标</x:v>
      </x:c>
      <x:c r="X508" s="119" t="n">
        <x:f>IF(1&gt;D508,0,MAX(2,MIN('难度参数'!$E$12,ROUND(('难度参数'!$E$18*POWER(A508,'难度参数'!$E$19)/D508*(0.85+0.3*(1-1)/MAX(1,D508-1))),0)+F508)))</x:f>
        <x:v>35</x:v>
      </x:c>
      <x:c r="Y508" s="119" t="n">
        <x:f>IF(1&gt;D508,0,ROUND(('难度参数'!$E$13*POWER(A508,'难度参数'!$E$20)*MIN('难度参数'!$E$23,1+MAX(0,A508-'难度参数'!$E$21)*'难度参数'!$E$22))*(36+1*7)/(36+7*(D508+1)/2)*E508,0))</x:f>
        <x:v>7982</x:v>
      </x:c>
      <x:c r="Z508" s="119" t="n">
        <x:f>IF(X508=0,0,(X508-IF(1=D508,1,0))*ROUND(Y508*VLOOKUP(INDEX('章节与怪物'!$E$31:$K$37,B508,1),'章节与怪物'!$A$41:$F$44,2,FALSE),0)+IF(1=D508,ROUND(Y508*'难度参数'!$E$28*'章节与怪物'!$E$17,0),0))</x:f>
        <x:v>279370</x:v>
      </x:c>
      <x:c r="AA508" s="119" t="n">
        <x:f>IF(X508=0,0,(X508-IF(1=D508,1,0))*VLOOKUP(INDEX('章节与怪物'!$E$31:$K$37,B508,1),'章节与怪物'!$A$41:$F$44,4,FALSE)+IF(1=D508,'难度参数'!$E$30,0))</x:f>
        <x:v>630</x:v>
      </x:c>
      <x:c r="AB508" s="119" t="n">
        <x:f>IF(2&gt;D508,0,MAX(2,MIN('难度参数'!$E$12,ROUND(('难度参数'!$E$18*POWER(A508,'难度参数'!$E$19)/D508*(0.85+0.3*(2-1)/MAX(1,D508-1))),0)+F508)))</x:f>
        <x:v>37</x:v>
      </x:c>
      <x:c r="AC508" s="119" t="n">
        <x:f>IF(2&gt;D508,0,ROUND(('难度参数'!$E$13*POWER(A508,'难度参数'!$E$20)*MIN('难度参数'!$E$23,1+MAX(0,A508-'难度参数'!$E$21)*'难度参数'!$E$22))*(36+2*7)/(36+7*(D508+1)/2)*E508,0))</x:f>
        <x:v>9282</x:v>
      </x:c>
      <x:c r="AD508" s="119" t="n">
        <x:f>IF(AB508=0,0,(AB508-IF(2=D508,1,0))*ROUND(AC508*VLOOKUP(INDEX('章节与怪物'!$E$31:$K$37,B508,2),'章节与怪物'!$A$41:$F$44,2,FALSE),0)+IF(2=D508,ROUND(AC508*'难度参数'!$E$28*'章节与怪物'!$E$17,0),0))</x:f>
        <x:v>247271</x:v>
      </x:c>
      <x:c r="AE508" s="119" t="n">
        <x:f>IF(AB508=0,0,(AB508-IF(2=D508,1,0))*VLOOKUP(INDEX('章节与怪物'!$E$31:$K$37,B508,2),'章节与怪物'!$A$41:$F$44,4,FALSE)+IF(2=D508,'难度参数'!$E$30,0))</x:f>
        <x:v>740</x:v>
      </x:c>
      <x:c r="AF508" s="119" t="n">
        <x:f>IF(3&gt;D508,0,MAX(2,MIN('难度参数'!$E$12,ROUND(('难度参数'!$E$18*POWER(A508,'难度参数'!$E$19)/D508*(0.85+0.3*(3-1)/MAX(1,D508-1))),0)+F508)))</x:f>
        <x:v>39</x:v>
      </x:c>
      <x:c r="AG508" s="119" t="n">
        <x:f>IF(3&gt;D508,0,ROUND(('难度参数'!$E$13*POWER(A508,'难度参数'!$E$20)*MIN('难度参数'!$E$23,1+MAX(0,A508-'难度参数'!$E$21)*'难度参数'!$E$22))*(36+3*7)/(36+7*(D508+1)/2)*E508,0))</x:f>
        <x:v>10581</x:v>
      </x:c>
      <x:c r="AH508" s="119" t="n">
        <x:f>IF(AF508=0,0,(AF508-IF(3=D508,1,0))*ROUND(AG508*VLOOKUP(INDEX('章节与怪物'!$E$31:$K$37,B508,3),'章节与怪物'!$A$41:$F$44,2,FALSE),0)+IF(3=D508,ROUND(AG508*'难度参数'!$E$28*'章节与怪物'!$E$17,0),0))</x:f>
        <x:v>701532</x:v>
      </x:c>
      <x:c r="AI508" s="119" t="n">
        <x:f>IF(AF508=0,0,(AF508-IF(3=D508,1,0))*VLOOKUP(INDEX('章节与怪物'!$E$31:$K$37,B508,3),'章节与怪物'!$A$41:$F$44,4,FALSE)+IF(3=D508,'难度参数'!$E$30,0))</x:f>
        <x:v>1092</x:v>
      </x:c>
      <x:c r="AJ508" s="119" t="n">
        <x:f>IF(4&gt;D508,0,MAX(2,MIN('难度参数'!$E$12,ROUND(('难度参数'!$E$18*POWER(A508,'难度参数'!$E$19)/D508*(0.85+0.3*(4-1)/MAX(1,D508-1))),0)+F508)))</x:f>
        <x:v>42</x:v>
      </x:c>
      <x:c r="AK508" s="119" t="n">
        <x:f>IF(4&gt;D508,0,ROUND(('难度参数'!$E$13*POWER(A508,'难度参数'!$E$20)*MIN('难度参数'!$E$23,1+MAX(0,A508-'难度参数'!$E$21)*'难度参数'!$E$22))*(36+4*7)/(36+7*(D508+1)/2)*E508,0))</x:f>
        <x:v>11881</x:v>
      </x:c>
      <x:c r="AL508" s="119" t="n">
        <x:f>IF(AJ508=0,0,(AJ508-IF(4=D508,1,0))*ROUND(AK508*VLOOKUP(INDEX('章节与怪物'!$E$31:$K$37,B508,4),'章节与怪物'!$A$41:$F$44,2,FALSE),0)+IF(4=D508,ROUND(AK508*'难度参数'!$E$28*'章节与怪物'!$E$17,0),0))</x:f>
        <x:v>673638</x:v>
      </x:c>
      <x:c r="AM508" s="119" t="n">
        <x:f>IF(AJ508=0,0,(AJ508-IF(4=D508,1,0))*VLOOKUP(INDEX('章节与怪物'!$E$31:$K$37,B508,4),'章节与怪物'!$A$41:$F$44,4,FALSE)+IF(4=D508,'难度参数'!$E$30,0))</x:f>
        <x:v>1428</x:v>
      </x:c>
      <x:c r="AN508" s="119" t="n">
        <x:f>IF(5&gt;D508,0,MAX(2,MIN('难度参数'!$E$12,ROUND(('难度参数'!$E$18*POWER(A508,'难度参数'!$E$19)/D508*(0.85+0.3*(5-1)/MAX(1,D508-1))),0)+F508)))</x:f>
        <x:v>44</x:v>
      </x:c>
      <x:c r="AO508" s="119" t="n">
        <x:f>IF(5&gt;D508,0,ROUND(('难度参数'!$E$13*POWER(A508,'难度参数'!$E$20)*MIN('难度参数'!$E$23,1+MAX(0,A508-'难度参数'!$E$21)*'难度参数'!$E$22))*(36+5*7)/(36+7*(D508+1)/2)*E508,0))</x:f>
        <x:v>13180</x:v>
      </x:c>
      <x:c r="AP508" s="119" t="n">
        <x:f>IF(AN508=0,0,(AN508-IF(5=D508,1,0))*ROUND(AO508*VLOOKUP(INDEX('章节与怪物'!$E$31:$K$37,B508,5),'章节与怪物'!$A$41:$F$44,2,FALSE),0)+IF(5=D508,ROUND(AO508*'难度参数'!$E$28*'章节与怪物'!$E$17,0),0))</x:f>
        <x:v>417560</x:v>
      </x:c>
      <x:c r="AQ508" s="119" t="n">
        <x:f>IF(AN508=0,0,(AN508-IF(5=D508,1,0))*VLOOKUP(INDEX('章节与怪物'!$E$31:$K$37,B508,5),'章节与怪物'!$A$41:$F$44,4,FALSE)+IF(5=D508,'难度参数'!$E$30,0))</x:f>
        <x:v>880</x:v>
      </x:c>
      <x:c r="AR508" s="119" t="n">
        <x:f>IF(6&gt;D508,0,MAX(2,MIN('难度参数'!$E$12,ROUND(('难度参数'!$E$18*POWER(A508,'难度参数'!$E$19)/D508*(0.85+0.3*(6-1)/MAX(1,D508-1))),0)+F508)))</x:f>
        <x:v>46</x:v>
      </x:c>
      <x:c r="AS508" s="119" t="n">
        <x:f>IF(6&gt;D508,0,ROUND(('难度参数'!$E$13*POWER(A508,'难度参数'!$E$20)*MIN('难度参数'!$E$23,1+MAX(0,A508-'难度参数'!$E$21)*'难度参数'!$E$22))*(36+6*7)/(36+7*(D508+1)/2)*E508,0))</x:f>
        <x:v>14480</x:v>
      </x:c>
      <x:c r="AT508" s="119" t="n">
        <x:f>IF(AR508=0,0,(AR508-IF(6=D508,1,0))*ROUND(AS508*VLOOKUP(INDEX('章节与怪物'!$E$31:$K$37,B508,6),'章节与怪物'!$A$41:$F$44,2,FALSE),0)+IF(6=D508,ROUND(AS508*'难度参数'!$E$28*'章节与怪物'!$E$17,0),0))</x:f>
        <x:v>1132336</x:v>
      </x:c>
      <x:c r="AU508" s="119" t="n">
        <x:f>IF(AR508=0,0,(AR508-IF(6=D508,1,0))*VLOOKUP(INDEX('章节与怪物'!$E$31:$K$37,B508,6),'章节与怪物'!$A$41:$F$44,4,FALSE)+IF(6=D508,'难度参数'!$E$30,0))</x:f>
        <x:v>1288</x:v>
      </x:c>
      <x:c r="AV508" s="119" t="n">
        <x:f>IF(7&gt;D508,0,MAX(2,MIN('难度参数'!$E$12,ROUND(('难度参数'!$E$18*POWER(A508,'难度参数'!$E$19)/D508*(0.85+0.3*(7-1)/MAX(1,D508-1))),0)+F508)))</x:f>
        <x:v>48</x:v>
      </x:c>
      <x:c r="AW508" s="119" t="n">
        <x:f>IF(7&gt;D508,0,ROUND(('难度参数'!$E$13*POWER(A508,'难度参数'!$E$20)*MIN('难度参数'!$E$23,1+MAX(0,A508-'难度参数'!$E$21)*'难度参数'!$E$22))*(36+7*7)/(36+7*(D508+1)/2)*E508,0))</x:f>
        <x:v>15779</x:v>
      </x:c>
      <x:c r="AX508" s="119" t="n">
        <x:f>IF(AV508=0,0,(AV508-IF(7=D508,1,0))*ROUND(AW508*VLOOKUP(INDEX('章节与怪物'!$E$31:$K$37,B508,7),'章节与怪物'!$A$41:$F$44,2,FALSE),0)+IF(7=D508,ROUND(AW508*'难度参数'!$E$28*'章节与怪物'!$E$17,0),0))</x:f>
        <x:v>1108491</x:v>
      </x:c>
      <x:c r="AY508" s="119" t="n">
        <x:f>IF(AV508=0,0,(AV508-IF(7=D508,1,0))*VLOOKUP(INDEX('章节与怪物'!$E$31:$K$37,B508,7),'章节与怪物'!$A$41:$F$44,4,FALSE)+IF(7=D508,'难度参数'!$E$30,0))</x:f>
        <x:v>1798</x:v>
      </x:c>
    </x:row>
    <x:row r="509" ht="23" customHeight="1">
      <x:c r="A509" s="119" t="n">
        <x:v>503</x:v>
      </x:c>
      <x:c r="B509" s="119" t="n">
        <x:f>MOD(INT((A509-1)/5),7)+1</x:f>
        <x:v>3</x:v>
      </x:c>
      <x:c r="C509" s="62" t="str">
        <x:f>INDEX('章节与怪物'!$B$31:$B$37,B509)</x:f>
        <x:v>腐沼秘林</x:v>
      </x:c>
      <x:c r="D509" s="119" t="n">
        <x:f>MIN('难度参数'!$E$8,MAX('难度参数'!$E$7,A509))</x:f>
        <x:v>7</x:v>
      </x:c>
      <x:c r="E509" s="106" t="n">
        <x:v>1</x:v>
      </x:c>
      <x:c r="F509" s="106" t="n">
        <x:v>0</x:v>
      </x:c>
      <x:c r="G509" s="106" t="n">
        <x:v>1</x:v>
      </x:c>
      <x:c r="H509" s="119" t="n">
        <x:f>SUM(X509,AB509,AF509,AJ509,AN509,AR509,AV509)</x:f>
        <x:v>292</x:v>
      </x:c>
      <x:c r="I509" s="119" t="n">
        <x:f>SUM(Z509,AD509,AH509,AL509,AP509,AT509,AX509)</x:f>
        <x:v>4584655</x:v>
      </x:c>
      <x:c r="J509" s="119" t="n">
        <x:f>ROUND(INDEX(X509:AY509,1,(D509-1)*4+2)*'难度参数'!$E$28*'章节与怪物'!$E$17,0)</x:f>
        <x:v>107454</x:v>
      </x:c>
      <x:c r="K509" s="119" t="n">
        <x:f>SUM(AA509,AE509,AI509,AM509,AQ509,AU509,AY509)</x:f>
        <x:v>7884</x:v>
      </x:c>
      <x:c r="L509" s="62" t="n">
        <x:f>H509*(ROUNDUP('难度参数'!$E$24/('难度参数'!$E$26*'难度参数'!$E$27),0)*'难度参数'!$E$26)/60</x:f>
        <x:v>3.8933333333333335</x:v>
      </x:c>
      <x:c r="M509" s="62" t="n">
        <x:f>L509+D509*('难度参数'!$E$49+'难度参数'!$E$50)/60</x:f>
        <x:v>5.0600000000000005</x:v>
      </x:c>
      <x:c r="N509" s="119" t="n">
        <x:f>ROUNDDOWN(('经济参数'!$E$20+A509*'经济参数'!$E$21)*G509,0)</x:f>
        <x:v>10240</x:v>
      </x:c>
      <x:c r="O509" s="119" t="n">
        <x:f>ROUNDDOWN(MIN('经济参数'!$E$24,'经济参数'!$E$22+A509*'经济参数'!$E$23)*G509,0)</x:f>
        <x:v>0</x:v>
      </x:c>
      <x:c r="P509" s="119" t="n">
        <x:f>ROUNDDOWN((IF(A509&gt;='材料与任务'!$E$31,'材料与任务'!$E$32,IF(A509&gt;='材料与任务'!$E$25,'材料与任务'!$E$26,IF(A509&gt;='材料与任务'!$E$19,'材料与任务'!$E$20,IF(A509&gt;='材料与任务'!$E$13,'材料与任务'!$E$14,'材料与任务'!$E$8)))))*G509,0)</x:f>
        <x:v>6</x:v>
      </x:c>
      <x:c r="Q509" s="119" t="n">
        <x:f>ROUNDDOWN((IF(A509&gt;='材料与任务'!$E$31,'材料与任务'!$E$33,IF(A509&gt;='材料与任务'!$E$25,'材料与任务'!$E$27,IF(A509&gt;='材料与任务'!$E$19,'材料与任务'!$E$21,IF(A509&gt;='材料与任务'!$E$13,'材料与任务'!$E$15,'材料与任务'!$E$9)))))*G509,0)</x:f>
        <x:v>3</x:v>
      </x:c>
      <x:c r="R509" s="110" t="n">
        <x:f>'装备掉落'!$B$38</x:f>
        <x:v>0.6872058758851213</x:v>
      </x:c>
      <x:c r="S509" s="119" t="n">
        <x:f>MAX(IF(VLOOKUP(A509,'装备掉落'!$A$29:$H$34,2,TRUE)&gt;0,1,0),IF(VLOOKUP(A509,'装备掉落'!$A$29:$H$34,3,TRUE)&gt;0,2,0),IF(VLOOKUP(A509,'装备掉落'!$A$29:$H$34,4,TRUE)&gt;0,3,0),IF(VLOOKUP(A509,'装备掉落'!$A$29:$H$34,5,TRUE)&gt;0,4,0),IF(VLOOKUP(A509,'装备掉落'!$A$29:$H$34,6,TRUE)&gt;0,5,0),IF(VLOOKUP(A509,'装备掉落'!$A$29:$H$34,7,TRUE)&gt;0,6,0),IF(VLOOKUP(A509,'装备掉落'!$A$29:$H$34,8,TRUE)&gt;0,7,0))</x:f>
        <x:v>7</x:v>
      </x:c>
      <x:c r="T509" s="119" t="n">
        <x:f>MIN(7,S509+'经济参数'!$E$70)</x:f>
        <x:v>7</x:v>
      </x:c>
      <x:c r="U509" s="119" t="n">
        <x:f>MIN(7,S509+'经济参数'!$E$71)</x:f>
        <x:v>7</x:v>
      </x:c>
      <x:c r="V509" s="119" t="n">
        <x:f>IF(H509&gt;=('难度参数'!$E$52),1,0)+IF(H509&gt;=('难度参数'!$E$52+'难度参数'!$E$53),1,0)+IF(H509&gt;=('难度参数'!$E$52+'难度参数'!$E$53+'难度参数'!$E$54),1,0)+IF(H509&gt;=('难度参数'!$E$52+'难度参数'!$E$53+'难度参数'!$E$54+'难度参数'!$E$55),1,0)+IF(H509&gt;=('难度参数'!$E$52+'难度参数'!$E$53+'难度参数'!$E$54+'难度参数'!$E$55+'难度参数'!$E$56),1,0)+IF(H509&gt;=('难度参数'!$E$52+'难度参数'!$E$53+'难度参数'!$E$54+'难度参数'!$E$55+'难度参数'!$E$56+'难度参数'!$E$57),1,0)</x:f>
        <x:v>6</x:v>
      </x:c>
      <x:c r="W509" s="62" t="str">
        <x:f>IF(L509&gt;'难度参数'!$E$51,"仅出怪已超目标","还需实测")</x:f>
        <x:v>仅出怪已超目标</x:v>
      </x:c>
      <x:c r="X509" s="119" t="n">
        <x:f>IF(1&gt;D509,0,MAX(2,MIN('难度参数'!$E$12,ROUND(('难度参数'!$E$18*POWER(A509,'难度参数'!$E$19)/D509*(0.85+0.3*(1-1)/MAX(1,D509-1))),0)+F509)))</x:f>
        <x:v>35</x:v>
      </x:c>
      <x:c r="Y509" s="119" t="n">
        <x:f>IF(1&gt;D509,0,ROUND(('难度参数'!$E$13*POWER(A509,'难度参数'!$E$20)*MIN('难度参数'!$E$23,1+MAX(0,A509-'难度参数'!$E$21)*'难度参数'!$E$22))*(36+1*7)/(36+7*(D509+1)/2)*E509,0))</x:f>
        <x:v>7994</x:v>
      </x:c>
      <x:c r="Z509" s="119" t="n">
        <x:f>IF(X509=0,0,(X509-IF(1=D509,1,0))*ROUND(Y509*VLOOKUP(INDEX('章节与怪物'!$E$31:$K$37,B509,1),'章节与怪物'!$A$41:$F$44,2,FALSE),0)+IF(1=D509,ROUND(Y509*'难度参数'!$E$28*'章节与怪物'!$E$17,0),0))</x:f>
        <x:v>279790</x:v>
      </x:c>
      <x:c r="AA509" s="119" t="n">
        <x:f>IF(X509=0,0,(X509-IF(1=D509,1,0))*VLOOKUP(INDEX('章节与怪物'!$E$31:$K$37,B509,1),'章节与怪物'!$A$41:$F$44,4,FALSE)+IF(1=D509,'难度参数'!$E$30,0))</x:f>
        <x:v>630</x:v>
      </x:c>
      <x:c r="AB509" s="119" t="n">
        <x:f>IF(2&gt;D509,0,MAX(2,MIN('难度参数'!$E$12,ROUND(('难度参数'!$E$18*POWER(A509,'难度参数'!$E$19)/D509*(0.85+0.3*(2-1)/MAX(1,D509-1))),0)+F509)))</x:f>
        <x:v>37</x:v>
      </x:c>
      <x:c r="AC509" s="119" t="n">
        <x:f>IF(2&gt;D509,0,ROUND(('难度参数'!$E$13*POWER(A509,'难度参数'!$E$20)*MIN('难度参数'!$E$23,1+MAX(0,A509-'难度参数'!$E$21)*'难度参数'!$E$22))*(36+2*7)/(36+7*(D509+1)/2)*E509,0))</x:f>
        <x:v>9295</x:v>
      </x:c>
      <x:c r="AD509" s="119" t="n">
        <x:f>IF(AB509=0,0,(AB509-IF(2=D509,1,0))*ROUND(AC509*VLOOKUP(INDEX('章节与怪物'!$E$31:$K$37,B509,2),'章节与怪物'!$A$41:$F$44,2,FALSE),0)+IF(2=D509,ROUND(AC509*'难度参数'!$E$28*'章节与怪物'!$E$17,0),0))</x:f>
        <x:v>247604</x:v>
      </x:c>
      <x:c r="AE509" s="119" t="n">
        <x:f>IF(AB509=0,0,(AB509-IF(2=D509,1,0))*VLOOKUP(INDEX('章节与怪物'!$E$31:$K$37,B509,2),'章节与怪物'!$A$41:$F$44,4,FALSE)+IF(2=D509,'难度参数'!$E$30,0))</x:f>
        <x:v>740</x:v>
      </x:c>
      <x:c r="AF509" s="119" t="n">
        <x:f>IF(3&gt;D509,0,MAX(2,MIN('难度参数'!$E$12,ROUND(('难度参数'!$E$18*POWER(A509,'难度参数'!$E$19)/D509*(0.85+0.3*(3-1)/MAX(1,D509-1))),0)+F509)))</x:f>
        <x:v>40</x:v>
      </x:c>
      <x:c r="AG509" s="119" t="n">
        <x:f>IF(3&gt;D509,0,ROUND(('难度参数'!$E$13*POWER(A509,'难度参数'!$E$20)*MIN('难度参数'!$E$23,1+MAX(0,A509-'难度参数'!$E$21)*'难度参数'!$E$22))*(36+3*7)/(36+7*(D509+1)/2)*E509,0))</x:f>
        <x:v>10596</x:v>
      </x:c>
      <x:c r="AH509" s="119" t="n">
        <x:f>IF(AF509=0,0,(AF509-IF(3=D509,1,0))*ROUND(AG509*VLOOKUP(INDEX('章节与怪物'!$E$31:$K$37,B509,3),'章节与怪物'!$A$41:$F$44,2,FALSE),0)+IF(3=D509,ROUND(AG509*'难度参数'!$E$28*'章节与怪物'!$E$17,0),0))</x:f>
        <x:v>720520</x:v>
      </x:c>
      <x:c r="AI509" s="119" t="n">
        <x:f>IF(AF509=0,0,(AF509-IF(3=D509,1,0))*VLOOKUP(INDEX('章节与怪物'!$E$31:$K$37,B509,3),'章节与怪物'!$A$41:$F$44,4,FALSE)+IF(3=D509,'难度参数'!$E$30,0))</x:f>
        <x:v>1120</x:v>
      </x:c>
      <x:c r="AJ509" s="119" t="n">
        <x:f>IF(4&gt;D509,0,MAX(2,MIN('难度参数'!$E$12,ROUND(('难度参数'!$E$18*POWER(A509,'难度参数'!$E$19)/D509*(0.85+0.3*(4-1)/MAX(1,D509-1))),0)+F509)))</x:f>
        <x:v>42</x:v>
      </x:c>
      <x:c r="AK509" s="119" t="n">
        <x:f>IF(4&gt;D509,0,ROUND(('难度参数'!$E$13*POWER(A509,'难度参数'!$E$20)*MIN('难度参数'!$E$23,1+MAX(0,A509-'难度参数'!$E$21)*'难度参数'!$E$22))*(36+4*7)/(36+7*(D509+1)/2)*E509,0))</x:f>
        <x:v>11898</x:v>
      </x:c>
      <x:c r="AL509" s="119" t="n">
        <x:f>IF(AJ509=0,0,(AJ509-IF(4=D509,1,0))*ROUND(AK509*VLOOKUP(INDEX('章节与怪物'!$E$31:$K$37,B509,4),'章节与怪物'!$A$41:$F$44,2,FALSE),0)+IF(4=D509,ROUND(AK509*'难度参数'!$E$28*'章节与怪物'!$E$17,0),0))</x:f>
        <x:v>674604</x:v>
      </x:c>
      <x:c r="AM509" s="119" t="n">
        <x:f>IF(AJ509=0,0,(AJ509-IF(4=D509,1,0))*VLOOKUP(INDEX('章节与怪物'!$E$31:$K$37,B509,4),'章节与怪物'!$A$41:$F$44,4,FALSE)+IF(4=D509,'难度参数'!$E$30,0))</x:f>
        <x:v>1428</x:v>
      </x:c>
      <x:c r="AN509" s="119" t="n">
        <x:f>IF(5&gt;D509,0,MAX(2,MIN('难度参数'!$E$12,ROUND(('难度参数'!$E$18*POWER(A509,'难度参数'!$E$19)/D509*(0.85+0.3*(5-1)/MAX(1,D509-1))),0)+F509)))</x:f>
        <x:v>44</x:v>
      </x:c>
      <x:c r="AO509" s="119" t="n">
        <x:f>IF(5&gt;D509,0,ROUND(('难度参数'!$E$13*POWER(A509,'难度参数'!$E$20)*MIN('难度参数'!$E$23,1+MAX(0,A509-'难度参数'!$E$21)*'难度参数'!$E$22))*(36+5*7)/(36+7*(D509+1)/2)*E509,0))</x:f>
        <x:v>13199</x:v>
      </x:c>
      <x:c r="AP509" s="119" t="n">
        <x:f>IF(AN509=0,0,(AN509-IF(5=D509,1,0))*ROUND(AO509*VLOOKUP(INDEX('章节与怪物'!$E$31:$K$37,B509,5),'章节与怪物'!$A$41:$F$44,2,FALSE),0)+IF(5=D509,ROUND(AO509*'难度参数'!$E$28*'章节与怪物'!$E$17,0),0))</x:f>
        <x:v>418132</x:v>
      </x:c>
      <x:c r="AQ509" s="119" t="n">
        <x:f>IF(AN509=0,0,(AN509-IF(5=D509,1,0))*VLOOKUP(INDEX('章节与怪物'!$E$31:$K$37,B509,5),'章节与怪物'!$A$41:$F$44,4,FALSE)+IF(5=D509,'难度参数'!$E$30,0))</x:f>
        <x:v>880</x:v>
      </x:c>
      <x:c r="AR509" s="119" t="n">
        <x:f>IF(6&gt;D509,0,MAX(2,MIN('难度参数'!$E$12,ROUND(('难度参数'!$E$18*POWER(A509,'难度参数'!$E$19)/D509*(0.85+0.3*(6-1)/MAX(1,D509-1))),0)+F509)))</x:f>
        <x:v>46</x:v>
      </x:c>
      <x:c r="AS509" s="119" t="n">
        <x:f>IF(6&gt;D509,0,ROUND(('难度参数'!$E$13*POWER(A509,'难度参数'!$E$20)*MIN('难度参数'!$E$23,1+MAX(0,A509-'难度参数'!$E$21)*'难度参数'!$E$22))*(36+6*7)/(36+7*(D509+1)/2)*E509,0))</x:f>
        <x:v>14500</x:v>
      </x:c>
      <x:c r="AT509" s="119" t="n">
        <x:f>IF(AR509=0,0,(AR509-IF(6=D509,1,0))*ROUND(AS509*VLOOKUP(INDEX('章节与怪物'!$E$31:$K$37,B509,6),'章节与怪物'!$A$41:$F$44,2,FALSE),0)+IF(6=D509,ROUND(AS509*'难度参数'!$E$28*'章节与怪物'!$E$17,0),0))</x:f>
        <x:v>1133900</x:v>
      </x:c>
      <x:c r="AU509" s="119" t="n">
        <x:f>IF(AR509=0,0,(AR509-IF(6=D509,1,0))*VLOOKUP(INDEX('章节与怪物'!$E$31:$K$37,B509,6),'章节与怪物'!$A$41:$F$44,4,FALSE)+IF(6=D509,'难度参数'!$E$30,0))</x:f>
        <x:v>1288</x:v>
      </x:c>
      <x:c r="AV509" s="119" t="n">
        <x:f>IF(7&gt;D509,0,MAX(2,MIN('难度参数'!$E$12,ROUND(('难度参数'!$E$18*POWER(A509,'难度参数'!$E$19)/D509*(0.85+0.3*(7-1)/MAX(1,D509-1))),0)+F509)))</x:f>
        <x:v>48</x:v>
      </x:c>
      <x:c r="AW509" s="119" t="n">
        <x:f>IF(7&gt;D509,0,ROUND(('难度参数'!$E$13*POWER(A509,'难度参数'!$E$20)*MIN('难度参数'!$E$23,1+MAX(0,A509-'难度参数'!$E$21)*'难度参数'!$E$22))*(36+7*7)/(36+7*(D509+1)/2)*E509,0))</x:f>
        <x:v>15802</x:v>
      </x:c>
      <x:c r="AX509" s="119" t="n">
        <x:f>IF(AV509=0,0,(AV509-IF(7=D509,1,0))*ROUND(AW509*VLOOKUP(INDEX('章节与怪物'!$E$31:$K$37,B509,7),'章节与怪物'!$A$41:$F$44,2,FALSE),0)+IF(7=D509,ROUND(AW509*'难度参数'!$E$28*'章节与怪物'!$E$17,0),0))</x:f>
        <x:v>1110105</x:v>
      </x:c>
      <x:c r="AY509" s="119" t="n">
        <x:f>IF(AV509=0,0,(AV509-IF(7=D509,1,0))*VLOOKUP(INDEX('章节与怪物'!$E$31:$K$37,B509,7),'章节与怪物'!$A$41:$F$44,4,FALSE)+IF(7=D509,'难度参数'!$E$30,0))</x:f>
        <x:v>1798</x:v>
      </x:c>
    </x:row>
    <x:row r="510" ht="23" customHeight="1">
      <x:c r="A510" s="119" t="n">
        <x:v>504</x:v>
      </x:c>
      <x:c r="B510" s="119" t="n">
        <x:f>MOD(INT((A510-1)/5),7)+1</x:f>
        <x:v>3</x:v>
      </x:c>
      <x:c r="C510" s="62" t="str">
        <x:f>INDEX('章节与怪物'!$B$31:$B$37,B510)</x:f>
        <x:v>腐沼秘林</x:v>
      </x:c>
      <x:c r="D510" s="119" t="n">
        <x:f>MIN('难度参数'!$E$8,MAX('难度参数'!$E$7,A510))</x:f>
        <x:v>7</x:v>
      </x:c>
      <x:c r="E510" s="106" t="n">
        <x:v>1</x:v>
      </x:c>
      <x:c r="F510" s="106" t="n">
        <x:v>0</x:v>
      </x:c>
      <x:c r="G510" s="106" t="n">
        <x:v>1</x:v>
      </x:c>
      <x:c r="H510" s="119" t="n">
        <x:f>SUM(X510,AB510,AF510,AJ510,AN510,AR510,AV510)</x:f>
        <x:v>292</x:v>
      </x:c>
      <x:c r="I510" s="119" t="n">
        <x:f>SUM(Z510,AD510,AH510,AL510,AP510,AT510,AX510)</x:f>
        <x:v>4591240</x:v>
      </x:c>
      <x:c r="J510" s="119" t="n">
        <x:f>ROUND(INDEX(X510:AY510,1,(D510-1)*4+2)*'难度参数'!$E$28*'章节与怪物'!$E$17,0)</x:f>
        <x:v>107603</x:v>
      </x:c>
      <x:c r="K510" s="119" t="n">
        <x:f>SUM(AA510,AE510,AI510,AM510,AQ510,AU510,AY510)</x:f>
        <x:v>7884</x:v>
      </x:c>
      <x:c r="L510" s="62" t="n">
        <x:f>H510*(ROUNDUP('难度参数'!$E$24/('难度参数'!$E$26*'难度参数'!$E$27),0)*'难度参数'!$E$26)/60</x:f>
        <x:v>3.8933333333333335</x:v>
      </x:c>
      <x:c r="M510" s="62" t="n">
        <x:f>L510+D510*('难度参数'!$E$49+'难度参数'!$E$50)/60</x:f>
        <x:v>5.0600000000000005</x:v>
      </x:c>
      <x:c r="N510" s="119" t="n">
        <x:f>ROUNDDOWN(('经济参数'!$E$20+A510*'经济参数'!$E$21)*G510,0)</x:f>
        <x:v>10260</x:v>
      </x:c>
      <x:c r="O510" s="119" t="n">
        <x:f>ROUNDDOWN(MIN('经济参数'!$E$24,'经济参数'!$E$22+A510*'经济参数'!$E$23)*G510,0)</x:f>
        <x:v>0</x:v>
      </x:c>
      <x:c r="P510" s="119" t="n">
        <x:f>ROUNDDOWN((IF(A510&gt;='材料与任务'!$E$31,'材料与任务'!$E$32,IF(A510&gt;='材料与任务'!$E$25,'材料与任务'!$E$26,IF(A510&gt;='材料与任务'!$E$19,'材料与任务'!$E$20,IF(A510&gt;='材料与任务'!$E$13,'材料与任务'!$E$14,'材料与任务'!$E$8)))))*G510,0)</x:f>
        <x:v>6</x:v>
      </x:c>
      <x:c r="Q510" s="119" t="n">
        <x:f>ROUNDDOWN((IF(A510&gt;='材料与任务'!$E$31,'材料与任务'!$E$33,IF(A510&gt;='材料与任务'!$E$25,'材料与任务'!$E$27,IF(A510&gt;='材料与任务'!$E$19,'材料与任务'!$E$21,IF(A510&gt;='材料与任务'!$E$13,'材料与任务'!$E$15,'材料与任务'!$E$9)))))*G510,0)</x:f>
        <x:v>3</x:v>
      </x:c>
      <x:c r="R510" s="110" t="n">
        <x:f>'装备掉落'!$B$38</x:f>
        <x:v>0.6872058758851213</x:v>
      </x:c>
      <x:c r="S510" s="119" t="n">
        <x:f>MAX(IF(VLOOKUP(A510,'装备掉落'!$A$29:$H$34,2,TRUE)&gt;0,1,0),IF(VLOOKUP(A510,'装备掉落'!$A$29:$H$34,3,TRUE)&gt;0,2,0),IF(VLOOKUP(A510,'装备掉落'!$A$29:$H$34,4,TRUE)&gt;0,3,0),IF(VLOOKUP(A510,'装备掉落'!$A$29:$H$34,5,TRUE)&gt;0,4,0),IF(VLOOKUP(A510,'装备掉落'!$A$29:$H$34,6,TRUE)&gt;0,5,0),IF(VLOOKUP(A510,'装备掉落'!$A$29:$H$34,7,TRUE)&gt;0,6,0),IF(VLOOKUP(A510,'装备掉落'!$A$29:$H$34,8,TRUE)&gt;0,7,0))</x:f>
        <x:v>7</x:v>
      </x:c>
      <x:c r="T510" s="119" t="n">
        <x:f>MIN(7,S510+'经济参数'!$E$70)</x:f>
        <x:v>7</x:v>
      </x:c>
      <x:c r="U510" s="119" t="n">
        <x:f>MIN(7,S510+'经济参数'!$E$71)</x:f>
        <x:v>7</x:v>
      </x:c>
      <x:c r="V510" s="119" t="n">
        <x:f>IF(H510&gt;=('难度参数'!$E$52),1,0)+IF(H510&gt;=('难度参数'!$E$52+'难度参数'!$E$53),1,0)+IF(H510&gt;=('难度参数'!$E$52+'难度参数'!$E$53+'难度参数'!$E$54),1,0)+IF(H510&gt;=('难度参数'!$E$52+'难度参数'!$E$53+'难度参数'!$E$54+'难度参数'!$E$55),1,0)+IF(H510&gt;=('难度参数'!$E$52+'难度参数'!$E$53+'难度参数'!$E$54+'难度参数'!$E$55+'难度参数'!$E$56),1,0)+IF(H510&gt;=('难度参数'!$E$52+'难度参数'!$E$53+'难度参数'!$E$54+'难度参数'!$E$55+'难度参数'!$E$56+'难度参数'!$E$57),1,0)</x:f>
        <x:v>6</x:v>
      </x:c>
      <x:c r="W510" s="62" t="str">
        <x:f>IF(L510&gt;'难度参数'!$E$51,"仅出怪已超目标","还需实测")</x:f>
        <x:v>仅出怪已超目标</x:v>
      </x:c>
      <x:c r="X510" s="119" t="n">
        <x:f>IF(1&gt;D510,0,MAX(2,MIN('难度参数'!$E$12,ROUND(('难度参数'!$E$18*POWER(A510,'难度参数'!$E$19)/D510*(0.85+0.3*(1-1)/MAX(1,D510-1))),0)+F510)))</x:f>
        <x:v>35</x:v>
      </x:c>
      <x:c r="Y510" s="119" t="n">
        <x:f>IF(1&gt;D510,0,ROUND(('难度参数'!$E$13*POWER(A510,'难度参数'!$E$20)*MIN('难度参数'!$E$23,1+MAX(0,A510-'难度参数'!$E$21)*'难度参数'!$E$22))*(36+1*7)/(36+7*(D510+1)/2)*E510,0))</x:f>
        <x:v>8005</x:v>
      </x:c>
      <x:c r="Z510" s="119" t="n">
        <x:f>IF(X510=0,0,(X510-IF(1=D510,1,0))*ROUND(Y510*VLOOKUP(INDEX('章节与怪物'!$E$31:$K$37,B510,1),'章节与怪物'!$A$41:$F$44,2,FALSE),0)+IF(1=D510,ROUND(Y510*'难度参数'!$E$28*'章节与怪物'!$E$17,0),0))</x:f>
        <x:v>280175</x:v>
      </x:c>
      <x:c r="AA510" s="119" t="n">
        <x:f>IF(X510=0,0,(X510-IF(1=D510,1,0))*VLOOKUP(INDEX('章节与怪物'!$E$31:$K$37,B510,1),'章节与怪物'!$A$41:$F$44,4,FALSE)+IF(1=D510,'难度参数'!$E$30,0))</x:f>
        <x:v>630</x:v>
      </x:c>
      <x:c r="AB510" s="119" t="n">
        <x:f>IF(2&gt;D510,0,MAX(2,MIN('难度参数'!$E$12,ROUND(('难度参数'!$E$18*POWER(A510,'难度参数'!$E$19)/D510*(0.85+0.3*(2-1)/MAX(1,D510-1))),0)+F510)))</x:f>
        <x:v>37</x:v>
      </x:c>
      <x:c r="AC510" s="119" t="n">
        <x:f>IF(2&gt;D510,0,ROUND(('难度参数'!$E$13*POWER(A510,'难度参数'!$E$20)*MIN('难度参数'!$E$23,1+MAX(0,A510-'难度参数'!$E$21)*'难度参数'!$E$22))*(36+2*7)/(36+7*(D510+1)/2)*E510,0))</x:f>
        <x:v>9308</x:v>
      </x:c>
      <x:c r="AD510" s="119" t="n">
        <x:f>IF(AB510=0,0,(AB510-IF(2=D510,1,0))*ROUND(AC510*VLOOKUP(INDEX('章节与怪物'!$E$31:$K$37,B510,2),'章节与怪物'!$A$41:$F$44,2,FALSE),0)+IF(2=D510,ROUND(AC510*'难度参数'!$E$28*'章节与怪物'!$E$17,0),0))</x:f>
        <x:v>247974</x:v>
      </x:c>
      <x:c r="AE510" s="119" t="n">
        <x:f>IF(AB510=0,0,(AB510-IF(2=D510,1,0))*VLOOKUP(INDEX('章节与怪物'!$E$31:$K$37,B510,2),'章节与怪物'!$A$41:$F$44,4,FALSE)+IF(2=D510,'难度参数'!$E$30,0))</x:f>
        <x:v>740</x:v>
      </x:c>
      <x:c r="AF510" s="119" t="n">
        <x:f>IF(3&gt;D510,0,MAX(2,MIN('难度参数'!$E$12,ROUND(('难度参数'!$E$18*POWER(A510,'难度参数'!$E$19)/D510*(0.85+0.3*(3-1)/MAX(1,D510-1))),0)+F510)))</x:f>
        <x:v>40</x:v>
      </x:c>
      <x:c r="AG510" s="119" t="n">
        <x:f>IF(3&gt;D510,0,ROUND(('难度参数'!$E$13*POWER(A510,'难度参数'!$E$20)*MIN('难度参数'!$E$23,1+MAX(0,A510-'难度参数'!$E$21)*'难度参数'!$E$22))*(36+3*7)/(36+7*(D510+1)/2)*E510,0))</x:f>
        <x:v>10612</x:v>
      </x:c>
      <x:c r="AH510" s="119" t="n">
        <x:f>IF(AF510=0,0,(AF510-IF(3=D510,1,0))*ROUND(AG510*VLOOKUP(INDEX('章节与怪物'!$E$31:$K$37,B510,3),'章节与怪物'!$A$41:$F$44,2,FALSE),0)+IF(3=D510,ROUND(AG510*'难度参数'!$E$28*'章节与怪物'!$E$17,0),0))</x:f>
        <x:v>721600</x:v>
      </x:c>
      <x:c r="AI510" s="119" t="n">
        <x:f>IF(AF510=0,0,(AF510-IF(3=D510,1,0))*VLOOKUP(INDEX('章节与怪物'!$E$31:$K$37,B510,3),'章节与怪物'!$A$41:$F$44,4,FALSE)+IF(3=D510,'难度参数'!$E$30,0))</x:f>
        <x:v>1120</x:v>
      </x:c>
      <x:c r="AJ510" s="119" t="n">
        <x:f>IF(4&gt;D510,0,MAX(2,MIN('难度参数'!$E$12,ROUND(('难度参数'!$E$18*POWER(A510,'难度参数'!$E$19)/D510*(0.85+0.3*(4-1)/MAX(1,D510-1))),0)+F510)))</x:f>
        <x:v>42</x:v>
      </x:c>
      <x:c r="AK510" s="119" t="n">
        <x:f>IF(4&gt;D510,0,ROUND(('难度参数'!$E$13*POWER(A510,'难度参数'!$E$20)*MIN('难度参数'!$E$23,1+MAX(0,A510-'难度参数'!$E$21)*'难度参数'!$E$22))*(36+4*7)/(36+7*(D510+1)/2)*E510,0))</x:f>
        <x:v>11915</x:v>
      </x:c>
      <x:c r="AL510" s="119" t="n">
        <x:f>IF(AJ510=0,0,(AJ510-IF(4=D510,1,0))*ROUND(AK510*VLOOKUP(INDEX('章节与怪物'!$E$31:$K$37,B510,4),'章节与怪物'!$A$41:$F$44,2,FALSE),0)+IF(4=D510,ROUND(AK510*'难度参数'!$E$28*'章节与怪物'!$E$17,0),0))</x:f>
        <x:v>675570</x:v>
      </x:c>
      <x:c r="AM510" s="119" t="n">
        <x:f>IF(AJ510=0,0,(AJ510-IF(4=D510,1,0))*VLOOKUP(INDEX('章节与怪物'!$E$31:$K$37,B510,4),'章节与怪物'!$A$41:$F$44,4,FALSE)+IF(4=D510,'难度参数'!$E$30,0))</x:f>
        <x:v>1428</x:v>
      </x:c>
      <x:c r="AN510" s="119" t="n">
        <x:f>IF(5&gt;D510,0,MAX(2,MIN('难度参数'!$E$12,ROUND(('难度参数'!$E$18*POWER(A510,'难度参数'!$E$19)/D510*(0.85+0.3*(5-1)/MAX(1,D510-1))),0)+F510)))</x:f>
        <x:v>44</x:v>
      </x:c>
      <x:c r="AO510" s="119" t="n">
        <x:f>IF(5&gt;D510,0,ROUND(('难度参数'!$E$13*POWER(A510,'难度参数'!$E$20)*MIN('难度参数'!$E$23,1+MAX(0,A510-'难度参数'!$E$21)*'难度参数'!$E$22))*(36+5*7)/(36+7*(D510+1)/2)*E510,0))</x:f>
        <x:v>13218</x:v>
      </x:c>
      <x:c r="AP510" s="119" t="n">
        <x:f>IF(AN510=0,0,(AN510-IF(5=D510,1,0))*ROUND(AO510*VLOOKUP(INDEX('章节与怪物'!$E$31:$K$37,B510,5),'章节与怪物'!$A$41:$F$44,2,FALSE),0)+IF(5=D510,ROUND(AO510*'难度参数'!$E$28*'章节与怪物'!$E$17,0),0))</x:f>
        <x:v>418748</x:v>
      </x:c>
      <x:c r="AQ510" s="119" t="n">
        <x:f>IF(AN510=0,0,(AN510-IF(5=D510,1,0))*VLOOKUP(INDEX('章节与怪物'!$E$31:$K$37,B510,5),'章节与怪物'!$A$41:$F$44,4,FALSE)+IF(5=D510,'难度参数'!$E$30,0))</x:f>
        <x:v>880</x:v>
      </x:c>
      <x:c r="AR510" s="119" t="n">
        <x:f>IF(6&gt;D510,0,MAX(2,MIN('难度参数'!$E$12,ROUND(('难度参数'!$E$18*POWER(A510,'难度参数'!$E$19)/D510*(0.85+0.3*(6-1)/MAX(1,D510-1))),0)+F510)))</x:f>
        <x:v>46</x:v>
      </x:c>
      <x:c r="AS510" s="119" t="n">
        <x:f>IF(6&gt;D510,0,ROUND(('难度参数'!$E$13*POWER(A510,'难度参数'!$E$20)*MIN('难度参数'!$E$23,1+MAX(0,A510-'难度参数'!$E$21)*'难度参数'!$E$22))*(36+6*7)/(36+7*(D510+1)/2)*E510,0))</x:f>
        <x:v>14521</x:v>
      </x:c>
      <x:c r="AT510" s="119" t="n">
        <x:f>IF(AR510=0,0,(AR510-IF(6=D510,1,0))*ROUND(AS510*VLOOKUP(INDEX('章节与怪物'!$E$31:$K$37,B510,6),'章节与怪物'!$A$41:$F$44,2,FALSE),0)+IF(6=D510,ROUND(AS510*'难度参数'!$E$28*'章节与怪物'!$E$17,0),0))</x:f>
        <x:v>1135556</x:v>
      </x:c>
      <x:c r="AU510" s="119" t="n">
        <x:f>IF(AR510=0,0,(AR510-IF(6=D510,1,0))*VLOOKUP(INDEX('章节与怪物'!$E$31:$K$37,B510,6),'章节与怪物'!$A$41:$F$44,4,FALSE)+IF(6=D510,'难度参数'!$E$30,0))</x:f>
        <x:v>1288</x:v>
      </x:c>
      <x:c r="AV510" s="119" t="n">
        <x:f>IF(7&gt;D510,0,MAX(2,MIN('难度参数'!$E$12,ROUND(('难度参数'!$E$18*POWER(A510,'难度参数'!$E$19)/D510*(0.85+0.3*(7-1)/MAX(1,D510-1))),0)+F510)))</x:f>
        <x:v>48</x:v>
      </x:c>
      <x:c r="AW510" s="119" t="n">
        <x:f>IF(7&gt;D510,0,ROUND(('难度参数'!$E$13*POWER(A510,'难度参数'!$E$20)*MIN('难度参数'!$E$23,1+MAX(0,A510-'难度参数'!$E$21)*'难度参数'!$E$22))*(36+7*7)/(36+7*(D510+1)/2)*E510,0))</x:f>
        <x:v>15824</x:v>
      </x:c>
      <x:c r="AX510" s="119" t="n">
        <x:f>IF(AV510=0,0,(AV510-IF(7=D510,1,0))*ROUND(AW510*VLOOKUP(INDEX('章节与怪物'!$E$31:$K$37,B510,7),'章节与怪物'!$A$41:$F$44,2,FALSE),0)+IF(7=D510,ROUND(AW510*'难度参数'!$E$28*'章节与怪物'!$E$17,0),0))</x:f>
        <x:v>1111617</x:v>
      </x:c>
      <x:c r="AY510" s="119" t="n">
        <x:f>IF(AV510=0,0,(AV510-IF(7=D510,1,0))*VLOOKUP(INDEX('章节与怪物'!$E$31:$K$37,B510,7),'章节与怪物'!$A$41:$F$44,4,FALSE)+IF(7=D510,'难度参数'!$E$30,0))</x:f>
        <x:v>1798</x:v>
      </x:c>
    </x:row>
    <x:row r="511" ht="23" customHeight="1">
      <x:c r="A511" s="119" t="n">
        <x:v>505</x:v>
      </x:c>
      <x:c r="B511" s="119" t="n">
        <x:f>MOD(INT((A511-1)/5),7)+1</x:f>
        <x:v>3</x:v>
      </x:c>
      <x:c r="C511" s="62" t="str">
        <x:f>INDEX('章节与怪物'!$B$31:$B$37,B511)</x:f>
        <x:v>腐沼秘林</x:v>
      </x:c>
      <x:c r="D511" s="119" t="n">
        <x:f>MIN('难度参数'!$E$8,MAX('难度参数'!$E$7,A511))</x:f>
        <x:v>7</x:v>
      </x:c>
      <x:c r="E511" s="106" t="n">
        <x:v>1</x:v>
      </x:c>
      <x:c r="F511" s="106" t="n">
        <x:v>0</x:v>
      </x:c>
      <x:c r="G511" s="106" t="n">
        <x:v>1</x:v>
      </x:c>
      <x:c r="H511" s="119" t="n">
        <x:f>SUM(X511,AB511,AF511,AJ511,AN511,AR511,AV511)</x:f>
        <x:v>292</x:v>
      </x:c>
      <x:c r="I511" s="119" t="n">
        <x:f>SUM(Z511,AD511,AH511,AL511,AP511,AT511,AX511)</x:f>
        <x:v>4597876</x:v>
      </x:c>
      <x:c r="J511" s="119" t="n">
        <x:f>ROUND(INDEX(X511:AY511,1,(D511-1)*4+2)*'难度参数'!$E$28*'章节与怪物'!$E$17,0)</x:f>
        <x:v>107760</x:v>
      </x:c>
      <x:c r="K511" s="119" t="n">
        <x:f>SUM(AA511,AE511,AI511,AM511,AQ511,AU511,AY511)</x:f>
        <x:v>7884</x:v>
      </x:c>
      <x:c r="L511" s="62" t="n">
        <x:f>H511*(ROUNDUP('难度参数'!$E$24/('难度参数'!$E$26*'难度参数'!$E$27),0)*'难度参数'!$E$26)/60</x:f>
        <x:v>3.8933333333333335</x:v>
      </x:c>
      <x:c r="M511" s="62" t="n">
        <x:f>L511+D511*('难度参数'!$E$49+'难度参数'!$E$50)/60</x:f>
        <x:v>5.0600000000000005</x:v>
      </x:c>
      <x:c r="N511" s="119" t="n">
        <x:f>ROUNDDOWN(('经济参数'!$E$20+A511*'经济参数'!$E$21)*G511,0)</x:f>
        <x:v>10280</x:v>
      </x:c>
      <x:c r="O511" s="119" t="n">
        <x:f>ROUNDDOWN(MIN('经济参数'!$E$24,'经济参数'!$E$22+A511*'经济参数'!$E$23)*G511,0)</x:f>
        <x:v>0</x:v>
      </x:c>
      <x:c r="P511" s="119" t="n">
        <x:f>ROUNDDOWN((IF(A511&gt;='材料与任务'!$E$31,'材料与任务'!$E$32,IF(A511&gt;='材料与任务'!$E$25,'材料与任务'!$E$26,IF(A511&gt;='材料与任务'!$E$19,'材料与任务'!$E$20,IF(A511&gt;='材料与任务'!$E$13,'材料与任务'!$E$14,'材料与任务'!$E$8)))))*G511,0)</x:f>
        <x:v>6</x:v>
      </x:c>
      <x:c r="Q511" s="119" t="n">
        <x:f>ROUNDDOWN((IF(A511&gt;='材料与任务'!$E$31,'材料与任务'!$E$33,IF(A511&gt;='材料与任务'!$E$25,'材料与任务'!$E$27,IF(A511&gt;='材料与任务'!$E$19,'材料与任务'!$E$21,IF(A511&gt;='材料与任务'!$E$13,'材料与任务'!$E$15,'材料与任务'!$E$9)))))*G511,0)</x:f>
        <x:v>3</x:v>
      </x:c>
      <x:c r="R511" s="110" t="n">
        <x:f>'装备掉落'!$B$38</x:f>
        <x:v>0.6872058758851213</x:v>
      </x:c>
      <x:c r="S511" s="119" t="n">
        <x:f>MAX(IF(VLOOKUP(A511,'装备掉落'!$A$29:$H$34,2,TRUE)&gt;0,1,0),IF(VLOOKUP(A511,'装备掉落'!$A$29:$H$34,3,TRUE)&gt;0,2,0),IF(VLOOKUP(A511,'装备掉落'!$A$29:$H$34,4,TRUE)&gt;0,3,0),IF(VLOOKUP(A511,'装备掉落'!$A$29:$H$34,5,TRUE)&gt;0,4,0),IF(VLOOKUP(A511,'装备掉落'!$A$29:$H$34,6,TRUE)&gt;0,5,0),IF(VLOOKUP(A511,'装备掉落'!$A$29:$H$34,7,TRUE)&gt;0,6,0),IF(VLOOKUP(A511,'装备掉落'!$A$29:$H$34,8,TRUE)&gt;0,7,0))</x:f>
        <x:v>7</x:v>
      </x:c>
      <x:c r="T511" s="119" t="n">
        <x:f>MIN(7,S511+'经济参数'!$E$70)</x:f>
        <x:v>7</x:v>
      </x:c>
      <x:c r="U511" s="119" t="n">
        <x:f>MIN(7,S511+'经济参数'!$E$71)</x:f>
        <x:v>7</x:v>
      </x:c>
      <x:c r="V511" s="119" t="n">
        <x:f>IF(H511&gt;=('难度参数'!$E$52),1,0)+IF(H511&gt;=('难度参数'!$E$52+'难度参数'!$E$53),1,0)+IF(H511&gt;=('难度参数'!$E$52+'难度参数'!$E$53+'难度参数'!$E$54),1,0)+IF(H511&gt;=('难度参数'!$E$52+'难度参数'!$E$53+'难度参数'!$E$54+'难度参数'!$E$55),1,0)+IF(H511&gt;=('难度参数'!$E$52+'难度参数'!$E$53+'难度参数'!$E$54+'难度参数'!$E$55+'难度参数'!$E$56),1,0)+IF(H511&gt;=('难度参数'!$E$52+'难度参数'!$E$53+'难度参数'!$E$54+'难度参数'!$E$55+'难度参数'!$E$56+'难度参数'!$E$57),1,0)</x:f>
        <x:v>6</x:v>
      </x:c>
      <x:c r="W511" s="62" t="str">
        <x:f>IF(L511&gt;'难度参数'!$E$51,"仅出怪已超目标","还需实测")</x:f>
        <x:v>仅出怪已超目标</x:v>
      </x:c>
      <x:c r="X511" s="119" t="n">
        <x:f>IF(1&gt;D511,0,MAX(2,MIN('难度参数'!$E$12,ROUND(('难度参数'!$E$18*POWER(A511,'难度参数'!$E$19)/D511*(0.85+0.3*(1-1)/MAX(1,D511-1))),0)+F511)))</x:f>
        <x:v>35</x:v>
      </x:c>
      <x:c r="Y511" s="119" t="n">
        <x:f>IF(1&gt;D511,0,ROUND(('难度参数'!$E$13*POWER(A511,'难度参数'!$E$20)*MIN('难度参数'!$E$23,1+MAX(0,A511-'难度参数'!$E$21)*'难度参数'!$E$22))*(36+1*7)/(36+7*(D511+1)/2)*E511,0))</x:f>
        <x:v>8017</x:v>
      </x:c>
      <x:c r="Z511" s="119" t="n">
        <x:f>IF(X511=0,0,(X511-IF(1=D511,1,0))*ROUND(Y511*VLOOKUP(INDEX('章节与怪物'!$E$31:$K$37,B511,1),'章节与怪物'!$A$41:$F$44,2,FALSE),0)+IF(1=D511,ROUND(Y511*'难度参数'!$E$28*'章节与怪物'!$E$17,0),0))</x:f>
        <x:v>280595</x:v>
      </x:c>
      <x:c r="AA511" s="119" t="n">
        <x:f>IF(X511=0,0,(X511-IF(1=D511,1,0))*VLOOKUP(INDEX('章节与怪物'!$E$31:$K$37,B511,1),'章节与怪物'!$A$41:$F$44,4,FALSE)+IF(1=D511,'难度参数'!$E$30,0))</x:f>
        <x:v>630</x:v>
      </x:c>
      <x:c r="AB511" s="119" t="n">
        <x:f>IF(2&gt;D511,0,MAX(2,MIN('难度参数'!$E$12,ROUND(('难度参数'!$E$18*POWER(A511,'难度参数'!$E$19)/D511*(0.85+0.3*(2-1)/MAX(1,D511-1))),0)+F511)))</x:f>
        <x:v>37</x:v>
      </x:c>
      <x:c r="AC511" s="119" t="n">
        <x:f>IF(2&gt;D511,0,ROUND(('难度参数'!$E$13*POWER(A511,'难度参数'!$E$20)*MIN('难度参数'!$E$23,1+MAX(0,A511-'难度参数'!$E$21)*'难度参数'!$E$22))*(36+2*7)/(36+7*(D511+1)/2)*E511,0))</x:f>
        <x:v>9322</x:v>
      </x:c>
      <x:c r="AD511" s="119" t="n">
        <x:f>IF(AB511=0,0,(AB511-IF(2=D511,1,0))*ROUND(AC511*VLOOKUP(INDEX('章节与怪物'!$E$31:$K$37,B511,2),'章节与怪物'!$A$41:$F$44,2,FALSE),0)+IF(2=D511,ROUND(AC511*'难度参数'!$E$28*'章节与怪物'!$E$17,0),0))</x:f>
        <x:v>248344</x:v>
      </x:c>
      <x:c r="AE511" s="119" t="n">
        <x:f>IF(AB511=0,0,(AB511-IF(2=D511,1,0))*VLOOKUP(INDEX('章节与怪物'!$E$31:$K$37,B511,2),'章节与怪物'!$A$41:$F$44,4,FALSE)+IF(2=D511,'难度参数'!$E$30,0))</x:f>
        <x:v>740</x:v>
      </x:c>
      <x:c r="AF511" s="119" t="n">
        <x:f>IF(3&gt;D511,0,MAX(2,MIN('难度参数'!$E$12,ROUND(('难度参数'!$E$18*POWER(A511,'难度参数'!$E$19)/D511*(0.85+0.3*(3-1)/MAX(1,D511-1))),0)+F511)))</x:f>
        <x:v>40</x:v>
      </x:c>
      <x:c r="AG511" s="119" t="n">
        <x:f>IF(3&gt;D511,0,ROUND(('难度参数'!$E$13*POWER(A511,'难度参数'!$E$20)*MIN('难度参数'!$E$23,1+MAX(0,A511-'难度参数'!$E$21)*'难度参数'!$E$22))*(36+3*7)/(36+7*(D511+1)/2)*E511,0))</x:f>
        <x:v>10627</x:v>
      </x:c>
      <x:c r="AH511" s="119" t="n">
        <x:f>IF(AF511=0,0,(AF511-IF(3=D511,1,0))*ROUND(AG511*VLOOKUP(INDEX('章节与怪物'!$E$31:$K$37,B511,3),'章节与怪物'!$A$41:$F$44,2,FALSE),0)+IF(3=D511,ROUND(AG511*'难度参数'!$E$28*'章节与怪物'!$E$17,0),0))</x:f>
        <x:v>722640</x:v>
      </x:c>
      <x:c r="AI511" s="119" t="n">
        <x:f>IF(AF511=0,0,(AF511-IF(3=D511,1,0))*VLOOKUP(INDEX('章节与怪物'!$E$31:$K$37,B511,3),'章节与怪物'!$A$41:$F$44,4,FALSE)+IF(3=D511,'难度参数'!$E$30,0))</x:f>
        <x:v>1120</x:v>
      </x:c>
      <x:c r="AJ511" s="119" t="n">
        <x:f>IF(4&gt;D511,0,MAX(2,MIN('难度参数'!$E$12,ROUND(('难度参数'!$E$18*POWER(A511,'难度参数'!$E$19)/D511*(0.85+0.3*(4-1)/MAX(1,D511-1))),0)+F511)))</x:f>
        <x:v>42</x:v>
      </x:c>
      <x:c r="AK511" s="119" t="n">
        <x:f>IF(4&gt;D511,0,ROUND(('难度参数'!$E$13*POWER(A511,'难度参数'!$E$20)*MIN('难度参数'!$E$23,1+MAX(0,A511-'难度参数'!$E$21)*'难度参数'!$E$22))*(36+4*7)/(36+7*(D511+1)/2)*E511,0))</x:f>
        <x:v>11932</x:v>
      </x:c>
      <x:c r="AL511" s="119" t="n">
        <x:f>IF(AJ511=0,0,(AJ511-IF(4=D511,1,0))*ROUND(AK511*VLOOKUP(INDEX('章节与怪物'!$E$31:$K$37,B511,4),'章节与怪物'!$A$41:$F$44,2,FALSE),0)+IF(4=D511,ROUND(AK511*'难度参数'!$E$28*'章节与怪物'!$E$17,0),0))</x:f>
        <x:v>676536</x:v>
      </x:c>
      <x:c r="AM511" s="119" t="n">
        <x:f>IF(AJ511=0,0,(AJ511-IF(4=D511,1,0))*VLOOKUP(INDEX('章节与怪物'!$E$31:$K$37,B511,4),'章节与怪物'!$A$41:$F$44,4,FALSE)+IF(4=D511,'难度参数'!$E$30,0))</x:f>
        <x:v>1428</x:v>
      </x:c>
      <x:c r="AN511" s="119" t="n">
        <x:f>IF(5&gt;D511,0,MAX(2,MIN('难度参数'!$E$12,ROUND(('难度参数'!$E$18*POWER(A511,'难度参数'!$E$19)/D511*(0.85+0.3*(5-1)/MAX(1,D511-1))),0)+F511)))</x:f>
        <x:v>44</x:v>
      </x:c>
      <x:c r="AO511" s="119" t="n">
        <x:f>IF(5&gt;D511,0,ROUND(('难度参数'!$E$13*POWER(A511,'难度参数'!$E$20)*MIN('难度参数'!$E$23,1+MAX(0,A511-'难度参数'!$E$21)*'难度参数'!$E$22))*(36+5*7)/(36+7*(D511+1)/2)*E511,0))</x:f>
        <x:v>13237</x:v>
      </x:c>
      <x:c r="AP511" s="119" t="n">
        <x:f>IF(AN511=0,0,(AN511-IF(5=D511,1,0))*ROUND(AO511*VLOOKUP(INDEX('章节与怪物'!$E$31:$K$37,B511,5),'章节与怪物'!$A$41:$F$44,2,FALSE),0)+IF(5=D511,ROUND(AO511*'难度参数'!$E$28*'章节与怪物'!$E$17,0),0))</x:f>
        <x:v>419364</x:v>
      </x:c>
      <x:c r="AQ511" s="119" t="n">
        <x:f>IF(AN511=0,0,(AN511-IF(5=D511,1,0))*VLOOKUP(INDEX('章节与怪物'!$E$31:$K$37,B511,5),'章节与怪物'!$A$41:$F$44,4,FALSE)+IF(5=D511,'难度参数'!$E$30,0))</x:f>
        <x:v>880</x:v>
      </x:c>
      <x:c r="AR511" s="119" t="n">
        <x:f>IF(6&gt;D511,0,MAX(2,MIN('难度参数'!$E$12,ROUND(('难度参数'!$E$18*POWER(A511,'难度参数'!$E$19)/D511*(0.85+0.3*(6-1)/MAX(1,D511-1))),0)+F511)))</x:f>
        <x:v>46</x:v>
      </x:c>
      <x:c r="AS511" s="119" t="n">
        <x:f>IF(6&gt;D511,0,ROUND(('难度参数'!$E$13*POWER(A511,'难度参数'!$E$20)*MIN('难度参数'!$E$23,1+MAX(0,A511-'难度参数'!$E$21)*'难度参数'!$E$22))*(36+6*7)/(36+7*(D511+1)/2)*E511,0))</x:f>
        <x:v>14542</x:v>
      </x:c>
      <x:c r="AT511" s="119" t="n">
        <x:f>IF(AR511=0,0,(AR511-IF(6=D511,1,0))*ROUND(AS511*VLOOKUP(INDEX('章节与怪物'!$E$31:$K$37,B511,6),'章节与怪物'!$A$41:$F$44,2,FALSE),0)+IF(6=D511,ROUND(AS511*'难度参数'!$E$28*'章节与怪物'!$E$17,0),0))</x:f>
        <x:v>1137166</x:v>
      </x:c>
      <x:c r="AU511" s="119" t="n">
        <x:f>IF(AR511=0,0,(AR511-IF(6=D511,1,0))*VLOOKUP(INDEX('章节与怪物'!$E$31:$K$37,B511,6),'章节与怪物'!$A$41:$F$44,4,FALSE)+IF(6=D511,'难度参数'!$E$30,0))</x:f>
        <x:v>1288</x:v>
      </x:c>
      <x:c r="AV511" s="119" t="n">
        <x:f>IF(7&gt;D511,0,MAX(2,MIN('难度参数'!$E$12,ROUND(('难度参数'!$E$18*POWER(A511,'难度参数'!$E$19)/D511*(0.85+0.3*(7-1)/MAX(1,D511-1))),0)+F511)))</x:f>
        <x:v>48</x:v>
      </x:c>
      <x:c r="AW511" s="119" t="n">
        <x:f>IF(7&gt;D511,0,ROUND(('难度参数'!$E$13*POWER(A511,'难度参数'!$E$20)*MIN('难度参数'!$E$23,1+MAX(0,A511-'难度参数'!$E$21)*'难度参数'!$E$22))*(36+7*7)/(36+7*(D511+1)/2)*E511,0))</x:f>
        <x:v>15847</x:v>
      </x:c>
      <x:c r="AX511" s="119" t="n">
        <x:f>IF(AV511=0,0,(AV511-IF(7=D511,1,0))*ROUND(AW511*VLOOKUP(INDEX('章节与怪物'!$E$31:$K$37,B511,7),'章节与怪物'!$A$41:$F$44,2,FALSE),0)+IF(7=D511,ROUND(AW511*'难度参数'!$E$28*'章节与怪物'!$E$17,0),0))</x:f>
        <x:v>1113231</x:v>
      </x:c>
      <x:c r="AY511" s="119" t="n">
        <x:f>IF(AV511=0,0,(AV511-IF(7=D511,1,0))*VLOOKUP(INDEX('章节与怪物'!$E$31:$K$37,B511,7),'章节与怪物'!$A$41:$F$44,4,FALSE)+IF(7=D511,'难度参数'!$E$30,0))</x:f>
        <x:v>1798</x:v>
      </x:c>
    </x:row>
    <x:row r="512" ht="23" customHeight="1">
      <x:c r="A512" s="119" t="n">
        <x:v>506</x:v>
      </x:c>
      <x:c r="B512" s="119" t="n">
        <x:f>MOD(INT((A512-1)/5),7)+1</x:f>
        <x:v>4</x:v>
      </x:c>
      <x:c r="C512" s="62" t="str">
        <x:f>INDEX('章节与怪物'!$B$31:$B$37,B512)</x:f>
        <x:v>翠野边城</x:v>
      </x:c>
      <x:c r="D512" s="119" t="n">
        <x:f>MIN('难度参数'!$E$8,MAX('难度参数'!$E$7,A512))</x:f>
        <x:v>7</x:v>
      </x:c>
      <x:c r="E512" s="106" t="n">
        <x:v>1</x:v>
      </x:c>
      <x:c r="F512" s="106" t="n">
        <x:v>0</x:v>
      </x:c>
      <x:c r="G512" s="106" t="n">
        <x:v>1</x:v>
      </x:c>
      <x:c r="H512" s="119" t="n">
        <x:f>SUM(X512,AB512,AF512,AJ512,AN512,AR512,AV512)</x:f>
        <x:v>293</x:v>
      </x:c>
      <x:c r="I512" s="119" t="n">
        <x:f>SUM(Z512,AD512,AH512,AL512,AP512,AT512,AX512)</x:f>
        <x:v>4138536</x:v>
      </x:c>
      <x:c r="J512" s="119" t="n">
        <x:f>ROUND(INDEX(X512:AY512,1,(D512-1)*4+2)*'难度参数'!$E$28*'章节与怪物'!$E$17,0)</x:f>
        <x:v>107909</x:v>
      </x:c>
      <x:c r="K512" s="119" t="n">
        <x:f>SUM(AA512,AE512,AI512,AM512,AQ512,AU512,AY512)</x:f>
        <x:v>7442</x:v>
      </x:c>
      <x:c r="L512" s="62" t="n">
        <x:f>H512*(ROUNDUP('难度参数'!$E$24/('难度参数'!$E$26*'难度参数'!$E$27),0)*'难度参数'!$E$26)/60</x:f>
        <x:v>3.9066666666666667</x:v>
      </x:c>
      <x:c r="M512" s="62" t="n">
        <x:f>L512+D512*('难度参数'!$E$49+'难度参数'!$E$50)/60</x:f>
        <x:v>5.073333333333333</x:v>
      </x:c>
      <x:c r="N512" s="119" t="n">
        <x:f>ROUNDDOWN(('经济参数'!$E$20+A512*'经济参数'!$E$21)*G512,0)</x:f>
        <x:v>10300</x:v>
      </x:c>
      <x:c r="O512" s="119" t="n">
        <x:f>ROUNDDOWN(MIN('经济参数'!$E$24,'经济参数'!$E$22+A512*'经济参数'!$E$23)*G512,0)</x:f>
        <x:v>0</x:v>
      </x:c>
      <x:c r="P512" s="119" t="n">
        <x:f>ROUNDDOWN((IF(A512&gt;='材料与任务'!$E$31,'材料与任务'!$E$32,IF(A512&gt;='材料与任务'!$E$25,'材料与任务'!$E$26,IF(A512&gt;='材料与任务'!$E$19,'材料与任务'!$E$20,IF(A512&gt;='材料与任务'!$E$13,'材料与任务'!$E$14,'材料与任务'!$E$8)))))*G512,0)</x:f>
        <x:v>6</x:v>
      </x:c>
      <x:c r="Q512" s="119" t="n">
        <x:f>ROUNDDOWN((IF(A512&gt;='材料与任务'!$E$31,'材料与任务'!$E$33,IF(A512&gt;='材料与任务'!$E$25,'材料与任务'!$E$27,IF(A512&gt;='材料与任务'!$E$19,'材料与任务'!$E$21,IF(A512&gt;='材料与任务'!$E$13,'材料与任务'!$E$15,'材料与任务'!$E$9)))))*G512,0)</x:f>
        <x:v>3</x:v>
      </x:c>
      <x:c r="R512" s="110" t="n">
        <x:f>'装备掉落'!$B$38</x:f>
        <x:v>0.6872058758851213</x:v>
      </x:c>
      <x:c r="S512" s="119" t="n">
        <x:f>MAX(IF(VLOOKUP(A512,'装备掉落'!$A$29:$H$34,2,TRUE)&gt;0,1,0),IF(VLOOKUP(A512,'装备掉落'!$A$29:$H$34,3,TRUE)&gt;0,2,0),IF(VLOOKUP(A512,'装备掉落'!$A$29:$H$34,4,TRUE)&gt;0,3,0),IF(VLOOKUP(A512,'装备掉落'!$A$29:$H$34,5,TRUE)&gt;0,4,0),IF(VLOOKUP(A512,'装备掉落'!$A$29:$H$34,6,TRUE)&gt;0,5,0),IF(VLOOKUP(A512,'装备掉落'!$A$29:$H$34,7,TRUE)&gt;0,6,0),IF(VLOOKUP(A512,'装备掉落'!$A$29:$H$34,8,TRUE)&gt;0,7,0))</x:f>
        <x:v>7</x:v>
      </x:c>
      <x:c r="T512" s="119" t="n">
        <x:f>MIN(7,S512+'经济参数'!$E$70)</x:f>
        <x:v>7</x:v>
      </x:c>
      <x:c r="U512" s="119" t="n">
        <x:f>MIN(7,S512+'经济参数'!$E$71)</x:f>
        <x:v>7</x:v>
      </x:c>
      <x:c r="V512" s="119" t="n">
        <x:f>IF(H512&gt;=('难度参数'!$E$52),1,0)+IF(H512&gt;=('难度参数'!$E$52+'难度参数'!$E$53),1,0)+IF(H512&gt;=('难度参数'!$E$52+'难度参数'!$E$53+'难度参数'!$E$54),1,0)+IF(H512&gt;=('难度参数'!$E$52+'难度参数'!$E$53+'难度参数'!$E$54+'难度参数'!$E$55),1,0)+IF(H512&gt;=('难度参数'!$E$52+'难度参数'!$E$53+'难度参数'!$E$54+'难度参数'!$E$55+'难度参数'!$E$56),1,0)+IF(H512&gt;=('难度参数'!$E$52+'难度参数'!$E$53+'难度参数'!$E$54+'难度参数'!$E$55+'难度参数'!$E$56+'难度参数'!$E$57),1,0)</x:f>
        <x:v>6</x:v>
      </x:c>
      <x:c r="W512" s="62" t="str">
        <x:f>IF(L512&gt;'难度参数'!$E$51,"仅出怪已超目标","还需实测")</x:f>
        <x:v>仅出怪已超目标</x:v>
      </x:c>
      <x:c r="X512" s="119" t="n">
        <x:f>IF(1&gt;D512,0,MAX(2,MIN('难度参数'!$E$12,ROUND(('难度参数'!$E$18*POWER(A512,'难度参数'!$E$19)/D512*(0.85+0.3*(1-1)/MAX(1,D512-1))),0)+F512)))</x:f>
        <x:v>35</x:v>
      </x:c>
      <x:c r="Y512" s="119" t="n">
        <x:f>IF(1&gt;D512,0,ROUND(('难度参数'!$E$13*POWER(A512,'难度参数'!$E$20)*MIN('难度参数'!$E$23,1+MAX(0,A512-'难度参数'!$E$21)*'难度参数'!$E$22))*(36+1*7)/(36+7*(D512+1)/2)*E512,0))</x:f>
        <x:v>8028</x:v>
      </x:c>
      <x:c r="Z512" s="119" t="n">
        <x:f>IF(X512=0,0,(X512-IF(1=D512,1,0))*ROUND(Y512*VLOOKUP(INDEX('章节与怪物'!$E$31:$K$37,B512,1),'章节与怪物'!$A$41:$F$44,2,FALSE),0)+IF(1=D512,ROUND(Y512*'难度参数'!$E$28*'章节与怪物'!$E$17,0),0))</x:f>
        <x:v>202300</x:v>
      </x:c>
      <x:c r="AA512" s="119" t="n">
        <x:f>IF(X512=0,0,(X512-IF(1=D512,1,0))*VLOOKUP(INDEX('章节与怪物'!$E$31:$K$37,B512,1),'章节与怪物'!$A$41:$F$44,4,FALSE)+IF(1=D512,'难度参数'!$E$30,0))</x:f>
        <x:v>700</x:v>
      </x:c>
      <x:c r="AB512" s="119" t="n">
        <x:f>IF(2&gt;D512,0,MAX(2,MIN('难度参数'!$E$12,ROUND(('难度参数'!$E$18*POWER(A512,'难度参数'!$E$19)/D512*(0.85+0.3*(2-1)/MAX(1,D512-1))),0)+F512)))</x:f>
        <x:v>38</x:v>
      </x:c>
      <x:c r="AC512" s="119" t="n">
        <x:f>IF(2&gt;D512,0,ROUND(('难度参数'!$E$13*POWER(A512,'难度参数'!$E$20)*MIN('难度参数'!$E$23,1+MAX(0,A512-'难度参数'!$E$21)*'难度参数'!$E$22))*(36+2*7)/(36+7*(D512+1)/2)*E512,0))</x:f>
        <x:v>9335</x:v>
      </x:c>
      <x:c r="AD512" s="119" t="n">
        <x:f>IF(AB512=0,0,(AB512-IF(2=D512,1,0))*ROUND(AC512*VLOOKUP(INDEX('章节与怪物'!$E$31:$K$37,B512,2),'章节与怪物'!$A$41:$F$44,2,FALSE),0)+IF(2=D512,ROUND(AC512*'难度参数'!$E$28*'章节与怪物'!$E$17,0),0))</x:f>
        <x:v>354730</x:v>
      </x:c>
      <x:c r="AE512" s="119" t="n">
        <x:f>IF(AB512=0,0,(AB512-IF(2=D512,1,0))*VLOOKUP(INDEX('章节与怪物'!$E$31:$K$37,B512,2),'章节与怪物'!$A$41:$F$44,4,FALSE)+IF(2=D512,'难度参数'!$E$30,0))</x:f>
        <x:v>684</x:v>
      </x:c>
      <x:c r="AF512" s="119" t="n">
        <x:f>IF(3&gt;D512,0,MAX(2,MIN('难度参数'!$E$12,ROUND(('难度参数'!$E$18*POWER(A512,'难度参数'!$E$19)/D512*(0.85+0.3*(3-1)/MAX(1,D512-1))),0)+F512)))</x:f>
        <x:v>40</x:v>
      </x:c>
      <x:c r="AG512" s="119" t="n">
        <x:f>IF(3&gt;D512,0,ROUND(('难度参数'!$E$13*POWER(A512,'难度参数'!$E$20)*MIN('难度参数'!$E$23,1+MAX(0,A512-'难度参数'!$E$21)*'难度参数'!$E$22))*(36+3*7)/(36+7*(D512+1)/2)*E512,0))</x:f>
        <x:v>10642</x:v>
      </x:c>
      <x:c r="AH512" s="119" t="n">
        <x:f>IF(AF512=0,0,(AF512-IF(3=D512,1,0))*ROUND(AG512*VLOOKUP(INDEX('章节与怪物'!$E$31:$K$37,B512,3),'章节与怪物'!$A$41:$F$44,2,FALSE),0)+IF(3=D512,ROUND(AG512*'难度参数'!$E$28*'章节与怪物'!$E$17,0),0))</x:f>
        <x:v>723640</x:v>
      </x:c>
      <x:c r="AI512" s="119" t="n">
        <x:f>IF(AF512=0,0,(AF512-IF(3=D512,1,0))*VLOOKUP(INDEX('章节与怪物'!$E$31:$K$37,B512,3),'章节与怪物'!$A$41:$F$44,4,FALSE)+IF(3=D512,'难度参数'!$E$30,0))</x:f>
        <x:v>1120</x:v>
      </x:c>
      <x:c r="AJ512" s="119" t="n">
        <x:f>IF(4&gt;D512,0,MAX(2,MIN('难度参数'!$E$12,ROUND(('难度参数'!$E$18*POWER(A512,'难度参数'!$E$19)/D512*(0.85+0.3*(4-1)/MAX(1,D512-1))),0)+F512)))</x:f>
        <x:v>42</x:v>
      </x:c>
      <x:c r="AK512" s="119" t="n">
        <x:f>IF(4&gt;D512,0,ROUND(('难度参数'!$E$13*POWER(A512,'难度参数'!$E$20)*MIN('难度参数'!$E$23,1+MAX(0,A512-'难度参数'!$E$21)*'难度参数'!$E$22))*(36+4*7)/(36+7*(D512+1)/2)*E512,0))</x:f>
        <x:v>11949</x:v>
      </x:c>
      <x:c r="AL512" s="119" t="n">
        <x:f>IF(AJ512=0,0,(AJ512-IF(4=D512,1,0))*ROUND(AK512*VLOOKUP(INDEX('章节与怪物'!$E$31:$K$37,B512,4),'章节与怪物'!$A$41:$F$44,2,FALSE),0)+IF(4=D512,ROUND(AK512*'难度参数'!$E$28*'章节与怪物'!$E$17,0),0))</x:f>
        <x:v>677502</x:v>
      </x:c>
      <x:c r="AM512" s="119" t="n">
        <x:f>IF(AJ512=0,0,(AJ512-IF(4=D512,1,0))*VLOOKUP(INDEX('章节与怪物'!$E$31:$K$37,B512,4),'章节与怪物'!$A$41:$F$44,4,FALSE)+IF(4=D512,'难度参数'!$E$30,0))</x:f>
        <x:v>1428</x:v>
      </x:c>
      <x:c r="AN512" s="119" t="n">
        <x:f>IF(5&gt;D512,0,MAX(2,MIN('难度参数'!$E$12,ROUND(('难度参数'!$E$18*POWER(A512,'难度参数'!$E$19)/D512*(0.85+0.3*(5-1)/MAX(1,D512-1))),0)+F512)))</x:f>
        <x:v>44</x:v>
      </x:c>
      <x:c r="AO512" s="119" t="n">
        <x:f>IF(5&gt;D512,0,ROUND(('难度参数'!$E$13*POWER(A512,'难度参数'!$E$20)*MIN('难度参数'!$E$23,1+MAX(0,A512-'难度参数'!$E$21)*'难度参数'!$E$22))*(36+5*7)/(36+7*(D512+1)/2)*E512,0))</x:f>
        <x:v>13256</x:v>
      </x:c>
      <x:c r="AP512" s="119" t="n">
        <x:f>IF(AN512=0,0,(AN512-IF(5=D512,1,0))*ROUND(AO512*VLOOKUP(INDEX('章节与怪物'!$E$31:$K$37,B512,5),'章节与怪物'!$A$41:$F$44,2,FALSE),0)+IF(5=D512,ROUND(AO512*'难度参数'!$E$28*'章节与怪物'!$E$17,0),0))</x:f>
        <x:v>583264</x:v>
      </x:c>
      <x:c r="AQ512" s="119" t="n">
        <x:f>IF(AN512=0,0,(AN512-IF(5=D512,1,0))*VLOOKUP(INDEX('章节与怪物'!$E$31:$K$37,B512,5),'章节与怪物'!$A$41:$F$44,4,FALSE)+IF(5=D512,'难度参数'!$E$30,0))</x:f>
        <x:v>792</x:v>
      </x:c>
      <x:c r="AR512" s="119" t="n">
        <x:f>IF(6&gt;D512,0,MAX(2,MIN('难度参数'!$E$12,ROUND(('难度参数'!$E$18*POWER(A512,'难度参数'!$E$19)/D512*(0.85+0.3*(6-1)/MAX(1,D512-1))),0)+F512)))</x:f>
        <x:v>46</x:v>
      </x:c>
      <x:c r="AS512" s="119" t="n">
        <x:f>IF(6&gt;D512,0,ROUND(('难度参数'!$E$13*POWER(A512,'难度参数'!$E$20)*MIN('难度参数'!$E$23,1+MAX(0,A512-'难度参数'!$E$21)*'难度参数'!$E$22))*(36+6*7)/(36+7*(D512+1)/2)*E512,0))</x:f>
        <x:v>14563</x:v>
      </x:c>
      <x:c r="AT512" s="119" t="n">
        <x:f>IF(AR512=0,0,(AR512-IF(6=D512,1,0))*ROUND(AS512*VLOOKUP(INDEX('章节与怪物'!$E$31:$K$37,B512,6),'章节与怪物'!$A$41:$F$44,2,FALSE),0)+IF(6=D512,ROUND(AS512*'难度参数'!$E$28*'章节与怪物'!$E$17,0),0))</x:f>
        <x:v>482310</x:v>
      </x:c>
      <x:c r="AU512" s="119" t="n">
        <x:f>IF(AR512=0,0,(AR512-IF(6=D512,1,0))*VLOOKUP(INDEX('章节与怪物'!$E$31:$K$37,B512,6),'章节与怪物'!$A$41:$F$44,4,FALSE)+IF(6=D512,'难度参数'!$E$30,0))</x:f>
        <x:v>920</x:v>
      </x:c>
      <x:c r="AV512" s="119" t="n">
        <x:f>IF(7&gt;D512,0,MAX(2,MIN('难度参数'!$E$12,ROUND(('难度参数'!$E$18*POWER(A512,'难度参数'!$E$19)/D512*(0.85+0.3*(7-1)/MAX(1,D512-1))),0)+F512)))</x:f>
        <x:v>48</x:v>
      </x:c>
      <x:c r="AW512" s="119" t="n">
        <x:f>IF(7&gt;D512,0,ROUND(('难度参数'!$E$13*POWER(A512,'难度参数'!$E$20)*MIN('难度参数'!$E$23,1+MAX(0,A512-'难度参数'!$E$21)*'难度参数'!$E$22))*(36+7*7)/(36+7*(D512+1)/2)*E512,0))</x:f>
        <x:v>15869</x:v>
      </x:c>
      <x:c r="AX512" s="119" t="n">
        <x:f>IF(AV512=0,0,(AV512-IF(7=D512,1,0))*ROUND(AW512*VLOOKUP(INDEX('章节与怪物'!$E$31:$K$37,B512,7),'章节与怪物'!$A$41:$F$44,2,FALSE),0)+IF(7=D512,ROUND(AW512*'难度参数'!$E$28*'章节与怪物'!$E$17,0),0))</x:f>
        <x:v>1114790</x:v>
      </x:c>
      <x:c r="AY512" s="119" t="n">
        <x:f>IF(AV512=0,0,(AV512-IF(7=D512,1,0))*VLOOKUP(INDEX('章节与怪物'!$E$31:$K$37,B512,7),'章节与怪物'!$A$41:$F$44,4,FALSE)+IF(7=D512,'难度参数'!$E$30,0))</x:f>
        <x:v>1798</x:v>
      </x:c>
    </x:row>
    <x:row r="513" ht="23" customHeight="1">
      <x:c r="A513" s="119" t="n">
        <x:v>507</x:v>
      </x:c>
      <x:c r="B513" s="119" t="n">
        <x:f>MOD(INT((A513-1)/5),7)+1</x:f>
        <x:v>4</x:v>
      </x:c>
      <x:c r="C513" s="62" t="str">
        <x:f>INDEX('章节与怪物'!$B$31:$B$37,B513)</x:f>
        <x:v>翠野边城</x:v>
      </x:c>
      <x:c r="D513" s="119" t="n">
        <x:f>MIN('难度参数'!$E$8,MAX('难度参数'!$E$7,A513))</x:f>
        <x:v>7</x:v>
      </x:c>
      <x:c r="E513" s="106" t="n">
        <x:v>1</x:v>
      </x:c>
      <x:c r="F513" s="106" t="n">
        <x:v>0</x:v>
      </x:c>
      <x:c r="G513" s="106" t="n">
        <x:v>1</x:v>
      </x:c>
      <x:c r="H513" s="119" t="n">
        <x:f>SUM(X513,AB513,AF513,AJ513,AN513,AR513,AV513)</x:f>
        <x:v>293</x:v>
      </x:c>
      <x:c r="I513" s="119" t="n">
        <x:f>SUM(Z513,AD513,AH513,AL513,AP513,AT513,AX513)</x:f>
        <x:v>4144412</x:v>
      </x:c>
      <x:c r="J513" s="119" t="n">
        <x:f>ROUND(INDEX(X513:AY513,1,(D513-1)*4+2)*'难度参数'!$E$28*'章节与怪物'!$E$17,0)</x:f>
        <x:v>108066</x:v>
      </x:c>
      <x:c r="K513" s="119" t="n">
        <x:f>SUM(AA513,AE513,AI513,AM513,AQ513,AU513,AY513)</x:f>
        <x:v>7442</x:v>
      </x:c>
      <x:c r="L513" s="62" t="n">
        <x:f>H513*(ROUNDUP('难度参数'!$E$24/('难度参数'!$E$26*'难度参数'!$E$27),0)*'难度参数'!$E$26)/60</x:f>
        <x:v>3.9066666666666667</x:v>
      </x:c>
      <x:c r="M513" s="62" t="n">
        <x:f>L513+D513*('难度参数'!$E$49+'难度参数'!$E$50)/60</x:f>
        <x:v>5.073333333333333</x:v>
      </x:c>
      <x:c r="N513" s="119" t="n">
        <x:f>ROUNDDOWN(('经济参数'!$E$20+A513*'经济参数'!$E$21)*G513,0)</x:f>
        <x:v>10320</x:v>
      </x:c>
      <x:c r="O513" s="119" t="n">
        <x:f>ROUNDDOWN(MIN('经济参数'!$E$24,'经济参数'!$E$22+A513*'经济参数'!$E$23)*G513,0)</x:f>
        <x:v>0</x:v>
      </x:c>
      <x:c r="P513" s="119" t="n">
        <x:f>ROUNDDOWN((IF(A513&gt;='材料与任务'!$E$31,'材料与任务'!$E$32,IF(A513&gt;='材料与任务'!$E$25,'材料与任务'!$E$26,IF(A513&gt;='材料与任务'!$E$19,'材料与任务'!$E$20,IF(A513&gt;='材料与任务'!$E$13,'材料与任务'!$E$14,'材料与任务'!$E$8)))))*G513,0)</x:f>
        <x:v>6</x:v>
      </x:c>
      <x:c r="Q513" s="119" t="n">
        <x:f>ROUNDDOWN((IF(A513&gt;='材料与任务'!$E$31,'材料与任务'!$E$33,IF(A513&gt;='材料与任务'!$E$25,'材料与任务'!$E$27,IF(A513&gt;='材料与任务'!$E$19,'材料与任务'!$E$21,IF(A513&gt;='材料与任务'!$E$13,'材料与任务'!$E$15,'材料与任务'!$E$9)))))*G513,0)</x:f>
        <x:v>3</x:v>
      </x:c>
      <x:c r="R513" s="110" t="n">
        <x:f>'装备掉落'!$B$38</x:f>
        <x:v>0.6872058758851213</x:v>
      </x:c>
      <x:c r="S513" s="119" t="n">
        <x:f>MAX(IF(VLOOKUP(A513,'装备掉落'!$A$29:$H$34,2,TRUE)&gt;0,1,0),IF(VLOOKUP(A513,'装备掉落'!$A$29:$H$34,3,TRUE)&gt;0,2,0),IF(VLOOKUP(A513,'装备掉落'!$A$29:$H$34,4,TRUE)&gt;0,3,0),IF(VLOOKUP(A513,'装备掉落'!$A$29:$H$34,5,TRUE)&gt;0,4,0),IF(VLOOKUP(A513,'装备掉落'!$A$29:$H$34,6,TRUE)&gt;0,5,0),IF(VLOOKUP(A513,'装备掉落'!$A$29:$H$34,7,TRUE)&gt;0,6,0),IF(VLOOKUP(A513,'装备掉落'!$A$29:$H$34,8,TRUE)&gt;0,7,0))</x:f>
        <x:v>7</x:v>
      </x:c>
      <x:c r="T513" s="119" t="n">
        <x:f>MIN(7,S513+'经济参数'!$E$70)</x:f>
        <x:v>7</x:v>
      </x:c>
      <x:c r="U513" s="119" t="n">
        <x:f>MIN(7,S513+'经济参数'!$E$71)</x:f>
        <x:v>7</x:v>
      </x:c>
      <x:c r="V513" s="119" t="n">
        <x:f>IF(H513&gt;=('难度参数'!$E$52),1,0)+IF(H513&gt;=('难度参数'!$E$52+'难度参数'!$E$53),1,0)+IF(H513&gt;=('难度参数'!$E$52+'难度参数'!$E$53+'难度参数'!$E$54),1,0)+IF(H513&gt;=('难度参数'!$E$52+'难度参数'!$E$53+'难度参数'!$E$54+'难度参数'!$E$55),1,0)+IF(H513&gt;=('难度参数'!$E$52+'难度参数'!$E$53+'难度参数'!$E$54+'难度参数'!$E$55+'难度参数'!$E$56),1,0)+IF(H513&gt;=('难度参数'!$E$52+'难度参数'!$E$53+'难度参数'!$E$54+'难度参数'!$E$55+'难度参数'!$E$56+'难度参数'!$E$57),1,0)</x:f>
        <x:v>6</x:v>
      </x:c>
      <x:c r="W513" s="62" t="str">
        <x:f>IF(L513&gt;'难度参数'!$E$51,"仅出怪已超目标","还需实测")</x:f>
        <x:v>仅出怪已超目标</x:v>
      </x:c>
      <x:c r="X513" s="119" t="n">
        <x:f>IF(1&gt;D513,0,MAX(2,MIN('难度参数'!$E$12,ROUND(('难度参数'!$E$18*POWER(A513,'难度参数'!$E$19)/D513*(0.85+0.3*(1-1)/MAX(1,D513-1))),0)+F513)))</x:f>
        <x:v>35</x:v>
      </x:c>
      <x:c r="Y513" s="119" t="n">
        <x:f>IF(1&gt;D513,0,ROUND(('难度参数'!$E$13*POWER(A513,'难度参数'!$E$20)*MIN('难度参数'!$E$23,1+MAX(0,A513-'难度参数'!$E$21)*'难度参数'!$E$22))*(36+1*7)/(36+7*(D513+1)/2)*E513,0))</x:f>
        <x:v>8039</x:v>
      </x:c>
      <x:c r="Z513" s="119" t="n">
        <x:f>IF(X513=0,0,(X513-IF(1=D513,1,0))*ROUND(Y513*VLOOKUP(INDEX('章节与怪物'!$E$31:$K$37,B513,1),'章节与怪物'!$A$41:$F$44,2,FALSE),0)+IF(1=D513,ROUND(Y513*'难度参数'!$E$28*'章节与怪物'!$E$17,0),0))</x:f>
        <x:v>202580</x:v>
      </x:c>
      <x:c r="AA513" s="119" t="n">
        <x:f>IF(X513=0,0,(X513-IF(1=D513,1,0))*VLOOKUP(INDEX('章节与怪物'!$E$31:$K$37,B513,1),'章节与怪物'!$A$41:$F$44,4,FALSE)+IF(1=D513,'难度参数'!$E$30,0))</x:f>
        <x:v>700</x:v>
      </x:c>
      <x:c r="AB513" s="119" t="n">
        <x:f>IF(2&gt;D513,0,MAX(2,MIN('难度参数'!$E$12,ROUND(('难度参数'!$E$18*POWER(A513,'难度参数'!$E$19)/D513*(0.85+0.3*(2-1)/MAX(1,D513-1))),0)+F513)))</x:f>
        <x:v>38</x:v>
      </x:c>
      <x:c r="AC513" s="119" t="n">
        <x:f>IF(2&gt;D513,0,ROUND(('难度参数'!$E$13*POWER(A513,'难度参数'!$E$20)*MIN('难度参数'!$E$23,1+MAX(0,A513-'难度参数'!$E$21)*'难度参数'!$E$22))*(36+2*7)/(36+7*(D513+1)/2)*E513,0))</x:f>
        <x:v>9348</x:v>
      </x:c>
      <x:c r="AD513" s="119" t="n">
        <x:f>IF(AB513=0,0,(AB513-IF(2=D513,1,0))*ROUND(AC513*VLOOKUP(INDEX('章节与怪物'!$E$31:$K$37,B513,2),'章节与怪物'!$A$41:$F$44,2,FALSE),0)+IF(2=D513,ROUND(AC513*'难度参数'!$E$28*'章节与怪物'!$E$17,0),0))</x:f>
        <x:v>355224</x:v>
      </x:c>
      <x:c r="AE513" s="119" t="n">
        <x:f>IF(AB513=0,0,(AB513-IF(2=D513,1,0))*VLOOKUP(INDEX('章节与怪物'!$E$31:$K$37,B513,2),'章节与怪物'!$A$41:$F$44,4,FALSE)+IF(2=D513,'难度参数'!$E$30,0))</x:f>
        <x:v>684</x:v>
      </x:c>
      <x:c r="AF513" s="119" t="n">
        <x:f>IF(3&gt;D513,0,MAX(2,MIN('难度参数'!$E$12,ROUND(('难度参数'!$E$18*POWER(A513,'难度参数'!$E$19)/D513*(0.85+0.3*(3-1)/MAX(1,D513-1))),0)+F513)))</x:f>
        <x:v>40</x:v>
      </x:c>
      <x:c r="AG513" s="119" t="n">
        <x:f>IF(3&gt;D513,0,ROUND(('难度参数'!$E$13*POWER(A513,'难度参数'!$E$20)*MIN('难度参数'!$E$23,1+MAX(0,A513-'难度参数'!$E$21)*'难度参数'!$E$22))*(36+3*7)/(36+7*(D513+1)/2)*E513,0))</x:f>
        <x:v>10657</x:v>
      </x:c>
      <x:c r="AH513" s="119" t="n">
        <x:f>IF(AF513=0,0,(AF513-IF(3=D513,1,0))*ROUND(AG513*VLOOKUP(INDEX('章节与怪物'!$E$31:$K$37,B513,3),'章节与怪物'!$A$41:$F$44,2,FALSE),0)+IF(3=D513,ROUND(AG513*'难度参数'!$E$28*'章节与怪物'!$E$17,0),0))</x:f>
        <x:v>724680</x:v>
      </x:c>
      <x:c r="AI513" s="119" t="n">
        <x:f>IF(AF513=0,0,(AF513-IF(3=D513,1,0))*VLOOKUP(INDEX('章节与怪物'!$E$31:$K$37,B513,3),'章节与怪物'!$A$41:$F$44,4,FALSE)+IF(3=D513,'难度参数'!$E$30,0))</x:f>
        <x:v>1120</x:v>
      </x:c>
      <x:c r="AJ513" s="119" t="n">
        <x:f>IF(4&gt;D513,0,MAX(2,MIN('难度参数'!$E$12,ROUND(('难度参数'!$E$18*POWER(A513,'难度参数'!$E$19)/D513*(0.85+0.3*(4-1)/MAX(1,D513-1))),0)+F513)))</x:f>
        <x:v>42</x:v>
      </x:c>
      <x:c r="AK513" s="119" t="n">
        <x:f>IF(4&gt;D513,0,ROUND(('难度参数'!$E$13*POWER(A513,'难度参数'!$E$20)*MIN('难度参数'!$E$23,1+MAX(0,A513-'难度参数'!$E$21)*'难度参数'!$E$22))*(36+4*7)/(36+7*(D513+1)/2)*E513,0))</x:f>
        <x:v>11966</x:v>
      </x:c>
      <x:c r="AL513" s="119" t="n">
        <x:f>IF(AJ513=0,0,(AJ513-IF(4=D513,1,0))*ROUND(AK513*VLOOKUP(INDEX('章节与怪物'!$E$31:$K$37,B513,4),'章节与怪物'!$A$41:$F$44,2,FALSE),0)+IF(4=D513,ROUND(AK513*'难度参数'!$E$28*'章节与怪物'!$E$17,0),0))</x:f>
        <x:v>678468</x:v>
      </x:c>
      <x:c r="AM513" s="119" t="n">
        <x:f>IF(AJ513=0,0,(AJ513-IF(4=D513,1,0))*VLOOKUP(INDEX('章节与怪物'!$E$31:$K$37,B513,4),'章节与怪物'!$A$41:$F$44,4,FALSE)+IF(4=D513,'难度参数'!$E$30,0))</x:f>
        <x:v>1428</x:v>
      </x:c>
      <x:c r="AN513" s="119" t="n">
        <x:f>IF(5&gt;D513,0,MAX(2,MIN('难度参数'!$E$12,ROUND(('难度参数'!$E$18*POWER(A513,'难度参数'!$E$19)/D513*(0.85+0.3*(5-1)/MAX(1,D513-1))),0)+F513)))</x:f>
        <x:v>44</x:v>
      </x:c>
      <x:c r="AO513" s="119" t="n">
        <x:f>IF(5&gt;D513,0,ROUND(('难度参数'!$E$13*POWER(A513,'难度参数'!$E$20)*MIN('难度参数'!$E$23,1+MAX(0,A513-'难度参数'!$E$21)*'难度参数'!$E$22))*(36+5*7)/(36+7*(D513+1)/2)*E513,0))</x:f>
        <x:v>13274</x:v>
      </x:c>
      <x:c r="AP513" s="119" t="n">
        <x:f>IF(AN513=0,0,(AN513-IF(5=D513,1,0))*ROUND(AO513*VLOOKUP(INDEX('章节与怪物'!$E$31:$K$37,B513,5),'章节与怪物'!$A$41:$F$44,2,FALSE),0)+IF(5=D513,ROUND(AO513*'难度参数'!$E$28*'章节与怪物'!$E$17,0),0))</x:f>
        <x:v>584056</x:v>
      </x:c>
      <x:c r="AQ513" s="119" t="n">
        <x:f>IF(AN513=0,0,(AN513-IF(5=D513,1,0))*VLOOKUP(INDEX('章节与怪物'!$E$31:$K$37,B513,5),'章节与怪物'!$A$41:$F$44,4,FALSE)+IF(5=D513,'难度参数'!$E$30,0))</x:f>
        <x:v>792</x:v>
      </x:c>
      <x:c r="AR513" s="119" t="n">
        <x:f>IF(6&gt;D513,0,MAX(2,MIN('难度参数'!$E$12,ROUND(('难度参数'!$E$18*POWER(A513,'难度参数'!$E$19)/D513*(0.85+0.3*(6-1)/MAX(1,D513-1))),0)+F513)))</x:f>
        <x:v>46</x:v>
      </x:c>
      <x:c r="AS513" s="119" t="n">
        <x:f>IF(6&gt;D513,0,ROUND(('难度参数'!$E$13*POWER(A513,'难度参数'!$E$20)*MIN('难度参数'!$E$23,1+MAX(0,A513-'难度参数'!$E$21)*'难度参数'!$E$22))*(36+6*7)/(36+7*(D513+1)/2)*E513,0))</x:f>
        <x:v>14583</x:v>
      </x:c>
      <x:c r="AT513" s="119" t="n">
        <x:f>IF(AR513=0,0,(AR513-IF(6=D513,1,0))*ROUND(AS513*VLOOKUP(INDEX('章节与怪物'!$E$31:$K$37,B513,6),'章节与怪物'!$A$41:$F$44,2,FALSE),0)+IF(6=D513,ROUND(AS513*'难度参数'!$E$28*'章节与怪物'!$E$17,0),0))</x:f>
        <x:v>483000</x:v>
      </x:c>
      <x:c r="AU513" s="119" t="n">
        <x:f>IF(AR513=0,0,(AR513-IF(6=D513,1,0))*VLOOKUP(INDEX('章节与怪物'!$E$31:$K$37,B513,6),'章节与怪物'!$A$41:$F$44,4,FALSE)+IF(6=D513,'难度参数'!$E$30,0))</x:f>
        <x:v>920</x:v>
      </x:c>
      <x:c r="AV513" s="119" t="n">
        <x:f>IF(7&gt;D513,0,MAX(2,MIN('难度参数'!$E$12,ROUND(('难度参数'!$E$18*POWER(A513,'难度参数'!$E$19)/D513*(0.85+0.3*(7-1)/MAX(1,D513-1))),0)+F513)))</x:f>
        <x:v>48</x:v>
      </x:c>
      <x:c r="AW513" s="119" t="n">
        <x:f>IF(7&gt;D513,0,ROUND(('难度参数'!$E$13*POWER(A513,'难度参数'!$E$20)*MIN('难度参数'!$E$23,1+MAX(0,A513-'难度参数'!$E$21)*'难度参数'!$E$22))*(36+7*7)/(36+7*(D513+1)/2)*E513,0))</x:f>
        <x:v>15892</x:v>
      </x:c>
      <x:c r="AX513" s="119" t="n">
        <x:f>IF(AV513=0,0,(AV513-IF(7=D513,1,0))*ROUND(AW513*VLOOKUP(INDEX('章节与怪物'!$E$31:$K$37,B513,7),'章节与怪物'!$A$41:$F$44,2,FALSE),0)+IF(7=D513,ROUND(AW513*'难度参数'!$E$28*'章节与怪物'!$E$17,0),0))</x:f>
        <x:v>1116404</x:v>
      </x:c>
      <x:c r="AY513" s="119" t="n">
        <x:f>IF(AV513=0,0,(AV513-IF(7=D513,1,0))*VLOOKUP(INDEX('章节与怪物'!$E$31:$K$37,B513,7),'章节与怪物'!$A$41:$F$44,4,FALSE)+IF(7=D513,'难度参数'!$E$30,0))</x:f>
        <x:v>1798</x:v>
      </x:c>
    </x:row>
    <x:row r="514" ht="23" customHeight="1">
      <x:c r="A514" s="119" t="n">
        <x:v>508</x:v>
      </x:c>
      <x:c r="B514" s="119" t="n">
        <x:f>MOD(INT((A514-1)/5),7)+1</x:f>
        <x:v>4</x:v>
      </x:c>
      <x:c r="C514" s="62" t="str">
        <x:f>INDEX('章节与怪物'!$B$31:$B$37,B514)</x:f>
        <x:v>翠野边城</x:v>
      </x:c>
      <x:c r="D514" s="119" t="n">
        <x:f>MIN('难度参数'!$E$8,MAX('难度参数'!$E$7,A514))</x:f>
        <x:v>7</x:v>
      </x:c>
      <x:c r="E514" s="106" t="n">
        <x:v>1</x:v>
      </x:c>
      <x:c r="F514" s="106" t="n">
        <x:v>0</x:v>
      </x:c>
      <x:c r="G514" s="106" t="n">
        <x:v>1</x:v>
      </x:c>
      <x:c r="H514" s="119" t="n">
        <x:f>SUM(X514,AB514,AF514,AJ514,AN514,AR514,AV514)</x:f>
        <x:v>293</x:v>
      </x:c>
      <x:c r="I514" s="119" t="n">
        <x:f>SUM(Z514,AD514,AH514,AL514,AP514,AT514,AX514)</x:f>
        <x:v>4150364</x:v>
      </x:c>
      <x:c r="J514" s="119" t="n">
        <x:f>ROUND(INDEX(X514:AY514,1,(D514-1)*4+2)*'难度参数'!$E$28*'章节与怪物'!$E$17,0)</x:f>
        <x:v>108222</x:v>
      </x:c>
      <x:c r="K514" s="119" t="n">
        <x:f>SUM(AA514,AE514,AI514,AM514,AQ514,AU514,AY514)</x:f>
        <x:v>7442</x:v>
      </x:c>
      <x:c r="L514" s="62" t="n">
        <x:f>H514*(ROUNDUP('难度参数'!$E$24/('难度参数'!$E$26*'难度参数'!$E$27),0)*'难度参数'!$E$26)/60</x:f>
        <x:v>3.9066666666666667</x:v>
      </x:c>
      <x:c r="M514" s="62" t="n">
        <x:f>L514+D514*('难度参数'!$E$49+'难度参数'!$E$50)/60</x:f>
        <x:v>5.073333333333333</x:v>
      </x:c>
      <x:c r="N514" s="119" t="n">
        <x:f>ROUNDDOWN(('经济参数'!$E$20+A514*'经济参数'!$E$21)*G514,0)</x:f>
        <x:v>10340</x:v>
      </x:c>
      <x:c r="O514" s="119" t="n">
        <x:f>ROUNDDOWN(MIN('经济参数'!$E$24,'经济参数'!$E$22+A514*'经济参数'!$E$23)*G514,0)</x:f>
        <x:v>0</x:v>
      </x:c>
      <x:c r="P514" s="119" t="n">
        <x:f>ROUNDDOWN((IF(A514&gt;='材料与任务'!$E$31,'材料与任务'!$E$32,IF(A514&gt;='材料与任务'!$E$25,'材料与任务'!$E$26,IF(A514&gt;='材料与任务'!$E$19,'材料与任务'!$E$20,IF(A514&gt;='材料与任务'!$E$13,'材料与任务'!$E$14,'材料与任务'!$E$8)))))*G514,0)</x:f>
        <x:v>6</x:v>
      </x:c>
      <x:c r="Q514" s="119" t="n">
        <x:f>ROUNDDOWN((IF(A514&gt;='材料与任务'!$E$31,'材料与任务'!$E$33,IF(A514&gt;='材料与任务'!$E$25,'材料与任务'!$E$27,IF(A514&gt;='材料与任务'!$E$19,'材料与任务'!$E$21,IF(A514&gt;='材料与任务'!$E$13,'材料与任务'!$E$15,'材料与任务'!$E$9)))))*G514,0)</x:f>
        <x:v>3</x:v>
      </x:c>
      <x:c r="R514" s="110" t="n">
        <x:f>'装备掉落'!$B$38</x:f>
        <x:v>0.6872058758851213</x:v>
      </x:c>
      <x:c r="S514" s="119" t="n">
        <x:f>MAX(IF(VLOOKUP(A514,'装备掉落'!$A$29:$H$34,2,TRUE)&gt;0,1,0),IF(VLOOKUP(A514,'装备掉落'!$A$29:$H$34,3,TRUE)&gt;0,2,0),IF(VLOOKUP(A514,'装备掉落'!$A$29:$H$34,4,TRUE)&gt;0,3,0),IF(VLOOKUP(A514,'装备掉落'!$A$29:$H$34,5,TRUE)&gt;0,4,0),IF(VLOOKUP(A514,'装备掉落'!$A$29:$H$34,6,TRUE)&gt;0,5,0),IF(VLOOKUP(A514,'装备掉落'!$A$29:$H$34,7,TRUE)&gt;0,6,0),IF(VLOOKUP(A514,'装备掉落'!$A$29:$H$34,8,TRUE)&gt;0,7,0))</x:f>
        <x:v>7</x:v>
      </x:c>
      <x:c r="T514" s="119" t="n">
        <x:f>MIN(7,S514+'经济参数'!$E$70)</x:f>
        <x:v>7</x:v>
      </x:c>
      <x:c r="U514" s="119" t="n">
        <x:f>MIN(7,S514+'经济参数'!$E$71)</x:f>
        <x:v>7</x:v>
      </x:c>
      <x:c r="V514" s="119" t="n">
        <x:f>IF(H514&gt;=('难度参数'!$E$52),1,0)+IF(H514&gt;=('难度参数'!$E$52+'难度参数'!$E$53),1,0)+IF(H514&gt;=('难度参数'!$E$52+'难度参数'!$E$53+'难度参数'!$E$54),1,0)+IF(H514&gt;=('难度参数'!$E$52+'难度参数'!$E$53+'难度参数'!$E$54+'难度参数'!$E$55),1,0)+IF(H514&gt;=('难度参数'!$E$52+'难度参数'!$E$53+'难度参数'!$E$54+'难度参数'!$E$55+'难度参数'!$E$56),1,0)+IF(H514&gt;=('难度参数'!$E$52+'难度参数'!$E$53+'难度参数'!$E$54+'难度参数'!$E$55+'难度参数'!$E$56+'难度参数'!$E$57),1,0)</x:f>
        <x:v>6</x:v>
      </x:c>
      <x:c r="W514" s="62" t="str">
        <x:f>IF(L514&gt;'难度参数'!$E$51,"仅出怪已超目标","还需实测")</x:f>
        <x:v>仅出怪已超目标</x:v>
      </x:c>
      <x:c r="X514" s="119" t="n">
        <x:f>IF(1&gt;D514,0,MAX(2,MIN('难度参数'!$E$12,ROUND(('难度参数'!$E$18*POWER(A514,'难度参数'!$E$19)/D514*(0.85+0.3*(1-1)/MAX(1,D514-1))),0)+F514)))</x:f>
        <x:v>35</x:v>
      </x:c>
      <x:c r="Y514" s="119" t="n">
        <x:f>IF(1&gt;D514,0,ROUND(('难度参数'!$E$13*POWER(A514,'难度参数'!$E$20)*MIN('难度参数'!$E$23,1+MAX(0,A514-'难度参数'!$E$21)*'难度参数'!$E$22))*(36+1*7)/(36+7*(D514+1)/2)*E514,0))</x:f>
        <x:v>8051</x:v>
      </x:c>
      <x:c r="Z514" s="119" t="n">
        <x:f>IF(X514=0,0,(X514-IF(1=D514,1,0))*ROUND(Y514*VLOOKUP(INDEX('章节与怪物'!$E$31:$K$37,B514,1),'章节与怪物'!$A$41:$F$44,2,FALSE),0)+IF(1=D514,ROUND(Y514*'难度参数'!$E$28*'章节与怪物'!$E$17,0),0))</x:f>
        <x:v>202895</x:v>
      </x:c>
      <x:c r="AA514" s="119" t="n">
        <x:f>IF(X514=0,0,(X514-IF(1=D514,1,0))*VLOOKUP(INDEX('章节与怪物'!$E$31:$K$37,B514,1),'章节与怪物'!$A$41:$F$44,4,FALSE)+IF(1=D514,'难度参数'!$E$30,0))</x:f>
        <x:v>700</x:v>
      </x:c>
      <x:c r="AB514" s="119" t="n">
        <x:f>IF(2&gt;D514,0,MAX(2,MIN('难度参数'!$E$12,ROUND(('难度参数'!$E$18*POWER(A514,'难度参数'!$E$19)/D514*(0.85+0.3*(2-1)/MAX(1,D514-1))),0)+F514)))</x:f>
        <x:v>38</x:v>
      </x:c>
      <x:c r="AC514" s="119" t="n">
        <x:f>IF(2&gt;D514,0,ROUND(('难度参数'!$E$13*POWER(A514,'难度参数'!$E$20)*MIN('难度参数'!$E$23,1+MAX(0,A514-'难度参数'!$E$21)*'难度参数'!$E$22))*(36+2*7)/(36+7*(D514+1)/2)*E514,0))</x:f>
        <x:v>9362</x:v>
      </x:c>
      <x:c r="AD514" s="119" t="n">
        <x:f>IF(AB514=0,0,(AB514-IF(2=D514,1,0))*ROUND(AC514*VLOOKUP(INDEX('章节与怪物'!$E$31:$K$37,B514,2),'章节与怪物'!$A$41:$F$44,2,FALSE),0)+IF(2=D514,ROUND(AC514*'难度参数'!$E$28*'章节与怪物'!$E$17,0),0))</x:f>
        <x:v>355756</x:v>
      </x:c>
      <x:c r="AE514" s="119" t="n">
        <x:f>IF(AB514=0,0,(AB514-IF(2=D514,1,0))*VLOOKUP(INDEX('章节与怪物'!$E$31:$K$37,B514,2),'章节与怪物'!$A$41:$F$44,4,FALSE)+IF(2=D514,'难度参数'!$E$30,0))</x:f>
        <x:v>684</x:v>
      </x:c>
      <x:c r="AF514" s="119" t="n">
        <x:f>IF(3&gt;D514,0,MAX(2,MIN('难度参数'!$E$12,ROUND(('难度参数'!$E$18*POWER(A514,'难度参数'!$E$19)/D514*(0.85+0.3*(3-1)/MAX(1,D514-1))),0)+F514)))</x:f>
        <x:v>40</x:v>
      </x:c>
      <x:c r="AG514" s="119" t="n">
        <x:f>IF(3&gt;D514,0,ROUND(('难度参数'!$E$13*POWER(A514,'难度参数'!$E$20)*MIN('难度参数'!$E$23,1+MAX(0,A514-'难度参数'!$E$21)*'难度参数'!$E$22))*(36+3*7)/(36+7*(D514+1)/2)*E514,0))</x:f>
        <x:v>10672</x:v>
      </x:c>
      <x:c r="AH514" s="119" t="n">
        <x:f>IF(AF514=0,0,(AF514-IF(3=D514,1,0))*ROUND(AG514*VLOOKUP(INDEX('章节与怪物'!$E$31:$K$37,B514,3),'章节与怪物'!$A$41:$F$44,2,FALSE),0)+IF(3=D514,ROUND(AG514*'难度参数'!$E$28*'章节与怪物'!$E$17,0),0))</x:f>
        <x:v>725680</x:v>
      </x:c>
      <x:c r="AI514" s="119" t="n">
        <x:f>IF(AF514=0,0,(AF514-IF(3=D514,1,0))*VLOOKUP(INDEX('章节与怪物'!$E$31:$K$37,B514,3),'章节与怪物'!$A$41:$F$44,4,FALSE)+IF(3=D514,'难度参数'!$E$30,0))</x:f>
        <x:v>1120</x:v>
      </x:c>
      <x:c r="AJ514" s="119" t="n">
        <x:f>IF(4&gt;D514,0,MAX(2,MIN('难度参数'!$E$12,ROUND(('难度参数'!$E$18*POWER(A514,'难度参数'!$E$19)/D514*(0.85+0.3*(4-1)/MAX(1,D514-1))),0)+F514)))</x:f>
        <x:v>42</x:v>
      </x:c>
      <x:c r="AK514" s="119" t="n">
        <x:f>IF(4&gt;D514,0,ROUND(('难度参数'!$E$13*POWER(A514,'难度参数'!$E$20)*MIN('难度参数'!$E$23,1+MAX(0,A514-'难度参数'!$E$21)*'难度参数'!$E$22))*(36+4*7)/(36+7*(D514+1)/2)*E514,0))</x:f>
        <x:v>11983</x:v>
      </x:c>
      <x:c r="AL514" s="119" t="n">
        <x:f>IF(AJ514=0,0,(AJ514-IF(4=D514,1,0))*ROUND(AK514*VLOOKUP(INDEX('章节与怪物'!$E$31:$K$37,B514,4),'章节与怪物'!$A$41:$F$44,2,FALSE),0)+IF(4=D514,ROUND(AK514*'难度参数'!$E$28*'章节与怪物'!$E$17,0),0))</x:f>
        <x:v>679434</x:v>
      </x:c>
      <x:c r="AM514" s="119" t="n">
        <x:f>IF(AJ514=0,0,(AJ514-IF(4=D514,1,0))*VLOOKUP(INDEX('章节与怪物'!$E$31:$K$37,B514,4),'章节与怪物'!$A$41:$F$44,4,FALSE)+IF(4=D514,'难度参数'!$E$30,0))</x:f>
        <x:v>1428</x:v>
      </x:c>
      <x:c r="AN514" s="119" t="n">
        <x:f>IF(5&gt;D514,0,MAX(2,MIN('难度参数'!$E$12,ROUND(('难度参数'!$E$18*POWER(A514,'难度参数'!$E$19)/D514*(0.85+0.3*(5-1)/MAX(1,D514-1))),0)+F514)))</x:f>
        <x:v>44</x:v>
      </x:c>
      <x:c r="AO514" s="119" t="n">
        <x:f>IF(5&gt;D514,0,ROUND(('难度参数'!$E$13*POWER(A514,'难度参数'!$E$20)*MIN('难度参数'!$E$23,1+MAX(0,A514-'难度参数'!$E$21)*'难度参数'!$E$22))*(36+5*7)/(36+7*(D514+1)/2)*E514,0))</x:f>
        <x:v>13293</x:v>
      </x:c>
      <x:c r="AP514" s="119" t="n">
        <x:f>IF(AN514=0,0,(AN514-IF(5=D514,1,0))*ROUND(AO514*VLOOKUP(INDEX('章节与怪物'!$E$31:$K$37,B514,5),'章节与怪物'!$A$41:$F$44,2,FALSE),0)+IF(5=D514,ROUND(AO514*'难度参数'!$E$28*'章节与怪物'!$E$17,0),0))</x:f>
        <x:v>584892</x:v>
      </x:c>
      <x:c r="AQ514" s="119" t="n">
        <x:f>IF(AN514=0,0,(AN514-IF(5=D514,1,0))*VLOOKUP(INDEX('章节与怪物'!$E$31:$K$37,B514,5),'章节与怪物'!$A$41:$F$44,4,FALSE)+IF(5=D514,'难度参数'!$E$30,0))</x:f>
        <x:v>792</x:v>
      </x:c>
      <x:c r="AR514" s="119" t="n">
        <x:f>IF(6&gt;D514,0,MAX(2,MIN('难度参数'!$E$12,ROUND(('难度参数'!$E$18*POWER(A514,'难度参数'!$E$19)/D514*(0.85+0.3*(6-1)/MAX(1,D514-1))),0)+F514)))</x:f>
        <x:v>46</x:v>
      </x:c>
      <x:c r="AS514" s="119" t="n">
        <x:f>IF(6&gt;D514,0,ROUND(('难度参数'!$E$13*POWER(A514,'难度参数'!$E$20)*MIN('难度参数'!$E$23,1+MAX(0,A514-'难度参数'!$E$21)*'难度参数'!$E$22))*(36+6*7)/(36+7*(D514+1)/2)*E514,0))</x:f>
        <x:v>14604</x:v>
      </x:c>
      <x:c r="AT514" s="119" t="n">
        <x:f>IF(AR514=0,0,(AR514-IF(6=D514,1,0))*ROUND(AS514*VLOOKUP(INDEX('章节与怪物'!$E$31:$K$37,B514,6),'章节与怪物'!$A$41:$F$44,2,FALSE),0)+IF(6=D514,ROUND(AS514*'难度参数'!$E$28*'章节与怪物'!$E$17,0),0))</x:f>
        <x:v>483690</x:v>
      </x:c>
      <x:c r="AU514" s="119" t="n">
        <x:f>IF(AR514=0,0,(AR514-IF(6=D514,1,0))*VLOOKUP(INDEX('章节与怪物'!$E$31:$K$37,B514,6),'章节与怪物'!$A$41:$F$44,4,FALSE)+IF(6=D514,'难度参数'!$E$30,0))</x:f>
        <x:v>920</x:v>
      </x:c>
      <x:c r="AV514" s="119" t="n">
        <x:f>IF(7&gt;D514,0,MAX(2,MIN('难度参数'!$E$12,ROUND(('难度参数'!$E$18*POWER(A514,'难度参数'!$E$19)/D514*(0.85+0.3*(7-1)/MAX(1,D514-1))),0)+F514)))</x:f>
        <x:v>48</x:v>
      </x:c>
      <x:c r="AW514" s="119" t="n">
        <x:f>IF(7&gt;D514,0,ROUND(('难度参数'!$E$13*POWER(A514,'难度参数'!$E$20)*MIN('难度参数'!$E$23,1+MAX(0,A514-'难度参数'!$E$21)*'难度参数'!$E$22))*(36+7*7)/(36+7*(D514+1)/2)*E514,0))</x:f>
        <x:v>15915</x:v>
      </x:c>
      <x:c r="AX514" s="119" t="n">
        <x:f>IF(AV514=0,0,(AV514-IF(7=D514,1,0))*ROUND(AW514*VLOOKUP(INDEX('章节与怪物'!$E$31:$K$37,B514,7),'章节与怪物'!$A$41:$F$44,2,FALSE),0)+IF(7=D514,ROUND(AW514*'难度参数'!$E$28*'章节与怪物'!$E$17,0),0))</x:f>
        <x:v>1118017</x:v>
      </x:c>
      <x:c r="AY514" s="119" t="n">
        <x:f>IF(AV514=0,0,(AV514-IF(7=D514,1,0))*VLOOKUP(INDEX('章节与怪物'!$E$31:$K$37,B514,7),'章节与怪物'!$A$41:$F$44,4,FALSE)+IF(7=D514,'难度参数'!$E$30,0))</x:f>
        <x:v>1798</x:v>
      </x:c>
    </x:row>
    <x:row r="515" ht="23" customHeight="1">
      <x:c r="A515" s="119" t="n">
        <x:v>509</x:v>
      </x:c>
      <x:c r="B515" s="119" t="n">
        <x:f>MOD(INT((A515-1)/5),7)+1</x:f>
        <x:v>4</x:v>
      </x:c>
      <x:c r="C515" s="62" t="str">
        <x:f>INDEX('章节与怪物'!$B$31:$B$37,B515)</x:f>
        <x:v>翠野边城</x:v>
      </x:c>
      <x:c r="D515" s="119" t="n">
        <x:f>MIN('难度参数'!$E$8,MAX('难度参数'!$E$7,A515))</x:f>
        <x:v>7</x:v>
      </x:c>
      <x:c r="E515" s="106" t="n">
        <x:v>1</x:v>
      </x:c>
      <x:c r="F515" s="106" t="n">
        <x:v>0</x:v>
      </x:c>
      <x:c r="G515" s="106" t="n">
        <x:v>1</x:v>
      </x:c>
      <x:c r="H515" s="119" t="n">
        <x:f>SUM(X515,AB515,AF515,AJ515,AN515,AR515,AV515)</x:f>
        <x:v>293</x:v>
      </x:c>
      <x:c r="I515" s="119" t="n">
        <x:f>SUM(Z515,AD515,AH515,AL515,AP515,AT515,AX515)</x:f>
        <x:v>4156230</x:v>
      </x:c>
      <x:c r="J515" s="119" t="n">
        <x:f>ROUND(INDEX(X515:AY515,1,(D515-1)*4+2)*'难度参数'!$E$28*'章节与怪物'!$E$17,0)</x:f>
        <x:v>108372</x:v>
      </x:c>
      <x:c r="K515" s="119" t="n">
        <x:f>SUM(AA515,AE515,AI515,AM515,AQ515,AU515,AY515)</x:f>
        <x:v>7442</x:v>
      </x:c>
      <x:c r="L515" s="62" t="n">
        <x:f>H515*(ROUNDUP('难度参数'!$E$24/('难度参数'!$E$26*'难度参数'!$E$27),0)*'难度参数'!$E$26)/60</x:f>
        <x:v>3.9066666666666667</x:v>
      </x:c>
      <x:c r="M515" s="62" t="n">
        <x:f>L515+D515*('难度参数'!$E$49+'难度参数'!$E$50)/60</x:f>
        <x:v>5.073333333333333</x:v>
      </x:c>
      <x:c r="N515" s="119" t="n">
        <x:f>ROUNDDOWN(('经济参数'!$E$20+A515*'经济参数'!$E$21)*G515,0)</x:f>
        <x:v>10360</x:v>
      </x:c>
      <x:c r="O515" s="119" t="n">
        <x:f>ROUNDDOWN(MIN('经济参数'!$E$24,'经济参数'!$E$22+A515*'经济参数'!$E$23)*G515,0)</x:f>
        <x:v>0</x:v>
      </x:c>
      <x:c r="P515" s="119" t="n">
        <x:f>ROUNDDOWN((IF(A515&gt;='材料与任务'!$E$31,'材料与任务'!$E$32,IF(A515&gt;='材料与任务'!$E$25,'材料与任务'!$E$26,IF(A515&gt;='材料与任务'!$E$19,'材料与任务'!$E$20,IF(A515&gt;='材料与任务'!$E$13,'材料与任务'!$E$14,'材料与任务'!$E$8)))))*G515,0)</x:f>
        <x:v>6</x:v>
      </x:c>
      <x:c r="Q515" s="119" t="n">
        <x:f>ROUNDDOWN((IF(A515&gt;='材料与任务'!$E$31,'材料与任务'!$E$33,IF(A515&gt;='材料与任务'!$E$25,'材料与任务'!$E$27,IF(A515&gt;='材料与任务'!$E$19,'材料与任务'!$E$21,IF(A515&gt;='材料与任务'!$E$13,'材料与任务'!$E$15,'材料与任务'!$E$9)))))*G515,0)</x:f>
        <x:v>3</x:v>
      </x:c>
      <x:c r="R515" s="110" t="n">
        <x:f>'装备掉落'!$B$38</x:f>
        <x:v>0.6872058758851213</x:v>
      </x:c>
      <x:c r="S515" s="119" t="n">
        <x:f>MAX(IF(VLOOKUP(A515,'装备掉落'!$A$29:$H$34,2,TRUE)&gt;0,1,0),IF(VLOOKUP(A515,'装备掉落'!$A$29:$H$34,3,TRUE)&gt;0,2,0),IF(VLOOKUP(A515,'装备掉落'!$A$29:$H$34,4,TRUE)&gt;0,3,0),IF(VLOOKUP(A515,'装备掉落'!$A$29:$H$34,5,TRUE)&gt;0,4,0),IF(VLOOKUP(A515,'装备掉落'!$A$29:$H$34,6,TRUE)&gt;0,5,0),IF(VLOOKUP(A515,'装备掉落'!$A$29:$H$34,7,TRUE)&gt;0,6,0),IF(VLOOKUP(A515,'装备掉落'!$A$29:$H$34,8,TRUE)&gt;0,7,0))</x:f>
        <x:v>7</x:v>
      </x:c>
      <x:c r="T515" s="119" t="n">
        <x:f>MIN(7,S515+'经济参数'!$E$70)</x:f>
        <x:v>7</x:v>
      </x:c>
      <x:c r="U515" s="119" t="n">
        <x:f>MIN(7,S515+'经济参数'!$E$71)</x:f>
        <x:v>7</x:v>
      </x:c>
      <x:c r="V515" s="119" t="n">
        <x:f>IF(H515&gt;=('难度参数'!$E$52),1,0)+IF(H515&gt;=('难度参数'!$E$52+'难度参数'!$E$53),1,0)+IF(H515&gt;=('难度参数'!$E$52+'难度参数'!$E$53+'难度参数'!$E$54),1,0)+IF(H515&gt;=('难度参数'!$E$52+'难度参数'!$E$53+'难度参数'!$E$54+'难度参数'!$E$55),1,0)+IF(H515&gt;=('难度参数'!$E$52+'难度参数'!$E$53+'难度参数'!$E$54+'难度参数'!$E$55+'难度参数'!$E$56),1,0)+IF(H515&gt;=('难度参数'!$E$52+'难度参数'!$E$53+'难度参数'!$E$54+'难度参数'!$E$55+'难度参数'!$E$56+'难度参数'!$E$57),1,0)</x:f>
        <x:v>6</x:v>
      </x:c>
      <x:c r="W515" s="62" t="str">
        <x:f>IF(L515&gt;'难度参数'!$E$51,"仅出怪已超目标","还需实测")</x:f>
        <x:v>仅出怪已超目标</x:v>
      </x:c>
      <x:c r="X515" s="119" t="n">
        <x:f>IF(1&gt;D515,0,MAX(2,MIN('难度参数'!$E$12,ROUND(('难度参数'!$E$18*POWER(A515,'难度参数'!$E$19)/D515*(0.85+0.3*(1-1)/MAX(1,D515-1))),0)+F515)))</x:f>
        <x:v>35</x:v>
      </x:c>
      <x:c r="Y515" s="119" t="n">
        <x:f>IF(1&gt;D515,0,ROUND(('难度参数'!$E$13*POWER(A515,'难度参数'!$E$20)*MIN('难度参数'!$E$23,1+MAX(0,A515-'难度参数'!$E$21)*'难度参数'!$E$22))*(36+1*7)/(36+7*(D515+1)/2)*E515,0))</x:f>
        <x:v>8062</x:v>
      </x:c>
      <x:c r="Z515" s="119" t="n">
        <x:f>IF(X515=0,0,(X515-IF(1=D515,1,0))*ROUND(Y515*VLOOKUP(INDEX('章节与怪物'!$E$31:$K$37,B515,1),'章节与怪物'!$A$41:$F$44,2,FALSE),0)+IF(1=D515,ROUND(Y515*'难度参数'!$E$28*'章节与怪物'!$E$17,0),0))</x:f>
        <x:v>203175</x:v>
      </x:c>
      <x:c r="AA515" s="119" t="n">
        <x:f>IF(X515=0,0,(X515-IF(1=D515,1,0))*VLOOKUP(INDEX('章节与怪物'!$E$31:$K$37,B515,1),'章节与怪物'!$A$41:$F$44,4,FALSE)+IF(1=D515,'难度参数'!$E$30,0))</x:f>
        <x:v>700</x:v>
      </x:c>
      <x:c r="AB515" s="119" t="n">
        <x:f>IF(2&gt;D515,0,MAX(2,MIN('难度参数'!$E$12,ROUND(('难度参数'!$E$18*POWER(A515,'难度参数'!$E$19)/D515*(0.85+0.3*(2-1)/MAX(1,D515-1))),0)+F515)))</x:f>
        <x:v>38</x:v>
      </x:c>
      <x:c r="AC515" s="119" t="n">
        <x:f>IF(2&gt;D515,0,ROUND(('难度参数'!$E$13*POWER(A515,'难度参数'!$E$20)*MIN('难度参数'!$E$23,1+MAX(0,A515-'难度参数'!$E$21)*'难度参数'!$E$22))*(36+2*7)/(36+7*(D515+1)/2)*E515,0))</x:f>
        <x:v>9375</x:v>
      </x:c>
      <x:c r="AD515" s="119" t="n">
        <x:f>IF(AB515=0,0,(AB515-IF(2=D515,1,0))*ROUND(AC515*VLOOKUP(INDEX('章节与怪物'!$E$31:$K$37,B515,2),'章节与怪物'!$A$41:$F$44,2,FALSE),0)+IF(2=D515,ROUND(AC515*'难度参数'!$E$28*'章节与怪物'!$E$17,0),0))</x:f>
        <x:v>356250</x:v>
      </x:c>
      <x:c r="AE515" s="119" t="n">
        <x:f>IF(AB515=0,0,(AB515-IF(2=D515,1,0))*VLOOKUP(INDEX('章节与怪物'!$E$31:$K$37,B515,2),'章节与怪物'!$A$41:$F$44,4,FALSE)+IF(2=D515,'难度参数'!$E$30,0))</x:f>
        <x:v>684</x:v>
      </x:c>
      <x:c r="AF515" s="119" t="n">
        <x:f>IF(3&gt;D515,0,MAX(2,MIN('难度参数'!$E$12,ROUND(('难度参数'!$E$18*POWER(A515,'难度参数'!$E$19)/D515*(0.85+0.3*(3-1)/MAX(1,D515-1))),0)+F515)))</x:f>
        <x:v>40</x:v>
      </x:c>
      <x:c r="AG515" s="119" t="n">
        <x:f>IF(3&gt;D515,0,ROUND(('难度参数'!$E$13*POWER(A515,'难度参数'!$E$20)*MIN('难度参数'!$E$23,1+MAX(0,A515-'难度参数'!$E$21)*'难度参数'!$E$22))*(36+3*7)/(36+7*(D515+1)/2)*E515,0))</x:f>
        <x:v>10687</x:v>
      </x:c>
      <x:c r="AH515" s="119" t="n">
        <x:f>IF(AF515=0,0,(AF515-IF(3=D515,1,0))*ROUND(AG515*VLOOKUP(INDEX('章节与怪物'!$E$31:$K$37,B515,3),'章节与怪物'!$A$41:$F$44,2,FALSE),0)+IF(3=D515,ROUND(AG515*'难度参数'!$E$28*'章节与怪物'!$E$17,0),0))</x:f>
        <x:v>726720</x:v>
      </x:c>
      <x:c r="AI515" s="119" t="n">
        <x:f>IF(AF515=0,0,(AF515-IF(3=D515,1,0))*VLOOKUP(INDEX('章节与怪物'!$E$31:$K$37,B515,3),'章节与怪物'!$A$41:$F$44,4,FALSE)+IF(3=D515,'难度参数'!$E$30,0))</x:f>
        <x:v>1120</x:v>
      </x:c>
      <x:c r="AJ515" s="119" t="n">
        <x:f>IF(4&gt;D515,0,MAX(2,MIN('难度参数'!$E$12,ROUND(('难度参数'!$E$18*POWER(A515,'难度参数'!$E$19)/D515*(0.85+0.3*(4-1)/MAX(1,D515-1))),0)+F515)))</x:f>
        <x:v>42</x:v>
      </x:c>
      <x:c r="AK515" s="119" t="n">
        <x:f>IF(4&gt;D515,0,ROUND(('难度参数'!$E$13*POWER(A515,'难度参数'!$E$20)*MIN('难度参数'!$E$23,1+MAX(0,A515-'难度参数'!$E$21)*'难度参数'!$E$22))*(36+4*7)/(36+7*(D515+1)/2)*E515,0))</x:f>
        <x:v>12000</x:v>
      </x:c>
      <x:c r="AL515" s="119" t="n">
        <x:f>IF(AJ515=0,0,(AJ515-IF(4=D515,1,0))*ROUND(AK515*VLOOKUP(INDEX('章节与怪物'!$E$31:$K$37,B515,4),'章节与怪物'!$A$41:$F$44,2,FALSE),0)+IF(4=D515,ROUND(AK515*'难度参数'!$E$28*'章节与怪物'!$E$17,0),0))</x:f>
        <x:v>680400</x:v>
      </x:c>
      <x:c r="AM515" s="119" t="n">
        <x:f>IF(AJ515=0,0,(AJ515-IF(4=D515,1,0))*VLOOKUP(INDEX('章节与怪物'!$E$31:$K$37,B515,4),'章节与怪物'!$A$41:$F$44,4,FALSE)+IF(4=D515,'难度参数'!$E$30,0))</x:f>
        <x:v>1428</x:v>
      </x:c>
      <x:c r="AN515" s="119" t="n">
        <x:f>IF(5&gt;D515,0,MAX(2,MIN('难度参数'!$E$12,ROUND(('难度参数'!$E$18*POWER(A515,'难度参数'!$E$19)/D515*(0.85+0.3*(5-1)/MAX(1,D515-1))),0)+F515)))</x:f>
        <x:v>44</x:v>
      </x:c>
      <x:c r="AO515" s="119" t="n">
        <x:f>IF(5&gt;D515,0,ROUND(('难度参数'!$E$13*POWER(A515,'难度参数'!$E$20)*MIN('难度参数'!$E$23,1+MAX(0,A515-'难度参数'!$E$21)*'难度参数'!$E$22))*(36+5*7)/(36+7*(D515+1)/2)*E515,0))</x:f>
        <x:v>13312</x:v>
      </x:c>
      <x:c r="AP515" s="119" t="n">
        <x:f>IF(AN515=0,0,(AN515-IF(5=D515,1,0))*ROUND(AO515*VLOOKUP(INDEX('章节与怪物'!$E$31:$K$37,B515,5),'章节与怪物'!$A$41:$F$44,2,FALSE),0)+IF(5=D515,ROUND(AO515*'难度参数'!$E$28*'章节与怪物'!$E$17,0),0))</x:f>
        <x:v>585728</x:v>
      </x:c>
      <x:c r="AQ515" s="119" t="n">
        <x:f>IF(AN515=0,0,(AN515-IF(5=D515,1,0))*VLOOKUP(INDEX('章节与怪物'!$E$31:$K$37,B515,5),'章节与怪物'!$A$41:$F$44,4,FALSE)+IF(5=D515,'难度参数'!$E$30,0))</x:f>
        <x:v>792</x:v>
      </x:c>
      <x:c r="AR515" s="119" t="n">
        <x:f>IF(6&gt;D515,0,MAX(2,MIN('难度参数'!$E$12,ROUND(('难度参数'!$E$18*POWER(A515,'难度参数'!$E$19)/D515*(0.85+0.3*(6-1)/MAX(1,D515-1))),0)+F515)))</x:f>
        <x:v>46</x:v>
      </x:c>
      <x:c r="AS515" s="119" t="n">
        <x:f>IF(6&gt;D515,0,ROUND(('难度参数'!$E$13*POWER(A515,'难度参数'!$E$20)*MIN('难度参数'!$E$23,1+MAX(0,A515-'难度参数'!$E$21)*'难度参数'!$E$22))*(36+6*7)/(36+7*(D515+1)/2)*E515,0))</x:f>
        <x:v>14625</x:v>
      </x:c>
      <x:c r="AT515" s="119" t="n">
        <x:f>IF(AR515=0,0,(AR515-IF(6=D515,1,0))*ROUND(AS515*VLOOKUP(INDEX('章节与怪物'!$E$31:$K$37,B515,6),'章节与怪物'!$A$41:$F$44,2,FALSE),0)+IF(6=D515,ROUND(AS515*'难度参数'!$E$28*'章节与怪物'!$E$17,0),0))</x:f>
        <x:v>484380</x:v>
      </x:c>
      <x:c r="AU515" s="119" t="n">
        <x:f>IF(AR515=0,0,(AR515-IF(6=D515,1,0))*VLOOKUP(INDEX('章节与怪物'!$E$31:$K$37,B515,6),'章节与怪物'!$A$41:$F$44,4,FALSE)+IF(6=D515,'难度参数'!$E$30,0))</x:f>
        <x:v>920</x:v>
      </x:c>
      <x:c r="AV515" s="119" t="n">
        <x:f>IF(7&gt;D515,0,MAX(2,MIN('难度参数'!$E$12,ROUND(('难度参数'!$E$18*POWER(A515,'难度参数'!$E$19)/D515*(0.85+0.3*(7-1)/MAX(1,D515-1))),0)+F515)))</x:f>
        <x:v>48</x:v>
      </x:c>
      <x:c r="AW515" s="119" t="n">
        <x:f>IF(7&gt;D515,0,ROUND(('难度参数'!$E$13*POWER(A515,'难度参数'!$E$20)*MIN('难度参数'!$E$23,1+MAX(0,A515-'难度参数'!$E$21)*'难度参数'!$E$22))*(36+7*7)/(36+7*(D515+1)/2)*E515,0))</x:f>
        <x:v>15937</x:v>
      </x:c>
      <x:c r="AX515" s="119" t="n">
        <x:f>IF(AV515=0,0,(AV515-IF(7=D515,1,0))*ROUND(AW515*VLOOKUP(INDEX('章节与怪物'!$E$31:$K$37,B515,7),'章节与怪物'!$A$41:$F$44,2,FALSE),0)+IF(7=D515,ROUND(AW515*'难度参数'!$E$28*'章节与怪物'!$E$17,0),0))</x:f>
        <x:v>1119577</x:v>
      </x:c>
      <x:c r="AY515" s="119" t="n">
        <x:f>IF(AV515=0,0,(AV515-IF(7=D515,1,0))*VLOOKUP(INDEX('章节与怪物'!$E$31:$K$37,B515,7),'章节与怪物'!$A$41:$F$44,4,FALSE)+IF(7=D515,'难度参数'!$E$30,0))</x:f>
        <x:v>1798</x:v>
      </x:c>
    </x:row>
    <x:row r="516" ht="23" customHeight="1">
      <x:c r="A516" s="119" t="n">
        <x:v>510</x:v>
      </x:c>
      <x:c r="B516" s="119" t="n">
        <x:f>MOD(INT((A516-1)/5),7)+1</x:f>
        <x:v>4</x:v>
      </x:c>
      <x:c r="C516" s="62" t="str">
        <x:f>INDEX('章节与怪物'!$B$31:$B$37,B516)</x:f>
        <x:v>翠野边城</x:v>
      </x:c>
      <x:c r="D516" s="119" t="n">
        <x:f>MIN('难度参数'!$E$8,MAX('难度参数'!$E$7,A516))</x:f>
        <x:v>7</x:v>
      </x:c>
      <x:c r="E516" s="106" t="n">
        <x:v>1</x:v>
      </x:c>
      <x:c r="F516" s="106" t="n">
        <x:v>0</x:v>
      </x:c>
      <x:c r="G516" s="106" t="n">
        <x:v>1</x:v>
      </x:c>
      <x:c r="H516" s="119" t="n">
        <x:f>SUM(X516,AB516,AF516,AJ516,AN516,AR516,AV516)</x:f>
        <x:v>294</x:v>
      </x:c>
      <x:c r="I516" s="119" t="n">
        <x:f>SUM(Z516,AD516,AH516,AL516,AP516,AT516,AX516)</x:f>
        <x:v>4167876</x:v>
      </x:c>
      <x:c r="J516" s="119" t="n">
        <x:f>ROUND(INDEX(X516:AY516,1,(D516-1)*4+2)*'难度参数'!$E$28*'章节与怪物'!$E$17,0)</x:f>
        <x:v>108528</x:v>
      </x:c>
      <x:c r="K516" s="119" t="n">
        <x:f>SUM(AA516,AE516,AI516,AM516,AQ516,AU516,AY516)</x:f>
        <x:v>7462</x:v>
      </x:c>
      <x:c r="L516" s="62" t="n">
        <x:f>H516*(ROUNDUP('难度参数'!$E$24/('难度参数'!$E$26*'难度参数'!$E$27),0)*'难度参数'!$E$26)/60</x:f>
        <x:v>3.9200000000000004</x:v>
      </x:c>
      <x:c r="M516" s="62" t="n">
        <x:f>L516+D516*('难度参数'!$E$49+'难度参数'!$E$50)/60</x:f>
        <x:v>5.086666666666667</x:v>
      </x:c>
      <x:c r="N516" s="119" t="n">
        <x:f>ROUNDDOWN(('经济参数'!$E$20+A516*'经济参数'!$E$21)*G516,0)</x:f>
        <x:v>10380</x:v>
      </x:c>
      <x:c r="O516" s="119" t="n">
        <x:f>ROUNDDOWN(MIN('经济参数'!$E$24,'经济参数'!$E$22+A516*'经济参数'!$E$23)*G516,0)</x:f>
        <x:v>0</x:v>
      </x:c>
      <x:c r="P516" s="119" t="n">
        <x:f>ROUNDDOWN((IF(A516&gt;='材料与任务'!$E$31,'材料与任务'!$E$32,IF(A516&gt;='材料与任务'!$E$25,'材料与任务'!$E$26,IF(A516&gt;='材料与任务'!$E$19,'材料与任务'!$E$20,IF(A516&gt;='材料与任务'!$E$13,'材料与任务'!$E$14,'材料与任务'!$E$8)))))*G516,0)</x:f>
        <x:v>6</x:v>
      </x:c>
      <x:c r="Q516" s="119" t="n">
        <x:f>ROUNDDOWN((IF(A516&gt;='材料与任务'!$E$31,'材料与任务'!$E$33,IF(A516&gt;='材料与任务'!$E$25,'材料与任务'!$E$27,IF(A516&gt;='材料与任务'!$E$19,'材料与任务'!$E$21,IF(A516&gt;='材料与任务'!$E$13,'材料与任务'!$E$15,'材料与任务'!$E$9)))))*G516,0)</x:f>
        <x:v>3</x:v>
      </x:c>
      <x:c r="R516" s="110" t="n">
        <x:f>'装备掉落'!$B$38</x:f>
        <x:v>0.6872058758851213</x:v>
      </x:c>
      <x:c r="S516" s="119" t="n">
        <x:f>MAX(IF(VLOOKUP(A516,'装备掉落'!$A$29:$H$34,2,TRUE)&gt;0,1,0),IF(VLOOKUP(A516,'装备掉落'!$A$29:$H$34,3,TRUE)&gt;0,2,0),IF(VLOOKUP(A516,'装备掉落'!$A$29:$H$34,4,TRUE)&gt;0,3,0),IF(VLOOKUP(A516,'装备掉落'!$A$29:$H$34,5,TRUE)&gt;0,4,0),IF(VLOOKUP(A516,'装备掉落'!$A$29:$H$34,6,TRUE)&gt;0,5,0),IF(VLOOKUP(A516,'装备掉落'!$A$29:$H$34,7,TRUE)&gt;0,6,0),IF(VLOOKUP(A516,'装备掉落'!$A$29:$H$34,8,TRUE)&gt;0,7,0))</x:f>
        <x:v>7</x:v>
      </x:c>
      <x:c r="T516" s="119" t="n">
        <x:f>MIN(7,S516+'经济参数'!$E$70)</x:f>
        <x:v>7</x:v>
      </x:c>
      <x:c r="U516" s="119" t="n">
        <x:f>MIN(7,S516+'经济参数'!$E$71)</x:f>
        <x:v>7</x:v>
      </x:c>
      <x:c r="V516" s="119" t="n">
        <x:f>IF(H516&gt;=('难度参数'!$E$52),1,0)+IF(H516&gt;=('难度参数'!$E$52+'难度参数'!$E$53),1,0)+IF(H516&gt;=('难度参数'!$E$52+'难度参数'!$E$53+'难度参数'!$E$54),1,0)+IF(H516&gt;=('难度参数'!$E$52+'难度参数'!$E$53+'难度参数'!$E$54+'难度参数'!$E$55),1,0)+IF(H516&gt;=('难度参数'!$E$52+'难度参数'!$E$53+'难度参数'!$E$54+'难度参数'!$E$55+'难度参数'!$E$56),1,0)+IF(H516&gt;=('难度参数'!$E$52+'难度参数'!$E$53+'难度参数'!$E$54+'难度参数'!$E$55+'难度参数'!$E$56+'难度参数'!$E$57),1,0)</x:f>
        <x:v>6</x:v>
      </x:c>
      <x:c r="W516" s="62" t="str">
        <x:f>IF(L516&gt;'难度参数'!$E$51,"仅出怪已超目标","还需实测")</x:f>
        <x:v>仅出怪已超目标</x:v>
      </x:c>
      <x:c r="X516" s="119" t="n">
        <x:f>IF(1&gt;D516,0,MAX(2,MIN('难度参数'!$E$12,ROUND(('难度参数'!$E$18*POWER(A516,'难度参数'!$E$19)/D516*(0.85+0.3*(1-1)/MAX(1,D516-1))),0)+F516)))</x:f>
        <x:v>36</x:v>
      </x:c>
      <x:c r="Y516" s="119" t="n">
        <x:f>IF(1&gt;D516,0,ROUND(('难度参数'!$E$13*POWER(A516,'难度参数'!$E$20)*MIN('难度参数'!$E$23,1+MAX(0,A516-'难度参数'!$E$21)*'难度参数'!$E$22))*(36+1*7)/(36+7*(D516+1)/2)*E516,0))</x:f>
        <x:v>8074</x:v>
      </x:c>
      <x:c r="Z516" s="119" t="n">
        <x:f>IF(X516=0,0,(X516-IF(1=D516,1,0))*ROUND(Y516*VLOOKUP(INDEX('章节与怪物'!$E$31:$K$37,B516,1),'章节与怪物'!$A$41:$F$44,2,FALSE),0)+IF(1=D516,ROUND(Y516*'难度参数'!$E$28*'章节与怪物'!$E$17,0),0))</x:f>
        <x:v>209268</x:v>
      </x:c>
      <x:c r="AA516" s="119" t="n">
        <x:f>IF(X516=0,0,(X516-IF(1=D516,1,0))*VLOOKUP(INDEX('章节与怪物'!$E$31:$K$37,B516,1),'章节与怪物'!$A$41:$F$44,4,FALSE)+IF(1=D516,'难度参数'!$E$30,0))</x:f>
        <x:v>720</x:v>
      </x:c>
      <x:c r="AB516" s="119" t="n">
        <x:f>IF(2&gt;D516,0,MAX(2,MIN('难度参数'!$E$12,ROUND(('难度参数'!$E$18*POWER(A516,'难度参数'!$E$19)/D516*(0.85+0.3*(2-1)/MAX(1,D516-1))),0)+F516)))</x:f>
        <x:v>38</x:v>
      </x:c>
      <x:c r="AC516" s="119" t="n">
        <x:f>IF(2&gt;D516,0,ROUND(('难度参数'!$E$13*POWER(A516,'难度参数'!$E$20)*MIN('难度参数'!$E$23,1+MAX(0,A516-'难度参数'!$E$21)*'难度参数'!$E$22))*(36+2*7)/(36+7*(D516+1)/2)*E516,0))</x:f>
        <x:v>9388</x:v>
      </x:c>
      <x:c r="AD516" s="119" t="n">
        <x:f>IF(AB516=0,0,(AB516-IF(2=D516,1,0))*ROUND(AC516*VLOOKUP(INDEX('章节与怪物'!$E$31:$K$37,B516,2),'章节与怪物'!$A$41:$F$44,2,FALSE),0)+IF(2=D516,ROUND(AC516*'难度参数'!$E$28*'章节与怪物'!$E$17,0),0))</x:f>
        <x:v>356744</x:v>
      </x:c>
      <x:c r="AE516" s="119" t="n">
        <x:f>IF(AB516=0,0,(AB516-IF(2=D516,1,0))*VLOOKUP(INDEX('章节与怪物'!$E$31:$K$37,B516,2),'章节与怪物'!$A$41:$F$44,4,FALSE)+IF(2=D516,'难度参数'!$E$30,0))</x:f>
        <x:v>684</x:v>
      </x:c>
      <x:c r="AF516" s="119" t="n">
        <x:f>IF(3&gt;D516,0,MAX(2,MIN('难度参数'!$E$12,ROUND(('难度参数'!$E$18*POWER(A516,'难度参数'!$E$19)/D516*(0.85+0.3*(3-1)/MAX(1,D516-1))),0)+F516)))</x:f>
        <x:v>40</x:v>
      </x:c>
      <x:c r="AG516" s="119" t="n">
        <x:f>IF(3&gt;D516,0,ROUND(('难度参数'!$E$13*POWER(A516,'难度参数'!$E$20)*MIN('难度参数'!$E$23,1+MAX(0,A516-'难度参数'!$E$21)*'难度参数'!$E$22))*(36+3*7)/(36+7*(D516+1)/2)*E516,0))</x:f>
        <x:v>10702</x:v>
      </x:c>
      <x:c r="AH516" s="119" t="n">
        <x:f>IF(AF516=0,0,(AF516-IF(3=D516,1,0))*ROUND(AG516*VLOOKUP(INDEX('章节与怪物'!$E$31:$K$37,B516,3),'章节与怪物'!$A$41:$F$44,2,FALSE),0)+IF(3=D516,ROUND(AG516*'难度参数'!$E$28*'章节与怪物'!$E$17,0),0))</x:f>
        <x:v>727720</x:v>
      </x:c>
      <x:c r="AI516" s="119" t="n">
        <x:f>IF(AF516=0,0,(AF516-IF(3=D516,1,0))*VLOOKUP(INDEX('章节与怪物'!$E$31:$K$37,B516,3),'章节与怪物'!$A$41:$F$44,4,FALSE)+IF(3=D516,'难度参数'!$E$30,0))</x:f>
        <x:v>1120</x:v>
      </x:c>
      <x:c r="AJ516" s="119" t="n">
        <x:f>IF(4&gt;D516,0,MAX(2,MIN('难度参数'!$E$12,ROUND(('难度参数'!$E$18*POWER(A516,'难度参数'!$E$19)/D516*(0.85+0.3*(4-1)/MAX(1,D516-1))),0)+F516)))</x:f>
        <x:v>42</x:v>
      </x:c>
      <x:c r="AK516" s="119" t="n">
        <x:f>IF(4&gt;D516,0,ROUND(('难度参数'!$E$13*POWER(A516,'难度参数'!$E$20)*MIN('难度参数'!$E$23,1+MAX(0,A516-'难度参数'!$E$21)*'难度参数'!$E$22))*(36+4*7)/(36+7*(D516+1)/2)*E516,0))</x:f>
        <x:v>12017</x:v>
      </x:c>
      <x:c r="AL516" s="119" t="n">
        <x:f>IF(AJ516=0,0,(AJ516-IF(4=D516,1,0))*ROUND(AK516*VLOOKUP(INDEX('章节与怪物'!$E$31:$K$37,B516,4),'章节与怪物'!$A$41:$F$44,2,FALSE),0)+IF(4=D516,ROUND(AK516*'难度参数'!$E$28*'章节与怪物'!$E$17,0),0))</x:f>
        <x:v>681366</x:v>
      </x:c>
      <x:c r="AM516" s="119" t="n">
        <x:f>IF(AJ516=0,0,(AJ516-IF(4=D516,1,0))*VLOOKUP(INDEX('章节与怪物'!$E$31:$K$37,B516,4),'章节与怪物'!$A$41:$F$44,4,FALSE)+IF(4=D516,'难度参数'!$E$30,0))</x:f>
        <x:v>1428</x:v>
      </x:c>
      <x:c r="AN516" s="119" t="n">
        <x:f>IF(5&gt;D516,0,MAX(2,MIN('难度参数'!$E$12,ROUND(('难度参数'!$E$18*POWER(A516,'难度参数'!$E$19)/D516*(0.85+0.3*(5-1)/MAX(1,D516-1))),0)+F516)))</x:f>
        <x:v>44</x:v>
      </x:c>
      <x:c r="AO516" s="119" t="n">
        <x:f>IF(5&gt;D516,0,ROUND(('难度参数'!$E$13*POWER(A516,'难度参数'!$E$20)*MIN('难度参数'!$E$23,1+MAX(0,A516-'难度参数'!$E$21)*'难度参数'!$E$22))*(36+5*7)/(36+7*(D516+1)/2)*E516,0))</x:f>
        <x:v>13331</x:v>
      </x:c>
      <x:c r="AP516" s="119" t="n">
        <x:f>IF(AN516=0,0,(AN516-IF(5=D516,1,0))*ROUND(AO516*VLOOKUP(INDEX('章节与怪物'!$E$31:$K$37,B516,5),'章节与怪物'!$A$41:$F$44,2,FALSE),0)+IF(5=D516,ROUND(AO516*'难度参数'!$E$28*'章节与怪物'!$E$17,0),0))</x:f>
        <x:v>586564</x:v>
      </x:c>
      <x:c r="AQ516" s="119" t="n">
        <x:f>IF(AN516=0,0,(AN516-IF(5=D516,1,0))*VLOOKUP(INDEX('章节与怪物'!$E$31:$K$37,B516,5),'章节与怪物'!$A$41:$F$44,4,FALSE)+IF(5=D516,'难度参数'!$E$30,0))</x:f>
        <x:v>792</x:v>
      </x:c>
      <x:c r="AR516" s="119" t="n">
        <x:f>IF(6&gt;D516,0,MAX(2,MIN('难度参数'!$E$12,ROUND(('难度参数'!$E$18*POWER(A516,'难度参数'!$E$19)/D516*(0.85+0.3*(6-1)/MAX(1,D516-1))),0)+F516)))</x:f>
        <x:v>46</x:v>
      </x:c>
      <x:c r="AS516" s="119" t="n">
        <x:f>IF(6&gt;D516,0,ROUND(('难度参数'!$E$13*POWER(A516,'难度参数'!$E$20)*MIN('难度参数'!$E$23,1+MAX(0,A516-'难度参数'!$E$21)*'难度参数'!$E$22))*(36+6*7)/(36+7*(D516+1)/2)*E516,0))</x:f>
        <x:v>14645</x:v>
      </x:c>
      <x:c r="AT516" s="119" t="n">
        <x:f>IF(AR516=0,0,(AR516-IF(6=D516,1,0))*ROUND(AS516*VLOOKUP(INDEX('章节与怪物'!$E$31:$K$37,B516,6),'章节与怪物'!$A$41:$F$44,2,FALSE),0)+IF(6=D516,ROUND(AS516*'难度参数'!$E$28*'章节与怪物'!$E$17,0),0))</x:f>
        <x:v>485024</x:v>
      </x:c>
      <x:c r="AU516" s="119" t="n">
        <x:f>IF(AR516=0,0,(AR516-IF(6=D516,1,0))*VLOOKUP(INDEX('章节与怪物'!$E$31:$K$37,B516,6),'章节与怪物'!$A$41:$F$44,4,FALSE)+IF(6=D516,'难度参数'!$E$30,0))</x:f>
        <x:v>920</x:v>
      </x:c>
      <x:c r="AV516" s="119" t="n">
        <x:f>IF(7&gt;D516,0,MAX(2,MIN('难度参数'!$E$12,ROUND(('难度参数'!$E$18*POWER(A516,'难度参数'!$E$19)/D516*(0.85+0.3*(7-1)/MAX(1,D516-1))),0)+F516)))</x:f>
        <x:v>48</x:v>
      </x:c>
      <x:c r="AW516" s="119" t="n">
        <x:f>IF(7&gt;D516,0,ROUND(('难度参数'!$E$13*POWER(A516,'难度参数'!$E$20)*MIN('难度参数'!$E$23,1+MAX(0,A516-'难度参数'!$E$21)*'难度参数'!$E$22))*(36+7*7)/(36+7*(D516+1)/2)*E516,0))</x:f>
        <x:v>15960</x:v>
      </x:c>
      <x:c r="AX516" s="119" t="n">
        <x:f>IF(AV516=0,0,(AV516-IF(7=D516,1,0))*ROUND(AW516*VLOOKUP(INDEX('章节与怪物'!$E$31:$K$37,B516,7),'章节与怪物'!$A$41:$F$44,2,FALSE),0)+IF(7=D516,ROUND(AW516*'难度参数'!$E$28*'章节与怪物'!$E$17,0),0))</x:f>
        <x:v>1121190</x:v>
      </x:c>
      <x:c r="AY516" s="119" t="n">
        <x:f>IF(AV516=0,0,(AV516-IF(7=D516,1,0))*VLOOKUP(INDEX('章节与怪物'!$E$31:$K$37,B516,7),'章节与怪物'!$A$41:$F$44,4,FALSE)+IF(7=D516,'难度参数'!$E$30,0))</x:f>
        <x:v>1798</x:v>
      </x:c>
    </x:row>
    <x:row r="517" ht="23" customHeight="1">
      <x:c r="A517" s="119" t="n">
        <x:v>511</x:v>
      </x:c>
      <x:c r="B517" s="119" t="n">
        <x:f>MOD(INT((A517-1)/5),7)+1</x:f>
        <x:v>5</x:v>
      </x:c>
      <x:c r="C517" s="62" t="str">
        <x:f>INDEX('章节与怪物'!$B$31:$B$37,B517)</x:f>
        <x:v>雨林遗迹</x:v>
      </x:c>
      <x:c r="D517" s="119" t="n">
        <x:f>MIN('难度参数'!$E$8,MAX('难度参数'!$E$7,A517))</x:f>
        <x:v>7</x:v>
      </x:c>
      <x:c r="E517" s="106" t="n">
        <x:v>1</x:v>
      </x:c>
      <x:c r="F517" s="106" t="n">
        <x:v>0</x:v>
      </x:c>
      <x:c r="G517" s="106" t="n">
        <x:v>1</x:v>
      </x:c>
      <x:c r="H517" s="119" t="n">
        <x:f>SUM(X517,AB517,AF517,AJ517,AN517,AR517,AV517)</x:f>
        <x:v>294</x:v>
      </x:c>
      <x:c r="I517" s="119" t="n">
        <x:f>SUM(Z517,AD517,AH517,AL517,AP517,AT517,AX517)</x:f>
        <x:v>4651924</x:v>
      </x:c>
      <x:c r="J517" s="119" t="n">
        <x:f>ROUND(INDEX(X517:AY517,1,(D517-1)*4+2)*'难度参数'!$E$28*'章节与怪物'!$E$17,0)</x:f>
        <x:v>108678</x:v>
      </x:c>
      <x:c r="K517" s="119" t="n">
        <x:f>SUM(AA517,AE517,AI517,AM517,AQ517,AU517,AY517)</x:f>
        <x:v>7922</x:v>
      </x:c>
      <x:c r="L517" s="62" t="n">
        <x:f>H517*(ROUNDUP('难度参数'!$E$24/('难度参数'!$E$26*'难度参数'!$E$27),0)*'难度参数'!$E$26)/60</x:f>
        <x:v>3.9200000000000004</x:v>
      </x:c>
      <x:c r="M517" s="62" t="n">
        <x:f>L517+D517*('难度参数'!$E$49+'难度参数'!$E$50)/60</x:f>
        <x:v>5.086666666666667</x:v>
      </x:c>
      <x:c r="N517" s="119" t="n">
        <x:f>ROUNDDOWN(('经济参数'!$E$20+A517*'经济参数'!$E$21)*G517,0)</x:f>
        <x:v>10400</x:v>
      </x:c>
      <x:c r="O517" s="119" t="n">
        <x:f>ROUNDDOWN(MIN('经济参数'!$E$24,'经济参数'!$E$22+A517*'经济参数'!$E$23)*G517,0)</x:f>
        <x:v>0</x:v>
      </x:c>
      <x:c r="P517" s="119" t="n">
        <x:f>ROUNDDOWN((IF(A517&gt;='材料与任务'!$E$31,'材料与任务'!$E$32,IF(A517&gt;='材料与任务'!$E$25,'材料与任务'!$E$26,IF(A517&gt;='材料与任务'!$E$19,'材料与任务'!$E$20,IF(A517&gt;='材料与任务'!$E$13,'材料与任务'!$E$14,'材料与任务'!$E$8)))))*G517,0)</x:f>
        <x:v>6</x:v>
      </x:c>
      <x:c r="Q517" s="119" t="n">
        <x:f>ROUNDDOWN((IF(A517&gt;='材料与任务'!$E$31,'材料与任务'!$E$33,IF(A517&gt;='材料与任务'!$E$25,'材料与任务'!$E$27,IF(A517&gt;='材料与任务'!$E$19,'材料与任务'!$E$21,IF(A517&gt;='材料与任务'!$E$13,'材料与任务'!$E$15,'材料与任务'!$E$9)))))*G517,0)</x:f>
        <x:v>3</x:v>
      </x:c>
      <x:c r="R517" s="110" t="n">
        <x:f>'装备掉落'!$B$38</x:f>
        <x:v>0.6872058758851213</x:v>
      </x:c>
      <x:c r="S517" s="119" t="n">
        <x:f>MAX(IF(VLOOKUP(A517,'装备掉落'!$A$29:$H$34,2,TRUE)&gt;0,1,0),IF(VLOOKUP(A517,'装备掉落'!$A$29:$H$34,3,TRUE)&gt;0,2,0),IF(VLOOKUP(A517,'装备掉落'!$A$29:$H$34,4,TRUE)&gt;0,3,0),IF(VLOOKUP(A517,'装备掉落'!$A$29:$H$34,5,TRUE)&gt;0,4,0),IF(VLOOKUP(A517,'装备掉落'!$A$29:$H$34,6,TRUE)&gt;0,5,0),IF(VLOOKUP(A517,'装备掉落'!$A$29:$H$34,7,TRUE)&gt;0,6,0),IF(VLOOKUP(A517,'装备掉落'!$A$29:$H$34,8,TRUE)&gt;0,7,0))</x:f>
        <x:v>7</x:v>
      </x:c>
      <x:c r="T517" s="119" t="n">
        <x:f>MIN(7,S517+'经济参数'!$E$70)</x:f>
        <x:v>7</x:v>
      </x:c>
      <x:c r="U517" s="119" t="n">
        <x:f>MIN(7,S517+'经济参数'!$E$71)</x:f>
        <x:v>7</x:v>
      </x:c>
      <x:c r="V517" s="119" t="n">
        <x:f>IF(H517&gt;=('难度参数'!$E$52),1,0)+IF(H517&gt;=('难度参数'!$E$52+'难度参数'!$E$53),1,0)+IF(H517&gt;=('难度参数'!$E$52+'难度参数'!$E$53+'难度参数'!$E$54),1,0)+IF(H517&gt;=('难度参数'!$E$52+'难度参数'!$E$53+'难度参数'!$E$54+'难度参数'!$E$55),1,0)+IF(H517&gt;=('难度参数'!$E$52+'难度参数'!$E$53+'难度参数'!$E$54+'难度参数'!$E$55+'难度参数'!$E$56),1,0)+IF(H517&gt;=('难度参数'!$E$52+'难度参数'!$E$53+'难度参数'!$E$54+'难度参数'!$E$55+'难度参数'!$E$56+'难度参数'!$E$57),1,0)</x:f>
        <x:v>6</x:v>
      </x:c>
      <x:c r="W517" s="62" t="str">
        <x:f>IF(L517&gt;'难度参数'!$E$51,"仅出怪已超目标","还需实测")</x:f>
        <x:v>仅出怪已超目标</x:v>
      </x:c>
      <x:c r="X517" s="119" t="n">
        <x:f>IF(1&gt;D517,0,MAX(2,MIN('难度参数'!$E$12,ROUND(('难度参数'!$E$18*POWER(A517,'难度参数'!$E$19)/D517*(0.85+0.3*(1-1)/MAX(1,D517-1))),0)+F517)))</x:f>
        <x:v>36</x:v>
      </x:c>
      <x:c r="Y517" s="119" t="n">
        <x:f>IF(1&gt;D517,0,ROUND(('难度参数'!$E$13*POWER(A517,'难度参数'!$E$20)*MIN('难度参数'!$E$23,1+MAX(0,A517-'难度参数'!$E$21)*'难度参数'!$E$22))*(36+1*7)/(36+7*(D517+1)/2)*E517,0))</x:f>
        <x:v>8085</x:v>
      </x:c>
      <x:c r="Z517" s="119" t="n">
        <x:f>IF(X517=0,0,(X517-IF(1=D517,1,0))*ROUND(Y517*VLOOKUP(INDEX('章节与怪物'!$E$31:$K$37,B517,1),'章节与怪物'!$A$41:$F$44,2,FALSE),0)+IF(1=D517,ROUND(Y517*'难度参数'!$E$28*'章节与怪物'!$E$17,0),0))</x:f>
        <x:v>291060</x:v>
      </x:c>
      <x:c r="AA517" s="119" t="n">
        <x:f>IF(X517=0,0,(X517-IF(1=D517,1,0))*VLOOKUP(INDEX('章节与怪物'!$E$31:$K$37,B517,1),'章节与怪物'!$A$41:$F$44,4,FALSE)+IF(1=D517,'难度参数'!$E$30,0))</x:f>
        <x:v>648</x:v>
      </x:c>
      <x:c r="AB517" s="119" t="n">
        <x:f>IF(2&gt;D517,0,MAX(2,MIN('难度参数'!$E$12,ROUND(('难度参数'!$E$18*POWER(A517,'难度参数'!$E$19)/D517*(0.85+0.3*(2-1)/MAX(1,D517-1))),0)+F517)))</x:f>
        <x:v>38</x:v>
      </x:c>
      <x:c r="AC517" s="119" t="n">
        <x:f>IF(2&gt;D517,0,ROUND(('难度参数'!$E$13*POWER(A517,'难度参数'!$E$20)*MIN('难度参数'!$E$23,1+MAX(0,A517-'难度参数'!$E$21)*'难度参数'!$E$22))*(36+2*7)/(36+7*(D517+1)/2)*E517,0))</x:f>
        <x:v>9401</x:v>
      </x:c>
      <x:c r="AD517" s="119" t="n">
        <x:f>IF(AB517=0,0,(AB517-IF(2=D517,1,0))*ROUND(AC517*VLOOKUP(INDEX('章节与怪物'!$E$31:$K$37,B517,2),'章节与怪物'!$A$41:$F$44,2,FALSE),0)+IF(2=D517,ROUND(AC517*'难度参数'!$E$28*'章节与怪物'!$E$17,0),0))</x:f>
        <x:v>257222</x:v>
      </x:c>
      <x:c r="AE517" s="119" t="n">
        <x:f>IF(AB517=0,0,(AB517-IF(2=D517,1,0))*VLOOKUP(INDEX('章节与怪物'!$E$31:$K$37,B517,2),'章节与怪物'!$A$41:$F$44,4,FALSE)+IF(2=D517,'难度参数'!$E$30,0))</x:f>
        <x:v>760</x:v>
      </x:c>
      <x:c r="AF517" s="119" t="n">
        <x:f>IF(3&gt;D517,0,MAX(2,MIN('难度参数'!$E$12,ROUND(('难度参数'!$E$18*POWER(A517,'难度参数'!$E$19)/D517*(0.85+0.3*(3-1)/MAX(1,D517-1))),0)+F517)))</x:f>
        <x:v>40</x:v>
      </x:c>
      <x:c r="AG517" s="119" t="n">
        <x:f>IF(3&gt;D517,0,ROUND(('难度参数'!$E$13*POWER(A517,'难度参数'!$E$20)*MIN('难度参数'!$E$23,1+MAX(0,A517-'难度参数'!$E$21)*'难度参数'!$E$22))*(36+3*7)/(36+7*(D517+1)/2)*E517,0))</x:f>
        <x:v>10717</x:v>
      </x:c>
      <x:c r="AH517" s="119" t="n">
        <x:f>IF(AF517=0,0,(AF517-IF(3=D517,1,0))*ROUND(AG517*VLOOKUP(INDEX('章节与怪物'!$E$31:$K$37,B517,3),'章节与怪物'!$A$41:$F$44,2,FALSE),0)+IF(3=D517,ROUND(AG517*'难度参数'!$E$28*'章节与怪物'!$E$17,0),0))</x:f>
        <x:v>728760</x:v>
      </x:c>
      <x:c r="AI517" s="119" t="n">
        <x:f>IF(AF517=0,0,(AF517-IF(3=D517,1,0))*VLOOKUP(INDEX('章节与怪物'!$E$31:$K$37,B517,3),'章节与怪物'!$A$41:$F$44,4,FALSE)+IF(3=D517,'难度参数'!$E$30,0))</x:f>
        <x:v>1120</x:v>
      </x:c>
      <x:c r="AJ517" s="119" t="n">
        <x:f>IF(4&gt;D517,0,MAX(2,MIN('难度参数'!$E$12,ROUND(('难度参数'!$E$18*POWER(A517,'难度参数'!$E$19)/D517*(0.85+0.3*(4-1)/MAX(1,D517-1))),0)+F517)))</x:f>
        <x:v>42</x:v>
      </x:c>
      <x:c r="AK517" s="119" t="n">
        <x:f>IF(4&gt;D517,0,ROUND(('难度参数'!$E$13*POWER(A517,'难度参数'!$E$20)*MIN('难度参数'!$E$23,1+MAX(0,A517-'难度参数'!$E$21)*'难度参数'!$E$22))*(36+4*7)/(36+7*(D517+1)/2)*E517,0))</x:f>
        <x:v>12034</x:v>
      </x:c>
      <x:c r="AL517" s="119" t="n">
        <x:f>IF(AJ517=0,0,(AJ517-IF(4=D517,1,0))*ROUND(AK517*VLOOKUP(INDEX('章节与怪物'!$E$31:$K$37,B517,4),'章节与怪物'!$A$41:$F$44,2,FALSE),0)+IF(4=D517,ROUND(AK517*'难度参数'!$E$28*'章节与怪物'!$E$17,0),0))</x:f>
        <x:v>682332</x:v>
      </x:c>
      <x:c r="AM517" s="119" t="n">
        <x:f>IF(AJ517=0,0,(AJ517-IF(4=D517,1,0))*VLOOKUP(INDEX('章节与怪物'!$E$31:$K$37,B517,4),'章节与怪物'!$A$41:$F$44,4,FALSE)+IF(4=D517,'难度参数'!$E$30,0))</x:f>
        <x:v>1428</x:v>
      </x:c>
      <x:c r="AN517" s="119" t="n">
        <x:f>IF(5&gt;D517,0,MAX(2,MIN('难度参数'!$E$12,ROUND(('难度参数'!$E$18*POWER(A517,'难度参数'!$E$19)/D517*(0.85+0.3*(5-1)/MAX(1,D517-1))),0)+F517)))</x:f>
        <x:v>44</x:v>
      </x:c>
      <x:c r="AO517" s="119" t="n">
        <x:f>IF(5&gt;D517,0,ROUND(('难度参数'!$E$13*POWER(A517,'难度参数'!$E$20)*MIN('难度参数'!$E$23,1+MAX(0,A517-'难度参数'!$E$21)*'难度参数'!$E$22))*(36+5*7)/(36+7*(D517+1)/2)*E517,0))</x:f>
        <x:v>13350</x:v>
      </x:c>
      <x:c r="AP517" s="119" t="n">
        <x:f>IF(AN517=0,0,(AN517-IF(5=D517,1,0))*ROUND(AO517*VLOOKUP(INDEX('章节与怪物'!$E$31:$K$37,B517,5),'章节与怪物'!$A$41:$F$44,2,FALSE),0)+IF(5=D517,ROUND(AO517*'难度参数'!$E$28*'章节与怪物'!$E$17,0),0))</x:f>
        <x:v>422928</x:v>
      </x:c>
      <x:c r="AQ517" s="119" t="n">
        <x:f>IF(AN517=0,0,(AN517-IF(5=D517,1,0))*VLOOKUP(INDEX('章节与怪物'!$E$31:$K$37,B517,5),'章节与怪物'!$A$41:$F$44,4,FALSE)+IF(5=D517,'难度参数'!$E$30,0))</x:f>
        <x:v>880</x:v>
      </x:c>
      <x:c r="AR517" s="119" t="n">
        <x:f>IF(6&gt;D517,0,MAX(2,MIN('难度参数'!$E$12,ROUND(('难度参数'!$E$18*POWER(A517,'难度参数'!$E$19)/D517*(0.85+0.3*(6-1)/MAX(1,D517-1))),0)+F517)))</x:f>
        <x:v>46</x:v>
      </x:c>
      <x:c r="AS517" s="119" t="n">
        <x:f>IF(6&gt;D517,0,ROUND(('难度参数'!$E$13*POWER(A517,'难度参数'!$E$20)*MIN('难度参数'!$E$23,1+MAX(0,A517-'难度参数'!$E$21)*'难度参数'!$E$22))*(36+6*7)/(36+7*(D517+1)/2)*E517,0))</x:f>
        <x:v>14666</x:v>
      </x:c>
      <x:c r="AT517" s="119" t="n">
        <x:f>IF(AR517=0,0,(AR517-IF(6=D517,1,0))*ROUND(AS517*VLOOKUP(INDEX('章节与怪物'!$E$31:$K$37,B517,6),'章节与怪物'!$A$41:$F$44,2,FALSE),0)+IF(6=D517,ROUND(AS517*'难度参数'!$E$28*'章节与怪物'!$E$17,0),0))</x:f>
        <x:v>1146872</x:v>
      </x:c>
      <x:c r="AU517" s="119" t="n">
        <x:f>IF(AR517=0,0,(AR517-IF(6=D517,1,0))*VLOOKUP(INDEX('章节与怪物'!$E$31:$K$37,B517,6),'章节与怪物'!$A$41:$F$44,4,FALSE)+IF(6=D517,'难度参数'!$E$30,0))</x:f>
        <x:v>1288</x:v>
      </x:c>
      <x:c r="AV517" s="119" t="n">
        <x:f>IF(7&gt;D517,0,MAX(2,MIN('难度参数'!$E$12,ROUND(('难度参数'!$E$18*POWER(A517,'难度参数'!$E$19)/D517*(0.85+0.3*(7-1)/MAX(1,D517-1))),0)+F517)))</x:f>
        <x:v>48</x:v>
      </x:c>
      <x:c r="AW517" s="119" t="n">
        <x:f>IF(7&gt;D517,0,ROUND(('难度参数'!$E$13*POWER(A517,'难度参数'!$E$20)*MIN('难度参数'!$E$23,1+MAX(0,A517-'难度参数'!$E$21)*'难度参数'!$E$22))*(36+7*7)/(36+7*(D517+1)/2)*E517,0))</x:f>
        <x:v>15982</x:v>
      </x:c>
      <x:c r="AX517" s="119" t="n">
        <x:f>IF(AV517=0,0,(AV517-IF(7=D517,1,0))*ROUND(AW517*VLOOKUP(INDEX('章节与怪物'!$E$31:$K$37,B517,7),'章节与怪物'!$A$41:$F$44,2,FALSE),0)+IF(7=D517,ROUND(AW517*'难度参数'!$E$28*'章节与怪物'!$E$17,0),0))</x:f>
        <x:v>1122750</x:v>
      </x:c>
      <x:c r="AY517" s="119" t="n">
        <x:f>IF(AV517=0,0,(AV517-IF(7=D517,1,0))*VLOOKUP(INDEX('章节与怪物'!$E$31:$K$37,B517,7),'章节与怪物'!$A$41:$F$44,4,FALSE)+IF(7=D517,'难度参数'!$E$30,0))</x:f>
        <x:v>1798</x:v>
      </x:c>
    </x:row>
    <x:row r="518" ht="23" customHeight="1">
      <x:c r="A518" s="119" t="n">
        <x:v>512</x:v>
      </x:c>
      <x:c r="B518" s="119" t="n">
        <x:f>MOD(INT((A518-1)/5),7)+1</x:f>
        <x:v>5</x:v>
      </x:c>
      <x:c r="C518" s="62" t="str">
        <x:f>INDEX('章节与怪物'!$B$31:$B$37,B518)</x:f>
        <x:v>雨林遗迹</x:v>
      </x:c>
      <x:c r="D518" s="119" t="n">
        <x:f>MIN('难度参数'!$E$8,MAX('难度参数'!$E$7,A518))</x:f>
        <x:v>7</x:v>
      </x:c>
      <x:c r="E518" s="106" t="n">
        <x:v>1</x:v>
      </x:c>
      <x:c r="F518" s="106" t="n">
        <x:v>0</x:v>
      </x:c>
      <x:c r="G518" s="106" t="n">
        <x:v>1</x:v>
      </x:c>
      <x:c r="H518" s="119" t="n">
        <x:f>SUM(X518,AB518,AF518,AJ518,AN518,AR518,AV518)</x:f>
        <x:v>294</x:v>
      </x:c>
      <x:c r="I518" s="119" t="n">
        <x:f>SUM(Z518,AD518,AH518,AL518,AP518,AT518,AX518)</x:f>
        <x:v>4658631</x:v>
      </x:c>
      <x:c r="J518" s="119" t="n">
        <x:f>ROUND(INDEX(X518:AY518,1,(D518-1)*4+2)*'难度参数'!$E$28*'章节与怪物'!$E$17,0)</x:f>
        <x:v>108834</x:v>
      </x:c>
      <x:c r="K518" s="119" t="n">
        <x:f>SUM(AA518,AE518,AI518,AM518,AQ518,AU518,AY518)</x:f>
        <x:v>7922</x:v>
      </x:c>
      <x:c r="L518" s="62" t="n">
        <x:f>H518*(ROUNDUP('难度参数'!$E$24/('难度参数'!$E$26*'难度参数'!$E$27),0)*'难度参数'!$E$26)/60</x:f>
        <x:v>3.9200000000000004</x:v>
      </x:c>
      <x:c r="M518" s="62" t="n">
        <x:f>L518+D518*('难度参数'!$E$49+'难度参数'!$E$50)/60</x:f>
        <x:v>5.086666666666667</x:v>
      </x:c>
      <x:c r="N518" s="119" t="n">
        <x:f>ROUNDDOWN(('经济参数'!$E$20+A518*'经济参数'!$E$21)*G518,0)</x:f>
        <x:v>10420</x:v>
      </x:c>
      <x:c r="O518" s="119" t="n">
        <x:f>ROUNDDOWN(MIN('经济参数'!$E$24,'经济参数'!$E$22+A518*'经济参数'!$E$23)*G518,0)</x:f>
        <x:v>0</x:v>
      </x:c>
      <x:c r="P518" s="119" t="n">
        <x:f>ROUNDDOWN((IF(A518&gt;='材料与任务'!$E$31,'材料与任务'!$E$32,IF(A518&gt;='材料与任务'!$E$25,'材料与任务'!$E$26,IF(A518&gt;='材料与任务'!$E$19,'材料与任务'!$E$20,IF(A518&gt;='材料与任务'!$E$13,'材料与任务'!$E$14,'材料与任务'!$E$8)))))*G518,0)</x:f>
        <x:v>6</x:v>
      </x:c>
      <x:c r="Q518" s="119" t="n">
        <x:f>ROUNDDOWN((IF(A518&gt;='材料与任务'!$E$31,'材料与任务'!$E$33,IF(A518&gt;='材料与任务'!$E$25,'材料与任务'!$E$27,IF(A518&gt;='材料与任务'!$E$19,'材料与任务'!$E$21,IF(A518&gt;='材料与任务'!$E$13,'材料与任务'!$E$15,'材料与任务'!$E$9)))))*G518,0)</x:f>
        <x:v>3</x:v>
      </x:c>
      <x:c r="R518" s="110" t="n">
        <x:f>'装备掉落'!$B$38</x:f>
        <x:v>0.6872058758851213</x:v>
      </x:c>
      <x:c r="S518" s="119" t="n">
        <x:f>MAX(IF(VLOOKUP(A518,'装备掉落'!$A$29:$H$34,2,TRUE)&gt;0,1,0),IF(VLOOKUP(A518,'装备掉落'!$A$29:$H$34,3,TRUE)&gt;0,2,0),IF(VLOOKUP(A518,'装备掉落'!$A$29:$H$34,4,TRUE)&gt;0,3,0),IF(VLOOKUP(A518,'装备掉落'!$A$29:$H$34,5,TRUE)&gt;0,4,0),IF(VLOOKUP(A518,'装备掉落'!$A$29:$H$34,6,TRUE)&gt;0,5,0),IF(VLOOKUP(A518,'装备掉落'!$A$29:$H$34,7,TRUE)&gt;0,6,0),IF(VLOOKUP(A518,'装备掉落'!$A$29:$H$34,8,TRUE)&gt;0,7,0))</x:f>
        <x:v>7</x:v>
      </x:c>
      <x:c r="T518" s="119" t="n">
        <x:f>MIN(7,S518+'经济参数'!$E$70)</x:f>
        <x:v>7</x:v>
      </x:c>
      <x:c r="U518" s="119" t="n">
        <x:f>MIN(7,S518+'经济参数'!$E$71)</x:f>
        <x:v>7</x:v>
      </x:c>
      <x:c r="V518" s="119" t="n">
        <x:f>IF(H518&gt;=('难度参数'!$E$52),1,0)+IF(H518&gt;=('难度参数'!$E$52+'难度参数'!$E$53),1,0)+IF(H518&gt;=('难度参数'!$E$52+'难度参数'!$E$53+'难度参数'!$E$54),1,0)+IF(H518&gt;=('难度参数'!$E$52+'难度参数'!$E$53+'难度参数'!$E$54+'难度参数'!$E$55),1,0)+IF(H518&gt;=('难度参数'!$E$52+'难度参数'!$E$53+'难度参数'!$E$54+'难度参数'!$E$55+'难度参数'!$E$56),1,0)+IF(H518&gt;=('难度参数'!$E$52+'难度参数'!$E$53+'难度参数'!$E$54+'难度参数'!$E$55+'难度参数'!$E$56+'难度参数'!$E$57),1,0)</x:f>
        <x:v>6</x:v>
      </x:c>
      <x:c r="W518" s="62" t="str">
        <x:f>IF(L518&gt;'难度参数'!$E$51,"仅出怪已超目标","还需实测")</x:f>
        <x:v>仅出怪已超目标</x:v>
      </x:c>
      <x:c r="X518" s="119" t="n">
        <x:f>IF(1&gt;D518,0,MAX(2,MIN('难度参数'!$E$12,ROUND(('难度参数'!$E$18*POWER(A518,'难度参数'!$E$19)/D518*(0.85+0.3*(1-1)/MAX(1,D518-1))),0)+F518)))</x:f>
        <x:v>36</x:v>
      </x:c>
      <x:c r="Y518" s="119" t="n">
        <x:f>IF(1&gt;D518,0,ROUND(('难度参数'!$E$13*POWER(A518,'难度参数'!$E$20)*MIN('难度参数'!$E$23,1+MAX(0,A518-'难度参数'!$E$21)*'难度参数'!$E$22))*(36+1*7)/(36+7*(D518+1)/2)*E518,0))</x:f>
        <x:v>8096</x:v>
      </x:c>
      <x:c r="Z518" s="119" t="n">
        <x:f>IF(X518=0,0,(X518-IF(1=D518,1,0))*ROUND(Y518*VLOOKUP(INDEX('章节与怪物'!$E$31:$K$37,B518,1),'章节与怪物'!$A$41:$F$44,2,FALSE),0)+IF(1=D518,ROUND(Y518*'难度参数'!$E$28*'章节与怪物'!$E$17,0),0))</x:f>
        <x:v>291456</x:v>
      </x:c>
      <x:c r="AA518" s="119" t="n">
        <x:f>IF(X518=0,0,(X518-IF(1=D518,1,0))*VLOOKUP(INDEX('章节与怪物'!$E$31:$K$37,B518,1),'章节与怪物'!$A$41:$F$44,4,FALSE)+IF(1=D518,'难度参数'!$E$30,0))</x:f>
        <x:v>648</x:v>
      </x:c>
      <x:c r="AB518" s="119" t="n">
        <x:f>IF(2&gt;D518,0,MAX(2,MIN('难度参数'!$E$12,ROUND(('难度参数'!$E$18*POWER(A518,'难度参数'!$E$19)/D518*(0.85+0.3*(2-1)/MAX(1,D518-1))),0)+F518)))</x:f>
        <x:v>38</x:v>
      </x:c>
      <x:c r="AC518" s="119" t="n">
        <x:f>IF(2&gt;D518,0,ROUND(('难度参数'!$E$13*POWER(A518,'难度参数'!$E$20)*MIN('难度参数'!$E$23,1+MAX(0,A518-'难度参数'!$E$21)*'难度参数'!$E$22))*(36+2*7)/(36+7*(D518+1)/2)*E518,0))</x:f>
        <x:v>9415</x:v>
      </x:c>
      <x:c r="AD518" s="119" t="n">
        <x:f>IF(AB518=0,0,(AB518-IF(2=D518,1,0))*ROUND(AC518*VLOOKUP(INDEX('章节与怪物'!$E$31:$K$37,B518,2),'章节与怪物'!$A$41:$F$44,2,FALSE),0)+IF(2=D518,ROUND(AC518*'难度参数'!$E$28*'章节与怪物'!$E$17,0),0))</x:f>
        <x:v>257602</x:v>
      </x:c>
      <x:c r="AE518" s="119" t="n">
        <x:f>IF(AB518=0,0,(AB518-IF(2=D518,1,0))*VLOOKUP(INDEX('章节与怪物'!$E$31:$K$37,B518,2),'章节与怪物'!$A$41:$F$44,4,FALSE)+IF(2=D518,'难度参数'!$E$30,0))</x:f>
        <x:v>760</x:v>
      </x:c>
      <x:c r="AF518" s="119" t="n">
        <x:f>IF(3&gt;D518,0,MAX(2,MIN('难度参数'!$E$12,ROUND(('难度参数'!$E$18*POWER(A518,'难度参数'!$E$19)/D518*(0.85+0.3*(3-1)/MAX(1,D518-1))),0)+F518)))</x:f>
        <x:v>40</x:v>
      </x:c>
      <x:c r="AG518" s="119" t="n">
        <x:f>IF(3&gt;D518,0,ROUND(('难度参数'!$E$13*POWER(A518,'难度参数'!$E$20)*MIN('难度参数'!$E$23,1+MAX(0,A518-'难度参数'!$E$21)*'难度参数'!$E$22))*(36+3*7)/(36+7*(D518+1)/2)*E518,0))</x:f>
        <x:v>10733</x:v>
      </x:c>
      <x:c r="AH518" s="119" t="n">
        <x:f>IF(AF518=0,0,(AF518-IF(3=D518,1,0))*ROUND(AG518*VLOOKUP(INDEX('章节与怪物'!$E$31:$K$37,B518,3),'章节与怪物'!$A$41:$F$44,2,FALSE),0)+IF(3=D518,ROUND(AG518*'难度参数'!$E$28*'章节与怪物'!$E$17,0),0))</x:f>
        <x:v>729840</x:v>
      </x:c>
      <x:c r="AI518" s="119" t="n">
        <x:f>IF(AF518=0,0,(AF518-IF(3=D518,1,0))*VLOOKUP(INDEX('章节与怪物'!$E$31:$K$37,B518,3),'章节与怪物'!$A$41:$F$44,4,FALSE)+IF(3=D518,'难度参数'!$E$30,0))</x:f>
        <x:v>1120</x:v>
      </x:c>
      <x:c r="AJ518" s="119" t="n">
        <x:f>IF(4&gt;D518,0,MAX(2,MIN('难度参数'!$E$12,ROUND(('难度参数'!$E$18*POWER(A518,'难度参数'!$E$19)/D518*(0.85+0.3*(4-1)/MAX(1,D518-1))),0)+F518)))</x:f>
        <x:v>42</x:v>
      </x:c>
      <x:c r="AK518" s="119" t="n">
        <x:f>IF(4&gt;D518,0,ROUND(('难度参数'!$E$13*POWER(A518,'难度参数'!$E$20)*MIN('难度参数'!$E$23,1+MAX(0,A518-'难度参数'!$E$21)*'难度参数'!$E$22))*(36+4*7)/(36+7*(D518+1)/2)*E518,0))</x:f>
        <x:v>12051</x:v>
      </x:c>
      <x:c r="AL518" s="119" t="n">
        <x:f>IF(AJ518=0,0,(AJ518-IF(4=D518,1,0))*ROUND(AK518*VLOOKUP(INDEX('章节与怪物'!$E$31:$K$37,B518,4),'章节与怪物'!$A$41:$F$44,2,FALSE),0)+IF(4=D518,ROUND(AK518*'难度参数'!$E$28*'章节与怪物'!$E$17,0),0))</x:f>
        <x:v>683298</x:v>
      </x:c>
      <x:c r="AM518" s="119" t="n">
        <x:f>IF(AJ518=0,0,(AJ518-IF(4=D518,1,0))*VLOOKUP(INDEX('章节与怪物'!$E$31:$K$37,B518,4),'章节与怪物'!$A$41:$F$44,4,FALSE)+IF(4=D518,'难度参数'!$E$30,0))</x:f>
        <x:v>1428</x:v>
      </x:c>
      <x:c r="AN518" s="119" t="n">
        <x:f>IF(5&gt;D518,0,MAX(2,MIN('难度参数'!$E$12,ROUND(('难度参数'!$E$18*POWER(A518,'难度参数'!$E$19)/D518*(0.85+0.3*(5-1)/MAX(1,D518-1))),0)+F518)))</x:f>
        <x:v>44</x:v>
      </x:c>
      <x:c r="AO518" s="119" t="n">
        <x:f>IF(5&gt;D518,0,ROUND(('难度参数'!$E$13*POWER(A518,'难度参数'!$E$20)*MIN('难度参数'!$E$23,1+MAX(0,A518-'难度参数'!$E$21)*'难度参数'!$E$22))*(36+5*7)/(36+7*(D518+1)/2)*E518,0))</x:f>
        <x:v>13369</x:v>
      </x:c>
      <x:c r="AP518" s="119" t="n">
        <x:f>IF(AN518=0,0,(AN518-IF(5=D518,1,0))*ROUND(AO518*VLOOKUP(INDEX('章节与怪物'!$E$31:$K$37,B518,5),'章节与怪物'!$A$41:$F$44,2,FALSE),0)+IF(5=D518,ROUND(AO518*'难度参数'!$E$28*'章节与怪物'!$E$17,0),0))</x:f>
        <x:v>423544</x:v>
      </x:c>
      <x:c r="AQ518" s="119" t="n">
        <x:f>IF(AN518=0,0,(AN518-IF(5=D518,1,0))*VLOOKUP(INDEX('章节与怪物'!$E$31:$K$37,B518,5),'章节与怪物'!$A$41:$F$44,4,FALSE)+IF(5=D518,'难度参数'!$E$30,0))</x:f>
        <x:v>880</x:v>
      </x:c>
      <x:c r="AR518" s="119" t="n">
        <x:f>IF(6&gt;D518,0,MAX(2,MIN('难度参数'!$E$12,ROUND(('难度参数'!$E$18*POWER(A518,'难度参数'!$E$19)/D518*(0.85+0.3*(6-1)/MAX(1,D518-1))),0)+F518)))</x:f>
        <x:v>46</x:v>
      </x:c>
      <x:c r="AS518" s="119" t="n">
        <x:f>IF(6&gt;D518,0,ROUND(('难度参数'!$E$13*POWER(A518,'难度参数'!$E$20)*MIN('难度参数'!$E$23,1+MAX(0,A518-'难度参数'!$E$21)*'难度参数'!$E$22))*(36+6*7)/(36+7*(D518+1)/2)*E518,0))</x:f>
        <x:v>14687</x:v>
      </x:c>
      <x:c r="AT518" s="119" t="n">
        <x:f>IF(AR518=0,0,(AR518-IF(6=D518,1,0))*ROUND(AS518*VLOOKUP(INDEX('章节与怪物'!$E$31:$K$37,B518,6),'章节与怪物'!$A$41:$F$44,2,FALSE),0)+IF(6=D518,ROUND(AS518*'难度参数'!$E$28*'章节与怪物'!$E$17,0),0))</x:f>
        <x:v>1148528</x:v>
      </x:c>
      <x:c r="AU518" s="119" t="n">
        <x:f>IF(AR518=0,0,(AR518-IF(6=D518,1,0))*VLOOKUP(INDEX('章节与怪物'!$E$31:$K$37,B518,6),'章节与怪物'!$A$41:$F$44,4,FALSE)+IF(6=D518,'难度参数'!$E$30,0))</x:f>
        <x:v>1288</x:v>
      </x:c>
      <x:c r="AV518" s="119" t="n">
        <x:f>IF(7&gt;D518,0,MAX(2,MIN('难度参数'!$E$12,ROUND(('难度参数'!$E$18*POWER(A518,'难度参数'!$E$19)/D518*(0.85+0.3*(7-1)/MAX(1,D518-1))),0)+F518)))</x:f>
        <x:v>48</x:v>
      </x:c>
      <x:c r="AW518" s="119" t="n">
        <x:f>IF(7&gt;D518,0,ROUND(('难度参数'!$E$13*POWER(A518,'难度参数'!$E$20)*MIN('难度参数'!$E$23,1+MAX(0,A518-'难度参数'!$E$21)*'难度参数'!$E$22))*(36+7*7)/(36+7*(D518+1)/2)*E518,0))</x:f>
        <x:v>16005</x:v>
      </x:c>
      <x:c r="AX518" s="119" t="n">
        <x:f>IF(AV518=0,0,(AV518-IF(7=D518,1,0))*ROUND(AW518*VLOOKUP(INDEX('章节与怪物'!$E$31:$K$37,B518,7),'章节与怪物'!$A$41:$F$44,2,FALSE),0)+IF(7=D518,ROUND(AW518*'难度参数'!$E$28*'章节与怪物'!$E$17,0),0))</x:f>
        <x:v>1124363</x:v>
      </x:c>
      <x:c r="AY518" s="119" t="n">
        <x:f>IF(AV518=0,0,(AV518-IF(7=D518,1,0))*VLOOKUP(INDEX('章节与怪物'!$E$31:$K$37,B518,7),'章节与怪物'!$A$41:$F$44,4,FALSE)+IF(7=D518,'难度参数'!$E$30,0))</x:f>
        <x:v>1798</x:v>
      </x:c>
    </x:row>
    <x:row r="519" ht="23" customHeight="1">
      <x:c r="A519" s="119" t="n">
        <x:v>513</x:v>
      </x:c>
      <x:c r="B519" s="119" t="n">
        <x:f>MOD(INT((A519-1)/5),7)+1</x:f>
        <x:v>5</x:v>
      </x:c>
      <x:c r="C519" s="62" t="str">
        <x:f>INDEX('章节与怪物'!$B$31:$B$37,B519)</x:f>
        <x:v>雨林遗迹</x:v>
      </x:c>
      <x:c r="D519" s="119" t="n">
        <x:f>MIN('难度参数'!$E$8,MAX('难度参数'!$E$7,A519))</x:f>
        <x:v>7</x:v>
      </x:c>
      <x:c r="E519" s="106" t="n">
        <x:v>1</x:v>
      </x:c>
      <x:c r="F519" s="106" t="n">
        <x:v>0</x:v>
      </x:c>
      <x:c r="G519" s="106" t="n">
        <x:v>1</x:v>
      </x:c>
      <x:c r="H519" s="119" t="n">
        <x:f>SUM(X519,AB519,AF519,AJ519,AN519,AR519,AV519)</x:f>
        <x:v>294</x:v>
      </x:c>
      <x:c r="I519" s="119" t="n">
        <x:f>SUM(Z519,AD519,AH519,AL519,AP519,AT519,AX519)</x:f>
        <x:v>4665060</x:v>
      </x:c>
      <x:c r="J519" s="119" t="n">
        <x:f>ROUND(INDEX(X519:AY519,1,(D519-1)*4+2)*'难度参数'!$E$28*'章节与怪物'!$E$17,0)</x:f>
        <x:v>108984</x:v>
      </x:c>
      <x:c r="K519" s="119" t="n">
        <x:f>SUM(AA519,AE519,AI519,AM519,AQ519,AU519,AY519)</x:f>
        <x:v>7922</x:v>
      </x:c>
      <x:c r="L519" s="62" t="n">
        <x:f>H519*(ROUNDUP('难度参数'!$E$24/('难度参数'!$E$26*'难度参数'!$E$27),0)*'难度参数'!$E$26)/60</x:f>
        <x:v>3.9200000000000004</x:v>
      </x:c>
      <x:c r="M519" s="62" t="n">
        <x:f>L519+D519*('难度参数'!$E$49+'难度参数'!$E$50)/60</x:f>
        <x:v>5.086666666666667</x:v>
      </x:c>
      <x:c r="N519" s="119" t="n">
        <x:f>ROUNDDOWN(('经济参数'!$E$20+A519*'经济参数'!$E$21)*G519,0)</x:f>
        <x:v>10440</x:v>
      </x:c>
      <x:c r="O519" s="119" t="n">
        <x:f>ROUNDDOWN(MIN('经济参数'!$E$24,'经济参数'!$E$22+A519*'经济参数'!$E$23)*G519,0)</x:f>
        <x:v>0</x:v>
      </x:c>
      <x:c r="P519" s="119" t="n">
        <x:f>ROUNDDOWN((IF(A519&gt;='材料与任务'!$E$31,'材料与任务'!$E$32,IF(A519&gt;='材料与任务'!$E$25,'材料与任务'!$E$26,IF(A519&gt;='材料与任务'!$E$19,'材料与任务'!$E$20,IF(A519&gt;='材料与任务'!$E$13,'材料与任务'!$E$14,'材料与任务'!$E$8)))))*G519,0)</x:f>
        <x:v>6</x:v>
      </x:c>
      <x:c r="Q519" s="119" t="n">
        <x:f>ROUNDDOWN((IF(A519&gt;='材料与任务'!$E$31,'材料与任务'!$E$33,IF(A519&gt;='材料与任务'!$E$25,'材料与任务'!$E$27,IF(A519&gt;='材料与任务'!$E$19,'材料与任务'!$E$21,IF(A519&gt;='材料与任务'!$E$13,'材料与任务'!$E$15,'材料与任务'!$E$9)))))*G519,0)</x:f>
        <x:v>3</x:v>
      </x:c>
      <x:c r="R519" s="110" t="n">
        <x:f>'装备掉落'!$B$38</x:f>
        <x:v>0.6872058758851213</x:v>
      </x:c>
      <x:c r="S519" s="119" t="n">
        <x:f>MAX(IF(VLOOKUP(A519,'装备掉落'!$A$29:$H$34,2,TRUE)&gt;0,1,0),IF(VLOOKUP(A519,'装备掉落'!$A$29:$H$34,3,TRUE)&gt;0,2,0),IF(VLOOKUP(A519,'装备掉落'!$A$29:$H$34,4,TRUE)&gt;0,3,0),IF(VLOOKUP(A519,'装备掉落'!$A$29:$H$34,5,TRUE)&gt;0,4,0),IF(VLOOKUP(A519,'装备掉落'!$A$29:$H$34,6,TRUE)&gt;0,5,0),IF(VLOOKUP(A519,'装备掉落'!$A$29:$H$34,7,TRUE)&gt;0,6,0),IF(VLOOKUP(A519,'装备掉落'!$A$29:$H$34,8,TRUE)&gt;0,7,0))</x:f>
        <x:v>7</x:v>
      </x:c>
      <x:c r="T519" s="119" t="n">
        <x:f>MIN(7,S519+'经济参数'!$E$70)</x:f>
        <x:v>7</x:v>
      </x:c>
      <x:c r="U519" s="119" t="n">
        <x:f>MIN(7,S519+'经济参数'!$E$71)</x:f>
        <x:v>7</x:v>
      </x:c>
      <x:c r="V519" s="119" t="n">
        <x:f>IF(H519&gt;=('难度参数'!$E$52),1,0)+IF(H519&gt;=('难度参数'!$E$52+'难度参数'!$E$53),1,0)+IF(H519&gt;=('难度参数'!$E$52+'难度参数'!$E$53+'难度参数'!$E$54),1,0)+IF(H519&gt;=('难度参数'!$E$52+'难度参数'!$E$53+'难度参数'!$E$54+'难度参数'!$E$55),1,0)+IF(H519&gt;=('难度参数'!$E$52+'难度参数'!$E$53+'难度参数'!$E$54+'难度参数'!$E$55+'难度参数'!$E$56),1,0)+IF(H519&gt;=('难度参数'!$E$52+'难度参数'!$E$53+'难度参数'!$E$54+'难度参数'!$E$55+'难度参数'!$E$56+'难度参数'!$E$57),1,0)</x:f>
        <x:v>6</x:v>
      </x:c>
      <x:c r="W519" s="62" t="str">
        <x:f>IF(L519&gt;'难度参数'!$E$51,"仅出怪已超目标","还需实测")</x:f>
        <x:v>仅出怪已超目标</x:v>
      </x:c>
      <x:c r="X519" s="119" t="n">
        <x:f>IF(1&gt;D519,0,MAX(2,MIN('难度参数'!$E$12,ROUND(('难度参数'!$E$18*POWER(A519,'难度参数'!$E$19)/D519*(0.85+0.3*(1-1)/MAX(1,D519-1))),0)+F519)))</x:f>
        <x:v>36</x:v>
      </x:c>
      <x:c r="Y519" s="119" t="n">
        <x:f>IF(1&gt;D519,0,ROUND(('难度参数'!$E$13*POWER(A519,'难度参数'!$E$20)*MIN('难度参数'!$E$23,1+MAX(0,A519-'难度参数'!$E$21)*'难度参数'!$E$22))*(36+1*7)/(36+7*(D519+1)/2)*E519,0))</x:f>
        <x:v>8108</x:v>
      </x:c>
      <x:c r="Z519" s="119" t="n">
        <x:f>IF(X519=0,0,(X519-IF(1=D519,1,0))*ROUND(Y519*VLOOKUP(INDEX('章节与怪物'!$E$31:$K$37,B519,1),'章节与怪物'!$A$41:$F$44,2,FALSE),0)+IF(1=D519,ROUND(Y519*'难度参数'!$E$28*'章节与怪物'!$E$17,0),0))</x:f>
        <x:v>291888</x:v>
      </x:c>
      <x:c r="AA519" s="119" t="n">
        <x:f>IF(X519=0,0,(X519-IF(1=D519,1,0))*VLOOKUP(INDEX('章节与怪物'!$E$31:$K$37,B519,1),'章节与怪物'!$A$41:$F$44,4,FALSE)+IF(1=D519,'难度参数'!$E$30,0))</x:f>
        <x:v>648</x:v>
      </x:c>
      <x:c r="AB519" s="119" t="n">
        <x:f>IF(2&gt;D519,0,MAX(2,MIN('难度参数'!$E$12,ROUND(('难度参数'!$E$18*POWER(A519,'难度参数'!$E$19)/D519*(0.85+0.3*(2-1)/MAX(1,D519-1))),0)+F519)))</x:f>
        <x:v>38</x:v>
      </x:c>
      <x:c r="AC519" s="119" t="n">
        <x:f>IF(2&gt;D519,0,ROUND(('难度参数'!$E$13*POWER(A519,'难度参数'!$E$20)*MIN('难度参数'!$E$23,1+MAX(0,A519-'难度参数'!$E$21)*'难度参数'!$E$22))*(36+2*7)/(36+7*(D519+1)/2)*E519,0))</x:f>
        <x:v>9428</x:v>
      </x:c>
      <x:c r="AD519" s="119" t="n">
        <x:f>IF(AB519=0,0,(AB519-IF(2=D519,1,0))*ROUND(AC519*VLOOKUP(INDEX('章节与怪物'!$E$31:$K$37,B519,2),'章节与怪物'!$A$41:$F$44,2,FALSE),0)+IF(2=D519,ROUND(AC519*'难度参数'!$E$28*'章节与怪物'!$E$17,0),0))</x:f>
        <x:v>257944</x:v>
      </x:c>
      <x:c r="AE519" s="119" t="n">
        <x:f>IF(AB519=0,0,(AB519-IF(2=D519,1,0))*VLOOKUP(INDEX('章节与怪物'!$E$31:$K$37,B519,2),'章节与怪物'!$A$41:$F$44,4,FALSE)+IF(2=D519,'难度参数'!$E$30,0))</x:f>
        <x:v>760</x:v>
      </x:c>
      <x:c r="AF519" s="119" t="n">
        <x:f>IF(3&gt;D519,0,MAX(2,MIN('难度参数'!$E$12,ROUND(('难度参数'!$E$18*POWER(A519,'难度参数'!$E$19)/D519*(0.85+0.3*(3-1)/MAX(1,D519-1))),0)+F519)))</x:f>
        <x:v>40</x:v>
      </x:c>
      <x:c r="AG519" s="119" t="n">
        <x:f>IF(3&gt;D519,0,ROUND(('难度参数'!$E$13*POWER(A519,'难度参数'!$E$20)*MIN('难度参数'!$E$23,1+MAX(0,A519-'难度参数'!$E$21)*'难度参数'!$E$22))*(36+3*7)/(36+7*(D519+1)/2)*E519,0))</x:f>
        <x:v>10748</x:v>
      </x:c>
      <x:c r="AH519" s="119" t="n">
        <x:f>IF(AF519=0,0,(AF519-IF(3=D519,1,0))*ROUND(AG519*VLOOKUP(INDEX('章节与怪物'!$E$31:$K$37,B519,3),'章节与怪物'!$A$41:$F$44,2,FALSE),0)+IF(3=D519,ROUND(AG519*'难度参数'!$E$28*'章节与怪物'!$E$17,0),0))</x:f>
        <x:v>730880</x:v>
      </x:c>
      <x:c r="AI519" s="119" t="n">
        <x:f>IF(AF519=0,0,(AF519-IF(3=D519,1,0))*VLOOKUP(INDEX('章节与怪物'!$E$31:$K$37,B519,3),'章节与怪物'!$A$41:$F$44,4,FALSE)+IF(3=D519,'难度参数'!$E$30,0))</x:f>
        <x:v>1120</x:v>
      </x:c>
      <x:c r="AJ519" s="119" t="n">
        <x:f>IF(4&gt;D519,0,MAX(2,MIN('难度参数'!$E$12,ROUND(('难度参数'!$E$18*POWER(A519,'难度参数'!$E$19)/D519*(0.85+0.3*(4-1)/MAX(1,D519-1))),0)+F519)))</x:f>
        <x:v>42</x:v>
      </x:c>
      <x:c r="AK519" s="119" t="n">
        <x:f>IF(4&gt;D519,0,ROUND(('难度参数'!$E$13*POWER(A519,'难度参数'!$E$20)*MIN('难度参数'!$E$23,1+MAX(0,A519-'难度参数'!$E$21)*'难度参数'!$E$22))*(36+4*7)/(36+7*(D519+1)/2)*E519,0))</x:f>
        <x:v>12068</x:v>
      </x:c>
      <x:c r="AL519" s="119" t="n">
        <x:f>IF(AJ519=0,0,(AJ519-IF(4=D519,1,0))*ROUND(AK519*VLOOKUP(INDEX('章节与怪物'!$E$31:$K$37,B519,4),'章节与怪物'!$A$41:$F$44,2,FALSE),0)+IF(4=D519,ROUND(AK519*'难度参数'!$E$28*'章节与怪物'!$E$17,0),0))</x:f>
        <x:v>684264</x:v>
      </x:c>
      <x:c r="AM519" s="119" t="n">
        <x:f>IF(AJ519=0,0,(AJ519-IF(4=D519,1,0))*VLOOKUP(INDEX('章节与怪物'!$E$31:$K$37,B519,4),'章节与怪物'!$A$41:$F$44,4,FALSE)+IF(4=D519,'难度参数'!$E$30,0))</x:f>
        <x:v>1428</x:v>
      </x:c>
      <x:c r="AN519" s="119" t="n">
        <x:f>IF(5&gt;D519,0,MAX(2,MIN('难度参数'!$E$12,ROUND(('难度参数'!$E$18*POWER(A519,'难度参数'!$E$19)/D519*(0.85+0.3*(5-1)/MAX(1,D519-1))),0)+F519)))</x:f>
        <x:v>44</x:v>
      </x:c>
      <x:c r="AO519" s="119" t="n">
        <x:f>IF(5&gt;D519,0,ROUND(('难度参数'!$E$13*POWER(A519,'难度参数'!$E$20)*MIN('难度参数'!$E$23,1+MAX(0,A519-'难度参数'!$E$21)*'难度参数'!$E$22))*(36+5*7)/(36+7*(D519+1)/2)*E519,0))</x:f>
        <x:v>13387</x:v>
      </x:c>
      <x:c r="AP519" s="119" t="n">
        <x:f>IF(AN519=0,0,(AN519-IF(5=D519,1,0))*ROUND(AO519*VLOOKUP(INDEX('章节与怪物'!$E$31:$K$37,B519,5),'章节与怪物'!$A$41:$F$44,2,FALSE),0)+IF(5=D519,ROUND(AO519*'难度参数'!$E$28*'章节与怪物'!$E$17,0),0))</x:f>
        <x:v>424116</x:v>
      </x:c>
      <x:c r="AQ519" s="119" t="n">
        <x:f>IF(AN519=0,0,(AN519-IF(5=D519,1,0))*VLOOKUP(INDEX('章节与怪物'!$E$31:$K$37,B519,5),'章节与怪物'!$A$41:$F$44,4,FALSE)+IF(5=D519,'难度参数'!$E$30,0))</x:f>
        <x:v>880</x:v>
      </x:c>
      <x:c r="AR519" s="119" t="n">
        <x:f>IF(6&gt;D519,0,MAX(2,MIN('难度参数'!$E$12,ROUND(('难度参数'!$E$18*POWER(A519,'难度参数'!$E$19)/D519*(0.85+0.3*(6-1)/MAX(1,D519-1))),0)+F519)))</x:f>
        <x:v>46</x:v>
      </x:c>
      <x:c r="AS519" s="119" t="n">
        <x:f>IF(6&gt;D519,0,ROUND(('难度参数'!$E$13*POWER(A519,'难度参数'!$E$20)*MIN('难度参数'!$E$23,1+MAX(0,A519-'难度参数'!$E$21)*'难度参数'!$E$22))*(36+6*7)/(36+7*(D519+1)/2)*E519,0))</x:f>
        <x:v>14707</x:v>
      </x:c>
      <x:c r="AT519" s="119" t="n">
        <x:f>IF(AR519=0,0,(AR519-IF(6=D519,1,0))*ROUND(AS519*VLOOKUP(INDEX('章节与怪物'!$E$31:$K$37,B519,6),'章节与怪物'!$A$41:$F$44,2,FALSE),0)+IF(6=D519,ROUND(AS519*'难度参数'!$E$28*'章节与怪物'!$E$17,0),0))</x:f>
        <x:v>1150092</x:v>
      </x:c>
      <x:c r="AU519" s="119" t="n">
        <x:f>IF(AR519=0,0,(AR519-IF(6=D519,1,0))*VLOOKUP(INDEX('章节与怪物'!$E$31:$K$37,B519,6),'章节与怪物'!$A$41:$F$44,4,FALSE)+IF(6=D519,'难度参数'!$E$30,0))</x:f>
        <x:v>1288</x:v>
      </x:c>
      <x:c r="AV519" s="119" t="n">
        <x:f>IF(7&gt;D519,0,MAX(2,MIN('难度参数'!$E$12,ROUND(('难度参数'!$E$18*POWER(A519,'难度参数'!$E$19)/D519*(0.85+0.3*(7-1)/MAX(1,D519-1))),0)+F519)))</x:f>
        <x:v>48</x:v>
      </x:c>
      <x:c r="AW519" s="119" t="n">
        <x:f>IF(7&gt;D519,0,ROUND(('难度参数'!$E$13*POWER(A519,'难度参数'!$E$20)*MIN('难度参数'!$E$23,1+MAX(0,A519-'难度参数'!$E$21)*'难度参数'!$E$22))*(36+7*7)/(36+7*(D519+1)/2)*E519,0))</x:f>
        <x:v>16027</x:v>
      </x:c>
      <x:c r="AX519" s="119" t="n">
        <x:f>IF(AV519=0,0,(AV519-IF(7=D519,1,0))*ROUND(AW519*VLOOKUP(INDEX('章节与怪物'!$E$31:$K$37,B519,7),'章节与怪物'!$A$41:$F$44,2,FALSE),0)+IF(7=D519,ROUND(AW519*'难度参数'!$E$28*'章节与怪物'!$E$17,0),0))</x:f>
        <x:v>1125876</x:v>
      </x:c>
      <x:c r="AY519" s="119" t="n">
        <x:f>IF(AV519=0,0,(AV519-IF(7=D519,1,0))*VLOOKUP(INDEX('章节与怪物'!$E$31:$K$37,B519,7),'章节与怪物'!$A$41:$F$44,4,FALSE)+IF(7=D519,'难度参数'!$E$30,0))</x:f>
        <x:v>1798</x:v>
      </x:c>
    </x:row>
    <x:row r="520" ht="23" customHeight="1">
      <x:c r="A520" s="119" t="n">
        <x:v>514</x:v>
      </x:c>
      <x:c r="B520" s="119" t="n">
        <x:f>MOD(INT((A520-1)/5),7)+1</x:f>
        <x:v>5</x:v>
      </x:c>
      <x:c r="C520" s="62" t="str">
        <x:f>INDEX('章节与怪物'!$B$31:$B$37,B520)</x:f>
        <x:v>雨林遗迹</x:v>
      </x:c>
      <x:c r="D520" s="119" t="n">
        <x:f>MIN('难度参数'!$E$8,MAX('难度参数'!$E$7,A520))</x:f>
        <x:v>7</x:v>
      </x:c>
      <x:c r="E520" s="106" t="n">
        <x:v>1</x:v>
      </x:c>
      <x:c r="F520" s="106" t="n">
        <x:v>0</x:v>
      </x:c>
      <x:c r="G520" s="106" t="n">
        <x:v>1</x:v>
      </x:c>
      <x:c r="H520" s="119" t="n">
        <x:f>SUM(X520,AB520,AF520,AJ520,AN520,AR520,AV520)</x:f>
        <x:v>294</x:v>
      </x:c>
      <x:c r="I520" s="119" t="n">
        <x:f>SUM(Z520,AD520,AH520,AL520,AP520,AT520,AX520)</x:f>
        <x:v>4671606</x:v>
      </x:c>
      <x:c r="J520" s="119" t="n">
        <x:f>ROUND(INDEX(X520:AY520,1,(D520-1)*4+2)*'难度参数'!$E$28*'章节与怪物'!$E$17,0)</x:f>
        <x:v>109140</x:v>
      </x:c>
      <x:c r="K520" s="119" t="n">
        <x:f>SUM(AA520,AE520,AI520,AM520,AQ520,AU520,AY520)</x:f>
        <x:v>7922</x:v>
      </x:c>
      <x:c r="L520" s="62" t="n">
        <x:f>H520*(ROUNDUP('难度参数'!$E$24/('难度参数'!$E$26*'难度参数'!$E$27),0)*'难度参数'!$E$26)/60</x:f>
        <x:v>3.9200000000000004</x:v>
      </x:c>
      <x:c r="M520" s="62" t="n">
        <x:f>L520+D520*('难度参数'!$E$49+'难度参数'!$E$50)/60</x:f>
        <x:v>5.086666666666667</x:v>
      </x:c>
      <x:c r="N520" s="119" t="n">
        <x:f>ROUNDDOWN(('经济参数'!$E$20+A520*'经济参数'!$E$21)*G520,0)</x:f>
        <x:v>10460</x:v>
      </x:c>
      <x:c r="O520" s="119" t="n">
        <x:f>ROUNDDOWN(MIN('经济参数'!$E$24,'经济参数'!$E$22+A520*'经济参数'!$E$23)*G520,0)</x:f>
        <x:v>0</x:v>
      </x:c>
      <x:c r="P520" s="119" t="n">
        <x:f>ROUNDDOWN((IF(A520&gt;='材料与任务'!$E$31,'材料与任务'!$E$32,IF(A520&gt;='材料与任务'!$E$25,'材料与任务'!$E$26,IF(A520&gt;='材料与任务'!$E$19,'材料与任务'!$E$20,IF(A520&gt;='材料与任务'!$E$13,'材料与任务'!$E$14,'材料与任务'!$E$8)))))*G520,0)</x:f>
        <x:v>6</x:v>
      </x:c>
      <x:c r="Q520" s="119" t="n">
        <x:f>ROUNDDOWN((IF(A520&gt;='材料与任务'!$E$31,'材料与任务'!$E$33,IF(A520&gt;='材料与任务'!$E$25,'材料与任务'!$E$27,IF(A520&gt;='材料与任务'!$E$19,'材料与任务'!$E$21,IF(A520&gt;='材料与任务'!$E$13,'材料与任务'!$E$15,'材料与任务'!$E$9)))))*G520,0)</x:f>
        <x:v>3</x:v>
      </x:c>
      <x:c r="R520" s="110" t="n">
        <x:f>'装备掉落'!$B$38</x:f>
        <x:v>0.6872058758851213</x:v>
      </x:c>
      <x:c r="S520" s="119" t="n">
        <x:f>MAX(IF(VLOOKUP(A520,'装备掉落'!$A$29:$H$34,2,TRUE)&gt;0,1,0),IF(VLOOKUP(A520,'装备掉落'!$A$29:$H$34,3,TRUE)&gt;0,2,0),IF(VLOOKUP(A520,'装备掉落'!$A$29:$H$34,4,TRUE)&gt;0,3,0),IF(VLOOKUP(A520,'装备掉落'!$A$29:$H$34,5,TRUE)&gt;0,4,0),IF(VLOOKUP(A520,'装备掉落'!$A$29:$H$34,6,TRUE)&gt;0,5,0),IF(VLOOKUP(A520,'装备掉落'!$A$29:$H$34,7,TRUE)&gt;0,6,0),IF(VLOOKUP(A520,'装备掉落'!$A$29:$H$34,8,TRUE)&gt;0,7,0))</x:f>
        <x:v>7</x:v>
      </x:c>
      <x:c r="T520" s="119" t="n">
        <x:f>MIN(7,S520+'经济参数'!$E$70)</x:f>
        <x:v>7</x:v>
      </x:c>
      <x:c r="U520" s="119" t="n">
        <x:f>MIN(7,S520+'经济参数'!$E$71)</x:f>
        <x:v>7</x:v>
      </x:c>
      <x:c r="V520" s="119" t="n">
        <x:f>IF(H520&gt;=('难度参数'!$E$52),1,0)+IF(H520&gt;=('难度参数'!$E$52+'难度参数'!$E$53),1,0)+IF(H520&gt;=('难度参数'!$E$52+'难度参数'!$E$53+'难度参数'!$E$54),1,0)+IF(H520&gt;=('难度参数'!$E$52+'难度参数'!$E$53+'难度参数'!$E$54+'难度参数'!$E$55),1,0)+IF(H520&gt;=('难度参数'!$E$52+'难度参数'!$E$53+'难度参数'!$E$54+'难度参数'!$E$55+'难度参数'!$E$56),1,0)+IF(H520&gt;=('难度参数'!$E$52+'难度参数'!$E$53+'难度参数'!$E$54+'难度参数'!$E$55+'难度参数'!$E$56+'难度参数'!$E$57),1,0)</x:f>
        <x:v>6</x:v>
      </x:c>
      <x:c r="W520" s="62" t="str">
        <x:f>IF(L520&gt;'难度参数'!$E$51,"仅出怪已超目标","还需实测")</x:f>
        <x:v>仅出怪已超目标</x:v>
      </x:c>
      <x:c r="X520" s="119" t="n">
        <x:f>IF(1&gt;D520,0,MAX(2,MIN('难度参数'!$E$12,ROUND(('难度参数'!$E$18*POWER(A520,'难度参数'!$E$19)/D520*(0.85+0.3*(1-1)/MAX(1,D520-1))),0)+F520)))</x:f>
        <x:v>36</x:v>
      </x:c>
      <x:c r="Y520" s="119" t="n">
        <x:f>IF(1&gt;D520,0,ROUND(('难度参数'!$E$13*POWER(A520,'难度参数'!$E$20)*MIN('难度参数'!$E$23,1+MAX(0,A520-'难度参数'!$E$21)*'难度参数'!$E$22))*(36+1*7)/(36+7*(D520+1)/2)*E520,0))</x:f>
        <x:v>8119</x:v>
      </x:c>
      <x:c r="Z520" s="119" t="n">
        <x:f>IF(X520=0,0,(X520-IF(1=D520,1,0))*ROUND(Y520*VLOOKUP(INDEX('章节与怪物'!$E$31:$K$37,B520,1),'章节与怪物'!$A$41:$F$44,2,FALSE),0)+IF(1=D520,ROUND(Y520*'难度参数'!$E$28*'章节与怪物'!$E$17,0),0))</x:f>
        <x:v>292284</x:v>
      </x:c>
      <x:c r="AA520" s="119" t="n">
        <x:f>IF(X520=0,0,(X520-IF(1=D520,1,0))*VLOOKUP(INDEX('章节与怪物'!$E$31:$K$37,B520,1),'章节与怪物'!$A$41:$F$44,4,FALSE)+IF(1=D520,'难度参数'!$E$30,0))</x:f>
        <x:v>648</x:v>
      </x:c>
      <x:c r="AB520" s="119" t="n">
        <x:f>IF(2&gt;D520,0,MAX(2,MIN('难度参数'!$E$12,ROUND(('难度参数'!$E$18*POWER(A520,'难度参数'!$E$19)/D520*(0.85+0.3*(2-1)/MAX(1,D520-1))),0)+F520)))</x:f>
        <x:v>38</x:v>
      </x:c>
      <x:c r="AC520" s="119" t="n">
        <x:f>IF(2&gt;D520,0,ROUND(('难度参数'!$E$13*POWER(A520,'难度参数'!$E$20)*MIN('难度参数'!$E$23,1+MAX(0,A520-'难度参数'!$E$21)*'难度参数'!$E$22))*(36+2*7)/(36+7*(D520+1)/2)*E520,0))</x:f>
        <x:v>9441</x:v>
      </x:c>
      <x:c r="AD520" s="119" t="n">
        <x:f>IF(AB520=0,0,(AB520-IF(2=D520,1,0))*ROUND(AC520*VLOOKUP(INDEX('章节与怪物'!$E$31:$K$37,B520,2),'章节与怪物'!$A$41:$F$44,2,FALSE),0)+IF(2=D520,ROUND(AC520*'难度参数'!$E$28*'章节与怪物'!$E$17,0),0))</x:f>
        <x:v>258324</x:v>
      </x:c>
      <x:c r="AE520" s="119" t="n">
        <x:f>IF(AB520=0,0,(AB520-IF(2=D520,1,0))*VLOOKUP(INDEX('章节与怪物'!$E$31:$K$37,B520,2),'章节与怪物'!$A$41:$F$44,4,FALSE)+IF(2=D520,'难度参数'!$E$30,0))</x:f>
        <x:v>760</x:v>
      </x:c>
      <x:c r="AF520" s="119" t="n">
        <x:f>IF(3&gt;D520,0,MAX(2,MIN('难度参数'!$E$12,ROUND(('难度参数'!$E$18*POWER(A520,'难度参数'!$E$19)/D520*(0.85+0.3*(3-1)/MAX(1,D520-1))),0)+F520)))</x:f>
        <x:v>40</x:v>
      </x:c>
      <x:c r="AG520" s="119" t="n">
        <x:f>IF(3&gt;D520,0,ROUND(('难度参数'!$E$13*POWER(A520,'难度参数'!$E$20)*MIN('难度参数'!$E$23,1+MAX(0,A520-'难度参数'!$E$21)*'难度参数'!$E$22))*(36+3*7)/(36+7*(D520+1)/2)*E520,0))</x:f>
        <x:v>10763</x:v>
      </x:c>
      <x:c r="AH520" s="119" t="n">
        <x:f>IF(AF520=0,0,(AF520-IF(3=D520,1,0))*ROUND(AG520*VLOOKUP(INDEX('章节与怪物'!$E$31:$K$37,B520,3),'章节与怪物'!$A$41:$F$44,2,FALSE),0)+IF(3=D520,ROUND(AG520*'难度参数'!$E$28*'章节与怪物'!$E$17,0),0))</x:f>
        <x:v>731880</x:v>
      </x:c>
      <x:c r="AI520" s="119" t="n">
        <x:f>IF(AF520=0,0,(AF520-IF(3=D520,1,0))*VLOOKUP(INDEX('章节与怪物'!$E$31:$K$37,B520,3),'章节与怪物'!$A$41:$F$44,4,FALSE)+IF(3=D520,'难度参数'!$E$30,0))</x:f>
        <x:v>1120</x:v>
      </x:c>
      <x:c r="AJ520" s="119" t="n">
        <x:f>IF(4&gt;D520,0,MAX(2,MIN('难度参数'!$E$12,ROUND(('难度参数'!$E$18*POWER(A520,'难度参数'!$E$19)/D520*(0.85+0.3*(4-1)/MAX(1,D520-1))),0)+F520)))</x:f>
        <x:v>42</x:v>
      </x:c>
      <x:c r="AK520" s="119" t="n">
        <x:f>IF(4&gt;D520,0,ROUND(('难度参数'!$E$13*POWER(A520,'难度参数'!$E$20)*MIN('难度参数'!$E$23,1+MAX(0,A520-'难度参数'!$E$21)*'难度参数'!$E$22))*(36+4*7)/(36+7*(D520+1)/2)*E520,0))</x:f>
        <x:v>12084</x:v>
      </x:c>
      <x:c r="AL520" s="119" t="n">
        <x:f>IF(AJ520=0,0,(AJ520-IF(4=D520,1,0))*ROUND(AK520*VLOOKUP(INDEX('章节与怪物'!$E$31:$K$37,B520,4),'章节与怪物'!$A$41:$F$44,2,FALSE),0)+IF(4=D520,ROUND(AK520*'难度参数'!$E$28*'章节与怪物'!$E$17,0),0))</x:f>
        <x:v>685146</x:v>
      </x:c>
      <x:c r="AM520" s="119" t="n">
        <x:f>IF(AJ520=0,0,(AJ520-IF(4=D520,1,0))*VLOOKUP(INDEX('章节与怪物'!$E$31:$K$37,B520,4),'章节与怪物'!$A$41:$F$44,4,FALSE)+IF(4=D520,'难度参数'!$E$30,0))</x:f>
        <x:v>1428</x:v>
      </x:c>
      <x:c r="AN520" s="119" t="n">
        <x:f>IF(5&gt;D520,0,MAX(2,MIN('难度参数'!$E$12,ROUND(('难度参数'!$E$18*POWER(A520,'难度参数'!$E$19)/D520*(0.85+0.3*(5-1)/MAX(1,D520-1))),0)+F520)))</x:f>
        <x:v>44</x:v>
      </x:c>
      <x:c r="AO520" s="119" t="n">
        <x:f>IF(5&gt;D520,0,ROUND(('难度参数'!$E$13*POWER(A520,'难度参数'!$E$20)*MIN('难度参数'!$E$23,1+MAX(0,A520-'难度参数'!$E$21)*'难度参数'!$E$22))*(36+5*7)/(36+7*(D520+1)/2)*E520,0))</x:f>
        <x:v>13406</x:v>
      </x:c>
      <x:c r="AP520" s="119" t="n">
        <x:f>IF(AN520=0,0,(AN520-IF(5=D520,1,0))*ROUND(AO520*VLOOKUP(INDEX('章节与怪物'!$E$31:$K$37,B520,5),'章节与怪物'!$A$41:$F$44,2,FALSE),0)+IF(5=D520,ROUND(AO520*'难度参数'!$E$28*'章节与怪物'!$E$17,0),0))</x:f>
        <x:v>424688</x:v>
      </x:c>
      <x:c r="AQ520" s="119" t="n">
        <x:f>IF(AN520=0,0,(AN520-IF(5=D520,1,0))*VLOOKUP(INDEX('章节与怪物'!$E$31:$K$37,B520,5),'章节与怪物'!$A$41:$F$44,4,FALSE)+IF(5=D520,'难度参数'!$E$30,0))</x:f>
        <x:v>880</x:v>
      </x:c>
      <x:c r="AR520" s="119" t="n">
        <x:f>IF(6&gt;D520,0,MAX(2,MIN('难度参数'!$E$12,ROUND(('难度参数'!$E$18*POWER(A520,'难度参数'!$E$19)/D520*(0.85+0.3*(6-1)/MAX(1,D520-1))),0)+F520)))</x:f>
        <x:v>46</x:v>
      </x:c>
      <x:c r="AS520" s="119" t="n">
        <x:f>IF(6&gt;D520,0,ROUND(('难度参数'!$E$13*POWER(A520,'难度参数'!$E$20)*MIN('难度参数'!$E$23,1+MAX(0,A520-'难度参数'!$E$21)*'难度参数'!$E$22))*(36+6*7)/(36+7*(D520+1)/2)*E520,0))</x:f>
        <x:v>14728</x:v>
      </x:c>
      <x:c r="AT520" s="119" t="n">
        <x:f>IF(AR520=0,0,(AR520-IF(6=D520,1,0))*ROUND(AS520*VLOOKUP(INDEX('章节与怪物'!$E$31:$K$37,B520,6),'章节与怪物'!$A$41:$F$44,2,FALSE),0)+IF(6=D520,ROUND(AS520*'难度参数'!$E$28*'章节与怪物'!$E$17,0),0))</x:f>
        <x:v>1151748</x:v>
      </x:c>
      <x:c r="AU520" s="119" t="n">
        <x:f>IF(AR520=0,0,(AR520-IF(6=D520,1,0))*VLOOKUP(INDEX('章节与怪物'!$E$31:$K$37,B520,6),'章节与怪物'!$A$41:$F$44,4,FALSE)+IF(6=D520,'难度参数'!$E$30,0))</x:f>
        <x:v>1288</x:v>
      </x:c>
      <x:c r="AV520" s="119" t="n">
        <x:f>IF(7&gt;D520,0,MAX(2,MIN('难度参数'!$E$12,ROUND(('难度参数'!$E$18*POWER(A520,'难度参数'!$E$19)/D520*(0.85+0.3*(7-1)/MAX(1,D520-1))),0)+F520)))</x:f>
        <x:v>48</x:v>
      </x:c>
      <x:c r="AW520" s="119" t="n">
        <x:f>IF(7&gt;D520,0,ROUND(('难度参数'!$E$13*POWER(A520,'难度参数'!$E$20)*MIN('难度参数'!$E$23,1+MAX(0,A520-'难度参数'!$E$21)*'难度参数'!$E$22))*(36+7*7)/(36+7*(D520+1)/2)*E520,0))</x:f>
        <x:v>16050</x:v>
      </x:c>
      <x:c r="AX520" s="119" t="n">
        <x:f>IF(AV520=0,0,(AV520-IF(7=D520,1,0))*ROUND(AW520*VLOOKUP(INDEX('章节与怪物'!$E$31:$K$37,B520,7),'章节与怪物'!$A$41:$F$44,2,FALSE),0)+IF(7=D520,ROUND(AW520*'难度参数'!$E$28*'章节与怪物'!$E$17,0),0))</x:f>
        <x:v>1127536</x:v>
      </x:c>
      <x:c r="AY520" s="119" t="n">
        <x:f>IF(AV520=0,0,(AV520-IF(7=D520,1,0))*VLOOKUP(INDEX('章节与怪物'!$E$31:$K$37,B520,7),'章节与怪物'!$A$41:$F$44,4,FALSE)+IF(7=D520,'难度参数'!$E$30,0))</x:f>
        <x:v>1798</x:v>
      </x:c>
    </x:row>
    <x:row r="521" ht="23" customHeight="1">
      <x:c r="A521" s="119" t="n">
        <x:v>515</x:v>
      </x:c>
      <x:c r="B521" s="119" t="n">
        <x:f>MOD(INT((A521-1)/5),7)+1</x:f>
        <x:v>5</x:v>
      </x:c>
      <x:c r="C521" s="62" t="str">
        <x:f>INDEX('章节与怪物'!$B$31:$B$37,B521)</x:f>
        <x:v>雨林遗迹</x:v>
      </x:c>
      <x:c r="D521" s="119" t="n">
        <x:f>MIN('难度参数'!$E$8,MAX('难度参数'!$E$7,A521))</x:f>
        <x:v>7</x:v>
      </x:c>
      <x:c r="E521" s="106" t="n">
        <x:v>1</x:v>
      </x:c>
      <x:c r="F521" s="106" t="n">
        <x:v>0</x:v>
      </x:c>
      <x:c r="G521" s="106" t="n">
        <x:v>1</x:v>
      </x:c>
      <x:c r="H521" s="119" t="n">
        <x:f>SUM(X521,AB521,AF521,AJ521,AN521,AR521,AV521)</x:f>
        <x:v>294</x:v>
      </x:c>
      <x:c r="I521" s="119" t="n">
        <x:f>SUM(Z521,AD521,AH521,AL521,AP521,AT521,AX521)</x:f>
        <x:v>4678125</x:v>
      </x:c>
      <x:c r="J521" s="119" t="n">
        <x:f>ROUND(INDEX(X521:AY521,1,(D521-1)*4+2)*'难度参数'!$E$28*'章节与怪物'!$E$17,0)</x:f>
        <x:v>109290</x:v>
      </x:c>
      <x:c r="K521" s="119" t="n">
        <x:f>SUM(AA521,AE521,AI521,AM521,AQ521,AU521,AY521)</x:f>
        <x:v>7922</x:v>
      </x:c>
      <x:c r="L521" s="62" t="n">
        <x:f>H521*(ROUNDUP('难度参数'!$E$24/('难度参数'!$E$26*'难度参数'!$E$27),0)*'难度参数'!$E$26)/60</x:f>
        <x:v>3.9200000000000004</x:v>
      </x:c>
      <x:c r="M521" s="62" t="n">
        <x:f>L521+D521*('难度参数'!$E$49+'难度参数'!$E$50)/60</x:f>
        <x:v>5.086666666666667</x:v>
      </x:c>
      <x:c r="N521" s="119" t="n">
        <x:f>ROUNDDOWN(('经济参数'!$E$20+A521*'经济参数'!$E$21)*G521,0)</x:f>
        <x:v>10480</x:v>
      </x:c>
      <x:c r="O521" s="119" t="n">
        <x:f>ROUNDDOWN(MIN('经济参数'!$E$24,'经济参数'!$E$22+A521*'经济参数'!$E$23)*G521,0)</x:f>
        <x:v>0</x:v>
      </x:c>
      <x:c r="P521" s="119" t="n">
        <x:f>ROUNDDOWN((IF(A521&gt;='材料与任务'!$E$31,'材料与任务'!$E$32,IF(A521&gt;='材料与任务'!$E$25,'材料与任务'!$E$26,IF(A521&gt;='材料与任务'!$E$19,'材料与任务'!$E$20,IF(A521&gt;='材料与任务'!$E$13,'材料与任务'!$E$14,'材料与任务'!$E$8)))))*G521,0)</x:f>
        <x:v>6</x:v>
      </x:c>
      <x:c r="Q521" s="119" t="n">
        <x:f>ROUNDDOWN((IF(A521&gt;='材料与任务'!$E$31,'材料与任务'!$E$33,IF(A521&gt;='材料与任务'!$E$25,'材料与任务'!$E$27,IF(A521&gt;='材料与任务'!$E$19,'材料与任务'!$E$21,IF(A521&gt;='材料与任务'!$E$13,'材料与任务'!$E$15,'材料与任务'!$E$9)))))*G521,0)</x:f>
        <x:v>3</x:v>
      </x:c>
      <x:c r="R521" s="110" t="n">
        <x:f>'装备掉落'!$B$38</x:f>
        <x:v>0.6872058758851213</x:v>
      </x:c>
      <x:c r="S521" s="119" t="n">
        <x:f>MAX(IF(VLOOKUP(A521,'装备掉落'!$A$29:$H$34,2,TRUE)&gt;0,1,0),IF(VLOOKUP(A521,'装备掉落'!$A$29:$H$34,3,TRUE)&gt;0,2,0),IF(VLOOKUP(A521,'装备掉落'!$A$29:$H$34,4,TRUE)&gt;0,3,0),IF(VLOOKUP(A521,'装备掉落'!$A$29:$H$34,5,TRUE)&gt;0,4,0),IF(VLOOKUP(A521,'装备掉落'!$A$29:$H$34,6,TRUE)&gt;0,5,0),IF(VLOOKUP(A521,'装备掉落'!$A$29:$H$34,7,TRUE)&gt;0,6,0),IF(VLOOKUP(A521,'装备掉落'!$A$29:$H$34,8,TRUE)&gt;0,7,0))</x:f>
        <x:v>7</x:v>
      </x:c>
      <x:c r="T521" s="119" t="n">
        <x:f>MIN(7,S521+'经济参数'!$E$70)</x:f>
        <x:v>7</x:v>
      </x:c>
      <x:c r="U521" s="119" t="n">
        <x:f>MIN(7,S521+'经济参数'!$E$71)</x:f>
        <x:v>7</x:v>
      </x:c>
      <x:c r="V521" s="119" t="n">
        <x:f>IF(H521&gt;=('难度参数'!$E$52),1,0)+IF(H521&gt;=('难度参数'!$E$52+'难度参数'!$E$53),1,0)+IF(H521&gt;=('难度参数'!$E$52+'难度参数'!$E$53+'难度参数'!$E$54),1,0)+IF(H521&gt;=('难度参数'!$E$52+'难度参数'!$E$53+'难度参数'!$E$54+'难度参数'!$E$55),1,0)+IF(H521&gt;=('难度参数'!$E$52+'难度参数'!$E$53+'难度参数'!$E$54+'难度参数'!$E$55+'难度参数'!$E$56),1,0)+IF(H521&gt;=('难度参数'!$E$52+'难度参数'!$E$53+'难度参数'!$E$54+'难度参数'!$E$55+'难度参数'!$E$56+'难度参数'!$E$57),1,0)</x:f>
        <x:v>6</x:v>
      </x:c>
      <x:c r="W521" s="62" t="str">
        <x:f>IF(L521&gt;'难度参数'!$E$51,"仅出怪已超目标","还需实测")</x:f>
        <x:v>仅出怪已超目标</x:v>
      </x:c>
      <x:c r="X521" s="119" t="n">
        <x:f>IF(1&gt;D521,0,MAX(2,MIN('难度参数'!$E$12,ROUND(('难度参数'!$E$18*POWER(A521,'难度参数'!$E$19)/D521*(0.85+0.3*(1-1)/MAX(1,D521-1))),0)+F521)))</x:f>
        <x:v>36</x:v>
      </x:c>
      <x:c r="Y521" s="119" t="n">
        <x:f>IF(1&gt;D521,0,ROUND(('难度参数'!$E$13*POWER(A521,'难度参数'!$E$20)*MIN('难度参数'!$E$23,1+MAX(0,A521-'难度参数'!$E$21)*'难度参数'!$E$22))*(36+1*7)/(36+7*(D521+1)/2)*E521,0))</x:f>
        <x:v>8131</x:v>
      </x:c>
      <x:c r="Z521" s="119" t="n">
        <x:f>IF(X521=0,0,(X521-IF(1=D521,1,0))*ROUND(Y521*VLOOKUP(INDEX('章节与怪物'!$E$31:$K$37,B521,1),'章节与怪物'!$A$41:$F$44,2,FALSE),0)+IF(1=D521,ROUND(Y521*'难度参数'!$E$28*'章节与怪物'!$E$17,0),0))</x:f>
        <x:v>292716</x:v>
      </x:c>
      <x:c r="AA521" s="119" t="n">
        <x:f>IF(X521=0,0,(X521-IF(1=D521,1,0))*VLOOKUP(INDEX('章节与怪物'!$E$31:$K$37,B521,1),'章节与怪物'!$A$41:$F$44,4,FALSE)+IF(1=D521,'难度参数'!$E$30,0))</x:f>
        <x:v>648</x:v>
      </x:c>
      <x:c r="AB521" s="119" t="n">
        <x:f>IF(2&gt;D521,0,MAX(2,MIN('难度参数'!$E$12,ROUND(('难度参数'!$E$18*POWER(A521,'难度参数'!$E$19)/D521*(0.85+0.3*(2-1)/MAX(1,D521-1))),0)+F521)))</x:f>
        <x:v>38</x:v>
      </x:c>
      <x:c r="AC521" s="119" t="n">
        <x:f>IF(2&gt;D521,0,ROUND(('难度参数'!$E$13*POWER(A521,'难度参数'!$E$20)*MIN('难度参数'!$E$23,1+MAX(0,A521-'难度参数'!$E$21)*'难度参数'!$E$22))*(36+2*7)/(36+7*(D521+1)/2)*E521,0))</x:f>
        <x:v>9454</x:v>
      </x:c>
      <x:c r="AD521" s="119" t="n">
        <x:f>IF(AB521=0,0,(AB521-IF(2=D521,1,0))*ROUND(AC521*VLOOKUP(INDEX('章节与怪物'!$E$31:$K$37,B521,2),'章节与怪物'!$A$41:$F$44,2,FALSE),0)+IF(2=D521,ROUND(AC521*'难度参数'!$E$28*'章节与怪物'!$E$17,0),0))</x:f>
        <x:v>258666</x:v>
      </x:c>
      <x:c r="AE521" s="119" t="n">
        <x:f>IF(AB521=0,0,(AB521-IF(2=D521,1,0))*VLOOKUP(INDEX('章节与怪物'!$E$31:$K$37,B521,2),'章节与怪物'!$A$41:$F$44,4,FALSE)+IF(2=D521,'难度参数'!$E$30,0))</x:f>
        <x:v>760</x:v>
      </x:c>
      <x:c r="AF521" s="119" t="n">
        <x:f>IF(3&gt;D521,0,MAX(2,MIN('难度参数'!$E$12,ROUND(('难度参数'!$E$18*POWER(A521,'难度参数'!$E$19)/D521*(0.85+0.3*(3-1)/MAX(1,D521-1))),0)+F521)))</x:f>
        <x:v>40</x:v>
      </x:c>
      <x:c r="AG521" s="119" t="n">
        <x:f>IF(3&gt;D521,0,ROUND(('难度参数'!$E$13*POWER(A521,'难度参数'!$E$20)*MIN('难度参数'!$E$23,1+MAX(0,A521-'难度参数'!$E$21)*'难度参数'!$E$22))*(36+3*7)/(36+7*(D521+1)/2)*E521,0))</x:f>
        <x:v>10778</x:v>
      </x:c>
      <x:c r="AH521" s="119" t="n">
        <x:f>IF(AF521=0,0,(AF521-IF(3=D521,1,0))*ROUND(AG521*VLOOKUP(INDEX('章节与怪物'!$E$31:$K$37,B521,3),'章节与怪物'!$A$41:$F$44,2,FALSE),0)+IF(3=D521,ROUND(AG521*'难度参数'!$E$28*'章节与怪物'!$E$17,0),0))</x:f>
        <x:v>732920</x:v>
      </x:c>
      <x:c r="AI521" s="119" t="n">
        <x:f>IF(AF521=0,0,(AF521-IF(3=D521,1,0))*VLOOKUP(INDEX('章节与怪物'!$E$31:$K$37,B521,3),'章节与怪物'!$A$41:$F$44,4,FALSE)+IF(3=D521,'难度参数'!$E$30,0))</x:f>
        <x:v>1120</x:v>
      </x:c>
      <x:c r="AJ521" s="119" t="n">
        <x:f>IF(4&gt;D521,0,MAX(2,MIN('难度参数'!$E$12,ROUND(('难度参数'!$E$18*POWER(A521,'难度参数'!$E$19)/D521*(0.85+0.3*(4-1)/MAX(1,D521-1))),0)+F521)))</x:f>
        <x:v>42</x:v>
      </x:c>
      <x:c r="AK521" s="119" t="n">
        <x:f>IF(4&gt;D521,0,ROUND(('难度参数'!$E$13*POWER(A521,'难度参数'!$E$20)*MIN('难度参数'!$E$23,1+MAX(0,A521-'难度参数'!$E$21)*'难度参数'!$E$22))*(36+4*7)/(36+7*(D521+1)/2)*E521,0))</x:f>
        <x:v>12101</x:v>
      </x:c>
      <x:c r="AL521" s="119" t="n">
        <x:f>IF(AJ521=0,0,(AJ521-IF(4=D521,1,0))*ROUND(AK521*VLOOKUP(INDEX('章节与怪物'!$E$31:$K$37,B521,4),'章节与怪物'!$A$41:$F$44,2,FALSE),0)+IF(4=D521,ROUND(AK521*'难度参数'!$E$28*'章节与怪物'!$E$17,0),0))</x:f>
        <x:v>686112</x:v>
      </x:c>
      <x:c r="AM521" s="119" t="n">
        <x:f>IF(AJ521=0,0,(AJ521-IF(4=D521,1,0))*VLOOKUP(INDEX('章节与怪物'!$E$31:$K$37,B521,4),'章节与怪物'!$A$41:$F$44,4,FALSE)+IF(4=D521,'难度参数'!$E$30,0))</x:f>
        <x:v>1428</x:v>
      </x:c>
      <x:c r="AN521" s="119" t="n">
        <x:f>IF(5&gt;D521,0,MAX(2,MIN('难度参数'!$E$12,ROUND(('难度参数'!$E$18*POWER(A521,'难度参数'!$E$19)/D521*(0.85+0.3*(5-1)/MAX(1,D521-1))),0)+F521)))</x:f>
        <x:v>44</x:v>
      </x:c>
      <x:c r="AO521" s="119" t="n">
        <x:f>IF(5&gt;D521,0,ROUND(('难度参数'!$E$13*POWER(A521,'难度参数'!$E$20)*MIN('难度参数'!$E$23,1+MAX(0,A521-'难度参数'!$E$21)*'难度参数'!$E$22))*(36+5*7)/(36+7*(D521+1)/2)*E521,0))</x:f>
        <x:v>13425</x:v>
      </x:c>
      <x:c r="AP521" s="119" t="n">
        <x:f>IF(AN521=0,0,(AN521-IF(5=D521,1,0))*ROUND(AO521*VLOOKUP(INDEX('章节与怪物'!$E$31:$K$37,B521,5),'章节与怪物'!$A$41:$F$44,2,FALSE),0)+IF(5=D521,ROUND(AO521*'难度参数'!$E$28*'章节与怪物'!$E$17,0),0))</x:f>
        <x:v>425304</x:v>
      </x:c>
      <x:c r="AQ521" s="119" t="n">
        <x:f>IF(AN521=0,0,(AN521-IF(5=D521,1,0))*VLOOKUP(INDEX('章节与怪物'!$E$31:$K$37,B521,5),'章节与怪物'!$A$41:$F$44,4,FALSE)+IF(5=D521,'难度参数'!$E$30,0))</x:f>
        <x:v>880</x:v>
      </x:c>
      <x:c r="AR521" s="119" t="n">
        <x:f>IF(6&gt;D521,0,MAX(2,MIN('难度参数'!$E$12,ROUND(('难度参数'!$E$18*POWER(A521,'难度参数'!$E$19)/D521*(0.85+0.3*(6-1)/MAX(1,D521-1))),0)+F521)))</x:f>
        <x:v>46</x:v>
      </x:c>
      <x:c r="AS521" s="119" t="n">
        <x:f>IF(6&gt;D521,0,ROUND(('难度参数'!$E$13*POWER(A521,'难度参数'!$E$20)*MIN('难度参数'!$E$23,1+MAX(0,A521-'难度参数'!$E$21)*'难度参数'!$E$22))*(36+6*7)/(36+7*(D521+1)/2)*E521,0))</x:f>
        <x:v>14749</x:v>
      </x:c>
      <x:c r="AT521" s="119" t="n">
        <x:f>IF(AR521=0,0,(AR521-IF(6=D521,1,0))*ROUND(AS521*VLOOKUP(INDEX('章节与怪物'!$E$31:$K$37,B521,6),'章节与怪物'!$A$41:$F$44,2,FALSE),0)+IF(6=D521,ROUND(AS521*'难度参数'!$E$28*'章节与怪物'!$E$17,0),0))</x:f>
        <x:v>1153358</x:v>
      </x:c>
      <x:c r="AU521" s="119" t="n">
        <x:f>IF(AR521=0,0,(AR521-IF(6=D521,1,0))*VLOOKUP(INDEX('章节与怪物'!$E$31:$K$37,B521,6),'章节与怪物'!$A$41:$F$44,4,FALSE)+IF(6=D521,'难度参数'!$E$30,0))</x:f>
        <x:v>1288</x:v>
      </x:c>
      <x:c r="AV521" s="119" t="n">
        <x:f>IF(7&gt;D521,0,MAX(2,MIN('难度参数'!$E$12,ROUND(('难度参数'!$E$18*POWER(A521,'难度参数'!$E$19)/D521*(0.85+0.3*(7-1)/MAX(1,D521-1))),0)+F521)))</x:f>
        <x:v>48</x:v>
      </x:c>
      <x:c r="AW521" s="119" t="n">
        <x:f>IF(7&gt;D521,0,ROUND(('难度参数'!$E$13*POWER(A521,'难度参数'!$E$20)*MIN('难度参数'!$E$23,1+MAX(0,A521-'难度参数'!$E$21)*'难度参数'!$E$22))*(36+7*7)/(36+7*(D521+1)/2)*E521,0))</x:f>
        <x:v>16072</x:v>
      </x:c>
      <x:c r="AX521" s="119" t="n">
        <x:f>IF(AV521=0,0,(AV521-IF(7=D521,1,0))*ROUND(AW521*VLOOKUP(INDEX('章节与怪物'!$E$31:$K$37,B521,7),'章节与怪物'!$A$41:$F$44,2,FALSE),0)+IF(7=D521,ROUND(AW521*'难度参数'!$E$28*'章节与怪物'!$E$17,0),0))</x:f>
        <x:v>1129049</x:v>
      </x:c>
      <x:c r="AY521" s="119" t="n">
        <x:f>IF(AV521=0,0,(AV521-IF(7=D521,1,0))*VLOOKUP(INDEX('章节与怪物'!$E$31:$K$37,B521,7),'章节与怪物'!$A$41:$F$44,4,FALSE)+IF(7=D521,'难度参数'!$E$30,0))</x:f>
        <x:v>1798</x:v>
      </x:c>
    </x:row>
    <x:row r="522" ht="23" customHeight="1">
      <x:c r="A522" s="119" t="n">
        <x:v>516</x:v>
      </x:c>
      <x:c r="B522" s="119" t="n">
        <x:f>MOD(INT((A522-1)/5),7)+1</x:f>
        <x:v>6</x:v>
      </x:c>
      <x:c r="C522" s="62" t="str">
        <x:f>INDEX('章节与怪物'!$B$31:$B$37,B522)</x:f>
        <x:v>熔岩山脉</x:v>
      </x:c>
      <x:c r="D522" s="119" t="n">
        <x:f>MIN('难度参数'!$E$8,MAX('难度参数'!$E$7,A522))</x:f>
        <x:v>7</x:v>
      </x:c>
      <x:c r="E522" s="106" t="n">
        <x:v>1</x:v>
      </x:c>
      <x:c r="F522" s="106" t="n">
        <x:v>0</x:v>
      </x:c>
      <x:c r="G522" s="106" t="n">
        <x:v>1</x:v>
      </x:c>
      <x:c r="H522" s="119" t="n">
        <x:f>SUM(X522,AB522,AF522,AJ522,AN522,AR522,AV522)</x:f>
        <x:v>294</x:v>
      </x:c>
      <x:c r="I522" s="119" t="n">
        <x:f>SUM(Z522,AD522,AH522,AL522,AP522,AT522,AX522)</x:f>
        <x:v>4868896</x:v>
      </x:c>
      <x:c r="J522" s="119" t="n">
        <x:f>ROUND(INDEX(X522:AY522,1,(D522-1)*4+2)*'难度参数'!$E$28*'章节与怪物'!$E$17,0)</x:f>
        <x:v>109446</x:v>
      </x:c>
      <x:c r="K522" s="119" t="n">
        <x:f>SUM(AA522,AE522,AI522,AM522,AQ522,AU522,AY522)</x:f>
        <x:v>7830</x:v>
      </x:c>
      <x:c r="L522" s="62" t="n">
        <x:f>H522*(ROUNDUP('难度参数'!$E$24/('难度参数'!$E$26*'难度参数'!$E$27),0)*'难度参数'!$E$26)/60</x:f>
        <x:v>3.9200000000000004</x:v>
      </x:c>
      <x:c r="M522" s="62" t="n">
        <x:f>L522+D522*('难度参数'!$E$49+'难度参数'!$E$50)/60</x:f>
        <x:v>5.086666666666667</x:v>
      </x:c>
      <x:c r="N522" s="119" t="n">
        <x:f>ROUNDDOWN(('经济参数'!$E$20+A522*'经济参数'!$E$21)*G522,0)</x:f>
        <x:v>10500</x:v>
      </x:c>
      <x:c r="O522" s="119" t="n">
        <x:f>ROUNDDOWN(MIN('经济参数'!$E$24,'经济参数'!$E$22+A522*'经济参数'!$E$23)*G522,0)</x:f>
        <x:v>0</x:v>
      </x:c>
      <x:c r="P522" s="119" t="n">
        <x:f>ROUNDDOWN((IF(A522&gt;='材料与任务'!$E$31,'材料与任务'!$E$32,IF(A522&gt;='材料与任务'!$E$25,'材料与任务'!$E$26,IF(A522&gt;='材料与任务'!$E$19,'材料与任务'!$E$20,IF(A522&gt;='材料与任务'!$E$13,'材料与任务'!$E$14,'材料与任务'!$E$8)))))*G522,0)</x:f>
        <x:v>6</x:v>
      </x:c>
      <x:c r="Q522" s="119" t="n">
        <x:f>ROUNDDOWN((IF(A522&gt;='材料与任务'!$E$31,'材料与任务'!$E$33,IF(A522&gt;='材料与任务'!$E$25,'材料与任务'!$E$27,IF(A522&gt;='材料与任务'!$E$19,'材料与任务'!$E$21,IF(A522&gt;='材料与任务'!$E$13,'材料与任务'!$E$15,'材料与任务'!$E$9)))))*G522,0)</x:f>
        <x:v>3</x:v>
      </x:c>
      <x:c r="R522" s="110" t="n">
        <x:f>'装备掉落'!$B$38</x:f>
        <x:v>0.6872058758851213</x:v>
      </x:c>
      <x:c r="S522" s="119" t="n">
        <x:f>MAX(IF(VLOOKUP(A522,'装备掉落'!$A$29:$H$34,2,TRUE)&gt;0,1,0),IF(VLOOKUP(A522,'装备掉落'!$A$29:$H$34,3,TRUE)&gt;0,2,0),IF(VLOOKUP(A522,'装备掉落'!$A$29:$H$34,4,TRUE)&gt;0,3,0),IF(VLOOKUP(A522,'装备掉落'!$A$29:$H$34,5,TRUE)&gt;0,4,0),IF(VLOOKUP(A522,'装备掉落'!$A$29:$H$34,6,TRUE)&gt;0,5,0),IF(VLOOKUP(A522,'装备掉落'!$A$29:$H$34,7,TRUE)&gt;0,6,0),IF(VLOOKUP(A522,'装备掉落'!$A$29:$H$34,8,TRUE)&gt;0,7,0))</x:f>
        <x:v>7</x:v>
      </x:c>
      <x:c r="T522" s="119" t="n">
        <x:f>MIN(7,S522+'经济参数'!$E$70)</x:f>
        <x:v>7</x:v>
      </x:c>
      <x:c r="U522" s="119" t="n">
        <x:f>MIN(7,S522+'经济参数'!$E$71)</x:f>
        <x:v>7</x:v>
      </x:c>
      <x:c r="V522" s="119" t="n">
        <x:f>IF(H522&gt;=('难度参数'!$E$52),1,0)+IF(H522&gt;=('难度参数'!$E$52+'难度参数'!$E$53),1,0)+IF(H522&gt;=('难度参数'!$E$52+'难度参数'!$E$53+'难度参数'!$E$54),1,0)+IF(H522&gt;=('难度参数'!$E$52+'难度参数'!$E$53+'难度参数'!$E$54+'难度参数'!$E$55),1,0)+IF(H522&gt;=('难度参数'!$E$52+'难度参数'!$E$53+'难度参数'!$E$54+'难度参数'!$E$55+'难度参数'!$E$56),1,0)+IF(H522&gt;=('难度参数'!$E$52+'难度参数'!$E$53+'难度参数'!$E$54+'难度参数'!$E$55+'难度参数'!$E$56+'难度参数'!$E$57),1,0)</x:f>
        <x:v>6</x:v>
      </x:c>
      <x:c r="W522" s="62" t="str">
        <x:f>IF(L522&gt;'难度参数'!$E$51,"仅出怪已超目标","还需实测")</x:f>
        <x:v>仅出怪已超目标</x:v>
      </x:c>
      <x:c r="X522" s="119" t="n">
        <x:f>IF(1&gt;D522,0,MAX(2,MIN('难度参数'!$E$12,ROUND(('难度参数'!$E$18*POWER(A522,'难度参数'!$E$19)/D522*(0.85+0.3*(1-1)/MAX(1,D522-1))),0)+F522)))</x:f>
        <x:v>36</x:v>
      </x:c>
      <x:c r="Y522" s="119" t="n">
        <x:f>IF(1&gt;D522,0,ROUND(('难度参数'!$E$13*POWER(A522,'难度参数'!$E$20)*MIN('难度参数'!$E$23,1+MAX(0,A522-'难度参数'!$E$21)*'难度参数'!$E$22))*(36+1*7)/(36+7*(D522+1)/2)*E522,0))</x:f>
        <x:v>8142</x:v>
      </x:c>
      <x:c r="Z522" s="119" t="n">
        <x:f>IF(X522=0,0,(X522-IF(1=D522,1,0))*ROUND(Y522*VLOOKUP(INDEX('章节与怪物'!$E$31:$K$37,B522,1),'章节与怪物'!$A$41:$F$44,2,FALSE),0)+IF(1=D522,ROUND(Y522*'难度参数'!$E$28*'章节与怪物'!$E$17,0),0))</x:f>
        <x:v>211032</x:v>
      </x:c>
      <x:c r="AA522" s="119" t="n">
        <x:f>IF(X522=0,0,(X522-IF(1=D522,1,0))*VLOOKUP(INDEX('章节与怪物'!$E$31:$K$37,B522,1),'章节与怪物'!$A$41:$F$44,4,FALSE)+IF(1=D522,'难度参数'!$E$30,0))</x:f>
        <x:v>720</x:v>
      </x:c>
      <x:c r="AB522" s="119" t="n">
        <x:f>IF(2&gt;D522,0,MAX(2,MIN('难度参数'!$E$12,ROUND(('难度参数'!$E$18*POWER(A522,'难度参数'!$E$19)/D522*(0.85+0.3*(2-1)/MAX(1,D522-1))),0)+F522)))</x:f>
        <x:v>38</x:v>
      </x:c>
      <x:c r="AC522" s="119" t="n">
        <x:f>IF(2&gt;D522,0,ROUND(('难度参数'!$E$13*POWER(A522,'难度参数'!$E$20)*MIN('难度参数'!$E$23,1+MAX(0,A522-'难度参数'!$E$21)*'难度参数'!$E$22))*(36+2*7)/(36+7*(D522+1)/2)*E522,0))</x:f>
        <x:v>9467</x:v>
      </x:c>
      <x:c r="AD522" s="119" t="n">
        <x:f>IF(AB522=0,0,(AB522-IF(2=D522,1,0))*ROUND(AC522*VLOOKUP(INDEX('章节与怪物'!$E$31:$K$37,B522,2),'章节与怪物'!$A$41:$F$44,2,FALSE),0)+IF(2=D522,ROUND(AC522*'难度参数'!$E$28*'章节与怪物'!$E$17,0),0))</x:f>
        <x:v>359746</x:v>
      </x:c>
      <x:c r="AE522" s="119" t="n">
        <x:f>IF(AB522=0,0,(AB522-IF(2=D522,1,0))*VLOOKUP(INDEX('章节与怪物'!$E$31:$K$37,B522,2),'章节与怪物'!$A$41:$F$44,4,FALSE)+IF(2=D522,'难度参数'!$E$30,0))</x:f>
        <x:v>684</x:v>
      </x:c>
      <x:c r="AF522" s="119" t="n">
        <x:f>IF(3&gt;D522,0,MAX(2,MIN('难度参数'!$E$12,ROUND(('难度参数'!$E$18*POWER(A522,'难度参数'!$E$19)/D522*(0.85+0.3*(3-1)/MAX(1,D522-1))),0)+F522)))</x:f>
        <x:v>40</x:v>
      </x:c>
      <x:c r="AG522" s="119" t="n">
        <x:f>IF(3&gt;D522,0,ROUND(('难度参数'!$E$13*POWER(A522,'难度参数'!$E$20)*MIN('难度参数'!$E$23,1+MAX(0,A522-'难度参数'!$E$21)*'难度参数'!$E$22))*(36+3*7)/(36+7*(D522+1)/2)*E522,0))</x:f>
        <x:v>10793</x:v>
      </x:c>
      <x:c r="AH522" s="119" t="n">
        <x:f>IF(AF522=0,0,(AF522-IF(3=D522,1,0))*ROUND(AG522*VLOOKUP(INDEX('章节与怪物'!$E$31:$K$37,B522,3),'章节与怪物'!$A$41:$F$44,2,FALSE),0)+IF(3=D522,ROUND(AG522*'难度参数'!$E$28*'章节与怪物'!$E$17,0),0))</x:f>
        <x:v>733920</x:v>
      </x:c>
      <x:c r="AI522" s="119" t="n">
        <x:f>IF(AF522=0,0,(AF522-IF(3=D522,1,0))*VLOOKUP(INDEX('章节与怪物'!$E$31:$K$37,B522,3),'章节与怪物'!$A$41:$F$44,4,FALSE)+IF(3=D522,'难度参数'!$E$30,0))</x:f>
        <x:v>1120</x:v>
      </x:c>
      <x:c r="AJ522" s="119" t="n">
        <x:f>IF(4&gt;D522,0,MAX(2,MIN('难度参数'!$E$12,ROUND(('难度参数'!$E$18*POWER(A522,'难度参数'!$E$19)/D522*(0.85+0.3*(4-1)/MAX(1,D522-1))),0)+F522)))</x:f>
        <x:v>42</x:v>
      </x:c>
      <x:c r="AK522" s="119" t="n">
        <x:f>IF(4&gt;D522,0,ROUND(('难度参数'!$E$13*POWER(A522,'难度参数'!$E$20)*MIN('难度参数'!$E$23,1+MAX(0,A522-'难度参数'!$E$21)*'难度参数'!$E$22))*(36+4*7)/(36+7*(D522+1)/2)*E522,0))</x:f>
        <x:v>12118</x:v>
      </x:c>
      <x:c r="AL522" s="119" t="n">
        <x:f>IF(AJ522=0,0,(AJ522-IF(4=D522,1,0))*ROUND(AK522*VLOOKUP(INDEX('章节与怪物'!$E$31:$K$37,B522,4),'章节与怪物'!$A$41:$F$44,2,FALSE),0)+IF(4=D522,ROUND(AK522*'难度参数'!$E$28*'章节与怪物'!$E$17,0),0))</x:f>
        <x:v>687078</x:v>
      </x:c>
      <x:c r="AM522" s="119" t="n">
        <x:f>IF(AJ522=0,0,(AJ522-IF(4=D522,1,0))*VLOOKUP(INDEX('章节与怪物'!$E$31:$K$37,B522,4),'章节与怪物'!$A$41:$F$44,4,FALSE)+IF(4=D522,'难度参数'!$E$30,0))</x:f>
        <x:v>1428</x:v>
      </x:c>
      <x:c r="AN522" s="119" t="n">
        <x:f>IF(5&gt;D522,0,MAX(2,MIN('难度参数'!$E$12,ROUND(('难度参数'!$E$18*POWER(A522,'难度参数'!$E$19)/D522*(0.85+0.3*(5-1)/MAX(1,D522-1))),0)+F522)))</x:f>
        <x:v>44</x:v>
      </x:c>
      <x:c r="AO522" s="119" t="n">
        <x:f>IF(5&gt;D522,0,ROUND(('难度参数'!$E$13*POWER(A522,'难度参数'!$E$20)*MIN('难度参数'!$E$23,1+MAX(0,A522-'难度参数'!$E$21)*'难度参数'!$E$22))*(36+5*7)/(36+7*(D522+1)/2)*E522,0))</x:f>
        <x:v>13444</x:v>
      </x:c>
      <x:c r="AP522" s="119" t="n">
        <x:f>IF(AN522=0,0,(AN522-IF(5=D522,1,0))*ROUND(AO522*VLOOKUP(INDEX('章节与怪物'!$E$31:$K$37,B522,5),'章节与怪物'!$A$41:$F$44,2,FALSE),0)+IF(5=D522,ROUND(AO522*'难度参数'!$E$28*'章节与怪物'!$E$17,0),0))</x:f>
        <x:v>591536</x:v>
      </x:c>
      <x:c r="AQ522" s="119" t="n">
        <x:f>IF(AN522=0,0,(AN522-IF(5=D522,1,0))*VLOOKUP(INDEX('章节与怪物'!$E$31:$K$37,B522,5),'章节与怪物'!$A$41:$F$44,4,FALSE)+IF(5=D522,'难度参数'!$E$30,0))</x:f>
        <x:v>792</x:v>
      </x:c>
      <x:c r="AR522" s="119" t="n">
        <x:f>IF(6&gt;D522,0,MAX(2,MIN('难度参数'!$E$12,ROUND(('难度参数'!$E$18*POWER(A522,'难度参数'!$E$19)/D522*(0.85+0.3*(6-1)/MAX(1,D522-1))),0)+F522)))</x:f>
        <x:v>46</x:v>
      </x:c>
      <x:c r="AS522" s="119" t="n">
        <x:f>IF(6&gt;D522,0,ROUND(('难度参数'!$E$13*POWER(A522,'难度参数'!$E$20)*MIN('难度参数'!$E$23,1+MAX(0,A522-'难度参数'!$E$21)*'难度参数'!$E$22))*(36+6*7)/(36+7*(D522+1)/2)*E522,0))</x:f>
        <x:v>14769</x:v>
      </x:c>
      <x:c r="AT522" s="119" t="n">
        <x:f>IF(AR522=0,0,(AR522-IF(6=D522,1,0))*ROUND(AS522*VLOOKUP(INDEX('章节与怪物'!$E$31:$K$37,B522,6),'章节与怪物'!$A$41:$F$44,2,FALSE),0)+IF(6=D522,ROUND(AS522*'难度参数'!$E$28*'章节与怪物'!$E$17,0),0))</x:f>
        <x:v>1154922</x:v>
      </x:c>
      <x:c r="AU522" s="119" t="n">
        <x:f>IF(AR522=0,0,(AR522-IF(6=D522,1,0))*VLOOKUP(INDEX('章节与怪物'!$E$31:$K$37,B522,6),'章节与怪物'!$A$41:$F$44,4,FALSE)+IF(6=D522,'难度参数'!$E$30,0))</x:f>
        <x:v>1288</x:v>
      </x:c>
      <x:c r="AV522" s="119" t="n">
        <x:f>IF(7&gt;D522,0,MAX(2,MIN('难度参数'!$E$12,ROUND(('难度参数'!$E$18*POWER(A522,'难度参数'!$E$19)/D522*(0.85+0.3*(7-1)/MAX(1,D522-1))),0)+F522)))</x:f>
        <x:v>48</x:v>
      </x:c>
      <x:c r="AW522" s="119" t="n">
        <x:f>IF(7&gt;D522,0,ROUND(('难度参数'!$E$13*POWER(A522,'难度参数'!$E$20)*MIN('难度参数'!$E$23,1+MAX(0,A522-'难度参数'!$E$21)*'难度参数'!$E$22))*(36+7*7)/(36+7*(D522+1)/2)*E522,0))</x:f>
        <x:v>16095</x:v>
      </x:c>
      <x:c r="AX522" s="119" t="n">
        <x:f>IF(AV522=0,0,(AV522-IF(7=D522,1,0))*ROUND(AW522*VLOOKUP(INDEX('章节与怪物'!$E$31:$K$37,B522,7),'章节与怪物'!$A$41:$F$44,2,FALSE),0)+IF(7=D522,ROUND(AW522*'难度参数'!$E$28*'章节与怪物'!$E$17,0),0))</x:f>
        <x:v>1130662</x:v>
      </x:c>
      <x:c r="AY522" s="119" t="n">
        <x:f>IF(AV522=0,0,(AV522-IF(7=D522,1,0))*VLOOKUP(INDEX('章节与怪物'!$E$31:$K$37,B522,7),'章节与怪物'!$A$41:$F$44,4,FALSE)+IF(7=D522,'难度参数'!$E$30,0))</x:f>
        <x:v>1798</x:v>
      </x:c>
    </x:row>
    <x:row r="523" ht="23" customHeight="1">
      <x:c r="A523" s="119" t="n">
        <x:v>517</x:v>
      </x:c>
      <x:c r="B523" s="119" t="n">
        <x:f>MOD(INT((A523-1)/5),7)+1</x:f>
        <x:v>6</x:v>
      </x:c>
      <x:c r="C523" s="62" t="str">
        <x:f>INDEX('章节与怪物'!$B$31:$B$37,B523)</x:f>
        <x:v>熔岩山脉</x:v>
      </x:c>
      <x:c r="D523" s="119" t="n">
        <x:f>MIN('难度参数'!$E$8,MAX('难度参数'!$E$7,A523))</x:f>
        <x:v>7</x:v>
      </x:c>
      <x:c r="E523" s="106" t="n">
        <x:v>1</x:v>
      </x:c>
      <x:c r="F523" s="106" t="n">
        <x:v>0</x:v>
      </x:c>
      <x:c r="G523" s="106" t="n">
        <x:v>1</x:v>
      </x:c>
      <x:c r="H523" s="119" t="n">
        <x:f>SUM(X523,AB523,AF523,AJ523,AN523,AR523,AV523)</x:f>
        <x:v>294</x:v>
      </x:c>
      <x:c r="I523" s="119" t="n">
        <x:f>SUM(Z523,AD523,AH523,AL523,AP523,AT523,AX523)</x:f>
        <x:v>4875730</x:v>
      </x:c>
      <x:c r="J523" s="119" t="n">
        <x:f>ROUND(INDEX(X523:AY523,1,(D523-1)*4+2)*'难度参数'!$E$28*'章节与怪物'!$E$17,0)</x:f>
        <x:v>109596</x:v>
      </x:c>
      <x:c r="K523" s="119" t="n">
        <x:f>SUM(AA523,AE523,AI523,AM523,AQ523,AU523,AY523)</x:f>
        <x:v>7830</x:v>
      </x:c>
      <x:c r="L523" s="62" t="n">
        <x:f>H523*(ROUNDUP('难度参数'!$E$24/('难度参数'!$E$26*'难度参数'!$E$27),0)*'难度参数'!$E$26)/60</x:f>
        <x:v>3.9200000000000004</x:v>
      </x:c>
      <x:c r="M523" s="62" t="n">
        <x:f>L523+D523*('难度参数'!$E$49+'难度参数'!$E$50)/60</x:f>
        <x:v>5.086666666666667</x:v>
      </x:c>
      <x:c r="N523" s="119" t="n">
        <x:f>ROUNDDOWN(('经济参数'!$E$20+A523*'经济参数'!$E$21)*G523,0)</x:f>
        <x:v>10520</x:v>
      </x:c>
      <x:c r="O523" s="119" t="n">
        <x:f>ROUNDDOWN(MIN('经济参数'!$E$24,'经济参数'!$E$22+A523*'经济参数'!$E$23)*G523,0)</x:f>
        <x:v>0</x:v>
      </x:c>
      <x:c r="P523" s="119" t="n">
        <x:f>ROUNDDOWN((IF(A523&gt;='材料与任务'!$E$31,'材料与任务'!$E$32,IF(A523&gt;='材料与任务'!$E$25,'材料与任务'!$E$26,IF(A523&gt;='材料与任务'!$E$19,'材料与任务'!$E$20,IF(A523&gt;='材料与任务'!$E$13,'材料与任务'!$E$14,'材料与任务'!$E$8)))))*G523,0)</x:f>
        <x:v>6</x:v>
      </x:c>
      <x:c r="Q523" s="119" t="n">
        <x:f>ROUNDDOWN((IF(A523&gt;='材料与任务'!$E$31,'材料与任务'!$E$33,IF(A523&gt;='材料与任务'!$E$25,'材料与任务'!$E$27,IF(A523&gt;='材料与任务'!$E$19,'材料与任务'!$E$21,IF(A523&gt;='材料与任务'!$E$13,'材料与任务'!$E$15,'材料与任务'!$E$9)))))*G523,0)</x:f>
        <x:v>3</x:v>
      </x:c>
      <x:c r="R523" s="110" t="n">
        <x:f>'装备掉落'!$B$38</x:f>
        <x:v>0.6872058758851213</x:v>
      </x:c>
      <x:c r="S523" s="119" t="n">
        <x:f>MAX(IF(VLOOKUP(A523,'装备掉落'!$A$29:$H$34,2,TRUE)&gt;0,1,0),IF(VLOOKUP(A523,'装备掉落'!$A$29:$H$34,3,TRUE)&gt;0,2,0),IF(VLOOKUP(A523,'装备掉落'!$A$29:$H$34,4,TRUE)&gt;0,3,0),IF(VLOOKUP(A523,'装备掉落'!$A$29:$H$34,5,TRUE)&gt;0,4,0),IF(VLOOKUP(A523,'装备掉落'!$A$29:$H$34,6,TRUE)&gt;0,5,0),IF(VLOOKUP(A523,'装备掉落'!$A$29:$H$34,7,TRUE)&gt;0,6,0),IF(VLOOKUP(A523,'装备掉落'!$A$29:$H$34,8,TRUE)&gt;0,7,0))</x:f>
        <x:v>7</x:v>
      </x:c>
      <x:c r="T523" s="119" t="n">
        <x:f>MIN(7,S523+'经济参数'!$E$70)</x:f>
        <x:v>7</x:v>
      </x:c>
      <x:c r="U523" s="119" t="n">
        <x:f>MIN(7,S523+'经济参数'!$E$71)</x:f>
        <x:v>7</x:v>
      </x:c>
      <x:c r="V523" s="119" t="n">
        <x:f>IF(H523&gt;=('难度参数'!$E$52),1,0)+IF(H523&gt;=('难度参数'!$E$52+'难度参数'!$E$53),1,0)+IF(H523&gt;=('难度参数'!$E$52+'难度参数'!$E$53+'难度参数'!$E$54),1,0)+IF(H523&gt;=('难度参数'!$E$52+'难度参数'!$E$53+'难度参数'!$E$54+'难度参数'!$E$55),1,0)+IF(H523&gt;=('难度参数'!$E$52+'难度参数'!$E$53+'难度参数'!$E$54+'难度参数'!$E$55+'难度参数'!$E$56),1,0)+IF(H523&gt;=('难度参数'!$E$52+'难度参数'!$E$53+'难度参数'!$E$54+'难度参数'!$E$55+'难度参数'!$E$56+'难度参数'!$E$57),1,0)</x:f>
        <x:v>6</x:v>
      </x:c>
      <x:c r="W523" s="62" t="str">
        <x:f>IF(L523&gt;'难度参数'!$E$51,"仅出怪已超目标","还需实测")</x:f>
        <x:v>仅出怪已超目标</x:v>
      </x:c>
      <x:c r="X523" s="119" t="n">
        <x:f>IF(1&gt;D523,0,MAX(2,MIN('难度参数'!$E$12,ROUND(('难度参数'!$E$18*POWER(A523,'难度参数'!$E$19)/D523*(0.85+0.3*(1-1)/MAX(1,D523-1))),0)+F523)))</x:f>
        <x:v>36</x:v>
      </x:c>
      <x:c r="Y523" s="119" t="n">
        <x:f>IF(1&gt;D523,0,ROUND(('难度参数'!$E$13*POWER(A523,'难度参数'!$E$20)*MIN('难度参数'!$E$23,1+MAX(0,A523-'难度参数'!$E$21)*'难度参数'!$E$22))*(36+1*7)/(36+7*(D523+1)/2)*E523,0))</x:f>
        <x:v>8153</x:v>
      </x:c>
      <x:c r="Z523" s="119" t="n">
        <x:f>IF(X523=0,0,(X523-IF(1=D523,1,0))*ROUND(Y523*VLOOKUP(INDEX('章节与怪物'!$E$31:$K$37,B523,1),'章节与怪物'!$A$41:$F$44,2,FALSE),0)+IF(1=D523,ROUND(Y523*'难度参数'!$E$28*'章节与怪物'!$E$17,0),0))</x:f>
        <x:v>211320</x:v>
      </x:c>
      <x:c r="AA523" s="119" t="n">
        <x:f>IF(X523=0,0,(X523-IF(1=D523,1,0))*VLOOKUP(INDEX('章节与怪物'!$E$31:$K$37,B523,1),'章节与怪物'!$A$41:$F$44,4,FALSE)+IF(1=D523,'难度参数'!$E$30,0))</x:f>
        <x:v>720</x:v>
      </x:c>
      <x:c r="AB523" s="119" t="n">
        <x:f>IF(2&gt;D523,0,MAX(2,MIN('难度参数'!$E$12,ROUND(('难度参数'!$E$18*POWER(A523,'难度参数'!$E$19)/D523*(0.85+0.3*(2-1)/MAX(1,D523-1))),0)+F523)))</x:f>
        <x:v>38</x:v>
      </x:c>
      <x:c r="AC523" s="119" t="n">
        <x:f>IF(2&gt;D523,0,ROUND(('难度参数'!$E$13*POWER(A523,'难度参数'!$E$20)*MIN('难度参数'!$E$23,1+MAX(0,A523-'难度参数'!$E$21)*'难度参数'!$E$22))*(36+2*7)/(36+7*(D523+1)/2)*E523,0))</x:f>
        <x:v>9481</x:v>
      </x:c>
      <x:c r="AD523" s="119" t="n">
        <x:f>IF(AB523=0,0,(AB523-IF(2=D523,1,0))*ROUND(AC523*VLOOKUP(INDEX('章节与怪物'!$E$31:$K$37,B523,2),'章节与怪物'!$A$41:$F$44,2,FALSE),0)+IF(2=D523,ROUND(AC523*'难度参数'!$E$28*'章节与怪物'!$E$17,0),0))</x:f>
        <x:v>360278</x:v>
      </x:c>
      <x:c r="AE523" s="119" t="n">
        <x:f>IF(AB523=0,0,(AB523-IF(2=D523,1,0))*VLOOKUP(INDEX('章节与怪物'!$E$31:$K$37,B523,2),'章节与怪物'!$A$41:$F$44,4,FALSE)+IF(2=D523,'难度参数'!$E$30,0))</x:f>
        <x:v>684</x:v>
      </x:c>
      <x:c r="AF523" s="119" t="n">
        <x:f>IF(3&gt;D523,0,MAX(2,MIN('难度参数'!$E$12,ROUND(('难度参数'!$E$18*POWER(A523,'难度参数'!$E$19)/D523*(0.85+0.3*(3-1)/MAX(1,D523-1))),0)+F523)))</x:f>
        <x:v>40</x:v>
      </x:c>
      <x:c r="AG523" s="119" t="n">
        <x:f>IF(3&gt;D523,0,ROUND(('难度参数'!$E$13*POWER(A523,'难度参数'!$E$20)*MIN('难度参数'!$E$23,1+MAX(0,A523-'难度参数'!$E$21)*'难度参数'!$E$22))*(36+3*7)/(36+7*(D523+1)/2)*E523,0))</x:f>
        <x:v>10808</x:v>
      </x:c>
      <x:c r="AH523" s="119" t="n">
        <x:f>IF(AF523=0,0,(AF523-IF(3=D523,1,0))*ROUND(AG523*VLOOKUP(INDEX('章节与怪物'!$E$31:$K$37,B523,3),'章节与怪物'!$A$41:$F$44,2,FALSE),0)+IF(3=D523,ROUND(AG523*'难度参数'!$E$28*'章节与怪物'!$E$17,0),0))</x:f>
        <x:v>734960</x:v>
      </x:c>
      <x:c r="AI523" s="119" t="n">
        <x:f>IF(AF523=0,0,(AF523-IF(3=D523,1,0))*VLOOKUP(INDEX('章节与怪物'!$E$31:$K$37,B523,3),'章节与怪物'!$A$41:$F$44,4,FALSE)+IF(3=D523,'难度参数'!$E$30,0))</x:f>
        <x:v>1120</x:v>
      </x:c>
      <x:c r="AJ523" s="119" t="n">
        <x:f>IF(4&gt;D523,0,MAX(2,MIN('难度参数'!$E$12,ROUND(('难度参数'!$E$18*POWER(A523,'难度参数'!$E$19)/D523*(0.85+0.3*(4-1)/MAX(1,D523-1))),0)+F523)))</x:f>
        <x:v>42</x:v>
      </x:c>
      <x:c r="AK523" s="119" t="n">
        <x:f>IF(4&gt;D523,0,ROUND(('难度参数'!$E$13*POWER(A523,'难度参数'!$E$20)*MIN('难度参数'!$E$23,1+MAX(0,A523-'难度参数'!$E$21)*'难度参数'!$E$22))*(36+4*7)/(36+7*(D523+1)/2)*E523,0))</x:f>
        <x:v>12135</x:v>
      </x:c>
      <x:c r="AL523" s="119" t="n">
        <x:f>IF(AJ523=0,0,(AJ523-IF(4=D523,1,0))*ROUND(AK523*VLOOKUP(INDEX('章节与怪物'!$E$31:$K$37,B523,4),'章节与怪物'!$A$41:$F$44,2,FALSE),0)+IF(4=D523,ROUND(AK523*'难度参数'!$E$28*'章节与怪物'!$E$17,0),0))</x:f>
        <x:v>688044</x:v>
      </x:c>
      <x:c r="AM523" s="119" t="n">
        <x:f>IF(AJ523=0,0,(AJ523-IF(4=D523,1,0))*VLOOKUP(INDEX('章节与怪物'!$E$31:$K$37,B523,4),'章节与怪物'!$A$41:$F$44,4,FALSE)+IF(4=D523,'难度参数'!$E$30,0))</x:f>
        <x:v>1428</x:v>
      </x:c>
      <x:c r="AN523" s="119" t="n">
        <x:f>IF(5&gt;D523,0,MAX(2,MIN('难度参数'!$E$12,ROUND(('难度参数'!$E$18*POWER(A523,'难度参数'!$E$19)/D523*(0.85+0.3*(5-1)/MAX(1,D523-1))),0)+F523)))</x:f>
        <x:v>44</x:v>
      </x:c>
      <x:c r="AO523" s="119" t="n">
        <x:f>IF(5&gt;D523,0,ROUND(('难度参数'!$E$13*POWER(A523,'难度参数'!$E$20)*MIN('难度参数'!$E$23,1+MAX(0,A523-'难度参数'!$E$21)*'难度参数'!$E$22))*(36+5*7)/(36+7*(D523+1)/2)*E523,0))</x:f>
        <x:v>13462</x:v>
      </x:c>
      <x:c r="AP523" s="119" t="n">
        <x:f>IF(AN523=0,0,(AN523-IF(5=D523,1,0))*ROUND(AO523*VLOOKUP(INDEX('章节与怪物'!$E$31:$K$37,B523,5),'章节与怪物'!$A$41:$F$44,2,FALSE),0)+IF(5=D523,ROUND(AO523*'难度参数'!$E$28*'章节与怪物'!$E$17,0),0))</x:f>
        <x:v>592328</x:v>
      </x:c>
      <x:c r="AQ523" s="119" t="n">
        <x:f>IF(AN523=0,0,(AN523-IF(5=D523,1,0))*VLOOKUP(INDEX('章节与怪物'!$E$31:$K$37,B523,5),'章节与怪物'!$A$41:$F$44,4,FALSE)+IF(5=D523,'难度参数'!$E$30,0))</x:f>
        <x:v>792</x:v>
      </x:c>
      <x:c r="AR523" s="119" t="n">
        <x:f>IF(6&gt;D523,0,MAX(2,MIN('难度参数'!$E$12,ROUND(('难度参数'!$E$18*POWER(A523,'难度参数'!$E$19)/D523*(0.85+0.3*(6-1)/MAX(1,D523-1))),0)+F523)))</x:f>
        <x:v>46</x:v>
      </x:c>
      <x:c r="AS523" s="119" t="n">
        <x:f>IF(6&gt;D523,0,ROUND(('难度参数'!$E$13*POWER(A523,'难度参数'!$E$20)*MIN('难度参数'!$E$23,1+MAX(0,A523-'难度参数'!$E$21)*'难度参数'!$E$22))*(36+6*7)/(36+7*(D523+1)/2)*E523,0))</x:f>
        <x:v>14790</x:v>
      </x:c>
      <x:c r="AT523" s="119" t="n">
        <x:f>IF(AR523=0,0,(AR523-IF(6=D523,1,0))*ROUND(AS523*VLOOKUP(INDEX('章节与怪物'!$E$31:$K$37,B523,6),'章节与怪物'!$A$41:$F$44,2,FALSE),0)+IF(6=D523,ROUND(AS523*'难度参数'!$E$28*'章节与怪物'!$E$17,0),0))</x:f>
        <x:v>1156578</x:v>
      </x:c>
      <x:c r="AU523" s="119" t="n">
        <x:f>IF(AR523=0,0,(AR523-IF(6=D523,1,0))*VLOOKUP(INDEX('章节与怪物'!$E$31:$K$37,B523,6),'章节与怪物'!$A$41:$F$44,4,FALSE)+IF(6=D523,'难度参数'!$E$30,0))</x:f>
        <x:v>1288</x:v>
      </x:c>
      <x:c r="AV523" s="119" t="n">
        <x:f>IF(7&gt;D523,0,MAX(2,MIN('难度参数'!$E$12,ROUND(('难度参数'!$E$18*POWER(A523,'难度参数'!$E$19)/D523*(0.85+0.3*(7-1)/MAX(1,D523-1))),0)+F523)))</x:f>
        <x:v>48</x:v>
      </x:c>
      <x:c r="AW523" s="119" t="n">
        <x:f>IF(7&gt;D523,0,ROUND(('难度参数'!$E$13*POWER(A523,'难度参数'!$E$20)*MIN('难度参数'!$E$23,1+MAX(0,A523-'难度参数'!$E$21)*'难度参数'!$E$22))*(36+7*7)/(36+7*(D523+1)/2)*E523,0))</x:f>
        <x:v>16117</x:v>
      </x:c>
      <x:c r="AX523" s="119" t="n">
        <x:f>IF(AV523=0,0,(AV523-IF(7=D523,1,0))*ROUND(AW523*VLOOKUP(INDEX('章节与怪物'!$E$31:$K$37,B523,7),'章节与怪物'!$A$41:$F$44,2,FALSE),0)+IF(7=D523,ROUND(AW523*'难度参数'!$E$28*'章节与怪物'!$E$17,0),0))</x:f>
        <x:v>1132222</x:v>
      </x:c>
      <x:c r="AY523" s="119" t="n">
        <x:f>IF(AV523=0,0,(AV523-IF(7=D523,1,0))*VLOOKUP(INDEX('章节与怪物'!$E$31:$K$37,B523,7),'章节与怪物'!$A$41:$F$44,4,FALSE)+IF(7=D523,'难度参数'!$E$30,0))</x:f>
        <x:v>1798</x:v>
      </x:c>
    </x:row>
    <x:row r="524" ht="23" customHeight="1">
      <x:c r="A524" s="119" t="n">
        <x:v>518</x:v>
      </x:c>
      <x:c r="B524" s="119" t="n">
        <x:f>MOD(INT((A524-1)/5),7)+1</x:f>
        <x:v>6</x:v>
      </x:c>
      <x:c r="C524" s="62" t="str">
        <x:f>INDEX('章节与怪物'!$B$31:$B$37,B524)</x:f>
        <x:v>熔岩山脉</x:v>
      </x:c>
      <x:c r="D524" s="119" t="n">
        <x:f>MIN('难度参数'!$E$8,MAX('难度参数'!$E$7,A524))</x:f>
        <x:v>7</x:v>
      </x:c>
      <x:c r="E524" s="106" t="n">
        <x:v>1</x:v>
      </x:c>
      <x:c r="F524" s="106" t="n">
        <x:v>0</x:v>
      </x:c>
      <x:c r="G524" s="106" t="n">
        <x:v>1</x:v>
      </x:c>
      <x:c r="H524" s="119" t="n">
        <x:f>SUM(X524,AB524,AF524,AJ524,AN524,AR524,AV524)</x:f>
        <x:v>294</x:v>
      </x:c>
      <x:c r="I524" s="119" t="n">
        <x:f>SUM(Z524,AD524,AH524,AL524,AP524,AT524,AX524)</x:f>
        <x:v>4882527</x:v>
      </x:c>
      <x:c r="J524" s="119" t="n">
        <x:f>ROUND(INDEX(X524:AY524,1,(D524-1)*4+2)*'难度参数'!$E$28*'章节与怪物'!$E$17,0)</x:f>
        <x:v>109752</x:v>
      </x:c>
      <x:c r="K524" s="119" t="n">
        <x:f>SUM(AA524,AE524,AI524,AM524,AQ524,AU524,AY524)</x:f>
        <x:v>7830</x:v>
      </x:c>
      <x:c r="L524" s="62" t="n">
        <x:f>H524*(ROUNDUP('难度参数'!$E$24/('难度参数'!$E$26*'难度参数'!$E$27),0)*'难度参数'!$E$26)/60</x:f>
        <x:v>3.9200000000000004</x:v>
      </x:c>
      <x:c r="M524" s="62" t="n">
        <x:f>L524+D524*('难度参数'!$E$49+'难度参数'!$E$50)/60</x:f>
        <x:v>5.086666666666667</x:v>
      </x:c>
      <x:c r="N524" s="119" t="n">
        <x:f>ROUNDDOWN(('经济参数'!$E$20+A524*'经济参数'!$E$21)*G524,0)</x:f>
        <x:v>10540</x:v>
      </x:c>
      <x:c r="O524" s="119" t="n">
        <x:f>ROUNDDOWN(MIN('经济参数'!$E$24,'经济参数'!$E$22+A524*'经济参数'!$E$23)*G524,0)</x:f>
        <x:v>0</x:v>
      </x:c>
      <x:c r="P524" s="119" t="n">
        <x:f>ROUNDDOWN((IF(A524&gt;='材料与任务'!$E$31,'材料与任务'!$E$32,IF(A524&gt;='材料与任务'!$E$25,'材料与任务'!$E$26,IF(A524&gt;='材料与任务'!$E$19,'材料与任务'!$E$20,IF(A524&gt;='材料与任务'!$E$13,'材料与任务'!$E$14,'材料与任务'!$E$8)))))*G524,0)</x:f>
        <x:v>6</x:v>
      </x:c>
      <x:c r="Q524" s="119" t="n">
        <x:f>ROUNDDOWN((IF(A524&gt;='材料与任务'!$E$31,'材料与任务'!$E$33,IF(A524&gt;='材料与任务'!$E$25,'材料与任务'!$E$27,IF(A524&gt;='材料与任务'!$E$19,'材料与任务'!$E$21,IF(A524&gt;='材料与任务'!$E$13,'材料与任务'!$E$15,'材料与任务'!$E$9)))))*G524,0)</x:f>
        <x:v>3</x:v>
      </x:c>
      <x:c r="R524" s="110" t="n">
        <x:f>'装备掉落'!$B$38</x:f>
        <x:v>0.6872058758851213</x:v>
      </x:c>
      <x:c r="S524" s="119" t="n">
        <x:f>MAX(IF(VLOOKUP(A524,'装备掉落'!$A$29:$H$34,2,TRUE)&gt;0,1,0),IF(VLOOKUP(A524,'装备掉落'!$A$29:$H$34,3,TRUE)&gt;0,2,0),IF(VLOOKUP(A524,'装备掉落'!$A$29:$H$34,4,TRUE)&gt;0,3,0),IF(VLOOKUP(A524,'装备掉落'!$A$29:$H$34,5,TRUE)&gt;0,4,0),IF(VLOOKUP(A524,'装备掉落'!$A$29:$H$34,6,TRUE)&gt;0,5,0),IF(VLOOKUP(A524,'装备掉落'!$A$29:$H$34,7,TRUE)&gt;0,6,0),IF(VLOOKUP(A524,'装备掉落'!$A$29:$H$34,8,TRUE)&gt;0,7,0))</x:f>
        <x:v>7</x:v>
      </x:c>
      <x:c r="T524" s="119" t="n">
        <x:f>MIN(7,S524+'经济参数'!$E$70)</x:f>
        <x:v>7</x:v>
      </x:c>
      <x:c r="U524" s="119" t="n">
        <x:f>MIN(7,S524+'经济参数'!$E$71)</x:f>
        <x:v>7</x:v>
      </x:c>
      <x:c r="V524" s="119" t="n">
        <x:f>IF(H524&gt;=('难度参数'!$E$52),1,0)+IF(H524&gt;=('难度参数'!$E$52+'难度参数'!$E$53),1,0)+IF(H524&gt;=('难度参数'!$E$52+'难度参数'!$E$53+'难度参数'!$E$54),1,0)+IF(H524&gt;=('难度参数'!$E$52+'难度参数'!$E$53+'难度参数'!$E$54+'难度参数'!$E$55),1,0)+IF(H524&gt;=('难度参数'!$E$52+'难度参数'!$E$53+'难度参数'!$E$54+'难度参数'!$E$55+'难度参数'!$E$56),1,0)+IF(H524&gt;=('难度参数'!$E$52+'难度参数'!$E$53+'难度参数'!$E$54+'难度参数'!$E$55+'难度参数'!$E$56+'难度参数'!$E$57),1,0)</x:f>
        <x:v>6</x:v>
      </x:c>
      <x:c r="W524" s="62" t="str">
        <x:f>IF(L524&gt;'难度参数'!$E$51,"仅出怪已超目标","还需实测")</x:f>
        <x:v>仅出怪已超目标</x:v>
      </x:c>
      <x:c r="X524" s="119" t="n">
        <x:f>IF(1&gt;D524,0,MAX(2,MIN('难度参数'!$E$12,ROUND(('难度参数'!$E$18*POWER(A524,'难度参数'!$E$19)/D524*(0.85+0.3*(1-1)/MAX(1,D524-1))),0)+F524)))</x:f>
        <x:v>36</x:v>
      </x:c>
      <x:c r="Y524" s="119" t="n">
        <x:f>IF(1&gt;D524,0,ROUND(('难度参数'!$E$13*POWER(A524,'难度参数'!$E$20)*MIN('难度参数'!$E$23,1+MAX(0,A524-'难度参数'!$E$21)*'难度参数'!$E$22))*(36+1*7)/(36+7*(D524+1)/2)*E524,0))</x:f>
        <x:v>8165</x:v>
      </x:c>
      <x:c r="Z524" s="119" t="n">
        <x:f>IF(X524=0,0,(X524-IF(1=D524,1,0))*ROUND(Y524*VLOOKUP(INDEX('章节与怪物'!$E$31:$K$37,B524,1),'章节与怪物'!$A$41:$F$44,2,FALSE),0)+IF(1=D524,ROUND(Y524*'难度参数'!$E$28*'章节与怪物'!$E$17,0),0))</x:f>
        <x:v>211644</x:v>
      </x:c>
      <x:c r="AA524" s="119" t="n">
        <x:f>IF(X524=0,0,(X524-IF(1=D524,1,0))*VLOOKUP(INDEX('章节与怪物'!$E$31:$K$37,B524,1),'章节与怪物'!$A$41:$F$44,4,FALSE)+IF(1=D524,'难度参数'!$E$30,0))</x:f>
        <x:v>720</x:v>
      </x:c>
      <x:c r="AB524" s="119" t="n">
        <x:f>IF(2&gt;D524,0,MAX(2,MIN('难度参数'!$E$12,ROUND(('难度参数'!$E$18*POWER(A524,'难度参数'!$E$19)/D524*(0.85+0.3*(2-1)/MAX(1,D524-1))),0)+F524)))</x:f>
        <x:v>38</x:v>
      </x:c>
      <x:c r="AC524" s="119" t="n">
        <x:f>IF(2&gt;D524,0,ROUND(('难度参数'!$E$13*POWER(A524,'难度参数'!$E$20)*MIN('难度参数'!$E$23,1+MAX(0,A524-'难度参数'!$E$21)*'难度参数'!$E$22))*(36+2*7)/(36+7*(D524+1)/2)*E524,0))</x:f>
        <x:v>9494</x:v>
      </x:c>
      <x:c r="AD524" s="119" t="n">
        <x:f>IF(AB524=0,0,(AB524-IF(2=D524,1,0))*ROUND(AC524*VLOOKUP(INDEX('章节与怪物'!$E$31:$K$37,B524,2),'章节与怪物'!$A$41:$F$44,2,FALSE),0)+IF(2=D524,ROUND(AC524*'难度参数'!$E$28*'章节与怪物'!$E$17,0),0))</x:f>
        <x:v>360772</x:v>
      </x:c>
      <x:c r="AE524" s="119" t="n">
        <x:f>IF(AB524=0,0,(AB524-IF(2=D524,1,0))*VLOOKUP(INDEX('章节与怪物'!$E$31:$K$37,B524,2),'章节与怪物'!$A$41:$F$44,4,FALSE)+IF(2=D524,'难度参数'!$E$30,0))</x:f>
        <x:v>684</x:v>
      </x:c>
      <x:c r="AF524" s="119" t="n">
        <x:f>IF(3&gt;D524,0,MAX(2,MIN('难度参数'!$E$12,ROUND(('难度参数'!$E$18*POWER(A524,'难度参数'!$E$19)/D524*(0.85+0.3*(3-1)/MAX(1,D524-1))),0)+F524)))</x:f>
        <x:v>40</x:v>
      </x:c>
      <x:c r="AG524" s="119" t="n">
        <x:f>IF(3&gt;D524,0,ROUND(('难度参数'!$E$13*POWER(A524,'难度参数'!$E$20)*MIN('难度参数'!$E$23,1+MAX(0,A524-'难度参数'!$E$21)*'难度参数'!$E$22))*(36+3*7)/(36+7*(D524+1)/2)*E524,0))</x:f>
        <x:v>10823</x:v>
      </x:c>
      <x:c r="AH524" s="119" t="n">
        <x:f>IF(AF524=0,0,(AF524-IF(3=D524,1,0))*ROUND(AG524*VLOOKUP(INDEX('章节与怪物'!$E$31:$K$37,B524,3),'章节与怪物'!$A$41:$F$44,2,FALSE),0)+IF(3=D524,ROUND(AG524*'难度参数'!$E$28*'章节与怪物'!$E$17,0),0))</x:f>
        <x:v>735960</x:v>
      </x:c>
      <x:c r="AI524" s="119" t="n">
        <x:f>IF(AF524=0,0,(AF524-IF(3=D524,1,0))*VLOOKUP(INDEX('章节与怪物'!$E$31:$K$37,B524,3),'章节与怪物'!$A$41:$F$44,4,FALSE)+IF(3=D524,'难度参数'!$E$30,0))</x:f>
        <x:v>1120</x:v>
      </x:c>
      <x:c r="AJ524" s="119" t="n">
        <x:f>IF(4&gt;D524,0,MAX(2,MIN('难度参数'!$E$12,ROUND(('难度参数'!$E$18*POWER(A524,'难度参数'!$E$19)/D524*(0.85+0.3*(4-1)/MAX(1,D524-1))),0)+F524)))</x:f>
        <x:v>42</x:v>
      </x:c>
      <x:c r="AK524" s="119" t="n">
        <x:f>IF(4&gt;D524,0,ROUND(('难度参数'!$E$13*POWER(A524,'难度参数'!$E$20)*MIN('难度参数'!$E$23,1+MAX(0,A524-'难度参数'!$E$21)*'难度参数'!$E$22))*(36+4*7)/(36+7*(D524+1)/2)*E524,0))</x:f>
        <x:v>12152</x:v>
      </x:c>
      <x:c r="AL524" s="119" t="n">
        <x:f>IF(AJ524=0,0,(AJ524-IF(4=D524,1,0))*ROUND(AK524*VLOOKUP(INDEX('章节与怪物'!$E$31:$K$37,B524,4),'章节与怪物'!$A$41:$F$44,2,FALSE),0)+IF(4=D524,ROUND(AK524*'难度参数'!$E$28*'章节与怪物'!$E$17,0),0))</x:f>
        <x:v>689010</x:v>
      </x:c>
      <x:c r="AM524" s="119" t="n">
        <x:f>IF(AJ524=0,0,(AJ524-IF(4=D524,1,0))*VLOOKUP(INDEX('章节与怪物'!$E$31:$K$37,B524,4),'章节与怪物'!$A$41:$F$44,4,FALSE)+IF(4=D524,'难度参数'!$E$30,0))</x:f>
        <x:v>1428</x:v>
      </x:c>
      <x:c r="AN524" s="119" t="n">
        <x:f>IF(5&gt;D524,0,MAX(2,MIN('难度参数'!$E$12,ROUND(('难度参数'!$E$18*POWER(A524,'难度参数'!$E$19)/D524*(0.85+0.3*(5-1)/MAX(1,D524-1))),0)+F524)))</x:f>
        <x:v>44</x:v>
      </x:c>
      <x:c r="AO524" s="119" t="n">
        <x:f>IF(5&gt;D524,0,ROUND(('难度参数'!$E$13*POWER(A524,'难度参数'!$E$20)*MIN('难度参数'!$E$23,1+MAX(0,A524-'难度参数'!$E$21)*'难度参数'!$E$22))*(36+5*7)/(36+7*(D524+1)/2)*E524,0))</x:f>
        <x:v>13481</x:v>
      </x:c>
      <x:c r="AP524" s="119" t="n">
        <x:f>IF(AN524=0,0,(AN524-IF(5=D524,1,0))*ROUND(AO524*VLOOKUP(INDEX('章节与怪物'!$E$31:$K$37,B524,5),'章节与怪物'!$A$41:$F$44,2,FALSE),0)+IF(5=D524,ROUND(AO524*'难度参数'!$E$28*'章节与怪物'!$E$17,0),0))</x:f>
        <x:v>593164</x:v>
      </x:c>
      <x:c r="AQ524" s="119" t="n">
        <x:f>IF(AN524=0,0,(AN524-IF(5=D524,1,0))*VLOOKUP(INDEX('章节与怪物'!$E$31:$K$37,B524,5),'章节与怪物'!$A$41:$F$44,4,FALSE)+IF(5=D524,'难度参数'!$E$30,0))</x:f>
        <x:v>792</x:v>
      </x:c>
      <x:c r="AR524" s="119" t="n">
        <x:f>IF(6&gt;D524,0,MAX(2,MIN('难度参数'!$E$12,ROUND(('难度参数'!$E$18*POWER(A524,'难度参数'!$E$19)/D524*(0.85+0.3*(6-1)/MAX(1,D524-1))),0)+F524)))</x:f>
        <x:v>46</x:v>
      </x:c>
      <x:c r="AS524" s="119" t="n">
        <x:f>IF(6&gt;D524,0,ROUND(('难度参数'!$E$13*POWER(A524,'难度参数'!$E$20)*MIN('难度参数'!$E$23,1+MAX(0,A524-'难度参数'!$E$21)*'难度参数'!$E$22))*(36+6*7)/(36+7*(D524+1)/2)*E524,0))</x:f>
        <x:v>14810</x:v>
      </x:c>
      <x:c r="AT524" s="119" t="n">
        <x:f>IF(AR524=0,0,(AR524-IF(6=D524,1,0))*ROUND(AS524*VLOOKUP(INDEX('章节与怪物'!$E$31:$K$37,B524,6),'章节与怪物'!$A$41:$F$44,2,FALSE),0)+IF(6=D524,ROUND(AS524*'难度参数'!$E$28*'章节与怪物'!$E$17,0),0))</x:f>
        <x:v>1158142</x:v>
      </x:c>
      <x:c r="AU524" s="119" t="n">
        <x:f>IF(AR524=0,0,(AR524-IF(6=D524,1,0))*VLOOKUP(INDEX('章节与怪物'!$E$31:$K$37,B524,6),'章节与怪物'!$A$41:$F$44,4,FALSE)+IF(6=D524,'难度参数'!$E$30,0))</x:f>
        <x:v>1288</x:v>
      </x:c>
      <x:c r="AV524" s="119" t="n">
        <x:f>IF(7&gt;D524,0,MAX(2,MIN('难度参数'!$E$12,ROUND(('难度参数'!$E$18*POWER(A524,'难度参数'!$E$19)/D524*(0.85+0.3*(7-1)/MAX(1,D524-1))),0)+F524)))</x:f>
        <x:v>48</x:v>
      </x:c>
      <x:c r="AW524" s="119" t="n">
        <x:f>IF(7&gt;D524,0,ROUND(('难度参数'!$E$13*POWER(A524,'难度参数'!$E$20)*MIN('难度参数'!$E$23,1+MAX(0,A524-'难度参数'!$E$21)*'难度参数'!$E$22))*(36+7*7)/(36+7*(D524+1)/2)*E524,0))</x:f>
        <x:v>16140</x:v>
      </x:c>
      <x:c r="AX524" s="119" t="n">
        <x:f>IF(AV524=0,0,(AV524-IF(7=D524,1,0))*ROUND(AW524*VLOOKUP(INDEX('章节与怪物'!$E$31:$K$37,B524,7),'章节与怪物'!$A$41:$F$44,2,FALSE),0)+IF(7=D524,ROUND(AW524*'难度参数'!$E$28*'章节与怪物'!$E$17,0),0))</x:f>
        <x:v>1133835</x:v>
      </x:c>
      <x:c r="AY524" s="119" t="n">
        <x:f>IF(AV524=0,0,(AV524-IF(7=D524,1,0))*VLOOKUP(INDEX('章节与怪物'!$E$31:$K$37,B524,7),'章节与怪物'!$A$41:$F$44,4,FALSE)+IF(7=D524,'难度参数'!$E$30,0))</x:f>
        <x:v>1798</x:v>
      </x:c>
    </x:row>
    <x:row r="525" ht="23" customHeight="1">
      <x:c r="A525" s="119" t="n">
        <x:v>519</x:v>
      </x:c>
      <x:c r="B525" s="119" t="n">
        <x:f>MOD(INT((A525-1)/5),7)+1</x:f>
        <x:v>6</x:v>
      </x:c>
      <x:c r="C525" s="62" t="str">
        <x:f>INDEX('章节与怪物'!$B$31:$B$37,B525)</x:f>
        <x:v>熔岩山脉</x:v>
      </x:c>
      <x:c r="D525" s="119" t="n">
        <x:f>MIN('难度参数'!$E$8,MAX('难度参数'!$E$7,A525))</x:f>
        <x:v>7</x:v>
      </x:c>
      <x:c r="E525" s="106" t="n">
        <x:v>1</x:v>
      </x:c>
      <x:c r="F525" s="106" t="n">
        <x:v>0</x:v>
      </x:c>
      <x:c r="G525" s="106" t="n">
        <x:v>1</x:v>
      </x:c>
      <x:c r="H525" s="119" t="n">
        <x:f>SUM(X525,AB525,AF525,AJ525,AN525,AR525,AV525)</x:f>
        <x:v>294</x:v>
      </x:c>
      <x:c r="I525" s="119" t="n">
        <x:f>SUM(Z525,AD525,AH525,AL525,AP525,AT525,AX525)</x:f>
        <x:v>4889367</x:v>
      </x:c>
      <x:c r="J525" s="119" t="n">
        <x:f>ROUND(INDEX(X525:AY525,1,(D525-1)*4+2)*'难度参数'!$E$28*'章节与怪物'!$E$17,0)</x:f>
        <x:v>109902</x:v>
      </x:c>
      <x:c r="K525" s="119" t="n">
        <x:f>SUM(AA525,AE525,AI525,AM525,AQ525,AU525,AY525)</x:f>
        <x:v>7830</x:v>
      </x:c>
      <x:c r="L525" s="62" t="n">
        <x:f>H525*(ROUNDUP('难度参数'!$E$24/('难度参数'!$E$26*'难度参数'!$E$27),0)*'难度参数'!$E$26)/60</x:f>
        <x:v>3.9200000000000004</x:v>
      </x:c>
      <x:c r="M525" s="62" t="n">
        <x:f>L525+D525*('难度参数'!$E$49+'难度参数'!$E$50)/60</x:f>
        <x:v>5.086666666666667</x:v>
      </x:c>
      <x:c r="N525" s="119" t="n">
        <x:f>ROUNDDOWN(('经济参数'!$E$20+A525*'经济参数'!$E$21)*G525,0)</x:f>
        <x:v>10560</x:v>
      </x:c>
      <x:c r="O525" s="119" t="n">
        <x:f>ROUNDDOWN(MIN('经济参数'!$E$24,'经济参数'!$E$22+A525*'经济参数'!$E$23)*G525,0)</x:f>
        <x:v>0</x:v>
      </x:c>
      <x:c r="P525" s="119" t="n">
        <x:f>ROUNDDOWN((IF(A525&gt;='材料与任务'!$E$31,'材料与任务'!$E$32,IF(A525&gt;='材料与任务'!$E$25,'材料与任务'!$E$26,IF(A525&gt;='材料与任务'!$E$19,'材料与任务'!$E$20,IF(A525&gt;='材料与任务'!$E$13,'材料与任务'!$E$14,'材料与任务'!$E$8)))))*G525,0)</x:f>
        <x:v>6</x:v>
      </x:c>
      <x:c r="Q525" s="119" t="n">
        <x:f>ROUNDDOWN((IF(A525&gt;='材料与任务'!$E$31,'材料与任务'!$E$33,IF(A525&gt;='材料与任务'!$E$25,'材料与任务'!$E$27,IF(A525&gt;='材料与任务'!$E$19,'材料与任务'!$E$21,IF(A525&gt;='材料与任务'!$E$13,'材料与任务'!$E$15,'材料与任务'!$E$9)))))*G525,0)</x:f>
        <x:v>3</x:v>
      </x:c>
      <x:c r="R525" s="110" t="n">
        <x:f>'装备掉落'!$B$38</x:f>
        <x:v>0.6872058758851213</x:v>
      </x:c>
      <x:c r="S525" s="119" t="n">
        <x:f>MAX(IF(VLOOKUP(A525,'装备掉落'!$A$29:$H$34,2,TRUE)&gt;0,1,0),IF(VLOOKUP(A525,'装备掉落'!$A$29:$H$34,3,TRUE)&gt;0,2,0),IF(VLOOKUP(A525,'装备掉落'!$A$29:$H$34,4,TRUE)&gt;0,3,0),IF(VLOOKUP(A525,'装备掉落'!$A$29:$H$34,5,TRUE)&gt;0,4,0),IF(VLOOKUP(A525,'装备掉落'!$A$29:$H$34,6,TRUE)&gt;0,5,0),IF(VLOOKUP(A525,'装备掉落'!$A$29:$H$34,7,TRUE)&gt;0,6,0),IF(VLOOKUP(A525,'装备掉落'!$A$29:$H$34,8,TRUE)&gt;0,7,0))</x:f>
        <x:v>7</x:v>
      </x:c>
      <x:c r="T525" s="119" t="n">
        <x:f>MIN(7,S525+'经济参数'!$E$70)</x:f>
        <x:v>7</x:v>
      </x:c>
      <x:c r="U525" s="119" t="n">
        <x:f>MIN(7,S525+'经济参数'!$E$71)</x:f>
        <x:v>7</x:v>
      </x:c>
      <x:c r="V525" s="119" t="n">
        <x:f>IF(H525&gt;=('难度参数'!$E$52),1,0)+IF(H525&gt;=('难度参数'!$E$52+'难度参数'!$E$53),1,0)+IF(H525&gt;=('难度参数'!$E$52+'难度参数'!$E$53+'难度参数'!$E$54),1,0)+IF(H525&gt;=('难度参数'!$E$52+'难度参数'!$E$53+'难度参数'!$E$54+'难度参数'!$E$55),1,0)+IF(H525&gt;=('难度参数'!$E$52+'难度参数'!$E$53+'难度参数'!$E$54+'难度参数'!$E$55+'难度参数'!$E$56),1,0)+IF(H525&gt;=('难度参数'!$E$52+'难度参数'!$E$53+'难度参数'!$E$54+'难度参数'!$E$55+'难度参数'!$E$56+'难度参数'!$E$57),1,0)</x:f>
        <x:v>6</x:v>
      </x:c>
      <x:c r="W525" s="62" t="str">
        <x:f>IF(L525&gt;'难度参数'!$E$51,"仅出怪已超目标","还需实测")</x:f>
        <x:v>仅出怪已超目标</x:v>
      </x:c>
      <x:c r="X525" s="119" t="n">
        <x:f>IF(1&gt;D525,0,MAX(2,MIN('难度参数'!$E$12,ROUND(('难度参数'!$E$18*POWER(A525,'难度参数'!$E$19)/D525*(0.85+0.3*(1-1)/MAX(1,D525-1))),0)+F525)))</x:f>
        <x:v>36</x:v>
      </x:c>
      <x:c r="Y525" s="119" t="n">
        <x:f>IF(1&gt;D525,0,ROUND(('难度参数'!$E$13*POWER(A525,'难度参数'!$E$20)*MIN('难度参数'!$E$23,1+MAX(0,A525-'难度参数'!$E$21)*'难度参数'!$E$22))*(36+1*7)/(36+7*(D525+1)/2)*E525,0))</x:f>
        <x:v>8176</x:v>
      </x:c>
      <x:c r="Z525" s="119" t="n">
        <x:f>IF(X525=0,0,(X525-IF(1=D525,1,0))*ROUND(Y525*VLOOKUP(INDEX('章节与怪物'!$E$31:$K$37,B525,1),'章节与怪物'!$A$41:$F$44,2,FALSE),0)+IF(1=D525,ROUND(Y525*'难度参数'!$E$28*'章节与怪物'!$E$17,0),0))</x:f>
        <x:v>211932</x:v>
      </x:c>
      <x:c r="AA525" s="119" t="n">
        <x:f>IF(X525=0,0,(X525-IF(1=D525,1,0))*VLOOKUP(INDEX('章节与怪物'!$E$31:$K$37,B525,1),'章节与怪物'!$A$41:$F$44,4,FALSE)+IF(1=D525,'难度参数'!$E$30,0))</x:f>
        <x:v>720</x:v>
      </x:c>
      <x:c r="AB525" s="119" t="n">
        <x:f>IF(2&gt;D525,0,MAX(2,MIN('难度参数'!$E$12,ROUND(('难度参数'!$E$18*POWER(A525,'难度参数'!$E$19)/D525*(0.85+0.3*(2-1)/MAX(1,D525-1))),0)+F525)))</x:f>
        <x:v>38</x:v>
      </x:c>
      <x:c r="AC525" s="119" t="n">
        <x:f>IF(2&gt;D525,0,ROUND(('难度参数'!$E$13*POWER(A525,'难度参数'!$E$20)*MIN('难度参数'!$E$23,1+MAX(0,A525-'难度参数'!$E$21)*'难度参数'!$E$22))*(36+2*7)/(36+7*(D525+1)/2)*E525,0))</x:f>
        <x:v>9507</x:v>
      </x:c>
      <x:c r="AD525" s="119" t="n">
        <x:f>IF(AB525=0,0,(AB525-IF(2=D525,1,0))*ROUND(AC525*VLOOKUP(INDEX('章节与怪物'!$E$31:$K$37,B525,2),'章节与怪物'!$A$41:$F$44,2,FALSE),0)+IF(2=D525,ROUND(AC525*'难度参数'!$E$28*'章节与怪物'!$E$17,0),0))</x:f>
        <x:v>361266</x:v>
      </x:c>
      <x:c r="AE525" s="119" t="n">
        <x:f>IF(AB525=0,0,(AB525-IF(2=D525,1,0))*VLOOKUP(INDEX('章节与怪物'!$E$31:$K$37,B525,2),'章节与怪物'!$A$41:$F$44,4,FALSE)+IF(2=D525,'难度参数'!$E$30,0))</x:f>
        <x:v>684</x:v>
      </x:c>
      <x:c r="AF525" s="119" t="n">
        <x:f>IF(3&gt;D525,0,MAX(2,MIN('难度参数'!$E$12,ROUND(('难度参数'!$E$18*POWER(A525,'难度参数'!$E$19)/D525*(0.85+0.3*(3-1)/MAX(1,D525-1))),0)+F525)))</x:f>
        <x:v>40</x:v>
      </x:c>
      <x:c r="AG525" s="119" t="n">
        <x:f>IF(3&gt;D525,0,ROUND(('难度参数'!$E$13*POWER(A525,'难度参数'!$E$20)*MIN('难度参数'!$E$23,1+MAX(0,A525-'难度参数'!$E$21)*'难度参数'!$E$22))*(36+3*7)/(36+7*(D525+1)/2)*E525,0))</x:f>
        <x:v>10838</x:v>
      </x:c>
      <x:c r="AH525" s="119" t="n">
        <x:f>IF(AF525=0,0,(AF525-IF(3=D525,1,0))*ROUND(AG525*VLOOKUP(INDEX('章节与怪物'!$E$31:$K$37,B525,3),'章节与怪物'!$A$41:$F$44,2,FALSE),0)+IF(3=D525,ROUND(AG525*'难度参数'!$E$28*'章节与怪物'!$E$17,0),0))</x:f>
        <x:v>737000</x:v>
      </x:c>
      <x:c r="AI525" s="119" t="n">
        <x:f>IF(AF525=0,0,(AF525-IF(3=D525,1,0))*VLOOKUP(INDEX('章节与怪物'!$E$31:$K$37,B525,3),'章节与怪物'!$A$41:$F$44,4,FALSE)+IF(3=D525,'难度参数'!$E$30,0))</x:f>
        <x:v>1120</x:v>
      </x:c>
      <x:c r="AJ525" s="119" t="n">
        <x:f>IF(4&gt;D525,0,MAX(2,MIN('难度参数'!$E$12,ROUND(('难度参数'!$E$18*POWER(A525,'难度参数'!$E$19)/D525*(0.85+0.3*(4-1)/MAX(1,D525-1))),0)+F525)))</x:f>
        <x:v>42</x:v>
      </x:c>
      <x:c r="AK525" s="119" t="n">
        <x:f>IF(4&gt;D525,0,ROUND(('难度参数'!$E$13*POWER(A525,'难度参数'!$E$20)*MIN('难度参数'!$E$23,1+MAX(0,A525-'难度参数'!$E$21)*'难度参数'!$E$22))*(36+4*7)/(36+7*(D525+1)/2)*E525,0))</x:f>
        <x:v>12169</x:v>
      </x:c>
      <x:c r="AL525" s="119" t="n">
        <x:f>IF(AJ525=0,0,(AJ525-IF(4=D525,1,0))*ROUND(AK525*VLOOKUP(INDEX('章节与怪物'!$E$31:$K$37,B525,4),'章节与怪物'!$A$41:$F$44,2,FALSE),0)+IF(4=D525,ROUND(AK525*'难度参数'!$E$28*'章节与怪物'!$E$17,0),0))</x:f>
        <x:v>689976</x:v>
      </x:c>
      <x:c r="AM525" s="119" t="n">
        <x:f>IF(AJ525=0,0,(AJ525-IF(4=D525,1,0))*VLOOKUP(INDEX('章节与怪物'!$E$31:$K$37,B525,4),'章节与怪物'!$A$41:$F$44,4,FALSE)+IF(4=D525,'难度参数'!$E$30,0))</x:f>
        <x:v>1428</x:v>
      </x:c>
      <x:c r="AN525" s="119" t="n">
        <x:f>IF(5&gt;D525,0,MAX(2,MIN('难度参数'!$E$12,ROUND(('难度参数'!$E$18*POWER(A525,'难度参数'!$E$19)/D525*(0.85+0.3*(5-1)/MAX(1,D525-1))),0)+F525)))</x:f>
        <x:v>44</x:v>
      </x:c>
      <x:c r="AO525" s="119" t="n">
        <x:f>IF(5&gt;D525,0,ROUND(('难度参数'!$E$13*POWER(A525,'难度参数'!$E$20)*MIN('难度参数'!$E$23,1+MAX(0,A525-'难度参数'!$E$21)*'难度参数'!$E$22))*(36+5*7)/(36+7*(D525+1)/2)*E525,0))</x:f>
        <x:v>13500</x:v>
      </x:c>
      <x:c r="AP525" s="119" t="n">
        <x:f>IF(AN525=0,0,(AN525-IF(5=D525,1,0))*ROUND(AO525*VLOOKUP(INDEX('章节与怪物'!$E$31:$K$37,B525,5),'章节与怪物'!$A$41:$F$44,2,FALSE),0)+IF(5=D525,ROUND(AO525*'难度参数'!$E$28*'章节与怪物'!$E$17,0),0))</x:f>
        <x:v>594000</x:v>
      </x:c>
      <x:c r="AQ525" s="119" t="n">
        <x:f>IF(AN525=0,0,(AN525-IF(5=D525,1,0))*VLOOKUP(INDEX('章节与怪物'!$E$31:$K$37,B525,5),'章节与怪物'!$A$41:$F$44,4,FALSE)+IF(5=D525,'难度参数'!$E$30,0))</x:f>
        <x:v>792</x:v>
      </x:c>
      <x:c r="AR525" s="119" t="n">
        <x:f>IF(6&gt;D525,0,MAX(2,MIN('难度参数'!$E$12,ROUND(('难度参数'!$E$18*POWER(A525,'难度参数'!$E$19)/D525*(0.85+0.3*(6-1)/MAX(1,D525-1))),0)+F525)))</x:f>
        <x:v>46</x:v>
      </x:c>
      <x:c r="AS525" s="119" t="n">
        <x:f>IF(6&gt;D525,0,ROUND(('难度参数'!$E$13*POWER(A525,'难度参数'!$E$20)*MIN('难度参数'!$E$23,1+MAX(0,A525-'难度参数'!$E$21)*'难度参数'!$E$22))*(36+6*7)/(36+7*(D525+1)/2)*E525,0))</x:f>
        <x:v>14831</x:v>
      </x:c>
      <x:c r="AT525" s="119" t="n">
        <x:f>IF(AR525=0,0,(AR525-IF(6=D525,1,0))*ROUND(AS525*VLOOKUP(INDEX('章节与怪物'!$E$31:$K$37,B525,6),'章节与怪物'!$A$41:$F$44,2,FALSE),0)+IF(6=D525,ROUND(AS525*'难度参数'!$E$28*'章节与怪物'!$E$17,0),0))</x:f>
        <x:v>1159798</x:v>
      </x:c>
      <x:c r="AU525" s="119" t="n">
        <x:f>IF(AR525=0,0,(AR525-IF(6=D525,1,0))*VLOOKUP(INDEX('章节与怪物'!$E$31:$K$37,B525,6),'章节与怪物'!$A$41:$F$44,4,FALSE)+IF(6=D525,'难度参数'!$E$30,0))</x:f>
        <x:v>1288</x:v>
      </x:c>
      <x:c r="AV525" s="119" t="n">
        <x:f>IF(7&gt;D525,0,MAX(2,MIN('难度参数'!$E$12,ROUND(('难度参数'!$E$18*POWER(A525,'难度参数'!$E$19)/D525*(0.85+0.3*(7-1)/MAX(1,D525-1))),0)+F525)))</x:f>
        <x:v>48</x:v>
      </x:c>
      <x:c r="AW525" s="119" t="n">
        <x:f>IF(7&gt;D525,0,ROUND(('难度参数'!$E$13*POWER(A525,'难度参数'!$E$20)*MIN('难度参数'!$E$23,1+MAX(0,A525-'难度参数'!$E$21)*'难度参数'!$E$22))*(36+7*7)/(36+7*(D525+1)/2)*E525,0))</x:f>
        <x:v>16162</x:v>
      </x:c>
      <x:c r="AX525" s="119" t="n">
        <x:f>IF(AV525=0,0,(AV525-IF(7=D525,1,0))*ROUND(AW525*VLOOKUP(INDEX('章节与怪物'!$E$31:$K$37,B525,7),'章节与怪物'!$A$41:$F$44,2,FALSE),0)+IF(7=D525,ROUND(AW525*'难度参数'!$E$28*'章节与怪物'!$E$17,0),0))</x:f>
        <x:v>1135395</x:v>
      </x:c>
      <x:c r="AY525" s="119" t="n">
        <x:f>IF(AV525=0,0,(AV525-IF(7=D525,1,0))*VLOOKUP(INDEX('章节与怪物'!$E$31:$K$37,B525,7),'章节与怪物'!$A$41:$F$44,4,FALSE)+IF(7=D525,'难度参数'!$E$30,0))</x:f>
        <x:v>1798</x:v>
      </x:c>
    </x:row>
    <x:row r="526" ht="23" customHeight="1">
      <x:c r="A526" s="119" t="n">
        <x:v>520</x:v>
      </x:c>
      <x:c r="B526" s="119" t="n">
        <x:f>MOD(INT((A526-1)/5),7)+1</x:f>
        <x:v>6</x:v>
      </x:c>
      <x:c r="C526" s="62" t="str">
        <x:f>INDEX('章节与怪物'!$B$31:$B$37,B526)</x:f>
        <x:v>熔岩山脉</x:v>
      </x:c>
      <x:c r="D526" s="119" t="n">
        <x:f>MIN('难度参数'!$E$8,MAX('难度参数'!$E$7,A526))</x:f>
        <x:v>7</x:v>
      </x:c>
      <x:c r="E526" s="106" t="n">
        <x:v>1</x:v>
      </x:c>
      <x:c r="F526" s="106" t="n">
        <x:v>0</x:v>
      </x:c>
      <x:c r="G526" s="106" t="n">
        <x:v>1</x:v>
      </x:c>
      <x:c r="H526" s="119" t="n">
        <x:f>SUM(X526,AB526,AF526,AJ526,AN526,AR526,AV526)</x:f>
        <x:v>294</x:v>
      </x:c>
      <x:c r="I526" s="119" t="n">
        <x:f>SUM(Z526,AD526,AH526,AL526,AP526,AT526,AX526)</x:f>
        <x:v>4896073</x:v>
      </x:c>
      <x:c r="J526" s="119" t="n">
        <x:f>ROUND(INDEX(X526:AY526,1,(D526-1)*4+2)*'难度参数'!$E$28*'章节与怪物'!$E$17,0)</x:f>
        <x:v>110051</x:v>
      </x:c>
      <x:c r="K526" s="119" t="n">
        <x:f>SUM(AA526,AE526,AI526,AM526,AQ526,AU526,AY526)</x:f>
        <x:v>7830</x:v>
      </x:c>
      <x:c r="L526" s="62" t="n">
        <x:f>H526*(ROUNDUP('难度参数'!$E$24/('难度参数'!$E$26*'难度参数'!$E$27),0)*'难度参数'!$E$26)/60</x:f>
        <x:v>3.9200000000000004</x:v>
      </x:c>
      <x:c r="M526" s="62" t="n">
        <x:f>L526+D526*('难度参数'!$E$49+'难度参数'!$E$50)/60</x:f>
        <x:v>5.086666666666667</x:v>
      </x:c>
      <x:c r="N526" s="119" t="n">
        <x:f>ROUNDDOWN(('经济参数'!$E$20+A526*'经济参数'!$E$21)*G526,0)</x:f>
        <x:v>10580</x:v>
      </x:c>
      <x:c r="O526" s="119" t="n">
        <x:f>ROUNDDOWN(MIN('经济参数'!$E$24,'经济参数'!$E$22+A526*'经济参数'!$E$23)*G526,0)</x:f>
        <x:v>0</x:v>
      </x:c>
      <x:c r="P526" s="119" t="n">
        <x:f>ROUNDDOWN((IF(A526&gt;='材料与任务'!$E$31,'材料与任务'!$E$32,IF(A526&gt;='材料与任务'!$E$25,'材料与任务'!$E$26,IF(A526&gt;='材料与任务'!$E$19,'材料与任务'!$E$20,IF(A526&gt;='材料与任务'!$E$13,'材料与任务'!$E$14,'材料与任务'!$E$8)))))*G526,0)</x:f>
        <x:v>6</x:v>
      </x:c>
      <x:c r="Q526" s="119" t="n">
        <x:f>ROUNDDOWN((IF(A526&gt;='材料与任务'!$E$31,'材料与任务'!$E$33,IF(A526&gt;='材料与任务'!$E$25,'材料与任务'!$E$27,IF(A526&gt;='材料与任务'!$E$19,'材料与任务'!$E$21,IF(A526&gt;='材料与任务'!$E$13,'材料与任务'!$E$15,'材料与任务'!$E$9)))))*G526,0)</x:f>
        <x:v>3</x:v>
      </x:c>
      <x:c r="R526" s="110" t="n">
        <x:f>'装备掉落'!$B$38</x:f>
        <x:v>0.6872058758851213</x:v>
      </x:c>
      <x:c r="S526" s="119" t="n">
        <x:f>MAX(IF(VLOOKUP(A526,'装备掉落'!$A$29:$H$34,2,TRUE)&gt;0,1,0),IF(VLOOKUP(A526,'装备掉落'!$A$29:$H$34,3,TRUE)&gt;0,2,0),IF(VLOOKUP(A526,'装备掉落'!$A$29:$H$34,4,TRUE)&gt;0,3,0),IF(VLOOKUP(A526,'装备掉落'!$A$29:$H$34,5,TRUE)&gt;0,4,0),IF(VLOOKUP(A526,'装备掉落'!$A$29:$H$34,6,TRUE)&gt;0,5,0),IF(VLOOKUP(A526,'装备掉落'!$A$29:$H$34,7,TRUE)&gt;0,6,0),IF(VLOOKUP(A526,'装备掉落'!$A$29:$H$34,8,TRUE)&gt;0,7,0))</x:f>
        <x:v>7</x:v>
      </x:c>
      <x:c r="T526" s="119" t="n">
        <x:f>MIN(7,S526+'经济参数'!$E$70)</x:f>
        <x:v>7</x:v>
      </x:c>
      <x:c r="U526" s="119" t="n">
        <x:f>MIN(7,S526+'经济参数'!$E$71)</x:f>
        <x:v>7</x:v>
      </x:c>
      <x:c r="V526" s="119" t="n">
        <x:f>IF(H526&gt;=('难度参数'!$E$52),1,0)+IF(H526&gt;=('难度参数'!$E$52+'难度参数'!$E$53),1,0)+IF(H526&gt;=('难度参数'!$E$52+'难度参数'!$E$53+'难度参数'!$E$54),1,0)+IF(H526&gt;=('难度参数'!$E$52+'难度参数'!$E$53+'难度参数'!$E$54+'难度参数'!$E$55),1,0)+IF(H526&gt;=('难度参数'!$E$52+'难度参数'!$E$53+'难度参数'!$E$54+'难度参数'!$E$55+'难度参数'!$E$56),1,0)+IF(H526&gt;=('难度参数'!$E$52+'难度参数'!$E$53+'难度参数'!$E$54+'难度参数'!$E$55+'难度参数'!$E$56+'难度参数'!$E$57),1,0)</x:f>
        <x:v>6</x:v>
      </x:c>
      <x:c r="W526" s="62" t="str">
        <x:f>IF(L526&gt;'难度参数'!$E$51,"仅出怪已超目标","还需实测")</x:f>
        <x:v>仅出怪已超目标</x:v>
      </x:c>
      <x:c r="X526" s="119" t="n">
        <x:f>IF(1&gt;D526,0,MAX(2,MIN('难度参数'!$E$12,ROUND(('难度参数'!$E$18*POWER(A526,'难度参数'!$E$19)/D526*(0.85+0.3*(1-1)/MAX(1,D526-1))),0)+F526)))</x:f>
        <x:v>36</x:v>
      </x:c>
      <x:c r="Y526" s="119" t="n">
        <x:f>IF(1&gt;D526,0,ROUND(('难度参数'!$E$13*POWER(A526,'难度参数'!$E$20)*MIN('难度参数'!$E$23,1+MAX(0,A526-'难度参数'!$E$21)*'难度参数'!$E$22))*(36+1*7)/(36+7*(D526+1)/2)*E526,0))</x:f>
        <x:v>8187</x:v>
      </x:c>
      <x:c r="Z526" s="119" t="n">
        <x:f>IF(X526=0,0,(X526-IF(1=D526,1,0))*ROUND(Y526*VLOOKUP(INDEX('章节与怪物'!$E$31:$K$37,B526,1),'章节与怪物'!$A$41:$F$44,2,FALSE),0)+IF(1=D526,ROUND(Y526*'难度参数'!$E$28*'章节与怪物'!$E$17,0),0))</x:f>
        <x:v>212220</x:v>
      </x:c>
      <x:c r="AA526" s="119" t="n">
        <x:f>IF(X526=0,0,(X526-IF(1=D526,1,0))*VLOOKUP(INDEX('章节与怪物'!$E$31:$K$37,B526,1),'章节与怪物'!$A$41:$F$44,4,FALSE)+IF(1=D526,'难度参数'!$E$30,0))</x:f>
        <x:v>720</x:v>
      </x:c>
      <x:c r="AB526" s="119" t="n">
        <x:f>IF(2&gt;D526,0,MAX(2,MIN('难度参数'!$E$12,ROUND(('难度参数'!$E$18*POWER(A526,'难度参数'!$E$19)/D526*(0.85+0.3*(2-1)/MAX(1,D526-1))),0)+F526)))</x:f>
        <x:v>38</x:v>
      </x:c>
      <x:c r="AC526" s="119" t="n">
        <x:f>IF(2&gt;D526,0,ROUND(('难度参数'!$E$13*POWER(A526,'难度参数'!$E$20)*MIN('难度参数'!$E$23,1+MAX(0,A526-'难度参数'!$E$21)*'难度参数'!$E$22))*(36+2*7)/(36+7*(D526+1)/2)*E526,0))</x:f>
        <x:v>9520</x:v>
      </x:c>
      <x:c r="AD526" s="119" t="n">
        <x:f>IF(AB526=0,0,(AB526-IF(2=D526,1,0))*ROUND(AC526*VLOOKUP(INDEX('章节与怪物'!$E$31:$K$37,B526,2),'章节与怪物'!$A$41:$F$44,2,FALSE),0)+IF(2=D526,ROUND(AC526*'难度参数'!$E$28*'章节与怪物'!$E$17,0),0))</x:f>
        <x:v>361760</x:v>
      </x:c>
      <x:c r="AE526" s="119" t="n">
        <x:f>IF(AB526=0,0,(AB526-IF(2=D526,1,0))*VLOOKUP(INDEX('章节与怪物'!$E$31:$K$37,B526,2),'章节与怪物'!$A$41:$F$44,4,FALSE)+IF(2=D526,'难度参数'!$E$30,0))</x:f>
        <x:v>684</x:v>
      </x:c>
      <x:c r="AF526" s="119" t="n">
        <x:f>IF(3&gt;D526,0,MAX(2,MIN('难度参数'!$E$12,ROUND(('难度参数'!$E$18*POWER(A526,'难度参数'!$E$19)/D526*(0.85+0.3*(3-1)/MAX(1,D526-1))),0)+F526)))</x:f>
        <x:v>40</x:v>
      </x:c>
      <x:c r="AG526" s="119" t="n">
        <x:f>IF(3&gt;D526,0,ROUND(('难度参数'!$E$13*POWER(A526,'难度参数'!$E$20)*MIN('难度参数'!$E$23,1+MAX(0,A526-'难度参数'!$E$21)*'难度参数'!$E$22))*(36+3*7)/(36+7*(D526+1)/2)*E526,0))</x:f>
        <x:v>10853</x:v>
      </x:c>
      <x:c r="AH526" s="119" t="n">
        <x:f>IF(AF526=0,0,(AF526-IF(3=D526,1,0))*ROUND(AG526*VLOOKUP(INDEX('章节与怪物'!$E$31:$K$37,B526,3),'章节与怪物'!$A$41:$F$44,2,FALSE),0)+IF(3=D526,ROUND(AG526*'难度参数'!$E$28*'章节与怪物'!$E$17,0),0))</x:f>
        <x:v>738000</x:v>
      </x:c>
      <x:c r="AI526" s="119" t="n">
        <x:f>IF(AF526=0,0,(AF526-IF(3=D526,1,0))*VLOOKUP(INDEX('章节与怪物'!$E$31:$K$37,B526,3),'章节与怪物'!$A$41:$F$44,4,FALSE)+IF(3=D526,'难度参数'!$E$30,0))</x:f>
        <x:v>1120</x:v>
      </x:c>
      <x:c r="AJ526" s="119" t="n">
        <x:f>IF(4&gt;D526,0,MAX(2,MIN('难度参数'!$E$12,ROUND(('难度参数'!$E$18*POWER(A526,'难度参数'!$E$19)/D526*(0.85+0.3*(4-1)/MAX(1,D526-1))),0)+F526)))</x:f>
        <x:v>42</x:v>
      </x:c>
      <x:c r="AK526" s="119" t="n">
        <x:f>IF(4&gt;D526,0,ROUND(('难度参数'!$E$13*POWER(A526,'难度参数'!$E$20)*MIN('难度参数'!$E$23,1+MAX(0,A526-'难度参数'!$E$21)*'难度参数'!$E$22))*(36+4*7)/(36+7*(D526+1)/2)*E526,0))</x:f>
        <x:v>12186</x:v>
      </x:c>
      <x:c r="AL526" s="119" t="n">
        <x:f>IF(AJ526=0,0,(AJ526-IF(4=D526,1,0))*ROUND(AK526*VLOOKUP(INDEX('章节与怪物'!$E$31:$K$37,B526,4),'章节与怪物'!$A$41:$F$44,2,FALSE),0)+IF(4=D526,ROUND(AK526*'难度参数'!$E$28*'章节与怪物'!$E$17,0),0))</x:f>
        <x:v>690942</x:v>
      </x:c>
      <x:c r="AM526" s="119" t="n">
        <x:f>IF(AJ526=0,0,(AJ526-IF(4=D526,1,0))*VLOOKUP(INDEX('章节与怪物'!$E$31:$K$37,B526,4),'章节与怪物'!$A$41:$F$44,4,FALSE)+IF(4=D526,'难度参数'!$E$30,0))</x:f>
        <x:v>1428</x:v>
      </x:c>
      <x:c r="AN526" s="119" t="n">
        <x:f>IF(5&gt;D526,0,MAX(2,MIN('难度参数'!$E$12,ROUND(('难度参数'!$E$18*POWER(A526,'难度参数'!$E$19)/D526*(0.85+0.3*(5-1)/MAX(1,D526-1))),0)+F526)))</x:f>
        <x:v>44</x:v>
      </x:c>
      <x:c r="AO526" s="119" t="n">
        <x:f>IF(5&gt;D526,0,ROUND(('难度参数'!$E$13*POWER(A526,'难度参数'!$E$20)*MIN('难度参数'!$E$23,1+MAX(0,A526-'难度参数'!$E$21)*'难度参数'!$E$22))*(36+5*7)/(36+7*(D526+1)/2)*E526,0))</x:f>
        <x:v>13519</x:v>
      </x:c>
      <x:c r="AP526" s="119" t="n">
        <x:f>IF(AN526=0,0,(AN526-IF(5=D526,1,0))*ROUND(AO526*VLOOKUP(INDEX('章节与怪物'!$E$31:$K$37,B526,5),'章节与怪物'!$A$41:$F$44,2,FALSE),0)+IF(5=D526,ROUND(AO526*'难度参数'!$E$28*'章节与怪物'!$E$17,0),0))</x:f>
        <x:v>594836</x:v>
      </x:c>
      <x:c r="AQ526" s="119" t="n">
        <x:f>IF(AN526=0,0,(AN526-IF(5=D526,1,0))*VLOOKUP(INDEX('章节与怪物'!$E$31:$K$37,B526,5),'章节与怪物'!$A$41:$F$44,4,FALSE)+IF(5=D526,'难度参数'!$E$30,0))</x:f>
        <x:v>792</x:v>
      </x:c>
      <x:c r="AR526" s="119" t="n">
        <x:f>IF(6&gt;D526,0,MAX(2,MIN('难度参数'!$E$12,ROUND(('难度参数'!$E$18*POWER(A526,'难度参数'!$E$19)/D526*(0.85+0.3*(6-1)/MAX(1,D526-1))),0)+F526)))</x:f>
        <x:v>46</x:v>
      </x:c>
      <x:c r="AS526" s="119" t="n">
        <x:f>IF(6&gt;D526,0,ROUND(('难度参数'!$E$13*POWER(A526,'难度参数'!$E$20)*MIN('难度参数'!$E$23,1+MAX(0,A526-'难度参数'!$E$21)*'难度参数'!$E$22))*(36+6*7)/(36+7*(D526+1)/2)*E526,0))</x:f>
        <x:v>14852</x:v>
      </x:c>
      <x:c r="AT526" s="119" t="n">
        <x:f>IF(AR526=0,0,(AR526-IF(6=D526,1,0))*ROUND(AS526*VLOOKUP(INDEX('章节与怪物'!$E$31:$K$37,B526,6),'章节与怪物'!$A$41:$F$44,2,FALSE),0)+IF(6=D526,ROUND(AS526*'难度参数'!$E$28*'章节与怪物'!$E$17,0),0))</x:f>
        <x:v>1161408</x:v>
      </x:c>
      <x:c r="AU526" s="119" t="n">
        <x:f>IF(AR526=0,0,(AR526-IF(6=D526,1,0))*VLOOKUP(INDEX('章节与怪物'!$E$31:$K$37,B526,6),'章节与怪物'!$A$41:$F$44,4,FALSE)+IF(6=D526,'难度参数'!$E$30,0))</x:f>
        <x:v>1288</x:v>
      </x:c>
      <x:c r="AV526" s="119" t="n">
        <x:f>IF(7&gt;D526,0,MAX(2,MIN('难度参数'!$E$12,ROUND(('难度参数'!$E$18*POWER(A526,'难度参数'!$E$19)/D526*(0.85+0.3*(7-1)/MAX(1,D526-1))),0)+F526)))</x:f>
        <x:v>48</x:v>
      </x:c>
      <x:c r="AW526" s="119" t="n">
        <x:f>IF(7&gt;D526,0,ROUND(('难度参数'!$E$13*POWER(A526,'难度参数'!$E$20)*MIN('难度参数'!$E$23,1+MAX(0,A526-'难度参数'!$E$21)*'难度参数'!$E$22))*(36+7*7)/(36+7*(D526+1)/2)*E526,0))</x:f>
        <x:v>16184</x:v>
      </x:c>
      <x:c r="AX526" s="119" t="n">
        <x:f>IF(AV526=0,0,(AV526-IF(7=D526,1,0))*ROUND(AW526*VLOOKUP(INDEX('章节与怪物'!$E$31:$K$37,B526,7),'章节与怪物'!$A$41:$F$44,2,FALSE),0)+IF(7=D526,ROUND(AW526*'难度参数'!$E$28*'章节与怪物'!$E$17,0),0))</x:f>
        <x:v>1136907</x:v>
      </x:c>
      <x:c r="AY526" s="119" t="n">
        <x:f>IF(AV526=0,0,(AV526-IF(7=D526,1,0))*VLOOKUP(INDEX('章节与怪物'!$E$31:$K$37,B526,7),'章节与怪物'!$A$41:$F$44,4,FALSE)+IF(7=D526,'难度参数'!$E$30,0))</x:f>
        <x:v>1798</x:v>
      </x:c>
    </x:row>
    <x:row r="527" ht="23" customHeight="1">
      <x:c r="A527" s="119" t="n">
        <x:v>521</x:v>
      </x:c>
      <x:c r="B527" s="119" t="n">
        <x:f>MOD(INT((A527-1)/5),7)+1</x:f>
        <x:v>7</x:v>
      </x:c>
      <x:c r="C527" s="62" t="str">
        <x:f>INDEX('章节与怪物'!$B$31:$B$37,B527)</x:f>
        <x:v>魔法山脊</x:v>
      </x:c>
      <x:c r="D527" s="119" t="n">
        <x:f>MIN('难度参数'!$E$8,MAX('难度参数'!$E$7,A527))</x:f>
        <x:v>7</x:v>
      </x:c>
      <x:c r="E527" s="106" t="n">
        <x:v>1</x:v>
      </x:c>
      <x:c r="F527" s="106" t="n">
        <x:v>0</x:v>
      </x:c>
      <x:c r="G527" s="106" t="n">
        <x:v>1</x:v>
      </x:c>
      <x:c r="H527" s="119" t="n">
        <x:f>SUM(X527,AB527,AF527,AJ527,AN527,AR527,AV527)</x:f>
        <x:v>294</x:v>
      </x:c>
      <x:c r="I527" s="119" t="n">
        <x:f>SUM(Z527,AD527,AH527,AL527,AP527,AT527,AX527)</x:f>
        <x:v>4717305</x:v>
      </x:c>
      <x:c r="J527" s="119" t="n">
        <x:f>ROUND(INDEX(X527:AY527,1,(D527-1)*4+2)*'难度参数'!$E$28*'章节与怪物'!$E$17,0)</x:f>
        <x:v>110208</x:v>
      </x:c>
      <x:c r="K527" s="119" t="n">
        <x:f>SUM(AA527,AE527,AI527,AM527,AQ527,AU527,AY527)</x:f>
        <x:v>7922</x:v>
      </x:c>
      <x:c r="L527" s="62" t="n">
        <x:f>H527*(ROUNDUP('难度参数'!$E$24/('难度参数'!$E$26*'难度参数'!$E$27),0)*'难度参数'!$E$26)/60</x:f>
        <x:v>3.9200000000000004</x:v>
      </x:c>
      <x:c r="M527" s="62" t="n">
        <x:f>L527+D527*('难度参数'!$E$49+'难度参数'!$E$50)/60</x:f>
        <x:v>5.086666666666667</x:v>
      </x:c>
      <x:c r="N527" s="119" t="n">
        <x:f>ROUNDDOWN(('经济参数'!$E$20+A527*'经济参数'!$E$21)*G527,0)</x:f>
        <x:v>10600</x:v>
      </x:c>
      <x:c r="O527" s="119" t="n">
        <x:f>ROUNDDOWN(MIN('经济参数'!$E$24,'经济参数'!$E$22+A527*'经济参数'!$E$23)*G527,0)</x:f>
        <x:v>0</x:v>
      </x:c>
      <x:c r="P527" s="119" t="n">
        <x:f>ROUNDDOWN((IF(A527&gt;='材料与任务'!$E$31,'材料与任务'!$E$32,IF(A527&gt;='材料与任务'!$E$25,'材料与任务'!$E$26,IF(A527&gt;='材料与任务'!$E$19,'材料与任务'!$E$20,IF(A527&gt;='材料与任务'!$E$13,'材料与任务'!$E$14,'材料与任务'!$E$8)))))*G527,0)</x:f>
        <x:v>6</x:v>
      </x:c>
      <x:c r="Q527" s="119" t="n">
        <x:f>ROUNDDOWN((IF(A527&gt;='材料与任务'!$E$31,'材料与任务'!$E$33,IF(A527&gt;='材料与任务'!$E$25,'材料与任务'!$E$27,IF(A527&gt;='材料与任务'!$E$19,'材料与任务'!$E$21,IF(A527&gt;='材料与任务'!$E$13,'材料与任务'!$E$15,'材料与任务'!$E$9)))))*G527,0)</x:f>
        <x:v>3</x:v>
      </x:c>
      <x:c r="R527" s="110" t="n">
        <x:f>'装备掉落'!$B$38</x:f>
        <x:v>0.6872058758851213</x:v>
      </x:c>
      <x:c r="S527" s="119" t="n">
        <x:f>MAX(IF(VLOOKUP(A527,'装备掉落'!$A$29:$H$34,2,TRUE)&gt;0,1,0),IF(VLOOKUP(A527,'装备掉落'!$A$29:$H$34,3,TRUE)&gt;0,2,0),IF(VLOOKUP(A527,'装备掉落'!$A$29:$H$34,4,TRUE)&gt;0,3,0),IF(VLOOKUP(A527,'装备掉落'!$A$29:$H$34,5,TRUE)&gt;0,4,0),IF(VLOOKUP(A527,'装备掉落'!$A$29:$H$34,6,TRUE)&gt;0,5,0),IF(VLOOKUP(A527,'装备掉落'!$A$29:$H$34,7,TRUE)&gt;0,6,0),IF(VLOOKUP(A527,'装备掉落'!$A$29:$H$34,8,TRUE)&gt;0,7,0))</x:f>
        <x:v>7</x:v>
      </x:c>
      <x:c r="T527" s="119" t="n">
        <x:f>MIN(7,S527+'经济参数'!$E$70)</x:f>
        <x:v>7</x:v>
      </x:c>
      <x:c r="U527" s="119" t="n">
        <x:f>MIN(7,S527+'经济参数'!$E$71)</x:f>
        <x:v>7</x:v>
      </x:c>
      <x:c r="V527" s="119" t="n">
        <x:f>IF(H527&gt;=('难度参数'!$E$52),1,0)+IF(H527&gt;=('难度参数'!$E$52+'难度参数'!$E$53),1,0)+IF(H527&gt;=('难度参数'!$E$52+'难度参数'!$E$53+'难度参数'!$E$54),1,0)+IF(H527&gt;=('难度参数'!$E$52+'难度参数'!$E$53+'难度参数'!$E$54+'难度参数'!$E$55),1,0)+IF(H527&gt;=('难度参数'!$E$52+'难度参数'!$E$53+'难度参数'!$E$54+'难度参数'!$E$55+'难度参数'!$E$56),1,0)+IF(H527&gt;=('难度参数'!$E$52+'难度参数'!$E$53+'难度参数'!$E$54+'难度参数'!$E$55+'难度参数'!$E$56+'难度参数'!$E$57),1,0)</x:f>
        <x:v>6</x:v>
      </x:c>
      <x:c r="W527" s="62" t="str">
        <x:f>IF(L527&gt;'难度参数'!$E$51,"仅出怪已超目标","还需实测")</x:f>
        <x:v>仅出怪已超目标</x:v>
      </x:c>
      <x:c r="X527" s="119" t="n">
        <x:f>IF(1&gt;D527,0,MAX(2,MIN('难度参数'!$E$12,ROUND(('难度参数'!$E$18*POWER(A527,'难度参数'!$E$19)/D527*(0.85+0.3*(1-1)/MAX(1,D527-1))),0)+F527)))</x:f>
        <x:v>36</x:v>
      </x:c>
      <x:c r="Y527" s="119" t="n">
        <x:f>IF(1&gt;D527,0,ROUND(('难度参数'!$E$13*POWER(A527,'难度参数'!$E$20)*MIN('难度参数'!$E$23,1+MAX(0,A527-'难度参数'!$E$21)*'难度参数'!$E$22))*(36+1*7)/(36+7*(D527+1)/2)*E527,0))</x:f>
        <x:v>8199</x:v>
      </x:c>
      <x:c r="Z527" s="119" t="n">
        <x:f>IF(X527=0,0,(X527-IF(1=D527,1,0))*ROUND(Y527*VLOOKUP(INDEX('章节与怪物'!$E$31:$K$37,B527,1),'章节与怪物'!$A$41:$F$44,2,FALSE),0)+IF(1=D527,ROUND(Y527*'难度参数'!$E$28*'章节与怪物'!$E$17,0),0))</x:f>
        <x:v>295164</x:v>
      </x:c>
      <x:c r="AA527" s="119" t="n">
        <x:f>IF(X527=0,0,(X527-IF(1=D527,1,0))*VLOOKUP(INDEX('章节与怪物'!$E$31:$K$37,B527,1),'章节与怪物'!$A$41:$F$44,4,FALSE)+IF(1=D527,'难度参数'!$E$30,0))</x:f>
        <x:v>648</x:v>
      </x:c>
      <x:c r="AB527" s="119" t="n">
        <x:f>IF(2&gt;D527,0,MAX(2,MIN('难度参数'!$E$12,ROUND(('难度参数'!$E$18*POWER(A527,'难度参数'!$E$19)/D527*(0.85+0.3*(2-1)/MAX(1,D527-1))),0)+F527)))</x:f>
        <x:v>38</x:v>
      </x:c>
      <x:c r="AC527" s="119" t="n">
        <x:f>IF(2&gt;D527,0,ROUND(('难度参数'!$E$13*POWER(A527,'难度参数'!$E$20)*MIN('难度参数'!$E$23,1+MAX(0,A527-'难度参数'!$E$21)*'难度参数'!$E$22))*(36+2*7)/(36+7*(D527+1)/2)*E527,0))</x:f>
        <x:v>9533</x:v>
      </x:c>
      <x:c r="AD527" s="119" t="n">
        <x:f>IF(AB527=0,0,(AB527-IF(2=D527,1,0))*ROUND(AC527*VLOOKUP(INDEX('章节与怪物'!$E$31:$K$37,B527,2),'章节与怪物'!$A$41:$F$44,2,FALSE),0)+IF(2=D527,ROUND(AC527*'难度参数'!$E$28*'章节与怪物'!$E$17,0),0))</x:f>
        <x:v>260832</x:v>
      </x:c>
      <x:c r="AE527" s="119" t="n">
        <x:f>IF(AB527=0,0,(AB527-IF(2=D527,1,0))*VLOOKUP(INDEX('章节与怪物'!$E$31:$K$37,B527,2),'章节与怪物'!$A$41:$F$44,4,FALSE)+IF(2=D527,'难度参数'!$E$30,0))</x:f>
        <x:v>760</x:v>
      </x:c>
      <x:c r="AF527" s="119" t="n">
        <x:f>IF(3&gt;D527,0,MAX(2,MIN('难度参数'!$E$12,ROUND(('难度参数'!$E$18*POWER(A527,'难度参数'!$E$19)/D527*(0.85+0.3*(3-1)/MAX(1,D527-1))),0)+F527)))</x:f>
        <x:v>40</x:v>
      </x:c>
      <x:c r="AG527" s="119" t="n">
        <x:f>IF(3&gt;D527,0,ROUND(('难度参数'!$E$13*POWER(A527,'难度参数'!$E$20)*MIN('难度参数'!$E$23,1+MAX(0,A527-'难度参数'!$E$21)*'难度参数'!$E$22))*(36+3*7)/(36+7*(D527+1)/2)*E527,0))</x:f>
        <x:v>10868</x:v>
      </x:c>
      <x:c r="AH527" s="119" t="n">
        <x:f>IF(AF527=0,0,(AF527-IF(3=D527,1,0))*ROUND(AG527*VLOOKUP(INDEX('章节与怪物'!$E$31:$K$37,B527,3),'章节与怪物'!$A$41:$F$44,2,FALSE),0)+IF(3=D527,ROUND(AG527*'难度参数'!$E$28*'章节与怪物'!$E$17,0),0))</x:f>
        <x:v>739040</x:v>
      </x:c>
      <x:c r="AI527" s="119" t="n">
        <x:f>IF(AF527=0,0,(AF527-IF(3=D527,1,0))*VLOOKUP(INDEX('章节与怪物'!$E$31:$K$37,B527,3),'章节与怪物'!$A$41:$F$44,4,FALSE)+IF(3=D527,'难度参数'!$E$30,0))</x:f>
        <x:v>1120</x:v>
      </x:c>
      <x:c r="AJ527" s="119" t="n">
        <x:f>IF(4&gt;D527,0,MAX(2,MIN('难度参数'!$E$12,ROUND(('难度参数'!$E$18*POWER(A527,'难度参数'!$E$19)/D527*(0.85+0.3*(4-1)/MAX(1,D527-1))),0)+F527)))</x:f>
        <x:v>42</x:v>
      </x:c>
      <x:c r="AK527" s="119" t="n">
        <x:f>IF(4&gt;D527,0,ROUND(('难度参数'!$E$13*POWER(A527,'难度参数'!$E$20)*MIN('难度参数'!$E$23,1+MAX(0,A527-'难度参数'!$E$21)*'难度参数'!$E$22))*(36+4*7)/(36+7*(D527+1)/2)*E527,0))</x:f>
        <x:v>12203</x:v>
      </x:c>
      <x:c r="AL527" s="119" t="n">
        <x:f>IF(AJ527=0,0,(AJ527-IF(4=D527,1,0))*ROUND(AK527*VLOOKUP(INDEX('章节与怪物'!$E$31:$K$37,B527,4),'章节与怪物'!$A$41:$F$44,2,FALSE),0)+IF(4=D527,ROUND(AK527*'难度参数'!$E$28*'章节与怪物'!$E$17,0),0))</x:f>
        <x:v>691908</x:v>
      </x:c>
      <x:c r="AM527" s="119" t="n">
        <x:f>IF(AJ527=0,0,(AJ527-IF(4=D527,1,0))*VLOOKUP(INDEX('章节与怪物'!$E$31:$K$37,B527,4),'章节与怪物'!$A$41:$F$44,4,FALSE)+IF(4=D527,'难度参数'!$E$30,0))</x:f>
        <x:v>1428</x:v>
      </x:c>
      <x:c r="AN527" s="119" t="n">
        <x:f>IF(5&gt;D527,0,MAX(2,MIN('难度参数'!$E$12,ROUND(('难度参数'!$E$18*POWER(A527,'难度参数'!$E$19)/D527*(0.85+0.3*(5-1)/MAX(1,D527-1))),0)+F527)))</x:f>
        <x:v>44</x:v>
      </x:c>
      <x:c r="AO527" s="119" t="n">
        <x:f>IF(5&gt;D527,0,ROUND(('难度参数'!$E$13*POWER(A527,'难度参数'!$E$20)*MIN('难度参数'!$E$23,1+MAX(0,A527-'难度参数'!$E$21)*'难度参数'!$E$22))*(36+5*7)/(36+7*(D527+1)/2)*E527,0))</x:f>
        <x:v>13537</x:v>
      </x:c>
      <x:c r="AP527" s="119" t="n">
        <x:f>IF(AN527=0,0,(AN527-IF(5=D527,1,0))*ROUND(AO527*VLOOKUP(INDEX('章节与怪物'!$E$31:$K$37,B527,5),'章节与怪物'!$A$41:$F$44,2,FALSE),0)+IF(5=D527,ROUND(AO527*'难度参数'!$E$28*'章节与怪物'!$E$17,0),0))</x:f>
        <x:v>428868</x:v>
      </x:c>
      <x:c r="AQ527" s="119" t="n">
        <x:f>IF(AN527=0,0,(AN527-IF(5=D527,1,0))*VLOOKUP(INDEX('章节与怪物'!$E$31:$K$37,B527,5),'章节与怪物'!$A$41:$F$44,4,FALSE)+IF(5=D527,'难度参数'!$E$30,0))</x:f>
        <x:v>880</x:v>
      </x:c>
      <x:c r="AR527" s="119" t="n">
        <x:f>IF(6&gt;D527,0,MAX(2,MIN('难度参数'!$E$12,ROUND(('难度参数'!$E$18*POWER(A527,'难度参数'!$E$19)/D527*(0.85+0.3*(6-1)/MAX(1,D527-1))),0)+F527)))</x:f>
        <x:v>46</x:v>
      </x:c>
      <x:c r="AS527" s="119" t="n">
        <x:f>IF(6&gt;D527,0,ROUND(('难度参数'!$E$13*POWER(A527,'难度参数'!$E$20)*MIN('难度参数'!$E$23,1+MAX(0,A527-'难度参数'!$E$21)*'难度参数'!$E$22))*(36+6*7)/(36+7*(D527+1)/2)*E527,0))</x:f>
        <x:v>14872</x:v>
      </x:c>
      <x:c r="AT527" s="119" t="n">
        <x:f>IF(AR527=0,0,(AR527-IF(6=D527,1,0))*ROUND(AS527*VLOOKUP(INDEX('章节与怪物'!$E$31:$K$37,B527,6),'章节与怪物'!$A$41:$F$44,2,FALSE),0)+IF(6=D527,ROUND(AS527*'难度参数'!$E$28*'章节与怪物'!$E$17,0),0))</x:f>
        <x:v>1162972</x:v>
      </x:c>
      <x:c r="AU527" s="119" t="n">
        <x:f>IF(AR527=0,0,(AR527-IF(6=D527,1,0))*VLOOKUP(INDEX('章节与怪物'!$E$31:$K$37,B527,6),'章节与怪物'!$A$41:$F$44,4,FALSE)+IF(6=D527,'难度参数'!$E$30,0))</x:f>
        <x:v>1288</x:v>
      </x:c>
      <x:c r="AV527" s="119" t="n">
        <x:f>IF(7&gt;D527,0,MAX(2,MIN('难度参数'!$E$12,ROUND(('难度参数'!$E$18*POWER(A527,'难度参数'!$E$19)/D527*(0.85+0.3*(7-1)/MAX(1,D527-1))),0)+F527)))</x:f>
        <x:v>48</x:v>
      </x:c>
      <x:c r="AW527" s="119" t="n">
        <x:f>IF(7&gt;D527,0,ROUND(('难度参数'!$E$13*POWER(A527,'难度参数'!$E$20)*MIN('难度参数'!$E$23,1+MAX(0,A527-'难度参数'!$E$21)*'难度参数'!$E$22))*(36+7*7)/(36+7*(D527+1)/2)*E527,0))</x:f>
        <x:v>16207</x:v>
      </x:c>
      <x:c r="AX527" s="119" t="n">
        <x:f>IF(AV527=0,0,(AV527-IF(7=D527,1,0))*ROUND(AW527*VLOOKUP(INDEX('章节与怪物'!$E$31:$K$37,B527,7),'章节与怪物'!$A$41:$F$44,2,FALSE),0)+IF(7=D527,ROUND(AW527*'难度参数'!$E$28*'章节与怪物'!$E$17,0),0))</x:f>
        <x:v>1138521</x:v>
      </x:c>
      <x:c r="AY527" s="119" t="n">
        <x:f>IF(AV527=0,0,(AV527-IF(7=D527,1,0))*VLOOKUP(INDEX('章节与怪物'!$E$31:$K$37,B527,7),'章节与怪物'!$A$41:$F$44,4,FALSE)+IF(7=D527,'难度参数'!$E$30,0))</x:f>
        <x:v>1798</x:v>
      </x:c>
    </x:row>
    <x:row r="528" ht="23" customHeight="1">
      <x:c r="A528" s="119" t="n">
        <x:v>522</x:v>
      </x:c>
      <x:c r="B528" s="119" t="n">
        <x:f>MOD(INT((A528-1)/5),7)+1</x:f>
        <x:v>7</x:v>
      </x:c>
      <x:c r="C528" s="62" t="str">
        <x:f>INDEX('章节与怪物'!$B$31:$B$37,B528)</x:f>
        <x:v>魔法山脊</x:v>
      </x:c>
      <x:c r="D528" s="119" t="n">
        <x:f>MIN('难度参数'!$E$8,MAX('难度参数'!$E$7,A528))</x:f>
        <x:v>7</x:v>
      </x:c>
      <x:c r="E528" s="106" t="n">
        <x:v>1</x:v>
      </x:c>
      <x:c r="F528" s="106" t="n">
        <x:v>0</x:v>
      </x:c>
      <x:c r="G528" s="106" t="n">
        <x:v>1</x:v>
      </x:c>
      <x:c r="H528" s="119" t="n">
        <x:f>SUM(X528,AB528,AF528,AJ528,AN528,AR528,AV528)</x:f>
        <x:v>294</x:v>
      </x:c>
      <x:c r="I528" s="119" t="n">
        <x:f>SUM(Z528,AD528,AH528,AL528,AP528,AT528,AX528)</x:f>
        <x:v>4723834</x:v>
      </x:c>
      <x:c r="J528" s="119" t="n">
        <x:f>ROUND(INDEX(X528:AY528,1,(D528-1)*4+2)*'难度参数'!$E$28*'章节与怪物'!$E$17,0)</x:f>
        <x:v>110357</x:v>
      </x:c>
      <x:c r="K528" s="119" t="n">
        <x:f>SUM(AA528,AE528,AI528,AM528,AQ528,AU528,AY528)</x:f>
        <x:v>7922</x:v>
      </x:c>
      <x:c r="L528" s="62" t="n">
        <x:f>H528*(ROUNDUP('难度参数'!$E$24/('难度参数'!$E$26*'难度参数'!$E$27),0)*'难度参数'!$E$26)/60</x:f>
        <x:v>3.9200000000000004</x:v>
      </x:c>
      <x:c r="M528" s="62" t="n">
        <x:f>L528+D528*('难度参数'!$E$49+'难度参数'!$E$50)/60</x:f>
        <x:v>5.086666666666667</x:v>
      </x:c>
      <x:c r="N528" s="119" t="n">
        <x:f>ROUNDDOWN(('经济参数'!$E$20+A528*'经济参数'!$E$21)*G528,0)</x:f>
        <x:v>10620</x:v>
      </x:c>
      <x:c r="O528" s="119" t="n">
        <x:f>ROUNDDOWN(MIN('经济参数'!$E$24,'经济参数'!$E$22+A528*'经济参数'!$E$23)*G528,0)</x:f>
        <x:v>0</x:v>
      </x:c>
      <x:c r="P528" s="119" t="n">
        <x:f>ROUNDDOWN((IF(A528&gt;='材料与任务'!$E$31,'材料与任务'!$E$32,IF(A528&gt;='材料与任务'!$E$25,'材料与任务'!$E$26,IF(A528&gt;='材料与任务'!$E$19,'材料与任务'!$E$20,IF(A528&gt;='材料与任务'!$E$13,'材料与任务'!$E$14,'材料与任务'!$E$8)))))*G528,0)</x:f>
        <x:v>6</x:v>
      </x:c>
      <x:c r="Q528" s="119" t="n">
        <x:f>ROUNDDOWN((IF(A528&gt;='材料与任务'!$E$31,'材料与任务'!$E$33,IF(A528&gt;='材料与任务'!$E$25,'材料与任务'!$E$27,IF(A528&gt;='材料与任务'!$E$19,'材料与任务'!$E$21,IF(A528&gt;='材料与任务'!$E$13,'材料与任务'!$E$15,'材料与任务'!$E$9)))))*G528,0)</x:f>
        <x:v>3</x:v>
      </x:c>
      <x:c r="R528" s="110" t="n">
        <x:f>'装备掉落'!$B$38</x:f>
        <x:v>0.6872058758851213</x:v>
      </x:c>
      <x:c r="S528" s="119" t="n">
        <x:f>MAX(IF(VLOOKUP(A528,'装备掉落'!$A$29:$H$34,2,TRUE)&gt;0,1,0),IF(VLOOKUP(A528,'装备掉落'!$A$29:$H$34,3,TRUE)&gt;0,2,0),IF(VLOOKUP(A528,'装备掉落'!$A$29:$H$34,4,TRUE)&gt;0,3,0),IF(VLOOKUP(A528,'装备掉落'!$A$29:$H$34,5,TRUE)&gt;0,4,0),IF(VLOOKUP(A528,'装备掉落'!$A$29:$H$34,6,TRUE)&gt;0,5,0),IF(VLOOKUP(A528,'装备掉落'!$A$29:$H$34,7,TRUE)&gt;0,6,0),IF(VLOOKUP(A528,'装备掉落'!$A$29:$H$34,8,TRUE)&gt;0,7,0))</x:f>
        <x:v>7</x:v>
      </x:c>
      <x:c r="T528" s="119" t="n">
        <x:f>MIN(7,S528+'经济参数'!$E$70)</x:f>
        <x:v>7</x:v>
      </x:c>
      <x:c r="U528" s="119" t="n">
        <x:f>MIN(7,S528+'经济参数'!$E$71)</x:f>
        <x:v>7</x:v>
      </x:c>
      <x:c r="V528" s="119" t="n">
        <x:f>IF(H528&gt;=('难度参数'!$E$52),1,0)+IF(H528&gt;=('难度参数'!$E$52+'难度参数'!$E$53),1,0)+IF(H528&gt;=('难度参数'!$E$52+'难度参数'!$E$53+'难度参数'!$E$54),1,0)+IF(H528&gt;=('难度参数'!$E$52+'难度参数'!$E$53+'难度参数'!$E$54+'难度参数'!$E$55),1,0)+IF(H528&gt;=('难度参数'!$E$52+'难度参数'!$E$53+'难度参数'!$E$54+'难度参数'!$E$55+'难度参数'!$E$56),1,0)+IF(H528&gt;=('难度参数'!$E$52+'难度参数'!$E$53+'难度参数'!$E$54+'难度参数'!$E$55+'难度参数'!$E$56+'难度参数'!$E$57),1,0)</x:f>
        <x:v>6</x:v>
      </x:c>
      <x:c r="W528" s="62" t="str">
        <x:f>IF(L528&gt;'难度参数'!$E$51,"仅出怪已超目标","还需实测")</x:f>
        <x:v>仅出怪已超目标</x:v>
      </x:c>
      <x:c r="X528" s="119" t="n">
        <x:f>IF(1&gt;D528,0,MAX(2,MIN('难度参数'!$E$12,ROUND(('难度参数'!$E$18*POWER(A528,'难度参数'!$E$19)/D528*(0.85+0.3*(1-1)/MAX(1,D528-1))),0)+F528)))</x:f>
        <x:v>36</x:v>
      </x:c>
      <x:c r="Y528" s="119" t="n">
        <x:f>IF(1&gt;D528,0,ROUND(('难度参数'!$E$13*POWER(A528,'难度参数'!$E$20)*MIN('难度参数'!$E$23,1+MAX(0,A528-'难度参数'!$E$21)*'难度参数'!$E$22))*(36+1*7)/(36+7*(D528+1)/2)*E528,0))</x:f>
        <x:v>8210</x:v>
      </x:c>
      <x:c r="Z528" s="119" t="n">
        <x:f>IF(X528=0,0,(X528-IF(1=D528,1,0))*ROUND(Y528*VLOOKUP(INDEX('章节与怪物'!$E$31:$K$37,B528,1),'章节与怪物'!$A$41:$F$44,2,FALSE),0)+IF(1=D528,ROUND(Y528*'难度参数'!$E$28*'章节与怪物'!$E$17,0),0))</x:f>
        <x:v>295560</x:v>
      </x:c>
      <x:c r="AA528" s="119" t="n">
        <x:f>IF(X528=0,0,(X528-IF(1=D528,1,0))*VLOOKUP(INDEX('章节与怪物'!$E$31:$K$37,B528,1),'章节与怪物'!$A$41:$F$44,4,FALSE)+IF(1=D528,'难度参数'!$E$30,0))</x:f>
        <x:v>648</x:v>
      </x:c>
      <x:c r="AB528" s="119" t="n">
        <x:f>IF(2&gt;D528,0,MAX(2,MIN('难度参数'!$E$12,ROUND(('难度参数'!$E$18*POWER(A528,'难度参数'!$E$19)/D528*(0.85+0.3*(2-1)/MAX(1,D528-1))),0)+F528)))</x:f>
        <x:v>38</x:v>
      </x:c>
      <x:c r="AC528" s="119" t="n">
        <x:f>IF(2&gt;D528,0,ROUND(('难度参数'!$E$13*POWER(A528,'难度参数'!$E$20)*MIN('难度参数'!$E$23,1+MAX(0,A528-'难度参数'!$E$21)*'难度参数'!$E$22))*(36+2*7)/(36+7*(D528+1)/2)*E528,0))</x:f>
        <x:v>9547</x:v>
      </x:c>
      <x:c r="AD528" s="119" t="n">
        <x:f>IF(AB528=0,0,(AB528-IF(2=D528,1,0))*ROUND(AC528*VLOOKUP(INDEX('章节与怪物'!$E$31:$K$37,B528,2),'章节与怪物'!$A$41:$F$44,2,FALSE),0)+IF(2=D528,ROUND(AC528*'难度参数'!$E$28*'章节与怪物'!$E$17,0),0))</x:f>
        <x:v>261212</x:v>
      </x:c>
      <x:c r="AE528" s="119" t="n">
        <x:f>IF(AB528=0,0,(AB528-IF(2=D528,1,0))*VLOOKUP(INDEX('章节与怪物'!$E$31:$K$37,B528,2),'章节与怪物'!$A$41:$F$44,4,FALSE)+IF(2=D528,'难度参数'!$E$30,0))</x:f>
        <x:v>760</x:v>
      </x:c>
      <x:c r="AF528" s="119" t="n">
        <x:f>IF(3&gt;D528,0,MAX(2,MIN('难度参数'!$E$12,ROUND(('难度参数'!$E$18*POWER(A528,'难度参数'!$E$19)/D528*(0.85+0.3*(3-1)/MAX(1,D528-1))),0)+F528)))</x:f>
        <x:v>40</x:v>
      </x:c>
      <x:c r="AG528" s="119" t="n">
        <x:f>IF(3&gt;D528,0,ROUND(('难度参数'!$E$13*POWER(A528,'难度参数'!$E$20)*MIN('难度参数'!$E$23,1+MAX(0,A528-'难度参数'!$E$21)*'难度参数'!$E$22))*(36+3*7)/(36+7*(D528+1)/2)*E528,0))</x:f>
        <x:v>10883</x:v>
      </x:c>
      <x:c r="AH528" s="119" t="n">
        <x:f>IF(AF528=0,0,(AF528-IF(3=D528,1,0))*ROUND(AG528*VLOOKUP(INDEX('章节与怪物'!$E$31:$K$37,B528,3),'章节与怪物'!$A$41:$F$44,2,FALSE),0)+IF(3=D528,ROUND(AG528*'难度参数'!$E$28*'章节与怪物'!$E$17,0),0))</x:f>
        <x:v>740040</x:v>
      </x:c>
      <x:c r="AI528" s="119" t="n">
        <x:f>IF(AF528=0,0,(AF528-IF(3=D528,1,0))*VLOOKUP(INDEX('章节与怪物'!$E$31:$K$37,B528,3),'章节与怪物'!$A$41:$F$44,4,FALSE)+IF(3=D528,'难度参数'!$E$30,0))</x:f>
        <x:v>1120</x:v>
      </x:c>
      <x:c r="AJ528" s="119" t="n">
        <x:f>IF(4&gt;D528,0,MAX(2,MIN('难度参数'!$E$12,ROUND(('难度参数'!$E$18*POWER(A528,'难度参数'!$E$19)/D528*(0.85+0.3*(4-1)/MAX(1,D528-1))),0)+F528)))</x:f>
        <x:v>42</x:v>
      </x:c>
      <x:c r="AK528" s="119" t="n">
        <x:f>IF(4&gt;D528,0,ROUND(('难度参数'!$E$13*POWER(A528,'难度参数'!$E$20)*MIN('难度参数'!$E$23,1+MAX(0,A528-'难度参数'!$E$21)*'难度参数'!$E$22))*(36+4*7)/(36+7*(D528+1)/2)*E528,0))</x:f>
        <x:v>12220</x:v>
      </x:c>
      <x:c r="AL528" s="119" t="n">
        <x:f>IF(AJ528=0,0,(AJ528-IF(4=D528,1,0))*ROUND(AK528*VLOOKUP(INDEX('章节与怪物'!$E$31:$K$37,B528,4),'章节与怪物'!$A$41:$F$44,2,FALSE),0)+IF(4=D528,ROUND(AK528*'难度参数'!$E$28*'章节与怪物'!$E$17,0),0))</x:f>
        <x:v>692874</x:v>
      </x:c>
      <x:c r="AM528" s="119" t="n">
        <x:f>IF(AJ528=0,0,(AJ528-IF(4=D528,1,0))*VLOOKUP(INDEX('章节与怪物'!$E$31:$K$37,B528,4),'章节与怪物'!$A$41:$F$44,4,FALSE)+IF(4=D528,'难度参数'!$E$30,0))</x:f>
        <x:v>1428</x:v>
      </x:c>
      <x:c r="AN528" s="119" t="n">
        <x:f>IF(5&gt;D528,0,MAX(2,MIN('难度参数'!$E$12,ROUND(('难度参数'!$E$18*POWER(A528,'难度参数'!$E$19)/D528*(0.85+0.3*(5-1)/MAX(1,D528-1))),0)+F528)))</x:f>
        <x:v>44</x:v>
      </x:c>
      <x:c r="AO528" s="119" t="n">
        <x:f>IF(5&gt;D528,0,ROUND(('难度参数'!$E$13*POWER(A528,'难度参数'!$E$20)*MIN('难度参数'!$E$23,1+MAX(0,A528-'难度参数'!$E$21)*'难度参数'!$E$22))*(36+5*7)/(36+7*(D528+1)/2)*E528,0))</x:f>
        <x:v>13556</x:v>
      </x:c>
      <x:c r="AP528" s="119" t="n">
        <x:f>IF(AN528=0,0,(AN528-IF(5=D528,1,0))*ROUND(AO528*VLOOKUP(INDEX('章节与怪物'!$E$31:$K$37,B528,5),'章节与怪物'!$A$41:$F$44,2,FALSE),0)+IF(5=D528,ROUND(AO528*'难度参数'!$E$28*'章节与怪物'!$E$17,0),0))</x:f>
        <x:v>429440</x:v>
      </x:c>
      <x:c r="AQ528" s="119" t="n">
        <x:f>IF(AN528=0,0,(AN528-IF(5=D528,1,0))*VLOOKUP(INDEX('章节与怪物'!$E$31:$K$37,B528,5),'章节与怪物'!$A$41:$F$44,4,FALSE)+IF(5=D528,'难度参数'!$E$30,0))</x:f>
        <x:v>880</x:v>
      </x:c>
      <x:c r="AR528" s="119" t="n">
        <x:f>IF(6&gt;D528,0,MAX(2,MIN('难度参数'!$E$12,ROUND(('难度参数'!$E$18*POWER(A528,'难度参数'!$E$19)/D528*(0.85+0.3*(6-1)/MAX(1,D528-1))),0)+F528)))</x:f>
        <x:v>46</x:v>
      </x:c>
      <x:c r="AS528" s="119" t="n">
        <x:f>IF(6&gt;D528,0,ROUND(('难度参数'!$E$13*POWER(A528,'难度参数'!$E$20)*MIN('难度参数'!$E$23,1+MAX(0,A528-'难度参数'!$E$21)*'难度参数'!$E$22))*(36+6*7)/(36+7*(D528+1)/2)*E528,0))</x:f>
        <x:v>14893</x:v>
      </x:c>
      <x:c r="AT528" s="119" t="n">
        <x:f>IF(AR528=0,0,(AR528-IF(6=D528,1,0))*ROUND(AS528*VLOOKUP(INDEX('章节与怪物'!$E$31:$K$37,B528,6),'章节与怪物'!$A$41:$F$44,2,FALSE),0)+IF(6=D528,ROUND(AS528*'难度参数'!$E$28*'章节与怪物'!$E$17,0),0))</x:f>
        <x:v>1164628</x:v>
      </x:c>
      <x:c r="AU528" s="119" t="n">
        <x:f>IF(AR528=0,0,(AR528-IF(6=D528,1,0))*VLOOKUP(INDEX('章节与怪物'!$E$31:$K$37,B528,6),'章节与怪物'!$A$41:$F$44,4,FALSE)+IF(6=D528,'难度参数'!$E$30,0))</x:f>
        <x:v>1288</x:v>
      </x:c>
      <x:c r="AV528" s="119" t="n">
        <x:f>IF(7&gt;D528,0,MAX(2,MIN('难度参数'!$E$12,ROUND(('难度参数'!$E$18*POWER(A528,'难度参数'!$E$19)/D528*(0.85+0.3*(7-1)/MAX(1,D528-1))),0)+F528)))</x:f>
        <x:v>48</x:v>
      </x:c>
      <x:c r="AW528" s="119" t="n">
        <x:f>IF(7&gt;D528,0,ROUND(('难度参数'!$E$13*POWER(A528,'难度参数'!$E$20)*MIN('难度参数'!$E$23,1+MAX(0,A528-'难度参数'!$E$21)*'难度参数'!$E$22))*(36+7*7)/(36+7*(D528+1)/2)*E528,0))</x:f>
        <x:v>16229</x:v>
      </x:c>
      <x:c r="AX528" s="119" t="n">
        <x:f>IF(AV528=0,0,(AV528-IF(7=D528,1,0))*ROUND(AW528*VLOOKUP(INDEX('章节与怪物'!$E$31:$K$37,B528,7),'章节与怪物'!$A$41:$F$44,2,FALSE),0)+IF(7=D528,ROUND(AW528*'难度参数'!$E$28*'章节与怪物'!$E$17,0),0))</x:f>
        <x:v>1140080</x:v>
      </x:c>
      <x:c r="AY528" s="119" t="n">
        <x:f>IF(AV528=0,0,(AV528-IF(7=D528,1,0))*VLOOKUP(INDEX('章节与怪物'!$E$31:$K$37,B528,7),'章节与怪物'!$A$41:$F$44,4,FALSE)+IF(7=D528,'难度参数'!$E$30,0))</x:f>
        <x:v>1798</x:v>
      </x:c>
    </x:row>
    <x:row r="529" ht="23" customHeight="1">
      <x:c r="A529" s="119" t="n">
        <x:v>523</x:v>
      </x:c>
      <x:c r="B529" s="119" t="n">
        <x:f>MOD(INT((A529-1)/5),7)+1</x:f>
        <x:v>7</x:v>
      </x:c>
      <x:c r="C529" s="62" t="str">
        <x:f>INDEX('章节与怪物'!$B$31:$B$37,B529)</x:f>
        <x:v>魔法山脊</x:v>
      </x:c>
      <x:c r="D529" s="119" t="n">
        <x:f>MIN('难度参数'!$E$8,MAX('难度参数'!$E$7,A529))</x:f>
        <x:v>7</x:v>
      </x:c>
      <x:c r="E529" s="106" t="n">
        <x:v>1</x:v>
      </x:c>
      <x:c r="F529" s="106" t="n">
        <x:v>0</x:v>
      </x:c>
      <x:c r="G529" s="106" t="n">
        <x:v>1</x:v>
      </x:c>
      <x:c r="H529" s="119" t="n">
        <x:f>SUM(X529,AB529,AF529,AJ529,AN529,AR529,AV529)</x:f>
        <x:v>294</x:v>
      </x:c>
      <x:c r="I529" s="119" t="n">
        <x:f>SUM(Z529,AD529,AH529,AL529,AP529,AT529,AX529)</x:f>
        <x:v>4730330</x:v>
      </x:c>
      <x:c r="J529" s="119" t="n">
        <x:f>ROUND(INDEX(X529:AY529,1,(D529-1)*4+2)*'难度参数'!$E$28*'章节与怪物'!$E$17,0)</x:f>
        <x:v>110514</x:v>
      </x:c>
      <x:c r="K529" s="119" t="n">
        <x:f>SUM(AA529,AE529,AI529,AM529,AQ529,AU529,AY529)</x:f>
        <x:v>7922</x:v>
      </x:c>
      <x:c r="L529" s="62" t="n">
        <x:f>H529*(ROUNDUP('难度参数'!$E$24/('难度参数'!$E$26*'难度参数'!$E$27),0)*'难度参数'!$E$26)/60</x:f>
        <x:v>3.9200000000000004</x:v>
      </x:c>
      <x:c r="M529" s="62" t="n">
        <x:f>L529+D529*('难度参数'!$E$49+'难度参数'!$E$50)/60</x:f>
        <x:v>5.086666666666667</x:v>
      </x:c>
      <x:c r="N529" s="119" t="n">
        <x:f>ROUNDDOWN(('经济参数'!$E$20+A529*'经济参数'!$E$21)*G529,0)</x:f>
        <x:v>10640</x:v>
      </x:c>
      <x:c r="O529" s="119" t="n">
        <x:f>ROUNDDOWN(MIN('经济参数'!$E$24,'经济参数'!$E$22+A529*'经济参数'!$E$23)*G529,0)</x:f>
        <x:v>0</x:v>
      </x:c>
      <x:c r="P529" s="119" t="n">
        <x:f>ROUNDDOWN((IF(A529&gt;='材料与任务'!$E$31,'材料与任务'!$E$32,IF(A529&gt;='材料与任务'!$E$25,'材料与任务'!$E$26,IF(A529&gt;='材料与任务'!$E$19,'材料与任务'!$E$20,IF(A529&gt;='材料与任务'!$E$13,'材料与任务'!$E$14,'材料与任务'!$E$8)))))*G529,0)</x:f>
        <x:v>6</x:v>
      </x:c>
      <x:c r="Q529" s="119" t="n">
        <x:f>ROUNDDOWN((IF(A529&gt;='材料与任务'!$E$31,'材料与任务'!$E$33,IF(A529&gt;='材料与任务'!$E$25,'材料与任务'!$E$27,IF(A529&gt;='材料与任务'!$E$19,'材料与任务'!$E$21,IF(A529&gt;='材料与任务'!$E$13,'材料与任务'!$E$15,'材料与任务'!$E$9)))))*G529,0)</x:f>
        <x:v>3</x:v>
      </x:c>
      <x:c r="R529" s="110" t="n">
        <x:f>'装备掉落'!$B$38</x:f>
        <x:v>0.6872058758851213</x:v>
      </x:c>
      <x:c r="S529" s="119" t="n">
        <x:f>MAX(IF(VLOOKUP(A529,'装备掉落'!$A$29:$H$34,2,TRUE)&gt;0,1,0),IF(VLOOKUP(A529,'装备掉落'!$A$29:$H$34,3,TRUE)&gt;0,2,0),IF(VLOOKUP(A529,'装备掉落'!$A$29:$H$34,4,TRUE)&gt;0,3,0),IF(VLOOKUP(A529,'装备掉落'!$A$29:$H$34,5,TRUE)&gt;0,4,0),IF(VLOOKUP(A529,'装备掉落'!$A$29:$H$34,6,TRUE)&gt;0,5,0),IF(VLOOKUP(A529,'装备掉落'!$A$29:$H$34,7,TRUE)&gt;0,6,0),IF(VLOOKUP(A529,'装备掉落'!$A$29:$H$34,8,TRUE)&gt;0,7,0))</x:f>
        <x:v>7</x:v>
      </x:c>
      <x:c r="T529" s="119" t="n">
        <x:f>MIN(7,S529+'经济参数'!$E$70)</x:f>
        <x:v>7</x:v>
      </x:c>
      <x:c r="U529" s="119" t="n">
        <x:f>MIN(7,S529+'经济参数'!$E$71)</x:f>
        <x:v>7</x:v>
      </x:c>
      <x:c r="V529" s="119" t="n">
        <x:f>IF(H529&gt;=('难度参数'!$E$52),1,0)+IF(H529&gt;=('难度参数'!$E$52+'难度参数'!$E$53),1,0)+IF(H529&gt;=('难度参数'!$E$52+'难度参数'!$E$53+'难度参数'!$E$54),1,0)+IF(H529&gt;=('难度参数'!$E$52+'难度参数'!$E$53+'难度参数'!$E$54+'难度参数'!$E$55),1,0)+IF(H529&gt;=('难度参数'!$E$52+'难度参数'!$E$53+'难度参数'!$E$54+'难度参数'!$E$55+'难度参数'!$E$56),1,0)+IF(H529&gt;=('难度参数'!$E$52+'难度参数'!$E$53+'难度参数'!$E$54+'难度参数'!$E$55+'难度参数'!$E$56+'难度参数'!$E$57),1,0)</x:f>
        <x:v>6</x:v>
      </x:c>
      <x:c r="W529" s="62" t="str">
        <x:f>IF(L529&gt;'难度参数'!$E$51,"仅出怪已超目标","还需实测")</x:f>
        <x:v>仅出怪已超目标</x:v>
      </x:c>
      <x:c r="X529" s="119" t="n">
        <x:f>IF(1&gt;D529,0,MAX(2,MIN('难度参数'!$E$12,ROUND(('难度参数'!$E$18*POWER(A529,'难度参数'!$E$19)/D529*(0.85+0.3*(1-1)/MAX(1,D529-1))),0)+F529)))</x:f>
        <x:v>36</x:v>
      </x:c>
      <x:c r="Y529" s="119" t="n">
        <x:f>IF(1&gt;D529,0,ROUND(('难度参数'!$E$13*POWER(A529,'难度参数'!$E$20)*MIN('难度参数'!$E$23,1+MAX(0,A529-'难度参数'!$E$21)*'难度参数'!$E$22))*(36+1*7)/(36+7*(D529+1)/2)*E529,0))</x:f>
        <x:v>8221</x:v>
      </x:c>
      <x:c r="Z529" s="119" t="n">
        <x:f>IF(X529=0,0,(X529-IF(1=D529,1,0))*ROUND(Y529*VLOOKUP(INDEX('章节与怪物'!$E$31:$K$37,B529,1),'章节与怪物'!$A$41:$F$44,2,FALSE),0)+IF(1=D529,ROUND(Y529*'难度参数'!$E$28*'章节与怪物'!$E$17,0),0))</x:f>
        <x:v>295956</x:v>
      </x:c>
      <x:c r="AA529" s="119" t="n">
        <x:f>IF(X529=0,0,(X529-IF(1=D529,1,0))*VLOOKUP(INDEX('章节与怪物'!$E$31:$K$37,B529,1),'章节与怪物'!$A$41:$F$44,4,FALSE)+IF(1=D529,'难度参数'!$E$30,0))</x:f>
        <x:v>648</x:v>
      </x:c>
      <x:c r="AB529" s="119" t="n">
        <x:f>IF(2&gt;D529,0,MAX(2,MIN('难度参数'!$E$12,ROUND(('难度参数'!$E$18*POWER(A529,'难度参数'!$E$19)/D529*(0.85+0.3*(2-1)/MAX(1,D529-1))),0)+F529)))</x:f>
        <x:v>38</x:v>
      </x:c>
      <x:c r="AC529" s="119" t="n">
        <x:f>IF(2&gt;D529,0,ROUND(('难度参数'!$E$13*POWER(A529,'难度参数'!$E$20)*MIN('难度参数'!$E$23,1+MAX(0,A529-'难度参数'!$E$21)*'难度参数'!$E$22))*(36+2*7)/(36+7*(D529+1)/2)*E529,0))</x:f>
        <x:v>9560</x:v>
      </x:c>
      <x:c r="AD529" s="119" t="n">
        <x:f>IF(AB529=0,0,(AB529-IF(2=D529,1,0))*ROUND(AC529*VLOOKUP(INDEX('章节与怪物'!$E$31:$K$37,B529,2),'章节与怪物'!$A$41:$F$44,2,FALSE),0)+IF(2=D529,ROUND(AC529*'难度参数'!$E$28*'章节与怪物'!$E$17,0),0))</x:f>
        <x:v>261554</x:v>
      </x:c>
      <x:c r="AE529" s="119" t="n">
        <x:f>IF(AB529=0,0,(AB529-IF(2=D529,1,0))*VLOOKUP(INDEX('章节与怪物'!$E$31:$K$37,B529,2),'章节与怪物'!$A$41:$F$44,4,FALSE)+IF(2=D529,'难度参数'!$E$30,0))</x:f>
        <x:v>760</x:v>
      </x:c>
      <x:c r="AF529" s="119" t="n">
        <x:f>IF(3&gt;D529,0,MAX(2,MIN('难度参数'!$E$12,ROUND(('难度参数'!$E$18*POWER(A529,'难度参数'!$E$19)/D529*(0.85+0.3*(3-1)/MAX(1,D529-1))),0)+F529)))</x:f>
        <x:v>40</x:v>
      </x:c>
      <x:c r="AG529" s="119" t="n">
        <x:f>IF(3&gt;D529,0,ROUND(('难度参数'!$E$13*POWER(A529,'难度参数'!$E$20)*MIN('难度参数'!$E$23,1+MAX(0,A529-'难度参数'!$E$21)*'难度参数'!$E$22))*(36+3*7)/(36+7*(D529+1)/2)*E529,0))</x:f>
        <x:v>10898</x:v>
      </x:c>
      <x:c r="AH529" s="119" t="n">
        <x:f>IF(AF529=0,0,(AF529-IF(3=D529,1,0))*ROUND(AG529*VLOOKUP(INDEX('章节与怪物'!$E$31:$K$37,B529,3),'章节与怪物'!$A$41:$F$44,2,FALSE),0)+IF(3=D529,ROUND(AG529*'难度参数'!$E$28*'章节与怪物'!$E$17,0),0))</x:f>
        <x:v>741080</x:v>
      </x:c>
      <x:c r="AI529" s="119" t="n">
        <x:f>IF(AF529=0,0,(AF529-IF(3=D529,1,0))*VLOOKUP(INDEX('章节与怪物'!$E$31:$K$37,B529,3),'章节与怪物'!$A$41:$F$44,4,FALSE)+IF(3=D529,'难度参数'!$E$30,0))</x:f>
        <x:v>1120</x:v>
      </x:c>
      <x:c r="AJ529" s="119" t="n">
        <x:f>IF(4&gt;D529,0,MAX(2,MIN('难度参数'!$E$12,ROUND(('难度参数'!$E$18*POWER(A529,'难度参数'!$E$19)/D529*(0.85+0.3*(4-1)/MAX(1,D529-1))),0)+F529)))</x:f>
        <x:v>42</x:v>
      </x:c>
      <x:c r="AK529" s="119" t="n">
        <x:f>IF(4&gt;D529,0,ROUND(('难度参数'!$E$13*POWER(A529,'难度参数'!$E$20)*MIN('难度参数'!$E$23,1+MAX(0,A529-'难度参数'!$E$21)*'难度参数'!$E$22))*(36+4*7)/(36+7*(D529+1)/2)*E529,0))</x:f>
        <x:v>12236</x:v>
      </x:c>
      <x:c r="AL529" s="119" t="n">
        <x:f>IF(AJ529=0,0,(AJ529-IF(4=D529,1,0))*ROUND(AK529*VLOOKUP(INDEX('章节与怪物'!$E$31:$K$37,B529,4),'章节与怪物'!$A$41:$F$44,2,FALSE),0)+IF(4=D529,ROUND(AK529*'难度参数'!$E$28*'章节与怪物'!$E$17,0),0))</x:f>
        <x:v>693798</x:v>
      </x:c>
      <x:c r="AM529" s="119" t="n">
        <x:f>IF(AJ529=0,0,(AJ529-IF(4=D529,1,0))*VLOOKUP(INDEX('章节与怪物'!$E$31:$K$37,B529,4),'章节与怪物'!$A$41:$F$44,4,FALSE)+IF(4=D529,'难度参数'!$E$30,0))</x:f>
        <x:v>1428</x:v>
      </x:c>
      <x:c r="AN529" s="119" t="n">
        <x:f>IF(5&gt;D529,0,MAX(2,MIN('难度参数'!$E$12,ROUND(('难度参数'!$E$18*POWER(A529,'难度参数'!$E$19)/D529*(0.85+0.3*(5-1)/MAX(1,D529-1))),0)+F529)))</x:f>
        <x:v>44</x:v>
      </x:c>
      <x:c r="AO529" s="119" t="n">
        <x:f>IF(5&gt;D529,0,ROUND(('难度参数'!$E$13*POWER(A529,'难度参数'!$E$20)*MIN('难度参数'!$E$23,1+MAX(0,A529-'难度参数'!$E$21)*'难度参数'!$E$22))*(36+5*7)/(36+7*(D529+1)/2)*E529,0))</x:f>
        <x:v>13575</x:v>
      </x:c>
      <x:c r="AP529" s="119" t="n">
        <x:f>IF(AN529=0,0,(AN529-IF(5=D529,1,0))*ROUND(AO529*VLOOKUP(INDEX('章节与怪物'!$E$31:$K$37,B529,5),'章节与怪物'!$A$41:$F$44,2,FALSE),0)+IF(5=D529,ROUND(AO529*'难度参数'!$E$28*'章节与怪物'!$E$17,0),0))</x:f>
        <x:v>430056</x:v>
      </x:c>
      <x:c r="AQ529" s="119" t="n">
        <x:f>IF(AN529=0,0,(AN529-IF(5=D529,1,0))*VLOOKUP(INDEX('章节与怪物'!$E$31:$K$37,B529,5),'章节与怪物'!$A$41:$F$44,4,FALSE)+IF(5=D529,'难度参数'!$E$30,0))</x:f>
        <x:v>880</x:v>
      </x:c>
      <x:c r="AR529" s="119" t="n">
        <x:f>IF(6&gt;D529,0,MAX(2,MIN('难度参数'!$E$12,ROUND(('难度参数'!$E$18*POWER(A529,'难度参数'!$E$19)/D529*(0.85+0.3*(6-1)/MAX(1,D529-1))),0)+F529)))</x:f>
        <x:v>46</x:v>
      </x:c>
      <x:c r="AS529" s="119" t="n">
        <x:f>IF(6&gt;D529,0,ROUND(('难度参数'!$E$13*POWER(A529,'难度参数'!$E$20)*MIN('难度参数'!$E$23,1+MAX(0,A529-'难度参数'!$E$21)*'难度参数'!$E$22))*(36+6*7)/(36+7*(D529+1)/2)*E529,0))</x:f>
        <x:v>14913</x:v>
      </x:c>
      <x:c r="AT529" s="119" t="n">
        <x:f>IF(AR529=0,0,(AR529-IF(6=D529,1,0))*ROUND(AS529*VLOOKUP(INDEX('章节与怪物'!$E$31:$K$37,B529,6),'章节与怪物'!$A$41:$F$44,2,FALSE),0)+IF(6=D529,ROUND(AS529*'难度参数'!$E$28*'章节与怪物'!$E$17,0),0))</x:f>
        <x:v>1166192</x:v>
      </x:c>
      <x:c r="AU529" s="119" t="n">
        <x:f>IF(AR529=0,0,(AR529-IF(6=D529,1,0))*VLOOKUP(INDEX('章节与怪物'!$E$31:$K$37,B529,6),'章节与怪物'!$A$41:$F$44,4,FALSE)+IF(6=D529,'难度参数'!$E$30,0))</x:f>
        <x:v>1288</x:v>
      </x:c>
      <x:c r="AV529" s="119" t="n">
        <x:f>IF(7&gt;D529,0,MAX(2,MIN('难度参数'!$E$12,ROUND(('难度参数'!$E$18*POWER(A529,'难度参数'!$E$19)/D529*(0.85+0.3*(7-1)/MAX(1,D529-1))),0)+F529)))</x:f>
        <x:v>48</x:v>
      </x:c>
      <x:c r="AW529" s="119" t="n">
        <x:f>IF(7&gt;D529,0,ROUND(('难度参数'!$E$13*POWER(A529,'难度参数'!$E$20)*MIN('难度参数'!$E$23,1+MAX(0,A529-'难度参数'!$E$21)*'难度参数'!$E$22))*(36+7*7)/(36+7*(D529+1)/2)*E529,0))</x:f>
        <x:v>16252</x:v>
      </x:c>
      <x:c r="AX529" s="119" t="n">
        <x:f>IF(AV529=0,0,(AV529-IF(7=D529,1,0))*ROUND(AW529*VLOOKUP(INDEX('章节与怪物'!$E$31:$K$37,B529,7),'章节与怪物'!$A$41:$F$44,2,FALSE),0)+IF(7=D529,ROUND(AW529*'难度参数'!$E$28*'章节与怪物'!$E$17,0),0))</x:f>
        <x:v>1141694</x:v>
      </x:c>
      <x:c r="AY529" s="119" t="n">
        <x:f>IF(AV529=0,0,(AV529-IF(7=D529,1,0))*VLOOKUP(INDEX('章节与怪物'!$E$31:$K$37,B529,7),'章节与怪物'!$A$41:$F$44,4,FALSE)+IF(7=D529,'难度参数'!$E$30,0))</x:f>
        <x:v>1798</x:v>
      </x:c>
    </x:row>
    <x:row r="530" ht="23" customHeight="1">
      <x:c r="A530" s="119" t="n">
        <x:v>524</x:v>
      </x:c>
      <x:c r="B530" s="119" t="n">
        <x:f>MOD(INT((A530-1)/5),7)+1</x:f>
        <x:v>7</x:v>
      </x:c>
      <x:c r="C530" s="62" t="str">
        <x:f>INDEX('章节与怪物'!$B$31:$B$37,B530)</x:f>
        <x:v>魔法山脊</x:v>
      </x:c>
      <x:c r="D530" s="119" t="n">
        <x:f>MIN('难度参数'!$E$8,MAX('难度参数'!$E$7,A530))</x:f>
        <x:v>7</x:v>
      </x:c>
      <x:c r="E530" s="106" t="n">
        <x:v>1</x:v>
      </x:c>
      <x:c r="F530" s="106" t="n">
        <x:v>0</x:v>
      </x:c>
      <x:c r="G530" s="106" t="n">
        <x:v>1</x:v>
      </x:c>
      <x:c r="H530" s="119" t="n">
        <x:f>SUM(X530,AB530,AF530,AJ530,AN530,AR530,AV530)</x:f>
        <x:v>295</x:v>
      </x:c>
      <x:c r="I530" s="119" t="n">
        <x:f>SUM(Z530,AD530,AH530,AL530,AP530,AT530,AX530)</x:f>
        <x:v>4758865</x:v>
      </x:c>
      <x:c r="J530" s="119" t="n">
        <x:f>ROUND(INDEX(X530:AY530,1,(D530-1)*4+2)*'难度参数'!$E$28*'章节与怪物'!$E$17,0)</x:f>
        <x:v>110663</x:v>
      </x:c>
      <x:c r="K530" s="119" t="n">
        <x:f>SUM(AA530,AE530,AI530,AM530,AQ530,AU530,AY530)</x:f>
        <x:v>7956</x:v>
      </x:c>
      <x:c r="L530" s="62" t="n">
        <x:f>H530*(ROUNDUP('难度参数'!$E$24/('难度参数'!$E$26*'难度参数'!$E$27),0)*'难度参数'!$E$26)/60</x:f>
        <x:v>3.933333333333333</x:v>
      </x:c>
      <x:c r="M530" s="62" t="n">
        <x:f>L530+D530*('难度参数'!$E$49+'难度参数'!$E$50)/60</x:f>
        <x:v>5.1</x:v>
      </x:c>
      <x:c r="N530" s="119" t="n">
        <x:f>ROUNDDOWN(('经济参数'!$E$20+A530*'经济参数'!$E$21)*G530,0)</x:f>
        <x:v>10660</x:v>
      </x:c>
      <x:c r="O530" s="119" t="n">
        <x:f>ROUNDDOWN(MIN('经济参数'!$E$24,'经济参数'!$E$22+A530*'经济参数'!$E$23)*G530,0)</x:f>
        <x:v>0</x:v>
      </x:c>
      <x:c r="P530" s="119" t="n">
        <x:f>ROUNDDOWN((IF(A530&gt;='材料与任务'!$E$31,'材料与任务'!$E$32,IF(A530&gt;='材料与任务'!$E$25,'材料与任务'!$E$26,IF(A530&gt;='材料与任务'!$E$19,'材料与任务'!$E$20,IF(A530&gt;='材料与任务'!$E$13,'材料与任务'!$E$14,'材料与任务'!$E$8)))))*G530,0)</x:f>
        <x:v>6</x:v>
      </x:c>
      <x:c r="Q530" s="119" t="n">
        <x:f>ROUNDDOWN((IF(A530&gt;='材料与任务'!$E$31,'材料与任务'!$E$33,IF(A530&gt;='材料与任务'!$E$25,'材料与任务'!$E$27,IF(A530&gt;='材料与任务'!$E$19,'材料与任务'!$E$21,IF(A530&gt;='材料与任务'!$E$13,'材料与任务'!$E$15,'材料与任务'!$E$9)))))*G530,0)</x:f>
        <x:v>3</x:v>
      </x:c>
      <x:c r="R530" s="110" t="n">
        <x:f>'装备掉落'!$B$38</x:f>
        <x:v>0.6872058758851213</x:v>
      </x:c>
      <x:c r="S530" s="119" t="n">
        <x:f>MAX(IF(VLOOKUP(A530,'装备掉落'!$A$29:$H$34,2,TRUE)&gt;0,1,0),IF(VLOOKUP(A530,'装备掉落'!$A$29:$H$34,3,TRUE)&gt;0,2,0),IF(VLOOKUP(A530,'装备掉落'!$A$29:$H$34,4,TRUE)&gt;0,3,0),IF(VLOOKUP(A530,'装备掉落'!$A$29:$H$34,5,TRUE)&gt;0,4,0),IF(VLOOKUP(A530,'装备掉落'!$A$29:$H$34,6,TRUE)&gt;0,5,0),IF(VLOOKUP(A530,'装备掉落'!$A$29:$H$34,7,TRUE)&gt;0,6,0),IF(VLOOKUP(A530,'装备掉落'!$A$29:$H$34,8,TRUE)&gt;0,7,0))</x:f>
        <x:v>7</x:v>
      </x:c>
      <x:c r="T530" s="119" t="n">
        <x:f>MIN(7,S530+'经济参数'!$E$70)</x:f>
        <x:v>7</x:v>
      </x:c>
      <x:c r="U530" s="119" t="n">
        <x:f>MIN(7,S530+'经济参数'!$E$71)</x:f>
        <x:v>7</x:v>
      </x:c>
      <x:c r="V530" s="119" t="n">
        <x:f>IF(H530&gt;=('难度参数'!$E$52),1,0)+IF(H530&gt;=('难度参数'!$E$52+'难度参数'!$E$53),1,0)+IF(H530&gt;=('难度参数'!$E$52+'难度参数'!$E$53+'难度参数'!$E$54),1,0)+IF(H530&gt;=('难度参数'!$E$52+'难度参数'!$E$53+'难度参数'!$E$54+'难度参数'!$E$55),1,0)+IF(H530&gt;=('难度参数'!$E$52+'难度参数'!$E$53+'难度参数'!$E$54+'难度参数'!$E$55+'难度参数'!$E$56),1,0)+IF(H530&gt;=('难度参数'!$E$52+'难度参数'!$E$53+'难度参数'!$E$54+'难度参数'!$E$55+'难度参数'!$E$56+'难度参数'!$E$57),1,0)</x:f>
        <x:v>6</x:v>
      </x:c>
      <x:c r="W530" s="62" t="str">
        <x:f>IF(L530&gt;'难度参数'!$E$51,"仅出怪已超目标","还需实测")</x:f>
        <x:v>仅出怪已超目标</x:v>
      </x:c>
      <x:c r="X530" s="119" t="n">
        <x:f>IF(1&gt;D530,0,MAX(2,MIN('难度参数'!$E$12,ROUND(('难度参数'!$E$18*POWER(A530,'难度参数'!$E$19)/D530*(0.85+0.3*(1-1)/MAX(1,D530-1))),0)+F530)))</x:f>
        <x:v>36</x:v>
      </x:c>
      <x:c r="Y530" s="119" t="n">
        <x:f>IF(1&gt;D530,0,ROUND(('难度参数'!$E$13*POWER(A530,'难度参数'!$E$20)*MIN('难度参数'!$E$23,1+MAX(0,A530-'难度参数'!$E$21)*'难度参数'!$E$22))*(36+1*7)/(36+7*(D530+1)/2)*E530,0))</x:f>
        <x:v>8233</x:v>
      </x:c>
      <x:c r="Z530" s="119" t="n">
        <x:f>IF(X530=0,0,(X530-IF(1=D530,1,0))*ROUND(Y530*VLOOKUP(INDEX('章节与怪物'!$E$31:$K$37,B530,1),'章节与怪物'!$A$41:$F$44,2,FALSE),0)+IF(1=D530,ROUND(Y530*'难度参数'!$E$28*'章节与怪物'!$E$17,0),0))</x:f>
        <x:v>296388</x:v>
      </x:c>
      <x:c r="AA530" s="119" t="n">
        <x:f>IF(X530=0,0,(X530-IF(1=D530,1,0))*VLOOKUP(INDEX('章节与怪物'!$E$31:$K$37,B530,1),'章节与怪物'!$A$41:$F$44,4,FALSE)+IF(1=D530,'难度参数'!$E$30,0))</x:f>
        <x:v>648</x:v>
      </x:c>
      <x:c r="AB530" s="119" t="n">
        <x:f>IF(2&gt;D530,0,MAX(2,MIN('难度参数'!$E$12,ROUND(('难度参数'!$E$18*POWER(A530,'难度参数'!$E$19)/D530*(0.85+0.3*(2-1)/MAX(1,D530-1))),0)+F530)))</x:f>
        <x:v>38</x:v>
      </x:c>
      <x:c r="AC530" s="119" t="n">
        <x:f>IF(2&gt;D530,0,ROUND(('难度参数'!$E$13*POWER(A530,'难度参数'!$E$20)*MIN('难度参数'!$E$23,1+MAX(0,A530-'难度参数'!$E$21)*'难度参数'!$E$22))*(36+2*7)/(36+7*(D530+1)/2)*E530,0))</x:f>
        <x:v>9573</x:v>
      </x:c>
      <x:c r="AD530" s="119" t="n">
        <x:f>IF(AB530=0,0,(AB530-IF(2=D530,1,0))*ROUND(AC530*VLOOKUP(INDEX('章节与怪物'!$E$31:$K$37,B530,2),'章节与怪物'!$A$41:$F$44,2,FALSE),0)+IF(2=D530,ROUND(AC530*'难度参数'!$E$28*'章节与怪物'!$E$17,0),0))</x:f>
        <x:v>261934</x:v>
      </x:c>
      <x:c r="AE530" s="119" t="n">
        <x:f>IF(AB530=0,0,(AB530-IF(2=D530,1,0))*VLOOKUP(INDEX('章节与怪物'!$E$31:$K$37,B530,2),'章节与怪物'!$A$41:$F$44,4,FALSE)+IF(2=D530,'难度参数'!$E$30,0))</x:f>
        <x:v>760</x:v>
      </x:c>
      <x:c r="AF530" s="119" t="n">
        <x:f>IF(3&gt;D530,0,MAX(2,MIN('难度参数'!$E$12,ROUND(('难度参数'!$E$18*POWER(A530,'难度参数'!$E$19)/D530*(0.85+0.3*(3-1)/MAX(1,D530-1))),0)+F530)))</x:f>
        <x:v>40</x:v>
      </x:c>
      <x:c r="AG530" s="119" t="n">
        <x:f>IF(3&gt;D530,0,ROUND(('难度参数'!$E$13*POWER(A530,'难度参数'!$E$20)*MIN('难度参数'!$E$23,1+MAX(0,A530-'难度参数'!$E$21)*'难度参数'!$E$22))*(36+3*7)/(36+7*(D530+1)/2)*E530,0))</x:f>
        <x:v>10913</x:v>
      </x:c>
      <x:c r="AH530" s="119" t="n">
        <x:f>IF(AF530=0,0,(AF530-IF(3=D530,1,0))*ROUND(AG530*VLOOKUP(INDEX('章节与怪物'!$E$31:$K$37,B530,3),'章节与怪物'!$A$41:$F$44,2,FALSE),0)+IF(3=D530,ROUND(AG530*'难度参数'!$E$28*'章节与怪物'!$E$17,0),0))</x:f>
        <x:v>742080</x:v>
      </x:c>
      <x:c r="AI530" s="119" t="n">
        <x:f>IF(AF530=0,0,(AF530-IF(3=D530,1,0))*VLOOKUP(INDEX('章节与怪物'!$E$31:$K$37,B530,3),'章节与怪物'!$A$41:$F$44,4,FALSE)+IF(3=D530,'难度参数'!$E$30,0))</x:f>
        <x:v>1120</x:v>
      </x:c>
      <x:c r="AJ530" s="119" t="n">
        <x:f>IF(4&gt;D530,0,MAX(2,MIN('难度参数'!$E$12,ROUND(('难度参数'!$E$18*POWER(A530,'难度参数'!$E$19)/D530*(0.85+0.3*(4-1)/MAX(1,D530-1))),0)+F530)))</x:f>
        <x:v>42</x:v>
      </x:c>
      <x:c r="AK530" s="119" t="n">
        <x:f>IF(4&gt;D530,0,ROUND(('难度参数'!$E$13*POWER(A530,'难度参数'!$E$20)*MIN('难度参数'!$E$23,1+MAX(0,A530-'难度参数'!$E$21)*'难度参数'!$E$22))*(36+4*7)/(36+7*(D530+1)/2)*E530,0))</x:f>
        <x:v>12253</x:v>
      </x:c>
      <x:c r="AL530" s="119" t="n">
        <x:f>IF(AJ530=0,0,(AJ530-IF(4=D530,1,0))*ROUND(AK530*VLOOKUP(INDEX('章节与怪物'!$E$31:$K$37,B530,4),'章节与怪物'!$A$41:$F$44,2,FALSE),0)+IF(4=D530,ROUND(AK530*'难度参数'!$E$28*'章节与怪物'!$E$17,0),0))</x:f>
        <x:v>694764</x:v>
      </x:c>
      <x:c r="AM530" s="119" t="n">
        <x:f>IF(AJ530=0,0,(AJ530-IF(4=D530,1,0))*VLOOKUP(INDEX('章节与怪物'!$E$31:$K$37,B530,4),'章节与怪物'!$A$41:$F$44,4,FALSE)+IF(4=D530,'难度参数'!$E$30,0))</x:f>
        <x:v>1428</x:v>
      </x:c>
      <x:c r="AN530" s="119" t="n">
        <x:f>IF(5&gt;D530,0,MAX(2,MIN('难度参数'!$E$12,ROUND(('难度参数'!$E$18*POWER(A530,'难度参数'!$E$19)/D530*(0.85+0.3*(5-1)/MAX(1,D530-1))),0)+F530)))</x:f>
        <x:v>44</x:v>
      </x:c>
      <x:c r="AO530" s="119" t="n">
        <x:f>IF(5&gt;D530,0,ROUND(('难度参数'!$E$13*POWER(A530,'难度参数'!$E$20)*MIN('难度参数'!$E$23,1+MAX(0,A530-'难度参数'!$E$21)*'难度参数'!$E$22))*(36+5*7)/(36+7*(D530+1)/2)*E530,0))</x:f>
        <x:v>13593</x:v>
      </x:c>
      <x:c r="AP530" s="119" t="n">
        <x:f>IF(AN530=0,0,(AN530-IF(5=D530,1,0))*ROUND(AO530*VLOOKUP(INDEX('章节与怪物'!$E$31:$K$37,B530,5),'章节与怪物'!$A$41:$F$44,2,FALSE),0)+IF(5=D530,ROUND(AO530*'难度参数'!$E$28*'章节与怪物'!$E$17,0),0))</x:f>
        <x:v>430628</x:v>
      </x:c>
      <x:c r="AQ530" s="119" t="n">
        <x:f>IF(AN530=0,0,(AN530-IF(5=D530,1,0))*VLOOKUP(INDEX('章节与怪物'!$E$31:$K$37,B530,5),'章节与怪物'!$A$41:$F$44,4,FALSE)+IF(5=D530,'难度参数'!$E$30,0))</x:f>
        <x:v>880</x:v>
      </x:c>
      <x:c r="AR530" s="119" t="n">
        <x:f>IF(6&gt;D530,0,MAX(2,MIN('难度参数'!$E$12,ROUND(('难度参数'!$E$18*POWER(A530,'难度参数'!$E$19)/D530*(0.85+0.3*(6-1)/MAX(1,D530-1))),0)+F530)))</x:f>
        <x:v>46</x:v>
      </x:c>
      <x:c r="AS530" s="119" t="n">
        <x:f>IF(6&gt;D530,0,ROUND(('难度参数'!$E$13*POWER(A530,'难度参数'!$E$20)*MIN('难度参数'!$E$23,1+MAX(0,A530-'难度参数'!$E$21)*'难度参数'!$E$22))*(36+6*7)/(36+7*(D530+1)/2)*E530,0))</x:f>
        <x:v>14934</x:v>
      </x:c>
      <x:c r="AT530" s="119" t="n">
        <x:f>IF(AR530=0,0,(AR530-IF(6=D530,1,0))*ROUND(AS530*VLOOKUP(INDEX('章节与怪物'!$E$31:$K$37,B530,6),'章节与怪物'!$A$41:$F$44,2,FALSE),0)+IF(6=D530,ROUND(AS530*'难度参数'!$E$28*'章节与怪物'!$E$17,0),0))</x:f>
        <x:v>1167848</x:v>
      </x:c>
      <x:c r="AU530" s="119" t="n">
        <x:f>IF(AR530=0,0,(AR530-IF(6=D530,1,0))*VLOOKUP(INDEX('章节与怪物'!$E$31:$K$37,B530,6),'章节与怪物'!$A$41:$F$44,4,FALSE)+IF(6=D530,'难度参数'!$E$30,0))</x:f>
        <x:v>1288</x:v>
      </x:c>
      <x:c r="AV530" s="119" t="n">
        <x:f>IF(7&gt;D530,0,MAX(2,MIN('难度参数'!$E$12,ROUND(('难度参数'!$E$18*POWER(A530,'难度参数'!$E$19)/D530*(0.85+0.3*(7-1)/MAX(1,D530-1))),0)+F530)))</x:f>
        <x:v>49</x:v>
      </x:c>
      <x:c r="AW530" s="119" t="n">
        <x:f>IF(7&gt;D530,0,ROUND(('难度参数'!$E$13*POWER(A530,'难度参数'!$E$20)*MIN('难度参数'!$E$23,1+MAX(0,A530-'难度参数'!$E$21)*'难度参数'!$E$22))*(36+7*7)/(36+7*(D530+1)/2)*E530,0))</x:f>
        <x:v>16274</x:v>
      </x:c>
      <x:c r="AX530" s="119" t="n">
        <x:f>IF(AV530=0,0,(AV530-IF(7=D530,1,0))*ROUND(AW530*VLOOKUP(INDEX('章节与怪物'!$E$31:$K$37,B530,7),'章节与怪物'!$A$41:$F$44,2,FALSE),0)+IF(7=D530,ROUND(AW530*'难度参数'!$E$28*'章节与怪物'!$E$17,0),0))</x:f>
        <x:v>1165223</x:v>
      </x:c>
      <x:c r="AY530" s="119" t="n">
        <x:f>IF(AV530=0,0,(AV530-IF(7=D530,1,0))*VLOOKUP(INDEX('章节与怪物'!$E$31:$K$37,B530,7),'章节与怪物'!$A$41:$F$44,4,FALSE)+IF(7=D530,'难度参数'!$E$30,0))</x:f>
        <x:v>1832</x:v>
      </x:c>
    </x:row>
    <x:row r="531" ht="23" customHeight="1">
      <x:c r="A531" s="119" t="n">
        <x:v>525</x:v>
      </x:c>
      <x:c r="B531" s="119" t="n">
        <x:f>MOD(INT((A531-1)/5),7)+1</x:f>
        <x:v>7</x:v>
      </x:c>
      <x:c r="C531" s="62" t="str">
        <x:f>INDEX('章节与怪物'!$B$31:$B$37,B531)</x:f>
        <x:v>魔法山脊</x:v>
      </x:c>
      <x:c r="D531" s="119" t="n">
        <x:f>MIN('难度参数'!$E$8,MAX('难度参数'!$E$7,A531))</x:f>
        <x:v>7</x:v>
      </x:c>
      <x:c r="E531" s="106" t="n">
        <x:v>1</x:v>
      </x:c>
      <x:c r="F531" s="106" t="n">
        <x:v>0</x:v>
      </x:c>
      <x:c r="G531" s="106" t="n">
        <x:v>1</x:v>
      </x:c>
      <x:c r="H531" s="119" t="n">
        <x:f>SUM(X531,AB531,AF531,AJ531,AN531,AR531,AV531)</x:f>
        <x:v>295</x:v>
      </x:c>
      <x:c r="I531" s="119" t="n">
        <x:f>SUM(Z531,AD531,AH531,AL531,AP531,AT531,AX531)</x:f>
        <x:v>4765379</x:v>
      </x:c>
      <x:c r="J531" s="119" t="n">
        <x:f>ROUND(INDEX(X531:AY531,1,(D531-1)*4+2)*'难度参数'!$E$28*'章节与怪物'!$E$17,0)</x:f>
        <x:v>110813</x:v>
      </x:c>
      <x:c r="K531" s="119" t="n">
        <x:f>SUM(AA531,AE531,AI531,AM531,AQ531,AU531,AY531)</x:f>
        <x:v>7956</x:v>
      </x:c>
      <x:c r="L531" s="62" t="n">
        <x:f>H531*(ROUNDUP('难度参数'!$E$24/('难度参数'!$E$26*'难度参数'!$E$27),0)*'难度参数'!$E$26)/60</x:f>
        <x:v>3.933333333333333</x:v>
      </x:c>
      <x:c r="M531" s="62" t="n">
        <x:f>L531+D531*('难度参数'!$E$49+'难度参数'!$E$50)/60</x:f>
        <x:v>5.1</x:v>
      </x:c>
      <x:c r="N531" s="119" t="n">
        <x:f>ROUNDDOWN(('经济参数'!$E$20+A531*'经济参数'!$E$21)*G531,0)</x:f>
        <x:v>10680</x:v>
      </x:c>
      <x:c r="O531" s="119" t="n">
        <x:f>ROUNDDOWN(MIN('经济参数'!$E$24,'经济参数'!$E$22+A531*'经济参数'!$E$23)*G531,0)</x:f>
        <x:v>0</x:v>
      </x:c>
      <x:c r="P531" s="119" t="n">
        <x:f>ROUNDDOWN((IF(A531&gt;='材料与任务'!$E$31,'材料与任务'!$E$32,IF(A531&gt;='材料与任务'!$E$25,'材料与任务'!$E$26,IF(A531&gt;='材料与任务'!$E$19,'材料与任务'!$E$20,IF(A531&gt;='材料与任务'!$E$13,'材料与任务'!$E$14,'材料与任务'!$E$8)))))*G531,0)</x:f>
        <x:v>6</x:v>
      </x:c>
      <x:c r="Q531" s="119" t="n">
        <x:f>ROUNDDOWN((IF(A531&gt;='材料与任务'!$E$31,'材料与任务'!$E$33,IF(A531&gt;='材料与任务'!$E$25,'材料与任务'!$E$27,IF(A531&gt;='材料与任务'!$E$19,'材料与任务'!$E$21,IF(A531&gt;='材料与任务'!$E$13,'材料与任务'!$E$15,'材料与任务'!$E$9)))))*G531,0)</x:f>
        <x:v>3</x:v>
      </x:c>
      <x:c r="R531" s="110" t="n">
        <x:f>'装备掉落'!$B$38</x:f>
        <x:v>0.6872058758851213</x:v>
      </x:c>
      <x:c r="S531" s="119" t="n">
        <x:f>MAX(IF(VLOOKUP(A531,'装备掉落'!$A$29:$H$34,2,TRUE)&gt;0,1,0),IF(VLOOKUP(A531,'装备掉落'!$A$29:$H$34,3,TRUE)&gt;0,2,0),IF(VLOOKUP(A531,'装备掉落'!$A$29:$H$34,4,TRUE)&gt;0,3,0),IF(VLOOKUP(A531,'装备掉落'!$A$29:$H$34,5,TRUE)&gt;0,4,0),IF(VLOOKUP(A531,'装备掉落'!$A$29:$H$34,6,TRUE)&gt;0,5,0),IF(VLOOKUP(A531,'装备掉落'!$A$29:$H$34,7,TRUE)&gt;0,6,0),IF(VLOOKUP(A531,'装备掉落'!$A$29:$H$34,8,TRUE)&gt;0,7,0))</x:f>
        <x:v>7</x:v>
      </x:c>
      <x:c r="T531" s="119" t="n">
        <x:f>MIN(7,S531+'经济参数'!$E$70)</x:f>
        <x:v>7</x:v>
      </x:c>
      <x:c r="U531" s="119" t="n">
        <x:f>MIN(7,S531+'经济参数'!$E$71)</x:f>
        <x:v>7</x:v>
      </x:c>
      <x:c r="V531" s="119" t="n">
        <x:f>IF(H531&gt;=('难度参数'!$E$52),1,0)+IF(H531&gt;=('难度参数'!$E$52+'难度参数'!$E$53),1,0)+IF(H531&gt;=('难度参数'!$E$52+'难度参数'!$E$53+'难度参数'!$E$54),1,0)+IF(H531&gt;=('难度参数'!$E$52+'难度参数'!$E$53+'难度参数'!$E$54+'难度参数'!$E$55),1,0)+IF(H531&gt;=('难度参数'!$E$52+'难度参数'!$E$53+'难度参数'!$E$54+'难度参数'!$E$55+'难度参数'!$E$56),1,0)+IF(H531&gt;=('难度参数'!$E$52+'难度参数'!$E$53+'难度参数'!$E$54+'难度参数'!$E$55+'难度参数'!$E$56+'难度参数'!$E$57),1,0)</x:f>
        <x:v>6</x:v>
      </x:c>
      <x:c r="W531" s="62" t="str">
        <x:f>IF(L531&gt;'难度参数'!$E$51,"仅出怪已超目标","还需实测")</x:f>
        <x:v>仅出怪已超目标</x:v>
      </x:c>
      <x:c r="X531" s="119" t="n">
        <x:f>IF(1&gt;D531,0,MAX(2,MIN('难度参数'!$E$12,ROUND(('难度参数'!$E$18*POWER(A531,'难度参数'!$E$19)/D531*(0.85+0.3*(1-1)/MAX(1,D531-1))),0)+F531)))</x:f>
        <x:v>36</x:v>
      </x:c>
      <x:c r="Y531" s="119" t="n">
        <x:f>IF(1&gt;D531,0,ROUND(('难度参数'!$E$13*POWER(A531,'难度参数'!$E$20)*MIN('难度参数'!$E$23,1+MAX(0,A531-'难度参数'!$E$21)*'难度参数'!$E$22))*(36+1*7)/(36+7*(D531+1)/2)*E531,0))</x:f>
        <x:v>8244</x:v>
      </x:c>
      <x:c r="Z531" s="119" t="n">
        <x:f>IF(X531=0,0,(X531-IF(1=D531,1,0))*ROUND(Y531*VLOOKUP(INDEX('章节与怪物'!$E$31:$K$37,B531,1),'章节与怪物'!$A$41:$F$44,2,FALSE),0)+IF(1=D531,ROUND(Y531*'难度参数'!$E$28*'章节与怪物'!$E$17,0),0))</x:f>
        <x:v>296784</x:v>
      </x:c>
      <x:c r="AA531" s="119" t="n">
        <x:f>IF(X531=0,0,(X531-IF(1=D531,1,0))*VLOOKUP(INDEX('章节与怪物'!$E$31:$K$37,B531,1),'章节与怪物'!$A$41:$F$44,4,FALSE)+IF(1=D531,'难度参数'!$E$30,0))</x:f>
        <x:v>648</x:v>
      </x:c>
      <x:c r="AB531" s="119" t="n">
        <x:f>IF(2&gt;D531,0,MAX(2,MIN('难度参数'!$E$12,ROUND(('难度参数'!$E$18*POWER(A531,'难度参数'!$E$19)/D531*(0.85+0.3*(2-1)/MAX(1,D531-1))),0)+F531)))</x:f>
        <x:v>38</x:v>
      </x:c>
      <x:c r="AC531" s="119" t="n">
        <x:f>IF(2&gt;D531,0,ROUND(('难度参数'!$E$13*POWER(A531,'难度参数'!$E$20)*MIN('难度参数'!$E$23,1+MAX(0,A531-'难度参数'!$E$21)*'难度参数'!$E$22))*(36+2*7)/(36+7*(D531+1)/2)*E531,0))</x:f>
        <x:v>9586</x:v>
      </x:c>
      <x:c r="AD531" s="119" t="n">
        <x:f>IF(AB531=0,0,(AB531-IF(2=D531,1,0))*ROUND(AC531*VLOOKUP(INDEX('章节与怪物'!$E$31:$K$37,B531,2),'章节与怪物'!$A$41:$F$44,2,FALSE),0)+IF(2=D531,ROUND(AC531*'难度参数'!$E$28*'章节与怪物'!$E$17,0),0))</x:f>
        <x:v>262276</x:v>
      </x:c>
      <x:c r="AE531" s="119" t="n">
        <x:f>IF(AB531=0,0,(AB531-IF(2=D531,1,0))*VLOOKUP(INDEX('章节与怪物'!$E$31:$K$37,B531,2),'章节与怪物'!$A$41:$F$44,4,FALSE)+IF(2=D531,'难度参数'!$E$30,0))</x:f>
        <x:v>760</x:v>
      </x:c>
      <x:c r="AF531" s="119" t="n">
        <x:f>IF(3&gt;D531,0,MAX(2,MIN('难度参数'!$E$12,ROUND(('难度参数'!$E$18*POWER(A531,'难度参数'!$E$19)/D531*(0.85+0.3*(3-1)/MAX(1,D531-1))),0)+F531)))</x:f>
        <x:v>40</x:v>
      </x:c>
      <x:c r="AG531" s="119" t="n">
        <x:f>IF(3&gt;D531,0,ROUND(('难度参数'!$E$13*POWER(A531,'难度参数'!$E$20)*MIN('难度参数'!$E$23,1+MAX(0,A531-'难度参数'!$E$21)*'难度参数'!$E$22))*(36+3*7)/(36+7*(D531+1)/2)*E531,0))</x:f>
        <x:v>10928</x:v>
      </x:c>
      <x:c r="AH531" s="119" t="n">
        <x:f>IF(AF531=0,0,(AF531-IF(3=D531,1,0))*ROUND(AG531*VLOOKUP(INDEX('章节与怪物'!$E$31:$K$37,B531,3),'章节与怪物'!$A$41:$F$44,2,FALSE),0)+IF(3=D531,ROUND(AG531*'难度参数'!$E$28*'章节与怪物'!$E$17,0),0))</x:f>
        <x:v>743120</x:v>
      </x:c>
      <x:c r="AI531" s="119" t="n">
        <x:f>IF(AF531=0,0,(AF531-IF(3=D531,1,0))*VLOOKUP(INDEX('章节与怪物'!$E$31:$K$37,B531,3),'章节与怪物'!$A$41:$F$44,4,FALSE)+IF(3=D531,'难度参数'!$E$30,0))</x:f>
        <x:v>1120</x:v>
      </x:c>
      <x:c r="AJ531" s="119" t="n">
        <x:f>IF(4&gt;D531,0,MAX(2,MIN('难度参数'!$E$12,ROUND(('难度参数'!$E$18*POWER(A531,'难度参数'!$E$19)/D531*(0.85+0.3*(4-1)/MAX(1,D531-1))),0)+F531)))</x:f>
        <x:v>42</x:v>
      </x:c>
      <x:c r="AK531" s="119" t="n">
        <x:f>IF(4&gt;D531,0,ROUND(('难度参数'!$E$13*POWER(A531,'难度参数'!$E$20)*MIN('难度参数'!$E$23,1+MAX(0,A531-'难度参数'!$E$21)*'难度参数'!$E$22))*(36+4*7)/(36+7*(D531+1)/2)*E531,0))</x:f>
        <x:v>12270</x:v>
      </x:c>
      <x:c r="AL531" s="119" t="n">
        <x:f>IF(AJ531=0,0,(AJ531-IF(4=D531,1,0))*ROUND(AK531*VLOOKUP(INDEX('章节与怪物'!$E$31:$K$37,B531,4),'章节与怪物'!$A$41:$F$44,2,FALSE),0)+IF(4=D531,ROUND(AK531*'难度参数'!$E$28*'章节与怪物'!$E$17,0),0))</x:f>
        <x:v>695730</x:v>
      </x:c>
      <x:c r="AM531" s="119" t="n">
        <x:f>IF(AJ531=0,0,(AJ531-IF(4=D531,1,0))*VLOOKUP(INDEX('章节与怪物'!$E$31:$K$37,B531,4),'章节与怪物'!$A$41:$F$44,4,FALSE)+IF(4=D531,'难度参数'!$E$30,0))</x:f>
        <x:v>1428</x:v>
      </x:c>
      <x:c r="AN531" s="119" t="n">
        <x:f>IF(5&gt;D531,0,MAX(2,MIN('难度参数'!$E$12,ROUND(('难度参数'!$E$18*POWER(A531,'难度参数'!$E$19)/D531*(0.85+0.3*(5-1)/MAX(1,D531-1))),0)+F531)))</x:f>
        <x:v>44</x:v>
      </x:c>
      <x:c r="AO531" s="119" t="n">
        <x:f>IF(5&gt;D531,0,ROUND(('难度参数'!$E$13*POWER(A531,'难度参数'!$E$20)*MIN('难度参数'!$E$23,1+MAX(0,A531-'难度参数'!$E$21)*'难度参数'!$E$22))*(36+5*7)/(36+7*(D531+1)/2)*E531,0))</x:f>
        <x:v>13612</x:v>
      </x:c>
      <x:c r="AP531" s="119" t="n">
        <x:f>IF(AN531=0,0,(AN531-IF(5=D531,1,0))*ROUND(AO531*VLOOKUP(INDEX('章节与怪物'!$E$31:$K$37,B531,5),'章节与怪物'!$A$41:$F$44,2,FALSE),0)+IF(5=D531,ROUND(AO531*'难度参数'!$E$28*'章节与怪物'!$E$17,0),0))</x:f>
        <x:v>431244</x:v>
      </x:c>
      <x:c r="AQ531" s="119" t="n">
        <x:f>IF(AN531=0,0,(AN531-IF(5=D531,1,0))*VLOOKUP(INDEX('章节与怪物'!$E$31:$K$37,B531,5),'章节与怪物'!$A$41:$F$44,4,FALSE)+IF(5=D531,'难度参数'!$E$30,0))</x:f>
        <x:v>880</x:v>
      </x:c>
      <x:c r="AR531" s="119" t="n">
        <x:f>IF(6&gt;D531,0,MAX(2,MIN('难度参数'!$E$12,ROUND(('难度参数'!$E$18*POWER(A531,'难度参数'!$E$19)/D531*(0.85+0.3*(6-1)/MAX(1,D531-1))),0)+F531)))</x:f>
        <x:v>46</x:v>
      </x:c>
      <x:c r="AS531" s="119" t="n">
        <x:f>IF(6&gt;D531,0,ROUND(('难度参数'!$E$13*POWER(A531,'难度参数'!$E$20)*MIN('难度参数'!$E$23,1+MAX(0,A531-'难度参数'!$E$21)*'难度参数'!$E$22))*(36+6*7)/(36+7*(D531+1)/2)*E531,0))</x:f>
        <x:v>14954</x:v>
      </x:c>
      <x:c r="AT531" s="119" t="n">
        <x:f>IF(AR531=0,0,(AR531-IF(6=D531,1,0))*ROUND(AS531*VLOOKUP(INDEX('章节与怪物'!$E$31:$K$37,B531,6),'章节与怪物'!$A$41:$F$44,2,FALSE),0)+IF(6=D531,ROUND(AS531*'难度参数'!$E$28*'章节与怪物'!$E$17,0),0))</x:f>
        <x:v>1169412</x:v>
      </x:c>
      <x:c r="AU531" s="119" t="n">
        <x:f>IF(AR531=0,0,(AR531-IF(6=D531,1,0))*VLOOKUP(INDEX('章节与怪物'!$E$31:$K$37,B531,6),'章节与怪物'!$A$41:$F$44,4,FALSE)+IF(6=D531,'难度参数'!$E$30,0))</x:f>
        <x:v>1288</x:v>
      </x:c>
      <x:c r="AV531" s="119" t="n">
        <x:f>IF(7&gt;D531,0,MAX(2,MIN('难度参数'!$E$12,ROUND(('难度参数'!$E$18*POWER(A531,'难度参数'!$E$19)/D531*(0.85+0.3*(7-1)/MAX(1,D531-1))),0)+F531)))</x:f>
        <x:v>49</x:v>
      </x:c>
      <x:c r="AW531" s="119" t="n">
        <x:f>IF(7&gt;D531,0,ROUND(('难度参数'!$E$13*POWER(A531,'难度参数'!$E$20)*MIN('难度参数'!$E$23,1+MAX(0,A531-'难度参数'!$E$21)*'难度参数'!$E$22))*(36+7*7)/(36+7*(D531+1)/2)*E531,0))</x:f>
        <x:v>16296</x:v>
      </x:c>
      <x:c r="AX531" s="119" t="n">
        <x:f>IF(AV531=0,0,(AV531-IF(7=D531,1,0))*ROUND(AW531*VLOOKUP(INDEX('章节与怪物'!$E$31:$K$37,B531,7),'章节与怪物'!$A$41:$F$44,2,FALSE),0)+IF(7=D531,ROUND(AW531*'难度参数'!$E$28*'章节与怪物'!$E$17,0),0))</x:f>
        <x:v>1166813</x:v>
      </x:c>
      <x:c r="AY531" s="119" t="n">
        <x:f>IF(AV531=0,0,(AV531-IF(7=D531,1,0))*VLOOKUP(INDEX('章节与怪物'!$E$31:$K$37,B531,7),'章节与怪物'!$A$41:$F$44,4,FALSE)+IF(7=D531,'难度参数'!$E$30,0))</x:f>
        <x:v>1832</x:v>
      </x:c>
    </x:row>
    <x:row r="532" ht="23" customHeight="1">
      <x:c r="A532" s="119" t="n">
        <x:v>526</x:v>
      </x:c>
      <x:c r="B532" s="119" t="n">
        <x:f>MOD(INT((A532-1)/5),7)+1</x:f>
        <x:v>1</x:v>
      </x:c>
      <x:c r="C532" s="62" t="str">
        <x:f>INDEX('章节与怪物'!$B$31:$B$37,B532)</x:f>
        <x:v>冰雪荒原</x:v>
      </x:c>
      <x:c r="D532" s="119" t="n">
        <x:f>MIN('难度参数'!$E$8,MAX('难度参数'!$E$7,A532))</x:f>
        <x:v>7</x:v>
      </x:c>
      <x:c r="E532" s="106" t="n">
        <x:v>1</x:v>
      </x:c>
      <x:c r="F532" s="106" t="n">
        <x:v>0</x:v>
      </x:c>
      <x:c r="G532" s="106" t="n">
        <x:v>1</x:v>
      </x:c>
      <x:c r="H532" s="119" t="n">
        <x:f>SUM(X532,AB532,AF532,AJ532,AN532,AR532,AV532)</x:f>
        <x:v>295</x:v>
      </x:c>
      <x:c r="I532" s="119" t="n">
        <x:f>SUM(Z532,AD532,AH532,AL532,AP532,AT532,AX532)</x:f>
        <x:v>4602643</x:v>
      </x:c>
      <x:c r="J532" s="119" t="n">
        <x:f>ROUND(INDEX(X532:AY532,1,(D532-1)*4+2)*'难度参数'!$E$28*'章节与怪物'!$E$17,0)</x:f>
        <x:v>110969</x:v>
      </x:c>
      <x:c r="K532" s="119" t="n">
        <x:f>SUM(AA532,AE532,AI532,AM532,AQ532,AU532,AY532)</x:f>
        <x:v>7268</x:v>
      </x:c>
      <x:c r="L532" s="62" t="n">
        <x:f>H532*(ROUNDUP('难度参数'!$E$24/('难度参数'!$E$26*'难度参数'!$E$27),0)*'难度参数'!$E$26)/60</x:f>
        <x:v>3.933333333333333</x:v>
      </x:c>
      <x:c r="M532" s="62" t="n">
        <x:f>L532+D532*('难度参数'!$E$49+'难度参数'!$E$50)/60</x:f>
        <x:v>5.1</x:v>
      </x:c>
      <x:c r="N532" s="119" t="n">
        <x:f>ROUNDDOWN(('经济参数'!$E$20+A532*'经济参数'!$E$21)*G532,0)</x:f>
        <x:v>10700</x:v>
      </x:c>
      <x:c r="O532" s="119" t="n">
        <x:f>ROUNDDOWN(MIN('经济参数'!$E$24,'经济参数'!$E$22+A532*'经济参数'!$E$23)*G532,0)</x:f>
        <x:v>0</x:v>
      </x:c>
      <x:c r="P532" s="119" t="n">
        <x:f>ROUNDDOWN((IF(A532&gt;='材料与任务'!$E$31,'材料与任务'!$E$32,IF(A532&gt;='材料与任务'!$E$25,'材料与任务'!$E$26,IF(A532&gt;='材料与任务'!$E$19,'材料与任务'!$E$20,IF(A532&gt;='材料与任务'!$E$13,'材料与任务'!$E$14,'材料与任务'!$E$8)))))*G532,0)</x:f>
        <x:v>6</x:v>
      </x:c>
      <x:c r="Q532" s="119" t="n">
        <x:f>ROUNDDOWN((IF(A532&gt;='材料与任务'!$E$31,'材料与任务'!$E$33,IF(A532&gt;='材料与任务'!$E$25,'材料与任务'!$E$27,IF(A532&gt;='材料与任务'!$E$19,'材料与任务'!$E$21,IF(A532&gt;='材料与任务'!$E$13,'材料与任务'!$E$15,'材料与任务'!$E$9)))))*G532,0)</x:f>
        <x:v>3</x:v>
      </x:c>
      <x:c r="R532" s="110" t="n">
        <x:f>'装备掉落'!$B$38</x:f>
        <x:v>0.6872058758851213</x:v>
      </x:c>
      <x:c r="S532" s="119" t="n">
        <x:f>MAX(IF(VLOOKUP(A532,'装备掉落'!$A$29:$H$34,2,TRUE)&gt;0,1,0),IF(VLOOKUP(A532,'装备掉落'!$A$29:$H$34,3,TRUE)&gt;0,2,0),IF(VLOOKUP(A532,'装备掉落'!$A$29:$H$34,4,TRUE)&gt;0,3,0),IF(VLOOKUP(A532,'装备掉落'!$A$29:$H$34,5,TRUE)&gt;0,4,0),IF(VLOOKUP(A532,'装备掉落'!$A$29:$H$34,6,TRUE)&gt;0,5,0),IF(VLOOKUP(A532,'装备掉落'!$A$29:$H$34,7,TRUE)&gt;0,6,0),IF(VLOOKUP(A532,'装备掉落'!$A$29:$H$34,8,TRUE)&gt;0,7,0))</x:f>
        <x:v>7</x:v>
      </x:c>
      <x:c r="T532" s="119" t="n">
        <x:f>MIN(7,S532+'经济参数'!$E$70)</x:f>
        <x:v>7</x:v>
      </x:c>
      <x:c r="U532" s="119" t="n">
        <x:f>MIN(7,S532+'经济参数'!$E$71)</x:f>
        <x:v>7</x:v>
      </x:c>
      <x:c r="V532" s="119" t="n">
        <x:f>IF(H532&gt;=('难度参数'!$E$52),1,0)+IF(H532&gt;=('难度参数'!$E$52+'难度参数'!$E$53),1,0)+IF(H532&gt;=('难度参数'!$E$52+'难度参数'!$E$53+'难度参数'!$E$54),1,0)+IF(H532&gt;=('难度参数'!$E$52+'难度参数'!$E$53+'难度参数'!$E$54+'难度参数'!$E$55),1,0)+IF(H532&gt;=('难度参数'!$E$52+'难度参数'!$E$53+'难度参数'!$E$54+'难度参数'!$E$55+'难度参数'!$E$56),1,0)+IF(H532&gt;=('难度参数'!$E$52+'难度参数'!$E$53+'难度参数'!$E$54+'难度参数'!$E$55+'难度参数'!$E$56+'难度参数'!$E$57),1,0)</x:f>
        <x:v>6</x:v>
      </x:c>
      <x:c r="W532" s="62" t="str">
        <x:f>IF(L532&gt;'难度参数'!$E$51,"仅出怪已超目标","还需实测")</x:f>
        <x:v>仅出怪已超目标</x:v>
      </x:c>
      <x:c r="X532" s="119" t="n">
        <x:f>IF(1&gt;D532,0,MAX(2,MIN('难度参数'!$E$12,ROUND(('难度参数'!$E$18*POWER(A532,'难度参数'!$E$19)/D532*(0.85+0.3*(1-1)/MAX(1,D532-1))),0)+F532)))</x:f>
        <x:v>36</x:v>
      </x:c>
      <x:c r="Y532" s="119" t="n">
        <x:f>IF(1&gt;D532,0,ROUND(('难度参数'!$E$13*POWER(A532,'难度参数'!$E$20)*MIN('难度参数'!$E$23,1+MAX(0,A532-'难度参数'!$E$21)*'难度参数'!$E$22))*(36+1*7)/(36+7*(D532+1)/2)*E532,0))</x:f>
        <x:v>8255</x:v>
      </x:c>
      <x:c r="Z532" s="119" t="n">
        <x:f>IF(X532=0,0,(X532-IF(1=D532,1,0))*ROUND(Y532*VLOOKUP(INDEX('章节与怪物'!$E$31:$K$37,B532,1),'章节与怪物'!$A$41:$F$44,2,FALSE),0)+IF(1=D532,ROUND(Y532*'难度参数'!$E$28*'章节与怪物'!$E$17,0),0))</x:f>
        <x:v>297180</x:v>
      </x:c>
      <x:c r="AA532" s="119" t="n">
        <x:f>IF(X532=0,0,(X532-IF(1=D532,1,0))*VLOOKUP(INDEX('章节与怪物'!$E$31:$K$37,B532,1),'章节与怪物'!$A$41:$F$44,4,FALSE)+IF(1=D532,'难度参数'!$E$30,0))</x:f>
        <x:v>648</x:v>
      </x:c>
      <x:c r="AB532" s="119" t="n">
        <x:f>IF(2&gt;D532,0,MAX(2,MIN('难度参数'!$E$12,ROUND(('难度参数'!$E$18*POWER(A532,'难度参数'!$E$19)/D532*(0.85+0.3*(2-1)/MAX(1,D532-1))),0)+F532)))</x:f>
        <x:v>38</x:v>
      </x:c>
      <x:c r="AC532" s="119" t="n">
        <x:f>IF(2&gt;D532,0,ROUND(('难度参数'!$E$13*POWER(A532,'难度参数'!$E$20)*MIN('难度参数'!$E$23,1+MAX(0,A532-'难度参数'!$E$21)*'难度参数'!$E$22))*(36+2*7)/(36+7*(D532+1)/2)*E532,0))</x:f>
        <x:v>9599</x:v>
      </x:c>
      <x:c r="AD532" s="119" t="n">
        <x:f>IF(AB532=0,0,(AB532-IF(2=D532,1,0))*ROUND(AC532*VLOOKUP(INDEX('章节与怪物'!$E$31:$K$37,B532,2),'章节与怪物'!$A$41:$F$44,2,FALSE),0)+IF(2=D532,ROUND(AC532*'难度参数'!$E$28*'章节与怪物'!$E$17,0),0))</x:f>
        <x:v>364762</x:v>
      </x:c>
      <x:c r="AE532" s="119" t="n">
        <x:f>IF(AB532=0,0,(AB532-IF(2=D532,1,0))*VLOOKUP(INDEX('章节与怪物'!$E$31:$K$37,B532,2),'章节与怪物'!$A$41:$F$44,4,FALSE)+IF(2=D532,'难度参数'!$E$30,0))</x:f>
        <x:v>684</x:v>
      </x:c>
      <x:c r="AF532" s="119" t="n">
        <x:f>IF(3&gt;D532,0,MAX(2,MIN('难度参数'!$E$12,ROUND(('难度参数'!$E$18*POWER(A532,'难度参数'!$E$19)/D532*(0.85+0.3*(3-1)/MAX(1,D532-1))),0)+F532)))</x:f>
        <x:v>40</x:v>
      </x:c>
      <x:c r="AG532" s="119" t="n">
        <x:f>IF(3&gt;D532,0,ROUND(('难度参数'!$E$13*POWER(A532,'难度参数'!$E$20)*MIN('难度参数'!$E$23,1+MAX(0,A532-'难度参数'!$E$21)*'难度参数'!$E$22))*(36+3*7)/(36+7*(D532+1)/2)*E532,0))</x:f>
        <x:v>10943</x:v>
      </x:c>
      <x:c r="AH532" s="119" t="n">
        <x:f>IF(AF532=0,0,(AF532-IF(3=D532,1,0))*ROUND(AG532*VLOOKUP(INDEX('章节与怪物'!$E$31:$K$37,B532,3),'章节与怪物'!$A$41:$F$44,2,FALSE),0)+IF(3=D532,ROUND(AG532*'难度参数'!$E$28*'章节与怪物'!$E$17,0),0))</x:f>
        <x:v>315160</x:v>
      </x:c>
      <x:c r="AI532" s="119" t="n">
        <x:f>IF(AF532=0,0,(AF532-IF(3=D532,1,0))*VLOOKUP(INDEX('章节与怪物'!$E$31:$K$37,B532,3),'章节与怪物'!$A$41:$F$44,4,FALSE)+IF(3=D532,'难度参数'!$E$30,0))</x:f>
        <x:v>800</x:v>
      </x:c>
      <x:c r="AJ532" s="119" t="n">
        <x:f>IF(4&gt;D532,0,MAX(2,MIN('难度参数'!$E$12,ROUND(('难度参数'!$E$18*POWER(A532,'难度参数'!$E$19)/D532*(0.85+0.3*(4-1)/MAX(1,D532-1))),0)+F532)))</x:f>
        <x:v>42</x:v>
      </x:c>
      <x:c r="AK532" s="119" t="n">
        <x:f>IF(4&gt;D532,0,ROUND(('难度参数'!$E$13*POWER(A532,'难度参数'!$E$20)*MIN('难度参数'!$E$23,1+MAX(0,A532-'难度参数'!$E$21)*'难度参数'!$E$22))*(36+4*7)/(36+7*(D532+1)/2)*E532,0))</x:f>
        <x:v>12287</x:v>
      </x:c>
      <x:c r="AL532" s="119" t="n">
        <x:f>IF(AJ532=0,0,(AJ532-IF(4=D532,1,0))*ROUND(AK532*VLOOKUP(INDEX('章节与怪物'!$E$31:$K$37,B532,4),'章节与怪物'!$A$41:$F$44,2,FALSE),0)+IF(4=D532,ROUND(AK532*'难度参数'!$E$28*'章节与怪物'!$E$17,0),0))</x:f>
        <x:v>877296</x:v>
      </x:c>
      <x:c r="AM532" s="119" t="n">
        <x:f>IF(AJ532=0,0,(AJ532-IF(4=D532,1,0))*VLOOKUP(INDEX('章节与怪物'!$E$31:$K$37,B532,4),'章节与怪物'!$A$41:$F$44,4,FALSE)+IF(4=D532,'难度参数'!$E$30,0))</x:f>
        <x:v>1176</x:v>
      </x:c>
      <x:c r="AN532" s="119" t="n">
        <x:f>IF(5&gt;D532,0,MAX(2,MIN('难度参数'!$E$12,ROUND(('难度参数'!$E$18*POWER(A532,'难度参数'!$E$19)/D532*(0.85+0.3*(5-1)/MAX(1,D532-1))),0)+F532)))</x:f>
        <x:v>44</x:v>
      </x:c>
      <x:c r="AO532" s="119" t="n">
        <x:f>IF(5&gt;D532,0,ROUND(('难度参数'!$E$13*POWER(A532,'难度参数'!$E$20)*MIN('难度参数'!$E$23,1+MAX(0,A532-'难度参数'!$E$21)*'难度参数'!$E$22))*(36+5*7)/(36+7*(D532+1)/2)*E532,0))</x:f>
        <x:v>13631</x:v>
      </x:c>
      <x:c r="AP532" s="119" t="n">
        <x:f>IF(AN532=0,0,(AN532-IF(5=D532,1,0))*ROUND(AO532*VLOOKUP(INDEX('章节与怪物'!$E$31:$K$37,B532,5),'章节与怪物'!$A$41:$F$44,2,FALSE),0)+IF(5=D532,ROUND(AO532*'难度参数'!$E$28*'章节与怪物'!$E$17,0),0))</x:f>
        <x:v>809688</x:v>
      </x:c>
      <x:c r="AQ532" s="119" t="n">
        <x:f>IF(AN532=0,0,(AN532-IF(5=D532,1,0))*VLOOKUP(INDEX('章节与怪物'!$E$31:$K$37,B532,5),'章节与怪物'!$A$41:$F$44,4,FALSE)+IF(5=D532,'难度参数'!$E$30,0))</x:f>
        <x:v>1496</x:v>
      </x:c>
      <x:c r="AR532" s="119" t="n">
        <x:f>IF(6&gt;D532,0,MAX(2,MIN('难度参数'!$E$12,ROUND(('难度参数'!$E$18*POWER(A532,'难度参数'!$E$19)/D532*(0.85+0.3*(6-1)/MAX(1,D532-1))),0)+F532)))</x:f>
        <x:v>46</x:v>
      </x:c>
      <x:c r="AS532" s="119" t="n">
        <x:f>IF(6&gt;D532,0,ROUND(('难度参数'!$E$13*POWER(A532,'难度参数'!$E$20)*MIN('难度参数'!$E$23,1+MAX(0,A532-'难度参数'!$E$21)*'难度参数'!$E$22))*(36+6*7)/(36+7*(D532+1)/2)*E532,0))</x:f>
        <x:v>14975</x:v>
      </x:c>
      <x:c r="AT532" s="119" t="n">
        <x:f>IF(AR532=0,0,(AR532-IF(6=D532,1,0))*ROUND(AS532*VLOOKUP(INDEX('章节与怪物'!$E$31:$K$37,B532,6),'章节与怪物'!$A$41:$F$44,2,FALSE),0)+IF(6=D532,ROUND(AS532*'难度参数'!$E$28*'章节与怪物'!$E$17,0),0))</x:f>
        <x:v>495972</x:v>
      </x:c>
      <x:c r="AU532" s="119" t="n">
        <x:f>IF(AR532=0,0,(AR532-IF(6=D532,1,0))*VLOOKUP(INDEX('章节与怪物'!$E$31:$K$37,B532,6),'章节与怪物'!$A$41:$F$44,4,FALSE)+IF(6=D532,'难度参数'!$E$30,0))</x:f>
        <x:v>920</x:v>
      </x:c>
      <x:c r="AV532" s="119" t="n">
        <x:f>IF(7&gt;D532,0,MAX(2,MIN('难度参数'!$E$12,ROUND(('难度参数'!$E$18*POWER(A532,'难度参数'!$E$19)/D532*(0.85+0.3*(7-1)/MAX(1,D532-1))),0)+F532)))</x:f>
        <x:v>49</x:v>
      </x:c>
      <x:c r="AW532" s="119" t="n">
        <x:f>IF(7&gt;D532,0,ROUND(('难度参数'!$E$13*POWER(A532,'难度参数'!$E$20)*MIN('难度参数'!$E$23,1+MAX(0,A532-'难度参数'!$E$21)*'难度参数'!$E$22))*(36+7*7)/(36+7*(D532+1)/2)*E532,0))</x:f>
        <x:v>16319</x:v>
      </x:c>
      <x:c r="AX532" s="119" t="n">
        <x:f>IF(AV532=0,0,(AV532-IF(7=D532,1,0))*ROUND(AW532*VLOOKUP(INDEX('章节与怪物'!$E$31:$K$37,B532,7),'章节与怪物'!$A$41:$F$44,2,FALSE),0)+IF(7=D532,ROUND(AW532*'难度参数'!$E$28*'章节与怪物'!$E$17,0),0))</x:f>
        <x:v>1442585</x:v>
      </x:c>
      <x:c r="AY532" s="119" t="n">
        <x:f>IF(AV532=0,0,(AV532-IF(7=D532,1,0))*VLOOKUP(INDEX('章节与怪物'!$E$31:$K$37,B532,7),'章节与怪物'!$A$41:$F$44,4,FALSE)+IF(7=D532,'难度参数'!$E$30,0))</x:f>
        <x:v>1544</x:v>
      </x:c>
    </x:row>
    <x:row r="533" ht="23" customHeight="1">
      <x:c r="A533" s="119" t="n">
        <x:v>527</x:v>
      </x:c>
      <x:c r="B533" s="119" t="n">
        <x:f>MOD(INT((A533-1)/5),7)+1</x:f>
        <x:v>1</x:v>
      </x:c>
      <x:c r="C533" s="62" t="str">
        <x:f>INDEX('章节与怪物'!$B$31:$B$37,B533)</x:f>
        <x:v>冰雪荒原</x:v>
      </x:c>
      <x:c r="D533" s="119" t="n">
        <x:f>MIN('难度参数'!$E$8,MAX('难度参数'!$E$7,A533))</x:f>
        <x:v>7</x:v>
      </x:c>
      <x:c r="E533" s="106" t="n">
        <x:v>1</x:v>
      </x:c>
      <x:c r="F533" s="106" t="n">
        <x:v>0</x:v>
      </x:c>
      <x:c r="G533" s="106" t="n">
        <x:v>1</x:v>
      </x:c>
      <x:c r="H533" s="119" t="n">
        <x:f>SUM(X533,AB533,AF533,AJ533,AN533,AR533,AV533)</x:f>
        <x:v>295</x:v>
      </x:c>
      <x:c r="I533" s="119" t="n">
        <x:f>SUM(Z533,AD533,AH533,AL533,AP533,AT533,AX533)</x:f>
        <x:v>4608901</x:v>
      </x:c>
      <x:c r="J533" s="119" t="n">
        <x:f>ROUND(INDEX(X533:AY533,1,(D533-1)*4+2)*'难度参数'!$E$28*'章节与怪物'!$E$17,0)</x:f>
        <x:v>111119</x:v>
      </x:c>
      <x:c r="K533" s="119" t="n">
        <x:f>SUM(AA533,AE533,AI533,AM533,AQ533,AU533,AY533)</x:f>
        <x:v>7268</x:v>
      </x:c>
      <x:c r="L533" s="62" t="n">
        <x:f>H533*(ROUNDUP('难度参数'!$E$24/('难度参数'!$E$26*'难度参数'!$E$27),0)*'难度参数'!$E$26)/60</x:f>
        <x:v>3.933333333333333</x:v>
      </x:c>
      <x:c r="M533" s="62" t="n">
        <x:f>L533+D533*('难度参数'!$E$49+'难度参数'!$E$50)/60</x:f>
        <x:v>5.1</x:v>
      </x:c>
      <x:c r="N533" s="119" t="n">
        <x:f>ROUNDDOWN(('经济参数'!$E$20+A533*'经济参数'!$E$21)*G533,0)</x:f>
        <x:v>10720</x:v>
      </x:c>
      <x:c r="O533" s="119" t="n">
        <x:f>ROUNDDOWN(MIN('经济参数'!$E$24,'经济参数'!$E$22+A533*'经济参数'!$E$23)*G533,0)</x:f>
        <x:v>0</x:v>
      </x:c>
      <x:c r="P533" s="119" t="n">
        <x:f>ROUNDDOWN((IF(A533&gt;='材料与任务'!$E$31,'材料与任务'!$E$32,IF(A533&gt;='材料与任务'!$E$25,'材料与任务'!$E$26,IF(A533&gt;='材料与任务'!$E$19,'材料与任务'!$E$20,IF(A533&gt;='材料与任务'!$E$13,'材料与任务'!$E$14,'材料与任务'!$E$8)))))*G533,0)</x:f>
        <x:v>6</x:v>
      </x:c>
      <x:c r="Q533" s="119" t="n">
        <x:f>ROUNDDOWN((IF(A533&gt;='材料与任务'!$E$31,'材料与任务'!$E$33,IF(A533&gt;='材料与任务'!$E$25,'材料与任务'!$E$27,IF(A533&gt;='材料与任务'!$E$19,'材料与任务'!$E$21,IF(A533&gt;='材料与任务'!$E$13,'材料与任务'!$E$15,'材料与任务'!$E$9)))))*G533,0)</x:f>
        <x:v>3</x:v>
      </x:c>
      <x:c r="R533" s="110" t="n">
        <x:f>'装备掉落'!$B$38</x:f>
        <x:v>0.6872058758851213</x:v>
      </x:c>
      <x:c r="S533" s="119" t="n">
        <x:f>MAX(IF(VLOOKUP(A533,'装备掉落'!$A$29:$H$34,2,TRUE)&gt;0,1,0),IF(VLOOKUP(A533,'装备掉落'!$A$29:$H$34,3,TRUE)&gt;0,2,0),IF(VLOOKUP(A533,'装备掉落'!$A$29:$H$34,4,TRUE)&gt;0,3,0),IF(VLOOKUP(A533,'装备掉落'!$A$29:$H$34,5,TRUE)&gt;0,4,0),IF(VLOOKUP(A533,'装备掉落'!$A$29:$H$34,6,TRUE)&gt;0,5,0),IF(VLOOKUP(A533,'装备掉落'!$A$29:$H$34,7,TRUE)&gt;0,6,0),IF(VLOOKUP(A533,'装备掉落'!$A$29:$H$34,8,TRUE)&gt;0,7,0))</x:f>
        <x:v>7</x:v>
      </x:c>
      <x:c r="T533" s="119" t="n">
        <x:f>MIN(7,S533+'经济参数'!$E$70)</x:f>
        <x:v>7</x:v>
      </x:c>
      <x:c r="U533" s="119" t="n">
        <x:f>MIN(7,S533+'经济参数'!$E$71)</x:f>
        <x:v>7</x:v>
      </x:c>
      <x:c r="V533" s="119" t="n">
        <x:f>IF(H533&gt;=('难度参数'!$E$52),1,0)+IF(H533&gt;=('难度参数'!$E$52+'难度参数'!$E$53),1,0)+IF(H533&gt;=('难度参数'!$E$52+'难度参数'!$E$53+'难度参数'!$E$54),1,0)+IF(H533&gt;=('难度参数'!$E$52+'难度参数'!$E$53+'难度参数'!$E$54+'难度参数'!$E$55),1,0)+IF(H533&gt;=('难度参数'!$E$52+'难度参数'!$E$53+'难度参数'!$E$54+'难度参数'!$E$55+'难度参数'!$E$56),1,0)+IF(H533&gt;=('难度参数'!$E$52+'难度参数'!$E$53+'难度参数'!$E$54+'难度参数'!$E$55+'难度参数'!$E$56+'难度参数'!$E$57),1,0)</x:f>
        <x:v>6</x:v>
      </x:c>
      <x:c r="W533" s="62" t="str">
        <x:f>IF(L533&gt;'难度参数'!$E$51,"仅出怪已超目标","还需实测")</x:f>
        <x:v>仅出怪已超目标</x:v>
      </x:c>
      <x:c r="X533" s="119" t="n">
        <x:f>IF(1&gt;D533,0,MAX(2,MIN('难度参数'!$E$12,ROUND(('难度参数'!$E$18*POWER(A533,'难度参数'!$E$19)/D533*(0.85+0.3*(1-1)/MAX(1,D533-1))),0)+F533)))</x:f>
        <x:v>36</x:v>
      </x:c>
      <x:c r="Y533" s="119" t="n">
        <x:f>IF(1&gt;D533,0,ROUND(('难度参数'!$E$13*POWER(A533,'难度参数'!$E$20)*MIN('难度参数'!$E$23,1+MAX(0,A533-'难度参数'!$E$21)*'难度参数'!$E$22))*(36+1*7)/(36+7*(D533+1)/2)*E533,0))</x:f>
        <x:v>8267</x:v>
      </x:c>
      <x:c r="Z533" s="119" t="n">
        <x:f>IF(X533=0,0,(X533-IF(1=D533,1,0))*ROUND(Y533*VLOOKUP(INDEX('章节与怪物'!$E$31:$K$37,B533,1),'章节与怪物'!$A$41:$F$44,2,FALSE),0)+IF(1=D533,ROUND(Y533*'难度参数'!$E$28*'章节与怪物'!$E$17,0),0))</x:f>
        <x:v>297612</x:v>
      </x:c>
      <x:c r="AA533" s="119" t="n">
        <x:f>IF(X533=0,0,(X533-IF(1=D533,1,0))*VLOOKUP(INDEX('章节与怪物'!$E$31:$K$37,B533,1),'章节与怪物'!$A$41:$F$44,4,FALSE)+IF(1=D533,'难度参数'!$E$30,0))</x:f>
        <x:v>648</x:v>
      </x:c>
      <x:c r="AB533" s="119" t="n">
        <x:f>IF(2&gt;D533,0,MAX(2,MIN('难度参数'!$E$12,ROUND(('难度参数'!$E$18*POWER(A533,'难度参数'!$E$19)/D533*(0.85+0.3*(2-1)/MAX(1,D533-1))),0)+F533)))</x:f>
        <x:v>38</x:v>
      </x:c>
      <x:c r="AC533" s="119" t="n">
        <x:f>IF(2&gt;D533,0,ROUND(('难度参数'!$E$13*POWER(A533,'难度参数'!$E$20)*MIN('难度参数'!$E$23,1+MAX(0,A533-'难度参数'!$E$21)*'难度参数'!$E$22))*(36+2*7)/(36+7*(D533+1)/2)*E533,0))</x:f>
        <x:v>9612</x:v>
      </x:c>
      <x:c r="AD533" s="119" t="n">
        <x:f>IF(AB533=0,0,(AB533-IF(2=D533,1,0))*ROUND(AC533*VLOOKUP(INDEX('章节与怪物'!$E$31:$K$37,B533,2),'章节与怪物'!$A$41:$F$44,2,FALSE),0)+IF(2=D533,ROUND(AC533*'难度参数'!$E$28*'章节与怪物'!$E$17,0),0))</x:f>
        <x:v>365256</x:v>
      </x:c>
      <x:c r="AE533" s="119" t="n">
        <x:f>IF(AB533=0,0,(AB533-IF(2=D533,1,0))*VLOOKUP(INDEX('章节与怪物'!$E$31:$K$37,B533,2),'章节与怪物'!$A$41:$F$44,4,FALSE)+IF(2=D533,'难度参数'!$E$30,0))</x:f>
        <x:v>684</x:v>
      </x:c>
      <x:c r="AF533" s="119" t="n">
        <x:f>IF(3&gt;D533,0,MAX(2,MIN('难度参数'!$E$12,ROUND(('难度参数'!$E$18*POWER(A533,'难度参数'!$E$19)/D533*(0.85+0.3*(3-1)/MAX(1,D533-1))),0)+F533)))</x:f>
        <x:v>40</x:v>
      </x:c>
      <x:c r="AG533" s="119" t="n">
        <x:f>IF(3&gt;D533,0,ROUND(('难度参数'!$E$13*POWER(A533,'难度参数'!$E$20)*MIN('难度参数'!$E$23,1+MAX(0,A533-'难度参数'!$E$21)*'难度参数'!$E$22))*(36+3*7)/(36+7*(D533+1)/2)*E533,0))</x:f>
        <x:v>10958</x:v>
      </x:c>
      <x:c r="AH533" s="119" t="n">
        <x:f>IF(AF533=0,0,(AF533-IF(3=D533,1,0))*ROUND(AG533*VLOOKUP(INDEX('章节与怪物'!$E$31:$K$37,B533,3),'章节与怪物'!$A$41:$F$44,2,FALSE),0)+IF(3=D533,ROUND(AG533*'难度参数'!$E$28*'章节与怪物'!$E$17,0),0))</x:f>
        <x:v>315600</x:v>
      </x:c>
      <x:c r="AI533" s="119" t="n">
        <x:f>IF(AF533=0,0,(AF533-IF(3=D533,1,0))*VLOOKUP(INDEX('章节与怪物'!$E$31:$K$37,B533,3),'章节与怪物'!$A$41:$F$44,4,FALSE)+IF(3=D533,'难度参数'!$E$30,0))</x:f>
        <x:v>800</x:v>
      </x:c>
      <x:c r="AJ533" s="119" t="n">
        <x:f>IF(4&gt;D533,0,MAX(2,MIN('难度参数'!$E$12,ROUND(('难度参数'!$E$18*POWER(A533,'难度参数'!$E$19)/D533*(0.85+0.3*(4-1)/MAX(1,D533-1))),0)+F533)))</x:f>
        <x:v>42</x:v>
      </x:c>
      <x:c r="AK533" s="119" t="n">
        <x:f>IF(4&gt;D533,0,ROUND(('难度参数'!$E$13*POWER(A533,'难度参数'!$E$20)*MIN('难度参数'!$E$23,1+MAX(0,A533-'难度参数'!$E$21)*'难度参数'!$E$22))*(36+4*7)/(36+7*(D533+1)/2)*E533,0))</x:f>
        <x:v>12304</x:v>
      </x:c>
      <x:c r="AL533" s="119" t="n">
        <x:f>IF(AJ533=0,0,(AJ533-IF(4=D533,1,0))*ROUND(AK533*VLOOKUP(INDEX('章节与怪物'!$E$31:$K$37,B533,4),'章节与怪物'!$A$41:$F$44,2,FALSE),0)+IF(4=D533,ROUND(AK533*'难度参数'!$E$28*'章节与怪物'!$E$17,0),0))</x:f>
        <x:v>878514</x:v>
      </x:c>
      <x:c r="AM533" s="119" t="n">
        <x:f>IF(AJ533=0,0,(AJ533-IF(4=D533,1,0))*VLOOKUP(INDEX('章节与怪物'!$E$31:$K$37,B533,4),'章节与怪物'!$A$41:$F$44,4,FALSE)+IF(4=D533,'难度参数'!$E$30,0))</x:f>
        <x:v>1176</x:v>
      </x:c>
      <x:c r="AN533" s="119" t="n">
        <x:f>IF(5&gt;D533,0,MAX(2,MIN('难度参数'!$E$12,ROUND(('难度参数'!$E$18*POWER(A533,'难度参数'!$E$19)/D533*(0.85+0.3*(5-1)/MAX(1,D533-1))),0)+F533)))</x:f>
        <x:v>44</x:v>
      </x:c>
      <x:c r="AO533" s="119" t="n">
        <x:f>IF(5&gt;D533,0,ROUND(('难度参数'!$E$13*POWER(A533,'难度参数'!$E$20)*MIN('难度参数'!$E$23,1+MAX(0,A533-'难度参数'!$E$21)*'难度参数'!$E$22))*(36+5*7)/(36+7*(D533+1)/2)*E533,0))</x:f>
        <x:v>13649</x:v>
      </x:c>
      <x:c r="AP533" s="119" t="n">
        <x:f>IF(AN533=0,0,(AN533-IF(5=D533,1,0))*ROUND(AO533*VLOOKUP(INDEX('章节与怪物'!$E$31:$K$37,B533,5),'章节与怪物'!$A$41:$F$44,2,FALSE),0)+IF(5=D533,ROUND(AO533*'难度参数'!$E$28*'章节与怪物'!$E$17,0),0))</x:f>
        <x:v>810744</x:v>
      </x:c>
      <x:c r="AQ533" s="119" t="n">
        <x:f>IF(AN533=0,0,(AN533-IF(5=D533,1,0))*VLOOKUP(INDEX('章节与怪物'!$E$31:$K$37,B533,5),'章节与怪物'!$A$41:$F$44,4,FALSE)+IF(5=D533,'难度参数'!$E$30,0))</x:f>
        <x:v>1496</x:v>
      </x:c>
      <x:c r="AR533" s="119" t="n">
        <x:f>IF(6&gt;D533,0,MAX(2,MIN('难度参数'!$E$12,ROUND(('难度参数'!$E$18*POWER(A533,'难度参数'!$E$19)/D533*(0.85+0.3*(6-1)/MAX(1,D533-1))),0)+F533)))</x:f>
        <x:v>46</x:v>
      </x:c>
      <x:c r="AS533" s="119" t="n">
        <x:f>IF(6&gt;D533,0,ROUND(('难度参数'!$E$13*POWER(A533,'难度参数'!$E$20)*MIN('难度参数'!$E$23,1+MAX(0,A533-'难度参数'!$E$21)*'难度参数'!$E$22))*(36+6*7)/(36+7*(D533+1)/2)*E533,0))</x:f>
        <x:v>14995</x:v>
      </x:c>
      <x:c r="AT533" s="119" t="n">
        <x:f>IF(AR533=0,0,(AR533-IF(6=D533,1,0))*ROUND(AS533*VLOOKUP(INDEX('章节与怪物'!$E$31:$K$37,B533,6),'章节与怪物'!$A$41:$F$44,2,FALSE),0)+IF(6=D533,ROUND(AS533*'难度参数'!$E$28*'章节与怪物'!$E$17,0),0))</x:f>
        <x:v>496616</x:v>
      </x:c>
      <x:c r="AU533" s="119" t="n">
        <x:f>IF(AR533=0,0,(AR533-IF(6=D533,1,0))*VLOOKUP(INDEX('章节与怪物'!$E$31:$K$37,B533,6),'章节与怪物'!$A$41:$F$44,4,FALSE)+IF(6=D533,'难度参数'!$E$30,0))</x:f>
        <x:v>920</x:v>
      </x:c>
      <x:c r="AV533" s="119" t="n">
        <x:f>IF(7&gt;D533,0,MAX(2,MIN('难度参数'!$E$12,ROUND(('难度参数'!$E$18*POWER(A533,'难度参数'!$E$19)/D533*(0.85+0.3*(7-1)/MAX(1,D533-1))),0)+F533)))</x:f>
        <x:v>49</x:v>
      </x:c>
      <x:c r="AW533" s="119" t="n">
        <x:f>IF(7&gt;D533,0,ROUND(('难度参数'!$E$13*POWER(A533,'难度参数'!$E$20)*MIN('难度参数'!$E$23,1+MAX(0,A533-'难度参数'!$E$21)*'难度参数'!$E$22))*(36+7*7)/(36+7*(D533+1)/2)*E533,0))</x:f>
        <x:v>16341</x:v>
      </x:c>
      <x:c r="AX533" s="119" t="n">
        <x:f>IF(AV533=0,0,(AV533-IF(7=D533,1,0))*ROUND(AW533*VLOOKUP(INDEX('章节与怪物'!$E$31:$K$37,B533,7),'章节与怪物'!$A$41:$F$44,2,FALSE),0)+IF(7=D533,ROUND(AW533*'难度参数'!$E$28*'章节与怪物'!$E$17,0),0))</x:f>
        <x:v>1444559</x:v>
      </x:c>
      <x:c r="AY533" s="119" t="n">
        <x:f>IF(AV533=0,0,(AV533-IF(7=D533,1,0))*VLOOKUP(INDEX('章节与怪物'!$E$31:$K$37,B533,7),'章节与怪物'!$A$41:$F$44,4,FALSE)+IF(7=D533,'难度参数'!$E$30,0))</x:f>
        <x:v>1544</x:v>
      </x:c>
    </x:row>
    <x:row r="534" ht="23" customHeight="1">
      <x:c r="A534" s="119" t="n">
        <x:v>528</x:v>
      </x:c>
      <x:c r="B534" s="119" t="n">
        <x:f>MOD(INT((A534-1)/5),7)+1</x:f>
        <x:v>1</x:v>
      </x:c>
      <x:c r="C534" s="62" t="str">
        <x:f>INDEX('章节与怪物'!$B$31:$B$37,B534)</x:f>
        <x:v>冰雪荒原</x:v>
      </x:c>
      <x:c r="D534" s="119" t="n">
        <x:f>MIN('难度参数'!$E$8,MAX('难度参数'!$E$7,A534))</x:f>
        <x:v>7</x:v>
      </x:c>
      <x:c r="E534" s="106" t="n">
        <x:v>1</x:v>
      </x:c>
      <x:c r="F534" s="106" t="n">
        <x:v>0</x:v>
      </x:c>
      <x:c r="G534" s="106" t="n">
        <x:v>1</x:v>
      </x:c>
      <x:c r="H534" s="119" t="n">
        <x:f>SUM(X534,AB534,AF534,AJ534,AN534,AR534,AV534)</x:f>
        <x:v>296</x:v>
      </x:c>
      <x:c r="I534" s="119" t="n">
        <x:f>SUM(Z534,AD534,AH534,AL534,AP534,AT534,AX534)</x:f>
        <x:v>4626066</x:v>
      </x:c>
      <x:c r="J534" s="119" t="n">
        <x:f>ROUND(INDEX(X534:AY534,1,(D534-1)*4+2)*'难度参数'!$E$28*'章节与怪物'!$E$17,0)</x:f>
        <x:v>111268</x:v>
      </x:c>
      <x:c r="K534" s="119" t="n">
        <x:f>SUM(AA534,AE534,AI534,AM534,AQ534,AU534,AY534)</x:f>
        <x:v>7288</x:v>
      </x:c>
      <x:c r="L534" s="62" t="n">
        <x:f>H534*(ROUNDUP('难度参数'!$E$24/('难度参数'!$E$26*'难度参数'!$E$27),0)*'难度参数'!$E$26)/60</x:f>
        <x:v>3.9466666666666668</x:v>
      </x:c>
      <x:c r="M534" s="62" t="n">
        <x:f>L534+D534*('难度参数'!$E$49+'难度参数'!$E$50)/60</x:f>
        <x:v>5.113333333333333</x:v>
      </x:c>
      <x:c r="N534" s="119" t="n">
        <x:f>ROUNDDOWN(('经济参数'!$E$20+A534*'经济参数'!$E$21)*G534,0)</x:f>
        <x:v>10740</x:v>
      </x:c>
      <x:c r="O534" s="119" t="n">
        <x:f>ROUNDDOWN(MIN('经济参数'!$E$24,'经济参数'!$E$22+A534*'经济参数'!$E$23)*G534,0)</x:f>
        <x:v>0</x:v>
      </x:c>
      <x:c r="P534" s="119" t="n">
        <x:f>ROUNDDOWN((IF(A534&gt;='材料与任务'!$E$31,'材料与任务'!$E$32,IF(A534&gt;='材料与任务'!$E$25,'材料与任务'!$E$26,IF(A534&gt;='材料与任务'!$E$19,'材料与任务'!$E$20,IF(A534&gt;='材料与任务'!$E$13,'材料与任务'!$E$14,'材料与任务'!$E$8)))))*G534,0)</x:f>
        <x:v>6</x:v>
      </x:c>
      <x:c r="Q534" s="119" t="n">
        <x:f>ROUNDDOWN((IF(A534&gt;='材料与任务'!$E$31,'材料与任务'!$E$33,IF(A534&gt;='材料与任务'!$E$25,'材料与任务'!$E$27,IF(A534&gt;='材料与任务'!$E$19,'材料与任务'!$E$21,IF(A534&gt;='材料与任务'!$E$13,'材料与任务'!$E$15,'材料与任务'!$E$9)))))*G534,0)</x:f>
        <x:v>3</x:v>
      </x:c>
      <x:c r="R534" s="110" t="n">
        <x:f>'装备掉落'!$B$38</x:f>
        <x:v>0.6872058758851213</x:v>
      </x:c>
      <x:c r="S534" s="119" t="n">
        <x:f>MAX(IF(VLOOKUP(A534,'装备掉落'!$A$29:$H$34,2,TRUE)&gt;0,1,0),IF(VLOOKUP(A534,'装备掉落'!$A$29:$H$34,3,TRUE)&gt;0,2,0),IF(VLOOKUP(A534,'装备掉落'!$A$29:$H$34,4,TRUE)&gt;0,3,0),IF(VLOOKUP(A534,'装备掉落'!$A$29:$H$34,5,TRUE)&gt;0,4,0),IF(VLOOKUP(A534,'装备掉落'!$A$29:$H$34,6,TRUE)&gt;0,5,0),IF(VLOOKUP(A534,'装备掉落'!$A$29:$H$34,7,TRUE)&gt;0,6,0),IF(VLOOKUP(A534,'装备掉落'!$A$29:$H$34,8,TRUE)&gt;0,7,0))</x:f>
        <x:v>7</x:v>
      </x:c>
      <x:c r="T534" s="119" t="n">
        <x:f>MIN(7,S534+'经济参数'!$E$70)</x:f>
        <x:v>7</x:v>
      </x:c>
      <x:c r="U534" s="119" t="n">
        <x:f>MIN(7,S534+'经济参数'!$E$71)</x:f>
        <x:v>7</x:v>
      </x:c>
      <x:c r="V534" s="119" t="n">
        <x:f>IF(H534&gt;=('难度参数'!$E$52),1,0)+IF(H534&gt;=('难度参数'!$E$52+'难度参数'!$E$53),1,0)+IF(H534&gt;=('难度参数'!$E$52+'难度参数'!$E$53+'难度参数'!$E$54),1,0)+IF(H534&gt;=('难度参数'!$E$52+'难度参数'!$E$53+'难度参数'!$E$54+'难度参数'!$E$55),1,0)+IF(H534&gt;=('难度参数'!$E$52+'难度参数'!$E$53+'难度参数'!$E$54+'难度参数'!$E$55+'难度参数'!$E$56),1,0)+IF(H534&gt;=('难度参数'!$E$52+'难度参数'!$E$53+'难度参数'!$E$54+'难度参数'!$E$55+'难度参数'!$E$56+'难度参数'!$E$57),1,0)</x:f>
        <x:v>6</x:v>
      </x:c>
      <x:c r="W534" s="62" t="str">
        <x:f>IF(L534&gt;'难度参数'!$E$51,"仅出怪已超目标","还需实测")</x:f>
        <x:v>仅出怪已超目标</x:v>
      </x:c>
      <x:c r="X534" s="119" t="n">
        <x:f>IF(1&gt;D534,0,MAX(2,MIN('难度参数'!$E$12,ROUND(('难度参数'!$E$18*POWER(A534,'难度参数'!$E$19)/D534*(0.85+0.3*(1-1)/MAX(1,D534-1))),0)+F534)))</x:f>
        <x:v>36</x:v>
      </x:c>
      <x:c r="Y534" s="119" t="n">
        <x:f>IF(1&gt;D534,0,ROUND(('难度参数'!$E$13*POWER(A534,'难度参数'!$E$20)*MIN('难度参数'!$E$23,1+MAX(0,A534-'难度参数'!$E$21)*'难度参数'!$E$22))*(36+1*7)/(36+7*(D534+1)/2)*E534,0))</x:f>
        <x:v>8278</x:v>
      </x:c>
      <x:c r="Z534" s="119" t="n">
        <x:f>IF(X534=0,0,(X534-IF(1=D534,1,0))*ROUND(Y534*VLOOKUP(INDEX('章节与怪物'!$E$31:$K$37,B534,1),'章节与怪物'!$A$41:$F$44,2,FALSE),0)+IF(1=D534,ROUND(Y534*'难度参数'!$E$28*'章节与怪物'!$E$17,0),0))</x:f>
        <x:v>298008</x:v>
      </x:c>
      <x:c r="AA534" s="119" t="n">
        <x:f>IF(X534=0,0,(X534-IF(1=D534,1,0))*VLOOKUP(INDEX('章节与怪物'!$E$31:$K$37,B534,1),'章节与怪物'!$A$41:$F$44,4,FALSE)+IF(1=D534,'难度参数'!$E$30,0))</x:f>
        <x:v>648</x:v>
      </x:c>
      <x:c r="AB534" s="119" t="n">
        <x:f>IF(2&gt;D534,0,MAX(2,MIN('难度参数'!$E$12,ROUND(('难度参数'!$E$18*POWER(A534,'难度参数'!$E$19)/D534*(0.85+0.3*(2-1)/MAX(1,D534-1))),0)+F534)))</x:f>
        <x:v>38</x:v>
      </x:c>
      <x:c r="AC534" s="119" t="n">
        <x:f>IF(2&gt;D534,0,ROUND(('难度参数'!$E$13*POWER(A534,'难度参数'!$E$20)*MIN('难度参数'!$E$23,1+MAX(0,A534-'难度参数'!$E$21)*'难度参数'!$E$22))*(36+2*7)/(36+7*(D534+1)/2)*E534,0))</x:f>
        <x:v>9625</x:v>
      </x:c>
      <x:c r="AD534" s="119" t="n">
        <x:f>IF(AB534=0,0,(AB534-IF(2=D534,1,0))*ROUND(AC534*VLOOKUP(INDEX('章节与怪物'!$E$31:$K$37,B534,2),'章节与怪物'!$A$41:$F$44,2,FALSE),0)+IF(2=D534,ROUND(AC534*'难度参数'!$E$28*'章节与怪物'!$E$17,0),0))</x:f>
        <x:v>365750</x:v>
      </x:c>
      <x:c r="AE534" s="119" t="n">
        <x:f>IF(AB534=0,0,(AB534-IF(2=D534,1,0))*VLOOKUP(INDEX('章节与怪物'!$E$31:$K$37,B534,2),'章节与怪物'!$A$41:$F$44,4,FALSE)+IF(2=D534,'难度参数'!$E$30,0))</x:f>
        <x:v>684</x:v>
      </x:c>
      <x:c r="AF534" s="119" t="n">
        <x:f>IF(3&gt;D534,0,MAX(2,MIN('难度参数'!$E$12,ROUND(('难度参数'!$E$18*POWER(A534,'难度参数'!$E$19)/D534*(0.85+0.3*(3-1)/MAX(1,D534-1))),0)+F534)))</x:f>
        <x:v>40</x:v>
      </x:c>
      <x:c r="AG534" s="119" t="n">
        <x:f>IF(3&gt;D534,0,ROUND(('难度参数'!$E$13*POWER(A534,'难度参数'!$E$20)*MIN('难度参数'!$E$23,1+MAX(0,A534-'难度参数'!$E$21)*'难度参数'!$E$22))*(36+3*7)/(36+7*(D534+1)/2)*E534,0))</x:f>
        <x:v>10973</x:v>
      </x:c>
      <x:c r="AH534" s="119" t="n">
        <x:f>IF(AF534=0,0,(AF534-IF(3=D534,1,0))*ROUND(AG534*VLOOKUP(INDEX('章节与怪物'!$E$31:$K$37,B534,3),'章节与怪物'!$A$41:$F$44,2,FALSE),0)+IF(3=D534,ROUND(AG534*'难度参数'!$E$28*'章节与怪物'!$E$17,0),0))</x:f>
        <x:v>316040</x:v>
      </x:c>
      <x:c r="AI534" s="119" t="n">
        <x:f>IF(AF534=0,0,(AF534-IF(3=D534,1,0))*VLOOKUP(INDEX('章节与怪物'!$E$31:$K$37,B534,3),'章节与怪物'!$A$41:$F$44,4,FALSE)+IF(3=D534,'难度参数'!$E$30,0))</x:f>
        <x:v>800</x:v>
      </x:c>
      <x:c r="AJ534" s="119" t="n">
        <x:f>IF(4&gt;D534,0,MAX(2,MIN('难度参数'!$E$12,ROUND(('难度参数'!$E$18*POWER(A534,'难度参数'!$E$19)/D534*(0.85+0.3*(4-1)/MAX(1,D534-1))),0)+F534)))</x:f>
        <x:v>42</x:v>
      </x:c>
      <x:c r="AK534" s="119" t="n">
        <x:f>IF(4&gt;D534,0,ROUND(('难度参数'!$E$13*POWER(A534,'难度参数'!$E$20)*MIN('难度参数'!$E$23,1+MAX(0,A534-'难度参数'!$E$21)*'难度参数'!$E$22))*(36+4*7)/(36+7*(D534+1)/2)*E534,0))</x:f>
        <x:v>12321</x:v>
      </x:c>
      <x:c r="AL534" s="119" t="n">
        <x:f>IF(AJ534=0,0,(AJ534-IF(4=D534,1,0))*ROUND(AK534*VLOOKUP(INDEX('章节与怪物'!$E$31:$K$37,B534,4),'章节与怪物'!$A$41:$F$44,2,FALSE),0)+IF(4=D534,ROUND(AK534*'难度参数'!$E$28*'章节与怪物'!$E$17,0),0))</x:f>
        <x:v>879732</x:v>
      </x:c>
      <x:c r="AM534" s="119" t="n">
        <x:f>IF(AJ534=0,0,(AJ534-IF(4=D534,1,0))*VLOOKUP(INDEX('章节与怪物'!$E$31:$K$37,B534,4),'章节与怪物'!$A$41:$F$44,4,FALSE)+IF(4=D534,'难度参数'!$E$30,0))</x:f>
        <x:v>1176</x:v>
      </x:c>
      <x:c r="AN534" s="119" t="n">
        <x:f>IF(5&gt;D534,0,MAX(2,MIN('难度参数'!$E$12,ROUND(('难度参数'!$E$18*POWER(A534,'难度参数'!$E$19)/D534*(0.85+0.3*(5-1)/MAX(1,D534-1))),0)+F534)))</x:f>
        <x:v>44</x:v>
      </x:c>
      <x:c r="AO534" s="119" t="n">
        <x:f>IF(5&gt;D534,0,ROUND(('难度参数'!$E$13*POWER(A534,'难度参数'!$E$20)*MIN('难度参数'!$E$23,1+MAX(0,A534-'难度参数'!$E$21)*'难度参数'!$E$22))*(36+5*7)/(36+7*(D534+1)/2)*E534,0))</x:f>
        <x:v>13668</x:v>
      </x:c>
      <x:c r="AP534" s="119" t="n">
        <x:f>IF(AN534=0,0,(AN534-IF(5=D534,1,0))*ROUND(AO534*VLOOKUP(INDEX('章节与怪物'!$E$31:$K$37,B534,5),'章节与怪物'!$A$41:$F$44,2,FALSE),0)+IF(5=D534,ROUND(AO534*'难度参数'!$E$28*'章节与怪物'!$E$17,0),0))</x:f>
        <x:v>811888</x:v>
      </x:c>
      <x:c r="AQ534" s="119" t="n">
        <x:f>IF(AN534=0,0,(AN534-IF(5=D534,1,0))*VLOOKUP(INDEX('章节与怪物'!$E$31:$K$37,B534,5),'章节与怪物'!$A$41:$F$44,4,FALSE)+IF(5=D534,'难度参数'!$E$30,0))</x:f>
        <x:v>1496</x:v>
      </x:c>
      <x:c r="AR534" s="119" t="n">
        <x:f>IF(6&gt;D534,0,MAX(2,MIN('难度参数'!$E$12,ROUND(('难度参数'!$E$18*POWER(A534,'难度参数'!$E$19)/D534*(0.85+0.3*(6-1)/MAX(1,D534-1))),0)+F534)))</x:f>
        <x:v>47</x:v>
      </x:c>
      <x:c r="AS534" s="119" t="n">
        <x:f>IF(6&gt;D534,0,ROUND(('难度参数'!$E$13*POWER(A534,'难度参数'!$E$20)*MIN('难度参数'!$E$23,1+MAX(0,A534-'难度参数'!$E$21)*'难度参数'!$E$22))*(36+6*7)/(36+7*(D534+1)/2)*E534,0))</x:f>
        <x:v>15016</x:v>
      </x:c>
      <x:c r="AT534" s="119" t="n">
        <x:f>IF(AR534=0,0,(AR534-IF(6=D534,1,0))*ROUND(AS534*VLOOKUP(INDEX('章节与怪物'!$E$31:$K$37,B534,6),'章节与怪物'!$A$41:$F$44,2,FALSE),0)+IF(6=D534,ROUND(AS534*'难度参数'!$E$28*'章节与怪物'!$E$17,0),0))</x:f>
        <x:v>508164</x:v>
      </x:c>
      <x:c r="AU534" s="119" t="n">
        <x:f>IF(AR534=0,0,(AR534-IF(6=D534,1,0))*VLOOKUP(INDEX('章节与怪物'!$E$31:$K$37,B534,6),'章节与怪物'!$A$41:$F$44,4,FALSE)+IF(6=D534,'难度参数'!$E$30,0))</x:f>
        <x:v>940</x:v>
      </x:c>
      <x:c r="AV534" s="119" t="n">
        <x:f>IF(7&gt;D534,0,MAX(2,MIN('难度参数'!$E$12,ROUND(('难度参数'!$E$18*POWER(A534,'难度参数'!$E$19)/D534*(0.85+0.3*(7-1)/MAX(1,D534-1))),0)+F534)))</x:f>
        <x:v>49</x:v>
      </x:c>
      <x:c r="AW534" s="119" t="n">
        <x:f>IF(7&gt;D534,0,ROUND(('难度参数'!$E$13*POWER(A534,'难度参数'!$E$20)*MIN('难度参数'!$E$23,1+MAX(0,A534-'难度参数'!$E$21)*'难度参数'!$E$22))*(36+7*7)/(36+7*(D534+1)/2)*E534,0))</x:f>
        <x:v>16363</x:v>
      </x:c>
      <x:c r="AX534" s="119" t="n">
        <x:f>IF(AV534=0,0,(AV534-IF(7=D534,1,0))*ROUND(AW534*VLOOKUP(INDEX('章节与怪物'!$E$31:$K$37,B534,7),'章节与怪物'!$A$41:$F$44,2,FALSE),0)+IF(7=D534,ROUND(AW534*'难度参数'!$E$28*'章节与怪物'!$E$17,0),0))</x:f>
        <x:v>1446484</x:v>
      </x:c>
      <x:c r="AY534" s="119" t="n">
        <x:f>IF(AV534=0,0,(AV534-IF(7=D534,1,0))*VLOOKUP(INDEX('章节与怪物'!$E$31:$K$37,B534,7),'章节与怪物'!$A$41:$F$44,4,FALSE)+IF(7=D534,'难度参数'!$E$30,0))</x:f>
        <x:v>1544</x:v>
      </x:c>
    </x:row>
    <x:row r="535" ht="23" customHeight="1">
      <x:c r="A535" s="119" t="n">
        <x:v>529</x:v>
      </x:c>
      <x:c r="B535" s="119" t="n">
        <x:f>MOD(INT((A535-1)/5),7)+1</x:f>
        <x:v>1</x:v>
      </x:c>
      <x:c r="C535" s="62" t="str">
        <x:f>INDEX('章节与怪物'!$B$31:$B$37,B535)</x:f>
        <x:v>冰雪荒原</x:v>
      </x:c>
      <x:c r="D535" s="119" t="n">
        <x:f>MIN('难度参数'!$E$8,MAX('难度参数'!$E$7,A535))</x:f>
        <x:v>7</x:v>
      </x:c>
      <x:c r="E535" s="106" t="n">
        <x:v>1</x:v>
      </x:c>
      <x:c r="F535" s="106" t="n">
        <x:v>0</x:v>
      </x:c>
      <x:c r="G535" s="106" t="n">
        <x:v>1</x:v>
      </x:c>
      <x:c r="H535" s="119" t="n">
        <x:f>SUM(X535,AB535,AF535,AJ535,AN535,AR535,AV535)</x:f>
        <x:v>296</x:v>
      </x:c>
      <x:c r="I535" s="119" t="n">
        <x:f>SUM(Z535,AD535,AH535,AL535,AP535,AT535,AX535)</x:f>
        <x:v>4632315</x:v>
      </x:c>
      <x:c r="J535" s="119" t="n">
        <x:f>ROUND(INDEX(X535:AY535,1,(D535-1)*4+2)*'难度参数'!$E$28*'章节与怪物'!$E$17,0)</x:f>
        <x:v>111425</x:v>
      </x:c>
      <x:c r="K535" s="119" t="n">
        <x:f>SUM(AA535,AE535,AI535,AM535,AQ535,AU535,AY535)</x:f>
        <x:v>7288</x:v>
      </x:c>
      <x:c r="L535" s="62" t="n">
        <x:f>H535*(ROUNDUP('难度参数'!$E$24/('难度参数'!$E$26*'难度参数'!$E$27),0)*'难度参数'!$E$26)/60</x:f>
        <x:v>3.9466666666666668</x:v>
      </x:c>
      <x:c r="M535" s="62" t="n">
        <x:f>L535+D535*('难度参数'!$E$49+'难度参数'!$E$50)/60</x:f>
        <x:v>5.113333333333333</x:v>
      </x:c>
      <x:c r="N535" s="119" t="n">
        <x:f>ROUNDDOWN(('经济参数'!$E$20+A535*'经济参数'!$E$21)*G535,0)</x:f>
        <x:v>10760</x:v>
      </x:c>
      <x:c r="O535" s="119" t="n">
        <x:f>ROUNDDOWN(MIN('经济参数'!$E$24,'经济参数'!$E$22+A535*'经济参数'!$E$23)*G535,0)</x:f>
        <x:v>0</x:v>
      </x:c>
      <x:c r="P535" s="119" t="n">
        <x:f>ROUNDDOWN((IF(A535&gt;='材料与任务'!$E$31,'材料与任务'!$E$32,IF(A535&gt;='材料与任务'!$E$25,'材料与任务'!$E$26,IF(A535&gt;='材料与任务'!$E$19,'材料与任务'!$E$20,IF(A535&gt;='材料与任务'!$E$13,'材料与任务'!$E$14,'材料与任务'!$E$8)))))*G535,0)</x:f>
        <x:v>6</x:v>
      </x:c>
      <x:c r="Q535" s="119" t="n">
        <x:f>ROUNDDOWN((IF(A535&gt;='材料与任务'!$E$31,'材料与任务'!$E$33,IF(A535&gt;='材料与任务'!$E$25,'材料与任务'!$E$27,IF(A535&gt;='材料与任务'!$E$19,'材料与任务'!$E$21,IF(A535&gt;='材料与任务'!$E$13,'材料与任务'!$E$15,'材料与任务'!$E$9)))))*G535,0)</x:f>
        <x:v>3</x:v>
      </x:c>
      <x:c r="R535" s="110" t="n">
        <x:f>'装备掉落'!$B$38</x:f>
        <x:v>0.6872058758851213</x:v>
      </x:c>
      <x:c r="S535" s="119" t="n">
        <x:f>MAX(IF(VLOOKUP(A535,'装备掉落'!$A$29:$H$34,2,TRUE)&gt;0,1,0),IF(VLOOKUP(A535,'装备掉落'!$A$29:$H$34,3,TRUE)&gt;0,2,0),IF(VLOOKUP(A535,'装备掉落'!$A$29:$H$34,4,TRUE)&gt;0,3,0),IF(VLOOKUP(A535,'装备掉落'!$A$29:$H$34,5,TRUE)&gt;0,4,0),IF(VLOOKUP(A535,'装备掉落'!$A$29:$H$34,6,TRUE)&gt;0,5,0),IF(VLOOKUP(A535,'装备掉落'!$A$29:$H$34,7,TRUE)&gt;0,6,0),IF(VLOOKUP(A535,'装备掉落'!$A$29:$H$34,8,TRUE)&gt;0,7,0))</x:f>
        <x:v>7</x:v>
      </x:c>
      <x:c r="T535" s="119" t="n">
        <x:f>MIN(7,S535+'经济参数'!$E$70)</x:f>
        <x:v>7</x:v>
      </x:c>
      <x:c r="U535" s="119" t="n">
        <x:f>MIN(7,S535+'经济参数'!$E$71)</x:f>
        <x:v>7</x:v>
      </x:c>
      <x:c r="V535" s="119" t="n">
        <x:f>IF(H535&gt;=('难度参数'!$E$52),1,0)+IF(H535&gt;=('难度参数'!$E$52+'难度参数'!$E$53),1,0)+IF(H535&gt;=('难度参数'!$E$52+'难度参数'!$E$53+'难度参数'!$E$54),1,0)+IF(H535&gt;=('难度参数'!$E$52+'难度参数'!$E$53+'难度参数'!$E$54+'难度参数'!$E$55),1,0)+IF(H535&gt;=('难度参数'!$E$52+'难度参数'!$E$53+'难度参数'!$E$54+'难度参数'!$E$55+'难度参数'!$E$56),1,0)+IF(H535&gt;=('难度参数'!$E$52+'难度参数'!$E$53+'难度参数'!$E$54+'难度参数'!$E$55+'难度参数'!$E$56+'难度参数'!$E$57),1,0)</x:f>
        <x:v>6</x:v>
      </x:c>
      <x:c r="W535" s="62" t="str">
        <x:f>IF(L535&gt;'难度参数'!$E$51,"仅出怪已超目标","还需实测")</x:f>
        <x:v>仅出怪已超目标</x:v>
      </x:c>
      <x:c r="X535" s="119" t="n">
        <x:f>IF(1&gt;D535,0,MAX(2,MIN('难度参数'!$E$12,ROUND(('难度参数'!$E$18*POWER(A535,'难度参数'!$E$19)/D535*(0.85+0.3*(1-1)/MAX(1,D535-1))),0)+F535)))</x:f>
        <x:v>36</x:v>
      </x:c>
      <x:c r="Y535" s="119" t="n">
        <x:f>IF(1&gt;D535,0,ROUND(('难度参数'!$E$13*POWER(A535,'难度参数'!$E$20)*MIN('难度参数'!$E$23,1+MAX(0,A535-'难度参数'!$E$21)*'难度参数'!$E$22))*(36+1*7)/(36+7*(D535+1)/2)*E535,0))</x:f>
        <x:v>8289</x:v>
      </x:c>
      <x:c r="Z535" s="119" t="n">
        <x:f>IF(X535=0,0,(X535-IF(1=D535,1,0))*ROUND(Y535*VLOOKUP(INDEX('章节与怪物'!$E$31:$K$37,B535,1),'章节与怪物'!$A$41:$F$44,2,FALSE),0)+IF(1=D535,ROUND(Y535*'难度参数'!$E$28*'章节与怪物'!$E$17,0),0))</x:f>
        <x:v>298404</x:v>
      </x:c>
      <x:c r="AA535" s="119" t="n">
        <x:f>IF(X535=0,0,(X535-IF(1=D535,1,0))*VLOOKUP(INDEX('章节与怪物'!$E$31:$K$37,B535,1),'章节与怪物'!$A$41:$F$44,4,FALSE)+IF(1=D535,'难度参数'!$E$30,0))</x:f>
        <x:v>648</x:v>
      </x:c>
      <x:c r="AB535" s="119" t="n">
        <x:f>IF(2&gt;D535,0,MAX(2,MIN('难度参数'!$E$12,ROUND(('难度参数'!$E$18*POWER(A535,'难度参数'!$E$19)/D535*(0.85+0.3*(2-1)/MAX(1,D535-1))),0)+F535)))</x:f>
        <x:v>38</x:v>
      </x:c>
      <x:c r="AC535" s="119" t="n">
        <x:f>IF(2&gt;D535,0,ROUND(('难度参数'!$E$13*POWER(A535,'难度参数'!$E$20)*MIN('难度参数'!$E$23,1+MAX(0,A535-'难度参数'!$E$21)*'难度参数'!$E$22))*(36+2*7)/(36+7*(D535+1)/2)*E535,0))</x:f>
        <x:v>9639</x:v>
      </x:c>
      <x:c r="AD535" s="119" t="n">
        <x:f>IF(AB535=0,0,(AB535-IF(2=D535,1,0))*ROUND(AC535*VLOOKUP(INDEX('章节与怪物'!$E$31:$K$37,B535,2),'章节与怪物'!$A$41:$F$44,2,FALSE),0)+IF(2=D535,ROUND(AC535*'难度参数'!$E$28*'章节与怪物'!$E$17,0),0))</x:f>
        <x:v>366282</x:v>
      </x:c>
      <x:c r="AE535" s="119" t="n">
        <x:f>IF(AB535=0,0,(AB535-IF(2=D535,1,0))*VLOOKUP(INDEX('章节与怪物'!$E$31:$K$37,B535,2),'章节与怪物'!$A$41:$F$44,4,FALSE)+IF(2=D535,'难度参数'!$E$30,0))</x:f>
        <x:v>684</x:v>
      </x:c>
      <x:c r="AF535" s="119" t="n">
        <x:f>IF(3&gt;D535,0,MAX(2,MIN('难度参数'!$E$12,ROUND(('难度参数'!$E$18*POWER(A535,'难度参数'!$E$19)/D535*(0.85+0.3*(3-1)/MAX(1,D535-1))),0)+F535)))</x:f>
        <x:v>40</x:v>
      </x:c>
      <x:c r="AG535" s="119" t="n">
        <x:f>IF(3&gt;D535,0,ROUND(('难度参数'!$E$13*POWER(A535,'难度参数'!$E$20)*MIN('难度参数'!$E$23,1+MAX(0,A535-'难度参数'!$E$21)*'难度参数'!$E$22))*(36+3*7)/(36+7*(D535+1)/2)*E535,0))</x:f>
        <x:v>10988</x:v>
      </x:c>
      <x:c r="AH535" s="119" t="n">
        <x:f>IF(AF535=0,0,(AF535-IF(3=D535,1,0))*ROUND(AG535*VLOOKUP(INDEX('章节与怪物'!$E$31:$K$37,B535,3),'章节与怪物'!$A$41:$F$44,2,FALSE),0)+IF(3=D535,ROUND(AG535*'难度参数'!$E$28*'章节与怪物'!$E$17,0),0))</x:f>
        <x:v>316440</x:v>
      </x:c>
      <x:c r="AI535" s="119" t="n">
        <x:f>IF(AF535=0,0,(AF535-IF(3=D535,1,0))*VLOOKUP(INDEX('章节与怪物'!$E$31:$K$37,B535,3),'章节与怪物'!$A$41:$F$44,4,FALSE)+IF(3=D535,'难度参数'!$E$30,0))</x:f>
        <x:v>800</x:v>
      </x:c>
      <x:c r="AJ535" s="119" t="n">
        <x:f>IF(4&gt;D535,0,MAX(2,MIN('难度参数'!$E$12,ROUND(('难度参数'!$E$18*POWER(A535,'难度参数'!$E$19)/D535*(0.85+0.3*(4-1)/MAX(1,D535-1))),0)+F535)))</x:f>
        <x:v>42</x:v>
      </x:c>
      <x:c r="AK535" s="119" t="n">
        <x:f>IF(4&gt;D535,0,ROUND(('难度参数'!$E$13*POWER(A535,'难度参数'!$E$20)*MIN('难度参数'!$E$23,1+MAX(0,A535-'难度参数'!$E$21)*'难度参数'!$E$22))*(36+4*7)/(36+7*(D535+1)/2)*E535,0))</x:f>
        <x:v>12337</x:v>
      </x:c>
      <x:c r="AL535" s="119" t="n">
        <x:f>IF(AJ535=0,0,(AJ535-IF(4=D535,1,0))*ROUND(AK535*VLOOKUP(INDEX('章节与怪物'!$E$31:$K$37,B535,4),'章节与怪物'!$A$41:$F$44,2,FALSE),0)+IF(4=D535,ROUND(AK535*'难度参数'!$E$28*'章节与怪物'!$E$17,0),0))</x:f>
        <x:v>880866</x:v>
      </x:c>
      <x:c r="AM535" s="119" t="n">
        <x:f>IF(AJ535=0,0,(AJ535-IF(4=D535,1,0))*VLOOKUP(INDEX('章节与怪物'!$E$31:$K$37,B535,4),'章节与怪物'!$A$41:$F$44,4,FALSE)+IF(4=D535,'难度参数'!$E$30,0))</x:f>
        <x:v>1176</x:v>
      </x:c>
      <x:c r="AN535" s="119" t="n">
        <x:f>IF(5&gt;D535,0,MAX(2,MIN('难度参数'!$E$12,ROUND(('难度参数'!$E$18*POWER(A535,'难度参数'!$E$19)/D535*(0.85+0.3*(5-1)/MAX(1,D535-1))),0)+F535)))</x:f>
        <x:v>44</x:v>
      </x:c>
      <x:c r="AO535" s="119" t="n">
        <x:f>IF(5&gt;D535,0,ROUND(('难度参数'!$E$13*POWER(A535,'难度参数'!$E$20)*MIN('难度参数'!$E$23,1+MAX(0,A535-'难度参数'!$E$21)*'难度参数'!$E$22))*(36+5*7)/(36+7*(D535+1)/2)*E535,0))</x:f>
        <x:v>13687</x:v>
      </x:c>
      <x:c r="AP535" s="119" t="n">
        <x:f>IF(AN535=0,0,(AN535-IF(5=D535,1,0))*ROUND(AO535*VLOOKUP(INDEX('章节与怪物'!$E$31:$K$37,B535,5),'章节与怪物'!$A$41:$F$44,2,FALSE),0)+IF(5=D535,ROUND(AO535*'难度参数'!$E$28*'章节与怪物'!$E$17,0),0))</x:f>
        <x:v>812988</x:v>
      </x:c>
      <x:c r="AQ535" s="119" t="n">
        <x:f>IF(AN535=0,0,(AN535-IF(5=D535,1,0))*VLOOKUP(INDEX('章节与怪物'!$E$31:$K$37,B535,5),'章节与怪物'!$A$41:$F$44,4,FALSE)+IF(5=D535,'难度参数'!$E$30,0))</x:f>
        <x:v>1496</x:v>
      </x:c>
      <x:c r="AR535" s="119" t="n">
        <x:f>IF(6&gt;D535,0,MAX(2,MIN('难度参数'!$E$12,ROUND(('难度参数'!$E$18*POWER(A535,'难度参数'!$E$19)/D535*(0.85+0.3*(6-1)/MAX(1,D535-1))),0)+F535)))</x:f>
        <x:v>47</x:v>
      </x:c>
      <x:c r="AS535" s="119" t="n">
        <x:f>IF(6&gt;D535,0,ROUND(('难度参数'!$E$13*POWER(A535,'难度参数'!$E$20)*MIN('难度参数'!$E$23,1+MAX(0,A535-'难度参数'!$E$21)*'难度参数'!$E$22))*(36+6*7)/(36+7*(D535+1)/2)*E535,0))</x:f>
        <x:v>15036</x:v>
      </x:c>
      <x:c r="AT535" s="119" t="n">
        <x:f>IF(AR535=0,0,(AR535-IF(6=D535,1,0))*ROUND(AS535*VLOOKUP(INDEX('章节与怪物'!$E$31:$K$37,B535,6),'章节与怪物'!$A$41:$F$44,2,FALSE),0)+IF(6=D535,ROUND(AS535*'难度参数'!$E$28*'章节与怪物'!$E$17,0),0))</x:f>
        <x:v>508822</x:v>
      </x:c>
      <x:c r="AU535" s="119" t="n">
        <x:f>IF(AR535=0,0,(AR535-IF(6=D535,1,0))*VLOOKUP(INDEX('章节与怪物'!$E$31:$K$37,B535,6),'章节与怪物'!$A$41:$F$44,4,FALSE)+IF(6=D535,'难度参数'!$E$30,0))</x:f>
        <x:v>940</x:v>
      </x:c>
      <x:c r="AV535" s="119" t="n">
        <x:f>IF(7&gt;D535,0,MAX(2,MIN('难度参数'!$E$12,ROUND(('难度参数'!$E$18*POWER(A535,'难度参数'!$E$19)/D535*(0.85+0.3*(7-1)/MAX(1,D535-1))),0)+F535)))</x:f>
        <x:v>49</x:v>
      </x:c>
      <x:c r="AW535" s="119" t="n">
        <x:f>IF(7&gt;D535,0,ROUND(('难度参数'!$E$13*POWER(A535,'难度参数'!$E$20)*MIN('难度参数'!$E$23,1+MAX(0,A535-'难度参数'!$E$21)*'难度参数'!$E$22))*(36+7*7)/(36+7*(D535+1)/2)*E535,0))</x:f>
        <x:v>16386</x:v>
      </x:c>
      <x:c r="AX535" s="119" t="n">
        <x:f>IF(AV535=0,0,(AV535-IF(7=D535,1,0))*ROUND(AW535*VLOOKUP(INDEX('章节与怪物'!$E$31:$K$37,B535,7),'章节与怪物'!$A$41:$F$44,2,FALSE),0)+IF(7=D535,ROUND(AW535*'难度参数'!$E$28*'章节与怪物'!$E$17,0),0))</x:f>
        <x:v>1448513</x:v>
      </x:c>
      <x:c r="AY535" s="119" t="n">
        <x:f>IF(AV535=0,0,(AV535-IF(7=D535,1,0))*VLOOKUP(INDEX('章节与怪物'!$E$31:$K$37,B535,7),'章节与怪物'!$A$41:$F$44,4,FALSE)+IF(7=D535,'难度参数'!$E$30,0))</x:f>
        <x:v>1544</x:v>
      </x:c>
    </x:row>
    <x:row r="536" ht="23" customHeight="1">
      <x:c r="A536" s="119" t="n">
        <x:v>530</x:v>
      </x:c>
      <x:c r="B536" s="119" t="n">
        <x:f>MOD(INT((A536-1)/5),7)+1</x:f>
        <x:v>1</x:v>
      </x:c>
      <x:c r="C536" s="62" t="str">
        <x:f>INDEX('章节与怪物'!$B$31:$B$37,B536)</x:f>
        <x:v>冰雪荒原</x:v>
      </x:c>
      <x:c r="D536" s="119" t="n">
        <x:f>MIN('难度参数'!$E$8,MAX('难度参数'!$E$7,A536))</x:f>
        <x:v>7</x:v>
      </x:c>
      <x:c r="E536" s="106" t="n">
        <x:v>1</x:v>
      </x:c>
      <x:c r="F536" s="106" t="n">
        <x:v>0</x:v>
      </x:c>
      <x:c r="G536" s="106" t="n">
        <x:v>1</x:v>
      </x:c>
      <x:c r="H536" s="119" t="n">
        <x:f>SUM(X536,AB536,AF536,AJ536,AN536,AR536,AV536)</x:f>
        <x:v>296</x:v>
      </x:c>
      <x:c r="I536" s="119" t="n">
        <x:f>SUM(Z536,AD536,AH536,AL536,AP536,AT536,AX536)</x:f>
        <x:v>4638641</x:v>
      </x:c>
      <x:c r="J536" s="119" t="n">
        <x:f>ROUND(INDEX(X536:AY536,1,(D536-1)*4+2)*'难度参数'!$E$28*'章节与怪物'!$E$17,0)</x:f>
        <x:v>111574</x:v>
      </x:c>
      <x:c r="K536" s="119" t="n">
        <x:f>SUM(AA536,AE536,AI536,AM536,AQ536,AU536,AY536)</x:f>
        <x:v>7288</x:v>
      </x:c>
      <x:c r="L536" s="62" t="n">
        <x:f>H536*(ROUNDUP('难度参数'!$E$24/('难度参数'!$E$26*'难度参数'!$E$27),0)*'难度参数'!$E$26)/60</x:f>
        <x:v>3.9466666666666668</x:v>
      </x:c>
      <x:c r="M536" s="62" t="n">
        <x:f>L536+D536*('难度参数'!$E$49+'难度参数'!$E$50)/60</x:f>
        <x:v>5.113333333333333</x:v>
      </x:c>
      <x:c r="N536" s="119" t="n">
        <x:f>ROUNDDOWN(('经济参数'!$E$20+A536*'经济参数'!$E$21)*G536,0)</x:f>
        <x:v>10780</x:v>
      </x:c>
      <x:c r="O536" s="119" t="n">
        <x:f>ROUNDDOWN(MIN('经济参数'!$E$24,'经济参数'!$E$22+A536*'经济参数'!$E$23)*G536,0)</x:f>
        <x:v>0</x:v>
      </x:c>
      <x:c r="P536" s="119" t="n">
        <x:f>ROUNDDOWN((IF(A536&gt;='材料与任务'!$E$31,'材料与任务'!$E$32,IF(A536&gt;='材料与任务'!$E$25,'材料与任务'!$E$26,IF(A536&gt;='材料与任务'!$E$19,'材料与任务'!$E$20,IF(A536&gt;='材料与任务'!$E$13,'材料与任务'!$E$14,'材料与任务'!$E$8)))))*G536,0)</x:f>
        <x:v>6</x:v>
      </x:c>
      <x:c r="Q536" s="119" t="n">
        <x:f>ROUNDDOWN((IF(A536&gt;='材料与任务'!$E$31,'材料与任务'!$E$33,IF(A536&gt;='材料与任务'!$E$25,'材料与任务'!$E$27,IF(A536&gt;='材料与任务'!$E$19,'材料与任务'!$E$21,IF(A536&gt;='材料与任务'!$E$13,'材料与任务'!$E$15,'材料与任务'!$E$9)))))*G536,0)</x:f>
        <x:v>3</x:v>
      </x:c>
      <x:c r="R536" s="110" t="n">
        <x:f>'装备掉落'!$B$38</x:f>
        <x:v>0.6872058758851213</x:v>
      </x:c>
      <x:c r="S536" s="119" t="n">
        <x:f>MAX(IF(VLOOKUP(A536,'装备掉落'!$A$29:$H$34,2,TRUE)&gt;0,1,0),IF(VLOOKUP(A536,'装备掉落'!$A$29:$H$34,3,TRUE)&gt;0,2,0),IF(VLOOKUP(A536,'装备掉落'!$A$29:$H$34,4,TRUE)&gt;0,3,0),IF(VLOOKUP(A536,'装备掉落'!$A$29:$H$34,5,TRUE)&gt;0,4,0),IF(VLOOKUP(A536,'装备掉落'!$A$29:$H$34,6,TRUE)&gt;0,5,0),IF(VLOOKUP(A536,'装备掉落'!$A$29:$H$34,7,TRUE)&gt;0,6,0),IF(VLOOKUP(A536,'装备掉落'!$A$29:$H$34,8,TRUE)&gt;0,7,0))</x:f>
        <x:v>7</x:v>
      </x:c>
      <x:c r="T536" s="119" t="n">
        <x:f>MIN(7,S536+'经济参数'!$E$70)</x:f>
        <x:v>7</x:v>
      </x:c>
      <x:c r="U536" s="119" t="n">
        <x:f>MIN(7,S536+'经济参数'!$E$71)</x:f>
        <x:v>7</x:v>
      </x:c>
      <x:c r="V536" s="119" t="n">
        <x:f>IF(H536&gt;=('难度参数'!$E$52),1,0)+IF(H536&gt;=('难度参数'!$E$52+'难度参数'!$E$53),1,0)+IF(H536&gt;=('难度参数'!$E$52+'难度参数'!$E$53+'难度参数'!$E$54),1,0)+IF(H536&gt;=('难度参数'!$E$52+'难度参数'!$E$53+'难度参数'!$E$54+'难度参数'!$E$55),1,0)+IF(H536&gt;=('难度参数'!$E$52+'难度参数'!$E$53+'难度参数'!$E$54+'难度参数'!$E$55+'难度参数'!$E$56),1,0)+IF(H536&gt;=('难度参数'!$E$52+'难度参数'!$E$53+'难度参数'!$E$54+'难度参数'!$E$55+'难度参数'!$E$56+'难度参数'!$E$57),1,0)</x:f>
        <x:v>6</x:v>
      </x:c>
      <x:c r="W536" s="62" t="str">
        <x:f>IF(L536&gt;'难度参数'!$E$51,"仅出怪已超目标","还需实测")</x:f>
        <x:v>仅出怪已超目标</x:v>
      </x:c>
      <x:c r="X536" s="119" t="n">
        <x:f>IF(1&gt;D536,0,MAX(2,MIN('难度参数'!$E$12,ROUND(('难度参数'!$E$18*POWER(A536,'难度参数'!$E$19)/D536*(0.85+0.3*(1-1)/MAX(1,D536-1))),0)+F536)))</x:f>
        <x:v>36</x:v>
      </x:c>
      <x:c r="Y536" s="119" t="n">
        <x:f>IF(1&gt;D536,0,ROUND(('难度参数'!$E$13*POWER(A536,'难度参数'!$E$20)*MIN('难度参数'!$E$23,1+MAX(0,A536-'难度参数'!$E$21)*'难度参数'!$E$22))*(36+1*7)/(36+7*(D536+1)/2)*E536,0))</x:f>
        <x:v>8300</x:v>
      </x:c>
      <x:c r="Z536" s="119" t="n">
        <x:f>IF(X536=0,0,(X536-IF(1=D536,1,0))*ROUND(Y536*VLOOKUP(INDEX('章节与怪物'!$E$31:$K$37,B536,1),'章节与怪物'!$A$41:$F$44,2,FALSE),0)+IF(1=D536,ROUND(Y536*'难度参数'!$E$28*'章节与怪物'!$E$17,0),0))</x:f>
        <x:v>298800</x:v>
      </x:c>
      <x:c r="AA536" s="119" t="n">
        <x:f>IF(X536=0,0,(X536-IF(1=D536,1,0))*VLOOKUP(INDEX('章节与怪物'!$E$31:$K$37,B536,1),'章节与怪物'!$A$41:$F$44,4,FALSE)+IF(1=D536,'难度参数'!$E$30,0))</x:f>
        <x:v>648</x:v>
      </x:c>
      <x:c r="AB536" s="119" t="n">
        <x:f>IF(2&gt;D536,0,MAX(2,MIN('难度参数'!$E$12,ROUND(('难度参数'!$E$18*POWER(A536,'难度参数'!$E$19)/D536*(0.85+0.3*(2-1)/MAX(1,D536-1))),0)+F536)))</x:f>
        <x:v>38</x:v>
      </x:c>
      <x:c r="AC536" s="119" t="n">
        <x:f>IF(2&gt;D536,0,ROUND(('难度参数'!$E$13*POWER(A536,'难度参数'!$E$20)*MIN('难度参数'!$E$23,1+MAX(0,A536-'难度参数'!$E$21)*'难度参数'!$E$22))*(36+2*7)/(36+7*(D536+1)/2)*E536,0))</x:f>
        <x:v>9652</x:v>
      </x:c>
      <x:c r="AD536" s="119" t="n">
        <x:f>IF(AB536=0,0,(AB536-IF(2=D536,1,0))*ROUND(AC536*VLOOKUP(INDEX('章节与怪物'!$E$31:$K$37,B536,2),'章节与怪物'!$A$41:$F$44,2,FALSE),0)+IF(2=D536,ROUND(AC536*'难度参数'!$E$28*'章节与怪物'!$E$17,0),0))</x:f>
        <x:v>366776</x:v>
      </x:c>
      <x:c r="AE536" s="119" t="n">
        <x:f>IF(AB536=0,0,(AB536-IF(2=D536,1,0))*VLOOKUP(INDEX('章节与怪物'!$E$31:$K$37,B536,2),'章节与怪物'!$A$41:$F$44,4,FALSE)+IF(2=D536,'难度参数'!$E$30,0))</x:f>
        <x:v>684</x:v>
      </x:c>
      <x:c r="AF536" s="119" t="n">
        <x:f>IF(3&gt;D536,0,MAX(2,MIN('难度参数'!$E$12,ROUND(('难度参数'!$E$18*POWER(A536,'难度参数'!$E$19)/D536*(0.85+0.3*(3-1)/MAX(1,D536-1))),0)+F536)))</x:f>
        <x:v>40</x:v>
      </x:c>
      <x:c r="AG536" s="119" t="n">
        <x:f>IF(3&gt;D536,0,ROUND(('难度参数'!$E$13*POWER(A536,'难度参数'!$E$20)*MIN('难度参数'!$E$23,1+MAX(0,A536-'难度参数'!$E$21)*'难度参数'!$E$22))*(36+3*7)/(36+7*(D536+1)/2)*E536,0))</x:f>
        <x:v>11003</x:v>
      </x:c>
      <x:c r="AH536" s="119" t="n">
        <x:f>IF(AF536=0,0,(AF536-IF(3=D536,1,0))*ROUND(AG536*VLOOKUP(INDEX('章节与怪物'!$E$31:$K$37,B536,3),'章节与怪物'!$A$41:$F$44,2,FALSE),0)+IF(3=D536,ROUND(AG536*'难度参数'!$E$28*'章节与怪物'!$E$17,0),0))</x:f>
        <x:v>316880</x:v>
      </x:c>
      <x:c r="AI536" s="119" t="n">
        <x:f>IF(AF536=0,0,(AF536-IF(3=D536,1,0))*VLOOKUP(INDEX('章节与怪物'!$E$31:$K$37,B536,3),'章节与怪物'!$A$41:$F$44,4,FALSE)+IF(3=D536,'难度参数'!$E$30,0))</x:f>
        <x:v>800</x:v>
      </x:c>
      <x:c r="AJ536" s="119" t="n">
        <x:f>IF(4&gt;D536,0,MAX(2,MIN('难度参数'!$E$12,ROUND(('难度参数'!$E$18*POWER(A536,'难度参数'!$E$19)/D536*(0.85+0.3*(4-1)/MAX(1,D536-1))),0)+F536)))</x:f>
        <x:v>42</x:v>
      </x:c>
      <x:c r="AK536" s="119" t="n">
        <x:f>IF(4&gt;D536,0,ROUND(('难度参数'!$E$13*POWER(A536,'难度参数'!$E$20)*MIN('难度参数'!$E$23,1+MAX(0,A536-'难度参数'!$E$21)*'难度参数'!$E$22))*(36+4*7)/(36+7*(D536+1)/2)*E536,0))</x:f>
        <x:v>12354</x:v>
      </x:c>
      <x:c r="AL536" s="119" t="n">
        <x:f>IF(AJ536=0,0,(AJ536-IF(4=D536,1,0))*ROUND(AK536*VLOOKUP(INDEX('章节与怪物'!$E$31:$K$37,B536,4),'章节与怪物'!$A$41:$F$44,2,FALSE),0)+IF(4=D536,ROUND(AK536*'难度参数'!$E$28*'章节与怪物'!$E$17,0),0))</x:f>
        <x:v>882084</x:v>
      </x:c>
      <x:c r="AM536" s="119" t="n">
        <x:f>IF(AJ536=0,0,(AJ536-IF(4=D536,1,0))*VLOOKUP(INDEX('章节与怪物'!$E$31:$K$37,B536,4),'章节与怪物'!$A$41:$F$44,4,FALSE)+IF(4=D536,'难度参数'!$E$30,0))</x:f>
        <x:v>1176</x:v>
      </x:c>
      <x:c r="AN536" s="119" t="n">
        <x:f>IF(5&gt;D536,0,MAX(2,MIN('难度参数'!$E$12,ROUND(('难度参数'!$E$18*POWER(A536,'难度参数'!$E$19)/D536*(0.85+0.3*(5-1)/MAX(1,D536-1))),0)+F536)))</x:f>
        <x:v>44</x:v>
      </x:c>
      <x:c r="AO536" s="119" t="n">
        <x:f>IF(5&gt;D536,0,ROUND(('难度参数'!$E$13*POWER(A536,'难度参数'!$E$20)*MIN('难度参数'!$E$23,1+MAX(0,A536-'难度参数'!$E$21)*'难度参数'!$E$22))*(36+5*7)/(36+7*(D536+1)/2)*E536,0))</x:f>
        <x:v>13705</x:v>
      </x:c>
      <x:c r="AP536" s="119" t="n">
        <x:f>IF(AN536=0,0,(AN536-IF(5=D536,1,0))*ROUND(AO536*VLOOKUP(INDEX('章节与怪物'!$E$31:$K$37,B536,5),'章节与怪物'!$A$41:$F$44,2,FALSE),0)+IF(5=D536,ROUND(AO536*'难度参数'!$E$28*'章节与怪物'!$E$17,0),0))</x:f>
        <x:v>814088</x:v>
      </x:c>
      <x:c r="AQ536" s="119" t="n">
        <x:f>IF(AN536=0,0,(AN536-IF(5=D536,1,0))*VLOOKUP(INDEX('章节与怪物'!$E$31:$K$37,B536,5),'章节与怪物'!$A$41:$F$44,4,FALSE)+IF(5=D536,'难度参数'!$E$30,0))</x:f>
        <x:v>1496</x:v>
      </x:c>
      <x:c r="AR536" s="119" t="n">
        <x:f>IF(6&gt;D536,0,MAX(2,MIN('难度参数'!$E$12,ROUND(('难度参数'!$E$18*POWER(A536,'难度参数'!$E$19)/D536*(0.85+0.3*(6-1)/MAX(1,D536-1))),0)+F536)))</x:f>
        <x:v>47</x:v>
      </x:c>
      <x:c r="AS536" s="119" t="n">
        <x:f>IF(6&gt;D536,0,ROUND(('难度参数'!$E$13*POWER(A536,'难度参数'!$E$20)*MIN('难度参数'!$E$23,1+MAX(0,A536-'难度参数'!$E$21)*'难度参数'!$E$22))*(36+6*7)/(36+7*(D536+1)/2)*E536,0))</x:f>
        <x:v>15057</x:v>
      </x:c>
      <x:c r="AT536" s="119" t="n">
        <x:f>IF(AR536=0,0,(AR536-IF(6=D536,1,0))*ROUND(AS536*VLOOKUP(INDEX('章节与怪物'!$E$31:$K$37,B536,6),'章节与怪物'!$A$41:$F$44,2,FALSE),0)+IF(6=D536,ROUND(AS536*'难度参数'!$E$28*'章节与怪物'!$E$17,0),0))</x:f>
        <x:v>509527</x:v>
      </x:c>
      <x:c r="AU536" s="119" t="n">
        <x:f>IF(AR536=0,0,(AR536-IF(6=D536,1,0))*VLOOKUP(INDEX('章节与怪物'!$E$31:$K$37,B536,6),'章节与怪物'!$A$41:$F$44,4,FALSE)+IF(6=D536,'难度参数'!$E$30,0))</x:f>
        <x:v>940</x:v>
      </x:c>
      <x:c r="AV536" s="119" t="n">
        <x:f>IF(7&gt;D536,0,MAX(2,MIN('难度参数'!$E$12,ROUND(('难度参数'!$E$18*POWER(A536,'难度参数'!$E$19)/D536*(0.85+0.3*(7-1)/MAX(1,D536-1))),0)+F536)))</x:f>
        <x:v>49</x:v>
      </x:c>
      <x:c r="AW536" s="119" t="n">
        <x:f>IF(7&gt;D536,0,ROUND(('难度参数'!$E$13*POWER(A536,'难度参数'!$E$20)*MIN('难度参数'!$E$23,1+MAX(0,A536-'难度参数'!$E$21)*'难度参数'!$E$22))*(36+7*7)/(36+7*(D536+1)/2)*E536,0))</x:f>
        <x:v>16408</x:v>
      </x:c>
      <x:c r="AX536" s="119" t="n">
        <x:f>IF(AV536=0,0,(AV536-IF(7=D536,1,0))*ROUND(AW536*VLOOKUP(INDEX('章节与怪物'!$E$31:$K$37,B536,7),'章节与怪物'!$A$41:$F$44,2,FALSE),0)+IF(7=D536,ROUND(AW536*'难度参数'!$E$28*'章节与怪物'!$E$17,0),0))</x:f>
        <x:v>1450486</x:v>
      </x:c>
      <x:c r="AY536" s="119" t="n">
        <x:f>IF(AV536=0,0,(AV536-IF(7=D536,1,0))*VLOOKUP(INDEX('章节与怪物'!$E$31:$K$37,B536,7),'章节与怪物'!$A$41:$F$44,4,FALSE)+IF(7=D536,'难度参数'!$E$30,0))</x:f>
        <x:v>1544</x:v>
      </x:c>
    </x:row>
    <x:row r="537" ht="23" customHeight="1">
      <x:c r="A537" s="119" t="n">
        <x:v>531</x:v>
      </x:c>
      <x:c r="B537" s="119" t="n">
        <x:f>MOD(INT((A537-1)/5),7)+1</x:f>
        <x:v>2</x:v>
      </x:c>
      <x:c r="C537" s="62" t="str">
        <x:f>INDEX('章节与怪物'!$B$31:$B$37,B537)</x:f>
        <x:v>黄沙要塞</x:v>
      </x:c>
      <x:c r="D537" s="119" t="n">
        <x:f>MIN('难度参数'!$E$8,MAX('难度参数'!$E$7,A537))</x:f>
        <x:v>7</x:v>
      </x:c>
      <x:c r="E537" s="106" t="n">
        <x:v>1</x:v>
      </x:c>
      <x:c r="F537" s="106" t="n">
        <x:v>0</x:v>
      </x:c>
      <x:c r="G537" s="106" t="n">
        <x:v>1</x:v>
      </x:c>
      <x:c r="H537" s="119" t="n">
        <x:f>SUM(X537,AB537,AF537,AJ537,AN537,AR537,AV537)</x:f>
        <x:v>297</x:v>
      </x:c>
      <x:c r="I537" s="119" t="n">
        <x:f>SUM(Z537,AD537,AH537,AL537,AP537,AT537,AX537)</x:f>
        <x:v>5032061</x:v>
      </x:c>
      <x:c r="J537" s="119" t="n">
        <x:f>ROUND(INDEX(X537:AY537,1,(D537-1)*4+2)*'难度参数'!$E$28*'章节与怪物'!$E$17,0)</x:f>
        <x:v>111724</x:v>
      </x:c>
      <x:c r="K537" s="119" t="n">
        <x:f>SUM(AA537,AE537,AI537,AM537,AQ537,AU537,AY537)</x:f>
        <x:v>7910</x:v>
      </x:c>
      <x:c r="L537" s="62" t="n">
        <x:f>H537*(ROUNDUP('难度参数'!$E$24/('难度参数'!$E$26*'难度参数'!$E$27),0)*'难度参数'!$E$26)/60</x:f>
        <x:v>3.9600000000000004</x:v>
      </x:c>
      <x:c r="M537" s="62" t="n">
        <x:f>L537+D537*('难度参数'!$E$49+'难度参数'!$E$50)/60</x:f>
        <x:v>5.126666666666667</x:v>
      </x:c>
      <x:c r="N537" s="119" t="n">
        <x:f>ROUNDDOWN(('经济参数'!$E$20+A537*'经济参数'!$E$21)*G537,0)</x:f>
        <x:v>10800</x:v>
      </x:c>
      <x:c r="O537" s="119" t="n">
        <x:f>ROUNDDOWN(MIN('经济参数'!$E$24,'经济参数'!$E$22+A537*'经济参数'!$E$23)*G537,0)</x:f>
        <x:v>0</x:v>
      </x:c>
      <x:c r="P537" s="119" t="n">
        <x:f>ROUNDDOWN((IF(A537&gt;='材料与任务'!$E$31,'材料与任务'!$E$32,IF(A537&gt;='材料与任务'!$E$25,'材料与任务'!$E$26,IF(A537&gt;='材料与任务'!$E$19,'材料与任务'!$E$20,IF(A537&gt;='材料与任务'!$E$13,'材料与任务'!$E$14,'材料与任务'!$E$8)))))*G537,0)</x:f>
        <x:v>6</x:v>
      </x:c>
      <x:c r="Q537" s="119" t="n">
        <x:f>ROUNDDOWN((IF(A537&gt;='材料与任务'!$E$31,'材料与任务'!$E$33,IF(A537&gt;='材料与任务'!$E$25,'材料与任务'!$E$27,IF(A537&gt;='材料与任务'!$E$19,'材料与任务'!$E$21,IF(A537&gt;='材料与任务'!$E$13,'材料与任务'!$E$15,'材料与任务'!$E$9)))))*G537,0)</x:f>
        <x:v>3</x:v>
      </x:c>
      <x:c r="R537" s="110" t="n">
        <x:f>'装备掉落'!$B$38</x:f>
        <x:v>0.6872058758851213</x:v>
      </x:c>
      <x:c r="S537" s="119" t="n">
        <x:f>MAX(IF(VLOOKUP(A537,'装备掉落'!$A$29:$H$34,2,TRUE)&gt;0,1,0),IF(VLOOKUP(A537,'装备掉落'!$A$29:$H$34,3,TRUE)&gt;0,2,0),IF(VLOOKUP(A537,'装备掉落'!$A$29:$H$34,4,TRUE)&gt;0,3,0),IF(VLOOKUP(A537,'装备掉落'!$A$29:$H$34,5,TRUE)&gt;0,4,0),IF(VLOOKUP(A537,'装备掉落'!$A$29:$H$34,6,TRUE)&gt;0,5,0),IF(VLOOKUP(A537,'装备掉落'!$A$29:$H$34,7,TRUE)&gt;0,6,0),IF(VLOOKUP(A537,'装备掉落'!$A$29:$H$34,8,TRUE)&gt;0,7,0))</x:f>
        <x:v>7</x:v>
      </x:c>
      <x:c r="T537" s="119" t="n">
        <x:f>MIN(7,S537+'经济参数'!$E$70)</x:f>
        <x:v>7</x:v>
      </x:c>
      <x:c r="U537" s="119" t="n">
        <x:f>MIN(7,S537+'经济参数'!$E$71)</x:f>
        <x:v>7</x:v>
      </x:c>
      <x:c r="V537" s="119" t="n">
        <x:f>IF(H537&gt;=('难度参数'!$E$52),1,0)+IF(H537&gt;=('难度参数'!$E$52+'难度参数'!$E$53),1,0)+IF(H537&gt;=('难度参数'!$E$52+'难度参数'!$E$53+'难度参数'!$E$54),1,0)+IF(H537&gt;=('难度参数'!$E$52+'难度参数'!$E$53+'难度参数'!$E$54+'难度参数'!$E$55),1,0)+IF(H537&gt;=('难度参数'!$E$52+'难度参数'!$E$53+'难度参数'!$E$54+'难度参数'!$E$55+'难度参数'!$E$56),1,0)+IF(H537&gt;=('难度参数'!$E$52+'难度参数'!$E$53+'难度参数'!$E$54+'难度参数'!$E$55+'难度参数'!$E$56+'难度参数'!$E$57),1,0)</x:f>
        <x:v>6</x:v>
      </x:c>
      <x:c r="W537" s="62" t="str">
        <x:f>IF(L537&gt;'难度参数'!$E$51,"仅出怪已超目标","还需实测")</x:f>
        <x:v>仅出怪已超目标</x:v>
      </x:c>
      <x:c r="X537" s="119" t="n">
        <x:f>IF(1&gt;D537,0,MAX(2,MIN('难度参数'!$E$12,ROUND(('难度参数'!$E$18*POWER(A537,'难度参数'!$E$19)/D537*(0.85+0.3*(1-1)/MAX(1,D537-1))),0)+F537)))</x:f>
        <x:v>36</x:v>
      </x:c>
      <x:c r="Y537" s="119" t="n">
        <x:f>IF(1&gt;D537,0,ROUND(('难度参数'!$E$13*POWER(A537,'难度参数'!$E$20)*MIN('难度参数'!$E$23,1+MAX(0,A537-'难度参数'!$E$21)*'难度参数'!$E$22))*(36+1*7)/(36+7*(D537+1)/2)*E537,0))</x:f>
        <x:v>8312</x:v>
      </x:c>
      <x:c r="Z537" s="119" t="n">
        <x:f>IF(X537=0,0,(X537-IF(1=D537,1,0))*ROUND(Y537*VLOOKUP(INDEX('章节与怪物'!$E$31:$K$37,B537,1),'章节与怪物'!$A$41:$F$44,2,FALSE),0)+IF(1=D537,ROUND(Y537*'难度参数'!$E$28*'章节与怪物'!$E$17,0),0))</x:f>
        <x:v>215460</x:v>
      </x:c>
      <x:c r="AA537" s="119" t="n">
        <x:f>IF(X537=0,0,(X537-IF(1=D537,1,0))*VLOOKUP(INDEX('章节与怪物'!$E$31:$K$37,B537,1),'章节与怪物'!$A$41:$F$44,4,FALSE)+IF(1=D537,'难度参数'!$E$30,0))</x:f>
        <x:v>720</x:v>
      </x:c>
      <x:c r="AB537" s="119" t="n">
        <x:f>IF(2&gt;D537,0,MAX(2,MIN('难度参数'!$E$12,ROUND(('难度参数'!$E$18*POWER(A537,'难度参数'!$E$19)/D537*(0.85+0.3*(2-1)/MAX(1,D537-1))),0)+F537)))</x:f>
        <x:v>38</x:v>
      </x:c>
      <x:c r="AC537" s="119" t="n">
        <x:f>IF(2&gt;D537,0,ROUND(('难度参数'!$E$13*POWER(A537,'难度参数'!$E$20)*MIN('难度参数'!$E$23,1+MAX(0,A537-'难度参数'!$E$21)*'难度参数'!$E$22))*(36+2*7)/(36+7*(D537+1)/2)*E537,0))</x:f>
        <x:v>9665</x:v>
      </x:c>
      <x:c r="AD537" s="119" t="n">
        <x:f>IF(AB537=0,0,(AB537-IF(2=D537,1,0))*ROUND(AC537*VLOOKUP(INDEX('章节与怪物'!$E$31:$K$37,B537,2),'章节与怪物'!$A$41:$F$44,2,FALSE),0)+IF(2=D537,ROUND(AC537*'难度参数'!$E$28*'章节与怪物'!$E$17,0),0))</x:f>
        <x:v>367270</x:v>
      </x:c>
      <x:c r="AE537" s="119" t="n">
        <x:f>IF(AB537=0,0,(AB537-IF(2=D537,1,0))*VLOOKUP(INDEX('章节与怪物'!$E$31:$K$37,B537,2),'章节与怪物'!$A$41:$F$44,4,FALSE)+IF(2=D537,'难度参数'!$E$30,0))</x:f>
        <x:v>684</x:v>
      </x:c>
      <x:c r="AF537" s="119" t="n">
        <x:f>IF(3&gt;D537,0,MAX(2,MIN('难度参数'!$E$12,ROUND(('难度参数'!$E$18*POWER(A537,'难度参数'!$E$19)/D537*(0.85+0.3*(3-1)/MAX(1,D537-1))),0)+F537)))</x:f>
        <x:v>40</x:v>
      </x:c>
      <x:c r="AG537" s="119" t="n">
        <x:f>IF(3&gt;D537,0,ROUND(('难度参数'!$E$13*POWER(A537,'难度参数'!$E$20)*MIN('难度参数'!$E$23,1+MAX(0,A537-'难度参数'!$E$21)*'难度参数'!$E$22))*(36+3*7)/(36+7*(D537+1)/2)*E537,0))</x:f>
        <x:v>11018</x:v>
      </x:c>
      <x:c r="AH537" s="119" t="n">
        <x:f>IF(AF537=0,0,(AF537-IF(3=D537,1,0))*ROUND(AG537*VLOOKUP(INDEX('章节与怪物'!$E$31:$K$37,B537,3),'章节与怪物'!$A$41:$F$44,2,FALSE),0)+IF(3=D537,ROUND(AG537*'难度参数'!$E$28*'章节与怪物'!$E$17,0),0))</x:f>
        <x:v>749240</x:v>
      </x:c>
      <x:c r="AI537" s="119" t="n">
        <x:f>IF(AF537=0,0,(AF537-IF(3=D537,1,0))*VLOOKUP(INDEX('章节与怪物'!$E$31:$K$37,B537,3),'章节与怪物'!$A$41:$F$44,4,FALSE)+IF(3=D537,'难度参数'!$E$30,0))</x:f>
        <x:v>1120</x:v>
      </x:c>
      <x:c r="AJ537" s="119" t="n">
        <x:f>IF(4&gt;D537,0,MAX(2,MIN('难度参数'!$E$12,ROUND(('难度参数'!$E$18*POWER(A537,'难度参数'!$E$19)/D537*(0.85+0.3*(4-1)/MAX(1,D537-1))),0)+F537)))</x:f>
        <x:v>42</x:v>
      </x:c>
      <x:c r="AK537" s="119" t="n">
        <x:f>IF(4&gt;D537,0,ROUND(('难度参数'!$E$13*POWER(A537,'难度参数'!$E$20)*MIN('难度参数'!$E$23,1+MAX(0,A537-'难度参数'!$E$21)*'难度参数'!$E$22))*(36+4*7)/(36+7*(D537+1)/2)*E537,0))</x:f>
        <x:v>12371</x:v>
      </x:c>
      <x:c r="AL537" s="119" t="n">
        <x:f>IF(AJ537=0,0,(AJ537-IF(4=D537,1,0))*ROUND(AK537*VLOOKUP(INDEX('章节与怪物'!$E$31:$K$37,B537,4),'章节与怪物'!$A$41:$F$44,2,FALSE),0)+IF(4=D537,ROUND(AK537*'难度参数'!$E$28*'章节与怪物'!$E$17,0),0))</x:f>
        <x:v>701442</x:v>
      </x:c>
      <x:c r="AM537" s="119" t="n">
        <x:f>IF(AJ537=0,0,(AJ537-IF(4=D537,1,0))*VLOOKUP(INDEX('章节与怪物'!$E$31:$K$37,B537,4),'章节与怪物'!$A$41:$F$44,4,FALSE)+IF(4=D537,'难度参数'!$E$30,0))</x:f>
        <x:v>1428</x:v>
      </x:c>
      <x:c r="AN537" s="119" t="n">
        <x:f>IF(5&gt;D537,0,MAX(2,MIN('难度参数'!$E$12,ROUND(('难度参数'!$E$18*POWER(A537,'难度参数'!$E$19)/D537*(0.85+0.3*(5-1)/MAX(1,D537-1))),0)+F537)))</x:f>
        <x:v>45</x:v>
      </x:c>
      <x:c r="AO537" s="119" t="n">
        <x:f>IF(5&gt;D537,0,ROUND(('难度参数'!$E$13*POWER(A537,'难度参数'!$E$20)*MIN('难度参数'!$E$23,1+MAX(0,A537-'难度参数'!$E$21)*'难度参数'!$E$22))*(36+5*7)/(36+7*(D537+1)/2)*E537,0))</x:f>
        <x:v>13724</x:v>
      </x:c>
      <x:c r="AP537" s="119" t="n">
        <x:f>IF(AN537=0,0,(AN537-IF(5=D537,1,0))*ROUND(AO537*VLOOKUP(INDEX('章节与怪物'!$E$31:$K$37,B537,5),'章节与怪物'!$A$41:$F$44,2,FALSE),0)+IF(5=D537,ROUND(AO537*'难度参数'!$E$28*'章节与怪物'!$E$17,0),0))</x:f>
        <x:v>617580</x:v>
      </x:c>
      <x:c r="AQ537" s="119" t="n">
        <x:f>IF(AN537=0,0,(AN537-IF(5=D537,1,0))*VLOOKUP(INDEX('章节与怪物'!$E$31:$K$37,B537,5),'章节与怪物'!$A$41:$F$44,4,FALSE)+IF(5=D537,'难度参数'!$E$30,0))</x:f>
        <x:v>810</x:v>
      </x:c>
      <x:c r="AR537" s="119" t="n">
        <x:f>IF(6&gt;D537,0,MAX(2,MIN('难度参数'!$E$12,ROUND(('难度参数'!$E$18*POWER(A537,'难度参数'!$E$19)/D537*(0.85+0.3*(6-1)/MAX(1,D537-1))),0)+F537)))</x:f>
        <x:v>47</x:v>
      </x:c>
      <x:c r="AS537" s="119" t="n">
        <x:f>IF(6&gt;D537,0,ROUND(('难度参数'!$E$13*POWER(A537,'难度参数'!$E$20)*MIN('难度参数'!$E$23,1+MAX(0,A537-'难度参数'!$E$21)*'难度参数'!$E$22))*(36+6*7)/(36+7*(D537+1)/2)*E537,0))</x:f>
        <x:v>15077</x:v>
      </x:c>
      <x:c r="AT537" s="119" t="n">
        <x:f>IF(AR537=0,0,(AR537-IF(6=D537,1,0))*ROUND(AS537*VLOOKUP(INDEX('章节与怪物'!$E$31:$K$37,B537,6),'章节与怪物'!$A$41:$F$44,2,FALSE),0)+IF(6=D537,ROUND(AS537*'难度参数'!$E$28*'章节与怪物'!$E$17,0),0))</x:f>
        <x:v>1204657</x:v>
      </x:c>
      <x:c r="AU537" s="119" t="n">
        <x:f>IF(AR537=0,0,(AR537-IF(6=D537,1,0))*VLOOKUP(INDEX('章节与怪物'!$E$31:$K$37,B537,6),'章节与怪物'!$A$41:$F$44,4,FALSE)+IF(6=D537,'难度参数'!$E$30,0))</x:f>
        <x:v>1316</x:v>
      </x:c>
      <x:c r="AV537" s="119" t="n">
        <x:f>IF(7&gt;D537,0,MAX(2,MIN('难度参数'!$E$12,ROUND(('难度参数'!$E$18*POWER(A537,'难度参数'!$E$19)/D537*(0.85+0.3*(7-1)/MAX(1,D537-1))),0)+F537)))</x:f>
        <x:v>49</x:v>
      </x:c>
      <x:c r="AW537" s="119" t="n">
        <x:f>IF(7&gt;D537,0,ROUND(('难度参数'!$E$13*POWER(A537,'难度参数'!$E$20)*MIN('难度参数'!$E$23,1+MAX(0,A537-'难度参数'!$E$21)*'难度参数'!$E$22))*(36+7*7)/(36+7*(D537+1)/2)*E537,0))</x:f>
        <x:v>16430</x:v>
      </x:c>
      <x:c r="AX537" s="119" t="n">
        <x:f>IF(AV537=0,0,(AV537-IF(7=D537,1,0))*ROUND(AW537*VLOOKUP(INDEX('章节与怪物'!$E$31:$K$37,B537,7),'章节与怪物'!$A$41:$F$44,2,FALSE),0)+IF(7=D537,ROUND(AW537*'难度参数'!$E$28*'章节与怪物'!$E$17,0),0))</x:f>
        <x:v>1176412</x:v>
      </x:c>
      <x:c r="AY537" s="119" t="n">
        <x:f>IF(AV537=0,0,(AV537-IF(7=D537,1,0))*VLOOKUP(INDEX('章节与怪物'!$E$31:$K$37,B537,7),'章节与怪物'!$A$41:$F$44,4,FALSE)+IF(7=D537,'难度参数'!$E$30,0))</x:f>
        <x:v>1832</x:v>
      </x:c>
    </x:row>
    <x:row r="538" ht="23" customHeight="1">
      <x:c r="A538" s="119" t="n">
        <x:v>532</x:v>
      </x:c>
      <x:c r="B538" s="119" t="n">
        <x:f>MOD(INT((A538-1)/5),7)+1</x:f>
        <x:v>2</x:v>
      </x:c>
      <x:c r="C538" s="62" t="str">
        <x:f>INDEX('章节与怪物'!$B$31:$B$37,B538)</x:f>
        <x:v>黄沙要塞</x:v>
      </x:c>
      <x:c r="D538" s="119" t="n">
        <x:f>MIN('难度参数'!$E$8,MAX('难度参数'!$E$7,A538))</x:f>
        <x:v>7</x:v>
      </x:c>
      <x:c r="E538" s="106" t="n">
        <x:v>1</x:v>
      </x:c>
      <x:c r="F538" s="106" t="n">
        <x:v>0</x:v>
      </x:c>
      <x:c r="G538" s="106" t="n">
        <x:v>1</x:v>
      </x:c>
      <x:c r="H538" s="119" t="n">
        <x:f>SUM(X538,AB538,AF538,AJ538,AN538,AR538,AV538)</x:f>
        <x:v>297</x:v>
      </x:c>
      <x:c r="I538" s="119" t="n">
        <x:f>SUM(Z538,AD538,AH538,AL538,AP538,AT538,AX538)</x:f>
        <x:v>5038804</x:v>
      </x:c>
      <x:c r="J538" s="119" t="n">
        <x:f>ROUND(INDEX(X538:AY538,1,(D538-1)*4+2)*'难度参数'!$E$28*'章节与怪物'!$E$17,0)</x:f>
        <x:v>111874</x:v>
      </x:c>
      <x:c r="K538" s="119" t="n">
        <x:f>SUM(AA538,AE538,AI538,AM538,AQ538,AU538,AY538)</x:f>
        <x:v>7910</x:v>
      </x:c>
      <x:c r="L538" s="62" t="n">
        <x:f>H538*(ROUNDUP('难度参数'!$E$24/('难度参数'!$E$26*'难度参数'!$E$27),0)*'难度参数'!$E$26)/60</x:f>
        <x:v>3.9600000000000004</x:v>
      </x:c>
      <x:c r="M538" s="62" t="n">
        <x:f>L538+D538*('难度参数'!$E$49+'难度参数'!$E$50)/60</x:f>
        <x:v>5.126666666666667</x:v>
      </x:c>
      <x:c r="N538" s="119" t="n">
        <x:f>ROUNDDOWN(('经济参数'!$E$20+A538*'经济参数'!$E$21)*G538,0)</x:f>
        <x:v>10820</x:v>
      </x:c>
      <x:c r="O538" s="119" t="n">
        <x:f>ROUNDDOWN(MIN('经济参数'!$E$24,'经济参数'!$E$22+A538*'经济参数'!$E$23)*G538,0)</x:f>
        <x:v>0</x:v>
      </x:c>
      <x:c r="P538" s="119" t="n">
        <x:f>ROUNDDOWN((IF(A538&gt;='材料与任务'!$E$31,'材料与任务'!$E$32,IF(A538&gt;='材料与任务'!$E$25,'材料与任务'!$E$26,IF(A538&gt;='材料与任务'!$E$19,'材料与任务'!$E$20,IF(A538&gt;='材料与任务'!$E$13,'材料与任务'!$E$14,'材料与任务'!$E$8)))))*G538,0)</x:f>
        <x:v>6</x:v>
      </x:c>
      <x:c r="Q538" s="119" t="n">
        <x:f>ROUNDDOWN((IF(A538&gt;='材料与任务'!$E$31,'材料与任务'!$E$33,IF(A538&gt;='材料与任务'!$E$25,'材料与任务'!$E$27,IF(A538&gt;='材料与任务'!$E$19,'材料与任务'!$E$21,IF(A538&gt;='材料与任务'!$E$13,'材料与任务'!$E$15,'材料与任务'!$E$9)))))*G538,0)</x:f>
        <x:v>3</x:v>
      </x:c>
      <x:c r="R538" s="110" t="n">
        <x:f>'装备掉落'!$B$38</x:f>
        <x:v>0.6872058758851213</x:v>
      </x:c>
      <x:c r="S538" s="119" t="n">
        <x:f>MAX(IF(VLOOKUP(A538,'装备掉落'!$A$29:$H$34,2,TRUE)&gt;0,1,0),IF(VLOOKUP(A538,'装备掉落'!$A$29:$H$34,3,TRUE)&gt;0,2,0),IF(VLOOKUP(A538,'装备掉落'!$A$29:$H$34,4,TRUE)&gt;0,3,0),IF(VLOOKUP(A538,'装备掉落'!$A$29:$H$34,5,TRUE)&gt;0,4,0),IF(VLOOKUP(A538,'装备掉落'!$A$29:$H$34,6,TRUE)&gt;0,5,0),IF(VLOOKUP(A538,'装备掉落'!$A$29:$H$34,7,TRUE)&gt;0,6,0),IF(VLOOKUP(A538,'装备掉落'!$A$29:$H$34,8,TRUE)&gt;0,7,0))</x:f>
        <x:v>7</x:v>
      </x:c>
      <x:c r="T538" s="119" t="n">
        <x:f>MIN(7,S538+'经济参数'!$E$70)</x:f>
        <x:v>7</x:v>
      </x:c>
      <x:c r="U538" s="119" t="n">
        <x:f>MIN(7,S538+'经济参数'!$E$71)</x:f>
        <x:v>7</x:v>
      </x:c>
      <x:c r="V538" s="119" t="n">
        <x:f>IF(H538&gt;=('难度参数'!$E$52),1,0)+IF(H538&gt;=('难度参数'!$E$52+'难度参数'!$E$53),1,0)+IF(H538&gt;=('难度参数'!$E$52+'难度参数'!$E$53+'难度参数'!$E$54),1,0)+IF(H538&gt;=('难度参数'!$E$52+'难度参数'!$E$53+'难度参数'!$E$54+'难度参数'!$E$55),1,0)+IF(H538&gt;=('难度参数'!$E$52+'难度参数'!$E$53+'难度参数'!$E$54+'难度参数'!$E$55+'难度参数'!$E$56),1,0)+IF(H538&gt;=('难度参数'!$E$52+'难度参数'!$E$53+'难度参数'!$E$54+'难度参数'!$E$55+'难度参数'!$E$56+'难度参数'!$E$57),1,0)</x:f>
        <x:v>6</x:v>
      </x:c>
      <x:c r="W538" s="62" t="str">
        <x:f>IF(L538&gt;'难度参数'!$E$51,"仅出怪已超目标","还需实测")</x:f>
        <x:v>仅出怪已超目标</x:v>
      </x:c>
      <x:c r="X538" s="119" t="n">
        <x:f>IF(1&gt;D538,0,MAX(2,MIN('难度参数'!$E$12,ROUND(('难度参数'!$E$18*POWER(A538,'难度参数'!$E$19)/D538*(0.85+0.3*(1-1)/MAX(1,D538-1))),0)+F538)))</x:f>
        <x:v>36</x:v>
      </x:c>
      <x:c r="Y538" s="119" t="n">
        <x:f>IF(1&gt;D538,0,ROUND(('难度参数'!$E$13*POWER(A538,'难度参数'!$E$20)*MIN('难度参数'!$E$23,1+MAX(0,A538-'难度参数'!$E$21)*'难度参数'!$E$22))*(36+1*7)/(36+7*(D538+1)/2)*E538,0))</x:f>
        <x:v>8323</x:v>
      </x:c>
      <x:c r="Z538" s="119" t="n">
        <x:f>IF(X538=0,0,(X538-IF(1=D538,1,0))*ROUND(Y538*VLOOKUP(INDEX('章节与怪物'!$E$31:$K$37,B538,1),'章节与怪物'!$A$41:$F$44,2,FALSE),0)+IF(1=D538,ROUND(Y538*'难度参数'!$E$28*'章节与怪物'!$E$17,0),0))</x:f>
        <x:v>215748</x:v>
      </x:c>
      <x:c r="AA538" s="119" t="n">
        <x:f>IF(X538=0,0,(X538-IF(1=D538,1,0))*VLOOKUP(INDEX('章节与怪物'!$E$31:$K$37,B538,1),'章节与怪物'!$A$41:$F$44,4,FALSE)+IF(1=D538,'难度参数'!$E$30,0))</x:f>
        <x:v>720</x:v>
      </x:c>
      <x:c r="AB538" s="119" t="n">
        <x:f>IF(2&gt;D538,0,MAX(2,MIN('难度参数'!$E$12,ROUND(('难度参数'!$E$18*POWER(A538,'难度参数'!$E$19)/D538*(0.85+0.3*(2-1)/MAX(1,D538-1))),0)+F538)))</x:f>
        <x:v>38</x:v>
      </x:c>
      <x:c r="AC538" s="119" t="n">
        <x:f>IF(2&gt;D538,0,ROUND(('难度参数'!$E$13*POWER(A538,'难度参数'!$E$20)*MIN('难度参数'!$E$23,1+MAX(0,A538-'难度参数'!$E$21)*'难度参数'!$E$22))*(36+2*7)/(36+7*(D538+1)/2)*E538,0))</x:f>
        <x:v>9678</x:v>
      </x:c>
      <x:c r="AD538" s="119" t="n">
        <x:f>IF(AB538=0,0,(AB538-IF(2=D538,1,0))*ROUND(AC538*VLOOKUP(INDEX('章节与怪物'!$E$31:$K$37,B538,2),'章节与怪物'!$A$41:$F$44,2,FALSE),0)+IF(2=D538,ROUND(AC538*'难度参数'!$E$28*'章节与怪物'!$E$17,0),0))</x:f>
        <x:v>367764</x:v>
      </x:c>
      <x:c r="AE538" s="119" t="n">
        <x:f>IF(AB538=0,0,(AB538-IF(2=D538,1,0))*VLOOKUP(INDEX('章节与怪物'!$E$31:$K$37,B538,2),'章节与怪物'!$A$41:$F$44,4,FALSE)+IF(2=D538,'难度参数'!$E$30,0))</x:f>
        <x:v>684</x:v>
      </x:c>
      <x:c r="AF538" s="119" t="n">
        <x:f>IF(3&gt;D538,0,MAX(2,MIN('难度参数'!$E$12,ROUND(('难度参数'!$E$18*POWER(A538,'难度参数'!$E$19)/D538*(0.85+0.3*(3-1)/MAX(1,D538-1))),0)+F538)))</x:f>
        <x:v>40</x:v>
      </x:c>
      <x:c r="AG538" s="119" t="n">
        <x:f>IF(3&gt;D538,0,ROUND(('难度参数'!$E$13*POWER(A538,'难度参数'!$E$20)*MIN('难度参数'!$E$23,1+MAX(0,A538-'难度参数'!$E$21)*'难度参数'!$E$22))*(36+3*7)/(36+7*(D538+1)/2)*E538,0))</x:f>
        <x:v>11033</x:v>
      </x:c>
      <x:c r="AH538" s="119" t="n">
        <x:f>IF(AF538=0,0,(AF538-IF(3=D538,1,0))*ROUND(AG538*VLOOKUP(INDEX('章节与怪物'!$E$31:$K$37,B538,3),'章节与怪物'!$A$41:$F$44,2,FALSE),0)+IF(3=D538,ROUND(AG538*'难度参数'!$E$28*'章节与怪物'!$E$17,0),0))</x:f>
        <x:v>750240</x:v>
      </x:c>
      <x:c r="AI538" s="119" t="n">
        <x:f>IF(AF538=0,0,(AF538-IF(3=D538,1,0))*VLOOKUP(INDEX('章节与怪物'!$E$31:$K$37,B538,3),'章节与怪物'!$A$41:$F$44,4,FALSE)+IF(3=D538,'难度参数'!$E$30,0))</x:f>
        <x:v>1120</x:v>
      </x:c>
      <x:c r="AJ538" s="119" t="n">
        <x:f>IF(4&gt;D538,0,MAX(2,MIN('难度参数'!$E$12,ROUND(('难度参数'!$E$18*POWER(A538,'难度参数'!$E$19)/D538*(0.85+0.3*(4-1)/MAX(1,D538-1))),0)+F538)))</x:f>
        <x:v>42</x:v>
      </x:c>
      <x:c r="AK538" s="119" t="n">
        <x:f>IF(4&gt;D538,0,ROUND(('难度参数'!$E$13*POWER(A538,'难度参数'!$E$20)*MIN('难度参数'!$E$23,1+MAX(0,A538-'难度参数'!$E$21)*'难度参数'!$E$22))*(36+4*7)/(36+7*(D538+1)/2)*E538,0))</x:f>
        <x:v>12388</x:v>
      </x:c>
      <x:c r="AL538" s="119" t="n">
        <x:f>IF(AJ538=0,0,(AJ538-IF(4=D538,1,0))*ROUND(AK538*VLOOKUP(INDEX('章节与怪物'!$E$31:$K$37,B538,4),'章节与怪物'!$A$41:$F$44,2,FALSE),0)+IF(4=D538,ROUND(AK538*'难度参数'!$E$28*'章节与怪物'!$E$17,0),0))</x:f>
        <x:v>702408</x:v>
      </x:c>
      <x:c r="AM538" s="119" t="n">
        <x:f>IF(AJ538=0,0,(AJ538-IF(4=D538,1,0))*VLOOKUP(INDEX('章节与怪物'!$E$31:$K$37,B538,4),'章节与怪物'!$A$41:$F$44,4,FALSE)+IF(4=D538,'难度参数'!$E$30,0))</x:f>
        <x:v>1428</x:v>
      </x:c>
      <x:c r="AN538" s="119" t="n">
        <x:f>IF(5&gt;D538,0,MAX(2,MIN('难度参数'!$E$12,ROUND(('难度参数'!$E$18*POWER(A538,'难度参数'!$E$19)/D538*(0.85+0.3*(5-1)/MAX(1,D538-1))),0)+F538)))</x:f>
        <x:v>45</x:v>
      </x:c>
      <x:c r="AO538" s="119" t="n">
        <x:f>IF(5&gt;D538,0,ROUND(('难度参数'!$E$13*POWER(A538,'难度参数'!$E$20)*MIN('难度参数'!$E$23,1+MAX(0,A538-'难度参数'!$E$21)*'难度参数'!$E$22))*(36+5*7)/(36+7*(D538+1)/2)*E538,0))</x:f>
        <x:v>13743</x:v>
      </x:c>
      <x:c r="AP538" s="119" t="n">
        <x:f>IF(AN538=0,0,(AN538-IF(5=D538,1,0))*ROUND(AO538*VLOOKUP(INDEX('章节与怪物'!$E$31:$K$37,B538,5),'章节与怪物'!$A$41:$F$44,2,FALSE),0)+IF(5=D538,ROUND(AO538*'难度参数'!$E$28*'章节与怪物'!$E$17,0),0))</x:f>
        <x:v>618435</x:v>
      </x:c>
      <x:c r="AQ538" s="119" t="n">
        <x:f>IF(AN538=0,0,(AN538-IF(5=D538,1,0))*VLOOKUP(INDEX('章节与怪物'!$E$31:$K$37,B538,5),'章节与怪物'!$A$41:$F$44,4,FALSE)+IF(5=D538,'难度参数'!$E$30,0))</x:f>
        <x:v>810</x:v>
      </x:c>
      <x:c r="AR538" s="119" t="n">
        <x:f>IF(6&gt;D538,0,MAX(2,MIN('难度参数'!$E$12,ROUND(('难度参数'!$E$18*POWER(A538,'难度参数'!$E$19)/D538*(0.85+0.3*(6-1)/MAX(1,D538-1))),0)+F538)))</x:f>
        <x:v>47</x:v>
      </x:c>
      <x:c r="AS538" s="119" t="n">
        <x:f>IF(6&gt;D538,0,ROUND(('难度参数'!$E$13*POWER(A538,'难度参数'!$E$20)*MIN('难度参数'!$E$23,1+MAX(0,A538-'难度参数'!$E$21)*'难度参数'!$E$22))*(36+6*7)/(36+7*(D538+1)/2)*E538,0))</x:f>
        <x:v>15097</x:v>
      </x:c>
      <x:c r="AT538" s="119" t="n">
        <x:f>IF(AR538=0,0,(AR538-IF(6=D538,1,0))*ROUND(AS538*VLOOKUP(INDEX('章节与怪物'!$E$31:$K$37,B538,6),'章节与怪物'!$A$41:$F$44,2,FALSE),0)+IF(6=D538,ROUND(AS538*'难度参数'!$E$28*'章节与怪物'!$E$17,0),0))</x:f>
        <x:v>1206255</x:v>
      </x:c>
      <x:c r="AU538" s="119" t="n">
        <x:f>IF(AR538=0,0,(AR538-IF(6=D538,1,0))*VLOOKUP(INDEX('章节与怪物'!$E$31:$K$37,B538,6),'章节与怪物'!$A$41:$F$44,4,FALSE)+IF(6=D538,'难度参数'!$E$30,0))</x:f>
        <x:v>1316</x:v>
      </x:c>
      <x:c r="AV538" s="119" t="n">
        <x:f>IF(7&gt;D538,0,MAX(2,MIN('难度参数'!$E$12,ROUND(('难度参数'!$E$18*POWER(A538,'难度参数'!$E$19)/D538*(0.85+0.3*(7-1)/MAX(1,D538-1))),0)+F538)))</x:f>
        <x:v>49</x:v>
      </x:c>
      <x:c r="AW538" s="119" t="n">
        <x:f>IF(7&gt;D538,0,ROUND(('难度参数'!$E$13*POWER(A538,'难度参数'!$E$20)*MIN('难度参数'!$E$23,1+MAX(0,A538-'难度参数'!$E$21)*'难度参数'!$E$22))*(36+7*7)/(36+7*(D538+1)/2)*E538,0))</x:f>
        <x:v>16452</x:v>
      </x:c>
      <x:c r="AX538" s="119" t="n">
        <x:f>IF(AV538=0,0,(AV538-IF(7=D538,1,0))*ROUND(AW538*VLOOKUP(INDEX('章节与怪物'!$E$31:$K$37,B538,7),'章节与怪物'!$A$41:$F$44,2,FALSE),0)+IF(7=D538,ROUND(AW538*'难度参数'!$E$28*'章节与怪物'!$E$17,0),0))</x:f>
        <x:v>1177954</x:v>
      </x:c>
      <x:c r="AY538" s="119" t="n">
        <x:f>IF(AV538=0,0,(AV538-IF(7=D538,1,0))*VLOOKUP(INDEX('章节与怪物'!$E$31:$K$37,B538,7),'章节与怪物'!$A$41:$F$44,4,FALSE)+IF(7=D538,'难度参数'!$E$30,0))</x:f>
        <x:v>1832</x:v>
      </x:c>
    </x:row>
    <x:row r="539" ht="23" customHeight="1">
      <x:c r="A539" s="119" t="n">
        <x:v>533</x:v>
      </x:c>
      <x:c r="B539" s="119" t="n">
        <x:f>MOD(INT((A539-1)/5),7)+1</x:f>
        <x:v>2</x:v>
      </x:c>
      <x:c r="C539" s="62" t="str">
        <x:f>INDEX('章节与怪物'!$B$31:$B$37,B539)</x:f>
        <x:v>黄沙要塞</x:v>
      </x:c>
      <x:c r="D539" s="119" t="n">
        <x:f>MIN('难度参数'!$E$8,MAX('难度参数'!$E$7,A539))</x:f>
        <x:v>7</x:v>
      </x:c>
      <x:c r="E539" s="106" t="n">
        <x:v>1</x:v>
      </x:c>
      <x:c r="F539" s="106" t="n">
        <x:v>0</x:v>
      </x:c>
      <x:c r="G539" s="106" t="n">
        <x:v>1</x:v>
      </x:c>
      <x:c r="H539" s="119" t="n">
        <x:f>SUM(X539,AB539,AF539,AJ539,AN539,AR539,AV539)</x:f>
        <x:v>297</x:v>
      </x:c>
      <x:c r="I539" s="119" t="n">
        <x:f>SUM(Z539,AD539,AH539,AL539,AP539,AT539,AX539)</x:f>
        <x:v>5045618</x:v>
      </x:c>
      <x:c r="J539" s="119" t="n">
        <x:f>ROUND(INDEX(X539:AY539,1,(D539-1)*4+2)*'难度参数'!$E$28*'章节与怪物'!$E$17,0)</x:f>
        <x:v>112030</x:v>
      </x:c>
      <x:c r="K539" s="119" t="n">
        <x:f>SUM(AA539,AE539,AI539,AM539,AQ539,AU539,AY539)</x:f>
        <x:v>7910</x:v>
      </x:c>
      <x:c r="L539" s="62" t="n">
        <x:f>H539*(ROUNDUP('难度参数'!$E$24/('难度参数'!$E$26*'难度参数'!$E$27),0)*'难度参数'!$E$26)/60</x:f>
        <x:v>3.9600000000000004</x:v>
      </x:c>
      <x:c r="M539" s="62" t="n">
        <x:f>L539+D539*('难度参数'!$E$49+'难度参数'!$E$50)/60</x:f>
        <x:v>5.126666666666667</x:v>
      </x:c>
      <x:c r="N539" s="119" t="n">
        <x:f>ROUNDDOWN(('经济参数'!$E$20+A539*'经济参数'!$E$21)*G539,0)</x:f>
        <x:v>10840</x:v>
      </x:c>
      <x:c r="O539" s="119" t="n">
        <x:f>ROUNDDOWN(MIN('经济参数'!$E$24,'经济参数'!$E$22+A539*'经济参数'!$E$23)*G539,0)</x:f>
        <x:v>0</x:v>
      </x:c>
      <x:c r="P539" s="119" t="n">
        <x:f>ROUNDDOWN((IF(A539&gt;='材料与任务'!$E$31,'材料与任务'!$E$32,IF(A539&gt;='材料与任务'!$E$25,'材料与任务'!$E$26,IF(A539&gt;='材料与任务'!$E$19,'材料与任务'!$E$20,IF(A539&gt;='材料与任务'!$E$13,'材料与任务'!$E$14,'材料与任务'!$E$8)))))*G539,0)</x:f>
        <x:v>6</x:v>
      </x:c>
      <x:c r="Q539" s="119" t="n">
        <x:f>ROUNDDOWN((IF(A539&gt;='材料与任务'!$E$31,'材料与任务'!$E$33,IF(A539&gt;='材料与任务'!$E$25,'材料与任务'!$E$27,IF(A539&gt;='材料与任务'!$E$19,'材料与任务'!$E$21,IF(A539&gt;='材料与任务'!$E$13,'材料与任务'!$E$15,'材料与任务'!$E$9)))))*G539,0)</x:f>
        <x:v>3</x:v>
      </x:c>
      <x:c r="R539" s="110" t="n">
        <x:f>'装备掉落'!$B$38</x:f>
        <x:v>0.6872058758851213</x:v>
      </x:c>
      <x:c r="S539" s="119" t="n">
        <x:f>MAX(IF(VLOOKUP(A539,'装备掉落'!$A$29:$H$34,2,TRUE)&gt;0,1,0),IF(VLOOKUP(A539,'装备掉落'!$A$29:$H$34,3,TRUE)&gt;0,2,0),IF(VLOOKUP(A539,'装备掉落'!$A$29:$H$34,4,TRUE)&gt;0,3,0),IF(VLOOKUP(A539,'装备掉落'!$A$29:$H$34,5,TRUE)&gt;0,4,0),IF(VLOOKUP(A539,'装备掉落'!$A$29:$H$34,6,TRUE)&gt;0,5,0),IF(VLOOKUP(A539,'装备掉落'!$A$29:$H$34,7,TRUE)&gt;0,6,0),IF(VLOOKUP(A539,'装备掉落'!$A$29:$H$34,8,TRUE)&gt;0,7,0))</x:f>
        <x:v>7</x:v>
      </x:c>
      <x:c r="T539" s="119" t="n">
        <x:f>MIN(7,S539+'经济参数'!$E$70)</x:f>
        <x:v>7</x:v>
      </x:c>
      <x:c r="U539" s="119" t="n">
        <x:f>MIN(7,S539+'经济参数'!$E$71)</x:f>
        <x:v>7</x:v>
      </x:c>
      <x:c r="V539" s="119" t="n">
        <x:f>IF(H539&gt;=('难度参数'!$E$52),1,0)+IF(H539&gt;=('难度参数'!$E$52+'难度参数'!$E$53),1,0)+IF(H539&gt;=('难度参数'!$E$52+'难度参数'!$E$53+'难度参数'!$E$54),1,0)+IF(H539&gt;=('难度参数'!$E$52+'难度参数'!$E$53+'难度参数'!$E$54+'难度参数'!$E$55),1,0)+IF(H539&gt;=('难度参数'!$E$52+'难度参数'!$E$53+'难度参数'!$E$54+'难度参数'!$E$55+'难度参数'!$E$56),1,0)+IF(H539&gt;=('难度参数'!$E$52+'难度参数'!$E$53+'难度参数'!$E$54+'难度参数'!$E$55+'难度参数'!$E$56+'难度参数'!$E$57),1,0)</x:f>
        <x:v>6</x:v>
      </x:c>
      <x:c r="W539" s="62" t="str">
        <x:f>IF(L539&gt;'难度参数'!$E$51,"仅出怪已超目标","还需实测")</x:f>
        <x:v>仅出怪已超目标</x:v>
      </x:c>
      <x:c r="X539" s="119" t="n">
        <x:f>IF(1&gt;D539,0,MAX(2,MIN('难度参数'!$E$12,ROUND(('难度参数'!$E$18*POWER(A539,'难度参数'!$E$19)/D539*(0.85+0.3*(1-1)/MAX(1,D539-1))),0)+F539)))</x:f>
        <x:v>36</x:v>
      </x:c>
      <x:c r="Y539" s="119" t="n">
        <x:f>IF(1&gt;D539,0,ROUND(('难度参数'!$E$13*POWER(A539,'难度参数'!$E$20)*MIN('难度参数'!$E$23,1+MAX(0,A539-'难度参数'!$E$21)*'难度参数'!$E$22))*(36+1*7)/(36+7*(D539+1)/2)*E539,0))</x:f>
        <x:v>8334</x:v>
      </x:c>
      <x:c r="Z539" s="119" t="n">
        <x:f>IF(X539=0,0,(X539-IF(1=D539,1,0))*ROUND(Y539*VLOOKUP(INDEX('章节与怪物'!$E$31:$K$37,B539,1),'章节与怪物'!$A$41:$F$44,2,FALSE),0)+IF(1=D539,ROUND(Y539*'难度参数'!$E$28*'章节与怪物'!$E$17,0),0))</x:f>
        <x:v>216000</x:v>
      </x:c>
      <x:c r="AA539" s="119" t="n">
        <x:f>IF(X539=0,0,(X539-IF(1=D539,1,0))*VLOOKUP(INDEX('章节与怪物'!$E$31:$K$37,B539,1),'章节与怪物'!$A$41:$F$44,4,FALSE)+IF(1=D539,'难度参数'!$E$30,0))</x:f>
        <x:v>720</x:v>
      </x:c>
      <x:c r="AB539" s="119" t="n">
        <x:f>IF(2&gt;D539,0,MAX(2,MIN('难度参数'!$E$12,ROUND(('难度参数'!$E$18*POWER(A539,'难度参数'!$E$19)/D539*(0.85+0.3*(2-1)/MAX(1,D539-1))),0)+F539)))</x:f>
        <x:v>38</x:v>
      </x:c>
      <x:c r="AC539" s="119" t="n">
        <x:f>IF(2&gt;D539,0,ROUND(('难度参数'!$E$13*POWER(A539,'难度参数'!$E$20)*MIN('难度参数'!$E$23,1+MAX(0,A539-'难度参数'!$E$21)*'难度参数'!$E$22))*(36+2*7)/(36+7*(D539+1)/2)*E539,0))</x:f>
        <x:v>9691</x:v>
      </x:c>
      <x:c r="AD539" s="119" t="n">
        <x:f>IF(AB539=0,0,(AB539-IF(2=D539,1,0))*ROUND(AC539*VLOOKUP(INDEX('章节与怪物'!$E$31:$K$37,B539,2),'章节与怪物'!$A$41:$F$44,2,FALSE),0)+IF(2=D539,ROUND(AC539*'难度参数'!$E$28*'章节与怪物'!$E$17,0),0))</x:f>
        <x:v>368258</x:v>
      </x:c>
      <x:c r="AE539" s="119" t="n">
        <x:f>IF(AB539=0,0,(AB539-IF(2=D539,1,0))*VLOOKUP(INDEX('章节与怪物'!$E$31:$K$37,B539,2),'章节与怪物'!$A$41:$F$44,4,FALSE)+IF(2=D539,'难度参数'!$E$30,0))</x:f>
        <x:v>684</x:v>
      </x:c>
      <x:c r="AF539" s="119" t="n">
        <x:f>IF(3&gt;D539,0,MAX(2,MIN('难度参数'!$E$12,ROUND(('难度参数'!$E$18*POWER(A539,'难度参数'!$E$19)/D539*(0.85+0.3*(3-1)/MAX(1,D539-1))),0)+F539)))</x:f>
        <x:v>40</x:v>
      </x:c>
      <x:c r="AG539" s="119" t="n">
        <x:f>IF(3&gt;D539,0,ROUND(('难度参数'!$E$13*POWER(A539,'难度参数'!$E$20)*MIN('难度参数'!$E$23,1+MAX(0,A539-'难度参数'!$E$21)*'难度参数'!$E$22))*(36+3*7)/(36+7*(D539+1)/2)*E539,0))</x:f>
        <x:v>11048</x:v>
      </x:c>
      <x:c r="AH539" s="119" t="n">
        <x:f>IF(AF539=0,0,(AF539-IF(3=D539,1,0))*ROUND(AG539*VLOOKUP(INDEX('章节与怪物'!$E$31:$K$37,B539,3),'章节与怪物'!$A$41:$F$44,2,FALSE),0)+IF(3=D539,ROUND(AG539*'难度参数'!$E$28*'章节与怪物'!$E$17,0),0))</x:f>
        <x:v>751280</x:v>
      </x:c>
      <x:c r="AI539" s="119" t="n">
        <x:f>IF(AF539=0,0,(AF539-IF(3=D539,1,0))*VLOOKUP(INDEX('章节与怪物'!$E$31:$K$37,B539,3),'章节与怪物'!$A$41:$F$44,4,FALSE)+IF(3=D539,'难度参数'!$E$30,0))</x:f>
        <x:v>1120</x:v>
      </x:c>
      <x:c r="AJ539" s="119" t="n">
        <x:f>IF(4&gt;D539,0,MAX(2,MIN('难度参数'!$E$12,ROUND(('难度参数'!$E$18*POWER(A539,'难度参数'!$E$19)/D539*(0.85+0.3*(4-1)/MAX(1,D539-1))),0)+F539)))</x:f>
        <x:v>42</x:v>
      </x:c>
      <x:c r="AK539" s="119" t="n">
        <x:f>IF(4&gt;D539,0,ROUND(('难度参数'!$E$13*POWER(A539,'难度参数'!$E$20)*MIN('难度参数'!$E$23,1+MAX(0,A539-'难度参数'!$E$21)*'难度参数'!$E$22))*(36+4*7)/(36+7*(D539+1)/2)*E539,0))</x:f>
        <x:v>12404</x:v>
      </x:c>
      <x:c r="AL539" s="119" t="n">
        <x:f>IF(AJ539=0,0,(AJ539-IF(4=D539,1,0))*ROUND(AK539*VLOOKUP(INDEX('章节与怪物'!$E$31:$K$37,B539,4),'章节与怪物'!$A$41:$F$44,2,FALSE),0)+IF(4=D539,ROUND(AK539*'难度参数'!$E$28*'章节与怪物'!$E$17,0),0))</x:f>
        <x:v>703290</x:v>
      </x:c>
      <x:c r="AM539" s="119" t="n">
        <x:f>IF(AJ539=0,0,(AJ539-IF(4=D539,1,0))*VLOOKUP(INDEX('章节与怪物'!$E$31:$K$37,B539,4),'章节与怪物'!$A$41:$F$44,4,FALSE)+IF(4=D539,'难度参数'!$E$30,0))</x:f>
        <x:v>1428</x:v>
      </x:c>
      <x:c r="AN539" s="119" t="n">
        <x:f>IF(5&gt;D539,0,MAX(2,MIN('难度参数'!$E$12,ROUND(('难度参数'!$E$18*POWER(A539,'难度参数'!$E$19)/D539*(0.85+0.3*(5-1)/MAX(1,D539-1))),0)+F539)))</x:f>
        <x:v>45</x:v>
      </x:c>
      <x:c r="AO539" s="119" t="n">
        <x:f>IF(5&gt;D539,0,ROUND(('难度参数'!$E$13*POWER(A539,'难度参数'!$E$20)*MIN('难度参数'!$E$23,1+MAX(0,A539-'难度参数'!$E$21)*'难度参数'!$E$22))*(36+5*7)/(36+7*(D539+1)/2)*E539,0))</x:f>
        <x:v>13761</x:v>
      </x:c>
      <x:c r="AP539" s="119" t="n">
        <x:f>IF(AN539=0,0,(AN539-IF(5=D539,1,0))*ROUND(AO539*VLOOKUP(INDEX('章节与怪物'!$E$31:$K$37,B539,5),'章节与怪物'!$A$41:$F$44,2,FALSE),0)+IF(5=D539,ROUND(AO539*'难度参数'!$E$28*'章节与怪物'!$E$17,0),0))</x:f>
        <x:v>619245</x:v>
      </x:c>
      <x:c r="AQ539" s="119" t="n">
        <x:f>IF(AN539=0,0,(AN539-IF(5=D539,1,0))*VLOOKUP(INDEX('章节与怪物'!$E$31:$K$37,B539,5),'章节与怪物'!$A$41:$F$44,4,FALSE)+IF(5=D539,'难度参数'!$E$30,0))</x:f>
        <x:v>810</x:v>
      </x:c>
      <x:c r="AR539" s="119" t="n">
        <x:f>IF(6&gt;D539,0,MAX(2,MIN('难度参数'!$E$12,ROUND(('难度参数'!$E$18*POWER(A539,'难度参数'!$E$19)/D539*(0.85+0.3*(6-1)/MAX(1,D539-1))),0)+F539)))</x:f>
        <x:v>47</x:v>
      </x:c>
      <x:c r="AS539" s="119" t="n">
        <x:f>IF(6&gt;D539,0,ROUND(('难度参数'!$E$13*POWER(A539,'难度参数'!$E$20)*MIN('难度参数'!$E$23,1+MAX(0,A539-'难度参数'!$E$21)*'难度参数'!$E$22))*(36+6*7)/(36+7*(D539+1)/2)*E539,0))</x:f>
        <x:v>15118</x:v>
      </x:c>
      <x:c r="AT539" s="119" t="n">
        <x:f>IF(AR539=0,0,(AR539-IF(6=D539,1,0))*ROUND(AS539*VLOOKUP(INDEX('章节与怪物'!$E$31:$K$37,B539,6),'章节与怪物'!$A$41:$F$44,2,FALSE),0)+IF(6=D539,ROUND(AS539*'难度参数'!$E$28*'章节与怪物'!$E$17,0),0))</x:f>
        <x:v>1207947</x:v>
      </x:c>
      <x:c r="AU539" s="119" t="n">
        <x:f>IF(AR539=0,0,(AR539-IF(6=D539,1,0))*VLOOKUP(INDEX('章节与怪物'!$E$31:$K$37,B539,6),'章节与怪物'!$A$41:$F$44,4,FALSE)+IF(6=D539,'难度参数'!$E$30,0))</x:f>
        <x:v>1316</x:v>
      </x:c>
      <x:c r="AV539" s="119" t="n">
        <x:f>IF(7&gt;D539,0,MAX(2,MIN('难度参数'!$E$12,ROUND(('难度参数'!$E$18*POWER(A539,'难度参数'!$E$19)/D539*(0.85+0.3*(7-1)/MAX(1,D539-1))),0)+F539)))</x:f>
        <x:v>49</x:v>
      </x:c>
      <x:c r="AW539" s="119" t="n">
        <x:f>IF(7&gt;D539,0,ROUND(('难度参数'!$E$13*POWER(A539,'难度参数'!$E$20)*MIN('难度参数'!$E$23,1+MAX(0,A539-'难度参数'!$E$21)*'难度参数'!$E$22))*(36+7*7)/(36+7*(D539+1)/2)*E539,0))</x:f>
        <x:v>16475</x:v>
      </x:c>
      <x:c r="AX539" s="119" t="n">
        <x:f>IF(AV539=0,0,(AV539-IF(7=D539,1,0))*ROUND(AW539*VLOOKUP(INDEX('章节与怪物'!$E$31:$K$37,B539,7),'章节与怪物'!$A$41:$F$44,2,FALSE),0)+IF(7=D539,ROUND(AW539*'难度参数'!$E$28*'章节与怪物'!$E$17,0),0))</x:f>
        <x:v>1179598</x:v>
      </x:c>
      <x:c r="AY539" s="119" t="n">
        <x:f>IF(AV539=0,0,(AV539-IF(7=D539,1,0))*VLOOKUP(INDEX('章节与怪物'!$E$31:$K$37,B539,7),'章节与怪物'!$A$41:$F$44,4,FALSE)+IF(7=D539,'难度参数'!$E$30,0))</x:f>
        <x:v>1832</x:v>
      </x:c>
    </x:row>
    <x:row r="540" ht="23" customHeight="1">
      <x:c r="A540" s="119" t="n">
        <x:v>534</x:v>
      </x:c>
      <x:c r="B540" s="119" t="n">
        <x:f>MOD(INT((A540-1)/5),7)+1</x:f>
        <x:v>2</x:v>
      </x:c>
      <x:c r="C540" s="62" t="str">
        <x:f>INDEX('章节与怪物'!$B$31:$B$37,B540)</x:f>
        <x:v>黄沙要塞</x:v>
      </x:c>
      <x:c r="D540" s="119" t="n">
        <x:f>MIN('难度参数'!$E$8,MAX('难度参数'!$E$7,A540))</x:f>
        <x:v>7</x:v>
      </x:c>
      <x:c r="E540" s="106" t="n">
        <x:v>1</x:v>
      </x:c>
      <x:c r="F540" s="106" t="n">
        <x:v>0</x:v>
      </x:c>
      <x:c r="G540" s="106" t="n">
        <x:v>1</x:v>
      </x:c>
      <x:c r="H540" s="119" t="n">
        <x:f>SUM(X540,AB540,AF540,AJ540,AN540,AR540,AV540)</x:f>
        <x:v>297</x:v>
      </x:c>
      <x:c r="I540" s="119" t="n">
        <x:f>SUM(Z540,AD540,AH540,AL540,AP540,AT540,AX540)</x:f>
        <x:v>5052409</x:v>
      </x:c>
      <x:c r="J540" s="119" t="n">
        <x:f>ROUND(INDEX(X540:AY540,1,(D540-1)*4+2)*'难度参数'!$E$28*'章节与怪物'!$E$17,0)</x:f>
        <x:v>112180</x:v>
      </x:c>
      <x:c r="K540" s="119" t="n">
        <x:f>SUM(AA540,AE540,AI540,AM540,AQ540,AU540,AY540)</x:f>
        <x:v>7910</x:v>
      </x:c>
      <x:c r="L540" s="62" t="n">
        <x:f>H540*(ROUNDUP('难度参数'!$E$24/('难度参数'!$E$26*'难度参数'!$E$27),0)*'难度参数'!$E$26)/60</x:f>
        <x:v>3.9600000000000004</x:v>
      </x:c>
      <x:c r="M540" s="62" t="n">
        <x:f>L540+D540*('难度参数'!$E$49+'难度参数'!$E$50)/60</x:f>
        <x:v>5.126666666666667</x:v>
      </x:c>
      <x:c r="N540" s="119" t="n">
        <x:f>ROUNDDOWN(('经济参数'!$E$20+A540*'经济参数'!$E$21)*G540,0)</x:f>
        <x:v>10860</x:v>
      </x:c>
      <x:c r="O540" s="119" t="n">
        <x:f>ROUNDDOWN(MIN('经济参数'!$E$24,'经济参数'!$E$22+A540*'经济参数'!$E$23)*G540,0)</x:f>
        <x:v>0</x:v>
      </x:c>
      <x:c r="P540" s="119" t="n">
        <x:f>ROUNDDOWN((IF(A540&gt;='材料与任务'!$E$31,'材料与任务'!$E$32,IF(A540&gt;='材料与任务'!$E$25,'材料与任务'!$E$26,IF(A540&gt;='材料与任务'!$E$19,'材料与任务'!$E$20,IF(A540&gt;='材料与任务'!$E$13,'材料与任务'!$E$14,'材料与任务'!$E$8)))))*G540,0)</x:f>
        <x:v>6</x:v>
      </x:c>
      <x:c r="Q540" s="119" t="n">
        <x:f>ROUNDDOWN((IF(A540&gt;='材料与任务'!$E$31,'材料与任务'!$E$33,IF(A540&gt;='材料与任务'!$E$25,'材料与任务'!$E$27,IF(A540&gt;='材料与任务'!$E$19,'材料与任务'!$E$21,IF(A540&gt;='材料与任务'!$E$13,'材料与任务'!$E$15,'材料与任务'!$E$9)))))*G540,0)</x:f>
        <x:v>3</x:v>
      </x:c>
      <x:c r="R540" s="110" t="n">
        <x:f>'装备掉落'!$B$38</x:f>
        <x:v>0.6872058758851213</x:v>
      </x:c>
      <x:c r="S540" s="119" t="n">
        <x:f>MAX(IF(VLOOKUP(A540,'装备掉落'!$A$29:$H$34,2,TRUE)&gt;0,1,0),IF(VLOOKUP(A540,'装备掉落'!$A$29:$H$34,3,TRUE)&gt;0,2,0),IF(VLOOKUP(A540,'装备掉落'!$A$29:$H$34,4,TRUE)&gt;0,3,0),IF(VLOOKUP(A540,'装备掉落'!$A$29:$H$34,5,TRUE)&gt;0,4,0),IF(VLOOKUP(A540,'装备掉落'!$A$29:$H$34,6,TRUE)&gt;0,5,0),IF(VLOOKUP(A540,'装备掉落'!$A$29:$H$34,7,TRUE)&gt;0,6,0),IF(VLOOKUP(A540,'装备掉落'!$A$29:$H$34,8,TRUE)&gt;0,7,0))</x:f>
        <x:v>7</x:v>
      </x:c>
      <x:c r="T540" s="119" t="n">
        <x:f>MIN(7,S540+'经济参数'!$E$70)</x:f>
        <x:v>7</x:v>
      </x:c>
      <x:c r="U540" s="119" t="n">
        <x:f>MIN(7,S540+'经济参数'!$E$71)</x:f>
        <x:v>7</x:v>
      </x:c>
      <x:c r="V540" s="119" t="n">
        <x:f>IF(H540&gt;=('难度参数'!$E$52),1,0)+IF(H540&gt;=('难度参数'!$E$52+'难度参数'!$E$53),1,0)+IF(H540&gt;=('难度参数'!$E$52+'难度参数'!$E$53+'难度参数'!$E$54),1,0)+IF(H540&gt;=('难度参数'!$E$52+'难度参数'!$E$53+'难度参数'!$E$54+'难度参数'!$E$55),1,0)+IF(H540&gt;=('难度参数'!$E$52+'难度参数'!$E$53+'难度参数'!$E$54+'难度参数'!$E$55+'难度参数'!$E$56),1,0)+IF(H540&gt;=('难度参数'!$E$52+'难度参数'!$E$53+'难度参数'!$E$54+'难度参数'!$E$55+'难度参数'!$E$56+'难度参数'!$E$57),1,0)</x:f>
        <x:v>6</x:v>
      </x:c>
      <x:c r="W540" s="62" t="str">
        <x:f>IF(L540&gt;'难度参数'!$E$51,"仅出怪已超目标","还需实测")</x:f>
        <x:v>仅出怪已超目标</x:v>
      </x:c>
      <x:c r="X540" s="119" t="n">
        <x:f>IF(1&gt;D540,0,MAX(2,MIN('难度参数'!$E$12,ROUND(('难度参数'!$E$18*POWER(A540,'难度参数'!$E$19)/D540*(0.85+0.3*(1-1)/MAX(1,D540-1))),0)+F540)))</x:f>
        <x:v>36</x:v>
      </x:c>
      <x:c r="Y540" s="119" t="n">
        <x:f>IF(1&gt;D540,0,ROUND(('难度参数'!$E$13*POWER(A540,'难度参数'!$E$20)*MIN('难度参数'!$E$23,1+MAX(0,A540-'难度参数'!$E$21)*'难度参数'!$E$22))*(36+1*7)/(36+7*(D540+1)/2)*E540,0))</x:f>
        <x:v>8345</x:v>
      </x:c>
      <x:c r="Z540" s="119" t="n">
        <x:f>IF(X540=0,0,(X540-IF(1=D540,1,0))*ROUND(Y540*VLOOKUP(INDEX('章节与怪物'!$E$31:$K$37,B540,1),'章节与怪物'!$A$41:$F$44,2,FALSE),0)+IF(1=D540,ROUND(Y540*'难度参数'!$E$28*'章节与怪物'!$E$17,0),0))</x:f>
        <x:v>216288</x:v>
      </x:c>
      <x:c r="AA540" s="119" t="n">
        <x:f>IF(X540=0,0,(X540-IF(1=D540,1,0))*VLOOKUP(INDEX('章节与怪物'!$E$31:$K$37,B540,1),'章节与怪物'!$A$41:$F$44,4,FALSE)+IF(1=D540,'难度参数'!$E$30,0))</x:f>
        <x:v>720</x:v>
      </x:c>
      <x:c r="AB540" s="119" t="n">
        <x:f>IF(2&gt;D540,0,MAX(2,MIN('难度参数'!$E$12,ROUND(('难度参数'!$E$18*POWER(A540,'难度参数'!$E$19)/D540*(0.85+0.3*(2-1)/MAX(1,D540-1))),0)+F540)))</x:f>
        <x:v>38</x:v>
      </x:c>
      <x:c r="AC540" s="119" t="n">
        <x:f>IF(2&gt;D540,0,ROUND(('难度参数'!$E$13*POWER(A540,'难度参数'!$E$20)*MIN('难度参数'!$E$23,1+MAX(0,A540-'难度参数'!$E$21)*'难度参数'!$E$22))*(36+2*7)/(36+7*(D540+1)/2)*E540,0))</x:f>
        <x:v>9704</x:v>
      </x:c>
      <x:c r="AD540" s="119" t="n">
        <x:f>IF(AB540=0,0,(AB540-IF(2=D540,1,0))*ROUND(AC540*VLOOKUP(INDEX('章节与怪物'!$E$31:$K$37,B540,2),'章节与怪物'!$A$41:$F$44,2,FALSE),0)+IF(2=D540,ROUND(AC540*'难度参数'!$E$28*'章节与怪物'!$E$17,0),0))</x:f>
        <x:v>368752</x:v>
      </x:c>
      <x:c r="AE540" s="119" t="n">
        <x:f>IF(AB540=0,0,(AB540-IF(2=D540,1,0))*VLOOKUP(INDEX('章节与怪物'!$E$31:$K$37,B540,2),'章节与怪物'!$A$41:$F$44,4,FALSE)+IF(2=D540,'难度参数'!$E$30,0))</x:f>
        <x:v>684</x:v>
      </x:c>
      <x:c r="AF540" s="119" t="n">
        <x:f>IF(3&gt;D540,0,MAX(2,MIN('难度参数'!$E$12,ROUND(('难度参数'!$E$18*POWER(A540,'难度参数'!$E$19)/D540*(0.85+0.3*(3-1)/MAX(1,D540-1))),0)+F540)))</x:f>
        <x:v>40</x:v>
      </x:c>
      <x:c r="AG540" s="119" t="n">
        <x:f>IF(3&gt;D540,0,ROUND(('难度参数'!$E$13*POWER(A540,'难度参数'!$E$20)*MIN('难度参数'!$E$23,1+MAX(0,A540-'难度参数'!$E$21)*'难度参数'!$E$22))*(36+3*7)/(36+7*(D540+1)/2)*E540,0))</x:f>
        <x:v>11063</x:v>
      </x:c>
      <x:c r="AH540" s="119" t="n">
        <x:f>IF(AF540=0,0,(AF540-IF(3=D540,1,0))*ROUND(AG540*VLOOKUP(INDEX('章节与怪物'!$E$31:$K$37,B540,3),'章节与怪物'!$A$41:$F$44,2,FALSE),0)+IF(3=D540,ROUND(AG540*'难度参数'!$E$28*'章节与怪物'!$E$17,0),0))</x:f>
        <x:v>752280</x:v>
      </x:c>
      <x:c r="AI540" s="119" t="n">
        <x:f>IF(AF540=0,0,(AF540-IF(3=D540,1,0))*VLOOKUP(INDEX('章节与怪物'!$E$31:$K$37,B540,3),'章节与怪物'!$A$41:$F$44,4,FALSE)+IF(3=D540,'难度参数'!$E$30,0))</x:f>
        <x:v>1120</x:v>
      </x:c>
      <x:c r="AJ540" s="119" t="n">
        <x:f>IF(4&gt;D540,0,MAX(2,MIN('难度参数'!$E$12,ROUND(('难度参数'!$E$18*POWER(A540,'难度参数'!$E$19)/D540*(0.85+0.3*(4-1)/MAX(1,D540-1))),0)+F540)))</x:f>
        <x:v>42</x:v>
      </x:c>
      <x:c r="AK540" s="119" t="n">
        <x:f>IF(4&gt;D540,0,ROUND(('难度参数'!$E$13*POWER(A540,'难度参数'!$E$20)*MIN('难度参数'!$E$23,1+MAX(0,A540-'难度参数'!$E$21)*'难度参数'!$E$22))*(36+4*7)/(36+7*(D540+1)/2)*E540,0))</x:f>
        <x:v>12421</x:v>
      </x:c>
      <x:c r="AL540" s="119" t="n">
        <x:f>IF(AJ540=0,0,(AJ540-IF(4=D540,1,0))*ROUND(AK540*VLOOKUP(INDEX('章节与怪物'!$E$31:$K$37,B540,4),'章节与怪物'!$A$41:$F$44,2,FALSE),0)+IF(4=D540,ROUND(AK540*'难度参数'!$E$28*'章节与怪物'!$E$17,0),0))</x:f>
        <x:v>704256</x:v>
      </x:c>
      <x:c r="AM540" s="119" t="n">
        <x:f>IF(AJ540=0,0,(AJ540-IF(4=D540,1,0))*VLOOKUP(INDEX('章节与怪物'!$E$31:$K$37,B540,4),'章节与怪物'!$A$41:$F$44,4,FALSE)+IF(4=D540,'难度参数'!$E$30,0))</x:f>
        <x:v>1428</x:v>
      </x:c>
      <x:c r="AN540" s="119" t="n">
        <x:f>IF(5&gt;D540,0,MAX(2,MIN('难度参数'!$E$12,ROUND(('难度参数'!$E$18*POWER(A540,'难度参数'!$E$19)/D540*(0.85+0.3*(5-1)/MAX(1,D540-1))),0)+F540)))</x:f>
        <x:v>45</x:v>
      </x:c>
      <x:c r="AO540" s="119" t="n">
        <x:f>IF(5&gt;D540,0,ROUND(('难度参数'!$E$13*POWER(A540,'难度参数'!$E$20)*MIN('难度参数'!$E$23,1+MAX(0,A540-'难度参数'!$E$21)*'难度参数'!$E$22))*(36+5*7)/(36+7*(D540+1)/2)*E540,0))</x:f>
        <x:v>13780</x:v>
      </x:c>
      <x:c r="AP540" s="119" t="n">
        <x:f>IF(AN540=0,0,(AN540-IF(5=D540,1,0))*ROUND(AO540*VLOOKUP(INDEX('章节与怪物'!$E$31:$K$37,B540,5),'章节与怪物'!$A$41:$F$44,2,FALSE),0)+IF(5=D540,ROUND(AO540*'难度参数'!$E$28*'章节与怪物'!$E$17,0),0))</x:f>
        <x:v>620100</x:v>
      </x:c>
      <x:c r="AQ540" s="119" t="n">
        <x:f>IF(AN540=0,0,(AN540-IF(5=D540,1,0))*VLOOKUP(INDEX('章节与怪物'!$E$31:$K$37,B540,5),'章节与怪物'!$A$41:$F$44,4,FALSE)+IF(5=D540,'难度参数'!$E$30,0))</x:f>
        <x:v>810</x:v>
      </x:c>
      <x:c r="AR540" s="119" t="n">
        <x:f>IF(6&gt;D540,0,MAX(2,MIN('难度参数'!$E$12,ROUND(('难度参数'!$E$18*POWER(A540,'难度参数'!$E$19)/D540*(0.85+0.3*(6-1)/MAX(1,D540-1))),0)+F540)))</x:f>
        <x:v>47</x:v>
      </x:c>
      <x:c r="AS540" s="119" t="n">
        <x:f>IF(6&gt;D540,0,ROUND(('难度参数'!$E$13*POWER(A540,'难度参数'!$E$20)*MIN('难度参数'!$E$23,1+MAX(0,A540-'难度参数'!$E$21)*'难度参数'!$E$22))*(36+6*7)/(36+7*(D540+1)/2)*E540,0))</x:f>
        <x:v>15138</x:v>
      </x:c>
      <x:c r="AT540" s="119" t="n">
        <x:f>IF(AR540=0,0,(AR540-IF(6=D540,1,0))*ROUND(AS540*VLOOKUP(INDEX('章节与怪物'!$E$31:$K$37,B540,6),'章节与怪物'!$A$41:$F$44,2,FALSE),0)+IF(6=D540,ROUND(AS540*'难度参数'!$E$28*'章节与怪物'!$E$17,0),0))</x:f>
        <x:v>1209545</x:v>
      </x:c>
      <x:c r="AU540" s="119" t="n">
        <x:f>IF(AR540=0,0,(AR540-IF(6=D540,1,0))*VLOOKUP(INDEX('章节与怪物'!$E$31:$K$37,B540,6),'章节与怪物'!$A$41:$F$44,4,FALSE)+IF(6=D540,'难度参数'!$E$30,0))</x:f>
        <x:v>1316</x:v>
      </x:c>
      <x:c r="AV540" s="119" t="n">
        <x:f>IF(7&gt;D540,0,MAX(2,MIN('难度参数'!$E$12,ROUND(('难度参数'!$E$18*POWER(A540,'难度参数'!$E$19)/D540*(0.85+0.3*(7-1)/MAX(1,D540-1))),0)+F540)))</x:f>
        <x:v>49</x:v>
      </x:c>
      <x:c r="AW540" s="119" t="n">
        <x:f>IF(7&gt;D540,0,ROUND(('难度参数'!$E$13*POWER(A540,'难度参数'!$E$20)*MIN('难度参数'!$E$23,1+MAX(0,A540-'难度参数'!$E$21)*'难度参数'!$E$22))*(36+7*7)/(36+7*(D540+1)/2)*E540,0))</x:f>
        <x:v>16497</x:v>
      </x:c>
      <x:c r="AX540" s="119" t="n">
        <x:f>IF(AV540=0,0,(AV540-IF(7=D540,1,0))*ROUND(AW540*VLOOKUP(INDEX('章节与怪物'!$E$31:$K$37,B540,7),'章节与怪物'!$A$41:$F$44,2,FALSE),0)+IF(7=D540,ROUND(AW540*'难度参数'!$E$28*'章节与怪物'!$E$17,0),0))</x:f>
        <x:v>1181188</x:v>
      </x:c>
      <x:c r="AY540" s="119" t="n">
        <x:f>IF(AV540=0,0,(AV540-IF(7=D540,1,0))*VLOOKUP(INDEX('章节与怪物'!$E$31:$K$37,B540,7),'章节与怪物'!$A$41:$F$44,4,FALSE)+IF(7=D540,'难度参数'!$E$30,0))</x:f>
        <x:v>1832</x:v>
      </x:c>
    </x:row>
    <x:row r="541" ht="23" customHeight="1">
      <x:c r="A541" s="119" t="n">
        <x:v>535</x:v>
      </x:c>
      <x:c r="B541" s="119" t="n">
        <x:f>MOD(INT((A541-1)/5),7)+1</x:f>
        <x:v>2</x:v>
      </x:c>
      <x:c r="C541" s="62" t="str">
        <x:f>INDEX('章节与怪物'!$B$31:$B$37,B541)</x:f>
        <x:v>黄沙要塞</x:v>
      </x:c>
      <x:c r="D541" s="119" t="n">
        <x:f>MIN('难度参数'!$E$8,MAX('难度参数'!$E$7,A541))</x:f>
        <x:v>7</x:v>
      </x:c>
      <x:c r="E541" s="106" t="n">
        <x:v>1</x:v>
      </x:c>
      <x:c r="F541" s="106" t="n">
        <x:v>0</x:v>
      </x:c>
      <x:c r="G541" s="106" t="n">
        <x:v>1</x:v>
      </x:c>
      <x:c r="H541" s="119" t="n">
        <x:f>SUM(X541,AB541,AF541,AJ541,AN541,AR541,AV541)</x:f>
        <x:v>297</x:v>
      </x:c>
      <x:c r="I541" s="119" t="n">
        <x:f>SUM(Z541,AD541,AH541,AL541,AP541,AT541,AX541)</x:f>
        <x:v>5059277</x:v>
      </x:c>
      <x:c r="J541" s="119" t="n">
        <x:f>ROUND(INDEX(X541:AY541,1,(D541-1)*4+2)*'难度参数'!$E$28*'章节与怪物'!$E$17,0)</x:f>
        <x:v>112329</x:v>
      </x:c>
      <x:c r="K541" s="119" t="n">
        <x:f>SUM(AA541,AE541,AI541,AM541,AQ541,AU541,AY541)</x:f>
        <x:v>7910</x:v>
      </x:c>
      <x:c r="L541" s="62" t="n">
        <x:f>H541*(ROUNDUP('难度参数'!$E$24/('难度参数'!$E$26*'难度参数'!$E$27),0)*'难度参数'!$E$26)/60</x:f>
        <x:v>3.9600000000000004</x:v>
      </x:c>
      <x:c r="M541" s="62" t="n">
        <x:f>L541+D541*('难度参数'!$E$49+'难度参数'!$E$50)/60</x:f>
        <x:v>5.126666666666667</x:v>
      </x:c>
      <x:c r="N541" s="119" t="n">
        <x:f>ROUNDDOWN(('经济参数'!$E$20+A541*'经济参数'!$E$21)*G541,0)</x:f>
        <x:v>10880</x:v>
      </x:c>
      <x:c r="O541" s="119" t="n">
        <x:f>ROUNDDOWN(MIN('经济参数'!$E$24,'经济参数'!$E$22+A541*'经济参数'!$E$23)*G541,0)</x:f>
        <x:v>0</x:v>
      </x:c>
      <x:c r="P541" s="119" t="n">
        <x:f>ROUNDDOWN((IF(A541&gt;='材料与任务'!$E$31,'材料与任务'!$E$32,IF(A541&gt;='材料与任务'!$E$25,'材料与任务'!$E$26,IF(A541&gt;='材料与任务'!$E$19,'材料与任务'!$E$20,IF(A541&gt;='材料与任务'!$E$13,'材料与任务'!$E$14,'材料与任务'!$E$8)))))*G541,0)</x:f>
        <x:v>6</x:v>
      </x:c>
      <x:c r="Q541" s="119" t="n">
        <x:f>ROUNDDOWN((IF(A541&gt;='材料与任务'!$E$31,'材料与任务'!$E$33,IF(A541&gt;='材料与任务'!$E$25,'材料与任务'!$E$27,IF(A541&gt;='材料与任务'!$E$19,'材料与任务'!$E$21,IF(A541&gt;='材料与任务'!$E$13,'材料与任务'!$E$15,'材料与任务'!$E$9)))))*G541,0)</x:f>
        <x:v>3</x:v>
      </x:c>
      <x:c r="R541" s="110" t="n">
        <x:f>'装备掉落'!$B$38</x:f>
        <x:v>0.6872058758851213</x:v>
      </x:c>
      <x:c r="S541" s="119" t="n">
        <x:f>MAX(IF(VLOOKUP(A541,'装备掉落'!$A$29:$H$34,2,TRUE)&gt;0,1,0),IF(VLOOKUP(A541,'装备掉落'!$A$29:$H$34,3,TRUE)&gt;0,2,0),IF(VLOOKUP(A541,'装备掉落'!$A$29:$H$34,4,TRUE)&gt;0,3,0),IF(VLOOKUP(A541,'装备掉落'!$A$29:$H$34,5,TRUE)&gt;0,4,0),IF(VLOOKUP(A541,'装备掉落'!$A$29:$H$34,6,TRUE)&gt;0,5,0),IF(VLOOKUP(A541,'装备掉落'!$A$29:$H$34,7,TRUE)&gt;0,6,0),IF(VLOOKUP(A541,'装备掉落'!$A$29:$H$34,8,TRUE)&gt;0,7,0))</x:f>
        <x:v>7</x:v>
      </x:c>
      <x:c r="T541" s="119" t="n">
        <x:f>MIN(7,S541+'经济参数'!$E$70)</x:f>
        <x:v>7</x:v>
      </x:c>
      <x:c r="U541" s="119" t="n">
        <x:f>MIN(7,S541+'经济参数'!$E$71)</x:f>
        <x:v>7</x:v>
      </x:c>
      <x:c r="V541" s="119" t="n">
        <x:f>IF(H541&gt;=('难度参数'!$E$52),1,0)+IF(H541&gt;=('难度参数'!$E$52+'难度参数'!$E$53),1,0)+IF(H541&gt;=('难度参数'!$E$52+'难度参数'!$E$53+'难度参数'!$E$54),1,0)+IF(H541&gt;=('难度参数'!$E$52+'难度参数'!$E$53+'难度参数'!$E$54+'难度参数'!$E$55),1,0)+IF(H541&gt;=('难度参数'!$E$52+'难度参数'!$E$53+'难度参数'!$E$54+'难度参数'!$E$55+'难度参数'!$E$56),1,0)+IF(H541&gt;=('难度参数'!$E$52+'难度参数'!$E$53+'难度参数'!$E$54+'难度参数'!$E$55+'难度参数'!$E$56+'难度参数'!$E$57),1,0)</x:f>
        <x:v>6</x:v>
      </x:c>
      <x:c r="W541" s="62" t="str">
        <x:f>IF(L541&gt;'难度参数'!$E$51,"仅出怪已超目标","还需实测")</x:f>
        <x:v>仅出怪已超目标</x:v>
      </x:c>
      <x:c r="X541" s="119" t="n">
        <x:f>IF(1&gt;D541,0,MAX(2,MIN('难度参数'!$E$12,ROUND(('难度参数'!$E$18*POWER(A541,'难度参数'!$E$19)/D541*(0.85+0.3*(1-1)/MAX(1,D541-1))),0)+F541)))</x:f>
        <x:v>36</x:v>
      </x:c>
      <x:c r="Y541" s="119" t="n">
        <x:f>IF(1&gt;D541,0,ROUND(('难度参数'!$E$13*POWER(A541,'难度参数'!$E$20)*MIN('难度参数'!$E$23,1+MAX(0,A541-'难度参数'!$E$21)*'难度参数'!$E$22))*(36+1*7)/(36+7*(D541+1)/2)*E541,0))</x:f>
        <x:v>8357</x:v>
      </x:c>
      <x:c r="Z541" s="119" t="n">
        <x:f>IF(X541=0,0,(X541-IF(1=D541,1,0))*ROUND(Y541*VLOOKUP(INDEX('章节与怪物'!$E$31:$K$37,B541,1),'章节与怪物'!$A$41:$F$44,2,FALSE),0)+IF(1=D541,ROUND(Y541*'难度参数'!$E$28*'章节与怪物'!$E$17,0),0))</x:f>
        <x:v>216612</x:v>
      </x:c>
      <x:c r="AA541" s="119" t="n">
        <x:f>IF(X541=0,0,(X541-IF(1=D541,1,0))*VLOOKUP(INDEX('章节与怪物'!$E$31:$K$37,B541,1),'章节与怪物'!$A$41:$F$44,4,FALSE)+IF(1=D541,'难度参数'!$E$30,0))</x:f>
        <x:v>720</x:v>
      </x:c>
      <x:c r="AB541" s="119" t="n">
        <x:f>IF(2&gt;D541,0,MAX(2,MIN('难度参数'!$E$12,ROUND(('难度参数'!$E$18*POWER(A541,'难度参数'!$E$19)/D541*(0.85+0.3*(2-1)/MAX(1,D541-1))),0)+F541)))</x:f>
        <x:v>38</x:v>
      </x:c>
      <x:c r="AC541" s="119" t="n">
        <x:f>IF(2&gt;D541,0,ROUND(('难度参数'!$E$13*POWER(A541,'难度参数'!$E$20)*MIN('难度参数'!$E$23,1+MAX(0,A541-'难度参数'!$E$21)*'难度参数'!$E$22))*(36+2*7)/(36+7*(D541+1)/2)*E541,0))</x:f>
        <x:v>9717</x:v>
      </x:c>
      <x:c r="AD541" s="119" t="n">
        <x:f>IF(AB541=0,0,(AB541-IF(2=D541,1,0))*ROUND(AC541*VLOOKUP(INDEX('章节与怪物'!$E$31:$K$37,B541,2),'章节与怪物'!$A$41:$F$44,2,FALSE),0)+IF(2=D541,ROUND(AC541*'难度参数'!$E$28*'章节与怪物'!$E$17,0),0))</x:f>
        <x:v>369246</x:v>
      </x:c>
      <x:c r="AE541" s="119" t="n">
        <x:f>IF(AB541=0,0,(AB541-IF(2=D541,1,0))*VLOOKUP(INDEX('章节与怪物'!$E$31:$K$37,B541,2),'章节与怪物'!$A$41:$F$44,4,FALSE)+IF(2=D541,'难度参数'!$E$30,0))</x:f>
        <x:v>684</x:v>
      </x:c>
      <x:c r="AF541" s="119" t="n">
        <x:f>IF(3&gt;D541,0,MAX(2,MIN('难度参数'!$E$12,ROUND(('难度参数'!$E$18*POWER(A541,'难度参数'!$E$19)/D541*(0.85+0.3*(3-1)/MAX(1,D541-1))),0)+F541)))</x:f>
        <x:v>40</x:v>
      </x:c>
      <x:c r="AG541" s="119" t="n">
        <x:f>IF(3&gt;D541,0,ROUND(('难度参数'!$E$13*POWER(A541,'难度参数'!$E$20)*MIN('难度参数'!$E$23,1+MAX(0,A541-'难度参数'!$E$21)*'难度参数'!$E$22))*(36+3*7)/(36+7*(D541+1)/2)*E541,0))</x:f>
        <x:v>11078</x:v>
      </x:c>
      <x:c r="AH541" s="119" t="n">
        <x:f>IF(AF541=0,0,(AF541-IF(3=D541,1,0))*ROUND(AG541*VLOOKUP(INDEX('章节与怪物'!$E$31:$K$37,B541,3),'章节与怪物'!$A$41:$F$44,2,FALSE),0)+IF(3=D541,ROUND(AG541*'难度参数'!$E$28*'章节与怪物'!$E$17,0),0))</x:f>
        <x:v>753320</x:v>
      </x:c>
      <x:c r="AI541" s="119" t="n">
        <x:f>IF(AF541=0,0,(AF541-IF(3=D541,1,0))*VLOOKUP(INDEX('章节与怪物'!$E$31:$K$37,B541,3),'章节与怪物'!$A$41:$F$44,4,FALSE)+IF(3=D541,'难度参数'!$E$30,0))</x:f>
        <x:v>1120</x:v>
      </x:c>
      <x:c r="AJ541" s="119" t="n">
        <x:f>IF(4&gt;D541,0,MAX(2,MIN('难度参数'!$E$12,ROUND(('难度参数'!$E$18*POWER(A541,'难度参数'!$E$19)/D541*(0.85+0.3*(4-1)/MAX(1,D541-1))),0)+F541)))</x:f>
        <x:v>42</x:v>
      </x:c>
      <x:c r="AK541" s="119" t="n">
        <x:f>IF(4&gt;D541,0,ROUND(('难度参数'!$E$13*POWER(A541,'难度参数'!$E$20)*MIN('难度参数'!$E$23,1+MAX(0,A541-'难度参数'!$E$21)*'难度参数'!$E$22))*(36+4*7)/(36+7*(D541+1)/2)*E541,0))</x:f>
        <x:v>12438</x:v>
      </x:c>
      <x:c r="AL541" s="119" t="n">
        <x:f>IF(AJ541=0,0,(AJ541-IF(4=D541,1,0))*ROUND(AK541*VLOOKUP(INDEX('章节与怪物'!$E$31:$K$37,B541,4),'章节与怪物'!$A$41:$F$44,2,FALSE),0)+IF(4=D541,ROUND(AK541*'难度参数'!$E$28*'章节与怪物'!$E$17,0),0))</x:f>
        <x:v>705222</x:v>
      </x:c>
      <x:c r="AM541" s="119" t="n">
        <x:f>IF(AJ541=0,0,(AJ541-IF(4=D541,1,0))*VLOOKUP(INDEX('章节与怪物'!$E$31:$K$37,B541,4),'章节与怪物'!$A$41:$F$44,4,FALSE)+IF(4=D541,'难度参数'!$E$30,0))</x:f>
        <x:v>1428</x:v>
      </x:c>
      <x:c r="AN541" s="119" t="n">
        <x:f>IF(5&gt;D541,0,MAX(2,MIN('难度参数'!$E$12,ROUND(('难度参数'!$E$18*POWER(A541,'难度参数'!$E$19)/D541*(0.85+0.3*(5-1)/MAX(1,D541-1))),0)+F541)))</x:f>
        <x:v>45</x:v>
      </x:c>
      <x:c r="AO541" s="119" t="n">
        <x:f>IF(5&gt;D541,0,ROUND(('难度参数'!$E$13*POWER(A541,'难度参数'!$E$20)*MIN('难度参数'!$E$23,1+MAX(0,A541-'难度参数'!$E$21)*'难度参数'!$E$22))*(36+5*7)/(36+7*(D541+1)/2)*E541,0))</x:f>
        <x:v>13798</x:v>
      </x:c>
      <x:c r="AP541" s="119" t="n">
        <x:f>IF(AN541=0,0,(AN541-IF(5=D541,1,0))*ROUND(AO541*VLOOKUP(INDEX('章节与怪物'!$E$31:$K$37,B541,5),'章节与怪物'!$A$41:$F$44,2,FALSE),0)+IF(5=D541,ROUND(AO541*'难度参数'!$E$28*'章节与怪物'!$E$17,0),0))</x:f>
        <x:v>620910</x:v>
      </x:c>
      <x:c r="AQ541" s="119" t="n">
        <x:f>IF(AN541=0,0,(AN541-IF(5=D541,1,0))*VLOOKUP(INDEX('章节与怪物'!$E$31:$K$37,B541,5),'章节与怪物'!$A$41:$F$44,4,FALSE)+IF(5=D541,'难度参数'!$E$30,0))</x:f>
        <x:v>810</x:v>
      </x:c>
      <x:c r="AR541" s="119" t="n">
        <x:f>IF(6&gt;D541,0,MAX(2,MIN('难度参数'!$E$12,ROUND(('难度参数'!$E$18*POWER(A541,'难度参数'!$E$19)/D541*(0.85+0.3*(6-1)/MAX(1,D541-1))),0)+F541)))</x:f>
        <x:v>47</x:v>
      </x:c>
      <x:c r="AS541" s="119" t="n">
        <x:f>IF(6&gt;D541,0,ROUND(('难度参数'!$E$13*POWER(A541,'难度参数'!$E$20)*MIN('难度参数'!$E$23,1+MAX(0,A541-'难度参数'!$E$21)*'难度参数'!$E$22))*(36+6*7)/(36+7*(D541+1)/2)*E541,0))</x:f>
        <x:v>15159</x:v>
      </x:c>
      <x:c r="AT541" s="119" t="n">
        <x:f>IF(AR541=0,0,(AR541-IF(6=D541,1,0))*ROUND(AS541*VLOOKUP(INDEX('章节与怪物'!$E$31:$K$37,B541,6),'章节与怪物'!$A$41:$F$44,2,FALSE),0)+IF(6=D541,ROUND(AS541*'难度参数'!$E$28*'章节与怪物'!$E$17,0),0))</x:f>
        <x:v>1211190</x:v>
      </x:c>
      <x:c r="AU541" s="119" t="n">
        <x:f>IF(AR541=0,0,(AR541-IF(6=D541,1,0))*VLOOKUP(INDEX('章节与怪物'!$E$31:$K$37,B541,6),'章节与怪物'!$A$41:$F$44,4,FALSE)+IF(6=D541,'难度参数'!$E$30,0))</x:f>
        <x:v>1316</x:v>
      </x:c>
      <x:c r="AV541" s="119" t="n">
        <x:f>IF(7&gt;D541,0,MAX(2,MIN('难度参数'!$E$12,ROUND(('难度参数'!$E$18*POWER(A541,'难度参数'!$E$19)/D541*(0.85+0.3*(7-1)/MAX(1,D541-1))),0)+F541)))</x:f>
        <x:v>49</x:v>
      </x:c>
      <x:c r="AW541" s="119" t="n">
        <x:f>IF(7&gt;D541,0,ROUND(('难度参数'!$E$13*POWER(A541,'难度参数'!$E$20)*MIN('难度参数'!$E$23,1+MAX(0,A541-'难度参数'!$E$21)*'难度参数'!$E$22))*(36+7*7)/(36+7*(D541+1)/2)*E541,0))</x:f>
        <x:v>16519</x:v>
      </x:c>
      <x:c r="AX541" s="119" t="n">
        <x:f>IF(AV541=0,0,(AV541-IF(7=D541,1,0))*ROUND(AW541*VLOOKUP(INDEX('章节与怪物'!$E$31:$K$37,B541,7),'章节与怪物'!$A$41:$F$44,2,FALSE),0)+IF(7=D541,ROUND(AW541*'难度参数'!$E$28*'章节与怪物'!$E$17,0),0))</x:f>
        <x:v>1182777</x:v>
      </x:c>
      <x:c r="AY541" s="119" t="n">
        <x:f>IF(AV541=0,0,(AV541-IF(7=D541,1,0))*VLOOKUP(INDEX('章节与怪物'!$E$31:$K$37,B541,7),'章节与怪物'!$A$41:$F$44,4,FALSE)+IF(7=D541,'难度参数'!$E$30,0))</x:f>
        <x:v>1832</x:v>
      </x:c>
    </x:row>
    <x:row r="542" ht="23" customHeight="1">
      <x:c r="A542" s="119" t="n">
        <x:v>536</x:v>
      </x:c>
      <x:c r="B542" s="119" t="n">
        <x:f>MOD(INT((A542-1)/5),7)+1</x:f>
        <x:v>3</x:v>
      </x:c>
      <x:c r="C542" s="62" t="str">
        <x:f>INDEX('章节与怪物'!$B$31:$B$37,B542)</x:f>
        <x:v>腐沼秘林</x:v>
      </x:c>
      <x:c r="D542" s="119" t="n">
        <x:f>MIN('难度参数'!$E$8,MAX('难度参数'!$E$7,A542))</x:f>
        <x:v>7</x:v>
      </x:c>
      <x:c r="E542" s="106" t="n">
        <x:v>1</x:v>
      </x:c>
      <x:c r="F542" s="106" t="n">
        <x:v>0</x:v>
      </x:c>
      <x:c r="G542" s="106" t="n">
        <x:v>1</x:v>
      </x:c>
      <x:c r="H542" s="119" t="n">
        <x:f>SUM(X542,AB542,AF542,AJ542,AN542,AR542,AV542)</x:f>
        <x:v>298</x:v>
      </x:c>
      <x:c r="I542" s="119" t="n">
        <x:f>SUM(Z542,AD542,AH542,AL542,AP542,AT542,AX542)</x:f>
        <x:v>4889485</x:v>
      </x:c>
      <x:c r="J542" s="119" t="n">
        <x:f>ROUND(INDEX(X542:AY542,1,(D542-1)*4+2)*'难度参数'!$E$28*'章节与怪物'!$E$17,0)</x:f>
        <x:v>112479</x:v>
      </x:c>
      <x:c r="K542" s="119" t="n">
        <x:f>SUM(AA542,AE542,AI542,AM542,AQ542,AU542,AY542)</x:f>
        <x:v>8038</x:v>
      </x:c>
      <x:c r="L542" s="62" t="n">
        <x:f>H542*(ROUNDUP('难度参数'!$E$24/('难度参数'!$E$26*'难度参数'!$E$27),0)*'难度参数'!$E$26)/60</x:f>
        <x:v>3.9733333333333336</x:v>
      </x:c>
      <x:c r="M542" s="62" t="n">
        <x:f>L542+D542*('难度参数'!$E$49+'难度参数'!$E$50)/60</x:f>
        <x:v>5.140000000000001</x:v>
      </x:c>
      <x:c r="N542" s="119" t="n">
        <x:f>ROUNDDOWN(('经济参数'!$E$20+A542*'经济参数'!$E$21)*G542,0)</x:f>
        <x:v>10900</x:v>
      </x:c>
      <x:c r="O542" s="119" t="n">
        <x:f>ROUNDDOWN(MIN('经济参数'!$E$24,'经济参数'!$E$22+A542*'经济参数'!$E$23)*G542,0)</x:f>
        <x:v>0</x:v>
      </x:c>
      <x:c r="P542" s="119" t="n">
        <x:f>ROUNDDOWN((IF(A542&gt;='材料与任务'!$E$31,'材料与任务'!$E$32,IF(A542&gt;='材料与任务'!$E$25,'材料与任务'!$E$26,IF(A542&gt;='材料与任务'!$E$19,'材料与任务'!$E$20,IF(A542&gt;='材料与任务'!$E$13,'材料与任务'!$E$14,'材料与任务'!$E$8)))))*G542,0)</x:f>
        <x:v>6</x:v>
      </x:c>
      <x:c r="Q542" s="119" t="n">
        <x:f>ROUNDDOWN((IF(A542&gt;='材料与任务'!$E$31,'材料与任务'!$E$33,IF(A542&gt;='材料与任务'!$E$25,'材料与任务'!$E$27,IF(A542&gt;='材料与任务'!$E$19,'材料与任务'!$E$21,IF(A542&gt;='材料与任务'!$E$13,'材料与任务'!$E$15,'材料与任务'!$E$9)))))*G542,0)</x:f>
        <x:v>3</x:v>
      </x:c>
      <x:c r="R542" s="110" t="n">
        <x:f>'装备掉落'!$B$38</x:f>
        <x:v>0.6872058758851213</x:v>
      </x:c>
      <x:c r="S542" s="119" t="n">
        <x:f>MAX(IF(VLOOKUP(A542,'装备掉落'!$A$29:$H$34,2,TRUE)&gt;0,1,0),IF(VLOOKUP(A542,'装备掉落'!$A$29:$H$34,3,TRUE)&gt;0,2,0),IF(VLOOKUP(A542,'装备掉落'!$A$29:$H$34,4,TRUE)&gt;0,3,0),IF(VLOOKUP(A542,'装备掉落'!$A$29:$H$34,5,TRUE)&gt;0,4,0),IF(VLOOKUP(A542,'装备掉落'!$A$29:$H$34,6,TRUE)&gt;0,5,0),IF(VLOOKUP(A542,'装备掉落'!$A$29:$H$34,7,TRUE)&gt;0,6,0),IF(VLOOKUP(A542,'装备掉落'!$A$29:$H$34,8,TRUE)&gt;0,7,0))</x:f>
        <x:v>7</x:v>
      </x:c>
      <x:c r="T542" s="119" t="n">
        <x:f>MIN(7,S542+'经济参数'!$E$70)</x:f>
        <x:v>7</x:v>
      </x:c>
      <x:c r="U542" s="119" t="n">
        <x:f>MIN(7,S542+'经济参数'!$E$71)</x:f>
        <x:v>7</x:v>
      </x:c>
      <x:c r="V542" s="119" t="n">
        <x:f>IF(H542&gt;=('难度参数'!$E$52),1,0)+IF(H542&gt;=('难度参数'!$E$52+'难度参数'!$E$53),1,0)+IF(H542&gt;=('难度参数'!$E$52+'难度参数'!$E$53+'难度参数'!$E$54),1,0)+IF(H542&gt;=('难度参数'!$E$52+'难度参数'!$E$53+'难度参数'!$E$54+'难度参数'!$E$55),1,0)+IF(H542&gt;=('难度参数'!$E$52+'难度参数'!$E$53+'难度参数'!$E$54+'难度参数'!$E$55+'难度参数'!$E$56),1,0)+IF(H542&gt;=('难度参数'!$E$52+'难度参数'!$E$53+'难度参数'!$E$54+'难度参数'!$E$55+'难度参数'!$E$56+'难度参数'!$E$57),1,0)</x:f>
        <x:v>6</x:v>
      </x:c>
      <x:c r="W542" s="62" t="str">
        <x:f>IF(L542&gt;'难度参数'!$E$51,"仅出怪已超目标","还需实测")</x:f>
        <x:v>仅出怪已超目标</x:v>
      </x:c>
      <x:c r="X542" s="119" t="n">
        <x:f>IF(1&gt;D542,0,MAX(2,MIN('难度参数'!$E$12,ROUND(('难度参数'!$E$18*POWER(A542,'难度参数'!$E$19)/D542*(0.85+0.3*(1-1)/MAX(1,D542-1))),0)+F542)))</x:f>
        <x:v>36</x:v>
      </x:c>
      <x:c r="Y542" s="119" t="n">
        <x:f>IF(1&gt;D542,0,ROUND(('难度参数'!$E$13*POWER(A542,'难度参数'!$E$20)*MIN('难度参数'!$E$23,1+MAX(0,A542-'难度参数'!$E$21)*'难度参数'!$E$22))*(36+1*7)/(36+7*(D542+1)/2)*E542,0))</x:f>
        <x:v>8368</x:v>
      </x:c>
      <x:c r="Z542" s="119" t="n">
        <x:f>IF(X542=0,0,(X542-IF(1=D542,1,0))*ROUND(Y542*VLOOKUP(INDEX('章节与怪物'!$E$31:$K$37,B542,1),'章节与怪物'!$A$41:$F$44,2,FALSE),0)+IF(1=D542,ROUND(Y542*'难度参数'!$E$28*'章节与怪物'!$E$17,0),0))</x:f>
        <x:v>301248</x:v>
      </x:c>
      <x:c r="AA542" s="119" t="n">
        <x:f>IF(X542=0,0,(X542-IF(1=D542,1,0))*VLOOKUP(INDEX('章节与怪物'!$E$31:$K$37,B542,1),'章节与怪物'!$A$41:$F$44,4,FALSE)+IF(1=D542,'难度参数'!$E$30,0))</x:f>
        <x:v>648</x:v>
      </x:c>
      <x:c r="AB542" s="119" t="n">
        <x:f>IF(2&gt;D542,0,MAX(2,MIN('难度参数'!$E$12,ROUND(('难度参数'!$E$18*POWER(A542,'难度参数'!$E$19)/D542*(0.85+0.3*(2-1)/MAX(1,D542-1))),0)+F542)))</x:f>
        <x:v>38</x:v>
      </x:c>
      <x:c r="AC542" s="119" t="n">
        <x:f>IF(2&gt;D542,0,ROUND(('难度参数'!$E$13*POWER(A542,'难度参数'!$E$20)*MIN('难度参数'!$E$23,1+MAX(0,A542-'难度参数'!$E$21)*'难度参数'!$E$22))*(36+2*7)/(36+7*(D542+1)/2)*E542,0))</x:f>
        <x:v>9730</x:v>
      </x:c>
      <x:c r="AD542" s="119" t="n">
        <x:f>IF(AB542=0,0,(AB542-IF(2=D542,1,0))*ROUND(AC542*VLOOKUP(INDEX('章节与怪物'!$E$31:$K$37,B542,2),'章节与怪物'!$A$41:$F$44,2,FALSE),0)+IF(2=D542,ROUND(AC542*'难度参数'!$E$28*'章节与怪物'!$E$17,0),0))</x:f>
        <x:v>266228</x:v>
      </x:c>
      <x:c r="AE542" s="119" t="n">
        <x:f>IF(AB542=0,0,(AB542-IF(2=D542,1,0))*VLOOKUP(INDEX('章节与怪物'!$E$31:$K$37,B542,2),'章节与怪物'!$A$41:$F$44,4,FALSE)+IF(2=D542,'难度参数'!$E$30,0))</x:f>
        <x:v>760</x:v>
      </x:c>
      <x:c r="AF542" s="119" t="n">
        <x:f>IF(3&gt;D542,0,MAX(2,MIN('难度参数'!$E$12,ROUND(('难度参数'!$E$18*POWER(A542,'难度参数'!$E$19)/D542*(0.85+0.3*(3-1)/MAX(1,D542-1))),0)+F542)))</x:f>
        <x:v>40</x:v>
      </x:c>
      <x:c r="AG542" s="119" t="n">
        <x:f>IF(3&gt;D542,0,ROUND(('难度参数'!$E$13*POWER(A542,'难度参数'!$E$20)*MIN('难度参数'!$E$23,1+MAX(0,A542-'难度参数'!$E$21)*'难度参数'!$E$22))*(36+3*7)/(36+7*(D542+1)/2)*E542,0))</x:f>
        <x:v>11092</x:v>
      </x:c>
      <x:c r="AH542" s="119" t="n">
        <x:f>IF(AF542=0,0,(AF542-IF(3=D542,1,0))*ROUND(AG542*VLOOKUP(INDEX('章节与怪物'!$E$31:$K$37,B542,3),'章节与怪物'!$A$41:$F$44,2,FALSE),0)+IF(3=D542,ROUND(AG542*'难度参数'!$E$28*'章节与怪物'!$E$17,0),0))</x:f>
        <x:v>754240</x:v>
      </x:c>
      <x:c r="AI542" s="119" t="n">
        <x:f>IF(AF542=0,0,(AF542-IF(3=D542,1,0))*VLOOKUP(INDEX('章节与怪物'!$E$31:$K$37,B542,3),'章节与怪物'!$A$41:$F$44,4,FALSE)+IF(3=D542,'难度参数'!$E$30,0))</x:f>
        <x:v>1120</x:v>
      </x:c>
      <x:c r="AJ542" s="119" t="n">
        <x:f>IF(4&gt;D542,0,MAX(2,MIN('难度参数'!$E$12,ROUND(('难度参数'!$E$18*POWER(A542,'难度参数'!$E$19)/D542*(0.85+0.3*(4-1)/MAX(1,D542-1))),0)+F542)))</x:f>
        <x:v>43</x:v>
      </x:c>
      <x:c r="AK542" s="119" t="n">
        <x:f>IF(4&gt;D542,0,ROUND(('难度参数'!$E$13*POWER(A542,'难度参数'!$E$20)*MIN('难度参数'!$E$23,1+MAX(0,A542-'难度参数'!$E$21)*'难度参数'!$E$22))*(36+4*7)/(36+7*(D542+1)/2)*E542,0))</x:f>
        <x:v>12455</x:v>
      </x:c>
      <x:c r="AL542" s="119" t="n">
        <x:f>IF(AJ542=0,0,(AJ542-IF(4=D542,1,0))*ROUND(AK542*VLOOKUP(INDEX('章节与怪物'!$E$31:$K$37,B542,4),'章节与怪物'!$A$41:$F$44,2,FALSE),0)+IF(4=D542,ROUND(AK542*'难度参数'!$E$28*'章节与怪物'!$E$17,0),0))</x:f>
        <x:v>723002</x:v>
      </x:c>
      <x:c r="AM542" s="119" t="n">
        <x:f>IF(AJ542=0,0,(AJ542-IF(4=D542,1,0))*VLOOKUP(INDEX('章节与怪物'!$E$31:$K$37,B542,4),'章节与怪物'!$A$41:$F$44,4,FALSE)+IF(4=D542,'难度参数'!$E$30,0))</x:f>
        <x:v>1462</x:v>
      </x:c>
      <x:c r="AN542" s="119" t="n">
        <x:f>IF(5&gt;D542,0,MAX(2,MIN('难度参数'!$E$12,ROUND(('难度参数'!$E$18*POWER(A542,'难度参数'!$E$19)/D542*(0.85+0.3*(5-1)/MAX(1,D542-1))),0)+F542)))</x:f>
        <x:v>45</x:v>
      </x:c>
      <x:c r="AO542" s="119" t="n">
        <x:f>IF(5&gt;D542,0,ROUND(('难度参数'!$E$13*POWER(A542,'难度参数'!$E$20)*MIN('难度参数'!$E$23,1+MAX(0,A542-'难度参数'!$E$21)*'难度参数'!$E$22))*(36+5*7)/(36+7*(D542+1)/2)*E542,0))</x:f>
        <x:v>13817</x:v>
      </x:c>
      <x:c r="AP542" s="119" t="n">
        <x:f>IF(AN542=0,0,(AN542-IF(5=D542,1,0))*ROUND(AO542*VLOOKUP(INDEX('章节与怪物'!$E$31:$K$37,B542,5),'章节与怪物'!$A$41:$F$44,2,FALSE),0)+IF(5=D542,ROUND(AO542*'难度参数'!$E$28*'章节与怪物'!$E$17,0),0))</x:f>
        <x:v>447660</x:v>
      </x:c>
      <x:c r="AQ542" s="119" t="n">
        <x:f>IF(AN542=0,0,(AN542-IF(5=D542,1,0))*VLOOKUP(INDEX('章节与怪物'!$E$31:$K$37,B542,5),'章节与怪物'!$A$41:$F$44,4,FALSE)+IF(5=D542,'难度参数'!$E$30,0))</x:f>
        <x:v>900</x:v>
      </x:c>
      <x:c r="AR542" s="119" t="n">
        <x:f>IF(6&gt;D542,0,MAX(2,MIN('难度参数'!$E$12,ROUND(('难度参数'!$E$18*POWER(A542,'难度参数'!$E$19)/D542*(0.85+0.3*(6-1)/MAX(1,D542-1))),0)+F542)))</x:f>
        <x:v>47</x:v>
      </x:c>
      <x:c r="AS542" s="119" t="n">
        <x:f>IF(6&gt;D542,0,ROUND(('难度参数'!$E$13*POWER(A542,'难度参数'!$E$20)*MIN('难度参数'!$E$23,1+MAX(0,A542-'难度参数'!$E$21)*'难度参数'!$E$22))*(36+6*7)/(36+7*(D542+1)/2)*E542,0))</x:f>
        <x:v>15179</x:v>
      </x:c>
      <x:c r="AT542" s="119" t="n">
        <x:f>IF(AR542=0,0,(AR542-IF(6=D542,1,0))*ROUND(AS542*VLOOKUP(INDEX('章节与怪物'!$E$31:$K$37,B542,6),'章节与怪物'!$A$41:$F$44,2,FALSE),0)+IF(6=D542,ROUND(AS542*'难度参数'!$E$28*'章节与怪物'!$E$17,0),0))</x:f>
        <x:v>1212788</x:v>
      </x:c>
      <x:c r="AU542" s="119" t="n">
        <x:f>IF(AR542=0,0,(AR542-IF(6=D542,1,0))*VLOOKUP(INDEX('章节与怪物'!$E$31:$K$37,B542,6),'章节与怪物'!$A$41:$F$44,4,FALSE)+IF(6=D542,'难度参数'!$E$30,0))</x:f>
        <x:v>1316</x:v>
      </x:c>
      <x:c r="AV542" s="119" t="n">
        <x:f>IF(7&gt;D542,0,MAX(2,MIN('难度参数'!$E$12,ROUND(('难度参数'!$E$18*POWER(A542,'难度参数'!$E$19)/D542*(0.85+0.3*(7-1)/MAX(1,D542-1))),0)+F542)))</x:f>
        <x:v>49</x:v>
      </x:c>
      <x:c r="AW542" s="119" t="n">
        <x:f>IF(7&gt;D542,0,ROUND(('难度参数'!$E$13*POWER(A542,'难度参数'!$E$20)*MIN('难度参数'!$E$23,1+MAX(0,A542-'难度参数'!$E$21)*'难度参数'!$E$22))*(36+7*7)/(36+7*(D542+1)/2)*E542,0))</x:f>
        <x:v>16541</x:v>
      </x:c>
      <x:c r="AX542" s="119" t="n">
        <x:f>IF(AV542=0,0,(AV542-IF(7=D542,1,0))*ROUND(AW542*VLOOKUP(INDEX('章节与怪物'!$E$31:$K$37,B542,7),'章节与怪物'!$A$41:$F$44,2,FALSE),0)+IF(7=D542,ROUND(AW542*'难度参数'!$E$28*'章节与怪物'!$E$17,0),0))</x:f>
        <x:v>1184319</x:v>
      </x:c>
      <x:c r="AY542" s="119" t="n">
        <x:f>IF(AV542=0,0,(AV542-IF(7=D542,1,0))*VLOOKUP(INDEX('章节与怪物'!$E$31:$K$37,B542,7),'章节与怪物'!$A$41:$F$44,4,FALSE)+IF(7=D542,'难度参数'!$E$30,0))</x:f>
        <x:v>1832</x:v>
      </x:c>
    </x:row>
    <x:row r="543" ht="23" customHeight="1">
      <x:c r="A543" s="119" t="n">
        <x:v>537</x:v>
      </x:c>
      <x:c r="B543" s="119" t="n">
        <x:f>MOD(INT((A543-1)/5),7)+1</x:f>
        <x:v>3</x:v>
      </x:c>
      <x:c r="C543" s="62" t="str">
        <x:f>INDEX('章节与怪物'!$B$31:$B$37,B543)</x:f>
        <x:v>腐沼秘林</x:v>
      </x:c>
      <x:c r="D543" s="119" t="n">
        <x:f>MIN('难度参数'!$E$8,MAX('难度参数'!$E$7,A543))</x:f>
        <x:v>7</x:v>
      </x:c>
      <x:c r="E543" s="106" t="n">
        <x:v>1</x:v>
      </x:c>
      <x:c r="F543" s="106" t="n">
        <x:v>0</x:v>
      </x:c>
      <x:c r="G543" s="106" t="n">
        <x:v>1</x:v>
      </x:c>
      <x:c r="H543" s="119" t="n">
        <x:f>SUM(X543,AB543,AF543,AJ543,AN543,AR543,AV543)</x:f>
        <x:v>298</x:v>
      </x:c>
      <x:c r="I543" s="119" t="n">
        <x:f>SUM(Z543,AD543,AH543,AL543,AP543,AT543,AX543)</x:f>
        <x:v>4896130</x:v>
      </x:c>
      <x:c r="J543" s="119" t="n">
        <x:f>ROUND(INDEX(X543:AY543,1,(D543-1)*4+2)*'难度参数'!$E$28*'章节与怪物'!$E$17,0)</x:f>
        <x:v>112635</x:v>
      </x:c>
      <x:c r="K543" s="119" t="n">
        <x:f>SUM(AA543,AE543,AI543,AM543,AQ543,AU543,AY543)</x:f>
        <x:v>8038</x:v>
      </x:c>
      <x:c r="L543" s="62" t="n">
        <x:f>H543*(ROUNDUP('难度参数'!$E$24/('难度参数'!$E$26*'难度参数'!$E$27),0)*'难度参数'!$E$26)/60</x:f>
        <x:v>3.9733333333333336</x:v>
      </x:c>
      <x:c r="M543" s="62" t="n">
        <x:f>L543+D543*('难度参数'!$E$49+'难度参数'!$E$50)/60</x:f>
        <x:v>5.140000000000001</x:v>
      </x:c>
      <x:c r="N543" s="119" t="n">
        <x:f>ROUNDDOWN(('经济参数'!$E$20+A543*'经济参数'!$E$21)*G543,0)</x:f>
        <x:v>10920</x:v>
      </x:c>
      <x:c r="O543" s="119" t="n">
        <x:f>ROUNDDOWN(MIN('经济参数'!$E$24,'经济参数'!$E$22+A543*'经济参数'!$E$23)*G543,0)</x:f>
        <x:v>0</x:v>
      </x:c>
      <x:c r="P543" s="119" t="n">
        <x:f>ROUNDDOWN((IF(A543&gt;='材料与任务'!$E$31,'材料与任务'!$E$32,IF(A543&gt;='材料与任务'!$E$25,'材料与任务'!$E$26,IF(A543&gt;='材料与任务'!$E$19,'材料与任务'!$E$20,IF(A543&gt;='材料与任务'!$E$13,'材料与任务'!$E$14,'材料与任务'!$E$8)))))*G543,0)</x:f>
        <x:v>6</x:v>
      </x:c>
      <x:c r="Q543" s="119" t="n">
        <x:f>ROUNDDOWN((IF(A543&gt;='材料与任务'!$E$31,'材料与任务'!$E$33,IF(A543&gt;='材料与任务'!$E$25,'材料与任务'!$E$27,IF(A543&gt;='材料与任务'!$E$19,'材料与任务'!$E$21,IF(A543&gt;='材料与任务'!$E$13,'材料与任务'!$E$15,'材料与任务'!$E$9)))))*G543,0)</x:f>
        <x:v>3</x:v>
      </x:c>
      <x:c r="R543" s="110" t="n">
        <x:f>'装备掉落'!$B$38</x:f>
        <x:v>0.6872058758851213</x:v>
      </x:c>
      <x:c r="S543" s="119" t="n">
        <x:f>MAX(IF(VLOOKUP(A543,'装备掉落'!$A$29:$H$34,2,TRUE)&gt;0,1,0),IF(VLOOKUP(A543,'装备掉落'!$A$29:$H$34,3,TRUE)&gt;0,2,0),IF(VLOOKUP(A543,'装备掉落'!$A$29:$H$34,4,TRUE)&gt;0,3,0),IF(VLOOKUP(A543,'装备掉落'!$A$29:$H$34,5,TRUE)&gt;0,4,0),IF(VLOOKUP(A543,'装备掉落'!$A$29:$H$34,6,TRUE)&gt;0,5,0),IF(VLOOKUP(A543,'装备掉落'!$A$29:$H$34,7,TRUE)&gt;0,6,0),IF(VLOOKUP(A543,'装备掉落'!$A$29:$H$34,8,TRUE)&gt;0,7,0))</x:f>
        <x:v>7</x:v>
      </x:c>
      <x:c r="T543" s="119" t="n">
        <x:f>MIN(7,S543+'经济参数'!$E$70)</x:f>
        <x:v>7</x:v>
      </x:c>
      <x:c r="U543" s="119" t="n">
        <x:f>MIN(7,S543+'经济参数'!$E$71)</x:f>
        <x:v>7</x:v>
      </x:c>
      <x:c r="V543" s="119" t="n">
        <x:f>IF(H543&gt;=('难度参数'!$E$52),1,0)+IF(H543&gt;=('难度参数'!$E$52+'难度参数'!$E$53),1,0)+IF(H543&gt;=('难度参数'!$E$52+'难度参数'!$E$53+'难度参数'!$E$54),1,0)+IF(H543&gt;=('难度参数'!$E$52+'难度参数'!$E$53+'难度参数'!$E$54+'难度参数'!$E$55),1,0)+IF(H543&gt;=('难度参数'!$E$52+'难度参数'!$E$53+'难度参数'!$E$54+'难度参数'!$E$55+'难度参数'!$E$56),1,0)+IF(H543&gt;=('难度参数'!$E$52+'难度参数'!$E$53+'难度参数'!$E$54+'难度参数'!$E$55+'难度参数'!$E$56+'难度参数'!$E$57),1,0)</x:f>
        <x:v>6</x:v>
      </x:c>
      <x:c r="W543" s="62" t="str">
        <x:f>IF(L543&gt;'难度参数'!$E$51,"仅出怪已超目标","还需实测")</x:f>
        <x:v>仅出怪已超目标</x:v>
      </x:c>
      <x:c r="X543" s="119" t="n">
        <x:f>IF(1&gt;D543,0,MAX(2,MIN('难度参数'!$E$12,ROUND(('难度参数'!$E$18*POWER(A543,'难度参数'!$E$19)/D543*(0.85+0.3*(1-1)/MAX(1,D543-1))),0)+F543)))</x:f>
        <x:v>36</x:v>
      </x:c>
      <x:c r="Y543" s="119" t="n">
        <x:f>IF(1&gt;D543,0,ROUND(('难度参数'!$E$13*POWER(A543,'难度参数'!$E$20)*MIN('难度参数'!$E$23,1+MAX(0,A543-'难度参数'!$E$21)*'难度参数'!$E$22))*(36+1*7)/(36+7*(D543+1)/2)*E543,0))</x:f>
        <x:v>8379</x:v>
      </x:c>
      <x:c r="Z543" s="119" t="n">
        <x:f>IF(X543=0,0,(X543-IF(1=D543,1,0))*ROUND(Y543*VLOOKUP(INDEX('章节与怪物'!$E$31:$K$37,B543,1),'章节与怪物'!$A$41:$F$44,2,FALSE),0)+IF(1=D543,ROUND(Y543*'难度参数'!$E$28*'章节与怪物'!$E$17,0),0))</x:f>
        <x:v>301644</x:v>
      </x:c>
      <x:c r="AA543" s="119" t="n">
        <x:f>IF(X543=0,0,(X543-IF(1=D543,1,0))*VLOOKUP(INDEX('章节与怪物'!$E$31:$K$37,B543,1),'章节与怪物'!$A$41:$F$44,4,FALSE)+IF(1=D543,'难度参数'!$E$30,0))</x:f>
        <x:v>648</x:v>
      </x:c>
      <x:c r="AB543" s="119" t="n">
        <x:f>IF(2&gt;D543,0,MAX(2,MIN('难度参数'!$E$12,ROUND(('难度参数'!$E$18*POWER(A543,'难度参数'!$E$19)/D543*(0.85+0.3*(2-1)/MAX(1,D543-1))),0)+F543)))</x:f>
        <x:v>38</x:v>
      </x:c>
      <x:c r="AC543" s="119" t="n">
        <x:f>IF(2&gt;D543,0,ROUND(('难度参数'!$E$13*POWER(A543,'难度参数'!$E$20)*MIN('难度参数'!$E$23,1+MAX(0,A543-'难度参数'!$E$21)*'难度参数'!$E$22))*(36+2*7)/(36+7*(D543+1)/2)*E543,0))</x:f>
        <x:v>9743</x:v>
      </x:c>
      <x:c r="AD543" s="119" t="n">
        <x:f>IF(AB543=0,0,(AB543-IF(2=D543,1,0))*ROUND(AC543*VLOOKUP(INDEX('章节与怪物'!$E$31:$K$37,B543,2),'章节与怪物'!$A$41:$F$44,2,FALSE),0)+IF(2=D543,ROUND(AC543*'难度参数'!$E$28*'章节与怪物'!$E$17,0),0))</x:f>
        <x:v>266570</x:v>
      </x:c>
      <x:c r="AE543" s="119" t="n">
        <x:f>IF(AB543=0,0,(AB543-IF(2=D543,1,0))*VLOOKUP(INDEX('章节与怪物'!$E$31:$K$37,B543,2),'章节与怪物'!$A$41:$F$44,4,FALSE)+IF(2=D543,'难度参数'!$E$30,0))</x:f>
        <x:v>760</x:v>
      </x:c>
      <x:c r="AF543" s="119" t="n">
        <x:f>IF(3&gt;D543,0,MAX(2,MIN('难度参数'!$E$12,ROUND(('难度参数'!$E$18*POWER(A543,'难度参数'!$E$19)/D543*(0.85+0.3*(3-1)/MAX(1,D543-1))),0)+F543)))</x:f>
        <x:v>40</x:v>
      </x:c>
      <x:c r="AG543" s="119" t="n">
        <x:f>IF(3&gt;D543,0,ROUND(('难度参数'!$E$13*POWER(A543,'难度参数'!$E$20)*MIN('难度参数'!$E$23,1+MAX(0,A543-'难度参数'!$E$21)*'难度参数'!$E$22))*(36+3*7)/(36+7*(D543+1)/2)*E543,0))</x:f>
        <x:v>11107</x:v>
      </x:c>
      <x:c r="AH543" s="119" t="n">
        <x:f>IF(AF543=0,0,(AF543-IF(3=D543,1,0))*ROUND(AG543*VLOOKUP(INDEX('章节与怪物'!$E$31:$K$37,B543,3),'章节与怪物'!$A$41:$F$44,2,FALSE),0)+IF(3=D543,ROUND(AG543*'难度参数'!$E$28*'章节与怪物'!$E$17,0),0))</x:f>
        <x:v>755280</x:v>
      </x:c>
      <x:c r="AI543" s="119" t="n">
        <x:f>IF(AF543=0,0,(AF543-IF(3=D543,1,0))*VLOOKUP(INDEX('章节与怪物'!$E$31:$K$37,B543,3),'章节与怪物'!$A$41:$F$44,4,FALSE)+IF(3=D543,'难度参数'!$E$30,0))</x:f>
        <x:v>1120</x:v>
      </x:c>
      <x:c r="AJ543" s="119" t="n">
        <x:f>IF(4&gt;D543,0,MAX(2,MIN('难度参数'!$E$12,ROUND(('难度参数'!$E$18*POWER(A543,'难度参数'!$E$19)/D543*(0.85+0.3*(4-1)/MAX(1,D543-1))),0)+F543)))</x:f>
        <x:v>43</x:v>
      </x:c>
      <x:c r="AK543" s="119" t="n">
        <x:f>IF(4&gt;D543,0,ROUND(('难度参数'!$E$13*POWER(A543,'难度参数'!$E$20)*MIN('难度参数'!$E$23,1+MAX(0,A543-'难度参数'!$E$21)*'难度参数'!$E$22))*(36+4*7)/(36+7*(D543+1)/2)*E543,0))</x:f>
        <x:v>12471</x:v>
      </x:c>
      <x:c r="AL543" s="119" t="n">
        <x:f>IF(AJ543=0,0,(AJ543-IF(4=D543,1,0))*ROUND(AK543*VLOOKUP(INDEX('章节与怪物'!$E$31:$K$37,B543,4),'章节与怪物'!$A$41:$F$44,2,FALSE),0)+IF(4=D543,ROUND(AK543*'难度参数'!$E$28*'章节与怪物'!$E$17,0),0))</x:f>
        <x:v>723948</x:v>
      </x:c>
      <x:c r="AM543" s="119" t="n">
        <x:f>IF(AJ543=0,0,(AJ543-IF(4=D543,1,0))*VLOOKUP(INDEX('章节与怪物'!$E$31:$K$37,B543,4),'章节与怪物'!$A$41:$F$44,4,FALSE)+IF(4=D543,'难度参数'!$E$30,0))</x:f>
        <x:v>1462</x:v>
      </x:c>
      <x:c r="AN543" s="119" t="n">
        <x:f>IF(5&gt;D543,0,MAX(2,MIN('难度参数'!$E$12,ROUND(('难度参数'!$E$18*POWER(A543,'难度参数'!$E$19)/D543*(0.85+0.3*(5-1)/MAX(1,D543-1))),0)+F543)))</x:f>
        <x:v>45</x:v>
      </x:c>
      <x:c r="AO543" s="119" t="n">
        <x:f>IF(5&gt;D543,0,ROUND(('难度参数'!$E$13*POWER(A543,'难度参数'!$E$20)*MIN('难度参数'!$E$23,1+MAX(0,A543-'难度参数'!$E$21)*'难度参数'!$E$22))*(36+5*7)/(36+7*(D543+1)/2)*E543,0))</x:f>
        <x:v>13835</x:v>
      </x:c>
      <x:c r="AP543" s="119" t="n">
        <x:f>IF(AN543=0,0,(AN543-IF(5=D543,1,0))*ROUND(AO543*VLOOKUP(INDEX('章节与怪物'!$E$31:$K$37,B543,5),'章节与怪物'!$A$41:$F$44,2,FALSE),0)+IF(5=D543,ROUND(AO543*'难度参数'!$E$28*'章节与怪物'!$E$17,0),0))</x:f>
        <x:v>448245</x:v>
      </x:c>
      <x:c r="AQ543" s="119" t="n">
        <x:f>IF(AN543=0,0,(AN543-IF(5=D543,1,0))*VLOOKUP(INDEX('章节与怪物'!$E$31:$K$37,B543,5),'章节与怪物'!$A$41:$F$44,4,FALSE)+IF(5=D543,'难度参数'!$E$30,0))</x:f>
        <x:v>900</x:v>
      </x:c>
      <x:c r="AR543" s="119" t="n">
        <x:f>IF(6&gt;D543,0,MAX(2,MIN('难度参数'!$E$12,ROUND(('难度参数'!$E$18*POWER(A543,'难度参数'!$E$19)/D543*(0.85+0.3*(6-1)/MAX(1,D543-1))),0)+F543)))</x:f>
        <x:v>47</x:v>
      </x:c>
      <x:c r="AS543" s="119" t="n">
        <x:f>IF(6&gt;D543,0,ROUND(('难度参数'!$E$13*POWER(A543,'难度参数'!$E$20)*MIN('难度参数'!$E$23,1+MAX(0,A543-'难度参数'!$E$21)*'难度参数'!$E$22))*(36+6*7)/(36+7*(D543+1)/2)*E543,0))</x:f>
        <x:v>15200</x:v>
      </x:c>
      <x:c r="AT543" s="119" t="n">
        <x:f>IF(AR543=0,0,(AR543-IF(6=D543,1,0))*ROUND(AS543*VLOOKUP(INDEX('章节与怪物'!$E$31:$K$37,B543,6),'章节与怪物'!$A$41:$F$44,2,FALSE),0)+IF(6=D543,ROUND(AS543*'难度参数'!$E$28*'章节与怪物'!$E$17,0),0))</x:f>
        <x:v>1214480</x:v>
      </x:c>
      <x:c r="AU543" s="119" t="n">
        <x:f>IF(AR543=0,0,(AR543-IF(6=D543,1,0))*VLOOKUP(INDEX('章节与怪物'!$E$31:$K$37,B543,6),'章节与怪物'!$A$41:$F$44,4,FALSE)+IF(6=D543,'难度参数'!$E$30,0))</x:f>
        <x:v>1316</x:v>
      </x:c>
      <x:c r="AV543" s="119" t="n">
        <x:f>IF(7&gt;D543,0,MAX(2,MIN('难度参数'!$E$12,ROUND(('难度参数'!$E$18*POWER(A543,'难度参数'!$E$19)/D543*(0.85+0.3*(7-1)/MAX(1,D543-1))),0)+F543)))</x:f>
        <x:v>49</x:v>
      </x:c>
      <x:c r="AW543" s="119" t="n">
        <x:f>IF(7&gt;D543,0,ROUND(('难度参数'!$E$13*POWER(A543,'难度参数'!$E$20)*MIN('难度参数'!$E$23,1+MAX(0,A543-'难度参数'!$E$21)*'难度参数'!$E$22))*(36+7*7)/(36+7*(D543+1)/2)*E543,0))</x:f>
        <x:v>16564</x:v>
      </x:c>
      <x:c r="AX543" s="119" t="n">
        <x:f>IF(AV543=0,0,(AV543-IF(7=D543,1,0))*ROUND(AW543*VLOOKUP(INDEX('章节与怪物'!$E$31:$K$37,B543,7),'章节与怪物'!$A$41:$F$44,2,FALSE),0)+IF(7=D543,ROUND(AW543*'难度参数'!$E$28*'章节与怪物'!$E$17,0),0))</x:f>
        <x:v>1185963</x:v>
      </x:c>
      <x:c r="AY543" s="119" t="n">
        <x:f>IF(AV543=0,0,(AV543-IF(7=D543,1,0))*VLOOKUP(INDEX('章节与怪物'!$E$31:$K$37,B543,7),'章节与怪物'!$A$41:$F$44,4,FALSE)+IF(7=D543,'难度参数'!$E$30,0))</x:f>
        <x:v>1832</x:v>
      </x:c>
    </x:row>
    <x:row r="544" ht="23" customHeight="1">
      <x:c r="A544" s="119" t="n">
        <x:v>538</x:v>
      </x:c>
      <x:c r="B544" s="119" t="n">
        <x:f>MOD(INT((A544-1)/5),7)+1</x:f>
        <x:v>3</x:v>
      </x:c>
      <x:c r="C544" s="62" t="str">
        <x:f>INDEX('章节与怪物'!$B$31:$B$37,B544)</x:f>
        <x:v>腐沼秘林</x:v>
      </x:c>
      <x:c r="D544" s="119" t="n">
        <x:f>MIN('难度参数'!$E$8,MAX('难度参数'!$E$7,A544))</x:f>
        <x:v>7</x:v>
      </x:c>
      <x:c r="E544" s="106" t="n">
        <x:v>1</x:v>
      </x:c>
      <x:c r="F544" s="106" t="n">
        <x:v>0</x:v>
      </x:c>
      <x:c r="G544" s="106" t="n">
        <x:v>1</x:v>
      </x:c>
      <x:c r="H544" s="119" t="n">
        <x:f>SUM(X544,AB544,AF544,AJ544,AN544,AR544,AV544)</x:f>
        <x:v>298</x:v>
      </x:c>
      <x:c r="I544" s="119" t="n">
        <x:f>SUM(Z544,AD544,AH544,AL544,AP544,AT544,AX544)</x:f>
        <x:v>4902675</x:v>
      </x:c>
      <x:c r="J544" s="119" t="n">
        <x:f>ROUND(INDEX(X544:AY544,1,(D544-1)*4+2)*'难度参数'!$E$28*'章节与怪物'!$E$17,0)</x:f>
        <x:v>112785</x:v>
      </x:c>
      <x:c r="K544" s="119" t="n">
        <x:f>SUM(AA544,AE544,AI544,AM544,AQ544,AU544,AY544)</x:f>
        <x:v>8038</x:v>
      </x:c>
      <x:c r="L544" s="62" t="n">
        <x:f>H544*(ROUNDUP('难度参数'!$E$24/('难度参数'!$E$26*'难度参数'!$E$27),0)*'难度参数'!$E$26)/60</x:f>
        <x:v>3.9733333333333336</x:v>
      </x:c>
      <x:c r="M544" s="62" t="n">
        <x:f>L544+D544*('难度参数'!$E$49+'难度参数'!$E$50)/60</x:f>
        <x:v>5.140000000000001</x:v>
      </x:c>
      <x:c r="N544" s="119" t="n">
        <x:f>ROUNDDOWN(('经济参数'!$E$20+A544*'经济参数'!$E$21)*G544,0)</x:f>
        <x:v>10940</x:v>
      </x:c>
      <x:c r="O544" s="119" t="n">
        <x:f>ROUNDDOWN(MIN('经济参数'!$E$24,'经济参数'!$E$22+A544*'经济参数'!$E$23)*G544,0)</x:f>
        <x:v>0</x:v>
      </x:c>
      <x:c r="P544" s="119" t="n">
        <x:f>ROUNDDOWN((IF(A544&gt;='材料与任务'!$E$31,'材料与任务'!$E$32,IF(A544&gt;='材料与任务'!$E$25,'材料与任务'!$E$26,IF(A544&gt;='材料与任务'!$E$19,'材料与任务'!$E$20,IF(A544&gt;='材料与任务'!$E$13,'材料与任务'!$E$14,'材料与任务'!$E$8)))))*G544,0)</x:f>
        <x:v>6</x:v>
      </x:c>
      <x:c r="Q544" s="119" t="n">
        <x:f>ROUNDDOWN((IF(A544&gt;='材料与任务'!$E$31,'材料与任务'!$E$33,IF(A544&gt;='材料与任务'!$E$25,'材料与任务'!$E$27,IF(A544&gt;='材料与任务'!$E$19,'材料与任务'!$E$21,IF(A544&gt;='材料与任务'!$E$13,'材料与任务'!$E$15,'材料与任务'!$E$9)))))*G544,0)</x:f>
        <x:v>3</x:v>
      </x:c>
      <x:c r="R544" s="110" t="n">
        <x:f>'装备掉落'!$B$38</x:f>
        <x:v>0.6872058758851213</x:v>
      </x:c>
      <x:c r="S544" s="119" t="n">
        <x:f>MAX(IF(VLOOKUP(A544,'装备掉落'!$A$29:$H$34,2,TRUE)&gt;0,1,0),IF(VLOOKUP(A544,'装备掉落'!$A$29:$H$34,3,TRUE)&gt;0,2,0),IF(VLOOKUP(A544,'装备掉落'!$A$29:$H$34,4,TRUE)&gt;0,3,0),IF(VLOOKUP(A544,'装备掉落'!$A$29:$H$34,5,TRUE)&gt;0,4,0),IF(VLOOKUP(A544,'装备掉落'!$A$29:$H$34,6,TRUE)&gt;0,5,0),IF(VLOOKUP(A544,'装备掉落'!$A$29:$H$34,7,TRUE)&gt;0,6,0),IF(VLOOKUP(A544,'装备掉落'!$A$29:$H$34,8,TRUE)&gt;0,7,0))</x:f>
        <x:v>7</x:v>
      </x:c>
      <x:c r="T544" s="119" t="n">
        <x:f>MIN(7,S544+'经济参数'!$E$70)</x:f>
        <x:v>7</x:v>
      </x:c>
      <x:c r="U544" s="119" t="n">
        <x:f>MIN(7,S544+'经济参数'!$E$71)</x:f>
        <x:v>7</x:v>
      </x:c>
      <x:c r="V544" s="119" t="n">
        <x:f>IF(H544&gt;=('难度参数'!$E$52),1,0)+IF(H544&gt;=('难度参数'!$E$52+'难度参数'!$E$53),1,0)+IF(H544&gt;=('难度参数'!$E$52+'难度参数'!$E$53+'难度参数'!$E$54),1,0)+IF(H544&gt;=('难度参数'!$E$52+'难度参数'!$E$53+'难度参数'!$E$54+'难度参数'!$E$55),1,0)+IF(H544&gt;=('难度参数'!$E$52+'难度参数'!$E$53+'难度参数'!$E$54+'难度参数'!$E$55+'难度参数'!$E$56),1,0)+IF(H544&gt;=('难度参数'!$E$52+'难度参数'!$E$53+'难度参数'!$E$54+'难度参数'!$E$55+'难度参数'!$E$56+'难度参数'!$E$57),1,0)</x:f>
        <x:v>6</x:v>
      </x:c>
      <x:c r="W544" s="62" t="str">
        <x:f>IF(L544&gt;'难度参数'!$E$51,"仅出怪已超目标","还需实测")</x:f>
        <x:v>仅出怪已超目标</x:v>
      </x:c>
      <x:c r="X544" s="119" t="n">
        <x:f>IF(1&gt;D544,0,MAX(2,MIN('难度参数'!$E$12,ROUND(('难度参数'!$E$18*POWER(A544,'难度参数'!$E$19)/D544*(0.85+0.3*(1-1)/MAX(1,D544-1))),0)+F544)))</x:f>
        <x:v>36</x:v>
      </x:c>
      <x:c r="Y544" s="119" t="n">
        <x:f>IF(1&gt;D544,0,ROUND(('难度参数'!$E$13*POWER(A544,'难度参数'!$E$20)*MIN('难度参数'!$E$23,1+MAX(0,A544-'难度参数'!$E$21)*'难度参数'!$E$22))*(36+1*7)/(36+7*(D544+1)/2)*E544,0))</x:f>
        <x:v>8390</x:v>
      </x:c>
      <x:c r="Z544" s="119" t="n">
        <x:f>IF(X544=0,0,(X544-IF(1=D544,1,0))*ROUND(Y544*VLOOKUP(INDEX('章节与怪物'!$E$31:$K$37,B544,1),'章节与怪物'!$A$41:$F$44,2,FALSE),0)+IF(1=D544,ROUND(Y544*'难度参数'!$E$28*'章节与怪物'!$E$17,0),0))</x:f>
        <x:v>302040</x:v>
      </x:c>
      <x:c r="AA544" s="119" t="n">
        <x:f>IF(X544=0,0,(X544-IF(1=D544,1,0))*VLOOKUP(INDEX('章节与怪物'!$E$31:$K$37,B544,1),'章节与怪物'!$A$41:$F$44,4,FALSE)+IF(1=D544,'难度参数'!$E$30,0))</x:f>
        <x:v>648</x:v>
      </x:c>
      <x:c r="AB544" s="119" t="n">
        <x:f>IF(2&gt;D544,0,MAX(2,MIN('难度参数'!$E$12,ROUND(('难度参数'!$E$18*POWER(A544,'难度参数'!$E$19)/D544*(0.85+0.3*(2-1)/MAX(1,D544-1))),0)+F544)))</x:f>
        <x:v>38</x:v>
      </x:c>
      <x:c r="AC544" s="119" t="n">
        <x:f>IF(2&gt;D544,0,ROUND(('难度参数'!$E$13*POWER(A544,'难度参数'!$E$20)*MIN('难度参数'!$E$23,1+MAX(0,A544-'难度参数'!$E$21)*'难度参数'!$E$22))*(36+2*7)/(36+7*(D544+1)/2)*E544,0))</x:f>
        <x:v>9756</x:v>
      </x:c>
      <x:c r="AD544" s="119" t="n">
        <x:f>IF(AB544=0,0,(AB544-IF(2=D544,1,0))*ROUND(AC544*VLOOKUP(INDEX('章节与怪物'!$E$31:$K$37,B544,2),'章节与怪物'!$A$41:$F$44,2,FALSE),0)+IF(2=D544,ROUND(AC544*'难度参数'!$E$28*'章节与怪物'!$E$17,0),0))</x:f>
        <x:v>266912</x:v>
      </x:c>
      <x:c r="AE544" s="119" t="n">
        <x:f>IF(AB544=0,0,(AB544-IF(2=D544,1,0))*VLOOKUP(INDEX('章节与怪物'!$E$31:$K$37,B544,2),'章节与怪物'!$A$41:$F$44,4,FALSE)+IF(2=D544,'难度参数'!$E$30,0))</x:f>
        <x:v>760</x:v>
      </x:c>
      <x:c r="AF544" s="119" t="n">
        <x:f>IF(3&gt;D544,0,MAX(2,MIN('难度参数'!$E$12,ROUND(('难度参数'!$E$18*POWER(A544,'难度参数'!$E$19)/D544*(0.85+0.3*(3-1)/MAX(1,D544-1))),0)+F544)))</x:f>
        <x:v>40</x:v>
      </x:c>
      <x:c r="AG544" s="119" t="n">
        <x:f>IF(3&gt;D544,0,ROUND(('难度参数'!$E$13*POWER(A544,'难度参数'!$E$20)*MIN('难度参数'!$E$23,1+MAX(0,A544-'难度参数'!$E$21)*'难度参数'!$E$22))*(36+3*7)/(36+7*(D544+1)/2)*E544,0))</x:f>
        <x:v>11122</x:v>
      </x:c>
      <x:c r="AH544" s="119" t="n">
        <x:f>IF(AF544=0,0,(AF544-IF(3=D544,1,0))*ROUND(AG544*VLOOKUP(INDEX('章节与怪物'!$E$31:$K$37,B544,3),'章节与怪物'!$A$41:$F$44,2,FALSE),0)+IF(3=D544,ROUND(AG544*'难度参数'!$E$28*'章节与怪物'!$E$17,0),0))</x:f>
        <x:v>756280</x:v>
      </x:c>
      <x:c r="AI544" s="119" t="n">
        <x:f>IF(AF544=0,0,(AF544-IF(3=D544,1,0))*VLOOKUP(INDEX('章节与怪物'!$E$31:$K$37,B544,3),'章节与怪物'!$A$41:$F$44,4,FALSE)+IF(3=D544,'难度参数'!$E$30,0))</x:f>
        <x:v>1120</x:v>
      </x:c>
      <x:c r="AJ544" s="119" t="n">
        <x:f>IF(4&gt;D544,0,MAX(2,MIN('难度参数'!$E$12,ROUND(('难度参数'!$E$18*POWER(A544,'难度参数'!$E$19)/D544*(0.85+0.3*(4-1)/MAX(1,D544-1))),0)+F544)))</x:f>
        <x:v>43</x:v>
      </x:c>
      <x:c r="AK544" s="119" t="n">
        <x:f>IF(4&gt;D544,0,ROUND(('难度参数'!$E$13*POWER(A544,'难度参数'!$E$20)*MIN('难度参数'!$E$23,1+MAX(0,A544-'难度参数'!$E$21)*'难度参数'!$E$22))*(36+4*7)/(36+7*(D544+1)/2)*E544,0))</x:f>
        <x:v>12488</x:v>
      </x:c>
      <x:c r="AL544" s="119" t="n">
        <x:f>IF(AJ544=0,0,(AJ544-IF(4=D544,1,0))*ROUND(AK544*VLOOKUP(INDEX('章节与怪物'!$E$31:$K$37,B544,4),'章节与怪物'!$A$41:$F$44,2,FALSE),0)+IF(4=D544,ROUND(AK544*'难度参数'!$E$28*'章节与怪物'!$E$17,0),0))</x:f>
        <x:v>724937</x:v>
      </x:c>
      <x:c r="AM544" s="119" t="n">
        <x:f>IF(AJ544=0,0,(AJ544-IF(4=D544,1,0))*VLOOKUP(INDEX('章节与怪物'!$E$31:$K$37,B544,4),'章节与怪物'!$A$41:$F$44,4,FALSE)+IF(4=D544,'难度参数'!$E$30,0))</x:f>
        <x:v>1462</x:v>
      </x:c>
      <x:c r="AN544" s="119" t="n">
        <x:f>IF(5&gt;D544,0,MAX(2,MIN('难度参数'!$E$12,ROUND(('难度参数'!$E$18*POWER(A544,'难度参数'!$E$19)/D544*(0.85+0.3*(5-1)/MAX(1,D544-1))),0)+F544)))</x:f>
        <x:v>45</x:v>
      </x:c>
      <x:c r="AO544" s="119" t="n">
        <x:f>IF(5&gt;D544,0,ROUND(('难度参数'!$E$13*POWER(A544,'难度参数'!$E$20)*MIN('难度参数'!$E$23,1+MAX(0,A544-'难度参数'!$E$21)*'难度参数'!$E$22))*(36+5*7)/(36+7*(D544+1)/2)*E544,0))</x:f>
        <x:v>13854</x:v>
      </x:c>
      <x:c r="AP544" s="119" t="n">
        <x:f>IF(AN544=0,0,(AN544-IF(5=D544,1,0))*ROUND(AO544*VLOOKUP(INDEX('章节与怪物'!$E$31:$K$37,B544,5),'章节与怪物'!$A$41:$F$44,2,FALSE),0)+IF(5=D544,ROUND(AO544*'难度参数'!$E$28*'章节与怪物'!$E$17,0),0))</x:f>
        <x:v>448875</x:v>
      </x:c>
      <x:c r="AQ544" s="119" t="n">
        <x:f>IF(AN544=0,0,(AN544-IF(5=D544,1,0))*VLOOKUP(INDEX('章节与怪物'!$E$31:$K$37,B544,5),'章节与怪物'!$A$41:$F$44,4,FALSE)+IF(5=D544,'难度参数'!$E$30,0))</x:f>
        <x:v>900</x:v>
      </x:c>
      <x:c r="AR544" s="119" t="n">
        <x:f>IF(6&gt;D544,0,MAX(2,MIN('难度参数'!$E$12,ROUND(('难度参数'!$E$18*POWER(A544,'难度参数'!$E$19)/D544*(0.85+0.3*(6-1)/MAX(1,D544-1))),0)+F544)))</x:f>
        <x:v>47</x:v>
      </x:c>
      <x:c r="AS544" s="119" t="n">
        <x:f>IF(6&gt;D544,0,ROUND(('难度参数'!$E$13*POWER(A544,'难度参数'!$E$20)*MIN('难度参数'!$E$23,1+MAX(0,A544-'难度参数'!$E$21)*'难度参数'!$E$22))*(36+6*7)/(36+7*(D544+1)/2)*E544,0))</x:f>
        <x:v>15220</x:v>
      </x:c>
      <x:c r="AT544" s="119" t="n">
        <x:f>IF(AR544=0,0,(AR544-IF(6=D544,1,0))*ROUND(AS544*VLOOKUP(INDEX('章节与怪物'!$E$31:$K$37,B544,6),'章节与怪物'!$A$41:$F$44,2,FALSE),0)+IF(6=D544,ROUND(AS544*'难度参数'!$E$28*'章节与怪物'!$E$17,0),0))</x:f>
        <x:v>1216078</x:v>
      </x:c>
      <x:c r="AU544" s="119" t="n">
        <x:f>IF(AR544=0,0,(AR544-IF(6=D544,1,0))*VLOOKUP(INDEX('章节与怪物'!$E$31:$K$37,B544,6),'章节与怪物'!$A$41:$F$44,4,FALSE)+IF(6=D544,'难度参数'!$E$30,0))</x:f>
        <x:v>1316</x:v>
      </x:c>
      <x:c r="AV544" s="119" t="n">
        <x:f>IF(7&gt;D544,0,MAX(2,MIN('难度参数'!$E$12,ROUND(('难度参数'!$E$18*POWER(A544,'难度参数'!$E$19)/D544*(0.85+0.3*(7-1)/MAX(1,D544-1))),0)+F544)))</x:f>
        <x:v>49</x:v>
      </x:c>
      <x:c r="AW544" s="119" t="n">
        <x:f>IF(7&gt;D544,0,ROUND(('难度参数'!$E$13*POWER(A544,'难度参数'!$E$20)*MIN('难度参数'!$E$23,1+MAX(0,A544-'难度参数'!$E$21)*'难度参数'!$E$22))*(36+7*7)/(36+7*(D544+1)/2)*E544,0))</x:f>
        <x:v>16586</x:v>
      </x:c>
      <x:c r="AX544" s="119" t="n">
        <x:f>IF(AV544=0,0,(AV544-IF(7=D544,1,0))*ROUND(AW544*VLOOKUP(INDEX('章节与怪物'!$E$31:$K$37,B544,7),'章节与怪物'!$A$41:$F$44,2,FALSE),0)+IF(7=D544,ROUND(AW544*'难度参数'!$E$28*'章节与怪物'!$E$17,0),0))</x:f>
        <x:v>1187553</x:v>
      </x:c>
      <x:c r="AY544" s="119" t="n">
        <x:f>IF(AV544=0,0,(AV544-IF(7=D544,1,0))*VLOOKUP(INDEX('章节与怪物'!$E$31:$K$37,B544,7),'章节与怪物'!$A$41:$F$44,4,FALSE)+IF(7=D544,'难度参数'!$E$30,0))</x:f>
        <x:v>1832</x:v>
      </x:c>
    </x:row>
    <x:row r="545" ht="23" customHeight="1">
      <x:c r="A545" s="119" t="n">
        <x:v>539</x:v>
      </x:c>
      <x:c r="B545" s="119" t="n">
        <x:f>MOD(INT((A545-1)/5),7)+1</x:f>
        <x:v>3</x:v>
      </x:c>
      <x:c r="C545" s="62" t="str">
        <x:f>INDEX('章节与怪物'!$B$31:$B$37,B545)</x:f>
        <x:v>腐沼秘林</x:v>
      </x:c>
      <x:c r="D545" s="119" t="n">
        <x:f>MIN('难度参数'!$E$8,MAX('难度参数'!$E$7,A545))</x:f>
        <x:v>7</x:v>
      </x:c>
      <x:c r="E545" s="106" t="n">
        <x:v>1</x:v>
      </x:c>
      <x:c r="F545" s="106" t="n">
        <x:v>0</x:v>
      </x:c>
      <x:c r="G545" s="106" t="n">
        <x:v>1</x:v>
      </x:c>
      <x:c r="H545" s="119" t="n">
        <x:f>SUM(X545,AB545,AF545,AJ545,AN545,AR545,AV545)</x:f>
        <x:v>298</x:v>
      </x:c>
      <x:c r="I545" s="119" t="n">
        <x:f>SUM(Z545,AD545,AH545,AL545,AP545,AT545,AX545)</x:f>
        <x:v>4909333</x:v>
      </x:c>
      <x:c r="J545" s="119" t="n">
        <x:f>ROUND(INDEX(X545:AY545,1,(D545-1)*4+2)*'难度参数'!$E$28*'章节与怪物'!$E$17,0)</x:f>
        <x:v>112934</x:v>
      </x:c>
      <x:c r="K545" s="119" t="n">
        <x:f>SUM(AA545,AE545,AI545,AM545,AQ545,AU545,AY545)</x:f>
        <x:v>8038</x:v>
      </x:c>
      <x:c r="L545" s="62" t="n">
        <x:f>H545*(ROUNDUP('难度参数'!$E$24/('难度参数'!$E$26*'难度参数'!$E$27),0)*'难度参数'!$E$26)/60</x:f>
        <x:v>3.9733333333333336</x:v>
      </x:c>
      <x:c r="M545" s="62" t="n">
        <x:f>L545+D545*('难度参数'!$E$49+'难度参数'!$E$50)/60</x:f>
        <x:v>5.140000000000001</x:v>
      </x:c>
      <x:c r="N545" s="119" t="n">
        <x:f>ROUNDDOWN(('经济参数'!$E$20+A545*'经济参数'!$E$21)*G545,0)</x:f>
        <x:v>10960</x:v>
      </x:c>
      <x:c r="O545" s="119" t="n">
        <x:f>ROUNDDOWN(MIN('经济参数'!$E$24,'经济参数'!$E$22+A545*'经济参数'!$E$23)*G545,0)</x:f>
        <x:v>0</x:v>
      </x:c>
      <x:c r="P545" s="119" t="n">
        <x:f>ROUNDDOWN((IF(A545&gt;='材料与任务'!$E$31,'材料与任务'!$E$32,IF(A545&gt;='材料与任务'!$E$25,'材料与任务'!$E$26,IF(A545&gt;='材料与任务'!$E$19,'材料与任务'!$E$20,IF(A545&gt;='材料与任务'!$E$13,'材料与任务'!$E$14,'材料与任务'!$E$8)))))*G545,0)</x:f>
        <x:v>6</x:v>
      </x:c>
      <x:c r="Q545" s="119" t="n">
        <x:f>ROUNDDOWN((IF(A545&gt;='材料与任务'!$E$31,'材料与任务'!$E$33,IF(A545&gt;='材料与任务'!$E$25,'材料与任务'!$E$27,IF(A545&gt;='材料与任务'!$E$19,'材料与任务'!$E$21,IF(A545&gt;='材料与任务'!$E$13,'材料与任务'!$E$15,'材料与任务'!$E$9)))))*G545,0)</x:f>
        <x:v>3</x:v>
      </x:c>
      <x:c r="R545" s="110" t="n">
        <x:f>'装备掉落'!$B$38</x:f>
        <x:v>0.6872058758851213</x:v>
      </x:c>
      <x:c r="S545" s="119" t="n">
        <x:f>MAX(IF(VLOOKUP(A545,'装备掉落'!$A$29:$H$34,2,TRUE)&gt;0,1,0),IF(VLOOKUP(A545,'装备掉落'!$A$29:$H$34,3,TRUE)&gt;0,2,0),IF(VLOOKUP(A545,'装备掉落'!$A$29:$H$34,4,TRUE)&gt;0,3,0),IF(VLOOKUP(A545,'装备掉落'!$A$29:$H$34,5,TRUE)&gt;0,4,0),IF(VLOOKUP(A545,'装备掉落'!$A$29:$H$34,6,TRUE)&gt;0,5,0),IF(VLOOKUP(A545,'装备掉落'!$A$29:$H$34,7,TRUE)&gt;0,6,0),IF(VLOOKUP(A545,'装备掉落'!$A$29:$H$34,8,TRUE)&gt;0,7,0))</x:f>
        <x:v>7</x:v>
      </x:c>
      <x:c r="T545" s="119" t="n">
        <x:f>MIN(7,S545+'经济参数'!$E$70)</x:f>
        <x:v>7</x:v>
      </x:c>
      <x:c r="U545" s="119" t="n">
        <x:f>MIN(7,S545+'经济参数'!$E$71)</x:f>
        <x:v>7</x:v>
      </x:c>
      <x:c r="V545" s="119" t="n">
        <x:f>IF(H545&gt;=('难度参数'!$E$52),1,0)+IF(H545&gt;=('难度参数'!$E$52+'难度参数'!$E$53),1,0)+IF(H545&gt;=('难度参数'!$E$52+'难度参数'!$E$53+'难度参数'!$E$54),1,0)+IF(H545&gt;=('难度参数'!$E$52+'难度参数'!$E$53+'难度参数'!$E$54+'难度参数'!$E$55),1,0)+IF(H545&gt;=('难度参数'!$E$52+'难度参数'!$E$53+'难度参数'!$E$54+'难度参数'!$E$55+'难度参数'!$E$56),1,0)+IF(H545&gt;=('难度参数'!$E$52+'难度参数'!$E$53+'难度参数'!$E$54+'难度参数'!$E$55+'难度参数'!$E$56+'难度参数'!$E$57),1,0)</x:f>
        <x:v>6</x:v>
      </x:c>
      <x:c r="W545" s="62" t="str">
        <x:f>IF(L545&gt;'难度参数'!$E$51,"仅出怪已超目标","还需实测")</x:f>
        <x:v>仅出怪已超目标</x:v>
      </x:c>
      <x:c r="X545" s="119" t="n">
        <x:f>IF(1&gt;D545,0,MAX(2,MIN('难度参数'!$E$12,ROUND(('难度参数'!$E$18*POWER(A545,'难度参数'!$E$19)/D545*(0.85+0.3*(1-1)/MAX(1,D545-1))),0)+F545)))</x:f>
        <x:v>36</x:v>
      </x:c>
      <x:c r="Y545" s="119" t="n">
        <x:f>IF(1&gt;D545,0,ROUND(('难度参数'!$E$13*POWER(A545,'难度参数'!$E$20)*MIN('难度参数'!$E$23,1+MAX(0,A545-'难度参数'!$E$21)*'难度参数'!$E$22))*(36+1*7)/(36+7*(D545+1)/2)*E545,0))</x:f>
        <x:v>8402</x:v>
      </x:c>
      <x:c r="Z545" s="119" t="n">
        <x:f>IF(X545=0,0,(X545-IF(1=D545,1,0))*ROUND(Y545*VLOOKUP(INDEX('章节与怪物'!$E$31:$K$37,B545,1),'章节与怪物'!$A$41:$F$44,2,FALSE),0)+IF(1=D545,ROUND(Y545*'难度参数'!$E$28*'章节与怪物'!$E$17,0),0))</x:f>
        <x:v>302472</x:v>
      </x:c>
      <x:c r="AA545" s="119" t="n">
        <x:f>IF(X545=0,0,(X545-IF(1=D545,1,0))*VLOOKUP(INDEX('章节与怪物'!$E$31:$K$37,B545,1),'章节与怪物'!$A$41:$F$44,4,FALSE)+IF(1=D545,'难度参数'!$E$30,0))</x:f>
        <x:v>648</x:v>
      </x:c>
      <x:c r="AB545" s="119" t="n">
        <x:f>IF(2&gt;D545,0,MAX(2,MIN('难度参数'!$E$12,ROUND(('难度参数'!$E$18*POWER(A545,'难度参数'!$E$19)/D545*(0.85+0.3*(2-1)/MAX(1,D545-1))),0)+F545)))</x:f>
        <x:v>38</x:v>
      </x:c>
      <x:c r="AC545" s="119" t="n">
        <x:f>IF(2&gt;D545,0,ROUND(('难度参数'!$E$13*POWER(A545,'难度参数'!$E$20)*MIN('难度参数'!$E$23,1+MAX(0,A545-'难度参数'!$E$21)*'难度参数'!$E$22))*(36+2*7)/(36+7*(D545+1)/2)*E545,0))</x:f>
        <x:v>9769</x:v>
      </x:c>
      <x:c r="AD545" s="119" t="n">
        <x:f>IF(AB545=0,0,(AB545-IF(2=D545,1,0))*ROUND(AC545*VLOOKUP(INDEX('章节与怪物'!$E$31:$K$37,B545,2),'章节与怪物'!$A$41:$F$44,2,FALSE),0)+IF(2=D545,ROUND(AC545*'难度参数'!$E$28*'章节与怪物'!$E$17,0),0))</x:f>
        <x:v>267292</x:v>
      </x:c>
      <x:c r="AE545" s="119" t="n">
        <x:f>IF(AB545=0,0,(AB545-IF(2=D545,1,0))*VLOOKUP(INDEX('章节与怪物'!$E$31:$K$37,B545,2),'章节与怪物'!$A$41:$F$44,4,FALSE)+IF(2=D545,'难度参数'!$E$30,0))</x:f>
        <x:v>760</x:v>
      </x:c>
      <x:c r="AF545" s="119" t="n">
        <x:f>IF(3&gt;D545,0,MAX(2,MIN('难度参数'!$E$12,ROUND(('难度参数'!$E$18*POWER(A545,'难度参数'!$E$19)/D545*(0.85+0.3*(3-1)/MAX(1,D545-1))),0)+F545)))</x:f>
        <x:v>40</x:v>
      </x:c>
      <x:c r="AG545" s="119" t="n">
        <x:f>IF(3&gt;D545,0,ROUND(('难度参数'!$E$13*POWER(A545,'难度参数'!$E$20)*MIN('难度参数'!$E$23,1+MAX(0,A545-'难度参数'!$E$21)*'难度参数'!$E$22))*(36+3*7)/(36+7*(D545+1)/2)*E545,0))</x:f>
        <x:v>11137</x:v>
      </x:c>
      <x:c r="AH545" s="119" t="n">
        <x:f>IF(AF545=0,0,(AF545-IF(3=D545,1,0))*ROUND(AG545*VLOOKUP(INDEX('章节与怪物'!$E$31:$K$37,B545,3),'章节与怪物'!$A$41:$F$44,2,FALSE),0)+IF(3=D545,ROUND(AG545*'难度参数'!$E$28*'章节与怪物'!$E$17,0),0))</x:f>
        <x:v>757320</x:v>
      </x:c>
      <x:c r="AI545" s="119" t="n">
        <x:f>IF(AF545=0,0,(AF545-IF(3=D545,1,0))*VLOOKUP(INDEX('章节与怪物'!$E$31:$K$37,B545,3),'章节与怪物'!$A$41:$F$44,4,FALSE)+IF(3=D545,'难度参数'!$E$30,0))</x:f>
        <x:v>1120</x:v>
      </x:c>
      <x:c r="AJ545" s="119" t="n">
        <x:f>IF(4&gt;D545,0,MAX(2,MIN('难度参数'!$E$12,ROUND(('难度参数'!$E$18*POWER(A545,'难度参数'!$E$19)/D545*(0.85+0.3*(4-1)/MAX(1,D545-1))),0)+F545)))</x:f>
        <x:v>43</x:v>
      </x:c>
      <x:c r="AK545" s="119" t="n">
        <x:f>IF(4&gt;D545,0,ROUND(('难度参数'!$E$13*POWER(A545,'难度参数'!$E$20)*MIN('难度参数'!$E$23,1+MAX(0,A545-'难度参数'!$E$21)*'难度参数'!$E$22))*(36+4*7)/(36+7*(D545+1)/2)*E545,0))</x:f>
        <x:v>12505</x:v>
      </x:c>
      <x:c r="AL545" s="119" t="n">
        <x:f>IF(AJ545=0,0,(AJ545-IF(4=D545,1,0))*ROUND(AK545*VLOOKUP(INDEX('章节与怪物'!$E$31:$K$37,B545,4),'章节与怪物'!$A$41:$F$44,2,FALSE),0)+IF(4=D545,ROUND(AK545*'难度参数'!$E$28*'章节与怪物'!$E$17,0),0))</x:f>
        <x:v>725926</x:v>
      </x:c>
      <x:c r="AM545" s="119" t="n">
        <x:f>IF(AJ545=0,0,(AJ545-IF(4=D545,1,0))*VLOOKUP(INDEX('章节与怪物'!$E$31:$K$37,B545,4),'章节与怪物'!$A$41:$F$44,4,FALSE)+IF(4=D545,'难度参数'!$E$30,0))</x:f>
        <x:v>1462</x:v>
      </x:c>
      <x:c r="AN545" s="119" t="n">
        <x:f>IF(5&gt;D545,0,MAX(2,MIN('难度参数'!$E$12,ROUND(('难度参数'!$E$18*POWER(A545,'难度参数'!$E$19)/D545*(0.85+0.3*(5-1)/MAX(1,D545-1))),0)+F545)))</x:f>
        <x:v>45</x:v>
      </x:c>
      <x:c r="AO545" s="119" t="n">
        <x:f>IF(5&gt;D545,0,ROUND(('难度参数'!$E$13*POWER(A545,'难度参数'!$E$20)*MIN('难度参数'!$E$23,1+MAX(0,A545-'难度参数'!$E$21)*'难度参数'!$E$22))*(36+5*7)/(36+7*(D545+1)/2)*E545,0))</x:f>
        <x:v>13873</x:v>
      </x:c>
      <x:c r="AP545" s="119" t="n">
        <x:f>IF(AN545=0,0,(AN545-IF(5=D545,1,0))*ROUND(AO545*VLOOKUP(INDEX('章节与怪物'!$E$31:$K$37,B545,5),'章节与怪物'!$A$41:$F$44,2,FALSE),0)+IF(5=D545,ROUND(AO545*'难度参数'!$E$28*'章节与怪物'!$E$17,0),0))</x:f>
        <x:v>449505</x:v>
      </x:c>
      <x:c r="AQ545" s="119" t="n">
        <x:f>IF(AN545=0,0,(AN545-IF(5=D545,1,0))*VLOOKUP(INDEX('章节与怪物'!$E$31:$K$37,B545,5),'章节与怪物'!$A$41:$F$44,4,FALSE)+IF(5=D545,'难度参数'!$E$30,0))</x:f>
        <x:v>900</x:v>
      </x:c>
      <x:c r="AR545" s="119" t="n">
        <x:f>IF(6&gt;D545,0,MAX(2,MIN('难度参数'!$E$12,ROUND(('难度参数'!$E$18*POWER(A545,'难度参数'!$E$19)/D545*(0.85+0.3*(6-1)/MAX(1,D545-1))),0)+F545)))</x:f>
        <x:v>47</x:v>
      </x:c>
      <x:c r="AS545" s="119" t="n">
        <x:f>IF(6&gt;D545,0,ROUND(('难度参数'!$E$13*POWER(A545,'难度参数'!$E$20)*MIN('难度参数'!$E$23,1+MAX(0,A545-'难度参数'!$E$21)*'难度参数'!$E$22))*(36+6*7)/(36+7*(D545+1)/2)*E545,0))</x:f>
        <x:v>15240</x:v>
      </x:c>
      <x:c r="AT545" s="119" t="n">
        <x:f>IF(AR545=0,0,(AR545-IF(6=D545,1,0))*ROUND(AS545*VLOOKUP(INDEX('章节与怪物'!$E$31:$K$37,B545,6),'章节与怪物'!$A$41:$F$44,2,FALSE),0)+IF(6=D545,ROUND(AS545*'难度参数'!$E$28*'章节与怪物'!$E$17,0),0))</x:f>
        <x:v>1217676</x:v>
      </x:c>
      <x:c r="AU545" s="119" t="n">
        <x:f>IF(AR545=0,0,(AR545-IF(6=D545,1,0))*VLOOKUP(INDEX('章节与怪物'!$E$31:$K$37,B545,6),'章节与怪物'!$A$41:$F$44,4,FALSE)+IF(6=D545,'难度参数'!$E$30,0))</x:f>
        <x:v>1316</x:v>
      </x:c>
      <x:c r="AV545" s="119" t="n">
        <x:f>IF(7&gt;D545,0,MAX(2,MIN('难度参数'!$E$12,ROUND(('难度参数'!$E$18*POWER(A545,'难度参数'!$E$19)/D545*(0.85+0.3*(7-1)/MAX(1,D545-1))),0)+F545)))</x:f>
        <x:v>49</x:v>
      </x:c>
      <x:c r="AW545" s="119" t="n">
        <x:f>IF(7&gt;D545,0,ROUND(('难度参数'!$E$13*POWER(A545,'难度参数'!$E$20)*MIN('难度参数'!$E$23,1+MAX(0,A545-'难度参数'!$E$21)*'难度参数'!$E$22))*(36+7*7)/(36+7*(D545+1)/2)*E545,0))</x:f>
        <x:v>16608</x:v>
      </x:c>
      <x:c r="AX545" s="119" t="n">
        <x:f>IF(AV545=0,0,(AV545-IF(7=D545,1,0))*ROUND(AW545*VLOOKUP(INDEX('章节与怪物'!$E$31:$K$37,B545,7),'章节与怪物'!$A$41:$F$44,2,FALSE),0)+IF(7=D545,ROUND(AW545*'难度参数'!$E$28*'章节与怪物'!$E$17,0),0))</x:f>
        <x:v>1189142</x:v>
      </x:c>
      <x:c r="AY545" s="119" t="n">
        <x:f>IF(AV545=0,0,(AV545-IF(7=D545,1,0))*VLOOKUP(INDEX('章节与怪物'!$E$31:$K$37,B545,7),'章节与怪物'!$A$41:$F$44,4,FALSE)+IF(7=D545,'难度参数'!$E$30,0))</x:f>
        <x:v>1832</x:v>
      </x:c>
    </x:row>
    <x:row r="546" ht="23" customHeight="1">
      <x:c r="A546" s="119" t="n">
        <x:v>540</x:v>
      </x:c>
      <x:c r="B546" s="119" t="n">
        <x:f>MOD(INT((A546-1)/5),7)+1</x:f>
        <x:v>3</x:v>
      </x:c>
      <x:c r="C546" s="62" t="str">
        <x:f>INDEX('章节与怪物'!$B$31:$B$37,B546)</x:f>
        <x:v>腐沼秘林</x:v>
      </x:c>
      <x:c r="D546" s="119" t="n">
        <x:f>MIN('难度参数'!$E$8,MAX('难度参数'!$E$7,A546))</x:f>
        <x:v>7</x:v>
      </x:c>
      <x:c r="E546" s="106" t="n">
        <x:v>1</x:v>
      </x:c>
      <x:c r="F546" s="106" t="n">
        <x:v>0</x:v>
      </x:c>
      <x:c r="G546" s="106" t="n">
        <x:v>1</x:v>
      </x:c>
      <x:c r="H546" s="119" t="n">
        <x:f>SUM(X546,AB546,AF546,AJ546,AN546,AR546,AV546)</x:f>
        <x:v>299</x:v>
      </x:c>
      <x:c r="I546" s="119" t="n">
        <x:f>SUM(Z546,AD546,AH546,AL546,AP546,AT546,AX546)</x:f>
        <x:v>4934885</x:v>
      </x:c>
      <x:c r="J546" s="119" t="n">
        <x:f>ROUND(INDEX(X546:AY546,1,(D546-1)*4+2)*'难度参数'!$E$28*'章节与怪物'!$E$17,0)</x:f>
        <x:v>113084</x:v>
      </x:c>
      <x:c r="K546" s="119" t="n">
        <x:f>SUM(AA546,AE546,AI546,AM546,AQ546,AU546,AY546)</x:f>
        <x:v>8066</x:v>
      </x:c>
      <x:c r="L546" s="62" t="n">
        <x:f>H546*(ROUNDUP('难度参数'!$E$24/('难度参数'!$E$26*'难度参数'!$E$27),0)*'难度参数'!$E$26)/60</x:f>
        <x:v>3.986666666666667</x:v>
      </x:c>
      <x:c r="M546" s="62" t="n">
        <x:f>L546+D546*('难度参数'!$E$49+'难度参数'!$E$50)/60</x:f>
        <x:v>5.153333333333333</x:v>
      </x:c>
      <x:c r="N546" s="119" t="n">
        <x:f>ROUNDDOWN(('经济参数'!$E$20+A546*'经济参数'!$E$21)*G546,0)</x:f>
        <x:v>10980</x:v>
      </x:c>
      <x:c r="O546" s="119" t="n">
        <x:f>ROUNDDOWN(MIN('经济参数'!$E$24,'经济参数'!$E$22+A546*'经济参数'!$E$23)*G546,0)</x:f>
        <x:v>0</x:v>
      </x:c>
      <x:c r="P546" s="119" t="n">
        <x:f>ROUNDDOWN((IF(A546&gt;='材料与任务'!$E$31,'材料与任务'!$E$32,IF(A546&gt;='材料与任务'!$E$25,'材料与任务'!$E$26,IF(A546&gt;='材料与任务'!$E$19,'材料与任务'!$E$20,IF(A546&gt;='材料与任务'!$E$13,'材料与任务'!$E$14,'材料与任务'!$E$8)))))*G546,0)</x:f>
        <x:v>6</x:v>
      </x:c>
      <x:c r="Q546" s="119" t="n">
        <x:f>ROUNDDOWN((IF(A546&gt;='材料与任务'!$E$31,'材料与任务'!$E$33,IF(A546&gt;='材料与任务'!$E$25,'材料与任务'!$E$27,IF(A546&gt;='材料与任务'!$E$19,'材料与任务'!$E$21,IF(A546&gt;='材料与任务'!$E$13,'材料与任务'!$E$15,'材料与任务'!$E$9)))))*G546,0)</x:f>
        <x:v>3</x:v>
      </x:c>
      <x:c r="R546" s="110" t="n">
        <x:f>'装备掉落'!$B$38</x:f>
        <x:v>0.6872058758851213</x:v>
      </x:c>
      <x:c r="S546" s="119" t="n">
        <x:f>MAX(IF(VLOOKUP(A546,'装备掉落'!$A$29:$H$34,2,TRUE)&gt;0,1,0),IF(VLOOKUP(A546,'装备掉落'!$A$29:$H$34,3,TRUE)&gt;0,2,0),IF(VLOOKUP(A546,'装备掉落'!$A$29:$H$34,4,TRUE)&gt;0,3,0),IF(VLOOKUP(A546,'装备掉落'!$A$29:$H$34,5,TRUE)&gt;0,4,0),IF(VLOOKUP(A546,'装备掉落'!$A$29:$H$34,6,TRUE)&gt;0,5,0),IF(VLOOKUP(A546,'装备掉落'!$A$29:$H$34,7,TRUE)&gt;0,6,0),IF(VLOOKUP(A546,'装备掉落'!$A$29:$H$34,8,TRUE)&gt;0,7,0))</x:f>
        <x:v>7</x:v>
      </x:c>
      <x:c r="T546" s="119" t="n">
        <x:f>MIN(7,S546+'经济参数'!$E$70)</x:f>
        <x:v>7</x:v>
      </x:c>
      <x:c r="U546" s="119" t="n">
        <x:f>MIN(7,S546+'经济参数'!$E$71)</x:f>
        <x:v>7</x:v>
      </x:c>
      <x:c r="V546" s="119" t="n">
        <x:f>IF(H546&gt;=('难度参数'!$E$52),1,0)+IF(H546&gt;=('难度参数'!$E$52+'难度参数'!$E$53),1,0)+IF(H546&gt;=('难度参数'!$E$52+'难度参数'!$E$53+'难度参数'!$E$54),1,0)+IF(H546&gt;=('难度参数'!$E$52+'难度参数'!$E$53+'难度参数'!$E$54+'难度参数'!$E$55),1,0)+IF(H546&gt;=('难度参数'!$E$52+'难度参数'!$E$53+'难度参数'!$E$54+'难度参数'!$E$55+'难度参数'!$E$56),1,0)+IF(H546&gt;=('难度参数'!$E$52+'难度参数'!$E$53+'难度参数'!$E$54+'难度参数'!$E$55+'难度参数'!$E$56+'难度参数'!$E$57),1,0)</x:f>
        <x:v>6</x:v>
      </x:c>
      <x:c r="W546" s="62" t="str">
        <x:f>IF(L546&gt;'难度参数'!$E$51,"仅出怪已超目标","还需实测")</x:f>
        <x:v>仅出怪已超目标</x:v>
      </x:c>
      <x:c r="X546" s="119" t="n">
        <x:f>IF(1&gt;D546,0,MAX(2,MIN('难度参数'!$E$12,ROUND(('难度参数'!$E$18*POWER(A546,'难度参数'!$E$19)/D546*(0.85+0.3*(1-1)/MAX(1,D546-1))),0)+F546)))</x:f>
        <x:v>36</x:v>
      </x:c>
      <x:c r="Y546" s="119" t="n">
        <x:f>IF(1&gt;D546,0,ROUND(('难度参数'!$E$13*POWER(A546,'难度参数'!$E$20)*MIN('难度参数'!$E$23,1+MAX(0,A546-'难度参数'!$E$21)*'难度参数'!$E$22))*(36+1*7)/(36+7*(D546+1)/2)*E546,0))</x:f>
        <x:v>8413</x:v>
      </x:c>
      <x:c r="Z546" s="119" t="n">
        <x:f>IF(X546=0,0,(X546-IF(1=D546,1,0))*ROUND(Y546*VLOOKUP(INDEX('章节与怪物'!$E$31:$K$37,B546,1),'章节与怪物'!$A$41:$F$44,2,FALSE),0)+IF(1=D546,ROUND(Y546*'难度参数'!$E$28*'章节与怪物'!$E$17,0),0))</x:f>
        <x:v>302868</x:v>
      </x:c>
      <x:c r="AA546" s="119" t="n">
        <x:f>IF(X546=0,0,(X546-IF(1=D546,1,0))*VLOOKUP(INDEX('章节与怪物'!$E$31:$K$37,B546,1),'章节与怪物'!$A$41:$F$44,4,FALSE)+IF(1=D546,'难度参数'!$E$30,0))</x:f>
        <x:v>648</x:v>
      </x:c>
      <x:c r="AB546" s="119" t="n">
        <x:f>IF(2&gt;D546,0,MAX(2,MIN('难度参数'!$E$12,ROUND(('难度参数'!$E$18*POWER(A546,'难度参数'!$E$19)/D546*(0.85+0.3*(2-1)/MAX(1,D546-1))),0)+F546)))</x:f>
        <x:v>38</x:v>
      </x:c>
      <x:c r="AC546" s="119" t="n">
        <x:f>IF(2&gt;D546,0,ROUND(('难度参数'!$E$13*POWER(A546,'难度参数'!$E$20)*MIN('难度参数'!$E$23,1+MAX(0,A546-'难度参数'!$E$21)*'难度参数'!$E$22))*(36+2*7)/(36+7*(D546+1)/2)*E546,0))</x:f>
        <x:v>9782</x:v>
      </x:c>
      <x:c r="AD546" s="119" t="n">
        <x:f>IF(AB546=0,0,(AB546-IF(2=D546,1,0))*ROUND(AC546*VLOOKUP(INDEX('章节与怪物'!$E$31:$K$37,B546,2),'章节与怪物'!$A$41:$F$44,2,FALSE),0)+IF(2=D546,ROUND(AC546*'难度参数'!$E$28*'章节与怪物'!$E$17,0),0))</x:f>
        <x:v>267634</x:v>
      </x:c>
      <x:c r="AE546" s="119" t="n">
        <x:f>IF(AB546=0,0,(AB546-IF(2=D546,1,0))*VLOOKUP(INDEX('章节与怪物'!$E$31:$K$37,B546,2),'章节与怪物'!$A$41:$F$44,4,FALSE)+IF(2=D546,'难度参数'!$E$30,0))</x:f>
        <x:v>760</x:v>
      </x:c>
      <x:c r="AF546" s="119" t="n">
        <x:f>IF(3&gt;D546,0,MAX(2,MIN('难度参数'!$E$12,ROUND(('难度参数'!$E$18*POWER(A546,'难度参数'!$E$19)/D546*(0.85+0.3*(3-1)/MAX(1,D546-1))),0)+F546)))</x:f>
        <x:v>41</x:v>
      </x:c>
      <x:c r="AG546" s="119" t="n">
        <x:f>IF(3&gt;D546,0,ROUND(('难度参数'!$E$13*POWER(A546,'难度参数'!$E$20)*MIN('难度参数'!$E$23,1+MAX(0,A546-'难度参数'!$E$21)*'难度参数'!$E$22))*(36+3*7)/(36+7*(D546+1)/2)*E546,0))</x:f>
        <x:v>11152</x:v>
      </x:c>
      <x:c r="AH546" s="119" t="n">
        <x:f>IF(AF546=0,0,(AF546-IF(3=D546,1,0))*ROUND(AG546*VLOOKUP(INDEX('章节与怪物'!$E$31:$K$37,B546,3),'章节与怪物'!$A$41:$F$44,2,FALSE),0)+IF(3=D546,ROUND(AG546*'难度参数'!$E$28*'章节与怪物'!$E$17,0),0))</x:f>
        <x:v>777278</x:v>
      </x:c>
      <x:c r="AI546" s="119" t="n">
        <x:f>IF(AF546=0,0,(AF546-IF(3=D546,1,0))*VLOOKUP(INDEX('章节与怪物'!$E$31:$K$37,B546,3),'章节与怪物'!$A$41:$F$44,4,FALSE)+IF(3=D546,'难度参数'!$E$30,0))</x:f>
        <x:v>1148</x:v>
      </x:c>
      <x:c r="AJ546" s="119" t="n">
        <x:f>IF(4&gt;D546,0,MAX(2,MIN('难度参数'!$E$12,ROUND(('难度参数'!$E$18*POWER(A546,'难度参数'!$E$19)/D546*(0.85+0.3*(4-1)/MAX(1,D546-1))),0)+F546)))</x:f>
        <x:v>43</x:v>
      </x:c>
      <x:c r="AK546" s="119" t="n">
        <x:f>IF(4&gt;D546,0,ROUND(('难度参数'!$E$13*POWER(A546,'难度参数'!$E$20)*MIN('难度参数'!$E$23,1+MAX(0,A546-'难度参数'!$E$21)*'难度参数'!$E$22))*(36+4*7)/(36+7*(D546+1)/2)*E546,0))</x:f>
        <x:v>12522</x:v>
      </x:c>
      <x:c r="AL546" s="119" t="n">
        <x:f>IF(AJ546=0,0,(AJ546-IF(4=D546,1,0))*ROUND(AK546*VLOOKUP(INDEX('章节与怪物'!$E$31:$K$37,B546,4),'章节与怪物'!$A$41:$F$44,2,FALSE),0)+IF(4=D546,ROUND(AK546*'难度参数'!$E$28*'章节与怪物'!$E$17,0),0))</x:f>
        <x:v>726915</x:v>
      </x:c>
      <x:c r="AM546" s="119" t="n">
        <x:f>IF(AJ546=0,0,(AJ546-IF(4=D546,1,0))*VLOOKUP(INDEX('章节与怪物'!$E$31:$K$37,B546,4),'章节与怪物'!$A$41:$F$44,4,FALSE)+IF(4=D546,'难度参数'!$E$30,0))</x:f>
        <x:v>1462</x:v>
      </x:c>
      <x:c r="AN546" s="119" t="n">
        <x:f>IF(5&gt;D546,0,MAX(2,MIN('难度参数'!$E$12,ROUND(('难度参数'!$E$18*POWER(A546,'难度参数'!$E$19)/D546*(0.85+0.3*(5-1)/MAX(1,D546-1))),0)+F546)))</x:f>
        <x:v>45</x:v>
      </x:c>
      <x:c r="AO546" s="119" t="n">
        <x:f>IF(5&gt;D546,0,ROUND(('难度参数'!$E$13*POWER(A546,'难度参数'!$E$20)*MIN('难度参数'!$E$23,1+MAX(0,A546-'难度参数'!$E$21)*'难度参数'!$E$22))*(36+5*7)/(36+7*(D546+1)/2)*E546,0))</x:f>
        <x:v>13891</x:v>
      </x:c>
      <x:c r="AP546" s="119" t="n">
        <x:f>IF(AN546=0,0,(AN546-IF(5=D546,1,0))*ROUND(AO546*VLOOKUP(INDEX('章节与怪物'!$E$31:$K$37,B546,5),'章节与怪物'!$A$41:$F$44,2,FALSE),0)+IF(5=D546,ROUND(AO546*'难度参数'!$E$28*'章节与怪物'!$E$17,0),0))</x:f>
        <x:v>450090</x:v>
      </x:c>
      <x:c r="AQ546" s="119" t="n">
        <x:f>IF(AN546=0,0,(AN546-IF(5=D546,1,0))*VLOOKUP(INDEX('章节与怪物'!$E$31:$K$37,B546,5),'章节与怪物'!$A$41:$F$44,4,FALSE)+IF(5=D546,'难度参数'!$E$30,0))</x:f>
        <x:v>900</x:v>
      </x:c>
      <x:c r="AR546" s="119" t="n">
        <x:f>IF(6&gt;D546,0,MAX(2,MIN('难度参数'!$E$12,ROUND(('难度参数'!$E$18*POWER(A546,'难度参数'!$E$19)/D546*(0.85+0.3*(6-1)/MAX(1,D546-1))),0)+F546)))</x:f>
        <x:v>47</x:v>
      </x:c>
      <x:c r="AS546" s="119" t="n">
        <x:f>IF(6&gt;D546,0,ROUND(('难度参数'!$E$13*POWER(A546,'难度参数'!$E$20)*MIN('难度参数'!$E$23,1+MAX(0,A546-'难度参数'!$E$21)*'难度参数'!$E$22))*(36+6*7)/(36+7*(D546+1)/2)*E546,0))</x:f>
        <x:v>15261</x:v>
      </x:c>
      <x:c r="AT546" s="119" t="n">
        <x:f>IF(AR546=0,0,(AR546-IF(6=D546,1,0))*ROUND(AS546*VLOOKUP(INDEX('章节与怪物'!$E$31:$K$37,B546,6),'章节与怪物'!$A$41:$F$44,2,FALSE),0)+IF(6=D546,ROUND(AS546*'难度参数'!$E$28*'章节与怪物'!$E$17,0),0))</x:f>
        <x:v>1219368</x:v>
      </x:c>
      <x:c r="AU546" s="119" t="n">
        <x:f>IF(AR546=0,0,(AR546-IF(6=D546,1,0))*VLOOKUP(INDEX('章节与怪物'!$E$31:$K$37,B546,6),'章节与怪物'!$A$41:$F$44,4,FALSE)+IF(6=D546,'难度参数'!$E$30,0))</x:f>
        <x:v>1316</x:v>
      </x:c>
      <x:c r="AV546" s="119" t="n">
        <x:f>IF(7&gt;D546,0,MAX(2,MIN('难度参数'!$E$12,ROUND(('难度参数'!$E$18*POWER(A546,'难度参数'!$E$19)/D546*(0.85+0.3*(7-1)/MAX(1,D546-1))),0)+F546)))</x:f>
        <x:v>49</x:v>
      </x:c>
      <x:c r="AW546" s="119" t="n">
        <x:f>IF(7&gt;D546,0,ROUND(('难度参数'!$E$13*POWER(A546,'难度参数'!$E$20)*MIN('难度参数'!$E$23,1+MAX(0,A546-'难度参数'!$E$21)*'难度参数'!$E$22))*(36+7*7)/(36+7*(D546+1)/2)*E546,0))</x:f>
        <x:v>16630</x:v>
      </x:c>
      <x:c r="AX546" s="119" t="n">
        <x:f>IF(AV546=0,0,(AV546-IF(7=D546,1,0))*ROUND(AW546*VLOOKUP(INDEX('章节与怪物'!$E$31:$K$37,B546,7),'章节与怪物'!$A$41:$F$44,2,FALSE),0)+IF(7=D546,ROUND(AW546*'难度参数'!$E$28*'章节与怪物'!$E$17,0),0))</x:f>
        <x:v>1190732</x:v>
      </x:c>
      <x:c r="AY546" s="119" t="n">
        <x:f>IF(AV546=0,0,(AV546-IF(7=D546,1,0))*VLOOKUP(INDEX('章节与怪物'!$E$31:$K$37,B546,7),'章节与怪物'!$A$41:$F$44,4,FALSE)+IF(7=D546,'难度参数'!$E$30,0))</x:f>
        <x:v>1832</x:v>
      </x:c>
    </x:row>
    <x:row r="547" ht="23" customHeight="1">
      <x:c r="A547" s="119" t="n">
        <x:v>541</x:v>
      </x:c>
      <x:c r="B547" s="119" t="n">
        <x:f>MOD(INT((A547-1)/5),7)+1</x:f>
        <x:v>4</x:v>
      </x:c>
      <x:c r="C547" s="62" t="str">
        <x:f>INDEX('章节与怪物'!$B$31:$B$37,B547)</x:f>
        <x:v>翠野边城</x:v>
      </x:c>
      <x:c r="D547" s="119" t="n">
        <x:f>MIN('难度参数'!$E$8,MAX('难度参数'!$E$7,A547))</x:f>
        <x:v>7</x:v>
      </x:c>
      <x:c r="E547" s="106" t="n">
        <x:v>1</x:v>
      </x:c>
      <x:c r="F547" s="106" t="n">
        <x:v>0</x:v>
      </x:c>
      <x:c r="G547" s="106" t="n">
        <x:v>1</x:v>
      </x:c>
      <x:c r="H547" s="119" t="n">
        <x:f>SUM(X547,AB547,AF547,AJ547,AN547,AR547,AV547)</x:f>
        <x:v>299</x:v>
      </x:c>
      <x:c r="I547" s="119" t="n">
        <x:f>SUM(Z547,AD547,AH547,AL547,AP547,AT547,AX547)</x:f>
        <x:v>4432030</x:v>
      </x:c>
      <x:c r="J547" s="119" t="n">
        <x:f>ROUND(INDEX(X547:AY547,1,(D547-1)*4+2)*'难度参数'!$E$28*'章节与怪物'!$E$17,0)</x:f>
        <x:v>113234</x:v>
      </x:c>
      <x:c r="K547" s="119" t="n">
        <x:f>SUM(AA547,AE547,AI547,AM547,AQ547,AU547,AY547)</x:f>
        <x:v>7596</x:v>
      </x:c>
      <x:c r="L547" s="62" t="n">
        <x:f>H547*(ROUNDUP('难度参数'!$E$24/('难度参数'!$E$26*'难度参数'!$E$27),0)*'难度参数'!$E$26)/60</x:f>
        <x:v>3.986666666666667</x:v>
      </x:c>
      <x:c r="M547" s="62" t="n">
        <x:f>L547+D547*('难度参数'!$E$49+'难度参数'!$E$50)/60</x:f>
        <x:v>5.153333333333333</x:v>
      </x:c>
      <x:c r="N547" s="119" t="n">
        <x:f>ROUNDDOWN(('经济参数'!$E$20+A547*'经济参数'!$E$21)*G547,0)</x:f>
        <x:v>11000</x:v>
      </x:c>
      <x:c r="O547" s="119" t="n">
        <x:f>ROUNDDOWN(MIN('经济参数'!$E$24,'经济参数'!$E$22+A547*'经济参数'!$E$23)*G547,0)</x:f>
        <x:v>0</x:v>
      </x:c>
      <x:c r="P547" s="119" t="n">
        <x:f>ROUNDDOWN((IF(A547&gt;='材料与任务'!$E$31,'材料与任务'!$E$32,IF(A547&gt;='材料与任务'!$E$25,'材料与任务'!$E$26,IF(A547&gt;='材料与任务'!$E$19,'材料与任务'!$E$20,IF(A547&gt;='材料与任务'!$E$13,'材料与任务'!$E$14,'材料与任务'!$E$8)))))*G547,0)</x:f>
        <x:v>6</x:v>
      </x:c>
      <x:c r="Q547" s="119" t="n">
        <x:f>ROUNDDOWN((IF(A547&gt;='材料与任务'!$E$31,'材料与任务'!$E$33,IF(A547&gt;='材料与任务'!$E$25,'材料与任务'!$E$27,IF(A547&gt;='材料与任务'!$E$19,'材料与任务'!$E$21,IF(A547&gt;='材料与任务'!$E$13,'材料与任务'!$E$15,'材料与任务'!$E$9)))))*G547,0)</x:f>
        <x:v>3</x:v>
      </x:c>
      <x:c r="R547" s="110" t="n">
        <x:f>'装备掉落'!$B$38</x:f>
        <x:v>0.6872058758851213</x:v>
      </x:c>
      <x:c r="S547" s="119" t="n">
        <x:f>MAX(IF(VLOOKUP(A547,'装备掉落'!$A$29:$H$34,2,TRUE)&gt;0,1,0),IF(VLOOKUP(A547,'装备掉落'!$A$29:$H$34,3,TRUE)&gt;0,2,0),IF(VLOOKUP(A547,'装备掉落'!$A$29:$H$34,4,TRUE)&gt;0,3,0),IF(VLOOKUP(A547,'装备掉落'!$A$29:$H$34,5,TRUE)&gt;0,4,0),IF(VLOOKUP(A547,'装备掉落'!$A$29:$H$34,6,TRUE)&gt;0,5,0),IF(VLOOKUP(A547,'装备掉落'!$A$29:$H$34,7,TRUE)&gt;0,6,0),IF(VLOOKUP(A547,'装备掉落'!$A$29:$H$34,8,TRUE)&gt;0,7,0))</x:f>
        <x:v>7</x:v>
      </x:c>
      <x:c r="T547" s="119" t="n">
        <x:f>MIN(7,S547+'经济参数'!$E$70)</x:f>
        <x:v>7</x:v>
      </x:c>
      <x:c r="U547" s="119" t="n">
        <x:f>MIN(7,S547+'经济参数'!$E$71)</x:f>
        <x:v>7</x:v>
      </x:c>
      <x:c r="V547" s="119" t="n">
        <x:f>IF(H547&gt;=('难度参数'!$E$52),1,0)+IF(H547&gt;=('难度参数'!$E$52+'难度参数'!$E$53),1,0)+IF(H547&gt;=('难度参数'!$E$52+'难度参数'!$E$53+'难度参数'!$E$54),1,0)+IF(H547&gt;=('难度参数'!$E$52+'难度参数'!$E$53+'难度参数'!$E$54+'难度参数'!$E$55),1,0)+IF(H547&gt;=('难度参数'!$E$52+'难度参数'!$E$53+'难度参数'!$E$54+'难度参数'!$E$55+'难度参数'!$E$56),1,0)+IF(H547&gt;=('难度参数'!$E$52+'难度参数'!$E$53+'难度参数'!$E$54+'难度参数'!$E$55+'难度参数'!$E$56+'难度参数'!$E$57),1,0)</x:f>
        <x:v>6</x:v>
      </x:c>
      <x:c r="W547" s="62" t="str">
        <x:f>IF(L547&gt;'难度参数'!$E$51,"仅出怪已超目标","还需实测")</x:f>
        <x:v>仅出怪已超目标</x:v>
      </x:c>
      <x:c r="X547" s="119" t="n">
        <x:f>IF(1&gt;D547,0,MAX(2,MIN('难度参数'!$E$12,ROUND(('难度参数'!$E$18*POWER(A547,'难度参数'!$E$19)/D547*(0.85+0.3*(1-1)/MAX(1,D547-1))),0)+F547)))</x:f>
        <x:v>36</x:v>
      </x:c>
      <x:c r="Y547" s="119" t="n">
        <x:f>IF(1&gt;D547,0,ROUND(('难度参数'!$E$13*POWER(A547,'难度参数'!$E$20)*MIN('难度参数'!$E$23,1+MAX(0,A547-'难度参数'!$E$21)*'难度参数'!$E$22))*(36+1*7)/(36+7*(D547+1)/2)*E547,0))</x:f>
        <x:v>8424</x:v>
      </x:c>
      <x:c r="Z547" s="119" t="n">
        <x:f>IF(X547=0,0,(X547-IF(1=D547,1,0))*ROUND(Y547*VLOOKUP(INDEX('章节与怪物'!$E$31:$K$37,B547,1),'章节与怪物'!$A$41:$F$44,2,FALSE),0)+IF(1=D547,ROUND(Y547*'难度参数'!$E$28*'章节与怪物'!$E$17,0),0))</x:f>
        <x:v>218340</x:v>
      </x:c>
      <x:c r="AA547" s="119" t="n">
        <x:f>IF(X547=0,0,(X547-IF(1=D547,1,0))*VLOOKUP(INDEX('章节与怪物'!$E$31:$K$37,B547,1),'章节与怪物'!$A$41:$F$44,4,FALSE)+IF(1=D547,'难度参数'!$E$30,0))</x:f>
        <x:v>720</x:v>
      </x:c>
      <x:c r="AB547" s="119" t="n">
        <x:f>IF(2&gt;D547,0,MAX(2,MIN('难度参数'!$E$12,ROUND(('难度参数'!$E$18*POWER(A547,'难度参数'!$E$19)/D547*(0.85+0.3*(2-1)/MAX(1,D547-1))),0)+F547)))</x:f>
        <x:v>38</x:v>
      </x:c>
      <x:c r="AC547" s="119" t="n">
        <x:f>IF(2&gt;D547,0,ROUND(('难度参数'!$E$13*POWER(A547,'难度参数'!$E$20)*MIN('难度参数'!$E$23,1+MAX(0,A547-'难度参数'!$E$21)*'难度参数'!$E$22))*(36+2*7)/(36+7*(D547+1)/2)*E547,0))</x:f>
        <x:v>9795</x:v>
      </x:c>
      <x:c r="AD547" s="119" t="n">
        <x:f>IF(AB547=0,0,(AB547-IF(2=D547,1,0))*ROUND(AC547*VLOOKUP(INDEX('章节与怪物'!$E$31:$K$37,B547,2),'章节与怪物'!$A$41:$F$44,2,FALSE),0)+IF(2=D547,ROUND(AC547*'难度参数'!$E$28*'章节与怪物'!$E$17,0),0))</x:f>
        <x:v>372210</x:v>
      </x:c>
      <x:c r="AE547" s="119" t="n">
        <x:f>IF(AB547=0,0,(AB547-IF(2=D547,1,0))*VLOOKUP(INDEX('章节与怪物'!$E$31:$K$37,B547,2),'章节与怪物'!$A$41:$F$44,4,FALSE)+IF(2=D547,'难度参数'!$E$30,0))</x:f>
        <x:v>684</x:v>
      </x:c>
      <x:c r="AF547" s="119" t="n">
        <x:f>IF(3&gt;D547,0,MAX(2,MIN('难度参数'!$E$12,ROUND(('难度参数'!$E$18*POWER(A547,'难度参数'!$E$19)/D547*(0.85+0.3*(3-1)/MAX(1,D547-1))),0)+F547)))</x:f>
        <x:v>41</x:v>
      </x:c>
      <x:c r="AG547" s="119" t="n">
        <x:f>IF(3&gt;D547,0,ROUND(('难度参数'!$E$13*POWER(A547,'难度参数'!$E$20)*MIN('难度参数'!$E$23,1+MAX(0,A547-'难度参数'!$E$21)*'难度参数'!$E$22))*(36+3*7)/(36+7*(D547+1)/2)*E547,0))</x:f>
        <x:v>11167</x:v>
      </x:c>
      <x:c r="AH547" s="119" t="n">
        <x:f>IF(AF547=0,0,(AF547-IF(3=D547,1,0))*ROUND(AG547*VLOOKUP(INDEX('章节与怪物'!$E$31:$K$37,B547,3),'章节与怪物'!$A$41:$F$44,2,FALSE),0)+IF(3=D547,ROUND(AG547*'难度参数'!$E$28*'章节与怪物'!$E$17,0),0))</x:f>
        <x:v>778344</x:v>
      </x:c>
      <x:c r="AI547" s="119" t="n">
        <x:f>IF(AF547=0,0,(AF547-IF(3=D547,1,0))*VLOOKUP(INDEX('章节与怪物'!$E$31:$K$37,B547,3),'章节与怪物'!$A$41:$F$44,4,FALSE)+IF(3=D547,'难度参数'!$E$30,0))</x:f>
        <x:v>1148</x:v>
      </x:c>
      <x:c r="AJ547" s="119" t="n">
        <x:f>IF(4&gt;D547,0,MAX(2,MIN('难度参数'!$E$12,ROUND(('难度参数'!$E$18*POWER(A547,'难度参数'!$E$19)/D547*(0.85+0.3*(4-1)/MAX(1,D547-1))),0)+F547)))</x:f>
        <x:v>43</x:v>
      </x:c>
      <x:c r="AK547" s="119" t="n">
        <x:f>IF(4&gt;D547,0,ROUND(('难度参数'!$E$13*POWER(A547,'难度参数'!$E$20)*MIN('难度参数'!$E$23,1+MAX(0,A547-'难度参数'!$E$21)*'难度参数'!$E$22))*(36+4*7)/(36+7*(D547+1)/2)*E547,0))</x:f>
        <x:v>12538</x:v>
      </x:c>
      <x:c r="AL547" s="119" t="n">
        <x:f>IF(AJ547=0,0,(AJ547-IF(4=D547,1,0))*ROUND(AK547*VLOOKUP(INDEX('章节与怪物'!$E$31:$K$37,B547,4),'章节与怪物'!$A$41:$F$44,2,FALSE),0)+IF(4=D547,ROUND(AK547*'难度参数'!$E$28*'章节与怪物'!$E$17,0),0))</x:f>
        <x:v>727818</x:v>
      </x:c>
      <x:c r="AM547" s="119" t="n">
        <x:f>IF(AJ547=0,0,(AJ547-IF(4=D547,1,0))*VLOOKUP(INDEX('章节与怪物'!$E$31:$K$37,B547,4),'章节与怪物'!$A$41:$F$44,4,FALSE)+IF(4=D547,'难度参数'!$E$30,0))</x:f>
        <x:v>1462</x:v>
      </x:c>
      <x:c r="AN547" s="119" t="n">
        <x:f>IF(5&gt;D547,0,MAX(2,MIN('难度参数'!$E$12,ROUND(('难度参数'!$E$18*POWER(A547,'难度参数'!$E$19)/D547*(0.85+0.3*(5-1)/MAX(1,D547-1))),0)+F547)))</x:f>
        <x:v>45</x:v>
      </x:c>
      <x:c r="AO547" s="119" t="n">
        <x:f>IF(5&gt;D547,0,ROUND(('难度参数'!$E$13*POWER(A547,'难度参数'!$E$20)*MIN('难度参数'!$E$23,1+MAX(0,A547-'难度参数'!$E$21)*'难度参数'!$E$22))*(36+5*7)/(36+7*(D547+1)/2)*E547,0))</x:f>
        <x:v>13910</x:v>
      </x:c>
      <x:c r="AP547" s="119" t="n">
        <x:f>IF(AN547=0,0,(AN547-IF(5=D547,1,0))*ROUND(AO547*VLOOKUP(INDEX('章节与怪物'!$E$31:$K$37,B547,5),'章节与怪物'!$A$41:$F$44,2,FALSE),0)+IF(5=D547,ROUND(AO547*'难度参数'!$E$28*'章节与怪物'!$E$17,0),0))</x:f>
        <x:v>625950</x:v>
      </x:c>
      <x:c r="AQ547" s="119" t="n">
        <x:f>IF(AN547=0,0,(AN547-IF(5=D547,1,0))*VLOOKUP(INDEX('章节与怪物'!$E$31:$K$37,B547,5),'章节与怪物'!$A$41:$F$44,4,FALSE)+IF(5=D547,'难度参数'!$E$30,0))</x:f>
        <x:v>810</x:v>
      </x:c>
      <x:c r="AR547" s="119" t="n">
        <x:f>IF(6&gt;D547,0,MAX(2,MIN('难度参数'!$E$12,ROUND(('难度参数'!$E$18*POWER(A547,'难度参数'!$E$19)/D547*(0.85+0.3*(6-1)/MAX(1,D547-1))),0)+F547)))</x:f>
        <x:v>47</x:v>
      </x:c>
      <x:c r="AS547" s="119" t="n">
        <x:f>IF(6&gt;D547,0,ROUND(('难度参数'!$E$13*POWER(A547,'难度参数'!$E$20)*MIN('难度参数'!$E$23,1+MAX(0,A547-'难度参数'!$E$21)*'难度参数'!$E$22))*(36+6*7)/(36+7*(D547+1)/2)*E547,0))</x:f>
        <x:v>15281</x:v>
      </x:c>
      <x:c r="AT547" s="119" t="n">
        <x:f>IF(AR547=0,0,(AR547-IF(6=D547,1,0))*ROUND(AS547*VLOOKUP(INDEX('章节与怪物'!$E$31:$K$37,B547,6),'章节与怪物'!$A$41:$F$44,2,FALSE),0)+IF(6=D547,ROUND(AS547*'难度参数'!$E$28*'章节与怪物'!$E$17,0),0))</x:f>
        <x:v>517094</x:v>
      </x:c>
      <x:c r="AU547" s="119" t="n">
        <x:f>IF(AR547=0,0,(AR547-IF(6=D547,1,0))*VLOOKUP(INDEX('章节与怪物'!$E$31:$K$37,B547,6),'章节与怪物'!$A$41:$F$44,4,FALSE)+IF(6=D547,'难度参数'!$E$30,0))</x:f>
        <x:v>940</x:v>
      </x:c>
      <x:c r="AV547" s="119" t="n">
        <x:f>IF(7&gt;D547,0,MAX(2,MIN('难度参数'!$E$12,ROUND(('难度参数'!$E$18*POWER(A547,'难度参数'!$E$19)/D547*(0.85+0.3*(7-1)/MAX(1,D547-1))),0)+F547)))</x:f>
        <x:v>49</x:v>
      </x:c>
      <x:c r="AW547" s="119" t="n">
        <x:f>IF(7&gt;D547,0,ROUND(('难度参数'!$E$13*POWER(A547,'难度参数'!$E$20)*MIN('难度参数'!$E$23,1+MAX(0,A547-'难度参数'!$E$21)*'难度参数'!$E$22))*(36+7*7)/(36+7*(D547+1)/2)*E547,0))</x:f>
        <x:v>16652</x:v>
      </x:c>
      <x:c r="AX547" s="119" t="n">
        <x:f>IF(AV547=0,0,(AV547-IF(7=D547,1,0))*ROUND(AW547*VLOOKUP(INDEX('章节与怪物'!$E$31:$K$37,B547,7),'章节与怪物'!$A$41:$F$44,2,FALSE),0)+IF(7=D547,ROUND(AW547*'难度参数'!$E$28*'章节与怪物'!$E$17,0),0))</x:f>
        <x:v>1192274</x:v>
      </x:c>
      <x:c r="AY547" s="119" t="n">
        <x:f>IF(AV547=0,0,(AV547-IF(7=D547,1,0))*VLOOKUP(INDEX('章节与怪物'!$E$31:$K$37,B547,7),'章节与怪物'!$A$41:$F$44,4,FALSE)+IF(7=D547,'难度参数'!$E$30,0))</x:f>
        <x:v>1832</x:v>
      </x:c>
    </x:row>
    <x:row r="548" ht="23" customHeight="1">
      <x:c r="A548" s="119" t="n">
        <x:v>542</x:v>
      </x:c>
      <x:c r="B548" s="119" t="n">
        <x:f>MOD(INT((A548-1)/5),7)+1</x:f>
        <x:v>4</x:v>
      </x:c>
      <x:c r="C548" s="62" t="str">
        <x:f>INDEX('章节与怪物'!$B$31:$B$37,B548)</x:f>
        <x:v>翠野边城</x:v>
      </x:c>
      <x:c r="D548" s="119" t="n">
        <x:f>MIN('难度参数'!$E$8,MAX('难度参数'!$E$7,A548))</x:f>
        <x:v>7</x:v>
      </x:c>
      <x:c r="E548" s="106" t="n">
        <x:v>1</x:v>
      </x:c>
      <x:c r="F548" s="106" t="n">
        <x:v>0</x:v>
      </x:c>
      <x:c r="G548" s="106" t="n">
        <x:v>1</x:v>
      </x:c>
      <x:c r="H548" s="119" t="n">
        <x:f>SUM(X548,AB548,AF548,AJ548,AN548,AR548,AV548)</x:f>
        <x:v>299</x:v>
      </x:c>
      <x:c r="I548" s="119" t="n">
        <x:f>SUM(Z548,AD548,AH548,AL548,AP548,AT548,AX548)</x:f>
        <x:v>4437968</x:v>
      </x:c>
      <x:c r="J548" s="119" t="n">
        <x:f>ROUND(INDEX(X548:AY548,1,(D548-1)*4+2)*'难度参数'!$E$28*'章节与怪物'!$E$17,0)</x:f>
        <x:v>113383</x:v>
      </x:c>
      <x:c r="K548" s="119" t="n">
        <x:f>SUM(AA548,AE548,AI548,AM548,AQ548,AU548,AY548)</x:f>
        <x:v>7596</x:v>
      </x:c>
      <x:c r="L548" s="62" t="n">
        <x:f>H548*(ROUNDUP('难度参数'!$E$24/('难度参数'!$E$26*'难度参数'!$E$27),0)*'难度参数'!$E$26)/60</x:f>
        <x:v>3.986666666666667</x:v>
      </x:c>
      <x:c r="M548" s="62" t="n">
        <x:f>L548+D548*('难度参数'!$E$49+'难度参数'!$E$50)/60</x:f>
        <x:v>5.153333333333333</x:v>
      </x:c>
      <x:c r="N548" s="119" t="n">
        <x:f>ROUNDDOWN(('经济参数'!$E$20+A548*'经济参数'!$E$21)*G548,0)</x:f>
        <x:v>11020</x:v>
      </x:c>
      <x:c r="O548" s="119" t="n">
        <x:f>ROUNDDOWN(MIN('经济参数'!$E$24,'经济参数'!$E$22+A548*'经济参数'!$E$23)*G548,0)</x:f>
        <x:v>0</x:v>
      </x:c>
      <x:c r="P548" s="119" t="n">
        <x:f>ROUNDDOWN((IF(A548&gt;='材料与任务'!$E$31,'材料与任务'!$E$32,IF(A548&gt;='材料与任务'!$E$25,'材料与任务'!$E$26,IF(A548&gt;='材料与任务'!$E$19,'材料与任务'!$E$20,IF(A548&gt;='材料与任务'!$E$13,'材料与任务'!$E$14,'材料与任务'!$E$8)))))*G548,0)</x:f>
        <x:v>6</x:v>
      </x:c>
      <x:c r="Q548" s="119" t="n">
        <x:f>ROUNDDOWN((IF(A548&gt;='材料与任务'!$E$31,'材料与任务'!$E$33,IF(A548&gt;='材料与任务'!$E$25,'材料与任务'!$E$27,IF(A548&gt;='材料与任务'!$E$19,'材料与任务'!$E$21,IF(A548&gt;='材料与任务'!$E$13,'材料与任务'!$E$15,'材料与任务'!$E$9)))))*G548,0)</x:f>
        <x:v>3</x:v>
      </x:c>
      <x:c r="R548" s="110" t="n">
        <x:f>'装备掉落'!$B$38</x:f>
        <x:v>0.6872058758851213</x:v>
      </x:c>
      <x:c r="S548" s="119" t="n">
        <x:f>MAX(IF(VLOOKUP(A548,'装备掉落'!$A$29:$H$34,2,TRUE)&gt;0,1,0),IF(VLOOKUP(A548,'装备掉落'!$A$29:$H$34,3,TRUE)&gt;0,2,0),IF(VLOOKUP(A548,'装备掉落'!$A$29:$H$34,4,TRUE)&gt;0,3,0),IF(VLOOKUP(A548,'装备掉落'!$A$29:$H$34,5,TRUE)&gt;0,4,0),IF(VLOOKUP(A548,'装备掉落'!$A$29:$H$34,6,TRUE)&gt;0,5,0),IF(VLOOKUP(A548,'装备掉落'!$A$29:$H$34,7,TRUE)&gt;0,6,0),IF(VLOOKUP(A548,'装备掉落'!$A$29:$H$34,8,TRUE)&gt;0,7,0))</x:f>
        <x:v>7</x:v>
      </x:c>
      <x:c r="T548" s="119" t="n">
        <x:f>MIN(7,S548+'经济参数'!$E$70)</x:f>
        <x:v>7</x:v>
      </x:c>
      <x:c r="U548" s="119" t="n">
        <x:f>MIN(7,S548+'经济参数'!$E$71)</x:f>
        <x:v>7</x:v>
      </x:c>
      <x:c r="V548" s="119" t="n">
        <x:f>IF(H548&gt;=('难度参数'!$E$52),1,0)+IF(H548&gt;=('难度参数'!$E$52+'难度参数'!$E$53),1,0)+IF(H548&gt;=('难度参数'!$E$52+'难度参数'!$E$53+'难度参数'!$E$54),1,0)+IF(H548&gt;=('难度参数'!$E$52+'难度参数'!$E$53+'难度参数'!$E$54+'难度参数'!$E$55),1,0)+IF(H548&gt;=('难度参数'!$E$52+'难度参数'!$E$53+'难度参数'!$E$54+'难度参数'!$E$55+'难度参数'!$E$56),1,0)+IF(H548&gt;=('难度参数'!$E$52+'难度参数'!$E$53+'难度参数'!$E$54+'难度参数'!$E$55+'难度参数'!$E$56+'难度参数'!$E$57),1,0)</x:f>
        <x:v>6</x:v>
      </x:c>
      <x:c r="W548" s="62" t="str">
        <x:f>IF(L548&gt;'难度参数'!$E$51,"仅出怪已超目标","还需实测")</x:f>
        <x:v>仅出怪已超目标</x:v>
      </x:c>
      <x:c r="X548" s="119" t="n">
        <x:f>IF(1&gt;D548,0,MAX(2,MIN('难度参数'!$E$12,ROUND(('难度参数'!$E$18*POWER(A548,'难度参数'!$E$19)/D548*(0.85+0.3*(1-1)/MAX(1,D548-1))),0)+F548)))</x:f>
        <x:v>36</x:v>
      </x:c>
      <x:c r="Y548" s="119" t="n">
        <x:f>IF(1&gt;D548,0,ROUND(('难度参数'!$E$13*POWER(A548,'难度参数'!$E$20)*MIN('难度参数'!$E$23,1+MAX(0,A548-'难度参数'!$E$21)*'难度参数'!$E$22))*(36+1*7)/(36+7*(D548+1)/2)*E548,0))</x:f>
        <x:v>8435</x:v>
      </x:c>
      <x:c r="Z548" s="119" t="n">
        <x:f>IF(X548=0,0,(X548-IF(1=D548,1,0))*ROUND(Y548*VLOOKUP(INDEX('章节与怪物'!$E$31:$K$37,B548,1),'章节与怪物'!$A$41:$F$44,2,FALSE),0)+IF(1=D548,ROUND(Y548*'难度参数'!$E$28*'章节与怪物'!$E$17,0),0))</x:f>
        <x:v>218628</x:v>
      </x:c>
      <x:c r="AA548" s="119" t="n">
        <x:f>IF(X548=0,0,(X548-IF(1=D548,1,0))*VLOOKUP(INDEX('章节与怪物'!$E$31:$K$37,B548,1),'章节与怪物'!$A$41:$F$44,4,FALSE)+IF(1=D548,'难度参数'!$E$30,0))</x:f>
        <x:v>720</x:v>
      </x:c>
      <x:c r="AB548" s="119" t="n">
        <x:f>IF(2&gt;D548,0,MAX(2,MIN('难度参数'!$E$12,ROUND(('难度参数'!$E$18*POWER(A548,'难度参数'!$E$19)/D548*(0.85+0.3*(2-1)/MAX(1,D548-1))),0)+F548)))</x:f>
        <x:v>38</x:v>
      </x:c>
      <x:c r="AC548" s="119" t="n">
        <x:f>IF(2&gt;D548,0,ROUND(('难度参数'!$E$13*POWER(A548,'难度参数'!$E$20)*MIN('难度参数'!$E$23,1+MAX(0,A548-'难度参数'!$E$21)*'难度参数'!$E$22))*(36+2*7)/(36+7*(D548+1)/2)*E548,0))</x:f>
        <x:v>9809</x:v>
      </x:c>
      <x:c r="AD548" s="119" t="n">
        <x:f>IF(AB548=0,0,(AB548-IF(2=D548,1,0))*ROUND(AC548*VLOOKUP(INDEX('章节与怪物'!$E$31:$K$37,B548,2),'章节与怪物'!$A$41:$F$44,2,FALSE),0)+IF(2=D548,ROUND(AC548*'难度参数'!$E$28*'章节与怪物'!$E$17,0),0))</x:f>
        <x:v>372742</x:v>
      </x:c>
      <x:c r="AE548" s="119" t="n">
        <x:f>IF(AB548=0,0,(AB548-IF(2=D548,1,0))*VLOOKUP(INDEX('章节与怪物'!$E$31:$K$37,B548,2),'章节与怪物'!$A$41:$F$44,4,FALSE)+IF(2=D548,'难度参数'!$E$30,0))</x:f>
        <x:v>684</x:v>
      </x:c>
      <x:c r="AF548" s="119" t="n">
        <x:f>IF(3&gt;D548,0,MAX(2,MIN('难度参数'!$E$12,ROUND(('难度参数'!$E$18*POWER(A548,'难度参数'!$E$19)/D548*(0.85+0.3*(3-1)/MAX(1,D548-1))),0)+F548)))</x:f>
        <x:v>41</x:v>
      </x:c>
      <x:c r="AG548" s="119" t="n">
        <x:f>IF(3&gt;D548,0,ROUND(('难度参数'!$E$13*POWER(A548,'难度参数'!$E$20)*MIN('难度参数'!$E$23,1+MAX(0,A548-'难度参数'!$E$21)*'难度参数'!$E$22))*(36+3*7)/(36+7*(D548+1)/2)*E548,0))</x:f>
        <x:v>11182</x:v>
      </x:c>
      <x:c r="AH548" s="119" t="n">
        <x:f>IF(AF548=0,0,(AF548-IF(3=D548,1,0))*ROUND(AG548*VLOOKUP(INDEX('章节与怪物'!$E$31:$K$37,B548,3),'章节与怪物'!$A$41:$F$44,2,FALSE),0)+IF(3=D548,ROUND(AG548*'难度参数'!$E$28*'章节与怪物'!$E$17,0),0))</x:f>
        <x:v>779369</x:v>
      </x:c>
      <x:c r="AI548" s="119" t="n">
        <x:f>IF(AF548=0,0,(AF548-IF(3=D548,1,0))*VLOOKUP(INDEX('章节与怪物'!$E$31:$K$37,B548,3),'章节与怪物'!$A$41:$F$44,4,FALSE)+IF(3=D548,'难度参数'!$E$30,0))</x:f>
        <x:v>1148</x:v>
      </x:c>
      <x:c r="AJ548" s="119" t="n">
        <x:f>IF(4&gt;D548,0,MAX(2,MIN('难度参数'!$E$12,ROUND(('难度参数'!$E$18*POWER(A548,'难度参数'!$E$19)/D548*(0.85+0.3*(4-1)/MAX(1,D548-1))),0)+F548)))</x:f>
        <x:v>43</x:v>
      </x:c>
      <x:c r="AK548" s="119" t="n">
        <x:f>IF(4&gt;D548,0,ROUND(('难度参数'!$E$13*POWER(A548,'难度参数'!$E$20)*MIN('难度参数'!$E$23,1+MAX(0,A548-'难度参数'!$E$21)*'难度参数'!$E$22))*(36+4*7)/(36+7*(D548+1)/2)*E548,0))</x:f>
        <x:v>12555</x:v>
      </x:c>
      <x:c r="AL548" s="119" t="n">
        <x:f>IF(AJ548=0,0,(AJ548-IF(4=D548,1,0))*ROUND(AK548*VLOOKUP(INDEX('章节与怪物'!$E$31:$K$37,B548,4),'章节与怪物'!$A$41:$F$44,2,FALSE),0)+IF(4=D548,ROUND(AK548*'难度参数'!$E$28*'章节与怪物'!$E$17,0),0))</x:f>
        <x:v>728807</x:v>
      </x:c>
      <x:c r="AM548" s="119" t="n">
        <x:f>IF(AJ548=0,0,(AJ548-IF(4=D548,1,0))*VLOOKUP(INDEX('章节与怪物'!$E$31:$K$37,B548,4),'章节与怪物'!$A$41:$F$44,4,FALSE)+IF(4=D548,'难度参数'!$E$30,0))</x:f>
        <x:v>1462</x:v>
      </x:c>
      <x:c r="AN548" s="119" t="n">
        <x:f>IF(5&gt;D548,0,MAX(2,MIN('难度参数'!$E$12,ROUND(('难度参数'!$E$18*POWER(A548,'难度参数'!$E$19)/D548*(0.85+0.3*(5-1)/MAX(1,D548-1))),0)+F548)))</x:f>
        <x:v>45</x:v>
      </x:c>
      <x:c r="AO548" s="119" t="n">
        <x:f>IF(5&gt;D548,0,ROUND(('难度参数'!$E$13*POWER(A548,'难度参数'!$E$20)*MIN('难度参数'!$E$23,1+MAX(0,A548-'难度参数'!$E$21)*'难度参数'!$E$22))*(36+5*7)/(36+7*(D548+1)/2)*E548,0))</x:f>
        <x:v>13928</x:v>
      </x:c>
      <x:c r="AP548" s="119" t="n">
        <x:f>IF(AN548=0,0,(AN548-IF(5=D548,1,0))*ROUND(AO548*VLOOKUP(INDEX('章节与怪物'!$E$31:$K$37,B548,5),'章节与怪物'!$A$41:$F$44,2,FALSE),0)+IF(5=D548,ROUND(AO548*'难度参数'!$E$28*'章节与怪物'!$E$17,0),0))</x:f>
        <x:v>626760</x:v>
      </x:c>
      <x:c r="AQ548" s="119" t="n">
        <x:f>IF(AN548=0,0,(AN548-IF(5=D548,1,0))*VLOOKUP(INDEX('章节与怪物'!$E$31:$K$37,B548,5),'章节与怪物'!$A$41:$F$44,4,FALSE)+IF(5=D548,'难度参数'!$E$30,0))</x:f>
        <x:v>810</x:v>
      </x:c>
      <x:c r="AR548" s="119" t="n">
        <x:f>IF(6&gt;D548,0,MAX(2,MIN('难度参数'!$E$12,ROUND(('难度参数'!$E$18*POWER(A548,'难度参数'!$E$19)/D548*(0.85+0.3*(6-1)/MAX(1,D548-1))),0)+F548)))</x:f>
        <x:v>47</x:v>
      </x:c>
      <x:c r="AS548" s="119" t="n">
        <x:f>IF(6&gt;D548,0,ROUND(('难度参数'!$E$13*POWER(A548,'难度参数'!$E$20)*MIN('难度参数'!$E$23,1+MAX(0,A548-'难度参数'!$E$21)*'难度参数'!$E$22))*(36+6*7)/(36+7*(D548+1)/2)*E548,0))</x:f>
        <x:v>15301</x:v>
      </x:c>
      <x:c r="AT548" s="119" t="n">
        <x:f>IF(AR548=0,0,(AR548-IF(6=D548,1,0))*ROUND(AS548*VLOOKUP(INDEX('章节与怪物'!$E$31:$K$37,B548,6),'章节与怪物'!$A$41:$F$44,2,FALSE),0)+IF(6=D548,ROUND(AS548*'难度参数'!$E$28*'章节与怪物'!$E$17,0),0))</x:f>
        <x:v>517799</x:v>
      </x:c>
      <x:c r="AU548" s="119" t="n">
        <x:f>IF(AR548=0,0,(AR548-IF(6=D548,1,0))*VLOOKUP(INDEX('章节与怪物'!$E$31:$K$37,B548,6),'章节与怪物'!$A$41:$F$44,4,FALSE)+IF(6=D548,'难度参数'!$E$30,0))</x:f>
        <x:v>940</x:v>
      </x:c>
      <x:c r="AV548" s="119" t="n">
        <x:f>IF(7&gt;D548,0,MAX(2,MIN('难度参数'!$E$12,ROUND(('难度参数'!$E$18*POWER(A548,'难度参数'!$E$19)/D548*(0.85+0.3*(7-1)/MAX(1,D548-1))),0)+F548)))</x:f>
        <x:v>49</x:v>
      </x:c>
      <x:c r="AW548" s="119" t="n">
        <x:f>IF(7&gt;D548,0,ROUND(('难度参数'!$E$13*POWER(A548,'难度参数'!$E$20)*MIN('难度参数'!$E$23,1+MAX(0,A548-'难度参数'!$E$21)*'难度参数'!$E$22))*(36+7*7)/(36+7*(D548+1)/2)*E548,0))</x:f>
        <x:v>16674</x:v>
      </x:c>
      <x:c r="AX548" s="119" t="n">
        <x:f>IF(AV548=0,0,(AV548-IF(7=D548,1,0))*ROUND(AW548*VLOOKUP(INDEX('章节与怪物'!$E$31:$K$37,B548,7),'章节与怪物'!$A$41:$F$44,2,FALSE),0)+IF(7=D548,ROUND(AW548*'难度参数'!$E$28*'章节与怪物'!$E$17,0),0))</x:f>
        <x:v>1193863</x:v>
      </x:c>
      <x:c r="AY548" s="119" t="n">
        <x:f>IF(AV548=0,0,(AV548-IF(7=D548,1,0))*VLOOKUP(INDEX('章节与怪物'!$E$31:$K$37,B548,7),'章节与怪物'!$A$41:$F$44,4,FALSE)+IF(7=D548,'难度参数'!$E$30,0))</x:f>
        <x:v>1832</x:v>
      </x:c>
    </x:row>
    <x:row r="549" ht="23" customHeight="1">
      <x:c r="A549" s="119" t="n">
        <x:v>543</x:v>
      </x:c>
      <x:c r="B549" s="119" t="n">
        <x:f>MOD(INT((A549-1)/5),7)+1</x:f>
        <x:v>4</x:v>
      </x:c>
      <x:c r="C549" s="62" t="str">
        <x:f>INDEX('章节与怪物'!$B$31:$B$37,B549)</x:f>
        <x:v>翠野边城</x:v>
      </x:c>
      <x:c r="D549" s="119" t="n">
        <x:f>MIN('难度参数'!$E$8,MAX('难度参数'!$E$7,A549))</x:f>
        <x:v>7</x:v>
      </x:c>
      <x:c r="E549" s="106" t="n">
        <x:v>1</x:v>
      </x:c>
      <x:c r="F549" s="106" t="n">
        <x:v>0</x:v>
      </x:c>
      <x:c r="G549" s="106" t="n">
        <x:v>1</x:v>
      </x:c>
      <x:c r="H549" s="119" t="n">
        <x:f>SUM(X549,AB549,AF549,AJ549,AN549,AR549,AV549)</x:f>
        <x:v>299</x:v>
      </x:c>
      <x:c r="I549" s="119" t="n">
        <x:f>SUM(Z549,AD549,AH549,AL549,AP549,AT549,AX549)</x:f>
        <x:v>4444046</x:v>
      </x:c>
      <x:c r="J549" s="119" t="n">
        <x:f>ROUND(INDEX(X549:AY549,1,(D549-1)*4+2)*'难度参数'!$E$28*'章节与怪物'!$E$17,0)</x:f>
        <x:v>113540</x:v>
      </x:c>
      <x:c r="K549" s="119" t="n">
        <x:f>SUM(AA549,AE549,AI549,AM549,AQ549,AU549,AY549)</x:f>
        <x:v>7596</x:v>
      </x:c>
      <x:c r="L549" s="62" t="n">
        <x:f>H549*(ROUNDUP('难度参数'!$E$24/('难度参数'!$E$26*'难度参数'!$E$27),0)*'难度参数'!$E$26)/60</x:f>
        <x:v>3.986666666666667</x:v>
      </x:c>
      <x:c r="M549" s="62" t="n">
        <x:f>L549+D549*('难度参数'!$E$49+'难度参数'!$E$50)/60</x:f>
        <x:v>5.153333333333333</x:v>
      </x:c>
      <x:c r="N549" s="119" t="n">
        <x:f>ROUNDDOWN(('经济参数'!$E$20+A549*'经济参数'!$E$21)*G549,0)</x:f>
        <x:v>11040</x:v>
      </x:c>
      <x:c r="O549" s="119" t="n">
        <x:f>ROUNDDOWN(MIN('经济参数'!$E$24,'经济参数'!$E$22+A549*'经济参数'!$E$23)*G549,0)</x:f>
        <x:v>0</x:v>
      </x:c>
      <x:c r="P549" s="119" t="n">
        <x:f>ROUNDDOWN((IF(A549&gt;='材料与任务'!$E$31,'材料与任务'!$E$32,IF(A549&gt;='材料与任务'!$E$25,'材料与任务'!$E$26,IF(A549&gt;='材料与任务'!$E$19,'材料与任务'!$E$20,IF(A549&gt;='材料与任务'!$E$13,'材料与任务'!$E$14,'材料与任务'!$E$8)))))*G549,0)</x:f>
        <x:v>6</x:v>
      </x:c>
      <x:c r="Q549" s="119" t="n">
        <x:f>ROUNDDOWN((IF(A549&gt;='材料与任务'!$E$31,'材料与任务'!$E$33,IF(A549&gt;='材料与任务'!$E$25,'材料与任务'!$E$27,IF(A549&gt;='材料与任务'!$E$19,'材料与任务'!$E$21,IF(A549&gt;='材料与任务'!$E$13,'材料与任务'!$E$15,'材料与任务'!$E$9)))))*G549,0)</x:f>
        <x:v>3</x:v>
      </x:c>
      <x:c r="R549" s="110" t="n">
        <x:f>'装备掉落'!$B$38</x:f>
        <x:v>0.6872058758851213</x:v>
      </x:c>
      <x:c r="S549" s="119" t="n">
        <x:f>MAX(IF(VLOOKUP(A549,'装备掉落'!$A$29:$H$34,2,TRUE)&gt;0,1,0),IF(VLOOKUP(A549,'装备掉落'!$A$29:$H$34,3,TRUE)&gt;0,2,0),IF(VLOOKUP(A549,'装备掉落'!$A$29:$H$34,4,TRUE)&gt;0,3,0),IF(VLOOKUP(A549,'装备掉落'!$A$29:$H$34,5,TRUE)&gt;0,4,0),IF(VLOOKUP(A549,'装备掉落'!$A$29:$H$34,6,TRUE)&gt;0,5,0),IF(VLOOKUP(A549,'装备掉落'!$A$29:$H$34,7,TRUE)&gt;0,6,0),IF(VLOOKUP(A549,'装备掉落'!$A$29:$H$34,8,TRUE)&gt;0,7,0))</x:f>
        <x:v>7</x:v>
      </x:c>
      <x:c r="T549" s="119" t="n">
        <x:f>MIN(7,S549+'经济参数'!$E$70)</x:f>
        <x:v>7</x:v>
      </x:c>
      <x:c r="U549" s="119" t="n">
        <x:f>MIN(7,S549+'经济参数'!$E$71)</x:f>
        <x:v>7</x:v>
      </x:c>
      <x:c r="V549" s="119" t="n">
        <x:f>IF(H549&gt;=('难度参数'!$E$52),1,0)+IF(H549&gt;=('难度参数'!$E$52+'难度参数'!$E$53),1,0)+IF(H549&gt;=('难度参数'!$E$52+'难度参数'!$E$53+'难度参数'!$E$54),1,0)+IF(H549&gt;=('难度参数'!$E$52+'难度参数'!$E$53+'难度参数'!$E$54+'难度参数'!$E$55),1,0)+IF(H549&gt;=('难度参数'!$E$52+'难度参数'!$E$53+'难度参数'!$E$54+'难度参数'!$E$55+'难度参数'!$E$56),1,0)+IF(H549&gt;=('难度参数'!$E$52+'难度参数'!$E$53+'难度参数'!$E$54+'难度参数'!$E$55+'难度参数'!$E$56+'难度参数'!$E$57),1,0)</x:f>
        <x:v>6</x:v>
      </x:c>
      <x:c r="W549" s="62" t="str">
        <x:f>IF(L549&gt;'难度参数'!$E$51,"仅出怪已超目标","还需实测")</x:f>
        <x:v>仅出怪已超目标</x:v>
      </x:c>
      <x:c r="X549" s="119" t="n">
        <x:f>IF(1&gt;D549,0,MAX(2,MIN('难度参数'!$E$12,ROUND(('难度参数'!$E$18*POWER(A549,'难度参数'!$E$19)/D549*(0.85+0.3*(1-1)/MAX(1,D549-1))),0)+F549)))</x:f>
        <x:v>36</x:v>
      </x:c>
      <x:c r="Y549" s="119" t="n">
        <x:f>IF(1&gt;D549,0,ROUND(('难度参数'!$E$13*POWER(A549,'难度参数'!$E$20)*MIN('难度参数'!$E$23,1+MAX(0,A549-'难度参数'!$E$21)*'难度参数'!$E$22))*(36+1*7)/(36+7*(D549+1)/2)*E549,0))</x:f>
        <x:v>8447</x:v>
      </x:c>
      <x:c r="Z549" s="119" t="n">
        <x:f>IF(X549=0,0,(X549-IF(1=D549,1,0))*ROUND(Y549*VLOOKUP(INDEX('章节与怪物'!$E$31:$K$37,B549,1),'章节与怪物'!$A$41:$F$44,2,FALSE),0)+IF(1=D549,ROUND(Y549*'难度参数'!$E$28*'章节与怪物'!$E$17,0),0))</x:f>
        <x:v>218952</x:v>
      </x:c>
      <x:c r="AA549" s="119" t="n">
        <x:f>IF(X549=0,0,(X549-IF(1=D549,1,0))*VLOOKUP(INDEX('章节与怪物'!$E$31:$K$37,B549,1),'章节与怪物'!$A$41:$F$44,4,FALSE)+IF(1=D549,'难度参数'!$E$30,0))</x:f>
        <x:v>720</x:v>
      </x:c>
      <x:c r="AB549" s="119" t="n">
        <x:f>IF(2&gt;D549,0,MAX(2,MIN('难度参数'!$E$12,ROUND(('难度参数'!$E$18*POWER(A549,'难度参数'!$E$19)/D549*(0.85+0.3*(2-1)/MAX(1,D549-1))),0)+F549)))</x:f>
        <x:v>38</x:v>
      </x:c>
      <x:c r="AC549" s="119" t="n">
        <x:f>IF(2&gt;D549,0,ROUND(('难度参数'!$E$13*POWER(A549,'难度参数'!$E$20)*MIN('难度参数'!$E$23,1+MAX(0,A549-'难度参数'!$E$21)*'难度参数'!$E$22))*(36+2*7)/(36+7*(D549+1)/2)*E549,0))</x:f>
        <x:v>9822</x:v>
      </x:c>
      <x:c r="AD549" s="119" t="n">
        <x:f>IF(AB549=0,0,(AB549-IF(2=D549,1,0))*ROUND(AC549*VLOOKUP(INDEX('章节与怪物'!$E$31:$K$37,B549,2),'章节与怪物'!$A$41:$F$44,2,FALSE),0)+IF(2=D549,ROUND(AC549*'难度参数'!$E$28*'章节与怪物'!$E$17,0),0))</x:f>
        <x:v>373236</x:v>
      </x:c>
      <x:c r="AE549" s="119" t="n">
        <x:f>IF(AB549=0,0,(AB549-IF(2=D549,1,0))*VLOOKUP(INDEX('章节与怪物'!$E$31:$K$37,B549,2),'章节与怪物'!$A$41:$F$44,4,FALSE)+IF(2=D549,'难度参数'!$E$30,0))</x:f>
        <x:v>684</x:v>
      </x:c>
      <x:c r="AF549" s="119" t="n">
        <x:f>IF(3&gt;D549,0,MAX(2,MIN('难度参数'!$E$12,ROUND(('难度参数'!$E$18*POWER(A549,'难度参数'!$E$19)/D549*(0.85+0.3*(3-1)/MAX(1,D549-1))),0)+F549)))</x:f>
        <x:v>41</x:v>
      </x:c>
      <x:c r="AG549" s="119" t="n">
        <x:f>IF(3&gt;D549,0,ROUND(('难度参数'!$E$13*POWER(A549,'难度参数'!$E$20)*MIN('难度参数'!$E$23,1+MAX(0,A549-'难度参数'!$E$21)*'难度参数'!$E$22))*(36+3*7)/(36+7*(D549+1)/2)*E549,0))</x:f>
        <x:v>11197</x:v>
      </x:c>
      <x:c r="AH549" s="119" t="n">
        <x:f>IF(AF549=0,0,(AF549-IF(3=D549,1,0))*ROUND(AG549*VLOOKUP(INDEX('章节与怪物'!$E$31:$K$37,B549,3),'章节与怪物'!$A$41:$F$44,2,FALSE),0)+IF(3=D549,ROUND(AG549*'难度参数'!$E$28*'章节与怪物'!$E$17,0),0))</x:f>
        <x:v>780435</x:v>
      </x:c>
      <x:c r="AI549" s="119" t="n">
        <x:f>IF(AF549=0,0,(AF549-IF(3=D549,1,0))*VLOOKUP(INDEX('章节与怪物'!$E$31:$K$37,B549,3),'章节与怪物'!$A$41:$F$44,4,FALSE)+IF(3=D549,'难度参数'!$E$30,0))</x:f>
        <x:v>1148</x:v>
      </x:c>
      <x:c r="AJ549" s="119" t="n">
        <x:f>IF(4&gt;D549,0,MAX(2,MIN('难度参数'!$E$12,ROUND(('难度参数'!$E$18*POWER(A549,'难度参数'!$E$19)/D549*(0.85+0.3*(4-1)/MAX(1,D549-1))),0)+F549)))</x:f>
        <x:v>43</x:v>
      </x:c>
      <x:c r="AK549" s="119" t="n">
        <x:f>IF(4&gt;D549,0,ROUND(('难度参数'!$E$13*POWER(A549,'难度参数'!$E$20)*MIN('难度参数'!$E$23,1+MAX(0,A549-'难度参数'!$E$21)*'难度参数'!$E$22))*(36+4*7)/(36+7*(D549+1)/2)*E549,0))</x:f>
        <x:v>12572</x:v>
      </x:c>
      <x:c r="AL549" s="119" t="n">
        <x:f>IF(AJ549=0,0,(AJ549-IF(4=D549,1,0))*ROUND(AK549*VLOOKUP(INDEX('章节与怪物'!$E$31:$K$37,B549,4),'章节与怪物'!$A$41:$F$44,2,FALSE),0)+IF(4=D549,ROUND(AK549*'难度参数'!$E$28*'章节与怪物'!$E$17,0),0))</x:f>
        <x:v>729796</x:v>
      </x:c>
      <x:c r="AM549" s="119" t="n">
        <x:f>IF(AJ549=0,0,(AJ549-IF(4=D549,1,0))*VLOOKUP(INDEX('章节与怪物'!$E$31:$K$37,B549,4),'章节与怪物'!$A$41:$F$44,4,FALSE)+IF(4=D549,'难度参数'!$E$30,0))</x:f>
        <x:v>1462</x:v>
      </x:c>
      <x:c r="AN549" s="119" t="n">
        <x:f>IF(5&gt;D549,0,MAX(2,MIN('难度参数'!$E$12,ROUND(('难度参数'!$E$18*POWER(A549,'难度参数'!$E$19)/D549*(0.85+0.3*(5-1)/MAX(1,D549-1))),0)+F549)))</x:f>
        <x:v>45</x:v>
      </x:c>
      <x:c r="AO549" s="119" t="n">
        <x:f>IF(5&gt;D549,0,ROUND(('难度参数'!$E$13*POWER(A549,'难度参数'!$E$20)*MIN('难度参数'!$E$23,1+MAX(0,A549-'难度参数'!$E$21)*'难度参数'!$E$22))*(36+5*7)/(36+7*(D549+1)/2)*E549,0))</x:f>
        <x:v>13947</x:v>
      </x:c>
      <x:c r="AP549" s="119" t="n">
        <x:f>IF(AN549=0,0,(AN549-IF(5=D549,1,0))*ROUND(AO549*VLOOKUP(INDEX('章节与怪物'!$E$31:$K$37,B549,5),'章节与怪物'!$A$41:$F$44,2,FALSE),0)+IF(5=D549,ROUND(AO549*'难度参数'!$E$28*'章节与怪物'!$E$17,0),0))</x:f>
        <x:v>627615</x:v>
      </x:c>
      <x:c r="AQ549" s="119" t="n">
        <x:f>IF(AN549=0,0,(AN549-IF(5=D549,1,0))*VLOOKUP(INDEX('章节与怪物'!$E$31:$K$37,B549,5),'章节与怪物'!$A$41:$F$44,4,FALSE)+IF(5=D549,'难度参数'!$E$30,0))</x:f>
        <x:v>810</x:v>
      </x:c>
      <x:c r="AR549" s="119" t="n">
        <x:f>IF(6&gt;D549,0,MAX(2,MIN('难度参数'!$E$12,ROUND(('难度参数'!$E$18*POWER(A549,'难度参数'!$E$19)/D549*(0.85+0.3*(6-1)/MAX(1,D549-1))),0)+F549)))</x:f>
        <x:v>47</x:v>
      </x:c>
      <x:c r="AS549" s="119" t="n">
        <x:f>IF(6&gt;D549,0,ROUND(('难度参数'!$E$13*POWER(A549,'难度参数'!$E$20)*MIN('难度参数'!$E$23,1+MAX(0,A549-'难度参数'!$E$21)*'难度参数'!$E$22))*(36+6*7)/(36+7*(D549+1)/2)*E549,0))</x:f>
        <x:v>15322</x:v>
      </x:c>
      <x:c r="AT549" s="119" t="n">
        <x:f>IF(AR549=0,0,(AR549-IF(6=D549,1,0))*ROUND(AS549*VLOOKUP(INDEX('章节与怪物'!$E$31:$K$37,B549,6),'章节与怪物'!$A$41:$F$44,2,FALSE),0)+IF(6=D549,ROUND(AS549*'难度参数'!$E$28*'章节与怪物'!$E$17,0),0))</x:f>
        <x:v>518504</x:v>
      </x:c>
      <x:c r="AU549" s="119" t="n">
        <x:f>IF(AR549=0,0,(AR549-IF(6=D549,1,0))*VLOOKUP(INDEX('章节与怪物'!$E$31:$K$37,B549,6),'章节与怪物'!$A$41:$F$44,4,FALSE)+IF(6=D549,'难度参数'!$E$30,0))</x:f>
        <x:v>940</x:v>
      </x:c>
      <x:c r="AV549" s="119" t="n">
        <x:f>IF(7&gt;D549,0,MAX(2,MIN('难度参数'!$E$12,ROUND(('难度参数'!$E$18*POWER(A549,'难度参数'!$E$19)/D549*(0.85+0.3*(7-1)/MAX(1,D549-1))),0)+F549)))</x:f>
        <x:v>49</x:v>
      </x:c>
      <x:c r="AW549" s="119" t="n">
        <x:f>IF(7&gt;D549,0,ROUND(('难度参数'!$E$13*POWER(A549,'难度参数'!$E$20)*MIN('难度参数'!$E$23,1+MAX(0,A549-'难度参数'!$E$21)*'难度参数'!$E$22))*(36+7*7)/(36+7*(D549+1)/2)*E549,0))</x:f>
        <x:v>16697</x:v>
      </x:c>
      <x:c r="AX549" s="119" t="n">
        <x:f>IF(AV549=0,0,(AV549-IF(7=D549,1,0))*ROUND(AW549*VLOOKUP(INDEX('章节与怪物'!$E$31:$K$37,B549,7),'章节与怪物'!$A$41:$F$44,2,FALSE),0)+IF(7=D549,ROUND(AW549*'难度参数'!$E$28*'章节与怪物'!$E$17,0),0))</x:f>
        <x:v>1195508</x:v>
      </x:c>
      <x:c r="AY549" s="119" t="n">
        <x:f>IF(AV549=0,0,(AV549-IF(7=D549,1,0))*VLOOKUP(INDEX('章节与怪物'!$E$31:$K$37,B549,7),'章节与怪物'!$A$41:$F$44,4,FALSE)+IF(7=D549,'难度参数'!$E$30,0))</x:f>
        <x:v>1832</x:v>
      </x:c>
    </x:row>
    <x:row r="550" ht="23" customHeight="1">
      <x:c r="A550" s="119" t="n">
        <x:v>544</x:v>
      </x:c>
      <x:c r="B550" s="119" t="n">
        <x:f>MOD(INT((A550-1)/5),7)+1</x:f>
        <x:v>4</x:v>
      </x:c>
      <x:c r="C550" s="62" t="str">
        <x:f>INDEX('章节与怪物'!$B$31:$B$37,B550)</x:f>
        <x:v>翠野边城</x:v>
      </x:c>
      <x:c r="D550" s="119" t="n">
        <x:f>MIN('难度参数'!$E$8,MAX('难度参数'!$E$7,A550))</x:f>
        <x:v>7</x:v>
      </x:c>
      <x:c r="E550" s="106" t="n">
        <x:v>1</x:v>
      </x:c>
      <x:c r="F550" s="106" t="n">
        <x:v>0</x:v>
      </x:c>
      <x:c r="G550" s="106" t="n">
        <x:v>1</x:v>
      </x:c>
      <x:c r="H550" s="119" t="n">
        <x:f>SUM(X550,AB550,AF550,AJ550,AN550,AR550,AV550)</x:f>
        <x:v>299</x:v>
      </x:c>
      <x:c r="I550" s="119" t="n">
        <x:f>SUM(Z550,AD550,AH550,AL550,AP550,AT550,AX550)</x:f>
        <x:v>4449815</x:v>
      </x:c>
      <x:c r="J550" s="119" t="n">
        <x:f>ROUND(INDEX(X550:AY550,1,(D550-1)*4+2)*'难度参数'!$E$28*'章节与怪物'!$E$17,0)</x:f>
        <x:v>113689</x:v>
      </x:c>
      <x:c r="K550" s="119" t="n">
        <x:f>SUM(AA550,AE550,AI550,AM550,AQ550,AU550,AY550)</x:f>
        <x:v>7596</x:v>
      </x:c>
      <x:c r="L550" s="62" t="n">
        <x:f>H550*(ROUNDUP('难度参数'!$E$24/('难度参数'!$E$26*'难度参数'!$E$27),0)*'难度参数'!$E$26)/60</x:f>
        <x:v>3.986666666666667</x:v>
      </x:c>
      <x:c r="M550" s="62" t="n">
        <x:f>L550+D550*('难度参数'!$E$49+'难度参数'!$E$50)/60</x:f>
        <x:v>5.153333333333333</x:v>
      </x:c>
      <x:c r="N550" s="119" t="n">
        <x:f>ROUNDDOWN(('经济参数'!$E$20+A550*'经济参数'!$E$21)*G550,0)</x:f>
        <x:v>11060</x:v>
      </x:c>
      <x:c r="O550" s="119" t="n">
        <x:f>ROUNDDOWN(MIN('经济参数'!$E$24,'经济参数'!$E$22+A550*'经济参数'!$E$23)*G550,0)</x:f>
        <x:v>0</x:v>
      </x:c>
      <x:c r="P550" s="119" t="n">
        <x:f>ROUNDDOWN((IF(A550&gt;='材料与任务'!$E$31,'材料与任务'!$E$32,IF(A550&gt;='材料与任务'!$E$25,'材料与任务'!$E$26,IF(A550&gt;='材料与任务'!$E$19,'材料与任务'!$E$20,IF(A550&gt;='材料与任务'!$E$13,'材料与任务'!$E$14,'材料与任务'!$E$8)))))*G550,0)</x:f>
        <x:v>6</x:v>
      </x:c>
      <x:c r="Q550" s="119" t="n">
        <x:f>ROUNDDOWN((IF(A550&gt;='材料与任务'!$E$31,'材料与任务'!$E$33,IF(A550&gt;='材料与任务'!$E$25,'材料与任务'!$E$27,IF(A550&gt;='材料与任务'!$E$19,'材料与任务'!$E$21,IF(A550&gt;='材料与任务'!$E$13,'材料与任务'!$E$15,'材料与任务'!$E$9)))))*G550,0)</x:f>
        <x:v>3</x:v>
      </x:c>
      <x:c r="R550" s="110" t="n">
        <x:f>'装备掉落'!$B$38</x:f>
        <x:v>0.6872058758851213</x:v>
      </x:c>
      <x:c r="S550" s="119" t="n">
        <x:f>MAX(IF(VLOOKUP(A550,'装备掉落'!$A$29:$H$34,2,TRUE)&gt;0,1,0),IF(VLOOKUP(A550,'装备掉落'!$A$29:$H$34,3,TRUE)&gt;0,2,0),IF(VLOOKUP(A550,'装备掉落'!$A$29:$H$34,4,TRUE)&gt;0,3,0),IF(VLOOKUP(A550,'装备掉落'!$A$29:$H$34,5,TRUE)&gt;0,4,0),IF(VLOOKUP(A550,'装备掉落'!$A$29:$H$34,6,TRUE)&gt;0,5,0),IF(VLOOKUP(A550,'装备掉落'!$A$29:$H$34,7,TRUE)&gt;0,6,0),IF(VLOOKUP(A550,'装备掉落'!$A$29:$H$34,8,TRUE)&gt;0,7,0))</x:f>
        <x:v>7</x:v>
      </x:c>
      <x:c r="T550" s="119" t="n">
        <x:f>MIN(7,S550+'经济参数'!$E$70)</x:f>
        <x:v>7</x:v>
      </x:c>
      <x:c r="U550" s="119" t="n">
        <x:f>MIN(7,S550+'经济参数'!$E$71)</x:f>
        <x:v>7</x:v>
      </x:c>
      <x:c r="V550" s="119" t="n">
        <x:f>IF(H550&gt;=('难度参数'!$E$52),1,0)+IF(H550&gt;=('难度参数'!$E$52+'难度参数'!$E$53),1,0)+IF(H550&gt;=('难度参数'!$E$52+'难度参数'!$E$53+'难度参数'!$E$54),1,0)+IF(H550&gt;=('难度参数'!$E$52+'难度参数'!$E$53+'难度参数'!$E$54+'难度参数'!$E$55),1,0)+IF(H550&gt;=('难度参数'!$E$52+'难度参数'!$E$53+'难度参数'!$E$54+'难度参数'!$E$55+'难度参数'!$E$56),1,0)+IF(H550&gt;=('难度参数'!$E$52+'难度参数'!$E$53+'难度参数'!$E$54+'难度参数'!$E$55+'难度参数'!$E$56+'难度参数'!$E$57),1,0)</x:f>
        <x:v>6</x:v>
      </x:c>
      <x:c r="W550" s="62" t="str">
        <x:f>IF(L550&gt;'难度参数'!$E$51,"仅出怪已超目标","还需实测")</x:f>
        <x:v>仅出怪已超目标</x:v>
      </x:c>
      <x:c r="X550" s="119" t="n">
        <x:f>IF(1&gt;D550,0,MAX(2,MIN('难度参数'!$E$12,ROUND(('难度参数'!$E$18*POWER(A550,'难度参数'!$E$19)/D550*(0.85+0.3*(1-1)/MAX(1,D550-1))),0)+F550)))</x:f>
        <x:v>36</x:v>
      </x:c>
      <x:c r="Y550" s="119" t="n">
        <x:f>IF(1&gt;D550,0,ROUND(('难度参数'!$E$13*POWER(A550,'难度参数'!$E$20)*MIN('难度参数'!$E$23,1+MAX(0,A550-'难度参数'!$E$21)*'难度参数'!$E$22))*(36+1*7)/(36+7*(D550+1)/2)*E550,0))</x:f>
        <x:v>8458</x:v>
      </x:c>
      <x:c r="Z550" s="119" t="n">
        <x:f>IF(X550=0,0,(X550-IF(1=D550,1,0))*ROUND(Y550*VLOOKUP(INDEX('章节与怪物'!$E$31:$K$37,B550,1),'章节与怪物'!$A$41:$F$44,2,FALSE),0)+IF(1=D550,ROUND(Y550*'难度参数'!$E$28*'章节与怪物'!$E$17,0),0))</x:f>
        <x:v>219240</x:v>
      </x:c>
      <x:c r="AA550" s="119" t="n">
        <x:f>IF(X550=0,0,(X550-IF(1=D550,1,0))*VLOOKUP(INDEX('章节与怪物'!$E$31:$K$37,B550,1),'章节与怪物'!$A$41:$F$44,4,FALSE)+IF(1=D550,'难度参数'!$E$30,0))</x:f>
        <x:v>720</x:v>
      </x:c>
      <x:c r="AB550" s="119" t="n">
        <x:f>IF(2&gt;D550,0,MAX(2,MIN('难度参数'!$E$12,ROUND(('难度参数'!$E$18*POWER(A550,'难度参数'!$E$19)/D550*(0.85+0.3*(2-1)/MAX(1,D550-1))),0)+F550)))</x:f>
        <x:v>38</x:v>
      </x:c>
      <x:c r="AC550" s="119" t="n">
        <x:f>IF(2&gt;D550,0,ROUND(('难度参数'!$E$13*POWER(A550,'难度参数'!$E$20)*MIN('难度参数'!$E$23,1+MAX(0,A550-'难度参数'!$E$21)*'难度参数'!$E$22))*(36+2*7)/(36+7*(D550+1)/2)*E550,0))</x:f>
        <x:v>9835</x:v>
      </x:c>
      <x:c r="AD550" s="119" t="n">
        <x:f>IF(AB550=0,0,(AB550-IF(2=D550,1,0))*ROUND(AC550*VLOOKUP(INDEX('章节与怪物'!$E$31:$K$37,B550,2),'章节与怪物'!$A$41:$F$44,2,FALSE),0)+IF(2=D550,ROUND(AC550*'难度参数'!$E$28*'章节与怪物'!$E$17,0),0))</x:f>
        <x:v>373730</x:v>
      </x:c>
      <x:c r="AE550" s="119" t="n">
        <x:f>IF(AB550=0,0,(AB550-IF(2=D550,1,0))*VLOOKUP(INDEX('章节与怪物'!$E$31:$K$37,B550,2),'章节与怪物'!$A$41:$F$44,4,FALSE)+IF(2=D550,'难度参数'!$E$30,0))</x:f>
        <x:v>684</x:v>
      </x:c>
      <x:c r="AF550" s="119" t="n">
        <x:f>IF(3&gt;D550,0,MAX(2,MIN('难度参数'!$E$12,ROUND(('难度参数'!$E$18*POWER(A550,'难度参数'!$E$19)/D550*(0.85+0.3*(3-1)/MAX(1,D550-1))),0)+F550)))</x:f>
        <x:v>41</x:v>
      </x:c>
      <x:c r="AG550" s="119" t="n">
        <x:f>IF(3&gt;D550,0,ROUND(('难度参数'!$E$13*POWER(A550,'难度参数'!$E$20)*MIN('难度参数'!$E$23,1+MAX(0,A550-'难度参数'!$E$21)*'难度参数'!$E$22))*(36+3*7)/(36+7*(D550+1)/2)*E550,0))</x:f>
        <x:v>11211</x:v>
      </x:c>
      <x:c r="AH550" s="119" t="n">
        <x:f>IF(AF550=0,0,(AF550-IF(3=D550,1,0))*ROUND(AG550*VLOOKUP(INDEX('章节与怪物'!$E$31:$K$37,B550,3),'章节与怪物'!$A$41:$F$44,2,FALSE),0)+IF(3=D550,ROUND(AG550*'难度参数'!$E$28*'章节与怪物'!$E$17,0),0))</x:f>
        <x:v>781419</x:v>
      </x:c>
      <x:c r="AI550" s="119" t="n">
        <x:f>IF(AF550=0,0,(AF550-IF(3=D550,1,0))*VLOOKUP(INDEX('章节与怪物'!$E$31:$K$37,B550,3),'章节与怪物'!$A$41:$F$44,4,FALSE)+IF(3=D550,'难度参数'!$E$30,0))</x:f>
        <x:v>1148</x:v>
      </x:c>
      <x:c r="AJ550" s="119" t="n">
        <x:f>IF(4&gt;D550,0,MAX(2,MIN('难度参数'!$E$12,ROUND(('难度参数'!$E$18*POWER(A550,'难度参数'!$E$19)/D550*(0.85+0.3*(4-1)/MAX(1,D550-1))),0)+F550)))</x:f>
        <x:v>43</x:v>
      </x:c>
      <x:c r="AK550" s="119" t="n">
        <x:f>IF(4&gt;D550,0,ROUND(('难度参数'!$E$13*POWER(A550,'难度参数'!$E$20)*MIN('难度参数'!$E$23,1+MAX(0,A550-'难度参数'!$E$21)*'难度参数'!$E$22))*(36+4*7)/(36+7*(D550+1)/2)*E550,0))</x:f>
        <x:v>12588</x:v>
      </x:c>
      <x:c r="AL550" s="119" t="n">
        <x:f>IF(AJ550=0,0,(AJ550-IF(4=D550,1,0))*ROUND(AK550*VLOOKUP(INDEX('章节与怪物'!$E$31:$K$37,B550,4),'章节与怪物'!$A$41:$F$44,2,FALSE),0)+IF(4=D550,ROUND(AK550*'难度参数'!$E$28*'章节与怪物'!$E$17,0),0))</x:f>
        <x:v>730742</x:v>
      </x:c>
      <x:c r="AM550" s="119" t="n">
        <x:f>IF(AJ550=0,0,(AJ550-IF(4=D550,1,0))*VLOOKUP(INDEX('章节与怪物'!$E$31:$K$37,B550,4),'章节与怪物'!$A$41:$F$44,4,FALSE)+IF(4=D550,'难度参数'!$E$30,0))</x:f>
        <x:v>1462</x:v>
      </x:c>
      <x:c r="AN550" s="119" t="n">
        <x:f>IF(5&gt;D550,0,MAX(2,MIN('难度参数'!$E$12,ROUND(('难度参数'!$E$18*POWER(A550,'难度参数'!$E$19)/D550*(0.85+0.3*(5-1)/MAX(1,D550-1))),0)+F550)))</x:f>
        <x:v>45</x:v>
      </x:c>
      <x:c r="AO550" s="119" t="n">
        <x:f>IF(5&gt;D550,0,ROUND(('难度参数'!$E$13*POWER(A550,'难度参数'!$E$20)*MIN('难度参数'!$E$23,1+MAX(0,A550-'难度参数'!$E$21)*'难度参数'!$E$22))*(36+5*7)/(36+7*(D550+1)/2)*E550,0))</x:f>
        <x:v>13965</x:v>
      </x:c>
      <x:c r="AP550" s="119" t="n">
        <x:f>IF(AN550=0,0,(AN550-IF(5=D550,1,0))*ROUND(AO550*VLOOKUP(INDEX('章节与怪物'!$E$31:$K$37,B550,5),'章节与怪物'!$A$41:$F$44,2,FALSE),0)+IF(5=D550,ROUND(AO550*'难度参数'!$E$28*'章节与怪物'!$E$17,0),0))</x:f>
        <x:v>628425</x:v>
      </x:c>
      <x:c r="AQ550" s="119" t="n">
        <x:f>IF(AN550=0,0,(AN550-IF(5=D550,1,0))*VLOOKUP(INDEX('章节与怪物'!$E$31:$K$37,B550,5),'章节与怪物'!$A$41:$F$44,4,FALSE)+IF(5=D550,'难度参数'!$E$30,0))</x:f>
        <x:v>810</x:v>
      </x:c>
      <x:c r="AR550" s="119" t="n">
        <x:f>IF(6&gt;D550,0,MAX(2,MIN('难度参数'!$E$12,ROUND(('难度参数'!$E$18*POWER(A550,'难度参数'!$E$19)/D550*(0.85+0.3*(6-1)/MAX(1,D550-1))),0)+F550)))</x:f>
        <x:v>47</x:v>
      </x:c>
      <x:c r="AS550" s="119" t="n">
        <x:f>IF(6&gt;D550,0,ROUND(('难度参数'!$E$13*POWER(A550,'难度参数'!$E$20)*MIN('难度参数'!$E$23,1+MAX(0,A550-'难度参数'!$E$21)*'难度参数'!$E$22))*(36+6*7)/(36+7*(D550+1)/2)*E550,0))</x:f>
        <x:v>15342</x:v>
      </x:c>
      <x:c r="AT550" s="119" t="n">
        <x:f>IF(AR550=0,0,(AR550-IF(6=D550,1,0))*ROUND(AS550*VLOOKUP(INDEX('章节与怪物'!$E$31:$K$37,B550,6),'章节与怪物'!$A$41:$F$44,2,FALSE),0)+IF(6=D550,ROUND(AS550*'难度参数'!$E$28*'章节与怪物'!$E$17,0),0))</x:f>
        <x:v>519162</x:v>
      </x:c>
      <x:c r="AU550" s="119" t="n">
        <x:f>IF(AR550=0,0,(AR550-IF(6=D550,1,0))*VLOOKUP(INDEX('章节与怪物'!$E$31:$K$37,B550,6),'章节与怪物'!$A$41:$F$44,4,FALSE)+IF(6=D550,'难度参数'!$E$30,0))</x:f>
        <x:v>940</x:v>
      </x:c>
      <x:c r="AV550" s="119" t="n">
        <x:f>IF(7&gt;D550,0,MAX(2,MIN('难度参数'!$E$12,ROUND(('难度参数'!$E$18*POWER(A550,'难度参数'!$E$19)/D550*(0.85+0.3*(7-1)/MAX(1,D550-1))),0)+F550)))</x:f>
        <x:v>49</x:v>
      </x:c>
      <x:c r="AW550" s="119" t="n">
        <x:f>IF(7&gt;D550,0,ROUND(('难度参数'!$E$13*POWER(A550,'难度参数'!$E$20)*MIN('难度参数'!$E$23,1+MAX(0,A550-'难度参数'!$E$21)*'难度参数'!$E$22))*(36+7*7)/(36+7*(D550+1)/2)*E550,0))</x:f>
        <x:v>16719</x:v>
      </x:c>
      <x:c r="AX550" s="119" t="n">
        <x:f>IF(AV550=0,0,(AV550-IF(7=D550,1,0))*ROUND(AW550*VLOOKUP(INDEX('章节与怪物'!$E$31:$K$37,B550,7),'章节与怪物'!$A$41:$F$44,2,FALSE),0)+IF(7=D550,ROUND(AW550*'难度参数'!$E$28*'章节与怪物'!$E$17,0),0))</x:f>
        <x:v>1197097</x:v>
      </x:c>
      <x:c r="AY550" s="119" t="n">
        <x:f>IF(AV550=0,0,(AV550-IF(7=D550,1,0))*VLOOKUP(INDEX('章节与怪物'!$E$31:$K$37,B550,7),'章节与怪物'!$A$41:$F$44,4,FALSE)+IF(7=D550,'难度参数'!$E$30,0))</x:f>
        <x:v>1832</x:v>
      </x:c>
    </x:row>
    <x:row r="551" ht="23" customHeight="1">
      <x:c r="A551" s="119" t="n">
        <x:v>545</x:v>
      </x:c>
      <x:c r="B551" s="119" t="n">
        <x:f>MOD(INT((A551-1)/5),7)+1</x:f>
        <x:v>4</x:v>
      </x:c>
      <x:c r="C551" s="62" t="str">
        <x:f>INDEX('章节与怪物'!$B$31:$B$37,B551)</x:f>
        <x:v>翠野边城</x:v>
      </x:c>
      <x:c r="D551" s="119" t="n">
        <x:f>MIN('难度参数'!$E$8,MAX('难度参数'!$E$7,A551))</x:f>
        <x:v>7</x:v>
      </x:c>
      <x:c r="E551" s="106" t="n">
        <x:v>1</x:v>
      </x:c>
      <x:c r="F551" s="106" t="n">
        <x:v>0</x:v>
      </x:c>
      <x:c r="G551" s="106" t="n">
        <x:v>1</x:v>
      </x:c>
      <x:c r="H551" s="119" t="n">
        <x:f>SUM(X551,AB551,AF551,AJ551,AN551,AR551,AV551)</x:f>
        <x:v>299</x:v>
      </x:c>
      <x:c r="I551" s="119" t="n">
        <x:f>SUM(Z551,AD551,AH551,AL551,AP551,AT551,AX551)</x:f>
        <x:v>4455713</x:v>
      </x:c>
      <x:c r="J551" s="119" t="n">
        <x:f>ROUND(INDEX(X551:AY551,1,(D551-1)*4+2)*'难度参数'!$E$28*'章节与怪物'!$E$17,0)</x:f>
        <x:v>113839</x:v>
      </x:c>
      <x:c r="K551" s="119" t="n">
        <x:f>SUM(AA551,AE551,AI551,AM551,AQ551,AU551,AY551)</x:f>
        <x:v>7596</x:v>
      </x:c>
      <x:c r="L551" s="62" t="n">
        <x:f>H551*(ROUNDUP('难度参数'!$E$24/('难度参数'!$E$26*'难度参数'!$E$27),0)*'难度参数'!$E$26)/60</x:f>
        <x:v>3.986666666666667</x:v>
      </x:c>
      <x:c r="M551" s="62" t="n">
        <x:f>L551+D551*('难度参数'!$E$49+'难度参数'!$E$50)/60</x:f>
        <x:v>5.153333333333333</x:v>
      </x:c>
      <x:c r="N551" s="119" t="n">
        <x:f>ROUNDDOWN(('经济参数'!$E$20+A551*'经济参数'!$E$21)*G551,0)</x:f>
        <x:v>11080</x:v>
      </x:c>
      <x:c r="O551" s="119" t="n">
        <x:f>ROUNDDOWN(MIN('经济参数'!$E$24,'经济参数'!$E$22+A551*'经济参数'!$E$23)*G551,0)</x:f>
        <x:v>0</x:v>
      </x:c>
      <x:c r="P551" s="119" t="n">
        <x:f>ROUNDDOWN((IF(A551&gt;='材料与任务'!$E$31,'材料与任务'!$E$32,IF(A551&gt;='材料与任务'!$E$25,'材料与任务'!$E$26,IF(A551&gt;='材料与任务'!$E$19,'材料与任务'!$E$20,IF(A551&gt;='材料与任务'!$E$13,'材料与任务'!$E$14,'材料与任务'!$E$8)))))*G551,0)</x:f>
        <x:v>6</x:v>
      </x:c>
      <x:c r="Q551" s="119" t="n">
        <x:f>ROUNDDOWN((IF(A551&gt;='材料与任务'!$E$31,'材料与任务'!$E$33,IF(A551&gt;='材料与任务'!$E$25,'材料与任务'!$E$27,IF(A551&gt;='材料与任务'!$E$19,'材料与任务'!$E$21,IF(A551&gt;='材料与任务'!$E$13,'材料与任务'!$E$15,'材料与任务'!$E$9)))))*G551,0)</x:f>
        <x:v>3</x:v>
      </x:c>
      <x:c r="R551" s="110" t="n">
        <x:f>'装备掉落'!$B$38</x:f>
        <x:v>0.6872058758851213</x:v>
      </x:c>
      <x:c r="S551" s="119" t="n">
        <x:f>MAX(IF(VLOOKUP(A551,'装备掉落'!$A$29:$H$34,2,TRUE)&gt;0,1,0),IF(VLOOKUP(A551,'装备掉落'!$A$29:$H$34,3,TRUE)&gt;0,2,0),IF(VLOOKUP(A551,'装备掉落'!$A$29:$H$34,4,TRUE)&gt;0,3,0),IF(VLOOKUP(A551,'装备掉落'!$A$29:$H$34,5,TRUE)&gt;0,4,0),IF(VLOOKUP(A551,'装备掉落'!$A$29:$H$34,6,TRUE)&gt;0,5,0),IF(VLOOKUP(A551,'装备掉落'!$A$29:$H$34,7,TRUE)&gt;0,6,0),IF(VLOOKUP(A551,'装备掉落'!$A$29:$H$34,8,TRUE)&gt;0,7,0))</x:f>
        <x:v>7</x:v>
      </x:c>
      <x:c r="T551" s="119" t="n">
        <x:f>MIN(7,S551+'经济参数'!$E$70)</x:f>
        <x:v>7</x:v>
      </x:c>
      <x:c r="U551" s="119" t="n">
        <x:f>MIN(7,S551+'经济参数'!$E$71)</x:f>
        <x:v>7</x:v>
      </x:c>
      <x:c r="V551" s="119" t="n">
        <x:f>IF(H551&gt;=('难度参数'!$E$52),1,0)+IF(H551&gt;=('难度参数'!$E$52+'难度参数'!$E$53),1,0)+IF(H551&gt;=('难度参数'!$E$52+'难度参数'!$E$53+'难度参数'!$E$54),1,0)+IF(H551&gt;=('难度参数'!$E$52+'难度参数'!$E$53+'难度参数'!$E$54+'难度参数'!$E$55),1,0)+IF(H551&gt;=('难度参数'!$E$52+'难度参数'!$E$53+'难度参数'!$E$54+'难度参数'!$E$55+'难度参数'!$E$56),1,0)+IF(H551&gt;=('难度参数'!$E$52+'难度参数'!$E$53+'难度参数'!$E$54+'难度参数'!$E$55+'难度参数'!$E$56+'难度参数'!$E$57),1,0)</x:f>
        <x:v>6</x:v>
      </x:c>
      <x:c r="W551" s="62" t="str">
        <x:f>IF(L551&gt;'难度参数'!$E$51,"仅出怪已超目标","还需实测")</x:f>
        <x:v>仅出怪已超目标</x:v>
      </x:c>
      <x:c r="X551" s="119" t="n">
        <x:f>IF(1&gt;D551,0,MAX(2,MIN('难度参数'!$E$12,ROUND(('难度参数'!$E$18*POWER(A551,'难度参数'!$E$19)/D551*(0.85+0.3*(1-1)/MAX(1,D551-1))),0)+F551)))</x:f>
        <x:v>36</x:v>
      </x:c>
      <x:c r="Y551" s="119" t="n">
        <x:f>IF(1&gt;D551,0,ROUND(('难度参数'!$E$13*POWER(A551,'难度参数'!$E$20)*MIN('难度参数'!$E$23,1+MAX(0,A551-'难度参数'!$E$21)*'难度参数'!$E$22))*(36+1*7)/(36+7*(D551+1)/2)*E551,0))</x:f>
        <x:v>8469</x:v>
      </x:c>
      <x:c r="Z551" s="119" t="n">
        <x:f>IF(X551=0,0,(X551-IF(1=D551,1,0))*ROUND(Y551*VLOOKUP(INDEX('章节与怪物'!$E$31:$K$37,B551,1),'章节与怪物'!$A$41:$F$44,2,FALSE),0)+IF(1=D551,ROUND(Y551*'难度参数'!$E$28*'章节与怪物'!$E$17,0),0))</x:f>
        <x:v>219528</x:v>
      </x:c>
      <x:c r="AA551" s="119" t="n">
        <x:f>IF(X551=0,0,(X551-IF(1=D551,1,0))*VLOOKUP(INDEX('章节与怪物'!$E$31:$K$37,B551,1),'章节与怪物'!$A$41:$F$44,4,FALSE)+IF(1=D551,'难度参数'!$E$30,0))</x:f>
        <x:v>720</x:v>
      </x:c>
      <x:c r="AB551" s="119" t="n">
        <x:f>IF(2&gt;D551,0,MAX(2,MIN('难度参数'!$E$12,ROUND(('难度参数'!$E$18*POWER(A551,'难度参数'!$E$19)/D551*(0.85+0.3*(2-1)/MAX(1,D551-1))),0)+F551)))</x:f>
        <x:v>38</x:v>
      </x:c>
      <x:c r="AC551" s="119" t="n">
        <x:f>IF(2&gt;D551,0,ROUND(('难度参数'!$E$13*POWER(A551,'难度参数'!$E$20)*MIN('难度参数'!$E$23,1+MAX(0,A551-'难度参数'!$E$21)*'难度参数'!$E$22))*(36+2*7)/(36+7*(D551+1)/2)*E551,0))</x:f>
        <x:v>9848</x:v>
      </x:c>
      <x:c r="AD551" s="119" t="n">
        <x:f>IF(AB551=0,0,(AB551-IF(2=D551,1,0))*ROUND(AC551*VLOOKUP(INDEX('章节与怪物'!$E$31:$K$37,B551,2),'章节与怪物'!$A$41:$F$44,2,FALSE),0)+IF(2=D551,ROUND(AC551*'难度参数'!$E$28*'章节与怪物'!$E$17,0),0))</x:f>
        <x:v>374224</x:v>
      </x:c>
      <x:c r="AE551" s="119" t="n">
        <x:f>IF(AB551=0,0,(AB551-IF(2=D551,1,0))*VLOOKUP(INDEX('章节与怪物'!$E$31:$K$37,B551,2),'章节与怪物'!$A$41:$F$44,4,FALSE)+IF(2=D551,'难度参数'!$E$30,0))</x:f>
        <x:v>684</x:v>
      </x:c>
      <x:c r="AF551" s="119" t="n">
        <x:f>IF(3&gt;D551,0,MAX(2,MIN('难度参数'!$E$12,ROUND(('难度参数'!$E$18*POWER(A551,'难度参数'!$E$19)/D551*(0.85+0.3*(3-1)/MAX(1,D551-1))),0)+F551)))</x:f>
        <x:v>41</x:v>
      </x:c>
      <x:c r="AG551" s="119" t="n">
        <x:f>IF(3&gt;D551,0,ROUND(('难度参数'!$E$13*POWER(A551,'难度参数'!$E$20)*MIN('难度参数'!$E$23,1+MAX(0,A551-'难度参数'!$E$21)*'难度参数'!$E$22))*(36+3*7)/(36+7*(D551+1)/2)*E551,0))</x:f>
        <x:v>11226</x:v>
      </x:c>
      <x:c r="AH551" s="119" t="n">
        <x:f>IF(AF551=0,0,(AF551-IF(3=D551,1,0))*ROUND(AG551*VLOOKUP(INDEX('章节与怪物'!$E$31:$K$37,B551,3),'章节与怪物'!$A$41:$F$44,2,FALSE),0)+IF(3=D551,ROUND(AG551*'难度参数'!$E$28*'章节与怪物'!$E$17,0),0))</x:f>
        <x:v>782444</x:v>
      </x:c>
      <x:c r="AI551" s="119" t="n">
        <x:f>IF(AF551=0,0,(AF551-IF(3=D551,1,0))*VLOOKUP(INDEX('章节与怪物'!$E$31:$K$37,B551,3),'章节与怪物'!$A$41:$F$44,4,FALSE)+IF(3=D551,'难度参数'!$E$30,0))</x:f>
        <x:v>1148</x:v>
      </x:c>
      <x:c r="AJ551" s="119" t="n">
        <x:f>IF(4&gt;D551,0,MAX(2,MIN('难度参数'!$E$12,ROUND(('难度参数'!$E$18*POWER(A551,'难度参数'!$E$19)/D551*(0.85+0.3*(4-1)/MAX(1,D551-1))),0)+F551)))</x:f>
        <x:v>43</x:v>
      </x:c>
      <x:c r="AK551" s="119" t="n">
        <x:f>IF(4&gt;D551,0,ROUND(('难度参数'!$E$13*POWER(A551,'难度参数'!$E$20)*MIN('难度参数'!$E$23,1+MAX(0,A551-'难度参数'!$E$21)*'难度参数'!$E$22))*(36+4*7)/(36+7*(D551+1)/2)*E551,0))</x:f>
        <x:v>12605</x:v>
      </x:c>
      <x:c r="AL551" s="119" t="n">
        <x:f>IF(AJ551=0,0,(AJ551-IF(4=D551,1,0))*ROUND(AK551*VLOOKUP(INDEX('章节与怪物'!$E$31:$K$37,B551,4),'章节与怪物'!$A$41:$F$44,2,FALSE),0)+IF(4=D551,ROUND(AK551*'难度参数'!$E$28*'章节与怪物'!$E$17,0),0))</x:f>
        <x:v>731731</x:v>
      </x:c>
      <x:c r="AM551" s="119" t="n">
        <x:f>IF(AJ551=0,0,(AJ551-IF(4=D551,1,0))*VLOOKUP(INDEX('章节与怪物'!$E$31:$K$37,B551,4),'章节与怪物'!$A$41:$F$44,4,FALSE)+IF(4=D551,'难度参数'!$E$30,0))</x:f>
        <x:v>1462</x:v>
      </x:c>
      <x:c r="AN551" s="119" t="n">
        <x:f>IF(5&gt;D551,0,MAX(2,MIN('难度参数'!$E$12,ROUND(('难度参数'!$E$18*POWER(A551,'难度参数'!$E$19)/D551*(0.85+0.3*(5-1)/MAX(1,D551-1))),0)+F551)))</x:f>
        <x:v>45</x:v>
      </x:c>
      <x:c r="AO551" s="119" t="n">
        <x:f>IF(5&gt;D551,0,ROUND(('难度参数'!$E$13*POWER(A551,'难度参数'!$E$20)*MIN('难度参数'!$E$23,1+MAX(0,A551-'难度参数'!$E$21)*'难度参数'!$E$22))*(36+5*7)/(36+7*(D551+1)/2)*E551,0))</x:f>
        <x:v>13984</x:v>
      </x:c>
      <x:c r="AP551" s="119" t="n">
        <x:f>IF(AN551=0,0,(AN551-IF(5=D551,1,0))*ROUND(AO551*VLOOKUP(INDEX('章节与怪物'!$E$31:$K$37,B551,5),'章节与怪物'!$A$41:$F$44,2,FALSE),0)+IF(5=D551,ROUND(AO551*'难度参数'!$E$28*'章节与怪物'!$E$17,0),0))</x:f>
        <x:v>629280</x:v>
      </x:c>
      <x:c r="AQ551" s="119" t="n">
        <x:f>IF(AN551=0,0,(AN551-IF(5=D551,1,0))*VLOOKUP(INDEX('章节与怪物'!$E$31:$K$37,B551,5),'章节与怪物'!$A$41:$F$44,4,FALSE)+IF(5=D551,'难度参数'!$E$30,0))</x:f>
        <x:v>810</x:v>
      </x:c>
      <x:c r="AR551" s="119" t="n">
        <x:f>IF(6&gt;D551,0,MAX(2,MIN('难度参数'!$E$12,ROUND(('难度参数'!$E$18*POWER(A551,'难度参数'!$E$19)/D551*(0.85+0.3*(6-1)/MAX(1,D551-1))),0)+F551)))</x:f>
        <x:v>47</x:v>
      </x:c>
      <x:c r="AS551" s="119" t="n">
        <x:f>IF(6&gt;D551,0,ROUND(('难度参数'!$E$13*POWER(A551,'难度参数'!$E$20)*MIN('难度参数'!$E$23,1+MAX(0,A551-'难度参数'!$E$21)*'难度参数'!$E$22))*(36+6*7)/(36+7*(D551+1)/2)*E551,0))</x:f>
        <x:v>15362</x:v>
      </x:c>
      <x:c r="AT551" s="119" t="n">
        <x:f>IF(AR551=0,0,(AR551-IF(6=D551,1,0))*ROUND(AS551*VLOOKUP(INDEX('章节与怪物'!$E$31:$K$37,B551,6),'章节与怪物'!$A$41:$F$44,2,FALSE),0)+IF(6=D551,ROUND(AS551*'难度参数'!$E$28*'章节与怪物'!$E$17,0),0))</x:f>
        <x:v>519867</x:v>
      </x:c>
      <x:c r="AU551" s="119" t="n">
        <x:f>IF(AR551=0,0,(AR551-IF(6=D551,1,0))*VLOOKUP(INDEX('章节与怪物'!$E$31:$K$37,B551,6),'章节与怪物'!$A$41:$F$44,4,FALSE)+IF(6=D551,'难度参数'!$E$30,0))</x:f>
        <x:v>940</x:v>
      </x:c>
      <x:c r="AV551" s="119" t="n">
        <x:f>IF(7&gt;D551,0,MAX(2,MIN('难度参数'!$E$12,ROUND(('难度参数'!$E$18*POWER(A551,'难度参数'!$E$19)/D551*(0.85+0.3*(7-1)/MAX(1,D551-1))),0)+F551)))</x:f>
        <x:v>49</x:v>
      </x:c>
      <x:c r="AW551" s="119" t="n">
        <x:f>IF(7&gt;D551,0,ROUND(('难度参数'!$E$13*POWER(A551,'难度参数'!$E$20)*MIN('难度参数'!$E$23,1+MAX(0,A551-'难度参数'!$E$21)*'难度参数'!$E$22))*(36+7*7)/(36+7*(D551+1)/2)*E551,0))</x:f>
        <x:v>16741</x:v>
      </x:c>
      <x:c r="AX551" s="119" t="n">
        <x:f>IF(AV551=0,0,(AV551-IF(7=D551,1,0))*ROUND(AW551*VLOOKUP(INDEX('章节与怪物'!$E$31:$K$37,B551,7),'章节与怪物'!$A$41:$F$44,2,FALSE),0)+IF(7=D551,ROUND(AW551*'难度参数'!$E$28*'章节与怪物'!$E$17,0),0))</x:f>
        <x:v>1198639</x:v>
      </x:c>
      <x:c r="AY551" s="119" t="n">
        <x:f>IF(AV551=0,0,(AV551-IF(7=D551,1,0))*VLOOKUP(INDEX('章节与怪物'!$E$31:$K$37,B551,7),'章节与怪物'!$A$41:$F$44,4,FALSE)+IF(7=D551,'难度参数'!$E$30,0))</x:f>
        <x:v>1832</x:v>
      </x:c>
    </x:row>
    <x:row r="552" ht="23" customHeight="1">
      <x:c r="A552" s="119" t="n">
        <x:v>546</x:v>
      </x:c>
      <x:c r="B552" s="119" t="n">
        <x:f>MOD(INT((A552-1)/5),7)+1</x:f>
        <x:v>5</x:v>
      </x:c>
      <x:c r="C552" s="62" t="str">
        <x:f>INDEX('章节与怪物'!$B$31:$B$37,B552)</x:f>
        <x:v>雨林遗迹</x:v>
      </x:c>
      <x:c r="D552" s="119" t="n">
        <x:f>MIN('难度参数'!$E$8,MAX('难度参数'!$E$7,A552))</x:f>
        <x:v>7</x:v>
      </x:c>
      <x:c r="E552" s="106" t="n">
        <x:v>1</x:v>
      </x:c>
      <x:c r="F552" s="106" t="n">
        <x:v>0</x:v>
      </x:c>
      <x:c r="G552" s="106" t="n">
        <x:v>1</x:v>
      </x:c>
      <x:c r="H552" s="119" t="n">
        <x:f>SUM(X552,AB552,AF552,AJ552,AN552,AR552,AV552)</x:f>
        <x:v>300</x:v>
      </x:c>
      <x:c r="I552" s="119" t="n">
        <x:f>SUM(Z552,AD552,AH552,AL552,AP552,AT552,AX552)</x:f>
        <x:v>4981380</x:v>
      </x:c>
      <x:c r="J552" s="119" t="n">
        <x:f>ROUND(INDEX(X552:AY552,1,(D552-1)*4+2)*'难度参数'!$E$28*'章节与怪物'!$E$17,0)</x:f>
        <x:v>113988</x:v>
      </x:c>
      <x:c r="K552" s="119" t="n">
        <x:f>SUM(AA552,AE552,AI552,AM552,AQ552,AU552,AY552)</x:f>
        <x:v>8086</x:v>
      </x:c>
      <x:c r="L552" s="62" t="n">
        <x:f>H552*(ROUNDUP('难度参数'!$E$24/('难度参数'!$E$26*'难度参数'!$E$27),0)*'难度参数'!$E$26)/60</x:f>
        <x:v>4</x:v>
      </x:c>
      <x:c r="M552" s="62" t="n">
        <x:f>L552+D552*('难度参数'!$E$49+'难度参数'!$E$50)/60</x:f>
        <x:v>5.166666666666667</x:v>
      </x:c>
      <x:c r="N552" s="119" t="n">
        <x:f>ROUNDDOWN(('经济参数'!$E$20+A552*'经济参数'!$E$21)*G552,0)</x:f>
        <x:v>11100</x:v>
      </x:c>
      <x:c r="O552" s="119" t="n">
        <x:f>ROUNDDOWN(MIN('经济参数'!$E$24,'经济参数'!$E$22+A552*'经济参数'!$E$23)*G552,0)</x:f>
        <x:v>0</x:v>
      </x:c>
      <x:c r="P552" s="119" t="n">
        <x:f>ROUNDDOWN((IF(A552&gt;='材料与任务'!$E$31,'材料与任务'!$E$32,IF(A552&gt;='材料与任务'!$E$25,'材料与任务'!$E$26,IF(A552&gt;='材料与任务'!$E$19,'材料与任务'!$E$20,IF(A552&gt;='材料与任务'!$E$13,'材料与任务'!$E$14,'材料与任务'!$E$8)))))*G552,0)</x:f>
        <x:v>6</x:v>
      </x:c>
      <x:c r="Q552" s="119" t="n">
        <x:f>ROUNDDOWN((IF(A552&gt;='材料与任务'!$E$31,'材料与任务'!$E$33,IF(A552&gt;='材料与任务'!$E$25,'材料与任务'!$E$27,IF(A552&gt;='材料与任务'!$E$19,'材料与任务'!$E$21,IF(A552&gt;='材料与任务'!$E$13,'材料与任务'!$E$15,'材料与任务'!$E$9)))))*G552,0)</x:f>
        <x:v>3</x:v>
      </x:c>
      <x:c r="R552" s="110" t="n">
        <x:f>'装备掉落'!$B$38</x:f>
        <x:v>0.6872058758851213</x:v>
      </x:c>
      <x:c r="S552" s="119" t="n">
        <x:f>MAX(IF(VLOOKUP(A552,'装备掉落'!$A$29:$H$34,2,TRUE)&gt;0,1,0),IF(VLOOKUP(A552,'装备掉落'!$A$29:$H$34,3,TRUE)&gt;0,2,0),IF(VLOOKUP(A552,'装备掉落'!$A$29:$H$34,4,TRUE)&gt;0,3,0),IF(VLOOKUP(A552,'装备掉落'!$A$29:$H$34,5,TRUE)&gt;0,4,0),IF(VLOOKUP(A552,'装备掉落'!$A$29:$H$34,6,TRUE)&gt;0,5,0),IF(VLOOKUP(A552,'装备掉落'!$A$29:$H$34,7,TRUE)&gt;0,6,0),IF(VLOOKUP(A552,'装备掉落'!$A$29:$H$34,8,TRUE)&gt;0,7,0))</x:f>
        <x:v>7</x:v>
      </x:c>
      <x:c r="T552" s="119" t="n">
        <x:f>MIN(7,S552+'经济参数'!$E$70)</x:f>
        <x:v>7</x:v>
      </x:c>
      <x:c r="U552" s="119" t="n">
        <x:f>MIN(7,S552+'经济参数'!$E$71)</x:f>
        <x:v>7</x:v>
      </x:c>
      <x:c r="V552" s="119" t="n">
        <x:f>IF(H552&gt;=('难度参数'!$E$52),1,0)+IF(H552&gt;=('难度参数'!$E$52+'难度参数'!$E$53),1,0)+IF(H552&gt;=('难度参数'!$E$52+'难度参数'!$E$53+'难度参数'!$E$54),1,0)+IF(H552&gt;=('难度参数'!$E$52+'难度参数'!$E$53+'难度参数'!$E$54+'难度参数'!$E$55),1,0)+IF(H552&gt;=('难度参数'!$E$52+'难度参数'!$E$53+'难度参数'!$E$54+'难度参数'!$E$55+'难度参数'!$E$56),1,0)+IF(H552&gt;=('难度参数'!$E$52+'难度参数'!$E$53+'难度参数'!$E$54+'难度参数'!$E$55+'难度参数'!$E$56+'难度参数'!$E$57),1,0)</x:f>
        <x:v>6</x:v>
      </x:c>
      <x:c r="W552" s="62" t="str">
        <x:f>IF(L552&gt;'难度参数'!$E$51,"仅出怪已超目标","还需实测")</x:f>
        <x:v>仅出怪已超目标</x:v>
      </x:c>
      <x:c r="X552" s="119" t="n">
        <x:f>IF(1&gt;D552,0,MAX(2,MIN('难度参数'!$E$12,ROUND(('难度参数'!$E$18*POWER(A552,'难度参数'!$E$19)/D552*(0.85+0.3*(1-1)/MAX(1,D552-1))),0)+F552)))</x:f>
        <x:v>36</x:v>
      </x:c>
      <x:c r="Y552" s="119" t="n">
        <x:f>IF(1&gt;D552,0,ROUND(('难度参数'!$E$13*POWER(A552,'难度参数'!$E$20)*MIN('难度参数'!$E$23,1+MAX(0,A552-'难度参数'!$E$21)*'难度参数'!$E$22))*(36+1*7)/(36+7*(D552+1)/2)*E552,0))</x:f>
        <x:v>8480</x:v>
      </x:c>
      <x:c r="Z552" s="119" t="n">
        <x:f>IF(X552=0,0,(X552-IF(1=D552,1,0))*ROUND(Y552*VLOOKUP(INDEX('章节与怪物'!$E$31:$K$37,B552,1),'章节与怪物'!$A$41:$F$44,2,FALSE),0)+IF(1=D552,ROUND(Y552*'难度参数'!$E$28*'章节与怪物'!$E$17,0),0))</x:f>
        <x:v>305280</x:v>
      </x:c>
      <x:c r="AA552" s="119" t="n">
        <x:f>IF(X552=0,0,(X552-IF(1=D552,1,0))*VLOOKUP(INDEX('章节与怪物'!$E$31:$K$37,B552,1),'章节与怪物'!$A$41:$F$44,4,FALSE)+IF(1=D552,'难度参数'!$E$30,0))</x:f>
        <x:v>648</x:v>
      </x:c>
      <x:c r="AB552" s="119" t="n">
        <x:f>IF(2&gt;D552,0,MAX(2,MIN('难度参数'!$E$12,ROUND(('难度参数'!$E$18*POWER(A552,'难度参数'!$E$19)/D552*(0.85+0.3*(2-1)/MAX(1,D552-1))),0)+F552)))</x:f>
        <x:v>39</x:v>
      </x:c>
      <x:c r="AC552" s="119" t="n">
        <x:f>IF(2&gt;D552,0,ROUND(('难度参数'!$E$13*POWER(A552,'难度参数'!$E$20)*MIN('难度参数'!$E$23,1+MAX(0,A552-'难度参数'!$E$21)*'难度参数'!$E$22))*(36+2*7)/(36+7*(D552+1)/2)*E552,0))</x:f>
        <x:v>9861</x:v>
      </x:c>
      <x:c r="AD552" s="119" t="n">
        <x:f>IF(AB552=0,0,(AB552-IF(2=D552,1,0))*ROUND(AC552*VLOOKUP(INDEX('章节与怪物'!$E$31:$K$37,B552,2),'章节与怪物'!$A$41:$F$44,2,FALSE),0)+IF(2=D552,ROUND(AC552*'难度参数'!$E$28*'章节与怪物'!$E$17,0),0))</x:f>
        <x:v>276900</x:v>
      </x:c>
      <x:c r="AE552" s="119" t="n">
        <x:f>IF(AB552=0,0,(AB552-IF(2=D552,1,0))*VLOOKUP(INDEX('章节与怪物'!$E$31:$K$37,B552,2),'章节与怪物'!$A$41:$F$44,4,FALSE)+IF(2=D552,'难度参数'!$E$30,0))</x:f>
        <x:v>780</x:v>
      </x:c>
      <x:c r="AF552" s="119" t="n">
        <x:f>IF(3&gt;D552,0,MAX(2,MIN('难度参数'!$E$12,ROUND(('难度参数'!$E$18*POWER(A552,'难度参数'!$E$19)/D552*(0.85+0.3*(3-1)/MAX(1,D552-1))),0)+F552)))</x:f>
        <x:v>41</x:v>
      </x:c>
      <x:c r="AG552" s="119" t="n">
        <x:f>IF(3&gt;D552,0,ROUND(('难度参数'!$E$13*POWER(A552,'难度参数'!$E$20)*MIN('难度参数'!$E$23,1+MAX(0,A552-'难度参数'!$E$21)*'难度参数'!$E$22))*(36+3*7)/(36+7*(D552+1)/2)*E552,0))</x:f>
        <x:v>11241</x:v>
      </x:c>
      <x:c r="AH552" s="119" t="n">
        <x:f>IF(AF552=0,0,(AF552-IF(3=D552,1,0))*ROUND(AG552*VLOOKUP(INDEX('章节与怪物'!$E$31:$K$37,B552,3),'章节与怪物'!$A$41:$F$44,2,FALSE),0)+IF(3=D552,ROUND(AG552*'难度参数'!$E$28*'章节与怪物'!$E$17,0),0))</x:f>
        <x:v>783510</x:v>
      </x:c>
      <x:c r="AI552" s="119" t="n">
        <x:f>IF(AF552=0,0,(AF552-IF(3=D552,1,0))*VLOOKUP(INDEX('章节与怪物'!$E$31:$K$37,B552,3),'章节与怪物'!$A$41:$F$44,4,FALSE)+IF(3=D552,'难度参数'!$E$30,0))</x:f>
        <x:v>1148</x:v>
      </x:c>
      <x:c r="AJ552" s="119" t="n">
        <x:f>IF(4&gt;D552,0,MAX(2,MIN('难度参数'!$E$12,ROUND(('难度参数'!$E$18*POWER(A552,'难度参数'!$E$19)/D552*(0.85+0.3*(4-1)/MAX(1,D552-1))),0)+F552)))</x:f>
        <x:v>43</x:v>
      </x:c>
      <x:c r="AK552" s="119" t="n">
        <x:f>IF(4&gt;D552,0,ROUND(('难度参数'!$E$13*POWER(A552,'难度参数'!$E$20)*MIN('难度参数'!$E$23,1+MAX(0,A552-'难度参数'!$E$21)*'难度参数'!$E$22))*(36+4*7)/(36+7*(D552+1)/2)*E552,0))</x:f>
        <x:v>12622</x:v>
      </x:c>
      <x:c r="AL552" s="119" t="n">
        <x:f>IF(AJ552=0,0,(AJ552-IF(4=D552,1,0))*ROUND(AK552*VLOOKUP(INDEX('章节与怪物'!$E$31:$K$37,B552,4),'章节与怪物'!$A$41:$F$44,2,FALSE),0)+IF(4=D552,ROUND(AK552*'难度参数'!$E$28*'章节与怪物'!$E$17,0),0))</x:f>
        <x:v>732720</x:v>
      </x:c>
      <x:c r="AM552" s="119" t="n">
        <x:f>IF(AJ552=0,0,(AJ552-IF(4=D552,1,0))*VLOOKUP(INDEX('章节与怪物'!$E$31:$K$37,B552,4),'章节与怪物'!$A$41:$F$44,4,FALSE)+IF(4=D552,'难度参数'!$E$30,0))</x:f>
        <x:v>1462</x:v>
      </x:c>
      <x:c r="AN552" s="119" t="n">
        <x:f>IF(5&gt;D552,0,MAX(2,MIN('难度参数'!$E$12,ROUND(('难度参数'!$E$18*POWER(A552,'难度参数'!$E$19)/D552*(0.85+0.3*(5-1)/MAX(1,D552-1))),0)+F552)))</x:f>
        <x:v>45</x:v>
      </x:c>
      <x:c r="AO552" s="119" t="n">
        <x:f>IF(5&gt;D552,0,ROUND(('难度参数'!$E$13*POWER(A552,'难度参数'!$E$20)*MIN('难度参数'!$E$23,1+MAX(0,A552-'难度参数'!$E$21)*'难度参数'!$E$22))*(36+5*7)/(36+7*(D552+1)/2)*E552,0))</x:f>
        <x:v>14002</x:v>
      </x:c>
      <x:c r="AP552" s="119" t="n">
        <x:f>IF(AN552=0,0,(AN552-IF(5=D552,1,0))*ROUND(AO552*VLOOKUP(INDEX('章节与怪物'!$E$31:$K$37,B552,5),'章节与怪物'!$A$41:$F$44,2,FALSE),0)+IF(5=D552,ROUND(AO552*'难度参数'!$E$28*'章节与怪物'!$E$17,0),0))</x:f>
        <x:v>453645</x:v>
      </x:c>
      <x:c r="AQ552" s="119" t="n">
        <x:f>IF(AN552=0,0,(AN552-IF(5=D552,1,0))*VLOOKUP(INDEX('章节与怪物'!$E$31:$K$37,B552,5),'章节与怪物'!$A$41:$F$44,4,FALSE)+IF(5=D552,'难度参数'!$E$30,0))</x:f>
        <x:v>900</x:v>
      </x:c>
      <x:c r="AR552" s="119" t="n">
        <x:f>IF(6&gt;D552,0,MAX(2,MIN('难度参数'!$E$12,ROUND(('难度参数'!$E$18*POWER(A552,'难度参数'!$E$19)/D552*(0.85+0.3*(6-1)/MAX(1,D552-1))),0)+F552)))</x:f>
        <x:v>47</x:v>
      </x:c>
      <x:c r="AS552" s="119" t="n">
        <x:f>IF(6&gt;D552,0,ROUND(('难度参数'!$E$13*POWER(A552,'难度参数'!$E$20)*MIN('难度参数'!$E$23,1+MAX(0,A552-'难度参数'!$E$21)*'难度参数'!$E$22))*(36+6*7)/(36+7*(D552+1)/2)*E552,0))</x:f>
        <x:v>15383</x:v>
      </x:c>
      <x:c r="AT552" s="119" t="n">
        <x:f>IF(AR552=0,0,(AR552-IF(6=D552,1,0))*ROUND(AS552*VLOOKUP(INDEX('章节与怪物'!$E$31:$K$37,B552,6),'章节与怪物'!$A$41:$F$44,2,FALSE),0)+IF(6=D552,ROUND(AS552*'难度参数'!$E$28*'章节与怪物'!$E$17,0),0))</x:f>
        <x:v>1229097</x:v>
      </x:c>
      <x:c r="AU552" s="119" t="n">
        <x:f>IF(AR552=0,0,(AR552-IF(6=D552,1,0))*VLOOKUP(INDEX('章节与怪物'!$E$31:$K$37,B552,6),'章节与怪物'!$A$41:$F$44,4,FALSE)+IF(6=D552,'难度参数'!$E$30,0))</x:f>
        <x:v>1316</x:v>
      </x:c>
      <x:c r="AV552" s="119" t="n">
        <x:f>IF(7&gt;D552,0,MAX(2,MIN('难度参数'!$E$12,ROUND(('难度参数'!$E$18*POWER(A552,'难度参数'!$E$19)/D552*(0.85+0.3*(7-1)/MAX(1,D552-1))),0)+F552)))</x:f>
        <x:v>49</x:v>
      </x:c>
      <x:c r="AW552" s="119" t="n">
        <x:f>IF(7&gt;D552,0,ROUND(('难度参数'!$E$13*POWER(A552,'难度参数'!$E$20)*MIN('难度参数'!$E$23,1+MAX(0,A552-'难度参数'!$E$21)*'难度参数'!$E$22))*(36+7*7)/(36+7*(D552+1)/2)*E552,0))</x:f>
        <x:v>16763</x:v>
      </x:c>
      <x:c r="AX552" s="119" t="n">
        <x:f>IF(AV552=0,0,(AV552-IF(7=D552,1,0))*ROUND(AW552*VLOOKUP(INDEX('章节与怪物'!$E$31:$K$37,B552,7),'章节与怪物'!$A$41:$F$44,2,FALSE),0)+IF(7=D552,ROUND(AW552*'难度参数'!$E$28*'章节与怪物'!$E$17,0),0))</x:f>
        <x:v>1200228</x:v>
      </x:c>
      <x:c r="AY552" s="119" t="n">
        <x:f>IF(AV552=0,0,(AV552-IF(7=D552,1,0))*VLOOKUP(INDEX('章节与怪物'!$E$31:$K$37,B552,7),'章节与怪物'!$A$41:$F$44,4,FALSE)+IF(7=D552,'难度参数'!$E$30,0))</x:f>
        <x:v>1832</x:v>
      </x:c>
    </x:row>
    <x:row r="553" ht="23" customHeight="1">
      <x:c r="A553" s="119" t="n">
        <x:v>547</x:v>
      </x:c>
      <x:c r="B553" s="119" t="n">
        <x:f>MOD(INT((A553-1)/5),7)+1</x:f>
        <x:v>5</x:v>
      </x:c>
      <x:c r="C553" s="62" t="str">
        <x:f>INDEX('章节与怪物'!$B$31:$B$37,B553)</x:f>
        <x:v>雨林遗迹</x:v>
      </x:c>
      <x:c r="D553" s="119" t="n">
        <x:f>MIN('难度参数'!$E$8,MAX('难度参数'!$E$7,A553))</x:f>
        <x:v>7</x:v>
      </x:c>
      <x:c r="E553" s="106" t="n">
        <x:v>1</x:v>
      </x:c>
      <x:c r="F553" s="106" t="n">
        <x:v>0</x:v>
      </x:c>
      <x:c r="G553" s="106" t="n">
        <x:v>1</x:v>
      </x:c>
      <x:c r="H553" s="119" t="n">
        <x:f>SUM(X553,AB553,AF553,AJ553,AN553,AR553,AV553)</x:f>
        <x:v>300</x:v>
      </x:c>
      <x:c r="I553" s="119" t="n">
        <x:f>SUM(Z553,AD553,AH553,AL553,AP553,AT553,AX553)</x:f>
        <x:v>4987828</x:v>
      </x:c>
      <x:c r="J553" s="119" t="n">
        <x:f>ROUND(INDEX(X553:AY553,1,(D553-1)*4+2)*'难度参数'!$E$28*'章节与怪物'!$E$17,0)</x:f>
        <x:v>114138</x:v>
      </x:c>
      <x:c r="K553" s="119" t="n">
        <x:f>SUM(AA553,AE553,AI553,AM553,AQ553,AU553,AY553)</x:f>
        <x:v>8086</x:v>
      </x:c>
      <x:c r="L553" s="62" t="n">
        <x:f>H553*(ROUNDUP('难度参数'!$E$24/('难度参数'!$E$26*'难度参数'!$E$27),0)*'难度参数'!$E$26)/60</x:f>
        <x:v>4</x:v>
      </x:c>
      <x:c r="M553" s="62" t="n">
        <x:f>L553+D553*('难度参数'!$E$49+'难度参数'!$E$50)/60</x:f>
        <x:v>5.166666666666667</x:v>
      </x:c>
      <x:c r="N553" s="119" t="n">
        <x:f>ROUNDDOWN(('经济参数'!$E$20+A553*'经济参数'!$E$21)*G553,0)</x:f>
        <x:v>11120</x:v>
      </x:c>
      <x:c r="O553" s="119" t="n">
        <x:f>ROUNDDOWN(MIN('经济参数'!$E$24,'经济参数'!$E$22+A553*'经济参数'!$E$23)*G553,0)</x:f>
        <x:v>0</x:v>
      </x:c>
      <x:c r="P553" s="119" t="n">
        <x:f>ROUNDDOWN((IF(A553&gt;='材料与任务'!$E$31,'材料与任务'!$E$32,IF(A553&gt;='材料与任务'!$E$25,'材料与任务'!$E$26,IF(A553&gt;='材料与任务'!$E$19,'材料与任务'!$E$20,IF(A553&gt;='材料与任务'!$E$13,'材料与任务'!$E$14,'材料与任务'!$E$8)))))*G553,0)</x:f>
        <x:v>6</x:v>
      </x:c>
      <x:c r="Q553" s="119" t="n">
        <x:f>ROUNDDOWN((IF(A553&gt;='材料与任务'!$E$31,'材料与任务'!$E$33,IF(A553&gt;='材料与任务'!$E$25,'材料与任务'!$E$27,IF(A553&gt;='材料与任务'!$E$19,'材料与任务'!$E$21,IF(A553&gt;='材料与任务'!$E$13,'材料与任务'!$E$15,'材料与任务'!$E$9)))))*G553,0)</x:f>
        <x:v>3</x:v>
      </x:c>
      <x:c r="R553" s="110" t="n">
        <x:f>'装备掉落'!$B$38</x:f>
        <x:v>0.6872058758851213</x:v>
      </x:c>
      <x:c r="S553" s="119" t="n">
        <x:f>MAX(IF(VLOOKUP(A553,'装备掉落'!$A$29:$H$34,2,TRUE)&gt;0,1,0),IF(VLOOKUP(A553,'装备掉落'!$A$29:$H$34,3,TRUE)&gt;0,2,0),IF(VLOOKUP(A553,'装备掉落'!$A$29:$H$34,4,TRUE)&gt;0,3,0),IF(VLOOKUP(A553,'装备掉落'!$A$29:$H$34,5,TRUE)&gt;0,4,0),IF(VLOOKUP(A553,'装备掉落'!$A$29:$H$34,6,TRUE)&gt;0,5,0),IF(VLOOKUP(A553,'装备掉落'!$A$29:$H$34,7,TRUE)&gt;0,6,0),IF(VLOOKUP(A553,'装备掉落'!$A$29:$H$34,8,TRUE)&gt;0,7,0))</x:f>
        <x:v>7</x:v>
      </x:c>
      <x:c r="T553" s="119" t="n">
        <x:f>MIN(7,S553+'经济参数'!$E$70)</x:f>
        <x:v>7</x:v>
      </x:c>
      <x:c r="U553" s="119" t="n">
        <x:f>MIN(7,S553+'经济参数'!$E$71)</x:f>
        <x:v>7</x:v>
      </x:c>
      <x:c r="V553" s="119" t="n">
        <x:f>IF(H553&gt;=('难度参数'!$E$52),1,0)+IF(H553&gt;=('难度参数'!$E$52+'难度参数'!$E$53),1,0)+IF(H553&gt;=('难度参数'!$E$52+'难度参数'!$E$53+'难度参数'!$E$54),1,0)+IF(H553&gt;=('难度参数'!$E$52+'难度参数'!$E$53+'难度参数'!$E$54+'难度参数'!$E$55),1,0)+IF(H553&gt;=('难度参数'!$E$52+'难度参数'!$E$53+'难度参数'!$E$54+'难度参数'!$E$55+'难度参数'!$E$56),1,0)+IF(H553&gt;=('难度参数'!$E$52+'难度参数'!$E$53+'难度参数'!$E$54+'难度参数'!$E$55+'难度参数'!$E$56+'难度参数'!$E$57),1,0)</x:f>
        <x:v>6</x:v>
      </x:c>
      <x:c r="W553" s="62" t="str">
        <x:f>IF(L553&gt;'难度参数'!$E$51,"仅出怪已超目标","还需实测")</x:f>
        <x:v>仅出怪已超目标</x:v>
      </x:c>
      <x:c r="X553" s="119" t="n">
        <x:f>IF(1&gt;D553,0,MAX(2,MIN('难度参数'!$E$12,ROUND(('难度参数'!$E$18*POWER(A553,'难度参数'!$E$19)/D553*(0.85+0.3*(1-1)/MAX(1,D553-1))),0)+F553)))</x:f>
        <x:v>36</x:v>
      </x:c>
      <x:c r="Y553" s="119" t="n">
        <x:f>IF(1&gt;D553,0,ROUND(('难度参数'!$E$13*POWER(A553,'难度参数'!$E$20)*MIN('难度参数'!$E$23,1+MAX(0,A553-'难度参数'!$E$21)*'难度参数'!$E$22))*(36+1*7)/(36+7*(D553+1)/2)*E553,0))</x:f>
        <x:v>8491</x:v>
      </x:c>
      <x:c r="Z553" s="119" t="n">
        <x:f>IF(X553=0,0,(X553-IF(1=D553,1,0))*ROUND(Y553*VLOOKUP(INDEX('章节与怪物'!$E$31:$K$37,B553,1),'章节与怪物'!$A$41:$F$44,2,FALSE),0)+IF(1=D553,ROUND(Y553*'难度参数'!$E$28*'章节与怪物'!$E$17,0),0))</x:f>
        <x:v>305676</x:v>
      </x:c>
      <x:c r="AA553" s="119" t="n">
        <x:f>IF(X553=0,0,(X553-IF(1=D553,1,0))*VLOOKUP(INDEX('章节与怪物'!$E$31:$K$37,B553,1),'章节与怪物'!$A$41:$F$44,4,FALSE)+IF(1=D553,'难度参数'!$E$30,0))</x:f>
        <x:v>648</x:v>
      </x:c>
      <x:c r="AB553" s="119" t="n">
        <x:f>IF(2&gt;D553,0,MAX(2,MIN('难度参数'!$E$12,ROUND(('难度参数'!$E$18*POWER(A553,'难度参数'!$E$19)/D553*(0.85+0.3*(2-1)/MAX(1,D553-1))),0)+F553)))</x:f>
        <x:v>39</x:v>
      </x:c>
      <x:c r="AC553" s="119" t="n">
        <x:f>IF(2&gt;D553,0,ROUND(('难度参数'!$E$13*POWER(A553,'难度参数'!$E$20)*MIN('难度参数'!$E$23,1+MAX(0,A553-'难度参数'!$E$21)*'难度参数'!$E$22))*(36+2*7)/(36+7*(D553+1)/2)*E553,0))</x:f>
        <x:v>9874</x:v>
      </x:c>
      <x:c r="AD553" s="119" t="n">
        <x:f>IF(AB553=0,0,(AB553-IF(2=D553,1,0))*ROUND(AC553*VLOOKUP(INDEX('章节与怪物'!$E$31:$K$37,B553,2),'章节与怪物'!$A$41:$F$44,2,FALSE),0)+IF(2=D553,ROUND(AC553*'难度参数'!$E$28*'章节与怪物'!$E$17,0),0))</x:f>
        <x:v>277251</x:v>
      </x:c>
      <x:c r="AE553" s="119" t="n">
        <x:f>IF(AB553=0,0,(AB553-IF(2=D553,1,0))*VLOOKUP(INDEX('章节与怪物'!$E$31:$K$37,B553,2),'章节与怪物'!$A$41:$F$44,4,FALSE)+IF(2=D553,'难度参数'!$E$30,0))</x:f>
        <x:v>780</x:v>
      </x:c>
      <x:c r="AF553" s="119" t="n">
        <x:f>IF(3&gt;D553,0,MAX(2,MIN('难度参数'!$E$12,ROUND(('难度参数'!$E$18*POWER(A553,'难度参数'!$E$19)/D553*(0.85+0.3*(3-1)/MAX(1,D553-1))),0)+F553)))</x:f>
        <x:v>41</x:v>
      </x:c>
      <x:c r="AG553" s="119" t="n">
        <x:f>IF(3&gt;D553,0,ROUND(('难度参数'!$E$13*POWER(A553,'难度参数'!$E$20)*MIN('难度参数'!$E$23,1+MAX(0,A553-'难度参数'!$E$21)*'难度参数'!$E$22))*(36+3*7)/(36+7*(D553+1)/2)*E553,0))</x:f>
        <x:v>11256</x:v>
      </x:c>
      <x:c r="AH553" s="119" t="n">
        <x:f>IF(AF553=0,0,(AF553-IF(3=D553,1,0))*ROUND(AG553*VLOOKUP(INDEX('章节与怪物'!$E$31:$K$37,B553,3),'章节与怪物'!$A$41:$F$44,2,FALSE),0)+IF(3=D553,ROUND(AG553*'难度参数'!$E$28*'章节与怪物'!$E$17,0),0))</x:f>
        <x:v>784535</x:v>
      </x:c>
      <x:c r="AI553" s="119" t="n">
        <x:f>IF(AF553=0,0,(AF553-IF(3=D553,1,0))*VLOOKUP(INDEX('章节与怪物'!$E$31:$K$37,B553,3),'章节与怪物'!$A$41:$F$44,4,FALSE)+IF(3=D553,'难度参数'!$E$30,0))</x:f>
        <x:v>1148</x:v>
      </x:c>
      <x:c r="AJ553" s="119" t="n">
        <x:f>IF(4&gt;D553,0,MAX(2,MIN('难度参数'!$E$12,ROUND(('难度参数'!$E$18*POWER(A553,'难度参数'!$E$19)/D553*(0.85+0.3*(4-1)/MAX(1,D553-1))),0)+F553)))</x:f>
        <x:v>43</x:v>
      </x:c>
      <x:c r="AK553" s="119" t="n">
        <x:f>IF(4&gt;D553,0,ROUND(('难度参数'!$E$13*POWER(A553,'难度参数'!$E$20)*MIN('难度参数'!$E$23,1+MAX(0,A553-'难度参数'!$E$21)*'难度参数'!$E$22))*(36+4*7)/(36+7*(D553+1)/2)*E553,0))</x:f>
        <x:v>12638</x:v>
      </x:c>
      <x:c r="AL553" s="119" t="n">
        <x:f>IF(AJ553=0,0,(AJ553-IF(4=D553,1,0))*ROUND(AK553*VLOOKUP(INDEX('章节与怪物'!$E$31:$K$37,B553,4),'章节与怪物'!$A$41:$F$44,2,FALSE),0)+IF(4=D553,ROUND(AK553*'难度参数'!$E$28*'章节与怪物'!$E$17,0),0))</x:f>
        <x:v>733623</x:v>
      </x:c>
      <x:c r="AM553" s="119" t="n">
        <x:f>IF(AJ553=0,0,(AJ553-IF(4=D553,1,0))*VLOOKUP(INDEX('章节与怪物'!$E$31:$K$37,B553,4),'章节与怪物'!$A$41:$F$44,4,FALSE)+IF(4=D553,'难度参数'!$E$30,0))</x:f>
        <x:v>1462</x:v>
      </x:c>
      <x:c r="AN553" s="119" t="n">
        <x:f>IF(5&gt;D553,0,MAX(2,MIN('难度参数'!$E$12,ROUND(('难度参数'!$E$18*POWER(A553,'难度参数'!$E$19)/D553*(0.85+0.3*(5-1)/MAX(1,D553-1))),0)+F553)))</x:f>
        <x:v>45</x:v>
      </x:c>
      <x:c r="AO553" s="119" t="n">
        <x:f>IF(5&gt;D553,0,ROUND(('难度参数'!$E$13*POWER(A553,'难度参数'!$E$20)*MIN('难度参数'!$E$23,1+MAX(0,A553-'难度参数'!$E$21)*'难度参数'!$E$22))*(36+5*7)/(36+7*(D553+1)/2)*E553,0))</x:f>
        <x:v>14020</x:v>
      </x:c>
      <x:c r="AP553" s="119" t="n">
        <x:f>IF(AN553=0,0,(AN553-IF(5=D553,1,0))*ROUND(AO553*VLOOKUP(INDEX('章节与怪物'!$E$31:$K$37,B553,5),'章节与怪物'!$A$41:$F$44,2,FALSE),0)+IF(5=D553,ROUND(AO553*'难度参数'!$E$28*'章节与怪物'!$E$17,0),0))</x:f>
        <x:v>454230</x:v>
      </x:c>
      <x:c r="AQ553" s="119" t="n">
        <x:f>IF(AN553=0,0,(AN553-IF(5=D553,1,0))*VLOOKUP(INDEX('章节与怪物'!$E$31:$K$37,B553,5),'章节与怪物'!$A$41:$F$44,4,FALSE)+IF(5=D553,'难度参数'!$E$30,0))</x:f>
        <x:v>900</x:v>
      </x:c>
      <x:c r="AR553" s="119" t="n">
        <x:f>IF(6&gt;D553,0,MAX(2,MIN('难度参数'!$E$12,ROUND(('难度参数'!$E$18*POWER(A553,'难度参数'!$E$19)/D553*(0.85+0.3*(6-1)/MAX(1,D553-1))),0)+F553)))</x:f>
        <x:v>47</x:v>
      </x:c>
      <x:c r="AS553" s="119" t="n">
        <x:f>IF(6&gt;D553,0,ROUND(('难度参数'!$E$13*POWER(A553,'难度参数'!$E$20)*MIN('难度参数'!$E$23,1+MAX(0,A553-'难度参数'!$E$21)*'难度参数'!$E$22))*(36+6*7)/(36+7*(D553+1)/2)*E553,0))</x:f>
        <x:v>15403</x:v>
      </x:c>
      <x:c r="AT553" s="119" t="n">
        <x:f>IF(AR553=0,0,(AR553-IF(6=D553,1,0))*ROUND(AS553*VLOOKUP(INDEX('章节与怪物'!$E$31:$K$37,B553,6),'章节与怪物'!$A$41:$F$44,2,FALSE),0)+IF(6=D553,ROUND(AS553*'难度参数'!$E$28*'章节与怪物'!$E$17,0),0))</x:f>
        <x:v>1230695</x:v>
      </x:c>
      <x:c r="AU553" s="119" t="n">
        <x:f>IF(AR553=0,0,(AR553-IF(6=D553,1,0))*VLOOKUP(INDEX('章节与怪物'!$E$31:$K$37,B553,6),'章节与怪物'!$A$41:$F$44,4,FALSE)+IF(6=D553,'难度参数'!$E$30,0))</x:f>
        <x:v>1316</x:v>
      </x:c>
      <x:c r="AV553" s="119" t="n">
        <x:f>IF(7&gt;D553,0,MAX(2,MIN('难度参数'!$E$12,ROUND(('难度参数'!$E$18*POWER(A553,'难度参数'!$E$19)/D553*(0.85+0.3*(7-1)/MAX(1,D553-1))),0)+F553)))</x:f>
        <x:v>49</x:v>
      </x:c>
      <x:c r="AW553" s="119" t="n">
        <x:f>IF(7&gt;D553,0,ROUND(('难度参数'!$E$13*POWER(A553,'难度参数'!$E$20)*MIN('难度参数'!$E$23,1+MAX(0,A553-'难度参数'!$E$21)*'难度参数'!$E$22))*(36+7*7)/(36+7*(D553+1)/2)*E553,0))</x:f>
        <x:v>16785</x:v>
      </x:c>
      <x:c r="AX553" s="119" t="n">
        <x:f>IF(AV553=0,0,(AV553-IF(7=D553,1,0))*ROUND(AW553*VLOOKUP(INDEX('章节与怪物'!$E$31:$K$37,B553,7),'章节与怪物'!$A$41:$F$44,2,FALSE),0)+IF(7=D553,ROUND(AW553*'难度参数'!$E$28*'章节与怪物'!$E$17,0),0))</x:f>
        <x:v>1201818</x:v>
      </x:c>
      <x:c r="AY553" s="119" t="n">
        <x:f>IF(AV553=0,0,(AV553-IF(7=D553,1,0))*VLOOKUP(INDEX('章节与怪物'!$E$31:$K$37,B553,7),'章节与怪物'!$A$41:$F$44,4,FALSE)+IF(7=D553,'难度参数'!$E$30,0))</x:f>
        <x:v>1832</x:v>
      </x:c>
    </x:row>
    <x:row r="554" ht="23" customHeight="1">
      <x:c r="A554" s="119" t="n">
        <x:v>548</x:v>
      </x:c>
      <x:c r="B554" s="119" t="n">
        <x:f>MOD(INT((A554-1)/5),7)+1</x:f>
        <x:v>5</x:v>
      </x:c>
      <x:c r="C554" s="62" t="str">
        <x:f>INDEX('章节与怪物'!$B$31:$B$37,B554)</x:f>
        <x:v>雨林遗迹</x:v>
      </x:c>
      <x:c r="D554" s="119" t="n">
        <x:f>MIN('难度参数'!$E$8,MAX('难度参数'!$E$7,A554))</x:f>
        <x:v>7</x:v>
      </x:c>
      <x:c r="E554" s="106" t="n">
        <x:v>1</x:v>
      </x:c>
      <x:c r="F554" s="106" t="n">
        <x:v>0</x:v>
      </x:c>
      <x:c r="G554" s="106" t="n">
        <x:v>1</x:v>
      </x:c>
      <x:c r="H554" s="119" t="n">
        <x:f>SUM(X554,AB554,AF554,AJ554,AN554,AR554,AV554)</x:f>
        <x:v>300</x:v>
      </x:c>
      <x:c r="I554" s="119" t="n">
        <x:f>SUM(Z554,AD554,AH554,AL554,AP554,AT554,AX554)</x:f>
        <x:v>4994439</x:v>
      </x:c>
      <x:c r="J554" s="119" t="n">
        <x:f>ROUND(INDEX(X554:AY554,1,(D554-1)*4+2)*'难度参数'!$E$28*'章节与怪物'!$E$17,0)</x:f>
        <x:v>114288</x:v>
      </x:c>
      <x:c r="K554" s="119" t="n">
        <x:f>SUM(AA554,AE554,AI554,AM554,AQ554,AU554,AY554)</x:f>
        <x:v>8086</x:v>
      </x:c>
      <x:c r="L554" s="62" t="n">
        <x:f>H554*(ROUNDUP('难度参数'!$E$24/('难度参数'!$E$26*'难度参数'!$E$27),0)*'难度参数'!$E$26)/60</x:f>
        <x:v>4</x:v>
      </x:c>
      <x:c r="M554" s="62" t="n">
        <x:f>L554+D554*('难度参数'!$E$49+'难度参数'!$E$50)/60</x:f>
        <x:v>5.166666666666667</x:v>
      </x:c>
      <x:c r="N554" s="119" t="n">
        <x:f>ROUNDDOWN(('经济参数'!$E$20+A554*'经济参数'!$E$21)*G554,0)</x:f>
        <x:v>11140</x:v>
      </x:c>
      <x:c r="O554" s="119" t="n">
        <x:f>ROUNDDOWN(MIN('经济参数'!$E$24,'经济参数'!$E$22+A554*'经济参数'!$E$23)*G554,0)</x:f>
        <x:v>0</x:v>
      </x:c>
      <x:c r="P554" s="119" t="n">
        <x:f>ROUNDDOWN((IF(A554&gt;='材料与任务'!$E$31,'材料与任务'!$E$32,IF(A554&gt;='材料与任务'!$E$25,'材料与任务'!$E$26,IF(A554&gt;='材料与任务'!$E$19,'材料与任务'!$E$20,IF(A554&gt;='材料与任务'!$E$13,'材料与任务'!$E$14,'材料与任务'!$E$8)))))*G554,0)</x:f>
        <x:v>6</x:v>
      </x:c>
      <x:c r="Q554" s="119" t="n">
        <x:f>ROUNDDOWN((IF(A554&gt;='材料与任务'!$E$31,'材料与任务'!$E$33,IF(A554&gt;='材料与任务'!$E$25,'材料与任务'!$E$27,IF(A554&gt;='材料与任务'!$E$19,'材料与任务'!$E$21,IF(A554&gt;='材料与任务'!$E$13,'材料与任务'!$E$15,'材料与任务'!$E$9)))))*G554,0)</x:f>
        <x:v>3</x:v>
      </x:c>
      <x:c r="R554" s="110" t="n">
        <x:f>'装备掉落'!$B$38</x:f>
        <x:v>0.6872058758851213</x:v>
      </x:c>
      <x:c r="S554" s="119" t="n">
        <x:f>MAX(IF(VLOOKUP(A554,'装备掉落'!$A$29:$H$34,2,TRUE)&gt;0,1,0),IF(VLOOKUP(A554,'装备掉落'!$A$29:$H$34,3,TRUE)&gt;0,2,0),IF(VLOOKUP(A554,'装备掉落'!$A$29:$H$34,4,TRUE)&gt;0,3,0),IF(VLOOKUP(A554,'装备掉落'!$A$29:$H$34,5,TRUE)&gt;0,4,0),IF(VLOOKUP(A554,'装备掉落'!$A$29:$H$34,6,TRUE)&gt;0,5,0),IF(VLOOKUP(A554,'装备掉落'!$A$29:$H$34,7,TRUE)&gt;0,6,0),IF(VLOOKUP(A554,'装备掉落'!$A$29:$H$34,8,TRUE)&gt;0,7,0))</x:f>
        <x:v>7</x:v>
      </x:c>
      <x:c r="T554" s="119" t="n">
        <x:f>MIN(7,S554+'经济参数'!$E$70)</x:f>
        <x:v>7</x:v>
      </x:c>
      <x:c r="U554" s="119" t="n">
        <x:f>MIN(7,S554+'经济参数'!$E$71)</x:f>
        <x:v>7</x:v>
      </x:c>
      <x:c r="V554" s="119" t="n">
        <x:f>IF(H554&gt;=('难度参数'!$E$52),1,0)+IF(H554&gt;=('难度参数'!$E$52+'难度参数'!$E$53),1,0)+IF(H554&gt;=('难度参数'!$E$52+'难度参数'!$E$53+'难度参数'!$E$54),1,0)+IF(H554&gt;=('难度参数'!$E$52+'难度参数'!$E$53+'难度参数'!$E$54+'难度参数'!$E$55),1,0)+IF(H554&gt;=('难度参数'!$E$52+'难度参数'!$E$53+'难度参数'!$E$54+'难度参数'!$E$55+'难度参数'!$E$56),1,0)+IF(H554&gt;=('难度参数'!$E$52+'难度参数'!$E$53+'难度参数'!$E$54+'难度参数'!$E$55+'难度参数'!$E$56+'难度参数'!$E$57),1,0)</x:f>
        <x:v>6</x:v>
      </x:c>
      <x:c r="W554" s="62" t="str">
        <x:f>IF(L554&gt;'难度参数'!$E$51,"仅出怪已超目标","还需实测")</x:f>
        <x:v>仅出怪已超目标</x:v>
      </x:c>
      <x:c r="X554" s="119" t="n">
        <x:f>IF(1&gt;D554,0,MAX(2,MIN('难度参数'!$E$12,ROUND(('难度参数'!$E$18*POWER(A554,'难度参数'!$E$19)/D554*(0.85+0.3*(1-1)/MAX(1,D554-1))),0)+F554)))</x:f>
        <x:v>36</x:v>
      </x:c>
      <x:c r="Y554" s="119" t="n">
        <x:f>IF(1&gt;D554,0,ROUND(('难度参数'!$E$13*POWER(A554,'难度参数'!$E$20)*MIN('难度参数'!$E$23,1+MAX(0,A554-'难度参数'!$E$21)*'难度参数'!$E$22))*(36+1*7)/(36+7*(D554+1)/2)*E554,0))</x:f>
        <x:v>8502</x:v>
      </x:c>
      <x:c r="Z554" s="119" t="n">
        <x:f>IF(X554=0,0,(X554-IF(1=D554,1,0))*ROUND(Y554*VLOOKUP(INDEX('章节与怪物'!$E$31:$K$37,B554,1),'章节与怪物'!$A$41:$F$44,2,FALSE),0)+IF(1=D554,ROUND(Y554*'难度参数'!$E$28*'章节与怪物'!$E$17,0),0))</x:f>
        <x:v>306072</x:v>
      </x:c>
      <x:c r="AA554" s="119" t="n">
        <x:f>IF(X554=0,0,(X554-IF(1=D554,1,0))*VLOOKUP(INDEX('章节与怪物'!$E$31:$K$37,B554,1),'章节与怪物'!$A$41:$F$44,4,FALSE)+IF(1=D554,'难度参数'!$E$30,0))</x:f>
        <x:v>648</x:v>
      </x:c>
      <x:c r="AB554" s="119" t="n">
        <x:f>IF(2&gt;D554,0,MAX(2,MIN('难度参数'!$E$12,ROUND(('难度参数'!$E$18*POWER(A554,'难度参数'!$E$19)/D554*(0.85+0.3*(2-1)/MAX(1,D554-1))),0)+F554)))</x:f>
        <x:v>39</x:v>
      </x:c>
      <x:c r="AC554" s="119" t="n">
        <x:f>IF(2&gt;D554,0,ROUND(('难度参数'!$E$13*POWER(A554,'难度参数'!$E$20)*MIN('难度参数'!$E$23,1+MAX(0,A554-'难度参数'!$E$21)*'难度参数'!$E$22))*(36+2*7)/(36+7*(D554+1)/2)*E554,0))</x:f>
        <x:v>9887</x:v>
      </x:c>
      <x:c r="AD554" s="119" t="n">
        <x:f>IF(AB554=0,0,(AB554-IF(2=D554,1,0))*ROUND(AC554*VLOOKUP(INDEX('章节与怪物'!$E$31:$K$37,B554,2),'章节与怪物'!$A$41:$F$44,2,FALSE),0)+IF(2=D554,ROUND(AC554*'难度参数'!$E$28*'章节与怪物'!$E$17,0),0))</x:f>
        <x:v>277641</x:v>
      </x:c>
      <x:c r="AE554" s="119" t="n">
        <x:f>IF(AB554=0,0,(AB554-IF(2=D554,1,0))*VLOOKUP(INDEX('章节与怪物'!$E$31:$K$37,B554,2),'章节与怪物'!$A$41:$F$44,4,FALSE)+IF(2=D554,'难度参数'!$E$30,0))</x:f>
        <x:v>780</x:v>
      </x:c>
      <x:c r="AF554" s="119" t="n">
        <x:f>IF(3&gt;D554,0,MAX(2,MIN('难度参数'!$E$12,ROUND(('难度参数'!$E$18*POWER(A554,'难度参数'!$E$19)/D554*(0.85+0.3*(3-1)/MAX(1,D554-1))),0)+F554)))</x:f>
        <x:v>41</x:v>
      </x:c>
      <x:c r="AG554" s="119" t="n">
        <x:f>IF(3&gt;D554,0,ROUND(('难度参数'!$E$13*POWER(A554,'难度参数'!$E$20)*MIN('难度参数'!$E$23,1+MAX(0,A554-'难度参数'!$E$21)*'难度参数'!$E$22))*(36+3*7)/(36+7*(D554+1)/2)*E554,0))</x:f>
        <x:v>11271</x:v>
      </x:c>
      <x:c r="AH554" s="119" t="n">
        <x:f>IF(AF554=0,0,(AF554-IF(3=D554,1,0))*ROUND(AG554*VLOOKUP(INDEX('章节与怪物'!$E$31:$K$37,B554,3),'章节与怪物'!$A$41:$F$44,2,FALSE),0)+IF(3=D554,ROUND(AG554*'难度参数'!$E$28*'章节与怪物'!$E$17,0),0))</x:f>
        <x:v>785601</x:v>
      </x:c>
      <x:c r="AI554" s="119" t="n">
        <x:f>IF(AF554=0,0,(AF554-IF(3=D554,1,0))*VLOOKUP(INDEX('章节与怪物'!$E$31:$K$37,B554,3),'章节与怪物'!$A$41:$F$44,4,FALSE)+IF(3=D554,'难度参数'!$E$30,0))</x:f>
        <x:v>1148</x:v>
      </x:c>
      <x:c r="AJ554" s="119" t="n">
        <x:f>IF(4&gt;D554,0,MAX(2,MIN('难度参数'!$E$12,ROUND(('难度参数'!$E$18*POWER(A554,'难度参数'!$E$19)/D554*(0.85+0.3*(4-1)/MAX(1,D554-1))),0)+F554)))</x:f>
        <x:v>43</x:v>
      </x:c>
      <x:c r="AK554" s="119" t="n">
        <x:f>IF(4&gt;D554,0,ROUND(('难度参数'!$E$13*POWER(A554,'难度参数'!$E$20)*MIN('难度参数'!$E$23,1+MAX(0,A554-'难度参数'!$E$21)*'难度参数'!$E$22))*(36+4*7)/(36+7*(D554+1)/2)*E554,0))</x:f>
        <x:v>12655</x:v>
      </x:c>
      <x:c r="AL554" s="119" t="n">
        <x:f>IF(AJ554=0,0,(AJ554-IF(4=D554,1,0))*ROUND(AK554*VLOOKUP(INDEX('章节与怪物'!$E$31:$K$37,B554,4),'章节与怪物'!$A$41:$F$44,2,FALSE),0)+IF(4=D554,ROUND(AK554*'难度参数'!$E$28*'章节与怪物'!$E$17,0),0))</x:f>
        <x:v>734612</x:v>
      </x:c>
      <x:c r="AM554" s="119" t="n">
        <x:f>IF(AJ554=0,0,(AJ554-IF(4=D554,1,0))*VLOOKUP(INDEX('章节与怪物'!$E$31:$K$37,B554,4),'章节与怪物'!$A$41:$F$44,4,FALSE)+IF(4=D554,'难度参数'!$E$30,0))</x:f>
        <x:v>1462</x:v>
      </x:c>
      <x:c r="AN554" s="119" t="n">
        <x:f>IF(5&gt;D554,0,MAX(2,MIN('难度参数'!$E$12,ROUND(('难度参数'!$E$18*POWER(A554,'难度参数'!$E$19)/D554*(0.85+0.3*(5-1)/MAX(1,D554-1))),0)+F554)))</x:f>
        <x:v>45</x:v>
      </x:c>
      <x:c r="AO554" s="119" t="n">
        <x:f>IF(5&gt;D554,0,ROUND(('难度参数'!$E$13*POWER(A554,'难度参数'!$E$20)*MIN('难度参数'!$E$23,1+MAX(0,A554-'难度参数'!$E$21)*'难度参数'!$E$22))*(36+5*7)/(36+7*(D554+1)/2)*E554,0))</x:f>
        <x:v>14039</x:v>
      </x:c>
      <x:c r="AP554" s="119" t="n">
        <x:f>IF(AN554=0,0,(AN554-IF(5=D554,1,0))*ROUND(AO554*VLOOKUP(INDEX('章节与怪物'!$E$31:$K$37,B554,5),'章节与怪物'!$A$41:$F$44,2,FALSE),0)+IF(5=D554,ROUND(AO554*'难度参数'!$E$28*'章节与怪物'!$E$17,0),0))</x:f>
        <x:v>454860</x:v>
      </x:c>
      <x:c r="AQ554" s="119" t="n">
        <x:f>IF(AN554=0,0,(AN554-IF(5=D554,1,0))*VLOOKUP(INDEX('章节与怪物'!$E$31:$K$37,B554,5),'章节与怪物'!$A$41:$F$44,4,FALSE)+IF(5=D554,'难度参数'!$E$30,0))</x:f>
        <x:v>900</x:v>
      </x:c>
      <x:c r="AR554" s="119" t="n">
        <x:f>IF(6&gt;D554,0,MAX(2,MIN('难度参数'!$E$12,ROUND(('难度参数'!$E$18*POWER(A554,'难度参数'!$E$19)/D554*(0.85+0.3*(6-1)/MAX(1,D554-1))),0)+F554)))</x:f>
        <x:v>47</x:v>
      </x:c>
      <x:c r="AS554" s="119" t="n">
        <x:f>IF(6&gt;D554,0,ROUND(('难度参数'!$E$13*POWER(A554,'难度参数'!$E$20)*MIN('难度参数'!$E$23,1+MAX(0,A554-'难度参数'!$E$21)*'难度参数'!$E$22))*(36+6*7)/(36+7*(D554+1)/2)*E554,0))</x:f>
        <x:v>15423</x:v>
      </x:c>
      <x:c r="AT554" s="119" t="n">
        <x:f>IF(AR554=0,0,(AR554-IF(6=D554,1,0))*ROUND(AS554*VLOOKUP(INDEX('章节与怪物'!$E$31:$K$37,B554,6),'章节与怪物'!$A$41:$F$44,2,FALSE),0)+IF(6=D554,ROUND(AS554*'难度参数'!$E$28*'章节与怪物'!$E$17,0),0))</x:f>
        <x:v>1232293</x:v>
      </x:c>
      <x:c r="AU554" s="119" t="n">
        <x:f>IF(AR554=0,0,(AR554-IF(6=D554,1,0))*VLOOKUP(INDEX('章节与怪物'!$E$31:$K$37,B554,6),'章节与怪物'!$A$41:$F$44,4,FALSE)+IF(6=D554,'难度参数'!$E$30,0))</x:f>
        <x:v>1316</x:v>
      </x:c>
      <x:c r="AV554" s="119" t="n">
        <x:f>IF(7&gt;D554,0,MAX(2,MIN('难度参数'!$E$12,ROUND(('难度参数'!$E$18*POWER(A554,'难度参数'!$E$19)/D554*(0.85+0.3*(7-1)/MAX(1,D554-1))),0)+F554)))</x:f>
        <x:v>49</x:v>
      </x:c>
      <x:c r="AW554" s="119" t="n">
        <x:f>IF(7&gt;D554,0,ROUND(('难度参数'!$E$13*POWER(A554,'难度参数'!$E$20)*MIN('难度参数'!$E$23,1+MAX(0,A554-'难度参数'!$E$21)*'难度参数'!$E$22))*(36+7*7)/(36+7*(D554+1)/2)*E554,0))</x:f>
        <x:v>16807</x:v>
      </x:c>
      <x:c r="AX554" s="119" t="n">
        <x:f>IF(AV554=0,0,(AV554-IF(7=D554,1,0))*ROUND(AW554*VLOOKUP(INDEX('章节与怪物'!$E$31:$K$37,B554,7),'章节与怪物'!$A$41:$F$44,2,FALSE),0)+IF(7=D554,ROUND(AW554*'难度参数'!$E$28*'章节与怪物'!$E$17,0),0))</x:f>
        <x:v>1203360</x:v>
      </x:c>
      <x:c r="AY554" s="119" t="n">
        <x:f>IF(AV554=0,0,(AV554-IF(7=D554,1,0))*VLOOKUP(INDEX('章节与怪物'!$E$31:$K$37,B554,7),'章节与怪物'!$A$41:$F$44,4,FALSE)+IF(7=D554,'难度参数'!$E$30,0))</x:f>
        <x:v>1832</x:v>
      </x:c>
    </x:row>
    <x:row r="555" ht="23" customHeight="1">
      <x:c r="A555" s="119" t="n">
        <x:v>549</x:v>
      </x:c>
      <x:c r="B555" s="119" t="n">
        <x:f>MOD(INT((A555-1)/5),7)+1</x:f>
        <x:v>5</x:v>
      </x:c>
      <x:c r="C555" s="62" t="str">
        <x:f>INDEX('章节与怪物'!$B$31:$B$37,B555)</x:f>
        <x:v>雨林遗迹</x:v>
      </x:c>
      <x:c r="D555" s="119" t="n">
        <x:f>MIN('难度参数'!$E$8,MAX('难度参数'!$E$7,A555))</x:f>
        <x:v>7</x:v>
      </x:c>
      <x:c r="E555" s="106" t="n">
        <x:v>1</x:v>
      </x:c>
      <x:c r="F555" s="106" t="n">
        <x:v>0</x:v>
      </x:c>
      <x:c r="G555" s="106" t="n">
        <x:v>1</x:v>
      </x:c>
      <x:c r="H555" s="119" t="n">
        <x:f>SUM(X555,AB555,AF555,AJ555,AN555,AR555,AV555)</x:f>
        <x:v>300</x:v>
      </x:c>
      <x:c r="I555" s="119" t="n">
        <x:f>SUM(Z555,AD555,AH555,AL555,AP555,AT555,AX555)</x:f>
        <x:v>5000924</x:v>
      </x:c>
      <x:c r="J555" s="119" t="n">
        <x:f>ROUND(INDEX(X555:AY555,1,(D555-1)*4+2)*'难度参数'!$E$28*'章节与怪物'!$E$17,0)</x:f>
        <x:v>114437</x:v>
      </x:c>
      <x:c r="K555" s="119" t="n">
        <x:f>SUM(AA555,AE555,AI555,AM555,AQ555,AU555,AY555)</x:f>
        <x:v>8086</x:v>
      </x:c>
      <x:c r="L555" s="62" t="n">
        <x:f>H555*(ROUNDUP('难度参数'!$E$24/('难度参数'!$E$26*'难度参数'!$E$27),0)*'难度参数'!$E$26)/60</x:f>
        <x:v>4</x:v>
      </x:c>
      <x:c r="M555" s="62" t="n">
        <x:f>L555+D555*('难度参数'!$E$49+'难度参数'!$E$50)/60</x:f>
        <x:v>5.166666666666667</x:v>
      </x:c>
      <x:c r="N555" s="119" t="n">
        <x:f>ROUNDDOWN(('经济参数'!$E$20+A555*'经济参数'!$E$21)*G555,0)</x:f>
        <x:v>11160</x:v>
      </x:c>
      <x:c r="O555" s="119" t="n">
        <x:f>ROUNDDOWN(MIN('经济参数'!$E$24,'经济参数'!$E$22+A555*'经济参数'!$E$23)*G555,0)</x:f>
        <x:v>0</x:v>
      </x:c>
      <x:c r="P555" s="119" t="n">
        <x:f>ROUNDDOWN((IF(A555&gt;='材料与任务'!$E$31,'材料与任务'!$E$32,IF(A555&gt;='材料与任务'!$E$25,'材料与任务'!$E$26,IF(A555&gt;='材料与任务'!$E$19,'材料与任务'!$E$20,IF(A555&gt;='材料与任务'!$E$13,'材料与任务'!$E$14,'材料与任务'!$E$8)))))*G555,0)</x:f>
        <x:v>6</x:v>
      </x:c>
      <x:c r="Q555" s="119" t="n">
        <x:f>ROUNDDOWN((IF(A555&gt;='材料与任务'!$E$31,'材料与任务'!$E$33,IF(A555&gt;='材料与任务'!$E$25,'材料与任务'!$E$27,IF(A555&gt;='材料与任务'!$E$19,'材料与任务'!$E$21,IF(A555&gt;='材料与任务'!$E$13,'材料与任务'!$E$15,'材料与任务'!$E$9)))))*G555,0)</x:f>
        <x:v>3</x:v>
      </x:c>
      <x:c r="R555" s="110" t="n">
        <x:f>'装备掉落'!$B$38</x:f>
        <x:v>0.6872058758851213</x:v>
      </x:c>
      <x:c r="S555" s="119" t="n">
        <x:f>MAX(IF(VLOOKUP(A555,'装备掉落'!$A$29:$H$34,2,TRUE)&gt;0,1,0),IF(VLOOKUP(A555,'装备掉落'!$A$29:$H$34,3,TRUE)&gt;0,2,0),IF(VLOOKUP(A555,'装备掉落'!$A$29:$H$34,4,TRUE)&gt;0,3,0),IF(VLOOKUP(A555,'装备掉落'!$A$29:$H$34,5,TRUE)&gt;0,4,0),IF(VLOOKUP(A555,'装备掉落'!$A$29:$H$34,6,TRUE)&gt;0,5,0),IF(VLOOKUP(A555,'装备掉落'!$A$29:$H$34,7,TRUE)&gt;0,6,0),IF(VLOOKUP(A555,'装备掉落'!$A$29:$H$34,8,TRUE)&gt;0,7,0))</x:f>
        <x:v>7</x:v>
      </x:c>
      <x:c r="T555" s="119" t="n">
        <x:f>MIN(7,S555+'经济参数'!$E$70)</x:f>
        <x:v>7</x:v>
      </x:c>
      <x:c r="U555" s="119" t="n">
        <x:f>MIN(7,S555+'经济参数'!$E$71)</x:f>
        <x:v>7</x:v>
      </x:c>
      <x:c r="V555" s="119" t="n">
        <x:f>IF(H555&gt;=('难度参数'!$E$52),1,0)+IF(H555&gt;=('难度参数'!$E$52+'难度参数'!$E$53),1,0)+IF(H555&gt;=('难度参数'!$E$52+'难度参数'!$E$53+'难度参数'!$E$54),1,0)+IF(H555&gt;=('难度参数'!$E$52+'难度参数'!$E$53+'难度参数'!$E$54+'难度参数'!$E$55),1,0)+IF(H555&gt;=('难度参数'!$E$52+'难度参数'!$E$53+'难度参数'!$E$54+'难度参数'!$E$55+'难度参数'!$E$56),1,0)+IF(H555&gt;=('难度参数'!$E$52+'难度参数'!$E$53+'难度参数'!$E$54+'难度参数'!$E$55+'难度参数'!$E$56+'难度参数'!$E$57),1,0)</x:f>
        <x:v>6</x:v>
      </x:c>
      <x:c r="W555" s="62" t="str">
        <x:f>IF(L555&gt;'难度参数'!$E$51,"仅出怪已超目标","还需实测")</x:f>
        <x:v>仅出怪已超目标</x:v>
      </x:c>
      <x:c r="X555" s="119" t="n">
        <x:f>IF(1&gt;D555,0,MAX(2,MIN('难度参数'!$E$12,ROUND(('难度参数'!$E$18*POWER(A555,'难度参数'!$E$19)/D555*(0.85+0.3*(1-1)/MAX(1,D555-1))),0)+F555)))</x:f>
        <x:v>36</x:v>
      </x:c>
      <x:c r="Y555" s="119" t="n">
        <x:f>IF(1&gt;D555,0,ROUND(('难度参数'!$E$13*POWER(A555,'难度参数'!$E$20)*MIN('难度参数'!$E$23,1+MAX(0,A555-'难度参数'!$E$21)*'难度参数'!$E$22))*(36+1*7)/(36+7*(D555+1)/2)*E555,0))</x:f>
        <x:v>8514</x:v>
      </x:c>
      <x:c r="Z555" s="119" t="n">
        <x:f>IF(X555=0,0,(X555-IF(1=D555,1,0))*ROUND(Y555*VLOOKUP(INDEX('章节与怪物'!$E$31:$K$37,B555,1),'章节与怪物'!$A$41:$F$44,2,FALSE),0)+IF(1=D555,ROUND(Y555*'难度参数'!$E$28*'章节与怪物'!$E$17,0),0))</x:f>
        <x:v>306504</x:v>
      </x:c>
      <x:c r="AA555" s="119" t="n">
        <x:f>IF(X555=0,0,(X555-IF(1=D555,1,0))*VLOOKUP(INDEX('章节与怪物'!$E$31:$K$37,B555,1),'章节与怪物'!$A$41:$F$44,4,FALSE)+IF(1=D555,'难度参数'!$E$30,0))</x:f>
        <x:v>648</x:v>
      </x:c>
      <x:c r="AB555" s="119" t="n">
        <x:f>IF(2&gt;D555,0,MAX(2,MIN('难度参数'!$E$12,ROUND(('难度参数'!$E$18*POWER(A555,'难度参数'!$E$19)/D555*(0.85+0.3*(2-1)/MAX(1,D555-1))),0)+F555)))</x:f>
        <x:v>39</x:v>
      </x:c>
      <x:c r="AC555" s="119" t="n">
        <x:f>IF(2&gt;D555,0,ROUND(('难度参数'!$E$13*POWER(A555,'难度参数'!$E$20)*MIN('难度参数'!$E$23,1+MAX(0,A555-'难度参数'!$E$21)*'难度参数'!$E$22))*(36+2*7)/(36+7*(D555+1)/2)*E555,0))</x:f>
        <x:v>9900</x:v>
      </x:c>
      <x:c r="AD555" s="119" t="n">
        <x:f>IF(AB555=0,0,(AB555-IF(2=D555,1,0))*ROUND(AC555*VLOOKUP(INDEX('章节与怪物'!$E$31:$K$37,B555,2),'章节与怪物'!$A$41:$F$44,2,FALSE),0)+IF(2=D555,ROUND(AC555*'难度参数'!$E$28*'章节与怪物'!$E$17,0),0))</x:f>
        <x:v>277992</x:v>
      </x:c>
      <x:c r="AE555" s="119" t="n">
        <x:f>IF(AB555=0,0,(AB555-IF(2=D555,1,0))*VLOOKUP(INDEX('章节与怪物'!$E$31:$K$37,B555,2),'章节与怪物'!$A$41:$F$44,4,FALSE)+IF(2=D555,'难度参数'!$E$30,0))</x:f>
        <x:v>780</x:v>
      </x:c>
      <x:c r="AF555" s="119" t="n">
        <x:f>IF(3&gt;D555,0,MAX(2,MIN('难度参数'!$E$12,ROUND(('难度参数'!$E$18*POWER(A555,'难度参数'!$E$19)/D555*(0.85+0.3*(3-1)/MAX(1,D555-1))),0)+F555)))</x:f>
        <x:v>41</x:v>
      </x:c>
      <x:c r="AG555" s="119" t="n">
        <x:f>IF(3&gt;D555,0,ROUND(('难度参数'!$E$13*POWER(A555,'难度参数'!$E$20)*MIN('难度参数'!$E$23,1+MAX(0,A555-'难度参数'!$E$21)*'难度参数'!$E$22))*(36+3*7)/(36+7*(D555+1)/2)*E555,0))</x:f>
        <x:v>11285</x:v>
      </x:c>
      <x:c r="AH555" s="119" t="n">
        <x:f>IF(AF555=0,0,(AF555-IF(3=D555,1,0))*ROUND(AG555*VLOOKUP(INDEX('章节与怪物'!$E$31:$K$37,B555,3),'章节与怪物'!$A$41:$F$44,2,FALSE),0)+IF(3=D555,ROUND(AG555*'难度参数'!$E$28*'章节与怪物'!$E$17,0),0))</x:f>
        <x:v>786585</x:v>
      </x:c>
      <x:c r="AI555" s="119" t="n">
        <x:f>IF(AF555=0,0,(AF555-IF(3=D555,1,0))*VLOOKUP(INDEX('章节与怪物'!$E$31:$K$37,B555,3),'章节与怪物'!$A$41:$F$44,4,FALSE)+IF(3=D555,'难度参数'!$E$30,0))</x:f>
        <x:v>1148</x:v>
      </x:c>
      <x:c r="AJ555" s="119" t="n">
        <x:f>IF(4&gt;D555,0,MAX(2,MIN('难度参数'!$E$12,ROUND(('难度参数'!$E$18*POWER(A555,'难度参数'!$E$19)/D555*(0.85+0.3*(4-1)/MAX(1,D555-1))),0)+F555)))</x:f>
        <x:v>43</x:v>
      </x:c>
      <x:c r="AK555" s="119" t="n">
        <x:f>IF(4&gt;D555,0,ROUND(('难度参数'!$E$13*POWER(A555,'难度参数'!$E$20)*MIN('难度参数'!$E$23,1+MAX(0,A555-'难度参数'!$E$21)*'难度参数'!$E$22))*(36+4*7)/(36+7*(D555+1)/2)*E555,0))</x:f>
        <x:v>12671</x:v>
      </x:c>
      <x:c r="AL555" s="119" t="n">
        <x:f>IF(AJ555=0,0,(AJ555-IF(4=D555,1,0))*ROUND(AK555*VLOOKUP(INDEX('章节与怪物'!$E$31:$K$37,B555,4),'章节与怪物'!$A$41:$F$44,2,FALSE),0)+IF(4=D555,ROUND(AK555*'难度参数'!$E$28*'章节与怪物'!$E$17,0),0))</x:f>
        <x:v>735558</x:v>
      </x:c>
      <x:c r="AM555" s="119" t="n">
        <x:f>IF(AJ555=0,0,(AJ555-IF(4=D555,1,0))*VLOOKUP(INDEX('章节与怪物'!$E$31:$K$37,B555,4),'章节与怪物'!$A$41:$F$44,4,FALSE)+IF(4=D555,'难度参数'!$E$30,0))</x:f>
        <x:v>1462</x:v>
      </x:c>
      <x:c r="AN555" s="119" t="n">
        <x:f>IF(5&gt;D555,0,MAX(2,MIN('难度参数'!$E$12,ROUND(('难度参数'!$E$18*POWER(A555,'难度参数'!$E$19)/D555*(0.85+0.3*(5-1)/MAX(1,D555-1))),0)+F555)))</x:f>
        <x:v>45</x:v>
      </x:c>
      <x:c r="AO555" s="119" t="n">
        <x:f>IF(5&gt;D555,0,ROUND(('难度参数'!$E$13*POWER(A555,'难度参数'!$E$20)*MIN('难度参数'!$E$23,1+MAX(0,A555-'难度参数'!$E$21)*'难度参数'!$E$22))*(36+5*7)/(36+7*(D555+1)/2)*E555,0))</x:f>
        <x:v>14057</x:v>
      </x:c>
      <x:c r="AP555" s="119" t="n">
        <x:f>IF(AN555=0,0,(AN555-IF(5=D555,1,0))*ROUND(AO555*VLOOKUP(INDEX('章节与怪物'!$E$31:$K$37,B555,5),'章节与怪物'!$A$41:$F$44,2,FALSE),0)+IF(5=D555,ROUND(AO555*'难度参数'!$E$28*'章节与怪物'!$E$17,0),0))</x:f>
        <x:v>455445</x:v>
      </x:c>
      <x:c r="AQ555" s="119" t="n">
        <x:f>IF(AN555=0,0,(AN555-IF(5=D555,1,0))*VLOOKUP(INDEX('章节与怪物'!$E$31:$K$37,B555,5),'章节与怪物'!$A$41:$F$44,4,FALSE)+IF(5=D555,'难度参数'!$E$30,0))</x:f>
        <x:v>900</x:v>
      </x:c>
      <x:c r="AR555" s="119" t="n">
        <x:f>IF(6&gt;D555,0,MAX(2,MIN('难度参数'!$E$12,ROUND(('难度参数'!$E$18*POWER(A555,'难度参数'!$E$19)/D555*(0.85+0.3*(6-1)/MAX(1,D555-1))),0)+F555)))</x:f>
        <x:v>47</x:v>
      </x:c>
      <x:c r="AS555" s="119" t="n">
        <x:f>IF(6&gt;D555,0,ROUND(('难度参数'!$E$13*POWER(A555,'难度参数'!$E$20)*MIN('难度参数'!$E$23,1+MAX(0,A555-'难度参数'!$E$21)*'难度参数'!$E$22))*(36+6*7)/(36+7*(D555+1)/2)*E555,0))</x:f>
        <x:v>15443</x:v>
      </x:c>
      <x:c r="AT555" s="119" t="n">
        <x:f>IF(AR555=0,0,(AR555-IF(6=D555,1,0))*ROUND(AS555*VLOOKUP(INDEX('章节与怪物'!$E$31:$K$37,B555,6),'章节与怪物'!$A$41:$F$44,2,FALSE),0)+IF(6=D555,ROUND(AS555*'难度参数'!$E$28*'章节与怪物'!$E$17,0),0))</x:f>
        <x:v>1233891</x:v>
      </x:c>
      <x:c r="AU555" s="119" t="n">
        <x:f>IF(AR555=0,0,(AR555-IF(6=D555,1,0))*VLOOKUP(INDEX('章节与怪物'!$E$31:$K$37,B555,6),'章节与怪物'!$A$41:$F$44,4,FALSE)+IF(6=D555,'难度参数'!$E$30,0))</x:f>
        <x:v>1316</x:v>
      </x:c>
      <x:c r="AV555" s="119" t="n">
        <x:f>IF(7&gt;D555,0,MAX(2,MIN('难度参数'!$E$12,ROUND(('难度参数'!$E$18*POWER(A555,'难度参数'!$E$19)/D555*(0.85+0.3*(7-1)/MAX(1,D555-1))),0)+F555)))</x:f>
        <x:v>49</x:v>
      </x:c>
      <x:c r="AW555" s="119" t="n">
        <x:f>IF(7&gt;D555,0,ROUND(('难度参数'!$E$13*POWER(A555,'难度参数'!$E$20)*MIN('难度参数'!$E$23,1+MAX(0,A555-'难度参数'!$E$21)*'难度参数'!$E$22))*(36+7*7)/(36+7*(D555+1)/2)*E555,0))</x:f>
        <x:v>16829</x:v>
      </x:c>
      <x:c r="AX555" s="119" t="n">
        <x:f>IF(AV555=0,0,(AV555-IF(7=D555,1,0))*ROUND(AW555*VLOOKUP(INDEX('章节与怪物'!$E$31:$K$37,B555,7),'章节与怪物'!$A$41:$F$44,2,FALSE),0)+IF(7=D555,ROUND(AW555*'难度参数'!$E$28*'章节与怪物'!$E$17,0),0))</x:f>
        <x:v>1204949</x:v>
      </x:c>
      <x:c r="AY555" s="119" t="n">
        <x:f>IF(AV555=0,0,(AV555-IF(7=D555,1,0))*VLOOKUP(INDEX('章节与怪物'!$E$31:$K$37,B555,7),'章节与怪物'!$A$41:$F$44,4,FALSE)+IF(7=D555,'难度参数'!$E$30,0))</x:f>
        <x:v>1832</x:v>
      </x:c>
    </x:row>
    <x:row r="556" ht="23" customHeight="1">
      <x:c r="A556" s="119" t="n">
        <x:v>550</x:v>
      </x:c>
      <x:c r="B556" s="119" t="n">
        <x:f>MOD(INT((A556-1)/5),7)+1</x:f>
        <x:v>5</x:v>
      </x:c>
      <x:c r="C556" s="62" t="str">
        <x:f>INDEX('章节与怪物'!$B$31:$B$37,B556)</x:f>
        <x:v>雨林遗迹</x:v>
      </x:c>
      <x:c r="D556" s="119" t="n">
        <x:f>MIN('难度参数'!$E$8,MAX('难度参数'!$E$7,A556))</x:f>
        <x:v>7</x:v>
      </x:c>
      <x:c r="E556" s="106" t="n">
        <x:v>1</x:v>
      </x:c>
      <x:c r="F556" s="106" t="n">
        <x:v>0</x:v>
      </x:c>
      <x:c r="G556" s="106" t="n">
        <x:v>1</x:v>
      </x:c>
      <x:c r="H556" s="119" t="n">
        <x:f>SUM(X556,AB556,AF556,AJ556,AN556,AR556,AV556)</x:f>
        <x:v>300</x:v>
      </x:c>
      <x:c r="I556" s="119" t="n">
        <x:f>SUM(Z556,AD556,AH556,AL556,AP556,AT556,AX556)</x:f>
        <x:v>5007597</x:v>
      </x:c>
      <x:c r="J556" s="119" t="n">
        <x:f>ROUND(INDEX(X556:AY556,1,(D556-1)*4+2)*'难度参数'!$E$28*'章节与怪物'!$E$17,0)</x:f>
        <x:v>114587</x:v>
      </x:c>
      <x:c r="K556" s="119" t="n">
        <x:f>SUM(AA556,AE556,AI556,AM556,AQ556,AU556,AY556)</x:f>
        <x:v>8086</x:v>
      </x:c>
      <x:c r="L556" s="62" t="n">
        <x:f>H556*(ROUNDUP('难度参数'!$E$24/('难度参数'!$E$26*'难度参数'!$E$27),0)*'难度参数'!$E$26)/60</x:f>
        <x:v>4</x:v>
      </x:c>
      <x:c r="M556" s="62" t="n">
        <x:f>L556+D556*('难度参数'!$E$49+'难度参数'!$E$50)/60</x:f>
        <x:v>5.166666666666667</x:v>
      </x:c>
      <x:c r="N556" s="119" t="n">
        <x:f>ROUNDDOWN(('经济参数'!$E$20+A556*'经济参数'!$E$21)*G556,0)</x:f>
        <x:v>11180</x:v>
      </x:c>
      <x:c r="O556" s="119" t="n">
        <x:f>ROUNDDOWN(MIN('经济参数'!$E$24,'经济参数'!$E$22+A556*'经济参数'!$E$23)*G556,0)</x:f>
        <x:v>0</x:v>
      </x:c>
      <x:c r="P556" s="119" t="n">
        <x:f>ROUNDDOWN((IF(A556&gt;='材料与任务'!$E$31,'材料与任务'!$E$32,IF(A556&gt;='材料与任务'!$E$25,'材料与任务'!$E$26,IF(A556&gt;='材料与任务'!$E$19,'材料与任务'!$E$20,IF(A556&gt;='材料与任务'!$E$13,'材料与任务'!$E$14,'材料与任务'!$E$8)))))*G556,0)</x:f>
        <x:v>6</x:v>
      </x:c>
      <x:c r="Q556" s="119" t="n">
        <x:f>ROUNDDOWN((IF(A556&gt;='材料与任务'!$E$31,'材料与任务'!$E$33,IF(A556&gt;='材料与任务'!$E$25,'材料与任务'!$E$27,IF(A556&gt;='材料与任务'!$E$19,'材料与任务'!$E$21,IF(A556&gt;='材料与任务'!$E$13,'材料与任务'!$E$15,'材料与任务'!$E$9)))))*G556,0)</x:f>
        <x:v>3</x:v>
      </x:c>
      <x:c r="R556" s="110" t="n">
        <x:f>'装备掉落'!$B$38</x:f>
        <x:v>0.6872058758851213</x:v>
      </x:c>
      <x:c r="S556" s="119" t="n">
        <x:f>MAX(IF(VLOOKUP(A556,'装备掉落'!$A$29:$H$34,2,TRUE)&gt;0,1,0),IF(VLOOKUP(A556,'装备掉落'!$A$29:$H$34,3,TRUE)&gt;0,2,0),IF(VLOOKUP(A556,'装备掉落'!$A$29:$H$34,4,TRUE)&gt;0,3,0),IF(VLOOKUP(A556,'装备掉落'!$A$29:$H$34,5,TRUE)&gt;0,4,0),IF(VLOOKUP(A556,'装备掉落'!$A$29:$H$34,6,TRUE)&gt;0,5,0),IF(VLOOKUP(A556,'装备掉落'!$A$29:$H$34,7,TRUE)&gt;0,6,0),IF(VLOOKUP(A556,'装备掉落'!$A$29:$H$34,8,TRUE)&gt;0,7,0))</x:f>
        <x:v>7</x:v>
      </x:c>
      <x:c r="T556" s="119" t="n">
        <x:f>MIN(7,S556+'经济参数'!$E$70)</x:f>
        <x:v>7</x:v>
      </x:c>
      <x:c r="U556" s="119" t="n">
        <x:f>MIN(7,S556+'经济参数'!$E$71)</x:f>
        <x:v>7</x:v>
      </x:c>
      <x:c r="V556" s="119" t="n">
        <x:f>IF(H556&gt;=('难度参数'!$E$52),1,0)+IF(H556&gt;=('难度参数'!$E$52+'难度参数'!$E$53),1,0)+IF(H556&gt;=('难度参数'!$E$52+'难度参数'!$E$53+'难度参数'!$E$54),1,0)+IF(H556&gt;=('难度参数'!$E$52+'难度参数'!$E$53+'难度参数'!$E$54+'难度参数'!$E$55),1,0)+IF(H556&gt;=('难度参数'!$E$52+'难度参数'!$E$53+'难度参数'!$E$54+'难度参数'!$E$55+'难度参数'!$E$56),1,0)+IF(H556&gt;=('难度参数'!$E$52+'难度参数'!$E$53+'难度参数'!$E$54+'难度参数'!$E$55+'难度参数'!$E$56+'难度参数'!$E$57),1,0)</x:f>
        <x:v>6</x:v>
      </x:c>
      <x:c r="W556" s="62" t="str">
        <x:f>IF(L556&gt;'难度参数'!$E$51,"仅出怪已超目标","还需实测")</x:f>
        <x:v>仅出怪已超目标</x:v>
      </x:c>
      <x:c r="X556" s="119" t="n">
        <x:f>IF(1&gt;D556,0,MAX(2,MIN('难度参数'!$E$12,ROUND(('难度参数'!$E$18*POWER(A556,'难度参数'!$E$19)/D556*(0.85+0.3*(1-1)/MAX(1,D556-1))),0)+F556)))</x:f>
        <x:v>36</x:v>
      </x:c>
      <x:c r="Y556" s="119" t="n">
        <x:f>IF(1&gt;D556,0,ROUND(('难度参数'!$E$13*POWER(A556,'难度参数'!$E$20)*MIN('难度参数'!$E$23,1+MAX(0,A556-'难度参数'!$E$21)*'难度参数'!$E$22))*(36+1*7)/(36+7*(D556+1)/2)*E556,0))</x:f>
        <x:v>8525</x:v>
      </x:c>
      <x:c r="Z556" s="119" t="n">
        <x:f>IF(X556=0,0,(X556-IF(1=D556,1,0))*ROUND(Y556*VLOOKUP(INDEX('章节与怪物'!$E$31:$K$37,B556,1),'章节与怪物'!$A$41:$F$44,2,FALSE),0)+IF(1=D556,ROUND(Y556*'难度参数'!$E$28*'章节与怪物'!$E$17,0),0))</x:f>
        <x:v>306900</x:v>
      </x:c>
      <x:c r="AA556" s="119" t="n">
        <x:f>IF(X556=0,0,(X556-IF(1=D556,1,0))*VLOOKUP(INDEX('章节与怪物'!$E$31:$K$37,B556,1),'章节与怪物'!$A$41:$F$44,4,FALSE)+IF(1=D556,'难度参数'!$E$30,0))</x:f>
        <x:v>648</x:v>
      </x:c>
      <x:c r="AB556" s="119" t="n">
        <x:f>IF(2&gt;D556,0,MAX(2,MIN('难度参数'!$E$12,ROUND(('难度参数'!$E$18*POWER(A556,'难度参数'!$E$19)/D556*(0.85+0.3*(2-1)/MAX(1,D556-1))),0)+F556)))</x:f>
        <x:v>39</x:v>
      </x:c>
      <x:c r="AC556" s="119" t="n">
        <x:f>IF(2&gt;D556,0,ROUND(('难度参数'!$E$13*POWER(A556,'难度参数'!$E$20)*MIN('难度参数'!$E$23,1+MAX(0,A556-'难度参数'!$E$21)*'难度参数'!$E$22))*(36+2*7)/(36+7*(D556+1)/2)*E556,0))</x:f>
        <x:v>9913</x:v>
      </x:c>
      <x:c r="AD556" s="119" t="n">
        <x:f>IF(AB556=0,0,(AB556-IF(2=D556,1,0))*ROUND(AC556*VLOOKUP(INDEX('章节与怪物'!$E$31:$K$37,B556,2),'章节与怪物'!$A$41:$F$44,2,FALSE),0)+IF(2=D556,ROUND(AC556*'难度参数'!$E$28*'章节与怪物'!$E$17,0),0))</x:f>
        <x:v>278343</x:v>
      </x:c>
      <x:c r="AE556" s="119" t="n">
        <x:f>IF(AB556=0,0,(AB556-IF(2=D556,1,0))*VLOOKUP(INDEX('章节与怪物'!$E$31:$K$37,B556,2),'章节与怪物'!$A$41:$F$44,4,FALSE)+IF(2=D556,'难度参数'!$E$30,0))</x:f>
        <x:v>780</x:v>
      </x:c>
      <x:c r="AF556" s="119" t="n">
        <x:f>IF(3&gt;D556,0,MAX(2,MIN('难度参数'!$E$12,ROUND(('难度参数'!$E$18*POWER(A556,'难度参数'!$E$19)/D556*(0.85+0.3*(3-1)/MAX(1,D556-1))),0)+F556)))</x:f>
        <x:v>41</x:v>
      </x:c>
      <x:c r="AG556" s="119" t="n">
        <x:f>IF(3&gt;D556,0,ROUND(('难度参数'!$E$13*POWER(A556,'难度参数'!$E$20)*MIN('难度参数'!$E$23,1+MAX(0,A556-'难度参数'!$E$21)*'难度参数'!$E$22))*(36+3*7)/(36+7*(D556+1)/2)*E556,0))</x:f>
        <x:v>11300</x:v>
      </x:c>
      <x:c r="AH556" s="119" t="n">
        <x:f>IF(AF556=0,0,(AF556-IF(3=D556,1,0))*ROUND(AG556*VLOOKUP(INDEX('章节与怪物'!$E$31:$K$37,B556,3),'章节与怪物'!$A$41:$F$44,2,FALSE),0)+IF(3=D556,ROUND(AG556*'难度参数'!$E$28*'章节与怪物'!$E$17,0),0))</x:f>
        <x:v>787610</x:v>
      </x:c>
      <x:c r="AI556" s="119" t="n">
        <x:f>IF(AF556=0,0,(AF556-IF(3=D556,1,0))*VLOOKUP(INDEX('章节与怪物'!$E$31:$K$37,B556,3),'章节与怪物'!$A$41:$F$44,4,FALSE)+IF(3=D556,'难度参数'!$E$30,0))</x:f>
        <x:v>1148</x:v>
      </x:c>
      <x:c r="AJ556" s="119" t="n">
        <x:f>IF(4&gt;D556,0,MAX(2,MIN('难度参数'!$E$12,ROUND(('难度参数'!$E$18*POWER(A556,'难度参数'!$E$19)/D556*(0.85+0.3*(4-1)/MAX(1,D556-1))),0)+F556)))</x:f>
        <x:v>43</x:v>
      </x:c>
      <x:c r="AK556" s="119" t="n">
        <x:f>IF(4&gt;D556,0,ROUND(('难度参数'!$E$13*POWER(A556,'难度参数'!$E$20)*MIN('难度参数'!$E$23,1+MAX(0,A556-'难度参数'!$E$21)*'难度参数'!$E$22))*(36+4*7)/(36+7*(D556+1)/2)*E556,0))</x:f>
        <x:v>12688</x:v>
      </x:c>
      <x:c r="AL556" s="119" t="n">
        <x:f>IF(AJ556=0,0,(AJ556-IF(4=D556,1,0))*ROUND(AK556*VLOOKUP(INDEX('章节与怪物'!$E$31:$K$37,B556,4),'章节与怪物'!$A$41:$F$44,2,FALSE),0)+IF(4=D556,ROUND(AK556*'难度参数'!$E$28*'章节与怪物'!$E$17,0),0))</x:f>
        <x:v>736547</x:v>
      </x:c>
      <x:c r="AM556" s="119" t="n">
        <x:f>IF(AJ556=0,0,(AJ556-IF(4=D556,1,0))*VLOOKUP(INDEX('章节与怪物'!$E$31:$K$37,B556,4),'章节与怪物'!$A$41:$F$44,4,FALSE)+IF(4=D556,'难度参数'!$E$30,0))</x:f>
        <x:v>1462</x:v>
      </x:c>
      <x:c r="AN556" s="119" t="n">
        <x:f>IF(5&gt;D556,0,MAX(2,MIN('难度参数'!$E$12,ROUND(('难度参数'!$E$18*POWER(A556,'难度参数'!$E$19)/D556*(0.85+0.3*(5-1)/MAX(1,D556-1))),0)+F556)))</x:f>
        <x:v>45</x:v>
      </x:c>
      <x:c r="AO556" s="119" t="n">
        <x:f>IF(5&gt;D556,0,ROUND(('难度参数'!$E$13*POWER(A556,'难度参数'!$E$20)*MIN('难度参数'!$E$23,1+MAX(0,A556-'难度参数'!$E$21)*'难度参数'!$E$22))*(36+5*7)/(36+7*(D556+1)/2)*E556,0))</x:f>
        <x:v>14076</x:v>
      </x:c>
      <x:c r="AP556" s="119" t="n">
        <x:f>IF(AN556=0,0,(AN556-IF(5=D556,1,0))*ROUND(AO556*VLOOKUP(INDEX('章节与怪物'!$E$31:$K$37,B556,5),'章节与怪物'!$A$41:$F$44,2,FALSE),0)+IF(5=D556,ROUND(AO556*'难度参数'!$E$28*'章节与怪物'!$E$17,0),0))</x:f>
        <x:v>456075</x:v>
      </x:c>
      <x:c r="AQ556" s="119" t="n">
        <x:f>IF(AN556=0,0,(AN556-IF(5=D556,1,0))*VLOOKUP(INDEX('章节与怪物'!$E$31:$K$37,B556,5),'章节与怪物'!$A$41:$F$44,4,FALSE)+IF(5=D556,'难度参数'!$E$30,0))</x:f>
        <x:v>900</x:v>
      </x:c>
      <x:c r="AR556" s="119" t="n">
        <x:f>IF(6&gt;D556,0,MAX(2,MIN('难度参数'!$E$12,ROUND(('难度参数'!$E$18*POWER(A556,'难度参数'!$E$19)/D556*(0.85+0.3*(6-1)/MAX(1,D556-1))),0)+F556)))</x:f>
        <x:v>47</x:v>
      </x:c>
      <x:c r="AS556" s="119" t="n">
        <x:f>IF(6&gt;D556,0,ROUND(('难度参数'!$E$13*POWER(A556,'难度参数'!$E$20)*MIN('难度参数'!$E$23,1+MAX(0,A556-'难度参数'!$E$21)*'难度参数'!$E$22))*(36+6*7)/(36+7*(D556+1)/2)*E556,0))</x:f>
        <x:v>15464</x:v>
      </x:c>
      <x:c r="AT556" s="119" t="n">
        <x:f>IF(AR556=0,0,(AR556-IF(6=D556,1,0))*ROUND(AS556*VLOOKUP(INDEX('章节与怪物'!$E$31:$K$37,B556,6),'章节与怪物'!$A$41:$F$44,2,FALSE),0)+IF(6=D556,ROUND(AS556*'难度参数'!$E$28*'章节与怪物'!$E$17,0),0))</x:f>
        <x:v>1235583</x:v>
      </x:c>
      <x:c r="AU556" s="119" t="n">
        <x:f>IF(AR556=0,0,(AR556-IF(6=D556,1,0))*VLOOKUP(INDEX('章节与怪物'!$E$31:$K$37,B556,6),'章节与怪物'!$A$41:$F$44,4,FALSE)+IF(6=D556,'难度参数'!$E$30,0))</x:f>
        <x:v>1316</x:v>
      </x:c>
      <x:c r="AV556" s="119" t="n">
        <x:f>IF(7&gt;D556,0,MAX(2,MIN('难度参数'!$E$12,ROUND(('难度参数'!$E$18*POWER(A556,'难度参数'!$E$19)/D556*(0.85+0.3*(7-1)/MAX(1,D556-1))),0)+F556)))</x:f>
        <x:v>49</x:v>
      </x:c>
      <x:c r="AW556" s="119" t="n">
        <x:f>IF(7&gt;D556,0,ROUND(('难度参数'!$E$13*POWER(A556,'难度参数'!$E$20)*MIN('难度参数'!$E$23,1+MAX(0,A556-'难度参数'!$E$21)*'难度参数'!$E$22))*(36+7*7)/(36+7*(D556+1)/2)*E556,0))</x:f>
        <x:v>16851</x:v>
      </x:c>
      <x:c r="AX556" s="119" t="n">
        <x:f>IF(AV556=0,0,(AV556-IF(7=D556,1,0))*ROUND(AW556*VLOOKUP(INDEX('章节与怪物'!$E$31:$K$37,B556,7),'章节与怪物'!$A$41:$F$44,2,FALSE),0)+IF(7=D556,ROUND(AW556*'难度参数'!$E$28*'章节与怪物'!$E$17,0),0))</x:f>
        <x:v>1206539</x:v>
      </x:c>
      <x:c r="AY556" s="119" t="n">
        <x:f>IF(AV556=0,0,(AV556-IF(7=D556,1,0))*VLOOKUP(INDEX('章节与怪物'!$E$31:$K$37,B556,7),'章节与怪物'!$A$41:$F$44,4,FALSE)+IF(7=D556,'难度参数'!$E$30,0))</x:f>
        <x:v>1832</x:v>
      </x:c>
    </x:row>
    <x:row r="557" ht="23" customHeight="1">
      <x:c r="A557" s="119" t="n">
        <x:v>551</x:v>
      </x:c>
      <x:c r="B557" s="119" t="n">
        <x:f>MOD(INT((A557-1)/5),7)+1</x:f>
        <x:v>6</x:v>
      </x:c>
      <x:c r="C557" s="62" t="str">
        <x:f>INDEX('章节与怪物'!$B$31:$B$37,B557)</x:f>
        <x:v>熔岩山脉</x:v>
      </x:c>
      <x:c r="D557" s="119" t="n">
        <x:f>MIN('难度参数'!$E$8,MAX('难度参数'!$E$7,A557))</x:f>
        <x:v>7</x:v>
      </x:c>
      <x:c r="E557" s="106" t="n">
        <x:v>1</x:v>
      </x:c>
      <x:c r="F557" s="106" t="n">
        <x:v>0</x:v>
      </x:c>
      <x:c r="G557" s="106" t="n">
        <x:v>1</x:v>
      </x:c>
      <x:c r="H557" s="119" t="n">
        <x:f>SUM(X557,AB557,AF557,AJ557,AN557,AR557,AV557)</x:f>
        <x:v>300</x:v>
      </x:c>
      <x:c r="I557" s="119" t="n">
        <x:f>SUM(Z557,AD557,AH557,AL557,AP557,AT557,AX557)</x:f>
        <x:v>5214121</x:v>
      </x:c>
      <x:c r="J557" s="119" t="n">
        <x:f>ROUND(INDEX(X557:AY557,1,(D557-1)*4+2)*'难度参数'!$E$28*'章节与怪物'!$E$17,0)</x:f>
        <x:v>114736</x:v>
      </x:c>
      <x:c r="K557" s="119" t="n">
        <x:f>SUM(AA557,AE557,AI557,AM557,AQ557,AU557,AY557)</x:f>
        <x:v>7990</x:v>
      </x:c>
      <x:c r="L557" s="62" t="n">
        <x:f>H557*(ROUNDUP('难度参数'!$E$24/('难度参数'!$E$26*'难度参数'!$E$27),0)*'难度参数'!$E$26)/60</x:f>
        <x:v>4</x:v>
      </x:c>
      <x:c r="M557" s="62" t="n">
        <x:f>L557+D557*('难度参数'!$E$49+'难度参数'!$E$50)/60</x:f>
        <x:v>5.166666666666667</x:v>
      </x:c>
      <x:c r="N557" s="119" t="n">
        <x:f>ROUNDDOWN(('经济参数'!$E$20+A557*'经济参数'!$E$21)*G557,0)</x:f>
        <x:v>11200</x:v>
      </x:c>
      <x:c r="O557" s="119" t="n">
        <x:f>ROUNDDOWN(MIN('经济参数'!$E$24,'经济参数'!$E$22+A557*'经济参数'!$E$23)*G557,0)</x:f>
        <x:v>0</x:v>
      </x:c>
      <x:c r="P557" s="119" t="n">
        <x:f>ROUNDDOWN((IF(A557&gt;='材料与任务'!$E$31,'材料与任务'!$E$32,IF(A557&gt;='材料与任务'!$E$25,'材料与任务'!$E$26,IF(A557&gt;='材料与任务'!$E$19,'材料与任务'!$E$20,IF(A557&gt;='材料与任务'!$E$13,'材料与任务'!$E$14,'材料与任务'!$E$8)))))*G557,0)</x:f>
        <x:v>6</x:v>
      </x:c>
      <x:c r="Q557" s="119" t="n">
        <x:f>ROUNDDOWN((IF(A557&gt;='材料与任务'!$E$31,'材料与任务'!$E$33,IF(A557&gt;='材料与任务'!$E$25,'材料与任务'!$E$27,IF(A557&gt;='材料与任务'!$E$19,'材料与任务'!$E$21,IF(A557&gt;='材料与任务'!$E$13,'材料与任务'!$E$15,'材料与任务'!$E$9)))))*G557,0)</x:f>
        <x:v>3</x:v>
      </x:c>
      <x:c r="R557" s="110" t="n">
        <x:f>'装备掉落'!$B$38</x:f>
        <x:v>0.6872058758851213</x:v>
      </x:c>
      <x:c r="S557" s="119" t="n">
        <x:f>MAX(IF(VLOOKUP(A557,'装备掉落'!$A$29:$H$34,2,TRUE)&gt;0,1,0),IF(VLOOKUP(A557,'装备掉落'!$A$29:$H$34,3,TRUE)&gt;0,2,0),IF(VLOOKUP(A557,'装备掉落'!$A$29:$H$34,4,TRUE)&gt;0,3,0),IF(VLOOKUP(A557,'装备掉落'!$A$29:$H$34,5,TRUE)&gt;0,4,0),IF(VLOOKUP(A557,'装备掉落'!$A$29:$H$34,6,TRUE)&gt;0,5,0),IF(VLOOKUP(A557,'装备掉落'!$A$29:$H$34,7,TRUE)&gt;0,6,0),IF(VLOOKUP(A557,'装备掉落'!$A$29:$H$34,8,TRUE)&gt;0,7,0))</x:f>
        <x:v>7</x:v>
      </x:c>
      <x:c r="T557" s="119" t="n">
        <x:f>MIN(7,S557+'经济参数'!$E$70)</x:f>
        <x:v>7</x:v>
      </x:c>
      <x:c r="U557" s="119" t="n">
        <x:f>MIN(7,S557+'经济参数'!$E$71)</x:f>
        <x:v>7</x:v>
      </x:c>
      <x:c r="V557" s="119" t="n">
        <x:f>IF(H557&gt;=('难度参数'!$E$52),1,0)+IF(H557&gt;=('难度参数'!$E$52+'难度参数'!$E$53),1,0)+IF(H557&gt;=('难度参数'!$E$52+'难度参数'!$E$53+'难度参数'!$E$54),1,0)+IF(H557&gt;=('难度参数'!$E$52+'难度参数'!$E$53+'难度参数'!$E$54+'难度参数'!$E$55),1,0)+IF(H557&gt;=('难度参数'!$E$52+'难度参数'!$E$53+'难度参数'!$E$54+'难度参数'!$E$55+'难度参数'!$E$56),1,0)+IF(H557&gt;=('难度参数'!$E$52+'难度参数'!$E$53+'难度参数'!$E$54+'难度参数'!$E$55+'难度参数'!$E$56+'难度参数'!$E$57),1,0)</x:f>
        <x:v>6</x:v>
      </x:c>
      <x:c r="W557" s="62" t="str">
        <x:f>IF(L557&gt;'难度参数'!$E$51,"仅出怪已超目标","还需实测")</x:f>
        <x:v>仅出怪已超目标</x:v>
      </x:c>
      <x:c r="X557" s="119" t="n">
        <x:f>IF(1&gt;D557,0,MAX(2,MIN('难度参数'!$E$12,ROUND(('难度参数'!$E$18*POWER(A557,'难度参数'!$E$19)/D557*(0.85+0.3*(1-1)/MAX(1,D557-1))),0)+F557)))</x:f>
        <x:v>36</x:v>
      </x:c>
      <x:c r="Y557" s="119" t="n">
        <x:f>IF(1&gt;D557,0,ROUND(('难度参数'!$E$13*POWER(A557,'难度参数'!$E$20)*MIN('难度参数'!$E$23,1+MAX(0,A557-'难度参数'!$E$21)*'难度参数'!$E$22))*(36+1*7)/(36+7*(D557+1)/2)*E557,0))</x:f>
        <x:v>8536</x:v>
      </x:c>
      <x:c r="Z557" s="119" t="n">
        <x:f>IF(X557=0,0,(X557-IF(1=D557,1,0))*ROUND(Y557*VLOOKUP(INDEX('章节与怪物'!$E$31:$K$37,B557,1),'章节与怪物'!$A$41:$F$44,2,FALSE),0)+IF(1=D557,ROUND(Y557*'难度参数'!$E$28*'章节与怪物'!$E$17,0),0))</x:f>
        <x:v>221256</x:v>
      </x:c>
      <x:c r="AA557" s="119" t="n">
        <x:f>IF(X557=0,0,(X557-IF(1=D557,1,0))*VLOOKUP(INDEX('章节与怪物'!$E$31:$K$37,B557,1),'章节与怪物'!$A$41:$F$44,4,FALSE)+IF(1=D557,'难度参数'!$E$30,0))</x:f>
        <x:v>720</x:v>
      </x:c>
      <x:c r="AB557" s="119" t="n">
        <x:f>IF(2&gt;D557,0,MAX(2,MIN('难度参数'!$E$12,ROUND(('难度参数'!$E$18*POWER(A557,'难度参数'!$E$19)/D557*(0.85+0.3*(2-1)/MAX(1,D557-1))),0)+F557)))</x:f>
        <x:v>39</x:v>
      </x:c>
      <x:c r="AC557" s="119" t="n">
        <x:f>IF(2&gt;D557,0,ROUND(('难度参数'!$E$13*POWER(A557,'难度参数'!$E$20)*MIN('难度参数'!$E$23,1+MAX(0,A557-'难度参数'!$E$21)*'难度参数'!$E$22))*(36+2*7)/(36+7*(D557+1)/2)*E557,0))</x:f>
        <x:v>9926</x:v>
      </x:c>
      <x:c r="AD557" s="119" t="n">
        <x:f>IF(AB557=0,0,(AB557-IF(2=D557,1,0))*ROUND(AC557*VLOOKUP(INDEX('章节与怪物'!$E$31:$K$37,B557,2),'章节与怪物'!$A$41:$F$44,2,FALSE),0)+IF(2=D557,ROUND(AC557*'难度参数'!$E$28*'章节与怪物'!$E$17,0),0))</x:f>
        <x:v>387114</x:v>
      </x:c>
      <x:c r="AE557" s="119" t="n">
        <x:f>IF(AB557=0,0,(AB557-IF(2=D557,1,0))*VLOOKUP(INDEX('章节与怪物'!$E$31:$K$37,B557,2),'章节与怪物'!$A$41:$F$44,4,FALSE)+IF(2=D557,'难度参数'!$E$30,0))</x:f>
        <x:v>702</x:v>
      </x:c>
      <x:c r="AF557" s="119" t="n">
        <x:f>IF(3&gt;D557,0,MAX(2,MIN('难度参数'!$E$12,ROUND(('难度参数'!$E$18*POWER(A557,'难度参数'!$E$19)/D557*(0.85+0.3*(3-1)/MAX(1,D557-1))),0)+F557)))</x:f>
        <x:v>41</x:v>
      </x:c>
      <x:c r="AG557" s="119" t="n">
        <x:f>IF(3&gt;D557,0,ROUND(('难度参数'!$E$13*POWER(A557,'难度参数'!$E$20)*MIN('难度参数'!$E$23,1+MAX(0,A557-'难度参数'!$E$21)*'难度参数'!$E$22))*(36+3*7)/(36+7*(D557+1)/2)*E557,0))</x:f>
        <x:v>11315</x:v>
      </x:c>
      <x:c r="AH557" s="119" t="n">
        <x:f>IF(AF557=0,0,(AF557-IF(3=D557,1,0))*ROUND(AG557*VLOOKUP(INDEX('章节与怪物'!$E$31:$K$37,B557,3),'章节与怪物'!$A$41:$F$44,2,FALSE),0)+IF(3=D557,ROUND(AG557*'难度参数'!$E$28*'章节与怪物'!$E$17,0),0))</x:f>
        <x:v>788676</x:v>
      </x:c>
      <x:c r="AI557" s="119" t="n">
        <x:f>IF(AF557=0,0,(AF557-IF(3=D557,1,0))*VLOOKUP(INDEX('章节与怪物'!$E$31:$K$37,B557,3),'章节与怪物'!$A$41:$F$44,4,FALSE)+IF(3=D557,'难度参数'!$E$30,0))</x:f>
        <x:v>1148</x:v>
      </x:c>
      <x:c r="AJ557" s="119" t="n">
        <x:f>IF(4&gt;D557,0,MAX(2,MIN('难度参数'!$E$12,ROUND(('难度参数'!$E$18*POWER(A557,'难度参数'!$E$19)/D557*(0.85+0.3*(4-1)/MAX(1,D557-1))),0)+F557)))</x:f>
        <x:v>43</x:v>
      </x:c>
      <x:c r="AK557" s="119" t="n">
        <x:f>IF(4&gt;D557,0,ROUND(('难度参数'!$E$13*POWER(A557,'难度参数'!$E$20)*MIN('难度参数'!$E$23,1+MAX(0,A557-'难度参数'!$E$21)*'难度参数'!$E$22))*(36+4*7)/(36+7*(D557+1)/2)*E557,0))</x:f>
        <x:v>12705</x:v>
      </x:c>
      <x:c r="AL557" s="119" t="n">
        <x:f>IF(AJ557=0,0,(AJ557-IF(4=D557,1,0))*ROUND(AK557*VLOOKUP(INDEX('章节与怪物'!$E$31:$K$37,B557,4),'章节与怪物'!$A$41:$F$44,2,FALSE),0)+IF(4=D557,ROUND(AK557*'难度参数'!$E$28*'章节与怪物'!$E$17,0),0))</x:f>
        <x:v>737536</x:v>
      </x:c>
      <x:c r="AM557" s="119" t="n">
        <x:f>IF(AJ557=0,0,(AJ557-IF(4=D557,1,0))*VLOOKUP(INDEX('章节与怪物'!$E$31:$K$37,B557,4),'章节与怪物'!$A$41:$F$44,4,FALSE)+IF(4=D557,'难度参数'!$E$30,0))</x:f>
        <x:v>1462</x:v>
      </x:c>
      <x:c r="AN557" s="119" t="n">
        <x:f>IF(5&gt;D557,0,MAX(2,MIN('难度参数'!$E$12,ROUND(('难度参数'!$E$18*POWER(A557,'难度参数'!$E$19)/D557*(0.85+0.3*(5-1)/MAX(1,D557-1))),0)+F557)))</x:f>
        <x:v>45</x:v>
      </x:c>
      <x:c r="AO557" s="119" t="n">
        <x:f>IF(5&gt;D557,0,ROUND(('难度参数'!$E$13*POWER(A557,'难度参数'!$E$20)*MIN('难度参数'!$E$23,1+MAX(0,A557-'难度参数'!$E$21)*'难度参数'!$E$22))*(36+5*7)/(36+7*(D557+1)/2)*E557,0))</x:f>
        <x:v>14094</x:v>
      </x:c>
      <x:c r="AP557" s="119" t="n">
        <x:f>IF(AN557=0,0,(AN557-IF(5=D557,1,0))*ROUND(AO557*VLOOKUP(INDEX('章节与怪物'!$E$31:$K$37,B557,5),'章节与怪物'!$A$41:$F$44,2,FALSE),0)+IF(5=D557,ROUND(AO557*'难度参数'!$E$28*'章节与怪物'!$E$17,0),0))</x:f>
        <x:v>634230</x:v>
      </x:c>
      <x:c r="AQ557" s="119" t="n">
        <x:f>IF(AN557=0,0,(AN557-IF(5=D557,1,0))*VLOOKUP(INDEX('章节与怪物'!$E$31:$K$37,B557,5),'章节与怪物'!$A$41:$F$44,4,FALSE)+IF(5=D557,'难度参数'!$E$30,0))</x:f>
        <x:v>810</x:v>
      </x:c>
      <x:c r="AR557" s="119" t="n">
        <x:f>IF(6&gt;D557,0,MAX(2,MIN('难度参数'!$E$12,ROUND(('难度参数'!$E$18*POWER(A557,'难度参数'!$E$19)/D557*(0.85+0.3*(6-1)/MAX(1,D557-1))),0)+F557)))</x:f>
        <x:v>47</x:v>
      </x:c>
      <x:c r="AS557" s="119" t="n">
        <x:f>IF(6&gt;D557,0,ROUND(('难度参数'!$E$13*POWER(A557,'难度参数'!$E$20)*MIN('难度参数'!$E$23,1+MAX(0,A557-'难度参数'!$E$21)*'难度参数'!$E$22))*(36+6*7)/(36+7*(D557+1)/2)*E557,0))</x:f>
        <x:v>15484</x:v>
      </x:c>
      <x:c r="AT557" s="119" t="n">
        <x:f>IF(AR557=0,0,(AR557-IF(6=D557,1,0))*ROUND(AS557*VLOOKUP(INDEX('章节与怪物'!$E$31:$K$37,B557,6),'章节与怪物'!$A$41:$F$44,2,FALSE),0)+IF(6=D557,ROUND(AS557*'难度参数'!$E$28*'章节与怪物'!$E$17,0),0))</x:f>
        <x:v>1237181</x:v>
      </x:c>
      <x:c r="AU557" s="119" t="n">
        <x:f>IF(AR557=0,0,(AR557-IF(6=D557,1,0))*VLOOKUP(INDEX('章节与怪物'!$E$31:$K$37,B557,6),'章节与怪物'!$A$41:$F$44,4,FALSE)+IF(6=D557,'难度参数'!$E$30,0))</x:f>
        <x:v>1316</x:v>
      </x:c>
      <x:c r="AV557" s="119" t="n">
        <x:f>IF(7&gt;D557,0,MAX(2,MIN('难度参数'!$E$12,ROUND(('难度参数'!$E$18*POWER(A557,'难度参数'!$E$19)/D557*(0.85+0.3*(7-1)/MAX(1,D557-1))),0)+F557)))</x:f>
        <x:v>49</x:v>
      </x:c>
      <x:c r="AW557" s="119" t="n">
        <x:f>IF(7&gt;D557,0,ROUND(('难度参数'!$E$13*POWER(A557,'难度参数'!$E$20)*MIN('难度参数'!$E$23,1+MAX(0,A557-'难度参数'!$E$21)*'难度参数'!$E$22))*(36+7*7)/(36+7*(D557+1)/2)*E557,0))</x:f>
        <x:v>16873</x:v>
      </x:c>
      <x:c r="AX557" s="119" t="n">
        <x:f>IF(AV557=0,0,(AV557-IF(7=D557,1,0))*ROUND(AW557*VLOOKUP(INDEX('章节与怪物'!$E$31:$K$37,B557,7),'章节与怪物'!$A$41:$F$44,2,FALSE),0)+IF(7=D557,ROUND(AW557*'难度参数'!$E$28*'章节与怪物'!$E$17,0),0))</x:f>
        <x:v>1208128</x:v>
      </x:c>
      <x:c r="AY557" s="119" t="n">
        <x:f>IF(AV557=0,0,(AV557-IF(7=D557,1,0))*VLOOKUP(INDEX('章节与怪物'!$E$31:$K$37,B557,7),'章节与怪物'!$A$41:$F$44,4,FALSE)+IF(7=D557,'难度参数'!$E$30,0))</x:f>
        <x:v>1832</x:v>
      </x:c>
    </x:row>
    <x:row r="558" ht="23" customHeight="1">
      <x:c r="A558" s="119" t="n">
        <x:v>552</x:v>
      </x:c>
      <x:c r="B558" s="119" t="n">
        <x:f>MOD(INT((A558-1)/5),7)+1</x:f>
        <x:v>6</x:v>
      </x:c>
      <x:c r="C558" s="62" t="str">
        <x:f>INDEX('章节与怪物'!$B$31:$B$37,B558)</x:f>
        <x:v>熔岩山脉</x:v>
      </x:c>
      <x:c r="D558" s="119" t="n">
        <x:f>MIN('难度参数'!$E$8,MAX('难度参数'!$E$7,A558))</x:f>
        <x:v>7</x:v>
      </x:c>
      <x:c r="E558" s="106" t="n">
        <x:v>1</x:v>
      </x:c>
      <x:c r="F558" s="106" t="n">
        <x:v>0</x:v>
      </x:c>
      <x:c r="G558" s="106" t="n">
        <x:v>1</x:v>
      </x:c>
      <x:c r="H558" s="119" t="n">
        <x:f>SUM(X558,AB558,AF558,AJ558,AN558,AR558,AV558)</x:f>
        <x:v>301</x:v>
      </x:c>
      <x:c r="I558" s="119" t="n">
        <x:f>SUM(Z558,AD558,AH558,AL558,AP558,AT558,AX558)</x:f>
        <x:v>5226954</x:v>
      </x:c>
      <x:c r="J558" s="119" t="n">
        <x:f>ROUND(INDEX(X558:AY558,1,(D558-1)*4+2)*'难度参数'!$E$28*'章节与怪物'!$E$17,0)</x:f>
        <x:v>114886</x:v>
      </x:c>
      <x:c r="K558" s="119" t="n">
        <x:f>SUM(AA558,AE558,AI558,AM558,AQ558,AU558,AY558)</x:f>
        <x:v>8010</x:v>
      </x:c>
      <x:c r="L558" s="62" t="n">
        <x:f>H558*(ROUNDUP('难度参数'!$E$24/('难度参数'!$E$26*'难度参数'!$E$27),0)*'难度参数'!$E$26)/60</x:f>
        <x:v>4.013333333333334</x:v>
      </x:c>
      <x:c r="M558" s="62" t="n">
        <x:f>L558+D558*('难度参数'!$E$49+'难度参数'!$E$50)/60</x:f>
        <x:v>5.180000000000001</x:v>
      </x:c>
      <x:c r="N558" s="119" t="n">
        <x:f>ROUNDDOWN(('经济参数'!$E$20+A558*'经济参数'!$E$21)*G558,0)</x:f>
        <x:v>11220</x:v>
      </x:c>
      <x:c r="O558" s="119" t="n">
        <x:f>ROUNDDOWN(MIN('经济参数'!$E$24,'经济参数'!$E$22+A558*'经济参数'!$E$23)*G558,0)</x:f>
        <x:v>0</x:v>
      </x:c>
      <x:c r="P558" s="119" t="n">
        <x:f>ROUNDDOWN((IF(A558&gt;='材料与任务'!$E$31,'材料与任务'!$E$32,IF(A558&gt;='材料与任务'!$E$25,'材料与任务'!$E$26,IF(A558&gt;='材料与任务'!$E$19,'材料与任务'!$E$20,IF(A558&gt;='材料与任务'!$E$13,'材料与任务'!$E$14,'材料与任务'!$E$8)))))*G558,0)</x:f>
        <x:v>6</x:v>
      </x:c>
      <x:c r="Q558" s="119" t="n">
        <x:f>ROUNDDOWN((IF(A558&gt;='材料与任务'!$E$31,'材料与任务'!$E$33,IF(A558&gt;='材料与任务'!$E$25,'材料与任务'!$E$27,IF(A558&gt;='材料与任务'!$E$19,'材料与任务'!$E$21,IF(A558&gt;='材料与任务'!$E$13,'材料与任务'!$E$15,'材料与任务'!$E$9)))))*G558,0)</x:f>
        <x:v>3</x:v>
      </x:c>
      <x:c r="R558" s="110" t="n">
        <x:f>'装备掉落'!$B$38</x:f>
        <x:v>0.6872058758851213</x:v>
      </x:c>
      <x:c r="S558" s="119" t="n">
        <x:f>MAX(IF(VLOOKUP(A558,'装备掉落'!$A$29:$H$34,2,TRUE)&gt;0,1,0),IF(VLOOKUP(A558,'装备掉落'!$A$29:$H$34,3,TRUE)&gt;0,2,0),IF(VLOOKUP(A558,'装备掉落'!$A$29:$H$34,4,TRUE)&gt;0,3,0),IF(VLOOKUP(A558,'装备掉落'!$A$29:$H$34,5,TRUE)&gt;0,4,0),IF(VLOOKUP(A558,'装备掉落'!$A$29:$H$34,6,TRUE)&gt;0,5,0),IF(VLOOKUP(A558,'装备掉落'!$A$29:$H$34,7,TRUE)&gt;0,6,0),IF(VLOOKUP(A558,'装备掉落'!$A$29:$H$34,8,TRUE)&gt;0,7,0))</x:f>
        <x:v>7</x:v>
      </x:c>
      <x:c r="T558" s="119" t="n">
        <x:f>MIN(7,S558+'经济参数'!$E$70)</x:f>
        <x:v>7</x:v>
      </x:c>
      <x:c r="U558" s="119" t="n">
        <x:f>MIN(7,S558+'经济参数'!$E$71)</x:f>
        <x:v>7</x:v>
      </x:c>
      <x:c r="V558" s="119" t="n">
        <x:f>IF(H558&gt;=('难度参数'!$E$52),1,0)+IF(H558&gt;=('难度参数'!$E$52+'难度参数'!$E$53),1,0)+IF(H558&gt;=('难度参数'!$E$52+'难度参数'!$E$53+'难度参数'!$E$54),1,0)+IF(H558&gt;=('难度参数'!$E$52+'难度参数'!$E$53+'难度参数'!$E$54+'难度参数'!$E$55),1,0)+IF(H558&gt;=('难度参数'!$E$52+'难度参数'!$E$53+'难度参数'!$E$54+'难度参数'!$E$55+'难度参数'!$E$56),1,0)+IF(H558&gt;=('难度参数'!$E$52+'难度参数'!$E$53+'难度参数'!$E$54+'难度参数'!$E$55+'难度参数'!$E$56+'难度参数'!$E$57),1,0)</x:f>
        <x:v>6</x:v>
      </x:c>
      <x:c r="W558" s="62" t="str">
        <x:f>IF(L558&gt;'难度参数'!$E$51,"仅出怪已超目标","还需实测")</x:f>
        <x:v>仅出怪已超目标</x:v>
      </x:c>
      <x:c r="X558" s="119" t="n">
        <x:f>IF(1&gt;D558,0,MAX(2,MIN('难度参数'!$E$12,ROUND(('难度参数'!$E$18*POWER(A558,'难度参数'!$E$19)/D558*(0.85+0.3*(1-1)/MAX(1,D558-1))),0)+F558)))</x:f>
        <x:v>37</x:v>
      </x:c>
      <x:c r="Y558" s="119" t="n">
        <x:f>IF(1&gt;D558,0,ROUND(('难度参数'!$E$13*POWER(A558,'难度参数'!$E$20)*MIN('难度参数'!$E$23,1+MAX(0,A558-'难度参数'!$E$21)*'难度参数'!$E$22))*(36+1*7)/(36+7*(D558+1)/2)*E558,0))</x:f>
        <x:v>8547</x:v>
      </x:c>
      <x:c r="Z558" s="119" t="n">
        <x:f>IF(X558=0,0,(X558-IF(1=D558,1,0))*ROUND(Y558*VLOOKUP(INDEX('章节与怪物'!$E$31:$K$37,B558,1),'章节与怪物'!$A$41:$F$44,2,FALSE),0)+IF(1=D558,ROUND(Y558*'难度参数'!$E$28*'章节与怪物'!$E$17,0),0))</x:f>
        <x:v>227698</x:v>
      </x:c>
      <x:c r="AA558" s="119" t="n">
        <x:f>IF(X558=0,0,(X558-IF(1=D558,1,0))*VLOOKUP(INDEX('章节与怪物'!$E$31:$K$37,B558,1),'章节与怪物'!$A$41:$F$44,4,FALSE)+IF(1=D558,'难度参数'!$E$30,0))</x:f>
        <x:v>740</x:v>
      </x:c>
      <x:c r="AB558" s="119" t="n">
        <x:f>IF(2&gt;D558,0,MAX(2,MIN('难度参数'!$E$12,ROUND(('难度参数'!$E$18*POWER(A558,'难度参数'!$E$19)/D558*(0.85+0.3*(2-1)/MAX(1,D558-1))),0)+F558)))</x:f>
        <x:v>39</x:v>
      </x:c>
      <x:c r="AC558" s="119" t="n">
        <x:f>IF(2&gt;D558,0,ROUND(('难度参数'!$E$13*POWER(A558,'难度参数'!$E$20)*MIN('难度参数'!$E$23,1+MAX(0,A558-'难度参数'!$E$21)*'难度参数'!$E$22))*(36+2*7)/(36+7*(D558+1)/2)*E558,0))</x:f>
        <x:v>9938</x:v>
      </x:c>
      <x:c r="AD558" s="119" t="n">
        <x:f>IF(AB558=0,0,(AB558-IF(2=D558,1,0))*ROUND(AC558*VLOOKUP(INDEX('章节与怪物'!$E$31:$K$37,B558,2),'章节与怪物'!$A$41:$F$44,2,FALSE),0)+IF(2=D558,ROUND(AC558*'难度参数'!$E$28*'章节与怪物'!$E$17,0),0))</x:f>
        <x:v>387582</x:v>
      </x:c>
      <x:c r="AE558" s="119" t="n">
        <x:f>IF(AB558=0,0,(AB558-IF(2=D558,1,0))*VLOOKUP(INDEX('章节与怪物'!$E$31:$K$37,B558,2),'章节与怪物'!$A$41:$F$44,4,FALSE)+IF(2=D558,'难度参数'!$E$30,0))</x:f>
        <x:v>702</x:v>
      </x:c>
      <x:c r="AF558" s="119" t="n">
        <x:f>IF(3&gt;D558,0,MAX(2,MIN('难度参数'!$E$12,ROUND(('难度参数'!$E$18*POWER(A558,'难度参数'!$E$19)/D558*(0.85+0.3*(3-1)/MAX(1,D558-1))),0)+F558)))</x:f>
        <x:v>41</x:v>
      </x:c>
      <x:c r="AG558" s="119" t="n">
        <x:f>IF(3&gt;D558,0,ROUND(('难度参数'!$E$13*POWER(A558,'难度参数'!$E$20)*MIN('难度参数'!$E$23,1+MAX(0,A558-'难度参数'!$E$21)*'难度参数'!$E$22))*(36+3*7)/(36+7*(D558+1)/2)*E558,0))</x:f>
        <x:v>11330</x:v>
      </x:c>
      <x:c r="AH558" s="119" t="n">
        <x:f>IF(AF558=0,0,(AF558-IF(3=D558,1,0))*ROUND(AG558*VLOOKUP(INDEX('章节与怪物'!$E$31:$K$37,B558,3),'章节与怪物'!$A$41:$F$44,2,FALSE),0)+IF(3=D558,ROUND(AG558*'难度参数'!$E$28*'章节与怪物'!$E$17,0),0))</x:f>
        <x:v>789701</x:v>
      </x:c>
      <x:c r="AI558" s="119" t="n">
        <x:f>IF(AF558=0,0,(AF558-IF(3=D558,1,0))*VLOOKUP(INDEX('章节与怪物'!$E$31:$K$37,B558,3),'章节与怪物'!$A$41:$F$44,4,FALSE)+IF(3=D558,'难度参数'!$E$30,0))</x:f>
        <x:v>1148</x:v>
      </x:c>
      <x:c r="AJ558" s="119" t="n">
        <x:f>IF(4&gt;D558,0,MAX(2,MIN('难度参数'!$E$12,ROUND(('难度参数'!$E$18*POWER(A558,'难度参数'!$E$19)/D558*(0.85+0.3*(4-1)/MAX(1,D558-1))),0)+F558)))</x:f>
        <x:v>43</x:v>
      </x:c>
      <x:c r="AK558" s="119" t="n">
        <x:f>IF(4&gt;D558,0,ROUND(('难度参数'!$E$13*POWER(A558,'难度参数'!$E$20)*MIN('难度参数'!$E$23,1+MAX(0,A558-'难度参数'!$E$21)*'难度参数'!$E$22))*(36+4*7)/(36+7*(D558+1)/2)*E558,0))</x:f>
        <x:v>12721</x:v>
      </x:c>
      <x:c r="AL558" s="119" t="n">
        <x:f>IF(AJ558=0,0,(AJ558-IF(4=D558,1,0))*ROUND(AK558*VLOOKUP(INDEX('章节与怪物'!$E$31:$K$37,B558,4),'章节与怪物'!$A$41:$F$44,2,FALSE),0)+IF(4=D558,ROUND(AK558*'难度参数'!$E$28*'章节与怪物'!$E$17,0),0))</x:f>
        <x:v>738439</x:v>
      </x:c>
      <x:c r="AM558" s="119" t="n">
        <x:f>IF(AJ558=0,0,(AJ558-IF(4=D558,1,0))*VLOOKUP(INDEX('章节与怪物'!$E$31:$K$37,B558,4),'章节与怪物'!$A$41:$F$44,4,FALSE)+IF(4=D558,'难度参数'!$E$30,0))</x:f>
        <x:v>1462</x:v>
      </x:c>
      <x:c r="AN558" s="119" t="n">
        <x:f>IF(5&gt;D558,0,MAX(2,MIN('难度参数'!$E$12,ROUND(('难度参数'!$E$18*POWER(A558,'难度参数'!$E$19)/D558*(0.85+0.3*(5-1)/MAX(1,D558-1))),0)+F558)))</x:f>
        <x:v>45</x:v>
      </x:c>
      <x:c r="AO558" s="119" t="n">
        <x:f>IF(5&gt;D558,0,ROUND(('难度参数'!$E$13*POWER(A558,'难度参数'!$E$20)*MIN('难度参数'!$E$23,1+MAX(0,A558-'难度参数'!$E$21)*'难度参数'!$E$22))*(36+5*7)/(36+7*(D558+1)/2)*E558,0))</x:f>
        <x:v>14113</x:v>
      </x:c>
      <x:c r="AP558" s="119" t="n">
        <x:f>IF(AN558=0,0,(AN558-IF(5=D558,1,0))*ROUND(AO558*VLOOKUP(INDEX('章节与怪物'!$E$31:$K$37,B558,5),'章节与怪物'!$A$41:$F$44,2,FALSE),0)+IF(5=D558,ROUND(AO558*'难度参数'!$E$28*'章节与怪物'!$E$17,0),0))</x:f>
        <x:v>635085</x:v>
      </x:c>
      <x:c r="AQ558" s="119" t="n">
        <x:f>IF(AN558=0,0,(AN558-IF(5=D558,1,0))*VLOOKUP(INDEX('章节与怪物'!$E$31:$K$37,B558,5),'章节与怪物'!$A$41:$F$44,4,FALSE)+IF(5=D558,'难度参数'!$E$30,0))</x:f>
        <x:v>810</x:v>
      </x:c>
      <x:c r="AR558" s="119" t="n">
        <x:f>IF(6&gt;D558,0,MAX(2,MIN('难度参数'!$E$12,ROUND(('难度参数'!$E$18*POWER(A558,'难度参数'!$E$19)/D558*(0.85+0.3*(6-1)/MAX(1,D558-1))),0)+F558)))</x:f>
        <x:v>47</x:v>
      </x:c>
      <x:c r="AS558" s="119" t="n">
        <x:f>IF(6&gt;D558,0,ROUND(('难度参数'!$E$13*POWER(A558,'难度参数'!$E$20)*MIN('难度参数'!$E$23,1+MAX(0,A558-'难度参数'!$E$21)*'难度参数'!$E$22))*(36+6*7)/(36+7*(D558+1)/2)*E558,0))</x:f>
        <x:v>15504</x:v>
      </x:c>
      <x:c r="AT558" s="119" t="n">
        <x:f>IF(AR558=0,0,(AR558-IF(6=D558,1,0))*ROUND(AS558*VLOOKUP(INDEX('章节与怪物'!$E$31:$K$37,B558,6),'章节与怪物'!$A$41:$F$44,2,FALSE),0)+IF(6=D558,ROUND(AS558*'难度参数'!$E$28*'章节与怪物'!$E$17,0),0))</x:f>
        <x:v>1238779</x:v>
      </x:c>
      <x:c r="AU558" s="119" t="n">
        <x:f>IF(AR558=0,0,(AR558-IF(6=D558,1,0))*VLOOKUP(INDEX('章节与怪物'!$E$31:$K$37,B558,6),'章节与怪物'!$A$41:$F$44,4,FALSE)+IF(6=D558,'难度参数'!$E$30,0))</x:f>
        <x:v>1316</x:v>
      </x:c>
      <x:c r="AV558" s="119" t="n">
        <x:f>IF(7&gt;D558,0,MAX(2,MIN('难度参数'!$E$12,ROUND(('难度参数'!$E$18*POWER(A558,'难度参数'!$E$19)/D558*(0.85+0.3*(7-1)/MAX(1,D558-1))),0)+F558)))</x:f>
        <x:v>49</x:v>
      </x:c>
      <x:c r="AW558" s="119" t="n">
        <x:f>IF(7&gt;D558,0,ROUND(('难度参数'!$E$13*POWER(A558,'难度参数'!$E$20)*MIN('难度参数'!$E$23,1+MAX(0,A558-'难度参数'!$E$21)*'难度参数'!$E$22))*(36+7*7)/(36+7*(D558+1)/2)*E558,0))</x:f>
        <x:v>16895</x:v>
      </x:c>
      <x:c r="AX558" s="119" t="n">
        <x:f>IF(AV558=0,0,(AV558-IF(7=D558,1,0))*ROUND(AW558*VLOOKUP(INDEX('章节与怪物'!$E$31:$K$37,B558,7),'章节与怪物'!$A$41:$F$44,2,FALSE),0)+IF(7=D558,ROUND(AW558*'难度参数'!$E$28*'章节与怪物'!$E$17,0),0))</x:f>
        <x:v>1209670</x:v>
      </x:c>
      <x:c r="AY558" s="119" t="n">
        <x:f>IF(AV558=0,0,(AV558-IF(7=D558,1,0))*VLOOKUP(INDEX('章节与怪物'!$E$31:$K$37,B558,7),'章节与怪物'!$A$41:$F$44,4,FALSE)+IF(7=D558,'难度参数'!$E$30,0))</x:f>
        <x:v>1832</x:v>
      </x:c>
    </x:row>
    <x:row r="559" ht="23" customHeight="1">
      <x:c r="A559" s="119" t="n">
        <x:v>553</x:v>
      </x:c>
      <x:c r="B559" s="119" t="n">
        <x:f>MOD(INT((A559-1)/5),7)+1</x:f>
        <x:v>6</x:v>
      </x:c>
      <x:c r="C559" s="62" t="str">
        <x:f>INDEX('章节与怪物'!$B$31:$B$37,B559)</x:f>
        <x:v>熔岩山脉</x:v>
      </x:c>
      <x:c r="D559" s="119" t="n">
        <x:f>MIN('难度参数'!$E$8,MAX('难度参数'!$E$7,A559))</x:f>
        <x:v>7</x:v>
      </x:c>
      <x:c r="E559" s="106" t="n">
        <x:v>1</x:v>
      </x:c>
      <x:c r="F559" s="106" t="n">
        <x:v>0</x:v>
      </x:c>
      <x:c r="G559" s="106" t="n">
        <x:v>1</x:v>
      </x:c>
      <x:c r="H559" s="119" t="n">
        <x:f>SUM(X559,AB559,AF559,AJ559,AN559,AR559,AV559)</x:f>
        <x:v>301</x:v>
      </x:c>
      <x:c r="I559" s="119" t="n">
        <x:f>SUM(Z559,AD559,AH559,AL559,AP559,AT559,AX559)</x:f>
        <x:v>5233810</x:v>
      </x:c>
      <x:c r="J559" s="119" t="n">
        <x:f>ROUND(INDEX(X559:AY559,1,(D559-1)*4+2)*'难度参数'!$E$28*'章节与怪物'!$E$17,0)</x:f>
        <x:v>115036</x:v>
      </x:c>
      <x:c r="K559" s="119" t="n">
        <x:f>SUM(AA559,AE559,AI559,AM559,AQ559,AU559,AY559)</x:f>
        <x:v>8010</x:v>
      </x:c>
      <x:c r="L559" s="62" t="n">
        <x:f>H559*(ROUNDUP('难度参数'!$E$24/('难度参数'!$E$26*'难度参数'!$E$27),0)*'难度参数'!$E$26)/60</x:f>
        <x:v>4.013333333333334</x:v>
      </x:c>
      <x:c r="M559" s="62" t="n">
        <x:f>L559+D559*('难度参数'!$E$49+'难度参数'!$E$50)/60</x:f>
        <x:v>5.180000000000001</x:v>
      </x:c>
      <x:c r="N559" s="119" t="n">
        <x:f>ROUNDDOWN(('经济参数'!$E$20+A559*'经济参数'!$E$21)*G559,0)</x:f>
        <x:v>11240</x:v>
      </x:c>
      <x:c r="O559" s="119" t="n">
        <x:f>ROUNDDOWN(MIN('经济参数'!$E$24,'经济参数'!$E$22+A559*'经济参数'!$E$23)*G559,0)</x:f>
        <x:v>0</x:v>
      </x:c>
      <x:c r="P559" s="119" t="n">
        <x:f>ROUNDDOWN((IF(A559&gt;='材料与任务'!$E$31,'材料与任务'!$E$32,IF(A559&gt;='材料与任务'!$E$25,'材料与任务'!$E$26,IF(A559&gt;='材料与任务'!$E$19,'材料与任务'!$E$20,IF(A559&gt;='材料与任务'!$E$13,'材料与任务'!$E$14,'材料与任务'!$E$8)))))*G559,0)</x:f>
        <x:v>6</x:v>
      </x:c>
      <x:c r="Q559" s="119" t="n">
        <x:f>ROUNDDOWN((IF(A559&gt;='材料与任务'!$E$31,'材料与任务'!$E$33,IF(A559&gt;='材料与任务'!$E$25,'材料与任务'!$E$27,IF(A559&gt;='材料与任务'!$E$19,'材料与任务'!$E$21,IF(A559&gt;='材料与任务'!$E$13,'材料与任务'!$E$15,'材料与任务'!$E$9)))))*G559,0)</x:f>
        <x:v>3</x:v>
      </x:c>
      <x:c r="R559" s="110" t="n">
        <x:f>'装备掉落'!$B$38</x:f>
        <x:v>0.6872058758851213</x:v>
      </x:c>
      <x:c r="S559" s="119" t="n">
        <x:f>MAX(IF(VLOOKUP(A559,'装备掉落'!$A$29:$H$34,2,TRUE)&gt;0,1,0),IF(VLOOKUP(A559,'装备掉落'!$A$29:$H$34,3,TRUE)&gt;0,2,0),IF(VLOOKUP(A559,'装备掉落'!$A$29:$H$34,4,TRUE)&gt;0,3,0),IF(VLOOKUP(A559,'装备掉落'!$A$29:$H$34,5,TRUE)&gt;0,4,0),IF(VLOOKUP(A559,'装备掉落'!$A$29:$H$34,6,TRUE)&gt;0,5,0),IF(VLOOKUP(A559,'装备掉落'!$A$29:$H$34,7,TRUE)&gt;0,6,0),IF(VLOOKUP(A559,'装备掉落'!$A$29:$H$34,8,TRUE)&gt;0,7,0))</x:f>
        <x:v>7</x:v>
      </x:c>
      <x:c r="T559" s="119" t="n">
        <x:f>MIN(7,S559+'经济参数'!$E$70)</x:f>
        <x:v>7</x:v>
      </x:c>
      <x:c r="U559" s="119" t="n">
        <x:f>MIN(7,S559+'经济参数'!$E$71)</x:f>
        <x:v>7</x:v>
      </x:c>
      <x:c r="V559" s="119" t="n">
        <x:f>IF(H559&gt;=('难度参数'!$E$52),1,0)+IF(H559&gt;=('难度参数'!$E$52+'难度参数'!$E$53),1,0)+IF(H559&gt;=('难度参数'!$E$52+'难度参数'!$E$53+'难度参数'!$E$54),1,0)+IF(H559&gt;=('难度参数'!$E$52+'难度参数'!$E$53+'难度参数'!$E$54+'难度参数'!$E$55),1,0)+IF(H559&gt;=('难度参数'!$E$52+'难度参数'!$E$53+'难度参数'!$E$54+'难度参数'!$E$55+'难度参数'!$E$56),1,0)+IF(H559&gt;=('难度参数'!$E$52+'难度参数'!$E$53+'难度参数'!$E$54+'难度参数'!$E$55+'难度参数'!$E$56+'难度参数'!$E$57),1,0)</x:f>
        <x:v>6</x:v>
      </x:c>
      <x:c r="W559" s="62" t="str">
        <x:f>IF(L559&gt;'难度参数'!$E$51,"仅出怪已超目标","还需实测")</x:f>
        <x:v>仅出怪已超目标</x:v>
      </x:c>
      <x:c r="X559" s="119" t="n">
        <x:f>IF(1&gt;D559,0,MAX(2,MIN('难度参数'!$E$12,ROUND(('难度参数'!$E$18*POWER(A559,'难度参数'!$E$19)/D559*(0.85+0.3*(1-1)/MAX(1,D559-1))),0)+F559)))</x:f>
        <x:v>37</x:v>
      </x:c>
      <x:c r="Y559" s="119" t="n">
        <x:f>IF(1&gt;D559,0,ROUND(('难度参数'!$E$13*POWER(A559,'难度参数'!$E$20)*MIN('难度参数'!$E$23,1+MAX(0,A559-'难度参数'!$E$21)*'难度参数'!$E$22))*(36+1*7)/(36+7*(D559+1)/2)*E559,0))</x:f>
        <x:v>8558</x:v>
      </x:c>
      <x:c r="Z559" s="119" t="n">
        <x:f>IF(X559=0,0,(X559-IF(1=D559,1,0))*ROUND(Y559*VLOOKUP(INDEX('章节与怪物'!$E$31:$K$37,B559,1),'章节与怪物'!$A$41:$F$44,2,FALSE),0)+IF(1=D559,ROUND(Y559*'难度参数'!$E$28*'章节与怪物'!$E$17,0),0))</x:f>
        <x:v>227994</x:v>
      </x:c>
      <x:c r="AA559" s="119" t="n">
        <x:f>IF(X559=0,0,(X559-IF(1=D559,1,0))*VLOOKUP(INDEX('章节与怪物'!$E$31:$K$37,B559,1),'章节与怪物'!$A$41:$F$44,4,FALSE)+IF(1=D559,'难度参数'!$E$30,0))</x:f>
        <x:v>740</x:v>
      </x:c>
      <x:c r="AB559" s="119" t="n">
        <x:f>IF(2&gt;D559,0,MAX(2,MIN('难度参数'!$E$12,ROUND(('难度参数'!$E$18*POWER(A559,'难度参数'!$E$19)/D559*(0.85+0.3*(2-1)/MAX(1,D559-1))),0)+F559)))</x:f>
        <x:v>39</x:v>
      </x:c>
      <x:c r="AC559" s="119" t="n">
        <x:f>IF(2&gt;D559,0,ROUND(('难度参数'!$E$13*POWER(A559,'难度参数'!$E$20)*MIN('难度参数'!$E$23,1+MAX(0,A559-'难度参数'!$E$21)*'难度参数'!$E$22))*(36+2*7)/(36+7*(D559+1)/2)*E559,0))</x:f>
        <x:v>9951</x:v>
      </x:c>
      <x:c r="AD559" s="119" t="n">
        <x:f>IF(AB559=0,0,(AB559-IF(2=D559,1,0))*ROUND(AC559*VLOOKUP(INDEX('章节与怪物'!$E$31:$K$37,B559,2),'章节与怪物'!$A$41:$F$44,2,FALSE),0)+IF(2=D559,ROUND(AC559*'难度参数'!$E$28*'章节与怪物'!$E$17,0),0))</x:f>
        <x:v>388089</x:v>
      </x:c>
      <x:c r="AE559" s="119" t="n">
        <x:f>IF(AB559=0,0,(AB559-IF(2=D559,1,0))*VLOOKUP(INDEX('章节与怪物'!$E$31:$K$37,B559,2),'章节与怪物'!$A$41:$F$44,4,FALSE)+IF(2=D559,'难度参数'!$E$30,0))</x:f>
        <x:v>702</x:v>
      </x:c>
      <x:c r="AF559" s="119" t="n">
        <x:f>IF(3&gt;D559,0,MAX(2,MIN('难度参数'!$E$12,ROUND(('难度参数'!$E$18*POWER(A559,'难度参数'!$E$19)/D559*(0.85+0.3*(3-1)/MAX(1,D559-1))),0)+F559)))</x:f>
        <x:v>41</x:v>
      </x:c>
      <x:c r="AG559" s="119" t="n">
        <x:f>IF(3&gt;D559,0,ROUND(('难度参数'!$E$13*POWER(A559,'难度参数'!$E$20)*MIN('难度参数'!$E$23,1+MAX(0,A559-'难度参数'!$E$21)*'难度参数'!$E$22))*(36+3*7)/(36+7*(D559+1)/2)*E559,0))</x:f>
        <x:v>11345</x:v>
      </x:c>
      <x:c r="AH559" s="119" t="n">
        <x:f>IF(AF559=0,0,(AF559-IF(3=D559,1,0))*ROUND(AG559*VLOOKUP(INDEX('章节与怪物'!$E$31:$K$37,B559,3),'章节与怪物'!$A$41:$F$44,2,FALSE),0)+IF(3=D559,ROUND(AG559*'难度参数'!$E$28*'章节与怪物'!$E$17,0),0))</x:f>
        <x:v>790767</x:v>
      </x:c>
      <x:c r="AI559" s="119" t="n">
        <x:f>IF(AF559=0,0,(AF559-IF(3=D559,1,0))*VLOOKUP(INDEX('章节与怪物'!$E$31:$K$37,B559,3),'章节与怪物'!$A$41:$F$44,4,FALSE)+IF(3=D559,'难度参数'!$E$30,0))</x:f>
        <x:v>1148</x:v>
      </x:c>
      <x:c r="AJ559" s="119" t="n">
        <x:f>IF(4&gt;D559,0,MAX(2,MIN('难度参数'!$E$12,ROUND(('难度参数'!$E$18*POWER(A559,'难度参数'!$E$19)/D559*(0.85+0.3*(4-1)/MAX(1,D559-1))),0)+F559)))</x:f>
        <x:v>43</x:v>
      </x:c>
      <x:c r="AK559" s="119" t="n">
        <x:f>IF(4&gt;D559,0,ROUND(('难度参数'!$E$13*POWER(A559,'难度参数'!$E$20)*MIN('难度参数'!$E$23,1+MAX(0,A559-'难度参数'!$E$21)*'难度参数'!$E$22))*(36+4*7)/(36+7*(D559+1)/2)*E559,0))</x:f>
        <x:v>12738</x:v>
      </x:c>
      <x:c r="AL559" s="119" t="n">
        <x:f>IF(AJ559=0,0,(AJ559-IF(4=D559,1,0))*ROUND(AK559*VLOOKUP(INDEX('章节与怪物'!$E$31:$K$37,B559,4),'章节与怪物'!$A$41:$F$44,2,FALSE),0)+IF(4=D559,ROUND(AK559*'难度参数'!$E$28*'章节与怪物'!$E$17,0),0))</x:f>
        <x:v>739428</x:v>
      </x:c>
      <x:c r="AM559" s="119" t="n">
        <x:f>IF(AJ559=0,0,(AJ559-IF(4=D559,1,0))*VLOOKUP(INDEX('章节与怪物'!$E$31:$K$37,B559,4),'章节与怪物'!$A$41:$F$44,4,FALSE)+IF(4=D559,'难度参数'!$E$30,0))</x:f>
        <x:v>1462</x:v>
      </x:c>
      <x:c r="AN559" s="119" t="n">
        <x:f>IF(5&gt;D559,0,MAX(2,MIN('难度参数'!$E$12,ROUND(('难度参数'!$E$18*POWER(A559,'难度参数'!$E$19)/D559*(0.85+0.3*(5-1)/MAX(1,D559-1))),0)+F559)))</x:f>
        <x:v>45</x:v>
      </x:c>
      <x:c r="AO559" s="119" t="n">
        <x:f>IF(5&gt;D559,0,ROUND(('难度参数'!$E$13*POWER(A559,'难度参数'!$E$20)*MIN('难度参数'!$E$23,1+MAX(0,A559-'难度参数'!$E$21)*'难度参数'!$E$22))*(36+5*7)/(36+7*(D559+1)/2)*E559,0))</x:f>
        <x:v>14131</x:v>
      </x:c>
      <x:c r="AP559" s="119" t="n">
        <x:f>IF(AN559=0,0,(AN559-IF(5=D559,1,0))*ROUND(AO559*VLOOKUP(INDEX('章节与怪物'!$E$31:$K$37,B559,5),'章节与怪物'!$A$41:$F$44,2,FALSE),0)+IF(5=D559,ROUND(AO559*'难度参数'!$E$28*'章节与怪物'!$E$17,0),0))</x:f>
        <x:v>635895</x:v>
      </x:c>
      <x:c r="AQ559" s="119" t="n">
        <x:f>IF(AN559=0,0,(AN559-IF(5=D559,1,0))*VLOOKUP(INDEX('章节与怪物'!$E$31:$K$37,B559,5),'章节与怪物'!$A$41:$F$44,4,FALSE)+IF(5=D559,'难度参数'!$E$30,0))</x:f>
        <x:v>810</x:v>
      </x:c>
      <x:c r="AR559" s="119" t="n">
        <x:f>IF(6&gt;D559,0,MAX(2,MIN('难度参数'!$E$12,ROUND(('难度参数'!$E$18*POWER(A559,'难度参数'!$E$19)/D559*(0.85+0.3*(6-1)/MAX(1,D559-1))),0)+F559)))</x:f>
        <x:v>47</x:v>
      </x:c>
      <x:c r="AS559" s="119" t="n">
        <x:f>IF(6&gt;D559,0,ROUND(('难度参数'!$E$13*POWER(A559,'难度参数'!$E$20)*MIN('难度参数'!$E$23,1+MAX(0,A559-'难度参数'!$E$21)*'难度参数'!$E$22))*(36+6*7)/(36+7*(D559+1)/2)*E559,0))</x:f>
        <x:v>15524</x:v>
      </x:c>
      <x:c r="AT559" s="119" t="n">
        <x:f>IF(AR559=0,0,(AR559-IF(6=D559,1,0))*ROUND(AS559*VLOOKUP(INDEX('章节与怪物'!$E$31:$K$37,B559,6),'章节与怪物'!$A$41:$F$44,2,FALSE),0)+IF(6=D559,ROUND(AS559*'难度参数'!$E$28*'章节与怪物'!$E$17,0),0))</x:f>
        <x:v>1240377</x:v>
      </x:c>
      <x:c r="AU559" s="119" t="n">
        <x:f>IF(AR559=0,0,(AR559-IF(6=D559,1,0))*VLOOKUP(INDEX('章节与怪物'!$E$31:$K$37,B559,6),'章节与怪物'!$A$41:$F$44,4,FALSE)+IF(6=D559,'难度参数'!$E$30,0))</x:f>
        <x:v>1316</x:v>
      </x:c>
      <x:c r="AV559" s="119" t="n">
        <x:f>IF(7&gt;D559,0,MAX(2,MIN('难度参数'!$E$12,ROUND(('难度参数'!$E$18*POWER(A559,'难度参数'!$E$19)/D559*(0.85+0.3*(7-1)/MAX(1,D559-1))),0)+F559)))</x:f>
        <x:v>49</x:v>
      </x:c>
      <x:c r="AW559" s="119" t="n">
        <x:f>IF(7&gt;D559,0,ROUND(('难度参数'!$E$13*POWER(A559,'难度参数'!$E$20)*MIN('难度参数'!$E$23,1+MAX(0,A559-'难度参数'!$E$21)*'难度参数'!$E$22))*(36+7*7)/(36+7*(D559+1)/2)*E559,0))</x:f>
        <x:v>16917</x:v>
      </x:c>
      <x:c r="AX559" s="119" t="n">
        <x:f>IF(AV559=0,0,(AV559-IF(7=D559,1,0))*ROUND(AW559*VLOOKUP(INDEX('章节与怪物'!$E$31:$K$37,B559,7),'章节与怪物'!$A$41:$F$44,2,FALSE),0)+IF(7=D559,ROUND(AW559*'难度参数'!$E$28*'章节与怪物'!$E$17,0),0))</x:f>
        <x:v>1211260</x:v>
      </x:c>
      <x:c r="AY559" s="119" t="n">
        <x:f>IF(AV559=0,0,(AV559-IF(7=D559,1,0))*VLOOKUP(INDEX('章节与怪物'!$E$31:$K$37,B559,7),'章节与怪物'!$A$41:$F$44,4,FALSE)+IF(7=D559,'难度参数'!$E$30,0))</x:f>
        <x:v>1832</x:v>
      </x:c>
    </x:row>
    <x:row r="560" ht="23" customHeight="1">
      <x:c r="A560" s="119" t="n">
        <x:v>554</x:v>
      </x:c>
      <x:c r="B560" s="119" t="n">
        <x:f>MOD(INT((A560-1)/5),7)+1</x:f>
        <x:v>6</x:v>
      </x:c>
      <x:c r="C560" s="62" t="str">
        <x:f>INDEX('章节与怪物'!$B$31:$B$37,B560)</x:f>
        <x:v>熔岩山脉</x:v>
      </x:c>
      <x:c r="D560" s="119" t="n">
        <x:f>MIN('难度参数'!$E$8,MAX('难度参数'!$E$7,A560))</x:f>
        <x:v>7</x:v>
      </x:c>
      <x:c r="E560" s="106" t="n">
        <x:v>1</x:v>
      </x:c>
      <x:c r="F560" s="106" t="n">
        <x:v>0</x:v>
      </x:c>
      <x:c r="G560" s="106" t="n">
        <x:v>1</x:v>
      </x:c>
      <x:c r="H560" s="119" t="n">
        <x:f>SUM(X560,AB560,AF560,AJ560,AN560,AR560,AV560)</x:f>
        <x:v>301</x:v>
      </x:c>
      <x:c r="I560" s="119" t="n">
        <x:f>SUM(Z560,AD560,AH560,AL560,AP560,AT560,AX560)</x:f>
        <x:v>5240499</x:v>
      </x:c>
      <x:c r="J560" s="119" t="n">
        <x:f>ROUND(INDEX(X560:AY560,1,(D560-1)*4+2)*'难度参数'!$E$28*'章节与怪物'!$E$17,0)</x:f>
        <x:v>115185</x:v>
      </x:c>
      <x:c r="K560" s="119" t="n">
        <x:f>SUM(AA560,AE560,AI560,AM560,AQ560,AU560,AY560)</x:f>
        <x:v>8010</x:v>
      </x:c>
      <x:c r="L560" s="62" t="n">
        <x:f>H560*(ROUNDUP('难度参数'!$E$24/('难度参数'!$E$26*'难度参数'!$E$27),0)*'难度参数'!$E$26)/60</x:f>
        <x:v>4.013333333333334</x:v>
      </x:c>
      <x:c r="M560" s="62" t="n">
        <x:f>L560+D560*('难度参数'!$E$49+'难度参数'!$E$50)/60</x:f>
        <x:v>5.180000000000001</x:v>
      </x:c>
      <x:c r="N560" s="119" t="n">
        <x:f>ROUNDDOWN(('经济参数'!$E$20+A560*'经济参数'!$E$21)*G560,0)</x:f>
        <x:v>11260</x:v>
      </x:c>
      <x:c r="O560" s="119" t="n">
        <x:f>ROUNDDOWN(MIN('经济参数'!$E$24,'经济参数'!$E$22+A560*'经济参数'!$E$23)*G560,0)</x:f>
        <x:v>0</x:v>
      </x:c>
      <x:c r="P560" s="119" t="n">
        <x:f>ROUNDDOWN((IF(A560&gt;='材料与任务'!$E$31,'材料与任务'!$E$32,IF(A560&gt;='材料与任务'!$E$25,'材料与任务'!$E$26,IF(A560&gt;='材料与任务'!$E$19,'材料与任务'!$E$20,IF(A560&gt;='材料与任务'!$E$13,'材料与任务'!$E$14,'材料与任务'!$E$8)))))*G560,0)</x:f>
        <x:v>6</x:v>
      </x:c>
      <x:c r="Q560" s="119" t="n">
        <x:f>ROUNDDOWN((IF(A560&gt;='材料与任务'!$E$31,'材料与任务'!$E$33,IF(A560&gt;='材料与任务'!$E$25,'材料与任务'!$E$27,IF(A560&gt;='材料与任务'!$E$19,'材料与任务'!$E$21,IF(A560&gt;='材料与任务'!$E$13,'材料与任务'!$E$15,'材料与任务'!$E$9)))))*G560,0)</x:f>
        <x:v>3</x:v>
      </x:c>
      <x:c r="R560" s="110" t="n">
        <x:f>'装备掉落'!$B$38</x:f>
        <x:v>0.6872058758851213</x:v>
      </x:c>
      <x:c r="S560" s="119" t="n">
        <x:f>MAX(IF(VLOOKUP(A560,'装备掉落'!$A$29:$H$34,2,TRUE)&gt;0,1,0),IF(VLOOKUP(A560,'装备掉落'!$A$29:$H$34,3,TRUE)&gt;0,2,0),IF(VLOOKUP(A560,'装备掉落'!$A$29:$H$34,4,TRUE)&gt;0,3,0),IF(VLOOKUP(A560,'装备掉落'!$A$29:$H$34,5,TRUE)&gt;0,4,0),IF(VLOOKUP(A560,'装备掉落'!$A$29:$H$34,6,TRUE)&gt;0,5,0),IF(VLOOKUP(A560,'装备掉落'!$A$29:$H$34,7,TRUE)&gt;0,6,0),IF(VLOOKUP(A560,'装备掉落'!$A$29:$H$34,8,TRUE)&gt;0,7,0))</x:f>
        <x:v>7</x:v>
      </x:c>
      <x:c r="T560" s="119" t="n">
        <x:f>MIN(7,S560+'经济参数'!$E$70)</x:f>
        <x:v>7</x:v>
      </x:c>
      <x:c r="U560" s="119" t="n">
        <x:f>MIN(7,S560+'经济参数'!$E$71)</x:f>
        <x:v>7</x:v>
      </x:c>
      <x:c r="V560" s="119" t="n">
        <x:f>IF(H560&gt;=('难度参数'!$E$52),1,0)+IF(H560&gt;=('难度参数'!$E$52+'难度参数'!$E$53),1,0)+IF(H560&gt;=('难度参数'!$E$52+'难度参数'!$E$53+'难度参数'!$E$54),1,0)+IF(H560&gt;=('难度参数'!$E$52+'难度参数'!$E$53+'难度参数'!$E$54+'难度参数'!$E$55),1,0)+IF(H560&gt;=('难度参数'!$E$52+'难度参数'!$E$53+'难度参数'!$E$54+'难度参数'!$E$55+'难度参数'!$E$56),1,0)+IF(H560&gt;=('难度参数'!$E$52+'难度参数'!$E$53+'难度参数'!$E$54+'难度参数'!$E$55+'难度参数'!$E$56+'难度参数'!$E$57),1,0)</x:f>
        <x:v>6</x:v>
      </x:c>
      <x:c r="W560" s="62" t="str">
        <x:f>IF(L560&gt;'难度参数'!$E$51,"仅出怪已超目标","还需实测")</x:f>
        <x:v>仅出怪已超目标</x:v>
      </x:c>
      <x:c r="X560" s="119" t="n">
        <x:f>IF(1&gt;D560,0,MAX(2,MIN('难度参数'!$E$12,ROUND(('难度参数'!$E$18*POWER(A560,'难度参数'!$E$19)/D560*(0.85+0.3*(1-1)/MAX(1,D560-1))),0)+F560)))</x:f>
        <x:v>37</x:v>
      </x:c>
      <x:c r="Y560" s="119" t="n">
        <x:f>IF(1&gt;D560,0,ROUND(('难度参数'!$E$13*POWER(A560,'难度参数'!$E$20)*MIN('难度参数'!$E$23,1+MAX(0,A560-'难度参数'!$E$21)*'难度参数'!$E$22))*(36+1*7)/(36+7*(D560+1)/2)*E560,0))</x:f>
        <x:v>8569</x:v>
      </x:c>
      <x:c r="Z560" s="119" t="n">
        <x:f>IF(X560=0,0,(X560-IF(1=D560,1,0))*ROUND(Y560*VLOOKUP(INDEX('章节与怪物'!$E$31:$K$37,B560,1),'章节与怪物'!$A$41:$F$44,2,FALSE),0)+IF(1=D560,ROUND(Y560*'难度参数'!$E$28*'章节与怪物'!$E$17,0),0))</x:f>
        <x:v>228290</x:v>
      </x:c>
      <x:c r="AA560" s="119" t="n">
        <x:f>IF(X560=0,0,(X560-IF(1=D560,1,0))*VLOOKUP(INDEX('章节与怪物'!$E$31:$K$37,B560,1),'章节与怪物'!$A$41:$F$44,4,FALSE)+IF(1=D560,'难度参数'!$E$30,0))</x:f>
        <x:v>740</x:v>
      </x:c>
      <x:c r="AB560" s="119" t="n">
        <x:f>IF(2&gt;D560,0,MAX(2,MIN('难度参数'!$E$12,ROUND(('难度参数'!$E$18*POWER(A560,'难度参数'!$E$19)/D560*(0.85+0.3*(2-1)/MAX(1,D560-1))),0)+F560)))</x:f>
        <x:v>39</x:v>
      </x:c>
      <x:c r="AC560" s="119" t="n">
        <x:f>IF(2&gt;D560,0,ROUND(('难度参数'!$E$13*POWER(A560,'难度参数'!$E$20)*MIN('难度参数'!$E$23,1+MAX(0,A560-'难度参数'!$E$21)*'难度参数'!$E$22))*(36+2*7)/(36+7*(D560+1)/2)*E560,0))</x:f>
        <x:v>9964</x:v>
      </x:c>
      <x:c r="AD560" s="119" t="n">
        <x:f>IF(AB560=0,0,(AB560-IF(2=D560,1,0))*ROUND(AC560*VLOOKUP(INDEX('章节与怪物'!$E$31:$K$37,B560,2),'章节与怪物'!$A$41:$F$44,2,FALSE),0)+IF(2=D560,ROUND(AC560*'难度参数'!$E$28*'章节与怪物'!$E$17,0),0))</x:f>
        <x:v>388596</x:v>
      </x:c>
      <x:c r="AE560" s="119" t="n">
        <x:f>IF(AB560=0,0,(AB560-IF(2=D560,1,0))*VLOOKUP(INDEX('章节与怪物'!$E$31:$K$37,B560,2),'章节与怪物'!$A$41:$F$44,4,FALSE)+IF(2=D560,'难度参数'!$E$30,0))</x:f>
        <x:v>702</x:v>
      </x:c>
      <x:c r="AF560" s="119" t="n">
        <x:f>IF(3&gt;D560,0,MAX(2,MIN('难度参数'!$E$12,ROUND(('难度参数'!$E$18*POWER(A560,'难度参数'!$E$19)/D560*(0.85+0.3*(3-1)/MAX(1,D560-1))),0)+F560)))</x:f>
        <x:v>41</x:v>
      </x:c>
      <x:c r="AG560" s="119" t="n">
        <x:f>IF(3&gt;D560,0,ROUND(('难度参数'!$E$13*POWER(A560,'难度参数'!$E$20)*MIN('难度参数'!$E$23,1+MAX(0,A560-'难度参数'!$E$21)*'难度参数'!$E$22))*(36+3*7)/(36+7*(D560+1)/2)*E560,0))</x:f>
        <x:v>11359</x:v>
      </x:c>
      <x:c r="AH560" s="119" t="n">
        <x:f>IF(AF560=0,0,(AF560-IF(3=D560,1,0))*ROUND(AG560*VLOOKUP(INDEX('章节与怪物'!$E$31:$K$37,B560,3),'章节与怪物'!$A$41:$F$44,2,FALSE),0)+IF(3=D560,ROUND(AG560*'难度参数'!$E$28*'章节与怪物'!$E$17,0),0))</x:f>
        <x:v>791710</x:v>
      </x:c>
      <x:c r="AI560" s="119" t="n">
        <x:f>IF(AF560=0,0,(AF560-IF(3=D560,1,0))*VLOOKUP(INDEX('章节与怪物'!$E$31:$K$37,B560,3),'章节与怪物'!$A$41:$F$44,4,FALSE)+IF(3=D560,'难度参数'!$E$30,0))</x:f>
        <x:v>1148</x:v>
      </x:c>
      <x:c r="AJ560" s="119" t="n">
        <x:f>IF(4&gt;D560,0,MAX(2,MIN('难度参数'!$E$12,ROUND(('难度参数'!$E$18*POWER(A560,'难度参数'!$E$19)/D560*(0.85+0.3*(4-1)/MAX(1,D560-1))),0)+F560)))</x:f>
        <x:v>43</x:v>
      </x:c>
      <x:c r="AK560" s="119" t="n">
        <x:f>IF(4&gt;D560,0,ROUND(('难度参数'!$E$13*POWER(A560,'难度参数'!$E$20)*MIN('难度参数'!$E$23,1+MAX(0,A560-'难度参数'!$E$21)*'难度参数'!$E$22))*(36+4*7)/(36+7*(D560+1)/2)*E560,0))</x:f>
        <x:v>12754</x:v>
      </x:c>
      <x:c r="AL560" s="119" t="n">
        <x:f>IF(AJ560=0,0,(AJ560-IF(4=D560,1,0))*ROUND(AK560*VLOOKUP(INDEX('章节与怪物'!$E$31:$K$37,B560,4),'章节与怪物'!$A$41:$F$44,2,FALSE),0)+IF(4=D560,ROUND(AK560*'难度参数'!$E$28*'章节与怪物'!$E$17,0),0))</x:f>
        <x:v>740374</x:v>
      </x:c>
      <x:c r="AM560" s="119" t="n">
        <x:f>IF(AJ560=0,0,(AJ560-IF(4=D560,1,0))*VLOOKUP(INDEX('章节与怪物'!$E$31:$K$37,B560,4),'章节与怪物'!$A$41:$F$44,4,FALSE)+IF(4=D560,'难度参数'!$E$30,0))</x:f>
        <x:v>1462</x:v>
      </x:c>
      <x:c r="AN560" s="119" t="n">
        <x:f>IF(5&gt;D560,0,MAX(2,MIN('难度参数'!$E$12,ROUND(('难度参数'!$E$18*POWER(A560,'难度参数'!$E$19)/D560*(0.85+0.3*(5-1)/MAX(1,D560-1))),0)+F560)))</x:f>
        <x:v>45</x:v>
      </x:c>
      <x:c r="AO560" s="119" t="n">
        <x:f>IF(5&gt;D560,0,ROUND(('难度参数'!$E$13*POWER(A560,'难度参数'!$E$20)*MIN('难度参数'!$E$23,1+MAX(0,A560-'难度参数'!$E$21)*'难度参数'!$E$22))*(36+5*7)/(36+7*(D560+1)/2)*E560,0))</x:f>
        <x:v>14149</x:v>
      </x:c>
      <x:c r="AP560" s="119" t="n">
        <x:f>IF(AN560=0,0,(AN560-IF(5=D560,1,0))*ROUND(AO560*VLOOKUP(INDEX('章节与怪物'!$E$31:$K$37,B560,5),'章节与怪物'!$A$41:$F$44,2,FALSE),0)+IF(5=D560,ROUND(AO560*'难度参数'!$E$28*'章节与怪物'!$E$17,0),0))</x:f>
        <x:v>636705</x:v>
      </x:c>
      <x:c r="AQ560" s="119" t="n">
        <x:f>IF(AN560=0,0,(AN560-IF(5=D560,1,0))*VLOOKUP(INDEX('章节与怪物'!$E$31:$K$37,B560,5),'章节与怪物'!$A$41:$F$44,4,FALSE)+IF(5=D560,'难度参数'!$E$30,0))</x:f>
        <x:v>810</x:v>
      </x:c>
      <x:c r="AR560" s="119" t="n">
        <x:f>IF(6&gt;D560,0,MAX(2,MIN('难度参数'!$E$12,ROUND(('难度参数'!$E$18*POWER(A560,'难度参数'!$E$19)/D560*(0.85+0.3*(6-1)/MAX(1,D560-1))),0)+F560)))</x:f>
        <x:v>47</x:v>
      </x:c>
      <x:c r="AS560" s="119" t="n">
        <x:f>IF(6&gt;D560,0,ROUND(('难度参数'!$E$13*POWER(A560,'难度参数'!$E$20)*MIN('难度参数'!$E$23,1+MAX(0,A560-'难度参数'!$E$21)*'难度参数'!$E$22))*(36+6*7)/(36+7*(D560+1)/2)*E560,0))</x:f>
        <x:v>15544</x:v>
      </x:c>
      <x:c r="AT560" s="119" t="n">
        <x:f>IF(AR560=0,0,(AR560-IF(6=D560,1,0))*ROUND(AS560*VLOOKUP(INDEX('章节与怪物'!$E$31:$K$37,B560,6),'章节与怪物'!$A$41:$F$44,2,FALSE),0)+IF(6=D560,ROUND(AS560*'难度参数'!$E$28*'章节与怪物'!$E$17,0),0))</x:f>
        <x:v>1241975</x:v>
      </x:c>
      <x:c r="AU560" s="119" t="n">
        <x:f>IF(AR560=0,0,(AR560-IF(6=D560,1,0))*VLOOKUP(INDEX('章节与怪物'!$E$31:$K$37,B560,6),'章节与怪物'!$A$41:$F$44,4,FALSE)+IF(6=D560,'难度参数'!$E$30,0))</x:f>
        <x:v>1316</x:v>
      </x:c>
      <x:c r="AV560" s="119" t="n">
        <x:f>IF(7&gt;D560,0,MAX(2,MIN('难度参数'!$E$12,ROUND(('难度参数'!$E$18*POWER(A560,'难度参数'!$E$19)/D560*(0.85+0.3*(7-1)/MAX(1,D560-1))),0)+F560)))</x:f>
        <x:v>49</x:v>
      </x:c>
      <x:c r="AW560" s="119" t="n">
        <x:f>IF(7&gt;D560,0,ROUND(('难度参数'!$E$13*POWER(A560,'难度参数'!$E$20)*MIN('难度参数'!$E$23,1+MAX(0,A560-'难度参数'!$E$21)*'难度参数'!$E$22))*(36+7*7)/(36+7*(D560+1)/2)*E560,0))</x:f>
        <x:v>16939</x:v>
      </x:c>
      <x:c r="AX560" s="119" t="n">
        <x:f>IF(AV560=0,0,(AV560-IF(7=D560,1,0))*ROUND(AW560*VLOOKUP(INDEX('章节与怪物'!$E$31:$K$37,B560,7),'章节与怪物'!$A$41:$F$44,2,FALSE),0)+IF(7=D560,ROUND(AW560*'难度参数'!$E$28*'章节与怪物'!$E$17,0),0))</x:f>
        <x:v>1212849</x:v>
      </x:c>
      <x:c r="AY560" s="119" t="n">
        <x:f>IF(AV560=0,0,(AV560-IF(7=D560,1,0))*VLOOKUP(INDEX('章节与怪物'!$E$31:$K$37,B560,7),'章节与怪物'!$A$41:$F$44,4,FALSE)+IF(7=D560,'难度参数'!$E$30,0))</x:f>
        <x:v>1832</x:v>
      </x:c>
    </x:row>
    <x:row r="561" ht="23" customHeight="1">
      <x:c r="A561" s="119" t="n">
        <x:v>555</x:v>
      </x:c>
      <x:c r="B561" s="119" t="n">
        <x:f>MOD(INT((A561-1)/5),7)+1</x:f>
        <x:v>6</x:v>
      </x:c>
      <x:c r="C561" s="62" t="str">
        <x:f>INDEX('章节与怪物'!$B$31:$B$37,B561)</x:f>
        <x:v>熔岩山脉</x:v>
      </x:c>
      <x:c r="D561" s="119" t="n">
        <x:f>MIN('难度参数'!$E$8,MAX('难度参数'!$E$7,A561))</x:f>
        <x:v>7</x:v>
      </x:c>
      <x:c r="E561" s="106" t="n">
        <x:v>1</x:v>
      </x:c>
      <x:c r="F561" s="106" t="n">
        <x:v>0</x:v>
      </x:c>
      <x:c r="G561" s="106" t="n">
        <x:v>1</x:v>
      </x:c>
      <x:c r="H561" s="119" t="n">
        <x:f>SUM(X561,AB561,AF561,AJ561,AN561,AR561,AV561)</x:f>
        <x:v>302</x:v>
      </x:c>
      <x:c r="I561" s="119" t="n">
        <x:f>SUM(Z561,AD561,AH561,AL561,AP561,AT561,AX561)</x:f>
        <x:v>5270343</x:v>
      </x:c>
      <x:c r="J561" s="119" t="n">
        <x:f>ROUND(INDEX(X561:AY561,1,(D561-1)*4+2)*'难度参数'!$E$28*'章节与怪物'!$E$17,0)</x:f>
        <x:v>115335</x:v>
      </x:c>
      <x:c r="K561" s="119" t="n">
        <x:f>SUM(AA561,AE561,AI561,AM561,AQ561,AU561,AY561)</x:f>
        <x:v>8044</x:v>
      </x:c>
      <x:c r="L561" s="62" t="n">
        <x:f>H561*(ROUNDUP('难度参数'!$E$24/('难度参数'!$E$26*'难度参数'!$E$27),0)*'难度参数'!$E$26)/60</x:f>
        <x:v>4.026666666666667</x:v>
      </x:c>
      <x:c r="M561" s="62" t="n">
        <x:f>L561+D561*('难度参数'!$E$49+'难度参数'!$E$50)/60</x:f>
        <x:v>5.193333333333334</x:v>
      </x:c>
      <x:c r="N561" s="119" t="n">
        <x:f>ROUNDDOWN(('经济参数'!$E$20+A561*'经济参数'!$E$21)*G561,0)</x:f>
        <x:v>11280</x:v>
      </x:c>
      <x:c r="O561" s="119" t="n">
        <x:f>ROUNDDOWN(MIN('经济参数'!$E$24,'经济参数'!$E$22+A561*'经济参数'!$E$23)*G561,0)</x:f>
        <x:v>0</x:v>
      </x:c>
      <x:c r="P561" s="119" t="n">
        <x:f>ROUNDDOWN((IF(A561&gt;='材料与任务'!$E$31,'材料与任务'!$E$32,IF(A561&gt;='材料与任务'!$E$25,'材料与任务'!$E$26,IF(A561&gt;='材料与任务'!$E$19,'材料与任务'!$E$20,IF(A561&gt;='材料与任务'!$E$13,'材料与任务'!$E$14,'材料与任务'!$E$8)))))*G561,0)</x:f>
        <x:v>6</x:v>
      </x:c>
      <x:c r="Q561" s="119" t="n">
        <x:f>ROUNDDOWN((IF(A561&gt;='材料与任务'!$E$31,'材料与任务'!$E$33,IF(A561&gt;='材料与任务'!$E$25,'材料与任务'!$E$27,IF(A561&gt;='材料与任务'!$E$19,'材料与任务'!$E$21,IF(A561&gt;='材料与任务'!$E$13,'材料与任务'!$E$15,'材料与任务'!$E$9)))))*G561,0)</x:f>
        <x:v>3</x:v>
      </x:c>
      <x:c r="R561" s="110" t="n">
        <x:f>'装备掉落'!$B$38</x:f>
        <x:v>0.6872058758851213</x:v>
      </x:c>
      <x:c r="S561" s="119" t="n">
        <x:f>MAX(IF(VLOOKUP(A561,'装备掉落'!$A$29:$H$34,2,TRUE)&gt;0,1,0),IF(VLOOKUP(A561,'装备掉落'!$A$29:$H$34,3,TRUE)&gt;0,2,0),IF(VLOOKUP(A561,'装备掉落'!$A$29:$H$34,4,TRUE)&gt;0,3,0),IF(VLOOKUP(A561,'装备掉落'!$A$29:$H$34,5,TRUE)&gt;0,4,0),IF(VLOOKUP(A561,'装备掉落'!$A$29:$H$34,6,TRUE)&gt;0,5,0),IF(VLOOKUP(A561,'装备掉落'!$A$29:$H$34,7,TRUE)&gt;0,6,0),IF(VLOOKUP(A561,'装备掉落'!$A$29:$H$34,8,TRUE)&gt;0,7,0))</x:f>
        <x:v>7</x:v>
      </x:c>
      <x:c r="T561" s="119" t="n">
        <x:f>MIN(7,S561+'经济参数'!$E$70)</x:f>
        <x:v>7</x:v>
      </x:c>
      <x:c r="U561" s="119" t="n">
        <x:f>MIN(7,S561+'经济参数'!$E$71)</x:f>
        <x:v>7</x:v>
      </x:c>
      <x:c r="V561" s="119" t="n">
        <x:f>IF(H561&gt;=('难度参数'!$E$52),1,0)+IF(H561&gt;=('难度参数'!$E$52+'难度参数'!$E$53),1,0)+IF(H561&gt;=('难度参数'!$E$52+'难度参数'!$E$53+'难度参数'!$E$54),1,0)+IF(H561&gt;=('难度参数'!$E$52+'难度参数'!$E$53+'难度参数'!$E$54+'难度参数'!$E$55),1,0)+IF(H561&gt;=('难度参数'!$E$52+'难度参数'!$E$53+'难度参数'!$E$54+'难度参数'!$E$55+'难度参数'!$E$56),1,0)+IF(H561&gt;=('难度参数'!$E$52+'难度参数'!$E$53+'难度参数'!$E$54+'难度参数'!$E$55+'难度参数'!$E$56+'难度参数'!$E$57),1,0)</x:f>
        <x:v>6</x:v>
      </x:c>
      <x:c r="W561" s="62" t="str">
        <x:f>IF(L561&gt;'难度参数'!$E$51,"仅出怪已超目标","还需实测")</x:f>
        <x:v>仅出怪已超目标</x:v>
      </x:c>
      <x:c r="X561" s="119" t="n">
        <x:f>IF(1&gt;D561,0,MAX(2,MIN('难度参数'!$E$12,ROUND(('难度参数'!$E$18*POWER(A561,'难度参数'!$E$19)/D561*(0.85+0.3*(1-1)/MAX(1,D561-1))),0)+F561)))</x:f>
        <x:v>37</x:v>
      </x:c>
      <x:c r="Y561" s="119" t="n">
        <x:f>IF(1&gt;D561,0,ROUND(('难度参数'!$E$13*POWER(A561,'难度参数'!$E$20)*MIN('难度参数'!$E$23,1+MAX(0,A561-'难度参数'!$E$21)*'难度参数'!$E$22))*(36+1*7)/(36+7*(D561+1)/2)*E561,0))</x:f>
        <x:v>8581</x:v>
      </x:c>
      <x:c r="Z561" s="119" t="n">
        <x:f>IF(X561=0,0,(X561-IF(1=D561,1,0))*ROUND(Y561*VLOOKUP(INDEX('章节与怪物'!$E$31:$K$37,B561,1),'章节与怪物'!$A$41:$F$44,2,FALSE),0)+IF(1=D561,ROUND(Y561*'难度参数'!$E$28*'章节与怪物'!$E$17,0),0))</x:f>
        <x:v>228586</x:v>
      </x:c>
      <x:c r="AA561" s="119" t="n">
        <x:f>IF(X561=0,0,(X561-IF(1=D561,1,0))*VLOOKUP(INDEX('章节与怪物'!$E$31:$K$37,B561,1),'章节与怪物'!$A$41:$F$44,4,FALSE)+IF(1=D561,'难度参数'!$E$30,0))</x:f>
        <x:v>740</x:v>
      </x:c>
      <x:c r="AB561" s="119" t="n">
        <x:f>IF(2&gt;D561,0,MAX(2,MIN('难度参数'!$E$12,ROUND(('难度参数'!$E$18*POWER(A561,'难度参数'!$E$19)/D561*(0.85+0.3*(2-1)/MAX(1,D561-1))),0)+F561)))</x:f>
        <x:v>39</x:v>
      </x:c>
      <x:c r="AC561" s="119" t="n">
        <x:f>IF(2&gt;D561,0,ROUND(('难度参数'!$E$13*POWER(A561,'难度参数'!$E$20)*MIN('难度参数'!$E$23,1+MAX(0,A561-'难度参数'!$E$21)*'难度参数'!$E$22))*(36+2*7)/(36+7*(D561+1)/2)*E561,0))</x:f>
        <x:v>9977</x:v>
      </x:c>
      <x:c r="AD561" s="119" t="n">
        <x:f>IF(AB561=0,0,(AB561-IF(2=D561,1,0))*ROUND(AC561*VLOOKUP(INDEX('章节与怪物'!$E$31:$K$37,B561,2),'章节与怪物'!$A$41:$F$44,2,FALSE),0)+IF(2=D561,ROUND(AC561*'难度参数'!$E$28*'章节与怪物'!$E$17,0),0))</x:f>
        <x:v>389103</x:v>
      </x:c>
      <x:c r="AE561" s="119" t="n">
        <x:f>IF(AB561=0,0,(AB561-IF(2=D561,1,0))*VLOOKUP(INDEX('章节与怪物'!$E$31:$K$37,B561,2),'章节与怪物'!$A$41:$F$44,4,FALSE)+IF(2=D561,'难度参数'!$E$30,0))</x:f>
        <x:v>702</x:v>
      </x:c>
      <x:c r="AF561" s="119" t="n">
        <x:f>IF(3&gt;D561,0,MAX(2,MIN('难度参数'!$E$12,ROUND(('难度参数'!$E$18*POWER(A561,'难度参数'!$E$19)/D561*(0.85+0.3*(3-1)/MAX(1,D561-1))),0)+F561)))</x:f>
        <x:v>41</x:v>
      </x:c>
      <x:c r="AG561" s="119" t="n">
        <x:f>IF(3&gt;D561,0,ROUND(('难度参数'!$E$13*POWER(A561,'难度参数'!$E$20)*MIN('难度参数'!$E$23,1+MAX(0,A561-'难度参数'!$E$21)*'难度参数'!$E$22))*(36+3*7)/(36+7*(D561+1)/2)*E561,0))</x:f>
        <x:v>11374</x:v>
      </x:c>
      <x:c r="AH561" s="119" t="n">
        <x:f>IF(AF561=0,0,(AF561-IF(3=D561,1,0))*ROUND(AG561*VLOOKUP(INDEX('章节与怪物'!$E$31:$K$37,B561,3),'章节与怪物'!$A$41:$F$44,2,FALSE),0)+IF(3=D561,ROUND(AG561*'难度参数'!$E$28*'章节与怪物'!$E$17,0),0))</x:f>
        <x:v>792776</x:v>
      </x:c>
      <x:c r="AI561" s="119" t="n">
        <x:f>IF(AF561=0,0,(AF561-IF(3=D561,1,0))*VLOOKUP(INDEX('章节与怪物'!$E$31:$K$37,B561,3),'章节与怪物'!$A$41:$F$44,4,FALSE)+IF(3=D561,'难度参数'!$E$30,0))</x:f>
        <x:v>1148</x:v>
      </x:c>
      <x:c r="AJ561" s="119" t="n">
        <x:f>IF(4&gt;D561,0,MAX(2,MIN('难度参数'!$E$12,ROUND(('难度参数'!$E$18*POWER(A561,'难度参数'!$E$19)/D561*(0.85+0.3*(4-1)/MAX(1,D561-1))),0)+F561)))</x:f>
        <x:v>43</x:v>
      </x:c>
      <x:c r="AK561" s="119" t="n">
        <x:f>IF(4&gt;D561,0,ROUND(('难度参数'!$E$13*POWER(A561,'难度参数'!$E$20)*MIN('难度参数'!$E$23,1+MAX(0,A561-'难度参数'!$E$21)*'难度参数'!$E$22))*(36+4*7)/(36+7*(D561+1)/2)*E561,0))</x:f>
        <x:v>12771</x:v>
      </x:c>
      <x:c r="AL561" s="119" t="n">
        <x:f>IF(AJ561=0,0,(AJ561-IF(4=D561,1,0))*ROUND(AK561*VLOOKUP(INDEX('章节与怪物'!$E$31:$K$37,B561,4),'章节与怪物'!$A$41:$F$44,2,FALSE),0)+IF(4=D561,ROUND(AK561*'难度参数'!$E$28*'章节与怪物'!$E$17,0),0))</x:f>
        <x:v>741363</x:v>
      </x:c>
      <x:c r="AM561" s="119" t="n">
        <x:f>IF(AJ561=0,0,(AJ561-IF(4=D561,1,0))*VLOOKUP(INDEX('章节与怪物'!$E$31:$K$37,B561,4),'章节与怪物'!$A$41:$F$44,4,FALSE)+IF(4=D561,'难度参数'!$E$30,0))</x:f>
        <x:v>1462</x:v>
      </x:c>
      <x:c r="AN561" s="119" t="n">
        <x:f>IF(5&gt;D561,0,MAX(2,MIN('难度参数'!$E$12,ROUND(('难度参数'!$E$18*POWER(A561,'难度参数'!$E$19)/D561*(0.85+0.3*(5-1)/MAX(1,D561-1))),0)+F561)))</x:f>
        <x:v>45</x:v>
      </x:c>
      <x:c r="AO561" s="119" t="n">
        <x:f>IF(5&gt;D561,0,ROUND(('难度参数'!$E$13*POWER(A561,'难度参数'!$E$20)*MIN('难度参数'!$E$23,1+MAX(0,A561-'难度参数'!$E$21)*'难度参数'!$E$22))*(36+5*7)/(36+7*(D561+1)/2)*E561,0))</x:f>
        <x:v>14168</x:v>
      </x:c>
      <x:c r="AP561" s="119" t="n">
        <x:f>IF(AN561=0,0,(AN561-IF(5=D561,1,0))*ROUND(AO561*VLOOKUP(INDEX('章节与怪物'!$E$31:$K$37,B561,5),'章节与怪物'!$A$41:$F$44,2,FALSE),0)+IF(5=D561,ROUND(AO561*'难度参数'!$E$28*'章节与怪物'!$E$17,0),0))</x:f>
        <x:v>637560</x:v>
      </x:c>
      <x:c r="AQ561" s="119" t="n">
        <x:f>IF(AN561=0,0,(AN561-IF(5=D561,1,0))*VLOOKUP(INDEX('章节与怪物'!$E$31:$K$37,B561,5),'章节与怪物'!$A$41:$F$44,4,FALSE)+IF(5=D561,'难度参数'!$E$30,0))</x:f>
        <x:v>810</x:v>
      </x:c>
      <x:c r="AR561" s="119" t="n">
        <x:f>IF(6&gt;D561,0,MAX(2,MIN('难度参数'!$E$12,ROUND(('难度参数'!$E$18*POWER(A561,'难度参数'!$E$19)/D561*(0.85+0.3*(6-1)/MAX(1,D561-1))),0)+F561)))</x:f>
        <x:v>47</x:v>
      </x:c>
      <x:c r="AS561" s="119" t="n">
        <x:f>IF(6&gt;D561,0,ROUND(('难度参数'!$E$13*POWER(A561,'难度参数'!$E$20)*MIN('难度参数'!$E$23,1+MAX(0,A561-'难度参数'!$E$21)*'难度参数'!$E$22))*(36+6*7)/(36+7*(D561+1)/2)*E561,0))</x:f>
        <x:v>15565</x:v>
      </x:c>
      <x:c r="AT561" s="119" t="n">
        <x:f>IF(AR561=0,0,(AR561-IF(6=D561,1,0))*ROUND(AS561*VLOOKUP(INDEX('章节与怪物'!$E$31:$K$37,B561,6),'章节与怪物'!$A$41:$F$44,2,FALSE),0)+IF(6=D561,ROUND(AS561*'难度参数'!$E$28*'章节与怪物'!$E$17,0),0))</x:f>
        <x:v>1243667</x:v>
      </x:c>
      <x:c r="AU561" s="119" t="n">
        <x:f>IF(AR561=0,0,(AR561-IF(6=D561,1,0))*VLOOKUP(INDEX('章节与怪物'!$E$31:$K$37,B561,6),'章节与怪物'!$A$41:$F$44,4,FALSE)+IF(6=D561,'难度参数'!$E$30,0))</x:f>
        <x:v>1316</x:v>
      </x:c>
      <x:c r="AV561" s="119" t="n">
        <x:f>IF(7&gt;D561,0,MAX(2,MIN('难度参数'!$E$12,ROUND(('难度参数'!$E$18*POWER(A561,'难度参数'!$E$19)/D561*(0.85+0.3*(7-1)/MAX(1,D561-1))),0)+F561)))</x:f>
        <x:v>50</x:v>
      </x:c>
      <x:c r="AW561" s="119" t="n">
        <x:f>IF(7&gt;D561,0,ROUND(('难度参数'!$E$13*POWER(A561,'难度参数'!$E$20)*MIN('难度参数'!$E$23,1+MAX(0,A561-'难度参数'!$E$21)*'难度参数'!$E$22))*(36+7*7)/(36+7*(D561+1)/2)*E561,0))</x:f>
        <x:v>16961</x:v>
      </x:c>
      <x:c r="AX561" s="119" t="n">
        <x:f>IF(AV561=0,0,(AV561-IF(7=D561,1,0))*ROUND(AW561*VLOOKUP(INDEX('章节与怪物'!$E$31:$K$37,B561,7),'章节与怪物'!$A$41:$F$44,2,FALSE),0)+IF(7=D561,ROUND(AW561*'难度参数'!$E$28*'章节与怪物'!$E$17,0),0))</x:f>
        <x:v>1237288</x:v>
      </x:c>
      <x:c r="AY561" s="119" t="n">
        <x:f>IF(AV561=0,0,(AV561-IF(7=D561,1,0))*VLOOKUP(INDEX('章节与怪物'!$E$31:$K$37,B561,7),'章节与怪物'!$A$41:$F$44,4,FALSE)+IF(7=D561,'难度参数'!$E$30,0))</x:f>
        <x:v>1866</x:v>
      </x:c>
    </x:row>
    <x:row r="562" ht="23" customHeight="1">
      <x:c r="A562" s="119" t="n">
        <x:v>556</x:v>
      </x:c>
      <x:c r="B562" s="119" t="n">
        <x:f>MOD(INT((A562-1)/5),7)+1</x:f>
        <x:v>7</x:v>
      </x:c>
      <x:c r="C562" s="62" t="str">
        <x:f>INDEX('章节与怪物'!$B$31:$B$37,B562)</x:f>
        <x:v>魔法山脊</x:v>
      </x:c>
      <x:c r="D562" s="119" t="n">
        <x:f>MIN('难度参数'!$E$8,MAX('难度参数'!$E$7,A562))</x:f>
        <x:v>7</x:v>
      </x:c>
      <x:c r="E562" s="106" t="n">
        <x:v>1</x:v>
      </x:c>
      <x:c r="F562" s="106" t="n">
        <x:v>0</x:v>
      </x:c>
      <x:c r="G562" s="106" t="n">
        <x:v>1</x:v>
      </x:c>
      <x:c r="H562" s="119" t="n">
        <x:f>SUM(X562,AB562,AF562,AJ562,AN562,AR562,AV562)</x:f>
        <x:v>302</x:v>
      </x:c>
      <x:c r="I562" s="119" t="n">
        <x:f>SUM(Z562,AD562,AH562,AL562,AP562,AT562,AX562)</x:f>
        <x:v>5078386</x:v>
      </x:c>
      <x:c r="J562" s="119" t="n">
        <x:f>ROUND(INDEX(X562:AY562,1,(D562-1)*4+2)*'难度参数'!$E$28*'章节与怪物'!$E$17,0)</x:f>
        <x:v>115484</x:v>
      </x:c>
      <x:c r="K562" s="119" t="n">
        <x:f>SUM(AA562,AE562,AI562,AM562,AQ562,AU562,AY562)</x:f>
        <x:v>8138</x:v>
      </x:c>
      <x:c r="L562" s="62" t="n">
        <x:f>H562*(ROUNDUP('难度参数'!$E$24/('难度参数'!$E$26*'难度参数'!$E$27),0)*'难度参数'!$E$26)/60</x:f>
        <x:v>4.026666666666667</x:v>
      </x:c>
      <x:c r="M562" s="62" t="n">
        <x:f>L562+D562*('难度参数'!$E$49+'难度参数'!$E$50)/60</x:f>
        <x:v>5.193333333333334</x:v>
      </x:c>
      <x:c r="N562" s="119" t="n">
        <x:f>ROUNDDOWN(('经济参数'!$E$20+A562*'经济参数'!$E$21)*G562,0)</x:f>
        <x:v>11300</x:v>
      </x:c>
      <x:c r="O562" s="119" t="n">
        <x:f>ROUNDDOWN(MIN('经济参数'!$E$24,'经济参数'!$E$22+A562*'经济参数'!$E$23)*G562,0)</x:f>
        <x:v>0</x:v>
      </x:c>
      <x:c r="P562" s="119" t="n">
        <x:f>ROUNDDOWN((IF(A562&gt;='材料与任务'!$E$31,'材料与任务'!$E$32,IF(A562&gt;='材料与任务'!$E$25,'材料与任务'!$E$26,IF(A562&gt;='材料与任务'!$E$19,'材料与任务'!$E$20,IF(A562&gt;='材料与任务'!$E$13,'材料与任务'!$E$14,'材料与任务'!$E$8)))))*G562,0)</x:f>
        <x:v>6</x:v>
      </x:c>
      <x:c r="Q562" s="119" t="n">
        <x:f>ROUNDDOWN((IF(A562&gt;='材料与任务'!$E$31,'材料与任务'!$E$33,IF(A562&gt;='材料与任务'!$E$25,'材料与任务'!$E$27,IF(A562&gt;='材料与任务'!$E$19,'材料与任务'!$E$21,IF(A562&gt;='材料与任务'!$E$13,'材料与任务'!$E$15,'材料与任务'!$E$9)))))*G562,0)</x:f>
        <x:v>3</x:v>
      </x:c>
      <x:c r="R562" s="110" t="n">
        <x:f>'装备掉落'!$B$38</x:f>
        <x:v>0.6872058758851213</x:v>
      </x:c>
      <x:c r="S562" s="119" t="n">
        <x:f>MAX(IF(VLOOKUP(A562,'装备掉落'!$A$29:$H$34,2,TRUE)&gt;0,1,0),IF(VLOOKUP(A562,'装备掉落'!$A$29:$H$34,3,TRUE)&gt;0,2,0),IF(VLOOKUP(A562,'装备掉落'!$A$29:$H$34,4,TRUE)&gt;0,3,0),IF(VLOOKUP(A562,'装备掉落'!$A$29:$H$34,5,TRUE)&gt;0,4,0),IF(VLOOKUP(A562,'装备掉落'!$A$29:$H$34,6,TRUE)&gt;0,5,0),IF(VLOOKUP(A562,'装备掉落'!$A$29:$H$34,7,TRUE)&gt;0,6,0),IF(VLOOKUP(A562,'装备掉落'!$A$29:$H$34,8,TRUE)&gt;0,7,0))</x:f>
        <x:v>7</x:v>
      </x:c>
      <x:c r="T562" s="119" t="n">
        <x:f>MIN(7,S562+'经济参数'!$E$70)</x:f>
        <x:v>7</x:v>
      </x:c>
      <x:c r="U562" s="119" t="n">
        <x:f>MIN(7,S562+'经济参数'!$E$71)</x:f>
        <x:v>7</x:v>
      </x:c>
      <x:c r="V562" s="119" t="n">
        <x:f>IF(H562&gt;=('难度参数'!$E$52),1,0)+IF(H562&gt;=('难度参数'!$E$52+'难度参数'!$E$53),1,0)+IF(H562&gt;=('难度参数'!$E$52+'难度参数'!$E$53+'难度参数'!$E$54),1,0)+IF(H562&gt;=('难度参数'!$E$52+'难度参数'!$E$53+'难度参数'!$E$54+'难度参数'!$E$55),1,0)+IF(H562&gt;=('难度参数'!$E$52+'难度参数'!$E$53+'难度参数'!$E$54+'难度参数'!$E$55+'难度参数'!$E$56),1,0)+IF(H562&gt;=('难度参数'!$E$52+'难度参数'!$E$53+'难度参数'!$E$54+'难度参数'!$E$55+'难度参数'!$E$56+'难度参数'!$E$57),1,0)</x:f>
        <x:v>6</x:v>
      </x:c>
      <x:c r="W562" s="62" t="str">
        <x:f>IF(L562&gt;'难度参数'!$E$51,"仅出怪已超目标","还需实测")</x:f>
        <x:v>仅出怪已超目标</x:v>
      </x:c>
      <x:c r="X562" s="119" t="n">
        <x:f>IF(1&gt;D562,0,MAX(2,MIN('难度参数'!$E$12,ROUND(('难度参数'!$E$18*POWER(A562,'难度参数'!$E$19)/D562*(0.85+0.3*(1-1)/MAX(1,D562-1))),0)+F562)))</x:f>
        <x:v>37</x:v>
      </x:c>
      <x:c r="Y562" s="119" t="n">
        <x:f>IF(1&gt;D562,0,ROUND(('难度参数'!$E$13*POWER(A562,'难度参数'!$E$20)*MIN('难度参数'!$E$23,1+MAX(0,A562-'难度参数'!$E$21)*'难度参数'!$E$22))*(36+1*7)/(36+7*(D562+1)/2)*E562,0))</x:f>
        <x:v>8592</x:v>
      </x:c>
      <x:c r="Z562" s="119" t="n">
        <x:f>IF(X562=0,0,(X562-IF(1=D562,1,0))*ROUND(Y562*VLOOKUP(INDEX('章节与怪物'!$E$31:$K$37,B562,1),'章节与怪物'!$A$41:$F$44,2,FALSE),0)+IF(1=D562,ROUND(Y562*'难度参数'!$E$28*'章节与怪物'!$E$17,0),0))</x:f>
        <x:v>317904</x:v>
      </x:c>
      <x:c r="AA562" s="119" t="n">
        <x:f>IF(X562=0,0,(X562-IF(1=D562,1,0))*VLOOKUP(INDEX('章节与怪物'!$E$31:$K$37,B562,1),'章节与怪物'!$A$41:$F$44,4,FALSE)+IF(1=D562,'难度参数'!$E$30,0))</x:f>
        <x:v>666</x:v>
      </x:c>
      <x:c r="AB562" s="119" t="n">
        <x:f>IF(2&gt;D562,0,MAX(2,MIN('难度参数'!$E$12,ROUND(('难度参数'!$E$18*POWER(A562,'难度参数'!$E$19)/D562*(0.85+0.3*(2-1)/MAX(1,D562-1))),0)+F562)))</x:f>
        <x:v>39</x:v>
      </x:c>
      <x:c r="AC562" s="119" t="n">
        <x:f>IF(2&gt;D562,0,ROUND(('难度参数'!$E$13*POWER(A562,'难度参数'!$E$20)*MIN('难度参数'!$E$23,1+MAX(0,A562-'难度参数'!$E$21)*'难度参数'!$E$22))*(36+2*7)/(36+7*(D562+1)/2)*E562,0))</x:f>
        <x:v>9990</x:v>
      </x:c>
      <x:c r="AD562" s="119" t="n">
        <x:f>IF(AB562=0,0,(AB562-IF(2=D562,1,0))*ROUND(AC562*VLOOKUP(INDEX('章节与怪物'!$E$31:$K$37,B562,2),'章节与怪物'!$A$41:$F$44,2,FALSE),0)+IF(2=D562,ROUND(AC562*'难度参数'!$E$28*'章节与怪物'!$E$17,0),0))</x:f>
        <x:v>280527</x:v>
      </x:c>
      <x:c r="AE562" s="119" t="n">
        <x:f>IF(AB562=0,0,(AB562-IF(2=D562,1,0))*VLOOKUP(INDEX('章节与怪物'!$E$31:$K$37,B562,2),'章节与怪物'!$A$41:$F$44,4,FALSE)+IF(2=D562,'难度参数'!$E$30,0))</x:f>
        <x:v>780</x:v>
      </x:c>
      <x:c r="AF562" s="119" t="n">
        <x:f>IF(3&gt;D562,0,MAX(2,MIN('难度参数'!$E$12,ROUND(('难度参数'!$E$18*POWER(A562,'难度参数'!$E$19)/D562*(0.85+0.3*(3-1)/MAX(1,D562-1))),0)+F562)))</x:f>
        <x:v>41</x:v>
      </x:c>
      <x:c r="AG562" s="119" t="n">
        <x:f>IF(3&gt;D562,0,ROUND(('难度参数'!$E$13*POWER(A562,'难度参数'!$E$20)*MIN('难度参数'!$E$23,1+MAX(0,A562-'难度参数'!$E$21)*'难度参数'!$E$22))*(36+3*7)/(36+7*(D562+1)/2)*E562,0))</x:f>
        <x:v>11389</x:v>
      </x:c>
      <x:c r="AH562" s="119" t="n">
        <x:f>IF(AF562=0,0,(AF562-IF(3=D562,1,0))*ROUND(AG562*VLOOKUP(INDEX('章节与怪物'!$E$31:$K$37,B562,3),'章节与怪物'!$A$41:$F$44,2,FALSE),0)+IF(3=D562,ROUND(AG562*'难度参数'!$E$28*'章节与怪物'!$E$17,0),0))</x:f>
        <x:v>793801</x:v>
      </x:c>
      <x:c r="AI562" s="119" t="n">
        <x:f>IF(AF562=0,0,(AF562-IF(3=D562,1,0))*VLOOKUP(INDEX('章节与怪物'!$E$31:$K$37,B562,3),'章节与怪物'!$A$41:$F$44,4,FALSE)+IF(3=D562,'难度参数'!$E$30,0))</x:f>
        <x:v>1148</x:v>
      </x:c>
      <x:c r="AJ562" s="119" t="n">
        <x:f>IF(4&gt;D562,0,MAX(2,MIN('难度参数'!$E$12,ROUND(('难度参数'!$E$18*POWER(A562,'难度参数'!$E$19)/D562*(0.85+0.3*(4-1)/MAX(1,D562-1))),0)+F562)))</x:f>
        <x:v>43</x:v>
      </x:c>
      <x:c r="AK562" s="119" t="n">
        <x:f>IF(4&gt;D562,0,ROUND(('难度参数'!$E$13*POWER(A562,'难度参数'!$E$20)*MIN('难度参数'!$E$23,1+MAX(0,A562-'难度参数'!$E$21)*'难度参数'!$E$22))*(36+4*7)/(36+7*(D562+1)/2)*E562,0))</x:f>
        <x:v>12788</x:v>
      </x:c>
      <x:c r="AL562" s="119" t="n">
        <x:f>IF(AJ562=0,0,(AJ562-IF(4=D562,1,0))*ROUND(AK562*VLOOKUP(INDEX('章节与怪物'!$E$31:$K$37,B562,4),'章节与怪物'!$A$41:$F$44,2,FALSE),0)+IF(4=D562,ROUND(AK562*'难度参数'!$E$28*'章节与怪物'!$E$17,0),0))</x:f>
        <x:v>742352</x:v>
      </x:c>
      <x:c r="AM562" s="119" t="n">
        <x:f>IF(AJ562=0,0,(AJ562-IF(4=D562,1,0))*VLOOKUP(INDEX('章节与怪物'!$E$31:$K$37,B562,4),'章节与怪物'!$A$41:$F$44,4,FALSE)+IF(4=D562,'难度参数'!$E$30,0))</x:f>
        <x:v>1462</x:v>
      </x:c>
      <x:c r="AN562" s="119" t="n">
        <x:f>IF(5&gt;D562,0,MAX(2,MIN('难度参数'!$E$12,ROUND(('难度参数'!$E$18*POWER(A562,'难度参数'!$E$19)/D562*(0.85+0.3*(5-1)/MAX(1,D562-1))),0)+F562)))</x:f>
        <x:v>45</x:v>
      </x:c>
      <x:c r="AO562" s="119" t="n">
        <x:f>IF(5&gt;D562,0,ROUND(('难度参数'!$E$13*POWER(A562,'难度参数'!$E$20)*MIN('难度参数'!$E$23,1+MAX(0,A562-'难度参数'!$E$21)*'难度参数'!$E$22))*(36+5*7)/(36+7*(D562+1)/2)*E562,0))</x:f>
        <x:v>14186</x:v>
      </x:c>
      <x:c r="AP562" s="119" t="n">
        <x:f>IF(AN562=0,0,(AN562-IF(5=D562,1,0))*ROUND(AO562*VLOOKUP(INDEX('章节与怪物'!$E$31:$K$37,B562,5),'章节与怪物'!$A$41:$F$44,2,FALSE),0)+IF(5=D562,ROUND(AO562*'难度参数'!$E$28*'章节与怪物'!$E$17,0),0))</x:f>
        <x:v>459630</x:v>
      </x:c>
      <x:c r="AQ562" s="119" t="n">
        <x:f>IF(AN562=0,0,(AN562-IF(5=D562,1,0))*VLOOKUP(INDEX('章节与怪物'!$E$31:$K$37,B562,5),'章节与怪物'!$A$41:$F$44,4,FALSE)+IF(5=D562,'难度参数'!$E$30,0))</x:f>
        <x:v>900</x:v>
      </x:c>
      <x:c r="AR562" s="119" t="n">
        <x:f>IF(6&gt;D562,0,MAX(2,MIN('难度参数'!$E$12,ROUND(('难度参数'!$E$18*POWER(A562,'难度参数'!$E$19)/D562*(0.85+0.3*(6-1)/MAX(1,D562-1))),0)+F562)))</x:f>
        <x:v>47</x:v>
      </x:c>
      <x:c r="AS562" s="119" t="n">
        <x:f>IF(6&gt;D562,0,ROUND(('难度参数'!$E$13*POWER(A562,'难度参数'!$E$20)*MIN('难度参数'!$E$23,1+MAX(0,A562-'难度参数'!$E$21)*'难度参数'!$E$22))*(36+6*7)/(36+7*(D562+1)/2)*E562,0))</x:f>
        <x:v>15585</x:v>
      </x:c>
      <x:c r="AT562" s="119" t="n">
        <x:f>IF(AR562=0,0,(AR562-IF(6=D562,1,0))*ROUND(AS562*VLOOKUP(INDEX('章节与怪物'!$E$31:$K$37,B562,6),'章节与怪物'!$A$41:$F$44,2,FALSE),0)+IF(6=D562,ROUND(AS562*'难度参数'!$E$28*'章节与怪物'!$E$17,0),0))</x:f>
        <x:v>1245265</x:v>
      </x:c>
      <x:c r="AU562" s="119" t="n">
        <x:f>IF(AR562=0,0,(AR562-IF(6=D562,1,0))*VLOOKUP(INDEX('章节与怪物'!$E$31:$K$37,B562,6),'章节与怪物'!$A$41:$F$44,4,FALSE)+IF(6=D562,'难度参数'!$E$30,0))</x:f>
        <x:v>1316</x:v>
      </x:c>
      <x:c r="AV562" s="119" t="n">
        <x:f>IF(7&gt;D562,0,MAX(2,MIN('难度参数'!$E$12,ROUND(('难度参数'!$E$18*POWER(A562,'难度参数'!$E$19)/D562*(0.85+0.3*(7-1)/MAX(1,D562-1))),0)+F562)))</x:f>
        <x:v>50</x:v>
      </x:c>
      <x:c r="AW562" s="119" t="n">
        <x:f>IF(7&gt;D562,0,ROUND(('难度参数'!$E$13*POWER(A562,'难度参数'!$E$20)*MIN('难度参数'!$E$23,1+MAX(0,A562-'难度参数'!$E$21)*'难度参数'!$E$22))*(36+7*7)/(36+7*(D562+1)/2)*E562,0))</x:f>
        <x:v>16983</x:v>
      </x:c>
      <x:c r="AX562" s="119" t="n">
        <x:f>IF(AV562=0,0,(AV562-IF(7=D562,1,0))*ROUND(AW562*VLOOKUP(INDEX('章节与怪物'!$E$31:$K$37,B562,7),'章节与怪物'!$A$41:$F$44,2,FALSE),0)+IF(7=D562,ROUND(AW562*'难度参数'!$E$28*'章节与怪物'!$E$17,0),0))</x:f>
        <x:v>1238907</x:v>
      </x:c>
      <x:c r="AY562" s="119" t="n">
        <x:f>IF(AV562=0,0,(AV562-IF(7=D562,1,0))*VLOOKUP(INDEX('章节与怪物'!$E$31:$K$37,B562,7),'章节与怪物'!$A$41:$F$44,4,FALSE)+IF(7=D562,'难度参数'!$E$30,0))</x:f>
        <x:v>1866</x:v>
      </x:c>
    </x:row>
    <x:row r="563" ht="23" customHeight="1">
      <x:c r="A563" s="119" t="n">
        <x:v>557</x:v>
      </x:c>
      <x:c r="B563" s="119" t="n">
        <x:f>MOD(INT((A563-1)/5),7)+1</x:f>
        <x:v>7</x:v>
      </x:c>
      <x:c r="C563" s="62" t="str">
        <x:f>INDEX('章节与怪物'!$B$31:$B$37,B563)</x:f>
        <x:v>魔法山脊</x:v>
      </x:c>
      <x:c r="D563" s="119" t="n">
        <x:f>MIN('难度参数'!$E$8,MAX('难度参数'!$E$7,A563))</x:f>
        <x:v>7</x:v>
      </x:c>
      <x:c r="E563" s="106" t="n">
        <x:v>1</x:v>
      </x:c>
      <x:c r="F563" s="106" t="n">
        <x:v>0</x:v>
      </x:c>
      <x:c r="G563" s="106" t="n">
        <x:v>1</x:v>
      </x:c>
      <x:c r="H563" s="119" t="n">
        <x:f>SUM(X563,AB563,AF563,AJ563,AN563,AR563,AV563)</x:f>
        <x:v>302</x:v>
      </x:c>
      <x:c r="I563" s="119" t="n">
        <x:f>SUM(Z563,AD563,AH563,AL563,AP563,AT563,AX563)</x:f>
        <x:v>5084961</x:v>
      </x:c>
      <x:c r="J563" s="119" t="n">
        <x:f>ROUND(INDEX(X563:AY563,1,(D563-1)*4+2)*'难度参数'!$E$28*'章节与怪物'!$E$17,0)</x:f>
        <x:v>115634</x:v>
      </x:c>
      <x:c r="K563" s="119" t="n">
        <x:f>SUM(AA563,AE563,AI563,AM563,AQ563,AU563,AY563)</x:f>
        <x:v>8138</x:v>
      </x:c>
      <x:c r="L563" s="62" t="n">
        <x:f>H563*(ROUNDUP('难度参数'!$E$24/('难度参数'!$E$26*'难度参数'!$E$27),0)*'难度参数'!$E$26)/60</x:f>
        <x:v>4.026666666666667</x:v>
      </x:c>
      <x:c r="M563" s="62" t="n">
        <x:f>L563+D563*('难度参数'!$E$49+'难度参数'!$E$50)/60</x:f>
        <x:v>5.193333333333334</x:v>
      </x:c>
      <x:c r="N563" s="119" t="n">
        <x:f>ROUNDDOWN(('经济参数'!$E$20+A563*'经济参数'!$E$21)*G563,0)</x:f>
        <x:v>11320</x:v>
      </x:c>
      <x:c r="O563" s="119" t="n">
        <x:f>ROUNDDOWN(MIN('经济参数'!$E$24,'经济参数'!$E$22+A563*'经济参数'!$E$23)*G563,0)</x:f>
        <x:v>0</x:v>
      </x:c>
      <x:c r="P563" s="119" t="n">
        <x:f>ROUNDDOWN((IF(A563&gt;='材料与任务'!$E$31,'材料与任务'!$E$32,IF(A563&gt;='材料与任务'!$E$25,'材料与任务'!$E$26,IF(A563&gt;='材料与任务'!$E$19,'材料与任务'!$E$20,IF(A563&gt;='材料与任务'!$E$13,'材料与任务'!$E$14,'材料与任务'!$E$8)))))*G563,0)</x:f>
        <x:v>6</x:v>
      </x:c>
      <x:c r="Q563" s="119" t="n">
        <x:f>ROUNDDOWN((IF(A563&gt;='材料与任务'!$E$31,'材料与任务'!$E$33,IF(A563&gt;='材料与任务'!$E$25,'材料与任务'!$E$27,IF(A563&gt;='材料与任务'!$E$19,'材料与任务'!$E$21,IF(A563&gt;='材料与任务'!$E$13,'材料与任务'!$E$15,'材料与任务'!$E$9)))))*G563,0)</x:f>
        <x:v>3</x:v>
      </x:c>
      <x:c r="R563" s="110" t="n">
        <x:f>'装备掉落'!$B$38</x:f>
        <x:v>0.6872058758851213</x:v>
      </x:c>
      <x:c r="S563" s="119" t="n">
        <x:f>MAX(IF(VLOOKUP(A563,'装备掉落'!$A$29:$H$34,2,TRUE)&gt;0,1,0),IF(VLOOKUP(A563,'装备掉落'!$A$29:$H$34,3,TRUE)&gt;0,2,0),IF(VLOOKUP(A563,'装备掉落'!$A$29:$H$34,4,TRUE)&gt;0,3,0),IF(VLOOKUP(A563,'装备掉落'!$A$29:$H$34,5,TRUE)&gt;0,4,0),IF(VLOOKUP(A563,'装备掉落'!$A$29:$H$34,6,TRUE)&gt;0,5,0),IF(VLOOKUP(A563,'装备掉落'!$A$29:$H$34,7,TRUE)&gt;0,6,0),IF(VLOOKUP(A563,'装备掉落'!$A$29:$H$34,8,TRUE)&gt;0,7,0))</x:f>
        <x:v>7</x:v>
      </x:c>
      <x:c r="T563" s="119" t="n">
        <x:f>MIN(7,S563+'经济参数'!$E$70)</x:f>
        <x:v>7</x:v>
      </x:c>
      <x:c r="U563" s="119" t="n">
        <x:f>MIN(7,S563+'经济参数'!$E$71)</x:f>
        <x:v>7</x:v>
      </x:c>
      <x:c r="V563" s="119" t="n">
        <x:f>IF(H563&gt;=('难度参数'!$E$52),1,0)+IF(H563&gt;=('难度参数'!$E$52+'难度参数'!$E$53),1,0)+IF(H563&gt;=('难度参数'!$E$52+'难度参数'!$E$53+'难度参数'!$E$54),1,0)+IF(H563&gt;=('难度参数'!$E$52+'难度参数'!$E$53+'难度参数'!$E$54+'难度参数'!$E$55),1,0)+IF(H563&gt;=('难度参数'!$E$52+'难度参数'!$E$53+'难度参数'!$E$54+'难度参数'!$E$55+'难度参数'!$E$56),1,0)+IF(H563&gt;=('难度参数'!$E$52+'难度参数'!$E$53+'难度参数'!$E$54+'难度参数'!$E$55+'难度参数'!$E$56+'难度参数'!$E$57),1,0)</x:f>
        <x:v>6</x:v>
      </x:c>
      <x:c r="W563" s="62" t="str">
        <x:f>IF(L563&gt;'难度参数'!$E$51,"仅出怪已超目标","还需实测")</x:f>
        <x:v>仅出怪已超目标</x:v>
      </x:c>
      <x:c r="X563" s="119" t="n">
        <x:f>IF(1&gt;D563,0,MAX(2,MIN('难度参数'!$E$12,ROUND(('难度参数'!$E$18*POWER(A563,'难度参数'!$E$19)/D563*(0.85+0.3*(1-1)/MAX(1,D563-1))),0)+F563)))</x:f>
        <x:v>37</x:v>
      </x:c>
      <x:c r="Y563" s="119" t="n">
        <x:f>IF(1&gt;D563,0,ROUND(('难度参数'!$E$13*POWER(A563,'难度参数'!$E$20)*MIN('难度参数'!$E$23,1+MAX(0,A563-'难度参数'!$E$21)*'难度参数'!$E$22))*(36+1*7)/(36+7*(D563+1)/2)*E563,0))</x:f>
        <x:v>8603</x:v>
      </x:c>
      <x:c r="Z563" s="119" t="n">
        <x:f>IF(X563=0,0,(X563-IF(1=D563,1,0))*ROUND(Y563*VLOOKUP(INDEX('章节与怪物'!$E$31:$K$37,B563,1),'章节与怪物'!$A$41:$F$44,2,FALSE),0)+IF(1=D563,ROUND(Y563*'难度参数'!$E$28*'章节与怪物'!$E$17,0),0))</x:f>
        <x:v>318311</x:v>
      </x:c>
      <x:c r="AA563" s="119" t="n">
        <x:f>IF(X563=0,0,(X563-IF(1=D563,1,0))*VLOOKUP(INDEX('章节与怪物'!$E$31:$K$37,B563,1),'章节与怪物'!$A$41:$F$44,4,FALSE)+IF(1=D563,'难度参数'!$E$30,0))</x:f>
        <x:v>666</x:v>
      </x:c>
      <x:c r="AB563" s="119" t="n">
        <x:f>IF(2&gt;D563,0,MAX(2,MIN('难度参数'!$E$12,ROUND(('难度参数'!$E$18*POWER(A563,'难度参数'!$E$19)/D563*(0.85+0.3*(2-1)/MAX(1,D563-1))),0)+F563)))</x:f>
        <x:v>39</x:v>
      </x:c>
      <x:c r="AC563" s="119" t="n">
        <x:f>IF(2&gt;D563,0,ROUND(('难度参数'!$E$13*POWER(A563,'难度参数'!$E$20)*MIN('难度参数'!$E$23,1+MAX(0,A563-'难度参数'!$E$21)*'难度参数'!$E$22))*(36+2*7)/(36+7*(D563+1)/2)*E563,0))</x:f>
        <x:v>10003</x:v>
      </x:c>
      <x:c r="AD563" s="119" t="n">
        <x:f>IF(AB563=0,0,(AB563-IF(2=D563,1,0))*ROUND(AC563*VLOOKUP(INDEX('章节与怪物'!$E$31:$K$37,B563,2),'章节与怪物'!$A$41:$F$44,2,FALSE),0)+IF(2=D563,ROUND(AC563*'难度参数'!$E$28*'章节与怪物'!$E$17,0),0))</x:f>
        <x:v>280878</x:v>
      </x:c>
      <x:c r="AE563" s="119" t="n">
        <x:f>IF(AB563=0,0,(AB563-IF(2=D563,1,0))*VLOOKUP(INDEX('章节与怪物'!$E$31:$K$37,B563,2),'章节与怪物'!$A$41:$F$44,4,FALSE)+IF(2=D563,'难度参数'!$E$30,0))</x:f>
        <x:v>780</x:v>
      </x:c>
      <x:c r="AF563" s="119" t="n">
        <x:f>IF(3&gt;D563,0,MAX(2,MIN('难度参数'!$E$12,ROUND(('难度参数'!$E$18*POWER(A563,'难度参数'!$E$19)/D563*(0.85+0.3*(3-1)/MAX(1,D563-1))),0)+F563)))</x:f>
        <x:v>41</x:v>
      </x:c>
      <x:c r="AG563" s="119" t="n">
        <x:f>IF(3&gt;D563,0,ROUND(('难度参数'!$E$13*POWER(A563,'难度参数'!$E$20)*MIN('难度参数'!$E$23,1+MAX(0,A563-'难度参数'!$E$21)*'难度参数'!$E$22))*(36+3*7)/(36+7*(D563+1)/2)*E563,0))</x:f>
        <x:v>11404</x:v>
      </x:c>
      <x:c r="AH563" s="119" t="n">
        <x:f>IF(AF563=0,0,(AF563-IF(3=D563,1,0))*ROUND(AG563*VLOOKUP(INDEX('章节与怪物'!$E$31:$K$37,B563,3),'章节与怪物'!$A$41:$F$44,2,FALSE),0)+IF(3=D563,ROUND(AG563*'难度参数'!$E$28*'章节与怪物'!$E$17,0),0))</x:f>
        <x:v>794867</x:v>
      </x:c>
      <x:c r="AI563" s="119" t="n">
        <x:f>IF(AF563=0,0,(AF563-IF(3=D563,1,0))*VLOOKUP(INDEX('章节与怪物'!$E$31:$K$37,B563,3),'章节与怪物'!$A$41:$F$44,4,FALSE)+IF(3=D563,'难度参数'!$E$30,0))</x:f>
        <x:v>1148</x:v>
      </x:c>
      <x:c r="AJ563" s="119" t="n">
        <x:f>IF(4&gt;D563,0,MAX(2,MIN('难度参数'!$E$12,ROUND(('难度参数'!$E$18*POWER(A563,'难度参数'!$E$19)/D563*(0.85+0.3*(4-1)/MAX(1,D563-1))),0)+F563)))</x:f>
        <x:v>43</x:v>
      </x:c>
      <x:c r="AK563" s="119" t="n">
        <x:f>IF(4&gt;D563,0,ROUND(('难度参数'!$E$13*POWER(A563,'难度参数'!$E$20)*MIN('难度参数'!$E$23,1+MAX(0,A563-'难度参数'!$E$21)*'难度参数'!$E$22))*(36+4*7)/(36+7*(D563+1)/2)*E563,0))</x:f>
        <x:v>12804</x:v>
      </x:c>
      <x:c r="AL563" s="119" t="n">
        <x:f>IF(AJ563=0,0,(AJ563-IF(4=D563,1,0))*ROUND(AK563*VLOOKUP(INDEX('章节与怪物'!$E$31:$K$37,B563,4),'章节与怪物'!$A$41:$F$44,2,FALSE),0)+IF(4=D563,ROUND(AK563*'难度参数'!$E$28*'章节与怪物'!$E$17,0),0))</x:f>
        <x:v>743255</x:v>
      </x:c>
      <x:c r="AM563" s="119" t="n">
        <x:f>IF(AJ563=0,0,(AJ563-IF(4=D563,1,0))*VLOOKUP(INDEX('章节与怪物'!$E$31:$K$37,B563,4),'章节与怪物'!$A$41:$F$44,4,FALSE)+IF(4=D563,'难度参数'!$E$30,0))</x:f>
        <x:v>1462</x:v>
      </x:c>
      <x:c r="AN563" s="119" t="n">
        <x:f>IF(5&gt;D563,0,MAX(2,MIN('难度参数'!$E$12,ROUND(('难度参数'!$E$18*POWER(A563,'难度参数'!$E$19)/D563*(0.85+0.3*(5-1)/MAX(1,D563-1))),0)+F563)))</x:f>
        <x:v>45</x:v>
      </x:c>
      <x:c r="AO563" s="119" t="n">
        <x:f>IF(5&gt;D563,0,ROUND(('难度参数'!$E$13*POWER(A563,'难度参数'!$E$20)*MIN('难度参数'!$E$23,1+MAX(0,A563-'难度参数'!$E$21)*'难度参数'!$E$22))*(36+5*7)/(36+7*(D563+1)/2)*E563,0))</x:f>
        <x:v>14205</x:v>
      </x:c>
      <x:c r="AP563" s="119" t="n">
        <x:f>IF(AN563=0,0,(AN563-IF(5=D563,1,0))*ROUND(AO563*VLOOKUP(INDEX('章节与怪物'!$E$31:$K$37,B563,5),'章节与怪物'!$A$41:$F$44,2,FALSE),0)+IF(5=D563,ROUND(AO563*'难度参数'!$E$28*'章节与怪物'!$E$17,0),0))</x:f>
        <x:v>460260</x:v>
      </x:c>
      <x:c r="AQ563" s="119" t="n">
        <x:f>IF(AN563=0,0,(AN563-IF(5=D563,1,0))*VLOOKUP(INDEX('章节与怪物'!$E$31:$K$37,B563,5),'章节与怪物'!$A$41:$F$44,4,FALSE)+IF(5=D563,'难度参数'!$E$30,0))</x:f>
        <x:v>900</x:v>
      </x:c>
      <x:c r="AR563" s="119" t="n">
        <x:f>IF(6&gt;D563,0,MAX(2,MIN('难度参数'!$E$12,ROUND(('难度参数'!$E$18*POWER(A563,'难度参数'!$E$19)/D563*(0.85+0.3*(6-1)/MAX(1,D563-1))),0)+F563)))</x:f>
        <x:v>47</x:v>
      </x:c>
      <x:c r="AS563" s="119" t="n">
        <x:f>IF(6&gt;D563,0,ROUND(('难度参数'!$E$13*POWER(A563,'难度参数'!$E$20)*MIN('难度参数'!$E$23,1+MAX(0,A563-'难度参数'!$E$21)*'难度参数'!$E$22))*(36+6*7)/(36+7*(D563+1)/2)*E563,0))</x:f>
        <x:v>15605</x:v>
      </x:c>
      <x:c r="AT563" s="119" t="n">
        <x:f>IF(AR563=0,0,(AR563-IF(6=D563,1,0))*ROUND(AS563*VLOOKUP(INDEX('章节与怪物'!$E$31:$K$37,B563,6),'章节与怪物'!$A$41:$F$44,2,FALSE),0)+IF(6=D563,ROUND(AS563*'难度参数'!$E$28*'章节与怪物'!$E$17,0),0))</x:f>
        <x:v>1246863</x:v>
      </x:c>
      <x:c r="AU563" s="119" t="n">
        <x:f>IF(AR563=0,0,(AR563-IF(6=D563,1,0))*VLOOKUP(INDEX('章节与怪物'!$E$31:$K$37,B563,6),'章节与怪物'!$A$41:$F$44,4,FALSE)+IF(6=D563,'难度参数'!$E$30,0))</x:f>
        <x:v>1316</x:v>
      </x:c>
      <x:c r="AV563" s="119" t="n">
        <x:f>IF(7&gt;D563,0,MAX(2,MIN('难度参数'!$E$12,ROUND(('难度参数'!$E$18*POWER(A563,'难度参数'!$E$19)/D563*(0.85+0.3*(7-1)/MAX(1,D563-1))),0)+F563)))</x:f>
        <x:v>50</x:v>
      </x:c>
      <x:c r="AW563" s="119" t="n">
        <x:f>IF(7&gt;D563,0,ROUND(('难度参数'!$E$13*POWER(A563,'难度参数'!$E$20)*MIN('难度参数'!$E$23,1+MAX(0,A563-'难度参数'!$E$21)*'难度参数'!$E$22))*(36+7*7)/(36+7*(D563+1)/2)*E563,0))</x:f>
        <x:v>17005</x:v>
      </x:c>
      <x:c r="AX563" s="119" t="n">
        <x:f>IF(AV563=0,0,(AV563-IF(7=D563,1,0))*ROUND(AW563*VLOOKUP(INDEX('章节与怪物'!$E$31:$K$37,B563,7),'章节与怪物'!$A$41:$F$44,2,FALSE),0)+IF(7=D563,ROUND(AW563*'难度参数'!$E$28*'章节与怪物'!$E$17,0),0))</x:f>
        <x:v>1240527</x:v>
      </x:c>
      <x:c r="AY563" s="119" t="n">
        <x:f>IF(AV563=0,0,(AV563-IF(7=D563,1,0))*VLOOKUP(INDEX('章节与怪物'!$E$31:$K$37,B563,7),'章节与怪物'!$A$41:$F$44,4,FALSE)+IF(7=D563,'难度参数'!$E$30,0))</x:f>
        <x:v>1866</x:v>
      </x:c>
    </x:row>
    <x:row r="564" ht="23" customHeight="1">
      <x:c r="A564" s="119" t="n">
        <x:v>558</x:v>
      </x:c>
      <x:c r="B564" s="119" t="n">
        <x:f>MOD(INT((A564-1)/5),7)+1</x:f>
        <x:v>7</x:v>
      </x:c>
      <x:c r="C564" s="62" t="str">
        <x:f>INDEX('章节与怪物'!$B$31:$B$37,B564)</x:f>
        <x:v>魔法山脊</x:v>
      </x:c>
      <x:c r="D564" s="119" t="n">
        <x:f>MIN('难度参数'!$E$8,MAX('难度参数'!$E$7,A564))</x:f>
        <x:v>7</x:v>
      </x:c>
      <x:c r="E564" s="106" t="n">
        <x:v>1</x:v>
      </x:c>
      <x:c r="F564" s="106" t="n">
        <x:v>0</x:v>
      </x:c>
      <x:c r="G564" s="106" t="n">
        <x:v>1</x:v>
      </x:c>
      <x:c r="H564" s="119" t="n">
        <x:f>SUM(X564,AB564,AF564,AJ564,AN564,AR564,AV564)</x:f>
        <x:v>302</x:v>
      </x:c>
      <x:c r="I564" s="119" t="n">
        <x:f>SUM(Z564,AD564,AH564,AL564,AP564,AT564,AX564)</x:f>
        <x:v>5091485</x:v>
      </x:c>
      <x:c r="J564" s="119" t="n">
        <x:f>ROUND(INDEX(X564:AY564,1,(D564-1)*4+2)*'难度参数'!$E$28*'章节与怪物'!$E$17,0)</x:f>
        <x:v>115784</x:v>
      </x:c>
      <x:c r="K564" s="119" t="n">
        <x:f>SUM(AA564,AE564,AI564,AM564,AQ564,AU564,AY564)</x:f>
        <x:v>8138</x:v>
      </x:c>
      <x:c r="L564" s="62" t="n">
        <x:f>H564*(ROUNDUP('难度参数'!$E$24/('难度参数'!$E$26*'难度参数'!$E$27),0)*'难度参数'!$E$26)/60</x:f>
        <x:v>4.026666666666667</x:v>
      </x:c>
      <x:c r="M564" s="62" t="n">
        <x:f>L564+D564*('难度参数'!$E$49+'难度参数'!$E$50)/60</x:f>
        <x:v>5.193333333333334</x:v>
      </x:c>
      <x:c r="N564" s="119" t="n">
        <x:f>ROUNDDOWN(('经济参数'!$E$20+A564*'经济参数'!$E$21)*G564,0)</x:f>
        <x:v>11340</x:v>
      </x:c>
      <x:c r="O564" s="119" t="n">
        <x:f>ROUNDDOWN(MIN('经济参数'!$E$24,'经济参数'!$E$22+A564*'经济参数'!$E$23)*G564,0)</x:f>
        <x:v>0</x:v>
      </x:c>
      <x:c r="P564" s="119" t="n">
        <x:f>ROUNDDOWN((IF(A564&gt;='材料与任务'!$E$31,'材料与任务'!$E$32,IF(A564&gt;='材料与任务'!$E$25,'材料与任务'!$E$26,IF(A564&gt;='材料与任务'!$E$19,'材料与任务'!$E$20,IF(A564&gt;='材料与任务'!$E$13,'材料与任务'!$E$14,'材料与任务'!$E$8)))))*G564,0)</x:f>
        <x:v>6</x:v>
      </x:c>
      <x:c r="Q564" s="119" t="n">
        <x:f>ROUNDDOWN((IF(A564&gt;='材料与任务'!$E$31,'材料与任务'!$E$33,IF(A564&gt;='材料与任务'!$E$25,'材料与任务'!$E$27,IF(A564&gt;='材料与任务'!$E$19,'材料与任务'!$E$21,IF(A564&gt;='材料与任务'!$E$13,'材料与任务'!$E$15,'材料与任务'!$E$9)))))*G564,0)</x:f>
        <x:v>3</x:v>
      </x:c>
      <x:c r="R564" s="110" t="n">
        <x:f>'装备掉落'!$B$38</x:f>
        <x:v>0.6872058758851213</x:v>
      </x:c>
      <x:c r="S564" s="119" t="n">
        <x:f>MAX(IF(VLOOKUP(A564,'装备掉落'!$A$29:$H$34,2,TRUE)&gt;0,1,0),IF(VLOOKUP(A564,'装备掉落'!$A$29:$H$34,3,TRUE)&gt;0,2,0),IF(VLOOKUP(A564,'装备掉落'!$A$29:$H$34,4,TRUE)&gt;0,3,0),IF(VLOOKUP(A564,'装备掉落'!$A$29:$H$34,5,TRUE)&gt;0,4,0),IF(VLOOKUP(A564,'装备掉落'!$A$29:$H$34,6,TRUE)&gt;0,5,0),IF(VLOOKUP(A564,'装备掉落'!$A$29:$H$34,7,TRUE)&gt;0,6,0),IF(VLOOKUP(A564,'装备掉落'!$A$29:$H$34,8,TRUE)&gt;0,7,0))</x:f>
        <x:v>7</x:v>
      </x:c>
      <x:c r="T564" s="119" t="n">
        <x:f>MIN(7,S564+'经济参数'!$E$70)</x:f>
        <x:v>7</x:v>
      </x:c>
      <x:c r="U564" s="119" t="n">
        <x:f>MIN(7,S564+'经济参数'!$E$71)</x:f>
        <x:v>7</x:v>
      </x:c>
      <x:c r="V564" s="119" t="n">
        <x:f>IF(H564&gt;=('难度参数'!$E$52),1,0)+IF(H564&gt;=('难度参数'!$E$52+'难度参数'!$E$53),1,0)+IF(H564&gt;=('难度参数'!$E$52+'难度参数'!$E$53+'难度参数'!$E$54),1,0)+IF(H564&gt;=('难度参数'!$E$52+'难度参数'!$E$53+'难度参数'!$E$54+'难度参数'!$E$55),1,0)+IF(H564&gt;=('难度参数'!$E$52+'难度参数'!$E$53+'难度参数'!$E$54+'难度参数'!$E$55+'难度参数'!$E$56),1,0)+IF(H564&gt;=('难度参数'!$E$52+'难度参数'!$E$53+'难度参数'!$E$54+'难度参数'!$E$55+'难度参数'!$E$56+'难度参数'!$E$57),1,0)</x:f>
        <x:v>6</x:v>
      </x:c>
      <x:c r="W564" s="62" t="str">
        <x:f>IF(L564&gt;'难度参数'!$E$51,"仅出怪已超目标","还需实测")</x:f>
        <x:v>仅出怪已超目标</x:v>
      </x:c>
      <x:c r="X564" s="119" t="n">
        <x:f>IF(1&gt;D564,0,MAX(2,MIN('难度参数'!$E$12,ROUND(('难度参数'!$E$18*POWER(A564,'难度参数'!$E$19)/D564*(0.85+0.3*(1-1)/MAX(1,D564-1))),0)+F564)))</x:f>
        <x:v>37</x:v>
      </x:c>
      <x:c r="Y564" s="119" t="n">
        <x:f>IF(1&gt;D564,0,ROUND(('难度参数'!$E$13*POWER(A564,'难度参数'!$E$20)*MIN('难度参数'!$E$23,1+MAX(0,A564-'难度参数'!$E$21)*'难度参数'!$E$22))*(36+1*7)/(36+7*(D564+1)/2)*E564,0))</x:f>
        <x:v>8614</x:v>
      </x:c>
      <x:c r="Z564" s="119" t="n">
        <x:f>IF(X564=0,0,(X564-IF(1=D564,1,0))*ROUND(Y564*VLOOKUP(INDEX('章节与怪物'!$E$31:$K$37,B564,1),'章节与怪物'!$A$41:$F$44,2,FALSE),0)+IF(1=D564,ROUND(Y564*'难度参数'!$E$28*'章节与怪物'!$E$17,0),0))</x:f>
        <x:v>318718</x:v>
      </x:c>
      <x:c r="AA564" s="119" t="n">
        <x:f>IF(X564=0,0,(X564-IF(1=D564,1,0))*VLOOKUP(INDEX('章节与怪物'!$E$31:$K$37,B564,1),'章节与怪物'!$A$41:$F$44,4,FALSE)+IF(1=D564,'难度参数'!$E$30,0))</x:f>
        <x:v>666</x:v>
      </x:c>
      <x:c r="AB564" s="119" t="n">
        <x:f>IF(2&gt;D564,0,MAX(2,MIN('难度参数'!$E$12,ROUND(('难度参数'!$E$18*POWER(A564,'难度参数'!$E$19)/D564*(0.85+0.3*(2-1)/MAX(1,D564-1))),0)+F564)))</x:f>
        <x:v>39</x:v>
      </x:c>
      <x:c r="AC564" s="119" t="n">
        <x:f>IF(2&gt;D564,0,ROUND(('难度参数'!$E$13*POWER(A564,'难度参数'!$E$20)*MIN('难度参数'!$E$23,1+MAX(0,A564-'难度参数'!$E$21)*'难度参数'!$E$22))*(36+2*7)/(36+7*(D564+1)/2)*E564,0))</x:f>
        <x:v>10016</x:v>
      </x:c>
      <x:c r="AD564" s="119" t="n">
        <x:f>IF(AB564=0,0,(AB564-IF(2=D564,1,0))*ROUND(AC564*VLOOKUP(INDEX('章节与怪物'!$E$31:$K$37,B564,2),'章节与怪物'!$A$41:$F$44,2,FALSE),0)+IF(2=D564,ROUND(AC564*'难度参数'!$E$28*'章节与怪物'!$E$17,0),0))</x:f>
        <x:v>281268</x:v>
      </x:c>
      <x:c r="AE564" s="119" t="n">
        <x:f>IF(AB564=0,0,(AB564-IF(2=D564,1,0))*VLOOKUP(INDEX('章节与怪物'!$E$31:$K$37,B564,2),'章节与怪物'!$A$41:$F$44,4,FALSE)+IF(2=D564,'难度参数'!$E$30,0))</x:f>
        <x:v>780</x:v>
      </x:c>
      <x:c r="AF564" s="119" t="n">
        <x:f>IF(3&gt;D564,0,MAX(2,MIN('难度参数'!$E$12,ROUND(('难度参数'!$E$18*POWER(A564,'难度参数'!$E$19)/D564*(0.85+0.3*(3-1)/MAX(1,D564-1))),0)+F564)))</x:f>
        <x:v>41</x:v>
      </x:c>
      <x:c r="AG564" s="119" t="n">
        <x:f>IF(3&gt;D564,0,ROUND(('难度参数'!$E$13*POWER(A564,'难度参数'!$E$20)*MIN('难度参数'!$E$23,1+MAX(0,A564-'难度参数'!$E$21)*'难度参数'!$E$22))*(36+3*7)/(36+7*(D564+1)/2)*E564,0))</x:f>
        <x:v>11418</x:v>
      </x:c>
      <x:c r="AH564" s="119" t="n">
        <x:f>IF(AF564=0,0,(AF564-IF(3=D564,1,0))*ROUND(AG564*VLOOKUP(INDEX('章节与怪物'!$E$31:$K$37,B564,3),'章节与怪物'!$A$41:$F$44,2,FALSE),0)+IF(3=D564,ROUND(AG564*'难度参数'!$E$28*'章节与怪物'!$E$17,0),0))</x:f>
        <x:v>795851</x:v>
      </x:c>
      <x:c r="AI564" s="119" t="n">
        <x:f>IF(AF564=0,0,(AF564-IF(3=D564,1,0))*VLOOKUP(INDEX('章节与怪物'!$E$31:$K$37,B564,3),'章节与怪物'!$A$41:$F$44,4,FALSE)+IF(3=D564,'难度参数'!$E$30,0))</x:f>
        <x:v>1148</x:v>
      </x:c>
      <x:c r="AJ564" s="119" t="n">
        <x:f>IF(4&gt;D564,0,MAX(2,MIN('难度参数'!$E$12,ROUND(('难度参数'!$E$18*POWER(A564,'难度参数'!$E$19)/D564*(0.85+0.3*(4-1)/MAX(1,D564-1))),0)+F564)))</x:f>
        <x:v>43</x:v>
      </x:c>
      <x:c r="AK564" s="119" t="n">
        <x:f>IF(4&gt;D564,0,ROUND(('难度参数'!$E$13*POWER(A564,'难度参数'!$E$20)*MIN('难度参数'!$E$23,1+MAX(0,A564-'难度参数'!$E$21)*'难度参数'!$E$22))*(36+4*7)/(36+7*(D564+1)/2)*E564,0))</x:f>
        <x:v>12821</x:v>
      </x:c>
      <x:c r="AL564" s="119" t="n">
        <x:f>IF(AJ564=0,0,(AJ564-IF(4=D564,1,0))*ROUND(AK564*VLOOKUP(INDEX('章节与怪物'!$E$31:$K$37,B564,4),'章节与怪物'!$A$41:$F$44,2,FALSE),0)+IF(4=D564,ROUND(AK564*'难度参数'!$E$28*'章节与怪物'!$E$17,0),0))</x:f>
        <x:v>744244</x:v>
      </x:c>
      <x:c r="AM564" s="119" t="n">
        <x:f>IF(AJ564=0,0,(AJ564-IF(4=D564,1,0))*VLOOKUP(INDEX('章节与怪物'!$E$31:$K$37,B564,4),'章节与怪物'!$A$41:$F$44,4,FALSE)+IF(4=D564,'难度参数'!$E$30,0))</x:f>
        <x:v>1462</x:v>
      </x:c>
      <x:c r="AN564" s="119" t="n">
        <x:f>IF(5&gt;D564,0,MAX(2,MIN('难度参数'!$E$12,ROUND(('难度参数'!$E$18*POWER(A564,'难度参数'!$E$19)/D564*(0.85+0.3*(5-1)/MAX(1,D564-1))),0)+F564)))</x:f>
        <x:v>45</x:v>
      </x:c>
      <x:c r="AO564" s="119" t="n">
        <x:f>IF(5&gt;D564,0,ROUND(('难度参数'!$E$13*POWER(A564,'难度参数'!$E$20)*MIN('难度参数'!$E$23,1+MAX(0,A564-'难度参数'!$E$21)*'难度参数'!$E$22))*(36+5*7)/(36+7*(D564+1)/2)*E564,0))</x:f>
        <x:v>14223</x:v>
      </x:c>
      <x:c r="AP564" s="119" t="n">
        <x:f>IF(AN564=0,0,(AN564-IF(5=D564,1,0))*ROUND(AO564*VLOOKUP(INDEX('章节与怪物'!$E$31:$K$37,B564,5),'章节与怪物'!$A$41:$F$44,2,FALSE),0)+IF(5=D564,ROUND(AO564*'难度参数'!$E$28*'章节与怪物'!$E$17,0),0))</x:f>
        <x:v>460845</x:v>
      </x:c>
      <x:c r="AQ564" s="119" t="n">
        <x:f>IF(AN564=0,0,(AN564-IF(5=D564,1,0))*VLOOKUP(INDEX('章节与怪物'!$E$31:$K$37,B564,5),'章节与怪物'!$A$41:$F$44,4,FALSE)+IF(5=D564,'难度参数'!$E$30,0))</x:f>
        <x:v>900</x:v>
      </x:c>
      <x:c r="AR564" s="119" t="n">
        <x:f>IF(6&gt;D564,0,MAX(2,MIN('难度参数'!$E$12,ROUND(('难度参数'!$E$18*POWER(A564,'难度参数'!$E$19)/D564*(0.85+0.3*(6-1)/MAX(1,D564-1))),0)+F564)))</x:f>
        <x:v>47</x:v>
      </x:c>
      <x:c r="AS564" s="119" t="n">
        <x:f>IF(6&gt;D564,0,ROUND(('难度参数'!$E$13*POWER(A564,'难度参数'!$E$20)*MIN('难度参数'!$E$23,1+MAX(0,A564-'难度参数'!$E$21)*'难度参数'!$E$22))*(36+6*7)/(36+7*(D564+1)/2)*E564,0))</x:f>
        <x:v>15625</x:v>
      </x:c>
      <x:c r="AT564" s="119" t="n">
        <x:f>IF(AR564=0,0,(AR564-IF(6=D564,1,0))*ROUND(AS564*VLOOKUP(INDEX('章节与怪物'!$E$31:$K$37,B564,6),'章节与怪物'!$A$41:$F$44,2,FALSE),0)+IF(6=D564,ROUND(AS564*'难度参数'!$E$28*'章节与怪物'!$E$17,0),0))</x:f>
        <x:v>1248461</x:v>
      </x:c>
      <x:c r="AU564" s="119" t="n">
        <x:f>IF(AR564=0,0,(AR564-IF(6=D564,1,0))*VLOOKUP(INDEX('章节与怪物'!$E$31:$K$37,B564,6),'章节与怪物'!$A$41:$F$44,4,FALSE)+IF(6=D564,'难度参数'!$E$30,0))</x:f>
        <x:v>1316</x:v>
      </x:c>
      <x:c r="AV564" s="119" t="n">
        <x:f>IF(7&gt;D564,0,MAX(2,MIN('难度参数'!$E$12,ROUND(('难度参数'!$E$18*POWER(A564,'难度参数'!$E$19)/D564*(0.85+0.3*(7-1)/MAX(1,D564-1))),0)+F564)))</x:f>
        <x:v>50</x:v>
      </x:c>
      <x:c r="AW564" s="119" t="n">
        <x:f>IF(7&gt;D564,0,ROUND(('难度参数'!$E$13*POWER(A564,'难度参数'!$E$20)*MIN('难度参数'!$E$23,1+MAX(0,A564-'难度参数'!$E$21)*'难度参数'!$E$22))*(36+7*7)/(36+7*(D564+1)/2)*E564,0))</x:f>
        <x:v>17027</x:v>
      </x:c>
      <x:c r="AX564" s="119" t="n">
        <x:f>IF(AV564=0,0,(AV564-IF(7=D564,1,0))*ROUND(AW564*VLOOKUP(INDEX('章节与怪物'!$E$31:$K$37,B564,7),'章节与怪物'!$A$41:$F$44,2,FALSE),0)+IF(7=D564,ROUND(AW564*'难度参数'!$E$28*'章节与怪物'!$E$17,0),0))</x:f>
        <x:v>1242098</x:v>
      </x:c>
      <x:c r="AY564" s="119" t="n">
        <x:f>IF(AV564=0,0,(AV564-IF(7=D564,1,0))*VLOOKUP(INDEX('章节与怪物'!$E$31:$K$37,B564,7),'章节与怪物'!$A$41:$F$44,4,FALSE)+IF(7=D564,'难度参数'!$E$30,0))</x:f>
        <x:v>1866</x:v>
      </x:c>
    </x:row>
    <x:row r="565" ht="23" customHeight="1">
      <x:c r="A565" s="119" t="n">
        <x:v>559</x:v>
      </x:c>
      <x:c r="B565" s="119" t="n">
        <x:f>MOD(INT((A565-1)/5),7)+1</x:f>
        <x:v>7</x:v>
      </x:c>
      <x:c r="C565" s="62" t="str">
        <x:f>INDEX('章节与怪物'!$B$31:$B$37,B565)</x:f>
        <x:v>魔法山脊</x:v>
      </x:c>
      <x:c r="D565" s="119" t="n">
        <x:f>MIN('难度参数'!$E$8,MAX('难度参数'!$E$7,A565))</x:f>
        <x:v>7</x:v>
      </x:c>
      <x:c r="E565" s="106" t="n">
        <x:v>1</x:v>
      </x:c>
      <x:c r="F565" s="106" t="n">
        <x:v>0</x:v>
      </x:c>
      <x:c r="G565" s="106" t="n">
        <x:v>1</x:v>
      </x:c>
      <x:c r="H565" s="119" t="n">
        <x:f>SUM(X565,AB565,AF565,AJ565,AN565,AR565,AV565)</x:f>
        <x:v>302</x:v>
      </x:c>
      <x:c r="I565" s="119" t="n">
        <x:f>SUM(Z565,AD565,AH565,AL565,AP565,AT565,AX565)</x:f>
        <x:v>5098016</x:v>
      </x:c>
      <x:c r="J565" s="119" t="n">
        <x:f>ROUND(INDEX(X565:AY565,1,(D565-1)*4+2)*'难度参数'!$E$28*'章节与怪物'!$E$17,0)</x:f>
        <x:v>115933</x:v>
      </x:c>
      <x:c r="K565" s="119" t="n">
        <x:f>SUM(AA565,AE565,AI565,AM565,AQ565,AU565,AY565)</x:f>
        <x:v>8138</x:v>
      </x:c>
      <x:c r="L565" s="62" t="n">
        <x:f>H565*(ROUNDUP('难度参数'!$E$24/('难度参数'!$E$26*'难度参数'!$E$27),0)*'难度参数'!$E$26)/60</x:f>
        <x:v>4.026666666666667</x:v>
      </x:c>
      <x:c r="M565" s="62" t="n">
        <x:f>L565+D565*('难度参数'!$E$49+'难度参数'!$E$50)/60</x:f>
        <x:v>5.193333333333334</x:v>
      </x:c>
      <x:c r="N565" s="119" t="n">
        <x:f>ROUNDDOWN(('经济参数'!$E$20+A565*'经济参数'!$E$21)*G565,0)</x:f>
        <x:v>11360</x:v>
      </x:c>
      <x:c r="O565" s="119" t="n">
        <x:f>ROUNDDOWN(MIN('经济参数'!$E$24,'经济参数'!$E$22+A565*'经济参数'!$E$23)*G565,0)</x:f>
        <x:v>0</x:v>
      </x:c>
      <x:c r="P565" s="119" t="n">
        <x:f>ROUNDDOWN((IF(A565&gt;='材料与任务'!$E$31,'材料与任务'!$E$32,IF(A565&gt;='材料与任务'!$E$25,'材料与任务'!$E$26,IF(A565&gt;='材料与任务'!$E$19,'材料与任务'!$E$20,IF(A565&gt;='材料与任务'!$E$13,'材料与任务'!$E$14,'材料与任务'!$E$8)))))*G565,0)</x:f>
        <x:v>6</x:v>
      </x:c>
      <x:c r="Q565" s="119" t="n">
        <x:f>ROUNDDOWN((IF(A565&gt;='材料与任务'!$E$31,'材料与任务'!$E$33,IF(A565&gt;='材料与任务'!$E$25,'材料与任务'!$E$27,IF(A565&gt;='材料与任务'!$E$19,'材料与任务'!$E$21,IF(A565&gt;='材料与任务'!$E$13,'材料与任务'!$E$15,'材料与任务'!$E$9)))))*G565,0)</x:f>
        <x:v>3</x:v>
      </x:c>
      <x:c r="R565" s="110" t="n">
        <x:f>'装备掉落'!$B$38</x:f>
        <x:v>0.6872058758851213</x:v>
      </x:c>
      <x:c r="S565" s="119" t="n">
        <x:f>MAX(IF(VLOOKUP(A565,'装备掉落'!$A$29:$H$34,2,TRUE)&gt;0,1,0),IF(VLOOKUP(A565,'装备掉落'!$A$29:$H$34,3,TRUE)&gt;0,2,0),IF(VLOOKUP(A565,'装备掉落'!$A$29:$H$34,4,TRUE)&gt;0,3,0),IF(VLOOKUP(A565,'装备掉落'!$A$29:$H$34,5,TRUE)&gt;0,4,0),IF(VLOOKUP(A565,'装备掉落'!$A$29:$H$34,6,TRUE)&gt;0,5,0),IF(VLOOKUP(A565,'装备掉落'!$A$29:$H$34,7,TRUE)&gt;0,6,0),IF(VLOOKUP(A565,'装备掉落'!$A$29:$H$34,8,TRUE)&gt;0,7,0))</x:f>
        <x:v>7</x:v>
      </x:c>
      <x:c r="T565" s="119" t="n">
        <x:f>MIN(7,S565+'经济参数'!$E$70)</x:f>
        <x:v>7</x:v>
      </x:c>
      <x:c r="U565" s="119" t="n">
        <x:f>MIN(7,S565+'经济参数'!$E$71)</x:f>
        <x:v>7</x:v>
      </x:c>
      <x:c r="V565" s="119" t="n">
        <x:f>IF(H565&gt;=('难度参数'!$E$52),1,0)+IF(H565&gt;=('难度参数'!$E$52+'难度参数'!$E$53),1,0)+IF(H565&gt;=('难度参数'!$E$52+'难度参数'!$E$53+'难度参数'!$E$54),1,0)+IF(H565&gt;=('难度参数'!$E$52+'难度参数'!$E$53+'难度参数'!$E$54+'难度参数'!$E$55),1,0)+IF(H565&gt;=('难度参数'!$E$52+'难度参数'!$E$53+'难度参数'!$E$54+'难度参数'!$E$55+'难度参数'!$E$56),1,0)+IF(H565&gt;=('难度参数'!$E$52+'难度参数'!$E$53+'难度参数'!$E$54+'难度参数'!$E$55+'难度参数'!$E$56+'难度参数'!$E$57),1,0)</x:f>
        <x:v>6</x:v>
      </x:c>
      <x:c r="W565" s="62" t="str">
        <x:f>IF(L565&gt;'难度参数'!$E$51,"仅出怪已超目标","还需实测")</x:f>
        <x:v>仅出怪已超目标</x:v>
      </x:c>
      <x:c r="X565" s="119" t="n">
        <x:f>IF(1&gt;D565,0,MAX(2,MIN('难度参数'!$E$12,ROUND(('难度参数'!$E$18*POWER(A565,'难度参数'!$E$19)/D565*(0.85+0.3*(1-1)/MAX(1,D565-1))),0)+F565)))</x:f>
        <x:v>37</x:v>
      </x:c>
      <x:c r="Y565" s="119" t="n">
        <x:f>IF(1&gt;D565,0,ROUND(('难度参数'!$E$13*POWER(A565,'难度参数'!$E$20)*MIN('难度参数'!$E$23,1+MAX(0,A565-'难度参数'!$E$21)*'难度参数'!$E$22))*(36+1*7)/(36+7*(D565+1)/2)*E565,0))</x:f>
        <x:v>8625</x:v>
      </x:c>
      <x:c r="Z565" s="119" t="n">
        <x:f>IF(X565=0,0,(X565-IF(1=D565,1,0))*ROUND(Y565*VLOOKUP(INDEX('章节与怪物'!$E$31:$K$37,B565,1),'章节与怪物'!$A$41:$F$44,2,FALSE),0)+IF(1=D565,ROUND(Y565*'难度参数'!$E$28*'章节与怪物'!$E$17,0),0))</x:f>
        <x:v>319125</x:v>
      </x:c>
      <x:c r="AA565" s="119" t="n">
        <x:f>IF(X565=0,0,(X565-IF(1=D565,1,0))*VLOOKUP(INDEX('章节与怪物'!$E$31:$K$37,B565,1),'章节与怪物'!$A$41:$F$44,4,FALSE)+IF(1=D565,'难度参数'!$E$30,0))</x:f>
        <x:v>666</x:v>
      </x:c>
      <x:c r="AB565" s="119" t="n">
        <x:f>IF(2&gt;D565,0,MAX(2,MIN('难度参数'!$E$12,ROUND(('难度参数'!$E$18*POWER(A565,'难度参数'!$E$19)/D565*(0.85+0.3*(2-1)/MAX(1,D565-1))),0)+F565)))</x:f>
        <x:v>39</x:v>
      </x:c>
      <x:c r="AC565" s="119" t="n">
        <x:f>IF(2&gt;D565,0,ROUND(('难度参数'!$E$13*POWER(A565,'难度参数'!$E$20)*MIN('难度参数'!$E$23,1+MAX(0,A565-'难度参数'!$E$21)*'难度参数'!$E$22))*(36+2*7)/(36+7*(D565+1)/2)*E565,0))</x:f>
        <x:v>10029</x:v>
      </x:c>
      <x:c r="AD565" s="119" t="n">
        <x:f>IF(AB565=0,0,(AB565-IF(2=D565,1,0))*ROUND(AC565*VLOOKUP(INDEX('章节与怪物'!$E$31:$K$37,B565,2),'章节与怪物'!$A$41:$F$44,2,FALSE),0)+IF(2=D565,ROUND(AC565*'难度参数'!$E$28*'章节与怪物'!$E$17,0),0))</x:f>
        <x:v>281619</x:v>
      </x:c>
      <x:c r="AE565" s="119" t="n">
        <x:f>IF(AB565=0,0,(AB565-IF(2=D565,1,0))*VLOOKUP(INDEX('章节与怪物'!$E$31:$K$37,B565,2),'章节与怪物'!$A$41:$F$44,4,FALSE)+IF(2=D565,'难度参数'!$E$30,0))</x:f>
        <x:v>780</x:v>
      </x:c>
      <x:c r="AF565" s="119" t="n">
        <x:f>IF(3&gt;D565,0,MAX(2,MIN('难度参数'!$E$12,ROUND(('难度参数'!$E$18*POWER(A565,'难度参数'!$E$19)/D565*(0.85+0.3*(3-1)/MAX(1,D565-1))),0)+F565)))</x:f>
        <x:v>41</x:v>
      </x:c>
      <x:c r="AG565" s="119" t="n">
        <x:f>IF(3&gt;D565,0,ROUND(('难度参数'!$E$13*POWER(A565,'难度参数'!$E$20)*MIN('难度参数'!$E$23,1+MAX(0,A565-'难度参数'!$E$21)*'难度参数'!$E$22))*(36+3*7)/(36+7*(D565+1)/2)*E565,0))</x:f>
        <x:v>11433</x:v>
      </x:c>
      <x:c r="AH565" s="119" t="n">
        <x:f>IF(AF565=0,0,(AF565-IF(3=D565,1,0))*ROUND(AG565*VLOOKUP(INDEX('章节与怪物'!$E$31:$K$37,B565,3),'章节与怪物'!$A$41:$F$44,2,FALSE),0)+IF(3=D565,ROUND(AG565*'难度参数'!$E$28*'章节与怪物'!$E$17,0),0))</x:f>
        <x:v>796876</x:v>
      </x:c>
      <x:c r="AI565" s="119" t="n">
        <x:f>IF(AF565=0,0,(AF565-IF(3=D565,1,0))*VLOOKUP(INDEX('章节与怪物'!$E$31:$K$37,B565,3),'章节与怪物'!$A$41:$F$44,4,FALSE)+IF(3=D565,'难度参数'!$E$30,0))</x:f>
        <x:v>1148</x:v>
      </x:c>
      <x:c r="AJ565" s="119" t="n">
        <x:f>IF(4&gt;D565,0,MAX(2,MIN('难度参数'!$E$12,ROUND(('难度参数'!$E$18*POWER(A565,'难度参数'!$E$19)/D565*(0.85+0.3*(4-1)/MAX(1,D565-1))),0)+F565)))</x:f>
        <x:v>43</x:v>
      </x:c>
      <x:c r="AK565" s="119" t="n">
        <x:f>IF(4&gt;D565,0,ROUND(('难度参数'!$E$13*POWER(A565,'难度参数'!$E$20)*MIN('难度参数'!$E$23,1+MAX(0,A565-'难度参数'!$E$21)*'难度参数'!$E$22))*(36+4*7)/(36+7*(D565+1)/2)*E565,0))</x:f>
        <x:v>12837</x:v>
      </x:c>
      <x:c r="AL565" s="119" t="n">
        <x:f>IF(AJ565=0,0,(AJ565-IF(4=D565,1,0))*ROUND(AK565*VLOOKUP(INDEX('章节与怪物'!$E$31:$K$37,B565,4),'章节与怪物'!$A$41:$F$44,2,FALSE),0)+IF(4=D565,ROUND(AK565*'难度参数'!$E$28*'章节与怪物'!$E$17,0),0))</x:f>
        <x:v>745190</x:v>
      </x:c>
      <x:c r="AM565" s="119" t="n">
        <x:f>IF(AJ565=0,0,(AJ565-IF(4=D565,1,0))*VLOOKUP(INDEX('章节与怪物'!$E$31:$K$37,B565,4),'章节与怪物'!$A$41:$F$44,4,FALSE)+IF(4=D565,'难度参数'!$E$30,0))</x:f>
        <x:v>1462</x:v>
      </x:c>
      <x:c r="AN565" s="119" t="n">
        <x:f>IF(5&gt;D565,0,MAX(2,MIN('难度参数'!$E$12,ROUND(('难度参数'!$E$18*POWER(A565,'难度参数'!$E$19)/D565*(0.85+0.3*(5-1)/MAX(1,D565-1))),0)+F565)))</x:f>
        <x:v>45</x:v>
      </x:c>
      <x:c r="AO565" s="119" t="n">
        <x:f>IF(5&gt;D565,0,ROUND(('难度参数'!$E$13*POWER(A565,'难度参数'!$E$20)*MIN('难度参数'!$E$23,1+MAX(0,A565-'难度参数'!$E$21)*'难度参数'!$E$22))*(36+5*7)/(36+7*(D565+1)/2)*E565,0))</x:f>
        <x:v>14241</x:v>
      </x:c>
      <x:c r="AP565" s="119" t="n">
        <x:f>IF(AN565=0,0,(AN565-IF(5=D565,1,0))*ROUND(AO565*VLOOKUP(INDEX('章节与怪物'!$E$31:$K$37,B565,5),'章节与怪物'!$A$41:$F$44,2,FALSE),0)+IF(5=D565,ROUND(AO565*'难度参数'!$E$28*'章节与怪物'!$E$17,0),0))</x:f>
        <x:v>461430</x:v>
      </x:c>
      <x:c r="AQ565" s="119" t="n">
        <x:f>IF(AN565=0,0,(AN565-IF(5=D565,1,0))*VLOOKUP(INDEX('章节与怪物'!$E$31:$K$37,B565,5),'章节与怪物'!$A$41:$F$44,4,FALSE)+IF(5=D565,'难度参数'!$E$30,0))</x:f>
        <x:v>900</x:v>
      </x:c>
      <x:c r="AR565" s="119" t="n">
        <x:f>IF(6&gt;D565,0,MAX(2,MIN('难度参数'!$E$12,ROUND(('难度参数'!$E$18*POWER(A565,'难度参数'!$E$19)/D565*(0.85+0.3*(6-1)/MAX(1,D565-1))),0)+F565)))</x:f>
        <x:v>47</x:v>
      </x:c>
      <x:c r="AS565" s="119" t="n">
        <x:f>IF(6&gt;D565,0,ROUND(('难度参数'!$E$13*POWER(A565,'难度参数'!$E$20)*MIN('难度参数'!$E$23,1+MAX(0,A565-'难度参数'!$E$21)*'难度参数'!$E$22))*(36+6*7)/(36+7*(D565+1)/2)*E565,0))</x:f>
        <x:v>15645</x:v>
      </x:c>
      <x:c r="AT565" s="119" t="n">
        <x:f>IF(AR565=0,0,(AR565-IF(6=D565,1,0))*ROUND(AS565*VLOOKUP(INDEX('章节与怪物'!$E$31:$K$37,B565,6),'章节与怪物'!$A$41:$F$44,2,FALSE),0)+IF(6=D565,ROUND(AS565*'难度参数'!$E$28*'章节与怪物'!$E$17,0),0))</x:f>
        <x:v>1250059</x:v>
      </x:c>
      <x:c r="AU565" s="119" t="n">
        <x:f>IF(AR565=0,0,(AR565-IF(6=D565,1,0))*VLOOKUP(INDEX('章节与怪物'!$E$31:$K$37,B565,6),'章节与怪物'!$A$41:$F$44,4,FALSE)+IF(6=D565,'难度参数'!$E$30,0))</x:f>
        <x:v>1316</x:v>
      </x:c>
      <x:c r="AV565" s="119" t="n">
        <x:f>IF(7&gt;D565,0,MAX(2,MIN('难度参数'!$E$12,ROUND(('难度参数'!$E$18*POWER(A565,'难度参数'!$E$19)/D565*(0.85+0.3*(7-1)/MAX(1,D565-1))),0)+F565)))</x:f>
        <x:v>50</x:v>
      </x:c>
      <x:c r="AW565" s="119" t="n">
        <x:f>IF(7&gt;D565,0,ROUND(('难度参数'!$E$13*POWER(A565,'难度参数'!$E$20)*MIN('难度参数'!$E$23,1+MAX(0,A565-'难度参数'!$E$21)*'难度参数'!$E$22))*(36+7*7)/(36+7*(D565+1)/2)*E565,0))</x:f>
        <x:v>17049</x:v>
      </x:c>
      <x:c r="AX565" s="119" t="n">
        <x:f>IF(AV565=0,0,(AV565-IF(7=D565,1,0))*ROUND(AW565*VLOOKUP(INDEX('章节与怪物'!$E$31:$K$37,B565,7),'章节与怪物'!$A$41:$F$44,2,FALSE),0)+IF(7=D565,ROUND(AW565*'难度参数'!$E$28*'章节与怪物'!$E$17,0),0))</x:f>
        <x:v>1243717</x:v>
      </x:c>
      <x:c r="AY565" s="119" t="n">
        <x:f>IF(AV565=0,0,(AV565-IF(7=D565,1,0))*VLOOKUP(INDEX('章节与怪物'!$E$31:$K$37,B565,7),'章节与怪物'!$A$41:$F$44,4,FALSE)+IF(7=D565,'难度参数'!$E$30,0))</x:f>
        <x:v>1866</x:v>
      </x:c>
    </x:row>
    <x:row r="566" ht="23" customHeight="1">
      <x:c r="A566" s="119" t="n">
        <x:v>560</x:v>
      </x:c>
      <x:c r="B566" s="119" t="n">
        <x:f>MOD(INT((A566-1)/5),7)+1</x:f>
        <x:v>7</x:v>
      </x:c>
      <x:c r="C566" s="62" t="str">
        <x:f>INDEX('章节与怪物'!$B$31:$B$37,B566)</x:f>
        <x:v>魔法山脊</x:v>
      </x:c>
      <x:c r="D566" s="119" t="n">
        <x:f>MIN('难度参数'!$E$8,MAX('难度参数'!$E$7,A566))</x:f>
        <x:v>7</x:v>
      </x:c>
      <x:c r="E566" s="106" t="n">
        <x:v>1</x:v>
      </x:c>
      <x:c r="F566" s="106" t="n">
        <x:v>0</x:v>
      </x:c>
      <x:c r="G566" s="106" t="n">
        <x:v>1</x:v>
      </x:c>
      <x:c r="H566" s="119" t="n">
        <x:f>SUM(X566,AB566,AF566,AJ566,AN566,AR566,AV566)</x:f>
        <x:v>302</x:v>
      </x:c>
      <x:c r="I566" s="119" t="n">
        <x:f>SUM(Z566,AD566,AH566,AL566,AP566,AT566,AX566)</x:f>
        <x:v>5104632</x:v>
      </x:c>
      <x:c r="J566" s="119" t="n">
        <x:f>ROUND(INDEX(X566:AY566,1,(D566-1)*4+2)*'难度参数'!$E$28*'章节与怪物'!$E$17,0)</x:f>
        <x:v>116083</x:v>
      </x:c>
      <x:c r="K566" s="119" t="n">
        <x:f>SUM(AA566,AE566,AI566,AM566,AQ566,AU566,AY566)</x:f>
        <x:v>8138</x:v>
      </x:c>
      <x:c r="L566" s="62" t="n">
        <x:f>H566*(ROUNDUP('难度参数'!$E$24/('难度参数'!$E$26*'难度参数'!$E$27),0)*'难度参数'!$E$26)/60</x:f>
        <x:v>4.026666666666667</x:v>
      </x:c>
      <x:c r="M566" s="62" t="n">
        <x:f>L566+D566*('难度参数'!$E$49+'难度参数'!$E$50)/60</x:f>
        <x:v>5.193333333333334</x:v>
      </x:c>
      <x:c r="N566" s="119" t="n">
        <x:f>ROUNDDOWN(('经济参数'!$E$20+A566*'经济参数'!$E$21)*G566,0)</x:f>
        <x:v>11380</x:v>
      </x:c>
      <x:c r="O566" s="119" t="n">
        <x:f>ROUNDDOWN(MIN('经济参数'!$E$24,'经济参数'!$E$22+A566*'经济参数'!$E$23)*G566,0)</x:f>
        <x:v>0</x:v>
      </x:c>
      <x:c r="P566" s="119" t="n">
        <x:f>ROUNDDOWN((IF(A566&gt;='材料与任务'!$E$31,'材料与任务'!$E$32,IF(A566&gt;='材料与任务'!$E$25,'材料与任务'!$E$26,IF(A566&gt;='材料与任务'!$E$19,'材料与任务'!$E$20,IF(A566&gt;='材料与任务'!$E$13,'材料与任务'!$E$14,'材料与任务'!$E$8)))))*G566,0)</x:f>
        <x:v>6</x:v>
      </x:c>
      <x:c r="Q566" s="119" t="n">
        <x:f>ROUNDDOWN((IF(A566&gt;='材料与任务'!$E$31,'材料与任务'!$E$33,IF(A566&gt;='材料与任务'!$E$25,'材料与任务'!$E$27,IF(A566&gt;='材料与任务'!$E$19,'材料与任务'!$E$21,IF(A566&gt;='材料与任务'!$E$13,'材料与任务'!$E$15,'材料与任务'!$E$9)))))*G566,0)</x:f>
        <x:v>3</x:v>
      </x:c>
      <x:c r="R566" s="110" t="n">
        <x:f>'装备掉落'!$B$38</x:f>
        <x:v>0.6872058758851213</x:v>
      </x:c>
      <x:c r="S566" s="119" t="n">
        <x:f>MAX(IF(VLOOKUP(A566,'装备掉落'!$A$29:$H$34,2,TRUE)&gt;0,1,0),IF(VLOOKUP(A566,'装备掉落'!$A$29:$H$34,3,TRUE)&gt;0,2,0),IF(VLOOKUP(A566,'装备掉落'!$A$29:$H$34,4,TRUE)&gt;0,3,0),IF(VLOOKUP(A566,'装备掉落'!$A$29:$H$34,5,TRUE)&gt;0,4,0),IF(VLOOKUP(A566,'装备掉落'!$A$29:$H$34,6,TRUE)&gt;0,5,0),IF(VLOOKUP(A566,'装备掉落'!$A$29:$H$34,7,TRUE)&gt;0,6,0),IF(VLOOKUP(A566,'装备掉落'!$A$29:$H$34,8,TRUE)&gt;0,7,0))</x:f>
        <x:v>7</x:v>
      </x:c>
      <x:c r="T566" s="119" t="n">
        <x:f>MIN(7,S566+'经济参数'!$E$70)</x:f>
        <x:v>7</x:v>
      </x:c>
      <x:c r="U566" s="119" t="n">
        <x:f>MIN(7,S566+'经济参数'!$E$71)</x:f>
        <x:v>7</x:v>
      </x:c>
      <x:c r="V566" s="119" t="n">
        <x:f>IF(H566&gt;=('难度参数'!$E$52),1,0)+IF(H566&gt;=('难度参数'!$E$52+'难度参数'!$E$53),1,0)+IF(H566&gt;=('难度参数'!$E$52+'难度参数'!$E$53+'难度参数'!$E$54),1,0)+IF(H566&gt;=('难度参数'!$E$52+'难度参数'!$E$53+'难度参数'!$E$54+'难度参数'!$E$55),1,0)+IF(H566&gt;=('难度参数'!$E$52+'难度参数'!$E$53+'难度参数'!$E$54+'难度参数'!$E$55+'难度参数'!$E$56),1,0)+IF(H566&gt;=('难度参数'!$E$52+'难度参数'!$E$53+'难度参数'!$E$54+'难度参数'!$E$55+'难度参数'!$E$56+'难度参数'!$E$57),1,0)</x:f>
        <x:v>6</x:v>
      </x:c>
      <x:c r="W566" s="62" t="str">
        <x:f>IF(L566&gt;'难度参数'!$E$51,"仅出怪已超目标","还需实测")</x:f>
        <x:v>仅出怪已超目标</x:v>
      </x:c>
      <x:c r="X566" s="119" t="n">
        <x:f>IF(1&gt;D566,0,MAX(2,MIN('难度参数'!$E$12,ROUND(('难度参数'!$E$18*POWER(A566,'难度参数'!$E$19)/D566*(0.85+0.3*(1-1)/MAX(1,D566-1))),0)+F566)))</x:f>
        <x:v>37</x:v>
      </x:c>
      <x:c r="Y566" s="119" t="n">
        <x:f>IF(1&gt;D566,0,ROUND(('难度参数'!$E$13*POWER(A566,'难度参数'!$E$20)*MIN('难度参数'!$E$23,1+MAX(0,A566-'难度参数'!$E$21)*'难度参数'!$E$22))*(36+1*7)/(36+7*(D566+1)/2)*E566,0))</x:f>
        <x:v>8636</x:v>
      </x:c>
      <x:c r="Z566" s="119" t="n">
        <x:f>IF(X566=0,0,(X566-IF(1=D566,1,0))*ROUND(Y566*VLOOKUP(INDEX('章节与怪物'!$E$31:$K$37,B566,1),'章节与怪物'!$A$41:$F$44,2,FALSE),0)+IF(1=D566,ROUND(Y566*'难度参数'!$E$28*'章节与怪物'!$E$17,0),0))</x:f>
        <x:v>319532</x:v>
      </x:c>
      <x:c r="AA566" s="119" t="n">
        <x:f>IF(X566=0,0,(X566-IF(1=D566,1,0))*VLOOKUP(INDEX('章节与怪物'!$E$31:$K$37,B566,1),'章节与怪物'!$A$41:$F$44,4,FALSE)+IF(1=D566,'难度参数'!$E$30,0))</x:f>
        <x:v>666</x:v>
      </x:c>
      <x:c r="AB566" s="119" t="n">
        <x:f>IF(2&gt;D566,0,MAX(2,MIN('难度参数'!$E$12,ROUND(('难度参数'!$E$18*POWER(A566,'难度参数'!$E$19)/D566*(0.85+0.3*(2-1)/MAX(1,D566-1))),0)+F566)))</x:f>
        <x:v>39</x:v>
      </x:c>
      <x:c r="AC566" s="119" t="n">
        <x:f>IF(2&gt;D566,0,ROUND(('难度参数'!$E$13*POWER(A566,'难度参数'!$E$20)*MIN('难度参数'!$E$23,1+MAX(0,A566-'难度参数'!$E$21)*'难度参数'!$E$22))*(36+2*7)/(36+7*(D566+1)/2)*E566,0))</x:f>
        <x:v>10042</x:v>
      </x:c>
      <x:c r="AD566" s="119" t="n">
        <x:f>IF(AB566=0,0,(AB566-IF(2=D566,1,0))*ROUND(AC566*VLOOKUP(INDEX('章节与怪物'!$E$31:$K$37,B566,2),'章节与怪物'!$A$41:$F$44,2,FALSE),0)+IF(2=D566,ROUND(AC566*'难度参数'!$E$28*'章节与怪物'!$E$17,0),0))</x:f>
        <x:v>281970</x:v>
      </x:c>
      <x:c r="AE566" s="119" t="n">
        <x:f>IF(AB566=0,0,(AB566-IF(2=D566,1,0))*VLOOKUP(INDEX('章节与怪物'!$E$31:$K$37,B566,2),'章节与怪物'!$A$41:$F$44,4,FALSE)+IF(2=D566,'难度参数'!$E$30,0))</x:f>
        <x:v>780</x:v>
      </x:c>
      <x:c r="AF566" s="119" t="n">
        <x:f>IF(3&gt;D566,0,MAX(2,MIN('难度参数'!$E$12,ROUND(('难度参数'!$E$18*POWER(A566,'难度参数'!$E$19)/D566*(0.85+0.3*(3-1)/MAX(1,D566-1))),0)+F566)))</x:f>
        <x:v>41</x:v>
      </x:c>
      <x:c r="AG566" s="119" t="n">
        <x:f>IF(3&gt;D566,0,ROUND(('难度参数'!$E$13*POWER(A566,'难度参数'!$E$20)*MIN('难度参数'!$E$23,1+MAX(0,A566-'难度参数'!$E$21)*'难度参数'!$E$22))*(36+3*7)/(36+7*(D566+1)/2)*E566,0))</x:f>
        <x:v>11448</x:v>
      </x:c>
      <x:c r="AH566" s="119" t="n">
        <x:f>IF(AF566=0,0,(AF566-IF(3=D566,1,0))*ROUND(AG566*VLOOKUP(INDEX('章节与怪物'!$E$31:$K$37,B566,3),'章节与怪物'!$A$41:$F$44,2,FALSE),0)+IF(3=D566,ROUND(AG566*'难度参数'!$E$28*'章节与怪物'!$E$17,0),0))</x:f>
        <x:v>797942</x:v>
      </x:c>
      <x:c r="AI566" s="119" t="n">
        <x:f>IF(AF566=0,0,(AF566-IF(3=D566,1,0))*VLOOKUP(INDEX('章节与怪物'!$E$31:$K$37,B566,3),'章节与怪物'!$A$41:$F$44,4,FALSE)+IF(3=D566,'难度参数'!$E$30,0))</x:f>
        <x:v>1148</x:v>
      </x:c>
      <x:c r="AJ566" s="119" t="n">
        <x:f>IF(4&gt;D566,0,MAX(2,MIN('难度参数'!$E$12,ROUND(('难度参数'!$E$18*POWER(A566,'难度参数'!$E$19)/D566*(0.85+0.3*(4-1)/MAX(1,D566-1))),0)+F566)))</x:f>
        <x:v>43</x:v>
      </x:c>
      <x:c r="AK566" s="119" t="n">
        <x:f>IF(4&gt;D566,0,ROUND(('难度参数'!$E$13*POWER(A566,'难度参数'!$E$20)*MIN('难度参数'!$E$23,1+MAX(0,A566-'难度参数'!$E$21)*'难度参数'!$E$22))*(36+4*7)/(36+7*(D566+1)/2)*E566,0))</x:f>
        <x:v>12854</x:v>
      </x:c>
      <x:c r="AL566" s="119" t="n">
        <x:f>IF(AJ566=0,0,(AJ566-IF(4=D566,1,0))*ROUND(AK566*VLOOKUP(INDEX('章节与怪物'!$E$31:$K$37,B566,4),'章节与怪物'!$A$41:$F$44,2,FALSE),0)+IF(4=D566,ROUND(AK566*'难度参数'!$E$28*'章节与怪物'!$E$17,0),0))</x:f>
        <x:v>746179</x:v>
      </x:c>
      <x:c r="AM566" s="119" t="n">
        <x:f>IF(AJ566=0,0,(AJ566-IF(4=D566,1,0))*VLOOKUP(INDEX('章节与怪物'!$E$31:$K$37,B566,4),'章节与怪物'!$A$41:$F$44,4,FALSE)+IF(4=D566,'难度参数'!$E$30,0))</x:f>
        <x:v>1462</x:v>
      </x:c>
      <x:c r="AN566" s="119" t="n">
        <x:f>IF(5&gt;D566,0,MAX(2,MIN('难度参数'!$E$12,ROUND(('难度参数'!$E$18*POWER(A566,'难度参数'!$E$19)/D566*(0.85+0.3*(5-1)/MAX(1,D566-1))),0)+F566)))</x:f>
        <x:v>45</x:v>
      </x:c>
      <x:c r="AO566" s="119" t="n">
        <x:f>IF(5&gt;D566,0,ROUND(('难度参数'!$E$13*POWER(A566,'难度参数'!$E$20)*MIN('难度参数'!$E$23,1+MAX(0,A566-'难度参数'!$E$21)*'难度参数'!$E$22))*(36+5*7)/(36+7*(D566+1)/2)*E566,0))</x:f>
        <x:v>14260</x:v>
      </x:c>
      <x:c r="AP566" s="119" t="n">
        <x:f>IF(AN566=0,0,(AN566-IF(5=D566,1,0))*ROUND(AO566*VLOOKUP(INDEX('章节与怪物'!$E$31:$K$37,B566,5),'章节与怪物'!$A$41:$F$44,2,FALSE),0)+IF(5=D566,ROUND(AO566*'难度参数'!$E$28*'章节与怪物'!$E$17,0),0))</x:f>
        <x:v>462015</x:v>
      </x:c>
      <x:c r="AQ566" s="119" t="n">
        <x:f>IF(AN566=0,0,(AN566-IF(5=D566,1,0))*VLOOKUP(INDEX('章节与怪物'!$E$31:$K$37,B566,5),'章节与怪物'!$A$41:$F$44,4,FALSE)+IF(5=D566,'难度参数'!$E$30,0))</x:f>
        <x:v>900</x:v>
      </x:c>
      <x:c r="AR566" s="119" t="n">
        <x:f>IF(6&gt;D566,0,MAX(2,MIN('难度参数'!$E$12,ROUND(('难度参数'!$E$18*POWER(A566,'难度参数'!$E$19)/D566*(0.85+0.3*(6-1)/MAX(1,D566-1))),0)+F566)))</x:f>
        <x:v>47</x:v>
      </x:c>
      <x:c r="AS566" s="119" t="n">
        <x:f>IF(6&gt;D566,0,ROUND(('难度参数'!$E$13*POWER(A566,'难度参数'!$E$20)*MIN('难度参数'!$E$23,1+MAX(0,A566-'难度参数'!$E$21)*'难度参数'!$E$22))*(36+6*7)/(36+7*(D566+1)/2)*E566,0))</x:f>
        <x:v>15665</x:v>
      </x:c>
      <x:c r="AT566" s="119" t="n">
        <x:f>IF(AR566=0,0,(AR566-IF(6=D566,1,0))*ROUND(AS566*VLOOKUP(INDEX('章节与怪物'!$E$31:$K$37,B566,6),'章节与怪物'!$A$41:$F$44,2,FALSE),0)+IF(6=D566,ROUND(AS566*'难度参数'!$E$28*'章节与怪物'!$E$17,0),0))</x:f>
        <x:v>1251657</x:v>
      </x:c>
      <x:c r="AU566" s="119" t="n">
        <x:f>IF(AR566=0,0,(AR566-IF(6=D566,1,0))*VLOOKUP(INDEX('章节与怪物'!$E$31:$K$37,B566,6),'章节与怪物'!$A$41:$F$44,4,FALSE)+IF(6=D566,'难度参数'!$E$30,0))</x:f>
        <x:v>1316</x:v>
      </x:c>
      <x:c r="AV566" s="119" t="n">
        <x:f>IF(7&gt;D566,0,MAX(2,MIN('难度参数'!$E$12,ROUND(('难度参数'!$E$18*POWER(A566,'难度参数'!$E$19)/D566*(0.85+0.3*(7-1)/MAX(1,D566-1))),0)+F566)))</x:f>
        <x:v>50</x:v>
      </x:c>
      <x:c r="AW566" s="119" t="n">
        <x:f>IF(7&gt;D566,0,ROUND(('难度参数'!$E$13*POWER(A566,'难度参数'!$E$20)*MIN('难度参数'!$E$23,1+MAX(0,A566-'难度参数'!$E$21)*'难度参数'!$E$22))*(36+7*7)/(36+7*(D566+1)/2)*E566,0))</x:f>
        <x:v>17071</x:v>
      </x:c>
      <x:c r="AX566" s="119" t="n">
        <x:f>IF(AV566=0,0,(AV566-IF(7=D566,1,0))*ROUND(AW566*VLOOKUP(INDEX('章节与怪物'!$E$31:$K$37,B566,7),'章节与怪物'!$A$41:$F$44,2,FALSE),0)+IF(7=D566,ROUND(AW566*'难度参数'!$E$28*'章节与怪物'!$E$17,0),0))</x:f>
        <x:v>1245337</x:v>
      </x:c>
      <x:c r="AY566" s="119" t="n">
        <x:f>IF(AV566=0,0,(AV566-IF(7=D566,1,0))*VLOOKUP(INDEX('章节与怪物'!$E$31:$K$37,B566,7),'章节与怪物'!$A$41:$F$44,4,FALSE)+IF(7=D566,'难度参数'!$E$30,0))</x:f>
        <x:v>1866</x:v>
      </x:c>
    </x:row>
    <x:row r="567" ht="23" customHeight="1">
      <x:c r="A567" s="119" t="n">
        <x:v>561</x:v>
      </x:c>
      <x:c r="B567" s="119" t="n">
        <x:f>MOD(INT((A567-1)/5),7)+1</x:f>
        <x:v>1</x:v>
      </x:c>
      <x:c r="C567" s="62" t="str">
        <x:f>INDEX('章节与怪物'!$B$31:$B$37,B567)</x:f>
        <x:v>冰雪荒原</x:v>
      </x:c>
      <x:c r="D567" s="119" t="n">
        <x:f>MIN('难度参数'!$E$8,MAX('难度参数'!$E$7,A567))</x:f>
        <x:v>7</x:v>
      </x:c>
      <x:c r="E567" s="106" t="n">
        <x:v>1</x:v>
      </x:c>
      <x:c r="F567" s="106" t="n">
        <x:v>0</x:v>
      </x:c>
      <x:c r="G567" s="106" t="n">
        <x:v>1</x:v>
      </x:c>
      <x:c r="H567" s="119" t="n">
        <x:f>SUM(X567,AB567,AF567,AJ567,AN567,AR567,AV567)</x:f>
        <x:v>303</x:v>
      </x:c>
      <x:c r="I567" s="119" t="n">
        <x:f>SUM(Z567,AD567,AH567,AL567,AP567,AT567,AX567)</x:f>
        <x:v>4940815</x:v>
      </x:c>
      <x:c r="J567" s="119" t="n">
        <x:f>ROUND(INDEX(X567:AY567,1,(D567-1)*4+2)*'难度参数'!$E$28*'章节与怪物'!$E$17,0)</x:f>
        <x:v>116232</x:v>
      </x:c>
      <x:c r="K567" s="119" t="n">
        <x:f>SUM(AA567,AE567,AI567,AM567,AQ567,AU567,AY567)</x:f>
        <x:v>7454</x:v>
      </x:c>
      <x:c r="L567" s="62" t="n">
        <x:f>H567*(ROUNDUP('难度参数'!$E$24/('难度参数'!$E$26*'难度参数'!$E$27),0)*'难度参数'!$E$26)/60</x:f>
        <x:v>4.04</x:v>
      </x:c>
      <x:c r="M567" s="62" t="n">
        <x:f>L567+D567*('难度参数'!$E$49+'难度参数'!$E$50)/60</x:f>
        <x:v>5.206666666666667</x:v>
      </x:c>
      <x:c r="N567" s="119" t="n">
        <x:f>ROUNDDOWN(('经济参数'!$E$20+A567*'经济参数'!$E$21)*G567,0)</x:f>
        <x:v>11400</x:v>
      </x:c>
      <x:c r="O567" s="119" t="n">
        <x:f>ROUNDDOWN(MIN('经济参数'!$E$24,'经济参数'!$E$22+A567*'经济参数'!$E$23)*G567,0)</x:f>
        <x:v>0</x:v>
      </x:c>
      <x:c r="P567" s="119" t="n">
        <x:f>ROUNDDOWN((IF(A567&gt;='材料与任务'!$E$31,'材料与任务'!$E$32,IF(A567&gt;='材料与任务'!$E$25,'材料与任务'!$E$26,IF(A567&gt;='材料与任务'!$E$19,'材料与任务'!$E$20,IF(A567&gt;='材料与任务'!$E$13,'材料与任务'!$E$14,'材料与任务'!$E$8)))))*G567,0)</x:f>
        <x:v>6</x:v>
      </x:c>
      <x:c r="Q567" s="119" t="n">
        <x:f>ROUNDDOWN((IF(A567&gt;='材料与任务'!$E$31,'材料与任务'!$E$33,IF(A567&gt;='材料与任务'!$E$25,'材料与任务'!$E$27,IF(A567&gt;='材料与任务'!$E$19,'材料与任务'!$E$21,IF(A567&gt;='材料与任务'!$E$13,'材料与任务'!$E$15,'材料与任务'!$E$9)))))*G567,0)</x:f>
        <x:v>3</x:v>
      </x:c>
      <x:c r="R567" s="110" t="n">
        <x:f>'装备掉落'!$B$38</x:f>
        <x:v>0.6872058758851213</x:v>
      </x:c>
      <x:c r="S567" s="119" t="n">
        <x:f>MAX(IF(VLOOKUP(A567,'装备掉落'!$A$29:$H$34,2,TRUE)&gt;0,1,0),IF(VLOOKUP(A567,'装备掉落'!$A$29:$H$34,3,TRUE)&gt;0,2,0),IF(VLOOKUP(A567,'装备掉落'!$A$29:$H$34,4,TRUE)&gt;0,3,0),IF(VLOOKUP(A567,'装备掉落'!$A$29:$H$34,5,TRUE)&gt;0,4,0),IF(VLOOKUP(A567,'装备掉落'!$A$29:$H$34,6,TRUE)&gt;0,5,0),IF(VLOOKUP(A567,'装备掉落'!$A$29:$H$34,7,TRUE)&gt;0,6,0),IF(VLOOKUP(A567,'装备掉落'!$A$29:$H$34,8,TRUE)&gt;0,7,0))</x:f>
        <x:v>7</x:v>
      </x:c>
      <x:c r="T567" s="119" t="n">
        <x:f>MIN(7,S567+'经济参数'!$E$70)</x:f>
        <x:v>7</x:v>
      </x:c>
      <x:c r="U567" s="119" t="n">
        <x:f>MIN(7,S567+'经济参数'!$E$71)</x:f>
        <x:v>7</x:v>
      </x:c>
      <x:c r="V567" s="119" t="n">
        <x:f>IF(H567&gt;=('难度参数'!$E$52),1,0)+IF(H567&gt;=('难度参数'!$E$52+'难度参数'!$E$53),1,0)+IF(H567&gt;=('难度参数'!$E$52+'难度参数'!$E$53+'难度参数'!$E$54),1,0)+IF(H567&gt;=('难度参数'!$E$52+'难度参数'!$E$53+'难度参数'!$E$54+'难度参数'!$E$55),1,0)+IF(H567&gt;=('难度参数'!$E$52+'难度参数'!$E$53+'难度参数'!$E$54+'难度参数'!$E$55+'难度参数'!$E$56),1,0)+IF(H567&gt;=('难度参数'!$E$52+'难度参数'!$E$53+'难度参数'!$E$54+'难度参数'!$E$55+'难度参数'!$E$56+'难度参数'!$E$57),1,0)</x:f>
        <x:v>6</x:v>
      </x:c>
      <x:c r="W567" s="62" t="str">
        <x:f>IF(L567&gt;'难度参数'!$E$51,"仅出怪已超目标","还需实测")</x:f>
        <x:v>仅出怪已超目标</x:v>
      </x:c>
      <x:c r="X567" s="119" t="n">
        <x:f>IF(1&gt;D567,0,MAX(2,MIN('难度参数'!$E$12,ROUND(('难度参数'!$E$18*POWER(A567,'难度参数'!$E$19)/D567*(0.85+0.3*(1-1)/MAX(1,D567-1))),0)+F567)))</x:f>
        <x:v>37</x:v>
      </x:c>
      <x:c r="Y567" s="119" t="n">
        <x:f>IF(1&gt;D567,0,ROUND(('难度参数'!$E$13*POWER(A567,'难度参数'!$E$20)*MIN('难度参数'!$E$23,1+MAX(0,A567-'难度参数'!$E$21)*'难度参数'!$E$22))*(36+1*7)/(36+7*(D567+1)/2)*E567,0))</x:f>
        <x:v>8647</x:v>
      </x:c>
      <x:c r="Z567" s="119" t="n">
        <x:f>IF(X567=0,0,(X567-IF(1=D567,1,0))*ROUND(Y567*VLOOKUP(INDEX('章节与怪物'!$E$31:$K$37,B567,1),'章节与怪物'!$A$41:$F$44,2,FALSE),0)+IF(1=D567,ROUND(Y567*'难度参数'!$E$28*'章节与怪物'!$E$17,0),0))</x:f>
        <x:v>319939</x:v>
      </x:c>
      <x:c r="AA567" s="119" t="n">
        <x:f>IF(X567=0,0,(X567-IF(1=D567,1,0))*VLOOKUP(INDEX('章节与怪物'!$E$31:$K$37,B567,1),'章节与怪物'!$A$41:$F$44,4,FALSE)+IF(1=D567,'难度参数'!$E$30,0))</x:f>
        <x:v>666</x:v>
      </x:c>
      <x:c r="AB567" s="119" t="n">
        <x:f>IF(2&gt;D567,0,MAX(2,MIN('难度参数'!$E$12,ROUND(('难度参数'!$E$18*POWER(A567,'难度参数'!$E$19)/D567*(0.85+0.3*(2-1)/MAX(1,D567-1))),0)+F567)))</x:f>
        <x:v>39</x:v>
      </x:c>
      <x:c r="AC567" s="119" t="n">
        <x:f>IF(2&gt;D567,0,ROUND(('难度参数'!$E$13*POWER(A567,'难度参数'!$E$20)*MIN('难度参数'!$E$23,1+MAX(0,A567-'难度参数'!$E$21)*'难度参数'!$E$22))*(36+2*7)/(36+7*(D567+1)/2)*E567,0))</x:f>
        <x:v>10055</x:v>
      </x:c>
      <x:c r="AD567" s="119" t="n">
        <x:f>IF(AB567=0,0,(AB567-IF(2=D567,1,0))*ROUND(AC567*VLOOKUP(INDEX('章节与怪物'!$E$31:$K$37,B567,2),'章节与怪物'!$A$41:$F$44,2,FALSE),0)+IF(2=D567,ROUND(AC567*'难度参数'!$E$28*'章节与怪物'!$E$17,0),0))</x:f>
        <x:v>392145</x:v>
      </x:c>
      <x:c r="AE567" s="119" t="n">
        <x:f>IF(AB567=0,0,(AB567-IF(2=D567,1,0))*VLOOKUP(INDEX('章节与怪物'!$E$31:$K$37,B567,2),'章节与怪物'!$A$41:$F$44,4,FALSE)+IF(2=D567,'难度参数'!$E$30,0))</x:f>
        <x:v>702</x:v>
      </x:c>
      <x:c r="AF567" s="119" t="n">
        <x:f>IF(3&gt;D567,0,MAX(2,MIN('难度参数'!$E$12,ROUND(('难度参数'!$E$18*POWER(A567,'难度参数'!$E$19)/D567*(0.85+0.3*(3-1)/MAX(1,D567-1))),0)+F567)))</x:f>
        <x:v>41</x:v>
      </x:c>
      <x:c r="AG567" s="119" t="n">
        <x:f>IF(3&gt;D567,0,ROUND(('难度参数'!$E$13*POWER(A567,'难度参数'!$E$20)*MIN('难度参数'!$E$23,1+MAX(0,A567-'难度参数'!$E$21)*'难度参数'!$E$22))*(36+3*7)/(36+7*(D567+1)/2)*E567,0))</x:f>
        <x:v>11463</x:v>
      </x:c>
      <x:c r="AH567" s="119" t="n">
        <x:f>IF(AF567=0,0,(AF567-IF(3=D567,1,0))*ROUND(AG567*VLOOKUP(INDEX('章节与怪物'!$E$31:$K$37,B567,3),'章节与怪物'!$A$41:$F$44,2,FALSE),0)+IF(3=D567,ROUND(AG567*'难度参数'!$E$28*'章节与怪物'!$E$17,0),0))</x:f>
        <x:v>338373</x:v>
      </x:c>
      <x:c r="AI567" s="119" t="n">
        <x:f>IF(AF567=0,0,(AF567-IF(3=D567,1,0))*VLOOKUP(INDEX('章节与怪物'!$E$31:$K$37,B567,3),'章节与怪物'!$A$41:$F$44,4,FALSE)+IF(3=D567,'难度参数'!$E$30,0))</x:f>
        <x:v>820</x:v>
      </x:c>
      <x:c r="AJ567" s="119" t="n">
        <x:f>IF(4&gt;D567,0,MAX(2,MIN('难度参数'!$E$12,ROUND(('难度参数'!$E$18*POWER(A567,'难度参数'!$E$19)/D567*(0.85+0.3*(4-1)/MAX(1,D567-1))),0)+F567)))</x:f>
        <x:v>43</x:v>
      </x:c>
      <x:c r="AK567" s="119" t="n">
        <x:f>IF(4&gt;D567,0,ROUND(('难度参数'!$E$13*POWER(A567,'难度参数'!$E$20)*MIN('难度参数'!$E$23,1+MAX(0,A567-'难度参数'!$E$21)*'难度参数'!$E$22))*(36+4*7)/(36+7*(D567+1)/2)*E567,0))</x:f>
        <x:v>12870</x:v>
      </x:c>
      <x:c r="AL567" s="119" t="n">
        <x:f>IF(AJ567=0,0,(AJ567-IF(4=D567,1,0))*ROUND(AK567*VLOOKUP(INDEX('章节与怪物'!$E$31:$K$37,B567,4),'章节与怪物'!$A$41:$F$44,2,FALSE),0)+IF(4=D567,ROUND(AK567*'难度参数'!$E$28*'章节与怪物'!$E$17,0),0))</x:f>
        <x:v>940797</x:v>
      </x:c>
      <x:c r="AM567" s="119" t="n">
        <x:f>IF(AJ567=0,0,(AJ567-IF(4=D567,1,0))*VLOOKUP(INDEX('章节与怪物'!$E$31:$K$37,B567,4),'章节与怪物'!$A$41:$F$44,4,FALSE)+IF(4=D567,'难度参数'!$E$30,0))</x:f>
        <x:v>1204</x:v>
      </x:c>
      <x:c r="AN567" s="119" t="n">
        <x:f>IF(5&gt;D567,0,MAX(2,MIN('难度参数'!$E$12,ROUND(('难度参数'!$E$18*POWER(A567,'难度参数'!$E$19)/D567*(0.85+0.3*(5-1)/MAX(1,D567-1))),0)+F567)))</x:f>
        <x:v>45</x:v>
      </x:c>
      <x:c r="AO567" s="119" t="n">
        <x:f>IF(5&gt;D567,0,ROUND(('难度参数'!$E$13*POWER(A567,'难度参数'!$E$20)*MIN('难度参数'!$E$23,1+MAX(0,A567-'难度参数'!$E$21)*'难度参数'!$E$22))*(36+5*7)/(36+7*(D567+1)/2)*E567,0))</x:f>
        <x:v>14278</x:v>
      </x:c>
      <x:c r="AP567" s="119" t="n">
        <x:f>IF(AN567=0,0,(AN567-IF(5=D567,1,0))*ROUND(AO567*VLOOKUP(INDEX('章节与怪物'!$E$31:$K$37,B567,5),'章节与怪物'!$A$41:$F$44,2,FALSE),0)+IF(5=D567,ROUND(AO567*'难度参数'!$E$28*'章节与怪物'!$E$17,0),0))</x:f>
        <x:v>867375</x:v>
      </x:c>
      <x:c r="AQ567" s="119" t="n">
        <x:f>IF(AN567=0,0,(AN567-IF(5=D567,1,0))*VLOOKUP(INDEX('章节与怪物'!$E$31:$K$37,B567,5),'章节与怪物'!$A$41:$F$44,4,FALSE)+IF(5=D567,'难度参数'!$E$30,0))</x:f>
        <x:v>1530</x:v>
      </x:c>
      <x:c r="AR567" s="119" t="n">
        <x:f>IF(6&gt;D567,0,MAX(2,MIN('难度参数'!$E$12,ROUND(('难度参数'!$E$18*POWER(A567,'难度参数'!$E$19)/D567*(0.85+0.3*(6-1)/MAX(1,D567-1))),0)+F567)))</x:f>
        <x:v>48</x:v>
      </x:c>
      <x:c r="AS567" s="119" t="n">
        <x:f>IF(6&gt;D567,0,ROUND(('难度参数'!$E$13*POWER(A567,'难度参数'!$E$20)*MIN('难度参数'!$E$23,1+MAX(0,A567-'难度参数'!$E$21)*'难度参数'!$E$22))*(36+6*7)/(36+7*(D567+1)/2)*E567,0))</x:f>
        <x:v>15686</x:v>
      </x:c>
      <x:c r="AT567" s="119" t="n">
        <x:f>IF(AR567=0,0,(AR567-IF(6=D567,1,0))*ROUND(AS567*VLOOKUP(INDEX('章节与怪物'!$E$31:$K$37,B567,6),'章节与怪物'!$A$41:$F$44,2,FALSE),0)+IF(6=D567,ROUND(AS567*'难度参数'!$E$28*'章节与怪物'!$E$17,0),0))</x:f>
        <x:v>542112</x:v>
      </x:c>
      <x:c r="AU567" s="119" t="n">
        <x:f>IF(AR567=0,0,(AR567-IF(6=D567,1,0))*VLOOKUP(INDEX('章节与怪物'!$E$31:$K$37,B567,6),'章节与怪物'!$A$41:$F$44,4,FALSE)+IF(6=D567,'难度参数'!$E$30,0))</x:f>
        <x:v>960</x:v>
      </x:c>
      <x:c r="AV567" s="119" t="n">
        <x:f>IF(7&gt;D567,0,MAX(2,MIN('难度参数'!$E$12,ROUND(('难度参数'!$E$18*POWER(A567,'难度参数'!$E$19)/D567*(0.85+0.3*(7-1)/MAX(1,D567-1))),0)+F567)))</x:f>
        <x:v>50</x:v>
      </x:c>
      <x:c r="AW567" s="119" t="n">
        <x:f>IF(7&gt;D567,0,ROUND(('难度参数'!$E$13*POWER(A567,'难度参数'!$E$20)*MIN('难度参数'!$E$23,1+MAX(0,A567-'难度参数'!$E$21)*'难度参数'!$E$22))*(36+7*7)/(36+7*(D567+1)/2)*E567,0))</x:f>
        <x:v>17093</x:v>
      </x:c>
      <x:c r="AX567" s="119" t="n">
        <x:f>IF(AV567=0,0,(AV567-IF(7=D567,1,0))*ROUND(AW567*VLOOKUP(INDEX('章节与怪物'!$E$31:$K$37,B567,7),'章节与怪物'!$A$41:$F$44,2,FALSE),0)+IF(7=D567,ROUND(AW567*'难度参数'!$E$28*'章节与怪物'!$E$17,0),0))</x:f>
        <x:v>1540074</x:v>
      </x:c>
      <x:c r="AY567" s="119" t="n">
        <x:f>IF(AV567=0,0,(AV567-IF(7=D567,1,0))*VLOOKUP(INDEX('章节与怪物'!$E$31:$K$37,B567,7),'章节与怪物'!$A$41:$F$44,4,FALSE)+IF(7=D567,'难度参数'!$E$30,0))</x:f>
        <x:v>1572</x:v>
      </x:c>
    </x:row>
    <x:row r="568" ht="23" customHeight="1">
      <x:c r="A568" s="119" t="n">
        <x:v>562</x:v>
      </x:c>
      <x:c r="B568" s="119" t="n">
        <x:f>MOD(INT((A568-1)/5),7)+1</x:f>
        <x:v>1</x:v>
      </x:c>
      <x:c r="C568" s="62" t="str">
        <x:f>INDEX('章节与怪物'!$B$31:$B$37,B568)</x:f>
        <x:v>冰雪荒原</x:v>
      </x:c>
      <x:c r="D568" s="119" t="n">
        <x:f>MIN('难度参数'!$E$8,MAX('难度参数'!$E$7,A568))</x:f>
        <x:v>7</x:v>
      </x:c>
      <x:c r="E568" s="106" t="n">
        <x:v>1</x:v>
      </x:c>
      <x:c r="F568" s="106" t="n">
        <x:v>0</x:v>
      </x:c>
      <x:c r="G568" s="106" t="n">
        <x:v>1</x:v>
      </x:c>
      <x:c r="H568" s="119" t="n">
        <x:f>SUM(X568,AB568,AF568,AJ568,AN568,AR568,AV568)</x:f>
        <x:v>303</x:v>
      </x:c>
      <x:c r="I568" s="119" t="n">
        <x:f>SUM(Z568,AD568,AH568,AL568,AP568,AT568,AX568)</x:f>
        <x:v>4947195</x:v>
      </x:c>
      <x:c r="J568" s="119" t="n">
        <x:f>ROUND(INDEX(X568:AY568,1,(D568-1)*4+2)*'难度参数'!$E$28*'章节与怪物'!$E$17,0)</x:f>
        <x:v>116382</x:v>
      </x:c>
      <x:c r="K568" s="119" t="n">
        <x:f>SUM(AA568,AE568,AI568,AM568,AQ568,AU568,AY568)</x:f>
        <x:v>7454</x:v>
      </x:c>
      <x:c r="L568" s="62" t="n">
        <x:f>H568*(ROUNDUP('难度参数'!$E$24/('难度参数'!$E$26*'难度参数'!$E$27),0)*'难度参数'!$E$26)/60</x:f>
        <x:v>4.04</x:v>
      </x:c>
      <x:c r="M568" s="62" t="n">
        <x:f>L568+D568*('难度参数'!$E$49+'难度参数'!$E$50)/60</x:f>
        <x:v>5.206666666666667</x:v>
      </x:c>
      <x:c r="N568" s="119" t="n">
        <x:f>ROUNDDOWN(('经济参数'!$E$20+A568*'经济参数'!$E$21)*G568,0)</x:f>
        <x:v>11420</x:v>
      </x:c>
      <x:c r="O568" s="119" t="n">
        <x:f>ROUNDDOWN(MIN('经济参数'!$E$24,'经济参数'!$E$22+A568*'经济参数'!$E$23)*G568,0)</x:f>
        <x:v>0</x:v>
      </x:c>
      <x:c r="P568" s="119" t="n">
        <x:f>ROUNDDOWN((IF(A568&gt;='材料与任务'!$E$31,'材料与任务'!$E$32,IF(A568&gt;='材料与任务'!$E$25,'材料与任务'!$E$26,IF(A568&gt;='材料与任务'!$E$19,'材料与任务'!$E$20,IF(A568&gt;='材料与任务'!$E$13,'材料与任务'!$E$14,'材料与任务'!$E$8)))))*G568,0)</x:f>
        <x:v>6</x:v>
      </x:c>
      <x:c r="Q568" s="119" t="n">
        <x:f>ROUNDDOWN((IF(A568&gt;='材料与任务'!$E$31,'材料与任务'!$E$33,IF(A568&gt;='材料与任务'!$E$25,'材料与任务'!$E$27,IF(A568&gt;='材料与任务'!$E$19,'材料与任务'!$E$21,IF(A568&gt;='材料与任务'!$E$13,'材料与任务'!$E$15,'材料与任务'!$E$9)))))*G568,0)</x:f>
        <x:v>3</x:v>
      </x:c>
      <x:c r="R568" s="110" t="n">
        <x:f>'装备掉落'!$B$38</x:f>
        <x:v>0.6872058758851213</x:v>
      </x:c>
      <x:c r="S568" s="119" t="n">
        <x:f>MAX(IF(VLOOKUP(A568,'装备掉落'!$A$29:$H$34,2,TRUE)&gt;0,1,0),IF(VLOOKUP(A568,'装备掉落'!$A$29:$H$34,3,TRUE)&gt;0,2,0),IF(VLOOKUP(A568,'装备掉落'!$A$29:$H$34,4,TRUE)&gt;0,3,0),IF(VLOOKUP(A568,'装备掉落'!$A$29:$H$34,5,TRUE)&gt;0,4,0),IF(VLOOKUP(A568,'装备掉落'!$A$29:$H$34,6,TRUE)&gt;0,5,0),IF(VLOOKUP(A568,'装备掉落'!$A$29:$H$34,7,TRUE)&gt;0,6,0),IF(VLOOKUP(A568,'装备掉落'!$A$29:$H$34,8,TRUE)&gt;0,7,0))</x:f>
        <x:v>7</x:v>
      </x:c>
      <x:c r="T568" s="119" t="n">
        <x:f>MIN(7,S568+'经济参数'!$E$70)</x:f>
        <x:v>7</x:v>
      </x:c>
      <x:c r="U568" s="119" t="n">
        <x:f>MIN(7,S568+'经济参数'!$E$71)</x:f>
        <x:v>7</x:v>
      </x:c>
      <x:c r="V568" s="119" t="n">
        <x:f>IF(H568&gt;=('难度参数'!$E$52),1,0)+IF(H568&gt;=('难度参数'!$E$52+'难度参数'!$E$53),1,0)+IF(H568&gt;=('难度参数'!$E$52+'难度参数'!$E$53+'难度参数'!$E$54),1,0)+IF(H568&gt;=('难度参数'!$E$52+'难度参数'!$E$53+'难度参数'!$E$54+'难度参数'!$E$55),1,0)+IF(H568&gt;=('难度参数'!$E$52+'难度参数'!$E$53+'难度参数'!$E$54+'难度参数'!$E$55+'难度参数'!$E$56),1,0)+IF(H568&gt;=('难度参数'!$E$52+'难度参数'!$E$53+'难度参数'!$E$54+'难度参数'!$E$55+'难度参数'!$E$56+'难度参数'!$E$57),1,0)</x:f>
        <x:v>6</x:v>
      </x:c>
      <x:c r="W568" s="62" t="str">
        <x:f>IF(L568&gt;'难度参数'!$E$51,"仅出怪已超目标","还需实测")</x:f>
        <x:v>仅出怪已超目标</x:v>
      </x:c>
      <x:c r="X568" s="119" t="n">
        <x:f>IF(1&gt;D568,0,MAX(2,MIN('难度参数'!$E$12,ROUND(('难度参数'!$E$18*POWER(A568,'难度参数'!$E$19)/D568*(0.85+0.3*(1-1)/MAX(1,D568-1))),0)+F568)))</x:f>
        <x:v>37</x:v>
      </x:c>
      <x:c r="Y568" s="119" t="n">
        <x:f>IF(1&gt;D568,0,ROUND(('难度参数'!$E$13*POWER(A568,'难度参数'!$E$20)*MIN('难度参数'!$E$23,1+MAX(0,A568-'难度参数'!$E$21)*'难度参数'!$E$22))*(36+1*7)/(36+7*(D568+1)/2)*E568,0))</x:f>
        <x:v>8658</x:v>
      </x:c>
      <x:c r="Z568" s="119" t="n">
        <x:f>IF(X568=0,0,(X568-IF(1=D568,1,0))*ROUND(Y568*VLOOKUP(INDEX('章节与怪物'!$E$31:$K$37,B568,1),'章节与怪物'!$A$41:$F$44,2,FALSE),0)+IF(1=D568,ROUND(Y568*'难度参数'!$E$28*'章节与怪物'!$E$17,0),0))</x:f>
        <x:v>320346</x:v>
      </x:c>
      <x:c r="AA568" s="119" t="n">
        <x:f>IF(X568=0,0,(X568-IF(1=D568,1,0))*VLOOKUP(INDEX('章节与怪物'!$E$31:$K$37,B568,1),'章节与怪物'!$A$41:$F$44,4,FALSE)+IF(1=D568,'难度参数'!$E$30,0))</x:f>
        <x:v>666</x:v>
      </x:c>
      <x:c r="AB568" s="119" t="n">
        <x:f>IF(2&gt;D568,0,MAX(2,MIN('难度参数'!$E$12,ROUND(('难度参数'!$E$18*POWER(A568,'难度参数'!$E$19)/D568*(0.85+0.3*(2-1)/MAX(1,D568-1))),0)+F568)))</x:f>
        <x:v>39</x:v>
      </x:c>
      <x:c r="AC568" s="119" t="n">
        <x:f>IF(2&gt;D568,0,ROUND(('难度参数'!$E$13*POWER(A568,'难度参数'!$E$20)*MIN('难度参数'!$E$23,1+MAX(0,A568-'难度参数'!$E$21)*'难度参数'!$E$22))*(36+2*7)/(36+7*(D568+1)/2)*E568,0))</x:f>
        <x:v>10068</x:v>
      </x:c>
      <x:c r="AD568" s="119" t="n">
        <x:f>IF(AB568=0,0,(AB568-IF(2=D568,1,0))*ROUND(AC568*VLOOKUP(INDEX('章节与怪物'!$E$31:$K$37,B568,2),'章节与怪物'!$A$41:$F$44,2,FALSE),0)+IF(2=D568,ROUND(AC568*'难度参数'!$E$28*'章节与怪物'!$E$17,0),0))</x:f>
        <x:v>392652</x:v>
      </x:c>
      <x:c r="AE568" s="119" t="n">
        <x:f>IF(AB568=0,0,(AB568-IF(2=D568,1,0))*VLOOKUP(INDEX('章节与怪物'!$E$31:$K$37,B568,2),'章节与怪物'!$A$41:$F$44,4,FALSE)+IF(2=D568,'难度参数'!$E$30,0))</x:f>
        <x:v>702</x:v>
      </x:c>
      <x:c r="AF568" s="119" t="n">
        <x:f>IF(3&gt;D568,0,MAX(2,MIN('难度参数'!$E$12,ROUND(('难度参数'!$E$18*POWER(A568,'难度参数'!$E$19)/D568*(0.85+0.3*(3-1)/MAX(1,D568-1))),0)+F568)))</x:f>
        <x:v>41</x:v>
      </x:c>
      <x:c r="AG568" s="119" t="n">
        <x:f>IF(3&gt;D568,0,ROUND(('难度参数'!$E$13*POWER(A568,'难度参数'!$E$20)*MIN('难度参数'!$E$23,1+MAX(0,A568-'难度参数'!$E$21)*'难度参数'!$E$22))*(36+3*7)/(36+7*(D568+1)/2)*E568,0))</x:f>
        <x:v>11477</x:v>
      </x:c>
      <x:c r="AH568" s="119" t="n">
        <x:f>IF(AF568=0,0,(AF568-IF(3=D568,1,0))*ROUND(AG568*VLOOKUP(INDEX('章节与怪物'!$E$31:$K$37,B568,3),'章节与怪物'!$A$41:$F$44,2,FALSE),0)+IF(3=D568,ROUND(AG568*'难度参数'!$E$28*'章节与怪物'!$E$17,0),0))</x:f>
        <x:v>338783</x:v>
      </x:c>
      <x:c r="AI568" s="119" t="n">
        <x:f>IF(AF568=0,0,(AF568-IF(3=D568,1,0))*VLOOKUP(INDEX('章节与怪物'!$E$31:$K$37,B568,3),'章节与怪物'!$A$41:$F$44,4,FALSE)+IF(3=D568,'难度参数'!$E$30,0))</x:f>
        <x:v>820</x:v>
      </x:c>
      <x:c r="AJ568" s="119" t="n">
        <x:f>IF(4&gt;D568,0,MAX(2,MIN('难度参数'!$E$12,ROUND(('难度参数'!$E$18*POWER(A568,'难度参数'!$E$19)/D568*(0.85+0.3*(4-1)/MAX(1,D568-1))),0)+F568)))</x:f>
        <x:v>43</x:v>
      </x:c>
      <x:c r="AK568" s="119" t="n">
        <x:f>IF(4&gt;D568,0,ROUND(('难度参数'!$E$13*POWER(A568,'难度参数'!$E$20)*MIN('难度参数'!$E$23,1+MAX(0,A568-'难度参数'!$E$21)*'难度参数'!$E$22))*(36+4*7)/(36+7*(D568+1)/2)*E568,0))</x:f>
        <x:v>12887</x:v>
      </x:c>
      <x:c r="AL568" s="119" t="n">
        <x:f>IF(AJ568=0,0,(AJ568-IF(4=D568,1,0))*ROUND(AK568*VLOOKUP(INDEX('章节与怪物'!$E$31:$K$37,B568,4),'章节与怪物'!$A$41:$F$44,2,FALSE),0)+IF(4=D568,ROUND(AK568*'难度参数'!$E$28*'章节与怪物'!$E$17,0),0))</x:f>
        <x:v>942044</x:v>
      </x:c>
      <x:c r="AM568" s="119" t="n">
        <x:f>IF(AJ568=0,0,(AJ568-IF(4=D568,1,0))*VLOOKUP(INDEX('章节与怪物'!$E$31:$K$37,B568,4),'章节与怪物'!$A$41:$F$44,4,FALSE)+IF(4=D568,'难度参数'!$E$30,0))</x:f>
        <x:v>1204</x:v>
      </x:c>
      <x:c r="AN568" s="119" t="n">
        <x:f>IF(5&gt;D568,0,MAX(2,MIN('难度参数'!$E$12,ROUND(('难度参数'!$E$18*POWER(A568,'难度参数'!$E$19)/D568*(0.85+0.3*(5-1)/MAX(1,D568-1))),0)+F568)))</x:f>
        <x:v>45</x:v>
      </x:c>
      <x:c r="AO568" s="119" t="n">
        <x:f>IF(5&gt;D568,0,ROUND(('难度参数'!$E$13*POWER(A568,'难度参数'!$E$20)*MIN('难度参数'!$E$23,1+MAX(0,A568-'难度参数'!$E$21)*'难度参数'!$E$22))*(36+5*7)/(36+7*(D568+1)/2)*E568,0))</x:f>
        <x:v>14296</x:v>
      </x:c>
      <x:c r="AP568" s="119" t="n">
        <x:f>IF(AN568=0,0,(AN568-IF(5=D568,1,0))*ROUND(AO568*VLOOKUP(INDEX('章节与怪物'!$E$31:$K$37,B568,5),'章节与怪物'!$A$41:$F$44,2,FALSE),0)+IF(5=D568,ROUND(AO568*'难度参数'!$E$28*'章节与怪物'!$E$17,0),0))</x:f>
        <x:v>868500</x:v>
      </x:c>
      <x:c r="AQ568" s="119" t="n">
        <x:f>IF(AN568=0,0,(AN568-IF(5=D568,1,0))*VLOOKUP(INDEX('章节与怪物'!$E$31:$K$37,B568,5),'章节与怪物'!$A$41:$F$44,4,FALSE)+IF(5=D568,'难度参数'!$E$30,0))</x:f>
        <x:v>1530</x:v>
      </x:c>
      <x:c r="AR568" s="119" t="n">
        <x:f>IF(6&gt;D568,0,MAX(2,MIN('难度参数'!$E$12,ROUND(('难度参数'!$E$18*POWER(A568,'难度参数'!$E$19)/D568*(0.85+0.3*(6-1)/MAX(1,D568-1))),0)+F568)))</x:f>
        <x:v>48</x:v>
      </x:c>
      <x:c r="AS568" s="119" t="n">
        <x:f>IF(6&gt;D568,0,ROUND(('难度参数'!$E$13*POWER(A568,'难度参数'!$E$20)*MIN('难度参数'!$E$23,1+MAX(0,A568-'难度参数'!$E$21)*'难度参数'!$E$22))*(36+6*7)/(36+7*(D568+1)/2)*E568,0))</x:f>
        <x:v>15706</x:v>
      </x:c>
      <x:c r="AT568" s="119" t="n">
        <x:f>IF(AR568=0,0,(AR568-IF(6=D568,1,0))*ROUND(AS568*VLOOKUP(INDEX('章节与怪物'!$E$31:$K$37,B568,6),'章节与怪物'!$A$41:$F$44,2,FALSE),0)+IF(6=D568,ROUND(AS568*'难度参数'!$E$28*'章节与怪物'!$E$17,0),0))</x:f>
        <x:v>542784</x:v>
      </x:c>
      <x:c r="AU568" s="119" t="n">
        <x:f>IF(AR568=0,0,(AR568-IF(6=D568,1,0))*VLOOKUP(INDEX('章节与怪物'!$E$31:$K$37,B568,6),'章节与怪物'!$A$41:$F$44,4,FALSE)+IF(6=D568,'难度参数'!$E$30,0))</x:f>
        <x:v>960</x:v>
      </x:c>
      <x:c r="AV568" s="119" t="n">
        <x:f>IF(7&gt;D568,0,MAX(2,MIN('难度参数'!$E$12,ROUND(('难度参数'!$E$18*POWER(A568,'难度参数'!$E$19)/D568*(0.85+0.3*(7-1)/MAX(1,D568-1))),0)+F568)))</x:f>
        <x:v>50</x:v>
      </x:c>
      <x:c r="AW568" s="119" t="n">
        <x:f>IF(7&gt;D568,0,ROUND(('难度参数'!$E$13*POWER(A568,'难度参数'!$E$20)*MIN('难度参数'!$E$23,1+MAX(0,A568-'难度参数'!$E$21)*'难度参数'!$E$22))*(36+7*7)/(36+7*(D568+1)/2)*E568,0))</x:f>
        <x:v>17115</x:v>
      </x:c>
      <x:c r="AX568" s="119" t="n">
        <x:f>IF(AV568=0,0,(AV568-IF(7=D568,1,0))*ROUND(AW568*VLOOKUP(INDEX('章节与怪物'!$E$31:$K$37,B568,7),'章节与怪物'!$A$41:$F$44,2,FALSE),0)+IF(7=D568,ROUND(AW568*'难度参数'!$E$28*'章节与怪物'!$E$17,0),0))</x:f>
        <x:v>1542086</x:v>
      </x:c>
      <x:c r="AY568" s="119" t="n">
        <x:f>IF(AV568=0,0,(AV568-IF(7=D568,1,0))*VLOOKUP(INDEX('章节与怪物'!$E$31:$K$37,B568,7),'章节与怪物'!$A$41:$F$44,4,FALSE)+IF(7=D568,'难度参数'!$E$30,0))</x:f>
        <x:v>1572</x:v>
      </x:c>
    </x:row>
    <x:row r="569" ht="23" customHeight="1">
      <x:c r="A569" s="119" t="n">
        <x:v>563</x:v>
      </x:c>
      <x:c r="B569" s="119" t="n">
        <x:f>MOD(INT((A569-1)/5),7)+1</x:f>
        <x:v>1</x:v>
      </x:c>
      <x:c r="C569" s="62" t="str">
        <x:f>INDEX('章节与怪物'!$B$31:$B$37,B569)</x:f>
        <x:v>冰雪荒原</x:v>
      </x:c>
      <x:c r="D569" s="119" t="n">
        <x:f>MIN('难度参数'!$E$8,MAX('难度参数'!$E$7,A569))</x:f>
        <x:v>7</x:v>
      </x:c>
      <x:c r="E569" s="106" t="n">
        <x:v>1</x:v>
      </x:c>
      <x:c r="F569" s="106" t="n">
        <x:v>0</x:v>
      </x:c>
      <x:c r="G569" s="106" t="n">
        <x:v>1</x:v>
      </x:c>
      <x:c r="H569" s="119" t="n">
        <x:f>SUM(X569,AB569,AF569,AJ569,AN569,AR569,AV569)</x:f>
        <x:v>303</x:v>
      </x:c>
      <x:c r="I569" s="119" t="n">
        <x:f>SUM(Z569,AD569,AH569,AL569,AP569,AT569,AX569)</x:f>
        <x:v>4953529</x:v>
      </x:c>
      <x:c r="J569" s="119" t="n">
        <x:f>ROUND(INDEX(X569:AY569,1,(D569-1)*4+2)*'难度参数'!$E$28*'章节与怪物'!$E$17,0)</x:f>
        <x:v>116532</x:v>
      </x:c>
      <x:c r="K569" s="119" t="n">
        <x:f>SUM(AA569,AE569,AI569,AM569,AQ569,AU569,AY569)</x:f>
        <x:v>7454</x:v>
      </x:c>
      <x:c r="L569" s="62" t="n">
        <x:f>H569*(ROUNDUP('难度参数'!$E$24/('难度参数'!$E$26*'难度参数'!$E$27),0)*'难度参数'!$E$26)/60</x:f>
        <x:v>4.04</x:v>
      </x:c>
      <x:c r="M569" s="62" t="n">
        <x:f>L569+D569*('难度参数'!$E$49+'难度参数'!$E$50)/60</x:f>
        <x:v>5.206666666666667</x:v>
      </x:c>
      <x:c r="N569" s="119" t="n">
        <x:f>ROUNDDOWN(('经济参数'!$E$20+A569*'经济参数'!$E$21)*G569,0)</x:f>
        <x:v>11440</x:v>
      </x:c>
      <x:c r="O569" s="119" t="n">
        <x:f>ROUNDDOWN(MIN('经济参数'!$E$24,'经济参数'!$E$22+A569*'经济参数'!$E$23)*G569,0)</x:f>
        <x:v>0</x:v>
      </x:c>
      <x:c r="P569" s="119" t="n">
        <x:f>ROUNDDOWN((IF(A569&gt;='材料与任务'!$E$31,'材料与任务'!$E$32,IF(A569&gt;='材料与任务'!$E$25,'材料与任务'!$E$26,IF(A569&gt;='材料与任务'!$E$19,'材料与任务'!$E$20,IF(A569&gt;='材料与任务'!$E$13,'材料与任务'!$E$14,'材料与任务'!$E$8)))))*G569,0)</x:f>
        <x:v>6</x:v>
      </x:c>
      <x:c r="Q569" s="119" t="n">
        <x:f>ROUNDDOWN((IF(A569&gt;='材料与任务'!$E$31,'材料与任务'!$E$33,IF(A569&gt;='材料与任务'!$E$25,'材料与任务'!$E$27,IF(A569&gt;='材料与任务'!$E$19,'材料与任务'!$E$21,IF(A569&gt;='材料与任务'!$E$13,'材料与任务'!$E$15,'材料与任务'!$E$9)))))*G569,0)</x:f>
        <x:v>3</x:v>
      </x:c>
      <x:c r="R569" s="110" t="n">
        <x:f>'装备掉落'!$B$38</x:f>
        <x:v>0.6872058758851213</x:v>
      </x:c>
      <x:c r="S569" s="119" t="n">
        <x:f>MAX(IF(VLOOKUP(A569,'装备掉落'!$A$29:$H$34,2,TRUE)&gt;0,1,0),IF(VLOOKUP(A569,'装备掉落'!$A$29:$H$34,3,TRUE)&gt;0,2,0),IF(VLOOKUP(A569,'装备掉落'!$A$29:$H$34,4,TRUE)&gt;0,3,0),IF(VLOOKUP(A569,'装备掉落'!$A$29:$H$34,5,TRUE)&gt;0,4,0),IF(VLOOKUP(A569,'装备掉落'!$A$29:$H$34,6,TRUE)&gt;0,5,0),IF(VLOOKUP(A569,'装备掉落'!$A$29:$H$34,7,TRUE)&gt;0,6,0),IF(VLOOKUP(A569,'装备掉落'!$A$29:$H$34,8,TRUE)&gt;0,7,0))</x:f>
        <x:v>7</x:v>
      </x:c>
      <x:c r="T569" s="119" t="n">
        <x:f>MIN(7,S569+'经济参数'!$E$70)</x:f>
        <x:v>7</x:v>
      </x:c>
      <x:c r="U569" s="119" t="n">
        <x:f>MIN(7,S569+'经济参数'!$E$71)</x:f>
        <x:v>7</x:v>
      </x:c>
      <x:c r="V569" s="119" t="n">
        <x:f>IF(H569&gt;=('难度参数'!$E$52),1,0)+IF(H569&gt;=('难度参数'!$E$52+'难度参数'!$E$53),1,0)+IF(H569&gt;=('难度参数'!$E$52+'难度参数'!$E$53+'难度参数'!$E$54),1,0)+IF(H569&gt;=('难度参数'!$E$52+'难度参数'!$E$53+'难度参数'!$E$54+'难度参数'!$E$55),1,0)+IF(H569&gt;=('难度参数'!$E$52+'难度参数'!$E$53+'难度参数'!$E$54+'难度参数'!$E$55+'难度参数'!$E$56),1,0)+IF(H569&gt;=('难度参数'!$E$52+'难度参数'!$E$53+'难度参数'!$E$54+'难度参数'!$E$55+'难度参数'!$E$56+'难度参数'!$E$57),1,0)</x:f>
        <x:v>6</x:v>
      </x:c>
      <x:c r="W569" s="62" t="str">
        <x:f>IF(L569&gt;'难度参数'!$E$51,"仅出怪已超目标","还需实测")</x:f>
        <x:v>仅出怪已超目标</x:v>
      </x:c>
      <x:c r="X569" s="119" t="n">
        <x:f>IF(1&gt;D569,0,MAX(2,MIN('难度参数'!$E$12,ROUND(('难度参数'!$E$18*POWER(A569,'难度参数'!$E$19)/D569*(0.85+0.3*(1-1)/MAX(1,D569-1))),0)+F569)))</x:f>
        <x:v>37</x:v>
      </x:c>
      <x:c r="Y569" s="119" t="n">
        <x:f>IF(1&gt;D569,0,ROUND(('难度参数'!$E$13*POWER(A569,'难度参数'!$E$20)*MIN('难度参数'!$E$23,1+MAX(0,A569-'难度参数'!$E$21)*'难度参数'!$E$22))*(36+1*7)/(36+7*(D569+1)/2)*E569,0))</x:f>
        <x:v>8669</x:v>
      </x:c>
      <x:c r="Z569" s="119" t="n">
        <x:f>IF(X569=0,0,(X569-IF(1=D569,1,0))*ROUND(Y569*VLOOKUP(INDEX('章节与怪物'!$E$31:$K$37,B569,1),'章节与怪物'!$A$41:$F$44,2,FALSE),0)+IF(1=D569,ROUND(Y569*'难度参数'!$E$28*'章节与怪物'!$E$17,0),0))</x:f>
        <x:v>320753</x:v>
      </x:c>
      <x:c r="AA569" s="119" t="n">
        <x:f>IF(X569=0,0,(X569-IF(1=D569,1,0))*VLOOKUP(INDEX('章节与怪物'!$E$31:$K$37,B569,1),'章节与怪物'!$A$41:$F$44,4,FALSE)+IF(1=D569,'难度参数'!$E$30,0))</x:f>
        <x:v>666</x:v>
      </x:c>
      <x:c r="AB569" s="119" t="n">
        <x:f>IF(2&gt;D569,0,MAX(2,MIN('难度参数'!$E$12,ROUND(('难度参数'!$E$18*POWER(A569,'难度参数'!$E$19)/D569*(0.85+0.3*(2-1)/MAX(1,D569-1))),0)+F569)))</x:f>
        <x:v>39</x:v>
      </x:c>
      <x:c r="AC569" s="119" t="n">
        <x:f>IF(2&gt;D569,0,ROUND(('难度参数'!$E$13*POWER(A569,'难度参数'!$E$20)*MIN('难度参数'!$E$23,1+MAX(0,A569-'难度参数'!$E$21)*'难度参数'!$E$22))*(36+2*7)/(36+7*(D569+1)/2)*E569,0))</x:f>
        <x:v>10081</x:v>
      </x:c>
      <x:c r="AD569" s="119" t="n">
        <x:f>IF(AB569=0,0,(AB569-IF(2=D569,1,0))*ROUND(AC569*VLOOKUP(INDEX('章节与怪物'!$E$31:$K$37,B569,2),'章节与怪物'!$A$41:$F$44,2,FALSE),0)+IF(2=D569,ROUND(AC569*'难度参数'!$E$28*'章节与怪物'!$E$17,0),0))</x:f>
        <x:v>393159</x:v>
      </x:c>
      <x:c r="AE569" s="119" t="n">
        <x:f>IF(AB569=0,0,(AB569-IF(2=D569,1,0))*VLOOKUP(INDEX('章节与怪物'!$E$31:$K$37,B569,2),'章节与怪物'!$A$41:$F$44,4,FALSE)+IF(2=D569,'难度参数'!$E$30,0))</x:f>
        <x:v>702</x:v>
      </x:c>
      <x:c r="AF569" s="119" t="n">
        <x:f>IF(3&gt;D569,0,MAX(2,MIN('难度参数'!$E$12,ROUND(('难度参数'!$E$18*POWER(A569,'难度参数'!$E$19)/D569*(0.85+0.3*(3-1)/MAX(1,D569-1))),0)+F569)))</x:f>
        <x:v>41</x:v>
      </x:c>
      <x:c r="AG569" s="119" t="n">
        <x:f>IF(3&gt;D569,0,ROUND(('难度参数'!$E$13*POWER(A569,'难度参数'!$E$20)*MIN('难度参数'!$E$23,1+MAX(0,A569-'难度参数'!$E$21)*'难度参数'!$E$22))*(36+3*7)/(36+7*(D569+1)/2)*E569,0))</x:f>
        <x:v>11492</x:v>
      </x:c>
      <x:c r="AH569" s="119" t="n">
        <x:f>IF(AF569=0,0,(AF569-IF(3=D569,1,0))*ROUND(AG569*VLOOKUP(INDEX('章节与怪物'!$E$31:$K$37,B569,3),'章节与怪物'!$A$41:$F$44,2,FALSE),0)+IF(3=D569,ROUND(AG569*'难度参数'!$E$28*'章节与怪物'!$E$17,0),0))</x:f>
        <x:v>339234</x:v>
      </x:c>
      <x:c r="AI569" s="119" t="n">
        <x:f>IF(AF569=0,0,(AF569-IF(3=D569,1,0))*VLOOKUP(INDEX('章节与怪物'!$E$31:$K$37,B569,3),'章节与怪物'!$A$41:$F$44,4,FALSE)+IF(3=D569,'难度参数'!$E$30,0))</x:f>
        <x:v>820</x:v>
      </x:c>
      <x:c r="AJ569" s="119" t="n">
        <x:f>IF(4&gt;D569,0,MAX(2,MIN('难度参数'!$E$12,ROUND(('难度参数'!$E$18*POWER(A569,'难度参数'!$E$19)/D569*(0.85+0.3*(4-1)/MAX(1,D569-1))),0)+F569)))</x:f>
        <x:v>43</x:v>
      </x:c>
      <x:c r="AK569" s="119" t="n">
        <x:f>IF(4&gt;D569,0,ROUND(('难度参数'!$E$13*POWER(A569,'难度参数'!$E$20)*MIN('难度参数'!$E$23,1+MAX(0,A569-'难度参数'!$E$21)*'难度参数'!$E$22))*(36+4*7)/(36+7*(D569+1)/2)*E569,0))</x:f>
        <x:v>12903</x:v>
      </x:c>
      <x:c r="AL569" s="119" t="n">
        <x:f>IF(AJ569=0,0,(AJ569-IF(4=D569,1,0))*ROUND(AK569*VLOOKUP(INDEX('章节与怪物'!$E$31:$K$37,B569,4),'章节与怪物'!$A$41:$F$44,2,FALSE),0)+IF(4=D569,ROUND(AK569*'难度参数'!$E$28*'章节与怪物'!$E$17,0),0))</x:f>
        <x:v>943205</x:v>
      </x:c>
      <x:c r="AM569" s="119" t="n">
        <x:f>IF(AJ569=0,0,(AJ569-IF(4=D569,1,0))*VLOOKUP(INDEX('章节与怪物'!$E$31:$K$37,B569,4),'章节与怪物'!$A$41:$F$44,4,FALSE)+IF(4=D569,'难度参数'!$E$30,0))</x:f>
        <x:v>1204</x:v>
      </x:c>
      <x:c r="AN569" s="119" t="n">
        <x:f>IF(5&gt;D569,0,MAX(2,MIN('难度参数'!$E$12,ROUND(('难度参数'!$E$18*POWER(A569,'难度参数'!$E$19)/D569*(0.85+0.3*(5-1)/MAX(1,D569-1))),0)+F569)))</x:f>
        <x:v>45</x:v>
      </x:c>
      <x:c r="AO569" s="119" t="n">
        <x:f>IF(5&gt;D569,0,ROUND(('难度参数'!$E$13*POWER(A569,'难度参数'!$E$20)*MIN('难度参数'!$E$23,1+MAX(0,A569-'难度参数'!$E$21)*'难度参数'!$E$22))*(36+5*7)/(36+7*(D569+1)/2)*E569,0))</x:f>
        <x:v>14315</x:v>
      </x:c>
      <x:c r="AP569" s="119" t="n">
        <x:f>IF(AN569=0,0,(AN569-IF(5=D569,1,0))*ROUND(AO569*VLOOKUP(INDEX('章节与怪物'!$E$31:$K$37,B569,5),'章节与怪物'!$A$41:$F$44,2,FALSE),0)+IF(5=D569,ROUND(AO569*'难度参数'!$E$28*'章节与怪物'!$E$17,0),0))</x:f>
        <x:v>869625</x:v>
      </x:c>
      <x:c r="AQ569" s="119" t="n">
        <x:f>IF(AN569=0,0,(AN569-IF(5=D569,1,0))*VLOOKUP(INDEX('章节与怪物'!$E$31:$K$37,B569,5),'章节与怪物'!$A$41:$F$44,4,FALSE)+IF(5=D569,'难度参数'!$E$30,0))</x:f>
        <x:v>1530</x:v>
      </x:c>
      <x:c r="AR569" s="119" t="n">
        <x:f>IF(6&gt;D569,0,MAX(2,MIN('难度参数'!$E$12,ROUND(('难度参数'!$E$18*POWER(A569,'难度参数'!$E$19)/D569*(0.85+0.3*(6-1)/MAX(1,D569-1))),0)+F569)))</x:f>
        <x:v>48</x:v>
      </x:c>
      <x:c r="AS569" s="119" t="n">
        <x:f>IF(6&gt;D569,0,ROUND(('难度参数'!$E$13*POWER(A569,'难度参数'!$E$20)*MIN('难度参数'!$E$23,1+MAX(0,A569-'难度参数'!$E$21)*'难度参数'!$E$22))*(36+6*7)/(36+7*(D569+1)/2)*E569,0))</x:f>
        <x:v>15726</x:v>
      </x:c>
      <x:c r="AT569" s="119" t="n">
        <x:f>IF(AR569=0,0,(AR569-IF(6=D569,1,0))*ROUND(AS569*VLOOKUP(INDEX('章节与怪物'!$E$31:$K$37,B569,6),'章节与怪物'!$A$41:$F$44,2,FALSE),0)+IF(6=D569,ROUND(AS569*'难度参数'!$E$28*'章节与怪物'!$E$17,0),0))</x:f>
        <x:v>543504</x:v>
      </x:c>
      <x:c r="AU569" s="119" t="n">
        <x:f>IF(AR569=0,0,(AR569-IF(6=D569,1,0))*VLOOKUP(INDEX('章节与怪物'!$E$31:$K$37,B569,6),'章节与怪物'!$A$41:$F$44,4,FALSE)+IF(6=D569,'难度参数'!$E$30,0))</x:f>
        <x:v>960</x:v>
      </x:c>
      <x:c r="AV569" s="119" t="n">
        <x:f>IF(7&gt;D569,0,MAX(2,MIN('难度参数'!$E$12,ROUND(('难度参数'!$E$18*POWER(A569,'难度参数'!$E$19)/D569*(0.85+0.3*(7-1)/MAX(1,D569-1))),0)+F569)))</x:f>
        <x:v>50</x:v>
      </x:c>
      <x:c r="AW569" s="119" t="n">
        <x:f>IF(7&gt;D569,0,ROUND(('难度参数'!$E$13*POWER(A569,'难度参数'!$E$20)*MIN('难度参数'!$E$23,1+MAX(0,A569-'难度参数'!$E$21)*'难度参数'!$E$22))*(36+7*7)/(36+7*(D569+1)/2)*E569,0))</x:f>
        <x:v>17137</x:v>
      </x:c>
      <x:c r="AX569" s="119" t="n">
        <x:f>IF(AV569=0,0,(AV569-IF(7=D569,1,0))*ROUND(AW569*VLOOKUP(INDEX('章节与怪物'!$E$31:$K$37,B569,7),'章节与怪物'!$A$41:$F$44,2,FALSE),0)+IF(7=D569,ROUND(AW569*'难度参数'!$E$28*'章节与怪物'!$E$17,0),0))</x:f>
        <x:v>1544049</x:v>
      </x:c>
      <x:c r="AY569" s="119" t="n">
        <x:f>IF(AV569=0,0,(AV569-IF(7=D569,1,0))*VLOOKUP(INDEX('章节与怪物'!$E$31:$K$37,B569,7),'章节与怪物'!$A$41:$F$44,4,FALSE)+IF(7=D569,'难度参数'!$E$30,0))</x:f>
        <x:v>1572</x:v>
      </x:c>
    </x:row>
    <x:row r="570" ht="23" customHeight="1">
      <x:c r="A570" s="119" t="n">
        <x:v>564</x:v>
      </x:c>
      <x:c r="B570" s="119" t="n">
        <x:f>MOD(INT((A570-1)/5),7)+1</x:f>
        <x:v>1</x:v>
      </x:c>
      <x:c r="C570" s="62" t="str">
        <x:f>INDEX('章节与怪物'!$B$31:$B$37,B570)</x:f>
        <x:v>冰雪荒原</x:v>
      </x:c>
      <x:c r="D570" s="119" t="n">
        <x:f>MIN('难度参数'!$E$8,MAX('难度参数'!$E$7,A570))</x:f>
        <x:v>7</x:v>
      </x:c>
      <x:c r="E570" s="106" t="n">
        <x:v>1</x:v>
      </x:c>
      <x:c r="F570" s="106" t="n">
        <x:v>0</x:v>
      </x:c>
      <x:c r="G570" s="106" t="n">
        <x:v>1</x:v>
      </x:c>
      <x:c r="H570" s="119" t="n">
        <x:f>SUM(X570,AB570,AF570,AJ570,AN570,AR570,AV570)</x:f>
        <x:v>303</x:v>
      </x:c>
      <x:c r="I570" s="119" t="n">
        <x:f>SUM(Z570,AD570,AH570,AL570,AP570,AT570,AX570)</x:f>
        <x:v>4959900</x:v>
      </x:c>
      <x:c r="J570" s="119" t="n">
        <x:f>ROUND(INDEX(X570:AY570,1,(D570-1)*4+2)*'难度参数'!$E$28*'章节与怪物'!$E$17,0)</x:f>
        <x:v>116681</x:v>
      </x:c>
      <x:c r="K570" s="119" t="n">
        <x:f>SUM(AA570,AE570,AI570,AM570,AQ570,AU570,AY570)</x:f>
        <x:v>7454</x:v>
      </x:c>
      <x:c r="L570" s="62" t="n">
        <x:f>H570*(ROUNDUP('难度参数'!$E$24/('难度参数'!$E$26*'难度参数'!$E$27),0)*'难度参数'!$E$26)/60</x:f>
        <x:v>4.04</x:v>
      </x:c>
      <x:c r="M570" s="62" t="n">
        <x:f>L570+D570*('难度参数'!$E$49+'难度参数'!$E$50)/60</x:f>
        <x:v>5.206666666666667</x:v>
      </x:c>
      <x:c r="N570" s="119" t="n">
        <x:f>ROUNDDOWN(('经济参数'!$E$20+A570*'经济参数'!$E$21)*G570,0)</x:f>
        <x:v>11460</x:v>
      </x:c>
      <x:c r="O570" s="119" t="n">
        <x:f>ROUNDDOWN(MIN('经济参数'!$E$24,'经济参数'!$E$22+A570*'经济参数'!$E$23)*G570,0)</x:f>
        <x:v>0</x:v>
      </x:c>
      <x:c r="P570" s="119" t="n">
        <x:f>ROUNDDOWN((IF(A570&gt;='材料与任务'!$E$31,'材料与任务'!$E$32,IF(A570&gt;='材料与任务'!$E$25,'材料与任务'!$E$26,IF(A570&gt;='材料与任务'!$E$19,'材料与任务'!$E$20,IF(A570&gt;='材料与任务'!$E$13,'材料与任务'!$E$14,'材料与任务'!$E$8)))))*G570,0)</x:f>
        <x:v>6</x:v>
      </x:c>
      <x:c r="Q570" s="119" t="n">
        <x:f>ROUNDDOWN((IF(A570&gt;='材料与任务'!$E$31,'材料与任务'!$E$33,IF(A570&gt;='材料与任务'!$E$25,'材料与任务'!$E$27,IF(A570&gt;='材料与任务'!$E$19,'材料与任务'!$E$21,IF(A570&gt;='材料与任务'!$E$13,'材料与任务'!$E$15,'材料与任务'!$E$9)))))*G570,0)</x:f>
        <x:v>3</x:v>
      </x:c>
      <x:c r="R570" s="110" t="n">
        <x:f>'装备掉落'!$B$38</x:f>
        <x:v>0.6872058758851213</x:v>
      </x:c>
      <x:c r="S570" s="119" t="n">
        <x:f>MAX(IF(VLOOKUP(A570,'装备掉落'!$A$29:$H$34,2,TRUE)&gt;0,1,0),IF(VLOOKUP(A570,'装备掉落'!$A$29:$H$34,3,TRUE)&gt;0,2,0),IF(VLOOKUP(A570,'装备掉落'!$A$29:$H$34,4,TRUE)&gt;0,3,0),IF(VLOOKUP(A570,'装备掉落'!$A$29:$H$34,5,TRUE)&gt;0,4,0),IF(VLOOKUP(A570,'装备掉落'!$A$29:$H$34,6,TRUE)&gt;0,5,0),IF(VLOOKUP(A570,'装备掉落'!$A$29:$H$34,7,TRUE)&gt;0,6,0),IF(VLOOKUP(A570,'装备掉落'!$A$29:$H$34,8,TRUE)&gt;0,7,0))</x:f>
        <x:v>7</x:v>
      </x:c>
      <x:c r="T570" s="119" t="n">
        <x:f>MIN(7,S570+'经济参数'!$E$70)</x:f>
        <x:v>7</x:v>
      </x:c>
      <x:c r="U570" s="119" t="n">
        <x:f>MIN(7,S570+'经济参数'!$E$71)</x:f>
        <x:v>7</x:v>
      </x:c>
      <x:c r="V570" s="119" t="n">
        <x:f>IF(H570&gt;=('难度参数'!$E$52),1,0)+IF(H570&gt;=('难度参数'!$E$52+'难度参数'!$E$53),1,0)+IF(H570&gt;=('难度参数'!$E$52+'难度参数'!$E$53+'难度参数'!$E$54),1,0)+IF(H570&gt;=('难度参数'!$E$52+'难度参数'!$E$53+'难度参数'!$E$54+'难度参数'!$E$55),1,0)+IF(H570&gt;=('难度参数'!$E$52+'难度参数'!$E$53+'难度参数'!$E$54+'难度参数'!$E$55+'难度参数'!$E$56),1,0)+IF(H570&gt;=('难度参数'!$E$52+'难度参数'!$E$53+'难度参数'!$E$54+'难度参数'!$E$55+'难度参数'!$E$56+'难度参数'!$E$57),1,0)</x:f>
        <x:v>6</x:v>
      </x:c>
      <x:c r="W570" s="62" t="str">
        <x:f>IF(L570&gt;'难度参数'!$E$51,"仅出怪已超目标","还需实测")</x:f>
        <x:v>仅出怪已超目标</x:v>
      </x:c>
      <x:c r="X570" s="119" t="n">
        <x:f>IF(1&gt;D570,0,MAX(2,MIN('难度参数'!$E$12,ROUND(('难度参数'!$E$18*POWER(A570,'难度参数'!$E$19)/D570*(0.85+0.3*(1-1)/MAX(1,D570-1))),0)+F570)))</x:f>
        <x:v>37</x:v>
      </x:c>
      <x:c r="Y570" s="119" t="n">
        <x:f>IF(1&gt;D570,0,ROUND(('难度参数'!$E$13*POWER(A570,'难度参数'!$E$20)*MIN('难度参数'!$E$23,1+MAX(0,A570-'难度参数'!$E$21)*'难度参数'!$E$22))*(36+1*7)/(36+7*(D570+1)/2)*E570,0))</x:f>
        <x:v>8680</x:v>
      </x:c>
      <x:c r="Z570" s="119" t="n">
        <x:f>IF(X570=0,0,(X570-IF(1=D570,1,0))*ROUND(Y570*VLOOKUP(INDEX('章节与怪物'!$E$31:$K$37,B570,1),'章节与怪物'!$A$41:$F$44,2,FALSE),0)+IF(1=D570,ROUND(Y570*'难度参数'!$E$28*'章节与怪物'!$E$17,0),0))</x:f>
        <x:v>321160</x:v>
      </x:c>
      <x:c r="AA570" s="119" t="n">
        <x:f>IF(X570=0,0,(X570-IF(1=D570,1,0))*VLOOKUP(INDEX('章节与怪物'!$E$31:$K$37,B570,1),'章节与怪物'!$A$41:$F$44,4,FALSE)+IF(1=D570,'难度参数'!$E$30,0))</x:f>
        <x:v>666</x:v>
      </x:c>
      <x:c r="AB570" s="119" t="n">
        <x:f>IF(2&gt;D570,0,MAX(2,MIN('难度参数'!$E$12,ROUND(('难度参数'!$E$18*POWER(A570,'难度参数'!$E$19)/D570*(0.85+0.3*(2-1)/MAX(1,D570-1))),0)+F570)))</x:f>
        <x:v>39</x:v>
      </x:c>
      <x:c r="AC570" s="119" t="n">
        <x:f>IF(2&gt;D570,0,ROUND(('难度参数'!$E$13*POWER(A570,'难度参数'!$E$20)*MIN('难度参数'!$E$23,1+MAX(0,A570-'难度参数'!$E$21)*'难度参数'!$E$22))*(36+2*7)/(36+7*(D570+1)/2)*E570,0))</x:f>
        <x:v>10094</x:v>
      </x:c>
      <x:c r="AD570" s="119" t="n">
        <x:f>IF(AB570=0,0,(AB570-IF(2=D570,1,0))*ROUND(AC570*VLOOKUP(INDEX('章节与怪物'!$E$31:$K$37,B570,2),'章节与怪物'!$A$41:$F$44,2,FALSE),0)+IF(2=D570,ROUND(AC570*'难度参数'!$E$28*'章节与怪物'!$E$17,0),0))</x:f>
        <x:v>393666</x:v>
      </x:c>
      <x:c r="AE570" s="119" t="n">
        <x:f>IF(AB570=0,0,(AB570-IF(2=D570,1,0))*VLOOKUP(INDEX('章节与怪物'!$E$31:$K$37,B570,2),'章节与怪物'!$A$41:$F$44,4,FALSE)+IF(2=D570,'难度参数'!$E$30,0))</x:f>
        <x:v>702</x:v>
      </x:c>
      <x:c r="AF570" s="119" t="n">
        <x:f>IF(3&gt;D570,0,MAX(2,MIN('难度参数'!$E$12,ROUND(('难度参数'!$E$18*POWER(A570,'难度参数'!$E$19)/D570*(0.85+0.3*(3-1)/MAX(1,D570-1))),0)+F570)))</x:f>
        <x:v>41</x:v>
      </x:c>
      <x:c r="AG570" s="119" t="n">
        <x:f>IF(3&gt;D570,0,ROUND(('难度参数'!$E$13*POWER(A570,'难度参数'!$E$20)*MIN('难度参数'!$E$23,1+MAX(0,A570-'难度参数'!$E$21)*'难度参数'!$E$22))*(36+3*7)/(36+7*(D570+1)/2)*E570,0))</x:f>
        <x:v>11507</x:v>
      </x:c>
      <x:c r="AH570" s="119" t="n">
        <x:f>IF(AF570=0,0,(AF570-IF(3=D570,1,0))*ROUND(AG570*VLOOKUP(INDEX('章节与怪物'!$E$31:$K$37,B570,3),'章节与怪物'!$A$41:$F$44,2,FALSE),0)+IF(3=D570,ROUND(AG570*'难度参数'!$E$28*'章节与怪物'!$E$17,0),0))</x:f>
        <x:v>339685</x:v>
      </x:c>
      <x:c r="AI570" s="119" t="n">
        <x:f>IF(AF570=0,0,(AF570-IF(3=D570,1,0))*VLOOKUP(INDEX('章节与怪物'!$E$31:$K$37,B570,3),'章节与怪物'!$A$41:$F$44,4,FALSE)+IF(3=D570,'难度参数'!$E$30,0))</x:f>
        <x:v>820</x:v>
      </x:c>
      <x:c r="AJ570" s="119" t="n">
        <x:f>IF(4&gt;D570,0,MAX(2,MIN('难度参数'!$E$12,ROUND(('难度参数'!$E$18*POWER(A570,'难度参数'!$E$19)/D570*(0.85+0.3*(4-1)/MAX(1,D570-1))),0)+F570)))</x:f>
        <x:v>43</x:v>
      </x:c>
      <x:c r="AK570" s="119" t="n">
        <x:f>IF(4&gt;D570,0,ROUND(('难度参数'!$E$13*POWER(A570,'难度参数'!$E$20)*MIN('难度参数'!$E$23,1+MAX(0,A570-'难度参数'!$E$21)*'难度参数'!$E$22))*(36+4*7)/(36+7*(D570+1)/2)*E570,0))</x:f>
        <x:v>12920</x:v>
      </x:c>
      <x:c r="AL570" s="119" t="n">
        <x:f>IF(AJ570=0,0,(AJ570-IF(4=D570,1,0))*ROUND(AK570*VLOOKUP(INDEX('章节与怪物'!$E$31:$K$37,B570,4),'章节与怪物'!$A$41:$F$44,2,FALSE),0)+IF(4=D570,ROUND(AK570*'难度参数'!$E$28*'章节与怪物'!$E$17,0),0))</x:f>
        <x:v>944452</x:v>
      </x:c>
      <x:c r="AM570" s="119" t="n">
        <x:f>IF(AJ570=0,0,(AJ570-IF(4=D570,1,0))*VLOOKUP(INDEX('章节与怪物'!$E$31:$K$37,B570,4),'章节与怪物'!$A$41:$F$44,4,FALSE)+IF(4=D570,'难度参数'!$E$30,0))</x:f>
        <x:v>1204</x:v>
      </x:c>
      <x:c r="AN570" s="119" t="n">
        <x:f>IF(5&gt;D570,0,MAX(2,MIN('难度参数'!$E$12,ROUND(('难度参数'!$E$18*POWER(A570,'难度参数'!$E$19)/D570*(0.85+0.3*(5-1)/MAX(1,D570-1))),0)+F570)))</x:f>
        <x:v>45</x:v>
      </x:c>
      <x:c r="AO570" s="119" t="n">
        <x:f>IF(5&gt;D570,0,ROUND(('难度参数'!$E$13*POWER(A570,'难度参数'!$E$20)*MIN('难度参数'!$E$23,1+MAX(0,A570-'难度参数'!$E$21)*'难度参数'!$E$22))*(36+5*7)/(36+7*(D570+1)/2)*E570,0))</x:f>
        <x:v>14333</x:v>
      </x:c>
      <x:c r="AP570" s="119" t="n">
        <x:f>IF(AN570=0,0,(AN570-IF(5=D570,1,0))*ROUND(AO570*VLOOKUP(INDEX('章节与怪物'!$E$31:$K$37,B570,5),'章节与怪物'!$A$41:$F$44,2,FALSE),0)+IF(5=D570,ROUND(AO570*'难度参数'!$E$28*'章节与怪物'!$E$17,0),0))</x:f>
        <x:v>870750</x:v>
      </x:c>
      <x:c r="AQ570" s="119" t="n">
        <x:f>IF(AN570=0,0,(AN570-IF(5=D570,1,0))*VLOOKUP(INDEX('章节与怪物'!$E$31:$K$37,B570,5),'章节与怪物'!$A$41:$F$44,4,FALSE)+IF(5=D570,'难度参数'!$E$30,0))</x:f>
        <x:v>1530</x:v>
      </x:c>
      <x:c r="AR570" s="119" t="n">
        <x:f>IF(6&gt;D570,0,MAX(2,MIN('难度参数'!$E$12,ROUND(('难度参数'!$E$18*POWER(A570,'难度参数'!$E$19)/D570*(0.85+0.3*(6-1)/MAX(1,D570-1))),0)+F570)))</x:f>
        <x:v>48</x:v>
      </x:c>
      <x:c r="AS570" s="119" t="n">
        <x:f>IF(6&gt;D570,0,ROUND(('难度参数'!$E$13*POWER(A570,'难度参数'!$E$20)*MIN('难度参数'!$E$23,1+MAX(0,A570-'难度参数'!$E$21)*'难度参数'!$E$22))*(36+6*7)/(36+7*(D570+1)/2)*E570,0))</x:f>
        <x:v>15746</x:v>
      </x:c>
      <x:c r="AT570" s="119" t="n">
        <x:f>IF(AR570=0,0,(AR570-IF(6=D570,1,0))*ROUND(AS570*VLOOKUP(INDEX('章节与怪物'!$E$31:$K$37,B570,6),'章节与怪物'!$A$41:$F$44,2,FALSE),0)+IF(6=D570,ROUND(AS570*'难度参数'!$E$28*'章节与怪物'!$E$17,0),0))</x:f>
        <x:v>544176</x:v>
      </x:c>
      <x:c r="AU570" s="119" t="n">
        <x:f>IF(AR570=0,0,(AR570-IF(6=D570,1,0))*VLOOKUP(INDEX('章节与怪物'!$E$31:$K$37,B570,6),'章节与怪物'!$A$41:$F$44,4,FALSE)+IF(6=D570,'难度参数'!$E$30,0))</x:f>
        <x:v>960</x:v>
      </x:c>
      <x:c r="AV570" s="119" t="n">
        <x:f>IF(7&gt;D570,0,MAX(2,MIN('难度参数'!$E$12,ROUND(('难度参数'!$E$18*POWER(A570,'难度参数'!$E$19)/D570*(0.85+0.3*(7-1)/MAX(1,D570-1))),0)+F570)))</x:f>
        <x:v>50</x:v>
      </x:c>
      <x:c r="AW570" s="119" t="n">
        <x:f>IF(7&gt;D570,0,ROUND(('难度参数'!$E$13*POWER(A570,'难度参数'!$E$20)*MIN('难度参数'!$E$23,1+MAX(0,A570-'难度参数'!$E$21)*'难度参数'!$E$22))*(36+7*7)/(36+7*(D570+1)/2)*E570,0))</x:f>
        <x:v>17159</x:v>
      </x:c>
      <x:c r="AX570" s="119" t="n">
        <x:f>IF(AV570=0,0,(AV570-IF(7=D570,1,0))*ROUND(AW570*VLOOKUP(INDEX('章节与怪物'!$E$31:$K$37,B570,7),'章节与怪物'!$A$41:$F$44,2,FALSE),0)+IF(7=D570,ROUND(AW570*'难度参数'!$E$28*'章节与怪物'!$E$17,0),0))</x:f>
        <x:v>1546011</x:v>
      </x:c>
      <x:c r="AY570" s="119" t="n">
        <x:f>IF(AV570=0,0,(AV570-IF(7=D570,1,0))*VLOOKUP(INDEX('章节与怪物'!$E$31:$K$37,B570,7),'章节与怪物'!$A$41:$F$44,4,FALSE)+IF(7=D570,'难度参数'!$E$30,0))</x:f>
        <x:v>1572</x:v>
      </x:c>
    </x:row>
    <x:row r="571" ht="23" customHeight="1">
      <x:c r="A571" s="119" t="n">
        <x:v>565</x:v>
      </x:c>
      <x:c r="B571" s="119" t="n">
        <x:f>MOD(INT((A571-1)/5),7)+1</x:f>
        <x:v>1</x:v>
      </x:c>
      <x:c r="C571" s="62" t="str">
        <x:f>INDEX('章节与怪物'!$B$31:$B$37,B571)</x:f>
        <x:v>冰雪荒原</x:v>
      </x:c>
      <x:c r="D571" s="119" t="n">
        <x:f>MIN('难度参数'!$E$8,MAX('难度参数'!$E$7,A571))</x:f>
        <x:v>7</x:v>
      </x:c>
      <x:c r="E571" s="106" t="n">
        <x:v>1</x:v>
      </x:c>
      <x:c r="F571" s="106" t="n">
        <x:v>0</x:v>
      </x:c>
      <x:c r="G571" s="106" t="n">
        <x:v>1</x:v>
      </x:c>
      <x:c r="H571" s="119" t="n">
        <x:f>SUM(X571,AB571,AF571,AJ571,AN571,AR571,AV571)</x:f>
        <x:v>303</x:v>
      </x:c>
      <x:c r="I571" s="119" t="n">
        <x:f>SUM(Z571,AD571,AH571,AL571,AP571,AT571,AX571)</x:f>
        <x:v>4966195</x:v>
      </x:c>
      <x:c r="J571" s="119" t="n">
        <x:f>ROUND(INDEX(X571:AY571,1,(D571-1)*4+2)*'难度参数'!$E$28*'章节与怪物'!$E$17,0)</x:f>
        <x:v>116831</x:v>
      </x:c>
      <x:c r="K571" s="119" t="n">
        <x:f>SUM(AA571,AE571,AI571,AM571,AQ571,AU571,AY571)</x:f>
        <x:v>7454</x:v>
      </x:c>
      <x:c r="L571" s="62" t="n">
        <x:f>H571*(ROUNDUP('难度参数'!$E$24/('难度参数'!$E$26*'难度参数'!$E$27),0)*'难度参数'!$E$26)/60</x:f>
        <x:v>4.04</x:v>
      </x:c>
      <x:c r="M571" s="62" t="n">
        <x:f>L571+D571*('难度参数'!$E$49+'难度参数'!$E$50)/60</x:f>
        <x:v>5.206666666666667</x:v>
      </x:c>
      <x:c r="N571" s="119" t="n">
        <x:f>ROUNDDOWN(('经济参数'!$E$20+A571*'经济参数'!$E$21)*G571,0)</x:f>
        <x:v>11480</x:v>
      </x:c>
      <x:c r="O571" s="119" t="n">
        <x:f>ROUNDDOWN(MIN('经济参数'!$E$24,'经济参数'!$E$22+A571*'经济参数'!$E$23)*G571,0)</x:f>
        <x:v>0</x:v>
      </x:c>
      <x:c r="P571" s="119" t="n">
        <x:f>ROUNDDOWN((IF(A571&gt;='材料与任务'!$E$31,'材料与任务'!$E$32,IF(A571&gt;='材料与任务'!$E$25,'材料与任务'!$E$26,IF(A571&gt;='材料与任务'!$E$19,'材料与任务'!$E$20,IF(A571&gt;='材料与任务'!$E$13,'材料与任务'!$E$14,'材料与任务'!$E$8)))))*G571,0)</x:f>
        <x:v>6</x:v>
      </x:c>
      <x:c r="Q571" s="119" t="n">
        <x:f>ROUNDDOWN((IF(A571&gt;='材料与任务'!$E$31,'材料与任务'!$E$33,IF(A571&gt;='材料与任务'!$E$25,'材料与任务'!$E$27,IF(A571&gt;='材料与任务'!$E$19,'材料与任务'!$E$21,IF(A571&gt;='材料与任务'!$E$13,'材料与任务'!$E$15,'材料与任务'!$E$9)))))*G571,0)</x:f>
        <x:v>3</x:v>
      </x:c>
      <x:c r="R571" s="110" t="n">
        <x:f>'装备掉落'!$B$38</x:f>
        <x:v>0.6872058758851213</x:v>
      </x:c>
      <x:c r="S571" s="119" t="n">
        <x:f>MAX(IF(VLOOKUP(A571,'装备掉落'!$A$29:$H$34,2,TRUE)&gt;0,1,0),IF(VLOOKUP(A571,'装备掉落'!$A$29:$H$34,3,TRUE)&gt;0,2,0),IF(VLOOKUP(A571,'装备掉落'!$A$29:$H$34,4,TRUE)&gt;0,3,0),IF(VLOOKUP(A571,'装备掉落'!$A$29:$H$34,5,TRUE)&gt;0,4,0),IF(VLOOKUP(A571,'装备掉落'!$A$29:$H$34,6,TRUE)&gt;0,5,0),IF(VLOOKUP(A571,'装备掉落'!$A$29:$H$34,7,TRUE)&gt;0,6,0),IF(VLOOKUP(A571,'装备掉落'!$A$29:$H$34,8,TRUE)&gt;0,7,0))</x:f>
        <x:v>7</x:v>
      </x:c>
      <x:c r="T571" s="119" t="n">
        <x:f>MIN(7,S571+'经济参数'!$E$70)</x:f>
        <x:v>7</x:v>
      </x:c>
      <x:c r="U571" s="119" t="n">
        <x:f>MIN(7,S571+'经济参数'!$E$71)</x:f>
        <x:v>7</x:v>
      </x:c>
      <x:c r="V571" s="119" t="n">
        <x:f>IF(H571&gt;=('难度参数'!$E$52),1,0)+IF(H571&gt;=('难度参数'!$E$52+'难度参数'!$E$53),1,0)+IF(H571&gt;=('难度参数'!$E$52+'难度参数'!$E$53+'难度参数'!$E$54),1,0)+IF(H571&gt;=('难度参数'!$E$52+'难度参数'!$E$53+'难度参数'!$E$54+'难度参数'!$E$55),1,0)+IF(H571&gt;=('难度参数'!$E$52+'难度参数'!$E$53+'难度参数'!$E$54+'难度参数'!$E$55+'难度参数'!$E$56),1,0)+IF(H571&gt;=('难度参数'!$E$52+'难度参数'!$E$53+'难度参数'!$E$54+'难度参数'!$E$55+'难度参数'!$E$56+'难度参数'!$E$57),1,0)</x:f>
        <x:v>6</x:v>
      </x:c>
      <x:c r="W571" s="62" t="str">
        <x:f>IF(L571&gt;'难度参数'!$E$51,"仅出怪已超目标","还需实测")</x:f>
        <x:v>仅出怪已超目标</x:v>
      </x:c>
      <x:c r="X571" s="119" t="n">
        <x:f>IF(1&gt;D571,0,MAX(2,MIN('难度参数'!$E$12,ROUND(('难度参数'!$E$18*POWER(A571,'难度参数'!$E$19)/D571*(0.85+0.3*(1-1)/MAX(1,D571-1))),0)+F571)))</x:f>
        <x:v>37</x:v>
      </x:c>
      <x:c r="Y571" s="119" t="n">
        <x:f>IF(1&gt;D571,0,ROUND(('难度参数'!$E$13*POWER(A571,'难度参数'!$E$20)*MIN('难度参数'!$E$23,1+MAX(0,A571-'难度参数'!$E$21)*'难度参数'!$E$22))*(36+1*7)/(36+7*(D571+1)/2)*E571,0))</x:f>
        <x:v>8692</x:v>
      </x:c>
      <x:c r="Z571" s="119" t="n">
        <x:f>IF(X571=0,0,(X571-IF(1=D571,1,0))*ROUND(Y571*VLOOKUP(INDEX('章节与怪物'!$E$31:$K$37,B571,1),'章节与怪物'!$A$41:$F$44,2,FALSE),0)+IF(1=D571,ROUND(Y571*'难度参数'!$E$28*'章节与怪物'!$E$17,0),0))</x:f>
        <x:v>321604</x:v>
      </x:c>
      <x:c r="AA571" s="119" t="n">
        <x:f>IF(X571=0,0,(X571-IF(1=D571,1,0))*VLOOKUP(INDEX('章节与怪物'!$E$31:$K$37,B571,1),'章节与怪物'!$A$41:$F$44,4,FALSE)+IF(1=D571,'难度参数'!$E$30,0))</x:f>
        <x:v>666</x:v>
      </x:c>
      <x:c r="AB571" s="119" t="n">
        <x:f>IF(2&gt;D571,0,MAX(2,MIN('难度参数'!$E$12,ROUND(('难度参数'!$E$18*POWER(A571,'难度参数'!$E$19)/D571*(0.85+0.3*(2-1)/MAX(1,D571-1))),0)+F571)))</x:f>
        <x:v>39</x:v>
      </x:c>
      <x:c r="AC571" s="119" t="n">
        <x:f>IF(2&gt;D571,0,ROUND(('难度参数'!$E$13*POWER(A571,'难度参数'!$E$20)*MIN('难度参数'!$E$23,1+MAX(0,A571-'难度参数'!$E$21)*'难度参数'!$E$22))*(36+2*7)/(36+7*(D571+1)/2)*E571,0))</x:f>
        <x:v>10106</x:v>
      </x:c>
      <x:c r="AD571" s="119" t="n">
        <x:f>IF(AB571=0,0,(AB571-IF(2=D571,1,0))*ROUND(AC571*VLOOKUP(INDEX('章节与怪物'!$E$31:$K$37,B571,2),'章节与怪物'!$A$41:$F$44,2,FALSE),0)+IF(2=D571,ROUND(AC571*'难度参数'!$E$28*'章节与怪物'!$E$17,0),0))</x:f>
        <x:v>394134</x:v>
      </x:c>
      <x:c r="AE571" s="119" t="n">
        <x:f>IF(AB571=0,0,(AB571-IF(2=D571,1,0))*VLOOKUP(INDEX('章节与怪物'!$E$31:$K$37,B571,2),'章节与怪物'!$A$41:$F$44,4,FALSE)+IF(2=D571,'难度参数'!$E$30,0))</x:f>
        <x:v>702</x:v>
      </x:c>
      <x:c r="AF571" s="119" t="n">
        <x:f>IF(3&gt;D571,0,MAX(2,MIN('难度参数'!$E$12,ROUND(('难度参数'!$E$18*POWER(A571,'难度参数'!$E$19)/D571*(0.85+0.3*(3-1)/MAX(1,D571-1))),0)+F571)))</x:f>
        <x:v>41</x:v>
      </x:c>
      <x:c r="AG571" s="119" t="n">
        <x:f>IF(3&gt;D571,0,ROUND(('难度参数'!$E$13*POWER(A571,'难度参数'!$E$20)*MIN('难度参数'!$E$23,1+MAX(0,A571-'难度参数'!$E$21)*'难度参数'!$E$22))*(36+3*7)/(36+7*(D571+1)/2)*E571,0))</x:f>
        <x:v>11521</x:v>
      </x:c>
      <x:c r="AH571" s="119" t="n">
        <x:f>IF(AF571=0,0,(AF571-IF(3=D571,1,0))*ROUND(AG571*VLOOKUP(INDEX('章节与怪物'!$E$31:$K$37,B571,3),'章节与怪物'!$A$41:$F$44,2,FALSE),0)+IF(3=D571,ROUND(AG571*'难度参数'!$E$28*'章节与怪物'!$E$17,0),0))</x:f>
        <x:v>340095</x:v>
      </x:c>
      <x:c r="AI571" s="119" t="n">
        <x:f>IF(AF571=0,0,(AF571-IF(3=D571,1,0))*VLOOKUP(INDEX('章节与怪物'!$E$31:$K$37,B571,3),'章节与怪物'!$A$41:$F$44,4,FALSE)+IF(3=D571,'难度参数'!$E$30,0))</x:f>
        <x:v>820</x:v>
      </x:c>
      <x:c r="AJ571" s="119" t="n">
        <x:f>IF(4&gt;D571,0,MAX(2,MIN('难度参数'!$E$12,ROUND(('难度参数'!$E$18*POWER(A571,'难度参数'!$E$19)/D571*(0.85+0.3*(4-1)/MAX(1,D571-1))),0)+F571)))</x:f>
        <x:v>43</x:v>
      </x:c>
      <x:c r="AK571" s="119" t="n">
        <x:f>IF(4&gt;D571,0,ROUND(('难度参数'!$E$13*POWER(A571,'难度参数'!$E$20)*MIN('难度参数'!$E$23,1+MAX(0,A571-'难度参数'!$E$21)*'难度参数'!$E$22))*(36+4*7)/(36+7*(D571+1)/2)*E571,0))</x:f>
        <x:v>12936</x:v>
      </x:c>
      <x:c r="AL571" s="119" t="n">
        <x:f>IF(AJ571=0,0,(AJ571-IF(4=D571,1,0))*ROUND(AK571*VLOOKUP(INDEX('章节与怪物'!$E$31:$K$37,B571,4),'章节与怪物'!$A$41:$F$44,2,FALSE),0)+IF(4=D571,ROUND(AK571*'难度参数'!$E$28*'章节与怪物'!$E$17,0),0))</x:f>
        <x:v>945613</x:v>
      </x:c>
      <x:c r="AM571" s="119" t="n">
        <x:f>IF(AJ571=0,0,(AJ571-IF(4=D571,1,0))*VLOOKUP(INDEX('章节与怪物'!$E$31:$K$37,B571,4),'章节与怪物'!$A$41:$F$44,4,FALSE)+IF(4=D571,'难度参数'!$E$30,0))</x:f>
        <x:v>1204</x:v>
      </x:c>
      <x:c r="AN571" s="119" t="n">
        <x:f>IF(5&gt;D571,0,MAX(2,MIN('难度参数'!$E$12,ROUND(('难度参数'!$E$18*POWER(A571,'难度参数'!$E$19)/D571*(0.85+0.3*(5-1)/MAX(1,D571-1))),0)+F571)))</x:f>
        <x:v>45</x:v>
      </x:c>
      <x:c r="AO571" s="119" t="n">
        <x:f>IF(5&gt;D571,0,ROUND(('难度参数'!$E$13*POWER(A571,'难度参数'!$E$20)*MIN('难度参数'!$E$23,1+MAX(0,A571-'难度参数'!$E$21)*'难度参数'!$E$22))*(36+5*7)/(36+7*(D571+1)/2)*E571,0))</x:f>
        <x:v>14351</x:v>
      </x:c>
      <x:c r="AP571" s="119" t="n">
        <x:f>IF(AN571=0,0,(AN571-IF(5=D571,1,0))*ROUND(AO571*VLOOKUP(INDEX('章节与怪物'!$E$31:$K$37,B571,5),'章节与怪物'!$A$41:$F$44,2,FALSE),0)+IF(5=D571,ROUND(AO571*'难度参数'!$E$28*'章节与怪物'!$E$17,0),0))</x:f>
        <x:v>871830</x:v>
      </x:c>
      <x:c r="AQ571" s="119" t="n">
        <x:f>IF(AN571=0,0,(AN571-IF(5=D571,1,0))*VLOOKUP(INDEX('章节与怪物'!$E$31:$K$37,B571,5),'章节与怪物'!$A$41:$F$44,4,FALSE)+IF(5=D571,'难度参数'!$E$30,0))</x:f>
        <x:v>1530</x:v>
      </x:c>
      <x:c r="AR571" s="119" t="n">
        <x:f>IF(6&gt;D571,0,MAX(2,MIN('难度参数'!$E$12,ROUND(('难度参数'!$E$18*POWER(A571,'难度参数'!$E$19)/D571*(0.85+0.3*(6-1)/MAX(1,D571-1))),0)+F571)))</x:f>
        <x:v>48</x:v>
      </x:c>
      <x:c r="AS571" s="119" t="n">
        <x:f>IF(6&gt;D571,0,ROUND(('难度参数'!$E$13*POWER(A571,'难度参数'!$E$20)*MIN('难度参数'!$E$23,1+MAX(0,A571-'难度参数'!$E$21)*'难度参数'!$E$22))*(36+6*7)/(36+7*(D571+1)/2)*E571,0))</x:f>
        <x:v>15766</x:v>
      </x:c>
      <x:c r="AT571" s="119" t="n">
        <x:f>IF(AR571=0,0,(AR571-IF(6=D571,1,0))*ROUND(AS571*VLOOKUP(INDEX('章节与怪物'!$E$31:$K$37,B571,6),'章节与怪物'!$A$41:$F$44,2,FALSE),0)+IF(6=D571,ROUND(AS571*'难度参数'!$E$28*'章节与怪物'!$E$17,0),0))</x:f>
        <x:v>544896</x:v>
      </x:c>
      <x:c r="AU571" s="119" t="n">
        <x:f>IF(AR571=0,0,(AR571-IF(6=D571,1,0))*VLOOKUP(INDEX('章节与怪物'!$E$31:$K$37,B571,6),'章节与怪物'!$A$41:$F$44,4,FALSE)+IF(6=D571,'难度参数'!$E$30,0))</x:f>
        <x:v>960</x:v>
      </x:c>
      <x:c r="AV571" s="119" t="n">
        <x:f>IF(7&gt;D571,0,MAX(2,MIN('难度参数'!$E$12,ROUND(('难度参数'!$E$18*POWER(A571,'难度参数'!$E$19)/D571*(0.85+0.3*(7-1)/MAX(1,D571-1))),0)+F571)))</x:f>
        <x:v>50</x:v>
      </x:c>
      <x:c r="AW571" s="119" t="n">
        <x:f>IF(7&gt;D571,0,ROUND(('难度参数'!$E$13*POWER(A571,'难度参数'!$E$20)*MIN('难度参数'!$E$23,1+MAX(0,A571-'难度参数'!$E$21)*'难度参数'!$E$22))*(36+7*7)/(36+7*(D571+1)/2)*E571,0))</x:f>
        <x:v>17181</x:v>
      </x:c>
      <x:c r="AX571" s="119" t="n">
        <x:f>IF(AV571=0,0,(AV571-IF(7=D571,1,0))*ROUND(AW571*VLOOKUP(INDEX('章节与怪物'!$E$31:$K$37,B571,7),'章节与怪物'!$A$41:$F$44,2,FALSE),0)+IF(7=D571,ROUND(AW571*'难度参数'!$E$28*'章节与怪物'!$E$17,0),0))</x:f>
        <x:v>1548023</x:v>
      </x:c>
      <x:c r="AY571" s="119" t="n">
        <x:f>IF(AV571=0,0,(AV571-IF(7=D571,1,0))*VLOOKUP(INDEX('章节与怪物'!$E$31:$K$37,B571,7),'章节与怪物'!$A$41:$F$44,4,FALSE)+IF(7=D571,'难度参数'!$E$30,0))</x:f>
        <x:v>1572</x:v>
      </x:c>
    </x:row>
    <x:row r="572" ht="23" customHeight="1">
      <x:c r="A572" s="119" t="n">
        <x:v>566</x:v>
      </x:c>
      <x:c r="B572" s="119" t="n">
        <x:f>MOD(INT((A572-1)/5),7)+1</x:f>
        <x:v>2</x:v>
      </x:c>
      <x:c r="C572" s="62" t="str">
        <x:f>INDEX('章节与怪物'!$B$31:$B$37,B572)</x:f>
        <x:v>黄沙要塞</x:v>
      </x:c>
      <x:c r="D572" s="119" t="n">
        <x:f>MIN('难度参数'!$E$8,MAX('难度参数'!$E$7,A572))</x:f>
        <x:v>7</x:v>
      </x:c>
      <x:c r="E572" s="106" t="n">
        <x:v>1</x:v>
      </x:c>
      <x:c r="F572" s="106" t="n">
        <x:v>0</x:v>
      </x:c>
      <x:c r="G572" s="106" t="n">
        <x:v>1</x:v>
      </x:c>
      <x:c r="H572" s="119" t="n">
        <x:f>SUM(X572,AB572,AF572,AJ572,AN572,AR572,AV572)</x:f>
        <x:v>304</x:v>
      </x:c>
      <x:c r="I572" s="119" t="n">
        <x:f>SUM(Z572,AD572,AH572,AL572,AP572,AT572,AX572)</x:f>
        <x:v>5386533</x:v>
      </x:c>
      <x:c r="J572" s="119" t="n">
        <x:f>ROUND(INDEX(X572:AY572,1,(D572-1)*4+2)*'难度参数'!$E$28*'章节与怪物'!$E$17,0)</x:f>
        <x:v>116980</x:v>
      </x:c>
      <x:c r="K572" s="119" t="n">
        <x:f>SUM(AA572,AE572,AI572,AM572,AQ572,AU572,AY572)</x:f>
        <x:v>8090</x:v>
      </x:c>
      <x:c r="L572" s="62" t="n">
        <x:f>H572*(ROUNDUP('难度参数'!$E$24/('难度参数'!$E$26*'难度参数'!$E$27),0)*'难度参数'!$E$26)/60</x:f>
        <x:v>4.053333333333334</x:v>
      </x:c>
      <x:c r="M572" s="62" t="n">
        <x:f>L572+D572*('难度参数'!$E$49+'难度参数'!$E$50)/60</x:f>
        <x:v>5.220000000000001</x:v>
      </x:c>
      <x:c r="N572" s="119" t="n">
        <x:f>ROUNDDOWN(('经济参数'!$E$20+A572*'经济参数'!$E$21)*G572,0)</x:f>
        <x:v>11500</x:v>
      </x:c>
      <x:c r="O572" s="119" t="n">
        <x:f>ROUNDDOWN(MIN('经济参数'!$E$24,'经济参数'!$E$22+A572*'经济参数'!$E$23)*G572,0)</x:f>
        <x:v>0</x:v>
      </x:c>
      <x:c r="P572" s="119" t="n">
        <x:f>ROUNDDOWN((IF(A572&gt;='材料与任务'!$E$31,'材料与任务'!$E$32,IF(A572&gt;='材料与任务'!$E$25,'材料与任务'!$E$26,IF(A572&gt;='材料与任务'!$E$19,'材料与任务'!$E$20,IF(A572&gt;='材料与任务'!$E$13,'材料与任务'!$E$14,'材料与任务'!$E$8)))))*G572,0)</x:f>
        <x:v>6</x:v>
      </x:c>
      <x:c r="Q572" s="119" t="n">
        <x:f>ROUNDDOWN((IF(A572&gt;='材料与任务'!$E$31,'材料与任务'!$E$33,IF(A572&gt;='材料与任务'!$E$25,'材料与任务'!$E$27,IF(A572&gt;='材料与任务'!$E$19,'材料与任务'!$E$21,IF(A572&gt;='材料与任务'!$E$13,'材料与任务'!$E$15,'材料与任务'!$E$9)))))*G572,0)</x:f>
        <x:v>3</x:v>
      </x:c>
      <x:c r="R572" s="110" t="n">
        <x:f>'装备掉落'!$B$38</x:f>
        <x:v>0.6872058758851213</x:v>
      </x:c>
      <x:c r="S572" s="119" t="n">
        <x:f>MAX(IF(VLOOKUP(A572,'装备掉落'!$A$29:$H$34,2,TRUE)&gt;0,1,0),IF(VLOOKUP(A572,'装备掉落'!$A$29:$H$34,3,TRUE)&gt;0,2,0),IF(VLOOKUP(A572,'装备掉落'!$A$29:$H$34,4,TRUE)&gt;0,3,0),IF(VLOOKUP(A572,'装备掉落'!$A$29:$H$34,5,TRUE)&gt;0,4,0),IF(VLOOKUP(A572,'装备掉落'!$A$29:$H$34,6,TRUE)&gt;0,5,0),IF(VLOOKUP(A572,'装备掉落'!$A$29:$H$34,7,TRUE)&gt;0,6,0),IF(VLOOKUP(A572,'装备掉落'!$A$29:$H$34,8,TRUE)&gt;0,7,0))</x:f>
        <x:v>7</x:v>
      </x:c>
      <x:c r="T572" s="119" t="n">
        <x:f>MIN(7,S572+'经济参数'!$E$70)</x:f>
        <x:v>7</x:v>
      </x:c>
      <x:c r="U572" s="119" t="n">
        <x:f>MIN(7,S572+'经济参数'!$E$71)</x:f>
        <x:v>7</x:v>
      </x:c>
      <x:c r="V572" s="119" t="n">
        <x:f>IF(H572&gt;=('难度参数'!$E$52),1,0)+IF(H572&gt;=('难度参数'!$E$52+'难度参数'!$E$53),1,0)+IF(H572&gt;=('难度参数'!$E$52+'难度参数'!$E$53+'难度参数'!$E$54),1,0)+IF(H572&gt;=('难度参数'!$E$52+'难度参数'!$E$53+'难度参数'!$E$54+'难度参数'!$E$55),1,0)+IF(H572&gt;=('难度参数'!$E$52+'难度参数'!$E$53+'难度参数'!$E$54+'难度参数'!$E$55+'难度参数'!$E$56),1,0)+IF(H572&gt;=('难度参数'!$E$52+'难度参数'!$E$53+'难度参数'!$E$54+'难度参数'!$E$55+'难度参数'!$E$56+'难度参数'!$E$57),1,0)</x:f>
        <x:v>6</x:v>
      </x:c>
      <x:c r="W572" s="62" t="str">
        <x:f>IF(L572&gt;'难度参数'!$E$51,"仅出怪已超目标","还需实测")</x:f>
        <x:v>仅出怪已超目标</x:v>
      </x:c>
      <x:c r="X572" s="119" t="n">
        <x:f>IF(1&gt;D572,0,MAX(2,MIN('难度参数'!$E$12,ROUND(('难度参数'!$E$18*POWER(A572,'难度参数'!$E$19)/D572*(0.85+0.3*(1-1)/MAX(1,D572-1))),0)+F572)))</x:f>
        <x:v>37</x:v>
      </x:c>
      <x:c r="Y572" s="119" t="n">
        <x:f>IF(1&gt;D572,0,ROUND(('难度参数'!$E$13*POWER(A572,'难度参数'!$E$20)*MIN('难度参数'!$E$23,1+MAX(0,A572-'难度参数'!$E$21)*'难度参数'!$E$22))*(36+1*7)/(36+7*(D572+1)/2)*E572,0))</x:f>
        <x:v>8703</x:v>
      </x:c>
      <x:c r="Z572" s="119" t="n">
        <x:f>IF(X572=0,0,(X572-IF(1=D572,1,0))*ROUND(Y572*VLOOKUP(INDEX('章节与怪物'!$E$31:$K$37,B572,1),'章节与怪物'!$A$41:$F$44,2,FALSE),0)+IF(1=D572,ROUND(Y572*'难度参数'!$E$28*'章节与怪物'!$E$17,0),0))</x:f>
        <x:v>231842</x:v>
      </x:c>
      <x:c r="AA572" s="119" t="n">
        <x:f>IF(X572=0,0,(X572-IF(1=D572,1,0))*VLOOKUP(INDEX('章节与怪物'!$E$31:$K$37,B572,1),'章节与怪物'!$A$41:$F$44,4,FALSE)+IF(1=D572,'难度参数'!$E$30,0))</x:f>
        <x:v>740</x:v>
      </x:c>
      <x:c r="AB572" s="119" t="n">
        <x:f>IF(2&gt;D572,0,MAX(2,MIN('难度参数'!$E$12,ROUND(('难度参数'!$E$18*POWER(A572,'难度参数'!$E$19)/D572*(0.85+0.3*(2-1)/MAX(1,D572-1))),0)+F572)))</x:f>
        <x:v>39</x:v>
      </x:c>
      <x:c r="AC572" s="119" t="n">
        <x:f>IF(2&gt;D572,0,ROUND(('难度参数'!$E$13*POWER(A572,'难度参数'!$E$20)*MIN('难度参数'!$E$23,1+MAX(0,A572-'难度参数'!$E$21)*'难度参数'!$E$22))*(36+2*7)/(36+7*(D572+1)/2)*E572,0))</x:f>
        <x:v>10119</x:v>
      </x:c>
      <x:c r="AD572" s="119" t="n">
        <x:f>IF(AB572=0,0,(AB572-IF(2=D572,1,0))*ROUND(AC572*VLOOKUP(INDEX('章节与怪物'!$E$31:$K$37,B572,2),'章节与怪物'!$A$41:$F$44,2,FALSE),0)+IF(2=D572,ROUND(AC572*'难度参数'!$E$28*'章节与怪物'!$E$17,0),0))</x:f>
        <x:v>394641</x:v>
      </x:c>
      <x:c r="AE572" s="119" t="n">
        <x:f>IF(AB572=0,0,(AB572-IF(2=D572,1,0))*VLOOKUP(INDEX('章节与怪物'!$E$31:$K$37,B572,2),'章节与怪物'!$A$41:$F$44,4,FALSE)+IF(2=D572,'难度参数'!$E$30,0))</x:f>
        <x:v>702</x:v>
      </x:c>
      <x:c r="AF572" s="119" t="n">
        <x:f>IF(3&gt;D572,0,MAX(2,MIN('难度参数'!$E$12,ROUND(('难度参数'!$E$18*POWER(A572,'难度参数'!$E$19)/D572*(0.85+0.3*(3-1)/MAX(1,D572-1))),0)+F572)))</x:f>
        <x:v>41</x:v>
      </x:c>
      <x:c r="AG572" s="119" t="n">
        <x:f>IF(3&gt;D572,0,ROUND(('难度参数'!$E$13*POWER(A572,'难度参数'!$E$20)*MIN('难度参数'!$E$23,1+MAX(0,A572-'难度参数'!$E$21)*'难度参数'!$E$22))*(36+3*7)/(36+7*(D572+1)/2)*E572,0))</x:f>
        <x:v>11536</x:v>
      </x:c>
      <x:c r="AH572" s="119" t="n">
        <x:f>IF(AF572=0,0,(AF572-IF(3=D572,1,0))*ROUND(AG572*VLOOKUP(INDEX('章节与怪物'!$E$31:$K$37,B572,3),'章节与怪物'!$A$41:$F$44,2,FALSE),0)+IF(3=D572,ROUND(AG572*'难度参数'!$E$28*'章节与怪物'!$E$17,0),0))</x:f>
        <x:v>804051</x:v>
      </x:c>
      <x:c r="AI572" s="119" t="n">
        <x:f>IF(AF572=0,0,(AF572-IF(3=D572,1,0))*VLOOKUP(INDEX('章节与怪物'!$E$31:$K$37,B572,3),'章节与怪物'!$A$41:$F$44,4,FALSE)+IF(3=D572,'难度参数'!$E$30,0))</x:f>
        <x:v>1148</x:v>
      </x:c>
      <x:c r="AJ572" s="119" t="n">
        <x:f>IF(4&gt;D572,0,MAX(2,MIN('难度参数'!$E$12,ROUND(('难度参数'!$E$18*POWER(A572,'难度参数'!$E$19)/D572*(0.85+0.3*(4-1)/MAX(1,D572-1))),0)+F572)))</x:f>
        <x:v>43</x:v>
      </x:c>
      <x:c r="AK572" s="119" t="n">
        <x:f>IF(4&gt;D572,0,ROUND(('难度参数'!$E$13*POWER(A572,'难度参数'!$E$20)*MIN('难度参数'!$E$23,1+MAX(0,A572-'难度参数'!$E$21)*'难度参数'!$E$22))*(36+4*7)/(36+7*(D572+1)/2)*E572,0))</x:f>
        <x:v>12953</x:v>
      </x:c>
      <x:c r="AL572" s="119" t="n">
        <x:f>IF(AJ572=0,0,(AJ572-IF(4=D572,1,0))*ROUND(AK572*VLOOKUP(INDEX('章节与怪物'!$E$31:$K$37,B572,4),'章节与怪物'!$A$41:$F$44,2,FALSE),0)+IF(4=D572,ROUND(AK572*'难度参数'!$E$28*'章节与怪物'!$E$17,0),0))</x:f>
        <x:v>751941</x:v>
      </x:c>
      <x:c r="AM572" s="119" t="n">
        <x:f>IF(AJ572=0,0,(AJ572-IF(4=D572,1,0))*VLOOKUP(INDEX('章节与怪物'!$E$31:$K$37,B572,4),'章节与怪物'!$A$41:$F$44,4,FALSE)+IF(4=D572,'难度参数'!$E$30,0))</x:f>
        <x:v>1462</x:v>
      </x:c>
      <x:c r="AN572" s="119" t="n">
        <x:f>IF(5&gt;D572,0,MAX(2,MIN('难度参数'!$E$12,ROUND(('难度参数'!$E$18*POWER(A572,'难度参数'!$E$19)/D572*(0.85+0.3*(5-1)/MAX(1,D572-1))),0)+F572)))</x:f>
        <x:v>46</x:v>
      </x:c>
      <x:c r="AO572" s="119" t="n">
        <x:f>IF(5&gt;D572,0,ROUND(('难度参数'!$E$13*POWER(A572,'难度参数'!$E$20)*MIN('难度参数'!$E$23,1+MAX(0,A572-'难度参数'!$E$21)*'难度参数'!$E$22))*(36+5*7)/(36+7*(D572+1)/2)*E572,0))</x:f>
        <x:v>14369</x:v>
      </x:c>
      <x:c r="AP572" s="119" t="n">
        <x:f>IF(AN572=0,0,(AN572-IF(5=D572,1,0))*ROUND(AO572*VLOOKUP(INDEX('章节与怪物'!$E$31:$K$37,B572,5),'章节与怪物'!$A$41:$F$44,2,FALSE),0)+IF(5=D572,ROUND(AO572*'难度参数'!$E$28*'章节与怪物'!$E$17,0),0))</x:f>
        <x:v>660974</x:v>
      </x:c>
      <x:c r="AQ572" s="119" t="n">
        <x:f>IF(AN572=0,0,(AN572-IF(5=D572,1,0))*VLOOKUP(INDEX('章节与怪物'!$E$31:$K$37,B572,5),'章节与怪物'!$A$41:$F$44,4,FALSE)+IF(5=D572,'难度参数'!$E$30,0))</x:f>
        <x:v>828</x:v>
      </x:c>
      <x:c r="AR572" s="119" t="n">
        <x:f>IF(6&gt;D572,0,MAX(2,MIN('难度参数'!$E$12,ROUND(('难度参数'!$E$18*POWER(A572,'难度参数'!$E$19)/D572*(0.85+0.3*(6-1)/MAX(1,D572-1))),0)+F572)))</x:f>
        <x:v>48</x:v>
      </x:c>
      <x:c r="AS572" s="119" t="n">
        <x:f>IF(6&gt;D572,0,ROUND(('难度参数'!$E$13*POWER(A572,'难度参数'!$E$20)*MIN('难度参数'!$E$23,1+MAX(0,A572-'难度参数'!$E$21)*'难度参数'!$E$22))*(36+6*7)/(36+7*(D572+1)/2)*E572,0))</x:f>
        <x:v>15786</x:v>
      </x:c>
      <x:c r="AT572" s="119" t="n">
        <x:f>IF(AR572=0,0,(AR572-IF(6=D572,1,0))*ROUND(AS572*VLOOKUP(INDEX('章节与怪物'!$E$31:$K$37,B572,6),'章节与怪物'!$A$41:$F$44,2,FALSE),0)+IF(6=D572,ROUND(AS572*'难度参数'!$E$28*'章节与怪物'!$E$17,0),0))</x:f>
        <x:v>1288128</x:v>
      </x:c>
      <x:c r="AU572" s="119" t="n">
        <x:f>IF(AR572=0,0,(AR572-IF(6=D572,1,0))*VLOOKUP(INDEX('章节与怪物'!$E$31:$K$37,B572,6),'章节与怪物'!$A$41:$F$44,4,FALSE)+IF(6=D572,'难度参数'!$E$30,0))</x:f>
        <x:v>1344</x:v>
      </x:c>
      <x:c r="AV572" s="119" t="n">
        <x:f>IF(7&gt;D572,0,MAX(2,MIN('难度参数'!$E$12,ROUND(('难度参数'!$E$18*POWER(A572,'难度参数'!$E$19)/D572*(0.85+0.3*(7-1)/MAX(1,D572-1))),0)+F572)))</x:f>
        <x:v>50</x:v>
      </x:c>
      <x:c r="AW572" s="119" t="n">
        <x:f>IF(7&gt;D572,0,ROUND(('难度参数'!$E$13*POWER(A572,'难度参数'!$E$20)*MIN('难度参数'!$E$23,1+MAX(0,A572-'难度参数'!$E$21)*'难度参数'!$E$22))*(36+7*7)/(36+7*(D572+1)/2)*E572,0))</x:f>
        <x:v>17203</x:v>
      </x:c>
      <x:c r="AX572" s="119" t="n">
        <x:f>IF(AV572=0,0,(AV572-IF(7=D572,1,0))*ROUND(AW572*VLOOKUP(INDEX('章节与怪物'!$E$31:$K$37,B572,7),'章节与怪物'!$A$41:$F$44,2,FALSE),0)+IF(7=D572,ROUND(AW572*'难度参数'!$E$28*'章节与怪物'!$E$17,0),0))</x:f>
        <x:v>1254956</x:v>
      </x:c>
      <x:c r="AY572" s="119" t="n">
        <x:f>IF(AV572=0,0,(AV572-IF(7=D572,1,0))*VLOOKUP(INDEX('章节与怪物'!$E$31:$K$37,B572,7),'章节与怪物'!$A$41:$F$44,4,FALSE)+IF(7=D572,'难度参数'!$E$30,0))</x:f>
        <x:v>1866</x:v>
      </x:c>
    </x:row>
    <x:row r="573" ht="23" customHeight="1">
      <x:c r="A573" s="119" t="n">
        <x:v>567</x:v>
      </x:c>
      <x:c r="B573" s="119" t="n">
        <x:f>MOD(INT((A573-1)/5),7)+1</x:f>
        <x:v>2</x:v>
      </x:c>
      <x:c r="C573" s="62" t="str">
        <x:f>INDEX('章节与怪物'!$B$31:$B$37,B573)</x:f>
        <x:v>黄沙要塞</x:v>
      </x:c>
      <x:c r="D573" s="119" t="n">
        <x:f>MIN('难度参数'!$E$8,MAX('难度参数'!$E$7,A573))</x:f>
        <x:v>7</x:v>
      </x:c>
      <x:c r="E573" s="106" t="n">
        <x:v>1</x:v>
      </x:c>
      <x:c r="F573" s="106" t="n">
        <x:v>0</x:v>
      </x:c>
      <x:c r="G573" s="106" t="n">
        <x:v>1</x:v>
      </x:c>
      <x:c r="H573" s="119" t="n">
        <x:f>SUM(X573,AB573,AF573,AJ573,AN573,AR573,AV573)</x:f>
        <x:v>304</x:v>
      </x:c>
      <x:c r="I573" s="119" t="n">
        <x:f>SUM(Z573,AD573,AH573,AL573,AP573,AT573,AX573)</x:f>
        <x:v>5393431</x:v>
      </x:c>
      <x:c r="J573" s="119" t="n">
        <x:f>ROUND(INDEX(X573:AY573,1,(D573-1)*4+2)*'难度参数'!$E$28*'章节与怪物'!$E$17,0)</x:f>
        <x:v>117130</x:v>
      </x:c>
      <x:c r="K573" s="119" t="n">
        <x:f>SUM(AA573,AE573,AI573,AM573,AQ573,AU573,AY573)</x:f>
        <x:v>8090</x:v>
      </x:c>
      <x:c r="L573" s="62" t="n">
        <x:f>H573*(ROUNDUP('难度参数'!$E$24/('难度参数'!$E$26*'难度参数'!$E$27),0)*'难度参数'!$E$26)/60</x:f>
        <x:v>4.053333333333334</x:v>
      </x:c>
      <x:c r="M573" s="62" t="n">
        <x:f>L573+D573*('难度参数'!$E$49+'难度参数'!$E$50)/60</x:f>
        <x:v>5.220000000000001</x:v>
      </x:c>
      <x:c r="N573" s="119" t="n">
        <x:f>ROUNDDOWN(('经济参数'!$E$20+A573*'经济参数'!$E$21)*G573,0)</x:f>
        <x:v>11520</x:v>
      </x:c>
      <x:c r="O573" s="119" t="n">
        <x:f>ROUNDDOWN(MIN('经济参数'!$E$24,'经济参数'!$E$22+A573*'经济参数'!$E$23)*G573,0)</x:f>
        <x:v>0</x:v>
      </x:c>
      <x:c r="P573" s="119" t="n">
        <x:f>ROUNDDOWN((IF(A573&gt;='材料与任务'!$E$31,'材料与任务'!$E$32,IF(A573&gt;='材料与任务'!$E$25,'材料与任务'!$E$26,IF(A573&gt;='材料与任务'!$E$19,'材料与任务'!$E$20,IF(A573&gt;='材料与任务'!$E$13,'材料与任务'!$E$14,'材料与任务'!$E$8)))))*G573,0)</x:f>
        <x:v>6</x:v>
      </x:c>
      <x:c r="Q573" s="119" t="n">
        <x:f>ROUNDDOWN((IF(A573&gt;='材料与任务'!$E$31,'材料与任务'!$E$33,IF(A573&gt;='材料与任务'!$E$25,'材料与任务'!$E$27,IF(A573&gt;='材料与任务'!$E$19,'材料与任务'!$E$21,IF(A573&gt;='材料与任务'!$E$13,'材料与任务'!$E$15,'材料与任务'!$E$9)))))*G573,0)</x:f>
        <x:v>3</x:v>
      </x:c>
      <x:c r="R573" s="110" t="n">
        <x:f>'装备掉落'!$B$38</x:f>
        <x:v>0.6872058758851213</x:v>
      </x:c>
      <x:c r="S573" s="119" t="n">
        <x:f>MAX(IF(VLOOKUP(A573,'装备掉落'!$A$29:$H$34,2,TRUE)&gt;0,1,0),IF(VLOOKUP(A573,'装备掉落'!$A$29:$H$34,3,TRUE)&gt;0,2,0),IF(VLOOKUP(A573,'装备掉落'!$A$29:$H$34,4,TRUE)&gt;0,3,0),IF(VLOOKUP(A573,'装备掉落'!$A$29:$H$34,5,TRUE)&gt;0,4,0),IF(VLOOKUP(A573,'装备掉落'!$A$29:$H$34,6,TRUE)&gt;0,5,0),IF(VLOOKUP(A573,'装备掉落'!$A$29:$H$34,7,TRUE)&gt;0,6,0),IF(VLOOKUP(A573,'装备掉落'!$A$29:$H$34,8,TRUE)&gt;0,7,0))</x:f>
        <x:v>7</x:v>
      </x:c>
      <x:c r="T573" s="119" t="n">
        <x:f>MIN(7,S573+'经济参数'!$E$70)</x:f>
        <x:v>7</x:v>
      </x:c>
      <x:c r="U573" s="119" t="n">
        <x:f>MIN(7,S573+'经济参数'!$E$71)</x:f>
        <x:v>7</x:v>
      </x:c>
      <x:c r="V573" s="119" t="n">
        <x:f>IF(H573&gt;=('难度参数'!$E$52),1,0)+IF(H573&gt;=('难度参数'!$E$52+'难度参数'!$E$53),1,0)+IF(H573&gt;=('难度参数'!$E$52+'难度参数'!$E$53+'难度参数'!$E$54),1,0)+IF(H573&gt;=('难度参数'!$E$52+'难度参数'!$E$53+'难度参数'!$E$54+'难度参数'!$E$55),1,0)+IF(H573&gt;=('难度参数'!$E$52+'难度参数'!$E$53+'难度参数'!$E$54+'难度参数'!$E$55+'难度参数'!$E$56),1,0)+IF(H573&gt;=('难度参数'!$E$52+'难度参数'!$E$53+'难度参数'!$E$54+'难度参数'!$E$55+'难度参数'!$E$56+'难度参数'!$E$57),1,0)</x:f>
        <x:v>6</x:v>
      </x:c>
      <x:c r="W573" s="62" t="str">
        <x:f>IF(L573&gt;'难度参数'!$E$51,"仅出怪已超目标","还需实测")</x:f>
        <x:v>仅出怪已超目标</x:v>
      </x:c>
      <x:c r="X573" s="119" t="n">
        <x:f>IF(1&gt;D573,0,MAX(2,MIN('难度参数'!$E$12,ROUND(('难度参数'!$E$18*POWER(A573,'难度参数'!$E$19)/D573*(0.85+0.3*(1-1)/MAX(1,D573-1))),0)+F573)))</x:f>
        <x:v>37</x:v>
      </x:c>
      <x:c r="Y573" s="119" t="n">
        <x:f>IF(1&gt;D573,0,ROUND(('难度参数'!$E$13*POWER(A573,'难度参数'!$E$20)*MIN('难度参数'!$E$23,1+MAX(0,A573-'难度参数'!$E$21)*'难度参数'!$E$22))*(36+1*7)/(36+7*(D573+1)/2)*E573,0))</x:f>
        <x:v>8714</x:v>
      </x:c>
      <x:c r="Z573" s="119" t="n">
        <x:f>IF(X573=0,0,(X573-IF(1=D573,1,0))*ROUND(Y573*VLOOKUP(INDEX('章节与怪物'!$E$31:$K$37,B573,1),'章节与怪物'!$A$41:$F$44,2,FALSE),0)+IF(1=D573,ROUND(Y573*'难度参数'!$E$28*'章节与怪物'!$E$17,0),0))</x:f>
        <x:v>232138</x:v>
      </x:c>
      <x:c r="AA573" s="119" t="n">
        <x:f>IF(X573=0,0,(X573-IF(1=D573,1,0))*VLOOKUP(INDEX('章节与怪物'!$E$31:$K$37,B573,1),'章节与怪物'!$A$41:$F$44,4,FALSE)+IF(1=D573,'难度参数'!$E$30,0))</x:f>
        <x:v>740</x:v>
      </x:c>
      <x:c r="AB573" s="119" t="n">
        <x:f>IF(2&gt;D573,0,MAX(2,MIN('难度参数'!$E$12,ROUND(('难度参数'!$E$18*POWER(A573,'难度参数'!$E$19)/D573*(0.85+0.3*(2-1)/MAX(1,D573-1))),0)+F573)))</x:f>
        <x:v>39</x:v>
      </x:c>
      <x:c r="AC573" s="119" t="n">
        <x:f>IF(2&gt;D573,0,ROUND(('难度参数'!$E$13*POWER(A573,'难度参数'!$E$20)*MIN('难度参数'!$E$23,1+MAX(0,A573-'难度参数'!$E$21)*'难度参数'!$E$22))*(36+2*7)/(36+7*(D573+1)/2)*E573,0))</x:f>
        <x:v>10132</x:v>
      </x:c>
      <x:c r="AD573" s="119" t="n">
        <x:f>IF(AB573=0,0,(AB573-IF(2=D573,1,0))*ROUND(AC573*VLOOKUP(INDEX('章节与怪物'!$E$31:$K$37,B573,2),'章节与怪物'!$A$41:$F$44,2,FALSE),0)+IF(2=D573,ROUND(AC573*'难度参数'!$E$28*'章节与怪物'!$E$17,0),0))</x:f>
        <x:v>395148</x:v>
      </x:c>
      <x:c r="AE573" s="119" t="n">
        <x:f>IF(AB573=0,0,(AB573-IF(2=D573,1,0))*VLOOKUP(INDEX('章节与怪物'!$E$31:$K$37,B573,2),'章节与怪物'!$A$41:$F$44,4,FALSE)+IF(2=D573,'难度参数'!$E$30,0))</x:f>
        <x:v>702</x:v>
      </x:c>
      <x:c r="AF573" s="119" t="n">
        <x:f>IF(3&gt;D573,0,MAX(2,MIN('难度参数'!$E$12,ROUND(('难度参数'!$E$18*POWER(A573,'难度参数'!$E$19)/D573*(0.85+0.3*(3-1)/MAX(1,D573-1))),0)+F573)))</x:f>
        <x:v>41</x:v>
      </x:c>
      <x:c r="AG573" s="119" t="n">
        <x:f>IF(3&gt;D573,0,ROUND(('难度参数'!$E$13*POWER(A573,'难度参数'!$E$20)*MIN('难度参数'!$E$23,1+MAX(0,A573-'难度参数'!$E$21)*'难度参数'!$E$22))*(36+3*7)/(36+7*(D573+1)/2)*E573,0))</x:f>
        <x:v>11551</x:v>
      </x:c>
      <x:c r="AH573" s="119" t="n">
        <x:f>IF(AF573=0,0,(AF573-IF(3=D573,1,0))*ROUND(AG573*VLOOKUP(INDEX('章节与怪物'!$E$31:$K$37,B573,3),'章节与怪物'!$A$41:$F$44,2,FALSE),0)+IF(3=D573,ROUND(AG573*'难度参数'!$E$28*'章节与怪物'!$E$17,0),0))</x:f>
        <x:v>805117</x:v>
      </x:c>
      <x:c r="AI573" s="119" t="n">
        <x:f>IF(AF573=0,0,(AF573-IF(3=D573,1,0))*VLOOKUP(INDEX('章节与怪物'!$E$31:$K$37,B573,3),'章节与怪物'!$A$41:$F$44,4,FALSE)+IF(3=D573,'难度参数'!$E$30,0))</x:f>
        <x:v>1148</x:v>
      </x:c>
      <x:c r="AJ573" s="119" t="n">
        <x:f>IF(4&gt;D573,0,MAX(2,MIN('难度参数'!$E$12,ROUND(('难度参数'!$E$18*POWER(A573,'难度参数'!$E$19)/D573*(0.85+0.3*(4-1)/MAX(1,D573-1))),0)+F573)))</x:f>
        <x:v>43</x:v>
      </x:c>
      <x:c r="AK573" s="119" t="n">
        <x:f>IF(4&gt;D573,0,ROUND(('难度参数'!$E$13*POWER(A573,'难度参数'!$E$20)*MIN('难度参数'!$E$23,1+MAX(0,A573-'难度参数'!$E$21)*'难度参数'!$E$22))*(36+4*7)/(36+7*(D573+1)/2)*E573,0))</x:f>
        <x:v>12969</x:v>
      </x:c>
      <x:c r="AL573" s="119" t="n">
        <x:f>IF(AJ573=0,0,(AJ573-IF(4=D573,1,0))*ROUND(AK573*VLOOKUP(INDEX('章节与怪物'!$E$31:$K$37,B573,4),'章节与怪物'!$A$41:$F$44,2,FALSE),0)+IF(4=D573,ROUND(AK573*'难度参数'!$E$28*'章节与怪物'!$E$17,0),0))</x:f>
        <x:v>752844</x:v>
      </x:c>
      <x:c r="AM573" s="119" t="n">
        <x:f>IF(AJ573=0,0,(AJ573-IF(4=D573,1,0))*VLOOKUP(INDEX('章节与怪物'!$E$31:$K$37,B573,4),'章节与怪物'!$A$41:$F$44,4,FALSE)+IF(4=D573,'难度参数'!$E$30,0))</x:f>
        <x:v>1462</x:v>
      </x:c>
      <x:c r="AN573" s="119" t="n">
        <x:f>IF(5&gt;D573,0,MAX(2,MIN('难度参数'!$E$12,ROUND(('难度参数'!$E$18*POWER(A573,'难度参数'!$E$19)/D573*(0.85+0.3*(5-1)/MAX(1,D573-1))),0)+F573)))</x:f>
        <x:v>46</x:v>
      </x:c>
      <x:c r="AO573" s="119" t="n">
        <x:f>IF(5&gt;D573,0,ROUND(('难度参数'!$E$13*POWER(A573,'难度参数'!$E$20)*MIN('难度参数'!$E$23,1+MAX(0,A573-'难度参数'!$E$21)*'难度参数'!$E$22))*(36+5*7)/(36+7*(D573+1)/2)*E573,0))</x:f>
        <x:v>14388</x:v>
      </x:c>
      <x:c r="AP573" s="119" t="n">
        <x:f>IF(AN573=0,0,(AN573-IF(5=D573,1,0))*ROUND(AO573*VLOOKUP(INDEX('章节与怪物'!$E$31:$K$37,B573,5),'章节与怪物'!$A$41:$F$44,2,FALSE),0)+IF(5=D573,ROUND(AO573*'难度参数'!$E$28*'章节与怪物'!$E$17,0),0))</x:f>
        <x:v>661848</x:v>
      </x:c>
      <x:c r="AQ573" s="119" t="n">
        <x:f>IF(AN573=0,0,(AN573-IF(5=D573,1,0))*VLOOKUP(INDEX('章节与怪物'!$E$31:$K$37,B573,5),'章节与怪物'!$A$41:$F$44,4,FALSE)+IF(5=D573,'难度参数'!$E$30,0))</x:f>
        <x:v>828</x:v>
      </x:c>
      <x:c r="AR573" s="119" t="n">
        <x:f>IF(6&gt;D573,0,MAX(2,MIN('难度参数'!$E$12,ROUND(('难度参数'!$E$18*POWER(A573,'难度参数'!$E$19)/D573*(0.85+0.3*(6-1)/MAX(1,D573-1))),0)+F573)))</x:f>
        <x:v>48</x:v>
      </x:c>
      <x:c r="AS573" s="119" t="n">
        <x:f>IF(6&gt;D573,0,ROUND(('难度参数'!$E$13*POWER(A573,'难度参数'!$E$20)*MIN('难度参数'!$E$23,1+MAX(0,A573-'难度参数'!$E$21)*'难度参数'!$E$22))*(36+6*7)/(36+7*(D573+1)/2)*E573,0))</x:f>
        <x:v>15806</x:v>
      </x:c>
      <x:c r="AT573" s="119" t="n">
        <x:f>IF(AR573=0,0,(AR573-IF(6=D573,1,0))*ROUND(AS573*VLOOKUP(INDEX('章节与怪物'!$E$31:$K$37,B573,6),'章节与怪物'!$A$41:$F$44,2,FALSE),0)+IF(6=D573,ROUND(AS573*'难度参数'!$E$28*'章节与怪物'!$E$17,0),0))</x:f>
        <x:v>1289760</x:v>
      </x:c>
      <x:c r="AU573" s="119" t="n">
        <x:f>IF(AR573=0,0,(AR573-IF(6=D573,1,0))*VLOOKUP(INDEX('章节与怪物'!$E$31:$K$37,B573,6),'章节与怪物'!$A$41:$F$44,4,FALSE)+IF(6=D573,'难度参数'!$E$30,0))</x:f>
        <x:v>1344</x:v>
      </x:c>
      <x:c r="AV573" s="119" t="n">
        <x:f>IF(7&gt;D573,0,MAX(2,MIN('难度参数'!$E$12,ROUND(('难度参数'!$E$18*POWER(A573,'难度参数'!$E$19)/D573*(0.85+0.3*(7-1)/MAX(1,D573-1))),0)+F573)))</x:f>
        <x:v>50</x:v>
      </x:c>
      <x:c r="AW573" s="119" t="n">
        <x:f>IF(7&gt;D573,0,ROUND(('难度参数'!$E$13*POWER(A573,'难度参数'!$E$20)*MIN('难度参数'!$E$23,1+MAX(0,A573-'难度参数'!$E$21)*'难度参数'!$E$22))*(36+7*7)/(36+7*(D573+1)/2)*E573,0))</x:f>
        <x:v>17225</x:v>
      </x:c>
      <x:c r="AX573" s="119" t="n">
        <x:f>IF(AV573=0,0,(AV573-IF(7=D573,1,0))*ROUND(AW573*VLOOKUP(INDEX('章节与怪物'!$E$31:$K$37,B573,7),'章节与怪物'!$A$41:$F$44,2,FALSE),0)+IF(7=D573,ROUND(AW573*'难度参数'!$E$28*'章节与怪物'!$E$17,0),0))</x:f>
        <x:v>1256576</x:v>
      </x:c>
      <x:c r="AY573" s="119" t="n">
        <x:f>IF(AV573=0,0,(AV573-IF(7=D573,1,0))*VLOOKUP(INDEX('章节与怪物'!$E$31:$K$37,B573,7),'章节与怪物'!$A$41:$F$44,4,FALSE)+IF(7=D573,'难度参数'!$E$30,0))</x:f>
        <x:v>1866</x:v>
      </x:c>
    </x:row>
    <x:row r="574" ht="23" customHeight="1">
      <x:c r="A574" s="119" t="n">
        <x:v>568</x:v>
      </x:c>
      <x:c r="B574" s="119" t="n">
        <x:f>MOD(INT((A574-1)/5),7)+1</x:f>
        <x:v>2</x:v>
      </x:c>
      <x:c r="C574" s="62" t="str">
        <x:f>INDEX('章节与怪物'!$B$31:$B$37,B574)</x:f>
        <x:v>黄沙要塞</x:v>
      </x:c>
      <x:c r="D574" s="119" t="n">
        <x:f>MIN('难度参数'!$E$8,MAX('难度参数'!$E$7,A574))</x:f>
        <x:v>7</x:v>
      </x:c>
      <x:c r="E574" s="106" t="n">
        <x:v>1</x:v>
      </x:c>
      <x:c r="F574" s="106" t="n">
        <x:v>0</x:v>
      </x:c>
      <x:c r="G574" s="106" t="n">
        <x:v>1</x:v>
      </x:c>
      <x:c r="H574" s="119" t="n">
        <x:f>SUM(X574,AB574,AF574,AJ574,AN574,AR574,AV574)</x:f>
        <x:v>304</x:v>
      </x:c>
      <x:c r="I574" s="119" t="n">
        <x:f>SUM(Z574,AD574,AH574,AL574,AP574,AT574,AX574)</x:f>
        <x:v>5400238</x:v>
      </x:c>
      <x:c r="J574" s="119" t="n">
        <x:f>ROUND(INDEX(X574:AY574,1,(D574-1)*4+2)*'难度参数'!$E$28*'章节与怪物'!$E$17,0)</x:f>
        <x:v>117280</x:v>
      </x:c>
      <x:c r="K574" s="119" t="n">
        <x:f>SUM(AA574,AE574,AI574,AM574,AQ574,AU574,AY574)</x:f>
        <x:v>8090</x:v>
      </x:c>
      <x:c r="L574" s="62" t="n">
        <x:f>H574*(ROUNDUP('难度参数'!$E$24/('难度参数'!$E$26*'难度参数'!$E$27),0)*'难度参数'!$E$26)/60</x:f>
        <x:v>4.053333333333334</x:v>
      </x:c>
      <x:c r="M574" s="62" t="n">
        <x:f>L574+D574*('难度参数'!$E$49+'难度参数'!$E$50)/60</x:f>
        <x:v>5.220000000000001</x:v>
      </x:c>
      <x:c r="N574" s="119" t="n">
        <x:f>ROUNDDOWN(('经济参数'!$E$20+A574*'经济参数'!$E$21)*G574,0)</x:f>
        <x:v>11540</x:v>
      </x:c>
      <x:c r="O574" s="119" t="n">
        <x:f>ROUNDDOWN(MIN('经济参数'!$E$24,'经济参数'!$E$22+A574*'经济参数'!$E$23)*G574,0)</x:f>
        <x:v>0</x:v>
      </x:c>
      <x:c r="P574" s="119" t="n">
        <x:f>ROUNDDOWN((IF(A574&gt;='材料与任务'!$E$31,'材料与任务'!$E$32,IF(A574&gt;='材料与任务'!$E$25,'材料与任务'!$E$26,IF(A574&gt;='材料与任务'!$E$19,'材料与任务'!$E$20,IF(A574&gt;='材料与任务'!$E$13,'材料与任务'!$E$14,'材料与任务'!$E$8)))))*G574,0)</x:f>
        <x:v>6</x:v>
      </x:c>
      <x:c r="Q574" s="119" t="n">
        <x:f>ROUNDDOWN((IF(A574&gt;='材料与任务'!$E$31,'材料与任务'!$E$33,IF(A574&gt;='材料与任务'!$E$25,'材料与任务'!$E$27,IF(A574&gt;='材料与任务'!$E$19,'材料与任务'!$E$21,IF(A574&gt;='材料与任务'!$E$13,'材料与任务'!$E$15,'材料与任务'!$E$9)))))*G574,0)</x:f>
        <x:v>3</x:v>
      </x:c>
      <x:c r="R574" s="110" t="n">
        <x:f>'装备掉落'!$B$38</x:f>
        <x:v>0.6872058758851213</x:v>
      </x:c>
      <x:c r="S574" s="119" t="n">
        <x:f>MAX(IF(VLOOKUP(A574,'装备掉落'!$A$29:$H$34,2,TRUE)&gt;0,1,0),IF(VLOOKUP(A574,'装备掉落'!$A$29:$H$34,3,TRUE)&gt;0,2,0),IF(VLOOKUP(A574,'装备掉落'!$A$29:$H$34,4,TRUE)&gt;0,3,0),IF(VLOOKUP(A574,'装备掉落'!$A$29:$H$34,5,TRUE)&gt;0,4,0),IF(VLOOKUP(A574,'装备掉落'!$A$29:$H$34,6,TRUE)&gt;0,5,0),IF(VLOOKUP(A574,'装备掉落'!$A$29:$H$34,7,TRUE)&gt;0,6,0),IF(VLOOKUP(A574,'装备掉落'!$A$29:$H$34,8,TRUE)&gt;0,7,0))</x:f>
        <x:v>7</x:v>
      </x:c>
      <x:c r="T574" s="119" t="n">
        <x:f>MIN(7,S574+'经济参数'!$E$70)</x:f>
        <x:v>7</x:v>
      </x:c>
      <x:c r="U574" s="119" t="n">
        <x:f>MIN(7,S574+'经济参数'!$E$71)</x:f>
        <x:v>7</x:v>
      </x:c>
      <x:c r="V574" s="119" t="n">
        <x:f>IF(H574&gt;=('难度参数'!$E$52),1,0)+IF(H574&gt;=('难度参数'!$E$52+'难度参数'!$E$53),1,0)+IF(H574&gt;=('难度参数'!$E$52+'难度参数'!$E$53+'难度参数'!$E$54),1,0)+IF(H574&gt;=('难度参数'!$E$52+'难度参数'!$E$53+'难度参数'!$E$54+'难度参数'!$E$55),1,0)+IF(H574&gt;=('难度参数'!$E$52+'难度参数'!$E$53+'难度参数'!$E$54+'难度参数'!$E$55+'难度参数'!$E$56),1,0)+IF(H574&gt;=('难度参数'!$E$52+'难度参数'!$E$53+'难度参数'!$E$54+'难度参数'!$E$55+'难度参数'!$E$56+'难度参数'!$E$57),1,0)</x:f>
        <x:v>6</x:v>
      </x:c>
      <x:c r="W574" s="62" t="str">
        <x:f>IF(L574&gt;'难度参数'!$E$51,"仅出怪已超目标","还需实测")</x:f>
        <x:v>仅出怪已超目标</x:v>
      </x:c>
      <x:c r="X574" s="119" t="n">
        <x:f>IF(1&gt;D574,0,MAX(2,MIN('难度参数'!$E$12,ROUND(('难度参数'!$E$18*POWER(A574,'难度参数'!$E$19)/D574*(0.85+0.3*(1-1)/MAX(1,D574-1))),0)+F574)))</x:f>
        <x:v>37</x:v>
      </x:c>
      <x:c r="Y574" s="119" t="n">
        <x:f>IF(1&gt;D574,0,ROUND(('难度参数'!$E$13*POWER(A574,'难度参数'!$E$20)*MIN('难度参数'!$E$23,1+MAX(0,A574-'难度参数'!$E$21)*'难度参数'!$E$22))*(36+1*7)/(36+7*(D574+1)/2)*E574,0))</x:f>
        <x:v>8725</x:v>
      </x:c>
      <x:c r="Z574" s="119" t="n">
        <x:f>IF(X574=0,0,(X574-IF(1=D574,1,0))*ROUND(Y574*VLOOKUP(INDEX('章节与怪物'!$E$31:$K$37,B574,1),'章节与怪物'!$A$41:$F$44,2,FALSE),0)+IF(1=D574,ROUND(Y574*'难度参数'!$E$28*'章节与怪物'!$E$17,0),0))</x:f>
        <x:v>232434</x:v>
      </x:c>
      <x:c r="AA574" s="119" t="n">
        <x:f>IF(X574=0,0,(X574-IF(1=D574,1,0))*VLOOKUP(INDEX('章节与怪物'!$E$31:$K$37,B574,1),'章节与怪物'!$A$41:$F$44,4,FALSE)+IF(1=D574,'难度参数'!$E$30,0))</x:f>
        <x:v>740</x:v>
      </x:c>
      <x:c r="AB574" s="119" t="n">
        <x:f>IF(2&gt;D574,0,MAX(2,MIN('难度参数'!$E$12,ROUND(('难度参数'!$E$18*POWER(A574,'难度参数'!$E$19)/D574*(0.85+0.3*(2-1)/MAX(1,D574-1))),0)+F574)))</x:f>
        <x:v>39</x:v>
      </x:c>
      <x:c r="AC574" s="119" t="n">
        <x:f>IF(2&gt;D574,0,ROUND(('难度参数'!$E$13*POWER(A574,'难度参数'!$E$20)*MIN('难度参数'!$E$23,1+MAX(0,A574-'难度参数'!$E$21)*'难度参数'!$E$22))*(36+2*7)/(36+7*(D574+1)/2)*E574,0))</x:f>
        <x:v>10145</x:v>
      </x:c>
      <x:c r="AD574" s="119" t="n">
        <x:f>IF(AB574=0,0,(AB574-IF(2=D574,1,0))*ROUND(AC574*VLOOKUP(INDEX('章节与怪物'!$E$31:$K$37,B574,2),'章节与怪物'!$A$41:$F$44,2,FALSE),0)+IF(2=D574,ROUND(AC574*'难度参数'!$E$28*'章节与怪物'!$E$17,0),0))</x:f>
        <x:v>395655</x:v>
      </x:c>
      <x:c r="AE574" s="119" t="n">
        <x:f>IF(AB574=0,0,(AB574-IF(2=D574,1,0))*VLOOKUP(INDEX('章节与怪物'!$E$31:$K$37,B574,2),'章节与怪物'!$A$41:$F$44,4,FALSE)+IF(2=D574,'难度参数'!$E$30,0))</x:f>
        <x:v>702</x:v>
      </x:c>
      <x:c r="AF574" s="119" t="n">
        <x:f>IF(3&gt;D574,0,MAX(2,MIN('难度参数'!$E$12,ROUND(('难度参数'!$E$18*POWER(A574,'难度参数'!$E$19)/D574*(0.85+0.3*(3-1)/MAX(1,D574-1))),0)+F574)))</x:f>
        <x:v>41</x:v>
      </x:c>
      <x:c r="AG574" s="119" t="n">
        <x:f>IF(3&gt;D574,0,ROUND(('难度参数'!$E$13*POWER(A574,'难度参数'!$E$20)*MIN('难度参数'!$E$23,1+MAX(0,A574-'难度参数'!$E$21)*'难度参数'!$E$22))*(36+3*7)/(36+7*(D574+1)/2)*E574,0))</x:f>
        <x:v>11565</x:v>
      </x:c>
      <x:c r="AH574" s="119" t="n">
        <x:f>IF(AF574=0,0,(AF574-IF(3=D574,1,0))*ROUND(AG574*VLOOKUP(INDEX('章节与怪物'!$E$31:$K$37,B574,3),'章节与怪物'!$A$41:$F$44,2,FALSE),0)+IF(3=D574,ROUND(AG574*'难度参数'!$E$28*'章节与怪物'!$E$17,0),0))</x:f>
        <x:v>806101</x:v>
      </x:c>
      <x:c r="AI574" s="119" t="n">
        <x:f>IF(AF574=0,0,(AF574-IF(3=D574,1,0))*VLOOKUP(INDEX('章节与怪物'!$E$31:$K$37,B574,3),'章节与怪物'!$A$41:$F$44,4,FALSE)+IF(3=D574,'难度参数'!$E$30,0))</x:f>
        <x:v>1148</x:v>
      </x:c>
      <x:c r="AJ574" s="119" t="n">
        <x:f>IF(4&gt;D574,0,MAX(2,MIN('难度参数'!$E$12,ROUND(('难度参数'!$E$18*POWER(A574,'难度参数'!$E$19)/D574*(0.85+0.3*(4-1)/MAX(1,D574-1))),0)+F574)))</x:f>
        <x:v>43</x:v>
      </x:c>
      <x:c r="AK574" s="119" t="n">
        <x:f>IF(4&gt;D574,0,ROUND(('难度参数'!$E$13*POWER(A574,'难度参数'!$E$20)*MIN('难度参数'!$E$23,1+MAX(0,A574-'难度参数'!$E$21)*'难度参数'!$E$22))*(36+4*7)/(36+7*(D574+1)/2)*E574,0))</x:f>
        <x:v>12986</x:v>
      </x:c>
      <x:c r="AL574" s="119" t="n">
        <x:f>IF(AJ574=0,0,(AJ574-IF(4=D574,1,0))*ROUND(AK574*VLOOKUP(INDEX('章节与怪物'!$E$31:$K$37,B574,4),'章节与怪物'!$A$41:$F$44,2,FALSE),0)+IF(4=D574,ROUND(AK574*'难度参数'!$E$28*'章节与怪物'!$E$17,0),0))</x:f>
        <x:v>753833</x:v>
      </x:c>
      <x:c r="AM574" s="119" t="n">
        <x:f>IF(AJ574=0,0,(AJ574-IF(4=D574,1,0))*VLOOKUP(INDEX('章节与怪物'!$E$31:$K$37,B574,4),'章节与怪物'!$A$41:$F$44,4,FALSE)+IF(4=D574,'难度参数'!$E$30,0))</x:f>
        <x:v>1462</x:v>
      </x:c>
      <x:c r="AN574" s="119" t="n">
        <x:f>IF(5&gt;D574,0,MAX(2,MIN('难度参数'!$E$12,ROUND(('难度参数'!$E$18*POWER(A574,'难度参数'!$E$19)/D574*(0.85+0.3*(5-1)/MAX(1,D574-1))),0)+F574)))</x:f>
        <x:v>46</x:v>
      </x:c>
      <x:c r="AO574" s="119" t="n">
        <x:f>IF(5&gt;D574,0,ROUND(('难度参数'!$E$13*POWER(A574,'难度参数'!$E$20)*MIN('难度参数'!$E$23,1+MAX(0,A574-'难度参数'!$E$21)*'难度参数'!$E$22))*(36+5*7)/(36+7*(D574+1)/2)*E574,0))</x:f>
        <x:v>14406</x:v>
      </x:c>
      <x:c r="AP574" s="119" t="n">
        <x:f>IF(AN574=0,0,(AN574-IF(5=D574,1,0))*ROUND(AO574*VLOOKUP(INDEX('章节与怪物'!$E$31:$K$37,B574,5),'章节与怪物'!$A$41:$F$44,2,FALSE),0)+IF(5=D574,ROUND(AO574*'难度参数'!$E$28*'章节与怪物'!$E$17,0),0))</x:f>
        <x:v>662676</x:v>
      </x:c>
      <x:c r="AQ574" s="119" t="n">
        <x:f>IF(AN574=0,0,(AN574-IF(5=D574,1,0))*VLOOKUP(INDEX('章节与怪物'!$E$31:$K$37,B574,5),'章节与怪物'!$A$41:$F$44,4,FALSE)+IF(5=D574,'难度参数'!$E$30,0))</x:f>
        <x:v>828</x:v>
      </x:c>
      <x:c r="AR574" s="119" t="n">
        <x:f>IF(6&gt;D574,0,MAX(2,MIN('难度参数'!$E$12,ROUND(('难度参数'!$E$18*POWER(A574,'难度参数'!$E$19)/D574*(0.85+0.3*(6-1)/MAX(1,D574-1))),0)+F574)))</x:f>
        <x:v>48</x:v>
      </x:c>
      <x:c r="AS574" s="119" t="n">
        <x:f>IF(6&gt;D574,0,ROUND(('难度参数'!$E$13*POWER(A574,'难度参数'!$E$20)*MIN('难度参数'!$E$23,1+MAX(0,A574-'难度参数'!$E$21)*'难度参数'!$E$22))*(36+6*7)/(36+7*(D574+1)/2)*E574,0))</x:f>
        <x:v>15826</x:v>
      </x:c>
      <x:c r="AT574" s="119" t="n">
        <x:f>IF(AR574=0,0,(AR574-IF(6=D574,1,0))*ROUND(AS574*VLOOKUP(INDEX('章节与怪物'!$E$31:$K$37,B574,6),'章节与怪物'!$A$41:$F$44,2,FALSE),0)+IF(6=D574,ROUND(AS574*'难度参数'!$E$28*'章节与怪物'!$E$17,0),0))</x:f>
        <x:v>1291392</x:v>
      </x:c>
      <x:c r="AU574" s="119" t="n">
        <x:f>IF(AR574=0,0,(AR574-IF(6=D574,1,0))*VLOOKUP(INDEX('章节与怪物'!$E$31:$K$37,B574,6),'章节与怪物'!$A$41:$F$44,4,FALSE)+IF(6=D574,'难度参数'!$E$30,0))</x:f>
        <x:v>1344</x:v>
      </x:c>
      <x:c r="AV574" s="119" t="n">
        <x:f>IF(7&gt;D574,0,MAX(2,MIN('难度参数'!$E$12,ROUND(('难度参数'!$E$18*POWER(A574,'难度参数'!$E$19)/D574*(0.85+0.3*(7-1)/MAX(1,D574-1))),0)+F574)))</x:f>
        <x:v>50</x:v>
      </x:c>
      <x:c r="AW574" s="119" t="n">
        <x:f>IF(7&gt;D574,0,ROUND(('难度参数'!$E$13*POWER(A574,'难度参数'!$E$20)*MIN('难度参数'!$E$23,1+MAX(0,A574-'难度参数'!$E$21)*'难度参数'!$E$22))*(36+7*7)/(36+7*(D574+1)/2)*E574,0))</x:f>
        <x:v>17247</x:v>
      </x:c>
      <x:c r="AX574" s="119" t="n">
        <x:f>IF(AV574=0,0,(AV574-IF(7=D574,1,0))*ROUND(AW574*VLOOKUP(INDEX('章节与怪物'!$E$31:$K$37,B574,7),'章节与怪物'!$A$41:$F$44,2,FALSE),0)+IF(7=D574,ROUND(AW574*'难度参数'!$E$28*'章节与怪物'!$E$17,0),0))</x:f>
        <x:v>1258147</x:v>
      </x:c>
      <x:c r="AY574" s="119" t="n">
        <x:f>IF(AV574=0,0,(AV574-IF(7=D574,1,0))*VLOOKUP(INDEX('章节与怪物'!$E$31:$K$37,B574,7),'章节与怪物'!$A$41:$F$44,4,FALSE)+IF(7=D574,'难度参数'!$E$30,0))</x:f>
        <x:v>1866</x:v>
      </x:c>
    </x:row>
    <x:row r="575" ht="23" customHeight="1">
      <x:c r="A575" s="119" t="n">
        <x:v>569</x:v>
      </x:c>
      <x:c r="B575" s="119" t="n">
        <x:f>MOD(INT((A575-1)/5),7)+1</x:f>
        <x:v>2</x:v>
      </x:c>
      <x:c r="C575" s="62" t="str">
        <x:f>INDEX('章节与怪物'!$B$31:$B$37,B575)</x:f>
        <x:v>黄沙要塞</x:v>
      </x:c>
      <x:c r="D575" s="119" t="n">
        <x:f>MIN('难度参数'!$E$8,MAX('难度参数'!$E$7,A575))</x:f>
        <x:v>7</x:v>
      </x:c>
      <x:c r="E575" s="106" t="n">
        <x:v>1</x:v>
      </x:c>
      <x:c r="F575" s="106" t="n">
        <x:v>0</x:v>
      </x:c>
      <x:c r="G575" s="106" t="n">
        <x:v>1</x:v>
      </x:c>
      <x:c r="H575" s="119" t="n">
        <x:f>SUM(X575,AB575,AF575,AJ575,AN575,AR575,AV575)</x:f>
        <x:v>304</x:v>
      </x:c>
      <x:c r="I575" s="119" t="n">
        <x:f>SUM(Z575,AD575,AH575,AL575,AP575,AT575,AX575)</x:f>
        <x:v>5407035</x:v>
      </x:c>
      <x:c r="J575" s="119" t="n">
        <x:f>ROUND(INDEX(X575:AY575,1,(D575-1)*4+2)*'难度参数'!$E$28*'章节与怪物'!$E$17,0)</x:f>
        <x:v>117422</x:v>
      </x:c>
      <x:c r="K575" s="119" t="n">
        <x:f>SUM(AA575,AE575,AI575,AM575,AQ575,AU575,AY575)</x:f>
        <x:v>8090</x:v>
      </x:c>
      <x:c r="L575" s="62" t="n">
        <x:f>H575*(ROUNDUP('难度参数'!$E$24/('难度参数'!$E$26*'难度参数'!$E$27),0)*'难度参数'!$E$26)/60</x:f>
        <x:v>4.053333333333334</x:v>
      </x:c>
      <x:c r="M575" s="62" t="n">
        <x:f>L575+D575*('难度参数'!$E$49+'难度参数'!$E$50)/60</x:f>
        <x:v>5.220000000000001</x:v>
      </x:c>
      <x:c r="N575" s="119" t="n">
        <x:f>ROUNDDOWN(('经济参数'!$E$20+A575*'经济参数'!$E$21)*G575,0)</x:f>
        <x:v>11560</x:v>
      </x:c>
      <x:c r="O575" s="119" t="n">
        <x:f>ROUNDDOWN(MIN('经济参数'!$E$24,'经济参数'!$E$22+A575*'经济参数'!$E$23)*G575,0)</x:f>
        <x:v>0</x:v>
      </x:c>
      <x:c r="P575" s="119" t="n">
        <x:f>ROUNDDOWN((IF(A575&gt;='材料与任务'!$E$31,'材料与任务'!$E$32,IF(A575&gt;='材料与任务'!$E$25,'材料与任务'!$E$26,IF(A575&gt;='材料与任务'!$E$19,'材料与任务'!$E$20,IF(A575&gt;='材料与任务'!$E$13,'材料与任务'!$E$14,'材料与任务'!$E$8)))))*G575,0)</x:f>
        <x:v>6</x:v>
      </x:c>
      <x:c r="Q575" s="119" t="n">
        <x:f>ROUNDDOWN((IF(A575&gt;='材料与任务'!$E$31,'材料与任务'!$E$33,IF(A575&gt;='材料与任务'!$E$25,'材料与任务'!$E$27,IF(A575&gt;='材料与任务'!$E$19,'材料与任务'!$E$21,IF(A575&gt;='材料与任务'!$E$13,'材料与任务'!$E$15,'材料与任务'!$E$9)))))*G575,0)</x:f>
        <x:v>3</x:v>
      </x:c>
      <x:c r="R575" s="110" t="n">
        <x:f>'装备掉落'!$B$38</x:f>
        <x:v>0.6872058758851213</x:v>
      </x:c>
      <x:c r="S575" s="119" t="n">
        <x:f>MAX(IF(VLOOKUP(A575,'装备掉落'!$A$29:$H$34,2,TRUE)&gt;0,1,0),IF(VLOOKUP(A575,'装备掉落'!$A$29:$H$34,3,TRUE)&gt;0,2,0),IF(VLOOKUP(A575,'装备掉落'!$A$29:$H$34,4,TRUE)&gt;0,3,0),IF(VLOOKUP(A575,'装备掉落'!$A$29:$H$34,5,TRUE)&gt;0,4,0),IF(VLOOKUP(A575,'装备掉落'!$A$29:$H$34,6,TRUE)&gt;0,5,0),IF(VLOOKUP(A575,'装备掉落'!$A$29:$H$34,7,TRUE)&gt;0,6,0),IF(VLOOKUP(A575,'装备掉落'!$A$29:$H$34,8,TRUE)&gt;0,7,0))</x:f>
        <x:v>7</x:v>
      </x:c>
      <x:c r="T575" s="119" t="n">
        <x:f>MIN(7,S575+'经济参数'!$E$70)</x:f>
        <x:v>7</x:v>
      </x:c>
      <x:c r="U575" s="119" t="n">
        <x:f>MIN(7,S575+'经济参数'!$E$71)</x:f>
        <x:v>7</x:v>
      </x:c>
      <x:c r="V575" s="119" t="n">
        <x:f>IF(H575&gt;=('难度参数'!$E$52),1,0)+IF(H575&gt;=('难度参数'!$E$52+'难度参数'!$E$53),1,0)+IF(H575&gt;=('难度参数'!$E$52+'难度参数'!$E$53+'难度参数'!$E$54),1,0)+IF(H575&gt;=('难度参数'!$E$52+'难度参数'!$E$53+'难度参数'!$E$54+'难度参数'!$E$55),1,0)+IF(H575&gt;=('难度参数'!$E$52+'难度参数'!$E$53+'难度参数'!$E$54+'难度参数'!$E$55+'难度参数'!$E$56),1,0)+IF(H575&gt;=('难度参数'!$E$52+'难度参数'!$E$53+'难度参数'!$E$54+'难度参数'!$E$55+'难度参数'!$E$56+'难度参数'!$E$57),1,0)</x:f>
        <x:v>6</x:v>
      </x:c>
      <x:c r="W575" s="62" t="str">
        <x:f>IF(L575&gt;'难度参数'!$E$51,"仅出怪已超目标","还需实测")</x:f>
        <x:v>仅出怪已超目标</x:v>
      </x:c>
      <x:c r="X575" s="119" t="n">
        <x:f>IF(1&gt;D575,0,MAX(2,MIN('难度参数'!$E$12,ROUND(('难度参数'!$E$18*POWER(A575,'难度参数'!$E$19)/D575*(0.85+0.3*(1-1)/MAX(1,D575-1))),0)+F575)))</x:f>
        <x:v>37</x:v>
      </x:c>
      <x:c r="Y575" s="119" t="n">
        <x:f>IF(1&gt;D575,0,ROUND(('难度参数'!$E$13*POWER(A575,'难度参数'!$E$20)*MIN('难度参数'!$E$23,1+MAX(0,A575-'难度参数'!$E$21)*'难度参数'!$E$22))*(36+1*7)/(36+7*(D575+1)/2)*E575,0))</x:f>
        <x:v>8736</x:v>
      </x:c>
      <x:c r="Z575" s="119" t="n">
        <x:f>IF(X575=0,0,(X575-IF(1=D575,1,0))*ROUND(Y575*VLOOKUP(INDEX('章节与怪物'!$E$31:$K$37,B575,1),'章节与怪物'!$A$41:$F$44,2,FALSE),0)+IF(1=D575,ROUND(Y575*'难度参数'!$E$28*'章节与怪物'!$E$17,0),0))</x:f>
        <x:v>232730</x:v>
      </x:c>
      <x:c r="AA575" s="119" t="n">
        <x:f>IF(X575=0,0,(X575-IF(1=D575,1,0))*VLOOKUP(INDEX('章节与怪物'!$E$31:$K$37,B575,1),'章节与怪物'!$A$41:$F$44,4,FALSE)+IF(1=D575,'难度参数'!$E$30,0))</x:f>
        <x:v>740</x:v>
      </x:c>
      <x:c r="AB575" s="119" t="n">
        <x:f>IF(2&gt;D575,0,MAX(2,MIN('难度参数'!$E$12,ROUND(('难度参数'!$E$18*POWER(A575,'难度参数'!$E$19)/D575*(0.85+0.3*(2-1)/MAX(1,D575-1))),0)+F575)))</x:f>
        <x:v>39</x:v>
      </x:c>
      <x:c r="AC575" s="119" t="n">
        <x:f>IF(2&gt;D575,0,ROUND(('难度参数'!$E$13*POWER(A575,'难度参数'!$E$20)*MIN('难度参数'!$E$23,1+MAX(0,A575-'难度参数'!$E$21)*'难度参数'!$E$22))*(36+2*7)/(36+7*(D575+1)/2)*E575,0))</x:f>
        <x:v>10158</x:v>
      </x:c>
      <x:c r="AD575" s="119" t="n">
        <x:f>IF(AB575=0,0,(AB575-IF(2=D575,1,0))*ROUND(AC575*VLOOKUP(INDEX('章节与怪物'!$E$31:$K$37,B575,2),'章节与怪物'!$A$41:$F$44,2,FALSE),0)+IF(2=D575,ROUND(AC575*'难度参数'!$E$28*'章节与怪物'!$E$17,0),0))</x:f>
        <x:v>396162</x:v>
      </x:c>
      <x:c r="AE575" s="119" t="n">
        <x:f>IF(AB575=0,0,(AB575-IF(2=D575,1,0))*VLOOKUP(INDEX('章节与怪物'!$E$31:$K$37,B575,2),'章节与怪物'!$A$41:$F$44,4,FALSE)+IF(2=D575,'难度参数'!$E$30,0))</x:f>
        <x:v>702</x:v>
      </x:c>
      <x:c r="AF575" s="119" t="n">
        <x:f>IF(3&gt;D575,0,MAX(2,MIN('难度参数'!$E$12,ROUND(('难度参数'!$E$18*POWER(A575,'难度参数'!$E$19)/D575*(0.85+0.3*(3-1)/MAX(1,D575-1))),0)+F575)))</x:f>
        <x:v>41</x:v>
      </x:c>
      <x:c r="AG575" s="119" t="n">
        <x:f>IF(3&gt;D575,0,ROUND(('难度参数'!$E$13*POWER(A575,'难度参数'!$E$20)*MIN('难度参数'!$E$23,1+MAX(0,A575-'难度参数'!$E$21)*'难度参数'!$E$22))*(36+3*7)/(36+7*(D575+1)/2)*E575,0))</x:f>
        <x:v>11580</x:v>
      </x:c>
      <x:c r="AH575" s="119" t="n">
        <x:f>IF(AF575=0,0,(AF575-IF(3=D575,1,0))*ROUND(AG575*VLOOKUP(INDEX('章节与怪物'!$E$31:$K$37,B575,3),'章节与怪物'!$A$41:$F$44,2,FALSE),0)+IF(3=D575,ROUND(AG575*'难度参数'!$E$28*'章节与怪物'!$E$17,0),0))</x:f>
        <x:v>807126</x:v>
      </x:c>
      <x:c r="AI575" s="119" t="n">
        <x:f>IF(AF575=0,0,(AF575-IF(3=D575,1,0))*VLOOKUP(INDEX('章节与怪物'!$E$31:$K$37,B575,3),'章节与怪物'!$A$41:$F$44,4,FALSE)+IF(3=D575,'难度参数'!$E$30,0))</x:f>
        <x:v>1148</x:v>
      </x:c>
      <x:c r="AJ575" s="119" t="n">
        <x:f>IF(4&gt;D575,0,MAX(2,MIN('难度参数'!$E$12,ROUND(('难度参数'!$E$18*POWER(A575,'难度参数'!$E$19)/D575*(0.85+0.3*(4-1)/MAX(1,D575-1))),0)+F575)))</x:f>
        <x:v>43</x:v>
      </x:c>
      <x:c r="AK575" s="119" t="n">
        <x:f>IF(4&gt;D575,0,ROUND(('难度参数'!$E$13*POWER(A575,'难度参数'!$E$20)*MIN('难度参数'!$E$23,1+MAX(0,A575-'难度参数'!$E$21)*'难度参数'!$E$22))*(36+4*7)/(36+7*(D575+1)/2)*E575,0))</x:f>
        <x:v>13002</x:v>
      </x:c>
      <x:c r="AL575" s="119" t="n">
        <x:f>IF(AJ575=0,0,(AJ575-IF(4=D575,1,0))*ROUND(AK575*VLOOKUP(INDEX('章节与怪物'!$E$31:$K$37,B575,4),'章节与怪物'!$A$41:$F$44,2,FALSE),0)+IF(4=D575,ROUND(AK575*'难度参数'!$E$28*'章节与怪物'!$E$17,0),0))</x:f>
        <x:v>754779</x:v>
      </x:c>
      <x:c r="AM575" s="119" t="n">
        <x:f>IF(AJ575=0,0,(AJ575-IF(4=D575,1,0))*VLOOKUP(INDEX('章节与怪物'!$E$31:$K$37,B575,4),'章节与怪物'!$A$41:$F$44,4,FALSE)+IF(4=D575,'难度参数'!$E$30,0))</x:f>
        <x:v>1462</x:v>
      </x:c>
      <x:c r="AN575" s="119" t="n">
        <x:f>IF(5&gt;D575,0,MAX(2,MIN('难度参数'!$E$12,ROUND(('难度参数'!$E$18*POWER(A575,'难度参数'!$E$19)/D575*(0.85+0.3*(5-1)/MAX(1,D575-1))),0)+F575)))</x:f>
        <x:v>46</x:v>
      </x:c>
      <x:c r="AO575" s="119" t="n">
        <x:f>IF(5&gt;D575,0,ROUND(('难度参数'!$E$13*POWER(A575,'难度参数'!$E$20)*MIN('难度参数'!$E$23,1+MAX(0,A575-'难度参数'!$E$21)*'难度参数'!$E$22))*(36+5*7)/(36+7*(D575+1)/2)*E575,0))</x:f>
        <x:v>14424</x:v>
      </x:c>
      <x:c r="AP575" s="119" t="n">
        <x:f>IF(AN575=0,0,(AN575-IF(5=D575,1,0))*ROUND(AO575*VLOOKUP(INDEX('章节与怪物'!$E$31:$K$37,B575,5),'章节与怪物'!$A$41:$F$44,2,FALSE),0)+IF(5=D575,ROUND(AO575*'难度参数'!$E$28*'章节与怪物'!$E$17,0),0))</x:f>
        <x:v>663504</x:v>
      </x:c>
      <x:c r="AQ575" s="119" t="n">
        <x:f>IF(AN575=0,0,(AN575-IF(5=D575,1,0))*VLOOKUP(INDEX('章节与怪物'!$E$31:$K$37,B575,5),'章节与怪物'!$A$41:$F$44,4,FALSE)+IF(5=D575,'难度参数'!$E$30,0))</x:f>
        <x:v>828</x:v>
      </x:c>
      <x:c r="AR575" s="119" t="n">
        <x:f>IF(6&gt;D575,0,MAX(2,MIN('难度参数'!$E$12,ROUND(('难度参数'!$E$18*POWER(A575,'难度参数'!$E$19)/D575*(0.85+0.3*(6-1)/MAX(1,D575-1))),0)+F575)))</x:f>
        <x:v>48</x:v>
      </x:c>
      <x:c r="AS575" s="119" t="n">
        <x:f>IF(6&gt;D575,0,ROUND(('难度参数'!$E$13*POWER(A575,'难度参数'!$E$20)*MIN('难度参数'!$E$23,1+MAX(0,A575-'难度参数'!$E$21)*'难度参数'!$E$22))*(36+6*7)/(36+7*(D575+1)/2)*E575,0))</x:f>
        <x:v>15846</x:v>
      </x:c>
      <x:c r="AT575" s="119" t="n">
        <x:f>IF(AR575=0,0,(AR575-IF(6=D575,1,0))*ROUND(AS575*VLOOKUP(INDEX('章节与怪物'!$E$31:$K$37,B575,6),'章节与怪物'!$A$41:$F$44,2,FALSE),0)+IF(6=D575,ROUND(AS575*'难度参数'!$E$28*'章节与怪物'!$E$17,0),0))</x:f>
        <x:v>1293024</x:v>
      </x:c>
      <x:c r="AU575" s="119" t="n">
        <x:f>IF(AR575=0,0,(AR575-IF(6=D575,1,0))*VLOOKUP(INDEX('章节与怪物'!$E$31:$K$37,B575,6),'章节与怪物'!$A$41:$F$44,4,FALSE)+IF(6=D575,'难度参数'!$E$30,0))</x:f>
        <x:v>1344</x:v>
      </x:c>
      <x:c r="AV575" s="119" t="n">
        <x:f>IF(7&gt;D575,0,MAX(2,MIN('难度参数'!$E$12,ROUND(('难度参数'!$E$18*POWER(A575,'难度参数'!$E$19)/D575*(0.85+0.3*(7-1)/MAX(1,D575-1))),0)+F575)))</x:f>
        <x:v>50</x:v>
      </x:c>
      <x:c r="AW575" s="119" t="n">
        <x:f>IF(7&gt;D575,0,ROUND(('难度参数'!$E$13*POWER(A575,'难度参数'!$E$20)*MIN('难度参数'!$E$23,1+MAX(0,A575-'难度参数'!$E$21)*'难度参数'!$E$22))*(36+7*7)/(36+7*(D575+1)/2)*E575,0))</x:f>
        <x:v>17268</x:v>
      </x:c>
      <x:c r="AX575" s="119" t="n">
        <x:f>IF(AV575=0,0,(AV575-IF(7=D575,1,0))*ROUND(AW575*VLOOKUP(INDEX('章节与怪物'!$E$31:$K$37,B575,7),'章节与怪物'!$A$41:$F$44,2,FALSE),0)+IF(7=D575,ROUND(AW575*'难度参数'!$E$28*'章节与怪物'!$E$17,0),0))</x:f>
        <x:v>1259710</x:v>
      </x:c>
      <x:c r="AY575" s="119" t="n">
        <x:f>IF(AV575=0,0,(AV575-IF(7=D575,1,0))*VLOOKUP(INDEX('章节与怪物'!$E$31:$K$37,B575,7),'章节与怪物'!$A$41:$F$44,4,FALSE)+IF(7=D575,'难度参数'!$E$30,0))</x:f>
        <x:v>1866</x:v>
      </x:c>
    </x:row>
    <x:row r="576" ht="23" customHeight="1">
      <x:c r="A576" s="119" t="n">
        <x:v>570</x:v>
      </x:c>
      <x:c r="B576" s="119" t="n">
        <x:f>MOD(INT((A576-1)/5),7)+1</x:f>
        <x:v>2</x:v>
      </x:c>
      <x:c r="C576" s="62" t="str">
        <x:f>INDEX('章节与怪物'!$B$31:$B$37,B576)</x:f>
        <x:v>黄沙要塞</x:v>
      </x:c>
      <x:c r="D576" s="119" t="n">
        <x:f>MIN('难度参数'!$E$8,MAX('难度参数'!$E$7,A576))</x:f>
        <x:v>7</x:v>
      </x:c>
      <x:c r="E576" s="106" t="n">
        <x:v>1</x:v>
      </x:c>
      <x:c r="F576" s="106" t="n">
        <x:v>0</x:v>
      </x:c>
      <x:c r="G576" s="106" t="n">
        <x:v>1</x:v>
      </x:c>
      <x:c r="H576" s="119" t="n">
        <x:f>SUM(X576,AB576,AF576,AJ576,AN576,AR576,AV576)</x:f>
        <x:v>304</x:v>
      </x:c>
      <x:c r="I576" s="119" t="n">
        <x:f>SUM(Z576,AD576,AH576,AL576,AP576,AT576,AX576)</x:f>
        <x:v>5413973</x:v>
      </x:c>
      <x:c r="J576" s="119" t="n">
        <x:f>ROUND(INDEX(X576:AY576,1,(D576-1)*4+2)*'难度参数'!$E$28*'章节与怪物'!$E$17,0)</x:f>
        <x:v>117572</x:v>
      </x:c>
      <x:c r="K576" s="119" t="n">
        <x:f>SUM(AA576,AE576,AI576,AM576,AQ576,AU576,AY576)</x:f>
        <x:v>8090</x:v>
      </x:c>
      <x:c r="L576" s="62" t="n">
        <x:f>H576*(ROUNDUP('难度参数'!$E$24/('难度参数'!$E$26*'难度参数'!$E$27),0)*'难度参数'!$E$26)/60</x:f>
        <x:v>4.053333333333334</x:v>
      </x:c>
      <x:c r="M576" s="62" t="n">
        <x:f>L576+D576*('难度参数'!$E$49+'难度参数'!$E$50)/60</x:f>
        <x:v>5.220000000000001</x:v>
      </x:c>
      <x:c r="N576" s="119" t="n">
        <x:f>ROUNDDOWN(('经济参数'!$E$20+A576*'经济参数'!$E$21)*G576,0)</x:f>
        <x:v>11580</x:v>
      </x:c>
      <x:c r="O576" s="119" t="n">
        <x:f>ROUNDDOWN(MIN('经济参数'!$E$24,'经济参数'!$E$22+A576*'经济参数'!$E$23)*G576,0)</x:f>
        <x:v>0</x:v>
      </x:c>
      <x:c r="P576" s="119" t="n">
        <x:f>ROUNDDOWN((IF(A576&gt;='材料与任务'!$E$31,'材料与任务'!$E$32,IF(A576&gt;='材料与任务'!$E$25,'材料与任务'!$E$26,IF(A576&gt;='材料与任务'!$E$19,'材料与任务'!$E$20,IF(A576&gt;='材料与任务'!$E$13,'材料与任务'!$E$14,'材料与任务'!$E$8)))))*G576,0)</x:f>
        <x:v>6</x:v>
      </x:c>
      <x:c r="Q576" s="119" t="n">
        <x:f>ROUNDDOWN((IF(A576&gt;='材料与任务'!$E$31,'材料与任务'!$E$33,IF(A576&gt;='材料与任务'!$E$25,'材料与任务'!$E$27,IF(A576&gt;='材料与任务'!$E$19,'材料与任务'!$E$21,IF(A576&gt;='材料与任务'!$E$13,'材料与任务'!$E$15,'材料与任务'!$E$9)))))*G576,0)</x:f>
        <x:v>3</x:v>
      </x:c>
      <x:c r="R576" s="110" t="n">
        <x:f>'装备掉落'!$B$38</x:f>
        <x:v>0.6872058758851213</x:v>
      </x:c>
      <x:c r="S576" s="119" t="n">
        <x:f>MAX(IF(VLOOKUP(A576,'装备掉落'!$A$29:$H$34,2,TRUE)&gt;0,1,0),IF(VLOOKUP(A576,'装备掉落'!$A$29:$H$34,3,TRUE)&gt;0,2,0),IF(VLOOKUP(A576,'装备掉落'!$A$29:$H$34,4,TRUE)&gt;0,3,0),IF(VLOOKUP(A576,'装备掉落'!$A$29:$H$34,5,TRUE)&gt;0,4,0),IF(VLOOKUP(A576,'装备掉落'!$A$29:$H$34,6,TRUE)&gt;0,5,0),IF(VLOOKUP(A576,'装备掉落'!$A$29:$H$34,7,TRUE)&gt;0,6,0),IF(VLOOKUP(A576,'装备掉落'!$A$29:$H$34,8,TRUE)&gt;0,7,0))</x:f>
        <x:v>7</x:v>
      </x:c>
      <x:c r="T576" s="119" t="n">
        <x:f>MIN(7,S576+'经济参数'!$E$70)</x:f>
        <x:v>7</x:v>
      </x:c>
      <x:c r="U576" s="119" t="n">
        <x:f>MIN(7,S576+'经济参数'!$E$71)</x:f>
        <x:v>7</x:v>
      </x:c>
      <x:c r="V576" s="119" t="n">
        <x:f>IF(H576&gt;=('难度参数'!$E$52),1,0)+IF(H576&gt;=('难度参数'!$E$52+'难度参数'!$E$53),1,0)+IF(H576&gt;=('难度参数'!$E$52+'难度参数'!$E$53+'难度参数'!$E$54),1,0)+IF(H576&gt;=('难度参数'!$E$52+'难度参数'!$E$53+'难度参数'!$E$54+'难度参数'!$E$55),1,0)+IF(H576&gt;=('难度参数'!$E$52+'难度参数'!$E$53+'难度参数'!$E$54+'难度参数'!$E$55+'难度参数'!$E$56),1,0)+IF(H576&gt;=('难度参数'!$E$52+'难度参数'!$E$53+'难度参数'!$E$54+'难度参数'!$E$55+'难度参数'!$E$56+'难度参数'!$E$57),1,0)</x:f>
        <x:v>6</x:v>
      </x:c>
      <x:c r="W576" s="62" t="str">
        <x:f>IF(L576&gt;'难度参数'!$E$51,"仅出怪已超目标","还需实测")</x:f>
        <x:v>仅出怪已超目标</x:v>
      </x:c>
      <x:c r="X576" s="119" t="n">
        <x:f>IF(1&gt;D576,0,MAX(2,MIN('难度参数'!$E$12,ROUND(('难度参数'!$E$18*POWER(A576,'难度参数'!$E$19)/D576*(0.85+0.3*(1-1)/MAX(1,D576-1))),0)+F576)))</x:f>
        <x:v>37</x:v>
      </x:c>
      <x:c r="Y576" s="119" t="n">
        <x:f>IF(1&gt;D576,0,ROUND(('难度参数'!$E$13*POWER(A576,'难度参数'!$E$20)*MIN('难度参数'!$E$23,1+MAX(0,A576-'难度参数'!$E$21)*'难度参数'!$E$22))*(36+1*7)/(36+7*(D576+1)/2)*E576,0))</x:f>
        <x:v>8747</x:v>
      </x:c>
      <x:c r="Z576" s="119" t="n">
        <x:f>IF(X576=0,0,(X576-IF(1=D576,1,0))*ROUND(Y576*VLOOKUP(INDEX('章节与怪物'!$E$31:$K$37,B576,1),'章节与怪物'!$A$41:$F$44,2,FALSE),0)+IF(1=D576,ROUND(Y576*'难度参数'!$E$28*'章节与怪物'!$E$17,0),0))</x:f>
        <x:v>233026</x:v>
      </x:c>
      <x:c r="AA576" s="119" t="n">
        <x:f>IF(X576=0,0,(X576-IF(1=D576,1,0))*VLOOKUP(INDEX('章节与怪物'!$E$31:$K$37,B576,1),'章节与怪物'!$A$41:$F$44,4,FALSE)+IF(1=D576,'难度参数'!$E$30,0))</x:f>
        <x:v>740</x:v>
      </x:c>
      <x:c r="AB576" s="119" t="n">
        <x:f>IF(2&gt;D576,0,MAX(2,MIN('难度参数'!$E$12,ROUND(('难度参数'!$E$18*POWER(A576,'难度参数'!$E$19)/D576*(0.85+0.3*(2-1)/MAX(1,D576-1))),0)+F576)))</x:f>
        <x:v>39</x:v>
      </x:c>
      <x:c r="AC576" s="119" t="n">
        <x:f>IF(2&gt;D576,0,ROUND(('难度参数'!$E$13*POWER(A576,'难度参数'!$E$20)*MIN('难度参数'!$E$23,1+MAX(0,A576-'难度参数'!$E$21)*'难度参数'!$E$22))*(36+2*7)/(36+7*(D576+1)/2)*E576,0))</x:f>
        <x:v>10171</x:v>
      </x:c>
      <x:c r="AD576" s="119" t="n">
        <x:f>IF(AB576=0,0,(AB576-IF(2=D576,1,0))*ROUND(AC576*VLOOKUP(INDEX('章节与怪物'!$E$31:$K$37,B576,2),'章节与怪物'!$A$41:$F$44,2,FALSE),0)+IF(2=D576,ROUND(AC576*'难度参数'!$E$28*'章节与怪物'!$E$17,0),0))</x:f>
        <x:v>396669</x:v>
      </x:c>
      <x:c r="AE576" s="119" t="n">
        <x:f>IF(AB576=0,0,(AB576-IF(2=D576,1,0))*VLOOKUP(INDEX('章节与怪物'!$E$31:$K$37,B576,2),'章节与怪物'!$A$41:$F$44,4,FALSE)+IF(2=D576,'难度参数'!$E$30,0))</x:f>
        <x:v>702</x:v>
      </x:c>
      <x:c r="AF576" s="119" t="n">
        <x:f>IF(3&gt;D576,0,MAX(2,MIN('难度参数'!$E$12,ROUND(('难度参数'!$E$18*POWER(A576,'难度参数'!$E$19)/D576*(0.85+0.3*(3-1)/MAX(1,D576-1))),0)+F576)))</x:f>
        <x:v>41</x:v>
      </x:c>
      <x:c r="AG576" s="119" t="n">
        <x:f>IF(3&gt;D576,0,ROUND(('难度参数'!$E$13*POWER(A576,'难度参数'!$E$20)*MIN('难度参数'!$E$23,1+MAX(0,A576-'难度参数'!$E$21)*'难度参数'!$E$22))*(36+3*7)/(36+7*(D576+1)/2)*E576,0))</x:f>
        <x:v>11595</x:v>
      </x:c>
      <x:c r="AH576" s="119" t="n">
        <x:f>IF(AF576=0,0,(AF576-IF(3=D576,1,0))*ROUND(AG576*VLOOKUP(INDEX('章节与怪物'!$E$31:$K$37,B576,3),'章节与怪物'!$A$41:$F$44,2,FALSE),0)+IF(3=D576,ROUND(AG576*'难度参数'!$E$28*'章节与怪物'!$E$17,0),0))</x:f>
        <x:v>808192</x:v>
      </x:c>
      <x:c r="AI576" s="119" t="n">
        <x:f>IF(AF576=0,0,(AF576-IF(3=D576,1,0))*VLOOKUP(INDEX('章节与怪物'!$E$31:$K$37,B576,3),'章节与怪物'!$A$41:$F$44,4,FALSE)+IF(3=D576,'难度参数'!$E$30,0))</x:f>
        <x:v>1148</x:v>
      </x:c>
      <x:c r="AJ576" s="119" t="n">
        <x:f>IF(4&gt;D576,0,MAX(2,MIN('难度参数'!$E$12,ROUND(('难度参数'!$E$18*POWER(A576,'难度参数'!$E$19)/D576*(0.85+0.3*(4-1)/MAX(1,D576-1))),0)+F576)))</x:f>
        <x:v>43</x:v>
      </x:c>
      <x:c r="AK576" s="119" t="n">
        <x:f>IF(4&gt;D576,0,ROUND(('难度参数'!$E$13*POWER(A576,'难度参数'!$E$20)*MIN('难度参数'!$E$23,1+MAX(0,A576-'难度参数'!$E$21)*'难度参数'!$E$22))*(36+4*7)/(36+7*(D576+1)/2)*E576,0))</x:f>
        <x:v>13019</x:v>
      </x:c>
      <x:c r="AL576" s="119" t="n">
        <x:f>IF(AJ576=0,0,(AJ576-IF(4=D576,1,0))*ROUND(AK576*VLOOKUP(INDEX('章节与怪物'!$E$31:$K$37,B576,4),'章节与怪物'!$A$41:$F$44,2,FALSE),0)+IF(4=D576,ROUND(AK576*'难度参数'!$E$28*'章节与怪物'!$E$17,0),0))</x:f>
        <x:v>755768</x:v>
      </x:c>
      <x:c r="AM576" s="119" t="n">
        <x:f>IF(AJ576=0,0,(AJ576-IF(4=D576,1,0))*VLOOKUP(INDEX('章节与怪物'!$E$31:$K$37,B576,4),'章节与怪物'!$A$41:$F$44,4,FALSE)+IF(4=D576,'难度参数'!$E$30,0))</x:f>
        <x:v>1462</x:v>
      </x:c>
      <x:c r="AN576" s="119" t="n">
        <x:f>IF(5&gt;D576,0,MAX(2,MIN('难度参数'!$E$12,ROUND(('难度参数'!$E$18*POWER(A576,'难度参数'!$E$19)/D576*(0.85+0.3*(5-1)/MAX(1,D576-1))),0)+F576)))</x:f>
        <x:v>46</x:v>
      </x:c>
      <x:c r="AO576" s="119" t="n">
        <x:f>IF(5&gt;D576,0,ROUND(('难度参数'!$E$13*POWER(A576,'难度参数'!$E$20)*MIN('难度参数'!$E$23,1+MAX(0,A576-'难度参数'!$E$21)*'难度参数'!$E$22))*(36+5*7)/(36+7*(D576+1)/2)*E576,0))</x:f>
        <x:v>14442</x:v>
      </x:c>
      <x:c r="AP576" s="119" t="n">
        <x:f>IF(AN576=0,0,(AN576-IF(5=D576,1,0))*ROUND(AO576*VLOOKUP(INDEX('章节与怪物'!$E$31:$K$37,B576,5),'章节与怪物'!$A$41:$F$44,2,FALSE),0)+IF(5=D576,ROUND(AO576*'难度参数'!$E$28*'章节与怪物'!$E$17,0),0))</x:f>
        <x:v>664332</x:v>
      </x:c>
      <x:c r="AQ576" s="119" t="n">
        <x:f>IF(AN576=0,0,(AN576-IF(5=D576,1,0))*VLOOKUP(INDEX('章节与怪物'!$E$31:$K$37,B576,5),'章节与怪物'!$A$41:$F$44,4,FALSE)+IF(5=D576,'难度参数'!$E$30,0))</x:f>
        <x:v>828</x:v>
      </x:c>
      <x:c r="AR576" s="119" t="n">
        <x:f>IF(6&gt;D576,0,MAX(2,MIN('难度参数'!$E$12,ROUND(('难度参数'!$E$18*POWER(A576,'难度参数'!$E$19)/D576*(0.85+0.3*(6-1)/MAX(1,D576-1))),0)+F576)))</x:f>
        <x:v>48</x:v>
      </x:c>
      <x:c r="AS576" s="119" t="n">
        <x:f>IF(6&gt;D576,0,ROUND(('难度参数'!$E$13*POWER(A576,'难度参数'!$E$20)*MIN('难度参数'!$E$23,1+MAX(0,A576-'难度参数'!$E$21)*'难度参数'!$E$22))*(36+6*7)/(36+7*(D576+1)/2)*E576,0))</x:f>
        <x:v>15866</x:v>
      </x:c>
      <x:c r="AT576" s="119" t="n">
        <x:f>IF(AR576=0,0,(AR576-IF(6=D576,1,0))*ROUND(AS576*VLOOKUP(INDEX('章节与怪物'!$E$31:$K$37,B576,6),'章节与怪物'!$A$41:$F$44,2,FALSE),0)+IF(6=D576,ROUND(AS576*'难度参数'!$E$28*'章节与怪物'!$E$17,0),0))</x:f>
        <x:v>1294656</x:v>
      </x:c>
      <x:c r="AU576" s="119" t="n">
        <x:f>IF(AR576=0,0,(AR576-IF(6=D576,1,0))*VLOOKUP(INDEX('章节与怪物'!$E$31:$K$37,B576,6),'章节与怪物'!$A$41:$F$44,4,FALSE)+IF(6=D576,'难度参数'!$E$30,0))</x:f>
        <x:v>1344</x:v>
      </x:c>
      <x:c r="AV576" s="119" t="n">
        <x:f>IF(7&gt;D576,0,MAX(2,MIN('难度参数'!$E$12,ROUND(('难度参数'!$E$18*POWER(A576,'难度参数'!$E$19)/D576*(0.85+0.3*(7-1)/MAX(1,D576-1))),0)+F576)))</x:f>
        <x:v>50</x:v>
      </x:c>
      <x:c r="AW576" s="119" t="n">
        <x:f>IF(7&gt;D576,0,ROUND(('难度参数'!$E$13*POWER(A576,'难度参数'!$E$20)*MIN('难度参数'!$E$23,1+MAX(0,A576-'难度参数'!$E$21)*'难度参数'!$E$22))*(36+7*7)/(36+7*(D576+1)/2)*E576,0))</x:f>
        <x:v>17290</x:v>
      </x:c>
      <x:c r="AX576" s="119" t="n">
        <x:f>IF(AV576=0,0,(AV576-IF(7=D576,1,0))*ROUND(AW576*VLOOKUP(INDEX('章节与怪物'!$E$31:$K$37,B576,7),'章节与怪物'!$A$41:$F$44,2,FALSE),0)+IF(7=D576,ROUND(AW576*'难度参数'!$E$28*'章节与怪物'!$E$17,0),0))</x:f>
        <x:v>1261330</x:v>
      </x:c>
      <x:c r="AY576" s="119" t="n">
        <x:f>IF(AV576=0,0,(AV576-IF(7=D576,1,0))*VLOOKUP(INDEX('章节与怪物'!$E$31:$K$37,B576,7),'章节与怪物'!$A$41:$F$44,4,FALSE)+IF(7=D576,'难度参数'!$E$30,0))</x:f>
        <x:v>1866</x:v>
      </x:c>
    </x:row>
    <x:row r="577" ht="23" customHeight="1">
      <x:c r="A577" s="119" t="n">
        <x:v>571</x:v>
      </x:c>
      <x:c r="B577" s="119" t="n">
        <x:f>MOD(INT((A577-1)/5),7)+1</x:f>
        <x:v>3</x:v>
      </x:c>
      <x:c r="C577" s="62" t="str">
        <x:f>INDEX('章节与怪物'!$B$31:$B$37,B577)</x:f>
        <x:v>腐沼秘林</x:v>
      </x:c>
      <x:c r="D577" s="119" t="n">
        <x:f>MIN('难度参数'!$E$8,MAX('难度参数'!$E$7,A577))</x:f>
        <x:v>7</x:v>
      </x:c>
      <x:c r="E577" s="106" t="n">
        <x:v>1</x:v>
      </x:c>
      <x:c r="F577" s="106" t="n">
        <x:v>0</x:v>
      </x:c>
      <x:c r="G577" s="106" t="n">
        <x:v>1</x:v>
      </x:c>
      <x:c r="H577" s="119" t="n">
        <x:f>SUM(X577,AB577,AF577,AJ577,AN577,AR577,AV577)</x:f>
        <x:v>304</x:v>
      </x:c>
      <x:c r="I577" s="119" t="n">
        <x:f>SUM(Z577,AD577,AH577,AL577,AP577,AT577,AX577)</x:f>
        <x:v>5213941</x:v>
      </x:c>
      <x:c r="J577" s="119" t="n">
        <x:f>ROUND(INDEX(X577:AY577,1,(D577-1)*4+2)*'难度参数'!$E$28*'章节与怪物'!$E$17,0)</x:f>
        <x:v>117722</x:v>
      </x:c>
      <x:c r="K577" s="119" t="n">
        <x:f>SUM(AA577,AE577,AI577,AM577,AQ577,AU577,AY577)</x:f>
        <x:v>8186</x:v>
      </x:c>
      <x:c r="L577" s="62" t="n">
        <x:f>H577*(ROUNDUP('难度参数'!$E$24/('难度参数'!$E$26*'难度参数'!$E$27),0)*'难度参数'!$E$26)/60</x:f>
        <x:v>4.053333333333334</x:v>
      </x:c>
      <x:c r="M577" s="62" t="n">
        <x:f>L577+D577*('难度参数'!$E$49+'难度参数'!$E$50)/60</x:f>
        <x:v>5.220000000000001</x:v>
      </x:c>
      <x:c r="N577" s="119" t="n">
        <x:f>ROUNDDOWN(('经济参数'!$E$20+A577*'经济参数'!$E$21)*G577,0)</x:f>
        <x:v>11600</x:v>
      </x:c>
      <x:c r="O577" s="119" t="n">
        <x:f>ROUNDDOWN(MIN('经济参数'!$E$24,'经济参数'!$E$22+A577*'经济参数'!$E$23)*G577,0)</x:f>
        <x:v>0</x:v>
      </x:c>
      <x:c r="P577" s="119" t="n">
        <x:f>ROUNDDOWN((IF(A577&gt;='材料与任务'!$E$31,'材料与任务'!$E$32,IF(A577&gt;='材料与任务'!$E$25,'材料与任务'!$E$26,IF(A577&gt;='材料与任务'!$E$19,'材料与任务'!$E$20,IF(A577&gt;='材料与任务'!$E$13,'材料与任务'!$E$14,'材料与任务'!$E$8)))))*G577,0)</x:f>
        <x:v>6</x:v>
      </x:c>
      <x:c r="Q577" s="119" t="n">
        <x:f>ROUNDDOWN((IF(A577&gt;='材料与任务'!$E$31,'材料与任务'!$E$33,IF(A577&gt;='材料与任务'!$E$25,'材料与任务'!$E$27,IF(A577&gt;='材料与任务'!$E$19,'材料与任务'!$E$21,IF(A577&gt;='材料与任务'!$E$13,'材料与任务'!$E$15,'材料与任务'!$E$9)))))*G577,0)</x:f>
        <x:v>3</x:v>
      </x:c>
      <x:c r="R577" s="110" t="n">
        <x:f>'装备掉落'!$B$38</x:f>
        <x:v>0.6872058758851213</x:v>
      </x:c>
      <x:c r="S577" s="119" t="n">
        <x:f>MAX(IF(VLOOKUP(A577,'装备掉落'!$A$29:$H$34,2,TRUE)&gt;0,1,0),IF(VLOOKUP(A577,'装备掉落'!$A$29:$H$34,3,TRUE)&gt;0,2,0),IF(VLOOKUP(A577,'装备掉落'!$A$29:$H$34,4,TRUE)&gt;0,3,0),IF(VLOOKUP(A577,'装备掉落'!$A$29:$H$34,5,TRUE)&gt;0,4,0),IF(VLOOKUP(A577,'装备掉落'!$A$29:$H$34,6,TRUE)&gt;0,5,0),IF(VLOOKUP(A577,'装备掉落'!$A$29:$H$34,7,TRUE)&gt;0,6,0),IF(VLOOKUP(A577,'装备掉落'!$A$29:$H$34,8,TRUE)&gt;0,7,0))</x:f>
        <x:v>7</x:v>
      </x:c>
      <x:c r="T577" s="119" t="n">
        <x:f>MIN(7,S577+'经济参数'!$E$70)</x:f>
        <x:v>7</x:v>
      </x:c>
      <x:c r="U577" s="119" t="n">
        <x:f>MIN(7,S577+'经济参数'!$E$71)</x:f>
        <x:v>7</x:v>
      </x:c>
      <x:c r="V577" s="119" t="n">
        <x:f>IF(H577&gt;=('难度参数'!$E$52),1,0)+IF(H577&gt;=('难度参数'!$E$52+'难度参数'!$E$53),1,0)+IF(H577&gt;=('难度参数'!$E$52+'难度参数'!$E$53+'难度参数'!$E$54),1,0)+IF(H577&gt;=('难度参数'!$E$52+'难度参数'!$E$53+'难度参数'!$E$54+'难度参数'!$E$55),1,0)+IF(H577&gt;=('难度参数'!$E$52+'难度参数'!$E$53+'难度参数'!$E$54+'难度参数'!$E$55+'难度参数'!$E$56),1,0)+IF(H577&gt;=('难度参数'!$E$52+'难度参数'!$E$53+'难度参数'!$E$54+'难度参数'!$E$55+'难度参数'!$E$56+'难度参数'!$E$57),1,0)</x:f>
        <x:v>6</x:v>
      </x:c>
      <x:c r="W577" s="62" t="str">
        <x:f>IF(L577&gt;'难度参数'!$E$51,"仅出怪已超目标","还需实测")</x:f>
        <x:v>仅出怪已超目标</x:v>
      </x:c>
      <x:c r="X577" s="119" t="n">
        <x:f>IF(1&gt;D577,0,MAX(2,MIN('难度参数'!$E$12,ROUND(('难度参数'!$E$18*POWER(A577,'难度参数'!$E$19)/D577*(0.85+0.3*(1-1)/MAX(1,D577-1))),0)+F577)))</x:f>
        <x:v>37</x:v>
      </x:c>
      <x:c r="Y577" s="119" t="n">
        <x:f>IF(1&gt;D577,0,ROUND(('难度参数'!$E$13*POWER(A577,'难度参数'!$E$20)*MIN('难度参数'!$E$23,1+MAX(0,A577-'难度参数'!$E$21)*'难度参数'!$E$22))*(36+1*7)/(36+7*(D577+1)/2)*E577,0))</x:f>
        <x:v>8758</x:v>
      </x:c>
      <x:c r="Z577" s="119" t="n">
        <x:f>IF(X577=0,0,(X577-IF(1=D577,1,0))*ROUND(Y577*VLOOKUP(INDEX('章节与怪物'!$E$31:$K$37,B577,1),'章节与怪物'!$A$41:$F$44,2,FALSE),0)+IF(1=D577,ROUND(Y577*'难度参数'!$E$28*'章节与怪物'!$E$17,0),0))</x:f>
        <x:v>324046</x:v>
      </x:c>
      <x:c r="AA577" s="119" t="n">
        <x:f>IF(X577=0,0,(X577-IF(1=D577,1,0))*VLOOKUP(INDEX('章节与怪物'!$E$31:$K$37,B577,1),'章节与怪物'!$A$41:$F$44,4,FALSE)+IF(1=D577,'难度参数'!$E$30,0))</x:f>
        <x:v>666</x:v>
      </x:c>
      <x:c r="AB577" s="119" t="n">
        <x:f>IF(2&gt;D577,0,MAX(2,MIN('难度参数'!$E$12,ROUND(('难度参数'!$E$18*POWER(A577,'难度参数'!$E$19)/D577*(0.85+0.3*(2-1)/MAX(1,D577-1))),0)+F577)))</x:f>
        <x:v>39</x:v>
      </x:c>
      <x:c r="AC577" s="119" t="n">
        <x:f>IF(2&gt;D577,0,ROUND(('难度参数'!$E$13*POWER(A577,'难度参数'!$E$20)*MIN('难度参数'!$E$23,1+MAX(0,A577-'难度参数'!$E$21)*'难度参数'!$E$22))*(36+2*7)/(36+7*(D577+1)/2)*E577,0))</x:f>
        <x:v>10184</x:v>
      </x:c>
      <x:c r="AD577" s="119" t="n">
        <x:f>IF(AB577=0,0,(AB577-IF(2=D577,1,0))*ROUND(AC577*VLOOKUP(INDEX('章节与怪物'!$E$31:$K$37,B577,2),'章节与怪物'!$A$41:$F$44,2,FALSE),0)+IF(2=D577,ROUND(AC577*'难度参数'!$E$28*'章节与怪物'!$E$17,0),0))</x:f>
        <x:v>285948</x:v>
      </x:c>
      <x:c r="AE577" s="119" t="n">
        <x:f>IF(AB577=0,0,(AB577-IF(2=D577,1,0))*VLOOKUP(INDEX('章节与怪物'!$E$31:$K$37,B577,2),'章节与怪物'!$A$41:$F$44,4,FALSE)+IF(2=D577,'难度参数'!$E$30,0))</x:f>
        <x:v>780</x:v>
      </x:c>
      <x:c r="AF577" s="119" t="n">
        <x:f>IF(3&gt;D577,0,MAX(2,MIN('难度参数'!$E$12,ROUND(('难度参数'!$E$18*POWER(A577,'难度参数'!$E$19)/D577*(0.85+0.3*(3-1)/MAX(1,D577-1))),0)+F577)))</x:f>
        <x:v>41</x:v>
      </x:c>
      <x:c r="AG577" s="119" t="n">
        <x:f>IF(3&gt;D577,0,ROUND(('难度参数'!$E$13*POWER(A577,'难度参数'!$E$20)*MIN('难度参数'!$E$23,1+MAX(0,A577-'难度参数'!$E$21)*'难度参数'!$E$22))*(36+3*7)/(36+7*(D577+1)/2)*E577,0))</x:f>
        <x:v>11609</x:v>
      </x:c>
      <x:c r="AH577" s="119" t="n">
        <x:f>IF(AF577=0,0,(AF577-IF(3=D577,1,0))*ROUND(AG577*VLOOKUP(INDEX('章节与怪物'!$E$31:$K$37,B577,3),'章节与怪物'!$A$41:$F$44,2,FALSE),0)+IF(3=D577,ROUND(AG577*'难度参数'!$E$28*'章节与怪物'!$E$17,0),0))</x:f>
        <x:v>809135</x:v>
      </x:c>
      <x:c r="AI577" s="119" t="n">
        <x:f>IF(AF577=0,0,(AF577-IF(3=D577,1,0))*VLOOKUP(INDEX('章节与怪物'!$E$31:$K$37,B577,3),'章节与怪物'!$A$41:$F$44,4,FALSE)+IF(3=D577,'难度参数'!$E$30,0))</x:f>
        <x:v>1148</x:v>
      </x:c>
      <x:c r="AJ577" s="119" t="n">
        <x:f>IF(4&gt;D577,0,MAX(2,MIN('难度参数'!$E$12,ROUND(('难度参数'!$E$18*POWER(A577,'难度参数'!$E$19)/D577*(0.85+0.3*(4-1)/MAX(1,D577-1))),0)+F577)))</x:f>
        <x:v>43</x:v>
      </x:c>
      <x:c r="AK577" s="119" t="n">
        <x:f>IF(4&gt;D577,0,ROUND(('难度参数'!$E$13*POWER(A577,'难度参数'!$E$20)*MIN('难度参数'!$E$23,1+MAX(0,A577-'难度参数'!$E$21)*'难度参数'!$E$22))*(36+4*7)/(36+7*(D577+1)/2)*E577,0))</x:f>
        <x:v>13035</x:v>
      </x:c>
      <x:c r="AL577" s="119" t="n">
        <x:f>IF(AJ577=0,0,(AJ577-IF(4=D577,1,0))*ROUND(AK577*VLOOKUP(INDEX('章节与怪物'!$E$31:$K$37,B577,4),'章节与怪物'!$A$41:$F$44,2,FALSE),0)+IF(4=D577,ROUND(AK577*'难度参数'!$E$28*'章节与怪物'!$E$17,0),0))</x:f>
        <x:v>756671</x:v>
      </x:c>
      <x:c r="AM577" s="119" t="n">
        <x:f>IF(AJ577=0,0,(AJ577-IF(4=D577,1,0))*VLOOKUP(INDEX('章节与怪物'!$E$31:$K$37,B577,4),'章节与怪物'!$A$41:$F$44,4,FALSE)+IF(4=D577,'难度参数'!$E$30,0))</x:f>
        <x:v>1462</x:v>
      </x:c>
      <x:c r="AN577" s="119" t="n">
        <x:f>IF(5&gt;D577,0,MAX(2,MIN('难度参数'!$E$12,ROUND(('难度参数'!$E$18*POWER(A577,'难度参数'!$E$19)/D577*(0.85+0.3*(5-1)/MAX(1,D577-1))),0)+F577)))</x:f>
        <x:v>46</x:v>
      </x:c>
      <x:c r="AO577" s="119" t="n">
        <x:f>IF(5&gt;D577,0,ROUND(('难度参数'!$E$13*POWER(A577,'难度参数'!$E$20)*MIN('难度参数'!$E$23,1+MAX(0,A577-'难度参数'!$E$21)*'难度参数'!$E$22))*(36+5*7)/(36+7*(D577+1)/2)*E577,0))</x:f>
        <x:v>14461</x:v>
      </x:c>
      <x:c r="AP577" s="119" t="n">
        <x:f>IF(AN577=0,0,(AN577-IF(5=D577,1,0))*ROUND(AO577*VLOOKUP(INDEX('章节与怪物'!$E$31:$K$37,B577,5),'章节与怪物'!$A$41:$F$44,2,FALSE),0)+IF(5=D577,ROUND(AO577*'难度参数'!$E$28*'章节与怪物'!$E$17,0),0))</x:f>
        <x:v>478952</x:v>
      </x:c>
      <x:c r="AQ577" s="119" t="n">
        <x:f>IF(AN577=0,0,(AN577-IF(5=D577,1,0))*VLOOKUP(INDEX('章节与怪物'!$E$31:$K$37,B577,5),'章节与怪物'!$A$41:$F$44,4,FALSE)+IF(5=D577,'难度参数'!$E$30,0))</x:f>
        <x:v>920</x:v>
      </x:c>
      <x:c r="AR577" s="119" t="n">
        <x:f>IF(6&gt;D577,0,MAX(2,MIN('难度参数'!$E$12,ROUND(('难度参数'!$E$18*POWER(A577,'难度参数'!$E$19)/D577*(0.85+0.3*(6-1)/MAX(1,D577-1))),0)+F577)))</x:f>
        <x:v>48</x:v>
      </x:c>
      <x:c r="AS577" s="119" t="n">
        <x:f>IF(6&gt;D577,0,ROUND(('难度参数'!$E$13*POWER(A577,'难度参数'!$E$20)*MIN('难度参数'!$E$23,1+MAX(0,A577-'难度参数'!$E$21)*'难度参数'!$E$22))*(36+6*7)/(36+7*(D577+1)/2)*E577,0))</x:f>
        <x:v>15886</x:v>
      </x:c>
      <x:c r="AT577" s="119" t="n">
        <x:f>IF(AR577=0,0,(AR577-IF(6=D577,1,0))*ROUND(AS577*VLOOKUP(INDEX('章节与怪物'!$E$31:$K$37,B577,6),'章节与怪物'!$A$41:$F$44,2,FALSE),0)+IF(6=D577,ROUND(AS577*'难度参数'!$E$28*'章节与怪物'!$E$17,0),0))</x:f>
        <x:v>1296288</x:v>
      </x:c>
      <x:c r="AU577" s="119" t="n">
        <x:f>IF(AR577=0,0,(AR577-IF(6=D577,1,0))*VLOOKUP(INDEX('章节与怪物'!$E$31:$K$37,B577,6),'章节与怪物'!$A$41:$F$44,4,FALSE)+IF(6=D577,'难度参数'!$E$30,0))</x:f>
        <x:v>1344</x:v>
      </x:c>
      <x:c r="AV577" s="119" t="n">
        <x:f>IF(7&gt;D577,0,MAX(2,MIN('难度参数'!$E$12,ROUND(('难度参数'!$E$18*POWER(A577,'难度参数'!$E$19)/D577*(0.85+0.3*(7-1)/MAX(1,D577-1))),0)+F577)))</x:f>
        <x:v>50</x:v>
      </x:c>
      <x:c r="AW577" s="119" t="n">
        <x:f>IF(7&gt;D577,0,ROUND(('难度参数'!$E$13*POWER(A577,'难度参数'!$E$20)*MIN('难度参数'!$E$23,1+MAX(0,A577-'难度参数'!$E$21)*'难度参数'!$E$22))*(36+7*7)/(36+7*(D577+1)/2)*E577,0))</x:f>
        <x:v>17312</x:v>
      </x:c>
      <x:c r="AX577" s="119" t="n">
        <x:f>IF(AV577=0,0,(AV577-IF(7=D577,1,0))*ROUND(AW577*VLOOKUP(INDEX('章节与怪物'!$E$31:$K$37,B577,7),'章节与怪物'!$A$41:$F$44,2,FALSE),0)+IF(7=D577,ROUND(AW577*'难度参数'!$E$28*'章节与怪物'!$E$17,0),0))</x:f>
        <x:v>1262901</x:v>
      </x:c>
      <x:c r="AY577" s="119" t="n">
        <x:f>IF(AV577=0,0,(AV577-IF(7=D577,1,0))*VLOOKUP(INDEX('章节与怪物'!$E$31:$K$37,B577,7),'章节与怪物'!$A$41:$F$44,4,FALSE)+IF(7=D577,'难度参数'!$E$30,0))</x:f>
        <x:v>1866</x:v>
      </x:c>
    </x:row>
    <x:row r="578" ht="23" customHeight="1">
      <x:c r="A578" s="119" t="n">
        <x:v>572</x:v>
      </x:c>
      <x:c r="B578" s="119" t="n">
        <x:f>MOD(INT((A578-1)/5),7)+1</x:f>
        <x:v>3</x:v>
      </x:c>
      <x:c r="C578" s="62" t="str">
        <x:f>INDEX('章节与怪物'!$B$31:$B$37,B578)</x:f>
        <x:v>腐沼秘林</x:v>
      </x:c>
      <x:c r="D578" s="119" t="n">
        <x:f>MIN('难度参数'!$E$8,MAX('难度参数'!$E$7,A578))</x:f>
        <x:v>7</x:v>
      </x:c>
      <x:c r="E578" s="106" t="n">
        <x:v>1</x:v>
      </x:c>
      <x:c r="F578" s="106" t="n">
        <x:v>0</x:v>
      </x:c>
      <x:c r="G578" s="106" t="n">
        <x:v>1</x:v>
      </x:c>
      <x:c r="H578" s="119" t="n">
        <x:f>SUM(X578,AB578,AF578,AJ578,AN578,AR578,AV578)</x:f>
        <x:v>305</x:v>
      </x:c>
      <x:c r="I578" s="119" t="n">
        <x:f>SUM(Z578,AD578,AH578,AL578,AP578,AT578,AX578)</x:f>
        <x:v>5238179</x:v>
      </x:c>
      <x:c r="J578" s="119" t="n">
        <x:f>ROUND(INDEX(X578:AY578,1,(D578-1)*4+2)*'难度参数'!$E$28*'章节与怪物'!$E$17,0)</x:f>
        <x:v>117871</x:v>
      </x:c>
      <x:c r="K578" s="119" t="n">
        <x:f>SUM(AA578,AE578,AI578,AM578,AQ578,AU578,AY578)</x:f>
        <x:v>8220</x:v>
      </x:c>
      <x:c r="L578" s="62" t="n">
        <x:f>H578*(ROUNDUP('难度参数'!$E$24/('难度参数'!$E$26*'难度参数'!$E$27),0)*'难度参数'!$E$26)/60</x:f>
        <x:v>4.066666666666666</x:v>
      </x:c>
      <x:c r="M578" s="62" t="n">
        <x:f>L578+D578*('难度参数'!$E$49+'难度参数'!$E$50)/60</x:f>
        <x:v>5.233333333333333</x:v>
      </x:c>
      <x:c r="N578" s="119" t="n">
        <x:f>ROUNDDOWN(('经济参数'!$E$20+A578*'经济参数'!$E$21)*G578,0)</x:f>
        <x:v>11620</x:v>
      </x:c>
      <x:c r="O578" s="119" t="n">
        <x:f>ROUNDDOWN(MIN('经济参数'!$E$24,'经济参数'!$E$22+A578*'经济参数'!$E$23)*G578,0)</x:f>
        <x:v>0</x:v>
      </x:c>
      <x:c r="P578" s="119" t="n">
        <x:f>ROUNDDOWN((IF(A578&gt;='材料与任务'!$E$31,'材料与任务'!$E$32,IF(A578&gt;='材料与任务'!$E$25,'材料与任务'!$E$26,IF(A578&gt;='材料与任务'!$E$19,'材料与任务'!$E$20,IF(A578&gt;='材料与任务'!$E$13,'材料与任务'!$E$14,'材料与任务'!$E$8)))))*G578,0)</x:f>
        <x:v>6</x:v>
      </x:c>
      <x:c r="Q578" s="119" t="n">
        <x:f>ROUNDDOWN((IF(A578&gt;='材料与任务'!$E$31,'材料与任务'!$E$33,IF(A578&gt;='材料与任务'!$E$25,'材料与任务'!$E$27,IF(A578&gt;='材料与任务'!$E$19,'材料与任务'!$E$21,IF(A578&gt;='材料与任务'!$E$13,'材料与任务'!$E$15,'材料与任务'!$E$9)))))*G578,0)</x:f>
        <x:v>3</x:v>
      </x:c>
      <x:c r="R578" s="110" t="n">
        <x:f>'装备掉落'!$B$38</x:f>
        <x:v>0.6872058758851213</x:v>
      </x:c>
      <x:c r="S578" s="119" t="n">
        <x:f>MAX(IF(VLOOKUP(A578,'装备掉落'!$A$29:$H$34,2,TRUE)&gt;0,1,0),IF(VLOOKUP(A578,'装备掉落'!$A$29:$H$34,3,TRUE)&gt;0,2,0),IF(VLOOKUP(A578,'装备掉落'!$A$29:$H$34,4,TRUE)&gt;0,3,0),IF(VLOOKUP(A578,'装备掉落'!$A$29:$H$34,5,TRUE)&gt;0,4,0),IF(VLOOKUP(A578,'装备掉落'!$A$29:$H$34,6,TRUE)&gt;0,5,0),IF(VLOOKUP(A578,'装备掉落'!$A$29:$H$34,7,TRUE)&gt;0,6,0),IF(VLOOKUP(A578,'装备掉落'!$A$29:$H$34,8,TRUE)&gt;0,7,0))</x:f>
        <x:v>7</x:v>
      </x:c>
      <x:c r="T578" s="119" t="n">
        <x:f>MIN(7,S578+'经济参数'!$E$70)</x:f>
        <x:v>7</x:v>
      </x:c>
      <x:c r="U578" s="119" t="n">
        <x:f>MIN(7,S578+'经济参数'!$E$71)</x:f>
        <x:v>7</x:v>
      </x:c>
      <x:c r="V578" s="119" t="n">
        <x:f>IF(H578&gt;=('难度参数'!$E$52),1,0)+IF(H578&gt;=('难度参数'!$E$52+'难度参数'!$E$53),1,0)+IF(H578&gt;=('难度参数'!$E$52+'难度参数'!$E$53+'难度参数'!$E$54),1,0)+IF(H578&gt;=('难度参数'!$E$52+'难度参数'!$E$53+'难度参数'!$E$54+'难度参数'!$E$55),1,0)+IF(H578&gt;=('难度参数'!$E$52+'难度参数'!$E$53+'难度参数'!$E$54+'难度参数'!$E$55+'难度参数'!$E$56),1,0)+IF(H578&gt;=('难度参数'!$E$52+'难度参数'!$E$53+'难度参数'!$E$54+'难度参数'!$E$55+'难度参数'!$E$56+'难度参数'!$E$57),1,0)</x:f>
        <x:v>6</x:v>
      </x:c>
      <x:c r="W578" s="62" t="str">
        <x:f>IF(L578&gt;'难度参数'!$E$51,"仅出怪已超目标","还需实测")</x:f>
        <x:v>仅出怪已超目标</x:v>
      </x:c>
      <x:c r="X578" s="119" t="n">
        <x:f>IF(1&gt;D578,0,MAX(2,MIN('难度参数'!$E$12,ROUND(('难度参数'!$E$18*POWER(A578,'难度参数'!$E$19)/D578*(0.85+0.3*(1-1)/MAX(1,D578-1))),0)+F578)))</x:f>
        <x:v>37</x:v>
      </x:c>
      <x:c r="Y578" s="119" t="n">
        <x:f>IF(1&gt;D578,0,ROUND(('难度参数'!$E$13*POWER(A578,'难度参数'!$E$20)*MIN('难度参数'!$E$23,1+MAX(0,A578-'难度参数'!$E$21)*'难度参数'!$E$22))*(36+1*7)/(36+7*(D578+1)/2)*E578,0))</x:f>
        <x:v>8769</x:v>
      </x:c>
      <x:c r="Z578" s="119" t="n">
        <x:f>IF(X578=0,0,(X578-IF(1=D578,1,0))*ROUND(Y578*VLOOKUP(INDEX('章节与怪物'!$E$31:$K$37,B578,1),'章节与怪物'!$A$41:$F$44,2,FALSE),0)+IF(1=D578,ROUND(Y578*'难度参数'!$E$28*'章节与怪物'!$E$17,0),0))</x:f>
        <x:v>324453</x:v>
      </x:c>
      <x:c r="AA578" s="119" t="n">
        <x:f>IF(X578=0,0,(X578-IF(1=D578,1,0))*VLOOKUP(INDEX('章节与怪物'!$E$31:$K$37,B578,1),'章节与怪物'!$A$41:$F$44,4,FALSE)+IF(1=D578,'难度参数'!$E$30,0))</x:f>
        <x:v>666</x:v>
      </x:c>
      <x:c r="AB578" s="119" t="n">
        <x:f>IF(2&gt;D578,0,MAX(2,MIN('难度参数'!$E$12,ROUND(('难度参数'!$E$18*POWER(A578,'难度参数'!$E$19)/D578*(0.85+0.3*(2-1)/MAX(1,D578-1))),0)+F578)))</x:f>
        <x:v>39</x:v>
      </x:c>
      <x:c r="AC578" s="119" t="n">
        <x:f>IF(2&gt;D578,0,ROUND(('难度参数'!$E$13*POWER(A578,'难度参数'!$E$20)*MIN('难度参数'!$E$23,1+MAX(0,A578-'难度参数'!$E$21)*'难度参数'!$E$22))*(36+2*7)/(36+7*(D578+1)/2)*E578,0))</x:f>
        <x:v>10196</x:v>
      </x:c>
      <x:c r="AD578" s="119" t="n">
        <x:f>IF(AB578=0,0,(AB578-IF(2=D578,1,0))*ROUND(AC578*VLOOKUP(INDEX('章节与怪物'!$E$31:$K$37,B578,2),'章节与怪物'!$A$41:$F$44,2,FALSE),0)+IF(2=D578,ROUND(AC578*'难度参数'!$E$28*'章节与怪物'!$E$17,0),0))</x:f>
        <x:v>286299</x:v>
      </x:c>
      <x:c r="AE578" s="119" t="n">
        <x:f>IF(AB578=0,0,(AB578-IF(2=D578,1,0))*VLOOKUP(INDEX('章节与怪物'!$E$31:$K$37,B578,2),'章节与怪物'!$A$41:$F$44,4,FALSE)+IF(2=D578,'难度参数'!$E$30,0))</x:f>
        <x:v>780</x:v>
      </x:c>
      <x:c r="AF578" s="119" t="n">
        <x:f>IF(3&gt;D578,0,MAX(2,MIN('难度参数'!$E$12,ROUND(('难度参数'!$E$18*POWER(A578,'难度参数'!$E$19)/D578*(0.85+0.3*(3-1)/MAX(1,D578-1))),0)+F578)))</x:f>
        <x:v>41</x:v>
      </x:c>
      <x:c r="AG578" s="119" t="n">
        <x:f>IF(3&gt;D578,0,ROUND(('难度参数'!$E$13*POWER(A578,'难度参数'!$E$20)*MIN('难度参数'!$E$23,1+MAX(0,A578-'难度参数'!$E$21)*'难度参数'!$E$22))*(36+3*7)/(36+7*(D578+1)/2)*E578,0))</x:f>
        <x:v>11624</x:v>
      </x:c>
      <x:c r="AH578" s="119" t="n">
        <x:f>IF(AF578=0,0,(AF578-IF(3=D578,1,0))*ROUND(AG578*VLOOKUP(INDEX('章节与怪物'!$E$31:$K$37,B578,3),'章节与怪物'!$A$41:$F$44,2,FALSE),0)+IF(3=D578,ROUND(AG578*'难度参数'!$E$28*'章节与怪物'!$E$17,0),0))</x:f>
        <x:v>810201</x:v>
      </x:c>
      <x:c r="AI578" s="119" t="n">
        <x:f>IF(AF578=0,0,(AF578-IF(3=D578,1,0))*VLOOKUP(INDEX('章节与怪物'!$E$31:$K$37,B578,3),'章节与怪物'!$A$41:$F$44,4,FALSE)+IF(3=D578,'难度参数'!$E$30,0))</x:f>
        <x:v>1148</x:v>
      </x:c>
      <x:c r="AJ578" s="119" t="n">
        <x:f>IF(4&gt;D578,0,MAX(2,MIN('难度参数'!$E$12,ROUND(('难度参数'!$E$18*POWER(A578,'难度参数'!$E$19)/D578*(0.85+0.3*(4-1)/MAX(1,D578-1))),0)+F578)))</x:f>
        <x:v>44</x:v>
      </x:c>
      <x:c r="AK578" s="119" t="n">
        <x:f>IF(4&gt;D578,0,ROUND(('难度参数'!$E$13*POWER(A578,'难度参数'!$E$20)*MIN('难度参数'!$E$23,1+MAX(0,A578-'难度参数'!$E$21)*'难度参数'!$E$22))*(36+4*7)/(36+7*(D578+1)/2)*E578,0))</x:f>
        <x:v>13051</x:v>
      </x:c>
      <x:c r="AL578" s="119" t="n">
        <x:f>IF(AJ578=0,0,(AJ578-IF(4=D578,1,0))*ROUND(AK578*VLOOKUP(INDEX('章节与怪物'!$E$31:$K$37,B578,4),'章节与怪物'!$A$41:$F$44,2,FALSE),0)+IF(4=D578,ROUND(AK578*'难度参数'!$E$28*'章节与怪物'!$E$17,0),0))</x:f>
        <x:v>775236</x:v>
      </x:c>
      <x:c r="AM578" s="119" t="n">
        <x:f>IF(AJ578=0,0,(AJ578-IF(4=D578,1,0))*VLOOKUP(INDEX('章节与怪物'!$E$31:$K$37,B578,4),'章节与怪物'!$A$41:$F$44,4,FALSE)+IF(4=D578,'难度参数'!$E$30,0))</x:f>
        <x:v>1496</x:v>
      </x:c>
      <x:c r="AN578" s="119" t="n">
        <x:f>IF(5&gt;D578,0,MAX(2,MIN('难度参数'!$E$12,ROUND(('难度参数'!$E$18*POWER(A578,'难度参数'!$E$19)/D578*(0.85+0.3*(5-1)/MAX(1,D578-1))),0)+F578)))</x:f>
        <x:v>46</x:v>
      </x:c>
      <x:c r="AO578" s="119" t="n">
        <x:f>IF(5&gt;D578,0,ROUND(('难度参数'!$E$13*POWER(A578,'难度参数'!$E$20)*MIN('难度参数'!$E$23,1+MAX(0,A578-'难度参数'!$E$21)*'难度参数'!$E$22))*(36+5*7)/(36+7*(D578+1)/2)*E578,0))</x:f>
        <x:v>14479</x:v>
      </x:c>
      <x:c r="AP578" s="119" t="n">
        <x:f>IF(AN578=0,0,(AN578-IF(5=D578,1,0))*ROUND(AO578*VLOOKUP(INDEX('章节与怪物'!$E$31:$K$37,B578,5),'章节与怪物'!$A$41:$F$44,2,FALSE),0)+IF(5=D578,ROUND(AO578*'难度参数'!$E$28*'章节与怪物'!$E$17,0),0))</x:f>
        <x:v>479550</x:v>
      </x:c>
      <x:c r="AQ578" s="119" t="n">
        <x:f>IF(AN578=0,0,(AN578-IF(5=D578,1,0))*VLOOKUP(INDEX('章节与怪物'!$E$31:$K$37,B578,5),'章节与怪物'!$A$41:$F$44,4,FALSE)+IF(5=D578,'难度参数'!$E$30,0))</x:f>
        <x:v>920</x:v>
      </x:c>
      <x:c r="AR578" s="119" t="n">
        <x:f>IF(6&gt;D578,0,MAX(2,MIN('难度参数'!$E$12,ROUND(('难度参数'!$E$18*POWER(A578,'难度参数'!$E$19)/D578*(0.85+0.3*(6-1)/MAX(1,D578-1))),0)+F578)))</x:f>
        <x:v>48</x:v>
      </x:c>
      <x:c r="AS578" s="119" t="n">
        <x:f>IF(6&gt;D578,0,ROUND(('难度参数'!$E$13*POWER(A578,'难度参数'!$E$20)*MIN('难度参数'!$E$23,1+MAX(0,A578-'难度参数'!$E$21)*'难度参数'!$E$22))*(36+6*7)/(36+7*(D578+1)/2)*E578,0))</x:f>
        <x:v>15906</x:v>
      </x:c>
      <x:c r="AT578" s="119" t="n">
        <x:f>IF(AR578=0,0,(AR578-IF(6=D578,1,0))*ROUND(AS578*VLOOKUP(INDEX('章节与怪物'!$E$31:$K$37,B578,6),'章节与怪物'!$A$41:$F$44,2,FALSE),0)+IF(6=D578,ROUND(AS578*'难度参数'!$E$28*'章节与怪物'!$E$17,0),0))</x:f>
        <x:v>1297920</x:v>
      </x:c>
      <x:c r="AU578" s="119" t="n">
        <x:f>IF(AR578=0,0,(AR578-IF(6=D578,1,0))*VLOOKUP(INDEX('章节与怪物'!$E$31:$K$37,B578,6),'章节与怪物'!$A$41:$F$44,4,FALSE)+IF(6=D578,'难度参数'!$E$30,0))</x:f>
        <x:v>1344</x:v>
      </x:c>
      <x:c r="AV578" s="119" t="n">
        <x:f>IF(7&gt;D578,0,MAX(2,MIN('难度参数'!$E$12,ROUND(('难度参数'!$E$18*POWER(A578,'难度参数'!$E$19)/D578*(0.85+0.3*(7-1)/MAX(1,D578-1))),0)+F578)))</x:f>
        <x:v>50</x:v>
      </x:c>
      <x:c r="AW578" s="119" t="n">
        <x:f>IF(7&gt;D578,0,ROUND(('难度参数'!$E$13*POWER(A578,'难度参数'!$E$20)*MIN('难度参数'!$E$23,1+MAX(0,A578-'难度参数'!$E$21)*'难度参数'!$E$22))*(36+7*7)/(36+7*(D578+1)/2)*E578,0))</x:f>
        <x:v>17334</x:v>
      </x:c>
      <x:c r="AX578" s="119" t="n">
        <x:f>IF(AV578=0,0,(AV578-IF(7=D578,1,0))*ROUND(AW578*VLOOKUP(INDEX('章节与怪物'!$E$31:$K$37,B578,7),'章节与怪物'!$A$41:$F$44,2,FALSE),0)+IF(7=D578,ROUND(AW578*'难度参数'!$E$28*'章节与怪物'!$E$17,0),0))</x:f>
        <x:v>1264520</x:v>
      </x:c>
      <x:c r="AY578" s="119" t="n">
        <x:f>IF(AV578=0,0,(AV578-IF(7=D578,1,0))*VLOOKUP(INDEX('章节与怪物'!$E$31:$K$37,B578,7),'章节与怪物'!$A$41:$F$44,4,FALSE)+IF(7=D578,'难度参数'!$E$30,0))</x:f>
        <x:v>1866</x:v>
      </x:c>
    </x:row>
    <x:row r="579" ht="23" customHeight="1">
      <x:c r="A579" s="119" t="n">
        <x:v>573</x:v>
      </x:c>
      <x:c r="B579" s="119" t="n">
        <x:f>MOD(INT((A579-1)/5),7)+1</x:f>
        <x:v>3</x:v>
      </x:c>
      <x:c r="C579" s="62" t="str">
        <x:f>INDEX('章节与怪物'!$B$31:$B$37,B579)</x:f>
        <x:v>腐沼秘林</x:v>
      </x:c>
      <x:c r="D579" s="119" t="n">
        <x:f>MIN('难度参数'!$E$8,MAX('难度参数'!$E$7,A579))</x:f>
        <x:v>7</x:v>
      </x:c>
      <x:c r="E579" s="106" t="n">
        <x:v>1</x:v>
      </x:c>
      <x:c r="F579" s="106" t="n">
        <x:v>0</x:v>
      </x:c>
      <x:c r="G579" s="106" t="n">
        <x:v>1</x:v>
      </x:c>
      <x:c r="H579" s="119" t="n">
        <x:f>SUM(X579,AB579,AF579,AJ579,AN579,AR579,AV579)</x:f>
        <x:v>305</x:v>
      </x:c>
      <x:c r="I579" s="119" t="n">
        <x:f>SUM(Z579,AD579,AH579,AL579,AP579,AT579,AX579)</x:f>
        <x:v>5244824</x:v>
      </x:c>
      <x:c r="J579" s="119" t="n">
        <x:f>ROUND(INDEX(X579:AY579,1,(D579-1)*4+2)*'难度参数'!$E$28*'章节与怪物'!$E$17,0)</x:f>
        <x:v>118021</x:v>
      </x:c>
      <x:c r="K579" s="119" t="n">
        <x:f>SUM(AA579,AE579,AI579,AM579,AQ579,AU579,AY579)</x:f>
        <x:v>8220</x:v>
      </x:c>
      <x:c r="L579" s="62" t="n">
        <x:f>H579*(ROUNDUP('难度参数'!$E$24/('难度参数'!$E$26*'难度参数'!$E$27),0)*'难度参数'!$E$26)/60</x:f>
        <x:v>4.066666666666666</x:v>
      </x:c>
      <x:c r="M579" s="62" t="n">
        <x:f>L579+D579*('难度参数'!$E$49+'难度参数'!$E$50)/60</x:f>
        <x:v>5.233333333333333</x:v>
      </x:c>
      <x:c r="N579" s="119" t="n">
        <x:f>ROUNDDOWN(('经济参数'!$E$20+A579*'经济参数'!$E$21)*G579,0)</x:f>
        <x:v>11640</x:v>
      </x:c>
      <x:c r="O579" s="119" t="n">
        <x:f>ROUNDDOWN(MIN('经济参数'!$E$24,'经济参数'!$E$22+A579*'经济参数'!$E$23)*G579,0)</x:f>
        <x:v>0</x:v>
      </x:c>
      <x:c r="P579" s="119" t="n">
        <x:f>ROUNDDOWN((IF(A579&gt;='材料与任务'!$E$31,'材料与任务'!$E$32,IF(A579&gt;='材料与任务'!$E$25,'材料与任务'!$E$26,IF(A579&gt;='材料与任务'!$E$19,'材料与任务'!$E$20,IF(A579&gt;='材料与任务'!$E$13,'材料与任务'!$E$14,'材料与任务'!$E$8)))))*G579,0)</x:f>
        <x:v>6</x:v>
      </x:c>
      <x:c r="Q579" s="119" t="n">
        <x:f>ROUNDDOWN((IF(A579&gt;='材料与任务'!$E$31,'材料与任务'!$E$33,IF(A579&gt;='材料与任务'!$E$25,'材料与任务'!$E$27,IF(A579&gt;='材料与任务'!$E$19,'材料与任务'!$E$21,IF(A579&gt;='材料与任务'!$E$13,'材料与任务'!$E$15,'材料与任务'!$E$9)))))*G579,0)</x:f>
        <x:v>3</x:v>
      </x:c>
      <x:c r="R579" s="110" t="n">
        <x:f>'装备掉落'!$B$38</x:f>
        <x:v>0.6872058758851213</x:v>
      </x:c>
      <x:c r="S579" s="119" t="n">
        <x:f>MAX(IF(VLOOKUP(A579,'装备掉落'!$A$29:$H$34,2,TRUE)&gt;0,1,0),IF(VLOOKUP(A579,'装备掉落'!$A$29:$H$34,3,TRUE)&gt;0,2,0),IF(VLOOKUP(A579,'装备掉落'!$A$29:$H$34,4,TRUE)&gt;0,3,0),IF(VLOOKUP(A579,'装备掉落'!$A$29:$H$34,5,TRUE)&gt;0,4,0),IF(VLOOKUP(A579,'装备掉落'!$A$29:$H$34,6,TRUE)&gt;0,5,0),IF(VLOOKUP(A579,'装备掉落'!$A$29:$H$34,7,TRUE)&gt;0,6,0),IF(VLOOKUP(A579,'装备掉落'!$A$29:$H$34,8,TRUE)&gt;0,7,0))</x:f>
        <x:v>7</x:v>
      </x:c>
      <x:c r="T579" s="119" t="n">
        <x:f>MIN(7,S579+'经济参数'!$E$70)</x:f>
        <x:v>7</x:v>
      </x:c>
      <x:c r="U579" s="119" t="n">
        <x:f>MIN(7,S579+'经济参数'!$E$71)</x:f>
        <x:v>7</x:v>
      </x:c>
      <x:c r="V579" s="119" t="n">
        <x:f>IF(H579&gt;=('难度参数'!$E$52),1,0)+IF(H579&gt;=('难度参数'!$E$52+'难度参数'!$E$53),1,0)+IF(H579&gt;=('难度参数'!$E$52+'难度参数'!$E$53+'难度参数'!$E$54),1,0)+IF(H579&gt;=('难度参数'!$E$52+'难度参数'!$E$53+'难度参数'!$E$54+'难度参数'!$E$55),1,0)+IF(H579&gt;=('难度参数'!$E$52+'难度参数'!$E$53+'难度参数'!$E$54+'难度参数'!$E$55+'难度参数'!$E$56),1,0)+IF(H579&gt;=('难度参数'!$E$52+'难度参数'!$E$53+'难度参数'!$E$54+'难度参数'!$E$55+'难度参数'!$E$56+'难度参数'!$E$57),1,0)</x:f>
        <x:v>6</x:v>
      </x:c>
      <x:c r="W579" s="62" t="str">
        <x:f>IF(L579&gt;'难度参数'!$E$51,"仅出怪已超目标","还需实测")</x:f>
        <x:v>仅出怪已超目标</x:v>
      </x:c>
      <x:c r="X579" s="119" t="n">
        <x:f>IF(1&gt;D579,0,MAX(2,MIN('难度参数'!$E$12,ROUND(('难度参数'!$E$18*POWER(A579,'难度参数'!$E$19)/D579*(0.85+0.3*(1-1)/MAX(1,D579-1))),0)+F579)))</x:f>
        <x:v>37</x:v>
      </x:c>
      <x:c r="Y579" s="119" t="n">
        <x:f>IF(1&gt;D579,0,ROUND(('难度参数'!$E$13*POWER(A579,'难度参数'!$E$20)*MIN('难度参数'!$E$23,1+MAX(0,A579-'难度参数'!$E$21)*'难度参数'!$E$22))*(36+1*7)/(36+7*(D579+1)/2)*E579,0))</x:f>
        <x:v>8780</x:v>
      </x:c>
      <x:c r="Z579" s="119" t="n">
        <x:f>IF(X579=0,0,(X579-IF(1=D579,1,0))*ROUND(Y579*VLOOKUP(INDEX('章节与怪物'!$E$31:$K$37,B579,1),'章节与怪物'!$A$41:$F$44,2,FALSE),0)+IF(1=D579,ROUND(Y579*'难度参数'!$E$28*'章节与怪物'!$E$17,0),0))</x:f>
        <x:v>324860</x:v>
      </x:c>
      <x:c r="AA579" s="119" t="n">
        <x:f>IF(X579=0,0,(X579-IF(1=D579,1,0))*VLOOKUP(INDEX('章节与怪物'!$E$31:$K$37,B579,1),'章节与怪物'!$A$41:$F$44,4,FALSE)+IF(1=D579,'难度参数'!$E$30,0))</x:f>
        <x:v>666</x:v>
      </x:c>
      <x:c r="AB579" s="119" t="n">
        <x:f>IF(2&gt;D579,0,MAX(2,MIN('难度参数'!$E$12,ROUND(('难度参数'!$E$18*POWER(A579,'难度参数'!$E$19)/D579*(0.85+0.3*(2-1)/MAX(1,D579-1))),0)+F579)))</x:f>
        <x:v>39</x:v>
      </x:c>
      <x:c r="AC579" s="119" t="n">
        <x:f>IF(2&gt;D579,0,ROUND(('难度参数'!$E$13*POWER(A579,'难度参数'!$E$20)*MIN('难度参数'!$E$23,1+MAX(0,A579-'难度参数'!$E$21)*'难度参数'!$E$22))*(36+2*7)/(36+7*(D579+1)/2)*E579,0))</x:f>
        <x:v>10209</x:v>
      </x:c>
      <x:c r="AD579" s="119" t="n">
        <x:f>IF(AB579=0,0,(AB579-IF(2=D579,1,0))*ROUND(AC579*VLOOKUP(INDEX('章节与怪物'!$E$31:$K$37,B579,2),'章节与怪物'!$A$41:$F$44,2,FALSE),0)+IF(2=D579,ROUND(AC579*'难度参数'!$E$28*'章节与怪物'!$E$17,0),0))</x:f>
        <x:v>286650</x:v>
      </x:c>
      <x:c r="AE579" s="119" t="n">
        <x:f>IF(AB579=0,0,(AB579-IF(2=D579,1,0))*VLOOKUP(INDEX('章节与怪物'!$E$31:$K$37,B579,2),'章节与怪物'!$A$41:$F$44,4,FALSE)+IF(2=D579,'难度参数'!$E$30,0))</x:f>
        <x:v>780</x:v>
      </x:c>
      <x:c r="AF579" s="119" t="n">
        <x:f>IF(3&gt;D579,0,MAX(2,MIN('难度参数'!$E$12,ROUND(('难度参数'!$E$18*POWER(A579,'难度参数'!$E$19)/D579*(0.85+0.3*(3-1)/MAX(1,D579-1))),0)+F579)))</x:f>
        <x:v>41</x:v>
      </x:c>
      <x:c r="AG579" s="119" t="n">
        <x:f>IF(3&gt;D579,0,ROUND(('难度参数'!$E$13*POWER(A579,'难度参数'!$E$20)*MIN('难度参数'!$E$23,1+MAX(0,A579-'难度参数'!$E$21)*'难度参数'!$E$22))*(36+3*7)/(36+7*(D579+1)/2)*E579,0))</x:f>
        <x:v>11639</x:v>
      </x:c>
      <x:c r="AH579" s="119" t="n">
        <x:f>IF(AF579=0,0,(AF579-IF(3=D579,1,0))*ROUND(AG579*VLOOKUP(INDEX('章节与怪物'!$E$31:$K$37,B579,3),'章节与怪物'!$A$41:$F$44,2,FALSE),0)+IF(3=D579,ROUND(AG579*'难度参数'!$E$28*'章节与怪物'!$E$17,0),0))</x:f>
        <x:v>811226</x:v>
      </x:c>
      <x:c r="AI579" s="119" t="n">
        <x:f>IF(AF579=0,0,(AF579-IF(3=D579,1,0))*VLOOKUP(INDEX('章节与怪物'!$E$31:$K$37,B579,3),'章节与怪物'!$A$41:$F$44,4,FALSE)+IF(3=D579,'难度参数'!$E$30,0))</x:f>
        <x:v>1148</x:v>
      </x:c>
      <x:c r="AJ579" s="119" t="n">
        <x:f>IF(4&gt;D579,0,MAX(2,MIN('难度参数'!$E$12,ROUND(('难度参数'!$E$18*POWER(A579,'难度参数'!$E$19)/D579*(0.85+0.3*(4-1)/MAX(1,D579-1))),0)+F579)))</x:f>
        <x:v>44</x:v>
      </x:c>
      <x:c r="AK579" s="119" t="n">
        <x:f>IF(4&gt;D579,0,ROUND(('难度参数'!$E$13*POWER(A579,'难度参数'!$E$20)*MIN('难度参数'!$E$23,1+MAX(0,A579-'难度参数'!$E$21)*'难度参数'!$E$22))*(36+4*7)/(36+7*(D579+1)/2)*E579,0))</x:f>
        <x:v>13068</x:v>
      </x:c>
      <x:c r="AL579" s="119" t="n">
        <x:f>IF(AJ579=0,0,(AJ579-IF(4=D579,1,0))*ROUND(AK579*VLOOKUP(INDEX('章节与怪物'!$E$31:$K$37,B579,4),'章节与怪物'!$A$41:$F$44,2,FALSE),0)+IF(4=D579,ROUND(AK579*'难度参数'!$E$28*'章节与怪物'!$E$17,0),0))</x:f>
        <x:v>776248</x:v>
      </x:c>
      <x:c r="AM579" s="119" t="n">
        <x:f>IF(AJ579=0,0,(AJ579-IF(4=D579,1,0))*VLOOKUP(INDEX('章节与怪物'!$E$31:$K$37,B579,4),'章节与怪物'!$A$41:$F$44,4,FALSE)+IF(4=D579,'难度参数'!$E$30,0))</x:f>
        <x:v>1496</x:v>
      </x:c>
      <x:c r="AN579" s="119" t="n">
        <x:f>IF(5&gt;D579,0,MAX(2,MIN('难度参数'!$E$12,ROUND(('难度参数'!$E$18*POWER(A579,'难度参数'!$E$19)/D579*(0.85+0.3*(5-1)/MAX(1,D579-1))),0)+F579)))</x:f>
        <x:v>46</x:v>
      </x:c>
      <x:c r="AO579" s="119" t="n">
        <x:f>IF(5&gt;D579,0,ROUND(('难度参数'!$E$13*POWER(A579,'难度参数'!$E$20)*MIN('难度参数'!$E$23,1+MAX(0,A579-'难度参数'!$E$21)*'难度参数'!$E$22))*(36+5*7)/(36+7*(D579+1)/2)*E579,0))</x:f>
        <x:v>14497</x:v>
      </x:c>
      <x:c r="AP579" s="119" t="n">
        <x:f>IF(AN579=0,0,(AN579-IF(5=D579,1,0))*ROUND(AO579*VLOOKUP(INDEX('章节与怪物'!$E$31:$K$37,B579,5),'章节与怪物'!$A$41:$F$44,2,FALSE),0)+IF(5=D579,ROUND(AO579*'难度参数'!$E$28*'章节与怪物'!$E$17,0),0))</x:f>
        <x:v>480148</x:v>
      </x:c>
      <x:c r="AQ579" s="119" t="n">
        <x:f>IF(AN579=0,0,(AN579-IF(5=D579,1,0))*VLOOKUP(INDEX('章节与怪物'!$E$31:$K$37,B579,5),'章节与怪物'!$A$41:$F$44,4,FALSE)+IF(5=D579,'难度参数'!$E$30,0))</x:f>
        <x:v>920</x:v>
      </x:c>
      <x:c r="AR579" s="119" t="n">
        <x:f>IF(6&gt;D579,0,MAX(2,MIN('难度参数'!$E$12,ROUND(('难度参数'!$E$18*POWER(A579,'难度参数'!$E$19)/D579*(0.85+0.3*(6-1)/MAX(1,D579-1))),0)+F579)))</x:f>
        <x:v>48</x:v>
      </x:c>
      <x:c r="AS579" s="119" t="n">
        <x:f>IF(6&gt;D579,0,ROUND(('难度参数'!$E$13*POWER(A579,'难度参数'!$E$20)*MIN('难度参数'!$E$23,1+MAX(0,A579-'难度参数'!$E$21)*'难度参数'!$E$22))*(36+6*7)/(36+7*(D579+1)/2)*E579,0))</x:f>
        <x:v>15926</x:v>
      </x:c>
      <x:c r="AT579" s="119" t="n">
        <x:f>IF(AR579=0,0,(AR579-IF(6=D579,1,0))*ROUND(AS579*VLOOKUP(INDEX('章节与怪物'!$E$31:$K$37,B579,6),'章节与怪物'!$A$41:$F$44,2,FALSE),0)+IF(6=D579,ROUND(AS579*'难度参数'!$E$28*'章节与怪物'!$E$17,0),0))</x:f>
        <x:v>1299552</x:v>
      </x:c>
      <x:c r="AU579" s="119" t="n">
        <x:f>IF(AR579=0,0,(AR579-IF(6=D579,1,0))*VLOOKUP(INDEX('章节与怪物'!$E$31:$K$37,B579,6),'章节与怪物'!$A$41:$F$44,4,FALSE)+IF(6=D579,'难度参数'!$E$30,0))</x:f>
        <x:v>1344</x:v>
      </x:c>
      <x:c r="AV579" s="119" t="n">
        <x:f>IF(7&gt;D579,0,MAX(2,MIN('难度参数'!$E$12,ROUND(('难度参数'!$E$18*POWER(A579,'难度参数'!$E$19)/D579*(0.85+0.3*(7-1)/MAX(1,D579-1))),0)+F579)))</x:f>
        <x:v>50</x:v>
      </x:c>
      <x:c r="AW579" s="119" t="n">
        <x:f>IF(7&gt;D579,0,ROUND(('难度参数'!$E$13*POWER(A579,'难度参数'!$E$20)*MIN('难度参数'!$E$23,1+MAX(0,A579-'难度参数'!$E$21)*'难度参数'!$E$22))*(36+7*7)/(36+7*(D579+1)/2)*E579,0))</x:f>
        <x:v>17356</x:v>
      </x:c>
      <x:c r="AX579" s="119" t="n">
        <x:f>IF(AV579=0,0,(AV579-IF(7=D579,1,0))*ROUND(AW579*VLOOKUP(INDEX('章节与怪物'!$E$31:$K$37,B579,7),'章节与怪物'!$A$41:$F$44,2,FALSE),0)+IF(7=D579,ROUND(AW579*'难度参数'!$E$28*'章节与怪物'!$E$17,0),0))</x:f>
        <x:v>1266140</x:v>
      </x:c>
      <x:c r="AY579" s="119" t="n">
        <x:f>IF(AV579=0,0,(AV579-IF(7=D579,1,0))*VLOOKUP(INDEX('章节与怪物'!$E$31:$K$37,B579,7),'章节与怪物'!$A$41:$F$44,4,FALSE)+IF(7=D579,'难度参数'!$E$30,0))</x:f>
        <x:v>1866</x:v>
      </x:c>
    </x:row>
    <x:row r="580" ht="23" customHeight="1">
      <x:c r="A580" s="119" t="n">
        <x:v>574</x:v>
      </x:c>
      <x:c r="B580" s="119" t="n">
        <x:f>MOD(INT((A580-1)/5),7)+1</x:f>
        <x:v>3</x:v>
      </x:c>
      <x:c r="C580" s="62" t="str">
        <x:f>INDEX('章节与怪物'!$B$31:$B$37,B580)</x:f>
        <x:v>腐沼秘林</x:v>
      </x:c>
      <x:c r="D580" s="119" t="n">
        <x:f>MIN('难度参数'!$E$8,MAX('难度参数'!$E$7,A580))</x:f>
        <x:v>7</x:v>
      </x:c>
      <x:c r="E580" s="106" t="n">
        <x:v>1</x:v>
      </x:c>
      <x:c r="F580" s="106" t="n">
        <x:v>0</x:v>
      </x:c>
      <x:c r="G580" s="106" t="n">
        <x:v>1</x:v>
      </x:c>
      <x:c r="H580" s="119" t="n">
        <x:f>SUM(X580,AB580,AF580,AJ580,AN580,AR580,AV580)</x:f>
        <x:v>305</x:v>
      </x:c>
      <x:c r="I580" s="119" t="n">
        <x:f>SUM(Z580,AD580,AH580,AL580,AP580,AT580,AX580)</x:f>
        <x:v>5251329</x:v>
      </x:c>
      <x:c r="J580" s="119" t="n">
        <x:f>ROUND(INDEX(X580:AY580,1,(D580-1)*4+2)*'难度参数'!$E$28*'章节与怪物'!$E$17,0)</x:f>
        <x:v>118170</x:v>
      </x:c>
      <x:c r="K580" s="119" t="n">
        <x:f>SUM(AA580,AE580,AI580,AM580,AQ580,AU580,AY580)</x:f>
        <x:v>8220</x:v>
      </x:c>
      <x:c r="L580" s="62" t="n">
        <x:f>H580*(ROUNDUP('难度参数'!$E$24/('难度参数'!$E$26*'难度参数'!$E$27),0)*'难度参数'!$E$26)/60</x:f>
        <x:v>4.066666666666666</x:v>
      </x:c>
      <x:c r="M580" s="62" t="n">
        <x:f>L580+D580*('难度参数'!$E$49+'难度参数'!$E$50)/60</x:f>
        <x:v>5.233333333333333</x:v>
      </x:c>
      <x:c r="N580" s="119" t="n">
        <x:f>ROUNDDOWN(('经济参数'!$E$20+A580*'经济参数'!$E$21)*G580,0)</x:f>
        <x:v>11660</x:v>
      </x:c>
      <x:c r="O580" s="119" t="n">
        <x:f>ROUNDDOWN(MIN('经济参数'!$E$24,'经济参数'!$E$22+A580*'经济参数'!$E$23)*G580,0)</x:f>
        <x:v>0</x:v>
      </x:c>
      <x:c r="P580" s="119" t="n">
        <x:f>ROUNDDOWN((IF(A580&gt;='材料与任务'!$E$31,'材料与任务'!$E$32,IF(A580&gt;='材料与任务'!$E$25,'材料与任务'!$E$26,IF(A580&gt;='材料与任务'!$E$19,'材料与任务'!$E$20,IF(A580&gt;='材料与任务'!$E$13,'材料与任务'!$E$14,'材料与任务'!$E$8)))))*G580,0)</x:f>
        <x:v>6</x:v>
      </x:c>
      <x:c r="Q580" s="119" t="n">
        <x:f>ROUNDDOWN((IF(A580&gt;='材料与任务'!$E$31,'材料与任务'!$E$33,IF(A580&gt;='材料与任务'!$E$25,'材料与任务'!$E$27,IF(A580&gt;='材料与任务'!$E$19,'材料与任务'!$E$21,IF(A580&gt;='材料与任务'!$E$13,'材料与任务'!$E$15,'材料与任务'!$E$9)))))*G580,0)</x:f>
        <x:v>3</x:v>
      </x:c>
      <x:c r="R580" s="110" t="n">
        <x:f>'装备掉落'!$B$38</x:f>
        <x:v>0.6872058758851213</x:v>
      </x:c>
      <x:c r="S580" s="119" t="n">
        <x:f>MAX(IF(VLOOKUP(A580,'装备掉落'!$A$29:$H$34,2,TRUE)&gt;0,1,0),IF(VLOOKUP(A580,'装备掉落'!$A$29:$H$34,3,TRUE)&gt;0,2,0),IF(VLOOKUP(A580,'装备掉落'!$A$29:$H$34,4,TRUE)&gt;0,3,0),IF(VLOOKUP(A580,'装备掉落'!$A$29:$H$34,5,TRUE)&gt;0,4,0),IF(VLOOKUP(A580,'装备掉落'!$A$29:$H$34,6,TRUE)&gt;0,5,0),IF(VLOOKUP(A580,'装备掉落'!$A$29:$H$34,7,TRUE)&gt;0,6,0),IF(VLOOKUP(A580,'装备掉落'!$A$29:$H$34,8,TRUE)&gt;0,7,0))</x:f>
        <x:v>7</x:v>
      </x:c>
      <x:c r="T580" s="119" t="n">
        <x:f>MIN(7,S580+'经济参数'!$E$70)</x:f>
        <x:v>7</x:v>
      </x:c>
      <x:c r="U580" s="119" t="n">
        <x:f>MIN(7,S580+'经济参数'!$E$71)</x:f>
        <x:v>7</x:v>
      </x:c>
      <x:c r="V580" s="119" t="n">
        <x:f>IF(H580&gt;=('难度参数'!$E$52),1,0)+IF(H580&gt;=('难度参数'!$E$52+'难度参数'!$E$53),1,0)+IF(H580&gt;=('难度参数'!$E$52+'难度参数'!$E$53+'难度参数'!$E$54),1,0)+IF(H580&gt;=('难度参数'!$E$52+'难度参数'!$E$53+'难度参数'!$E$54+'难度参数'!$E$55),1,0)+IF(H580&gt;=('难度参数'!$E$52+'难度参数'!$E$53+'难度参数'!$E$54+'难度参数'!$E$55+'难度参数'!$E$56),1,0)+IF(H580&gt;=('难度参数'!$E$52+'难度参数'!$E$53+'难度参数'!$E$54+'难度参数'!$E$55+'难度参数'!$E$56+'难度参数'!$E$57),1,0)</x:f>
        <x:v>6</x:v>
      </x:c>
      <x:c r="W580" s="62" t="str">
        <x:f>IF(L580&gt;'难度参数'!$E$51,"仅出怪已超目标","还需实测")</x:f>
        <x:v>仅出怪已超目标</x:v>
      </x:c>
      <x:c r="X580" s="119" t="n">
        <x:f>IF(1&gt;D580,0,MAX(2,MIN('难度参数'!$E$12,ROUND(('难度参数'!$E$18*POWER(A580,'难度参数'!$E$19)/D580*(0.85+0.3*(1-1)/MAX(1,D580-1))),0)+F580)))</x:f>
        <x:v>37</x:v>
      </x:c>
      <x:c r="Y580" s="119" t="n">
        <x:f>IF(1&gt;D580,0,ROUND(('难度参数'!$E$13*POWER(A580,'难度参数'!$E$20)*MIN('难度参数'!$E$23,1+MAX(0,A580-'难度参数'!$E$21)*'难度参数'!$E$22))*(36+1*7)/(36+7*(D580+1)/2)*E580,0))</x:f>
        <x:v>8791</x:v>
      </x:c>
      <x:c r="Z580" s="119" t="n">
        <x:f>IF(X580=0,0,(X580-IF(1=D580,1,0))*ROUND(Y580*VLOOKUP(INDEX('章节与怪物'!$E$31:$K$37,B580,1),'章节与怪物'!$A$41:$F$44,2,FALSE),0)+IF(1=D580,ROUND(Y580*'难度参数'!$E$28*'章节与怪物'!$E$17,0),0))</x:f>
        <x:v>325267</x:v>
      </x:c>
      <x:c r="AA580" s="119" t="n">
        <x:f>IF(X580=0,0,(X580-IF(1=D580,1,0))*VLOOKUP(INDEX('章节与怪物'!$E$31:$K$37,B580,1),'章节与怪物'!$A$41:$F$44,4,FALSE)+IF(1=D580,'难度参数'!$E$30,0))</x:f>
        <x:v>666</x:v>
      </x:c>
      <x:c r="AB580" s="119" t="n">
        <x:f>IF(2&gt;D580,0,MAX(2,MIN('难度参数'!$E$12,ROUND(('难度参数'!$E$18*POWER(A580,'难度参数'!$E$19)/D580*(0.85+0.3*(2-1)/MAX(1,D580-1))),0)+F580)))</x:f>
        <x:v>39</x:v>
      </x:c>
      <x:c r="AC580" s="119" t="n">
        <x:f>IF(2&gt;D580,0,ROUND(('难度参数'!$E$13*POWER(A580,'难度参数'!$E$20)*MIN('难度参数'!$E$23,1+MAX(0,A580-'难度参数'!$E$21)*'难度参数'!$E$22))*(36+2*7)/(36+7*(D580+1)/2)*E580,0))</x:f>
        <x:v>10222</x:v>
      </x:c>
      <x:c r="AD580" s="119" t="n">
        <x:f>IF(AB580=0,0,(AB580-IF(2=D580,1,0))*ROUND(AC580*VLOOKUP(INDEX('章节与怪物'!$E$31:$K$37,B580,2),'章节与怪物'!$A$41:$F$44,2,FALSE),0)+IF(2=D580,ROUND(AC580*'难度参数'!$E$28*'章节与怪物'!$E$17,0),0))</x:f>
        <x:v>287040</x:v>
      </x:c>
      <x:c r="AE580" s="119" t="n">
        <x:f>IF(AB580=0,0,(AB580-IF(2=D580,1,0))*VLOOKUP(INDEX('章节与怪物'!$E$31:$K$37,B580,2),'章节与怪物'!$A$41:$F$44,4,FALSE)+IF(2=D580,'难度参数'!$E$30,0))</x:f>
        <x:v>780</x:v>
      </x:c>
      <x:c r="AF580" s="119" t="n">
        <x:f>IF(3&gt;D580,0,MAX(2,MIN('难度参数'!$E$12,ROUND(('难度参数'!$E$18*POWER(A580,'难度参数'!$E$19)/D580*(0.85+0.3*(3-1)/MAX(1,D580-1))),0)+F580)))</x:f>
        <x:v>41</x:v>
      </x:c>
      <x:c r="AG580" s="119" t="n">
        <x:f>IF(3&gt;D580,0,ROUND(('难度参数'!$E$13*POWER(A580,'难度参数'!$E$20)*MIN('难度参数'!$E$23,1+MAX(0,A580-'难度参数'!$E$21)*'难度参数'!$E$22))*(36+3*7)/(36+7*(D580+1)/2)*E580,0))</x:f>
        <x:v>11653</x:v>
      </x:c>
      <x:c r="AH580" s="119" t="n">
        <x:f>IF(AF580=0,0,(AF580-IF(3=D580,1,0))*ROUND(AG580*VLOOKUP(INDEX('章节与怪物'!$E$31:$K$37,B580,3),'章节与怪物'!$A$41:$F$44,2,FALSE),0)+IF(3=D580,ROUND(AG580*'难度参数'!$E$28*'章节与怪物'!$E$17,0),0))</x:f>
        <x:v>812210</x:v>
      </x:c>
      <x:c r="AI580" s="119" t="n">
        <x:f>IF(AF580=0,0,(AF580-IF(3=D580,1,0))*VLOOKUP(INDEX('章节与怪物'!$E$31:$K$37,B580,3),'章节与怪物'!$A$41:$F$44,4,FALSE)+IF(3=D580,'难度参数'!$E$30,0))</x:f>
        <x:v>1148</x:v>
      </x:c>
      <x:c r="AJ580" s="119" t="n">
        <x:f>IF(4&gt;D580,0,MAX(2,MIN('难度参数'!$E$12,ROUND(('难度参数'!$E$18*POWER(A580,'难度参数'!$E$19)/D580*(0.85+0.3*(4-1)/MAX(1,D580-1))),0)+F580)))</x:f>
        <x:v>44</x:v>
      </x:c>
      <x:c r="AK580" s="119" t="n">
        <x:f>IF(4&gt;D580,0,ROUND(('难度参数'!$E$13*POWER(A580,'难度参数'!$E$20)*MIN('难度参数'!$E$23,1+MAX(0,A580-'难度参数'!$E$21)*'难度参数'!$E$22))*(36+4*7)/(36+7*(D580+1)/2)*E580,0))</x:f>
        <x:v>13084</x:v>
      </x:c>
      <x:c r="AL580" s="119" t="n">
        <x:f>IF(AJ580=0,0,(AJ580-IF(4=D580,1,0))*ROUND(AK580*VLOOKUP(INDEX('章节与怪物'!$E$31:$K$37,B580,4),'章节与怪物'!$A$41:$F$44,2,FALSE),0)+IF(4=D580,ROUND(AK580*'难度参数'!$E$28*'章节与怪物'!$E$17,0),0))</x:f>
        <x:v>777172</x:v>
      </x:c>
      <x:c r="AM580" s="119" t="n">
        <x:f>IF(AJ580=0,0,(AJ580-IF(4=D580,1,0))*VLOOKUP(INDEX('章节与怪物'!$E$31:$K$37,B580,4),'章节与怪物'!$A$41:$F$44,4,FALSE)+IF(4=D580,'难度参数'!$E$30,0))</x:f>
        <x:v>1496</x:v>
      </x:c>
      <x:c r="AN580" s="119" t="n">
        <x:f>IF(5&gt;D580,0,MAX(2,MIN('难度参数'!$E$12,ROUND(('难度参数'!$E$18*POWER(A580,'难度参数'!$E$19)/D580*(0.85+0.3*(5-1)/MAX(1,D580-1))),0)+F580)))</x:f>
        <x:v>46</x:v>
      </x:c>
      <x:c r="AO580" s="119" t="n">
        <x:f>IF(5&gt;D580,0,ROUND(('难度参数'!$E$13*POWER(A580,'难度参数'!$E$20)*MIN('难度参数'!$E$23,1+MAX(0,A580-'难度参数'!$E$21)*'难度参数'!$E$22))*(36+5*7)/(36+7*(D580+1)/2)*E580,0))</x:f>
        <x:v>14515</x:v>
      </x:c>
      <x:c r="AP580" s="119" t="n">
        <x:f>IF(AN580=0,0,(AN580-IF(5=D580,1,0))*ROUND(AO580*VLOOKUP(INDEX('章节与怪物'!$E$31:$K$37,B580,5),'章节与怪物'!$A$41:$F$44,2,FALSE),0)+IF(5=D580,ROUND(AO580*'难度参数'!$E$28*'章节与怪物'!$E$17,0),0))</x:f>
        <x:v>480746</x:v>
      </x:c>
      <x:c r="AQ580" s="119" t="n">
        <x:f>IF(AN580=0,0,(AN580-IF(5=D580,1,0))*VLOOKUP(INDEX('章节与怪物'!$E$31:$K$37,B580,5),'章节与怪物'!$A$41:$F$44,4,FALSE)+IF(5=D580,'难度参数'!$E$30,0))</x:f>
        <x:v>920</x:v>
      </x:c>
      <x:c r="AR580" s="119" t="n">
        <x:f>IF(6&gt;D580,0,MAX(2,MIN('难度参数'!$E$12,ROUND(('难度参数'!$E$18*POWER(A580,'难度参数'!$E$19)/D580*(0.85+0.3*(6-1)/MAX(1,D580-1))),0)+F580)))</x:f>
        <x:v>48</x:v>
      </x:c>
      <x:c r="AS580" s="119" t="n">
        <x:f>IF(6&gt;D580,0,ROUND(('难度参数'!$E$13*POWER(A580,'难度参数'!$E$20)*MIN('难度参数'!$E$23,1+MAX(0,A580-'难度参数'!$E$21)*'难度参数'!$E$22))*(36+6*7)/(36+7*(D580+1)/2)*E580,0))</x:f>
        <x:v>15946</x:v>
      </x:c>
      <x:c r="AT580" s="119" t="n">
        <x:f>IF(AR580=0,0,(AR580-IF(6=D580,1,0))*ROUND(AS580*VLOOKUP(INDEX('章节与怪物'!$E$31:$K$37,B580,6),'章节与怪物'!$A$41:$F$44,2,FALSE),0)+IF(6=D580,ROUND(AS580*'难度参数'!$E$28*'章节与怪物'!$E$17,0),0))</x:f>
        <x:v>1301184</x:v>
      </x:c>
      <x:c r="AU580" s="119" t="n">
        <x:f>IF(AR580=0,0,(AR580-IF(6=D580,1,0))*VLOOKUP(INDEX('章节与怪物'!$E$31:$K$37,B580,6),'章节与怪物'!$A$41:$F$44,4,FALSE)+IF(6=D580,'难度参数'!$E$30,0))</x:f>
        <x:v>1344</x:v>
      </x:c>
      <x:c r="AV580" s="119" t="n">
        <x:f>IF(7&gt;D580,0,MAX(2,MIN('难度参数'!$E$12,ROUND(('难度参数'!$E$18*POWER(A580,'难度参数'!$E$19)/D580*(0.85+0.3*(7-1)/MAX(1,D580-1))),0)+F580)))</x:f>
        <x:v>50</x:v>
      </x:c>
      <x:c r="AW580" s="119" t="n">
        <x:f>IF(7&gt;D580,0,ROUND(('难度参数'!$E$13*POWER(A580,'难度参数'!$E$20)*MIN('难度参数'!$E$23,1+MAX(0,A580-'难度参数'!$E$21)*'难度参数'!$E$22))*(36+7*7)/(36+7*(D580+1)/2)*E580,0))</x:f>
        <x:v>17378</x:v>
      </x:c>
      <x:c r="AX580" s="119" t="n">
        <x:f>IF(AV580=0,0,(AV580-IF(7=D580,1,0))*ROUND(AW580*VLOOKUP(INDEX('章节与怪物'!$E$31:$K$37,B580,7),'章节与怪物'!$A$41:$F$44,2,FALSE),0)+IF(7=D580,ROUND(AW580*'难度参数'!$E$28*'章节与怪物'!$E$17,0),0))</x:f>
        <x:v>1267710</x:v>
      </x:c>
      <x:c r="AY580" s="119" t="n">
        <x:f>IF(AV580=0,0,(AV580-IF(7=D580,1,0))*VLOOKUP(INDEX('章节与怪物'!$E$31:$K$37,B580,7),'章节与怪物'!$A$41:$F$44,4,FALSE)+IF(7=D580,'难度参数'!$E$30,0))</x:f>
        <x:v>1866</x:v>
      </x:c>
    </x:row>
    <x:row r="581" ht="23" customHeight="1">
      <x:c r="A581" s="119" t="n">
        <x:v>575</x:v>
      </x:c>
      <x:c r="B581" s="119" t="n">
        <x:f>MOD(INT((A581-1)/5),7)+1</x:f>
        <x:v>3</x:v>
      </x:c>
      <x:c r="C581" s="62" t="str">
        <x:f>INDEX('章节与怪物'!$B$31:$B$37,B581)</x:f>
        <x:v>腐沼秘林</x:v>
      </x:c>
      <x:c r="D581" s="119" t="n">
        <x:f>MIN('难度参数'!$E$8,MAX('难度参数'!$E$7,A581))</x:f>
        <x:v>7</x:v>
      </x:c>
      <x:c r="E581" s="106" t="n">
        <x:v>1</x:v>
      </x:c>
      <x:c r="F581" s="106" t="n">
        <x:v>0</x:v>
      </x:c>
      <x:c r="G581" s="106" t="n">
        <x:v>1</x:v>
      </x:c>
      <x:c r="H581" s="119" t="n">
        <x:f>SUM(X581,AB581,AF581,AJ581,AN581,AR581,AV581)</x:f>
        <x:v>305</x:v>
      </x:c>
      <x:c r="I581" s="119" t="n">
        <x:f>SUM(Z581,AD581,AH581,AL581,AP581,AT581,AX581)</x:f>
        <x:v>5257959</x:v>
      </x:c>
      <x:c r="J581" s="119" t="n">
        <x:f>ROUND(INDEX(X581:AY581,1,(D581-1)*4+2)*'难度参数'!$E$28*'章节与怪物'!$E$17,0)</x:f>
        <x:v>118313</x:v>
      </x:c>
      <x:c r="K581" s="119" t="n">
        <x:f>SUM(AA581,AE581,AI581,AM581,AQ581,AU581,AY581)</x:f>
        <x:v>8220</x:v>
      </x:c>
      <x:c r="L581" s="62" t="n">
        <x:f>H581*(ROUNDUP('难度参数'!$E$24/('难度参数'!$E$26*'难度参数'!$E$27),0)*'难度参数'!$E$26)/60</x:f>
        <x:v>4.066666666666666</x:v>
      </x:c>
      <x:c r="M581" s="62" t="n">
        <x:f>L581+D581*('难度参数'!$E$49+'难度参数'!$E$50)/60</x:f>
        <x:v>5.233333333333333</x:v>
      </x:c>
      <x:c r="N581" s="119" t="n">
        <x:f>ROUNDDOWN(('经济参数'!$E$20+A581*'经济参数'!$E$21)*G581,0)</x:f>
        <x:v>11680</x:v>
      </x:c>
      <x:c r="O581" s="119" t="n">
        <x:f>ROUNDDOWN(MIN('经济参数'!$E$24,'经济参数'!$E$22+A581*'经济参数'!$E$23)*G581,0)</x:f>
        <x:v>0</x:v>
      </x:c>
      <x:c r="P581" s="119" t="n">
        <x:f>ROUNDDOWN((IF(A581&gt;='材料与任务'!$E$31,'材料与任务'!$E$32,IF(A581&gt;='材料与任务'!$E$25,'材料与任务'!$E$26,IF(A581&gt;='材料与任务'!$E$19,'材料与任务'!$E$20,IF(A581&gt;='材料与任务'!$E$13,'材料与任务'!$E$14,'材料与任务'!$E$8)))))*G581,0)</x:f>
        <x:v>6</x:v>
      </x:c>
      <x:c r="Q581" s="119" t="n">
        <x:f>ROUNDDOWN((IF(A581&gt;='材料与任务'!$E$31,'材料与任务'!$E$33,IF(A581&gt;='材料与任务'!$E$25,'材料与任务'!$E$27,IF(A581&gt;='材料与任务'!$E$19,'材料与任务'!$E$21,IF(A581&gt;='材料与任务'!$E$13,'材料与任务'!$E$15,'材料与任务'!$E$9)))))*G581,0)</x:f>
        <x:v>3</x:v>
      </x:c>
      <x:c r="R581" s="110" t="n">
        <x:f>'装备掉落'!$B$38</x:f>
        <x:v>0.6872058758851213</x:v>
      </x:c>
      <x:c r="S581" s="119" t="n">
        <x:f>MAX(IF(VLOOKUP(A581,'装备掉落'!$A$29:$H$34,2,TRUE)&gt;0,1,0),IF(VLOOKUP(A581,'装备掉落'!$A$29:$H$34,3,TRUE)&gt;0,2,0),IF(VLOOKUP(A581,'装备掉落'!$A$29:$H$34,4,TRUE)&gt;0,3,0),IF(VLOOKUP(A581,'装备掉落'!$A$29:$H$34,5,TRUE)&gt;0,4,0),IF(VLOOKUP(A581,'装备掉落'!$A$29:$H$34,6,TRUE)&gt;0,5,0),IF(VLOOKUP(A581,'装备掉落'!$A$29:$H$34,7,TRUE)&gt;0,6,0),IF(VLOOKUP(A581,'装备掉落'!$A$29:$H$34,8,TRUE)&gt;0,7,0))</x:f>
        <x:v>7</x:v>
      </x:c>
      <x:c r="T581" s="119" t="n">
        <x:f>MIN(7,S581+'经济参数'!$E$70)</x:f>
        <x:v>7</x:v>
      </x:c>
      <x:c r="U581" s="119" t="n">
        <x:f>MIN(7,S581+'经济参数'!$E$71)</x:f>
        <x:v>7</x:v>
      </x:c>
      <x:c r="V581" s="119" t="n">
        <x:f>IF(H581&gt;=('难度参数'!$E$52),1,0)+IF(H581&gt;=('难度参数'!$E$52+'难度参数'!$E$53),1,0)+IF(H581&gt;=('难度参数'!$E$52+'难度参数'!$E$53+'难度参数'!$E$54),1,0)+IF(H581&gt;=('难度参数'!$E$52+'难度参数'!$E$53+'难度参数'!$E$54+'难度参数'!$E$55),1,0)+IF(H581&gt;=('难度参数'!$E$52+'难度参数'!$E$53+'难度参数'!$E$54+'难度参数'!$E$55+'难度参数'!$E$56),1,0)+IF(H581&gt;=('难度参数'!$E$52+'难度参数'!$E$53+'难度参数'!$E$54+'难度参数'!$E$55+'难度参数'!$E$56+'难度参数'!$E$57),1,0)</x:f>
        <x:v>6</x:v>
      </x:c>
      <x:c r="W581" s="62" t="str">
        <x:f>IF(L581&gt;'难度参数'!$E$51,"仅出怪已超目标","还需实测")</x:f>
        <x:v>仅出怪已超目标</x:v>
      </x:c>
      <x:c r="X581" s="119" t="n">
        <x:f>IF(1&gt;D581,0,MAX(2,MIN('难度参数'!$E$12,ROUND(('难度参数'!$E$18*POWER(A581,'难度参数'!$E$19)/D581*(0.85+0.3*(1-1)/MAX(1,D581-1))),0)+F581)))</x:f>
        <x:v>37</x:v>
      </x:c>
      <x:c r="Y581" s="119" t="n">
        <x:f>IF(1&gt;D581,0,ROUND(('难度参数'!$E$13*POWER(A581,'难度参数'!$E$20)*MIN('难度参数'!$E$23,1+MAX(0,A581-'难度参数'!$E$21)*'难度参数'!$E$22))*(36+1*7)/(36+7*(D581+1)/2)*E581,0))</x:f>
        <x:v>8802</x:v>
      </x:c>
      <x:c r="Z581" s="119" t="n">
        <x:f>IF(X581=0,0,(X581-IF(1=D581,1,0))*ROUND(Y581*VLOOKUP(INDEX('章节与怪物'!$E$31:$K$37,B581,1),'章节与怪物'!$A$41:$F$44,2,FALSE),0)+IF(1=D581,ROUND(Y581*'难度参数'!$E$28*'章节与怪物'!$E$17,0),0))</x:f>
        <x:v>325674</x:v>
      </x:c>
      <x:c r="AA581" s="119" t="n">
        <x:f>IF(X581=0,0,(X581-IF(1=D581,1,0))*VLOOKUP(INDEX('章节与怪物'!$E$31:$K$37,B581,1),'章节与怪物'!$A$41:$F$44,4,FALSE)+IF(1=D581,'难度参数'!$E$30,0))</x:f>
        <x:v>666</x:v>
      </x:c>
      <x:c r="AB581" s="119" t="n">
        <x:f>IF(2&gt;D581,0,MAX(2,MIN('难度参数'!$E$12,ROUND(('难度参数'!$E$18*POWER(A581,'难度参数'!$E$19)/D581*(0.85+0.3*(2-1)/MAX(1,D581-1))),0)+F581)))</x:f>
        <x:v>39</x:v>
      </x:c>
      <x:c r="AC581" s="119" t="n">
        <x:f>IF(2&gt;D581,0,ROUND(('难度参数'!$E$13*POWER(A581,'难度参数'!$E$20)*MIN('难度参数'!$E$23,1+MAX(0,A581-'难度参数'!$E$21)*'难度参数'!$E$22))*(36+2*7)/(36+7*(D581+1)/2)*E581,0))</x:f>
        <x:v>10235</x:v>
      </x:c>
      <x:c r="AD581" s="119" t="n">
        <x:f>IF(AB581=0,0,(AB581-IF(2=D581,1,0))*ROUND(AC581*VLOOKUP(INDEX('章节与怪物'!$E$31:$K$37,B581,2),'章节与怪物'!$A$41:$F$44,2,FALSE),0)+IF(2=D581,ROUND(AC581*'难度参数'!$E$28*'章节与怪物'!$E$17,0),0))</x:f>
        <x:v>287391</x:v>
      </x:c>
      <x:c r="AE581" s="119" t="n">
        <x:f>IF(AB581=0,0,(AB581-IF(2=D581,1,0))*VLOOKUP(INDEX('章节与怪物'!$E$31:$K$37,B581,2),'章节与怪物'!$A$41:$F$44,4,FALSE)+IF(2=D581,'难度参数'!$E$30,0))</x:f>
        <x:v>780</x:v>
      </x:c>
      <x:c r="AF581" s="119" t="n">
        <x:f>IF(3&gt;D581,0,MAX(2,MIN('难度参数'!$E$12,ROUND(('难度参数'!$E$18*POWER(A581,'难度参数'!$E$19)/D581*(0.85+0.3*(3-1)/MAX(1,D581-1))),0)+F581)))</x:f>
        <x:v>41</x:v>
      </x:c>
      <x:c r="AG581" s="119" t="n">
        <x:f>IF(3&gt;D581,0,ROUND(('难度参数'!$E$13*POWER(A581,'难度参数'!$E$20)*MIN('难度参数'!$E$23,1+MAX(0,A581-'难度参数'!$E$21)*'难度参数'!$E$22))*(36+3*7)/(36+7*(D581+1)/2)*E581,0))</x:f>
        <x:v>11668</x:v>
      </x:c>
      <x:c r="AH581" s="119" t="n">
        <x:f>IF(AF581=0,0,(AF581-IF(3=D581,1,0))*ROUND(AG581*VLOOKUP(INDEX('章节与怪物'!$E$31:$K$37,B581,3),'章节与怪物'!$A$41:$F$44,2,FALSE),0)+IF(3=D581,ROUND(AG581*'难度参数'!$E$28*'章节与怪物'!$E$17,0),0))</x:f>
        <x:v>813276</x:v>
      </x:c>
      <x:c r="AI581" s="119" t="n">
        <x:f>IF(AF581=0,0,(AF581-IF(3=D581,1,0))*VLOOKUP(INDEX('章节与怪物'!$E$31:$K$37,B581,3),'章节与怪物'!$A$41:$F$44,4,FALSE)+IF(3=D581,'难度参数'!$E$30,0))</x:f>
        <x:v>1148</x:v>
      </x:c>
      <x:c r="AJ581" s="119" t="n">
        <x:f>IF(4&gt;D581,0,MAX(2,MIN('难度参数'!$E$12,ROUND(('难度参数'!$E$18*POWER(A581,'难度参数'!$E$19)/D581*(0.85+0.3*(4-1)/MAX(1,D581-1))),0)+F581)))</x:f>
        <x:v>44</x:v>
      </x:c>
      <x:c r="AK581" s="119" t="n">
        <x:f>IF(4&gt;D581,0,ROUND(('难度参数'!$E$13*POWER(A581,'难度参数'!$E$20)*MIN('难度参数'!$E$23,1+MAX(0,A581-'难度参数'!$E$21)*'难度参数'!$E$22))*(36+4*7)/(36+7*(D581+1)/2)*E581,0))</x:f>
        <x:v>13101</x:v>
      </x:c>
      <x:c r="AL581" s="119" t="n">
        <x:f>IF(AJ581=0,0,(AJ581-IF(4=D581,1,0))*ROUND(AK581*VLOOKUP(INDEX('章节与怪物'!$E$31:$K$37,B581,4),'章节与怪物'!$A$41:$F$44,2,FALSE),0)+IF(4=D581,ROUND(AK581*'难度参数'!$E$28*'章节与怪物'!$E$17,0),0))</x:f>
        <x:v>778184</x:v>
      </x:c>
      <x:c r="AM581" s="119" t="n">
        <x:f>IF(AJ581=0,0,(AJ581-IF(4=D581,1,0))*VLOOKUP(INDEX('章节与怪物'!$E$31:$K$37,B581,4),'章节与怪物'!$A$41:$F$44,4,FALSE)+IF(4=D581,'难度参数'!$E$30,0))</x:f>
        <x:v>1496</x:v>
      </x:c>
      <x:c r="AN581" s="119" t="n">
        <x:f>IF(5&gt;D581,0,MAX(2,MIN('难度参数'!$E$12,ROUND(('难度参数'!$E$18*POWER(A581,'难度参数'!$E$19)/D581*(0.85+0.3*(5-1)/MAX(1,D581-1))),0)+F581)))</x:f>
        <x:v>46</x:v>
      </x:c>
      <x:c r="AO581" s="119" t="n">
        <x:f>IF(5&gt;D581,0,ROUND(('难度参数'!$E$13*POWER(A581,'难度参数'!$E$20)*MIN('难度参数'!$E$23,1+MAX(0,A581-'难度参数'!$E$21)*'难度参数'!$E$22))*(36+5*7)/(36+7*(D581+1)/2)*E581,0))</x:f>
        <x:v>14534</x:v>
      </x:c>
      <x:c r="AP581" s="119" t="n">
        <x:f>IF(AN581=0,0,(AN581-IF(5=D581,1,0))*ROUND(AO581*VLOOKUP(INDEX('章节与怪物'!$E$31:$K$37,B581,5),'章节与怪物'!$A$41:$F$44,2,FALSE),0)+IF(5=D581,ROUND(AO581*'难度参数'!$E$28*'章节与怪物'!$E$17,0),0))</x:f>
        <x:v>481344</x:v>
      </x:c>
      <x:c r="AQ581" s="119" t="n">
        <x:f>IF(AN581=0,0,(AN581-IF(5=D581,1,0))*VLOOKUP(INDEX('章节与怪物'!$E$31:$K$37,B581,5),'章节与怪物'!$A$41:$F$44,4,FALSE)+IF(5=D581,'难度参数'!$E$30,0))</x:f>
        <x:v>920</x:v>
      </x:c>
      <x:c r="AR581" s="119" t="n">
        <x:f>IF(6&gt;D581,0,MAX(2,MIN('难度参数'!$E$12,ROUND(('难度参数'!$E$18*POWER(A581,'难度参数'!$E$19)/D581*(0.85+0.3*(6-1)/MAX(1,D581-1))),0)+F581)))</x:f>
        <x:v>48</x:v>
      </x:c>
      <x:c r="AS581" s="119" t="n">
        <x:f>IF(6&gt;D581,0,ROUND(('难度参数'!$E$13*POWER(A581,'难度参数'!$E$20)*MIN('难度参数'!$E$23,1+MAX(0,A581-'难度参数'!$E$21)*'难度参数'!$E$22))*(36+6*7)/(36+7*(D581+1)/2)*E581,0))</x:f>
        <x:v>15966</x:v>
      </x:c>
      <x:c r="AT581" s="119" t="n">
        <x:f>IF(AR581=0,0,(AR581-IF(6=D581,1,0))*ROUND(AS581*VLOOKUP(INDEX('章节与怪物'!$E$31:$K$37,B581,6),'章节与怪物'!$A$41:$F$44,2,FALSE),0)+IF(6=D581,ROUND(AS581*'难度参数'!$E$28*'章节与怪物'!$E$17,0),0))</x:f>
        <x:v>1302816</x:v>
      </x:c>
      <x:c r="AU581" s="119" t="n">
        <x:f>IF(AR581=0,0,(AR581-IF(6=D581,1,0))*VLOOKUP(INDEX('章节与怪物'!$E$31:$K$37,B581,6),'章节与怪物'!$A$41:$F$44,4,FALSE)+IF(6=D581,'难度参数'!$E$30,0))</x:f>
        <x:v>1344</x:v>
      </x:c>
      <x:c r="AV581" s="119" t="n">
        <x:f>IF(7&gt;D581,0,MAX(2,MIN('难度参数'!$E$12,ROUND(('难度参数'!$E$18*POWER(A581,'难度参数'!$E$19)/D581*(0.85+0.3*(7-1)/MAX(1,D581-1))),0)+F581)))</x:f>
        <x:v>50</x:v>
      </x:c>
      <x:c r="AW581" s="119" t="n">
        <x:f>IF(7&gt;D581,0,ROUND(('难度参数'!$E$13*POWER(A581,'难度参数'!$E$20)*MIN('难度参数'!$E$23,1+MAX(0,A581-'难度参数'!$E$21)*'难度参数'!$E$22))*(36+7*7)/(36+7*(D581+1)/2)*E581,0))</x:f>
        <x:v>17399</x:v>
      </x:c>
      <x:c r="AX581" s="119" t="n">
        <x:f>IF(AV581=0,0,(AV581-IF(7=D581,1,0))*ROUND(AW581*VLOOKUP(INDEX('章节与怪物'!$E$31:$K$37,B581,7),'章节与怪物'!$A$41:$F$44,2,FALSE),0)+IF(7=D581,ROUND(AW581*'难度参数'!$E$28*'章节与怪物'!$E$17,0),0))</x:f>
        <x:v>1269274</x:v>
      </x:c>
      <x:c r="AY581" s="119" t="n">
        <x:f>IF(AV581=0,0,(AV581-IF(7=D581,1,0))*VLOOKUP(INDEX('章节与怪物'!$E$31:$K$37,B581,7),'章节与怪物'!$A$41:$F$44,4,FALSE)+IF(7=D581,'难度参数'!$E$30,0))</x:f>
        <x:v>1866</x:v>
      </x:c>
    </x:row>
    <x:row r="582" ht="23" customHeight="1">
      <x:c r="A582" s="119" t="n">
        <x:v>576</x:v>
      </x:c>
      <x:c r="B582" s="119" t="n">
        <x:f>MOD(INT((A582-1)/5),7)+1</x:f>
        <x:v>4</x:v>
      </x:c>
      <x:c r="C582" s="62" t="str">
        <x:f>INDEX('章节与怪物'!$B$31:$B$37,B582)</x:f>
        <x:v>翠野边城</x:v>
      </x:c>
      <x:c r="D582" s="119" t="n">
        <x:f>MIN('难度参数'!$E$8,MAX('难度参数'!$E$7,A582))</x:f>
        <x:v>7</x:v>
      </x:c>
      <x:c r="E582" s="106" t="n">
        <x:v>1</x:v>
      </x:c>
      <x:c r="F582" s="106" t="n">
        <x:v>0</x:v>
      </x:c>
      <x:c r="G582" s="106" t="n">
        <x:v>1</x:v>
      </x:c>
      <x:c r="H582" s="119" t="n">
        <x:f>SUM(X582,AB582,AF582,AJ582,AN582,AR582,AV582)</x:f>
        <x:v>305</x:v>
      </x:c>
      <x:c r="I582" s="119" t="n">
        <x:f>SUM(Z582,AD582,AH582,AL582,AP582,AT582,AX582)</x:f>
        <x:v>4720525</x:v>
      </x:c>
      <x:c r="J582" s="119" t="n">
        <x:f>ROUND(INDEX(X582:AY582,1,(D582-1)*4+2)*'难度参数'!$E$28*'章节与怪物'!$E$17,0)</x:f>
        <x:v>118463</x:v>
      </x:c>
      <x:c r="K582" s="119" t="n">
        <x:f>SUM(AA582,AE582,AI582,AM582,AQ582,AU582,AY582)</x:f>
        <x:v>7740</x:v>
      </x:c>
      <x:c r="L582" s="62" t="n">
        <x:f>H582*(ROUNDUP('难度参数'!$E$24/('难度参数'!$E$26*'难度参数'!$E$27),0)*'难度参数'!$E$26)/60</x:f>
        <x:v>4.066666666666666</x:v>
      </x:c>
      <x:c r="M582" s="62" t="n">
        <x:f>L582+D582*('难度参数'!$E$49+'难度参数'!$E$50)/60</x:f>
        <x:v>5.233333333333333</x:v>
      </x:c>
      <x:c r="N582" s="119" t="n">
        <x:f>ROUNDDOWN(('经济参数'!$E$20+A582*'经济参数'!$E$21)*G582,0)</x:f>
        <x:v>11700</x:v>
      </x:c>
      <x:c r="O582" s="119" t="n">
        <x:f>ROUNDDOWN(MIN('经济参数'!$E$24,'经济参数'!$E$22+A582*'经济参数'!$E$23)*G582,0)</x:f>
        <x:v>0</x:v>
      </x:c>
      <x:c r="P582" s="119" t="n">
        <x:f>ROUNDDOWN((IF(A582&gt;='材料与任务'!$E$31,'材料与任务'!$E$32,IF(A582&gt;='材料与任务'!$E$25,'材料与任务'!$E$26,IF(A582&gt;='材料与任务'!$E$19,'材料与任务'!$E$20,IF(A582&gt;='材料与任务'!$E$13,'材料与任务'!$E$14,'材料与任务'!$E$8)))))*G582,0)</x:f>
        <x:v>6</x:v>
      </x:c>
      <x:c r="Q582" s="119" t="n">
        <x:f>ROUNDDOWN((IF(A582&gt;='材料与任务'!$E$31,'材料与任务'!$E$33,IF(A582&gt;='材料与任务'!$E$25,'材料与任务'!$E$27,IF(A582&gt;='材料与任务'!$E$19,'材料与任务'!$E$21,IF(A582&gt;='材料与任务'!$E$13,'材料与任务'!$E$15,'材料与任务'!$E$9)))))*G582,0)</x:f>
        <x:v>3</x:v>
      </x:c>
      <x:c r="R582" s="110" t="n">
        <x:f>'装备掉落'!$B$38</x:f>
        <x:v>0.6872058758851213</x:v>
      </x:c>
      <x:c r="S582" s="119" t="n">
        <x:f>MAX(IF(VLOOKUP(A582,'装备掉落'!$A$29:$H$34,2,TRUE)&gt;0,1,0),IF(VLOOKUP(A582,'装备掉落'!$A$29:$H$34,3,TRUE)&gt;0,2,0),IF(VLOOKUP(A582,'装备掉落'!$A$29:$H$34,4,TRUE)&gt;0,3,0),IF(VLOOKUP(A582,'装备掉落'!$A$29:$H$34,5,TRUE)&gt;0,4,0),IF(VLOOKUP(A582,'装备掉落'!$A$29:$H$34,6,TRUE)&gt;0,5,0),IF(VLOOKUP(A582,'装备掉落'!$A$29:$H$34,7,TRUE)&gt;0,6,0),IF(VLOOKUP(A582,'装备掉落'!$A$29:$H$34,8,TRUE)&gt;0,7,0))</x:f>
        <x:v>7</x:v>
      </x:c>
      <x:c r="T582" s="119" t="n">
        <x:f>MIN(7,S582+'经济参数'!$E$70)</x:f>
        <x:v>7</x:v>
      </x:c>
      <x:c r="U582" s="119" t="n">
        <x:f>MIN(7,S582+'经济参数'!$E$71)</x:f>
        <x:v>7</x:v>
      </x:c>
      <x:c r="V582" s="119" t="n">
        <x:f>IF(H582&gt;=('难度参数'!$E$52),1,0)+IF(H582&gt;=('难度参数'!$E$52+'难度参数'!$E$53),1,0)+IF(H582&gt;=('难度参数'!$E$52+'难度参数'!$E$53+'难度参数'!$E$54),1,0)+IF(H582&gt;=('难度参数'!$E$52+'难度参数'!$E$53+'难度参数'!$E$54+'难度参数'!$E$55),1,0)+IF(H582&gt;=('难度参数'!$E$52+'难度参数'!$E$53+'难度参数'!$E$54+'难度参数'!$E$55+'难度参数'!$E$56),1,0)+IF(H582&gt;=('难度参数'!$E$52+'难度参数'!$E$53+'难度参数'!$E$54+'难度参数'!$E$55+'难度参数'!$E$56+'难度参数'!$E$57),1,0)</x:f>
        <x:v>6</x:v>
      </x:c>
      <x:c r="W582" s="62" t="str">
        <x:f>IF(L582&gt;'难度参数'!$E$51,"仅出怪已超目标","还需实测")</x:f>
        <x:v>仅出怪已超目标</x:v>
      </x:c>
      <x:c r="X582" s="119" t="n">
        <x:f>IF(1&gt;D582,0,MAX(2,MIN('难度参数'!$E$12,ROUND(('难度参数'!$E$18*POWER(A582,'难度参数'!$E$19)/D582*(0.85+0.3*(1-1)/MAX(1,D582-1))),0)+F582)))</x:f>
        <x:v>37</x:v>
      </x:c>
      <x:c r="Y582" s="119" t="n">
        <x:f>IF(1&gt;D582,0,ROUND(('难度参数'!$E$13*POWER(A582,'难度参数'!$E$20)*MIN('难度参数'!$E$23,1+MAX(0,A582-'难度参数'!$E$21)*'难度参数'!$E$22))*(36+1*7)/(36+7*(D582+1)/2)*E582,0))</x:f>
        <x:v>8813</x:v>
      </x:c>
      <x:c r="Z582" s="119" t="n">
        <x:f>IF(X582=0,0,(X582-IF(1=D582,1,0))*ROUND(Y582*VLOOKUP(INDEX('章节与怪物'!$E$31:$K$37,B582,1),'章节与怪物'!$A$41:$F$44,2,FALSE),0)+IF(1=D582,ROUND(Y582*'难度参数'!$E$28*'章节与怪物'!$E$17,0),0))</x:f>
        <x:v>234765</x:v>
      </x:c>
      <x:c r="AA582" s="119" t="n">
        <x:f>IF(X582=0,0,(X582-IF(1=D582,1,0))*VLOOKUP(INDEX('章节与怪物'!$E$31:$K$37,B582,1),'章节与怪物'!$A$41:$F$44,4,FALSE)+IF(1=D582,'难度参数'!$E$30,0))</x:f>
        <x:v>740</x:v>
      </x:c>
      <x:c r="AB582" s="119" t="n">
        <x:f>IF(2&gt;D582,0,MAX(2,MIN('难度参数'!$E$12,ROUND(('难度参数'!$E$18*POWER(A582,'难度参数'!$E$19)/D582*(0.85+0.3*(2-1)/MAX(1,D582-1))),0)+F582)))</x:f>
        <x:v>39</x:v>
      </x:c>
      <x:c r="AC582" s="119" t="n">
        <x:f>IF(2&gt;D582,0,ROUND(('难度参数'!$E$13*POWER(A582,'难度参数'!$E$20)*MIN('难度参数'!$E$23,1+MAX(0,A582-'难度参数'!$E$21)*'难度参数'!$E$22))*(36+2*7)/(36+7*(D582+1)/2)*E582,0))</x:f>
        <x:v>10248</x:v>
      </x:c>
      <x:c r="AD582" s="119" t="n">
        <x:f>IF(AB582=0,0,(AB582-IF(2=D582,1,0))*ROUND(AC582*VLOOKUP(INDEX('章节与怪物'!$E$31:$K$37,B582,2),'章节与怪物'!$A$41:$F$44,2,FALSE),0)+IF(2=D582,ROUND(AC582*'难度参数'!$E$28*'章节与怪物'!$E$17,0),0))</x:f>
        <x:v>399672</x:v>
      </x:c>
      <x:c r="AE582" s="119" t="n">
        <x:f>IF(AB582=0,0,(AB582-IF(2=D582,1,0))*VLOOKUP(INDEX('章节与怪物'!$E$31:$K$37,B582,2),'章节与怪物'!$A$41:$F$44,4,FALSE)+IF(2=D582,'难度参数'!$E$30,0))</x:f>
        <x:v>702</x:v>
      </x:c>
      <x:c r="AF582" s="119" t="n">
        <x:f>IF(3&gt;D582,0,MAX(2,MIN('难度参数'!$E$12,ROUND(('难度参数'!$E$18*POWER(A582,'难度参数'!$E$19)/D582*(0.85+0.3*(3-1)/MAX(1,D582-1))),0)+F582)))</x:f>
        <x:v>41</x:v>
      </x:c>
      <x:c r="AG582" s="119" t="n">
        <x:f>IF(3&gt;D582,0,ROUND(('难度参数'!$E$13*POWER(A582,'难度参数'!$E$20)*MIN('难度参数'!$E$23,1+MAX(0,A582-'难度参数'!$E$21)*'难度参数'!$E$22))*(36+3*7)/(36+7*(D582+1)/2)*E582,0))</x:f>
        <x:v>11682</x:v>
      </x:c>
      <x:c r="AH582" s="119" t="n">
        <x:f>IF(AF582=0,0,(AF582-IF(3=D582,1,0))*ROUND(AG582*VLOOKUP(INDEX('章节与怪物'!$E$31:$K$37,B582,3),'章节与怪物'!$A$41:$F$44,2,FALSE),0)+IF(3=D582,ROUND(AG582*'难度参数'!$E$28*'章节与怪物'!$E$17,0),0))</x:f>
        <x:v>814219</x:v>
      </x:c>
      <x:c r="AI582" s="119" t="n">
        <x:f>IF(AF582=0,0,(AF582-IF(3=D582,1,0))*VLOOKUP(INDEX('章节与怪物'!$E$31:$K$37,B582,3),'章节与怪物'!$A$41:$F$44,4,FALSE)+IF(3=D582,'难度参数'!$E$30,0))</x:f>
        <x:v>1148</x:v>
      </x:c>
      <x:c r="AJ582" s="119" t="n">
        <x:f>IF(4&gt;D582,0,MAX(2,MIN('难度参数'!$E$12,ROUND(('难度参数'!$E$18*POWER(A582,'难度参数'!$E$19)/D582*(0.85+0.3*(4-1)/MAX(1,D582-1))),0)+F582)))</x:f>
        <x:v>44</x:v>
      </x:c>
      <x:c r="AK582" s="119" t="n">
        <x:f>IF(4&gt;D582,0,ROUND(('难度参数'!$E$13*POWER(A582,'难度参数'!$E$20)*MIN('难度参数'!$E$23,1+MAX(0,A582-'难度参数'!$E$21)*'难度参数'!$E$22))*(36+4*7)/(36+7*(D582+1)/2)*E582,0))</x:f>
        <x:v>13117</x:v>
      </x:c>
      <x:c r="AL582" s="119" t="n">
        <x:f>IF(AJ582=0,0,(AJ582-IF(4=D582,1,0))*ROUND(AK582*VLOOKUP(INDEX('章节与怪物'!$E$31:$K$37,B582,4),'章节与怪物'!$A$41:$F$44,2,FALSE),0)+IF(4=D582,ROUND(AK582*'难度参数'!$E$28*'章节与怪物'!$E$17,0),0))</x:f>
        <x:v>779152</x:v>
      </x:c>
      <x:c r="AM582" s="119" t="n">
        <x:f>IF(AJ582=0,0,(AJ582-IF(4=D582,1,0))*VLOOKUP(INDEX('章节与怪物'!$E$31:$K$37,B582,4),'章节与怪物'!$A$41:$F$44,4,FALSE)+IF(4=D582,'难度参数'!$E$30,0))</x:f>
        <x:v>1496</x:v>
      </x:c>
      <x:c r="AN582" s="119" t="n">
        <x:f>IF(5&gt;D582,0,MAX(2,MIN('难度参数'!$E$12,ROUND(('难度参数'!$E$18*POWER(A582,'难度参数'!$E$19)/D582*(0.85+0.3*(5-1)/MAX(1,D582-1))),0)+F582)))</x:f>
        <x:v>46</x:v>
      </x:c>
      <x:c r="AO582" s="119" t="n">
        <x:f>IF(5&gt;D582,0,ROUND(('难度参数'!$E$13*POWER(A582,'难度参数'!$E$20)*MIN('难度参数'!$E$23,1+MAX(0,A582-'难度参数'!$E$21)*'难度参数'!$E$22))*(36+5*7)/(36+7*(D582+1)/2)*E582,0))</x:f>
        <x:v>14552</x:v>
      </x:c>
      <x:c r="AP582" s="119" t="n">
        <x:f>IF(AN582=0,0,(AN582-IF(5=D582,1,0))*ROUND(AO582*VLOOKUP(INDEX('章节与怪物'!$E$31:$K$37,B582,5),'章节与怪物'!$A$41:$F$44,2,FALSE),0)+IF(5=D582,ROUND(AO582*'难度参数'!$E$28*'章节与怪物'!$E$17,0),0))</x:f>
        <x:v>669392</x:v>
      </x:c>
      <x:c r="AQ582" s="119" t="n">
        <x:f>IF(AN582=0,0,(AN582-IF(5=D582,1,0))*VLOOKUP(INDEX('章节与怪物'!$E$31:$K$37,B582,5),'章节与怪物'!$A$41:$F$44,4,FALSE)+IF(5=D582,'难度参数'!$E$30,0))</x:f>
        <x:v>828</x:v>
      </x:c>
      <x:c r="AR582" s="119" t="n">
        <x:f>IF(6&gt;D582,0,MAX(2,MIN('难度参数'!$E$12,ROUND(('难度参数'!$E$18*POWER(A582,'难度参数'!$E$19)/D582*(0.85+0.3*(6-1)/MAX(1,D582-1))),0)+F582)))</x:f>
        <x:v>48</x:v>
      </x:c>
      <x:c r="AS582" s="119" t="n">
        <x:f>IF(6&gt;D582,0,ROUND(('难度参数'!$E$13*POWER(A582,'难度参数'!$E$20)*MIN('难度参数'!$E$23,1+MAX(0,A582-'难度参数'!$E$21)*'难度参数'!$E$22))*(36+6*7)/(36+7*(D582+1)/2)*E582,0))</x:f>
        <x:v>15986</x:v>
      </x:c>
      <x:c r="AT582" s="119" t="n">
        <x:f>IF(AR582=0,0,(AR582-IF(6=D582,1,0))*ROUND(AS582*VLOOKUP(INDEX('章节与怪物'!$E$31:$K$37,B582,6),'章节与怪物'!$A$41:$F$44,2,FALSE),0)+IF(6=D582,ROUND(AS582*'难度参数'!$E$28*'章节与怪物'!$E$17,0),0))</x:f>
        <x:v>552480</x:v>
      </x:c>
      <x:c r="AU582" s="119" t="n">
        <x:f>IF(AR582=0,0,(AR582-IF(6=D582,1,0))*VLOOKUP(INDEX('章节与怪物'!$E$31:$K$37,B582,6),'章节与怪物'!$A$41:$F$44,4,FALSE)+IF(6=D582,'难度参数'!$E$30,0))</x:f>
        <x:v>960</x:v>
      </x:c>
      <x:c r="AV582" s="119" t="n">
        <x:f>IF(7&gt;D582,0,MAX(2,MIN('难度参数'!$E$12,ROUND(('难度参数'!$E$18*POWER(A582,'难度参数'!$E$19)/D582*(0.85+0.3*(7-1)/MAX(1,D582-1))),0)+F582)))</x:f>
        <x:v>50</x:v>
      </x:c>
      <x:c r="AW582" s="119" t="n">
        <x:f>IF(7&gt;D582,0,ROUND(('难度参数'!$E$13*POWER(A582,'难度参数'!$E$20)*MIN('难度参数'!$E$23,1+MAX(0,A582-'难度参数'!$E$21)*'难度参数'!$E$22))*(36+7*7)/(36+7*(D582+1)/2)*E582,0))</x:f>
        <x:v>17421</x:v>
      </x:c>
      <x:c r="AX582" s="119" t="n">
        <x:f>IF(AV582=0,0,(AV582-IF(7=D582,1,0))*ROUND(AW582*VLOOKUP(INDEX('章节与怪物'!$E$31:$K$37,B582,7),'章节与怪物'!$A$41:$F$44,2,FALSE),0)+IF(7=D582,ROUND(AW582*'难度参数'!$E$28*'章节与怪物'!$E$17,0),0))</x:f>
        <x:v>1270845</x:v>
      </x:c>
      <x:c r="AY582" s="119" t="n">
        <x:f>IF(AV582=0,0,(AV582-IF(7=D582,1,0))*VLOOKUP(INDEX('章节与怪物'!$E$31:$K$37,B582,7),'章节与怪物'!$A$41:$F$44,4,FALSE)+IF(7=D582,'难度参数'!$E$30,0))</x:f>
        <x:v>1866</x:v>
      </x:c>
    </x:row>
    <x:row r="583" ht="23" customHeight="1">
      <x:c r="A583" s="119" t="n">
        <x:v>577</x:v>
      </x:c>
      <x:c r="B583" s="119" t="n">
        <x:f>MOD(INT((A583-1)/5),7)+1</x:f>
        <x:v>4</x:v>
      </x:c>
      <x:c r="C583" s="62" t="str">
        <x:f>INDEX('章节与怪物'!$B$31:$B$37,B583)</x:f>
        <x:v>翠野边城</x:v>
      </x:c>
      <x:c r="D583" s="119" t="n">
        <x:f>MIN('难度参数'!$E$8,MAX('难度参数'!$E$7,A583))</x:f>
        <x:v>7</x:v>
      </x:c>
      <x:c r="E583" s="106" t="n">
        <x:v>1</x:v>
      </x:c>
      <x:c r="F583" s="106" t="n">
        <x:v>0</x:v>
      </x:c>
      <x:c r="G583" s="106" t="n">
        <x:v>1</x:v>
      </x:c>
      <x:c r="H583" s="119" t="n">
        <x:f>SUM(X583,AB583,AF583,AJ583,AN583,AR583,AV583)</x:f>
        <x:v>305</x:v>
      </x:c>
      <x:c r="I583" s="119" t="n">
        <x:f>SUM(Z583,AD583,AH583,AL583,AP583,AT583,AX583)</x:f>
        <x:v>4726481</x:v>
      </x:c>
      <x:c r="J583" s="119" t="n">
        <x:f>ROUND(INDEX(X583:AY583,1,(D583-1)*4+2)*'难度参数'!$E$28*'章节与怪物'!$E$17,0)</x:f>
        <x:v>118612</x:v>
      </x:c>
      <x:c r="K583" s="119" t="n">
        <x:f>SUM(AA583,AE583,AI583,AM583,AQ583,AU583,AY583)</x:f>
        <x:v>7740</x:v>
      </x:c>
      <x:c r="L583" s="62" t="n">
        <x:f>H583*(ROUNDUP('难度参数'!$E$24/('难度参数'!$E$26*'难度参数'!$E$27),0)*'难度参数'!$E$26)/60</x:f>
        <x:v>4.066666666666666</x:v>
      </x:c>
      <x:c r="M583" s="62" t="n">
        <x:f>L583+D583*('难度参数'!$E$49+'难度参数'!$E$50)/60</x:f>
        <x:v>5.233333333333333</x:v>
      </x:c>
      <x:c r="N583" s="119" t="n">
        <x:f>ROUNDDOWN(('经济参数'!$E$20+A583*'经济参数'!$E$21)*G583,0)</x:f>
        <x:v>11720</x:v>
      </x:c>
      <x:c r="O583" s="119" t="n">
        <x:f>ROUNDDOWN(MIN('经济参数'!$E$24,'经济参数'!$E$22+A583*'经济参数'!$E$23)*G583,0)</x:f>
        <x:v>0</x:v>
      </x:c>
      <x:c r="P583" s="119" t="n">
        <x:f>ROUNDDOWN((IF(A583&gt;='材料与任务'!$E$31,'材料与任务'!$E$32,IF(A583&gt;='材料与任务'!$E$25,'材料与任务'!$E$26,IF(A583&gt;='材料与任务'!$E$19,'材料与任务'!$E$20,IF(A583&gt;='材料与任务'!$E$13,'材料与任务'!$E$14,'材料与任务'!$E$8)))))*G583,0)</x:f>
        <x:v>6</x:v>
      </x:c>
      <x:c r="Q583" s="119" t="n">
        <x:f>ROUNDDOWN((IF(A583&gt;='材料与任务'!$E$31,'材料与任务'!$E$33,IF(A583&gt;='材料与任务'!$E$25,'材料与任务'!$E$27,IF(A583&gt;='材料与任务'!$E$19,'材料与任务'!$E$21,IF(A583&gt;='材料与任务'!$E$13,'材料与任务'!$E$15,'材料与任务'!$E$9)))))*G583,0)</x:f>
        <x:v>3</x:v>
      </x:c>
      <x:c r="R583" s="110" t="n">
        <x:f>'装备掉落'!$B$38</x:f>
        <x:v>0.6872058758851213</x:v>
      </x:c>
      <x:c r="S583" s="119" t="n">
        <x:f>MAX(IF(VLOOKUP(A583,'装备掉落'!$A$29:$H$34,2,TRUE)&gt;0,1,0),IF(VLOOKUP(A583,'装备掉落'!$A$29:$H$34,3,TRUE)&gt;0,2,0),IF(VLOOKUP(A583,'装备掉落'!$A$29:$H$34,4,TRUE)&gt;0,3,0),IF(VLOOKUP(A583,'装备掉落'!$A$29:$H$34,5,TRUE)&gt;0,4,0),IF(VLOOKUP(A583,'装备掉落'!$A$29:$H$34,6,TRUE)&gt;0,5,0),IF(VLOOKUP(A583,'装备掉落'!$A$29:$H$34,7,TRUE)&gt;0,6,0),IF(VLOOKUP(A583,'装备掉落'!$A$29:$H$34,8,TRUE)&gt;0,7,0))</x:f>
        <x:v>7</x:v>
      </x:c>
      <x:c r="T583" s="119" t="n">
        <x:f>MIN(7,S583+'经济参数'!$E$70)</x:f>
        <x:v>7</x:v>
      </x:c>
      <x:c r="U583" s="119" t="n">
        <x:f>MIN(7,S583+'经济参数'!$E$71)</x:f>
        <x:v>7</x:v>
      </x:c>
      <x:c r="V583" s="119" t="n">
        <x:f>IF(H583&gt;=('难度参数'!$E$52),1,0)+IF(H583&gt;=('难度参数'!$E$52+'难度参数'!$E$53),1,0)+IF(H583&gt;=('难度参数'!$E$52+'难度参数'!$E$53+'难度参数'!$E$54),1,0)+IF(H583&gt;=('难度参数'!$E$52+'难度参数'!$E$53+'难度参数'!$E$54+'难度参数'!$E$55),1,0)+IF(H583&gt;=('难度参数'!$E$52+'难度参数'!$E$53+'难度参数'!$E$54+'难度参数'!$E$55+'难度参数'!$E$56),1,0)+IF(H583&gt;=('难度参数'!$E$52+'难度参数'!$E$53+'难度参数'!$E$54+'难度参数'!$E$55+'难度参数'!$E$56+'难度参数'!$E$57),1,0)</x:f>
        <x:v>6</x:v>
      </x:c>
      <x:c r="W583" s="62" t="str">
        <x:f>IF(L583&gt;'难度参数'!$E$51,"仅出怪已超目标","还需实测")</x:f>
        <x:v>仅出怪已超目标</x:v>
      </x:c>
      <x:c r="X583" s="119" t="n">
        <x:f>IF(1&gt;D583,0,MAX(2,MIN('难度参数'!$E$12,ROUND(('难度参数'!$E$18*POWER(A583,'难度参数'!$E$19)/D583*(0.85+0.3*(1-1)/MAX(1,D583-1))),0)+F583)))</x:f>
        <x:v>37</x:v>
      </x:c>
      <x:c r="Y583" s="119" t="n">
        <x:f>IF(1&gt;D583,0,ROUND(('难度参数'!$E$13*POWER(A583,'难度参数'!$E$20)*MIN('难度参数'!$E$23,1+MAX(0,A583-'难度参数'!$E$21)*'难度参数'!$E$22))*(36+1*7)/(36+7*(D583+1)/2)*E583,0))</x:f>
        <x:v>8824</x:v>
      </x:c>
      <x:c r="Z583" s="119" t="n">
        <x:f>IF(X583=0,0,(X583-IF(1=D583,1,0))*ROUND(Y583*VLOOKUP(INDEX('章节与怪物'!$E$31:$K$37,B583,1),'章节与怪物'!$A$41:$F$44,2,FALSE),0)+IF(1=D583,ROUND(Y583*'难度参数'!$E$28*'章节与怪物'!$E$17,0),0))</x:f>
        <x:v>235061</x:v>
      </x:c>
      <x:c r="AA583" s="119" t="n">
        <x:f>IF(X583=0,0,(X583-IF(1=D583,1,0))*VLOOKUP(INDEX('章节与怪物'!$E$31:$K$37,B583,1),'章节与怪物'!$A$41:$F$44,4,FALSE)+IF(1=D583,'难度参数'!$E$30,0))</x:f>
        <x:v>740</x:v>
      </x:c>
      <x:c r="AB583" s="119" t="n">
        <x:f>IF(2&gt;D583,0,MAX(2,MIN('难度参数'!$E$12,ROUND(('难度参数'!$E$18*POWER(A583,'难度参数'!$E$19)/D583*(0.85+0.3*(2-1)/MAX(1,D583-1))),0)+F583)))</x:f>
        <x:v>39</x:v>
      </x:c>
      <x:c r="AC583" s="119" t="n">
        <x:f>IF(2&gt;D583,0,ROUND(('难度参数'!$E$13*POWER(A583,'难度参数'!$E$20)*MIN('难度参数'!$E$23,1+MAX(0,A583-'难度参数'!$E$21)*'难度参数'!$E$22))*(36+2*7)/(36+7*(D583+1)/2)*E583,0))</x:f>
        <x:v>10261</x:v>
      </x:c>
      <x:c r="AD583" s="119" t="n">
        <x:f>IF(AB583=0,0,(AB583-IF(2=D583,1,0))*ROUND(AC583*VLOOKUP(INDEX('章节与怪物'!$E$31:$K$37,B583,2),'章节与怪物'!$A$41:$F$44,2,FALSE),0)+IF(2=D583,ROUND(AC583*'难度参数'!$E$28*'章节与怪物'!$E$17,0),0))</x:f>
        <x:v>400179</x:v>
      </x:c>
      <x:c r="AE583" s="119" t="n">
        <x:f>IF(AB583=0,0,(AB583-IF(2=D583,1,0))*VLOOKUP(INDEX('章节与怪物'!$E$31:$K$37,B583,2),'章节与怪物'!$A$41:$F$44,4,FALSE)+IF(2=D583,'难度参数'!$E$30,0))</x:f>
        <x:v>702</x:v>
      </x:c>
      <x:c r="AF583" s="119" t="n">
        <x:f>IF(3&gt;D583,0,MAX(2,MIN('难度参数'!$E$12,ROUND(('难度参数'!$E$18*POWER(A583,'难度参数'!$E$19)/D583*(0.85+0.3*(3-1)/MAX(1,D583-1))),0)+F583)))</x:f>
        <x:v>41</x:v>
      </x:c>
      <x:c r="AG583" s="119" t="n">
        <x:f>IF(3&gt;D583,0,ROUND(('难度参数'!$E$13*POWER(A583,'难度参数'!$E$20)*MIN('难度参数'!$E$23,1+MAX(0,A583-'难度参数'!$E$21)*'难度参数'!$E$22))*(36+3*7)/(36+7*(D583+1)/2)*E583,0))</x:f>
        <x:v>11697</x:v>
      </x:c>
      <x:c r="AH583" s="119" t="n">
        <x:f>IF(AF583=0,0,(AF583-IF(3=D583,1,0))*ROUND(AG583*VLOOKUP(INDEX('章节与怪物'!$E$31:$K$37,B583,3),'章节与怪物'!$A$41:$F$44,2,FALSE),0)+IF(3=D583,ROUND(AG583*'难度参数'!$E$28*'章节与怪物'!$E$17,0),0))</x:f>
        <x:v>815285</x:v>
      </x:c>
      <x:c r="AI583" s="119" t="n">
        <x:f>IF(AF583=0,0,(AF583-IF(3=D583,1,0))*VLOOKUP(INDEX('章节与怪物'!$E$31:$K$37,B583,3),'章节与怪物'!$A$41:$F$44,4,FALSE)+IF(3=D583,'难度参数'!$E$30,0))</x:f>
        <x:v>1148</x:v>
      </x:c>
      <x:c r="AJ583" s="119" t="n">
        <x:f>IF(4&gt;D583,0,MAX(2,MIN('难度参数'!$E$12,ROUND(('难度参数'!$E$18*POWER(A583,'难度参数'!$E$19)/D583*(0.85+0.3*(4-1)/MAX(1,D583-1))),0)+F583)))</x:f>
        <x:v>44</x:v>
      </x:c>
      <x:c r="AK583" s="119" t="n">
        <x:f>IF(4&gt;D583,0,ROUND(('难度参数'!$E$13*POWER(A583,'难度参数'!$E$20)*MIN('难度参数'!$E$23,1+MAX(0,A583-'难度参数'!$E$21)*'难度参数'!$E$22))*(36+4*7)/(36+7*(D583+1)/2)*E583,0))</x:f>
        <x:v>13133</x:v>
      </x:c>
      <x:c r="AL583" s="119" t="n">
        <x:f>IF(AJ583=0,0,(AJ583-IF(4=D583,1,0))*ROUND(AK583*VLOOKUP(INDEX('章节与怪物'!$E$31:$K$37,B583,4),'章节与怪物'!$A$41:$F$44,2,FALSE),0)+IF(4=D583,ROUND(AK583*'难度参数'!$E$28*'章节与怪物'!$E$17,0),0))</x:f>
        <x:v>780120</x:v>
      </x:c>
      <x:c r="AM583" s="119" t="n">
        <x:f>IF(AJ583=0,0,(AJ583-IF(4=D583,1,0))*VLOOKUP(INDEX('章节与怪物'!$E$31:$K$37,B583,4),'章节与怪物'!$A$41:$F$44,4,FALSE)+IF(4=D583,'难度参数'!$E$30,0))</x:f>
        <x:v>1496</x:v>
      </x:c>
      <x:c r="AN583" s="119" t="n">
        <x:f>IF(5&gt;D583,0,MAX(2,MIN('难度参数'!$E$12,ROUND(('难度参数'!$E$18*POWER(A583,'难度参数'!$E$19)/D583*(0.85+0.3*(5-1)/MAX(1,D583-1))),0)+F583)))</x:f>
        <x:v>46</x:v>
      </x:c>
      <x:c r="AO583" s="119" t="n">
        <x:f>IF(5&gt;D583,0,ROUND(('难度参数'!$E$13*POWER(A583,'难度参数'!$E$20)*MIN('难度参数'!$E$23,1+MAX(0,A583-'难度参数'!$E$21)*'难度参数'!$E$22))*(36+5*7)/(36+7*(D583+1)/2)*E583,0))</x:f>
        <x:v>14570</x:v>
      </x:c>
      <x:c r="AP583" s="119" t="n">
        <x:f>IF(AN583=0,0,(AN583-IF(5=D583,1,0))*ROUND(AO583*VLOOKUP(INDEX('章节与怪物'!$E$31:$K$37,B583,5),'章节与怪物'!$A$41:$F$44,2,FALSE),0)+IF(5=D583,ROUND(AO583*'难度参数'!$E$28*'章节与怪物'!$E$17,0),0))</x:f>
        <x:v>670220</x:v>
      </x:c>
      <x:c r="AQ583" s="119" t="n">
        <x:f>IF(AN583=0,0,(AN583-IF(5=D583,1,0))*VLOOKUP(INDEX('章节与怪物'!$E$31:$K$37,B583,5),'章节与怪物'!$A$41:$F$44,4,FALSE)+IF(5=D583,'难度参数'!$E$30,0))</x:f>
        <x:v>828</x:v>
      </x:c>
      <x:c r="AR583" s="119" t="n">
        <x:f>IF(6&gt;D583,0,MAX(2,MIN('难度参数'!$E$12,ROUND(('难度参数'!$E$18*POWER(A583,'难度参数'!$E$19)/D583*(0.85+0.3*(6-1)/MAX(1,D583-1))),0)+F583)))</x:f>
        <x:v>48</x:v>
      </x:c>
      <x:c r="AS583" s="119" t="n">
        <x:f>IF(6&gt;D583,0,ROUND(('难度参数'!$E$13*POWER(A583,'难度参数'!$E$20)*MIN('难度参数'!$E$23,1+MAX(0,A583-'难度参数'!$E$21)*'难度参数'!$E$22))*(36+6*7)/(36+7*(D583+1)/2)*E583,0))</x:f>
        <x:v>16006</x:v>
      </x:c>
      <x:c r="AT583" s="119" t="n">
        <x:f>IF(AR583=0,0,(AR583-IF(6=D583,1,0))*ROUND(AS583*VLOOKUP(INDEX('章节与怪物'!$E$31:$K$37,B583,6),'章节与怪物'!$A$41:$F$44,2,FALSE),0)+IF(6=D583,ROUND(AS583*'难度参数'!$E$28*'章节与怪物'!$E$17,0),0))</x:f>
        <x:v>553152</x:v>
      </x:c>
      <x:c r="AU583" s="119" t="n">
        <x:f>IF(AR583=0,0,(AR583-IF(6=D583,1,0))*VLOOKUP(INDEX('章节与怪物'!$E$31:$K$37,B583,6),'章节与怪物'!$A$41:$F$44,4,FALSE)+IF(6=D583,'难度参数'!$E$30,0))</x:f>
        <x:v>960</x:v>
      </x:c>
      <x:c r="AV583" s="119" t="n">
        <x:f>IF(7&gt;D583,0,MAX(2,MIN('难度参数'!$E$12,ROUND(('难度参数'!$E$18*POWER(A583,'难度参数'!$E$19)/D583*(0.85+0.3*(7-1)/MAX(1,D583-1))),0)+F583)))</x:f>
        <x:v>50</x:v>
      </x:c>
      <x:c r="AW583" s="119" t="n">
        <x:f>IF(7&gt;D583,0,ROUND(('难度参数'!$E$13*POWER(A583,'难度参数'!$E$20)*MIN('难度参数'!$E$23,1+MAX(0,A583-'难度参数'!$E$21)*'难度参数'!$E$22))*(36+7*7)/(36+7*(D583+1)/2)*E583,0))</x:f>
        <x:v>17443</x:v>
      </x:c>
      <x:c r="AX583" s="119" t="n">
        <x:f>IF(AV583=0,0,(AV583-IF(7=D583,1,0))*ROUND(AW583*VLOOKUP(INDEX('章节与怪物'!$E$31:$K$37,B583,7),'章节与怪物'!$A$41:$F$44,2,FALSE),0)+IF(7=D583,ROUND(AW583*'难度参数'!$E$28*'章节与怪物'!$E$17,0),0))</x:f>
        <x:v>1272464</x:v>
      </x:c>
      <x:c r="AY583" s="119" t="n">
        <x:f>IF(AV583=0,0,(AV583-IF(7=D583,1,0))*VLOOKUP(INDEX('章节与怪物'!$E$31:$K$37,B583,7),'章节与怪物'!$A$41:$F$44,4,FALSE)+IF(7=D583,'难度参数'!$E$30,0))</x:f>
        <x:v>1866</x:v>
      </x:c>
    </x:row>
    <x:row r="584" ht="23" customHeight="1">
      <x:c r="A584" s="119" t="n">
        <x:v>578</x:v>
      </x:c>
      <x:c r="B584" s="119" t="n">
        <x:f>MOD(INT((A584-1)/5),7)+1</x:f>
        <x:v>4</x:v>
      </x:c>
      <x:c r="C584" s="62" t="str">
        <x:f>INDEX('章节与怪物'!$B$31:$B$37,B584)</x:f>
        <x:v>翠野边城</x:v>
      </x:c>
      <x:c r="D584" s="119" t="n">
        <x:f>MIN('难度参数'!$E$8,MAX('难度参数'!$E$7,A584))</x:f>
        <x:v>7</x:v>
      </x:c>
      <x:c r="E584" s="106" t="n">
        <x:v>1</x:v>
      </x:c>
      <x:c r="F584" s="106" t="n">
        <x:v>0</x:v>
      </x:c>
      <x:c r="G584" s="106" t="n">
        <x:v>1</x:v>
      </x:c>
      <x:c r="H584" s="119" t="n">
        <x:f>SUM(X584,AB584,AF584,AJ584,AN584,AR584,AV584)</x:f>
        <x:v>305</x:v>
      </x:c>
      <x:c r="I584" s="119" t="n">
        <x:f>SUM(Z584,AD584,AH584,AL584,AP584,AT584,AX584)</x:f>
        <x:v>4732450</x:v>
      </x:c>
      <x:c r="J584" s="119" t="n">
        <x:f>ROUND(INDEX(X584:AY584,1,(D584-1)*4+2)*'难度参数'!$E$28*'章节与怪物'!$E$17,0)</x:f>
        <x:v>118762</x:v>
      </x:c>
      <x:c r="K584" s="119" t="n">
        <x:f>SUM(AA584,AE584,AI584,AM584,AQ584,AU584,AY584)</x:f>
        <x:v>7740</x:v>
      </x:c>
      <x:c r="L584" s="62" t="n">
        <x:f>H584*(ROUNDUP('难度参数'!$E$24/('难度参数'!$E$26*'难度参数'!$E$27),0)*'难度参数'!$E$26)/60</x:f>
        <x:v>4.066666666666666</x:v>
      </x:c>
      <x:c r="M584" s="62" t="n">
        <x:f>L584+D584*('难度参数'!$E$49+'难度参数'!$E$50)/60</x:f>
        <x:v>5.233333333333333</x:v>
      </x:c>
      <x:c r="N584" s="119" t="n">
        <x:f>ROUNDDOWN(('经济参数'!$E$20+A584*'经济参数'!$E$21)*G584,0)</x:f>
        <x:v>11740</x:v>
      </x:c>
      <x:c r="O584" s="119" t="n">
        <x:f>ROUNDDOWN(MIN('经济参数'!$E$24,'经济参数'!$E$22+A584*'经济参数'!$E$23)*G584,0)</x:f>
        <x:v>0</x:v>
      </x:c>
      <x:c r="P584" s="119" t="n">
        <x:f>ROUNDDOWN((IF(A584&gt;='材料与任务'!$E$31,'材料与任务'!$E$32,IF(A584&gt;='材料与任务'!$E$25,'材料与任务'!$E$26,IF(A584&gt;='材料与任务'!$E$19,'材料与任务'!$E$20,IF(A584&gt;='材料与任务'!$E$13,'材料与任务'!$E$14,'材料与任务'!$E$8)))))*G584,0)</x:f>
        <x:v>6</x:v>
      </x:c>
      <x:c r="Q584" s="119" t="n">
        <x:f>ROUNDDOWN((IF(A584&gt;='材料与任务'!$E$31,'材料与任务'!$E$33,IF(A584&gt;='材料与任务'!$E$25,'材料与任务'!$E$27,IF(A584&gt;='材料与任务'!$E$19,'材料与任务'!$E$21,IF(A584&gt;='材料与任务'!$E$13,'材料与任务'!$E$15,'材料与任务'!$E$9)))))*G584,0)</x:f>
        <x:v>3</x:v>
      </x:c>
      <x:c r="R584" s="110" t="n">
        <x:f>'装备掉落'!$B$38</x:f>
        <x:v>0.6872058758851213</x:v>
      </x:c>
      <x:c r="S584" s="119" t="n">
        <x:f>MAX(IF(VLOOKUP(A584,'装备掉落'!$A$29:$H$34,2,TRUE)&gt;0,1,0),IF(VLOOKUP(A584,'装备掉落'!$A$29:$H$34,3,TRUE)&gt;0,2,0),IF(VLOOKUP(A584,'装备掉落'!$A$29:$H$34,4,TRUE)&gt;0,3,0),IF(VLOOKUP(A584,'装备掉落'!$A$29:$H$34,5,TRUE)&gt;0,4,0),IF(VLOOKUP(A584,'装备掉落'!$A$29:$H$34,6,TRUE)&gt;0,5,0),IF(VLOOKUP(A584,'装备掉落'!$A$29:$H$34,7,TRUE)&gt;0,6,0),IF(VLOOKUP(A584,'装备掉落'!$A$29:$H$34,8,TRUE)&gt;0,7,0))</x:f>
        <x:v>7</x:v>
      </x:c>
      <x:c r="T584" s="119" t="n">
        <x:f>MIN(7,S584+'经济参数'!$E$70)</x:f>
        <x:v>7</x:v>
      </x:c>
      <x:c r="U584" s="119" t="n">
        <x:f>MIN(7,S584+'经济参数'!$E$71)</x:f>
        <x:v>7</x:v>
      </x:c>
      <x:c r="V584" s="119" t="n">
        <x:f>IF(H584&gt;=('难度参数'!$E$52),1,0)+IF(H584&gt;=('难度参数'!$E$52+'难度参数'!$E$53),1,0)+IF(H584&gt;=('难度参数'!$E$52+'难度参数'!$E$53+'难度参数'!$E$54),1,0)+IF(H584&gt;=('难度参数'!$E$52+'难度参数'!$E$53+'难度参数'!$E$54+'难度参数'!$E$55),1,0)+IF(H584&gt;=('难度参数'!$E$52+'难度参数'!$E$53+'难度参数'!$E$54+'难度参数'!$E$55+'难度参数'!$E$56),1,0)+IF(H584&gt;=('难度参数'!$E$52+'难度参数'!$E$53+'难度参数'!$E$54+'难度参数'!$E$55+'难度参数'!$E$56+'难度参数'!$E$57),1,0)</x:f>
        <x:v>6</x:v>
      </x:c>
      <x:c r="W584" s="62" t="str">
        <x:f>IF(L584&gt;'难度参数'!$E$51,"仅出怪已超目标","还需实测")</x:f>
        <x:v>仅出怪已超目标</x:v>
      </x:c>
      <x:c r="X584" s="119" t="n">
        <x:f>IF(1&gt;D584,0,MAX(2,MIN('难度参数'!$E$12,ROUND(('难度参数'!$E$18*POWER(A584,'难度参数'!$E$19)/D584*(0.85+0.3*(1-1)/MAX(1,D584-1))),0)+F584)))</x:f>
        <x:v>37</x:v>
      </x:c>
      <x:c r="Y584" s="119" t="n">
        <x:f>IF(1&gt;D584,0,ROUND(('难度参数'!$E$13*POWER(A584,'难度参数'!$E$20)*MIN('难度参数'!$E$23,1+MAX(0,A584-'难度参数'!$E$21)*'难度参数'!$E$22))*(36+1*7)/(36+7*(D584+1)/2)*E584,0))</x:f>
        <x:v>8835</x:v>
      </x:c>
      <x:c r="Z584" s="119" t="n">
        <x:f>IF(X584=0,0,(X584-IF(1=D584,1,0))*ROUND(Y584*VLOOKUP(INDEX('章节与怪物'!$E$31:$K$37,B584,1),'章节与怪物'!$A$41:$F$44,2,FALSE),0)+IF(1=D584,ROUND(Y584*'难度参数'!$E$28*'章节与怪物'!$E$17,0),0))</x:f>
        <x:v>235357</x:v>
      </x:c>
      <x:c r="AA584" s="119" t="n">
        <x:f>IF(X584=0,0,(X584-IF(1=D584,1,0))*VLOOKUP(INDEX('章节与怪物'!$E$31:$K$37,B584,1),'章节与怪物'!$A$41:$F$44,4,FALSE)+IF(1=D584,'难度参数'!$E$30,0))</x:f>
        <x:v>740</x:v>
      </x:c>
      <x:c r="AB584" s="119" t="n">
        <x:f>IF(2&gt;D584,0,MAX(2,MIN('难度参数'!$E$12,ROUND(('难度参数'!$E$18*POWER(A584,'难度参数'!$E$19)/D584*(0.85+0.3*(2-1)/MAX(1,D584-1))),0)+F584)))</x:f>
        <x:v>39</x:v>
      </x:c>
      <x:c r="AC584" s="119" t="n">
        <x:f>IF(2&gt;D584,0,ROUND(('难度参数'!$E$13*POWER(A584,'难度参数'!$E$20)*MIN('难度参数'!$E$23,1+MAX(0,A584-'难度参数'!$E$21)*'难度参数'!$E$22))*(36+2*7)/(36+7*(D584+1)/2)*E584,0))</x:f>
        <x:v>10273</x:v>
      </x:c>
      <x:c r="AD584" s="119" t="n">
        <x:f>IF(AB584=0,0,(AB584-IF(2=D584,1,0))*ROUND(AC584*VLOOKUP(INDEX('章节与怪物'!$E$31:$K$37,B584,2),'章节与怪物'!$A$41:$F$44,2,FALSE),0)+IF(2=D584,ROUND(AC584*'难度参数'!$E$28*'章节与怪物'!$E$17,0),0))</x:f>
        <x:v>400647</x:v>
      </x:c>
      <x:c r="AE584" s="119" t="n">
        <x:f>IF(AB584=0,0,(AB584-IF(2=D584,1,0))*VLOOKUP(INDEX('章节与怪物'!$E$31:$K$37,B584,2),'章节与怪物'!$A$41:$F$44,4,FALSE)+IF(2=D584,'难度参数'!$E$30,0))</x:f>
        <x:v>702</x:v>
      </x:c>
      <x:c r="AF584" s="119" t="n">
        <x:f>IF(3&gt;D584,0,MAX(2,MIN('难度参数'!$E$12,ROUND(('难度参数'!$E$18*POWER(A584,'难度参数'!$E$19)/D584*(0.85+0.3*(3-1)/MAX(1,D584-1))),0)+F584)))</x:f>
        <x:v>41</x:v>
      </x:c>
      <x:c r="AG584" s="119" t="n">
        <x:f>IF(3&gt;D584,0,ROUND(('难度参数'!$E$13*POWER(A584,'难度参数'!$E$20)*MIN('难度参数'!$E$23,1+MAX(0,A584-'难度参数'!$E$21)*'难度参数'!$E$22))*(36+3*7)/(36+7*(D584+1)/2)*E584,0))</x:f>
        <x:v>11712</x:v>
      </x:c>
      <x:c r="AH584" s="119" t="n">
        <x:f>IF(AF584=0,0,(AF584-IF(3=D584,1,0))*ROUND(AG584*VLOOKUP(INDEX('章节与怪物'!$E$31:$K$37,B584,3),'章节与怪物'!$A$41:$F$44,2,FALSE),0)+IF(3=D584,ROUND(AG584*'难度参数'!$E$28*'章节与怪物'!$E$17,0),0))</x:f>
        <x:v>816310</x:v>
      </x:c>
      <x:c r="AI584" s="119" t="n">
        <x:f>IF(AF584=0,0,(AF584-IF(3=D584,1,0))*VLOOKUP(INDEX('章节与怪物'!$E$31:$K$37,B584,3),'章节与怪物'!$A$41:$F$44,4,FALSE)+IF(3=D584,'难度参数'!$E$30,0))</x:f>
        <x:v>1148</x:v>
      </x:c>
      <x:c r="AJ584" s="119" t="n">
        <x:f>IF(4&gt;D584,0,MAX(2,MIN('难度参数'!$E$12,ROUND(('难度参数'!$E$18*POWER(A584,'难度参数'!$E$19)/D584*(0.85+0.3*(4-1)/MAX(1,D584-1))),0)+F584)))</x:f>
        <x:v>44</x:v>
      </x:c>
      <x:c r="AK584" s="119" t="n">
        <x:f>IF(4&gt;D584,0,ROUND(('难度参数'!$E$13*POWER(A584,'难度参数'!$E$20)*MIN('难度参数'!$E$23,1+MAX(0,A584-'难度参数'!$E$21)*'难度参数'!$E$22))*(36+4*7)/(36+7*(D584+1)/2)*E584,0))</x:f>
        <x:v>13150</x:v>
      </x:c>
      <x:c r="AL584" s="119" t="n">
        <x:f>IF(AJ584=0,0,(AJ584-IF(4=D584,1,0))*ROUND(AK584*VLOOKUP(INDEX('章节与怪物'!$E$31:$K$37,B584,4),'章节与怪物'!$A$41:$F$44,2,FALSE),0)+IF(4=D584,ROUND(AK584*'难度参数'!$E$28*'章节与怪物'!$E$17,0),0))</x:f>
        <x:v>781132</x:v>
      </x:c>
      <x:c r="AM584" s="119" t="n">
        <x:f>IF(AJ584=0,0,(AJ584-IF(4=D584,1,0))*VLOOKUP(INDEX('章节与怪物'!$E$31:$K$37,B584,4),'章节与怪物'!$A$41:$F$44,4,FALSE)+IF(4=D584,'难度参数'!$E$30,0))</x:f>
        <x:v>1496</x:v>
      </x:c>
      <x:c r="AN584" s="119" t="n">
        <x:f>IF(5&gt;D584,0,MAX(2,MIN('难度参数'!$E$12,ROUND(('难度参数'!$E$18*POWER(A584,'难度参数'!$E$19)/D584*(0.85+0.3*(5-1)/MAX(1,D584-1))),0)+F584)))</x:f>
        <x:v>46</x:v>
      </x:c>
      <x:c r="AO584" s="119" t="n">
        <x:f>IF(5&gt;D584,0,ROUND(('难度参数'!$E$13*POWER(A584,'难度参数'!$E$20)*MIN('难度参数'!$E$23,1+MAX(0,A584-'难度参数'!$E$21)*'难度参数'!$E$22))*(36+5*7)/(36+7*(D584+1)/2)*E584,0))</x:f>
        <x:v>14588</x:v>
      </x:c>
      <x:c r="AP584" s="119" t="n">
        <x:f>IF(AN584=0,0,(AN584-IF(5=D584,1,0))*ROUND(AO584*VLOOKUP(INDEX('章节与怪物'!$E$31:$K$37,B584,5),'章节与怪物'!$A$41:$F$44,2,FALSE),0)+IF(5=D584,ROUND(AO584*'难度参数'!$E$28*'章节与怪物'!$E$17,0),0))</x:f>
        <x:v>671048</x:v>
      </x:c>
      <x:c r="AQ584" s="119" t="n">
        <x:f>IF(AN584=0,0,(AN584-IF(5=D584,1,0))*VLOOKUP(INDEX('章节与怪物'!$E$31:$K$37,B584,5),'章节与怪物'!$A$41:$F$44,4,FALSE)+IF(5=D584,'难度参数'!$E$30,0))</x:f>
        <x:v>828</x:v>
      </x:c>
      <x:c r="AR584" s="119" t="n">
        <x:f>IF(6&gt;D584,0,MAX(2,MIN('难度参数'!$E$12,ROUND(('难度参数'!$E$18*POWER(A584,'难度参数'!$E$19)/D584*(0.85+0.3*(6-1)/MAX(1,D584-1))),0)+F584)))</x:f>
        <x:v>48</x:v>
      </x:c>
      <x:c r="AS584" s="119" t="n">
        <x:f>IF(6&gt;D584,0,ROUND(('难度参数'!$E$13*POWER(A584,'难度参数'!$E$20)*MIN('难度参数'!$E$23,1+MAX(0,A584-'难度参数'!$E$21)*'难度参数'!$E$22))*(36+6*7)/(36+7*(D584+1)/2)*E584,0))</x:f>
        <x:v>16026</x:v>
      </x:c>
      <x:c r="AT584" s="119" t="n">
        <x:f>IF(AR584=0,0,(AR584-IF(6=D584,1,0))*ROUND(AS584*VLOOKUP(INDEX('章节与怪物'!$E$31:$K$37,B584,6),'章节与怪物'!$A$41:$F$44,2,FALSE),0)+IF(6=D584,ROUND(AS584*'难度参数'!$E$28*'章节与怪物'!$E$17,0),0))</x:f>
        <x:v>553872</x:v>
      </x:c>
      <x:c r="AU584" s="119" t="n">
        <x:f>IF(AR584=0,0,(AR584-IF(6=D584,1,0))*VLOOKUP(INDEX('章节与怪物'!$E$31:$K$37,B584,6),'章节与怪物'!$A$41:$F$44,4,FALSE)+IF(6=D584,'难度参数'!$E$30,0))</x:f>
        <x:v>960</x:v>
      </x:c>
      <x:c r="AV584" s="119" t="n">
        <x:f>IF(7&gt;D584,0,MAX(2,MIN('难度参数'!$E$12,ROUND(('难度参数'!$E$18*POWER(A584,'难度参数'!$E$19)/D584*(0.85+0.3*(7-1)/MAX(1,D584-1))),0)+F584)))</x:f>
        <x:v>50</x:v>
      </x:c>
      <x:c r="AW584" s="119" t="n">
        <x:f>IF(7&gt;D584,0,ROUND(('难度参数'!$E$13*POWER(A584,'难度参数'!$E$20)*MIN('难度参数'!$E$23,1+MAX(0,A584-'难度参数'!$E$21)*'难度参数'!$E$22))*(36+7*7)/(36+7*(D584+1)/2)*E584,0))</x:f>
        <x:v>17465</x:v>
      </x:c>
      <x:c r="AX584" s="119" t="n">
        <x:f>IF(AV584=0,0,(AV584-IF(7=D584,1,0))*ROUND(AW584*VLOOKUP(INDEX('章节与怪物'!$E$31:$K$37,B584,7),'章节与怪物'!$A$41:$F$44,2,FALSE),0)+IF(7=D584,ROUND(AW584*'难度参数'!$E$28*'章节与怪物'!$E$17,0),0))</x:f>
        <x:v>1274084</x:v>
      </x:c>
      <x:c r="AY584" s="119" t="n">
        <x:f>IF(AV584=0,0,(AV584-IF(7=D584,1,0))*VLOOKUP(INDEX('章节与怪物'!$E$31:$K$37,B584,7),'章节与怪物'!$A$41:$F$44,4,FALSE)+IF(7=D584,'难度参数'!$E$30,0))</x:f>
        <x:v>1866</x:v>
      </x:c>
    </x:row>
    <x:row r="585" ht="23" customHeight="1">
      <x:c r="A585" s="119" t="n">
        <x:v>579</x:v>
      </x:c>
      <x:c r="B585" s="119" t="n">
        <x:f>MOD(INT((A585-1)/5),7)+1</x:f>
        <x:v>4</x:v>
      </x:c>
      <x:c r="C585" s="62" t="str">
        <x:f>INDEX('章节与怪物'!$B$31:$B$37,B585)</x:f>
        <x:v>翠野边城</x:v>
      </x:c>
      <x:c r="D585" s="119" t="n">
        <x:f>MIN('难度参数'!$E$8,MAX('难度参数'!$E$7,A585))</x:f>
        <x:v>7</x:v>
      </x:c>
      <x:c r="E585" s="106" t="n">
        <x:v>1</x:v>
      </x:c>
      <x:c r="F585" s="106" t="n">
        <x:v>0</x:v>
      </x:c>
      <x:c r="G585" s="106" t="n">
        <x:v>1</x:v>
      </x:c>
      <x:c r="H585" s="119" t="n">
        <x:f>SUM(X585,AB585,AF585,AJ585,AN585,AR585,AV585)</x:f>
        <x:v>306</x:v>
      </x:c>
      <x:c r="I585" s="119" t="n">
        <x:f>SUM(Z585,AD585,AH585,AL585,AP585,AT585,AX585)</x:f>
        <x:v>4758110</x:v>
      </x:c>
      <x:c r="J585" s="119" t="n">
        <x:f>ROUND(INDEX(X585:AY585,1,(D585-1)*4+2)*'难度参数'!$E$28*'章节与怪物'!$E$17,0)</x:f>
        <x:v>118905</x:v>
      </x:c>
      <x:c r="K585" s="119" t="n">
        <x:f>SUM(AA585,AE585,AI585,AM585,AQ585,AU585,AY585)</x:f>
        <x:v>7768</x:v>
      </x:c>
      <x:c r="L585" s="62" t="n">
        <x:f>H585*(ROUNDUP('难度参数'!$E$24/('难度参数'!$E$26*'难度参数'!$E$27),0)*'难度参数'!$E$26)/60</x:f>
        <x:v>4.08</x:v>
      </x:c>
      <x:c r="M585" s="62" t="n">
        <x:f>L585+D585*('难度参数'!$E$49+'难度参数'!$E$50)/60</x:f>
        <x:v>5.246666666666667</x:v>
      </x:c>
      <x:c r="N585" s="119" t="n">
        <x:f>ROUNDDOWN(('经济参数'!$E$20+A585*'经济参数'!$E$21)*G585,0)</x:f>
        <x:v>11760</x:v>
      </x:c>
      <x:c r="O585" s="119" t="n">
        <x:f>ROUNDDOWN(MIN('经济参数'!$E$24,'经济参数'!$E$22+A585*'经济参数'!$E$23)*G585,0)</x:f>
        <x:v>0</x:v>
      </x:c>
      <x:c r="P585" s="119" t="n">
        <x:f>ROUNDDOWN((IF(A585&gt;='材料与任务'!$E$31,'材料与任务'!$E$32,IF(A585&gt;='材料与任务'!$E$25,'材料与任务'!$E$26,IF(A585&gt;='材料与任务'!$E$19,'材料与任务'!$E$20,IF(A585&gt;='材料与任务'!$E$13,'材料与任务'!$E$14,'材料与任务'!$E$8)))))*G585,0)</x:f>
        <x:v>6</x:v>
      </x:c>
      <x:c r="Q585" s="119" t="n">
        <x:f>ROUNDDOWN((IF(A585&gt;='材料与任务'!$E$31,'材料与任务'!$E$33,IF(A585&gt;='材料与任务'!$E$25,'材料与任务'!$E$27,IF(A585&gt;='材料与任务'!$E$19,'材料与任务'!$E$21,IF(A585&gt;='材料与任务'!$E$13,'材料与任务'!$E$15,'材料与任务'!$E$9)))))*G585,0)</x:f>
        <x:v>3</x:v>
      </x:c>
      <x:c r="R585" s="110" t="n">
        <x:f>'装备掉落'!$B$38</x:f>
        <x:v>0.6872058758851213</x:v>
      </x:c>
      <x:c r="S585" s="119" t="n">
        <x:f>MAX(IF(VLOOKUP(A585,'装备掉落'!$A$29:$H$34,2,TRUE)&gt;0,1,0),IF(VLOOKUP(A585,'装备掉落'!$A$29:$H$34,3,TRUE)&gt;0,2,0),IF(VLOOKUP(A585,'装备掉落'!$A$29:$H$34,4,TRUE)&gt;0,3,0),IF(VLOOKUP(A585,'装备掉落'!$A$29:$H$34,5,TRUE)&gt;0,4,0),IF(VLOOKUP(A585,'装备掉落'!$A$29:$H$34,6,TRUE)&gt;0,5,0),IF(VLOOKUP(A585,'装备掉落'!$A$29:$H$34,7,TRUE)&gt;0,6,0),IF(VLOOKUP(A585,'装备掉落'!$A$29:$H$34,8,TRUE)&gt;0,7,0))</x:f>
        <x:v>7</x:v>
      </x:c>
      <x:c r="T585" s="119" t="n">
        <x:f>MIN(7,S585+'经济参数'!$E$70)</x:f>
        <x:v>7</x:v>
      </x:c>
      <x:c r="U585" s="119" t="n">
        <x:f>MIN(7,S585+'经济参数'!$E$71)</x:f>
        <x:v>7</x:v>
      </x:c>
      <x:c r="V585" s="119" t="n">
        <x:f>IF(H585&gt;=('难度参数'!$E$52),1,0)+IF(H585&gt;=('难度参数'!$E$52+'难度参数'!$E$53),1,0)+IF(H585&gt;=('难度参数'!$E$52+'难度参数'!$E$53+'难度参数'!$E$54),1,0)+IF(H585&gt;=('难度参数'!$E$52+'难度参数'!$E$53+'难度参数'!$E$54+'难度参数'!$E$55),1,0)+IF(H585&gt;=('难度参数'!$E$52+'难度参数'!$E$53+'难度参数'!$E$54+'难度参数'!$E$55+'难度参数'!$E$56),1,0)+IF(H585&gt;=('难度参数'!$E$52+'难度参数'!$E$53+'难度参数'!$E$54+'难度参数'!$E$55+'难度参数'!$E$56+'难度参数'!$E$57),1,0)</x:f>
        <x:v>6</x:v>
      </x:c>
      <x:c r="W585" s="62" t="str">
        <x:f>IF(L585&gt;'难度参数'!$E$51,"仅出怪已超目标","还需实测")</x:f>
        <x:v>仅出怪已超目标</x:v>
      </x:c>
      <x:c r="X585" s="119" t="n">
        <x:f>IF(1&gt;D585,0,MAX(2,MIN('难度参数'!$E$12,ROUND(('难度参数'!$E$18*POWER(A585,'难度参数'!$E$19)/D585*(0.85+0.3*(1-1)/MAX(1,D585-1))),0)+F585)))</x:f>
        <x:v>37</x:v>
      </x:c>
      <x:c r="Y585" s="119" t="n">
        <x:f>IF(1&gt;D585,0,ROUND(('难度参数'!$E$13*POWER(A585,'难度参数'!$E$20)*MIN('难度参数'!$E$23,1+MAX(0,A585-'难度参数'!$E$21)*'难度参数'!$E$22))*(36+1*7)/(36+7*(D585+1)/2)*E585,0))</x:f>
        <x:v>8846</x:v>
      </x:c>
      <x:c r="Z585" s="119" t="n">
        <x:f>IF(X585=0,0,(X585-IF(1=D585,1,0))*ROUND(Y585*VLOOKUP(INDEX('章节与怪物'!$E$31:$K$37,B585,1),'章节与怪物'!$A$41:$F$44,2,FALSE),0)+IF(1=D585,ROUND(Y585*'难度参数'!$E$28*'章节与怪物'!$E$17,0),0))</x:f>
        <x:v>235653</x:v>
      </x:c>
      <x:c r="AA585" s="119" t="n">
        <x:f>IF(X585=0,0,(X585-IF(1=D585,1,0))*VLOOKUP(INDEX('章节与怪物'!$E$31:$K$37,B585,1),'章节与怪物'!$A$41:$F$44,4,FALSE)+IF(1=D585,'难度参数'!$E$30,0))</x:f>
        <x:v>740</x:v>
      </x:c>
      <x:c r="AB585" s="119" t="n">
        <x:f>IF(2&gt;D585,0,MAX(2,MIN('难度参数'!$E$12,ROUND(('难度参数'!$E$18*POWER(A585,'难度参数'!$E$19)/D585*(0.85+0.3*(2-1)/MAX(1,D585-1))),0)+F585)))</x:f>
        <x:v>39</x:v>
      </x:c>
      <x:c r="AC585" s="119" t="n">
        <x:f>IF(2&gt;D585,0,ROUND(('难度参数'!$E$13*POWER(A585,'难度参数'!$E$20)*MIN('难度参数'!$E$23,1+MAX(0,A585-'难度参数'!$E$21)*'难度参数'!$E$22))*(36+2*7)/(36+7*(D585+1)/2)*E585,0))</x:f>
        <x:v>10286</x:v>
      </x:c>
      <x:c r="AD585" s="119" t="n">
        <x:f>IF(AB585=0,0,(AB585-IF(2=D585,1,0))*ROUND(AC585*VLOOKUP(INDEX('章节与怪物'!$E$31:$K$37,B585,2),'章节与怪物'!$A$41:$F$44,2,FALSE),0)+IF(2=D585,ROUND(AC585*'难度参数'!$E$28*'章节与怪物'!$E$17,0),0))</x:f>
        <x:v>401154</x:v>
      </x:c>
      <x:c r="AE585" s="119" t="n">
        <x:f>IF(AB585=0,0,(AB585-IF(2=D585,1,0))*VLOOKUP(INDEX('章节与怪物'!$E$31:$K$37,B585,2),'章节与怪物'!$A$41:$F$44,4,FALSE)+IF(2=D585,'难度参数'!$E$30,0))</x:f>
        <x:v>702</x:v>
      </x:c>
      <x:c r="AF585" s="119" t="n">
        <x:f>IF(3&gt;D585,0,MAX(2,MIN('难度参数'!$E$12,ROUND(('难度参数'!$E$18*POWER(A585,'难度参数'!$E$19)/D585*(0.85+0.3*(3-1)/MAX(1,D585-1))),0)+F585)))</x:f>
        <x:v>42</x:v>
      </x:c>
      <x:c r="AG585" s="119" t="n">
        <x:f>IF(3&gt;D585,0,ROUND(('难度参数'!$E$13*POWER(A585,'难度参数'!$E$20)*MIN('难度参数'!$E$23,1+MAX(0,A585-'难度参数'!$E$21)*'难度参数'!$E$22))*(36+3*7)/(36+7*(D585+1)/2)*E585,0))</x:f>
        <x:v>11726</x:v>
      </x:c>
      <x:c r="AH585" s="119" t="n">
        <x:f>IF(AF585=0,0,(AF585-IF(3=D585,1,0))*ROUND(AG585*VLOOKUP(INDEX('章节与怪物'!$E$31:$K$37,B585,3),'章节与怪物'!$A$41:$F$44,2,FALSE),0)+IF(3=D585,ROUND(AG585*'难度参数'!$E$28*'章节与怪物'!$E$17,0),0))</x:f>
        <x:v>837228</x:v>
      </x:c>
      <x:c r="AI585" s="119" t="n">
        <x:f>IF(AF585=0,0,(AF585-IF(3=D585,1,0))*VLOOKUP(INDEX('章节与怪物'!$E$31:$K$37,B585,3),'章节与怪物'!$A$41:$F$44,4,FALSE)+IF(3=D585,'难度参数'!$E$30,0))</x:f>
        <x:v>1176</x:v>
      </x:c>
      <x:c r="AJ585" s="119" t="n">
        <x:f>IF(4&gt;D585,0,MAX(2,MIN('难度参数'!$E$12,ROUND(('难度参数'!$E$18*POWER(A585,'难度参数'!$E$19)/D585*(0.85+0.3*(4-1)/MAX(1,D585-1))),0)+F585)))</x:f>
        <x:v>44</x:v>
      </x:c>
      <x:c r="AK585" s="119" t="n">
        <x:f>IF(4&gt;D585,0,ROUND(('难度参数'!$E$13*POWER(A585,'难度参数'!$E$20)*MIN('难度参数'!$E$23,1+MAX(0,A585-'难度参数'!$E$21)*'难度参数'!$E$22))*(36+4*7)/(36+7*(D585+1)/2)*E585,0))</x:f>
        <x:v>13166</x:v>
      </x:c>
      <x:c r="AL585" s="119" t="n">
        <x:f>IF(AJ585=0,0,(AJ585-IF(4=D585,1,0))*ROUND(AK585*VLOOKUP(INDEX('章节与怪物'!$E$31:$K$37,B585,4),'章节与怪物'!$A$41:$F$44,2,FALSE),0)+IF(4=D585,ROUND(AK585*'难度参数'!$E$28*'章节与怪物'!$E$17,0),0))</x:f>
        <x:v>782056</x:v>
      </x:c>
      <x:c r="AM585" s="119" t="n">
        <x:f>IF(AJ585=0,0,(AJ585-IF(4=D585,1,0))*VLOOKUP(INDEX('章节与怪物'!$E$31:$K$37,B585,4),'章节与怪物'!$A$41:$F$44,4,FALSE)+IF(4=D585,'难度参数'!$E$30,0))</x:f>
        <x:v>1496</x:v>
      </x:c>
      <x:c r="AN585" s="119" t="n">
        <x:f>IF(5&gt;D585,0,MAX(2,MIN('难度参数'!$E$12,ROUND(('难度参数'!$E$18*POWER(A585,'难度参数'!$E$19)/D585*(0.85+0.3*(5-1)/MAX(1,D585-1))),0)+F585)))</x:f>
        <x:v>46</x:v>
      </x:c>
      <x:c r="AO585" s="119" t="n">
        <x:f>IF(5&gt;D585,0,ROUND(('难度参数'!$E$13*POWER(A585,'难度参数'!$E$20)*MIN('难度参数'!$E$23,1+MAX(0,A585-'难度参数'!$E$21)*'难度参数'!$E$22))*(36+5*7)/(36+7*(D585+1)/2)*E585,0))</x:f>
        <x:v>14606</x:v>
      </x:c>
      <x:c r="AP585" s="119" t="n">
        <x:f>IF(AN585=0,0,(AN585-IF(5=D585,1,0))*ROUND(AO585*VLOOKUP(INDEX('章节与怪物'!$E$31:$K$37,B585,5),'章节与怪物'!$A$41:$F$44,2,FALSE),0)+IF(5=D585,ROUND(AO585*'难度参数'!$E$28*'章节与怪物'!$E$17,0),0))</x:f>
        <x:v>671876</x:v>
      </x:c>
      <x:c r="AQ585" s="119" t="n">
        <x:f>IF(AN585=0,0,(AN585-IF(5=D585,1,0))*VLOOKUP(INDEX('章节与怪物'!$E$31:$K$37,B585,5),'章节与怪物'!$A$41:$F$44,4,FALSE)+IF(5=D585,'难度参数'!$E$30,0))</x:f>
        <x:v>828</x:v>
      </x:c>
      <x:c r="AR585" s="119" t="n">
        <x:f>IF(6&gt;D585,0,MAX(2,MIN('难度参数'!$E$12,ROUND(('难度参数'!$E$18*POWER(A585,'难度参数'!$E$19)/D585*(0.85+0.3*(6-1)/MAX(1,D585-1))),0)+F585)))</x:f>
        <x:v>48</x:v>
      </x:c>
      <x:c r="AS585" s="119" t="n">
        <x:f>IF(6&gt;D585,0,ROUND(('难度参数'!$E$13*POWER(A585,'难度参数'!$E$20)*MIN('难度参数'!$E$23,1+MAX(0,A585-'难度参数'!$E$21)*'难度参数'!$E$22))*(36+6*7)/(36+7*(D585+1)/2)*E585,0))</x:f>
        <x:v>16046</x:v>
      </x:c>
      <x:c r="AT585" s="119" t="n">
        <x:f>IF(AR585=0,0,(AR585-IF(6=D585,1,0))*ROUND(AS585*VLOOKUP(INDEX('章节与怪物'!$E$31:$K$37,B585,6),'章节与怪物'!$A$41:$F$44,2,FALSE),0)+IF(6=D585,ROUND(AS585*'难度参数'!$E$28*'章节与怪物'!$E$17,0),0))</x:f>
        <x:v>554544</x:v>
      </x:c>
      <x:c r="AU585" s="119" t="n">
        <x:f>IF(AR585=0,0,(AR585-IF(6=D585,1,0))*VLOOKUP(INDEX('章节与怪物'!$E$31:$K$37,B585,6),'章节与怪物'!$A$41:$F$44,4,FALSE)+IF(6=D585,'难度参数'!$E$30,0))</x:f>
        <x:v>960</x:v>
      </x:c>
      <x:c r="AV585" s="119" t="n">
        <x:f>IF(7&gt;D585,0,MAX(2,MIN('难度参数'!$E$12,ROUND(('难度参数'!$E$18*POWER(A585,'难度参数'!$E$19)/D585*(0.85+0.3*(7-1)/MAX(1,D585-1))),0)+F585)))</x:f>
        <x:v>50</x:v>
      </x:c>
      <x:c r="AW585" s="119" t="n">
        <x:f>IF(7&gt;D585,0,ROUND(('难度参数'!$E$13*POWER(A585,'难度参数'!$E$20)*MIN('难度参数'!$E$23,1+MAX(0,A585-'难度参数'!$E$21)*'难度参数'!$E$22))*(36+7*7)/(36+7*(D585+1)/2)*E585,0))</x:f>
        <x:v>17486</x:v>
      </x:c>
      <x:c r="AX585" s="119" t="n">
        <x:f>IF(AV585=0,0,(AV585-IF(7=D585,1,0))*ROUND(AW585*VLOOKUP(INDEX('章节与怪物'!$E$31:$K$37,B585,7),'章节与怪物'!$A$41:$F$44,2,FALSE),0)+IF(7=D585,ROUND(AW585*'难度参数'!$E$28*'章节与怪物'!$E$17,0),0))</x:f>
        <x:v>1275599</x:v>
      </x:c>
      <x:c r="AY585" s="119" t="n">
        <x:f>IF(AV585=0,0,(AV585-IF(7=D585,1,0))*VLOOKUP(INDEX('章节与怪物'!$E$31:$K$37,B585,7),'章节与怪物'!$A$41:$F$44,4,FALSE)+IF(7=D585,'难度参数'!$E$30,0))</x:f>
        <x:v>1866</x:v>
      </x:c>
    </x:row>
    <x:row r="586" ht="23" customHeight="1">
      <x:c r="A586" s="119" t="n">
        <x:v>580</x:v>
      </x:c>
      <x:c r="B586" s="119" t="n">
        <x:f>MOD(INT((A586-1)/5),7)+1</x:f>
        <x:v>4</x:v>
      </x:c>
      <x:c r="C586" s="62" t="str">
        <x:f>INDEX('章节与怪物'!$B$31:$B$37,B586)</x:f>
        <x:v>翠野边城</x:v>
      </x:c>
      <x:c r="D586" s="119" t="n">
        <x:f>MIN('难度参数'!$E$8,MAX('难度参数'!$E$7,A586))</x:f>
        <x:v>7</x:v>
      </x:c>
      <x:c r="E586" s="106" t="n">
        <x:v>1</x:v>
      </x:c>
      <x:c r="F586" s="106" t="n">
        <x:v>0</x:v>
      </x:c>
      <x:c r="G586" s="106" t="n">
        <x:v>1</x:v>
      </x:c>
      <x:c r="H586" s="119" t="n">
        <x:f>SUM(X586,AB586,AF586,AJ586,AN586,AR586,AV586)</x:f>
        <x:v>306</x:v>
      </x:c>
      <x:c r="I586" s="119" t="n">
        <x:f>SUM(Z586,AD586,AH586,AL586,AP586,AT586,AX586)</x:f>
        <x:v>4764184</x:v>
      </x:c>
      <x:c r="J586" s="119" t="n">
        <x:f>ROUND(INDEX(X586:AY586,1,(D586-1)*4+2)*'难度参数'!$E$28*'章节与怪物'!$E$17,0)</x:f>
        <x:v>119054</x:v>
      </x:c>
      <x:c r="K586" s="119" t="n">
        <x:f>SUM(AA586,AE586,AI586,AM586,AQ586,AU586,AY586)</x:f>
        <x:v>7768</x:v>
      </x:c>
      <x:c r="L586" s="62" t="n">
        <x:f>H586*(ROUNDUP('难度参数'!$E$24/('难度参数'!$E$26*'难度参数'!$E$27),0)*'难度参数'!$E$26)/60</x:f>
        <x:v>4.08</x:v>
      </x:c>
      <x:c r="M586" s="62" t="n">
        <x:f>L586+D586*('难度参数'!$E$49+'难度参数'!$E$50)/60</x:f>
        <x:v>5.246666666666667</x:v>
      </x:c>
      <x:c r="N586" s="119" t="n">
        <x:f>ROUNDDOWN(('经济参数'!$E$20+A586*'经济参数'!$E$21)*G586,0)</x:f>
        <x:v>11780</x:v>
      </x:c>
      <x:c r="O586" s="119" t="n">
        <x:f>ROUNDDOWN(MIN('经济参数'!$E$24,'经济参数'!$E$22+A586*'经济参数'!$E$23)*G586,0)</x:f>
        <x:v>0</x:v>
      </x:c>
      <x:c r="P586" s="119" t="n">
        <x:f>ROUNDDOWN((IF(A586&gt;='材料与任务'!$E$31,'材料与任务'!$E$32,IF(A586&gt;='材料与任务'!$E$25,'材料与任务'!$E$26,IF(A586&gt;='材料与任务'!$E$19,'材料与任务'!$E$20,IF(A586&gt;='材料与任务'!$E$13,'材料与任务'!$E$14,'材料与任务'!$E$8)))))*G586,0)</x:f>
        <x:v>6</x:v>
      </x:c>
      <x:c r="Q586" s="119" t="n">
        <x:f>ROUNDDOWN((IF(A586&gt;='材料与任务'!$E$31,'材料与任务'!$E$33,IF(A586&gt;='材料与任务'!$E$25,'材料与任务'!$E$27,IF(A586&gt;='材料与任务'!$E$19,'材料与任务'!$E$21,IF(A586&gt;='材料与任务'!$E$13,'材料与任务'!$E$15,'材料与任务'!$E$9)))))*G586,0)</x:f>
        <x:v>3</x:v>
      </x:c>
      <x:c r="R586" s="110" t="n">
        <x:f>'装备掉落'!$B$38</x:f>
        <x:v>0.6872058758851213</x:v>
      </x:c>
      <x:c r="S586" s="119" t="n">
        <x:f>MAX(IF(VLOOKUP(A586,'装备掉落'!$A$29:$H$34,2,TRUE)&gt;0,1,0),IF(VLOOKUP(A586,'装备掉落'!$A$29:$H$34,3,TRUE)&gt;0,2,0),IF(VLOOKUP(A586,'装备掉落'!$A$29:$H$34,4,TRUE)&gt;0,3,0),IF(VLOOKUP(A586,'装备掉落'!$A$29:$H$34,5,TRUE)&gt;0,4,0),IF(VLOOKUP(A586,'装备掉落'!$A$29:$H$34,6,TRUE)&gt;0,5,0),IF(VLOOKUP(A586,'装备掉落'!$A$29:$H$34,7,TRUE)&gt;0,6,0),IF(VLOOKUP(A586,'装备掉落'!$A$29:$H$34,8,TRUE)&gt;0,7,0))</x:f>
        <x:v>7</x:v>
      </x:c>
      <x:c r="T586" s="119" t="n">
        <x:f>MIN(7,S586+'经济参数'!$E$70)</x:f>
        <x:v>7</x:v>
      </x:c>
      <x:c r="U586" s="119" t="n">
        <x:f>MIN(7,S586+'经济参数'!$E$71)</x:f>
        <x:v>7</x:v>
      </x:c>
      <x:c r="V586" s="119" t="n">
        <x:f>IF(H586&gt;=('难度参数'!$E$52),1,0)+IF(H586&gt;=('难度参数'!$E$52+'难度参数'!$E$53),1,0)+IF(H586&gt;=('难度参数'!$E$52+'难度参数'!$E$53+'难度参数'!$E$54),1,0)+IF(H586&gt;=('难度参数'!$E$52+'难度参数'!$E$53+'难度参数'!$E$54+'难度参数'!$E$55),1,0)+IF(H586&gt;=('难度参数'!$E$52+'难度参数'!$E$53+'难度参数'!$E$54+'难度参数'!$E$55+'难度参数'!$E$56),1,0)+IF(H586&gt;=('难度参数'!$E$52+'难度参数'!$E$53+'难度参数'!$E$54+'难度参数'!$E$55+'难度参数'!$E$56+'难度参数'!$E$57),1,0)</x:f>
        <x:v>6</x:v>
      </x:c>
      <x:c r="W586" s="62" t="str">
        <x:f>IF(L586&gt;'难度参数'!$E$51,"仅出怪已超目标","还需实测")</x:f>
        <x:v>仅出怪已超目标</x:v>
      </x:c>
      <x:c r="X586" s="119" t="n">
        <x:f>IF(1&gt;D586,0,MAX(2,MIN('难度参数'!$E$12,ROUND(('难度参数'!$E$18*POWER(A586,'难度参数'!$E$19)/D586*(0.85+0.3*(1-1)/MAX(1,D586-1))),0)+F586)))</x:f>
        <x:v>37</x:v>
      </x:c>
      <x:c r="Y586" s="119" t="n">
        <x:f>IF(1&gt;D586,0,ROUND(('难度参数'!$E$13*POWER(A586,'难度参数'!$E$20)*MIN('难度参数'!$E$23,1+MAX(0,A586-'难度参数'!$E$21)*'难度参数'!$E$22))*(36+1*7)/(36+7*(D586+1)/2)*E586,0))</x:f>
        <x:v>8857</x:v>
      </x:c>
      <x:c r="Z586" s="119" t="n">
        <x:f>IF(X586=0,0,(X586-IF(1=D586,1,0))*ROUND(Y586*VLOOKUP(INDEX('章节与怪物'!$E$31:$K$37,B586,1),'章节与怪物'!$A$41:$F$44,2,FALSE),0)+IF(1=D586,ROUND(Y586*'难度参数'!$E$28*'章节与怪物'!$E$17,0),0))</x:f>
        <x:v>235949</x:v>
      </x:c>
      <x:c r="AA586" s="119" t="n">
        <x:f>IF(X586=0,0,(X586-IF(1=D586,1,0))*VLOOKUP(INDEX('章节与怪物'!$E$31:$K$37,B586,1),'章节与怪物'!$A$41:$F$44,4,FALSE)+IF(1=D586,'难度参数'!$E$30,0))</x:f>
        <x:v>740</x:v>
      </x:c>
      <x:c r="AB586" s="119" t="n">
        <x:f>IF(2&gt;D586,0,MAX(2,MIN('难度参数'!$E$12,ROUND(('难度参数'!$E$18*POWER(A586,'难度参数'!$E$19)/D586*(0.85+0.3*(2-1)/MAX(1,D586-1))),0)+F586)))</x:f>
        <x:v>39</x:v>
      </x:c>
      <x:c r="AC586" s="119" t="n">
        <x:f>IF(2&gt;D586,0,ROUND(('难度参数'!$E$13*POWER(A586,'难度参数'!$E$20)*MIN('难度参数'!$E$23,1+MAX(0,A586-'难度参数'!$E$21)*'难度参数'!$E$22))*(36+2*7)/(36+7*(D586+1)/2)*E586,0))</x:f>
        <x:v>10299</x:v>
      </x:c>
      <x:c r="AD586" s="119" t="n">
        <x:f>IF(AB586=0,0,(AB586-IF(2=D586,1,0))*ROUND(AC586*VLOOKUP(INDEX('章节与怪物'!$E$31:$K$37,B586,2),'章节与怪物'!$A$41:$F$44,2,FALSE),0)+IF(2=D586,ROUND(AC586*'难度参数'!$E$28*'章节与怪物'!$E$17,0),0))</x:f>
        <x:v>401661</x:v>
      </x:c>
      <x:c r="AE586" s="119" t="n">
        <x:f>IF(AB586=0,0,(AB586-IF(2=D586,1,0))*VLOOKUP(INDEX('章节与怪物'!$E$31:$K$37,B586,2),'章节与怪物'!$A$41:$F$44,4,FALSE)+IF(2=D586,'难度参数'!$E$30,0))</x:f>
        <x:v>702</x:v>
      </x:c>
      <x:c r="AF586" s="119" t="n">
        <x:f>IF(3&gt;D586,0,MAX(2,MIN('难度参数'!$E$12,ROUND(('难度参数'!$E$18*POWER(A586,'难度参数'!$E$19)/D586*(0.85+0.3*(3-1)/MAX(1,D586-1))),0)+F586)))</x:f>
        <x:v>42</x:v>
      </x:c>
      <x:c r="AG586" s="119" t="n">
        <x:f>IF(3&gt;D586,0,ROUND(('难度参数'!$E$13*POWER(A586,'难度参数'!$E$20)*MIN('难度参数'!$E$23,1+MAX(0,A586-'难度参数'!$E$21)*'难度参数'!$E$22))*(36+3*7)/(36+7*(D586+1)/2)*E586,0))</x:f>
        <x:v>11741</x:v>
      </x:c>
      <x:c r="AH586" s="119" t="n">
        <x:f>IF(AF586=0,0,(AF586-IF(3=D586,1,0))*ROUND(AG586*VLOOKUP(INDEX('章节与怪物'!$E$31:$K$37,B586,3),'章节与怪物'!$A$41:$F$44,2,FALSE),0)+IF(3=D586,ROUND(AG586*'难度参数'!$E$28*'章节与怪物'!$E$17,0),0))</x:f>
        <x:v>838320</x:v>
      </x:c>
      <x:c r="AI586" s="119" t="n">
        <x:f>IF(AF586=0,0,(AF586-IF(3=D586,1,0))*VLOOKUP(INDEX('章节与怪物'!$E$31:$K$37,B586,3),'章节与怪物'!$A$41:$F$44,4,FALSE)+IF(3=D586,'难度参数'!$E$30,0))</x:f>
        <x:v>1176</x:v>
      </x:c>
      <x:c r="AJ586" s="119" t="n">
        <x:f>IF(4&gt;D586,0,MAX(2,MIN('难度参数'!$E$12,ROUND(('难度参数'!$E$18*POWER(A586,'难度参数'!$E$19)/D586*(0.85+0.3*(4-1)/MAX(1,D586-1))),0)+F586)))</x:f>
        <x:v>44</x:v>
      </x:c>
      <x:c r="AK586" s="119" t="n">
        <x:f>IF(4&gt;D586,0,ROUND(('难度参数'!$E$13*POWER(A586,'难度参数'!$E$20)*MIN('难度参数'!$E$23,1+MAX(0,A586-'难度参数'!$E$21)*'难度参数'!$E$22))*(36+4*7)/(36+7*(D586+1)/2)*E586,0))</x:f>
        <x:v>13183</x:v>
      </x:c>
      <x:c r="AL586" s="119" t="n">
        <x:f>IF(AJ586=0,0,(AJ586-IF(4=D586,1,0))*ROUND(AK586*VLOOKUP(INDEX('章节与怪物'!$E$31:$K$37,B586,4),'章节与怪物'!$A$41:$F$44,2,FALSE),0)+IF(4=D586,ROUND(AK586*'难度参数'!$E$28*'章节与怪物'!$E$17,0),0))</x:f>
        <x:v>783068</x:v>
      </x:c>
      <x:c r="AM586" s="119" t="n">
        <x:f>IF(AJ586=0,0,(AJ586-IF(4=D586,1,0))*VLOOKUP(INDEX('章节与怪物'!$E$31:$K$37,B586,4),'章节与怪物'!$A$41:$F$44,4,FALSE)+IF(4=D586,'难度参数'!$E$30,0))</x:f>
        <x:v>1496</x:v>
      </x:c>
      <x:c r="AN586" s="119" t="n">
        <x:f>IF(5&gt;D586,0,MAX(2,MIN('难度参数'!$E$12,ROUND(('难度参数'!$E$18*POWER(A586,'难度参数'!$E$19)/D586*(0.85+0.3*(5-1)/MAX(1,D586-1))),0)+F586)))</x:f>
        <x:v>46</x:v>
      </x:c>
      <x:c r="AO586" s="119" t="n">
        <x:f>IF(5&gt;D586,0,ROUND(('难度参数'!$E$13*POWER(A586,'难度参数'!$E$20)*MIN('难度参数'!$E$23,1+MAX(0,A586-'难度参数'!$E$21)*'难度参数'!$E$22))*(36+5*7)/(36+7*(D586+1)/2)*E586,0))</x:f>
        <x:v>14624</x:v>
      </x:c>
      <x:c r="AP586" s="119" t="n">
        <x:f>IF(AN586=0,0,(AN586-IF(5=D586,1,0))*ROUND(AO586*VLOOKUP(INDEX('章节与怪物'!$E$31:$K$37,B586,5),'章节与怪物'!$A$41:$F$44,2,FALSE),0)+IF(5=D586,ROUND(AO586*'难度参数'!$E$28*'章节与怪物'!$E$17,0),0))</x:f>
        <x:v>672704</x:v>
      </x:c>
      <x:c r="AQ586" s="119" t="n">
        <x:f>IF(AN586=0,0,(AN586-IF(5=D586,1,0))*VLOOKUP(INDEX('章节与怪物'!$E$31:$K$37,B586,5),'章节与怪物'!$A$41:$F$44,4,FALSE)+IF(5=D586,'难度参数'!$E$30,0))</x:f>
        <x:v>828</x:v>
      </x:c>
      <x:c r="AR586" s="119" t="n">
        <x:f>IF(6&gt;D586,0,MAX(2,MIN('难度参数'!$E$12,ROUND(('难度参数'!$E$18*POWER(A586,'难度参数'!$E$19)/D586*(0.85+0.3*(6-1)/MAX(1,D586-1))),0)+F586)))</x:f>
        <x:v>48</x:v>
      </x:c>
      <x:c r="AS586" s="119" t="n">
        <x:f>IF(6&gt;D586,0,ROUND(('难度参数'!$E$13*POWER(A586,'难度参数'!$E$20)*MIN('难度参数'!$E$23,1+MAX(0,A586-'难度参数'!$E$21)*'难度参数'!$E$22))*(36+6*7)/(36+7*(D586+1)/2)*E586,0))</x:f>
        <x:v>16066</x:v>
      </x:c>
      <x:c r="AT586" s="119" t="n">
        <x:f>IF(AR586=0,0,(AR586-IF(6=D586,1,0))*ROUND(AS586*VLOOKUP(INDEX('章节与怪物'!$E$31:$K$37,B586,6),'章节与怪物'!$A$41:$F$44,2,FALSE),0)+IF(6=D586,ROUND(AS586*'难度参数'!$E$28*'章节与怪物'!$E$17,0),0))</x:f>
        <x:v>555264</x:v>
      </x:c>
      <x:c r="AU586" s="119" t="n">
        <x:f>IF(AR586=0,0,(AR586-IF(6=D586,1,0))*VLOOKUP(INDEX('章节与怪物'!$E$31:$K$37,B586,6),'章节与怪物'!$A$41:$F$44,4,FALSE)+IF(6=D586,'难度参数'!$E$30,0))</x:f>
        <x:v>960</x:v>
      </x:c>
      <x:c r="AV586" s="119" t="n">
        <x:f>IF(7&gt;D586,0,MAX(2,MIN('难度参数'!$E$12,ROUND(('难度参数'!$E$18*POWER(A586,'难度参数'!$E$19)/D586*(0.85+0.3*(7-1)/MAX(1,D586-1))),0)+F586)))</x:f>
        <x:v>50</x:v>
      </x:c>
      <x:c r="AW586" s="119" t="n">
        <x:f>IF(7&gt;D586,0,ROUND(('难度参数'!$E$13*POWER(A586,'难度参数'!$E$20)*MIN('难度参数'!$E$23,1+MAX(0,A586-'难度参数'!$E$21)*'难度参数'!$E$22))*(36+7*7)/(36+7*(D586+1)/2)*E586,0))</x:f>
        <x:v>17508</x:v>
      </x:c>
      <x:c r="AX586" s="119" t="n">
        <x:f>IF(AV586=0,0,(AV586-IF(7=D586,1,0))*ROUND(AW586*VLOOKUP(INDEX('章节与怪物'!$E$31:$K$37,B586,7),'章节与怪物'!$A$41:$F$44,2,FALSE),0)+IF(7=D586,ROUND(AW586*'难度参数'!$E$28*'章节与怪物'!$E$17,0),0))</x:f>
        <x:v>1277218</x:v>
      </x:c>
      <x:c r="AY586" s="119" t="n">
        <x:f>IF(AV586=0,0,(AV586-IF(7=D586,1,0))*VLOOKUP(INDEX('章节与怪物'!$E$31:$K$37,B586,7),'章节与怪物'!$A$41:$F$44,4,FALSE)+IF(7=D586,'难度参数'!$E$30,0))</x:f>
        <x:v>1866</x:v>
      </x:c>
    </x:row>
    <x:row r="587" ht="23" customHeight="1">
      <x:c r="A587" s="119" t="n">
        <x:v>581</x:v>
      </x:c>
      <x:c r="B587" s="119" t="n">
        <x:f>MOD(INT((A587-1)/5),7)+1</x:f>
        <x:v>5</x:v>
      </x:c>
      <x:c r="C587" s="62" t="str">
        <x:f>INDEX('章节与怪物'!$B$31:$B$37,B587)</x:f>
        <x:v>雨林遗迹</x:v>
      </x:c>
      <x:c r="D587" s="119" t="n">
        <x:f>MIN('难度参数'!$E$8,MAX('难度参数'!$E$7,A587))</x:f>
        <x:v>7</x:v>
      </x:c>
      <x:c r="E587" s="106" t="n">
        <x:v>1</x:v>
      </x:c>
      <x:c r="F587" s="106" t="n">
        <x:v>0</x:v>
      </x:c>
      <x:c r="G587" s="106" t="n">
        <x:v>1</x:v>
      </x:c>
      <x:c r="H587" s="119" t="n">
        <x:f>SUM(X587,AB587,AF587,AJ587,AN587,AR587,AV587)</x:f>
        <x:v>306</x:v>
      </x:c>
      <x:c r="I587" s="119" t="n">
        <x:f>SUM(Z587,AD587,AH587,AL587,AP587,AT587,AX587)</x:f>
        <x:v>5317479</x:v>
      </x:c>
      <x:c r="J587" s="119" t="n">
        <x:f>ROUND(INDEX(X587:AY587,1,(D587-1)*4+2)*'难度参数'!$E$28*'章节与怪物'!$E$17,0)</x:f>
        <x:v>119204</x:v>
      </x:c>
      <x:c r="K587" s="119" t="n">
        <x:f>SUM(AA587,AE587,AI587,AM587,AQ587,AU587,AY587)</x:f>
        <x:v>8248</x:v>
      </x:c>
      <x:c r="L587" s="62" t="n">
        <x:f>H587*(ROUNDUP('难度参数'!$E$24/('难度参数'!$E$26*'难度参数'!$E$27),0)*'难度参数'!$E$26)/60</x:f>
        <x:v>4.08</x:v>
      </x:c>
      <x:c r="M587" s="62" t="n">
        <x:f>L587+D587*('难度参数'!$E$49+'难度参数'!$E$50)/60</x:f>
        <x:v>5.246666666666667</x:v>
      </x:c>
      <x:c r="N587" s="119" t="n">
        <x:f>ROUNDDOWN(('经济参数'!$E$20+A587*'经济参数'!$E$21)*G587,0)</x:f>
        <x:v>11800</x:v>
      </x:c>
      <x:c r="O587" s="119" t="n">
        <x:f>ROUNDDOWN(MIN('经济参数'!$E$24,'经济参数'!$E$22+A587*'经济参数'!$E$23)*G587,0)</x:f>
        <x:v>0</x:v>
      </x:c>
      <x:c r="P587" s="119" t="n">
        <x:f>ROUNDDOWN((IF(A587&gt;='材料与任务'!$E$31,'材料与任务'!$E$32,IF(A587&gt;='材料与任务'!$E$25,'材料与任务'!$E$26,IF(A587&gt;='材料与任务'!$E$19,'材料与任务'!$E$20,IF(A587&gt;='材料与任务'!$E$13,'材料与任务'!$E$14,'材料与任务'!$E$8)))))*G587,0)</x:f>
        <x:v>6</x:v>
      </x:c>
      <x:c r="Q587" s="119" t="n">
        <x:f>ROUNDDOWN((IF(A587&gt;='材料与任务'!$E$31,'材料与任务'!$E$33,IF(A587&gt;='材料与任务'!$E$25,'材料与任务'!$E$27,IF(A587&gt;='材料与任务'!$E$19,'材料与任务'!$E$21,IF(A587&gt;='材料与任务'!$E$13,'材料与任务'!$E$15,'材料与任务'!$E$9)))))*G587,0)</x:f>
        <x:v>3</x:v>
      </x:c>
      <x:c r="R587" s="110" t="n">
        <x:f>'装备掉落'!$B$38</x:f>
        <x:v>0.6872058758851213</x:v>
      </x:c>
      <x:c r="S587" s="119" t="n">
        <x:f>MAX(IF(VLOOKUP(A587,'装备掉落'!$A$29:$H$34,2,TRUE)&gt;0,1,0),IF(VLOOKUP(A587,'装备掉落'!$A$29:$H$34,3,TRUE)&gt;0,2,0),IF(VLOOKUP(A587,'装备掉落'!$A$29:$H$34,4,TRUE)&gt;0,3,0),IF(VLOOKUP(A587,'装备掉落'!$A$29:$H$34,5,TRUE)&gt;0,4,0),IF(VLOOKUP(A587,'装备掉落'!$A$29:$H$34,6,TRUE)&gt;0,5,0),IF(VLOOKUP(A587,'装备掉落'!$A$29:$H$34,7,TRUE)&gt;0,6,0),IF(VLOOKUP(A587,'装备掉落'!$A$29:$H$34,8,TRUE)&gt;0,7,0))</x:f>
        <x:v>7</x:v>
      </x:c>
      <x:c r="T587" s="119" t="n">
        <x:f>MIN(7,S587+'经济参数'!$E$70)</x:f>
        <x:v>7</x:v>
      </x:c>
      <x:c r="U587" s="119" t="n">
        <x:f>MIN(7,S587+'经济参数'!$E$71)</x:f>
        <x:v>7</x:v>
      </x:c>
      <x:c r="V587" s="119" t="n">
        <x:f>IF(H587&gt;=('难度参数'!$E$52),1,0)+IF(H587&gt;=('难度参数'!$E$52+'难度参数'!$E$53),1,0)+IF(H587&gt;=('难度参数'!$E$52+'难度参数'!$E$53+'难度参数'!$E$54),1,0)+IF(H587&gt;=('难度参数'!$E$52+'难度参数'!$E$53+'难度参数'!$E$54+'难度参数'!$E$55),1,0)+IF(H587&gt;=('难度参数'!$E$52+'难度参数'!$E$53+'难度参数'!$E$54+'难度参数'!$E$55+'难度参数'!$E$56),1,0)+IF(H587&gt;=('难度参数'!$E$52+'难度参数'!$E$53+'难度参数'!$E$54+'难度参数'!$E$55+'难度参数'!$E$56+'难度参数'!$E$57),1,0)</x:f>
        <x:v>6</x:v>
      </x:c>
      <x:c r="W587" s="62" t="str">
        <x:f>IF(L587&gt;'难度参数'!$E$51,"仅出怪已超目标","还需实测")</x:f>
        <x:v>仅出怪已超目标</x:v>
      </x:c>
      <x:c r="X587" s="119" t="n">
        <x:f>IF(1&gt;D587,0,MAX(2,MIN('难度参数'!$E$12,ROUND(('难度参数'!$E$18*POWER(A587,'难度参数'!$E$19)/D587*(0.85+0.3*(1-1)/MAX(1,D587-1))),0)+F587)))</x:f>
        <x:v>37</x:v>
      </x:c>
      <x:c r="Y587" s="119" t="n">
        <x:f>IF(1&gt;D587,0,ROUND(('难度参数'!$E$13*POWER(A587,'难度参数'!$E$20)*MIN('难度参数'!$E$23,1+MAX(0,A587-'难度参数'!$E$21)*'难度参数'!$E$22))*(36+1*7)/(36+7*(D587+1)/2)*E587,0))</x:f>
        <x:v>8868</x:v>
      </x:c>
      <x:c r="Z587" s="119" t="n">
        <x:f>IF(X587=0,0,(X587-IF(1=D587,1,0))*ROUND(Y587*VLOOKUP(INDEX('章节与怪物'!$E$31:$K$37,B587,1),'章节与怪物'!$A$41:$F$44,2,FALSE),0)+IF(1=D587,ROUND(Y587*'难度参数'!$E$28*'章节与怪物'!$E$17,0),0))</x:f>
        <x:v>328116</x:v>
      </x:c>
      <x:c r="AA587" s="119" t="n">
        <x:f>IF(X587=0,0,(X587-IF(1=D587,1,0))*VLOOKUP(INDEX('章节与怪物'!$E$31:$K$37,B587,1),'章节与怪物'!$A$41:$F$44,4,FALSE)+IF(1=D587,'难度参数'!$E$30,0))</x:f>
        <x:v>666</x:v>
      </x:c>
      <x:c r="AB587" s="119" t="n">
        <x:f>IF(2&gt;D587,0,MAX(2,MIN('难度参数'!$E$12,ROUND(('难度参数'!$E$18*POWER(A587,'难度参数'!$E$19)/D587*(0.85+0.3*(2-1)/MAX(1,D587-1))),0)+F587)))</x:f>
        <x:v>39</x:v>
      </x:c>
      <x:c r="AC587" s="119" t="n">
        <x:f>IF(2&gt;D587,0,ROUND(('难度参数'!$E$13*POWER(A587,'难度参数'!$E$20)*MIN('难度参数'!$E$23,1+MAX(0,A587-'难度参数'!$E$21)*'难度参数'!$E$22))*(36+2*7)/(36+7*(D587+1)/2)*E587,0))</x:f>
        <x:v>10312</x:v>
      </x:c>
      <x:c r="AD587" s="119" t="n">
        <x:f>IF(AB587=0,0,(AB587-IF(2=D587,1,0))*ROUND(AC587*VLOOKUP(INDEX('章节与怪物'!$E$31:$K$37,B587,2),'章节与怪物'!$A$41:$F$44,2,FALSE),0)+IF(2=D587,ROUND(AC587*'难度参数'!$E$28*'章节与怪物'!$E$17,0),0))</x:f>
        <x:v>289575</x:v>
      </x:c>
      <x:c r="AE587" s="119" t="n">
        <x:f>IF(AB587=0,0,(AB587-IF(2=D587,1,0))*VLOOKUP(INDEX('章节与怪物'!$E$31:$K$37,B587,2),'章节与怪物'!$A$41:$F$44,4,FALSE)+IF(2=D587,'难度参数'!$E$30,0))</x:f>
        <x:v>780</x:v>
      </x:c>
      <x:c r="AF587" s="119" t="n">
        <x:f>IF(3&gt;D587,0,MAX(2,MIN('难度参数'!$E$12,ROUND(('难度参数'!$E$18*POWER(A587,'难度参数'!$E$19)/D587*(0.85+0.3*(3-1)/MAX(1,D587-1))),0)+F587)))</x:f>
        <x:v>42</x:v>
      </x:c>
      <x:c r="AG587" s="119" t="n">
        <x:f>IF(3&gt;D587,0,ROUND(('难度参数'!$E$13*POWER(A587,'难度参数'!$E$20)*MIN('难度参数'!$E$23,1+MAX(0,A587-'难度参数'!$E$21)*'难度参数'!$E$22))*(36+3*7)/(36+7*(D587+1)/2)*E587,0))</x:f>
        <x:v>11755</x:v>
      </x:c>
      <x:c r="AH587" s="119" t="n">
        <x:f>IF(AF587=0,0,(AF587-IF(3=D587,1,0))*ROUND(AG587*VLOOKUP(INDEX('章节与怪物'!$E$31:$K$37,B587,3),'章节与怪物'!$A$41:$F$44,2,FALSE),0)+IF(3=D587,ROUND(AG587*'难度参数'!$E$28*'章节与怪物'!$E$17,0),0))</x:f>
        <x:v>839328</x:v>
      </x:c>
      <x:c r="AI587" s="119" t="n">
        <x:f>IF(AF587=0,0,(AF587-IF(3=D587,1,0))*VLOOKUP(INDEX('章节与怪物'!$E$31:$K$37,B587,3),'章节与怪物'!$A$41:$F$44,4,FALSE)+IF(3=D587,'难度参数'!$E$30,0))</x:f>
        <x:v>1176</x:v>
      </x:c>
      <x:c r="AJ587" s="119" t="n">
        <x:f>IF(4&gt;D587,0,MAX(2,MIN('难度参数'!$E$12,ROUND(('难度参数'!$E$18*POWER(A587,'难度参数'!$E$19)/D587*(0.85+0.3*(4-1)/MAX(1,D587-1))),0)+F587)))</x:f>
        <x:v>44</x:v>
      </x:c>
      <x:c r="AK587" s="119" t="n">
        <x:f>IF(4&gt;D587,0,ROUND(('难度参数'!$E$13*POWER(A587,'难度参数'!$E$20)*MIN('难度参数'!$E$23,1+MAX(0,A587-'难度参数'!$E$21)*'难度参数'!$E$22))*(36+4*7)/(36+7*(D587+1)/2)*E587,0))</x:f>
        <x:v>13199</x:v>
      </x:c>
      <x:c r="AL587" s="119" t="n">
        <x:f>IF(AJ587=0,0,(AJ587-IF(4=D587,1,0))*ROUND(AK587*VLOOKUP(INDEX('章节与怪物'!$E$31:$K$37,B587,4),'章节与怪物'!$A$41:$F$44,2,FALSE),0)+IF(4=D587,ROUND(AK587*'难度参数'!$E$28*'章节与怪物'!$E$17,0),0))</x:f>
        <x:v>784036</x:v>
      </x:c>
      <x:c r="AM587" s="119" t="n">
        <x:f>IF(AJ587=0,0,(AJ587-IF(4=D587,1,0))*VLOOKUP(INDEX('章节与怪物'!$E$31:$K$37,B587,4),'章节与怪物'!$A$41:$F$44,4,FALSE)+IF(4=D587,'难度参数'!$E$30,0))</x:f>
        <x:v>1496</x:v>
      </x:c>
      <x:c r="AN587" s="119" t="n">
        <x:f>IF(5&gt;D587,0,MAX(2,MIN('难度参数'!$E$12,ROUND(('难度参数'!$E$18*POWER(A587,'难度参数'!$E$19)/D587*(0.85+0.3*(5-1)/MAX(1,D587-1))),0)+F587)))</x:f>
        <x:v>46</x:v>
      </x:c>
      <x:c r="AO587" s="119" t="n">
        <x:f>IF(5&gt;D587,0,ROUND(('难度参数'!$E$13*POWER(A587,'难度参数'!$E$20)*MIN('难度参数'!$E$23,1+MAX(0,A587-'难度参数'!$E$21)*'难度参数'!$E$22))*(36+5*7)/(36+7*(D587+1)/2)*E587,0))</x:f>
        <x:v>14643</x:v>
      </x:c>
      <x:c r="AP587" s="119" t="n">
        <x:f>IF(AN587=0,0,(AN587-IF(5=D587,1,0))*ROUND(AO587*VLOOKUP(INDEX('章节与怪物'!$E$31:$K$37,B587,5),'章节与怪物'!$A$41:$F$44,2,FALSE),0)+IF(5=D587,ROUND(AO587*'难度参数'!$E$28*'章节与怪物'!$E$17,0),0))</x:f>
        <x:v>484978</x:v>
      </x:c>
      <x:c r="AQ587" s="119" t="n">
        <x:f>IF(AN587=0,0,(AN587-IF(5=D587,1,0))*VLOOKUP(INDEX('章节与怪物'!$E$31:$K$37,B587,5),'章节与怪物'!$A$41:$F$44,4,FALSE)+IF(5=D587,'难度参数'!$E$30,0))</x:f>
        <x:v>920</x:v>
      </x:c>
      <x:c r="AR587" s="119" t="n">
        <x:f>IF(6&gt;D587,0,MAX(2,MIN('难度参数'!$E$12,ROUND(('难度参数'!$E$18*POWER(A587,'难度参数'!$E$19)/D587*(0.85+0.3*(6-1)/MAX(1,D587-1))),0)+F587)))</x:f>
        <x:v>48</x:v>
      </x:c>
      <x:c r="AS587" s="119" t="n">
        <x:f>IF(6&gt;D587,0,ROUND(('难度参数'!$E$13*POWER(A587,'难度参数'!$E$20)*MIN('难度参数'!$E$23,1+MAX(0,A587-'难度参数'!$E$21)*'难度参数'!$E$22))*(36+6*7)/(36+7*(D587+1)/2)*E587,0))</x:f>
        <x:v>16086</x:v>
      </x:c>
      <x:c r="AT587" s="119" t="n">
        <x:f>IF(AR587=0,0,(AR587-IF(6=D587,1,0))*ROUND(AS587*VLOOKUP(INDEX('章节与怪物'!$E$31:$K$37,B587,6),'章节与怪物'!$A$41:$F$44,2,FALSE),0)+IF(6=D587,ROUND(AS587*'难度参数'!$E$28*'章节与怪物'!$E$17,0),0))</x:f>
        <x:v>1312608</x:v>
      </x:c>
      <x:c r="AU587" s="119" t="n">
        <x:f>IF(AR587=0,0,(AR587-IF(6=D587,1,0))*VLOOKUP(INDEX('章节与怪物'!$E$31:$K$37,B587,6),'章节与怪物'!$A$41:$F$44,4,FALSE)+IF(6=D587,'难度参数'!$E$30,0))</x:f>
        <x:v>1344</x:v>
      </x:c>
      <x:c r="AV587" s="119" t="n">
        <x:f>IF(7&gt;D587,0,MAX(2,MIN('难度参数'!$E$12,ROUND(('难度参数'!$E$18*POWER(A587,'难度参数'!$E$19)/D587*(0.85+0.3*(7-1)/MAX(1,D587-1))),0)+F587)))</x:f>
        <x:v>50</x:v>
      </x:c>
      <x:c r="AW587" s="119" t="n">
        <x:f>IF(7&gt;D587,0,ROUND(('难度参数'!$E$13*POWER(A587,'难度参数'!$E$20)*MIN('难度参数'!$E$23,1+MAX(0,A587-'难度参数'!$E$21)*'难度参数'!$E$22))*(36+7*7)/(36+7*(D587+1)/2)*E587,0))</x:f>
        <x:v>17530</x:v>
      </x:c>
      <x:c r="AX587" s="119" t="n">
        <x:f>IF(AV587=0,0,(AV587-IF(7=D587,1,0))*ROUND(AW587*VLOOKUP(INDEX('章节与怪物'!$E$31:$K$37,B587,7),'章节与怪物'!$A$41:$F$44,2,FALSE),0)+IF(7=D587,ROUND(AW587*'难度参数'!$E$28*'章节与怪物'!$E$17,0),0))</x:f>
        <x:v>1278838</x:v>
      </x:c>
      <x:c r="AY587" s="119" t="n">
        <x:f>IF(AV587=0,0,(AV587-IF(7=D587,1,0))*VLOOKUP(INDEX('章节与怪物'!$E$31:$K$37,B587,7),'章节与怪物'!$A$41:$F$44,4,FALSE)+IF(7=D587,'难度参数'!$E$30,0))</x:f>
        <x:v>1866</x:v>
      </x:c>
    </x:row>
    <x:row r="588" ht="23" customHeight="1">
      <x:c r="A588" s="119" t="n">
        <x:v>582</x:v>
      </x:c>
      <x:c r="B588" s="119" t="n">
        <x:f>MOD(INT((A588-1)/5),7)+1</x:f>
        <x:v>5</x:v>
      </x:c>
      <x:c r="C588" s="62" t="str">
        <x:f>INDEX('章节与怪物'!$B$31:$B$37,B588)</x:f>
        <x:v>雨林遗迹</x:v>
      </x:c>
      <x:c r="D588" s="119" t="n">
        <x:f>MIN('难度参数'!$E$8,MAX('难度参数'!$E$7,A588))</x:f>
        <x:v>7</x:v>
      </x:c>
      <x:c r="E588" s="106" t="n">
        <x:v>1</x:v>
      </x:c>
      <x:c r="F588" s="106" t="n">
        <x:v>0</x:v>
      </x:c>
      <x:c r="G588" s="106" t="n">
        <x:v>1</x:v>
      </x:c>
      <x:c r="H588" s="119" t="n">
        <x:f>SUM(X588,AB588,AF588,AJ588,AN588,AR588,AV588)</x:f>
        <x:v>306</x:v>
      </x:c>
      <x:c r="I588" s="119" t="n">
        <x:f>SUM(Z588,AD588,AH588,AL588,AP588,AT588,AX588)</x:f>
        <x:v>5323973</x:v>
      </x:c>
      <x:c r="J588" s="119" t="n">
        <x:f>ROUND(INDEX(X588:AY588,1,(D588-1)*4+2)*'难度参数'!$E$28*'章节与怪物'!$E$17,0)</x:f>
        <x:v>119354</x:v>
      </x:c>
      <x:c r="K588" s="119" t="n">
        <x:f>SUM(AA588,AE588,AI588,AM588,AQ588,AU588,AY588)</x:f>
        <x:v>8248</x:v>
      </x:c>
      <x:c r="L588" s="62" t="n">
        <x:f>H588*(ROUNDUP('难度参数'!$E$24/('难度参数'!$E$26*'难度参数'!$E$27),0)*'难度参数'!$E$26)/60</x:f>
        <x:v>4.08</x:v>
      </x:c>
      <x:c r="M588" s="62" t="n">
        <x:f>L588+D588*('难度参数'!$E$49+'难度参数'!$E$50)/60</x:f>
        <x:v>5.246666666666667</x:v>
      </x:c>
      <x:c r="N588" s="119" t="n">
        <x:f>ROUNDDOWN(('经济参数'!$E$20+A588*'经济参数'!$E$21)*G588,0)</x:f>
        <x:v>11820</x:v>
      </x:c>
      <x:c r="O588" s="119" t="n">
        <x:f>ROUNDDOWN(MIN('经济参数'!$E$24,'经济参数'!$E$22+A588*'经济参数'!$E$23)*G588,0)</x:f>
        <x:v>0</x:v>
      </x:c>
      <x:c r="P588" s="119" t="n">
        <x:f>ROUNDDOWN((IF(A588&gt;='材料与任务'!$E$31,'材料与任务'!$E$32,IF(A588&gt;='材料与任务'!$E$25,'材料与任务'!$E$26,IF(A588&gt;='材料与任务'!$E$19,'材料与任务'!$E$20,IF(A588&gt;='材料与任务'!$E$13,'材料与任务'!$E$14,'材料与任务'!$E$8)))))*G588,0)</x:f>
        <x:v>6</x:v>
      </x:c>
      <x:c r="Q588" s="119" t="n">
        <x:f>ROUNDDOWN((IF(A588&gt;='材料与任务'!$E$31,'材料与任务'!$E$33,IF(A588&gt;='材料与任务'!$E$25,'材料与任务'!$E$27,IF(A588&gt;='材料与任务'!$E$19,'材料与任务'!$E$21,IF(A588&gt;='材料与任务'!$E$13,'材料与任务'!$E$15,'材料与任务'!$E$9)))))*G588,0)</x:f>
        <x:v>3</x:v>
      </x:c>
      <x:c r="R588" s="110" t="n">
        <x:f>'装备掉落'!$B$38</x:f>
        <x:v>0.6872058758851213</x:v>
      </x:c>
      <x:c r="S588" s="119" t="n">
        <x:f>MAX(IF(VLOOKUP(A588,'装备掉落'!$A$29:$H$34,2,TRUE)&gt;0,1,0),IF(VLOOKUP(A588,'装备掉落'!$A$29:$H$34,3,TRUE)&gt;0,2,0),IF(VLOOKUP(A588,'装备掉落'!$A$29:$H$34,4,TRUE)&gt;0,3,0),IF(VLOOKUP(A588,'装备掉落'!$A$29:$H$34,5,TRUE)&gt;0,4,0),IF(VLOOKUP(A588,'装备掉落'!$A$29:$H$34,6,TRUE)&gt;0,5,0),IF(VLOOKUP(A588,'装备掉落'!$A$29:$H$34,7,TRUE)&gt;0,6,0),IF(VLOOKUP(A588,'装备掉落'!$A$29:$H$34,8,TRUE)&gt;0,7,0))</x:f>
        <x:v>7</x:v>
      </x:c>
      <x:c r="T588" s="119" t="n">
        <x:f>MIN(7,S588+'经济参数'!$E$70)</x:f>
        <x:v>7</x:v>
      </x:c>
      <x:c r="U588" s="119" t="n">
        <x:f>MIN(7,S588+'经济参数'!$E$71)</x:f>
        <x:v>7</x:v>
      </x:c>
      <x:c r="V588" s="119" t="n">
        <x:f>IF(H588&gt;=('难度参数'!$E$52),1,0)+IF(H588&gt;=('难度参数'!$E$52+'难度参数'!$E$53),1,0)+IF(H588&gt;=('难度参数'!$E$52+'难度参数'!$E$53+'难度参数'!$E$54),1,0)+IF(H588&gt;=('难度参数'!$E$52+'难度参数'!$E$53+'难度参数'!$E$54+'难度参数'!$E$55),1,0)+IF(H588&gt;=('难度参数'!$E$52+'难度参数'!$E$53+'难度参数'!$E$54+'难度参数'!$E$55+'难度参数'!$E$56),1,0)+IF(H588&gt;=('难度参数'!$E$52+'难度参数'!$E$53+'难度参数'!$E$54+'难度参数'!$E$55+'难度参数'!$E$56+'难度参数'!$E$57),1,0)</x:f>
        <x:v>6</x:v>
      </x:c>
      <x:c r="W588" s="62" t="str">
        <x:f>IF(L588&gt;'难度参数'!$E$51,"仅出怪已超目标","还需实测")</x:f>
        <x:v>仅出怪已超目标</x:v>
      </x:c>
      <x:c r="X588" s="119" t="n">
        <x:f>IF(1&gt;D588,0,MAX(2,MIN('难度参数'!$E$12,ROUND(('难度参数'!$E$18*POWER(A588,'难度参数'!$E$19)/D588*(0.85+0.3*(1-1)/MAX(1,D588-1))),0)+F588)))</x:f>
        <x:v>37</x:v>
      </x:c>
      <x:c r="Y588" s="119" t="n">
        <x:f>IF(1&gt;D588,0,ROUND(('难度参数'!$E$13*POWER(A588,'难度参数'!$E$20)*MIN('难度参数'!$E$23,1+MAX(0,A588-'难度参数'!$E$21)*'难度参数'!$E$22))*(36+1*7)/(36+7*(D588+1)/2)*E588,0))</x:f>
        <x:v>8879</x:v>
      </x:c>
      <x:c r="Z588" s="119" t="n">
        <x:f>IF(X588=0,0,(X588-IF(1=D588,1,0))*ROUND(Y588*VLOOKUP(INDEX('章节与怪物'!$E$31:$K$37,B588,1),'章节与怪物'!$A$41:$F$44,2,FALSE),0)+IF(1=D588,ROUND(Y588*'难度参数'!$E$28*'章节与怪物'!$E$17,0),0))</x:f>
        <x:v>328523</x:v>
      </x:c>
      <x:c r="AA588" s="119" t="n">
        <x:f>IF(X588=0,0,(X588-IF(1=D588,1,0))*VLOOKUP(INDEX('章节与怪物'!$E$31:$K$37,B588,1),'章节与怪物'!$A$41:$F$44,4,FALSE)+IF(1=D588,'难度参数'!$E$30,0))</x:f>
        <x:v>666</x:v>
      </x:c>
      <x:c r="AB588" s="119" t="n">
        <x:f>IF(2&gt;D588,0,MAX(2,MIN('难度参数'!$E$12,ROUND(('难度参数'!$E$18*POWER(A588,'难度参数'!$E$19)/D588*(0.85+0.3*(2-1)/MAX(1,D588-1))),0)+F588)))</x:f>
        <x:v>39</x:v>
      </x:c>
      <x:c r="AC588" s="119" t="n">
        <x:f>IF(2&gt;D588,0,ROUND(('难度参数'!$E$13*POWER(A588,'难度参数'!$E$20)*MIN('难度参数'!$E$23,1+MAX(0,A588-'难度参数'!$E$21)*'难度参数'!$E$22))*(36+2*7)/(36+7*(D588+1)/2)*E588,0))</x:f>
        <x:v>10324</x:v>
      </x:c>
      <x:c r="AD588" s="119" t="n">
        <x:f>IF(AB588=0,0,(AB588-IF(2=D588,1,0))*ROUND(AC588*VLOOKUP(INDEX('章节与怪物'!$E$31:$K$37,B588,2),'章节与怪物'!$A$41:$F$44,2,FALSE),0)+IF(2=D588,ROUND(AC588*'难度参数'!$E$28*'章节与怪物'!$E$17,0),0))</x:f>
        <x:v>289887</x:v>
      </x:c>
      <x:c r="AE588" s="119" t="n">
        <x:f>IF(AB588=0,0,(AB588-IF(2=D588,1,0))*VLOOKUP(INDEX('章节与怪物'!$E$31:$K$37,B588,2),'章节与怪物'!$A$41:$F$44,4,FALSE)+IF(2=D588,'难度参数'!$E$30,0))</x:f>
        <x:v>780</x:v>
      </x:c>
      <x:c r="AF588" s="119" t="n">
        <x:f>IF(3&gt;D588,0,MAX(2,MIN('难度参数'!$E$12,ROUND(('难度参数'!$E$18*POWER(A588,'难度参数'!$E$19)/D588*(0.85+0.3*(3-1)/MAX(1,D588-1))),0)+F588)))</x:f>
        <x:v>42</x:v>
      </x:c>
      <x:c r="AG588" s="119" t="n">
        <x:f>IF(3&gt;D588,0,ROUND(('难度参数'!$E$13*POWER(A588,'难度参数'!$E$20)*MIN('难度参数'!$E$23,1+MAX(0,A588-'难度参数'!$E$21)*'难度参数'!$E$22))*(36+3*7)/(36+7*(D588+1)/2)*E588,0))</x:f>
        <x:v>11770</x:v>
      </x:c>
      <x:c r="AH588" s="119" t="n">
        <x:f>IF(AF588=0,0,(AF588-IF(3=D588,1,0))*ROUND(AG588*VLOOKUP(INDEX('章节与怪物'!$E$31:$K$37,B588,3),'章节与怪物'!$A$41:$F$44,2,FALSE),0)+IF(3=D588,ROUND(AG588*'难度参数'!$E$28*'章节与怪物'!$E$17,0),0))</x:f>
        <x:v>840378</x:v>
      </x:c>
      <x:c r="AI588" s="119" t="n">
        <x:f>IF(AF588=0,0,(AF588-IF(3=D588,1,0))*VLOOKUP(INDEX('章节与怪物'!$E$31:$K$37,B588,3),'章节与怪物'!$A$41:$F$44,4,FALSE)+IF(3=D588,'难度参数'!$E$30,0))</x:f>
        <x:v>1176</x:v>
      </x:c>
      <x:c r="AJ588" s="119" t="n">
        <x:f>IF(4&gt;D588,0,MAX(2,MIN('难度参数'!$E$12,ROUND(('难度参数'!$E$18*POWER(A588,'难度参数'!$E$19)/D588*(0.85+0.3*(4-1)/MAX(1,D588-1))),0)+F588)))</x:f>
        <x:v>44</x:v>
      </x:c>
      <x:c r="AK588" s="119" t="n">
        <x:f>IF(4&gt;D588,0,ROUND(('难度参数'!$E$13*POWER(A588,'难度参数'!$E$20)*MIN('难度参数'!$E$23,1+MAX(0,A588-'难度参数'!$E$21)*'难度参数'!$E$22))*(36+4*7)/(36+7*(D588+1)/2)*E588,0))</x:f>
        <x:v>13215</x:v>
      </x:c>
      <x:c r="AL588" s="119" t="n">
        <x:f>IF(AJ588=0,0,(AJ588-IF(4=D588,1,0))*ROUND(AK588*VLOOKUP(INDEX('章节与怪物'!$E$31:$K$37,B588,4),'章节与怪物'!$A$41:$F$44,2,FALSE),0)+IF(4=D588,ROUND(AK588*'难度参数'!$E$28*'章节与怪物'!$E$17,0),0))</x:f>
        <x:v>784960</x:v>
      </x:c>
      <x:c r="AM588" s="119" t="n">
        <x:f>IF(AJ588=0,0,(AJ588-IF(4=D588,1,0))*VLOOKUP(INDEX('章节与怪物'!$E$31:$K$37,B588,4),'章节与怪物'!$A$41:$F$44,4,FALSE)+IF(4=D588,'难度参数'!$E$30,0))</x:f>
        <x:v>1496</x:v>
      </x:c>
      <x:c r="AN588" s="119" t="n">
        <x:f>IF(5&gt;D588,0,MAX(2,MIN('难度参数'!$E$12,ROUND(('难度参数'!$E$18*POWER(A588,'难度参数'!$E$19)/D588*(0.85+0.3*(5-1)/MAX(1,D588-1))),0)+F588)))</x:f>
        <x:v>46</x:v>
      </x:c>
      <x:c r="AO588" s="119" t="n">
        <x:f>IF(5&gt;D588,0,ROUND(('难度参数'!$E$13*POWER(A588,'难度参数'!$E$20)*MIN('难度参数'!$E$23,1+MAX(0,A588-'难度参数'!$E$21)*'难度参数'!$E$22))*(36+5*7)/(36+7*(D588+1)/2)*E588,0))</x:f>
        <x:v>14661</x:v>
      </x:c>
      <x:c r="AP588" s="119" t="n">
        <x:f>IF(AN588=0,0,(AN588-IF(5=D588,1,0))*ROUND(AO588*VLOOKUP(INDEX('章节与怪物'!$E$31:$K$37,B588,5),'章节与怪物'!$A$41:$F$44,2,FALSE),0)+IF(5=D588,ROUND(AO588*'难度参数'!$E$28*'章节与怪物'!$E$17,0),0))</x:f>
        <x:v>485576</x:v>
      </x:c>
      <x:c r="AQ588" s="119" t="n">
        <x:f>IF(AN588=0,0,(AN588-IF(5=D588,1,0))*VLOOKUP(INDEX('章节与怪物'!$E$31:$K$37,B588,5),'章节与怪物'!$A$41:$F$44,4,FALSE)+IF(5=D588,'难度参数'!$E$30,0))</x:f>
        <x:v>920</x:v>
      </x:c>
      <x:c r="AR588" s="119" t="n">
        <x:f>IF(6&gt;D588,0,MAX(2,MIN('难度参数'!$E$12,ROUND(('难度参数'!$E$18*POWER(A588,'难度参数'!$E$19)/D588*(0.85+0.3*(6-1)/MAX(1,D588-1))),0)+F588)))</x:f>
        <x:v>48</x:v>
      </x:c>
      <x:c r="AS588" s="119" t="n">
        <x:f>IF(6&gt;D588,0,ROUND(('难度参数'!$E$13*POWER(A588,'难度参数'!$E$20)*MIN('难度参数'!$E$23,1+MAX(0,A588-'难度参数'!$E$21)*'难度参数'!$E$22))*(36+6*7)/(36+7*(D588+1)/2)*E588,0))</x:f>
        <x:v>16106</x:v>
      </x:c>
      <x:c r="AT588" s="119" t="n">
        <x:f>IF(AR588=0,0,(AR588-IF(6=D588,1,0))*ROUND(AS588*VLOOKUP(INDEX('章节与怪物'!$E$31:$K$37,B588,6),'章节与怪物'!$A$41:$F$44,2,FALSE),0)+IF(6=D588,ROUND(AS588*'难度参数'!$E$28*'章节与怪物'!$E$17,0),0))</x:f>
        <x:v>1314240</x:v>
      </x:c>
      <x:c r="AU588" s="119" t="n">
        <x:f>IF(AR588=0,0,(AR588-IF(6=D588,1,0))*VLOOKUP(INDEX('章节与怪物'!$E$31:$K$37,B588,6),'章节与怪物'!$A$41:$F$44,4,FALSE)+IF(6=D588,'难度参数'!$E$30,0))</x:f>
        <x:v>1344</x:v>
      </x:c>
      <x:c r="AV588" s="119" t="n">
        <x:f>IF(7&gt;D588,0,MAX(2,MIN('难度参数'!$E$12,ROUND(('难度参数'!$E$18*POWER(A588,'难度参数'!$E$19)/D588*(0.85+0.3*(7-1)/MAX(1,D588-1))),0)+F588)))</x:f>
        <x:v>50</x:v>
      </x:c>
      <x:c r="AW588" s="119" t="n">
        <x:f>IF(7&gt;D588,0,ROUND(('难度参数'!$E$13*POWER(A588,'难度参数'!$E$20)*MIN('难度参数'!$E$23,1+MAX(0,A588-'难度参数'!$E$21)*'难度参数'!$E$22))*(36+7*7)/(36+7*(D588+1)/2)*E588,0))</x:f>
        <x:v>17552</x:v>
      </x:c>
      <x:c r="AX588" s="119" t="n">
        <x:f>IF(AV588=0,0,(AV588-IF(7=D588,1,0))*ROUND(AW588*VLOOKUP(INDEX('章节与怪物'!$E$31:$K$37,B588,7),'章节与怪物'!$A$41:$F$44,2,FALSE),0)+IF(7=D588,ROUND(AW588*'难度参数'!$E$28*'章节与怪物'!$E$17,0),0))</x:f>
        <x:v>1280409</x:v>
      </x:c>
      <x:c r="AY588" s="119" t="n">
        <x:f>IF(AV588=0,0,(AV588-IF(7=D588,1,0))*VLOOKUP(INDEX('章节与怪物'!$E$31:$K$37,B588,7),'章节与怪物'!$A$41:$F$44,4,FALSE)+IF(7=D588,'难度参数'!$E$30,0))</x:f>
        <x:v>1866</x:v>
      </x:c>
    </x:row>
    <x:row r="589" ht="23" customHeight="1">
      <x:c r="A589" s="119" t="n">
        <x:v>583</x:v>
      </x:c>
      <x:c r="B589" s="119" t="n">
        <x:f>MOD(INT((A589-1)/5),7)+1</x:f>
        <x:v>5</x:v>
      </x:c>
      <x:c r="C589" s="62" t="str">
        <x:f>INDEX('章节与怪物'!$B$31:$B$37,B589)</x:f>
        <x:v>雨林遗迹</x:v>
      </x:c>
      <x:c r="D589" s="119" t="n">
        <x:f>MIN('难度参数'!$E$8,MAX('难度参数'!$E$7,A589))</x:f>
        <x:v>7</x:v>
      </x:c>
      <x:c r="E589" s="106" t="n">
        <x:v>1</x:v>
      </x:c>
      <x:c r="F589" s="106" t="n">
        <x:v>0</x:v>
      </x:c>
      <x:c r="G589" s="106" t="n">
        <x:v>1</x:v>
      </x:c>
      <x:c r="H589" s="119" t="n">
        <x:f>SUM(X589,AB589,AF589,AJ589,AN589,AR589,AV589)</x:f>
        <x:v>306</x:v>
      </x:c>
      <x:c r="I589" s="119" t="n">
        <x:f>SUM(Z589,AD589,AH589,AL589,AP589,AT589,AX589)</x:f>
        <x:v>5330583</x:v>
      </x:c>
      <x:c r="J589" s="119" t="n">
        <x:f>ROUND(INDEX(X589:AY589,1,(D589-1)*4+2)*'难度参数'!$E$28*'章节与怪物'!$E$17,0)</x:f>
        <x:v>119496</x:v>
      </x:c>
      <x:c r="K589" s="119" t="n">
        <x:f>SUM(AA589,AE589,AI589,AM589,AQ589,AU589,AY589)</x:f>
        <x:v>8248</x:v>
      </x:c>
      <x:c r="L589" s="62" t="n">
        <x:f>H589*(ROUNDUP('难度参数'!$E$24/('难度参数'!$E$26*'难度参数'!$E$27),0)*'难度参数'!$E$26)/60</x:f>
        <x:v>4.08</x:v>
      </x:c>
      <x:c r="M589" s="62" t="n">
        <x:f>L589+D589*('难度参数'!$E$49+'难度参数'!$E$50)/60</x:f>
        <x:v>5.246666666666667</x:v>
      </x:c>
      <x:c r="N589" s="119" t="n">
        <x:f>ROUNDDOWN(('经济参数'!$E$20+A589*'经济参数'!$E$21)*G589,0)</x:f>
        <x:v>11840</x:v>
      </x:c>
      <x:c r="O589" s="119" t="n">
        <x:f>ROUNDDOWN(MIN('经济参数'!$E$24,'经济参数'!$E$22+A589*'经济参数'!$E$23)*G589,0)</x:f>
        <x:v>0</x:v>
      </x:c>
      <x:c r="P589" s="119" t="n">
        <x:f>ROUNDDOWN((IF(A589&gt;='材料与任务'!$E$31,'材料与任务'!$E$32,IF(A589&gt;='材料与任务'!$E$25,'材料与任务'!$E$26,IF(A589&gt;='材料与任务'!$E$19,'材料与任务'!$E$20,IF(A589&gt;='材料与任务'!$E$13,'材料与任务'!$E$14,'材料与任务'!$E$8)))))*G589,0)</x:f>
        <x:v>6</x:v>
      </x:c>
      <x:c r="Q589" s="119" t="n">
        <x:f>ROUNDDOWN((IF(A589&gt;='材料与任务'!$E$31,'材料与任务'!$E$33,IF(A589&gt;='材料与任务'!$E$25,'材料与任务'!$E$27,IF(A589&gt;='材料与任务'!$E$19,'材料与任务'!$E$21,IF(A589&gt;='材料与任务'!$E$13,'材料与任务'!$E$15,'材料与任务'!$E$9)))))*G589,0)</x:f>
        <x:v>3</x:v>
      </x:c>
      <x:c r="R589" s="110" t="n">
        <x:f>'装备掉落'!$B$38</x:f>
        <x:v>0.6872058758851213</x:v>
      </x:c>
      <x:c r="S589" s="119" t="n">
        <x:f>MAX(IF(VLOOKUP(A589,'装备掉落'!$A$29:$H$34,2,TRUE)&gt;0,1,0),IF(VLOOKUP(A589,'装备掉落'!$A$29:$H$34,3,TRUE)&gt;0,2,0),IF(VLOOKUP(A589,'装备掉落'!$A$29:$H$34,4,TRUE)&gt;0,3,0),IF(VLOOKUP(A589,'装备掉落'!$A$29:$H$34,5,TRUE)&gt;0,4,0),IF(VLOOKUP(A589,'装备掉落'!$A$29:$H$34,6,TRUE)&gt;0,5,0),IF(VLOOKUP(A589,'装备掉落'!$A$29:$H$34,7,TRUE)&gt;0,6,0),IF(VLOOKUP(A589,'装备掉落'!$A$29:$H$34,8,TRUE)&gt;0,7,0))</x:f>
        <x:v>7</x:v>
      </x:c>
      <x:c r="T589" s="119" t="n">
        <x:f>MIN(7,S589+'经济参数'!$E$70)</x:f>
        <x:v>7</x:v>
      </x:c>
      <x:c r="U589" s="119" t="n">
        <x:f>MIN(7,S589+'经济参数'!$E$71)</x:f>
        <x:v>7</x:v>
      </x:c>
      <x:c r="V589" s="119" t="n">
        <x:f>IF(H589&gt;=('难度参数'!$E$52),1,0)+IF(H589&gt;=('难度参数'!$E$52+'难度参数'!$E$53),1,0)+IF(H589&gt;=('难度参数'!$E$52+'难度参数'!$E$53+'难度参数'!$E$54),1,0)+IF(H589&gt;=('难度参数'!$E$52+'难度参数'!$E$53+'难度参数'!$E$54+'难度参数'!$E$55),1,0)+IF(H589&gt;=('难度参数'!$E$52+'难度参数'!$E$53+'难度参数'!$E$54+'难度参数'!$E$55+'难度参数'!$E$56),1,0)+IF(H589&gt;=('难度参数'!$E$52+'难度参数'!$E$53+'难度参数'!$E$54+'难度参数'!$E$55+'难度参数'!$E$56+'难度参数'!$E$57),1,0)</x:f>
        <x:v>6</x:v>
      </x:c>
      <x:c r="W589" s="62" t="str">
        <x:f>IF(L589&gt;'难度参数'!$E$51,"仅出怪已超目标","还需实测")</x:f>
        <x:v>仅出怪已超目标</x:v>
      </x:c>
      <x:c r="X589" s="119" t="n">
        <x:f>IF(1&gt;D589,0,MAX(2,MIN('难度参数'!$E$12,ROUND(('难度参数'!$E$18*POWER(A589,'难度参数'!$E$19)/D589*(0.85+0.3*(1-1)/MAX(1,D589-1))),0)+F589)))</x:f>
        <x:v>37</x:v>
      </x:c>
      <x:c r="Y589" s="119" t="n">
        <x:f>IF(1&gt;D589,0,ROUND(('难度参数'!$E$13*POWER(A589,'难度参数'!$E$20)*MIN('难度参数'!$E$23,1+MAX(0,A589-'难度参数'!$E$21)*'难度参数'!$E$22))*(36+1*7)/(36+7*(D589+1)/2)*E589,0))</x:f>
        <x:v>8890</x:v>
      </x:c>
      <x:c r="Z589" s="119" t="n">
        <x:f>IF(X589=0,0,(X589-IF(1=D589,1,0))*ROUND(Y589*VLOOKUP(INDEX('章节与怪物'!$E$31:$K$37,B589,1),'章节与怪物'!$A$41:$F$44,2,FALSE),0)+IF(1=D589,ROUND(Y589*'难度参数'!$E$28*'章节与怪物'!$E$17,0),0))</x:f>
        <x:v>328930</x:v>
      </x:c>
      <x:c r="AA589" s="119" t="n">
        <x:f>IF(X589=0,0,(X589-IF(1=D589,1,0))*VLOOKUP(INDEX('章节与怪物'!$E$31:$K$37,B589,1),'章节与怪物'!$A$41:$F$44,4,FALSE)+IF(1=D589,'难度参数'!$E$30,0))</x:f>
        <x:v>666</x:v>
      </x:c>
      <x:c r="AB589" s="119" t="n">
        <x:f>IF(2&gt;D589,0,MAX(2,MIN('难度参数'!$E$12,ROUND(('难度参数'!$E$18*POWER(A589,'难度参数'!$E$19)/D589*(0.85+0.3*(2-1)/MAX(1,D589-1))),0)+F589)))</x:f>
        <x:v>39</x:v>
      </x:c>
      <x:c r="AC589" s="119" t="n">
        <x:f>IF(2&gt;D589,0,ROUND(('难度参数'!$E$13*POWER(A589,'难度参数'!$E$20)*MIN('难度参数'!$E$23,1+MAX(0,A589-'难度参数'!$E$21)*'难度参数'!$E$22))*(36+2*7)/(36+7*(D589+1)/2)*E589,0))</x:f>
        <x:v>10337</x:v>
      </x:c>
      <x:c r="AD589" s="119" t="n">
        <x:f>IF(AB589=0,0,(AB589-IF(2=D589,1,0))*ROUND(AC589*VLOOKUP(INDEX('章节与怪物'!$E$31:$K$37,B589,2),'章节与怪物'!$A$41:$F$44,2,FALSE),0)+IF(2=D589,ROUND(AC589*'难度参数'!$E$28*'章节与怪物'!$E$17,0),0))</x:f>
        <x:v>290277</x:v>
      </x:c>
      <x:c r="AE589" s="119" t="n">
        <x:f>IF(AB589=0,0,(AB589-IF(2=D589,1,0))*VLOOKUP(INDEX('章节与怪物'!$E$31:$K$37,B589,2),'章节与怪物'!$A$41:$F$44,4,FALSE)+IF(2=D589,'难度参数'!$E$30,0))</x:f>
        <x:v>780</x:v>
      </x:c>
      <x:c r="AF589" s="119" t="n">
        <x:f>IF(3&gt;D589,0,MAX(2,MIN('难度参数'!$E$12,ROUND(('难度参数'!$E$18*POWER(A589,'难度参数'!$E$19)/D589*(0.85+0.3*(3-1)/MAX(1,D589-1))),0)+F589)))</x:f>
        <x:v>42</x:v>
      </x:c>
      <x:c r="AG589" s="119" t="n">
        <x:f>IF(3&gt;D589,0,ROUND(('难度参数'!$E$13*POWER(A589,'难度参数'!$E$20)*MIN('难度参数'!$E$23,1+MAX(0,A589-'难度参数'!$E$21)*'难度参数'!$E$22))*(36+3*7)/(36+7*(D589+1)/2)*E589,0))</x:f>
        <x:v>11784</x:v>
      </x:c>
      <x:c r="AH589" s="119" t="n">
        <x:f>IF(AF589=0,0,(AF589-IF(3=D589,1,0))*ROUND(AG589*VLOOKUP(INDEX('章节与怪物'!$E$31:$K$37,B589,3),'章节与怪物'!$A$41:$F$44,2,FALSE),0)+IF(3=D589,ROUND(AG589*'难度参数'!$E$28*'章节与怪物'!$E$17,0),0))</x:f>
        <x:v>841386</x:v>
      </x:c>
      <x:c r="AI589" s="119" t="n">
        <x:f>IF(AF589=0,0,(AF589-IF(3=D589,1,0))*VLOOKUP(INDEX('章节与怪物'!$E$31:$K$37,B589,3),'章节与怪物'!$A$41:$F$44,4,FALSE)+IF(3=D589,'难度参数'!$E$30,0))</x:f>
        <x:v>1176</x:v>
      </x:c>
      <x:c r="AJ589" s="119" t="n">
        <x:f>IF(4&gt;D589,0,MAX(2,MIN('难度参数'!$E$12,ROUND(('难度参数'!$E$18*POWER(A589,'难度参数'!$E$19)/D589*(0.85+0.3*(4-1)/MAX(1,D589-1))),0)+F589)))</x:f>
        <x:v>44</x:v>
      </x:c>
      <x:c r="AK589" s="119" t="n">
        <x:f>IF(4&gt;D589,0,ROUND(('难度参数'!$E$13*POWER(A589,'难度参数'!$E$20)*MIN('难度参数'!$E$23,1+MAX(0,A589-'难度参数'!$E$21)*'难度参数'!$E$22))*(36+4*7)/(36+7*(D589+1)/2)*E589,0))</x:f>
        <x:v>13232</x:v>
      </x:c>
      <x:c r="AL589" s="119" t="n">
        <x:f>IF(AJ589=0,0,(AJ589-IF(4=D589,1,0))*ROUND(AK589*VLOOKUP(INDEX('章节与怪物'!$E$31:$K$37,B589,4),'章节与怪物'!$A$41:$F$44,2,FALSE),0)+IF(4=D589,ROUND(AK589*'难度参数'!$E$28*'章节与怪物'!$E$17,0),0))</x:f>
        <x:v>785972</x:v>
      </x:c>
      <x:c r="AM589" s="119" t="n">
        <x:f>IF(AJ589=0,0,(AJ589-IF(4=D589,1,0))*VLOOKUP(INDEX('章节与怪物'!$E$31:$K$37,B589,4),'章节与怪物'!$A$41:$F$44,4,FALSE)+IF(4=D589,'难度参数'!$E$30,0))</x:f>
        <x:v>1496</x:v>
      </x:c>
      <x:c r="AN589" s="119" t="n">
        <x:f>IF(5&gt;D589,0,MAX(2,MIN('难度参数'!$E$12,ROUND(('难度参数'!$E$18*POWER(A589,'难度参数'!$E$19)/D589*(0.85+0.3*(5-1)/MAX(1,D589-1))),0)+F589)))</x:f>
        <x:v>46</x:v>
      </x:c>
      <x:c r="AO589" s="119" t="n">
        <x:f>IF(5&gt;D589,0,ROUND(('难度参数'!$E$13*POWER(A589,'难度参数'!$E$20)*MIN('难度参数'!$E$23,1+MAX(0,A589-'难度参数'!$E$21)*'难度参数'!$E$22))*(36+5*7)/(36+7*(D589+1)/2)*E589,0))</x:f>
        <x:v>14679</x:v>
      </x:c>
      <x:c r="AP589" s="119" t="n">
        <x:f>IF(AN589=0,0,(AN589-IF(5=D589,1,0))*ROUND(AO589*VLOOKUP(INDEX('章节与怪物'!$E$31:$K$37,B589,5),'章节与怪物'!$A$41:$F$44,2,FALSE),0)+IF(5=D589,ROUND(AO589*'难度参数'!$E$28*'章节与怪物'!$E$17,0),0))</x:f>
        <x:v>486174</x:v>
      </x:c>
      <x:c r="AQ589" s="119" t="n">
        <x:f>IF(AN589=0,0,(AN589-IF(5=D589,1,0))*VLOOKUP(INDEX('章节与怪物'!$E$31:$K$37,B589,5),'章节与怪物'!$A$41:$F$44,4,FALSE)+IF(5=D589,'难度参数'!$E$30,0))</x:f>
        <x:v>920</x:v>
      </x:c>
      <x:c r="AR589" s="119" t="n">
        <x:f>IF(6&gt;D589,0,MAX(2,MIN('难度参数'!$E$12,ROUND(('难度参数'!$E$18*POWER(A589,'难度参数'!$E$19)/D589*(0.85+0.3*(6-1)/MAX(1,D589-1))),0)+F589)))</x:f>
        <x:v>48</x:v>
      </x:c>
      <x:c r="AS589" s="119" t="n">
        <x:f>IF(6&gt;D589,0,ROUND(('难度参数'!$E$13*POWER(A589,'难度参数'!$E$20)*MIN('难度参数'!$E$23,1+MAX(0,A589-'难度参数'!$E$21)*'难度参数'!$E$22))*(36+6*7)/(36+7*(D589+1)/2)*E589,0))</x:f>
        <x:v>16126</x:v>
      </x:c>
      <x:c r="AT589" s="119" t="n">
        <x:f>IF(AR589=0,0,(AR589-IF(6=D589,1,0))*ROUND(AS589*VLOOKUP(INDEX('章节与怪物'!$E$31:$K$37,B589,6),'章节与怪物'!$A$41:$F$44,2,FALSE),0)+IF(6=D589,ROUND(AS589*'难度参数'!$E$28*'章节与怪物'!$E$17,0),0))</x:f>
        <x:v>1315872</x:v>
      </x:c>
      <x:c r="AU589" s="119" t="n">
        <x:f>IF(AR589=0,0,(AR589-IF(6=D589,1,0))*VLOOKUP(INDEX('章节与怪物'!$E$31:$K$37,B589,6),'章节与怪物'!$A$41:$F$44,4,FALSE)+IF(6=D589,'难度参数'!$E$30,0))</x:f>
        <x:v>1344</x:v>
      </x:c>
      <x:c r="AV589" s="119" t="n">
        <x:f>IF(7&gt;D589,0,MAX(2,MIN('难度参数'!$E$12,ROUND(('难度参数'!$E$18*POWER(A589,'难度参数'!$E$19)/D589*(0.85+0.3*(7-1)/MAX(1,D589-1))),0)+F589)))</x:f>
        <x:v>50</x:v>
      </x:c>
      <x:c r="AW589" s="119" t="n">
        <x:f>IF(7&gt;D589,0,ROUND(('难度参数'!$E$13*POWER(A589,'难度参数'!$E$20)*MIN('难度参数'!$E$23,1+MAX(0,A589-'难度参数'!$E$21)*'难度参数'!$E$22))*(36+7*7)/(36+7*(D589+1)/2)*E589,0))</x:f>
        <x:v>17573</x:v>
      </x:c>
      <x:c r="AX589" s="119" t="n">
        <x:f>IF(AV589=0,0,(AV589-IF(7=D589,1,0))*ROUND(AW589*VLOOKUP(INDEX('章节与怪物'!$E$31:$K$37,B589,7),'章节与怪物'!$A$41:$F$44,2,FALSE),0)+IF(7=D589,ROUND(AW589*'难度参数'!$E$28*'章节与怪物'!$E$17,0),0))</x:f>
        <x:v>1281972</x:v>
      </x:c>
      <x:c r="AY589" s="119" t="n">
        <x:f>IF(AV589=0,0,(AV589-IF(7=D589,1,0))*VLOOKUP(INDEX('章节与怪物'!$E$31:$K$37,B589,7),'章节与怪物'!$A$41:$F$44,4,FALSE)+IF(7=D589,'难度参数'!$E$30,0))</x:f>
        <x:v>1866</x:v>
      </x:c>
    </x:row>
    <x:row r="590" ht="23" customHeight="1">
      <x:c r="A590" s="119" t="n">
        <x:v>584</x:v>
      </x:c>
      <x:c r="B590" s="119" t="n">
        <x:f>MOD(INT((A590-1)/5),7)+1</x:f>
        <x:v>5</x:v>
      </x:c>
      <x:c r="C590" s="62" t="str">
        <x:f>INDEX('章节与怪物'!$B$31:$B$37,B590)</x:f>
        <x:v>雨林遗迹</x:v>
      </x:c>
      <x:c r="D590" s="119" t="n">
        <x:f>MIN('难度参数'!$E$8,MAX('难度参数'!$E$7,A590))</x:f>
        <x:v>7</x:v>
      </x:c>
      <x:c r="E590" s="106" t="n">
        <x:v>1</x:v>
      </x:c>
      <x:c r="F590" s="106" t="n">
        <x:v>0</x:v>
      </x:c>
      <x:c r="G590" s="106" t="n">
        <x:v>1</x:v>
      </x:c>
      <x:c r="H590" s="119" t="n">
        <x:f>SUM(X590,AB590,AF590,AJ590,AN590,AR590,AV590)</x:f>
        <x:v>306</x:v>
      </x:c>
      <x:c r="I590" s="119" t="n">
        <x:f>SUM(Z590,AD590,AH590,AL590,AP590,AT590,AX590)</x:f>
        <x:v>5337160</x:v>
      </x:c>
      <x:c r="J590" s="119" t="n">
        <x:f>ROUND(INDEX(X590:AY590,1,(D590-1)*4+2)*'难度参数'!$E$28*'章节与怪物'!$E$17,0)</x:f>
        <x:v>119646</x:v>
      </x:c>
      <x:c r="K590" s="119" t="n">
        <x:f>SUM(AA590,AE590,AI590,AM590,AQ590,AU590,AY590)</x:f>
        <x:v>8248</x:v>
      </x:c>
      <x:c r="L590" s="62" t="n">
        <x:f>H590*(ROUNDUP('难度参数'!$E$24/('难度参数'!$E$26*'难度参数'!$E$27),0)*'难度参数'!$E$26)/60</x:f>
        <x:v>4.08</x:v>
      </x:c>
      <x:c r="M590" s="62" t="n">
        <x:f>L590+D590*('难度参数'!$E$49+'难度参数'!$E$50)/60</x:f>
        <x:v>5.246666666666667</x:v>
      </x:c>
      <x:c r="N590" s="119" t="n">
        <x:f>ROUNDDOWN(('经济参数'!$E$20+A590*'经济参数'!$E$21)*G590,0)</x:f>
        <x:v>11860</x:v>
      </x:c>
      <x:c r="O590" s="119" t="n">
        <x:f>ROUNDDOWN(MIN('经济参数'!$E$24,'经济参数'!$E$22+A590*'经济参数'!$E$23)*G590,0)</x:f>
        <x:v>0</x:v>
      </x:c>
      <x:c r="P590" s="119" t="n">
        <x:f>ROUNDDOWN((IF(A590&gt;='材料与任务'!$E$31,'材料与任务'!$E$32,IF(A590&gt;='材料与任务'!$E$25,'材料与任务'!$E$26,IF(A590&gt;='材料与任务'!$E$19,'材料与任务'!$E$20,IF(A590&gt;='材料与任务'!$E$13,'材料与任务'!$E$14,'材料与任务'!$E$8)))))*G590,0)</x:f>
        <x:v>6</x:v>
      </x:c>
      <x:c r="Q590" s="119" t="n">
        <x:f>ROUNDDOWN((IF(A590&gt;='材料与任务'!$E$31,'材料与任务'!$E$33,IF(A590&gt;='材料与任务'!$E$25,'材料与任务'!$E$27,IF(A590&gt;='材料与任务'!$E$19,'材料与任务'!$E$21,IF(A590&gt;='材料与任务'!$E$13,'材料与任务'!$E$15,'材料与任务'!$E$9)))))*G590,0)</x:f>
        <x:v>3</x:v>
      </x:c>
      <x:c r="R590" s="110" t="n">
        <x:f>'装备掉落'!$B$38</x:f>
        <x:v>0.6872058758851213</x:v>
      </x:c>
      <x:c r="S590" s="119" t="n">
        <x:f>MAX(IF(VLOOKUP(A590,'装备掉落'!$A$29:$H$34,2,TRUE)&gt;0,1,0),IF(VLOOKUP(A590,'装备掉落'!$A$29:$H$34,3,TRUE)&gt;0,2,0),IF(VLOOKUP(A590,'装备掉落'!$A$29:$H$34,4,TRUE)&gt;0,3,0),IF(VLOOKUP(A590,'装备掉落'!$A$29:$H$34,5,TRUE)&gt;0,4,0),IF(VLOOKUP(A590,'装备掉落'!$A$29:$H$34,6,TRUE)&gt;0,5,0),IF(VLOOKUP(A590,'装备掉落'!$A$29:$H$34,7,TRUE)&gt;0,6,0),IF(VLOOKUP(A590,'装备掉落'!$A$29:$H$34,8,TRUE)&gt;0,7,0))</x:f>
        <x:v>7</x:v>
      </x:c>
      <x:c r="T590" s="119" t="n">
        <x:f>MIN(7,S590+'经济参数'!$E$70)</x:f>
        <x:v>7</x:v>
      </x:c>
      <x:c r="U590" s="119" t="n">
        <x:f>MIN(7,S590+'经济参数'!$E$71)</x:f>
        <x:v>7</x:v>
      </x:c>
      <x:c r="V590" s="119" t="n">
        <x:f>IF(H590&gt;=('难度参数'!$E$52),1,0)+IF(H590&gt;=('难度参数'!$E$52+'难度参数'!$E$53),1,0)+IF(H590&gt;=('难度参数'!$E$52+'难度参数'!$E$53+'难度参数'!$E$54),1,0)+IF(H590&gt;=('难度参数'!$E$52+'难度参数'!$E$53+'难度参数'!$E$54+'难度参数'!$E$55),1,0)+IF(H590&gt;=('难度参数'!$E$52+'难度参数'!$E$53+'难度参数'!$E$54+'难度参数'!$E$55+'难度参数'!$E$56),1,0)+IF(H590&gt;=('难度参数'!$E$52+'难度参数'!$E$53+'难度参数'!$E$54+'难度参数'!$E$55+'难度参数'!$E$56+'难度参数'!$E$57),1,0)</x:f>
        <x:v>6</x:v>
      </x:c>
      <x:c r="W590" s="62" t="str">
        <x:f>IF(L590&gt;'难度参数'!$E$51,"仅出怪已超目标","还需实测")</x:f>
        <x:v>仅出怪已超目标</x:v>
      </x:c>
      <x:c r="X590" s="119" t="n">
        <x:f>IF(1&gt;D590,0,MAX(2,MIN('难度参数'!$E$12,ROUND(('难度参数'!$E$18*POWER(A590,'难度参数'!$E$19)/D590*(0.85+0.3*(1-1)/MAX(1,D590-1))),0)+F590)))</x:f>
        <x:v>37</x:v>
      </x:c>
      <x:c r="Y590" s="119" t="n">
        <x:f>IF(1&gt;D590,0,ROUND(('难度参数'!$E$13*POWER(A590,'难度参数'!$E$20)*MIN('难度参数'!$E$23,1+MAX(0,A590-'难度参数'!$E$21)*'难度参数'!$E$22))*(36+1*7)/(36+7*(D590+1)/2)*E590,0))</x:f>
        <x:v>8901</x:v>
      </x:c>
      <x:c r="Z590" s="119" t="n">
        <x:f>IF(X590=0,0,(X590-IF(1=D590,1,0))*ROUND(Y590*VLOOKUP(INDEX('章节与怪物'!$E$31:$K$37,B590,1),'章节与怪物'!$A$41:$F$44,2,FALSE),0)+IF(1=D590,ROUND(Y590*'难度参数'!$E$28*'章节与怪物'!$E$17,0),0))</x:f>
        <x:v>329337</x:v>
      </x:c>
      <x:c r="AA590" s="119" t="n">
        <x:f>IF(X590=0,0,(X590-IF(1=D590,1,0))*VLOOKUP(INDEX('章节与怪物'!$E$31:$K$37,B590,1),'章节与怪物'!$A$41:$F$44,4,FALSE)+IF(1=D590,'难度参数'!$E$30,0))</x:f>
        <x:v>666</x:v>
      </x:c>
      <x:c r="AB590" s="119" t="n">
        <x:f>IF(2&gt;D590,0,MAX(2,MIN('难度参数'!$E$12,ROUND(('难度参数'!$E$18*POWER(A590,'难度参数'!$E$19)/D590*(0.85+0.3*(2-1)/MAX(1,D590-1))),0)+F590)))</x:f>
        <x:v>39</x:v>
      </x:c>
      <x:c r="AC590" s="119" t="n">
        <x:f>IF(2&gt;D590,0,ROUND(('难度参数'!$E$13*POWER(A590,'难度参数'!$E$20)*MIN('难度参数'!$E$23,1+MAX(0,A590-'难度参数'!$E$21)*'难度参数'!$E$22))*(36+2*7)/(36+7*(D590+1)/2)*E590,0))</x:f>
        <x:v>10350</x:v>
      </x:c>
      <x:c r="AD590" s="119" t="n">
        <x:f>IF(AB590=0,0,(AB590-IF(2=D590,1,0))*ROUND(AC590*VLOOKUP(INDEX('章节与怪物'!$E$31:$K$37,B590,2),'章节与怪物'!$A$41:$F$44,2,FALSE),0)+IF(2=D590,ROUND(AC590*'难度参数'!$E$28*'章节与怪物'!$E$17,0),0))</x:f>
        <x:v>290628</x:v>
      </x:c>
      <x:c r="AE590" s="119" t="n">
        <x:f>IF(AB590=0,0,(AB590-IF(2=D590,1,0))*VLOOKUP(INDEX('章节与怪物'!$E$31:$K$37,B590,2),'章节与怪物'!$A$41:$F$44,4,FALSE)+IF(2=D590,'难度参数'!$E$30,0))</x:f>
        <x:v>780</x:v>
      </x:c>
      <x:c r="AF590" s="119" t="n">
        <x:f>IF(3&gt;D590,0,MAX(2,MIN('难度参数'!$E$12,ROUND(('难度参数'!$E$18*POWER(A590,'难度参数'!$E$19)/D590*(0.85+0.3*(3-1)/MAX(1,D590-1))),0)+F590)))</x:f>
        <x:v>42</x:v>
      </x:c>
      <x:c r="AG590" s="119" t="n">
        <x:f>IF(3&gt;D590,0,ROUND(('难度参数'!$E$13*POWER(A590,'难度参数'!$E$20)*MIN('难度参数'!$E$23,1+MAX(0,A590-'难度参数'!$E$21)*'难度参数'!$E$22))*(36+3*7)/(36+7*(D590+1)/2)*E590,0))</x:f>
        <x:v>11799</x:v>
      </x:c>
      <x:c r="AH590" s="119" t="n">
        <x:f>IF(AF590=0,0,(AF590-IF(3=D590,1,0))*ROUND(AG590*VLOOKUP(INDEX('章节与怪物'!$E$31:$K$37,B590,3),'章节与怪物'!$A$41:$F$44,2,FALSE),0)+IF(3=D590,ROUND(AG590*'难度参数'!$E$28*'章节与怪物'!$E$17,0),0))</x:f>
        <x:v>842436</x:v>
      </x:c>
      <x:c r="AI590" s="119" t="n">
        <x:f>IF(AF590=0,0,(AF590-IF(3=D590,1,0))*VLOOKUP(INDEX('章节与怪物'!$E$31:$K$37,B590,3),'章节与怪物'!$A$41:$F$44,4,FALSE)+IF(3=D590,'难度参数'!$E$30,0))</x:f>
        <x:v>1176</x:v>
      </x:c>
      <x:c r="AJ590" s="119" t="n">
        <x:f>IF(4&gt;D590,0,MAX(2,MIN('难度参数'!$E$12,ROUND(('难度参数'!$E$18*POWER(A590,'难度参数'!$E$19)/D590*(0.85+0.3*(4-1)/MAX(1,D590-1))),0)+F590)))</x:f>
        <x:v>44</x:v>
      </x:c>
      <x:c r="AK590" s="119" t="n">
        <x:f>IF(4&gt;D590,0,ROUND(('难度参数'!$E$13*POWER(A590,'难度参数'!$E$20)*MIN('难度参数'!$E$23,1+MAX(0,A590-'难度参数'!$E$21)*'难度参数'!$E$22))*(36+4*7)/(36+7*(D590+1)/2)*E590,0))</x:f>
        <x:v>13248</x:v>
      </x:c>
      <x:c r="AL590" s="119" t="n">
        <x:f>IF(AJ590=0,0,(AJ590-IF(4=D590,1,0))*ROUND(AK590*VLOOKUP(INDEX('章节与怪物'!$E$31:$K$37,B590,4),'章节与怪物'!$A$41:$F$44,2,FALSE),0)+IF(4=D590,ROUND(AK590*'难度参数'!$E$28*'章节与怪物'!$E$17,0),0))</x:f>
        <x:v>786940</x:v>
      </x:c>
      <x:c r="AM590" s="119" t="n">
        <x:f>IF(AJ590=0,0,(AJ590-IF(4=D590,1,0))*VLOOKUP(INDEX('章节与怪物'!$E$31:$K$37,B590,4),'章节与怪物'!$A$41:$F$44,4,FALSE)+IF(4=D590,'难度参数'!$E$30,0))</x:f>
        <x:v>1496</x:v>
      </x:c>
      <x:c r="AN590" s="119" t="n">
        <x:f>IF(5&gt;D590,0,MAX(2,MIN('难度参数'!$E$12,ROUND(('难度参数'!$E$18*POWER(A590,'难度参数'!$E$19)/D590*(0.85+0.3*(5-1)/MAX(1,D590-1))),0)+F590)))</x:f>
        <x:v>46</x:v>
      </x:c>
      <x:c r="AO590" s="119" t="n">
        <x:f>IF(5&gt;D590,0,ROUND(('难度参数'!$E$13*POWER(A590,'难度参数'!$E$20)*MIN('难度参数'!$E$23,1+MAX(0,A590-'难度参数'!$E$21)*'难度参数'!$E$22))*(36+5*7)/(36+7*(D590+1)/2)*E590,0))</x:f>
        <x:v>14697</x:v>
      </x:c>
      <x:c r="AP590" s="119" t="n">
        <x:f>IF(AN590=0,0,(AN590-IF(5=D590,1,0))*ROUND(AO590*VLOOKUP(INDEX('章节与怪物'!$E$31:$K$37,B590,5),'章节与怪物'!$A$41:$F$44,2,FALSE),0)+IF(5=D590,ROUND(AO590*'难度参数'!$E$28*'章节与怪物'!$E$17,0),0))</x:f>
        <x:v>486772</x:v>
      </x:c>
      <x:c r="AQ590" s="119" t="n">
        <x:f>IF(AN590=0,0,(AN590-IF(5=D590,1,0))*VLOOKUP(INDEX('章节与怪物'!$E$31:$K$37,B590,5),'章节与怪物'!$A$41:$F$44,4,FALSE)+IF(5=D590,'难度参数'!$E$30,0))</x:f>
        <x:v>920</x:v>
      </x:c>
      <x:c r="AR590" s="119" t="n">
        <x:f>IF(6&gt;D590,0,MAX(2,MIN('难度参数'!$E$12,ROUND(('难度参数'!$E$18*POWER(A590,'难度参数'!$E$19)/D590*(0.85+0.3*(6-1)/MAX(1,D590-1))),0)+F590)))</x:f>
        <x:v>48</x:v>
      </x:c>
      <x:c r="AS590" s="119" t="n">
        <x:f>IF(6&gt;D590,0,ROUND(('难度参数'!$E$13*POWER(A590,'难度参数'!$E$20)*MIN('难度参数'!$E$23,1+MAX(0,A590-'难度参数'!$E$21)*'难度参数'!$E$22))*(36+6*7)/(36+7*(D590+1)/2)*E590,0))</x:f>
        <x:v>16146</x:v>
      </x:c>
      <x:c r="AT590" s="119" t="n">
        <x:f>IF(AR590=0,0,(AR590-IF(6=D590,1,0))*ROUND(AS590*VLOOKUP(INDEX('章节与怪物'!$E$31:$K$37,B590,6),'章节与怪物'!$A$41:$F$44,2,FALSE),0)+IF(6=D590,ROUND(AS590*'难度参数'!$E$28*'章节与怪物'!$E$17,0),0))</x:f>
        <x:v>1317504</x:v>
      </x:c>
      <x:c r="AU590" s="119" t="n">
        <x:f>IF(AR590=0,0,(AR590-IF(6=D590,1,0))*VLOOKUP(INDEX('章节与怪物'!$E$31:$K$37,B590,6),'章节与怪物'!$A$41:$F$44,4,FALSE)+IF(6=D590,'难度参数'!$E$30,0))</x:f>
        <x:v>1344</x:v>
      </x:c>
      <x:c r="AV590" s="119" t="n">
        <x:f>IF(7&gt;D590,0,MAX(2,MIN('难度参数'!$E$12,ROUND(('难度参数'!$E$18*POWER(A590,'难度参数'!$E$19)/D590*(0.85+0.3*(7-1)/MAX(1,D590-1))),0)+F590)))</x:f>
        <x:v>50</x:v>
      </x:c>
      <x:c r="AW590" s="119" t="n">
        <x:f>IF(7&gt;D590,0,ROUND(('难度参数'!$E$13*POWER(A590,'难度参数'!$E$20)*MIN('难度参数'!$E$23,1+MAX(0,A590-'难度参数'!$E$21)*'难度参数'!$E$22))*(36+7*7)/(36+7*(D590+1)/2)*E590,0))</x:f>
        <x:v>17595</x:v>
      </x:c>
      <x:c r="AX590" s="119" t="n">
        <x:f>IF(AV590=0,0,(AV590-IF(7=D590,1,0))*ROUND(AW590*VLOOKUP(INDEX('章节与怪物'!$E$31:$K$37,B590,7),'章节与怪物'!$A$41:$F$44,2,FALSE),0)+IF(7=D590,ROUND(AW590*'难度参数'!$E$28*'章节与怪物'!$E$17,0),0))</x:f>
        <x:v>1283543</x:v>
      </x:c>
      <x:c r="AY590" s="119" t="n">
        <x:f>IF(AV590=0,0,(AV590-IF(7=D590,1,0))*VLOOKUP(INDEX('章节与怪物'!$E$31:$K$37,B590,7),'章节与怪物'!$A$41:$F$44,4,FALSE)+IF(7=D590,'难度参数'!$E$30,0))</x:f>
        <x:v>1866</x:v>
      </x:c>
    </x:row>
    <x:row r="591" ht="23" customHeight="1">
      <x:c r="A591" s="119" t="n">
        <x:v>585</x:v>
      </x:c>
      <x:c r="B591" s="119" t="n">
        <x:f>MOD(INT((A591-1)/5),7)+1</x:f>
        <x:v>5</x:v>
      </x:c>
      <x:c r="C591" s="62" t="str">
        <x:f>INDEX('章节与怪物'!$B$31:$B$37,B591)</x:f>
        <x:v>雨林遗迹</x:v>
      </x:c>
      <x:c r="D591" s="119" t="n">
        <x:f>MIN('难度参数'!$E$8,MAX('难度参数'!$E$7,A591))</x:f>
        <x:v>7</x:v>
      </x:c>
      <x:c r="E591" s="106" t="n">
        <x:v>1</x:v>
      </x:c>
      <x:c r="F591" s="106" t="n">
        <x:v>0</x:v>
      </x:c>
      <x:c r="G591" s="106" t="n">
        <x:v>1</x:v>
      </x:c>
      <x:c r="H591" s="119" t="n">
        <x:f>SUM(X591,AB591,AF591,AJ591,AN591,AR591,AV591)</x:f>
        <x:v>306</x:v>
      </x:c>
      <x:c r="I591" s="119" t="n">
        <x:f>SUM(Z591,AD591,AH591,AL591,AP591,AT591,AX591)</x:f>
        <x:v>5343784</x:v>
      </x:c>
      <x:c r="J591" s="119" t="n">
        <x:f>ROUND(INDEX(X591:AY591,1,(D591-1)*4+2)*'难度参数'!$E$28*'章节与怪物'!$E$17,0)</x:f>
        <x:v>119796</x:v>
      </x:c>
      <x:c r="K591" s="119" t="n">
        <x:f>SUM(AA591,AE591,AI591,AM591,AQ591,AU591,AY591)</x:f>
        <x:v>8248</x:v>
      </x:c>
      <x:c r="L591" s="62" t="n">
        <x:f>H591*(ROUNDUP('难度参数'!$E$24/('难度参数'!$E$26*'难度参数'!$E$27),0)*'难度参数'!$E$26)/60</x:f>
        <x:v>4.08</x:v>
      </x:c>
      <x:c r="M591" s="62" t="n">
        <x:f>L591+D591*('难度参数'!$E$49+'难度参数'!$E$50)/60</x:f>
        <x:v>5.246666666666667</x:v>
      </x:c>
      <x:c r="N591" s="119" t="n">
        <x:f>ROUNDDOWN(('经济参数'!$E$20+A591*'经济参数'!$E$21)*G591,0)</x:f>
        <x:v>11880</x:v>
      </x:c>
      <x:c r="O591" s="119" t="n">
        <x:f>ROUNDDOWN(MIN('经济参数'!$E$24,'经济参数'!$E$22+A591*'经济参数'!$E$23)*G591,0)</x:f>
        <x:v>0</x:v>
      </x:c>
      <x:c r="P591" s="119" t="n">
        <x:f>ROUNDDOWN((IF(A591&gt;='材料与任务'!$E$31,'材料与任务'!$E$32,IF(A591&gt;='材料与任务'!$E$25,'材料与任务'!$E$26,IF(A591&gt;='材料与任务'!$E$19,'材料与任务'!$E$20,IF(A591&gt;='材料与任务'!$E$13,'材料与任务'!$E$14,'材料与任务'!$E$8)))))*G591,0)</x:f>
        <x:v>6</x:v>
      </x:c>
      <x:c r="Q591" s="119" t="n">
        <x:f>ROUNDDOWN((IF(A591&gt;='材料与任务'!$E$31,'材料与任务'!$E$33,IF(A591&gt;='材料与任务'!$E$25,'材料与任务'!$E$27,IF(A591&gt;='材料与任务'!$E$19,'材料与任务'!$E$21,IF(A591&gt;='材料与任务'!$E$13,'材料与任务'!$E$15,'材料与任务'!$E$9)))))*G591,0)</x:f>
        <x:v>3</x:v>
      </x:c>
      <x:c r="R591" s="110" t="n">
        <x:f>'装备掉落'!$B$38</x:f>
        <x:v>0.6872058758851213</x:v>
      </x:c>
      <x:c r="S591" s="119" t="n">
        <x:f>MAX(IF(VLOOKUP(A591,'装备掉落'!$A$29:$H$34,2,TRUE)&gt;0,1,0),IF(VLOOKUP(A591,'装备掉落'!$A$29:$H$34,3,TRUE)&gt;0,2,0),IF(VLOOKUP(A591,'装备掉落'!$A$29:$H$34,4,TRUE)&gt;0,3,0),IF(VLOOKUP(A591,'装备掉落'!$A$29:$H$34,5,TRUE)&gt;0,4,0),IF(VLOOKUP(A591,'装备掉落'!$A$29:$H$34,6,TRUE)&gt;0,5,0),IF(VLOOKUP(A591,'装备掉落'!$A$29:$H$34,7,TRUE)&gt;0,6,0),IF(VLOOKUP(A591,'装备掉落'!$A$29:$H$34,8,TRUE)&gt;0,7,0))</x:f>
        <x:v>7</x:v>
      </x:c>
      <x:c r="T591" s="119" t="n">
        <x:f>MIN(7,S591+'经济参数'!$E$70)</x:f>
        <x:v>7</x:v>
      </x:c>
      <x:c r="U591" s="119" t="n">
        <x:f>MIN(7,S591+'经济参数'!$E$71)</x:f>
        <x:v>7</x:v>
      </x:c>
      <x:c r="V591" s="119" t="n">
        <x:f>IF(H591&gt;=('难度参数'!$E$52),1,0)+IF(H591&gt;=('难度参数'!$E$52+'难度参数'!$E$53),1,0)+IF(H591&gt;=('难度参数'!$E$52+'难度参数'!$E$53+'难度参数'!$E$54),1,0)+IF(H591&gt;=('难度参数'!$E$52+'难度参数'!$E$53+'难度参数'!$E$54+'难度参数'!$E$55),1,0)+IF(H591&gt;=('难度参数'!$E$52+'难度参数'!$E$53+'难度参数'!$E$54+'难度参数'!$E$55+'难度参数'!$E$56),1,0)+IF(H591&gt;=('难度参数'!$E$52+'难度参数'!$E$53+'难度参数'!$E$54+'难度参数'!$E$55+'难度参数'!$E$56+'难度参数'!$E$57),1,0)</x:f>
        <x:v>6</x:v>
      </x:c>
      <x:c r="W591" s="62" t="str">
        <x:f>IF(L591&gt;'难度参数'!$E$51,"仅出怪已超目标","还需实测")</x:f>
        <x:v>仅出怪已超目标</x:v>
      </x:c>
      <x:c r="X591" s="119" t="n">
        <x:f>IF(1&gt;D591,0,MAX(2,MIN('难度参数'!$E$12,ROUND(('难度参数'!$E$18*POWER(A591,'难度参数'!$E$19)/D591*(0.85+0.3*(1-1)/MAX(1,D591-1))),0)+F591)))</x:f>
        <x:v>37</x:v>
      </x:c>
      <x:c r="Y591" s="119" t="n">
        <x:f>IF(1&gt;D591,0,ROUND(('难度参数'!$E$13*POWER(A591,'难度参数'!$E$20)*MIN('难度参数'!$E$23,1+MAX(0,A591-'难度参数'!$E$21)*'难度参数'!$E$22))*(36+1*7)/(36+7*(D591+1)/2)*E591,0))</x:f>
        <x:v>8912</x:v>
      </x:c>
      <x:c r="Z591" s="119" t="n">
        <x:f>IF(X591=0,0,(X591-IF(1=D591,1,0))*ROUND(Y591*VLOOKUP(INDEX('章节与怪物'!$E$31:$K$37,B591,1),'章节与怪物'!$A$41:$F$44,2,FALSE),0)+IF(1=D591,ROUND(Y591*'难度参数'!$E$28*'章节与怪物'!$E$17,0),0))</x:f>
        <x:v>329744</x:v>
      </x:c>
      <x:c r="AA591" s="119" t="n">
        <x:f>IF(X591=0,0,(X591-IF(1=D591,1,0))*VLOOKUP(INDEX('章节与怪物'!$E$31:$K$37,B591,1),'章节与怪物'!$A$41:$F$44,4,FALSE)+IF(1=D591,'难度参数'!$E$30,0))</x:f>
        <x:v>666</x:v>
      </x:c>
      <x:c r="AB591" s="119" t="n">
        <x:f>IF(2&gt;D591,0,MAX(2,MIN('难度参数'!$E$12,ROUND(('难度参数'!$E$18*POWER(A591,'难度参数'!$E$19)/D591*(0.85+0.3*(2-1)/MAX(1,D591-1))),0)+F591)))</x:f>
        <x:v>39</x:v>
      </x:c>
      <x:c r="AC591" s="119" t="n">
        <x:f>IF(2&gt;D591,0,ROUND(('难度参数'!$E$13*POWER(A591,'难度参数'!$E$20)*MIN('难度参数'!$E$23,1+MAX(0,A591-'难度参数'!$E$21)*'难度参数'!$E$22))*(36+2*7)/(36+7*(D591+1)/2)*E591,0))</x:f>
        <x:v>10363</x:v>
      </x:c>
      <x:c r="AD591" s="119" t="n">
        <x:f>IF(AB591=0,0,(AB591-IF(2=D591,1,0))*ROUND(AC591*VLOOKUP(INDEX('章节与怪物'!$E$31:$K$37,B591,2),'章节与怪物'!$A$41:$F$44,2,FALSE),0)+IF(2=D591,ROUND(AC591*'难度参数'!$E$28*'章节与怪物'!$E$17,0),0))</x:f>
        <x:v>290979</x:v>
      </x:c>
      <x:c r="AE591" s="119" t="n">
        <x:f>IF(AB591=0,0,(AB591-IF(2=D591,1,0))*VLOOKUP(INDEX('章节与怪物'!$E$31:$K$37,B591,2),'章节与怪物'!$A$41:$F$44,4,FALSE)+IF(2=D591,'难度参数'!$E$30,0))</x:f>
        <x:v>780</x:v>
      </x:c>
      <x:c r="AF591" s="119" t="n">
        <x:f>IF(3&gt;D591,0,MAX(2,MIN('难度参数'!$E$12,ROUND(('难度参数'!$E$18*POWER(A591,'难度参数'!$E$19)/D591*(0.85+0.3*(3-1)/MAX(1,D591-1))),0)+F591)))</x:f>
        <x:v>42</x:v>
      </x:c>
      <x:c r="AG591" s="119" t="n">
        <x:f>IF(3&gt;D591,0,ROUND(('难度参数'!$E$13*POWER(A591,'难度参数'!$E$20)*MIN('难度参数'!$E$23,1+MAX(0,A591-'难度参数'!$E$21)*'难度参数'!$E$22))*(36+3*7)/(36+7*(D591+1)/2)*E591,0))</x:f>
        <x:v>11814</x:v>
      </x:c>
      <x:c r="AH591" s="119" t="n">
        <x:f>IF(AF591=0,0,(AF591-IF(3=D591,1,0))*ROUND(AG591*VLOOKUP(INDEX('章节与怪物'!$E$31:$K$37,B591,3),'章节与怪物'!$A$41:$F$44,2,FALSE),0)+IF(3=D591,ROUND(AG591*'难度参数'!$E$28*'章节与怪物'!$E$17,0),0))</x:f>
        <x:v>843528</x:v>
      </x:c>
      <x:c r="AI591" s="119" t="n">
        <x:f>IF(AF591=0,0,(AF591-IF(3=D591,1,0))*VLOOKUP(INDEX('章节与怪物'!$E$31:$K$37,B591,3),'章节与怪物'!$A$41:$F$44,4,FALSE)+IF(3=D591,'难度参数'!$E$30,0))</x:f>
        <x:v>1176</x:v>
      </x:c>
      <x:c r="AJ591" s="119" t="n">
        <x:f>IF(4&gt;D591,0,MAX(2,MIN('难度参数'!$E$12,ROUND(('难度参数'!$E$18*POWER(A591,'难度参数'!$E$19)/D591*(0.85+0.3*(4-1)/MAX(1,D591-1))),0)+F591)))</x:f>
        <x:v>44</x:v>
      </x:c>
      <x:c r="AK591" s="119" t="n">
        <x:f>IF(4&gt;D591,0,ROUND(('难度参数'!$E$13*POWER(A591,'难度参数'!$E$20)*MIN('难度参数'!$E$23,1+MAX(0,A591-'难度参数'!$E$21)*'难度参数'!$E$22))*(36+4*7)/(36+7*(D591+1)/2)*E591,0))</x:f>
        <x:v>13264</x:v>
      </x:c>
      <x:c r="AL591" s="119" t="n">
        <x:f>IF(AJ591=0,0,(AJ591-IF(4=D591,1,0))*ROUND(AK591*VLOOKUP(INDEX('章节与怪物'!$E$31:$K$37,B591,4),'章节与怪物'!$A$41:$F$44,2,FALSE),0)+IF(4=D591,ROUND(AK591*'难度参数'!$E$28*'章节与怪物'!$E$17,0),0))</x:f>
        <x:v>787864</x:v>
      </x:c>
      <x:c r="AM591" s="119" t="n">
        <x:f>IF(AJ591=0,0,(AJ591-IF(4=D591,1,0))*VLOOKUP(INDEX('章节与怪物'!$E$31:$K$37,B591,4),'章节与怪物'!$A$41:$F$44,4,FALSE)+IF(4=D591,'难度参数'!$E$30,0))</x:f>
        <x:v>1496</x:v>
      </x:c>
      <x:c r="AN591" s="119" t="n">
        <x:f>IF(5&gt;D591,0,MAX(2,MIN('难度参数'!$E$12,ROUND(('难度参数'!$E$18*POWER(A591,'难度参数'!$E$19)/D591*(0.85+0.3*(5-1)/MAX(1,D591-1))),0)+F591)))</x:f>
        <x:v>46</x:v>
      </x:c>
      <x:c r="AO591" s="119" t="n">
        <x:f>IF(5&gt;D591,0,ROUND(('难度参数'!$E$13*POWER(A591,'难度参数'!$E$20)*MIN('难度参数'!$E$23,1+MAX(0,A591-'难度参数'!$E$21)*'难度参数'!$E$22))*(36+5*7)/(36+7*(D591+1)/2)*E591,0))</x:f>
        <x:v>14715</x:v>
      </x:c>
      <x:c r="AP591" s="119" t="n">
        <x:f>IF(AN591=0,0,(AN591-IF(5=D591,1,0))*ROUND(AO591*VLOOKUP(INDEX('章节与怪物'!$E$31:$K$37,B591,5),'章节与怪物'!$A$41:$F$44,2,FALSE),0)+IF(5=D591,ROUND(AO591*'难度参数'!$E$28*'章节与怪物'!$E$17,0),0))</x:f>
        <x:v>487370</x:v>
      </x:c>
      <x:c r="AQ591" s="119" t="n">
        <x:f>IF(AN591=0,0,(AN591-IF(5=D591,1,0))*VLOOKUP(INDEX('章节与怪物'!$E$31:$K$37,B591,5),'章节与怪物'!$A$41:$F$44,4,FALSE)+IF(5=D591,'难度参数'!$E$30,0))</x:f>
        <x:v>920</x:v>
      </x:c>
      <x:c r="AR591" s="119" t="n">
        <x:f>IF(6&gt;D591,0,MAX(2,MIN('难度参数'!$E$12,ROUND(('难度参数'!$E$18*POWER(A591,'难度参数'!$E$19)/D591*(0.85+0.3*(6-1)/MAX(1,D591-1))),0)+F591)))</x:f>
        <x:v>48</x:v>
      </x:c>
      <x:c r="AS591" s="119" t="n">
        <x:f>IF(6&gt;D591,0,ROUND(('难度参数'!$E$13*POWER(A591,'难度参数'!$E$20)*MIN('难度参数'!$E$23,1+MAX(0,A591-'难度参数'!$E$21)*'难度参数'!$E$22))*(36+6*7)/(36+7*(D591+1)/2)*E591,0))</x:f>
        <x:v>16166</x:v>
      </x:c>
      <x:c r="AT591" s="119" t="n">
        <x:f>IF(AR591=0,0,(AR591-IF(6=D591,1,0))*ROUND(AS591*VLOOKUP(INDEX('章节与怪物'!$E$31:$K$37,B591,6),'章节与怪物'!$A$41:$F$44,2,FALSE),0)+IF(6=D591,ROUND(AS591*'难度参数'!$E$28*'章节与怪物'!$E$17,0),0))</x:f>
        <x:v>1319136</x:v>
      </x:c>
      <x:c r="AU591" s="119" t="n">
        <x:f>IF(AR591=0,0,(AR591-IF(6=D591,1,0))*VLOOKUP(INDEX('章节与怪物'!$E$31:$K$37,B591,6),'章节与怪物'!$A$41:$F$44,4,FALSE)+IF(6=D591,'难度参数'!$E$30,0))</x:f>
        <x:v>1344</x:v>
      </x:c>
      <x:c r="AV591" s="119" t="n">
        <x:f>IF(7&gt;D591,0,MAX(2,MIN('难度参数'!$E$12,ROUND(('难度参数'!$E$18*POWER(A591,'难度参数'!$E$19)/D591*(0.85+0.3*(7-1)/MAX(1,D591-1))),0)+F591)))</x:f>
        <x:v>50</x:v>
      </x:c>
      <x:c r="AW591" s="119" t="n">
        <x:f>IF(7&gt;D591,0,ROUND(('难度参数'!$E$13*POWER(A591,'难度参数'!$E$20)*MIN('难度参数'!$E$23,1+MAX(0,A591-'难度参数'!$E$21)*'难度参数'!$E$22))*(36+7*7)/(36+7*(D591+1)/2)*E591,0))</x:f>
        <x:v>17617</x:v>
      </x:c>
      <x:c r="AX591" s="119" t="n">
        <x:f>IF(AV591=0,0,(AV591-IF(7=D591,1,0))*ROUND(AW591*VLOOKUP(INDEX('章节与怪物'!$E$31:$K$37,B591,7),'章节与怪物'!$A$41:$F$44,2,FALSE),0)+IF(7=D591,ROUND(AW591*'难度参数'!$E$28*'章节与怪物'!$E$17,0),0))</x:f>
        <x:v>1285163</x:v>
      </x:c>
      <x:c r="AY591" s="119" t="n">
        <x:f>IF(AV591=0,0,(AV591-IF(7=D591,1,0))*VLOOKUP(INDEX('章节与怪物'!$E$31:$K$37,B591,7),'章节与怪物'!$A$41:$F$44,4,FALSE)+IF(7=D591,'难度参数'!$E$30,0))</x:f>
        <x:v>1866</x:v>
      </x:c>
    </x:row>
    <x:row r="592" ht="23" customHeight="1">
      <x:c r="A592" s="119" t="n">
        <x:v>586</x:v>
      </x:c>
      <x:c r="B592" s="119" t="n">
        <x:f>MOD(INT((A592-1)/5),7)+1</x:f>
        <x:v>6</x:v>
      </x:c>
      <x:c r="C592" s="62" t="str">
        <x:f>INDEX('章节与怪物'!$B$31:$B$37,B592)</x:f>
        <x:v>熔岩山脉</x:v>
      </x:c>
      <x:c r="D592" s="119" t="n">
        <x:f>MIN('难度参数'!$E$8,MAX('难度参数'!$E$7,A592))</x:f>
        <x:v>7</x:v>
      </x:c>
      <x:c r="E592" s="106" t="n">
        <x:v>1</x:v>
      </x:c>
      <x:c r="F592" s="106" t="n">
        <x:v>0</x:v>
      </x:c>
      <x:c r="G592" s="106" t="n">
        <x:v>1</x:v>
      </x:c>
      <x:c r="H592" s="119" t="n">
        <x:f>SUM(X592,AB592,AF592,AJ592,AN592,AR592,AV592)</x:f>
        <x:v>306</x:v>
      </x:c>
      <x:c r="I592" s="119" t="n">
        <x:f>SUM(Z592,AD592,AH592,AL592,AP592,AT592,AX592)</x:f>
        <x:v>5560964</x:v>
      </x:c>
      <x:c r="J592" s="119" t="n">
        <x:f>ROUND(INDEX(X592:AY592,1,(D592-1)*4+2)*'难度参数'!$E$28*'章节与怪物'!$E$17,0)</x:f>
        <x:v>119938</x:v>
      </x:c>
      <x:c r="K592" s="119" t="n">
        <x:f>SUM(AA592,AE592,AI592,AM592,AQ592,AU592,AY592)</x:f>
        <x:v>8152</x:v>
      </x:c>
      <x:c r="L592" s="62" t="n">
        <x:f>H592*(ROUNDUP('难度参数'!$E$24/('难度参数'!$E$26*'难度参数'!$E$27),0)*'难度参数'!$E$26)/60</x:f>
        <x:v>4.08</x:v>
      </x:c>
      <x:c r="M592" s="62" t="n">
        <x:f>L592+D592*('难度参数'!$E$49+'难度参数'!$E$50)/60</x:f>
        <x:v>5.246666666666667</x:v>
      </x:c>
      <x:c r="N592" s="119" t="n">
        <x:f>ROUNDDOWN(('经济参数'!$E$20+A592*'经济参数'!$E$21)*G592,0)</x:f>
        <x:v>11900</x:v>
      </x:c>
      <x:c r="O592" s="119" t="n">
        <x:f>ROUNDDOWN(MIN('经济参数'!$E$24,'经济参数'!$E$22+A592*'经济参数'!$E$23)*G592,0)</x:f>
        <x:v>0</x:v>
      </x:c>
      <x:c r="P592" s="119" t="n">
        <x:f>ROUNDDOWN((IF(A592&gt;='材料与任务'!$E$31,'材料与任务'!$E$32,IF(A592&gt;='材料与任务'!$E$25,'材料与任务'!$E$26,IF(A592&gt;='材料与任务'!$E$19,'材料与任务'!$E$20,IF(A592&gt;='材料与任务'!$E$13,'材料与任务'!$E$14,'材料与任务'!$E$8)))))*G592,0)</x:f>
        <x:v>6</x:v>
      </x:c>
      <x:c r="Q592" s="119" t="n">
        <x:f>ROUNDDOWN((IF(A592&gt;='材料与任务'!$E$31,'材料与任务'!$E$33,IF(A592&gt;='材料与任务'!$E$25,'材料与任务'!$E$27,IF(A592&gt;='材料与任务'!$E$19,'材料与任务'!$E$21,IF(A592&gt;='材料与任务'!$E$13,'材料与任务'!$E$15,'材料与任务'!$E$9)))))*G592,0)</x:f>
        <x:v>3</x:v>
      </x:c>
      <x:c r="R592" s="110" t="n">
        <x:f>'装备掉落'!$B$38</x:f>
        <x:v>0.6872058758851213</x:v>
      </x:c>
      <x:c r="S592" s="119" t="n">
        <x:f>MAX(IF(VLOOKUP(A592,'装备掉落'!$A$29:$H$34,2,TRUE)&gt;0,1,0),IF(VLOOKUP(A592,'装备掉落'!$A$29:$H$34,3,TRUE)&gt;0,2,0),IF(VLOOKUP(A592,'装备掉落'!$A$29:$H$34,4,TRUE)&gt;0,3,0),IF(VLOOKUP(A592,'装备掉落'!$A$29:$H$34,5,TRUE)&gt;0,4,0),IF(VLOOKUP(A592,'装备掉落'!$A$29:$H$34,6,TRUE)&gt;0,5,0),IF(VLOOKUP(A592,'装备掉落'!$A$29:$H$34,7,TRUE)&gt;0,6,0),IF(VLOOKUP(A592,'装备掉落'!$A$29:$H$34,8,TRUE)&gt;0,7,0))</x:f>
        <x:v>7</x:v>
      </x:c>
      <x:c r="T592" s="119" t="n">
        <x:f>MIN(7,S592+'经济参数'!$E$70)</x:f>
        <x:v>7</x:v>
      </x:c>
      <x:c r="U592" s="119" t="n">
        <x:f>MIN(7,S592+'经济参数'!$E$71)</x:f>
        <x:v>7</x:v>
      </x:c>
      <x:c r="V592" s="119" t="n">
        <x:f>IF(H592&gt;=('难度参数'!$E$52),1,0)+IF(H592&gt;=('难度参数'!$E$52+'难度参数'!$E$53),1,0)+IF(H592&gt;=('难度参数'!$E$52+'难度参数'!$E$53+'难度参数'!$E$54),1,0)+IF(H592&gt;=('难度参数'!$E$52+'难度参数'!$E$53+'难度参数'!$E$54+'难度参数'!$E$55),1,0)+IF(H592&gt;=('难度参数'!$E$52+'难度参数'!$E$53+'难度参数'!$E$54+'难度参数'!$E$55+'难度参数'!$E$56),1,0)+IF(H592&gt;=('难度参数'!$E$52+'难度参数'!$E$53+'难度参数'!$E$54+'难度参数'!$E$55+'难度参数'!$E$56+'难度参数'!$E$57),1,0)</x:f>
        <x:v>6</x:v>
      </x:c>
      <x:c r="W592" s="62" t="str">
        <x:f>IF(L592&gt;'难度参数'!$E$51,"仅出怪已超目标","还需实测")</x:f>
        <x:v>仅出怪已超目标</x:v>
      </x:c>
      <x:c r="X592" s="119" t="n">
        <x:f>IF(1&gt;D592,0,MAX(2,MIN('难度参数'!$E$12,ROUND(('难度参数'!$E$18*POWER(A592,'难度参数'!$E$19)/D592*(0.85+0.3*(1-1)/MAX(1,D592-1))),0)+F592)))</x:f>
        <x:v>37</x:v>
      </x:c>
      <x:c r="Y592" s="119" t="n">
        <x:f>IF(1&gt;D592,0,ROUND(('难度参数'!$E$13*POWER(A592,'难度参数'!$E$20)*MIN('难度参数'!$E$23,1+MAX(0,A592-'难度参数'!$E$21)*'难度参数'!$E$22))*(36+1*7)/(36+7*(D592+1)/2)*E592,0))</x:f>
        <x:v>8923</x:v>
      </x:c>
      <x:c r="Z592" s="119" t="n">
        <x:f>IF(X592=0,0,(X592-IF(1=D592,1,0))*ROUND(Y592*VLOOKUP(INDEX('章节与怪物'!$E$31:$K$37,B592,1),'章节与怪物'!$A$41:$F$44,2,FALSE),0)+IF(1=D592,ROUND(Y592*'难度参数'!$E$28*'章节与怪物'!$E$17,0),0))</x:f>
        <x:v>237725</x:v>
      </x:c>
      <x:c r="AA592" s="119" t="n">
        <x:f>IF(X592=0,0,(X592-IF(1=D592,1,0))*VLOOKUP(INDEX('章节与怪物'!$E$31:$K$37,B592,1),'章节与怪物'!$A$41:$F$44,4,FALSE)+IF(1=D592,'难度参数'!$E$30,0))</x:f>
        <x:v>740</x:v>
      </x:c>
      <x:c r="AB592" s="119" t="n">
        <x:f>IF(2&gt;D592,0,MAX(2,MIN('难度参数'!$E$12,ROUND(('难度参数'!$E$18*POWER(A592,'难度参数'!$E$19)/D592*(0.85+0.3*(2-1)/MAX(1,D592-1))),0)+F592)))</x:f>
        <x:v>39</x:v>
      </x:c>
      <x:c r="AC592" s="119" t="n">
        <x:f>IF(2&gt;D592,0,ROUND(('难度参数'!$E$13*POWER(A592,'难度参数'!$E$20)*MIN('难度参数'!$E$23,1+MAX(0,A592-'难度参数'!$E$21)*'难度参数'!$E$22))*(36+2*7)/(36+7*(D592+1)/2)*E592,0))</x:f>
        <x:v>10376</x:v>
      </x:c>
      <x:c r="AD592" s="119" t="n">
        <x:f>IF(AB592=0,0,(AB592-IF(2=D592,1,0))*ROUND(AC592*VLOOKUP(INDEX('章节与怪物'!$E$31:$K$37,B592,2),'章节与怪物'!$A$41:$F$44,2,FALSE),0)+IF(2=D592,ROUND(AC592*'难度参数'!$E$28*'章节与怪物'!$E$17,0),0))</x:f>
        <x:v>404664</x:v>
      </x:c>
      <x:c r="AE592" s="119" t="n">
        <x:f>IF(AB592=0,0,(AB592-IF(2=D592,1,0))*VLOOKUP(INDEX('章节与怪物'!$E$31:$K$37,B592,2),'章节与怪物'!$A$41:$F$44,4,FALSE)+IF(2=D592,'难度参数'!$E$30,0))</x:f>
        <x:v>702</x:v>
      </x:c>
      <x:c r="AF592" s="119" t="n">
        <x:f>IF(3&gt;D592,0,MAX(2,MIN('难度参数'!$E$12,ROUND(('难度参数'!$E$18*POWER(A592,'难度参数'!$E$19)/D592*(0.85+0.3*(3-1)/MAX(1,D592-1))),0)+F592)))</x:f>
        <x:v>42</x:v>
      </x:c>
      <x:c r="AG592" s="119" t="n">
        <x:f>IF(3&gt;D592,0,ROUND(('难度参数'!$E$13*POWER(A592,'难度参数'!$E$20)*MIN('难度参数'!$E$23,1+MAX(0,A592-'难度参数'!$E$21)*'难度参数'!$E$22))*(36+3*7)/(36+7*(D592+1)/2)*E592,0))</x:f>
        <x:v>11828</x:v>
      </x:c>
      <x:c r="AH592" s="119" t="n">
        <x:f>IF(AF592=0,0,(AF592-IF(3=D592,1,0))*ROUND(AG592*VLOOKUP(INDEX('章节与怪物'!$E$31:$K$37,B592,3),'章节与怪物'!$A$41:$F$44,2,FALSE),0)+IF(3=D592,ROUND(AG592*'难度参数'!$E$28*'章节与怪物'!$E$17,0),0))</x:f>
        <x:v>844536</x:v>
      </x:c>
      <x:c r="AI592" s="119" t="n">
        <x:f>IF(AF592=0,0,(AF592-IF(3=D592,1,0))*VLOOKUP(INDEX('章节与怪物'!$E$31:$K$37,B592,3),'章节与怪物'!$A$41:$F$44,4,FALSE)+IF(3=D592,'难度参数'!$E$30,0))</x:f>
        <x:v>1176</x:v>
      </x:c>
      <x:c r="AJ592" s="119" t="n">
        <x:f>IF(4&gt;D592,0,MAX(2,MIN('难度参数'!$E$12,ROUND(('难度参数'!$E$18*POWER(A592,'难度参数'!$E$19)/D592*(0.85+0.3*(4-1)/MAX(1,D592-1))),0)+F592)))</x:f>
        <x:v>44</x:v>
      </x:c>
      <x:c r="AK592" s="119" t="n">
        <x:f>IF(4&gt;D592,0,ROUND(('难度参数'!$E$13*POWER(A592,'难度参数'!$E$20)*MIN('难度参数'!$E$23,1+MAX(0,A592-'难度参数'!$E$21)*'难度参数'!$E$22))*(36+4*7)/(36+7*(D592+1)/2)*E592,0))</x:f>
        <x:v>13281</x:v>
      </x:c>
      <x:c r="AL592" s="119" t="n">
        <x:f>IF(AJ592=0,0,(AJ592-IF(4=D592,1,0))*ROUND(AK592*VLOOKUP(INDEX('章节与怪物'!$E$31:$K$37,B592,4),'章节与怪物'!$A$41:$F$44,2,FALSE),0)+IF(4=D592,ROUND(AK592*'难度参数'!$E$28*'章节与怪物'!$E$17,0),0))</x:f>
        <x:v>788876</x:v>
      </x:c>
      <x:c r="AM592" s="119" t="n">
        <x:f>IF(AJ592=0,0,(AJ592-IF(4=D592,1,0))*VLOOKUP(INDEX('章节与怪物'!$E$31:$K$37,B592,4),'章节与怪物'!$A$41:$F$44,4,FALSE)+IF(4=D592,'难度参数'!$E$30,0))</x:f>
        <x:v>1496</x:v>
      </x:c>
      <x:c r="AN592" s="119" t="n">
        <x:f>IF(5&gt;D592,0,MAX(2,MIN('难度参数'!$E$12,ROUND(('难度参数'!$E$18*POWER(A592,'难度参数'!$E$19)/D592*(0.85+0.3*(5-1)/MAX(1,D592-1))),0)+F592)))</x:f>
        <x:v>46</x:v>
      </x:c>
      <x:c r="AO592" s="119" t="n">
        <x:f>IF(5&gt;D592,0,ROUND(('难度参数'!$E$13*POWER(A592,'难度参数'!$E$20)*MIN('难度参数'!$E$23,1+MAX(0,A592-'难度参数'!$E$21)*'难度参数'!$E$22))*(36+5*7)/(36+7*(D592+1)/2)*E592,0))</x:f>
        <x:v>14733</x:v>
      </x:c>
      <x:c r="AP592" s="119" t="n">
        <x:f>IF(AN592=0,0,(AN592-IF(5=D592,1,0))*ROUND(AO592*VLOOKUP(INDEX('章节与怪物'!$E$31:$K$37,B592,5),'章节与怪物'!$A$41:$F$44,2,FALSE),0)+IF(5=D592,ROUND(AO592*'难度参数'!$E$28*'章节与怪物'!$E$17,0),0))</x:f>
        <x:v>677718</x:v>
      </x:c>
      <x:c r="AQ592" s="119" t="n">
        <x:f>IF(AN592=0,0,(AN592-IF(5=D592,1,0))*VLOOKUP(INDEX('章节与怪物'!$E$31:$K$37,B592,5),'章节与怪物'!$A$41:$F$44,4,FALSE)+IF(5=D592,'难度参数'!$E$30,0))</x:f>
        <x:v>828</x:v>
      </x:c>
      <x:c r="AR592" s="119" t="n">
        <x:f>IF(6&gt;D592,0,MAX(2,MIN('难度参数'!$E$12,ROUND(('难度参数'!$E$18*POWER(A592,'难度参数'!$E$19)/D592*(0.85+0.3*(6-1)/MAX(1,D592-1))),0)+F592)))</x:f>
        <x:v>48</x:v>
      </x:c>
      <x:c r="AS592" s="119" t="n">
        <x:f>IF(6&gt;D592,0,ROUND(('难度参数'!$E$13*POWER(A592,'难度参数'!$E$20)*MIN('难度参数'!$E$23,1+MAX(0,A592-'难度参数'!$E$21)*'难度参数'!$E$22))*(36+6*7)/(36+7*(D592+1)/2)*E592,0))</x:f>
        <x:v>16186</x:v>
      </x:c>
      <x:c r="AT592" s="119" t="n">
        <x:f>IF(AR592=0,0,(AR592-IF(6=D592,1,0))*ROUND(AS592*VLOOKUP(INDEX('章节与怪物'!$E$31:$K$37,B592,6),'章节与怪物'!$A$41:$F$44,2,FALSE),0)+IF(6=D592,ROUND(AS592*'难度参数'!$E$28*'章节与怪物'!$E$17,0),0))</x:f>
        <x:v>1320768</x:v>
      </x:c>
      <x:c r="AU592" s="119" t="n">
        <x:f>IF(AR592=0,0,(AR592-IF(6=D592,1,0))*VLOOKUP(INDEX('章节与怪物'!$E$31:$K$37,B592,6),'章节与怪物'!$A$41:$F$44,4,FALSE)+IF(6=D592,'难度参数'!$E$30,0))</x:f>
        <x:v>1344</x:v>
      </x:c>
      <x:c r="AV592" s="119" t="n">
        <x:f>IF(7&gt;D592,0,MAX(2,MIN('难度参数'!$E$12,ROUND(('难度参数'!$E$18*POWER(A592,'难度参数'!$E$19)/D592*(0.85+0.3*(7-1)/MAX(1,D592-1))),0)+F592)))</x:f>
        <x:v>50</x:v>
      </x:c>
      <x:c r="AW592" s="119" t="n">
        <x:f>IF(7&gt;D592,0,ROUND(('难度参数'!$E$13*POWER(A592,'难度参数'!$E$20)*MIN('难度参数'!$E$23,1+MAX(0,A592-'难度参数'!$E$21)*'难度参数'!$E$22))*(36+7*7)/(36+7*(D592+1)/2)*E592,0))</x:f>
        <x:v>17638</x:v>
      </x:c>
      <x:c r="AX592" s="119" t="n">
        <x:f>IF(AV592=0,0,(AV592-IF(7=D592,1,0))*ROUND(AW592*VLOOKUP(INDEX('章节与怪物'!$E$31:$K$37,B592,7),'章节与怪物'!$A$41:$F$44,2,FALSE),0)+IF(7=D592,ROUND(AW592*'难度参数'!$E$28*'章节与怪物'!$E$17,0),0))</x:f>
        <x:v>1286677</x:v>
      </x:c>
      <x:c r="AY592" s="119" t="n">
        <x:f>IF(AV592=0,0,(AV592-IF(7=D592,1,0))*VLOOKUP(INDEX('章节与怪物'!$E$31:$K$37,B592,7),'章节与怪物'!$A$41:$F$44,4,FALSE)+IF(7=D592,'难度参数'!$E$30,0))</x:f>
        <x:v>1866</x:v>
      </x:c>
    </x:row>
    <x:row r="593" ht="23" customHeight="1">
      <x:c r="A593" s="119" t="n">
        <x:v>587</x:v>
      </x:c>
      <x:c r="B593" s="119" t="n">
        <x:f>MOD(INT((A593-1)/5),7)+1</x:f>
        <x:v>6</x:v>
      </x:c>
      <x:c r="C593" s="62" t="str">
        <x:f>INDEX('章节与怪物'!$B$31:$B$37,B593)</x:f>
        <x:v>熔岩山脉</x:v>
      </x:c>
      <x:c r="D593" s="119" t="n">
        <x:f>MIN('难度参数'!$E$8,MAX('难度参数'!$E$7,A593))</x:f>
        <x:v>7</x:v>
      </x:c>
      <x:c r="E593" s="106" t="n">
        <x:v>1</x:v>
      </x:c>
      <x:c r="F593" s="106" t="n">
        <x:v>0</x:v>
      </x:c>
      <x:c r="G593" s="106" t="n">
        <x:v>1</x:v>
      </x:c>
      <x:c r="H593" s="119" t="n">
        <x:f>SUM(X593,AB593,AF593,AJ593,AN593,AR593,AV593)</x:f>
        <x:v>307</x:v>
      </x:c>
      <x:c r="I593" s="119" t="n">
        <x:f>SUM(Z593,AD593,AH593,AL593,AP593,AT593,AX593)</x:f>
        <x:v>5578177</x:v>
      </x:c>
      <x:c r="J593" s="119" t="n">
        <x:f>ROUND(INDEX(X593:AY593,1,(D593-1)*4+2)*'难度参数'!$E$28*'章节与怪物'!$E$17,0)</x:f>
        <x:v>120088</x:v>
      </x:c>
      <x:c r="K593" s="119" t="n">
        <x:f>SUM(AA593,AE593,AI593,AM593,AQ593,AU593,AY593)</x:f>
        <x:v>8170</x:v>
      </x:c>
      <x:c r="L593" s="62" t="n">
        <x:f>H593*(ROUNDUP('难度参数'!$E$24/('难度参数'!$E$26*'难度参数'!$E$27),0)*'难度参数'!$E$26)/60</x:f>
        <x:v>4.093333333333334</x:v>
      </x:c>
      <x:c r="M593" s="62" t="n">
        <x:f>L593+D593*('难度参数'!$E$49+'难度参数'!$E$50)/60</x:f>
        <x:v>5.260000000000001</x:v>
      </x:c>
      <x:c r="N593" s="119" t="n">
        <x:f>ROUNDDOWN(('经济参数'!$E$20+A593*'经济参数'!$E$21)*G593,0)</x:f>
        <x:v>11920</x:v>
      </x:c>
      <x:c r="O593" s="119" t="n">
        <x:f>ROUNDDOWN(MIN('经济参数'!$E$24,'经济参数'!$E$22+A593*'经济参数'!$E$23)*G593,0)</x:f>
        <x:v>0</x:v>
      </x:c>
      <x:c r="P593" s="119" t="n">
        <x:f>ROUNDDOWN((IF(A593&gt;='材料与任务'!$E$31,'材料与任务'!$E$32,IF(A593&gt;='材料与任务'!$E$25,'材料与任务'!$E$26,IF(A593&gt;='材料与任务'!$E$19,'材料与任务'!$E$20,IF(A593&gt;='材料与任务'!$E$13,'材料与任务'!$E$14,'材料与任务'!$E$8)))))*G593,0)</x:f>
        <x:v>6</x:v>
      </x:c>
      <x:c r="Q593" s="119" t="n">
        <x:f>ROUNDDOWN((IF(A593&gt;='材料与任务'!$E$31,'材料与任务'!$E$33,IF(A593&gt;='材料与任务'!$E$25,'材料与任务'!$E$27,IF(A593&gt;='材料与任务'!$E$19,'材料与任务'!$E$21,IF(A593&gt;='材料与任务'!$E$13,'材料与任务'!$E$15,'材料与任务'!$E$9)))))*G593,0)</x:f>
        <x:v>3</x:v>
      </x:c>
      <x:c r="R593" s="110" t="n">
        <x:f>'装备掉落'!$B$38</x:f>
        <x:v>0.6872058758851213</x:v>
      </x:c>
      <x:c r="S593" s="119" t="n">
        <x:f>MAX(IF(VLOOKUP(A593,'装备掉落'!$A$29:$H$34,2,TRUE)&gt;0,1,0),IF(VLOOKUP(A593,'装备掉落'!$A$29:$H$34,3,TRUE)&gt;0,2,0),IF(VLOOKUP(A593,'装备掉落'!$A$29:$H$34,4,TRUE)&gt;0,3,0),IF(VLOOKUP(A593,'装备掉落'!$A$29:$H$34,5,TRUE)&gt;0,4,0),IF(VLOOKUP(A593,'装备掉落'!$A$29:$H$34,6,TRUE)&gt;0,5,0),IF(VLOOKUP(A593,'装备掉落'!$A$29:$H$34,7,TRUE)&gt;0,6,0),IF(VLOOKUP(A593,'装备掉落'!$A$29:$H$34,8,TRUE)&gt;0,7,0))</x:f>
        <x:v>7</x:v>
      </x:c>
      <x:c r="T593" s="119" t="n">
        <x:f>MIN(7,S593+'经济参数'!$E$70)</x:f>
        <x:v>7</x:v>
      </x:c>
      <x:c r="U593" s="119" t="n">
        <x:f>MIN(7,S593+'经济参数'!$E$71)</x:f>
        <x:v>7</x:v>
      </x:c>
      <x:c r="V593" s="119" t="n">
        <x:f>IF(H593&gt;=('难度参数'!$E$52),1,0)+IF(H593&gt;=('难度参数'!$E$52+'难度参数'!$E$53),1,0)+IF(H593&gt;=('难度参数'!$E$52+'难度参数'!$E$53+'难度参数'!$E$54),1,0)+IF(H593&gt;=('难度参数'!$E$52+'难度参数'!$E$53+'难度参数'!$E$54+'难度参数'!$E$55),1,0)+IF(H593&gt;=('难度参数'!$E$52+'难度参数'!$E$53+'难度参数'!$E$54+'难度参数'!$E$55+'难度参数'!$E$56),1,0)+IF(H593&gt;=('难度参数'!$E$52+'难度参数'!$E$53+'难度参数'!$E$54+'难度参数'!$E$55+'难度参数'!$E$56+'难度参数'!$E$57),1,0)</x:f>
        <x:v>6</x:v>
      </x:c>
      <x:c r="W593" s="62" t="str">
        <x:f>IF(L593&gt;'难度参数'!$E$51,"仅出怪已超目标","还需实测")</x:f>
        <x:v>仅出怪已超目标</x:v>
      </x:c>
      <x:c r="X593" s="119" t="n">
        <x:f>IF(1&gt;D593,0,MAX(2,MIN('难度参数'!$E$12,ROUND(('难度参数'!$E$18*POWER(A593,'难度参数'!$E$19)/D593*(0.85+0.3*(1-1)/MAX(1,D593-1))),0)+F593)))</x:f>
        <x:v>37</x:v>
      </x:c>
      <x:c r="Y593" s="119" t="n">
        <x:f>IF(1&gt;D593,0,ROUND(('难度参数'!$E$13*POWER(A593,'难度参数'!$E$20)*MIN('难度参数'!$E$23,1+MAX(0,A593-'难度参数'!$E$21)*'难度参数'!$E$22))*(36+1*7)/(36+7*(D593+1)/2)*E593,0))</x:f>
        <x:v>8934</x:v>
      </x:c>
      <x:c r="Z593" s="119" t="n">
        <x:f>IF(X593=0,0,(X593-IF(1=D593,1,0))*ROUND(Y593*VLOOKUP(INDEX('章节与怪物'!$E$31:$K$37,B593,1),'章节与怪物'!$A$41:$F$44,2,FALSE),0)+IF(1=D593,ROUND(Y593*'难度参数'!$E$28*'章节与怪物'!$E$17,0),0))</x:f>
        <x:v>237984</x:v>
      </x:c>
      <x:c r="AA593" s="119" t="n">
        <x:f>IF(X593=0,0,(X593-IF(1=D593,1,0))*VLOOKUP(INDEX('章节与怪物'!$E$31:$K$37,B593,1),'章节与怪物'!$A$41:$F$44,4,FALSE)+IF(1=D593,'难度参数'!$E$30,0))</x:f>
        <x:v>740</x:v>
      </x:c>
      <x:c r="AB593" s="119" t="n">
        <x:f>IF(2&gt;D593,0,MAX(2,MIN('难度参数'!$E$12,ROUND(('难度参数'!$E$18*POWER(A593,'难度参数'!$E$19)/D593*(0.85+0.3*(2-1)/MAX(1,D593-1))),0)+F593)))</x:f>
        <x:v>40</x:v>
      </x:c>
      <x:c r="AC593" s="119" t="n">
        <x:f>IF(2&gt;D593,0,ROUND(('难度参数'!$E$13*POWER(A593,'难度参数'!$E$20)*MIN('难度参数'!$E$23,1+MAX(0,A593-'难度参数'!$E$21)*'难度参数'!$E$22))*(36+2*7)/(36+7*(D593+1)/2)*E593,0))</x:f>
        <x:v>10388</x:v>
      </x:c>
      <x:c r="AD593" s="119" t="n">
        <x:f>IF(AB593=0,0,(AB593-IF(2=D593,1,0))*ROUND(AC593*VLOOKUP(INDEX('章节与怪物'!$E$31:$K$37,B593,2),'章节与怪物'!$A$41:$F$44,2,FALSE),0)+IF(2=D593,ROUND(AC593*'难度参数'!$E$28*'章节与怪物'!$E$17,0),0))</x:f>
        <x:v>415520</x:v>
      </x:c>
      <x:c r="AE593" s="119" t="n">
        <x:f>IF(AB593=0,0,(AB593-IF(2=D593,1,0))*VLOOKUP(INDEX('章节与怪物'!$E$31:$K$37,B593,2),'章节与怪物'!$A$41:$F$44,4,FALSE)+IF(2=D593,'难度参数'!$E$30,0))</x:f>
        <x:v>720</x:v>
      </x:c>
      <x:c r="AF593" s="119" t="n">
        <x:f>IF(3&gt;D593,0,MAX(2,MIN('难度参数'!$E$12,ROUND(('难度参数'!$E$18*POWER(A593,'难度参数'!$E$19)/D593*(0.85+0.3*(3-1)/MAX(1,D593-1))),0)+F593)))</x:f>
        <x:v>42</x:v>
      </x:c>
      <x:c r="AG593" s="119" t="n">
        <x:f>IF(3&gt;D593,0,ROUND(('难度参数'!$E$13*POWER(A593,'难度参数'!$E$20)*MIN('难度参数'!$E$23,1+MAX(0,A593-'难度参数'!$E$21)*'难度参数'!$E$22))*(36+3*7)/(36+7*(D593+1)/2)*E593,0))</x:f>
        <x:v>11843</x:v>
      </x:c>
      <x:c r="AH593" s="119" t="n">
        <x:f>IF(AF593=0,0,(AF593-IF(3=D593,1,0))*ROUND(AG593*VLOOKUP(INDEX('章节与怪物'!$E$31:$K$37,B593,3),'章节与怪物'!$A$41:$F$44,2,FALSE),0)+IF(3=D593,ROUND(AG593*'难度参数'!$E$28*'章节与怪物'!$E$17,0),0))</x:f>
        <x:v>845586</x:v>
      </x:c>
      <x:c r="AI593" s="119" t="n">
        <x:f>IF(AF593=0,0,(AF593-IF(3=D593,1,0))*VLOOKUP(INDEX('章节与怪物'!$E$31:$K$37,B593,3),'章节与怪物'!$A$41:$F$44,4,FALSE)+IF(3=D593,'难度参数'!$E$30,0))</x:f>
        <x:v>1176</x:v>
      </x:c>
      <x:c r="AJ593" s="119" t="n">
        <x:f>IF(4&gt;D593,0,MAX(2,MIN('难度参数'!$E$12,ROUND(('难度参数'!$E$18*POWER(A593,'难度参数'!$E$19)/D593*(0.85+0.3*(4-1)/MAX(1,D593-1))),0)+F593)))</x:f>
        <x:v>44</x:v>
      </x:c>
      <x:c r="AK593" s="119" t="n">
        <x:f>IF(4&gt;D593,0,ROUND(('难度参数'!$E$13*POWER(A593,'难度参数'!$E$20)*MIN('难度参数'!$E$23,1+MAX(0,A593-'难度参数'!$E$21)*'难度参数'!$E$22))*(36+4*7)/(36+7*(D593+1)/2)*E593,0))</x:f>
        <x:v>13297</x:v>
      </x:c>
      <x:c r="AL593" s="119" t="n">
        <x:f>IF(AJ593=0,0,(AJ593-IF(4=D593,1,0))*ROUND(AK593*VLOOKUP(INDEX('章节与怪物'!$E$31:$K$37,B593,4),'章节与怪物'!$A$41:$F$44,2,FALSE),0)+IF(4=D593,ROUND(AK593*'难度参数'!$E$28*'章节与怪物'!$E$17,0),0))</x:f>
        <x:v>789844</x:v>
      </x:c>
      <x:c r="AM593" s="119" t="n">
        <x:f>IF(AJ593=0,0,(AJ593-IF(4=D593,1,0))*VLOOKUP(INDEX('章节与怪物'!$E$31:$K$37,B593,4),'章节与怪物'!$A$41:$F$44,4,FALSE)+IF(4=D593,'难度参数'!$E$30,0))</x:f>
        <x:v>1496</x:v>
      </x:c>
      <x:c r="AN593" s="119" t="n">
        <x:f>IF(5&gt;D593,0,MAX(2,MIN('难度参数'!$E$12,ROUND(('难度参数'!$E$18*POWER(A593,'难度参数'!$E$19)/D593*(0.85+0.3*(5-1)/MAX(1,D593-1))),0)+F593)))</x:f>
        <x:v>46</x:v>
      </x:c>
      <x:c r="AO593" s="119" t="n">
        <x:f>IF(5&gt;D593,0,ROUND(('难度参数'!$E$13*POWER(A593,'难度参数'!$E$20)*MIN('难度参数'!$E$23,1+MAX(0,A593-'难度参数'!$E$21)*'难度参数'!$E$22))*(36+5*7)/(36+7*(D593+1)/2)*E593,0))</x:f>
        <x:v>14751</x:v>
      </x:c>
      <x:c r="AP593" s="119" t="n">
        <x:f>IF(AN593=0,0,(AN593-IF(5=D593,1,0))*ROUND(AO593*VLOOKUP(INDEX('章节与怪物'!$E$31:$K$37,B593,5),'章节与怪物'!$A$41:$F$44,2,FALSE),0)+IF(5=D593,ROUND(AO593*'难度参数'!$E$28*'章节与怪物'!$E$17,0),0))</x:f>
        <x:v>678546</x:v>
      </x:c>
      <x:c r="AQ593" s="119" t="n">
        <x:f>IF(AN593=0,0,(AN593-IF(5=D593,1,0))*VLOOKUP(INDEX('章节与怪物'!$E$31:$K$37,B593,5),'章节与怪物'!$A$41:$F$44,4,FALSE)+IF(5=D593,'难度参数'!$E$30,0))</x:f>
        <x:v>828</x:v>
      </x:c>
      <x:c r="AR593" s="119" t="n">
        <x:f>IF(6&gt;D593,0,MAX(2,MIN('难度参数'!$E$12,ROUND(('难度参数'!$E$18*POWER(A593,'难度参数'!$E$19)/D593*(0.85+0.3*(6-1)/MAX(1,D593-1))),0)+F593)))</x:f>
        <x:v>48</x:v>
      </x:c>
      <x:c r="AS593" s="119" t="n">
        <x:f>IF(6&gt;D593,0,ROUND(('难度参数'!$E$13*POWER(A593,'难度参数'!$E$20)*MIN('难度参数'!$E$23,1+MAX(0,A593-'难度参数'!$E$21)*'难度参数'!$E$22))*(36+6*7)/(36+7*(D593+1)/2)*E593,0))</x:f>
        <x:v>16206</x:v>
      </x:c>
      <x:c r="AT593" s="119" t="n">
        <x:f>IF(AR593=0,0,(AR593-IF(6=D593,1,0))*ROUND(AS593*VLOOKUP(INDEX('章节与怪物'!$E$31:$K$37,B593,6),'章节与怪物'!$A$41:$F$44,2,FALSE),0)+IF(6=D593,ROUND(AS593*'难度参数'!$E$28*'章节与怪物'!$E$17,0),0))</x:f>
        <x:v>1322400</x:v>
      </x:c>
      <x:c r="AU593" s="119" t="n">
        <x:f>IF(AR593=0,0,(AR593-IF(6=D593,1,0))*VLOOKUP(INDEX('章节与怪物'!$E$31:$K$37,B593,6),'章节与怪物'!$A$41:$F$44,4,FALSE)+IF(6=D593,'难度参数'!$E$30,0))</x:f>
        <x:v>1344</x:v>
      </x:c>
      <x:c r="AV593" s="119" t="n">
        <x:f>IF(7&gt;D593,0,MAX(2,MIN('难度参数'!$E$12,ROUND(('难度参数'!$E$18*POWER(A593,'难度参数'!$E$19)/D593*(0.85+0.3*(7-1)/MAX(1,D593-1))),0)+F593)))</x:f>
        <x:v>50</x:v>
      </x:c>
      <x:c r="AW593" s="119" t="n">
        <x:f>IF(7&gt;D593,0,ROUND(('难度参数'!$E$13*POWER(A593,'难度参数'!$E$20)*MIN('难度参数'!$E$23,1+MAX(0,A593-'难度参数'!$E$21)*'难度参数'!$E$22))*(36+7*7)/(36+7*(D593+1)/2)*E593,0))</x:f>
        <x:v>17660</x:v>
      </x:c>
      <x:c r="AX593" s="119" t="n">
        <x:f>IF(AV593=0,0,(AV593-IF(7=D593,1,0))*ROUND(AW593*VLOOKUP(INDEX('章节与怪物'!$E$31:$K$37,B593,7),'章节与怪物'!$A$41:$F$44,2,FALSE),0)+IF(7=D593,ROUND(AW593*'难度参数'!$E$28*'章节与怪物'!$E$17,0),0))</x:f>
        <x:v>1288297</x:v>
      </x:c>
      <x:c r="AY593" s="119" t="n">
        <x:f>IF(AV593=0,0,(AV593-IF(7=D593,1,0))*VLOOKUP(INDEX('章节与怪物'!$E$31:$K$37,B593,7),'章节与怪物'!$A$41:$F$44,4,FALSE)+IF(7=D593,'难度参数'!$E$30,0))</x:f>
        <x:v>1866</x:v>
      </x:c>
    </x:row>
    <x:row r="594" ht="23" customHeight="1">
      <x:c r="A594" s="119" t="n">
        <x:v>588</x:v>
      </x:c>
      <x:c r="B594" s="119" t="n">
        <x:f>MOD(INT((A594-1)/5),7)+1</x:f>
        <x:v>6</x:v>
      </x:c>
      <x:c r="C594" s="62" t="str">
        <x:f>INDEX('章节与怪物'!$B$31:$B$37,B594)</x:f>
        <x:v>熔岩山脉</x:v>
      </x:c>
      <x:c r="D594" s="119" t="n">
        <x:f>MIN('难度参数'!$E$8,MAX('难度参数'!$E$7,A594))</x:f>
        <x:v>7</x:v>
      </x:c>
      <x:c r="E594" s="106" t="n">
        <x:v>1</x:v>
      </x:c>
      <x:c r="F594" s="106" t="n">
        <x:v>0</x:v>
      </x:c>
      <x:c r="G594" s="106" t="n">
        <x:v>1</x:v>
      </x:c>
      <x:c r="H594" s="119" t="n">
        <x:f>SUM(X594,AB594,AF594,AJ594,AN594,AR594,AV594)</x:f>
        <x:v>308</x:v>
      </x:c>
      <x:c r="I594" s="119" t="n">
        <x:f>SUM(Z594,AD594,AH594,AL594,AP594,AT594,AX594)</x:f>
        <x:v>5608920</x:v>
      </x:c>
      <x:c r="J594" s="119" t="n">
        <x:f>ROUND(INDEX(X594:AY594,1,(D594-1)*4+2)*'难度参数'!$E$28*'章节与怪物'!$E$17,0)</x:f>
        <x:v>120238</x:v>
      </x:c>
      <x:c r="K594" s="119" t="n">
        <x:f>SUM(AA594,AE594,AI594,AM594,AQ594,AU594,AY594)</x:f>
        <x:v>8204</x:v>
      </x:c>
      <x:c r="L594" s="62" t="n">
        <x:f>H594*(ROUNDUP('难度参数'!$E$24/('难度参数'!$E$26*'难度参数'!$E$27),0)*'难度参数'!$E$26)/60</x:f>
        <x:v>4.1066666666666665</x:v>
      </x:c>
      <x:c r="M594" s="62" t="n">
        <x:f>L594+D594*('难度参数'!$E$49+'难度参数'!$E$50)/60</x:f>
        <x:v>5.273333333333333</x:v>
      </x:c>
      <x:c r="N594" s="119" t="n">
        <x:f>ROUNDDOWN(('经济参数'!$E$20+A594*'经济参数'!$E$21)*G594,0)</x:f>
        <x:v>11940</x:v>
      </x:c>
      <x:c r="O594" s="119" t="n">
        <x:f>ROUNDDOWN(MIN('经济参数'!$E$24,'经济参数'!$E$22+A594*'经济参数'!$E$23)*G594,0)</x:f>
        <x:v>0</x:v>
      </x:c>
      <x:c r="P594" s="119" t="n">
        <x:f>ROUNDDOWN((IF(A594&gt;='材料与任务'!$E$31,'材料与任务'!$E$32,IF(A594&gt;='材料与任务'!$E$25,'材料与任务'!$E$26,IF(A594&gt;='材料与任务'!$E$19,'材料与任务'!$E$20,IF(A594&gt;='材料与任务'!$E$13,'材料与任务'!$E$14,'材料与任务'!$E$8)))))*G594,0)</x:f>
        <x:v>6</x:v>
      </x:c>
      <x:c r="Q594" s="119" t="n">
        <x:f>ROUNDDOWN((IF(A594&gt;='材料与任务'!$E$31,'材料与任务'!$E$33,IF(A594&gt;='材料与任务'!$E$25,'材料与任务'!$E$27,IF(A594&gt;='材料与任务'!$E$19,'材料与任务'!$E$21,IF(A594&gt;='材料与任务'!$E$13,'材料与任务'!$E$15,'材料与任务'!$E$9)))))*G594,0)</x:f>
        <x:v>3</x:v>
      </x:c>
      <x:c r="R594" s="110" t="n">
        <x:f>'装备掉落'!$B$38</x:f>
        <x:v>0.6872058758851213</x:v>
      </x:c>
      <x:c r="S594" s="119" t="n">
        <x:f>MAX(IF(VLOOKUP(A594,'装备掉落'!$A$29:$H$34,2,TRUE)&gt;0,1,0),IF(VLOOKUP(A594,'装备掉落'!$A$29:$H$34,3,TRUE)&gt;0,2,0),IF(VLOOKUP(A594,'装备掉落'!$A$29:$H$34,4,TRUE)&gt;0,3,0),IF(VLOOKUP(A594,'装备掉落'!$A$29:$H$34,5,TRUE)&gt;0,4,0),IF(VLOOKUP(A594,'装备掉落'!$A$29:$H$34,6,TRUE)&gt;0,5,0),IF(VLOOKUP(A594,'装备掉落'!$A$29:$H$34,7,TRUE)&gt;0,6,0),IF(VLOOKUP(A594,'装备掉落'!$A$29:$H$34,8,TRUE)&gt;0,7,0))</x:f>
        <x:v>7</x:v>
      </x:c>
      <x:c r="T594" s="119" t="n">
        <x:f>MIN(7,S594+'经济参数'!$E$70)</x:f>
        <x:v>7</x:v>
      </x:c>
      <x:c r="U594" s="119" t="n">
        <x:f>MIN(7,S594+'经济参数'!$E$71)</x:f>
        <x:v>7</x:v>
      </x:c>
      <x:c r="V594" s="119" t="n">
        <x:f>IF(H594&gt;=('难度参数'!$E$52),1,0)+IF(H594&gt;=('难度参数'!$E$52+'难度参数'!$E$53),1,0)+IF(H594&gt;=('难度参数'!$E$52+'难度参数'!$E$53+'难度参数'!$E$54),1,0)+IF(H594&gt;=('难度参数'!$E$52+'难度参数'!$E$53+'难度参数'!$E$54+'难度参数'!$E$55),1,0)+IF(H594&gt;=('难度参数'!$E$52+'难度参数'!$E$53+'难度参数'!$E$54+'难度参数'!$E$55+'难度参数'!$E$56),1,0)+IF(H594&gt;=('难度参数'!$E$52+'难度参数'!$E$53+'难度参数'!$E$54+'难度参数'!$E$55+'难度参数'!$E$56+'难度参数'!$E$57),1,0)</x:f>
        <x:v>6</x:v>
      </x:c>
      <x:c r="W594" s="62" t="str">
        <x:f>IF(L594&gt;'难度参数'!$E$51,"仅出怪已超目标","还需实测")</x:f>
        <x:v>仅出怪已超目标</x:v>
      </x:c>
      <x:c r="X594" s="119" t="n">
        <x:f>IF(1&gt;D594,0,MAX(2,MIN('难度参数'!$E$12,ROUND(('难度参数'!$E$18*POWER(A594,'难度参数'!$E$19)/D594*(0.85+0.3*(1-1)/MAX(1,D594-1))),0)+F594)))</x:f>
        <x:v>37</x:v>
      </x:c>
      <x:c r="Y594" s="119" t="n">
        <x:f>IF(1&gt;D594,0,ROUND(('难度参数'!$E$13*POWER(A594,'难度参数'!$E$20)*MIN('难度参数'!$E$23,1+MAX(0,A594-'难度参数'!$E$21)*'难度参数'!$E$22))*(36+1*7)/(36+7*(D594+1)/2)*E594,0))</x:f>
        <x:v>8945</x:v>
      </x:c>
      <x:c r="Z594" s="119" t="n">
        <x:f>IF(X594=0,0,(X594-IF(1=D594,1,0))*ROUND(Y594*VLOOKUP(INDEX('章节与怪物'!$E$31:$K$37,B594,1),'章节与怪物'!$A$41:$F$44,2,FALSE),0)+IF(1=D594,ROUND(Y594*'难度参数'!$E$28*'章节与怪物'!$E$17,0),0))</x:f>
        <x:v>238280</x:v>
      </x:c>
      <x:c r="AA594" s="119" t="n">
        <x:f>IF(X594=0,0,(X594-IF(1=D594,1,0))*VLOOKUP(INDEX('章节与怪物'!$E$31:$K$37,B594,1),'章节与怪物'!$A$41:$F$44,4,FALSE)+IF(1=D594,'难度参数'!$E$30,0))</x:f>
        <x:v>740</x:v>
      </x:c>
      <x:c r="AB594" s="119" t="n">
        <x:f>IF(2&gt;D594,0,MAX(2,MIN('难度参数'!$E$12,ROUND(('难度参数'!$E$18*POWER(A594,'难度参数'!$E$19)/D594*(0.85+0.3*(2-1)/MAX(1,D594-1))),0)+F594)))</x:f>
        <x:v>40</x:v>
      </x:c>
      <x:c r="AC594" s="119" t="n">
        <x:f>IF(2&gt;D594,0,ROUND(('难度参数'!$E$13*POWER(A594,'难度参数'!$E$20)*MIN('难度参数'!$E$23,1+MAX(0,A594-'难度参数'!$E$21)*'难度参数'!$E$22))*(36+2*7)/(36+7*(D594+1)/2)*E594,0))</x:f>
        <x:v>10401</x:v>
      </x:c>
      <x:c r="AD594" s="119" t="n">
        <x:f>IF(AB594=0,0,(AB594-IF(2=D594,1,0))*ROUND(AC594*VLOOKUP(INDEX('章节与怪物'!$E$31:$K$37,B594,2),'章节与怪物'!$A$41:$F$44,2,FALSE),0)+IF(2=D594,ROUND(AC594*'难度参数'!$E$28*'章节与怪物'!$E$17,0),0))</x:f>
        <x:v>416040</x:v>
      </x:c>
      <x:c r="AE594" s="119" t="n">
        <x:f>IF(AB594=0,0,(AB594-IF(2=D594,1,0))*VLOOKUP(INDEX('章节与怪物'!$E$31:$K$37,B594,2),'章节与怪物'!$A$41:$F$44,4,FALSE)+IF(2=D594,'难度参数'!$E$30,0))</x:f>
        <x:v>720</x:v>
      </x:c>
      <x:c r="AF594" s="119" t="n">
        <x:f>IF(3&gt;D594,0,MAX(2,MIN('难度参数'!$E$12,ROUND(('难度参数'!$E$18*POWER(A594,'难度参数'!$E$19)/D594*(0.85+0.3*(3-1)/MAX(1,D594-1))),0)+F594)))</x:f>
        <x:v>42</x:v>
      </x:c>
      <x:c r="AG594" s="119" t="n">
        <x:f>IF(3&gt;D594,0,ROUND(('难度参数'!$E$13*POWER(A594,'难度参数'!$E$20)*MIN('难度参数'!$E$23,1+MAX(0,A594-'难度参数'!$E$21)*'难度参数'!$E$22))*(36+3*7)/(36+7*(D594+1)/2)*E594,0))</x:f>
        <x:v>11857</x:v>
      </x:c>
      <x:c r="AH594" s="119" t="n">
        <x:f>IF(AF594=0,0,(AF594-IF(3=D594,1,0))*ROUND(AG594*VLOOKUP(INDEX('章节与怪物'!$E$31:$K$37,B594,3),'章节与怪物'!$A$41:$F$44,2,FALSE),0)+IF(3=D594,ROUND(AG594*'难度参数'!$E$28*'章节与怪物'!$E$17,0),0))</x:f>
        <x:v>846594</x:v>
      </x:c>
      <x:c r="AI594" s="119" t="n">
        <x:f>IF(AF594=0,0,(AF594-IF(3=D594,1,0))*VLOOKUP(INDEX('章节与怪物'!$E$31:$K$37,B594,3),'章节与怪物'!$A$41:$F$44,4,FALSE)+IF(3=D594,'难度参数'!$E$30,0))</x:f>
        <x:v>1176</x:v>
      </x:c>
      <x:c r="AJ594" s="119" t="n">
        <x:f>IF(4&gt;D594,0,MAX(2,MIN('难度参数'!$E$12,ROUND(('难度参数'!$E$18*POWER(A594,'难度参数'!$E$19)/D594*(0.85+0.3*(4-1)/MAX(1,D594-1))),0)+F594)))</x:f>
        <x:v>44</x:v>
      </x:c>
      <x:c r="AK594" s="119" t="n">
        <x:f>IF(4&gt;D594,0,ROUND(('难度参数'!$E$13*POWER(A594,'难度参数'!$E$20)*MIN('难度参数'!$E$23,1+MAX(0,A594-'难度参数'!$E$21)*'难度参数'!$E$22))*(36+4*7)/(36+7*(D594+1)/2)*E594,0))</x:f>
        <x:v>13313</x:v>
      </x:c>
      <x:c r="AL594" s="119" t="n">
        <x:f>IF(AJ594=0,0,(AJ594-IF(4=D594,1,0))*ROUND(AK594*VLOOKUP(INDEX('章节与怪物'!$E$31:$K$37,B594,4),'章节与怪物'!$A$41:$F$44,2,FALSE),0)+IF(4=D594,ROUND(AK594*'难度参数'!$E$28*'章节与怪物'!$E$17,0),0))</x:f>
        <x:v>790812</x:v>
      </x:c>
      <x:c r="AM594" s="119" t="n">
        <x:f>IF(AJ594=0,0,(AJ594-IF(4=D594,1,0))*VLOOKUP(INDEX('章节与怪物'!$E$31:$K$37,B594,4),'章节与怪物'!$A$41:$F$44,4,FALSE)+IF(4=D594,'难度参数'!$E$30,0))</x:f>
        <x:v>1496</x:v>
      </x:c>
      <x:c r="AN594" s="119" t="n">
        <x:f>IF(5&gt;D594,0,MAX(2,MIN('难度参数'!$E$12,ROUND(('难度参数'!$E$18*POWER(A594,'难度参数'!$E$19)/D594*(0.85+0.3*(5-1)/MAX(1,D594-1))),0)+F594)))</x:f>
        <x:v>46</x:v>
      </x:c>
      <x:c r="AO594" s="119" t="n">
        <x:f>IF(5&gt;D594,0,ROUND(('难度参数'!$E$13*POWER(A594,'难度参数'!$E$20)*MIN('难度参数'!$E$23,1+MAX(0,A594-'难度参数'!$E$21)*'难度参数'!$E$22))*(36+5*7)/(36+7*(D594+1)/2)*E594,0))</x:f>
        <x:v>14769</x:v>
      </x:c>
      <x:c r="AP594" s="119" t="n">
        <x:f>IF(AN594=0,0,(AN594-IF(5=D594,1,0))*ROUND(AO594*VLOOKUP(INDEX('章节与怪物'!$E$31:$K$37,B594,5),'章节与怪物'!$A$41:$F$44,2,FALSE),0)+IF(5=D594,ROUND(AO594*'难度参数'!$E$28*'章节与怪物'!$E$17,0),0))</x:f>
        <x:v>679374</x:v>
      </x:c>
      <x:c r="AQ594" s="119" t="n">
        <x:f>IF(AN594=0,0,(AN594-IF(5=D594,1,0))*VLOOKUP(INDEX('章节与怪物'!$E$31:$K$37,B594,5),'章节与怪物'!$A$41:$F$44,4,FALSE)+IF(5=D594,'难度参数'!$E$30,0))</x:f>
        <x:v>828</x:v>
      </x:c>
      <x:c r="AR594" s="119" t="n">
        <x:f>IF(6&gt;D594,0,MAX(2,MIN('难度参数'!$E$12,ROUND(('难度参数'!$E$18*POWER(A594,'难度参数'!$E$19)/D594*(0.85+0.3*(6-1)/MAX(1,D594-1))),0)+F594)))</x:f>
        <x:v>48</x:v>
      </x:c>
      <x:c r="AS594" s="119" t="n">
        <x:f>IF(6&gt;D594,0,ROUND(('难度参数'!$E$13*POWER(A594,'难度参数'!$E$20)*MIN('难度参数'!$E$23,1+MAX(0,A594-'难度参数'!$E$21)*'难度参数'!$E$22))*(36+6*7)/(36+7*(D594+1)/2)*E594,0))</x:f>
        <x:v>16226</x:v>
      </x:c>
      <x:c r="AT594" s="119" t="n">
        <x:f>IF(AR594=0,0,(AR594-IF(6=D594,1,0))*ROUND(AS594*VLOOKUP(INDEX('章节与怪物'!$E$31:$K$37,B594,6),'章节与怪物'!$A$41:$F$44,2,FALSE),0)+IF(6=D594,ROUND(AS594*'难度参数'!$E$28*'章节与怪物'!$E$17,0),0))</x:f>
        <x:v>1324032</x:v>
      </x:c>
      <x:c r="AU594" s="119" t="n">
        <x:f>IF(AR594=0,0,(AR594-IF(6=D594,1,0))*VLOOKUP(INDEX('章节与怪物'!$E$31:$K$37,B594,6),'章节与怪物'!$A$41:$F$44,4,FALSE)+IF(6=D594,'难度参数'!$E$30,0))</x:f>
        <x:v>1344</x:v>
      </x:c>
      <x:c r="AV594" s="119" t="n">
        <x:f>IF(7&gt;D594,0,MAX(2,MIN('难度参数'!$E$12,ROUND(('难度参数'!$E$18*POWER(A594,'难度参数'!$E$19)/D594*(0.85+0.3*(7-1)/MAX(1,D594-1))),0)+F594)))</x:f>
        <x:v>51</x:v>
      </x:c>
      <x:c r="AW594" s="119" t="n">
        <x:f>IF(7&gt;D594,0,ROUND(('难度参数'!$E$13*POWER(A594,'难度参数'!$E$20)*MIN('难度参数'!$E$23,1+MAX(0,A594-'难度参数'!$E$21)*'难度参数'!$E$22))*(36+7*7)/(36+7*(D594+1)/2)*E594,0))</x:f>
        <x:v>17682</x:v>
      </x:c>
      <x:c r="AX594" s="119" t="n">
        <x:f>IF(AV594=0,0,(AV594-IF(7=D594,1,0))*ROUND(AW594*VLOOKUP(INDEX('章节与怪物'!$E$31:$K$37,B594,7),'章节与怪物'!$A$41:$F$44,2,FALSE),0)+IF(7=D594,ROUND(AW594*'难度参数'!$E$28*'章节与怪物'!$E$17,0),0))</x:f>
        <x:v>1313788</x:v>
      </x:c>
      <x:c r="AY594" s="119" t="n">
        <x:f>IF(AV594=0,0,(AV594-IF(7=D594,1,0))*VLOOKUP(INDEX('章节与怪物'!$E$31:$K$37,B594,7),'章节与怪物'!$A$41:$F$44,4,FALSE)+IF(7=D594,'难度参数'!$E$30,0))</x:f>
        <x:v>1900</x:v>
      </x:c>
    </x:row>
    <x:row r="595" ht="23" customHeight="1">
      <x:c r="A595" s="119" t="n">
        <x:v>589</x:v>
      </x:c>
      <x:c r="B595" s="119" t="n">
        <x:f>MOD(INT((A595-1)/5),7)+1</x:f>
        <x:v>6</x:v>
      </x:c>
      <x:c r="C595" s="62" t="str">
        <x:f>INDEX('章节与怪物'!$B$31:$B$37,B595)</x:f>
        <x:v>熔岩山脉</x:v>
      </x:c>
      <x:c r="D595" s="119" t="n">
        <x:f>MIN('难度参数'!$E$8,MAX('难度参数'!$E$7,A595))</x:f>
        <x:v>7</x:v>
      </x:c>
      <x:c r="E595" s="106" t="n">
        <x:v>1</x:v>
      </x:c>
      <x:c r="F595" s="106" t="n">
        <x:v>0</x:v>
      </x:c>
      <x:c r="G595" s="106" t="n">
        <x:v>1</x:v>
      </x:c>
      <x:c r="H595" s="119" t="n">
        <x:f>SUM(X595,AB595,AF595,AJ595,AN595,AR595,AV595)</x:f>
        <x:v>308</x:v>
      </x:c>
      <x:c r="I595" s="119" t="n">
        <x:f>SUM(Z595,AD595,AH595,AL595,AP595,AT595,AX595)</x:f>
        <x:v>5615798</x:v>
      </x:c>
      <x:c r="J595" s="119" t="n">
        <x:f>ROUND(INDEX(X595:AY595,1,(D595-1)*4+2)*'难度参数'!$E$28*'章节与怪物'!$E$17,0)</x:f>
        <x:v>120380</x:v>
      </x:c>
      <x:c r="K595" s="119" t="n">
        <x:f>SUM(AA595,AE595,AI595,AM595,AQ595,AU595,AY595)</x:f>
        <x:v>8204</x:v>
      </x:c>
      <x:c r="L595" s="62" t="n">
        <x:f>H595*(ROUNDUP('难度参数'!$E$24/('难度参数'!$E$26*'难度参数'!$E$27),0)*'难度参数'!$E$26)/60</x:f>
        <x:v>4.1066666666666665</x:v>
      </x:c>
      <x:c r="M595" s="62" t="n">
        <x:f>L595+D595*('难度参数'!$E$49+'难度参数'!$E$50)/60</x:f>
        <x:v>5.273333333333333</x:v>
      </x:c>
      <x:c r="N595" s="119" t="n">
        <x:f>ROUNDDOWN(('经济参数'!$E$20+A595*'经济参数'!$E$21)*G595,0)</x:f>
        <x:v>11960</x:v>
      </x:c>
      <x:c r="O595" s="119" t="n">
        <x:f>ROUNDDOWN(MIN('经济参数'!$E$24,'经济参数'!$E$22+A595*'经济参数'!$E$23)*G595,0)</x:f>
        <x:v>0</x:v>
      </x:c>
      <x:c r="P595" s="119" t="n">
        <x:f>ROUNDDOWN((IF(A595&gt;='材料与任务'!$E$31,'材料与任务'!$E$32,IF(A595&gt;='材料与任务'!$E$25,'材料与任务'!$E$26,IF(A595&gt;='材料与任务'!$E$19,'材料与任务'!$E$20,IF(A595&gt;='材料与任务'!$E$13,'材料与任务'!$E$14,'材料与任务'!$E$8)))))*G595,0)</x:f>
        <x:v>6</x:v>
      </x:c>
      <x:c r="Q595" s="119" t="n">
        <x:f>ROUNDDOWN((IF(A595&gt;='材料与任务'!$E$31,'材料与任务'!$E$33,IF(A595&gt;='材料与任务'!$E$25,'材料与任务'!$E$27,IF(A595&gt;='材料与任务'!$E$19,'材料与任务'!$E$21,IF(A595&gt;='材料与任务'!$E$13,'材料与任务'!$E$15,'材料与任务'!$E$9)))))*G595,0)</x:f>
        <x:v>3</x:v>
      </x:c>
      <x:c r="R595" s="110" t="n">
        <x:f>'装备掉落'!$B$38</x:f>
        <x:v>0.6872058758851213</x:v>
      </x:c>
      <x:c r="S595" s="119" t="n">
        <x:f>MAX(IF(VLOOKUP(A595,'装备掉落'!$A$29:$H$34,2,TRUE)&gt;0,1,0),IF(VLOOKUP(A595,'装备掉落'!$A$29:$H$34,3,TRUE)&gt;0,2,0),IF(VLOOKUP(A595,'装备掉落'!$A$29:$H$34,4,TRUE)&gt;0,3,0),IF(VLOOKUP(A595,'装备掉落'!$A$29:$H$34,5,TRUE)&gt;0,4,0),IF(VLOOKUP(A595,'装备掉落'!$A$29:$H$34,6,TRUE)&gt;0,5,0),IF(VLOOKUP(A595,'装备掉落'!$A$29:$H$34,7,TRUE)&gt;0,6,0),IF(VLOOKUP(A595,'装备掉落'!$A$29:$H$34,8,TRUE)&gt;0,7,0))</x:f>
        <x:v>7</x:v>
      </x:c>
      <x:c r="T595" s="119" t="n">
        <x:f>MIN(7,S595+'经济参数'!$E$70)</x:f>
        <x:v>7</x:v>
      </x:c>
      <x:c r="U595" s="119" t="n">
        <x:f>MIN(7,S595+'经济参数'!$E$71)</x:f>
        <x:v>7</x:v>
      </x:c>
      <x:c r="V595" s="119" t="n">
        <x:f>IF(H595&gt;=('难度参数'!$E$52),1,0)+IF(H595&gt;=('难度参数'!$E$52+'难度参数'!$E$53),1,0)+IF(H595&gt;=('难度参数'!$E$52+'难度参数'!$E$53+'难度参数'!$E$54),1,0)+IF(H595&gt;=('难度参数'!$E$52+'难度参数'!$E$53+'难度参数'!$E$54+'难度参数'!$E$55),1,0)+IF(H595&gt;=('难度参数'!$E$52+'难度参数'!$E$53+'难度参数'!$E$54+'难度参数'!$E$55+'难度参数'!$E$56),1,0)+IF(H595&gt;=('难度参数'!$E$52+'难度参数'!$E$53+'难度参数'!$E$54+'难度参数'!$E$55+'难度参数'!$E$56+'难度参数'!$E$57),1,0)</x:f>
        <x:v>6</x:v>
      </x:c>
      <x:c r="W595" s="62" t="str">
        <x:f>IF(L595&gt;'难度参数'!$E$51,"仅出怪已超目标","还需实测")</x:f>
        <x:v>仅出怪已超目标</x:v>
      </x:c>
      <x:c r="X595" s="119" t="n">
        <x:f>IF(1&gt;D595,0,MAX(2,MIN('难度参数'!$E$12,ROUND(('难度参数'!$E$18*POWER(A595,'难度参数'!$E$19)/D595*(0.85+0.3*(1-1)/MAX(1,D595-1))),0)+F595)))</x:f>
        <x:v>37</x:v>
      </x:c>
      <x:c r="Y595" s="119" t="n">
        <x:f>IF(1&gt;D595,0,ROUND(('难度参数'!$E$13*POWER(A595,'难度参数'!$E$20)*MIN('难度参数'!$E$23,1+MAX(0,A595-'难度参数'!$E$21)*'难度参数'!$E$22))*(36+1*7)/(36+7*(D595+1)/2)*E595,0))</x:f>
        <x:v>8956</x:v>
      </x:c>
      <x:c r="Z595" s="119" t="n">
        <x:f>IF(X595=0,0,(X595-IF(1=D595,1,0))*ROUND(Y595*VLOOKUP(INDEX('章节与怪物'!$E$31:$K$37,B595,1),'章节与怪物'!$A$41:$F$44,2,FALSE),0)+IF(1=D595,ROUND(Y595*'难度参数'!$E$28*'章节与怪物'!$E$17,0),0))</x:f>
        <x:v>238576</x:v>
      </x:c>
      <x:c r="AA595" s="119" t="n">
        <x:f>IF(X595=0,0,(X595-IF(1=D595,1,0))*VLOOKUP(INDEX('章节与怪物'!$E$31:$K$37,B595,1),'章节与怪物'!$A$41:$F$44,4,FALSE)+IF(1=D595,'难度参数'!$E$30,0))</x:f>
        <x:v>740</x:v>
      </x:c>
      <x:c r="AB595" s="119" t="n">
        <x:f>IF(2&gt;D595,0,MAX(2,MIN('难度参数'!$E$12,ROUND(('难度参数'!$E$18*POWER(A595,'难度参数'!$E$19)/D595*(0.85+0.3*(2-1)/MAX(1,D595-1))),0)+F595)))</x:f>
        <x:v>40</x:v>
      </x:c>
      <x:c r="AC595" s="119" t="n">
        <x:f>IF(2&gt;D595,0,ROUND(('难度参数'!$E$13*POWER(A595,'难度参数'!$E$20)*MIN('难度参数'!$E$23,1+MAX(0,A595-'难度参数'!$E$21)*'难度参数'!$E$22))*(36+2*7)/(36+7*(D595+1)/2)*E595,0))</x:f>
        <x:v>10414</x:v>
      </x:c>
      <x:c r="AD595" s="119" t="n">
        <x:f>IF(AB595=0,0,(AB595-IF(2=D595,1,0))*ROUND(AC595*VLOOKUP(INDEX('章节与怪物'!$E$31:$K$37,B595,2),'章节与怪物'!$A$41:$F$44,2,FALSE),0)+IF(2=D595,ROUND(AC595*'难度参数'!$E$28*'章节与怪物'!$E$17,0),0))</x:f>
        <x:v>416560</x:v>
      </x:c>
      <x:c r="AE595" s="119" t="n">
        <x:f>IF(AB595=0,0,(AB595-IF(2=D595,1,0))*VLOOKUP(INDEX('章节与怪物'!$E$31:$K$37,B595,2),'章节与怪物'!$A$41:$F$44,4,FALSE)+IF(2=D595,'难度参数'!$E$30,0))</x:f>
        <x:v>720</x:v>
      </x:c>
      <x:c r="AF595" s="119" t="n">
        <x:f>IF(3&gt;D595,0,MAX(2,MIN('难度参数'!$E$12,ROUND(('难度参数'!$E$18*POWER(A595,'难度参数'!$E$19)/D595*(0.85+0.3*(3-1)/MAX(1,D595-1))),0)+F595)))</x:f>
        <x:v>42</x:v>
      </x:c>
      <x:c r="AG595" s="119" t="n">
        <x:f>IF(3&gt;D595,0,ROUND(('难度参数'!$E$13*POWER(A595,'难度参数'!$E$20)*MIN('难度参数'!$E$23,1+MAX(0,A595-'难度参数'!$E$21)*'难度参数'!$E$22))*(36+3*7)/(36+7*(D595+1)/2)*E595,0))</x:f>
        <x:v>11872</x:v>
      </x:c>
      <x:c r="AH595" s="119" t="n">
        <x:f>IF(AF595=0,0,(AF595-IF(3=D595,1,0))*ROUND(AG595*VLOOKUP(INDEX('章节与怪物'!$E$31:$K$37,B595,3),'章节与怪物'!$A$41:$F$44,2,FALSE),0)+IF(3=D595,ROUND(AG595*'难度参数'!$E$28*'章节与怪物'!$E$17,0),0))</x:f>
        <x:v>847644</x:v>
      </x:c>
      <x:c r="AI595" s="119" t="n">
        <x:f>IF(AF595=0,0,(AF595-IF(3=D595,1,0))*VLOOKUP(INDEX('章节与怪物'!$E$31:$K$37,B595,3),'章节与怪物'!$A$41:$F$44,4,FALSE)+IF(3=D595,'难度参数'!$E$30,0))</x:f>
        <x:v>1176</x:v>
      </x:c>
      <x:c r="AJ595" s="119" t="n">
        <x:f>IF(4&gt;D595,0,MAX(2,MIN('难度参数'!$E$12,ROUND(('难度参数'!$E$18*POWER(A595,'难度参数'!$E$19)/D595*(0.85+0.3*(4-1)/MAX(1,D595-1))),0)+F595)))</x:f>
        <x:v>44</x:v>
      </x:c>
      <x:c r="AK595" s="119" t="n">
        <x:f>IF(4&gt;D595,0,ROUND(('难度参数'!$E$13*POWER(A595,'难度参数'!$E$20)*MIN('难度参数'!$E$23,1+MAX(0,A595-'难度参数'!$E$21)*'难度参数'!$E$22))*(36+4*7)/(36+7*(D595+1)/2)*E595,0))</x:f>
        <x:v>13330</x:v>
      </x:c>
      <x:c r="AL595" s="119" t="n">
        <x:f>IF(AJ595=0,0,(AJ595-IF(4=D595,1,0))*ROUND(AK595*VLOOKUP(INDEX('章节与怪物'!$E$31:$K$37,B595,4),'章节与怪物'!$A$41:$F$44,2,FALSE),0)+IF(4=D595,ROUND(AK595*'难度参数'!$E$28*'章节与怪物'!$E$17,0),0))</x:f>
        <x:v>791824</x:v>
      </x:c>
      <x:c r="AM595" s="119" t="n">
        <x:f>IF(AJ595=0,0,(AJ595-IF(4=D595,1,0))*VLOOKUP(INDEX('章节与怪物'!$E$31:$K$37,B595,4),'章节与怪物'!$A$41:$F$44,4,FALSE)+IF(4=D595,'难度参数'!$E$30,0))</x:f>
        <x:v>1496</x:v>
      </x:c>
      <x:c r="AN595" s="119" t="n">
        <x:f>IF(5&gt;D595,0,MAX(2,MIN('难度参数'!$E$12,ROUND(('难度参数'!$E$18*POWER(A595,'难度参数'!$E$19)/D595*(0.85+0.3*(5-1)/MAX(1,D595-1))),0)+F595)))</x:f>
        <x:v>46</x:v>
      </x:c>
      <x:c r="AO595" s="119" t="n">
        <x:f>IF(5&gt;D595,0,ROUND(('难度参数'!$E$13*POWER(A595,'难度参数'!$E$20)*MIN('难度参数'!$E$23,1+MAX(0,A595-'难度参数'!$E$21)*'难度参数'!$E$22))*(36+5*7)/(36+7*(D595+1)/2)*E595,0))</x:f>
        <x:v>14788</x:v>
      </x:c>
      <x:c r="AP595" s="119" t="n">
        <x:f>IF(AN595=0,0,(AN595-IF(5=D595,1,0))*ROUND(AO595*VLOOKUP(INDEX('章节与怪物'!$E$31:$K$37,B595,5),'章节与怪物'!$A$41:$F$44,2,FALSE),0)+IF(5=D595,ROUND(AO595*'难度参数'!$E$28*'章节与怪物'!$E$17,0),0))</x:f>
        <x:v>680248</x:v>
      </x:c>
      <x:c r="AQ595" s="119" t="n">
        <x:f>IF(AN595=0,0,(AN595-IF(5=D595,1,0))*VLOOKUP(INDEX('章节与怪物'!$E$31:$K$37,B595,5),'章节与怪物'!$A$41:$F$44,4,FALSE)+IF(5=D595,'难度参数'!$E$30,0))</x:f>
        <x:v>828</x:v>
      </x:c>
      <x:c r="AR595" s="119" t="n">
        <x:f>IF(6&gt;D595,0,MAX(2,MIN('难度参数'!$E$12,ROUND(('难度参数'!$E$18*POWER(A595,'难度参数'!$E$19)/D595*(0.85+0.3*(6-1)/MAX(1,D595-1))),0)+F595)))</x:f>
        <x:v>48</x:v>
      </x:c>
      <x:c r="AS595" s="119" t="n">
        <x:f>IF(6&gt;D595,0,ROUND(('难度参数'!$E$13*POWER(A595,'难度参数'!$E$20)*MIN('难度参数'!$E$23,1+MAX(0,A595-'难度参数'!$E$21)*'难度参数'!$E$22))*(36+6*7)/(36+7*(D595+1)/2)*E595,0))</x:f>
        <x:v>16245</x:v>
      </x:c>
      <x:c r="AT595" s="119" t="n">
        <x:f>IF(AR595=0,0,(AR595-IF(6=D595,1,0))*ROUND(AS595*VLOOKUP(INDEX('章节与怪物'!$E$31:$K$37,B595,6),'章节与怪物'!$A$41:$F$44,2,FALSE),0)+IF(6=D595,ROUND(AS595*'难度参数'!$E$28*'章节与怪物'!$E$17,0),0))</x:f>
        <x:v>1325616</x:v>
      </x:c>
      <x:c r="AU595" s="119" t="n">
        <x:f>IF(AR595=0,0,(AR595-IF(6=D595,1,0))*VLOOKUP(INDEX('章节与怪物'!$E$31:$K$37,B595,6),'章节与怪物'!$A$41:$F$44,4,FALSE)+IF(6=D595,'难度参数'!$E$30,0))</x:f>
        <x:v>1344</x:v>
      </x:c>
      <x:c r="AV595" s="119" t="n">
        <x:f>IF(7&gt;D595,0,MAX(2,MIN('难度参数'!$E$12,ROUND(('难度参数'!$E$18*POWER(A595,'难度参数'!$E$19)/D595*(0.85+0.3*(7-1)/MAX(1,D595-1))),0)+F595)))</x:f>
        <x:v>51</x:v>
      </x:c>
      <x:c r="AW595" s="119" t="n">
        <x:f>IF(7&gt;D595,0,ROUND(('难度参数'!$E$13*POWER(A595,'难度参数'!$E$20)*MIN('难度参数'!$E$23,1+MAX(0,A595-'难度参数'!$E$21)*'难度参数'!$E$22))*(36+7*7)/(36+7*(D595+1)/2)*E595,0))</x:f>
        <x:v>17703</x:v>
      </x:c>
      <x:c r="AX595" s="119" t="n">
        <x:f>IF(AV595=0,0,(AV595-IF(7=D595,1,0))*ROUND(AW595*VLOOKUP(INDEX('章节与怪物'!$E$31:$K$37,B595,7),'章节与怪物'!$A$41:$F$44,2,FALSE),0)+IF(7=D595,ROUND(AW595*'难度参数'!$E$28*'章节与怪物'!$E$17,0),0))</x:f>
        <x:v>1315330</x:v>
      </x:c>
      <x:c r="AY595" s="119" t="n">
        <x:f>IF(AV595=0,0,(AV595-IF(7=D595,1,0))*VLOOKUP(INDEX('章节与怪物'!$E$31:$K$37,B595,7),'章节与怪物'!$A$41:$F$44,4,FALSE)+IF(7=D595,'难度参数'!$E$30,0))</x:f>
        <x:v>1900</x:v>
      </x:c>
    </x:row>
    <x:row r="596" ht="23" customHeight="1">
      <x:c r="A596" s="119" t="n">
        <x:v>590</x:v>
      </x:c>
      <x:c r="B596" s="119" t="n">
        <x:f>MOD(INT((A596-1)/5),7)+1</x:f>
        <x:v>6</x:v>
      </x:c>
      <x:c r="C596" s="62" t="str">
        <x:f>INDEX('章节与怪物'!$B$31:$B$37,B596)</x:f>
        <x:v>熔岩山脉</x:v>
      </x:c>
      <x:c r="D596" s="119" t="n">
        <x:f>MIN('难度参数'!$E$8,MAX('难度参数'!$E$7,A596))</x:f>
        <x:v>7</x:v>
      </x:c>
      <x:c r="E596" s="106" t="n">
        <x:v>1</x:v>
      </x:c>
      <x:c r="F596" s="106" t="n">
        <x:v>0</x:v>
      </x:c>
      <x:c r="G596" s="106" t="n">
        <x:v>1</x:v>
      </x:c>
      <x:c r="H596" s="119" t="n">
        <x:f>SUM(X596,AB596,AF596,AJ596,AN596,AR596,AV596)</x:f>
        <x:v>308</x:v>
      </x:c>
      <x:c r="I596" s="119" t="n">
        <x:f>SUM(Z596,AD596,AH596,AL596,AP596,AT596,AX596)</x:f>
        <x:v>5622616</x:v>
      </x:c>
      <x:c r="J596" s="119" t="n">
        <x:f>ROUND(INDEX(X596:AY596,1,(D596-1)*4+2)*'难度参数'!$E$28*'章节与怪物'!$E$17,0)</x:f>
        <x:v>120530</x:v>
      </x:c>
      <x:c r="K596" s="119" t="n">
        <x:f>SUM(AA596,AE596,AI596,AM596,AQ596,AU596,AY596)</x:f>
        <x:v>8204</x:v>
      </x:c>
      <x:c r="L596" s="62" t="n">
        <x:f>H596*(ROUNDUP('难度参数'!$E$24/('难度参数'!$E$26*'难度参数'!$E$27),0)*'难度参数'!$E$26)/60</x:f>
        <x:v>4.1066666666666665</x:v>
      </x:c>
      <x:c r="M596" s="62" t="n">
        <x:f>L596+D596*('难度参数'!$E$49+'难度参数'!$E$50)/60</x:f>
        <x:v>5.273333333333333</x:v>
      </x:c>
      <x:c r="N596" s="119" t="n">
        <x:f>ROUNDDOWN(('经济参数'!$E$20+A596*'经济参数'!$E$21)*G596,0)</x:f>
        <x:v>11980</x:v>
      </x:c>
      <x:c r="O596" s="119" t="n">
        <x:f>ROUNDDOWN(MIN('经济参数'!$E$24,'经济参数'!$E$22+A596*'经济参数'!$E$23)*G596,0)</x:f>
        <x:v>0</x:v>
      </x:c>
      <x:c r="P596" s="119" t="n">
        <x:f>ROUNDDOWN((IF(A596&gt;='材料与任务'!$E$31,'材料与任务'!$E$32,IF(A596&gt;='材料与任务'!$E$25,'材料与任务'!$E$26,IF(A596&gt;='材料与任务'!$E$19,'材料与任务'!$E$20,IF(A596&gt;='材料与任务'!$E$13,'材料与任务'!$E$14,'材料与任务'!$E$8)))))*G596,0)</x:f>
        <x:v>6</x:v>
      </x:c>
      <x:c r="Q596" s="119" t="n">
        <x:f>ROUNDDOWN((IF(A596&gt;='材料与任务'!$E$31,'材料与任务'!$E$33,IF(A596&gt;='材料与任务'!$E$25,'材料与任务'!$E$27,IF(A596&gt;='材料与任务'!$E$19,'材料与任务'!$E$21,IF(A596&gt;='材料与任务'!$E$13,'材料与任务'!$E$15,'材料与任务'!$E$9)))))*G596,0)</x:f>
        <x:v>3</x:v>
      </x:c>
      <x:c r="R596" s="110" t="n">
        <x:f>'装备掉落'!$B$38</x:f>
        <x:v>0.6872058758851213</x:v>
      </x:c>
      <x:c r="S596" s="119" t="n">
        <x:f>MAX(IF(VLOOKUP(A596,'装备掉落'!$A$29:$H$34,2,TRUE)&gt;0,1,0),IF(VLOOKUP(A596,'装备掉落'!$A$29:$H$34,3,TRUE)&gt;0,2,0),IF(VLOOKUP(A596,'装备掉落'!$A$29:$H$34,4,TRUE)&gt;0,3,0),IF(VLOOKUP(A596,'装备掉落'!$A$29:$H$34,5,TRUE)&gt;0,4,0),IF(VLOOKUP(A596,'装备掉落'!$A$29:$H$34,6,TRUE)&gt;0,5,0),IF(VLOOKUP(A596,'装备掉落'!$A$29:$H$34,7,TRUE)&gt;0,6,0),IF(VLOOKUP(A596,'装备掉落'!$A$29:$H$34,8,TRUE)&gt;0,7,0))</x:f>
        <x:v>7</x:v>
      </x:c>
      <x:c r="T596" s="119" t="n">
        <x:f>MIN(7,S596+'经济参数'!$E$70)</x:f>
        <x:v>7</x:v>
      </x:c>
      <x:c r="U596" s="119" t="n">
        <x:f>MIN(7,S596+'经济参数'!$E$71)</x:f>
        <x:v>7</x:v>
      </x:c>
      <x:c r="V596" s="119" t="n">
        <x:f>IF(H596&gt;=('难度参数'!$E$52),1,0)+IF(H596&gt;=('难度参数'!$E$52+'难度参数'!$E$53),1,0)+IF(H596&gt;=('难度参数'!$E$52+'难度参数'!$E$53+'难度参数'!$E$54),1,0)+IF(H596&gt;=('难度参数'!$E$52+'难度参数'!$E$53+'难度参数'!$E$54+'难度参数'!$E$55),1,0)+IF(H596&gt;=('难度参数'!$E$52+'难度参数'!$E$53+'难度参数'!$E$54+'难度参数'!$E$55+'难度参数'!$E$56),1,0)+IF(H596&gt;=('难度参数'!$E$52+'难度参数'!$E$53+'难度参数'!$E$54+'难度参数'!$E$55+'难度参数'!$E$56+'难度参数'!$E$57),1,0)</x:f>
        <x:v>6</x:v>
      </x:c>
      <x:c r="W596" s="62" t="str">
        <x:f>IF(L596&gt;'难度参数'!$E$51,"仅出怪已超目标","还需实测")</x:f>
        <x:v>仅出怪已超目标</x:v>
      </x:c>
      <x:c r="X596" s="119" t="n">
        <x:f>IF(1&gt;D596,0,MAX(2,MIN('难度参数'!$E$12,ROUND(('难度参数'!$E$18*POWER(A596,'难度参数'!$E$19)/D596*(0.85+0.3*(1-1)/MAX(1,D596-1))),0)+F596)))</x:f>
        <x:v>37</x:v>
      </x:c>
      <x:c r="Y596" s="119" t="n">
        <x:f>IF(1&gt;D596,0,ROUND(('难度参数'!$E$13*POWER(A596,'难度参数'!$E$20)*MIN('难度参数'!$E$23,1+MAX(0,A596-'难度参数'!$E$21)*'难度参数'!$E$22))*(36+1*7)/(36+7*(D596+1)/2)*E596,0))</x:f>
        <x:v>8967</x:v>
      </x:c>
      <x:c r="Z596" s="119" t="n">
        <x:f>IF(X596=0,0,(X596-IF(1=D596,1,0))*ROUND(Y596*VLOOKUP(INDEX('章节与怪物'!$E$31:$K$37,B596,1),'章节与怪物'!$A$41:$F$44,2,FALSE),0)+IF(1=D596,ROUND(Y596*'难度参数'!$E$28*'章节与怪物'!$E$17,0),0))</x:f>
        <x:v>238872</x:v>
      </x:c>
      <x:c r="AA596" s="119" t="n">
        <x:f>IF(X596=0,0,(X596-IF(1=D596,1,0))*VLOOKUP(INDEX('章节与怪物'!$E$31:$K$37,B596,1),'章节与怪物'!$A$41:$F$44,4,FALSE)+IF(1=D596,'难度参数'!$E$30,0))</x:f>
        <x:v>740</x:v>
      </x:c>
      <x:c r="AB596" s="119" t="n">
        <x:f>IF(2&gt;D596,0,MAX(2,MIN('难度参数'!$E$12,ROUND(('难度参数'!$E$18*POWER(A596,'难度参数'!$E$19)/D596*(0.85+0.3*(2-1)/MAX(1,D596-1))),0)+F596)))</x:f>
        <x:v>40</x:v>
      </x:c>
      <x:c r="AC596" s="119" t="n">
        <x:f>IF(2&gt;D596,0,ROUND(('难度参数'!$E$13*POWER(A596,'难度参数'!$E$20)*MIN('难度参数'!$E$23,1+MAX(0,A596-'难度参数'!$E$21)*'难度参数'!$E$22))*(36+2*7)/(36+7*(D596+1)/2)*E596,0))</x:f>
        <x:v>10426</x:v>
      </x:c>
      <x:c r="AD596" s="119" t="n">
        <x:f>IF(AB596=0,0,(AB596-IF(2=D596,1,0))*ROUND(AC596*VLOOKUP(INDEX('章节与怪物'!$E$31:$K$37,B596,2),'章节与怪物'!$A$41:$F$44,2,FALSE),0)+IF(2=D596,ROUND(AC596*'难度参数'!$E$28*'章节与怪物'!$E$17,0),0))</x:f>
        <x:v>417040</x:v>
      </x:c>
      <x:c r="AE596" s="119" t="n">
        <x:f>IF(AB596=0,0,(AB596-IF(2=D596,1,0))*VLOOKUP(INDEX('章节与怪物'!$E$31:$K$37,B596,2),'章节与怪物'!$A$41:$F$44,4,FALSE)+IF(2=D596,'难度参数'!$E$30,0))</x:f>
        <x:v>720</x:v>
      </x:c>
      <x:c r="AF596" s="119" t="n">
        <x:f>IF(3&gt;D596,0,MAX(2,MIN('难度参数'!$E$12,ROUND(('难度参数'!$E$18*POWER(A596,'难度参数'!$E$19)/D596*(0.85+0.3*(3-1)/MAX(1,D596-1))),0)+F596)))</x:f>
        <x:v>42</x:v>
      </x:c>
      <x:c r="AG596" s="119" t="n">
        <x:f>IF(3&gt;D596,0,ROUND(('难度参数'!$E$13*POWER(A596,'难度参数'!$E$20)*MIN('难度参数'!$E$23,1+MAX(0,A596-'难度参数'!$E$21)*'难度参数'!$E$22))*(36+3*7)/(36+7*(D596+1)/2)*E596,0))</x:f>
        <x:v>11886</x:v>
      </x:c>
      <x:c r="AH596" s="119" t="n">
        <x:f>IF(AF596=0,0,(AF596-IF(3=D596,1,0))*ROUND(AG596*VLOOKUP(INDEX('章节与怪物'!$E$31:$K$37,B596,3),'章节与怪物'!$A$41:$F$44,2,FALSE),0)+IF(3=D596,ROUND(AG596*'难度参数'!$E$28*'章节与怪物'!$E$17,0),0))</x:f>
        <x:v>848652</x:v>
      </x:c>
      <x:c r="AI596" s="119" t="n">
        <x:f>IF(AF596=0,0,(AF596-IF(3=D596,1,0))*VLOOKUP(INDEX('章节与怪物'!$E$31:$K$37,B596,3),'章节与怪物'!$A$41:$F$44,4,FALSE)+IF(3=D596,'难度参数'!$E$30,0))</x:f>
        <x:v>1176</x:v>
      </x:c>
      <x:c r="AJ596" s="119" t="n">
        <x:f>IF(4&gt;D596,0,MAX(2,MIN('难度参数'!$E$12,ROUND(('难度参数'!$E$18*POWER(A596,'难度参数'!$E$19)/D596*(0.85+0.3*(4-1)/MAX(1,D596-1))),0)+F596)))</x:f>
        <x:v>44</x:v>
      </x:c>
      <x:c r="AK596" s="119" t="n">
        <x:f>IF(4&gt;D596,0,ROUND(('难度参数'!$E$13*POWER(A596,'难度参数'!$E$20)*MIN('难度参数'!$E$23,1+MAX(0,A596-'难度参数'!$E$21)*'难度参数'!$E$22))*(36+4*7)/(36+7*(D596+1)/2)*E596,0))</x:f>
        <x:v>13346</x:v>
      </x:c>
      <x:c r="AL596" s="119" t="n">
        <x:f>IF(AJ596=0,0,(AJ596-IF(4=D596,1,0))*ROUND(AK596*VLOOKUP(INDEX('章节与怪物'!$E$31:$K$37,B596,4),'章节与怪物'!$A$41:$F$44,2,FALSE),0)+IF(4=D596,ROUND(AK596*'难度参数'!$E$28*'章节与怪物'!$E$17,0),0))</x:f>
        <x:v>792748</x:v>
      </x:c>
      <x:c r="AM596" s="119" t="n">
        <x:f>IF(AJ596=0,0,(AJ596-IF(4=D596,1,0))*VLOOKUP(INDEX('章节与怪物'!$E$31:$K$37,B596,4),'章节与怪物'!$A$41:$F$44,4,FALSE)+IF(4=D596,'难度参数'!$E$30,0))</x:f>
        <x:v>1496</x:v>
      </x:c>
      <x:c r="AN596" s="119" t="n">
        <x:f>IF(5&gt;D596,0,MAX(2,MIN('难度参数'!$E$12,ROUND(('难度参数'!$E$18*POWER(A596,'难度参数'!$E$19)/D596*(0.85+0.3*(5-1)/MAX(1,D596-1))),0)+F596)))</x:f>
        <x:v>46</x:v>
      </x:c>
      <x:c r="AO596" s="119" t="n">
        <x:f>IF(5&gt;D596,0,ROUND(('难度参数'!$E$13*POWER(A596,'难度参数'!$E$20)*MIN('难度参数'!$E$23,1+MAX(0,A596-'难度参数'!$E$21)*'难度参数'!$E$22))*(36+5*7)/(36+7*(D596+1)/2)*E596,0))</x:f>
        <x:v>14806</x:v>
      </x:c>
      <x:c r="AP596" s="119" t="n">
        <x:f>IF(AN596=0,0,(AN596-IF(5=D596,1,0))*ROUND(AO596*VLOOKUP(INDEX('章节与怪物'!$E$31:$K$37,B596,5),'章节与怪物'!$A$41:$F$44,2,FALSE),0)+IF(5=D596,ROUND(AO596*'难度参数'!$E$28*'章节与怪物'!$E$17,0),0))</x:f>
        <x:v>681076</x:v>
      </x:c>
      <x:c r="AQ596" s="119" t="n">
        <x:f>IF(AN596=0,0,(AN596-IF(5=D596,1,0))*VLOOKUP(INDEX('章节与怪物'!$E$31:$K$37,B596,5),'章节与怪物'!$A$41:$F$44,4,FALSE)+IF(5=D596,'难度参数'!$E$30,0))</x:f>
        <x:v>828</x:v>
      </x:c>
      <x:c r="AR596" s="119" t="n">
        <x:f>IF(6&gt;D596,0,MAX(2,MIN('难度参数'!$E$12,ROUND(('难度参数'!$E$18*POWER(A596,'难度参数'!$E$19)/D596*(0.85+0.3*(6-1)/MAX(1,D596-1))),0)+F596)))</x:f>
        <x:v>48</x:v>
      </x:c>
      <x:c r="AS596" s="119" t="n">
        <x:f>IF(6&gt;D596,0,ROUND(('难度参数'!$E$13*POWER(A596,'难度参数'!$E$20)*MIN('难度参数'!$E$23,1+MAX(0,A596-'难度参数'!$E$21)*'难度参数'!$E$22))*(36+6*7)/(36+7*(D596+1)/2)*E596,0))</x:f>
        <x:v>16265</x:v>
      </x:c>
      <x:c r="AT596" s="119" t="n">
        <x:f>IF(AR596=0,0,(AR596-IF(6=D596,1,0))*ROUND(AS596*VLOOKUP(INDEX('章节与怪物'!$E$31:$K$37,B596,6),'章节与怪物'!$A$41:$F$44,2,FALSE),0)+IF(6=D596,ROUND(AS596*'难度参数'!$E$28*'章节与怪物'!$E$17,0),0))</x:f>
        <x:v>1327248</x:v>
      </x:c>
      <x:c r="AU596" s="119" t="n">
        <x:f>IF(AR596=0,0,(AR596-IF(6=D596,1,0))*VLOOKUP(INDEX('章节与怪物'!$E$31:$K$37,B596,6),'章节与怪物'!$A$41:$F$44,4,FALSE)+IF(6=D596,'难度参数'!$E$30,0))</x:f>
        <x:v>1344</x:v>
      </x:c>
      <x:c r="AV596" s="119" t="n">
        <x:f>IF(7&gt;D596,0,MAX(2,MIN('难度参数'!$E$12,ROUND(('难度参数'!$E$18*POWER(A596,'难度参数'!$E$19)/D596*(0.85+0.3*(7-1)/MAX(1,D596-1))),0)+F596)))</x:f>
        <x:v>51</x:v>
      </x:c>
      <x:c r="AW596" s="119" t="n">
        <x:f>IF(7&gt;D596,0,ROUND(('难度参数'!$E$13*POWER(A596,'难度参数'!$E$20)*MIN('难度参数'!$E$23,1+MAX(0,A596-'难度参数'!$E$21)*'难度参数'!$E$22))*(36+7*7)/(36+7*(D596+1)/2)*E596,0))</x:f>
        <x:v>17725</x:v>
      </x:c>
      <x:c r="AX596" s="119" t="n">
        <x:f>IF(AV596=0,0,(AV596-IF(7=D596,1,0))*ROUND(AW596*VLOOKUP(INDEX('章节与怪物'!$E$31:$K$37,B596,7),'章节与怪物'!$A$41:$F$44,2,FALSE),0)+IF(7=D596,ROUND(AW596*'难度参数'!$E$28*'章节与怪物'!$E$17,0),0))</x:f>
        <x:v>1316980</x:v>
      </x:c>
      <x:c r="AY596" s="119" t="n">
        <x:f>IF(AV596=0,0,(AV596-IF(7=D596,1,0))*VLOOKUP(INDEX('章节与怪物'!$E$31:$K$37,B596,7),'章节与怪物'!$A$41:$F$44,4,FALSE)+IF(7=D596,'难度参数'!$E$30,0))</x:f>
        <x:v>1900</x:v>
      </x:c>
    </x:row>
    <x:row r="597" ht="23" customHeight="1">
      <x:c r="A597" s="119" t="n">
        <x:v>591</x:v>
      </x:c>
      <x:c r="B597" s="119" t="n">
        <x:f>MOD(INT((A597-1)/5),7)+1</x:f>
        <x:v>7</x:v>
      </x:c>
      <x:c r="C597" s="62" t="str">
        <x:f>INDEX('章节与怪物'!$B$31:$B$37,B597)</x:f>
        <x:v>魔法山脊</x:v>
      </x:c>
      <x:c r="D597" s="119" t="n">
        <x:f>MIN('难度参数'!$E$8,MAX('难度参数'!$E$7,A597))</x:f>
        <x:v>7</x:v>
      </x:c>
      <x:c r="E597" s="106" t="n">
        <x:v>1</x:v>
      </x:c>
      <x:c r="F597" s="106" t="n">
        <x:v>0</x:v>
      </x:c>
      <x:c r="G597" s="106" t="n">
        <x:v>1</x:v>
      </x:c>
      <x:c r="H597" s="119" t="n">
        <x:f>SUM(X597,AB597,AF597,AJ597,AN597,AR597,AV597)</x:f>
        <x:v>308</x:v>
      </x:c>
      <x:c r="I597" s="119" t="n">
        <x:f>SUM(Z597,AD597,AH597,AL597,AP597,AT597,AX597)</x:f>
        <x:v>5414704</x:v>
      </x:c>
      <x:c r="J597" s="119" t="n">
        <x:f>ROUND(INDEX(X597:AY597,1,(D597-1)*4+2)*'难度参数'!$E$28*'章节与怪物'!$E$17,0)</x:f>
        <x:v>120680</x:v>
      </x:c>
      <x:c r="K597" s="119" t="n">
        <x:f>SUM(AA597,AE597,AI597,AM597,AQ597,AU597,AY597)</x:f>
        <x:v>8302</x:v>
      </x:c>
      <x:c r="L597" s="62" t="n">
        <x:f>H597*(ROUNDUP('难度参数'!$E$24/('难度参数'!$E$26*'难度参数'!$E$27),0)*'难度参数'!$E$26)/60</x:f>
        <x:v>4.1066666666666665</x:v>
      </x:c>
      <x:c r="M597" s="62" t="n">
        <x:f>L597+D597*('难度参数'!$E$49+'难度参数'!$E$50)/60</x:f>
        <x:v>5.273333333333333</x:v>
      </x:c>
      <x:c r="N597" s="119" t="n">
        <x:f>ROUNDDOWN(('经济参数'!$E$20+A597*'经济参数'!$E$21)*G597,0)</x:f>
        <x:v>12000</x:v>
      </x:c>
      <x:c r="O597" s="119" t="n">
        <x:f>ROUNDDOWN(MIN('经济参数'!$E$24,'经济参数'!$E$22+A597*'经济参数'!$E$23)*G597,0)</x:f>
        <x:v>0</x:v>
      </x:c>
      <x:c r="P597" s="119" t="n">
        <x:f>ROUNDDOWN((IF(A597&gt;='材料与任务'!$E$31,'材料与任务'!$E$32,IF(A597&gt;='材料与任务'!$E$25,'材料与任务'!$E$26,IF(A597&gt;='材料与任务'!$E$19,'材料与任务'!$E$20,IF(A597&gt;='材料与任务'!$E$13,'材料与任务'!$E$14,'材料与任务'!$E$8)))))*G597,0)</x:f>
        <x:v>6</x:v>
      </x:c>
      <x:c r="Q597" s="119" t="n">
        <x:f>ROUNDDOWN((IF(A597&gt;='材料与任务'!$E$31,'材料与任务'!$E$33,IF(A597&gt;='材料与任务'!$E$25,'材料与任务'!$E$27,IF(A597&gt;='材料与任务'!$E$19,'材料与任务'!$E$21,IF(A597&gt;='材料与任务'!$E$13,'材料与任务'!$E$15,'材料与任务'!$E$9)))))*G597,0)</x:f>
        <x:v>3</x:v>
      </x:c>
      <x:c r="R597" s="110" t="n">
        <x:f>'装备掉落'!$B$38</x:f>
        <x:v>0.6872058758851213</x:v>
      </x:c>
      <x:c r="S597" s="119" t="n">
        <x:f>MAX(IF(VLOOKUP(A597,'装备掉落'!$A$29:$H$34,2,TRUE)&gt;0,1,0),IF(VLOOKUP(A597,'装备掉落'!$A$29:$H$34,3,TRUE)&gt;0,2,0),IF(VLOOKUP(A597,'装备掉落'!$A$29:$H$34,4,TRUE)&gt;0,3,0),IF(VLOOKUP(A597,'装备掉落'!$A$29:$H$34,5,TRUE)&gt;0,4,0),IF(VLOOKUP(A597,'装备掉落'!$A$29:$H$34,6,TRUE)&gt;0,5,0),IF(VLOOKUP(A597,'装备掉落'!$A$29:$H$34,7,TRUE)&gt;0,6,0),IF(VLOOKUP(A597,'装备掉落'!$A$29:$H$34,8,TRUE)&gt;0,7,0))</x:f>
        <x:v>7</x:v>
      </x:c>
      <x:c r="T597" s="119" t="n">
        <x:f>MIN(7,S597+'经济参数'!$E$70)</x:f>
        <x:v>7</x:v>
      </x:c>
      <x:c r="U597" s="119" t="n">
        <x:f>MIN(7,S597+'经济参数'!$E$71)</x:f>
        <x:v>7</x:v>
      </x:c>
      <x:c r="V597" s="119" t="n">
        <x:f>IF(H597&gt;=('难度参数'!$E$52),1,0)+IF(H597&gt;=('难度参数'!$E$52+'难度参数'!$E$53),1,0)+IF(H597&gt;=('难度参数'!$E$52+'难度参数'!$E$53+'难度参数'!$E$54),1,0)+IF(H597&gt;=('难度参数'!$E$52+'难度参数'!$E$53+'难度参数'!$E$54+'难度参数'!$E$55),1,0)+IF(H597&gt;=('难度参数'!$E$52+'难度参数'!$E$53+'难度参数'!$E$54+'难度参数'!$E$55+'难度参数'!$E$56),1,0)+IF(H597&gt;=('难度参数'!$E$52+'难度参数'!$E$53+'难度参数'!$E$54+'难度参数'!$E$55+'难度参数'!$E$56+'难度参数'!$E$57),1,0)</x:f>
        <x:v>6</x:v>
      </x:c>
      <x:c r="W597" s="62" t="str">
        <x:f>IF(L597&gt;'难度参数'!$E$51,"仅出怪已超目标","还需实测")</x:f>
        <x:v>仅出怪已超目标</x:v>
      </x:c>
      <x:c r="X597" s="119" t="n">
        <x:f>IF(1&gt;D597,0,MAX(2,MIN('难度参数'!$E$12,ROUND(('难度参数'!$E$18*POWER(A597,'难度参数'!$E$19)/D597*(0.85+0.3*(1-1)/MAX(1,D597-1))),0)+F597)))</x:f>
        <x:v>37</x:v>
      </x:c>
      <x:c r="Y597" s="119" t="n">
        <x:f>IF(1&gt;D597,0,ROUND(('难度参数'!$E$13*POWER(A597,'难度参数'!$E$20)*MIN('难度参数'!$E$23,1+MAX(0,A597-'难度参数'!$E$21)*'难度参数'!$E$22))*(36+1*7)/(36+7*(D597+1)/2)*E597,0))</x:f>
        <x:v>8978</x:v>
      </x:c>
      <x:c r="Z597" s="119" t="n">
        <x:f>IF(X597=0,0,(X597-IF(1=D597,1,0))*ROUND(Y597*VLOOKUP(INDEX('章节与怪物'!$E$31:$K$37,B597,1),'章节与怪物'!$A$41:$F$44,2,FALSE),0)+IF(1=D597,ROUND(Y597*'难度参数'!$E$28*'章节与怪物'!$E$17,0),0))</x:f>
        <x:v>332186</x:v>
      </x:c>
      <x:c r="AA597" s="119" t="n">
        <x:f>IF(X597=0,0,(X597-IF(1=D597,1,0))*VLOOKUP(INDEX('章节与怪物'!$E$31:$K$37,B597,1),'章节与怪物'!$A$41:$F$44,4,FALSE)+IF(1=D597,'难度参数'!$E$30,0))</x:f>
        <x:v>666</x:v>
      </x:c>
      <x:c r="AB597" s="119" t="n">
        <x:f>IF(2&gt;D597,0,MAX(2,MIN('难度参数'!$E$12,ROUND(('难度参数'!$E$18*POWER(A597,'难度参数'!$E$19)/D597*(0.85+0.3*(2-1)/MAX(1,D597-1))),0)+F597)))</x:f>
        <x:v>40</x:v>
      </x:c>
      <x:c r="AC597" s="119" t="n">
        <x:f>IF(2&gt;D597,0,ROUND(('难度参数'!$E$13*POWER(A597,'难度参数'!$E$20)*MIN('难度参数'!$E$23,1+MAX(0,A597-'难度参数'!$E$21)*'难度参数'!$E$22))*(36+2*7)/(36+7*(D597+1)/2)*E597,0))</x:f>
        <x:v>10439</x:v>
      </x:c>
      <x:c r="AD597" s="119" t="n">
        <x:f>IF(AB597=0,0,(AB597-IF(2=D597,1,0))*ROUND(AC597*VLOOKUP(INDEX('章节与怪物'!$E$31:$K$37,B597,2),'章节与怪物'!$A$41:$F$44,2,FALSE),0)+IF(2=D597,ROUND(AC597*'难度参数'!$E$28*'章节与怪物'!$E$17,0),0))</x:f>
        <x:v>300640</x:v>
      </x:c>
      <x:c r="AE597" s="119" t="n">
        <x:f>IF(AB597=0,0,(AB597-IF(2=D597,1,0))*VLOOKUP(INDEX('章节与怪物'!$E$31:$K$37,B597,2),'章节与怪物'!$A$41:$F$44,4,FALSE)+IF(2=D597,'难度参数'!$E$30,0))</x:f>
        <x:v>800</x:v>
      </x:c>
      <x:c r="AF597" s="119" t="n">
        <x:f>IF(3&gt;D597,0,MAX(2,MIN('难度参数'!$E$12,ROUND(('难度参数'!$E$18*POWER(A597,'难度参数'!$E$19)/D597*(0.85+0.3*(3-1)/MAX(1,D597-1))),0)+F597)))</x:f>
        <x:v>42</x:v>
      </x:c>
      <x:c r="AG597" s="119" t="n">
        <x:f>IF(3&gt;D597,0,ROUND(('难度参数'!$E$13*POWER(A597,'难度参数'!$E$20)*MIN('难度参数'!$E$23,1+MAX(0,A597-'难度参数'!$E$21)*'难度参数'!$E$22))*(36+3*7)/(36+7*(D597+1)/2)*E597,0))</x:f>
        <x:v>11901</x:v>
      </x:c>
      <x:c r="AH597" s="119" t="n">
        <x:f>IF(AF597=0,0,(AF597-IF(3=D597,1,0))*ROUND(AG597*VLOOKUP(INDEX('章节与怪物'!$E$31:$K$37,B597,3),'章节与怪物'!$A$41:$F$44,2,FALSE),0)+IF(3=D597,ROUND(AG597*'难度参数'!$E$28*'章节与怪物'!$E$17,0),0))</x:f>
        <x:v>849744</x:v>
      </x:c>
      <x:c r="AI597" s="119" t="n">
        <x:f>IF(AF597=0,0,(AF597-IF(3=D597,1,0))*VLOOKUP(INDEX('章节与怪物'!$E$31:$K$37,B597,3),'章节与怪物'!$A$41:$F$44,4,FALSE)+IF(3=D597,'难度参数'!$E$30,0))</x:f>
        <x:v>1176</x:v>
      </x:c>
      <x:c r="AJ597" s="119" t="n">
        <x:f>IF(4&gt;D597,0,MAX(2,MIN('难度参数'!$E$12,ROUND(('难度参数'!$E$18*POWER(A597,'难度参数'!$E$19)/D597*(0.85+0.3*(4-1)/MAX(1,D597-1))),0)+F597)))</x:f>
        <x:v>44</x:v>
      </x:c>
      <x:c r="AK597" s="119" t="n">
        <x:f>IF(4&gt;D597,0,ROUND(('难度参数'!$E$13*POWER(A597,'难度参数'!$E$20)*MIN('难度参数'!$E$23,1+MAX(0,A597-'难度参数'!$E$21)*'难度参数'!$E$22))*(36+4*7)/(36+7*(D597+1)/2)*E597,0))</x:f>
        <x:v>13362</x:v>
      </x:c>
      <x:c r="AL597" s="119" t="n">
        <x:f>IF(AJ597=0,0,(AJ597-IF(4=D597,1,0))*ROUND(AK597*VLOOKUP(INDEX('章节与怪物'!$E$31:$K$37,B597,4),'章节与怪物'!$A$41:$F$44,2,FALSE),0)+IF(4=D597,ROUND(AK597*'难度参数'!$E$28*'章节与怪物'!$E$17,0),0))</x:f>
        <x:v>793716</x:v>
      </x:c>
      <x:c r="AM597" s="119" t="n">
        <x:f>IF(AJ597=0,0,(AJ597-IF(4=D597,1,0))*VLOOKUP(INDEX('章节与怪物'!$E$31:$K$37,B597,4),'章节与怪物'!$A$41:$F$44,4,FALSE)+IF(4=D597,'难度参数'!$E$30,0))</x:f>
        <x:v>1496</x:v>
      </x:c>
      <x:c r="AN597" s="119" t="n">
        <x:f>IF(5&gt;D597,0,MAX(2,MIN('难度参数'!$E$12,ROUND(('难度参数'!$E$18*POWER(A597,'难度参数'!$E$19)/D597*(0.85+0.3*(5-1)/MAX(1,D597-1))),0)+F597)))</x:f>
        <x:v>46</x:v>
      </x:c>
      <x:c r="AO597" s="119" t="n">
        <x:f>IF(5&gt;D597,0,ROUND(('难度参数'!$E$13*POWER(A597,'难度参数'!$E$20)*MIN('难度参数'!$E$23,1+MAX(0,A597-'难度参数'!$E$21)*'难度参数'!$E$22))*(36+5*7)/(36+7*(D597+1)/2)*E597,0))</x:f>
        <x:v>14824</x:v>
      </x:c>
      <x:c r="AP597" s="119" t="n">
        <x:f>IF(AN597=0,0,(AN597-IF(5=D597,1,0))*ROUND(AO597*VLOOKUP(INDEX('章节与怪物'!$E$31:$K$37,B597,5),'章节与怪物'!$A$41:$F$44,2,FALSE),0)+IF(5=D597,ROUND(AO597*'难度参数'!$E$28*'章节与怪物'!$E$17,0),0))</x:f>
        <x:v>490958</x:v>
      </x:c>
      <x:c r="AQ597" s="119" t="n">
        <x:f>IF(AN597=0,0,(AN597-IF(5=D597,1,0))*VLOOKUP(INDEX('章节与怪物'!$E$31:$K$37,B597,5),'章节与怪物'!$A$41:$F$44,4,FALSE)+IF(5=D597,'难度参数'!$E$30,0))</x:f>
        <x:v>920</x:v>
      </x:c>
      <x:c r="AR597" s="119" t="n">
        <x:f>IF(6&gt;D597,0,MAX(2,MIN('难度参数'!$E$12,ROUND(('难度参数'!$E$18*POWER(A597,'难度参数'!$E$19)/D597*(0.85+0.3*(6-1)/MAX(1,D597-1))),0)+F597)))</x:f>
        <x:v>48</x:v>
      </x:c>
      <x:c r="AS597" s="119" t="n">
        <x:f>IF(6&gt;D597,0,ROUND(('难度参数'!$E$13*POWER(A597,'难度参数'!$E$20)*MIN('难度参数'!$E$23,1+MAX(0,A597-'难度参数'!$E$21)*'难度参数'!$E$22))*(36+6*7)/(36+7*(D597+1)/2)*E597,0))</x:f>
        <x:v>16285</x:v>
      </x:c>
      <x:c r="AT597" s="119" t="n">
        <x:f>IF(AR597=0,0,(AR597-IF(6=D597,1,0))*ROUND(AS597*VLOOKUP(INDEX('章节与怪物'!$E$31:$K$37,B597,6),'章节与怪物'!$A$41:$F$44,2,FALSE),0)+IF(6=D597,ROUND(AS597*'难度参数'!$E$28*'章节与怪物'!$E$17,0),0))</x:f>
        <x:v>1328880</x:v>
      </x:c>
      <x:c r="AU597" s="119" t="n">
        <x:f>IF(AR597=0,0,(AR597-IF(6=D597,1,0))*VLOOKUP(INDEX('章节与怪物'!$E$31:$K$37,B597,6),'章节与怪物'!$A$41:$F$44,4,FALSE)+IF(6=D597,'难度参数'!$E$30,0))</x:f>
        <x:v>1344</x:v>
      </x:c>
      <x:c r="AV597" s="119" t="n">
        <x:f>IF(7&gt;D597,0,MAX(2,MIN('难度参数'!$E$12,ROUND(('难度参数'!$E$18*POWER(A597,'难度参数'!$E$19)/D597*(0.85+0.3*(7-1)/MAX(1,D597-1))),0)+F597)))</x:f>
        <x:v>51</x:v>
      </x:c>
      <x:c r="AW597" s="119" t="n">
        <x:f>IF(7&gt;D597,0,ROUND(('难度参数'!$E$13*POWER(A597,'难度参数'!$E$20)*MIN('难度参数'!$E$23,1+MAX(0,A597-'难度参数'!$E$21)*'难度参数'!$E$22))*(36+7*7)/(36+7*(D597+1)/2)*E597,0))</x:f>
        <x:v>17747</x:v>
      </x:c>
      <x:c r="AX597" s="119" t="n">
        <x:f>IF(AV597=0,0,(AV597-IF(7=D597,1,0))*ROUND(AW597*VLOOKUP(INDEX('章节与怪物'!$E$31:$K$37,B597,7),'章节与怪物'!$A$41:$F$44,2,FALSE),0)+IF(7=D597,ROUND(AW597*'难度参数'!$E$28*'章节与怪物'!$E$17,0),0))</x:f>
        <x:v>1318580</x:v>
      </x:c>
      <x:c r="AY597" s="119" t="n">
        <x:f>IF(AV597=0,0,(AV597-IF(7=D597,1,0))*VLOOKUP(INDEX('章节与怪物'!$E$31:$K$37,B597,7),'章节与怪物'!$A$41:$F$44,4,FALSE)+IF(7=D597,'难度参数'!$E$30,0))</x:f>
        <x:v>1900</x:v>
      </x:c>
    </x:row>
    <x:row r="598" ht="23" customHeight="1">
      <x:c r="A598" s="119" t="n">
        <x:v>592</x:v>
      </x:c>
      <x:c r="B598" s="119" t="n">
        <x:f>MOD(INT((A598-1)/5),7)+1</x:f>
        <x:v>7</x:v>
      </x:c>
      <x:c r="C598" s="62" t="str">
        <x:f>INDEX('章节与怪物'!$B$31:$B$37,B598)</x:f>
        <x:v>魔法山脊</x:v>
      </x:c>
      <x:c r="D598" s="119" t="n">
        <x:f>MIN('难度参数'!$E$8,MAX('难度参数'!$E$7,A598))</x:f>
        <x:v>7</x:v>
      </x:c>
      <x:c r="E598" s="106" t="n">
        <x:v>1</x:v>
      </x:c>
      <x:c r="F598" s="106" t="n">
        <x:v>0</x:v>
      </x:c>
      <x:c r="G598" s="106" t="n">
        <x:v>1</x:v>
      </x:c>
      <x:c r="H598" s="119" t="n">
        <x:f>SUM(X598,AB598,AF598,AJ598,AN598,AR598,AV598)</x:f>
        <x:v>308</x:v>
      </x:c>
      <x:c r="I598" s="119" t="n">
        <x:f>SUM(Z598,AD598,AH598,AL598,AP598,AT598,AX598)</x:f>
        <x:v>5421225</x:v>
      </x:c>
      <x:c r="J598" s="119" t="n">
        <x:f>ROUND(INDEX(X598:AY598,1,(D598-1)*4+2)*'难度参数'!$E$28*'章节与怪物'!$E$17,0)</x:f>
        <x:v>120822</x:v>
      </x:c>
      <x:c r="K598" s="119" t="n">
        <x:f>SUM(AA598,AE598,AI598,AM598,AQ598,AU598,AY598)</x:f>
        <x:v>8302</x:v>
      </x:c>
      <x:c r="L598" s="62" t="n">
        <x:f>H598*(ROUNDUP('难度参数'!$E$24/('难度参数'!$E$26*'难度参数'!$E$27),0)*'难度参数'!$E$26)/60</x:f>
        <x:v>4.1066666666666665</x:v>
      </x:c>
      <x:c r="M598" s="62" t="n">
        <x:f>L598+D598*('难度参数'!$E$49+'难度参数'!$E$50)/60</x:f>
        <x:v>5.273333333333333</x:v>
      </x:c>
      <x:c r="N598" s="119" t="n">
        <x:f>ROUNDDOWN(('经济参数'!$E$20+A598*'经济参数'!$E$21)*G598,0)</x:f>
        <x:v>12020</x:v>
      </x:c>
      <x:c r="O598" s="119" t="n">
        <x:f>ROUNDDOWN(MIN('经济参数'!$E$24,'经济参数'!$E$22+A598*'经济参数'!$E$23)*G598,0)</x:f>
        <x:v>0</x:v>
      </x:c>
      <x:c r="P598" s="119" t="n">
        <x:f>ROUNDDOWN((IF(A598&gt;='材料与任务'!$E$31,'材料与任务'!$E$32,IF(A598&gt;='材料与任务'!$E$25,'材料与任务'!$E$26,IF(A598&gt;='材料与任务'!$E$19,'材料与任务'!$E$20,IF(A598&gt;='材料与任务'!$E$13,'材料与任务'!$E$14,'材料与任务'!$E$8)))))*G598,0)</x:f>
        <x:v>6</x:v>
      </x:c>
      <x:c r="Q598" s="119" t="n">
        <x:f>ROUNDDOWN((IF(A598&gt;='材料与任务'!$E$31,'材料与任务'!$E$33,IF(A598&gt;='材料与任务'!$E$25,'材料与任务'!$E$27,IF(A598&gt;='材料与任务'!$E$19,'材料与任务'!$E$21,IF(A598&gt;='材料与任务'!$E$13,'材料与任务'!$E$15,'材料与任务'!$E$9)))))*G598,0)</x:f>
        <x:v>3</x:v>
      </x:c>
      <x:c r="R598" s="110" t="n">
        <x:f>'装备掉落'!$B$38</x:f>
        <x:v>0.6872058758851213</x:v>
      </x:c>
      <x:c r="S598" s="119" t="n">
        <x:f>MAX(IF(VLOOKUP(A598,'装备掉落'!$A$29:$H$34,2,TRUE)&gt;0,1,0),IF(VLOOKUP(A598,'装备掉落'!$A$29:$H$34,3,TRUE)&gt;0,2,0),IF(VLOOKUP(A598,'装备掉落'!$A$29:$H$34,4,TRUE)&gt;0,3,0),IF(VLOOKUP(A598,'装备掉落'!$A$29:$H$34,5,TRUE)&gt;0,4,0),IF(VLOOKUP(A598,'装备掉落'!$A$29:$H$34,6,TRUE)&gt;0,5,0),IF(VLOOKUP(A598,'装备掉落'!$A$29:$H$34,7,TRUE)&gt;0,6,0),IF(VLOOKUP(A598,'装备掉落'!$A$29:$H$34,8,TRUE)&gt;0,7,0))</x:f>
        <x:v>7</x:v>
      </x:c>
      <x:c r="T598" s="119" t="n">
        <x:f>MIN(7,S598+'经济参数'!$E$70)</x:f>
        <x:v>7</x:v>
      </x:c>
      <x:c r="U598" s="119" t="n">
        <x:f>MIN(7,S598+'经济参数'!$E$71)</x:f>
        <x:v>7</x:v>
      </x:c>
      <x:c r="V598" s="119" t="n">
        <x:f>IF(H598&gt;=('难度参数'!$E$52),1,0)+IF(H598&gt;=('难度参数'!$E$52+'难度参数'!$E$53),1,0)+IF(H598&gt;=('难度参数'!$E$52+'难度参数'!$E$53+'难度参数'!$E$54),1,0)+IF(H598&gt;=('难度参数'!$E$52+'难度参数'!$E$53+'难度参数'!$E$54+'难度参数'!$E$55),1,0)+IF(H598&gt;=('难度参数'!$E$52+'难度参数'!$E$53+'难度参数'!$E$54+'难度参数'!$E$55+'难度参数'!$E$56),1,0)+IF(H598&gt;=('难度参数'!$E$52+'难度参数'!$E$53+'难度参数'!$E$54+'难度参数'!$E$55+'难度参数'!$E$56+'难度参数'!$E$57),1,0)</x:f>
        <x:v>6</x:v>
      </x:c>
      <x:c r="W598" s="62" t="str">
        <x:f>IF(L598&gt;'难度参数'!$E$51,"仅出怪已超目标","还需实测")</x:f>
        <x:v>仅出怪已超目标</x:v>
      </x:c>
      <x:c r="X598" s="119" t="n">
        <x:f>IF(1&gt;D598,0,MAX(2,MIN('难度参数'!$E$12,ROUND(('难度参数'!$E$18*POWER(A598,'难度参数'!$E$19)/D598*(0.85+0.3*(1-1)/MAX(1,D598-1))),0)+F598)))</x:f>
        <x:v>37</x:v>
      </x:c>
      <x:c r="Y598" s="119" t="n">
        <x:f>IF(1&gt;D598,0,ROUND(('难度参数'!$E$13*POWER(A598,'难度参数'!$E$20)*MIN('难度参数'!$E$23,1+MAX(0,A598-'难度参数'!$E$21)*'难度参数'!$E$22))*(36+1*7)/(36+7*(D598+1)/2)*E598,0))</x:f>
        <x:v>8989</x:v>
      </x:c>
      <x:c r="Z598" s="119" t="n">
        <x:f>IF(X598=0,0,(X598-IF(1=D598,1,0))*ROUND(Y598*VLOOKUP(INDEX('章节与怪物'!$E$31:$K$37,B598,1),'章节与怪物'!$A$41:$F$44,2,FALSE),0)+IF(1=D598,ROUND(Y598*'难度参数'!$E$28*'章节与怪物'!$E$17,0),0))</x:f>
        <x:v>332593</x:v>
      </x:c>
      <x:c r="AA598" s="119" t="n">
        <x:f>IF(X598=0,0,(X598-IF(1=D598,1,0))*VLOOKUP(INDEX('章节与怪物'!$E$31:$K$37,B598,1),'章节与怪物'!$A$41:$F$44,4,FALSE)+IF(1=D598,'难度参数'!$E$30,0))</x:f>
        <x:v>666</x:v>
      </x:c>
      <x:c r="AB598" s="119" t="n">
        <x:f>IF(2&gt;D598,0,MAX(2,MIN('难度参数'!$E$12,ROUND(('难度参数'!$E$18*POWER(A598,'难度参数'!$E$19)/D598*(0.85+0.3*(2-1)/MAX(1,D598-1))),0)+F598)))</x:f>
        <x:v>40</x:v>
      </x:c>
      <x:c r="AC598" s="119" t="n">
        <x:f>IF(2&gt;D598,0,ROUND(('难度参数'!$E$13*POWER(A598,'难度参数'!$E$20)*MIN('难度参数'!$E$23,1+MAX(0,A598-'难度参数'!$E$21)*'难度参数'!$E$22))*(36+2*7)/(36+7*(D598+1)/2)*E598,0))</x:f>
        <x:v>10452</x:v>
      </x:c>
      <x:c r="AD598" s="119" t="n">
        <x:f>IF(AB598=0,0,(AB598-IF(2=D598,1,0))*ROUND(AC598*VLOOKUP(INDEX('章节与怪物'!$E$31:$K$37,B598,2),'章节与怪物'!$A$41:$F$44,2,FALSE),0)+IF(2=D598,ROUND(AC598*'难度参数'!$E$28*'章节与怪物'!$E$17,0),0))</x:f>
        <x:v>301000</x:v>
      </x:c>
      <x:c r="AE598" s="119" t="n">
        <x:f>IF(AB598=0,0,(AB598-IF(2=D598,1,0))*VLOOKUP(INDEX('章节与怪物'!$E$31:$K$37,B598,2),'章节与怪物'!$A$41:$F$44,4,FALSE)+IF(2=D598,'难度参数'!$E$30,0))</x:f>
        <x:v>800</x:v>
      </x:c>
      <x:c r="AF598" s="119" t="n">
        <x:f>IF(3&gt;D598,0,MAX(2,MIN('难度参数'!$E$12,ROUND(('难度参数'!$E$18*POWER(A598,'难度参数'!$E$19)/D598*(0.85+0.3*(3-1)/MAX(1,D598-1))),0)+F598)))</x:f>
        <x:v>42</x:v>
      </x:c>
      <x:c r="AG598" s="119" t="n">
        <x:f>IF(3&gt;D598,0,ROUND(('难度参数'!$E$13*POWER(A598,'难度参数'!$E$20)*MIN('难度参数'!$E$23,1+MAX(0,A598-'难度参数'!$E$21)*'难度参数'!$E$22))*(36+3*7)/(36+7*(D598+1)/2)*E598,0))</x:f>
        <x:v>11915</x:v>
      </x:c>
      <x:c r="AH598" s="119" t="n">
        <x:f>IF(AF598=0,0,(AF598-IF(3=D598,1,0))*ROUND(AG598*VLOOKUP(INDEX('章节与怪物'!$E$31:$K$37,B598,3),'章节与怪物'!$A$41:$F$44,2,FALSE),0)+IF(3=D598,ROUND(AG598*'难度参数'!$E$28*'章节与怪物'!$E$17,0),0))</x:f>
        <x:v>850752</x:v>
      </x:c>
      <x:c r="AI598" s="119" t="n">
        <x:f>IF(AF598=0,0,(AF598-IF(3=D598,1,0))*VLOOKUP(INDEX('章节与怪物'!$E$31:$K$37,B598,3),'章节与怪物'!$A$41:$F$44,4,FALSE)+IF(3=D598,'难度参数'!$E$30,0))</x:f>
        <x:v>1176</x:v>
      </x:c>
      <x:c r="AJ598" s="119" t="n">
        <x:f>IF(4&gt;D598,0,MAX(2,MIN('难度参数'!$E$12,ROUND(('难度参数'!$E$18*POWER(A598,'难度参数'!$E$19)/D598*(0.85+0.3*(4-1)/MAX(1,D598-1))),0)+F598)))</x:f>
        <x:v>44</x:v>
      </x:c>
      <x:c r="AK598" s="119" t="n">
        <x:f>IF(4&gt;D598,0,ROUND(('难度参数'!$E$13*POWER(A598,'难度参数'!$E$20)*MIN('难度参数'!$E$23,1+MAX(0,A598-'难度参数'!$E$21)*'难度参数'!$E$22))*(36+4*7)/(36+7*(D598+1)/2)*E598,0))</x:f>
        <x:v>13378</x:v>
      </x:c>
      <x:c r="AL598" s="119" t="n">
        <x:f>IF(AJ598=0,0,(AJ598-IF(4=D598,1,0))*ROUND(AK598*VLOOKUP(INDEX('章节与怪物'!$E$31:$K$37,B598,4),'章节与怪物'!$A$41:$F$44,2,FALSE),0)+IF(4=D598,ROUND(AK598*'难度参数'!$E$28*'章节与怪物'!$E$17,0),0))</x:f>
        <x:v>794640</x:v>
      </x:c>
      <x:c r="AM598" s="119" t="n">
        <x:f>IF(AJ598=0,0,(AJ598-IF(4=D598,1,0))*VLOOKUP(INDEX('章节与怪物'!$E$31:$K$37,B598,4),'章节与怪物'!$A$41:$F$44,4,FALSE)+IF(4=D598,'难度参数'!$E$30,0))</x:f>
        <x:v>1496</x:v>
      </x:c>
      <x:c r="AN598" s="119" t="n">
        <x:f>IF(5&gt;D598,0,MAX(2,MIN('难度参数'!$E$12,ROUND(('难度参数'!$E$18*POWER(A598,'难度参数'!$E$19)/D598*(0.85+0.3*(5-1)/MAX(1,D598-1))),0)+F598)))</x:f>
        <x:v>46</x:v>
      </x:c>
      <x:c r="AO598" s="119" t="n">
        <x:f>IF(5&gt;D598,0,ROUND(('难度参数'!$E$13*POWER(A598,'难度参数'!$E$20)*MIN('难度参数'!$E$23,1+MAX(0,A598-'难度参数'!$E$21)*'难度参数'!$E$22))*(36+5*7)/(36+7*(D598+1)/2)*E598,0))</x:f>
        <x:v>14842</x:v>
      </x:c>
      <x:c r="AP598" s="119" t="n">
        <x:f>IF(AN598=0,0,(AN598-IF(5=D598,1,0))*ROUND(AO598*VLOOKUP(INDEX('章节与怪物'!$E$31:$K$37,B598,5),'章节与怪物'!$A$41:$F$44,2,FALSE),0)+IF(5=D598,ROUND(AO598*'难度参数'!$E$28*'章节与怪物'!$E$17,0),0))</x:f>
        <x:v>491556</x:v>
      </x:c>
      <x:c r="AQ598" s="119" t="n">
        <x:f>IF(AN598=0,0,(AN598-IF(5=D598,1,0))*VLOOKUP(INDEX('章节与怪物'!$E$31:$K$37,B598,5),'章节与怪物'!$A$41:$F$44,4,FALSE)+IF(5=D598,'难度参数'!$E$30,0))</x:f>
        <x:v>920</x:v>
      </x:c>
      <x:c r="AR598" s="119" t="n">
        <x:f>IF(6&gt;D598,0,MAX(2,MIN('难度参数'!$E$12,ROUND(('难度参数'!$E$18*POWER(A598,'难度参数'!$E$19)/D598*(0.85+0.3*(6-1)/MAX(1,D598-1))),0)+F598)))</x:f>
        <x:v>48</x:v>
      </x:c>
      <x:c r="AS598" s="119" t="n">
        <x:f>IF(6&gt;D598,0,ROUND(('难度参数'!$E$13*POWER(A598,'难度参数'!$E$20)*MIN('难度参数'!$E$23,1+MAX(0,A598-'难度参数'!$E$21)*'难度参数'!$E$22))*(36+6*7)/(36+7*(D598+1)/2)*E598,0))</x:f>
        <x:v>16305</x:v>
      </x:c>
      <x:c r="AT598" s="119" t="n">
        <x:f>IF(AR598=0,0,(AR598-IF(6=D598,1,0))*ROUND(AS598*VLOOKUP(INDEX('章节与怪物'!$E$31:$K$37,B598,6),'章节与怪物'!$A$41:$F$44,2,FALSE),0)+IF(6=D598,ROUND(AS598*'难度参数'!$E$28*'章节与怪物'!$E$17,0),0))</x:f>
        <x:v>1330512</x:v>
      </x:c>
      <x:c r="AU598" s="119" t="n">
        <x:f>IF(AR598=0,0,(AR598-IF(6=D598,1,0))*VLOOKUP(INDEX('章节与怪物'!$E$31:$K$37,B598,6),'章节与怪物'!$A$41:$F$44,4,FALSE)+IF(6=D598,'难度参数'!$E$30,0))</x:f>
        <x:v>1344</x:v>
      </x:c>
      <x:c r="AV598" s="119" t="n">
        <x:f>IF(7&gt;D598,0,MAX(2,MIN('难度参数'!$E$12,ROUND(('难度参数'!$E$18*POWER(A598,'难度参数'!$E$19)/D598*(0.85+0.3*(7-1)/MAX(1,D598-1))),0)+F598)))</x:f>
        <x:v>51</x:v>
      </x:c>
      <x:c r="AW598" s="119" t="n">
        <x:f>IF(7&gt;D598,0,ROUND(('难度参数'!$E$13*POWER(A598,'难度参数'!$E$20)*MIN('难度参数'!$E$23,1+MAX(0,A598-'难度参数'!$E$21)*'难度参数'!$E$22))*(36+7*7)/(36+7*(D598+1)/2)*E598,0))</x:f>
        <x:v>17768</x:v>
      </x:c>
      <x:c r="AX598" s="119" t="n">
        <x:f>IF(AV598=0,0,(AV598-IF(7=D598,1,0))*ROUND(AW598*VLOOKUP(INDEX('章节与怪物'!$E$31:$K$37,B598,7),'章节与怪物'!$A$41:$F$44,2,FALSE),0)+IF(7=D598,ROUND(AW598*'难度参数'!$E$28*'章节与怪物'!$E$17,0),0))</x:f>
        <x:v>1320172</x:v>
      </x:c>
      <x:c r="AY598" s="119" t="n">
        <x:f>IF(AV598=0,0,(AV598-IF(7=D598,1,0))*VLOOKUP(INDEX('章节与怪物'!$E$31:$K$37,B598,7),'章节与怪物'!$A$41:$F$44,4,FALSE)+IF(7=D598,'难度参数'!$E$30,0))</x:f>
        <x:v>1900</x:v>
      </x:c>
    </x:row>
    <x:row r="599" ht="23" customHeight="1">
      <x:c r="A599" s="119" t="n">
        <x:v>593</x:v>
      </x:c>
      <x:c r="B599" s="119" t="n">
        <x:f>MOD(INT((A599-1)/5),7)+1</x:f>
        <x:v>7</x:v>
      </x:c>
      <x:c r="C599" s="62" t="str">
        <x:f>INDEX('章节与怪物'!$B$31:$B$37,B599)</x:f>
        <x:v>魔法山脊</x:v>
      </x:c>
      <x:c r="D599" s="119" t="n">
        <x:f>MIN('难度参数'!$E$8,MAX('难度参数'!$E$7,A599))</x:f>
        <x:v>7</x:v>
      </x:c>
      <x:c r="E599" s="106" t="n">
        <x:v>1</x:v>
      </x:c>
      <x:c r="F599" s="106" t="n">
        <x:v>0</x:v>
      </x:c>
      <x:c r="G599" s="106" t="n">
        <x:v>1</x:v>
      </x:c>
      <x:c r="H599" s="119" t="n">
        <x:f>SUM(X599,AB599,AF599,AJ599,AN599,AR599,AV599)</x:f>
        <x:v>308</x:v>
      </x:c>
      <x:c r="I599" s="119" t="n">
        <x:f>SUM(Z599,AD599,AH599,AL599,AP599,AT599,AX599)</x:f>
        <x:v>5427974</x:v>
      </x:c>
      <x:c r="J599" s="119" t="n">
        <x:f>ROUND(INDEX(X599:AY599,1,(D599-1)*4+2)*'难度参数'!$E$28*'章节与怪物'!$E$17,0)</x:f>
        <x:v>120972</x:v>
      </x:c>
      <x:c r="K599" s="119" t="n">
        <x:f>SUM(AA599,AE599,AI599,AM599,AQ599,AU599,AY599)</x:f>
        <x:v>8302</x:v>
      </x:c>
      <x:c r="L599" s="62" t="n">
        <x:f>H599*(ROUNDUP('难度参数'!$E$24/('难度参数'!$E$26*'难度参数'!$E$27),0)*'难度参数'!$E$26)/60</x:f>
        <x:v>4.1066666666666665</x:v>
      </x:c>
      <x:c r="M599" s="62" t="n">
        <x:f>L599+D599*('难度参数'!$E$49+'难度参数'!$E$50)/60</x:f>
        <x:v>5.273333333333333</x:v>
      </x:c>
      <x:c r="N599" s="119" t="n">
        <x:f>ROUNDDOWN(('经济参数'!$E$20+A599*'经济参数'!$E$21)*G599,0)</x:f>
        <x:v>12040</x:v>
      </x:c>
      <x:c r="O599" s="119" t="n">
        <x:f>ROUNDDOWN(MIN('经济参数'!$E$24,'经济参数'!$E$22+A599*'经济参数'!$E$23)*G599,0)</x:f>
        <x:v>0</x:v>
      </x:c>
      <x:c r="P599" s="119" t="n">
        <x:f>ROUNDDOWN((IF(A599&gt;='材料与任务'!$E$31,'材料与任务'!$E$32,IF(A599&gt;='材料与任务'!$E$25,'材料与任务'!$E$26,IF(A599&gt;='材料与任务'!$E$19,'材料与任务'!$E$20,IF(A599&gt;='材料与任务'!$E$13,'材料与任务'!$E$14,'材料与任务'!$E$8)))))*G599,0)</x:f>
        <x:v>6</x:v>
      </x:c>
      <x:c r="Q599" s="119" t="n">
        <x:f>ROUNDDOWN((IF(A599&gt;='材料与任务'!$E$31,'材料与任务'!$E$33,IF(A599&gt;='材料与任务'!$E$25,'材料与任务'!$E$27,IF(A599&gt;='材料与任务'!$E$19,'材料与任务'!$E$21,IF(A599&gt;='材料与任务'!$E$13,'材料与任务'!$E$15,'材料与任务'!$E$9)))))*G599,0)</x:f>
        <x:v>3</x:v>
      </x:c>
      <x:c r="R599" s="110" t="n">
        <x:f>'装备掉落'!$B$38</x:f>
        <x:v>0.6872058758851213</x:v>
      </x:c>
      <x:c r="S599" s="119" t="n">
        <x:f>MAX(IF(VLOOKUP(A599,'装备掉落'!$A$29:$H$34,2,TRUE)&gt;0,1,0),IF(VLOOKUP(A599,'装备掉落'!$A$29:$H$34,3,TRUE)&gt;0,2,0),IF(VLOOKUP(A599,'装备掉落'!$A$29:$H$34,4,TRUE)&gt;0,3,0),IF(VLOOKUP(A599,'装备掉落'!$A$29:$H$34,5,TRUE)&gt;0,4,0),IF(VLOOKUP(A599,'装备掉落'!$A$29:$H$34,6,TRUE)&gt;0,5,0),IF(VLOOKUP(A599,'装备掉落'!$A$29:$H$34,7,TRUE)&gt;0,6,0),IF(VLOOKUP(A599,'装备掉落'!$A$29:$H$34,8,TRUE)&gt;0,7,0))</x:f>
        <x:v>7</x:v>
      </x:c>
      <x:c r="T599" s="119" t="n">
        <x:f>MIN(7,S599+'经济参数'!$E$70)</x:f>
        <x:v>7</x:v>
      </x:c>
      <x:c r="U599" s="119" t="n">
        <x:f>MIN(7,S599+'经济参数'!$E$71)</x:f>
        <x:v>7</x:v>
      </x:c>
      <x:c r="V599" s="119" t="n">
        <x:f>IF(H599&gt;=('难度参数'!$E$52),1,0)+IF(H599&gt;=('难度参数'!$E$52+'难度参数'!$E$53),1,0)+IF(H599&gt;=('难度参数'!$E$52+'难度参数'!$E$53+'难度参数'!$E$54),1,0)+IF(H599&gt;=('难度参数'!$E$52+'难度参数'!$E$53+'难度参数'!$E$54+'难度参数'!$E$55),1,0)+IF(H599&gt;=('难度参数'!$E$52+'难度参数'!$E$53+'难度参数'!$E$54+'难度参数'!$E$55+'难度参数'!$E$56),1,0)+IF(H599&gt;=('难度参数'!$E$52+'难度参数'!$E$53+'难度参数'!$E$54+'难度参数'!$E$55+'难度参数'!$E$56+'难度参数'!$E$57),1,0)</x:f>
        <x:v>6</x:v>
      </x:c>
      <x:c r="W599" s="62" t="str">
        <x:f>IF(L599&gt;'难度参数'!$E$51,"仅出怪已超目标","还需实测")</x:f>
        <x:v>仅出怪已超目标</x:v>
      </x:c>
      <x:c r="X599" s="119" t="n">
        <x:f>IF(1&gt;D599,0,MAX(2,MIN('难度参数'!$E$12,ROUND(('难度参数'!$E$18*POWER(A599,'难度参数'!$E$19)/D599*(0.85+0.3*(1-1)/MAX(1,D599-1))),0)+F599)))</x:f>
        <x:v>37</x:v>
      </x:c>
      <x:c r="Y599" s="119" t="n">
        <x:f>IF(1&gt;D599,0,ROUND(('难度参数'!$E$13*POWER(A599,'难度参数'!$E$20)*MIN('难度参数'!$E$23,1+MAX(0,A599-'难度参数'!$E$21)*'难度参数'!$E$22))*(36+1*7)/(36+7*(D599+1)/2)*E599,0))</x:f>
        <x:v>9000</x:v>
      </x:c>
      <x:c r="Z599" s="119" t="n">
        <x:f>IF(X599=0,0,(X599-IF(1=D599,1,0))*ROUND(Y599*VLOOKUP(INDEX('章节与怪物'!$E$31:$K$37,B599,1),'章节与怪物'!$A$41:$F$44,2,FALSE),0)+IF(1=D599,ROUND(Y599*'难度参数'!$E$28*'章节与怪物'!$E$17,0),0))</x:f>
        <x:v>333000</x:v>
      </x:c>
      <x:c r="AA599" s="119" t="n">
        <x:f>IF(X599=0,0,(X599-IF(1=D599,1,0))*VLOOKUP(INDEX('章节与怪物'!$E$31:$K$37,B599,1),'章节与怪物'!$A$41:$F$44,4,FALSE)+IF(1=D599,'难度参数'!$E$30,0))</x:f>
        <x:v>666</x:v>
      </x:c>
      <x:c r="AB599" s="119" t="n">
        <x:f>IF(2&gt;D599,0,MAX(2,MIN('难度参数'!$E$12,ROUND(('难度参数'!$E$18*POWER(A599,'难度参数'!$E$19)/D599*(0.85+0.3*(2-1)/MAX(1,D599-1))),0)+F599)))</x:f>
        <x:v>40</x:v>
      </x:c>
      <x:c r="AC599" s="119" t="n">
        <x:f>IF(2&gt;D599,0,ROUND(('难度参数'!$E$13*POWER(A599,'难度参数'!$E$20)*MIN('难度参数'!$E$23,1+MAX(0,A599-'难度参数'!$E$21)*'难度参数'!$E$22))*(36+2*7)/(36+7*(D599+1)/2)*E599,0))</x:f>
        <x:v>10465</x:v>
      </x:c>
      <x:c r="AD599" s="119" t="n">
        <x:f>IF(AB599=0,0,(AB599-IF(2=D599,1,0))*ROUND(AC599*VLOOKUP(INDEX('章节与怪物'!$E$31:$K$37,B599,2),'章节与怪物'!$A$41:$F$44,2,FALSE),0)+IF(2=D599,ROUND(AC599*'难度参数'!$E$28*'章节与怪物'!$E$17,0),0))</x:f>
        <x:v>301400</x:v>
      </x:c>
      <x:c r="AE599" s="119" t="n">
        <x:f>IF(AB599=0,0,(AB599-IF(2=D599,1,0))*VLOOKUP(INDEX('章节与怪物'!$E$31:$K$37,B599,2),'章节与怪物'!$A$41:$F$44,4,FALSE)+IF(2=D599,'难度参数'!$E$30,0))</x:f>
        <x:v>800</x:v>
      </x:c>
      <x:c r="AF599" s="119" t="n">
        <x:f>IF(3&gt;D599,0,MAX(2,MIN('难度参数'!$E$12,ROUND(('难度参数'!$E$18*POWER(A599,'难度参数'!$E$19)/D599*(0.85+0.3*(3-1)/MAX(1,D599-1))),0)+F599)))</x:f>
        <x:v>42</x:v>
      </x:c>
      <x:c r="AG599" s="119" t="n">
        <x:f>IF(3&gt;D599,0,ROUND(('难度参数'!$E$13*POWER(A599,'难度参数'!$E$20)*MIN('难度参数'!$E$23,1+MAX(0,A599-'难度参数'!$E$21)*'难度参数'!$E$22))*(36+3*7)/(36+7*(D599+1)/2)*E599,0))</x:f>
        <x:v>11930</x:v>
      </x:c>
      <x:c r="AH599" s="119" t="n">
        <x:f>IF(AF599=0,0,(AF599-IF(3=D599,1,0))*ROUND(AG599*VLOOKUP(INDEX('章节与怪物'!$E$31:$K$37,B599,3),'章节与怪物'!$A$41:$F$44,2,FALSE),0)+IF(3=D599,ROUND(AG599*'难度参数'!$E$28*'章节与怪物'!$E$17,0),0))</x:f>
        <x:v>851802</x:v>
      </x:c>
      <x:c r="AI599" s="119" t="n">
        <x:f>IF(AF599=0,0,(AF599-IF(3=D599,1,0))*VLOOKUP(INDEX('章节与怪物'!$E$31:$K$37,B599,3),'章节与怪物'!$A$41:$F$44,4,FALSE)+IF(3=D599,'难度参数'!$E$30,0))</x:f>
        <x:v>1176</x:v>
      </x:c>
      <x:c r="AJ599" s="119" t="n">
        <x:f>IF(4&gt;D599,0,MAX(2,MIN('难度参数'!$E$12,ROUND(('难度参数'!$E$18*POWER(A599,'难度参数'!$E$19)/D599*(0.85+0.3*(4-1)/MAX(1,D599-1))),0)+F599)))</x:f>
        <x:v>44</x:v>
      </x:c>
      <x:c r="AK599" s="119" t="n">
        <x:f>IF(4&gt;D599,0,ROUND(('难度参数'!$E$13*POWER(A599,'难度参数'!$E$20)*MIN('难度参数'!$E$23,1+MAX(0,A599-'难度参数'!$E$21)*'难度参数'!$E$22))*(36+4*7)/(36+7*(D599+1)/2)*E599,0))</x:f>
        <x:v>13395</x:v>
      </x:c>
      <x:c r="AL599" s="119" t="n">
        <x:f>IF(AJ599=0,0,(AJ599-IF(4=D599,1,0))*ROUND(AK599*VLOOKUP(INDEX('章节与怪物'!$E$31:$K$37,B599,4),'章节与怪物'!$A$41:$F$44,2,FALSE),0)+IF(4=D599,ROUND(AK599*'难度参数'!$E$28*'章节与怪物'!$E$17,0),0))</x:f>
        <x:v>795652</x:v>
      </x:c>
      <x:c r="AM599" s="119" t="n">
        <x:f>IF(AJ599=0,0,(AJ599-IF(4=D599,1,0))*VLOOKUP(INDEX('章节与怪物'!$E$31:$K$37,B599,4),'章节与怪物'!$A$41:$F$44,4,FALSE)+IF(4=D599,'难度参数'!$E$30,0))</x:f>
        <x:v>1496</x:v>
      </x:c>
      <x:c r="AN599" s="119" t="n">
        <x:f>IF(5&gt;D599,0,MAX(2,MIN('难度参数'!$E$12,ROUND(('难度参数'!$E$18*POWER(A599,'难度参数'!$E$19)/D599*(0.85+0.3*(5-1)/MAX(1,D599-1))),0)+F599)))</x:f>
        <x:v>46</x:v>
      </x:c>
      <x:c r="AO599" s="119" t="n">
        <x:f>IF(5&gt;D599,0,ROUND(('难度参数'!$E$13*POWER(A599,'难度参数'!$E$20)*MIN('难度参数'!$E$23,1+MAX(0,A599-'难度参数'!$E$21)*'难度参数'!$E$22))*(36+5*7)/(36+7*(D599+1)/2)*E599,0))</x:f>
        <x:v>14860</x:v>
      </x:c>
      <x:c r="AP599" s="119" t="n">
        <x:f>IF(AN599=0,0,(AN599-IF(5=D599,1,0))*ROUND(AO599*VLOOKUP(INDEX('章节与怪物'!$E$31:$K$37,B599,5),'章节与怪物'!$A$41:$F$44,2,FALSE),0)+IF(5=D599,ROUND(AO599*'难度参数'!$E$28*'章节与怪物'!$E$17,0),0))</x:f>
        <x:v>492154</x:v>
      </x:c>
      <x:c r="AQ599" s="119" t="n">
        <x:f>IF(AN599=0,0,(AN599-IF(5=D599,1,0))*VLOOKUP(INDEX('章节与怪物'!$E$31:$K$37,B599,5),'章节与怪物'!$A$41:$F$44,4,FALSE)+IF(5=D599,'难度参数'!$E$30,0))</x:f>
        <x:v>920</x:v>
      </x:c>
      <x:c r="AR599" s="119" t="n">
        <x:f>IF(6&gt;D599,0,MAX(2,MIN('难度参数'!$E$12,ROUND(('难度参数'!$E$18*POWER(A599,'难度参数'!$E$19)/D599*(0.85+0.3*(6-1)/MAX(1,D599-1))),0)+F599)))</x:f>
        <x:v>48</x:v>
      </x:c>
      <x:c r="AS599" s="119" t="n">
        <x:f>IF(6&gt;D599,0,ROUND(('难度参数'!$E$13*POWER(A599,'难度参数'!$E$20)*MIN('难度参数'!$E$23,1+MAX(0,A599-'难度参数'!$E$21)*'难度参数'!$E$22))*(36+6*7)/(36+7*(D599+1)/2)*E599,0))</x:f>
        <x:v>16325</x:v>
      </x:c>
      <x:c r="AT599" s="119" t="n">
        <x:f>IF(AR599=0,0,(AR599-IF(6=D599,1,0))*ROUND(AS599*VLOOKUP(INDEX('章节与怪物'!$E$31:$K$37,B599,6),'章节与怪物'!$A$41:$F$44,2,FALSE),0)+IF(6=D599,ROUND(AS599*'难度参数'!$E$28*'章节与怪物'!$E$17,0),0))</x:f>
        <x:v>1332144</x:v>
      </x:c>
      <x:c r="AU599" s="119" t="n">
        <x:f>IF(AR599=0,0,(AR599-IF(6=D599,1,0))*VLOOKUP(INDEX('章节与怪物'!$E$31:$K$37,B599,6),'章节与怪物'!$A$41:$F$44,4,FALSE)+IF(6=D599,'难度参数'!$E$30,0))</x:f>
        <x:v>1344</x:v>
      </x:c>
      <x:c r="AV599" s="119" t="n">
        <x:f>IF(7&gt;D599,0,MAX(2,MIN('难度参数'!$E$12,ROUND(('难度参数'!$E$18*POWER(A599,'难度参数'!$E$19)/D599*(0.85+0.3*(7-1)/MAX(1,D599-1))),0)+F599)))</x:f>
        <x:v>51</x:v>
      </x:c>
      <x:c r="AW599" s="119" t="n">
        <x:f>IF(7&gt;D599,0,ROUND(('难度参数'!$E$13*POWER(A599,'难度参数'!$E$20)*MIN('难度参数'!$E$23,1+MAX(0,A599-'难度参数'!$E$21)*'难度参数'!$E$22))*(36+7*7)/(36+7*(D599+1)/2)*E599,0))</x:f>
        <x:v>17790</x:v>
      </x:c>
      <x:c r="AX599" s="119" t="n">
        <x:f>IF(AV599=0,0,(AV599-IF(7=D599,1,0))*ROUND(AW599*VLOOKUP(INDEX('章节与怪物'!$E$31:$K$37,B599,7),'章节与怪物'!$A$41:$F$44,2,FALSE),0)+IF(7=D599,ROUND(AW599*'难度参数'!$E$28*'章节与怪物'!$E$17,0),0))</x:f>
        <x:v>1321822</x:v>
      </x:c>
      <x:c r="AY599" s="119" t="n">
        <x:f>IF(AV599=0,0,(AV599-IF(7=D599,1,0))*VLOOKUP(INDEX('章节与怪物'!$E$31:$K$37,B599,7),'章节与怪物'!$A$41:$F$44,4,FALSE)+IF(7=D599,'难度参数'!$E$30,0))</x:f>
        <x:v>1900</x:v>
      </x:c>
    </x:row>
    <x:row r="600" ht="23" customHeight="1">
      <x:c r="A600" s="119" t="n">
        <x:v>594</x:v>
      </x:c>
      <x:c r="B600" s="119" t="n">
        <x:f>MOD(INT((A600-1)/5),7)+1</x:f>
        <x:v>7</x:v>
      </x:c>
      <x:c r="C600" s="62" t="str">
        <x:f>INDEX('章节与怪物'!$B$31:$B$37,B600)</x:f>
        <x:v>魔法山脊</x:v>
      </x:c>
      <x:c r="D600" s="119" t="n">
        <x:f>MIN('难度参数'!$E$8,MAX('难度参数'!$E$7,A600))</x:f>
        <x:v>7</x:v>
      </x:c>
      <x:c r="E600" s="106" t="n">
        <x:v>1</x:v>
      </x:c>
      <x:c r="F600" s="106" t="n">
        <x:v>0</x:v>
      </x:c>
      <x:c r="G600" s="106" t="n">
        <x:v>1</x:v>
      </x:c>
      <x:c r="H600" s="119" t="n">
        <x:f>SUM(X600,AB600,AF600,AJ600,AN600,AR600,AV600)</x:f>
        <x:v>308</x:v>
      </x:c>
      <x:c r="I600" s="119" t="n">
        <x:f>SUM(Z600,AD600,AH600,AL600,AP600,AT600,AX600)</x:f>
        <x:v>5434413</x:v>
      </x:c>
      <x:c r="J600" s="119" t="n">
        <x:f>ROUND(INDEX(X600:AY600,1,(D600-1)*4+2)*'难度参数'!$E$28*'章节与怪物'!$E$17,0)</x:f>
        <x:v>121115</x:v>
      </x:c>
      <x:c r="K600" s="119" t="n">
        <x:f>SUM(AA600,AE600,AI600,AM600,AQ600,AU600,AY600)</x:f>
        <x:v>8302</x:v>
      </x:c>
      <x:c r="L600" s="62" t="n">
        <x:f>H600*(ROUNDUP('难度参数'!$E$24/('难度参数'!$E$26*'难度参数'!$E$27),0)*'难度参数'!$E$26)/60</x:f>
        <x:v>4.1066666666666665</x:v>
      </x:c>
      <x:c r="M600" s="62" t="n">
        <x:f>L600+D600*('难度参数'!$E$49+'难度参数'!$E$50)/60</x:f>
        <x:v>5.273333333333333</x:v>
      </x:c>
      <x:c r="N600" s="119" t="n">
        <x:f>ROUNDDOWN(('经济参数'!$E$20+A600*'经济参数'!$E$21)*G600,0)</x:f>
        <x:v>12060</x:v>
      </x:c>
      <x:c r="O600" s="119" t="n">
        <x:f>ROUNDDOWN(MIN('经济参数'!$E$24,'经济参数'!$E$22+A600*'经济参数'!$E$23)*G600,0)</x:f>
        <x:v>0</x:v>
      </x:c>
      <x:c r="P600" s="119" t="n">
        <x:f>ROUNDDOWN((IF(A600&gt;='材料与任务'!$E$31,'材料与任务'!$E$32,IF(A600&gt;='材料与任务'!$E$25,'材料与任务'!$E$26,IF(A600&gt;='材料与任务'!$E$19,'材料与任务'!$E$20,IF(A600&gt;='材料与任务'!$E$13,'材料与任务'!$E$14,'材料与任务'!$E$8)))))*G600,0)</x:f>
        <x:v>6</x:v>
      </x:c>
      <x:c r="Q600" s="119" t="n">
        <x:f>ROUNDDOWN((IF(A600&gt;='材料与任务'!$E$31,'材料与任务'!$E$33,IF(A600&gt;='材料与任务'!$E$25,'材料与任务'!$E$27,IF(A600&gt;='材料与任务'!$E$19,'材料与任务'!$E$21,IF(A600&gt;='材料与任务'!$E$13,'材料与任务'!$E$15,'材料与任务'!$E$9)))))*G600,0)</x:f>
        <x:v>3</x:v>
      </x:c>
      <x:c r="R600" s="110" t="n">
        <x:f>'装备掉落'!$B$38</x:f>
        <x:v>0.6872058758851213</x:v>
      </x:c>
      <x:c r="S600" s="119" t="n">
        <x:f>MAX(IF(VLOOKUP(A600,'装备掉落'!$A$29:$H$34,2,TRUE)&gt;0,1,0),IF(VLOOKUP(A600,'装备掉落'!$A$29:$H$34,3,TRUE)&gt;0,2,0),IF(VLOOKUP(A600,'装备掉落'!$A$29:$H$34,4,TRUE)&gt;0,3,0),IF(VLOOKUP(A600,'装备掉落'!$A$29:$H$34,5,TRUE)&gt;0,4,0),IF(VLOOKUP(A600,'装备掉落'!$A$29:$H$34,6,TRUE)&gt;0,5,0),IF(VLOOKUP(A600,'装备掉落'!$A$29:$H$34,7,TRUE)&gt;0,6,0),IF(VLOOKUP(A600,'装备掉落'!$A$29:$H$34,8,TRUE)&gt;0,7,0))</x:f>
        <x:v>7</x:v>
      </x:c>
      <x:c r="T600" s="119" t="n">
        <x:f>MIN(7,S600+'经济参数'!$E$70)</x:f>
        <x:v>7</x:v>
      </x:c>
      <x:c r="U600" s="119" t="n">
        <x:f>MIN(7,S600+'经济参数'!$E$71)</x:f>
        <x:v>7</x:v>
      </x:c>
      <x:c r="V600" s="119" t="n">
        <x:f>IF(H600&gt;=('难度参数'!$E$52),1,0)+IF(H600&gt;=('难度参数'!$E$52+'难度参数'!$E$53),1,0)+IF(H600&gt;=('难度参数'!$E$52+'难度参数'!$E$53+'难度参数'!$E$54),1,0)+IF(H600&gt;=('难度参数'!$E$52+'难度参数'!$E$53+'难度参数'!$E$54+'难度参数'!$E$55),1,0)+IF(H600&gt;=('难度参数'!$E$52+'难度参数'!$E$53+'难度参数'!$E$54+'难度参数'!$E$55+'难度参数'!$E$56),1,0)+IF(H600&gt;=('难度参数'!$E$52+'难度参数'!$E$53+'难度参数'!$E$54+'难度参数'!$E$55+'难度参数'!$E$56+'难度参数'!$E$57),1,0)</x:f>
        <x:v>6</x:v>
      </x:c>
      <x:c r="W600" s="62" t="str">
        <x:f>IF(L600&gt;'难度参数'!$E$51,"仅出怪已超目标","还需实测")</x:f>
        <x:v>仅出怪已超目标</x:v>
      </x:c>
      <x:c r="X600" s="119" t="n">
        <x:f>IF(1&gt;D600,0,MAX(2,MIN('难度参数'!$E$12,ROUND(('难度参数'!$E$18*POWER(A600,'难度参数'!$E$19)/D600*(0.85+0.3*(1-1)/MAX(1,D600-1))),0)+F600)))</x:f>
        <x:v>37</x:v>
      </x:c>
      <x:c r="Y600" s="119" t="n">
        <x:f>IF(1&gt;D600,0,ROUND(('难度参数'!$E$13*POWER(A600,'难度参数'!$E$20)*MIN('难度参数'!$E$23,1+MAX(0,A600-'难度参数'!$E$21)*'难度参数'!$E$22))*(36+1*7)/(36+7*(D600+1)/2)*E600,0))</x:f>
        <x:v>9010</x:v>
      </x:c>
      <x:c r="Z600" s="119" t="n">
        <x:f>IF(X600=0,0,(X600-IF(1=D600,1,0))*ROUND(Y600*VLOOKUP(INDEX('章节与怪物'!$E$31:$K$37,B600,1),'章节与怪物'!$A$41:$F$44,2,FALSE),0)+IF(1=D600,ROUND(Y600*'难度参数'!$E$28*'章节与怪物'!$E$17,0),0))</x:f>
        <x:v>333370</x:v>
      </x:c>
      <x:c r="AA600" s="119" t="n">
        <x:f>IF(X600=0,0,(X600-IF(1=D600,1,0))*VLOOKUP(INDEX('章节与怪物'!$E$31:$K$37,B600,1),'章节与怪物'!$A$41:$F$44,4,FALSE)+IF(1=D600,'难度参数'!$E$30,0))</x:f>
        <x:v>666</x:v>
      </x:c>
      <x:c r="AB600" s="119" t="n">
        <x:f>IF(2&gt;D600,0,MAX(2,MIN('难度参数'!$E$12,ROUND(('难度参数'!$E$18*POWER(A600,'难度参数'!$E$19)/D600*(0.85+0.3*(2-1)/MAX(1,D600-1))),0)+F600)))</x:f>
        <x:v>40</x:v>
      </x:c>
      <x:c r="AC600" s="119" t="n">
        <x:f>IF(2&gt;D600,0,ROUND(('难度参数'!$E$13*POWER(A600,'难度参数'!$E$20)*MIN('难度参数'!$E$23,1+MAX(0,A600-'难度参数'!$E$21)*'难度参数'!$E$22))*(36+2*7)/(36+7*(D600+1)/2)*E600,0))</x:f>
        <x:v>10477</x:v>
      </x:c>
      <x:c r="AD600" s="119" t="n">
        <x:f>IF(AB600=0,0,(AB600-IF(2=D600,1,0))*ROUND(AC600*VLOOKUP(INDEX('章节与怪物'!$E$31:$K$37,B600,2),'章节与怪物'!$A$41:$F$44,2,FALSE),0)+IF(2=D600,ROUND(AC600*'难度参数'!$E$28*'章节与怪物'!$E$17,0),0))</x:f>
        <x:v>301720</x:v>
      </x:c>
      <x:c r="AE600" s="119" t="n">
        <x:f>IF(AB600=0,0,(AB600-IF(2=D600,1,0))*VLOOKUP(INDEX('章节与怪物'!$E$31:$K$37,B600,2),'章节与怪物'!$A$41:$F$44,4,FALSE)+IF(2=D600,'难度参数'!$E$30,0))</x:f>
        <x:v>800</x:v>
      </x:c>
      <x:c r="AF600" s="119" t="n">
        <x:f>IF(3&gt;D600,0,MAX(2,MIN('难度参数'!$E$12,ROUND(('难度参数'!$E$18*POWER(A600,'难度参数'!$E$19)/D600*(0.85+0.3*(3-1)/MAX(1,D600-1))),0)+F600)))</x:f>
        <x:v>42</x:v>
      </x:c>
      <x:c r="AG600" s="119" t="n">
        <x:f>IF(3&gt;D600,0,ROUND(('难度参数'!$E$13*POWER(A600,'难度参数'!$E$20)*MIN('难度参数'!$E$23,1+MAX(0,A600-'难度参数'!$E$21)*'难度参数'!$E$22))*(36+3*7)/(36+7*(D600+1)/2)*E600,0))</x:f>
        <x:v>11944</x:v>
      </x:c>
      <x:c r="AH600" s="119" t="n">
        <x:f>IF(AF600=0,0,(AF600-IF(3=D600,1,0))*ROUND(AG600*VLOOKUP(INDEX('章节与怪物'!$E$31:$K$37,B600,3),'章节与怪物'!$A$41:$F$44,2,FALSE),0)+IF(3=D600,ROUND(AG600*'难度参数'!$E$28*'章节与怪物'!$E$17,0),0))</x:f>
        <x:v>852810</x:v>
      </x:c>
      <x:c r="AI600" s="119" t="n">
        <x:f>IF(AF600=0,0,(AF600-IF(3=D600,1,0))*VLOOKUP(INDEX('章节与怪物'!$E$31:$K$37,B600,3),'章节与怪物'!$A$41:$F$44,4,FALSE)+IF(3=D600,'难度参数'!$E$30,0))</x:f>
        <x:v>1176</x:v>
      </x:c>
      <x:c r="AJ600" s="119" t="n">
        <x:f>IF(4&gt;D600,0,MAX(2,MIN('难度参数'!$E$12,ROUND(('难度参数'!$E$18*POWER(A600,'难度参数'!$E$19)/D600*(0.85+0.3*(4-1)/MAX(1,D600-1))),0)+F600)))</x:f>
        <x:v>44</x:v>
      </x:c>
      <x:c r="AK600" s="119" t="n">
        <x:f>IF(4&gt;D600,0,ROUND(('难度参数'!$E$13*POWER(A600,'难度参数'!$E$20)*MIN('难度参数'!$E$23,1+MAX(0,A600-'难度参数'!$E$21)*'难度参数'!$E$22))*(36+4*7)/(36+7*(D600+1)/2)*E600,0))</x:f>
        <x:v>13411</x:v>
      </x:c>
      <x:c r="AL600" s="119" t="n">
        <x:f>IF(AJ600=0,0,(AJ600-IF(4=D600,1,0))*ROUND(AK600*VLOOKUP(INDEX('章节与怪物'!$E$31:$K$37,B600,4),'章节与怪物'!$A$41:$F$44,2,FALSE),0)+IF(4=D600,ROUND(AK600*'难度参数'!$E$28*'章节与怪物'!$E$17,0),0))</x:f>
        <x:v>796620</x:v>
      </x:c>
      <x:c r="AM600" s="119" t="n">
        <x:f>IF(AJ600=0,0,(AJ600-IF(4=D600,1,0))*VLOOKUP(INDEX('章节与怪物'!$E$31:$K$37,B600,4),'章节与怪物'!$A$41:$F$44,4,FALSE)+IF(4=D600,'难度参数'!$E$30,0))</x:f>
        <x:v>1496</x:v>
      </x:c>
      <x:c r="AN600" s="119" t="n">
        <x:f>IF(5&gt;D600,0,MAX(2,MIN('难度参数'!$E$12,ROUND(('难度参数'!$E$18*POWER(A600,'难度参数'!$E$19)/D600*(0.85+0.3*(5-1)/MAX(1,D600-1))),0)+F600)))</x:f>
        <x:v>46</x:v>
      </x:c>
      <x:c r="AO600" s="119" t="n">
        <x:f>IF(5&gt;D600,0,ROUND(('难度参数'!$E$13*POWER(A600,'难度参数'!$E$20)*MIN('难度参数'!$E$23,1+MAX(0,A600-'难度参数'!$E$21)*'难度参数'!$E$22))*(36+5*7)/(36+7*(D600+1)/2)*E600,0))</x:f>
        <x:v>14878</x:v>
      </x:c>
      <x:c r="AP600" s="119" t="n">
        <x:f>IF(AN600=0,0,(AN600-IF(5=D600,1,0))*ROUND(AO600*VLOOKUP(INDEX('章节与怪物'!$E$31:$K$37,B600,5),'章节与怪物'!$A$41:$F$44,2,FALSE),0)+IF(5=D600,ROUND(AO600*'难度参数'!$E$28*'章节与怪物'!$E$17,0),0))</x:f>
        <x:v>492752</x:v>
      </x:c>
      <x:c r="AQ600" s="119" t="n">
        <x:f>IF(AN600=0,0,(AN600-IF(5=D600,1,0))*VLOOKUP(INDEX('章节与怪物'!$E$31:$K$37,B600,5),'章节与怪物'!$A$41:$F$44,4,FALSE)+IF(5=D600,'难度参数'!$E$30,0))</x:f>
        <x:v>920</x:v>
      </x:c>
      <x:c r="AR600" s="119" t="n">
        <x:f>IF(6&gt;D600,0,MAX(2,MIN('难度参数'!$E$12,ROUND(('难度参数'!$E$18*POWER(A600,'难度参数'!$E$19)/D600*(0.85+0.3*(6-1)/MAX(1,D600-1))),0)+F600)))</x:f>
        <x:v>48</x:v>
      </x:c>
      <x:c r="AS600" s="119" t="n">
        <x:f>IF(6&gt;D600,0,ROUND(('难度参数'!$E$13*POWER(A600,'难度参数'!$E$20)*MIN('难度参数'!$E$23,1+MAX(0,A600-'难度参数'!$E$21)*'难度参数'!$E$22))*(36+6*7)/(36+7*(D600+1)/2)*E600,0))</x:f>
        <x:v>16345</x:v>
      </x:c>
      <x:c r="AT600" s="119" t="n">
        <x:f>IF(AR600=0,0,(AR600-IF(6=D600,1,0))*ROUND(AS600*VLOOKUP(INDEX('章节与怪物'!$E$31:$K$37,B600,6),'章节与怪物'!$A$41:$F$44,2,FALSE),0)+IF(6=D600,ROUND(AS600*'难度参数'!$E$28*'章节与怪物'!$E$17,0),0))</x:f>
        <x:v>1333776</x:v>
      </x:c>
      <x:c r="AU600" s="119" t="n">
        <x:f>IF(AR600=0,0,(AR600-IF(6=D600,1,0))*VLOOKUP(INDEX('章节与怪物'!$E$31:$K$37,B600,6),'章节与怪物'!$A$41:$F$44,4,FALSE)+IF(6=D600,'难度参数'!$E$30,0))</x:f>
        <x:v>1344</x:v>
      </x:c>
      <x:c r="AV600" s="119" t="n">
        <x:f>IF(7&gt;D600,0,MAX(2,MIN('难度参数'!$E$12,ROUND(('难度参数'!$E$18*POWER(A600,'难度参数'!$E$19)/D600*(0.85+0.3*(7-1)/MAX(1,D600-1))),0)+F600)))</x:f>
        <x:v>51</x:v>
      </x:c>
      <x:c r="AW600" s="119" t="n">
        <x:f>IF(7&gt;D600,0,ROUND(('难度参数'!$E$13*POWER(A600,'难度参数'!$E$20)*MIN('难度参数'!$E$23,1+MAX(0,A600-'难度参数'!$E$21)*'难度参数'!$E$22))*(36+7*7)/(36+7*(D600+1)/2)*E600,0))</x:f>
        <x:v>17811</x:v>
      </x:c>
      <x:c r="AX600" s="119" t="n">
        <x:f>IF(AV600=0,0,(AV600-IF(7=D600,1,0))*ROUND(AW600*VLOOKUP(INDEX('章节与怪物'!$E$31:$K$37,B600,7),'章节与怪物'!$A$41:$F$44,2,FALSE),0)+IF(7=D600,ROUND(AW600*'难度参数'!$E$28*'章节与怪物'!$E$17,0),0))</x:f>
        <x:v>1323365</x:v>
      </x:c>
      <x:c r="AY600" s="119" t="n">
        <x:f>IF(AV600=0,0,(AV600-IF(7=D600,1,0))*VLOOKUP(INDEX('章节与怪物'!$E$31:$K$37,B600,7),'章节与怪物'!$A$41:$F$44,4,FALSE)+IF(7=D600,'难度参数'!$E$30,0))</x:f>
        <x:v>1900</x:v>
      </x:c>
    </x:row>
    <x:row r="601" ht="23" customHeight="1">
      <x:c r="A601" s="119" t="n">
        <x:v>595</x:v>
      </x:c>
      <x:c r="B601" s="119" t="n">
        <x:f>MOD(INT((A601-1)/5),7)+1</x:f>
        <x:v>7</x:v>
      </x:c>
      <x:c r="C601" s="62" t="str">
        <x:f>INDEX('章节与怪物'!$B$31:$B$37,B601)</x:f>
        <x:v>魔法山脊</x:v>
      </x:c>
      <x:c r="D601" s="119" t="n">
        <x:f>MIN('难度参数'!$E$8,MAX('难度参数'!$E$7,A601))</x:f>
        <x:v>7</x:v>
      </x:c>
      <x:c r="E601" s="106" t="n">
        <x:v>1</x:v>
      </x:c>
      <x:c r="F601" s="106" t="n">
        <x:v>0</x:v>
      </x:c>
      <x:c r="G601" s="106" t="n">
        <x:v>1</x:v>
      </x:c>
      <x:c r="H601" s="119" t="n">
        <x:f>SUM(X601,AB601,AF601,AJ601,AN601,AR601,AV601)</x:f>
        <x:v>309</x:v>
      </x:c>
      <x:c r="I601" s="119" t="n">
        <x:f>SUM(Z601,AD601,AH601,AL601,AP601,AT601,AX601)</x:f>
        <x:v>5468796</x:v>
      </x:c>
      <x:c r="J601" s="119" t="n">
        <x:f>ROUND(INDEX(X601:AY601,1,(D601-1)*4+2)*'难度参数'!$E$28*'章节与怪物'!$E$17,0)</x:f>
        <x:v>121264</x:v>
      </x:c>
      <x:c r="K601" s="119" t="n">
        <x:f>SUM(AA601,AE601,AI601,AM601,AQ601,AU601,AY601)</x:f>
        <x:v>8330</x:v>
      </x:c>
      <x:c r="L601" s="62" t="n">
        <x:f>H601*(ROUNDUP('难度参数'!$E$24/('难度参数'!$E$26*'难度参数'!$E$27),0)*'难度参数'!$E$26)/60</x:f>
        <x:v>4.12</x:v>
      </x:c>
      <x:c r="M601" s="62" t="n">
        <x:f>L601+D601*('难度参数'!$E$49+'难度参数'!$E$50)/60</x:f>
        <x:v>5.286666666666667</x:v>
      </x:c>
      <x:c r="N601" s="119" t="n">
        <x:f>ROUNDDOWN(('经济参数'!$E$20+A601*'经济参数'!$E$21)*G601,0)</x:f>
        <x:v>12080</x:v>
      </x:c>
      <x:c r="O601" s="119" t="n">
        <x:f>ROUNDDOWN(MIN('经济参数'!$E$24,'经济参数'!$E$22+A601*'经济参数'!$E$23)*G601,0)</x:f>
        <x:v>0</x:v>
      </x:c>
      <x:c r="P601" s="119" t="n">
        <x:f>ROUNDDOWN((IF(A601&gt;='材料与任务'!$E$31,'材料与任务'!$E$32,IF(A601&gt;='材料与任务'!$E$25,'材料与任务'!$E$26,IF(A601&gt;='材料与任务'!$E$19,'材料与任务'!$E$20,IF(A601&gt;='材料与任务'!$E$13,'材料与任务'!$E$14,'材料与任务'!$E$8)))))*G601,0)</x:f>
        <x:v>6</x:v>
      </x:c>
      <x:c r="Q601" s="119" t="n">
        <x:f>ROUNDDOWN((IF(A601&gt;='材料与任务'!$E$31,'材料与任务'!$E$33,IF(A601&gt;='材料与任务'!$E$25,'材料与任务'!$E$27,IF(A601&gt;='材料与任务'!$E$19,'材料与任务'!$E$21,IF(A601&gt;='材料与任务'!$E$13,'材料与任务'!$E$15,'材料与任务'!$E$9)))))*G601,0)</x:f>
        <x:v>3</x:v>
      </x:c>
      <x:c r="R601" s="110" t="n">
        <x:f>'装备掉落'!$B$38</x:f>
        <x:v>0.6872058758851213</x:v>
      </x:c>
      <x:c r="S601" s="119" t="n">
        <x:f>MAX(IF(VLOOKUP(A601,'装备掉落'!$A$29:$H$34,2,TRUE)&gt;0,1,0),IF(VLOOKUP(A601,'装备掉落'!$A$29:$H$34,3,TRUE)&gt;0,2,0),IF(VLOOKUP(A601,'装备掉落'!$A$29:$H$34,4,TRUE)&gt;0,3,0),IF(VLOOKUP(A601,'装备掉落'!$A$29:$H$34,5,TRUE)&gt;0,4,0),IF(VLOOKUP(A601,'装备掉落'!$A$29:$H$34,6,TRUE)&gt;0,5,0),IF(VLOOKUP(A601,'装备掉落'!$A$29:$H$34,7,TRUE)&gt;0,6,0),IF(VLOOKUP(A601,'装备掉落'!$A$29:$H$34,8,TRUE)&gt;0,7,0))</x:f>
        <x:v>7</x:v>
      </x:c>
      <x:c r="T601" s="119" t="n">
        <x:f>MIN(7,S601+'经济参数'!$E$70)</x:f>
        <x:v>7</x:v>
      </x:c>
      <x:c r="U601" s="119" t="n">
        <x:f>MIN(7,S601+'经济参数'!$E$71)</x:f>
        <x:v>7</x:v>
      </x:c>
      <x:c r="V601" s="119" t="n">
        <x:f>IF(H601&gt;=('难度参数'!$E$52),1,0)+IF(H601&gt;=('难度参数'!$E$52+'难度参数'!$E$53),1,0)+IF(H601&gt;=('难度参数'!$E$52+'难度参数'!$E$53+'难度参数'!$E$54),1,0)+IF(H601&gt;=('难度参数'!$E$52+'难度参数'!$E$53+'难度参数'!$E$54+'难度参数'!$E$55),1,0)+IF(H601&gt;=('难度参数'!$E$52+'难度参数'!$E$53+'难度参数'!$E$54+'难度参数'!$E$55+'难度参数'!$E$56),1,0)+IF(H601&gt;=('难度参数'!$E$52+'难度参数'!$E$53+'难度参数'!$E$54+'难度参数'!$E$55+'难度参数'!$E$56+'难度参数'!$E$57),1,0)</x:f>
        <x:v>6</x:v>
      </x:c>
      <x:c r="W601" s="62" t="str">
        <x:f>IF(L601&gt;'难度参数'!$E$51,"仅出怪已超目标","还需实测")</x:f>
        <x:v>仅出怪已超目标</x:v>
      </x:c>
      <x:c r="X601" s="119" t="n">
        <x:f>IF(1&gt;D601,0,MAX(2,MIN('难度参数'!$E$12,ROUND(('难度参数'!$E$18*POWER(A601,'难度参数'!$E$19)/D601*(0.85+0.3*(1-1)/MAX(1,D601-1))),0)+F601)))</x:f>
        <x:v>37</x:v>
      </x:c>
      <x:c r="Y601" s="119" t="n">
        <x:f>IF(1&gt;D601,0,ROUND(('难度参数'!$E$13*POWER(A601,'难度参数'!$E$20)*MIN('难度参数'!$E$23,1+MAX(0,A601-'难度参数'!$E$21)*'难度参数'!$E$22))*(36+1*7)/(36+7*(D601+1)/2)*E601,0))</x:f>
        <x:v>9021</x:v>
      </x:c>
      <x:c r="Z601" s="119" t="n">
        <x:f>IF(X601=0,0,(X601-IF(1=D601,1,0))*ROUND(Y601*VLOOKUP(INDEX('章节与怪物'!$E$31:$K$37,B601,1),'章节与怪物'!$A$41:$F$44,2,FALSE),0)+IF(1=D601,ROUND(Y601*'难度参数'!$E$28*'章节与怪物'!$E$17,0),0))</x:f>
        <x:v>333777</x:v>
      </x:c>
      <x:c r="AA601" s="119" t="n">
        <x:f>IF(X601=0,0,(X601-IF(1=D601,1,0))*VLOOKUP(INDEX('章节与怪物'!$E$31:$K$37,B601,1),'章节与怪物'!$A$41:$F$44,4,FALSE)+IF(1=D601,'难度参数'!$E$30,0))</x:f>
        <x:v>666</x:v>
      </x:c>
      <x:c r="AB601" s="119" t="n">
        <x:f>IF(2&gt;D601,0,MAX(2,MIN('难度参数'!$E$12,ROUND(('难度参数'!$E$18*POWER(A601,'难度参数'!$E$19)/D601*(0.85+0.3*(2-1)/MAX(1,D601-1))),0)+F601)))</x:f>
        <x:v>40</x:v>
      </x:c>
      <x:c r="AC601" s="119" t="n">
        <x:f>IF(2&gt;D601,0,ROUND(('难度参数'!$E$13*POWER(A601,'难度参数'!$E$20)*MIN('难度参数'!$E$23,1+MAX(0,A601-'难度参数'!$E$21)*'难度参数'!$E$22))*(36+2*7)/(36+7*(D601+1)/2)*E601,0))</x:f>
        <x:v>10490</x:v>
      </x:c>
      <x:c r="AD601" s="119" t="n">
        <x:f>IF(AB601=0,0,(AB601-IF(2=D601,1,0))*ROUND(AC601*VLOOKUP(INDEX('章节与怪物'!$E$31:$K$37,B601,2),'章节与怪物'!$A$41:$F$44,2,FALSE),0)+IF(2=D601,ROUND(AC601*'难度参数'!$E$28*'章节与怪物'!$E$17,0),0))</x:f>
        <x:v>302120</x:v>
      </x:c>
      <x:c r="AE601" s="119" t="n">
        <x:f>IF(AB601=0,0,(AB601-IF(2=D601,1,0))*VLOOKUP(INDEX('章节与怪物'!$E$31:$K$37,B601,2),'章节与怪物'!$A$41:$F$44,4,FALSE)+IF(2=D601,'难度参数'!$E$30,0))</x:f>
        <x:v>800</x:v>
      </x:c>
      <x:c r="AF601" s="119" t="n">
        <x:f>IF(3&gt;D601,0,MAX(2,MIN('难度参数'!$E$12,ROUND(('难度参数'!$E$18*POWER(A601,'难度参数'!$E$19)/D601*(0.85+0.3*(3-1)/MAX(1,D601-1))),0)+F601)))</x:f>
        <x:v>42</x:v>
      </x:c>
      <x:c r="AG601" s="119" t="n">
        <x:f>IF(3&gt;D601,0,ROUND(('难度参数'!$E$13*POWER(A601,'难度参数'!$E$20)*MIN('难度参数'!$E$23,1+MAX(0,A601-'难度参数'!$E$21)*'难度参数'!$E$22))*(36+3*7)/(36+7*(D601+1)/2)*E601,0))</x:f>
        <x:v>11959</x:v>
      </x:c>
      <x:c r="AH601" s="119" t="n">
        <x:f>IF(AF601=0,0,(AF601-IF(3=D601,1,0))*ROUND(AG601*VLOOKUP(INDEX('章节与怪物'!$E$31:$K$37,B601,3),'章节与怪物'!$A$41:$F$44,2,FALSE),0)+IF(3=D601,ROUND(AG601*'难度参数'!$E$28*'章节与怪物'!$E$17,0),0))</x:f>
        <x:v>853860</x:v>
      </x:c>
      <x:c r="AI601" s="119" t="n">
        <x:f>IF(AF601=0,0,(AF601-IF(3=D601,1,0))*VLOOKUP(INDEX('章节与怪物'!$E$31:$K$37,B601,3),'章节与怪物'!$A$41:$F$44,4,FALSE)+IF(3=D601,'难度参数'!$E$30,0))</x:f>
        <x:v>1176</x:v>
      </x:c>
      <x:c r="AJ601" s="119" t="n">
        <x:f>IF(4&gt;D601,0,MAX(2,MIN('难度参数'!$E$12,ROUND(('难度参数'!$E$18*POWER(A601,'难度参数'!$E$19)/D601*(0.85+0.3*(4-1)/MAX(1,D601-1))),0)+F601)))</x:f>
        <x:v>44</x:v>
      </x:c>
      <x:c r="AK601" s="119" t="n">
        <x:f>IF(4&gt;D601,0,ROUND(('难度参数'!$E$13*POWER(A601,'难度参数'!$E$20)*MIN('难度参数'!$E$23,1+MAX(0,A601-'难度参数'!$E$21)*'难度参数'!$E$22))*(36+4*7)/(36+7*(D601+1)/2)*E601,0))</x:f>
        <x:v>13427</x:v>
      </x:c>
      <x:c r="AL601" s="119" t="n">
        <x:f>IF(AJ601=0,0,(AJ601-IF(4=D601,1,0))*ROUND(AK601*VLOOKUP(INDEX('章节与怪物'!$E$31:$K$37,B601,4),'章节与怪物'!$A$41:$F$44,2,FALSE),0)+IF(4=D601,ROUND(AK601*'难度参数'!$E$28*'章节与怪物'!$E$17,0),0))</x:f>
        <x:v>797544</x:v>
      </x:c>
      <x:c r="AM601" s="119" t="n">
        <x:f>IF(AJ601=0,0,(AJ601-IF(4=D601,1,0))*VLOOKUP(INDEX('章节与怪物'!$E$31:$K$37,B601,4),'章节与怪物'!$A$41:$F$44,4,FALSE)+IF(4=D601,'难度参数'!$E$30,0))</x:f>
        <x:v>1496</x:v>
      </x:c>
      <x:c r="AN601" s="119" t="n">
        <x:f>IF(5&gt;D601,0,MAX(2,MIN('难度参数'!$E$12,ROUND(('难度参数'!$E$18*POWER(A601,'难度参数'!$E$19)/D601*(0.85+0.3*(5-1)/MAX(1,D601-1))),0)+F601)))</x:f>
        <x:v>46</x:v>
      </x:c>
      <x:c r="AO601" s="119" t="n">
        <x:f>IF(5&gt;D601,0,ROUND(('难度参数'!$E$13*POWER(A601,'难度参数'!$E$20)*MIN('难度参数'!$E$23,1+MAX(0,A601-'难度参数'!$E$21)*'难度参数'!$E$22))*(36+5*7)/(36+7*(D601+1)/2)*E601,0))</x:f>
        <x:v>14896</x:v>
      </x:c>
      <x:c r="AP601" s="119" t="n">
        <x:f>IF(AN601=0,0,(AN601-IF(5=D601,1,0))*ROUND(AO601*VLOOKUP(INDEX('章节与怪物'!$E$31:$K$37,B601,5),'章节与怪物'!$A$41:$F$44,2,FALSE),0)+IF(5=D601,ROUND(AO601*'难度参数'!$E$28*'章节与怪物'!$E$17,0),0))</x:f>
        <x:v>493350</x:v>
      </x:c>
      <x:c r="AQ601" s="119" t="n">
        <x:f>IF(AN601=0,0,(AN601-IF(5=D601,1,0))*VLOOKUP(INDEX('章节与怪物'!$E$31:$K$37,B601,5),'章节与怪物'!$A$41:$F$44,4,FALSE)+IF(5=D601,'难度参数'!$E$30,0))</x:f>
        <x:v>920</x:v>
      </x:c>
      <x:c r="AR601" s="119" t="n">
        <x:f>IF(6&gt;D601,0,MAX(2,MIN('难度参数'!$E$12,ROUND(('难度参数'!$E$18*POWER(A601,'难度参数'!$E$19)/D601*(0.85+0.3*(6-1)/MAX(1,D601-1))),0)+F601)))</x:f>
        <x:v>49</x:v>
      </x:c>
      <x:c r="AS601" s="119" t="n">
        <x:f>IF(6&gt;D601,0,ROUND(('难度参数'!$E$13*POWER(A601,'难度参数'!$E$20)*MIN('难度参数'!$E$23,1+MAX(0,A601-'难度参数'!$E$21)*'难度参数'!$E$22))*(36+6*7)/(36+7*(D601+1)/2)*E601,0))</x:f>
        <x:v>16364</x:v>
      </x:c>
      <x:c r="AT601" s="119" t="n">
        <x:f>IF(AR601=0,0,(AR601-IF(6=D601,1,0))*ROUND(AS601*VLOOKUP(INDEX('章节与怪物'!$E$31:$K$37,B601,6),'章节与怪物'!$A$41:$F$44,2,FALSE),0)+IF(6=D601,ROUND(AS601*'难度参数'!$E$28*'章节与怪物'!$E$17,0),0))</x:f>
        <x:v>1363131</x:v>
      </x:c>
      <x:c r="AU601" s="119" t="n">
        <x:f>IF(AR601=0,0,(AR601-IF(6=D601,1,0))*VLOOKUP(INDEX('章节与怪物'!$E$31:$K$37,B601,6),'章节与怪物'!$A$41:$F$44,4,FALSE)+IF(6=D601,'难度参数'!$E$30,0))</x:f>
        <x:v>1372</x:v>
      </x:c>
      <x:c r="AV601" s="119" t="n">
        <x:f>IF(7&gt;D601,0,MAX(2,MIN('难度参数'!$E$12,ROUND(('难度参数'!$E$18*POWER(A601,'难度参数'!$E$19)/D601*(0.85+0.3*(7-1)/MAX(1,D601-1))),0)+F601)))</x:f>
        <x:v>51</x:v>
      </x:c>
      <x:c r="AW601" s="119" t="n">
        <x:f>IF(7&gt;D601,0,ROUND(('难度参数'!$E$13*POWER(A601,'难度参数'!$E$20)*MIN('难度参数'!$E$23,1+MAX(0,A601-'难度参数'!$E$21)*'难度参数'!$E$22))*(36+7*7)/(36+7*(D601+1)/2)*E601,0))</x:f>
        <x:v>17833</x:v>
      </x:c>
      <x:c r="AX601" s="119" t="n">
        <x:f>IF(AV601=0,0,(AV601-IF(7=D601,1,0))*ROUND(AW601*VLOOKUP(INDEX('章节与怪物'!$E$31:$K$37,B601,7),'章节与怪物'!$A$41:$F$44,2,FALSE),0)+IF(7=D601,ROUND(AW601*'难度参数'!$E$28*'章节与怪物'!$E$17,0),0))</x:f>
        <x:v>1325014</x:v>
      </x:c>
      <x:c r="AY601" s="119" t="n">
        <x:f>IF(AV601=0,0,(AV601-IF(7=D601,1,0))*VLOOKUP(INDEX('章节与怪物'!$E$31:$K$37,B601,7),'章节与怪物'!$A$41:$F$44,4,FALSE)+IF(7=D601,'难度参数'!$E$30,0))</x:f>
        <x:v>1900</x:v>
      </x:c>
    </x:row>
    <x:row r="602" ht="23" customHeight="1">
      <x:c r="A602" s="119" t="n">
        <x:v>596</x:v>
      </x:c>
      <x:c r="B602" s="119" t="n">
        <x:f>MOD(INT((A602-1)/5),7)+1</x:f>
        <x:v>1</x:v>
      </x:c>
      <x:c r="C602" s="62" t="str">
        <x:f>INDEX('章节与怪物'!$B$31:$B$37,B602)</x:f>
        <x:v>冰雪荒原</x:v>
      </x:c>
      <x:c r="D602" s="119" t="n">
        <x:f>MIN('难度参数'!$E$8,MAX('难度参数'!$E$7,A602))</x:f>
        <x:v>7</x:v>
      </x:c>
      <x:c r="E602" s="106" t="n">
        <x:v>1</x:v>
      </x:c>
      <x:c r="F602" s="106" t="n">
        <x:v>0</x:v>
      </x:c>
      <x:c r="G602" s="106" t="n">
        <x:v>1</x:v>
      </x:c>
      <x:c r="H602" s="119" t="n">
        <x:f>SUM(X602,AB602,AF602,AJ602,AN602,AR602,AV602)</x:f>
        <x:v>310</x:v>
      </x:c>
      <x:c r="I602" s="119" t="n">
        <x:f>SUM(Z602,AD602,AH602,AL602,AP602,AT602,AX602)</x:f>
        <x:v>5274232</x:v>
      </x:c>
      <x:c r="J602" s="119" t="n">
        <x:f>ROUND(INDEX(X602:AY602,1,(D602-1)*4+2)*'难度参数'!$E$28*'章节与怪物'!$E$17,0)</x:f>
        <x:v>121414</x:v>
      </x:c>
      <x:c r="K602" s="119" t="n">
        <x:f>SUM(AA602,AE602,AI602,AM602,AQ602,AU602,AY602)</x:f>
        <x:v>7620</x:v>
      </x:c>
      <x:c r="L602" s="62" t="n">
        <x:f>H602*(ROUNDUP('难度参数'!$E$24/('难度参数'!$E$26*'难度参数'!$E$27),0)*'难度参数'!$E$26)/60</x:f>
        <x:v>4.133333333333334</x:v>
      </x:c>
      <x:c r="M602" s="62" t="n">
        <x:f>L602+D602*('难度参数'!$E$49+'难度参数'!$E$50)/60</x:f>
        <x:v>5.300000000000001</x:v>
      </x:c>
      <x:c r="N602" s="119" t="n">
        <x:f>ROUNDDOWN(('经济参数'!$E$20+A602*'经济参数'!$E$21)*G602,0)</x:f>
        <x:v>12100</x:v>
      </x:c>
      <x:c r="O602" s="119" t="n">
        <x:f>ROUNDDOWN(MIN('经济参数'!$E$24,'经济参数'!$E$22+A602*'经济参数'!$E$23)*G602,0)</x:f>
        <x:v>0</x:v>
      </x:c>
      <x:c r="P602" s="119" t="n">
        <x:f>ROUNDDOWN((IF(A602&gt;='材料与任务'!$E$31,'材料与任务'!$E$32,IF(A602&gt;='材料与任务'!$E$25,'材料与任务'!$E$26,IF(A602&gt;='材料与任务'!$E$19,'材料与任务'!$E$20,IF(A602&gt;='材料与任务'!$E$13,'材料与任务'!$E$14,'材料与任务'!$E$8)))))*G602,0)</x:f>
        <x:v>6</x:v>
      </x:c>
      <x:c r="Q602" s="119" t="n">
        <x:f>ROUNDDOWN((IF(A602&gt;='材料与任务'!$E$31,'材料与任务'!$E$33,IF(A602&gt;='材料与任务'!$E$25,'材料与任务'!$E$27,IF(A602&gt;='材料与任务'!$E$19,'材料与任务'!$E$21,IF(A602&gt;='材料与任务'!$E$13,'材料与任务'!$E$15,'材料与任务'!$E$9)))))*G602,0)</x:f>
        <x:v>3</x:v>
      </x:c>
      <x:c r="R602" s="110" t="n">
        <x:f>'装备掉落'!$B$38</x:f>
        <x:v>0.6872058758851213</x:v>
      </x:c>
      <x:c r="S602" s="119" t="n">
        <x:f>MAX(IF(VLOOKUP(A602,'装备掉落'!$A$29:$H$34,2,TRUE)&gt;0,1,0),IF(VLOOKUP(A602,'装备掉落'!$A$29:$H$34,3,TRUE)&gt;0,2,0),IF(VLOOKUP(A602,'装备掉落'!$A$29:$H$34,4,TRUE)&gt;0,3,0),IF(VLOOKUP(A602,'装备掉落'!$A$29:$H$34,5,TRUE)&gt;0,4,0),IF(VLOOKUP(A602,'装备掉落'!$A$29:$H$34,6,TRUE)&gt;0,5,0),IF(VLOOKUP(A602,'装备掉落'!$A$29:$H$34,7,TRUE)&gt;0,6,0),IF(VLOOKUP(A602,'装备掉落'!$A$29:$H$34,8,TRUE)&gt;0,7,0))</x:f>
        <x:v>7</x:v>
      </x:c>
      <x:c r="T602" s="119" t="n">
        <x:f>MIN(7,S602+'经济参数'!$E$70)</x:f>
        <x:v>7</x:v>
      </x:c>
      <x:c r="U602" s="119" t="n">
        <x:f>MIN(7,S602+'经济参数'!$E$71)</x:f>
        <x:v>7</x:v>
      </x:c>
      <x:c r="V602" s="119" t="n">
        <x:f>IF(H602&gt;=('难度参数'!$E$52),1,0)+IF(H602&gt;=('难度参数'!$E$52+'难度参数'!$E$53),1,0)+IF(H602&gt;=('难度参数'!$E$52+'难度参数'!$E$53+'难度参数'!$E$54),1,0)+IF(H602&gt;=('难度参数'!$E$52+'难度参数'!$E$53+'难度参数'!$E$54+'难度参数'!$E$55),1,0)+IF(H602&gt;=('难度参数'!$E$52+'难度参数'!$E$53+'难度参数'!$E$54+'难度参数'!$E$55+'难度参数'!$E$56),1,0)+IF(H602&gt;=('难度参数'!$E$52+'难度参数'!$E$53+'难度参数'!$E$54+'难度参数'!$E$55+'难度参数'!$E$56+'难度参数'!$E$57),1,0)</x:f>
        <x:v>6</x:v>
      </x:c>
      <x:c r="W602" s="62" t="str">
        <x:f>IF(L602&gt;'难度参数'!$E$51,"仅出怪已超目标","还需实测")</x:f>
        <x:v>仅出怪已超目标</x:v>
      </x:c>
      <x:c r="X602" s="119" t="n">
        <x:f>IF(1&gt;D602,0,MAX(2,MIN('难度参数'!$E$12,ROUND(('难度参数'!$E$18*POWER(A602,'难度参数'!$E$19)/D602*(0.85+0.3*(1-1)/MAX(1,D602-1))),0)+F602)))</x:f>
        <x:v>38</x:v>
      </x:c>
      <x:c r="Y602" s="119" t="n">
        <x:f>IF(1&gt;D602,0,ROUND(('难度参数'!$E$13*POWER(A602,'难度参数'!$E$20)*MIN('难度参数'!$E$23,1+MAX(0,A602-'难度参数'!$E$21)*'难度参数'!$E$22))*(36+1*7)/(36+7*(D602+1)/2)*E602,0))</x:f>
        <x:v>9032</x:v>
      </x:c>
      <x:c r="Z602" s="119" t="n">
        <x:f>IF(X602=0,0,(X602-IF(1=D602,1,0))*ROUND(Y602*VLOOKUP(INDEX('章节与怪物'!$E$31:$K$37,B602,1),'章节与怪物'!$A$41:$F$44,2,FALSE),0)+IF(1=D602,ROUND(Y602*'难度参数'!$E$28*'章节与怪物'!$E$17,0),0))</x:f>
        <x:v>343216</x:v>
      </x:c>
      <x:c r="AA602" s="119" t="n">
        <x:f>IF(X602=0,0,(X602-IF(1=D602,1,0))*VLOOKUP(INDEX('章节与怪物'!$E$31:$K$37,B602,1),'章节与怪物'!$A$41:$F$44,4,FALSE)+IF(1=D602,'难度参数'!$E$30,0))</x:f>
        <x:v>684</x:v>
      </x:c>
      <x:c r="AB602" s="119" t="n">
        <x:f>IF(2&gt;D602,0,MAX(2,MIN('难度参数'!$E$12,ROUND(('难度参数'!$E$18*POWER(A602,'难度参数'!$E$19)/D602*(0.85+0.3*(2-1)/MAX(1,D602-1))),0)+F602)))</x:f>
        <x:v>40</x:v>
      </x:c>
      <x:c r="AC602" s="119" t="n">
        <x:f>IF(2&gt;D602,0,ROUND(('难度参数'!$E$13*POWER(A602,'难度参数'!$E$20)*MIN('难度参数'!$E$23,1+MAX(0,A602-'难度参数'!$E$21)*'难度参数'!$E$22))*(36+2*7)/(36+7*(D602+1)/2)*E602,0))</x:f>
        <x:v>10503</x:v>
      </x:c>
      <x:c r="AD602" s="119" t="n">
        <x:f>IF(AB602=0,0,(AB602-IF(2=D602,1,0))*ROUND(AC602*VLOOKUP(INDEX('章节与怪物'!$E$31:$K$37,B602,2),'章节与怪物'!$A$41:$F$44,2,FALSE),0)+IF(2=D602,ROUND(AC602*'难度参数'!$E$28*'章节与怪物'!$E$17,0),0))</x:f>
        <x:v>420120</x:v>
      </x:c>
      <x:c r="AE602" s="119" t="n">
        <x:f>IF(AB602=0,0,(AB602-IF(2=D602,1,0))*VLOOKUP(INDEX('章节与怪物'!$E$31:$K$37,B602,2),'章节与怪物'!$A$41:$F$44,4,FALSE)+IF(2=D602,'难度参数'!$E$30,0))</x:f>
        <x:v>720</x:v>
      </x:c>
      <x:c r="AF602" s="119" t="n">
        <x:f>IF(3&gt;D602,0,MAX(2,MIN('难度参数'!$E$12,ROUND(('难度参数'!$E$18*POWER(A602,'难度参数'!$E$19)/D602*(0.85+0.3*(3-1)/MAX(1,D602-1))),0)+F602)))</x:f>
        <x:v>42</x:v>
      </x:c>
      <x:c r="AG602" s="119" t="n">
        <x:f>IF(3&gt;D602,0,ROUND(('难度参数'!$E$13*POWER(A602,'难度参数'!$E$20)*MIN('难度参数'!$E$23,1+MAX(0,A602-'难度参数'!$E$21)*'难度参数'!$E$22))*(36+3*7)/(36+7*(D602+1)/2)*E602,0))</x:f>
        <x:v>11973</x:v>
      </x:c>
      <x:c r="AH602" s="119" t="n">
        <x:f>IF(AF602=0,0,(AF602-IF(3=D602,1,0))*ROUND(AG602*VLOOKUP(INDEX('章节与怪物'!$E$31:$K$37,B602,3),'章节与怪物'!$A$41:$F$44,2,FALSE),0)+IF(3=D602,ROUND(AG602*'难度参数'!$E$28*'章节与怪物'!$E$17,0),0))</x:f>
        <x:v>362082</x:v>
      </x:c>
      <x:c r="AI602" s="119" t="n">
        <x:f>IF(AF602=0,0,(AF602-IF(3=D602,1,0))*VLOOKUP(INDEX('章节与怪物'!$E$31:$K$37,B602,3),'章节与怪物'!$A$41:$F$44,4,FALSE)+IF(3=D602,'难度参数'!$E$30,0))</x:f>
        <x:v>840</x:v>
      </x:c>
      <x:c r="AJ602" s="119" t="n">
        <x:f>IF(4&gt;D602,0,MAX(2,MIN('难度参数'!$E$12,ROUND(('难度参数'!$E$18*POWER(A602,'难度参数'!$E$19)/D602*(0.85+0.3*(4-1)/MAX(1,D602-1))),0)+F602)))</x:f>
        <x:v>44</x:v>
      </x:c>
      <x:c r="AK602" s="119" t="n">
        <x:f>IF(4&gt;D602,0,ROUND(('难度参数'!$E$13*POWER(A602,'难度参数'!$E$20)*MIN('难度参数'!$E$23,1+MAX(0,A602-'难度参数'!$E$21)*'难度参数'!$E$22))*(36+4*7)/(36+7*(D602+1)/2)*E602,0))</x:f>
        <x:v>13443</x:v>
      </x:c>
      <x:c r="AL602" s="119" t="n">
        <x:f>IF(AJ602=0,0,(AJ602-IF(4=D602,1,0))*ROUND(AK602*VLOOKUP(INDEX('章节与怪物'!$E$31:$K$37,B602,4),'章节与怪物'!$A$41:$F$44,2,FALSE),0)+IF(4=D602,ROUND(AK602*'难度参数'!$E$28*'章节与怪物'!$E$17,0),0))</x:f>
        <x:v>1005532</x:v>
      </x:c>
      <x:c r="AM602" s="119" t="n">
        <x:f>IF(AJ602=0,0,(AJ602-IF(4=D602,1,0))*VLOOKUP(INDEX('章节与怪物'!$E$31:$K$37,B602,4),'章节与怪物'!$A$41:$F$44,4,FALSE)+IF(4=D602,'难度参数'!$E$30,0))</x:f>
        <x:v>1232</x:v>
      </x:c>
      <x:c r="AN602" s="119" t="n">
        <x:f>IF(5&gt;D602,0,MAX(2,MIN('难度参数'!$E$12,ROUND(('难度参数'!$E$18*POWER(A602,'难度参数'!$E$19)/D602*(0.85+0.3*(5-1)/MAX(1,D602-1))),0)+F602)))</x:f>
        <x:v>46</x:v>
      </x:c>
      <x:c r="AO602" s="119" t="n">
        <x:f>IF(5&gt;D602,0,ROUND(('难度参数'!$E$13*POWER(A602,'难度参数'!$E$20)*MIN('难度参数'!$E$23,1+MAX(0,A602-'难度参数'!$E$21)*'难度参数'!$E$22))*(36+5*7)/(36+7*(D602+1)/2)*E602,0))</x:f>
        <x:v>14914</x:v>
      </x:c>
      <x:c r="AP602" s="119" t="n">
        <x:f>IF(AN602=0,0,(AN602-IF(5=D602,1,0))*ROUND(AO602*VLOOKUP(INDEX('章节与怪物'!$E$31:$K$37,B602,5),'章节与怪物'!$A$41:$F$44,2,FALSE),0)+IF(5=D602,ROUND(AO602*'难度参数'!$E$28*'章节与怪物'!$E$17,0),0))</x:f>
        <x:v>926164</x:v>
      </x:c>
      <x:c r="AQ602" s="119" t="n">
        <x:f>IF(AN602=0,0,(AN602-IF(5=D602,1,0))*VLOOKUP(INDEX('章节与怪物'!$E$31:$K$37,B602,5),'章节与怪物'!$A$41:$F$44,4,FALSE)+IF(5=D602,'难度参数'!$E$30,0))</x:f>
        <x:v>1564</x:v>
      </x:c>
      <x:c r="AR602" s="119" t="n">
        <x:f>IF(6&gt;D602,0,MAX(2,MIN('难度参数'!$E$12,ROUND(('难度参数'!$E$18*POWER(A602,'难度参数'!$E$19)/D602*(0.85+0.3*(6-1)/MAX(1,D602-1))),0)+F602)))</x:f>
        <x:v>49</x:v>
      </x:c>
      <x:c r="AS602" s="119" t="n">
        <x:f>IF(6&gt;D602,0,ROUND(('难度参数'!$E$13*POWER(A602,'难度参数'!$E$20)*MIN('难度参数'!$E$23,1+MAX(0,A602-'难度参数'!$E$21)*'难度参数'!$E$22))*(36+6*7)/(36+7*(D602+1)/2)*E602,0))</x:f>
        <x:v>16384</x:v>
      </x:c>
      <x:c r="AT602" s="119" t="n">
        <x:f>IF(AR602=0,0,(AR602-IF(6=D602,1,0))*ROUND(AS602*VLOOKUP(INDEX('章节与怪物'!$E$31:$K$37,B602,6),'章节与怪物'!$A$41:$F$44,2,FALSE),0)+IF(6=D602,ROUND(AS602*'难度参数'!$E$28*'章节与怪物'!$E$17,0),0))</x:f>
        <x:v>578004</x:v>
      </x:c>
      <x:c r="AU602" s="119" t="n">
        <x:f>IF(AR602=0,0,(AR602-IF(6=D602,1,0))*VLOOKUP(INDEX('章节与怪物'!$E$31:$K$37,B602,6),'章节与怪物'!$A$41:$F$44,4,FALSE)+IF(6=D602,'难度参数'!$E$30,0))</x:f>
        <x:v>980</x:v>
      </x:c>
      <x:c r="AV602" s="119" t="n">
        <x:f>IF(7&gt;D602,0,MAX(2,MIN('难度参数'!$E$12,ROUND(('难度参数'!$E$18*POWER(A602,'难度参数'!$E$19)/D602*(0.85+0.3*(7-1)/MAX(1,D602-1))),0)+F602)))</x:f>
        <x:v>51</x:v>
      </x:c>
      <x:c r="AW602" s="119" t="n">
        <x:f>IF(7&gt;D602,0,ROUND(('难度参数'!$E$13*POWER(A602,'难度参数'!$E$20)*MIN('难度参数'!$E$23,1+MAX(0,A602-'难度参数'!$E$21)*'难度参数'!$E$22))*(36+7*7)/(36+7*(D602+1)/2)*E602,0))</x:f>
        <x:v>17855</x:v>
      </x:c>
      <x:c r="AX602" s="119" t="n">
        <x:f>IF(AV602=0,0,(AV602-IF(7=D602,1,0))*ROUND(AW602*VLOOKUP(INDEX('章节与怪物'!$E$31:$K$37,B602,7),'章节与怪物'!$A$41:$F$44,2,FALSE),0)+IF(7=D602,ROUND(AW602*'难度参数'!$E$28*'章节与怪物'!$E$17,0),0))</x:f>
        <x:v>1639114</x:v>
      </x:c>
      <x:c r="AY602" s="119" t="n">
        <x:f>IF(AV602=0,0,(AV602-IF(7=D602,1,0))*VLOOKUP(INDEX('章节与怪物'!$E$31:$K$37,B602,7),'章节与怪物'!$A$41:$F$44,4,FALSE)+IF(7=D602,'难度参数'!$E$30,0))</x:f>
        <x:v>1600</x:v>
      </x:c>
    </x:row>
    <x:row r="603" ht="23" customHeight="1">
      <x:c r="A603" s="119" t="n">
        <x:v>597</x:v>
      </x:c>
      <x:c r="B603" s="119" t="n">
        <x:f>MOD(INT((A603-1)/5),7)+1</x:f>
        <x:v>1</x:v>
      </x:c>
      <x:c r="C603" s="62" t="str">
        <x:f>INDEX('章节与怪物'!$B$31:$B$37,B603)</x:f>
        <x:v>冰雪荒原</x:v>
      </x:c>
      <x:c r="D603" s="119" t="n">
        <x:f>MIN('难度参数'!$E$8,MAX('难度参数'!$E$7,A603))</x:f>
        <x:v>7</x:v>
      </x:c>
      <x:c r="E603" s="106" t="n">
        <x:v>1</x:v>
      </x:c>
      <x:c r="F603" s="106" t="n">
        <x:v>0</x:v>
      </x:c>
      <x:c r="G603" s="106" t="n">
        <x:v>1</x:v>
      </x:c>
      <x:c r="H603" s="119" t="n">
        <x:f>SUM(X603,AB603,AF603,AJ603,AN603,AR603,AV603)</x:f>
        <x:v>310</x:v>
      </x:c>
      <x:c r="I603" s="119" t="n">
        <x:f>SUM(Z603,AD603,AH603,AL603,AP603,AT603,AX603)</x:f>
        <x:v>5280558</x:v>
      </x:c>
      <x:c r="J603" s="119" t="n">
        <x:f>ROUND(INDEX(X603:AY603,1,(D603-1)*4+2)*'难度参数'!$E$28*'章节与怪物'!$E$17,0)</x:f>
        <x:v>121557</x:v>
      </x:c>
      <x:c r="K603" s="119" t="n">
        <x:f>SUM(AA603,AE603,AI603,AM603,AQ603,AU603,AY603)</x:f>
        <x:v>7620</x:v>
      </x:c>
      <x:c r="L603" s="62" t="n">
        <x:f>H603*(ROUNDUP('难度参数'!$E$24/('难度参数'!$E$26*'难度参数'!$E$27),0)*'难度参数'!$E$26)/60</x:f>
        <x:v>4.133333333333334</x:v>
      </x:c>
      <x:c r="M603" s="62" t="n">
        <x:f>L603+D603*('难度参数'!$E$49+'难度参数'!$E$50)/60</x:f>
        <x:v>5.300000000000001</x:v>
      </x:c>
      <x:c r="N603" s="119" t="n">
        <x:f>ROUNDDOWN(('经济参数'!$E$20+A603*'经济参数'!$E$21)*G603,0)</x:f>
        <x:v>12120</x:v>
      </x:c>
      <x:c r="O603" s="119" t="n">
        <x:f>ROUNDDOWN(MIN('经济参数'!$E$24,'经济参数'!$E$22+A603*'经济参数'!$E$23)*G603,0)</x:f>
        <x:v>0</x:v>
      </x:c>
      <x:c r="P603" s="119" t="n">
        <x:f>ROUNDDOWN((IF(A603&gt;='材料与任务'!$E$31,'材料与任务'!$E$32,IF(A603&gt;='材料与任务'!$E$25,'材料与任务'!$E$26,IF(A603&gt;='材料与任务'!$E$19,'材料与任务'!$E$20,IF(A603&gt;='材料与任务'!$E$13,'材料与任务'!$E$14,'材料与任务'!$E$8)))))*G603,0)</x:f>
        <x:v>6</x:v>
      </x:c>
      <x:c r="Q603" s="119" t="n">
        <x:f>ROUNDDOWN((IF(A603&gt;='材料与任务'!$E$31,'材料与任务'!$E$33,IF(A603&gt;='材料与任务'!$E$25,'材料与任务'!$E$27,IF(A603&gt;='材料与任务'!$E$19,'材料与任务'!$E$21,IF(A603&gt;='材料与任务'!$E$13,'材料与任务'!$E$15,'材料与任务'!$E$9)))))*G603,0)</x:f>
        <x:v>3</x:v>
      </x:c>
      <x:c r="R603" s="110" t="n">
        <x:f>'装备掉落'!$B$38</x:f>
        <x:v>0.6872058758851213</x:v>
      </x:c>
      <x:c r="S603" s="119" t="n">
        <x:f>MAX(IF(VLOOKUP(A603,'装备掉落'!$A$29:$H$34,2,TRUE)&gt;0,1,0),IF(VLOOKUP(A603,'装备掉落'!$A$29:$H$34,3,TRUE)&gt;0,2,0),IF(VLOOKUP(A603,'装备掉落'!$A$29:$H$34,4,TRUE)&gt;0,3,0),IF(VLOOKUP(A603,'装备掉落'!$A$29:$H$34,5,TRUE)&gt;0,4,0),IF(VLOOKUP(A603,'装备掉落'!$A$29:$H$34,6,TRUE)&gt;0,5,0),IF(VLOOKUP(A603,'装备掉落'!$A$29:$H$34,7,TRUE)&gt;0,6,0),IF(VLOOKUP(A603,'装备掉落'!$A$29:$H$34,8,TRUE)&gt;0,7,0))</x:f>
        <x:v>7</x:v>
      </x:c>
      <x:c r="T603" s="119" t="n">
        <x:f>MIN(7,S603+'经济参数'!$E$70)</x:f>
        <x:v>7</x:v>
      </x:c>
      <x:c r="U603" s="119" t="n">
        <x:f>MIN(7,S603+'经济参数'!$E$71)</x:f>
        <x:v>7</x:v>
      </x:c>
      <x:c r="V603" s="119" t="n">
        <x:f>IF(H603&gt;=('难度参数'!$E$52),1,0)+IF(H603&gt;=('难度参数'!$E$52+'难度参数'!$E$53),1,0)+IF(H603&gt;=('难度参数'!$E$52+'难度参数'!$E$53+'难度参数'!$E$54),1,0)+IF(H603&gt;=('难度参数'!$E$52+'难度参数'!$E$53+'难度参数'!$E$54+'难度参数'!$E$55),1,0)+IF(H603&gt;=('难度参数'!$E$52+'难度参数'!$E$53+'难度参数'!$E$54+'难度参数'!$E$55+'难度参数'!$E$56),1,0)+IF(H603&gt;=('难度参数'!$E$52+'难度参数'!$E$53+'难度参数'!$E$54+'难度参数'!$E$55+'难度参数'!$E$56+'难度参数'!$E$57),1,0)</x:f>
        <x:v>6</x:v>
      </x:c>
      <x:c r="W603" s="62" t="str">
        <x:f>IF(L603&gt;'难度参数'!$E$51,"仅出怪已超目标","还需实测")</x:f>
        <x:v>仅出怪已超目标</x:v>
      </x:c>
      <x:c r="X603" s="119" t="n">
        <x:f>IF(1&gt;D603,0,MAX(2,MIN('难度参数'!$E$12,ROUND(('难度参数'!$E$18*POWER(A603,'难度参数'!$E$19)/D603*(0.85+0.3*(1-1)/MAX(1,D603-1))),0)+F603)))</x:f>
        <x:v>38</x:v>
      </x:c>
      <x:c r="Y603" s="119" t="n">
        <x:f>IF(1&gt;D603,0,ROUND(('难度参数'!$E$13*POWER(A603,'难度参数'!$E$20)*MIN('难度参数'!$E$23,1+MAX(0,A603-'难度参数'!$E$21)*'难度参数'!$E$22))*(36+1*7)/(36+7*(D603+1)/2)*E603,0))</x:f>
        <x:v>9043</x:v>
      </x:c>
      <x:c r="Z603" s="119" t="n">
        <x:f>IF(X603=0,0,(X603-IF(1=D603,1,0))*ROUND(Y603*VLOOKUP(INDEX('章节与怪物'!$E$31:$K$37,B603,1),'章节与怪物'!$A$41:$F$44,2,FALSE),0)+IF(1=D603,ROUND(Y603*'难度参数'!$E$28*'章节与怪物'!$E$17,0),0))</x:f>
        <x:v>343634</x:v>
      </x:c>
      <x:c r="AA603" s="119" t="n">
        <x:f>IF(X603=0,0,(X603-IF(1=D603,1,0))*VLOOKUP(INDEX('章节与怪物'!$E$31:$K$37,B603,1),'章节与怪物'!$A$41:$F$44,4,FALSE)+IF(1=D603,'难度参数'!$E$30,0))</x:f>
        <x:v>684</x:v>
      </x:c>
      <x:c r="AB603" s="119" t="n">
        <x:f>IF(2&gt;D603,0,MAX(2,MIN('难度参数'!$E$12,ROUND(('难度参数'!$E$18*POWER(A603,'难度参数'!$E$19)/D603*(0.85+0.3*(2-1)/MAX(1,D603-1))),0)+F603)))</x:f>
        <x:v>40</x:v>
      </x:c>
      <x:c r="AC603" s="119" t="n">
        <x:f>IF(2&gt;D603,0,ROUND(('难度参数'!$E$13*POWER(A603,'难度参数'!$E$20)*MIN('难度参数'!$E$23,1+MAX(0,A603-'难度参数'!$E$21)*'难度参数'!$E$22))*(36+2*7)/(36+7*(D603+1)/2)*E603,0))</x:f>
        <x:v>10515</x:v>
      </x:c>
      <x:c r="AD603" s="119" t="n">
        <x:f>IF(AB603=0,0,(AB603-IF(2=D603,1,0))*ROUND(AC603*VLOOKUP(INDEX('章节与怪物'!$E$31:$K$37,B603,2),'章节与怪物'!$A$41:$F$44,2,FALSE),0)+IF(2=D603,ROUND(AC603*'难度参数'!$E$28*'章节与怪物'!$E$17,0),0))</x:f>
        <x:v>420600</x:v>
      </x:c>
      <x:c r="AE603" s="119" t="n">
        <x:f>IF(AB603=0,0,(AB603-IF(2=D603,1,0))*VLOOKUP(INDEX('章节与怪物'!$E$31:$K$37,B603,2),'章节与怪物'!$A$41:$F$44,4,FALSE)+IF(2=D603,'难度参数'!$E$30,0))</x:f>
        <x:v>720</x:v>
      </x:c>
      <x:c r="AF603" s="119" t="n">
        <x:f>IF(3&gt;D603,0,MAX(2,MIN('难度参数'!$E$12,ROUND(('难度参数'!$E$18*POWER(A603,'难度参数'!$E$19)/D603*(0.85+0.3*(3-1)/MAX(1,D603-1))),0)+F603)))</x:f>
        <x:v>42</x:v>
      </x:c>
      <x:c r="AG603" s="119" t="n">
        <x:f>IF(3&gt;D603,0,ROUND(('难度参数'!$E$13*POWER(A603,'难度参数'!$E$20)*MIN('难度参数'!$E$23,1+MAX(0,A603-'难度参数'!$E$21)*'难度参数'!$E$22))*(36+3*7)/(36+7*(D603+1)/2)*E603,0))</x:f>
        <x:v>11988</x:v>
      </x:c>
      <x:c r="AH603" s="119" t="n">
        <x:f>IF(AF603=0,0,(AF603-IF(3=D603,1,0))*ROUND(AG603*VLOOKUP(INDEX('章节与怪物'!$E$31:$K$37,B603,3),'章节与怪物'!$A$41:$F$44,2,FALSE),0)+IF(3=D603,ROUND(AG603*'难度参数'!$E$28*'章节与怪物'!$E$17,0),0))</x:f>
        <x:v>362502</x:v>
      </x:c>
      <x:c r="AI603" s="119" t="n">
        <x:f>IF(AF603=0,0,(AF603-IF(3=D603,1,0))*VLOOKUP(INDEX('章节与怪物'!$E$31:$K$37,B603,3),'章节与怪物'!$A$41:$F$44,4,FALSE)+IF(3=D603,'难度参数'!$E$30,0))</x:f>
        <x:v>840</x:v>
      </x:c>
      <x:c r="AJ603" s="119" t="n">
        <x:f>IF(4&gt;D603,0,MAX(2,MIN('难度参数'!$E$12,ROUND(('难度参数'!$E$18*POWER(A603,'难度参数'!$E$19)/D603*(0.85+0.3*(4-1)/MAX(1,D603-1))),0)+F603)))</x:f>
        <x:v>44</x:v>
      </x:c>
      <x:c r="AK603" s="119" t="n">
        <x:f>IF(4&gt;D603,0,ROUND(('难度参数'!$E$13*POWER(A603,'难度参数'!$E$20)*MIN('难度参数'!$E$23,1+MAX(0,A603-'难度参数'!$E$21)*'难度参数'!$E$22))*(36+4*7)/(36+7*(D603+1)/2)*E603,0))</x:f>
        <x:v>13460</x:v>
      </x:c>
      <x:c r="AL603" s="119" t="n">
        <x:f>IF(AJ603=0,0,(AJ603-IF(4=D603,1,0))*ROUND(AK603*VLOOKUP(INDEX('章节与怪物'!$E$31:$K$37,B603,4),'章节与怪物'!$A$41:$F$44,2,FALSE),0)+IF(4=D603,ROUND(AK603*'难度参数'!$E$28*'章节与怪物'!$E$17,0),0))</x:f>
        <x:v>1006808</x:v>
      </x:c>
      <x:c r="AM603" s="119" t="n">
        <x:f>IF(AJ603=0,0,(AJ603-IF(4=D603,1,0))*VLOOKUP(INDEX('章节与怪物'!$E$31:$K$37,B603,4),'章节与怪物'!$A$41:$F$44,4,FALSE)+IF(4=D603,'难度参数'!$E$30,0))</x:f>
        <x:v>1232</x:v>
      </x:c>
      <x:c r="AN603" s="119" t="n">
        <x:f>IF(5&gt;D603,0,MAX(2,MIN('难度参数'!$E$12,ROUND(('难度参数'!$E$18*POWER(A603,'难度参数'!$E$19)/D603*(0.85+0.3*(5-1)/MAX(1,D603-1))),0)+F603)))</x:f>
        <x:v>46</x:v>
      </x:c>
      <x:c r="AO603" s="119" t="n">
        <x:f>IF(5&gt;D603,0,ROUND(('难度参数'!$E$13*POWER(A603,'难度参数'!$E$20)*MIN('难度参数'!$E$23,1+MAX(0,A603-'难度参数'!$E$21)*'难度参数'!$E$22))*(36+5*7)/(36+7*(D603+1)/2)*E603,0))</x:f>
        <x:v>14932</x:v>
      </x:c>
      <x:c r="AP603" s="119" t="n">
        <x:f>IF(AN603=0,0,(AN603-IF(5=D603,1,0))*ROUND(AO603*VLOOKUP(INDEX('章节与怪物'!$E$31:$K$37,B603,5),'章节与怪物'!$A$41:$F$44,2,FALSE),0)+IF(5=D603,ROUND(AO603*'难度参数'!$E$28*'章节与怪物'!$E$17,0),0))</x:f>
        <x:v>927268</x:v>
      </x:c>
      <x:c r="AQ603" s="119" t="n">
        <x:f>IF(AN603=0,0,(AN603-IF(5=D603,1,0))*VLOOKUP(INDEX('章节与怪物'!$E$31:$K$37,B603,5),'章节与怪物'!$A$41:$F$44,4,FALSE)+IF(5=D603,'难度参数'!$E$30,0))</x:f>
        <x:v>1564</x:v>
      </x:c>
      <x:c r="AR603" s="119" t="n">
        <x:f>IF(6&gt;D603,0,MAX(2,MIN('难度参数'!$E$12,ROUND(('难度参数'!$E$18*POWER(A603,'难度参数'!$E$19)/D603*(0.85+0.3*(6-1)/MAX(1,D603-1))),0)+F603)))</x:f>
        <x:v>49</x:v>
      </x:c>
      <x:c r="AS603" s="119" t="n">
        <x:f>IF(6&gt;D603,0,ROUND(('难度参数'!$E$13*POWER(A603,'难度参数'!$E$20)*MIN('难度参数'!$E$23,1+MAX(0,A603-'难度参数'!$E$21)*'难度参数'!$E$22))*(36+6*7)/(36+7*(D603+1)/2)*E603,0))</x:f>
        <x:v>16404</x:v>
      </x:c>
      <x:c r="AT603" s="119" t="n">
        <x:f>IF(AR603=0,0,(AR603-IF(6=D603,1,0))*ROUND(AS603*VLOOKUP(INDEX('章节与怪物'!$E$31:$K$37,B603,6),'章节与怪物'!$A$41:$F$44,2,FALSE),0)+IF(6=D603,ROUND(AS603*'难度参数'!$E$28*'章节与怪物'!$E$17,0),0))</x:f>
        <x:v>578739</x:v>
      </x:c>
      <x:c r="AU603" s="119" t="n">
        <x:f>IF(AR603=0,0,(AR603-IF(6=D603,1,0))*VLOOKUP(INDEX('章节与怪物'!$E$31:$K$37,B603,6),'章节与怪物'!$A$41:$F$44,4,FALSE)+IF(6=D603,'难度参数'!$E$30,0))</x:f>
        <x:v>980</x:v>
      </x:c>
      <x:c r="AV603" s="119" t="n">
        <x:f>IF(7&gt;D603,0,MAX(2,MIN('难度参数'!$E$12,ROUND(('难度参数'!$E$18*POWER(A603,'难度参数'!$E$19)/D603*(0.85+0.3*(7-1)/MAX(1,D603-1))),0)+F603)))</x:f>
        <x:v>51</x:v>
      </x:c>
      <x:c r="AW603" s="119" t="n">
        <x:f>IF(7&gt;D603,0,ROUND(('难度参数'!$E$13*POWER(A603,'难度参数'!$E$20)*MIN('难度参数'!$E$23,1+MAX(0,A603-'难度参数'!$E$21)*'难度参数'!$E$22))*(36+7*7)/(36+7*(D603+1)/2)*E603,0))</x:f>
        <x:v>17876</x:v>
      </x:c>
      <x:c r="AX603" s="119" t="n">
        <x:f>IF(AV603=0,0,(AV603-IF(7=D603,1,0))*ROUND(AW603*VLOOKUP(INDEX('章节与怪物'!$E$31:$K$37,B603,7),'章节与怪物'!$A$41:$F$44,2,FALSE),0)+IF(7=D603,ROUND(AW603*'难度参数'!$E$28*'章节与怪物'!$E$17,0),0))</x:f>
        <x:v>1641007</x:v>
      </x:c>
      <x:c r="AY603" s="119" t="n">
        <x:f>IF(AV603=0,0,(AV603-IF(7=D603,1,0))*VLOOKUP(INDEX('章节与怪物'!$E$31:$K$37,B603,7),'章节与怪物'!$A$41:$F$44,4,FALSE)+IF(7=D603,'难度参数'!$E$30,0))</x:f>
        <x:v>1600</x:v>
      </x:c>
    </x:row>
    <x:row r="604" ht="23" customHeight="1">
      <x:c r="A604" s="119" t="n">
        <x:v>598</x:v>
      </x:c>
      <x:c r="B604" s="119" t="n">
        <x:f>MOD(INT((A604-1)/5),7)+1</x:f>
        <x:v>1</x:v>
      </x:c>
      <x:c r="C604" s="62" t="str">
        <x:f>INDEX('章节与怪物'!$B$31:$B$37,B604)</x:f>
        <x:v>冰雪荒原</x:v>
      </x:c>
      <x:c r="D604" s="119" t="n">
        <x:f>MIN('难度参数'!$E$8,MAX('难度参数'!$E$7,A604))</x:f>
        <x:v>7</x:v>
      </x:c>
      <x:c r="E604" s="106" t="n">
        <x:v>1</x:v>
      </x:c>
      <x:c r="F604" s="106" t="n">
        <x:v>0</x:v>
      </x:c>
      <x:c r="G604" s="106" t="n">
        <x:v>1</x:v>
      </x:c>
      <x:c r="H604" s="119" t="n">
        <x:f>SUM(X604,AB604,AF604,AJ604,AN604,AR604,AV604)</x:f>
        <x:v>310</x:v>
      </x:c>
      <x:c r="I604" s="119" t="n">
        <x:f>SUM(Z604,AD604,AH604,AL604,AP604,AT604,AX604)</x:f>
        <x:v>5286989</x:v>
      </x:c>
      <x:c r="J604" s="119" t="n">
        <x:f>ROUND(INDEX(X604:AY604,1,(D604-1)*4+2)*'难度参数'!$E$28*'章节与怪物'!$E$17,0)</x:f>
        <x:v>121706</x:v>
      </x:c>
      <x:c r="K604" s="119" t="n">
        <x:f>SUM(AA604,AE604,AI604,AM604,AQ604,AU604,AY604)</x:f>
        <x:v>7620</x:v>
      </x:c>
      <x:c r="L604" s="62" t="n">
        <x:f>H604*(ROUNDUP('难度参数'!$E$24/('难度参数'!$E$26*'难度参数'!$E$27),0)*'难度参数'!$E$26)/60</x:f>
        <x:v>4.133333333333334</x:v>
      </x:c>
      <x:c r="M604" s="62" t="n">
        <x:f>L604+D604*('难度参数'!$E$49+'难度参数'!$E$50)/60</x:f>
        <x:v>5.300000000000001</x:v>
      </x:c>
      <x:c r="N604" s="119" t="n">
        <x:f>ROUNDDOWN(('经济参数'!$E$20+A604*'经济参数'!$E$21)*G604,0)</x:f>
        <x:v>12140</x:v>
      </x:c>
      <x:c r="O604" s="119" t="n">
        <x:f>ROUNDDOWN(MIN('经济参数'!$E$24,'经济参数'!$E$22+A604*'经济参数'!$E$23)*G604,0)</x:f>
        <x:v>0</x:v>
      </x:c>
      <x:c r="P604" s="119" t="n">
        <x:f>ROUNDDOWN((IF(A604&gt;='材料与任务'!$E$31,'材料与任务'!$E$32,IF(A604&gt;='材料与任务'!$E$25,'材料与任务'!$E$26,IF(A604&gt;='材料与任务'!$E$19,'材料与任务'!$E$20,IF(A604&gt;='材料与任务'!$E$13,'材料与任务'!$E$14,'材料与任务'!$E$8)))))*G604,0)</x:f>
        <x:v>6</x:v>
      </x:c>
      <x:c r="Q604" s="119" t="n">
        <x:f>ROUNDDOWN((IF(A604&gt;='材料与任务'!$E$31,'材料与任务'!$E$33,IF(A604&gt;='材料与任务'!$E$25,'材料与任务'!$E$27,IF(A604&gt;='材料与任务'!$E$19,'材料与任务'!$E$21,IF(A604&gt;='材料与任务'!$E$13,'材料与任务'!$E$15,'材料与任务'!$E$9)))))*G604,0)</x:f>
        <x:v>3</x:v>
      </x:c>
      <x:c r="R604" s="110" t="n">
        <x:f>'装备掉落'!$B$38</x:f>
        <x:v>0.6872058758851213</x:v>
      </x:c>
      <x:c r="S604" s="119" t="n">
        <x:f>MAX(IF(VLOOKUP(A604,'装备掉落'!$A$29:$H$34,2,TRUE)&gt;0,1,0),IF(VLOOKUP(A604,'装备掉落'!$A$29:$H$34,3,TRUE)&gt;0,2,0),IF(VLOOKUP(A604,'装备掉落'!$A$29:$H$34,4,TRUE)&gt;0,3,0),IF(VLOOKUP(A604,'装备掉落'!$A$29:$H$34,5,TRUE)&gt;0,4,0),IF(VLOOKUP(A604,'装备掉落'!$A$29:$H$34,6,TRUE)&gt;0,5,0),IF(VLOOKUP(A604,'装备掉落'!$A$29:$H$34,7,TRUE)&gt;0,6,0),IF(VLOOKUP(A604,'装备掉落'!$A$29:$H$34,8,TRUE)&gt;0,7,0))</x:f>
        <x:v>7</x:v>
      </x:c>
      <x:c r="T604" s="119" t="n">
        <x:f>MIN(7,S604+'经济参数'!$E$70)</x:f>
        <x:v>7</x:v>
      </x:c>
      <x:c r="U604" s="119" t="n">
        <x:f>MIN(7,S604+'经济参数'!$E$71)</x:f>
        <x:v>7</x:v>
      </x:c>
      <x:c r="V604" s="119" t="n">
        <x:f>IF(H604&gt;=('难度参数'!$E$52),1,0)+IF(H604&gt;=('难度参数'!$E$52+'难度参数'!$E$53),1,0)+IF(H604&gt;=('难度参数'!$E$52+'难度参数'!$E$53+'难度参数'!$E$54),1,0)+IF(H604&gt;=('难度参数'!$E$52+'难度参数'!$E$53+'难度参数'!$E$54+'难度参数'!$E$55),1,0)+IF(H604&gt;=('难度参数'!$E$52+'难度参数'!$E$53+'难度参数'!$E$54+'难度参数'!$E$55+'难度参数'!$E$56),1,0)+IF(H604&gt;=('难度参数'!$E$52+'难度参数'!$E$53+'难度参数'!$E$54+'难度参数'!$E$55+'难度参数'!$E$56+'难度参数'!$E$57),1,0)</x:f>
        <x:v>6</x:v>
      </x:c>
      <x:c r="W604" s="62" t="str">
        <x:f>IF(L604&gt;'难度参数'!$E$51,"仅出怪已超目标","还需实测")</x:f>
        <x:v>仅出怪已超目标</x:v>
      </x:c>
      <x:c r="X604" s="119" t="n">
        <x:f>IF(1&gt;D604,0,MAX(2,MIN('难度参数'!$E$12,ROUND(('难度参数'!$E$18*POWER(A604,'难度参数'!$E$19)/D604*(0.85+0.3*(1-1)/MAX(1,D604-1))),0)+F604)))</x:f>
        <x:v>38</x:v>
      </x:c>
      <x:c r="Y604" s="119" t="n">
        <x:f>IF(1&gt;D604,0,ROUND(('难度参数'!$E$13*POWER(A604,'难度参数'!$E$20)*MIN('难度参数'!$E$23,1+MAX(0,A604-'难度参数'!$E$21)*'难度参数'!$E$22))*(36+1*7)/(36+7*(D604+1)/2)*E604,0))</x:f>
        <x:v>9054</x:v>
      </x:c>
      <x:c r="Z604" s="119" t="n">
        <x:f>IF(X604=0,0,(X604-IF(1=D604,1,0))*ROUND(Y604*VLOOKUP(INDEX('章节与怪物'!$E$31:$K$37,B604,1),'章节与怪物'!$A$41:$F$44,2,FALSE),0)+IF(1=D604,ROUND(Y604*'难度参数'!$E$28*'章节与怪物'!$E$17,0),0))</x:f>
        <x:v>344052</x:v>
      </x:c>
      <x:c r="AA604" s="119" t="n">
        <x:f>IF(X604=0,0,(X604-IF(1=D604,1,0))*VLOOKUP(INDEX('章节与怪物'!$E$31:$K$37,B604,1),'章节与怪物'!$A$41:$F$44,4,FALSE)+IF(1=D604,'难度参数'!$E$30,0))</x:f>
        <x:v>684</x:v>
      </x:c>
      <x:c r="AB604" s="119" t="n">
        <x:f>IF(2&gt;D604,0,MAX(2,MIN('难度参数'!$E$12,ROUND(('难度参数'!$E$18*POWER(A604,'难度参数'!$E$19)/D604*(0.85+0.3*(2-1)/MAX(1,D604-1))),0)+F604)))</x:f>
        <x:v>40</x:v>
      </x:c>
      <x:c r="AC604" s="119" t="n">
        <x:f>IF(2&gt;D604,0,ROUND(('难度参数'!$E$13*POWER(A604,'难度参数'!$E$20)*MIN('难度参数'!$E$23,1+MAX(0,A604-'难度参数'!$E$21)*'难度参数'!$E$22))*(36+2*7)/(36+7*(D604+1)/2)*E604,0))</x:f>
        <x:v>10528</x:v>
      </x:c>
      <x:c r="AD604" s="119" t="n">
        <x:f>IF(AB604=0,0,(AB604-IF(2=D604,1,0))*ROUND(AC604*VLOOKUP(INDEX('章节与怪物'!$E$31:$K$37,B604,2),'章节与怪物'!$A$41:$F$44,2,FALSE),0)+IF(2=D604,ROUND(AC604*'难度参数'!$E$28*'章节与怪物'!$E$17,0),0))</x:f>
        <x:v>421120</x:v>
      </x:c>
      <x:c r="AE604" s="119" t="n">
        <x:f>IF(AB604=0,0,(AB604-IF(2=D604,1,0))*VLOOKUP(INDEX('章节与怪物'!$E$31:$K$37,B604,2),'章节与怪物'!$A$41:$F$44,4,FALSE)+IF(2=D604,'难度参数'!$E$30,0))</x:f>
        <x:v>720</x:v>
      </x:c>
      <x:c r="AF604" s="119" t="n">
        <x:f>IF(3&gt;D604,0,MAX(2,MIN('难度参数'!$E$12,ROUND(('难度参数'!$E$18*POWER(A604,'难度参数'!$E$19)/D604*(0.85+0.3*(3-1)/MAX(1,D604-1))),0)+F604)))</x:f>
        <x:v>42</x:v>
      </x:c>
      <x:c r="AG604" s="119" t="n">
        <x:f>IF(3&gt;D604,0,ROUND(('难度参数'!$E$13*POWER(A604,'难度参数'!$E$20)*MIN('难度参数'!$E$23,1+MAX(0,A604-'难度参数'!$E$21)*'难度参数'!$E$22))*(36+3*7)/(36+7*(D604+1)/2)*E604,0))</x:f>
        <x:v>12002</x:v>
      </x:c>
      <x:c r="AH604" s="119" t="n">
        <x:f>IF(AF604=0,0,(AF604-IF(3=D604,1,0))*ROUND(AG604*VLOOKUP(INDEX('章节与怪物'!$E$31:$K$37,B604,3),'章节与怪物'!$A$41:$F$44,2,FALSE),0)+IF(3=D604,ROUND(AG604*'难度参数'!$E$28*'章节与怪物'!$E$17,0),0))</x:f>
        <x:v>362922</x:v>
      </x:c>
      <x:c r="AI604" s="119" t="n">
        <x:f>IF(AF604=0,0,(AF604-IF(3=D604,1,0))*VLOOKUP(INDEX('章节与怪物'!$E$31:$K$37,B604,3),'章节与怪物'!$A$41:$F$44,4,FALSE)+IF(3=D604,'难度参数'!$E$30,0))</x:f>
        <x:v>840</x:v>
      </x:c>
      <x:c r="AJ604" s="119" t="n">
        <x:f>IF(4&gt;D604,0,MAX(2,MIN('难度参数'!$E$12,ROUND(('难度参数'!$E$18*POWER(A604,'难度参数'!$E$19)/D604*(0.85+0.3*(4-1)/MAX(1,D604-1))),0)+F604)))</x:f>
        <x:v>44</x:v>
      </x:c>
      <x:c r="AK604" s="119" t="n">
        <x:f>IF(4&gt;D604,0,ROUND(('难度参数'!$E$13*POWER(A604,'难度参数'!$E$20)*MIN('难度参数'!$E$23,1+MAX(0,A604-'难度参数'!$E$21)*'难度参数'!$E$22))*(36+4*7)/(36+7*(D604+1)/2)*E604,0))</x:f>
        <x:v>13476</x:v>
      </x:c>
      <x:c r="AL604" s="119" t="n">
        <x:f>IF(AJ604=0,0,(AJ604-IF(4=D604,1,0))*ROUND(AK604*VLOOKUP(INDEX('章节与怪物'!$E$31:$K$37,B604,4),'章节与怪物'!$A$41:$F$44,2,FALSE),0)+IF(4=D604,ROUND(AK604*'难度参数'!$E$28*'章节与怪物'!$E$17,0),0))</x:f>
        <x:v>1007996</x:v>
      </x:c>
      <x:c r="AM604" s="119" t="n">
        <x:f>IF(AJ604=0,0,(AJ604-IF(4=D604,1,0))*VLOOKUP(INDEX('章节与怪物'!$E$31:$K$37,B604,4),'章节与怪物'!$A$41:$F$44,4,FALSE)+IF(4=D604,'难度参数'!$E$30,0))</x:f>
        <x:v>1232</x:v>
      </x:c>
      <x:c r="AN604" s="119" t="n">
        <x:f>IF(5&gt;D604,0,MAX(2,MIN('难度参数'!$E$12,ROUND(('难度参数'!$E$18*POWER(A604,'难度参数'!$E$19)/D604*(0.85+0.3*(5-1)/MAX(1,D604-1))),0)+F604)))</x:f>
        <x:v>46</x:v>
      </x:c>
      <x:c r="AO604" s="119" t="n">
        <x:f>IF(5&gt;D604,0,ROUND(('难度参数'!$E$13*POWER(A604,'难度参数'!$E$20)*MIN('难度参数'!$E$23,1+MAX(0,A604-'难度参数'!$E$21)*'难度参数'!$E$22))*(36+5*7)/(36+7*(D604+1)/2)*E604,0))</x:f>
        <x:v>14950</x:v>
      </x:c>
      <x:c r="AP604" s="119" t="n">
        <x:f>IF(AN604=0,0,(AN604-IF(5=D604,1,0))*ROUND(AO604*VLOOKUP(INDEX('章节与怪物'!$E$31:$K$37,B604,5),'章节与怪物'!$A$41:$F$44,2,FALSE),0)+IF(5=D604,ROUND(AO604*'难度参数'!$E$28*'章节与怪物'!$E$17,0),0))</x:f>
        <x:v>928418</x:v>
      </x:c>
      <x:c r="AQ604" s="119" t="n">
        <x:f>IF(AN604=0,0,(AN604-IF(5=D604,1,0))*VLOOKUP(INDEX('章节与怪物'!$E$31:$K$37,B604,5),'章节与怪物'!$A$41:$F$44,4,FALSE)+IF(5=D604,'难度参数'!$E$30,0))</x:f>
        <x:v>1564</x:v>
      </x:c>
      <x:c r="AR604" s="119" t="n">
        <x:f>IF(6&gt;D604,0,MAX(2,MIN('难度参数'!$E$12,ROUND(('难度参数'!$E$18*POWER(A604,'难度参数'!$E$19)/D604*(0.85+0.3*(6-1)/MAX(1,D604-1))),0)+F604)))</x:f>
        <x:v>49</x:v>
      </x:c>
      <x:c r="AS604" s="119" t="n">
        <x:f>IF(6&gt;D604,0,ROUND(('难度参数'!$E$13*POWER(A604,'难度参数'!$E$20)*MIN('难度参数'!$E$23,1+MAX(0,A604-'难度参数'!$E$21)*'难度参数'!$E$22))*(36+6*7)/(36+7*(D604+1)/2)*E604,0))</x:f>
        <x:v>16424</x:v>
      </x:c>
      <x:c r="AT604" s="119" t="n">
        <x:f>IF(AR604=0,0,(AR604-IF(6=D604,1,0))*ROUND(AS604*VLOOKUP(INDEX('章节与怪物'!$E$31:$K$37,B604,6),'章节与怪物'!$A$41:$F$44,2,FALSE),0)+IF(6=D604,ROUND(AS604*'难度参数'!$E$28*'章节与怪物'!$E$17,0),0))</x:f>
        <x:v>579425</x:v>
      </x:c>
      <x:c r="AU604" s="119" t="n">
        <x:f>IF(AR604=0,0,(AR604-IF(6=D604,1,0))*VLOOKUP(INDEX('章节与怪物'!$E$31:$K$37,B604,6),'章节与怪物'!$A$41:$F$44,4,FALSE)+IF(6=D604,'难度参数'!$E$30,0))</x:f>
        <x:v>980</x:v>
      </x:c>
      <x:c r="AV604" s="119" t="n">
        <x:f>IF(7&gt;D604,0,MAX(2,MIN('难度参数'!$E$12,ROUND(('难度参数'!$E$18*POWER(A604,'难度参数'!$E$19)/D604*(0.85+0.3*(7-1)/MAX(1,D604-1))),0)+F604)))</x:f>
        <x:v>51</x:v>
      </x:c>
      <x:c r="AW604" s="119" t="n">
        <x:f>IF(7&gt;D604,0,ROUND(('难度参数'!$E$13*POWER(A604,'难度参数'!$E$20)*MIN('难度参数'!$E$23,1+MAX(0,A604-'难度参数'!$E$21)*'难度参数'!$E$22))*(36+7*7)/(36+7*(D604+1)/2)*E604,0))</x:f>
        <x:v>17898</x:v>
      </x:c>
      <x:c r="AX604" s="119" t="n">
        <x:f>IF(AV604=0,0,(AV604-IF(7=D604,1,0))*ROUND(AW604*VLOOKUP(INDEX('章节与怪物'!$E$31:$K$37,B604,7),'章节与怪物'!$A$41:$F$44,2,FALSE),0)+IF(7=D604,ROUND(AW604*'难度参数'!$E$28*'章节与怪物'!$E$17,0),0))</x:f>
        <x:v>1643056</x:v>
      </x:c>
      <x:c r="AY604" s="119" t="n">
        <x:f>IF(AV604=0,0,(AV604-IF(7=D604,1,0))*VLOOKUP(INDEX('章节与怪物'!$E$31:$K$37,B604,7),'章节与怪物'!$A$41:$F$44,4,FALSE)+IF(7=D604,'难度参数'!$E$30,0))</x:f>
        <x:v>1600</x:v>
      </x:c>
    </x:row>
    <x:row r="605" ht="23" customHeight="1">
      <x:c r="A605" s="119" t="n">
        <x:v>599</x:v>
      </x:c>
      <x:c r="B605" s="119" t="n">
        <x:f>MOD(INT((A605-1)/5),7)+1</x:f>
        <x:v>1</x:v>
      </x:c>
      <x:c r="C605" s="62" t="str">
        <x:f>INDEX('章节与怪物'!$B$31:$B$37,B605)</x:f>
        <x:v>冰雪荒原</x:v>
      </x:c>
      <x:c r="D605" s="119" t="n">
        <x:f>MIN('难度参数'!$E$8,MAX('难度参数'!$E$7,A605))</x:f>
        <x:v>7</x:v>
      </x:c>
      <x:c r="E605" s="106" t="n">
        <x:v>1</x:v>
      </x:c>
      <x:c r="F605" s="106" t="n">
        <x:v>0</x:v>
      </x:c>
      <x:c r="G605" s="106" t="n">
        <x:v>1</x:v>
      </x:c>
      <x:c r="H605" s="119" t="n">
        <x:f>SUM(X605,AB605,AF605,AJ605,AN605,AR605,AV605)</x:f>
        <x:v>310</x:v>
      </x:c>
      <x:c r="I605" s="119" t="n">
        <x:f>SUM(Z605,AD605,AH605,AL605,AP605,AT605,AX605)</x:f>
        <x:v>5293309</x:v>
      </x:c>
      <x:c r="J605" s="119" t="n">
        <x:f>ROUND(INDEX(X605:AY605,1,(D605-1)*4+2)*'难度参数'!$E$28*'章节与怪物'!$E$17,0)</x:f>
        <x:v>121849</x:v>
      </x:c>
      <x:c r="K605" s="119" t="n">
        <x:f>SUM(AA605,AE605,AI605,AM605,AQ605,AU605,AY605)</x:f>
        <x:v>7620</x:v>
      </x:c>
      <x:c r="L605" s="62" t="n">
        <x:f>H605*(ROUNDUP('难度参数'!$E$24/('难度参数'!$E$26*'难度参数'!$E$27),0)*'难度参数'!$E$26)/60</x:f>
        <x:v>4.133333333333334</x:v>
      </x:c>
      <x:c r="M605" s="62" t="n">
        <x:f>L605+D605*('难度参数'!$E$49+'难度参数'!$E$50)/60</x:f>
        <x:v>5.300000000000001</x:v>
      </x:c>
      <x:c r="N605" s="119" t="n">
        <x:f>ROUNDDOWN(('经济参数'!$E$20+A605*'经济参数'!$E$21)*G605,0)</x:f>
        <x:v>12160</x:v>
      </x:c>
      <x:c r="O605" s="119" t="n">
        <x:f>ROUNDDOWN(MIN('经济参数'!$E$24,'经济参数'!$E$22+A605*'经济参数'!$E$23)*G605,0)</x:f>
        <x:v>0</x:v>
      </x:c>
      <x:c r="P605" s="119" t="n">
        <x:f>ROUNDDOWN((IF(A605&gt;='材料与任务'!$E$31,'材料与任务'!$E$32,IF(A605&gt;='材料与任务'!$E$25,'材料与任务'!$E$26,IF(A605&gt;='材料与任务'!$E$19,'材料与任务'!$E$20,IF(A605&gt;='材料与任务'!$E$13,'材料与任务'!$E$14,'材料与任务'!$E$8)))))*G605,0)</x:f>
        <x:v>6</x:v>
      </x:c>
      <x:c r="Q605" s="119" t="n">
        <x:f>ROUNDDOWN((IF(A605&gt;='材料与任务'!$E$31,'材料与任务'!$E$33,IF(A605&gt;='材料与任务'!$E$25,'材料与任务'!$E$27,IF(A605&gt;='材料与任务'!$E$19,'材料与任务'!$E$21,IF(A605&gt;='材料与任务'!$E$13,'材料与任务'!$E$15,'材料与任务'!$E$9)))))*G605,0)</x:f>
        <x:v>3</x:v>
      </x:c>
      <x:c r="R605" s="110" t="n">
        <x:f>'装备掉落'!$B$38</x:f>
        <x:v>0.6872058758851213</x:v>
      </x:c>
      <x:c r="S605" s="119" t="n">
        <x:f>MAX(IF(VLOOKUP(A605,'装备掉落'!$A$29:$H$34,2,TRUE)&gt;0,1,0),IF(VLOOKUP(A605,'装备掉落'!$A$29:$H$34,3,TRUE)&gt;0,2,0),IF(VLOOKUP(A605,'装备掉落'!$A$29:$H$34,4,TRUE)&gt;0,3,0),IF(VLOOKUP(A605,'装备掉落'!$A$29:$H$34,5,TRUE)&gt;0,4,0),IF(VLOOKUP(A605,'装备掉落'!$A$29:$H$34,6,TRUE)&gt;0,5,0),IF(VLOOKUP(A605,'装备掉落'!$A$29:$H$34,7,TRUE)&gt;0,6,0),IF(VLOOKUP(A605,'装备掉落'!$A$29:$H$34,8,TRUE)&gt;0,7,0))</x:f>
        <x:v>7</x:v>
      </x:c>
      <x:c r="T605" s="119" t="n">
        <x:f>MIN(7,S605+'经济参数'!$E$70)</x:f>
        <x:v>7</x:v>
      </x:c>
      <x:c r="U605" s="119" t="n">
        <x:f>MIN(7,S605+'经济参数'!$E$71)</x:f>
        <x:v>7</x:v>
      </x:c>
      <x:c r="V605" s="119" t="n">
        <x:f>IF(H605&gt;=('难度参数'!$E$52),1,0)+IF(H605&gt;=('难度参数'!$E$52+'难度参数'!$E$53),1,0)+IF(H605&gt;=('难度参数'!$E$52+'难度参数'!$E$53+'难度参数'!$E$54),1,0)+IF(H605&gt;=('难度参数'!$E$52+'难度参数'!$E$53+'难度参数'!$E$54+'难度参数'!$E$55),1,0)+IF(H605&gt;=('难度参数'!$E$52+'难度参数'!$E$53+'难度参数'!$E$54+'难度参数'!$E$55+'难度参数'!$E$56),1,0)+IF(H605&gt;=('难度参数'!$E$52+'难度参数'!$E$53+'难度参数'!$E$54+'难度参数'!$E$55+'难度参数'!$E$56+'难度参数'!$E$57),1,0)</x:f>
        <x:v>6</x:v>
      </x:c>
      <x:c r="W605" s="62" t="str">
        <x:f>IF(L605&gt;'难度参数'!$E$51,"仅出怪已超目标","还需实测")</x:f>
        <x:v>仅出怪已超目标</x:v>
      </x:c>
      <x:c r="X605" s="119" t="n">
        <x:f>IF(1&gt;D605,0,MAX(2,MIN('难度参数'!$E$12,ROUND(('难度参数'!$E$18*POWER(A605,'难度参数'!$E$19)/D605*(0.85+0.3*(1-1)/MAX(1,D605-1))),0)+F605)))</x:f>
        <x:v>38</x:v>
      </x:c>
      <x:c r="Y605" s="119" t="n">
        <x:f>IF(1&gt;D605,0,ROUND(('难度参数'!$E$13*POWER(A605,'难度参数'!$E$20)*MIN('难度参数'!$E$23,1+MAX(0,A605-'难度参数'!$E$21)*'难度参数'!$E$22))*(36+1*7)/(36+7*(D605+1)/2)*E605,0))</x:f>
        <x:v>9065</x:v>
      </x:c>
      <x:c r="Z605" s="119" t="n">
        <x:f>IF(X605=0,0,(X605-IF(1=D605,1,0))*ROUND(Y605*VLOOKUP(INDEX('章节与怪物'!$E$31:$K$37,B605,1),'章节与怪物'!$A$41:$F$44,2,FALSE),0)+IF(1=D605,ROUND(Y605*'难度参数'!$E$28*'章节与怪物'!$E$17,0),0))</x:f>
        <x:v>344470</x:v>
      </x:c>
      <x:c r="AA605" s="119" t="n">
        <x:f>IF(X605=0,0,(X605-IF(1=D605,1,0))*VLOOKUP(INDEX('章节与怪物'!$E$31:$K$37,B605,1),'章节与怪物'!$A$41:$F$44,4,FALSE)+IF(1=D605,'难度参数'!$E$30,0))</x:f>
        <x:v>684</x:v>
      </x:c>
      <x:c r="AB605" s="119" t="n">
        <x:f>IF(2&gt;D605,0,MAX(2,MIN('难度参数'!$E$12,ROUND(('难度参数'!$E$18*POWER(A605,'难度参数'!$E$19)/D605*(0.85+0.3*(2-1)/MAX(1,D605-1))),0)+F605)))</x:f>
        <x:v>40</x:v>
      </x:c>
      <x:c r="AC605" s="119" t="n">
        <x:f>IF(2&gt;D605,0,ROUND(('难度参数'!$E$13*POWER(A605,'难度参数'!$E$20)*MIN('难度参数'!$E$23,1+MAX(0,A605-'难度参数'!$E$21)*'难度参数'!$E$22))*(36+2*7)/(36+7*(D605+1)/2)*E605,0))</x:f>
        <x:v>10541</x:v>
      </x:c>
      <x:c r="AD605" s="119" t="n">
        <x:f>IF(AB605=0,0,(AB605-IF(2=D605,1,0))*ROUND(AC605*VLOOKUP(INDEX('章节与怪物'!$E$31:$K$37,B605,2),'章节与怪物'!$A$41:$F$44,2,FALSE),0)+IF(2=D605,ROUND(AC605*'难度参数'!$E$28*'章节与怪物'!$E$17,0),0))</x:f>
        <x:v>421640</x:v>
      </x:c>
      <x:c r="AE605" s="119" t="n">
        <x:f>IF(AB605=0,0,(AB605-IF(2=D605,1,0))*VLOOKUP(INDEX('章节与怪物'!$E$31:$K$37,B605,2),'章节与怪物'!$A$41:$F$44,4,FALSE)+IF(2=D605,'难度参数'!$E$30,0))</x:f>
        <x:v>720</x:v>
      </x:c>
      <x:c r="AF605" s="119" t="n">
        <x:f>IF(3&gt;D605,0,MAX(2,MIN('难度参数'!$E$12,ROUND(('难度参数'!$E$18*POWER(A605,'难度参数'!$E$19)/D605*(0.85+0.3*(3-1)/MAX(1,D605-1))),0)+F605)))</x:f>
        <x:v>42</x:v>
      </x:c>
      <x:c r="AG605" s="119" t="n">
        <x:f>IF(3&gt;D605,0,ROUND(('难度参数'!$E$13*POWER(A605,'难度参数'!$E$20)*MIN('难度参数'!$E$23,1+MAX(0,A605-'难度参数'!$E$21)*'难度参数'!$E$22))*(36+3*7)/(36+7*(D605+1)/2)*E605,0))</x:f>
        <x:v>12016</x:v>
      </x:c>
      <x:c r="AH605" s="119" t="n">
        <x:f>IF(AF605=0,0,(AF605-IF(3=D605,1,0))*ROUND(AG605*VLOOKUP(INDEX('章节与怪物'!$E$31:$K$37,B605,3),'章节与怪物'!$A$41:$F$44,2,FALSE),0)+IF(3=D605,ROUND(AG605*'难度参数'!$E$28*'章节与怪物'!$E$17,0),0))</x:f>
        <x:v>363384</x:v>
      </x:c>
      <x:c r="AI605" s="119" t="n">
        <x:f>IF(AF605=0,0,(AF605-IF(3=D605,1,0))*VLOOKUP(INDEX('章节与怪物'!$E$31:$K$37,B605,3),'章节与怪物'!$A$41:$F$44,4,FALSE)+IF(3=D605,'难度参数'!$E$30,0))</x:f>
        <x:v>840</x:v>
      </x:c>
      <x:c r="AJ605" s="119" t="n">
        <x:f>IF(4&gt;D605,0,MAX(2,MIN('难度参数'!$E$12,ROUND(('难度参数'!$E$18*POWER(A605,'难度参数'!$E$19)/D605*(0.85+0.3*(4-1)/MAX(1,D605-1))),0)+F605)))</x:f>
        <x:v>44</x:v>
      </x:c>
      <x:c r="AK605" s="119" t="n">
        <x:f>IF(4&gt;D605,0,ROUND(('难度参数'!$E$13*POWER(A605,'难度参数'!$E$20)*MIN('难度参数'!$E$23,1+MAX(0,A605-'难度参数'!$E$21)*'难度参数'!$E$22))*(36+4*7)/(36+7*(D605+1)/2)*E605,0))</x:f>
        <x:v>13492</x:v>
      </x:c>
      <x:c r="AL605" s="119" t="n">
        <x:f>IF(AJ605=0,0,(AJ605-IF(4=D605,1,0))*ROUND(AK605*VLOOKUP(INDEX('章节与怪物'!$E$31:$K$37,B605,4),'章节与怪物'!$A$41:$F$44,2,FALSE),0)+IF(4=D605,ROUND(AK605*'难度参数'!$E$28*'章节与怪物'!$E$17,0),0))</x:f>
        <x:v>1009184</x:v>
      </x:c>
      <x:c r="AM605" s="119" t="n">
        <x:f>IF(AJ605=0,0,(AJ605-IF(4=D605,1,0))*VLOOKUP(INDEX('章节与怪物'!$E$31:$K$37,B605,4),'章节与怪物'!$A$41:$F$44,4,FALSE)+IF(4=D605,'难度参数'!$E$30,0))</x:f>
        <x:v>1232</x:v>
      </x:c>
      <x:c r="AN605" s="119" t="n">
        <x:f>IF(5&gt;D605,0,MAX(2,MIN('难度参数'!$E$12,ROUND(('难度参数'!$E$18*POWER(A605,'难度参数'!$E$19)/D605*(0.85+0.3*(5-1)/MAX(1,D605-1))),0)+F605)))</x:f>
        <x:v>46</x:v>
      </x:c>
      <x:c r="AO605" s="119" t="n">
        <x:f>IF(5&gt;D605,0,ROUND(('难度参数'!$E$13*POWER(A605,'难度参数'!$E$20)*MIN('难度参数'!$E$23,1+MAX(0,A605-'难度参数'!$E$21)*'难度参数'!$E$22))*(36+5*7)/(36+7*(D605+1)/2)*E605,0))</x:f>
        <x:v>14968</x:v>
      </x:c>
      <x:c r="AP605" s="119" t="n">
        <x:f>IF(AN605=0,0,(AN605-IF(5=D605,1,0))*ROUND(AO605*VLOOKUP(INDEX('章节与怪物'!$E$31:$K$37,B605,5),'章节与怪物'!$A$41:$F$44,2,FALSE),0)+IF(5=D605,ROUND(AO605*'难度参数'!$E$28*'章节与怪物'!$E$17,0),0))</x:f>
        <x:v>929522</x:v>
      </x:c>
      <x:c r="AQ605" s="119" t="n">
        <x:f>IF(AN605=0,0,(AN605-IF(5=D605,1,0))*VLOOKUP(INDEX('章节与怪物'!$E$31:$K$37,B605,5),'章节与怪物'!$A$41:$F$44,4,FALSE)+IF(5=D605,'难度参数'!$E$30,0))</x:f>
        <x:v>1564</x:v>
      </x:c>
      <x:c r="AR605" s="119" t="n">
        <x:f>IF(6&gt;D605,0,MAX(2,MIN('难度参数'!$E$12,ROUND(('难度参数'!$E$18*POWER(A605,'难度参数'!$E$19)/D605*(0.85+0.3*(6-1)/MAX(1,D605-1))),0)+F605)))</x:f>
        <x:v>49</x:v>
      </x:c>
      <x:c r="AS605" s="119" t="n">
        <x:f>IF(6&gt;D605,0,ROUND(('难度参数'!$E$13*POWER(A605,'难度参数'!$E$20)*MIN('难度参数'!$E$23,1+MAX(0,A605-'难度参数'!$E$21)*'难度参数'!$E$22))*(36+6*7)/(36+7*(D605+1)/2)*E605,0))</x:f>
        <x:v>16444</x:v>
      </x:c>
      <x:c r="AT605" s="119" t="n">
        <x:f>IF(AR605=0,0,(AR605-IF(6=D605,1,0))*ROUND(AS605*VLOOKUP(INDEX('章节与怪物'!$E$31:$K$37,B605,6),'章节与怪物'!$A$41:$F$44,2,FALSE),0)+IF(6=D605,ROUND(AS605*'难度参数'!$E$28*'章节与怪物'!$E$17,0),0))</x:f>
        <x:v>580160</x:v>
      </x:c>
      <x:c r="AU605" s="119" t="n">
        <x:f>IF(AR605=0,0,(AR605-IF(6=D605,1,0))*VLOOKUP(INDEX('章节与怪物'!$E$31:$K$37,B605,6),'章节与怪物'!$A$41:$F$44,4,FALSE)+IF(6=D605,'难度参数'!$E$30,0))</x:f>
        <x:v>980</x:v>
      </x:c>
      <x:c r="AV605" s="119" t="n">
        <x:f>IF(7&gt;D605,0,MAX(2,MIN('难度参数'!$E$12,ROUND(('难度参数'!$E$18*POWER(A605,'难度参数'!$E$19)/D605*(0.85+0.3*(7-1)/MAX(1,D605-1))),0)+F605)))</x:f>
        <x:v>51</x:v>
      </x:c>
      <x:c r="AW605" s="119" t="n">
        <x:f>IF(7&gt;D605,0,ROUND(('难度参数'!$E$13*POWER(A605,'难度参数'!$E$20)*MIN('难度参数'!$E$23,1+MAX(0,A605-'难度参数'!$E$21)*'难度参数'!$E$22))*(36+7*7)/(36+7*(D605+1)/2)*E605,0))</x:f>
        <x:v>17919</x:v>
      </x:c>
      <x:c r="AX605" s="119" t="n">
        <x:f>IF(AV605=0,0,(AV605-IF(7=D605,1,0))*ROUND(AW605*VLOOKUP(INDEX('章节与怪物'!$E$31:$K$37,B605,7),'章节与怪物'!$A$41:$F$44,2,FALSE),0)+IF(7=D605,ROUND(AW605*'难度参数'!$E$28*'章节与怪物'!$E$17,0),0))</x:f>
        <x:v>1644949</x:v>
      </x:c>
      <x:c r="AY605" s="119" t="n">
        <x:f>IF(AV605=0,0,(AV605-IF(7=D605,1,0))*VLOOKUP(INDEX('章节与怪物'!$E$31:$K$37,B605,7),'章节与怪物'!$A$41:$F$44,4,FALSE)+IF(7=D605,'难度参数'!$E$30,0))</x:f>
        <x:v>1600</x:v>
      </x:c>
    </x:row>
    <x:row r="606" ht="23" customHeight="1">
      <x:c r="A606" s="119" t="n">
        <x:v>600</x:v>
      </x:c>
      <x:c r="B606" s="119" t="n">
        <x:f>MOD(INT((A606-1)/5),7)+1</x:f>
        <x:v>1</x:v>
      </x:c>
      <x:c r="C606" s="62" t="str">
        <x:f>INDEX('章节与怪物'!$B$31:$B$37,B606)</x:f>
        <x:v>冰雪荒原</x:v>
      </x:c>
      <x:c r="D606" s="119" t="n">
        <x:f>MIN('难度参数'!$E$8,MAX('难度参数'!$E$7,A606))</x:f>
        <x:v>7</x:v>
      </x:c>
      <x:c r="E606" s="106" t="n">
        <x:v>1</x:v>
      </x:c>
      <x:c r="F606" s="106" t="n">
        <x:v>0</x:v>
      </x:c>
      <x:c r="G606" s="106" t="n">
        <x:v>1</x:v>
      </x:c>
      <x:c r="H606" s="119" t="n">
        <x:f>SUM(X606,AB606,AF606,AJ606,AN606,AR606,AV606)</x:f>
        <x:v>310</x:v>
      </x:c>
      <x:c r="I606" s="119" t="n">
        <x:f>SUM(Z606,AD606,AH606,AL606,AP606,AT606,AX606)</x:f>
        <x:v>5299650</x:v>
      </x:c>
      <x:c r="J606" s="119" t="n">
        <x:f>ROUND(INDEX(X606:AY606,1,(D606-1)*4+2)*'难度参数'!$E$28*'章节与怪物'!$E$17,0)</x:f>
        <x:v>121999</x:v>
      </x:c>
      <x:c r="K606" s="119" t="n">
        <x:f>SUM(AA606,AE606,AI606,AM606,AQ606,AU606,AY606)</x:f>
        <x:v>7620</x:v>
      </x:c>
      <x:c r="L606" s="62" t="n">
        <x:f>H606*(ROUNDUP('难度参数'!$E$24/('难度参数'!$E$26*'难度参数'!$E$27),0)*'难度参数'!$E$26)/60</x:f>
        <x:v>4.133333333333334</x:v>
      </x:c>
      <x:c r="M606" s="62" t="n">
        <x:f>L606+D606*('难度参数'!$E$49+'难度参数'!$E$50)/60</x:f>
        <x:v>5.300000000000001</x:v>
      </x:c>
      <x:c r="N606" s="119" t="n">
        <x:f>ROUNDDOWN(('经济参数'!$E$20+A606*'经济参数'!$E$21)*G606,0)</x:f>
        <x:v>12180</x:v>
      </x:c>
      <x:c r="O606" s="119" t="n">
        <x:f>ROUNDDOWN(MIN('经济参数'!$E$24,'经济参数'!$E$22+A606*'经济参数'!$E$23)*G606,0)</x:f>
        <x:v>0</x:v>
      </x:c>
      <x:c r="P606" s="119" t="n">
        <x:f>ROUNDDOWN((IF(A606&gt;='材料与任务'!$E$31,'材料与任务'!$E$32,IF(A606&gt;='材料与任务'!$E$25,'材料与任务'!$E$26,IF(A606&gt;='材料与任务'!$E$19,'材料与任务'!$E$20,IF(A606&gt;='材料与任务'!$E$13,'材料与任务'!$E$14,'材料与任务'!$E$8)))))*G606,0)</x:f>
        <x:v>6</x:v>
      </x:c>
      <x:c r="Q606" s="119" t="n">
        <x:f>ROUNDDOWN((IF(A606&gt;='材料与任务'!$E$31,'材料与任务'!$E$33,IF(A606&gt;='材料与任务'!$E$25,'材料与任务'!$E$27,IF(A606&gt;='材料与任务'!$E$19,'材料与任务'!$E$21,IF(A606&gt;='材料与任务'!$E$13,'材料与任务'!$E$15,'材料与任务'!$E$9)))))*G606,0)</x:f>
        <x:v>3</x:v>
      </x:c>
      <x:c r="R606" s="110" t="n">
        <x:f>'装备掉落'!$B$38</x:f>
        <x:v>0.6872058758851213</x:v>
      </x:c>
      <x:c r="S606" s="119" t="n">
        <x:f>MAX(IF(VLOOKUP(A606,'装备掉落'!$A$29:$H$34,2,TRUE)&gt;0,1,0),IF(VLOOKUP(A606,'装备掉落'!$A$29:$H$34,3,TRUE)&gt;0,2,0),IF(VLOOKUP(A606,'装备掉落'!$A$29:$H$34,4,TRUE)&gt;0,3,0),IF(VLOOKUP(A606,'装备掉落'!$A$29:$H$34,5,TRUE)&gt;0,4,0),IF(VLOOKUP(A606,'装备掉落'!$A$29:$H$34,6,TRUE)&gt;0,5,0),IF(VLOOKUP(A606,'装备掉落'!$A$29:$H$34,7,TRUE)&gt;0,6,0),IF(VLOOKUP(A606,'装备掉落'!$A$29:$H$34,8,TRUE)&gt;0,7,0))</x:f>
        <x:v>7</x:v>
      </x:c>
      <x:c r="T606" s="119" t="n">
        <x:f>MIN(7,S606+'经济参数'!$E$70)</x:f>
        <x:v>7</x:v>
      </x:c>
      <x:c r="U606" s="119" t="n">
        <x:f>MIN(7,S606+'经济参数'!$E$71)</x:f>
        <x:v>7</x:v>
      </x:c>
      <x:c r="V606" s="119" t="n">
        <x:f>IF(H606&gt;=('难度参数'!$E$52),1,0)+IF(H606&gt;=('难度参数'!$E$52+'难度参数'!$E$53),1,0)+IF(H606&gt;=('难度参数'!$E$52+'难度参数'!$E$53+'难度参数'!$E$54),1,0)+IF(H606&gt;=('难度参数'!$E$52+'难度参数'!$E$53+'难度参数'!$E$54+'难度参数'!$E$55),1,0)+IF(H606&gt;=('难度参数'!$E$52+'难度参数'!$E$53+'难度参数'!$E$54+'难度参数'!$E$55+'难度参数'!$E$56),1,0)+IF(H606&gt;=('难度参数'!$E$52+'难度参数'!$E$53+'难度参数'!$E$54+'难度参数'!$E$55+'难度参数'!$E$56+'难度参数'!$E$57),1,0)</x:f>
        <x:v>6</x:v>
      </x:c>
      <x:c r="W606" s="62" t="str">
        <x:f>IF(L606&gt;'难度参数'!$E$51,"仅出怪已超目标","还需实测")</x:f>
        <x:v>仅出怪已超目标</x:v>
      </x:c>
      <x:c r="X606" s="119" t="n">
        <x:f>IF(1&gt;D606,0,MAX(2,MIN('难度参数'!$E$12,ROUND(('难度参数'!$E$18*POWER(A606,'难度参数'!$E$19)/D606*(0.85+0.3*(1-1)/MAX(1,D606-1))),0)+F606)))</x:f>
        <x:v>38</x:v>
      </x:c>
      <x:c r="Y606" s="119" t="n">
        <x:f>IF(1&gt;D606,0,ROUND(('难度参数'!$E$13*POWER(A606,'难度参数'!$E$20)*MIN('难度参数'!$E$23,1+MAX(0,A606-'难度参数'!$E$21)*'难度参数'!$E$22))*(36+1*7)/(36+7*(D606+1)/2)*E606,0))</x:f>
        <x:v>9076</x:v>
      </x:c>
      <x:c r="Z606" s="119" t="n">
        <x:f>IF(X606=0,0,(X606-IF(1=D606,1,0))*ROUND(Y606*VLOOKUP(INDEX('章节与怪物'!$E$31:$K$37,B606,1),'章节与怪物'!$A$41:$F$44,2,FALSE),0)+IF(1=D606,ROUND(Y606*'难度参数'!$E$28*'章节与怪物'!$E$17,0),0))</x:f>
        <x:v>344888</x:v>
      </x:c>
      <x:c r="AA606" s="119" t="n">
        <x:f>IF(X606=0,0,(X606-IF(1=D606,1,0))*VLOOKUP(INDEX('章节与怪物'!$E$31:$K$37,B606,1),'章节与怪物'!$A$41:$F$44,4,FALSE)+IF(1=D606,'难度参数'!$E$30,0))</x:f>
        <x:v>684</x:v>
      </x:c>
      <x:c r="AB606" s="119" t="n">
        <x:f>IF(2&gt;D606,0,MAX(2,MIN('难度参数'!$E$12,ROUND(('难度参数'!$E$18*POWER(A606,'难度参数'!$E$19)/D606*(0.85+0.3*(2-1)/MAX(1,D606-1))),0)+F606)))</x:f>
        <x:v>40</x:v>
      </x:c>
      <x:c r="AC606" s="119" t="n">
        <x:f>IF(2&gt;D606,0,ROUND(('难度参数'!$E$13*POWER(A606,'难度参数'!$E$20)*MIN('难度参数'!$E$23,1+MAX(0,A606-'难度参数'!$E$21)*'难度参数'!$E$22))*(36+2*7)/(36+7*(D606+1)/2)*E606,0))</x:f>
        <x:v>10553</x:v>
      </x:c>
      <x:c r="AD606" s="119" t="n">
        <x:f>IF(AB606=0,0,(AB606-IF(2=D606,1,0))*ROUND(AC606*VLOOKUP(INDEX('章节与怪物'!$E$31:$K$37,B606,2),'章节与怪物'!$A$41:$F$44,2,FALSE),0)+IF(2=D606,ROUND(AC606*'难度参数'!$E$28*'章节与怪物'!$E$17,0),0))</x:f>
        <x:v>422120</x:v>
      </x:c>
      <x:c r="AE606" s="119" t="n">
        <x:f>IF(AB606=0,0,(AB606-IF(2=D606,1,0))*VLOOKUP(INDEX('章节与怪物'!$E$31:$K$37,B606,2),'章节与怪物'!$A$41:$F$44,4,FALSE)+IF(2=D606,'难度参数'!$E$30,0))</x:f>
        <x:v>720</x:v>
      </x:c>
      <x:c r="AF606" s="119" t="n">
        <x:f>IF(3&gt;D606,0,MAX(2,MIN('难度参数'!$E$12,ROUND(('难度参数'!$E$18*POWER(A606,'难度参数'!$E$19)/D606*(0.85+0.3*(3-1)/MAX(1,D606-1))),0)+F606)))</x:f>
        <x:v>42</x:v>
      </x:c>
      <x:c r="AG606" s="119" t="n">
        <x:f>IF(3&gt;D606,0,ROUND(('难度参数'!$E$13*POWER(A606,'难度参数'!$E$20)*MIN('难度参数'!$E$23,1+MAX(0,A606-'难度参数'!$E$21)*'难度参数'!$E$22))*(36+3*7)/(36+7*(D606+1)/2)*E606,0))</x:f>
        <x:v>12031</x:v>
      </x:c>
      <x:c r="AH606" s="119" t="n">
        <x:f>IF(AF606=0,0,(AF606-IF(3=D606,1,0))*ROUND(AG606*VLOOKUP(INDEX('章节与怪物'!$E$31:$K$37,B606,3),'章节与怪物'!$A$41:$F$44,2,FALSE),0)+IF(3=D606,ROUND(AG606*'难度参数'!$E$28*'章节与怪物'!$E$17,0),0))</x:f>
        <x:v>363804</x:v>
      </x:c>
      <x:c r="AI606" s="119" t="n">
        <x:f>IF(AF606=0,0,(AF606-IF(3=D606,1,0))*VLOOKUP(INDEX('章节与怪物'!$E$31:$K$37,B606,3),'章节与怪物'!$A$41:$F$44,4,FALSE)+IF(3=D606,'难度参数'!$E$30,0))</x:f>
        <x:v>840</x:v>
      </x:c>
      <x:c r="AJ606" s="119" t="n">
        <x:f>IF(4&gt;D606,0,MAX(2,MIN('难度参数'!$E$12,ROUND(('难度参数'!$E$18*POWER(A606,'难度参数'!$E$19)/D606*(0.85+0.3*(4-1)/MAX(1,D606-1))),0)+F606)))</x:f>
        <x:v>44</x:v>
      </x:c>
      <x:c r="AK606" s="119" t="n">
        <x:f>IF(4&gt;D606,0,ROUND(('难度参数'!$E$13*POWER(A606,'难度参数'!$E$20)*MIN('难度参数'!$E$23,1+MAX(0,A606-'难度参数'!$E$21)*'难度参数'!$E$22))*(36+4*7)/(36+7*(D606+1)/2)*E606,0))</x:f>
        <x:v>13508</x:v>
      </x:c>
      <x:c r="AL606" s="119" t="n">
        <x:f>IF(AJ606=0,0,(AJ606-IF(4=D606,1,0))*ROUND(AK606*VLOOKUP(INDEX('章节与怪物'!$E$31:$K$37,B606,4),'章节与怪物'!$A$41:$F$44,2,FALSE),0)+IF(4=D606,ROUND(AK606*'难度参数'!$E$28*'章节与怪物'!$E$17,0),0))</x:f>
        <x:v>1010416</x:v>
      </x:c>
      <x:c r="AM606" s="119" t="n">
        <x:f>IF(AJ606=0,0,(AJ606-IF(4=D606,1,0))*VLOOKUP(INDEX('章节与怪物'!$E$31:$K$37,B606,4),'章节与怪物'!$A$41:$F$44,4,FALSE)+IF(4=D606,'难度参数'!$E$30,0))</x:f>
        <x:v>1232</x:v>
      </x:c>
      <x:c r="AN606" s="119" t="n">
        <x:f>IF(5&gt;D606,0,MAX(2,MIN('难度参数'!$E$12,ROUND(('难度参数'!$E$18*POWER(A606,'难度参数'!$E$19)/D606*(0.85+0.3*(5-1)/MAX(1,D606-1))),0)+F606)))</x:f>
        <x:v>46</x:v>
      </x:c>
      <x:c r="AO606" s="119" t="n">
        <x:f>IF(5&gt;D606,0,ROUND(('难度参数'!$E$13*POWER(A606,'难度参数'!$E$20)*MIN('难度参数'!$E$23,1+MAX(0,A606-'难度参数'!$E$21)*'难度参数'!$E$22))*(36+5*7)/(36+7*(D606+1)/2)*E606,0))</x:f>
        <x:v>14986</x:v>
      </x:c>
      <x:c r="AP606" s="119" t="n">
        <x:f>IF(AN606=0,0,(AN606-IF(5=D606,1,0))*ROUND(AO606*VLOOKUP(INDEX('章节与怪物'!$E$31:$K$37,B606,5),'章节与怪物'!$A$41:$F$44,2,FALSE),0)+IF(5=D606,ROUND(AO606*'难度参数'!$E$28*'章节与怪物'!$E$17,0),0))</x:f>
        <x:v>930626</x:v>
      </x:c>
      <x:c r="AQ606" s="119" t="n">
        <x:f>IF(AN606=0,0,(AN606-IF(5=D606,1,0))*VLOOKUP(INDEX('章节与怪物'!$E$31:$K$37,B606,5),'章节与怪物'!$A$41:$F$44,4,FALSE)+IF(5=D606,'难度参数'!$E$30,0))</x:f>
        <x:v>1564</x:v>
      </x:c>
      <x:c r="AR606" s="119" t="n">
        <x:f>IF(6&gt;D606,0,MAX(2,MIN('难度参数'!$E$12,ROUND(('难度参数'!$E$18*POWER(A606,'难度参数'!$E$19)/D606*(0.85+0.3*(6-1)/MAX(1,D606-1))),0)+F606)))</x:f>
        <x:v>49</x:v>
      </x:c>
      <x:c r="AS606" s="119" t="n">
        <x:f>IF(6&gt;D606,0,ROUND(('难度参数'!$E$13*POWER(A606,'难度参数'!$E$20)*MIN('难度参数'!$E$23,1+MAX(0,A606-'难度参数'!$E$21)*'难度参数'!$E$22))*(36+6*7)/(36+7*(D606+1)/2)*E606,0))</x:f>
        <x:v>16463</x:v>
      </x:c>
      <x:c r="AT606" s="119" t="n">
        <x:f>IF(AR606=0,0,(AR606-IF(6=D606,1,0))*ROUND(AS606*VLOOKUP(INDEX('章节与怪物'!$E$31:$K$37,B606,6),'章节与怪物'!$A$41:$F$44,2,FALSE),0)+IF(6=D606,ROUND(AS606*'难度参数'!$E$28*'章节与怪物'!$E$17,0),0))</x:f>
        <x:v>580797</x:v>
      </x:c>
      <x:c r="AU606" s="119" t="n">
        <x:f>IF(AR606=0,0,(AR606-IF(6=D606,1,0))*VLOOKUP(INDEX('章节与怪物'!$E$31:$K$37,B606,6),'章节与怪物'!$A$41:$F$44,4,FALSE)+IF(6=D606,'难度参数'!$E$30,0))</x:f>
        <x:v>980</x:v>
      </x:c>
      <x:c r="AV606" s="119" t="n">
        <x:f>IF(7&gt;D606,0,MAX(2,MIN('难度参数'!$E$12,ROUND(('难度参数'!$E$18*POWER(A606,'难度参数'!$E$19)/D606*(0.85+0.3*(7-1)/MAX(1,D606-1))),0)+F606)))</x:f>
        <x:v>51</x:v>
      </x:c>
      <x:c r="AW606" s="119" t="n">
        <x:f>IF(7&gt;D606,0,ROUND(('难度参数'!$E$13*POWER(A606,'难度参数'!$E$20)*MIN('难度参数'!$E$23,1+MAX(0,A606-'难度参数'!$E$21)*'难度参数'!$E$22))*(36+7*7)/(36+7*(D606+1)/2)*E606,0))</x:f>
        <x:v>17941</x:v>
      </x:c>
      <x:c r="AX606" s="119" t="n">
        <x:f>IF(AV606=0,0,(AV606-IF(7=D606,1,0))*ROUND(AW606*VLOOKUP(INDEX('章节与怪物'!$E$31:$K$37,B606,7),'章节与怪物'!$A$41:$F$44,2,FALSE),0)+IF(7=D606,ROUND(AW606*'难度参数'!$E$28*'章节与怪物'!$E$17,0),0))</x:f>
        <x:v>1646999</x:v>
      </x:c>
      <x:c r="AY606" s="119" t="n">
        <x:f>IF(AV606=0,0,(AV606-IF(7=D606,1,0))*VLOOKUP(INDEX('章节与怪物'!$E$31:$K$37,B606,7),'章节与怪物'!$A$41:$F$44,4,FALSE)+IF(7=D606,'难度参数'!$E$30,0))</x:f>
        <x:v>1600</x:v>
      </x:c>
    </x:row>
    <x:row r="607" ht="23" customHeight="1">
      <x:c r="A607" s="119" t="n">
        <x:v>601</x:v>
      </x:c>
      <x:c r="B607" s="119" t="n">
        <x:f>MOD(INT((A607-1)/5),7)+1</x:f>
        <x:v>2</x:v>
      </x:c>
      <x:c r="C607" s="62" t="str">
        <x:f>INDEX('章节与怪物'!$B$31:$B$37,B607)</x:f>
        <x:v>黄沙要塞</x:v>
      </x:c>
      <x:c r="D607" s="119" t="n">
        <x:f>MIN('难度参数'!$E$8,MAX('难度参数'!$E$7,A607))</x:f>
        <x:v>7</x:v>
      </x:c>
      <x:c r="E607" s="106" t="n">
        <x:v>1</x:v>
      </x:c>
      <x:c r="F607" s="106" t="n">
        <x:v>0</x:v>
      </x:c>
      <x:c r="G607" s="106" t="n">
        <x:v>1</x:v>
      </x:c>
      <x:c r="H607" s="119" t="n">
        <x:f>SUM(X607,AB607,AF607,AJ607,AN607,AR607,AV607)</x:f>
        <x:v>310</x:v>
      </x:c>
      <x:c r="I607" s="119" t="n">
        <x:f>SUM(Z607,AD607,AH607,AL607,AP607,AT607,AX607)</x:f>
        <x:v>5732509</x:v>
      </x:c>
      <x:c r="J607" s="119" t="n">
        <x:f>ROUND(INDEX(X607:AY607,1,(D607-1)*4+2)*'难度参数'!$E$28*'章节与怪物'!$E$17,0)</x:f>
        <x:v>122142</x:v>
      </x:c>
      <x:c r="K607" s="119" t="n">
        <x:f>SUM(AA607,AE607,AI607,AM607,AQ607,AU607,AY607)</x:f>
        <x:v>8252</x:v>
      </x:c>
      <x:c r="L607" s="62" t="n">
        <x:f>H607*(ROUNDUP('难度参数'!$E$24/('难度参数'!$E$26*'难度参数'!$E$27),0)*'难度参数'!$E$26)/60</x:f>
        <x:v>4.133333333333334</x:v>
      </x:c>
      <x:c r="M607" s="62" t="n">
        <x:f>L607+D607*('难度参数'!$E$49+'难度参数'!$E$50)/60</x:f>
        <x:v>5.300000000000001</x:v>
      </x:c>
      <x:c r="N607" s="119" t="n">
        <x:f>ROUNDDOWN(('经济参数'!$E$20+A607*'经济参数'!$E$21)*G607,0)</x:f>
        <x:v>12200</x:v>
      </x:c>
      <x:c r="O607" s="119" t="n">
        <x:f>ROUNDDOWN(MIN('经济参数'!$E$24,'经济参数'!$E$22+A607*'经济参数'!$E$23)*G607,0)</x:f>
        <x:v>0</x:v>
      </x:c>
      <x:c r="P607" s="119" t="n">
        <x:f>ROUNDDOWN((IF(A607&gt;='材料与任务'!$E$31,'材料与任务'!$E$32,IF(A607&gt;='材料与任务'!$E$25,'材料与任务'!$E$26,IF(A607&gt;='材料与任务'!$E$19,'材料与任务'!$E$20,IF(A607&gt;='材料与任务'!$E$13,'材料与任务'!$E$14,'材料与任务'!$E$8)))))*G607,0)</x:f>
        <x:v>6</x:v>
      </x:c>
      <x:c r="Q607" s="119" t="n">
        <x:f>ROUNDDOWN((IF(A607&gt;='材料与任务'!$E$31,'材料与任务'!$E$33,IF(A607&gt;='材料与任务'!$E$25,'材料与任务'!$E$27,IF(A607&gt;='材料与任务'!$E$19,'材料与任务'!$E$21,IF(A607&gt;='材料与任务'!$E$13,'材料与任务'!$E$15,'材料与任务'!$E$9)))))*G607,0)</x:f>
        <x:v>3</x:v>
      </x:c>
      <x:c r="R607" s="110" t="n">
        <x:f>'装备掉落'!$B$38</x:f>
        <x:v>0.6872058758851213</x:v>
      </x:c>
      <x:c r="S607" s="119" t="n">
        <x:f>MAX(IF(VLOOKUP(A607,'装备掉落'!$A$29:$H$34,2,TRUE)&gt;0,1,0),IF(VLOOKUP(A607,'装备掉落'!$A$29:$H$34,3,TRUE)&gt;0,2,0),IF(VLOOKUP(A607,'装备掉落'!$A$29:$H$34,4,TRUE)&gt;0,3,0),IF(VLOOKUP(A607,'装备掉落'!$A$29:$H$34,5,TRUE)&gt;0,4,0),IF(VLOOKUP(A607,'装备掉落'!$A$29:$H$34,6,TRUE)&gt;0,5,0),IF(VLOOKUP(A607,'装备掉落'!$A$29:$H$34,7,TRUE)&gt;0,6,0),IF(VLOOKUP(A607,'装备掉落'!$A$29:$H$34,8,TRUE)&gt;0,7,0))</x:f>
        <x:v>7</x:v>
      </x:c>
      <x:c r="T607" s="119" t="n">
        <x:f>MIN(7,S607+'经济参数'!$E$70)</x:f>
        <x:v>7</x:v>
      </x:c>
      <x:c r="U607" s="119" t="n">
        <x:f>MIN(7,S607+'经济参数'!$E$71)</x:f>
        <x:v>7</x:v>
      </x:c>
      <x:c r="V607" s="119" t="n">
        <x:f>IF(H607&gt;=('难度参数'!$E$52),1,0)+IF(H607&gt;=('难度参数'!$E$52+'难度参数'!$E$53),1,0)+IF(H607&gt;=('难度参数'!$E$52+'难度参数'!$E$53+'难度参数'!$E$54),1,0)+IF(H607&gt;=('难度参数'!$E$52+'难度参数'!$E$53+'难度参数'!$E$54+'难度参数'!$E$55),1,0)+IF(H607&gt;=('难度参数'!$E$52+'难度参数'!$E$53+'难度参数'!$E$54+'难度参数'!$E$55+'难度参数'!$E$56),1,0)+IF(H607&gt;=('难度参数'!$E$52+'难度参数'!$E$53+'难度参数'!$E$54+'难度参数'!$E$55+'难度参数'!$E$56+'难度参数'!$E$57),1,0)</x:f>
        <x:v>6</x:v>
      </x:c>
      <x:c r="W607" s="62" t="str">
        <x:f>IF(L607&gt;'难度参数'!$E$51,"仅出怪已超目标","还需实测")</x:f>
        <x:v>仅出怪已超目标</x:v>
      </x:c>
      <x:c r="X607" s="119" t="n">
        <x:f>IF(1&gt;D607,0,MAX(2,MIN('难度参数'!$E$12,ROUND(('难度参数'!$E$18*POWER(A607,'难度参数'!$E$19)/D607*(0.85+0.3*(1-1)/MAX(1,D607-1))),0)+F607)))</x:f>
        <x:v>38</x:v>
      </x:c>
      <x:c r="Y607" s="119" t="n">
        <x:f>IF(1&gt;D607,0,ROUND(('难度参数'!$E$13*POWER(A607,'难度参数'!$E$20)*MIN('难度参数'!$E$23,1+MAX(0,A607-'难度参数'!$E$21)*'难度参数'!$E$22))*(36+1*7)/(36+7*(D607+1)/2)*E607,0))</x:f>
        <x:v>9087</x:v>
      </x:c>
      <x:c r="Z607" s="119" t="n">
        <x:f>IF(X607=0,0,(X607-IF(1=D607,1,0))*ROUND(Y607*VLOOKUP(INDEX('章节与怪物'!$E$31:$K$37,B607,1),'章节与怪物'!$A$41:$F$44,2,FALSE),0)+IF(1=D607,ROUND(Y607*'难度参数'!$E$28*'章节与怪物'!$E$17,0),0))</x:f>
        <x:v>248634</x:v>
      </x:c>
      <x:c r="AA607" s="119" t="n">
        <x:f>IF(X607=0,0,(X607-IF(1=D607,1,0))*VLOOKUP(INDEX('章节与怪物'!$E$31:$K$37,B607,1),'章节与怪物'!$A$41:$F$44,4,FALSE)+IF(1=D607,'难度参数'!$E$30,0))</x:f>
        <x:v>760</x:v>
      </x:c>
      <x:c r="AB607" s="119" t="n">
        <x:f>IF(2&gt;D607,0,MAX(2,MIN('难度参数'!$E$12,ROUND(('难度参数'!$E$18*POWER(A607,'难度参数'!$E$19)/D607*(0.85+0.3*(2-1)/MAX(1,D607-1))),0)+F607)))</x:f>
        <x:v>40</x:v>
      </x:c>
      <x:c r="AC607" s="119" t="n">
        <x:f>IF(2&gt;D607,0,ROUND(('难度参数'!$E$13*POWER(A607,'难度参数'!$E$20)*MIN('难度参数'!$E$23,1+MAX(0,A607-'难度参数'!$E$21)*'难度参数'!$E$22))*(36+2*7)/(36+7*(D607+1)/2)*E607,0))</x:f>
        <x:v>10566</x:v>
      </x:c>
      <x:c r="AD607" s="119" t="n">
        <x:f>IF(AB607=0,0,(AB607-IF(2=D607,1,0))*ROUND(AC607*VLOOKUP(INDEX('章节与怪物'!$E$31:$K$37,B607,2),'章节与怪物'!$A$41:$F$44,2,FALSE),0)+IF(2=D607,ROUND(AC607*'难度参数'!$E$28*'章节与怪物'!$E$17,0),0))</x:f>
        <x:v>422640</x:v>
      </x:c>
      <x:c r="AE607" s="119" t="n">
        <x:f>IF(AB607=0,0,(AB607-IF(2=D607,1,0))*VLOOKUP(INDEX('章节与怪物'!$E$31:$K$37,B607,2),'章节与怪物'!$A$41:$F$44,4,FALSE)+IF(2=D607,'难度参数'!$E$30,0))</x:f>
        <x:v>720</x:v>
      </x:c>
      <x:c r="AF607" s="119" t="n">
        <x:f>IF(3&gt;D607,0,MAX(2,MIN('难度参数'!$E$12,ROUND(('难度参数'!$E$18*POWER(A607,'难度参数'!$E$19)/D607*(0.85+0.3*(3-1)/MAX(1,D607-1))),0)+F607)))</x:f>
        <x:v>42</x:v>
      </x:c>
      <x:c r="AG607" s="119" t="n">
        <x:f>IF(3&gt;D607,0,ROUND(('难度参数'!$E$13*POWER(A607,'难度参数'!$E$20)*MIN('难度参数'!$E$23,1+MAX(0,A607-'难度参数'!$E$21)*'难度参数'!$E$22))*(36+3*7)/(36+7*(D607+1)/2)*E607,0))</x:f>
        <x:v>12045</x:v>
      </x:c>
      <x:c r="AH607" s="119" t="n">
        <x:f>IF(AF607=0,0,(AF607-IF(3=D607,1,0))*ROUND(AG607*VLOOKUP(INDEX('章节与怪物'!$E$31:$K$37,B607,3),'章节与怪物'!$A$41:$F$44,2,FALSE),0)+IF(3=D607,ROUND(AG607*'难度参数'!$E$28*'章节与怪物'!$E$17,0),0))</x:f>
        <x:v>860034</x:v>
      </x:c>
      <x:c r="AI607" s="119" t="n">
        <x:f>IF(AF607=0,0,(AF607-IF(3=D607,1,0))*VLOOKUP(INDEX('章节与怪物'!$E$31:$K$37,B607,3),'章节与怪物'!$A$41:$F$44,4,FALSE)+IF(3=D607,'难度参数'!$E$30,0))</x:f>
        <x:v>1176</x:v>
      </x:c>
      <x:c r="AJ607" s="119" t="n">
        <x:f>IF(4&gt;D607,0,MAX(2,MIN('难度参数'!$E$12,ROUND(('难度参数'!$E$18*POWER(A607,'难度参数'!$E$19)/D607*(0.85+0.3*(4-1)/MAX(1,D607-1))),0)+F607)))</x:f>
        <x:v>44</x:v>
      </x:c>
      <x:c r="AK607" s="119" t="n">
        <x:f>IF(4&gt;D607,0,ROUND(('难度参数'!$E$13*POWER(A607,'难度参数'!$E$20)*MIN('难度参数'!$E$23,1+MAX(0,A607-'难度参数'!$E$21)*'难度参数'!$E$22))*(36+4*7)/(36+7*(D607+1)/2)*E607,0))</x:f>
        <x:v>13525</x:v>
      </x:c>
      <x:c r="AL607" s="119" t="n">
        <x:f>IF(AJ607=0,0,(AJ607-IF(4=D607,1,0))*ROUND(AK607*VLOOKUP(INDEX('章节与怪物'!$E$31:$K$37,B607,4),'章节与怪物'!$A$41:$F$44,2,FALSE),0)+IF(4=D607,ROUND(AK607*'难度参数'!$E$28*'章节与怪物'!$E$17,0),0))</x:f>
        <x:v>803396</x:v>
      </x:c>
      <x:c r="AM607" s="119" t="n">
        <x:f>IF(AJ607=0,0,(AJ607-IF(4=D607,1,0))*VLOOKUP(INDEX('章节与怪物'!$E$31:$K$37,B607,4),'章节与怪物'!$A$41:$F$44,4,FALSE)+IF(4=D607,'难度参数'!$E$30,0))</x:f>
        <x:v>1496</x:v>
      </x:c>
      <x:c r="AN607" s="119" t="n">
        <x:f>IF(5&gt;D607,0,MAX(2,MIN('难度参数'!$E$12,ROUND(('难度参数'!$E$18*POWER(A607,'难度参数'!$E$19)/D607*(0.85+0.3*(5-1)/MAX(1,D607-1))),0)+F607)))</x:f>
        <x:v>46</x:v>
      </x:c>
      <x:c r="AO607" s="119" t="n">
        <x:f>IF(5&gt;D607,0,ROUND(('难度参数'!$E$13*POWER(A607,'难度参数'!$E$20)*MIN('难度参数'!$E$23,1+MAX(0,A607-'难度参数'!$E$21)*'难度参数'!$E$22))*(36+5*7)/(36+7*(D607+1)/2)*E607,0))</x:f>
        <x:v>15004</x:v>
      </x:c>
      <x:c r="AP607" s="119" t="n">
        <x:f>IF(AN607=0,0,(AN607-IF(5=D607,1,0))*ROUND(AO607*VLOOKUP(INDEX('章节与怪物'!$E$31:$K$37,B607,5),'章节与怪物'!$A$41:$F$44,2,FALSE),0)+IF(5=D607,ROUND(AO607*'难度参数'!$E$28*'章节与怪物'!$E$17,0),0))</x:f>
        <x:v>690184</x:v>
      </x:c>
      <x:c r="AQ607" s="119" t="n">
        <x:f>IF(AN607=0,0,(AN607-IF(5=D607,1,0))*VLOOKUP(INDEX('章节与怪物'!$E$31:$K$37,B607,5),'章节与怪物'!$A$41:$F$44,4,FALSE)+IF(5=D607,'难度参数'!$E$30,0))</x:f>
        <x:v>828</x:v>
      </x:c>
      <x:c r="AR607" s="119" t="n">
        <x:f>IF(6&gt;D607,0,MAX(2,MIN('难度参数'!$E$12,ROUND(('难度参数'!$E$18*POWER(A607,'难度参数'!$E$19)/D607*(0.85+0.3*(6-1)/MAX(1,D607-1))),0)+F607)))</x:f>
        <x:v>49</x:v>
      </x:c>
      <x:c r="AS607" s="119" t="n">
        <x:f>IF(6&gt;D607,0,ROUND(('难度参数'!$E$13*POWER(A607,'难度参数'!$E$20)*MIN('难度参数'!$E$23,1+MAX(0,A607-'难度参数'!$E$21)*'难度参数'!$E$22))*(36+6*7)/(36+7*(D607+1)/2)*E607,0))</x:f>
        <x:v>16483</x:v>
      </x:c>
      <x:c r="AT607" s="119" t="n">
        <x:f>IF(AR607=0,0,(AR607-IF(6=D607,1,0))*ROUND(AS607*VLOOKUP(INDEX('章节与怪物'!$E$31:$K$37,B607,6),'章节与怪物'!$A$41:$F$44,2,FALSE),0)+IF(6=D607,ROUND(AS607*'难度参数'!$E$28*'章节与怪物'!$E$17,0),0))</x:f>
        <x:v>1373029</x:v>
      </x:c>
      <x:c r="AU607" s="119" t="n">
        <x:f>IF(AR607=0,0,(AR607-IF(6=D607,1,0))*VLOOKUP(INDEX('章节与怪物'!$E$31:$K$37,B607,6),'章节与怪物'!$A$41:$F$44,4,FALSE)+IF(6=D607,'难度参数'!$E$30,0))</x:f>
        <x:v>1372</x:v>
      </x:c>
      <x:c r="AV607" s="119" t="n">
        <x:f>IF(7&gt;D607,0,MAX(2,MIN('难度参数'!$E$12,ROUND(('难度参数'!$E$18*POWER(A607,'难度参数'!$E$19)/D607*(0.85+0.3*(7-1)/MAX(1,D607-1))),0)+F607)))</x:f>
        <x:v>51</x:v>
      </x:c>
      <x:c r="AW607" s="119" t="n">
        <x:f>IF(7&gt;D607,0,ROUND(('难度参数'!$E$13*POWER(A607,'难度参数'!$E$20)*MIN('难度参数'!$E$23,1+MAX(0,A607-'难度参数'!$E$21)*'难度参数'!$E$22))*(36+7*7)/(36+7*(D607+1)/2)*E607,0))</x:f>
        <x:v>17962</x:v>
      </x:c>
      <x:c r="AX607" s="119" t="n">
        <x:f>IF(AV607=0,0,(AV607-IF(7=D607,1,0))*ROUND(AW607*VLOOKUP(INDEX('章节与怪物'!$E$31:$K$37,B607,7),'章节与怪物'!$A$41:$F$44,2,FALSE),0)+IF(7=D607,ROUND(AW607*'难度参数'!$E$28*'章节与怪物'!$E$17,0),0))</x:f>
        <x:v>1334592</x:v>
      </x:c>
      <x:c r="AY607" s="119" t="n">
        <x:f>IF(AV607=0,0,(AV607-IF(7=D607,1,0))*VLOOKUP(INDEX('章节与怪物'!$E$31:$K$37,B607,7),'章节与怪物'!$A$41:$F$44,4,FALSE)+IF(7=D607,'难度参数'!$E$30,0))</x:f>
        <x:v>1900</x:v>
      </x:c>
    </x:row>
    <x:row r="608" ht="23" customHeight="1">
      <x:c r="A608" s="119" t="n">
        <x:v>602</x:v>
      </x:c>
      <x:c r="B608" s="119" t="n">
        <x:f>MOD(INT((A608-1)/5),7)+1</x:f>
        <x:v>2</x:v>
      </x:c>
      <x:c r="C608" s="62" t="str">
        <x:f>INDEX('章节与怪物'!$B$31:$B$37,B608)</x:f>
        <x:v>黄沙要塞</x:v>
      </x:c>
      <x:c r="D608" s="119" t="n">
        <x:f>MIN('难度参数'!$E$8,MAX('难度参数'!$E$7,A608))</x:f>
        <x:v>7</x:v>
      </x:c>
      <x:c r="E608" s="106" t="n">
        <x:v>1</x:v>
      </x:c>
      <x:c r="F608" s="106" t="n">
        <x:v>0</x:v>
      </x:c>
      <x:c r="G608" s="106" t="n">
        <x:v>1</x:v>
      </x:c>
      <x:c r="H608" s="119" t="n">
        <x:f>SUM(X608,AB608,AF608,AJ608,AN608,AR608,AV608)</x:f>
        <x:v>311</x:v>
      </x:c>
      <x:c r="I608" s="119" t="n">
        <x:f>SUM(Z608,AD608,AH608,AL608,AP608,AT608,AX608)</x:f>
        <x:v>5754422</x:v>
      </x:c>
      <x:c r="J608" s="119" t="n">
        <x:f>ROUND(INDEX(X608:AY608,1,(D608-1)*4+2)*'难度参数'!$E$28*'章节与怪物'!$E$17,0)</x:f>
        <x:v>122291</x:v>
      </x:c>
      <x:c r="K608" s="119" t="n">
        <x:f>SUM(AA608,AE608,AI608,AM608,AQ608,AU608,AY608)</x:f>
        <x:v>8270</x:v>
      </x:c>
      <x:c r="L608" s="62" t="n">
        <x:f>H608*(ROUNDUP('难度参数'!$E$24/('难度参数'!$E$26*'难度参数'!$E$27),0)*'难度参数'!$E$26)/60</x:f>
        <x:v>4.1466666666666665</x:v>
      </x:c>
      <x:c r="M608" s="62" t="n">
        <x:f>L608+D608*('难度参数'!$E$49+'难度参数'!$E$50)/60</x:f>
        <x:v>5.3133333333333335</x:v>
      </x:c>
      <x:c r="N608" s="119" t="n">
        <x:f>ROUNDDOWN(('经济参数'!$E$20+A608*'经济参数'!$E$21)*G608,0)</x:f>
        <x:v>12220</x:v>
      </x:c>
      <x:c r="O608" s="119" t="n">
        <x:f>ROUNDDOWN(MIN('经济参数'!$E$24,'经济参数'!$E$22+A608*'经济参数'!$E$23)*G608,0)</x:f>
        <x:v>0</x:v>
      </x:c>
      <x:c r="P608" s="119" t="n">
        <x:f>ROUNDDOWN((IF(A608&gt;='材料与任务'!$E$31,'材料与任务'!$E$32,IF(A608&gt;='材料与任务'!$E$25,'材料与任务'!$E$26,IF(A608&gt;='材料与任务'!$E$19,'材料与任务'!$E$20,IF(A608&gt;='材料与任务'!$E$13,'材料与任务'!$E$14,'材料与任务'!$E$8)))))*G608,0)</x:f>
        <x:v>6</x:v>
      </x:c>
      <x:c r="Q608" s="119" t="n">
        <x:f>ROUNDDOWN((IF(A608&gt;='材料与任务'!$E$31,'材料与任务'!$E$33,IF(A608&gt;='材料与任务'!$E$25,'材料与任务'!$E$27,IF(A608&gt;='材料与任务'!$E$19,'材料与任务'!$E$21,IF(A608&gt;='材料与任务'!$E$13,'材料与任务'!$E$15,'材料与任务'!$E$9)))))*G608,0)</x:f>
        <x:v>3</x:v>
      </x:c>
      <x:c r="R608" s="110" t="n">
        <x:f>'装备掉落'!$B$38</x:f>
        <x:v>0.6872058758851213</x:v>
      </x:c>
      <x:c r="S608" s="119" t="n">
        <x:f>MAX(IF(VLOOKUP(A608,'装备掉落'!$A$29:$H$34,2,TRUE)&gt;0,1,0),IF(VLOOKUP(A608,'装备掉落'!$A$29:$H$34,3,TRUE)&gt;0,2,0),IF(VLOOKUP(A608,'装备掉落'!$A$29:$H$34,4,TRUE)&gt;0,3,0),IF(VLOOKUP(A608,'装备掉落'!$A$29:$H$34,5,TRUE)&gt;0,4,0),IF(VLOOKUP(A608,'装备掉落'!$A$29:$H$34,6,TRUE)&gt;0,5,0),IF(VLOOKUP(A608,'装备掉落'!$A$29:$H$34,7,TRUE)&gt;0,6,0),IF(VLOOKUP(A608,'装备掉落'!$A$29:$H$34,8,TRUE)&gt;0,7,0))</x:f>
        <x:v>7</x:v>
      </x:c>
      <x:c r="T608" s="119" t="n">
        <x:f>MIN(7,S608+'经济参数'!$E$70)</x:f>
        <x:v>7</x:v>
      </x:c>
      <x:c r="U608" s="119" t="n">
        <x:f>MIN(7,S608+'经济参数'!$E$71)</x:f>
        <x:v>7</x:v>
      </x:c>
      <x:c r="V608" s="119" t="n">
        <x:f>IF(H608&gt;=('难度参数'!$E$52),1,0)+IF(H608&gt;=('难度参数'!$E$52+'难度参数'!$E$53),1,0)+IF(H608&gt;=('难度参数'!$E$52+'难度参数'!$E$53+'难度参数'!$E$54),1,0)+IF(H608&gt;=('难度参数'!$E$52+'难度参数'!$E$53+'难度参数'!$E$54+'难度参数'!$E$55),1,0)+IF(H608&gt;=('难度参数'!$E$52+'难度参数'!$E$53+'难度参数'!$E$54+'难度参数'!$E$55+'难度参数'!$E$56),1,0)+IF(H608&gt;=('难度参数'!$E$52+'难度参数'!$E$53+'难度参数'!$E$54+'难度参数'!$E$55+'难度参数'!$E$56+'难度参数'!$E$57),1,0)</x:f>
        <x:v>6</x:v>
      </x:c>
      <x:c r="W608" s="62" t="str">
        <x:f>IF(L608&gt;'难度参数'!$E$51,"仅出怪已超目标","还需实测")</x:f>
        <x:v>仅出怪已超目标</x:v>
      </x:c>
      <x:c r="X608" s="119" t="n">
        <x:f>IF(1&gt;D608,0,MAX(2,MIN('难度参数'!$E$12,ROUND(('难度参数'!$E$18*POWER(A608,'难度参数'!$E$19)/D608*(0.85+0.3*(1-1)/MAX(1,D608-1))),0)+F608)))</x:f>
        <x:v>38</x:v>
      </x:c>
      <x:c r="Y608" s="119" t="n">
        <x:f>IF(1&gt;D608,0,ROUND(('难度参数'!$E$13*POWER(A608,'难度参数'!$E$20)*MIN('难度参数'!$E$23,1+MAX(0,A608-'难度参数'!$E$21)*'难度参数'!$E$22))*(36+1*7)/(36+7*(D608+1)/2)*E608,0))</x:f>
        <x:v>9098</x:v>
      </x:c>
      <x:c r="Z608" s="119" t="n">
        <x:f>IF(X608=0,0,(X608-IF(1=D608,1,0))*ROUND(Y608*VLOOKUP(INDEX('章节与怪物'!$E$31:$K$37,B608,1),'章节与怪物'!$A$41:$F$44,2,FALSE),0)+IF(1=D608,ROUND(Y608*'难度参数'!$E$28*'章节与怪物'!$E$17,0),0))</x:f>
        <x:v>248938</x:v>
      </x:c>
      <x:c r="AA608" s="119" t="n">
        <x:f>IF(X608=0,0,(X608-IF(1=D608,1,0))*VLOOKUP(INDEX('章节与怪物'!$E$31:$K$37,B608,1),'章节与怪物'!$A$41:$F$44,4,FALSE)+IF(1=D608,'难度参数'!$E$30,0))</x:f>
        <x:v>760</x:v>
      </x:c>
      <x:c r="AB608" s="119" t="n">
        <x:f>IF(2&gt;D608,0,MAX(2,MIN('难度参数'!$E$12,ROUND(('难度参数'!$E$18*POWER(A608,'难度参数'!$E$19)/D608*(0.85+0.3*(2-1)/MAX(1,D608-1))),0)+F608)))</x:f>
        <x:v>40</x:v>
      </x:c>
      <x:c r="AC608" s="119" t="n">
        <x:f>IF(2&gt;D608,0,ROUND(('难度参数'!$E$13*POWER(A608,'难度参数'!$E$20)*MIN('难度参数'!$E$23,1+MAX(0,A608-'难度参数'!$E$21)*'难度参数'!$E$22))*(36+2*7)/(36+7*(D608+1)/2)*E608,0))</x:f>
        <x:v>10579</x:v>
      </x:c>
      <x:c r="AD608" s="119" t="n">
        <x:f>IF(AB608=0,0,(AB608-IF(2=D608,1,0))*ROUND(AC608*VLOOKUP(INDEX('章节与怪物'!$E$31:$K$37,B608,2),'章节与怪物'!$A$41:$F$44,2,FALSE),0)+IF(2=D608,ROUND(AC608*'难度参数'!$E$28*'章节与怪物'!$E$17,0),0))</x:f>
        <x:v>423160</x:v>
      </x:c>
      <x:c r="AE608" s="119" t="n">
        <x:f>IF(AB608=0,0,(AB608-IF(2=D608,1,0))*VLOOKUP(INDEX('章节与怪物'!$E$31:$K$37,B608,2),'章节与怪物'!$A$41:$F$44,4,FALSE)+IF(2=D608,'难度参数'!$E$30,0))</x:f>
        <x:v>720</x:v>
      </x:c>
      <x:c r="AF608" s="119" t="n">
        <x:f>IF(3&gt;D608,0,MAX(2,MIN('难度参数'!$E$12,ROUND(('难度参数'!$E$18*POWER(A608,'难度参数'!$E$19)/D608*(0.85+0.3*(3-1)/MAX(1,D608-1))),0)+F608)))</x:f>
        <x:v>42</x:v>
      </x:c>
      <x:c r="AG608" s="119" t="n">
        <x:f>IF(3&gt;D608,0,ROUND(('难度参数'!$E$13*POWER(A608,'难度参数'!$E$20)*MIN('难度参数'!$E$23,1+MAX(0,A608-'难度参数'!$E$21)*'难度参数'!$E$22))*(36+3*7)/(36+7*(D608+1)/2)*E608,0))</x:f>
        <x:v>12060</x:v>
      </x:c>
      <x:c r="AH608" s="119" t="n">
        <x:f>IF(AF608=0,0,(AF608-IF(3=D608,1,0))*ROUND(AG608*VLOOKUP(INDEX('章节与怪物'!$E$31:$K$37,B608,3),'章节与怪物'!$A$41:$F$44,2,FALSE),0)+IF(3=D608,ROUND(AG608*'难度参数'!$E$28*'章节与怪物'!$E$17,0),0))</x:f>
        <x:v>861084</x:v>
      </x:c>
      <x:c r="AI608" s="119" t="n">
        <x:f>IF(AF608=0,0,(AF608-IF(3=D608,1,0))*VLOOKUP(INDEX('章节与怪物'!$E$31:$K$37,B608,3),'章节与怪物'!$A$41:$F$44,4,FALSE)+IF(3=D608,'难度参数'!$E$30,0))</x:f>
        <x:v>1176</x:v>
      </x:c>
      <x:c r="AJ608" s="119" t="n">
        <x:f>IF(4&gt;D608,0,MAX(2,MIN('难度参数'!$E$12,ROUND(('难度参数'!$E$18*POWER(A608,'难度参数'!$E$19)/D608*(0.85+0.3*(4-1)/MAX(1,D608-1))),0)+F608)))</x:f>
        <x:v>44</x:v>
      </x:c>
      <x:c r="AK608" s="119" t="n">
        <x:f>IF(4&gt;D608,0,ROUND(('难度参数'!$E$13*POWER(A608,'难度参数'!$E$20)*MIN('难度参数'!$E$23,1+MAX(0,A608-'难度参数'!$E$21)*'难度参数'!$E$22))*(36+4*7)/(36+7*(D608+1)/2)*E608,0))</x:f>
        <x:v>13541</x:v>
      </x:c>
      <x:c r="AL608" s="119" t="n">
        <x:f>IF(AJ608=0,0,(AJ608-IF(4=D608,1,0))*ROUND(AK608*VLOOKUP(INDEX('章节与怪物'!$E$31:$K$37,B608,4),'章节与怪物'!$A$41:$F$44,2,FALSE),0)+IF(4=D608,ROUND(AK608*'难度参数'!$E$28*'章节与怪物'!$E$17,0),0))</x:f>
        <x:v>804320</x:v>
      </x:c>
      <x:c r="AM608" s="119" t="n">
        <x:f>IF(AJ608=0,0,(AJ608-IF(4=D608,1,0))*VLOOKUP(INDEX('章节与怪物'!$E$31:$K$37,B608,4),'章节与怪物'!$A$41:$F$44,4,FALSE)+IF(4=D608,'难度参数'!$E$30,0))</x:f>
        <x:v>1496</x:v>
      </x:c>
      <x:c r="AN608" s="119" t="n">
        <x:f>IF(5&gt;D608,0,MAX(2,MIN('难度参数'!$E$12,ROUND(('难度参数'!$E$18*POWER(A608,'难度参数'!$E$19)/D608*(0.85+0.3*(5-1)/MAX(1,D608-1))),0)+F608)))</x:f>
        <x:v>47</x:v>
      </x:c>
      <x:c r="AO608" s="119" t="n">
        <x:f>IF(5&gt;D608,0,ROUND(('难度参数'!$E$13*POWER(A608,'难度参数'!$E$20)*MIN('难度参数'!$E$23,1+MAX(0,A608-'难度参数'!$E$21)*'难度参数'!$E$22))*(36+5*7)/(36+7*(D608+1)/2)*E608,0))</x:f>
        <x:v>15022</x:v>
      </x:c>
      <x:c r="AP608" s="119" t="n">
        <x:f>IF(AN608=0,0,(AN608-IF(5=D608,1,0))*ROUND(AO608*VLOOKUP(INDEX('章节与怪物'!$E$31:$K$37,B608,5),'章节与怪物'!$A$41:$F$44,2,FALSE),0)+IF(5=D608,ROUND(AO608*'难度参数'!$E$28*'章节与怪物'!$E$17,0),0))</x:f>
        <x:v>706034</x:v>
      </x:c>
      <x:c r="AQ608" s="119" t="n">
        <x:f>IF(AN608=0,0,(AN608-IF(5=D608,1,0))*VLOOKUP(INDEX('章节与怪物'!$E$31:$K$37,B608,5),'章节与怪物'!$A$41:$F$44,4,FALSE)+IF(5=D608,'难度参数'!$E$30,0))</x:f>
        <x:v>846</x:v>
      </x:c>
      <x:c r="AR608" s="119" t="n">
        <x:f>IF(6&gt;D608,0,MAX(2,MIN('难度参数'!$E$12,ROUND(('难度参数'!$E$18*POWER(A608,'难度参数'!$E$19)/D608*(0.85+0.3*(6-1)/MAX(1,D608-1))),0)+F608)))</x:f>
        <x:v>49</x:v>
      </x:c>
      <x:c r="AS608" s="119" t="n">
        <x:f>IF(6&gt;D608,0,ROUND(('难度参数'!$E$13*POWER(A608,'难度参数'!$E$20)*MIN('难度参数'!$E$23,1+MAX(0,A608-'难度参数'!$E$21)*'难度参数'!$E$22))*(36+6*7)/(36+7*(D608+1)/2)*E608,0))</x:f>
        <x:v>16503</x:v>
      </x:c>
      <x:c r="AT608" s="119" t="n">
        <x:f>IF(AR608=0,0,(AR608-IF(6=D608,1,0))*ROUND(AS608*VLOOKUP(INDEX('章节与怪物'!$E$31:$K$37,B608,6),'章节与怪物'!$A$41:$F$44,2,FALSE),0)+IF(6=D608,ROUND(AS608*'难度参数'!$E$28*'章节与怪物'!$E$17,0),0))</x:f>
        <x:v>1374695</x:v>
      </x:c>
      <x:c r="AU608" s="119" t="n">
        <x:f>IF(AR608=0,0,(AR608-IF(6=D608,1,0))*VLOOKUP(INDEX('章节与怪物'!$E$31:$K$37,B608,6),'章节与怪物'!$A$41:$F$44,4,FALSE)+IF(6=D608,'难度参数'!$E$30,0))</x:f>
        <x:v>1372</x:v>
      </x:c>
      <x:c r="AV608" s="119" t="n">
        <x:f>IF(7&gt;D608,0,MAX(2,MIN('难度参数'!$E$12,ROUND(('难度参数'!$E$18*POWER(A608,'难度参数'!$E$19)/D608*(0.85+0.3*(7-1)/MAX(1,D608-1))),0)+F608)))</x:f>
        <x:v>51</x:v>
      </x:c>
      <x:c r="AW608" s="119" t="n">
        <x:f>IF(7&gt;D608,0,ROUND(('难度参数'!$E$13*POWER(A608,'难度参数'!$E$20)*MIN('难度参数'!$E$23,1+MAX(0,A608-'难度参数'!$E$21)*'难度参数'!$E$22))*(36+7*7)/(36+7*(D608+1)/2)*E608,0))</x:f>
        <x:v>17984</x:v>
      </x:c>
      <x:c r="AX608" s="119" t="n">
        <x:f>IF(AV608=0,0,(AV608-IF(7=D608,1,0))*ROUND(AW608*VLOOKUP(INDEX('章节与怪物'!$E$31:$K$37,B608,7),'章节与怪物'!$A$41:$F$44,2,FALSE),0)+IF(7=D608,ROUND(AW608*'难度参数'!$E$28*'章节与怪物'!$E$17,0),0))</x:f>
        <x:v>1336191</x:v>
      </x:c>
      <x:c r="AY608" s="119" t="n">
        <x:f>IF(AV608=0,0,(AV608-IF(7=D608,1,0))*VLOOKUP(INDEX('章节与怪物'!$E$31:$K$37,B608,7),'章节与怪物'!$A$41:$F$44,4,FALSE)+IF(7=D608,'难度参数'!$E$30,0))</x:f>
        <x:v>1900</x:v>
      </x:c>
    </x:row>
    <x:row r="609" ht="23" customHeight="1">
      <x:c r="A609" s="119" t="n">
        <x:v>603</x:v>
      </x:c>
      <x:c r="B609" s="119" t="n">
        <x:f>MOD(INT((A609-1)/5),7)+1</x:f>
        <x:v>2</x:v>
      </x:c>
      <x:c r="C609" s="62" t="str">
        <x:f>INDEX('章节与怪物'!$B$31:$B$37,B609)</x:f>
        <x:v>黄沙要塞</x:v>
      </x:c>
      <x:c r="D609" s="119" t="n">
        <x:f>MIN('难度参数'!$E$8,MAX('难度参数'!$E$7,A609))</x:f>
        <x:v>7</x:v>
      </x:c>
      <x:c r="E609" s="106" t="n">
        <x:v>1</x:v>
      </x:c>
      <x:c r="F609" s="106" t="n">
        <x:v>0</x:v>
      </x:c>
      <x:c r="G609" s="106" t="n">
        <x:v>1</x:v>
      </x:c>
      <x:c r="H609" s="119" t="n">
        <x:f>SUM(X609,AB609,AF609,AJ609,AN609,AR609,AV609)</x:f>
        <x:v>311</x:v>
      </x:c>
      <x:c r="I609" s="119" t="n">
        <x:f>SUM(Z609,AD609,AH609,AL609,AP609,AT609,AX609)</x:f>
        <x:v>5761249</x:v>
      </x:c>
      <x:c r="J609" s="119" t="n">
        <x:f>ROUND(INDEX(X609:AY609,1,(D609-1)*4+2)*'难度参数'!$E$28*'章节与怪物'!$E$17,0)</x:f>
        <x:v>122434</x:v>
      </x:c>
      <x:c r="K609" s="119" t="n">
        <x:f>SUM(AA609,AE609,AI609,AM609,AQ609,AU609,AY609)</x:f>
        <x:v>8270</x:v>
      </x:c>
      <x:c r="L609" s="62" t="n">
        <x:f>H609*(ROUNDUP('难度参数'!$E$24/('难度参数'!$E$26*'难度参数'!$E$27),0)*'难度参数'!$E$26)/60</x:f>
        <x:v>4.1466666666666665</x:v>
      </x:c>
      <x:c r="M609" s="62" t="n">
        <x:f>L609+D609*('难度参数'!$E$49+'难度参数'!$E$50)/60</x:f>
        <x:v>5.3133333333333335</x:v>
      </x:c>
      <x:c r="N609" s="119" t="n">
        <x:f>ROUNDDOWN(('经济参数'!$E$20+A609*'经济参数'!$E$21)*G609,0)</x:f>
        <x:v>12240</x:v>
      </x:c>
      <x:c r="O609" s="119" t="n">
        <x:f>ROUNDDOWN(MIN('经济参数'!$E$24,'经济参数'!$E$22+A609*'经济参数'!$E$23)*G609,0)</x:f>
        <x:v>0</x:v>
      </x:c>
      <x:c r="P609" s="119" t="n">
        <x:f>ROUNDDOWN((IF(A609&gt;='材料与任务'!$E$31,'材料与任务'!$E$32,IF(A609&gt;='材料与任务'!$E$25,'材料与任务'!$E$26,IF(A609&gt;='材料与任务'!$E$19,'材料与任务'!$E$20,IF(A609&gt;='材料与任务'!$E$13,'材料与任务'!$E$14,'材料与任务'!$E$8)))))*G609,0)</x:f>
        <x:v>6</x:v>
      </x:c>
      <x:c r="Q609" s="119" t="n">
        <x:f>ROUNDDOWN((IF(A609&gt;='材料与任务'!$E$31,'材料与任务'!$E$33,IF(A609&gt;='材料与任务'!$E$25,'材料与任务'!$E$27,IF(A609&gt;='材料与任务'!$E$19,'材料与任务'!$E$21,IF(A609&gt;='材料与任务'!$E$13,'材料与任务'!$E$15,'材料与任务'!$E$9)))))*G609,0)</x:f>
        <x:v>3</x:v>
      </x:c>
      <x:c r="R609" s="110" t="n">
        <x:f>'装备掉落'!$B$38</x:f>
        <x:v>0.6872058758851213</x:v>
      </x:c>
      <x:c r="S609" s="119" t="n">
        <x:f>MAX(IF(VLOOKUP(A609,'装备掉落'!$A$29:$H$34,2,TRUE)&gt;0,1,0),IF(VLOOKUP(A609,'装备掉落'!$A$29:$H$34,3,TRUE)&gt;0,2,0),IF(VLOOKUP(A609,'装备掉落'!$A$29:$H$34,4,TRUE)&gt;0,3,0),IF(VLOOKUP(A609,'装备掉落'!$A$29:$H$34,5,TRUE)&gt;0,4,0),IF(VLOOKUP(A609,'装备掉落'!$A$29:$H$34,6,TRUE)&gt;0,5,0),IF(VLOOKUP(A609,'装备掉落'!$A$29:$H$34,7,TRUE)&gt;0,6,0),IF(VLOOKUP(A609,'装备掉落'!$A$29:$H$34,8,TRUE)&gt;0,7,0))</x:f>
        <x:v>7</x:v>
      </x:c>
      <x:c r="T609" s="119" t="n">
        <x:f>MIN(7,S609+'经济参数'!$E$70)</x:f>
        <x:v>7</x:v>
      </x:c>
      <x:c r="U609" s="119" t="n">
        <x:f>MIN(7,S609+'经济参数'!$E$71)</x:f>
        <x:v>7</x:v>
      </x:c>
      <x:c r="V609" s="119" t="n">
        <x:f>IF(H609&gt;=('难度参数'!$E$52),1,0)+IF(H609&gt;=('难度参数'!$E$52+'难度参数'!$E$53),1,0)+IF(H609&gt;=('难度参数'!$E$52+'难度参数'!$E$53+'难度参数'!$E$54),1,0)+IF(H609&gt;=('难度参数'!$E$52+'难度参数'!$E$53+'难度参数'!$E$54+'难度参数'!$E$55),1,0)+IF(H609&gt;=('难度参数'!$E$52+'难度参数'!$E$53+'难度参数'!$E$54+'难度参数'!$E$55+'难度参数'!$E$56),1,0)+IF(H609&gt;=('难度参数'!$E$52+'难度参数'!$E$53+'难度参数'!$E$54+'难度参数'!$E$55+'难度参数'!$E$56+'难度参数'!$E$57),1,0)</x:f>
        <x:v>6</x:v>
      </x:c>
      <x:c r="W609" s="62" t="str">
        <x:f>IF(L609&gt;'难度参数'!$E$51,"仅出怪已超目标","还需实测")</x:f>
        <x:v>仅出怪已超目标</x:v>
      </x:c>
      <x:c r="X609" s="119" t="n">
        <x:f>IF(1&gt;D609,0,MAX(2,MIN('难度参数'!$E$12,ROUND(('难度参数'!$E$18*POWER(A609,'难度参数'!$E$19)/D609*(0.85+0.3*(1-1)/MAX(1,D609-1))),0)+F609)))</x:f>
        <x:v>38</x:v>
      </x:c>
      <x:c r="Y609" s="119" t="n">
        <x:f>IF(1&gt;D609,0,ROUND(('难度参数'!$E$13*POWER(A609,'难度参数'!$E$20)*MIN('难度参数'!$E$23,1+MAX(0,A609-'难度参数'!$E$21)*'难度参数'!$E$22))*(36+1*7)/(36+7*(D609+1)/2)*E609,0))</x:f>
        <x:v>9109</x:v>
      </x:c>
      <x:c r="Z609" s="119" t="n">
        <x:f>IF(X609=0,0,(X609-IF(1=D609,1,0))*ROUND(Y609*VLOOKUP(INDEX('章节与怪物'!$E$31:$K$37,B609,1),'章节与怪物'!$A$41:$F$44,2,FALSE),0)+IF(1=D609,ROUND(Y609*'难度参数'!$E$28*'章节与怪物'!$E$17,0),0))</x:f>
        <x:v>249204</x:v>
      </x:c>
      <x:c r="AA609" s="119" t="n">
        <x:f>IF(X609=0,0,(X609-IF(1=D609,1,0))*VLOOKUP(INDEX('章节与怪物'!$E$31:$K$37,B609,1),'章节与怪物'!$A$41:$F$44,4,FALSE)+IF(1=D609,'难度参数'!$E$30,0))</x:f>
        <x:v>760</x:v>
      </x:c>
      <x:c r="AB609" s="119" t="n">
        <x:f>IF(2&gt;D609,0,MAX(2,MIN('难度参数'!$E$12,ROUND(('难度参数'!$E$18*POWER(A609,'难度参数'!$E$19)/D609*(0.85+0.3*(2-1)/MAX(1,D609-1))),0)+F609)))</x:f>
        <x:v>40</x:v>
      </x:c>
      <x:c r="AC609" s="119" t="n">
        <x:f>IF(2&gt;D609,0,ROUND(('难度参数'!$E$13*POWER(A609,'难度参数'!$E$20)*MIN('难度参数'!$E$23,1+MAX(0,A609-'难度参数'!$E$21)*'难度参数'!$E$22))*(36+2*7)/(36+7*(D609+1)/2)*E609,0))</x:f>
        <x:v>10591</x:v>
      </x:c>
      <x:c r="AD609" s="119" t="n">
        <x:f>IF(AB609=0,0,(AB609-IF(2=D609,1,0))*ROUND(AC609*VLOOKUP(INDEX('章节与怪物'!$E$31:$K$37,B609,2),'章节与怪物'!$A$41:$F$44,2,FALSE),0)+IF(2=D609,ROUND(AC609*'难度参数'!$E$28*'章节与怪物'!$E$17,0),0))</x:f>
        <x:v>423640</x:v>
      </x:c>
      <x:c r="AE609" s="119" t="n">
        <x:f>IF(AB609=0,0,(AB609-IF(2=D609,1,0))*VLOOKUP(INDEX('章节与怪物'!$E$31:$K$37,B609,2),'章节与怪物'!$A$41:$F$44,4,FALSE)+IF(2=D609,'难度参数'!$E$30,0))</x:f>
        <x:v>720</x:v>
      </x:c>
      <x:c r="AF609" s="119" t="n">
        <x:f>IF(3&gt;D609,0,MAX(2,MIN('难度参数'!$E$12,ROUND(('难度参数'!$E$18*POWER(A609,'难度参数'!$E$19)/D609*(0.85+0.3*(3-1)/MAX(1,D609-1))),0)+F609)))</x:f>
        <x:v>42</x:v>
      </x:c>
      <x:c r="AG609" s="119" t="n">
        <x:f>IF(3&gt;D609,0,ROUND(('难度参数'!$E$13*POWER(A609,'难度参数'!$E$20)*MIN('难度参数'!$E$23,1+MAX(0,A609-'难度参数'!$E$21)*'难度参数'!$E$22))*(36+3*7)/(36+7*(D609+1)/2)*E609,0))</x:f>
        <x:v>12074</x:v>
      </x:c>
      <x:c r="AH609" s="119" t="n">
        <x:f>IF(AF609=0,0,(AF609-IF(3=D609,1,0))*ROUND(AG609*VLOOKUP(INDEX('章节与怪物'!$E$31:$K$37,B609,3),'章节与怪物'!$A$41:$F$44,2,FALSE),0)+IF(3=D609,ROUND(AG609*'难度参数'!$E$28*'章节与怪物'!$E$17,0),0))</x:f>
        <x:v>862092</x:v>
      </x:c>
      <x:c r="AI609" s="119" t="n">
        <x:f>IF(AF609=0,0,(AF609-IF(3=D609,1,0))*VLOOKUP(INDEX('章节与怪物'!$E$31:$K$37,B609,3),'章节与怪物'!$A$41:$F$44,4,FALSE)+IF(3=D609,'难度参数'!$E$30,0))</x:f>
        <x:v>1176</x:v>
      </x:c>
      <x:c r="AJ609" s="119" t="n">
        <x:f>IF(4&gt;D609,0,MAX(2,MIN('难度参数'!$E$12,ROUND(('难度参数'!$E$18*POWER(A609,'难度参数'!$E$19)/D609*(0.85+0.3*(4-1)/MAX(1,D609-1))),0)+F609)))</x:f>
        <x:v>44</x:v>
      </x:c>
      <x:c r="AK609" s="119" t="n">
        <x:f>IF(4&gt;D609,0,ROUND(('难度参数'!$E$13*POWER(A609,'难度参数'!$E$20)*MIN('难度参数'!$E$23,1+MAX(0,A609-'难度参数'!$E$21)*'难度参数'!$E$22))*(36+4*7)/(36+7*(D609+1)/2)*E609,0))</x:f>
        <x:v>13557</x:v>
      </x:c>
      <x:c r="AL609" s="119" t="n">
        <x:f>IF(AJ609=0,0,(AJ609-IF(4=D609,1,0))*ROUND(AK609*VLOOKUP(INDEX('章节与怪物'!$E$31:$K$37,B609,4),'章节与怪物'!$A$41:$F$44,2,FALSE),0)+IF(4=D609,ROUND(AK609*'难度参数'!$E$28*'章节与怪物'!$E$17,0),0))</x:f>
        <x:v>805288</x:v>
      </x:c>
      <x:c r="AM609" s="119" t="n">
        <x:f>IF(AJ609=0,0,(AJ609-IF(4=D609,1,0))*VLOOKUP(INDEX('章节与怪物'!$E$31:$K$37,B609,4),'章节与怪物'!$A$41:$F$44,4,FALSE)+IF(4=D609,'难度参数'!$E$30,0))</x:f>
        <x:v>1496</x:v>
      </x:c>
      <x:c r="AN609" s="119" t="n">
        <x:f>IF(5&gt;D609,0,MAX(2,MIN('难度参数'!$E$12,ROUND(('难度参数'!$E$18*POWER(A609,'难度参数'!$E$19)/D609*(0.85+0.3*(5-1)/MAX(1,D609-1))),0)+F609)))</x:f>
        <x:v>47</x:v>
      </x:c>
      <x:c r="AO609" s="119" t="n">
        <x:f>IF(5&gt;D609,0,ROUND(('难度参数'!$E$13*POWER(A609,'难度参数'!$E$20)*MIN('难度参数'!$E$23,1+MAX(0,A609-'难度参数'!$E$21)*'难度参数'!$E$22))*(36+5*7)/(36+7*(D609+1)/2)*E609,0))</x:f>
        <x:v>15040</x:v>
      </x:c>
      <x:c r="AP609" s="119" t="n">
        <x:f>IF(AN609=0,0,(AN609-IF(5=D609,1,0))*ROUND(AO609*VLOOKUP(INDEX('章节与怪物'!$E$31:$K$37,B609,5),'章节与怪物'!$A$41:$F$44,2,FALSE),0)+IF(5=D609,ROUND(AO609*'难度参数'!$E$28*'章节与怪物'!$E$17,0),0))</x:f>
        <x:v>706880</x:v>
      </x:c>
      <x:c r="AQ609" s="119" t="n">
        <x:f>IF(AN609=0,0,(AN609-IF(5=D609,1,0))*VLOOKUP(INDEX('章节与怪物'!$E$31:$K$37,B609,5),'章节与怪物'!$A$41:$F$44,4,FALSE)+IF(5=D609,'难度参数'!$E$30,0))</x:f>
        <x:v>846</x:v>
      </x:c>
      <x:c r="AR609" s="119" t="n">
        <x:f>IF(6&gt;D609,0,MAX(2,MIN('难度参数'!$E$12,ROUND(('难度参数'!$E$18*POWER(A609,'难度参数'!$E$19)/D609*(0.85+0.3*(6-1)/MAX(1,D609-1))),0)+F609)))</x:f>
        <x:v>49</x:v>
      </x:c>
      <x:c r="AS609" s="119" t="n">
        <x:f>IF(6&gt;D609,0,ROUND(('难度参数'!$E$13*POWER(A609,'难度参数'!$E$20)*MIN('难度参数'!$E$23,1+MAX(0,A609-'难度参数'!$E$21)*'难度参数'!$E$22))*(36+6*7)/(36+7*(D609+1)/2)*E609,0))</x:f>
        <x:v>16523</x:v>
      </x:c>
      <x:c r="AT609" s="119" t="n">
        <x:f>IF(AR609=0,0,(AR609-IF(6=D609,1,0))*ROUND(AS609*VLOOKUP(INDEX('章节与怪物'!$E$31:$K$37,B609,6),'章节与怪物'!$A$41:$F$44,2,FALSE),0)+IF(6=D609,ROUND(AS609*'难度参数'!$E$28*'章节与怪物'!$E$17,0),0))</x:f>
        <x:v>1376361</x:v>
      </x:c>
      <x:c r="AU609" s="119" t="n">
        <x:f>IF(AR609=0,0,(AR609-IF(6=D609,1,0))*VLOOKUP(INDEX('章节与怪物'!$E$31:$K$37,B609,6),'章节与怪物'!$A$41:$F$44,4,FALSE)+IF(6=D609,'难度参数'!$E$30,0))</x:f>
        <x:v>1372</x:v>
      </x:c>
      <x:c r="AV609" s="119" t="n">
        <x:f>IF(7&gt;D609,0,MAX(2,MIN('难度参数'!$E$12,ROUND(('难度参数'!$E$18*POWER(A609,'难度参数'!$E$19)/D609*(0.85+0.3*(7-1)/MAX(1,D609-1))),0)+F609)))</x:f>
        <x:v>51</x:v>
      </x:c>
      <x:c r="AW609" s="119" t="n">
        <x:f>IF(7&gt;D609,0,ROUND(('难度参数'!$E$13*POWER(A609,'难度参数'!$E$20)*MIN('难度参数'!$E$23,1+MAX(0,A609-'难度参数'!$E$21)*'难度参数'!$E$22))*(36+7*7)/(36+7*(D609+1)/2)*E609,0))</x:f>
        <x:v>18005</x:v>
      </x:c>
      <x:c r="AX609" s="119" t="n">
        <x:f>IF(AV609=0,0,(AV609-IF(7=D609,1,0))*ROUND(AW609*VLOOKUP(INDEX('章节与怪物'!$E$31:$K$37,B609,7),'章节与怪物'!$A$41:$F$44,2,FALSE),0)+IF(7=D609,ROUND(AW609*'难度参数'!$E$28*'章节与怪物'!$E$17,0),0))</x:f>
        <x:v>1337784</x:v>
      </x:c>
      <x:c r="AY609" s="119" t="n">
        <x:f>IF(AV609=0,0,(AV609-IF(7=D609,1,0))*VLOOKUP(INDEX('章节与怪物'!$E$31:$K$37,B609,7),'章节与怪物'!$A$41:$F$44,4,FALSE)+IF(7=D609,'难度参数'!$E$30,0))</x:f>
        <x:v>1900</x:v>
      </x:c>
    </x:row>
    <x:row r="610" ht="23" customHeight="1">
      <x:c r="A610" s="119" t="n">
        <x:v>604</x:v>
      </x:c>
      <x:c r="B610" s="119" t="n">
        <x:f>MOD(INT((A610-1)/5),7)+1</x:f>
        <x:v>2</x:v>
      </x:c>
      <x:c r="C610" s="62" t="str">
        <x:f>INDEX('章节与怪物'!$B$31:$B$37,B610)</x:f>
        <x:v>黄沙要塞</x:v>
      </x:c>
      <x:c r="D610" s="119" t="n">
        <x:f>MIN('难度参数'!$E$8,MAX('难度参数'!$E$7,A610))</x:f>
        <x:v>7</x:v>
      </x:c>
      <x:c r="E610" s="106" t="n">
        <x:v>1</x:v>
      </x:c>
      <x:c r="F610" s="106" t="n">
        <x:v>0</x:v>
      </x:c>
      <x:c r="G610" s="106" t="n">
        <x:v>1</x:v>
      </x:c>
      <x:c r="H610" s="119" t="n">
        <x:f>SUM(X610,AB610,AF610,AJ610,AN610,AR610,AV610)</x:f>
        <x:v>311</x:v>
      </x:c>
      <x:c r="I610" s="119" t="n">
        <x:f>SUM(Z610,AD610,AH610,AL610,AP610,AT610,AX610)</x:f>
        <x:v>5768105</x:v>
      </x:c>
      <x:c r="J610" s="119" t="n">
        <x:f>ROUND(INDEX(X610:AY610,1,(D610-1)*4+2)*'难度参数'!$E$28*'章节与怪物'!$E$17,0)</x:f>
        <x:v>122584</x:v>
      </x:c>
      <x:c r="K610" s="119" t="n">
        <x:f>SUM(AA610,AE610,AI610,AM610,AQ610,AU610,AY610)</x:f>
        <x:v>8270</x:v>
      </x:c>
      <x:c r="L610" s="62" t="n">
        <x:f>H610*(ROUNDUP('难度参数'!$E$24/('难度参数'!$E$26*'难度参数'!$E$27),0)*'难度参数'!$E$26)/60</x:f>
        <x:v>4.1466666666666665</x:v>
      </x:c>
      <x:c r="M610" s="62" t="n">
        <x:f>L610+D610*('难度参数'!$E$49+'难度参数'!$E$50)/60</x:f>
        <x:v>5.3133333333333335</x:v>
      </x:c>
      <x:c r="N610" s="119" t="n">
        <x:f>ROUNDDOWN(('经济参数'!$E$20+A610*'经济参数'!$E$21)*G610,0)</x:f>
        <x:v>12260</x:v>
      </x:c>
      <x:c r="O610" s="119" t="n">
        <x:f>ROUNDDOWN(MIN('经济参数'!$E$24,'经济参数'!$E$22+A610*'经济参数'!$E$23)*G610,0)</x:f>
        <x:v>0</x:v>
      </x:c>
      <x:c r="P610" s="119" t="n">
        <x:f>ROUNDDOWN((IF(A610&gt;='材料与任务'!$E$31,'材料与任务'!$E$32,IF(A610&gt;='材料与任务'!$E$25,'材料与任务'!$E$26,IF(A610&gt;='材料与任务'!$E$19,'材料与任务'!$E$20,IF(A610&gt;='材料与任务'!$E$13,'材料与任务'!$E$14,'材料与任务'!$E$8)))))*G610,0)</x:f>
        <x:v>6</x:v>
      </x:c>
      <x:c r="Q610" s="119" t="n">
        <x:f>ROUNDDOWN((IF(A610&gt;='材料与任务'!$E$31,'材料与任务'!$E$33,IF(A610&gt;='材料与任务'!$E$25,'材料与任务'!$E$27,IF(A610&gt;='材料与任务'!$E$19,'材料与任务'!$E$21,IF(A610&gt;='材料与任务'!$E$13,'材料与任务'!$E$15,'材料与任务'!$E$9)))))*G610,0)</x:f>
        <x:v>3</x:v>
      </x:c>
      <x:c r="R610" s="110" t="n">
        <x:f>'装备掉落'!$B$38</x:f>
        <x:v>0.6872058758851213</x:v>
      </x:c>
      <x:c r="S610" s="119" t="n">
        <x:f>MAX(IF(VLOOKUP(A610,'装备掉落'!$A$29:$H$34,2,TRUE)&gt;0,1,0),IF(VLOOKUP(A610,'装备掉落'!$A$29:$H$34,3,TRUE)&gt;0,2,0),IF(VLOOKUP(A610,'装备掉落'!$A$29:$H$34,4,TRUE)&gt;0,3,0),IF(VLOOKUP(A610,'装备掉落'!$A$29:$H$34,5,TRUE)&gt;0,4,0),IF(VLOOKUP(A610,'装备掉落'!$A$29:$H$34,6,TRUE)&gt;0,5,0),IF(VLOOKUP(A610,'装备掉落'!$A$29:$H$34,7,TRUE)&gt;0,6,0),IF(VLOOKUP(A610,'装备掉落'!$A$29:$H$34,8,TRUE)&gt;0,7,0))</x:f>
        <x:v>7</x:v>
      </x:c>
      <x:c r="T610" s="119" t="n">
        <x:f>MIN(7,S610+'经济参数'!$E$70)</x:f>
        <x:v>7</x:v>
      </x:c>
      <x:c r="U610" s="119" t="n">
        <x:f>MIN(7,S610+'经济参数'!$E$71)</x:f>
        <x:v>7</x:v>
      </x:c>
      <x:c r="V610" s="119" t="n">
        <x:f>IF(H610&gt;=('难度参数'!$E$52),1,0)+IF(H610&gt;=('难度参数'!$E$52+'难度参数'!$E$53),1,0)+IF(H610&gt;=('难度参数'!$E$52+'难度参数'!$E$53+'难度参数'!$E$54),1,0)+IF(H610&gt;=('难度参数'!$E$52+'难度参数'!$E$53+'难度参数'!$E$54+'难度参数'!$E$55),1,0)+IF(H610&gt;=('难度参数'!$E$52+'难度参数'!$E$53+'难度参数'!$E$54+'难度参数'!$E$55+'难度参数'!$E$56),1,0)+IF(H610&gt;=('难度参数'!$E$52+'难度参数'!$E$53+'难度参数'!$E$54+'难度参数'!$E$55+'难度参数'!$E$56+'难度参数'!$E$57),1,0)</x:f>
        <x:v>6</x:v>
      </x:c>
      <x:c r="W610" s="62" t="str">
        <x:f>IF(L610&gt;'难度参数'!$E$51,"仅出怪已超目标","还需实测")</x:f>
        <x:v>仅出怪已超目标</x:v>
      </x:c>
      <x:c r="X610" s="119" t="n">
        <x:f>IF(1&gt;D610,0,MAX(2,MIN('难度参数'!$E$12,ROUND(('难度参数'!$E$18*POWER(A610,'难度参数'!$E$19)/D610*(0.85+0.3*(1-1)/MAX(1,D610-1))),0)+F610)))</x:f>
        <x:v>38</x:v>
      </x:c>
      <x:c r="Y610" s="119" t="n">
        <x:f>IF(1&gt;D610,0,ROUND(('难度参数'!$E$13*POWER(A610,'难度参数'!$E$20)*MIN('难度参数'!$E$23,1+MAX(0,A610-'难度参数'!$E$21)*'难度参数'!$E$22))*(36+1*7)/(36+7*(D610+1)/2)*E610,0))</x:f>
        <x:v>9119</x:v>
      </x:c>
      <x:c r="Z610" s="119" t="n">
        <x:f>IF(X610=0,0,(X610-IF(1=D610,1,0))*ROUND(Y610*VLOOKUP(INDEX('章节与怪物'!$E$31:$K$37,B610,1),'章节与怪物'!$A$41:$F$44,2,FALSE),0)+IF(1=D610,ROUND(Y610*'难度参数'!$E$28*'章节与怪物'!$E$17,0),0))</x:f>
        <x:v>249508</x:v>
      </x:c>
      <x:c r="AA610" s="119" t="n">
        <x:f>IF(X610=0,0,(X610-IF(1=D610,1,0))*VLOOKUP(INDEX('章节与怪物'!$E$31:$K$37,B610,1),'章节与怪物'!$A$41:$F$44,4,FALSE)+IF(1=D610,'难度参数'!$E$30,0))</x:f>
        <x:v>760</x:v>
      </x:c>
      <x:c r="AB610" s="119" t="n">
        <x:f>IF(2&gt;D610,0,MAX(2,MIN('难度参数'!$E$12,ROUND(('难度参数'!$E$18*POWER(A610,'难度参数'!$E$19)/D610*(0.85+0.3*(2-1)/MAX(1,D610-1))),0)+F610)))</x:f>
        <x:v>40</x:v>
      </x:c>
      <x:c r="AC610" s="119" t="n">
        <x:f>IF(2&gt;D610,0,ROUND(('难度参数'!$E$13*POWER(A610,'难度参数'!$E$20)*MIN('难度参数'!$E$23,1+MAX(0,A610-'难度参数'!$E$21)*'难度参数'!$E$22))*(36+2*7)/(36+7*(D610+1)/2)*E610,0))</x:f>
        <x:v>10604</x:v>
      </x:c>
      <x:c r="AD610" s="119" t="n">
        <x:f>IF(AB610=0,0,(AB610-IF(2=D610,1,0))*ROUND(AC610*VLOOKUP(INDEX('章节与怪物'!$E$31:$K$37,B610,2),'章节与怪物'!$A$41:$F$44,2,FALSE),0)+IF(2=D610,ROUND(AC610*'难度参数'!$E$28*'章节与怪物'!$E$17,0),0))</x:f>
        <x:v>424160</x:v>
      </x:c>
      <x:c r="AE610" s="119" t="n">
        <x:f>IF(AB610=0,0,(AB610-IF(2=D610,1,0))*VLOOKUP(INDEX('章节与怪物'!$E$31:$K$37,B610,2),'章节与怪物'!$A$41:$F$44,4,FALSE)+IF(2=D610,'难度参数'!$E$30,0))</x:f>
        <x:v>720</x:v>
      </x:c>
      <x:c r="AF610" s="119" t="n">
        <x:f>IF(3&gt;D610,0,MAX(2,MIN('难度参数'!$E$12,ROUND(('难度参数'!$E$18*POWER(A610,'难度参数'!$E$19)/D610*(0.85+0.3*(3-1)/MAX(1,D610-1))),0)+F610)))</x:f>
        <x:v>42</x:v>
      </x:c>
      <x:c r="AG610" s="119" t="n">
        <x:f>IF(3&gt;D610,0,ROUND(('难度参数'!$E$13*POWER(A610,'难度参数'!$E$20)*MIN('难度参数'!$E$23,1+MAX(0,A610-'难度参数'!$E$21)*'难度参数'!$E$22))*(36+3*7)/(36+7*(D610+1)/2)*E610,0))</x:f>
        <x:v>12089</x:v>
      </x:c>
      <x:c r="AH610" s="119" t="n">
        <x:f>IF(AF610=0,0,(AF610-IF(3=D610,1,0))*ROUND(AG610*VLOOKUP(INDEX('章节与怪物'!$E$31:$K$37,B610,3),'章节与怪物'!$A$41:$F$44,2,FALSE),0)+IF(3=D610,ROUND(AG610*'难度参数'!$E$28*'章节与怪物'!$E$17,0),0))</x:f>
        <x:v>863142</x:v>
      </x:c>
      <x:c r="AI610" s="119" t="n">
        <x:f>IF(AF610=0,0,(AF610-IF(3=D610,1,0))*VLOOKUP(INDEX('章节与怪物'!$E$31:$K$37,B610,3),'章节与怪物'!$A$41:$F$44,4,FALSE)+IF(3=D610,'难度参数'!$E$30,0))</x:f>
        <x:v>1176</x:v>
      </x:c>
      <x:c r="AJ610" s="119" t="n">
        <x:f>IF(4&gt;D610,0,MAX(2,MIN('难度参数'!$E$12,ROUND(('难度参数'!$E$18*POWER(A610,'难度参数'!$E$19)/D610*(0.85+0.3*(4-1)/MAX(1,D610-1))),0)+F610)))</x:f>
        <x:v>44</x:v>
      </x:c>
      <x:c r="AK610" s="119" t="n">
        <x:f>IF(4&gt;D610,0,ROUND(('难度参数'!$E$13*POWER(A610,'难度参数'!$E$20)*MIN('难度参数'!$E$23,1+MAX(0,A610-'难度参数'!$E$21)*'难度参数'!$E$22))*(36+4*7)/(36+7*(D610+1)/2)*E610,0))</x:f>
        <x:v>13573</x:v>
      </x:c>
      <x:c r="AL610" s="119" t="n">
        <x:f>IF(AJ610=0,0,(AJ610-IF(4=D610,1,0))*ROUND(AK610*VLOOKUP(INDEX('章节与怪物'!$E$31:$K$37,B610,4),'章节与怪物'!$A$41:$F$44,2,FALSE),0)+IF(4=D610,ROUND(AK610*'难度参数'!$E$28*'章节与怪物'!$E$17,0),0))</x:f>
        <x:v>806256</x:v>
      </x:c>
      <x:c r="AM610" s="119" t="n">
        <x:f>IF(AJ610=0,0,(AJ610-IF(4=D610,1,0))*VLOOKUP(INDEX('章节与怪物'!$E$31:$K$37,B610,4),'章节与怪物'!$A$41:$F$44,4,FALSE)+IF(4=D610,'难度参数'!$E$30,0))</x:f>
        <x:v>1496</x:v>
      </x:c>
      <x:c r="AN610" s="119" t="n">
        <x:f>IF(5&gt;D610,0,MAX(2,MIN('难度参数'!$E$12,ROUND(('难度参数'!$E$18*POWER(A610,'难度参数'!$E$19)/D610*(0.85+0.3*(5-1)/MAX(1,D610-1))),0)+F610)))</x:f>
        <x:v>47</x:v>
      </x:c>
      <x:c r="AO610" s="119" t="n">
        <x:f>IF(5&gt;D610,0,ROUND(('难度参数'!$E$13*POWER(A610,'难度参数'!$E$20)*MIN('难度参数'!$E$23,1+MAX(0,A610-'难度参数'!$E$21)*'难度参数'!$E$22))*(36+5*7)/(36+7*(D610+1)/2)*E610,0))</x:f>
        <x:v>15058</x:v>
      </x:c>
      <x:c r="AP610" s="119" t="n">
        <x:f>IF(AN610=0,0,(AN610-IF(5=D610,1,0))*ROUND(AO610*VLOOKUP(INDEX('章节与怪物'!$E$31:$K$37,B610,5),'章节与怪物'!$A$41:$F$44,2,FALSE),0)+IF(5=D610,ROUND(AO610*'难度参数'!$E$28*'章节与怪物'!$E$17,0),0))</x:f>
        <x:v>707726</x:v>
      </x:c>
      <x:c r="AQ610" s="119" t="n">
        <x:f>IF(AN610=0,0,(AN610-IF(5=D610,1,0))*VLOOKUP(INDEX('章节与怪物'!$E$31:$K$37,B610,5),'章节与怪物'!$A$41:$F$44,4,FALSE)+IF(5=D610,'难度参数'!$E$30,0))</x:f>
        <x:v>846</x:v>
      </x:c>
      <x:c r="AR610" s="119" t="n">
        <x:f>IF(6&gt;D610,0,MAX(2,MIN('难度参数'!$E$12,ROUND(('难度参数'!$E$18*POWER(A610,'难度参数'!$E$19)/D610*(0.85+0.3*(6-1)/MAX(1,D610-1))),0)+F610)))</x:f>
        <x:v>49</x:v>
      </x:c>
      <x:c r="AS610" s="119" t="n">
        <x:f>IF(6&gt;D610,0,ROUND(('难度参数'!$E$13*POWER(A610,'难度参数'!$E$20)*MIN('难度参数'!$E$23,1+MAX(0,A610-'难度参数'!$E$21)*'难度参数'!$E$22))*(36+6*7)/(36+7*(D610+1)/2)*E610,0))</x:f>
        <x:v>16542</x:v>
      </x:c>
      <x:c r="AT610" s="119" t="n">
        <x:f>IF(AR610=0,0,(AR610-IF(6=D610,1,0))*ROUND(AS610*VLOOKUP(INDEX('章节与怪物'!$E$31:$K$37,B610,6),'章节与怪物'!$A$41:$F$44,2,FALSE),0)+IF(6=D610,ROUND(AS610*'难度参数'!$E$28*'章节与怪物'!$E$17,0),0))</x:f>
        <x:v>1377929</x:v>
      </x:c>
      <x:c r="AU610" s="119" t="n">
        <x:f>IF(AR610=0,0,(AR610-IF(6=D610,1,0))*VLOOKUP(INDEX('章节与怪物'!$E$31:$K$37,B610,6),'章节与怪物'!$A$41:$F$44,4,FALSE)+IF(6=D610,'难度参数'!$E$30,0))</x:f>
        <x:v>1372</x:v>
      </x:c>
      <x:c r="AV610" s="119" t="n">
        <x:f>IF(7&gt;D610,0,MAX(2,MIN('难度参数'!$E$12,ROUND(('难度参数'!$E$18*POWER(A610,'难度参数'!$E$19)/D610*(0.85+0.3*(7-1)/MAX(1,D610-1))),0)+F610)))</x:f>
        <x:v>51</x:v>
      </x:c>
      <x:c r="AW610" s="119" t="n">
        <x:f>IF(7&gt;D610,0,ROUND(('难度参数'!$E$13*POWER(A610,'难度参数'!$E$20)*MIN('难度参数'!$E$23,1+MAX(0,A610-'难度参数'!$E$21)*'难度参数'!$E$22))*(36+7*7)/(36+7*(D610+1)/2)*E610,0))</x:f>
        <x:v>18027</x:v>
      </x:c>
      <x:c r="AX610" s="119" t="n">
        <x:f>IF(AV610=0,0,(AV610-IF(7=D610,1,0))*ROUND(AW610*VLOOKUP(INDEX('章节与怪物'!$E$31:$K$37,B610,7),'章节与怪物'!$A$41:$F$44,2,FALSE),0)+IF(7=D610,ROUND(AW610*'难度参数'!$E$28*'章节与怪物'!$E$17,0),0))</x:f>
        <x:v>1339384</x:v>
      </x:c>
      <x:c r="AY610" s="119" t="n">
        <x:f>IF(AV610=0,0,(AV610-IF(7=D610,1,0))*VLOOKUP(INDEX('章节与怪物'!$E$31:$K$37,B610,7),'章节与怪物'!$A$41:$F$44,4,FALSE)+IF(7=D610,'难度参数'!$E$30,0))</x:f>
        <x:v>1900</x:v>
      </x:c>
    </x:row>
    <x:row r="611" ht="23" customHeight="1">
      <x:c r="A611" s="119" t="n">
        <x:v>605</x:v>
      </x:c>
      <x:c r="B611" s="119" t="n">
        <x:f>MOD(INT((A611-1)/5),7)+1</x:f>
        <x:v>2</x:v>
      </x:c>
      <x:c r="C611" s="62" t="str">
        <x:f>INDEX('章节与怪物'!$B$31:$B$37,B611)</x:f>
        <x:v>黄沙要塞</x:v>
      </x:c>
      <x:c r="D611" s="119" t="n">
        <x:f>MIN('难度参数'!$E$8,MAX('难度参数'!$E$7,A611))</x:f>
        <x:v>7</x:v>
      </x:c>
      <x:c r="E611" s="106" t="n">
        <x:v>1</x:v>
      </x:c>
      <x:c r="F611" s="106" t="n">
        <x:v>0</x:v>
      </x:c>
      <x:c r="G611" s="106" t="n">
        <x:v>1</x:v>
      </x:c>
      <x:c r="H611" s="119" t="n">
        <x:f>SUM(X611,AB611,AF611,AJ611,AN611,AR611,AV611)</x:f>
        <x:v>311</x:v>
      </x:c>
      <x:c r="I611" s="119" t="n">
        <x:f>SUM(Z611,AD611,AH611,AL611,AP611,AT611,AX611)</x:f>
        <x:v>5774965</x:v>
      </x:c>
      <x:c r="J611" s="119" t="n">
        <x:f>ROUND(INDEX(X611:AY611,1,(D611-1)*4+2)*'难度参数'!$E$28*'章节与怪物'!$E$17,0)</x:f>
        <x:v>122726</x:v>
      </x:c>
      <x:c r="K611" s="119" t="n">
        <x:f>SUM(AA611,AE611,AI611,AM611,AQ611,AU611,AY611)</x:f>
        <x:v>8270</x:v>
      </x:c>
      <x:c r="L611" s="62" t="n">
        <x:f>H611*(ROUNDUP('难度参数'!$E$24/('难度参数'!$E$26*'难度参数'!$E$27),0)*'难度参数'!$E$26)/60</x:f>
        <x:v>4.1466666666666665</x:v>
      </x:c>
      <x:c r="M611" s="62" t="n">
        <x:f>L611+D611*('难度参数'!$E$49+'难度参数'!$E$50)/60</x:f>
        <x:v>5.3133333333333335</x:v>
      </x:c>
      <x:c r="N611" s="119" t="n">
        <x:f>ROUNDDOWN(('经济参数'!$E$20+A611*'经济参数'!$E$21)*G611,0)</x:f>
        <x:v>12280</x:v>
      </x:c>
      <x:c r="O611" s="119" t="n">
        <x:f>ROUNDDOWN(MIN('经济参数'!$E$24,'经济参数'!$E$22+A611*'经济参数'!$E$23)*G611,0)</x:f>
        <x:v>0</x:v>
      </x:c>
      <x:c r="P611" s="119" t="n">
        <x:f>ROUNDDOWN((IF(A611&gt;='材料与任务'!$E$31,'材料与任务'!$E$32,IF(A611&gt;='材料与任务'!$E$25,'材料与任务'!$E$26,IF(A611&gt;='材料与任务'!$E$19,'材料与任务'!$E$20,IF(A611&gt;='材料与任务'!$E$13,'材料与任务'!$E$14,'材料与任务'!$E$8)))))*G611,0)</x:f>
        <x:v>6</x:v>
      </x:c>
      <x:c r="Q611" s="119" t="n">
        <x:f>ROUNDDOWN((IF(A611&gt;='材料与任务'!$E$31,'材料与任务'!$E$33,IF(A611&gt;='材料与任务'!$E$25,'材料与任务'!$E$27,IF(A611&gt;='材料与任务'!$E$19,'材料与任务'!$E$21,IF(A611&gt;='材料与任务'!$E$13,'材料与任务'!$E$15,'材料与任务'!$E$9)))))*G611,0)</x:f>
        <x:v>3</x:v>
      </x:c>
      <x:c r="R611" s="110" t="n">
        <x:f>'装备掉落'!$B$38</x:f>
        <x:v>0.6872058758851213</x:v>
      </x:c>
      <x:c r="S611" s="119" t="n">
        <x:f>MAX(IF(VLOOKUP(A611,'装备掉落'!$A$29:$H$34,2,TRUE)&gt;0,1,0),IF(VLOOKUP(A611,'装备掉落'!$A$29:$H$34,3,TRUE)&gt;0,2,0),IF(VLOOKUP(A611,'装备掉落'!$A$29:$H$34,4,TRUE)&gt;0,3,0),IF(VLOOKUP(A611,'装备掉落'!$A$29:$H$34,5,TRUE)&gt;0,4,0),IF(VLOOKUP(A611,'装备掉落'!$A$29:$H$34,6,TRUE)&gt;0,5,0),IF(VLOOKUP(A611,'装备掉落'!$A$29:$H$34,7,TRUE)&gt;0,6,0),IF(VLOOKUP(A611,'装备掉落'!$A$29:$H$34,8,TRUE)&gt;0,7,0))</x:f>
        <x:v>7</x:v>
      </x:c>
      <x:c r="T611" s="119" t="n">
        <x:f>MIN(7,S611+'经济参数'!$E$70)</x:f>
        <x:v>7</x:v>
      </x:c>
      <x:c r="U611" s="119" t="n">
        <x:f>MIN(7,S611+'经济参数'!$E$71)</x:f>
        <x:v>7</x:v>
      </x:c>
      <x:c r="V611" s="119" t="n">
        <x:f>IF(H611&gt;=('难度参数'!$E$52),1,0)+IF(H611&gt;=('难度参数'!$E$52+'难度参数'!$E$53),1,0)+IF(H611&gt;=('难度参数'!$E$52+'难度参数'!$E$53+'难度参数'!$E$54),1,0)+IF(H611&gt;=('难度参数'!$E$52+'难度参数'!$E$53+'难度参数'!$E$54+'难度参数'!$E$55),1,0)+IF(H611&gt;=('难度参数'!$E$52+'难度参数'!$E$53+'难度参数'!$E$54+'难度参数'!$E$55+'难度参数'!$E$56),1,0)+IF(H611&gt;=('难度参数'!$E$52+'难度参数'!$E$53+'难度参数'!$E$54+'难度参数'!$E$55+'难度参数'!$E$56+'难度参数'!$E$57),1,0)</x:f>
        <x:v>6</x:v>
      </x:c>
      <x:c r="W611" s="62" t="str">
        <x:f>IF(L611&gt;'难度参数'!$E$51,"仅出怪已超目标","还需实测")</x:f>
        <x:v>仅出怪已超目标</x:v>
      </x:c>
      <x:c r="X611" s="119" t="n">
        <x:f>IF(1&gt;D611,0,MAX(2,MIN('难度参数'!$E$12,ROUND(('难度参数'!$E$18*POWER(A611,'难度参数'!$E$19)/D611*(0.85+0.3*(1-1)/MAX(1,D611-1))),0)+F611)))</x:f>
        <x:v>38</x:v>
      </x:c>
      <x:c r="Y611" s="119" t="n">
        <x:f>IF(1&gt;D611,0,ROUND(('难度参数'!$E$13*POWER(A611,'难度参数'!$E$20)*MIN('难度参数'!$E$23,1+MAX(0,A611-'难度参数'!$E$21)*'难度参数'!$E$22))*(36+1*7)/(36+7*(D611+1)/2)*E611,0))</x:f>
        <x:v>9130</x:v>
      </x:c>
      <x:c r="Z611" s="119" t="n">
        <x:f>IF(X611=0,0,(X611-IF(1=D611,1,0))*ROUND(Y611*VLOOKUP(INDEX('章节与怪物'!$E$31:$K$37,B611,1),'章节与怪物'!$A$41:$F$44,2,FALSE),0)+IF(1=D611,ROUND(Y611*'难度参数'!$E$28*'章节与怪物'!$E$17,0),0))</x:f>
        <x:v>249812</x:v>
      </x:c>
      <x:c r="AA611" s="119" t="n">
        <x:f>IF(X611=0,0,(X611-IF(1=D611,1,0))*VLOOKUP(INDEX('章节与怪物'!$E$31:$K$37,B611,1),'章节与怪物'!$A$41:$F$44,4,FALSE)+IF(1=D611,'难度参数'!$E$30,0))</x:f>
        <x:v>760</x:v>
      </x:c>
      <x:c r="AB611" s="119" t="n">
        <x:f>IF(2&gt;D611,0,MAX(2,MIN('难度参数'!$E$12,ROUND(('难度参数'!$E$18*POWER(A611,'难度参数'!$E$19)/D611*(0.85+0.3*(2-1)/MAX(1,D611-1))),0)+F611)))</x:f>
        <x:v>40</x:v>
      </x:c>
      <x:c r="AC611" s="119" t="n">
        <x:f>IF(2&gt;D611,0,ROUND(('难度参数'!$E$13*POWER(A611,'难度参数'!$E$20)*MIN('难度参数'!$E$23,1+MAX(0,A611-'难度参数'!$E$21)*'难度参数'!$E$22))*(36+2*7)/(36+7*(D611+1)/2)*E611,0))</x:f>
        <x:v>10617</x:v>
      </x:c>
      <x:c r="AD611" s="119" t="n">
        <x:f>IF(AB611=0,0,(AB611-IF(2=D611,1,0))*ROUND(AC611*VLOOKUP(INDEX('章节与怪物'!$E$31:$K$37,B611,2),'章节与怪物'!$A$41:$F$44,2,FALSE),0)+IF(2=D611,ROUND(AC611*'难度参数'!$E$28*'章节与怪物'!$E$17,0),0))</x:f>
        <x:v>424680</x:v>
      </x:c>
      <x:c r="AE611" s="119" t="n">
        <x:f>IF(AB611=0,0,(AB611-IF(2=D611,1,0))*VLOOKUP(INDEX('章节与怪物'!$E$31:$K$37,B611,2),'章节与怪物'!$A$41:$F$44,4,FALSE)+IF(2=D611,'难度参数'!$E$30,0))</x:f>
        <x:v>720</x:v>
      </x:c>
      <x:c r="AF611" s="119" t="n">
        <x:f>IF(3&gt;D611,0,MAX(2,MIN('难度参数'!$E$12,ROUND(('难度参数'!$E$18*POWER(A611,'难度参数'!$E$19)/D611*(0.85+0.3*(3-1)/MAX(1,D611-1))),0)+F611)))</x:f>
        <x:v>42</x:v>
      </x:c>
      <x:c r="AG611" s="119" t="n">
        <x:f>IF(3&gt;D611,0,ROUND(('难度参数'!$E$13*POWER(A611,'难度参数'!$E$20)*MIN('难度参数'!$E$23,1+MAX(0,A611-'难度参数'!$E$21)*'难度参数'!$E$22))*(36+3*7)/(36+7*(D611+1)/2)*E611,0))</x:f>
        <x:v>12103</x:v>
      </x:c>
      <x:c r="AH611" s="119" t="n">
        <x:f>IF(AF611=0,0,(AF611-IF(3=D611,1,0))*ROUND(AG611*VLOOKUP(INDEX('章节与怪物'!$E$31:$K$37,B611,3),'章节与怪物'!$A$41:$F$44,2,FALSE),0)+IF(3=D611,ROUND(AG611*'难度参数'!$E$28*'章节与怪物'!$E$17,0),0))</x:f>
        <x:v>864150</x:v>
      </x:c>
      <x:c r="AI611" s="119" t="n">
        <x:f>IF(AF611=0,0,(AF611-IF(3=D611,1,0))*VLOOKUP(INDEX('章节与怪物'!$E$31:$K$37,B611,3),'章节与怪物'!$A$41:$F$44,4,FALSE)+IF(3=D611,'难度参数'!$E$30,0))</x:f>
        <x:v>1176</x:v>
      </x:c>
      <x:c r="AJ611" s="119" t="n">
        <x:f>IF(4&gt;D611,0,MAX(2,MIN('难度参数'!$E$12,ROUND(('难度参数'!$E$18*POWER(A611,'难度参数'!$E$19)/D611*(0.85+0.3*(4-1)/MAX(1,D611-1))),0)+F611)))</x:f>
        <x:v>44</x:v>
      </x:c>
      <x:c r="AK611" s="119" t="n">
        <x:f>IF(4&gt;D611,0,ROUND(('难度参数'!$E$13*POWER(A611,'难度参数'!$E$20)*MIN('难度参数'!$E$23,1+MAX(0,A611-'难度参数'!$E$21)*'难度参数'!$E$22))*(36+4*7)/(36+7*(D611+1)/2)*E611,0))</x:f>
        <x:v>13589</x:v>
      </x:c>
      <x:c r="AL611" s="119" t="n">
        <x:f>IF(AJ611=0,0,(AJ611-IF(4=D611,1,0))*ROUND(AK611*VLOOKUP(INDEX('章节与怪物'!$E$31:$K$37,B611,4),'章节与怪物'!$A$41:$F$44,2,FALSE),0)+IF(4=D611,ROUND(AK611*'难度参数'!$E$28*'章节与怪物'!$E$17,0),0))</x:f>
        <x:v>807180</x:v>
      </x:c>
      <x:c r="AM611" s="119" t="n">
        <x:f>IF(AJ611=0,0,(AJ611-IF(4=D611,1,0))*VLOOKUP(INDEX('章节与怪物'!$E$31:$K$37,B611,4),'章节与怪物'!$A$41:$F$44,4,FALSE)+IF(4=D611,'难度参数'!$E$30,0))</x:f>
        <x:v>1496</x:v>
      </x:c>
      <x:c r="AN611" s="119" t="n">
        <x:f>IF(5&gt;D611,0,MAX(2,MIN('难度参数'!$E$12,ROUND(('难度参数'!$E$18*POWER(A611,'难度参数'!$E$19)/D611*(0.85+0.3*(5-1)/MAX(1,D611-1))),0)+F611)))</x:f>
        <x:v>47</x:v>
      </x:c>
      <x:c r="AO611" s="119" t="n">
        <x:f>IF(5&gt;D611,0,ROUND(('难度参数'!$E$13*POWER(A611,'难度参数'!$E$20)*MIN('难度参数'!$E$23,1+MAX(0,A611-'难度参数'!$E$21)*'难度参数'!$E$22))*(36+5*7)/(36+7*(D611+1)/2)*E611,0))</x:f>
        <x:v>15076</x:v>
      </x:c>
      <x:c r="AP611" s="119" t="n">
        <x:f>IF(AN611=0,0,(AN611-IF(5=D611,1,0))*ROUND(AO611*VLOOKUP(INDEX('章节与怪物'!$E$31:$K$37,B611,5),'章节与怪物'!$A$41:$F$44,2,FALSE),0)+IF(5=D611,ROUND(AO611*'难度参数'!$E$28*'章节与怪物'!$E$17,0),0))</x:f>
        <x:v>708572</x:v>
      </x:c>
      <x:c r="AQ611" s="119" t="n">
        <x:f>IF(AN611=0,0,(AN611-IF(5=D611,1,0))*VLOOKUP(INDEX('章节与怪物'!$E$31:$K$37,B611,5),'章节与怪物'!$A$41:$F$44,4,FALSE)+IF(5=D611,'难度参数'!$E$30,0))</x:f>
        <x:v>846</x:v>
      </x:c>
      <x:c r="AR611" s="119" t="n">
        <x:f>IF(6&gt;D611,0,MAX(2,MIN('难度参数'!$E$12,ROUND(('难度参数'!$E$18*POWER(A611,'难度参数'!$E$19)/D611*(0.85+0.3*(6-1)/MAX(1,D611-1))),0)+F611)))</x:f>
        <x:v>49</x:v>
      </x:c>
      <x:c r="AS611" s="119" t="n">
        <x:f>IF(6&gt;D611,0,ROUND(('难度参数'!$E$13*POWER(A611,'难度参数'!$E$20)*MIN('难度参数'!$E$23,1+MAX(0,A611-'难度参数'!$E$21)*'难度参数'!$E$22))*(36+6*7)/(36+7*(D611+1)/2)*E611,0))</x:f>
        <x:v>16562</x:v>
      </x:c>
      <x:c r="AT611" s="119" t="n">
        <x:f>IF(AR611=0,0,(AR611-IF(6=D611,1,0))*ROUND(AS611*VLOOKUP(INDEX('章节与怪物'!$E$31:$K$37,B611,6),'章节与怪物'!$A$41:$F$44,2,FALSE),0)+IF(6=D611,ROUND(AS611*'难度参数'!$E$28*'章节与怪物'!$E$17,0),0))</x:f>
        <x:v>1379595</x:v>
      </x:c>
      <x:c r="AU611" s="119" t="n">
        <x:f>IF(AR611=0,0,(AR611-IF(6=D611,1,0))*VLOOKUP(INDEX('章节与怪物'!$E$31:$K$37,B611,6),'章节与怪物'!$A$41:$F$44,4,FALSE)+IF(6=D611,'难度参数'!$E$30,0))</x:f>
        <x:v>1372</x:v>
      </x:c>
      <x:c r="AV611" s="119" t="n">
        <x:f>IF(7&gt;D611,0,MAX(2,MIN('难度参数'!$E$12,ROUND(('难度参数'!$E$18*POWER(A611,'难度参数'!$E$19)/D611*(0.85+0.3*(7-1)/MAX(1,D611-1))),0)+F611)))</x:f>
        <x:v>51</x:v>
      </x:c>
      <x:c r="AW611" s="119" t="n">
        <x:f>IF(7&gt;D611,0,ROUND(('难度参数'!$E$13*POWER(A611,'难度参数'!$E$20)*MIN('难度参数'!$E$23,1+MAX(0,A611-'难度参数'!$E$21)*'难度参数'!$E$22))*(36+7*7)/(36+7*(D611+1)/2)*E611,0))</x:f>
        <x:v>18048</x:v>
      </x:c>
      <x:c r="AX611" s="119" t="n">
        <x:f>IF(AV611=0,0,(AV611-IF(7=D611,1,0))*ROUND(AW611*VLOOKUP(INDEX('章节与怪物'!$E$31:$K$37,B611,7),'章节与怪物'!$A$41:$F$44,2,FALSE),0)+IF(7=D611,ROUND(AW611*'难度参数'!$E$28*'章节与怪物'!$E$17,0),0))</x:f>
        <x:v>1340976</x:v>
      </x:c>
      <x:c r="AY611" s="119" t="n">
        <x:f>IF(AV611=0,0,(AV611-IF(7=D611,1,0))*VLOOKUP(INDEX('章节与怪物'!$E$31:$K$37,B611,7),'章节与怪物'!$A$41:$F$44,4,FALSE)+IF(7=D611,'难度参数'!$E$30,0))</x:f>
        <x:v>1900</x:v>
      </x:c>
    </x:row>
    <x:row r="612" ht="23" customHeight="1">
      <x:c r="A612" s="119" t="n">
        <x:v>606</x:v>
      </x:c>
      <x:c r="B612" s="119" t="n">
        <x:f>MOD(INT((A612-1)/5),7)+1</x:f>
        <x:v>3</x:v>
      </x:c>
      <x:c r="C612" s="62" t="str">
        <x:f>INDEX('章节与怪物'!$B$31:$B$37,B612)</x:f>
        <x:v>腐沼秘林</x:v>
      </x:c>
      <x:c r="D612" s="119" t="n">
        <x:f>MIN('难度参数'!$E$8,MAX('难度参数'!$E$7,A612))</x:f>
        <x:v>7</x:v>
      </x:c>
      <x:c r="E612" s="106" t="n">
        <x:v>1</x:v>
      </x:c>
      <x:c r="F612" s="106" t="n">
        <x:v>0</x:v>
      </x:c>
      <x:c r="G612" s="106" t="n">
        <x:v>1</x:v>
      </x:c>
      <x:c r="H612" s="119" t="n">
        <x:f>SUM(X612,AB612,AF612,AJ612,AN612,AR612,AV612)</x:f>
        <x:v>311</x:v>
      </x:c>
      <x:c r="I612" s="119" t="n">
        <x:f>SUM(Z612,AD612,AH612,AL612,AP612,AT612,AX612)</x:f>
        <x:v>5561467</x:v>
      </x:c>
      <x:c r="J612" s="119" t="n">
        <x:f>ROUND(INDEX(X612:AY612,1,(D612-1)*4+2)*'难度参数'!$E$28*'章节与怪物'!$E$17,0)</x:f>
        <x:v>122876</x:v>
      </x:c>
      <x:c r="K612" s="119" t="n">
        <x:f>SUM(AA612,AE612,AI612,AM612,AQ612,AU612,AY612)</x:f>
        <x:v>8368</x:v>
      </x:c>
      <x:c r="L612" s="62" t="n">
        <x:f>H612*(ROUNDUP('难度参数'!$E$24/('难度参数'!$E$26*'难度参数'!$E$27),0)*'难度参数'!$E$26)/60</x:f>
        <x:v>4.1466666666666665</x:v>
      </x:c>
      <x:c r="M612" s="62" t="n">
        <x:f>L612+D612*('难度参数'!$E$49+'难度参数'!$E$50)/60</x:f>
        <x:v>5.3133333333333335</x:v>
      </x:c>
      <x:c r="N612" s="119" t="n">
        <x:f>ROUNDDOWN(('经济参数'!$E$20+A612*'经济参数'!$E$21)*G612,0)</x:f>
        <x:v>12300</x:v>
      </x:c>
      <x:c r="O612" s="119" t="n">
        <x:f>ROUNDDOWN(MIN('经济参数'!$E$24,'经济参数'!$E$22+A612*'经济参数'!$E$23)*G612,0)</x:f>
        <x:v>0</x:v>
      </x:c>
      <x:c r="P612" s="119" t="n">
        <x:f>ROUNDDOWN((IF(A612&gt;='材料与任务'!$E$31,'材料与任务'!$E$32,IF(A612&gt;='材料与任务'!$E$25,'材料与任务'!$E$26,IF(A612&gt;='材料与任务'!$E$19,'材料与任务'!$E$20,IF(A612&gt;='材料与任务'!$E$13,'材料与任务'!$E$14,'材料与任务'!$E$8)))))*G612,0)</x:f>
        <x:v>6</x:v>
      </x:c>
      <x:c r="Q612" s="119" t="n">
        <x:f>ROUNDDOWN((IF(A612&gt;='材料与任务'!$E$31,'材料与任务'!$E$33,IF(A612&gt;='材料与任务'!$E$25,'材料与任务'!$E$27,IF(A612&gt;='材料与任务'!$E$19,'材料与任务'!$E$21,IF(A612&gt;='材料与任务'!$E$13,'材料与任务'!$E$15,'材料与任务'!$E$9)))))*G612,0)</x:f>
        <x:v>3</x:v>
      </x:c>
      <x:c r="R612" s="110" t="n">
        <x:f>'装备掉落'!$B$38</x:f>
        <x:v>0.6872058758851213</x:v>
      </x:c>
      <x:c r="S612" s="119" t="n">
        <x:f>MAX(IF(VLOOKUP(A612,'装备掉落'!$A$29:$H$34,2,TRUE)&gt;0,1,0),IF(VLOOKUP(A612,'装备掉落'!$A$29:$H$34,3,TRUE)&gt;0,2,0),IF(VLOOKUP(A612,'装备掉落'!$A$29:$H$34,4,TRUE)&gt;0,3,0),IF(VLOOKUP(A612,'装备掉落'!$A$29:$H$34,5,TRUE)&gt;0,4,0),IF(VLOOKUP(A612,'装备掉落'!$A$29:$H$34,6,TRUE)&gt;0,5,0),IF(VLOOKUP(A612,'装备掉落'!$A$29:$H$34,7,TRUE)&gt;0,6,0),IF(VLOOKUP(A612,'装备掉落'!$A$29:$H$34,8,TRUE)&gt;0,7,0))</x:f>
        <x:v>7</x:v>
      </x:c>
      <x:c r="T612" s="119" t="n">
        <x:f>MIN(7,S612+'经济参数'!$E$70)</x:f>
        <x:v>7</x:v>
      </x:c>
      <x:c r="U612" s="119" t="n">
        <x:f>MIN(7,S612+'经济参数'!$E$71)</x:f>
        <x:v>7</x:v>
      </x:c>
      <x:c r="V612" s="119" t="n">
        <x:f>IF(H612&gt;=('难度参数'!$E$52),1,0)+IF(H612&gt;=('难度参数'!$E$52+'难度参数'!$E$53),1,0)+IF(H612&gt;=('难度参数'!$E$52+'难度参数'!$E$53+'难度参数'!$E$54),1,0)+IF(H612&gt;=('难度参数'!$E$52+'难度参数'!$E$53+'难度参数'!$E$54+'难度参数'!$E$55),1,0)+IF(H612&gt;=('难度参数'!$E$52+'难度参数'!$E$53+'难度参数'!$E$54+'难度参数'!$E$55+'难度参数'!$E$56),1,0)+IF(H612&gt;=('难度参数'!$E$52+'难度参数'!$E$53+'难度参数'!$E$54+'难度参数'!$E$55+'难度参数'!$E$56+'难度参数'!$E$57),1,0)</x:f>
        <x:v>6</x:v>
      </x:c>
      <x:c r="W612" s="62" t="str">
        <x:f>IF(L612&gt;'难度参数'!$E$51,"仅出怪已超目标","还需实测")</x:f>
        <x:v>仅出怪已超目标</x:v>
      </x:c>
      <x:c r="X612" s="119" t="n">
        <x:f>IF(1&gt;D612,0,MAX(2,MIN('难度参数'!$E$12,ROUND(('难度参数'!$E$18*POWER(A612,'难度参数'!$E$19)/D612*(0.85+0.3*(1-1)/MAX(1,D612-1))),0)+F612)))</x:f>
        <x:v>38</x:v>
      </x:c>
      <x:c r="Y612" s="119" t="n">
        <x:f>IF(1&gt;D612,0,ROUND(('难度参数'!$E$13*POWER(A612,'难度参数'!$E$20)*MIN('难度参数'!$E$23,1+MAX(0,A612-'难度参数'!$E$21)*'难度参数'!$E$22))*(36+1*7)/(36+7*(D612+1)/2)*E612,0))</x:f>
        <x:v>9141</x:v>
      </x:c>
      <x:c r="Z612" s="119" t="n">
        <x:f>IF(X612=0,0,(X612-IF(1=D612,1,0))*ROUND(Y612*VLOOKUP(INDEX('章节与怪物'!$E$31:$K$37,B612,1),'章节与怪物'!$A$41:$F$44,2,FALSE),0)+IF(1=D612,ROUND(Y612*'难度参数'!$E$28*'章节与怪物'!$E$17,0),0))</x:f>
        <x:v>347358</x:v>
      </x:c>
      <x:c r="AA612" s="119" t="n">
        <x:f>IF(X612=0,0,(X612-IF(1=D612,1,0))*VLOOKUP(INDEX('章节与怪物'!$E$31:$K$37,B612,1),'章节与怪物'!$A$41:$F$44,4,FALSE)+IF(1=D612,'难度参数'!$E$30,0))</x:f>
        <x:v>684</x:v>
      </x:c>
      <x:c r="AB612" s="119" t="n">
        <x:f>IF(2&gt;D612,0,MAX(2,MIN('难度参数'!$E$12,ROUND(('难度参数'!$E$18*POWER(A612,'难度参数'!$E$19)/D612*(0.85+0.3*(2-1)/MAX(1,D612-1))),0)+F612)))</x:f>
        <x:v>40</x:v>
      </x:c>
      <x:c r="AC612" s="119" t="n">
        <x:f>IF(2&gt;D612,0,ROUND(('难度参数'!$E$13*POWER(A612,'难度参数'!$E$20)*MIN('难度参数'!$E$23,1+MAX(0,A612-'难度参数'!$E$21)*'难度参数'!$E$22))*(36+2*7)/(36+7*(D612+1)/2)*E612,0))</x:f>
        <x:v>10629</x:v>
      </x:c>
      <x:c r="AD612" s="119" t="n">
        <x:f>IF(AB612=0,0,(AB612-IF(2=D612,1,0))*ROUND(AC612*VLOOKUP(INDEX('章节与怪物'!$E$31:$K$37,B612,2),'章节与怪物'!$A$41:$F$44,2,FALSE),0)+IF(2=D612,ROUND(AC612*'难度参数'!$E$28*'章节与怪物'!$E$17,0),0))</x:f>
        <x:v>306120</x:v>
      </x:c>
      <x:c r="AE612" s="119" t="n">
        <x:f>IF(AB612=0,0,(AB612-IF(2=D612,1,0))*VLOOKUP(INDEX('章节与怪物'!$E$31:$K$37,B612,2),'章节与怪物'!$A$41:$F$44,4,FALSE)+IF(2=D612,'难度参数'!$E$30,0))</x:f>
        <x:v>800</x:v>
      </x:c>
      <x:c r="AF612" s="119" t="n">
        <x:f>IF(3&gt;D612,0,MAX(2,MIN('难度参数'!$E$12,ROUND(('难度参数'!$E$18*POWER(A612,'难度参数'!$E$19)/D612*(0.85+0.3*(3-1)/MAX(1,D612-1))),0)+F612)))</x:f>
        <x:v>42</x:v>
      </x:c>
      <x:c r="AG612" s="119" t="n">
        <x:f>IF(3&gt;D612,0,ROUND(('难度参数'!$E$13*POWER(A612,'难度参数'!$E$20)*MIN('难度参数'!$E$23,1+MAX(0,A612-'难度参数'!$E$21)*'难度参数'!$E$22))*(36+3*7)/(36+7*(D612+1)/2)*E612,0))</x:f>
        <x:v>12117</x:v>
      </x:c>
      <x:c r="AH612" s="119" t="n">
        <x:f>IF(AF612=0,0,(AF612-IF(3=D612,1,0))*ROUND(AG612*VLOOKUP(INDEX('章节与怪物'!$E$31:$K$37,B612,3),'章节与怪物'!$A$41:$F$44,2,FALSE),0)+IF(3=D612,ROUND(AG612*'难度参数'!$E$28*'章节与怪物'!$E$17,0),0))</x:f>
        <x:v>865158</x:v>
      </x:c>
      <x:c r="AI612" s="119" t="n">
        <x:f>IF(AF612=0,0,(AF612-IF(3=D612,1,0))*VLOOKUP(INDEX('章节与怪物'!$E$31:$K$37,B612,3),'章节与怪物'!$A$41:$F$44,4,FALSE)+IF(3=D612,'难度参数'!$E$30,0))</x:f>
        <x:v>1176</x:v>
      </x:c>
      <x:c r="AJ612" s="119" t="n">
        <x:f>IF(4&gt;D612,0,MAX(2,MIN('难度参数'!$E$12,ROUND(('难度参数'!$E$18*POWER(A612,'难度参数'!$E$19)/D612*(0.85+0.3*(4-1)/MAX(1,D612-1))),0)+F612)))</x:f>
        <x:v>44</x:v>
      </x:c>
      <x:c r="AK612" s="119" t="n">
        <x:f>IF(4&gt;D612,0,ROUND(('难度参数'!$E$13*POWER(A612,'难度参数'!$E$20)*MIN('难度参数'!$E$23,1+MAX(0,A612-'难度参数'!$E$21)*'难度参数'!$E$22))*(36+4*7)/(36+7*(D612+1)/2)*E612,0))</x:f>
        <x:v>13605</x:v>
      </x:c>
      <x:c r="AL612" s="119" t="n">
        <x:f>IF(AJ612=0,0,(AJ612-IF(4=D612,1,0))*ROUND(AK612*VLOOKUP(INDEX('章节与怪物'!$E$31:$K$37,B612,4),'章节与怪物'!$A$41:$F$44,2,FALSE),0)+IF(4=D612,ROUND(AK612*'难度参数'!$E$28*'章节与怪物'!$E$17,0),0))</x:f>
        <x:v>808148</x:v>
      </x:c>
      <x:c r="AM612" s="119" t="n">
        <x:f>IF(AJ612=0,0,(AJ612-IF(4=D612,1,0))*VLOOKUP(INDEX('章节与怪物'!$E$31:$K$37,B612,4),'章节与怪物'!$A$41:$F$44,4,FALSE)+IF(4=D612,'难度参数'!$E$30,0))</x:f>
        <x:v>1496</x:v>
      </x:c>
      <x:c r="AN612" s="119" t="n">
        <x:f>IF(5&gt;D612,0,MAX(2,MIN('难度参数'!$E$12,ROUND(('难度参数'!$E$18*POWER(A612,'难度参数'!$E$19)/D612*(0.85+0.3*(5-1)/MAX(1,D612-1))),0)+F612)))</x:f>
        <x:v>47</x:v>
      </x:c>
      <x:c r="AO612" s="119" t="n">
        <x:f>IF(5&gt;D612,0,ROUND(('难度参数'!$E$13*POWER(A612,'难度参数'!$E$20)*MIN('难度参数'!$E$23,1+MAX(0,A612-'难度参数'!$E$21)*'难度参数'!$E$22))*(36+5*7)/(36+7*(D612+1)/2)*E612,0))</x:f>
        <x:v>15094</x:v>
      </x:c>
      <x:c r="AP612" s="119" t="n">
        <x:f>IF(AN612=0,0,(AN612-IF(5=D612,1,0))*ROUND(AO612*VLOOKUP(INDEX('章节与怪物'!$E$31:$K$37,B612,5),'章节与怪物'!$A$41:$F$44,2,FALSE),0)+IF(5=D612,ROUND(AO612*'难度参数'!$E$28*'章节与怪物'!$E$17,0),0))</x:f>
        <x:v>510796</x:v>
      </x:c>
      <x:c r="AQ612" s="119" t="n">
        <x:f>IF(AN612=0,0,(AN612-IF(5=D612,1,0))*VLOOKUP(INDEX('章节与怪物'!$E$31:$K$37,B612,5),'章节与怪物'!$A$41:$F$44,4,FALSE)+IF(5=D612,'难度参数'!$E$30,0))</x:f>
        <x:v>940</x:v>
      </x:c>
      <x:c r="AR612" s="119" t="n">
        <x:f>IF(6&gt;D612,0,MAX(2,MIN('难度参数'!$E$12,ROUND(('难度参数'!$E$18*POWER(A612,'难度参数'!$E$19)/D612*(0.85+0.3*(6-1)/MAX(1,D612-1))),0)+F612)))</x:f>
        <x:v>49</x:v>
      </x:c>
      <x:c r="AS612" s="119" t="n">
        <x:f>IF(6&gt;D612,0,ROUND(('难度参数'!$E$13*POWER(A612,'难度参数'!$E$20)*MIN('难度参数'!$E$23,1+MAX(0,A612-'难度参数'!$E$21)*'难度参数'!$E$22))*(36+6*7)/(36+7*(D612+1)/2)*E612,0))</x:f>
        <x:v>16582</x:v>
      </x:c>
      <x:c r="AT612" s="119" t="n">
        <x:f>IF(AR612=0,0,(AR612-IF(6=D612,1,0))*ROUND(AS612*VLOOKUP(INDEX('章节与怪物'!$E$31:$K$37,B612,6),'章节与怪物'!$A$41:$F$44,2,FALSE),0)+IF(6=D612,ROUND(AS612*'难度参数'!$E$28*'章节与怪物'!$E$17,0),0))</x:f>
        <x:v>1381261</x:v>
      </x:c>
      <x:c r="AU612" s="119" t="n">
        <x:f>IF(AR612=0,0,(AR612-IF(6=D612,1,0))*VLOOKUP(INDEX('章节与怪物'!$E$31:$K$37,B612,6),'章节与怪物'!$A$41:$F$44,4,FALSE)+IF(6=D612,'难度参数'!$E$30,0))</x:f>
        <x:v>1372</x:v>
      </x:c>
      <x:c r="AV612" s="119" t="n">
        <x:f>IF(7&gt;D612,0,MAX(2,MIN('难度参数'!$E$12,ROUND(('难度参数'!$E$18*POWER(A612,'难度参数'!$E$19)/D612*(0.85+0.3*(7-1)/MAX(1,D612-1))),0)+F612)))</x:f>
        <x:v>51</x:v>
      </x:c>
      <x:c r="AW612" s="119" t="n">
        <x:f>IF(7&gt;D612,0,ROUND(('难度参数'!$E$13*POWER(A612,'难度参数'!$E$20)*MIN('难度参数'!$E$23,1+MAX(0,A612-'难度参数'!$E$21)*'难度参数'!$E$22))*(36+7*7)/(36+7*(D612+1)/2)*E612,0))</x:f>
        <x:v>18070</x:v>
      </x:c>
      <x:c r="AX612" s="119" t="n">
        <x:f>IF(AV612=0,0,(AV612-IF(7=D612,1,0))*ROUND(AW612*VLOOKUP(INDEX('章节与怪物'!$E$31:$K$37,B612,7),'章节与怪物'!$A$41:$F$44,2,FALSE),0)+IF(7=D612,ROUND(AW612*'难度参数'!$E$28*'章节与怪物'!$E$17,0),0))</x:f>
        <x:v>1342626</x:v>
      </x:c>
      <x:c r="AY612" s="119" t="n">
        <x:f>IF(AV612=0,0,(AV612-IF(7=D612,1,0))*VLOOKUP(INDEX('章节与怪物'!$E$31:$K$37,B612,7),'章节与怪物'!$A$41:$F$44,4,FALSE)+IF(7=D612,'难度参数'!$E$30,0))</x:f>
        <x:v>1900</x:v>
      </x:c>
    </x:row>
    <x:row r="613" ht="23" customHeight="1">
      <x:c r="A613" s="119" t="n">
        <x:v>607</x:v>
      </x:c>
      <x:c r="B613" s="119" t="n">
        <x:f>MOD(INT((A613-1)/5),7)+1</x:f>
        <x:v>3</x:v>
      </x:c>
      <x:c r="C613" s="62" t="str">
        <x:f>INDEX('章节与怪物'!$B$31:$B$37,B613)</x:f>
        <x:v>腐沼秘林</x:v>
      </x:c>
      <x:c r="D613" s="119" t="n">
        <x:f>MIN('难度参数'!$E$8,MAX('难度参数'!$E$7,A613))</x:f>
        <x:v>7</x:v>
      </x:c>
      <x:c r="E613" s="106" t="n">
        <x:v>1</x:v>
      </x:c>
      <x:c r="F613" s="106" t="n">
        <x:v>0</x:v>
      </x:c>
      <x:c r="G613" s="106" t="n">
        <x:v>1</x:v>
      </x:c>
      <x:c r="H613" s="119" t="n">
        <x:f>SUM(X613,AB613,AF613,AJ613,AN613,AR613,AV613)</x:f>
        <x:v>311</x:v>
      </x:c>
      <x:c r="I613" s="119" t="n">
        <x:f>SUM(Z613,AD613,AH613,AL613,AP613,AT613,AX613)</x:f>
        <x:v>5568078</x:v>
      </x:c>
      <x:c r="J613" s="119" t="n">
        <x:f>ROUND(INDEX(X613:AY613,1,(D613-1)*4+2)*'难度参数'!$E$28*'章节与怪物'!$E$17,0)</x:f>
        <x:v>123019</x:v>
      </x:c>
      <x:c r="K613" s="119" t="n">
        <x:f>SUM(AA613,AE613,AI613,AM613,AQ613,AU613,AY613)</x:f>
        <x:v>8368</x:v>
      </x:c>
      <x:c r="L613" s="62" t="n">
        <x:f>H613*(ROUNDUP('难度参数'!$E$24/('难度参数'!$E$26*'难度参数'!$E$27),0)*'难度参数'!$E$26)/60</x:f>
        <x:v>4.1466666666666665</x:v>
      </x:c>
      <x:c r="M613" s="62" t="n">
        <x:f>L613+D613*('难度参数'!$E$49+'难度参数'!$E$50)/60</x:f>
        <x:v>5.3133333333333335</x:v>
      </x:c>
      <x:c r="N613" s="119" t="n">
        <x:f>ROUNDDOWN(('经济参数'!$E$20+A613*'经济参数'!$E$21)*G613,0)</x:f>
        <x:v>12320</x:v>
      </x:c>
      <x:c r="O613" s="119" t="n">
        <x:f>ROUNDDOWN(MIN('经济参数'!$E$24,'经济参数'!$E$22+A613*'经济参数'!$E$23)*G613,0)</x:f>
        <x:v>0</x:v>
      </x:c>
      <x:c r="P613" s="119" t="n">
        <x:f>ROUNDDOWN((IF(A613&gt;='材料与任务'!$E$31,'材料与任务'!$E$32,IF(A613&gt;='材料与任务'!$E$25,'材料与任务'!$E$26,IF(A613&gt;='材料与任务'!$E$19,'材料与任务'!$E$20,IF(A613&gt;='材料与任务'!$E$13,'材料与任务'!$E$14,'材料与任务'!$E$8)))))*G613,0)</x:f>
        <x:v>6</x:v>
      </x:c>
      <x:c r="Q613" s="119" t="n">
        <x:f>ROUNDDOWN((IF(A613&gt;='材料与任务'!$E$31,'材料与任务'!$E$33,IF(A613&gt;='材料与任务'!$E$25,'材料与任务'!$E$27,IF(A613&gt;='材料与任务'!$E$19,'材料与任务'!$E$21,IF(A613&gt;='材料与任务'!$E$13,'材料与任务'!$E$15,'材料与任务'!$E$9)))))*G613,0)</x:f>
        <x:v>3</x:v>
      </x:c>
      <x:c r="R613" s="110" t="n">
        <x:f>'装备掉落'!$B$38</x:f>
        <x:v>0.6872058758851213</x:v>
      </x:c>
      <x:c r="S613" s="119" t="n">
        <x:f>MAX(IF(VLOOKUP(A613,'装备掉落'!$A$29:$H$34,2,TRUE)&gt;0,1,0),IF(VLOOKUP(A613,'装备掉落'!$A$29:$H$34,3,TRUE)&gt;0,2,0),IF(VLOOKUP(A613,'装备掉落'!$A$29:$H$34,4,TRUE)&gt;0,3,0),IF(VLOOKUP(A613,'装备掉落'!$A$29:$H$34,5,TRUE)&gt;0,4,0),IF(VLOOKUP(A613,'装备掉落'!$A$29:$H$34,6,TRUE)&gt;0,5,0),IF(VLOOKUP(A613,'装备掉落'!$A$29:$H$34,7,TRUE)&gt;0,6,0),IF(VLOOKUP(A613,'装备掉落'!$A$29:$H$34,8,TRUE)&gt;0,7,0))</x:f>
        <x:v>7</x:v>
      </x:c>
      <x:c r="T613" s="119" t="n">
        <x:f>MIN(7,S613+'经济参数'!$E$70)</x:f>
        <x:v>7</x:v>
      </x:c>
      <x:c r="U613" s="119" t="n">
        <x:f>MIN(7,S613+'经济参数'!$E$71)</x:f>
        <x:v>7</x:v>
      </x:c>
      <x:c r="V613" s="119" t="n">
        <x:f>IF(H613&gt;=('难度参数'!$E$52),1,0)+IF(H613&gt;=('难度参数'!$E$52+'难度参数'!$E$53),1,0)+IF(H613&gt;=('难度参数'!$E$52+'难度参数'!$E$53+'难度参数'!$E$54),1,0)+IF(H613&gt;=('难度参数'!$E$52+'难度参数'!$E$53+'难度参数'!$E$54+'难度参数'!$E$55),1,0)+IF(H613&gt;=('难度参数'!$E$52+'难度参数'!$E$53+'难度参数'!$E$54+'难度参数'!$E$55+'难度参数'!$E$56),1,0)+IF(H613&gt;=('难度参数'!$E$52+'难度参数'!$E$53+'难度参数'!$E$54+'难度参数'!$E$55+'难度参数'!$E$56+'难度参数'!$E$57),1,0)</x:f>
        <x:v>6</x:v>
      </x:c>
      <x:c r="W613" s="62" t="str">
        <x:f>IF(L613&gt;'难度参数'!$E$51,"仅出怪已超目标","还需实测")</x:f>
        <x:v>仅出怪已超目标</x:v>
      </x:c>
      <x:c r="X613" s="119" t="n">
        <x:f>IF(1&gt;D613,0,MAX(2,MIN('难度参数'!$E$12,ROUND(('难度参数'!$E$18*POWER(A613,'难度参数'!$E$19)/D613*(0.85+0.3*(1-1)/MAX(1,D613-1))),0)+F613)))</x:f>
        <x:v>38</x:v>
      </x:c>
      <x:c r="Y613" s="119" t="n">
        <x:f>IF(1&gt;D613,0,ROUND(('难度参数'!$E$13*POWER(A613,'难度参数'!$E$20)*MIN('难度参数'!$E$23,1+MAX(0,A613-'难度参数'!$E$21)*'难度参数'!$E$22))*(36+1*7)/(36+7*(D613+1)/2)*E613,0))</x:f>
        <x:v>9152</x:v>
      </x:c>
      <x:c r="Z613" s="119" t="n">
        <x:f>IF(X613=0,0,(X613-IF(1=D613,1,0))*ROUND(Y613*VLOOKUP(INDEX('章节与怪物'!$E$31:$K$37,B613,1),'章节与怪物'!$A$41:$F$44,2,FALSE),0)+IF(1=D613,ROUND(Y613*'难度参数'!$E$28*'章节与怪物'!$E$17,0),0))</x:f>
        <x:v>347776</x:v>
      </x:c>
      <x:c r="AA613" s="119" t="n">
        <x:f>IF(X613=0,0,(X613-IF(1=D613,1,0))*VLOOKUP(INDEX('章节与怪物'!$E$31:$K$37,B613,1),'章节与怪物'!$A$41:$F$44,4,FALSE)+IF(1=D613,'难度参数'!$E$30,0))</x:f>
        <x:v>684</x:v>
      </x:c>
      <x:c r="AB613" s="119" t="n">
        <x:f>IF(2&gt;D613,0,MAX(2,MIN('难度参数'!$E$12,ROUND(('难度参数'!$E$18*POWER(A613,'难度参数'!$E$19)/D613*(0.85+0.3*(2-1)/MAX(1,D613-1))),0)+F613)))</x:f>
        <x:v>40</x:v>
      </x:c>
      <x:c r="AC613" s="119" t="n">
        <x:f>IF(2&gt;D613,0,ROUND(('难度参数'!$E$13*POWER(A613,'难度参数'!$E$20)*MIN('难度参数'!$E$23,1+MAX(0,A613-'难度参数'!$E$21)*'难度参数'!$E$22))*(36+2*7)/(36+7*(D613+1)/2)*E613,0))</x:f>
        <x:v>10642</x:v>
      </x:c>
      <x:c r="AD613" s="119" t="n">
        <x:f>IF(AB613=0,0,(AB613-IF(2=D613,1,0))*ROUND(AC613*VLOOKUP(INDEX('章节与怪物'!$E$31:$K$37,B613,2),'章节与怪物'!$A$41:$F$44,2,FALSE),0)+IF(2=D613,ROUND(AC613*'难度参数'!$E$28*'章节与怪物'!$E$17,0),0))</x:f>
        <x:v>306480</x:v>
      </x:c>
      <x:c r="AE613" s="119" t="n">
        <x:f>IF(AB613=0,0,(AB613-IF(2=D613,1,0))*VLOOKUP(INDEX('章节与怪物'!$E$31:$K$37,B613,2),'章节与怪物'!$A$41:$F$44,4,FALSE)+IF(2=D613,'难度参数'!$E$30,0))</x:f>
        <x:v>800</x:v>
      </x:c>
      <x:c r="AF613" s="119" t="n">
        <x:f>IF(3&gt;D613,0,MAX(2,MIN('难度参数'!$E$12,ROUND(('难度参数'!$E$18*POWER(A613,'难度参数'!$E$19)/D613*(0.85+0.3*(3-1)/MAX(1,D613-1))),0)+F613)))</x:f>
        <x:v>42</x:v>
      </x:c>
      <x:c r="AG613" s="119" t="n">
        <x:f>IF(3&gt;D613,0,ROUND(('难度参数'!$E$13*POWER(A613,'难度参数'!$E$20)*MIN('难度参数'!$E$23,1+MAX(0,A613-'难度参数'!$E$21)*'难度参数'!$E$22))*(36+3*7)/(36+7*(D613+1)/2)*E613,0))</x:f>
        <x:v>12132</x:v>
      </x:c>
      <x:c r="AH613" s="119" t="n">
        <x:f>IF(AF613=0,0,(AF613-IF(3=D613,1,0))*ROUND(AG613*VLOOKUP(INDEX('章节与怪物'!$E$31:$K$37,B613,3),'章节与怪物'!$A$41:$F$44,2,FALSE),0)+IF(3=D613,ROUND(AG613*'难度参数'!$E$28*'章节与怪物'!$E$17,0),0))</x:f>
        <x:v>866208</x:v>
      </x:c>
      <x:c r="AI613" s="119" t="n">
        <x:f>IF(AF613=0,0,(AF613-IF(3=D613,1,0))*VLOOKUP(INDEX('章节与怪物'!$E$31:$K$37,B613,3),'章节与怪物'!$A$41:$F$44,4,FALSE)+IF(3=D613,'难度参数'!$E$30,0))</x:f>
        <x:v>1176</x:v>
      </x:c>
      <x:c r="AJ613" s="119" t="n">
        <x:f>IF(4&gt;D613,0,MAX(2,MIN('难度参数'!$E$12,ROUND(('难度参数'!$E$18*POWER(A613,'难度参数'!$E$19)/D613*(0.85+0.3*(4-1)/MAX(1,D613-1))),0)+F613)))</x:f>
        <x:v>44</x:v>
      </x:c>
      <x:c r="AK613" s="119" t="n">
        <x:f>IF(4&gt;D613,0,ROUND(('难度参数'!$E$13*POWER(A613,'难度参数'!$E$20)*MIN('难度参数'!$E$23,1+MAX(0,A613-'难度参数'!$E$21)*'难度参数'!$E$22))*(36+4*7)/(36+7*(D613+1)/2)*E613,0))</x:f>
        <x:v>13622</x:v>
      </x:c>
      <x:c r="AL613" s="119" t="n">
        <x:f>IF(AJ613=0,0,(AJ613-IF(4=D613,1,0))*ROUND(AK613*VLOOKUP(INDEX('章节与怪物'!$E$31:$K$37,B613,4),'章节与怪物'!$A$41:$F$44,2,FALSE),0)+IF(4=D613,ROUND(AK613*'难度参数'!$E$28*'章节与怪物'!$E$17,0),0))</x:f>
        <x:v>809160</x:v>
      </x:c>
      <x:c r="AM613" s="119" t="n">
        <x:f>IF(AJ613=0,0,(AJ613-IF(4=D613,1,0))*VLOOKUP(INDEX('章节与怪物'!$E$31:$K$37,B613,4),'章节与怪物'!$A$41:$F$44,4,FALSE)+IF(4=D613,'难度参数'!$E$30,0))</x:f>
        <x:v>1496</x:v>
      </x:c>
      <x:c r="AN613" s="119" t="n">
        <x:f>IF(5&gt;D613,0,MAX(2,MIN('难度参数'!$E$12,ROUND(('难度参数'!$E$18*POWER(A613,'难度参数'!$E$19)/D613*(0.85+0.3*(5-1)/MAX(1,D613-1))),0)+F613)))</x:f>
        <x:v>47</x:v>
      </x:c>
      <x:c r="AO613" s="119" t="n">
        <x:f>IF(5&gt;D613,0,ROUND(('难度参数'!$E$13*POWER(A613,'难度参数'!$E$20)*MIN('难度参数'!$E$23,1+MAX(0,A613-'难度参数'!$E$21)*'难度参数'!$E$22))*(36+5*7)/(36+7*(D613+1)/2)*E613,0))</x:f>
        <x:v>15112</x:v>
      </x:c>
      <x:c r="AP613" s="119" t="n">
        <x:f>IF(AN613=0,0,(AN613-IF(5=D613,1,0))*ROUND(AO613*VLOOKUP(INDEX('章节与怪物'!$E$31:$K$37,B613,5),'章节与怪物'!$A$41:$F$44,2,FALSE),0)+IF(5=D613,ROUND(AO613*'难度参数'!$E$28*'章节与怪物'!$E$17,0),0))</x:f>
        <x:v>511407</x:v>
      </x:c>
      <x:c r="AQ613" s="119" t="n">
        <x:f>IF(AN613=0,0,(AN613-IF(5=D613,1,0))*VLOOKUP(INDEX('章节与怪物'!$E$31:$K$37,B613,5),'章节与怪物'!$A$41:$F$44,4,FALSE)+IF(5=D613,'难度参数'!$E$30,0))</x:f>
        <x:v>940</x:v>
      </x:c>
      <x:c r="AR613" s="119" t="n">
        <x:f>IF(6&gt;D613,0,MAX(2,MIN('难度参数'!$E$12,ROUND(('难度参数'!$E$18*POWER(A613,'难度参数'!$E$19)/D613*(0.85+0.3*(6-1)/MAX(1,D613-1))),0)+F613)))</x:f>
        <x:v>49</x:v>
      </x:c>
      <x:c r="AS613" s="119" t="n">
        <x:f>IF(6&gt;D613,0,ROUND(('难度参数'!$E$13*POWER(A613,'难度参数'!$E$20)*MIN('难度参数'!$E$23,1+MAX(0,A613-'难度参数'!$E$21)*'难度参数'!$E$22))*(36+6*7)/(36+7*(D613+1)/2)*E613,0))</x:f>
        <x:v>16601</x:v>
      </x:c>
      <x:c r="AT613" s="119" t="n">
        <x:f>IF(AR613=0,0,(AR613-IF(6=D613,1,0))*ROUND(AS613*VLOOKUP(INDEX('章节与怪物'!$E$31:$K$37,B613,6),'章节与怪物'!$A$41:$F$44,2,FALSE),0)+IF(6=D613,ROUND(AS613*'难度参数'!$E$28*'章节与怪物'!$E$17,0),0))</x:f>
        <x:v>1382878</x:v>
      </x:c>
      <x:c r="AU613" s="119" t="n">
        <x:f>IF(AR613=0,0,(AR613-IF(6=D613,1,0))*VLOOKUP(INDEX('章节与怪物'!$E$31:$K$37,B613,6),'章节与怪物'!$A$41:$F$44,4,FALSE)+IF(6=D613,'难度参数'!$E$30,0))</x:f>
        <x:v>1372</x:v>
      </x:c>
      <x:c r="AV613" s="119" t="n">
        <x:f>IF(7&gt;D613,0,MAX(2,MIN('难度参数'!$E$12,ROUND(('难度参数'!$E$18*POWER(A613,'难度参数'!$E$19)/D613*(0.85+0.3*(7-1)/MAX(1,D613-1))),0)+F613)))</x:f>
        <x:v>51</x:v>
      </x:c>
      <x:c r="AW613" s="119" t="n">
        <x:f>IF(7&gt;D613,0,ROUND(('难度参数'!$E$13*POWER(A613,'难度参数'!$E$20)*MIN('难度参数'!$E$23,1+MAX(0,A613-'难度参数'!$E$21)*'难度参数'!$E$22))*(36+7*7)/(36+7*(D613+1)/2)*E613,0))</x:f>
        <x:v>18091</x:v>
      </x:c>
      <x:c r="AX613" s="119" t="n">
        <x:f>IF(AV613=0,0,(AV613-IF(7=D613,1,0))*ROUND(AW613*VLOOKUP(INDEX('章节与怪物'!$E$31:$K$37,B613,7),'章节与怪物'!$A$41:$F$44,2,FALSE),0)+IF(7=D613,ROUND(AW613*'难度参数'!$E$28*'章节与怪物'!$E$17,0),0))</x:f>
        <x:v>1344169</x:v>
      </x:c>
      <x:c r="AY613" s="119" t="n">
        <x:f>IF(AV613=0,0,(AV613-IF(7=D613,1,0))*VLOOKUP(INDEX('章节与怪物'!$E$31:$K$37,B613,7),'章节与怪物'!$A$41:$F$44,4,FALSE)+IF(7=D613,'难度参数'!$E$30,0))</x:f>
        <x:v>1900</x:v>
      </x:c>
    </x:row>
    <x:row r="614" ht="23" customHeight="1">
      <x:c r="A614" s="119" t="n">
        <x:v>608</x:v>
      </x:c>
      <x:c r="B614" s="119" t="n">
        <x:f>MOD(INT((A614-1)/5),7)+1</x:f>
        <x:v>3</x:v>
      </x:c>
      <x:c r="C614" s="62" t="str">
        <x:f>INDEX('章节与怪物'!$B$31:$B$37,B614)</x:f>
        <x:v>腐沼秘林</x:v>
      </x:c>
      <x:c r="D614" s="119" t="n">
        <x:f>MIN('难度参数'!$E$8,MAX('难度参数'!$E$7,A614))</x:f>
        <x:v>7</x:v>
      </x:c>
      <x:c r="E614" s="106" t="n">
        <x:v>1</x:v>
      </x:c>
      <x:c r="F614" s="106" t="n">
        <x:v>0</x:v>
      </x:c>
      <x:c r="G614" s="106" t="n">
        <x:v>1</x:v>
      </x:c>
      <x:c r="H614" s="119" t="n">
        <x:f>SUM(X614,AB614,AF614,AJ614,AN614,AR614,AV614)</x:f>
        <x:v>311</x:v>
      </x:c>
      <x:c r="I614" s="119" t="n">
        <x:f>SUM(Z614,AD614,AH614,AL614,AP614,AT614,AX614)</x:f>
        <x:v>5574707</x:v>
      </x:c>
      <x:c r="J614" s="119" t="n">
        <x:f>ROUND(INDEX(X614:AY614,1,(D614-1)*4+2)*'难度参数'!$E$28*'章节与怪物'!$E$17,0)</x:f>
        <x:v>123168</x:v>
      </x:c>
      <x:c r="K614" s="119" t="n">
        <x:f>SUM(AA614,AE614,AI614,AM614,AQ614,AU614,AY614)</x:f>
        <x:v>8368</x:v>
      </x:c>
      <x:c r="L614" s="62" t="n">
        <x:f>H614*(ROUNDUP('难度参数'!$E$24/('难度参数'!$E$26*'难度参数'!$E$27),0)*'难度参数'!$E$26)/60</x:f>
        <x:v>4.1466666666666665</x:v>
      </x:c>
      <x:c r="M614" s="62" t="n">
        <x:f>L614+D614*('难度参数'!$E$49+'难度参数'!$E$50)/60</x:f>
        <x:v>5.3133333333333335</x:v>
      </x:c>
      <x:c r="N614" s="119" t="n">
        <x:f>ROUNDDOWN(('经济参数'!$E$20+A614*'经济参数'!$E$21)*G614,0)</x:f>
        <x:v>12340</x:v>
      </x:c>
      <x:c r="O614" s="119" t="n">
        <x:f>ROUNDDOWN(MIN('经济参数'!$E$24,'经济参数'!$E$22+A614*'经济参数'!$E$23)*G614,0)</x:f>
        <x:v>0</x:v>
      </x:c>
      <x:c r="P614" s="119" t="n">
        <x:f>ROUNDDOWN((IF(A614&gt;='材料与任务'!$E$31,'材料与任务'!$E$32,IF(A614&gt;='材料与任务'!$E$25,'材料与任务'!$E$26,IF(A614&gt;='材料与任务'!$E$19,'材料与任务'!$E$20,IF(A614&gt;='材料与任务'!$E$13,'材料与任务'!$E$14,'材料与任务'!$E$8)))))*G614,0)</x:f>
        <x:v>6</x:v>
      </x:c>
      <x:c r="Q614" s="119" t="n">
        <x:f>ROUNDDOWN((IF(A614&gt;='材料与任务'!$E$31,'材料与任务'!$E$33,IF(A614&gt;='材料与任务'!$E$25,'材料与任务'!$E$27,IF(A614&gt;='材料与任务'!$E$19,'材料与任务'!$E$21,IF(A614&gt;='材料与任务'!$E$13,'材料与任务'!$E$15,'材料与任务'!$E$9)))))*G614,0)</x:f>
        <x:v>3</x:v>
      </x:c>
      <x:c r="R614" s="110" t="n">
        <x:f>'装备掉落'!$B$38</x:f>
        <x:v>0.6872058758851213</x:v>
      </x:c>
      <x:c r="S614" s="119" t="n">
        <x:f>MAX(IF(VLOOKUP(A614,'装备掉落'!$A$29:$H$34,2,TRUE)&gt;0,1,0),IF(VLOOKUP(A614,'装备掉落'!$A$29:$H$34,3,TRUE)&gt;0,2,0),IF(VLOOKUP(A614,'装备掉落'!$A$29:$H$34,4,TRUE)&gt;0,3,0),IF(VLOOKUP(A614,'装备掉落'!$A$29:$H$34,5,TRUE)&gt;0,4,0),IF(VLOOKUP(A614,'装备掉落'!$A$29:$H$34,6,TRUE)&gt;0,5,0),IF(VLOOKUP(A614,'装备掉落'!$A$29:$H$34,7,TRUE)&gt;0,6,0),IF(VLOOKUP(A614,'装备掉落'!$A$29:$H$34,8,TRUE)&gt;0,7,0))</x:f>
        <x:v>7</x:v>
      </x:c>
      <x:c r="T614" s="119" t="n">
        <x:f>MIN(7,S614+'经济参数'!$E$70)</x:f>
        <x:v>7</x:v>
      </x:c>
      <x:c r="U614" s="119" t="n">
        <x:f>MIN(7,S614+'经济参数'!$E$71)</x:f>
        <x:v>7</x:v>
      </x:c>
      <x:c r="V614" s="119" t="n">
        <x:f>IF(H614&gt;=('难度参数'!$E$52),1,0)+IF(H614&gt;=('难度参数'!$E$52+'难度参数'!$E$53),1,0)+IF(H614&gt;=('难度参数'!$E$52+'难度参数'!$E$53+'难度参数'!$E$54),1,0)+IF(H614&gt;=('难度参数'!$E$52+'难度参数'!$E$53+'难度参数'!$E$54+'难度参数'!$E$55),1,0)+IF(H614&gt;=('难度参数'!$E$52+'难度参数'!$E$53+'难度参数'!$E$54+'难度参数'!$E$55+'难度参数'!$E$56),1,0)+IF(H614&gt;=('难度参数'!$E$52+'难度参数'!$E$53+'难度参数'!$E$54+'难度参数'!$E$55+'难度参数'!$E$56+'难度参数'!$E$57),1,0)</x:f>
        <x:v>6</x:v>
      </x:c>
      <x:c r="W614" s="62" t="str">
        <x:f>IF(L614&gt;'难度参数'!$E$51,"仅出怪已超目标","还需实测")</x:f>
        <x:v>仅出怪已超目标</x:v>
      </x:c>
      <x:c r="X614" s="119" t="n">
        <x:f>IF(1&gt;D614,0,MAX(2,MIN('难度参数'!$E$12,ROUND(('难度参数'!$E$18*POWER(A614,'难度参数'!$E$19)/D614*(0.85+0.3*(1-1)/MAX(1,D614-1))),0)+F614)))</x:f>
        <x:v>38</x:v>
      </x:c>
      <x:c r="Y614" s="119" t="n">
        <x:f>IF(1&gt;D614,0,ROUND(('难度参数'!$E$13*POWER(A614,'难度参数'!$E$20)*MIN('难度参数'!$E$23,1+MAX(0,A614-'难度参数'!$E$21)*'难度参数'!$E$22))*(36+1*7)/(36+7*(D614+1)/2)*E614,0))</x:f>
        <x:v>9163</x:v>
      </x:c>
      <x:c r="Z614" s="119" t="n">
        <x:f>IF(X614=0,0,(X614-IF(1=D614,1,0))*ROUND(Y614*VLOOKUP(INDEX('章节与怪物'!$E$31:$K$37,B614,1),'章节与怪物'!$A$41:$F$44,2,FALSE),0)+IF(1=D614,ROUND(Y614*'难度参数'!$E$28*'章节与怪物'!$E$17,0),0))</x:f>
        <x:v>348194</x:v>
      </x:c>
      <x:c r="AA614" s="119" t="n">
        <x:f>IF(X614=0,0,(X614-IF(1=D614,1,0))*VLOOKUP(INDEX('章节与怪物'!$E$31:$K$37,B614,1),'章节与怪物'!$A$41:$F$44,4,FALSE)+IF(1=D614,'难度参数'!$E$30,0))</x:f>
        <x:v>684</x:v>
      </x:c>
      <x:c r="AB614" s="119" t="n">
        <x:f>IF(2&gt;D614,0,MAX(2,MIN('难度参数'!$E$12,ROUND(('难度参数'!$E$18*POWER(A614,'难度参数'!$E$19)/D614*(0.85+0.3*(2-1)/MAX(1,D614-1))),0)+F614)))</x:f>
        <x:v>40</x:v>
      </x:c>
      <x:c r="AC614" s="119" t="n">
        <x:f>IF(2&gt;D614,0,ROUND(('难度参数'!$E$13*POWER(A614,'难度参数'!$E$20)*MIN('难度参数'!$E$23,1+MAX(0,A614-'难度参数'!$E$21)*'难度参数'!$E$22))*(36+2*7)/(36+7*(D614+1)/2)*E614,0))</x:f>
        <x:v>10655</x:v>
      </x:c>
      <x:c r="AD614" s="119" t="n">
        <x:f>IF(AB614=0,0,(AB614-IF(2=D614,1,0))*ROUND(AC614*VLOOKUP(INDEX('章节与怪物'!$E$31:$K$37,B614,2),'章节与怪物'!$A$41:$F$44,2,FALSE),0)+IF(2=D614,ROUND(AC614*'难度参数'!$E$28*'章节与怪物'!$E$17,0),0))</x:f>
        <x:v>306880</x:v>
      </x:c>
      <x:c r="AE614" s="119" t="n">
        <x:f>IF(AB614=0,0,(AB614-IF(2=D614,1,0))*VLOOKUP(INDEX('章节与怪物'!$E$31:$K$37,B614,2),'章节与怪物'!$A$41:$F$44,4,FALSE)+IF(2=D614,'难度参数'!$E$30,0))</x:f>
        <x:v>800</x:v>
      </x:c>
      <x:c r="AF614" s="119" t="n">
        <x:f>IF(3&gt;D614,0,MAX(2,MIN('难度参数'!$E$12,ROUND(('难度参数'!$E$18*POWER(A614,'难度参数'!$E$19)/D614*(0.85+0.3*(3-1)/MAX(1,D614-1))),0)+F614)))</x:f>
        <x:v>42</x:v>
      </x:c>
      <x:c r="AG614" s="119" t="n">
        <x:f>IF(3&gt;D614,0,ROUND(('难度参数'!$E$13*POWER(A614,'难度参数'!$E$20)*MIN('难度参数'!$E$23,1+MAX(0,A614-'难度参数'!$E$21)*'难度参数'!$E$22))*(36+3*7)/(36+7*(D614+1)/2)*E614,0))</x:f>
        <x:v>12146</x:v>
      </x:c>
      <x:c r="AH614" s="119" t="n">
        <x:f>IF(AF614=0,0,(AF614-IF(3=D614,1,0))*ROUND(AG614*VLOOKUP(INDEX('章节与怪物'!$E$31:$K$37,B614,3),'章节与怪物'!$A$41:$F$44,2,FALSE),0)+IF(3=D614,ROUND(AG614*'难度参数'!$E$28*'章节与怪物'!$E$17,0),0))</x:f>
        <x:v>867216</x:v>
      </x:c>
      <x:c r="AI614" s="119" t="n">
        <x:f>IF(AF614=0,0,(AF614-IF(3=D614,1,0))*VLOOKUP(INDEX('章节与怪物'!$E$31:$K$37,B614,3),'章节与怪物'!$A$41:$F$44,4,FALSE)+IF(3=D614,'难度参数'!$E$30,0))</x:f>
        <x:v>1176</x:v>
      </x:c>
      <x:c r="AJ614" s="119" t="n">
        <x:f>IF(4&gt;D614,0,MAX(2,MIN('难度参数'!$E$12,ROUND(('难度参数'!$E$18*POWER(A614,'难度参数'!$E$19)/D614*(0.85+0.3*(4-1)/MAX(1,D614-1))),0)+F614)))</x:f>
        <x:v>44</x:v>
      </x:c>
      <x:c r="AK614" s="119" t="n">
        <x:f>IF(4&gt;D614,0,ROUND(('难度参数'!$E$13*POWER(A614,'难度参数'!$E$20)*MIN('难度参数'!$E$23,1+MAX(0,A614-'难度参数'!$E$21)*'难度参数'!$E$22))*(36+4*7)/(36+7*(D614+1)/2)*E614,0))</x:f>
        <x:v>13638</x:v>
      </x:c>
      <x:c r="AL614" s="119" t="n">
        <x:f>IF(AJ614=0,0,(AJ614-IF(4=D614,1,0))*ROUND(AK614*VLOOKUP(INDEX('章节与怪物'!$E$31:$K$37,B614,4),'章节与怪物'!$A$41:$F$44,2,FALSE),0)+IF(4=D614,ROUND(AK614*'难度参数'!$E$28*'章节与怪物'!$E$17,0),0))</x:f>
        <x:v>810084</x:v>
      </x:c>
      <x:c r="AM614" s="119" t="n">
        <x:f>IF(AJ614=0,0,(AJ614-IF(4=D614,1,0))*VLOOKUP(INDEX('章节与怪物'!$E$31:$K$37,B614,4),'章节与怪物'!$A$41:$F$44,4,FALSE)+IF(4=D614,'难度参数'!$E$30,0))</x:f>
        <x:v>1496</x:v>
      </x:c>
      <x:c r="AN614" s="119" t="n">
        <x:f>IF(5&gt;D614,0,MAX(2,MIN('难度参数'!$E$12,ROUND(('难度参数'!$E$18*POWER(A614,'难度参数'!$E$19)/D614*(0.85+0.3*(5-1)/MAX(1,D614-1))),0)+F614)))</x:f>
        <x:v>47</x:v>
      </x:c>
      <x:c r="AO614" s="119" t="n">
        <x:f>IF(5&gt;D614,0,ROUND(('难度参数'!$E$13*POWER(A614,'难度参数'!$E$20)*MIN('难度参数'!$E$23,1+MAX(0,A614-'难度参数'!$E$21)*'难度参数'!$E$22))*(36+5*7)/(36+7*(D614+1)/2)*E614,0))</x:f>
        <x:v>15129</x:v>
      </x:c>
      <x:c r="AP614" s="119" t="n">
        <x:f>IF(AN614=0,0,(AN614-IF(5=D614,1,0))*ROUND(AO614*VLOOKUP(INDEX('章节与怪物'!$E$31:$K$37,B614,5),'章节与怪物'!$A$41:$F$44,2,FALSE),0)+IF(5=D614,ROUND(AO614*'难度参数'!$E$28*'章节与怪物'!$E$17,0),0))</x:f>
        <x:v>511971</x:v>
      </x:c>
      <x:c r="AQ614" s="119" t="n">
        <x:f>IF(AN614=0,0,(AN614-IF(5=D614,1,0))*VLOOKUP(INDEX('章节与怪物'!$E$31:$K$37,B614,5),'章节与怪物'!$A$41:$F$44,4,FALSE)+IF(5=D614,'难度参数'!$E$30,0))</x:f>
        <x:v>940</x:v>
      </x:c>
      <x:c r="AR614" s="119" t="n">
        <x:f>IF(6&gt;D614,0,MAX(2,MIN('难度参数'!$E$12,ROUND(('难度参数'!$E$18*POWER(A614,'难度参数'!$E$19)/D614*(0.85+0.3*(6-1)/MAX(1,D614-1))),0)+F614)))</x:f>
        <x:v>49</x:v>
      </x:c>
      <x:c r="AS614" s="119" t="n">
        <x:f>IF(6&gt;D614,0,ROUND(('难度参数'!$E$13*POWER(A614,'难度参数'!$E$20)*MIN('难度参数'!$E$23,1+MAX(0,A614-'难度参数'!$E$21)*'难度参数'!$E$22))*(36+6*7)/(36+7*(D614+1)/2)*E614,0))</x:f>
        <x:v>16621</x:v>
      </x:c>
      <x:c r="AT614" s="119" t="n">
        <x:f>IF(AR614=0,0,(AR614-IF(6=D614,1,0))*ROUND(AS614*VLOOKUP(INDEX('章节与怪物'!$E$31:$K$37,B614,6),'章节与怪物'!$A$41:$F$44,2,FALSE),0)+IF(6=D614,ROUND(AS614*'难度参数'!$E$28*'章节与怪物'!$E$17,0),0))</x:f>
        <x:v>1384544</x:v>
      </x:c>
      <x:c r="AU614" s="119" t="n">
        <x:f>IF(AR614=0,0,(AR614-IF(6=D614,1,0))*VLOOKUP(INDEX('章节与怪物'!$E$31:$K$37,B614,6),'章节与怪物'!$A$41:$F$44,4,FALSE)+IF(6=D614,'难度参数'!$E$30,0))</x:f>
        <x:v>1372</x:v>
      </x:c>
      <x:c r="AV614" s="119" t="n">
        <x:f>IF(7&gt;D614,0,MAX(2,MIN('难度参数'!$E$12,ROUND(('难度参数'!$E$18*POWER(A614,'难度参数'!$E$19)/D614*(0.85+0.3*(7-1)/MAX(1,D614-1))),0)+F614)))</x:f>
        <x:v>51</x:v>
      </x:c>
      <x:c r="AW614" s="119" t="n">
        <x:f>IF(7&gt;D614,0,ROUND(('难度参数'!$E$13*POWER(A614,'难度参数'!$E$20)*MIN('难度参数'!$E$23,1+MAX(0,A614-'难度参数'!$E$21)*'难度参数'!$E$22))*(36+7*7)/(36+7*(D614+1)/2)*E614,0))</x:f>
        <x:v>18113</x:v>
      </x:c>
      <x:c r="AX614" s="119" t="n">
        <x:f>IF(AV614=0,0,(AV614-IF(7=D614,1,0))*ROUND(AW614*VLOOKUP(INDEX('章节与怪物'!$E$31:$K$37,B614,7),'章节与怪物'!$A$41:$F$44,2,FALSE),0)+IF(7=D614,ROUND(AW614*'难度参数'!$E$28*'章节与怪物'!$E$17,0),0))</x:f>
        <x:v>1345818</x:v>
      </x:c>
      <x:c r="AY614" s="119" t="n">
        <x:f>IF(AV614=0,0,(AV614-IF(7=D614,1,0))*VLOOKUP(INDEX('章节与怪物'!$E$31:$K$37,B614,7),'章节与怪物'!$A$41:$F$44,4,FALSE)+IF(7=D614,'难度参数'!$E$30,0))</x:f>
        <x:v>1900</x:v>
      </x:c>
    </x:row>
    <x:row r="615" ht="23" customHeight="1">
      <x:c r="A615" s="119" t="n">
        <x:v>609</x:v>
      </x:c>
      <x:c r="B615" s="119" t="n">
        <x:f>MOD(INT((A615-1)/5),7)+1</x:f>
        <x:v>3</x:v>
      </x:c>
      <x:c r="C615" s="62" t="str">
        <x:f>INDEX('章节与怪物'!$B$31:$B$37,B615)</x:f>
        <x:v>腐沼秘林</x:v>
      </x:c>
      <x:c r="D615" s="119" t="n">
        <x:f>MIN('难度参数'!$E$8,MAX('难度参数'!$E$7,A615))</x:f>
        <x:v>7</x:v>
      </x:c>
      <x:c r="E615" s="106" t="n">
        <x:v>1</x:v>
      </x:c>
      <x:c r="F615" s="106" t="n">
        <x:v>0</x:v>
      </x:c>
      <x:c r="G615" s="106" t="n">
        <x:v>1</x:v>
      </x:c>
      <x:c r="H615" s="119" t="n">
        <x:f>SUM(X615,AB615,AF615,AJ615,AN615,AR615,AV615)</x:f>
        <x:v>311</x:v>
      </x:c>
      <x:c r="I615" s="119" t="n">
        <x:f>SUM(Z615,AD615,AH615,AL615,AP615,AT615,AX615)</x:f>
        <x:v>5581325</x:v>
      </x:c>
      <x:c r="J615" s="119" t="n">
        <x:f>ROUND(INDEX(X615:AY615,1,(D615-1)*4+2)*'难度参数'!$E$28*'章节与怪物'!$E$17,0)</x:f>
        <x:v>123311</x:v>
      </x:c>
      <x:c r="K615" s="119" t="n">
        <x:f>SUM(AA615,AE615,AI615,AM615,AQ615,AU615,AY615)</x:f>
        <x:v>8368</x:v>
      </x:c>
      <x:c r="L615" s="62" t="n">
        <x:f>H615*(ROUNDUP('难度参数'!$E$24/('难度参数'!$E$26*'难度参数'!$E$27),0)*'难度参数'!$E$26)/60</x:f>
        <x:v>4.1466666666666665</x:v>
      </x:c>
      <x:c r="M615" s="62" t="n">
        <x:f>L615+D615*('难度参数'!$E$49+'难度参数'!$E$50)/60</x:f>
        <x:v>5.3133333333333335</x:v>
      </x:c>
      <x:c r="N615" s="119" t="n">
        <x:f>ROUNDDOWN(('经济参数'!$E$20+A615*'经济参数'!$E$21)*G615,0)</x:f>
        <x:v>12360</x:v>
      </x:c>
      <x:c r="O615" s="119" t="n">
        <x:f>ROUNDDOWN(MIN('经济参数'!$E$24,'经济参数'!$E$22+A615*'经济参数'!$E$23)*G615,0)</x:f>
        <x:v>0</x:v>
      </x:c>
      <x:c r="P615" s="119" t="n">
        <x:f>ROUNDDOWN((IF(A615&gt;='材料与任务'!$E$31,'材料与任务'!$E$32,IF(A615&gt;='材料与任务'!$E$25,'材料与任务'!$E$26,IF(A615&gt;='材料与任务'!$E$19,'材料与任务'!$E$20,IF(A615&gt;='材料与任务'!$E$13,'材料与任务'!$E$14,'材料与任务'!$E$8)))))*G615,0)</x:f>
        <x:v>6</x:v>
      </x:c>
      <x:c r="Q615" s="119" t="n">
        <x:f>ROUNDDOWN((IF(A615&gt;='材料与任务'!$E$31,'材料与任务'!$E$33,IF(A615&gt;='材料与任务'!$E$25,'材料与任务'!$E$27,IF(A615&gt;='材料与任务'!$E$19,'材料与任务'!$E$21,IF(A615&gt;='材料与任务'!$E$13,'材料与任务'!$E$15,'材料与任务'!$E$9)))))*G615,0)</x:f>
        <x:v>3</x:v>
      </x:c>
      <x:c r="R615" s="110" t="n">
        <x:f>'装备掉落'!$B$38</x:f>
        <x:v>0.6872058758851213</x:v>
      </x:c>
      <x:c r="S615" s="119" t="n">
        <x:f>MAX(IF(VLOOKUP(A615,'装备掉落'!$A$29:$H$34,2,TRUE)&gt;0,1,0),IF(VLOOKUP(A615,'装备掉落'!$A$29:$H$34,3,TRUE)&gt;0,2,0),IF(VLOOKUP(A615,'装备掉落'!$A$29:$H$34,4,TRUE)&gt;0,3,0),IF(VLOOKUP(A615,'装备掉落'!$A$29:$H$34,5,TRUE)&gt;0,4,0),IF(VLOOKUP(A615,'装备掉落'!$A$29:$H$34,6,TRUE)&gt;0,5,0),IF(VLOOKUP(A615,'装备掉落'!$A$29:$H$34,7,TRUE)&gt;0,6,0),IF(VLOOKUP(A615,'装备掉落'!$A$29:$H$34,8,TRUE)&gt;0,7,0))</x:f>
        <x:v>7</x:v>
      </x:c>
      <x:c r="T615" s="119" t="n">
        <x:f>MIN(7,S615+'经济参数'!$E$70)</x:f>
        <x:v>7</x:v>
      </x:c>
      <x:c r="U615" s="119" t="n">
        <x:f>MIN(7,S615+'经济参数'!$E$71)</x:f>
        <x:v>7</x:v>
      </x:c>
      <x:c r="V615" s="119" t="n">
        <x:f>IF(H615&gt;=('难度参数'!$E$52),1,0)+IF(H615&gt;=('难度参数'!$E$52+'难度参数'!$E$53),1,0)+IF(H615&gt;=('难度参数'!$E$52+'难度参数'!$E$53+'难度参数'!$E$54),1,0)+IF(H615&gt;=('难度参数'!$E$52+'难度参数'!$E$53+'难度参数'!$E$54+'难度参数'!$E$55),1,0)+IF(H615&gt;=('难度参数'!$E$52+'难度参数'!$E$53+'难度参数'!$E$54+'难度参数'!$E$55+'难度参数'!$E$56),1,0)+IF(H615&gt;=('难度参数'!$E$52+'难度参数'!$E$53+'难度参数'!$E$54+'难度参数'!$E$55+'难度参数'!$E$56+'难度参数'!$E$57),1,0)</x:f>
        <x:v>6</x:v>
      </x:c>
      <x:c r="W615" s="62" t="str">
        <x:f>IF(L615&gt;'难度参数'!$E$51,"仅出怪已超目标","还需实测")</x:f>
        <x:v>仅出怪已超目标</x:v>
      </x:c>
      <x:c r="X615" s="119" t="n">
        <x:f>IF(1&gt;D615,0,MAX(2,MIN('难度参数'!$E$12,ROUND(('难度参数'!$E$18*POWER(A615,'难度参数'!$E$19)/D615*(0.85+0.3*(1-1)/MAX(1,D615-1))),0)+F615)))</x:f>
        <x:v>38</x:v>
      </x:c>
      <x:c r="Y615" s="119" t="n">
        <x:f>IF(1&gt;D615,0,ROUND(('难度参数'!$E$13*POWER(A615,'难度参数'!$E$20)*MIN('难度参数'!$E$23,1+MAX(0,A615-'难度参数'!$E$21)*'难度参数'!$E$22))*(36+1*7)/(36+7*(D615+1)/2)*E615,0))</x:f>
        <x:v>9174</x:v>
      </x:c>
      <x:c r="Z615" s="119" t="n">
        <x:f>IF(X615=0,0,(X615-IF(1=D615,1,0))*ROUND(Y615*VLOOKUP(INDEX('章节与怪物'!$E$31:$K$37,B615,1),'章节与怪物'!$A$41:$F$44,2,FALSE),0)+IF(1=D615,ROUND(Y615*'难度参数'!$E$28*'章节与怪物'!$E$17,0),0))</x:f>
        <x:v>348612</x:v>
      </x:c>
      <x:c r="AA615" s="119" t="n">
        <x:f>IF(X615=0,0,(X615-IF(1=D615,1,0))*VLOOKUP(INDEX('章节与怪物'!$E$31:$K$37,B615,1),'章节与怪物'!$A$41:$F$44,4,FALSE)+IF(1=D615,'难度参数'!$E$30,0))</x:f>
        <x:v>684</x:v>
      </x:c>
      <x:c r="AB615" s="119" t="n">
        <x:f>IF(2&gt;D615,0,MAX(2,MIN('难度参数'!$E$12,ROUND(('难度参数'!$E$18*POWER(A615,'难度参数'!$E$19)/D615*(0.85+0.3*(2-1)/MAX(1,D615-1))),0)+F615)))</x:f>
        <x:v>40</x:v>
      </x:c>
      <x:c r="AC615" s="119" t="n">
        <x:f>IF(2&gt;D615,0,ROUND(('难度参数'!$E$13*POWER(A615,'难度参数'!$E$20)*MIN('难度参数'!$E$23,1+MAX(0,A615-'难度参数'!$E$21)*'难度参数'!$E$22))*(36+2*7)/(36+7*(D615+1)/2)*E615,0))</x:f>
        <x:v>10667</x:v>
      </x:c>
      <x:c r="AD615" s="119" t="n">
        <x:f>IF(AB615=0,0,(AB615-IF(2=D615,1,0))*ROUND(AC615*VLOOKUP(INDEX('章节与怪物'!$E$31:$K$37,B615,2),'章节与怪物'!$A$41:$F$44,2,FALSE),0)+IF(2=D615,ROUND(AC615*'难度参数'!$E$28*'章节与怪物'!$E$17,0),0))</x:f>
        <x:v>307200</x:v>
      </x:c>
      <x:c r="AE615" s="119" t="n">
        <x:f>IF(AB615=0,0,(AB615-IF(2=D615,1,0))*VLOOKUP(INDEX('章节与怪物'!$E$31:$K$37,B615,2),'章节与怪物'!$A$41:$F$44,4,FALSE)+IF(2=D615,'难度参数'!$E$30,0))</x:f>
        <x:v>800</x:v>
      </x:c>
      <x:c r="AF615" s="119" t="n">
        <x:f>IF(3&gt;D615,0,MAX(2,MIN('难度参数'!$E$12,ROUND(('难度参数'!$E$18*POWER(A615,'难度参数'!$E$19)/D615*(0.85+0.3*(3-1)/MAX(1,D615-1))),0)+F615)))</x:f>
        <x:v>42</x:v>
      </x:c>
      <x:c r="AG615" s="119" t="n">
        <x:f>IF(3&gt;D615,0,ROUND(('难度参数'!$E$13*POWER(A615,'难度参数'!$E$20)*MIN('难度参数'!$E$23,1+MAX(0,A615-'难度参数'!$E$21)*'难度参数'!$E$22))*(36+3*7)/(36+7*(D615+1)/2)*E615,0))</x:f>
        <x:v>12161</x:v>
      </x:c>
      <x:c r="AH615" s="119" t="n">
        <x:f>IF(AF615=0,0,(AF615-IF(3=D615,1,0))*ROUND(AG615*VLOOKUP(INDEX('章节与怪物'!$E$31:$K$37,B615,3),'章节与怪物'!$A$41:$F$44,2,FALSE),0)+IF(3=D615,ROUND(AG615*'难度参数'!$E$28*'章节与怪物'!$E$17,0),0))</x:f>
        <x:v>868308</x:v>
      </x:c>
      <x:c r="AI615" s="119" t="n">
        <x:f>IF(AF615=0,0,(AF615-IF(3=D615,1,0))*VLOOKUP(INDEX('章节与怪物'!$E$31:$K$37,B615,3),'章节与怪物'!$A$41:$F$44,4,FALSE)+IF(3=D615,'难度参数'!$E$30,0))</x:f>
        <x:v>1176</x:v>
      </x:c>
      <x:c r="AJ615" s="119" t="n">
        <x:f>IF(4&gt;D615,0,MAX(2,MIN('难度参数'!$E$12,ROUND(('难度参数'!$E$18*POWER(A615,'难度参数'!$E$19)/D615*(0.85+0.3*(4-1)/MAX(1,D615-1))),0)+F615)))</x:f>
        <x:v>44</x:v>
      </x:c>
      <x:c r="AK615" s="119" t="n">
        <x:f>IF(4&gt;D615,0,ROUND(('难度参数'!$E$13*POWER(A615,'难度参数'!$E$20)*MIN('难度参数'!$E$23,1+MAX(0,A615-'难度参数'!$E$21)*'难度参数'!$E$22))*(36+4*7)/(36+7*(D615+1)/2)*E615,0))</x:f>
        <x:v>13654</x:v>
      </x:c>
      <x:c r="AL615" s="119" t="n">
        <x:f>IF(AJ615=0,0,(AJ615-IF(4=D615,1,0))*ROUND(AK615*VLOOKUP(INDEX('章节与怪物'!$E$31:$K$37,B615,4),'章节与怪物'!$A$41:$F$44,2,FALSE),0)+IF(4=D615,ROUND(AK615*'难度参数'!$E$28*'章节与怪物'!$E$17,0),0))</x:f>
        <x:v>811052</x:v>
      </x:c>
      <x:c r="AM615" s="119" t="n">
        <x:f>IF(AJ615=0,0,(AJ615-IF(4=D615,1,0))*VLOOKUP(INDEX('章节与怪物'!$E$31:$K$37,B615,4),'章节与怪物'!$A$41:$F$44,4,FALSE)+IF(4=D615,'难度参数'!$E$30,0))</x:f>
        <x:v>1496</x:v>
      </x:c>
      <x:c r="AN615" s="119" t="n">
        <x:f>IF(5&gt;D615,0,MAX(2,MIN('难度参数'!$E$12,ROUND(('难度参数'!$E$18*POWER(A615,'难度参数'!$E$19)/D615*(0.85+0.3*(5-1)/MAX(1,D615-1))),0)+F615)))</x:f>
        <x:v>47</x:v>
      </x:c>
      <x:c r="AO615" s="119" t="n">
        <x:f>IF(5&gt;D615,0,ROUND(('难度参数'!$E$13*POWER(A615,'难度参数'!$E$20)*MIN('难度参数'!$E$23,1+MAX(0,A615-'难度参数'!$E$21)*'难度参数'!$E$22))*(36+5*7)/(36+7*(D615+1)/2)*E615,0))</x:f>
        <x:v>15147</x:v>
      </x:c>
      <x:c r="AP615" s="119" t="n">
        <x:f>IF(AN615=0,0,(AN615-IF(5=D615,1,0))*ROUND(AO615*VLOOKUP(INDEX('章节与怪物'!$E$31:$K$37,B615,5),'章节与怪物'!$A$41:$F$44,2,FALSE),0)+IF(5=D615,ROUND(AO615*'难度参数'!$E$28*'章节与怪物'!$E$17,0),0))</x:f>
        <x:v>512582</x:v>
      </x:c>
      <x:c r="AQ615" s="119" t="n">
        <x:f>IF(AN615=0,0,(AN615-IF(5=D615,1,0))*VLOOKUP(INDEX('章节与怪物'!$E$31:$K$37,B615,5),'章节与怪物'!$A$41:$F$44,4,FALSE)+IF(5=D615,'难度参数'!$E$30,0))</x:f>
        <x:v>940</x:v>
      </x:c>
      <x:c r="AR615" s="119" t="n">
        <x:f>IF(6&gt;D615,0,MAX(2,MIN('难度参数'!$E$12,ROUND(('难度参数'!$E$18*POWER(A615,'难度参数'!$E$19)/D615*(0.85+0.3*(6-1)/MAX(1,D615-1))),0)+F615)))</x:f>
        <x:v>49</x:v>
      </x:c>
      <x:c r="AS615" s="119" t="n">
        <x:f>IF(6&gt;D615,0,ROUND(('难度参数'!$E$13*POWER(A615,'难度参数'!$E$20)*MIN('难度参数'!$E$23,1+MAX(0,A615-'难度参数'!$E$21)*'难度参数'!$E$22))*(36+6*7)/(36+7*(D615+1)/2)*E615,0))</x:f>
        <x:v>16641</x:v>
      </x:c>
      <x:c r="AT615" s="119" t="n">
        <x:f>IF(AR615=0,0,(AR615-IF(6=D615,1,0))*ROUND(AS615*VLOOKUP(INDEX('章节与怪物'!$E$31:$K$37,B615,6),'章节与怪物'!$A$41:$F$44,2,FALSE),0)+IF(6=D615,ROUND(AS615*'难度参数'!$E$28*'章节与怪物'!$E$17,0),0))</x:f>
        <x:v>1386210</x:v>
      </x:c>
      <x:c r="AU615" s="119" t="n">
        <x:f>IF(AR615=0,0,(AR615-IF(6=D615,1,0))*VLOOKUP(INDEX('章节与怪物'!$E$31:$K$37,B615,6),'章节与怪物'!$A$41:$F$44,4,FALSE)+IF(6=D615,'难度参数'!$E$30,0))</x:f>
        <x:v>1372</x:v>
      </x:c>
      <x:c r="AV615" s="119" t="n">
        <x:f>IF(7&gt;D615,0,MAX(2,MIN('难度参数'!$E$12,ROUND(('难度参数'!$E$18*POWER(A615,'难度参数'!$E$19)/D615*(0.85+0.3*(7-1)/MAX(1,D615-1))),0)+F615)))</x:f>
        <x:v>51</x:v>
      </x:c>
      <x:c r="AW615" s="119" t="n">
        <x:f>IF(7&gt;D615,0,ROUND(('难度参数'!$E$13*POWER(A615,'难度参数'!$E$20)*MIN('难度参数'!$E$23,1+MAX(0,A615-'难度参数'!$E$21)*'难度参数'!$E$22))*(36+7*7)/(36+7*(D615+1)/2)*E615,0))</x:f>
        <x:v>18134</x:v>
      </x:c>
      <x:c r="AX615" s="119" t="n">
        <x:f>IF(AV615=0,0,(AV615-IF(7=D615,1,0))*ROUND(AW615*VLOOKUP(INDEX('章节与怪物'!$E$31:$K$37,B615,7),'章节与怪物'!$A$41:$F$44,2,FALSE),0)+IF(7=D615,ROUND(AW615*'难度参数'!$E$28*'章节与怪物'!$E$17,0),0))</x:f>
        <x:v>1347361</x:v>
      </x:c>
      <x:c r="AY615" s="119" t="n">
        <x:f>IF(AV615=0,0,(AV615-IF(7=D615,1,0))*VLOOKUP(INDEX('章节与怪物'!$E$31:$K$37,B615,7),'章节与怪物'!$A$41:$F$44,4,FALSE)+IF(7=D615,'难度参数'!$E$30,0))</x:f>
        <x:v>1900</x:v>
      </x:c>
    </x:row>
    <x:row r="616" ht="23" customHeight="1">
      <x:c r="A616" s="119" t="n">
        <x:v>610</x:v>
      </x:c>
      <x:c r="B616" s="119" t="n">
        <x:f>MOD(INT((A616-1)/5),7)+1</x:f>
        <x:v>3</x:v>
      </x:c>
      <x:c r="C616" s="62" t="str">
        <x:f>INDEX('章节与怪物'!$B$31:$B$37,B616)</x:f>
        <x:v>腐沼秘林</x:v>
      </x:c>
      <x:c r="D616" s="119" t="n">
        <x:f>MIN('难度参数'!$E$8,MAX('难度参数'!$E$7,A616))</x:f>
        <x:v>7</x:v>
      </x:c>
      <x:c r="E616" s="106" t="n">
        <x:v>1</x:v>
      </x:c>
      <x:c r="F616" s="106" t="n">
        <x:v>0</x:v>
      </x:c>
      <x:c r="G616" s="106" t="n">
        <x:v>1</x:v>
      </x:c>
      <x:c r="H616" s="119" t="n">
        <x:f>SUM(X616,AB616,AF616,AJ616,AN616,AR616,AV616)</x:f>
        <x:v>311</x:v>
      </x:c>
      <x:c r="I616" s="119" t="n">
        <x:f>SUM(Z616,AD616,AH616,AL616,AP616,AT616,AX616)</x:f>
        <x:v>5587948</x:v>
      </x:c>
      <x:c r="J616" s="119" t="n">
        <x:f>ROUND(INDEX(X616:AY616,1,(D616-1)*4+2)*'难度参数'!$E$28*'章节与怪物'!$E$17,0)</x:f>
        <x:v>123461</x:v>
      </x:c>
      <x:c r="K616" s="119" t="n">
        <x:f>SUM(AA616,AE616,AI616,AM616,AQ616,AU616,AY616)</x:f>
        <x:v>8368</x:v>
      </x:c>
      <x:c r="L616" s="62" t="n">
        <x:f>H616*(ROUNDUP('难度参数'!$E$24/('难度参数'!$E$26*'难度参数'!$E$27),0)*'难度参数'!$E$26)/60</x:f>
        <x:v>4.1466666666666665</x:v>
      </x:c>
      <x:c r="M616" s="62" t="n">
        <x:f>L616+D616*('难度参数'!$E$49+'难度参数'!$E$50)/60</x:f>
        <x:v>5.3133333333333335</x:v>
      </x:c>
      <x:c r="N616" s="119" t="n">
        <x:f>ROUNDDOWN(('经济参数'!$E$20+A616*'经济参数'!$E$21)*G616,0)</x:f>
        <x:v>12380</x:v>
      </x:c>
      <x:c r="O616" s="119" t="n">
        <x:f>ROUNDDOWN(MIN('经济参数'!$E$24,'经济参数'!$E$22+A616*'经济参数'!$E$23)*G616,0)</x:f>
        <x:v>0</x:v>
      </x:c>
      <x:c r="P616" s="119" t="n">
        <x:f>ROUNDDOWN((IF(A616&gt;='材料与任务'!$E$31,'材料与任务'!$E$32,IF(A616&gt;='材料与任务'!$E$25,'材料与任务'!$E$26,IF(A616&gt;='材料与任务'!$E$19,'材料与任务'!$E$20,IF(A616&gt;='材料与任务'!$E$13,'材料与任务'!$E$14,'材料与任务'!$E$8)))))*G616,0)</x:f>
        <x:v>6</x:v>
      </x:c>
      <x:c r="Q616" s="119" t="n">
        <x:f>ROUNDDOWN((IF(A616&gt;='材料与任务'!$E$31,'材料与任务'!$E$33,IF(A616&gt;='材料与任务'!$E$25,'材料与任务'!$E$27,IF(A616&gt;='材料与任务'!$E$19,'材料与任务'!$E$21,IF(A616&gt;='材料与任务'!$E$13,'材料与任务'!$E$15,'材料与任务'!$E$9)))))*G616,0)</x:f>
        <x:v>3</x:v>
      </x:c>
      <x:c r="R616" s="110" t="n">
        <x:f>'装备掉落'!$B$38</x:f>
        <x:v>0.6872058758851213</x:v>
      </x:c>
      <x:c r="S616" s="119" t="n">
        <x:f>MAX(IF(VLOOKUP(A616,'装备掉落'!$A$29:$H$34,2,TRUE)&gt;0,1,0),IF(VLOOKUP(A616,'装备掉落'!$A$29:$H$34,3,TRUE)&gt;0,2,0),IF(VLOOKUP(A616,'装备掉落'!$A$29:$H$34,4,TRUE)&gt;0,3,0),IF(VLOOKUP(A616,'装备掉落'!$A$29:$H$34,5,TRUE)&gt;0,4,0),IF(VLOOKUP(A616,'装备掉落'!$A$29:$H$34,6,TRUE)&gt;0,5,0),IF(VLOOKUP(A616,'装备掉落'!$A$29:$H$34,7,TRUE)&gt;0,6,0),IF(VLOOKUP(A616,'装备掉落'!$A$29:$H$34,8,TRUE)&gt;0,7,0))</x:f>
        <x:v>7</x:v>
      </x:c>
      <x:c r="T616" s="119" t="n">
        <x:f>MIN(7,S616+'经济参数'!$E$70)</x:f>
        <x:v>7</x:v>
      </x:c>
      <x:c r="U616" s="119" t="n">
        <x:f>MIN(7,S616+'经济参数'!$E$71)</x:f>
        <x:v>7</x:v>
      </x:c>
      <x:c r="V616" s="119" t="n">
        <x:f>IF(H616&gt;=('难度参数'!$E$52),1,0)+IF(H616&gt;=('难度参数'!$E$52+'难度参数'!$E$53),1,0)+IF(H616&gt;=('难度参数'!$E$52+'难度参数'!$E$53+'难度参数'!$E$54),1,0)+IF(H616&gt;=('难度参数'!$E$52+'难度参数'!$E$53+'难度参数'!$E$54+'难度参数'!$E$55),1,0)+IF(H616&gt;=('难度参数'!$E$52+'难度参数'!$E$53+'难度参数'!$E$54+'难度参数'!$E$55+'难度参数'!$E$56),1,0)+IF(H616&gt;=('难度参数'!$E$52+'难度参数'!$E$53+'难度参数'!$E$54+'难度参数'!$E$55+'难度参数'!$E$56+'难度参数'!$E$57),1,0)</x:f>
        <x:v>6</x:v>
      </x:c>
      <x:c r="W616" s="62" t="str">
        <x:f>IF(L616&gt;'难度参数'!$E$51,"仅出怪已超目标","还需实测")</x:f>
        <x:v>仅出怪已超目标</x:v>
      </x:c>
      <x:c r="X616" s="119" t="n">
        <x:f>IF(1&gt;D616,0,MAX(2,MIN('难度参数'!$E$12,ROUND(('难度参数'!$E$18*POWER(A616,'难度参数'!$E$19)/D616*(0.85+0.3*(1-1)/MAX(1,D616-1))),0)+F616)))</x:f>
        <x:v>38</x:v>
      </x:c>
      <x:c r="Y616" s="119" t="n">
        <x:f>IF(1&gt;D616,0,ROUND(('难度参数'!$E$13*POWER(A616,'难度参数'!$E$20)*MIN('难度参数'!$E$23,1+MAX(0,A616-'难度参数'!$E$21)*'难度参数'!$E$22))*(36+1*7)/(36+7*(D616+1)/2)*E616,0))</x:f>
        <x:v>9185</x:v>
      </x:c>
      <x:c r="Z616" s="119" t="n">
        <x:f>IF(X616=0,0,(X616-IF(1=D616,1,0))*ROUND(Y616*VLOOKUP(INDEX('章节与怪物'!$E$31:$K$37,B616,1),'章节与怪物'!$A$41:$F$44,2,FALSE),0)+IF(1=D616,ROUND(Y616*'难度参数'!$E$28*'章节与怪物'!$E$17,0),0))</x:f>
        <x:v>349030</x:v>
      </x:c>
      <x:c r="AA616" s="119" t="n">
        <x:f>IF(X616=0,0,(X616-IF(1=D616,1,0))*VLOOKUP(INDEX('章节与怪物'!$E$31:$K$37,B616,1),'章节与怪物'!$A$41:$F$44,4,FALSE)+IF(1=D616,'难度参数'!$E$30,0))</x:f>
        <x:v>684</x:v>
      </x:c>
      <x:c r="AB616" s="119" t="n">
        <x:f>IF(2&gt;D616,0,MAX(2,MIN('难度参数'!$E$12,ROUND(('难度参数'!$E$18*POWER(A616,'难度参数'!$E$19)/D616*(0.85+0.3*(2-1)/MAX(1,D616-1))),0)+F616)))</x:f>
        <x:v>40</x:v>
      </x:c>
      <x:c r="AC616" s="119" t="n">
        <x:f>IF(2&gt;D616,0,ROUND(('难度参数'!$E$13*POWER(A616,'难度参数'!$E$20)*MIN('难度参数'!$E$23,1+MAX(0,A616-'难度参数'!$E$21)*'难度参数'!$E$22))*(36+2*7)/(36+7*(D616+1)/2)*E616,0))</x:f>
        <x:v>10680</x:v>
      </x:c>
      <x:c r="AD616" s="119" t="n">
        <x:f>IF(AB616=0,0,(AB616-IF(2=D616,1,0))*ROUND(AC616*VLOOKUP(INDEX('章节与怪物'!$E$31:$K$37,B616,2),'章节与怪物'!$A$41:$F$44,2,FALSE),0)+IF(2=D616,ROUND(AC616*'难度参数'!$E$28*'章节与怪物'!$E$17,0),0))</x:f>
        <x:v>307600</x:v>
      </x:c>
      <x:c r="AE616" s="119" t="n">
        <x:f>IF(AB616=0,0,(AB616-IF(2=D616,1,0))*VLOOKUP(INDEX('章节与怪物'!$E$31:$K$37,B616,2),'章节与怪物'!$A$41:$F$44,4,FALSE)+IF(2=D616,'难度参数'!$E$30,0))</x:f>
        <x:v>800</x:v>
      </x:c>
      <x:c r="AF616" s="119" t="n">
        <x:f>IF(3&gt;D616,0,MAX(2,MIN('难度参数'!$E$12,ROUND(('难度参数'!$E$18*POWER(A616,'难度参数'!$E$19)/D616*(0.85+0.3*(3-1)/MAX(1,D616-1))),0)+F616)))</x:f>
        <x:v>42</x:v>
      </x:c>
      <x:c r="AG616" s="119" t="n">
        <x:f>IF(3&gt;D616,0,ROUND(('难度参数'!$E$13*POWER(A616,'难度参数'!$E$20)*MIN('难度参数'!$E$23,1+MAX(0,A616-'难度参数'!$E$21)*'难度参数'!$E$22))*(36+3*7)/(36+7*(D616+1)/2)*E616,0))</x:f>
        <x:v>12175</x:v>
      </x:c>
      <x:c r="AH616" s="119" t="n">
        <x:f>IF(AF616=0,0,(AF616-IF(3=D616,1,0))*ROUND(AG616*VLOOKUP(INDEX('章节与怪物'!$E$31:$K$37,B616,3),'章节与怪物'!$A$41:$F$44,2,FALSE),0)+IF(3=D616,ROUND(AG616*'难度参数'!$E$28*'章节与怪物'!$E$17,0),0))</x:f>
        <x:v>869316</x:v>
      </x:c>
      <x:c r="AI616" s="119" t="n">
        <x:f>IF(AF616=0,0,(AF616-IF(3=D616,1,0))*VLOOKUP(INDEX('章节与怪物'!$E$31:$K$37,B616,3),'章节与怪物'!$A$41:$F$44,4,FALSE)+IF(3=D616,'难度参数'!$E$30,0))</x:f>
        <x:v>1176</x:v>
      </x:c>
      <x:c r="AJ616" s="119" t="n">
        <x:f>IF(4&gt;D616,0,MAX(2,MIN('难度参数'!$E$12,ROUND(('难度参数'!$E$18*POWER(A616,'难度参数'!$E$19)/D616*(0.85+0.3*(4-1)/MAX(1,D616-1))),0)+F616)))</x:f>
        <x:v>44</x:v>
      </x:c>
      <x:c r="AK616" s="119" t="n">
        <x:f>IF(4&gt;D616,0,ROUND(('难度参数'!$E$13*POWER(A616,'难度参数'!$E$20)*MIN('难度参数'!$E$23,1+MAX(0,A616-'难度参数'!$E$21)*'难度参数'!$E$22))*(36+4*7)/(36+7*(D616+1)/2)*E616,0))</x:f>
        <x:v>13670</x:v>
      </x:c>
      <x:c r="AL616" s="119" t="n">
        <x:f>IF(AJ616=0,0,(AJ616-IF(4=D616,1,0))*ROUND(AK616*VLOOKUP(INDEX('章节与怪物'!$E$31:$K$37,B616,4),'章节与怪物'!$A$41:$F$44,2,FALSE),0)+IF(4=D616,ROUND(AK616*'难度参数'!$E$28*'章节与怪物'!$E$17,0),0))</x:f>
        <x:v>812020</x:v>
      </x:c>
      <x:c r="AM616" s="119" t="n">
        <x:f>IF(AJ616=0,0,(AJ616-IF(4=D616,1,0))*VLOOKUP(INDEX('章节与怪物'!$E$31:$K$37,B616,4),'章节与怪物'!$A$41:$F$44,4,FALSE)+IF(4=D616,'难度参数'!$E$30,0))</x:f>
        <x:v>1496</x:v>
      </x:c>
      <x:c r="AN616" s="119" t="n">
        <x:f>IF(5&gt;D616,0,MAX(2,MIN('难度参数'!$E$12,ROUND(('难度参数'!$E$18*POWER(A616,'难度参数'!$E$19)/D616*(0.85+0.3*(5-1)/MAX(1,D616-1))),0)+F616)))</x:f>
        <x:v>47</x:v>
      </x:c>
      <x:c r="AO616" s="119" t="n">
        <x:f>IF(5&gt;D616,0,ROUND(('难度参数'!$E$13*POWER(A616,'难度参数'!$E$20)*MIN('难度参数'!$E$23,1+MAX(0,A616-'难度参数'!$E$21)*'难度参数'!$E$22))*(36+5*7)/(36+7*(D616+1)/2)*E616,0))</x:f>
        <x:v>15165</x:v>
      </x:c>
      <x:c r="AP616" s="119" t="n">
        <x:f>IF(AN616=0,0,(AN616-IF(5=D616,1,0))*ROUND(AO616*VLOOKUP(INDEX('章节与怪物'!$E$31:$K$37,B616,5),'章节与怪物'!$A$41:$F$44,2,FALSE),0)+IF(5=D616,ROUND(AO616*'难度参数'!$E$28*'章节与怪物'!$E$17,0),0))</x:f>
        <x:v>513193</x:v>
      </x:c>
      <x:c r="AQ616" s="119" t="n">
        <x:f>IF(AN616=0,0,(AN616-IF(5=D616,1,0))*VLOOKUP(INDEX('章节与怪物'!$E$31:$K$37,B616,5),'章节与怪物'!$A$41:$F$44,4,FALSE)+IF(5=D616,'难度参数'!$E$30,0))</x:f>
        <x:v>940</x:v>
      </x:c>
      <x:c r="AR616" s="119" t="n">
        <x:f>IF(6&gt;D616,0,MAX(2,MIN('难度参数'!$E$12,ROUND(('难度参数'!$E$18*POWER(A616,'难度参数'!$E$19)/D616*(0.85+0.3*(6-1)/MAX(1,D616-1))),0)+F616)))</x:f>
        <x:v>49</x:v>
      </x:c>
      <x:c r="AS616" s="119" t="n">
        <x:f>IF(6&gt;D616,0,ROUND(('难度参数'!$E$13*POWER(A616,'难度参数'!$E$20)*MIN('难度参数'!$E$23,1+MAX(0,A616-'难度参数'!$E$21)*'难度参数'!$E$22))*(36+6*7)/(36+7*(D616+1)/2)*E616,0))</x:f>
        <x:v>16660</x:v>
      </x:c>
      <x:c r="AT616" s="119" t="n">
        <x:f>IF(AR616=0,0,(AR616-IF(6=D616,1,0))*ROUND(AS616*VLOOKUP(INDEX('章节与怪物'!$E$31:$K$37,B616,6),'章节与怪物'!$A$41:$F$44,2,FALSE),0)+IF(6=D616,ROUND(AS616*'难度参数'!$E$28*'章节与怪物'!$E$17,0),0))</x:f>
        <x:v>1387778</x:v>
      </x:c>
      <x:c r="AU616" s="119" t="n">
        <x:f>IF(AR616=0,0,(AR616-IF(6=D616,1,0))*VLOOKUP(INDEX('章节与怪物'!$E$31:$K$37,B616,6),'章节与怪物'!$A$41:$F$44,4,FALSE)+IF(6=D616,'难度参数'!$E$30,0))</x:f>
        <x:v>1372</x:v>
      </x:c>
      <x:c r="AV616" s="119" t="n">
        <x:f>IF(7&gt;D616,0,MAX(2,MIN('难度参数'!$E$12,ROUND(('难度参数'!$E$18*POWER(A616,'难度参数'!$E$19)/D616*(0.85+0.3*(7-1)/MAX(1,D616-1))),0)+F616)))</x:f>
        <x:v>51</x:v>
      </x:c>
      <x:c r="AW616" s="119" t="n">
        <x:f>IF(7&gt;D616,0,ROUND(('难度参数'!$E$13*POWER(A616,'难度参数'!$E$20)*MIN('难度参数'!$E$23,1+MAX(0,A616-'难度参数'!$E$21)*'难度参数'!$E$22))*(36+7*7)/(36+7*(D616+1)/2)*E616,0))</x:f>
        <x:v>18156</x:v>
      </x:c>
      <x:c r="AX616" s="119" t="n">
        <x:f>IF(AV616=0,0,(AV616-IF(7=D616,1,0))*ROUND(AW616*VLOOKUP(INDEX('章节与怪物'!$E$31:$K$37,B616,7),'章节与怪物'!$A$41:$F$44,2,FALSE),0)+IF(7=D616,ROUND(AW616*'难度参数'!$E$28*'章节与怪物'!$E$17,0),0))</x:f>
        <x:v>1349011</x:v>
      </x:c>
      <x:c r="AY616" s="119" t="n">
        <x:f>IF(AV616=0,0,(AV616-IF(7=D616,1,0))*VLOOKUP(INDEX('章节与怪物'!$E$31:$K$37,B616,7),'章节与怪物'!$A$41:$F$44,4,FALSE)+IF(7=D616,'难度参数'!$E$30,0))</x:f>
        <x:v>1900</x:v>
      </x:c>
    </x:row>
    <x:row r="617" ht="23" customHeight="1">
      <x:c r="A617" s="119" t="n">
        <x:v>611</x:v>
      </x:c>
      <x:c r="B617" s="119" t="n">
        <x:f>MOD(INT((A617-1)/5),7)+1</x:f>
        <x:v>4</x:v>
      </x:c>
      <x:c r="C617" s="62" t="str">
        <x:f>INDEX('章节与怪物'!$B$31:$B$37,B617)</x:f>
        <x:v>翠野边城</x:v>
      </x:c>
      <x:c r="D617" s="119" t="n">
        <x:f>MIN('难度参数'!$E$8,MAX('难度参数'!$E$7,A617))</x:f>
        <x:v>7</x:v>
      </x:c>
      <x:c r="E617" s="106" t="n">
        <x:v>1</x:v>
      </x:c>
      <x:c r="F617" s="106" t="n">
        <x:v>0</x:v>
      </x:c>
      <x:c r="G617" s="106" t="n">
        <x:v>1</x:v>
      </x:c>
      <x:c r="H617" s="119" t="n">
        <x:f>SUM(X617,AB617,AF617,AJ617,AN617,AR617,AV617)</x:f>
        <x:v>312</x:v>
      </x:c>
      <x:c r="I617" s="119" t="n">
        <x:f>SUM(Z617,AD617,AH617,AL617,AP617,AT617,AX617)</x:f>
        <x:v>5033587</x:v>
      </x:c>
      <x:c r="J617" s="119" t="n">
        <x:f>ROUND(INDEX(X617:AY617,1,(D617-1)*4+2)*'难度参数'!$E$28*'章节与怪物'!$E$17,0)</x:f>
        <x:v>123604</x:v>
      </x:c>
      <x:c r="K617" s="119" t="n">
        <x:f>SUM(AA617,AE617,AI617,AM617,AQ617,AU617,AY617)</x:f>
        <x:v>7912</x:v>
      </x:c>
      <x:c r="L617" s="62" t="n">
        <x:f>H617*(ROUNDUP('难度参数'!$E$24/('难度参数'!$E$26*'难度参数'!$E$27),0)*'难度参数'!$E$26)/60</x:f>
        <x:v>4.16</x:v>
      </x:c>
      <x:c r="M617" s="62" t="n">
        <x:f>L617+D617*('难度参数'!$E$49+'难度参数'!$E$50)/60</x:f>
        <x:v>5.326666666666667</x:v>
      </x:c>
      <x:c r="N617" s="119" t="n">
        <x:f>ROUNDDOWN(('经济参数'!$E$20+A617*'经济参数'!$E$21)*G617,0)</x:f>
        <x:v>12400</x:v>
      </x:c>
      <x:c r="O617" s="119" t="n">
        <x:f>ROUNDDOWN(MIN('经济参数'!$E$24,'经济参数'!$E$22+A617*'经济参数'!$E$23)*G617,0)</x:f>
        <x:v>0</x:v>
      </x:c>
      <x:c r="P617" s="119" t="n">
        <x:f>ROUNDDOWN((IF(A617&gt;='材料与任务'!$E$31,'材料与任务'!$E$32,IF(A617&gt;='材料与任务'!$E$25,'材料与任务'!$E$26,IF(A617&gt;='材料与任务'!$E$19,'材料与任务'!$E$20,IF(A617&gt;='材料与任务'!$E$13,'材料与任务'!$E$14,'材料与任务'!$E$8)))))*G617,0)</x:f>
        <x:v>6</x:v>
      </x:c>
      <x:c r="Q617" s="119" t="n">
        <x:f>ROUNDDOWN((IF(A617&gt;='材料与任务'!$E$31,'材料与任务'!$E$33,IF(A617&gt;='材料与任务'!$E$25,'材料与任务'!$E$27,IF(A617&gt;='材料与任务'!$E$19,'材料与任务'!$E$21,IF(A617&gt;='材料与任务'!$E$13,'材料与任务'!$E$15,'材料与任务'!$E$9)))))*G617,0)</x:f>
        <x:v>3</x:v>
      </x:c>
      <x:c r="R617" s="110" t="n">
        <x:f>'装备掉落'!$B$38</x:f>
        <x:v>0.6872058758851213</x:v>
      </x:c>
      <x:c r="S617" s="119" t="n">
        <x:f>MAX(IF(VLOOKUP(A617,'装备掉落'!$A$29:$H$34,2,TRUE)&gt;0,1,0),IF(VLOOKUP(A617,'装备掉落'!$A$29:$H$34,3,TRUE)&gt;0,2,0),IF(VLOOKUP(A617,'装备掉落'!$A$29:$H$34,4,TRUE)&gt;0,3,0),IF(VLOOKUP(A617,'装备掉落'!$A$29:$H$34,5,TRUE)&gt;0,4,0),IF(VLOOKUP(A617,'装备掉落'!$A$29:$H$34,6,TRUE)&gt;0,5,0),IF(VLOOKUP(A617,'装备掉落'!$A$29:$H$34,7,TRUE)&gt;0,6,0),IF(VLOOKUP(A617,'装备掉落'!$A$29:$H$34,8,TRUE)&gt;0,7,0))</x:f>
        <x:v>7</x:v>
      </x:c>
      <x:c r="T617" s="119" t="n">
        <x:f>MIN(7,S617+'经济参数'!$E$70)</x:f>
        <x:v>7</x:v>
      </x:c>
      <x:c r="U617" s="119" t="n">
        <x:f>MIN(7,S617+'经济参数'!$E$71)</x:f>
        <x:v>7</x:v>
      </x:c>
      <x:c r="V617" s="119" t="n">
        <x:f>IF(H617&gt;=('难度参数'!$E$52),1,0)+IF(H617&gt;=('难度参数'!$E$52+'难度参数'!$E$53),1,0)+IF(H617&gt;=('难度参数'!$E$52+'难度参数'!$E$53+'难度参数'!$E$54),1,0)+IF(H617&gt;=('难度参数'!$E$52+'难度参数'!$E$53+'难度参数'!$E$54+'难度参数'!$E$55),1,0)+IF(H617&gt;=('难度参数'!$E$52+'难度参数'!$E$53+'难度参数'!$E$54+'难度参数'!$E$55+'难度参数'!$E$56),1,0)+IF(H617&gt;=('难度参数'!$E$52+'难度参数'!$E$53+'难度参数'!$E$54+'难度参数'!$E$55+'难度参数'!$E$56+'难度参数'!$E$57),1,0)</x:f>
        <x:v>6</x:v>
      </x:c>
      <x:c r="W617" s="62" t="str">
        <x:f>IF(L617&gt;'难度参数'!$E$51,"仅出怪已超目标","还需实测")</x:f>
        <x:v>仅出怪已超目标</x:v>
      </x:c>
      <x:c r="X617" s="119" t="n">
        <x:f>IF(1&gt;D617,0,MAX(2,MIN('难度参数'!$E$12,ROUND(('难度参数'!$E$18*POWER(A617,'难度参数'!$E$19)/D617*(0.85+0.3*(1-1)/MAX(1,D617-1))),0)+F617)))</x:f>
        <x:v>38</x:v>
      </x:c>
      <x:c r="Y617" s="119" t="n">
        <x:f>IF(1&gt;D617,0,ROUND(('难度参数'!$E$13*POWER(A617,'难度参数'!$E$20)*MIN('难度参数'!$E$23,1+MAX(0,A617-'难度参数'!$E$21)*'难度参数'!$E$22))*(36+1*7)/(36+7*(D617+1)/2)*E617,0))</x:f>
        <x:v>9195</x:v>
      </x:c>
      <x:c r="Z617" s="119" t="n">
        <x:f>IF(X617=0,0,(X617-IF(1=D617,1,0))*ROUND(Y617*VLOOKUP(INDEX('章节与怪物'!$E$31:$K$37,B617,1),'章节与怪物'!$A$41:$F$44,2,FALSE),0)+IF(1=D617,ROUND(Y617*'难度参数'!$E$28*'章节与怪物'!$E$17,0),0))</x:f>
        <x:v>251560</x:v>
      </x:c>
      <x:c r="AA617" s="119" t="n">
        <x:f>IF(X617=0,0,(X617-IF(1=D617,1,0))*VLOOKUP(INDEX('章节与怪物'!$E$31:$K$37,B617,1),'章节与怪物'!$A$41:$F$44,4,FALSE)+IF(1=D617,'难度参数'!$E$30,0))</x:f>
        <x:v>760</x:v>
      </x:c>
      <x:c r="AB617" s="119" t="n">
        <x:f>IF(2&gt;D617,0,MAX(2,MIN('难度参数'!$E$12,ROUND(('难度参数'!$E$18*POWER(A617,'难度参数'!$E$19)/D617*(0.85+0.3*(2-1)/MAX(1,D617-1))),0)+F617)))</x:f>
        <x:v>40</x:v>
      </x:c>
      <x:c r="AC617" s="119" t="n">
        <x:f>IF(2&gt;D617,0,ROUND(('难度参数'!$E$13*POWER(A617,'难度参数'!$E$20)*MIN('难度参数'!$E$23,1+MAX(0,A617-'难度参数'!$E$21)*'难度参数'!$E$22))*(36+2*7)/(36+7*(D617+1)/2)*E617,0))</x:f>
        <x:v>10692</x:v>
      </x:c>
      <x:c r="AD617" s="119" t="n">
        <x:f>IF(AB617=0,0,(AB617-IF(2=D617,1,0))*ROUND(AC617*VLOOKUP(INDEX('章节与怪物'!$E$31:$K$37,B617,2),'章节与怪物'!$A$41:$F$44,2,FALSE),0)+IF(2=D617,ROUND(AC617*'难度参数'!$E$28*'章节与怪物'!$E$17,0),0))</x:f>
        <x:v>427680</x:v>
      </x:c>
      <x:c r="AE617" s="119" t="n">
        <x:f>IF(AB617=0,0,(AB617-IF(2=D617,1,0))*VLOOKUP(INDEX('章节与怪物'!$E$31:$K$37,B617,2),'章节与怪物'!$A$41:$F$44,4,FALSE)+IF(2=D617,'难度参数'!$E$30,0))</x:f>
        <x:v>720</x:v>
      </x:c>
      <x:c r="AF617" s="119" t="n">
        <x:f>IF(3&gt;D617,0,MAX(2,MIN('难度参数'!$E$12,ROUND(('难度参数'!$E$18*POWER(A617,'难度参数'!$E$19)/D617*(0.85+0.3*(3-1)/MAX(1,D617-1))),0)+F617)))</x:f>
        <x:v>42</x:v>
      </x:c>
      <x:c r="AG617" s="119" t="n">
        <x:f>IF(3&gt;D617,0,ROUND(('难度参数'!$E$13*POWER(A617,'难度参数'!$E$20)*MIN('难度参数'!$E$23,1+MAX(0,A617-'难度参数'!$E$21)*'难度参数'!$E$22))*(36+3*7)/(36+7*(D617+1)/2)*E617,0))</x:f>
        <x:v>12189</x:v>
      </x:c>
      <x:c r="AH617" s="119" t="n">
        <x:f>IF(AF617=0,0,(AF617-IF(3=D617,1,0))*ROUND(AG617*VLOOKUP(INDEX('章节与怪物'!$E$31:$K$37,B617,3),'章节与怪物'!$A$41:$F$44,2,FALSE),0)+IF(3=D617,ROUND(AG617*'难度参数'!$E$28*'章节与怪物'!$E$17,0),0))</x:f>
        <x:v>870282</x:v>
      </x:c>
      <x:c r="AI617" s="119" t="n">
        <x:f>IF(AF617=0,0,(AF617-IF(3=D617,1,0))*VLOOKUP(INDEX('章节与怪物'!$E$31:$K$37,B617,3),'章节与怪物'!$A$41:$F$44,4,FALSE)+IF(3=D617,'难度参数'!$E$30,0))</x:f>
        <x:v>1176</x:v>
      </x:c>
      <x:c r="AJ617" s="119" t="n">
        <x:f>IF(4&gt;D617,0,MAX(2,MIN('难度参数'!$E$12,ROUND(('难度参数'!$E$18*POWER(A617,'难度参数'!$E$19)/D617*(0.85+0.3*(4-1)/MAX(1,D617-1))),0)+F617)))</x:f>
        <x:v>45</x:v>
      </x:c>
      <x:c r="AK617" s="119" t="n">
        <x:f>IF(4&gt;D617,0,ROUND(('难度参数'!$E$13*POWER(A617,'难度参数'!$E$20)*MIN('难度参数'!$E$23,1+MAX(0,A617-'难度参数'!$E$21)*'难度参数'!$E$22))*(36+4*7)/(36+7*(D617+1)/2)*E617,0))</x:f>
        <x:v>13686</x:v>
      </x:c>
      <x:c r="AL617" s="119" t="n">
        <x:f>IF(AJ617=0,0,(AJ617-IF(4=D617,1,0))*ROUND(AK617*VLOOKUP(INDEX('章节与怪物'!$E$31:$K$37,B617,4),'章节与怪物'!$A$41:$F$44,2,FALSE),0)+IF(4=D617,ROUND(AK617*'难度参数'!$E$28*'章节与怪物'!$E$17,0),0))</x:f>
        <x:v>831420</x:v>
      </x:c>
      <x:c r="AM617" s="119" t="n">
        <x:f>IF(AJ617=0,0,(AJ617-IF(4=D617,1,0))*VLOOKUP(INDEX('章节与怪物'!$E$31:$K$37,B617,4),'章节与怪物'!$A$41:$F$44,4,FALSE)+IF(4=D617,'难度参数'!$E$30,0))</x:f>
        <x:v>1530</x:v>
      </x:c>
      <x:c r="AN617" s="119" t="n">
        <x:f>IF(5&gt;D617,0,MAX(2,MIN('难度参数'!$E$12,ROUND(('难度参数'!$E$18*POWER(A617,'难度参数'!$E$19)/D617*(0.85+0.3*(5-1)/MAX(1,D617-1))),0)+F617)))</x:f>
        <x:v>47</x:v>
      </x:c>
      <x:c r="AO617" s="119" t="n">
        <x:f>IF(5&gt;D617,0,ROUND(('难度参数'!$E$13*POWER(A617,'难度参数'!$E$20)*MIN('难度参数'!$E$23,1+MAX(0,A617-'难度参数'!$E$21)*'难度参数'!$E$22))*(36+5*7)/(36+7*(D617+1)/2)*E617,0))</x:f>
        <x:v>15183</x:v>
      </x:c>
      <x:c r="AP617" s="119" t="n">
        <x:f>IF(AN617=0,0,(AN617-IF(5=D617,1,0))*ROUND(AO617*VLOOKUP(INDEX('章节与怪物'!$E$31:$K$37,B617,5),'章节与怪物'!$A$41:$F$44,2,FALSE),0)+IF(5=D617,ROUND(AO617*'难度参数'!$E$28*'章节与怪物'!$E$17,0),0))</x:f>
        <x:v>713601</x:v>
      </x:c>
      <x:c r="AQ617" s="119" t="n">
        <x:f>IF(AN617=0,0,(AN617-IF(5=D617,1,0))*VLOOKUP(INDEX('章节与怪物'!$E$31:$K$37,B617,5),'章节与怪物'!$A$41:$F$44,4,FALSE)+IF(5=D617,'难度参数'!$E$30,0))</x:f>
        <x:v>846</x:v>
      </x:c>
      <x:c r="AR617" s="119" t="n">
        <x:f>IF(6&gt;D617,0,MAX(2,MIN('难度参数'!$E$12,ROUND(('难度参数'!$E$18*POWER(A617,'难度参数'!$E$19)/D617*(0.85+0.3*(6-1)/MAX(1,D617-1))),0)+F617)))</x:f>
        <x:v>49</x:v>
      </x:c>
      <x:c r="AS617" s="119" t="n">
        <x:f>IF(6&gt;D617,0,ROUND(('难度参数'!$E$13*POWER(A617,'难度参数'!$E$20)*MIN('难度参数'!$E$23,1+MAX(0,A617-'难度参数'!$E$21)*'难度参数'!$E$22))*(36+6*7)/(36+7*(D617+1)/2)*E617,0))</x:f>
        <x:v>16680</x:v>
      </x:c>
      <x:c r="AT617" s="119" t="n">
        <x:f>IF(AR617=0,0,(AR617-IF(6=D617,1,0))*ROUND(AS617*VLOOKUP(INDEX('章节与怪物'!$E$31:$K$37,B617,6),'章节与怪物'!$A$41:$F$44,2,FALSE),0)+IF(6=D617,ROUND(AS617*'难度参数'!$E$28*'章节与怪物'!$E$17,0),0))</x:f>
        <x:v>588490</x:v>
      </x:c>
      <x:c r="AU617" s="119" t="n">
        <x:f>IF(AR617=0,0,(AR617-IF(6=D617,1,0))*VLOOKUP(INDEX('章节与怪物'!$E$31:$K$37,B617,6),'章节与怪物'!$A$41:$F$44,4,FALSE)+IF(6=D617,'难度参数'!$E$30,0))</x:f>
        <x:v>980</x:v>
      </x:c>
      <x:c r="AV617" s="119" t="n">
        <x:f>IF(7&gt;D617,0,MAX(2,MIN('难度参数'!$E$12,ROUND(('难度参数'!$E$18*POWER(A617,'难度参数'!$E$19)/D617*(0.85+0.3*(7-1)/MAX(1,D617-1))),0)+F617)))</x:f>
        <x:v>51</x:v>
      </x:c>
      <x:c r="AW617" s="119" t="n">
        <x:f>IF(7&gt;D617,0,ROUND(('难度参数'!$E$13*POWER(A617,'难度参数'!$E$20)*MIN('难度参数'!$E$23,1+MAX(0,A617-'难度参数'!$E$21)*'难度参数'!$E$22))*(36+7*7)/(36+7*(D617+1)/2)*E617,0))</x:f>
        <x:v>18177</x:v>
      </x:c>
      <x:c r="AX617" s="119" t="n">
        <x:f>IF(AV617=0,0,(AV617-IF(7=D617,1,0))*ROUND(AW617*VLOOKUP(INDEX('章节与怪物'!$E$31:$K$37,B617,7),'章节与怪物'!$A$41:$F$44,2,FALSE),0)+IF(7=D617,ROUND(AW617*'难度参数'!$E$28*'章节与怪物'!$E$17,0),0))</x:f>
        <x:v>1350554</x:v>
      </x:c>
      <x:c r="AY617" s="119" t="n">
        <x:f>IF(AV617=0,0,(AV617-IF(7=D617,1,0))*VLOOKUP(INDEX('章节与怪物'!$E$31:$K$37,B617,7),'章节与怪物'!$A$41:$F$44,4,FALSE)+IF(7=D617,'难度参数'!$E$30,0))</x:f>
        <x:v>1900</x:v>
      </x:c>
    </x:row>
    <x:row r="618" ht="23" customHeight="1">
      <x:c r="A618" s="119" t="n">
        <x:v>612</x:v>
      </x:c>
      <x:c r="B618" s="119" t="n">
        <x:f>MOD(INT((A618-1)/5),7)+1</x:f>
        <x:v>4</x:v>
      </x:c>
      <x:c r="C618" s="62" t="str">
        <x:f>INDEX('章节与怪物'!$B$31:$B$37,B618)</x:f>
        <x:v>翠野边城</x:v>
      </x:c>
      <x:c r="D618" s="119" t="n">
        <x:f>MIN('难度参数'!$E$8,MAX('难度参数'!$E$7,A618))</x:f>
        <x:v>7</x:v>
      </x:c>
      <x:c r="E618" s="106" t="n">
        <x:v>1</x:v>
      </x:c>
      <x:c r="F618" s="106" t="n">
        <x:v>0</x:v>
      </x:c>
      <x:c r="G618" s="106" t="n">
        <x:v>1</x:v>
      </x:c>
      <x:c r="H618" s="119" t="n">
        <x:f>SUM(X618,AB618,AF618,AJ618,AN618,AR618,AV618)</x:f>
        <x:v>312</x:v>
      </x:c>
      <x:c r="I618" s="119" t="n">
        <x:f>SUM(Z618,AD618,AH618,AL618,AP618,AT618,AX618)</x:f>
        <x:v>5039567</x:v>
      </x:c>
      <x:c r="J618" s="119" t="n">
        <x:f>ROUND(INDEX(X618:AY618,1,(D618-1)*4+2)*'难度参数'!$E$28*'章节与怪物'!$E$17,0)</x:f>
        <x:v>123746</x:v>
      </x:c>
      <x:c r="K618" s="119" t="n">
        <x:f>SUM(AA618,AE618,AI618,AM618,AQ618,AU618,AY618)</x:f>
        <x:v>7912</x:v>
      </x:c>
      <x:c r="L618" s="62" t="n">
        <x:f>H618*(ROUNDUP('难度参数'!$E$24/('难度参数'!$E$26*'难度参数'!$E$27),0)*'难度参数'!$E$26)/60</x:f>
        <x:v>4.16</x:v>
      </x:c>
      <x:c r="M618" s="62" t="n">
        <x:f>L618+D618*('难度参数'!$E$49+'难度参数'!$E$50)/60</x:f>
        <x:v>5.326666666666667</x:v>
      </x:c>
      <x:c r="N618" s="119" t="n">
        <x:f>ROUNDDOWN(('经济参数'!$E$20+A618*'经济参数'!$E$21)*G618,0)</x:f>
        <x:v>12420</x:v>
      </x:c>
      <x:c r="O618" s="119" t="n">
        <x:f>ROUNDDOWN(MIN('经济参数'!$E$24,'经济参数'!$E$22+A618*'经济参数'!$E$23)*G618,0)</x:f>
        <x:v>0</x:v>
      </x:c>
      <x:c r="P618" s="119" t="n">
        <x:f>ROUNDDOWN((IF(A618&gt;='材料与任务'!$E$31,'材料与任务'!$E$32,IF(A618&gt;='材料与任务'!$E$25,'材料与任务'!$E$26,IF(A618&gt;='材料与任务'!$E$19,'材料与任务'!$E$20,IF(A618&gt;='材料与任务'!$E$13,'材料与任务'!$E$14,'材料与任务'!$E$8)))))*G618,0)</x:f>
        <x:v>6</x:v>
      </x:c>
      <x:c r="Q618" s="119" t="n">
        <x:f>ROUNDDOWN((IF(A618&gt;='材料与任务'!$E$31,'材料与任务'!$E$33,IF(A618&gt;='材料与任务'!$E$25,'材料与任务'!$E$27,IF(A618&gt;='材料与任务'!$E$19,'材料与任务'!$E$21,IF(A618&gt;='材料与任务'!$E$13,'材料与任务'!$E$15,'材料与任务'!$E$9)))))*G618,0)</x:f>
        <x:v>3</x:v>
      </x:c>
      <x:c r="R618" s="110" t="n">
        <x:f>'装备掉落'!$B$38</x:f>
        <x:v>0.6872058758851213</x:v>
      </x:c>
      <x:c r="S618" s="119" t="n">
        <x:f>MAX(IF(VLOOKUP(A618,'装备掉落'!$A$29:$H$34,2,TRUE)&gt;0,1,0),IF(VLOOKUP(A618,'装备掉落'!$A$29:$H$34,3,TRUE)&gt;0,2,0),IF(VLOOKUP(A618,'装备掉落'!$A$29:$H$34,4,TRUE)&gt;0,3,0),IF(VLOOKUP(A618,'装备掉落'!$A$29:$H$34,5,TRUE)&gt;0,4,0),IF(VLOOKUP(A618,'装备掉落'!$A$29:$H$34,6,TRUE)&gt;0,5,0),IF(VLOOKUP(A618,'装备掉落'!$A$29:$H$34,7,TRUE)&gt;0,6,0),IF(VLOOKUP(A618,'装备掉落'!$A$29:$H$34,8,TRUE)&gt;0,7,0))</x:f>
        <x:v>7</x:v>
      </x:c>
      <x:c r="T618" s="119" t="n">
        <x:f>MIN(7,S618+'经济参数'!$E$70)</x:f>
        <x:v>7</x:v>
      </x:c>
      <x:c r="U618" s="119" t="n">
        <x:f>MIN(7,S618+'经济参数'!$E$71)</x:f>
        <x:v>7</x:v>
      </x:c>
      <x:c r="V618" s="119" t="n">
        <x:f>IF(H618&gt;=('难度参数'!$E$52),1,0)+IF(H618&gt;=('难度参数'!$E$52+'难度参数'!$E$53),1,0)+IF(H618&gt;=('难度参数'!$E$52+'难度参数'!$E$53+'难度参数'!$E$54),1,0)+IF(H618&gt;=('难度参数'!$E$52+'难度参数'!$E$53+'难度参数'!$E$54+'难度参数'!$E$55),1,0)+IF(H618&gt;=('难度参数'!$E$52+'难度参数'!$E$53+'难度参数'!$E$54+'难度参数'!$E$55+'难度参数'!$E$56),1,0)+IF(H618&gt;=('难度参数'!$E$52+'难度参数'!$E$53+'难度参数'!$E$54+'难度参数'!$E$55+'难度参数'!$E$56+'难度参数'!$E$57),1,0)</x:f>
        <x:v>6</x:v>
      </x:c>
      <x:c r="W618" s="62" t="str">
        <x:f>IF(L618&gt;'难度参数'!$E$51,"仅出怪已超目标","还需实测")</x:f>
        <x:v>仅出怪已超目标</x:v>
      </x:c>
      <x:c r="X618" s="119" t="n">
        <x:f>IF(1&gt;D618,0,MAX(2,MIN('难度参数'!$E$12,ROUND(('难度参数'!$E$18*POWER(A618,'难度参数'!$E$19)/D618*(0.85+0.3*(1-1)/MAX(1,D618-1))),0)+F618)))</x:f>
        <x:v>38</x:v>
      </x:c>
      <x:c r="Y618" s="119" t="n">
        <x:f>IF(1&gt;D618,0,ROUND(('难度参数'!$E$13*POWER(A618,'难度参数'!$E$20)*MIN('难度参数'!$E$23,1+MAX(0,A618-'难度参数'!$E$21)*'难度参数'!$E$22))*(36+1*7)/(36+7*(D618+1)/2)*E618,0))</x:f>
        <x:v>9206</x:v>
      </x:c>
      <x:c r="Z618" s="119" t="n">
        <x:f>IF(X618=0,0,(X618-IF(1=D618,1,0))*ROUND(Y618*VLOOKUP(INDEX('章节与怪物'!$E$31:$K$37,B618,1),'章节与怪物'!$A$41:$F$44,2,FALSE),0)+IF(1=D618,ROUND(Y618*'难度参数'!$E$28*'章节与怪物'!$E$17,0),0))</x:f>
        <x:v>251864</x:v>
      </x:c>
      <x:c r="AA618" s="119" t="n">
        <x:f>IF(X618=0,0,(X618-IF(1=D618,1,0))*VLOOKUP(INDEX('章节与怪物'!$E$31:$K$37,B618,1),'章节与怪物'!$A$41:$F$44,4,FALSE)+IF(1=D618,'难度参数'!$E$30,0))</x:f>
        <x:v>760</x:v>
      </x:c>
      <x:c r="AB618" s="119" t="n">
        <x:f>IF(2&gt;D618,0,MAX(2,MIN('难度参数'!$E$12,ROUND(('难度参数'!$E$18*POWER(A618,'难度参数'!$E$19)/D618*(0.85+0.3*(2-1)/MAX(1,D618-1))),0)+F618)))</x:f>
        <x:v>40</x:v>
      </x:c>
      <x:c r="AC618" s="119" t="n">
        <x:f>IF(2&gt;D618,0,ROUND(('难度参数'!$E$13*POWER(A618,'难度参数'!$E$20)*MIN('难度参数'!$E$23,1+MAX(0,A618-'难度参数'!$E$21)*'难度参数'!$E$22))*(36+2*7)/(36+7*(D618+1)/2)*E618,0))</x:f>
        <x:v>10705</x:v>
      </x:c>
      <x:c r="AD618" s="119" t="n">
        <x:f>IF(AB618=0,0,(AB618-IF(2=D618,1,0))*ROUND(AC618*VLOOKUP(INDEX('章节与怪物'!$E$31:$K$37,B618,2),'章节与怪物'!$A$41:$F$44,2,FALSE),0)+IF(2=D618,ROUND(AC618*'难度参数'!$E$28*'章节与怪物'!$E$17,0),0))</x:f>
        <x:v>428200</x:v>
      </x:c>
      <x:c r="AE618" s="119" t="n">
        <x:f>IF(AB618=0,0,(AB618-IF(2=D618,1,0))*VLOOKUP(INDEX('章节与怪物'!$E$31:$K$37,B618,2),'章节与怪物'!$A$41:$F$44,4,FALSE)+IF(2=D618,'难度参数'!$E$30,0))</x:f>
        <x:v>720</x:v>
      </x:c>
      <x:c r="AF618" s="119" t="n">
        <x:f>IF(3&gt;D618,0,MAX(2,MIN('难度参数'!$E$12,ROUND(('难度参数'!$E$18*POWER(A618,'难度参数'!$E$19)/D618*(0.85+0.3*(3-1)/MAX(1,D618-1))),0)+F618)))</x:f>
        <x:v>42</x:v>
      </x:c>
      <x:c r="AG618" s="119" t="n">
        <x:f>IF(3&gt;D618,0,ROUND(('难度参数'!$E$13*POWER(A618,'难度参数'!$E$20)*MIN('难度参数'!$E$23,1+MAX(0,A618-'难度参数'!$E$21)*'难度参数'!$E$22))*(36+3*7)/(36+7*(D618+1)/2)*E618,0))</x:f>
        <x:v>12204</x:v>
      </x:c>
      <x:c r="AH618" s="119" t="n">
        <x:f>IF(AF618=0,0,(AF618-IF(3=D618,1,0))*ROUND(AG618*VLOOKUP(INDEX('章节与怪物'!$E$31:$K$37,B618,3),'章节与怪物'!$A$41:$F$44,2,FALSE),0)+IF(3=D618,ROUND(AG618*'难度参数'!$E$28*'章节与怪物'!$E$17,0),0))</x:f>
        <x:v>871374</x:v>
      </x:c>
      <x:c r="AI618" s="119" t="n">
        <x:f>IF(AF618=0,0,(AF618-IF(3=D618,1,0))*VLOOKUP(INDEX('章节与怪物'!$E$31:$K$37,B618,3),'章节与怪物'!$A$41:$F$44,4,FALSE)+IF(3=D618,'难度参数'!$E$30,0))</x:f>
        <x:v>1176</x:v>
      </x:c>
      <x:c r="AJ618" s="119" t="n">
        <x:f>IF(4&gt;D618,0,MAX(2,MIN('难度参数'!$E$12,ROUND(('难度参数'!$E$18*POWER(A618,'难度参数'!$E$19)/D618*(0.85+0.3*(4-1)/MAX(1,D618-1))),0)+F618)))</x:f>
        <x:v>45</x:v>
      </x:c>
      <x:c r="AK618" s="119" t="n">
        <x:f>IF(4&gt;D618,0,ROUND(('难度参数'!$E$13*POWER(A618,'难度参数'!$E$20)*MIN('难度参数'!$E$23,1+MAX(0,A618-'难度参数'!$E$21)*'难度参数'!$E$22))*(36+4*7)/(36+7*(D618+1)/2)*E618,0))</x:f>
        <x:v>13702</x:v>
      </x:c>
      <x:c r="AL618" s="119" t="n">
        <x:f>IF(AJ618=0,0,(AJ618-IF(4=D618,1,0))*ROUND(AK618*VLOOKUP(INDEX('章节与怪物'!$E$31:$K$37,B618,4),'章节与怪物'!$A$41:$F$44,2,FALSE),0)+IF(4=D618,ROUND(AK618*'难度参数'!$E$28*'章节与怪物'!$E$17,0),0))</x:f>
        <x:v>832410</x:v>
      </x:c>
      <x:c r="AM618" s="119" t="n">
        <x:f>IF(AJ618=0,0,(AJ618-IF(4=D618,1,0))*VLOOKUP(INDEX('章节与怪物'!$E$31:$K$37,B618,4),'章节与怪物'!$A$41:$F$44,4,FALSE)+IF(4=D618,'难度参数'!$E$30,0))</x:f>
        <x:v>1530</x:v>
      </x:c>
      <x:c r="AN618" s="119" t="n">
        <x:f>IF(5&gt;D618,0,MAX(2,MIN('难度参数'!$E$12,ROUND(('难度参数'!$E$18*POWER(A618,'难度参数'!$E$19)/D618*(0.85+0.3*(5-1)/MAX(1,D618-1))),0)+F618)))</x:f>
        <x:v>47</x:v>
      </x:c>
      <x:c r="AO618" s="119" t="n">
        <x:f>IF(5&gt;D618,0,ROUND(('难度参数'!$E$13*POWER(A618,'难度参数'!$E$20)*MIN('难度参数'!$E$23,1+MAX(0,A618-'难度参数'!$E$21)*'难度参数'!$E$22))*(36+5*7)/(36+7*(D618+1)/2)*E618,0))</x:f>
        <x:v>15201</x:v>
      </x:c>
      <x:c r="AP618" s="119" t="n">
        <x:f>IF(AN618=0,0,(AN618-IF(5=D618,1,0))*ROUND(AO618*VLOOKUP(INDEX('章节与怪物'!$E$31:$K$37,B618,5),'章节与怪物'!$A$41:$F$44,2,FALSE),0)+IF(5=D618,ROUND(AO618*'难度参数'!$E$28*'章节与怪物'!$E$17,0),0))</x:f>
        <x:v>714447</x:v>
      </x:c>
      <x:c r="AQ618" s="119" t="n">
        <x:f>IF(AN618=0,0,(AN618-IF(5=D618,1,0))*VLOOKUP(INDEX('章节与怪物'!$E$31:$K$37,B618,5),'章节与怪物'!$A$41:$F$44,4,FALSE)+IF(5=D618,'难度参数'!$E$30,0))</x:f>
        <x:v>846</x:v>
      </x:c>
      <x:c r="AR618" s="119" t="n">
        <x:f>IF(6&gt;D618,0,MAX(2,MIN('难度参数'!$E$12,ROUND(('难度参数'!$E$18*POWER(A618,'难度参数'!$E$19)/D618*(0.85+0.3*(6-1)/MAX(1,D618-1))),0)+F618)))</x:f>
        <x:v>49</x:v>
      </x:c>
      <x:c r="AS618" s="119" t="n">
        <x:f>IF(6&gt;D618,0,ROUND(('难度参数'!$E$13*POWER(A618,'难度参数'!$E$20)*MIN('难度参数'!$E$23,1+MAX(0,A618-'难度参数'!$E$21)*'难度参数'!$E$22))*(36+6*7)/(36+7*(D618+1)/2)*E618,0))</x:f>
        <x:v>16700</x:v>
      </x:c>
      <x:c r="AT618" s="119" t="n">
        <x:f>IF(AR618=0,0,(AR618-IF(6=D618,1,0))*ROUND(AS618*VLOOKUP(INDEX('章节与怪物'!$E$31:$K$37,B618,6),'章节与怪物'!$A$41:$F$44,2,FALSE),0)+IF(6=D618,ROUND(AS618*'难度参数'!$E$28*'章节与怪物'!$E$17,0),0))</x:f>
        <x:v>589176</x:v>
      </x:c>
      <x:c r="AU618" s="119" t="n">
        <x:f>IF(AR618=0,0,(AR618-IF(6=D618,1,0))*VLOOKUP(INDEX('章节与怪物'!$E$31:$K$37,B618,6),'章节与怪物'!$A$41:$F$44,4,FALSE)+IF(6=D618,'难度参数'!$E$30,0))</x:f>
        <x:v>980</x:v>
      </x:c>
      <x:c r="AV618" s="119" t="n">
        <x:f>IF(7&gt;D618,0,MAX(2,MIN('难度参数'!$E$12,ROUND(('难度参数'!$E$18*POWER(A618,'难度参数'!$E$19)/D618*(0.85+0.3*(7-1)/MAX(1,D618-1))),0)+F618)))</x:f>
        <x:v>51</x:v>
      </x:c>
      <x:c r="AW618" s="119" t="n">
        <x:f>IF(7&gt;D618,0,ROUND(('难度参数'!$E$13*POWER(A618,'难度参数'!$E$20)*MIN('难度参数'!$E$23,1+MAX(0,A618-'难度参数'!$E$21)*'难度参数'!$E$22))*(36+7*7)/(36+7*(D618+1)/2)*E618,0))</x:f>
        <x:v>18198</x:v>
      </x:c>
      <x:c r="AX618" s="119" t="n">
        <x:f>IF(AV618=0,0,(AV618-IF(7=D618,1,0))*ROUND(AW618*VLOOKUP(INDEX('章节与怪物'!$E$31:$K$37,B618,7),'章节与怪物'!$A$41:$F$44,2,FALSE),0)+IF(7=D618,ROUND(AW618*'难度参数'!$E$28*'章节与怪物'!$E$17,0),0))</x:f>
        <x:v>1352096</x:v>
      </x:c>
      <x:c r="AY618" s="119" t="n">
        <x:f>IF(AV618=0,0,(AV618-IF(7=D618,1,0))*VLOOKUP(INDEX('章节与怪物'!$E$31:$K$37,B618,7),'章节与怪物'!$A$41:$F$44,4,FALSE)+IF(7=D618,'难度参数'!$E$30,0))</x:f>
        <x:v>1900</x:v>
      </x:c>
    </x:row>
    <x:row r="619" ht="23" customHeight="1">
      <x:c r="A619" s="119" t="n">
        <x:v>613</x:v>
      </x:c>
      <x:c r="B619" s="119" t="n">
        <x:f>MOD(INT((A619-1)/5),7)+1</x:f>
        <x:v>4</x:v>
      </x:c>
      <x:c r="C619" s="62" t="str">
        <x:f>INDEX('章节与怪物'!$B$31:$B$37,B619)</x:f>
        <x:v>翠野边城</x:v>
      </x:c>
      <x:c r="D619" s="119" t="n">
        <x:f>MIN('难度参数'!$E$8,MAX('难度参数'!$E$7,A619))</x:f>
        <x:v>7</x:v>
      </x:c>
      <x:c r="E619" s="106" t="n">
        <x:v>1</x:v>
      </x:c>
      <x:c r="F619" s="106" t="n">
        <x:v>0</x:v>
      </x:c>
      <x:c r="G619" s="106" t="n">
        <x:v>1</x:v>
      </x:c>
      <x:c r="H619" s="119" t="n">
        <x:f>SUM(X619,AB619,AF619,AJ619,AN619,AR619,AV619)</x:f>
        <x:v>312</x:v>
      </x:c>
      <x:c r="I619" s="119" t="n">
        <x:f>SUM(Z619,AD619,AH619,AL619,AP619,AT619,AX619)</x:f>
        <x:v>5045526</x:v>
      </x:c>
      <x:c r="J619" s="119" t="n">
        <x:f>ROUND(INDEX(X619:AY619,1,(D619-1)*4+2)*'难度参数'!$E$28*'章节与怪物'!$E$17,0)</x:f>
        <x:v>123896</x:v>
      </x:c>
      <x:c r="K619" s="119" t="n">
        <x:f>SUM(AA619,AE619,AI619,AM619,AQ619,AU619,AY619)</x:f>
        <x:v>7912</x:v>
      </x:c>
      <x:c r="L619" s="62" t="n">
        <x:f>H619*(ROUNDUP('难度参数'!$E$24/('难度参数'!$E$26*'难度参数'!$E$27),0)*'难度参数'!$E$26)/60</x:f>
        <x:v>4.16</x:v>
      </x:c>
      <x:c r="M619" s="62" t="n">
        <x:f>L619+D619*('难度参数'!$E$49+'难度参数'!$E$50)/60</x:f>
        <x:v>5.326666666666667</x:v>
      </x:c>
      <x:c r="N619" s="119" t="n">
        <x:f>ROUNDDOWN(('经济参数'!$E$20+A619*'经济参数'!$E$21)*G619,0)</x:f>
        <x:v>12440</x:v>
      </x:c>
      <x:c r="O619" s="119" t="n">
        <x:f>ROUNDDOWN(MIN('经济参数'!$E$24,'经济参数'!$E$22+A619*'经济参数'!$E$23)*G619,0)</x:f>
        <x:v>0</x:v>
      </x:c>
      <x:c r="P619" s="119" t="n">
        <x:f>ROUNDDOWN((IF(A619&gt;='材料与任务'!$E$31,'材料与任务'!$E$32,IF(A619&gt;='材料与任务'!$E$25,'材料与任务'!$E$26,IF(A619&gt;='材料与任务'!$E$19,'材料与任务'!$E$20,IF(A619&gt;='材料与任务'!$E$13,'材料与任务'!$E$14,'材料与任务'!$E$8)))))*G619,0)</x:f>
        <x:v>6</x:v>
      </x:c>
      <x:c r="Q619" s="119" t="n">
        <x:f>ROUNDDOWN((IF(A619&gt;='材料与任务'!$E$31,'材料与任务'!$E$33,IF(A619&gt;='材料与任务'!$E$25,'材料与任务'!$E$27,IF(A619&gt;='材料与任务'!$E$19,'材料与任务'!$E$21,IF(A619&gt;='材料与任务'!$E$13,'材料与任务'!$E$15,'材料与任务'!$E$9)))))*G619,0)</x:f>
        <x:v>3</x:v>
      </x:c>
      <x:c r="R619" s="110" t="n">
        <x:f>'装备掉落'!$B$38</x:f>
        <x:v>0.6872058758851213</x:v>
      </x:c>
      <x:c r="S619" s="119" t="n">
        <x:f>MAX(IF(VLOOKUP(A619,'装备掉落'!$A$29:$H$34,2,TRUE)&gt;0,1,0),IF(VLOOKUP(A619,'装备掉落'!$A$29:$H$34,3,TRUE)&gt;0,2,0),IF(VLOOKUP(A619,'装备掉落'!$A$29:$H$34,4,TRUE)&gt;0,3,0),IF(VLOOKUP(A619,'装备掉落'!$A$29:$H$34,5,TRUE)&gt;0,4,0),IF(VLOOKUP(A619,'装备掉落'!$A$29:$H$34,6,TRUE)&gt;0,5,0),IF(VLOOKUP(A619,'装备掉落'!$A$29:$H$34,7,TRUE)&gt;0,6,0),IF(VLOOKUP(A619,'装备掉落'!$A$29:$H$34,8,TRUE)&gt;0,7,0))</x:f>
        <x:v>7</x:v>
      </x:c>
      <x:c r="T619" s="119" t="n">
        <x:f>MIN(7,S619+'经济参数'!$E$70)</x:f>
        <x:v>7</x:v>
      </x:c>
      <x:c r="U619" s="119" t="n">
        <x:f>MIN(7,S619+'经济参数'!$E$71)</x:f>
        <x:v>7</x:v>
      </x:c>
      <x:c r="V619" s="119" t="n">
        <x:f>IF(H619&gt;=('难度参数'!$E$52),1,0)+IF(H619&gt;=('难度参数'!$E$52+'难度参数'!$E$53),1,0)+IF(H619&gt;=('难度参数'!$E$52+'难度参数'!$E$53+'难度参数'!$E$54),1,0)+IF(H619&gt;=('难度参数'!$E$52+'难度参数'!$E$53+'难度参数'!$E$54+'难度参数'!$E$55),1,0)+IF(H619&gt;=('难度参数'!$E$52+'难度参数'!$E$53+'难度参数'!$E$54+'难度参数'!$E$55+'难度参数'!$E$56),1,0)+IF(H619&gt;=('难度参数'!$E$52+'难度参数'!$E$53+'难度参数'!$E$54+'难度参数'!$E$55+'难度参数'!$E$56+'难度参数'!$E$57),1,0)</x:f>
        <x:v>6</x:v>
      </x:c>
      <x:c r="W619" s="62" t="str">
        <x:f>IF(L619&gt;'难度参数'!$E$51,"仅出怪已超目标","还需实测")</x:f>
        <x:v>仅出怪已超目标</x:v>
      </x:c>
      <x:c r="X619" s="119" t="n">
        <x:f>IF(1&gt;D619,0,MAX(2,MIN('难度参数'!$E$12,ROUND(('难度参数'!$E$18*POWER(A619,'难度参数'!$E$19)/D619*(0.85+0.3*(1-1)/MAX(1,D619-1))),0)+F619)))</x:f>
        <x:v>38</x:v>
      </x:c>
      <x:c r="Y619" s="119" t="n">
        <x:f>IF(1&gt;D619,0,ROUND(('难度参数'!$E$13*POWER(A619,'难度参数'!$E$20)*MIN('难度参数'!$E$23,1+MAX(0,A619-'难度参数'!$E$21)*'难度参数'!$E$22))*(36+1*7)/(36+7*(D619+1)/2)*E619,0))</x:f>
        <x:v>9217</x:v>
      </x:c>
      <x:c r="Z619" s="119" t="n">
        <x:f>IF(X619=0,0,(X619-IF(1=D619,1,0))*ROUND(Y619*VLOOKUP(INDEX('章节与怪物'!$E$31:$K$37,B619,1),'章节与怪物'!$A$41:$F$44,2,FALSE),0)+IF(1=D619,ROUND(Y619*'难度参数'!$E$28*'章节与怪物'!$E$17,0),0))</x:f>
        <x:v>252168</x:v>
      </x:c>
      <x:c r="AA619" s="119" t="n">
        <x:f>IF(X619=0,0,(X619-IF(1=D619,1,0))*VLOOKUP(INDEX('章节与怪物'!$E$31:$K$37,B619,1),'章节与怪物'!$A$41:$F$44,4,FALSE)+IF(1=D619,'难度参数'!$E$30,0))</x:f>
        <x:v>760</x:v>
      </x:c>
      <x:c r="AB619" s="119" t="n">
        <x:f>IF(2&gt;D619,0,MAX(2,MIN('难度参数'!$E$12,ROUND(('难度参数'!$E$18*POWER(A619,'难度参数'!$E$19)/D619*(0.85+0.3*(2-1)/MAX(1,D619-1))),0)+F619)))</x:f>
        <x:v>40</x:v>
      </x:c>
      <x:c r="AC619" s="119" t="n">
        <x:f>IF(2&gt;D619,0,ROUND(('难度参数'!$E$13*POWER(A619,'难度参数'!$E$20)*MIN('难度参数'!$E$23,1+MAX(0,A619-'难度参数'!$E$21)*'难度参数'!$E$22))*(36+2*7)/(36+7*(D619+1)/2)*E619,0))</x:f>
        <x:v>10718</x:v>
      </x:c>
      <x:c r="AD619" s="119" t="n">
        <x:f>IF(AB619=0,0,(AB619-IF(2=D619,1,0))*ROUND(AC619*VLOOKUP(INDEX('章节与怪物'!$E$31:$K$37,B619,2),'章节与怪物'!$A$41:$F$44,2,FALSE),0)+IF(2=D619,ROUND(AC619*'难度参数'!$E$28*'章节与怪物'!$E$17,0),0))</x:f>
        <x:v>428720</x:v>
      </x:c>
      <x:c r="AE619" s="119" t="n">
        <x:f>IF(AB619=0,0,(AB619-IF(2=D619,1,0))*VLOOKUP(INDEX('章节与怪物'!$E$31:$K$37,B619,2),'章节与怪物'!$A$41:$F$44,4,FALSE)+IF(2=D619,'难度参数'!$E$30,0))</x:f>
        <x:v>720</x:v>
      </x:c>
      <x:c r="AF619" s="119" t="n">
        <x:f>IF(3&gt;D619,0,MAX(2,MIN('难度参数'!$E$12,ROUND(('难度参数'!$E$18*POWER(A619,'难度参数'!$E$19)/D619*(0.85+0.3*(3-1)/MAX(1,D619-1))),0)+F619)))</x:f>
        <x:v>42</x:v>
      </x:c>
      <x:c r="AG619" s="119" t="n">
        <x:f>IF(3&gt;D619,0,ROUND(('难度参数'!$E$13*POWER(A619,'难度参数'!$E$20)*MIN('难度参数'!$E$23,1+MAX(0,A619-'难度参数'!$E$21)*'难度参数'!$E$22))*(36+3*7)/(36+7*(D619+1)/2)*E619,0))</x:f>
        <x:v>12218</x:v>
      </x:c>
      <x:c r="AH619" s="119" t="n">
        <x:f>IF(AF619=0,0,(AF619-IF(3=D619,1,0))*ROUND(AG619*VLOOKUP(INDEX('章节与怪物'!$E$31:$K$37,B619,3),'章节与怪物'!$A$41:$F$44,2,FALSE),0)+IF(3=D619,ROUND(AG619*'难度参数'!$E$28*'章节与怪物'!$E$17,0),0))</x:f>
        <x:v>872382</x:v>
      </x:c>
      <x:c r="AI619" s="119" t="n">
        <x:f>IF(AF619=0,0,(AF619-IF(3=D619,1,0))*VLOOKUP(INDEX('章节与怪物'!$E$31:$K$37,B619,3),'章节与怪物'!$A$41:$F$44,4,FALSE)+IF(3=D619,'难度参数'!$E$30,0))</x:f>
        <x:v>1176</x:v>
      </x:c>
      <x:c r="AJ619" s="119" t="n">
        <x:f>IF(4&gt;D619,0,MAX(2,MIN('难度参数'!$E$12,ROUND(('难度参数'!$E$18*POWER(A619,'难度参数'!$E$19)/D619*(0.85+0.3*(4-1)/MAX(1,D619-1))),0)+F619)))</x:f>
        <x:v>45</x:v>
      </x:c>
      <x:c r="AK619" s="119" t="n">
        <x:f>IF(4&gt;D619,0,ROUND(('难度参数'!$E$13*POWER(A619,'难度参数'!$E$20)*MIN('难度参数'!$E$23,1+MAX(0,A619-'难度参数'!$E$21)*'难度参数'!$E$22))*(36+4*7)/(36+7*(D619+1)/2)*E619,0))</x:f>
        <x:v>13718</x:v>
      </x:c>
      <x:c r="AL619" s="119" t="n">
        <x:f>IF(AJ619=0,0,(AJ619-IF(4=D619,1,0))*ROUND(AK619*VLOOKUP(INDEX('章节与怪物'!$E$31:$K$37,B619,4),'章节与怪物'!$A$41:$F$44,2,FALSE),0)+IF(4=D619,ROUND(AK619*'难度参数'!$E$28*'章节与怪物'!$E$17,0),0))</x:f>
        <x:v>833355</x:v>
      </x:c>
      <x:c r="AM619" s="119" t="n">
        <x:f>IF(AJ619=0,0,(AJ619-IF(4=D619,1,0))*VLOOKUP(INDEX('章节与怪物'!$E$31:$K$37,B619,4),'章节与怪物'!$A$41:$F$44,4,FALSE)+IF(4=D619,'难度参数'!$E$30,0))</x:f>
        <x:v>1530</x:v>
      </x:c>
      <x:c r="AN619" s="119" t="n">
        <x:f>IF(5&gt;D619,0,MAX(2,MIN('难度参数'!$E$12,ROUND(('难度参数'!$E$18*POWER(A619,'难度参数'!$E$19)/D619*(0.85+0.3*(5-1)/MAX(1,D619-1))),0)+F619)))</x:f>
        <x:v>47</x:v>
      </x:c>
      <x:c r="AO619" s="119" t="n">
        <x:f>IF(5&gt;D619,0,ROUND(('难度参数'!$E$13*POWER(A619,'难度参数'!$E$20)*MIN('难度参数'!$E$23,1+MAX(0,A619-'难度参数'!$E$21)*'难度参数'!$E$22))*(36+5*7)/(36+7*(D619+1)/2)*E619,0))</x:f>
        <x:v>15219</x:v>
      </x:c>
      <x:c r="AP619" s="119" t="n">
        <x:f>IF(AN619=0,0,(AN619-IF(5=D619,1,0))*ROUND(AO619*VLOOKUP(INDEX('章节与怪物'!$E$31:$K$37,B619,5),'章节与怪物'!$A$41:$F$44,2,FALSE),0)+IF(5=D619,ROUND(AO619*'难度参数'!$E$28*'章节与怪物'!$E$17,0),0))</x:f>
        <x:v>715293</x:v>
      </x:c>
      <x:c r="AQ619" s="119" t="n">
        <x:f>IF(AN619=0,0,(AN619-IF(5=D619,1,0))*VLOOKUP(INDEX('章节与怪物'!$E$31:$K$37,B619,5),'章节与怪物'!$A$41:$F$44,4,FALSE)+IF(5=D619,'难度参数'!$E$30,0))</x:f>
        <x:v>846</x:v>
      </x:c>
      <x:c r="AR619" s="119" t="n">
        <x:f>IF(6&gt;D619,0,MAX(2,MIN('难度参数'!$E$12,ROUND(('难度参数'!$E$18*POWER(A619,'难度参数'!$E$19)/D619*(0.85+0.3*(6-1)/MAX(1,D619-1))),0)+F619)))</x:f>
        <x:v>49</x:v>
      </x:c>
      <x:c r="AS619" s="119" t="n">
        <x:f>IF(6&gt;D619,0,ROUND(('难度参数'!$E$13*POWER(A619,'难度参数'!$E$20)*MIN('难度参数'!$E$23,1+MAX(0,A619-'难度参数'!$E$21)*'难度参数'!$E$22))*(36+6*7)/(36+7*(D619+1)/2)*E619,0))</x:f>
        <x:v>16719</x:v>
      </x:c>
      <x:c r="AT619" s="119" t="n">
        <x:f>IF(AR619=0,0,(AR619-IF(6=D619,1,0))*ROUND(AS619*VLOOKUP(INDEX('章节与怪物'!$E$31:$K$37,B619,6),'章节与怪物'!$A$41:$F$44,2,FALSE),0)+IF(6=D619,ROUND(AS619*'难度参数'!$E$28*'章节与怪物'!$E$17,0),0))</x:f>
        <x:v>589862</x:v>
      </x:c>
      <x:c r="AU619" s="119" t="n">
        <x:f>IF(AR619=0,0,(AR619-IF(6=D619,1,0))*VLOOKUP(INDEX('章节与怪物'!$E$31:$K$37,B619,6),'章节与怪物'!$A$41:$F$44,4,FALSE)+IF(6=D619,'难度参数'!$E$30,0))</x:f>
        <x:v>980</x:v>
      </x:c>
      <x:c r="AV619" s="119" t="n">
        <x:f>IF(7&gt;D619,0,MAX(2,MIN('难度参数'!$E$12,ROUND(('难度参数'!$E$18*POWER(A619,'难度参数'!$E$19)/D619*(0.85+0.3*(7-1)/MAX(1,D619-1))),0)+F619)))</x:f>
        <x:v>51</x:v>
      </x:c>
      <x:c r="AW619" s="119" t="n">
        <x:f>IF(7&gt;D619,0,ROUND(('难度参数'!$E$13*POWER(A619,'难度参数'!$E$20)*MIN('难度参数'!$E$23,1+MAX(0,A619-'难度参数'!$E$21)*'难度参数'!$E$22))*(36+7*7)/(36+7*(D619+1)/2)*E619,0))</x:f>
        <x:v>18220</x:v>
      </x:c>
      <x:c r="AX619" s="119" t="n">
        <x:f>IF(AV619=0,0,(AV619-IF(7=D619,1,0))*ROUND(AW619*VLOOKUP(INDEX('章节与怪物'!$E$31:$K$37,B619,7),'章节与怪物'!$A$41:$F$44,2,FALSE),0)+IF(7=D619,ROUND(AW619*'难度参数'!$E$28*'章节与怪物'!$E$17,0),0))</x:f>
        <x:v>1353746</x:v>
      </x:c>
      <x:c r="AY619" s="119" t="n">
        <x:f>IF(AV619=0,0,(AV619-IF(7=D619,1,0))*VLOOKUP(INDEX('章节与怪物'!$E$31:$K$37,B619,7),'章节与怪物'!$A$41:$F$44,4,FALSE)+IF(7=D619,'难度参数'!$E$30,0))</x:f>
        <x:v>1900</x:v>
      </x:c>
    </x:row>
    <x:row r="620" ht="23" customHeight="1">
      <x:c r="A620" s="119" t="n">
        <x:v>614</x:v>
      </x:c>
      <x:c r="B620" s="119" t="n">
        <x:f>MOD(INT((A620-1)/5),7)+1</x:f>
        <x:v>4</x:v>
      </x:c>
      <x:c r="C620" s="62" t="str">
        <x:f>INDEX('章节与怪物'!$B$31:$B$37,B620)</x:f>
        <x:v>翠野边城</x:v>
      </x:c>
      <x:c r="D620" s="119" t="n">
        <x:f>MIN('难度参数'!$E$8,MAX('难度参数'!$E$7,A620))</x:f>
        <x:v>7</x:v>
      </x:c>
      <x:c r="E620" s="106" t="n">
        <x:v>1</x:v>
      </x:c>
      <x:c r="F620" s="106" t="n">
        <x:v>0</x:v>
      </x:c>
      <x:c r="G620" s="106" t="n">
        <x:v>1</x:v>
      </x:c>
      <x:c r="H620" s="119" t="n">
        <x:f>SUM(X620,AB620,AF620,AJ620,AN620,AR620,AV620)</x:f>
        <x:v>312</x:v>
      </x:c>
      <x:c r="I620" s="119" t="n">
        <x:f>SUM(Z620,AD620,AH620,AL620,AP620,AT620,AX620)</x:f>
        <x:v>5051386</x:v>
      </x:c>
      <x:c r="J620" s="119" t="n">
        <x:f>ROUND(INDEX(X620:AY620,1,(D620-1)*4+2)*'难度参数'!$E$28*'章节与怪物'!$E$17,0)</x:f>
        <x:v>124039</x:v>
      </x:c>
      <x:c r="K620" s="119" t="n">
        <x:f>SUM(AA620,AE620,AI620,AM620,AQ620,AU620,AY620)</x:f>
        <x:v>7912</x:v>
      </x:c>
      <x:c r="L620" s="62" t="n">
        <x:f>H620*(ROUNDUP('难度参数'!$E$24/('难度参数'!$E$26*'难度参数'!$E$27),0)*'难度参数'!$E$26)/60</x:f>
        <x:v>4.16</x:v>
      </x:c>
      <x:c r="M620" s="62" t="n">
        <x:f>L620+D620*('难度参数'!$E$49+'难度参数'!$E$50)/60</x:f>
        <x:v>5.326666666666667</x:v>
      </x:c>
      <x:c r="N620" s="119" t="n">
        <x:f>ROUNDDOWN(('经济参数'!$E$20+A620*'经济参数'!$E$21)*G620,0)</x:f>
        <x:v>12460</x:v>
      </x:c>
      <x:c r="O620" s="119" t="n">
        <x:f>ROUNDDOWN(MIN('经济参数'!$E$24,'经济参数'!$E$22+A620*'经济参数'!$E$23)*G620,0)</x:f>
        <x:v>0</x:v>
      </x:c>
      <x:c r="P620" s="119" t="n">
        <x:f>ROUNDDOWN((IF(A620&gt;='材料与任务'!$E$31,'材料与任务'!$E$32,IF(A620&gt;='材料与任务'!$E$25,'材料与任务'!$E$26,IF(A620&gt;='材料与任务'!$E$19,'材料与任务'!$E$20,IF(A620&gt;='材料与任务'!$E$13,'材料与任务'!$E$14,'材料与任务'!$E$8)))))*G620,0)</x:f>
        <x:v>6</x:v>
      </x:c>
      <x:c r="Q620" s="119" t="n">
        <x:f>ROUNDDOWN((IF(A620&gt;='材料与任务'!$E$31,'材料与任务'!$E$33,IF(A620&gt;='材料与任务'!$E$25,'材料与任务'!$E$27,IF(A620&gt;='材料与任务'!$E$19,'材料与任务'!$E$21,IF(A620&gt;='材料与任务'!$E$13,'材料与任务'!$E$15,'材料与任务'!$E$9)))))*G620,0)</x:f>
        <x:v>3</x:v>
      </x:c>
      <x:c r="R620" s="110" t="n">
        <x:f>'装备掉落'!$B$38</x:f>
        <x:v>0.6872058758851213</x:v>
      </x:c>
      <x:c r="S620" s="119" t="n">
        <x:f>MAX(IF(VLOOKUP(A620,'装备掉落'!$A$29:$H$34,2,TRUE)&gt;0,1,0),IF(VLOOKUP(A620,'装备掉落'!$A$29:$H$34,3,TRUE)&gt;0,2,0),IF(VLOOKUP(A620,'装备掉落'!$A$29:$H$34,4,TRUE)&gt;0,3,0),IF(VLOOKUP(A620,'装备掉落'!$A$29:$H$34,5,TRUE)&gt;0,4,0),IF(VLOOKUP(A620,'装备掉落'!$A$29:$H$34,6,TRUE)&gt;0,5,0),IF(VLOOKUP(A620,'装备掉落'!$A$29:$H$34,7,TRUE)&gt;0,6,0),IF(VLOOKUP(A620,'装备掉落'!$A$29:$H$34,8,TRUE)&gt;0,7,0))</x:f>
        <x:v>7</x:v>
      </x:c>
      <x:c r="T620" s="119" t="n">
        <x:f>MIN(7,S620+'经济参数'!$E$70)</x:f>
        <x:v>7</x:v>
      </x:c>
      <x:c r="U620" s="119" t="n">
        <x:f>MIN(7,S620+'经济参数'!$E$71)</x:f>
        <x:v>7</x:v>
      </x:c>
      <x:c r="V620" s="119" t="n">
        <x:f>IF(H620&gt;=('难度参数'!$E$52),1,0)+IF(H620&gt;=('难度参数'!$E$52+'难度参数'!$E$53),1,0)+IF(H620&gt;=('难度参数'!$E$52+'难度参数'!$E$53+'难度参数'!$E$54),1,0)+IF(H620&gt;=('难度参数'!$E$52+'难度参数'!$E$53+'难度参数'!$E$54+'难度参数'!$E$55),1,0)+IF(H620&gt;=('难度参数'!$E$52+'难度参数'!$E$53+'难度参数'!$E$54+'难度参数'!$E$55+'难度参数'!$E$56),1,0)+IF(H620&gt;=('难度参数'!$E$52+'难度参数'!$E$53+'难度参数'!$E$54+'难度参数'!$E$55+'难度参数'!$E$56+'难度参数'!$E$57),1,0)</x:f>
        <x:v>6</x:v>
      </x:c>
      <x:c r="W620" s="62" t="str">
        <x:f>IF(L620&gt;'难度参数'!$E$51,"仅出怪已超目标","还需实测")</x:f>
        <x:v>仅出怪已超目标</x:v>
      </x:c>
      <x:c r="X620" s="119" t="n">
        <x:f>IF(1&gt;D620,0,MAX(2,MIN('难度参数'!$E$12,ROUND(('难度参数'!$E$18*POWER(A620,'难度参数'!$E$19)/D620*(0.85+0.3*(1-1)/MAX(1,D620-1))),0)+F620)))</x:f>
        <x:v>38</x:v>
      </x:c>
      <x:c r="Y620" s="119" t="n">
        <x:f>IF(1&gt;D620,0,ROUND(('难度参数'!$E$13*POWER(A620,'难度参数'!$E$20)*MIN('难度参数'!$E$23,1+MAX(0,A620-'难度参数'!$E$21)*'难度参数'!$E$22))*(36+1*7)/(36+7*(D620+1)/2)*E620,0))</x:f>
        <x:v>9228</x:v>
      </x:c>
      <x:c r="Z620" s="119" t="n">
        <x:f>IF(X620=0,0,(X620-IF(1=D620,1,0))*ROUND(Y620*VLOOKUP(INDEX('章节与怪物'!$E$31:$K$37,B620,1),'章节与怪物'!$A$41:$F$44,2,FALSE),0)+IF(1=D620,ROUND(Y620*'难度参数'!$E$28*'章节与怪物'!$E$17,0),0))</x:f>
        <x:v>252472</x:v>
      </x:c>
      <x:c r="AA620" s="119" t="n">
        <x:f>IF(X620=0,0,(X620-IF(1=D620,1,0))*VLOOKUP(INDEX('章节与怪物'!$E$31:$K$37,B620,1),'章节与怪物'!$A$41:$F$44,4,FALSE)+IF(1=D620,'难度参数'!$E$30,0))</x:f>
        <x:v>760</x:v>
      </x:c>
      <x:c r="AB620" s="119" t="n">
        <x:f>IF(2&gt;D620,0,MAX(2,MIN('难度参数'!$E$12,ROUND(('难度参数'!$E$18*POWER(A620,'难度参数'!$E$19)/D620*(0.85+0.3*(2-1)/MAX(1,D620-1))),0)+F620)))</x:f>
        <x:v>40</x:v>
      </x:c>
      <x:c r="AC620" s="119" t="n">
        <x:f>IF(2&gt;D620,0,ROUND(('难度参数'!$E$13*POWER(A620,'难度参数'!$E$20)*MIN('难度参数'!$E$23,1+MAX(0,A620-'难度参数'!$E$21)*'难度参数'!$E$22))*(36+2*7)/(36+7*(D620+1)/2)*E620,0))</x:f>
        <x:v>10730</x:v>
      </x:c>
      <x:c r="AD620" s="119" t="n">
        <x:f>IF(AB620=0,0,(AB620-IF(2=D620,1,0))*ROUND(AC620*VLOOKUP(INDEX('章节与怪物'!$E$31:$K$37,B620,2),'章节与怪物'!$A$41:$F$44,2,FALSE),0)+IF(2=D620,ROUND(AC620*'难度参数'!$E$28*'章节与怪物'!$E$17,0),0))</x:f>
        <x:v>429200</x:v>
      </x:c>
      <x:c r="AE620" s="119" t="n">
        <x:f>IF(AB620=0,0,(AB620-IF(2=D620,1,0))*VLOOKUP(INDEX('章节与怪物'!$E$31:$K$37,B620,2),'章节与怪物'!$A$41:$F$44,4,FALSE)+IF(2=D620,'难度参数'!$E$30,0))</x:f>
        <x:v>720</x:v>
      </x:c>
      <x:c r="AF620" s="119" t="n">
        <x:f>IF(3&gt;D620,0,MAX(2,MIN('难度参数'!$E$12,ROUND(('难度参数'!$E$18*POWER(A620,'难度参数'!$E$19)/D620*(0.85+0.3*(3-1)/MAX(1,D620-1))),0)+F620)))</x:f>
        <x:v>42</x:v>
      </x:c>
      <x:c r="AG620" s="119" t="n">
        <x:f>IF(3&gt;D620,0,ROUND(('难度参数'!$E$13*POWER(A620,'难度参数'!$E$20)*MIN('难度参数'!$E$23,1+MAX(0,A620-'难度参数'!$E$21)*'难度参数'!$E$22))*(36+3*7)/(36+7*(D620+1)/2)*E620,0))</x:f>
        <x:v>12232</x:v>
      </x:c>
      <x:c r="AH620" s="119" t="n">
        <x:f>IF(AF620=0,0,(AF620-IF(3=D620,1,0))*ROUND(AG620*VLOOKUP(INDEX('章节与怪物'!$E$31:$K$37,B620,3),'章节与怪物'!$A$41:$F$44,2,FALSE),0)+IF(3=D620,ROUND(AG620*'难度参数'!$E$28*'章节与怪物'!$E$17,0),0))</x:f>
        <x:v>873348</x:v>
      </x:c>
      <x:c r="AI620" s="119" t="n">
        <x:f>IF(AF620=0,0,(AF620-IF(3=D620,1,0))*VLOOKUP(INDEX('章节与怪物'!$E$31:$K$37,B620,3),'章节与怪物'!$A$41:$F$44,4,FALSE)+IF(3=D620,'难度参数'!$E$30,0))</x:f>
        <x:v>1176</x:v>
      </x:c>
      <x:c r="AJ620" s="119" t="n">
        <x:f>IF(4&gt;D620,0,MAX(2,MIN('难度参数'!$E$12,ROUND(('难度参数'!$E$18*POWER(A620,'难度参数'!$E$19)/D620*(0.85+0.3*(4-1)/MAX(1,D620-1))),0)+F620)))</x:f>
        <x:v>45</x:v>
      </x:c>
      <x:c r="AK620" s="119" t="n">
        <x:f>IF(4&gt;D620,0,ROUND(('难度参数'!$E$13*POWER(A620,'难度参数'!$E$20)*MIN('难度参数'!$E$23,1+MAX(0,A620-'难度参数'!$E$21)*'难度参数'!$E$22))*(36+4*7)/(36+7*(D620+1)/2)*E620,0))</x:f>
        <x:v>13735</x:v>
      </x:c>
      <x:c r="AL620" s="119" t="n">
        <x:f>IF(AJ620=0,0,(AJ620-IF(4=D620,1,0))*ROUND(AK620*VLOOKUP(INDEX('章节与怪物'!$E$31:$K$37,B620,4),'章节与怪物'!$A$41:$F$44,2,FALSE),0)+IF(4=D620,ROUND(AK620*'难度参数'!$E$28*'章节与怪物'!$E$17,0),0))</x:f>
        <x:v>834390</x:v>
      </x:c>
      <x:c r="AM620" s="119" t="n">
        <x:f>IF(AJ620=0,0,(AJ620-IF(4=D620,1,0))*VLOOKUP(INDEX('章节与怪物'!$E$31:$K$37,B620,4),'章节与怪物'!$A$41:$F$44,4,FALSE)+IF(4=D620,'难度参数'!$E$30,0))</x:f>
        <x:v>1530</x:v>
      </x:c>
      <x:c r="AN620" s="119" t="n">
        <x:f>IF(5&gt;D620,0,MAX(2,MIN('难度参数'!$E$12,ROUND(('难度参数'!$E$18*POWER(A620,'难度参数'!$E$19)/D620*(0.85+0.3*(5-1)/MAX(1,D620-1))),0)+F620)))</x:f>
        <x:v>47</x:v>
      </x:c>
      <x:c r="AO620" s="119" t="n">
        <x:f>IF(5&gt;D620,0,ROUND(('难度参数'!$E$13*POWER(A620,'难度参数'!$E$20)*MIN('难度参数'!$E$23,1+MAX(0,A620-'难度参数'!$E$21)*'难度参数'!$E$22))*(36+5*7)/(36+7*(D620+1)/2)*E620,0))</x:f>
        <x:v>15237</x:v>
      </x:c>
      <x:c r="AP620" s="119" t="n">
        <x:f>IF(AN620=0,0,(AN620-IF(5=D620,1,0))*ROUND(AO620*VLOOKUP(INDEX('章节与怪物'!$E$31:$K$37,B620,5),'章节与怪物'!$A$41:$F$44,2,FALSE),0)+IF(5=D620,ROUND(AO620*'难度参数'!$E$28*'章节与怪物'!$E$17,0),0))</x:f>
        <x:v>716139</x:v>
      </x:c>
      <x:c r="AQ620" s="119" t="n">
        <x:f>IF(AN620=0,0,(AN620-IF(5=D620,1,0))*VLOOKUP(INDEX('章节与怪物'!$E$31:$K$37,B620,5),'章节与怪物'!$A$41:$F$44,4,FALSE)+IF(5=D620,'难度参数'!$E$30,0))</x:f>
        <x:v>846</x:v>
      </x:c>
      <x:c r="AR620" s="119" t="n">
        <x:f>IF(6&gt;D620,0,MAX(2,MIN('难度参数'!$E$12,ROUND(('难度参数'!$E$18*POWER(A620,'难度参数'!$E$19)/D620*(0.85+0.3*(6-1)/MAX(1,D620-1))),0)+F620)))</x:f>
        <x:v>49</x:v>
      </x:c>
      <x:c r="AS620" s="119" t="n">
        <x:f>IF(6&gt;D620,0,ROUND(('难度参数'!$E$13*POWER(A620,'难度参数'!$E$20)*MIN('难度参数'!$E$23,1+MAX(0,A620-'难度参数'!$E$21)*'难度参数'!$E$22))*(36+6*7)/(36+7*(D620+1)/2)*E620,0))</x:f>
        <x:v>16739</x:v>
      </x:c>
      <x:c r="AT620" s="119" t="n">
        <x:f>IF(AR620=0,0,(AR620-IF(6=D620,1,0))*ROUND(AS620*VLOOKUP(INDEX('章节与怪物'!$E$31:$K$37,B620,6),'章节与怪物'!$A$41:$F$44,2,FALSE),0)+IF(6=D620,ROUND(AS620*'难度参数'!$E$28*'章节与怪物'!$E$17,0),0))</x:f>
        <x:v>590548</x:v>
      </x:c>
      <x:c r="AU620" s="119" t="n">
        <x:f>IF(AR620=0,0,(AR620-IF(6=D620,1,0))*VLOOKUP(INDEX('章节与怪物'!$E$31:$K$37,B620,6),'章节与怪物'!$A$41:$F$44,4,FALSE)+IF(6=D620,'难度参数'!$E$30,0))</x:f>
        <x:v>980</x:v>
      </x:c>
      <x:c r="AV620" s="119" t="n">
        <x:f>IF(7&gt;D620,0,MAX(2,MIN('难度参数'!$E$12,ROUND(('难度参数'!$E$18*POWER(A620,'难度参数'!$E$19)/D620*(0.85+0.3*(7-1)/MAX(1,D620-1))),0)+F620)))</x:f>
        <x:v>51</x:v>
      </x:c>
      <x:c r="AW620" s="119" t="n">
        <x:f>IF(7&gt;D620,0,ROUND(('难度参数'!$E$13*POWER(A620,'难度参数'!$E$20)*MIN('难度参数'!$E$23,1+MAX(0,A620-'难度参数'!$E$21)*'难度参数'!$E$22))*(36+7*7)/(36+7*(D620+1)/2)*E620,0))</x:f>
        <x:v>18241</x:v>
      </x:c>
      <x:c r="AX620" s="119" t="n">
        <x:f>IF(AV620=0,0,(AV620-IF(7=D620,1,0))*ROUND(AW620*VLOOKUP(INDEX('章节与怪物'!$E$31:$K$37,B620,7),'章节与怪物'!$A$41:$F$44,2,FALSE),0)+IF(7=D620,ROUND(AW620*'难度参数'!$E$28*'章节与怪物'!$E$17,0),0))</x:f>
        <x:v>1355289</x:v>
      </x:c>
      <x:c r="AY620" s="119" t="n">
        <x:f>IF(AV620=0,0,(AV620-IF(7=D620,1,0))*VLOOKUP(INDEX('章节与怪物'!$E$31:$K$37,B620,7),'章节与怪物'!$A$41:$F$44,4,FALSE)+IF(7=D620,'难度参数'!$E$30,0))</x:f>
        <x:v>1900</x:v>
      </x:c>
    </x:row>
    <x:row r="621" ht="23" customHeight="1">
      <x:c r="A621" s="119" t="n">
        <x:v>615</x:v>
      </x:c>
      <x:c r="B621" s="119" t="n">
        <x:f>MOD(INT((A621-1)/5),7)+1</x:f>
        <x:v>4</x:v>
      </x:c>
      <x:c r="C621" s="62" t="str">
        <x:f>INDEX('章节与怪物'!$B$31:$B$37,B621)</x:f>
        <x:v>翠野边城</x:v>
      </x:c>
      <x:c r="D621" s="119" t="n">
        <x:f>MIN('难度参数'!$E$8,MAX('难度参数'!$E$7,A621))</x:f>
        <x:v>7</x:v>
      </x:c>
      <x:c r="E621" s="106" t="n">
        <x:v>1</x:v>
      </x:c>
      <x:c r="F621" s="106" t="n">
        <x:v>0</x:v>
      </x:c>
      <x:c r="G621" s="106" t="n">
        <x:v>1</x:v>
      </x:c>
      <x:c r="H621" s="119" t="n">
        <x:f>SUM(X621,AB621,AF621,AJ621,AN621,AR621,AV621)</x:f>
        <x:v>312</x:v>
      </x:c>
      <x:c r="I621" s="119" t="n">
        <x:f>SUM(Z621,AD621,AH621,AL621,AP621,AT621,AX621)</x:f>
        <x:v>5057473</x:v>
      </x:c>
      <x:c r="J621" s="119" t="n">
        <x:f>ROUND(INDEX(X621:AY621,1,(D621-1)*4+2)*'难度参数'!$E$28*'章节与怪物'!$E$17,0)</x:f>
        <x:v>124188</x:v>
      </x:c>
      <x:c r="K621" s="119" t="n">
        <x:f>SUM(AA621,AE621,AI621,AM621,AQ621,AU621,AY621)</x:f>
        <x:v>7912</x:v>
      </x:c>
      <x:c r="L621" s="62" t="n">
        <x:f>H621*(ROUNDUP('难度参数'!$E$24/('难度参数'!$E$26*'难度参数'!$E$27),0)*'难度参数'!$E$26)/60</x:f>
        <x:v>4.16</x:v>
      </x:c>
      <x:c r="M621" s="62" t="n">
        <x:f>L621+D621*('难度参数'!$E$49+'难度参数'!$E$50)/60</x:f>
        <x:v>5.326666666666667</x:v>
      </x:c>
      <x:c r="N621" s="119" t="n">
        <x:f>ROUNDDOWN(('经济参数'!$E$20+A621*'经济参数'!$E$21)*G621,0)</x:f>
        <x:v>12480</x:v>
      </x:c>
      <x:c r="O621" s="119" t="n">
        <x:f>ROUNDDOWN(MIN('经济参数'!$E$24,'经济参数'!$E$22+A621*'经济参数'!$E$23)*G621,0)</x:f>
        <x:v>0</x:v>
      </x:c>
      <x:c r="P621" s="119" t="n">
        <x:f>ROUNDDOWN((IF(A621&gt;='材料与任务'!$E$31,'材料与任务'!$E$32,IF(A621&gt;='材料与任务'!$E$25,'材料与任务'!$E$26,IF(A621&gt;='材料与任务'!$E$19,'材料与任务'!$E$20,IF(A621&gt;='材料与任务'!$E$13,'材料与任务'!$E$14,'材料与任务'!$E$8)))))*G621,0)</x:f>
        <x:v>6</x:v>
      </x:c>
      <x:c r="Q621" s="119" t="n">
        <x:f>ROUNDDOWN((IF(A621&gt;='材料与任务'!$E$31,'材料与任务'!$E$33,IF(A621&gt;='材料与任务'!$E$25,'材料与任务'!$E$27,IF(A621&gt;='材料与任务'!$E$19,'材料与任务'!$E$21,IF(A621&gt;='材料与任务'!$E$13,'材料与任务'!$E$15,'材料与任务'!$E$9)))))*G621,0)</x:f>
        <x:v>3</x:v>
      </x:c>
      <x:c r="R621" s="110" t="n">
        <x:f>'装备掉落'!$B$38</x:f>
        <x:v>0.6872058758851213</x:v>
      </x:c>
      <x:c r="S621" s="119" t="n">
        <x:f>MAX(IF(VLOOKUP(A621,'装备掉落'!$A$29:$H$34,2,TRUE)&gt;0,1,0),IF(VLOOKUP(A621,'装备掉落'!$A$29:$H$34,3,TRUE)&gt;0,2,0),IF(VLOOKUP(A621,'装备掉落'!$A$29:$H$34,4,TRUE)&gt;0,3,0),IF(VLOOKUP(A621,'装备掉落'!$A$29:$H$34,5,TRUE)&gt;0,4,0),IF(VLOOKUP(A621,'装备掉落'!$A$29:$H$34,6,TRUE)&gt;0,5,0),IF(VLOOKUP(A621,'装备掉落'!$A$29:$H$34,7,TRUE)&gt;0,6,0),IF(VLOOKUP(A621,'装备掉落'!$A$29:$H$34,8,TRUE)&gt;0,7,0))</x:f>
        <x:v>7</x:v>
      </x:c>
      <x:c r="T621" s="119" t="n">
        <x:f>MIN(7,S621+'经济参数'!$E$70)</x:f>
        <x:v>7</x:v>
      </x:c>
      <x:c r="U621" s="119" t="n">
        <x:f>MIN(7,S621+'经济参数'!$E$71)</x:f>
        <x:v>7</x:v>
      </x:c>
      <x:c r="V621" s="119" t="n">
        <x:f>IF(H621&gt;=('难度参数'!$E$52),1,0)+IF(H621&gt;=('难度参数'!$E$52+'难度参数'!$E$53),1,0)+IF(H621&gt;=('难度参数'!$E$52+'难度参数'!$E$53+'难度参数'!$E$54),1,0)+IF(H621&gt;=('难度参数'!$E$52+'难度参数'!$E$53+'难度参数'!$E$54+'难度参数'!$E$55),1,0)+IF(H621&gt;=('难度参数'!$E$52+'难度参数'!$E$53+'难度参数'!$E$54+'难度参数'!$E$55+'难度参数'!$E$56),1,0)+IF(H621&gt;=('难度参数'!$E$52+'难度参数'!$E$53+'难度参数'!$E$54+'难度参数'!$E$55+'难度参数'!$E$56+'难度参数'!$E$57),1,0)</x:f>
        <x:v>6</x:v>
      </x:c>
      <x:c r="W621" s="62" t="str">
        <x:f>IF(L621&gt;'难度参数'!$E$51,"仅出怪已超目标","还需实测")</x:f>
        <x:v>仅出怪已超目标</x:v>
      </x:c>
      <x:c r="X621" s="119" t="n">
        <x:f>IF(1&gt;D621,0,MAX(2,MIN('难度参数'!$E$12,ROUND(('难度参数'!$E$18*POWER(A621,'难度参数'!$E$19)/D621*(0.85+0.3*(1-1)/MAX(1,D621-1))),0)+F621)))</x:f>
        <x:v>38</x:v>
      </x:c>
      <x:c r="Y621" s="119" t="n">
        <x:f>IF(1&gt;D621,0,ROUND(('难度参数'!$E$13*POWER(A621,'难度参数'!$E$20)*MIN('难度参数'!$E$23,1+MAX(0,A621-'难度参数'!$E$21)*'难度参数'!$E$22))*(36+1*7)/(36+7*(D621+1)/2)*E621,0))</x:f>
        <x:v>9239</x:v>
      </x:c>
      <x:c r="Z621" s="119" t="n">
        <x:f>IF(X621=0,0,(X621-IF(1=D621,1,0))*ROUND(Y621*VLOOKUP(INDEX('章节与怪物'!$E$31:$K$37,B621,1),'章节与怪物'!$A$41:$F$44,2,FALSE),0)+IF(1=D621,ROUND(Y621*'难度参数'!$E$28*'章节与怪物'!$E$17,0),0))</x:f>
        <x:v>252776</x:v>
      </x:c>
      <x:c r="AA621" s="119" t="n">
        <x:f>IF(X621=0,0,(X621-IF(1=D621,1,0))*VLOOKUP(INDEX('章节与怪物'!$E$31:$K$37,B621,1),'章节与怪物'!$A$41:$F$44,4,FALSE)+IF(1=D621,'难度参数'!$E$30,0))</x:f>
        <x:v>760</x:v>
      </x:c>
      <x:c r="AB621" s="119" t="n">
        <x:f>IF(2&gt;D621,0,MAX(2,MIN('难度参数'!$E$12,ROUND(('难度参数'!$E$18*POWER(A621,'难度参数'!$E$19)/D621*(0.85+0.3*(2-1)/MAX(1,D621-1))),0)+F621)))</x:f>
        <x:v>40</x:v>
      </x:c>
      <x:c r="AC621" s="119" t="n">
        <x:f>IF(2&gt;D621,0,ROUND(('难度参数'!$E$13*POWER(A621,'难度参数'!$E$20)*MIN('难度参数'!$E$23,1+MAX(0,A621-'难度参数'!$E$21)*'难度参数'!$E$22))*(36+2*7)/(36+7*(D621+1)/2)*E621,0))</x:f>
        <x:v>10743</x:v>
      </x:c>
      <x:c r="AD621" s="119" t="n">
        <x:f>IF(AB621=0,0,(AB621-IF(2=D621,1,0))*ROUND(AC621*VLOOKUP(INDEX('章节与怪物'!$E$31:$K$37,B621,2),'章节与怪物'!$A$41:$F$44,2,FALSE),0)+IF(2=D621,ROUND(AC621*'难度参数'!$E$28*'章节与怪物'!$E$17,0),0))</x:f>
        <x:v>429720</x:v>
      </x:c>
      <x:c r="AE621" s="119" t="n">
        <x:f>IF(AB621=0,0,(AB621-IF(2=D621,1,0))*VLOOKUP(INDEX('章节与怪物'!$E$31:$K$37,B621,2),'章节与怪物'!$A$41:$F$44,4,FALSE)+IF(2=D621,'难度参数'!$E$30,0))</x:f>
        <x:v>720</x:v>
      </x:c>
      <x:c r="AF621" s="119" t="n">
        <x:f>IF(3&gt;D621,0,MAX(2,MIN('难度参数'!$E$12,ROUND(('难度参数'!$E$18*POWER(A621,'难度参数'!$E$19)/D621*(0.85+0.3*(3-1)/MAX(1,D621-1))),0)+F621)))</x:f>
        <x:v>42</x:v>
      </x:c>
      <x:c r="AG621" s="119" t="n">
        <x:f>IF(3&gt;D621,0,ROUND(('难度参数'!$E$13*POWER(A621,'难度参数'!$E$20)*MIN('难度参数'!$E$23,1+MAX(0,A621-'难度参数'!$E$21)*'难度参数'!$E$22))*(36+3*7)/(36+7*(D621+1)/2)*E621,0))</x:f>
        <x:v>12247</x:v>
      </x:c>
      <x:c r="AH621" s="119" t="n">
        <x:f>IF(AF621=0,0,(AF621-IF(3=D621,1,0))*ROUND(AG621*VLOOKUP(INDEX('章节与怪物'!$E$31:$K$37,B621,3),'章节与怪物'!$A$41:$F$44,2,FALSE),0)+IF(3=D621,ROUND(AG621*'难度参数'!$E$28*'章节与怪物'!$E$17,0),0))</x:f>
        <x:v>874440</x:v>
      </x:c>
      <x:c r="AI621" s="119" t="n">
        <x:f>IF(AF621=0,0,(AF621-IF(3=D621,1,0))*VLOOKUP(INDEX('章节与怪物'!$E$31:$K$37,B621,3),'章节与怪物'!$A$41:$F$44,4,FALSE)+IF(3=D621,'难度参数'!$E$30,0))</x:f>
        <x:v>1176</x:v>
      </x:c>
      <x:c r="AJ621" s="119" t="n">
        <x:f>IF(4&gt;D621,0,MAX(2,MIN('难度参数'!$E$12,ROUND(('难度参数'!$E$18*POWER(A621,'难度参数'!$E$19)/D621*(0.85+0.3*(4-1)/MAX(1,D621-1))),0)+F621)))</x:f>
        <x:v>45</x:v>
      </x:c>
      <x:c r="AK621" s="119" t="n">
        <x:f>IF(4&gt;D621,0,ROUND(('难度参数'!$E$13*POWER(A621,'难度参数'!$E$20)*MIN('难度参数'!$E$23,1+MAX(0,A621-'难度参数'!$E$21)*'难度参数'!$E$22))*(36+4*7)/(36+7*(D621+1)/2)*E621,0))</x:f>
        <x:v>13751</x:v>
      </x:c>
      <x:c r="AL621" s="119" t="n">
        <x:f>IF(AJ621=0,0,(AJ621-IF(4=D621,1,0))*ROUND(AK621*VLOOKUP(INDEX('章节与怪物'!$E$31:$K$37,B621,4),'章节与怪物'!$A$41:$F$44,2,FALSE),0)+IF(4=D621,ROUND(AK621*'难度参数'!$E$28*'章节与怪物'!$E$17,0),0))</x:f>
        <x:v>835380</x:v>
      </x:c>
      <x:c r="AM621" s="119" t="n">
        <x:f>IF(AJ621=0,0,(AJ621-IF(4=D621,1,0))*VLOOKUP(INDEX('章节与怪物'!$E$31:$K$37,B621,4),'章节与怪物'!$A$41:$F$44,4,FALSE)+IF(4=D621,'难度参数'!$E$30,0))</x:f>
        <x:v>1530</x:v>
      </x:c>
      <x:c r="AN621" s="119" t="n">
        <x:f>IF(5&gt;D621,0,MAX(2,MIN('难度参数'!$E$12,ROUND(('难度参数'!$E$18*POWER(A621,'难度参数'!$E$19)/D621*(0.85+0.3*(5-1)/MAX(1,D621-1))),0)+F621)))</x:f>
        <x:v>47</x:v>
      </x:c>
      <x:c r="AO621" s="119" t="n">
        <x:f>IF(5&gt;D621,0,ROUND(('难度参数'!$E$13*POWER(A621,'难度参数'!$E$20)*MIN('难度参数'!$E$23,1+MAX(0,A621-'难度参数'!$E$21)*'难度参数'!$E$22))*(36+5*7)/(36+7*(D621+1)/2)*E621,0))</x:f>
        <x:v>15255</x:v>
      </x:c>
      <x:c r="AP621" s="119" t="n">
        <x:f>IF(AN621=0,0,(AN621-IF(5=D621,1,0))*ROUND(AO621*VLOOKUP(INDEX('章节与怪物'!$E$31:$K$37,B621,5),'章节与怪物'!$A$41:$F$44,2,FALSE),0)+IF(5=D621,ROUND(AO621*'难度参数'!$E$28*'章节与怪物'!$E$17,0),0))</x:f>
        <x:v>716985</x:v>
      </x:c>
      <x:c r="AQ621" s="119" t="n">
        <x:f>IF(AN621=0,0,(AN621-IF(5=D621,1,0))*VLOOKUP(INDEX('章节与怪物'!$E$31:$K$37,B621,5),'章节与怪物'!$A$41:$F$44,4,FALSE)+IF(5=D621,'难度参数'!$E$30,0))</x:f>
        <x:v>846</x:v>
      </x:c>
      <x:c r="AR621" s="119" t="n">
        <x:f>IF(6&gt;D621,0,MAX(2,MIN('难度参数'!$E$12,ROUND(('难度参数'!$E$18*POWER(A621,'难度参数'!$E$19)/D621*(0.85+0.3*(6-1)/MAX(1,D621-1))),0)+F621)))</x:f>
        <x:v>49</x:v>
      </x:c>
      <x:c r="AS621" s="119" t="n">
        <x:f>IF(6&gt;D621,0,ROUND(('难度参数'!$E$13*POWER(A621,'难度参数'!$E$20)*MIN('难度参数'!$E$23,1+MAX(0,A621-'难度参数'!$E$21)*'难度参数'!$E$22))*(36+6*7)/(36+7*(D621+1)/2)*E621,0))</x:f>
        <x:v>16759</x:v>
      </x:c>
      <x:c r="AT621" s="119" t="n">
        <x:f>IF(AR621=0,0,(AR621-IF(6=D621,1,0))*ROUND(AS621*VLOOKUP(INDEX('章节与怪物'!$E$31:$K$37,B621,6),'章节与怪物'!$A$41:$F$44,2,FALSE),0)+IF(6=D621,ROUND(AS621*'难度参数'!$E$28*'章节与怪物'!$E$17,0),0))</x:f>
        <x:v>591234</x:v>
      </x:c>
      <x:c r="AU621" s="119" t="n">
        <x:f>IF(AR621=0,0,(AR621-IF(6=D621,1,0))*VLOOKUP(INDEX('章节与怪物'!$E$31:$K$37,B621,6),'章节与怪物'!$A$41:$F$44,4,FALSE)+IF(6=D621,'难度参数'!$E$30,0))</x:f>
        <x:v>980</x:v>
      </x:c>
      <x:c r="AV621" s="119" t="n">
        <x:f>IF(7&gt;D621,0,MAX(2,MIN('难度参数'!$E$12,ROUND(('难度参数'!$E$18*POWER(A621,'难度参数'!$E$19)/D621*(0.85+0.3*(7-1)/MAX(1,D621-1))),0)+F621)))</x:f>
        <x:v>51</x:v>
      </x:c>
      <x:c r="AW621" s="119" t="n">
        <x:f>IF(7&gt;D621,0,ROUND(('难度参数'!$E$13*POWER(A621,'难度参数'!$E$20)*MIN('难度参数'!$E$23,1+MAX(0,A621-'难度参数'!$E$21)*'难度参数'!$E$22))*(36+7*7)/(36+7*(D621+1)/2)*E621,0))</x:f>
        <x:v>18263</x:v>
      </x:c>
      <x:c r="AX621" s="119" t="n">
        <x:f>IF(AV621=0,0,(AV621-IF(7=D621,1,0))*ROUND(AW621*VLOOKUP(INDEX('章节与怪物'!$E$31:$K$37,B621,7),'章节与怪物'!$A$41:$F$44,2,FALSE),0)+IF(7=D621,ROUND(AW621*'难度参数'!$E$28*'章节与怪物'!$E$17,0),0))</x:f>
        <x:v>1356938</x:v>
      </x:c>
      <x:c r="AY621" s="119" t="n">
        <x:f>IF(AV621=0,0,(AV621-IF(7=D621,1,0))*VLOOKUP(INDEX('章节与怪物'!$E$31:$K$37,B621,7),'章节与怪物'!$A$41:$F$44,4,FALSE)+IF(7=D621,'难度参数'!$E$30,0))</x:f>
        <x:v>1900</x:v>
      </x:c>
    </x:row>
    <x:row r="622" ht="23" customHeight="1">
      <x:c r="A622" s="119" t="n">
        <x:v>616</x:v>
      </x:c>
      <x:c r="B622" s="119" t="n">
        <x:f>MOD(INT((A622-1)/5),7)+1</x:f>
        <x:v>5</x:v>
      </x:c>
      <x:c r="C622" s="62" t="str">
        <x:f>INDEX('章节与怪物'!$B$31:$B$37,B622)</x:f>
        <x:v>雨林遗迹</x:v>
      </x:c>
      <x:c r="D622" s="119" t="n">
        <x:f>MIN('难度参数'!$E$8,MAX('难度参数'!$E$7,A622))</x:f>
        <x:v>7</x:v>
      </x:c>
      <x:c r="E622" s="106" t="n">
        <x:v>1</x:v>
      </x:c>
      <x:c r="F622" s="106" t="n">
        <x:v>0</x:v>
      </x:c>
      <x:c r="G622" s="106" t="n">
        <x:v>1</x:v>
      </x:c>
      <x:c r="H622" s="119" t="n">
        <x:f>SUM(X622,AB622,AF622,AJ622,AN622,AR622,AV622)</x:f>
        <x:v>312</x:v>
      </x:c>
      <x:c r="I622" s="119" t="n">
        <x:f>SUM(Z622,AD622,AH622,AL622,AP622,AT622,AX622)</x:f>
        <x:v>5646000</x:v>
      </x:c>
      <x:c r="J622" s="119" t="n">
        <x:f>ROUND(INDEX(X622:AY622,1,(D622-1)*4+2)*'难度参数'!$E$28*'章节与怪物'!$E$17,0)</x:f>
        <x:v>124331</x:v>
      </x:c>
      <x:c r="K622" s="119" t="n">
        <x:f>SUM(AA622,AE622,AI622,AM622,AQ622,AU622,AY622)</x:f>
        <x:v>8402</x:v>
      </x:c>
      <x:c r="L622" s="62" t="n">
        <x:f>H622*(ROUNDUP('难度参数'!$E$24/('难度参数'!$E$26*'难度参数'!$E$27),0)*'难度参数'!$E$26)/60</x:f>
        <x:v>4.16</x:v>
      </x:c>
      <x:c r="M622" s="62" t="n">
        <x:f>L622+D622*('难度参数'!$E$49+'难度参数'!$E$50)/60</x:f>
        <x:v>5.326666666666667</x:v>
      </x:c>
      <x:c r="N622" s="119" t="n">
        <x:f>ROUNDDOWN(('经济参数'!$E$20+A622*'经济参数'!$E$21)*G622,0)</x:f>
        <x:v>12500</x:v>
      </x:c>
      <x:c r="O622" s="119" t="n">
        <x:f>ROUNDDOWN(MIN('经济参数'!$E$24,'经济参数'!$E$22+A622*'经济参数'!$E$23)*G622,0)</x:f>
        <x:v>0</x:v>
      </x:c>
      <x:c r="P622" s="119" t="n">
        <x:f>ROUNDDOWN((IF(A622&gt;='材料与任务'!$E$31,'材料与任务'!$E$32,IF(A622&gt;='材料与任务'!$E$25,'材料与任务'!$E$26,IF(A622&gt;='材料与任务'!$E$19,'材料与任务'!$E$20,IF(A622&gt;='材料与任务'!$E$13,'材料与任务'!$E$14,'材料与任务'!$E$8)))))*G622,0)</x:f>
        <x:v>6</x:v>
      </x:c>
      <x:c r="Q622" s="119" t="n">
        <x:f>ROUNDDOWN((IF(A622&gt;='材料与任务'!$E$31,'材料与任务'!$E$33,IF(A622&gt;='材料与任务'!$E$25,'材料与任务'!$E$27,IF(A622&gt;='材料与任务'!$E$19,'材料与任务'!$E$21,IF(A622&gt;='材料与任务'!$E$13,'材料与任务'!$E$15,'材料与任务'!$E$9)))))*G622,0)</x:f>
        <x:v>3</x:v>
      </x:c>
      <x:c r="R622" s="110" t="n">
        <x:f>'装备掉落'!$B$38</x:f>
        <x:v>0.6872058758851213</x:v>
      </x:c>
      <x:c r="S622" s="119" t="n">
        <x:f>MAX(IF(VLOOKUP(A622,'装备掉落'!$A$29:$H$34,2,TRUE)&gt;0,1,0),IF(VLOOKUP(A622,'装备掉落'!$A$29:$H$34,3,TRUE)&gt;0,2,0),IF(VLOOKUP(A622,'装备掉落'!$A$29:$H$34,4,TRUE)&gt;0,3,0),IF(VLOOKUP(A622,'装备掉落'!$A$29:$H$34,5,TRUE)&gt;0,4,0),IF(VLOOKUP(A622,'装备掉落'!$A$29:$H$34,6,TRUE)&gt;0,5,0),IF(VLOOKUP(A622,'装备掉落'!$A$29:$H$34,7,TRUE)&gt;0,6,0),IF(VLOOKUP(A622,'装备掉落'!$A$29:$H$34,8,TRUE)&gt;0,7,0))</x:f>
        <x:v>7</x:v>
      </x:c>
      <x:c r="T622" s="119" t="n">
        <x:f>MIN(7,S622+'经济参数'!$E$70)</x:f>
        <x:v>7</x:v>
      </x:c>
      <x:c r="U622" s="119" t="n">
        <x:f>MIN(7,S622+'经济参数'!$E$71)</x:f>
        <x:v>7</x:v>
      </x:c>
      <x:c r="V622" s="119" t="n">
        <x:f>IF(H622&gt;=('难度参数'!$E$52),1,0)+IF(H622&gt;=('难度参数'!$E$52+'难度参数'!$E$53),1,0)+IF(H622&gt;=('难度参数'!$E$52+'难度参数'!$E$53+'难度参数'!$E$54),1,0)+IF(H622&gt;=('难度参数'!$E$52+'难度参数'!$E$53+'难度参数'!$E$54+'难度参数'!$E$55),1,0)+IF(H622&gt;=('难度参数'!$E$52+'难度参数'!$E$53+'难度参数'!$E$54+'难度参数'!$E$55+'难度参数'!$E$56),1,0)+IF(H622&gt;=('难度参数'!$E$52+'难度参数'!$E$53+'难度参数'!$E$54+'难度参数'!$E$55+'难度参数'!$E$56+'难度参数'!$E$57),1,0)</x:f>
        <x:v>6</x:v>
      </x:c>
      <x:c r="W622" s="62" t="str">
        <x:f>IF(L622&gt;'难度参数'!$E$51,"仅出怪已超目标","还需实测")</x:f>
        <x:v>仅出怪已超目标</x:v>
      </x:c>
      <x:c r="X622" s="119" t="n">
        <x:f>IF(1&gt;D622,0,MAX(2,MIN('难度参数'!$E$12,ROUND(('难度参数'!$E$18*POWER(A622,'难度参数'!$E$19)/D622*(0.85+0.3*(1-1)/MAX(1,D622-1))),0)+F622)))</x:f>
        <x:v>38</x:v>
      </x:c>
      <x:c r="Y622" s="119" t="n">
        <x:f>IF(1&gt;D622,0,ROUND(('难度参数'!$E$13*POWER(A622,'难度参数'!$E$20)*MIN('难度参数'!$E$23,1+MAX(0,A622-'难度参数'!$E$21)*'难度参数'!$E$22))*(36+1*7)/(36+7*(D622+1)/2)*E622,0))</x:f>
        <x:v>9250</x:v>
      </x:c>
      <x:c r="Z622" s="119" t="n">
        <x:f>IF(X622=0,0,(X622-IF(1=D622,1,0))*ROUND(Y622*VLOOKUP(INDEX('章节与怪物'!$E$31:$K$37,B622,1),'章节与怪物'!$A$41:$F$44,2,FALSE),0)+IF(1=D622,ROUND(Y622*'难度参数'!$E$28*'章节与怪物'!$E$17,0),0))</x:f>
        <x:v>351500</x:v>
      </x:c>
      <x:c r="AA622" s="119" t="n">
        <x:f>IF(X622=0,0,(X622-IF(1=D622,1,0))*VLOOKUP(INDEX('章节与怪物'!$E$31:$K$37,B622,1),'章节与怪物'!$A$41:$F$44,4,FALSE)+IF(1=D622,'难度参数'!$E$30,0))</x:f>
        <x:v>684</x:v>
      </x:c>
      <x:c r="AB622" s="119" t="n">
        <x:f>IF(2&gt;D622,0,MAX(2,MIN('难度参数'!$E$12,ROUND(('难度参数'!$E$18*POWER(A622,'难度参数'!$E$19)/D622*(0.85+0.3*(2-1)/MAX(1,D622-1))),0)+F622)))</x:f>
        <x:v>40</x:v>
      </x:c>
      <x:c r="AC622" s="119" t="n">
        <x:f>IF(2&gt;D622,0,ROUND(('难度参数'!$E$13*POWER(A622,'难度参数'!$E$20)*MIN('难度参数'!$E$23,1+MAX(0,A622-'难度参数'!$E$21)*'难度参数'!$E$22))*(36+2*7)/(36+7*(D622+1)/2)*E622,0))</x:f>
        <x:v>10755</x:v>
      </x:c>
      <x:c r="AD622" s="119" t="n">
        <x:f>IF(AB622=0,0,(AB622-IF(2=D622,1,0))*ROUND(AC622*VLOOKUP(INDEX('章节与怪物'!$E$31:$K$37,B622,2),'章节与怪物'!$A$41:$F$44,2,FALSE),0)+IF(2=D622,ROUND(AC622*'难度参数'!$E$28*'章节与怪物'!$E$17,0),0))</x:f>
        <x:v>309760</x:v>
      </x:c>
      <x:c r="AE622" s="119" t="n">
        <x:f>IF(AB622=0,0,(AB622-IF(2=D622,1,0))*VLOOKUP(INDEX('章节与怪物'!$E$31:$K$37,B622,2),'章节与怪物'!$A$41:$F$44,4,FALSE)+IF(2=D622,'难度参数'!$E$30,0))</x:f>
        <x:v>800</x:v>
      </x:c>
      <x:c r="AF622" s="119" t="n">
        <x:f>IF(3&gt;D622,0,MAX(2,MIN('难度参数'!$E$12,ROUND(('难度参数'!$E$18*POWER(A622,'难度参数'!$E$19)/D622*(0.85+0.3*(3-1)/MAX(1,D622-1))),0)+F622)))</x:f>
        <x:v>42</x:v>
      </x:c>
      <x:c r="AG622" s="119" t="n">
        <x:f>IF(3&gt;D622,0,ROUND(('难度参数'!$E$13*POWER(A622,'难度参数'!$E$20)*MIN('难度参数'!$E$23,1+MAX(0,A622-'难度参数'!$E$21)*'难度参数'!$E$22))*(36+3*7)/(36+7*(D622+1)/2)*E622,0))</x:f>
        <x:v>12261</x:v>
      </x:c>
      <x:c r="AH622" s="119" t="n">
        <x:f>IF(AF622=0,0,(AF622-IF(3=D622,1,0))*ROUND(AG622*VLOOKUP(INDEX('章节与怪物'!$E$31:$K$37,B622,3),'章节与怪物'!$A$41:$F$44,2,FALSE),0)+IF(3=D622,ROUND(AG622*'难度参数'!$E$28*'章节与怪物'!$E$17,0),0))</x:f>
        <x:v>875448</x:v>
      </x:c>
      <x:c r="AI622" s="119" t="n">
        <x:f>IF(AF622=0,0,(AF622-IF(3=D622,1,0))*VLOOKUP(INDEX('章节与怪物'!$E$31:$K$37,B622,3),'章节与怪物'!$A$41:$F$44,4,FALSE)+IF(3=D622,'难度参数'!$E$30,0))</x:f>
        <x:v>1176</x:v>
      </x:c>
      <x:c r="AJ622" s="119" t="n">
        <x:f>IF(4&gt;D622,0,MAX(2,MIN('难度参数'!$E$12,ROUND(('难度参数'!$E$18*POWER(A622,'难度参数'!$E$19)/D622*(0.85+0.3*(4-1)/MAX(1,D622-1))),0)+F622)))</x:f>
        <x:v>45</x:v>
      </x:c>
      <x:c r="AK622" s="119" t="n">
        <x:f>IF(4&gt;D622,0,ROUND(('难度参数'!$E$13*POWER(A622,'难度参数'!$E$20)*MIN('难度参数'!$E$23,1+MAX(0,A622-'难度参数'!$E$21)*'难度参数'!$E$22))*(36+4*7)/(36+7*(D622+1)/2)*E622,0))</x:f>
        <x:v>13767</x:v>
      </x:c>
      <x:c r="AL622" s="119" t="n">
        <x:f>IF(AJ622=0,0,(AJ622-IF(4=D622,1,0))*ROUND(AK622*VLOOKUP(INDEX('章节与怪物'!$E$31:$K$37,B622,4),'章节与怪物'!$A$41:$F$44,2,FALSE),0)+IF(4=D622,ROUND(AK622*'难度参数'!$E$28*'章节与怪物'!$E$17,0),0))</x:f>
        <x:v>836325</x:v>
      </x:c>
      <x:c r="AM622" s="119" t="n">
        <x:f>IF(AJ622=0,0,(AJ622-IF(4=D622,1,0))*VLOOKUP(INDEX('章节与怪物'!$E$31:$K$37,B622,4),'章节与怪物'!$A$41:$F$44,4,FALSE)+IF(4=D622,'难度参数'!$E$30,0))</x:f>
        <x:v>1530</x:v>
      </x:c>
      <x:c r="AN622" s="119" t="n">
        <x:f>IF(5&gt;D622,0,MAX(2,MIN('难度参数'!$E$12,ROUND(('难度参数'!$E$18*POWER(A622,'难度参数'!$E$19)/D622*(0.85+0.3*(5-1)/MAX(1,D622-1))),0)+F622)))</x:f>
        <x:v>47</x:v>
      </x:c>
      <x:c r="AO622" s="119" t="n">
        <x:f>IF(5&gt;D622,0,ROUND(('难度参数'!$E$13*POWER(A622,'难度参数'!$E$20)*MIN('难度参数'!$E$23,1+MAX(0,A622-'难度参数'!$E$21)*'难度参数'!$E$22))*(36+5*7)/(36+7*(D622+1)/2)*E622,0))</x:f>
        <x:v>15273</x:v>
      </x:c>
      <x:c r="AP622" s="119" t="n">
        <x:f>IF(AN622=0,0,(AN622-IF(5=D622,1,0))*ROUND(AO622*VLOOKUP(INDEX('章节与怪物'!$E$31:$K$37,B622,5),'章节与怪物'!$A$41:$F$44,2,FALSE),0)+IF(5=D622,ROUND(AO622*'难度参数'!$E$28*'章节与怪物'!$E$17,0),0))</x:f>
        <x:v>516859</x:v>
      </x:c>
      <x:c r="AQ622" s="119" t="n">
        <x:f>IF(AN622=0,0,(AN622-IF(5=D622,1,0))*VLOOKUP(INDEX('章节与怪物'!$E$31:$K$37,B622,5),'章节与怪物'!$A$41:$F$44,4,FALSE)+IF(5=D622,'难度参数'!$E$30,0))</x:f>
        <x:v>940</x:v>
      </x:c>
      <x:c r="AR622" s="119" t="n">
        <x:f>IF(6&gt;D622,0,MAX(2,MIN('难度参数'!$E$12,ROUND(('难度参数'!$E$18*POWER(A622,'难度参数'!$E$19)/D622*(0.85+0.3*(6-1)/MAX(1,D622-1))),0)+F622)))</x:f>
        <x:v>49</x:v>
      </x:c>
      <x:c r="AS622" s="119" t="n">
        <x:f>IF(6&gt;D622,0,ROUND(('难度参数'!$E$13*POWER(A622,'难度参数'!$E$20)*MIN('难度参数'!$E$23,1+MAX(0,A622-'难度参数'!$E$21)*'难度参数'!$E$22))*(36+6*7)/(36+7*(D622+1)/2)*E622,0))</x:f>
        <x:v>16778</x:v>
      </x:c>
      <x:c r="AT622" s="119" t="n">
        <x:f>IF(AR622=0,0,(AR622-IF(6=D622,1,0))*ROUND(AS622*VLOOKUP(INDEX('章节与怪物'!$E$31:$K$37,B622,6),'章节与怪物'!$A$41:$F$44,2,FALSE),0)+IF(6=D622,ROUND(AS622*'难度参数'!$E$28*'章节与怪物'!$E$17,0),0))</x:f>
        <x:v>1397627</x:v>
      </x:c>
      <x:c r="AU622" s="119" t="n">
        <x:f>IF(AR622=0,0,(AR622-IF(6=D622,1,0))*VLOOKUP(INDEX('章节与怪物'!$E$31:$K$37,B622,6),'章节与怪物'!$A$41:$F$44,4,FALSE)+IF(6=D622,'难度参数'!$E$30,0))</x:f>
        <x:v>1372</x:v>
      </x:c>
      <x:c r="AV622" s="119" t="n">
        <x:f>IF(7&gt;D622,0,MAX(2,MIN('难度参数'!$E$12,ROUND(('难度参数'!$E$18*POWER(A622,'难度参数'!$E$19)/D622*(0.85+0.3*(7-1)/MAX(1,D622-1))),0)+F622)))</x:f>
        <x:v>51</x:v>
      </x:c>
      <x:c r="AW622" s="119" t="n">
        <x:f>IF(7&gt;D622,0,ROUND(('难度参数'!$E$13*POWER(A622,'难度参数'!$E$20)*MIN('难度参数'!$E$23,1+MAX(0,A622-'难度参数'!$E$21)*'难度参数'!$E$22))*(36+7*7)/(36+7*(D622+1)/2)*E622,0))</x:f>
        <x:v>18284</x:v>
      </x:c>
      <x:c r="AX622" s="119" t="n">
        <x:f>IF(AV622=0,0,(AV622-IF(7=D622,1,0))*ROUND(AW622*VLOOKUP(INDEX('章节与怪物'!$E$31:$K$37,B622,7),'章节与怪物'!$A$41:$F$44,2,FALSE),0)+IF(7=D622,ROUND(AW622*'难度参数'!$E$28*'章节与怪物'!$E$17,0),0))</x:f>
        <x:v>1358481</x:v>
      </x:c>
      <x:c r="AY622" s="119" t="n">
        <x:f>IF(AV622=0,0,(AV622-IF(7=D622,1,0))*VLOOKUP(INDEX('章节与怪物'!$E$31:$K$37,B622,7),'章节与怪物'!$A$41:$F$44,4,FALSE)+IF(7=D622,'难度参数'!$E$30,0))</x:f>
        <x:v>1900</x:v>
      </x:c>
    </x:row>
    <x:row r="623" ht="23" customHeight="1">
      <x:c r="A623" s="119" t="n">
        <x:v>617</x:v>
      </x:c>
      <x:c r="B623" s="119" t="n">
        <x:f>MOD(INT((A623-1)/5),7)+1</x:f>
        <x:v>5</x:v>
      </x:c>
      <x:c r="C623" s="62" t="str">
        <x:f>INDEX('章节与怪物'!$B$31:$B$37,B623)</x:f>
        <x:v>雨林遗迹</x:v>
      </x:c>
      <x:c r="D623" s="119" t="n">
        <x:f>MIN('难度参数'!$E$8,MAX('难度参数'!$E$7,A623))</x:f>
        <x:v>7</x:v>
      </x:c>
      <x:c r="E623" s="106" t="n">
        <x:v>1</x:v>
      </x:c>
      <x:c r="F623" s="106" t="n">
        <x:v>0</x:v>
      </x:c>
      <x:c r="G623" s="106" t="n">
        <x:v>1</x:v>
      </x:c>
      <x:c r="H623" s="119" t="n">
        <x:f>SUM(X623,AB623,AF623,AJ623,AN623,AR623,AV623)</x:f>
        <x:v>312</x:v>
      </x:c>
      <x:c r="I623" s="119" t="n">
        <x:f>SUM(Z623,AD623,AH623,AL623,AP623,AT623,AX623)</x:f>
        <x:v>5652561</x:v>
      </x:c>
      <x:c r="J623" s="119" t="n">
        <x:f>ROUND(INDEX(X623:AY623,1,(D623-1)*4+2)*'难度参数'!$E$28*'章节与怪物'!$E$17,0)</x:f>
        <x:v>124474</x:v>
      </x:c>
      <x:c r="K623" s="119" t="n">
        <x:f>SUM(AA623,AE623,AI623,AM623,AQ623,AU623,AY623)</x:f>
        <x:v>8402</x:v>
      </x:c>
      <x:c r="L623" s="62" t="n">
        <x:f>H623*(ROUNDUP('难度参数'!$E$24/('难度参数'!$E$26*'难度参数'!$E$27),0)*'难度参数'!$E$26)/60</x:f>
        <x:v>4.16</x:v>
      </x:c>
      <x:c r="M623" s="62" t="n">
        <x:f>L623+D623*('难度参数'!$E$49+'难度参数'!$E$50)/60</x:f>
        <x:v>5.326666666666667</x:v>
      </x:c>
      <x:c r="N623" s="119" t="n">
        <x:f>ROUNDDOWN(('经济参数'!$E$20+A623*'经济参数'!$E$21)*G623,0)</x:f>
        <x:v>12520</x:v>
      </x:c>
      <x:c r="O623" s="119" t="n">
        <x:f>ROUNDDOWN(MIN('经济参数'!$E$24,'经济参数'!$E$22+A623*'经济参数'!$E$23)*G623,0)</x:f>
        <x:v>0</x:v>
      </x:c>
      <x:c r="P623" s="119" t="n">
        <x:f>ROUNDDOWN((IF(A623&gt;='材料与任务'!$E$31,'材料与任务'!$E$32,IF(A623&gt;='材料与任务'!$E$25,'材料与任务'!$E$26,IF(A623&gt;='材料与任务'!$E$19,'材料与任务'!$E$20,IF(A623&gt;='材料与任务'!$E$13,'材料与任务'!$E$14,'材料与任务'!$E$8)))))*G623,0)</x:f>
        <x:v>6</x:v>
      </x:c>
      <x:c r="Q623" s="119" t="n">
        <x:f>ROUNDDOWN((IF(A623&gt;='材料与任务'!$E$31,'材料与任务'!$E$33,IF(A623&gt;='材料与任务'!$E$25,'材料与任务'!$E$27,IF(A623&gt;='材料与任务'!$E$19,'材料与任务'!$E$21,IF(A623&gt;='材料与任务'!$E$13,'材料与任务'!$E$15,'材料与任务'!$E$9)))))*G623,0)</x:f>
        <x:v>3</x:v>
      </x:c>
      <x:c r="R623" s="110" t="n">
        <x:f>'装备掉落'!$B$38</x:f>
        <x:v>0.6872058758851213</x:v>
      </x:c>
      <x:c r="S623" s="119" t="n">
        <x:f>MAX(IF(VLOOKUP(A623,'装备掉落'!$A$29:$H$34,2,TRUE)&gt;0,1,0),IF(VLOOKUP(A623,'装备掉落'!$A$29:$H$34,3,TRUE)&gt;0,2,0),IF(VLOOKUP(A623,'装备掉落'!$A$29:$H$34,4,TRUE)&gt;0,3,0),IF(VLOOKUP(A623,'装备掉落'!$A$29:$H$34,5,TRUE)&gt;0,4,0),IF(VLOOKUP(A623,'装备掉落'!$A$29:$H$34,6,TRUE)&gt;0,5,0),IF(VLOOKUP(A623,'装备掉落'!$A$29:$H$34,7,TRUE)&gt;0,6,0),IF(VLOOKUP(A623,'装备掉落'!$A$29:$H$34,8,TRUE)&gt;0,7,0))</x:f>
        <x:v>7</x:v>
      </x:c>
      <x:c r="T623" s="119" t="n">
        <x:f>MIN(7,S623+'经济参数'!$E$70)</x:f>
        <x:v>7</x:v>
      </x:c>
      <x:c r="U623" s="119" t="n">
        <x:f>MIN(7,S623+'经济参数'!$E$71)</x:f>
        <x:v>7</x:v>
      </x:c>
      <x:c r="V623" s="119" t="n">
        <x:f>IF(H623&gt;=('难度参数'!$E$52),1,0)+IF(H623&gt;=('难度参数'!$E$52+'难度参数'!$E$53),1,0)+IF(H623&gt;=('难度参数'!$E$52+'难度参数'!$E$53+'难度参数'!$E$54),1,0)+IF(H623&gt;=('难度参数'!$E$52+'难度参数'!$E$53+'难度参数'!$E$54+'难度参数'!$E$55),1,0)+IF(H623&gt;=('难度参数'!$E$52+'难度参数'!$E$53+'难度参数'!$E$54+'难度参数'!$E$55+'难度参数'!$E$56),1,0)+IF(H623&gt;=('难度参数'!$E$52+'难度参数'!$E$53+'难度参数'!$E$54+'难度参数'!$E$55+'难度参数'!$E$56+'难度参数'!$E$57),1,0)</x:f>
        <x:v>6</x:v>
      </x:c>
      <x:c r="W623" s="62" t="str">
        <x:f>IF(L623&gt;'难度参数'!$E$51,"仅出怪已超目标","还需实测")</x:f>
        <x:v>仅出怪已超目标</x:v>
      </x:c>
      <x:c r="X623" s="119" t="n">
        <x:f>IF(1&gt;D623,0,MAX(2,MIN('难度参数'!$E$12,ROUND(('难度参数'!$E$18*POWER(A623,'难度参数'!$E$19)/D623*(0.85+0.3*(1-1)/MAX(1,D623-1))),0)+F623)))</x:f>
        <x:v>38</x:v>
      </x:c>
      <x:c r="Y623" s="119" t="n">
        <x:f>IF(1&gt;D623,0,ROUND(('难度参数'!$E$13*POWER(A623,'难度参数'!$E$20)*MIN('难度参数'!$E$23,1+MAX(0,A623-'难度参数'!$E$21)*'难度参数'!$E$22))*(36+1*7)/(36+7*(D623+1)/2)*E623,0))</x:f>
        <x:v>9260</x:v>
      </x:c>
      <x:c r="Z623" s="119" t="n">
        <x:f>IF(X623=0,0,(X623-IF(1=D623,1,0))*ROUND(Y623*VLOOKUP(INDEX('章节与怪物'!$E$31:$K$37,B623,1),'章节与怪物'!$A$41:$F$44,2,FALSE),0)+IF(1=D623,ROUND(Y623*'难度参数'!$E$28*'章节与怪物'!$E$17,0),0))</x:f>
        <x:v>351880</x:v>
      </x:c>
      <x:c r="AA623" s="119" t="n">
        <x:f>IF(X623=0,0,(X623-IF(1=D623,1,0))*VLOOKUP(INDEX('章节与怪物'!$E$31:$K$37,B623,1),'章节与怪物'!$A$41:$F$44,4,FALSE)+IF(1=D623,'难度参数'!$E$30,0))</x:f>
        <x:v>684</x:v>
      </x:c>
      <x:c r="AB623" s="119" t="n">
        <x:f>IF(2&gt;D623,0,MAX(2,MIN('难度参数'!$E$12,ROUND(('难度参数'!$E$18*POWER(A623,'难度参数'!$E$19)/D623*(0.85+0.3*(2-1)/MAX(1,D623-1))),0)+F623)))</x:f>
        <x:v>40</x:v>
      </x:c>
      <x:c r="AC623" s="119" t="n">
        <x:f>IF(2&gt;D623,0,ROUND(('难度参数'!$E$13*POWER(A623,'难度参数'!$E$20)*MIN('难度参数'!$E$23,1+MAX(0,A623-'难度参数'!$E$21)*'难度参数'!$E$22))*(36+2*7)/(36+7*(D623+1)/2)*E623,0))</x:f>
        <x:v>10768</x:v>
      </x:c>
      <x:c r="AD623" s="119" t="n">
        <x:f>IF(AB623=0,0,(AB623-IF(2=D623,1,0))*ROUND(AC623*VLOOKUP(INDEX('章节与怪物'!$E$31:$K$37,B623,2),'章节与怪物'!$A$41:$F$44,2,FALSE),0)+IF(2=D623,ROUND(AC623*'难度参数'!$E$28*'章节与怪物'!$E$17,0),0))</x:f>
        <x:v>310120</x:v>
      </x:c>
      <x:c r="AE623" s="119" t="n">
        <x:f>IF(AB623=0,0,(AB623-IF(2=D623,1,0))*VLOOKUP(INDEX('章节与怪物'!$E$31:$K$37,B623,2),'章节与怪物'!$A$41:$F$44,4,FALSE)+IF(2=D623,'难度参数'!$E$30,0))</x:f>
        <x:v>800</x:v>
      </x:c>
      <x:c r="AF623" s="119" t="n">
        <x:f>IF(3&gt;D623,0,MAX(2,MIN('难度参数'!$E$12,ROUND(('难度参数'!$E$18*POWER(A623,'难度参数'!$E$19)/D623*(0.85+0.3*(3-1)/MAX(1,D623-1))),0)+F623)))</x:f>
        <x:v>42</x:v>
      </x:c>
      <x:c r="AG623" s="119" t="n">
        <x:f>IF(3&gt;D623,0,ROUND(('难度参数'!$E$13*POWER(A623,'难度参数'!$E$20)*MIN('难度参数'!$E$23,1+MAX(0,A623-'难度参数'!$E$21)*'难度参数'!$E$22))*(36+3*7)/(36+7*(D623+1)/2)*E623,0))</x:f>
        <x:v>12275</x:v>
      </x:c>
      <x:c r="AH623" s="119" t="n">
        <x:f>IF(AF623=0,0,(AF623-IF(3=D623,1,0))*ROUND(AG623*VLOOKUP(INDEX('章节与怪物'!$E$31:$K$37,B623,3),'章节与怪物'!$A$41:$F$44,2,FALSE),0)+IF(3=D623,ROUND(AG623*'难度参数'!$E$28*'章节与怪物'!$E$17,0),0))</x:f>
        <x:v>876456</x:v>
      </x:c>
      <x:c r="AI623" s="119" t="n">
        <x:f>IF(AF623=0,0,(AF623-IF(3=D623,1,0))*VLOOKUP(INDEX('章节与怪物'!$E$31:$K$37,B623,3),'章节与怪物'!$A$41:$F$44,4,FALSE)+IF(3=D623,'难度参数'!$E$30,0))</x:f>
        <x:v>1176</x:v>
      </x:c>
      <x:c r="AJ623" s="119" t="n">
        <x:f>IF(4&gt;D623,0,MAX(2,MIN('难度参数'!$E$12,ROUND(('难度参数'!$E$18*POWER(A623,'难度参数'!$E$19)/D623*(0.85+0.3*(4-1)/MAX(1,D623-1))),0)+F623)))</x:f>
        <x:v>45</x:v>
      </x:c>
      <x:c r="AK623" s="119" t="n">
        <x:f>IF(4&gt;D623,0,ROUND(('难度参数'!$E$13*POWER(A623,'难度参数'!$E$20)*MIN('难度参数'!$E$23,1+MAX(0,A623-'难度参数'!$E$21)*'难度参数'!$E$22))*(36+4*7)/(36+7*(D623+1)/2)*E623,0))</x:f>
        <x:v>13783</x:v>
      </x:c>
      <x:c r="AL623" s="119" t="n">
        <x:f>IF(AJ623=0,0,(AJ623-IF(4=D623,1,0))*ROUND(AK623*VLOOKUP(INDEX('章节与怪物'!$E$31:$K$37,B623,4),'章节与怪物'!$A$41:$F$44,2,FALSE),0)+IF(4=D623,ROUND(AK623*'难度参数'!$E$28*'章节与怪物'!$E$17,0),0))</x:f>
        <x:v>837315</x:v>
      </x:c>
      <x:c r="AM623" s="119" t="n">
        <x:f>IF(AJ623=0,0,(AJ623-IF(4=D623,1,0))*VLOOKUP(INDEX('章节与怪物'!$E$31:$K$37,B623,4),'章节与怪物'!$A$41:$F$44,4,FALSE)+IF(4=D623,'难度参数'!$E$30,0))</x:f>
        <x:v>1530</x:v>
      </x:c>
      <x:c r="AN623" s="119" t="n">
        <x:f>IF(5&gt;D623,0,MAX(2,MIN('难度参数'!$E$12,ROUND(('难度参数'!$E$18*POWER(A623,'难度参数'!$E$19)/D623*(0.85+0.3*(5-1)/MAX(1,D623-1))),0)+F623)))</x:f>
        <x:v>47</x:v>
      </x:c>
      <x:c r="AO623" s="119" t="n">
        <x:f>IF(5&gt;D623,0,ROUND(('难度参数'!$E$13*POWER(A623,'难度参数'!$E$20)*MIN('难度参数'!$E$23,1+MAX(0,A623-'难度参数'!$E$21)*'难度参数'!$E$22))*(36+5*7)/(36+7*(D623+1)/2)*E623,0))</x:f>
        <x:v>15290</x:v>
      </x:c>
      <x:c r="AP623" s="119" t="n">
        <x:f>IF(AN623=0,0,(AN623-IF(5=D623,1,0))*ROUND(AO623*VLOOKUP(INDEX('章节与怪物'!$E$31:$K$37,B623,5),'章节与怪物'!$A$41:$F$44,2,FALSE),0)+IF(5=D623,ROUND(AO623*'难度参数'!$E$28*'章节与怪物'!$E$17,0),0))</x:f>
        <x:v>517423</x:v>
      </x:c>
      <x:c r="AQ623" s="119" t="n">
        <x:f>IF(AN623=0,0,(AN623-IF(5=D623,1,0))*VLOOKUP(INDEX('章节与怪物'!$E$31:$K$37,B623,5),'章节与怪物'!$A$41:$F$44,4,FALSE)+IF(5=D623,'难度参数'!$E$30,0))</x:f>
        <x:v>940</x:v>
      </x:c>
      <x:c r="AR623" s="119" t="n">
        <x:f>IF(6&gt;D623,0,MAX(2,MIN('难度参数'!$E$12,ROUND(('难度参数'!$E$18*POWER(A623,'难度参数'!$E$19)/D623*(0.85+0.3*(6-1)/MAX(1,D623-1))),0)+F623)))</x:f>
        <x:v>49</x:v>
      </x:c>
      <x:c r="AS623" s="119" t="n">
        <x:f>IF(6&gt;D623,0,ROUND(('难度参数'!$E$13*POWER(A623,'难度参数'!$E$20)*MIN('难度参数'!$E$23,1+MAX(0,A623-'难度参数'!$E$21)*'难度参数'!$E$22))*(36+6*7)/(36+7*(D623+1)/2)*E623,0))</x:f>
        <x:v>16798</x:v>
      </x:c>
      <x:c r="AT623" s="119" t="n">
        <x:f>IF(AR623=0,0,(AR623-IF(6=D623,1,0))*ROUND(AS623*VLOOKUP(INDEX('章节与怪物'!$E$31:$K$37,B623,6),'章节与怪物'!$A$41:$F$44,2,FALSE),0)+IF(6=D623,ROUND(AS623*'难度参数'!$E$28*'章节与怪物'!$E$17,0),0))</x:f>
        <x:v>1399293</x:v>
      </x:c>
      <x:c r="AU623" s="119" t="n">
        <x:f>IF(AR623=0,0,(AR623-IF(6=D623,1,0))*VLOOKUP(INDEX('章节与怪物'!$E$31:$K$37,B623,6),'章节与怪物'!$A$41:$F$44,4,FALSE)+IF(6=D623,'难度参数'!$E$30,0))</x:f>
        <x:v>1372</x:v>
      </x:c>
      <x:c r="AV623" s="119" t="n">
        <x:f>IF(7&gt;D623,0,MAX(2,MIN('难度参数'!$E$12,ROUND(('难度参数'!$E$18*POWER(A623,'难度参数'!$E$19)/D623*(0.85+0.3*(7-1)/MAX(1,D623-1))),0)+F623)))</x:f>
        <x:v>51</x:v>
      </x:c>
      <x:c r="AW623" s="119" t="n">
        <x:f>IF(7&gt;D623,0,ROUND(('难度参数'!$E$13*POWER(A623,'难度参数'!$E$20)*MIN('难度参数'!$E$23,1+MAX(0,A623-'难度参数'!$E$21)*'难度参数'!$E$22))*(36+7*7)/(36+7*(D623+1)/2)*E623,0))</x:f>
        <x:v>18305</x:v>
      </x:c>
      <x:c r="AX623" s="119" t="n">
        <x:f>IF(AV623=0,0,(AV623-IF(7=D623,1,0))*ROUND(AW623*VLOOKUP(INDEX('章节与怪物'!$E$31:$K$37,B623,7),'章节与怪物'!$A$41:$F$44,2,FALSE),0)+IF(7=D623,ROUND(AW623*'难度参数'!$E$28*'章节与怪物'!$E$17,0),0))</x:f>
        <x:v>1360074</x:v>
      </x:c>
      <x:c r="AY623" s="119" t="n">
        <x:f>IF(AV623=0,0,(AV623-IF(7=D623,1,0))*VLOOKUP(INDEX('章节与怪物'!$E$31:$K$37,B623,7),'章节与怪物'!$A$41:$F$44,4,FALSE)+IF(7=D623,'难度参数'!$E$30,0))</x:f>
        <x:v>1900</x:v>
      </x:c>
    </x:row>
    <x:row r="624" ht="23" customHeight="1">
      <x:c r="A624" s="119" t="n">
        <x:v>618</x:v>
      </x:c>
      <x:c r="B624" s="119" t="n">
        <x:f>MOD(INT((A624-1)/5),7)+1</x:f>
        <x:v>5</x:v>
      </x:c>
      <x:c r="C624" s="62" t="str">
        <x:f>INDEX('章节与怪物'!$B$31:$B$37,B624)</x:f>
        <x:v>雨林遗迹</x:v>
      </x:c>
      <x:c r="D624" s="119" t="n">
        <x:f>MIN('难度参数'!$E$8,MAX('难度参数'!$E$7,A624))</x:f>
        <x:v>7</x:v>
      </x:c>
      <x:c r="E624" s="106" t="n">
        <x:v>1</x:v>
      </x:c>
      <x:c r="F624" s="106" t="n">
        <x:v>0</x:v>
      </x:c>
      <x:c r="G624" s="106" t="n">
        <x:v>1</x:v>
      </x:c>
      <x:c r="H624" s="119" t="n">
        <x:f>SUM(X624,AB624,AF624,AJ624,AN624,AR624,AV624)</x:f>
        <x:v>312</x:v>
      </x:c>
      <x:c r="I624" s="119" t="n">
        <x:f>SUM(Z624,AD624,AH624,AL624,AP624,AT624,AX624)</x:f>
        <x:v>5659158</x:v>
      </x:c>
      <x:c r="J624" s="119" t="n">
        <x:f>ROUND(INDEX(X624:AY624,1,(D624-1)*4+2)*'难度参数'!$E$28*'章节与怪物'!$E$17,0)</x:f>
        <x:v>124624</x:v>
      </x:c>
      <x:c r="K624" s="119" t="n">
        <x:f>SUM(AA624,AE624,AI624,AM624,AQ624,AU624,AY624)</x:f>
        <x:v>8402</x:v>
      </x:c>
      <x:c r="L624" s="62" t="n">
        <x:f>H624*(ROUNDUP('难度参数'!$E$24/('难度参数'!$E$26*'难度参数'!$E$27),0)*'难度参数'!$E$26)/60</x:f>
        <x:v>4.16</x:v>
      </x:c>
      <x:c r="M624" s="62" t="n">
        <x:f>L624+D624*('难度参数'!$E$49+'难度参数'!$E$50)/60</x:f>
        <x:v>5.326666666666667</x:v>
      </x:c>
      <x:c r="N624" s="119" t="n">
        <x:f>ROUNDDOWN(('经济参数'!$E$20+A624*'经济参数'!$E$21)*G624,0)</x:f>
        <x:v>12540</x:v>
      </x:c>
      <x:c r="O624" s="119" t="n">
        <x:f>ROUNDDOWN(MIN('经济参数'!$E$24,'经济参数'!$E$22+A624*'经济参数'!$E$23)*G624,0)</x:f>
        <x:v>0</x:v>
      </x:c>
      <x:c r="P624" s="119" t="n">
        <x:f>ROUNDDOWN((IF(A624&gt;='材料与任务'!$E$31,'材料与任务'!$E$32,IF(A624&gt;='材料与任务'!$E$25,'材料与任务'!$E$26,IF(A624&gt;='材料与任务'!$E$19,'材料与任务'!$E$20,IF(A624&gt;='材料与任务'!$E$13,'材料与任务'!$E$14,'材料与任务'!$E$8)))))*G624,0)</x:f>
        <x:v>6</x:v>
      </x:c>
      <x:c r="Q624" s="119" t="n">
        <x:f>ROUNDDOWN((IF(A624&gt;='材料与任务'!$E$31,'材料与任务'!$E$33,IF(A624&gt;='材料与任务'!$E$25,'材料与任务'!$E$27,IF(A624&gt;='材料与任务'!$E$19,'材料与任务'!$E$21,IF(A624&gt;='材料与任务'!$E$13,'材料与任务'!$E$15,'材料与任务'!$E$9)))))*G624,0)</x:f>
        <x:v>3</x:v>
      </x:c>
      <x:c r="R624" s="110" t="n">
        <x:f>'装备掉落'!$B$38</x:f>
        <x:v>0.6872058758851213</x:v>
      </x:c>
      <x:c r="S624" s="119" t="n">
        <x:f>MAX(IF(VLOOKUP(A624,'装备掉落'!$A$29:$H$34,2,TRUE)&gt;0,1,0),IF(VLOOKUP(A624,'装备掉落'!$A$29:$H$34,3,TRUE)&gt;0,2,0),IF(VLOOKUP(A624,'装备掉落'!$A$29:$H$34,4,TRUE)&gt;0,3,0),IF(VLOOKUP(A624,'装备掉落'!$A$29:$H$34,5,TRUE)&gt;0,4,0),IF(VLOOKUP(A624,'装备掉落'!$A$29:$H$34,6,TRUE)&gt;0,5,0),IF(VLOOKUP(A624,'装备掉落'!$A$29:$H$34,7,TRUE)&gt;0,6,0),IF(VLOOKUP(A624,'装备掉落'!$A$29:$H$34,8,TRUE)&gt;0,7,0))</x:f>
        <x:v>7</x:v>
      </x:c>
      <x:c r="T624" s="119" t="n">
        <x:f>MIN(7,S624+'经济参数'!$E$70)</x:f>
        <x:v>7</x:v>
      </x:c>
      <x:c r="U624" s="119" t="n">
        <x:f>MIN(7,S624+'经济参数'!$E$71)</x:f>
        <x:v>7</x:v>
      </x:c>
      <x:c r="V624" s="119" t="n">
        <x:f>IF(H624&gt;=('难度参数'!$E$52),1,0)+IF(H624&gt;=('难度参数'!$E$52+'难度参数'!$E$53),1,0)+IF(H624&gt;=('难度参数'!$E$52+'难度参数'!$E$53+'难度参数'!$E$54),1,0)+IF(H624&gt;=('难度参数'!$E$52+'难度参数'!$E$53+'难度参数'!$E$54+'难度参数'!$E$55),1,0)+IF(H624&gt;=('难度参数'!$E$52+'难度参数'!$E$53+'难度参数'!$E$54+'难度参数'!$E$55+'难度参数'!$E$56),1,0)+IF(H624&gt;=('难度参数'!$E$52+'难度参数'!$E$53+'难度参数'!$E$54+'难度参数'!$E$55+'难度参数'!$E$56+'难度参数'!$E$57),1,0)</x:f>
        <x:v>6</x:v>
      </x:c>
      <x:c r="W624" s="62" t="str">
        <x:f>IF(L624&gt;'难度参数'!$E$51,"仅出怪已超目标","还需实测")</x:f>
        <x:v>仅出怪已超目标</x:v>
      </x:c>
      <x:c r="X624" s="119" t="n">
        <x:f>IF(1&gt;D624,0,MAX(2,MIN('难度参数'!$E$12,ROUND(('难度参数'!$E$18*POWER(A624,'难度参数'!$E$19)/D624*(0.85+0.3*(1-1)/MAX(1,D624-1))),0)+F624)))</x:f>
        <x:v>38</x:v>
      </x:c>
      <x:c r="Y624" s="119" t="n">
        <x:f>IF(1&gt;D624,0,ROUND(('难度参数'!$E$13*POWER(A624,'难度参数'!$E$20)*MIN('难度参数'!$E$23,1+MAX(0,A624-'难度参数'!$E$21)*'难度参数'!$E$22))*(36+1*7)/(36+7*(D624+1)/2)*E624,0))</x:f>
        <x:v>9271</x:v>
      </x:c>
      <x:c r="Z624" s="119" t="n">
        <x:f>IF(X624=0,0,(X624-IF(1=D624,1,0))*ROUND(Y624*VLOOKUP(INDEX('章节与怪物'!$E$31:$K$37,B624,1),'章节与怪物'!$A$41:$F$44,2,FALSE),0)+IF(1=D624,ROUND(Y624*'难度参数'!$E$28*'章节与怪物'!$E$17,0),0))</x:f>
        <x:v>352298</x:v>
      </x:c>
      <x:c r="AA624" s="119" t="n">
        <x:f>IF(X624=0,0,(X624-IF(1=D624,1,0))*VLOOKUP(INDEX('章节与怪物'!$E$31:$K$37,B624,1),'章节与怪物'!$A$41:$F$44,4,FALSE)+IF(1=D624,'难度参数'!$E$30,0))</x:f>
        <x:v>684</x:v>
      </x:c>
      <x:c r="AB624" s="119" t="n">
        <x:f>IF(2&gt;D624,0,MAX(2,MIN('难度参数'!$E$12,ROUND(('难度参数'!$E$18*POWER(A624,'难度参数'!$E$19)/D624*(0.85+0.3*(2-1)/MAX(1,D624-1))),0)+F624)))</x:f>
        <x:v>40</x:v>
      </x:c>
      <x:c r="AC624" s="119" t="n">
        <x:f>IF(2&gt;D624,0,ROUND(('难度参数'!$E$13*POWER(A624,'难度参数'!$E$20)*MIN('难度参数'!$E$23,1+MAX(0,A624-'难度参数'!$E$21)*'难度参数'!$E$22))*(36+2*7)/(36+7*(D624+1)/2)*E624,0))</x:f>
        <x:v>10780</x:v>
      </x:c>
      <x:c r="AD624" s="119" t="n">
        <x:f>IF(AB624=0,0,(AB624-IF(2=D624,1,0))*ROUND(AC624*VLOOKUP(INDEX('章节与怪物'!$E$31:$K$37,B624,2),'章节与怪物'!$A$41:$F$44,2,FALSE),0)+IF(2=D624,ROUND(AC624*'难度参数'!$E$28*'章节与怪物'!$E$17,0),0))</x:f>
        <x:v>310480</x:v>
      </x:c>
      <x:c r="AE624" s="119" t="n">
        <x:f>IF(AB624=0,0,(AB624-IF(2=D624,1,0))*VLOOKUP(INDEX('章节与怪物'!$E$31:$K$37,B624,2),'章节与怪物'!$A$41:$F$44,4,FALSE)+IF(2=D624,'难度参数'!$E$30,0))</x:f>
        <x:v>800</x:v>
      </x:c>
      <x:c r="AF624" s="119" t="n">
        <x:f>IF(3&gt;D624,0,MAX(2,MIN('难度参数'!$E$12,ROUND(('难度参数'!$E$18*POWER(A624,'难度参数'!$E$19)/D624*(0.85+0.3*(3-1)/MAX(1,D624-1))),0)+F624)))</x:f>
        <x:v>42</x:v>
      </x:c>
      <x:c r="AG624" s="119" t="n">
        <x:f>IF(3&gt;D624,0,ROUND(('难度参数'!$E$13*POWER(A624,'难度参数'!$E$20)*MIN('难度参数'!$E$23,1+MAX(0,A624-'难度参数'!$E$21)*'难度参数'!$E$22))*(36+3*7)/(36+7*(D624+1)/2)*E624,0))</x:f>
        <x:v>12290</x:v>
      </x:c>
      <x:c r="AH624" s="119" t="n">
        <x:f>IF(AF624=0,0,(AF624-IF(3=D624,1,0))*ROUND(AG624*VLOOKUP(INDEX('章节与怪物'!$E$31:$K$37,B624,3),'章节与怪物'!$A$41:$F$44,2,FALSE),0)+IF(3=D624,ROUND(AG624*'难度参数'!$E$28*'章节与怪物'!$E$17,0),0))</x:f>
        <x:v>877506</x:v>
      </x:c>
      <x:c r="AI624" s="119" t="n">
        <x:f>IF(AF624=0,0,(AF624-IF(3=D624,1,0))*VLOOKUP(INDEX('章节与怪物'!$E$31:$K$37,B624,3),'章节与怪物'!$A$41:$F$44,4,FALSE)+IF(3=D624,'难度参数'!$E$30,0))</x:f>
        <x:v>1176</x:v>
      </x:c>
      <x:c r="AJ624" s="119" t="n">
        <x:f>IF(4&gt;D624,0,MAX(2,MIN('难度参数'!$E$12,ROUND(('难度参数'!$E$18*POWER(A624,'难度参数'!$E$19)/D624*(0.85+0.3*(4-1)/MAX(1,D624-1))),0)+F624)))</x:f>
        <x:v>45</x:v>
      </x:c>
      <x:c r="AK624" s="119" t="n">
        <x:f>IF(4&gt;D624,0,ROUND(('难度参数'!$E$13*POWER(A624,'难度参数'!$E$20)*MIN('难度参数'!$E$23,1+MAX(0,A624-'难度参数'!$E$21)*'难度参数'!$E$22))*(36+4*7)/(36+7*(D624+1)/2)*E624,0))</x:f>
        <x:v>13799</x:v>
      </x:c>
      <x:c r="AL624" s="119" t="n">
        <x:f>IF(AJ624=0,0,(AJ624-IF(4=D624,1,0))*ROUND(AK624*VLOOKUP(INDEX('章节与怪物'!$E$31:$K$37,B624,4),'章节与怪物'!$A$41:$F$44,2,FALSE),0)+IF(4=D624,ROUND(AK624*'难度参数'!$E$28*'章节与怪物'!$E$17,0),0))</x:f>
        <x:v>838305</x:v>
      </x:c>
      <x:c r="AM624" s="119" t="n">
        <x:f>IF(AJ624=0,0,(AJ624-IF(4=D624,1,0))*VLOOKUP(INDEX('章节与怪物'!$E$31:$K$37,B624,4),'章节与怪物'!$A$41:$F$44,4,FALSE)+IF(4=D624,'难度参数'!$E$30,0))</x:f>
        <x:v>1530</x:v>
      </x:c>
      <x:c r="AN624" s="119" t="n">
        <x:f>IF(5&gt;D624,0,MAX(2,MIN('难度参数'!$E$12,ROUND(('难度参数'!$E$18*POWER(A624,'难度参数'!$E$19)/D624*(0.85+0.3*(5-1)/MAX(1,D624-1))),0)+F624)))</x:f>
        <x:v>47</x:v>
      </x:c>
      <x:c r="AO624" s="119" t="n">
        <x:f>IF(5&gt;D624,0,ROUND(('难度参数'!$E$13*POWER(A624,'难度参数'!$E$20)*MIN('难度参数'!$E$23,1+MAX(0,A624-'难度参数'!$E$21)*'难度参数'!$E$22))*(36+5*7)/(36+7*(D624+1)/2)*E624,0))</x:f>
        <x:v>15308</x:v>
      </x:c>
      <x:c r="AP624" s="119" t="n">
        <x:f>IF(AN624=0,0,(AN624-IF(5=D624,1,0))*ROUND(AO624*VLOOKUP(INDEX('章节与怪物'!$E$31:$K$37,B624,5),'章节与怪物'!$A$41:$F$44,2,FALSE),0)+IF(5=D624,ROUND(AO624*'难度参数'!$E$28*'章节与怪物'!$E$17,0),0))</x:f>
        <x:v>518034</x:v>
      </x:c>
      <x:c r="AQ624" s="119" t="n">
        <x:f>IF(AN624=0,0,(AN624-IF(5=D624,1,0))*VLOOKUP(INDEX('章节与怪物'!$E$31:$K$37,B624,5),'章节与怪物'!$A$41:$F$44,4,FALSE)+IF(5=D624,'难度参数'!$E$30,0))</x:f>
        <x:v>940</x:v>
      </x:c>
      <x:c r="AR624" s="119" t="n">
        <x:f>IF(6&gt;D624,0,MAX(2,MIN('难度参数'!$E$12,ROUND(('难度参数'!$E$18*POWER(A624,'难度参数'!$E$19)/D624*(0.85+0.3*(6-1)/MAX(1,D624-1))),0)+F624)))</x:f>
        <x:v>49</x:v>
      </x:c>
      <x:c r="AS624" s="119" t="n">
        <x:f>IF(6&gt;D624,0,ROUND(('难度参数'!$E$13*POWER(A624,'难度参数'!$E$20)*MIN('难度参数'!$E$23,1+MAX(0,A624-'难度参数'!$E$21)*'难度参数'!$E$22))*(36+6*7)/(36+7*(D624+1)/2)*E624,0))</x:f>
        <x:v>16817</x:v>
      </x:c>
      <x:c r="AT624" s="119" t="n">
        <x:f>IF(AR624=0,0,(AR624-IF(6=D624,1,0))*ROUND(AS624*VLOOKUP(INDEX('章节与怪物'!$E$31:$K$37,B624,6),'章节与怪物'!$A$41:$F$44,2,FALSE),0)+IF(6=D624,ROUND(AS624*'难度参数'!$E$28*'章节与怪物'!$E$17,0),0))</x:f>
        <x:v>1400861</x:v>
      </x:c>
      <x:c r="AU624" s="119" t="n">
        <x:f>IF(AR624=0,0,(AR624-IF(6=D624,1,0))*VLOOKUP(INDEX('章节与怪物'!$E$31:$K$37,B624,6),'章节与怪物'!$A$41:$F$44,4,FALSE)+IF(6=D624,'难度参数'!$E$30,0))</x:f>
        <x:v>1372</x:v>
      </x:c>
      <x:c r="AV624" s="119" t="n">
        <x:f>IF(7&gt;D624,0,MAX(2,MIN('难度参数'!$E$12,ROUND(('难度参数'!$E$18*POWER(A624,'难度参数'!$E$19)/D624*(0.85+0.3*(7-1)/MAX(1,D624-1))),0)+F624)))</x:f>
        <x:v>51</x:v>
      </x:c>
      <x:c r="AW624" s="119" t="n">
        <x:f>IF(7&gt;D624,0,ROUND(('难度参数'!$E$13*POWER(A624,'难度参数'!$E$20)*MIN('难度参数'!$E$23,1+MAX(0,A624-'难度参数'!$E$21)*'难度参数'!$E$22))*(36+7*7)/(36+7*(D624+1)/2)*E624,0))</x:f>
        <x:v>18327</x:v>
      </x:c>
      <x:c r="AX624" s="119" t="n">
        <x:f>IF(AV624=0,0,(AV624-IF(7=D624,1,0))*ROUND(AW624*VLOOKUP(INDEX('章节与怪物'!$E$31:$K$37,B624,7),'章节与怪物'!$A$41:$F$44,2,FALSE),0)+IF(7=D624,ROUND(AW624*'难度参数'!$E$28*'章节与怪物'!$E$17,0),0))</x:f>
        <x:v>1361674</x:v>
      </x:c>
      <x:c r="AY624" s="119" t="n">
        <x:f>IF(AV624=0,0,(AV624-IF(7=D624,1,0))*VLOOKUP(INDEX('章节与怪物'!$E$31:$K$37,B624,7),'章节与怪物'!$A$41:$F$44,4,FALSE)+IF(7=D624,'难度参数'!$E$30,0))</x:f>
        <x:v>1900</x:v>
      </x:c>
    </x:row>
    <x:row r="625" ht="23" customHeight="1">
      <x:c r="A625" s="119" t="n">
        <x:v>619</x:v>
      </x:c>
      <x:c r="B625" s="119" t="n">
        <x:f>MOD(INT((A625-1)/5),7)+1</x:f>
        <x:v>5</x:v>
      </x:c>
      <x:c r="C625" s="62" t="str">
        <x:f>INDEX('章节与怪物'!$B$31:$B$37,B625)</x:f>
        <x:v>雨林遗迹</x:v>
      </x:c>
      <x:c r="D625" s="119" t="n">
        <x:f>MIN('难度参数'!$E$8,MAX('难度参数'!$E$7,A625))</x:f>
        <x:v>7</x:v>
      </x:c>
      <x:c r="E625" s="106" t="n">
        <x:v>1</x:v>
      </x:c>
      <x:c r="F625" s="106" t="n">
        <x:v>0</x:v>
      </x:c>
      <x:c r="G625" s="106" t="n">
        <x:v>1</x:v>
      </x:c>
      <x:c r="H625" s="119" t="n">
        <x:f>SUM(X625,AB625,AF625,AJ625,AN625,AR625,AV625)</x:f>
        <x:v>312</x:v>
      </x:c>
      <x:c r="I625" s="119" t="n">
        <x:f>SUM(Z625,AD625,AH625,AL625,AP625,AT625,AX625)</x:f>
        <x:v>5665758</x:v>
      </x:c>
      <x:c r="J625" s="119" t="n">
        <x:f>ROUND(INDEX(X625:AY625,1,(D625-1)*4+2)*'难度参数'!$E$28*'章节与怪物'!$E$17,0)</x:f>
        <x:v>124766</x:v>
      </x:c>
      <x:c r="K625" s="119" t="n">
        <x:f>SUM(AA625,AE625,AI625,AM625,AQ625,AU625,AY625)</x:f>
        <x:v>8402</x:v>
      </x:c>
      <x:c r="L625" s="62" t="n">
        <x:f>H625*(ROUNDUP('难度参数'!$E$24/('难度参数'!$E$26*'难度参数'!$E$27),0)*'难度参数'!$E$26)/60</x:f>
        <x:v>4.16</x:v>
      </x:c>
      <x:c r="M625" s="62" t="n">
        <x:f>L625+D625*('难度参数'!$E$49+'难度参数'!$E$50)/60</x:f>
        <x:v>5.326666666666667</x:v>
      </x:c>
      <x:c r="N625" s="119" t="n">
        <x:f>ROUNDDOWN(('经济参数'!$E$20+A625*'经济参数'!$E$21)*G625,0)</x:f>
        <x:v>12560</x:v>
      </x:c>
      <x:c r="O625" s="119" t="n">
        <x:f>ROUNDDOWN(MIN('经济参数'!$E$24,'经济参数'!$E$22+A625*'经济参数'!$E$23)*G625,0)</x:f>
        <x:v>0</x:v>
      </x:c>
      <x:c r="P625" s="119" t="n">
        <x:f>ROUNDDOWN((IF(A625&gt;='材料与任务'!$E$31,'材料与任务'!$E$32,IF(A625&gt;='材料与任务'!$E$25,'材料与任务'!$E$26,IF(A625&gt;='材料与任务'!$E$19,'材料与任务'!$E$20,IF(A625&gt;='材料与任务'!$E$13,'材料与任务'!$E$14,'材料与任务'!$E$8)))))*G625,0)</x:f>
        <x:v>6</x:v>
      </x:c>
      <x:c r="Q625" s="119" t="n">
        <x:f>ROUNDDOWN((IF(A625&gt;='材料与任务'!$E$31,'材料与任务'!$E$33,IF(A625&gt;='材料与任务'!$E$25,'材料与任务'!$E$27,IF(A625&gt;='材料与任务'!$E$19,'材料与任务'!$E$21,IF(A625&gt;='材料与任务'!$E$13,'材料与任务'!$E$15,'材料与任务'!$E$9)))))*G625,0)</x:f>
        <x:v>3</x:v>
      </x:c>
      <x:c r="R625" s="110" t="n">
        <x:f>'装备掉落'!$B$38</x:f>
        <x:v>0.6872058758851213</x:v>
      </x:c>
      <x:c r="S625" s="119" t="n">
        <x:f>MAX(IF(VLOOKUP(A625,'装备掉落'!$A$29:$H$34,2,TRUE)&gt;0,1,0),IF(VLOOKUP(A625,'装备掉落'!$A$29:$H$34,3,TRUE)&gt;0,2,0),IF(VLOOKUP(A625,'装备掉落'!$A$29:$H$34,4,TRUE)&gt;0,3,0),IF(VLOOKUP(A625,'装备掉落'!$A$29:$H$34,5,TRUE)&gt;0,4,0),IF(VLOOKUP(A625,'装备掉落'!$A$29:$H$34,6,TRUE)&gt;0,5,0),IF(VLOOKUP(A625,'装备掉落'!$A$29:$H$34,7,TRUE)&gt;0,6,0),IF(VLOOKUP(A625,'装备掉落'!$A$29:$H$34,8,TRUE)&gt;0,7,0))</x:f>
        <x:v>7</x:v>
      </x:c>
      <x:c r="T625" s="119" t="n">
        <x:f>MIN(7,S625+'经济参数'!$E$70)</x:f>
        <x:v>7</x:v>
      </x:c>
      <x:c r="U625" s="119" t="n">
        <x:f>MIN(7,S625+'经济参数'!$E$71)</x:f>
        <x:v>7</x:v>
      </x:c>
      <x:c r="V625" s="119" t="n">
        <x:f>IF(H625&gt;=('难度参数'!$E$52),1,0)+IF(H625&gt;=('难度参数'!$E$52+'难度参数'!$E$53),1,0)+IF(H625&gt;=('难度参数'!$E$52+'难度参数'!$E$53+'难度参数'!$E$54),1,0)+IF(H625&gt;=('难度参数'!$E$52+'难度参数'!$E$53+'难度参数'!$E$54+'难度参数'!$E$55),1,0)+IF(H625&gt;=('难度参数'!$E$52+'难度参数'!$E$53+'难度参数'!$E$54+'难度参数'!$E$55+'难度参数'!$E$56),1,0)+IF(H625&gt;=('难度参数'!$E$52+'难度参数'!$E$53+'难度参数'!$E$54+'难度参数'!$E$55+'难度参数'!$E$56+'难度参数'!$E$57),1,0)</x:f>
        <x:v>6</x:v>
      </x:c>
      <x:c r="W625" s="62" t="str">
        <x:f>IF(L625&gt;'难度参数'!$E$51,"仅出怪已超目标","还需实测")</x:f>
        <x:v>仅出怪已超目标</x:v>
      </x:c>
      <x:c r="X625" s="119" t="n">
        <x:f>IF(1&gt;D625,0,MAX(2,MIN('难度参数'!$E$12,ROUND(('难度参数'!$E$18*POWER(A625,'难度参数'!$E$19)/D625*(0.85+0.3*(1-1)/MAX(1,D625-1))),0)+F625)))</x:f>
        <x:v>38</x:v>
      </x:c>
      <x:c r="Y625" s="119" t="n">
        <x:f>IF(1&gt;D625,0,ROUND(('难度参数'!$E$13*POWER(A625,'难度参数'!$E$20)*MIN('难度参数'!$E$23,1+MAX(0,A625-'难度参数'!$E$21)*'难度参数'!$E$22))*(36+1*7)/(36+7*(D625+1)/2)*E625,0))</x:f>
        <x:v>9282</x:v>
      </x:c>
      <x:c r="Z625" s="119" t="n">
        <x:f>IF(X625=0,0,(X625-IF(1=D625,1,0))*ROUND(Y625*VLOOKUP(INDEX('章节与怪物'!$E$31:$K$37,B625,1),'章节与怪物'!$A$41:$F$44,2,FALSE),0)+IF(1=D625,ROUND(Y625*'难度参数'!$E$28*'章节与怪物'!$E$17,0),0))</x:f>
        <x:v>352716</x:v>
      </x:c>
      <x:c r="AA625" s="119" t="n">
        <x:f>IF(X625=0,0,(X625-IF(1=D625,1,0))*VLOOKUP(INDEX('章节与怪物'!$E$31:$K$37,B625,1),'章节与怪物'!$A$41:$F$44,4,FALSE)+IF(1=D625,'难度参数'!$E$30,0))</x:f>
        <x:v>684</x:v>
      </x:c>
      <x:c r="AB625" s="119" t="n">
        <x:f>IF(2&gt;D625,0,MAX(2,MIN('难度参数'!$E$12,ROUND(('难度参数'!$E$18*POWER(A625,'难度参数'!$E$19)/D625*(0.85+0.3*(2-1)/MAX(1,D625-1))),0)+F625)))</x:f>
        <x:v>40</x:v>
      </x:c>
      <x:c r="AC625" s="119" t="n">
        <x:f>IF(2&gt;D625,0,ROUND(('难度参数'!$E$13*POWER(A625,'难度参数'!$E$20)*MIN('难度参数'!$E$23,1+MAX(0,A625-'难度参数'!$E$21)*'难度参数'!$E$22))*(36+2*7)/(36+7*(D625+1)/2)*E625,0))</x:f>
        <x:v>10793</x:v>
      </x:c>
      <x:c r="AD625" s="119" t="n">
        <x:f>IF(AB625=0,0,(AB625-IF(2=D625,1,0))*ROUND(AC625*VLOOKUP(INDEX('章节与怪物'!$E$31:$K$37,B625,2),'章节与怪物'!$A$41:$F$44,2,FALSE),0)+IF(2=D625,ROUND(AC625*'难度参数'!$E$28*'章节与怪物'!$E$17,0),0))</x:f>
        <x:v>310840</x:v>
      </x:c>
      <x:c r="AE625" s="119" t="n">
        <x:f>IF(AB625=0,0,(AB625-IF(2=D625,1,0))*VLOOKUP(INDEX('章节与怪物'!$E$31:$K$37,B625,2),'章节与怪物'!$A$41:$F$44,4,FALSE)+IF(2=D625,'难度参数'!$E$30,0))</x:f>
        <x:v>800</x:v>
      </x:c>
      <x:c r="AF625" s="119" t="n">
        <x:f>IF(3&gt;D625,0,MAX(2,MIN('难度参数'!$E$12,ROUND(('难度参数'!$E$18*POWER(A625,'难度参数'!$E$19)/D625*(0.85+0.3*(3-1)/MAX(1,D625-1))),0)+F625)))</x:f>
        <x:v>42</x:v>
      </x:c>
      <x:c r="AG625" s="119" t="n">
        <x:f>IF(3&gt;D625,0,ROUND(('难度参数'!$E$13*POWER(A625,'难度参数'!$E$20)*MIN('难度参数'!$E$23,1+MAX(0,A625-'难度参数'!$E$21)*'难度参数'!$E$22))*(36+3*7)/(36+7*(D625+1)/2)*E625,0))</x:f>
        <x:v>12304</x:v>
      </x:c>
      <x:c r="AH625" s="119" t="n">
        <x:f>IF(AF625=0,0,(AF625-IF(3=D625,1,0))*ROUND(AG625*VLOOKUP(INDEX('章节与怪物'!$E$31:$K$37,B625,3),'章节与怪物'!$A$41:$F$44,2,FALSE),0)+IF(3=D625,ROUND(AG625*'难度参数'!$E$28*'章节与怪物'!$E$17,0),0))</x:f>
        <x:v>878514</x:v>
      </x:c>
      <x:c r="AI625" s="119" t="n">
        <x:f>IF(AF625=0,0,(AF625-IF(3=D625,1,0))*VLOOKUP(INDEX('章节与怪物'!$E$31:$K$37,B625,3),'章节与怪物'!$A$41:$F$44,4,FALSE)+IF(3=D625,'难度参数'!$E$30,0))</x:f>
        <x:v>1176</x:v>
      </x:c>
      <x:c r="AJ625" s="119" t="n">
        <x:f>IF(4&gt;D625,0,MAX(2,MIN('难度参数'!$E$12,ROUND(('难度参数'!$E$18*POWER(A625,'难度参数'!$E$19)/D625*(0.85+0.3*(4-1)/MAX(1,D625-1))),0)+F625)))</x:f>
        <x:v>45</x:v>
      </x:c>
      <x:c r="AK625" s="119" t="n">
        <x:f>IF(4&gt;D625,0,ROUND(('难度参数'!$E$13*POWER(A625,'难度参数'!$E$20)*MIN('难度参数'!$E$23,1+MAX(0,A625-'难度参数'!$E$21)*'难度参数'!$E$22))*(36+4*7)/(36+7*(D625+1)/2)*E625,0))</x:f>
        <x:v>13815</x:v>
      </x:c>
      <x:c r="AL625" s="119" t="n">
        <x:f>IF(AJ625=0,0,(AJ625-IF(4=D625,1,0))*ROUND(AK625*VLOOKUP(INDEX('章节与怪物'!$E$31:$K$37,B625,4),'章节与怪物'!$A$41:$F$44,2,FALSE),0)+IF(4=D625,ROUND(AK625*'难度参数'!$E$28*'章节与怪物'!$E$17,0),0))</x:f>
        <x:v>839250</x:v>
      </x:c>
      <x:c r="AM625" s="119" t="n">
        <x:f>IF(AJ625=0,0,(AJ625-IF(4=D625,1,0))*VLOOKUP(INDEX('章节与怪物'!$E$31:$K$37,B625,4),'章节与怪物'!$A$41:$F$44,4,FALSE)+IF(4=D625,'难度参数'!$E$30,0))</x:f>
        <x:v>1530</x:v>
      </x:c>
      <x:c r="AN625" s="119" t="n">
        <x:f>IF(5&gt;D625,0,MAX(2,MIN('难度参数'!$E$12,ROUND(('难度参数'!$E$18*POWER(A625,'难度参数'!$E$19)/D625*(0.85+0.3*(5-1)/MAX(1,D625-1))),0)+F625)))</x:f>
        <x:v>47</x:v>
      </x:c>
      <x:c r="AO625" s="119" t="n">
        <x:f>IF(5&gt;D625,0,ROUND(('难度参数'!$E$13*POWER(A625,'难度参数'!$E$20)*MIN('难度参数'!$E$23,1+MAX(0,A625-'难度参数'!$E$21)*'难度参数'!$E$22))*(36+5*7)/(36+7*(D625+1)/2)*E625,0))</x:f>
        <x:v>15326</x:v>
      </x:c>
      <x:c r="AP625" s="119" t="n">
        <x:f>IF(AN625=0,0,(AN625-IF(5=D625,1,0))*ROUND(AO625*VLOOKUP(INDEX('章节与怪物'!$E$31:$K$37,B625,5),'章节与怪物'!$A$41:$F$44,2,FALSE),0)+IF(5=D625,ROUND(AO625*'难度参数'!$E$28*'章节与怪物'!$E$17,0),0))</x:f>
        <x:v>518645</x:v>
      </x:c>
      <x:c r="AQ625" s="119" t="n">
        <x:f>IF(AN625=0,0,(AN625-IF(5=D625,1,0))*VLOOKUP(INDEX('章节与怪物'!$E$31:$K$37,B625,5),'章节与怪物'!$A$41:$F$44,4,FALSE)+IF(5=D625,'难度参数'!$E$30,0))</x:f>
        <x:v>940</x:v>
      </x:c>
      <x:c r="AR625" s="119" t="n">
        <x:f>IF(6&gt;D625,0,MAX(2,MIN('难度参数'!$E$12,ROUND(('难度参数'!$E$18*POWER(A625,'难度参数'!$E$19)/D625*(0.85+0.3*(6-1)/MAX(1,D625-1))),0)+F625)))</x:f>
        <x:v>49</x:v>
      </x:c>
      <x:c r="AS625" s="119" t="n">
        <x:f>IF(6&gt;D625,0,ROUND(('难度参数'!$E$13*POWER(A625,'难度参数'!$E$20)*MIN('难度参数'!$E$23,1+MAX(0,A625-'难度参数'!$E$21)*'难度参数'!$E$22))*(36+6*7)/(36+7*(D625+1)/2)*E625,0))</x:f>
        <x:v>16837</x:v>
      </x:c>
      <x:c r="AT625" s="119" t="n">
        <x:f>IF(AR625=0,0,(AR625-IF(6=D625,1,0))*ROUND(AS625*VLOOKUP(INDEX('章节与怪物'!$E$31:$K$37,B625,6),'章节与怪物'!$A$41:$F$44,2,FALSE),0)+IF(6=D625,ROUND(AS625*'难度参数'!$E$28*'章节与怪物'!$E$17,0),0))</x:f>
        <x:v>1402527</x:v>
      </x:c>
      <x:c r="AU625" s="119" t="n">
        <x:f>IF(AR625=0,0,(AR625-IF(6=D625,1,0))*VLOOKUP(INDEX('章节与怪物'!$E$31:$K$37,B625,6),'章节与怪物'!$A$41:$F$44,4,FALSE)+IF(6=D625,'难度参数'!$E$30,0))</x:f>
        <x:v>1372</x:v>
      </x:c>
      <x:c r="AV625" s="119" t="n">
        <x:f>IF(7&gt;D625,0,MAX(2,MIN('难度参数'!$E$12,ROUND(('难度参数'!$E$18*POWER(A625,'难度参数'!$E$19)/D625*(0.85+0.3*(7-1)/MAX(1,D625-1))),0)+F625)))</x:f>
        <x:v>51</x:v>
      </x:c>
      <x:c r="AW625" s="119" t="n">
        <x:f>IF(7&gt;D625,0,ROUND(('难度参数'!$E$13*POWER(A625,'难度参数'!$E$20)*MIN('难度参数'!$E$23,1+MAX(0,A625-'难度参数'!$E$21)*'难度参数'!$E$22))*(36+7*7)/(36+7*(D625+1)/2)*E625,0))</x:f>
        <x:v>18348</x:v>
      </x:c>
      <x:c r="AX625" s="119" t="n">
        <x:f>IF(AV625=0,0,(AV625-IF(7=D625,1,0))*ROUND(AW625*VLOOKUP(INDEX('章节与怪物'!$E$31:$K$37,B625,7),'章节与怪物'!$A$41:$F$44,2,FALSE),0)+IF(7=D625,ROUND(AW625*'难度参数'!$E$28*'章节与怪物'!$E$17,0),0))</x:f>
        <x:v>1363266</x:v>
      </x:c>
      <x:c r="AY625" s="119" t="n">
        <x:f>IF(AV625=0,0,(AV625-IF(7=D625,1,0))*VLOOKUP(INDEX('章节与怪物'!$E$31:$K$37,B625,7),'章节与怪物'!$A$41:$F$44,4,FALSE)+IF(7=D625,'难度参数'!$E$30,0))</x:f>
        <x:v>1900</x:v>
      </x:c>
    </x:row>
    <x:row r="626" ht="23" customHeight="1">
      <x:c r="A626" s="119" t="n">
        <x:v>620</x:v>
      </x:c>
      <x:c r="B626" s="119" t="n">
        <x:f>MOD(INT((A626-1)/5),7)+1</x:f>
        <x:v>5</x:v>
      </x:c>
      <x:c r="C626" s="62" t="str">
        <x:f>INDEX('章节与怪物'!$B$31:$B$37,B626)</x:f>
        <x:v>雨林遗迹</x:v>
      </x:c>
      <x:c r="D626" s="119" t="n">
        <x:f>MIN('难度参数'!$E$8,MAX('难度参数'!$E$7,A626))</x:f>
        <x:v>7</x:v>
      </x:c>
      <x:c r="E626" s="106" t="n">
        <x:v>1</x:v>
      </x:c>
      <x:c r="F626" s="106" t="n">
        <x:v>0</x:v>
      </x:c>
      <x:c r="G626" s="106" t="n">
        <x:v>1</x:v>
      </x:c>
      <x:c r="H626" s="119" t="n">
        <x:f>SUM(X626,AB626,AF626,AJ626,AN626,AR626,AV626)</x:f>
        <x:v>313</x:v>
      </x:c>
      <x:c r="I626" s="119" t="n">
        <x:f>SUM(Z626,AD626,AH626,AL626,AP626,AT626,AX626)</x:f>
        <x:v>5693295</x:v>
      </x:c>
      <x:c r="J626" s="119" t="n">
        <x:f>ROUND(INDEX(X626:AY626,1,(D626-1)*4+2)*'难度参数'!$E$28*'章节与怪物'!$E$17,0)</x:f>
        <x:v>124909</x:v>
      </x:c>
      <x:c r="K626" s="119" t="n">
        <x:f>SUM(AA626,AE626,AI626,AM626,AQ626,AU626,AY626)</x:f>
        <x:v>8430</x:v>
      </x:c>
      <x:c r="L626" s="62" t="n">
        <x:f>H626*(ROUNDUP('难度参数'!$E$24/('难度参数'!$E$26*'难度参数'!$E$27),0)*'难度参数'!$E$26)/60</x:f>
        <x:v>4.173333333333334</x:v>
      </x:c>
      <x:c r="M626" s="62" t="n">
        <x:f>L626+D626*('难度参数'!$E$49+'难度参数'!$E$50)/60</x:f>
        <x:v>5.340000000000001</x:v>
      </x:c>
      <x:c r="N626" s="119" t="n">
        <x:f>ROUNDDOWN(('经济参数'!$E$20+A626*'经济参数'!$E$21)*G626,0)</x:f>
        <x:v>12580</x:v>
      </x:c>
      <x:c r="O626" s="119" t="n">
        <x:f>ROUNDDOWN(MIN('经济参数'!$E$24,'经济参数'!$E$22+A626*'经济参数'!$E$23)*G626,0)</x:f>
        <x:v>0</x:v>
      </x:c>
      <x:c r="P626" s="119" t="n">
        <x:f>ROUNDDOWN((IF(A626&gt;='材料与任务'!$E$31,'材料与任务'!$E$32,IF(A626&gt;='材料与任务'!$E$25,'材料与任务'!$E$26,IF(A626&gt;='材料与任务'!$E$19,'材料与任务'!$E$20,IF(A626&gt;='材料与任务'!$E$13,'材料与任务'!$E$14,'材料与任务'!$E$8)))))*G626,0)</x:f>
        <x:v>6</x:v>
      </x:c>
      <x:c r="Q626" s="119" t="n">
        <x:f>ROUNDDOWN((IF(A626&gt;='材料与任务'!$E$31,'材料与任务'!$E$33,IF(A626&gt;='材料与任务'!$E$25,'材料与任务'!$E$27,IF(A626&gt;='材料与任务'!$E$19,'材料与任务'!$E$21,IF(A626&gt;='材料与任务'!$E$13,'材料与任务'!$E$15,'材料与任务'!$E$9)))))*G626,0)</x:f>
        <x:v>3</x:v>
      </x:c>
      <x:c r="R626" s="110" t="n">
        <x:f>'装备掉落'!$B$38</x:f>
        <x:v>0.6872058758851213</x:v>
      </x:c>
      <x:c r="S626" s="119" t="n">
        <x:f>MAX(IF(VLOOKUP(A626,'装备掉落'!$A$29:$H$34,2,TRUE)&gt;0,1,0),IF(VLOOKUP(A626,'装备掉落'!$A$29:$H$34,3,TRUE)&gt;0,2,0),IF(VLOOKUP(A626,'装备掉落'!$A$29:$H$34,4,TRUE)&gt;0,3,0),IF(VLOOKUP(A626,'装备掉落'!$A$29:$H$34,5,TRUE)&gt;0,4,0),IF(VLOOKUP(A626,'装备掉落'!$A$29:$H$34,6,TRUE)&gt;0,5,0),IF(VLOOKUP(A626,'装备掉落'!$A$29:$H$34,7,TRUE)&gt;0,6,0),IF(VLOOKUP(A626,'装备掉落'!$A$29:$H$34,8,TRUE)&gt;0,7,0))</x:f>
        <x:v>7</x:v>
      </x:c>
      <x:c r="T626" s="119" t="n">
        <x:f>MIN(7,S626+'经济参数'!$E$70)</x:f>
        <x:v>7</x:v>
      </x:c>
      <x:c r="U626" s="119" t="n">
        <x:f>MIN(7,S626+'经济参数'!$E$71)</x:f>
        <x:v>7</x:v>
      </x:c>
      <x:c r="V626" s="119" t="n">
        <x:f>IF(H626&gt;=('难度参数'!$E$52),1,0)+IF(H626&gt;=('难度参数'!$E$52+'难度参数'!$E$53),1,0)+IF(H626&gt;=('难度参数'!$E$52+'难度参数'!$E$53+'难度参数'!$E$54),1,0)+IF(H626&gt;=('难度参数'!$E$52+'难度参数'!$E$53+'难度参数'!$E$54+'难度参数'!$E$55),1,0)+IF(H626&gt;=('难度参数'!$E$52+'难度参数'!$E$53+'难度参数'!$E$54+'难度参数'!$E$55+'难度参数'!$E$56),1,0)+IF(H626&gt;=('难度参数'!$E$52+'难度参数'!$E$53+'难度参数'!$E$54+'难度参数'!$E$55+'难度参数'!$E$56+'难度参数'!$E$57),1,0)</x:f>
        <x:v>6</x:v>
      </x:c>
      <x:c r="W626" s="62" t="str">
        <x:f>IF(L626&gt;'难度参数'!$E$51,"仅出怪已超目标","还需实测")</x:f>
        <x:v>仅出怪已超目标</x:v>
      </x:c>
      <x:c r="X626" s="119" t="n">
        <x:f>IF(1&gt;D626,0,MAX(2,MIN('难度参数'!$E$12,ROUND(('难度参数'!$E$18*POWER(A626,'难度参数'!$E$19)/D626*(0.85+0.3*(1-1)/MAX(1,D626-1))),0)+F626)))</x:f>
        <x:v>38</x:v>
      </x:c>
      <x:c r="Y626" s="119" t="n">
        <x:f>IF(1&gt;D626,0,ROUND(('难度参数'!$E$13*POWER(A626,'难度参数'!$E$20)*MIN('难度参数'!$E$23,1+MAX(0,A626-'难度参数'!$E$21)*'难度参数'!$E$22))*(36+1*7)/(36+7*(D626+1)/2)*E626,0))</x:f>
        <x:v>9293</x:v>
      </x:c>
      <x:c r="Z626" s="119" t="n">
        <x:f>IF(X626=0,0,(X626-IF(1=D626,1,0))*ROUND(Y626*VLOOKUP(INDEX('章节与怪物'!$E$31:$K$37,B626,1),'章节与怪物'!$A$41:$F$44,2,FALSE),0)+IF(1=D626,ROUND(Y626*'难度参数'!$E$28*'章节与怪物'!$E$17,0),0))</x:f>
        <x:v>353134</x:v>
      </x:c>
      <x:c r="AA626" s="119" t="n">
        <x:f>IF(X626=0,0,(X626-IF(1=D626,1,0))*VLOOKUP(INDEX('章节与怪物'!$E$31:$K$37,B626,1),'章节与怪物'!$A$41:$F$44,4,FALSE)+IF(1=D626,'难度参数'!$E$30,0))</x:f>
        <x:v>684</x:v>
      </x:c>
      <x:c r="AB626" s="119" t="n">
        <x:f>IF(2&gt;D626,0,MAX(2,MIN('难度参数'!$E$12,ROUND(('难度参数'!$E$18*POWER(A626,'难度参数'!$E$19)/D626*(0.85+0.3*(2-1)/MAX(1,D626-1))),0)+F626)))</x:f>
        <x:v>40</x:v>
      </x:c>
      <x:c r="AC626" s="119" t="n">
        <x:f>IF(2&gt;D626,0,ROUND(('难度参数'!$E$13*POWER(A626,'难度参数'!$E$20)*MIN('难度参数'!$E$23,1+MAX(0,A626-'难度参数'!$E$21)*'难度参数'!$E$22))*(36+2*7)/(36+7*(D626+1)/2)*E626,0))</x:f>
        <x:v>10806</x:v>
      </x:c>
      <x:c r="AD626" s="119" t="n">
        <x:f>IF(AB626=0,0,(AB626-IF(2=D626,1,0))*ROUND(AC626*VLOOKUP(INDEX('章节与怪物'!$E$31:$K$37,B626,2),'章节与怪物'!$A$41:$F$44,2,FALSE),0)+IF(2=D626,ROUND(AC626*'难度参数'!$E$28*'章节与怪物'!$E$17,0),0))</x:f>
        <x:v>311200</x:v>
      </x:c>
      <x:c r="AE626" s="119" t="n">
        <x:f>IF(AB626=0,0,(AB626-IF(2=D626,1,0))*VLOOKUP(INDEX('章节与怪物'!$E$31:$K$37,B626,2),'章节与怪物'!$A$41:$F$44,4,FALSE)+IF(2=D626,'难度参数'!$E$30,0))</x:f>
        <x:v>800</x:v>
      </x:c>
      <x:c r="AF626" s="119" t="n">
        <x:f>IF(3&gt;D626,0,MAX(2,MIN('难度参数'!$E$12,ROUND(('难度参数'!$E$18*POWER(A626,'难度参数'!$E$19)/D626*(0.85+0.3*(3-1)/MAX(1,D626-1))),0)+F626)))</x:f>
        <x:v>43</x:v>
      </x:c>
      <x:c r="AG626" s="119" t="n">
        <x:f>IF(3&gt;D626,0,ROUND(('难度参数'!$E$13*POWER(A626,'难度参数'!$E$20)*MIN('难度参数'!$E$23,1+MAX(0,A626-'难度参数'!$E$21)*'难度参数'!$E$22))*(36+3*7)/(36+7*(D626+1)/2)*E626,0))</x:f>
        <x:v>12318</x:v>
      </x:c>
      <x:c r="AH626" s="119" t="n">
        <x:f>IF(AF626=0,0,(AF626-IF(3=D626,1,0))*ROUND(AG626*VLOOKUP(INDEX('章节与怪物'!$E$31:$K$37,B626,3),'章节与怪物'!$A$41:$F$44,2,FALSE),0)+IF(3=D626,ROUND(AG626*'难度参数'!$E$28*'章节与怪物'!$E$17,0),0))</x:f>
        <x:v>900463</x:v>
      </x:c>
      <x:c r="AI626" s="119" t="n">
        <x:f>IF(AF626=0,0,(AF626-IF(3=D626,1,0))*VLOOKUP(INDEX('章节与怪物'!$E$31:$K$37,B626,3),'章节与怪物'!$A$41:$F$44,4,FALSE)+IF(3=D626,'难度参数'!$E$30,0))</x:f>
        <x:v>1204</x:v>
      </x:c>
      <x:c r="AJ626" s="119" t="n">
        <x:f>IF(4&gt;D626,0,MAX(2,MIN('难度参数'!$E$12,ROUND(('难度参数'!$E$18*POWER(A626,'难度参数'!$E$19)/D626*(0.85+0.3*(4-1)/MAX(1,D626-1))),0)+F626)))</x:f>
        <x:v>45</x:v>
      </x:c>
      <x:c r="AK626" s="119" t="n">
        <x:f>IF(4&gt;D626,0,ROUND(('难度参数'!$E$13*POWER(A626,'难度参数'!$E$20)*MIN('难度参数'!$E$23,1+MAX(0,A626-'难度参数'!$E$21)*'难度参数'!$E$22))*(36+4*7)/(36+7*(D626+1)/2)*E626,0))</x:f>
        <x:v>13831</x:v>
      </x:c>
      <x:c r="AL626" s="119" t="n">
        <x:f>IF(AJ626=0,0,(AJ626-IF(4=D626,1,0))*ROUND(AK626*VLOOKUP(INDEX('章节与怪物'!$E$31:$K$37,B626,4),'章节与怪物'!$A$41:$F$44,2,FALSE),0)+IF(4=D626,ROUND(AK626*'难度参数'!$E$28*'章节与怪物'!$E$17,0),0))</x:f>
        <x:v>840240</x:v>
      </x:c>
      <x:c r="AM626" s="119" t="n">
        <x:f>IF(AJ626=0,0,(AJ626-IF(4=D626,1,0))*VLOOKUP(INDEX('章节与怪物'!$E$31:$K$37,B626,4),'章节与怪物'!$A$41:$F$44,4,FALSE)+IF(4=D626,'难度参数'!$E$30,0))</x:f>
        <x:v>1530</x:v>
      </x:c>
      <x:c r="AN626" s="119" t="n">
        <x:f>IF(5&gt;D626,0,MAX(2,MIN('难度参数'!$E$12,ROUND(('难度参数'!$E$18*POWER(A626,'难度参数'!$E$19)/D626*(0.85+0.3*(5-1)/MAX(1,D626-1))),0)+F626)))</x:f>
        <x:v>47</x:v>
      </x:c>
      <x:c r="AO626" s="119" t="n">
        <x:f>IF(5&gt;D626,0,ROUND(('难度参数'!$E$13*POWER(A626,'难度参数'!$E$20)*MIN('难度参数'!$E$23,1+MAX(0,A626-'难度参数'!$E$21)*'难度参数'!$E$22))*(36+5*7)/(36+7*(D626+1)/2)*E626,0))</x:f>
        <x:v>15344</x:v>
      </x:c>
      <x:c r="AP626" s="119" t="n">
        <x:f>IF(AN626=0,0,(AN626-IF(5=D626,1,0))*ROUND(AO626*VLOOKUP(INDEX('章节与怪物'!$E$31:$K$37,B626,5),'章节与怪物'!$A$41:$F$44,2,FALSE),0)+IF(5=D626,ROUND(AO626*'难度参数'!$E$28*'章节与怪物'!$E$17,0),0))</x:f>
        <x:v>519256</x:v>
      </x:c>
      <x:c r="AQ626" s="119" t="n">
        <x:f>IF(AN626=0,0,(AN626-IF(5=D626,1,0))*VLOOKUP(INDEX('章节与怪物'!$E$31:$K$37,B626,5),'章节与怪物'!$A$41:$F$44,4,FALSE)+IF(5=D626,'难度参数'!$E$30,0))</x:f>
        <x:v>940</x:v>
      </x:c>
      <x:c r="AR626" s="119" t="n">
        <x:f>IF(6&gt;D626,0,MAX(2,MIN('难度参数'!$E$12,ROUND(('难度参数'!$E$18*POWER(A626,'难度参数'!$E$19)/D626*(0.85+0.3*(6-1)/MAX(1,D626-1))),0)+F626)))</x:f>
        <x:v>49</x:v>
      </x:c>
      <x:c r="AS626" s="119" t="n">
        <x:f>IF(6&gt;D626,0,ROUND(('难度参数'!$E$13*POWER(A626,'难度参数'!$E$20)*MIN('难度参数'!$E$23,1+MAX(0,A626-'难度参数'!$E$21)*'难度参数'!$E$22))*(36+6*7)/(36+7*(D626+1)/2)*E626,0))</x:f>
        <x:v>16857</x:v>
      </x:c>
      <x:c r="AT626" s="119" t="n">
        <x:f>IF(AR626=0,0,(AR626-IF(6=D626,1,0))*ROUND(AS626*VLOOKUP(INDEX('章节与怪物'!$E$31:$K$37,B626,6),'章节与怪物'!$A$41:$F$44,2,FALSE),0)+IF(6=D626,ROUND(AS626*'难度参数'!$E$28*'章节与怪物'!$E$17,0),0))</x:f>
        <x:v>1404193</x:v>
      </x:c>
      <x:c r="AU626" s="119" t="n">
        <x:f>IF(AR626=0,0,(AR626-IF(6=D626,1,0))*VLOOKUP(INDEX('章节与怪物'!$E$31:$K$37,B626,6),'章节与怪物'!$A$41:$F$44,4,FALSE)+IF(6=D626,'难度参数'!$E$30,0))</x:f>
        <x:v>1372</x:v>
      </x:c>
      <x:c r="AV626" s="119" t="n">
        <x:f>IF(7&gt;D626,0,MAX(2,MIN('难度参数'!$E$12,ROUND(('难度参数'!$E$18*POWER(A626,'难度参数'!$E$19)/D626*(0.85+0.3*(7-1)/MAX(1,D626-1))),0)+F626)))</x:f>
        <x:v>51</x:v>
      </x:c>
      <x:c r="AW626" s="119" t="n">
        <x:f>IF(7&gt;D626,0,ROUND(('难度参数'!$E$13*POWER(A626,'难度参数'!$E$20)*MIN('难度参数'!$E$23,1+MAX(0,A626-'难度参数'!$E$21)*'难度参数'!$E$22))*(36+7*7)/(36+7*(D626+1)/2)*E626,0))</x:f>
        <x:v>18369</x:v>
      </x:c>
      <x:c r="AX626" s="119" t="n">
        <x:f>IF(AV626=0,0,(AV626-IF(7=D626,1,0))*ROUND(AW626*VLOOKUP(INDEX('章节与怪物'!$E$31:$K$37,B626,7),'章节与怪物'!$A$41:$F$44,2,FALSE),0)+IF(7=D626,ROUND(AW626*'难度参数'!$E$28*'章节与怪物'!$E$17,0),0))</x:f>
        <x:v>1364809</x:v>
      </x:c>
      <x:c r="AY626" s="119" t="n">
        <x:f>IF(AV626=0,0,(AV626-IF(7=D626,1,0))*VLOOKUP(INDEX('章节与怪物'!$E$31:$K$37,B626,7),'章节与怪物'!$A$41:$F$44,4,FALSE)+IF(7=D626,'难度参数'!$E$30,0))</x:f>
        <x:v>1900</x:v>
      </x:c>
    </x:row>
    <x:row r="627" ht="23" customHeight="1">
      <x:c r="A627" s="119" t="n">
        <x:v>621</x:v>
      </x:c>
      <x:c r="B627" s="119" t="n">
        <x:f>MOD(INT((A627-1)/5),7)+1</x:f>
        <x:v>6</x:v>
      </x:c>
      <x:c r="C627" s="62" t="str">
        <x:f>INDEX('章节与怪物'!$B$31:$B$37,B627)</x:f>
        <x:v>熔岩山脉</x:v>
      </x:c>
      <x:c r="D627" s="119" t="n">
        <x:f>MIN('难度参数'!$E$8,MAX('难度参数'!$E$7,A627))</x:f>
        <x:v>7</x:v>
      </x:c>
      <x:c r="E627" s="106" t="n">
        <x:v>1</x:v>
      </x:c>
      <x:c r="F627" s="106" t="n">
        <x:v>0</x:v>
      </x:c>
      <x:c r="G627" s="106" t="n">
        <x:v>1</x:v>
      </x:c>
      <x:c r="H627" s="119" t="n">
        <x:f>SUM(X627,AB627,AF627,AJ627,AN627,AR627,AV627)</x:f>
        <x:v>313</x:v>
      </x:c>
      <x:c r="I627" s="119" t="n">
        <x:f>SUM(Z627,AD627,AH627,AL627,AP627,AT627,AX627)</x:f>
        <x:v>5924239</x:v>
      </x:c>
      <x:c r="J627" s="119" t="n">
        <x:f>ROUND(INDEX(X627:AY627,1,(D627-1)*4+2)*'难度参数'!$E$28*'章节与怪物'!$E$17,0)</x:f>
        <x:v>125059</x:v>
      </x:c>
      <x:c r="K627" s="119" t="n">
        <x:f>SUM(AA627,AE627,AI627,AM627,AQ627,AU627,AY627)</x:f>
        <x:v>8332</x:v>
      </x:c>
      <x:c r="L627" s="62" t="n">
        <x:f>H627*(ROUNDUP('难度参数'!$E$24/('难度参数'!$E$26*'难度参数'!$E$27),0)*'难度参数'!$E$26)/60</x:f>
        <x:v>4.173333333333334</x:v>
      </x:c>
      <x:c r="M627" s="62" t="n">
        <x:f>L627+D627*('难度参数'!$E$49+'难度参数'!$E$50)/60</x:f>
        <x:v>5.340000000000001</x:v>
      </x:c>
      <x:c r="N627" s="119" t="n">
        <x:f>ROUNDDOWN(('经济参数'!$E$20+A627*'经济参数'!$E$21)*G627,0)</x:f>
        <x:v>12600</x:v>
      </x:c>
      <x:c r="O627" s="119" t="n">
        <x:f>ROUNDDOWN(MIN('经济参数'!$E$24,'经济参数'!$E$22+A627*'经济参数'!$E$23)*G627,0)</x:f>
        <x:v>0</x:v>
      </x:c>
      <x:c r="P627" s="119" t="n">
        <x:f>ROUNDDOWN((IF(A627&gt;='材料与任务'!$E$31,'材料与任务'!$E$32,IF(A627&gt;='材料与任务'!$E$25,'材料与任务'!$E$26,IF(A627&gt;='材料与任务'!$E$19,'材料与任务'!$E$20,IF(A627&gt;='材料与任务'!$E$13,'材料与任务'!$E$14,'材料与任务'!$E$8)))))*G627,0)</x:f>
        <x:v>6</x:v>
      </x:c>
      <x:c r="Q627" s="119" t="n">
        <x:f>ROUNDDOWN((IF(A627&gt;='材料与任务'!$E$31,'材料与任务'!$E$33,IF(A627&gt;='材料与任务'!$E$25,'材料与任务'!$E$27,IF(A627&gt;='材料与任务'!$E$19,'材料与任务'!$E$21,IF(A627&gt;='材料与任务'!$E$13,'材料与任务'!$E$15,'材料与任务'!$E$9)))))*G627,0)</x:f>
        <x:v>3</x:v>
      </x:c>
      <x:c r="R627" s="110" t="n">
        <x:f>'装备掉落'!$B$38</x:f>
        <x:v>0.6872058758851213</x:v>
      </x:c>
      <x:c r="S627" s="119" t="n">
        <x:f>MAX(IF(VLOOKUP(A627,'装备掉落'!$A$29:$H$34,2,TRUE)&gt;0,1,0),IF(VLOOKUP(A627,'装备掉落'!$A$29:$H$34,3,TRUE)&gt;0,2,0),IF(VLOOKUP(A627,'装备掉落'!$A$29:$H$34,4,TRUE)&gt;0,3,0),IF(VLOOKUP(A627,'装备掉落'!$A$29:$H$34,5,TRUE)&gt;0,4,0),IF(VLOOKUP(A627,'装备掉落'!$A$29:$H$34,6,TRUE)&gt;0,5,0),IF(VLOOKUP(A627,'装备掉落'!$A$29:$H$34,7,TRUE)&gt;0,6,0),IF(VLOOKUP(A627,'装备掉落'!$A$29:$H$34,8,TRUE)&gt;0,7,0))</x:f>
        <x:v>7</x:v>
      </x:c>
      <x:c r="T627" s="119" t="n">
        <x:f>MIN(7,S627+'经济参数'!$E$70)</x:f>
        <x:v>7</x:v>
      </x:c>
      <x:c r="U627" s="119" t="n">
        <x:f>MIN(7,S627+'经济参数'!$E$71)</x:f>
        <x:v>7</x:v>
      </x:c>
      <x:c r="V627" s="119" t="n">
        <x:f>IF(H627&gt;=('难度参数'!$E$52),1,0)+IF(H627&gt;=('难度参数'!$E$52+'难度参数'!$E$53),1,0)+IF(H627&gt;=('难度参数'!$E$52+'难度参数'!$E$53+'难度参数'!$E$54),1,0)+IF(H627&gt;=('难度参数'!$E$52+'难度参数'!$E$53+'难度参数'!$E$54+'难度参数'!$E$55),1,0)+IF(H627&gt;=('难度参数'!$E$52+'难度参数'!$E$53+'难度参数'!$E$54+'难度参数'!$E$55+'难度参数'!$E$56),1,0)+IF(H627&gt;=('难度参数'!$E$52+'难度参数'!$E$53+'难度参数'!$E$54+'难度参数'!$E$55+'难度参数'!$E$56+'难度参数'!$E$57),1,0)</x:f>
        <x:v>6</x:v>
      </x:c>
      <x:c r="W627" s="62" t="str">
        <x:f>IF(L627&gt;'难度参数'!$E$51,"仅出怪已超目标","还需实测")</x:f>
        <x:v>仅出怪已超目标</x:v>
      </x:c>
      <x:c r="X627" s="119" t="n">
        <x:f>IF(1&gt;D627,0,MAX(2,MIN('难度参数'!$E$12,ROUND(('难度参数'!$E$18*POWER(A627,'难度参数'!$E$19)/D627*(0.85+0.3*(1-1)/MAX(1,D627-1))),0)+F627)))</x:f>
        <x:v>38</x:v>
      </x:c>
      <x:c r="Y627" s="119" t="n">
        <x:f>IF(1&gt;D627,0,ROUND(('难度参数'!$E$13*POWER(A627,'难度参数'!$E$20)*MIN('难度参数'!$E$23,1+MAX(0,A627-'难度参数'!$E$21)*'难度参数'!$E$22))*(36+1*7)/(36+7*(D627+1)/2)*E627,0))</x:f>
        <x:v>9304</x:v>
      </x:c>
      <x:c r="Z627" s="119" t="n">
        <x:f>IF(X627=0,0,(X627-IF(1=D627,1,0))*ROUND(Y627*VLOOKUP(INDEX('章节与怪物'!$E$31:$K$37,B627,1),'章节与怪物'!$A$41:$F$44,2,FALSE),0)+IF(1=D627,ROUND(Y627*'难度参数'!$E$28*'章节与怪物'!$E$17,0),0))</x:f>
        <x:v>254562</x:v>
      </x:c>
      <x:c r="AA627" s="119" t="n">
        <x:f>IF(X627=0,0,(X627-IF(1=D627,1,0))*VLOOKUP(INDEX('章节与怪物'!$E$31:$K$37,B627,1),'章节与怪物'!$A$41:$F$44,4,FALSE)+IF(1=D627,'难度参数'!$E$30,0))</x:f>
        <x:v>760</x:v>
      </x:c>
      <x:c r="AB627" s="119" t="n">
        <x:f>IF(2&gt;D627,0,MAX(2,MIN('难度参数'!$E$12,ROUND(('难度参数'!$E$18*POWER(A627,'难度参数'!$E$19)/D627*(0.85+0.3*(2-1)/MAX(1,D627-1))),0)+F627)))</x:f>
        <x:v>40</x:v>
      </x:c>
      <x:c r="AC627" s="119" t="n">
        <x:f>IF(2&gt;D627,0,ROUND(('难度参数'!$E$13*POWER(A627,'难度参数'!$E$20)*MIN('难度参数'!$E$23,1+MAX(0,A627-'难度参数'!$E$21)*'难度参数'!$E$22))*(36+2*7)/(36+7*(D627+1)/2)*E627,0))</x:f>
        <x:v>10818</x:v>
      </x:c>
      <x:c r="AD627" s="119" t="n">
        <x:f>IF(AB627=0,0,(AB627-IF(2=D627,1,0))*ROUND(AC627*VLOOKUP(INDEX('章节与怪物'!$E$31:$K$37,B627,2),'章节与怪物'!$A$41:$F$44,2,FALSE),0)+IF(2=D627,ROUND(AC627*'难度参数'!$E$28*'章节与怪物'!$E$17,0),0))</x:f>
        <x:v>432720</x:v>
      </x:c>
      <x:c r="AE627" s="119" t="n">
        <x:f>IF(AB627=0,0,(AB627-IF(2=D627,1,0))*VLOOKUP(INDEX('章节与怪物'!$E$31:$K$37,B627,2),'章节与怪物'!$A$41:$F$44,4,FALSE)+IF(2=D627,'难度参数'!$E$30,0))</x:f>
        <x:v>720</x:v>
      </x:c>
      <x:c r="AF627" s="119" t="n">
        <x:f>IF(3&gt;D627,0,MAX(2,MIN('难度参数'!$E$12,ROUND(('难度参数'!$E$18*POWER(A627,'难度参数'!$E$19)/D627*(0.85+0.3*(3-1)/MAX(1,D627-1))),0)+F627)))</x:f>
        <x:v>43</x:v>
      </x:c>
      <x:c r="AG627" s="119" t="n">
        <x:f>IF(3&gt;D627,0,ROUND(('难度参数'!$E$13*POWER(A627,'难度参数'!$E$20)*MIN('难度参数'!$E$23,1+MAX(0,A627-'难度参数'!$E$21)*'难度参数'!$E$22))*(36+3*7)/(36+7*(D627+1)/2)*E627,0))</x:f>
        <x:v>12333</x:v>
      </x:c>
      <x:c r="AH627" s="119" t="n">
        <x:f>IF(AF627=0,0,(AF627-IF(3=D627,1,0))*ROUND(AG627*VLOOKUP(INDEX('章节与怪物'!$E$31:$K$37,B627,3),'章节与怪物'!$A$41:$F$44,2,FALSE),0)+IF(3=D627,ROUND(AG627*'难度参数'!$E$28*'章节与怪物'!$E$17,0),0))</x:f>
        <x:v>901538</x:v>
      </x:c>
      <x:c r="AI627" s="119" t="n">
        <x:f>IF(AF627=0,0,(AF627-IF(3=D627,1,0))*VLOOKUP(INDEX('章节与怪物'!$E$31:$K$37,B627,3),'章节与怪物'!$A$41:$F$44,4,FALSE)+IF(3=D627,'难度参数'!$E$30,0))</x:f>
        <x:v>1204</x:v>
      </x:c>
      <x:c r="AJ627" s="119" t="n">
        <x:f>IF(4&gt;D627,0,MAX(2,MIN('难度参数'!$E$12,ROUND(('难度参数'!$E$18*POWER(A627,'难度参数'!$E$19)/D627*(0.85+0.3*(4-1)/MAX(1,D627-1))),0)+F627)))</x:f>
        <x:v>45</x:v>
      </x:c>
      <x:c r="AK627" s="119" t="n">
        <x:f>IF(4&gt;D627,0,ROUND(('难度参数'!$E$13*POWER(A627,'难度参数'!$E$20)*MIN('难度参数'!$E$23,1+MAX(0,A627-'难度参数'!$E$21)*'难度参数'!$E$22))*(36+4*7)/(36+7*(D627+1)/2)*E627,0))</x:f>
        <x:v>13847</x:v>
      </x:c>
      <x:c r="AL627" s="119" t="n">
        <x:f>IF(AJ627=0,0,(AJ627-IF(4=D627,1,0))*ROUND(AK627*VLOOKUP(INDEX('章节与怪物'!$E$31:$K$37,B627,4),'章节与怪物'!$A$41:$F$44,2,FALSE),0)+IF(4=D627,ROUND(AK627*'难度参数'!$E$28*'章节与怪物'!$E$17,0),0))</x:f>
        <x:v>841185</x:v>
      </x:c>
      <x:c r="AM627" s="119" t="n">
        <x:f>IF(AJ627=0,0,(AJ627-IF(4=D627,1,0))*VLOOKUP(INDEX('章节与怪物'!$E$31:$K$37,B627,4),'章节与怪物'!$A$41:$F$44,4,FALSE)+IF(4=D627,'难度参数'!$E$30,0))</x:f>
        <x:v>1530</x:v>
      </x:c>
      <x:c r="AN627" s="119" t="n">
        <x:f>IF(5&gt;D627,0,MAX(2,MIN('难度参数'!$E$12,ROUND(('难度参数'!$E$18*POWER(A627,'难度参数'!$E$19)/D627*(0.85+0.3*(5-1)/MAX(1,D627-1))),0)+F627)))</x:f>
        <x:v>47</x:v>
      </x:c>
      <x:c r="AO627" s="119" t="n">
        <x:f>IF(5&gt;D627,0,ROUND(('难度参数'!$E$13*POWER(A627,'难度参数'!$E$20)*MIN('难度参数'!$E$23,1+MAX(0,A627-'难度参数'!$E$21)*'难度参数'!$E$22))*(36+5*7)/(36+7*(D627+1)/2)*E627,0))</x:f>
        <x:v>15362</x:v>
      </x:c>
      <x:c r="AP627" s="119" t="n">
        <x:f>IF(AN627=0,0,(AN627-IF(5=D627,1,0))*ROUND(AO627*VLOOKUP(INDEX('章节与怪物'!$E$31:$K$37,B627,5),'章节与怪物'!$A$41:$F$44,2,FALSE),0)+IF(5=D627,ROUND(AO627*'难度参数'!$E$28*'章节与怪物'!$E$17,0),0))</x:f>
        <x:v>722014</x:v>
      </x:c>
      <x:c r="AQ627" s="119" t="n">
        <x:f>IF(AN627=0,0,(AN627-IF(5=D627,1,0))*VLOOKUP(INDEX('章节与怪物'!$E$31:$K$37,B627,5),'章节与怪物'!$A$41:$F$44,4,FALSE)+IF(5=D627,'难度参数'!$E$30,0))</x:f>
        <x:v>846</x:v>
      </x:c>
      <x:c r="AR627" s="119" t="n">
        <x:f>IF(6&gt;D627,0,MAX(2,MIN('难度参数'!$E$12,ROUND(('难度参数'!$E$18*POWER(A627,'难度参数'!$E$19)/D627*(0.85+0.3*(6-1)/MAX(1,D627-1))),0)+F627)))</x:f>
        <x:v>49</x:v>
      </x:c>
      <x:c r="AS627" s="119" t="n">
        <x:f>IF(6&gt;D627,0,ROUND(('难度参数'!$E$13*POWER(A627,'难度参数'!$E$20)*MIN('难度参数'!$E$23,1+MAX(0,A627-'难度参数'!$E$21)*'难度参数'!$E$22))*(36+6*7)/(36+7*(D627+1)/2)*E627,0))</x:f>
        <x:v>16876</x:v>
      </x:c>
      <x:c r="AT627" s="119" t="n">
        <x:f>IF(AR627=0,0,(AR627-IF(6=D627,1,0))*ROUND(AS627*VLOOKUP(INDEX('章节与怪物'!$E$31:$K$37,B627,6),'章节与怪物'!$A$41:$F$44,2,FALSE),0)+IF(6=D627,ROUND(AS627*'难度参数'!$E$28*'章节与怪物'!$E$17,0),0))</x:f>
        <x:v>1405761</x:v>
      </x:c>
      <x:c r="AU627" s="119" t="n">
        <x:f>IF(AR627=0,0,(AR627-IF(6=D627,1,0))*VLOOKUP(INDEX('章节与怪物'!$E$31:$K$37,B627,6),'章节与怪物'!$A$41:$F$44,4,FALSE)+IF(6=D627,'难度参数'!$E$30,0))</x:f>
        <x:v>1372</x:v>
      </x:c>
      <x:c r="AV627" s="119" t="n">
        <x:f>IF(7&gt;D627,0,MAX(2,MIN('难度参数'!$E$12,ROUND(('难度参数'!$E$18*POWER(A627,'难度参数'!$E$19)/D627*(0.85+0.3*(7-1)/MAX(1,D627-1))),0)+F627)))</x:f>
        <x:v>51</x:v>
      </x:c>
      <x:c r="AW627" s="119" t="n">
        <x:f>IF(7&gt;D627,0,ROUND(('难度参数'!$E$13*POWER(A627,'难度参数'!$E$20)*MIN('难度参数'!$E$23,1+MAX(0,A627-'难度参数'!$E$21)*'难度参数'!$E$22))*(36+7*7)/(36+7*(D627+1)/2)*E627,0))</x:f>
        <x:v>18391</x:v>
      </x:c>
      <x:c r="AX627" s="119" t="n">
        <x:f>IF(AV627=0,0,(AV627-IF(7=D627,1,0))*ROUND(AW627*VLOOKUP(INDEX('章节与怪物'!$E$31:$K$37,B627,7),'章节与怪物'!$A$41:$F$44,2,FALSE),0)+IF(7=D627,ROUND(AW627*'难度参数'!$E$28*'章节与怪物'!$E$17,0),0))</x:f>
        <x:v>1366459</x:v>
      </x:c>
      <x:c r="AY627" s="119" t="n">
        <x:f>IF(AV627=0,0,(AV627-IF(7=D627,1,0))*VLOOKUP(INDEX('章节与怪物'!$E$31:$K$37,B627,7),'章节与怪物'!$A$41:$F$44,4,FALSE)+IF(7=D627,'难度参数'!$E$30,0))</x:f>
        <x:v>1900</x:v>
      </x:c>
    </x:row>
    <x:row r="628" ht="23" customHeight="1">
      <x:c r="A628" s="119" t="n">
        <x:v>622</x:v>
      </x:c>
      <x:c r="B628" s="119" t="n">
        <x:f>MOD(INT((A628-1)/5),7)+1</x:f>
        <x:v>6</x:v>
      </x:c>
      <x:c r="C628" s="62" t="str">
        <x:f>INDEX('章节与怪物'!$B$31:$B$37,B628)</x:f>
        <x:v>熔岩山脉</x:v>
      </x:c>
      <x:c r="D628" s="119" t="n">
        <x:f>MIN('难度参数'!$E$8,MAX('难度参数'!$E$7,A628))</x:f>
        <x:v>7</x:v>
      </x:c>
      <x:c r="E628" s="106" t="n">
        <x:v>1</x:v>
      </x:c>
      <x:c r="F628" s="106" t="n">
        <x:v>0</x:v>
      </x:c>
      <x:c r="G628" s="106" t="n">
        <x:v>1</x:v>
      </x:c>
      <x:c r="H628" s="119" t="n">
        <x:f>SUM(X628,AB628,AF628,AJ628,AN628,AR628,AV628)</x:f>
        <x:v>314</x:v>
      </x:c>
      <x:c r="I628" s="119" t="n">
        <x:f>SUM(Z628,AD628,AH628,AL628,AP628,AT628,AX628)</x:f>
        <x:v>5955911</x:v>
      </x:c>
      <x:c r="J628" s="119" t="n">
        <x:f>ROUND(INDEX(X628:AY628,1,(D628-1)*4+2)*'难度参数'!$E$28*'章节与怪物'!$E$17,0)</x:f>
        <x:v>125202</x:v>
      </x:c>
      <x:c r="K628" s="119" t="n">
        <x:f>SUM(AA628,AE628,AI628,AM628,AQ628,AU628,AY628)</x:f>
        <x:v>8366</x:v>
      </x:c>
      <x:c r="L628" s="62" t="n">
        <x:f>H628*(ROUNDUP('难度参数'!$E$24/('难度参数'!$E$26*'难度参数'!$E$27),0)*'难度参数'!$E$26)/60</x:f>
        <x:v>4.1866666666666665</x:v>
      </x:c>
      <x:c r="M628" s="62" t="n">
        <x:f>L628+D628*('难度参数'!$E$49+'难度参数'!$E$50)/60</x:f>
        <x:v>5.3533333333333335</x:v>
      </x:c>
      <x:c r="N628" s="119" t="n">
        <x:f>ROUNDDOWN(('经济参数'!$E$20+A628*'经济参数'!$E$21)*G628,0)</x:f>
        <x:v>12620</x:v>
      </x:c>
      <x:c r="O628" s="119" t="n">
        <x:f>ROUNDDOWN(MIN('经济参数'!$E$24,'经济参数'!$E$22+A628*'经济参数'!$E$23)*G628,0)</x:f>
        <x:v>0</x:v>
      </x:c>
      <x:c r="P628" s="119" t="n">
        <x:f>ROUNDDOWN((IF(A628&gt;='材料与任务'!$E$31,'材料与任务'!$E$32,IF(A628&gt;='材料与任务'!$E$25,'材料与任务'!$E$26,IF(A628&gt;='材料与任务'!$E$19,'材料与任务'!$E$20,IF(A628&gt;='材料与任务'!$E$13,'材料与任务'!$E$14,'材料与任务'!$E$8)))))*G628,0)</x:f>
        <x:v>6</x:v>
      </x:c>
      <x:c r="Q628" s="119" t="n">
        <x:f>ROUNDDOWN((IF(A628&gt;='材料与任务'!$E$31,'材料与任务'!$E$33,IF(A628&gt;='材料与任务'!$E$25,'材料与任务'!$E$27,IF(A628&gt;='材料与任务'!$E$19,'材料与任务'!$E$21,IF(A628&gt;='材料与任务'!$E$13,'材料与任务'!$E$15,'材料与任务'!$E$9)))))*G628,0)</x:f>
        <x:v>3</x:v>
      </x:c>
      <x:c r="R628" s="110" t="n">
        <x:f>'装备掉落'!$B$38</x:f>
        <x:v>0.6872058758851213</x:v>
      </x:c>
      <x:c r="S628" s="119" t="n">
        <x:f>MAX(IF(VLOOKUP(A628,'装备掉落'!$A$29:$H$34,2,TRUE)&gt;0,1,0),IF(VLOOKUP(A628,'装备掉落'!$A$29:$H$34,3,TRUE)&gt;0,2,0),IF(VLOOKUP(A628,'装备掉落'!$A$29:$H$34,4,TRUE)&gt;0,3,0),IF(VLOOKUP(A628,'装备掉落'!$A$29:$H$34,5,TRUE)&gt;0,4,0),IF(VLOOKUP(A628,'装备掉落'!$A$29:$H$34,6,TRUE)&gt;0,5,0),IF(VLOOKUP(A628,'装备掉落'!$A$29:$H$34,7,TRUE)&gt;0,6,0),IF(VLOOKUP(A628,'装备掉落'!$A$29:$H$34,8,TRUE)&gt;0,7,0))</x:f>
        <x:v>7</x:v>
      </x:c>
      <x:c r="T628" s="119" t="n">
        <x:f>MIN(7,S628+'经济参数'!$E$70)</x:f>
        <x:v>7</x:v>
      </x:c>
      <x:c r="U628" s="119" t="n">
        <x:f>MIN(7,S628+'经济参数'!$E$71)</x:f>
        <x:v>7</x:v>
      </x:c>
      <x:c r="V628" s="119" t="n">
        <x:f>IF(H628&gt;=('难度参数'!$E$52),1,0)+IF(H628&gt;=('难度参数'!$E$52+'难度参数'!$E$53),1,0)+IF(H628&gt;=('难度参数'!$E$52+'难度参数'!$E$53+'难度参数'!$E$54),1,0)+IF(H628&gt;=('难度参数'!$E$52+'难度参数'!$E$53+'难度参数'!$E$54+'难度参数'!$E$55),1,0)+IF(H628&gt;=('难度参数'!$E$52+'难度参数'!$E$53+'难度参数'!$E$54+'难度参数'!$E$55+'难度参数'!$E$56),1,0)+IF(H628&gt;=('难度参数'!$E$52+'难度参数'!$E$53+'难度参数'!$E$54+'难度参数'!$E$55+'难度参数'!$E$56+'难度参数'!$E$57),1,0)</x:f>
        <x:v>6</x:v>
      </x:c>
      <x:c r="W628" s="62" t="str">
        <x:f>IF(L628&gt;'难度参数'!$E$51,"仅出怪已超目标","还需实测")</x:f>
        <x:v>仅出怪已超目标</x:v>
      </x:c>
      <x:c r="X628" s="119" t="n">
        <x:f>IF(1&gt;D628,0,MAX(2,MIN('难度参数'!$E$12,ROUND(('难度参数'!$E$18*POWER(A628,'难度参数'!$E$19)/D628*(0.85+0.3*(1-1)/MAX(1,D628-1))),0)+F628)))</x:f>
        <x:v>38</x:v>
      </x:c>
      <x:c r="Y628" s="119" t="n">
        <x:f>IF(1&gt;D628,0,ROUND(('难度参数'!$E$13*POWER(A628,'难度参数'!$E$20)*MIN('难度参数'!$E$23,1+MAX(0,A628-'难度参数'!$E$21)*'难度参数'!$E$22))*(36+1*7)/(36+7*(D628+1)/2)*E628,0))</x:f>
        <x:v>9314</x:v>
      </x:c>
      <x:c r="Z628" s="119" t="n">
        <x:f>IF(X628=0,0,(X628-IF(1=D628,1,0))*ROUND(Y628*VLOOKUP(INDEX('章节与怪物'!$E$31:$K$37,B628,1),'章节与怪物'!$A$41:$F$44,2,FALSE),0)+IF(1=D628,ROUND(Y628*'难度参数'!$E$28*'章节与怪物'!$E$17,0),0))</x:f>
        <x:v>254828</x:v>
      </x:c>
      <x:c r="AA628" s="119" t="n">
        <x:f>IF(X628=0,0,(X628-IF(1=D628,1,0))*VLOOKUP(INDEX('章节与怪物'!$E$31:$K$37,B628,1),'章节与怪物'!$A$41:$F$44,4,FALSE)+IF(1=D628,'难度参数'!$E$30,0))</x:f>
        <x:v>760</x:v>
      </x:c>
      <x:c r="AB628" s="119" t="n">
        <x:f>IF(2&gt;D628,0,MAX(2,MIN('难度参数'!$E$12,ROUND(('难度参数'!$E$18*POWER(A628,'难度参数'!$E$19)/D628*(0.85+0.3*(2-1)/MAX(1,D628-1))),0)+F628)))</x:f>
        <x:v>40</x:v>
      </x:c>
      <x:c r="AC628" s="119" t="n">
        <x:f>IF(2&gt;D628,0,ROUND(('难度参数'!$E$13*POWER(A628,'难度参数'!$E$20)*MIN('难度参数'!$E$23,1+MAX(0,A628-'难度参数'!$E$21)*'难度参数'!$E$22))*(36+2*7)/(36+7*(D628+1)/2)*E628,0))</x:f>
        <x:v>10831</x:v>
      </x:c>
      <x:c r="AD628" s="119" t="n">
        <x:f>IF(AB628=0,0,(AB628-IF(2=D628,1,0))*ROUND(AC628*VLOOKUP(INDEX('章节与怪物'!$E$31:$K$37,B628,2),'章节与怪物'!$A$41:$F$44,2,FALSE),0)+IF(2=D628,ROUND(AC628*'难度参数'!$E$28*'章节与怪物'!$E$17,0),0))</x:f>
        <x:v>433240</x:v>
      </x:c>
      <x:c r="AE628" s="119" t="n">
        <x:f>IF(AB628=0,0,(AB628-IF(2=D628,1,0))*VLOOKUP(INDEX('章节与怪物'!$E$31:$K$37,B628,2),'章节与怪物'!$A$41:$F$44,4,FALSE)+IF(2=D628,'难度参数'!$E$30,0))</x:f>
        <x:v>720</x:v>
      </x:c>
      <x:c r="AF628" s="119" t="n">
        <x:f>IF(3&gt;D628,0,MAX(2,MIN('难度参数'!$E$12,ROUND(('难度参数'!$E$18*POWER(A628,'难度参数'!$E$19)/D628*(0.85+0.3*(3-1)/MAX(1,D628-1))),0)+F628)))</x:f>
        <x:v>43</x:v>
      </x:c>
      <x:c r="AG628" s="119" t="n">
        <x:f>IF(3&gt;D628,0,ROUND(('难度参数'!$E$13*POWER(A628,'难度参数'!$E$20)*MIN('难度参数'!$E$23,1+MAX(0,A628-'难度参数'!$E$21)*'难度参数'!$E$22))*(36+3*7)/(36+7*(D628+1)/2)*E628,0))</x:f>
        <x:v>12347</x:v>
      </x:c>
      <x:c r="AH628" s="119" t="n">
        <x:f>IF(AF628=0,0,(AF628-IF(3=D628,1,0))*ROUND(AG628*VLOOKUP(INDEX('章节与怪物'!$E$31:$K$37,B628,3),'章节与怪物'!$A$41:$F$44,2,FALSE),0)+IF(3=D628,ROUND(AG628*'难度参数'!$E$28*'章节与怪物'!$E$17,0),0))</x:f>
        <x:v>902570</x:v>
      </x:c>
      <x:c r="AI628" s="119" t="n">
        <x:f>IF(AF628=0,0,(AF628-IF(3=D628,1,0))*VLOOKUP(INDEX('章节与怪物'!$E$31:$K$37,B628,3),'章节与怪物'!$A$41:$F$44,4,FALSE)+IF(3=D628,'难度参数'!$E$30,0))</x:f>
        <x:v>1204</x:v>
      </x:c>
      <x:c r="AJ628" s="119" t="n">
        <x:f>IF(4&gt;D628,0,MAX(2,MIN('难度参数'!$E$12,ROUND(('难度参数'!$E$18*POWER(A628,'难度参数'!$E$19)/D628*(0.85+0.3*(4-1)/MAX(1,D628-1))),0)+F628)))</x:f>
        <x:v>45</x:v>
      </x:c>
      <x:c r="AK628" s="119" t="n">
        <x:f>IF(4&gt;D628,0,ROUND(('难度参数'!$E$13*POWER(A628,'难度参数'!$E$20)*MIN('难度参数'!$E$23,1+MAX(0,A628-'难度参数'!$E$21)*'难度参数'!$E$22))*(36+4*7)/(36+7*(D628+1)/2)*E628,0))</x:f>
        <x:v>13863</x:v>
      </x:c>
      <x:c r="AL628" s="119" t="n">
        <x:f>IF(AJ628=0,0,(AJ628-IF(4=D628,1,0))*ROUND(AK628*VLOOKUP(INDEX('章节与怪物'!$E$31:$K$37,B628,4),'章节与怪物'!$A$41:$F$44,2,FALSE),0)+IF(4=D628,ROUND(AK628*'难度参数'!$E$28*'章节与怪物'!$E$17,0),0))</x:f>
        <x:v>842175</x:v>
      </x:c>
      <x:c r="AM628" s="119" t="n">
        <x:f>IF(AJ628=0,0,(AJ628-IF(4=D628,1,0))*VLOOKUP(INDEX('章节与怪物'!$E$31:$K$37,B628,4),'章节与怪物'!$A$41:$F$44,4,FALSE)+IF(4=D628,'难度参数'!$E$30,0))</x:f>
        <x:v>1530</x:v>
      </x:c>
      <x:c r="AN628" s="119" t="n">
        <x:f>IF(5&gt;D628,0,MAX(2,MIN('难度参数'!$E$12,ROUND(('难度参数'!$E$18*POWER(A628,'难度参数'!$E$19)/D628*(0.85+0.3*(5-1)/MAX(1,D628-1))),0)+F628)))</x:f>
        <x:v>47</x:v>
      </x:c>
      <x:c r="AO628" s="119" t="n">
        <x:f>IF(5&gt;D628,0,ROUND(('难度参数'!$E$13*POWER(A628,'难度参数'!$E$20)*MIN('难度参数'!$E$23,1+MAX(0,A628-'难度参数'!$E$21)*'难度参数'!$E$22))*(36+5*7)/(36+7*(D628+1)/2)*E628,0))</x:f>
        <x:v>15379</x:v>
      </x:c>
      <x:c r="AP628" s="119" t="n">
        <x:f>IF(AN628=0,0,(AN628-IF(5=D628,1,0))*ROUND(AO628*VLOOKUP(INDEX('章节与怪物'!$E$31:$K$37,B628,5),'章节与怪物'!$A$41:$F$44,2,FALSE),0)+IF(5=D628,ROUND(AO628*'难度参数'!$E$28*'章节与怪物'!$E$17,0),0))</x:f>
        <x:v>722813</x:v>
      </x:c>
      <x:c r="AQ628" s="119" t="n">
        <x:f>IF(AN628=0,0,(AN628-IF(5=D628,1,0))*VLOOKUP(INDEX('章节与怪物'!$E$31:$K$37,B628,5),'章节与怪物'!$A$41:$F$44,4,FALSE)+IF(5=D628,'难度参数'!$E$30,0))</x:f>
        <x:v>846</x:v>
      </x:c>
      <x:c r="AR628" s="119" t="n">
        <x:f>IF(6&gt;D628,0,MAX(2,MIN('难度参数'!$E$12,ROUND(('难度参数'!$E$18*POWER(A628,'难度参数'!$E$19)/D628*(0.85+0.3*(6-1)/MAX(1,D628-1))),0)+F628)))</x:f>
        <x:v>49</x:v>
      </x:c>
      <x:c r="AS628" s="119" t="n">
        <x:f>IF(6&gt;D628,0,ROUND(('难度参数'!$E$13*POWER(A628,'难度参数'!$E$20)*MIN('难度参数'!$E$23,1+MAX(0,A628-'难度参数'!$E$21)*'难度参数'!$E$22))*(36+6*7)/(36+7*(D628+1)/2)*E628,0))</x:f>
        <x:v>16896</x:v>
      </x:c>
      <x:c r="AT628" s="119" t="n">
        <x:f>IF(AR628=0,0,(AR628-IF(6=D628,1,0))*ROUND(AS628*VLOOKUP(INDEX('章节与怪物'!$E$31:$K$37,B628,6),'章节与怪物'!$A$41:$F$44,2,FALSE),0)+IF(6=D628,ROUND(AS628*'难度参数'!$E$28*'章节与怪物'!$E$17,0),0))</x:f>
        <x:v>1407427</x:v>
      </x:c>
      <x:c r="AU628" s="119" t="n">
        <x:f>IF(AR628=0,0,(AR628-IF(6=D628,1,0))*VLOOKUP(INDEX('章节与怪物'!$E$31:$K$37,B628,6),'章节与怪物'!$A$41:$F$44,4,FALSE)+IF(6=D628,'难度参数'!$E$30,0))</x:f>
        <x:v>1372</x:v>
      </x:c>
      <x:c r="AV628" s="119" t="n">
        <x:f>IF(7&gt;D628,0,MAX(2,MIN('难度参数'!$E$12,ROUND(('难度参数'!$E$18*POWER(A628,'难度参数'!$E$19)/D628*(0.85+0.3*(7-1)/MAX(1,D628-1))),0)+F628)))</x:f>
        <x:v>52</x:v>
      </x:c>
      <x:c r="AW628" s="119" t="n">
        <x:f>IF(7&gt;D628,0,ROUND(('难度参数'!$E$13*POWER(A628,'难度参数'!$E$20)*MIN('难度参数'!$E$23,1+MAX(0,A628-'难度参数'!$E$21)*'难度参数'!$E$22))*(36+7*7)/(36+7*(D628+1)/2)*E628,0))</x:f>
        <x:v>18412</x:v>
      </x:c>
      <x:c r="AX628" s="119" t="n">
        <x:f>IF(AV628=0,0,(AV628-IF(7=D628,1,0))*ROUND(AW628*VLOOKUP(INDEX('章节与怪物'!$E$31:$K$37,B628,7),'章节与怪物'!$A$41:$F$44,2,FALSE),0)+IF(7=D628,ROUND(AW628*'难度参数'!$E$28*'章节与怪物'!$E$17,0),0))</x:f>
        <x:v>1392858</x:v>
      </x:c>
      <x:c r="AY628" s="119" t="n">
        <x:f>IF(AV628=0,0,(AV628-IF(7=D628,1,0))*VLOOKUP(INDEX('章节与怪物'!$E$31:$K$37,B628,7),'章节与怪物'!$A$41:$F$44,4,FALSE)+IF(7=D628,'难度参数'!$E$30,0))</x:f>
        <x:v>1934</x:v>
      </x:c>
    </x:row>
    <x:row r="629" ht="23" customHeight="1">
      <x:c r="A629" s="119" t="n">
        <x:v>623</x:v>
      </x:c>
      <x:c r="B629" s="119" t="n">
        <x:f>MOD(INT((A629-1)/5),7)+1</x:f>
        <x:v>6</x:v>
      </x:c>
      <x:c r="C629" s="62" t="str">
        <x:f>INDEX('章节与怪物'!$B$31:$B$37,B629)</x:f>
        <x:v>熔岩山脉</x:v>
      </x:c>
      <x:c r="D629" s="119" t="n">
        <x:f>MIN('难度参数'!$E$8,MAX('难度参数'!$E$7,A629))</x:f>
        <x:v>7</x:v>
      </x:c>
      <x:c r="E629" s="106" t="n">
        <x:v>1</x:v>
      </x:c>
      <x:c r="F629" s="106" t="n">
        <x:v>0</x:v>
      </x:c>
      <x:c r="G629" s="106" t="n">
        <x:v>1</x:v>
      </x:c>
      <x:c r="H629" s="119" t="n">
        <x:f>SUM(X629,AB629,AF629,AJ629,AN629,AR629,AV629)</x:f>
        <x:v>314</x:v>
      </x:c>
      <x:c r="I629" s="119" t="n">
        <x:f>SUM(Z629,AD629,AH629,AL629,AP629,AT629,AX629)</x:f>
        <x:v>5962801</x:v>
      </x:c>
      <x:c r="J629" s="119" t="n">
        <x:f>ROUND(INDEX(X629:AY629,1,(D629-1)*4+2)*'难度参数'!$E$28*'章节与怪物'!$E$17,0)</x:f>
        <x:v>125344</x:v>
      </x:c>
      <x:c r="K629" s="119" t="n">
        <x:f>SUM(AA629,AE629,AI629,AM629,AQ629,AU629,AY629)</x:f>
        <x:v>8366</x:v>
      </x:c>
      <x:c r="L629" s="62" t="n">
        <x:f>H629*(ROUNDUP('难度参数'!$E$24/('难度参数'!$E$26*'难度参数'!$E$27),0)*'难度参数'!$E$26)/60</x:f>
        <x:v>4.1866666666666665</x:v>
      </x:c>
      <x:c r="M629" s="62" t="n">
        <x:f>L629+D629*('难度参数'!$E$49+'难度参数'!$E$50)/60</x:f>
        <x:v>5.3533333333333335</x:v>
      </x:c>
      <x:c r="N629" s="119" t="n">
        <x:f>ROUNDDOWN(('经济参数'!$E$20+A629*'经济参数'!$E$21)*G629,0)</x:f>
        <x:v>12640</x:v>
      </x:c>
      <x:c r="O629" s="119" t="n">
        <x:f>ROUNDDOWN(MIN('经济参数'!$E$24,'经济参数'!$E$22+A629*'经济参数'!$E$23)*G629,0)</x:f>
        <x:v>0</x:v>
      </x:c>
      <x:c r="P629" s="119" t="n">
        <x:f>ROUNDDOWN((IF(A629&gt;='材料与任务'!$E$31,'材料与任务'!$E$32,IF(A629&gt;='材料与任务'!$E$25,'材料与任务'!$E$26,IF(A629&gt;='材料与任务'!$E$19,'材料与任务'!$E$20,IF(A629&gt;='材料与任务'!$E$13,'材料与任务'!$E$14,'材料与任务'!$E$8)))))*G629,0)</x:f>
        <x:v>6</x:v>
      </x:c>
      <x:c r="Q629" s="119" t="n">
        <x:f>ROUNDDOWN((IF(A629&gt;='材料与任务'!$E$31,'材料与任务'!$E$33,IF(A629&gt;='材料与任务'!$E$25,'材料与任务'!$E$27,IF(A629&gt;='材料与任务'!$E$19,'材料与任务'!$E$21,IF(A629&gt;='材料与任务'!$E$13,'材料与任务'!$E$15,'材料与任务'!$E$9)))))*G629,0)</x:f>
        <x:v>3</x:v>
      </x:c>
      <x:c r="R629" s="110" t="n">
        <x:f>'装备掉落'!$B$38</x:f>
        <x:v>0.6872058758851213</x:v>
      </x:c>
      <x:c r="S629" s="119" t="n">
        <x:f>MAX(IF(VLOOKUP(A629,'装备掉落'!$A$29:$H$34,2,TRUE)&gt;0,1,0),IF(VLOOKUP(A629,'装备掉落'!$A$29:$H$34,3,TRUE)&gt;0,2,0),IF(VLOOKUP(A629,'装备掉落'!$A$29:$H$34,4,TRUE)&gt;0,3,0),IF(VLOOKUP(A629,'装备掉落'!$A$29:$H$34,5,TRUE)&gt;0,4,0),IF(VLOOKUP(A629,'装备掉落'!$A$29:$H$34,6,TRUE)&gt;0,5,0),IF(VLOOKUP(A629,'装备掉落'!$A$29:$H$34,7,TRUE)&gt;0,6,0),IF(VLOOKUP(A629,'装备掉落'!$A$29:$H$34,8,TRUE)&gt;0,7,0))</x:f>
        <x:v>7</x:v>
      </x:c>
      <x:c r="T629" s="119" t="n">
        <x:f>MIN(7,S629+'经济参数'!$E$70)</x:f>
        <x:v>7</x:v>
      </x:c>
      <x:c r="U629" s="119" t="n">
        <x:f>MIN(7,S629+'经济参数'!$E$71)</x:f>
        <x:v>7</x:v>
      </x:c>
      <x:c r="V629" s="119" t="n">
        <x:f>IF(H629&gt;=('难度参数'!$E$52),1,0)+IF(H629&gt;=('难度参数'!$E$52+'难度参数'!$E$53),1,0)+IF(H629&gt;=('难度参数'!$E$52+'难度参数'!$E$53+'难度参数'!$E$54),1,0)+IF(H629&gt;=('难度参数'!$E$52+'难度参数'!$E$53+'难度参数'!$E$54+'难度参数'!$E$55),1,0)+IF(H629&gt;=('难度参数'!$E$52+'难度参数'!$E$53+'难度参数'!$E$54+'难度参数'!$E$55+'难度参数'!$E$56),1,0)+IF(H629&gt;=('难度参数'!$E$52+'难度参数'!$E$53+'难度参数'!$E$54+'难度参数'!$E$55+'难度参数'!$E$56+'难度参数'!$E$57),1,0)</x:f>
        <x:v>6</x:v>
      </x:c>
      <x:c r="W629" s="62" t="str">
        <x:f>IF(L629&gt;'难度参数'!$E$51,"仅出怪已超目标","还需实测")</x:f>
        <x:v>仅出怪已超目标</x:v>
      </x:c>
      <x:c r="X629" s="119" t="n">
        <x:f>IF(1&gt;D629,0,MAX(2,MIN('难度参数'!$E$12,ROUND(('难度参数'!$E$18*POWER(A629,'难度参数'!$E$19)/D629*(0.85+0.3*(1-1)/MAX(1,D629-1))),0)+F629)))</x:f>
        <x:v>38</x:v>
      </x:c>
      <x:c r="Y629" s="119" t="n">
        <x:f>IF(1&gt;D629,0,ROUND(('难度参数'!$E$13*POWER(A629,'难度参数'!$E$20)*MIN('难度参数'!$E$23,1+MAX(0,A629-'难度参数'!$E$21)*'难度参数'!$E$22))*(36+1*7)/(36+7*(D629+1)/2)*E629,0))</x:f>
        <x:v>9325</x:v>
      </x:c>
      <x:c r="Z629" s="119" t="n">
        <x:f>IF(X629=0,0,(X629-IF(1=D629,1,0))*ROUND(Y629*VLOOKUP(INDEX('章节与怪物'!$E$31:$K$37,B629,1),'章节与怪物'!$A$41:$F$44,2,FALSE),0)+IF(1=D629,ROUND(Y629*'难度参数'!$E$28*'章节与怪物'!$E$17,0),0))</x:f>
        <x:v>255132</x:v>
      </x:c>
      <x:c r="AA629" s="119" t="n">
        <x:f>IF(X629=0,0,(X629-IF(1=D629,1,0))*VLOOKUP(INDEX('章节与怪物'!$E$31:$K$37,B629,1),'章节与怪物'!$A$41:$F$44,4,FALSE)+IF(1=D629,'难度参数'!$E$30,0))</x:f>
        <x:v>760</x:v>
      </x:c>
      <x:c r="AB629" s="119" t="n">
        <x:f>IF(2&gt;D629,0,MAX(2,MIN('难度参数'!$E$12,ROUND(('难度参数'!$E$18*POWER(A629,'难度参数'!$E$19)/D629*(0.85+0.3*(2-1)/MAX(1,D629-1))),0)+F629)))</x:f>
        <x:v>40</x:v>
      </x:c>
      <x:c r="AC629" s="119" t="n">
        <x:f>IF(2&gt;D629,0,ROUND(('难度参数'!$E$13*POWER(A629,'难度参数'!$E$20)*MIN('难度参数'!$E$23,1+MAX(0,A629-'难度参数'!$E$21)*'难度参数'!$E$22))*(36+2*7)/(36+7*(D629+1)/2)*E629,0))</x:f>
        <x:v>10843</x:v>
      </x:c>
      <x:c r="AD629" s="119" t="n">
        <x:f>IF(AB629=0,0,(AB629-IF(2=D629,1,0))*ROUND(AC629*VLOOKUP(INDEX('章节与怪物'!$E$31:$K$37,B629,2),'章节与怪物'!$A$41:$F$44,2,FALSE),0)+IF(2=D629,ROUND(AC629*'难度参数'!$E$28*'章节与怪物'!$E$17,0),0))</x:f>
        <x:v>433720</x:v>
      </x:c>
      <x:c r="AE629" s="119" t="n">
        <x:f>IF(AB629=0,0,(AB629-IF(2=D629,1,0))*VLOOKUP(INDEX('章节与怪物'!$E$31:$K$37,B629,2),'章节与怪物'!$A$41:$F$44,4,FALSE)+IF(2=D629,'难度参数'!$E$30,0))</x:f>
        <x:v>720</x:v>
      </x:c>
      <x:c r="AF629" s="119" t="n">
        <x:f>IF(3&gt;D629,0,MAX(2,MIN('难度参数'!$E$12,ROUND(('难度参数'!$E$18*POWER(A629,'难度参数'!$E$19)/D629*(0.85+0.3*(3-1)/MAX(1,D629-1))),0)+F629)))</x:f>
        <x:v>43</x:v>
      </x:c>
      <x:c r="AG629" s="119" t="n">
        <x:f>IF(3&gt;D629,0,ROUND(('难度参数'!$E$13*POWER(A629,'难度参数'!$E$20)*MIN('难度参数'!$E$23,1+MAX(0,A629-'难度参数'!$E$21)*'难度参数'!$E$22))*(36+3*7)/(36+7*(D629+1)/2)*E629,0))</x:f>
        <x:v>12361</x:v>
      </x:c>
      <x:c r="AH629" s="119" t="n">
        <x:f>IF(AF629=0,0,(AF629-IF(3=D629,1,0))*ROUND(AG629*VLOOKUP(INDEX('章节与怪物'!$E$31:$K$37,B629,3),'章节与怪物'!$A$41:$F$44,2,FALSE),0)+IF(3=D629,ROUND(AG629*'难度参数'!$E$28*'章节与怪物'!$E$17,0),0))</x:f>
        <x:v>903602</x:v>
      </x:c>
      <x:c r="AI629" s="119" t="n">
        <x:f>IF(AF629=0,0,(AF629-IF(3=D629,1,0))*VLOOKUP(INDEX('章节与怪物'!$E$31:$K$37,B629,3),'章节与怪物'!$A$41:$F$44,4,FALSE)+IF(3=D629,'难度参数'!$E$30,0))</x:f>
        <x:v>1204</x:v>
      </x:c>
      <x:c r="AJ629" s="119" t="n">
        <x:f>IF(4&gt;D629,0,MAX(2,MIN('难度参数'!$E$12,ROUND(('难度参数'!$E$18*POWER(A629,'难度参数'!$E$19)/D629*(0.85+0.3*(4-1)/MAX(1,D629-1))),0)+F629)))</x:f>
        <x:v>45</x:v>
      </x:c>
      <x:c r="AK629" s="119" t="n">
        <x:f>IF(4&gt;D629,0,ROUND(('难度参数'!$E$13*POWER(A629,'难度参数'!$E$20)*MIN('难度参数'!$E$23,1+MAX(0,A629-'难度参数'!$E$21)*'难度参数'!$E$22))*(36+4*7)/(36+7*(D629+1)/2)*E629,0))</x:f>
        <x:v>13879</x:v>
      </x:c>
      <x:c r="AL629" s="119" t="n">
        <x:f>IF(AJ629=0,0,(AJ629-IF(4=D629,1,0))*ROUND(AK629*VLOOKUP(INDEX('章节与怪物'!$E$31:$K$37,B629,4),'章节与怪物'!$A$41:$F$44,2,FALSE),0)+IF(4=D629,ROUND(AK629*'难度参数'!$E$28*'章节与怪物'!$E$17,0),0))</x:f>
        <x:v>843165</x:v>
      </x:c>
      <x:c r="AM629" s="119" t="n">
        <x:f>IF(AJ629=0,0,(AJ629-IF(4=D629,1,0))*VLOOKUP(INDEX('章节与怪物'!$E$31:$K$37,B629,4),'章节与怪物'!$A$41:$F$44,4,FALSE)+IF(4=D629,'难度参数'!$E$30,0))</x:f>
        <x:v>1530</x:v>
      </x:c>
      <x:c r="AN629" s="119" t="n">
        <x:f>IF(5&gt;D629,0,MAX(2,MIN('难度参数'!$E$12,ROUND(('难度参数'!$E$18*POWER(A629,'难度参数'!$E$19)/D629*(0.85+0.3*(5-1)/MAX(1,D629-1))),0)+F629)))</x:f>
        <x:v>47</x:v>
      </x:c>
      <x:c r="AO629" s="119" t="n">
        <x:f>IF(5&gt;D629,0,ROUND(('难度参数'!$E$13*POWER(A629,'难度参数'!$E$20)*MIN('难度参数'!$E$23,1+MAX(0,A629-'难度参数'!$E$21)*'难度参数'!$E$22))*(36+5*7)/(36+7*(D629+1)/2)*E629,0))</x:f>
        <x:v>15397</x:v>
      </x:c>
      <x:c r="AP629" s="119" t="n">
        <x:f>IF(AN629=0,0,(AN629-IF(5=D629,1,0))*ROUND(AO629*VLOOKUP(INDEX('章节与怪物'!$E$31:$K$37,B629,5),'章节与怪物'!$A$41:$F$44,2,FALSE),0)+IF(5=D629,ROUND(AO629*'难度参数'!$E$28*'章节与怪物'!$E$17,0),0))</x:f>
        <x:v>723659</x:v>
      </x:c>
      <x:c r="AQ629" s="119" t="n">
        <x:f>IF(AN629=0,0,(AN629-IF(5=D629,1,0))*VLOOKUP(INDEX('章节与怪物'!$E$31:$K$37,B629,5),'章节与怪物'!$A$41:$F$44,4,FALSE)+IF(5=D629,'难度参数'!$E$30,0))</x:f>
        <x:v>846</x:v>
      </x:c>
      <x:c r="AR629" s="119" t="n">
        <x:f>IF(6&gt;D629,0,MAX(2,MIN('难度参数'!$E$12,ROUND(('难度参数'!$E$18*POWER(A629,'难度参数'!$E$19)/D629*(0.85+0.3*(6-1)/MAX(1,D629-1))),0)+F629)))</x:f>
        <x:v>49</x:v>
      </x:c>
      <x:c r="AS629" s="119" t="n">
        <x:f>IF(6&gt;D629,0,ROUND(('难度参数'!$E$13*POWER(A629,'难度参数'!$E$20)*MIN('难度参数'!$E$23,1+MAX(0,A629-'难度参数'!$E$21)*'难度参数'!$E$22))*(36+6*7)/(36+7*(D629+1)/2)*E629,0))</x:f>
        <x:v>16915</x:v>
      </x:c>
      <x:c r="AT629" s="119" t="n">
        <x:f>IF(AR629=0,0,(AR629-IF(6=D629,1,0))*ROUND(AS629*VLOOKUP(INDEX('章节与怪物'!$E$31:$K$37,B629,6),'章节与怪物'!$A$41:$F$44,2,FALSE),0)+IF(6=D629,ROUND(AS629*'难度参数'!$E$28*'章节与怪物'!$E$17,0),0))</x:f>
        <x:v>1409044</x:v>
      </x:c>
      <x:c r="AU629" s="119" t="n">
        <x:f>IF(AR629=0,0,(AR629-IF(6=D629,1,0))*VLOOKUP(INDEX('章节与怪物'!$E$31:$K$37,B629,6),'章节与怪物'!$A$41:$F$44,4,FALSE)+IF(6=D629,'难度参数'!$E$30,0))</x:f>
        <x:v>1372</x:v>
      </x:c>
      <x:c r="AV629" s="119" t="n">
        <x:f>IF(7&gt;D629,0,MAX(2,MIN('难度参数'!$E$12,ROUND(('难度参数'!$E$18*POWER(A629,'难度参数'!$E$19)/D629*(0.85+0.3*(7-1)/MAX(1,D629-1))),0)+F629)))</x:f>
        <x:v>52</x:v>
      </x:c>
      <x:c r="AW629" s="119" t="n">
        <x:f>IF(7&gt;D629,0,ROUND(('难度参数'!$E$13*POWER(A629,'难度参数'!$E$20)*MIN('难度参数'!$E$23,1+MAX(0,A629-'难度参数'!$E$21)*'难度参数'!$E$22))*(36+7*7)/(36+7*(D629+1)/2)*E629,0))</x:f>
        <x:v>18433</x:v>
      </x:c>
      <x:c r="AX629" s="119" t="n">
        <x:f>IF(AV629=0,0,(AV629-IF(7=D629,1,0))*ROUND(AW629*VLOOKUP(INDEX('章节与怪物'!$E$31:$K$37,B629,7),'章节与怪物'!$A$41:$F$44,2,FALSE),0)+IF(7=D629,ROUND(AW629*'难度参数'!$E$28*'章节与怪物'!$E$17,0),0))</x:f>
        <x:v>1394479</x:v>
      </x:c>
      <x:c r="AY629" s="119" t="n">
        <x:f>IF(AV629=0,0,(AV629-IF(7=D629,1,0))*VLOOKUP(INDEX('章节与怪物'!$E$31:$K$37,B629,7),'章节与怪物'!$A$41:$F$44,4,FALSE)+IF(7=D629,'难度参数'!$E$30,0))</x:f>
        <x:v>1934</x:v>
      </x:c>
    </x:row>
    <x:row r="630" ht="23" customHeight="1">
      <x:c r="A630" s="119" t="n">
        <x:v>624</x:v>
      </x:c>
      <x:c r="B630" s="119" t="n">
        <x:f>MOD(INT((A630-1)/5),7)+1</x:f>
        <x:v>6</x:v>
      </x:c>
      <x:c r="C630" s="62" t="str">
        <x:f>INDEX('章节与怪物'!$B$31:$B$37,B630)</x:f>
        <x:v>熔岩山脉</x:v>
      </x:c>
      <x:c r="D630" s="119" t="n">
        <x:f>MIN('难度参数'!$E$8,MAX('难度参数'!$E$7,A630))</x:f>
        <x:v>7</x:v>
      </x:c>
      <x:c r="E630" s="106" t="n">
        <x:v>1</x:v>
      </x:c>
      <x:c r="F630" s="106" t="n">
        <x:v>0</x:v>
      </x:c>
      <x:c r="G630" s="106" t="n">
        <x:v>1</x:v>
      </x:c>
      <x:c r="H630" s="119" t="n">
        <x:f>SUM(X630,AB630,AF630,AJ630,AN630,AR630,AV630)</x:f>
        <x:v>314</x:v>
      </x:c>
      <x:c r="I630" s="119" t="n">
        <x:f>SUM(Z630,AD630,AH630,AL630,AP630,AT630,AX630)</x:f>
        <x:v>5969743</x:v>
      </x:c>
      <x:c r="J630" s="119" t="n">
        <x:f>ROUND(INDEX(X630:AY630,1,(D630-1)*4+2)*'难度参数'!$E$28*'章节与怪物'!$E$17,0)</x:f>
        <x:v>125494</x:v>
      </x:c>
      <x:c r="K630" s="119" t="n">
        <x:f>SUM(AA630,AE630,AI630,AM630,AQ630,AU630,AY630)</x:f>
        <x:v>8366</x:v>
      </x:c>
      <x:c r="L630" s="62" t="n">
        <x:f>H630*(ROUNDUP('难度参数'!$E$24/('难度参数'!$E$26*'难度参数'!$E$27),0)*'难度参数'!$E$26)/60</x:f>
        <x:v>4.1866666666666665</x:v>
      </x:c>
      <x:c r="M630" s="62" t="n">
        <x:f>L630+D630*('难度参数'!$E$49+'难度参数'!$E$50)/60</x:f>
        <x:v>5.3533333333333335</x:v>
      </x:c>
      <x:c r="N630" s="119" t="n">
        <x:f>ROUNDDOWN(('经济参数'!$E$20+A630*'经济参数'!$E$21)*G630,0)</x:f>
        <x:v>12660</x:v>
      </x:c>
      <x:c r="O630" s="119" t="n">
        <x:f>ROUNDDOWN(MIN('经济参数'!$E$24,'经济参数'!$E$22+A630*'经济参数'!$E$23)*G630,0)</x:f>
        <x:v>0</x:v>
      </x:c>
      <x:c r="P630" s="119" t="n">
        <x:f>ROUNDDOWN((IF(A630&gt;='材料与任务'!$E$31,'材料与任务'!$E$32,IF(A630&gt;='材料与任务'!$E$25,'材料与任务'!$E$26,IF(A630&gt;='材料与任务'!$E$19,'材料与任务'!$E$20,IF(A630&gt;='材料与任务'!$E$13,'材料与任务'!$E$14,'材料与任务'!$E$8)))))*G630,0)</x:f>
        <x:v>6</x:v>
      </x:c>
      <x:c r="Q630" s="119" t="n">
        <x:f>ROUNDDOWN((IF(A630&gt;='材料与任务'!$E$31,'材料与任务'!$E$33,IF(A630&gt;='材料与任务'!$E$25,'材料与任务'!$E$27,IF(A630&gt;='材料与任务'!$E$19,'材料与任务'!$E$21,IF(A630&gt;='材料与任务'!$E$13,'材料与任务'!$E$15,'材料与任务'!$E$9)))))*G630,0)</x:f>
        <x:v>3</x:v>
      </x:c>
      <x:c r="R630" s="110" t="n">
        <x:f>'装备掉落'!$B$38</x:f>
        <x:v>0.6872058758851213</x:v>
      </x:c>
      <x:c r="S630" s="119" t="n">
        <x:f>MAX(IF(VLOOKUP(A630,'装备掉落'!$A$29:$H$34,2,TRUE)&gt;0,1,0),IF(VLOOKUP(A630,'装备掉落'!$A$29:$H$34,3,TRUE)&gt;0,2,0),IF(VLOOKUP(A630,'装备掉落'!$A$29:$H$34,4,TRUE)&gt;0,3,0),IF(VLOOKUP(A630,'装备掉落'!$A$29:$H$34,5,TRUE)&gt;0,4,0),IF(VLOOKUP(A630,'装备掉落'!$A$29:$H$34,6,TRUE)&gt;0,5,0),IF(VLOOKUP(A630,'装备掉落'!$A$29:$H$34,7,TRUE)&gt;0,6,0),IF(VLOOKUP(A630,'装备掉落'!$A$29:$H$34,8,TRUE)&gt;0,7,0))</x:f>
        <x:v>7</x:v>
      </x:c>
      <x:c r="T630" s="119" t="n">
        <x:f>MIN(7,S630+'经济参数'!$E$70)</x:f>
        <x:v>7</x:v>
      </x:c>
      <x:c r="U630" s="119" t="n">
        <x:f>MIN(7,S630+'经济参数'!$E$71)</x:f>
        <x:v>7</x:v>
      </x:c>
      <x:c r="V630" s="119" t="n">
        <x:f>IF(H630&gt;=('难度参数'!$E$52),1,0)+IF(H630&gt;=('难度参数'!$E$52+'难度参数'!$E$53),1,0)+IF(H630&gt;=('难度参数'!$E$52+'难度参数'!$E$53+'难度参数'!$E$54),1,0)+IF(H630&gt;=('难度参数'!$E$52+'难度参数'!$E$53+'难度参数'!$E$54+'难度参数'!$E$55),1,0)+IF(H630&gt;=('难度参数'!$E$52+'难度参数'!$E$53+'难度参数'!$E$54+'难度参数'!$E$55+'难度参数'!$E$56),1,0)+IF(H630&gt;=('难度参数'!$E$52+'难度参数'!$E$53+'难度参数'!$E$54+'难度参数'!$E$55+'难度参数'!$E$56+'难度参数'!$E$57),1,0)</x:f>
        <x:v>6</x:v>
      </x:c>
      <x:c r="W630" s="62" t="str">
        <x:f>IF(L630&gt;'难度参数'!$E$51,"仅出怪已超目标","还需实测")</x:f>
        <x:v>仅出怪已超目标</x:v>
      </x:c>
      <x:c r="X630" s="119" t="n">
        <x:f>IF(1&gt;D630,0,MAX(2,MIN('难度参数'!$E$12,ROUND(('难度参数'!$E$18*POWER(A630,'难度参数'!$E$19)/D630*(0.85+0.3*(1-1)/MAX(1,D630-1))),0)+F630)))</x:f>
        <x:v>38</x:v>
      </x:c>
      <x:c r="Y630" s="119" t="n">
        <x:f>IF(1&gt;D630,0,ROUND(('难度参数'!$E$13*POWER(A630,'难度参数'!$E$20)*MIN('难度参数'!$E$23,1+MAX(0,A630-'难度参数'!$E$21)*'难度参数'!$E$22))*(36+1*7)/(36+7*(D630+1)/2)*E630,0))</x:f>
        <x:v>9336</x:v>
      </x:c>
      <x:c r="Z630" s="119" t="n">
        <x:f>IF(X630=0,0,(X630-IF(1=D630,1,0))*ROUND(Y630*VLOOKUP(INDEX('章节与怪物'!$E$31:$K$37,B630,1),'章节与怪物'!$A$41:$F$44,2,FALSE),0)+IF(1=D630,ROUND(Y630*'难度参数'!$E$28*'章节与怪物'!$E$17,0),0))</x:f>
        <x:v>255436</x:v>
      </x:c>
      <x:c r="AA630" s="119" t="n">
        <x:f>IF(X630=0,0,(X630-IF(1=D630,1,0))*VLOOKUP(INDEX('章节与怪物'!$E$31:$K$37,B630,1),'章节与怪物'!$A$41:$F$44,4,FALSE)+IF(1=D630,'难度参数'!$E$30,0))</x:f>
        <x:v>760</x:v>
      </x:c>
      <x:c r="AB630" s="119" t="n">
        <x:f>IF(2&gt;D630,0,MAX(2,MIN('难度参数'!$E$12,ROUND(('难度参数'!$E$18*POWER(A630,'难度参数'!$E$19)/D630*(0.85+0.3*(2-1)/MAX(1,D630-1))),0)+F630)))</x:f>
        <x:v>40</x:v>
      </x:c>
      <x:c r="AC630" s="119" t="n">
        <x:f>IF(2&gt;D630,0,ROUND(('难度参数'!$E$13*POWER(A630,'难度参数'!$E$20)*MIN('难度参数'!$E$23,1+MAX(0,A630-'难度参数'!$E$21)*'难度参数'!$E$22))*(36+2*7)/(36+7*(D630+1)/2)*E630,0))</x:f>
        <x:v>10856</x:v>
      </x:c>
      <x:c r="AD630" s="119" t="n">
        <x:f>IF(AB630=0,0,(AB630-IF(2=D630,1,0))*ROUND(AC630*VLOOKUP(INDEX('章节与怪物'!$E$31:$K$37,B630,2),'章节与怪物'!$A$41:$F$44,2,FALSE),0)+IF(2=D630,ROUND(AC630*'难度参数'!$E$28*'章节与怪物'!$E$17,0),0))</x:f>
        <x:v>434240</x:v>
      </x:c>
      <x:c r="AE630" s="119" t="n">
        <x:f>IF(AB630=0,0,(AB630-IF(2=D630,1,0))*VLOOKUP(INDEX('章节与怪物'!$E$31:$K$37,B630,2),'章节与怪物'!$A$41:$F$44,4,FALSE)+IF(2=D630,'难度参数'!$E$30,0))</x:f>
        <x:v>720</x:v>
      </x:c>
      <x:c r="AF630" s="119" t="n">
        <x:f>IF(3&gt;D630,0,MAX(2,MIN('难度参数'!$E$12,ROUND(('难度参数'!$E$18*POWER(A630,'难度参数'!$E$19)/D630*(0.85+0.3*(3-1)/MAX(1,D630-1))),0)+F630)))</x:f>
        <x:v>43</x:v>
      </x:c>
      <x:c r="AG630" s="119" t="n">
        <x:f>IF(3&gt;D630,0,ROUND(('难度参数'!$E$13*POWER(A630,'难度参数'!$E$20)*MIN('难度参数'!$E$23,1+MAX(0,A630-'难度参数'!$E$21)*'难度参数'!$E$22))*(36+3*7)/(36+7*(D630+1)/2)*E630,0))</x:f>
        <x:v>12375</x:v>
      </x:c>
      <x:c r="AH630" s="119" t="n">
        <x:f>IF(AF630=0,0,(AF630-IF(3=D630,1,0))*ROUND(AG630*VLOOKUP(INDEX('章节与怪物'!$E$31:$K$37,B630,3),'章节与怪物'!$A$41:$F$44,2,FALSE),0)+IF(3=D630,ROUND(AG630*'难度参数'!$E$28*'章节与怪物'!$E$17,0),0))</x:f>
        <x:v>904634</x:v>
      </x:c>
      <x:c r="AI630" s="119" t="n">
        <x:f>IF(AF630=0,0,(AF630-IF(3=D630,1,0))*VLOOKUP(INDEX('章节与怪物'!$E$31:$K$37,B630,3),'章节与怪物'!$A$41:$F$44,4,FALSE)+IF(3=D630,'难度参数'!$E$30,0))</x:f>
        <x:v>1204</x:v>
      </x:c>
      <x:c r="AJ630" s="119" t="n">
        <x:f>IF(4&gt;D630,0,MAX(2,MIN('难度参数'!$E$12,ROUND(('难度参数'!$E$18*POWER(A630,'难度参数'!$E$19)/D630*(0.85+0.3*(4-1)/MAX(1,D630-1))),0)+F630)))</x:f>
        <x:v>45</x:v>
      </x:c>
      <x:c r="AK630" s="119" t="n">
        <x:f>IF(4&gt;D630,0,ROUND(('难度参数'!$E$13*POWER(A630,'难度参数'!$E$20)*MIN('难度参数'!$E$23,1+MAX(0,A630-'难度参数'!$E$21)*'难度参数'!$E$22))*(36+4*7)/(36+7*(D630+1)/2)*E630,0))</x:f>
        <x:v>13895</x:v>
      </x:c>
      <x:c r="AL630" s="119" t="n">
        <x:f>IF(AJ630=0,0,(AJ630-IF(4=D630,1,0))*ROUND(AK630*VLOOKUP(INDEX('章节与怪物'!$E$31:$K$37,B630,4),'章节与怪物'!$A$41:$F$44,2,FALSE),0)+IF(4=D630,ROUND(AK630*'难度参数'!$E$28*'章节与怪物'!$E$17,0),0))</x:f>
        <x:v>844110</x:v>
      </x:c>
      <x:c r="AM630" s="119" t="n">
        <x:f>IF(AJ630=0,0,(AJ630-IF(4=D630,1,0))*VLOOKUP(INDEX('章节与怪物'!$E$31:$K$37,B630,4),'章节与怪物'!$A$41:$F$44,4,FALSE)+IF(4=D630,'难度参数'!$E$30,0))</x:f>
        <x:v>1530</x:v>
      </x:c>
      <x:c r="AN630" s="119" t="n">
        <x:f>IF(5&gt;D630,0,MAX(2,MIN('难度参数'!$E$12,ROUND(('难度参数'!$E$18*POWER(A630,'难度参数'!$E$19)/D630*(0.85+0.3*(5-1)/MAX(1,D630-1))),0)+F630)))</x:f>
        <x:v>47</x:v>
      </x:c>
      <x:c r="AO630" s="119" t="n">
        <x:f>IF(5&gt;D630,0,ROUND(('难度参数'!$E$13*POWER(A630,'难度参数'!$E$20)*MIN('难度参数'!$E$23,1+MAX(0,A630-'难度参数'!$E$21)*'难度参数'!$E$22))*(36+5*7)/(36+7*(D630+1)/2)*E630,0))</x:f>
        <x:v>15415</x:v>
      </x:c>
      <x:c r="AP630" s="119" t="n">
        <x:f>IF(AN630=0,0,(AN630-IF(5=D630,1,0))*ROUND(AO630*VLOOKUP(INDEX('章节与怪物'!$E$31:$K$37,B630,5),'章节与怪物'!$A$41:$F$44,2,FALSE),0)+IF(5=D630,ROUND(AO630*'难度参数'!$E$28*'章节与怪物'!$E$17,0),0))</x:f>
        <x:v>724505</x:v>
      </x:c>
      <x:c r="AQ630" s="119" t="n">
        <x:f>IF(AN630=0,0,(AN630-IF(5=D630,1,0))*VLOOKUP(INDEX('章节与怪物'!$E$31:$K$37,B630,5),'章节与怪物'!$A$41:$F$44,4,FALSE)+IF(5=D630,'难度参数'!$E$30,0))</x:f>
        <x:v>846</x:v>
      </x:c>
      <x:c r="AR630" s="119" t="n">
        <x:f>IF(6&gt;D630,0,MAX(2,MIN('难度参数'!$E$12,ROUND(('难度参数'!$E$18*POWER(A630,'难度参数'!$E$19)/D630*(0.85+0.3*(6-1)/MAX(1,D630-1))),0)+F630)))</x:f>
        <x:v>49</x:v>
      </x:c>
      <x:c r="AS630" s="119" t="n">
        <x:f>IF(6&gt;D630,0,ROUND(('难度参数'!$E$13*POWER(A630,'难度参数'!$E$20)*MIN('难度参数'!$E$23,1+MAX(0,A630-'难度参数'!$E$21)*'难度参数'!$E$22))*(36+6*7)/(36+7*(D630+1)/2)*E630,0))</x:f>
        <x:v>16935</x:v>
      </x:c>
      <x:c r="AT630" s="119" t="n">
        <x:f>IF(AR630=0,0,(AR630-IF(6=D630,1,0))*ROUND(AS630*VLOOKUP(INDEX('章节与怪物'!$E$31:$K$37,B630,6),'章节与怪物'!$A$41:$F$44,2,FALSE),0)+IF(6=D630,ROUND(AS630*'难度参数'!$E$28*'章节与怪物'!$E$17,0),0))</x:f>
        <x:v>1410710</x:v>
      </x:c>
      <x:c r="AU630" s="119" t="n">
        <x:f>IF(AR630=0,0,(AR630-IF(6=D630,1,0))*VLOOKUP(INDEX('章节与怪物'!$E$31:$K$37,B630,6),'章节与怪物'!$A$41:$F$44,4,FALSE)+IF(6=D630,'难度参数'!$E$30,0))</x:f>
        <x:v>1372</x:v>
      </x:c>
      <x:c r="AV630" s="119" t="n">
        <x:f>IF(7&gt;D630,0,MAX(2,MIN('难度参数'!$E$12,ROUND(('难度参数'!$E$18*POWER(A630,'难度参数'!$E$19)/D630*(0.85+0.3*(7-1)/MAX(1,D630-1))),0)+F630)))</x:f>
        <x:v>52</x:v>
      </x:c>
      <x:c r="AW630" s="119" t="n">
        <x:f>IF(7&gt;D630,0,ROUND(('难度参数'!$E$13*POWER(A630,'难度参数'!$E$20)*MIN('难度参数'!$E$23,1+MAX(0,A630-'难度参数'!$E$21)*'难度参数'!$E$22))*(36+7*7)/(36+7*(D630+1)/2)*E630,0))</x:f>
        <x:v>18455</x:v>
      </x:c>
      <x:c r="AX630" s="119" t="n">
        <x:f>IF(AV630=0,0,(AV630-IF(7=D630,1,0))*ROUND(AW630*VLOOKUP(INDEX('章节与怪物'!$E$31:$K$37,B630,7),'章节与怪物'!$A$41:$F$44,2,FALSE),0)+IF(7=D630,ROUND(AW630*'难度参数'!$E$28*'章节与怪物'!$E$17,0),0))</x:f>
        <x:v>1396108</x:v>
      </x:c>
      <x:c r="AY630" s="119" t="n">
        <x:f>IF(AV630=0,0,(AV630-IF(7=D630,1,0))*VLOOKUP(INDEX('章节与怪物'!$E$31:$K$37,B630,7),'章节与怪物'!$A$41:$F$44,4,FALSE)+IF(7=D630,'难度参数'!$E$30,0))</x:f>
        <x:v>1934</x:v>
      </x:c>
    </x:row>
    <x:row r="631" ht="23" customHeight="1">
      <x:c r="A631" s="119" t="n">
        <x:v>625</x:v>
      </x:c>
      <x:c r="B631" s="119" t="n">
        <x:f>MOD(INT((A631-1)/5),7)+1</x:f>
        <x:v>6</x:v>
      </x:c>
      <x:c r="C631" s="62" t="str">
        <x:f>INDEX('章节与怪物'!$B$31:$B$37,B631)</x:f>
        <x:v>熔岩山脉</x:v>
      </x:c>
      <x:c r="D631" s="119" t="n">
        <x:f>MIN('难度参数'!$E$8,MAX('难度参数'!$E$7,A631))</x:f>
        <x:v>7</x:v>
      </x:c>
      <x:c r="E631" s="106" t="n">
        <x:v>1</x:v>
      </x:c>
      <x:c r="F631" s="106" t="n">
        <x:v>0</x:v>
      </x:c>
      <x:c r="G631" s="106" t="n">
        <x:v>1</x:v>
      </x:c>
      <x:c r="H631" s="119" t="n">
        <x:f>SUM(X631,AB631,AF631,AJ631,AN631,AR631,AV631)</x:f>
        <x:v>314</x:v>
      </x:c>
      <x:c r="I631" s="119" t="n">
        <x:f>SUM(Z631,AD631,AH631,AL631,AP631,AT631,AX631)</x:f>
        <x:v>5976628</x:v>
      </x:c>
      <x:c r="J631" s="119" t="n">
        <x:f>ROUND(INDEX(X631:AY631,1,(D631-1)*4+2)*'难度参数'!$E$28*'章节与怪物'!$E$17,0)</x:f>
        <x:v>125637</x:v>
      </x:c>
      <x:c r="K631" s="119" t="n">
        <x:f>SUM(AA631,AE631,AI631,AM631,AQ631,AU631,AY631)</x:f>
        <x:v>8366</x:v>
      </x:c>
      <x:c r="L631" s="62" t="n">
        <x:f>H631*(ROUNDUP('难度参数'!$E$24/('难度参数'!$E$26*'难度参数'!$E$27),0)*'难度参数'!$E$26)/60</x:f>
        <x:v>4.1866666666666665</x:v>
      </x:c>
      <x:c r="M631" s="62" t="n">
        <x:f>L631+D631*('难度参数'!$E$49+'难度参数'!$E$50)/60</x:f>
        <x:v>5.3533333333333335</x:v>
      </x:c>
      <x:c r="N631" s="119" t="n">
        <x:f>ROUNDDOWN(('经济参数'!$E$20+A631*'经济参数'!$E$21)*G631,0)</x:f>
        <x:v>12680</x:v>
      </x:c>
      <x:c r="O631" s="119" t="n">
        <x:f>ROUNDDOWN(MIN('经济参数'!$E$24,'经济参数'!$E$22+A631*'经济参数'!$E$23)*G631,0)</x:f>
        <x:v>0</x:v>
      </x:c>
      <x:c r="P631" s="119" t="n">
        <x:f>ROUNDDOWN((IF(A631&gt;='材料与任务'!$E$31,'材料与任务'!$E$32,IF(A631&gt;='材料与任务'!$E$25,'材料与任务'!$E$26,IF(A631&gt;='材料与任务'!$E$19,'材料与任务'!$E$20,IF(A631&gt;='材料与任务'!$E$13,'材料与任务'!$E$14,'材料与任务'!$E$8)))))*G631,0)</x:f>
        <x:v>6</x:v>
      </x:c>
      <x:c r="Q631" s="119" t="n">
        <x:f>ROUNDDOWN((IF(A631&gt;='材料与任务'!$E$31,'材料与任务'!$E$33,IF(A631&gt;='材料与任务'!$E$25,'材料与任务'!$E$27,IF(A631&gt;='材料与任务'!$E$19,'材料与任务'!$E$21,IF(A631&gt;='材料与任务'!$E$13,'材料与任务'!$E$15,'材料与任务'!$E$9)))))*G631,0)</x:f>
        <x:v>3</x:v>
      </x:c>
      <x:c r="R631" s="110" t="n">
        <x:f>'装备掉落'!$B$38</x:f>
        <x:v>0.6872058758851213</x:v>
      </x:c>
      <x:c r="S631" s="119" t="n">
        <x:f>MAX(IF(VLOOKUP(A631,'装备掉落'!$A$29:$H$34,2,TRUE)&gt;0,1,0),IF(VLOOKUP(A631,'装备掉落'!$A$29:$H$34,3,TRUE)&gt;0,2,0),IF(VLOOKUP(A631,'装备掉落'!$A$29:$H$34,4,TRUE)&gt;0,3,0),IF(VLOOKUP(A631,'装备掉落'!$A$29:$H$34,5,TRUE)&gt;0,4,0),IF(VLOOKUP(A631,'装备掉落'!$A$29:$H$34,6,TRUE)&gt;0,5,0),IF(VLOOKUP(A631,'装备掉落'!$A$29:$H$34,7,TRUE)&gt;0,6,0),IF(VLOOKUP(A631,'装备掉落'!$A$29:$H$34,8,TRUE)&gt;0,7,0))</x:f>
        <x:v>7</x:v>
      </x:c>
      <x:c r="T631" s="119" t="n">
        <x:f>MIN(7,S631+'经济参数'!$E$70)</x:f>
        <x:v>7</x:v>
      </x:c>
      <x:c r="U631" s="119" t="n">
        <x:f>MIN(7,S631+'经济参数'!$E$71)</x:f>
        <x:v>7</x:v>
      </x:c>
      <x:c r="V631" s="119" t="n">
        <x:f>IF(H631&gt;=('难度参数'!$E$52),1,0)+IF(H631&gt;=('难度参数'!$E$52+'难度参数'!$E$53),1,0)+IF(H631&gt;=('难度参数'!$E$52+'难度参数'!$E$53+'难度参数'!$E$54),1,0)+IF(H631&gt;=('难度参数'!$E$52+'难度参数'!$E$53+'难度参数'!$E$54+'难度参数'!$E$55),1,0)+IF(H631&gt;=('难度参数'!$E$52+'难度参数'!$E$53+'难度参数'!$E$54+'难度参数'!$E$55+'难度参数'!$E$56),1,0)+IF(H631&gt;=('难度参数'!$E$52+'难度参数'!$E$53+'难度参数'!$E$54+'难度参数'!$E$55+'难度参数'!$E$56+'难度参数'!$E$57),1,0)</x:f>
        <x:v>6</x:v>
      </x:c>
      <x:c r="W631" s="62" t="str">
        <x:f>IF(L631&gt;'难度参数'!$E$51,"仅出怪已超目标","还需实测")</x:f>
        <x:v>仅出怪已超目标</x:v>
      </x:c>
      <x:c r="X631" s="119" t="n">
        <x:f>IF(1&gt;D631,0,MAX(2,MIN('难度参数'!$E$12,ROUND(('难度参数'!$E$18*POWER(A631,'难度参数'!$E$19)/D631*(0.85+0.3*(1-1)/MAX(1,D631-1))),0)+F631)))</x:f>
        <x:v>38</x:v>
      </x:c>
      <x:c r="Y631" s="119" t="n">
        <x:f>IF(1&gt;D631,0,ROUND(('难度参数'!$E$13*POWER(A631,'难度参数'!$E$20)*MIN('难度参数'!$E$23,1+MAX(0,A631-'难度参数'!$E$21)*'难度参数'!$E$22))*(36+1*7)/(36+7*(D631+1)/2)*E631,0))</x:f>
        <x:v>9347</x:v>
      </x:c>
      <x:c r="Z631" s="119" t="n">
        <x:f>IF(X631=0,0,(X631-IF(1=D631,1,0))*ROUND(Y631*VLOOKUP(INDEX('章节与怪物'!$E$31:$K$37,B631,1),'章节与怪物'!$A$41:$F$44,2,FALSE),0)+IF(1=D631,ROUND(Y631*'难度参数'!$E$28*'章节与怪物'!$E$17,0),0))</x:f>
        <x:v>255740</x:v>
      </x:c>
      <x:c r="AA631" s="119" t="n">
        <x:f>IF(X631=0,0,(X631-IF(1=D631,1,0))*VLOOKUP(INDEX('章节与怪物'!$E$31:$K$37,B631,1),'章节与怪物'!$A$41:$F$44,4,FALSE)+IF(1=D631,'难度参数'!$E$30,0))</x:f>
        <x:v>760</x:v>
      </x:c>
      <x:c r="AB631" s="119" t="n">
        <x:f>IF(2&gt;D631,0,MAX(2,MIN('难度参数'!$E$12,ROUND(('难度参数'!$E$18*POWER(A631,'难度参数'!$E$19)/D631*(0.85+0.3*(2-1)/MAX(1,D631-1))),0)+F631)))</x:f>
        <x:v>40</x:v>
      </x:c>
      <x:c r="AC631" s="119" t="n">
        <x:f>IF(2&gt;D631,0,ROUND(('难度参数'!$E$13*POWER(A631,'难度参数'!$E$20)*MIN('难度参数'!$E$23,1+MAX(0,A631-'难度参数'!$E$21)*'难度参数'!$E$22))*(36+2*7)/(36+7*(D631+1)/2)*E631,0))</x:f>
        <x:v>10868</x:v>
      </x:c>
      <x:c r="AD631" s="119" t="n">
        <x:f>IF(AB631=0,0,(AB631-IF(2=D631,1,0))*ROUND(AC631*VLOOKUP(INDEX('章节与怪物'!$E$31:$K$37,B631,2),'章节与怪物'!$A$41:$F$44,2,FALSE),0)+IF(2=D631,ROUND(AC631*'难度参数'!$E$28*'章节与怪物'!$E$17,0),0))</x:f>
        <x:v>434720</x:v>
      </x:c>
      <x:c r="AE631" s="119" t="n">
        <x:f>IF(AB631=0,0,(AB631-IF(2=D631,1,0))*VLOOKUP(INDEX('章节与怪物'!$E$31:$K$37,B631,2),'章节与怪物'!$A$41:$F$44,4,FALSE)+IF(2=D631,'难度参数'!$E$30,0))</x:f>
        <x:v>720</x:v>
      </x:c>
      <x:c r="AF631" s="119" t="n">
        <x:f>IF(3&gt;D631,0,MAX(2,MIN('难度参数'!$E$12,ROUND(('难度参数'!$E$18*POWER(A631,'难度参数'!$E$19)/D631*(0.85+0.3*(3-1)/MAX(1,D631-1))),0)+F631)))</x:f>
        <x:v>43</x:v>
      </x:c>
      <x:c r="AG631" s="119" t="n">
        <x:f>IF(3&gt;D631,0,ROUND(('难度参数'!$E$13*POWER(A631,'难度参数'!$E$20)*MIN('难度参数'!$E$23,1+MAX(0,A631-'难度参数'!$E$21)*'难度参数'!$E$22))*(36+3*7)/(36+7*(D631+1)/2)*E631,0))</x:f>
        <x:v>12390</x:v>
      </x:c>
      <x:c r="AH631" s="119" t="n">
        <x:f>IF(AF631=0,0,(AF631-IF(3=D631,1,0))*ROUND(AG631*VLOOKUP(INDEX('章节与怪物'!$E$31:$K$37,B631,3),'章节与怪物'!$A$41:$F$44,2,FALSE),0)+IF(3=D631,ROUND(AG631*'难度参数'!$E$28*'章节与怪物'!$E$17,0),0))</x:f>
        <x:v>905709</x:v>
      </x:c>
      <x:c r="AI631" s="119" t="n">
        <x:f>IF(AF631=0,0,(AF631-IF(3=D631,1,0))*VLOOKUP(INDEX('章节与怪物'!$E$31:$K$37,B631,3),'章节与怪物'!$A$41:$F$44,4,FALSE)+IF(3=D631,'难度参数'!$E$30,0))</x:f>
        <x:v>1204</x:v>
      </x:c>
      <x:c r="AJ631" s="119" t="n">
        <x:f>IF(4&gt;D631,0,MAX(2,MIN('难度参数'!$E$12,ROUND(('难度参数'!$E$18*POWER(A631,'难度参数'!$E$19)/D631*(0.85+0.3*(4-1)/MAX(1,D631-1))),0)+F631)))</x:f>
        <x:v>45</x:v>
      </x:c>
      <x:c r="AK631" s="119" t="n">
        <x:f>IF(4&gt;D631,0,ROUND(('难度参数'!$E$13*POWER(A631,'难度参数'!$E$20)*MIN('难度参数'!$E$23,1+MAX(0,A631-'难度参数'!$E$21)*'难度参数'!$E$22))*(36+4*7)/(36+7*(D631+1)/2)*E631,0))</x:f>
        <x:v>13911</x:v>
      </x:c>
      <x:c r="AL631" s="119" t="n">
        <x:f>IF(AJ631=0,0,(AJ631-IF(4=D631,1,0))*ROUND(AK631*VLOOKUP(INDEX('章节与怪物'!$E$31:$K$37,B631,4),'章节与怪物'!$A$41:$F$44,2,FALSE),0)+IF(4=D631,ROUND(AK631*'难度参数'!$E$28*'章节与怪物'!$E$17,0),0))</x:f>
        <x:v>845100</x:v>
      </x:c>
      <x:c r="AM631" s="119" t="n">
        <x:f>IF(AJ631=0,0,(AJ631-IF(4=D631,1,0))*VLOOKUP(INDEX('章节与怪物'!$E$31:$K$37,B631,4),'章节与怪物'!$A$41:$F$44,4,FALSE)+IF(4=D631,'难度参数'!$E$30,0))</x:f>
        <x:v>1530</x:v>
      </x:c>
      <x:c r="AN631" s="119" t="n">
        <x:f>IF(5&gt;D631,0,MAX(2,MIN('难度参数'!$E$12,ROUND(('难度参数'!$E$18*POWER(A631,'难度参数'!$E$19)/D631*(0.85+0.3*(5-1)/MAX(1,D631-1))),0)+F631)))</x:f>
        <x:v>47</x:v>
      </x:c>
      <x:c r="AO631" s="119" t="n">
        <x:f>IF(5&gt;D631,0,ROUND(('难度参数'!$E$13*POWER(A631,'难度参数'!$E$20)*MIN('难度参数'!$E$23,1+MAX(0,A631-'难度参数'!$E$21)*'难度参数'!$E$22))*(36+5*7)/(36+7*(D631+1)/2)*E631,0))</x:f>
        <x:v>15433</x:v>
      </x:c>
      <x:c r="AP631" s="119" t="n">
        <x:f>IF(AN631=0,0,(AN631-IF(5=D631,1,0))*ROUND(AO631*VLOOKUP(INDEX('章节与怪物'!$E$31:$K$37,B631,5),'章节与怪物'!$A$41:$F$44,2,FALSE),0)+IF(5=D631,ROUND(AO631*'难度参数'!$E$28*'章节与怪物'!$E$17,0),0))</x:f>
        <x:v>725351</x:v>
      </x:c>
      <x:c r="AQ631" s="119" t="n">
        <x:f>IF(AN631=0,0,(AN631-IF(5=D631,1,0))*VLOOKUP(INDEX('章节与怪物'!$E$31:$K$37,B631,5),'章节与怪物'!$A$41:$F$44,4,FALSE)+IF(5=D631,'难度参数'!$E$30,0))</x:f>
        <x:v>846</x:v>
      </x:c>
      <x:c r="AR631" s="119" t="n">
        <x:f>IF(6&gt;D631,0,MAX(2,MIN('难度参数'!$E$12,ROUND(('难度参数'!$E$18*POWER(A631,'难度参数'!$E$19)/D631*(0.85+0.3*(6-1)/MAX(1,D631-1))),0)+F631)))</x:f>
        <x:v>49</x:v>
      </x:c>
      <x:c r="AS631" s="119" t="n">
        <x:f>IF(6&gt;D631,0,ROUND(('难度参数'!$E$13*POWER(A631,'难度参数'!$E$20)*MIN('难度参数'!$E$23,1+MAX(0,A631-'难度参数'!$E$21)*'难度参数'!$E$22))*(36+6*7)/(36+7*(D631+1)/2)*E631,0))</x:f>
        <x:v>16954</x:v>
      </x:c>
      <x:c r="AT631" s="119" t="n">
        <x:f>IF(AR631=0,0,(AR631-IF(6=D631,1,0))*ROUND(AS631*VLOOKUP(INDEX('章节与怪物'!$E$31:$K$37,B631,6),'章节与怪物'!$A$41:$F$44,2,FALSE),0)+IF(6=D631,ROUND(AS631*'难度参数'!$E$28*'章节与怪物'!$E$17,0),0))</x:f>
        <x:v>1412278</x:v>
      </x:c>
      <x:c r="AU631" s="119" t="n">
        <x:f>IF(AR631=0,0,(AR631-IF(6=D631,1,0))*VLOOKUP(INDEX('章节与怪物'!$E$31:$K$37,B631,6),'章节与怪物'!$A$41:$F$44,4,FALSE)+IF(6=D631,'难度参数'!$E$30,0))</x:f>
        <x:v>1372</x:v>
      </x:c>
      <x:c r="AV631" s="119" t="n">
        <x:f>IF(7&gt;D631,0,MAX(2,MIN('难度参数'!$E$12,ROUND(('难度参数'!$E$18*POWER(A631,'难度参数'!$E$19)/D631*(0.85+0.3*(7-1)/MAX(1,D631-1))),0)+F631)))</x:f>
        <x:v>52</x:v>
      </x:c>
      <x:c r="AW631" s="119" t="n">
        <x:f>IF(7&gt;D631,0,ROUND(('难度参数'!$E$13*POWER(A631,'难度参数'!$E$20)*MIN('难度参数'!$E$23,1+MAX(0,A631-'难度参数'!$E$21)*'难度参数'!$E$22))*(36+7*7)/(36+7*(D631+1)/2)*E631,0))</x:f>
        <x:v>18476</x:v>
      </x:c>
      <x:c r="AX631" s="119" t="n">
        <x:f>IF(AV631=0,0,(AV631-IF(7=D631,1,0))*ROUND(AW631*VLOOKUP(INDEX('章节与怪物'!$E$31:$K$37,B631,7),'章节与怪物'!$A$41:$F$44,2,FALSE),0)+IF(7=D631,ROUND(AW631*'难度参数'!$E$28*'章节与怪物'!$E$17,0),0))</x:f>
        <x:v>1397730</x:v>
      </x:c>
      <x:c r="AY631" s="119" t="n">
        <x:f>IF(AV631=0,0,(AV631-IF(7=D631,1,0))*VLOOKUP(INDEX('章节与怪物'!$E$31:$K$37,B631,7),'章节与怪物'!$A$41:$F$44,4,FALSE)+IF(7=D631,'难度参数'!$E$30,0))</x:f>
        <x:v>1934</x:v>
      </x:c>
    </x:row>
    <x:row r="632" ht="23" customHeight="1">
      <x:c r="A632" s="119" t="n">
        <x:v>626</x:v>
      </x:c>
      <x:c r="B632" s="119" t="n">
        <x:f>MOD(INT((A632-1)/5),7)+1</x:f>
        <x:v>7</x:v>
      </x:c>
      <x:c r="C632" s="62" t="str">
        <x:f>INDEX('章节与怪物'!$B$31:$B$37,B632)</x:f>
        <x:v>魔法山脊</x:v>
      </x:c>
      <x:c r="D632" s="119" t="n">
        <x:f>MIN('难度参数'!$E$8,MAX('难度参数'!$E$7,A632))</x:f>
        <x:v>7</x:v>
      </x:c>
      <x:c r="E632" s="106" t="n">
        <x:v>1</x:v>
      </x:c>
      <x:c r="F632" s="106" t="n">
        <x:v>0</x:v>
      </x:c>
      <x:c r="G632" s="106" t="n">
        <x:v>1</x:v>
      </x:c>
      <x:c r="H632" s="119" t="n">
        <x:f>SUM(X632,AB632,AF632,AJ632,AN632,AR632,AV632)</x:f>
        <x:v>314</x:v>
      </x:c>
      <x:c r="I632" s="119" t="n">
        <x:f>SUM(Z632,AD632,AH632,AL632,AP632,AT632,AX632)</x:f>
        <x:v>5757832</x:v>
      </x:c>
      <x:c r="J632" s="119" t="n">
        <x:f>ROUND(INDEX(X632:AY632,1,(D632-1)*4+2)*'难度参数'!$E$28*'章节与怪物'!$E$17,0)</x:f>
        <x:v>125780</x:v>
      </x:c>
      <x:c r="K632" s="119" t="n">
        <x:f>SUM(AA632,AE632,AI632,AM632,AQ632,AU632,AY632)</x:f>
        <x:v>8464</x:v>
      </x:c>
      <x:c r="L632" s="62" t="n">
        <x:f>H632*(ROUNDUP('难度参数'!$E$24/('难度参数'!$E$26*'难度参数'!$E$27),0)*'难度参数'!$E$26)/60</x:f>
        <x:v>4.1866666666666665</x:v>
      </x:c>
      <x:c r="M632" s="62" t="n">
        <x:f>L632+D632*('难度参数'!$E$49+'难度参数'!$E$50)/60</x:f>
        <x:v>5.3533333333333335</x:v>
      </x:c>
      <x:c r="N632" s="119" t="n">
        <x:f>ROUNDDOWN(('经济参数'!$E$20+A632*'经济参数'!$E$21)*G632,0)</x:f>
        <x:v>12700</x:v>
      </x:c>
      <x:c r="O632" s="119" t="n">
        <x:f>ROUNDDOWN(MIN('经济参数'!$E$24,'经济参数'!$E$22+A632*'经济参数'!$E$23)*G632,0)</x:f>
        <x:v>0</x:v>
      </x:c>
      <x:c r="P632" s="119" t="n">
        <x:f>ROUNDDOWN((IF(A632&gt;='材料与任务'!$E$31,'材料与任务'!$E$32,IF(A632&gt;='材料与任务'!$E$25,'材料与任务'!$E$26,IF(A632&gt;='材料与任务'!$E$19,'材料与任务'!$E$20,IF(A632&gt;='材料与任务'!$E$13,'材料与任务'!$E$14,'材料与任务'!$E$8)))))*G632,0)</x:f>
        <x:v>6</x:v>
      </x:c>
      <x:c r="Q632" s="119" t="n">
        <x:f>ROUNDDOWN((IF(A632&gt;='材料与任务'!$E$31,'材料与任务'!$E$33,IF(A632&gt;='材料与任务'!$E$25,'材料与任务'!$E$27,IF(A632&gt;='材料与任务'!$E$19,'材料与任务'!$E$21,IF(A632&gt;='材料与任务'!$E$13,'材料与任务'!$E$15,'材料与任务'!$E$9)))))*G632,0)</x:f>
        <x:v>3</x:v>
      </x:c>
      <x:c r="R632" s="110" t="n">
        <x:f>'装备掉落'!$B$38</x:f>
        <x:v>0.6872058758851213</x:v>
      </x:c>
      <x:c r="S632" s="119" t="n">
        <x:f>MAX(IF(VLOOKUP(A632,'装备掉落'!$A$29:$H$34,2,TRUE)&gt;0,1,0),IF(VLOOKUP(A632,'装备掉落'!$A$29:$H$34,3,TRUE)&gt;0,2,0),IF(VLOOKUP(A632,'装备掉落'!$A$29:$H$34,4,TRUE)&gt;0,3,0),IF(VLOOKUP(A632,'装备掉落'!$A$29:$H$34,5,TRUE)&gt;0,4,0),IF(VLOOKUP(A632,'装备掉落'!$A$29:$H$34,6,TRUE)&gt;0,5,0),IF(VLOOKUP(A632,'装备掉落'!$A$29:$H$34,7,TRUE)&gt;0,6,0),IF(VLOOKUP(A632,'装备掉落'!$A$29:$H$34,8,TRUE)&gt;0,7,0))</x:f>
        <x:v>7</x:v>
      </x:c>
      <x:c r="T632" s="119" t="n">
        <x:f>MIN(7,S632+'经济参数'!$E$70)</x:f>
        <x:v>7</x:v>
      </x:c>
      <x:c r="U632" s="119" t="n">
        <x:f>MIN(7,S632+'经济参数'!$E$71)</x:f>
        <x:v>7</x:v>
      </x:c>
      <x:c r="V632" s="119" t="n">
        <x:f>IF(H632&gt;=('难度参数'!$E$52),1,0)+IF(H632&gt;=('难度参数'!$E$52+'难度参数'!$E$53),1,0)+IF(H632&gt;=('难度参数'!$E$52+'难度参数'!$E$53+'难度参数'!$E$54),1,0)+IF(H632&gt;=('难度参数'!$E$52+'难度参数'!$E$53+'难度参数'!$E$54+'难度参数'!$E$55),1,0)+IF(H632&gt;=('难度参数'!$E$52+'难度参数'!$E$53+'难度参数'!$E$54+'难度参数'!$E$55+'难度参数'!$E$56),1,0)+IF(H632&gt;=('难度参数'!$E$52+'难度参数'!$E$53+'难度参数'!$E$54+'难度参数'!$E$55+'难度参数'!$E$56+'难度参数'!$E$57),1,0)</x:f>
        <x:v>6</x:v>
      </x:c>
      <x:c r="W632" s="62" t="str">
        <x:f>IF(L632&gt;'难度参数'!$E$51,"仅出怪已超目标","还需实测")</x:f>
        <x:v>仅出怪已超目标</x:v>
      </x:c>
      <x:c r="X632" s="119" t="n">
        <x:f>IF(1&gt;D632,0,MAX(2,MIN('难度参数'!$E$12,ROUND(('难度参数'!$E$18*POWER(A632,'难度参数'!$E$19)/D632*(0.85+0.3*(1-1)/MAX(1,D632-1))),0)+F632)))</x:f>
        <x:v>38</x:v>
      </x:c>
      <x:c r="Y632" s="119" t="n">
        <x:f>IF(1&gt;D632,0,ROUND(('难度参数'!$E$13*POWER(A632,'难度参数'!$E$20)*MIN('难度参数'!$E$23,1+MAX(0,A632-'难度参数'!$E$21)*'难度参数'!$E$22))*(36+1*7)/(36+7*(D632+1)/2)*E632,0))</x:f>
        <x:v>9357</x:v>
      </x:c>
      <x:c r="Z632" s="119" t="n">
        <x:f>IF(X632=0,0,(X632-IF(1=D632,1,0))*ROUND(Y632*VLOOKUP(INDEX('章节与怪物'!$E$31:$K$37,B632,1),'章节与怪物'!$A$41:$F$44,2,FALSE),0)+IF(1=D632,ROUND(Y632*'难度参数'!$E$28*'章节与怪物'!$E$17,0),0))</x:f>
        <x:v>355566</x:v>
      </x:c>
      <x:c r="AA632" s="119" t="n">
        <x:f>IF(X632=0,0,(X632-IF(1=D632,1,0))*VLOOKUP(INDEX('章节与怪物'!$E$31:$K$37,B632,1),'章节与怪物'!$A$41:$F$44,4,FALSE)+IF(1=D632,'难度参数'!$E$30,0))</x:f>
        <x:v>684</x:v>
      </x:c>
      <x:c r="AB632" s="119" t="n">
        <x:f>IF(2&gt;D632,0,MAX(2,MIN('难度参数'!$E$12,ROUND(('难度参数'!$E$18*POWER(A632,'难度参数'!$E$19)/D632*(0.85+0.3*(2-1)/MAX(1,D632-1))),0)+F632)))</x:f>
        <x:v>40</x:v>
      </x:c>
      <x:c r="AC632" s="119" t="n">
        <x:f>IF(2&gt;D632,0,ROUND(('难度参数'!$E$13*POWER(A632,'难度参数'!$E$20)*MIN('难度参数'!$E$23,1+MAX(0,A632-'难度参数'!$E$21)*'难度参数'!$E$22))*(36+2*7)/(36+7*(D632+1)/2)*E632,0))</x:f>
        <x:v>10881</x:v>
      </x:c>
      <x:c r="AD632" s="119" t="n">
        <x:f>IF(AB632=0,0,(AB632-IF(2=D632,1,0))*ROUND(AC632*VLOOKUP(INDEX('章节与怪物'!$E$31:$K$37,B632,2),'章节与怪物'!$A$41:$F$44,2,FALSE),0)+IF(2=D632,ROUND(AC632*'难度参数'!$E$28*'章节与怪物'!$E$17,0),0))</x:f>
        <x:v>313360</x:v>
      </x:c>
      <x:c r="AE632" s="119" t="n">
        <x:f>IF(AB632=0,0,(AB632-IF(2=D632,1,0))*VLOOKUP(INDEX('章节与怪物'!$E$31:$K$37,B632,2),'章节与怪物'!$A$41:$F$44,4,FALSE)+IF(2=D632,'难度参数'!$E$30,0))</x:f>
        <x:v>800</x:v>
      </x:c>
      <x:c r="AF632" s="119" t="n">
        <x:f>IF(3&gt;D632,0,MAX(2,MIN('难度参数'!$E$12,ROUND(('难度参数'!$E$18*POWER(A632,'难度参数'!$E$19)/D632*(0.85+0.3*(3-1)/MAX(1,D632-1))),0)+F632)))</x:f>
        <x:v>43</x:v>
      </x:c>
      <x:c r="AG632" s="119" t="n">
        <x:f>IF(3&gt;D632,0,ROUND(('难度参数'!$E$13*POWER(A632,'难度参数'!$E$20)*MIN('难度参数'!$E$23,1+MAX(0,A632-'难度参数'!$E$21)*'难度参数'!$E$22))*(36+3*7)/(36+7*(D632+1)/2)*E632,0))</x:f>
        <x:v>12404</x:v>
      </x:c>
      <x:c r="AH632" s="119" t="n">
        <x:f>IF(AF632=0,0,(AF632-IF(3=D632,1,0))*ROUND(AG632*VLOOKUP(INDEX('章节与怪物'!$E$31:$K$37,B632,3),'章节与怪物'!$A$41:$F$44,2,FALSE),0)+IF(3=D632,ROUND(AG632*'难度参数'!$E$28*'章节与怪物'!$E$17,0),0))</x:f>
        <x:v>906741</x:v>
      </x:c>
      <x:c r="AI632" s="119" t="n">
        <x:f>IF(AF632=0,0,(AF632-IF(3=D632,1,0))*VLOOKUP(INDEX('章节与怪物'!$E$31:$K$37,B632,3),'章节与怪物'!$A$41:$F$44,4,FALSE)+IF(3=D632,'难度参数'!$E$30,0))</x:f>
        <x:v>1204</x:v>
      </x:c>
      <x:c r="AJ632" s="119" t="n">
        <x:f>IF(4&gt;D632,0,MAX(2,MIN('难度参数'!$E$12,ROUND(('难度参数'!$E$18*POWER(A632,'难度参数'!$E$19)/D632*(0.85+0.3*(4-1)/MAX(1,D632-1))),0)+F632)))</x:f>
        <x:v>45</x:v>
      </x:c>
      <x:c r="AK632" s="119" t="n">
        <x:f>IF(4&gt;D632,0,ROUND(('难度参数'!$E$13*POWER(A632,'难度参数'!$E$20)*MIN('难度参数'!$E$23,1+MAX(0,A632-'难度参数'!$E$21)*'难度参数'!$E$22))*(36+4*7)/(36+7*(D632+1)/2)*E632,0))</x:f>
        <x:v>13927</x:v>
      </x:c>
      <x:c r="AL632" s="119" t="n">
        <x:f>IF(AJ632=0,0,(AJ632-IF(4=D632,1,0))*ROUND(AK632*VLOOKUP(INDEX('章节与怪物'!$E$31:$K$37,B632,4),'章节与怪物'!$A$41:$F$44,2,FALSE),0)+IF(4=D632,ROUND(AK632*'难度参数'!$E$28*'章节与怪物'!$E$17,0),0))</x:f>
        <x:v>846045</x:v>
      </x:c>
      <x:c r="AM632" s="119" t="n">
        <x:f>IF(AJ632=0,0,(AJ632-IF(4=D632,1,0))*VLOOKUP(INDEX('章节与怪物'!$E$31:$K$37,B632,4),'章节与怪物'!$A$41:$F$44,4,FALSE)+IF(4=D632,'难度参数'!$E$30,0))</x:f>
        <x:v>1530</x:v>
      </x:c>
      <x:c r="AN632" s="119" t="n">
        <x:f>IF(5&gt;D632,0,MAX(2,MIN('难度参数'!$E$12,ROUND(('难度参数'!$E$18*POWER(A632,'难度参数'!$E$19)/D632*(0.85+0.3*(5-1)/MAX(1,D632-1))),0)+F632)))</x:f>
        <x:v>47</x:v>
      </x:c>
      <x:c r="AO632" s="119" t="n">
        <x:f>IF(5&gt;D632,0,ROUND(('难度参数'!$E$13*POWER(A632,'难度参数'!$E$20)*MIN('难度参数'!$E$23,1+MAX(0,A632-'难度参数'!$E$21)*'难度参数'!$E$22))*(36+5*7)/(36+7*(D632+1)/2)*E632,0))</x:f>
        <x:v>15451</x:v>
      </x:c>
      <x:c r="AP632" s="119" t="n">
        <x:f>IF(AN632=0,0,(AN632-IF(5=D632,1,0))*ROUND(AO632*VLOOKUP(INDEX('章节与怪物'!$E$31:$K$37,B632,5),'章节与怪物'!$A$41:$F$44,2,FALSE),0)+IF(5=D632,ROUND(AO632*'难度参数'!$E$28*'章节与怪物'!$E$17,0),0))</x:f>
        <x:v>522875</x:v>
      </x:c>
      <x:c r="AQ632" s="119" t="n">
        <x:f>IF(AN632=0,0,(AN632-IF(5=D632,1,0))*VLOOKUP(INDEX('章节与怪物'!$E$31:$K$37,B632,5),'章节与怪物'!$A$41:$F$44,4,FALSE)+IF(5=D632,'难度参数'!$E$30,0))</x:f>
        <x:v>940</x:v>
      </x:c>
      <x:c r="AR632" s="119" t="n">
        <x:f>IF(6&gt;D632,0,MAX(2,MIN('难度参数'!$E$12,ROUND(('难度参数'!$E$18*POWER(A632,'难度参数'!$E$19)/D632*(0.85+0.3*(6-1)/MAX(1,D632-1))),0)+F632)))</x:f>
        <x:v>49</x:v>
      </x:c>
      <x:c r="AS632" s="119" t="n">
        <x:f>IF(6&gt;D632,0,ROUND(('难度参数'!$E$13*POWER(A632,'难度参数'!$E$20)*MIN('难度参数'!$E$23,1+MAX(0,A632-'难度参数'!$E$21)*'难度参数'!$E$22))*(36+6*7)/(36+7*(D632+1)/2)*E632,0))</x:f>
        <x:v>16974</x:v>
      </x:c>
      <x:c r="AT632" s="119" t="n">
        <x:f>IF(AR632=0,0,(AR632-IF(6=D632,1,0))*ROUND(AS632*VLOOKUP(INDEX('章节与怪物'!$E$31:$K$37,B632,6),'章节与怪物'!$A$41:$F$44,2,FALSE),0)+IF(6=D632,ROUND(AS632*'难度参数'!$E$28*'章节与怪物'!$E$17,0),0))</x:f>
        <x:v>1413944</x:v>
      </x:c>
      <x:c r="AU632" s="119" t="n">
        <x:f>IF(AR632=0,0,(AR632-IF(6=D632,1,0))*VLOOKUP(INDEX('章节与怪物'!$E$31:$K$37,B632,6),'章节与怪物'!$A$41:$F$44,4,FALSE)+IF(6=D632,'难度参数'!$E$30,0))</x:f>
        <x:v>1372</x:v>
      </x:c>
      <x:c r="AV632" s="119" t="n">
        <x:f>IF(7&gt;D632,0,MAX(2,MIN('难度参数'!$E$12,ROUND(('难度参数'!$E$18*POWER(A632,'难度参数'!$E$19)/D632*(0.85+0.3*(7-1)/MAX(1,D632-1))),0)+F632)))</x:f>
        <x:v>52</x:v>
      </x:c>
      <x:c r="AW632" s="119" t="n">
        <x:f>IF(7&gt;D632,0,ROUND(('难度参数'!$E$13*POWER(A632,'难度参数'!$E$20)*MIN('难度参数'!$E$23,1+MAX(0,A632-'难度参数'!$E$21)*'难度参数'!$E$22))*(36+7*7)/(36+7*(D632+1)/2)*E632,0))</x:f>
        <x:v>18497</x:v>
      </x:c>
      <x:c r="AX632" s="119" t="n">
        <x:f>IF(AV632=0,0,(AV632-IF(7=D632,1,0))*ROUND(AW632*VLOOKUP(INDEX('章节与怪物'!$E$31:$K$37,B632,7),'章节与怪物'!$A$41:$F$44,2,FALSE),0)+IF(7=D632,ROUND(AW632*'难度参数'!$E$28*'章节与怪物'!$E$17,0),0))</x:f>
        <x:v>1399301</x:v>
      </x:c>
      <x:c r="AY632" s="119" t="n">
        <x:f>IF(AV632=0,0,(AV632-IF(7=D632,1,0))*VLOOKUP(INDEX('章节与怪物'!$E$31:$K$37,B632,7),'章节与怪物'!$A$41:$F$44,4,FALSE)+IF(7=D632,'难度参数'!$E$30,0))</x:f>
        <x:v>1934</x:v>
      </x:c>
    </x:row>
    <x:row r="633" ht="23" customHeight="1">
      <x:c r="A633" s="119" t="n">
        <x:v>627</x:v>
      </x:c>
      <x:c r="B633" s="119" t="n">
        <x:f>MOD(INT((A633-1)/5),7)+1</x:f>
        <x:v>7</x:v>
      </x:c>
      <x:c r="C633" s="62" t="str">
        <x:f>INDEX('章节与怪物'!$B$31:$B$37,B633)</x:f>
        <x:v>魔法山脊</x:v>
      </x:c>
      <x:c r="D633" s="119" t="n">
        <x:f>MIN('难度参数'!$E$8,MAX('难度参数'!$E$7,A633))</x:f>
        <x:v>7</x:v>
      </x:c>
      <x:c r="E633" s="106" t="n">
        <x:v>1</x:v>
      </x:c>
      <x:c r="F633" s="106" t="n">
        <x:v>0</x:v>
      </x:c>
      <x:c r="G633" s="106" t="n">
        <x:v>1</x:v>
      </x:c>
      <x:c r="H633" s="119" t="n">
        <x:f>SUM(X633,AB633,AF633,AJ633,AN633,AR633,AV633)</x:f>
        <x:v>314</x:v>
      </x:c>
      <x:c r="I633" s="119" t="n">
        <x:f>SUM(Z633,AD633,AH633,AL633,AP633,AT633,AX633)</x:f>
        <x:v>5764334</x:v>
      </x:c>
      <x:c r="J633" s="119" t="n">
        <x:f>ROUND(INDEX(X633:AY633,1,(D633-1)*4+2)*'难度参数'!$E$28*'章节与怪物'!$E$17,0)</x:f>
        <x:v>125922</x:v>
      </x:c>
      <x:c r="K633" s="119" t="n">
        <x:f>SUM(AA633,AE633,AI633,AM633,AQ633,AU633,AY633)</x:f>
        <x:v>8464</x:v>
      </x:c>
      <x:c r="L633" s="62" t="n">
        <x:f>H633*(ROUNDUP('难度参数'!$E$24/('难度参数'!$E$26*'难度参数'!$E$27),0)*'难度参数'!$E$26)/60</x:f>
        <x:v>4.1866666666666665</x:v>
      </x:c>
      <x:c r="M633" s="62" t="n">
        <x:f>L633+D633*('难度参数'!$E$49+'难度参数'!$E$50)/60</x:f>
        <x:v>5.3533333333333335</x:v>
      </x:c>
      <x:c r="N633" s="119" t="n">
        <x:f>ROUNDDOWN(('经济参数'!$E$20+A633*'经济参数'!$E$21)*G633,0)</x:f>
        <x:v>12720</x:v>
      </x:c>
      <x:c r="O633" s="119" t="n">
        <x:f>ROUNDDOWN(MIN('经济参数'!$E$24,'经济参数'!$E$22+A633*'经济参数'!$E$23)*G633,0)</x:f>
        <x:v>0</x:v>
      </x:c>
      <x:c r="P633" s="119" t="n">
        <x:f>ROUNDDOWN((IF(A633&gt;='材料与任务'!$E$31,'材料与任务'!$E$32,IF(A633&gt;='材料与任务'!$E$25,'材料与任务'!$E$26,IF(A633&gt;='材料与任务'!$E$19,'材料与任务'!$E$20,IF(A633&gt;='材料与任务'!$E$13,'材料与任务'!$E$14,'材料与任务'!$E$8)))))*G633,0)</x:f>
        <x:v>6</x:v>
      </x:c>
      <x:c r="Q633" s="119" t="n">
        <x:f>ROUNDDOWN((IF(A633&gt;='材料与任务'!$E$31,'材料与任务'!$E$33,IF(A633&gt;='材料与任务'!$E$25,'材料与任务'!$E$27,IF(A633&gt;='材料与任务'!$E$19,'材料与任务'!$E$21,IF(A633&gt;='材料与任务'!$E$13,'材料与任务'!$E$15,'材料与任务'!$E$9)))))*G633,0)</x:f>
        <x:v>3</x:v>
      </x:c>
      <x:c r="R633" s="110" t="n">
        <x:f>'装备掉落'!$B$38</x:f>
        <x:v>0.6872058758851213</x:v>
      </x:c>
      <x:c r="S633" s="119" t="n">
        <x:f>MAX(IF(VLOOKUP(A633,'装备掉落'!$A$29:$H$34,2,TRUE)&gt;0,1,0),IF(VLOOKUP(A633,'装备掉落'!$A$29:$H$34,3,TRUE)&gt;0,2,0),IF(VLOOKUP(A633,'装备掉落'!$A$29:$H$34,4,TRUE)&gt;0,3,0),IF(VLOOKUP(A633,'装备掉落'!$A$29:$H$34,5,TRUE)&gt;0,4,0),IF(VLOOKUP(A633,'装备掉落'!$A$29:$H$34,6,TRUE)&gt;0,5,0),IF(VLOOKUP(A633,'装备掉落'!$A$29:$H$34,7,TRUE)&gt;0,6,0),IF(VLOOKUP(A633,'装备掉落'!$A$29:$H$34,8,TRUE)&gt;0,7,0))</x:f>
        <x:v>7</x:v>
      </x:c>
      <x:c r="T633" s="119" t="n">
        <x:f>MIN(7,S633+'经济参数'!$E$70)</x:f>
        <x:v>7</x:v>
      </x:c>
      <x:c r="U633" s="119" t="n">
        <x:f>MIN(7,S633+'经济参数'!$E$71)</x:f>
        <x:v>7</x:v>
      </x:c>
      <x:c r="V633" s="119" t="n">
        <x:f>IF(H633&gt;=('难度参数'!$E$52),1,0)+IF(H633&gt;=('难度参数'!$E$52+'难度参数'!$E$53),1,0)+IF(H633&gt;=('难度参数'!$E$52+'难度参数'!$E$53+'难度参数'!$E$54),1,0)+IF(H633&gt;=('难度参数'!$E$52+'难度参数'!$E$53+'难度参数'!$E$54+'难度参数'!$E$55),1,0)+IF(H633&gt;=('难度参数'!$E$52+'难度参数'!$E$53+'难度参数'!$E$54+'难度参数'!$E$55+'难度参数'!$E$56),1,0)+IF(H633&gt;=('难度参数'!$E$52+'难度参数'!$E$53+'难度参数'!$E$54+'难度参数'!$E$55+'难度参数'!$E$56+'难度参数'!$E$57),1,0)</x:f>
        <x:v>6</x:v>
      </x:c>
      <x:c r="W633" s="62" t="str">
        <x:f>IF(L633&gt;'难度参数'!$E$51,"仅出怪已超目标","还需实测")</x:f>
        <x:v>仅出怪已超目标</x:v>
      </x:c>
      <x:c r="X633" s="119" t="n">
        <x:f>IF(1&gt;D633,0,MAX(2,MIN('难度参数'!$E$12,ROUND(('难度参数'!$E$18*POWER(A633,'难度参数'!$E$19)/D633*(0.85+0.3*(1-1)/MAX(1,D633-1))),0)+F633)))</x:f>
        <x:v>38</x:v>
      </x:c>
      <x:c r="Y633" s="119" t="n">
        <x:f>IF(1&gt;D633,0,ROUND(('难度参数'!$E$13*POWER(A633,'难度参数'!$E$20)*MIN('难度参数'!$E$23,1+MAX(0,A633-'难度参数'!$E$21)*'难度参数'!$E$22))*(36+1*7)/(36+7*(D633+1)/2)*E633,0))</x:f>
        <x:v>9368</x:v>
      </x:c>
      <x:c r="Z633" s="119" t="n">
        <x:f>IF(X633=0,0,(X633-IF(1=D633,1,0))*ROUND(Y633*VLOOKUP(INDEX('章节与怪物'!$E$31:$K$37,B633,1),'章节与怪物'!$A$41:$F$44,2,FALSE),0)+IF(1=D633,ROUND(Y633*'难度参数'!$E$28*'章节与怪物'!$E$17,0),0))</x:f>
        <x:v>355984</x:v>
      </x:c>
      <x:c r="AA633" s="119" t="n">
        <x:f>IF(X633=0,0,(X633-IF(1=D633,1,0))*VLOOKUP(INDEX('章节与怪物'!$E$31:$K$37,B633,1),'章节与怪物'!$A$41:$F$44,4,FALSE)+IF(1=D633,'难度参数'!$E$30,0))</x:f>
        <x:v>684</x:v>
      </x:c>
      <x:c r="AB633" s="119" t="n">
        <x:f>IF(2&gt;D633,0,MAX(2,MIN('难度参数'!$E$12,ROUND(('难度参数'!$E$18*POWER(A633,'难度参数'!$E$19)/D633*(0.85+0.3*(2-1)/MAX(1,D633-1))),0)+F633)))</x:f>
        <x:v>40</x:v>
      </x:c>
      <x:c r="AC633" s="119" t="n">
        <x:f>IF(2&gt;D633,0,ROUND(('难度参数'!$E$13*POWER(A633,'难度参数'!$E$20)*MIN('难度参数'!$E$23,1+MAX(0,A633-'难度参数'!$E$21)*'难度参数'!$E$22))*(36+2*7)/(36+7*(D633+1)/2)*E633,0))</x:f>
        <x:v>10893</x:v>
      </x:c>
      <x:c r="AD633" s="119" t="n">
        <x:f>IF(AB633=0,0,(AB633-IF(2=D633,1,0))*ROUND(AC633*VLOOKUP(INDEX('章节与怪物'!$E$31:$K$37,B633,2),'章节与怪物'!$A$41:$F$44,2,FALSE),0)+IF(2=D633,ROUND(AC633*'难度参数'!$E$28*'章节与怪物'!$E$17,0),0))</x:f>
        <x:v>313720</x:v>
      </x:c>
      <x:c r="AE633" s="119" t="n">
        <x:f>IF(AB633=0,0,(AB633-IF(2=D633,1,0))*VLOOKUP(INDEX('章节与怪物'!$E$31:$K$37,B633,2),'章节与怪物'!$A$41:$F$44,4,FALSE)+IF(2=D633,'难度参数'!$E$30,0))</x:f>
        <x:v>800</x:v>
      </x:c>
      <x:c r="AF633" s="119" t="n">
        <x:f>IF(3&gt;D633,0,MAX(2,MIN('难度参数'!$E$12,ROUND(('难度参数'!$E$18*POWER(A633,'难度参数'!$E$19)/D633*(0.85+0.3*(3-1)/MAX(1,D633-1))),0)+F633)))</x:f>
        <x:v>43</x:v>
      </x:c>
      <x:c r="AG633" s="119" t="n">
        <x:f>IF(3&gt;D633,0,ROUND(('难度参数'!$E$13*POWER(A633,'难度参数'!$E$20)*MIN('难度参数'!$E$23,1+MAX(0,A633-'难度参数'!$E$21)*'难度参数'!$E$22))*(36+3*7)/(36+7*(D633+1)/2)*E633,0))</x:f>
        <x:v>12418</x:v>
      </x:c>
      <x:c r="AH633" s="119" t="n">
        <x:f>IF(AF633=0,0,(AF633-IF(3=D633,1,0))*ROUND(AG633*VLOOKUP(INDEX('章节与怪物'!$E$31:$K$37,B633,3),'章节与怪物'!$A$41:$F$44,2,FALSE),0)+IF(3=D633,ROUND(AG633*'难度参数'!$E$28*'章节与怪物'!$E$17,0),0))</x:f>
        <x:v>907773</x:v>
      </x:c>
      <x:c r="AI633" s="119" t="n">
        <x:f>IF(AF633=0,0,(AF633-IF(3=D633,1,0))*VLOOKUP(INDEX('章节与怪物'!$E$31:$K$37,B633,3),'章节与怪物'!$A$41:$F$44,4,FALSE)+IF(3=D633,'难度参数'!$E$30,0))</x:f>
        <x:v>1204</x:v>
      </x:c>
      <x:c r="AJ633" s="119" t="n">
        <x:f>IF(4&gt;D633,0,MAX(2,MIN('难度参数'!$E$12,ROUND(('难度参数'!$E$18*POWER(A633,'难度参数'!$E$19)/D633*(0.85+0.3*(4-1)/MAX(1,D633-1))),0)+F633)))</x:f>
        <x:v>45</x:v>
      </x:c>
      <x:c r="AK633" s="119" t="n">
        <x:f>IF(4&gt;D633,0,ROUND(('难度参数'!$E$13*POWER(A633,'难度参数'!$E$20)*MIN('难度参数'!$E$23,1+MAX(0,A633-'难度参数'!$E$21)*'难度参数'!$E$22))*(36+4*7)/(36+7*(D633+1)/2)*E633,0))</x:f>
        <x:v>13943</x:v>
      </x:c>
      <x:c r="AL633" s="119" t="n">
        <x:f>IF(AJ633=0,0,(AJ633-IF(4=D633,1,0))*ROUND(AK633*VLOOKUP(INDEX('章节与怪物'!$E$31:$K$37,B633,4),'章节与怪物'!$A$41:$F$44,2,FALSE),0)+IF(4=D633,ROUND(AK633*'难度参数'!$E$28*'章节与怪物'!$E$17,0),0))</x:f>
        <x:v>847035</x:v>
      </x:c>
      <x:c r="AM633" s="119" t="n">
        <x:f>IF(AJ633=0,0,(AJ633-IF(4=D633,1,0))*VLOOKUP(INDEX('章节与怪物'!$E$31:$K$37,B633,4),'章节与怪物'!$A$41:$F$44,4,FALSE)+IF(4=D633,'难度参数'!$E$30,0))</x:f>
        <x:v>1530</x:v>
      </x:c>
      <x:c r="AN633" s="119" t="n">
        <x:f>IF(5&gt;D633,0,MAX(2,MIN('难度参数'!$E$12,ROUND(('难度参数'!$E$18*POWER(A633,'难度参数'!$E$19)/D633*(0.85+0.3*(5-1)/MAX(1,D633-1))),0)+F633)))</x:f>
        <x:v>47</x:v>
      </x:c>
      <x:c r="AO633" s="119" t="n">
        <x:f>IF(5&gt;D633,0,ROUND(('难度参数'!$E$13*POWER(A633,'难度参数'!$E$20)*MIN('难度参数'!$E$23,1+MAX(0,A633-'难度参数'!$E$21)*'难度参数'!$E$22))*(36+5*7)/(36+7*(D633+1)/2)*E633,0))</x:f>
        <x:v>15468</x:v>
      </x:c>
      <x:c r="AP633" s="119" t="n">
        <x:f>IF(AN633=0,0,(AN633-IF(5=D633,1,0))*ROUND(AO633*VLOOKUP(INDEX('章节与怪物'!$E$31:$K$37,B633,5),'章节与怪物'!$A$41:$F$44,2,FALSE),0)+IF(5=D633,ROUND(AO633*'难度参数'!$E$28*'章节与怪物'!$E$17,0),0))</x:f>
        <x:v>523439</x:v>
      </x:c>
      <x:c r="AQ633" s="119" t="n">
        <x:f>IF(AN633=0,0,(AN633-IF(5=D633,1,0))*VLOOKUP(INDEX('章节与怪物'!$E$31:$K$37,B633,5),'章节与怪物'!$A$41:$F$44,4,FALSE)+IF(5=D633,'难度参数'!$E$30,0))</x:f>
        <x:v>940</x:v>
      </x:c>
      <x:c r="AR633" s="119" t="n">
        <x:f>IF(6&gt;D633,0,MAX(2,MIN('难度参数'!$E$12,ROUND(('难度参数'!$E$18*POWER(A633,'难度参数'!$E$19)/D633*(0.85+0.3*(6-1)/MAX(1,D633-1))),0)+F633)))</x:f>
        <x:v>49</x:v>
      </x:c>
      <x:c r="AS633" s="119" t="n">
        <x:f>IF(6&gt;D633,0,ROUND(('难度参数'!$E$13*POWER(A633,'难度参数'!$E$20)*MIN('难度参数'!$E$23,1+MAX(0,A633-'难度参数'!$E$21)*'难度参数'!$E$22))*(36+6*7)/(36+7*(D633+1)/2)*E633,0))</x:f>
        <x:v>16993</x:v>
      </x:c>
      <x:c r="AT633" s="119" t="n">
        <x:f>IF(AR633=0,0,(AR633-IF(6=D633,1,0))*ROUND(AS633*VLOOKUP(INDEX('章节与怪物'!$E$31:$K$37,B633,6),'章节与怪物'!$A$41:$F$44,2,FALSE),0)+IF(6=D633,ROUND(AS633*'难度参数'!$E$28*'章节与怪物'!$E$17,0),0))</x:f>
        <x:v>1415512</x:v>
      </x:c>
      <x:c r="AU633" s="119" t="n">
        <x:f>IF(AR633=0,0,(AR633-IF(6=D633,1,0))*VLOOKUP(INDEX('章节与怪物'!$E$31:$K$37,B633,6),'章节与怪物'!$A$41:$F$44,4,FALSE)+IF(6=D633,'难度参数'!$E$30,0))</x:f>
        <x:v>1372</x:v>
      </x:c>
      <x:c r="AV633" s="119" t="n">
        <x:f>IF(7&gt;D633,0,MAX(2,MIN('难度参数'!$E$12,ROUND(('难度参数'!$E$18*POWER(A633,'难度参数'!$E$19)/D633*(0.85+0.3*(7-1)/MAX(1,D633-1))),0)+F633)))</x:f>
        <x:v>52</x:v>
      </x:c>
      <x:c r="AW633" s="119" t="n">
        <x:f>IF(7&gt;D633,0,ROUND(('难度参数'!$E$13*POWER(A633,'难度参数'!$E$20)*MIN('难度参数'!$E$23,1+MAX(0,A633-'难度参数'!$E$21)*'难度参数'!$E$22))*(36+7*7)/(36+7*(D633+1)/2)*E633,0))</x:f>
        <x:v>18518</x:v>
      </x:c>
      <x:c r="AX633" s="119" t="n">
        <x:f>IF(AV633=0,0,(AV633-IF(7=D633,1,0))*ROUND(AW633*VLOOKUP(INDEX('章节与怪物'!$E$31:$K$37,B633,7),'章节与怪物'!$A$41:$F$44,2,FALSE),0)+IF(7=D633,ROUND(AW633*'难度参数'!$E$28*'章节与怪物'!$E$17,0),0))</x:f>
        <x:v>1400871</x:v>
      </x:c>
      <x:c r="AY633" s="119" t="n">
        <x:f>IF(AV633=0,0,(AV633-IF(7=D633,1,0))*VLOOKUP(INDEX('章节与怪物'!$E$31:$K$37,B633,7),'章节与怪物'!$A$41:$F$44,4,FALSE)+IF(7=D633,'难度参数'!$E$30,0))</x:f>
        <x:v>1934</x:v>
      </x:c>
    </x:row>
    <x:row r="634" ht="23" customHeight="1">
      <x:c r="A634" s="119" t="n">
        <x:v>628</x:v>
      </x:c>
      <x:c r="B634" s="119" t="n">
        <x:f>MOD(INT((A634-1)/5),7)+1</x:f>
        <x:v>7</x:v>
      </x:c>
      <x:c r="C634" s="62" t="str">
        <x:f>INDEX('章节与怪物'!$B$31:$B$37,B634)</x:f>
        <x:v>魔法山脊</x:v>
      </x:c>
      <x:c r="D634" s="119" t="n">
        <x:f>MIN('难度参数'!$E$8,MAX('难度参数'!$E$7,A634))</x:f>
        <x:v>7</x:v>
      </x:c>
      <x:c r="E634" s="106" t="n">
        <x:v>1</x:v>
      </x:c>
      <x:c r="F634" s="106" t="n">
        <x:v>0</x:v>
      </x:c>
      <x:c r="G634" s="106" t="n">
        <x:v>1</x:v>
      </x:c>
      <x:c r="H634" s="119" t="n">
        <x:f>SUM(X634,AB634,AF634,AJ634,AN634,AR634,AV634)</x:f>
        <x:v>314</x:v>
      </x:c>
      <x:c r="I634" s="119" t="n">
        <x:f>SUM(Z634,AD634,AH634,AL634,AP634,AT634,AX634)</x:f>
        <x:v>5771134</x:v>
      </x:c>
      <x:c r="J634" s="119" t="n">
        <x:f>ROUND(INDEX(X634:AY634,1,(D634-1)*4+2)*'难度参数'!$E$28*'章节与怪物'!$E$17,0)</x:f>
        <x:v>126072</x:v>
      </x:c>
      <x:c r="K634" s="119" t="n">
        <x:f>SUM(AA634,AE634,AI634,AM634,AQ634,AU634,AY634)</x:f>
        <x:v>8464</x:v>
      </x:c>
      <x:c r="L634" s="62" t="n">
        <x:f>H634*(ROUNDUP('难度参数'!$E$24/('难度参数'!$E$26*'难度参数'!$E$27),0)*'难度参数'!$E$26)/60</x:f>
        <x:v>4.1866666666666665</x:v>
      </x:c>
      <x:c r="M634" s="62" t="n">
        <x:f>L634+D634*('难度参数'!$E$49+'难度参数'!$E$50)/60</x:f>
        <x:v>5.3533333333333335</x:v>
      </x:c>
      <x:c r="N634" s="119" t="n">
        <x:f>ROUNDDOWN(('经济参数'!$E$20+A634*'经济参数'!$E$21)*G634,0)</x:f>
        <x:v>12740</x:v>
      </x:c>
      <x:c r="O634" s="119" t="n">
        <x:f>ROUNDDOWN(MIN('经济参数'!$E$24,'经济参数'!$E$22+A634*'经济参数'!$E$23)*G634,0)</x:f>
        <x:v>0</x:v>
      </x:c>
      <x:c r="P634" s="119" t="n">
        <x:f>ROUNDDOWN((IF(A634&gt;='材料与任务'!$E$31,'材料与任务'!$E$32,IF(A634&gt;='材料与任务'!$E$25,'材料与任务'!$E$26,IF(A634&gt;='材料与任务'!$E$19,'材料与任务'!$E$20,IF(A634&gt;='材料与任务'!$E$13,'材料与任务'!$E$14,'材料与任务'!$E$8)))))*G634,0)</x:f>
        <x:v>6</x:v>
      </x:c>
      <x:c r="Q634" s="119" t="n">
        <x:f>ROUNDDOWN((IF(A634&gt;='材料与任务'!$E$31,'材料与任务'!$E$33,IF(A634&gt;='材料与任务'!$E$25,'材料与任务'!$E$27,IF(A634&gt;='材料与任务'!$E$19,'材料与任务'!$E$21,IF(A634&gt;='材料与任务'!$E$13,'材料与任务'!$E$15,'材料与任务'!$E$9)))))*G634,0)</x:f>
        <x:v>3</x:v>
      </x:c>
      <x:c r="R634" s="110" t="n">
        <x:f>'装备掉落'!$B$38</x:f>
        <x:v>0.6872058758851213</x:v>
      </x:c>
      <x:c r="S634" s="119" t="n">
        <x:f>MAX(IF(VLOOKUP(A634,'装备掉落'!$A$29:$H$34,2,TRUE)&gt;0,1,0),IF(VLOOKUP(A634,'装备掉落'!$A$29:$H$34,3,TRUE)&gt;0,2,0),IF(VLOOKUP(A634,'装备掉落'!$A$29:$H$34,4,TRUE)&gt;0,3,0),IF(VLOOKUP(A634,'装备掉落'!$A$29:$H$34,5,TRUE)&gt;0,4,0),IF(VLOOKUP(A634,'装备掉落'!$A$29:$H$34,6,TRUE)&gt;0,5,0),IF(VLOOKUP(A634,'装备掉落'!$A$29:$H$34,7,TRUE)&gt;0,6,0),IF(VLOOKUP(A634,'装备掉落'!$A$29:$H$34,8,TRUE)&gt;0,7,0))</x:f>
        <x:v>7</x:v>
      </x:c>
      <x:c r="T634" s="119" t="n">
        <x:f>MIN(7,S634+'经济参数'!$E$70)</x:f>
        <x:v>7</x:v>
      </x:c>
      <x:c r="U634" s="119" t="n">
        <x:f>MIN(7,S634+'经济参数'!$E$71)</x:f>
        <x:v>7</x:v>
      </x:c>
      <x:c r="V634" s="119" t="n">
        <x:f>IF(H634&gt;=('难度参数'!$E$52),1,0)+IF(H634&gt;=('难度参数'!$E$52+'难度参数'!$E$53),1,0)+IF(H634&gt;=('难度参数'!$E$52+'难度参数'!$E$53+'难度参数'!$E$54),1,0)+IF(H634&gt;=('难度参数'!$E$52+'难度参数'!$E$53+'难度参数'!$E$54+'难度参数'!$E$55),1,0)+IF(H634&gt;=('难度参数'!$E$52+'难度参数'!$E$53+'难度参数'!$E$54+'难度参数'!$E$55+'难度参数'!$E$56),1,0)+IF(H634&gt;=('难度参数'!$E$52+'难度参数'!$E$53+'难度参数'!$E$54+'难度参数'!$E$55+'难度参数'!$E$56+'难度参数'!$E$57),1,0)</x:f>
        <x:v>6</x:v>
      </x:c>
      <x:c r="W634" s="62" t="str">
        <x:f>IF(L634&gt;'难度参数'!$E$51,"仅出怪已超目标","还需实测")</x:f>
        <x:v>仅出怪已超目标</x:v>
      </x:c>
      <x:c r="X634" s="119" t="n">
        <x:f>IF(1&gt;D634,0,MAX(2,MIN('难度参数'!$E$12,ROUND(('难度参数'!$E$18*POWER(A634,'难度参数'!$E$19)/D634*(0.85+0.3*(1-1)/MAX(1,D634-1))),0)+F634)))</x:f>
        <x:v>38</x:v>
      </x:c>
      <x:c r="Y634" s="119" t="n">
        <x:f>IF(1&gt;D634,0,ROUND(('难度参数'!$E$13*POWER(A634,'难度参数'!$E$20)*MIN('难度参数'!$E$23,1+MAX(0,A634-'难度参数'!$E$21)*'难度参数'!$E$22))*(36+1*7)/(36+7*(D634+1)/2)*E634,0))</x:f>
        <x:v>9379</x:v>
      </x:c>
      <x:c r="Z634" s="119" t="n">
        <x:f>IF(X634=0,0,(X634-IF(1=D634,1,0))*ROUND(Y634*VLOOKUP(INDEX('章节与怪物'!$E$31:$K$37,B634,1),'章节与怪物'!$A$41:$F$44,2,FALSE),0)+IF(1=D634,ROUND(Y634*'难度参数'!$E$28*'章节与怪物'!$E$17,0),0))</x:f>
        <x:v>356402</x:v>
      </x:c>
      <x:c r="AA634" s="119" t="n">
        <x:f>IF(X634=0,0,(X634-IF(1=D634,1,0))*VLOOKUP(INDEX('章节与怪物'!$E$31:$K$37,B634,1),'章节与怪物'!$A$41:$F$44,4,FALSE)+IF(1=D634,'难度参数'!$E$30,0))</x:f>
        <x:v>684</x:v>
      </x:c>
      <x:c r="AB634" s="119" t="n">
        <x:f>IF(2&gt;D634,0,MAX(2,MIN('难度参数'!$E$12,ROUND(('难度参数'!$E$18*POWER(A634,'难度参数'!$E$19)/D634*(0.85+0.3*(2-1)/MAX(1,D634-1))),0)+F634)))</x:f>
        <x:v>40</x:v>
      </x:c>
      <x:c r="AC634" s="119" t="n">
        <x:f>IF(2&gt;D634,0,ROUND(('难度参数'!$E$13*POWER(A634,'难度参数'!$E$20)*MIN('难度参数'!$E$23,1+MAX(0,A634-'难度参数'!$E$21)*'难度参数'!$E$22))*(36+2*7)/(36+7*(D634+1)/2)*E634,0))</x:f>
        <x:v>10906</x:v>
      </x:c>
      <x:c r="AD634" s="119" t="n">
        <x:f>IF(AB634=0,0,(AB634-IF(2=D634,1,0))*ROUND(AC634*VLOOKUP(INDEX('章节与怪物'!$E$31:$K$37,B634,2),'章节与怪物'!$A$41:$F$44,2,FALSE),0)+IF(2=D634,ROUND(AC634*'难度参数'!$E$28*'章节与怪物'!$E$17,0),0))</x:f>
        <x:v>314080</x:v>
      </x:c>
      <x:c r="AE634" s="119" t="n">
        <x:f>IF(AB634=0,0,(AB634-IF(2=D634,1,0))*VLOOKUP(INDEX('章节与怪物'!$E$31:$K$37,B634,2),'章节与怪物'!$A$41:$F$44,4,FALSE)+IF(2=D634,'难度参数'!$E$30,0))</x:f>
        <x:v>800</x:v>
      </x:c>
      <x:c r="AF634" s="119" t="n">
        <x:f>IF(3&gt;D634,0,MAX(2,MIN('难度参数'!$E$12,ROUND(('难度参数'!$E$18*POWER(A634,'难度参数'!$E$19)/D634*(0.85+0.3*(3-1)/MAX(1,D634-1))),0)+F634)))</x:f>
        <x:v>43</x:v>
      </x:c>
      <x:c r="AG634" s="119" t="n">
        <x:f>IF(3&gt;D634,0,ROUND(('难度参数'!$E$13*POWER(A634,'难度参数'!$E$20)*MIN('难度参数'!$E$23,1+MAX(0,A634-'难度参数'!$E$21)*'难度参数'!$E$22))*(36+3*7)/(36+7*(D634+1)/2)*E634,0))</x:f>
        <x:v>12433</x:v>
      </x:c>
      <x:c r="AH634" s="119" t="n">
        <x:f>IF(AF634=0,0,(AF634-IF(3=D634,1,0))*ROUND(AG634*VLOOKUP(INDEX('章节与怪物'!$E$31:$K$37,B634,3),'章节与怪物'!$A$41:$F$44,2,FALSE),0)+IF(3=D634,ROUND(AG634*'难度参数'!$E$28*'章节与怪物'!$E$17,0),0))</x:f>
        <x:v>908848</x:v>
      </x:c>
      <x:c r="AI634" s="119" t="n">
        <x:f>IF(AF634=0,0,(AF634-IF(3=D634,1,0))*VLOOKUP(INDEX('章节与怪物'!$E$31:$K$37,B634,3),'章节与怪物'!$A$41:$F$44,4,FALSE)+IF(3=D634,'难度参数'!$E$30,0))</x:f>
        <x:v>1204</x:v>
      </x:c>
      <x:c r="AJ634" s="119" t="n">
        <x:f>IF(4&gt;D634,0,MAX(2,MIN('难度参数'!$E$12,ROUND(('难度参数'!$E$18*POWER(A634,'难度参数'!$E$19)/D634*(0.85+0.3*(4-1)/MAX(1,D634-1))),0)+F634)))</x:f>
        <x:v>45</x:v>
      </x:c>
      <x:c r="AK634" s="119" t="n">
        <x:f>IF(4&gt;D634,0,ROUND(('难度参数'!$E$13*POWER(A634,'难度参数'!$E$20)*MIN('难度参数'!$E$23,1+MAX(0,A634-'难度参数'!$E$21)*'难度参数'!$E$22))*(36+4*7)/(36+7*(D634+1)/2)*E634,0))</x:f>
        <x:v>13959</x:v>
      </x:c>
      <x:c r="AL634" s="119" t="n">
        <x:f>IF(AJ634=0,0,(AJ634-IF(4=D634,1,0))*ROUND(AK634*VLOOKUP(INDEX('章节与怪物'!$E$31:$K$37,B634,4),'章节与怪物'!$A$41:$F$44,2,FALSE),0)+IF(4=D634,ROUND(AK634*'难度参数'!$E$28*'章节与怪物'!$E$17,0),0))</x:f>
        <x:v>848025</x:v>
      </x:c>
      <x:c r="AM634" s="119" t="n">
        <x:f>IF(AJ634=0,0,(AJ634-IF(4=D634,1,0))*VLOOKUP(INDEX('章节与怪物'!$E$31:$K$37,B634,4),'章节与怪物'!$A$41:$F$44,4,FALSE)+IF(4=D634,'难度参数'!$E$30,0))</x:f>
        <x:v>1530</x:v>
      </x:c>
      <x:c r="AN634" s="119" t="n">
        <x:f>IF(5&gt;D634,0,MAX(2,MIN('难度参数'!$E$12,ROUND(('难度参数'!$E$18*POWER(A634,'难度参数'!$E$19)/D634*(0.85+0.3*(5-1)/MAX(1,D634-1))),0)+F634)))</x:f>
        <x:v>47</x:v>
      </x:c>
      <x:c r="AO634" s="119" t="n">
        <x:f>IF(5&gt;D634,0,ROUND(('难度参数'!$E$13*POWER(A634,'难度参数'!$E$20)*MIN('难度参数'!$E$23,1+MAX(0,A634-'难度参数'!$E$21)*'难度参数'!$E$22))*(36+5*7)/(36+7*(D634+1)/2)*E634,0))</x:f>
        <x:v>15486</x:v>
      </x:c>
      <x:c r="AP634" s="119" t="n">
        <x:f>IF(AN634=0,0,(AN634-IF(5=D634,1,0))*ROUND(AO634*VLOOKUP(INDEX('章节与怪物'!$E$31:$K$37,B634,5),'章节与怪物'!$A$41:$F$44,2,FALSE),0)+IF(5=D634,ROUND(AO634*'难度参数'!$E$28*'章节与怪物'!$E$17,0),0))</x:f>
        <x:v>524050</x:v>
      </x:c>
      <x:c r="AQ634" s="119" t="n">
        <x:f>IF(AN634=0,0,(AN634-IF(5=D634,1,0))*VLOOKUP(INDEX('章节与怪物'!$E$31:$K$37,B634,5),'章节与怪物'!$A$41:$F$44,4,FALSE)+IF(5=D634,'难度参数'!$E$30,0))</x:f>
        <x:v>940</x:v>
      </x:c>
      <x:c r="AR634" s="119" t="n">
        <x:f>IF(6&gt;D634,0,MAX(2,MIN('难度参数'!$E$12,ROUND(('难度参数'!$E$18*POWER(A634,'难度参数'!$E$19)/D634*(0.85+0.3*(6-1)/MAX(1,D634-1))),0)+F634)))</x:f>
        <x:v>49</x:v>
      </x:c>
      <x:c r="AS634" s="119" t="n">
        <x:f>IF(6&gt;D634,0,ROUND(('难度参数'!$E$13*POWER(A634,'难度参数'!$E$20)*MIN('难度参数'!$E$23,1+MAX(0,A634-'难度参数'!$E$21)*'难度参数'!$E$22))*(36+6*7)/(36+7*(D634+1)/2)*E634,0))</x:f>
        <x:v>17013</x:v>
      </x:c>
      <x:c r="AT634" s="119" t="n">
        <x:f>IF(AR634=0,0,(AR634-IF(6=D634,1,0))*ROUND(AS634*VLOOKUP(INDEX('章节与怪物'!$E$31:$K$37,B634,6),'章节与怪物'!$A$41:$F$44,2,FALSE),0)+IF(6=D634,ROUND(AS634*'难度参数'!$E$28*'章节与怪物'!$E$17,0),0))</x:f>
        <x:v>1417178</x:v>
      </x:c>
      <x:c r="AU634" s="119" t="n">
        <x:f>IF(AR634=0,0,(AR634-IF(6=D634,1,0))*VLOOKUP(INDEX('章节与怪物'!$E$31:$K$37,B634,6),'章节与怪物'!$A$41:$F$44,4,FALSE)+IF(6=D634,'难度参数'!$E$30,0))</x:f>
        <x:v>1372</x:v>
      </x:c>
      <x:c r="AV634" s="119" t="n">
        <x:f>IF(7&gt;D634,0,MAX(2,MIN('难度参数'!$E$12,ROUND(('难度参数'!$E$18*POWER(A634,'难度参数'!$E$19)/D634*(0.85+0.3*(7-1)/MAX(1,D634-1))),0)+F634)))</x:f>
        <x:v>52</x:v>
      </x:c>
      <x:c r="AW634" s="119" t="n">
        <x:f>IF(7&gt;D634,0,ROUND(('难度参数'!$E$13*POWER(A634,'难度参数'!$E$20)*MIN('难度参数'!$E$23,1+MAX(0,A634-'难度参数'!$E$21)*'难度参数'!$E$22))*(36+7*7)/(36+7*(D634+1)/2)*E634,0))</x:f>
        <x:v>18540</x:v>
      </x:c>
      <x:c r="AX634" s="119" t="n">
        <x:f>IF(AV634=0,0,(AV634-IF(7=D634,1,0))*ROUND(AW634*VLOOKUP(INDEX('章节与怪物'!$E$31:$K$37,B634,7),'章节与怪物'!$A$41:$F$44,2,FALSE),0)+IF(7=D634,ROUND(AW634*'难度参数'!$E$28*'章节与怪物'!$E$17,0),0))</x:f>
        <x:v>1402551</x:v>
      </x:c>
      <x:c r="AY634" s="119" t="n">
        <x:f>IF(AV634=0,0,(AV634-IF(7=D634,1,0))*VLOOKUP(INDEX('章节与怪物'!$E$31:$K$37,B634,7),'章节与怪物'!$A$41:$F$44,4,FALSE)+IF(7=D634,'难度参数'!$E$30,0))</x:f>
        <x:v>1934</x:v>
      </x:c>
    </x:row>
    <x:row r="635" ht="23" customHeight="1">
      <x:c r="A635" s="119" t="n">
        <x:v>629</x:v>
      </x:c>
      <x:c r="B635" s="119" t="n">
        <x:f>MOD(INT((A635-1)/5),7)+1</x:f>
        <x:v>7</x:v>
      </x:c>
      <x:c r="C635" s="62" t="str">
        <x:f>INDEX('章节与怪物'!$B$31:$B$37,B635)</x:f>
        <x:v>魔法山脊</x:v>
      </x:c>
      <x:c r="D635" s="119" t="n">
        <x:f>MIN('难度参数'!$E$8,MAX('难度参数'!$E$7,A635))</x:f>
        <x:v>7</x:v>
      </x:c>
      <x:c r="E635" s="106" t="n">
        <x:v>1</x:v>
      </x:c>
      <x:c r="F635" s="106" t="n">
        <x:v>0</x:v>
      </x:c>
      <x:c r="G635" s="106" t="n">
        <x:v>1</x:v>
      </x:c>
      <x:c r="H635" s="119" t="n">
        <x:f>SUM(X635,AB635,AF635,AJ635,AN635,AR635,AV635)</x:f>
        <x:v>314</x:v>
      </x:c>
      <x:c r="I635" s="119" t="n">
        <x:f>SUM(Z635,AD635,AH635,AL635,AP635,AT635,AX635)</x:f>
        <x:v>5777639</x:v>
      </x:c>
      <x:c r="J635" s="119" t="n">
        <x:f>ROUND(INDEX(X635:AY635,1,(D635-1)*4+2)*'难度参数'!$E$28*'章节与怪物'!$E$17,0)</x:f>
        <x:v>126215</x:v>
      </x:c>
      <x:c r="K635" s="119" t="n">
        <x:f>SUM(AA635,AE635,AI635,AM635,AQ635,AU635,AY635)</x:f>
        <x:v>8464</x:v>
      </x:c>
      <x:c r="L635" s="62" t="n">
        <x:f>H635*(ROUNDUP('难度参数'!$E$24/('难度参数'!$E$26*'难度参数'!$E$27),0)*'难度参数'!$E$26)/60</x:f>
        <x:v>4.1866666666666665</x:v>
      </x:c>
      <x:c r="M635" s="62" t="n">
        <x:f>L635+D635*('难度参数'!$E$49+'难度参数'!$E$50)/60</x:f>
        <x:v>5.3533333333333335</x:v>
      </x:c>
      <x:c r="N635" s="119" t="n">
        <x:f>ROUNDDOWN(('经济参数'!$E$20+A635*'经济参数'!$E$21)*G635,0)</x:f>
        <x:v>12760</x:v>
      </x:c>
      <x:c r="O635" s="119" t="n">
        <x:f>ROUNDDOWN(MIN('经济参数'!$E$24,'经济参数'!$E$22+A635*'经济参数'!$E$23)*G635,0)</x:f>
        <x:v>0</x:v>
      </x:c>
      <x:c r="P635" s="119" t="n">
        <x:f>ROUNDDOWN((IF(A635&gt;='材料与任务'!$E$31,'材料与任务'!$E$32,IF(A635&gt;='材料与任务'!$E$25,'材料与任务'!$E$26,IF(A635&gt;='材料与任务'!$E$19,'材料与任务'!$E$20,IF(A635&gt;='材料与任务'!$E$13,'材料与任务'!$E$14,'材料与任务'!$E$8)))))*G635,0)</x:f>
        <x:v>6</x:v>
      </x:c>
      <x:c r="Q635" s="119" t="n">
        <x:f>ROUNDDOWN((IF(A635&gt;='材料与任务'!$E$31,'材料与任务'!$E$33,IF(A635&gt;='材料与任务'!$E$25,'材料与任务'!$E$27,IF(A635&gt;='材料与任务'!$E$19,'材料与任务'!$E$21,IF(A635&gt;='材料与任务'!$E$13,'材料与任务'!$E$15,'材料与任务'!$E$9)))))*G635,0)</x:f>
        <x:v>3</x:v>
      </x:c>
      <x:c r="R635" s="110" t="n">
        <x:f>'装备掉落'!$B$38</x:f>
        <x:v>0.6872058758851213</x:v>
      </x:c>
      <x:c r="S635" s="119" t="n">
        <x:f>MAX(IF(VLOOKUP(A635,'装备掉落'!$A$29:$H$34,2,TRUE)&gt;0,1,0),IF(VLOOKUP(A635,'装备掉落'!$A$29:$H$34,3,TRUE)&gt;0,2,0),IF(VLOOKUP(A635,'装备掉落'!$A$29:$H$34,4,TRUE)&gt;0,3,0),IF(VLOOKUP(A635,'装备掉落'!$A$29:$H$34,5,TRUE)&gt;0,4,0),IF(VLOOKUP(A635,'装备掉落'!$A$29:$H$34,6,TRUE)&gt;0,5,0),IF(VLOOKUP(A635,'装备掉落'!$A$29:$H$34,7,TRUE)&gt;0,6,0),IF(VLOOKUP(A635,'装备掉落'!$A$29:$H$34,8,TRUE)&gt;0,7,0))</x:f>
        <x:v>7</x:v>
      </x:c>
      <x:c r="T635" s="119" t="n">
        <x:f>MIN(7,S635+'经济参数'!$E$70)</x:f>
        <x:v>7</x:v>
      </x:c>
      <x:c r="U635" s="119" t="n">
        <x:f>MIN(7,S635+'经济参数'!$E$71)</x:f>
        <x:v>7</x:v>
      </x:c>
      <x:c r="V635" s="119" t="n">
        <x:f>IF(H635&gt;=('难度参数'!$E$52),1,0)+IF(H635&gt;=('难度参数'!$E$52+'难度参数'!$E$53),1,0)+IF(H635&gt;=('难度参数'!$E$52+'难度参数'!$E$53+'难度参数'!$E$54),1,0)+IF(H635&gt;=('难度参数'!$E$52+'难度参数'!$E$53+'难度参数'!$E$54+'难度参数'!$E$55),1,0)+IF(H635&gt;=('难度参数'!$E$52+'难度参数'!$E$53+'难度参数'!$E$54+'难度参数'!$E$55+'难度参数'!$E$56),1,0)+IF(H635&gt;=('难度参数'!$E$52+'难度参数'!$E$53+'难度参数'!$E$54+'难度参数'!$E$55+'难度参数'!$E$56+'难度参数'!$E$57),1,0)</x:f>
        <x:v>6</x:v>
      </x:c>
      <x:c r="W635" s="62" t="str">
        <x:f>IF(L635&gt;'难度参数'!$E$51,"仅出怪已超目标","还需实测")</x:f>
        <x:v>仅出怪已超目标</x:v>
      </x:c>
      <x:c r="X635" s="119" t="n">
        <x:f>IF(1&gt;D635,0,MAX(2,MIN('难度参数'!$E$12,ROUND(('难度参数'!$E$18*POWER(A635,'难度参数'!$E$19)/D635*(0.85+0.3*(1-1)/MAX(1,D635-1))),0)+F635)))</x:f>
        <x:v>38</x:v>
      </x:c>
      <x:c r="Y635" s="119" t="n">
        <x:f>IF(1&gt;D635,0,ROUND(('难度参数'!$E$13*POWER(A635,'难度参数'!$E$20)*MIN('难度参数'!$E$23,1+MAX(0,A635-'难度参数'!$E$21)*'难度参数'!$E$22))*(36+1*7)/(36+7*(D635+1)/2)*E635,0))</x:f>
        <x:v>9390</x:v>
      </x:c>
      <x:c r="Z635" s="119" t="n">
        <x:f>IF(X635=0,0,(X635-IF(1=D635,1,0))*ROUND(Y635*VLOOKUP(INDEX('章节与怪物'!$E$31:$K$37,B635,1),'章节与怪物'!$A$41:$F$44,2,FALSE),0)+IF(1=D635,ROUND(Y635*'难度参数'!$E$28*'章节与怪物'!$E$17,0),0))</x:f>
        <x:v>356820</x:v>
      </x:c>
      <x:c r="AA635" s="119" t="n">
        <x:f>IF(X635=0,0,(X635-IF(1=D635,1,0))*VLOOKUP(INDEX('章节与怪物'!$E$31:$K$37,B635,1),'章节与怪物'!$A$41:$F$44,4,FALSE)+IF(1=D635,'难度参数'!$E$30,0))</x:f>
        <x:v>684</x:v>
      </x:c>
      <x:c r="AB635" s="119" t="n">
        <x:f>IF(2&gt;D635,0,MAX(2,MIN('难度参数'!$E$12,ROUND(('难度参数'!$E$18*POWER(A635,'难度参数'!$E$19)/D635*(0.85+0.3*(2-1)/MAX(1,D635-1))),0)+F635)))</x:f>
        <x:v>40</x:v>
      </x:c>
      <x:c r="AC635" s="119" t="n">
        <x:f>IF(2&gt;D635,0,ROUND(('难度参数'!$E$13*POWER(A635,'难度参数'!$E$20)*MIN('难度参数'!$E$23,1+MAX(0,A635-'难度参数'!$E$21)*'难度参数'!$E$22))*(36+2*7)/(36+7*(D635+1)/2)*E635,0))</x:f>
        <x:v>10918</x:v>
      </x:c>
      <x:c r="AD635" s="119" t="n">
        <x:f>IF(AB635=0,0,(AB635-IF(2=D635,1,0))*ROUND(AC635*VLOOKUP(INDEX('章节与怪物'!$E$31:$K$37,B635,2),'章节与怪物'!$A$41:$F$44,2,FALSE),0)+IF(2=D635,ROUND(AC635*'难度参数'!$E$28*'章节与怪物'!$E$17,0),0))</x:f>
        <x:v>314440</x:v>
      </x:c>
      <x:c r="AE635" s="119" t="n">
        <x:f>IF(AB635=0,0,(AB635-IF(2=D635,1,0))*VLOOKUP(INDEX('章节与怪物'!$E$31:$K$37,B635,2),'章节与怪物'!$A$41:$F$44,4,FALSE)+IF(2=D635,'难度参数'!$E$30,0))</x:f>
        <x:v>800</x:v>
      </x:c>
      <x:c r="AF635" s="119" t="n">
        <x:f>IF(3&gt;D635,0,MAX(2,MIN('难度参数'!$E$12,ROUND(('难度参数'!$E$18*POWER(A635,'难度参数'!$E$19)/D635*(0.85+0.3*(3-1)/MAX(1,D635-1))),0)+F635)))</x:f>
        <x:v>43</x:v>
      </x:c>
      <x:c r="AG635" s="119" t="n">
        <x:f>IF(3&gt;D635,0,ROUND(('难度参数'!$E$13*POWER(A635,'难度参数'!$E$20)*MIN('难度参数'!$E$23,1+MAX(0,A635-'难度参数'!$E$21)*'难度参数'!$E$22))*(36+3*7)/(36+7*(D635+1)/2)*E635,0))</x:f>
        <x:v>12447</x:v>
      </x:c>
      <x:c r="AH635" s="119" t="n">
        <x:f>IF(AF635=0,0,(AF635-IF(3=D635,1,0))*ROUND(AG635*VLOOKUP(INDEX('章节与怪物'!$E$31:$K$37,B635,3),'章节与怪物'!$A$41:$F$44,2,FALSE),0)+IF(3=D635,ROUND(AG635*'难度参数'!$E$28*'章节与怪物'!$E$17,0),0))</x:f>
        <x:v>909880</x:v>
      </x:c>
      <x:c r="AI635" s="119" t="n">
        <x:f>IF(AF635=0,0,(AF635-IF(3=D635,1,0))*VLOOKUP(INDEX('章节与怪物'!$E$31:$K$37,B635,3),'章节与怪物'!$A$41:$F$44,4,FALSE)+IF(3=D635,'难度参数'!$E$30,0))</x:f>
        <x:v>1204</x:v>
      </x:c>
      <x:c r="AJ635" s="119" t="n">
        <x:f>IF(4&gt;D635,0,MAX(2,MIN('难度参数'!$E$12,ROUND(('难度参数'!$E$18*POWER(A635,'难度参数'!$E$19)/D635*(0.85+0.3*(4-1)/MAX(1,D635-1))),0)+F635)))</x:f>
        <x:v>45</x:v>
      </x:c>
      <x:c r="AK635" s="119" t="n">
        <x:f>IF(4&gt;D635,0,ROUND(('难度参数'!$E$13*POWER(A635,'难度参数'!$E$20)*MIN('难度参数'!$E$23,1+MAX(0,A635-'难度参数'!$E$21)*'难度参数'!$E$22))*(36+4*7)/(36+7*(D635+1)/2)*E635,0))</x:f>
        <x:v>13975</x:v>
      </x:c>
      <x:c r="AL635" s="119" t="n">
        <x:f>IF(AJ635=0,0,(AJ635-IF(4=D635,1,0))*ROUND(AK635*VLOOKUP(INDEX('章节与怪物'!$E$31:$K$37,B635,4),'章节与怪物'!$A$41:$F$44,2,FALSE),0)+IF(4=D635,ROUND(AK635*'难度参数'!$E$28*'章节与怪物'!$E$17,0),0))</x:f>
        <x:v>848970</x:v>
      </x:c>
      <x:c r="AM635" s="119" t="n">
        <x:f>IF(AJ635=0,0,(AJ635-IF(4=D635,1,0))*VLOOKUP(INDEX('章节与怪物'!$E$31:$K$37,B635,4),'章节与怪物'!$A$41:$F$44,4,FALSE)+IF(4=D635,'难度参数'!$E$30,0))</x:f>
        <x:v>1530</x:v>
      </x:c>
      <x:c r="AN635" s="119" t="n">
        <x:f>IF(5&gt;D635,0,MAX(2,MIN('难度参数'!$E$12,ROUND(('难度参数'!$E$18*POWER(A635,'难度参数'!$E$19)/D635*(0.85+0.3*(5-1)/MAX(1,D635-1))),0)+F635)))</x:f>
        <x:v>47</x:v>
      </x:c>
      <x:c r="AO635" s="119" t="n">
        <x:f>IF(5&gt;D635,0,ROUND(('难度参数'!$E$13*POWER(A635,'难度参数'!$E$20)*MIN('难度参数'!$E$23,1+MAX(0,A635-'难度参数'!$E$21)*'难度参数'!$E$22))*(36+5*7)/(36+7*(D635+1)/2)*E635,0))</x:f>
        <x:v>15504</x:v>
      </x:c>
      <x:c r="AP635" s="119" t="n">
        <x:f>IF(AN635=0,0,(AN635-IF(5=D635,1,0))*ROUND(AO635*VLOOKUP(INDEX('章节与怪物'!$E$31:$K$37,B635,5),'章节与怪物'!$A$41:$F$44,2,FALSE),0)+IF(5=D635,ROUND(AO635*'难度参数'!$E$28*'章节与怪物'!$E$17,0),0))</x:f>
        <x:v>524661</x:v>
      </x:c>
      <x:c r="AQ635" s="119" t="n">
        <x:f>IF(AN635=0,0,(AN635-IF(5=D635,1,0))*VLOOKUP(INDEX('章节与怪物'!$E$31:$K$37,B635,5),'章节与怪物'!$A$41:$F$44,4,FALSE)+IF(5=D635,'难度参数'!$E$30,0))</x:f>
        <x:v>940</x:v>
      </x:c>
      <x:c r="AR635" s="119" t="n">
        <x:f>IF(6&gt;D635,0,MAX(2,MIN('难度参数'!$E$12,ROUND(('难度参数'!$E$18*POWER(A635,'难度参数'!$E$19)/D635*(0.85+0.3*(6-1)/MAX(1,D635-1))),0)+F635)))</x:f>
        <x:v>49</x:v>
      </x:c>
      <x:c r="AS635" s="119" t="n">
        <x:f>IF(6&gt;D635,0,ROUND(('难度参数'!$E$13*POWER(A635,'难度参数'!$E$20)*MIN('难度参数'!$E$23,1+MAX(0,A635-'难度参数'!$E$21)*'难度参数'!$E$22))*(36+6*7)/(36+7*(D635+1)/2)*E635,0))</x:f>
        <x:v>17032</x:v>
      </x:c>
      <x:c r="AT635" s="119" t="n">
        <x:f>IF(AR635=0,0,(AR635-IF(6=D635,1,0))*ROUND(AS635*VLOOKUP(INDEX('章节与怪物'!$E$31:$K$37,B635,6),'章节与怪物'!$A$41:$F$44,2,FALSE),0)+IF(6=D635,ROUND(AS635*'难度参数'!$E$28*'章节与怪物'!$E$17,0),0))</x:f>
        <x:v>1418746</x:v>
      </x:c>
      <x:c r="AU635" s="119" t="n">
        <x:f>IF(AR635=0,0,(AR635-IF(6=D635,1,0))*VLOOKUP(INDEX('章节与怪物'!$E$31:$K$37,B635,6),'章节与怪物'!$A$41:$F$44,4,FALSE)+IF(6=D635,'难度参数'!$E$30,0))</x:f>
        <x:v>1372</x:v>
      </x:c>
      <x:c r="AV635" s="119" t="n">
        <x:f>IF(7&gt;D635,0,MAX(2,MIN('难度参数'!$E$12,ROUND(('难度参数'!$E$18*POWER(A635,'难度参数'!$E$19)/D635*(0.85+0.3*(7-1)/MAX(1,D635-1))),0)+F635)))</x:f>
        <x:v>52</x:v>
      </x:c>
      <x:c r="AW635" s="119" t="n">
        <x:f>IF(7&gt;D635,0,ROUND(('难度参数'!$E$13*POWER(A635,'难度参数'!$E$20)*MIN('难度参数'!$E$23,1+MAX(0,A635-'难度参数'!$E$21)*'难度参数'!$E$22))*(36+7*7)/(36+7*(D635+1)/2)*E635,0))</x:f>
        <x:v>18561</x:v>
      </x:c>
      <x:c r="AX635" s="119" t="n">
        <x:f>IF(AV635=0,0,(AV635-IF(7=D635,1,0))*ROUND(AW635*VLOOKUP(INDEX('章节与怪物'!$E$31:$K$37,B635,7),'章节与怪物'!$A$41:$F$44,2,FALSE),0)+IF(7=D635,ROUND(AW635*'难度参数'!$E$28*'章节与怪物'!$E$17,0),0))</x:f>
        <x:v>1404122</x:v>
      </x:c>
      <x:c r="AY635" s="119" t="n">
        <x:f>IF(AV635=0,0,(AV635-IF(7=D635,1,0))*VLOOKUP(INDEX('章节与怪物'!$E$31:$K$37,B635,7),'章节与怪物'!$A$41:$F$44,4,FALSE)+IF(7=D635,'难度参数'!$E$30,0))</x:f>
        <x:v>1934</x:v>
      </x:c>
    </x:row>
    <x:row r="636" ht="23" customHeight="1">
      <x:c r="A636" s="119" t="n">
        <x:v>630</x:v>
      </x:c>
      <x:c r="B636" s="119" t="n">
        <x:f>MOD(INT((A636-1)/5),7)+1</x:f>
        <x:v>7</x:v>
      </x:c>
      <x:c r="C636" s="62" t="str">
        <x:f>INDEX('章节与怪物'!$B$31:$B$37,B636)</x:f>
        <x:v>魔法山脊</x:v>
      </x:c>
      <x:c r="D636" s="119" t="n">
        <x:f>MIN('难度参数'!$E$8,MAX('难度参数'!$E$7,A636))</x:f>
        <x:v>7</x:v>
      </x:c>
      <x:c r="E636" s="106" t="n">
        <x:v>1</x:v>
      </x:c>
      <x:c r="F636" s="106" t="n">
        <x:v>0</x:v>
      </x:c>
      <x:c r="G636" s="106" t="n">
        <x:v>1</x:v>
      </x:c>
      <x:c r="H636" s="119" t="n">
        <x:f>SUM(X636,AB636,AF636,AJ636,AN636,AR636,AV636)</x:f>
        <x:v>314</x:v>
      </x:c>
      <x:c r="I636" s="119" t="n">
        <x:f>SUM(Z636,AD636,AH636,AL636,AP636,AT636,AX636)</x:f>
        <x:v>5784300</x:v>
      </x:c>
      <x:c r="J636" s="119" t="n">
        <x:f>ROUND(INDEX(X636:AY636,1,(D636-1)*4+2)*'难度参数'!$E$28*'章节与怪物'!$E$17,0)</x:f>
        <x:v>126358</x:v>
      </x:c>
      <x:c r="K636" s="119" t="n">
        <x:f>SUM(AA636,AE636,AI636,AM636,AQ636,AU636,AY636)</x:f>
        <x:v>8464</x:v>
      </x:c>
      <x:c r="L636" s="62" t="n">
        <x:f>H636*(ROUNDUP('难度参数'!$E$24/('难度参数'!$E$26*'难度参数'!$E$27),0)*'难度参数'!$E$26)/60</x:f>
        <x:v>4.1866666666666665</x:v>
      </x:c>
      <x:c r="M636" s="62" t="n">
        <x:f>L636+D636*('难度参数'!$E$49+'难度参数'!$E$50)/60</x:f>
        <x:v>5.3533333333333335</x:v>
      </x:c>
      <x:c r="N636" s="119" t="n">
        <x:f>ROUNDDOWN(('经济参数'!$E$20+A636*'经济参数'!$E$21)*G636,0)</x:f>
        <x:v>12780</x:v>
      </x:c>
      <x:c r="O636" s="119" t="n">
        <x:f>ROUNDDOWN(MIN('经济参数'!$E$24,'经济参数'!$E$22+A636*'经济参数'!$E$23)*G636,0)</x:f>
        <x:v>0</x:v>
      </x:c>
      <x:c r="P636" s="119" t="n">
        <x:f>ROUNDDOWN((IF(A636&gt;='材料与任务'!$E$31,'材料与任务'!$E$32,IF(A636&gt;='材料与任务'!$E$25,'材料与任务'!$E$26,IF(A636&gt;='材料与任务'!$E$19,'材料与任务'!$E$20,IF(A636&gt;='材料与任务'!$E$13,'材料与任务'!$E$14,'材料与任务'!$E$8)))))*G636,0)</x:f>
        <x:v>6</x:v>
      </x:c>
      <x:c r="Q636" s="119" t="n">
        <x:f>ROUNDDOWN((IF(A636&gt;='材料与任务'!$E$31,'材料与任务'!$E$33,IF(A636&gt;='材料与任务'!$E$25,'材料与任务'!$E$27,IF(A636&gt;='材料与任务'!$E$19,'材料与任务'!$E$21,IF(A636&gt;='材料与任务'!$E$13,'材料与任务'!$E$15,'材料与任务'!$E$9)))))*G636,0)</x:f>
        <x:v>3</x:v>
      </x:c>
      <x:c r="R636" s="110" t="n">
        <x:f>'装备掉落'!$B$38</x:f>
        <x:v>0.6872058758851213</x:v>
      </x:c>
      <x:c r="S636" s="119" t="n">
        <x:f>MAX(IF(VLOOKUP(A636,'装备掉落'!$A$29:$H$34,2,TRUE)&gt;0,1,0),IF(VLOOKUP(A636,'装备掉落'!$A$29:$H$34,3,TRUE)&gt;0,2,0),IF(VLOOKUP(A636,'装备掉落'!$A$29:$H$34,4,TRUE)&gt;0,3,0),IF(VLOOKUP(A636,'装备掉落'!$A$29:$H$34,5,TRUE)&gt;0,4,0),IF(VLOOKUP(A636,'装备掉落'!$A$29:$H$34,6,TRUE)&gt;0,5,0),IF(VLOOKUP(A636,'装备掉落'!$A$29:$H$34,7,TRUE)&gt;0,6,0),IF(VLOOKUP(A636,'装备掉落'!$A$29:$H$34,8,TRUE)&gt;0,7,0))</x:f>
        <x:v>7</x:v>
      </x:c>
      <x:c r="T636" s="119" t="n">
        <x:f>MIN(7,S636+'经济参数'!$E$70)</x:f>
        <x:v>7</x:v>
      </x:c>
      <x:c r="U636" s="119" t="n">
        <x:f>MIN(7,S636+'经济参数'!$E$71)</x:f>
        <x:v>7</x:v>
      </x:c>
      <x:c r="V636" s="119" t="n">
        <x:f>IF(H636&gt;=('难度参数'!$E$52),1,0)+IF(H636&gt;=('难度参数'!$E$52+'难度参数'!$E$53),1,0)+IF(H636&gt;=('难度参数'!$E$52+'难度参数'!$E$53+'难度参数'!$E$54),1,0)+IF(H636&gt;=('难度参数'!$E$52+'难度参数'!$E$53+'难度参数'!$E$54+'难度参数'!$E$55),1,0)+IF(H636&gt;=('难度参数'!$E$52+'难度参数'!$E$53+'难度参数'!$E$54+'难度参数'!$E$55+'难度参数'!$E$56),1,0)+IF(H636&gt;=('难度参数'!$E$52+'难度参数'!$E$53+'难度参数'!$E$54+'难度参数'!$E$55+'难度参数'!$E$56+'难度参数'!$E$57),1,0)</x:f>
        <x:v>6</x:v>
      </x:c>
      <x:c r="W636" s="62" t="str">
        <x:f>IF(L636&gt;'难度参数'!$E$51,"仅出怪已超目标","还需实测")</x:f>
        <x:v>仅出怪已超目标</x:v>
      </x:c>
      <x:c r="X636" s="119" t="n">
        <x:f>IF(1&gt;D636,0,MAX(2,MIN('难度参数'!$E$12,ROUND(('难度参数'!$E$18*POWER(A636,'难度参数'!$E$19)/D636*(0.85+0.3*(1-1)/MAX(1,D636-1))),0)+F636)))</x:f>
        <x:v>38</x:v>
      </x:c>
      <x:c r="Y636" s="119" t="n">
        <x:f>IF(1&gt;D636,0,ROUND(('难度参数'!$E$13*POWER(A636,'难度参数'!$E$20)*MIN('难度参数'!$E$23,1+MAX(0,A636-'难度参数'!$E$21)*'难度参数'!$E$22))*(36+1*7)/(36+7*(D636+1)/2)*E636,0))</x:f>
        <x:v>9400</x:v>
      </x:c>
      <x:c r="Z636" s="119" t="n">
        <x:f>IF(X636=0,0,(X636-IF(1=D636,1,0))*ROUND(Y636*VLOOKUP(INDEX('章节与怪物'!$E$31:$K$37,B636,1),'章节与怪物'!$A$41:$F$44,2,FALSE),0)+IF(1=D636,ROUND(Y636*'难度参数'!$E$28*'章节与怪物'!$E$17,0),0))</x:f>
        <x:v>357200</x:v>
      </x:c>
      <x:c r="AA636" s="119" t="n">
        <x:f>IF(X636=0,0,(X636-IF(1=D636,1,0))*VLOOKUP(INDEX('章节与怪物'!$E$31:$K$37,B636,1),'章节与怪物'!$A$41:$F$44,4,FALSE)+IF(1=D636,'难度参数'!$E$30,0))</x:f>
        <x:v>684</x:v>
      </x:c>
      <x:c r="AB636" s="119" t="n">
        <x:f>IF(2&gt;D636,0,MAX(2,MIN('难度参数'!$E$12,ROUND(('难度参数'!$E$18*POWER(A636,'难度参数'!$E$19)/D636*(0.85+0.3*(2-1)/MAX(1,D636-1))),0)+F636)))</x:f>
        <x:v>40</x:v>
      </x:c>
      <x:c r="AC636" s="119" t="n">
        <x:f>IF(2&gt;D636,0,ROUND(('难度参数'!$E$13*POWER(A636,'难度参数'!$E$20)*MIN('难度参数'!$E$23,1+MAX(0,A636-'难度参数'!$E$21)*'难度参数'!$E$22))*(36+2*7)/(36+7*(D636+1)/2)*E636,0))</x:f>
        <x:v>10931</x:v>
      </x:c>
      <x:c r="AD636" s="119" t="n">
        <x:f>IF(AB636=0,0,(AB636-IF(2=D636,1,0))*ROUND(AC636*VLOOKUP(INDEX('章节与怪物'!$E$31:$K$37,B636,2),'章节与怪物'!$A$41:$F$44,2,FALSE),0)+IF(2=D636,ROUND(AC636*'难度参数'!$E$28*'章节与怪物'!$E$17,0),0))</x:f>
        <x:v>314800</x:v>
      </x:c>
      <x:c r="AE636" s="119" t="n">
        <x:f>IF(AB636=0,0,(AB636-IF(2=D636,1,0))*VLOOKUP(INDEX('章节与怪物'!$E$31:$K$37,B636,2),'章节与怪物'!$A$41:$F$44,4,FALSE)+IF(2=D636,'难度参数'!$E$30,0))</x:f>
        <x:v>800</x:v>
      </x:c>
      <x:c r="AF636" s="119" t="n">
        <x:f>IF(3&gt;D636,0,MAX(2,MIN('难度参数'!$E$12,ROUND(('难度参数'!$E$18*POWER(A636,'难度参数'!$E$19)/D636*(0.85+0.3*(3-1)/MAX(1,D636-1))),0)+F636)))</x:f>
        <x:v>43</x:v>
      </x:c>
      <x:c r="AG636" s="119" t="n">
        <x:f>IF(3&gt;D636,0,ROUND(('难度参数'!$E$13*POWER(A636,'难度参数'!$E$20)*MIN('难度参数'!$E$23,1+MAX(0,A636-'难度参数'!$E$21)*'难度参数'!$E$22))*(36+3*7)/(36+7*(D636+1)/2)*E636,0))</x:f>
        <x:v>12461</x:v>
      </x:c>
      <x:c r="AH636" s="119" t="n">
        <x:f>IF(AF636=0,0,(AF636-IF(3=D636,1,0))*ROUND(AG636*VLOOKUP(INDEX('章节与怪物'!$E$31:$K$37,B636,3),'章节与怪物'!$A$41:$F$44,2,FALSE),0)+IF(3=D636,ROUND(AG636*'难度参数'!$E$28*'章节与怪物'!$E$17,0),0))</x:f>
        <x:v>910912</x:v>
      </x:c>
      <x:c r="AI636" s="119" t="n">
        <x:f>IF(AF636=0,0,(AF636-IF(3=D636,1,0))*VLOOKUP(INDEX('章节与怪物'!$E$31:$K$37,B636,3),'章节与怪物'!$A$41:$F$44,4,FALSE)+IF(3=D636,'难度参数'!$E$30,0))</x:f>
        <x:v>1204</x:v>
      </x:c>
      <x:c r="AJ636" s="119" t="n">
        <x:f>IF(4&gt;D636,0,MAX(2,MIN('难度参数'!$E$12,ROUND(('难度参数'!$E$18*POWER(A636,'难度参数'!$E$19)/D636*(0.85+0.3*(4-1)/MAX(1,D636-1))),0)+F636)))</x:f>
        <x:v>45</x:v>
      </x:c>
      <x:c r="AK636" s="119" t="n">
        <x:f>IF(4&gt;D636,0,ROUND(('难度参数'!$E$13*POWER(A636,'难度参数'!$E$20)*MIN('难度参数'!$E$23,1+MAX(0,A636-'难度参数'!$E$21)*'难度参数'!$E$22))*(36+4*7)/(36+7*(D636+1)/2)*E636,0))</x:f>
        <x:v>13991</x:v>
      </x:c>
      <x:c r="AL636" s="119" t="n">
        <x:f>IF(AJ636=0,0,(AJ636-IF(4=D636,1,0))*ROUND(AK636*VLOOKUP(INDEX('章节与怪物'!$E$31:$K$37,B636,4),'章节与怪物'!$A$41:$F$44,2,FALSE),0)+IF(4=D636,ROUND(AK636*'难度参数'!$E$28*'章节与怪物'!$E$17,0),0))</x:f>
        <x:v>849960</x:v>
      </x:c>
      <x:c r="AM636" s="119" t="n">
        <x:f>IF(AJ636=0,0,(AJ636-IF(4=D636,1,0))*VLOOKUP(INDEX('章节与怪物'!$E$31:$K$37,B636,4),'章节与怪物'!$A$41:$F$44,4,FALSE)+IF(4=D636,'难度参数'!$E$30,0))</x:f>
        <x:v>1530</x:v>
      </x:c>
      <x:c r="AN636" s="119" t="n">
        <x:f>IF(5&gt;D636,0,MAX(2,MIN('难度参数'!$E$12,ROUND(('难度参数'!$E$18*POWER(A636,'难度参数'!$E$19)/D636*(0.85+0.3*(5-1)/MAX(1,D636-1))),0)+F636)))</x:f>
        <x:v>47</x:v>
      </x:c>
      <x:c r="AO636" s="119" t="n">
        <x:f>IF(5&gt;D636,0,ROUND(('难度参数'!$E$13*POWER(A636,'难度参数'!$E$20)*MIN('难度参数'!$E$23,1+MAX(0,A636-'难度参数'!$E$21)*'难度参数'!$E$22))*(36+5*7)/(36+7*(D636+1)/2)*E636,0))</x:f>
        <x:v>15522</x:v>
      </x:c>
      <x:c r="AP636" s="119" t="n">
        <x:f>IF(AN636=0,0,(AN636-IF(5=D636,1,0))*ROUND(AO636*VLOOKUP(INDEX('章节与怪物'!$E$31:$K$37,B636,5),'章节与怪物'!$A$41:$F$44,2,FALSE),0)+IF(5=D636,ROUND(AO636*'难度参数'!$E$28*'章节与怪物'!$E$17,0),0))</x:f>
        <x:v>525272</x:v>
      </x:c>
      <x:c r="AQ636" s="119" t="n">
        <x:f>IF(AN636=0,0,(AN636-IF(5=D636,1,0))*VLOOKUP(INDEX('章节与怪物'!$E$31:$K$37,B636,5),'章节与怪物'!$A$41:$F$44,4,FALSE)+IF(5=D636,'难度参数'!$E$30,0))</x:f>
        <x:v>940</x:v>
      </x:c>
      <x:c r="AR636" s="119" t="n">
        <x:f>IF(6&gt;D636,0,MAX(2,MIN('难度参数'!$E$12,ROUND(('难度参数'!$E$18*POWER(A636,'难度参数'!$E$19)/D636*(0.85+0.3*(6-1)/MAX(1,D636-1))),0)+F636)))</x:f>
        <x:v>49</x:v>
      </x:c>
      <x:c r="AS636" s="119" t="n">
        <x:f>IF(6&gt;D636,0,ROUND(('难度参数'!$E$13*POWER(A636,'难度参数'!$E$20)*MIN('难度参数'!$E$23,1+MAX(0,A636-'难度参数'!$E$21)*'难度参数'!$E$22))*(36+6*7)/(36+7*(D636+1)/2)*E636,0))</x:f>
        <x:v>17052</x:v>
      </x:c>
      <x:c r="AT636" s="119" t="n">
        <x:f>IF(AR636=0,0,(AR636-IF(6=D636,1,0))*ROUND(AS636*VLOOKUP(INDEX('章节与怪物'!$E$31:$K$37,B636,6),'章节与怪物'!$A$41:$F$44,2,FALSE),0)+IF(6=D636,ROUND(AS636*'难度参数'!$E$28*'章节与怪物'!$E$17,0),0))</x:f>
        <x:v>1420412</x:v>
      </x:c>
      <x:c r="AU636" s="119" t="n">
        <x:f>IF(AR636=0,0,(AR636-IF(6=D636,1,0))*VLOOKUP(INDEX('章节与怪物'!$E$31:$K$37,B636,6),'章节与怪物'!$A$41:$F$44,4,FALSE)+IF(6=D636,'难度参数'!$E$30,0))</x:f>
        <x:v>1372</x:v>
      </x:c>
      <x:c r="AV636" s="119" t="n">
        <x:f>IF(7&gt;D636,0,MAX(2,MIN('难度参数'!$E$12,ROUND(('难度参数'!$E$18*POWER(A636,'难度参数'!$E$19)/D636*(0.85+0.3*(7-1)/MAX(1,D636-1))),0)+F636)))</x:f>
        <x:v>52</x:v>
      </x:c>
      <x:c r="AW636" s="119" t="n">
        <x:f>IF(7&gt;D636,0,ROUND(('难度参数'!$E$13*POWER(A636,'难度参数'!$E$20)*MIN('难度参数'!$E$23,1+MAX(0,A636-'难度参数'!$E$21)*'难度参数'!$E$22))*(36+7*7)/(36+7*(D636+1)/2)*E636,0))</x:f>
        <x:v>18582</x:v>
      </x:c>
      <x:c r="AX636" s="119" t="n">
        <x:f>IF(AV636=0,0,(AV636-IF(7=D636,1,0))*ROUND(AW636*VLOOKUP(INDEX('章节与怪物'!$E$31:$K$37,B636,7),'章节与怪物'!$A$41:$F$44,2,FALSE),0)+IF(7=D636,ROUND(AW636*'难度参数'!$E$28*'章节与怪物'!$E$17,0),0))</x:f>
        <x:v>1405744</x:v>
      </x:c>
      <x:c r="AY636" s="119" t="n">
        <x:f>IF(AV636=0,0,(AV636-IF(7=D636,1,0))*VLOOKUP(INDEX('章节与怪物'!$E$31:$K$37,B636,7),'章节与怪物'!$A$41:$F$44,4,FALSE)+IF(7=D636,'难度参数'!$E$30,0))</x:f>
        <x:v>1934</x:v>
      </x:c>
    </x:row>
    <x:row r="637" ht="23" customHeight="1">
      <x:c r="A637" s="119" t="n">
        <x:v>631</x:v>
      </x:c>
      <x:c r="B637" s="119" t="n">
        <x:f>MOD(INT((A637-1)/5),7)+1</x:f>
        <x:v>1</x:v>
      </x:c>
      <x:c r="C637" s="62" t="str">
        <x:f>INDEX('章节与怪物'!$B$31:$B$37,B637)</x:f>
        <x:v>冰雪荒原</x:v>
      </x:c>
      <x:c r="D637" s="119" t="n">
        <x:f>MIN('难度参数'!$E$8,MAX('难度参数'!$E$7,A637))</x:f>
        <x:v>7</x:v>
      </x:c>
      <x:c r="E637" s="106" t="n">
        <x:v>1</x:v>
      </x:c>
      <x:c r="F637" s="106" t="n">
        <x:v>0</x:v>
      </x:c>
      <x:c r="G637" s="106" t="n">
        <x:v>1</x:v>
      </x:c>
      <x:c r="H637" s="119" t="n">
        <x:f>SUM(X637,AB637,AF637,AJ637,AN637,AR637,AV637)</x:f>
        <x:v>316</x:v>
      </x:c>
      <x:c r="I637" s="119" t="n">
        <x:f>SUM(Z637,AD637,AH637,AL637,AP637,AT637,AX637)</x:f>
        <x:v>5603938</x:v>
      </x:c>
      <x:c r="J637" s="119" t="n">
        <x:f>ROUND(INDEX(X637:AY637,1,(D637-1)*4+2)*'难度参数'!$E$28*'章节与怪物'!$E$17,0)</x:f>
        <x:v>126500</x:v>
      </x:c>
      <x:c r="K637" s="119" t="n">
        <x:f>SUM(AA637,AE637,AI637,AM637,AQ637,AU637,AY637)</x:f>
        <x:v>7768</x:v>
      </x:c>
      <x:c r="L637" s="62" t="n">
        <x:f>H637*(ROUNDUP('难度参数'!$E$24/('难度参数'!$E$26*'难度参数'!$E$27),0)*'难度参数'!$E$26)/60</x:f>
        <x:v>4.213333333333334</x:v>
      </x:c>
      <x:c r="M637" s="62" t="n">
        <x:f>L637+D637*('难度参数'!$E$49+'难度参数'!$E$50)/60</x:f>
        <x:v>5.380000000000001</x:v>
      </x:c>
      <x:c r="N637" s="119" t="n">
        <x:f>ROUNDDOWN(('经济参数'!$E$20+A637*'经济参数'!$E$21)*G637,0)</x:f>
        <x:v>12800</x:v>
      </x:c>
      <x:c r="O637" s="119" t="n">
        <x:f>ROUNDDOWN(MIN('经济参数'!$E$24,'经济参数'!$E$22+A637*'经济参数'!$E$23)*G637,0)</x:f>
        <x:v>0</x:v>
      </x:c>
      <x:c r="P637" s="119" t="n">
        <x:f>ROUNDDOWN((IF(A637&gt;='材料与任务'!$E$31,'材料与任务'!$E$32,IF(A637&gt;='材料与任务'!$E$25,'材料与任务'!$E$26,IF(A637&gt;='材料与任务'!$E$19,'材料与任务'!$E$20,IF(A637&gt;='材料与任务'!$E$13,'材料与任务'!$E$14,'材料与任务'!$E$8)))))*G637,0)</x:f>
        <x:v>6</x:v>
      </x:c>
      <x:c r="Q637" s="119" t="n">
        <x:f>ROUNDDOWN((IF(A637&gt;='材料与任务'!$E$31,'材料与任务'!$E$33,IF(A637&gt;='材料与任务'!$E$25,'材料与任务'!$E$27,IF(A637&gt;='材料与任务'!$E$19,'材料与任务'!$E$21,IF(A637&gt;='材料与任务'!$E$13,'材料与任务'!$E$15,'材料与任务'!$E$9)))))*G637,0)</x:f>
        <x:v>3</x:v>
      </x:c>
      <x:c r="R637" s="110" t="n">
        <x:f>'装备掉落'!$B$38</x:f>
        <x:v>0.6872058758851213</x:v>
      </x:c>
      <x:c r="S637" s="119" t="n">
        <x:f>MAX(IF(VLOOKUP(A637,'装备掉落'!$A$29:$H$34,2,TRUE)&gt;0,1,0),IF(VLOOKUP(A637,'装备掉落'!$A$29:$H$34,3,TRUE)&gt;0,2,0),IF(VLOOKUP(A637,'装备掉落'!$A$29:$H$34,4,TRUE)&gt;0,3,0),IF(VLOOKUP(A637,'装备掉落'!$A$29:$H$34,5,TRUE)&gt;0,4,0),IF(VLOOKUP(A637,'装备掉落'!$A$29:$H$34,6,TRUE)&gt;0,5,0),IF(VLOOKUP(A637,'装备掉落'!$A$29:$H$34,7,TRUE)&gt;0,6,0),IF(VLOOKUP(A637,'装备掉落'!$A$29:$H$34,8,TRUE)&gt;0,7,0))</x:f>
        <x:v>7</x:v>
      </x:c>
      <x:c r="T637" s="119" t="n">
        <x:f>MIN(7,S637+'经济参数'!$E$70)</x:f>
        <x:v>7</x:v>
      </x:c>
      <x:c r="U637" s="119" t="n">
        <x:f>MIN(7,S637+'经济参数'!$E$71)</x:f>
        <x:v>7</x:v>
      </x:c>
      <x:c r="V637" s="119" t="n">
        <x:f>IF(H637&gt;=('难度参数'!$E$52),1,0)+IF(H637&gt;=('难度参数'!$E$52+'难度参数'!$E$53),1,0)+IF(H637&gt;=('难度参数'!$E$52+'难度参数'!$E$53+'难度参数'!$E$54),1,0)+IF(H637&gt;=('难度参数'!$E$52+'难度参数'!$E$53+'难度参数'!$E$54+'难度参数'!$E$55),1,0)+IF(H637&gt;=('难度参数'!$E$52+'难度参数'!$E$53+'难度参数'!$E$54+'难度参数'!$E$55+'难度参数'!$E$56),1,0)+IF(H637&gt;=('难度参数'!$E$52+'难度参数'!$E$53+'难度参数'!$E$54+'难度参数'!$E$55+'难度参数'!$E$56+'难度参数'!$E$57),1,0)</x:f>
        <x:v>6</x:v>
      </x:c>
      <x:c r="W637" s="62" t="str">
        <x:f>IF(L637&gt;'难度参数'!$E$51,"仅出怪已超目标","还需实测")</x:f>
        <x:v>仅出怪已超目标</x:v>
      </x:c>
      <x:c r="X637" s="119" t="n">
        <x:f>IF(1&gt;D637,0,MAX(2,MIN('难度参数'!$E$12,ROUND(('难度参数'!$E$18*POWER(A637,'难度参数'!$E$19)/D637*(0.85+0.3*(1-1)/MAX(1,D637-1))),0)+F637)))</x:f>
        <x:v>38</x:v>
      </x:c>
      <x:c r="Y637" s="119" t="n">
        <x:f>IF(1&gt;D637,0,ROUND(('难度参数'!$E$13*POWER(A637,'难度参数'!$E$20)*MIN('难度参数'!$E$23,1+MAX(0,A637-'难度参数'!$E$21)*'难度参数'!$E$22))*(36+1*7)/(36+7*(D637+1)/2)*E637,0))</x:f>
        <x:v>9411</x:v>
      </x:c>
      <x:c r="Z637" s="119" t="n">
        <x:f>IF(X637=0,0,(X637-IF(1=D637,1,0))*ROUND(Y637*VLOOKUP(INDEX('章节与怪物'!$E$31:$K$37,B637,1),'章节与怪物'!$A$41:$F$44,2,FALSE),0)+IF(1=D637,ROUND(Y637*'难度参数'!$E$28*'章节与怪物'!$E$17,0),0))</x:f>
        <x:v>357618</x:v>
      </x:c>
      <x:c r="AA637" s="119" t="n">
        <x:f>IF(X637=0,0,(X637-IF(1=D637,1,0))*VLOOKUP(INDEX('章节与怪物'!$E$31:$K$37,B637,1),'章节与怪物'!$A$41:$F$44,4,FALSE)+IF(1=D637,'难度参数'!$E$30,0))</x:f>
        <x:v>684</x:v>
      </x:c>
      <x:c r="AB637" s="119" t="n">
        <x:f>IF(2&gt;D637,0,MAX(2,MIN('难度参数'!$E$12,ROUND(('难度参数'!$E$18*POWER(A637,'难度参数'!$E$19)/D637*(0.85+0.3*(2-1)/MAX(1,D637-1))),0)+F637)))</x:f>
        <x:v>41</x:v>
      </x:c>
      <x:c r="AC637" s="119" t="n">
        <x:f>IF(2&gt;D637,0,ROUND(('难度参数'!$E$13*POWER(A637,'难度参数'!$E$20)*MIN('难度参数'!$E$23,1+MAX(0,A637-'难度参数'!$E$21)*'难度参数'!$E$22))*(36+2*7)/(36+7*(D637+1)/2)*E637,0))</x:f>
        <x:v>10943</x:v>
      </x:c>
      <x:c r="AD637" s="119" t="n">
        <x:f>IF(AB637=0,0,(AB637-IF(2=D637,1,0))*ROUND(AC637*VLOOKUP(INDEX('章节与怪物'!$E$31:$K$37,B637,2),'章节与怪物'!$A$41:$F$44,2,FALSE),0)+IF(2=D637,ROUND(AC637*'难度参数'!$E$28*'章节与怪物'!$E$17,0),0))</x:f>
        <x:v>448663</x:v>
      </x:c>
      <x:c r="AE637" s="119" t="n">
        <x:f>IF(AB637=0,0,(AB637-IF(2=D637,1,0))*VLOOKUP(INDEX('章节与怪物'!$E$31:$K$37,B637,2),'章节与怪物'!$A$41:$F$44,4,FALSE)+IF(2=D637,'难度参数'!$E$30,0))</x:f>
        <x:v>738</x:v>
      </x:c>
      <x:c r="AF637" s="119" t="n">
        <x:f>IF(3&gt;D637,0,MAX(2,MIN('难度参数'!$E$12,ROUND(('难度参数'!$E$18*POWER(A637,'难度参数'!$E$19)/D637*(0.85+0.3*(3-1)/MAX(1,D637-1))),0)+F637)))</x:f>
        <x:v>43</x:v>
      </x:c>
      <x:c r="AG637" s="119" t="n">
        <x:f>IF(3&gt;D637,0,ROUND(('难度参数'!$E$13*POWER(A637,'难度参数'!$E$20)*MIN('难度参数'!$E$23,1+MAX(0,A637-'难度参数'!$E$21)*'难度参数'!$E$22))*(36+3*7)/(36+7*(D637+1)/2)*E637,0))</x:f>
        <x:v>12475</x:v>
      </x:c>
      <x:c r="AH637" s="119" t="n">
        <x:f>IF(AF637=0,0,(AF637-IF(3=D637,1,0))*ROUND(AG637*VLOOKUP(INDEX('章节与怪物'!$E$31:$K$37,B637,3),'章节与怪物'!$A$41:$F$44,2,FALSE),0)+IF(3=D637,ROUND(AG637*'难度参数'!$E$28*'章节与怪物'!$E$17,0),0))</x:f>
        <x:v>386226</x:v>
      </x:c>
      <x:c r="AI637" s="119" t="n">
        <x:f>IF(AF637=0,0,(AF637-IF(3=D637,1,0))*VLOOKUP(INDEX('章节与怪物'!$E$31:$K$37,B637,3),'章节与怪物'!$A$41:$F$44,4,FALSE)+IF(3=D637,'难度参数'!$E$30,0))</x:f>
        <x:v>860</x:v>
      </x:c>
      <x:c r="AJ637" s="119" t="n">
        <x:f>IF(4&gt;D637,0,MAX(2,MIN('难度参数'!$E$12,ROUND(('难度参数'!$E$18*POWER(A637,'难度参数'!$E$19)/D637*(0.85+0.3*(4-1)/MAX(1,D637-1))),0)+F637)))</x:f>
        <x:v>45</x:v>
      </x:c>
      <x:c r="AK637" s="119" t="n">
        <x:f>IF(4&gt;D637,0,ROUND(('难度参数'!$E$13*POWER(A637,'难度参数'!$E$20)*MIN('难度参数'!$E$23,1+MAX(0,A637-'难度参数'!$E$21)*'难度参数'!$E$22))*(36+4*7)/(36+7*(D637+1)/2)*E637,0))</x:f>
        <x:v>14007</x:v>
      </x:c>
      <x:c r="AL637" s="119" t="n">
        <x:f>IF(AJ637=0,0,(AJ637-IF(4=D637,1,0))*ROUND(AK637*VLOOKUP(INDEX('章节与怪物'!$E$31:$K$37,B637,4),'章节与怪物'!$A$41:$F$44,2,FALSE),0)+IF(4=D637,ROUND(AK637*'难度参数'!$E$28*'章节与怪物'!$E$17,0),0))</x:f>
        <x:v>1071540</x:v>
      </x:c>
      <x:c r="AM637" s="119" t="n">
        <x:f>IF(AJ637=0,0,(AJ637-IF(4=D637,1,0))*VLOOKUP(INDEX('章节与怪物'!$E$31:$K$37,B637,4),'章节与怪物'!$A$41:$F$44,4,FALSE)+IF(4=D637,'难度参数'!$E$30,0))</x:f>
        <x:v>1260</x:v>
      </x:c>
      <x:c r="AN637" s="119" t="n">
        <x:f>IF(5&gt;D637,0,MAX(2,MIN('难度参数'!$E$12,ROUND(('难度参数'!$E$18*POWER(A637,'难度参数'!$E$19)/D637*(0.85+0.3*(5-1)/MAX(1,D637-1))),0)+F637)))</x:f>
        <x:v>47</x:v>
      </x:c>
      <x:c r="AO637" s="119" t="n">
        <x:f>IF(5&gt;D637,0,ROUND(('难度参数'!$E$13*POWER(A637,'难度参数'!$E$20)*MIN('难度参数'!$E$23,1+MAX(0,A637-'难度参数'!$E$21)*'难度参数'!$E$22))*(36+5*7)/(36+7*(D637+1)/2)*E637,0))</x:f>
        <x:v>15539</x:v>
      </x:c>
      <x:c r="AP637" s="119" t="n">
        <x:f>IF(AN637=0,0,(AN637-IF(5=D637,1,0))*ROUND(AO637*VLOOKUP(INDEX('章节与怪物'!$E$31:$K$37,B637,5),'章节与怪物'!$A$41:$F$44,2,FALSE),0)+IF(5=D637,ROUND(AO637*'难度参数'!$E$28*'章节与怪物'!$E$17,0),0))</x:f>
        <x:v>985966</x:v>
      </x:c>
      <x:c r="AQ637" s="119" t="n">
        <x:f>IF(AN637=0,0,(AN637-IF(5=D637,1,0))*VLOOKUP(INDEX('章节与怪物'!$E$31:$K$37,B637,5),'章节与怪物'!$A$41:$F$44,4,FALSE)+IF(5=D637,'难度参数'!$E$30,0))</x:f>
        <x:v>1598</x:v>
      </x:c>
      <x:c r="AR637" s="119" t="n">
        <x:f>IF(6&gt;D637,0,MAX(2,MIN('难度参数'!$E$12,ROUND(('难度参数'!$E$18*POWER(A637,'难度参数'!$E$19)/D637*(0.85+0.3*(6-1)/MAX(1,D637-1))),0)+F637)))</x:f>
        <x:v>50</x:v>
      </x:c>
      <x:c r="AS637" s="119" t="n">
        <x:f>IF(6&gt;D637,0,ROUND(('难度参数'!$E$13*POWER(A637,'难度参数'!$E$20)*MIN('难度参数'!$E$23,1+MAX(0,A637-'难度参数'!$E$21)*'难度参数'!$E$22))*(36+6*7)/(36+7*(D637+1)/2)*E637,0))</x:f>
        <x:v>17071</x:v>
      </x:c>
      <x:c r="AT637" s="119" t="n">
        <x:f>IF(AR637=0,0,(AR637-IF(6=D637,1,0))*ROUND(AS637*VLOOKUP(INDEX('章节与怪物'!$E$31:$K$37,B637,6),'章节与怪物'!$A$41:$F$44,2,FALSE),0)+IF(6=D637,ROUND(AS637*'难度参数'!$E$28*'章节与怪物'!$E$17,0),0))</x:f>
        <x:v>614550</x:v>
      </x:c>
      <x:c r="AU637" s="119" t="n">
        <x:f>IF(AR637=0,0,(AR637-IF(6=D637,1,0))*VLOOKUP(INDEX('章节与怪物'!$E$31:$K$37,B637,6),'章节与怪物'!$A$41:$F$44,4,FALSE)+IF(6=D637,'难度参数'!$E$30,0))</x:f>
        <x:v>1000</x:v>
      </x:c>
      <x:c r="AV637" s="119" t="n">
        <x:f>IF(7&gt;D637,0,MAX(2,MIN('难度参数'!$E$12,ROUND(('难度参数'!$E$18*POWER(A637,'难度参数'!$E$19)/D637*(0.85+0.3*(7-1)/MAX(1,D637-1))),0)+F637)))</x:f>
        <x:v>52</x:v>
      </x:c>
      <x:c r="AW637" s="119" t="n">
        <x:f>IF(7&gt;D637,0,ROUND(('难度参数'!$E$13*POWER(A637,'难度参数'!$E$20)*MIN('难度参数'!$E$23,1+MAX(0,A637-'难度参数'!$E$21)*'难度参数'!$E$22))*(36+7*7)/(36+7*(D637+1)/2)*E637,0))</x:f>
        <x:v>18603</x:v>
      </x:c>
      <x:c r="AX637" s="119" t="n">
        <x:f>IF(AV637=0,0,(AV637-IF(7=D637,1,0))*ROUND(AW637*VLOOKUP(INDEX('章节与怪物'!$E$31:$K$37,B637,7),'章节与怪物'!$A$41:$F$44,2,FALSE),0)+IF(7=D637,ROUND(AW637*'难度参数'!$E$28*'章节与怪物'!$E$17,0),0))</x:f>
        <x:v>1739375</x:v>
      </x:c>
      <x:c r="AY637" s="119" t="n">
        <x:f>IF(AV637=0,0,(AV637-IF(7=D637,1,0))*VLOOKUP(INDEX('章节与怪物'!$E$31:$K$37,B637,7),'章节与怪物'!$A$41:$F$44,4,FALSE)+IF(7=D637,'难度参数'!$E$30,0))</x:f>
        <x:v>1628</x:v>
      </x:c>
    </x:row>
    <x:row r="638" ht="23" customHeight="1">
      <x:c r="A638" s="119" t="n">
        <x:v>632</x:v>
      </x:c>
      <x:c r="B638" s="119" t="n">
        <x:f>MOD(INT((A638-1)/5),7)+1</x:f>
        <x:v>1</x:v>
      </x:c>
      <x:c r="C638" s="62" t="str">
        <x:f>INDEX('章节与怪物'!$B$31:$B$37,B638)</x:f>
        <x:v>冰雪荒原</x:v>
      </x:c>
      <x:c r="D638" s="119" t="n">
        <x:f>MIN('难度参数'!$E$8,MAX('难度参数'!$E$7,A638))</x:f>
        <x:v>7</x:v>
      </x:c>
      <x:c r="E638" s="106" t="n">
        <x:v>1</x:v>
      </x:c>
      <x:c r="F638" s="106" t="n">
        <x:v>0</x:v>
      </x:c>
      <x:c r="G638" s="106" t="n">
        <x:v>1</x:v>
      </x:c>
      <x:c r="H638" s="119" t="n">
        <x:f>SUM(X638,AB638,AF638,AJ638,AN638,AR638,AV638)</x:f>
        <x:v>316</x:v>
      </x:c>
      <x:c r="I638" s="119" t="n">
        <x:f>SUM(Z638,AD638,AH638,AL638,AP638,AT638,AX638)</x:f>
        <x:v>5610500</x:v>
      </x:c>
      <x:c r="J638" s="119" t="n">
        <x:f>ROUND(INDEX(X638:AY638,1,(D638-1)*4+2)*'难度参数'!$E$28*'章节与怪物'!$E$17,0)</x:f>
        <x:v>126650</x:v>
      </x:c>
      <x:c r="K638" s="119" t="n">
        <x:f>SUM(AA638,AE638,AI638,AM638,AQ638,AU638,AY638)</x:f>
        <x:v>7768</x:v>
      </x:c>
      <x:c r="L638" s="62" t="n">
        <x:f>H638*(ROUNDUP('难度参数'!$E$24/('难度参数'!$E$26*'难度参数'!$E$27),0)*'难度参数'!$E$26)/60</x:f>
        <x:v>4.213333333333334</x:v>
      </x:c>
      <x:c r="M638" s="62" t="n">
        <x:f>L638+D638*('难度参数'!$E$49+'难度参数'!$E$50)/60</x:f>
        <x:v>5.380000000000001</x:v>
      </x:c>
      <x:c r="N638" s="119" t="n">
        <x:f>ROUNDDOWN(('经济参数'!$E$20+A638*'经济参数'!$E$21)*G638,0)</x:f>
        <x:v>12820</x:v>
      </x:c>
      <x:c r="O638" s="119" t="n">
        <x:f>ROUNDDOWN(MIN('经济参数'!$E$24,'经济参数'!$E$22+A638*'经济参数'!$E$23)*G638,0)</x:f>
        <x:v>0</x:v>
      </x:c>
      <x:c r="P638" s="119" t="n">
        <x:f>ROUNDDOWN((IF(A638&gt;='材料与任务'!$E$31,'材料与任务'!$E$32,IF(A638&gt;='材料与任务'!$E$25,'材料与任务'!$E$26,IF(A638&gt;='材料与任务'!$E$19,'材料与任务'!$E$20,IF(A638&gt;='材料与任务'!$E$13,'材料与任务'!$E$14,'材料与任务'!$E$8)))))*G638,0)</x:f>
        <x:v>6</x:v>
      </x:c>
      <x:c r="Q638" s="119" t="n">
        <x:f>ROUNDDOWN((IF(A638&gt;='材料与任务'!$E$31,'材料与任务'!$E$33,IF(A638&gt;='材料与任务'!$E$25,'材料与任务'!$E$27,IF(A638&gt;='材料与任务'!$E$19,'材料与任务'!$E$21,IF(A638&gt;='材料与任务'!$E$13,'材料与任务'!$E$15,'材料与任务'!$E$9)))))*G638,0)</x:f>
        <x:v>3</x:v>
      </x:c>
      <x:c r="R638" s="110" t="n">
        <x:f>'装备掉落'!$B$38</x:f>
        <x:v>0.6872058758851213</x:v>
      </x:c>
      <x:c r="S638" s="119" t="n">
        <x:f>MAX(IF(VLOOKUP(A638,'装备掉落'!$A$29:$H$34,2,TRUE)&gt;0,1,0),IF(VLOOKUP(A638,'装备掉落'!$A$29:$H$34,3,TRUE)&gt;0,2,0),IF(VLOOKUP(A638,'装备掉落'!$A$29:$H$34,4,TRUE)&gt;0,3,0),IF(VLOOKUP(A638,'装备掉落'!$A$29:$H$34,5,TRUE)&gt;0,4,0),IF(VLOOKUP(A638,'装备掉落'!$A$29:$H$34,6,TRUE)&gt;0,5,0),IF(VLOOKUP(A638,'装备掉落'!$A$29:$H$34,7,TRUE)&gt;0,6,0),IF(VLOOKUP(A638,'装备掉落'!$A$29:$H$34,8,TRUE)&gt;0,7,0))</x:f>
        <x:v>7</x:v>
      </x:c>
      <x:c r="T638" s="119" t="n">
        <x:f>MIN(7,S638+'经济参数'!$E$70)</x:f>
        <x:v>7</x:v>
      </x:c>
      <x:c r="U638" s="119" t="n">
        <x:f>MIN(7,S638+'经济参数'!$E$71)</x:f>
        <x:v>7</x:v>
      </x:c>
      <x:c r="V638" s="119" t="n">
        <x:f>IF(H638&gt;=('难度参数'!$E$52),1,0)+IF(H638&gt;=('难度参数'!$E$52+'难度参数'!$E$53),1,0)+IF(H638&gt;=('难度参数'!$E$52+'难度参数'!$E$53+'难度参数'!$E$54),1,0)+IF(H638&gt;=('难度参数'!$E$52+'难度参数'!$E$53+'难度参数'!$E$54+'难度参数'!$E$55),1,0)+IF(H638&gt;=('难度参数'!$E$52+'难度参数'!$E$53+'难度参数'!$E$54+'难度参数'!$E$55+'难度参数'!$E$56),1,0)+IF(H638&gt;=('难度参数'!$E$52+'难度参数'!$E$53+'难度参数'!$E$54+'难度参数'!$E$55+'难度参数'!$E$56+'难度参数'!$E$57),1,0)</x:f>
        <x:v>6</x:v>
      </x:c>
      <x:c r="W638" s="62" t="str">
        <x:f>IF(L638&gt;'难度参数'!$E$51,"仅出怪已超目标","还需实测")</x:f>
        <x:v>仅出怪已超目标</x:v>
      </x:c>
      <x:c r="X638" s="119" t="n">
        <x:f>IF(1&gt;D638,0,MAX(2,MIN('难度参数'!$E$12,ROUND(('难度参数'!$E$18*POWER(A638,'难度参数'!$E$19)/D638*(0.85+0.3*(1-1)/MAX(1,D638-1))),0)+F638)))</x:f>
        <x:v>38</x:v>
      </x:c>
      <x:c r="Y638" s="119" t="n">
        <x:f>IF(1&gt;D638,0,ROUND(('难度参数'!$E$13*POWER(A638,'难度参数'!$E$20)*MIN('难度参数'!$E$23,1+MAX(0,A638-'难度参数'!$E$21)*'难度参数'!$E$22))*(36+1*7)/(36+7*(D638+1)/2)*E638,0))</x:f>
        <x:v>9422</x:v>
      </x:c>
      <x:c r="Z638" s="119" t="n">
        <x:f>IF(X638=0,0,(X638-IF(1=D638,1,0))*ROUND(Y638*VLOOKUP(INDEX('章节与怪物'!$E$31:$K$37,B638,1),'章节与怪物'!$A$41:$F$44,2,FALSE),0)+IF(1=D638,ROUND(Y638*'难度参数'!$E$28*'章节与怪物'!$E$17,0),0))</x:f>
        <x:v>358036</x:v>
      </x:c>
      <x:c r="AA638" s="119" t="n">
        <x:f>IF(X638=0,0,(X638-IF(1=D638,1,0))*VLOOKUP(INDEX('章节与怪物'!$E$31:$K$37,B638,1),'章节与怪物'!$A$41:$F$44,4,FALSE)+IF(1=D638,'难度参数'!$E$30,0))</x:f>
        <x:v>684</x:v>
      </x:c>
      <x:c r="AB638" s="119" t="n">
        <x:f>IF(2&gt;D638,0,MAX(2,MIN('难度参数'!$E$12,ROUND(('难度参数'!$E$18*POWER(A638,'难度参数'!$E$19)/D638*(0.85+0.3*(2-1)/MAX(1,D638-1))),0)+F638)))</x:f>
        <x:v>41</x:v>
      </x:c>
      <x:c r="AC638" s="119" t="n">
        <x:f>IF(2&gt;D638,0,ROUND(('难度参数'!$E$13*POWER(A638,'难度参数'!$E$20)*MIN('难度参数'!$E$23,1+MAX(0,A638-'难度参数'!$E$21)*'难度参数'!$E$22))*(36+2*7)/(36+7*(D638+1)/2)*E638,0))</x:f>
        <x:v>10956</x:v>
      </x:c>
      <x:c r="AD638" s="119" t="n">
        <x:f>IF(AB638=0,0,(AB638-IF(2=D638,1,0))*ROUND(AC638*VLOOKUP(INDEX('章节与怪物'!$E$31:$K$37,B638,2),'章节与怪物'!$A$41:$F$44,2,FALSE),0)+IF(2=D638,ROUND(AC638*'难度参数'!$E$28*'章节与怪物'!$E$17,0),0))</x:f>
        <x:v>449196</x:v>
      </x:c>
      <x:c r="AE638" s="119" t="n">
        <x:f>IF(AB638=0,0,(AB638-IF(2=D638,1,0))*VLOOKUP(INDEX('章节与怪物'!$E$31:$K$37,B638,2),'章节与怪物'!$A$41:$F$44,4,FALSE)+IF(2=D638,'难度参数'!$E$30,0))</x:f>
        <x:v>738</x:v>
      </x:c>
      <x:c r="AF638" s="119" t="n">
        <x:f>IF(3&gt;D638,0,MAX(2,MIN('难度参数'!$E$12,ROUND(('难度参数'!$E$18*POWER(A638,'难度参数'!$E$19)/D638*(0.85+0.3*(3-1)/MAX(1,D638-1))),0)+F638)))</x:f>
        <x:v>43</x:v>
      </x:c>
      <x:c r="AG638" s="119" t="n">
        <x:f>IF(3&gt;D638,0,ROUND(('难度参数'!$E$13*POWER(A638,'难度参数'!$E$20)*MIN('难度参数'!$E$23,1+MAX(0,A638-'难度参数'!$E$21)*'难度参数'!$E$22))*(36+3*7)/(36+7*(D638+1)/2)*E638,0))</x:f>
        <x:v>12489</x:v>
      </x:c>
      <x:c r="AH638" s="119" t="n">
        <x:f>IF(AF638=0,0,(AF638-IF(3=D638,1,0))*ROUND(AG638*VLOOKUP(INDEX('章节与怪物'!$E$31:$K$37,B638,3),'章节与怪物'!$A$41:$F$44,2,FALSE),0)+IF(3=D638,ROUND(AG638*'难度参数'!$E$28*'章节与怪物'!$E$17,0),0))</x:f>
        <x:v>386656</x:v>
      </x:c>
      <x:c r="AI638" s="119" t="n">
        <x:f>IF(AF638=0,0,(AF638-IF(3=D638,1,0))*VLOOKUP(INDEX('章节与怪物'!$E$31:$K$37,B638,3),'章节与怪物'!$A$41:$F$44,4,FALSE)+IF(3=D638,'难度参数'!$E$30,0))</x:f>
        <x:v>860</x:v>
      </x:c>
      <x:c r="AJ638" s="119" t="n">
        <x:f>IF(4&gt;D638,0,MAX(2,MIN('难度参数'!$E$12,ROUND(('难度参数'!$E$18*POWER(A638,'难度参数'!$E$19)/D638*(0.85+0.3*(4-1)/MAX(1,D638-1))),0)+F638)))</x:f>
        <x:v>45</x:v>
      </x:c>
      <x:c r="AK638" s="119" t="n">
        <x:f>IF(4&gt;D638,0,ROUND(('难度参数'!$E$13*POWER(A638,'难度参数'!$E$20)*MIN('难度参数'!$E$23,1+MAX(0,A638-'难度参数'!$E$21)*'难度参数'!$E$22))*(36+4*7)/(36+7*(D638+1)/2)*E638,0))</x:f>
        <x:v>14023</x:v>
      </x:c>
      <x:c r="AL638" s="119" t="n">
        <x:f>IF(AJ638=0,0,(AJ638-IF(4=D638,1,0))*ROUND(AK638*VLOOKUP(INDEX('章节与怪物'!$E$31:$K$37,B638,4),'章节与怪物'!$A$41:$F$44,2,FALSE),0)+IF(4=D638,ROUND(AK638*'难度参数'!$E$28*'章节与怪物'!$E$17,0),0))</x:f>
        <x:v>1072755</x:v>
      </x:c>
      <x:c r="AM638" s="119" t="n">
        <x:f>IF(AJ638=0,0,(AJ638-IF(4=D638,1,0))*VLOOKUP(INDEX('章节与怪物'!$E$31:$K$37,B638,4),'章节与怪物'!$A$41:$F$44,4,FALSE)+IF(4=D638,'难度参数'!$E$30,0))</x:f>
        <x:v>1260</x:v>
      </x:c>
      <x:c r="AN638" s="119" t="n">
        <x:f>IF(5&gt;D638,0,MAX(2,MIN('难度参数'!$E$12,ROUND(('难度参数'!$E$18*POWER(A638,'难度参数'!$E$19)/D638*(0.85+0.3*(5-1)/MAX(1,D638-1))),0)+F638)))</x:f>
        <x:v>47</x:v>
      </x:c>
      <x:c r="AO638" s="119" t="n">
        <x:f>IF(5&gt;D638,0,ROUND(('难度参数'!$E$13*POWER(A638,'难度参数'!$E$20)*MIN('难度参数'!$E$23,1+MAX(0,A638-'难度参数'!$E$21)*'难度参数'!$E$22))*(36+5*7)/(36+7*(D638+1)/2)*E638,0))</x:f>
        <x:v>15557</x:v>
      </x:c>
      <x:c r="AP638" s="119" t="n">
        <x:f>IF(AN638=0,0,(AN638-IF(5=D638,1,0))*ROUND(AO638*VLOOKUP(INDEX('章节与怪物'!$E$31:$K$37,B638,5),'章节与怪物'!$A$41:$F$44,2,FALSE),0)+IF(5=D638,ROUND(AO638*'难度参数'!$E$28*'章节与怪物'!$E$17,0),0))</x:f>
        <x:v>987094</x:v>
      </x:c>
      <x:c r="AQ638" s="119" t="n">
        <x:f>IF(AN638=0,0,(AN638-IF(5=D638,1,0))*VLOOKUP(INDEX('章节与怪物'!$E$31:$K$37,B638,5),'章节与怪物'!$A$41:$F$44,4,FALSE)+IF(5=D638,'难度参数'!$E$30,0))</x:f>
        <x:v>1598</x:v>
      </x:c>
      <x:c r="AR638" s="119" t="n">
        <x:f>IF(6&gt;D638,0,MAX(2,MIN('难度参数'!$E$12,ROUND(('难度参数'!$E$18*POWER(A638,'难度参数'!$E$19)/D638*(0.85+0.3*(6-1)/MAX(1,D638-1))),0)+F638)))</x:f>
        <x:v>50</x:v>
      </x:c>
      <x:c r="AS638" s="119" t="n">
        <x:f>IF(6&gt;D638,0,ROUND(('难度参数'!$E$13*POWER(A638,'难度参数'!$E$20)*MIN('难度参数'!$E$23,1+MAX(0,A638-'难度参数'!$E$21)*'难度参数'!$E$22))*(36+6*7)/(36+7*(D638+1)/2)*E638,0))</x:f>
        <x:v>17091</x:v>
      </x:c>
      <x:c r="AT638" s="119" t="n">
        <x:f>IF(AR638=0,0,(AR638-IF(6=D638,1,0))*ROUND(AS638*VLOOKUP(INDEX('章节与怪物'!$E$31:$K$37,B638,6),'章节与怪物'!$A$41:$F$44,2,FALSE),0)+IF(6=D638,ROUND(AS638*'难度参数'!$E$28*'章节与怪物'!$E$17,0),0))</x:f>
        <x:v>615300</x:v>
      </x:c>
      <x:c r="AU638" s="119" t="n">
        <x:f>IF(AR638=0,0,(AR638-IF(6=D638,1,0))*VLOOKUP(INDEX('章节与怪物'!$E$31:$K$37,B638,6),'章节与怪物'!$A$41:$F$44,4,FALSE)+IF(6=D638,'难度参数'!$E$30,0))</x:f>
        <x:v>1000</x:v>
      </x:c>
      <x:c r="AV638" s="119" t="n">
        <x:f>IF(7&gt;D638,0,MAX(2,MIN('难度参数'!$E$12,ROUND(('难度参数'!$E$18*POWER(A638,'难度参数'!$E$19)/D638*(0.85+0.3*(7-1)/MAX(1,D638-1))),0)+F638)))</x:f>
        <x:v>52</x:v>
      </x:c>
      <x:c r="AW638" s="119" t="n">
        <x:f>IF(7&gt;D638,0,ROUND(('难度参数'!$E$13*POWER(A638,'难度参数'!$E$20)*MIN('难度参数'!$E$23,1+MAX(0,A638-'难度参数'!$E$21)*'难度参数'!$E$22))*(36+7*7)/(36+7*(D638+1)/2)*E638,0))</x:f>
        <x:v>18625</x:v>
      </x:c>
      <x:c r="AX638" s="119" t="n">
        <x:f>IF(AV638=0,0,(AV638-IF(7=D638,1,0))*ROUND(AW638*VLOOKUP(INDEX('章节与怪物'!$E$31:$K$37,B638,7),'章节与怪物'!$A$41:$F$44,2,FALSE),0)+IF(7=D638,ROUND(AW638*'难度参数'!$E$28*'章节与怪物'!$E$17,0),0))</x:f>
        <x:v>1741463</x:v>
      </x:c>
      <x:c r="AY638" s="119" t="n">
        <x:f>IF(AV638=0,0,(AV638-IF(7=D638,1,0))*VLOOKUP(INDEX('章节与怪物'!$E$31:$K$37,B638,7),'章节与怪物'!$A$41:$F$44,4,FALSE)+IF(7=D638,'难度参数'!$E$30,0))</x:f>
        <x:v>1628</x:v>
      </x:c>
    </x:row>
    <x:row r="639" ht="23" customHeight="1">
      <x:c r="A639" s="119" t="n">
        <x:v>633</x:v>
      </x:c>
      <x:c r="B639" s="119" t="n">
        <x:f>MOD(INT((A639-1)/5),7)+1</x:f>
        <x:v>1</x:v>
      </x:c>
      <x:c r="C639" s="62" t="str">
        <x:f>INDEX('章节与怪物'!$B$31:$B$37,B639)</x:f>
        <x:v>冰雪荒原</x:v>
      </x:c>
      <x:c r="D639" s="119" t="n">
        <x:f>MIN('难度参数'!$E$8,MAX('难度参数'!$E$7,A639))</x:f>
        <x:v>7</x:v>
      </x:c>
      <x:c r="E639" s="106" t="n">
        <x:v>1</x:v>
      </x:c>
      <x:c r="F639" s="106" t="n">
        <x:v>0</x:v>
      </x:c>
      <x:c r="G639" s="106" t="n">
        <x:v>1</x:v>
      </x:c>
      <x:c r="H639" s="119" t="n">
        <x:f>SUM(X639,AB639,AF639,AJ639,AN639,AR639,AV639)</x:f>
        <x:v>316</x:v>
      </x:c>
      <x:c r="I639" s="119" t="n">
        <x:f>SUM(Z639,AD639,AH639,AL639,AP639,AT639,AX639)</x:f>
        <x:v>5616804</x:v>
      </x:c>
      <x:c r="J639" s="119" t="n">
        <x:f>ROUND(INDEX(X639:AY639,1,(D639-1)*4+2)*'难度参数'!$E$28*'章节与怪物'!$E$17,0)</x:f>
        <x:v>126793</x:v>
      </x:c>
      <x:c r="K639" s="119" t="n">
        <x:f>SUM(AA639,AE639,AI639,AM639,AQ639,AU639,AY639)</x:f>
        <x:v>7768</x:v>
      </x:c>
      <x:c r="L639" s="62" t="n">
        <x:f>H639*(ROUNDUP('难度参数'!$E$24/('难度参数'!$E$26*'难度参数'!$E$27),0)*'难度参数'!$E$26)/60</x:f>
        <x:v>4.213333333333334</x:v>
      </x:c>
      <x:c r="M639" s="62" t="n">
        <x:f>L639+D639*('难度参数'!$E$49+'难度参数'!$E$50)/60</x:f>
        <x:v>5.380000000000001</x:v>
      </x:c>
      <x:c r="N639" s="119" t="n">
        <x:f>ROUNDDOWN(('经济参数'!$E$20+A639*'经济参数'!$E$21)*G639,0)</x:f>
        <x:v>12840</x:v>
      </x:c>
      <x:c r="O639" s="119" t="n">
        <x:f>ROUNDDOWN(MIN('经济参数'!$E$24,'经济参数'!$E$22+A639*'经济参数'!$E$23)*G639,0)</x:f>
        <x:v>0</x:v>
      </x:c>
      <x:c r="P639" s="119" t="n">
        <x:f>ROUNDDOWN((IF(A639&gt;='材料与任务'!$E$31,'材料与任务'!$E$32,IF(A639&gt;='材料与任务'!$E$25,'材料与任务'!$E$26,IF(A639&gt;='材料与任务'!$E$19,'材料与任务'!$E$20,IF(A639&gt;='材料与任务'!$E$13,'材料与任务'!$E$14,'材料与任务'!$E$8)))))*G639,0)</x:f>
        <x:v>6</x:v>
      </x:c>
      <x:c r="Q639" s="119" t="n">
        <x:f>ROUNDDOWN((IF(A639&gt;='材料与任务'!$E$31,'材料与任务'!$E$33,IF(A639&gt;='材料与任务'!$E$25,'材料与任务'!$E$27,IF(A639&gt;='材料与任务'!$E$19,'材料与任务'!$E$21,IF(A639&gt;='材料与任务'!$E$13,'材料与任务'!$E$15,'材料与任务'!$E$9)))))*G639,0)</x:f>
        <x:v>3</x:v>
      </x:c>
      <x:c r="R639" s="110" t="n">
        <x:f>'装备掉落'!$B$38</x:f>
        <x:v>0.6872058758851213</x:v>
      </x:c>
      <x:c r="S639" s="119" t="n">
        <x:f>MAX(IF(VLOOKUP(A639,'装备掉落'!$A$29:$H$34,2,TRUE)&gt;0,1,0),IF(VLOOKUP(A639,'装备掉落'!$A$29:$H$34,3,TRUE)&gt;0,2,0),IF(VLOOKUP(A639,'装备掉落'!$A$29:$H$34,4,TRUE)&gt;0,3,0),IF(VLOOKUP(A639,'装备掉落'!$A$29:$H$34,5,TRUE)&gt;0,4,0),IF(VLOOKUP(A639,'装备掉落'!$A$29:$H$34,6,TRUE)&gt;0,5,0),IF(VLOOKUP(A639,'装备掉落'!$A$29:$H$34,7,TRUE)&gt;0,6,0),IF(VLOOKUP(A639,'装备掉落'!$A$29:$H$34,8,TRUE)&gt;0,7,0))</x:f>
        <x:v>7</x:v>
      </x:c>
      <x:c r="T639" s="119" t="n">
        <x:f>MIN(7,S639+'经济参数'!$E$70)</x:f>
        <x:v>7</x:v>
      </x:c>
      <x:c r="U639" s="119" t="n">
        <x:f>MIN(7,S639+'经济参数'!$E$71)</x:f>
        <x:v>7</x:v>
      </x:c>
      <x:c r="V639" s="119" t="n">
        <x:f>IF(H639&gt;=('难度参数'!$E$52),1,0)+IF(H639&gt;=('难度参数'!$E$52+'难度参数'!$E$53),1,0)+IF(H639&gt;=('难度参数'!$E$52+'难度参数'!$E$53+'难度参数'!$E$54),1,0)+IF(H639&gt;=('难度参数'!$E$52+'难度参数'!$E$53+'难度参数'!$E$54+'难度参数'!$E$55),1,0)+IF(H639&gt;=('难度参数'!$E$52+'难度参数'!$E$53+'难度参数'!$E$54+'难度参数'!$E$55+'难度参数'!$E$56),1,0)+IF(H639&gt;=('难度参数'!$E$52+'难度参数'!$E$53+'难度参数'!$E$54+'难度参数'!$E$55+'难度参数'!$E$56+'难度参数'!$E$57),1,0)</x:f>
        <x:v>6</x:v>
      </x:c>
      <x:c r="W639" s="62" t="str">
        <x:f>IF(L639&gt;'难度参数'!$E$51,"仅出怪已超目标","还需实测")</x:f>
        <x:v>仅出怪已超目标</x:v>
      </x:c>
      <x:c r="X639" s="119" t="n">
        <x:f>IF(1&gt;D639,0,MAX(2,MIN('难度参数'!$E$12,ROUND(('难度参数'!$E$18*POWER(A639,'难度参数'!$E$19)/D639*(0.85+0.3*(1-1)/MAX(1,D639-1))),0)+F639)))</x:f>
        <x:v>38</x:v>
      </x:c>
      <x:c r="Y639" s="119" t="n">
        <x:f>IF(1&gt;D639,0,ROUND(('难度参数'!$E$13*POWER(A639,'难度参数'!$E$20)*MIN('难度参数'!$E$23,1+MAX(0,A639-'难度参数'!$E$21)*'难度参数'!$E$22))*(36+1*7)/(36+7*(D639+1)/2)*E639,0))</x:f>
        <x:v>9433</x:v>
      </x:c>
      <x:c r="Z639" s="119" t="n">
        <x:f>IF(X639=0,0,(X639-IF(1=D639,1,0))*ROUND(Y639*VLOOKUP(INDEX('章节与怪物'!$E$31:$K$37,B639,1),'章节与怪物'!$A$41:$F$44,2,FALSE),0)+IF(1=D639,ROUND(Y639*'难度参数'!$E$28*'章节与怪物'!$E$17,0),0))</x:f>
        <x:v>358454</x:v>
      </x:c>
      <x:c r="AA639" s="119" t="n">
        <x:f>IF(X639=0,0,(X639-IF(1=D639,1,0))*VLOOKUP(INDEX('章节与怪物'!$E$31:$K$37,B639,1),'章节与怪物'!$A$41:$F$44,4,FALSE)+IF(1=D639,'难度参数'!$E$30,0))</x:f>
        <x:v>684</x:v>
      </x:c>
      <x:c r="AB639" s="119" t="n">
        <x:f>IF(2&gt;D639,0,MAX(2,MIN('难度参数'!$E$12,ROUND(('难度参数'!$E$18*POWER(A639,'难度参数'!$E$19)/D639*(0.85+0.3*(2-1)/MAX(1,D639-1))),0)+F639)))</x:f>
        <x:v>41</x:v>
      </x:c>
      <x:c r="AC639" s="119" t="n">
        <x:f>IF(2&gt;D639,0,ROUND(('难度参数'!$E$13*POWER(A639,'难度参数'!$E$20)*MIN('难度参数'!$E$23,1+MAX(0,A639-'难度参数'!$E$21)*'难度参数'!$E$22))*(36+2*7)/(36+7*(D639+1)/2)*E639,0))</x:f>
        <x:v>10968</x:v>
      </x:c>
      <x:c r="AD639" s="119" t="n">
        <x:f>IF(AB639=0,0,(AB639-IF(2=D639,1,0))*ROUND(AC639*VLOOKUP(INDEX('章节与怪物'!$E$31:$K$37,B639,2),'章节与怪物'!$A$41:$F$44,2,FALSE),0)+IF(2=D639,ROUND(AC639*'难度参数'!$E$28*'章节与怪物'!$E$17,0),0))</x:f>
        <x:v>449688</x:v>
      </x:c>
      <x:c r="AE639" s="119" t="n">
        <x:f>IF(AB639=0,0,(AB639-IF(2=D639,1,0))*VLOOKUP(INDEX('章节与怪物'!$E$31:$K$37,B639,2),'章节与怪物'!$A$41:$F$44,4,FALSE)+IF(2=D639,'难度参数'!$E$30,0))</x:f>
        <x:v>738</x:v>
      </x:c>
      <x:c r="AF639" s="119" t="n">
        <x:f>IF(3&gt;D639,0,MAX(2,MIN('难度参数'!$E$12,ROUND(('难度参数'!$E$18*POWER(A639,'难度参数'!$E$19)/D639*(0.85+0.3*(3-1)/MAX(1,D639-1))),0)+F639)))</x:f>
        <x:v>43</x:v>
      </x:c>
      <x:c r="AG639" s="119" t="n">
        <x:f>IF(3&gt;D639,0,ROUND(('难度参数'!$E$13*POWER(A639,'难度参数'!$E$20)*MIN('难度参数'!$E$23,1+MAX(0,A639-'难度参数'!$E$21)*'难度参数'!$E$22))*(36+3*7)/(36+7*(D639+1)/2)*E639,0))</x:f>
        <x:v>12504</x:v>
      </x:c>
      <x:c r="AH639" s="119" t="n">
        <x:f>IF(AF639=0,0,(AF639-IF(3=D639,1,0))*ROUND(AG639*VLOOKUP(INDEX('章节与怪物'!$E$31:$K$37,B639,3),'章节与怪物'!$A$41:$F$44,2,FALSE),0)+IF(3=D639,ROUND(AG639*'难度参数'!$E$28*'章节与怪物'!$E$17,0),0))</x:f>
        <x:v>387129</x:v>
      </x:c>
      <x:c r="AI639" s="119" t="n">
        <x:f>IF(AF639=0,0,(AF639-IF(3=D639,1,0))*VLOOKUP(INDEX('章节与怪物'!$E$31:$K$37,B639,3),'章节与怪物'!$A$41:$F$44,4,FALSE)+IF(3=D639,'难度参数'!$E$30,0))</x:f>
        <x:v>860</x:v>
      </x:c>
      <x:c r="AJ639" s="119" t="n">
        <x:f>IF(4&gt;D639,0,MAX(2,MIN('难度参数'!$E$12,ROUND(('难度参数'!$E$18*POWER(A639,'难度参数'!$E$19)/D639*(0.85+0.3*(4-1)/MAX(1,D639-1))),0)+F639)))</x:f>
        <x:v>45</x:v>
      </x:c>
      <x:c r="AK639" s="119" t="n">
        <x:f>IF(4&gt;D639,0,ROUND(('难度参数'!$E$13*POWER(A639,'难度参数'!$E$20)*MIN('难度参数'!$E$23,1+MAX(0,A639-'难度参数'!$E$21)*'难度参数'!$E$22))*(36+4*7)/(36+7*(D639+1)/2)*E639,0))</x:f>
        <x:v>14039</x:v>
      </x:c>
      <x:c r="AL639" s="119" t="n">
        <x:f>IF(AJ639=0,0,(AJ639-IF(4=D639,1,0))*ROUND(AK639*VLOOKUP(INDEX('章节与怪物'!$E$31:$K$37,B639,4),'章节与怪物'!$A$41:$F$44,2,FALSE),0)+IF(4=D639,ROUND(AK639*'难度参数'!$E$28*'章节与怪物'!$E$17,0),0))</x:f>
        <x:v>1073970</x:v>
      </x:c>
      <x:c r="AM639" s="119" t="n">
        <x:f>IF(AJ639=0,0,(AJ639-IF(4=D639,1,0))*VLOOKUP(INDEX('章节与怪物'!$E$31:$K$37,B639,4),'章节与怪物'!$A$41:$F$44,4,FALSE)+IF(4=D639,'难度参数'!$E$30,0))</x:f>
        <x:v>1260</x:v>
      </x:c>
      <x:c r="AN639" s="119" t="n">
        <x:f>IF(5&gt;D639,0,MAX(2,MIN('难度参数'!$E$12,ROUND(('难度参数'!$E$18*POWER(A639,'难度参数'!$E$19)/D639*(0.85+0.3*(5-1)/MAX(1,D639-1))),0)+F639)))</x:f>
        <x:v>47</x:v>
      </x:c>
      <x:c r="AO639" s="119" t="n">
        <x:f>IF(5&gt;D639,0,ROUND(('难度参数'!$E$13*POWER(A639,'难度参数'!$E$20)*MIN('难度参数'!$E$23,1+MAX(0,A639-'难度参数'!$E$21)*'难度参数'!$E$22))*(36+5*7)/(36+7*(D639+1)/2)*E639,0))</x:f>
        <x:v>15575</x:v>
      </x:c>
      <x:c r="AP639" s="119" t="n">
        <x:f>IF(AN639=0,0,(AN639-IF(5=D639,1,0))*ROUND(AO639*VLOOKUP(INDEX('章节与怪物'!$E$31:$K$37,B639,5),'章节与怪物'!$A$41:$F$44,2,FALSE),0)+IF(5=D639,ROUND(AO639*'难度参数'!$E$28*'章节与怪物'!$E$17,0),0))</x:f>
        <x:v>988222</x:v>
      </x:c>
      <x:c r="AQ639" s="119" t="n">
        <x:f>IF(AN639=0,0,(AN639-IF(5=D639,1,0))*VLOOKUP(INDEX('章节与怪物'!$E$31:$K$37,B639,5),'章节与怪物'!$A$41:$F$44,4,FALSE)+IF(5=D639,'难度参数'!$E$30,0))</x:f>
        <x:v>1598</x:v>
      </x:c>
      <x:c r="AR639" s="119" t="n">
        <x:f>IF(6&gt;D639,0,MAX(2,MIN('难度参数'!$E$12,ROUND(('难度参数'!$E$18*POWER(A639,'难度参数'!$E$19)/D639*(0.85+0.3*(6-1)/MAX(1,D639-1))),0)+F639)))</x:f>
        <x:v>50</x:v>
      </x:c>
      <x:c r="AS639" s="119" t="n">
        <x:f>IF(6&gt;D639,0,ROUND(('难度参数'!$E$13*POWER(A639,'难度参数'!$E$20)*MIN('难度参数'!$E$23,1+MAX(0,A639-'难度参数'!$E$21)*'难度参数'!$E$22))*(36+6*7)/(36+7*(D639+1)/2)*E639,0))</x:f>
        <x:v>17110</x:v>
      </x:c>
      <x:c r="AT639" s="119" t="n">
        <x:f>IF(AR639=0,0,(AR639-IF(6=D639,1,0))*ROUND(AS639*VLOOKUP(INDEX('章节与怪物'!$E$31:$K$37,B639,6),'章节与怪物'!$A$41:$F$44,2,FALSE),0)+IF(6=D639,ROUND(AS639*'难度参数'!$E$28*'章节与怪物'!$E$17,0),0))</x:f>
        <x:v>615950</x:v>
      </x:c>
      <x:c r="AU639" s="119" t="n">
        <x:f>IF(AR639=0,0,(AR639-IF(6=D639,1,0))*VLOOKUP(INDEX('章节与怪物'!$E$31:$K$37,B639,6),'章节与怪物'!$A$41:$F$44,4,FALSE)+IF(6=D639,'难度参数'!$E$30,0))</x:f>
        <x:v>1000</x:v>
      </x:c>
      <x:c r="AV639" s="119" t="n">
        <x:f>IF(7&gt;D639,0,MAX(2,MIN('难度参数'!$E$12,ROUND(('难度参数'!$E$18*POWER(A639,'难度参数'!$E$19)/D639*(0.85+0.3*(7-1)/MAX(1,D639-1))),0)+F639)))</x:f>
        <x:v>52</x:v>
      </x:c>
      <x:c r="AW639" s="119" t="n">
        <x:f>IF(7&gt;D639,0,ROUND(('难度参数'!$E$13*POWER(A639,'难度参数'!$E$20)*MIN('难度参数'!$E$23,1+MAX(0,A639-'难度参数'!$E$21)*'难度参数'!$E$22))*(36+7*7)/(36+7*(D639+1)/2)*E639,0))</x:f>
        <x:v>18646</x:v>
      </x:c>
      <x:c r="AX639" s="119" t="n">
        <x:f>IF(AV639=0,0,(AV639-IF(7=D639,1,0))*ROUND(AW639*VLOOKUP(INDEX('章节与怪物'!$E$31:$K$37,B639,7),'章节与怪物'!$A$41:$F$44,2,FALSE),0)+IF(7=D639,ROUND(AW639*'难度参数'!$E$28*'章节与怪物'!$E$17,0),0))</x:f>
        <x:v>1743391</x:v>
      </x:c>
      <x:c r="AY639" s="119" t="n">
        <x:f>IF(AV639=0,0,(AV639-IF(7=D639,1,0))*VLOOKUP(INDEX('章节与怪物'!$E$31:$K$37,B639,7),'章节与怪物'!$A$41:$F$44,4,FALSE)+IF(7=D639,'难度参数'!$E$30,0))</x:f>
        <x:v>1628</x:v>
      </x:c>
    </x:row>
    <x:row r="640" ht="23" customHeight="1">
      <x:c r="A640" s="119" t="n">
        <x:v>634</x:v>
      </x:c>
      <x:c r="B640" s="119" t="n">
        <x:f>MOD(INT((A640-1)/5),7)+1</x:f>
        <x:v>1</x:v>
      </x:c>
      <x:c r="C640" s="62" t="str">
        <x:f>INDEX('章节与怪物'!$B$31:$B$37,B640)</x:f>
        <x:v>冰雪荒原</x:v>
      </x:c>
      <x:c r="D640" s="119" t="n">
        <x:f>MIN('难度参数'!$E$8,MAX('难度参数'!$E$7,A640))</x:f>
        <x:v>7</x:v>
      </x:c>
      <x:c r="E640" s="106" t="n">
        <x:v>1</x:v>
      </x:c>
      <x:c r="F640" s="106" t="n">
        <x:v>0</x:v>
      </x:c>
      <x:c r="G640" s="106" t="n">
        <x:v>1</x:v>
      </x:c>
      <x:c r="H640" s="119" t="n">
        <x:f>SUM(X640,AB640,AF640,AJ640,AN640,AR640,AV640)</x:f>
        <x:v>316</x:v>
      </x:c>
      <x:c r="I640" s="119" t="n">
        <x:f>SUM(Z640,AD640,AH640,AL640,AP640,AT640,AX640)</x:f>
        <x:v>5623311</x:v>
      </x:c>
      <x:c r="J640" s="119" t="n">
        <x:f>ROUND(INDEX(X640:AY640,1,(D640-1)*4+2)*'难度参数'!$E$28*'章节与怪物'!$E$17,0)</x:f>
        <x:v>126936</x:v>
      </x:c>
      <x:c r="K640" s="119" t="n">
        <x:f>SUM(AA640,AE640,AI640,AM640,AQ640,AU640,AY640)</x:f>
        <x:v>7768</x:v>
      </x:c>
      <x:c r="L640" s="62" t="n">
        <x:f>H640*(ROUNDUP('难度参数'!$E$24/('难度参数'!$E$26*'难度参数'!$E$27),0)*'难度参数'!$E$26)/60</x:f>
        <x:v>4.213333333333334</x:v>
      </x:c>
      <x:c r="M640" s="62" t="n">
        <x:f>L640+D640*('难度参数'!$E$49+'难度参数'!$E$50)/60</x:f>
        <x:v>5.380000000000001</x:v>
      </x:c>
      <x:c r="N640" s="119" t="n">
        <x:f>ROUNDDOWN(('经济参数'!$E$20+A640*'经济参数'!$E$21)*G640,0)</x:f>
        <x:v>12860</x:v>
      </x:c>
      <x:c r="O640" s="119" t="n">
        <x:f>ROUNDDOWN(MIN('经济参数'!$E$24,'经济参数'!$E$22+A640*'经济参数'!$E$23)*G640,0)</x:f>
        <x:v>0</x:v>
      </x:c>
      <x:c r="P640" s="119" t="n">
        <x:f>ROUNDDOWN((IF(A640&gt;='材料与任务'!$E$31,'材料与任务'!$E$32,IF(A640&gt;='材料与任务'!$E$25,'材料与任务'!$E$26,IF(A640&gt;='材料与任务'!$E$19,'材料与任务'!$E$20,IF(A640&gt;='材料与任务'!$E$13,'材料与任务'!$E$14,'材料与任务'!$E$8)))))*G640,0)</x:f>
        <x:v>6</x:v>
      </x:c>
      <x:c r="Q640" s="119" t="n">
        <x:f>ROUNDDOWN((IF(A640&gt;='材料与任务'!$E$31,'材料与任务'!$E$33,IF(A640&gt;='材料与任务'!$E$25,'材料与任务'!$E$27,IF(A640&gt;='材料与任务'!$E$19,'材料与任务'!$E$21,IF(A640&gt;='材料与任务'!$E$13,'材料与任务'!$E$15,'材料与任务'!$E$9)))))*G640,0)</x:f>
        <x:v>3</x:v>
      </x:c>
      <x:c r="R640" s="110" t="n">
        <x:f>'装备掉落'!$B$38</x:f>
        <x:v>0.6872058758851213</x:v>
      </x:c>
      <x:c r="S640" s="119" t="n">
        <x:f>MAX(IF(VLOOKUP(A640,'装备掉落'!$A$29:$H$34,2,TRUE)&gt;0,1,0),IF(VLOOKUP(A640,'装备掉落'!$A$29:$H$34,3,TRUE)&gt;0,2,0),IF(VLOOKUP(A640,'装备掉落'!$A$29:$H$34,4,TRUE)&gt;0,3,0),IF(VLOOKUP(A640,'装备掉落'!$A$29:$H$34,5,TRUE)&gt;0,4,0),IF(VLOOKUP(A640,'装备掉落'!$A$29:$H$34,6,TRUE)&gt;0,5,0),IF(VLOOKUP(A640,'装备掉落'!$A$29:$H$34,7,TRUE)&gt;0,6,0),IF(VLOOKUP(A640,'装备掉落'!$A$29:$H$34,8,TRUE)&gt;0,7,0))</x:f>
        <x:v>7</x:v>
      </x:c>
      <x:c r="T640" s="119" t="n">
        <x:f>MIN(7,S640+'经济参数'!$E$70)</x:f>
        <x:v>7</x:v>
      </x:c>
      <x:c r="U640" s="119" t="n">
        <x:f>MIN(7,S640+'经济参数'!$E$71)</x:f>
        <x:v>7</x:v>
      </x:c>
      <x:c r="V640" s="119" t="n">
        <x:f>IF(H640&gt;=('难度参数'!$E$52),1,0)+IF(H640&gt;=('难度参数'!$E$52+'难度参数'!$E$53),1,0)+IF(H640&gt;=('难度参数'!$E$52+'难度参数'!$E$53+'难度参数'!$E$54),1,0)+IF(H640&gt;=('难度参数'!$E$52+'难度参数'!$E$53+'难度参数'!$E$54+'难度参数'!$E$55),1,0)+IF(H640&gt;=('难度参数'!$E$52+'难度参数'!$E$53+'难度参数'!$E$54+'难度参数'!$E$55+'难度参数'!$E$56),1,0)+IF(H640&gt;=('难度参数'!$E$52+'难度参数'!$E$53+'难度参数'!$E$54+'难度参数'!$E$55+'难度参数'!$E$56+'难度参数'!$E$57),1,0)</x:f>
        <x:v>6</x:v>
      </x:c>
      <x:c r="W640" s="62" t="str">
        <x:f>IF(L640&gt;'难度参数'!$E$51,"仅出怪已超目标","还需实测")</x:f>
        <x:v>仅出怪已超目标</x:v>
      </x:c>
      <x:c r="X640" s="119" t="n">
        <x:f>IF(1&gt;D640,0,MAX(2,MIN('难度参数'!$E$12,ROUND(('难度参数'!$E$18*POWER(A640,'难度参数'!$E$19)/D640*(0.85+0.3*(1-1)/MAX(1,D640-1))),0)+F640)))</x:f>
        <x:v>38</x:v>
      </x:c>
      <x:c r="Y640" s="119" t="n">
        <x:f>IF(1&gt;D640,0,ROUND(('难度参数'!$E$13*POWER(A640,'难度参数'!$E$20)*MIN('难度参数'!$E$23,1+MAX(0,A640-'难度参数'!$E$21)*'难度参数'!$E$22))*(36+1*7)/(36+7*(D640+1)/2)*E640,0))</x:f>
        <x:v>9443</x:v>
      </x:c>
      <x:c r="Z640" s="119" t="n">
        <x:f>IF(X640=0,0,(X640-IF(1=D640,1,0))*ROUND(Y640*VLOOKUP(INDEX('章节与怪物'!$E$31:$K$37,B640,1),'章节与怪物'!$A$41:$F$44,2,FALSE),0)+IF(1=D640,ROUND(Y640*'难度参数'!$E$28*'章节与怪物'!$E$17,0),0))</x:f>
        <x:v>358834</x:v>
      </x:c>
      <x:c r="AA640" s="119" t="n">
        <x:f>IF(X640=0,0,(X640-IF(1=D640,1,0))*VLOOKUP(INDEX('章节与怪物'!$E$31:$K$37,B640,1),'章节与怪物'!$A$41:$F$44,4,FALSE)+IF(1=D640,'难度参数'!$E$30,0))</x:f>
        <x:v>684</x:v>
      </x:c>
      <x:c r="AB640" s="119" t="n">
        <x:f>IF(2&gt;D640,0,MAX(2,MIN('难度参数'!$E$12,ROUND(('难度参数'!$E$18*POWER(A640,'难度参数'!$E$19)/D640*(0.85+0.3*(2-1)/MAX(1,D640-1))),0)+F640)))</x:f>
        <x:v>41</x:v>
      </x:c>
      <x:c r="AC640" s="119" t="n">
        <x:f>IF(2&gt;D640,0,ROUND(('难度参数'!$E$13*POWER(A640,'难度参数'!$E$20)*MIN('难度参数'!$E$23,1+MAX(0,A640-'难度参数'!$E$21)*'难度参数'!$E$22))*(36+2*7)/(36+7*(D640+1)/2)*E640,0))</x:f>
        <x:v>10981</x:v>
      </x:c>
      <x:c r="AD640" s="119" t="n">
        <x:f>IF(AB640=0,0,(AB640-IF(2=D640,1,0))*ROUND(AC640*VLOOKUP(INDEX('章节与怪物'!$E$31:$K$37,B640,2),'章节与怪物'!$A$41:$F$44,2,FALSE),0)+IF(2=D640,ROUND(AC640*'难度参数'!$E$28*'章节与怪物'!$E$17,0),0))</x:f>
        <x:v>450221</x:v>
      </x:c>
      <x:c r="AE640" s="119" t="n">
        <x:f>IF(AB640=0,0,(AB640-IF(2=D640,1,0))*VLOOKUP(INDEX('章节与怪物'!$E$31:$K$37,B640,2),'章节与怪物'!$A$41:$F$44,4,FALSE)+IF(2=D640,'难度参数'!$E$30,0))</x:f>
        <x:v>738</x:v>
      </x:c>
      <x:c r="AF640" s="119" t="n">
        <x:f>IF(3&gt;D640,0,MAX(2,MIN('难度参数'!$E$12,ROUND(('难度参数'!$E$18*POWER(A640,'难度参数'!$E$19)/D640*(0.85+0.3*(3-1)/MAX(1,D640-1))),0)+F640)))</x:f>
        <x:v>43</x:v>
      </x:c>
      <x:c r="AG640" s="119" t="n">
        <x:f>IF(3&gt;D640,0,ROUND(('难度参数'!$E$13*POWER(A640,'难度参数'!$E$20)*MIN('难度参数'!$E$23,1+MAX(0,A640-'难度参数'!$E$21)*'难度参数'!$E$22))*(36+3*7)/(36+7*(D640+1)/2)*E640,0))</x:f>
        <x:v>12518</x:v>
      </x:c>
      <x:c r="AH640" s="119" t="n">
        <x:f>IF(AF640=0,0,(AF640-IF(3=D640,1,0))*ROUND(AG640*VLOOKUP(INDEX('章节与怪物'!$E$31:$K$37,B640,3),'章节与怪物'!$A$41:$F$44,2,FALSE),0)+IF(3=D640,ROUND(AG640*'难度参数'!$E$28*'章节与怪物'!$E$17,0),0))</x:f>
        <x:v>387559</x:v>
      </x:c>
      <x:c r="AI640" s="119" t="n">
        <x:f>IF(AF640=0,0,(AF640-IF(3=D640,1,0))*VLOOKUP(INDEX('章节与怪物'!$E$31:$K$37,B640,3),'章节与怪物'!$A$41:$F$44,4,FALSE)+IF(3=D640,'难度参数'!$E$30,0))</x:f>
        <x:v>860</x:v>
      </x:c>
      <x:c r="AJ640" s="119" t="n">
        <x:f>IF(4&gt;D640,0,MAX(2,MIN('难度参数'!$E$12,ROUND(('难度参数'!$E$18*POWER(A640,'难度参数'!$E$19)/D640*(0.85+0.3*(4-1)/MAX(1,D640-1))),0)+F640)))</x:f>
        <x:v>45</x:v>
      </x:c>
      <x:c r="AK640" s="119" t="n">
        <x:f>IF(4&gt;D640,0,ROUND(('难度参数'!$E$13*POWER(A640,'难度参数'!$E$20)*MIN('难度参数'!$E$23,1+MAX(0,A640-'难度参数'!$E$21)*'难度参数'!$E$22))*(36+4*7)/(36+7*(D640+1)/2)*E640,0))</x:f>
        <x:v>14055</x:v>
      </x:c>
      <x:c r="AL640" s="119" t="n">
        <x:f>IF(AJ640=0,0,(AJ640-IF(4=D640,1,0))*ROUND(AK640*VLOOKUP(INDEX('章节与怪物'!$E$31:$K$37,B640,4),'章节与怪物'!$A$41:$F$44,2,FALSE),0)+IF(4=D640,ROUND(AK640*'难度参数'!$E$28*'章节与怪物'!$E$17,0),0))</x:f>
        <x:v>1075230</x:v>
      </x:c>
      <x:c r="AM640" s="119" t="n">
        <x:f>IF(AJ640=0,0,(AJ640-IF(4=D640,1,0))*VLOOKUP(INDEX('章节与怪物'!$E$31:$K$37,B640,4),'章节与怪物'!$A$41:$F$44,4,FALSE)+IF(4=D640,'难度参数'!$E$30,0))</x:f>
        <x:v>1260</x:v>
      </x:c>
      <x:c r="AN640" s="119" t="n">
        <x:f>IF(5&gt;D640,0,MAX(2,MIN('难度参数'!$E$12,ROUND(('难度参数'!$E$18*POWER(A640,'难度参数'!$E$19)/D640*(0.85+0.3*(5-1)/MAX(1,D640-1))),0)+F640)))</x:f>
        <x:v>47</x:v>
      </x:c>
      <x:c r="AO640" s="119" t="n">
        <x:f>IF(5&gt;D640,0,ROUND(('难度参数'!$E$13*POWER(A640,'难度参数'!$E$20)*MIN('难度参数'!$E$23,1+MAX(0,A640-'难度参数'!$E$21)*'难度参数'!$E$22))*(36+5*7)/(36+7*(D640+1)/2)*E640,0))</x:f>
        <x:v>15593</x:v>
      </x:c>
      <x:c r="AP640" s="119" t="n">
        <x:f>IF(AN640=0,0,(AN640-IF(5=D640,1,0))*ROUND(AO640*VLOOKUP(INDEX('章节与怪物'!$E$31:$K$37,B640,5),'章节与怪物'!$A$41:$F$44,2,FALSE),0)+IF(5=D640,ROUND(AO640*'难度参数'!$E$28*'章节与怪物'!$E$17,0),0))</x:f>
        <x:v>989397</x:v>
      </x:c>
      <x:c r="AQ640" s="119" t="n">
        <x:f>IF(AN640=0,0,(AN640-IF(5=D640,1,0))*VLOOKUP(INDEX('章节与怪物'!$E$31:$K$37,B640,5),'章节与怪物'!$A$41:$F$44,4,FALSE)+IF(5=D640,'难度参数'!$E$30,0))</x:f>
        <x:v>1598</x:v>
      </x:c>
      <x:c r="AR640" s="119" t="n">
        <x:f>IF(6&gt;D640,0,MAX(2,MIN('难度参数'!$E$12,ROUND(('难度参数'!$E$18*POWER(A640,'难度参数'!$E$19)/D640*(0.85+0.3*(6-1)/MAX(1,D640-1))),0)+F640)))</x:f>
        <x:v>50</x:v>
      </x:c>
      <x:c r="AS640" s="119" t="n">
        <x:f>IF(6&gt;D640,0,ROUND(('难度参数'!$E$13*POWER(A640,'难度参数'!$E$20)*MIN('难度参数'!$E$23,1+MAX(0,A640-'难度参数'!$E$21)*'难度参数'!$E$22))*(36+6*7)/(36+7*(D640+1)/2)*E640,0))</x:f>
        <x:v>17130</x:v>
      </x:c>
      <x:c r="AT640" s="119" t="n">
        <x:f>IF(AR640=0,0,(AR640-IF(6=D640,1,0))*ROUND(AS640*VLOOKUP(INDEX('章节与怪物'!$E$31:$K$37,B640,6),'章节与怪物'!$A$41:$F$44,2,FALSE),0)+IF(6=D640,ROUND(AS640*'难度参数'!$E$28*'章节与怪物'!$E$17,0),0))</x:f>
        <x:v>616700</x:v>
      </x:c>
      <x:c r="AU640" s="119" t="n">
        <x:f>IF(AR640=0,0,(AR640-IF(6=D640,1,0))*VLOOKUP(INDEX('章节与怪物'!$E$31:$K$37,B640,6),'章节与怪物'!$A$41:$F$44,4,FALSE)+IF(6=D640,'难度参数'!$E$30,0))</x:f>
        <x:v>1000</x:v>
      </x:c>
      <x:c r="AV640" s="119" t="n">
        <x:f>IF(7&gt;D640,0,MAX(2,MIN('难度参数'!$E$12,ROUND(('难度参数'!$E$18*POWER(A640,'难度参数'!$E$19)/D640*(0.85+0.3*(7-1)/MAX(1,D640-1))),0)+F640)))</x:f>
        <x:v>52</x:v>
      </x:c>
      <x:c r="AW640" s="119" t="n">
        <x:f>IF(7&gt;D640,0,ROUND(('难度参数'!$E$13*POWER(A640,'难度参数'!$E$20)*MIN('难度参数'!$E$23,1+MAX(0,A640-'难度参数'!$E$21)*'难度参数'!$E$22))*(36+7*7)/(36+7*(D640+1)/2)*E640,0))</x:f>
        <x:v>18667</x:v>
      </x:c>
      <x:c r="AX640" s="119" t="n">
        <x:f>IF(AV640=0,0,(AV640-IF(7=D640,1,0))*ROUND(AW640*VLOOKUP(INDEX('章节与怪物'!$E$31:$K$37,B640,7),'章节与怪物'!$A$41:$F$44,2,FALSE),0)+IF(7=D640,ROUND(AW640*'难度参数'!$E$28*'章节与怪物'!$E$17,0),0))</x:f>
        <x:v>1745370</x:v>
      </x:c>
      <x:c r="AY640" s="119" t="n">
        <x:f>IF(AV640=0,0,(AV640-IF(7=D640,1,0))*VLOOKUP(INDEX('章节与怪物'!$E$31:$K$37,B640,7),'章节与怪物'!$A$41:$F$44,4,FALSE)+IF(7=D640,'难度参数'!$E$30,0))</x:f>
        <x:v>1628</x:v>
      </x:c>
    </x:row>
    <x:row r="641" ht="23" customHeight="1">
      <x:c r="A641" s="119" t="n">
        <x:v>635</x:v>
      </x:c>
      <x:c r="B641" s="119" t="n">
        <x:f>MOD(INT((A641-1)/5),7)+1</x:f>
        <x:v>1</x:v>
      </x:c>
      <x:c r="C641" s="62" t="str">
        <x:f>INDEX('章节与怪物'!$B$31:$B$37,B641)</x:f>
        <x:v>冰雪荒原</x:v>
      </x:c>
      <x:c r="D641" s="119" t="n">
        <x:f>MIN('难度参数'!$E$8,MAX('难度参数'!$E$7,A641))</x:f>
        <x:v>7</x:v>
      </x:c>
      <x:c r="E641" s="106" t="n">
        <x:v>1</x:v>
      </x:c>
      <x:c r="F641" s="106" t="n">
        <x:v>0</x:v>
      </x:c>
      <x:c r="G641" s="106" t="n">
        <x:v>1</x:v>
      </x:c>
      <x:c r="H641" s="119" t="n">
        <x:f>SUM(X641,AB641,AF641,AJ641,AN641,AR641,AV641)</x:f>
        <x:v>316</x:v>
      </x:c>
      <x:c r="I641" s="119" t="n">
        <x:f>SUM(Z641,AD641,AH641,AL641,AP641,AT641,AX641)</x:f>
        <x:v>5629575</x:v>
      </x:c>
      <x:c r="J641" s="119" t="n">
        <x:f>ROUND(INDEX(X641:AY641,1,(D641-1)*4+2)*'难度参数'!$E$28*'章节与怪物'!$E$17,0)</x:f>
        <x:v>127078</x:v>
      </x:c>
      <x:c r="K641" s="119" t="n">
        <x:f>SUM(AA641,AE641,AI641,AM641,AQ641,AU641,AY641)</x:f>
        <x:v>7768</x:v>
      </x:c>
      <x:c r="L641" s="62" t="n">
        <x:f>H641*(ROUNDUP('难度参数'!$E$24/('难度参数'!$E$26*'难度参数'!$E$27),0)*'难度参数'!$E$26)/60</x:f>
        <x:v>4.213333333333334</x:v>
      </x:c>
      <x:c r="M641" s="62" t="n">
        <x:f>L641+D641*('难度参数'!$E$49+'难度参数'!$E$50)/60</x:f>
        <x:v>5.380000000000001</x:v>
      </x:c>
      <x:c r="N641" s="119" t="n">
        <x:f>ROUNDDOWN(('经济参数'!$E$20+A641*'经济参数'!$E$21)*G641,0)</x:f>
        <x:v>12880</x:v>
      </x:c>
      <x:c r="O641" s="119" t="n">
        <x:f>ROUNDDOWN(MIN('经济参数'!$E$24,'经济参数'!$E$22+A641*'经济参数'!$E$23)*G641,0)</x:f>
        <x:v>0</x:v>
      </x:c>
      <x:c r="P641" s="119" t="n">
        <x:f>ROUNDDOWN((IF(A641&gt;='材料与任务'!$E$31,'材料与任务'!$E$32,IF(A641&gt;='材料与任务'!$E$25,'材料与任务'!$E$26,IF(A641&gt;='材料与任务'!$E$19,'材料与任务'!$E$20,IF(A641&gt;='材料与任务'!$E$13,'材料与任务'!$E$14,'材料与任务'!$E$8)))))*G641,0)</x:f>
        <x:v>6</x:v>
      </x:c>
      <x:c r="Q641" s="119" t="n">
        <x:f>ROUNDDOWN((IF(A641&gt;='材料与任务'!$E$31,'材料与任务'!$E$33,IF(A641&gt;='材料与任务'!$E$25,'材料与任务'!$E$27,IF(A641&gt;='材料与任务'!$E$19,'材料与任务'!$E$21,IF(A641&gt;='材料与任务'!$E$13,'材料与任务'!$E$15,'材料与任务'!$E$9)))))*G641,0)</x:f>
        <x:v>3</x:v>
      </x:c>
      <x:c r="R641" s="110" t="n">
        <x:f>'装备掉落'!$B$38</x:f>
        <x:v>0.6872058758851213</x:v>
      </x:c>
      <x:c r="S641" s="119" t="n">
        <x:f>MAX(IF(VLOOKUP(A641,'装备掉落'!$A$29:$H$34,2,TRUE)&gt;0,1,0),IF(VLOOKUP(A641,'装备掉落'!$A$29:$H$34,3,TRUE)&gt;0,2,0),IF(VLOOKUP(A641,'装备掉落'!$A$29:$H$34,4,TRUE)&gt;0,3,0),IF(VLOOKUP(A641,'装备掉落'!$A$29:$H$34,5,TRUE)&gt;0,4,0),IF(VLOOKUP(A641,'装备掉落'!$A$29:$H$34,6,TRUE)&gt;0,5,0),IF(VLOOKUP(A641,'装备掉落'!$A$29:$H$34,7,TRUE)&gt;0,6,0),IF(VLOOKUP(A641,'装备掉落'!$A$29:$H$34,8,TRUE)&gt;0,7,0))</x:f>
        <x:v>7</x:v>
      </x:c>
      <x:c r="T641" s="119" t="n">
        <x:f>MIN(7,S641+'经济参数'!$E$70)</x:f>
        <x:v>7</x:v>
      </x:c>
      <x:c r="U641" s="119" t="n">
        <x:f>MIN(7,S641+'经济参数'!$E$71)</x:f>
        <x:v>7</x:v>
      </x:c>
      <x:c r="V641" s="119" t="n">
        <x:f>IF(H641&gt;=('难度参数'!$E$52),1,0)+IF(H641&gt;=('难度参数'!$E$52+'难度参数'!$E$53),1,0)+IF(H641&gt;=('难度参数'!$E$52+'难度参数'!$E$53+'难度参数'!$E$54),1,0)+IF(H641&gt;=('难度参数'!$E$52+'难度参数'!$E$53+'难度参数'!$E$54+'难度参数'!$E$55),1,0)+IF(H641&gt;=('难度参数'!$E$52+'难度参数'!$E$53+'难度参数'!$E$54+'难度参数'!$E$55+'难度参数'!$E$56),1,0)+IF(H641&gt;=('难度参数'!$E$52+'难度参数'!$E$53+'难度参数'!$E$54+'难度参数'!$E$55+'难度参数'!$E$56+'难度参数'!$E$57),1,0)</x:f>
        <x:v>6</x:v>
      </x:c>
      <x:c r="W641" s="62" t="str">
        <x:f>IF(L641&gt;'难度参数'!$E$51,"仅出怪已超目标","还需实测")</x:f>
        <x:v>仅出怪已超目标</x:v>
      </x:c>
      <x:c r="X641" s="119" t="n">
        <x:f>IF(1&gt;D641,0,MAX(2,MIN('难度参数'!$E$12,ROUND(('难度参数'!$E$18*POWER(A641,'难度参数'!$E$19)/D641*(0.85+0.3*(1-1)/MAX(1,D641-1))),0)+F641)))</x:f>
        <x:v>38</x:v>
      </x:c>
      <x:c r="Y641" s="119" t="n">
        <x:f>IF(1&gt;D641,0,ROUND(('难度参数'!$E$13*POWER(A641,'难度参数'!$E$20)*MIN('难度参数'!$E$23,1+MAX(0,A641-'难度参数'!$E$21)*'难度参数'!$E$22))*(36+1*7)/(36+7*(D641+1)/2)*E641,0))</x:f>
        <x:v>9454</x:v>
      </x:c>
      <x:c r="Z641" s="119" t="n">
        <x:f>IF(X641=0,0,(X641-IF(1=D641,1,0))*ROUND(Y641*VLOOKUP(INDEX('章节与怪物'!$E$31:$K$37,B641,1),'章节与怪物'!$A$41:$F$44,2,FALSE),0)+IF(1=D641,ROUND(Y641*'难度参数'!$E$28*'章节与怪物'!$E$17,0),0))</x:f>
        <x:v>359252</x:v>
      </x:c>
      <x:c r="AA641" s="119" t="n">
        <x:f>IF(X641=0,0,(X641-IF(1=D641,1,0))*VLOOKUP(INDEX('章节与怪物'!$E$31:$K$37,B641,1),'章节与怪物'!$A$41:$F$44,4,FALSE)+IF(1=D641,'难度参数'!$E$30,0))</x:f>
        <x:v>684</x:v>
      </x:c>
      <x:c r="AB641" s="119" t="n">
        <x:f>IF(2&gt;D641,0,MAX(2,MIN('难度参数'!$E$12,ROUND(('难度参数'!$E$18*POWER(A641,'难度参数'!$E$19)/D641*(0.85+0.3*(2-1)/MAX(1,D641-1))),0)+F641)))</x:f>
        <x:v>41</x:v>
      </x:c>
      <x:c r="AC641" s="119" t="n">
        <x:f>IF(2&gt;D641,0,ROUND(('难度参数'!$E$13*POWER(A641,'难度参数'!$E$20)*MIN('难度参数'!$E$23,1+MAX(0,A641-'难度参数'!$E$21)*'难度参数'!$E$22))*(36+2*7)/(36+7*(D641+1)/2)*E641,0))</x:f>
        <x:v>10993</x:v>
      </x:c>
      <x:c r="AD641" s="119" t="n">
        <x:f>IF(AB641=0,0,(AB641-IF(2=D641,1,0))*ROUND(AC641*VLOOKUP(INDEX('章节与怪物'!$E$31:$K$37,B641,2),'章节与怪物'!$A$41:$F$44,2,FALSE),0)+IF(2=D641,ROUND(AC641*'难度参数'!$E$28*'章节与怪物'!$E$17,0),0))</x:f>
        <x:v>450713</x:v>
      </x:c>
      <x:c r="AE641" s="119" t="n">
        <x:f>IF(AB641=0,0,(AB641-IF(2=D641,1,0))*VLOOKUP(INDEX('章节与怪物'!$E$31:$K$37,B641,2),'章节与怪物'!$A$41:$F$44,4,FALSE)+IF(2=D641,'难度参数'!$E$30,0))</x:f>
        <x:v>738</x:v>
      </x:c>
      <x:c r="AF641" s="119" t="n">
        <x:f>IF(3&gt;D641,0,MAX(2,MIN('难度参数'!$E$12,ROUND(('难度参数'!$E$18*POWER(A641,'难度参数'!$E$19)/D641*(0.85+0.3*(3-1)/MAX(1,D641-1))),0)+F641)))</x:f>
        <x:v>43</x:v>
      </x:c>
      <x:c r="AG641" s="119" t="n">
        <x:f>IF(3&gt;D641,0,ROUND(('难度参数'!$E$13*POWER(A641,'难度参数'!$E$20)*MIN('难度参数'!$E$23,1+MAX(0,A641-'难度参数'!$E$21)*'难度参数'!$E$22))*(36+3*7)/(36+7*(D641+1)/2)*E641,0))</x:f>
        <x:v>12532</x:v>
      </x:c>
      <x:c r="AH641" s="119" t="n">
        <x:f>IF(AF641=0,0,(AF641-IF(3=D641,1,0))*ROUND(AG641*VLOOKUP(INDEX('章节与怪物'!$E$31:$K$37,B641,3),'章节与怪物'!$A$41:$F$44,2,FALSE),0)+IF(3=D641,ROUND(AG641*'难度参数'!$E$28*'章节与怪物'!$E$17,0),0))</x:f>
        <x:v>387989</x:v>
      </x:c>
      <x:c r="AI641" s="119" t="n">
        <x:f>IF(AF641=0,0,(AF641-IF(3=D641,1,0))*VLOOKUP(INDEX('章节与怪物'!$E$31:$K$37,B641,3),'章节与怪物'!$A$41:$F$44,4,FALSE)+IF(3=D641,'难度参数'!$E$30,0))</x:f>
        <x:v>860</x:v>
      </x:c>
      <x:c r="AJ641" s="119" t="n">
        <x:f>IF(4&gt;D641,0,MAX(2,MIN('难度参数'!$E$12,ROUND(('难度参数'!$E$18*POWER(A641,'难度参数'!$E$19)/D641*(0.85+0.3*(4-1)/MAX(1,D641-1))),0)+F641)))</x:f>
        <x:v>45</x:v>
      </x:c>
      <x:c r="AK641" s="119" t="n">
        <x:f>IF(4&gt;D641,0,ROUND(('难度参数'!$E$13*POWER(A641,'难度参数'!$E$20)*MIN('难度参数'!$E$23,1+MAX(0,A641-'难度参数'!$E$21)*'难度参数'!$E$22))*(36+4*7)/(36+7*(D641+1)/2)*E641,0))</x:f>
        <x:v>14071</x:v>
      </x:c>
      <x:c r="AL641" s="119" t="n">
        <x:f>IF(AJ641=0,0,(AJ641-IF(4=D641,1,0))*ROUND(AK641*VLOOKUP(INDEX('章节与怪物'!$E$31:$K$37,B641,4),'章节与怪物'!$A$41:$F$44,2,FALSE),0)+IF(4=D641,ROUND(AK641*'难度参数'!$E$28*'章节与怪物'!$E$17,0),0))</x:f>
        <x:v>1076445</x:v>
      </x:c>
      <x:c r="AM641" s="119" t="n">
        <x:f>IF(AJ641=0,0,(AJ641-IF(4=D641,1,0))*VLOOKUP(INDEX('章节与怪物'!$E$31:$K$37,B641,4),'章节与怪物'!$A$41:$F$44,4,FALSE)+IF(4=D641,'难度参数'!$E$30,0))</x:f>
        <x:v>1260</x:v>
      </x:c>
      <x:c r="AN641" s="119" t="n">
        <x:f>IF(5&gt;D641,0,MAX(2,MIN('难度参数'!$E$12,ROUND(('难度参数'!$E$18*POWER(A641,'难度参数'!$E$19)/D641*(0.85+0.3*(5-1)/MAX(1,D641-1))),0)+F641)))</x:f>
        <x:v>47</x:v>
      </x:c>
      <x:c r="AO641" s="119" t="n">
        <x:f>IF(5&gt;D641,0,ROUND(('难度参数'!$E$13*POWER(A641,'难度参数'!$E$20)*MIN('难度参数'!$E$23,1+MAX(0,A641-'难度参数'!$E$21)*'难度参数'!$E$22))*(36+5*7)/(36+7*(D641+1)/2)*E641,0))</x:f>
        <x:v>15610</x:v>
      </x:c>
      <x:c r="AP641" s="119" t="n">
        <x:f>IF(AN641=0,0,(AN641-IF(5=D641,1,0))*ROUND(AO641*VLOOKUP(INDEX('章节与怪物'!$E$31:$K$37,B641,5),'章节与怪物'!$A$41:$F$44,2,FALSE),0)+IF(5=D641,ROUND(AO641*'难度参数'!$E$28*'章节与怪物'!$E$17,0),0))</x:f>
        <x:v>990478</x:v>
      </x:c>
      <x:c r="AQ641" s="119" t="n">
        <x:f>IF(AN641=0,0,(AN641-IF(5=D641,1,0))*VLOOKUP(INDEX('章节与怪物'!$E$31:$K$37,B641,5),'章节与怪物'!$A$41:$F$44,4,FALSE)+IF(5=D641,'难度参数'!$E$30,0))</x:f>
        <x:v>1598</x:v>
      </x:c>
      <x:c r="AR641" s="119" t="n">
        <x:f>IF(6&gt;D641,0,MAX(2,MIN('难度参数'!$E$12,ROUND(('难度参数'!$E$18*POWER(A641,'难度参数'!$E$19)/D641*(0.85+0.3*(6-1)/MAX(1,D641-1))),0)+F641)))</x:f>
        <x:v>50</x:v>
      </x:c>
      <x:c r="AS641" s="119" t="n">
        <x:f>IF(6&gt;D641,0,ROUND(('难度参数'!$E$13*POWER(A641,'难度参数'!$E$20)*MIN('难度参数'!$E$23,1+MAX(0,A641-'难度参数'!$E$21)*'难度参数'!$E$22))*(36+6*7)/(36+7*(D641+1)/2)*E641,0))</x:f>
        <x:v>17149</x:v>
      </x:c>
      <x:c r="AT641" s="119" t="n">
        <x:f>IF(AR641=0,0,(AR641-IF(6=D641,1,0))*ROUND(AS641*VLOOKUP(INDEX('章节与怪物'!$E$31:$K$37,B641,6),'章节与怪物'!$A$41:$F$44,2,FALSE),0)+IF(6=D641,ROUND(AS641*'难度参数'!$E$28*'章节与怪物'!$E$17,0),0))</x:f>
        <x:v>617350</x:v>
      </x:c>
      <x:c r="AU641" s="119" t="n">
        <x:f>IF(AR641=0,0,(AR641-IF(6=D641,1,0))*VLOOKUP(INDEX('章节与怪物'!$E$31:$K$37,B641,6),'章节与怪物'!$A$41:$F$44,4,FALSE)+IF(6=D641,'难度参数'!$E$30,0))</x:f>
        <x:v>1000</x:v>
      </x:c>
      <x:c r="AV641" s="119" t="n">
        <x:f>IF(7&gt;D641,0,MAX(2,MIN('难度参数'!$E$12,ROUND(('难度参数'!$E$18*POWER(A641,'难度参数'!$E$19)/D641*(0.85+0.3*(7-1)/MAX(1,D641-1))),0)+F641)))</x:f>
        <x:v>52</x:v>
      </x:c>
      <x:c r="AW641" s="119" t="n">
        <x:f>IF(7&gt;D641,0,ROUND(('难度参数'!$E$13*POWER(A641,'难度参数'!$E$20)*MIN('难度参数'!$E$23,1+MAX(0,A641-'难度参数'!$E$21)*'难度参数'!$E$22))*(36+7*7)/(36+7*(D641+1)/2)*E641,0))</x:f>
        <x:v>18688</x:v>
      </x:c>
      <x:c r="AX641" s="119" t="n">
        <x:f>IF(AV641=0,0,(AV641-IF(7=D641,1,0))*ROUND(AW641*VLOOKUP(INDEX('章节与怪物'!$E$31:$K$37,B641,7),'章节与怪物'!$A$41:$F$44,2,FALSE),0)+IF(7=D641,ROUND(AW641*'难度参数'!$E$28*'章节与怪物'!$E$17,0),0))</x:f>
        <x:v>1747348</x:v>
      </x:c>
      <x:c r="AY641" s="119" t="n">
        <x:f>IF(AV641=0,0,(AV641-IF(7=D641,1,0))*VLOOKUP(INDEX('章节与怪物'!$E$31:$K$37,B641,7),'章节与怪物'!$A$41:$F$44,4,FALSE)+IF(7=D641,'难度参数'!$E$30,0))</x:f>
        <x:v>1628</x:v>
      </x:c>
    </x:row>
    <x:row r="642" ht="23" customHeight="1">
      <x:c r="A642" s="119" t="n">
        <x:v>636</x:v>
      </x:c>
      <x:c r="B642" s="119" t="n">
        <x:f>MOD(INT((A642-1)/5),7)+1</x:f>
        <x:v>2</x:v>
      </x:c>
      <x:c r="C642" s="62" t="str">
        <x:f>INDEX('章节与怪物'!$B$31:$B$37,B642)</x:f>
        <x:v>黄沙要塞</x:v>
      </x:c>
      <x:c r="D642" s="119" t="n">
        <x:f>MIN('难度参数'!$E$8,MAX('难度参数'!$E$7,A642))</x:f>
        <x:v>7</x:v>
      </x:c>
      <x:c r="E642" s="106" t="n">
        <x:v>1</x:v>
      </x:c>
      <x:c r="F642" s="106" t="n">
        <x:v>0</x:v>
      </x:c>
      <x:c r="G642" s="106" t="n">
        <x:v>1</x:v>
      </x:c>
      <x:c r="H642" s="119" t="n">
        <x:f>SUM(X642,AB642,AF642,AJ642,AN642,AR642,AV642)</x:f>
        <x:v>316</x:v>
      </x:c>
      <x:c r="I642" s="119" t="n">
        <x:f>SUM(Z642,AD642,AH642,AL642,AP642,AT642,AX642)</x:f>
        <x:v>6092279</x:v>
      </x:c>
      <x:c r="J642" s="119" t="n">
        <x:f>ROUND(INDEX(X642:AY642,1,(D642-1)*4+2)*'难度参数'!$E$28*'章节与怪物'!$E$17,0)</x:f>
        <x:v>127221</x:v>
      </x:c>
      <x:c r="K642" s="119" t="n">
        <x:f>SUM(AA642,AE642,AI642,AM642,AQ642,AU642,AY642)</x:f>
        <x:v>8412</x:v>
      </x:c>
      <x:c r="L642" s="62" t="n">
        <x:f>H642*(ROUNDUP('难度参数'!$E$24/('难度参数'!$E$26*'难度参数'!$E$27),0)*'难度参数'!$E$26)/60</x:f>
        <x:v>4.213333333333334</x:v>
      </x:c>
      <x:c r="M642" s="62" t="n">
        <x:f>L642+D642*('难度参数'!$E$49+'难度参数'!$E$50)/60</x:f>
        <x:v>5.380000000000001</x:v>
      </x:c>
      <x:c r="N642" s="119" t="n">
        <x:f>ROUNDDOWN(('经济参数'!$E$20+A642*'经济参数'!$E$21)*G642,0)</x:f>
        <x:v>12900</x:v>
      </x:c>
      <x:c r="O642" s="119" t="n">
        <x:f>ROUNDDOWN(MIN('经济参数'!$E$24,'经济参数'!$E$22+A642*'经济参数'!$E$23)*G642,0)</x:f>
        <x:v>0</x:v>
      </x:c>
      <x:c r="P642" s="119" t="n">
        <x:f>ROUNDDOWN((IF(A642&gt;='材料与任务'!$E$31,'材料与任务'!$E$32,IF(A642&gt;='材料与任务'!$E$25,'材料与任务'!$E$26,IF(A642&gt;='材料与任务'!$E$19,'材料与任务'!$E$20,IF(A642&gt;='材料与任务'!$E$13,'材料与任务'!$E$14,'材料与任务'!$E$8)))))*G642,0)</x:f>
        <x:v>6</x:v>
      </x:c>
      <x:c r="Q642" s="119" t="n">
        <x:f>ROUNDDOWN((IF(A642&gt;='材料与任务'!$E$31,'材料与任务'!$E$33,IF(A642&gt;='材料与任务'!$E$25,'材料与任务'!$E$27,IF(A642&gt;='材料与任务'!$E$19,'材料与任务'!$E$21,IF(A642&gt;='材料与任务'!$E$13,'材料与任务'!$E$15,'材料与任务'!$E$9)))))*G642,0)</x:f>
        <x:v>3</x:v>
      </x:c>
      <x:c r="R642" s="110" t="n">
        <x:f>'装备掉落'!$B$38</x:f>
        <x:v>0.6872058758851213</x:v>
      </x:c>
      <x:c r="S642" s="119" t="n">
        <x:f>MAX(IF(VLOOKUP(A642,'装备掉落'!$A$29:$H$34,2,TRUE)&gt;0,1,0),IF(VLOOKUP(A642,'装备掉落'!$A$29:$H$34,3,TRUE)&gt;0,2,0),IF(VLOOKUP(A642,'装备掉落'!$A$29:$H$34,4,TRUE)&gt;0,3,0),IF(VLOOKUP(A642,'装备掉落'!$A$29:$H$34,5,TRUE)&gt;0,4,0),IF(VLOOKUP(A642,'装备掉落'!$A$29:$H$34,6,TRUE)&gt;0,5,0),IF(VLOOKUP(A642,'装备掉落'!$A$29:$H$34,7,TRUE)&gt;0,6,0),IF(VLOOKUP(A642,'装备掉落'!$A$29:$H$34,8,TRUE)&gt;0,7,0))</x:f>
        <x:v>7</x:v>
      </x:c>
      <x:c r="T642" s="119" t="n">
        <x:f>MIN(7,S642+'经济参数'!$E$70)</x:f>
        <x:v>7</x:v>
      </x:c>
      <x:c r="U642" s="119" t="n">
        <x:f>MIN(7,S642+'经济参数'!$E$71)</x:f>
        <x:v>7</x:v>
      </x:c>
      <x:c r="V642" s="119" t="n">
        <x:f>IF(H642&gt;=('难度参数'!$E$52),1,0)+IF(H642&gt;=('难度参数'!$E$52+'难度参数'!$E$53),1,0)+IF(H642&gt;=('难度参数'!$E$52+'难度参数'!$E$53+'难度参数'!$E$54),1,0)+IF(H642&gt;=('难度参数'!$E$52+'难度参数'!$E$53+'难度参数'!$E$54+'难度参数'!$E$55),1,0)+IF(H642&gt;=('难度参数'!$E$52+'难度参数'!$E$53+'难度参数'!$E$54+'难度参数'!$E$55+'难度参数'!$E$56),1,0)+IF(H642&gt;=('难度参数'!$E$52+'难度参数'!$E$53+'难度参数'!$E$54+'难度参数'!$E$55+'难度参数'!$E$56+'难度参数'!$E$57),1,0)</x:f>
        <x:v>6</x:v>
      </x:c>
      <x:c r="W642" s="62" t="str">
        <x:f>IF(L642&gt;'难度参数'!$E$51,"仅出怪已超目标","还需实测")</x:f>
        <x:v>仅出怪已超目标</x:v>
      </x:c>
      <x:c r="X642" s="119" t="n">
        <x:f>IF(1&gt;D642,0,MAX(2,MIN('难度参数'!$E$12,ROUND(('难度参数'!$E$18*POWER(A642,'难度参数'!$E$19)/D642*(0.85+0.3*(1-1)/MAX(1,D642-1))),0)+F642)))</x:f>
        <x:v>38</x:v>
      </x:c>
      <x:c r="Y642" s="119" t="n">
        <x:f>IF(1&gt;D642,0,ROUND(('难度参数'!$E$13*POWER(A642,'难度参数'!$E$20)*MIN('难度参数'!$E$23,1+MAX(0,A642-'难度参数'!$E$21)*'难度参数'!$E$22))*(36+1*7)/(36+7*(D642+1)/2)*E642,0))</x:f>
        <x:v>9465</x:v>
      </x:c>
      <x:c r="Z642" s="119" t="n">
        <x:f>IF(X642=0,0,(X642-IF(1=D642,1,0))*ROUND(Y642*VLOOKUP(INDEX('章节与怪物'!$E$31:$K$37,B642,1),'章节与怪物'!$A$41:$F$44,2,FALSE),0)+IF(1=D642,ROUND(Y642*'难度参数'!$E$28*'章节与怪物'!$E$17,0),0))</x:f>
        <x:v>258970</x:v>
      </x:c>
      <x:c r="AA642" s="119" t="n">
        <x:f>IF(X642=0,0,(X642-IF(1=D642,1,0))*VLOOKUP(INDEX('章节与怪物'!$E$31:$K$37,B642,1),'章节与怪物'!$A$41:$F$44,4,FALSE)+IF(1=D642,'难度参数'!$E$30,0))</x:f>
        <x:v>760</x:v>
      </x:c>
      <x:c r="AB642" s="119" t="n">
        <x:f>IF(2&gt;D642,0,MAX(2,MIN('难度参数'!$E$12,ROUND(('难度参数'!$E$18*POWER(A642,'难度参数'!$E$19)/D642*(0.85+0.3*(2-1)/MAX(1,D642-1))),0)+F642)))</x:f>
        <x:v>41</x:v>
      </x:c>
      <x:c r="AC642" s="119" t="n">
        <x:f>IF(2&gt;D642,0,ROUND(('难度参数'!$E$13*POWER(A642,'难度参数'!$E$20)*MIN('难度参数'!$E$23,1+MAX(0,A642-'难度参数'!$E$21)*'难度参数'!$E$22))*(36+2*7)/(36+7*(D642+1)/2)*E642,0))</x:f>
        <x:v>11006</x:v>
      </x:c>
      <x:c r="AD642" s="119" t="n">
        <x:f>IF(AB642=0,0,(AB642-IF(2=D642,1,0))*ROUND(AC642*VLOOKUP(INDEX('章节与怪物'!$E$31:$K$37,B642,2),'章节与怪物'!$A$41:$F$44,2,FALSE),0)+IF(2=D642,ROUND(AC642*'难度参数'!$E$28*'章节与怪物'!$E$17,0),0))</x:f>
        <x:v>451246</x:v>
      </x:c>
      <x:c r="AE642" s="119" t="n">
        <x:f>IF(AB642=0,0,(AB642-IF(2=D642,1,0))*VLOOKUP(INDEX('章节与怪物'!$E$31:$K$37,B642,2),'章节与怪物'!$A$41:$F$44,4,FALSE)+IF(2=D642,'难度参数'!$E$30,0))</x:f>
        <x:v>738</x:v>
      </x:c>
      <x:c r="AF642" s="119" t="n">
        <x:f>IF(3&gt;D642,0,MAX(2,MIN('难度参数'!$E$12,ROUND(('难度参数'!$E$18*POWER(A642,'难度参数'!$E$19)/D642*(0.85+0.3*(3-1)/MAX(1,D642-1))),0)+F642)))</x:f>
        <x:v>43</x:v>
      </x:c>
      <x:c r="AG642" s="119" t="n">
        <x:f>IF(3&gt;D642,0,ROUND(('难度参数'!$E$13*POWER(A642,'难度参数'!$E$20)*MIN('难度参数'!$E$23,1+MAX(0,A642-'难度参数'!$E$21)*'难度参数'!$E$22))*(36+3*7)/(36+7*(D642+1)/2)*E642,0))</x:f>
        <x:v>12546</x:v>
      </x:c>
      <x:c r="AH642" s="119" t="n">
        <x:f>IF(AF642=0,0,(AF642-IF(3=D642,1,0))*ROUND(AG642*VLOOKUP(INDEX('章节与怪物'!$E$31:$K$37,B642,3),'章节与怪物'!$A$41:$F$44,2,FALSE),0)+IF(3=D642,ROUND(AG642*'难度参数'!$E$28*'章节与怪物'!$E$17,0),0))</x:f>
        <x:v>917104</x:v>
      </x:c>
      <x:c r="AI642" s="119" t="n">
        <x:f>IF(AF642=0,0,(AF642-IF(3=D642,1,0))*VLOOKUP(INDEX('章节与怪物'!$E$31:$K$37,B642,3),'章节与怪物'!$A$41:$F$44,4,FALSE)+IF(3=D642,'难度参数'!$E$30,0))</x:f>
        <x:v>1204</x:v>
      </x:c>
      <x:c r="AJ642" s="119" t="n">
        <x:f>IF(4&gt;D642,0,MAX(2,MIN('难度参数'!$E$12,ROUND(('难度参数'!$E$18*POWER(A642,'难度参数'!$E$19)/D642*(0.85+0.3*(4-1)/MAX(1,D642-1))),0)+F642)))</x:f>
        <x:v>45</x:v>
      </x:c>
      <x:c r="AK642" s="119" t="n">
        <x:f>IF(4&gt;D642,0,ROUND(('难度参数'!$E$13*POWER(A642,'难度参数'!$E$20)*MIN('难度参数'!$E$23,1+MAX(0,A642-'难度参数'!$E$21)*'难度参数'!$E$22))*(36+4*7)/(36+7*(D642+1)/2)*E642,0))</x:f>
        <x:v>14087</x:v>
      </x:c>
      <x:c r="AL642" s="119" t="n">
        <x:f>IF(AJ642=0,0,(AJ642-IF(4=D642,1,0))*ROUND(AK642*VLOOKUP(INDEX('章节与怪物'!$E$31:$K$37,B642,4),'章节与怪物'!$A$41:$F$44,2,FALSE),0)+IF(4=D642,ROUND(AK642*'难度参数'!$E$28*'章节与怪物'!$E$17,0),0))</x:f>
        <x:v>855765</x:v>
      </x:c>
      <x:c r="AM642" s="119" t="n">
        <x:f>IF(AJ642=0,0,(AJ642-IF(4=D642,1,0))*VLOOKUP(INDEX('章节与怪物'!$E$31:$K$37,B642,4),'章节与怪物'!$A$41:$F$44,4,FALSE)+IF(4=D642,'难度参数'!$E$30,0))</x:f>
        <x:v>1530</x:v>
      </x:c>
      <x:c r="AN642" s="119" t="n">
        <x:f>IF(5&gt;D642,0,MAX(2,MIN('难度参数'!$E$12,ROUND(('难度参数'!$E$18*POWER(A642,'难度参数'!$E$19)/D642*(0.85+0.3*(5-1)/MAX(1,D642-1))),0)+F642)))</x:f>
        <x:v>47</x:v>
      </x:c>
      <x:c r="AO642" s="119" t="n">
        <x:f>IF(5&gt;D642,0,ROUND(('难度参数'!$E$13*POWER(A642,'难度参数'!$E$20)*MIN('难度参数'!$E$23,1+MAX(0,A642-'难度参数'!$E$21)*'难度参数'!$E$22))*(36+5*7)/(36+7*(D642+1)/2)*E642,0))</x:f>
        <x:v>15628</x:v>
      </x:c>
      <x:c r="AP642" s="119" t="n">
        <x:f>IF(AN642=0,0,(AN642-IF(5=D642,1,0))*ROUND(AO642*VLOOKUP(INDEX('章节与怪物'!$E$31:$K$37,B642,5),'章节与怪物'!$A$41:$F$44,2,FALSE),0)+IF(5=D642,ROUND(AO642*'难度参数'!$E$28*'章节与怪物'!$E$17,0),0))</x:f>
        <x:v>734516</x:v>
      </x:c>
      <x:c r="AQ642" s="119" t="n">
        <x:f>IF(AN642=0,0,(AN642-IF(5=D642,1,0))*VLOOKUP(INDEX('章节与怪物'!$E$31:$K$37,B642,5),'章节与怪物'!$A$41:$F$44,4,FALSE)+IF(5=D642,'难度参数'!$E$30,0))</x:f>
        <x:v>846</x:v>
      </x:c>
      <x:c r="AR642" s="119" t="n">
        <x:f>IF(6&gt;D642,0,MAX(2,MIN('难度参数'!$E$12,ROUND(('难度参数'!$E$18*POWER(A642,'难度参数'!$E$19)/D642*(0.85+0.3*(6-1)/MAX(1,D642-1))),0)+F642)))</x:f>
        <x:v>50</x:v>
      </x:c>
      <x:c r="AS642" s="119" t="n">
        <x:f>IF(6&gt;D642,0,ROUND(('难度参数'!$E$13*POWER(A642,'难度参数'!$E$20)*MIN('难度参数'!$E$23,1+MAX(0,A642-'难度参数'!$E$21)*'难度参数'!$E$22))*(36+6*7)/(36+7*(D642+1)/2)*E642,0))</x:f>
        <x:v>17169</x:v>
      </x:c>
      <x:c r="AT642" s="119" t="n">
        <x:f>IF(AR642=0,0,(AR642-IF(6=D642,1,0))*ROUND(AS642*VLOOKUP(INDEX('章节与怪物'!$E$31:$K$37,B642,6),'章节与怪物'!$A$41:$F$44,2,FALSE),0)+IF(6=D642,ROUND(AS642*'难度参数'!$E$28*'章节与怪物'!$E$17,0),0))</x:f>
        <x:v>1459350</x:v>
      </x:c>
      <x:c r="AU642" s="119" t="n">
        <x:f>IF(AR642=0,0,(AR642-IF(6=D642,1,0))*VLOOKUP(INDEX('章节与怪物'!$E$31:$K$37,B642,6),'章节与怪物'!$A$41:$F$44,4,FALSE)+IF(6=D642,'难度参数'!$E$30,0))</x:f>
        <x:v>1400</x:v>
      </x:c>
      <x:c r="AV642" s="119" t="n">
        <x:f>IF(7&gt;D642,0,MAX(2,MIN('难度参数'!$E$12,ROUND(('难度参数'!$E$18*POWER(A642,'难度参数'!$E$19)/D642*(0.85+0.3*(7-1)/MAX(1,D642-1))),0)+F642)))</x:f>
        <x:v>52</x:v>
      </x:c>
      <x:c r="AW642" s="119" t="n">
        <x:f>IF(7&gt;D642,0,ROUND(('难度参数'!$E$13*POWER(A642,'难度参数'!$E$20)*MIN('难度参数'!$E$23,1+MAX(0,A642-'难度参数'!$E$21)*'难度参数'!$E$22))*(36+7*7)/(36+7*(D642+1)/2)*E642,0))</x:f>
        <x:v>18709</x:v>
      </x:c>
      <x:c r="AX642" s="119" t="n">
        <x:f>IF(AV642=0,0,(AV642-IF(7=D642,1,0))*ROUND(AW642*VLOOKUP(INDEX('章节与怪物'!$E$31:$K$37,B642,7),'章节与怪物'!$A$41:$F$44,2,FALSE),0)+IF(7=D642,ROUND(AW642*'难度参数'!$E$28*'章节与怪物'!$E$17,0),0))</x:f>
        <x:v>1415328</x:v>
      </x:c>
      <x:c r="AY642" s="119" t="n">
        <x:f>IF(AV642=0,0,(AV642-IF(7=D642,1,0))*VLOOKUP(INDEX('章节与怪物'!$E$31:$K$37,B642,7),'章节与怪物'!$A$41:$F$44,4,FALSE)+IF(7=D642,'难度参数'!$E$30,0))</x:f>
        <x:v>1934</x:v>
      </x:c>
    </x:row>
    <x:row r="643" ht="23" customHeight="1">
      <x:c r="A643" s="119" t="n">
        <x:v>637</x:v>
      </x:c>
      <x:c r="B643" s="119" t="n">
        <x:f>MOD(INT((A643-1)/5),7)+1</x:f>
        <x:v>2</x:v>
      </x:c>
      <x:c r="C643" s="62" t="str">
        <x:f>INDEX('章节与怪物'!$B$31:$B$37,B643)</x:f>
        <x:v>黄沙要塞</x:v>
      </x:c>
      <x:c r="D643" s="119" t="n">
        <x:f>MIN('难度参数'!$E$8,MAX('难度参数'!$E$7,A643))</x:f>
        <x:v>7</x:v>
      </x:c>
      <x:c r="E643" s="106" t="n">
        <x:v>1</x:v>
      </x:c>
      <x:c r="F643" s="106" t="n">
        <x:v>0</x:v>
      </x:c>
      <x:c r="G643" s="106" t="n">
        <x:v>1</x:v>
      </x:c>
      <x:c r="H643" s="119" t="n">
        <x:f>SUM(X643,AB643,AF643,AJ643,AN643,AR643,AV643)</x:f>
        <x:v>316</x:v>
      </x:c>
      <x:c r="I643" s="119" t="n">
        <x:f>SUM(Z643,AD643,AH643,AL643,AP643,AT643,AX643)</x:f>
        <x:v>6099359</x:v>
      </x:c>
      <x:c r="J643" s="119" t="n">
        <x:f>ROUND(INDEX(X643:AY643,1,(D643-1)*4+2)*'难度参数'!$E$28*'章节与怪物'!$E$17,0)</x:f>
        <x:v>127371</x:v>
      </x:c>
      <x:c r="K643" s="119" t="n">
        <x:f>SUM(AA643,AE643,AI643,AM643,AQ643,AU643,AY643)</x:f>
        <x:v>8412</x:v>
      </x:c>
      <x:c r="L643" s="62" t="n">
        <x:f>H643*(ROUNDUP('难度参数'!$E$24/('难度参数'!$E$26*'难度参数'!$E$27),0)*'难度参数'!$E$26)/60</x:f>
        <x:v>4.213333333333334</x:v>
      </x:c>
      <x:c r="M643" s="62" t="n">
        <x:f>L643+D643*('难度参数'!$E$49+'难度参数'!$E$50)/60</x:f>
        <x:v>5.380000000000001</x:v>
      </x:c>
      <x:c r="N643" s="119" t="n">
        <x:f>ROUNDDOWN(('经济参数'!$E$20+A643*'经济参数'!$E$21)*G643,0)</x:f>
        <x:v>12920</x:v>
      </x:c>
      <x:c r="O643" s="119" t="n">
        <x:f>ROUNDDOWN(MIN('经济参数'!$E$24,'经济参数'!$E$22+A643*'经济参数'!$E$23)*G643,0)</x:f>
        <x:v>0</x:v>
      </x:c>
      <x:c r="P643" s="119" t="n">
        <x:f>ROUNDDOWN((IF(A643&gt;='材料与任务'!$E$31,'材料与任务'!$E$32,IF(A643&gt;='材料与任务'!$E$25,'材料与任务'!$E$26,IF(A643&gt;='材料与任务'!$E$19,'材料与任务'!$E$20,IF(A643&gt;='材料与任务'!$E$13,'材料与任务'!$E$14,'材料与任务'!$E$8)))))*G643,0)</x:f>
        <x:v>6</x:v>
      </x:c>
      <x:c r="Q643" s="119" t="n">
        <x:f>ROUNDDOWN((IF(A643&gt;='材料与任务'!$E$31,'材料与任务'!$E$33,IF(A643&gt;='材料与任务'!$E$25,'材料与任务'!$E$27,IF(A643&gt;='材料与任务'!$E$19,'材料与任务'!$E$21,IF(A643&gt;='材料与任务'!$E$13,'材料与任务'!$E$15,'材料与任务'!$E$9)))))*G643,0)</x:f>
        <x:v>3</x:v>
      </x:c>
      <x:c r="R643" s="110" t="n">
        <x:f>'装备掉落'!$B$38</x:f>
        <x:v>0.6872058758851213</x:v>
      </x:c>
      <x:c r="S643" s="119" t="n">
        <x:f>MAX(IF(VLOOKUP(A643,'装备掉落'!$A$29:$H$34,2,TRUE)&gt;0,1,0),IF(VLOOKUP(A643,'装备掉落'!$A$29:$H$34,3,TRUE)&gt;0,2,0),IF(VLOOKUP(A643,'装备掉落'!$A$29:$H$34,4,TRUE)&gt;0,3,0),IF(VLOOKUP(A643,'装备掉落'!$A$29:$H$34,5,TRUE)&gt;0,4,0),IF(VLOOKUP(A643,'装备掉落'!$A$29:$H$34,6,TRUE)&gt;0,5,0),IF(VLOOKUP(A643,'装备掉落'!$A$29:$H$34,7,TRUE)&gt;0,6,0),IF(VLOOKUP(A643,'装备掉落'!$A$29:$H$34,8,TRUE)&gt;0,7,0))</x:f>
        <x:v>7</x:v>
      </x:c>
      <x:c r="T643" s="119" t="n">
        <x:f>MIN(7,S643+'经济参数'!$E$70)</x:f>
        <x:v>7</x:v>
      </x:c>
      <x:c r="U643" s="119" t="n">
        <x:f>MIN(7,S643+'经济参数'!$E$71)</x:f>
        <x:v>7</x:v>
      </x:c>
      <x:c r="V643" s="119" t="n">
        <x:f>IF(H643&gt;=('难度参数'!$E$52),1,0)+IF(H643&gt;=('难度参数'!$E$52+'难度参数'!$E$53),1,0)+IF(H643&gt;=('难度参数'!$E$52+'难度参数'!$E$53+'难度参数'!$E$54),1,0)+IF(H643&gt;=('难度参数'!$E$52+'难度参数'!$E$53+'难度参数'!$E$54+'难度参数'!$E$55),1,0)+IF(H643&gt;=('难度参数'!$E$52+'难度参数'!$E$53+'难度参数'!$E$54+'难度参数'!$E$55+'难度参数'!$E$56),1,0)+IF(H643&gt;=('难度参数'!$E$52+'难度参数'!$E$53+'难度参数'!$E$54+'难度参数'!$E$55+'难度参数'!$E$56+'难度参数'!$E$57),1,0)</x:f>
        <x:v>6</x:v>
      </x:c>
      <x:c r="W643" s="62" t="str">
        <x:f>IF(L643&gt;'难度参数'!$E$51,"仅出怪已超目标","还需实测")</x:f>
        <x:v>仅出怪已超目标</x:v>
      </x:c>
      <x:c r="X643" s="119" t="n">
        <x:f>IF(1&gt;D643,0,MAX(2,MIN('难度参数'!$E$12,ROUND(('难度参数'!$E$18*POWER(A643,'难度参数'!$E$19)/D643*(0.85+0.3*(1-1)/MAX(1,D643-1))),0)+F643)))</x:f>
        <x:v>38</x:v>
      </x:c>
      <x:c r="Y643" s="119" t="n">
        <x:f>IF(1&gt;D643,0,ROUND(('难度参数'!$E$13*POWER(A643,'难度参数'!$E$20)*MIN('难度参数'!$E$23,1+MAX(0,A643-'难度参数'!$E$21)*'难度参数'!$E$22))*(36+1*7)/(36+7*(D643+1)/2)*E643,0))</x:f>
        <x:v>9476</x:v>
      </x:c>
      <x:c r="Z643" s="119" t="n">
        <x:f>IF(X643=0,0,(X643-IF(1=D643,1,0))*ROUND(Y643*VLOOKUP(INDEX('章节与怪物'!$E$31:$K$37,B643,1),'章节与怪物'!$A$41:$F$44,2,FALSE),0)+IF(1=D643,ROUND(Y643*'难度参数'!$E$28*'章节与怪物'!$E$17,0),0))</x:f>
        <x:v>259274</x:v>
      </x:c>
      <x:c r="AA643" s="119" t="n">
        <x:f>IF(X643=0,0,(X643-IF(1=D643,1,0))*VLOOKUP(INDEX('章节与怪物'!$E$31:$K$37,B643,1),'章节与怪物'!$A$41:$F$44,4,FALSE)+IF(1=D643,'难度参数'!$E$30,0))</x:f>
        <x:v>760</x:v>
      </x:c>
      <x:c r="AB643" s="119" t="n">
        <x:f>IF(2&gt;D643,0,MAX(2,MIN('难度参数'!$E$12,ROUND(('难度参数'!$E$18*POWER(A643,'难度参数'!$E$19)/D643*(0.85+0.3*(2-1)/MAX(1,D643-1))),0)+F643)))</x:f>
        <x:v>41</x:v>
      </x:c>
      <x:c r="AC643" s="119" t="n">
        <x:f>IF(2&gt;D643,0,ROUND(('难度参数'!$E$13*POWER(A643,'难度参数'!$E$20)*MIN('难度参数'!$E$23,1+MAX(0,A643-'难度参数'!$E$21)*'难度参数'!$E$22))*(36+2*7)/(36+7*(D643+1)/2)*E643,0))</x:f>
        <x:v>11018</x:v>
      </x:c>
      <x:c r="AD643" s="119" t="n">
        <x:f>IF(AB643=0,0,(AB643-IF(2=D643,1,0))*ROUND(AC643*VLOOKUP(INDEX('章节与怪物'!$E$31:$K$37,B643,2),'章节与怪物'!$A$41:$F$44,2,FALSE),0)+IF(2=D643,ROUND(AC643*'难度参数'!$E$28*'章节与怪物'!$E$17,0),0))</x:f>
        <x:v>451738</x:v>
      </x:c>
      <x:c r="AE643" s="119" t="n">
        <x:f>IF(AB643=0,0,(AB643-IF(2=D643,1,0))*VLOOKUP(INDEX('章节与怪物'!$E$31:$K$37,B643,2),'章节与怪物'!$A$41:$F$44,4,FALSE)+IF(2=D643,'难度参数'!$E$30,0))</x:f>
        <x:v>738</x:v>
      </x:c>
      <x:c r="AF643" s="119" t="n">
        <x:f>IF(3&gt;D643,0,MAX(2,MIN('难度参数'!$E$12,ROUND(('难度参数'!$E$18*POWER(A643,'难度参数'!$E$19)/D643*(0.85+0.3*(3-1)/MAX(1,D643-1))),0)+F643)))</x:f>
        <x:v>43</x:v>
      </x:c>
      <x:c r="AG643" s="119" t="n">
        <x:f>IF(3&gt;D643,0,ROUND(('难度参数'!$E$13*POWER(A643,'难度参数'!$E$20)*MIN('难度参数'!$E$23,1+MAX(0,A643-'难度参数'!$E$21)*'难度参数'!$E$22))*(36+3*7)/(36+7*(D643+1)/2)*E643,0))</x:f>
        <x:v>12561</x:v>
      </x:c>
      <x:c r="AH643" s="119" t="n">
        <x:f>IF(AF643=0,0,(AF643-IF(3=D643,1,0))*ROUND(AG643*VLOOKUP(INDEX('章节与怪物'!$E$31:$K$37,B643,3),'章节与怪物'!$A$41:$F$44,2,FALSE),0)+IF(3=D643,ROUND(AG643*'难度参数'!$E$28*'章节与怪物'!$E$17,0),0))</x:f>
        <x:v>918222</x:v>
      </x:c>
      <x:c r="AI643" s="119" t="n">
        <x:f>IF(AF643=0,0,(AF643-IF(3=D643,1,0))*VLOOKUP(INDEX('章节与怪物'!$E$31:$K$37,B643,3),'章节与怪物'!$A$41:$F$44,4,FALSE)+IF(3=D643,'难度参数'!$E$30,0))</x:f>
        <x:v>1204</x:v>
      </x:c>
      <x:c r="AJ643" s="119" t="n">
        <x:f>IF(4&gt;D643,0,MAX(2,MIN('难度参数'!$E$12,ROUND(('难度参数'!$E$18*POWER(A643,'难度参数'!$E$19)/D643*(0.85+0.3*(4-1)/MAX(1,D643-1))),0)+F643)))</x:f>
        <x:v>45</x:v>
      </x:c>
      <x:c r="AK643" s="119" t="n">
        <x:f>IF(4&gt;D643,0,ROUND(('难度参数'!$E$13*POWER(A643,'难度参数'!$E$20)*MIN('难度参数'!$E$23,1+MAX(0,A643-'难度参数'!$E$21)*'难度参数'!$E$22))*(36+4*7)/(36+7*(D643+1)/2)*E643,0))</x:f>
        <x:v>14103</x:v>
      </x:c>
      <x:c r="AL643" s="119" t="n">
        <x:f>IF(AJ643=0,0,(AJ643-IF(4=D643,1,0))*ROUND(AK643*VLOOKUP(INDEX('章节与怪物'!$E$31:$K$37,B643,4),'章节与怪物'!$A$41:$F$44,2,FALSE),0)+IF(4=D643,ROUND(AK643*'难度参数'!$E$28*'章节与怪物'!$E$17,0),0))</x:f>
        <x:v>856755</x:v>
      </x:c>
      <x:c r="AM643" s="119" t="n">
        <x:f>IF(AJ643=0,0,(AJ643-IF(4=D643,1,0))*VLOOKUP(INDEX('章节与怪物'!$E$31:$K$37,B643,4),'章节与怪物'!$A$41:$F$44,4,FALSE)+IF(4=D643,'难度参数'!$E$30,0))</x:f>
        <x:v>1530</x:v>
      </x:c>
      <x:c r="AN643" s="119" t="n">
        <x:f>IF(5&gt;D643,0,MAX(2,MIN('难度参数'!$E$12,ROUND(('难度参数'!$E$18*POWER(A643,'难度参数'!$E$19)/D643*(0.85+0.3*(5-1)/MAX(1,D643-1))),0)+F643)))</x:f>
        <x:v>47</x:v>
      </x:c>
      <x:c r="AO643" s="119" t="n">
        <x:f>IF(5&gt;D643,0,ROUND(('难度参数'!$E$13*POWER(A643,'难度参数'!$E$20)*MIN('难度参数'!$E$23,1+MAX(0,A643-'难度参数'!$E$21)*'难度参数'!$E$22))*(36+5*7)/(36+7*(D643+1)/2)*E643,0))</x:f>
        <x:v>15646</x:v>
      </x:c>
      <x:c r="AP643" s="119" t="n">
        <x:f>IF(AN643=0,0,(AN643-IF(5=D643,1,0))*ROUND(AO643*VLOOKUP(INDEX('章节与怪物'!$E$31:$K$37,B643,5),'章节与怪物'!$A$41:$F$44,2,FALSE),0)+IF(5=D643,ROUND(AO643*'难度参数'!$E$28*'章节与怪物'!$E$17,0),0))</x:f>
        <x:v>735362</x:v>
      </x:c>
      <x:c r="AQ643" s="119" t="n">
        <x:f>IF(AN643=0,0,(AN643-IF(5=D643,1,0))*VLOOKUP(INDEX('章节与怪物'!$E$31:$K$37,B643,5),'章节与怪物'!$A$41:$F$44,4,FALSE)+IF(5=D643,'难度参数'!$E$30,0))</x:f>
        <x:v>846</x:v>
      </x:c>
      <x:c r="AR643" s="119" t="n">
        <x:f>IF(6&gt;D643,0,MAX(2,MIN('难度参数'!$E$12,ROUND(('难度参数'!$E$18*POWER(A643,'难度参数'!$E$19)/D643*(0.85+0.3*(6-1)/MAX(1,D643-1))),0)+F643)))</x:f>
        <x:v>50</x:v>
      </x:c>
      <x:c r="AS643" s="119" t="n">
        <x:f>IF(6&gt;D643,0,ROUND(('难度参数'!$E$13*POWER(A643,'难度参数'!$E$20)*MIN('难度参数'!$E$23,1+MAX(0,A643-'难度参数'!$E$21)*'难度参数'!$E$22))*(36+6*7)/(36+7*(D643+1)/2)*E643,0))</x:f>
        <x:v>17188</x:v>
      </x:c>
      <x:c r="AT643" s="119" t="n">
        <x:f>IF(AR643=0,0,(AR643-IF(6=D643,1,0))*ROUND(AS643*VLOOKUP(INDEX('章节与怪物'!$E$31:$K$37,B643,6),'章节与怪物'!$A$41:$F$44,2,FALSE),0)+IF(6=D643,ROUND(AS643*'难度参数'!$E$28*'章节与怪物'!$E$17,0),0))</x:f>
        <x:v>1461000</x:v>
      </x:c>
      <x:c r="AU643" s="119" t="n">
        <x:f>IF(AR643=0,0,(AR643-IF(6=D643,1,0))*VLOOKUP(INDEX('章节与怪物'!$E$31:$K$37,B643,6),'章节与怪物'!$A$41:$F$44,4,FALSE)+IF(6=D643,'难度参数'!$E$30,0))</x:f>
        <x:v>1400</x:v>
      </x:c>
      <x:c r="AV643" s="119" t="n">
        <x:f>IF(7&gt;D643,0,MAX(2,MIN('难度参数'!$E$12,ROUND(('难度参数'!$E$18*POWER(A643,'难度参数'!$E$19)/D643*(0.85+0.3*(7-1)/MAX(1,D643-1))),0)+F643)))</x:f>
        <x:v>52</x:v>
      </x:c>
      <x:c r="AW643" s="119" t="n">
        <x:f>IF(7&gt;D643,0,ROUND(('难度参数'!$E$13*POWER(A643,'难度参数'!$E$20)*MIN('难度参数'!$E$23,1+MAX(0,A643-'难度参数'!$E$21)*'难度参数'!$E$22))*(36+7*7)/(36+7*(D643+1)/2)*E643,0))</x:f>
        <x:v>18731</x:v>
      </x:c>
      <x:c r="AX643" s="119" t="n">
        <x:f>IF(AV643=0,0,(AV643-IF(7=D643,1,0))*ROUND(AW643*VLOOKUP(INDEX('章节与怪物'!$E$31:$K$37,B643,7),'章节与怪物'!$A$41:$F$44,2,FALSE),0)+IF(7=D643,ROUND(AW643*'难度参数'!$E$28*'章节与怪物'!$E$17,0),0))</x:f>
        <x:v>1417008</x:v>
      </x:c>
      <x:c r="AY643" s="119" t="n">
        <x:f>IF(AV643=0,0,(AV643-IF(7=D643,1,0))*VLOOKUP(INDEX('章节与怪物'!$E$31:$K$37,B643,7),'章节与怪物'!$A$41:$F$44,4,FALSE)+IF(7=D643,'难度参数'!$E$30,0))</x:f>
        <x:v>1934</x:v>
      </x:c>
    </x:row>
    <x:row r="644" ht="23" customHeight="1">
      <x:c r="A644" s="119" t="n">
        <x:v>638</x:v>
      </x:c>
      <x:c r="B644" s="119" t="n">
        <x:f>MOD(INT((A644-1)/5),7)+1</x:f>
        <x:v>2</x:v>
      </x:c>
      <x:c r="C644" s="62" t="str">
        <x:f>INDEX('章节与怪物'!$B$31:$B$37,B644)</x:f>
        <x:v>黄沙要塞</x:v>
      </x:c>
      <x:c r="D644" s="119" t="n">
        <x:f>MIN('难度参数'!$E$8,MAX('难度参数'!$E$7,A644))</x:f>
        <x:v>7</x:v>
      </x:c>
      <x:c r="E644" s="106" t="n">
        <x:v>1</x:v>
      </x:c>
      <x:c r="F644" s="106" t="n">
        <x:v>0</x:v>
      </x:c>
      <x:c r="G644" s="106" t="n">
        <x:v>1</x:v>
      </x:c>
      <x:c r="H644" s="119" t="n">
        <x:f>SUM(X644,AB644,AF644,AJ644,AN644,AR644,AV644)</x:f>
        <x:v>316</x:v>
      </x:c>
      <x:c r="I644" s="119" t="n">
        <x:f>SUM(Z644,AD644,AH644,AL644,AP644,AT644,AX644)</x:f>
        <x:v>6106209</x:v>
      </x:c>
      <x:c r="J644" s="119" t="n">
        <x:f>ROUND(INDEX(X644:AY644,1,(D644-1)*4+2)*'难度参数'!$E$28*'章节与怪物'!$E$17,0)</x:f>
        <x:v>127514</x:v>
      </x:c>
      <x:c r="K644" s="119" t="n">
        <x:f>SUM(AA644,AE644,AI644,AM644,AQ644,AU644,AY644)</x:f>
        <x:v>8412</x:v>
      </x:c>
      <x:c r="L644" s="62" t="n">
        <x:f>H644*(ROUNDUP('难度参数'!$E$24/('难度参数'!$E$26*'难度参数'!$E$27),0)*'难度参数'!$E$26)/60</x:f>
        <x:v>4.213333333333334</x:v>
      </x:c>
      <x:c r="M644" s="62" t="n">
        <x:f>L644+D644*('难度参数'!$E$49+'难度参数'!$E$50)/60</x:f>
        <x:v>5.380000000000001</x:v>
      </x:c>
      <x:c r="N644" s="119" t="n">
        <x:f>ROUNDDOWN(('经济参数'!$E$20+A644*'经济参数'!$E$21)*G644,0)</x:f>
        <x:v>12940</x:v>
      </x:c>
      <x:c r="O644" s="119" t="n">
        <x:f>ROUNDDOWN(MIN('经济参数'!$E$24,'经济参数'!$E$22+A644*'经济参数'!$E$23)*G644,0)</x:f>
        <x:v>0</x:v>
      </x:c>
      <x:c r="P644" s="119" t="n">
        <x:f>ROUNDDOWN((IF(A644&gt;='材料与任务'!$E$31,'材料与任务'!$E$32,IF(A644&gt;='材料与任务'!$E$25,'材料与任务'!$E$26,IF(A644&gt;='材料与任务'!$E$19,'材料与任务'!$E$20,IF(A644&gt;='材料与任务'!$E$13,'材料与任务'!$E$14,'材料与任务'!$E$8)))))*G644,0)</x:f>
        <x:v>6</x:v>
      </x:c>
      <x:c r="Q644" s="119" t="n">
        <x:f>ROUNDDOWN((IF(A644&gt;='材料与任务'!$E$31,'材料与任务'!$E$33,IF(A644&gt;='材料与任务'!$E$25,'材料与任务'!$E$27,IF(A644&gt;='材料与任务'!$E$19,'材料与任务'!$E$21,IF(A644&gt;='材料与任务'!$E$13,'材料与任务'!$E$15,'材料与任务'!$E$9)))))*G644,0)</x:f>
        <x:v>3</x:v>
      </x:c>
      <x:c r="R644" s="110" t="n">
        <x:f>'装备掉落'!$B$38</x:f>
        <x:v>0.6872058758851213</x:v>
      </x:c>
      <x:c r="S644" s="119" t="n">
        <x:f>MAX(IF(VLOOKUP(A644,'装备掉落'!$A$29:$H$34,2,TRUE)&gt;0,1,0),IF(VLOOKUP(A644,'装备掉落'!$A$29:$H$34,3,TRUE)&gt;0,2,0),IF(VLOOKUP(A644,'装备掉落'!$A$29:$H$34,4,TRUE)&gt;0,3,0),IF(VLOOKUP(A644,'装备掉落'!$A$29:$H$34,5,TRUE)&gt;0,4,0),IF(VLOOKUP(A644,'装备掉落'!$A$29:$H$34,6,TRUE)&gt;0,5,0),IF(VLOOKUP(A644,'装备掉落'!$A$29:$H$34,7,TRUE)&gt;0,6,0),IF(VLOOKUP(A644,'装备掉落'!$A$29:$H$34,8,TRUE)&gt;0,7,0))</x:f>
        <x:v>7</x:v>
      </x:c>
      <x:c r="T644" s="119" t="n">
        <x:f>MIN(7,S644+'经济参数'!$E$70)</x:f>
        <x:v>7</x:v>
      </x:c>
      <x:c r="U644" s="119" t="n">
        <x:f>MIN(7,S644+'经济参数'!$E$71)</x:f>
        <x:v>7</x:v>
      </x:c>
      <x:c r="V644" s="119" t="n">
        <x:f>IF(H644&gt;=('难度参数'!$E$52),1,0)+IF(H644&gt;=('难度参数'!$E$52+'难度参数'!$E$53),1,0)+IF(H644&gt;=('难度参数'!$E$52+'难度参数'!$E$53+'难度参数'!$E$54),1,0)+IF(H644&gt;=('难度参数'!$E$52+'难度参数'!$E$53+'难度参数'!$E$54+'难度参数'!$E$55),1,0)+IF(H644&gt;=('难度参数'!$E$52+'难度参数'!$E$53+'难度参数'!$E$54+'难度参数'!$E$55+'难度参数'!$E$56),1,0)+IF(H644&gt;=('难度参数'!$E$52+'难度参数'!$E$53+'难度参数'!$E$54+'难度参数'!$E$55+'难度参数'!$E$56+'难度参数'!$E$57),1,0)</x:f>
        <x:v>6</x:v>
      </x:c>
      <x:c r="W644" s="62" t="str">
        <x:f>IF(L644&gt;'难度参数'!$E$51,"仅出怪已超目标","还需实测")</x:f>
        <x:v>仅出怪已超目标</x:v>
      </x:c>
      <x:c r="X644" s="119" t="n">
        <x:f>IF(1&gt;D644,0,MAX(2,MIN('难度参数'!$E$12,ROUND(('难度参数'!$E$18*POWER(A644,'难度参数'!$E$19)/D644*(0.85+0.3*(1-1)/MAX(1,D644-1))),0)+F644)))</x:f>
        <x:v>38</x:v>
      </x:c>
      <x:c r="Y644" s="119" t="n">
        <x:f>IF(1&gt;D644,0,ROUND(('难度参数'!$E$13*POWER(A644,'难度参数'!$E$20)*MIN('难度参数'!$E$23,1+MAX(0,A644-'难度参数'!$E$21)*'难度参数'!$E$22))*(36+1*7)/(36+7*(D644+1)/2)*E644,0))</x:f>
        <x:v>9486</x:v>
      </x:c>
      <x:c r="Z644" s="119" t="n">
        <x:f>IF(X644=0,0,(X644-IF(1=D644,1,0))*ROUND(Y644*VLOOKUP(INDEX('章节与怪物'!$E$31:$K$37,B644,1),'章节与怪物'!$A$41:$F$44,2,FALSE),0)+IF(1=D644,ROUND(Y644*'难度参数'!$E$28*'章节与怪物'!$E$17,0),0))</x:f>
        <x:v>259540</x:v>
      </x:c>
      <x:c r="AA644" s="119" t="n">
        <x:f>IF(X644=0,0,(X644-IF(1=D644,1,0))*VLOOKUP(INDEX('章节与怪物'!$E$31:$K$37,B644,1),'章节与怪物'!$A$41:$F$44,4,FALSE)+IF(1=D644,'难度参数'!$E$30,0))</x:f>
        <x:v>760</x:v>
      </x:c>
      <x:c r="AB644" s="119" t="n">
        <x:f>IF(2&gt;D644,0,MAX(2,MIN('难度参数'!$E$12,ROUND(('难度参数'!$E$18*POWER(A644,'难度参数'!$E$19)/D644*(0.85+0.3*(2-1)/MAX(1,D644-1))),0)+F644)))</x:f>
        <x:v>41</x:v>
      </x:c>
      <x:c r="AC644" s="119" t="n">
        <x:f>IF(2&gt;D644,0,ROUND(('难度参数'!$E$13*POWER(A644,'难度参数'!$E$20)*MIN('难度参数'!$E$23,1+MAX(0,A644-'难度参数'!$E$21)*'难度参数'!$E$22))*(36+2*7)/(36+7*(D644+1)/2)*E644,0))</x:f>
        <x:v>11030</x:v>
      </x:c>
      <x:c r="AD644" s="119" t="n">
        <x:f>IF(AB644=0,0,(AB644-IF(2=D644,1,0))*ROUND(AC644*VLOOKUP(INDEX('章节与怪物'!$E$31:$K$37,B644,2),'章节与怪物'!$A$41:$F$44,2,FALSE),0)+IF(2=D644,ROUND(AC644*'难度参数'!$E$28*'章节与怪物'!$E$17,0),0))</x:f>
        <x:v>452230</x:v>
      </x:c>
      <x:c r="AE644" s="119" t="n">
        <x:f>IF(AB644=0,0,(AB644-IF(2=D644,1,0))*VLOOKUP(INDEX('章节与怪物'!$E$31:$K$37,B644,2),'章节与怪物'!$A$41:$F$44,4,FALSE)+IF(2=D644,'难度参数'!$E$30,0))</x:f>
        <x:v>738</x:v>
      </x:c>
      <x:c r="AF644" s="119" t="n">
        <x:f>IF(3&gt;D644,0,MAX(2,MIN('难度参数'!$E$12,ROUND(('难度参数'!$E$18*POWER(A644,'难度参数'!$E$19)/D644*(0.85+0.3*(3-1)/MAX(1,D644-1))),0)+F644)))</x:f>
        <x:v>43</x:v>
      </x:c>
      <x:c r="AG644" s="119" t="n">
        <x:f>IF(3&gt;D644,0,ROUND(('难度参数'!$E$13*POWER(A644,'难度参数'!$E$20)*MIN('难度参数'!$E$23,1+MAX(0,A644-'难度参数'!$E$21)*'难度参数'!$E$22))*(36+3*7)/(36+7*(D644+1)/2)*E644,0))</x:f>
        <x:v>12575</x:v>
      </x:c>
      <x:c r="AH644" s="119" t="n">
        <x:f>IF(AF644=0,0,(AF644-IF(3=D644,1,0))*ROUND(AG644*VLOOKUP(INDEX('章节与怪物'!$E$31:$K$37,B644,3),'章节与怪物'!$A$41:$F$44,2,FALSE),0)+IF(3=D644,ROUND(AG644*'难度参数'!$E$28*'章节与怪物'!$E$17,0),0))</x:f>
        <x:v>919254</x:v>
      </x:c>
      <x:c r="AI644" s="119" t="n">
        <x:f>IF(AF644=0,0,(AF644-IF(3=D644,1,0))*VLOOKUP(INDEX('章节与怪物'!$E$31:$K$37,B644,3),'章节与怪物'!$A$41:$F$44,4,FALSE)+IF(3=D644,'难度参数'!$E$30,0))</x:f>
        <x:v>1204</x:v>
      </x:c>
      <x:c r="AJ644" s="119" t="n">
        <x:f>IF(4&gt;D644,0,MAX(2,MIN('难度参数'!$E$12,ROUND(('难度参数'!$E$18*POWER(A644,'难度参数'!$E$19)/D644*(0.85+0.3*(4-1)/MAX(1,D644-1))),0)+F644)))</x:f>
        <x:v>45</x:v>
      </x:c>
      <x:c r="AK644" s="119" t="n">
        <x:f>IF(4&gt;D644,0,ROUND(('难度参数'!$E$13*POWER(A644,'难度参数'!$E$20)*MIN('难度参数'!$E$23,1+MAX(0,A644-'难度参数'!$E$21)*'难度参数'!$E$22))*(36+4*7)/(36+7*(D644+1)/2)*E644,0))</x:f>
        <x:v>14119</x:v>
      </x:c>
      <x:c r="AL644" s="119" t="n">
        <x:f>IF(AJ644=0,0,(AJ644-IF(4=D644,1,0))*ROUND(AK644*VLOOKUP(INDEX('章节与怪物'!$E$31:$K$37,B644,4),'章节与怪物'!$A$41:$F$44,2,FALSE),0)+IF(4=D644,ROUND(AK644*'难度参数'!$E$28*'章节与怪物'!$E$17,0),0))</x:f>
        <x:v>857745</x:v>
      </x:c>
      <x:c r="AM644" s="119" t="n">
        <x:f>IF(AJ644=0,0,(AJ644-IF(4=D644,1,0))*VLOOKUP(INDEX('章节与怪物'!$E$31:$K$37,B644,4),'章节与怪物'!$A$41:$F$44,4,FALSE)+IF(4=D644,'难度参数'!$E$30,0))</x:f>
        <x:v>1530</x:v>
      </x:c>
      <x:c r="AN644" s="119" t="n">
        <x:f>IF(5&gt;D644,0,MAX(2,MIN('难度参数'!$E$12,ROUND(('难度参数'!$E$18*POWER(A644,'难度参数'!$E$19)/D644*(0.85+0.3*(5-1)/MAX(1,D644-1))),0)+F644)))</x:f>
        <x:v>47</x:v>
      </x:c>
      <x:c r="AO644" s="119" t="n">
        <x:f>IF(5&gt;D644,0,ROUND(('难度参数'!$E$13*POWER(A644,'难度参数'!$E$20)*MIN('难度参数'!$E$23,1+MAX(0,A644-'难度参数'!$E$21)*'难度参数'!$E$22))*(36+5*7)/(36+7*(D644+1)/2)*E644,0))</x:f>
        <x:v>15663</x:v>
      </x:c>
      <x:c r="AP644" s="119" t="n">
        <x:f>IF(AN644=0,0,(AN644-IF(5=D644,1,0))*ROUND(AO644*VLOOKUP(INDEX('章节与怪物'!$E$31:$K$37,B644,5),'章节与怪物'!$A$41:$F$44,2,FALSE),0)+IF(5=D644,ROUND(AO644*'难度参数'!$E$28*'章节与怪物'!$E$17,0),0))</x:f>
        <x:v>736161</x:v>
      </x:c>
      <x:c r="AQ644" s="119" t="n">
        <x:f>IF(AN644=0,0,(AN644-IF(5=D644,1,0))*VLOOKUP(INDEX('章节与怪物'!$E$31:$K$37,B644,5),'章节与怪物'!$A$41:$F$44,4,FALSE)+IF(5=D644,'难度参数'!$E$30,0))</x:f>
        <x:v>846</x:v>
      </x:c>
      <x:c r="AR644" s="119" t="n">
        <x:f>IF(6&gt;D644,0,MAX(2,MIN('难度参数'!$E$12,ROUND(('难度参数'!$E$18*POWER(A644,'难度参数'!$E$19)/D644*(0.85+0.3*(6-1)/MAX(1,D644-1))),0)+F644)))</x:f>
        <x:v>50</x:v>
      </x:c>
      <x:c r="AS644" s="119" t="n">
        <x:f>IF(6&gt;D644,0,ROUND(('难度参数'!$E$13*POWER(A644,'难度参数'!$E$20)*MIN('难度参数'!$E$23,1+MAX(0,A644-'难度参数'!$E$21)*'难度参数'!$E$22))*(36+6*7)/(36+7*(D644+1)/2)*E644,0))</x:f>
        <x:v>17208</x:v>
      </x:c>
      <x:c r="AT644" s="119" t="n">
        <x:f>IF(AR644=0,0,(AR644-IF(6=D644,1,0))*ROUND(AS644*VLOOKUP(INDEX('章节与怪物'!$E$31:$K$37,B644,6),'章节与怪物'!$A$41:$F$44,2,FALSE),0)+IF(6=D644,ROUND(AS644*'难度参数'!$E$28*'章节与怪物'!$E$17,0),0))</x:f>
        <x:v>1462700</x:v>
      </x:c>
      <x:c r="AU644" s="119" t="n">
        <x:f>IF(AR644=0,0,(AR644-IF(6=D644,1,0))*VLOOKUP(INDEX('章节与怪物'!$E$31:$K$37,B644,6),'章节与怪物'!$A$41:$F$44,4,FALSE)+IF(6=D644,'难度参数'!$E$30,0))</x:f>
        <x:v>1400</x:v>
      </x:c>
      <x:c r="AV644" s="119" t="n">
        <x:f>IF(7&gt;D644,0,MAX(2,MIN('难度参数'!$E$12,ROUND(('难度参数'!$E$18*POWER(A644,'难度参数'!$E$19)/D644*(0.85+0.3*(7-1)/MAX(1,D644-1))),0)+F644)))</x:f>
        <x:v>52</x:v>
      </x:c>
      <x:c r="AW644" s="119" t="n">
        <x:f>IF(7&gt;D644,0,ROUND(('难度参数'!$E$13*POWER(A644,'难度参数'!$E$20)*MIN('难度参数'!$E$23,1+MAX(0,A644-'难度参数'!$E$21)*'难度参数'!$E$22))*(36+7*7)/(36+7*(D644+1)/2)*E644,0))</x:f>
        <x:v>18752</x:v>
      </x:c>
      <x:c r="AX644" s="119" t="n">
        <x:f>IF(AV644=0,0,(AV644-IF(7=D644,1,0))*ROUND(AW644*VLOOKUP(INDEX('章节与怪物'!$E$31:$K$37,B644,7),'章节与怪物'!$A$41:$F$44,2,FALSE),0)+IF(7=D644,ROUND(AW644*'难度参数'!$E$28*'章节与怪物'!$E$17,0),0))</x:f>
        <x:v>1418579</x:v>
      </x:c>
      <x:c r="AY644" s="119" t="n">
        <x:f>IF(AV644=0,0,(AV644-IF(7=D644,1,0))*VLOOKUP(INDEX('章节与怪物'!$E$31:$K$37,B644,7),'章节与怪物'!$A$41:$F$44,4,FALSE)+IF(7=D644,'难度参数'!$E$30,0))</x:f>
        <x:v>1934</x:v>
      </x:c>
    </x:row>
    <x:row r="645" ht="23" customHeight="1">
      <x:c r="A645" s="119" t="n">
        <x:v>639</x:v>
      </x:c>
      <x:c r="B645" s="119" t="n">
        <x:f>MOD(INT((A645-1)/5),7)+1</x:f>
        <x:v>2</x:v>
      </x:c>
      <x:c r="C645" s="62" t="str">
        <x:f>INDEX('章节与怪物'!$B$31:$B$37,B645)</x:f>
        <x:v>黄沙要塞</x:v>
      </x:c>
      <x:c r="D645" s="119" t="n">
        <x:f>MIN('难度参数'!$E$8,MAX('难度参数'!$E$7,A645))</x:f>
        <x:v>7</x:v>
      </x:c>
      <x:c r="E645" s="106" t="n">
        <x:v>1</x:v>
      </x:c>
      <x:c r="F645" s="106" t="n">
        <x:v>0</x:v>
      </x:c>
      <x:c r="G645" s="106" t="n">
        <x:v>1</x:v>
      </x:c>
      <x:c r="H645" s="119" t="n">
        <x:f>SUM(X645,AB645,AF645,AJ645,AN645,AR645,AV645)</x:f>
        <x:v>316</x:v>
      </x:c>
      <x:c r="I645" s="119" t="n">
        <x:f>SUM(Z645,AD645,AH645,AL645,AP645,AT645,AX645)</x:f>
        <x:v>6113047</x:v>
      </x:c>
      <x:c r="J645" s="119" t="n">
        <x:f>ROUND(INDEX(X645:AY645,1,(D645-1)*4+2)*'难度参数'!$E$28*'章节与怪物'!$E$17,0)</x:f>
        <x:v>127656</x:v>
      </x:c>
      <x:c r="K645" s="119" t="n">
        <x:f>SUM(AA645,AE645,AI645,AM645,AQ645,AU645,AY645)</x:f>
        <x:v>8412</x:v>
      </x:c>
      <x:c r="L645" s="62" t="n">
        <x:f>H645*(ROUNDUP('难度参数'!$E$24/('难度参数'!$E$26*'难度参数'!$E$27),0)*'难度参数'!$E$26)/60</x:f>
        <x:v>4.213333333333334</x:v>
      </x:c>
      <x:c r="M645" s="62" t="n">
        <x:f>L645+D645*('难度参数'!$E$49+'难度参数'!$E$50)/60</x:f>
        <x:v>5.380000000000001</x:v>
      </x:c>
      <x:c r="N645" s="119" t="n">
        <x:f>ROUNDDOWN(('经济参数'!$E$20+A645*'经济参数'!$E$21)*G645,0)</x:f>
        <x:v>12960</x:v>
      </x:c>
      <x:c r="O645" s="119" t="n">
        <x:f>ROUNDDOWN(MIN('经济参数'!$E$24,'经济参数'!$E$22+A645*'经济参数'!$E$23)*G645,0)</x:f>
        <x:v>0</x:v>
      </x:c>
      <x:c r="P645" s="119" t="n">
        <x:f>ROUNDDOWN((IF(A645&gt;='材料与任务'!$E$31,'材料与任务'!$E$32,IF(A645&gt;='材料与任务'!$E$25,'材料与任务'!$E$26,IF(A645&gt;='材料与任务'!$E$19,'材料与任务'!$E$20,IF(A645&gt;='材料与任务'!$E$13,'材料与任务'!$E$14,'材料与任务'!$E$8)))))*G645,0)</x:f>
        <x:v>6</x:v>
      </x:c>
      <x:c r="Q645" s="119" t="n">
        <x:f>ROUNDDOWN((IF(A645&gt;='材料与任务'!$E$31,'材料与任务'!$E$33,IF(A645&gt;='材料与任务'!$E$25,'材料与任务'!$E$27,IF(A645&gt;='材料与任务'!$E$19,'材料与任务'!$E$21,IF(A645&gt;='材料与任务'!$E$13,'材料与任务'!$E$15,'材料与任务'!$E$9)))))*G645,0)</x:f>
        <x:v>3</x:v>
      </x:c>
      <x:c r="R645" s="110" t="n">
        <x:f>'装备掉落'!$B$38</x:f>
        <x:v>0.6872058758851213</x:v>
      </x:c>
      <x:c r="S645" s="119" t="n">
        <x:f>MAX(IF(VLOOKUP(A645,'装备掉落'!$A$29:$H$34,2,TRUE)&gt;0,1,0),IF(VLOOKUP(A645,'装备掉落'!$A$29:$H$34,3,TRUE)&gt;0,2,0),IF(VLOOKUP(A645,'装备掉落'!$A$29:$H$34,4,TRUE)&gt;0,3,0),IF(VLOOKUP(A645,'装备掉落'!$A$29:$H$34,5,TRUE)&gt;0,4,0),IF(VLOOKUP(A645,'装备掉落'!$A$29:$H$34,6,TRUE)&gt;0,5,0),IF(VLOOKUP(A645,'装备掉落'!$A$29:$H$34,7,TRUE)&gt;0,6,0),IF(VLOOKUP(A645,'装备掉落'!$A$29:$H$34,8,TRUE)&gt;0,7,0))</x:f>
        <x:v>7</x:v>
      </x:c>
      <x:c r="T645" s="119" t="n">
        <x:f>MIN(7,S645+'经济参数'!$E$70)</x:f>
        <x:v>7</x:v>
      </x:c>
      <x:c r="U645" s="119" t="n">
        <x:f>MIN(7,S645+'经济参数'!$E$71)</x:f>
        <x:v>7</x:v>
      </x:c>
      <x:c r="V645" s="119" t="n">
        <x:f>IF(H645&gt;=('难度参数'!$E$52),1,0)+IF(H645&gt;=('难度参数'!$E$52+'难度参数'!$E$53),1,0)+IF(H645&gt;=('难度参数'!$E$52+'难度参数'!$E$53+'难度参数'!$E$54),1,0)+IF(H645&gt;=('难度参数'!$E$52+'难度参数'!$E$53+'难度参数'!$E$54+'难度参数'!$E$55),1,0)+IF(H645&gt;=('难度参数'!$E$52+'难度参数'!$E$53+'难度参数'!$E$54+'难度参数'!$E$55+'难度参数'!$E$56),1,0)+IF(H645&gt;=('难度参数'!$E$52+'难度参数'!$E$53+'难度参数'!$E$54+'难度参数'!$E$55+'难度参数'!$E$56+'难度参数'!$E$57),1,0)</x:f>
        <x:v>6</x:v>
      </x:c>
      <x:c r="W645" s="62" t="str">
        <x:f>IF(L645&gt;'难度参数'!$E$51,"仅出怪已超目标","还需实测")</x:f>
        <x:v>仅出怪已超目标</x:v>
      </x:c>
      <x:c r="X645" s="119" t="n">
        <x:f>IF(1&gt;D645,0,MAX(2,MIN('难度参数'!$E$12,ROUND(('难度参数'!$E$18*POWER(A645,'难度参数'!$E$19)/D645*(0.85+0.3*(1-1)/MAX(1,D645-1))),0)+F645)))</x:f>
        <x:v>38</x:v>
      </x:c>
      <x:c r="Y645" s="119" t="n">
        <x:f>IF(1&gt;D645,0,ROUND(('难度参数'!$E$13*POWER(A645,'难度参数'!$E$20)*MIN('难度参数'!$E$23,1+MAX(0,A645-'难度参数'!$E$21)*'难度参数'!$E$22))*(36+1*7)/(36+7*(D645+1)/2)*E645,0))</x:f>
        <x:v>9497</x:v>
      </x:c>
      <x:c r="Z645" s="119" t="n">
        <x:f>IF(X645=0,0,(X645-IF(1=D645,1,0))*ROUND(Y645*VLOOKUP(INDEX('章节与怪物'!$E$31:$K$37,B645,1),'章节与怪物'!$A$41:$F$44,2,FALSE),0)+IF(1=D645,ROUND(Y645*'难度参数'!$E$28*'章节与怪物'!$E$17,0),0))</x:f>
        <x:v>259844</x:v>
      </x:c>
      <x:c r="AA645" s="119" t="n">
        <x:f>IF(X645=0,0,(X645-IF(1=D645,1,0))*VLOOKUP(INDEX('章节与怪物'!$E$31:$K$37,B645,1),'章节与怪物'!$A$41:$F$44,4,FALSE)+IF(1=D645,'难度参数'!$E$30,0))</x:f>
        <x:v>760</x:v>
      </x:c>
      <x:c r="AB645" s="119" t="n">
        <x:f>IF(2&gt;D645,0,MAX(2,MIN('难度参数'!$E$12,ROUND(('难度参数'!$E$18*POWER(A645,'难度参数'!$E$19)/D645*(0.85+0.3*(2-1)/MAX(1,D645-1))),0)+F645)))</x:f>
        <x:v>41</x:v>
      </x:c>
      <x:c r="AC645" s="119" t="n">
        <x:f>IF(2&gt;D645,0,ROUND(('难度参数'!$E$13*POWER(A645,'难度参数'!$E$20)*MIN('难度参数'!$E$23,1+MAX(0,A645-'难度参数'!$E$21)*'难度参数'!$E$22))*(36+2*7)/(36+7*(D645+1)/2)*E645,0))</x:f>
        <x:v>11043</x:v>
      </x:c>
      <x:c r="AD645" s="119" t="n">
        <x:f>IF(AB645=0,0,(AB645-IF(2=D645,1,0))*ROUND(AC645*VLOOKUP(INDEX('章节与怪物'!$E$31:$K$37,B645,2),'章节与怪物'!$A$41:$F$44,2,FALSE),0)+IF(2=D645,ROUND(AC645*'难度参数'!$E$28*'章节与怪物'!$E$17,0),0))</x:f>
        <x:v>452763</x:v>
      </x:c>
      <x:c r="AE645" s="119" t="n">
        <x:f>IF(AB645=0,0,(AB645-IF(2=D645,1,0))*VLOOKUP(INDEX('章节与怪物'!$E$31:$K$37,B645,2),'章节与怪物'!$A$41:$F$44,4,FALSE)+IF(2=D645,'难度参数'!$E$30,0))</x:f>
        <x:v>738</x:v>
      </x:c>
      <x:c r="AF645" s="119" t="n">
        <x:f>IF(3&gt;D645,0,MAX(2,MIN('难度参数'!$E$12,ROUND(('难度参数'!$E$18*POWER(A645,'难度参数'!$E$19)/D645*(0.85+0.3*(3-1)/MAX(1,D645-1))),0)+F645)))</x:f>
        <x:v>43</x:v>
      </x:c>
      <x:c r="AG645" s="119" t="n">
        <x:f>IF(3&gt;D645,0,ROUND(('难度参数'!$E$13*POWER(A645,'难度参数'!$E$20)*MIN('难度参数'!$E$23,1+MAX(0,A645-'难度参数'!$E$21)*'难度参数'!$E$22))*(36+3*7)/(36+7*(D645+1)/2)*E645,0))</x:f>
        <x:v>12589</x:v>
      </x:c>
      <x:c r="AH645" s="119" t="n">
        <x:f>IF(AF645=0,0,(AF645-IF(3=D645,1,0))*ROUND(AG645*VLOOKUP(INDEX('章节与怪物'!$E$31:$K$37,B645,3),'章节与怪物'!$A$41:$F$44,2,FALSE),0)+IF(3=D645,ROUND(AG645*'难度参数'!$E$28*'章节与怪物'!$E$17,0),0))</x:f>
        <x:v>920243</x:v>
      </x:c>
      <x:c r="AI645" s="119" t="n">
        <x:f>IF(AF645=0,0,(AF645-IF(3=D645,1,0))*VLOOKUP(INDEX('章节与怪物'!$E$31:$K$37,B645,3),'章节与怪物'!$A$41:$F$44,4,FALSE)+IF(3=D645,'难度参数'!$E$30,0))</x:f>
        <x:v>1204</x:v>
      </x:c>
      <x:c r="AJ645" s="119" t="n">
        <x:f>IF(4&gt;D645,0,MAX(2,MIN('难度参数'!$E$12,ROUND(('难度参数'!$E$18*POWER(A645,'难度参数'!$E$19)/D645*(0.85+0.3*(4-1)/MAX(1,D645-1))),0)+F645)))</x:f>
        <x:v>45</x:v>
      </x:c>
      <x:c r="AK645" s="119" t="n">
        <x:f>IF(4&gt;D645,0,ROUND(('难度参数'!$E$13*POWER(A645,'难度参数'!$E$20)*MIN('难度参数'!$E$23,1+MAX(0,A645-'难度参数'!$E$21)*'难度参数'!$E$22))*(36+4*7)/(36+7*(D645+1)/2)*E645,0))</x:f>
        <x:v>14135</x:v>
      </x:c>
      <x:c r="AL645" s="119" t="n">
        <x:f>IF(AJ645=0,0,(AJ645-IF(4=D645,1,0))*ROUND(AK645*VLOOKUP(INDEX('章节与怪物'!$E$31:$K$37,B645,4),'章节与怪物'!$A$41:$F$44,2,FALSE),0)+IF(4=D645,ROUND(AK645*'难度参数'!$E$28*'章节与怪物'!$E$17,0),0))</x:f>
        <x:v>858690</x:v>
      </x:c>
      <x:c r="AM645" s="119" t="n">
        <x:f>IF(AJ645=0,0,(AJ645-IF(4=D645,1,0))*VLOOKUP(INDEX('章节与怪物'!$E$31:$K$37,B645,4),'章节与怪物'!$A$41:$F$44,4,FALSE)+IF(4=D645,'难度参数'!$E$30,0))</x:f>
        <x:v>1530</x:v>
      </x:c>
      <x:c r="AN645" s="119" t="n">
        <x:f>IF(5&gt;D645,0,MAX(2,MIN('难度参数'!$E$12,ROUND(('难度参数'!$E$18*POWER(A645,'难度参数'!$E$19)/D645*(0.85+0.3*(5-1)/MAX(1,D645-1))),0)+F645)))</x:f>
        <x:v>47</x:v>
      </x:c>
      <x:c r="AO645" s="119" t="n">
        <x:f>IF(5&gt;D645,0,ROUND(('难度参数'!$E$13*POWER(A645,'难度参数'!$E$20)*MIN('难度参数'!$E$23,1+MAX(0,A645-'难度参数'!$E$21)*'难度参数'!$E$22))*(36+5*7)/(36+7*(D645+1)/2)*E645,0))</x:f>
        <x:v>15681</x:v>
      </x:c>
      <x:c r="AP645" s="119" t="n">
        <x:f>IF(AN645=0,0,(AN645-IF(5=D645,1,0))*ROUND(AO645*VLOOKUP(INDEX('章节与怪物'!$E$31:$K$37,B645,5),'章节与怪物'!$A$41:$F$44,2,FALSE),0)+IF(5=D645,ROUND(AO645*'难度参数'!$E$28*'章节与怪物'!$E$17,0),0))</x:f>
        <x:v>737007</x:v>
      </x:c>
      <x:c r="AQ645" s="119" t="n">
        <x:f>IF(AN645=0,0,(AN645-IF(5=D645,1,0))*VLOOKUP(INDEX('章节与怪物'!$E$31:$K$37,B645,5),'章节与怪物'!$A$41:$F$44,4,FALSE)+IF(5=D645,'难度参数'!$E$30,0))</x:f>
        <x:v>846</x:v>
      </x:c>
      <x:c r="AR645" s="119" t="n">
        <x:f>IF(6&gt;D645,0,MAX(2,MIN('难度参数'!$E$12,ROUND(('难度参数'!$E$18*POWER(A645,'难度参数'!$E$19)/D645*(0.85+0.3*(6-1)/MAX(1,D645-1))),0)+F645)))</x:f>
        <x:v>50</x:v>
      </x:c>
      <x:c r="AS645" s="119" t="n">
        <x:f>IF(6&gt;D645,0,ROUND(('难度参数'!$E$13*POWER(A645,'难度参数'!$E$20)*MIN('难度参数'!$E$23,1+MAX(0,A645-'难度参数'!$E$21)*'难度参数'!$E$22))*(36+6*7)/(36+7*(D645+1)/2)*E645,0))</x:f>
        <x:v>17227</x:v>
      </x:c>
      <x:c r="AT645" s="119" t="n">
        <x:f>IF(AR645=0,0,(AR645-IF(6=D645,1,0))*ROUND(AS645*VLOOKUP(INDEX('章节与怪物'!$E$31:$K$37,B645,6),'章节与怪物'!$A$41:$F$44,2,FALSE),0)+IF(6=D645,ROUND(AS645*'难度参数'!$E$28*'章节与怪物'!$E$17,0),0))</x:f>
        <x:v>1464300</x:v>
      </x:c>
      <x:c r="AU645" s="119" t="n">
        <x:f>IF(AR645=0,0,(AR645-IF(6=D645,1,0))*VLOOKUP(INDEX('章节与怪物'!$E$31:$K$37,B645,6),'章节与怪物'!$A$41:$F$44,4,FALSE)+IF(6=D645,'难度参数'!$E$30,0))</x:f>
        <x:v>1400</x:v>
      </x:c>
      <x:c r="AV645" s="119" t="n">
        <x:f>IF(7&gt;D645,0,MAX(2,MIN('难度参数'!$E$12,ROUND(('难度参数'!$E$18*POWER(A645,'难度参数'!$E$19)/D645*(0.85+0.3*(7-1)/MAX(1,D645-1))),0)+F645)))</x:f>
        <x:v>52</x:v>
      </x:c>
      <x:c r="AW645" s="119" t="n">
        <x:f>IF(7&gt;D645,0,ROUND(('难度参数'!$E$13*POWER(A645,'难度参数'!$E$20)*MIN('难度参数'!$E$23,1+MAX(0,A645-'难度参数'!$E$21)*'难度参数'!$E$22))*(36+7*7)/(36+7*(D645+1)/2)*E645,0))</x:f>
        <x:v>18773</x:v>
      </x:c>
      <x:c r="AX645" s="119" t="n">
        <x:f>IF(AV645=0,0,(AV645-IF(7=D645,1,0))*ROUND(AW645*VLOOKUP(INDEX('章节与怪物'!$E$31:$K$37,B645,7),'章节与怪物'!$A$41:$F$44,2,FALSE),0)+IF(7=D645,ROUND(AW645*'难度参数'!$E$28*'章节与怪物'!$E$17,0),0))</x:f>
        <x:v>1420200</x:v>
      </x:c>
      <x:c r="AY645" s="119" t="n">
        <x:f>IF(AV645=0,0,(AV645-IF(7=D645,1,0))*VLOOKUP(INDEX('章节与怪物'!$E$31:$K$37,B645,7),'章节与怪物'!$A$41:$F$44,4,FALSE)+IF(7=D645,'难度参数'!$E$30,0))</x:f>
        <x:v>1934</x:v>
      </x:c>
    </x:row>
    <x:row r="646" ht="23" customHeight="1">
      <x:c r="A646" s="119" t="n">
        <x:v>640</x:v>
      </x:c>
      <x:c r="B646" s="119" t="n">
        <x:f>MOD(INT((A646-1)/5),7)+1</x:f>
        <x:v>2</x:v>
      </x:c>
      <x:c r="C646" s="62" t="str">
        <x:f>INDEX('章节与怪物'!$B$31:$B$37,B646)</x:f>
        <x:v>黄沙要塞</x:v>
      </x:c>
      <x:c r="D646" s="119" t="n">
        <x:f>MIN('难度参数'!$E$8,MAX('难度参数'!$E$7,A646))</x:f>
        <x:v>7</x:v>
      </x:c>
      <x:c r="E646" s="106" t="n">
        <x:v>1</x:v>
      </x:c>
      <x:c r="F646" s="106" t="n">
        <x:v>0</x:v>
      </x:c>
      <x:c r="G646" s="106" t="n">
        <x:v>1</x:v>
      </x:c>
      <x:c r="H646" s="119" t="n">
        <x:f>SUM(X646,AB646,AF646,AJ646,AN646,AR646,AV646)</x:f>
        <x:v>317</x:v>
      </x:c>
      <x:c r="I646" s="119" t="n">
        <x:f>SUM(Z646,AD646,AH646,AL646,AP646,AT646,AX646)</x:f>
        <x:v>6135581</x:v>
      </x:c>
      <x:c r="J646" s="119" t="n">
        <x:f>ROUND(INDEX(X646:AY646,1,(D646-1)*4+2)*'难度参数'!$E$28*'章节与怪物'!$E$17,0)</x:f>
        <x:v>127799</x:v>
      </x:c>
      <x:c r="K646" s="119" t="n">
        <x:f>SUM(AA646,AE646,AI646,AM646,AQ646,AU646,AY646)</x:f>
        <x:v>8430</x:v>
      </x:c>
      <x:c r="L646" s="62" t="n">
        <x:f>H646*(ROUNDUP('难度参数'!$E$24/('难度参数'!$E$26*'难度参数'!$E$27),0)*'难度参数'!$E$26)/60</x:f>
        <x:v>4.2266666666666675</x:v>
      </x:c>
      <x:c r="M646" s="62" t="n">
        <x:f>L646+D646*('难度参数'!$E$49+'难度参数'!$E$50)/60</x:f>
        <x:v>5.393333333333334</x:v>
      </x:c>
      <x:c r="N646" s="119" t="n">
        <x:f>ROUNDDOWN(('经济参数'!$E$20+A646*'经济参数'!$E$21)*G646,0)</x:f>
        <x:v>12980</x:v>
      </x:c>
      <x:c r="O646" s="119" t="n">
        <x:f>ROUNDDOWN(MIN('经济参数'!$E$24,'经济参数'!$E$22+A646*'经济参数'!$E$23)*G646,0)</x:f>
        <x:v>0</x:v>
      </x:c>
      <x:c r="P646" s="119" t="n">
        <x:f>ROUNDDOWN((IF(A646&gt;='材料与任务'!$E$31,'材料与任务'!$E$32,IF(A646&gt;='材料与任务'!$E$25,'材料与任务'!$E$26,IF(A646&gt;='材料与任务'!$E$19,'材料与任务'!$E$20,IF(A646&gt;='材料与任务'!$E$13,'材料与任务'!$E$14,'材料与任务'!$E$8)))))*G646,0)</x:f>
        <x:v>6</x:v>
      </x:c>
      <x:c r="Q646" s="119" t="n">
        <x:f>ROUNDDOWN((IF(A646&gt;='材料与任务'!$E$31,'材料与任务'!$E$33,IF(A646&gt;='材料与任务'!$E$25,'材料与任务'!$E$27,IF(A646&gt;='材料与任务'!$E$19,'材料与任务'!$E$21,IF(A646&gt;='材料与任务'!$E$13,'材料与任务'!$E$15,'材料与任务'!$E$9)))))*G646,0)</x:f>
        <x:v>3</x:v>
      </x:c>
      <x:c r="R646" s="110" t="n">
        <x:f>'装备掉落'!$B$38</x:f>
        <x:v>0.6872058758851213</x:v>
      </x:c>
      <x:c r="S646" s="119" t="n">
        <x:f>MAX(IF(VLOOKUP(A646,'装备掉落'!$A$29:$H$34,2,TRUE)&gt;0,1,0),IF(VLOOKUP(A646,'装备掉落'!$A$29:$H$34,3,TRUE)&gt;0,2,0),IF(VLOOKUP(A646,'装备掉落'!$A$29:$H$34,4,TRUE)&gt;0,3,0),IF(VLOOKUP(A646,'装备掉落'!$A$29:$H$34,5,TRUE)&gt;0,4,0),IF(VLOOKUP(A646,'装备掉落'!$A$29:$H$34,6,TRUE)&gt;0,5,0),IF(VLOOKUP(A646,'装备掉落'!$A$29:$H$34,7,TRUE)&gt;0,6,0),IF(VLOOKUP(A646,'装备掉落'!$A$29:$H$34,8,TRUE)&gt;0,7,0))</x:f>
        <x:v>7</x:v>
      </x:c>
      <x:c r="T646" s="119" t="n">
        <x:f>MIN(7,S646+'经济参数'!$E$70)</x:f>
        <x:v>7</x:v>
      </x:c>
      <x:c r="U646" s="119" t="n">
        <x:f>MIN(7,S646+'经济参数'!$E$71)</x:f>
        <x:v>7</x:v>
      </x:c>
      <x:c r="V646" s="119" t="n">
        <x:f>IF(H646&gt;=('难度参数'!$E$52),1,0)+IF(H646&gt;=('难度参数'!$E$52+'难度参数'!$E$53),1,0)+IF(H646&gt;=('难度参数'!$E$52+'难度参数'!$E$53+'难度参数'!$E$54),1,0)+IF(H646&gt;=('难度参数'!$E$52+'难度参数'!$E$53+'难度参数'!$E$54+'难度参数'!$E$55),1,0)+IF(H646&gt;=('难度参数'!$E$52+'难度参数'!$E$53+'难度参数'!$E$54+'难度参数'!$E$55+'难度参数'!$E$56),1,0)+IF(H646&gt;=('难度参数'!$E$52+'难度参数'!$E$53+'难度参数'!$E$54+'难度参数'!$E$55+'难度参数'!$E$56+'难度参数'!$E$57),1,0)</x:f>
        <x:v>6</x:v>
      </x:c>
      <x:c r="W646" s="62" t="str">
        <x:f>IF(L646&gt;'难度参数'!$E$51,"仅出怪已超目标","还需实测")</x:f>
        <x:v>仅出怪已超目标</x:v>
      </x:c>
      <x:c r="X646" s="119" t="n">
        <x:f>IF(1&gt;D646,0,MAX(2,MIN('难度参数'!$E$12,ROUND(('难度参数'!$E$18*POWER(A646,'难度参数'!$E$19)/D646*(0.85+0.3*(1-1)/MAX(1,D646-1))),0)+F646)))</x:f>
        <x:v>38</x:v>
      </x:c>
      <x:c r="Y646" s="119" t="n">
        <x:f>IF(1&gt;D646,0,ROUND(('难度参数'!$E$13*POWER(A646,'难度参数'!$E$20)*MIN('难度参数'!$E$23,1+MAX(0,A646-'难度参数'!$E$21)*'难度参数'!$E$22))*(36+1*7)/(36+7*(D646+1)/2)*E646,0))</x:f>
        <x:v>9508</x:v>
      </x:c>
      <x:c r="Z646" s="119" t="n">
        <x:f>IF(X646=0,0,(X646-IF(1=D646,1,0))*ROUND(Y646*VLOOKUP(INDEX('章节与怪物'!$E$31:$K$37,B646,1),'章节与怪物'!$A$41:$F$44,2,FALSE),0)+IF(1=D646,ROUND(Y646*'难度参数'!$E$28*'章节与怪物'!$E$17,0),0))</x:f>
        <x:v>260148</x:v>
      </x:c>
      <x:c r="AA646" s="119" t="n">
        <x:f>IF(X646=0,0,(X646-IF(1=D646,1,0))*VLOOKUP(INDEX('章节与怪物'!$E$31:$K$37,B646,1),'章节与怪物'!$A$41:$F$44,4,FALSE)+IF(1=D646,'难度参数'!$E$30,0))</x:f>
        <x:v>760</x:v>
      </x:c>
      <x:c r="AB646" s="119" t="n">
        <x:f>IF(2&gt;D646,0,MAX(2,MIN('难度参数'!$E$12,ROUND(('难度参数'!$E$18*POWER(A646,'难度参数'!$E$19)/D646*(0.85+0.3*(2-1)/MAX(1,D646-1))),0)+F646)))</x:f>
        <x:v>41</x:v>
      </x:c>
      <x:c r="AC646" s="119" t="n">
        <x:f>IF(2&gt;D646,0,ROUND(('难度参数'!$E$13*POWER(A646,'难度参数'!$E$20)*MIN('难度参数'!$E$23,1+MAX(0,A646-'难度参数'!$E$21)*'难度参数'!$E$22))*(36+2*7)/(36+7*(D646+1)/2)*E646,0))</x:f>
        <x:v>11055</x:v>
      </x:c>
      <x:c r="AD646" s="119" t="n">
        <x:f>IF(AB646=0,0,(AB646-IF(2=D646,1,0))*ROUND(AC646*VLOOKUP(INDEX('章节与怪物'!$E$31:$K$37,B646,2),'章节与怪物'!$A$41:$F$44,2,FALSE),0)+IF(2=D646,ROUND(AC646*'难度参数'!$E$28*'章节与怪物'!$E$17,0),0))</x:f>
        <x:v>453255</x:v>
      </x:c>
      <x:c r="AE646" s="119" t="n">
        <x:f>IF(AB646=0,0,(AB646-IF(2=D646,1,0))*VLOOKUP(INDEX('章节与怪物'!$E$31:$K$37,B646,2),'章节与怪物'!$A$41:$F$44,4,FALSE)+IF(2=D646,'难度参数'!$E$30,0))</x:f>
        <x:v>738</x:v>
      </x:c>
      <x:c r="AF646" s="119" t="n">
        <x:f>IF(3&gt;D646,0,MAX(2,MIN('难度参数'!$E$12,ROUND(('难度参数'!$E$18*POWER(A646,'难度参数'!$E$19)/D646*(0.85+0.3*(3-1)/MAX(1,D646-1))),0)+F646)))</x:f>
        <x:v>43</x:v>
      </x:c>
      <x:c r="AG646" s="119" t="n">
        <x:f>IF(3&gt;D646,0,ROUND(('难度参数'!$E$13*POWER(A646,'难度参数'!$E$20)*MIN('难度参数'!$E$23,1+MAX(0,A646-'难度参数'!$E$21)*'难度参数'!$E$22))*(36+3*7)/(36+7*(D646+1)/2)*E646,0))</x:f>
        <x:v>12603</x:v>
      </x:c>
      <x:c r="AH646" s="119" t="n">
        <x:f>IF(AF646=0,0,(AF646-IF(3=D646,1,0))*ROUND(AG646*VLOOKUP(INDEX('章节与怪物'!$E$31:$K$37,B646,3),'章节与怪物'!$A$41:$F$44,2,FALSE),0)+IF(3=D646,ROUND(AG646*'难度参数'!$E$28*'章节与怪物'!$E$17,0),0))</x:f>
        <x:v>921275</x:v>
      </x:c>
      <x:c r="AI646" s="119" t="n">
        <x:f>IF(AF646=0,0,(AF646-IF(3=D646,1,0))*VLOOKUP(INDEX('章节与怪物'!$E$31:$K$37,B646,3),'章节与怪物'!$A$41:$F$44,4,FALSE)+IF(3=D646,'难度参数'!$E$30,0))</x:f>
        <x:v>1204</x:v>
      </x:c>
      <x:c r="AJ646" s="119" t="n">
        <x:f>IF(4&gt;D646,0,MAX(2,MIN('难度参数'!$E$12,ROUND(('难度参数'!$E$18*POWER(A646,'难度参数'!$E$19)/D646*(0.85+0.3*(4-1)/MAX(1,D646-1))),0)+F646)))</x:f>
        <x:v>45</x:v>
      </x:c>
      <x:c r="AK646" s="119" t="n">
        <x:f>IF(4&gt;D646,0,ROUND(('难度参数'!$E$13*POWER(A646,'难度参数'!$E$20)*MIN('难度参数'!$E$23,1+MAX(0,A646-'难度参数'!$E$21)*'难度参数'!$E$22))*(36+4*7)/(36+7*(D646+1)/2)*E646,0))</x:f>
        <x:v>14151</x:v>
      </x:c>
      <x:c r="AL646" s="119" t="n">
        <x:f>IF(AJ646=0,0,(AJ646-IF(4=D646,1,0))*ROUND(AK646*VLOOKUP(INDEX('章节与怪物'!$E$31:$K$37,B646,4),'章节与怪物'!$A$41:$F$44,2,FALSE),0)+IF(4=D646,ROUND(AK646*'难度参数'!$E$28*'章节与怪物'!$E$17,0),0))</x:f>
        <x:v>859680</x:v>
      </x:c>
      <x:c r="AM646" s="119" t="n">
        <x:f>IF(AJ646=0,0,(AJ646-IF(4=D646,1,0))*VLOOKUP(INDEX('章节与怪物'!$E$31:$K$37,B646,4),'章节与怪物'!$A$41:$F$44,4,FALSE)+IF(4=D646,'难度参数'!$E$30,0))</x:f>
        <x:v>1530</x:v>
      </x:c>
      <x:c r="AN646" s="119" t="n">
        <x:f>IF(5&gt;D646,0,MAX(2,MIN('难度参数'!$E$12,ROUND(('难度参数'!$E$18*POWER(A646,'难度参数'!$E$19)/D646*(0.85+0.3*(5-1)/MAX(1,D646-1))),0)+F646)))</x:f>
        <x:v>48</x:v>
      </x:c>
      <x:c r="AO646" s="119" t="n">
        <x:f>IF(5&gt;D646,0,ROUND(('难度参数'!$E$13*POWER(A646,'难度参数'!$E$20)*MIN('难度参数'!$E$23,1+MAX(0,A646-'难度参数'!$E$21)*'难度参数'!$E$22))*(36+5*7)/(36+7*(D646+1)/2)*E646,0))</x:f>
        <x:v>15699</x:v>
      </x:c>
      <x:c r="AP646" s="119" t="n">
        <x:f>IF(AN646=0,0,(AN646-IF(5=D646,1,0))*ROUND(AO646*VLOOKUP(INDEX('章节与怪物'!$E$31:$K$37,B646,5),'章节与怪物'!$A$41:$F$44,2,FALSE),0)+IF(5=D646,ROUND(AO646*'难度参数'!$E$28*'章节与怪物'!$E$17,0),0))</x:f>
        <x:v>753552</x:v>
      </x:c>
      <x:c r="AQ646" s="119" t="n">
        <x:f>IF(AN646=0,0,(AN646-IF(5=D646,1,0))*VLOOKUP(INDEX('章节与怪物'!$E$31:$K$37,B646,5),'章节与怪物'!$A$41:$F$44,4,FALSE)+IF(5=D646,'难度参数'!$E$30,0))</x:f>
        <x:v>864</x:v>
      </x:c>
      <x:c r="AR646" s="119" t="n">
        <x:f>IF(6&gt;D646,0,MAX(2,MIN('难度参数'!$E$12,ROUND(('难度参数'!$E$18*POWER(A646,'难度参数'!$E$19)/D646*(0.85+0.3*(6-1)/MAX(1,D646-1))),0)+F646)))</x:f>
        <x:v>50</x:v>
      </x:c>
      <x:c r="AS646" s="119" t="n">
        <x:f>IF(6&gt;D646,0,ROUND(('难度参数'!$E$13*POWER(A646,'难度参数'!$E$20)*MIN('难度参数'!$E$23,1+MAX(0,A646-'难度参数'!$E$21)*'难度参数'!$E$22))*(36+6*7)/(36+7*(D646+1)/2)*E646,0))</x:f>
        <x:v>17246</x:v>
      </x:c>
      <x:c r="AT646" s="119" t="n">
        <x:f>IF(AR646=0,0,(AR646-IF(6=D646,1,0))*ROUND(AS646*VLOOKUP(INDEX('章节与怪物'!$E$31:$K$37,B646,6),'章节与怪物'!$A$41:$F$44,2,FALSE),0)+IF(6=D646,ROUND(AS646*'难度参数'!$E$28*'章节与怪物'!$E$17,0),0))</x:f>
        <x:v>1465900</x:v>
      </x:c>
      <x:c r="AU646" s="119" t="n">
        <x:f>IF(AR646=0,0,(AR646-IF(6=D646,1,0))*VLOOKUP(INDEX('章节与怪物'!$E$31:$K$37,B646,6),'章节与怪物'!$A$41:$F$44,4,FALSE)+IF(6=D646,'难度参数'!$E$30,0))</x:f>
        <x:v>1400</x:v>
      </x:c>
      <x:c r="AV646" s="119" t="n">
        <x:f>IF(7&gt;D646,0,MAX(2,MIN('难度参数'!$E$12,ROUND(('难度参数'!$E$18*POWER(A646,'难度参数'!$E$19)/D646*(0.85+0.3*(7-1)/MAX(1,D646-1))),0)+F646)))</x:f>
        <x:v>52</x:v>
      </x:c>
      <x:c r="AW646" s="119" t="n">
        <x:f>IF(7&gt;D646,0,ROUND(('难度参数'!$E$13*POWER(A646,'难度参数'!$E$20)*MIN('难度参数'!$E$23,1+MAX(0,A646-'难度参数'!$E$21)*'难度参数'!$E$22))*(36+7*7)/(36+7*(D646+1)/2)*E646,0))</x:f>
        <x:v>18794</x:v>
      </x:c>
      <x:c r="AX646" s="119" t="n">
        <x:f>IF(AV646=0,0,(AV646-IF(7=D646,1,0))*ROUND(AW646*VLOOKUP(INDEX('章节与怪物'!$E$31:$K$37,B646,7),'章节与怪物'!$A$41:$F$44,2,FALSE),0)+IF(7=D646,ROUND(AW646*'难度参数'!$E$28*'章节与怪物'!$E$17,0),0))</x:f>
        <x:v>1421771</x:v>
      </x:c>
      <x:c r="AY646" s="119" t="n">
        <x:f>IF(AV646=0,0,(AV646-IF(7=D646,1,0))*VLOOKUP(INDEX('章节与怪物'!$E$31:$K$37,B646,7),'章节与怪物'!$A$41:$F$44,4,FALSE)+IF(7=D646,'难度参数'!$E$30,0))</x:f>
        <x:v>1934</x:v>
      </x:c>
    </x:row>
    <x:row r="647" ht="23" customHeight="1">
      <x:c r="A647" s="119" t="n">
        <x:v>641</x:v>
      </x:c>
      <x:c r="B647" s="119" t="n">
        <x:f>MOD(INT((A647-1)/5),7)+1</x:f>
        <x:v>3</x:v>
      </x:c>
      <x:c r="C647" s="62" t="str">
        <x:f>INDEX('章节与怪物'!$B$31:$B$37,B647)</x:f>
        <x:v>腐沼秘林</x:v>
      </x:c>
      <x:c r="D647" s="119" t="n">
        <x:f>MIN('难度参数'!$E$8,MAX('难度参数'!$E$7,A647))</x:f>
        <x:v>7</x:v>
      </x:c>
      <x:c r="E647" s="106" t="n">
        <x:v>1</x:v>
      </x:c>
      <x:c r="F647" s="106" t="n">
        <x:v>0</x:v>
      </x:c>
      <x:c r="G647" s="106" t="n">
        <x:v>1</x:v>
      </x:c>
      <x:c r="H647" s="119" t="n">
        <x:f>SUM(X647,AB647,AF647,AJ647,AN647,AR647,AV647)</x:f>
        <x:v>317</x:v>
      </x:c>
      <x:c r="I647" s="119" t="n">
        <x:f>SUM(Z647,AD647,AH647,AL647,AP647,AT647,AX647)</x:f>
        <x:v>5905455</x:v>
      </x:c>
      <x:c r="J647" s="119" t="n">
        <x:f>ROUND(INDEX(X647:AY647,1,(D647-1)*4+2)*'难度参数'!$E$28*'章节与怪物'!$E$17,0)</x:f>
        <x:v>127942</x:v>
      </x:c>
      <x:c r="K647" s="119" t="n">
        <x:f>SUM(AA647,AE647,AI647,AM647,AQ647,AU647,AY647)</x:f>
        <x:v>8532</x:v>
      </x:c>
      <x:c r="L647" s="62" t="n">
        <x:f>H647*(ROUNDUP('难度参数'!$E$24/('难度参数'!$E$26*'难度参数'!$E$27),0)*'难度参数'!$E$26)/60</x:f>
        <x:v>4.2266666666666675</x:v>
      </x:c>
      <x:c r="M647" s="62" t="n">
        <x:f>L647+D647*('难度参数'!$E$49+'难度参数'!$E$50)/60</x:f>
        <x:v>5.393333333333334</x:v>
      </x:c>
      <x:c r="N647" s="119" t="n">
        <x:f>ROUNDDOWN(('经济参数'!$E$20+A647*'经济参数'!$E$21)*G647,0)</x:f>
        <x:v>13000</x:v>
      </x:c>
      <x:c r="O647" s="119" t="n">
        <x:f>ROUNDDOWN(MIN('经济参数'!$E$24,'经济参数'!$E$22+A647*'经济参数'!$E$23)*G647,0)</x:f>
        <x:v>0</x:v>
      </x:c>
      <x:c r="P647" s="119" t="n">
        <x:f>ROUNDDOWN((IF(A647&gt;='材料与任务'!$E$31,'材料与任务'!$E$32,IF(A647&gt;='材料与任务'!$E$25,'材料与任务'!$E$26,IF(A647&gt;='材料与任务'!$E$19,'材料与任务'!$E$20,IF(A647&gt;='材料与任务'!$E$13,'材料与任务'!$E$14,'材料与任务'!$E$8)))))*G647,0)</x:f>
        <x:v>6</x:v>
      </x:c>
      <x:c r="Q647" s="119" t="n">
        <x:f>ROUNDDOWN((IF(A647&gt;='材料与任务'!$E$31,'材料与任务'!$E$33,IF(A647&gt;='材料与任务'!$E$25,'材料与任务'!$E$27,IF(A647&gt;='材料与任务'!$E$19,'材料与任务'!$E$21,IF(A647&gt;='材料与任务'!$E$13,'材料与任务'!$E$15,'材料与任务'!$E$9)))))*G647,0)</x:f>
        <x:v>3</x:v>
      </x:c>
      <x:c r="R647" s="110" t="n">
        <x:f>'装备掉落'!$B$38</x:f>
        <x:v>0.6872058758851213</x:v>
      </x:c>
      <x:c r="S647" s="119" t="n">
        <x:f>MAX(IF(VLOOKUP(A647,'装备掉落'!$A$29:$H$34,2,TRUE)&gt;0,1,0),IF(VLOOKUP(A647,'装备掉落'!$A$29:$H$34,3,TRUE)&gt;0,2,0),IF(VLOOKUP(A647,'装备掉落'!$A$29:$H$34,4,TRUE)&gt;0,3,0),IF(VLOOKUP(A647,'装备掉落'!$A$29:$H$34,5,TRUE)&gt;0,4,0),IF(VLOOKUP(A647,'装备掉落'!$A$29:$H$34,6,TRUE)&gt;0,5,0),IF(VLOOKUP(A647,'装备掉落'!$A$29:$H$34,7,TRUE)&gt;0,6,0),IF(VLOOKUP(A647,'装备掉落'!$A$29:$H$34,8,TRUE)&gt;0,7,0))</x:f>
        <x:v>7</x:v>
      </x:c>
      <x:c r="T647" s="119" t="n">
        <x:f>MIN(7,S647+'经济参数'!$E$70)</x:f>
        <x:v>7</x:v>
      </x:c>
      <x:c r="U647" s="119" t="n">
        <x:f>MIN(7,S647+'经济参数'!$E$71)</x:f>
        <x:v>7</x:v>
      </x:c>
      <x:c r="V647" s="119" t="n">
        <x:f>IF(H647&gt;=('难度参数'!$E$52),1,0)+IF(H647&gt;=('难度参数'!$E$52+'难度参数'!$E$53),1,0)+IF(H647&gt;=('难度参数'!$E$52+'难度参数'!$E$53+'难度参数'!$E$54),1,0)+IF(H647&gt;=('难度参数'!$E$52+'难度参数'!$E$53+'难度参数'!$E$54+'难度参数'!$E$55),1,0)+IF(H647&gt;=('难度参数'!$E$52+'难度参数'!$E$53+'难度参数'!$E$54+'难度参数'!$E$55+'难度参数'!$E$56),1,0)+IF(H647&gt;=('难度参数'!$E$52+'难度参数'!$E$53+'难度参数'!$E$54+'难度参数'!$E$55+'难度参数'!$E$56+'难度参数'!$E$57),1,0)</x:f>
        <x:v>6</x:v>
      </x:c>
      <x:c r="W647" s="62" t="str">
        <x:f>IF(L647&gt;'难度参数'!$E$51,"仅出怪已超目标","还需实测")</x:f>
        <x:v>仅出怪已超目标</x:v>
      </x:c>
      <x:c r="X647" s="119" t="n">
        <x:f>IF(1&gt;D647,0,MAX(2,MIN('难度参数'!$E$12,ROUND(('难度参数'!$E$18*POWER(A647,'难度参数'!$E$19)/D647*(0.85+0.3*(1-1)/MAX(1,D647-1))),0)+F647)))</x:f>
        <x:v>38</x:v>
      </x:c>
      <x:c r="Y647" s="119" t="n">
        <x:f>IF(1&gt;D647,0,ROUND(('难度参数'!$E$13*POWER(A647,'难度参数'!$E$20)*MIN('难度参数'!$E$23,1+MAX(0,A647-'难度参数'!$E$21)*'难度参数'!$E$22))*(36+1*7)/(36+7*(D647+1)/2)*E647,0))</x:f>
        <x:v>9518</x:v>
      </x:c>
      <x:c r="Z647" s="119" t="n">
        <x:f>IF(X647=0,0,(X647-IF(1=D647,1,0))*ROUND(Y647*VLOOKUP(INDEX('章节与怪物'!$E$31:$K$37,B647,1),'章节与怪物'!$A$41:$F$44,2,FALSE),0)+IF(1=D647,ROUND(Y647*'难度参数'!$E$28*'章节与怪物'!$E$17,0),0))</x:f>
        <x:v>361684</x:v>
      </x:c>
      <x:c r="AA647" s="119" t="n">
        <x:f>IF(X647=0,0,(X647-IF(1=D647,1,0))*VLOOKUP(INDEX('章节与怪物'!$E$31:$K$37,B647,1),'章节与怪物'!$A$41:$F$44,4,FALSE)+IF(1=D647,'难度参数'!$E$30,0))</x:f>
        <x:v>684</x:v>
      </x:c>
      <x:c r="AB647" s="119" t="n">
        <x:f>IF(2&gt;D647,0,MAX(2,MIN('难度参数'!$E$12,ROUND(('难度参数'!$E$18*POWER(A647,'难度参数'!$E$19)/D647*(0.85+0.3*(2-1)/MAX(1,D647-1))),0)+F647)))</x:f>
        <x:v>41</x:v>
      </x:c>
      <x:c r="AC647" s="119" t="n">
        <x:f>IF(2&gt;D647,0,ROUND(('难度参数'!$E$13*POWER(A647,'难度参数'!$E$20)*MIN('难度参数'!$E$23,1+MAX(0,A647-'难度参数'!$E$21)*'难度参数'!$E$22))*(36+2*7)/(36+7*(D647+1)/2)*E647,0))</x:f>
        <x:v>11068</x:v>
      </x:c>
      <x:c r="AD647" s="119" t="n">
        <x:f>IF(AB647=0,0,(AB647-IF(2=D647,1,0))*ROUND(AC647*VLOOKUP(INDEX('章节与怪物'!$E$31:$K$37,B647,2),'章节与怪物'!$A$41:$F$44,2,FALSE),0)+IF(2=D647,ROUND(AC647*'难度参数'!$E$28*'章节与怪物'!$E$17,0),0))</x:f>
        <x:v>326729</x:v>
      </x:c>
      <x:c r="AE647" s="119" t="n">
        <x:f>IF(AB647=0,0,(AB647-IF(2=D647,1,0))*VLOOKUP(INDEX('章节与怪物'!$E$31:$K$37,B647,2),'章节与怪物'!$A$41:$F$44,4,FALSE)+IF(2=D647,'难度参数'!$E$30,0))</x:f>
        <x:v>820</x:v>
      </x:c>
      <x:c r="AF647" s="119" t="n">
        <x:f>IF(3&gt;D647,0,MAX(2,MIN('难度参数'!$E$12,ROUND(('难度参数'!$E$18*POWER(A647,'难度参数'!$E$19)/D647*(0.85+0.3*(3-1)/MAX(1,D647-1))),0)+F647)))</x:f>
        <x:v>43</x:v>
      </x:c>
      <x:c r="AG647" s="119" t="n">
        <x:f>IF(3&gt;D647,0,ROUND(('难度参数'!$E$13*POWER(A647,'难度参数'!$E$20)*MIN('难度参数'!$E$23,1+MAX(0,A647-'难度参数'!$E$21)*'难度参数'!$E$22))*(36+3*7)/(36+7*(D647+1)/2)*E647,0))</x:f>
        <x:v>12617</x:v>
      </x:c>
      <x:c r="AH647" s="119" t="n">
        <x:f>IF(AF647=0,0,(AF647-IF(3=D647,1,0))*ROUND(AG647*VLOOKUP(INDEX('章节与怪物'!$E$31:$K$37,B647,3),'章节与怪物'!$A$41:$F$44,2,FALSE),0)+IF(3=D647,ROUND(AG647*'难度参数'!$E$28*'章节与怪物'!$E$17,0),0))</x:f>
        <x:v>922307</x:v>
      </x:c>
      <x:c r="AI647" s="119" t="n">
        <x:f>IF(AF647=0,0,(AF647-IF(3=D647,1,0))*VLOOKUP(INDEX('章节与怪物'!$E$31:$K$37,B647,3),'章节与怪物'!$A$41:$F$44,4,FALSE)+IF(3=D647,'难度参数'!$E$30,0))</x:f>
        <x:v>1204</x:v>
      </x:c>
      <x:c r="AJ647" s="119" t="n">
        <x:f>IF(4&gt;D647,0,MAX(2,MIN('难度参数'!$E$12,ROUND(('难度参数'!$E$18*POWER(A647,'难度参数'!$E$19)/D647*(0.85+0.3*(4-1)/MAX(1,D647-1))),0)+F647)))</x:f>
        <x:v>45</x:v>
      </x:c>
      <x:c r="AK647" s="119" t="n">
        <x:f>IF(4&gt;D647,0,ROUND(('难度参数'!$E$13*POWER(A647,'难度参数'!$E$20)*MIN('难度参数'!$E$23,1+MAX(0,A647-'难度参数'!$E$21)*'难度参数'!$E$22))*(36+4*7)/(36+7*(D647+1)/2)*E647,0))</x:f>
        <x:v>14167</x:v>
      </x:c>
      <x:c r="AL647" s="119" t="n">
        <x:f>IF(AJ647=0,0,(AJ647-IF(4=D647,1,0))*ROUND(AK647*VLOOKUP(INDEX('章节与怪物'!$E$31:$K$37,B647,4),'章节与怪物'!$A$41:$F$44,2,FALSE),0)+IF(4=D647,ROUND(AK647*'难度参数'!$E$28*'章节与怪物'!$E$17,0),0))</x:f>
        <x:v>860625</x:v>
      </x:c>
      <x:c r="AM647" s="119" t="n">
        <x:f>IF(AJ647=0,0,(AJ647-IF(4=D647,1,0))*VLOOKUP(INDEX('章节与怪物'!$E$31:$K$37,B647,4),'章节与怪物'!$A$41:$F$44,4,FALSE)+IF(4=D647,'难度参数'!$E$30,0))</x:f>
        <x:v>1530</x:v>
      </x:c>
      <x:c r="AN647" s="119" t="n">
        <x:f>IF(5&gt;D647,0,MAX(2,MIN('难度参数'!$E$12,ROUND(('难度参数'!$E$18*POWER(A647,'难度参数'!$E$19)/D647*(0.85+0.3*(5-1)/MAX(1,D647-1))),0)+F647)))</x:f>
        <x:v>48</x:v>
      </x:c>
      <x:c r="AO647" s="119" t="n">
        <x:f>IF(5&gt;D647,0,ROUND(('难度参数'!$E$13*POWER(A647,'难度参数'!$E$20)*MIN('难度参数'!$E$23,1+MAX(0,A647-'难度参数'!$E$21)*'难度参数'!$E$22))*(36+5*7)/(36+7*(D647+1)/2)*E647,0))</x:f>
        <x:v>15716</x:v>
      </x:c>
      <x:c r="AP647" s="119" t="n">
        <x:f>IF(AN647=0,0,(AN647-IF(5=D647,1,0))*ROUND(AO647*VLOOKUP(INDEX('章节与怪物'!$E$31:$K$37,B647,5),'章节与怪物'!$A$41:$F$44,2,FALSE),0)+IF(5=D647,ROUND(AO647*'难度参数'!$E$28*'章节与怪物'!$E$17,0),0))</x:f>
        <x:v>543168</x:v>
      </x:c>
      <x:c r="AQ647" s="119" t="n">
        <x:f>IF(AN647=0,0,(AN647-IF(5=D647,1,0))*VLOOKUP(INDEX('章节与怪物'!$E$31:$K$37,B647,5),'章节与怪物'!$A$41:$F$44,4,FALSE)+IF(5=D647,'难度参数'!$E$30,0))</x:f>
        <x:v>960</x:v>
      </x:c>
      <x:c r="AR647" s="119" t="n">
        <x:f>IF(6&gt;D647,0,MAX(2,MIN('难度参数'!$E$12,ROUND(('难度参数'!$E$18*POWER(A647,'难度参数'!$E$19)/D647*(0.85+0.3*(6-1)/MAX(1,D647-1))),0)+F647)))</x:f>
        <x:v>50</x:v>
      </x:c>
      <x:c r="AS647" s="119" t="n">
        <x:f>IF(6&gt;D647,0,ROUND(('难度参数'!$E$13*POWER(A647,'难度参数'!$E$20)*MIN('难度参数'!$E$23,1+MAX(0,A647-'难度参数'!$E$21)*'难度参数'!$E$22))*(36+6*7)/(36+7*(D647+1)/2)*E647,0))</x:f>
        <x:v>17266</x:v>
      </x:c>
      <x:c r="AT647" s="119" t="n">
        <x:f>IF(AR647=0,0,(AR647-IF(6=D647,1,0))*ROUND(AS647*VLOOKUP(INDEX('章节与怪物'!$E$31:$K$37,B647,6),'章节与怪物'!$A$41:$F$44,2,FALSE),0)+IF(6=D647,ROUND(AS647*'难度参数'!$E$28*'章节与怪物'!$E$17,0),0))</x:f>
        <x:v>1467600</x:v>
      </x:c>
      <x:c r="AU647" s="119" t="n">
        <x:f>IF(AR647=0,0,(AR647-IF(6=D647,1,0))*VLOOKUP(INDEX('章节与怪物'!$E$31:$K$37,B647,6),'章节与怪物'!$A$41:$F$44,4,FALSE)+IF(6=D647,'难度参数'!$E$30,0))</x:f>
        <x:v>1400</x:v>
      </x:c>
      <x:c r="AV647" s="119" t="n">
        <x:f>IF(7&gt;D647,0,MAX(2,MIN('难度参数'!$E$12,ROUND(('难度参数'!$E$18*POWER(A647,'难度参数'!$E$19)/D647*(0.85+0.3*(7-1)/MAX(1,D647-1))),0)+F647)))</x:f>
        <x:v>52</x:v>
      </x:c>
      <x:c r="AW647" s="119" t="n">
        <x:f>IF(7&gt;D647,0,ROUND(('难度参数'!$E$13*POWER(A647,'难度参数'!$E$20)*MIN('难度参数'!$E$23,1+MAX(0,A647-'难度参数'!$E$21)*'难度参数'!$E$22))*(36+7*7)/(36+7*(D647+1)/2)*E647,0))</x:f>
        <x:v>18815</x:v>
      </x:c>
      <x:c r="AX647" s="119" t="n">
        <x:f>IF(AV647=0,0,(AV647-IF(7=D647,1,0))*ROUND(AW647*VLOOKUP(INDEX('章节与怪物'!$E$31:$K$37,B647,7),'章节与怪物'!$A$41:$F$44,2,FALSE),0)+IF(7=D647,ROUND(AW647*'难度参数'!$E$28*'章节与怪物'!$E$17,0),0))</x:f>
        <x:v>1423342</x:v>
      </x:c>
      <x:c r="AY647" s="119" t="n">
        <x:f>IF(AV647=0,0,(AV647-IF(7=D647,1,0))*VLOOKUP(INDEX('章节与怪物'!$E$31:$K$37,B647,7),'章节与怪物'!$A$41:$F$44,4,FALSE)+IF(7=D647,'难度参数'!$E$30,0))</x:f>
        <x:v>1934</x:v>
      </x:c>
    </x:row>
    <x:row r="648" ht="23" customHeight="1">
      <x:c r="A648" s="119" t="n">
        <x:v>642</x:v>
      </x:c>
      <x:c r="B648" s="119" t="n">
        <x:f>MOD(INT((A648-1)/5),7)+1</x:f>
        <x:v>3</x:v>
      </x:c>
      <x:c r="C648" s="62" t="str">
        <x:f>INDEX('章节与怪物'!$B$31:$B$37,B648)</x:f>
        <x:v>腐沼秘林</x:v>
      </x:c>
      <x:c r="D648" s="119" t="n">
        <x:f>MIN('难度参数'!$E$8,MAX('难度参数'!$E$7,A648))</x:f>
        <x:v>7</x:v>
      </x:c>
      <x:c r="E648" s="106" t="n">
        <x:v>1</x:v>
      </x:c>
      <x:c r="F648" s="106" t="n">
        <x:v>0</x:v>
      </x:c>
      <x:c r="G648" s="106" t="n">
        <x:v>1</x:v>
      </x:c>
      <x:c r="H648" s="119" t="n">
        <x:f>SUM(X648,AB648,AF648,AJ648,AN648,AR648,AV648)</x:f>
        <x:v>318</x:v>
      </x:c>
      <x:c r="I648" s="119" t="n">
        <x:f>SUM(Z648,AD648,AH648,AL648,AP648,AT648,AX648)</x:f>
        <x:v>5921641</x:v>
      </x:c>
      <x:c r="J648" s="119" t="n">
        <x:f>ROUND(INDEX(X648:AY648,1,(D648-1)*4+2)*'难度参数'!$E$28*'章节与怪物'!$E$17,0)</x:f>
        <x:v>128085</x:v>
      </x:c>
      <x:c r="K648" s="119" t="n">
        <x:f>SUM(AA648,AE648,AI648,AM648,AQ648,AU648,AY648)</x:f>
        <x:v>8550</x:v>
      </x:c>
      <x:c r="L648" s="62" t="n">
        <x:f>H648*(ROUNDUP('难度参数'!$E$24/('难度参数'!$E$26*'难度参数'!$E$27),0)*'难度参数'!$E$26)/60</x:f>
        <x:v>4.24</x:v>
      </x:c>
      <x:c r="M648" s="62" t="n">
        <x:f>L648+D648*('难度参数'!$E$49+'难度参数'!$E$50)/60</x:f>
        <x:v>5.406666666666667</x:v>
      </x:c>
      <x:c r="N648" s="119" t="n">
        <x:f>ROUNDDOWN(('经济参数'!$E$20+A648*'经济参数'!$E$21)*G648,0)</x:f>
        <x:v>13020</x:v>
      </x:c>
      <x:c r="O648" s="119" t="n">
        <x:f>ROUNDDOWN(MIN('经济参数'!$E$24,'经济参数'!$E$22+A648*'经济参数'!$E$23)*G648,0)</x:f>
        <x:v>0</x:v>
      </x:c>
      <x:c r="P648" s="119" t="n">
        <x:f>ROUNDDOWN((IF(A648&gt;='材料与任务'!$E$31,'材料与任务'!$E$32,IF(A648&gt;='材料与任务'!$E$25,'材料与任务'!$E$26,IF(A648&gt;='材料与任务'!$E$19,'材料与任务'!$E$20,IF(A648&gt;='材料与任务'!$E$13,'材料与任务'!$E$14,'材料与任务'!$E$8)))))*G648,0)</x:f>
        <x:v>6</x:v>
      </x:c>
      <x:c r="Q648" s="119" t="n">
        <x:f>ROUNDDOWN((IF(A648&gt;='材料与任务'!$E$31,'材料与任务'!$E$33,IF(A648&gt;='材料与任务'!$E$25,'材料与任务'!$E$27,IF(A648&gt;='材料与任务'!$E$19,'材料与任务'!$E$21,IF(A648&gt;='材料与任务'!$E$13,'材料与任务'!$E$15,'材料与任务'!$E$9)))))*G648,0)</x:f>
        <x:v>3</x:v>
      </x:c>
      <x:c r="R648" s="110" t="n">
        <x:f>'装备掉落'!$B$38</x:f>
        <x:v>0.6872058758851213</x:v>
      </x:c>
      <x:c r="S648" s="119" t="n">
        <x:f>MAX(IF(VLOOKUP(A648,'装备掉落'!$A$29:$H$34,2,TRUE)&gt;0,1,0),IF(VLOOKUP(A648,'装备掉落'!$A$29:$H$34,3,TRUE)&gt;0,2,0),IF(VLOOKUP(A648,'装备掉落'!$A$29:$H$34,4,TRUE)&gt;0,3,0),IF(VLOOKUP(A648,'装备掉落'!$A$29:$H$34,5,TRUE)&gt;0,4,0),IF(VLOOKUP(A648,'装备掉落'!$A$29:$H$34,6,TRUE)&gt;0,5,0),IF(VLOOKUP(A648,'装备掉落'!$A$29:$H$34,7,TRUE)&gt;0,6,0),IF(VLOOKUP(A648,'装备掉落'!$A$29:$H$34,8,TRUE)&gt;0,7,0))</x:f>
        <x:v>7</x:v>
      </x:c>
      <x:c r="T648" s="119" t="n">
        <x:f>MIN(7,S648+'经济参数'!$E$70)</x:f>
        <x:v>7</x:v>
      </x:c>
      <x:c r="U648" s="119" t="n">
        <x:f>MIN(7,S648+'经济参数'!$E$71)</x:f>
        <x:v>7</x:v>
      </x:c>
      <x:c r="V648" s="119" t="n">
        <x:f>IF(H648&gt;=('难度参数'!$E$52),1,0)+IF(H648&gt;=('难度参数'!$E$52+'难度参数'!$E$53),1,0)+IF(H648&gt;=('难度参数'!$E$52+'难度参数'!$E$53+'难度参数'!$E$54),1,0)+IF(H648&gt;=('难度参数'!$E$52+'难度参数'!$E$53+'难度参数'!$E$54+'难度参数'!$E$55),1,0)+IF(H648&gt;=('难度参数'!$E$52+'难度参数'!$E$53+'难度参数'!$E$54+'难度参数'!$E$55+'难度参数'!$E$56),1,0)+IF(H648&gt;=('难度参数'!$E$52+'难度参数'!$E$53+'难度参数'!$E$54+'难度参数'!$E$55+'难度参数'!$E$56+'难度参数'!$E$57),1,0)</x:f>
        <x:v>6</x:v>
      </x:c>
      <x:c r="W648" s="62" t="str">
        <x:f>IF(L648&gt;'难度参数'!$E$51,"仅出怪已超目标","还需实测")</x:f>
        <x:v>仅出怪已超目标</x:v>
      </x:c>
      <x:c r="X648" s="119" t="n">
        <x:f>IF(1&gt;D648,0,MAX(2,MIN('难度参数'!$E$12,ROUND(('难度参数'!$E$18*POWER(A648,'难度参数'!$E$19)/D648*(0.85+0.3*(1-1)/MAX(1,D648-1))),0)+F648)))</x:f>
        <x:v>39</x:v>
      </x:c>
      <x:c r="Y648" s="119" t="n">
        <x:f>IF(1&gt;D648,0,ROUND(('难度参数'!$E$13*POWER(A648,'难度参数'!$E$20)*MIN('难度参数'!$E$23,1+MAX(0,A648-'难度参数'!$E$21)*'难度参数'!$E$22))*(36+1*7)/(36+7*(D648+1)/2)*E648,0))</x:f>
        <x:v>9529</x:v>
      </x:c>
      <x:c r="Z648" s="119" t="n">
        <x:f>IF(X648=0,0,(X648-IF(1=D648,1,0))*ROUND(Y648*VLOOKUP(INDEX('章节与怪物'!$E$31:$K$37,B648,1),'章节与怪物'!$A$41:$F$44,2,FALSE),0)+IF(1=D648,ROUND(Y648*'难度参数'!$E$28*'章节与怪物'!$E$17,0),0))</x:f>
        <x:v>371631</x:v>
      </x:c>
      <x:c r="AA648" s="119" t="n">
        <x:f>IF(X648=0,0,(X648-IF(1=D648,1,0))*VLOOKUP(INDEX('章节与怪物'!$E$31:$K$37,B648,1),'章节与怪物'!$A$41:$F$44,4,FALSE)+IF(1=D648,'难度参数'!$E$30,0))</x:f>
        <x:v>702</x:v>
      </x:c>
      <x:c r="AB648" s="119" t="n">
        <x:f>IF(2&gt;D648,0,MAX(2,MIN('难度参数'!$E$12,ROUND(('难度参数'!$E$18*POWER(A648,'难度参数'!$E$19)/D648*(0.85+0.3*(2-1)/MAX(1,D648-1))),0)+F648)))</x:f>
        <x:v>41</x:v>
      </x:c>
      <x:c r="AC648" s="119" t="n">
        <x:f>IF(2&gt;D648,0,ROUND(('难度参数'!$E$13*POWER(A648,'难度参数'!$E$20)*MIN('难度参数'!$E$23,1+MAX(0,A648-'难度参数'!$E$21)*'难度参数'!$E$22))*(36+2*7)/(36+7*(D648+1)/2)*E648,0))</x:f>
        <x:v>11080</x:v>
      </x:c>
      <x:c r="AD648" s="119" t="n">
        <x:f>IF(AB648=0,0,(AB648-IF(2=D648,1,0))*ROUND(AC648*VLOOKUP(INDEX('章节与怪物'!$E$31:$K$37,B648,2),'章节与怪物'!$A$41:$F$44,2,FALSE),0)+IF(2=D648,ROUND(AC648*'难度参数'!$E$28*'章节与怪物'!$E$17,0),0))</x:f>
        <x:v>327098</x:v>
      </x:c>
      <x:c r="AE648" s="119" t="n">
        <x:f>IF(AB648=0,0,(AB648-IF(2=D648,1,0))*VLOOKUP(INDEX('章节与怪物'!$E$31:$K$37,B648,2),'章节与怪物'!$A$41:$F$44,4,FALSE)+IF(2=D648,'难度参数'!$E$30,0))</x:f>
        <x:v>820</x:v>
      </x:c>
      <x:c r="AF648" s="119" t="n">
        <x:f>IF(3&gt;D648,0,MAX(2,MIN('难度参数'!$E$12,ROUND(('难度参数'!$E$18*POWER(A648,'难度参数'!$E$19)/D648*(0.85+0.3*(3-1)/MAX(1,D648-1))),0)+F648)))</x:f>
        <x:v>43</x:v>
      </x:c>
      <x:c r="AG648" s="119" t="n">
        <x:f>IF(3&gt;D648,0,ROUND(('难度参数'!$E$13*POWER(A648,'难度参数'!$E$20)*MIN('难度参数'!$E$23,1+MAX(0,A648-'难度参数'!$E$21)*'难度参数'!$E$22))*(36+3*7)/(36+7*(D648+1)/2)*E648,0))</x:f>
        <x:v>12631</x:v>
      </x:c>
      <x:c r="AH648" s="119" t="n">
        <x:f>IF(AF648=0,0,(AF648-IF(3=D648,1,0))*ROUND(AG648*VLOOKUP(INDEX('章节与怪物'!$E$31:$K$37,B648,3),'章节与怪物'!$A$41:$F$44,2,FALSE),0)+IF(3=D648,ROUND(AG648*'难度参数'!$E$28*'章节与怪物'!$E$17,0),0))</x:f>
        <x:v>923339</x:v>
      </x:c>
      <x:c r="AI648" s="119" t="n">
        <x:f>IF(AF648=0,0,(AF648-IF(3=D648,1,0))*VLOOKUP(INDEX('章节与怪物'!$E$31:$K$37,B648,3),'章节与怪物'!$A$41:$F$44,4,FALSE)+IF(3=D648,'难度参数'!$E$30,0))</x:f>
        <x:v>1204</x:v>
      </x:c>
      <x:c r="AJ648" s="119" t="n">
        <x:f>IF(4&gt;D648,0,MAX(2,MIN('难度参数'!$E$12,ROUND(('难度参数'!$E$18*POWER(A648,'难度参数'!$E$19)/D648*(0.85+0.3*(4-1)/MAX(1,D648-1))),0)+F648)))</x:f>
        <x:v>45</x:v>
      </x:c>
      <x:c r="AK648" s="119" t="n">
        <x:f>IF(4&gt;D648,0,ROUND(('难度参数'!$E$13*POWER(A648,'难度参数'!$E$20)*MIN('难度参数'!$E$23,1+MAX(0,A648-'难度参数'!$E$21)*'难度参数'!$E$22))*(36+4*7)/(36+7*(D648+1)/2)*E648,0))</x:f>
        <x:v>14183</x:v>
      </x:c>
      <x:c r="AL648" s="119" t="n">
        <x:f>IF(AJ648=0,0,(AJ648-IF(4=D648,1,0))*ROUND(AK648*VLOOKUP(INDEX('章节与怪物'!$E$31:$K$37,B648,4),'章节与怪物'!$A$41:$F$44,2,FALSE),0)+IF(4=D648,ROUND(AK648*'难度参数'!$E$28*'章节与怪物'!$E$17,0),0))</x:f>
        <x:v>861615</x:v>
      </x:c>
      <x:c r="AM648" s="119" t="n">
        <x:f>IF(AJ648=0,0,(AJ648-IF(4=D648,1,0))*VLOOKUP(INDEX('章节与怪物'!$E$31:$K$37,B648,4),'章节与怪物'!$A$41:$F$44,4,FALSE)+IF(4=D648,'难度参数'!$E$30,0))</x:f>
        <x:v>1530</x:v>
      </x:c>
      <x:c r="AN648" s="119" t="n">
        <x:f>IF(5&gt;D648,0,MAX(2,MIN('难度参数'!$E$12,ROUND(('难度参数'!$E$18*POWER(A648,'难度参数'!$E$19)/D648*(0.85+0.3*(5-1)/MAX(1,D648-1))),0)+F648)))</x:f>
        <x:v>48</x:v>
      </x:c>
      <x:c r="AO648" s="119" t="n">
        <x:f>IF(5&gt;D648,0,ROUND(('难度参数'!$E$13*POWER(A648,'难度参数'!$E$20)*MIN('难度参数'!$E$23,1+MAX(0,A648-'难度参数'!$E$21)*'难度参数'!$E$22))*(36+5*7)/(36+7*(D648+1)/2)*E648,0))</x:f>
        <x:v>15734</x:v>
      </x:c>
      <x:c r="AP648" s="119" t="n">
        <x:f>IF(AN648=0,0,(AN648-IF(5=D648,1,0))*ROUND(AO648*VLOOKUP(INDEX('章节与怪物'!$E$31:$K$37,B648,5),'章节与怪物'!$A$41:$F$44,2,FALSE),0)+IF(5=D648,ROUND(AO648*'难度参数'!$E$28*'章节与怪物'!$E$17,0),0))</x:f>
        <x:v>543744</x:v>
      </x:c>
      <x:c r="AQ648" s="119" t="n">
        <x:f>IF(AN648=0,0,(AN648-IF(5=D648,1,0))*VLOOKUP(INDEX('章节与怪物'!$E$31:$K$37,B648,5),'章节与怪物'!$A$41:$F$44,4,FALSE)+IF(5=D648,'难度参数'!$E$30,0))</x:f>
        <x:v>960</x:v>
      </x:c>
      <x:c r="AR648" s="119" t="n">
        <x:f>IF(6&gt;D648,0,MAX(2,MIN('难度参数'!$E$12,ROUND(('难度参数'!$E$18*POWER(A648,'难度参数'!$E$19)/D648*(0.85+0.3*(6-1)/MAX(1,D648-1))),0)+F648)))</x:f>
        <x:v>50</x:v>
      </x:c>
      <x:c r="AS648" s="119" t="n">
        <x:f>IF(6&gt;D648,0,ROUND(('难度参数'!$E$13*POWER(A648,'难度参数'!$E$20)*MIN('难度参数'!$E$23,1+MAX(0,A648-'难度参数'!$E$21)*'难度参数'!$E$22))*(36+6*7)/(36+7*(D648+1)/2)*E648,0))</x:f>
        <x:v>17285</x:v>
      </x:c>
      <x:c r="AT648" s="119" t="n">
        <x:f>IF(AR648=0,0,(AR648-IF(6=D648,1,0))*ROUND(AS648*VLOOKUP(INDEX('章节与怪物'!$E$31:$K$37,B648,6),'章节与怪物'!$A$41:$F$44,2,FALSE),0)+IF(6=D648,ROUND(AS648*'难度参数'!$E$28*'章节与怪物'!$E$17,0),0))</x:f>
        <x:v>1469250</x:v>
      </x:c>
      <x:c r="AU648" s="119" t="n">
        <x:f>IF(AR648=0,0,(AR648-IF(6=D648,1,0))*VLOOKUP(INDEX('章节与怪物'!$E$31:$K$37,B648,6),'章节与怪物'!$A$41:$F$44,4,FALSE)+IF(6=D648,'难度参数'!$E$30,0))</x:f>
        <x:v>1400</x:v>
      </x:c>
      <x:c r="AV648" s="119" t="n">
        <x:f>IF(7&gt;D648,0,MAX(2,MIN('难度参数'!$E$12,ROUND(('难度参数'!$E$18*POWER(A648,'难度参数'!$E$19)/D648*(0.85+0.3*(7-1)/MAX(1,D648-1))),0)+F648)))</x:f>
        <x:v>52</x:v>
      </x:c>
      <x:c r="AW648" s="119" t="n">
        <x:f>IF(7&gt;D648,0,ROUND(('难度参数'!$E$13*POWER(A648,'难度参数'!$E$20)*MIN('难度参数'!$E$23,1+MAX(0,A648-'难度参数'!$E$21)*'难度参数'!$E$22))*(36+7*7)/(36+7*(D648+1)/2)*E648,0))</x:f>
        <x:v>18836</x:v>
      </x:c>
      <x:c r="AX648" s="119" t="n">
        <x:f>IF(AV648=0,0,(AV648-IF(7=D648,1,0))*ROUND(AW648*VLOOKUP(INDEX('章节与怪物'!$E$31:$K$37,B648,7),'章节与怪物'!$A$41:$F$44,2,FALSE),0)+IF(7=D648,ROUND(AW648*'难度参数'!$E$28*'章节与怪物'!$E$17,0),0))</x:f>
        <x:v>1424964</x:v>
      </x:c>
      <x:c r="AY648" s="119" t="n">
        <x:f>IF(AV648=0,0,(AV648-IF(7=D648,1,0))*VLOOKUP(INDEX('章节与怪物'!$E$31:$K$37,B648,7),'章节与怪物'!$A$41:$F$44,4,FALSE)+IF(7=D648,'难度参数'!$E$30,0))</x:f>
        <x:v>1934</x:v>
      </x:c>
    </x:row>
    <x:row r="649" ht="23" customHeight="1">
      <x:c r="A649" s="119" t="n">
        <x:v>643</x:v>
      </x:c>
      <x:c r="B649" s="119" t="n">
        <x:f>MOD(INT((A649-1)/5),7)+1</x:f>
        <x:v>3</x:v>
      </x:c>
      <x:c r="C649" s="62" t="str">
        <x:f>INDEX('章节与怪物'!$B$31:$B$37,B649)</x:f>
        <x:v>腐沼秘林</x:v>
      </x:c>
      <x:c r="D649" s="119" t="n">
        <x:f>MIN('难度参数'!$E$8,MAX('难度参数'!$E$7,A649))</x:f>
        <x:v>7</x:v>
      </x:c>
      <x:c r="E649" s="106" t="n">
        <x:v>1</x:v>
      </x:c>
      <x:c r="F649" s="106" t="n">
        <x:v>0</x:v>
      </x:c>
      <x:c r="G649" s="106" t="n">
        <x:v>1</x:v>
      </x:c>
      <x:c r="H649" s="119" t="n">
        <x:f>SUM(X649,AB649,AF649,AJ649,AN649,AR649,AV649)</x:f>
        <x:v>318</x:v>
      </x:c>
      <x:c r="I649" s="119" t="n">
        <x:f>SUM(Z649,AD649,AH649,AL649,AP649,AT649,AX649)</x:f>
        <x:v>5928456</x:v>
      </x:c>
      <x:c r="J649" s="119" t="n">
        <x:f>ROUND(INDEX(X649:AY649,1,(D649-1)*4+2)*'难度参数'!$E$28*'章节与怪物'!$E$17,0)</x:f>
        <x:v>128234</x:v>
      </x:c>
      <x:c r="K649" s="119" t="n">
        <x:f>SUM(AA649,AE649,AI649,AM649,AQ649,AU649,AY649)</x:f>
        <x:v>8550</x:v>
      </x:c>
      <x:c r="L649" s="62" t="n">
        <x:f>H649*(ROUNDUP('难度参数'!$E$24/('难度参数'!$E$26*'难度参数'!$E$27),0)*'难度参数'!$E$26)/60</x:f>
        <x:v>4.24</x:v>
      </x:c>
      <x:c r="M649" s="62" t="n">
        <x:f>L649+D649*('难度参数'!$E$49+'难度参数'!$E$50)/60</x:f>
        <x:v>5.406666666666667</x:v>
      </x:c>
      <x:c r="N649" s="119" t="n">
        <x:f>ROUNDDOWN(('经济参数'!$E$20+A649*'经济参数'!$E$21)*G649,0)</x:f>
        <x:v>13040</x:v>
      </x:c>
      <x:c r="O649" s="119" t="n">
        <x:f>ROUNDDOWN(MIN('经济参数'!$E$24,'经济参数'!$E$22+A649*'经济参数'!$E$23)*G649,0)</x:f>
        <x:v>0</x:v>
      </x:c>
      <x:c r="P649" s="119" t="n">
        <x:f>ROUNDDOWN((IF(A649&gt;='材料与任务'!$E$31,'材料与任务'!$E$32,IF(A649&gt;='材料与任务'!$E$25,'材料与任务'!$E$26,IF(A649&gt;='材料与任务'!$E$19,'材料与任务'!$E$20,IF(A649&gt;='材料与任务'!$E$13,'材料与任务'!$E$14,'材料与任务'!$E$8)))))*G649,0)</x:f>
        <x:v>6</x:v>
      </x:c>
      <x:c r="Q649" s="119" t="n">
        <x:f>ROUNDDOWN((IF(A649&gt;='材料与任务'!$E$31,'材料与任务'!$E$33,IF(A649&gt;='材料与任务'!$E$25,'材料与任务'!$E$27,IF(A649&gt;='材料与任务'!$E$19,'材料与任务'!$E$21,IF(A649&gt;='材料与任务'!$E$13,'材料与任务'!$E$15,'材料与任务'!$E$9)))))*G649,0)</x:f>
        <x:v>3</x:v>
      </x:c>
      <x:c r="R649" s="110" t="n">
        <x:f>'装备掉落'!$B$38</x:f>
        <x:v>0.6872058758851213</x:v>
      </x:c>
      <x:c r="S649" s="119" t="n">
        <x:f>MAX(IF(VLOOKUP(A649,'装备掉落'!$A$29:$H$34,2,TRUE)&gt;0,1,0),IF(VLOOKUP(A649,'装备掉落'!$A$29:$H$34,3,TRUE)&gt;0,2,0),IF(VLOOKUP(A649,'装备掉落'!$A$29:$H$34,4,TRUE)&gt;0,3,0),IF(VLOOKUP(A649,'装备掉落'!$A$29:$H$34,5,TRUE)&gt;0,4,0),IF(VLOOKUP(A649,'装备掉落'!$A$29:$H$34,6,TRUE)&gt;0,5,0),IF(VLOOKUP(A649,'装备掉落'!$A$29:$H$34,7,TRUE)&gt;0,6,0),IF(VLOOKUP(A649,'装备掉落'!$A$29:$H$34,8,TRUE)&gt;0,7,0))</x:f>
        <x:v>7</x:v>
      </x:c>
      <x:c r="T649" s="119" t="n">
        <x:f>MIN(7,S649+'经济参数'!$E$70)</x:f>
        <x:v>7</x:v>
      </x:c>
      <x:c r="U649" s="119" t="n">
        <x:f>MIN(7,S649+'经济参数'!$E$71)</x:f>
        <x:v>7</x:v>
      </x:c>
      <x:c r="V649" s="119" t="n">
        <x:f>IF(H649&gt;=('难度参数'!$E$52),1,0)+IF(H649&gt;=('难度参数'!$E$52+'难度参数'!$E$53),1,0)+IF(H649&gt;=('难度参数'!$E$52+'难度参数'!$E$53+'难度参数'!$E$54),1,0)+IF(H649&gt;=('难度参数'!$E$52+'难度参数'!$E$53+'难度参数'!$E$54+'难度参数'!$E$55),1,0)+IF(H649&gt;=('难度参数'!$E$52+'难度参数'!$E$53+'难度参数'!$E$54+'难度参数'!$E$55+'难度参数'!$E$56),1,0)+IF(H649&gt;=('难度参数'!$E$52+'难度参数'!$E$53+'难度参数'!$E$54+'难度参数'!$E$55+'难度参数'!$E$56+'难度参数'!$E$57),1,0)</x:f>
        <x:v>6</x:v>
      </x:c>
      <x:c r="W649" s="62" t="str">
        <x:f>IF(L649&gt;'难度参数'!$E$51,"仅出怪已超目标","还需实测")</x:f>
        <x:v>仅出怪已超目标</x:v>
      </x:c>
      <x:c r="X649" s="119" t="n">
        <x:f>IF(1&gt;D649,0,MAX(2,MIN('难度参数'!$E$12,ROUND(('难度参数'!$E$18*POWER(A649,'难度参数'!$E$19)/D649*(0.85+0.3*(1-1)/MAX(1,D649-1))),0)+F649)))</x:f>
        <x:v>39</x:v>
      </x:c>
      <x:c r="Y649" s="119" t="n">
        <x:f>IF(1&gt;D649,0,ROUND(('难度参数'!$E$13*POWER(A649,'难度参数'!$E$20)*MIN('难度参数'!$E$23,1+MAX(0,A649-'难度参数'!$E$21)*'难度参数'!$E$22))*(36+1*7)/(36+7*(D649+1)/2)*E649,0))</x:f>
        <x:v>9540</x:v>
      </x:c>
      <x:c r="Z649" s="119" t="n">
        <x:f>IF(X649=0,0,(X649-IF(1=D649,1,0))*ROUND(Y649*VLOOKUP(INDEX('章节与怪物'!$E$31:$K$37,B649,1),'章节与怪物'!$A$41:$F$44,2,FALSE),0)+IF(1=D649,ROUND(Y649*'难度参数'!$E$28*'章节与怪物'!$E$17,0),0))</x:f>
        <x:v>372060</x:v>
      </x:c>
      <x:c r="AA649" s="119" t="n">
        <x:f>IF(X649=0,0,(X649-IF(1=D649,1,0))*VLOOKUP(INDEX('章节与怪物'!$E$31:$K$37,B649,1),'章节与怪物'!$A$41:$F$44,4,FALSE)+IF(1=D649,'难度参数'!$E$30,0))</x:f>
        <x:v>702</x:v>
      </x:c>
      <x:c r="AB649" s="119" t="n">
        <x:f>IF(2&gt;D649,0,MAX(2,MIN('难度参数'!$E$12,ROUND(('难度参数'!$E$18*POWER(A649,'难度参数'!$E$19)/D649*(0.85+0.3*(2-1)/MAX(1,D649-1))),0)+F649)))</x:f>
        <x:v>41</x:v>
      </x:c>
      <x:c r="AC649" s="119" t="n">
        <x:f>IF(2&gt;D649,0,ROUND(('难度参数'!$E$13*POWER(A649,'难度参数'!$E$20)*MIN('难度参数'!$E$23,1+MAX(0,A649-'难度参数'!$E$21)*'难度参数'!$E$22))*(36+2*7)/(36+7*(D649+1)/2)*E649,0))</x:f>
        <x:v>11093</x:v>
      </x:c>
      <x:c r="AD649" s="119" t="n">
        <x:f>IF(AB649=0,0,(AB649-IF(2=D649,1,0))*ROUND(AC649*VLOOKUP(INDEX('章节与怪物'!$E$31:$K$37,B649,2),'章节与怪物'!$A$41:$F$44,2,FALSE),0)+IF(2=D649,ROUND(AC649*'难度参数'!$E$28*'章节与怪物'!$E$17,0),0))</x:f>
        <x:v>327467</x:v>
      </x:c>
      <x:c r="AE649" s="119" t="n">
        <x:f>IF(AB649=0,0,(AB649-IF(2=D649,1,0))*VLOOKUP(INDEX('章节与怪物'!$E$31:$K$37,B649,2),'章节与怪物'!$A$41:$F$44,4,FALSE)+IF(2=D649,'难度参数'!$E$30,0))</x:f>
        <x:v>820</x:v>
      </x:c>
      <x:c r="AF649" s="119" t="n">
        <x:f>IF(3&gt;D649,0,MAX(2,MIN('难度参数'!$E$12,ROUND(('难度参数'!$E$18*POWER(A649,'难度参数'!$E$19)/D649*(0.85+0.3*(3-1)/MAX(1,D649-1))),0)+F649)))</x:f>
        <x:v>43</x:v>
      </x:c>
      <x:c r="AG649" s="119" t="n">
        <x:f>IF(3&gt;D649,0,ROUND(('难度参数'!$E$13*POWER(A649,'难度参数'!$E$20)*MIN('难度参数'!$E$23,1+MAX(0,A649-'难度参数'!$E$21)*'难度参数'!$E$22))*(36+3*7)/(36+7*(D649+1)/2)*E649,0))</x:f>
        <x:v>12646</x:v>
      </x:c>
      <x:c r="AH649" s="119" t="n">
        <x:f>IF(AF649=0,0,(AF649-IF(3=D649,1,0))*ROUND(AG649*VLOOKUP(INDEX('章节与怪物'!$E$31:$K$37,B649,3),'章节与怪物'!$A$41:$F$44,2,FALSE),0)+IF(3=D649,ROUND(AG649*'难度参数'!$E$28*'章节与怪物'!$E$17,0),0))</x:f>
        <x:v>924414</x:v>
      </x:c>
      <x:c r="AI649" s="119" t="n">
        <x:f>IF(AF649=0,0,(AF649-IF(3=D649,1,0))*VLOOKUP(INDEX('章节与怪物'!$E$31:$K$37,B649,3),'章节与怪物'!$A$41:$F$44,4,FALSE)+IF(3=D649,'难度参数'!$E$30,0))</x:f>
        <x:v>1204</x:v>
      </x:c>
      <x:c r="AJ649" s="119" t="n">
        <x:f>IF(4&gt;D649,0,MAX(2,MIN('难度参数'!$E$12,ROUND(('难度参数'!$E$18*POWER(A649,'难度参数'!$E$19)/D649*(0.85+0.3*(4-1)/MAX(1,D649-1))),0)+F649)))</x:f>
        <x:v>45</x:v>
      </x:c>
      <x:c r="AK649" s="119" t="n">
        <x:f>IF(4&gt;D649,0,ROUND(('难度参数'!$E$13*POWER(A649,'难度参数'!$E$20)*MIN('难度参数'!$E$23,1+MAX(0,A649-'难度参数'!$E$21)*'难度参数'!$E$22))*(36+4*7)/(36+7*(D649+1)/2)*E649,0))</x:f>
        <x:v>14199</x:v>
      </x:c>
      <x:c r="AL649" s="119" t="n">
        <x:f>IF(AJ649=0,0,(AJ649-IF(4=D649,1,0))*ROUND(AK649*VLOOKUP(INDEX('章节与怪物'!$E$31:$K$37,B649,4),'章节与怪物'!$A$41:$F$44,2,FALSE),0)+IF(4=D649,ROUND(AK649*'难度参数'!$E$28*'章节与怪物'!$E$17,0),0))</x:f>
        <x:v>862605</x:v>
      </x:c>
      <x:c r="AM649" s="119" t="n">
        <x:f>IF(AJ649=0,0,(AJ649-IF(4=D649,1,0))*VLOOKUP(INDEX('章节与怪物'!$E$31:$K$37,B649,4),'章节与怪物'!$A$41:$F$44,4,FALSE)+IF(4=D649,'难度参数'!$E$30,0))</x:f>
        <x:v>1530</x:v>
      </x:c>
      <x:c r="AN649" s="119" t="n">
        <x:f>IF(5&gt;D649,0,MAX(2,MIN('难度参数'!$E$12,ROUND(('难度参数'!$E$18*POWER(A649,'难度参数'!$E$19)/D649*(0.85+0.3*(5-1)/MAX(1,D649-1))),0)+F649)))</x:f>
        <x:v>48</x:v>
      </x:c>
      <x:c r="AO649" s="119" t="n">
        <x:f>IF(5&gt;D649,0,ROUND(('难度参数'!$E$13*POWER(A649,'难度参数'!$E$20)*MIN('难度参数'!$E$23,1+MAX(0,A649-'难度参数'!$E$21)*'难度参数'!$E$22))*(36+5*7)/(36+7*(D649+1)/2)*E649,0))</x:f>
        <x:v>15752</x:v>
      </x:c>
      <x:c r="AP649" s="119" t="n">
        <x:f>IF(AN649=0,0,(AN649-IF(5=D649,1,0))*ROUND(AO649*VLOOKUP(INDEX('章节与怪物'!$E$31:$K$37,B649,5),'章节与怪物'!$A$41:$F$44,2,FALSE),0)+IF(5=D649,ROUND(AO649*'难度参数'!$E$28*'章节与怪物'!$E$17,0),0))</x:f>
        <x:v>544368</x:v>
      </x:c>
      <x:c r="AQ649" s="119" t="n">
        <x:f>IF(AN649=0,0,(AN649-IF(5=D649,1,0))*VLOOKUP(INDEX('章节与怪物'!$E$31:$K$37,B649,5),'章节与怪物'!$A$41:$F$44,4,FALSE)+IF(5=D649,'难度参数'!$E$30,0))</x:f>
        <x:v>960</x:v>
      </x:c>
      <x:c r="AR649" s="119" t="n">
        <x:f>IF(6&gt;D649,0,MAX(2,MIN('难度参数'!$E$12,ROUND(('难度参数'!$E$18*POWER(A649,'难度参数'!$E$19)/D649*(0.85+0.3*(6-1)/MAX(1,D649-1))),0)+F649)))</x:f>
        <x:v>50</x:v>
      </x:c>
      <x:c r="AS649" s="119" t="n">
        <x:f>IF(6&gt;D649,0,ROUND(('难度参数'!$E$13*POWER(A649,'难度参数'!$E$20)*MIN('难度参数'!$E$23,1+MAX(0,A649-'难度参数'!$E$21)*'难度参数'!$E$22))*(36+6*7)/(36+7*(D649+1)/2)*E649,0))</x:f>
        <x:v>17305</x:v>
      </x:c>
      <x:c r="AT649" s="119" t="n">
        <x:f>IF(AR649=0,0,(AR649-IF(6=D649,1,0))*ROUND(AS649*VLOOKUP(INDEX('章节与怪物'!$E$31:$K$37,B649,6),'章节与怪物'!$A$41:$F$44,2,FALSE),0)+IF(6=D649,ROUND(AS649*'难度参数'!$E$28*'章节与怪物'!$E$17,0),0))</x:f>
        <x:v>1470950</x:v>
      </x:c>
      <x:c r="AU649" s="119" t="n">
        <x:f>IF(AR649=0,0,(AR649-IF(6=D649,1,0))*VLOOKUP(INDEX('章节与怪物'!$E$31:$K$37,B649,6),'章节与怪物'!$A$41:$F$44,4,FALSE)+IF(6=D649,'难度参数'!$E$30,0))</x:f>
        <x:v>1400</x:v>
      </x:c>
      <x:c r="AV649" s="119" t="n">
        <x:f>IF(7&gt;D649,0,MAX(2,MIN('难度参数'!$E$12,ROUND(('难度参数'!$E$18*POWER(A649,'难度参数'!$E$19)/D649*(0.85+0.3*(7-1)/MAX(1,D649-1))),0)+F649)))</x:f>
        <x:v>52</x:v>
      </x:c>
      <x:c r="AW649" s="119" t="n">
        <x:f>IF(7&gt;D649,0,ROUND(('难度参数'!$E$13*POWER(A649,'难度参数'!$E$20)*MIN('难度参数'!$E$23,1+MAX(0,A649-'难度参数'!$E$21)*'难度参数'!$E$22))*(36+7*7)/(36+7*(D649+1)/2)*E649,0))</x:f>
        <x:v>18858</x:v>
      </x:c>
      <x:c r="AX649" s="119" t="n">
        <x:f>IF(AV649=0,0,(AV649-IF(7=D649,1,0))*ROUND(AW649*VLOOKUP(INDEX('章节与怪物'!$E$31:$K$37,B649,7),'章节与怪物'!$A$41:$F$44,2,FALSE),0)+IF(7=D649,ROUND(AW649*'难度参数'!$E$28*'章节与怪物'!$E$17,0),0))</x:f>
        <x:v>1426592</x:v>
      </x:c>
      <x:c r="AY649" s="119" t="n">
        <x:f>IF(AV649=0,0,(AV649-IF(7=D649,1,0))*VLOOKUP(INDEX('章节与怪物'!$E$31:$K$37,B649,7),'章节与怪物'!$A$41:$F$44,4,FALSE)+IF(7=D649,'难度参数'!$E$30,0))</x:f>
        <x:v>1934</x:v>
      </x:c>
    </x:row>
    <x:row r="650" ht="23" customHeight="1">
      <x:c r="A650" s="119" t="n">
        <x:v>644</x:v>
      </x:c>
      <x:c r="B650" s="119" t="n">
        <x:f>MOD(INT((A650-1)/5),7)+1</x:f>
        <x:v>3</x:v>
      </x:c>
      <x:c r="C650" s="62" t="str">
        <x:f>INDEX('章节与怪物'!$B$31:$B$37,B650)</x:f>
        <x:v>腐沼秘林</x:v>
      </x:c>
      <x:c r="D650" s="119" t="n">
        <x:f>MIN('难度参数'!$E$8,MAX('难度参数'!$E$7,A650))</x:f>
        <x:v>7</x:v>
      </x:c>
      <x:c r="E650" s="106" t="n">
        <x:v>1</x:v>
      </x:c>
      <x:c r="F650" s="106" t="n">
        <x:v>0</x:v>
      </x:c>
      <x:c r="G650" s="106" t="n">
        <x:v>1</x:v>
      </x:c>
      <x:c r="H650" s="119" t="n">
        <x:f>SUM(X650,AB650,AF650,AJ650,AN650,AR650,AV650)</x:f>
        <x:v>318</x:v>
      </x:c>
      <x:c r="I650" s="119" t="n">
        <x:f>SUM(Z650,AD650,AH650,AL650,AP650,AT650,AX650)</x:f>
        <x:v>5935038</x:v>
      </x:c>
      <x:c r="J650" s="119" t="n">
        <x:f>ROUND(INDEX(X650:AY650,1,(D650-1)*4+2)*'难度参数'!$E$28*'章节与怪物'!$E$17,0)</x:f>
        <x:v>128377</x:v>
      </x:c>
      <x:c r="K650" s="119" t="n">
        <x:f>SUM(AA650,AE650,AI650,AM650,AQ650,AU650,AY650)</x:f>
        <x:v>8550</x:v>
      </x:c>
      <x:c r="L650" s="62" t="n">
        <x:f>H650*(ROUNDUP('难度参数'!$E$24/('难度参数'!$E$26*'难度参数'!$E$27),0)*'难度参数'!$E$26)/60</x:f>
        <x:v>4.24</x:v>
      </x:c>
      <x:c r="M650" s="62" t="n">
        <x:f>L650+D650*('难度参数'!$E$49+'难度参数'!$E$50)/60</x:f>
        <x:v>5.406666666666667</x:v>
      </x:c>
      <x:c r="N650" s="119" t="n">
        <x:f>ROUNDDOWN(('经济参数'!$E$20+A650*'经济参数'!$E$21)*G650,0)</x:f>
        <x:v>13060</x:v>
      </x:c>
      <x:c r="O650" s="119" t="n">
        <x:f>ROUNDDOWN(MIN('经济参数'!$E$24,'经济参数'!$E$22+A650*'经济参数'!$E$23)*G650,0)</x:f>
        <x:v>0</x:v>
      </x:c>
      <x:c r="P650" s="119" t="n">
        <x:f>ROUNDDOWN((IF(A650&gt;='材料与任务'!$E$31,'材料与任务'!$E$32,IF(A650&gt;='材料与任务'!$E$25,'材料与任务'!$E$26,IF(A650&gt;='材料与任务'!$E$19,'材料与任务'!$E$20,IF(A650&gt;='材料与任务'!$E$13,'材料与任务'!$E$14,'材料与任务'!$E$8)))))*G650,0)</x:f>
        <x:v>6</x:v>
      </x:c>
      <x:c r="Q650" s="119" t="n">
        <x:f>ROUNDDOWN((IF(A650&gt;='材料与任务'!$E$31,'材料与任务'!$E$33,IF(A650&gt;='材料与任务'!$E$25,'材料与任务'!$E$27,IF(A650&gt;='材料与任务'!$E$19,'材料与任务'!$E$21,IF(A650&gt;='材料与任务'!$E$13,'材料与任务'!$E$15,'材料与任务'!$E$9)))))*G650,0)</x:f>
        <x:v>3</x:v>
      </x:c>
      <x:c r="R650" s="110" t="n">
        <x:f>'装备掉落'!$B$38</x:f>
        <x:v>0.6872058758851213</x:v>
      </x:c>
      <x:c r="S650" s="119" t="n">
        <x:f>MAX(IF(VLOOKUP(A650,'装备掉落'!$A$29:$H$34,2,TRUE)&gt;0,1,0),IF(VLOOKUP(A650,'装备掉落'!$A$29:$H$34,3,TRUE)&gt;0,2,0),IF(VLOOKUP(A650,'装备掉落'!$A$29:$H$34,4,TRUE)&gt;0,3,0),IF(VLOOKUP(A650,'装备掉落'!$A$29:$H$34,5,TRUE)&gt;0,4,0),IF(VLOOKUP(A650,'装备掉落'!$A$29:$H$34,6,TRUE)&gt;0,5,0),IF(VLOOKUP(A650,'装备掉落'!$A$29:$H$34,7,TRUE)&gt;0,6,0),IF(VLOOKUP(A650,'装备掉落'!$A$29:$H$34,8,TRUE)&gt;0,7,0))</x:f>
        <x:v>7</x:v>
      </x:c>
      <x:c r="T650" s="119" t="n">
        <x:f>MIN(7,S650+'经济参数'!$E$70)</x:f>
        <x:v>7</x:v>
      </x:c>
      <x:c r="U650" s="119" t="n">
        <x:f>MIN(7,S650+'经济参数'!$E$71)</x:f>
        <x:v>7</x:v>
      </x:c>
      <x:c r="V650" s="119" t="n">
        <x:f>IF(H650&gt;=('难度参数'!$E$52),1,0)+IF(H650&gt;=('难度参数'!$E$52+'难度参数'!$E$53),1,0)+IF(H650&gt;=('难度参数'!$E$52+'难度参数'!$E$53+'难度参数'!$E$54),1,0)+IF(H650&gt;=('难度参数'!$E$52+'难度参数'!$E$53+'难度参数'!$E$54+'难度参数'!$E$55),1,0)+IF(H650&gt;=('难度参数'!$E$52+'难度参数'!$E$53+'难度参数'!$E$54+'难度参数'!$E$55+'难度参数'!$E$56),1,0)+IF(H650&gt;=('难度参数'!$E$52+'难度参数'!$E$53+'难度参数'!$E$54+'难度参数'!$E$55+'难度参数'!$E$56+'难度参数'!$E$57),1,0)</x:f>
        <x:v>6</x:v>
      </x:c>
      <x:c r="W650" s="62" t="str">
        <x:f>IF(L650&gt;'难度参数'!$E$51,"仅出怪已超目标","还需实测")</x:f>
        <x:v>仅出怪已超目标</x:v>
      </x:c>
      <x:c r="X650" s="119" t="n">
        <x:f>IF(1&gt;D650,0,MAX(2,MIN('难度参数'!$E$12,ROUND(('难度参数'!$E$18*POWER(A650,'难度参数'!$E$19)/D650*(0.85+0.3*(1-1)/MAX(1,D650-1))),0)+F650)))</x:f>
        <x:v>39</x:v>
      </x:c>
      <x:c r="Y650" s="119" t="n">
        <x:f>IF(1&gt;D650,0,ROUND(('难度参数'!$E$13*POWER(A650,'难度参数'!$E$20)*MIN('难度参数'!$E$23,1+MAX(0,A650-'难度参数'!$E$21)*'难度参数'!$E$22))*(36+1*7)/(36+7*(D650+1)/2)*E650,0))</x:f>
        <x:v>9550</x:v>
      </x:c>
      <x:c r="Z650" s="119" t="n">
        <x:f>IF(X650=0,0,(X650-IF(1=D650,1,0))*ROUND(Y650*VLOOKUP(INDEX('章节与怪物'!$E$31:$K$37,B650,1),'章节与怪物'!$A$41:$F$44,2,FALSE),0)+IF(1=D650,ROUND(Y650*'难度参数'!$E$28*'章节与怪物'!$E$17,0),0))</x:f>
        <x:v>372450</x:v>
      </x:c>
      <x:c r="AA650" s="119" t="n">
        <x:f>IF(X650=0,0,(X650-IF(1=D650,1,0))*VLOOKUP(INDEX('章节与怪物'!$E$31:$K$37,B650,1),'章节与怪物'!$A$41:$F$44,4,FALSE)+IF(1=D650,'难度参数'!$E$30,0))</x:f>
        <x:v>702</x:v>
      </x:c>
      <x:c r="AB650" s="119" t="n">
        <x:f>IF(2&gt;D650,0,MAX(2,MIN('难度参数'!$E$12,ROUND(('难度参数'!$E$18*POWER(A650,'难度参数'!$E$19)/D650*(0.85+0.3*(2-1)/MAX(1,D650-1))),0)+F650)))</x:f>
        <x:v>41</x:v>
      </x:c>
      <x:c r="AC650" s="119" t="n">
        <x:f>IF(2&gt;D650,0,ROUND(('难度参数'!$E$13*POWER(A650,'难度参数'!$E$20)*MIN('难度参数'!$E$23,1+MAX(0,A650-'难度参数'!$E$21)*'难度参数'!$E$22))*(36+2*7)/(36+7*(D650+1)/2)*E650,0))</x:f>
        <x:v>11105</x:v>
      </x:c>
      <x:c r="AD650" s="119" t="n">
        <x:f>IF(AB650=0,0,(AB650-IF(2=D650,1,0))*ROUND(AC650*VLOOKUP(INDEX('章节与怪物'!$E$31:$K$37,B650,2),'章节与怪物'!$A$41:$F$44,2,FALSE),0)+IF(2=D650,ROUND(AC650*'难度参数'!$E$28*'章节与怪物'!$E$17,0),0))</x:f>
        <x:v>327836</x:v>
      </x:c>
      <x:c r="AE650" s="119" t="n">
        <x:f>IF(AB650=0,0,(AB650-IF(2=D650,1,0))*VLOOKUP(INDEX('章节与怪物'!$E$31:$K$37,B650,2),'章节与怪物'!$A$41:$F$44,4,FALSE)+IF(2=D650,'难度参数'!$E$30,0))</x:f>
        <x:v>820</x:v>
      </x:c>
      <x:c r="AF650" s="119" t="n">
        <x:f>IF(3&gt;D650,0,MAX(2,MIN('难度参数'!$E$12,ROUND(('难度参数'!$E$18*POWER(A650,'难度参数'!$E$19)/D650*(0.85+0.3*(3-1)/MAX(1,D650-1))),0)+F650)))</x:f>
        <x:v>43</x:v>
      </x:c>
      <x:c r="AG650" s="119" t="n">
        <x:f>IF(3&gt;D650,0,ROUND(('难度参数'!$E$13*POWER(A650,'难度参数'!$E$20)*MIN('难度参数'!$E$23,1+MAX(0,A650-'难度参数'!$E$21)*'难度参数'!$E$22))*(36+3*7)/(36+7*(D650+1)/2)*E650,0))</x:f>
        <x:v>12660</x:v>
      </x:c>
      <x:c r="AH650" s="119" t="n">
        <x:f>IF(AF650=0,0,(AF650-IF(3=D650,1,0))*ROUND(AG650*VLOOKUP(INDEX('章节与怪物'!$E$31:$K$37,B650,3),'章节与怪物'!$A$41:$F$44,2,FALSE),0)+IF(3=D650,ROUND(AG650*'难度参数'!$E$28*'章节与怪物'!$E$17,0),0))</x:f>
        <x:v>925446</x:v>
      </x:c>
      <x:c r="AI650" s="119" t="n">
        <x:f>IF(AF650=0,0,(AF650-IF(3=D650,1,0))*VLOOKUP(INDEX('章节与怪物'!$E$31:$K$37,B650,3),'章节与怪物'!$A$41:$F$44,4,FALSE)+IF(3=D650,'难度参数'!$E$30,0))</x:f>
        <x:v>1204</x:v>
      </x:c>
      <x:c r="AJ650" s="119" t="n">
        <x:f>IF(4&gt;D650,0,MAX(2,MIN('难度参数'!$E$12,ROUND(('难度参数'!$E$18*POWER(A650,'难度参数'!$E$19)/D650*(0.85+0.3*(4-1)/MAX(1,D650-1))),0)+F650)))</x:f>
        <x:v>45</x:v>
      </x:c>
      <x:c r="AK650" s="119" t="n">
        <x:f>IF(4&gt;D650,0,ROUND(('难度参数'!$E$13*POWER(A650,'难度参数'!$E$20)*MIN('难度参数'!$E$23,1+MAX(0,A650-'难度参数'!$E$21)*'难度参数'!$E$22))*(36+4*7)/(36+7*(D650+1)/2)*E650,0))</x:f>
        <x:v>14215</x:v>
      </x:c>
      <x:c r="AL650" s="119" t="n">
        <x:f>IF(AJ650=0,0,(AJ650-IF(4=D650,1,0))*ROUND(AK650*VLOOKUP(INDEX('章节与怪物'!$E$31:$K$37,B650,4),'章节与怪物'!$A$41:$F$44,2,FALSE),0)+IF(4=D650,ROUND(AK650*'难度参数'!$E$28*'章节与怪物'!$E$17,0),0))</x:f>
        <x:v>863550</x:v>
      </x:c>
      <x:c r="AM650" s="119" t="n">
        <x:f>IF(AJ650=0,0,(AJ650-IF(4=D650,1,0))*VLOOKUP(INDEX('章节与怪物'!$E$31:$K$37,B650,4),'章节与怪物'!$A$41:$F$44,4,FALSE)+IF(4=D650,'难度参数'!$E$30,0))</x:f>
        <x:v>1530</x:v>
      </x:c>
      <x:c r="AN650" s="119" t="n">
        <x:f>IF(5&gt;D650,0,MAX(2,MIN('难度参数'!$E$12,ROUND(('难度参数'!$E$18*POWER(A650,'难度参数'!$E$19)/D650*(0.85+0.3*(5-1)/MAX(1,D650-1))),0)+F650)))</x:f>
        <x:v>48</x:v>
      </x:c>
      <x:c r="AO650" s="119" t="n">
        <x:f>IF(5&gt;D650,0,ROUND(('难度参数'!$E$13*POWER(A650,'难度参数'!$E$20)*MIN('难度参数'!$E$23,1+MAX(0,A650-'难度参数'!$E$21)*'难度参数'!$E$22))*(36+5*7)/(36+7*(D650+1)/2)*E650,0))</x:f>
        <x:v>15769</x:v>
      </x:c>
      <x:c r="AP650" s="119" t="n">
        <x:f>IF(AN650=0,0,(AN650-IF(5=D650,1,0))*ROUND(AO650*VLOOKUP(INDEX('章节与怪物'!$E$31:$K$37,B650,5),'章节与怪物'!$A$41:$F$44,2,FALSE),0)+IF(5=D650,ROUND(AO650*'难度参数'!$E$28*'章节与怪物'!$E$17,0),0))</x:f>
        <x:v>544992</x:v>
      </x:c>
      <x:c r="AQ650" s="119" t="n">
        <x:f>IF(AN650=0,0,(AN650-IF(5=D650,1,0))*VLOOKUP(INDEX('章节与怪物'!$E$31:$K$37,B650,5),'章节与怪物'!$A$41:$F$44,4,FALSE)+IF(5=D650,'难度参数'!$E$30,0))</x:f>
        <x:v>960</x:v>
      </x:c>
      <x:c r="AR650" s="119" t="n">
        <x:f>IF(6&gt;D650,0,MAX(2,MIN('难度参数'!$E$12,ROUND(('难度参数'!$E$18*POWER(A650,'难度参数'!$E$19)/D650*(0.85+0.3*(6-1)/MAX(1,D650-1))),0)+F650)))</x:f>
        <x:v>50</x:v>
      </x:c>
      <x:c r="AS650" s="119" t="n">
        <x:f>IF(6&gt;D650,0,ROUND(('难度参数'!$E$13*POWER(A650,'难度参数'!$E$20)*MIN('难度参数'!$E$23,1+MAX(0,A650-'难度参数'!$E$21)*'难度参数'!$E$22))*(36+6*7)/(36+7*(D650+1)/2)*E650,0))</x:f>
        <x:v>17324</x:v>
      </x:c>
      <x:c r="AT650" s="119" t="n">
        <x:f>IF(AR650=0,0,(AR650-IF(6=D650,1,0))*ROUND(AS650*VLOOKUP(INDEX('章节与怪物'!$E$31:$K$37,B650,6),'章节与怪物'!$A$41:$F$44,2,FALSE),0)+IF(6=D650,ROUND(AS650*'难度参数'!$E$28*'章节与怪物'!$E$17,0),0))</x:f>
        <x:v>1472550</x:v>
      </x:c>
      <x:c r="AU650" s="119" t="n">
        <x:f>IF(AR650=0,0,(AR650-IF(6=D650,1,0))*VLOOKUP(INDEX('章节与怪物'!$E$31:$K$37,B650,6),'章节与怪物'!$A$41:$F$44,4,FALSE)+IF(6=D650,'难度参数'!$E$30,0))</x:f>
        <x:v>1400</x:v>
      </x:c>
      <x:c r="AV650" s="119" t="n">
        <x:f>IF(7&gt;D650,0,MAX(2,MIN('难度参数'!$E$12,ROUND(('难度参数'!$E$18*POWER(A650,'难度参数'!$E$19)/D650*(0.85+0.3*(7-1)/MAX(1,D650-1))),0)+F650)))</x:f>
        <x:v>52</x:v>
      </x:c>
      <x:c r="AW650" s="119" t="n">
        <x:f>IF(7&gt;D650,0,ROUND(('难度参数'!$E$13*POWER(A650,'难度参数'!$E$20)*MIN('难度参数'!$E$23,1+MAX(0,A650-'难度参数'!$E$21)*'难度参数'!$E$22))*(36+7*7)/(36+7*(D650+1)/2)*E650,0))</x:f>
        <x:v>18879</x:v>
      </x:c>
      <x:c r="AX650" s="119" t="n">
        <x:f>IF(AV650=0,0,(AV650-IF(7=D650,1,0))*ROUND(AW650*VLOOKUP(INDEX('章节与怪物'!$E$31:$K$37,B650,7),'章节与怪物'!$A$41:$F$44,2,FALSE),0)+IF(7=D650,ROUND(AW650*'难度参数'!$E$28*'章节与怪物'!$E$17,0),0))</x:f>
        <x:v>1428214</x:v>
      </x:c>
      <x:c r="AY650" s="119" t="n">
        <x:f>IF(AV650=0,0,(AV650-IF(7=D650,1,0))*VLOOKUP(INDEX('章节与怪物'!$E$31:$K$37,B650,7),'章节与怪物'!$A$41:$F$44,4,FALSE)+IF(7=D650,'难度参数'!$E$30,0))</x:f>
        <x:v>1934</x:v>
      </x:c>
    </x:row>
    <x:row r="651" ht="23" customHeight="1">
      <x:c r="A651" s="119" t="n">
        <x:v>645</x:v>
      </x:c>
      <x:c r="B651" s="119" t="n">
        <x:f>MOD(INT((A651-1)/5),7)+1</x:f>
        <x:v>3</x:v>
      </x:c>
      <x:c r="C651" s="62" t="str">
        <x:f>INDEX('章节与怪物'!$B$31:$B$37,B651)</x:f>
        <x:v>腐沼秘林</x:v>
      </x:c>
      <x:c r="D651" s="119" t="n">
        <x:f>MIN('难度参数'!$E$8,MAX('难度参数'!$E$7,A651))</x:f>
        <x:v>7</x:v>
      </x:c>
      <x:c r="E651" s="106" t="n">
        <x:v>1</x:v>
      </x:c>
      <x:c r="F651" s="106" t="n">
        <x:v>0</x:v>
      </x:c>
      <x:c r="G651" s="106" t="n">
        <x:v>1</x:v>
      </x:c>
      <x:c r="H651" s="119" t="n">
        <x:f>SUM(X651,AB651,AF651,AJ651,AN651,AR651,AV651)</x:f>
        <x:v>318</x:v>
      </x:c>
      <x:c r="I651" s="119" t="n">
        <x:f>SUM(Z651,AD651,AH651,AL651,AP651,AT651,AX651)</x:f>
        <x:v>5941567</x:v>
      </x:c>
      <x:c r="J651" s="119" t="n">
        <x:f>ROUND(INDEX(X651:AY651,1,(D651-1)*4+2)*'难度参数'!$E$28*'章节与怪物'!$E$17,0)</x:f>
        <x:v>128520</x:v>
      </x:c>
      <x:c r="K651" s="119" t="n">
        <x:f>SUM(AA651,AE651,AI651,AM651,AQ651,AU651,AY651)</x:f>
        <x:v>8550</x:v>
      </x:c>
      <x:c r="L651" s="62" t="n">
        <x:f>H651*(ROUNDUP('难度参数'!$E$24/('难度参数'!$E$26*'难度参数'!$E$27),0)*'难度参数'!$E$26)/60</x:f>
        <x:v>4.24</x:v>
      </x:c>
      <x:c r="M651" s="62" t="n">
        <x:f>L651+D651*('难度参数'!$E$49+'难度参数'!$E$50)/60</x:f>
        <x:v>5.406666666666667</x:v>
      </x:c>
      <x:c r="N651" s="119" t="n">
        <x:f>ROUNDDOWN(('经济参数'!$E$20+A651*'经济参数'!$E$21)*G651,0)</x:f>
        <x:v>13080</x:v>
      </x:c>
      <x:c r="O651" s="119" t="n">
        <x:f>ROUNDDOWN(MIN('经济参数'!$E$24,'经济参数'!$E$22+A651*'经济参数'!$E$23)*G651,0)</x:f>
        <x:v>0</x:v>
      </x:c>
      <x:c r="P651" s="119" t="n">
        <x:f>ROUNDDOWN((IF(A651&gt;='材料与任务'!$E$31,'材料与任务'!$E$32,IF(A651&gt;='材料与任务'!$E$25,'材料与任务'!$E$26,IF(A651&gt;='材料与任务'!$E$19,'材料与任务'!$E$20,IF(A651&gt;='材料与任务'!$E$13,'材料与任务'!$E$14,'材料与任务'!$E$8)))))*G651,0)</x:f>
        <x:v>6</x:v>
      </x:c>
      <x:c r="Q651" s="119" t="n">
        <x:f>ROUNDDOWN((IF(A651&gt;='材料与任务'!$E$31,'材料与任务'!$E$33,IF(A651&gt;='材料与任务'!$E$25,'材料与任务'!$E$27,IF(A651&gt;='材料与任务'!$E$19,'材料与任务'!$E$21,IF(A651&gt;='材料与任务'!$E$13,'材料与任务'!$E$15,'材料与任务'!$E$9)))))*G651,0)</x:f>
        <x:v>3</x:v>
      </x:c>
      <x:c r="R651" s="110" t="n">
        <x:f>'装备掉落'!$B$38</x:f>
        <x:v>0.6872058758851213</x:v>
      </x:c>
      <x:c r="S651" s="119" t="n">
        <x:f>MAX(IF(VLOOKUP(A651,'装备掉落'!$A$29:$H$34,2,TRUE)&gt;0,1,0),IF(VLOOKUP(A651,'装备掉落'!$A$29:$H$34,3,TRUE)&gt;0,2,0),IF(VLOOKUP(A651,'装备掉落'!$A$29:$H$34,4,TRUE)&gt;0,3,0),IF(VLOOKUP(A651,'装备掉落'!$A$29:$H$34,5,TRUE)&gt;0,4,0),IF(VLOOKUP(A651,'装备掉落'!$A$29:$H$34,6,TRUE)&gt;0,5,0),IF(VLOOKUP(A651,'装备掉落'!$A$29:$H$34,7,TRUE)&gt;0,6,0),IF(VLOOKUP(A651,'装备掉落'!$A$29:$H$34,8,TRUE)&gt;0,7,0))</x:f>
        <x:v>7</x:v>
      </x:c>
      <x:c r="T651" s="119" t="n">
        <x:f>MIN(7,S651+'经济参数'!$E$70)</x:f>
        <x:v>7</x:v>
      </x:c>
      <x:c r="U651" s="119" t="n">
        <x:f>MIN(7,S651+'经济参数'!$E$71)</x:f>
        <x:v>7</x:v>
      </x:c>
      <x:c r="V651" s="119" t="n">
        <x:f>IF(H651&gt;=('难度参数'!$E$52),1,0)+IF(H651&gt;=('难度参数'!$E$52+'难度参数'!$E$53),1,0)+IF(H651&gt;=('难度参数'!$E$52+'难度参数'!$E$53+'难度参数'!$E$54),1,0)+IF(H651&gt;=('难度参数'!$E$52+'难度参数'!$E$53+'难度参数'!$E$54+'难度参数'!$E$55),1,0)+IF(H651&gt;=('难度参数'!$E$52+'难度参数'!$E$53+'难度参数'!$E$54+'难度参数'!$E$55+'难度参数'!$E$56),1,0)+IF(H651&gt;=('难度参数'!$E$52+'难度参数'!$E$53+'难度参数'!$E$54+'难度参数'!$E$55+'难度参数'!$E$56+'难度参数'!$E$57),1,0)</x:f>
        <x:v>6</x:v>
      </x:c>
      <x:c r="W651" s="62" t="str">
        <x:f>IF(L651&gt;'难度参数'!$E$51,"仅出怪已超目标","还需实测")</x:f>
        <x:v>仅出怪已超目标</x:v>
      </x:c>
      <x:c r="X651" s="119" t="n">
        <x:f>IF(1&gt;D651,0,MAX(2,MIN('难度参数'!$E$12,ROUND(('难度参数'!$E$18*POWER(A651,'难度参数'!$E$19)/D651*(0.85+0.3*(1-1)/MAX(1,D651-1))),0)+F651)))</x:f>
        <x:v>39</x:v>
      </x:c>
      <x:c r="Y651" s="119" t="n">
        <x:f>IF(1&gt;D651,0,ROUND(('难度参数'!$E$13*POWER(A651,'难度参数'!$E$20)*MIN('难度参数'!$E$23,1+MAX(0,A651-'难度参数'!$E$21)*'难度参数'!$E$22))*(36+1*7)/(36+7*(D651+1)/2)*E651,0))</x:f>
        <x:v>9561</x:v>
      </x:c>
      <x:c r="Z651" s="119" t="n">
        <x:f>IF(X651=0,0,(X651-IF(1=D651,1,0))*ROUND(Y651*VLOOKUP(INDEX('章节与怪物'!$E$31:$K$37,B651,1),'章节与怪物'!$A$41:$F$44,2,FALSE),0)+IF(1=D651,ROUND(Y651*'难度参数'!$E$28*'章节与怪物'!$E$17,0),0))</x:f>
        <x:v>372879</x:v>
      </x:c>
      <x:c r="AA651" s="119" t="n">
        <x:f>IF(X651=0,0,(X651-IF(1=D651,1,0))*VLOOKUP(INDEX('章节与怪物'!$E$31:$K$37,B651,1),'章节与怪物'!$A$41:$F$44,4,FALSE)+IF(1=D651,'难度参数'!$E$30,0))</x:f>
        <x:v>702</x:v>
      </x:c>
      <x:c r="AB651" s="119" t="n">
        <x:f>IF(2&gt;D651,0,MAX(2,MIN('难度参数'!$E$12,ROUND(('难度参数'!$E$18*POWER(A651,'难度参数'!$E$19)/D651*(0.85+0.3*(2-1)/MAX(1,D651-1))),0)+F651)))</x:f>
        <x:v>41</x:v>
      </x:c>
      <x:c r="AC651" s="119" t="n">
        <x:f>IF(2&gt;D651,0,ROUND(('难度参数'!$E$13*POWER(A651,'难度参数'!$E$20)*MIN('难度参数'!$E$23,1+MAX(0,A651-'难度参数'!$E$21)*'难度参数'!$E$22))*(36+2*7)/(36+7*(D651+1)/2)*E651,0))</x:f>
        <x:v>11117</x:v>
      </x:c>
      <x:c r="AD651" s="119" t="n">
        <x:f>IF(AB651=0,0,(AB651-IF(2=D651,1,0))*ROUND(AC651*VLOOKUP(INDEX('章节与怪物'!$E$31:$K$37,B651,2),'章节与怪物'!$A$41:$F$44,2,FALSE),0)+IF(2=D651,ROUND(AC651*'难度参数'!$E$28*'章节与怪物'!$E$17,0),0))</x:f>
        <x:v>328164</x:v>
      </x:c>
      <x:c r="AE651" s="119" t="n">
        <x:f>IF(AB651=0,0,(AB651-IF(2=D651,1,0))*VLOOKUP(INDEX('章节与怪物'!$E$31:$K$37,B651,2),'章节与怪物'!$A$41:$F$44,4,FALSE)+IF(2=D651,'难度参数'!$E$30,0))</x:f>
        <x:v>820</x:v>
      </x:c>
      <x:c r="AF651" s="119" t="n">
        <x:f>IF(3&gt;D651,0,MAX(2,MIN('难度参数'!$E$12,ROUND(('难度参数'!$E$18*POWER(A651,'难度参数'!$E$19)/D651*(0.85+0.3*(3-1)/MAX(1,D651-1))),0)+F651)))</x:f>
        <x:v>43</x:v>
      </x:c>
      <x:c r="AG651" s="119" t="n">
        <x:f>IF(3&gt;D651,0,ROUND(('难度参数'!$E$13*POWER(A651,'难度参数'!$E$20)*MIN('难度参数'!$E$23,1+MAX(0,A651-'难度参数'!$E$21)*'难度参数'!$E$22))*(36+3*7)/(36+7*(D651+1)/2)*E651,0))</x:f>
        <x:v>12674</x:v>
      </x:c>
      <x:c r="AH651" s="119" t="n">
        <x:f>IF(AF651=0,0,(AF651-IF(3=D651,1,0))*ROUND(AG651*VLOOKUP(INDEX('章节与怪物'!$E$31:$K$37,B651,3),'章节与怪物'!$A$41:$F$44,2,FALSE),0)+IF(3=D651,ROUND(AG651*'难度参数'!$E$28*'章节与怪物'!$E$17,0),0))</x:f>
        <x:v>926478</x:v>
      </x:c>
      <x:c r="AI651" s="119" t="n">
        <x:f>IF(AF651=0,0,(AF651-IF(3=D651,1,0))*VLOOKUP(INDEX('章节与怪物'!$E$31:$K$37,B651,3),'章节与怪物'!$A$41:$F$44,4,FALSE)+IF(3=D651,'难度参数'!$E$30,0))</x:f>
        <x:v>1204</x:v>
      </x:c>
      <x:c r="AJ651" s="119" t="n">
        <x:f>IF(4&gt;D651,0,MAX(2,MIN('难度参数'!$E$12,ROUND(('难度参数'!$E$18*POWER(A651,'难度参数'!$E$19)/D651*(0.85+0.3*(4-1)/MAX(1,D651-1))),0)+F651)))</x:f>
        <x:v>45</x:v>
      </x:c>
      <x:c r="AK651" s="119" t="n">
        <x:f>IF(4&gt;D651,0,ROUND(('难度参数'!$E$13*POWER(A651,'难度参数'!$E$20)*MIN('难度参数'!$E$23,1+MAX(0,A651-'难度参数'!$E$21)*'难度参数'!$E$22))*(36+4*7)/(36+7*(D651+1)/2)*E651,0))</x:f>
        <x:v>14230</x:v>
      </x:c>
      <x:c r="AL651" s="119" t="n">
        <x:f>IF(AJ651=0,0,(AJ651-IF(4=D651,1,0))*ROUND(AK651*VLOOKUP(INDEX('章节与怪物'!$E$31:$K$37,B651,4),'章节与怪物'!$A$41:$F$44,2,FALSE),0)+IF(4=D651,ROUND(AK651*'难度参数'!$E$28*'章节与怪物'!$E$17,0),0))</x:f>
        <x:v>864495</x:v>
      </x:c>
      <x:c r="AM651" s="119" t="n">
        <x:f>IF(AJ651=0,0,(AJ651-IF(4=D651,1,0))*VLOOKUP(INDEX('章节与怪物'!$E$31:$K$37,B651,4),'章节与怪物'!$A$41:$F$44,4,FALSE)+IF(4=D651,'难度参数'!$E$30,0))</x:f>
        <x:v>1530</x:v>
      </x:c>
      <x:c r="AN651" s="119" t="n">
        <x:f>IF(5&gt;D651,0,MAX(2,MIN('难度参数'!$E$12,ROUND(('难度参数'!$E$18*POWER(A651,'难度参数'!$E$19)/D651*(0.85+0.3*(5-1)/MAX(1,D651-1))),0)+F651)))</x:f>
        <x:v>48</x:v>
      </x:c>
      <x:c r="AO651" s="119" t="n">
        <x:f>IF(5&gt;D651,0,ROUND(('难度参数'!$E$13*POWER(A651,'难度参数'!$E$20)*MIN('难度参数'!$E$23,1+MAX(0,A651-'难度参数'!$E$21)*'难度参数'!$E$22))*(36+5*7)/(36+7*(D651+1)/2)*E651,0))</x:f>
        <x:v>15787</x:v>
      </x:c>
      <x:c r="AP651" s="119" t="n">
        <x:f>IF(AN651=0,0,(AN651-IF(5=D651,1,0))*ROUND(AO651*VLOOKUP(INDEX('章节与怪物'!$E$31:$K$37,B651,5),'章节与怪物'!$A$41:$F$44,2,FALSE),0)+IF(5=D651,ROUND(AO651*'难度参数'!$E$28*'章节与怪物'!$E$17,0),0))</x:f>
        <x:v>545616</x:v>
      </x:c>
      <x:c r="AQ651" s="119" t="n">
        <x:f>IF(AN651=0,0,(AN651-IF(5=D651,1,0))*VLOOKUP(INDEX('章节与怪物'!$E$31:$K$37,B651,5),'章节与怪物'!$A$41:$F$44,4,FALSE)+IF(5=D651,'难度参数'!$E$30,0))</x:f>
        <x:v>960</x:v>
      </x:c>
      <x:c r="AR651" s="119" t="n">
        <x:f>IF(6&gt;D651,0,MAX(2,MIN('难度参数'!$E$12,ROUND(('难度参数'!$E$18*POWER(A651,'难度参数'!$E$19)/D651*(0.85+0.3*(6-1)/MAX(1,D651-1))),0)+F651)))</x:f>
        <x:v>50</x:v>
      </x:c>
      <x:c r="AS651" s="119" t="n">
        <x:f>IF(6&gt;D651,0,ROUND(('难度参数'!$E$13*POWER(A651,'难度参数'!$E$20)*MIN('难度参数'!$E$23,1+MAX(0,A651-'难度参数'!$E$21)*'难度参数'!$E$22))*(36+6*7)/(36+7*(D651+1)/2)*E651,0))</x:f>
        <x:v>17343</x:v>
      </x:c>
      <x:c r="AT651" s="119" t="n">
        <x:f>IF(AR651=0,0,(AR651-IF(6=D651,1,0))*ROUND(AS651*VLOOKUP(INDEX('章节与怪物'!$E$31:$K$37,B651,6),'章节与怪物'!$A$41:$F$44,2,FALSE),0)+IF(6=D651,ROUND(AS651*'难度参数'!$E$28*'章节与怪物'!$E$17,0),0))</x:f>
        <x:v>1474150</x:v>
      </x:c>
      <x:c r="AU651" s="119" t="n">
        <x:f>IF(AR651=0,0,(AR651-IF(6=D651,1,0))*VLOOKUP(INDEX('章节与怪物'!$E$31:$K$37,B651,6),'章节与怪物'!$A$41:$F$44,4,FALSE)+IF(6=D651,'难度参数'!$E$30,0))</x:f>
        <x:v>1400</x:v>
      </x:c>
      <x:c r="AV651" s="119" t="n">
        <x:f>IF(7&gt;D651,0,MAX(2,MIN('难度参数'!$E$12,ROUND(('难度参数'!$E$18*POWER(A651,'难度参数'!$E$19)/D651*(0.85+0.3*(7-1)/MAX(1,D651-1))),0)+F651)))</x:f>
        <x:v>52</x:v>
      </x:c>
      <x:c r="AW651" s="119" t="n">
        <x:f>IF(7&gt;D651,0,ROUND(('难度参数'!$E$13*POWER(A651,'难度参数'!$E$20)*MIN('难度参数'!$E$23,1+MAX(0,A651-'难度参数'!$E$21)*'难度参数'!$E$22))*(36+7*7)/(36+7*(D651+1)/2)*E651,0))</x:f>
        <x:v>18900</x:v>
      </x:c>
      <x:c r="AX651" s="119" t="n">
        <x:f>IF(AV651=0,0,(AV651-IF(7=D651,1,0))*ROUND(AW651*VLOOKUP(INDEX('章节与怪物'!$E$31:$K$37,B651,7),'章节与怪物'!$A$41:$F$44,2,FALSE),0)+IF(7=D651,ROUND(AW651*'难度参数'!$E$28*'章节与怪物'!$E$17,0),0))</x:f>
        <x:v>1429785</x:v>
      </x:c>
      <x:c r="AY651" s="119" t="n">
        <x:f>IF(AV651=0,0,(AV651-IF(7=D651,1,0))*VLOOKUP(INDEX('章节与怪物'!$E$31:$K$37,B651,7),'章节与怪物'!$A$41:$F$44,4,FALSE)+IF(7=D651,'难度参数'!$E$30,0))</x:f>
        <x:v>1934</x:v>
      </x:c>
    </x:row>
    <x:row r="652" ht="23" customHeight="1">
      <x:c r="A652" s="119" t="n">
        <x:v>646</x:v>
      </x:c>
      <x:c r="B652" s="119" t="n">
        <x:f>MOD(INT((A652-1)/5),7)+1</x:f>
        <x:v>4</x:v>
      </x:c>
      <x:c r="C652" s="62" t="str">
        <x:f>INDEX('章节与怪物'!$B$31:$B$37,B652)</x:f>
        <x:v>翠野边城</x:v>
      </x:c>
      <x:c r="D652" s="119" t="n">
        <x:f>MIN('难度参数'!$E$8,MAX('难度参数'!$E$7,A652))</x:f>
        <x:v>7</x:v>
      </x:c>
      <x:c r="E652" s="106" t="n">
        <x:v>1</x:v>
      </x:c>
      <x:c r="F652" s="106" t="n">
        <x:v>0</x:v>
      </x:c>
      <x:c r="G652" s="106" t="n">
        <x:v>1</x:v>
      </x:c>
      <x:c r="H652" s="119" t="n">
        <x:f>SUM(X652,AB652,AF652,AJ652,AN652,AR652,AV652)</x:f>
        <x:v>318</x:v>
      </x:c>
      <x:c r="I652" s="119" t="n">
        <x:f>SUM(Z652,AD652,AH652,AL652,AP652,AT652,AX652)</x:f>
        <x:v>5333066</x:v>
      </x:c>
      <x:c r="J652" s="119" t="n">
        <x:f>ROUND(INDEX(X652:AY652,1,(D652-1)*4+2)*'难度参数'!$E$28*'章节与怪物'!$E$17,0)</x:f>
        <x:v>128663</x:v>
      </x:c>
      <x:c r="K652" s="119" t="n">
        <x:f>SUM(AA652,AE652,AI652,AM652,AQ652,AU652,AY652)</x:f>
        <x:v>8050</x:v>
      </x:c>
      <x:c r="L652" s="62" t="n">
        <x:f>H652*(ROUNDUP('难度参数'!$E$24/('难度参数'!$E$26*'难度参数'!$E$27),0)*'难度参数'!$E$26)/60</x:f>
        <x:v>4.24</x:v>
      </x:c>
      <x:c r="M652" s="62" t="n">
        <x:f>L652+D652*('难度参数'!$E$49+'难度参数'!$E$50)/60</x:f>
        <x:v>5.406666666666667</x:v>
      </x:c>
      <x:c r="N652" s="119" t="n">
        <x:f>ROUNDDOWN(('经济参数'!$E$20+A652*'经济参数'!$E$21)*G652,0)</x:f>
        <x:v>13100</x:v>
      </x:c>
      <x:c r="O652" s="119" t="n">
        <x:f>ROUNDDOWN(MIN('经济参数'!$E$24,'经济参数'!$E$22+A652*'经济参数'!$E$23)*G652,0)</x:f>
        <x:v>0</x:v>
      </x:c>
      <x:c r="P652" s="119" t="n">
        <x:f>ROUNDDOWN((IF(A652&gt;='材料与任务'!$E$31,'材料与任务'!$E$32,IF(A652&gt;='材料与任务'!$E$25,'材料与任务'!$E$26,IF(A652&gt;='材料与任务'!$E$19,'材料与任务'!$E$20,IF(A652&gt;='材料与任务'!$E$13,'材料与任务'!$E$14,'材料与任务'!$E$8)))))*G652,0)</x:f>
        <x:v>6</x:v>
      </x:c>
      <x:c r="Q652" s="119" t="n">
        <x:f>ROUNDDOWN((IF(A652&gt;='材料与任务'!$E$31,'材料与任务'!$E$33,IF(A652&gt;='材料与任务'!$E$25,'材料与任务'!$E$27,IF(A652&gt;='材料与任务'!$E$19,'材料与任务'!$E$21,IF(A652&gt;='材料与任务'!$E$13,'材料与任务'!$E$15,'材料与任务'!$E$9)))))*G652,0)</x:f>
        <x:v>3</x:v>
      </x:c>
      <x:c r="R652" s="110" t="n">
        <x:f>'装备掉落'!$B$38</x:f>
        <x:v>0.6872058758851213</x:v>
      </x:c>
      <x:c r="S652" s="119" t="n">
        <x:f>MAX(IF(VLOOKUP(A652,'装备掉落'!$A$29:$H$34,2,TRUE)&gt;0,1,0),IF(VLOOKUP(A652,'装备掉落'!$A$29:$H$34,3,TRUE)&gt;0,2,0),IF(VLOOKUP(A652,'装备掉落'!$A$29:$H$34,4,TRUE)&gt;0,3,0),IF(VLOOKUP(A652,'装备掉落'!$A$29:$H$34,5,TRUE)&gt;0,4,0),IF(VLOOKUP(A652,'装备掉落'!$A$29:$H$34,6,TRUE)&gt;0,5,0),IF(VLOOKUP(A652,'装备掉落'!$A$29:$H$34,7,TRUE)&gt;0,6,0),IF(VLOOKUP(A652,'装备掉落'!$A$29:$H$34,8,TRUE)&gt;0,7,0))</x:f>
        <x:v>7</x:v>
      </x:c>
      <x:c r="T652" s="119" t="n">
        <x:f>MIN(7,S652+'经济参数'!$E$70)</x:f>
        <x:v>7</x:v>
      </x:c>
      <x:c r="U652" s="119" t="n">
        <x:f>MIN(7,S652+'经济参数'!$E$71)</x:f>
        <x:v>7</x:v>
      </x:c>
      <x:c r="V652" s="119" t="n">
        <x:f>IF(H652&gt;=('难度参数'!$E$52),1,0)+IF(H652&gt;=('难度参数'!$E$52+'难度参数'!$E$53),1,0)+IF(H652&gt;=('难度参数'!$E$52+'难度参数'!$E$53+'难度参数'!$E$54),1,0)+IF(H652&gt;=('难度参数'!$E$52+'难度参数'!$E$53+'难度参数'!$E$54+'难度参数'!$E$55),1,0)+IF(H652&gt;=('难度参数'!$E$52+'难度参数'!$E$53+'难度参数'!$E$54+'难度参数'!$E$55+'难度参数'!$E$56),1,0)+IF(H652&gt;=('难度参数'!$E$52+'难度参数'!$E$53+'难度参数'!$E$54+'难度参数'!$E$55+'难度参数'!$E$56+'难度参数'!$E$57),1,0)</x:f>
        <x:v>6</x:v>
      </x:c>
      <x:c r="W652" s="62" t="str">
        <x:f>IF(L652&gt;'难度参数'!$E$51,"仅出怪已超目标","还需实测")</x:f>
        <x:v>仅出怪已超目标</x:v>
      </x:c>
      <x:c r="X652" s="119" t="n">
        <x:f>IF(1&gt;D652,0,MAX(2,MIN('难度参数'!$E$12,ROUND(('难度参数'!$E$18*POWER(A652,'难度参数'!$E$19)/D652*(0.85+0.3*(1-1)/MAX(1,D652-1))),0)+F652)))</x:f>
        <x:v>39</x:v>
      </x:c>
      <x:c r="Y652" s="119" t="n">
        <x:f>IF(1&gt;D652,0,ROUND(('难度参数'!$E$13*POWER(A652,'难度参数'!$E$20)*MIN('难度参数'!$E$23,1+MAX(0,A652-'难度参数'!$E$21)*'难度参数'!$E$22))*(36+1*7)/(36+7*(D652+1)/2)*E652,0))</x:f>
        <x:v>9572</x:v>
      </x:c>
      <x:c r="Z652" s="119" t="n">
        <x:f>IF(X652=0,0,(X652-IF(1=D652,1,0))*ROUND(Y652*VLOOKUP(INDEX('章节与怪物'!$E$31:$K$37,B652,1),'章节与怪物'!$A$41:$F$44,2,FALSE),0)+IF(1=D652,ROUND(Y652*'难度参数'!$E$28*'章节与怪物'!$E$17,0),0))</x:f>
        <x:v>268788</x:v>
      </x:c>
      <x:c r="AA652" s="119" t="n">
        <x:f>IF(X652=0,0,(X652-IF(1=D652,1,0))*VLOOKUP(INDEX('章节与怪物'!$E$31:$K$37,B652,1),'章节与怪物'!$A$41:$F$44,4,FALSE)+IF(1=D652,'难度参数'!$E$30,0))</x:f>
        <x:v>780</x:v>
      </x:c>
      <x:c r="AB652" s="119" t="n">
        <x:f>IF(2&gt;D652,0,MAX(2,MIN('难度参数'!$E$12,ROUND(('难度参数'!$E$18*POWER(A652,'难度参数'!$E$19)/D652*(0.85+0.3*(2-1)/MAX(1,D652-1))),0)+F652)))</x:f>
        <x:v>41</x:v>
      </x:c>
      <x:c r="AC652" s="119" t="n">
        <x:f>IF(2&gt;D652,0,ROUND(('难度参数'!$E$13*POWER(A652,'难度参数'!$E$20)*MIN('难度参数'!$E$23,1+MAX(0,A652-'难度参数'!$E$21)*'难度参数'!$E$22))*(36+2*7)/(36+7*(D652+1)/2)*E652,0))</x:f>
        <x:v>11130</x:v>
      </x:c>
      <x:c r="AD652" s="119" t="n">
        <x:f>IF(AB652=0,0,(AB652-IF(2=D652,1,0))*ROUND(AC652*VLOOKUP(INDEX('章节与怪物'!$E$31:$K$37,B652,2),'章节与怪物'!$A$41:$F$44,2,FALSE),0)+IF(2=D652,ROUND(AC652*'难度参数'!$E$28*'章节与怪物'!$E$17,0),0))</x:f>
        <x:v>456330</x:v>
      </x:c>
      <x:c r="AE652" s="119" t="n">
        <x:f>IF(AB652=0,0,(AB652-IF(2=D652,1,0))*VLOOKUP(INDEX('章节与怪物'!$E$31:$K$37,B652,2),'章节与怪物'!$A$41:$F$44,4,FALSE)+IF(2=D652,'难度参数'!$E$30,0))</x:f>
        <x:v>738</x:v>
      </x:c>
      <x:c r="AF652" s="119" t="n">
        <x:f>IF(3&gt;D652,0,MAX(2,MIN('难度参数'!$E$12,ROUND(('难度参数'!$E$18*POWER(A652,'难度参数'!$E$19)/D652*(0.85+0.3*(3-1)/MAX(1,D652-1))),0)+F652)))</x:f>
        <x:v>43</x:v>
      </x:c>
      <x:c r="AG652" s="119" t="n">
        <x:f>IF(3&gt;D652,0,ROUND(('难度参数'!$E$13*POWER(A652,'难度参数'!$E$20)*MIN('难度参数'!$E$23,1+MAX(0,A652-'难度参数'!$E$21)*'难度参数'!$E$22))*(36+3*7)/(36+7*(D652+1)/2)*E652,0))</x:f>
        <x:v>12688</x:v>
      </x:c>
      <x:c r="AH652" s="119" t="n">
        <x:f>IF(AF652=0,0,(AF652-IF(3=D652,1,0))*ROUND(AG652*VLOOKUP(INDEX('章节与怪物'!$E$31:$K$37,B652,3),'章节与怪物'!$A$41:$F$44,2,FALSE),0)+IF(3=D652,ROUND(AG652*'难度参数'!$E$28*'章节与怪物'!$E$17,0),0))</x:f>
        <x:v>927510</x:v>
      </x:c>
      <x:c r="AI652" s="119" t="n">
        <x:f>IF(AF652=0,0,(AF652-IF(3=D652,1,0))*VLOOKUP(INDEX('章节与怪物'!$E$31:$K$37,B652,3),'章节与怪物'!$A$41:$F$44,4,FALSE)+IF(3=D652,'难度参数'!$E$30,0))</x:f>
        <x:v>1204</x:v>
      </x:c>
      <x:c r="AJ652" s="119" t="n">
        <x:f>IF(4&gt;D652,0,MAX(2,MIN('难度参数'!$E$12,ROUND(('难度参数'!$E$18*POWER(A652,'难度参数'!$E$19)/D652*(0.85+0.3*(4-1)/MAX(1,D652-1))),0)+F652)))</x:f>
        <x:v>45</x:v>
      </x:c>
      <x:c r="AK652" s="119" t="n">
        <x:f>IF(4&gt;D652,0,ROUND(('难度参数'!$E$13*POWER(A652,'难度参数'!$E$20)*MIN('难度参数'!$E$23,1+MAX(0,A652-'难度参数'!$E$21)*'难度参数'!$E$22))*(36+4*7)/(36+7*(D652+1)/2)*E652,0))</x:f>
        <x:v>14246</x:v>
      </x:c>
      <x:c r="AL652" s="119" t="n">
        <x:f>IF(AJ652=0,0,(AJ652-IF(4=D652,1,0))*ROUND(AK652*VLOOKUP(INDEX('章节与怪物'!$E$31:$K$37,B652,4),'章节与怪物'!$A$41:$F$44,2,FALSE),0)+IF(4=D652,ROUND(AK652*'难度参数'!$E$28*'章节与怪物'!$E$17,0),0))</x:f>
        <x:v>865440</x:v>
      </x:c>
      <x:c r="AM652" s="119" t="n">
        <x:f>IF(AJ652=0,0,(AJ652-IF(4=D652,1,0))*VLOOKUP(INDEX('章节与怪物'!$E$31:$K$37,B652,4),'章节与怪物'!$A$41:$F$44,4,FALSE)+IF(4=D652,'难度参数'!$E$30,0))</x:f>
        <x:v>1530</x:v>
      </x:c>
      <x:c r="AN652" s="119" t="n">
        <x:f>IF(5&gt;D652,0,MAX(2,MIN('难度参数'!$E$12,ROUND(('难度参数'!$E$18*POWER(A652,'难度参数'!$E$19)/D652*(0.85+0.3*(5-1)/MAX(1,D652-1))),0)+F652)))</x:f>
        <x:v>48</x:v>
      </x:c>
      <x:c r="AO652" s="119" t="n">
        <x:f>IF(5&gt;D652,0,ROUND(('难度参数'!$E$13*POWER(A652,'难度参数'!$E$20)*MIN('难度参数'!$E$23,1+MAX(0,A652-'难度参数'!$E$21)*'难度参数'!$E$22))*(36+5*7)/(36+7*(D652+1)/2)*E652,0))</x:f>
        <x:v>15804</x:v>
      </x:c>
      <x:c r="AP652" s="119" t="n">
        <x:f>IF(AN652=0,0,(AN652-IF(5=D652,1,0))*ROUND(AO652*VLOOKUP(INDEX('章节与怪物'!$E$31:$K$37,B652,5),'章节与怪物'!$A$41:$F$44,2,FALSE),0)+IF(5=D652,ROUND(AO652*'难度参数'!$E$28*'章节与怪物'!$E$17,0),0))</x:f>
        <x:v>758592</x:v>
      </x:c>
      <x:c r="AQ652" s="119" t="n">
        <x:f>IF(AN652=0,0,(AN652-IF(5=D652,1,0))*VLOOKUP(INDEX('章节与怪物'!$E$31:$K$37,B652,5),'章节与怪物'!$A$41:$F$44,4,FALSE)+IF(5=D652,'难度参数'!$E$30,0))</x:f>
        <x:v>864</x:v>
      </x:c>
      <x:c r="AR652" s="119" t="n">
        <x:f>IF(6&gt;D652,0,MAX(2,MIN('难度参数'!$E$12,ROUND(('难度参数'!$E$18*POWER(A652,'难度参数'!$E$19)/D652*(0.85+0.3*(6-1)/MAX(1,D652-1))),0)+F652)))</x:f>
        <x:v>50</x:v>
      </x:c>
      <x:c r="AS652" s="119" t="n">
        <x:f>IF(6&gt;D652,0,ROUND(('难度参数'!$E$13*POWER(A652,'难度参数'!$E$20)*MIN('难度参数'!$E$23,1+MAX(0,A652-'难度参数'!$E$21)*'难度参数'!$E$22))*(36+6*7)/(36+7*(D652+1)/2)*E652,0))</x:f>
        <x:v>17363</x:v>
      </x:c>
      <x:c r="AT652" s="119" t="n">
        <x:f>IF(AR652=0,0,(AR652-IF(6=D652,1,0))*ROUND(AS652*VLOOKUP(INDEX('章节与怪物'!$E$31:$K$37,B652,6),'章节与怪物'!$A$41:$F$44,2,FALSE),0)+IF(6=D652,ROUND(AS652*'难度参数'!$E$28*'章节与怪物'!$E$17,0),0))</x:f>
        <x:v>625050</x:v>
      </x:c>
      <x:c r="AU652" s="119" t="n">
        <x:f>IF(AR652=0,0,(AR652-IF(6=D652,1,0))*VLOOKUP(INDEX('章节与怪物'!$E$31:$K$37,B652,6),'章节与怪物'!$A$41:$F$44,4,FALSE)+IF(6=D652,'难度参数'!$E$30,0))</x:f>
        <x:v>1000</x:v>
      </x:c>
      <x:c r="AV652" s="119" t="n">
        <x:f>IF(7&gt;D652,0,MAX(2,MIN('难度参数'!$E$12,ROUND(('难度参数'!$E$18*POWER(A652,'难度参数'!$E$19)/D652*(0.85+0.3*(7-1)/MAX(1,D652-1))),0)+F652)))</x:f>
        <x:v>52</x:v>
      </x:c>
      <x:c r="AW652" s="119" t="n">
        <x:f>IF(7&gt;D652,0,ROUND(('难度参数'!$E$13*POWER(A652,'难度参数'!$E$20)*MIN('难度参数'!$E$23,1+MAX(0,A652-'难度参数'!$E$21)*'难度参数'!$E$22))*(36+7*7)/(36+7*(D652+1)/2)*E652,0))</x:f>
        <x:v>18921</x:v>
      </x:c>
      <x:c r="AX652" s="119" t="n">
        <x:f>IF(AV652=0,0,(AV652-IF(7=D652,1,0))*ROUND(AW652*VLOOKUP(INDEX('章节与怪物'!$E$31:$K$37,B652,7),'章节与怪物'!$A$41:$F$44,2,FALSE),0)+IF(7=D652,ROUND(AW652*'难度参数'!$E$28*'章节与怪物'!$E$17,0),0))</x:f>
        <x:v>1431356</x:v>
      </x:c>
      <x:c r="AY652" s="119" t="n">
        <x:f>IF(AV652=0,0,(AV652-IF(7=D652,1,0))*VLOOKUP(INDEX('章节与怪物'!$E$31:$K$37,B652,7),'章节与怪物'!$A$41:$F$44,4,FALSE)+IF(7=D652,'难度参数'!$E$30,0))</x:f>
        <x:v>1934</x:v>
      </x:c>
    </x:row>
    <x:row r="653" ht="23" customHeight="1">
      <x:c r="A653" s="119" t="n">
        <x:v>647</x:v>
      </x:c>
      <x:c r="B653" s="119" t="n">
        <x:f>MOD(INT((A653-1)/5),7)+1</x:f>
        <x:v>4</x:v>
      </x:c>
      <x:c r="C653" s="62" t="str">
        <x:f>INDEX('章节与怪物'!$B$31:$B$37,B653)</x:f>
        <x:v>翠野边城</x:v>
      </x:c>
      <x:c r="D653" s="119" t="n">
        <x:f>MIN('难度参数'!$E$8,MAX('难度参数'!$E$7,A653))</x:f>
        <x:v>7</x:v>
      </x:c>
      <x:c r="E653" s="106" t="n">
        <x:v>1</x:v>
      </x:c>
      <x:c r="F653" s="106" t="n">
        <x:v>0</x:v>
      </x:c>
      <x:c r="G653" s="106" t="n">
        <x:v>1</x:v>
      </x:c>
      <x:c r="H653" s="119" t="n">
        <x:f>SUM(X653,AB653,AF653,AJ653,AN653,AR653,AV653)</x:f>
        <x:v>318</x:v>
      </x:c>
      <x:c r="I653" s="119" t="n">
        <x:f>SUM(Z653,AD653,AH653,AL653,AP653,AT653,AX653)</x:f>
        <x:v>5338996</x:v>
      </x:c>
      <x:c r="J653" s="119" t="n">
        <x:f>ROUND(INDEX(X653:AY653,1,(D653-1)*4+2)*'难度参数'!$E$28*'章节与怪物'!$E$17,0)</x:f>
        <x:v>128806</x:v>
      </x:c>
      <x:c r="K653" s="119" t="n">
        <x:f>SUM(AA653,AE653,AI653,AM653,AQ653,AU653,AY653)</x:f>
        <x:v>8050</x:v>
      </x:c>
      <x:c r="L653" s="62" t="n">
        <x:f>H653*(ROUNDUP('难度参数'!$E$24/('难度参数'!$E$26*'难度参数'!$E$27),0)*'难度参数'!$E$26)/60</x:f>
        <x:v>4.24</x:v>
      </x:c>
      <x:c r="M653" s="62" t="n">
        <x:f>L653+D653*('难度参数'!$E$49+'难度参数'!$E$50)/60</x:f>
        <x:v>5.406666666666667</x:v>
      </x:c>
      <x:c r="N653" s="119" t="n">
        <x:f>ROUNDDOWN(('经济参数'!$E$20+A653*'经济参数'!$E$21)*G653,0)</x:f>
        <x:v>13120</x:v>
      </x:c>
      <x:c r="O653" s="119" t="n">
        <x:f>ROUNDDOWN(MIN('经济参数'!$E$24,'经济参数'!$E$22+A653*'经济参数'!$E$23)*G653,0)</x:f>
        <x:v>0</x:v>
      </x:c>
      <x:c r="P653" s="119" t="n">
        <x:f>ROUNDDOWN((IF(A653&gt;='材料与任务'!$E$31,'材料与任务'!$E$32,IF(A653&gt;='材料与任务'!$E$25,'材料与任务'!$E$26,IF(A653&gt;='材料与任务'!$E$19,'材料与任务'!$E$20,IF(A653&gt;='材料与任务'!$E$13,'材料与任务'!$E$14,'材料与任务'!$E$8)))))*G653,0)</x:f>
        <x:v>6</x:v>
      </x:c>
      <x:c r="Q653" s="119" t="n">
        <x:f>ROUNDDOWN((IF(A653&gt;='材料与任务'!$E$31,'材料与任务'!$E$33,IF(A653&gt;='材料与任务'!$E$25,'材料与任务'!$E$27,IF(A653&gt;='材料与任务'!$E$19,'材料与任务'!$E$21,IF(A653&gt;='材料与任务'!$E$13,'材料与任务'!$E$15,'材料与任务'!$E$9)))))*G653,0)</x:f>
        <x:v>3</x:v>
      </x:c>
      <x:c r="R653" s="110" t="n">
        <x:f>'装备掉落'!$B$38</x:f>
        <x:v>0.6872058758851213</x:v>
      </x:c>
      <x:c r="S653" s="119" t="n">
        <x:f>MAX(IF(VLOOKUP(A653,'装备掉落'!$A$29:$H$34,2,TRUE)&gt;0,1,0),IF(VLOOKUP(A653,'装备掉落'!$A$29:$H$34,3,TRUE)&gt;0,2,0),IF(VLOOKUP(A653,'装备掉落'!$A$29:$H$34,4,TRUE)&gt;0,3,0),IF(VLOOKUP(A653,'装备掉落'!$A$29:$H$34,5,TRUE)&gt;0,4,0),IF(VLOOKUP(A653,'装备掉落'!$A$29:$H$34,6,TRUE)&gt;0,5,0),IF(VLOOKUP(A653,'装备掉落'!$A$29:$H$34,7,TRUE)&gt;0,6,0),IF(VLOOKUP(A653,'装备掉落'!$A$29:$H$34,8,TRUE)&gt;0,7,0))</x:f>
        <x:v>7</x:v>
      </x:c>
      <x:c r="T653" s="119" t="n">
        <x:f>MIN(7,S653+'经济参数'!$E$70)</x:f>
        <x:v>7</x:v>
      </x:c>
      <x:c r="U653" s="119" t="n">
        <x:f>MIN(7,S653+'经济参数'!$E$71)</x:f>
        <x:v>7</x:v>
      </x:c>
      <x:c r="V653" s="119" t="n">
        <x:f>IF(H653&gt;=('难度参数'!$E$52),1,0)+IF(H653&gt;=('难度参数'!$E$52+'难度参数'!$E$53),1,0)+IF(H653&gt;=('难度参数'!$E$52+'难度参数'!$E$53+'难度参数'!$E$54),1,0)+IF(H653&gt;=('难度参数'!$E$52+'难度参数'!$E$53+'难度参数'!$E$54+'难度参数'!$E$55),1,0)+IF(H653&gt;=('难度参数'!$E$52+'难度参数'!$E$53+'难度参数'!$E$54+'难度参数'!$E$55+'难度参数'!$E$56),1,0)+IF(H653&gt;=('难度参数'!$E$52+'难度参数'!$E$53+'难度参数'!$E$54+'难度参数'!$E$55+'难度参数'!$E$56+'难度参数'!$E$57),1,0)</x:f>
        <x:v>6</x:v>
      </x:c>
      <x:c r="W653" s="62" t="str">
        <x:f>IF(L653&gt;'难度参数'!$E$51,"仅出怪已超目标","还需实测")</x:f>
        <x:v>仅出怪已超目标</x:v>
      </x:c>
      <x:c r="X653" s="119" t="n">
        <x:f>IF(1&gt;D653,0,MAX(2,MIN('难度参数'!$E$12,ROUND(('难度参数'!$E$18*POWER(A653,'难度参数'!$E$19)/D653*(0.85+0.3*(1-1)/MAX(1,D653-1))),0)+F653)))</x:f>
        <x:v>39</x:v>
      </x:c>
      <x:c r="Y653" s="119" t="n">
        <x:f>IF(1&gt;D653,0,ROUND(('难度参数'!$E$13*POWER(A653,'难度参数'!$E$20)*MIN('难度参数'!$E$23,1+MAX(0,A653-'难度参数'!$E$21)*'难度参数'!$E$22))*(36+1*7)/(36+7*(D653+1)/2)*E653,0))</x:f>
        <x:v>9582</x:v>
      </x:c>
      <x:c r="Z653" s="119" t="n">
        <x:f>IF(X653=0,0,(X653-IF(1=D653,1,0))*ROUND(Y653*VLOOKUP(INDEX('章节与怪物'!$E$31:$K$37,B653,1),'章节与怪物'!$A$41:$F$44,2,FALSE),0)+IF(1=D653,ROUND(Y653*'难度参数'!$E$28*'章节与怪物'!$E$17,0),0))</x:f>
        <x:v>269061</x:v>
      </x:c>
      <x:c r="AA653" s="119" t="n">
        <x:f>IF(X653=0,0,(X653-IF(1=D653,1,0))*VLOOKUP(INDEX('章节与怪物'!$E$31:$K$37,B653,1),'章节与怪物'!$A$41:$F$44,4,FALSE)+IF(1=D653,'难度参数'!$E$30,0))</x:f>
        <x:v>780</x:v>
      </x:c>
      <x:c r="AB653" s="119" t="n">
        <x:f>IF(2&gt;D653,0,MAX(2,MIN('难度参数'!$E$12,ROUND(('难度参数'!$E$18*POWER(A653,'难度参数'!$E$19)/D653*(0.85+0.3*(2-1)/MAX(1,D653-1))),0)+F653)))</x:f>
        <x:v>41</x:v>
      </x:c>
      <x:c r="AC653" s="119" t="n">
        <x:f>IF(2&gt;D653,0,ROUND(('难度参数'!$E$13*POWER(A653,'难度参数'!$E$20)*MIN('难度参数'!$E$23,1+MAX(0,A653-'难度参数'!$E$21)*'难度参数'!$E$22))*(36+2*7)/(36+7*(D653+1)/2)*E653,0))</x:f>
        <x:v>11142</x:v>
      </x:c>
      <x:c r="AD653" s="119" t="n">
        <x:f>IF(AB653=0,0,(AB653-IF(2=D653,1,0))*ROUND(AC653*VLOOKUP(INDEX('章节与怪物'!$E$31:$K$37,B653,2),'章节与怪物'!$A$41:$F$44,2,FALSE),0)+IF(2=D653,ROUND(AC653*'难度参数'!$E$28*'章节与怪物'!$E$17,0),0))</x:f>
        <x:v>456822</x:v>
      </x:c>
      <x:c r="AE653" s="119" t="n">
        <x:f>IF(AB653=0,0,(AB653-IF(2=D653,1,0))*VLOOKUP(INDEX('章节与怪物'!$E$31:$K$37,B653,2),'章节与怪物'!$A$41:$F$44,4,FALSE)+IF(2=D653,'难度参数'!$E$30,0))</x:f>
        <x:v>738</x:v>
      </x:c>
      <x:c r="AF653" s="119" t="n">
        <x:f>IF(3&gt;D653,0,MAX(2,MIN('难度参数'!$E$12,ROUND(('难度参数'!$E$18*POWER(A653,'难度参数'!$E$19)/D653*(0.85+0.3*(3-1)/MAX(1,D653-1))),0)+F653)))</x:f>
        <x:v>43</x:v>
      </x:c>
      <x:c r="AG653" s="119" t="n">
        <x:f>IF(3&gt;D653,0,ROUND(('难度参数'!$E$13*POWER(A653,'难度参数'!$E$20)*MIN('难度参数'!$E$23,1+MAX(0,A653-'难度参数'!$E$21)*'难度参数'!$E$22))*(36+3*7)/(36+7*(D653+1)/2)*E653,0))</x:f>
        <x:v>12702</x:v>
      </x:c>
      <x:c r="AH653" s="119" t="n">
        <x:f>IF(AF653=0,0,(AF653-IF(3=D653,1,0))*ROUND(AG653*VLOOKUP(INDEX('章节与怪物'!$E$31:$K$37,B653,3),'章节与怪物'!$A$41:$F$44,2,FALSE),0)+IF(3=D653,ROUND(AG653*'难度参数'!$E$28*'章节与怪物'!$E$17,0),0))</x:f>
        <x:v>928499</x:v>
      </x:c>
      <x:c r="AI653" s="119" t="n">
        <x:f>IF(AF653=0,0,(AF653-IF(3=D653,1,0))*VLOOKUP(INDEX('章节与怪物'!$E$31:$K$37,B653,3),'章节与怪物'!$A$41:$F$44,4,FALSE)+IF(3=D653,'难度参数'!$E$30,0))</x:f>
        <x:v>1204</x:v>
      </x:c>
      <x:c r="AJ653" s="119" t="n">
        <x:f>IF(4&gt;D653,0,MAX(2,MIN('难度参数'!$E$12,ROUND(('难度参数'!$E$18*POWER(A653,'难度参数'!$E$19)/D653*(0.85+0.3*(4-1)/MAX(1,D653-1))),0)+F653)))</x:f>
        <x:v>45</x:v>
      </x:c>
      <x:c r="AK653" s="119" t="n">
        <x:f>IF(4&gt;D653,0,ROUND(('难度参数'!$E$13*POWER(A653,'难度参数'!$E$20)*MIN('难度参数'!$E$23,1+MAX(0,A653-'难度参数'!$E$21)*'难度参数'!$E$22))*(36+4*7)/(36+7*(D653+1)/2)*E653,0))</x:f>
        <x:v>14262</x:v>
      </x:c>
      <x:c r="AL653" s="119" t="n">
        <x:f>IF(AJ653=0,0,(AJ653-IF(4=D653,1,0))*ROUND(AK653*VLOOKUP(INDEX('章节与怪物'!$E$31:$K$37,B653,4),'章节与怪物'!$A$41:$F$44,2,FALSE),0)+IF(4=D653,ROUND(AK653*'难度参数'!$E$28*'章节与怪物'!$E$17,0),0))</x:f>
        <x:v>866430</x:v>
      </x:c>
      <x:c r="AM653" s="119" t="n">
        <x:f>IF(AJ653=0,0,(AJ653-IF(4=D653,1,0))*VLOOKUP(INDEX('章节与怪物'!$E$31:$K$37,B653,4),'章节与怪物'!$A$41:$F$44,4,FALSE)+IF(4=D653,'难度参数'!$E$30,0))</x:f>
        <x:v>1530</x:v>
      </x:c>
      <x:c r="AN653" s="119" t="n">
        <x:f>IF(5&gt;D653,0,MAX(2,MIN('难度参数'!$E$12,ROUND(('难度参数'!$E$18*POWER(A653,'难度参数'!$E$19)/D653*(0.85+0.3*(5-1)/MAX(1,D653-1))),0)+F653)))</x:f>
        <x:v>48</x:v>
      </x:c>
      <x:c r="AO653" s="119" t="n">
        <x:f>IF(5&gt;D653,0,ROUND(('难度参数'!$E$13*POWER(A653,'难度参数'!$E$20)*MIN('难度参数'!$E$23,1+MAX(0,A653-'难度参数'!$E$21)*'难度参数'!$E$22))*(36+5*7)/(36+7*(D653+1)/2)*E653,0))</x:f>
        <x:v>15822</x:v>
      </x:c>
      <x:c r="AP653" s="119" t="n">
        <x:f>IF(AN653=0,0,(AN653-IF(5=D653,1,0))*ROUND(AO653*VLOOKUP(INDEX('章节与怪物'!$E$31:$K$37,B653,5),'章节与怪物'!$A$41:$F$44,2,FALSE),0)+IF(5=D653,ROUND(AO653*'难度参数'!$E$28*'章节与怪物'!$E$17,0),0))</x:f>
        <x:v>759456</x:v>
      </x:c>
      <x:c r="AQ653" s="119" t="n">
        <x:f>IF(AN653=0,0,(AN653-IF(5=D653,1,0))*VLOOKUP(INDEX('章节与怪物'!$E$31:$K$37,B653,5),'章节与怪物'!$A$41:$F$44,4,FALSE)+IF(5=D653,'难度参数'!$E$30,0))</x:f>
        <x:v>864</x:v>
      </x:c>
      <x:c r="AR653" s="119" t="n">
        <x:f>IF(6&gt;D653,0,MAX(2,MIN('难度参数'!$E$12,ROUND(('难度参数'!$E$18*POWER(A653,'难度参数'!$E$19)/D653*(0.85+0.3*(6-1)/MAX(1,D653-1))),0)+F653)))</x:f>
        <x:v>50</x:v>
      </x:c>
      <x:c r="AS653" s="119" t="n">
        <x:f>IF(6&gt;D653,0,ROUND(('难度参数'!$E$13*POWER(A653,'难度参数'!$E$20)*MIN('难度参数'!$E$23,1+MAX(0,A653-'难度参数'!$E$21)*'难度参数'!$E$22))*(36+6*7)/(36+7*(D653+1)/2)*E653,0))</x:f>
        <x:v>17382</x:v>
      </x:c>
      <x:c r="AT653" s="119" t="n">
        <x:f>IF(AR653=0,0,(AR653-IF(6=D653,1,0))*ROUND(AS653*VLOOKUP(INDEX('章节与怪物'!$E$31:$K$37,B653,6),'章节与怪物'!$A$41:$F$44,2,FALSE),0)+IF(6=D653,ROUND(AS653*'难度参数'!$E$28*'章节与怪物'!$E$17,0),0))</x:f>
        <x:v>625750</x:v>
      </x:c>
      <x:c r="AU653" s="119" t="n">
        <x:f>IF(AR653=0,0,(AR653-IF(6=D653,1,0))*VLOOKUP(INDEX('章节与怪物'!$E$31:$K$37,B653,6),'章节与怪物'!$A$41:$F$44,4,FALSE)+IF(6=D653,'难度参数'!$E$30,0))</x:f>
        <x:v>1000</x:v>
      </x:c>
      <x:c r="AV653" s="119" t="n">
        <x:f>IF(7&gt;D653,0,MAX(2,MIN('难度参数'!$E$12,ROUND(('难度参数'!$E$18*POWER(A653,'难度参数'!$E$19)/D653*(0.85+0.3*(7-1)/MAX(1,D653-1))),0)+F653)))</x:f>
        <x:v>52</x:v>
      </x:c>
      <x:c r="AW653" s="119" t="n">
        <x:f>IF(7&gt;D653,0,ROUND(('难度参数'!$E$13*POWER(A653,'难度参数'!$E$20)*MIN('难度参数'!$E$23,1+MAX(0,A653-'难度参数'!$E$21)*'难度参数'!$E$22))*(36+7*7)/(36+7*(D653+1)/2)*E653,0))</x:f>
        <x:v>18942</x:v>
      </x:c>
      <x:c r="AX653" s="119" t="n">
        <x:f>IF(AV653=0,0,(AV653-IF(7=D653,1,0))*ROUND(AW653*VLOOKUP(INDEX('章节与怪物'!$E$31:$K$37,B653,7),'章节与怪物'!$A$41:$F$44,2,FALSE),0)+IF(7=D653,ROUND(AW653*'难度参数'!$E$28*'章节与怪物'!$E$17,0),0))</x:f>
        <x:v>1432978</x:v>
      </x:c>
      <x:c r="AY653" s="119" t="n">
        <x:f>IF(AV653=0,0,(AV653-IF(7=D653,1,0))*VLOOKUP(INDEX('章节与怪物'!$E$31:$K$37,B653,7),'章节与怪物'!$A$41:$F$44,4,FALSE)+IF(7=D653,'难度参数'!$E$30,0))</x:f>
        <x:v>1934</x:v>
      </x:c>
    </x:row>
    <x:row r="654" ht="23" customHeight="1">
      <x:c r="A654" s="119" t="n">
        <x:v>648</x:v>
      </x:c>
      <x:c r="B654" s="119" t="n">
        <x:f>MOD(INT((A654-1)/5),7)+1</x:f>
        <x:v>4</x:v>
      </x:c>
      <x:c r="C654" s="62" t="str">
        <x:f>INDEX('章节与怪物'!$B$31:$B$37,B654)</x:f>
        <x:v>翠野边城</x:v>
      </x:c>
      <x:c r="D654" s="119" t="n">
        <x:f>MIN('难度参数'!$E$8,MAX('难度参数'!$E$7,A654))</x:f>
        <x:v>7</x:v>
      </x:c>
      <x:c r="E654" s="106" t="n">
        <x:v>1</x:v>
      </x:c>
      <x:c r="F654" s="106" t="n">
        <x:v>0</x:v>
      </x:c>
      <x:c r="G654" s="106" t="n">
        <x:v>1</x:v>
      </x:c>
      <x:c r="H654" s="119" t="n">
        <x:f>SUM(X654,AB654,AF654,AJ654,AN654,AR654,AV654)</x:f>
        <x:v>318</x:v>
      </x:c>
      <x:c r="I654" s="119" t="n">
        <x:f>SUM(Z654,AD654,AH654,AL654,AP654,AT654,AX654)</x:f>
        <x:v>5344952</x:v>
      </x:c>
      <x:c r="J654" s="119" t="n">
        <x:f>ROUND(INDEX(X654:AY654,1,(D654-1)*4+2)*'难度参数'!$E$28*'章节与怪物'!$E$17,0)</x:f>
        <x:v>128948</x:v>
      </x:c>
      <x:c r="K654" s="119" t="n">
        <x:f>SUM(AA654,AE654,AI654,AM654,AQ654,AU654,AY654)</x:f>
        <x:v>8050</x:v>
      </x:c>
      <x:c r="L654" s="62" t="n">
        <x:f>H654*(ROUNDUP('难度参数'!$E$24/('难度参数'!$E$26*'难度参数'!$E$27),0)*'难度参数'!$E$26)/60</x:f>
        <x:v>4.24</x:v>
      </x:c>
      <x:c r="M654" s="62" t="n">
        <x:f>L654+D654*('难度参数'!$E$49+'难度参数'!$E$50)/60</x:f>
        <x:v>5.406666666666667</x:v>
      </x:c>
      <x:c r="N654" s="119" t="n">
        <x:f>ROUNDDOWN(('经济参数'!$E$20+A654*'经济参数'!$E$21)*G654,0)</x:f>
        <x:v>13140</x:v>
      </x:c>
      <x:c r="O654" s="119" t="n">
        <x:f>ROUNDDOWN(MIN('经济参数'!$E$24,'经济参数'!$E$22+A654*'经济参数'!$E$23)*G654,0)</x:f>
        <x:v>0</x:v>
      </x:c>
      <x:c r="P654" s="119" t="n">
        <x:f>ROUNDDOWN((IF(A654&gt;='材料与任务'!$E$31,'材料与任务'!$E$32,IF(A654&gt;='材料与任务'!$E$25,'材料与任务'!$E$26,IF(A654&gt;='材料与任务'!$E$19,'材料与任务'!$E$20,IF(A654&gt;='材料与任务'!$E$13,'材料与任务'!$E$14,'材料与任务'!$E$8)))))*G654,0)</x:f>
        <x:v>6</x:v>
      </x:c>
      <x:c r="Q654" s="119" t="n">
        <x:f>ROUNDDOWN((IF(A654&gt;='材料与任务'!$E$31,'材料与任务'!$E$33,IF(A654&gt;='材料与任务'!$E$25,'材料与任务'!$E$27,IF(A654&gt;='材料与任务'!$E$19,'材料与任务'!$E$21,IF(A654&gt;='材料与任务'!$E$13,'材料与任务'!$E$15,'材料与任务'!$E$9)))))*G654,0)</x:f>
        <x:v>3</x:v>
      </x:c>
      <x:c r="R654" s="110" t="n">
        <x:f>'装备掉落'!$B$38</x:f>
        <x:v>0.6872058758851213</x:v>
      </x:c>
      <x:c r="S654" s="119" t="n">
        <x:f>MAX(IF(VLOOKUP(A654,'装备掉落'!$A$29:$H$34,2,TRUE)&gt;0,1,0),IF(VLOOKUP(A654,'装备掉落'!$A$29:$H$34,3,TRUE)&gt;0,2,0),IF(VLOOKUP(A654,'装备掉落'!$A$29:$H$34,4,TRUE)&gt;0,3,0),IF(VLOOKUP(A654,'装备掉落'!$A$29:$H$34,5,TRUE)&gt;0,4,0),IF(VLOOKUP(A654,'装备掉落'!$A$29:$H$34,6,TRUE)&gt;0,5,0),IF(VLOOKUP(A654,'装备掉落'!$A$29:$H$34,7,TRUE)&gt;0,6,0),IF(VLOOKUP(A654,'装备掉落'!$A$29:$H$34,8,TRUE)&gt;0,7,0))</x:f>
        <x:v>7</x:v>
      </x:c>
      <x:c r="T654" s="119" t="n">
        <x:f>MIN(7,S654+'经济参数'!$E$70)</x:f>
        <x:v>7</x:v>
      </x:c>
      <x:c r="U654" s="119" t="n">
        <x:f>MIN(7,S654+'经济参数'!$E$71)</x:f>
        <x:v>7</x:v>
      </x:c>
      <x:c r="V654" s="119" t="n">
        <x:f>IF(H654&gt;=('难度参数'!$E$52),1,0)+IF(H654&gt;=('难度参数'!$E$52+'难度参数'!$E$53),1,0)+IF(H654&gt;=('难度参数'!$E$52+'难度参数'!$E$53+'难度参数'!$E$54),1,0)+IF(H654&gt;=('难度参数'!$E$52+'难度参数'!$E$53+'难度参数'!$E$54+'难度参数'!$E$55),1,0)+IF(H654&gt;=('难度参数'!$E$52+'难度参数'!$E$53+'难度参数'!$E$54+'难度参数'!$E$55+'难度参数'!$E$56),1,0)+IF(H654&gt;=('难度参数'!$E$52+'难度参数'!$E$53+'难度参数'!$E$54+'难度参数'!$E$55+'难度参数'!$E$56+'难度参数'!$E$57),1,0)</x:f>
        <x:v>6</x:v>
      </x:c>
      <x:c r="W654" s="62" t="str">
        <x:f>IF(L654&gt;'难度参数'!$E$51,"仅出怪已超目标","还需实测")</x:f>
        <x:v>仅出怪已超目标</x:v>
      </x:c>
      <x:c r="X654" s="119" t="n">
        <x:f>IF(1&gt;D654,0,MAX(2,MIN('难度参数'!$E$12,ROUND(('难度参数'!$E$18*POWER(A654,'难度参数'!$E$19)/D654*(0.85+0.3*(1-1)/MAX(1,D654-1))),0)+F654)))</x:f>
        <x:v>39</x:v>
      </x:c>
      <x:c r="Y654" s="119" t="n">
        <x:f>IF(1&gt;D654,0,ROUND(('难度参数'!$E$13*POWER(A654,'难度参数'!$E$20)*MIN('难度参数'!$E$23,1+MAX(0,A654-'难度参数'!$E$21)*'难度参数'!$E$22))*(36+1*7)/(36+7*(D654+1)/2)*E654,0))</x:f>
        <x:v>9593</x:v>
      </x:c>
      <x:c r="Z654" s="119" t="n">
        <x:f>IF(X654=0,0,(X654-IF(1=D654,1,0))*ROUND(Y654*VLOOKUP(INDEX('章节与怪物'!$E$31:$K$37,B654,1),'章节与怪物'!$A$41:$F$44,2,FALSE),0)+IF(1=D654,ROUND(Y654*'难度参数'!$E$28*'章节与怪物'!$E$17,0),0))</x:f>
        <x:v>269373</x:v>
      </x:c>
      <x:c r="AA654" s="119" t="n">
        <x:f>IF(X654=0,0,(X654-IF(1=D654,1,0))*VLOOKUP(INDEX('章节与怪物'!$E$31:$K$37,B654,1),'章节与怪物'!$A$41:$F$44,4,FALSE)+IF(1=D654,'难度参数'!$E$30,0))</x:f>
        <x:v>780</x:v>
      </x:c>
      <x:c r="AB654" s="119" t="n">
        <x:f>IF(2&gt;D654,0,MAX(2,MIN('难度参数'!$E$12,ROUND(('难度参数'!$E$18*POWER(A654,'难度参数'!$E$19)/D654*(0.85+0.3*(2-1)/MAX(1,D654-1))),0)+F654)))</x:f>
        <x:v>41</x:v>
      </x:c>
      <x:c r="AC654" s="119" t="n">
        <x:f>IF(2&gt;D654,0,ROUND(('难度参数'!$E$13*POWER(A654,'难度参数'!$E$20)*MIN('难度参数'!$E$23,1+MAX(0,A654-'难度参数'!$E$21)*'难度参数'!$E$22))*(36+2*7)/(36+7*(D654+1)/2)*E654,0))</x:f>
        <x:v>11155</x:v>
      </x:c>
      <x:c r="AD654" s="119" t="n">
        <x:f>IF(AB654=0,0,(AB654-IF(2=D654,1,0))*ROUND(AC654*VLOOKUP(INDEX('章节与怪物'!$E$31:$K$37,B654,2),'章节与怪物'!$A$41:$F$44,2,FALSE),0)+IF(2=D654,ROUND(AC654*'难度参数'!$E$28*'章节与怪物'!$E$17,0),0))</x:f>
        <x:v>457355</x:v>
      </x:c>
      <x:c r="AE654" s="119" t="n">
        <x:f>IF(AB654=0,0,(AB654-IF(2=D654,1,0))*VLOOKUP(INDEX('章节与怪物'!$E$31:$K$37,B654,2),'章节与怪物'!$A$41:$F$44,4,FALSE)+IF(2=D654,'难度参数'!$E$30,0))</x:f>
        <x:v>738</x:v>
      </x:c>
      <x:c r="AF654" s="119" t="n">
        <x:f>IF(3&gt;D654,0,MAX(2,MIN('难度参数'!$E$12,ROUND(('难度参数'!$E$18*POWER(A654,'难度参数'!$E$19)/D654*(0.85+0.3*(3-1)/MAX(1,D654-1))),0)+F654)))</x:f>
        <x:v>43</x:v>
      </x:c>
      <x:c r="AG654" s="119" t="n">
        <x:f>IF(3&gt;D654,0,ROUND(('难度参数'!$E$13*POWER(A654,'难度参数'!$E$20)*MIN('难度参数'!$E$23,1+MAX(0,A654-'难度参数'!$E$21)*'难度参数'!$E$22))*(36+3*7)/(36+7*(D654+1)/2)*E654,0))</x:f>
        <x:v>12716</x:v>
      </x:c>
      <x:c r="AH654" s="119" t="n">
        <x:f>IF(AF654=0,0,(AF654-IF(3=D654,1,0))*ROUND(AG654*VLOOKUP(INDEX('章节与怪物'!$E$31:$K$37,B654,3),'章节与怪物'!$A$41:$F$44,2,FALSE),0)+IF(3=D654,ROUND(AG654*'难度参数'!$E$28*'章节与怪物'!$E$17,0),0))</x:f>
        <x:v>929531</x:v>
      </x:c>
      <x:c r="AI654" s="119" t="n">
        <x:f>IF(AF654=0,0,(AF654-IF(3=D654,1,0))*VLOOKUP(INDEX('章节与怪物'!$E$31:$K$37,B654,3),'章节与怪物'!$A$41:$F$44,4,FALSE)+IF(3=D654,'难度参数'!$E$30,0))</x:f>
        <x:v>1204</x:v>
      </x:c>
      <x:c r="AJ654" s="119" t="n">
        <x:f>IF(4&gt;D654,0,MAX(2,MIN('难度参数'!$E$12,ROUND(('难度参数'!$E$18*POWER(A654,'难度参数'!$E$19)/D654*(0.85+0.3*(4-1)/MAX(1,D654-1))),0)+F654)))</x:f>
        <x:v>45</x:v>
      </x:c>
      <x:c r="AK654" s="119" t="n">
        <x:f>IF(4&gt;D654,0,ROUND(('难度参数'!$E$13*POWER(A654,'难度参数'!$E$20)*MIN('难度参数'!$E$23,1+MAX(0,A654-'难度参数'!$E$21)*'难度参数'!$E$22))*(36+4*7)/(36+7*(D654+1)/2)*E654,0))</x:f>
        <x:v>14278</x:v>
      </x:c>
      <x:c r="AL654" s="119" t="n">
        <x:f>IF(AJ654=0,0,(AJ654-IF(4=D654,1,0))*ROUND(AK654*VLOOKUP(INDEX('章节与怪物'!$E$31:$K$37,B654,4),'章节与怪物'!$A$41:$F$44,2,FALSE),0)+IF(4=D654,ROUND(AK654*'难度参数'!$E$28*'章节与怪物'!$E$17,0),0))</x:f>
        <x:v>867375</x:v>
      </x:c>
      <x:c r="AM654" s="119" t="n">
        <x:f>IF(AJ654=0,0,(AJ654-IF(4=D654,1,0))*VLOOKUP(INDEX('章节与怪物'!$E$31:$K$37,B654,4),'章节与怪物'!$A$41:$F$44,4,FALSE)+IF(4=D654,'难度参数'!$E$30,0))</x:f>
        <x:v>1530</x:v>
      </x:c>
      <x:c r="AN654" s="119" t="n">
        <x:f>IF(5&gt;D654,0,MAX(2,MIN('难度参数'!$E$12,ROUND(('难度参数'!$E$18*POWER(A654,'难度参数'!$E$19)/D654*(0.85+0.3*(5-1)/MAX(1,D654-1))),0)+F654)))</x:f>
        <x:v>48</x:v>
      </x:c>
      <x:c r="AO654" s="119" t="n">
        <x:f>IF(5&gt;D654,0,ROUND(('难度参数'!$E$13*POWER(A654,'难度参数'!$E$20)*MIN('难度参数'!$E$23,1+MAX(0,A654-'难度参数'!$E$21)*'难度参数'!$E$22))*(36+5*7)/(36+7*(D654+1)/2)*E654,0))</x:f>
        <x:v>15840</x:v>
      </x:c>
      <x:c r="AP654" s="119" t="n">
        <x:f>IF(AN654=0,0,(AN654-IF(5=D654,1,0))*ROUND(AO654*VLOOKUP(INDEX('章节与怪物'!$E$31:$K$37,B654,5),'章节与怪物'!$A$41:$F$44,2,FALSE),0)+IF(5=D654,ROUND(AO654*'难度参数'!$E$28*'章节与怪物'!$E$17,0),0))</x:f>
        <x:v>760320</x:v>
      </x:c>
      <x:c r="AQ654" s="119" t="n">
        <x:f>IF(AN654=0,0,(AN654-IF(5=D654,1,0))*VLOOKUP(INDEX('章节与怪物'!$E$31:$K$37,B654,5),'章节与怪物'!$A$41:$F$44,4,FALSE)+IF(5=D654,'难度参数'!$E$30,0))</x:f>
        <x:v>864</x:v>
      </x:c>
      <x:c r="AR654" s="119" t="n">
        <x:f>IF(6&gt;D654,0,MAX(2,MIN('难度参数'!$E$12,ROUND(('难度参数'!$E$18*POWER(A654,'难度参数'!$E$19)/D654*(0.85+0.3*(6-1)/MAX(1,D654-1))),0)+F654)))</x:f>
        <x:v>50</x:v>
      </x:c>
      <x:c r="AS654" s="119" t="n">
        <x:f>IF(6&gt;D654,0,ROUND(('难度参数'!$E$13*POWER(A654,'难度参数'!$E$20)*MIN('难度参数'!$E$23,1+MAX(0,A654-'难度参数'!$E$21)*'难度参数'!$E$22))*(36+6*7)/(36+7*(D654+1)/2)*E654,0))</x:f>
        <x:v>17401</x:v>
      </x:c>
      <x:c r="AT654" s="119" t="n">
        <x:f>IF(AR654=0,0,(AR654-IF(6=D654,1,0))*ROUND(AS654*VLOOKUP(INDEX('章节与怪物'!$E$31:$K$37,B654,6),'章节与怪物'!$A$41:$F$44,2,FALSE),0)+IF(6=D654,ROUND(AS654*'难度参数'!$E$28*'章节与怪物'!$E$17,0),0))</x:f>
        <x:v>626450</x:v>
      </x:c>
      <x:c r="AU654" s="119" t="n">
        <x:f>IF(AR654=0,0,(AR654-IF(6=D654,1,0))*VLOOKUP(INDEX('章节与怪物'!$E$31:$K$37,B654,6),'章节与怪物'!$A$41:$F$44,4,FALSE)+IF(6=D654,'难度参数'!$E$30,0))</x:f>
        <x:v>1000</x:v>
      </x:c>
      <x:c r="AV654" s="119" t="n">
        <x:f>IF(7&gt;D654,0,MAX(2,MIN('难度参数'!$E$12,ROUND(('难度参数'!$E$18*POWER(A654,'难度参数'!$E$19)/D654*(0.85+0.3*(7-1)/MAX(1,D654-1))),0)+F654)))</x:f>
        <x:v>52</x:v>
      </x:c>
      <x:c r="AW654" s="119" t="n">
        <x:f>IF(7&gt;D654,0,ROUND(('难度参数'!$E$13*POWER(A654,'难度参数'!$E$20)*MIN('难度参数'!$E$23,1+MAX(0,A654-'难度参数'!$E$21)*'难度参数'!$E$22))*(36+7*7)/(36+7*(D654+1)/2)*E654,0))</x:f>
        <x:v>18963</x:v>
      </x:c>
      <x:c r="AX654" s="119" t="n">
        <x:f>IF(AV654=0,0,(AV654-IF(7=D654,1,0))*ROUND(AW654*VLOOKUP(INDEX('章节与怪物'!$E$31:$K$37,B654,7),'章节与怪物'!$A$41:$F$44,2,FALSE),0)+IF(7=D654,ROUND(AW654*'难度参数'!$E$28*'章节与怪物'!$E$17,0),0))</x:f>
        <x:v>1434548</x:v>
      </x:c>
      <x:c r="AY654" s="119" t="n">
        <x:f>IF(AV654=0,0,(AV654-IF(7=D654,1,0))*VLOOKUP(INDEX('章节与怪物'!$E$31:$K$37,B654,7),'章节与怪物'!$A$41:$F$44,4,FALSE)+IF(7=D654,'难度参数'!$E$30,0))</x:f>
        <x:v>1934</x:v>
      </x:c>
    </x:row>
    <x:row r="655" ht="23" customHeight="1">
      <x:c r="A655" s="119" t="n">
        <x:v>649</x:v>
      </x:c>
      <x:c r="B655" s="119" t="n">
        <x:f>MOD(INT((A655-1)/5),7)+1</x:f>
        <x:v>4</x:v>
      </x:c>
      <x:c r="C655" s="62" t="str">
        <x:f>INDEX('章节与怪物'!$B$31:$B$37,B655)</x:f>
        <x:v>翠野边城</x:v>
      </x:c>
      <x:c r="D655" s="119" t="n">
        <x:f>MIN('难度参数'!$E$8,MAX('难度参数'!$E$7,A655))</x:f>
        <x:v>7</x:v>
      </x:c>
      <x:c r="E655" s="106" t="n">
        <x:v>1</x:v>
      </x:c>
      <x:c r="F655" s="106" t="n">
        <x:v>0</x:v>
      </x:c>
      <x:c r="G655" s="106" t="n">
        <x:v>1</x:v>
      </x:c>
      <x:c r="H655" s="119" t="n">
        <x:f>SUM(X655,AB655,AF655,AJ655,AN655,AR655,AV655)</x:f>
        <x:v>318</x:v>
      </x:c>
      <x:c r="I655" s="119" t="n">
        <x:f>SUM(Z655,AD655,AH655,AL655,AP655,AT655,AX655)</x:f>
        <x:v>5350865</x:v>
      </x:c>
      <x:c r="J655" s="119" t="n">
        <x:f>ROUND(INDEX(X655:AY655,1,(D655-1)*4+2)*'难度参数'!$E$28*'章节与怪物'!$E$17,0)</x:f>
        <x:v>129091</x:v>
      </x:c>
      <x:c r="K655" s="119" t="n">
        <x:f>SUM(AA655,AE655,AI655,AM655,AQ655,AU655,AY655)</x:f>
        <x:v>8050</x:v>
      </x:c>
      <x:c r="L655" s="62" t="n">
        <x:f>H655*(ROUNDUP('难度参数'!$E$24/('难度参数'!$E$26*'难度参数'!$E$27),0)*'难度参数'!$E$26)/60</x:f>
        <x:v>4.24</x:v>
      </x:c>
      <x:c r="M655" s="62" t="n">
        <x:f>L655+D655*('难度参数'!$E$49+'难度参数'!$E$50)/60</x:f>
        <x:v>5.406666666666667</x:v>
      </x:c>
      <x:c r="N655" s="119" t="n">
        <x:f>ROUNDDOWN(('经济参数'!$E$20+A655*'经济参数'!$E$21)*G655,0)</x:f>
        <x:v>13160</x:v>
      </x:c>
      <x:c r="O655" s="119" t="n">
        <x:f>ROUNDDOWN(MIN('经济参数'!$E$24,'经济参数'!$E$22+A655*'经济参数'!$E$23)*G655,0)</x:f>
        <x:v>0</x:v>
      </x:c>
      <x:c r="P655" s="119" t="n">
        <x:f>ROUNDDOWN((IF(A655&gt;='材料与任务'!$E$31,'材料与任务'!$E$32,IF(A655&gt;='材料与任务'!$E$25,'材料与任务'!$E$26,IF(A655&gt;='材料与任务'!$E$19,'材料与任务'!$E$20,IF(A655&gt;='材料与任务'!$E$13,'材料与任务'!$E$14,'材料与任务'!$E$8)))))*G655,0)</x:f>
        <x:v>6</x:v>
      </x:c>
      <x:c r="Q655" s="119" t="n">
        <x:f>ROUNDDOWN((IF(A655&gt;='材料与任务'!$E$31,'材料与任务'!$E$33,IF(A655&gt;='材料与任务'!$E$25,'材料与任务'!$E$27,IF(A655&gt;='材料与任务'!$E$19,'材料与任务'!$E$21,IF(A655&gt;='材料与任务'!$E$13,'材料与任务'!$E$15,'材料与任务'!$E$9)))))*G655,0)</x:f>
        <x:v>3</x:v>
      </x:c>
      <x:c r="R655" s="110" t="n">
        <x:f>'装备掉落'!$B$38</x:f>
        <x:v>0.6872058758851213</x:v>
      </x:c>
      <x:c r="S655" s="119" t="n">
        <x:f>MAX(IF(VLOOKUP(A655,'装备掉落'!$A$29:$H$34,2,TRUE)&gt;0,1,0),IF(VLOOKUP(A655,'装备掉落'!$A$29:$H$34,3,TRUE)&gt;0,2,0),IF(VLOOKUP(A655,'装备掉落'!$A$29:$H$34,4,TRUE)&gt;0,3,0),IF(VLOOKUP(A655,'装备掉落'!$A$29:$H$34,5,TRUE)&gt;0,4,0),IF(VLOOKUP(A655,'装备掉落'!$A$29:$H$34,6,TRUE)&gt;0,5,0),IF(VLOOKUP(A655,'装备掉落'!$A$29:$H$34,7,TRUE)&gt;0,6,0),IF(VLOOKUP(A655,'装备掉落'!$A$29:$H$34,8,TRUE)&gt;0,7,0))</x:f>
        <x:v>7</x:v>
      </x:c>
      <x:c r="T655" s="119" t="n">
        <x:f>MIN(7,S655+'经济参数'!$E$70)</x:f>
        <x:v>7</x:v>
      </x:c>
      <x:c r="U655" s="119" t="n">
        <x:f>MIN(7,S655+'经济参数'!$E$71)</x:f>
        <x:v>7</x:v>
      </x:c>
      <x:c r="V655" s="119" t="n">
        <x:f>IF(H655&gt;=('难度参数'!$E$52),1,0)+IF(H655&gt;=('难度参数'!$E$52+'难度参数'!$E$53),1,0)+IF(H655&gt;=('难度参数'!$E$52+'难度参数'!$E$53+'难度参数'!$E$54),1,0)+IF(H655&gt;=('难度参数'!$E$52+'难度参数'!$E$53+'难度参数'!$E$54+'难度参数'!$E$55),1,0)+IF(H655&gt;=('难度参数'!$E$52+'难度参数'!$E$53+'难度参数'!$E$54+'难度参数'!$E$55+'难度参数'!$E$56),1,0)+IF(H655&gt;=('难度参数'!$E$52+'难度参数'!$E$53+'难度参数'!$E$54+'难度参数'!$E$55+'难度参数'!$E$56+'难度参数'!$E$57),1,0)</x:f>
        <x:v>6</x:v>
      </x:c>
      <x:c r="W655" s="62" t="str">
        <x:f>IF(L655&gt;'难度参数'!$E$51,"仅出怪已超目标","还需实测")</x:f>
        <x:v>仅出怪已超目标</x:v>
      </x:c>
      <x:c r="X655" s="119" t="n">
        <x:f>IF(1&gt;D655,0,MAX(2,MIN('难度参数'!$E$12,ROUND(('难度参数'!$E$18*POWER(A655,'难度参数'!$E$19)/D655*(0.85+0.3*(1-1)/MAX(1,D655-1))),0)+F655)))</x:f>
        <x:v>39</x:v>
      </x:c>
      <x:c r="Y655" s="119" t="n">
        <x:f>IF(1&gt;D655,0,ROUND(('难度参数'!$E$13*POWER(A655,'难度参数'!$E$20)*MIN('难度参数'!$E$23,1+MAX(0,A655-'难度参数'!$E$21)*'难度参数'!$E$22))*(36+1*7)/(36+7*(D655+1)/2)*E655,0))</x:f>
        <x:v>9604</x:v>
      </x:c>
      <x:c r="Z655" s="119" t="n">
        <x:f>IF(X655=0,0,(X655-IF(1=D655,1,0))*ROUND(Y655*VLOOKUP(INDEX('章节与怪物'!$E$31:$K$37,B655,1),'章节与怪物'!$A$41:$F$44,2,FALSE),0)+IF(1=D655,ROUND(Y655*'难度参数'!$E$28*'章节与怪物'!$E$17,0),0))</x:f>
        <x:v>269685</x:v>
      </x:c>
      <x:c r="AA655" s="119" t="n">
        <x:f>IF(X655=0,0,(X655-IF(1=D655,1,0))*VLOOKUP(INDEX('章节与怪物'!$E$31:$K$37,B655,1),'章节与怪物'!$A$41:$F$44,4,FALSE)+IF(1=D655,'难度参数'!$E$30,0))</x:f>
        <x:v>780</x:v>
      </x:c>
      <x:c r="AB655" s="119" t="n">
        <x:f>IF(2&gt;D655,0,MAX(2,MIN('难度参数'!$E$12,ROUND(('难度参数'!$E$18*POWER(A655,'难度参数'!$E$19)/D655*(0.85+0.3*(2-1)/MAX(1,D655-1))),0)+F655)))</x:f>
        <x:v>41</x:v>
      </x:c>
      <x:c r="AC655" s="119" t="n">
        <x:f>IF(2&gt;D655,0,ROUND(('难度参数'!$E$13*POWER(A655,'难度参数'!$E$20)*MIN('难度参数'!$E$23,1+MAX(0,A655-'难度参数'!$E$21)*'难度参数'!$E$22))*(36+2*7)/(36+7*(D655+1)/2)*E655,0))</x:f>
        <x:v>11167</x:v>
      </x:c>
      <x:c r="AD655" s="119" t="n">
        <x:f>IF(AB655=0,0,(AB655-IF(2=D655,1,0))*ROUND(AC655*VLOOKUP(INDEX('章节与怪物'!$E$31:$K$37,B655,2),'章节与怪物'!$A$41:$F$44,2,FALSE),0)+IF(2=D655,ROUND(AC655*'难度参数'!$E$28*'章节与怪物'!$E$17,0),0))</x:f>
        <x:v>457847</x:v>
      </x:c>
      <x:c r="AE655" s="119" t="n">
        <x:f>IF(AB655=0,0,(AB655-IF(2=D655,1,0))*VLOOKUP(INDEX('章节与怪物'!$E$31:$K$37,B655,2),'章节与怪物'!$A$41:$F$44,4,FALSE)+IF(2=D655,'难度参数'!$E$30,0))</x:f>
        <x:v>738</x:v>
      </x:c>
      <x:c r="AF655" s="119" t="n">
        <x:f>IF(3&gt;D655,0,MAX(2,MIN('难度参数'!$E$12,ROUND(('难度参数'!$E$18*POWER(A655,'难度参数'!$E$19)/D655*(0.85+0.3*(3-1)/MAX(1,D655-1))),0)+F655)))</x:f>
        <x:v>43</x:v>
      </x:c>
      <x:c r="AG655" s="119" t="n">
        <x:f>IF(3&gt;D655,0,ROUND(('难度参数'!$E$13*POWER(A655,'难度参数'!$E$20)*MIN('难度参数'!$E$23,1+MAX(0,A655-'难度参数'!$E$21)*'难度参数'!$E$22))*(36+3*7)/(36+7*(D655+1)/2)*E655,0))</x:f>
        <x:v>12730</x:v>
      </x:c>
      <x:c r="AH655" s="119" t="n">
        <x:f>IF(AF655=0,0,(AF655-IF(3=D655,1,0))*ROUND(AG655*VLOOKUP(INDEX('章节与怪物'!$E$31:$K$37,B655,3),'章节与怪物'!$A$41:$F$44,2,FALSE),0)+IF(3=D655,ROUND(AG655*'难度参数'!$E$28*'章节与怪物'!$E$17,0),0))</x:f>
        <x:v>930563</x:v>
      </x:c>
      <x:c r="AI655" s="119" t="n">
        <x:f>IF(AF655=0,0,(AF655-IF(3=D655,1,0))*VLOOKUP(INDEX('章节与怪物'!$E$31:$K$37,B655,3),'章节与怪物'!$A$41:$F$44,4,FALSE)+IF(3=D655,'难度参数'!$E$30,0))</x:f>
        <x:v>1204</x:v>
      </x:c>
      <x:c r="AJ655" s="119" t="n">
        <x:f>IF(4&gt;D655,0,MAX(2,MIN('难度参数'!$E$12,ROUND(('难度参数'!$E$18*POWER(A655,'难度参数'!$E$19)/D655*(0.85+0.3*(4-1)/MAX(1,D655-1))),0)+F655)))</x:f>
        <x:v>45</x:v>
      </x:c>
      <x:c r="AK655" s="119" t="n">
        <x:f>IF(4&gt;D655,0,ROUND(('难度参数'!$E$13*POWER(A655,'难度参数'!$E$20)*MIN('难度参数'!$E$23,1+MAX(0,A655-'难度参数'!$E$21)*'难度参数'!$E$22))*(36+4*7)/(36+7*(D655+1)/2)*E655,0))</x:f>
        <x:v>14294</x:v>
      </x:c>
      <x:c r="AL655" s="119" t="n">
        <x:f>IF(AJ655=0,0,(AJ655-IF(4=D655,1,0))*ROUND(AK655*VLOOKUP(INDEX('章节与怪物'!$E$31:$K$37,B655,4),'章节与怪物'!$A$41:$F$44,2,FALSE),0)+IF(4=D655,ROUND(AK655*'难度参数'!$E$28*'章节与怪物'!$E$17,0),0))</x:f>
        <x:v>868365</x:v>
      </x:c>
      <x:c r="AM655" s="119" t="n">
        <x:f>IF(AJ655=0,0,(AJ655-IF(4=D655,1,0))*VLOOKUP(INDEX('章节与怪物'!$E$31:$K$37,B655,4),'章节与怪物'!$A$41:$F$44,4,FALSE)+IF(4=D655,'难度参数'!$E$30,0))</x:f>
        <x:v>1530</x:v>
      </x:c>
      <x:c r="AN655" s="119" t="n">
        <x:f>IF(5&gt;D655,0,MAX(2,MIN('难度参数'!$E$12,ROUND(('难度参数'!$E$18*POWER(A655,'难度参数'!$E$19)/D655*(0.85+0.3*(5-1)/MAX(1,D655-1))),0)+F655)))</x:f>
        <x:v>48</x:v>
      </x:c>
      <x:c r="AO655" s="119" t="n">
        <x:f>IF(5&gt;D655,0,ROUND(('难度参数'!$E$13*POWER(A655,'难度参数'!$E$20)*MIN('难度参数'!$E$23,1+MAX(0,A655-'难度参数'!$E$21)*'难度参数'!$E$22))*(36+5*7)/(36+7*(D655+1)/2)*E655,0))</x:f>
        <x:v>15857</x:v>
      </x:c>
      <x:c r="AP655" s="119" t="n">
        <x:f>IF(AN655=0,0,(AN655-IF(5=D655,1,0))*ROUND(AO655*VLOOKUP(INDEX('章节与怪物'!$E$31:$K$37,B655,5),'章节与怪物'!$A$41:$F$44,2,FALSE),0)+IF(5=D655,ROUND(AO655*'难度参数'!$E$28*'章节与怪物'!$E$17,0),0))</x:f>
        <x:v>761136</x:v>
      </x:c>
      <x:c r="AQ655" s="119" t="n">
        <x:f>IF(AN655=0,0,(AN655-IF(5=D655,1,0))*VLOOKUP(INDEX('章节与怪物'!$E$31:$K$37,B655,5),'章节与怪物'!$A$41:$F$44,4,FALSE)+IF(5=D655,'难度参数'!$E$30,0))</x:f>
        <x:v>864</x:v>
      </x:c>
      <x:c r="AR655" s="119" t="n">
        <x:f>IF(6&gt;D655,0,MAX(2,MIN('难度参数'!$E$12,ROUND(('难度参数'!$E$18*POWER(A655,'难度参数'!$E$19)/D655*(0.85+0.3*(6-1)/MAX(1,D655-1))),0)+F655)))</x:f>
        <x:v>50</x:v>
      </x:c>
      <x:c r="AS655" s="119" t="n">
        <x:f>IF(6&gt;D655,0,ROUND(('难度参数'!$E$13*POWER(A655,'难度参数'!$E$20)*MIN('难度参数'!$E$23,1+MAX(0,A655-'难度参数'!$E$21)*'难度参数'!$E$22))*(36+6*7)/(36+7*(D655+1)/2)*E655,0))</x:f>
        <x:v>17421</x:v>
      </x:c>
      <x:c r="AT655" s="119" t="n">
        <x:f>IF(AR655=0,0,(AR655-IF(6=D655,1,0))*ROUND(AS655*VLOOKUP(INDEX('章节与怪物'!$E$31:$K$37,B655,6),'章节与怪物'!$A$41:$F$44,2,FALSE),0)+IF(6=D655,ROUND(AS655*'难度参数'!$E$28*'章节与怪物'!$E$17,0),0))</x:f>
        <x:v>627150</x:v>
      </x:c>
      <x:c r="AU655" s="119" t="n">
        <x:f>IF(AR655=0,0,(AR655-IF(6=D655,1,0))*VLOOKUP(INDEX('章节与怪物'!$E$31:$K$37,B655,6),'章节与怪物'!$A$41:$F$44,4,FALSE)+IF(6=D655,'难度参数'!$E$30,0))</x:f>
        <x:v>1000</x:v>
      </x:c>
      <x:c r="AV655" s="119" t="n">
        <x:f>IF(7&gt;D655,0,MAX(2,MIN('难度参数'!$E$12,ROUND(('难度参数'!$E$18*POWER(A655,'难度参数'!$E$19)/D655*(0.85+0.3*(7-1)/MAX(1,D655-1))),0)+F655)))</x:f>
        <x:v>52</x:v>
      </x:c>
      <x:c r="AW655" s="119" t="n">
        <x:f>IF(7&gt;D655,0,ROUND(('难度参数'!$E$13*POWER(A655,'难度参数'!$E$20)*MIN('难度参数'!$E$23,1+MAX(0,A655-'难度参数'!$E$21)*'难度参数'!$E$22))*(36+7*7)/(36+7*(D655+1)/2)*E655,0))</x:f>
        <x:v>18984</x:v>
      </x:c>
      <x:c r="AX655" s="119" t="n">
        <x:f>IF(AV655=0,0,(AV655-IF(7=D655,1,0))*ROUND(AW655*VLOOKUP(INDEX('章节与怪物'!$E$31:$K$37,B655,7),'章节与怪物'!$A$41:$F$44,2,FALSE),0)+IF(7=D655,ROUND(AW655*'难度参数'!$E$28*'章节与怪物'!$E$17,0),0))</x:f>
        <x:v>1436119</x:v>
      </x:c>
      <x:c r="AY655" s="119" t="n">
        <x:f>IF(AV655=0,0,(AV655-IF(7=D655,1,0))*VLOOKUP(INDEX('章节与怪物'!$E$31:$K$37,B655,7),'章节与怪物'!$A$41:$F$44,4,FALSE)+IF(7=D655,'难度参数'!$E$30,0))</x:f>
        <x:v>1934</x:v>
      </x:c>
    </x:row>
    <x:row r="656" ht="23" customHeight="1">
      <x:c r="A656" s="119" t="n">
        <x:v>650</x:v>
      </x:c>
      <x:c r="B656" s="119" t="n">
        <x:f>MOD(INT((A656-1)/5),7)+1</x:f>
        <x:v>4</x:v>
      </x:c>
      <x:c r="C656" s="62" t="str">
        <x:f>INDEX('章节与怪物'!$B$31:$B$37,B656)</x:f>
        <x:v>翠野边城</x:v>
      </x:c>
      <x:c r="D656" s="119" t="n">
        <x:f>MIN('难度参数'!$E$8,MAX('难度参数'!$E$7,A656))</x:f>
        <x:v>7</x:v>
      </x:c>
      <x:c r="E656" s="106" t="n">
        <x:v>1</x:v>
      </x:c>
      <x:c r="F656" s="106" t="n">
        <x:v>0</x:v>
      </x:c>
      <x:c r="G656" s="106" t="n">
        <x:v>1</x:v>
      </x:c>
      <x:c r="H656" s="119" t="n">
        <x:f>SUM(X656,AB656,AF656,AJ656,AN656,AR656,AV656)</x:f>
        <x:v>318</x:v>
      </x:c>
      <x:c r="I656" s="119" t="n">
        <x:f>SUM(Z656,AD656,AH656,AL656,AP656,AT656,AX656)</x:f>
        <x:v>5356924</x:v>
      </x:c>
      <x:c r="J656" s="119" t="n">
        <x:f>ROUND(INDEX(X656:AY656,1,(D656-1)*4+2)*'难度参数'!$E$28*'章节与怪物'!$E$17,0)</x:f>
        <x:v>129234</x:v>
      </x:c>
      <x:c r="K656" s="119" t="n">
        <x:f>SUM(AA656,AE656,AI656,AM656,AQ656,AU656,AY656)</x:f>
        <x:v>8050</x:v>
      </x:c>
      <x:c r="L656" s="62" t="n">
        <x:f>H656*(ROUNDUP('难度参数'!$E$24/('难度参数'!$E$26*'难度参数'!$E$27),0)*'难度参数'!$E$26)/60</x:f>
        <x:v>4.24</x:v>
      </x:c>
      <x:c r="M656" s="62" t="n">
        <x:f>L656+D656*('难度参数'!$E$49+'难度参数'!$E$50)/60</x:f>
        <x:v>5.406666666666667</x:v>
      </x:c>
      <x:c r="N656" s="119" t="n">
        <x:f>ROUNDDOWN(('经济参数'!$E$20+A656*'经济参数'!$E$21)*G656,0)</x:f>
        <x:v>13180</x:v>
      </x:c>
      <x:c r="O656" s="119" t="n">
        <x:f>ROUNDDOWN(MIN('经济参数'!$E$24,'经济参数'!$E$22+A656*'经济参数'!$E$23)*G656,0)</x:f>
        <x:v>0</x:v>
      </x:c>
      <x:c r="P656" s="119" t="n">
        <x:f>ROUNDDOWN((IF(A656&gt;='材料与任务'!$E$31,'材料与任务'!$E$32,IF(A656&gt;='材料与任务'!$E$25,'材料与任务'!$E$26,IF(A656&gt;='材料与任务'!$E$19,'材料与任务'!$E$20,IF(A656&gt;='材料与任务'!$E$13,'材料与任务'!$E$14,'材料与任务'!$E$8)))))*G656,0)</x:f>
        <x:v>6</x:v>
      </x:c>
      <x:c r="Q656" s="119" t="n">
        <x:f>ROUNDDOWN((IF(A656&gt;='材料与任务'!$E$31,'材料与任务'!$E$33,IF(A656&gt;='材料与任务'!$E$25,'材料与任务'!$E$27,IF(A656&gt;='材料与任务'!$E$19,'材料与任务'!$E$21,IF(A656&gt;='材料与任务'!$E$13,'材料与任务'!$E$15,'材料与任务'!$E$9)))))*G656,0)</x:f>
        <x:v>3</x:v>
      </x:c>
      <x:c r="R656" s="110" t="n">
        <x:f>'装备掉落'!$B$38</x:f>
        <x:v>0.6872058758851213</x:v>
      </x:c>
      <x:c r="S656" s="119" t="n">
        <x:f>MAX(IF(VLOOKUP(A656,'装备掉落'!$A$29:$H$34,2,TRUE)&gt;0,1,0),IF(VLOOKUP(A656,'装备掉落'!$A$29:$H$34,3,TRUE)&gt;0,2,0),IF(VLOOKUP(A656,'装备掉落'!$A$29:$H$34,4,TRUE)&gt;0,3,0),IF(VLOOKUP(A656,'装备掉落'!$A$29:$H$34,5,TRUE)&gt;0,4,0),IF(VLOOKUP(A656,'装备掉落'!$A$29:$H$34,6,TRUE)&gt;0,5,0),IF(VLOOKUP(A656,'装备掉落'!$A$29:$H$34,7,TRUE)&gt;0,6,0),IF(VLOOKUP(A656,'装备掉落'!$A$29:$H$34,8,TRUE)&gt;0,7,0))</x:f>
        <x:v>7</x:v>
      </x:c>
      <x:c r="T656" s="119" t="n">
        <x:f>MIN(7,S656+'经济参数'!$E$70)</x:f>
        <x:v>7</x:v>
      </x:c>
      <x:c r="U656" s="119" t="n">
        <x:f>MIN(7,S656+'经济参数'!$E$71)</x:f>
        <x:v>7</x:v>
      </x:c>
      <x:c r="V656" s="119" t="n">
        <x:f>IF(H656&gt;=('难度参数'!$E$52),1,0)+IF(H656&gt;=('难度参数'!$E$52+'难度参数'!$E$53),1,0)+IF(H656&gt;=('难度参数'!$E$52+'难度参数'!$E$53+'难度参数'!$E$54),1,0)+IF(H656&gt;=('难度参数'!$E$52+'难度参数'!$E$53+'难度参数'!$E$54+'难度参数'!$E$55),1,0)+IF(H656&gt;=('难度参数'!$E$52+'难度参数'!$E$53+'难度参数'!$E$54+'难度参数'!$E$55+'难度参数'!$E$56),1,0)+IF(H656&gt;=('难度参数'!$E$52+'难度参数'!$E$53+'难度参数'!$E$54+'难度参数'!$E$55+'难度参数'!$E$56+'难度参数'!$E$57),1,0)</x:f>
        <x:v>6</x:v>
      </x:c>
      <x:c r="W656" s="62" t="str">
        <x:f>IF(L656&gt;'难度参数'!$E$51,"仅出怪已超目标","还需实测")</x:f>
        <x:v>仅出怪已超目标</x:v>
      </x:c>
      <x:c r="X656" s="119" t="n">
        <x:f>IF(1&gt;D656,0,MAX(2,MIN('难度参数'!$E$12,ROUND(('难度参数'!$E$18*POWER(A656,'难度参数'!$E$19)/D656*(0.85+0.3*(1-1)/MAX(1,D656-1))),0)+F656)))</x:f>
        <x:v>39</x:v>
      </x:c>
      <x:c r="Y656" s="119" t="n">
        <x:f>IF(1&gt;D656,0,ROUND(('难度参数'!$E$13*POWER(A656,'难度参数'!$E$20)*MIN('难度参数'!$E$23,1+MAX(0,A656-'难度参数'!$E$21)*'难度参数'!$E$22))*(36+1*7)/(36+7*(D656+1)/2)*E656,0))</x:f>
        <x:v>9614</x:v>
      </x:c>
      <x:c r="Z656" s="119" t="n">
        <x:f>IF(X656=0,0,(X656-IF(1=D656,1,0))*ROUND(Y656*VLOOKUP(INDEX('章节与怪物'!$E$31:$K$37,B656,1),'章节与怪物'!$A$41:$F$44,2,FALSE),0)+IF(1=D656,ROUND(Y656*'难度参数'!$E$28*'章节与怪物'!$E$17,0),0))</x:f>
        <x:v>269958</x:v>
      </x:c>
      <x:c r="AA656" s="119" t="n">
        <x:f>IF(X656=0,0,(X656-IF(1=D656,1,0))*VLOOKUP(INDEX('章节与怪物'!$E$31:$K$37,B656,1),'章节与怪物'!$A$41:$F$44,4,FALSE)+IF(1=D656,'难度参数'!$E$30,0))</x:f>
        <x:v>780</x:v>
      </x:c>
      <x:c r="AB656" s="119" t="n">
        <x:f>IF(2&gt;D656,0,MAX(2,MIN('难度参数'!$E$12,ROUND(('难度参数'!$E$18*POWER(A656,'难度参数'!$E$19)/D656*(0.85+0.3*(2-1)/MAX(1,D656-1))),0)+F656)))</x:f>
        <x:v>41</x:v>
      </x:c>
      <x:c r="AC656" s="119" t="n">
        <x:f>IF(2&gt;D656,0,ROUND(('难度参数'!$E$13*POWER(A656,'难度参数'!$E$20)*MIN('难度参数'!$E$23,1+MAX(0,A656-'难度参数'!$E$21)*'难度参数'!$E$22))*(36+2*7)/(36+7*(D656+1)/2)*E656,0))</x:f>
        <x:v>11179</x:v>
      </x:c>
      <x:c r="AD656" s="119" t="n">
        <x:f>IF(AB656=0,0,(AB656-IF(2=D656,1,0))*ROUND(AC656*VLOOKUP(INDEX('章节与怪物'!$E$31:$K$37,B656,2),'章节与怪物'!$A$41:$F$44,2,FALSE),0)+IF(2=D656,ROUND(AC656*'难度参数'!$E$28*'章节与怪物'!$E$17,0),0))</x:f>
        <x:v>458339</x:v>
      </x:c>
      <x:c r="AE656" s="119" t="n">
        <x:f>IF(AB656=0,0,(AB656-IF(2=D656,1,0))*VLOOKUP(INDEX('章节与怪物'!$E$31:$K$37,B656,2),'章节与怪物'!$A$41:$F$44,4,FALSE)+IF(2=D656,'难度参数'!$E$30,0))</x:f>
        <x:v>738</x:v>
      </x:c>
      <x:c r="AF656" s="119" t="n">
        <x:f>IF(3&gt;D656,0,MAX(2,MIN('难度参数'!$E$12,ROUND(('难度参数'!$E$18*POWER(A656,'难度参数'!$E$19)/D656*(0.85+0.3*(3-1)/MAX(1,D656-1))),0)+F656)))</x:f>
        <x:v>43</x:v>
      </x:c>
      <x:c r="AG656" s="119" t="n">
        <x:f>IF(3&gt;D656,0,ROUND(('难度参数'!$E$13*POWER(A656,'难度参数'!$E$20)*MIN('难度参数'!$E$23,1+MAX(0,A656-'难度参数'!$E$21)*'难度参数'!$E$22))*(36+3*7)/(36+7*(D656+1)/2)*E656,0))</x:f>
        <x:v>12745</x:v>
      </x:c>
      <x:c r="AH656" s="119" t="n">
        <x:f>IF(AF656=0,0,(AF656-IF(3=D656,1,0))*ROUND(AG656*VLOOKUP(INDEX('章节与怪物'!$E$31:$K$37,B656,3),'章节与怪物'!$A$41:$F$44,2,FALSE),0)+IF(3=D656,ROUND(AG656*'难度参数'!$E$28*'章节与怪物'!$E$17,0),0))</x:f>
        <x:v>931681</x:v>
      </x:c>
      <x:c r="AI656" s="119" t="n">
        <x:f>IF(AF656=0,0,(AF656-IF(3=D656,1,0))*VLOOKUP(INDEX('章节与怪物'!$E$31:$K$37,B656,3),'章节与怪物'!$A$41:$F$44,4,FALSE)+IF(3=D656,'难度参数'!$E$30,0))</x:f>
        <x:v>1204</x:v>
      </x:c>
      <x:c r="AJ656" s="119" t="n">
        <x:f>IF(4&gt;D656,0,MAX(2,MIN('难度参数'!$E$12,ROUND(('难度参数'!$E$18*POWER(A656,'难度参数'!$E$19)/D656*(0.85+0.3*(4-1)/MAX(1,D656-1))),0)+F656)))</x:f>
        <x:v>45</x:v>
      </x:c>
      <x:c r="AK656" s="119" t="n">
        <x:f>IF(4&gt;D656,0,ROUND(('难度参数'!$E$13*POWER(A656,'难度参数'!$E$20)*MIN('难度参数'!$E$23,1+MAX(0,A656-'难度参数'!$E$21)*'难度参数'!$E$22))*(36+4*7)/(36+7*(D656+1)/2)*E656,0))</x:f>
        <x:v>14310</x:v>
      </x:c>
      <x:c r="AL656" s="119" t="n">
        <x:f>IF(AJ656=0,0,(AJ656-IF(4=D656,1,0))*ROUND(AK656*VLOOKUP(INDEX('章节与怪物'!$E$31:$K$37,B656,4),'章节与怪物'!$A$41:$F$44,2,FALSE),0)+IF(4=D656,ROUND(AK656*'难度参数'!$E$28*'章节与怪物'!$E$17,0),0))</x:f>
        <x:v>869355</x:v>
      </x:c>
      <x:c r="AM656" s="119" t="n">
        <x:f>IF(AJ656=0,0,(AJ656-IF(4=D656,1,0))*VLOOKUP(INDEX('章节与怪物'!$E$31:$K$37,B656,4),'章节与怪物'!$A$41:$F$44,4,FALSE)+IF(4=D656,'难度参数'!$E$30,0))</x:f>
        <x:v>1530</x:v>
      </x:c>
      <x:c r="AN656" s="119" t="n">
        <x:f>IF(5&gt;D656,0,MAX(2,MIN('难度参数'!$E$12,ROUND(('难度参数'!$E$18*POWER(A656,'难度参数'!$E$19)/D656*(0.85+0.3*(5-1)/MAX(1,D656-1))),0)+F656)))</x:f>
        <x:v>48</x:v>
      </x:c>
      <x:c r="AO656" s="119" t="n">
        <x:f>IF(5&gt;D656,0,ROUND(('难度参数'!$E$13*POWER(A656,'难度参数'!$E$20)*MIN('难度参数'!$E$23,1+MAX(0,A656-'难度参数'!$E$21)*'难度参数'!$E$22))*(36+5*7)/(36+7*(D656+1)/2)*E656,0))</x:f>
        <x:v>15875</x:v>
      </x:c>
      <x:c r="AP656" s="119" t="n">
        <x:f>IF(AN656=0,0,(AN656-IF(5=D656,1,0))*ROUND(AO656*VLOOKUP(INDEX('章节与怪物'!$E$31:$K$37,B656,5),'章节与怪物'!$A$41:$F$44,2,FALSE),0)+IF(5=D656,ROUND(AO656*'难度参数'!$E$28*'章节与怪物'!$E$17,0),0))</x:f>
        <x:v>762000</x:v>
      </x:c>
      <x:c r="AQ656" s="119" t="n">
        <x:f>IF(AN656=0,0,(AN656-IF(5=D656,1,0))*VLOOKUP(INDEX('章节与怪物'!$E$31:$K$37,B656,5),'章节与怪物'!$A$41:$F$44,4,FALSE)+IF(5=D656,'难度参数'!$E$30,0))</x:f>
        <x:v>864</x:v>
      </x:c>
      <x:c r="AR656" s="119" t="n">
        <x:f>IF(6&gt;D656,0,MAX(2,MIN('难度参数'!$E$12,ROUND(('难度参数'!$E$18*POWER(A656,'难度参数'!$E$19)/D656*(0.85+0.3*(6-1)/MAX(1,D656-1))),0)+F656)))</x:f>
        <x:v>50</x:v>
      </x:c>
      <x:c r="AS656" s="119" t="n">
        <x:f>IF(6&gt;D656,0,ROUND(('难度参数'!$E$13*POWER(A656,'难度参数'!$E$20)*MIN('难度参数'!$E$23,1+MAX(0,A656-'难度参数'!$E$21)*'难度参数'!$E$22))*(36+6*7)/(36+7*(D656+1)/2)*E656,0))</x:f>
        <x:v>17440</x:v>
      </x:c>
      <x:c r="AT656" s="119" t="n">
        <x:f>IF(AR656=0,0,(AR656-IF(6=D656,1,0))*ROUND(AS656*VLOOKUP(INDEX('章节与怪物'!$E$31:$K$37,B656,6),'章节与怪物'!$A$41:$F$44,2,FALSE),0)+IF(6=D656,ROUND(AS656*'难度参数'!$E$28*'章节与怪物'!$E$17,0),0))</x:f>
        <x:v>627850</x:v>
      </x:c>
      <x:c r="AU656" s="119" t="n">
        <x:f>IF(AR656=0,0,(AR656-IF(6=D656,1,0))*VLOOKUP(INDEX('章节与怪物'!$E$31:$K$37,B656,6),'章节与怪物'!$A$41:$F$44,4,FALSE)+IF(6=D656,'难度参数'!$E$30,0))</x:f>
        <x:v>1000</x:v>
      </x:c>
      <x:c r="AV656" s="119" t="n">
        <x:f>IF(7&gt;D656,0,MAX(2,MIN('难度参数'!$E$12,ROUND(('难度参数'!$E$18*POWER(A656,'难度参数'!$E$19)/D656*(0.85+0.3*(7-1)/MAX(1,D656-1))),0)+F656)))</x:f>
        <x:v>52</x:v>
      </x:c>
      <x:c r="AW656" s="119" t="n">
        <x:f>IF(7&gt;D656,0,ROUND(('难度参数'!$E$13*POWER(A656,'难度参数'!$E$20)*MIN('难度参数'!$E$23,1+MAX(0,A656-'难度参数'!$E$21)*'难度参数'!$E$22))*(36+7*7)/(36+7*(D656+1)/2)*E656,0))</x:f>
        <x:v>19005</x:v>
      </x:c>
      <x:c r="AX656" s="119" t="n">
        <x:f>IF(AV656=0,0,(AV656-IF(7=D656,1,0))*ROUND(AW656*VLOOKUP(INDEX('章节与怪物'!$E$31:$K$37,B656,7),'章节与怪物'!$A$41:$F$44,2,FALSE),0)+IF(7=D656,ROUND(AW656*'难度参数'!$E$28*'章节与怪物'!$E$17,0),0))</x:f>
        <x:v>1437741</x:v>
      </x:c>
      <x:c r="AY656" s="119" t="n">
        <x:f>IF(AV656=0,0,(AV656-IF(7=D656,1,0))*VLOOKUP(INDEX('章节与怪物'!$E$31:$K$37,B656,7),'章节与怪物'!$A$41:$F$44,4,FALSE)+IF(7=D656,'难度参数'!$E$30,0))</x:f>
        <x:v>1934</x:v>
      </x:c>
    </x:row>
    <x:row r="657" ht="23" customHeight="1">
      <x:c r="A657" s="119" t="n">
        <x:v>651</x:v>
      </x:c>
      <x:c r="B657" s="119" t="n">
        <x:f>MOD(INT((A657-1)/5),7)+1</x:f>
        <x:v>5</x:v>
      </x:c>
      <x:c r="C657" s="62" t="str">
        <x:f>INDEX('章节与怪物'!$B$31:$B$37,B657)</x:f>
        <x:v>雨林遗迹</x:v>
      </x:c>
      <x:c r="D657" s="119" t="n">
        <x:f>MIN('难度参数'!$E$8,MAX('难度参数'!$E$7,A657))</x:f>
        <x:v>7</x:v>
      </x:c>
      <x:c r="E657" s="106" t="n">
        <x:v>1</x:v>
      </x:c>
      <x:c r="F657" s="106" t="n">
        <x:v>0</x:v>
      </x:c>
      <x:c r="G657" s="106" t="n">
        <x:v>1</x:v>
      </x:c>
      <x:c r="H657" s="119" t="n">
        <x:f>SUM(X657,AB657,AF657,AJ657,AN657,AR657,AV657)</x:f>
        <x:v>319</x:v>
      </x:c>
      <x:c r="I657" s="119" t="n">
        <x:f>SUM(Z657,AD657,AH657,AL657,AP657,AT657,AX657)</x:f>
        <x:v>6000591</x:v>
      </x:c>
      <x:c r="J657" s="119" t="n">
        <x:f>ROUND(INDEX(X657:AY657,1,(D657-1)*4+2)*'难度参数'!$E$28*'章节与怪物'!$E$17,0)</x:f>
        <x:v>129377</x:v>
      </x:c>
      <x:c r="K657" s="119" t="n">
        <x:f>SUM(AA657,AE657,AI657,AM657,AQ657,AU657,AY657)</x:f>
        <x:v>8584</x:v>
      </x:c>
      <x:c r="L657" s="62" t="n">
        <x:f>H657*(ROUNDUP('难度参数'!$E$24/('难度参数'!$E$26*'难度参数'!$E$27),0)*'难度参数'!$E$26)/60</x:f>
        <x:v>4.253333333333334</x:v>
      </x:c>
      <x:c r="M657" s="62" t="n">
        <x:f>L657+D657*('难度参数'!$E$49+'难度参数'!$E$50)/60</x:f>
        <x:v>5.420000000000001</x:v>
      </x:c>
      <x:c r="N657" s="119" t="n">
        <x:f>ROUNDDOWN(('经济参数'!$E$20+A657*'经济参数'!$E$21)*G657,0)</x:f>
        <x:v>13200</x:v>
      </x:c>
      <x:c r="O657" s="119" t="n">
        <x:f>ROUNDDOWN(MIN('经济参数'!$E$24,'经济参数'!$E$22+A657*'经济参数'!$E$23)*G657,0)</x:f>
        <x:v>0</x:v>
      </x:c>
      <x:c r="P657" s="119" t="n">
        <x:f>ROUNDDOWN((IF(A657&gt;='材料与任务'!$E$31,'材料与任务'!$E$32,IF(A657&gt;='材料与任务'!$E$25,'材料与任务'!$E$26,IF(A657&gt;='材料与任务'!$E$19,'材料与任务'!$E$20,IF(A657&gt;='材料与任务'!$E$13,'材料与任务'!$E$14,'材料与任务'!$E$8)))))*G657,0)</x:f>
        <x:v>6</x:v>
      </x:c>
      <x:c r="Q657" s="119" t="n">
        <x:f>ROUNDDOWN((IF(A657&gt;='材料与任务'!$E$31,'材料与任务'!$E$33,IF(A657&gt;='材料与任务'!$E$25,'材料与任务'!$E$27,IF(A657&gt;='材料与任务'!$E$19,'材料与任务'!$E$21,IF(A657&gt;='材料与任务'!$E$13,'材料与任务'!$E$15,'材料与任务'!$E$9)))))*G657,0)</x:f>
        <x:v>3</x:v>
      </x:c>
      <x:c r="R657" s="110" t="n">
        <x:f>'装备掉落'!$B$38</x:f>
        <x:v>0.6872058758851213</x:v>
      </x:c>
      <x:c r="S657" s="119" t="n">
        <x:f>MAX(IF(VLOOKUP(A657,'装备掉落'!$A$29:$H$34,2,TRUE)&gt;0,1,0),IF(VLOOKUP(A657,'装备掉落'!$A$29:$H$34,3,TRUE)&gt;0,2,0),IF(VLOOKUP(A657,'装备掉落'!$A$29:$H$34,4,TRUE)&gt;0,3,0),IF(VLOOKUP(A657,'装备掉落'!$A$29:$H$34,5,TRUE)&gt;0,4,0),IF(VLOOKUP(A657,'装备掉落'!$A$29:$H$34,6,TRUE)&gt;0,5,0),IF(VLOOKUP(A657,'装备掉落'!$A$29:$H$34,7,TRUE)&gt;0,6,0),IF(VLOOKUP(A657,'装备掉落'!$A$29:$H$34,8,TRUE)&gt;0,7,0))</x:f>
        <x:v>7</x:v>
      </x:c>
      <x:c r="T657" s="119" t="n">
        <x:f>MIN(7,S657+'经济参数'!$E$70)</x:f>
        <x:v>7</x:v>
      </x:c>
      <x:c r="U657" s="119" t="n">
        <x:f>MIN(7,S657+'经济参数'!$E$71)</x:f>
        <x:v>7</x:v>
      </x:c>
      <x:c r="V657" s="119" t="n">
        <x:f>IF(H657&gt;=('难度参数'!$E$52),1,0)+IF(H657&gt;=('难度参数'!$E$52+'难度参数'!$E$53),1,0)+IF(H657&gt;=('难度参数'!$E$52+'难度参数'!$E$53+'难度参数'!$E$54),1,0)+IF(H657&gt;=('难度参数'!$E$52+'难度参数'!$E$53+'难度参数'!$E$54+'难度参数'!$E$55),1,0)+IF(H657&gt;=('难度参数'!$E$52+'难度参数'!$E$53+'难度参数'!$E$54+'难度参数'!$E$55+'难度参数'!$E$56),1,0)+IF(H657&gt;=('难度参数'!$E$52+'难度参数'!$E$53+'难度参数'!$E$54+'难度参数'!$E$55+'难度参数'!$E$56+'难度参数'!$E$57),1,0)</x:f>
        <x:v>6</x:v>
      </x:c>
      <x:c r="W657" s="62" t="str">
        <x:f>IF(L657&gt;'难度参数'!$E$51,"仅出怪已超目标","还需实测")</x:f>
        <x:v>仅出怪已超目标</x:v>
      </x:c>
      <x:c r="X657" s="119" t="n">
        <x:f>IF(1&gt;D657,0,MAX(2,MIN('难度参数'!$E$12,ROUND(('难度参数'!$E$18*POWER(A657,'难度参数'!$E$19)/D657*(0.85+0.3*(1-1)/MAX(1,D657-1))),0)+F657)))</x:f>
        <x:v>39</x:v>
      </x:c>
      <x:c r="Y657" s="119" t="n">
        <x:f>IF(1&gt;D657,0,ROUND(('难度参数'!$E$13*POWER(A657,'难度参数'!$E$20)*MIN('难度参数'!$E$23,1+MAX(0,A657-'难度参数'!$E$21)*'难度参数'!$E$22))*(36+1*7)/(36+7*(D657+1)/2)*E657,0))</x:f>
        <x:v>9625</x:v>
      </x:c>
      <x:c r="Z657" s="119" t="n">
        <x:f>IF(X657=0,0,(X657-IF(1=D657,1,0))*ROUND(Y657*VLOOKUP(INDEX('章节与怪物'!$E$31:$K$37,B657,1),'章节与怪物'!$A$41:$F$44,2,FALSE),0)+IF(1=D657,ROUND(Y657*'难度参数'!$E$28*'章节与怪物'!$E$17,0),0))</x:f>
        <x:v>375375</x:v>
      </x:c>
      <x:c r="AA657" s="119" t="n">
        <x:f>IF(X657=0,0,(X657-IF(1=D657,1,0))*VLOOKUP(INDEX('章节与怪物'!$E$31:$K$37,B657,1),'章节与怪物'!$A$41:$F$44,4,FALSE)+IF(1=D657,'难度参数'!$E$30,0))</x:f>
        <x:v>702</x:v>
      </x:c>
      <x:c r="AB657" s="119" t="n">
        <x:f>IF(2&gt;D657,0,MAX(2,MIN('难度参数'!$E$12,ROUND(('难度参数'!$E$18*POWER(A657,'难度参数'!$E$19)/D657*(0.85+0.3*(2-1)/MAX(1,D657-1))),0)+F657)))</x:f>
        <x:v>41</x:v>
      </x:c>
      <x:c r="AC657" s="119" t="n">
        <x:f>IF(2&gt;D657,0,ROUND(('难度参数'!$E$13*POWER(A657,'难度参数'!$E$20)*MIN('难度参数'!$E$23,1+MAX(0,A657-'难度参数'!$E$21)*'难度参数'!$E$22))*(36+2*7)/(36+7*(D657+1)/2)*E657,0))</x:f>
        <x:v>11192</x:v>
      </x:c>
      <x:c r="AD657" s="119" t="n">
        <x:f>IF(AB657=0,0,(AB657-IF(2=D657,1,0))*ROUND(AC657*VLOOKUP(INDEX('章节与怪物'!$E$31:$K$37,B657,2),'章节与怪物'!$A$41:$F$44,2,FALSE),0)+IF(2=D657,ROUND(AC657*'难度参数'!$E$28*'章节与怪物'!$E$17,0),0))</x:f>
        <x:v>330378</x:v>
      </x:c>
      <x:c r="AE657" s="119" t="n">
        <x:f>IF(AB657=0,0,(AB657-IF(2=D657,1,0))*VLOOKUP(INDEX('章节与怪物'!$E$31:$K$37,B657,2),'章节与怪物'!$A$41:$F$44,4,FALSE)+IF(2=D657,'难度参数'!$E$30,0))</x:f>
        <x:v>820</x:v>
      </x:c>
      <x:c r="AF657" s="119" t="n">
        <x:f>IF(3&gt;D657,0,MAX(2,MIN('难度参数'!$E$12,ROUND(('难度参数'!$E$18*POWER(A657,'难度参数'!$E$19)/D657*(0.85+0.3*(3-1)/MAX(1,D657-1))),0)+F657)))</x:f>
        <x:v>43</x:v>
      </x:c>
      <x:c r="AG657" s="119" t="n">
        <x:f>IF(3&gt;D657,0,ROUND(('难度参数'!$E$13*POWER(A657,'难度参数'!$E$20)*MIN('难度参数'!$E$23,1+MAX(0,A657-'难度参数'!$E$21)*'难度参数'!$E$22))*(36+3*7)/(36+7*(D657+1)/2)*E657,0))</x:f>
        <x:v>12759</x:v>
      </x:c>
      <x:c r="AH657" s="119" t="n">
        <x:f>IF(AF657=0,0,(AF657-IF(3=D657,1,0))*ROUND(AG657*VLOOKUP(INDEX('章节与怪物'!$E$31:$K$37,B657,3),'章节与怪物'!$A$41:$F$44,2,FALSE),0)+IF(3=D657,ROUND(AG657*'难度参数'!$E$28*'章节与怪物'!$E$17,0),0))</x:f>
        <x:v>932670</x:v>
      </x:c>
      <x:c r="AI657" s="119" t="n">
        <x:f>IF(AF657=0,0,(AF657-IF(3=D657,1,0))*VLOOKUP(INDEX('章节与怪物'!$E$31:$K$37,B657,3),'章节与怪物'!$A$41:$F$44,4,FALSE)+IF(3=D657,'难度参数'!$E$30,0))</x:f>
        <x:v>1204</x:v>
      </x:c>
      <x:c r="AJ657" s="119" t="n">
        <x:f>IF(4&gt;D657,0,MAX(2,MIN('难度参数'!$E$12,ROUND(('难度参数'!$E$18*POWER(A657,'难度参数'!$E$19)/D657*(0.85+0.3*(4-1)/MAX(1,D657-1))),0)+F657)))</x:f>
        <x:v>46</x:v>
      </x:c>
      <x:c r="AK657" s="119" t="n">
        <x:f>IF(4&gt;D657,0,ROUND(('难度参数'!$E$13*POWER(A657,'难度参数'!$E$20)*MIN('难度参数'!$E$23,1+MAX(0,A657-'难度参数'!$E$21)*'难度参数'!$E$22))*(36+4*7)/(36+7*(D657+1)/2)*E657,0))</x:f>
        <x:v>14326</x:v>
      </x:c>
      <x:c r="AL657" s="119" t="n">
        <x:f>IF(AJ657=0,0,(AJ657-IF(4=D657,1,0))*ROUND(AK657*VLOOKUP(INDEX('章节与怪物'!$E$31:$K$37,B657,4),'章节与怪物'!$A$41:$F$44,2,FALSE),0)+IF(4=D657,ROUND(AK657*'难度参数'!$E$28*'章节与怪物'!$E$17,0),0))</x:f>
        <x:v>889640</x:v>
      </x:c>
      <x:c r="AM657" s="119" t="n">
        <x:f>IF(AJ657=0,0,(AJ657-IF(4=D657,1,0))*VLOOKUP(INDEX('章节与怪物'!$E$31:$K$37,B657,4),'章节与怪物'!$A$41:$F$44,4,FALSE)+IF(4=D657,'难度参数'!$E$30,0))</x:f>
        <x:v>1564</x:v>
      </x:c>
      <x:c r="AN657" s="119" t="n">
        <x:f>IF(5&gt;D657,0,MAX(2,MIN('难度参数'!$E$12,ROUND(('难度参数'!$E$18*POWER(A657,'难度参数'!$E$19)/D657*(0.85+0.3*(5-1)/MAX(1,D657-1))),0)+F657)))</x:f>
        <x:v>48</x:v>
      </x:c>
      <x:c r="AO657" s="119" t="n">
        <x:f>IF(5&gt;D657,0,ROUND(('难度参数'!$E$13*POWER(A657,'难度参数'!$E$20)*MIN('难度参数'!$E$23,1+MAX(0,A657-'难度参数'!$E$21)*'难度参数'!$E$22))*(36+5*7)/(36+7*(D657+1)/2)*E657,0))</x:f>
        <x:v>15892</x:v>
      </x:c>
      <x:c r="AP657" s="119" t="n">
        <x:f>IF(AN657=0,0,(AN657-IF(5=D657,1,0))*ROUND(AO657*VLOOKUP(INDEX('章节与怪物'!$E$31:$K$37,B657,5),'章节与怪物'!$A$41:$F$44,2,FALSE),0)+IF(5=D657,ROUND(AO657*'难度参数'!$E$28*'章节与怪物'!$E$17,0),0))</x:f>
        <x:v>549216</x:v>
      </x:c>
      <x:c r="AQ657" s="119" t="n">
        <x:f>IF(AN657=0,0,(AN657-IF(5=D657,1,0))*VLOOKUP(INDEX('章节与怪物'!$E$31:$K$37,B657,5),'章节与怪物'!$A$41:$F$44,4,FALSE)+IF(5=D657,'难度参数'!$E$30,0))</x:f>
        <x:v>960</x:v>
      </x:c>
      <x:c r="AR657" s="119" t="n">
        <x:f>IF(6&gt;D657,0,MAX(2,MIN('难度参数'!$E$12,ROUND(('难度参数'!$E$18*POWER(A657,'难度参数'!$E$19)/D657*(0.85+0.3*(6-1)/MAX(1,D657-1))),0)+F657)))</x:f>
        <x:v>50</x:v>
      </x:c>
      <x:c r="AS657" s="119" t="n">
        <x:f>IF(6&gt;D657,0,ROUND(('难度参数'!$E$13*POWER(A657,'难度参数'!$E$20)*MIN('难度参数'!$E$23,1+MAX(0,A657-'难度参数'!$E$21)*'难度参数'!$E$22))*(36+6*7)/(36+7*(D657+1)/2)*E657,0))</x:f>
        <x:v>17459</x:v>
      </x:c>
      <x:c r="AT657" s="119" t="n">
        <x:f>IF(AR657=0,0,(AR657-IF(6=D657,1,0))*ROUND(AS657*VLOOKUP(INDEX('章节与怪物'!$E$31:$K$37,B657,6),'章节与怪物'!$A$41:$F$44,2,FALSE),0)+IF(6=D657,ROUND(AS657*'难度参数'!$E$28*'章节与怪物'!$E$17,0),0))</x:f>
        <x:v>1484000</x:v>
      </x:c>
      <x:c r="AU657" s="119" t="n">
        <x:f>IF(AR657=0,0,(AR657-IF(6=D657,1,0))*VLOOKUP(INDEX('章节与怪物'!$E$31:$K$37,B657,6),'章节与怪物'!$A$41:$F$44,4,FALSE)+IF(6=D657,'难度参数'!$E$30,0))</x:f>
        <x:v>1400</x:v>
      </x:c>
      <x:c r="AV657" s="119" t="n">
        <x:f>IF(7&gt;D657,0,MAX(2,MIN('难度参数'!$E$12,ROUND(('难度参数'!$E$18*POWER(A657,'难度参数'!$E$19)/D657*(0.85+0.3*(7-1)/MAX(1,D657-1))),0)+F657)))</x:f>
        <x:v>52</x:v>
      </x:c>
      <x:c r="AW657" s="119" t="n">
        <x:f>IF(7&gt;D657,0,ROUND(('难度参数'!$E$13*POWER(A657,'难度参数'!$E$20)*MIN('难度参数'!$E$23,1+MAX(0,A657-'难度参数'!$E$21)*'难度参数'!$E$22))*(36+7*7)/(36+7*(D657+1)/2)*E657,0))</x:f>
        <x:v>19026</x:v>
      </x:c>
      <x:c r="AX657" s="119" t="n">
        <x:f>IF(AV657=0,0,(AV657-IF(7=D657,1,0))*ROUND(AW657*VLOOKUP(INDEX('章节与怪物'!$E$31:$K$37,B657,7),'章节与怪物'!$A$41:$F$44,2,FALSE),0)+IF(7=D657,ROUND(AW657*'难度参数'!$E$28*'章节与怪物'!$E$17,0),0))</x:f>
        <x:v>1439312</x:v>
      </x:c>
      <x:c r="AY657" s="119" t="n">
        <x:f>IF(AV657=0,0,(AV657-IF(7=D657,1,0))*VLOOKUP(INDEX('章节与怪物'!$E$31:$K$37,B657,7),'章节与怪物'!$A$41:$F$44,4,FALSE)+IF(7=D657,'难度参数'!$E$30,0))</x:f>
        <x:v>1934</x:v>
      </x:c>
    </x:row>
    <x:row r="658" ht="23" customHeight="1">
      <x:c r="A658" s="119" t="n">
        <x:v>652</x:v>
      </x:c>
      <x:c r="B658" s="119" t="n">
        <x:f>MOD(INT((A658-1)/5),7)+1</x:f>
        <x:v>5</x:v>
      </x:c>
      <x:c r="C658" s="62" t="str">
        <x:f>INDEX('章节与怪物'!$B$31:$B$37,B658)</x:f>
        <x:v>雨林遗迹</x:v>
      </x:c>
      <x:c r="D658" s="119" t="n">
        <x:f>MIN('难度参数'!$E$8,MAX('难度参数'!$E$7,A658))</x:f>
        <x:v>7</x:v>
      </x:c>
      <x:c r="E658" s="106" t="n">
        <x:v>1</x:v>
      </x:c>
      <x:c r="F658" s="106" t="n">
        <x:v>0</x:v>
      </x:c>
      <x:c r="G658" s="106" t="n">
        <x:v>1</x:v>
      </x:c>
      <x:c r="H658" s="119" t="n">
        <x:f>SUM(X658,AB658,AF658,AJ658,AN658,AR658,AV658)</x:f>
        <x:v>319</x:v>
      </x:c>
      <x:c r="I658" s="119" t="n">
        <x:f>SUM(Z658,AD658,AH658,AL658,AP658,AT658,AX658)</x:f>
        <x:v>6007236</x:v>
      </x:c>
      <x:c r="J658" s="119" t="n">
        <x:f>ROUND(INDEX(X658:AY658,1,(D658-1)*4+2)*'难度参数'!$E$28*'章节与怪物'!$E$17,0)</x:f>
        <x:v>129520</x:v>
      </x:c>
      <x:c r="K658" s="119" t="n">
        <x:f>SUM(AA658,AE658,AI658,AM658,AQ658,AU658,AY658)</x:f>
        <x:v>8584</x:v>
      </x:c>
      <x:c r="L658" s="62" t="n">
        <x:f>H658*(ROUNDUP('难度参数'!$E$24/('难度参数'!$E$26*'难度参数'!$E$27),0)*'难度参数'!$E$26)/60</x:f>
        <x:v>4.253333333333334</x:v>
      </x:c>
      <x:c r="M658" s="62" t="n">
        <x:f>L658+D658*('难度参数'!$E$49+'难度参数'!$E$50)/60</x:f>
        <x:v>5.420000000000001</x:v>
      </x:c>
      <x:c r="N658" s="119" t="n">
        <x:f>ROUNDDOWN(('经济参数'!$E$20+A658*'经济参数'!$E$21)*G658,0)</x:f>
        <x:v>13220</x:v>
      </x:c>
      <x:c r="O658" s="119" t="n">
        <x:f>ROUNDDOWN(MIN('经济参数'!$E$24,'经济参数'!$E$22+A658*'经济参数'!$E$23)*G658,0)</x:f>
        <x:v>0</x:v>
      </x:c>
      <x:c r="P658" s="119" t="n">
        <x:f>ROUNDDOWN((IF(A658&gt;='材料与任务'!$E$31,'材料与任务'!$E$32,IF(A658&gt;='材料与任务'!$E$25,'材料与任务'!$E$26,IF(A658&gt;='材料与任务'!$E$19,'材料与任务'!$E$20,IF(A658&gt;='材料与任务'!$E$13,'材料与任务'!$E$14,'材料与任务'!$E$8)))))*G658,0)</x:f>
        <x:v>6</x:v>
      </x:c>
      <x:c r="Q658" s="119" t="n">
        <x:f>ROUNDDOWN((IF(A658&gt;='材料与任务'!$E$31,'材料与任务'!$E$33,IF(A658&gt;='材料与任务'!$E$25,'材料与任务'!$E$27,IF(A658&gt;='材料与任务'!$E$19,'材料与任务'!$E$21,IF(A658&gt;='材料与任务'!$E$13,'材料与任务'!$E$15,'材料与任务'!$E$9)))))*G658,0)</x:f>
        <x:v>3</x:v>
      </x:c>
      <x:c r="R658" s="110" t="n">
        <x:f>'装备掉落'!$B$38</x:f>
        <x:v>0.6872058758851213</x:v>
      </x:c>
      <x:c r="S658" s="119" t="n">
        <x:f>MAX(IF(VLOOKUP(A658,'装备掉落'!$A$29:$H$34,2,TRUE)&gt;0,1,0),IF(VLOOKUP(A658,'装备掉落'!$A$29:$H$34,3,TRUE)&gt;0,2,0),IF(VLOOKUP(A658,'装备掉落'!$A$29:$H$34,4,TRUE)&gt;0,3,0),IF(VLOOKUP(A658,'装备掉落'!$A$29:$H$34,5,TRUE)&gt;0,4,0),IF(VLOOKUP(A658,'装备掉落'!$A$29:$H$34,6,TRUE)&gt;0,5,0),IF(VLOOKUP(A658,'装备掉落'!$A$29:$H$34,7,TRUE)&gt;0,6,0),IF(VLOOKUP(A658,'装备掉落'!$A$29:$H$34,8,TRUE)&gt;0,7,0))</x:f>
        <x:v>7</x:v>
      </x:c>
      <x:c r="T658" s="119" t="n">
        <x:f>MIN(7,S658+'经济参数'!$E$70)</x:f>
        <x:v>7</x:v>
      </x:c>
      <x:c r="U658" s="119" t="n">
        <x:f>MIN(7,S658+'经济参数'!$E$71)</x:f>
        <x:v>7</x:v>
      </x:c>
      <x:c r="V658" s="119" t="n">
        <x:f>IF(H658&gt;=('难度参数'!$E$52),1,0)+IF(H658&gt;=('难度参数'!$E$52+'难度参数'!$E$53),1,0)+IF(H658&gt;=('难度参数'!$E$52+'难度参数'!$E$53+'难度参数'!$E$54),1,0)+IF(H658&gt;=('难度参数'!$E$52+'难度参数'!$E$53+'难度参数'!$E$54+'难度参数'!$E$55),1,0)+IF(H658&gt;=('难度参数'!$E$52+'难度参数'!$E$53+'难度参数'!$E$54+'难度参数'!$E$55+'难度参数'!$E$56),1,0)+IF(H658&gt;=('难度参数'!$E$52+'难度参数'!$E$53+'难度参数'!$E$54+'难度参数'!$E$55+'难度参数'!$E$56+'难度参数'!$E$57),1,0)</x:f>
        <x:v>6</x:v>
      </x:c>
      <x:c r="W658" s="62" t="str">
        <x:f>IF(L658&gt;'难度参数'!$E$51,"仅出怪已超目标","还需实测")</x:f>
        <x:v>仅出怪已超目标</x:v>
      </x:c>
      <x:c r="X658" s="119" t="n">
        <x:f>IF(1&gt;D658,0,MAX(2,MIN('难度参数'!$E$12,ROUND(('难度参数'!$E$18*POWER(A658,'难度参数'!$E$19)/D658*(0.85+0.3*(1-1)/MAX(1,D658-1))),0)+F658)))</x:f>
        <x:v>39</x:v>
      </x:c>
      <x:c r="Y658" s="119" t="n">
        <x:f>IF(1&gt;D658,0,ROUND(('难度参数'!$E$13*POWER(A658,'难度参数'!$E$20)*MIN('难度参数'!$E$23,1+MAX(0,A658-'难度参数'!$E$21)*'难度参数'!$E$22))*(36+1*7)/(36+7*(D658+1)/2)*E658,0))</x:f>
        <x:v>9636</x:v>
      </x:c>
      <x:c r="Z658" s="119" t="n">
        <x:f>IF(X658=0,0,(X658-IF(1=D658,1,0))*ROUND(Y658*VLOOKUP(INDEX('章节与怪物'!$E$31:$K$37,B658,1),'章节与怪物'!$A$41:$F$44,2,FALSE),0)+IF(1=D658,ROUND(Y658*'难度参数'!$E$28*'章节与怪物'!$E$17,0),0))</x:f>
        <x:v>375804</x:v>
      </x:c>
      <x:c r="AA658" s="119" t="n">
        <x:f>IF(X658=0,0,(X658-IF(1=D658,1,0))*VLOOKUP(INDEX('章节与怪物'!$E$31:$K$37,B658,1),'章节与怪物'!$A$41:$F$44,4,FALSE)+IF(1=D658,'难度参数'!$E$30,0))</x:f>
        <x:v>702</x:v>
      </x:c>
      <x:c r="AB658" s="119" t="n">
        <x:f>IF(2&gt;D658,0,MAX(2,MIN('难度参数'!$E$12,ROUND(('难度参数'!$E$18*POWER(A658,'难度参数'!$E$19)/D658*(0.85+0.3*(2-1)/MAX(1,D658-1))),0)+F658)))</x:f>
        <x:v>41</x:v>
      </x:c>
      <x:c r="AC658" s="119" t="n">
        <x:f>IF(2&gt;D658,0,ROUND(('难度参数'!$E$13*POWER(A658,'难度参数'!$E$20)*MIN('难度参数'!$E$23,1+MAX(0,A658-'难度参数'!$E$21)*'难度参数'!$E$22))*(36+2*7)/(36+7*(D658+1)/2)*E658,0))</x:f>
        <x:v>11204</x:v>
      </x:c>
      <x:c r="AD658" s="119" t="n">
        <x:f>IF(AB658=0,0,(AB658-IF(2=D658,1,0))*ROUND(AC658*VLOOKUP(INDEX('章节与怪物'!$E$31:$K$37,B658,2),'章节与怪物'!$A$41:$F$44,2,FALSE),0)+IF(2=D658,ROUND(AC658*'难度参数'!$E$28*'章节与怪物'!$E$17,0),0))</x:f>
        <x:v>330747</x:v>
      </x:c>
      <x:c r="AE658" s="119" t="n">
        <x:f>IF(AB658=0,0,(AB658-IF(2=D658,1,0))*VLOOKUP(INDEX('章节与怪物'!$E$31:$K$37,B658,2),'章节与怪物'!$A$41:$F$44,4,FALSE)+IF(2=D658,'难度参数'!$E$30,0))</x:f>
        <x:v>820</x:v>
      </x:c>
      <x:c r="AF658" s="119" t="n">
        <x:f>IF(3&gt;D658,0,MAX(2,MIN('难度参数'!$E$12,ROUND(('难度参数'!$E$18*POWER(A658,'难度参数'!$E$19)/D658*(0.85+0.3*(3-1)/MAX(1,D658-1))),0)+F658)))</x:f>
        <x:v>43</x:v>
      </x:c>
      <x:c r="AG658" s="119" t="n">
        <x:f>IF(3&gt;D658,0,ROUND(('难度参数'!$E$13*POWER(A658,'难度参数'!$E$20)*MIN('难度参数'!$E$23,1+MAX(0,A658-'难度参数'!$E$21)*'难度参数'!$E$22))*(36+3*7)/(36+7*(D658+1)/2)*E658,0))</x:f>
        <x:v>12773</x:v>
      </x:c>
      <x:c r="AH658" s="119" t="n">
        <x:f>IF(AF658=0,0,(AF658-IF(3=D658,1,0))*ROUND(AG658*VLOOKUP(INDEX('章节与怪物'!$E$31:$K$37,B658,3),'章节与怪物'!$A$41:$F$44,2,FALSE),0)+IF(3=D658,ROUND(AG658*'难度参数'!$E$28*'章节与怪物'!$E$17,0),0))</x:f>
        <x:v>933702</x:v>
      </x:c>
      <x:c r="AI658" s="119" t="n">
        <x:f>IF(AF658=0,0,(AF658-IF(3=D658,1,0))*VLOOKUP(INDEX('章节与怪物'!$E$31:$K$37,B658,3),'章节与怪物'!$A$41:$F$44,4,FALSE)+IF(3=D658,'难度参数'!$E$30,0))</x:f>
        <x:v>1204</x:v>
      </x:c>
      <x:c r="AJ658" s="119" t="n">
        <x:f>IF(4&gt;D658,0,MAX(2,MIN('难度参数'!$E$12,ROUND(('难度参数'!$E$18*POWER(A658,'难度参数'!$E$19)/D658*(0.85+0.3*(4-1)/MAX(1,D658-1))),0)+F658)))</x:f>
        <x:v>46</x:v>
      </x:c>
      <x:c r="AK658" s="119" t="n">
        <x:f>IF(4&gt;D658,0,ROUND(('难度参数'!$E$13*POWER(A658,'难度参数'!$E$20)*MIN('难度参数'!$E$23,1+MAX(0,A658-'难度参数'!$E$21)*'难度参数'!$E$22))*(36+4*7)/(36+7*(D658+1)/2)*E658,0))</x:f>
        <x:v>14341</x:v>
      </x:c>
      <x:c r="AL658" s="119" t="n">
        <x:f>IF(AJ658=0,0,(AJ658-IF(4=D658,1,0))*ROUND(AK658*VLOOKUP(INDEX('章节与怪物'!$E$31:$K$37,B658,4),'章节与怪物'!$A$41:$F$44,2,FALSE),0)+IF(4=D658,ROUND(AK658*'难度参数'!$E$28*'章节与怪物'!$E$17,0),0))</x:f>
        <x:v>890560</x:v>
      </x:c>
      <x:c r="AM658" s="119" t="n">
        <x:f>IF(AJ658=0,0,(AJ658-IF(4=D658,1,0))*VLOOKUP(INDEX('章节与怪物'!$E$31:$K$37,B658,4),'章节与怪物'!$A$41:$F$44,4,FALSE)+IF(4=D658,'难度参数'!$E$30,0))</x:f>
        <x:v>1564</x:v>
      </x:c>
      <x:c r="AN658" s="119" t="n">
        <x:f>IF(5&gt;D658,0,MAX(2,MIN('难度参数'!$E$12,ROUND(('难度参数'!$E$18*POWER(A658,'难度参数'!$E$19)/D658*(0.85+0.3*(5-1)/MAX(1,D658-1))),0)+F658)))</x:f>
        <x:v>48</x:v>
      </x:c>
      <x:c r="AO658" s="119" t="n">
        <x:f>IF(5&gt;D658,0,ROUND(('难度参数'!$E$13*POWER(A658,'难度参数'!$E$20)*MIN('难度参数'!$E$23,1+MAX(0,A658-'难度参数'!$E$21)*'难度参数'!$E$22))*(36+5*7)/(36+7*(D658+1)/2)*E658,0))</x:f>
        <x:v>15910</x:v>
      </x:c>
      <x:c r="AP658" s="119" t="n">
        <x:f>IF(AN658=0,0,(AN658-IF(5=D658,1,0))*ROUND(AO658*VLOOKUP(INDEX('章节与怪物'!$E$31:$K$37,B658,5),'章节与怪物'!$A$41:$F$44,2,FALSE),0)+IF(5=D658,ROUND(AO658*'难度参数'!$E$28*'章节与怪物'!$E$17,0),0))</x:f>
        <x:v>549840</x:v>
      </x:c>
      <x:c r="AQ658" s="119" t="n">
        <x:f>IF(AN658=0,0,(AN658-IF(5=D658,1,0))*VLOOKUP(INDEX('章节与怪物'!$E$31:$K$37,B658,5),'章节与怪物'!$A$41:$F$44,4,FALSE)+IF(5=D658,'难度参数'!$E$30,0))</x:f>
        <x:v>960</x:v>
      </x:c>
      <x:c r="AR658" s="119" t="n">
        <x:f>IF(6&gt;D658,0,MAX(2,MIN('难度参数'!$E$12,ROUND(('难度参数'!$E$18*POWER(A658,'难度参数'!$E$19)/D658*(0.85+0.3*(6-1)/MAX(1,D658-1))),0)+F658)))</x:f>
        <x:v>50</x:v>
      </x:c>
      <x:c r="AS658" s="119" t="n">
        <x:f>IF(6&gt;D658,0,ROUND(('难度参数'!$E$13*POWER(A658,'难度参数'!$E$20)*MIN('难度参数'!$E$23,1+MAX(0,A658-'难度参数'!$E$21)*'难度参数'!$E$22))*(36+6*7)/(36+7*(D658+1)/2)*E658,0))</x:f>
        <x:v>17479</x:v>
      </x:c>
      <x:c r="AT658" s="119" t="n">
        <x:f>IF(AR658=0,0,(AR658-IF(6=D658,1,0))*ROUND(AS658*VLOOKUP(INDEX('章节与怪物'!$E$31:$K$37,B658,6),'章节与怪物'!$A$41:$F$44,2,FALSE),0)+IF(6=D658,ROUND(AS658*'难度参数'!$E$28*'章节与怪物'!$E$17,0),0))</x:f>
        <x:v>1485700</x:v>
      </x:c>
      <x:c r="AU658" s="119" t="n">
        <x:f>IF(AR658=0,0,(AR658-IF(6=D658,1,0))*VLOOKUP(INDEX('章节与怪物'!$E$31:$K$37,B658,6),'章节与怪物'!$A$41:$F$44,4,FALSE)+IF(6=D658,'难度参数'!$E$30,0))</x:f>
        <x:v>1400</x:v>
      </x:c>
      <x:c r="AV658" s="119" t="n">
        <x:f>IF(7&gt;D658,0,MAX(2,MIN('难度参数'!$E$12,ROUND(('难度参数'!$E$18*POWER(A658,'难度参数'!$E$19)/D658*(0.85+0.3*(7-1)/MAX(1,D658-1))),0)+F658)))</x:f>
        <x:v>52</x:v>
      </x:c>
      <x:c r="AW658" s="119" t="n">
        <x:f>IF(7&gt;D658,0,ROUND(('难度参数'!$E$13*POWER(A658,'难度参数'!$E$20)*MIN('难度参数'!$E$23,1+MAX(0,A658-'难度参数'!$E$21)*'难度参数'!$E$22))*(36+7*7)/(36+7*(D658+1)/2)*E658,0))</x:f>
        <x:v>19047</x:v>
      </x:c>
      <x:c r="AX658" s="119" t="n">
        <x:f>IF(AV658=0,0,(AV658-IF(7=D658,1,0))*ROUND(AW658*VLOOKUP(INDEX('章节与怪物'!$E$31:$K$37,B658,7),'章节与怪物'!$A$41:$F$44,2,FALSE),0)+IF(7=D658,ROUND(AW658*'难度参数'!$E$28*'章节与怪物'!$E$17,0),0))</x:f>
        <x:v>1440883</x:v>
      </x:c>
      <x:c r="AY658" s="119" t="n">
        <x:f>IF(AV658=0,0,(AV658-IF(7=D658,1,0))*VLOOKUP(INDEX('章节与怪物'!$E$31:$K$37,B658,7),'章节与怪物'!$A$41:$F$44,4,FALSE)+IF(7=D658,'难度参数'!$E$30,0))</x:f>
        <x:v>1934</x:v>
      </x:c>
    </x:row>
    <x:row r="659" ht="23" customHeight="1">
      <x:c r="A659" s="119" t="n">
        <x:v>653</x:v>
      </x:c>
      <x:c r="B659" s="119" t="n">
        <x:f>MOD(INT((A659-1)/5),7)+1</x:f>
        <x:v>5</x:v>
      </x:c>
      <x:c r="C659" s="62" t="str">
        <x:f>INDEX('章节与怪物'!$B$31:$B$37,B659)</x:f>
        <x:v>雨林遗迹</x:v>
      </x:c>
      <x:c r="D659" s="119" t="n">
        <x:f>MIN('难度参数'!$E$8,MAX('难度参数'!$E$7,A659))</x:f>
        <x:v>7</x:v>
      </x:c>
      <x:c r="E659" s="106" t="n">
        <x:v>1</x:v>
      </x:c>
      <x:c r="F659" s="106" t="n">
        <x:v>0</x:v>
      </x:c>
      <x:c r="G659" s="106" t="n">
        <x:v>1</x:v>
      </x:c>
      <x:c r="H659" s="119" t="n">
        <x:f>SUM(X659,AB659,AF659,AJ659,AN659,AR659,AV659)</x:f>
        <x:v>319</x:v>
      </x:c>
      <x:c r="I659" s="119" t="n">
        <x:f>SUM(Z659,AD659,AH659,AL659,AP659,AT659,AX659)</x:f>
        <x:v>6013934</x:v>
      </x:c>
      <x:c r="J659" s="119" t="n">
        <x:f>ROUND(INDEX(X659:AY659,1,(D659-1)*4+2)*'难度参数'!$E$28*'章节与怪物'!$E$17,0)</x:f>
        <x:v>129662</x:v>
      </x:c>
      <x:c r="K659" s="119" t="n">
        <x:f>SUM(AA659,AE659,AI659,AM659,AQ659,AU659,AY659)</x:f>
        <x:v>8584</x:v>
      </x:c>
      <x:c r="L659" s="62" t="n">
        <x:f>H659*(ROUNDUP('难度参数'!$E$24/('难度参数'!$E$26*'难度参数'!$E$27),0)*'难度参数'!$E$26)/60</x:f>
        <x:v>4.253333333333334</x:v>
      </x:c>
      <x:c r="M659" s="62" t="n">
        <x:f>L659+D659*('难度参数'!$E$49+'难度参数'!$E$50)/60</x:f>
        <x:v>5.420000000000001</x:v>
      </x:c>
      <x:c r="N659" s="119" t="n">
        <x:f>ROUNDDOWN(('经济参数'!$E$20+A659*'经济参数'!$E$21)*G659,0)</x:f>
        <x:v>13240</x:v>
      </x:c>
      <x:c r="O659" s="119" t="n">
        <x:f>ROUNDDOWN(MIN('经济参数'!$E$24,'经济参数'!$E$22+A659*'经济参数'!$E$23)*G659,0)</x:f>
        <x:v>0</x:v>
      </x:c>
      <x:c r="P659" s="119" t="n">
        <x:f>ROUNDDOWN((IF(A659&gt;='材料与任务'!$E$31,'材料与任务'!$E$32,IF(A659&gt;='材料与任务'!$E$25,'材料与任务'!$E$26,IF(A659&gt;='材料与任务'!$E$19,'材料与任务'!$E$20,IF(A659&gt;='材料与任务'!$E$13,'材料与任务'!$E$14,'材料与任务'!$E$8)))))*G659,0)</x:f>
        <x:v>6</x:v>
      </x:c>
      <x:c r="Q659" s="119" t="n">
        <x:f>ROUNDDOWN((IF(A659&gt;='材料与任务'!$E$31,'材料与任务'!$E$33,IF(A659&gt;='材料与任务'!$E$25,'材料与任务'!$E$27,IF(A659&gt;='材料与任务'!$E$19,'材料与任务'!$E$21,IF(A659&gt;='材料与任务'!$E$13,'材料与任务'!$E$15,'材料与任务'!$E$9)))))*G659,0)</x:f>
        <x:v>3</x:v>
      </x:c>
      <x:c r="R659" s="110" t="n">
        <x:f>'装备掉落'!$B$38</x:f>
        <x:v>0.6872058758851213</x:v>
      </x:c>
      <x:c r="S659" s="119" t="n">
        <x:f>MAX(IF(VLOOKUP(A659,'装备掉落'!$A$29:$H$34,2,TRUE)&gt;0,1,0),IF(VLOOKUP(A659,'装备掉落'!$A$29:$H$34,3,TRUE)&gt;0,2,0),IF(VLOOKUP(A659,'装备掉落'!$A$29:$H$34,4,TRUE)&gt;0,3,0),IF(VLOOKUP(A659,'装备掉落'!$A$29:$H$34,5,TRUE)&gt;0,4,0),IF(VLOOKUP(A659,'装备掉落'!$A$29:$H$34,6,TRUE)&gt;0,5,0),IF(VLOOKUP(A659,'装备掉落'!$A$29:$H$34,7,TRUE)&gt;0,6,0),IF(VLOOKUP(A659,'装备掉落'!$A$29:$H$34,8,TRUE)&gt;0,7,0))</x:f>
        <x:v>7</x:v>
      </x:c>
      <x:c r="T659" s="119" t="n">
        <x:f>MIN(7,S659+'经济参数'!$E$70)</x:f>
        <x:v>7</x:v>
      </x:c>
      <x:c r="U659" s="119" t="n">
        <x:f>MIN(7,S659+'经济参数'!$E$71)</x:f>
        <x:v>7</x:v>
      </x:c>
      <x:c r="V659" s="119" t="n">
        <x:f>IF(H659&gt;=('难度参数'!$E$52),1,0)+IF(H659&gt;=('难度参数'!$E$52+'难度参数'!$E$53),1,0)+IF(H659&gt;=('难度参数'!$E$52+'难度参数'!$E$53+'难度参数'!$E$54),1,0)+IF(H659&gt;=('难度参数'!$E$52+'难度参数'!$E$53+'难度参数'!$E$54+'难度参数'!$E$55),1,0)+IF(H659&gt;=('难度参数'!$E$52+'难度参数'!$E$53+'难度参数'!$E$54+'难度参数'!$E$55+'难度参数'!$E$56),1,0)+IF(H659&gt;=('难度参数'!$E$52+'难度参数'!$E$53+'难度参数'!$E$54+'难度参数'!$E$55+'难度参数'!$E$56+'难度参数'!$E$57),1,0)</x:f>
        <x:v>6</x:v>
      </x:c>
      <x:c r="W659" s="62" t="str">
        <x:f>IF(L659&gt;'难度参数'!$E$51,"仅出怪已超目标","还需实测")</x:f>
        <x:v>仅出怪已超目标</x:v>
      </x:c>
      <x:c r="X659" s="119" t="n">
        <x:f>IF(1&gt;D659,0,MAX(2,MIN('难度参数'!$E$12,ROUND(('难度参数'!$E$18*POWER(A659,'难度参数'!$E$19)/D659*(0.85+0.3*(1-1)/MAX(1,D659-1))),0)+F659)))</x:f>
        <x:v>39</x:v>
      </x:c>
      <x:c r="Y659" s="119" t="n">
        <x:f>IF(1&gt;D659,0,ROUND(('难度参数'!$E$13*POWER(A659,'难度参数'!$E$20)*MIN('难度参数'!$E$23,1+MAX(0,A659-'难度参数'!$E$21)*'难度参数'!$E$22))*(36+1*7)/(36+7*(D659+1)/2)*E659,0))</x:f>
        <x:v>9646</x:v>
      </x:c>
      <x:c r="Z659" s="119" t="n">
        <x:f>IF(X659=0,0,(X659-IF(1=D659,1,0))*ROUND(Y659*VLOOKUP(INDEX('章节与怪物'!$E$31:$K$37,B659,1),'章节与怪物'!$A$41:$F$44,2,FALSE),0)+IF(1=D659,ROUND(Y659*'难度参数'!$E$28*'章节与怪物'!$E$17,0),0))</x:f>
        <x:v>376194</x:v>
      </x:c>
      <x:c r="AA659" s="119" t="n">
        <x:f>IF(X659=0,0,(X659-IF(1=D659,1,0))*VLOOKUP(INDEX('章节与怪物'!$E$31:$K$37,B659,1),'章节与怪物'!$A$41:$F$44,4,FALSE)+IF(1=D659,'难度参数'!$E$30,0))</x:f>
        <x:v>702</x:v>
      </x:c>
      <x:c r="AB659" s="119" t="n">
        <x:f>IF(2&gt;D659,0,MAX(2,MIN('难度参数'!$E$12,ROUND(('难度参数'!$E$18*POWER(A659,'难度参数'!$E$19)/D659*(0.85+0.3*(2-1)/MAX(1,D659-1))),0)+F659)))</x:f>
        <x:v>41</x:v>
      </x:c>
      <x:c r="AC659" s="119" t="n">
        <x:f>IF(2&gt;D659,0,ROUND(('难度参数'!$E$13*POWER(A659,'难度参数'!$E$20)*MIN('难度参数'!$E$23,1+MAX(0,A659-'难度参数'!$E$21)*'难度参数'!$E$22))*(36+2*7)/(36+7*(D659+1)/2)*E659,0))</x:f>
        <x:v>11217</x:v>
      </x:c>
      <x:c r="AD659" s="119" t="n">
        <x:f>IF(AB659=0,0,(AB659-IF(2=D659,1,0))*ROUND(AC659*VLOOKUP(INDEX('章节与怪物'!$E$31:$K$37,B659,2),'章节与怪物'!$A$41:$F$44,2,FALSE),0)+IF(2=D659,ROUND(AC659*'难度参数'!$E$28*'章节与怪物'!$E$17,0),0))</x:f>
        <x:v>331116</x:v>
      </x:c>
      <x:c r="AE659" s="119" t="n">
        <x:f>IF(AB659=0,0,(AB659-IF(2=D659,1,0))*VLOOKUP(INDEX('章节与怪物'!$E$31:$K$37,B659,2),'章节与怪物'!$A$41:$F$44,4,FALSE)+IF(2=D659,'难度参数'!$E$30,0))</x:f>
        <x:v>820</x:v>
      </x:c>
      <x:c r="AF659" s="119" t="n">
        <x:f>IF(3&gt;D659,0,MAX(2,MIN('难度参数'!$E$12,ROUND(('难度参数'!$E$18*POWER(A659,'难度参数'!$E$19)/D659*(0.85+0.3*(3-1)/MAX(1,D659-1))),0)+F659)))</x:f>
        <x:v>43</x:v>
      </x:c>
      <x:c r="AG659" s="119" t="n">
        <x:f>IF(3&gt;D659,0,ROUND(('难度参数'!$E$13*POWER(A659,'难度参数'!$E$20)*MIN('难度参数'!$E$23,1+MAX(0,A659-'难度参数'!$E$21)*'难度参数'!$E$22))*(36+3*7)/(36+7*(D659+1)/2)*E659,0))</x:f>
        <x:v>12787</x:v>
      </x:c>
      <x:c r="AH659" s="119" t="n">
        <x:f>IF(AF659=0,0,(AF659-IF(3=D659,1,0))*ROUND(AG659*VLOOKUP(INDEX('章节与怪物'!$E$31:$K$37,B659,3),'章节与怪物'!$A$41:$F$44,2,FALSE),0)+IF(3=D659,ROUND(AG659*'难度参数'!$E$28*'章节与怪物'!$E$17,0),0))</x:f>
        <x:v>934734</x:v>
      </x:c>
      <x:c r="AI659" s="119" t="n">
        <x:f>IF(AF659=0,0,(AF659-IF(3=D659,1,0))*VLOOKUP(INDEX('章节与怪物'!$E$31:$K$37,B659,3),'章节与怪物'!$A$41:$F$44,4,FALSE)+IF(3=D659,'难度参数'!$E$30,0))</x:f>
        <x:v>1204</x:v>
      </x:c>
      <x:c r="AJ659" s="119" t="n">
        <x:f>IF(4&gt;D659,0,MAX(2,MIN('难度参数'!$E$12,ROUND(('难度参数'!$E$18*POWER(A659,'难度参数'!$E$19)/D659*(0.85+0.3*(4-1)/MAX(1,D659-1))),0)+F659)))</x:f>
        <x:v>46</x:v>
      </x:c>
      <x:c r="AK659" s="119" t="n">
        <x:f>IF(4&gt;D659,0,ROUND(('难度参数'!$E$13*POWER(A659,'难度参数'!$E$20)*MIN('难度参数'!$E$23,1+MAX(0,A659-'难度参数'!$E$21)*'难度参数'!$E$22))*(36+4*7)/(36+7*(D659+1)/2)*E659,0))</x:f>
        <x:v>14357</x:v>
      </x:c>
      <x:c r="AL659" s="119" t="n">
        <x:f>IF(AJ659=0,0,(AJ659-IF(4=D659,1,0))*ROUND(AK659*VLOOKUP(INDEX('章节与怪物'!$E$31:$K$37,B659,4),'章节与怪物'!$A$41:$F$44,2,FALSE),0)+IF(4=D659,ROUND(AK659*'难度参数'!$E$28*'章节与怪物'!$E$17,0),0))</x:f>
        <x:v>891572</x:v>
      </x:c>
      <x:c r="AM659" s="119" t="n">
        <x:f>IF(AJ659=0,0,(AJ659-IF(4=D659,1,0))*VLOOKUP(INDEX('章节与怪物'!$E$31:$K$37,B659,4),'章节与怪物'!$A$41:$F$44,4,FALSE)+IF(4=D659,'难度参数'!$E$30,0))</x:f>
        <x:v>1564</x:v>
      </x:c>
      <x:c r="AN659" s="119" t="n">
        <x:f>IF(5&gt;D659,0,MAX(2,MIN('难度参数'!$E$12,ROUND(('难度参数'!$E$18*POWER(A659,'难度参数'!$E$19)/D659*(0.85+0.3*(5-1)/MAX(1,D659-1))),0)+F659)))</x:f>
        <x:v>48</x:v>
      </x:c>
      <x:c r="AO659" s="119" t="n">
        <x:f>IF(5&gt;D659,0,ROUND(('难度参数'!$E$13*POWER(A659,'难度参数'!$E$20)*MIN('难度参数'!$E$23,1+MAX(0,A659-'难度参数'!$E$21)*'难度参数'!$E$22))*(36+5*7)/(36+7*(D659+1)/2)*E659,0))</x:f>
        <x:v>15928</x:v>
      </x:c>
      <x:c r="AP659" s="119" t="n">
        <x:f>IF(AN659=0,0,(AN659-IF(5=D659,1,0))*ROUND(AO659*VLOOKUP(INDEX('章节与怪物'!$E$31:$K$37,B659,5),'章节与怪物'!$A$41:$F$44,2,FALSE),0)+IF(5=D659,ROUND(AO659*'难度参数'!$E$28*'章节与怪物'!$E$17,0),0))</x:f>
        <x:v>550464</x:v>
      </x:c>
      <x:c r="AQ659" s="119" t="n">
        <x:f>IF(AN659=0,0,(AN659-IF(5=D659,1,0))*VLOOKUP(INDEX('章节与怪物'!$E$31:$K$37,B659,5),'章节与怪物'!$A$41:$F$44,4,FALSE)+IF(5=D659,'难度参数'!$E$30,0))</x:f>
        <x:v>960</x:v>
      </x:c>
      <x:c r="AR659" s="119" t="n">
        <x:f>IF(6&gt;D659,0,MAX(2,MIN('难度参数'!$E$12,ROUND(('难度参数'!$E$18*POWER(A659,'难度参数'!$E$19)/D659*(0.85+0.3*(6-1)/MAX(1,D659-1))),0)+F659)))</x:f>
        <x:v>50</x:v>
      </x:c>
      <x:c r="AS659" s="119" t="n">
        <x:f>IF(6&gt;D659,0,ROUND(('难度参数'!$E$13*POWER(A659,'难度参数'!$E$20)*MIN('难度参数'!$E$23,1+MAX(0,A659-'难度参数'!$E$21)*'难度参数'!$E$22))*(36+6*7)/(36+7*(D659+1)/2)*E659,0))</x:f>
        <x:v>17498</x:v>
      </x:c>
      <x:c r="AT659" s="119" t="n">
        <x:f>IF(AR659=0,0,(AR659-IF(6=D659,1,0))*ROUND(AS659*VLOOKUP(INDEX('章节与怪物'!$E$31:$K$37,B659,6),'章节与怪物'!$A$41:$F$44,2,FALSE),0)+IF(6=D659,ROUND(AS659*'难度参数'!$E$28*'章节与怪物'!$E$17,0),0))</x:f>
        <x:v>1487350</x:v>
      </x:c>
      <x:c r="AU659" s="119" t="n">
        <x:f>IF(AR659=0,0,(AR659-IF(6=D659,1,0))*VLOOKUP(INDEX('章节与怪物'!$E$31:$K$37,B659,6),'章节与怪物'!$A$41:$F$44,4,FALSE)+IF(6=D659,'难度参数'!$E$30,0))</x:f>
        <x:v>1400</x:v>
      </x:c>
      <x:c r="AV659" s="119" t="n">
        <x:f>IF(7&gt;D659,0,MAX(2,MIN('难度参数'!$E$12,ROUND(('难度参数'!$E$18*POWER(A659,'难度参数'!$E$19)/D659*(0.85+0.3*(7-1)/MAX(1,D659-1))),0)+F659)))</x:f>
        <x:v>52</x:v>
      </x:c>
      <x:c r="AW659" s="119" t="n">
        <x:f>IF(7&gt;D659,0,ROUND(('难度参数'!$E$13*POWER(A659,'难度参数'!$E$20)*MIN('难度参数'!$E$23,1+MAX(0,A659-'难度参数'!$E$21)*'难度参数'!$E$22))*(36+7*7)/(36+7*(D659+1)/2)*E659,0))</x:f>
        <x:v>19068</x:v>
      </x:c>
      <x:c r="AX659" s="119" t="n">
        <x:f>IF(AV659=0,0,(AV659-IF(7=D659,1,0))*ROUND(AW659*VLOOKUP(INDEX('章节与怪物'!$E$31:$K$37,B659,7),'章节与怪物'!$A$41:$F$44,2,FALSE),0)+IF(7=D659,ROUND(AW659*'难度参数'!$E$28*'章节与怪物'!$E$17,0),0))</x:f>
        <x:v>1442504</x:v>
      </x:c>
      <x:c r="AY659" s="119" t="n">
        <x:f>IF(AV659=0,0,(AV659-IF(7=D659,1,0))*VLOOKUP(INDEX('章节与怪物'!$E$31:$K$37,B659,7),'章节与怪物'!$A$41:$F$44,4,FALSE)+IF(7=D659,'难度参数'!$E$30,0))</x:f>
        <x:v>1934</x:v>
      </x:c>
    </x:row>
    <x:row r="660" ht="23" customHeight="1">
      <x:c r="A660" s="119" t="n">
        <x:v>654</x:v>
      </x:c>
      <x:c r="B660" s="119" t="n">
        <x:f>MOD(INT((A660-1)/5),7)+1</x:f>
        <x:v>5</x:v>
      </x:c>
      <x:c r="C660" s="62" t="str">
        <x:f>INDEX('章节与怪物'!$B$31:$B$37,B660)</x:f>
        <x:v>雨林遗迹</x:v>
      </x:c>
      <x:c r="D660" s="119" t="n">
        <x:f>MIN('难度参数'!$E$8,MAX('难度参数'!$E$7,A660))</x:f>
        <x:v>7</x:v>
      </x:c>
      <x:c r="E660" s="106" t="n">
        <x:v>1</x:v>
      </x:c>
      <x:c r="F660" s="106" t="n">
        <x:v>0</x:v>
      </x:c>
      <x:c r="G660" s="106" t="n">
        <x:v>1</x:v>
      </x:c>
      <x:c r="H660" s="119" t="n">
        <x:f>SUM(X660,AB660,AF660,AJ660,AN660,AR660,AV660)</x:f>
        <x:v>319</x:v>
      </x:c>
      <x:c r="I660" s="119" t="n">
        <x:f>SUM(Z660,AD660,AH660,AL660,AP660,AT660,AX660)</x:f>
        <x:v>6020523</x:v>
      </x:c>
      <x:c r="J660" s="119" t="n">
        <x:f>ROUND(INDEX(X660:AY660,1,(D660-1)*4+2)*'难度参数'!$E$28*'章节与怪物'!$E$17,0)</x:f>
        <x:v>129805</x:v>
      </x:c>
      <x:c r="K660" s="119" t="n">
        <x:f>SUM(AA660,AE660,AI660,AM660,AQ660,AU660,AY660)</x:f>
        <x:v>8584</x:v>
      </x:c>
      <x:c r="L660" s="62" t="n">
        <x:f>H660*(ROUNDUP('难度参数'!$E$24/('难度参数'!$E$26*'难度参数'!$E$27),0)*'难度参数'!$E$26)/60</x:f>
        <x:v>4.253333333333334</x:v>
      </x:c>
      <x:c r="M660" s="62" t="n">
        <x:f>L660+D660*('难度参数'!$E$49+'难度参数'!$E$50)/60</x:f>
        <x:v>5.420000000000001</x:v>
      </x:c>
      <x:c r="N660" s="119" t="n">
        <x:f>ROUNDDOWN(('经济参数'!$E$20+A660*'经济参数'!$E$21)*G660,0)</x:f>
        <x:v>13260</x:v>
      </x:c>
      <x:c r="O660" s="119" t="n">
        <x:f>ROUNDDOWN(MIN('经济参数'!$E$24,'经济参数'!$E$22+A660*'经济参数'!$E$23)*G660,0)</x:f>
        <x:v>0</x:v>
      </x:c>
      <x:c r="P660" s="119" t="n">
        <x:f>ROUNDDOWN((IF(A660&gt;='材料与任务'!$E$31,'材料与任务'!$E$32,IF(A660&gt;='材料与任务'!$E$25,'材料与任务'!$E$26,IF(A660&gt;='材料与任务'!$E$19,'材料与任务'!$E$20,IF(A660&gt;='材料与任务'!$E$13,'材料与任务'!$E$14,'材料与任务'!$E$8)))))*G660,0)</x:f>
        <x:v>6</x:v>
      </x:c>
      <x:c r="Q660" s="119" t="n">
        <x:f>ROUNDDOWN((IF(A660&gt;='材料与任务'!$E$31,'材料与任务'!$E$33,IF(A660&gt;='材料与任务'!$E$25,'材料与任务'!$E$27,IF(A660&gt;='材料与任务'!$E$19,'材料与任务'!$E$21,IF(A660&gt;='材料与任务'!$E$13,'材料与任务'!$E$15,'材料与任务'!$E$9)))))*G660,0)</x:f>
        <x:v>3</x:v>
      </x:c>
      <x:c r="R660" s="110" t="n">
        <x:f>'装备掉落'!$B$38</x:f>
        <x:v>0.6872058758851213</x:v>
      </x:c>
      <x:c r="S660" s="119" t="n">
        <x:f>MAX(IF(VLOOKUP(A660,'装备掉落'!$A$29:$H$34,2,TRUE)&gt;0,1,0),IF(VLOOKUP(A660,'装备掉落'!$A$29:$H$34,3,TRUE)&gt;0,2,0),IF(VLOOKUP(A660,'装备掉落'!$A$29:$H$34,4,TRUE)&gt;0,3,0),IF(VLOOKUP(A660,'装备掉落'!$A$29:$H$34,5,TRUE)&gt;0,4,0),IF(VLOOKUP(A660,'装备掉落'!$A$29:$H$34,6,TRUE)&gt;0,5,0),IF(VLOOKUP(A660,'装备掉落'!$A$29:$H$34,7,TRUE)&gt;0,6,0),IF(VLOOKUP(A660,'装备掉落'!$A$29:$H$34,8,TRUE)&gt;0,7,0))</x:f>
        <x:v>7</x:v>
      </x:c>
      <x:c r="T660" s="119" t="n">
        <x:f>MIN(7,S660+'经济参数'!$E$70)</x:f>
        <x:v>7</x:v>
      </x:c>
      <x:c r="U660" s="119" t="n">
        <x:f>MIN(7,S660+'经济参数'!$E$71)</x:f>
        <x:v>7</x:v>
      </x:c>
      <x:c r="V660" s="119" t="n">
        <x:f>IF(H660&gt;=('难度参数'!$E$52),1,0)+IF(H660&gt;=('难度参数'!$E$52+'难度参数'!$E$53),1,0)+IF(H660&gt;=('难度参数'!$E$52+'难度参数'!$E$53+'难度参数'!$E$54),1,0)+IF(H660&gt;=('难度参数'!$E$52+'难度参数'!$E$53+'难度参数'!$E$54+'难度参数'!$E$55),1,0)+IF(H660&gt;=('难度参数'!$E$52+'难度参数'!$E$53+'难度参数'!$E$54+'难度参数'!$E$55+'难度参数'!$E$56),1,0)+IF(H660&gt;=('难度参数'!$E$52+'难度参数'!$E$53+'难度参数'!$E$54+'难度参数'!$E$55+'难度参数'!$E$56+'难度参数'!$E$57),1,0)</x:f>
        <x:v>6</x:v>
      </x:c>
      <x:c r="W660" s="62" t="str">
        <x:f>IF(L660&gt;'难度参数'!$E$51,"仅出怪已超目标","还需实测")</x:f>
        <x:v>仅出怪已超目标</x:v>
      </x:c>
      <x:c r="X660" s="119" t="n">
        <x:f>IF(1&gt;D660,0,MAX(2,MIN('难度参数'!$E$12,ROUND(('难度参数'!$E$18*POWER(A660,'难度参数'!$E$19)/D660*(0.85+0.3*(1-1)/MAX(1,D660-1))),0)+F660)))</x:f>
        <x:v>39</x:v>
      </x:c>
      <x:c r="Y660" s="119" t="n">
        <x:f>IF(1&gt;D660,0,ROUND(('难度参数'!$E$13*POWER(A660,'难度参数'!$E$20)*MIN('难度参数'!$E$23,1+MAX(0,A660-'难度参数'!$E$21)*'难度参数'!$E$22))*(36+1*7)/(36+7*(D660+1)/2)*E660,0))</x:f>
        <x:v>9657</x:v>
      </x:c>
      <x:c r="Z660" s="119" t="n">
        <x:f>IF(X660=0,0,(X660-IF(1=D660,1,0))*ROUND(Y660*VLOOKUP(INDEX('章节与怪物'!$E$31:$K$37,B660,1),'章节与怪物'!$A$41:$F$44,2,FALSE),0)+IF(1=D660,ROUND(Y660*'难度参数'!$E$28*'章节与怪物'!$E$17,0),0))</x:f>
        <x:v>376623</x:v>
      </x:c>
      <x:c r="AA660" s="119" t="n">
        <x:f>IF(X660=0,0,(X660-IF(1=D660,1,0))*VLOOKUP(INDEX('章节与怪物'!$E$31:$K$37,B660,1),'章节与怪物'!$A$41:$F$44,4,FALSE)+IF(1=D660,'难度参数'!$E$30,0))</x:f>
        <x:v>702</x:v>
      </x:c>
      <x:c r="AB660" s="119" t="n">
        <x:f>IF(2&gt;D660,0,MAX(2,MIN('难度参数'!$E$12,ROUND(('难度参数'!$E$18*POWER(A660,'难度参数'!$E$19)/D660*(0.85+0.3*(2-1)/MAX(1,D660-1))),0)+F660)))</x:f>
        <x:v>41</x:v>
      </x:c>
      <x:c r="AC660" s="119" t="n">
        <x:f>IF(2&gt;D660,0,ROUND(('难度参数'!$E$13*POWER(A660,'难度参数'!$E$20)*MIN('难度参数'!$E$23,1+MAX(0,A660-'难度参数'!$E$21)*'难度参数'!$E$22))*(36+2*7)/(36+7*(D660+1)/2)*E660,0))</x:f>
        <x:v>11229</x:v>
      </x:c>
      <x:c r="AD660" s="119" t="n">
        <x:f>IF(AB660=0,0,(AB660-IF(2=D660,1,0))*ROUND(AC660*VLOOKUP(INDEX('章节与怪物'!$E$31:$K$37,B660,2),'章节与怪物'!$A$41:$F$44,2,FALSE),0)+IF(2=D660,ROUND(AC660*'难度参数'!$E$28*'章节与怪物'!$E$17,0),0))</x:f>
        <x:v>331485</x:v>
      </x:c>
      <x:c r="AE660" s="119" t="n">
        <x:f>IF(AB660=0,0,(AB660-IF(2=D660,1,0))*VLOOKUP(INDEX('章节与怪物'!$E$31:$K$37,B660,2),'章节与怪物'!$A$41:$F$44,4,FALSE)+IF(2=D660,'难度参数'!$E$30,0))</x:f>
        <x:v>820</x:v>
      </x:c>
      <x:c r="AF660" s="119" t="n">
        <x:f>IF(3&gt;D660,0,MAX(2,MIN('难度参数'!$E$12,ROUND(('难度参数'!$E$18*POWER(A660,'难度参数'!$E$19)/D660*(0.85+0.3*(3-1)/MAX(1,D660-1))),0)+F660)))</x:f>
        <x:v>43</x:v>
      </x:c>
      <x:c r="AG660" s="119" t="n">
        <x:f>IF(3&gt;D660,0,ROUND(('难度参数'!$E$13*POWER(A660,'难度参数'!$E$20)*MIN('难度参数'!$E$23,1+MAX(0,A660-'难度参数'!$E$21)*'难度参数'!$E$22))*(36+3*7)/(36+7*(D660+1)/2)*E660,0))</x:f>
        <x:v>12801</x:v>
      </x:c>
      <x:c r="AH660" s="119" t="n">
        <x:f>IF(AF660=0,0,(AF660-IF(3=D660,1,0))*ROUND(AG660*VLOOKUP(INDEX('章节与怪物'!$E$31:$K$37,B660,3),'章节与怪物'!$A$41:$F$44,2,FALSE),0)+IF(3=D660,ROUND(AG660*'难度参数'!$E$28*'章节与怪物'!$E$17,0),0))</x:f>
        <x:v>935766</x:v>
      </x:c>
      <x:c r="AI660" s="119" t="n">
        <x:f>IF(AF660=0,0,(AF660-IF(3=D660,1,0))*VLOOKUP(INDEX('章节与怪物'!$E$31:$K$37,B660,3),'章节与怪物'!$A$41:$F$44,4,FALSE)+IF(3=D660,'难度参数'!$E$30,0))</x:f>
        <x:v>1204</x:v>
      </x:c>
      <x:c r="AJ660" s="119" t="n">
        <x:f>IF(4&gt;D660,0,MAX(2,MIN('难度参数'!$E$12,ROUND(('难度参数'!$E$18*POWER(A660,'难度参数'!$E$19)/D660*(0.85+0.3*(4-1)/MAX(1,D660-1))),0)+F660)))</x:f>
        <x:v>46</x:v>
      </x:c>
      <x:c r="AK660" s="119" t="n">
        <x:f>IF(4&gt;D660,0,ROUND(('难度参数'!$E$13*POWER(A660,'难度参数'!$E$20)*MIN('难度参数'!$E$23,1+MAX(0,A660-'难度参数'!$E$21)*'难度参数'!$E$22))*(36+4*7)/(36+7*(D660+1)/2)*E660,0))</x:f>
        <x:v>14373</x:v>
      </x:c>
      <x:c r="AL660" s="119" t="n">
        <x:f>IF(AJ660=0,0,(AJ660-IF(4=D660,1,0))*ROUND(AK660*VLOOKUP(INDEX('章节与怪物'!$E$31:$K$37,B660,4),'章节与怪物'!$A$41:$F$44,2,FALSE),0)+IF(4=D660,ROUND(AK660*'难度参数'!$E$28*'章节与怪物'!$E$17,0),0))</x:f>
        <x:v>892584</x:v>
      </x:c>
      <x:c r="AM660" s="119" t="n">
        <x:f>IF(AJ660=0,0,(AJ660-IF(4=D660,1,0))*VLOOKUP(INDEX('章节与怪物'!$E$31:$K$37,B660,4),'章节与怪物'!$A$41:$F$44,4,FALSE)+IF(4=D660,'难度参数'!$E$30,0))</x:f>
        <x:v>1564</x:v>
      </x:c>
      <x:c r="AN660" s="119" t="n">
        <x:f>IF(5&gt;D660,0,MAX(2,MIN('难度参数'!$E$12,ROUND(('难度参数'!$E$18*POWER(A660,'难度参数'!$E$19)/D660*(0.85+0.3*(5-1)/MAX(1,D660-1))),0)+F660)))</x:f>
        <x:v>48</x:v>
      </x:c>
      <x:c r="AO660" s="119" t="n">
        <x:f>IF(5&gt;D660,0,ROUND(('难度参数'!$E$13*POWER(A660,'难度参数'!$E$20)*MIN('难度参数'!$E$23,1+MAX(0,A660-'难度参数'!$E$21)*'难度参数'!$E$22))*(36+5*7)/(36+7*(D660+1)/2)*E660,0))</x:f>
        <x:v>15945</x:v>
      </x:c>
      <x:c r="AP660" s="119" t="n">
        <x:f>IF(AN660=0,0,(AN660-IF(5=D660,1,0))*ROUND(AO660*VLOOKUP(INDEX('章节与怪物'!$E$31:$K$37,B660,5),'章节与怪物'!$A$41:$F$44,2,FALSE),0)+IF(5=D660,ROUND(AO660*'难度参数'!$E$28*'章节与怪物'!$E$17,0),0))</x:f>
        <x:v>551040</x:v>
      </x:c>
      <x:c r="AQ660" s="119" t="n">
        <x:f>IF(AN660=0,0,(AN660-IF(5=D660,1,0))*VLOOKUP(INDEX('章节与怪物'!$E$31:$K$37,B660,5),'章节与怪物'!$A$41:$F$44,4,FALSE)+IF(5=D660,'难度参数'!$E$30,0))</x:f>
        <x:v>960</x:v>
      </x:c>
      <x:c r="AR660" s="119" t="n">
        <x:f>IF(6&gt;D660,0,MAX(2,MIN('难度参数'!$E$12,ROUND(('难度参数'!$E$18*POWER(A660,'难度参数'!$E$19)/D660*(0.85+0.3*(6-1)/MAX(1,D660-1))),0)+F660)))</x:f>
        <x:v>50</x:v>
      </x:c>
      <x:c r="AS660" s="119" t="n">
        <x:f>IF(6&gt;D660,0,ROUND(('难度参数'!$E$13*POWER(A660,'难度参数'!$E$20)*MIN('难度参数'!$E$23,1+MAX(0,A660-'难度参数'!$E$21)*'难度参数'!$E$22))*(36+6*7)/(36+7*(D660+1)/2)*E660,0))</x:f>
        <x:v>17517</x:v>
      </x:c>
      <x:c r="AT660" s="119" t="n">
        <x:f>IF(AR660=0,0,(AR660-IF(6=D660,1,0))*ROUND(AS660*VLOOKUP(INDEX('章节与怪物'!$E$31:$K$37,B660,6),'章节与怪物'!$A$41:$F$44,2,FALSE),0)+IF(6=D660,ROUND(AS660*'难度参数'!$E$28*'章节与怪物'!$E$17,0),0))</x:f>
        <x:v>1488950</x:v>
      </x:c>
      <x:c r="AU660" s="119" t="n">
        <x:f>IF(AR660=0,0,(AR660-IF(6=D660,1,0))*VLOOKUP(INDEX('章节与怪物'!$E$31:$K$37,B660,6),'章节与怪物'!$A$41:$F$44,4,FALSE)+IF(6=D660,'难度参数'!$E$30,0))</x:f>
        <x:v>1400</x:v>
      </x:c>
      <x:c r="AV660" s="119" t="n">
        <x:f>IF(7&gt;D660,0,MAX(2,MIN('难度参数'!$E$12,ROUND(('难度参数'!$E$18*POWER(A660,'难度参数'!$E$19)/D660*(0.85+0.3*(7-1)/MAX(1,D660-1))),0)+F660)))</x:f>
        <x:v>52</x:v>
      </x:c>
      <x:c r="AW660" s="119" t="n">
        <x:f>IF(7&gt;D660,0,ROUND(('难度参数'!$E$13*POWER(A660,'难度参数'!$E$20)*MIN('难度参数'!$E$23,1+MAX(0,A660-'难度参数'!$E$21)*'难度参数'!$E$22))*(36+7*7)/(36+7*(D660+1)/2)*E660,0))</x:f>
        <x:v>19089</x:v>
      </x:c>
      <x:c r="AX660" s="119" t="n">
        <x:f>IF(AV660=0,0,(AV660-IF(7=D660,1,0))*ROUND(AW660*VLOOKUP(INDEX('章节与怪物'!$E$31:$K$37,B660,7),'章节与怪物'!$A$41:$F$44,2,FALSE),0)+IF(7=D660,ROUND(AW660*'难度参数'!$E$28*'章节与怪物'!$E$17,0),0))</x:f>
        <x:v>1444075</x:v>
      </x:c>
      <x:c r="AY660" s="119" t="n">
        <x:f>IF(AV660=0,0,(AV660-IF(7=D660,1,0))*VLOOKUP(INDEX('章节与怪物'!$E$31:$K$37,B660,7),'章节与怪物'!$A$41:$F$44,4,FALSE)+IF(7=D660,'难度参数'!$E$30,0))</x:f>
        <x:v>1934</x:v>
      </x:c>
    </x:row>
    <x:row r="661" ht="23" customHeight="1">
      <x:c r="A661" s="119" t="n">
        <x:v>655</x:v>
      </x:c>
      <x:c r="B661" s="119" t="n">
        <x:f>MOD(INT((A661-1)/5),7)+1</x:f>
        <x:v>5</x:v>
      </x:c>
      <x:c r="C661" s="62" t="str">
        <x:f>INDEX('章节与怪物'!$B$31:$B$37,B661)</x:f>
        <x:v>雨林遗迹</x:v>
      </x:c>
      <x:c r="D661" s="119" t="n">
        <x:f>MIN('难度参数'!$E$8,MAX('难度参数'!$E$7,A661))</x:f>
        <x:v>7</x:v>
      </x:c>
      <x:c r="E661" s="106" t="n">
        <x:v>1</x:v>
      </x:c>
      <x:c r="F661" s="106" t="n">
        <x:v>0</x:v>
      </x:c>
      <x:c r="G661" s="106" t="n">
        <x:v>1</x:v>
      </x:c>
      <x:c r="H661" s="119" t="n">
        <x:f>SUM(X661,AB661,AF661,AJ661,AN661,AR661,AV661)</x:f>
        <x:v>319</x:v>
      </x:c>
      <x:c r="I661" s="119" t="n">
        <x:f>SUM(Z661,AD661,AH661,AL661,AP661,AT661,AX661)</x:f>
        <x:v>6027165</x:v>
      </x:c>
      <x:c r="J661" s="119" t="n">
        <x:f>ROUND(INDEX(X661:AY661,1,(D661-1)*4+2)*'难度参数'!$E$28*'章节与怪物'!$E$17,0)</x:f>
        <x:v>129948</x:v>
      </x:c>
      <x:c r="K661" s="119" t="n">
        <x:f>SUM(AA661,AE661,AI661,AM661,AQ661,AU661,AY661)</x:f>
        <x:v>8584</x:v>
      </x:c>
      <x:c r="L661" s="62" t="n">
        <x:f>H661*(ROUNDUP('难度参数'!$E$24/('难度参数'!$E$26*'难度参数'!$E$27),0)*'难度参数'!$E$26)/60</x:f>
        <x:v>4.253333333333334</x:v>
      </x:c>
      <x:c r="M661" s="62" t="n">
        <x:f>L661+D661*('难度参数'!$E$49+'难度参数'!$E$50)/60</x:f>
        <x:v>5.420000000000001</x:v>
      </x:c>
      <x:c r="N661" s="119" t="n">
        <x:f>ROUNDDOWN(('经济参数'!$E$20+A661*'经济参数'!$E$21)*G661,0)</x:f>
        <x:v>13280</x:v>
      </x:c>
      <x:c r="O661" s="119" t="n">
        <x:f>ROUNDDOWN(MIN('经济参数'!$E$24,'经济参数'!$E$22+A661*'经济参数'!$E$23)*G661,0)</x:f>
        <x:v>0</x:v>
      </x:c>
      <x:c r="P661" s="119" t="n">
        <x:f>ROUNDDOWN((IF(A661&gt;='材料与任务'!$E$31,'材料与任务'!$E$32,IF(A661&gt;='材料与任务'!$E$25,'材料与任务'!$E$26,IF(A661&gt;='材料与任务'!$E$19,'材料与任务'!$E$20,IF(A661&gt;='材料与任务'!$E$13,'材料与任务'!$E$14,'材料与任务'!$E$8)))))*G661,0)</x:f>
        <x:v>6</x:v>
      </x:c>
      <x:c r="Q661" s="119" t="n">
        <x:f>ROUNDDOWN((IF(A661&gt;='材料与任务'!$E$31,'材料与任务'!$E$33,IF(A661&gt;='材料与任务'!$E$25,'材料与任务'!$E$27,IF(A661&gt;='材料与任务'!$E$19,'材料与任务'!$E$21,IF(A661&gt;='材料与任务'!$E$13,'材料与任务'!$E$15,'材料与任务'!$E$9)))))*G661,0)</x:f>
        <x:v>3</x:v>
      </x:c>
      <x:c r="R661" s="110" t="n">
        <x:f>'装备掉落'!$B$38</x:f>
        <x:v>0.6872058758851213</x:v>
      </x:c>
      <x:c r="S661" s="119" t="n">
        <x:f>MAX(IF(VLOOKUP(A661,'装备掉落'!$A$29:$H$34,2,TRUE)&gt;0,1,0),IF(VLOOKUP(A661,'装备掉落'!$A$29:$H$34,3,TRUE)&gt;0,2,0),IF(VLOOKUP(A661,'装备掉落'!$A$29:$H$34,4,TRUE)&gt;0,3,0),IF(VLOOKUP(A661,'装备掉落'!$A$29:$H$34,5,TRUE)&gt;0,4,0),IF(VLOOKUP(A661,'装备掉落'!$A$29:$H$34,6,TRUE)&gt;0,5,0),IF(VLOOKUP(A661,'装备掉落'!$A$29:$H$34,7,TRUE)&gt;0,6,0),IF(VLOOKUP(A661,'装备掉落'!$A$29:$H$34,8,TRUE)&gt;0,7,0))</x:f>
        <x:v>7</x:v>
      </x:c>
      <x:c r="T661" s="119" t="n">
        <x:f>MIN(7,S661+'经济参数'!$E$70)</x:f>
        <x:v>7</x:v>
      </x:c>
      <x:c r="U661" s="119" t="n">
        <x:f>MIN(7,S661+'经济参数'!$E$71)</x:f>
        <x:v>7</x:v>
      </x:c>
      <x:c r="V661" s="119" t="n">
        <x:f>IF(H661&gt;=('难度参数'!$E$52),1,0)+IF(H661&gt;=('难度参数'!$E$52+'难度参数'!$E$53),1,0)+IF(H661&gt;=('难度参数'!$E$52+'难度参数'!$E$53+'难度参数'!$E$54),1,0)+IF(H661&gt;=('难度参数'!$E$52+'难度参数'!$E$53+'难度参数'!$E$54+'难度参数'!$E$55),1,0)+IF(H661&gt;=('难度参数'!$E$52+'难度参数'!$E$53+'难度参数'!$E$54+'难度参数'!$E$55+'难度参数'!$E$56),1,0)+IF(H661&gt;=('难度参数'!$E$52+'难度参数'!$E$53+'难度参数'!$E$54+'难度参数'!$E$55+'难度参数'!$E$56+'难度参数'!$E$57),1,0)</x:f>
        <x:v>6</x:v>
      </x:c>
      <x:c r="W661" s="62" t="str">
        <x:f>IF(L661&gt;'难度参数'!$E$51,"仅出怪已超目标","还需实测")</x:f>
        <x:v>仅出怪已超目标</x:v>
      </x:c>
      <x:c r="X661" s="119" t="n">
        <x:f>IF(1&gt;D661,0,MAX(2,MIN('难度参数'!$E$12,ROUND(('难度参数'!$E$18*POWER(A661,'难度参数'!$E$19)/D661*(0.85+0.3*(1-1)/MAX(1,D661-1))),0)+F661)))</x:f>
        <x:v>39</x:v>
      </x:c>
      <x:c r="Y661" s="119" t="n">
        <x:f>IF(1&gt;D661,0,ROUND(('难度参数'!$E$13*POWER(A661,'难度参数'!$E$20)*MIN('难度参数'!$E$23,1+MAX(0,A661-'难度参数'!$E$21)*'难度参数'!$E$22))*(36+1*7)/(36+7*(D661+1)/2)*E661,0))</x:f>
        <x:v>9668</x:v>
      </x:c>
      <x:c r="Z661" s="119" t="n">
        <x:f>IF(X661=0,0,(X661-IF(1=D661,1,0))*ROUND(Y661*VLOOKUP(INDEX('章节与怪物'!$E$31:$K$37,B661,1),'章节与怪物'!$A$41:$F$44,2,FALSE),0)+IF(1=D661,ROUND(Y661*'难度参数'!$E$28*'章节与怪物'!$E$17,0),0))</x:f>
        <x:v>377052</x:v>
      </x:c>
      <x:c r="AA661" s="119" t="n">
        <x:f>IF(X661=0,0,(X661-IF(1=D661,1,0))*VLOOKUP(INDEX('章节与怪物'!$E$31:$K$37,B661,1),'章节与怪物'!$A$41:$F$44,4,FALSE)+IF(1=D661,'难度参数'!$E$30,0))</x:f>
        <x:v>702</x:v>
      </x:c>
      <x:c r="AB661" s="119" t="n">
        <x:f>IF(2&gt;D661,0,MAX(2,MIN('难度参数'!$E$12,ROUND(('难度参数'!$E$18*POWER(A661,'难度参数'!$E$19)/D661*(0.85+0.3*(2-1)/MAX(1,D661-1))),0)+F661)))</x:f>
        <x:v>41</x:v>
      </x:c>
      <x:c r="AC661" s="119" t="n">
        <x:f>IF(2&gt;D661,0,ROUND(('难度参数'!$E$13*POWER(A661,'难度参数'!$E$20)*MIN('难度参数'!$E$23,1+MAX(0,A661-'难度参数'!$E$21)*'难度参数'!$E$22))*(36+2*7)/(36+7*(D661+1)/2)*E661,0))</x:f>
        <x:v>11241</x:v>
      </x:c>
      <x:c r="AD661" s="119" t="n">
        <x:f>IF(AB661=0,0,(AB661-IF(2=D661,1,0))*ROUND(AC661*VLOOKUP(INDEX('章节与怪物'!$E$31:$K$37,B661,2),'章节与怪物'!$A$41:$F$44,2,FALSE),0)+IF(2=D661,ROUND(AC661*'难度参数'!$E$28*'章节与怪物'!$E$17,0),0))</x:f>
        <x:v>331854</x:v>
      </x:c>
      <x:c r="AE661" s="119" t="n">
        <x:f>IF(AB661=0,0,(AB661-IF(2=D661,1,0))*VLOOKUP(INDEX('章节与怪物'!$E$31:$K$37,B661,2),'章节与怪物'!$A$41:$F$44,4,FALSE)+IF(2=D661,'难度参数'!$E$30,0))</x:f>
        <x:v>820</x:v>
      </x:c>
      <x:c r="AF661" s="119" t="n">
        <x:f>IF(3&gt;D661,0,MAX(2,MIN('难度参数'!$E$12,ROUND(('难度参数'!$E$18*POWER(A661,'难度参数'!$E$19)/D661*(0.85+0.3*(3-1)/MAX(1,D661-1))),0)+F661)))</x:f>
        <x:v>43</x:v>
      </x:c>
      <x:c r="AG661" s="119" t="n">
        <x:f>IF(3&gt;D661,0,ROUND(('难度参数'!$E$13*POWER(A661,'难度参数'!$E$20)*MIN('难度参数'!$E$23,1+MAX(0,A661-'难度参数'!$E$21)*'难度参数'!$E$22))*(36+3*7)/(36+7*(D661+1)/2)*E661,0))</x:f>
        <x:v>12815</x:v>
      </x:c>
      <x:c r="AH661" s="119" t="n">
        <x:f>IF(AF661=0,0,(AF661-IF(3=D661,1,0))*ROUND(AG661*VLOOKUP(INDEX('章节与怪物'!$E$31:$K$37,B661,3),'章节与怪物'!$A$41:$F$44,2,FALSE),0)+IF(3=D661,ROUND(AG661*'难度参数'!$E$28*'章节与怪物'!$E$17,0),0))</x:f>
        <x:v>936798</x:v>
      </x:c>
      <x:c r="AI661" s="119" t="n">
        <x:f>IF(AF661=0,0,(AF661-IF(3=D661,1,0))*VLOOKUP(INDEX('章节与怪物'!$E$31:$K$37,B661,3),'章节与怪物'!$A$41:$F$44,4,FALSE)+IF(3=D661,'难度参数'!$E$30,0))</x:f>
        <x:v>1204</x:v>
      </x:c>
      <x:c r="AJ661" s="119" t="n">
        <x:f>IF(4&gt;D661,0,MAX(2,MIN('难度参数'!$E$12,ROUND(('难度参数'!$E$18*POWER(A661,'难度参数'!$E$19)/D661*(0.85+0.3*(4-1)/MAX(1,D661-1))),0)+F661)))</x:f>
        <x:v>46</x:v>
      </x:c>
      <x:c r="AK661" s="119" t="n">
        <x:f>IF(4&gt;D661,0,ROUND(('难度参数'!$E$13*POWER(A661,'难度参数'!$E$20)*MIN('难度参数'!$E$23,1+MAX(0,A661-'难度参数'!$E$21)*'难度参数'!$E$22))*(36+4*7)/(36+7*(D661+1)/2)*E661,0))</x:f>
        <x:v>14389</x:v>
      </x:c>
      <x:c r="AL661" s="119" t="n">
        <x:f>IF(AJ661=0,0,(AJ661-IF(4=D661,1,0))*ROUND(AK661*VLOOKUP(INDEX('章节与怪物'!$E$31:$K$37,B661,4),'章节与怪物'!$A$41:$F$44,2,FALSE),0)+IF(4=D661,ROUND(AK661*'难度参数'!$E$28*'章节与怪物'!$E$17,0),0))</x:f>
        <x:v>893550</x:v>
      </x:c>
      <x:c r="AM661" s="119" t="n">
        <x:f>IF(AJ661=0,0,(AJ661-IF(4=D661,1,0))*VLOOKUP(INDEX('章节与怪物'!$E$31:$K$37,B661,4),'章节与怪物'!$A$41:$F$44,4,FALSE)+IF(4=D661,'难度参数'!$E$30,0))</x:f>
        <x:v>1564</x:v>
      </x:c>
      <x:c r="AN661" s="119" t="n">
        <x:f>IF(5&gt;D661,0,MAX(2,MIN('难度参数'!$E$12,ROUND(('难度参数'!$E$18*POWER(A661,'难度参数'!$E$19)/D661*(0.85+0.3*(5-1)/MAX(1,D661-1))),0)+F661)))</x:f>
        <x:v>48</x:v>
      </x:c>
      <x:c r="AO661" s="119" t="n">
        <x:f>IF(5&gt;D661,0,ROUND(('难度参数'!$E$13*POWER(A661,'难度参数'!$E$20)*MIN('难度参数'!$E$23,1+MAX(0,A661-'难度参数'!$E$21)*'难度参数'!$E$22))*(36+5*7)/(36+7*(D661+1)/2)*E661,0))</x:f>
        <x:v>15963</x:v>
      </x:c>
      <x:c r="AP661" s="119" t="n">
        <x:f>IF(AN661=0,0,(AN661-IF(5=D661,1,0))*ROUND(AO661*VLOOKUP(INDEX('章节与怪物'!$E$31:$K$37,B661,5),'章节与怪物'!$A$41:$F$44,2,FALSE),0)+IF(5=D661,ROUND(AO661*'难度参数'!$E$28*'章节与怪物'!$E$17,0),0))</x:f>
        <x:v>551664</x:v>
      </x:c>
      <x:c r="AQ661" s="119" t="n">
        <x:f>IF(AN661=0,0,(AN661-IF(5=D661,1,0))*VLOOKUP(INDEX('章节与怪物'!$E$31:$K$37,B661,5),'章节与怪物'!$A$41:$F$44,4,FALSE)+IF(5=D661,'难度参数'!$E$30,0))</x:f>
        <x:v>960</x:v>
      </x:c>
      <x:c r="AR661" s="119" t="n">
        <x:f>IF(6&gt;D661,0,MAX(2,MIN('难度参数'!$E$12,ROUND(('难度参数'!$E$18*POWER(A661,'难度参数'!$E$19)/D661*(0.85+0.3*(6-1)/MAX(1,D661-1))),0)+F661)))</x:f>
        <x:v>50</x:v>
      </x:c>
      <x:c r="AS661" s="119" t="n">
        <x:f>IF(6&gt;D661,0,ROUND(('难度参数'!$E$13*POWER(A661,'难度参数'!$E$20)*MIN('难度参数'!$E$23,1+MAX(0,A661-'难度参数'!$E$21)*'难度参数'!$E$22))*(36+6*7)/(36+7*(D661+1)/2)*E661,0))</x:f>
        <x:v>17536</x:v>
      </x:c>
      <x:c r="AT661" s="119" t="n">
        <x:f>IF(AR661=0,0,(AR661-IF(6=D661,1,0))*ROUND(AS661*VLOOKUP(INDEX('章节与怪物'!$E$31:$K$37,B661,6),'章节与怪物'!$A$41:$F$44,2,FALSE),0)+IF(6=D661,ROUND(AS661*'难度参数'!$E$28*'章节与怪物'!$E$17,0),0))</x:f>
        <x:v>1490550</x:v>
      </x:c>
      <x:c r="AU661" s="119" t="n">
        <x:f>IF(AR661=0,0,(AR661-IF(6=D661,1,0))*VLOOKUP(INDEX('章节与怪物'!$E$31:$K$37,B661,6),'章节与怪物'!$A$41:$F$44,4,FALSE)+IF(6=D661,'难度参数'!$E$30,0))</x:f>
        <x:v>1400</x:v>
      </x:c>
      <x:c r="AV661" s="119" t="n">
        <x:f>IF(7&gt;D661,0,MAX(2,MIN('难度参数'!$E$12,ROUND(('难度参数'!$E$18*POWER(A661,'难度参数'!$E$19)/D661*(0.85+0.3*(7-1)/MAX(1,D661-1))),0)+F661)))</x:f>
        <x:v>52</x:v>
      </x:c>
      <x:c r="AW661" s="119" t="n">
        <x:f>IF(7&gt;D661,0,ROUND(('难度参数'!$E$13*POWER(A661,'难度参数'!$E$20)*MIN('难度参数'!$E$23,1+MAX(0,A661-'难度参数'!$E$21)*'难度参数'!$E$22))*(36+7*7)/(36+7*(D661+1)/2)*E661,0))</x:f>
        <x:v>19110</x:v>
      </x:c>
      <x:c r="AX661" s="119" t="n">
        <x:f>IF(AV661=0,0,(AV661-IF(7=D661,1,0))*ROUND(AW661*VLOOKUP(INDEX('章节与怪物'!$E$31:$K$37,B661,7),'章节与怪物'!$A$41:$F$44,2,FALSE),0)+IF(7=D661,ROUND(AW661*'难度参数'!$E$28*'章节与怪物'!$E$17,0),0))</x:f>
        <x:v>1445697</x:v>
      </x:c>
      <x:c r="AY661" s="119" t="n">
        <x:f>IF(AV661=0,0,(AV661-IF(7=D661,1,0))*VLOOKUP(INDEX('章节与怪物'!$E$31:$K$37,B661,7),'章节与怪物'!$A$41:$F$44,4,FALSE)+IF(7=D661,'难度参数'!$E$30,0))</x:f>
        <x:v>1934</x:v>
      </x:c>
    </x:row>
    <x:row r="662" ht="23" customHeight="1">
      <x:c r="A662" s="119" t="n">
        <x:v>656</x:v>
      </x:c>
      <x:c r="B662" s="119" t="n">
        <x:f>MOD(INT((A662-1)/5),7)+1</x:f>
        <x:v>6</x:v>
      </x:c>
      <x:c r="C662" s="62" t="str">
        <x:f>INDEX('章节与怪物'!$B$31:$B$37,B662)</x:f>
        <x:v>熔岩山脉</x:v>
      </x:c>
      <x:c r="D662" s="119" t="n">
        <x:f>MIN('难度参数'!$E$8,MAX('难度参数'!$E$7,A662))</x:f>
        <x:v>7</x:v>
      </x:c>
      <x:c r="E662" s="106" t="n">
        <x:v>1</x:v>
      </x:c>
      <x:c r="F662" s="106" t="n">
        <x:v>0</x:v>
      </x:c>
      <x:c r="G662" s="106" t="n">
        <x:v>1</x:v>
      </x:c>
      <x:c r="H662" s="119" t="n">
        <x:f>SUM(X662,AB662,AF662,AJ662,AN662,AR662,AV662)</x:f>
        <x:v>319</x:v>
      </x:c>
      <x:c r="I662" s="119" t="n">
        <x:f>SUM(Z662,AD662,AH662,AL662,AP662,AT662,AX662)</x:f>
        <x:v>6272073</x:v>
      </x:c>
      <x:c r="J662" s="119" t="n">
        <x:f>ROUND(INDEX(X662:AY662,1,(D662-1)*4+2)*'难度参数'!$E$28*'章节与怪物'!$E$17,0)</x:f>
        <x:v>130091</x:v>
      </x:c>
      <x:c r="K662" s="119" t="n">
        <x:f>SUM(AA662,AE662,AI662,AM662,AQ662,AU662,AY662)</x:f>
        <x:v>8484</x:v>
      </x:c>
      <x:c r="L662" s="62" t="n">
        <x:f>H662*(ROUNDUP('难度参数'!$E$24/('难度参数'!$E$26*'难度参数'!$E$27),0)*'难度参数'!$E$26)/60</x:f>
        <x:v>4.253333333333334</x:v>
      </x:c>
      <x:c r="M662" s="62" t="n">
        <x:f>L662+D662*('难度参数'!$E$49+'难度参数'!$E$50)/60</x:f>
        <x:v>5.420000000000001</x:v>
      </x:c>
      <x:c r="N662" s="119" t="n">
        <x:f>ROUNDDOWN(('经济参数'!$E$20+A662*'经济参数'!$E$21)*G662,0)</x:f>
        <x:v>13300</x:v>
      </x:c>
      <x:c r="O662" s="119" t="n">
        <x:f>ROUNDDOWN(MIN('经济参数'!$E$24,'经济参数'!$E$22+A662*'经济参数'!$E$23)*G662,0)</x:f>
        <x:v>0</x:v>
      </x:c>
      <x:c r="P662" s="119" t="n">
        <x:f>ROUNDDOWN((IF(A662&gt;='材料与任务'!$E$31,'材料与任务'!$E$32,IF(A662&gt;='材料与任务'!$E$25,'材料与任务'!$E$26,IF(A662&gt;='材料与任务'!$E$19,'材料与任务'!$E$20,IF(A662&gt;='材料与任务'!$E$13,'材料与任务'!$E$14,'材料与任务'!$E$8)))))*G662,0)</x:f>
        <x:v>6</x:v>
      </x:c>
      <x:c r="Q662" s="119" t="n">
        <x:f>ROUNDDOWN((IF(A662&gt;='材料与任务'!$E$31,'材料与任务'!$E$33,IF(A662&gt;='材料与任务'!$E$25,'材料与任务'!$E$27,IF(A662&gt;='材料与任务'!$E$19,'材料与任务'!$E$21,IF(A662&gt;='材料与任务'!$E$13,'材料与任务'!$E$15,'材料与任务'!$E$9)))))*G662,0)</x:f>
        <x:v>3</x:v>
      </x:c>
      <x:c r="R662" s="110" t="n">
        <x:f>'装备掉落'!$B$38</x:f>
        <x:v>0.6872058758851213</x:v>
      </x:c>
      <x:c r="S662" s="119" t="n">
        <x:f>MAX(IF(VLOOKUP(A662,'装备掉落'!$A$29:$H$34,2,TRUE)&gt;0,1,0),IF(VLOOKUP(A662,'装备掉落'!$A$29:$H$34,3,TRUE)&gt;0,2,0),IF(VLOOKUP(A662,'装备掉落'!$A$29:$H$34,4,TRUE)&gt;0,3,0),IF(VLOOKUP(A662,'装备掉落'!$A$29:$H$34,5,TRUE)&gt;0,4,0),IF(VLOOKUP(A662,'装备掉落'!$A$29:$H$34,6,TRUE)&gt;0,5,0),IF(VLOOKUP(A662,'装备掉落'!$A$29:$H$34,7,TRUE)&gt;0,6,0),IF(VLOOKUP(A662,'装备掉落'!$A$29:$H$34,8,TRUE)&gt;0,7,0))</x:f>
        <x:v>7</x:v>
      </x:c>
      <x:c r="T662" s="119" t="n">
        <x:f>MIN(7,S662+'经济参数'!$E$70)</x:f>
        <x:v>7</x:v>
      </x:c>
      <x:c r="U662" s="119" t="n">
        <x:f>MIN(7,S662+'经济参数'!$E$71)</x:f>
        <x:v>7</x:v>
      </x:c>
      <x:c r="V662" s="119" t="n">
        <x:f>IF(H662&gt;=('难度参数'!$E$52),1,0)+IF(H662&gt;=('难度参数'!$E$52+'难度参数'!$E$53),1,0)+IF(H662&gt;=('难度参数'!$E$52+'难度参数'!$E$53+'难度参数'!$E$54),1,0)+IF(H662&gt;=('难度参数'!$E$52+'难度参数'!$E$53+'难度参数'!$E$54+'难度参数'!$E$55),1,0)+IF(H662&gt;=('难度参数'!$E$52+'难度参数'!$E$53+'难度参数'!$E$54+'难度参数'!$E$55+'难度参数'!$E$56),1,0)+IF(H662&gt;=('难度参数'!$E$52+'难度参数'!$E$53+'难度参数'!$E$54+'难度参数'!$E$55+'难度参数'!$E$56+'难度参数'!$E$57),1,0)</x:f>
        <x:v>6</x:v>
      </x:c>
      <x:c r="W662" s="62" t="str">
        <x:f>IF(L662&gt;'难度参数'!$E$51,"仅出怪已超目标","还需实测")</x:f>
        <x:v>仅出怪已超目标</x:v>
      </x:c>
      <x:c r="X662" s="119" t="n">
        <x:f>IF(1&gt;D662,0,MAX(2,MIN('难度参数'!$E$12,ROUND(('难度参数'!$E$18*POWER(A662,'难度参数'!$E$19)/D662*(0.85+0.3*(1-1)/MAX(1,D662-1))),0)+F662)))</x:f>
        <x:v>39</x:v>
      </x:c>
      <x:c r="Y662" s="119" t="n">
        <x:f>IF(1&gt;D662,0,ROUND(('难度参数'!$E$13*POWER(A662,'难度参数'!$E$20)*MIN('难度参数'!$E$23,1+MAX(0,A662-'难度参数'!$E$21)*'难度参数'!$E$22))*(36+1*7)/(36+7*(D662+1)/2)*E662,0))</x:f>
        <x:v>9678</x:v>
      </x:c>
      <x:c r="Z662" s="119" t="n">
        <x:f>IF(X662=0,0,(X662-IF(1=D662,1,0))*ROUND(Y662*VLOOKUP(INDEX('章节与怪物'!$E$31:$K$37,B662,1),'章节与怪物'!$A$41:$F$44,2,FALSE),0)+IF(1=D662,ROUND(Y662*'难度参数'!$E$28*'章节与怪物'!$E$17,0),0))</x:f>
        <x:v>271752</x:v>
      </x:c>
      <x:c r="AA662" s="119" t="n">
        <x:f>IF(X662=0,0,(X662-IF(1=D662,1,0))*VLOOKUP(INDEX('章节与怪物'!$E$31:$K$37,B662,1),'章节与怪物'!$A$41:$F$44,4,FALSE)+IF(1=D662,'难度参数'!$E$30,0))</x:f>
        <x:v>780</x:v>
      </x:c>
      <x:c r="AB662" s="119" t="n">
        <x:f>IF(2&gt;D662,0,MAX(2,MIN('难度参数'!$E$12,ROUND(('难度参数'!$E$18*POWER(A662,'难度参数'!$E$19)/D662*(0.85+0.3*(2-1)/MAX(1,D662-1))),0)+F662)))</x:f>
        <x:v>41</x:v>
      </x:c>
      <x:c r="AC662" s="119" t="n">
        <x:f>IF(2&gt;D662,0,ROUND(('难度参数'!$E$13*POWER(A662,'难度参数'!$E$20)*MIN('难度参数'!$E$23,1+MAX(0,A662-'难度参数'!$E$21)*'难度参数'!$E$22))*(36+2*7)/(36+7*(D662+1)/2)*E662,0))</x:f>
        <x:v>11254</x:v>
      </x:c>
      <x:c r="AD662" s="119" t="n">
        <x:f>IF(AB662=0,0,(AB662-IF(2=D662,1,0))*ROUND(AC662*VLOOKUP(INDEX('章节与怪物'!$E$31:$K$37,B662,2),'章节与怪物'!$A$41:$F$44,2,FALSE),0)+IF(2=D662,ROUND(AC662*'难度参数'!$E$28*'章节与怪物'!$E$17,0),0))</x:f>
        <x:v>461414</x:v>
      </x:c>
      <x:c r="AE662" s="119" t="n">
        <x:f>IF(AB662=0,0,(AB662-IF(2=D662,1,0))*VLOOKUP(INDEX('章节与怪物'!$E$31:$K$37,B662,2),'章节与怪物'!$A$41:$F$44,4,FALSE)+IF(2=D662,'难度参数'!$E$30,0))</x:f>
        <x:v>738</x:v>
      </x:c>
      <x:c r="AF662" s="119" t="n">
        <x:f>IF(3&gt;D662,0,MAX(2,MIN('难度参数'!$E$12,ROUND(('难度参数'!$E$18*POWER(A662,'难度参数'!$E$19)/D662*(0.85+0.3*(3-1)/MAX(1,D662-1))),0)+F662)))</x:f>
        <x:v>43</x:v>
      </x:c>
      <x:c r="AG662" s="119" t="n">
        <x:f>IF(3&gt;D662,0,ROUND(('难度参数'!$E$13*POWER(A662,'难度参数'!$E$20)*MIN('难度参数'!$E$23,1+MAX(0,A662-'难度参数'!$E$21)*'难度参数'!$E$22))*(36+3*7)/(36+7*(D662+1)/2)*E662,0))</x:f>
        <x:v>12829</x:v>
      </x:c>
      <x:c r="AH662" s="119" t="n">
        <x:f>IF(AF662=0,0,(AF662-IF(3=D662,1,0))*ROUND(AG662*VLOOKUP(INDEX('章节与怪物'!$E$31:$K$37,B662,3),'章节与怪物'!$A$41:$F$44,2,FALSE),0)+IF(3=D662,ROUND(AG662*'难度参数'!$E$28*'章节与怪物'!$E$17,0),0))</x:f>
        <x:v>937787</x:v>
      </x:c>
      <x:c r="AI662" s="119" t="n">
        <x:f>IF(AF662=0,0,(AF662-IF(3=D662,1,0))*VLOOKUP(INDEX('章节与怪物'!$E$31:$K$37,B662,3),'章节与怪物'!$A$41:$F$44,4,FALSE)+IF(3=D662,'难度参数'!$E$30,0))</x:f>
        <x:v>1204</x:v>
      </x:c>
      <x:c r="AJ662" s="119" t="n">
        <x:f>IF(4&gt;D662,0,MAX(2,MIN('难度参数'!$E$12,ROUND(('难度参数'!$E$18*POWER(A662,'难度参数'!$E$19)/D662*(0.85+0.3*(4-1)/MAX(1,D662-1))),0)+F662)))</x:f>
        <x:v>46</x:v>
      </x:c>
      <x:c r="AK662" s="119" t="n">
        <x:f>IF(4&gt;D662,0,ROUND(('难度参数'!$E$13*POWER(A662,'难度参数'!$E$20)*MIN('难度参数'!$E$23,1+MAX(0,A662-'难度参数'!$E$21)*'难度参数'!$E$22))*(36+4*7)/(36+7*(D662+1)/2)*E662,0))</x:f>
        <x:v>14405</x:v>
      </x:c>
      <x:c r="AL662" s="119" t="n">
        <x:f>IF(AJ662=0,0,(AJ662-IF(4=D662,1,0))*ROUND(AK662*VLOOKUP(INDEX('章节与怪物'!$E$31:$K$37,B662,4),'章节与怪物'!$A$41:$F$44,2,FALSE),0)+IF(4=D662,ROUND(AK662*'难度参数'!$E$28*'章节与怪物'!$E$17,0),0))</x:f>
        <x:v>894562</x:v>
      </x:c>
      <x:c r="AM662" s="119" t="n">
        <x:f>IF(AJ662=0,0,(AJ662-IF(4=D662,1,0))*VLOOKUP(INDEX('章节与怪物'!$E$31:$K$37,B662,4),'章节与怪物'!$A$41:$F$44,4,FALSE)+IF(4=D662,'难度参数'!$E$30,0))</x:f>
        <x:v>1564</x:v>
      </x:c>
      <x:c r="AN662" s="119" t="n">
        <x:f>IF(5&gt;D662,0,MAX(2,MIN('难度参数'!$E$12,ROUND(('难度参数'!$E$18*POWER(A662,'难度参数'!$E$19)/D662*(0.85+0.3*(5-1)/MAX(1,D662-1))),0)+F662)))</x:f>
        <x:v>48</x:v>
      </x:c>
      <x:c r="AO662" s="119" t="n">
        <x:f>IF(5&gt;D662,0,ROUND(('难度参数'!$E$13*POWER(A662,'难度参数'!$E$20)*MIN('难度参数'!$E$23,1+MAX(0,A662-'难度参数'!$E$21)*'难度参数'!$E$22))*(36+5*7)/(36+7*(D662+1)/2)*E662,0))</x:f>
        <x:v>15980</x:v>
      </x:c>
      <x:c r="AP662" s="119" t="n">
        <x:f>IF(AN662=0,0,(AN662-IF(5=D662,1,0))*ROUND(AO662*VLOOKUP(INDEX('章节与怪物'!$E$31:$K$37,B662,5),'章节与怪物'!$A$41:$F$44,2,FALSE),0)+IF(5=D662,ROUND(AO662*'难度参数'!$E$28*'章节与怪物'!$E$17,0),0))</x:f>
        <x:v>767040</x:v>
      </x:c>
      <x:c r="AQ662" s="119" t="n">
        <x:f>IF(AN662=0,0,(AN662-IF(5=D662,1,0))*VLOOKUP(INDEX('章节与怪物'!$E$31:$K$37,B662,5),'章节与怪物'!$A$41:$F$44,4,FALSE)+IF(5=D662,'难度参数'!$E$30,0))</x:f>
        <x:v>864</x:v>
      </x:c>
      <x:c r="AR662" s="119" t="n">
        <x:f>IF(6&gt;D662,0,MAX(2,MIN('难度参数'!$E$12,ROUND(('难度参数'!$E$18*POWER(A662,'难度参数'!$E$19)/D662*(0.85+0.3*(6-1)/MAX(1,D662-1))),0)+F662)))</x:f>
        <x:v>50</x:v>
      </x:c>
      <x:c r="AS662" s="119" t="n">
        <x:f>IF(6&gt;D662,0,ROUND(('难度参数'!$E$13*POWER(A662,'难度参数'!$E$20)*MIN('难度参数'!$E$23,1+MAX(0,A662-'难度参数'!$E$21)*'难度参数'!$E$22))*(36+6*7)/(36+7*(D662+1)/2)*E662,0))</x:f>
        <x:v>17556</x:v>
      </x:c>
      <x:c r="AT662" s="119" t="n">
        <x:f>IF(AR662=0,0,(AR662-IF(6=D662,1,0))*ROUND(AS662*VLOOKUP(INDEX('章节与怪物'!$E$31:$K$37,B662,6),'章节与怪物'!$A$41:$F$44,2,FALSE),0)+IF(6=D662,ROUND(AS662*'难度参数'!$E$28*'章节与怪物'!$E$17,0),0))</x:f>
        <x:v>1492250</x:v>
      </x:c>
      <x:c r="AU662" s="119" t="n">
        <x:f>IF(AR662=0,0,(AR662-IF(6=D662,1,0))*VLOOKUP(INDEX('章节与怪物'!$E$31:$K$37,B662,6),'章节与怪物'!$A$41:$F$44,4,FALSE)+IF(6=D662,'难度参数'!$E$30,0))</x:f>
        <x:v>1400</x:v>
      </x:c>
      <x:c r="AV662" s="119" t="n">
        <x:f>IF(7&gt;D662,0,MAX(2,MIN('难度参数'!$E$12,ROUND(('难度参数'!$E$18*POWER(A662,'难度参数'!$E$19)/D662*(0.85+0.3*(7-1)/MAX(1,D662-1))),0)+F662)))</x:f>
        <x:v>52</x:v>
      </x:c>
      <x:c r="AW662" s="119" t="n">
        <x:f>IF(7&gt;D662,0,ROUND(('难度参数'!$E$13*POWER(A662,'难度参数'!$E$20)*MIN('难度参数'!$E$23,1+MAX(0,A662-'难度参数'!$E$21)*'难度参数'!$E$22))*(36+7*7)/(36+7*(D662+1)/2)*E662,0))</x:f>
        <x:v>19131</x:v>
      </x:c>
      <x:c r="AX662" s="119" t="n">
        <x:f>IF(AV662=0,0,(AV662-IF(7=D662,1,0))*ROUND(AW662*VLOOKUP(INDEX('章节与怪物'!$E$31:$K$37,B662,7),'章节与怪物'!$A$41:$F$44,2,FALSE),0)+IF(7=D662,ROUND(AW662*'难度参数'!$E$28*'章节与怪物'!$E$17,0),0))</x:f>
        <x:v>1447268</x:v>
      </x:c>
      <x:c r="AY662" s="119" t="n">
        <x:f>IF(AV662=0,0,(AV662-IF(7=D662,1,0))*VLOOKUP(INDEX('章节与怪物'!$E$31:$K$37,B662,7),'章节与怪物'!$A$41:$F$44,4,FALSE)+IF(7=D662,'难度参数'!$E$30,0))</x:f>
        <x:v>1934</x:v>
      </x:c>
    </x:row>
    <x:row r="663" ht="23" customHeight="1">
      <x:c r="A663" s="119" t="n">
        <x:v>657</x:v>
      </x:c>
      <x:c r="B663" s="119" t="n">
        <x:f>MOD(INT((A663-1)/5),7)+1</x:f>
        <x:v>6</x:v>
      </x:c>
      <x:c r="C663" s="62" t="str">
        <x:f>INDEX('章节与怪物'!$B$31:$B$37,B663)</x:f>
        <x:v>熔岩山脉</x:v>
      </x:c>
      <x:c r="D663" s="119" t="n">
        <x:f>MIN('难度参数'!$E$8,MAX('难度参数'!$E$7,A663))</x:f>
        <x:v>7</x:v>
      </x:c>
      <x:c r="E663" s="106" t="n">
        <x:v>1</x:v>
      </x:c>
      <x:c r="F663" s="106" t="n">
        <x:v>0</x:v>
      </x:c>
      <x:c r="G663" s="106" t="n">
        <x:v>1</x:v>
      </x:c>
      <x:c r="H663" s="119" t="n">
        <x:f>SUM(X663,AB663,AF663,AJ663,AN663,AR663,AV663)</x:f>
        <x:v>320</x:v>
      </x:c>
      <x:c r="I663" s="119" t="n">
        <x:f>SUM(Z663,AD663,AH663,AL663,AP663,AT663,AX663)</x:f>
        <x:v>6304815</x:v>
      </x:c>
      <x:c r="J663" s="119" t="n">
        <x:f>ROUND(INDEX(X663:AY663,1,(D663-1)*4+2)*'难度参数'!$E$28*'章节与怪物'!$E$17,0)</x:f>
        <x:v>130234</x:v>
      </x:c>
      <x:c r="K663" s="119" t="n">
        <x:f>SUM(AA663,AE663,AI663,AM663,AQ663,AU663,AY663)</x:f>
        <x:v>8518</x:v>
      </x:c>
      <x:c r="L663" s="62" t="n">
        <x:f>H663*(ROUNDUP('难度参数'!$E$24/('难度参数'!$E$26*'难度参数'!$E$27),0)*'难度参数'!$E$26)/60</x:f>
        <x:v>4.266666666666667</x:v>
      </x:c>
      <x:c r="M663" s="62" t="n">
        <x:f>L663+D663*('难度参数'!$E$49+'难度参数'!$E$50)/60</x:f>
        <x:v>5.433333333333334</x:v>
      </x:c>
      <x:c r="N663" s="119" t="n">
        <x:f>ROUNDDOWN(('经济参数'!$E$20+A663*'经济参数'!$E$21)*G663,0)</x:f>
        <x:v>13320</x:v>
      </x:c>
      <x:c r="O663" s="119" t="n">
        <x:f>ROUNDDOWN(MIN('经济参数'!$E$24,'经济参数'!$E$22+A663*'经济参数'!$E$23)*G663,0)</x:f>
        <x:v>0</x:v>
      </x:c>
      <x:c r="P663" s="119" t="n">
        <x:f>ROUNDDOWN((IF(A663&gt;='材料与任务'!$E$31,'材料与任务'!$E$32,IF(A663&gt;='材料与任务'!$E$25,'材料与任务'!$E$26,IF(A663&gt;='材料与任务'!$E$19,'材料与任务'!$E$20,IF(A663&gt;='材料与任务'!$E$13,'材料与任务'!$E$14,'材料与任务'!$E$8)))))*G663,0)</x:f>
        <x:v>6</x:v>
      </x:c>
      <x:c r="Q663" s="119" t="n">
        <x:f>ROUNDDOWN((IF(A663&gt;='材料与任务'!$E$31,'材料与任务'!$E$33,IF(A663&gt;='材料与任务'!$E$25,'材料与任务'!$E$27,IF(A663&gt;='材料与任务'!$E$19,'材料与任务'!$E$21,IF(A663&gt;='材料与任务'!$E$13,'材料与任务'!$E$15,'材料与任务'!$E$9)))))*G663,0)</x:f>
        <x:v>3</x:v>
      </x:c>
      <x:c r="R663" s="110" t="n">
        <x:f>'装备掉落'!$B$38</x:f>
        <x:v>0.6872058758851213</x:v>
      </x:c>
      <x:c r="S663" s="119" t="n">
        <x:f>MAX(IF(VLOOKUP(A663,'装备掉落'!$A$29:$H$34,2,TRUE)&gt;0,1,0),IF(VLOOKUP(A663,'装备掉落'!$A$29:$H$34,3,TRUE)&gt;0,2,0),IF(VLOOKUP(A663,'装备掉落'!$A$29:$H$34,4,TRUE)&gt;0,3,0),IF(VLOOKUP(A663,'装备掉落'!$A$29:$H$34,5,TRUE)&gt;0,4,0),IF(VLOOKUP(A663,'装备掉落'!$A$29:$H$34,6,TRUE)&gt;0,5,0),IF(VLOOKUP(A663,'装备掉落'!$A$29:$H$34,7,TRUE)&gt;0,6,0),IF(VLOOKUP(A663,'装备掉落'!$A$29:$H$34,8,TRUE)&gt;0,7,0))</x:f>
        <x:v>7</x:v>
      </x:c>
      <x:c r="T663" s="119" t="n">
        <x:f>MIN(7,S663+'经济参数'!$E$70)</x:f>
        <x:v>7</x:v>
      </x:c>
      <x:c r="U663" s="119" t="n">
        <x:f>MIN(7,S663+'经济参数'!$E$71)</x:f>
        <x:v>7</x:v>
      </x:c>
      <x:c r="V663" s="119" t="n">
        <x:f>IF(H663&gt;=('难度参数'!$E$52),1,0)+IF(H663&gt;=('难度参数'!$E$52+'难度参数'!$E$53),1,0)+IF(H663&gt;=('难度参数'!$E$52+'难度参数'!$E$53+'难度参数'!$E$54),1,0)+IF(H663&gt;=('难度参数'!$E$52+'难度参数'!$E$53+'难度参数'!$E$54+'难度参数'!$E$55),1,0)+IF(H663&gt;=('难度参数'!$E$52+'难度参数'!$E$53+'难度参数'!$E$54+'难度参数'!$E$55+'难度参数'!$E$56),1,0)+IF(H663&gt;=('难度参数'!$E$52+'难度参数'!$E$53+'难度参数'!$E$54+'难度参数'!$E$55+'难度参数'!$E$56+'难度参数'!$E$57),1,0)</x:f>
        <x:v>6</x:v>
      </x:c>
      <x:c r="W663" s="62" t="str">
        <x:f>IF(L663&gt;'难度参数'!$E$51,"仅出怪已超目标","还需实测")</x:f>
        <x:v>仅出怪已超目标</x:v>
      </x:c>
      <x:c r="X663" s="119" t="n">
        <x:f>IF(1&gt;D663,0,MAX(2,MIN('难度参数'!$E$12,ROUND(('难度参数'!$E$18*POWER(A663,'难度参数'!$E$19)/D663*(0.85+0.3*(1-1)/MAX(1,D663-1))),0)+F663)))</x:f>
        <x:v>39</x:v>
      </x:c>
      <x:c r="Y663" s="119" t="n">
        <x:f>IF(1&gt;D663,0,ROUND(('难度参数'!$E$13*POWER(A663,'难度参数'!$E$20)*MIN('难度参数'!$E$23,1+MAX(0,A663-'难度参数'!$E$21)*'难度参数'!$E$22))*(36+1*7)/(36+7*(D663+1)/2)*E663,0))</x:f>
        <x:v>9689</x:v>
      </x:c>
      <x:c r="Z663" s="119" t="n">
        <x:f>IF(X663=0,0,(X663-IF(1=D663,1,0))*ROUND(Y663*VLOOKUP(INDEX('章节与怪物'!$E$31:$K$37,B663,1),'章节与怪物'!$A$41:$F$44,2,FALSE),0)+IF(1=D663,ROUND(Y663*'难度参数'!$E$28*'章节与怪物'!$E$17,0),0))</x:f>
        <x:v>272064</x:v>
      </x:c>
      <x:c r="AA663" s="119" t="n">
        <x:f>IF(X663=0,0,(X663-IF(1=D663,1,0))*VLOOKUP(INDEX('章节与怪物'!$E$31:$K$37,B663,1),'章节与怪物'!$A$41:$F$44,4,FALSE)+IF(1=D663,'难度参数'!$E$30,0))</x:f>
        <x:v>780</x:v>
      </x:c>
      <x:c r="AB663" s="119" t="n">
        <x:f>IF(2&gt;D663,0,MAX(2,MIN('难度参数'!$E$12,ROUND(('难度参数'!$E$18*POWER(A663,'难度参数'!$E$19)/D663*(0.85+0.3*(2-1)/MAX(1,D663-1))),0)+F663)))</x:f>
        <x:v>41</x:v>
      </x:c>
      <x:c r="AC663" s="119" t="n">
        <x:f>IF(2&gt;D663,0,ROUND(('难度参数'!$E$13*POWER(A663,'难度参数'!$E$20)*MIN('难度参数'!$E$23,1+MAX(0,A663-'难度参数'!$E$21)*'难度参数'!$E$22))*(36+2*7)/(36+7*(D663+1)/2)*E663,0))</x:f>
        <x:v>11266</x:v>
      </x:c>
      <x:c r="AD663" s="119" t="n">
        <x:f>IF(AB663=0,0,(AB663-IF(2=D663,1,0))*ROUND(AC663*VLOOKUP(INDEX('章节与怪物'!$E$31:$K$37,B663,2),'章节与怪物'!$A$41:$F$44,2,FALSE),0)+IF(2=D663,ROUND(AC663*'难度参数'!$E$28*'章节与怪物'!$E$17,0),0))</x:f>
        <x:v>461906</x:v>
      </x:c>
      <x:c r="AE663" s="119" t="n">
        <x:f>IF(AB663=0,0,(AB663-IF(2=D663,1,0))*VLOOKUP(INDEX('章节与怪物'!$E$31:$K$37,B663,2),'章节与怪物'!$A$41:$F$44,4,FALSE)+IF(2=D663,'难度参数'!$E$30,0))</x:f>
        <x:v>738</x:v>
      </x:c>
      <x:c r="AF663" s="119" t="n">
        <x:f>IF(3&gt;D663,0,MAX(2,MIN('难度参数'!$E$12,ROUND(('难度参数'!$E$18*POWER(A663,'难度参数'!$E$19)/D663*(0.85+0.3*(3-1)/MAX(1,D663-1))),0)+F663)))</x:f>
        <x:v>43</x:v>
      </x:c>
      <x:c r="AG663" s="119" t="n">
        <x:f>IF(3&gt;D663,0,ROUND(('难度参数'!$E$13*POWER(A663,'难度参数'!$E$20)*MIN('难度参数'!$E$23,1+MAX(0,A663-'难度参数'!$E$21)*'难度参数'!$E$22))*(36+3*7)/(36+7*(D663+1)/2)*E663,0))</x:f>
        <x:v>12843</x:v>
      </x:c>
      <x:c r="AH663" s="119" t="n">
        <x:f>IF(AF663=0,0,(AF663-IF(3=D663,1,0))*ROUND(AG663*VLOOKUP(INDEX('章节与怪物'!$E$31:$K$37,B663,3),'章节与怪物'!$A$41:$F$44,2,FALSE),0)+IF(3=D663,ROUND(AG663*'难度参数'!$E$28*'章节与怪物'!$E$17,0),0))</x:f>
        <x:v>938819</x:v>
      </x:c>
      <x:c r="AI663" s="119" t="n">
        <x:f>IF(AF663=0,0,(AF663-IF(3=D663,1,0))*VLOOKUP(INDEX('章节与怪物'!$E$31:$K$37,B663,3),'章节与怪物'!$A$41:$F$44,4,FALSE)+IF(3=D663,'难度参数'!$E$30,0))</x:f>
        <x:v>1204</x:v>
      </x:c>
      <x:c r="AJ663" s="119" t="n">
        <x:f>IF(4&gt;D663,0,MAX(2,MIN('难度参数'!$E$12,ROUND(('难度参数'!$E$18*POWER(A663,'难度参数'!$E$19)/D663*(0.85+0.3*(4-1)/MAX(1,D663-1))),0)+F663)))</x:f>
        <x:v>46</x:v>
      </x:c>
      <x:c r="AK663" s="119" t="n">
        <x:f>IF(4&gt;D663,0,ROUND(('难度参数'!$E$13*POWER(A663,'难度参数'!$E$20)*MIN('难度参数'!$E$23,1+MAX(0,A663-'难度参数'!$E$21)*'难度参数'!$E$22))*(36+4*7)/(36+7*(D663+1)/2)*E663,0))</x:f>
        <x:v>14421</x:v>
      </x:c>
      <x:c r="AL663" s="119" t="n">
        <x:f>IF(AJ663=0,0,(AJ663-IF(4=D663,1,0))*ROUND(AK663*VLOOKUP(INDEX('章节与怪物'!$E$31:$K$37,B663,4),'章节与怪物'!$A$41:$F$44,2,FALSE),0)+IF(4=D663,ROUND(AK663*'难度参数'!$E$28*'章节与怪物'!$E$17,0),0))</x:f>
        <x:v>895528</x:v>
      </x:c>
      <x:c r="AM663" s="119" t="n">
        <x:f>IF(AJ663=0,0,(AJ663-IF(4=D663,1,0))*VLOOKUP(INDEX('章节与怪物'!$E$31:$K$37,B663,4),'章节与怪物'!$A$41:$F$44,4,FALSE)+IF(4=D663,'难度参数'!$E$30,0))</x:f>
        <x:v>1564</x:v>
      </x:c>
      <x:c r="AN663" s="119" t="n">
        <x:f>IF(5&gt;D663,0,MAX(2,MIN('难度参数'!$E$12,ROUND(('难度参数'!$E$18*POWER(A663,'难度参数'!$E$19)/D663*(0.85+0.3*(5-1)/MAX(1,D663-1))),0)+F663)))</x:f>
        <x:v>48</x:v>
      </x:c>
      <x:c r="AO663" s="119" t="n">
        <x:f>IF(5&gt;D663,0,ROUND(('难度参数'!$E$13*POWER(A663,'难度参数'!$E$20)*MIN('难度参数'!$E$23,1+MAX(0,A663-'难度参数'!$E$21)*'难度参数'!$E$22))*(36+5*7)/(36+7*(D663+1)/2)*E663,0))</x:f>
        <x:v>15998</x:v>
      </x:c>
      <x:c r="AP663" s="119" t="n">
        <x:f>IF(AN663=0,0,(AN663-IF(5=D663,1,0))*ROUND(AO663*VLOOKUP(INDEX('章节与怪物'!$E$31:$K$37,B663,5),'章节与怪物'!$A$41:$F$44,2,FALSE),0)+IF(5=D663,ROUND(AO663*'难度参数'!$E$28*'章节与怪物'!$E$17,0),0))</x:f>
        <x:v>767904</x:v>
      </x:c>
      <x:c r="AQ663" s="119" t="n">
        <x:f>IF(AN663=0,0,(AN663-IF(5=D663,1,0))*VLOOKUP(INDEX('章节与怪物'!$E$31:$K$37,B663,5),'章节与怪物'!$A$41:$F$44,4,FALSE)+IF(5=D663,'难度参数'!$E$30,0))</x:f>
        <x:v>864</x:v>
      </x:c>
      <x:c r="AR663" s="119" t="n">
        <x:f>IF(6&gt;D663,0,MAX(2,MIN('难度参数'!$E$12,ROUND(('难度参数'!$E$18*POWER(A663,'难度参数'!$E$19)/D663*(0.85+0.3*(6-1)/MAX(1,D663-1))),0)+F663)))</x:f>
        <x:v>50</x:v>
      </x:c>
      <x:c r="AS663" s="119" t="n">
        <x:f>IF(6&gt;D663,0,ROUND(('难度参数'!$E$13*POWER(A663,'难度参数'!$E$20)*MIN('难度参数'!$E$23,1+MAX(0,A663-'难度参数'!$E$21)*'难度参数'!$E$22))*(36+6*7)/(36+7*(D663+1)/2)*E663,0))</x:f>
        <x:v>17575</x:v>
      </x:c>
      <x:c r="AT663" s="119" t="n">
        <x:f>IF(AR663=0,0,(AR663-IF(6=D663,1,0))*ROUND(AS663*VLOOKUP(INDEX('章节与怪物'!$E$31:$K$37,B663,6),'章节与怪物'!$A$41:$F$44,2,FALSE),0)+IF(6=D663,ROUND(AS663*'难度参数'!$E$28*'章节与怪物'!$E$17,0),0))</x:f>
        <x:v>1493900</x:v>
      </x:c>
      <x:c r="AU663" s="119" t="n">
        <x:f>IF(AR663=0,0,(AR663-IF(6=D663,1,0))*VLOOKUP(INDEX('章节与怪物'!$E$31:$K$37,B663,6),'章节与怪物'!$A$41:$F$44,4,FALSE)+IF(6=D663,'难度参数'!$E$30,0))</x:f>
        <x:v>1400</x:v>
      </x:c>
      <x:c r="AV663" s="119" t="n">
        <x:f>IF(7&gt;D663,0,MAX(2,MIN('难度参数'!$E$12,ROUND(('难度参数'!$E$18*POWER(A663,'难度参数'!$E$19)/D663*(0.85+0.3*(7-1)/MAX(1,D663-1))),0)+F663)))</x:f>
        <x:v>53</x:v>
      </x:c>
      <x:c r="AW663" s="119" t="n">
        <x:f>IF(7&gt;D663,0,ROUND(('难度参数'!$E$13*POWER(A663,'难度参数'!$E$20)*MIN('难度参数'!$E$23,1+MAX(0,A663-'难度参数'!$E$21)*'难度参数'!$E$22))*(36+7*7)/(36+7*(D663+1)/2)*E663,0))</x:f>
        <x:v>19152</x:v>
      </x:c>
      <x:c r="AX663" s="119" t="n">
        <x:f>IF(AV663=0,0,(AV663-IF(7=D663,1,0))*ROUND(AW663*VLOOKUP(INDEX('章节与怪物'!$E$31:$K$37,B663,7),'章节与怪物'!$A$41:$F$44,2,FALSE),0)+IF(7=D663,ROUND(AW663*'难度参数'!$E$28*'章节与怪物'!$E$17,0),0))</x:f>
        <x:v>1474694</x:v>
      </x:c>
      <x:c r="AY663" s="119" t="n">
        <x:f>IF(AV663=0,0,(AV663-IF(7=D663,1,0))*VLOOKUP(INDEX('章节与怪物'!$E$31:$K$37,B663,7),'章节与怪物'!$A$41:$F$44,4,FALSE)+IF(7=D663,'难度参数'!$E$30,0))</x:f>
        <x:v>1968</x:v>
      </x:c>
    </x:row>
    <x:row r="664" ht="23" customHeight="1">
      <x:c r="A664" s="119" t="n">
        <x:v>658</x:v>
      </x:c>
      <x:c r="B664" s="119" t="n">
        <x:f>MOD(INT((A664-1)/5),7)+1</x:f>
        <x:v>6</x:v>
      </x:c>
      <x:c r="C664" s="62" t="str">
        <x:f>INDEX('章节与怪物'!$B$31:$B$37,B664)</x:f>
        <x:v>熔岩山脉</x:v>
      </x:c>
      <x:c r="D664" s="119" t="n">
        <x:f>MIN('难度参数'!$E$8,MAX('难度参数'!$E$7,A664))</x:f>
        <x:v>7</x:v>
      </x:c>
      <x:c r="E664" s="106" t="n">
        <x:v>1</x:v>
      </x:c>
      <x:c r="F664" s="106" t="n">
        <x:v>0</x:v>
      </x:c>
      <x:c r="G664" s="106" t="n">
        <x:v>1</x:v>
      </x:c>
      <x:c r="H664" s="119" t="n">
        <x:f>SUM(X664,AB664,AF664,AJ664,AN664,AR664,AV664)</x:f>
        <x:v>320</x:v>
      </x:c>
      <x:c r="I664" s="119" t="n">
        <x:f>SUM(Z664,AD664,AH664,AL664,AP664,AT664,AX664)</x:f>
        <x:v>6311644</x:v>
      </x:c>
      <x:c r="J664" s="119" t="n">
        <x:f>ROUND(INDEX(X664:AY664,1,(D664-1)*4+2)*'难度参数'!$E$28*'章节与怪物'!$E$17,0)</x:f>
        <x:v>130376</x:v>
      </x:c>
      <x:c r="K664" s="119" t="n">
        <x:f>SUM(AA664,AE664,AI664,AM664,AQ664,AU664,AY664)</x:f>
        <x:v>8518</x:v>
      </x:c>
      <x:c r="L664" s="62" t="n">
        <x:f>H664*(ROUNDUP('难度参数'!$E$24/('难度参数'!$E$26*'难度参数'!$E$27),0)*'难度参数'!$E$26)/60</x:f>
        <x:v>4.266666666666667</x:v>
      </x:c>
      <x:c r="M664" s="62" t="n">
        <x:f>L664+D664*('难度参数'!$E$49+'难度参数'!$E$50)/60</x:f>
        <x:v>5.433333333333334</x:v>
      </x:c>
      <x:c r="N664" s="119" t="n">
        <x:f>ROUNDDOWN(('经济参数'!$E$20+A664*'经济参数'!$E$21)*G664,0)</x:f>
        <x:v>13340</x:v>
      </x:c>
      <x:c r="O664" s="119" t="n">
        <x:f>ROUNDDOWN(MIN('经济参数'!$E$24,'经济参数'!$E$22+A664*'经济参数'!$E$23)*G664,0)</x:f>
        <x:v>0</x:v>
      </x:c>
      <x:c r="P664" s="119" t="n">
        <x:f>ROUNDDOWN((IF(A664&gt;='材料与任务'!$E$31,'材料与任务'!$E$32,IF(A664&gt;='材料与任务'!$E$25,'材料与任务'!$E$26,IF(A664&gt;='材料与任务'!$E$19,'材料与任务'!$E$20,IF(A664&gt;='材料与任务'!$E$13,'材料与任务'!$E$14,'材料与任务'!$E$8)))))*G664,0)</x:f>
        <x:v>6</x:v>
      </x:c>
      <x:c r="Q664" s="119" t="n">
        <x:f>ROUNDDOWN((IF(A664&gt;='材料与任务'!$E$31,'材料与任务'!$E$33,IF(A664&gt;='材料与任务'!$E$25,'材料与任务'!$E$27,IF(A664&gt;='材料与任务'!$E$19,'材料与任务'!$E$21,IF(A664&gt;='材料与任务'!$E$13,'材料与任务'!$E$15,'材料与任务'!$E$9)))))*G664,0)</x:f>
        <x:v>3</x:v>
      </x:c>
      <x:c r="R664" s="110" t="n">
        <x:f>'装备掉落'!$B$38</x:f>
        <x:v>0.6872058758851213</x:v>
      </x:c>
      <x:c r="S664" s="119" t="n">
        <x:f>MAX(IF(VLOOKUP(A664,'装备掉落'!$A$29:$H$34,2,TRUE)&gt;0,1,0),IF(VLOOKUP(A664,'装备掉落'!$A$29:$H$34,3,TRUE)&gt;0,2,0),IF(VLOOKUP(A664,'装备掉落'!$A$29:$H$34,4,TRUE)&gt;0,3,0),IF(VLOOKUP(A664,'装备掉落'!$A$29:$H$34,5,TRUE)&gt;0,4,0),IF(VLOOKUP(A664,'装备掉落'!$A$29:$H$34,6,TRUE)&gt;0,5,0),IF(VLOOKUP(A664,'装备掉落'!$A$29:$H$34,7,TRUE)&gt;0,6,0),IF(VLOOKUP(A664,'装备掉落'!$A$29:$H$34,8,TRUE)&gt;0,7,0))</x:f>
        <x:v>7</x:v>
      </x:c>
      <x:c r="T664" s="119" t="n">
        <x:f>MIN(7,S664+'经济参数'!$E$70)</x:f>
        <x:v>7</x:v>
      </x:c>
      <x:c r="U664" s="119" t="n">
        <x:f>MIN(7,S664+'经济参数'!$E$71)</x:f>
        <x:v>7</x:v>
      </x:c>
      <x:c r="V664" s="119" t="n">
        <x:f>IF(H664&gt;=('难度参数'!$E$52),1,0)+IF(H664&gt;=('难度参数'!$E$52+'难度参数'!$E$53),1,0)+IF(H664&gt;=('难度参数'!$E$52+'难度参数'!$E$53+'难度参数'!$E$54),1,0)+IF(H664&gt;=('难度参数'!$E$52+'难度参数'!$E$53+'难度参数'!$E$54+'难度参数'!$E$55),1,0)+IF(H664&gt;=('难度参数'!$E$52+'难度参数'!$E$53+'难度参数'!$E$54+'难度参数'!$E$55+'难度参数'!$E$56),1,0)+IF(H664&gt;=('难度参数'!$E$52+'难度参数'!$E$53+'难度参数'!$E$54+'难度参数'!$E$55+'难度参数'!$E$56+'难度参数'!$E$57),1,0)</x:f>
        <x:v>6</x:v>
      </x:c>
      <x:c r="W664" s="62" t="str">
        <x:f>IF(L664&gt;'难度参数'!$E$51,"仅出怪已超目标","还需实测")</x:f>
        <x:v>仅出怪已超目标</x:v>
      </x:c>
      <x:c r="X664" s="119" t="n">
        <x:f>IF(1&gt;D664,0,MAX(2,MIN('难度参数'!$E$12,ROUND(('难度参数'!$E$18*POWER(A664,'难度参数'!$E$19)/D664*(0.85+0.3*(1-1)/MAX(1,D664-1))),0)+F664)))</x:f>
        <x:v>39</x:v>
      </x:c>
      <x:c r="Y664" s="119" t="n">
        <x:f>IF(1&gt;D664,0,ROUND(('难度参数'!$E$13*POWER(A664,'难度参数'!$E$20)*MIN('难度参数'!$E$23,1+MAX(0,A664-'难度参数'!$E$21)*'难度参数'!$E$22))*(36+1*7)/(36+7*(D664+1)/2)*E664,0))</x:f>
        <x:v>9699</x:v>
      </x:c>
      <x:c r="Z664" s="119" t="n">
        <x:f>IF(X664=0,0,(X664-IF(1=D664,1,0))*ROUND(Y664*VLOOKUP(INDEX('章节与怪物'!$E$31:$K$37,B664,1),'章节与怪物'!$A$41:$F$44,2,FALSE),0)+IF(1=D664,ROUND(Y664*'难度参数'!$E$28*'章节与怪物'!$E$17,0),0))</x:f>
        <x:v>272337</x:v>
      </x:c>
      <x:c r="AA664" s="119" t="n">
        <x:f>IF(X664=0,0,(X664-IF(1=D664,1,0))*VLOOKUP(INDEX('章节与怪物'!$E$31:$K$37,B664,1),'章节与怪物'!$A$41:$F$44,4,FALSE)+IF(1=D664,'难度参数'!$E$30,0))</x:f>
        <x:v>780</x:v>
      </x:c>
      <x:c r="AB664" s="119" t="n">
        <x:f>IF(2&gt;D664,0,MAX(2,MIN('难度参数'!$E$12,ROUND(('难度参数'!$E$18*POWER(A664,'难度参数'!$E$19)/D664*(0.85+0.3*(2-1)/MAX(1,D664-1))),0)+F664)))</x:f>
        <x:v>41</x:v>
      </x:c>
      <x:c r="AC664" s="119" t="n">
        <x:f>IF(2&gt;D664,0,ROUND(('难度参数'!$E$13*POWER(A664,'难度参数'!$E$20)*MIN('难度参数'!$E$23,1+MAX(0,A664-'难度参数'!$E$21)*'难度参数'!$E$22))*(36+2*7)/(36+7*(D664+1)/2)*E664,0))</x:f>
        <x:v>11278</x:v>
      </x:c>
      <x:c r="AD664" s="119" t="n">
        <x:f>IF(AB664=0,0,(AB664-IF(2=D664,1,0))*ROUND(AC664*VLOOKUP(INDEX('章节与怪物'!$E$31:$K$37,B664,2),'章节与怪物'!$A$41:$F$44,2,FALSE),0)+IF(2=D664,ROUND(AC664*'难度参数'!$E$28*'章节与怪物'!$E$17,0),0))</x:f>
        <x:v>462398</x:v>
      </x:c>
      <x:c r="AE664" s="119" t="n">
        <x:f>IF(AB664=0,0,(AB664-IF(2=D664,1,0))*VLOOKUP(INDEX('章节与怪物'!$E$31:$K$37,B664,2),'章节与怪物'!$A$41:$F$44,4,FALSE)+IF(2=D664,'难度参数'!$E$30,0))</x:f>
        <x:v>738</x:v>
      </x:c>
      <x:c r="AF664" s="119" t="n">
        <x:f>IF(3&gt;D664,0,MAX(2,MIN('难度参数'!$E$12,ROUND(('难度参数'!$E$18*POWER(A664,'难度参数'!$E$19)/D664*(0.85+0.3*(3-1)/MAX(1,D664-1))),0)+F664)))</x:f>
        <x:v>43</x:v>
      </x:c>
      <x:c r="AG664" s="119" t="n">
        <x:f>IF(3&gt;D664,0,ROUND(('难度参数'!$E$13*POWER(A664,'难度参数'!$E$20)*MIN('难度参数'!$E$23,1+MAX(0,A664-'难度参数'!$E$21)*'难度参数'!$E$22))*(36+3*7)/(36+7*(D664+1)/2)*E664,0))</x:f>
        <x:v>12857</x:v>
      </x:c>
      <x:c r="AH664" s="119" t="n">
        <x:f>IF(AF664=0,0,(AF664-IF(3=D664,1,0))*ROUND(AG664*VLOOKUP(INDEX('章节与怪物'!$E$31:$K$37,B664,3),'章节与怪物'!$A$41:$F$44,2,FALSE),0)+IF(3=D664,ROUND(AG664*'难度参数'!$E$28*'章节与怪物'!$E$17,0),0))</x:f>
        <x:v>939851</x:v>
      </x:c>
      <x:c r="AI664" s="119" t="n">
        <x:f>IF(AF664=0,0,(AF664-IF(3=D664,1,0))*VLOOKUP(INDEX('章节与怪物'!$E$31:$K$37,B664,3),'章节与怪物'!$A$41:$F$44,4,FALSE)+IF(3=D664,'难度参数'!$E$30,0))</x:f>
        <x:v>1204</x:v>
      </x:c>
      <x:c r="AJ664" s="119" t="n">
        <x:f>IF(4&gt;D664,0,MAX(2,MIN('难度参数'!$E$12,ROUND(('难度参数'!$E$18*POWER(A664,'难度参数'!$E$19)/D664*(0.85+0.3*(4-1)/MAX(1,D664-1))),0)+F664)))</x:f>
        <x:v>46</x:v>
      </x:c>
      <x:c r="AK664" s="119" t="n">
        <x:f>IF(4&gt;D664,0,ROUND(('难度参数'!$E$13*POWER(A664,'难度参数'!$E$20)*MIN('难度参数'!$E$23,1+MAX(0,A664-'难度参数'!$E$21)*'难度参数'!$E$22))*(36+4*7)/(36+7*(D664+1)/2)*E664,0))</x:f>
        <x:v>14436</x:v>
      </x:c>
      <x:c r="AL664" s="119" t="n">
        <x:f>IF(AJ664=0,0,(AJ664-IF(4=D664,1,0))*ROUND(AK664*VLOOKUP(INDEX('章节与怪物'!$E$31:$K$37,B664,4),'章节与怪物'!$A$41:$F$44,2,FALSE),0)+IF(4=D664,ROUND(AK664*'难度参数'!$E$28*'章节与怪物'!$E$17,0),0))</x:f>
        <x:v>896494</x:v>
      </x:c>
      <x:c r="AM664" s="119" t="n">
        <x:f>IF(AJ664=0,0,(AJ664-IF(4=D664,1,0))*VLOOKUP(INDEX('章节与怪物'!$E$31:$K$37,B664,4),'章节与怪物'!$A$41:$F$44,4,FALSE)+IF(4=D664,'难度参数'!$E$30,0))</x:f>
        <x:v>1564</x:v>
      </x:c>
      <x:c r="AN664" s="119" t="n">
        <x:f>IF(5&gt;D664,0,MAX(2,MIN('难度参数'!$E$12,ROUND(('难度参数'!$E$18*POWER(A664,'难度参数'!$E$19)/D664*(0.85+0.3*(5-1)/MAX(1,D664-1))),0)+F664)))</x:f>
        <x:v>48</x:v>
      </x:c>
      <x:c r="AO664" s="119" t="n">
        <x:f>IF(5&gt;D664,0,ROUND(('难度参数'!$E$13*POWER(A664,'难度参数'!$E$20)*MIN('难度参数'!$E$23,1+MAX(0,A664-'难度参数'!$E$21)*'难度参数'!$E$22))*(36+5*7)/(36+7*(D664+1)/2)*E664,0))</x:f>
        <x:v>16015</x:v>
      </x:c>
      <x:c r="AP664" s="119" t="n">
        <x:f>IF(AN664=0,0,(AN664-IF(5=D664,1,0))*ROUND(AO664*VLOOKUP(INDEX('章节与怪物'!$E$31:$K$37,B664,5),'章节与怪物'!$A$41:$F$44,2,FALSE),0)+IF(5=D664,ROUND(AO664*'难度参数'!$E$28*'章节与怪物'!$E$17,0),0))</x:f>
        <x:v>768720</x:v>
      </x:c>
      <x:c r="AQ664" s="119" t="n">
        <x:f>IF(AN664=0,0,(AN664-IF(5=D664,1,0))*VLOOKUP(INDEX('章节与怪物'!$E$31:$K$37,B664,5),'章节与怪物'!$A$41:$F$44,4,FALSE)+IF(5=D664,'难度参数'!$E$30,0))</x:f>
        <x:v>864</x:v>
      </x:c>
      <x:c r="AR664" s="119" t="n">
        <x:f>IF(6&gt;D664,0,MAX(2,MIN('难度参数'!$E$12,ROUND(('难度参数'!$E$18*POWER(A664,'难度参数'!$E$19)/D664*(0.85+0.3*(6-1)/MAX(1,D664-1))),0)+F664)))</x:f>
        <x:v>50</x:v>
      </x:c>
      <x:c r="AS664" s="119" t="n">
        <x:f>IF(6&gt;D664,0,ROUND(('难度参数'!$E$13*POWER(A664,'难度参数'!$E$20)*MIN('难度参数'!$E$23,1+MAX(0,A664-'难度参数'!$E$21)*'难度参数'!$E$22))*(36+6*7)/(36+7*(D664+1)/2)*E664,0))</x:f>
        <x:v>17594</x:v>
      </x:c>
      <x:c r="AT664" s="119" t="n">
        <x:f>IF(AR664=0,0,(AR664-IF(6=D664,1,0))*ROUND(AS664*VLOOKUP(INDEX('章节与怪物'!$E$31:$K$37,B664,6),'章节与怪物'!$A$41:$F$44,2,FALSE),0)+IF(6=D664,ROUND(AS664*'难度参数'!$E$28*'章节与怪物'!$E$17,0),0))</x:f>
        <x:v>1495500</x:v>
      </x:c>
      <x:c r="AU664" s="119" t="n">
        <x:f>IF(AR664=0,0,(AR664-IF(6=D664,1,0))*VLOOKUP(INDEX('章节与怪物'!$E$31:$K$37,B664,6),'章节与怪物'!$A$41:$F$44,4,FALSE)+IF(6=D664,'难度参数'!$E$30,0))</x:f>
        <x:v>1400</x:v>
      </x:c>
      <x:c r="AV664" s="119" t="n">
        <x:f>IF(7&gt;D664,0,MAX(2,MIN('难度参数'!$E$12,ROUND(('难度参数'!$E$18*POWER(A664,'难度参数'!$E$19)/D664*(0.85+0.3*(7-1)/MAX(1,D664-1))),0)+F664)))</x:f>
        <x:v>53</x:v>
      </x:c>
      <x:c r="AW664" s="119" t="n">
        <x:f>IF(7&gt;D664,0,ROUND(('难度参数'!$E$13*POWER(A664,'难度参数'!$E$20)*MIN('难度参数'!$E$23,1+MAX(0,A664-'难度参数'!$E$21)*'难度参数'!$E$22))*(36+7*7)/(36+7*(D664+1)/2)*E664,0))</x:f>
        <x:v>19173</x:v>
      </x:c>
      <x:c r="AX664" s="119" t="n">
        <x:f>IF(AV664=0,0,(AV664-IF(7=D664,1,0))*ROUND(AW664*VLOOKUP(INDEX('章节与怪物'!$E$31:$K$37,B664,7),'章节与怪物'!$A$41:$F$44,2,FALSE),0)+IF(7=D664,ROUND(AW664*'难度参数'!$E$28*'章节与怪物'!$E$17,0),0))</x:f>
        <x:v>1476344</x:v>
      </x:c>
      <x:c r="AY664" s="119" t="n">
        <x:f>IF(AV664=0,0,(AV664-IF(7=D664,1,0))*VLOOKUP(INDEX('章节与怪物'!$E$31:$K$37,B664,7),'章节与怪物'!$A$41:$F$44,4,FALSE)+IF(7=D664,'难度参数'!$E$30,0))</x:f>
        <x:v>1968</x:v>
      </x:c>
    </x:row>
    <x:row r="665" ht="23" customHeight="1">
      <x:c r="A665" s="119" t="n">
        <x:v>659</x:v>
      </x:c>
      <x:c r="B665" s="119" t="n">
        <x:f>MOD(INT((A665-1)/5),7)+1</x:f>
        <x:v>6</x:v>
      </x:c>
      <x:c r="C665" s="62" t="str">
        <x:f>INDEX('章节与怪物'!$B$31:$B$37,B665)</x:f>
        <x:v>熔岩山脉</x:v>
      </x:c>
      <x:c r="D665" s="119" t="n">
        <x:f>MIN('难度参数'!$E$8,MAX('难度参数'!$E$7,A665))</x:f>
        <x:v>7</x:v>
      </x:c>
      <x:c r="E665" s="106" t="n">
        <x:v>1</x:v>
      </x:c>
      <x:c r="F665" s="106" t="n">
        <x:v>0</x:v>
      </x:c>
      <x:c r="G665" s="106" t="n">
        <x:v>1</x:v>
      </x:c>
      <x:c r="H665" s="119" t="n">
        <x:f>SUM(X665,AB665,AF665,AJ665,AN665,AR665,AV665)</x:f>
        <x:v>320</x:v>
      </x:c>
      <x:c r="I665" s="119" t="n">
        <x:f>SUM(Z665,AD665,AH665,AL665,AP665,AT665,AX665)</x:f>
        <x:v>6318650</x:v>
      </x:c>
      <x:c r="J665" s="119" t="n">
        <x:f>ROUND(INDEX(X665:AY665,1,(D665-1)*4+2)*'难度参数'!$E$28*'章节与怪物'!$E$17,0)</x:f>
        <x:v>130519</x:v>
      </x:c>
      <x:c r="K665" s="119" t="n">
        <x:f>SUM(AA665,AE665,AI665,AM665,AQ665,AU665,AY665)</x:f>
        <x:v>8518</x:v>
      </x:c>
      <x:c r="L665" s="62" t="n">
        <x:f>H665*(ROUNDUP('难度参数'!$E$24/('难度参数'!$E$26*'难度参数'!$E$27),0)*'难度参数'!$E$26)/60</x:f>
        <x:v>4.266666666666667</x:v>
      </x:c>
      <x:c r="M665" s="62" t="n">
        <x:f>L665+D665*('难度参数'!$E$49+'难度参数'!$E$50)/60</x:f>
        <x:v>5.433333333333334</x:v>
      </x:c>
      <x:c r="N665" s="119" t="n">
        <x:f>ROUNDDOWN(('经济参数'!$E$20+A665*'经济参数'!$E$21)*G665,0)</x:f>
        <x:v>13360</x:v>
      </x:c>
      <x:c r="O665" s="119" t="n">
        <x:f>ROUNDDOWN(MIN('经济参数'!$E$24,'经济参数'!$E$22+A665*'经济参数'!$E$23)*G665,0)</x:f>
        <x:v>0</x:v>
      </x:c>
      <x:c r="P665" s="119" t="n">
        <x:f>ROUNDDOWN((IF(A665&gt;='材料与任务'!$E$31,'材料与任务'!$E$32,IF(A665&gt;='材料与任务'!$E$25,'材料与任务'!$E$26,IF(A665&gt;='材料与任务'!$E$19,'材料与任务'!$E$20,IF(A665&gt;='材料与任务'!$E$13,'材料与任务'!$E$14,'材料与任务'!$E$8)))))*G665,0)</x:f>
        <x:v>6</x:v>
      </x:c>
      <x:c r="Q665" s="119" t="n">
        <x:f>ROUNDDOWN((IF(A665&gt;='材料与任务'!$E$31,'材料与任务'!$E$33,IF(A665&gt;='材料与任务'!$E$25,'材料与任务'!$E$27,IF(A665&gt;='材料与任务'!$E$19,'材料与任务'!$E$21,IF(A665&gt;='材料与任务'!$E$13,'材料与任务'!$E$15,'材料与任务'!$E$9)))))*G665,0)</x:f>
        <x:v>3</x:v>
      </x:c>
      <x:c r="R665" s="110" t="n">
        <x:f>'装备掉落'!$B$38</x:f>
        <x:v>0.6872058758851213</x:v>
      </x:c>
      <x:c r="S665" s="119" t="n">
        <x:f>MAX(IF(VLOOKUP(A665,'装备掉落'!$A$29:$H$34,2,TRUE)&gt;0,1,0),IF(VLOOKUP(A665,'装备掉落'!$A$29:$H$34,3,TRUE)&gt;0,2,0),IF(VLOOKUP(A665,'装备掉落'!$A$29:$H$34,4,TRUE)&gt;0,3,0),IF(VLOOKUP(A665,'装备掉落'!$A$29:$H$34,5,TRUE)&gt;0,4,0),IF(VLOOKUP(A665,'装备掉落'!$A$29:$H$34,6,TRUE)&gt;0,5,0),IF(VLOOKUP(A665,'装备掉落'!$A$29:$H$34,7,TRUE)&gt;0,6,0),IF(VLOOKUP(A665,'装备掉落'!$A$29:$H$34,8,TRUE)&gt;0,7,0))</x:f>
        <x:v>7</x:v>
      </x:c>
      <x:c r="T665" s="119" t="n">
        <x:f>MIN(7,S665+'经济参数'!$E$70)</x:f>
        <x:v>7</x:v>
      </x:c>
      <x:c r="U665" s="119" t="n">
        <x:f>MIN(7,S665+'经济参数'!$E$71)</x:f>
        <x:v>7</x:v>
      </x:c>
      <x:c r="V665" s="119" t="n">
        <x:f>IF(H665&gt;=('难度参数'!$E$52),1,0)+IF(H665&gt;=('难度参数'!$E$52+'难度参数'!$E$53),1,0)+IF(H665&gt;=('难度参数'!$E$52+'难度参数'!$E$53+'难度参数'!$E$54),1,0)+IF(H665&gt;=('难度参数'!$E$52+'难度参数'!$E$53+'难度参数'!$E$54+'难度参数'!$E$55),1,0)+IF(H665&gt;=('难度参数'!$E$52+'难度参数'!$E$53+'难度参数'!$E$54+'难度参数'!$E$55+'难度参数'!$E$56),1,0)+IF(H665&gt;=('难度参数'!$E$52+'难度参数'!$E$53+'难度参数'!$E$54+'难度参数'!$E$55+'难度参数'!$E$56+'难度参数'!$E$57),1,0)</x:f>
        <x:v>6</x:v>
      </x:c>
      <x:c r="W665" s="62" t="str">
        <x:f>IF(L665&gt;'难度参数'!$E$51,"仅出怪已超目标","还需实测")</x:f>
        <x:v>仅出怪已超目标</x:v>
      </x:c>
      <x:c r="X665" s="119" t="n">
        <x:f>IF(1&gt;D665,0,MAX(2,MIN('难度参数'!$E$12,ROUND(('难度参数'!$E$18*POWER(A665,'难度参数'!$E$19)/D665*(0.85+0.3*(1-1)/MAX(1,D665-1))),0)+F665)))</x:f>
        <x:v>39</x:v>
      </x:c>
      <x:c r="Y665" s="119" t="n">
        <x:f>IF(1&gt;D665,0,ROUND(('难度参数'!$E$13*POWER(A665,'难度参数'!$E$20)*MIN('难度参数'!$E$23,1+MAX(0,A665-'难度参数'!$E$21)*'难度参数'!$E$22))*(36+1*7)/(36+7*(D665+1)/2)*E665,0))</x:f>
        <x:v>9710</x:v>
      </x:c>
      <x:c r="Z665" s="119" t="n">
        <x:f>IF(X665=0,0,(X665-IF(1=D665,1,0))*ROUND(Y665*VLOOKUP(INDEX('章节与怪物'!$E$31:$K$37,B665,1),'章节与怪物'!$A$41:$F$44,2,FALSE),0)+IF(1=D665,ROUND(Y665*'难度参数'!$E$28*'章节与怪物'!$E$17,0),0))</x:f>
        <x:v>272649</x:v>
      </x:c>
      <x:c r="AA665" s="119" t="n">
        <x:f>IF(X665=0,0,(X665-IF(1=D665,1,0))*VLOOKUP(INDEX('章节与怪物'!$E$31:$K$37,B665,1),'章节与怪物'!$A$41:$F$44,4,FALSE)+IF(1=D665,'难度参数'!$E$30,0))</x:f>
        <x:v>780</x:v>
      </x:c>
      <x:c r="AB665" s="119" t="n">
        <x:f>IF(2&gt;D665,0,MAX(2,MIN('难度参数'!$E$12,ROUND(('难度参数'!$E$18*POWER(A665,'难度参数'!$E$19)/D665*(0.85+0.3*(2-1)/MAX(1,D665-1))),0)+F665)))</x:f>
        <x:v>41</x:v>
      </x:c>
      <x:c r="AC665" s="119" t="n">
        <x:f>IF(2&gt;D665,0,ROUND(('难度参数'!$E$13*POWER(A665,'难度参数'!$E$20)*MIN('难度参数'!$E$23,1+MAX(0,A665-'难度参数'!$E$21)*'难度参数'!$E$22))*(36+2*7)/(36+7*(D665+1)/2)*E665,0))</x:f>
        <x:v>11291</x:v>
      </x:c>
      <x:c r="AD665" s="119" t="n">
        <x:f>IF(AB665=0,0,(AB665-IF(2=D665,1,0))*ROUND(AC665*VLOOKUP(INDEX('章节与怪物'!$E$31:$K$37,B665,2),'章节与怪物'!$A$41:$F$44,2,FALSE),0)+IF(2=D665,ROUND(AC665*'难度参数'!$E$28*'章节与怪物'!$E$17,0),0))</x:f>
        <x:v>462931</x:v>
      </x:c>
      <x:c r="AE665" s="119" t="n">
        <x:f>IF(AB665=0,0,(AB665-IF(2=D665,1,0))*VLOOKUP(INDEX('章节与怪物'!$E$31:$K$37,B665,2),'章节与怪物'!$A$41:$F$44,4,FALSE)+IF(2=D665,'难度参数'!$E$30,0))</x:f>
        <x:v>738</x:v>
      </x:c>
      <x:c r="AF665" s="119" t="n">
        <x:f>IF(3&gt;D665,0,MAX(2,MIN('难度参数'!$E$12,ROUND(('难度参数'!$E$18*POWER(A665,'难度参数'!$E$19)/D665*(0.85+0.3*(3-1)/MAX(1,D665-1))),0)+F665)))</x:f>
        <x:v>43</x:v>
      </x:c>
      <x:c r="AG665" s="119" t="n">
        <x:f>IF(3&gt;D665,0,ROUND(('难度参数'!$E$13*POWER(A665,'难度参数'!$E$20)*MIN('难度参数'!$E$23,1+MAX(0,A665-'难度参数'!$E$21)*'难度参数'!$E$22))*(36+3*7)/(36+7*(D665+1)/2)*E665,0))</x:f>
        <x:v>12871</x:v>
      </x:c>
      <x:c r="AH665" s="119" t="n">
        <x:f>IF(AF665=0,0,(AF665-IF(3=D665,1,0))*ROUND(AG665*VLOOKUP(INDEX('章节与怪物'!$E$31:$K$37,B665,3),'章节与怪物'!$A$41:$F$44,2,FALSE),0)+IF(3=D665,ROUND(AG665*'难度参数'!$E$28*'章节与怪物'!$E$17,0),0))</x:f>
        <x:v>940883</x:v>
      </x:c>
      <x:c r="AI665" s="119" t="n">
        <x:f>IF(AF665=0,0,(AF665-IF(3=D665,1,0))*VLOOKUP(INDEX('章节与怪物'!$E$31:$K$37,B665,3),'章节与怪物'!$A$41:$F$44,4,FALSE)+IF(3=D665,'难度参数'!$E$30,0))</x:f>
        <x:v>1204</x:v>
      </x:c>
      <x:c r="AJ665" s="119" t="n">
        <x:f>IF(4&gt;D665,0,MAX(2,MIN('难度参数'!$E$12,ROUND(('难度参数'!$E$18*POWER(A665,'难度参数'!$E$19)/D665*(0.85+0.3*(4-1)/MAX(1,D665-1))),0)+F665)))</x:f>
        <x:v>46</x:v>
      </x:c>
      <x:c r="AK665" s="119" t="n">
        <x:f>IF(4&gt;D665,0,ROUND(('难度参数'!$E$13*POWER(A665,'难度参数'!$E$20)*MIN('难度参数'!$E$23,1+MAX(0,A665-'难度参数'!$E$21)*'难度参数'!$E$22))*(36+4*7)/(36+7*(D665+1)/2)*E665,0))</x:f>
        <x:v>14452</x:v>
      </x:c>
      <x:c r="AL665" s="119" t="n">
        <x:f>IF(AJ665=0,0,(AJ665-IF(4=D665,1,0))*ROUND(AK665*VLOOKUP(INDEX('章节与怪物'!$E$31:$K$37,B665,4),'章节与怪物'!$A$41:$F$44,2,FALSE),0)+IF(4=D665,ROUND(AK665*'难度参数'!$E$28*'章节与怪物'!$E$17,0),0))</x:f>
        <x:v>897460</x:v>
      </x:c>
      <x:c r="AM665" s="119" t="n">
        <x:f>IF(AJ665=0,0,(AJ665-IF(4=D665,1,0))*VLOOKUP(INDEX('章节与怪物'!$E$31:$K$37,B665,4),'章节与怪物'!$A$41:$F$44,4,FALSE)+IF(4=D665,'难度参数'!$E$30,0))</x:f>
        <x:v>1564</x:v>
      </x:c>
      <x:c r="AN665" s="119" t="n">
        <x:f>IF(5&gt;D665,0,MAX(2,MIN('难度参数'!$E$12,ROUND(('难度参数'!$E$18*POWER(A665,'难度参数'!$E$19)/D665*(0.85+0.3*(5-1)/MAX(1,D665-1))),0)+F665)))</x:f>
        <x:v>48</x:v>
      </x:c>
      <x:c r="AO665" s="119" t="n">
        <x:f>IF(5&gt;D665,0,ROUND(('难度参数'!$E$13*POWER(A665,'难度参数'!$E$20)*MIN('难度参数'!$E$23,1+MAX(0,A665-'难度参数'!$E$21)*'难度参数'!$E$22))*(36+5*7)/(36+7*(D665+1)/2)*E665,0))</x:f>
        <x:v>16033</x:v>
      </x:c>
      <x:c r="AP665" s="119" t="n">
        <x:f>IF(AN665=0,0,(AN665-IF(5=D665,1,0))*ROUND(AO665*VLOOKUP(INDEX('章节与怪物'!$E$31:$K$37,B665,5),'章节与怪物'!$A$41:$F$44,2,FALSE),0)+IF(5=D665,ROUND(AO665*'难度参数'!$E$28*'章节与怪物'!$E$17,0),0))</x:f>
        <x:v>769584</x:v>
      </x:c>
      <x:c r="AQ665" s="119" t="n">
        <x:f>IF(AN665=0,0,(AN665-IF(5=D665,1,0))*VLOOKUP(INDEX('章节与怪物'!$E$31:$K$37,B665,5),'章节与怪物'!$A$41:$F$44,4,FALSE)+IF(5=D665,'难度参数'!$E$30,0))</x:f>
        <x:v>864</x:v>
      </x:c>
      <x:c r="AR665" s="119" t="n">
        <x:f>IF(6&gt;D665,0,MAX(2,MIN('难度参数'!$E$12,ROUND(('难度参数'!$E$18*POWER(A665,'难度参数'!$E$19)/D665*(0.85+0.3*(6-1)/MAX(1,D665-1))),0)+F665)))</x:f>
        <x:v>50</x:v>
      </x:c>
      <x:c r="AS665" s="119" t="n">
        <x:f>IF(6&gt;D665,0,ROUND(('难度参数'!$E$13*POWER(A665,'难度参数'!$E$20)*MIN('难度参数'!$E$23,1+MAX(0,A665-'难度参数'!$E$21)*'难度参数'!$E$22))*(36+6*7)/(36+7*(D665+1)/2)*E665,0))</x:f>
        <x:v>17614</x:v>
      </x:c>
      <x:c r="AT665" s="119" t="n">
        <x:f>IF(AR665=0,0,(AR665-IF(6=D665,1,0))*ROUND(AS665*VLOOKUP(INDEX('章节与怪物'!$E$31:$K$37,B665,6),'章节与怪物'!$A$41:$F$44,2,FALSE),0)+IF(6=D665,ROUND(AS665*'难度参数'!$E$28*'章节与怪物'!$E$17,0),0))</x:f>
        <x:v>1497200</x:v>
      </x:c>
      <x:c r="AU665" s="119" t="n">
        <x:f>IF(AR665=0,0,(AR665-IF(6=D665,1,0))*VLOOKUP(INDEX('章节与怪物'!$E$31:$K$37,B665,6),'章节与怪物'!$A$41:$F$44,4,FALSE)+IF(6=D665,'难度参数'!$E$30,0))</x:f>
        <x:v>1400</x:v>
      </x:c>
      <x:c r="AV665" s="119" t="n">
        <x:f>IF(7&gt;D665,0,MAX(2,MIN('难度参数'!$E$12,ROUND(('难度参数'!$E$18*POWER(A665,'难度参数'!$E$19)/D665*(0.85+0.3*(7-1)/MAX(1,D665-1))),0)+F665)))</x:f>
        <x:v>53</x:v>
      </x:c>
      <x:c r="AW665" s="119" t="n">
        <x:f>IF(7&gt;D665,0,ROUND(('难度参数'!$E$13*POWER(A665,'难度参数'!$E$20)*MIN('难度参数'!$E$23,1+MAX(0,A665-'难度参数'!$E$21)*'难度参数'!$E$22))*(36+7*7)/(36+7*(D665+1)/2)*E665,0))</x:f>
        <x:v>19194</x:v>
      </x:c>
      <x:c r="AX665" s="119" t="n">
        <x:f>IF(AV665=0,0,(AV665-IF(7=D665,1,0))*ROUND(AW665*VLOOKUP(INDEX('章节与怪物'!$E$31:$K$37,B665,7),'章节与怪物'!$A$41:$F$44,2,FALSE),0)+IF(7=D665,ROUND(AW665*'难度参数'!$E$28*'章节与怪物'!$E$17,0),0))</x:f>
        <x:v>1477943</x:v>
      </x:c>
      <x:c r="AY665" s="119" t="n">
        <x:f>IF(AV665=0,0,(AV665-IF(7=D665,1,0))*VLOOKUP(INDEX('章节与怪物'!$E$31:$K$37,B665,7),'章节与怪物'!$A$41:$F$44,4,FALSE)+IF(7=D665,'难度参数'!$E$30,0))</x:f>
        <x:v>1968</x:v>
      </x:c>
    </x:row>
    <x:row r="666" ht="23" customHeight="1">
      <x:c r="A666" s="119" t="n">
        <x:v>660</x:v>
      </x:c>
      <x:c r="B666" s="119" t="n">
        <x:f>MOD(INT((A666-1)/5),7)+1</x:f>
        <x:v>6</x:v>
      </x:c>
      <x:c r="C666" s="62" t="str">
        <x:f>INDEX('章节与怪物'!$B$31:$B$37,B666)</x:f>
        <x:v>熔岩山脉</x:v>
      </x:c>
      <x:c r="D666" s="119" t="n">
        <x:f>MIN('难度参数'!$E$8,MAX('难度参数'!$E$7,A666))</x:f>
        <x:v>7</x:v>
      </x:c>
      <x:c r="E666" s="106" t="n">
        <x:v>1</x:v>
      </x:c>
      <x:c r="F666" s="106" t="n">
        <x:v>0</x:v>
      </x:c>
      <x:c r="G666" s="106" t="n">
        <x:v>1</x:v>
      </x:c>
      <x:c r="H666" s="119" t="n">
        <x:f>SUM(X666,AB666,AF666,AJ666,AN666,AR666,AV666)</x:f>
        <x:v>320</x:v>
      </x:c>
      <x:c r="I666" s="119" t="n">
        <x:f>SUM(Z666,AD666,AH666,AL666,AP666,AT666,AX666)</x:f>
        <x:v>6325513</x:v>
      </x:c>
      <x:c r="J666" s="119" t="n">
        <x:f>ROUND(INDEX(X666:AY666,1,(D666-1)*4+2)*'难度参数'!$E$28*'章节与怪物'!$E$17,0)</x:f>
        <x:v>130662</x:v>
      </x:c>
      <x:c r="K666" s="119" t="n">
        <x:f>SUM(AA666,AE666,AI666,AM666,AQ666,AU666,AY666)</x:f>
        <x:v>8518</x:v>
      </x:c>
      <x:c r="L666" s="62" t="n">
        <x:f>H666*(ROUNDUP('难度参数'!$E$24/('难度参数'!$E$26*'难度参数'!$E$27),0)*'难度参数'!$E$26)/60</x:f>
        <x:v>4.266666666666667</x:v>
      </x:c>
      <x:c r="M666" s="62" t="n">
        <x:f>L666+D666*('难度参数'!$E$49+'难度参数'!$E$50)/60</x:f>
        <x:v>5.433333333333334</x:v>
      </x:c>
      <x:c r="N666" s="119" t="n">
        <x:f>ROUNDDOWN(('经济参数'!$E$20+A666*'经济参数'!$E$21)*G666,0)</x:f>
        <x:v>13380</x:v>
      </x:c>
      <x:c r="O666" s="119" t="n">
        <x:f>ROUNDDOWN(MIN('经济参数'!$E$24,'经济参数'!$E$22+A666*'经济参数'!$E$23)*G666,0)</x:f>
        <x:v>0</x:v>
      </x:c>
      <x:c r="P666" s="119" t="n">
        <x:f>ROUNDDOWN((IF(A666&gt;='材料与任务'!$E$31,'材料与任务'!$E$32,IF(A666&gt;='材料与任务'!$E$25,'材料与任务'!$E$26,IF(A666&gt;='材料与任务'!$E$19,'材料与任务'!$E$20,IF(A666&gt;='材料与任务'!$E$13,'材料与任务'!$E$14,'材料与任务'!$E$8)))))*G666,0)</x:f>
        <x:v>6</x:v>
      </x:c>
      <x:c r="Q666" s="119" t="n">
        <x:f>ROUNDDOWN((IF(A666&gt;='材料与任务'!$E$31,'材料与任务'!$E$33,IF(A666&gt;='材料与任务'!$E$25,'材料与任务'!$E$27,IF(A666&gt;='材料与任务'!$E$19,'材料与任务'!$E$21,IF(A666&gt;='材料与任务'!$E$13,'材料与任务'!$E$15,'材料与任务'!$E$9)))))*G666,0)</x:f>
        <x:v>3</x:v>
      </x:c>
      <x:c r="R666" s="110" t="n">
        <x:f>'装备掉落'!$B$38</x:f>
        <x:v>0.6872058758851213</x:v>
      </x:c>
      <x:c r="S666" s="119" t="n">
        <x:f>MAX(IF(VLOOKUP(A666,'装备掉落'!$A$29:$H$34,2,TRUE)&gt;0,1,0),IF(VLOOKUP(A666,'装备掉落'!$A$29:$H$34,3,TRUE)&gt;0,2,0),IF(VLOOKUP(A666,'装备掉落'!$A$29:$H$34,4,TRUE)&gt;0,3,0),IF(VLOOKUP(A666,'装备掉落'!$A$29:$H$34,5,TRUE)&gt;0,4,0),IF(VLOOKUP(A666,'装备掉落'!$A$29:$H$34,6,TRUE)&gt;0,5,0),IF(VLOOKUP(A666,'装备掉落'!$A$29:$H$34,7,TRUE)&gt;0,6,0),IF(VLOOKUP(A666,'装备掉落'!$A$29:$H$34,8,TRUE)&gt;0,7,0))</x:f>
        <x:v>7</x:v>
      </x:c>
      <x:c r="T666" s="119" t="n">
        <x:f>MIN(7,S666+'经济参数'!$E$70)</x:f>
        <x:v>7</x:v>
      </x:c>
      <x:c r="U666" s="119" t="n">
        <x:f>MIN(7,S666+'经济参数'!$E$71)</x:f>
        <x:v>7</x:v>
      </x:c>
      <x:c r="V666" s="119" t="n">
        <x:f>IF(H666&gt;=('难度参数'!$E$52),1,0)+IF(H666&gt;=('难度参数'!$E$52+'难度参数'!$E$53),1,0)+IF(H666&gt;=('难度参数'!$E$52+'难度参数'!$E$53+'难度参数'!$E$54),1,0)+IF(H666&gt;=('难度参数'!$E$52+'难度参数'!$E$53+'难度参数'!$E$54+'难度参数'!$E$55),1,0)+IF(H666&gt;=('难度参数'!$E$52+'难度参数'!$E$53+'难度参数'!$E$54+'难度参数'!$E$55+'难度参数'!$E$56),1,0)+IF(H666&gt;=('难度参数'!$E$52+'难度参数'!$E$53+'难度参数'!$E$54+'难度参数'!$E$55+'难度参数'!$E$56+'难度参数'!$E$57),1,0)</x:f>
        <x:v>6</x:v>
      </x:c>
      <x:c r="W666" s="62" t="str">
        <x:f>IF(L666&gt;'难度参数'!$E$51,"仅出怪已超目标","还需实测")</x:f>
        <x:v>仅出怪已超目标</x:v>
      </x:c>
      <x:c r="X666" s="119" t="n">
        <x:f>IF(1&gt;D666,0,MAX(2,MIN('难度参数'!$E$12,ROUND(('难度参数'!$E$18*POWER(A666,'难度参数'!$E$19)/D666*(0.85+0.3*(1-1)/MAX(1,D666-1))),0)+F666)))</x:f>
        <x:v>39</x:v>
      </x:c>
      <x:c r="Y666" s="119" t="n">
        <x:f>IF(1&gt;D666,0,ROUND(('难度参数'!$E$13*POWER(A666,'难度参数'!$E$20)*MIN('难度参数'!$E$23,1+MAX(0,A666-'难度参数'!$E$21)*'难度参数'!$E$22))*(36+1*7)/(36+7*(D666+1)/2)*E666,0))</x:f>
        <x:v>9721</x:v>
      </x:c>
      <x:c r="Z666" s="119" t="n">
        <x:f>IF(X666=0,0,(X666-IF(1=D666,1,0))*ROUND(Y666*VLOOKUP(INDEX('章节与怪物'!$E$31:$K$37,B666,1),'章节与怪物'!$A$41:$F$44,2,FALSE),0)+IF(1=D666,ROUND(Y666*'难度参数'!$E$28*'章节与怪物'!$E$17,0),0))</x:f>
        <x:v>272961</x:v>
      </x:c>
      <x:c r="AA666" s="119" t="n">
        <x:f>IF(X666=0,0,(X666-IF(1=D666,1,0))*VLOOKUP(INDEX('章节与怪物'!$E$31:$K$37,B666,1),'章节与怪物'!$A$41:$F$44,4,FALSE)+IF(1=D666,'难度参数'!$E$30,0))</x:f>
        <x:v>780</x:v>
      </x:c>
      <x:c r="AB666" s="119" t="n">
        <x:f>IF(2&gt;D666,0,MAX(2,MIN('难度参数'!$E$12,ROUND(('难度参数'!$E$18*POWER(A666,'难度参数'!$E$19)/D666*(0.85+0.3*(2-1)/MAX(1,D666-1))),0)+F666)))</x:f>
        <x:v>41</x:v>
      </x:c>
      <x:c r="AC666" s="119" t="n">
        <x:f>IF(2&gt;D666,0,ROUND(('难度参数'!$E$13*POWER(A666,'难度参数'!$E$20)*MIN('难度参数'!$E$23,1+MAX(0,A666-'难度参数'!$E$21)*'难度参数'!$E$22))*(36+2*7)/(36+7*(D666+1)/2)*E666,0))</x:f>
        <x:v>11303</x:v>
      </x:c>
      <x:c r="AD666" s="119" t="n">
        <x:f>IF(AB666=0,0,(AB666-IF(2=D666,1,0))*ROUND(AC666*VLOOKUP(INDEX('章节与怪物'!$E$31:$K$37,B666,2),'章节与怪物'!$A$41:$F$44,2,FALSE),0)+IF(2=D666,ROUND(AC666*'难度参数'!$E$28*'章节与怪物'!$E$17,0),0))</x:f>
        <x:v>463423</x:v>
      </x:c>
      <x:c r="AE666" s="119" t="n">
        <x:f>IF(AB666=0,0,(AB666-IF(2=D666,1,0))*VLOOKUP(INDEX('章节与怪物'!$E$31:$K$37,B666,2),'章节与怪物'!$A$41:$F$44,4,FALSE)+IF(2=D666,'难度参数'!$E$30,0))</x:f>
        <x:v>738</x:v>
      </x:c>
      <x:c r="AF666" s="119" t="n">
        <x:f>IF(3&gt;D666,0,MAX(2,MIN('难度参数'!$E$12,ROUND(('难度参数'!$E$18*POWER(A666,'难度参数'!$E$19)/D666*(0.85+0.3*(3-1)/MAX(1,D666-1))),0)+F666)))</x:f>
        <x:v>43</x:v>
      </x:c>
      <x:c r="AG666" s="119" t="n">
        <x:f>IF(3&gt;D666,0,ROUND(('难度参数'!$E$13*POWER(A666,'难度参数'!$E$20)*MIN('难度参数'!$E$23,1+MAX(0,A666-'难度参数'!$E$21)*'难度参数'!$E$22))*(36+3*7)/(36+7*(D666+1)/2)*E666,0))</x:f>
        <x:v>12885</x:v>
      </x:c>
      <x:c r="AH666" s="119" t="n">
        <x:f>IF(AF666=0,0,(AF666-IF(3=D666,1,0))*ROUND(AG666*VLOOKUP(INDEX('章节与怪物'!$E$31:$K$37,B666,3),'章节与怪物'!$A$41:$F$44,2,FALSE),0)+IF(3=D666,ROUND(AG666*'难度参数'!$E$28*'章节与怪物'!$E$17,0),0))</x:f>
        <x:v>941915</x:v>
      </x:c>
      <x:c r="AI666" s="119" t="n">
        <x:f>IF(AF666=0,0,(AF666-IF(3=D666,1,0))*VLOOKUP(INDEX('章节与怪物'!$E$31:$K$37,B666,3),'章节与怪物'!$A$41:$F$44,4,FALSE)+IF(3=D666,'难度参数'!$E$30,0))</x:f>
        <x:v>1204</x:v>
      </x:c>
      <x:c r="AJ666" s="119" t="n">
        <x:f>IF(4&gt;D666,0,MAX(2,MIN('难度参数'!$E$12,ROUND(('难度参数'!$E$18*POWER(A666,'难度参数'!$E$19)/D666*(0.85+0.3*(4-1)/MAX(1,D666-1))),0)+F666)))</x:f>
        <x:v>46</x:v>
      </x:c>
      <x:c r="AK666" s="119" t="n">
        <x:f>IF(4&gt;D666,0,ROUND(('难度参数'!$E$13*POWER(A666,'难度参数'!$E$20)*MIN('难度参数'!$E$23,1+MAX(0,A666-'难度参数'!$E$21)*'难度参数'!$E$22))*(36+4*7)/(36+7*(D666+1)/2)*E666,0))</x:f>
        <x:v>14468</x:v>
      </x:c>
      <x:c r="AL666" s="119" t="n">
        <x:f>IF(AJ666=0,0,(AJ666-IF(4=D666,1,0))*ROUND(AK666*VLOOKUP(INDEX('章节与怪物'!$E$31:$K$37,B666,4),'章节与怪物'!$A$41:$F$44,2,FALSE),0)+IF(4=D666,ROUND(AK666*'难度参数'!$E$28*'章节与怪物'!$E$17,0),0))</x:f>
        <x:v>898472</x:v>
      </x:c>
      <x:c r="AM666" s="119" t="n">
        <x:f>IF(AJ666=0,0,(AJ666-IF(4=D666,1,0))*VLOOKUP(INDEX('章节与怪物'!$E$31:$K$37,B666,4),'章节与怪物'!$A$41:$F$44,4,FALSE)+IF(4=D666,'难度参数'!$E$30,0))</x:f>
        <x:v>1564</x:v>
      </x:c>
      <x:c r="AN666" s="119" t="n">
        <x:f>IF(5&gt;D666,0,MAX(2,MIN('难度参数'!$E$12,ROUND(('难度参数'!$E$18*POWER(A666,'难度参数'!$E$19)/D666*(0.85+0.3*(5-1)/MAX(1,D666-1))),0)+F666)))</x:f>
        <x:v>48</x:v>
      </x:c>
      <x:c r="AO666" s="119" t="n">
        <x:f>IF(5&gt;D666,0,ROUND(('难度参数'!$E$13*POWER(A666,'难度参数'!$E$20)*MIN('难度参数'!$E$23,1+MAX(0,A666-'难度参数'!$E$21)*'难度参数'!$E$22))*(36+5*7)/(36+7*(D666+1)/2)*E666,0))</x:f>
        <x:v>16050</x:v>
      </x:c>
      <x:c r="AP666" s="119" t="n">
        <x:f>IF(AN666=0,0,(AN666-IF(5=D666,1,0))*ROUND(AO666*VLOOKUP(INDEX('章节与怪物'!$E$31:$K$37,B666,5),'章节与怪物'!$A$41:$F$44,2,FALSE),0)+IF(5=D666,ROUND(AO666*'难度参数'!$E$28*'章节与怪物'!$E$17,0),0))</x:f>
        <x:v>770400</x:v>
      </x:c>
      <x:c r="AQ666" s="119" t="n">
        <x:f>IF(AN666=0,0,(AN666-IF(5=D666,1,0))*VLOOKUP(INDEX('章节与怪物'!$E$31:$K$37,B666,5),'章节与怪物'!$A$41:$F$44,4,FALSE)+IF(5=D666,'难度参数'!$E$30,0))</x:f>
        <x:v>864</x:v>
      </x:c>
      <x:c r="AR666" s="119" t="n">
        <x:f>IF(6&gt;D666,0,MAX(2,MIN('难度参数'!$E$12,ROUND(('难度参数'!$E$18*POWER(A666,'难度参数'!$E$19)/D666*(0.85+0.3*(6-1)/MAX(1,D666-1))),0)+F666)))</x:f>
        <x:v>50</x:v>
      </x:c>
      <x:c r="AS666" s="119" t="n">
        <x:f>IF(6&gt;D666,0,ROUND(('难度参数'!$E$13*POWER(A666,'难度参数'!$E$20)*MIN('难度参数'!$E$23,1+MAX(0,A666-'难度参数'!$E$21)*'难度参数'!$E$22))*(36+6*7)/(36+7*(D666+1)/2)*E666,0))</x:f>
        <x:v>17633</x:v>
      </x:c>
      <x:c r="AT666" s="119" t="n">
        <x:f>IF(AR666=0,0,(AR666-IF(6=D666,1,0))*ROUND(AS666*VLOOKUP(INDEX('章节与怪物'!$E$31:$K$37,B666,6),'章节与怪物'!$A$41:$F$44,2,FALSE),0)+IF(6=D666,ROUND(AS666*'难度参数'!$E$28*'章节与怪物'!$E$17,0),0))</x:f>
        <x:v>1498800</x:v>
      </x:c>
      <x:c r="AU666" s="119" t="n">
        <x:f>IF(AR666=0,0,(AR666-IF(6=D666,1,0))*VLOOKUP(INDEX('章节与怪物'!$E$31:$K$37,B666,6),'章节与怪物'!$A$41:$F$44,4,FALSE)+IF(6=D666,'难度参数'!$E$30,0))</x:f>
        <x:v>1400</x:v>
      </x:c>
      <x:c r="AV666" s="119" t="n">
        <x:f>IF(7&gt;D666,0,MAX(2,MIN('难度参数'!$E$12,ROUND(('难度参数'!$E$18*POWER(A666,'难度参数'!$E$19)/D666*(0.85+0.3*(7-1)/MAX(1,D666-1))),0)+F666)))</x:f>
        <x:v>53</x:v>
      </x:c>
      <x:c r="AW666" s="119" t="n">
        <x:f>IF(7&gt;D666,0,ROUND(('难度参数'!$E$13*POWER(A666,'难度参数'!$E$20)*MIN('难度参数'!$E$23,1+MAX(0,A666-'难度参数'!$E$21)*'难度参数'!$E$22))*(36+7*7)/(36+7*(D666+1)/2)*E666,0))</x:f>
        <x:v>19215</x:v>
      </x:c>
      <x:c r="AX666" s="119" t="n">
        <x:f>IF(AV666=0,0,(AV666-IF(7=D666,1,0))*ROUND(AW666*VLOOKUP(INDEX('章节与怪物'!$E$31:$K$37,B666,7),'章节与怪物'!$A$41:$F$44,2,FALSE),0)+IF(7=D666,ROUND(AW666*'难度参数'!$E$28*'章节与怪物'!$E$17,0),0))</x:f>
        <x:v>1479542</x:v>
      </x:c>
      <x:c r="AY666" s="119" t="n">
        <x:f>IF(AV666=0,0,(AV666-IF(7=D666,1,0))*VLOOKUP(INDEX('章节与怪物'!$E$31:$K$37,B666,7),'章节与怪物'!$A$41:$F$44,4,FALSE)+IF(7=D666,'难度参数'!$E$30,0))</x:f>
        <x:v>1968</x:v>
      </x:c>
    </x:row>
    <x:row r="667" ht="23" customHeight="1">
      <x:c r="A667" s="119" t="n">
        <x:v>661</x:v>
      </x:c>
      <x:c r="B667" s="119" t="n">
        <x:f>MOD(INT((A667-1)/5),7)+1</x:f>
        <x:v>7</x:v>
      </x:c>
      <x:c r="C667" s="62" t="str">
        <x:f>INDEX('章节与怪物'!$B$31:$B$37,B667)</x:f>
        <x:v>魔法山脊</x:v>
      </x:c>
      <x:c r="D667" s="119" t="n">
        <x:f>MIN('难度参数'!$E$8,MAX('难度参数'!$E$7,A667))</x:f>
        <x:v>7</x:v>
      </x:c>
      <x:c r="E667" s="106" t="n">
        <x:v>1</x:v>
      </x:c>
      <x:c r="F667" s="106" t="n">
        <x:v>0</x:v>
      </x:c>
      <x:c r="G667" s="106" t="n">
        <x:v>1</x:v>
      </x:c>
      <x:c r="H667" s="119" t="n">
        <x:f>SUM(X667,AB667,AF667,AJ667,AN667,AR667,AV667)</x:f>
        <x:v>320</x:v>
      </x:c>
      <x:c r="I667" s="119" t="n">
        <x:f>SUM(Z667,AD667,AH667,AL667,AP667,AT667,AX667)</x:f>
        <x:v>6092869</x:v>
      </x:c>
      <x:c r="J667" s="119" t="n">
        <x:f>ROUND(INDEX(X667:AY667,1,(D667-1)*4+2)*'难度参数'!$E$28*'章节与怪物'!$E$17,0)</x:f>
        <x:v>130805</x:v>
      </x:c>
      <x:c r="K667" s="119" t="n">
        <x:f>SUM(AA667,AE667,AI667,AM667,AQ667,AU667,AY667)</x:f>
        <x:v>8618</x:v>
      </x:c>
      <x:c r="L667" s="62" t="n">
        <x:f>H667*(ROUNDUP('难度参数'!$E$24/('难度参数'!$E$26*'难度参数'!$E$27),0)*'难度参数'!$E$26)/60</x:f>
        <x:v>4.266666666666667</x:v>
      </x:c>
      <x:c r="M667" s="62" t="n">
        <x:f>L667+D667*('难度参数'!$E$49+'难度参数'!$E$50)/60</x:f>
        <x:v>5.433333333333334</x:v>
      </x:c>
      <x:c r="N667" s="119" t="n">
        <x:f>ROUNDDOWN(('经济参数'!$E$20+A667*'经济参数'!$E$21)*G667,0)</x:f>
        <x:v>13400</x:v>
      </x:c>
      <x:c r="O667" s="119" t="n">
        <x:f>ROUNDDOWN(MIN('经济参数'!$E$24,'经济参数'!$E$22+A667*'经济参数'!$E$23)*G667,0)</x:f>
        <x:v>0</x:v>
      </x:c>
      <x:c r="P667" s="119" t="n">
        <x:f>ROUNDDOWN((IF(A667&gt;='材料与任务'!$E$31,'材料与任务'!$E$32,IF(A667&gt;='材料与任务'!$E$25,'材料与任务'!$E$26,IF(A667&gt;='材料与任务'!$E$19,'材料与任务'!$E$20,IF(A667&gt;='材料与任务'!$E$13,'材料与任务'!$E$14,'材料与任务'!$E$8)))))*G667,0)</x:f>
        <x:v>6</x:v>
      </x:c>
      <x:c r="Q667" s="119" t="n">
        <x:f>ROUNDDOWN((IF(A667&gt;='材料与任务'!$E$31,'材料与任务'!$E$33,IF(A667&gt;='材料与任务'!$E$25,'材料与任务'!$E$27,IF(A667&gt;='材料与任务'!$E$19,'材料与任务'!$E$21,IF(A667&gt;='材料与任务'!$E$13,'材料与任务'!$E$15,'材料与任务'!$E$9)))))*G667,0)</x:f>
        <x:v>3</x:v>
      </x:c>
      <x:c r="R667" s="110" t="n">
        <x:f>'装备掉落'!$B$38</x:f>
        <x:v>0.6872058758851213</x:v>
      </x:c>
      <x:c r="S667" s="119" t="n">
        <x:f>MAX(IF(VLOOKUP(A667,'装备掉落'!$A$29:$H$34,2,TRUE)&gt;0,1,0),IF(VLOOKUP(A667,'装备掉落'!$A$29:$H$34,3,TRUE)&gt;0,2,0),IF(VLOOKUP(A667,'装备掉落'!$A$29:$H$34,4,TRUE)&gt;0,3,0),IF(VLOOKUP(A667,'装备掉落'!$A$29:$H$34,5,TRUE)&gt;0,4,0),IF(VLOOKUP(A667,'装备掉落'!$A$29:$H$34,6,TRUE)&gt;0,5,0),IF(VLOOKUP(A667,'装备掉落'!$A$29:$H$34,7,TRUE)&gt;0,6,0),IF(VLOOKUP(A667,'装备掉落'!$A$29:$H$34,8,TRUE)&gt;0,7,0))</x:f>
        <x:v>7</x:v>
      </x:c>
      <x:c r="T667" s="119" t="n">
        <x:f>MIN(7,S667+'经济参数'!$E$70)</x:f>
        <x:v>7</x:v>
      </x:c>
      <x:c r="U667" s="119" t="n">
        <x:f>MIN(7,S667+'经济参数'!$E$71)</x:f>
        <x:v>7</x:v>
      </x:c>
      <x:c r="V667" s="119" t="n">
        <x:f>IF(H667&gt;=('难度参数'!$E$52),1,0)+IF(H667&gt;=('难度参数'!$E$52+'难度参数'!$E$53),1,0)+IF(H667&gt;=('难度参数'!$E$52+'难度参数'!$E$53+'难度参数'!$E$54),1,0)+IF(H667&gt;=('难度参数'!$E$52+'难度参数'!$E$53+'难度参数'!$E$54+'难度参数'!$E$55),1,0)+IF(H667&gt;=('难度参数'!$E$52+'难度参数'!$E$53+'难度参数'!$E$54+'难度参数'!$E$55+'难度参数'!$E$56),1,0)+IF(H667&gt;=('难度参数'!$E$52+'难度参数'!$E$53+'难度参数'!$E$54+'难度参数'!$E$55+'难度参数'!$E$56+'难度参数'!$E$57),1,0)</x:f>
        <x:v>6</x:v>
      </x:c>
      <x:c r="W667" s="62" t="str">
        <x:f>IF(L667&gt;'难度参数'!$E$51,"仅出怪已超目标","还需实测")</x:f>
        <x:v>仅出怪已超目标</x:v>
      </x:c>
      <x:c r="X667" s="119" t="n">
        <x:f>IF(1&gt;D667,0,MAX(2,MIN('难度参数'!$E$12,ROUND(('难度参数'!$E$18*POWER(A667,'难度参数'!$E$19)/D667*(0.85+0.3*(1-1)/MAX(1,D667-1))),0)+F667)))</x:f>
        <x:v>39</x:v>
      </x:c>
      <x:c r="Y667" s="119" t="n">
        <x:f>IF(1&gt;D667,0,ROUND(('难度参数'!$E$13*POWER(A667,'难度参数'!$E$20)*MIN('难度参数'!$E$23,1+MAX(0,A667-'难度参数'!$E$21)*'难度参数'!$E$22))*(36+1*7)/(36+7*(D667+1)/2)*E667,0))</x:f>
        <x:v>9731</x:v>
      </x:c>
      <x:c r="Z667" s="119" t="n">
        <x:f>IF(X667=0,0,(X667-IF(1=D667,1,0))*ROUND(Y667*VLOOKUP(INDEX('章节与怪物'!$E$31:$K$37,B667,1),'章节与怪物'!$A$41:$F$44,2,FALSE),0)+IF(1=D667,ROUND(Y667*'难度参数'!$E$28*'章节与怪物'!$E$17,0),0))</x:f>
        <x:v>379509</x:v>
      </x:c>
      <x:c r="AA667" s="119" t="n">
        <x:f>IF(X667=0,0,(X667-IF(1=D667,1,0))*VLOOKUP(INDEX('章节与怪物'!$E$31:$K$37,B667,1),'章节与怪物'!$A$41:$F$44,4,FALSE)+IF(1=D667,'难度参数'!$E$30,0))</x:f>
        <x:v>702</x:v>
      </x:c>
      <x:c r="AB667" s="119" t="n">
        <x:f>IF(2&gt;D667,0,MAX(2,MIN('难度参数'!$E$12,ROUND(('难度参数'!$E$18*POWER(A667,'难度参数'!$E$19)/D667*(0.85+0.3*(2-1)/MAX(1,D667-1))),0)+F667)))</x:f>
        <x:v>41</x:v>
      </x:c>
      <x:c r="AC667" s="119" t="n">
        <x:f>IF(2&gt;D667,0,ROUND(('难度参数'!$E$13*POWER(A667,'难度参数'!$E$20)*MIN('难度参数'!$E$23,1+MAX(0,A667-'难度参数'!$E$21)*'难度参数'!$E$22))*(36+2*7)/(36+7*(D667+1)/2)*E667,0))</x:f>
        <x:v>11315</x:v>
      </x:c>
      <x:c r="AD667" s="119" t="n">
        <x:f>IF(AB667=0,0,(AB667-IF(2=D667,1,0))*ROUND(AC667*VLOOKUP(INDEX('章节与怪物'!$E$31:$K$37,B667,2),'章节与怪物'!$A$41:$F$44,2,FALSE),0)+IF(2=D667,ROUND(AC667*'难度参数'!$E$28*'章节与怪物'!$E$17,0),0))</x:f>
        <x:v>334027</x:v>
      </x:c>
      <x:c r="AE667" s="119" t="n">
        <x:f>IF(AB667=0,0,(AB667-IF(2=D667,1,0))*VLOOKUP(INDEX('章节与怪物'!$E$31:$K$37,B667,2),'章节与怪物'!$A$41:$F$44,4,FALSE)+IF(2=D667,'难度参数'!$E$30,0))</x:f>
        <x:v>820</x:v>
      </x:c>
      <x:c r="AF667" s="119" t="n">
        <x:f>IF(3&gt;D667,0,MAX(2,MIN('难度参数'!$E$12,ROUND(('难度参数'!$E$18*POWER(A667,'难度参数'!$E$19)/D667*(0.85+0.3*(3-1)/MAX(1,D667-1))),0)+F667)))</x:f>
        <x:v>43</x:v>
      </x:c>
      <x:c r="AG667" s="119" t="n">
        <x:f>IF(3&gt;D667,0,ROUND(('难度参数'!$E$13*POWER(A667,'难度参数'!$E$20)*MIN('难度参数'!$E$23,1+MAX(0,A667-'难度参数'!$E$21)*'难度参数'!$E$22))*(36+3*7)/(36+7*(D667+1)/2)*E667,0))</x:f>
        <x:v>12900</x:v>
      </x:c>
      <x:c r="AH667" s="119" t="n">
        <x:f>IF(AF667=0,0,(AF667-IF(3=D667,1,0))*ROUND(AG667*VLOOKUP(INDEX('章节与怪物'!$E$31:$K$37,B667,3),'章节与怪物'!$A$41:$F$44,2,FALSE),0)+IF(3=D667,ROUND(AG667*'难度参数'!$E$28*'章节与怪物'!$E$17,0),0))</x:f>
        <x:v>942990</x:v>
      </x:c>
      <x:c r="AI667" s="119" t="n">
        <x:f>IF(AF667=0,0,(AF667-IF(3=D667,1,0))*VLOOKUP(INDEX('章节与怪物'!$E$31:$K$37,B667,3),'章节与怪物'!$A$41:$F$44,4,FALSE)+IF(3=D667,'难度参数'!$E$30,0))</x:f>
        <x:v>1204</x:v>
      </x:c>
      <x:c r="AJ667" s="119" t="n">
        <x:f>IF(4&gt;D667,0,MAX(2,MIN('难度参数'!$E$12,ROUND(('难度参数'!$E$18*POWER(A667,'难度参数'!$E$19)/D667*(0.85+0.3*(4-1)/MAX(1,D667-1))),0)+F667)))</x:f>
        <x:v>46</x:v>
      </x:c>
      <x:c r="AK667" s="119" t="n">
        <x:f>IF(4&gt;D667,0,ROUND(('难度参数'!$E$13*POWER(A667,'难度参数'!$E$20)*MIN('难度参数'!$E$23,1+MAX(0,A667-'难度参数'!$E$21)*'难度参数'!$E$22))*(36+4*7)/(36+7*(D667+1)/2)*E667,0))</x:f>
        <x:v>14484</x:v>
      </x:c>
      <x:c r="AL667" s="119" t="n">
        <x:f>IF(AJ667=0,0,(AJ667-IF(4=D667,1,0))*ROUND(AK667*VLOOKUP(INDEX('章节与怪物'!$E$31:$K$37,B667,4),'章节与怪物'!$A$41:$F$44,2,FALSE),0)+IF(4=D667,ROUND(AK667*'难度参数'!$E$28*'章节与怪物'!$E$17,0),0))</x:f>
        <x:v>899438</x:v>
      </x:c>
      <x:c r="AM667" s="119" t="n">
        <x:f>IF(AJ667=0,0,(AJ667-IF(4=D667,1,0))*VLOOKUP(INDEX('章节与怪物'!$E$31:$K$37,B667,4),'章节与怪物'!$A$41:$F$44,4,FALSE)+IF(4=D667,'难度参数'!$E$30,0))</x:f>
        <x:v>1564</x:v>
      </x:c>
      <x:c r="AN667" s="119" t="n">
        <x:f>IF(5&gt;D667,0,MAX(2,MIN('难度参数'!$E$12,ROUND(('难度参数'!$E$18*POWER(A667,'难度参数'!$E$19)/D667*(0.85+0.3*(5-1)/MAX(1,D667-1))),0)+F667)))</x:f>
        <x:v>48</x:v>
      </x:c>
      <x:c r="AO667" s="119" t="n">
        <x:f>IF(5&gt;D667,0,ROUND(('难度参数'!$E$13*POWER(A667,'难度参数'!$E$20)*MIN('难度参数'!$E$23,1+MAX(0,A667-'难度参数'!$E$21)*'难度参数'!$E$22))*(36+5*7)/(36+7*(D667+1)/2)*E667,0))</x:f>
        <x:v>16068</x:v>
      </x:c>
      <x:c r="AP667" s="119" t="n">
        <x:f>IF(AN667=0,0,(AN667-IF(5=D667,1,0))*ROUND(AO667*VLOOKUP(INDEX('章节与怪物'!$E$31:$K$37,B667,5),'章节与怪物'!$A$41:$F$44,2,FALSE),0)+IF(5=D667,ROUND(AO667*'难度参数'!$E$28*'章节与怪物'!$E$17,0),0))</x:f>
        <x:v>555312</x:v>
      </x:c>
      <x:c r="AQ667" s="119" t="n">
        <x:f>IF(AN667=0,0,(AN667-IF(5=D667,1,0))*VLOOKUP(INDEX('章节与怪物'!$E$31:$K$37,B667,5),'章节与怪物'!$A$41:$F$44,4,FALSE)+IF(5=D667,'难度参数'!$E$30,0))</x:f>
        <x:v>960</x:v>
      </x:c>
      <x:c r="AR667" s="119" t="n">
        <x:f>IF(6&gt;D667,0,MAX(2,MIN('难度参数'!$E$12,ROUND(('难度参数'!$E$18*POWER(A667,'难度参数'!$E$19)/D667*(0.85+0.3*(6-1)/MAX(1,D667-1))),0)+F667)))</x:f>
        <x:v>50</x:v>
      </x:c>
      <x:c r="AS667" s="119" t="n">
        <x:f>IF(6&gt;D667,0,ROUND(('难度参数'!$E$13*POWER(A667,'难度参数'!$E$20)*MIN('难度参数'!$E$23,1+MAX(0,A667-'难度参数'!$E$21)*'难度参数'!$E$22))*(36+6*7)/(36+7*(D667+1)/2)*E667,0))</x:f>
        <x:v>17652</x:v>
      </x:c>
      <x:c r="AT667" s="119" t="n">
        <x:f>IF(AR667=0,0,(AR667-IF(6=D667,1,0))*ROUND(AS667*VLOOKUP(INDEX('章节与怪物'!$E$31:$K$37,B667,6),'章节与怪物'!$A$41:$F$44,2,FALSE),0)+IF(6=D667,ROUND(AS667*'难度参数'!$E$28*'章节与怪物'!$E$17,0),0))</x:f>
        <x:v>1500400</x:v>
      </x:c>
      <x:c r="AU667" s="119" t="n">
        <x:f>IF(AR667=0,0,(AR667-IF(6=D667,1,0))*VLOOKUP(INDEX('章节与怪物'!$E$31:$K$37,B667,6),'章节与怪物'!$A$41:$F$44,4,FALSE)+IF(6=D667,'难度参数'!$E$30,0))</x:f>
        <x:v>1400</x:v>
      </x:c>
      <x:c r="AV667" s="119" t="n">
        <x:f>IF(7&gt;D667,0,MAX(2,MIN('难度参数'!$E$12,ROUND(('难度参数'!$E$18*POWER(A667,'难度参数'!$E$19)/D667*(0.85+0.3*(7-1)/MAX(1,D667-1))),0)+F667)))</x:f>
        <x:v>53</x:v>
      </x:c>
      <x:c r="AW667" s="119" t="n">
        <x:f>IF(7&gt;D667,0,ROUND(('难度参数'!$E$13*POWER(A667,'难度参数'!$E$20)*MIN('难度参数'!$E$23,1+MAX(0,A667-'难度参数'!$E$21)*'难度参数'!$E$22))*(36+7*7)/(36+7*(D667+1)/2)*E667,0))</x:f>
        <x:v>19236</x:v>
      </x:c>
      <x:c r="AX667" s="119" t="n">
        <x:f>IF(AV667=0,0,(AV667-IF(7=D667,1,0))*ROUND(AW667*VLOOKUP(INDEX('章节与怪物'!$E$31:$K$37,B667,7),'章节与怪物'!$A$41:$F$44,2,FALSE),0)+IF(7=D667,ROUND(AW667*'难度参数'!$E$28*'章节与怪物'!$E$17,0),0))</x:f>
        <x:v>1481193</x:v>
      </x:c>
      <x:c r="AY667" s="119" t="n">
        <x:f>IF(AV667=0,0,(AV667-IF(7=D667,1,0))*VLOOKUP(INDEX('章节与怪物'!$E$31:$K$37,B667,7),'章节与怪物'!$A$41:$F$44,4,FALSE)+IF(7=D667,'难度参数'!$E$30,0))</x:f>
        <x:v>1968</x:v>
      </x:c>
    </x:row>
    <x:row r="668" ht="23" customHeight="1">
      <x:c r="A668" s="119" t="n">
        <x:v>662</x:v>
      </x:c>
      <x:c r="B668" s="119" t="n">
        <x:f>MOD(INT((A668-1)/5),7)+1</x:f>
        <x:v>7</x:v>
      </x:c>
      <x:c r="C668" s="62" t="str">
        <x:f>INDEX('章节与怪物'!$B$31:$B$37,B668)</x:f>
        <x:v>魔法山脊</x:v>
      </x:c>
      <x:c r="D668" s="119" t="n">
        <x:f>MIN('难度参数'!$E$8,MAX('难度参数'!$E$7,A668))</x:f>
        <x:v>7</x:v>
      </x:c>
      <x:c r="E668" s="106" t="n">
        <x:v>1</x:v>
      </x:c>
      <x:c r="F668" s="106" t="n">
        <x:v>0</x:v>
      </x:c>
      <x:c r="G668" s="106" t="n">
        <x:v>1</x:v>
      </x:c>
      <x:c r="H668" s="119" t="n">
        <x:f>SUM(X668,AB668,AF668,AJ668,AN668,AR668,AV668)</x:f>
        <x:v>320</x:v>
      </x:c>
      <x:c r="I668" s="119" t="n">
        <x:f>SUM(Z668,AD668,AH668,AL668,AP668,AT668,AX668)</x:f>
        <x:v>6099490</x:v>
      </x:c>
      <x:c r="J668" s="119" t="n">
        <x:f>ROUND(INDEX(X668:AY668,1,(D668-1)*4+2)*'难度参数'!$E$28*'章节与怪物'!$E$17,0)</x:f>
        <x:v>130948</x:v>
      </x:c>
      <x:c r="K668" s="119" t="n">
        <x:f>SUM(AA668,AE668,AI668,AM668,AQ668,AU668,AY668)</x:f>
        <x:v>8618</x:v>
      </x:c>
      <x:c r="L668" s="62" t="n">
        <x:f>H668*(ROUNDUP('难度参数'!$E$24/('难度参数'!$E$26*'难度参数'!$E$27),0)*'难度参数'!$E$26)/60</x:f>
        <x:v>4.266666666666667</x:v>
      </x:c>
      <x:c r="M668" s="62" t="n">
        <x:f>L668+D668*('难度参数'!$E$49+'难度参数'!$E$50)/60</x:f>
        <x:v>5.433333333333334</x:v>
      </x:c>
      <x:c r="N668" s="119" t="n">
        <x:f>ROUNDDOWN(('经济参数'!$E$20+A668*'经济参数'!$E$21)*G668,0)</x:f>
        <x:v>13420</x:v>
      </x:c>
      <x:c r="O668" s="119" t="n">
        <x:f>ROUNDDOWN(MIN('经济参数'!$E$24,'经济参数'!$E$22+A668*'经济参数'!$E$23)*G668,0)</x:f>
        <x:v>0</x:v>
      </x:c>
      <x:c r="P668" s="119" t="n">
        <x:f>ROUNDDOWN((IF(A668&gt;='材料与任务'!$E$31,'材料与任务'!$E$32,IF(A668&gt;='材料与任务'!$E$25,'材料与任务'!$E$26,IF(A668&gt;='材料与任务'!$E$19,'材料与任务'!$E$20,IF(A668&gt;='材料与任务'!$E$13,'材料与任务'!$E$14,'材料与任务'!$E$8)))))*G668,0)</x:f>
        <x:v>6</x:v>
      </x:c>
      <x:c r="Q668" s="119" t="n">
        <x:f>ROUNDDOWN((IF(A668&gt;='材料与任务'!$E$31,'材料与任务'!$E$33,IF(A668&gt;='材料与任务'!$E$25,'材料与任务'!$E$27,IF(A668&gt;='材料与任务'!$E$19,'材料与任务'!$E$21,IF(A668&gt;='材料与任务'!$E$13,'材料与任务'!$E$15,'材料与任务'!$E$9)))))*G668,0)</x:f>
        <x:v>3</x:v>
      </x:c>
      <x:c r="R668" s="110" t="n">
        <x:f>'装备掉落'!$B$38</x:f>
        <x:v>0.6872058758851213</x:v>
      </x:c>
      <x:c r="S668" s="119" t="n">
        <x:f>MAX(IF(VLOOKUP(A668,'装备掉落'!$A$29:$H$34,2,TRUE)&gt;0,1,0),IF(VLOOKUP(A668,'装备掉落'!$A$29:$H$34,3,TRUE)&gt;0,2,0),IF(VLOOKUP(A668,'装备掉落'!$A$29:$H$34,4,TRUE)&gt;0,3,0),IF(VLOOKUP(A668,'装备掉落'!$A$29:$H$34,5,TRUE)&gt;0,4,0),IF(VLOOKUP(A668,'装备掉落'!$A$29:$H$34,6,TRUE)&gt;0,5,0),IF(VLOOKUP(A668,'装备掉落'!$A$29:$H$34,7,TRUE)&gt;0,6,0),IF(VLOOKUP(A668,'装备掉落'!$A$29:$H$34,8,TRUE)&gt;0,7,0))</x:f>
        <x:v>7</x:v>
      </x:c>
      <x:c r="T668" s="119" t="n">
        <x:f>MIN(7,S668+'经济参数'!$E$70)</x:f>
        <x:v>7</x:v>
      </x:c>
      <x:c r="U668" s="119" t="n">
        <x:f>MIN(7,S668+'经济参数'!$E$71)</x:f>
        <x:v>7</x:v>
      </x:c>
      <x:c r="V668" s="119" t="n">
        <x:f>IF(H668&gt;=('难度参数'!$E$52),1,0)+IF(H668&gt;=('难度参数'!$E$52+'难度参数'!$E$53),1,0)+IF(H668&gt;=('难度参数'!$E$52+'难度参数'!$E$53+'难度参数'!$E$54),1,0)+IF(H668&gt;=('难度参数'!$E$52+'难度参数'!$E$53+'难度参数'!$E$54+'难度参数'!$E$55),1,0)+IF(H668&gt;=('难度参数'!$E$52+'难度参数'!$E$53+'难度参数'!$E$54+'难度参数'!$E$55+'难度参数'!$E$56),1,0)+IF(H668&gt;=('难度参数'!$E$52+'难度参数'!$E$53+'难度参数'!$E$54+'难度参数'!$E$55+'难度参数'!$E$56+'难度参数'!$E$57),1,0)</x:f>
        <x:v>6</x:v>
      </x:c>
      <x:c r="W668" s="62" t="str">
        <x:f>IF(L668&gt;'难度参数'!$E$51,"仅出怪已超目标","还需实测")</x:f>
        <x:v>仅出怪已超目标</x:v>
      </x:c>
      <x:c r="X668" s="119" t="n">
        <x:f>IF(1&gt;D668,0,MAX(2,MIN('难度参数'!$E$12,ROUND(('难度参数'!$E$18*POWER(A668,'难度参数'!$E$19)/D668*(0.85+0.3*(1-1)/MAX(1,D668-1))),0)+F668)))</x:f>
        <x:v>39</x:v>
      </x:c>
      <x:c r="Y668" s="119" t="n">
        <x:f>IF(1&gt;D668,0,ROUND(('难度参数'!$E$13*POWER(A668,'难度参数'!$E$20)*MIN('难度参数'!$E$23,1+MAX(0,A668-'难度参数'!$E$21)*'难度参数'!$E$22))*(36+1*7)/(36+7*(D668+1)/2)*E668,0))</x:f>
        <x:v>9742</x:v>
      </x:c>
      <x:c r="Z668" s="119" t="n">
        <x:f>IF(X668=0,0,(X668-IF(1=D668,1,0))*ROUND(Y668*VLOOKUP(INDEX('章节与怪物'!$E$31:$K$37,B668,1),'章节与怪物'!$A$41:$F$44,2,FALSE),0)+IF(1=D668,ROUND(Y668*'难度参数'!$E$28*'章节与怪物'!$E$17,0),0))</x:f>
        <x:v>379938</x:v>
      </x:c>
      <x:c r="AA668" s="119" t="n">
        <x:f>IF(X668=0,0,(X668-IF(1=D668,1,0))*VLOOKUP(INDEX('章节与怪物'!$E$31:$K$37,B668,1),'章节与怪物'!$A$41:$F$44,4,FALSE)+IF(1=D668,'难度参数'!$E$30,0))</x:f>
        <x:v>702</x:v>
      </x:c>
      <x:c r="AB668" s="119" t="n">
        <x:f>IF(2&gt;D668,0,MAX(2,MIN('难度参数'!$E$12,ROUND(('难度参数'!$E$18*POWER(A668,'难度参数'!$E$19)/D668*(0.85+0.3*(2-1)/MAX(1,D668-1))),0)+F668)))</x:f>
        <x:v>41</x:v>
      </x:c>
      <x:c r="AC668" s="119" t="n">
        <x:f>IF(2&gt;D668,0,ROUND(('难度参数'!$E$13*POWER(A668,'难度参数'!$E$20)*MIN('难度参数'!$E$23,1+MAX(0,A668-'难度参数'!$E$21)*'难度参数'!$E$22))*(36+2*7)/(36+7*(D668+1)/2)*E668,0))</x:f>
        <x:v>11328</x:v>
      </x:c>
      <x:c r="AD668" s="119" t="n">
        <x:f>IF(AB668=0,0,(AB668-IF(2=D668,1,0))*ROUND(AC668*VLOOKUP(INDEX('章节与怪物'!$E$31:$K$37,B668,2),'章节与怪物'!$A$41:$F$44,2,FALSE),0)+IF(2=D668,ROUND(AC668*'难度参数'!$E$28*'章节与怪物'!$E$17,0),0))</x:f>
        <x:v>334396</x:v>
      </x:c>
      <x:c r="AE668" s="119" t="n">
        <x:f>IF(AB668=0,0,(AB668-IF(2=D668,1,0))*VLOOKUP(INDEX('章节与怪物'!$E$31:$K$37,B668,2),'章节与怪物'!$A$41:$F$44,4,FALSE)+IF(2=D668,'难度参数'!$E$30,0))</x:f>
        <x:v>820</x:v>
      </x:c>
      <x:c r="AF668" s="119" t="n">
        <x:f>IF(3&gt;D668,0,MAX(2,MIN('难度参数'!$E$12,ROUND(('难度参数'!$E$18*POWER(A668,'难度参数'!$E$19)/D668*(0.85+0.3*(3-1)/MAX(1,D668-1))),0)+F668)))</x:f>
        <x:v>43</x:v>
      </x:c>
      <x:c r="AG668" s="119" t="n">
        <x:f>IF(3&gt;D668,0,ROUND(('难度参数'!$E$13*POWER(A668,'难度参数'!$E$20)*MIN('难度参数'!$E$23,1+MAX(0,A668-'难度参数'!$E$21)*'难度参数'!$E$22))*(36+3*7)/(36+7*(D668+1)/2)*E668,0))</x:f>
        <x:v>12914</x:v>
      </x:c>
      <x:c r="AH668" s="119" t="n">
        <x:f>IF(AF668=0,0,(AF668-IF(3=D668,1,0))*ROUND(AG668*VLOOKUP(INDEX('章节与怪物'!$E$31:$K$37,B668,3),'章节与怪物'!$A$41:$F$44,2,FALSE),0)+IF(3=D668,ROUND(AG668*'难度参数'!$E$28*'章节与怪物'!$E$17,0),0))</x:f>
        <x:v>944022</x:v>
      </x:c>
      <x:c r="AI668" s="119" t="n">
        <x:f>IF(AF668=0,0,(AF668-IF(3=D668,1,0))*VLOOKUP(INDEX('章节与怪物'!$E$31:$K$37,B668,3),'章节与怪物'!$A$41:$F$44,4,FALSE)+IF(3=D668,'难度参数'!$E$30,0))</x:f>
        <x:v>1204</x:v>
      </x:c>
      <x:c r="AJ668" s="119" t="n">
        <x:f>IF(4&gt;D668,0,MAX(2,MIN('难度参数'!$E$12,ROUND(('难度参数'!$E$18*POWER(A668,'难度参数'!$E$19)/D668*(0.85+0.3*(4-1)/MAX(1,D668-1))),0)+F668)))</x:f>
        <x:v>46</x:v>
      </x:c>
      <x:c r="AK668" s="119" t="n">
        <x:f>IF(4&gt;D668,0,ROUND(('难度参数'!$E$13*POWER(A668,'难度参数'!$E$20)*MIN('难度参数'!$E$23,1+MAX(0,A668-'难度参数'!$E$21)*'难度参数'!$E$22))*(36+4*7)/(36+7*(D668+1)/2)*E668,0))</x:f>
        <x:v>14499</x:v>
      </x:c>
      <x:c r="AL668" s="119" t="n">
        <x:f>IF(AJ668=0,0,(AJ668-IF(4=D668,1,0))*ROUND(AK668*VLOOKUP(INDEX('章节与怪物'!$E$31:$K$37,B668,4),'章节与怪物'!$A$41:$F$44,2,FALSE),0)+IF(4=D668,ROUND(AK668*'难度参数'!$E$28*'章节与怪物'!$E$17,0),0))</x:f>
        <x:v>900404</x:v>
      </x:c>
      <x:c r="AM668" s="119" t="n">
        <x:f>IF(AJ668=0,0,(AJ668-IF(4=D668,1,0))*VLOOKUP(INDEX('章节与怪物'!$E$31:$K$37,B668,4),'章节与怪物'!$A$41:$F$44,4,FALSE)+IF(4=D668,'难度参数'!$E$30,0))</x:f>
        <x:v>1564</x:v>
      </x:c>
      <x:c r="AN668" s="119" t="n">
        <x:f>IF(5&gt;D668,0,MAX(2,MIN('难度参数'!$E$12,ROUND(('难度参数'!$E$18*POWER(A668,'难度参数'!$E$19)/D668*(0.85+0.3*(5-1)/MAX(1,D668-1))),0)+F668)))</x:f>
        <x:v>48</x:v>
      </x:c>
      <x:c r="AO668" s="119" t="n">
        <x:f>IF(5&gt;D668,0,ROUND(('难度参数'!$E$13*POWER(A668,'难度参数'!$E$20)*MIN('难度参数'!$E$23,1+MAX(0,A668-'难度参数'!$E$21)*'难度参数'!$E$22))*(36+5*7)/(36+7*(D668+1)/2)*E668,0))</x:f>
        <x:v>16085</x:v>
      </x:c>
      <x:c r="AP668" s="119" t="n">
        <x:f>IF(AN668=0,0,(AN668-IF(5=D668,1,0))*ROUND(AO668*VLOOKUP(INDEX('章节与怪物'!$E$31:$K$37,B668,5),'章节与怪物'!$A$41:$F$44,2,FALSE),0)+IF(5=D668,ROUND(AO668*'难度参数'!$E$28*'章节与怪物'!$E$17,0),0))</x:f>
        <x:v>555888</x:v>
      </x:c>
      <x:c r="AQ668" s="119" t="n">
        <x:f>IF(AN668=0,0,(AN668-IF(5=D668,1,0))*VLOOKUP(INDEX('章节与怪物'!$E$31:$K$37,B668,5),'章节与怪物'!$A$41:$F$44,4,FALSE)+IF(5=D668,'难度参数'!$E$30,0))</x:f>
        <x:v>960</x:v>
      </x:c>
      <x:c r="AR668" s="119" t="n">
        <x:f>IF(6&gt;D668,0,MAX(2,MIN('难度参数'!$E$12,ROUND(('难度参数'!$E$18*POWER(A668,'难度参数'!$E$19)/D668*(0.85+0.3*(6-1)/MAX(1,D668-1))),0)+F668)))</x:f>
        <x:v>50</x:v>
      </x:c>
      <x:c r="AS668" s="119" t="n">
        <x:f>IF(6&gt;D668,0,ROUND(('难度参数'!$E$13*POWER(A668,'难度参数'!$E$20)*MIN('难度参数'!$E$23,1+MAX(0,A668-'难度参数'!$E$21)*'难度参数'!$E$22))*(36+6*7)/(36+7*(D668+1)/2)*E668,0))</x:f>
        <x:v>17671</x:v>
      </x:c>
      <x:c r="AT668" s="119" t="n">
        <x:f>IF(AR668=0,0,(AR668-IF(6=D668,1,0))*ROUND(AS668*VLOOKUP(INDEX('章节与怪物'!$E$31:$K$37,B668,6),'章节与怪物'!$A$41:$F$44,2,FALSE),0)+IF(6=D668,ROUND(AS668*'难度参数'!$E$28*'章节与怪物'!$E$17,0),0))</x:f>
        <x:v>1502050</x:v>
      </x:c>
      <x:c r="AU668" s="119" t="n">
        <x:f>IF(AR668=0,0,(AR668-IF(6=D668,1,0))*VLOOKUP(INDEX('章节与怪物'!$E$31:$K$37,B668,6),'章节与怪物'!$A$41:$F$44,4,FALSE)+IF(6=D668,'难度参数'!$E$30,0))</x:f>
        <x:v>1400</x:v>
      </x:c>
      <x:c r="AV668" s="119" t="n">
        <x:f>IF(7&gt;D668,0,MAX(2,MIN('难度参数'!$E$12,ROUND(('难度参数'!$E$18*POWER(A668,'难度参数'!$E$19)/D668*(0.85+0.3*(7-1)/MAX(1,D668-1))),0)+F668)))</x:f>
        <x:v>53</x:v>
      </x:c>
      <x:c r="AW668" s="119" t="n">
        <x:f>IF(7&gt;D668,0,ROUND(('难度参数'!$E$13*POWER(A668,'难度参数'!$E$20)*MIN('难度参数'!$E$23,1+MAX(0,A668-'难度参数'!$E$21)*'难度参数'!$E$22))*(36+7*7)/(36+7*(D668+1)/2)*E668,0))</x:f>
        <x:v>19257</x:v>
      </x:c>
      <x:c r="AX668" s="119" t="n">
        <x:f>IF(AV668=0,0,(AV668-IF(7=D668,1,0))*ROUND(AW668*VLOOKUP(INDEX('章节与怪物'!$E$31:$K$37,B668,7),'章节与怪物'!$A$41:$F$44,2,FALSE),0)+IF(7=D668,ROUND(AW668*'难度参数'!$E$28*'章节与怪物'!$E$17,0),0))</x:f>
        <x:v>1482792</x:v>
      </x:c>
      <x:c r="AY668" s="119" t="n">
        <x:f>IF(AV668=0,0,(AV668-IF(7=D668,1,0))*VLOOKUP(INDEX('章节与怪物'!$E$31:$K$37,B668,7),'章节与怪物'!$A$41:$F$44,4,FALSE)+IF(7=D668,'难度参数'!$E$30,0))</x:f>
        <x:v>1968</x:v>
      </x:c>
    </x:row>
    <x:row r="669" ht="23" customHeight="1">
      <x:c r="A669" s="119" t="n">
        <x:v>663</x:v>
      </x:c>
      <x:c r="B669" s="119" t="n">
        <x:f>MOD(INT((A669-1)/5),7)+1</x:f>
        <x:v>7</x:v>
      </x:c>
      <x:c r="C669" s="62" t="str">
        <x:f>INDEX('章节与怪物'!$B$31:$B$37,B669)</x:f>
        <x:v>魔法山脊</x:v>
      </x:c>
      <x:c r="D669" s="119" t="n">
        <x:f>MIN('难度参数'!$E$8,MAX('难度参数'!$E$7,A669))</x:f>
        <x:v>7</x:v>
      </x:c>
      <x:c r="E669" s="106" t="n">
        <x:v>1</x:v>
      </x:c>
      <x:c r="F669" s="106" t="n">
        <x:v>0</x:v>
      </x:c>
      <x:c r="G669" s="106" t="n">
        <x:v>1</x:v>
      </x:c>
      <x:c r="H669" s="119" t="n">
        <x:f>SUM(X669,AB669,AF669,AJ669,AN669,AR669,AV669)</x:f>
        <x:v>321</x:v>
      </x:c>
      <x:c r="I669" s="119" t="n">
        <x:f>SUM(Z669,AD669,AH669,AL669,AP669,AT669,AX669)</x:f>
        <x:v>6128047</x:v>
      </x:c>
      <x:c r="J669" s="119" t="n">
        <x:f>ROUND(INDEX(X669:AY669,1,(D669-1)*4+2)*'难度参数'!$E$28*'章节与怪物'!$E$17,0)</x:f>
        <x:v>131090</x:v>
      </x:c>
      <x:c r="K669" s="119" t="n">
        <x:f>SUM(AA669,AE669,AI669,AM669,AQ669,AU669,AY669)</x:f>
        <x:v>8646</x:v>
      </x:c>
      <x:c r="L669" s="62" t="n">
        <x:f>H669*(ROUNDUP('难度参数'!$E$24/('难度参数'!$E$26*'难度参数'!$E$27),0)*'难度参数'!$E$26)/60</x:f>
        <x:v>4.28</x:v>
      </x:c>
      <x:c r="M669" s="62" t="n">
        <x:f>L669+D669*('难度参数'!$E$49+'难度参数'!$E$50)/60</x:f>
        <x:v>5.446666666666667</x:v>
      </x:c>
      <x:c r="N669" s="119" t="n">
        <x:f>ROUNDDOWN(('经济参数'!$E$20+A669*'经济参数'!$E$21)*G669,0)</x:f>
        <x:v>13440</x:v>
      </x:c>
      <x:c r="O669" s="119" t="n">
        <x:f>ROUNDDOWN(MIN('经济参数'!$E$24,'经济参数'!$E$22+A669*'经济参数'!$E$23)*G669,0)</x:f>
        <x:v>0</x:v>
      </x:c>
      <x:c r="P669" s="119" t="n">
        <x:f>ROUNDDOWN((IF(A669&gt;='材料与任务'!$E$31,'材料与任务'!$E$32,IF(A669&gt;='材料与任务'!$E$25,'材料与任务'!$E$26,IF(A669&gt;='材料与任务'!$E$19,'材料与任务'!$E$20,IF(A669&gt;='材料与任务'!$E$13,'材料与任务'!$E$14,'材料与任务'!$E$8)))))*G669,0)</x:f>
        <x:v>6</x:v>
      </x:c>
      <x:c r="Q669" s="119" t="n">
        <x:f>ROUNDDOWN((IF(A669&gt;='材料与任务'!$E$31,'材料与任务'!$E$33,IF(A669&gt;='材料与任务'!$E$25,'材料与任务'!$E$27,IF(A669&gt;='材料与任务'!$E$19,'材料与任务'!$E$21,IF(A669&gt;='材料与任务'!$E$13,'材料与任务'!$E$15,'材料与任务'!$E$9)))))*G669,0)</x:f>
        <x:v>3</x:v>
      </x:c>
      <x:c r="R669" s="110" t="n">
        <x:f>'装备掉落'!$B$38</x:f>
        <x:v>0.6872058758851213</x:v>
      </x:c>
      <x:c r="S669" s="119" t="n">
        <x:f>MAX(IF(VLOOKUP(A669,'装备掉落'!$A$29:$H$34,2,TRUE)&gt;0,1,0),IF(VLOOKUP(A669,'装备掉落'!$A$29:$H$34,3,TRUE)&gt;0,2,0),IF(VLOOKUP(A669,'装备掉落'!$A$29:$H$34,4,TRUE)&gt;0,3,0),IF(VLOOKUP(A669,'装备掉落'!$A$29:$H$34,5,TRUE)&gt;0,4,0),IF(VLOOKUP(A669,'装备掉落'!$A$29:$H$34,6,TRUE)&gt;0,5,0),IF(VLOOKUP(A669,'装备掉落'!$A$29:$H$34,7,TRUE)&gt;0,6,0),IF(VLOOKUP(A669,'装备掉落'!$A$29:$H$34,8,TRUE)&gt;0,7,0))</x:f>
        <x:v>7</x:v>
      </x:c>
      <x:c r="T669" s="119" t="n">
        <x:f>MIN(7,S669+'经济参数'!$E$70)</x:f>
        <x:v>7</x:v>
      </x:c>
      <x:c r="U669" s="119" t="n">
        <x:f>MIN(7,S669+'经济参数'!$E$71)</x:f>
        <x:v>7</x:v>
      </x:c>
      <x:c r="V669" s="119" t="n">
        <x:f>IF(H669&gt;=('难度参数'!$E$52),1,0)+IF(H669&gt;=('难度参数'!$E$52+'难度参数'!$E$53),1,0)+IF(H669&gt;=('难度参数'!$E$52+'难度参数'!$E$53+'难度参数'!$E$54),1,0)+IF(H669&gt;=('难度参数'!$E$52+'难度参数'!$E$53+'难度参数'!$E$54+'难度参数'!$E$55),1,0)+IF(H669&gt;=('难度参数'!$E$52+'难度参数'!$E$53+'难度参数'!$E$54+'难度参数'!$E$55+'难度参数'!$E$56),1,0)+IF(H669&gt;=('难度参数'!$E$52+'难度参数'!$E$53+'难度参数'!$E$54+'难度参数'!$E$55+'难度参数'!$E$56+'难度参数'!$E$57),1,0)</x:f>
        <x:v>6</x:v>
      </x:c>
      <x:c r="W669" s="62" t="str">
        <x:f>IF(L669&gt;'难度参数'!$E$51,"仅出怪已超目标","还需实测")</x:f>
        <x:v>仅出怪已超目标</x:v>
      </x:c>
      <x:c r="X669" s="119" t="n">
        <x:f>IF(1&gt;D669,0,MAX(2,MIN('难度参数'!$E$12,ROUND(('难度参数'!$E$18*POWER(A669,'难度参数'!$E$19)/D669*(0.85+0.3*(1-1)/MAX(1,D669-1))),0)+F669)))</x:f>
        <x:v>39</x:v>
      </x:c>
      <x:c r="Y669" s="119" t="n">
        <x:f>IF(1&gt;D669,0,ROUND(('难度参数'!$E$13*POWER(A669,'难度参数'!$E$20)*MIN('难度参数'!$E$23,1+MAX(0,A669-'难度参数'!$E$21)*'难度参数'!$E$22))*(36+1*7)/(36+7*(D669+1)/2)*E669,0))</x:f>
        <x:v>9752</x:v>
      </x:c>
      <x:c r="Z669" s="119" t="n">
        <x:f>IF(X669=0,0,(X669-IF(1=D669,1,0))*ROUND(Y669*VLOOKUP(INDEX('章节与怪物'!$E$31:$K$37,B669,1),'章节与怪物'!$A$41:$F$44,2,FALSE),0)+IF(1=D669,ROUND(Y669*'难度参数'!$E$28*'章节与怪物'!$E$17,0),0))</x:f>
        <x:v>380328</x:v>
      </x:c>
      <x:c r="AA669" s="119" t="n">
        <x:f>IF(X669=0,0,(X669-IF(1=D669,1,0))*VLOOKUP(INDEX('章节与怪物'!$E$31:$K$37,B669,1),'章节与怪物'!$A$41:$F$44,4,FALSE)+IF(1=D669,'难度参数'!$E$30,0))</x:f>
        <x:v>702</x:v>
      </x:c>
      <x:c r="AB669" s="119" t="n">
        <x:f>IF(2&gt;D669,0,MAX(2,MIN('难度参数'!$E$12,ROUND(('难度参数'!$E$18*POWER(A669,'难度参数'!$E$19)/D669*(0.85+0.3*(2-1)/MAX(1,D669-1))),0)+F669)))</x:f>
        <x:v>41</x:v>
      </x:c>
      <x:c r="AC669" s="119" t="n">
        <x:f>IF(2&gt;D669,0,ROUND(('难度参数'!$E$13*POWER(A669,'难度参数'!$E$20)*MIN('难度参数'!$E$23,1+MAX(0,A669-'难度参数'!$E$21)*'难度参数'!$E$22))*(36+2*7)/(36+7*(D669+1)/2)*E669,0))</x:f>
        <x:v>11340</x:v>
      </x:c>
      <x:c r="AD669" s="119" t="n">
        <x:f>IF(AB669=0,0,(AB669-IF(2=D669,1,0))*ROUND(AC669*VLOOKUP(INDEX('章节与怪物'!$E$31:$K$37,B669,2),'章节与怪物'!$A$41:$F$44,2,FALSE),0)+IF(2=D669,ROUND(AC669*'难度参数'!$E$28*'章节与怪物'!$E$17,0),0))</x:f>
        <x:v>334765</x:v>
      </x:c>
      <x:c r="AE669" s="119" t="n">
        <x:f>IF(AB669=0,0,(AB669-IF(2=D669,1,0))*VLOOKUP(INDEX('章节与怪物'!$E$31:$K$37,B669,2),'章节与怪物'!$A$41:$F$44,4,FALSE)+IF(2=D669,'难度参数'!$E$30,0))</x:f>
        <x:v>820</x:v>
      </x:c>
      <x:c r="AF669" s="119" t="n">
        <x:f>IF(3&gt;D669,0,MAX(2,MIN('难度参数'!$E$12,ROUND(('难度参数'!$E$18*POWER(A669,'难度参数'!$E$19)/D669*(0.85+0.3*(3-1)/MAX(1,D669-1))),0)+F669)))</x:f>
        <x:v>44</x:v>
      </x:c>
      <x:c r="AG669" s="119" t="n">
        <x:f>IF(3&gt;D669,0,ROUND(('难度参数'!$E$13*POWER(A669,'难度参数'!$E$20)*MIN('难度参数'!$E$23,1+MAX(0,A669-'难度参数'!$E$21)*'难度参数'!$E$22))*(36+3*7)/(36+7*(D669+1)/2)*E669,0))</x:f>
        <x:v>12928</x:v>
      </x:c>
      <x:c r="AH669" s="119" t="n">
        <x:f>IF(AF669=0,0,(AF669-IF(3=D669,1,0))*ROUND(AG669*VLOOKUP(INDEX('章节与怪物'!$E$31:$K$37,B669,3),'章节与怪物'!$A$41:$F$44,2,FALSE),0)+IF(3=D669,ROUND(AG669*'难度参数'!$E$28*'章节与怪物'!$E$17,0),0))</x:f>
        <x:v>967032</x:v>
      </x:c>
      <x:c r="AI669" s="119" t="n">
        <x:f>IF(AF669=0,0,(AF669-IF(3=D669,1,0))*VLOOKUP(INDEX('章节与怪物'!$E$31:$K$37,B669,3),'章节与怪物'!$A$41:$F$44,4,FALSE)+IF(3=D669,'难度参数'!$E$30,0))</x:f>
        <x:v>1232</x:v>
      </x:c>
      <x:c r="AJ669" s="119" t="n">
        <x:f>IF(4&gt;D669,0,MAX(2,MIN('难度参数'!$E$12,ROUND(('难度参数'!$E$18*POWER(A669,'难度参数'!$E$19)/D669*(0.85+0.3*(4-1)/MAX(1,D669-1))),0)+F669)))</x:f>
        <x:v>46</x:v>
      </x:c>
      <x:c r="AK669" s="119" t="n">
        <x:f>IF(4&gt;D669,0,ROUND(('难度参数'!$E$13*POWER(A669,'难度参数'!$E$20)*MIN('难度参数'!$E$23,1+MAX(0,A669-'难度参数'!$E$21)*'难度参数'!$E$22))*(36+4*7)/(36+7*(D669+1)/2)*E669,0))</x:f>
        <x:v>14515</x:v>
      </x:c>
      <x:c r="AL669" s="119" t="n">
        <x:f>IF(AJ669=0,0,(AJ669-IF(4=D669,1,0))*ROUND(AK669*VLOOKUP(INDEX('章节与怪物'!$E$31:$K$37,B669,4),'章节与怪物'!$A$41:$F$44,2,FALSE),0)+IF(4=D669,ROUND(AK669*'难度参数'!$E$28*'章节与怪物'!$E$17,0),0))</x:f>
        <x:v>901370</x:v>
      </x:c>
      <x:c r="AM669" s="119" t="n">
        <x:f>IF(AJ669=0,0,(AJ669-IF(4=D669,1,0))*VLOOKUP(INDEX('章节与怪物'!$E$31:$K$37,B669,4),'章节与怪物'!$A$41:$F$44,4,FALSE)+IF(4=D669,'难度参数'!$E$30,0))</x:f>
        <x:v>1564</x:v>
      </x:c>
      <x:c r="AN669" s="119" t="n">
        <x:f>IF(5&gt;D669,0,MAX(2,MIN('难度参数'!$E$12,ROUND(('难度参数'!$E$18*POWER(A669,'难度参数'!$E$19)/D669*(0.85+0.3*(5-1)/MAX(1,D669-1))),0)+F669)))</x:f>
        <x:v>48</x:v>
      </x:c>
      <x:c r="AO669" s="119" t="n">
        <x:f>IF(5&gt;D669,0,ROUND(('难度参数'!$E$13*POWER(A669,'难度参数'!$E$20)*MIN('难度参数'!$E$23,1+MAX(0,A669-'难度参数'!$E$21)*'难度参数'!$E$22))*(36+5*7)/(36+7*(D669+1)/2)*E669,0))</x:f>
        <x:v>16103</x:v>
      </x:c>
      <x:c r="AP669" s="119" t="n">
        <x:f>IF(AN669=0,0,(AN669-IF(5=D669,1,0))*ROUND(AO669*VLOOKUP(INDEX('章节与怪物'!$E$31:$K$37,B669,5),'章节与怪物'!$A$41:$F$44,2,FALSE),0)+IF(5=D669,ROUND(AO669*'难度参数'!$E$28*'章节与怪物'!$E$17,0),0))</x:f>
        <x:v>556512</x:v>
      </x:c>
      <x:c r="AQ669" s="119" t="n">
        <x:f>IF(AN669=0,0,(AN669-IF(5=D669,1,0))*VLOOKUP(INDEX('章节与怪物'!$E$31:$K$37,B669,5),'章节与怪物'!$A$41:$F$44,4,FALSE)+IF(5=D669,'难度参数'!$E$30,0))</x:f>
        <x:v>960</x:v>
      </x:c>
      <x:c r="AR669" s="119" t="n">
        <x:f>IF(6&gt;D669,0,MAX(2,MIN('难度参数'!$E$12,ROUND(('难度参数'!$E$18*POWER(A669,'难度参数'!$E$19)/D669*(0.85+0.3*(6-1)/MAX(1,D669-1))),0)+F669)))</x:f>
        <x:v>50</x:v>
      </x:c>
      <x:c r="AS669" s="119" t="n">
        <x:f>IF(6&gt;D669,0,ROUND(('难度参数'!$E$13*POWER(A669,'难度参数'!$E$20)*MIN('难度参数'!$E$23,1+MAX(0,A669-'难度参数'!$E$21)*'难度参数'!$E$22))*(36+6*7)/(36+7*(D669+1)/2)*E669,0))</x:f>
        <x:v>17690</x:v>
      </x:c>
      <x:c r="AT669" s="119" t="n">
        <x:f>IF(AR669=0,0,(AR669-IF(6=D669,1,0))*ROUND(AS669*VLOOKUP(INDEX('章节与怪物'!$E$31:$K$37,B669,6),'章节与怪物'!$A$41:$F$44,2,FALSE),0)+IF(6=D669,ROUND(AS669*'难度参数'!$E$28*'章节与怪物'!$E$17,0),0))</x:f>
        <x:v>1503650</x:v>
      </x:c>
      <x:c r="AU669" s="119" t="n">
        <x:f>IF(AR669=0,0,(AR669-IF(6=D669,1,0))*VLOOKUP(INDEX('章节与怪物'!$E$31:$K$37,B669,6),'章节与怪物'!$A$41:$F$44,4,FALSE)+IF(6=D669,'难度参数'!$E$30,0))</x:f>
        <x:v>1400</x:v>
      </x:c>
      <x:c r="AV669" s="119" t="n">
        <x:f>IF(7&gt;D669,0,MAX(2,MIN('难度参数'!$E$12,ROUND(('难度参数'!$E$18*POWER(A669,'难度参数'!$E$19)/D669*(0.85+0.3*(7-1)/MAX(1,D669-1))),0)+F669)))</x:f>
        <x:v>53</x:v>
      </x:c>
      <x:c r="AW669" s="119" t="n">
        <x:f>IF(7&gt;D669,0,ROUND(('难度参数'!$E$13*POWER(A669,'难度参数'!$E$20)*MIN('难度参数'!$E$23,1+MAX(0,A669-'难度参数'!$E$21)*'难度参数'!$E$22))*(36+7*7)/(36+7*(D669+1)/2)*E669,0))</x:f>
        <x:v>19278</x:v>
      </x:c>
      <x:c r="AX669" s="119" t="n">
        <x:f>IF(AV669=0,0,(AV669-IF(7=D669,1,0))*ROUND(AW669*VLOOKUP(INDEX('章节与怪物'!$E$31:$K$37,B669,7),'章节与怪物'!$A$41:$F$44,2,FALSE),0)+IF(7=D669,ROUND(AW669*'难度参数'!$E$28*'章节与怪物'!$E$17,0),0))</x:f>
        <x:v>1484390</x:v>
      </x:c>
      <x:c r="AY669" s="119" t="n">
        <x:f>IF(AV669=0,0,(AV669-IF(7=D669,1,0))*VLOOKUP(INDEX('章节与怪物'!$E$31:$K$37,B669,7),'章节与怪物'!$A$41:$F$44,4,FALSE)+IF(7=D669,'难度参数'!$E$30,0))</x:f>
        <x:v>1968</x:v>
      </x:c>
    </x:row>
    <x:row r="670" ht="23" customHeight="1">
      <x:c r="A670" s="119" t="n">
        <x:v>664</x:v>
      </x:c>
      <x:c r="B670" s="119" t="n">
        <x:f>MOD(INT((A670-1)/5),7)+1</x:f>
        <x:v>7</x:v>
      </x:c>
      <x:c r="C670" s="62" t="str">
        <x:f>INDEX('章节与怪物'!$B$31:$B$37,B670)</x:f>
        <x:v>魔法山脊</x:v>
      </x:c>
      <x:c r="D670" s="119" t="n">
        <x:f>MIN('难度参数'!$E$8,MAX('难度参数'!$E$7,A670))</x:f>
        <x:v>7</x:v>
      </x:c>
      <x:c r="E670" s="106" t="n">
        <x:v>1</x:v>
      </x:c>
      <x:c r="F670" s="106" t="n">
        <x:v>0</x:v>
      </x:c>
      <x:c r="G670" s="106" t="n">
        <x:v>1</x:v>
      </x:c>
      <x:c r="H670" s="119" t="n">
        <x:f>SUM(X670,AB670,AF670,AJ670,AN670,AR670,AV670)</x:f>
        <x:v>321</x:v>
      </x:c>
      <x:c r="I670" s="119" t="n">
        <x:f>SUM(Z670,AD670,AH670,AL670,AP670,AT670,AX670)</x:f>
        <x:v>6134755</x:v>
      </x:c>
      <x:c r="J670" s="119" t="n">
        <x:f>ROUND(INDEX(X670:AY670,1,(D670-1)*4+2)*'难度参数'!$E$28*'章节与怪物'!$E$17,0)</x:f>
        <x:v>131233</x:v>
      </x:c>
      <x:c r="K670" s="119" t="n">
        <x:f>SUM(AA670,AE670,AI670,AM670,AQ670,AU670,AY670)</x:f>
        <x:v>8646</x:v>
      </x:c>
      <x:c r="L670" s="62" t="n">
        <x:f>H670*(ROUNDUP('难度参数'!$E$24/('难度参数'!$E$26*'难度参数'!$E$27),0)*'难度参数'!$E$26)/60</x:f>
        <x:v>4.28</x:v>
      </x:c>
      <x:c r="M670" s="62" t="n">
        <x:f>L670+D670*('难度参数'!$E$49+'难度参数'!$E$50)/60</x:f>
        <x:v>5.446666666666667</x:v>
      </x:c>
      <x:c r="N670" s="119" t="n">
        <x:f>ROUNDDOWN(('经济参数'!$E$20+A670*'经济参数'!$E$21)*G670,0)</x:f>
        <x:v>13460</x:v>
      </x:c>
      <x:c r="O670" s="119" t="n">
        <x:f>ROUNDDOWN(MIN('经济参数'!$E$24,'经济参数'!$E$22+A670*'经济参数'!$E$23)*G670,0)</x:f>
        <x:v>0</x:v>
      </x:c>
      <x:c r="P670" s="119" t="n">
        <x:f>ROUNDDOWN((IF(A670&gt;='材料与任务'!$E$31,'材料与任务'!$E$32,IF(A670&gt;='材料与任务'!$E$25,'材料与任务'!$E$26,IF(A670&gt;='材料与任务'!$E$19,'材料与任务'!$E$20,IF(A670&gt;='材料与任务'!$E$13,'材料与任务'!$E$14,'材料与任务'!$E$8)))))*G670,0)</x:f>
        <x:v>6</x:v>
      </x:c>
      <x:c r="Q670" s="119" t="n">
        <x:f>ROUNDDOWN((IF(A670&gt;='材料与任务'!$E$31,'材料与任务'!$E$33,IF(A670&gt;='材料与任务'!$E$25,'材料与任务'!$E$27,IF(A670&gt;='材料与任务'!$E$19,'材料与任务'!$E$21,IF(A670&gt;='材料与任务'!$E$13,'材料与任务'!$E$15,'材料与任务'!$E$9)))))*G670,0)</x:f>
        <x:v>3</x:v>
      </x:c>
      <x:c r="R670" s="110" t="n">
        <x:f>'装备掉落'!$B$38</x:f>
        <x:v>0.6872058758851213</x:v>
      </x:c>
      <x:c r="S670" s="119" t="n">
        <x:f>MAX(IF(VLOOKUP(A670,'装备掉落'!$A$29:$H$34,2,TRUE)&gt;0,1,0),IF(VLOOKUP(A670,'装备掉落'!$A$29:$H$34,3,TRUE)&gt;0,2,0),IF(VLOOKUP(A670,'装备掉落'!$A$29:$H$34,4,TRUE)&gt;0,3,0),IF(VLOOKUP(A670,'装备掉落'!$A$29:$H$34,5,TRUE)&gt;0,4,0),IF(VLOOKUP(A670,'装备掉落'!$A$29:$H$34,6,TRUE)&gt;0,5,0),IF(VLOOKUP(A670,'装备掉落'!$A$29:$H$34,7,TRUE)&gt;0,6,0),IF(VLOOKUP(A670,'装备掉落'!$A$29:$H$34,8,TRUE)&gt;0,7,0))</x:f>
        <x:v>7</x:v>
      </x:c>
      <x:c r="T670" s="119" t="n">
        <x:f>MIN(7,S670+'经济参数'!$E$70)</x:f>
        <x:v>7</x:v>
      </x:c>
      <x:c r="U670" s="119" t="n">
        <x:f>MIN(7,S670+'经济参数'!$E$71)</x:f>
        <x:v>7</x:v>
      </x:c>
      <x:c r="V670" s="119" t="n">
        <x:f>IF(H670&gt;=('难度参数'!$E$52),1,0)+IF(H670&gt;=('难度参数'!$E$52+'难度参数'!$E$53),1,0)+IF(H670&gt;=('难度参数'!$E$52+'难度参数'!$E$53+'难度参数'!$E$54),1,0)+IF(H670&gt;=('难度参数'!$E$52+'难度参数'!$E$53+'难度参数'!$E$54+'难度参数'!$E$55),1,0)+IF(H670&gt;=('难度参数'!$E$52+'难度参数'!$E$53+'难度参数'!$E$54+'难度参数'!$E$55+'难度参数'!$E$56),1,0)+IF(H670&gt;=('难度参数'!$E$52+'难度参数'!$E$53+'难度参数'!$E$54+'难度参数'!$E$55+'难度参数'!$E$56+'难度参数'!$E$57),1,0)</x:f>
        <x:v>6</x:v>
      </x:c>
      <x:c r="W670" s="62" t="str">
        <x:f>IF(L670&gt;'难度参数'!$E$51,"仅出怪已超目标","还需实测")</x:f>
        <x:v>仅出怪已超目标</x:v>
      </x:c>
      <x:c r="X670" s="119" t="n">
        <x:f>IF(1&gt;D670,0,MAX(2,MIN('难度参数'!$E$12,ROUND(('难度参数'!$E$18*POWER(A670,'难度参数'!$E$19)/D670*(0.85+0.3*(1-1)/MAX(1,D670-1))),0)+F670)))</x:f>
        <x:v>39</x:v>
      </x:c>
      <x:c r="Y670" s="119" t="n">
        <x:f>IF(1&gt;D670,0,ROUND(('难度参数'!$E$13*POWER(A670,'难度参数'!$E$20)*MIN('难度参数'!$E$23,1+MAX(0,A670-'难度参数'!$E$21)*'难度参数'!$E$22))*(36+1*7)/(36+7*(D670+1)/2)*E670,0))</x:f>
        <x:v>9763</x:v>
      </x:c>
      <x:c r="Z670" s="119" t="n">
        <x:f>IF(X670=0,0,(X670-IF(1=D670,1,0))*ROUND(Y670*VLOOKUP(INDEX('章节与怪物'!$E$31:$K$37,B670,1),'章节与怪物'!$A$41:$F$44,2,FALSE),0)+IF(1=D670,ROUND(Y670*'难度参数'!$E$28*'章节与怪物'!$E$17,0),0))</x:f>
        <x:v>380757</x:v>
      </x:c>
      <x:c r="AA670" s="119" t="n">
        <x:f>IF(X670=0,0,(X670-IF(1=D670,1,0))*VLOOKUP(INDEX('章节与怪物'!$E$31:$K$37,B670,1),'章节与怪物'!$A$41:$F$44,4,FALSE)+IF(1=D670,'难度参数'!$E$30,0))</x:f>
        <x:v>702</x:v>
      </x:c>
      <x:c r="AB670" s="119" t="n">
        <x:f>IF(2&gt;D670,0,MAX(2,MIN('难度参数'!$E$12,ROUND(('难度参数'!$E$18*POWER(A670,'难度参数'!$E$19)/D670*(0.85+0.3*(2-1)/MAX(1,D670-1))),0)+F670)))</x:f>
        <x:v>41</x:v>
      </x:c>
      <x:c r="AC670" s="119" t="n">
        <x:f>IF(2&gt;D670,0,ROUND(('难度参数'!$E$13*POWER(A670,'难度参数'!$E$20)*MIN('难度参数'!$E$23,1+MAX(0,A670-'难度参数'!$E$21)*'难度参数'!$E$22))*(36+2*7)/(36+7*(D670+1)/2)*E670,0))</x:f>
        <x:v>11352</x:v>
      </x:c>
      <x:c r="AD670" s="119" t="n">
        <x:f>IF(AB670=0,0,(AB670-IF(2=D670,1,0))*ROUND(AC670*VLOOKUP(INDEX('章节与怪物'!$E$31:$K$37,B670,2),'章节与怪物'!$A$41:$F$44,2,FALSE),0)+IF(2=D670,ROUND(AC670*'难度参数'!$E$28*'章节与怪物'!$E$17,0),0))</x:f>
        <x:v>335093</x:v>
      </x:c>
      <x:c r="AE670" s="119" t="n">
        <x:f>IF(AB670=0,0,(AB670-IF(2=D670,1,0))*VLOOKUP(INDEX('章节与怪物'!$E$31:$K$37,B670,2),'章节与怪物'!$A$41:$F$44,4,FALSE)+IF(2=D670,'难度参数'!$E$30,0))</x:f>
        <x:v>820</x:v>
      </x:c>
      <x:c r="AF670" s="119" t="n">
        <x:f>IF(3&gt;D670,0,MAX(2,MIN('难度参数'!$E$12,ROUND(('难度参数'!$E$18*POWER(A670,'难度参数'!$E$19)/D670*(0.85+0.3*(3-1)/MAX(1,D670-1))),0)+F670)))</x:f>
        <x:v>44</x:v>
      </x:c>
      <x:c r="AG670" s="119" t="n">
        <x:f>IF(3&gt;D670,0,ROUND(('难度参数'!$E$13*POWER(A670,'难度参数'!$E$20)*MIN('难度参数'!$E$23,1+MAX(0,A670-'难度参数'!$E$21)*'难度参数'!$E$22))*(36+3*7)/(36+7*(D670+1)/2)*E670,0))</x:f>
        <x:v>12942</x:v>
      </x:c>
      <x:c r="AH670" s="119" t="n">
        <x:f>IF(AF670=0,0,(AF670-IF(3=D670,1,0))*ROUND(AG670*VLOOKUP(INDEX('章节与怪物'!$E$31:$K$37,B670,3),'章节与怪物'!$A$41:$F$44,2,FALSE),0)+IF(3=D670,ROUND(AG670*'难度参数'!$E$28*'章节与怪物'!$E$17,0),0))</x:f>
        <x:v>968044</x:v>
      </x:c>
      <x:c r="AI670" s="119" t="n">
        <x:f>IF(AF670=0,0,(AF670-IF(3=D670,1,0))*VLOOKUP(INDEX('章节与怪物'!$E$31:$K$37,B670,3),'章节与怪物'!$A$41:$F$44,4,FALSE)+IF(3=D670,'难度参数'!$E$30,0))</x:f>
        <x:v>1232</x:v>
      </x:c>
      <x:c r="AJ670" s="119" t="n">
        <x:f>IF(4&gt;D670,0,MAX(2,MIN('难度参数'!$E$12,ROUND(('难度参数'!$E$18*POWER(A670,'难度参数'!$E$19)/D670*(0.85+0.3*(4-1)/MAX(1,D670-1))),0)+F670)))</x:f>
        <x:v>46</x:v>
      </x:c>
      <x:c r="AK670" s="119" t="n">
        <x:f>IF(4&gt;D670,0,ROUND(('难度参数'!$E$13*POWER(A670,'难度参数'!$E$20)*MIN('难度参数'!$E$23,1+MAX(0,A670-'难度参数'!$E$21)*'难度参数'!$E$22))*(36+4*7)/(36+7*(D670+1)/2)*E670,0))</x:f>
        <x:v>14531</x:v>
      </x:c>
      <x:c r="AL670" s="119" t="n">
        <x:f>IF(AJ670=0,0,(AJ670-IF(4=D670,1,0))*ROUND(AK670*VLOOKUP(INDEX('章节与怪物'!$E$31:$K$37,B670,4),'章节与怪物'!$A$41:$F$44,2,FALSE),0)+IF(4=D670,ROUND(AK670*'难度参数'!$E$28*'章节与怪物'!$E$17,0),0))</x:f>
        <x:v>902382</x:v>
      </x:c>
      <x:c r="AM670" s="119" t="n">
        <x:f>IF(AJ670=0,0,(AJ670-IF(4=D670,1,0))*VLOOKUP(INDEX('章节与怪物'!$E$31:$K$37,B670,4),'章节与怪物'!$A$41:$F$44,4,FALSE)+IF(4=D670,'难度参数'!$E$30,0))</x:f>
        <x:v>1564</x:v>
      </x:c>
      <x:c r="AN670" s="119" t="n">
        <x:f>IF(5&gt;D670,0,MAX(2,MIN('难度参数'!$E$12,ROUND(('难度参数'!$E$18*POWER(A670,'难度参数'!$E$19)/D670*(0.85+0.3*(5-1)/MAX(1,D670-1))),0)+F670)))</x:f>
        <x:v>48</x:v>
      </x:c>
      <x:c r="AO670" s="119" t="n">
        <x:f>IF(5&gt;D670,0,ROUND(('难度参数'!$E$13*POWER(A670,'难度参数'!$E$20)*MIN('难度参数'!$E$23,1+MAX(0,A670-'难度参数'!$E$21)*'难度参数'!$E$22))*(36+5*7)/(36+7*(D670+1)/2)*E670,0))</x:f>
        <x:v>16120</x:v>
      </x:c>
      <x:c r="AP670" s="119" t="n">
        <x:f>IF(AN670=0,0,(AN670-IF(5=D670,1,0))*ROUND(AO670*VLOOKUP(INDEX('章节与怪物'!$E$31:$K$37,B670,5),'章节与怪物'!$A$41:$F$44,2,FALSE),0)+IF(5=D670,ROUND(AO670*'难度参数'!$E$28*'章节与怪物'!$E$17,0),0))</x:f>
        <x:v>557088</x:v>
      </x:c>
      <x:c r="AQ670" s="119" t="n">
        <x:f>IF(AN670=0,0,(AN670-IF(5=D670,1,0))*VLOOKUP(INDEX('章节与怪物'!$E$31:$K$37,B670,5),'章节与怪物'!$A$41:$F$44,4,FALSE)+IF(5=D670,'难度参数'!$E$30,0))</x:f>
        <x:v>960</x:v>
      </x:c>
      <x:c r="AR670" s="119" t="n">
        <x:f>IF(6&gt;D670,0,MAX(2,MIN('难度参数'!$E$12,ROUND(('难度参数'!$E$18*POWER(A670,'难度参数'!$E$19)/D670*(0.85+0.3*(6-1)/MAX(1,D670-1))),0)+F670)))</x:f>
        <x:v>50</x:v>
      </x:c>
      <x:c r="AS670" s="119" t="n">
        <x:f>IF(6&gt;D670,0,ROUND(('难度参数'!$E$13*POWER(A670,'难度参数'!$E$20)*MIN('难度参数'!$E$23,1+MAX(0,A670-'难度参数'!$E$21)*'难度参数'!$E$22))*(36+6*7)/(36+7*(D670+1)/2)*E670,0))</x:f>
        <x:v>17710</x:v>
      </x:c>
      <x:c r="AT670" s="119" t="n">
        <x:f>IF(AR670=0,0,(AR670-IF(6=D670,1,0))*ROUND(AS670*VLOOKUP(INDEX('章节与怪物'!$E$31:$K$37,B670,6),'章节与怪物'!$A$41:$F$44,2,FALSE),0)+IF(6=D670,ROUND(AS670*'难度参数'!$E$28*'章节与怪物'!$E$17,0),0))</x:f>
        <x:v>1505350</x:v>
      </x:c>
      <x:c r="AU670" s="119" t="n">
        <x:f>IF(AR670=0,0,(AR670-IF(6=D670,1,0))*VLOOKUP(INDEX('章节与怪物'!$E$31:$K$37,B670,6),'章节与怪物'!$A$41:$F$44,4,FALSE)+IF(6=D670,'难度参数'!$E$30,0))</x:f>
        <x:v>1400</x:v>
      </x:c>
      <x:c r="AV670" s="119" t="n">
        <x:f>IF(7&gt;D670,0,MAX(2,MIN('难度参数'!$E$12,ROUND(('难度参数'!$E$18*POWER(A670,'难度参数'!$E$19)/D670*(0.85+0.3*(7-1)/MAX(1,D670-1))),0)+F670)))</x:f>
        <x:v>53</x:v>
      </x:c>
      <x:c r="AW670" s="119" t="n">
        <x:f>IF(7&gt;D670,0,ROUND(('难度参数'!$E$13*POWER(A670,'难度参数'!$E$20)*MIN('难度参数'!$E$23,1+MAX(0,A670-'难度参数'!$E$21)*'难度参数'!$E$22))*(36+7*7)/(36+7*(D670+1)/2)*E670,0))</x:f>
        <x:v>19299</x:v>
      </x:c>
      <x:c r="AX670" s="119" t="n">
        <x:f>IF(AV670=0,0,(AV670-IF(7=D670,1,0))*ROUND(AW670*VLOOKUP(INDEX('章节与怪物'!$E$31:$K$37,B670,7),'章节与怪物'!$A$41:$F$44,2,FALSE),0)+IF(7=D670,ROUND(AW670*'难度参数'!$E$28*'章节与怪物'!$E$17,0),0))</x:f>
        <x:v>1486041</x:v>
      </x:c>
      <x:c r="AY670" s="119" t="n">
        <x:f>IF(AV670=0,0,(AV670-IF(7=D670,1,0))*VLOOKUP(INDEX('章节与怪物'!$E$31:$K$37,B670,7),'章节与怪物'!$A$41:$F$44,4,FALSE)+IF(7=D670,'难度参数'!$E$30,0))</x:f>
        <x:v>1968</x:v>
      </x:c>
    </x:row>
    <x:row r="671" ht="23" customHeight="1">
      <x:c r="A671" s="119" t="n">
        <x:v>665</x:v>
      </x:c>
      <x:c r="B671" s="119" t="n">
        <x:f>MOD(INT((A671-1)/5),7)+1</x:f>
        <x:v>7</x:v>
      </x:c>
      <x:c r="C671" s="62" t="str">
        <x:f>INDEX('章节与怪物'!$B$31:$B$37,B671)</x:f>
        <x:v>魔法山脊</x:v>
      </x:c>
      <x:c r="D671" s="119" t="n">
        <x:f>MIN('难度参数'!$E$8,MAX('难度参数'!$E$7,A671))</x:f>
        <x:v>7</x:v>
      </x:c>
      <x:c r="E671" s="106" t="n">
        <x:v>1</x:v>
      </x:c>
      <x:c r="F671" s="106" t="n">
        <x:v>0</x:v>
      </x:c>
      <x:c r="G671" s="106" t="n">
        <x:v>1</x:v>
      </x:c>
      <x:c r="H671" s="119" t="n">
        <x:f>SUM(X671,AB671,AF671,AJ671,AN671,AR671,AV671)</x:f>
        <x:v>321</x:v>
      </x:c>
      <x:c r="I671" s="119" t="n">
        <x:f>SUM(Z671,AD671,AH671,AL671,AP671,AT671,AX671)</x:f>
        <x:v>6141439</x:v>
      </x:c>
      <x:c r="J671" s="119" t="n">
        <x:f>ROUND(INDEX(X671:AY671,1,(D671-1)*4+2)*'难度参数'!$E$28*'章节与怪物'!$E$17,0)</x:f>
        <x:v>131376</x:v>
      </x:c>
      <x:c r="K671" s="119" t="n">
        <x:f>SUM(AA671,AE671,AI671,AM671,AQ671,AU671,AY671)</x:f>
        <x:v>8646</x:v>
      </x:c>
      <x:c r="L671" s="62" t="n">
        <x:f>H671*(ROUNDUP('难度参数'!$E$24/('难度参数'!$E$26*'难度参数'!$E$27),0)*'难度参数'!$E$26)/60</x:f>
        <x:v>4.28</x:v>
      </x:c>
      <x:c r="M671" s="62" t="n">
        <x:f>L671+D671*('难度参数'!$E$49+'难度参数'!$E$50)/60</x:f>
        <x:v>5.446666666666667</x:v>
      </x:c>
      <x:c r="N671" s="119" t="n">
        <x:f>ROUNDDOWN(('经济参数'!$E$20+A671*'经济参数'!$E$21)*G671,0)</x:f>
        <x:v>13480</x:v>
      </x:c>
      <x:c r="O671" s="119" t="n">
        <x:f>ROUNDDOWN(MIN('经济参数'!$E$24,'经济参数'!$E$22+A671*'经济参数'!$E$23)*G671,0)</x:f>
        <x:v>0</x:v>
      </x:c>
      <x:c r="P671" s="119" t="n">
        <x:f>ROUNDDOWN((IF(A671&gt;='材料与任务'!$E$31,'材料与任务'!$E$32,IF(A671&gt;='材料与任务'!$E$25,'材料与任务'!$E$26,IF(A671&gt;='材料与任务'!$E$19,'材料与任务'!$E$20,IF(A671&gt;='材料与任务'!$E$13,'材料与任务'!$E$14,'材料与任务'!$E$8)))))*G671,0)</x:f>
        <x:v>6</x:v>
      </x:c>
      <x:c r="Q671" s="119" t="n">
        <x:f>ROUNDDOWN((IF(A671&gt;='材料与任务'!$E$31,'材料与任务'!$E$33,IF(A671&gt;='材料与任务'!$E$25,'材料与任务'!$E$27,IF(A671&gt;='材料与任务'!$E$19,'材料与任务'!$E$21,IF(A671&gt;='材料与任务'!$E$13,'材料与任务'!$E$15,'材料与任务'!$E$9)))))*G671,0)</x:f>
        <x:v>3</x:v>
      </x:c>
      <x:c r="R671" s="110" t="n">
        <x:f>'装备掉落'!$B$38</x:f>
        <x:v>0.6872058758851213</x:v>
      </x:c>
      <x:c r="S671" s="119" t="n">
        <x:f>MAX(IF(VLOOKUP(A671,'装备掉落'!$A$29:$H$34,2,TRUE)&gt;0,1,0),IF(VLOOKUP(A671,'装备掉落'!$A$29:$H$34,3,TRUE)&gt;0,2,0),IF(VLOOKUP(A671,'装备掉落'!$A$29:$H$34,4,TRUE)&gt;0,3,0),IF(VLOOKUP(A671,'装备掉落'!$A$29:$H$34,5,TRUE)&gt;0,4,0),IF(VLOOKUP(A671,'装备掉落'!$A$29:$H$34,6,TRUE)&gt;0,5,0),IF(VLOOKUP(A671,'装备掉落'!$A$29:$H$34,7,TRUE)&gt;0,6,0),IF(VLOOKUP(A671,'装备掉落'!$A$29:$H$34,8,TRUE)&gt;0,7,0))</x:f>
        <x:v>7</x:v>
      </x:c>
      <x:c r="T671" s="119" t="n">
        <x:f>MIN(7,S671+'经济参数'!$E$70)</x:f>
        <x:v>7</x:v>
      </x:c>
      <x:c r="U671" s="119" t="n">
        <x:f>MIN(7,S671+'经济参数'!$E$71)</x:f>
        <x:v>7</x:v>
      </x:c>
      <x:c r="V671" s="119" t="n">
        <x:f>IF(H671&gt;=('难度参数'!$E$52),1,0)+IF(H671&gt;=('难度参数'!$E$52+'难度参数'!$E$53),1,0)+IF(H671&gt;=('难度参数'!$E$52+'难度参数'!$E$53+'难度参数'!$E$54),1,0)+IF(H671&gt;=('难度参数'!$E$52+'难度参数'!$E$53+'难度参数'!$E$54+'难度参数'!$E$55),1,0)+IF(H671&gt;=('难度参数'!$E$52+'难度参数'!$E$53+'难度参数'!$E$54+'难度参数'!$E$55+'难度参数'!$E$56),1,0)+IF(H671&gt;=('难度参数'!$E$52+'难度参数'!$E$53+'难度参数'!$E$54+'难度参数'!$E$55+'难度参数'!$E$56+'难度参数'!$E$57),1,0)</x:f>
        <x:v>6</x:v>
      </x:c>
      <x:c r="W671" s="62" t="str">
        <x:f>IF(L671&gt;'难度参数'!$E$51,"仅出怪已超目标","还需实测")</x:f>
        <x:v>仅出怪已超目标</x:v>
      </x:c>
      <x:c r="X671" s="119" t="n">
        <x:f>IF(1&gt;D671,0,MAX(2,MIN('难度参数'!$E$12,ROUND(('难度参数'!$E$18*POWER(A671,'难度参数'!$E$19)/D671*(0.85+0.3*(1-1)/MAX(1,D671-1))),0)+F671)))</x:f>
        <x:v>39</x:v>
      </x:c>
      <x:c r="Y671" s="119" t="n">
        <x:f>IF(1&gt;D671,0,ROUND(('难度参数'!$E$13*POWER(A671,'难度参数'!$E$20)*MIN('难度参数'!$E$23,1+MAX(0,A671-'难度参数'!$E$21)*'难度参数'!$E$22))*(36+1*7)/(36+7*(D671+1)/2)*E671,0))</x:f>
        <x:v>9774</x:v>
      </x:c>
      <x:c r="Z671" s="119" t="n">
        <x:f>IF(X671=0,0,(X671-IF(1=D671,1,0))*ROUND(Y671*VLOOKUP(INDEX('章节与怪物'!$E$31:$K$37,B671,1),'章节与怪物'!$A$41:$F$44,2,FALSE),0)+IF(1=D671,ROUND(Y671*'难度参数'!$E$28*'章节与怪物'!$E$17,0),0))</x:f>
        <x:v>381186</x:v>
      </x:c>
      <x:c r="AA671" s="119" t="n">
        <x:f>IF(X671=0,0,(X671-IF(1=D671,1,0))*VLOOKUP(INDEX('章节与怪物'!$E$31:$K$37,B671,1),'章节与怪物'!$A$41:$F$44,4,FALSE)+IF(1=D671,'难度参数'!$E$30,0))</x:f>
        <x:v>702</x:v>
      </x:c>
      <x:c r="AB671" s="119" t="n">
        <x:f>IF(2&gt;D671,0,MAX(2,MIN('难度参数'!$E$12,ROUND(('难度参数'!$E$18*POWER(A671,'难度参数'!$E$19)/D671*(0.85+0.3*(2-1)/MAX(1,D671-1))),0)+F671)))</x:f>
        <x:v>41</x:v>
      </x:c>
      <x:c r="AC671" s="119" t="n">
        <x:f>IF(2&gt;D671,0,ROUND(('难度参数'!$E$13*POWER(A671,'难度参数'!$E$20)*MIN('难度参数'!$E$23,1+MAX(0,A671-'难度参数'!$E$21)*'难度参数'!$E$22))*(36+2*7)/(36+7*(D671+1)/2)*E671,0))</x:f>
        <x:v>11365</x:v>
      </x:c>
      <x:c r="AD671" s="119" t="n">
        <x:f>IF(AB671=0,0,(AB671-IF(2=D671,1,0))*ROUND(AC671*VLOOKUP(INDEX('章节与怪物'!$E$31:$K$37,B671,2),'章节与怪物'!$A$41:$F$44,2,FALSE),0)+IF(2=D671,ROUND(AC671*'难度参数'!$E$28*'章节与怪物'!$E$17,0),0))</x:f>
        <x:v>335503</x:v>
      </x:c>
      <x:c r="AE671" s="119" t="n">
        <x:f>IF(AB671=0,0,(AB671-IF(2=D671,1,0))*VLOOKUP(INDEX('章节与怪物'!$E$31:$K$37,B671,2),'章节与怪物'!$A$41:$F$44,4,FALSE)+IF(2=D671,'难度参数'!$E$30,0))</x:f>
        <x:v>820</x:v>
      </x:c>
      <x:c r="AF671" s="119" t="n">
        <x:f>IF(3&gt;D671,0,MAX(2,MIN('难度参数'!$E$12,ROUND(('难度参数'!$E$18*POWER(A671,'难度参数'!$E$19)/D671*(0.85+0.3*(3-1)/MAX(1,D671-1))),0)+F671)))</x:f>
        <x:v>44</x:v>
      </x:c>
      <x:c r="AG671" s="119" t="n">
        <x:f>IF(3&gt;D671,0,ROUND(('难度参数'!$E$13*POWER(A671,'难度参数'!$E$20)*MIN('难度参数'!$E$23,1+MAX(0,A671-'难度参数'!$E$21)*'难度参数'!$E$22))*(36+3*7)/(36+7*(D671+1)/2)*E671,0))</x:f>
        <x:v>12956</x:v>
      </x:c>
      <x:c r="AH671" s="119" t="n">
        <x:f>IF(AF671=0,0,(AF671-IF(3=D671,1,0))*ROUND(AG671*VLOOKUP(INDEX('章节与怪物'!$E$31:$K$37,B671,3),'章节与怪物'!$A$41:$F$44,2,FALSE),0)+IF(3=D671,ROUND(AG671*'难度参数'!$E$28*'章节与怪物'!$E$17,0),0))</x:f>
        <x:v>969100</x:v>
      </x:c>
      <x:c r="AI671" s="119" t="n">
        <x:f>IF(AF671=0,0,(AF671-IF(3=D671,1,0))*VLOOKUP(INDEX('章节与怪物'!$E$31:$K$37,B671,3),'章节与怪物'!$A$41:$F$44,4,FALSE)+IF(3=D671,'难度参数'!$E$30,0))</x:f>
        <x:v>1232</x:v>
      </x:c>
      <x:c r="AJ671" s="119" t="n">
        <x:f>IF(4&gt;D671,0,MAX(2,MIN('难度参数'!$E$12,ROUND(('难度参数'!$E$18*POWER(A671,'难度参数'!$E$19)/D671*(0.85+0.3*(4-1)/MAX(1,D671-1))),0)+F671)))</x:f>
        <x:v>46</x:v>
      </x:c>
      <x:c r="AK671" s="119" t="n">
        <x:f>IF(4&gt;D671,0,ROUND(('难度参数'!$E$13*POWER(A671,'难度参数'!$E$20)*MIN('难度参数'!$E$23,1+MAX(0,A671-'难度参数'!$E$21)*'难度参数'!$E$22))*(36+4*7)/(36+7*(D671+1)/2)*E671,0))</x:f>
        <x:v>14547</x:v>
      </x:c>
      <x:c r="AL671" s="119" t="n">
        <x:f>IF(AJ671=0,0,(AJ671-IF(4=D671,1,0))*ROUND(AK671*VLOOKUP(INDEX('章节与怪物'!$E$31:$K$37,B671,4),'章节与怪物'!$A$41:$F$44,2,FALSE),0)+IF(4=D671,ROUND(AK671*'难度参数'!$E$28*'章节与怪物'!$E$17,0),0))</x:f>
        <x:v>903348</x:v>
      </x:c>
      <x:c r="AM671" s="119" t="n">
        <x:f>IF(AJ671=0,0,(AJ671-IF(4=D671,1,0))*VLOOKUP(INDEX('章节与怪物'!$E$31:$K$37,B671,4),'章节与怪物'!$A$41:$F$44,4,FALSE)+IF(4=D671,'难度参数'!$E$30,0))</x:f>
        <x:v>1564</x:v>
      </x:c>
      <x:c r="AN671" s="119" t="n">
        <x:f>IF(5&gt;D671,0,MAX(2,MIN('难度参数'!$E$12,ROUND(('难度参数'!$E$18*POWER(A671,'难度参数'!$E$19)/D671*(0.85+0.3*(5-1)/MAX(1,D671-1))),0)+F671)))</x:f>
        <x:v>48</x:v>
      </x:c>
      <x:c r="AO671" s="119" t="n">
        <x:f>IF(5&gt;D671,0,ROUND(('难度参数'!$E$13*POWER(A671,'难度参数'!$E$20)*MIN('难度参数'!$E$23,1+MAX(0,A671-'难度参数'!$E$21)*'难度参数'!$E$22))*(36+5*7)/(36+7*(D671+1)/2)*E671,0))</x:f>
        <x:v>16138</x:v>
      </x:c>
      <x:c r="AP671" s="119" t="n">
        <x:f>IF(AN671=0,0,(AN671-IF(5=D671,1,0))*ROUND(AO671*VLOOKUP(INDEX('章节与怪物'!$E$31:$K$37,B671,5),'章节与怪物'!$A$41:$F$44,2,FALSE),0)+IF(5=D671,ROUND(AO671*'难度参数'!$E$28*'章节与怪物'!$E$17,0),0))</x:f>
        <x:v>557712</x:v>
      </x:c>
      <x:c r="AQ671" s="119" t="n">
        <x:f>IF(AN671=0,0,(AN671-IF(5=D671,1,0))*VLOOKUP(INDEX('章节与怪物'!$E$31:$K$37,B671,5),'章节与怪物'!$A$41:$F$44,4,FALSE)+IF(5=D671,'难度参数'!$E$30,0))</x:f>
        <x:v>960</x:v>
      </x:c>
      <x:c r="AR671" s="119" t="n">
        <x:f>IF(6&gt;D671,0,MAX(2,MIN('难度参数'!$E$12,ROUND(('难度参数'!$E$18*POWER(A671,'难度参数'!$E$19)/D671*(0.85+0.3*(6-1)/MAX(1,D671-1))),0)+F671)))</x:f>
        <x:v>50</x:v>
      </x:c>
      <x:c r="AS671" s="119" t="n">
        <x:f>IF(6&gt;D671,0,ROUND(('难度参数'!$E$13*POWER(A671,'难度参数'!$E$20)*MIN('难度参数'!$E$23,1+MAX(0,A671-'难度参数'!$E$21)*'难度参数'!$E$22))*(36+6*7)/(36+7*(D671+1)/2)*E671,0))</x:f>
        <x:v>17729</x:v>
      </x:c>
      <x:c r="AT671" s="119" t="n">
        <x:f>IF(AR671=0,0,(AR671-IF(6=D671,1,0))*ROUND(AS671*VLOOKUP(INDEX('章节与怪物'!$E$31:$K$37,B671,6),'章节与怪物'!$A$41:$F$44,2,FALSE),0)+IF(6=D671,ROUND(AS671*'难度参数'!$E$28*'章节与怪物'!$E$17,0),0))</x:f>
        <x:v>1506950</x:v>
      </x:c>
      <x:c r="AU671" s="119" t="n">
        <x:f>IF(AR671=0,0,(AR671-IF(6=D671,1,0))*VLOOKUP(INDEX('章节与怪物'!$E$31:$K$37,B671,6),'章节与怪物'!$A$41:$F$44,4,FALSE)+IF(6=D671,'难度参数'!$E$30,0))</x:f>
        <x:v>1400</x:v>
      </x:c>
      <x:c r="AV671" s="119" t="n">
        <x:f>IF(7&gt;D671,0,MAX(2,MIN('难度参数'!$E$12,ROUND(('难度参数'!$E$18*POWER(A671,'难度参数'!$E$19)/D671*(0.85+0.3*(7-1)/MAX(1,D671-1))),0)+F671)))</x:f>
        <x:v>53</x:v>
      </x:c>
      <x:c r="AW671" s="119" t="n">
        <x:f>IF(7&gt;D671,0,ROUND(('难度参数'!$E$13*POWER(A671,'难度参数'!$E$20)*MIN('难度参数'!$E$23,1+MAX(0,A671-'难度参数'!$E$21)*'难度参数'!$E$22))*(36+7*7)/(36+7*(D671+1)/2)*E671,0))</x:f>
        <x:v>19320</x:v>
      </x:c>
      <x:c r="AX671" s="119" t="n">
        <x:f>IF(AV671=0,0,(AV671-IF(7=D671,1,0))*ROUND(AW671*VLOOKUP(INDEX('章节与怪物'!$E$31:$K$37,B671,7),'章节与怪物'!$A$41:$F$44,2,FALSE),0)+IF(7=D671,ROUND(AW671*'难度参数'!$E$28*'章节与怪物'!$E$17,0),0))</x:f>
        <x:v>1487640</x:v>
      </x:c>
      <x:c r="AY671" s="119" t="n">
        <x:f>IF(AV671=0,0,(AV671-IF(7=D671,1,0))*VLOOKUP(INDEX('章节与怪物'!$E$31:$K$37,B671,7),'章节与怪物'!$A$41:$F$44,4,FALSE)+IF(7=D671,'难度参数'!$E$30,0))</x:f>
        <x:v>1968</x:v>
      </x:c>
    </x:row>
    <x:row r="672" ht="23" customHeight="1">
      <x:c r="A672" s="119" t="n">
        <x:v>666</x:v>
      </x:c>
      <x:c r="B672" s="119" t="n">
        <x:f>MOD(INT((A672-1)/5),7)+1</x:f>
        <x:v>1</x:v>
      </x:c>
      <x:c r="C672" s="62" t="str">
        <x:f>INDEX('章节与怪物'!$B$31:$B$37,B672)</x:f>
        <x:v>冰雪荒原</x:v>
      </x:c>
      <x:c r="D672" s="119" t="n">
        <x:f>MIN('难度参数'!$E$8,MAX('难度参数'!$E$7,A672))</x:f>
        <x:v>7</x:v>
      </x:c>
      <x:c r="E672" s="106" t="n">
        <x:v>1</x:v>
      </x:c>
      <x:c r="F672" s="106" t="n">
        <x:v>0</x:v>
      </x:c>
      <x:c r="G672" s="106" t="n">
        <x:v>1</x:v>
      </x:c>
      <x:c r="H672" s="119" t="n">
        <x:f>SUM(X672,AB672,AF672,AJ672,AN672,AR672,AV672)</x:f>
        <x:v>321</x:v>
      </x:c>
      <x:c r="I672" s="119" t="n">
        <x:f>SUM(Z672,AD672,AH672,AL672,AP672,AT672,AX672)</x:f>
        <x:v>5924696</x:v>
      </x:c>
      <x:c r="J672" s="119" t="n">
        <x:f>ROUND(INDEX(X672:AY672,1,(D672-1)*4+2)*'难度参数'!$E$28*'章节与怪物'!$E$17,0)</x:f>
        <x:v>131519</x:v>
      </x:c>
      <x:c r="K672" s="119" t="n">
        <x:f>SUM(AA672,AE672,AI672,AM672,AQ672,AU672,AY672)</x:f>
        <x:v>7896</x:v>
      </x:c>
      <x:c r="L672" s="62" t="n">
        <x:f>H672*(ROUNDUP('难度参数'!$E$24/('难度参数'!$E$26*'难度参数'!$E$27),0)*'难度参数'!$E$26)/60</x:f>
        <x:v>4.28</x:v>
      </x:c>
      <x:c r="M672" s="62" t="n">
        <x:f>L672+D672*('难度参数'!$E$49+'难度参数'!$E$50)/60</x:f>
        <x:v>5.446666666666667</x:v>
      </x:c>
      <x:c r="N672" s="119" t="n">
        <x:f>ROUNDDOWN(('经济参数'!$E$20+A672*'经济参数'!$E$21)*G672,0)</x:f>
        <x:v>13500</x:v>
      </x:c>
      <x:c r="O672" s="119" t="n">
        <x:f>ROUNDDOWN(MIN('经济参数'!$E$24,'经济参数'!$E$22+A672*'经济参数'!$E$23)*G672,0)</x:f>
        <x:v>0</x:v>
      </x:c>
      <x:c r="P672" s="119" t="n">
        <x:f>ROUNDDOWN((IF(A672&gt;='材料与任务'!$E$31,'材料与任务'!$E$32,IF(A672&gt;='材料与任务'!$E$25,'材料与任务'!$E$26,IF(A672&gt;='材料与任务'!$E$19,'材料与任务'!$E$20,IF(A672&gt;='材料与任务'!$E$13,'材料与任务'!$E$14,'材料与任务'!$E$8)))))*G672,0)</x:f>
        <x:v>6</x:v>
      </x:c>
      <x:c r="Q672" s="119" t="n">
        <x:f>ROUNDDOWN((IF(A672&gt;='材料与任务'!$E$31,'材料与任务'!$E$33,IF(A672&gt;='材料与任务'!$E$25,'材料与任务'!$E$27,IF(A672&gt;='材料与任务'!$E$19,'材料与任务'!$E$21,IF(A672&gt;='材料与任务'!$E$13,'材料与任务'!$E$15,'材料与任务'!$E$9)))))*G672,0)</x:f>
        <x:v>3</x:v>
      </x:c>
      <x:c r="R672" s="110" t="n">
        <x:f>'装备掉落'!$B$38</x:f>
        <x:v>0.6872058758851213</x:v>
      </x:c>
      <x:c r="S672" s="119" t="n">
        <x:f>MAX(IF(VLOOKUP(A672,'装备掉落'!$A$29:$H$34,2,TRUE)&gt;0,1,0),IF(VLOOKUP(A672,'装备掉落'!$A$29:$H$34,3,TRUE)&gt;0,2,0),IF(VLOOKUP(A672,'装备掉落'!$A$29:$H$34,4,TRUE)&gt;0,3,0),IF(VLOOKUP(A672,'装备掉落'!$A$29:$H$34,5,TRUE)&gt;0,4,0),IF(VLOOKUP(A672,'装备掉落'!$A$29:$H$34,6,TRUE)&gt;0,5,0),IF(VLOOKUP(A672,'装备掉落'!$A$29:$H$34,7,TRUE)&gt;0,6,0),IF(VLOOKUP(A672,'装备掉落'!$A$29:$H$34,8,TRUE)&gt;0,7,0))</x:f>
        <x:v>7</x:v>
      </x:c>
      <x:c r="T672" s="119" t="n">
        <x:f>MIN(7,S672+'经济参数'!$E$70)</x:f>
        <x:v>7</x:v>
      </x:c>
      <x:c r="U672" s="119" t="n">
        <x:f>MIN(7,S672+'经济参数'!$E$71)</x:f>
        <x:v>7</x:v>
      </x:c>
      <x:c r="V672" s="119" t="n">
        <x:f>IF(H672&gt;=('难度参数'!$E$52),1,0)+IF(H672&gt;=('难度参数'!$E$52+'难度参数'!$E$53),1,0)+IF(H672&gt;=('难度参数'!$E$52+'难度参数'!$E$53+'难度参数'!$E$54),1,0)+IF(H672&gt;=('难度参数'!$E$52+'难度参数'!$E$53+'难度参数'!$E$54+'难度参数'!$E$55),1,0)+IF(H672&gt;=('难度参数'!$E$52+'难度参数'!$E$53+'难度参数'!$E$54+'难度参数'!$E$55+'难度参数'!$E$56),1,0)+IF(H672&gt;=('难度参数'!$E$52+'难度参数'!$E$53+'难度参数'!$E$54+'难度参数'!$E$55+'难度参数'!$E$56+'难度参数'!$E$57),1,0)</x:f>
        <x:v>6</x:v>
      </x:c>
      <x:c r="W672" s="62" t="str">
        <x:f>IF(L672&gt;'难度参数'!$E$51,"仅出怪已超目标","还需实测")</x:f>
        <x:v>仅出怪已超目标</x:v>
      </x:c>
      <x:c r="X672" s="119" t="n">
        <x:f>IF(1&gt;D672,0,MAX(2,MIN('难度参数'!$E$12,ROUND(('难度参数'!$E$18*POWER(A672,'难度参数'!$E$19)/D672*(0.85+0.3*(1-1)/MAX(1,D672-1))),0)+F672)))</x:f>
        <x:v>39</x:v>
      </x:c>
      <x:c r="Y672" s="119" t="n">
        <x:f>IF(1&gt;D672,0,ROUND(('难度参数'!$E$13*POWER(A672,'难度参数'!$E$20)*MIN('难度参数'!$E$23,1+MAX(0,A672-'难度参数'!$E$21)*'难度参数'!$E$22))*(36+1*7)/(36+7*(D672+1)/2)*E672,0))</x:f>
        <x:v>9784</x:v>
      </x:c>
      <x:c r="Z672" s="119" t="n">
        <x:f>IF(X672=0,0,(X672-IF(1=D672,1,0))*ROUND(Y672*VLOOKUP(INDEX('章节与怪物'!$E$31:$K$37,B672,1),'章节与怪物'!$A$41:$F$44,2,FALSE),0)+IF(1=D672,ROUND(Y672*'难度参数'!$E$28*'章节与怪物'!$E$17,0),0))</x:f>
        <x:v>381576</x:v>
      </x:c>
      <x:c r="AA672" s="119" t="n">
        <x:f>IF(X672=0,0,(X672-IF(1=D672,1,0))*VLOOKUP(INDEX('章节与怪物'!$E$31:$K$37,B672,1),'章节与怪物'!$A$41:$F$44,4,FALSE)+IF(1=D672,'难度参数'!$E$30,0))</x:f>
        <x:v>702</x:v>
      </x:c>
      <x:c r="AB672" s="119" t="n">
        <x:f>IF(2&gt;D672,0,MAX(2,MIN('难度参数'!$E$12,ROUND(('难度参数'!$E$18*POWER(A672,'难度参数'!$E$19)/D672*(0.85+0.3*(2-1)/MAX(1,D672-1))),0)+F672)))</x:f>
        <x:v>41</x:v>
      </x:c>
      <x:c r="AC672" s="119" t="n">
        <x:f>IF(2&gt;D672,0,ROUND(('难度参数'!$E$13*POWER(A672,'难度参数'!$E$20)*MIN('难度参数'!$E$23,1+MAX(0,A672-'难度参数'!$E$21)*'难度参数'!$E$22))*(36+2*7)/(36+7*(D672+1)/2)*E672,0))</x:f>
        <x:v>11377</x:v>
      </x:c>
      <x:c r="AD672" s="119" t="n">
        <x:f>IF(AB672=0,0,(AB672-IF(2=D672,1,0))*ROUND(AC672*VLOOKUP(INDEX('章节与怪物'!$E$31:$K$37,B672,2),'章节与怪物'!$A$41:$F$44,2,FALSE),0)+IF(2=D672,ROUND(AC672*'难度参数'!$E$28*'章节与怪物'!$E$17,0),0))</x:f>
        <x:v>466457</x:v>
      </x:c>
      <x:c r="AE672" s="119" t="n">
        <x:f>IF(AB672=0,0,(AB672-IF(2=D672,1,0))*VLOOKUP(INDEX('章节与怪物'!$E$31:$K$37,B672,2),'章节与怪物'!$A$41:$F$44,4,FALSE)+IF(2=D672,'难度参数'!$E$30,0))</x:f>
        <x:v>738</x:v>
      </x:c>
      <x:c r="AF672" s="119" t="n">
        <x:f>IF(3&gt;D672,0,MAX(2,MIN('难度参数'!$E$12,ROUND(('难度参数'!$E$18*POWER(A672,'难度参数'!$E$19)/D672*(0.85+0.3*(3-1)/MAX(1,D672-1))),0)+F672)))</x:f>
        <x:v>44</x:v>
      </x:c>
      <x:c r="AG672" s="119" t="n">
        <x:f>IF(3&gt;D672,0,ROUND(('难度参数'!$E$13*POWER(A672,'难度参数'!$E$20)*MIN('难度参数'!$E$23,1+MAX(0,A672-'难度参数'!$E$21)*'难度参数'!$E$22))*(36+3*7)/(36+7*(D672+1)/2)*E672,0))</x:f>
        <x:v>12970</x:v>
      </x:c>
      <x:c r="AH672" s="119" t="n">
        <x:f>IF(AF672=0,0,(AF672-IF(3=D672,1,0))*ROUND(AG672*VLOOKUP(INDEX('章节与怪物'!$E$31:$K$37,B672,3),'章节与怪物'!$A$41:$F$44,2,FALSE),0)+IF(3=D672,ROUND(AG672*'难度参数'!$E$28*'章节与怪物'!$E$17,0),0))</x:f>
        <x:v>410872</x:v>
      </x:c>
      <x:c r="AI672" s="119" t="n">
        <x:f>IF(AF672=0,0,(AF672-IF(3=D672,1,0))*VLOOKUP(INDEX('章节与怪物'!$E$31:$K$37,B672,3),'章节与怪物'!$A$41:$F$44,4,FALSE)+IF(3=D672,'难度参数'!$E$30,0))</x:f>
        <x:v>880</x:v>
      </x:c>
      <x:c r="AJ672" s="119" t="n">
        <x:f>IF(4&gt;D672,0,MAX(2,MIN('难度参数'!$E$12,ROUND(('难度参数'!$E$18*POWER(A672,'难度参数'!$E$19)/D672*(0.85+0.3*(4-1)/MAX(1,D672-1))),0)+F672)))</x:f>
        <x:v>46</x:v>
      </x:c>
      <x:c r="AK672" s="119" t="n">
        <x:f>IF(4&gt;D672,0,ROUND(('难度参数'!$E$13*POWER(A672,'难度参数'!$E$20)*MIN('难度参数'!$E$23,1+MAX(0,A672-'难度参数'!$E$21)*'难度参数'!$E$22))*(36+4*7)/(36+7*(D672+1)/2)*E672,0))</x:f>
        <x:v>14562</x:v>
      </x:c>
      <x:c r="AL672" s="119" t="n">
        <x:f>IF(AJ672=0,0,(AJ672-IF(4=D672,1,0))*ROUND(AK672*VLOOKUP(INDEX('章节与怪物'!$E$31:$K$37,B672,4),'章节与怪物'!$A$41:$F$44,2,FALSE),0)+IF(4=D672,ROUND(AK672*'难度参数'!$E$28*'章节与怪物'!$E$17,0),0))</x:f>
        <x:v>1138730</x:v>
      </x:c>
      <x:c r="AM672" s="119" t="n">
        <x:f>IF(AJ672=0,0,(AJ672-IF(4=D672,1,0))*VLOOKUP(INDEX('章节与怪物'!$E$31:$K$37,B672,4),'章节与怪物'!$A$41:$F$44,4,FALSE)+IF(4=D672,'难度参数'!$E$30,0))</x:f>
        <x:v>1288</x:v>
      </x:c>
      <x:c r="AN672" s="119" t="n">
        <x:f>IF(5&gt;D672,0,MAX(2,MIN('难度参数'!$E$12,ROUND(('难度参数'!$E$18*POWER(A672,'难度参数'!$E$19)/D672*(0.85+0.3*(5-1)/MAX(1,D672-1))),0)+F672)))</x:f>
        <x:v>48</x:v>
      </x:c>
      <x:c r="AO672" s="119" t="n">
        <x:f>IF(5&gt;D672,0,ROUND(('难度参数'!$E$13*POWER(A672,'难度参数'!$E$20)*MIN('难度参数'!$E$23,1+MAX(0,A672-'难度参数'!$E$21)*'难度参数'!$E$22))*(36+5*7)/(36+7*(D672+1)/2)*E672,0))</x:f>
        <x:v>16155</x:v>
      </x:c>
      <x:c r="AP672" s="119" t="n">
        <x:f>IF(AN672=0,0,(AN672-IF(5=D672,1,0))*ROUND(AO672*VLOOKUP(INDEX('章节与怪物'!$E$31:$K$37,B672,5),'章节与怪物'!$A$41:$F$44,2,FALSE),0)+IF(5=D672,ROUND(AO672*'难度参数'!$E$28*'章节与怪物'!$E$17,0),0))</x:f>
        <x:v>1046832</x:v>
      </x:c>
      <x:c r="AQ672" s="119" t="n">
        <x:f>IF(AN672=0,0,(AN672-IF(5=D672,1,0))*VLOOKUP(INDEX('章节与怪物'!$E$31:$K$37,B672,5),'章节与怪物'!$A$41:$F$44,4,FALSE)+IF(5=D672,'难度参数'!$E$30,0))</x:f>
        <x:v>1632</x:v>
      </x:c>
      <x:c r="AR672" s="119" t="n">
        <x:f>IF(6&gt;D672,0,MAX(2,MIN('难度参数'!$E$12,ROUND(('难度参数'!$E$18*POWER(A672,'难度参数'!$E$19)/D672*(0.85+0.3*(6-1)/MAX(1,D672-1))),0)+F672)))</x:f>
        <x:v>50</x:v>
      </x:c>
      <x:c r="AS672" s="119" t="n">
        <x:f>IF(6&gt;D672,0,ROUND(('难度参数'!$E$13*POWER(A672,'难度参数'!$E$20)*MIN('难度参数'!$E$23,1+MAX(0,A672-'难度参数'!$E$21)*'难度参数'!$E$22))*(36+6*7)/(36+7*(D672+1)/2)*E672,0))</x:f>
        <x:v>17748</x:v>
      </x:c>
      <x:c r="AT672" s="119" t="n">
        <x:f>IF(AR672=0,0,(AR672-IF(6=D672,1,0))*ROUND(AS672*VLOOKUP(INDEX('章节与怪物'!$E$31:$K$37,B672,6),'章节与怪物'!$A$41:$F$44,2,FALSE),0)+IF(6=D672,ROUND(AS672*'难度参数'!$E$28*'章节与怪物'!$E$17,0),0))</x:f>
        <x:v>638950</x:v>
      </x:c>
      <x:c r="AU672" s="119" t="n">
        <x:f>IF(AR672=0,0,(AR672-IF(6=D672,1,0))*VLOOKUP(INDEX('章节与怪物'!$E$31:$K$37,B672,6),'章节与怪物'!$A$41:$F$44,4,FALSE)+IF(6=D672,'难度参数'!$E$30,0))</x:f>
        <x:v>1000</x:v>
      </x:c>
      <x:c r="AV672" s="119" t="n">
        <x:f>IF(7&gt;D672,0,MAX(2,MIN('难度参数'!$E$12,ROUND(('难度参数'!$E$18*POWER(A672,'难度参数'!$E$19)/D672*(0.85+0.3*(7-1)/MAX(1,D672-1))),0)+F672)))</x:f>
        <x:v>53</x:v>
      </x:c>
      <x:c r="AW672" s="119" t="n">
        <x:f>IF(7&gt;D672,0,ROUND(('难度参数'!$E$13*POWER(A672,'难度参数'!$E$20)*MIN('难度参数'!$E$23,1+MAX(0,A672-'难度参数'!$E$21)*'难度参数'!$E$22))*(36+7*7)/(36+7*(D672+1)/2)*E672,0))</x:f>
        <x:v>19341</x:v>
      </x:c>
      <x:c r="AX672" s="119" t="n">
        <x:f>IF(AV672=0,0,(AV672-IF(7=D672,1,0))*ROUND(AW672*VLOOKUP(INDEX('章节与怪物'!$E$31:$K$37,B672,7),'章节与怪物'!$A$41:$F$44,2,FALSE),0)+IF(7=D672,ROUND(AW672*'难度参数'!$E$28*'章节与怪物'!$E$17,0),0))</x:f>
        <x:v>1841279</x:v>
      </x:c>
      <x:c r="AY672" s="119" t="n">
        <x:f>IF(AV672=0,0,(AV672-IF(7=D672,1,0))*VLOOKUP(INDEX('章节与怪物'!$E$31:$K$37,B672,7),'章节与怪物'!$A$41:$F$44,4,FALSE)+IF(7=D672,'难度参数'!$E$30,0))</x:f>
        <x:v>1656</x:v>
      </x:c>
    </x:row>
    <x:row r="673" ht="23" customHeight="1">
      <x:c r="A673" s="119" t="n">
        <x:v>667</x:v>
      </x:c>
      <x:c r="B673" s="119" t="n">
        <x:f>MOD(INT((A673-1)/5),7)+1</x:f>
        <x:v>1</x:v>
      </x:c>
      <x:c r="C673" s="62" t="str">
        <x:f>INDEX('章节与怪物'!$B$31:$B$37,B673)</x:f>
        <x:v>冰雪荒原</x:v>
      </x:c>
      <x:c r="D673" s="119" t="n">
        <x:f>MIN('难度参数'!$E$8,MAX('难度参数'!$E$7,A673))</x:f>
        <x:v>7</x:v>
      </x:c>
      <x:c r="E673" s="106" t="n">
        <x:v>1</x:v>
      </x:c>
      <x:c r="F673" s="106" t="n">
        <x:v>0</x:v>
      </x:c>
      <x:c r="G673" s="106" t="n">
        <x:v>1</x:v>
      </x:c>
      <x:c r="H673" s="119" t="n">
        <x:f>SUM(X673,AB673,AF673,AJ673,AN673,AR673,AV673)</x:f>
        <x:v>321</x:v>
      </x:c>
      <x:c r="I673" s="119" t="n">
        <x:f>SUM(Z673,AD673,AH673,AL673,AP673,AT673,AX673)</x:f>
        <x:v>5931158</x:v>
      </x:c>
      <x:c r="J673" s="119" t="n">
        <x:f>ROUND(INDEX(X673:AY673,1,(D673-1)*4+2)*'难度参数'!$E$28*'章节与怪物'!$E$17,0)</x:f>
        <x:v>131662</x:v>
      </x:c>
      <x:c r="K673" s="119" t="n">
        <x:f>SUM(AA673,AE673,AI673,AM673,AQ673,AU673,AY673)</x:f>
        <x:v>7896</x:v>
      </x:c>
      <x:c r="L673" s="62" t="n">
        <x:f>H673*(ROUNDUP('难度参数'!$E$24/('难度参数'!$E$26*'难度参数'!$E$27),0)*'难度参数'!$E$26)/60</x:f>
        <x:v>4.28</x:v>
      </x:c>
      <x:c r="M673" s="62" t="n">
        <x:f>L673+D673*('难度参数'!$E$49+'难度参数'!$E$50)/60</x:f>
        <x:v>5.446666666666667</x:v>
      </x:c>
      <x:c r="N673" s="119" t="n">
        <x:f>ROUNDDOWN(('经济参数'!$E$20+A673*'经济参数'!$E$21)*G673,0)</x:f>
        <x:v>13520</x:v>
      </x:c>
      <x:c r="O673" s="119" t="n">
        <x:f>ROUNDDOWN(MIN('经济参数'!$E$24,'经济参数'!$E$22+A673*'经济参数'!$E$23)*G673,0)</x:f>
        <x:v>0</x:v>
      </x:c>
      <x:c r="P673" s="119" t="n">
        <x:f>ROUNDDOWN((IF(A673&gt;='材料与任务'!$E$31,'材料与任务'!$E$32,IF(A673&gt;='材料与任务'!$E$25,'材料与任务'!$E$26,IF(A673&gt;='材料与任务'!$E$19,'材料与任务'!$E$20,IF(A673&gt;='材料与任务'!$E$13,'材料与任务'!$E$14,'材料与任务'!$E$8)))))*G673,0)</x:f>
        <x:v>6</x:v>
      </x:c>
      <x:c r="Q673" s="119" t="n">
        <x:f>ROUNDDOWN((IF(A673&gt;='材料与任务'!$E$31,'材料与任务'!$E$33,IF(A673&gt;='材料与任务'!$E$25,'材料与任务'!$E$27,IF(A673&gt;='材料与任务'!$E$19,'材料与任务'!$E$21,IF(A673&gt;='材料与任务'!$E$13,'材料与任务'!$E$15,'材料与任务'!$E$9)))))*G673,0)</x:f>
        <x:v>3</x:v>
      </x:c>
      <x:c r="R673" s="110" t="n">
        <x:f>'装备掉落'!$B$38</x:f>
        <x:v>0.6872058758851213</x:v>
      </x:c>
      <x:c r="S673" s="119" t="n">
        <x:f>MAX(IF(VLOOKUP(A673,'装备掉落'!$A$29:$H$34,2,TRUE)&gt;0,1,0),IF(VLOOKUP(A673,'装备掉落'!$A$29:$H$34,3,TRUE)&gt;0,2,0),IF(VLOOKUP(A673,'装备掉落'!$A$29:$H$34,4,TRUE)&gt;0,3,0),IF(VLOOKUP(A673,'装备掉落'!$A$29:$H$34,5,TRUE)&gt;0,4,0),IF(VLOOKUP(A673,'装备掉落'!$A$29:$H$34,6,TRUE)&gt;0,5,0),IF(VLOOKUP(A673,'装备掉落'!$A$29:$H$34,7,TRUE)&gt;0,6,0),IF(VLOOKUP(A673,'装备掉落'!$A$29:$H$34,8,TRUE)&gt;0,7,0))</x:f>
        <x:v>7</x:v>
      </x:c>
      <x:c r="T673" s="119" t="n">
        <x:f>MIN(7,S673+'经济参数'!$E$70)</x:f>
        <x:v>7</x:v>
      </x:c>
      <x:c r="U673" s="119" t="n">
        <x:f>MIN(7,S673+'经济参数'!$E$71)</x:f>
        <x:v>7</x:v>
      </x:c>
      <x:c r="V673" s="119" t="n">
        <x:f>IF(H673&gt;=('难度参数'!$E$52),1,0)+IF(H673&gt;=('难度参数'!$E$52+'难度参数'!$E$53),1,0)+IF(H673&gt;=('难度参数'!$E$52+'难度参数'!$E$53+'难度参数'!$E$54),1,0)+IF(H673&gt;=('难度参数'!$E$52+'难度参数'!$E$53+'难度参数'!$E$54+'难度参数'!$E$55),1,0)+IF(H673&gt;=('难度参数'!$E$52+'难度参数'!$E$53+'难度参数'!$E$54+'难度参数'!$E$55+'难度参数'!$E$56),1,0)+IF(H673&gt;=('难度参数'!$E$52+'难度参数'!$E$53+'难度参数'!$E$54+'难度参数'!$E$55+'难度参数'!$E$56+'难度参数'!$E$57),1,0)</x:f>
        <x:v>6</x:v>
      </x:c>
      <x:c r="W673" s="62" t="str">
        <x:f>IF(L673&gt;'难度参数'!$E$51,"仅出怪已超目标","还需实测")</x:f>
        <x:v>仅出怪已超目标</x:v>
      </x:c>
      <x:c r="X673" s="119" t="n">
        <x:f>IF(1&gt;D673,0,MAX(2,MIN('难度参数'!$E$12,ROUND(('难度参数'!$E$18*POWER(A673,'难度参数'!$E$19)/D673*(0.85+0.3*(1-1)/MAX(1,D673-1))),0)+F673)))</x:f>
        <x:v>39</x:v>
      </x:c>
      <x:c r="Y673" s="119" t="n">
        <x:f>IF(1&gt;D673,0,ROUND(('难度参数'!$E$13*POWER(A673,'难度参数'!$E$20)*MIN('难度参数'!$E$23,1+MAX(0,A673-'难度参数'!$E$21)*'难度参数'!$E$22))*(36+1*7)/(36+7*(D673+1)/2)*E673,0))</x:f>
        <x:v>9795</x:v>
      </x:c>
      <x:c r="Z673" s="119" t="n">
        <x:f>IF(X673=0,0,(X673-IF(1=D673,1,0))*ROUND(Y673*VLOOKUP(INDEX('章节与怪物'!$E$31:$K$37,B673,1),'章节与怪物'!$A$41:$F$44,2,FALSE),0)+IF(1=D673,ROUND(Y673*'难度参数'!$E$28*'章节与怪物'!$E$17,0),0))</x:f>
        <x:v>382005</x:v>
      </x:c>
      <x:c r="AA673" s="119" t="n">
        <x:f>IF(X673=0,0,(X673-IF(1=D673,1,0))*VLOOKUP(INDEX('章节与怪物'!$E$31:$K$37,B673,1),'章节与怪物'!$A$41:$F$44,4,FALSE)+IF(1=D673,'难度参数'!$E$30,0))</x:f>
        <x:v>702</x:v>
      </x:c>
      <x:c r="AB673" s="119" t="n">
        <x:f>IF(2&gt;D673,0,MAX(2,MIN('难度参数'!$E$12,ROUND(('难度参数'!$E$18*POWER(A673,'难度参数'!$E$19)/D673*(0.85+0.3*(2-1)/MAX(1,D673-1))),0)+F673)))</x:f>
        <x:v>41</x:v>
      </x:c>
      <x:c r="AC673" s="119" t="n">
        <x:f>IF(2&gt;D673,0,ROUND(('难度参数'!$E$13*POWER(A673,'难度参数'!$E$20)*MIN('难度参数'!$E$23,1+MAX(0,A673-'难度参数'!$E$21)*'难度参数'!$E$22))*(36+2*7)/(36+7*(D673+1)/2)*E673,0))</x:f>
        <x:v>11389</x:v>
      </x:c>
      <x:c r="AD673" s="119" t="n">
        <x:f>IF(AB673=0,0,(AB673-IF(2=D673,1,0))*ROUND(AC673*VLOOKUP(INDEX('章节与怪物'!$E$31:$K$37,B673,2),'章节与怪物'!$A$41:$F$44,2,FALSE),0)+IF(2=D673,ROUND(AC673*'难度参数'!$E$28*'章节与怪物'!$E$17,0),0))</x:f>
        <x:v>466949</x:v>
      </x:c>
      <x:c r="AE673" s="119" t="n">
        <x:f>IF(AB673=0,0,(AB673-IF(2=D673,1,0))*VLOOKUP(INDEX('章节与怪物'!$E$31:$K$37,B673,2),'章节与怪物'!$A$41:$F$44,4,FALSE)+IF(2=D673,'难度参数'!$E$30,0))</x:f>
        <x:v>738</x:v>
      </x:c>
      <x:c r="AF673" s="119" t="n">
        <x:f>IF(3&gt;D673,0,MAX(2,MIN('难度参数'!$E$12,ROUND(('难度参数'!$E$18*POWER(A673,'难度参数'!$E$19)/D673*(0.85+0.3*(3-1)/MAX(1,D673-1))),0)+F673)))</x:f>
        <x:v>44</x:v>
      </x:c>
      <x:c r="AG673" s="119" t="n">
        <x:f>IF(3&gt;D673,0,ROUND(('难度参数'!$E$13*POWER(A673,'难度参数'!$E$20)*MIN('难度参数'!$E$23,1+MAX(0,A673-'难度参数'!$E$21)*'难度参数'!$E$22))*(36+3*7)/(36+7*(D673+1)/2)*E673,0))</x:f>
        <x:v>12984</x:v>
      </x:c>
      <x:c r="AH673" s="119" t="n">
        <x:f>IF(AF673=0,0,(AF673-IF(3=D673,1,0))*ROUND(AG673*VLOOKUP(INDEX('章节与怪物'!$E$31:$K$37,B673,3),'章节与怪物'!$A$41:$F$44,2,FALSE),0)+IF(3=D673,ROUND(AG673*'难度参数'!$E$28*'章节与怪物'!$E$17,0),0))</x:f>
        <x:v>411312</x:v>
      </x:c>
      <x:c r="AI673" s="119" t="n">
        <x:f>IF(AF673=0,0,(AF673-IF(3=D673,1,0))*VLOOKUP(INDEX('章节与怪物'!$E$31:$K$37,B673,3),'章节与怪物'!$A$41:$F$44,4,FALSE)+IF(3=D673,'难度参数'!$E$30,0))</x:f>
        <x:v>880</x:v>
      </x:c>
      <x:c r="AJ673" s="119" t="n">
        <x:f>IF(4&gt;D673,0,MAX(2,MIN('难度参数'!$E$12,ROUND(('难度参数'!$E$18*POWER(A673,'难度参数'!$E$19)/D673*(0.85+0.3*(4-1)/MAX(1,D673-1))),0)+F673)))</x:f>
        <x:v>46</x:v>
      </x:c>
      <x:c r="AK673" s="119" t="n">
        <x:f>IF(4&gt;D673,0,ROUND(('难度参数'!$E$13*POWER(A673,'难度参数'!$E$20)*MIN('难度参数'!$E$23,1+MAX(0,A673-'难度参数'!$E$21)*'难度参数'!$E$22))*(36+4*7)/(36+7*(D673+1)/2)*E673,0))</x:f>
        <x:v>14578</x:v>
      </x:c>
      <x:c r="AL673" s="119" t="n">
        <x:f>IF(AJ673=0,0,(AJ673-IF(4=D673,1,0))*ROUND(AK673*VLOOKUP(INDEX('章节与怪物'!$E$31:$K$37,B673,4),'章节与怪物'!$A$41:$F$44,2,FALSE),0)+IF(4=D673,ROUND(AK673*'难度参数'!$E$28*'章节与怪物'!$E$17,0),0))</x:f>
        <x:v>1140018</x:v>
      </x:c>
      <x:c r="AM673" s="119" t="n">
        <x:f>IF(AJ673=0,0,(AJ673-IF(4=D673,1,0))*VLOOKUP(INDEX('章节与怪物'!$E$31:$K$37,B673,4),'章节与怪物'!$A$41:$F$44,4,FALSE)+IF(4=D673,'难度参数'!$E$30,0))</x:f>
        <x:v>1288</x:v>
      </x:c>
      <x:c r="AN673" s="119" t="n">
        <x:f>IF(5&gt;D673,0,MAX(2,MIN('难度参数'!$E$12,ROUND(('难度参数'!$E$18*POWER(A673,'难度参数'!$E$19)/D673*(0.85+0.3*(5-1)/MAX(1,D673-1))),0)+F673)))</x:f>
        <x:v>48</x:v>
      </x:c>
      <x:c r="AO673" s="119" t="n">
        <x:f>IF(5&gt;D673,0,ROUND(('难度参数'!$E$13*POWER(A673,'难度参数'!$E$20)*MIN('难度参数'!$E$23,1+MAX(0,A673-'难度参数'!$E$21)*'难度参数'!$E$22))*(36+5*7)/(36+7*(D673+1)/2)*E673,0))</x:f>
        <x:v>16173</x:v>
      </x:c>
      <x:c r="AP673" s="119" t="n">
        <x:f>IF(AN673=0,0,(AN673-IF(5=D673,1,0))*ROUND(AO673*VLOOKUP(INDEX('章节与怪物'!$E$31:$K$37,B673,5),'章节与怪物'!$A$41:$F$44,2,FALSE),0)+IF(5=D673,ROUND(AO673*'难度参数'!$E$28*'章节与怪物'!$E$17,0),0))</x:f>
        <x:v>1048032</x:v>
      </x:c>
      <x:c r="AQ673" s="119" t="n">
        <x:f>IF(AN673=0,0,(AN673-IF(5=D673,1,0))*VLOOKUP(INDEX('章节与怪物'!$E$31:$K$37,B673,5),'章节与怪物'!$A$41:$F$44,4,FALSE)+IF(5=D673,'难度参数'!$E$30,0))</x:f>
        <x:v>1632</x:v>
      </x:c>
      <x:c r="AR673" s="119" t="n">
        <x:f>IF(6&gt;D673,0,MAX(2,MIN('难度参数'!$E$12,ROUND(('难度参数'!$E$18*POWER(A673,'难度参数'!$E$19)/D673*(0.85+0.3*(6-1)/MAX(1,D673-1))),0)+F673)))</x:f>
        <x:v>50</x:v>
      </x:c>
      <x:c r="AS673" s="119" t="n">
        <x:f>IF(6&gt;D673,0,ROUND(('难度参数'!$E$13*POWER(A673,'难度参数'!$E$20)*MIN('难度参数'!$E$23,1+MAX(0,A673-'难度参数'!$E$21)*'难度参数'!$E$22))*(36+6*7)/(36+7*(D673+1)/2)*E673,0))</x:f>
        <x:v>17767</x:v>
      </x:c>
      <x:c r="AT673" s="119" t="n">
        <x:f>IF(AR673=0,0,(AR673-IF(6=D673,1,0))*ROUND(AS673*VLOOKUP(INDEX('章节与怪物'!$E$31:$K$37,B673,6),'章节与怪物'!$A$41:$F$44,2,FALSE),0)+IF(6=D673,ROUND(AS673*'难度参数'!$E$28*'章节与怪物'!$E$17,0),0))</x:f>
        <x:v>639600</x:v>
      </x:c>
      <x:c r="AU673" s="119" t="n">
        <x:f>IF(AR673=0,0,(AR673-IF(6=D673,1,0))*VLOOKUP(INDEX('章节与怪物'!$E$31:$K$37,B673,6),'章节与怪物'!$A$41:$F$44,4,FALSE)+IF(6=D673,'难度参数'!$E$30,0))</x:f>
        <x:v>1000</x:v>
      </x:c>
      <x:c r="AV673" s="119" t="n">
        <x:f>IF(7&gt;D673,0,MAX(2,MIN('难度参数'!$E$12,ROUND(('难度参数'!$E$18*POWER(A673,'难度参数'!$E$19)/D673*(0.85+0.3*(7-1)/MAX(1,D673-1))),0)+F673)))</x:f>
        <x:v>53</x:v>
      </x:c>
      <x:c r="AW673" s="119" t="n">
        <x:f>IF(7&gt;D673,0,ROUND(('难度参数'!$E$13*POWER(A673,'难度参数'!$E$20)*MIN('难度参数'!$E$23,1+MAX(0,A673-'难度参数'!$E$21)*'难度参数'!$E$22))*(36+7*7)/(36+7*(D673+1)/2)*E673,0))</x:f>
        <x:v>19362</x:v>
      </x:c>
      <x:c r="AX673" s="119" t="n">
        <x:f>IF(AV673=0,0,(AV673-IF(7=D673,1,0))*ROUND(AW673*VLOOKUP(INDEX('章节与怪物'!$E$31:$K$37,B673,7),'章节与怪物'!$A$41:$F$44,2,FALSE),0)+IF(7=D673,ROUND(AW673*'难度参数'!$E$28*'章节与怪物'!$E$17,0),0))</x:f>
        <x:v>1843242</x:v>
      </x:c>
      <x:c r="AY673" s="119" t="n">
        <x:f>IF(AV673=0,0,(AV673-IF(7=D673,1,0))*VLOOKUP(INDEX('章节与怪物'!$E$31:$K$37,B673,7),'章节与怪物'!$A$41:$F$44,4,FALSE)+IF(7=D673,'难度参数'!$E$30,0))</x:f>
        <x:v>1656</x:v>
      </x:c>
    </x:row>
    <x:row r="674" ht="23" customHeight="1">
      <x:c r="A674" s="119" t="n">
        <x:v>668</x:v>
      </x:c>
      <x:c r="B674" s="119" t="n">
        <x:f>MOD(INT((A674-1)/5),7)+1</x:f>
        <x:v>1</x:v>
      </x:c>
      <x:c r="C674" s="62" t="str">
        <x:f>INDEX('章节与怪物'!$B$31:$B$37,B674)</x:f>
        <x:v>冰雪荒原</x:v>
      </x:c>
      <x:c r="D674" s="119" t="n">
        <x:f>MIN('难度参数'!$E$8,MAX('难度参数'!$E$7,A674))</x:f>
        <x:v>7</x:v>
      </x:c>
      <x:c r="E674" s="106" t="n">
        <x:v>1</x:v>
      </x:c>
      <x:c r="F674" s="106" t="n">
        <x:v>0</x:v>
      </x:c>
      <x:c r="G674" s="106" t="n">
        <x:v>1</x:v>
      </x:c>
      <x:c r="H674" s="119" t="n">
        <x:f>SUM(X674,AB674,AF674,AJ674,AN674,AR674,AV674)</x:f>
        <x:v>322</x:v>
      </x:c>
      <x:c r="I674" s="119" t="n">
        <x:f>SUM(Z674,AD674,AH674,AL674,AP674,AT674,AX674)</x:f>
        <x:v>5950431</x:v>
      </x:c>
      <x:c r="J674" s="119" t="n">
        <x:f>ROUND(INDEX(X674:AY674,1,(D674-1)*4+2)*'难度参数'!$E$28*'章节与怪物'!$E$17,0)</x:f>
        <x:v>131804</x:v>
      </x:c>
      <x:c r="K674" s="119" t="n">
        <x:f>SUM(AA674,AE674,AI674,AM674,AQ674,AU674,AY674)</x:f>
        <x:v>7916</x:v>
      </x:c>
      <x:c r="L674" s="62" t="n">
        <x:f>H674*(ROUNDUP('难度参数'!$E$24/('难度参数'!$E$26*'难度参数'!$E$27),0)*'难度参数'!$E$26)/60</x:f>
        <x:v>4.293333333333334</x:v>
      </x:c>
      <x:c r="M674" s="62" t="n">
        <x:f>L674+D674*('难度参数'!$E$49+'难度参数'!$E$50)/60</x:f>
        <x:v>5.460000000000001</x:v>
      </x:c>
      <x:c r="N674" s="119" t="n">
        <x:f>ROUNDDOWN(('经济参数'!$E$20+A674*'经济参数'!$E$21)*G674,0)</x:f>
        <x:v>13540</x:v>
      </x:c>
      <x:c r="O674" s="119" t="n">
        <x:f>ROUNDDOWN(MIN('经济参数'!$E$24,'经济参数'!$E$22+A674*'经济参数'!$E$23)*G674,0)</x:f>
        <x:v>0</x:v>
      </x:c>
      <x:c r="P674" s="119" t="n">
        <x:f>ROUNDDOWN((IF(A674&gt;='材料与任务'!$E$31,'材料与任务'!$E$32,IF(A674&gt;='材料与任务'!$E$25,'材料与任务'!$E$26,IF(A674&gt;='材料与任务'!$E$19,'材料与任务'!$E$20,IF(A674&gt;='材料与任务'!$E$13,'材料与任务'!$E$14,'材料与任务'!$E$8)))))*G674,0)</x:f>
        <x:v>6</x:v>
      </x:c>
      <x:c r="Q674" s="119" t="n">
        <x:f>ROUNDDOWN((IF(A674&gt;='材料与任务'!$E$31,'材料与任务'!$E$33,IF(A674&gt;='材料与任务'!$E$25,'材料与任务'!$E$27,IF(A674&gt;='材料与任务'!$E$19,'材料与任务'!$E$21,IF(A674&gt;='材料与任务'!$E$13,'材料与任务'!$E$15,'材料与任务'!$E$9)))))*G674,0)</x:f>
        <x:v>3</x:v>
      </x:c>
      <x:c r="R674" s="110" t="n">
        <x:f>'装备掉落'!$B$38</x:f>
        <x:v>0.6872058758851213</x:v>
      </x:c>
      <x:c r="S674" s="119" t="n">
        <x:f>MAX(IF(VLOOKUP(A674,'装备掉落'!$A$29:$H$34,2,TRUE)&gt;0,1,0),IF(VLOOKUP(A674,'装备掉落'!$A$29:$H$34,3,TRUE)&gt;0,2,0),IF(VLOOKUP(A674,'装备掉落'!$A$29:$H$34,4,TRUE)&gt;0,3,0),IF(VLOOKUP(A674,'装备掉落'!$A$29:$H$34,5,TRUE)&gt;0,4,0),IF(VLOOKUP(A674,'装备掉落'!$A$29:$H$34,6,TRUE)&gt;0,5,0),IF(VLOOKUP(A674,'装备掉落'!$A$29:$H$34,7,TRUE)&gt;0,6,0),IF(VLOOKUP(A674,'装备掉落'!$A$29:$H$34,8,TRUE)&gt;0,7,0))</x:f>
        <x:v>7</x:v>
      </x:c>
      <x:c r="T674" s="119" t="n">
        <x:f>MIN(7,S674+'经济参数'!$E$70)</x:f>
        <x:v>7</x:v>
      </x:c>
      <x:c r="U674" s="119" t="n">
        <x:f>MIN(7,S674+'经济参数'!$E$71)</x:f>
        <x:v>7</x:v>
      </x:c>
      <x:c r="V674" s="119" t="n">
        <x:f>IF(H674&gt;=('难度参数'!$E$52),1,0)+IF(H674&gt;=('难度参数'!$E$52+'难度参数'!$E$53),1,0)+IF(H674&gt;=('难度参数'!$E$52+'难度参数'!$E$53+'难度参数'!$E$54),1,0)+IF(H674&gt;=('难度参数'!$E$52+'难度参数'!$E$53+'难度参数'!$E$54+'难度参数'!$E$55),1,0)+IF(H674&gt;=('难度参数'!$E$52+'难度参数'!$E$53+'难度参数'!$E$54+'难度参数'!$E$55+'难度参数'!$E$56),1,0)+IF(H674&gt;=('难度参数'!$E$52+'难度参数'!$E$53+'难度参数'!$E$54+'难度参数'!$E$55+'难度参数'!$E$56+'难度参数'!$E$57),1,0)</x:f>
        <x:v>6</x:v>
      </x:c>
      <x:c r="W674" s="62" t="str">
        <x:f>IF(L674&gt;'难度参数'!$E$51,"仅出怪已超目标","还需实测")</x:f>
        <x:v>仅出怪已超目标</x:v>
      </x:c>
      <x:c r="X674" s="119" t="n">
        <x:f>IF(1&gt;D674,0,MAX(2,MIN('难度参数'!$E$12,ROUND(('难度参数'!$E$18*POWER(A674,'难度参数'!$E$19)/D674*(0.85+0.3*(1-1)/MAX(1,D674-1))),0)+F674)))</x:f>
        <x:v>39</x:v>
      </x:c>
      <x:c r="Y674" s="119" t="n">
        <x:f>IF(1&gt;D674,0,ROUND(('难度参数'!$E$13*POWER(A674,'难度参数'!$E$20)*MIN('难度参数'!$E$23,1+MAX(0,A674-'难度参数'!$E$21)*'难度参数'!$E$22))*(36+1*7)/(36+7*(D674+1)/2)*E674,0))</x:f>
        <x:v>9805</x:v>
      </x:c>
      <x:c r="Z674" s="119" t="n">
        <x:f>IF(X674=0,0,(X674-IF(1=D674,1,0))*ROUND(Y674*VLOOKUP(INDEX('章节与怪物'!$E$31:$K$37,B674,1),'章节与怪物'!$A$41:$F$44,2,FALSE),0)+IF(1=D674,ROUND(Y674*'难度参数'!$E$28*'章节与怪物'!$E$17,0),0))</x:f>
        <x:v>382395</x:v>
      </x:c>
      <x:c r="AA674" s="119" t="n">
        <x:f>IF(X674=0,0,(X674-IF(1=D674,1,0))*VLOOKUP(INDEX('章节与怪物'!$E$31:$K$37,B674,1),'章节与怪物'!$A$41:$F$44,4,FALSE)+IF(1=D674,'难度参数'!$E$30,0))</x:f>
        <x:v>702</x:v>
      </x:c>
      <x:c r="AB674" s="119" t="n">
        <x:f>IF(2&gt;D674,0,MAX(2,MIN('难度参数'!$E$12,ROUND(('难度参数'!$E$18*POWER(A674,'难度参数'!$E$19)/D674*(0.85+0.3*(2-1)/MAX(1,D674-1))),0)+F674)))</x:f>
        <x:v>41</x:v>
      </x:c>
      <x:c r="AC674" s="119" t="n">
        <x:f>IF(2&gt;D674,0,ROUND(('难度参数'!$E$13*POWER(A674,'难度参数'!$E$20)*MIN('难度参数'!$E$23,1+MAX(0,A674-'难度参数'!$E$21)*'难度参数'!$E$22))*(36+2*7)/(36+7*(D674+1)/2)*E674,0))</x:f>
        <x:v>11402</x:v>
      </x:c>
      <x:c r="AD674" s="119" t="n">
        <x:f>IF(AB674=0,0,(AB674-IF(2=D674,1,0))*ROUND(AC674*VLOOKUP(INDEX('章节与怪物'!$E$31:$K$37,B674,2),'章节与怪物'!$A$41:$F$44,2,FALSE),0)+IF(2=D674,ROUND(AC674*'难度参数'!$E$28*'章节与怪物'!$E$17,0),0))</x:f>
        <x:v>467482</x:v>
      </x:c>
      <x:c r="AE674" s="119" t="n">
        <x:f>IF(AB674=0,0,(AB674-IF(2=D674,1,0))*VLOOKUP(INDEX('章节与怪物'!$E$31:$K$37,B674,2),'章节与怪物'!$A$41:$F$44,4,FALSE)+IF(2=D674,'难度参数'!$E$30,0))</x:f>
        <x:v>738</x:v>
      </x:c>
      <x:c r="AF674" s="119" t="n">
        <x:f>IF(3&gt;D674,0,MAX(2,MIN('难度参数'!$E$12,ROUND(('难度参数'!$E$18*POWER(A674,'难度参数'!$E$19)/D674*(0.85+0.3*(3-1)/MAX(1,D674-1))),0)+F674)))</x:f>
        <x:v>44</x:v>
      </x:c>
      <x:c r="AG674" s="119" t="n">
        <x:f>IF(3&gt;D674,0,ROUND(('难度参数'!$E$13*POWER(A674,'难度参数'!$E$20)*MIN('难度参数'!$E$23,1+MAX(0,A674-'难度参数'!$E$21)*'难度参数'!$E$22))*(36+3*7)/(36+7*(D674+1)/2)*E674,0))</x:f>
        <x:v>12998</x:v>
      </x:c>
      <x:c r="AH674" s="119" t="n">
        <x:f>IF(AF674=0,0,(AF674-IF(3=D674,1,0))*ROUND(AG674*VLOOKUP(INDEX('章节与怪物'!$E$31:$K$37,B674,3),'章节与怪物'!$A$41:$F$44,2,FALSE),0)+IF(3=D674,ROUND(AG674*'难度参数'!$E$28*'章节与怪物'!$E$17,0),0))</x:f>
        <x:v>411796</x:v>
      </x:c>
      <x:c r="AI674" s="119" t="n">
        <x:f>IF(AF674=0,0,(AF674-IF(3=D674,1,0))*VLOOKUP(INDEX('章节与怪物'!$E$31:$K$37,B674,3),'章节与怪物'!$A$41:$F$44,4,FALSE)+IF(3=D674,'难度参数'!$E$30,0))</x:f>
        <x:v>880</x:v>
      </x:c>
      <x:c r="AJ674" s="119" t="n">
        <x:f>IF(4&gt;D674,0,MAX(2,MIN('难度参数'!$E$12,ROUND(('难度参数'!$E$18*POWER(A674,'难度参数'!$E$19)/D674*(0.85+0.3*(4-1)/MAX(1,D674-1))),0)+F674)))</x:f>
        <x:v>46</x:v>
      </x:c>
      <x:c r="AK674" s="119" t="n">
        <x:f>IF(4&gt;D674,0,ROUND(('难度参数'!$E$13*POWER(A674,'难度参数'!$E$20)*MIN('难度参数'!$E$23,1+MAX(0,A674-'难度参数'!$E$21)*'难度参数'!$E$22))*(36+4*7)/(36+7*(D674+1)/2)*E674,0))</x:f>
        <x:v>14594</x:v>
      </x:c>
      <x:c r="AL674" s="119" t="n">
        <x:f>IF(AJ674=0,0,(AJ674-IF(4=D674,1,0))*ROUND(AK674*VLOOKUP(INDEX('章节与怪物'!$E$31:$K$37,B674,4),'章节与怪物'!$A$41:$F$44,2,FALSE),0)+IF(4=D674,ROUND(AK674*'难度参数'!$E$28*'章节与怪物'!$E$17,0),0))</x:f>
        <x:v>1141260</x:v>
      </x:c>
      <x:c r="AM674" s="119" t="n">
        <x:f>IF(AJ674=0,0,(AJ674-IF(4=D674,1,0))*VLOOKUP(INDEX('章节与怪物'!$E$31:$K$37,B674,4),'章节与怪物'!$A$41:$F$44,4,FALSE)+IF(4=D674,'难度参数'!$E$30,0))</x:f>
        <x:v>1288</x:v>
      </x:c>
      <x:c r="AN674" s="119" t="n">
        <x:f>IF(5&gt;D674,0,MAX(2,MIN('难度参数'!$E$12,ROUND(('难度参数'!$E$18*POWER(A674,'难度参数'!$E$19)/D674*(0.85+0.3*(5-1)/MAX(1,D674-1))),0)+F674)))</x:f>
        <x:v>48</x:v>
      </x:c>
      <x:c r="AO674" s="119" t="n">
        <x:f>IF(5&gt;D674,0,ROUND(('难度参数'!$E$13*POWER(A674,'难度参数'!$E$20)*MIN('难度参数'!$E$23,1+MAX(0,A674-'难度参数'!$E$21)*'难度参数'!$E$22))*(36+5*7)/(36+7*(D674+1)/2)*E674,0))</x:f>
        <x:v>16190</x:v>
      </x:c>
      <x:c r="AP674" s="119" t="n">
        <x:f>IF(AN674=0,0,(AN674-IF(5=D674,1,0))*ROUND(AO674*VLOOKUP(INDEX('章节与怪物'!$E$31:$K$37,B674,5),'章节与怪物'!$A$41:$F$44,2,FALSE),0)+IF(5=D674,ROUND(AO674*'难度参数'!$E$28*'章节与怪物'!$E$17,0),0))</x:f>
        <x:v>1049136</x:v>
      </x:c>
      <x:c r="AQ674" s="119" t="n">
        <x:f>IF(AN674=0,0,(AN674-IF(5=D674,1,0))*VLOOKUP(INDEX('章节与怪物'!$E$31:$K$37,B674,5),'章节与怪物'!$A$41:$F$44,4,FALSE)+IF(5=D674,'难度参数'!$E$30,0))</x:f>
        <x:v>1632</x:v>
      </x:c>
      <x:c r="AR674" s="119" t="n">
        <x:f>IF(6&gt;D674,0,MAX(2,MIN('难度参数'!$E$12,ROUND(('难度参数'!$E$18*POWER(A674,'难度参数'!$E$19)/D674*(0.85+0.3*(6-1)/MAX(1,D674-1))),0)+F674)))</x:f>
        <x:v>51</x:v>
      </x:c>
      <x:c r="AS674" s="119" t="n">
        <x:f>IF(6&gt;D674,0,ROUND(('难度参数'!$E$13*POWER(A674,'难度参数'!$E$20)*MIN('难度参数'!$E$23,1+MAX(0,A674-'难度参数'!$E$21)*'难度参数'!$E$22))*(36+6*7)/(36+7*(D674+1)/2)*E674,0))</x:f>
        <x:v>17786</x:v>
      </x:c>
      <x:c r="AT674" s="119" t="n">
        <x:f>IF(AR674=0,0,(AR674-IF(6=D674,1,0))*ROUND(AS674*VLOOKUP(INDEX('章节与怪物'!$E$31:$K$37,B674,6),'章节与怪物'!$A$41:$F$44,2,FALSE),0)+IF(6=D674,ROUND(AS674*'难度参数'!$E$28*'章节与怪物'!$E$17,0),0))</x:f>
        <x:v>653106</x:v>
      </x:c>
      <x:c r="AU674" s="119" t="n">
        <x:f>IF(AR674=0,0,(AR674-IF(6=D674,1,0))*VLOOKUP(INDEX('章节与怪物'!$E$31:$K$37,B674,6),'章节与怪物'!$A$41:$F$44,4,FALSE)+IF(6=D674,'难度参数'!$E$30,0))</x:f>
        <x:v>1020</x:v>
      </x:c>
      <x:c r="AV674" s="119" t="n">
        <x:f>IF(7&gt;D674,0,MAX(2,MIN('难度参数'!$E$12,ROUND(('难度参数'!$E$18*POWER(A674,'难度参数'!$E$19)/D674*(0.85+0.3*(7-1)/MAX(1,D674-1))),0)+F674)))</x:f>
        <x:v>53</x:v>
      </x:c>
      <x:c r="AW674" s="119" t="n">
        <x:f>IF(7&gt;D674,0,ROUND(('难度参数'!$E$13*POWER(A674,'难度参数'!$E$20)*MIN('难度参数'!$E$23,1+MAX(0,A674-'难度参数'!$E$21)*'难度参数'!$E$22))*(36+7*7)/(36+7*(D674+1)/2)*E674,0))</x:f>
        <x:v>19383</x:v>
      </x:c>
      <x:c r="AX674" s="119" t="n">
        <x:f>IF(AV674=0,0,(AV674-IF(7=D674,1,0))*ROUND(AW674*VLOOKUP(INDEX('章节与怪物'!$E$31:$K$37,B674,7),'章节与怪物'!$A$41:$F$44,2,FALSE),0)+IF(7=D674,ROUND(AW674*'难度参数'!$E$28*'章节与怪物'!$E$17,0),0))</x:f>
        <x:v>1845256</x:v>
      </x:c>
      <x:c r="AY674" s="119" t="n">
        <x:f>IF(AV674=0,0,(AV674-IF(7=D674,1,0))*VLOOKUP(INDEX('章节与怪物'!$E$31:$K$37,B674,7),'章节与怪物'!$A$41:$F$44,4,FALSE)+IF(7=D674,'难度参数'!$E$30,0))</x:f>
        <x:v>1656</x:v>
      </x:c>
    </x:row>
    <x:row r="675" ht="23" customHeight="1">
      <x:c r="A675" s="119" t="n">
        <x:v>669</x:v>
      </x:c>
      <x:c r="B675" s="119" t="n">
        <x:f>MOD(INT((A675-1)/5),7)+1</x:f>
        <x:v>1</x:v>
      </x:c>
      <x:c r="C675" s="62" t="str">
        <x:f>INDEX('章节与怪物'!$B$31:$B$37,B675)</x:f>
        <x:v>冰雪荒原</x:v>
      </x:c>
      <x:c r="D675" s="119" t="n">
        <x:f>MIN('难度参数'!$E$8,MAX('难度参数'!$E$7,A675))</x:f>
        <x:v>7</x:v>
      </x:c>
      <x:c r="E675" s="106" t="n">
        <x:v>1</x:v>
      </x:c>
      <x:c r="F675" s="106" t="n">
        <x:v>0</x:v>
      </x:c>
      <x:c r="G675" s="106" t="n">
        <x:v>1</x:v>
      </x:c>
      <x:c r="H675" s="119" t="n">
        <x:f>SUM(X675,AB675,AF675,AJ675,AN675,AR675,AV675)</x:f>
        <x:v>322</x:v>
      </x:c>
      <x:c r="I675" s="119" t="n">
        <x:f>SUM(Z675,AD675,AH675,AL675,AP675,AT675,AX675)</x:f>
        <x:v>5956804</x:v>
      </x:c>
      <x:c r="J675" s="119" t="n">
        <x:f>ROUND(INDEX(X675:AY675,1,(D675-1)*4+2)*'难度参数'!$E$28*'章节与怪物'!$E$17,0)</x:f>
        <x:v>131940</x:v>
      </x:c>
      <x:c r="K675" s="119" t="n">
        <x:f>SUM(AA675,AE675,AI675,AM675,AQ675,AU675,AY675)</x:f>
        <x:v>7916</x:v>
      </x:c>
      <x:c r="L675" s="62" t="n">
        <x:f>H675*(ROUNDUP('难度参数'!$E$24/('难度参数'!$E$26*'难度参数'!$E$27),0)*'难度参数'!$E$26)/60</x:f>
        <x:v>4.293333333333334</x:v>
      </x:c>
      <x:c r="M675" s="62" t="n">
        <x:f>L675+D675*('难度参数'!$E$49+'难度参数'!$E$50)/60</x:f>
        <x:v>5.460000000000001</x:v>
      </x:c>
      <x:c r="N675" s="119" t="n">
        <x:f>ROUNDDOWN(('经济参数'!$E$20+A675*'经济参数'!$E$21)*G675,0)</x:f>
        <x:v>13560</x:v>
      </x:c>
      <x:c r="O675" s="119" t="n">
        <x:f>ROUNDDOWN(MIN('经济参数'!$E$24,'经济参数'!$E$22+A675*'经济参数'!$E$23)*G675,0)</x:f>
        <x:v>0</x:v>
      </x:c>
      <x:c r="P675" s="119" t="n">
        <x:f>ROUNDDOWN((IF(A675&gt;='材料与任务'!$E$31,'材料与任务'!$E$32,IF(A675&gt;='材料与任务'!$E$25,'材料与任务'!$E$26,IF(A675&gt;='材料与任务'!$E$19,'材料与任务'!$E$20,IF(A675&gt;='材料与任务'!$E$13,'材料与任务'!$E$14,'材料与任务'!$E$8)))))*G675,0)</x:f>
        <x:v>6</x:v>
      </x:c>
      <x:c r="Q675" s="119" t="n">
        <x:f>ROUNDDOWN((IF(A675&gt;='材料与任务'!$E$31,'材料与任务'!$E$33,IF(A675&gt;='材料与任务'!$E$25,'材料与任务'!$E$27,IF(A675&gt;='材料与任务'!$E$19,'材料与任务'!$E$21,IF(A675&gt;='材料与任务'!$E$13,'材料与任务'!$E$15,'材料与任务'!$E$9)))))*G675,0)</x:f>
        <x:v>3</x:v>
      </x:c>
      <x:c r="R675" s="110" t="n">
        <x:f>'装备掉落'!$B$38</x:f>
        <x:v>0.6872058758851213</x:v>
      </x:c>
      <x:c r="S675" s="119" t="n">
        <x:f>MAX(IF(VLOOKUP(A675,'装备掉落'!$A$29:$H$34,2,TRUE)&gt;0,1,0),IF(VLOOKUP(A675,'装备掉落'!$A$29:$H$34,3,TRUE)&gt;0,2,0),IF(VLOOKUP(A675,'装备掉落'!$A$29:$H$34,4,TRUE)&gt;0,3,0),IF(VLOOKUP(A675,'装备掉落'!$A$29:$H$34,5,TRUE)&gt;0,4,0),IF(VLOOKUP(A675,'装备掉落'!$A$29:$H$34,6,TRUE)&gt;0,5,0),IF(VLOOKUP(A675,'装备掉落'!$A$29:$H$34,7,TRUE)&gt;0,6,0),IF(VLOOKUP(A675,'装备掉落'!$A$29:$H$34,8,TRUE)&gt;0,7,0))</x:f>
        <x:v>7</x:v>
      </x:c>
      <x:c r="T675" s="119" t="n">
        <x:f>MIN(7,S675+'经济参数'!$E$70)</x:f>
        <x:v>7</x:v>
      </x:c>
      <x:c r="U675" s="119" t="n">
        <x:f>MIN(7,S675+'经济参数'!$E$71)</x:f>
        <x:v>7</x:v>
      </x:c>
      <x:c r="V675" s="119" t="n">
        <x:f>IF(H675&gt;=('难度参数'!$E$52),1,0)+IF(H675&gt;=('难度参数'!$E$52+'难度参数'!$E$53),1,0)+IF(H675&gt;=('难度参数'!$E$52+'难度参数'!$E$53+'难度参数'!$E$54),1,0)+IF(H675&gt;=('难度参数'!$E$52+'难度参数'!$E$53+'难度参数'!$E$54+'难度参数'!$E$55),1,0)+IF(H675&gt;=('难度参数'!$E$52+'难度参数'!$E$53+'难度参数'!$E$54+'难度参数'!$E$55+'难度参数'!$E$56),1,0)+IF(H675&gt;=('难度参数'!$E$52+'难度参数'!$E$53+'难度参数'!$E$54+'难度参数'!$E$55+'难度参数'!$E$56+'难度参数'!$E$57),1,0)</x:f>
        <x:v>6</x:v>
      </x:c>
      <x:c r="W675" s="62" t="str">
        <x:f>IF(L675&gt;'难度参数'!$E$51,"仅出怪已超目标","还需实测")</x:f>
        <x:v>仅出怪已超目标</x:v>
      </x:c>
      <x:c r="X675" s="119" t="n">
        <x:f>IF(1&gt;D675,0,MAX(2,MIN('难度参数'!$E$12,ROUND(('难度参数'!$E$18*POWER(A675,'难度参数'!$E$19)/D675*(0.85+0.3*(1-1)/MAX(1,D675-1))),0)+F675)))</x:f>
        <x:v>39</x:v>
      </x:c>
      <x:c r="Y675" s="119" t="n">
        <x:f>IF(1&gt;D675,0,ROUND(('难度参数'!$E$13*POWER(A675,'难度参数'!$E$20)*MIN('难度参数'!$E$23,1+MAX(0,A675-'难度参数'!$E$21)*'难度参数'!$E$22))*(36+1*7)/(36+7*(D675+1)/2)*E675,0))</x:f>
        <x:v>9816</x:v>
      </x:c>
      <x:c r="Z675" s="119" t="n">
        <x:f>IF(X675=0,0,(X675-IF(1=D675,1,0))*ROUND(Y675*VLOOKUP(INDEX('章节与怪物'!$E$31:$K$37,B675,1),'章节与怪物'!$A$41:$F$44,2,FALSE),0)+IF(1=D675,ROUND(Y675*'难度参数'!$E$28*'章节与怪物'!$E$17,0),0))</x:f>
        <x:v>382824</x:v>
      </x:c>
      <x:c r="AA675" s="119" t="n">
        <x:f>IF(X675=0,0,(X675-IF(1=D675,1,0))*VLOOKUP(INDEX('章节与怪物'!$E$31:$K$37,B675,1),'章节与怪物'!$A$41:$F$44,4,FALSE)+IF(1=D675,'难度参数'!$E$30,0))</x:f>
        <x:v>702</x:v>
      </x:c>
      <x:c r="AB675" s="119" t="n">
        <x:f>IF(2&gt;D675,0,MAX(2,MIN('难度参数'!$E$12,ROUND(('难度参数'!$E$18*POWER(A675,'难度参数'!$E$19)/D675*(0.85+0.3*(2-1)/MAX(1,D675-1))),0)+F675)))</x:f>
        <x:v>41</x:v>
      </x:c>
      <x:c r="AC675" s="119" t="n">
        <x:f>IF(2&gt;D675,0,ROUND(('难度参数'!$E$13*POWER(A675,'难度参数'!$E$20)*MIN('难度参数'!$E$23,1+MAX(0,A675-'难度参数'!$E$21)*'难度参数'!$E$22))*(36+2*7)/(36+7*(D675+1)/2)*E675,0))</x:f>
        <x:v>11414</x:v>
      </x:c>
      <x:c r="AD675" s="119" t="n">
        <x:f>IF(AB675=0,0,(AB675-IF(2=D675,1,0))*ROUND(AC675*VLOOKUP(INDEX('章节与怪物'!$E$31:$K$37,B675,2),'章节与怪物'!$A$41:$F$44,2,FALSE),0)+IF(2=D675,ROUND(AC675*'难度参数'!$E$28*'章节与怪物'!$E$17,0),0))</x:f>
        <x:v>467974</x:v>
      </x:c>
      <x:c r="AE675" s="119" t="n">
        <x:f>IF(AB675=0,0,(AB675-IF(2=D675,1,0))*VLOOKUP(INDEX('章节与怪物'!$E$31:$K$37,B675,2),'章节与怪物'!$A$41:$F$44,4,FALSE)+IF(2=D675,'难度参数'!$E$30,0))</x:f>
        <x:v>738</x:v>
      </x:c>
      <x:c r="AF675" s="119" t="n">
        <x:f>IF(3&gt;D675,0,MAX(2,MIN('难度参数'!$E$12,ROUND(('难度参数'!$E$18*POWER(A675,'难度参数'!$E$19)/D675*(0.85+0.3*(3-1)/MAX(1,D675-1))),0)+F675)))</x:f>
        <x:v>44</x:v>
      </x:c>
      <x:c r="AG675" s="119" t="n">
        <x:f>IF(3&gt;D675,0,ROUND(('难度参数'!$E$13*POWER(A675,'难度参数'!$E$20)*MIN('难度参数'!$E$23,1+MAX(0,A675-'难度参数'!$E$21)*'难度参数'!$E$22))*(36+3*7)/(36+7*(D675+1)/2)*E675,0))</x:f>
        <x:v>13012</x:v>
      </x:c>
      <x:c r="AH675" s="119" t="n">
        <x:f>IF(AF675=0,0,(AF675-IF(3=D675,1,0))*ROUND(AG675*VLOOKUP(INDEX('章节与怪物'!$E$31:$K$37,B675,3),'章节与怪物'!$A$41:$F$44,2,FALSE),0)+IF(3=D675,ROUND(AG675*'难度参数'!$E$28*'章节与怪物'!$E$17,0),0))</x:f>
        <x:v>412236</x:v>
      </x:c>
      <x:c r="AI675" s="119" t="n">
        <x:f>IF(AF675=0,0,(AF675-IF(3=D675,1,0))*VLOOKUP(INDEX('章节与怪物'!$E$31:$K$37,B675,3),'章节与怪物'!$A$41:$F$44,4,FALSE)+IF(3=D675,'难度参数'!$E$30,0))</x:f>
        <x:v>880</x:v>
      </x:c>
      <x:c r="AJ675" s="119" t="n">
        <x:f>IF(4&gt;D675,0,MAX(2,MIN('难度参数'!$E$12,ROUND(('难度参数'!$E$18*POWER(A675,'难度参数'!$E$19)/D675*(0.85+0.3*(4-1)/MAX(1,D675-1))),0)+F675)))</x:f>
        <x:v>46</x:v>
      </x:c>
      <x:c r="AK675" s="119" t="n">
        <x:f>IF(4&gt;D675,0,ROUND(('难度参数'!$E$13*POWER(A675,'难度参数'!$E$20)*MIN('难度参数'!$E$23,1+MAX(0,A675-'难度参数'!$E$21)*'难度参数'!$E$22))*(36+4*7)/(36+7*(D675+1)/2)*E675,0))</x:f>
        <x:v>14610</x:v>
      </x:c>
      <x:c r="AL675" s="119" t="n">
        <x:f>IF(AJ675=0,0,(AJ675-IF(4=D675,1,0))*ROUND(AK675*VLOOKUP(INDEX('章节与怪物'!$E$31:$K$37,B675,4),'章节与怪物'!$A$41:$F$44,2,FALSE),0)+IF(4=D675,ROUND(AK675*'难度参数'!$E$28*'章节与怪物'!$E$17,0),0))</x:f>
        <x:v>1142502</x:v>
      </x:c>
      <x:c r="AM675" s="119" t="n">
        <x:f>IF(AJ675=0,0,(AJ675-IF(4=D675,1,0))*VLOOKUP(INDEX('章节与怪物'!$E$31:$K$37,B675,4),'章节与怪物'!$A$41:$F$44,4,FALSE)+IF(4=D675,'难度参数'!$E$30,0))</x:f>
        <x:v>1288</x:v>
      </x:c>
      <x:c r="AN675" s="119" t="n">
        <x:f>IF(5&gt;D675,0,MAX(2,MIN('难度参数'!$E$12,ROUND(('难度参数'!$E$18*POWER(A675,'难度参数'!$E$19)/D675*(0.85+0.3*(5-1)/MAX(1,D675-1))),0)+F675)))</x:f>
        <x:v>48</x:v>
      </x:c>
      <x:c r="AO675" s="119" t="n">
        <x:f>IF(5&gt;D675,0,ROUND(('难度参数'!$E$13*POWER(A675,'难度参数'!$E$20)*MIN('难度参数'!$E$23,1+MAX(0,A675-'难度参数'!$E$21)*'难度参数'!$E$22))*(36+5*7)/(36+7*(D675+1)/2)*E675,0))</x:f>
        <x:v>16208</x:v>
      </x:c>
      <x:c r="AP675" s="119" t="n">
        <x:f>IF(AN675=0,0,(AN675-IF(5=D675,1,0))*ROUND(AO675*VLOOKUP(INDEX('章节与怪物'!$E$31:$K$37,B675,5),'章节与怪物'!$A$41:$F$44,2,FALSE),0)+IF(5=D675,ROUND(AO675*'难度参数'!$E$28*'章节与怪物'!$E$17,0),0))</x:f>
        <x:v>1050288</x:v>
      </x:c>
      <x:c r="AQ675" s="119" t="n">
        <x:f>IF(AN675=0,0,(AN675-IF(5=D675,1,0))*VLOOKUP(INDEX('章节与怪物'!$E$31:$K$37,B675,5),'章节与怪物'!$A$41:$F$44,4,FALSE)+IF(5=D675,'难度参数'!$E$30,0))</x:f>
        <x:v>1632</x:v>
      </x:c>
      <x:c r="AR675" s="119" t="n">
        <x:f>IF(6&gt;D675,0,MAX(2,MIN('难度参数'!$E$12,ROUND(('难度参数'!$E$18*POWER(A675,'难度参数'!$E$19)/D675*(0.85+0.3*(6-1)/MAX(1,D675-1))),0)+F675)))</x:f>
        <x:v>51</x:v>
      </x:c>
      <x:c r="AS675" s="119" t="n">
        <x:f>IF(6&gt;D675,0,ROUND(('难度参数'!$E$13*POWER(A675,'难度参数'!$E$20)*MIN('难度参数'!$E$23,1+MAX(0,A675-'难度参数'!$E$21)*'难度参数'!$E$22))*(36+6*7)/(36+7*(D675+1)/2)*E675,0))</x:f>
        <x:v>17806</x:v>
      </x:c>
      <x:c r="AT675" s="119" t="n">
        <x:f>IF(AR675=0,0,(AR675-IF(6=D675,1,0))*ROUND(AS675*VLOOKUP(INDEX('章节与怪物'!$E$31:$K$37,B675,6),'章节与怪物'!$A$41:$F$44,2,FALSE),0)+IF(6=D675,ROUND(AS675*'难度参数'!$E$28*'章节与怪物'!$E$17,0),0))</x:f>
        <x:v>653820</x:v>
      </x:c>
      <x:c r="AU675" s="119" t="n">
        <x:f>IF(AR675=0,0,(AR675-IF(6=D675,1,0))*VLOOKUP(INDEX('章节与怪物'!$E$31:$K$37,B675,6),'章节与怪物'!$A$41:$F$44,4,FALSE)+IF(6=D675,'难度参数'!$E$30,0))</x:f>
        <x:v>1020</x:v>
      </x:c>
      <x:c r="AV675" s="119" t="n">
        <x:f>IF(7&gt;D675,0,MAX(2,MIN('难度参数'!$E$12,ROUND(('难度参数'!$E$18*POWER(A675,'难度参数'!$E$19)/D675*(0.85+0.3*(7-1)/MAX(1,D675-1))),0)+F675)))</x:f>
        <x:v>53</x:v>
      </x:c>
      <x:c r="AW675" s="119" t="n">
        <x:f>IF(7&gt;D675,0,ROUND(('难度参数'!$E$13*POWER(A675,'难度参数'!$E$20)*MIN('难度参数'!$E$23,1+MAX(0,A675-'难度参数'!$E$21)*'难度参数'!$E$22))*(36+7*7)/(36+7*(D675+1)/2)*E675,0))</x:f>
        <x:v>19403</x:v>
      </x:c>
      <x:c r="AX675" s="119" t="n">
        <x:f>IF(AV675=0,0,(AV675-IF(7=D675,1,0))*ROUND(AW675*VLOOKUP(INDEX('章节与怪物'!$E$31:$K$37,B675,7),'章节与怪物'!$A$41:$F$44,2,FALSE),0)+IF(7=D675,ROUND(AW675*'难度参数'!$E$28*'章节与怪物'!$E$17,0),0))</x:f>
        <x:v>1847160</x:v>
      </x:c>
      <x:c r="AY675" s="119" t="n">
        <x:f>IF(AV675=0,0,(AV675-IF(7=D675,1,0))*VLOOKUP(INDEX('章节与怪物'!$E$31:$K$37,B675,7),'章节与怪物'!$A$41:$F$44,4,FALSE)+IF(7=D675,'难度参数'!$E$30,0))</x:f>
        <x:v>1656</x:v>
      </x:c>
    </x:row>
    <x:row r="676" ht="23" customHeight="1">
      <x:c r="A676" s="119" t="n">
        <x:v>670</x:v>
      </x:c>
      <x:c r="B676" s="119" t="n">
        <x:f>MOD(INT((A676-1)/5),7)+1</x:f>
        <x:v>1</x:v>
      </x:c>
      <x:c r="C676" s="62" t="str">
        <x:f>INDEX('章节与怪物'!$B$31:$B$37,B676)</x:f>
        <x:v>冰雪荒原</x:v>
      </x:c>
      <x:c r="D676" s="119" t="n">
        <x:f>MIN('难度参数'!$E$8,MAX('难度参数'!$E$7,A676))</x:f>
        <x:v>7</x:v>
      </x:c>
      <x:c r="E676" s="106" t="n">
        <x:v>1</x:v>
      </x:c>
      <x:c r="F676" s="106" t="n">
        <x:v>0</x:v>
      </x:c>
      <x:c r="G676" s="106" t="n">
        <x:v>1</x:v>
      </x:c>
      <x:c r="H676" s="119" t="n">
        <x:f>SUM(X676,AB676,AF676,AJ676,AN676,AR676,AV676)</x:f>
        <x:v>322</x:v>
      </x:c>
      <x:c r="I676" s="119" t="n">
        <x:f>SUM(Z676,AD676,AH676,AL676,AP676,AT676,AX676)</x:f>
        <x:v>5963155</x:v>
      </x:c>
      <x:c r="J676" s="119" t="n">
        <x:f>ROUND(INDEX(X676:AY676,1,(D676-1)*4+2)*'难度参数'!$E$28*'章节与怪物'!$E$17,0)</x:f>
        <x:v>132083</x:v>
      </x:c>
      <x:c r="K676" s="119" t="n">
        <x:f>SUM(AA676,AE676,AI676,AM676,AQ676,AU676,AY676)</x:f>
        <x:v>7916</x:v>
      </x:c>
      <x:c r="L676" s="62" t="n">
        <x:f>H676*(ROUNDUP('难度参数'!$E$24/('难度参数'!$E$26*'难度参数'!$E$27),0)*'难度参数'!$E$26)/60</x:f>
        <x:v>4.293333333333334</x:v>
      </x:c>
      <x:c r="M676" s="62" t="n">
        <x:f>L676+D676*('难度参数'!$E$49+'难度参数'!$E$50)/60</x:f>
        <x:v>5.460000000000001</x:v>
      </x:c>
      <x:c r="N676" s="119" t="n">
        <x:f>ROUNDDOWN(('经济参数'!$E$20+A676*'经济参数'!$E$21)*G676,0)</x:f>
        <x:v>13580</x:v>
      </x:c>
      <x:c r="O676" s="119" t="n">
        <x:f>ROUNDDOWN(MIN('经济参数'!$E$24,'经济参数'!$E$22+A676*'经济参数'!$E$23)*G676,0)</x:f>
        <x:v>0</x:v>
      </x:c>
      <x:c r="P676" s="119" t="n">
        <x:f>ROUNDDOWN((IF(A676&gt;='材料与任务'!$E$31,'材料与任务'!$E$32,IF(A676&gt;='材料与任务'!$E$25,'材料与任务'!$E$26,IF(A676&gt;='材料与任务'!$E$19,'材料与任务'!$E$20,IF(A676&gt;='材料与任务'!$E$13,'材料与任务'!$E$14,'材料与任务'!$E$8)))))*G676,0)</x:f>
        <x:v>6</x:v>
      </x:c>
      <x:c r="Q676" s="119" t="n">
        <x:f>ROUNDDOWN((IF(A676&gt;='材料与任务'!$E$31,'材料与任务'!$E$33,IF(A676&gt;='材料与任务'!$E$25,'材料与任务'!$E$27,IF(A676&gt;='材料与任务'!$E$19,'材料与任务'!$E$21,IF(A676&gt;='材料与任务'!$E$13,'材料与任务'!$E$15,'材料与任务'!$E$9)))))*G676,0)</x:f>
        <x:v>3</x:v>
      </x:c>
      <x:c r="R676" s="110" t="n">
        <x:f>'装备掉落'!$B$38</x:f>
        <x:v>0.6872058758851213</x:v>
      </x:c>
      <x:c r="S676" s="119" t="n">
        <x:f>MAX(IF(VLOOKUP(A676,'装备掉落'!$A$29:$H$34,2,TRUE)&gt;0,1,0),IF(VLOOKUP(A676,'装备掉落'!$A$29:$H$34,3,TRUE)&gt;0,2,0),IF(VLOOKUP(A676,'装备掉落'!$A$29:$H$34,4,TRUE)&gt;0,3,0),IF(VLOOKUP(A676,'装备掉落'!$A$29:$H$34,5,TRUE)&gt;0,4,0),IF(VLOOKUP(A676,'装备掉落'!$A$29:$H$34,6,TRUE)&gt;0,5,0),IF(VLOOKUP(A676,'装备掉落'!$A$29:$H$34,7,TRUE)&gt;0,6,0),IF(VLOOKUP(A676,'装备掉落'!$A$29:$H$34,8,TRUE)&gt;0,7,0))</x:f>
        <x:v>7</x:v>
      </x:c>
      <x:c r="T676" s="119" t="n">
        <x:f>MIN(7,S676+'经济参数'!$E$70)</x:f>
        <x:v>7</x:v>
      </x:c>
      <x:c r="U676" s="119" t="n">
        <x:f>MIN(7,S676+'经济参数'!$E$71)</x:f>
        <x:v>7</x:v>
      </x:c>
      <x:c r="V676" s="119" t="n">
        <x:f>IF(H676&gt;=('难度参数'!$E$52),1,0)+IF(H676&gt;=('难度参数'!$E$52+'难度参数'!$E$53),1,0)+IF(H676&gt;=('难度参数'!$E$52+'难度参数'!$E$53+'难度参数'!$E$54),1,0)+IF(H676&gt;=('难度参数'!$E$52+'难度参数'!$E$53+'难度参数'!$E$54+'难度参数'!$E$55),1,0)+IF(H676&gt;=('难度参数'!$E$52+'难度参数'!$E$53+'难度参数'!$E$54+'难度参数'!$E$55+'难度参数'!$E$56),1,0)+IF(H676&gt;=('难度参数'!$E$52+'难度参数'!$E$53+'难度参数'!$E$54+'难度参数'!$E$55+'难度参数'!$E$56+'难度参数'!$E$57),1,0)</x:f>
        <x:v>6</x:v>
      </x:c>
      <x:c r="W676" s="62" t="str">
        <x:f>IF(L676&gt;'难度参数'!$E$51,"仅出怪已超目标","还需实测")</x:f>
        <x:v>仅出怪已超目标</x:v>
      </x:c>
      <x:c r="X676" s="119" t="n">
        <x:f>IF(1&gt;D676,0,MAX(2,MIN('难度参数'!$E$12,ROUND(('难度参数'!$E$18*POWER(A676,'难度参数'!$E$19)/D676*(0.85+0.3*(1-1)/MAX(1,D676-1))),0)+F676)))</x:f>
        <x:v>39</x:v>
      </x:c>
      <x:c r="Y676" s="119" t="n">
        <x:f>IF(1&gt;D676,0,ROUND(('难度参数'!$E$13*POWER(A676,'难度参数'!$E$20)*MIN('难度参数'!$E$23,1+MAX(0,A676-'难度参数'!$E$21)*'难度参数'!$E$22))*(36+1*7)/(36+7*(D676+1)/2)*E676,0))</x:f>
        <x:v>9826</x:v>
      </x:c>
      <x:c r="Z676" s="119" t="n">
        <x:f>IF(X676=0,0,(X676-IF(1=D676,1,0))*ROUND(Y676*VLOOKUP(INDEX('章节与怪物'!$E$31:$K$37,B676,1),'章节与怪物'!$A$41:$F$44,2,FALSE),0)+IF(1=D676,ROUND(Y676*'难度参数'!$E$28*'章节与怪物'!$E$17,0),0))</x:f>
        <x:v>383214</x:v>
      </x:c>
      <x:c r="AA676" s="119" t="n">
        <x:f>IF(X676=0,0,(X676-IF(1=D676,1,0))*VLOOKUP(INDEX('章节与怪物'!$E$31:$K$37,B676,1),'章节与怪物'!$A$41:$F$44,4,FALSE)+IF(1=D676,'难度参数'!$E$30,0))</x:f>
        <x:v>702</x:v>
      </x:c>
      <x:c r="AB676" s="119" t="n">
        <x:f>IF(2&gt;D676,0,MAX(2,MIN('难度参数'!$E$12,ROUND(('难度参数'!$E$18*POWER(A676,'难度参数'!$E$19)/D676*(0.85+0.3*(2-1)/MAX(1,D676-1))),0)+F676)))</x:f>
        <x:v>41</x:v>
      </x:c>
      <x:c r="AC676" s="119" t="n">
        <x:f>IF(2&gt;D676,0,ROUND(('难度参数'!$E$13*POWER(A676,'难度参数'!$E$20)*MIN('难度参数'!$E$23,1+MAX(0,A676-'难度参数'!$E$21)*'难度参数'!$E$22))*(36+2*7)/(36+7*(D676+1)/2)*E676,0))</x:f>
        <x:v>11426</x:v>
      </x:c>
      <x:c r="AD676" s="119" t="n">
        <x:f>IF(AB676=0,0,(AB676-IF(2=D676,1,0))*ROUND(AC676*VLOOKUP(INDEX('章节与怪物'!$E$31:$K$37,B676,2),'章节与怪物'!$A$41:$F$44,2,FALSE),0)+IF(2=D676,ROUND(AC676*'难度参数'!$E$28*'章节与怪物'!$E$17,0),0))</x:f>
        <x:v>468466</x:v>
      </x:c>
      <x:c r="AE676" s="119" t="n">
        <x:f>IF(AB676=0,0,(AB676-IF(2=D676,1,0))*VLOOKUP(INDEX('章节与怪物'!$E$31:$K$37,B676,2),'章节与怪物'!$A$41:$F$44,4,FALSE)+IF(2=D676,'难度参数'!$E$30,0))</x:f>
        <x:v>738</x:v>
      </x:c>
      <x:c r="AF676" s="119" t="n">
        <x:f>IF(3&gt;D676,0,MAX(2,MIN('难度参数'!$E$12,ROUND(('难度参数'!$E$18*POWER(A676,'难度参数'!$E$19)/D676*(0.85+0.3*(3-1)/MAX(1,D676-1))),0)+F676)))</x:f>
        <x:v>44</x:v>
      </x:c>
      <x:c r="AG676" s="119" t="n">
        <x:f>IF(3&gt;D676,0,ROUND(('难度参数'!$E$13*POWER(A676,'难度参数'!$E$20)*MIN('难度参数'!$E$23,1+MAX(0,A676-'难度参数'!$E$21)*'难度参数'!$E$22))*(36+3*7)/(36+7*(D676+1)/2)*E676,0))</x:f>
        <x:v>13026</x:v>
      </x:c>
      <x:c r="AH676" s="119" t="n">
        <x:f>IF(AF676=0,0,(AF676-IF(3=D676,1,0))*ROUND(AG676*VLOOKUP(INDEX('章节与怪物'!$E$31:$K$37,B676,3),'章节与怪物'!$A$41:$F$44,2,FALSE),0)+IF(3=D676,ROUND(AG676*'难度参数'!$E$28*'章节与怪物'!$E$17,0),0))</x:f>
        <x:v>412676</x:v>
      </x:c>
      <x:c r="AI676" s="119" t="n">
        <x:f>IF(AF676=0,0,(AF676-IF(3=D676,1,0))*VLOOKUP(INDEX('章节与怪物'!$E$31:$K$37,B676,3),'章节与怪物'!$A$41:$F$44,4,FALSE)+IF(3=D676,'难度参数'!$E$30,0))</x:f>
        <x:v>880</x:v>
      </x:c>
      <x:c r="AJ676" s="119" t="n">
        <x:f>IF(4&gt;D676,0,MAX(2,MIN('难度参数'!$E$12,ROUND(('难度参数'!$E$18*POWER(A676,'难度参数'!$E$19)/D676*(0.85+0.3*(4-1)/MAX(1,D676-1))),0)+F676)))</x:f>
        <x:v>46</x:v>
      </x:c>
      <x:c r="AK676" s="119" t="n">
        <x:f>IF(4&gt;D676,0,ROUND(('难度参数'!$E$13*POWER(A676,'难度参数'!$E$20)*MIN('难度参数'!$E$23,1+MAX(0,A676-'难度参数'!$E$21)*'难度参数'!$E$22))*(36+4*7)/(36+7*(D676+1)/2)*E676,0))</x:f>
        <x:v>14625</x:v>
      </x:c>
      <x:c r="AL676" s="119" t="n">
        <x:f>IF(AJ676=0,0,(AJ676-IF(4=D676,1,0))*ROUND(AK676*VLOOKUP(INDEX('章节与怪物'!$E$31:$K$37,B676,4),'章节与怪物'!$A$41:$F$44,2,FALSE),0)+IF(4=D676,ROUND(AK676*'难度参数'!$E$28*'章节与怪物'!$E$17,0),0))</x:f>
        <x:v>1143698</x:v>
      </x:c>
      <x:c r="AM676" s="119" t="n">
        <x:f>IF(AJ676=0,0,(AJ676-IF(4=D676,1,0))*VLOOKUP(INDEX('章节与怪物'!$E$31:$K$37,B676,4),'章节与怪物'!$A$41:$F$44,4,FALSE)+IF(4=D676,'难度参数'!$E$30,0))</x:f>
        <x:v>1288</x:v>
      </x:c>
      <x:c r="AN676" s="119" t="n">
        <x:f>IF(5&gt;D676,0,MAX(2,MIN('难度参数'!$E$12,ROUND(('难度参数'!$E$18*POWER(A676,'难度参数'!$E$19)/D676*(0.85+0.3*(5-1)/MAX(1,D676-1))),0)+F676)))</x:f>
        <x:v>48</x:v>
      </x:c>
      <x:c r="AO676" s="119" t="n">
        <x:f>IF(5&gt;D676,0,ROUND(('难度参数'!$E$13*POWER(A676,'难度参数'!$E$20)*MIN('难度参数'!$E$23,1+MAX(0,A676-'难度参数'!$E$21)*'难度参数'!$E$22))*(36+5*7)/(36+7*(D676+1)/2)*E676,0))</x:f>
        <x:v>16225</x:v>
      </x:c>
      <x:c r="AP676" s="119" t="n">
        <x:f>IF(AN676=0,0,(AN676-IF(5=D676,1,0))*ROUND(AO676*VLOOKUP(INDEX('章节与怪物'!$E$31:$K$37,B676,5),'章节与怪物'!$A$41:$F$44,2,FALSE),0)+IF(5=D676,ROUND(AO676*'难度参数'!$E$28*'章节与怪物'!$E$17,0),0))</x:f>
        <x:v>1051392</x:v>
      </x:c>
      <x:c r="AQ676" s="119" t="n">
        <x:f>IF(AN676=0,0,(AN676-IF(5=D676,1,0))*VLOOKUP(INDEX('章节与怪物'!$E$31:$K$37,B676,5),'章节与怪物'!$A$41:$F$44,4,FALSE)+IF(5=D676,'难度参数'!$E$30,0))</x:f>
        <x:v>1632</x:v>
      </x:c>
      <x:c r="AR676" s="119" t="n">
        <x:f>IF(6&gt;D676,0,MAX(2,MIN('难度参数'!$E$12,ROUND(('难度参数'!$E$18*POWER(A676,'难度参数'!$E$19)/D676*(0.85+0.3*(6-1)/MAX(1,D676-1))),0)+F676)))</x:f>
        <x:v>51</x:v>
      </x:c>
      <x:c r="AS676" s="119" t="n">
        <x:f>IF(6&gt;D676,0,ROUND(('难度参数'!$E$13*POWER(A676,'难度参数'!$E$20)*MIN('难度参数'!$E$23,1+MAX(0,A676-'难度参数'!$E$21)*'难度参数'!$E$22))*(36+6*7)/(36+7*(D676+1)/2)*E676,0))</x:f>
        <x:v>17825</x:v>
      </x:c>
      <x:c r="AT676" s="119" t="n">
        <x:f>IF(AR676=0,0,(AR676-IF(6=D676,1,0))*ROUND(AS676*VLOOKUP(INDEX('章节与怪物'!$E$31:$K$37,B676,6),'章节与怪物'!$A$41:$F$44,2,FALSE),0)+IF(6=D676,ROUND(AS676*'难度参数'!$E$28*'章节与怪物'!$E$17,0),0))</x:f>
        <x:v>654534</x:v>
      </x:c>
      <x:c r="AU676" s="119" t="n">
        <x:f>IF(AR676=0,0,(AR676-IF(6=D676,1,0))*VLOOKUP(INDEX('章节与怪物'!$E$31:$K$37,B676,6),'章节与怪物'!$A$41:$F$44,4,FALSE)+IF(6=D676,'难度参数'!$E$30,0))</x:f>
        <x:v>1020</x:v>
      </x:c>
      <x:c r="AV676" s="119" t="n">
        <x:f>IF(7&gt;D676,0,MAX(2,MIN('难度参数'!$E$12,ROUND(('难度参数'!$E$18*POWER(A676,'难度参数'!$E$19)/D676*(0.85+0.3*(7-1)/MAX(1,D676-1))),0)+F676)))</x:f>
        <x:v>53</x:v>
      </x:c>
      <x:c r="AW676" s="119" t="n">
        <x:f>IF(7&gt;D676,0,ROUND(('难度参数'!$E$13*POWER(A676,'难度参数'!$E$20)*MIN('难度参数'!$E$23,1+MAX(0,A676-'难度参数'!$E$21)*'难度参数'!$E$22))*(36+7*7)/(36+7*(D676+1)/2)*E676,0))</x:f>
        <x:v>19424</x:v>
      </x:c>
      <x:c r="AX676" s="119" t="n">
        <x:f>IF(AV676=0,0,(AV676-IF(7=D676,1,0))*ROUND(AW676*VLOOKUP(INDEX('章节与怪物'!$E$31:$K$37,B676,7),'章节与怪物'!$A$41:$F$44,2,FALSE),0)+IF(7=D676,ROUND(AW676*'难度参数'!$E$28*'章节与怪物'!$E$17,0),0))</x:f>
        <x:v>1849175</x:v>
      </x:c>
      <x:c r="AY676" s="119" t="n">
        <x:f>IF(AV676=0,0,(AV676-IF(7=D676,1,0))*VLOOKUP(INDEX('章节与怪物'!$E$31:$K$37,B676,7),'章节与怪物'!$A$41:$F$44,4,FALSE)+IF(7=D676,'难度参数'!$E$30,0))</x:f>
        <x:v>1656</x:v>
      </x:c>
    </x:row>
    <x:row r="677" ht="23" customHeight="1">
      <x:c r="A677" s="119" t="n">
        <x:v>671</x:v>
      </x:c>
      <x:c r="B677" s="119" t="n">
        <x:f>MOD(INT((A677-1)/5),7)+1</x:f>
        <x:v>2</x:v>
      </x:c>
      <x:c r="C677" s="62" t="str">
        <x:f>INDEX('章节与怪物'!$B$31:$B$37,B677)</x:f>
        <x:v>黄沙要塞</x:v>
      </x:c>
      <x:c r="D677" s="119" t="n">
        <x:f>MIN('难度参数'!$E$8,MAX('难度参数'!$E$7,A677))</x:f>
        <x:v>7</x:v>
      </x:c>
      <x:c r="E677" s="106" t="n">
        <x:v>1</x:v>
      </x:c>
      <x:c r="F677" s="106" t="n">
        <x:v>0</x:v>
      </x:c>
      <x:c r="G677" s="106" t="n">
        <x:v>1</x:v>
      </x:c>
      <x:c r="H677" s="119" t="n">
        <x:f>SUM(X677,AB677,AF677,AJ677,AN677,AR677,AV677)</x:f>
        <x:v>322</x:v>
      </x:c>
      <x:c r="I677" s="119" t="n">
        <x:f>SUM(Z677,AD677,AH677,AL677,AP677,AT677,AX677)</x:f>
        <x:v>6453756</x:v>
      </x:c>
      <x:c r="J677" s="119" t="n">
        <x:f>ROUND(INDEX(X677:AY677,1,(D677-1)*4+2)*'难度参数'!$E$28*'章节与怪物'!$E$17,0)</x:f>
        <x:v>132226</x:v>
      </x:c>
      <x:c r="K677" s="119" t="n">
        <x:f>SUM(AA677,AE677,AI677,AM677,AQ677,AU677,AY677)</x:f>
        <x:v>8574</x:v>
      </x:c>
      <x:c r="L677" s="62" t="n">
        <x:f>H677*(ROUNDUP('难度参数'!$E$24/('难度参数'!$E$26*'难度参数'!$E$27),0)*'难度参数'!$E$26)/60</x:f>
        <x:v>4.293333333333334</x:v>
      </x:c>
      <x:c r="M677" s="62" t="n">
        <x:f>L677+D677*('难度参数'!$E$49+'难度参数'!$E$50)/60</x:f>
        <x:v>5.460000000000001</x:v>
      </x:c>
      <x:c r="N677" s="119" t="n">
        <x:f>ROUNDDOWN(('经济参数'!$E$20+A677*'经济参数'!$E$21)*G677,0)</x:f>
        <x:v>13600</x:v>
      </x:c>
      <x:c r="O677" s="119" t="n">
        <x:f>ROUNDDOWN(MIN('经济参数'!$E$24,'经济参数'!$E$22+A677*'经济参数'!$E$23)*G677,0)</x:f>
        <x:v>0</x:v>
      </x:c>
      <x:c r="P677" s="119" t="n">
        <x:f>ROUNDDOWN((IF(A677&gt;='材料与任务'!$E$31,'材料与任务'!$E$32,IF(A677&gt;='材料与任务'!$E$25,'材料与任务'!$E$26,IF(A677&gt;='材料与任务'!$E$19,'材料与任务'!$E$20,IF(A677&gt;='材料与任务'!$E$13,'材料与任务'!$E$14,'材料与任务'!$E$8)))))*G677,0)</x:f>
        <x:v>6</x:v>
      </x:c>
      <x:c r="Q677" s="119" t="n">
        <x:f>ROUNDDOWN((IF(A677&gt;='材料与任务'!$E$31,'材料与任务'!$E$33,IF(A677&gt;='材料与任务'!$E$25,'材料与任务'!$E$27,IF(A677&gt;='材料与任务'!$E$19,'材料与任务'!$E$21,IF(A677&gt;='材料与任务'!$E$13,'材料与任务'!$E$15,'材料与任务'!$E$9)))))*G677,0)</x:f>
        <x:v>3</x:v>
      </x:c>
      <x:c r="R677" s="110" t="n">
        <x:f>'装备掉落'!$B$38</x:f>
        <x:v>0.6872058758851213</x:v>
      </x:c>
      <x:c r="S677" s="119" t="n">
        <x:f>MAX(IF(VLOOKUP(A677,'装备掉落'!$A$29:$H$34,2,TRUE)&gt;0,1,0),IF(VLOOKUP(A677,'装备掉落'!$A$29:$H$34,3,TRUE)&gt;0,2,0),IF(VLOOKUP(A677,'装备掉落'!$A$29:$H$34,4,TRUE)&gt;0,3,0),IF(VLOOKUP(A677,'装备掉落'!$A$29:$H$34,5,TRUE)&gt;0,4,0),IF(VLOOKUP(A677,'装备掉落'!$A$29:$H$34,6,TRUE)&gt;0,5,0),IF(VLOOKUP(A677,'装备掉落'!$A$29:$H$34,7,TRUE)&gt;0,6,0),IF(VLOOKUP(A677,'装备掉落'!$A$29:$H$34,8,TRUE)&gt;0,7,0))</x:f>
        <x:v>7</x:v>
      </x:c>
      <x:c r="T677" s="119" t="n">
        <x:f>MIN(7,S677+'经济参数'!$E$70)</x:f>
        <x:v>7</x:v>
      </x:c>
      <x:c r="U677" s="119" t="n">
        <x:f>MIN(7,S677+'经济参数'!$E$71)</x:f>
        <x:v>7</x:v>
      </x:c>
      <x:c r="V677" s="119" t="n">
        <x:f>IF(H677&gt;=('难度参数'!$E$52),1,0)+IF(H677&gt;=('难度参数'!$E$52+'难度参数'!$E$53),1,0)+IF(H677&gt;=('难度参数'!$E$52+'难度参数'!$E$53+'难度参数'!$E$54),1,0)+IF(H677&gt;=('难度参数'!$E$52+'难度参数'!$E$53+'难度参数'!$E$54+'难度参数'!$E$55),1,0)+IF(H677&gt;=('难度参数'!$E$52+'难度参数'!$E$53+'难度参数'!$E$54+'难度参数'!$E$55+'难度参数'!$E$56),1,0)+IF(H677&gt;=('难度参数'!$E$52+'难度参数'!$E$53+'难度参数'!$E$54+'难度参数'!$E$55+'难度参数'!$E$56+'难度参数'!$E$57),1,0)</x:f>
        <x:v>6</x:v>
      </x:c>
      <x:c r="W677" s="62" t="str">
        <x:f>IF(L677&gt;'难度参数'!$E$51,"仅出怪已超目标","还需实测")</x:f>
        <x:v>仅出怪已超目标</x:v>
      </x:c>
      <x:c r="X677" s="119" t="n">
        <x:f>IF(1&gt;D677,0,MAX(2,MIN('难度参数'!$E$12,ROUND(('难度参数'!$E$18*POWER(A677,'难度参数'!$E$19)/D677*(0.85+0.3*(1-1)/MAX(1,D677-1))),0)+F677)))</x:f>
        <x:v>39</x:v>
      </x:c>
      <x:c r="Y677" s="119" t="n">
        <x:f>IF(1&gt;D677,0,ROUND(('难度参数'!$E$13*POWER(A677,'难度参数'!$E$20)*MIN('难度参数'!$E$23,1+MAX(0,A677-'难度参数'!$E$21)*'难度参数'!$E$22))*(36+1*7)/(36+7*(D677+1)/2)*E677,0))</x:f>
        <x:v>9837</x:v>
      </x:c>
      <x:c r="Z677" s="119" t="n">
        <x:f>IF(X677=0,0,(X677-IF(1=D677,1,0))*ROUND(Y677*VLOOKUP(INDEX('章节与怪物'!$E$31:$K$37,B677,1),'章节与怪物'!$A$41:$F$44,2,FALSE),0)+IF(1=D677,ROUND(Y677*'难度参数'!$E$28*'章节与怪物'!$E$17,0),0))</x:f>
        <x:v>276237</x:v>
      </x:c>
      <x:c r="AA677" s="119" t="n">
        <x:f>IF(X677=0,0,(X677-IF(1=D677,1,0))*VLOOKUP(INDEX('章节与怪物'!$E$31:$K$37,B677,1),'章节与怪物'!$A$41:$F$44,4,FALSE)+IF(1=D677,'难度参数'!$E$30,0))</x:f>
        <x:v>780</x:v>
      </x:c>
      <x:c r="AB677" s="119" t="n">
        <x:f>IF(2&gt;D677,0,MAX(2,MIN('难度参数'!$E$12,ROUND(('难度参数'!$E$18*POWER(A677,'难度参数'!$E$19)/D677*(0.85+0.3*(2-1)/MAX(1,D677-1))),0)+F677)))</x:f>
        <x:v>41</x:v>
      </x:c>
      <x:c r="AC677" s="119" t="n">
        <x:f>IF(2&gt;D677,0,ROUND(('难度参数'!$E$13*POWER(A677,'难度参数'!$E$20)*MIN('难度参数'!$E$23,1+MAX(0,A677-'难度参数'!$E$21)*'难度参数'!$E$22))*(36+2*7)/(36+7*(D677+1)/2)*E677,0))</x:f>
        <x:v>11438</x:v>
      </x:c>
      <x:c r="AD677" s="119" t="n">
        <x:f>IF(AB677=0,0,(AB677-IF(2=D677,1,0))*ROUND(AC677*VLOOKUP(INDEX('章节与怪物'!$E$31:$K$37,B677,2),'章节与怪物'!$A$41:$F$44,2,FALSE),0)+IF(2=D677,ROUND(AC677*'难度参数'!$E$28*'章节与怪物'!$E$17,0),0))</x:f>
        <x:v>468958</x:v>
      </x:c>
      <x:c r="AE677" s="119" t="n">
        <x:f>IF(AB677=0,0,(AB677-IF(2=D677,1,0))*VLOOKUP(INDEX('章节与怪物'!$E$31:$K$37,B677,2),'章节与怪物'!$A$41:$F$44,4,FALSE)+IF(2=D677,'难度参数'!$E$30,0))</x:f>
        <x:v>738</x:v>
      </x:c>
      <x:c r="AF677" s="119" t="n">
        <x:f>IF(3&gt;D677,0,MAX(2,MIN('难度参数'!$E$12,ROUND(('难度参数'!$E$18*POWER(A677,'难度参数'!$E$19)/D677*(0.85+0.3*(3-1)/MAX(1,D677-1))),0)+F677)))</x:f>
        <x:v>44</x:v>
      </x:c>
      <x:c r="AG677" s="119" t="n">
        <x:f>IF(3&gt;D677,0,ROUND(('难度参数'!$E$13*POWER(A677,'难度参数'!$E$20)*MIN('难度参数'!$E$23,1+MAX(0,A677-'难度参数'!$E$21)*'难度参数'!$E$22))*(36+3*7)/(36+7*(D677+1)/2)*E677,0))</x:f>
        <x:v>13040</x:v>
      </x:c>
      <x:c r="AH677" s="119" t="n">
        <x:f>IF(AF677=0,0,(AF677-IF(3=D677,1,0))*ROUND(AG677*VLOOKUP(INDEX('章节与怪物'!$E$31:$K$37,B677,3),'章节与怪物'!$A$41:$F$44,2,FALSE),0)+IF(3=D677,ROUND(AG677*'难度参数'!$E$28*'章节与怪物'!$E$17,0),0))</x:f>
        <x:v>975392</x:v>
      </x:c>
      <x:c r="AI677" s="119" t="n">
        <x:f>IF(AF677=0,0,(AF677-IF(3=D677,1,0))*VLOOKUP(INDEX('章节与怪物'!$E$31:$K$37,B677,3),'章节与怪物'!$A$41:$F$44,4,FALSE)+IF(3=D677,'难度参数'!$E$30,0))</x:f>
        <x:v>1232</x:v>
      </x:c>
      <x:c r="AJ677" s="119" t="n">
        <x:f>IF(4&gt;D677,0,MAX(2,MIN('难度参数'!$E$12,ROUND(('难度参数'!$E$18*POWER(A677,'难度参数'!$E$19)/D677*(0.85+0.3*(4-1)/MAX(1,D677-1))),0)+F677)))</x:f>
        <x:v>46</x:v>
      </x:c>
      <x:c r="AK677" s="119" t="n">
        <x:f>IF(4&gt;D677,0,ROUND(('难度参数'!$E$13*POWER(A677,'难度参数'!$E$20)*MIN('难度参数'!$E$23,1+MAX(0,A677-'难度参数'!$E$21)*'难度参数'!$E$22))*(36+4*7)/(36+7*(D677+1)/2)*E677,0))</x:f>
        <x:v>14641</x:v>
      </x:c>
      <x:c r="AL677" s="119" t="n">
        <x:f>IF(AJ677=0,0,(AJ677-IF(4=D677,1,0))*ROUND(AK677*VLOOKUP(INDEX('章节与怪物'!$E$31:$K$37,B677,4),'章节与怪物'!$A$41:$F$44,2,FALSE),0)+IF(4=D677,ROUND(AK677*'难度参数'!$E$28*'章节与怪物'!$E$17,0),0))</x:f>
        <x:v>909190</x:v>
      </x:c>
      <x:c r="AM677" s="119" t="n">
        <x:f>IF(AJ677=0,0,(AJ677-IF(4=D677,1,0))*VLOOKUP(INDEX('章节与怪物'!$E$31:$K$37,B677,4),'章节与怪物'!$A$41:$F$44,4,FALSE)+IF(4=D677,'难度参数'!$E$30,0))</x:f>
        <x:v>1564</x:v>
      </x:c>
      <x:c r="AN677" s="119" t="n">
        <x:f>IF(5&gt;D677,0,MAX(2,MIN('难度参数'!$E$12,ROUND(('难度参数'!$E$18*POWER(A677,'难度参数'!$E$19)/D677*(0.85+0.3*(5-1)/MAX(1,D677-1))),0)+F677)))</x:f>
        <x:v>48</x:v>
      </x:c>
      <x:c r="AO677" s="119" t="n">
        <x:f>IF(5&gt;D677,0,ROUND(('难度参数'!$E$13*POWER(A677,'难度参数'!$E$20)*MIN('难度参数'!$E$23,1+MAX(0,A677-'难度参数'!$E$21)*'难度参数'!$E$22))*(36+5*7)/(36+7*(D677+1)/2)*E677,0))</x:f>
        <x:v>16242</x:v>
      </x:c>
      <x:c r="AP677" s="119" t="n">
        <x:f>IF(AN677=0,0,(AN677-IF(5=D677,1,0))*ROUND(AO677*VLOOKUP(INDEX('章节与怪物'!$E$31:$K$37,B677,5),'章节与怪物'!$A$41:$F$44,2,FALSE),0)+IF(5=D677,ROUND(AO677*'难度参数'!$E$28*'章节与怪物'!$E$17,0),0))</x:f>
        <x:v>779616</x:v>
      </x:c>
      <x:c r="AQ677" s="119" t="n">
        <x:f>IF(AN677=0,0,(AN677-IF(5=D677,1,0))*VLOOKUP(INDEX('章节与怪物'!$E$31:$K$37,B677,5),'章节与怪物'!$A$41:$F$44,4,FALSE)+IF(5=D677,'难度参数'!$E$30,0))</x:f>
        <x:v>864</x:v>
      </x:c>
      <x:c r="AR677" s="119" t="n">
        <x:f>IF(6&gt;D677,0,MAX(2,MIN('难度参数'!$E$12,ROUND(('难度参数'!$E$18*POWER(A677,'难度参数'!$E$19)/D677*(0.85+0.3*(6-1)/MAX(1,D677-1))),0)+F677)))</x:f>
        <x:v>51</x:v>
      </x:c>
      <x:c r="AS677" s="119" t="n">
        <x:f>IF(6&gt;D677,0,ROUND(('难度参数'!$E$13*POWER(A677,'难度参数'!$E$20)*MIN('难度参数'!$E$23,1+MAX(0,A677-'难度参数'!$E$21)*'难度参数'!$E$22))*(36+6*7)/(36+7*(D677+1)/2)*E677,0))</x:f>
        <x:v>17844</x:v>
      </x:c>
      <x:c r="AT677" s="119" t="n">
        <x:f>IF(AR677=0,0,(AR677-IF(6=D677,1,0))*ROUND(AS677*VLOOKUP(INDEX('章节与怪物'!$E$31:$K$37,B677,6),'章节与怪物'!$A$41:$F$44,2,FALSE),0)+IF(6=D677,ROUND(AS677*'难度参数'!$E$28*'章节与怪物'!$E$17,0),0))</x:f>
        <x:v>1547085</x:v>
      </x:c>
      <x:c r="AU677" s="119" t="n">
        <x:f>IF(AR677=0,0,(AR677-IF(6=D677,1,0))*VLOOKUP(INDEX('章节与怪物'!$E$31:$K$37,B677,6),'章节与怪物'!$A$41:$F$44,4,FALSE)+IF(6=D677,'难度参数'!$E$30,0))</x:f>
        <x:v>1428</x:v>
      </x:c>
      <x:c r="AV677" s="119" t="n">
        <x:f>IF(7&gt;D677,0,MAX(2,MIN('难度参数'!$E$12,ROUND(('难度参数'!$E$18*POWER(A677,'难度参数'!$E$19)/D677*(0.85+0.3*(7-1)/MAX(1,D677-1))),0)+F677)))</x:f>
        <x:v>53</x:v>
      </x:c>
      <x:c r="AW677" s="119" t="n">
        <x:f>IF(7&gt;D677,0,ROUND(('难度参数'!$E$13*POWER(A677,'难度参数'!$E$20)*MIN('难度参数'!$E$23,1+MAX(0,A677-'难度参数'!$E$21)*'难度参数'!$E$22))*(36+7*7)/(36+7*(D677+1)/2)*E677,0))</x:f>
        <x:v>19445</x:v>
      </x:c>
      <x:c r="AX677" s="119" t="n">
        <x:f>IF(AV677=0,0,(AV677-IF(7=D677,1,0))*ROUND(AW677*VLOOKUP(INDEX('章节与怪物'!$E$31:$K$37,B677,7),'章节与怪物'!$A$41:$F$44,2,FALSE),0)+IF(7=D677,ROUND(AW677*'难度参数'!$E$28*'章节与怪物'!$E$17,0),0))</x:f>
        <x:v>1497278</x:v>
      </x:c>
      <x:c r="AY677" s="119" t="n">
        <x:f>IF(AV677=0,0,(AV677-IF(7=D677,1,0))*VLOOKUP(INDEX('章节与怪物'!$E$31:$K$37,B677,7),'章节与怪物'!$A$41:$F$44,4,FALSE)+IF(7=D677,'难度参数'!$E$30,0))</x:f>
        <x:v>1968</x:v>
      </x:c>
    </x:row>
    <x:row r="678" ht="23" customHeight="1">
      <x:c r="A678" s="119" t="n">
        <x:v>672</x:v>
      </x:c>
      <x:c r="B678" s="119" t="n">
        <x:f>MOD(INT((A678-1)/5),7)+1</x:f>
        <x:v>2</x:v>
      </x:c>
      <x:c r="C678" s="62" t="str">
        <x:f>INDEX('章节与怪物'!$B$31:$B$37,B678)</x:f>
        <x:v>黄沙要塞</x:v>
      </x:c>
      <x:c r="D678" s="119" t="n">
        <x:f>MIN('难度参数'!$E$8,MAX('难度参数'!$E$7,A678))</x:f>
        <x:v>7</x:v>
      </x:c>
      <x:c r="E678" s="106" t="n">
        <x:v>1</x:v>
      </x:c>
      <x:c r="F678" s="106" t="n">
        <x:v>0</x:v>
      </x:c>
      <x:c r="G678" s="106" t="n">
        <x:v>1</x:v>
      </x:c>
      <x:c r="H678" s="119" t="n">
        <x:f>SUM(X678,AB678,AF678,AJ678,AN678,AR678,AV678)</x:f>
        <x:v>322</x:v>
      </x:c>
      <x:c r="I678" s="119" t="n">
        <x:f>SUM(Z678,AD678,AH678,AL678,AP678,AT678,AX678)</x:f>
        <x:v>6460764</x:v>
      </x:c>
      <x:c r="J678" s="119" t="n">
        <x:f>ROUND(INDEX(X678:AY678,1,(D678-1)*4+2)*'难度参数'!$E$28*'章节与怪物'!$E$17,0)</x:f>
        <x:v>132369</x:v>
      </x:c>
      <x:c r="K678" s="119" t="n">
        <x:f>SUM(AA678,AE678,AI678,AM678,AQ678,AU678,AY678)</x:f>
        <x:v>8574</x:v>
      </x:c>
      <x:c r="L678" s="62" t="n">
        <x:f>H678*(ROUNDUP('难度参数'!$E$24/('难度参数'!$E$26*'难度参数'!$E$27),0)*'难度参数'!$E$26)/60</x:f>
        <x:v>4.293333333333334</x:v>
      </x:c>
      <x:c r="M678" s="62" t="n">
        <x:f>L678+D678*('难度参数'!$E$49+'难度参数'!$E$50)/60</x:f>
        <x:v>5.460000000000001</x:v>
      </x:c>
      <x:c r="N678" s="119" t="n">
        <x:f>ROUNDDOWN(('经济参数'!$E$20+A678*'经济参数'!$E$21)*G678,0)</x:f>
        <x:v>13620</x:v>
      </x:c>
      <x:c r="O678" s="119" t="n">
        <x:f>ROUNDDOWN(MIN('经济参数'!$E$24,'经济参数'!$E$22+A678*'经济参数'!$E$23)*G678,0)</x:f>
        <x:v>0</x:v>
      </x:c>
      <x:c r="P678" s="119" t="n">
        <x:f>ROUNDDOWN((IF(A678&gt;='材料与任务'!$E$31,'材料与任务'!$E$32,IF(A678&gt;='材料与任务'!$E$25,'材料与任务'!$E$26,IF(A678&gt;='材料与任务'!$E$19,'材料与任务'!$E$20,IF(A678&gt;='材料与任务'!$E$13,'材料与任务'!$E$14,'材料与任务'!$E$8)))))*G678,0)</x:f>
        <x:v>6</x:v>
      </x:c>
      <x:c r="Q678" s="119" t="n">
        <x:f>ROUNDDOWN((IF(A678&gt;='材料与任务'!$E$31,'材料与任务'!$E$33,IF(A678&gt;='材料与任务'!$E$25,'材料与任务'!$E$27,IF(A678&gt;='材料与任务'!$E$19,'材料与任务'!$E$21,IF(A678&gt;='材料与任务'!$E$13,'材料与任务'!$E$15,'材料与任务'!$E$9)))))*G678,0)</x:f>
        <x:v>3</x:v>
      </x:c>
      <x:c r="R678" s="110" t="n">
        <x:f>'装备掉落'!$B$38</x:f>
        <x:v>0.6872058758851213</x:v>
      </x:c>
      <x:c r="S678" s="119" t="n">
        <x:f>MAX(IF(VLOOKUP(A678,'装备掉落'!$A$29:$H$34,2,TRUE)&gt;0,1,0),IF(VLOOKUP(A678,'装备掉落'!$A$29:$H$34,3,TRUE)&gt;0,2,0),IF(VLOOKUP(A678,'装备掉落'!$A$29:$H$34,4,TRUE)&gt;0,3,0),IF(VLOOKUP(A678,'装备掉落'!$A$29:$H$34,5,TRUE)&gt;0,4,0),IF(VLOOKUP(A678,'装备掉落'!$A$29:$H$34,6,TRUE)&gt;0,5,0),IF(VLOOKUP(A678,'装备掉落'!$A$29:$H$34,7,TRUE)&gt;0,6,0),IF(VLOOKUP(A678,'装备掉落'!$A$29:$H$34,8,TRUE)&gt;0,7,0))</x:f>
        <x:v>7</x:v>
      </x:c>
      <x:c r="T678" s="119" t="n">
        <x:f>MIN(7,S678+'经济参数'!$E$70)</x:f>
        <x:v>7</x:v>
      </x:c>
      <x:c r="U678" s="119" t="n">
        <x:f>MIN(7,S678+'经济参数'!$E$71)</x:f>
        <x:v>7</x:v>
      </x:c>
      <x:c r="V678" s="119" t="n">
        <x:f>IF(H678&gt;=('难度参数'!$E$52),1,0)+IF(H678&gt;=('难度参数'!$E$52+'难度参数'!$E$53),1,0)+IF(H678&gt;=('难度参数'!$E$52+'难度参数'!$E$53+'难度参数'!$E$54),1,0)+IF(H678&gt;=('难度参数'!$E$52+'难度参数'!$E$53+'难度参数'!$E$54+'难度参数'!$E$55),1,0)+IF(H678&gt;=('难度参数'!$E$52+'难度参数'!$E$53+'难度参数'!$E$54+'难度参数'!$E$55+'难度参数'!$E$56),1,0)+IF(H678&gt;=('难度参数'!$E$52+'难度参数'!$E$53+'难度参数'!$E$54+'难度参数'!$E$55+'难度参数'!$E$56+'难度参数'!$E$57),1,0)</x:f>
        <x:v>6</x:v>
      </x:c>
      <x:c r="W678" s="62" t="str">
        <x:f>IF(L678&gt;'难度参数'!$E$51,"仅出怪已超目标","还需实测")</x:f>
        <x:v>仅出怪已超目标</x:v>
      </x:c>
      <x:c r="X678" s="119" t="n">
        <x:f>IF(1&gt;D678,0,MAX(2,MIN('难度参数'!$E$12,ROUND(('难度参数'!$E$18*POWER(A678,'难度参数'!$E$19)/D678*(0.85+0.3*(1-1)/MAX(1,D678-1))),0)+F678)))</x:f>
        <x:v>39</x:v>
      </x:c>
      <x:c r="Y678" s="119" t="n">
        <x:f>IF(1&gt;D678,0,ROUND(('难度参数'!$E$13*POWER(A678,'难度参数'!$E$20)*MIN('难度参数'!$E$23,1+MAX(0,A678-'难度参数'!$E$21)*'难度参数'!$E$22))*(36+1*7)/(36+7*(D678+1)/2)*E678,0))</x:f>
        <x:v>9848</x:v>
      </x:c>
      <x:c r="Z678" s="119" t="n">
        <x:f>IF(X678=0,0,(X678-IF(1=D678,1,0))*ROUND(Y678*VLOOKUP(INDEX('章节与怪物'!$E$31:$K$37,B678,1),'章节与怪物'!$A$41:$F$44,2,FALSE),0)+IF(1=D678,ROUND(Y678*'难度参数'!$E$28*'章节与怪物'!$E$17,0),0))</x:f>
        <x:v>276549</x:v>
      </x:c>
      <x:c r="AA678" s="119" t="n">
        <x:f>IF(X678=0,0,(X678-IF(1=D678,1,0))*VLOOKUP(INDEX('章节与怪物'!$E$31:$K$37,B678,1),'章节与怪物'!$A$41:$F$44,4,FALSE)+IF(1=D678,'难度参数'!$E$30,0))</x:f>
        <x:v>780</x:v>
      </x:c>
      <x:c r="AB678" s="119" t="n">
        <x:f>IF(2&gt;D678,0,MAX(2,MIN('难度参数'!$E$12,ROUND(('难度参数'!$E$18*POWER(A678,'难度参数'!$E$19)/D678*(0.85+0.3*(2-1)/MAX(1,D678-1))),0)+F678)))</x:f>
        <x:v>41</x:v>
      </x:c>
      <x:c r="AC678" s="119" t="n">
        <x:f>IF(2&gt;D678,0,ROUND(('难度参数'!$E$13*POWER(A678,'难度参数'!$E$20)*MIN('难度参数'!$E$23,1+MAX(0,A678-'难度参数'!$E$21)*'难度参数'!$E$22))*(36+2*7)/(36+7*(D678+1)/2)*E678,0))</x:f>
        <x:v>11451</x:v>
      </x:c>
      <x:c r="AD678" s="119" t="n">
        <x:f>IF(AB678=0,0,(AB678-IF(2=D678,1,0))*ROUND(AC678*VLOOKUP(INDEX('章节与怪物'!$E$31:$K$37,B678,2),'章节与怪物'!$A$41:$F$44,2,FALSE),0)+IF(2=D678,ROUND(AC678*'难度参数'!$E$28*'章节与怪物'!$E$17,0),0))</x:f>
        <x:v>469491</x:v>
      </x:c>
      <x:c r="AE678" s="119" t="n">
        <x:f>IF(AB678=0,0,(AB678-IF(2=D678,1,0))*VLOOKUP(INDEX('章节与怪物'!$E$31:$K$37,B678,2),'章节与怪物'!$A$41:$F$44,4,FALSE)+IF(2=D678,'难度参数'!$E$30,0))</x:f>
        <x:v>738</x:v>
      </x:c>
      <x:c r="AF678" s="119" t="n">
        <x:f>IF(3&gt;D678,0,MAX(2,MIN('难度参数'!$E$12,ROUND(('难度参数'!$E$18*POWER(A678,'难度参数'!$E$19)/D678*(0.85+0.3*(3-1)/MAX(1,D678-1))),0)+F678)))</x:f>
        <x:v>44</x:v>
      </x:c>
      <x:c r="AG678" s="119" t="n">
        <x:f>IF(3&gt;D678,0,ROUND(('难度参数'!$E$13*POWER(A678,'难度参数'!$E$20)*MIN('难度参数'!$E$23,1+MAX(0,A678-'难度参数'!$E$21)*'难度参数'!$E$22))*(36+3*7)/(36+7*(D678+1)/2)*E678,0))</x:f>
        <x:v>13054</x:v>
      </x:c>
      <x:c r="AH678" s="119" t="n">
        <x:f>IF(AF678=0,0,(AF678-IF(3=D678,1,0))*ROUND(AG678*VLOOKUP(INDEX('章节与怪物'!$E$31:$K$37,B678,3),'章节与怪物'!$A$41:$F$44,2,FALSE),0)+IF(3=D678,ROUND(AG678*'难度参数'!$E$28*'章节与怪物'!$E$17,0),0))</x:f>
        <x:v>976448</x:v>
      </x:c>
      <x:c r="AI678" s="119" t="n">
        <x:f>IF(AF678=0,0,(AF678-IF(3=D678,1,0))*VLOOKUP(INDEX('章节与怪物'!$E$31:$K$37,B678,3),'章节与怪物'!$A$41:$F$44,4,FALSE)+IF(3=D678,'难度参数'!$E$30,0))</x:f>
        <x:v>1232</x:v>
      </x:c>
      <x:c r="AJ678" s="119" t="n">
        <x:f>IF(4&gt;D678,0,MAX(2,MIN('难度参数'!$E$12,ROUND(('难度参数'!$E$18*POWER(A678,'难度参数'!$E$19)/D678*(0.85+0.3*(4-1)/MAX(1,D678-1))),0)+F678)))</x:f>
        <x:v>46</x:v>
      </x:c>
      <x:c r="AK678" s="119" t="n">
        <x:f>IF(4&gt;D678,0,ROUND(('难度参数'!$E$13*POWER(A678,'难度参数'!$E$20)*MIN('难度参数'!$E$23,1+MAX(0,A678-'难度参数'!$E$21)*'难度参数'!$E$22))*(36+4*7)/(36+7*(D678+1)/2)*E678,0))</x:f>
        <x:v>14657</x:v>
      </x:c>
      <x:c r="AL678" s="119" t="n">
        <x:f>IF(AJ678=0,0,(AJ678-IF(4=D678,1,0))*ROUND(AK678*VLOOKUP(INDEX('章节与怪物'!$E$31:$K$37,B678,4),'章节与怪物'!$A$41:$F$44,2,FALSE),0)+IF(4=D678,ROUND(AK678*'难度参数'!$E$28*'章节与怪物'!$E$17,0),0))</x:f>
        <x:v>910202</x:v>
      </x:c>
      <x:c r="AM678" s="119" t="n">
        <x:f>IF(AJ678=0,0,(AJ678-IF(4=D678,1,0))*VLOOKUP(INDEX('章节与怪物'!$E$31:$K$37,B678,4),'章节与怪物'!$A$41:$F$44,4,FALSE)+IF(4=D678,'难度参数'!$E$30,0))</x:f>
        <x:v>1564</x:v>
      </x:c>
      <x:c r="AN678" s="119" t="n">
        <x:f>IF(5&gt;D678,0,MAX(2,MIN('难度参数'!$E$12,ROUND(('难度参数'!$E$18*POWER(A678,'难度参数'!$E$19)/D678*(0.85+0.3*(5-1)/MAX(1,D678-1))),0)+F678)))</x:f>
        <x:v>48</x:v>
      </x:c>
      <x:c r="AO678" s="119" t="n">
        <x:f>IF(5&gt;D678,0,ROUND(('难度参数'!$E$13*POWER(A678,'难度参数'!$E$20)*MIN('难度参数'!$E$23,1+MAX(0,A678-'难度参数'!$E$21)*'难度参数'!$E$22))*(36+5*7)/(36+7*(D678+1)/2)*E678,0))</x:f>
        <x:v>16260</x:v>
      </x:c>
      <x:c r="AP678" s="119" t="n">
        <x:f>IF(AN678=0,0,(AN678-IF(5=D678,1,0))*ROUND(AO678*VLOOKUP(INDEX('章节与怪物'!$E$31:$K$37,B678,5),'章节与怪物'!$A$41:$F$44,2,FALSE),0)+IF(5=D678,ROUND(AO678*'难度参数'!$E$28*'章节与怪物'!$E$17,0),0))</x:f>
        <x:v>780480</x:v>
      </x:c>
      <x:c r="AQ678" s="119" t="n">
        <x:f>IF(AN678=0,0,(AN678-IF(5=D678,1,0))*VLOOKUP(INDEX('章节与怪物'!$E$31:$K$37,B678,5),'章节与怪物'!$A$41:$F$44,4,FALSE)+IF(5=D678,'难度参数'!$E$30,0))</x:f>
        <x:v>864</x:v>
      </x:c>
      <x:c r="AR678" s="119" t="n">
        <x:f>IF(6&gt;D678,0,MAX(2,MIN('难度参数'!$E$12,ROUND(('难度参数'!$E$18*POWER(A678,'难度参数'!$E$19)/D678*(0.85+0.3*(6-1)/MAX(1,D678-1))),0)+F678)))</x:f>
        <x:v>51</x:v>
      </x:c>
      <x:c r="AS678" s="119" t="n">
        <x:f>IF(6&gt;D678,0,ROUND(('难度参数'!$E$13*POWER(A678,'难度参数'!$E$20)*MIN('难度参数'!$E$23,1+MAX(0,A678-'难度参数'!$E$21)*'难度参数'!$E$22))*(36+6*7)/(36+7*(D678+1)/2)*E678,0))</x:f>
        <x:v>17863</x:v>
      </x:c>
      <x:c r="AT678" s="119" t="n">
        <x:f>IF(AR678=0,0,(AR678-IF(6=D678,1,0))*ROUND(AS678*VLOOKUP(INDEX('章节与怪物'!$E$31:$K$37,B678,6),'章节与怪物'!$A$41:$F$44,2,FALSE),0)+IF(6=D678,ROUND(AS678*'难度参数'!$E$28*'章节与怪物'!$E$17,0),0))</x:f>
        <x:v>1548717</x:v>
      </x:c>
      <x:c r="AU678" s="119" t="n">
        <x:f>IF(AR678=0,0,(AR678-IF(6=D678,1,0))*VLOOKUP(INDEX('章节与怪物'!$E$31:$K$37,B678,6),'章节与怪物'!$A$41:$F$44,4,FALSE)+IF(6=D678,'难度参数'!$E$30,0))</x:f>
        <x:v>1428</x:v>
      </x:c>
      <x:c r="AV678" s="119" t="n">
        <x:f>IF(7&gt;D678,0,MAX(2,MIN('难度参数'!$E$12,ROUND(('难度参数'!$E$18*POWER(A678,'难度参数'!$E$19)/D678*(0.85+0.3*(7-1)/MAX(1,D678-1))),0)+F678)))</x:f>
        <x:v>53</x:v>
      </x:c>
      <x:c r="AW678" s="119" t="n">
        <x:f>IF(7&gt;D678,0,ROUND(('难度参数'!$E$13*POWER(A678,'难度参数'!$E$20)*MIN('难度参数'!$E$23,1+MAX(0,A678-'难度参数'!$E$21)*'难度参数'!$E$22))*(36+7*7)/(36+7*(D678+1)/2)*E678,0))</x:f>
        <x:v>19466</x:v>
      </x:c>
      <x:c r="AX678" s="119" t="n">
        <x:f>IF(AV678=0,0,(AV678-IF(7=D678,1,0))*ROUND(AW678*VLOOKUP(INDEX('章节与怪物'!$E$31:$K$37,B678,7),'章节与怪物'!$A$41:$F$44,2,FALSE),0)+IF(7=D678,ROUND(AW678*'难度参数'!$E$28*'章节与怪物'!$E$17,0),0))</x:f>
        <x:v>1498877</x:v>
      </x:c>
      <x:c r="AY678" s="119" t="n">
        <x:f>IF(AV678=0,0,(AV678-IF(7=D678,1,0))*VLOOKUP(INDEX('章节与怪物'!$E$31:$K$37,B678,7),'章节与怪物'!$A$41:$F$44,4,FALSE)+IF(7=D678,'难度参数'!$E$30,0))</x:f>
        <x:v>1968</x:v>
      </x:c>
    </x:row>
    <x:row r="679" ht="23" customHeight="1">
      <x:c r="A679" s="119" t="n">
        <x:v>673</x:v>
      </x:c>
      <x:c r="B679" s="119" t="n">
        <x:f>MOD(INT((A679-1)/5),7)+1</x:f>
        <x:v>2</x:v>
      </x:c>
      <x:c r="C679" s="62" t="str">
        <x:f>INDEX('章节与怪物'!$B$31:$B$37,B679)</x:f>
        <x:v>黄沙要塞</x:v>
      </x:c>
      <x:c r="D679" s="119" t="n">
        <x:f>MIN('难度参数'!$E$8,MAX('难度参数'!$E$7,A679))</x:f>
        <x:v>7</x:v>
      </x:c>
      <x:c r="E679" s="106" t="n">
        <x:v>1</x:v>
      </x:c>
      <x:c r="F679" s="106" t="n">
        <x:v>0</x:v>
      </x:c>
      <x:c r="G679" s="106" t="n">
        <x:v>1</x:v>
      </x:c>
      <x:c r="H679" s="119" t="n">
        <x:f>SUM(X679,AB679,AF679,AJ679,AN679,AR679,AV679)</x:f>
        <x:v>322</x:v>
      </x:c>
      <x:c r="I679" s="119" t="n">
        <x:f>SUM(Z679,AD679,AH679,AL679,AP679,AT679,AX679)</x:f>
        <x:v>6467644</x:v>
      </x:c>
      <x:c r="J679" s="119" t="n">
        <x:f>ROUND(INDEX(X679:AY679,1,(D679-1)*4+2)*'难度参数'!$E$28*'章节与怪物'!$E$17,0)</x:f>
        <x:v>132512</x:v>
      </x:c>
      <x:c r="K679" s="119" t="n">
        <x:f>SUM(AA679,AE679,AI679,AM679,AQ679,AU679,AY679)</x:f>
        <x:v>8574</x:v>
      </x:c>
      <x:c r="L679" s="62" t="n">
        <x:f>H679*(ROUNDUP('难度参数'!$E$24/('难度参数'!$E$26*'难度参数'!$E$27),0)*'难度参数'!$E$26)/60</x:f>
        <x:v>4.293333333333334</x:v>
      </x:c>
      <x:c r="M679" s="62" t="n">
        <x:f>L679+D679*('难度参数'!$E$49+'难度参数'!$E$50)/60</x:f>
        <x:v>5.460000000000001</x:v>
      </x:c>
      <x:c r="N679" s="119" t="n">
        <x:f>ROUNDDOWN(('经济参数'!$E$20+A679*'经济参数'!$E$21)*G679,0)</x:f>
        <x:v>13640</x:v>
      </x:c>
      <x:c r="O679" s="119" t="n">
        <x:f>ROUNDDOWN(MIN('经济参数'!$E$24,'经济参数'!$E$22+A679*'经济参数'!$E$23)*G679,0)</x:f>
        <x:v>0</x:v>
      </x:c>
      <x:c r="P679" s="119" t="n">
        <x:f>ROUNDDOWN((IF(A679&gt;='材料与任务'!$E$31,'材料与任务'!$E$32,IF(A679&gt;='材料与任务'!$E$25,'材料与任务'!$E$26,IF(A679&gt;='材料与任务'!$E$19,'材料与任务'!$E$20,IF(A679&gt;='材料与任务'!$E$13,'材料与任务'!$E$14,'材料与任务'!$E$8)))))*G679,0)</x:f>
        <x:v>6</x:v>
      </x:c>
      <x:c r="Q679" s="119" t="n">
        <x:f>ROUNDDOWN((IF(A679&gt;='材料与任务'!$E$31,'材料与任务'!$E$33,IF(A679&gt;='材料与任务'!$E$25,'材料与任务'!$E$27,IF(A679&gt;='材料与任务'!$E$19,'材料与任务'!$E$21,IF(A679&gt;='材料与任务'!$E$13,'材料与任务'!$E$15,'材料与任务'!$E$9)))))*G679,0)</x:f>
        <x:v>3</x:v>
      </x:c>
      <x:c r="R679" s="110" t="n">
        <x:f>'装备掉落'!$B$38</x:f>
        <x:v>0.6872058758851213</x:v>
      </x:c>
      <x:c r="S679" s="119" t="n">
        <x:f>MAX(IF(VLOOKUP(A679,'装备掉落'!$A$29:$H$34,2,TRUE)&gt;0,1,0),IF(VLOOKUP(A679,'装备掉落'!$A$29:$H$34,3,TRUE)&gt;0,2,0),IF(VLOOKUP(A679,'装备掉落'!$A$29:$H$34,4,TRUE)&gt;0,3,0),IF(VLOOKUP(A679,'装备掉落'!$A$29:$H$34,5,TRUE)&gt;0,4,0),IF(VLOOKUP(A679,'装备掉落'!$A$29:$H$34,6,TRUE)&gt;0,5,0),IF(VLOOKUP(A679,'装备掉落'!$A$29:$H$34,7,TRUE)&gt;0,6,0),IF(VLOOKUP(A679,'装备掉落'!$A$29:$H$34,8,TRUE)&gt;0,7,0))</x:f>
        <x:v>7</x:v>
      </x:c>
      <x:c r="T679" s="119" t="n">
        <x:f>MIN(7,S679+'经济参数'!$E$70)</x:f>
        <x:v>7</x:v>
      </x:c>
      <x:c r="U679" s="119" t="n">
        <x:f>MIN(7,S679+'经济参数'!$E$71)</x:f>
        <x:v>7</x:v>
      </x:c>
      <x:c r="V679" s="119" t="n">
        <x:f>IF(H679&gt;=('难度参数'!$E$52),1,0)+IF(H679&gt;=('难度参数'!$E$52+'难度参数'!$E$53),1,0)+IF(H679&gt;=('难度参数'!$E$52+'难度参数'!$E$53+'难度参数'!$E$54),1,0)+IF(H679&gt;=('难度参数'!$E$52+'难度参数'!$E$53+'难度参数'!$E$54+'难度参数'!$E$55),1,0)+IF(H679&gt;=('难度参数'!$E$52+'难度参数'!$E$53+'难度参数'!$E$54+'难度参数'!$E$55+'难度参数'!$E$56),1,0)+IF(H679&gt;=('难度参数'!$E$52+'难度参数'!$E$53+'难度参数'!$E$54+'难度参数'!$E$55+'难度参数'!$E$56+'难度参数'!$E$57),1,0)</x:f>
        <x:v>6</x:v>
      </x:c>
      <x:c r="W679" s="62" t="str">
        <x:f>IF(L679&gt;'难度参数'!$E$51,"仅出怪已超目标","还需实测")</x:f>
        <x:v>仅出怪已超目标</x:v>
      </x:c>
      <x:c r="X679" s="119" t="n">
        <x:f>IF(1&gt;D679,0,MAX(2,MIN('难度参数'!$E$12,ROUND(('难度参数'!$E$18*POWER(A679,'难度参数'!$E$19)/D679*(0.85+0.3*(1-1)/MAX(1,D679-1))),0)+F679)))</x:f>
        <x:v>39</x:v>
      </x:c>
      <x:c r="Y679" s="119" t="n">
        <x:f>IF(1&gt;D679,0,ROUND(('难度参数'!$E$13*POWER(A679,'难度参数'!$E$20)*MIN('难度参数'!$E$23,1+MAX(0,A679-'难度参数'!$E$21)*'难度参数'!$E$22))*(36+1*7)/(36+7*(D679+1)/2)*E679,0))</x:f>
        <x:v>9858</x:v>
      </x:c>
      <x:c r="Z679" s="119" t="n">
        <x:f>IF(X679=0,0,(X679-IF(1=D679,1,0))*ROUND(Y679*VLOOKUP(INDEX('章节与怪物'!$E$31:$K$37,B679,1),'章节与怪物'!$A$41:$F$44,2,FALSE),0)+IF(1=D679,ROUND(Y679*'难度参数'!$E$28*'章节与怪物'!$E$17,0),0))</x:f>
        <x:v>276822</x:v>
      </x:c>
      <x:c r="AA679" s="119" t="n">
        <x:f>IF(X679=0,0,(X679-IF(1=D679,1,0))*VLOOKUP(INDEX('章节与怪物'!$E$31:$K$37,B679,1),'章节与怪物'!$A$41:$F$44,4,FALSE)+IF(1=D679,'难度参数'!$E$30,0))</x:f>
        <x:v>780</x:v>
      </x:c>
      <x:c r="AB679" s="119" t="n">
        <x:f>IF(2&gt;D679,0,MAX(2,MIN('难度参数'!$E$12,ROUND(('难度参数'!$E$18*POWER(A679,'难度参数'!$E$19)/D679*(0.85+0.3*(2-1)/MAX(1,D679-1))),0)+F679)))</x:f>
        <x:v>41</x:v>
      </x:c>
      <x:c r="AC679" s="119" t="n">
        <x:f>IF(2&gt;D679,0,ROUND(('难度参数'!$E$13*POWER(A679,'难度参数'!$E$20)*MIN('难度参数'!$E$23,1+MAX(0,A679-'难度参数'!$E$21)*'难度参数'!$E$22))*(36+2*7)/(36+7*(D679+1)/2)*E679,0))</x:f>
        <x:v>11463</x:v>
      </x:c>
      <x:c r="AD679" s="119" t="n">
        <x:f>IF(AB679=0,0,(AB679-IF(2=D679,1,0))*ROUND(AC679*VLOOKUP(INDEX('章节与怪物'!$E$31:$K$37,B679,2),'章节与怪物'!$A$41:$F$44,2,FALSE),0)+IF(2=D679,ROUND(AC679*'难度参数'!$E$28*'章节与怪物'!$E$17,0),0))</x:f>
        <x:v>469983</x:v>
      </x:c>
      <x:c r="AE679" s="119" t="n">
        <x:f>IF(AB679=0,0,(AB679-IF(2=D679,1,0))*VLOOKUP(INDEX('章节与怪物'!$E$31:$K$37,B679,2),'章节与怪物'!$A$41:$F$44,4,FALSE)+IF(2=D679,'难度参数'!$E$30,0))</x:f>
        <x:v>738</x:v>
      </x:c>
      <x:c r="AF679" s="119" t="n">
        <x:f>IF(3&gt;D679,0,MAX(2,MIN('难度参数'!$E$12,ROUND(('难度参数'!$E$18*POWER(A679,'难度参数'!$E$19)/D679*(0.85+0.3*(3-1)/MAX(1,D679-1))),0)+F679)))</x:f>
        <x:v>44</x:v>
      </x:c>
      <x:c r="AG679" s="119" t="n">
        <x:f>IF(3&gt;D679,0,ROUND(('难度参数'!$E$13*POWER(A679,'难度参数'!$E$20)*MIN('难度参数'!$E$23,1+MAX(0,A679-'难度参数'!$E$21)*'难度参数'!$E$22))*(36+3*7)/(36+7*(D679+1)/2)*E679,0))</x:f>
        <x:v>13068</x:v>
      </x:c>
      <x:c r="AH679" s="119" t="n">
        <x:f>IF(AF679=0,0,(AF679-IF(3=D679,1,0))*ROUND(AG679*VLOOKUP(INDEX('章节与怪物'!$E$31:$K$37,B679,3),'章节与怪物'!$A$41:$F$44,2,FALSE),0)+IF(3=D679,ROUND(AG679*'难度参数'!$E$28*'章节与怪物'!$E$17,0),0))</x:f>
        <x:v>977504</x:v>
      </x:c>
      <x:c r="AI679" s="119" t="n">
        <x:f>IF(AF679=0,0,(AF679-IF(3=D679,1,0))*VLOOKUP(INDEX('章节与怪物'!$E$31:$K$37,B679,3),'章节与怪物'!$A$41:$F$44,4,FALSE)+IF(3=D679,'难度参数'!$E$30,0))</x:f>
        <x:v>1232</x:v>
      </x:c>
      <x:c r="AJ679" s="119" t="n">
        <x:f>IF(4&gt;D679,0,MAX(2,MIN('难度参数'!$E$12,ROUND(('难度参数'!$E$18*POWER(A679,'难度参数'!$E$19)/D679*(0.85+0.3*(4-1)/MAX(1,D679-1))),0)+F679)))</x:f>
        <x:v>46</x:v>
      </x:c>
      <x:c r="AK679" s="119" t="n">
        <x:f>IF(4&gt;D679,0,ROUND(('难度参数'!$E$13*POWER(A679,'难度参数'!$E$20)*MIN('难度参数'!$E$23,1+MAX(0,A679-'难度参数'!$E$21)*'难度参数'!$E$22))*(36+4*7)/(36+7*(D679+1)/2)*E679,0))</x:f>
        <x:v>14673</x:v>
      </x:c>
      <x:c r="AL679" s="119" t="n">
        <x:f>IF(AJ679=0,0,(AJ679-IF(4=D679,1,0))*ROUND(AK679*VLOOKUP(INDEX('章节与怪物'!$E$31:$K$37,B679,4),'章节与怪物'!$A$41:$F$44,2,FALSE),0)+IF(4=D679,ROUND(AK679*'难度参数'!$E$28*'章节与怪物'!$E$17,0),0))</x:f>
        <x:v>911214</x:v>
      </x:c>
      <x:c r="AM679" s="119" t="n">
        <x:f>IF(AJ679=0,0,(AJ679-IF(4=D679,1,0))*VLOOKUP(INDEX('章节与怪物'!$E$31:$K$37,B679,4),'章节与怪物'!$A$41:$F$44,4,FALSE)+IF(4=D679,'难度参数'!$E$30,0))</x:f>
        <x:v>1564</x:v>
      </x:c>
      <x:c r="AN679" s="119" t="n">
        <x:f>IF(5&gt;D679,0,MAX(2,MIN('难度参数'!$E$12,ROUND(('难度参数'!$E$18*POWER(A679,'难度参数'!$E$19)/D679*(0.85+0.3*(5-1)/MAX(1,D679-1))),0)+F679)))</x:f>
        <x:v>48</x:v>
      </x:c>
      <x:c r="AO679" s="119" t="n">
        <x:f>IF(5&gt;D679,0,ROUND(('难度参数'!$E$13*POWER(A679,'难度参数'!$E$20)*MIN('难度参数'!$E$23,1+MAX(0,A679-'难度参数'!$E$21)*'难度参数'!$E$22))*(36+5*7)/(36+7*(D679+1)/2)*E679,0))</x:f>
        <x:v>16277</x:v>
      </x:c>
      <x:c r="AP679" s="119" t="n">
        <x:f>IF(AN679=0,0,(AN679-IF(5=D679,1,0))*ROUND(AO679*VLOOKUP(INDEX('章节与怪物'!$E$31:$K$37,B679,5),'章节与怪物'!$A$41:$F$44,2,FALSE),0)+IF(5=D679,ROUND(AO679*'难度参数'!$E$28*'章节与怪物'!$E$17,0),0))</x:f>
        <x:v>781296</x:v>
      </x:c>
      <x:c r="AQ679" s="119" t="n">
        <x:f>IF(AN679=0,0,(AN679-IF(5=D679,1,0))*VLOOKUP(INDEX('章节与怪物'!$E$31:$K$37,B679,5),'章节与怪物'!$A$41:$F$44,4,FALSE)+IF(5=D679,'难度参数'!$E$30,0))</x:f>
        <x:v>864</x:v>
      </x:c>
      <x:c r="AR679" s="119" t="n">
        <x:f>IF(6&gt;D679,0,MAX(2,MIN('难度参数'!$E$12,ROUND(('难度参数'!$E$18*POWER(A679,'难度参数'!$E$19)/D679*(0.85+0.3*(6-1)/MAX(1,D679-1))),0)+F679)))</x:f>
        <x:v>51</x:v>
      </x:c>
      <x:c r="AS679" s="119" t="n">
        <x:f>IF(6&gt;D679,0,ROUND(('难度参数'!$E$13*POWER(A679,'难度参数'!$E$20)*MIN('难度参数'!$E$23,1+MAX(0,A679-'难度参数'!$E$21)*'难度参数'!$E$22))*(36+6*7)/(36+7*(D679+1)/2)*E679,0))</x:f>
        <x:v>17882</x:v>
      </x:c>
      <x:c r="AT679" s="119" t="n">
        <x:f>IF(AR679=0,0,(AR679-IF(6=D679,1,0))*ROUND(AS679*VLOOKUP(INDEX('章节与怪物'!$E$31:$K$37,B679,6),'章节与怪物'!$A$41:$F$44,2,FALSE),0)+IF(6=D679,ROUND(AS679*'难度参数'!$E$28*'章节与怪物'!$E$17,0),0))</x:f>
        <x:v>1550349</x:v>
      </x:c>
      <x:c r="AU679" s="119" t="n">
        <x:f>IF(AR679=0,0,(AR679-IF(6=D679,1,0))*VLOOKUP(INDEX('章节与怪物'!$E$31:$K$37,B679,6),'章节与怪物'!$A$41:$F$44,4,FALSE)+IF(6=D679,'难度参数'!$E$30,0))</x:f>
        <x:v>1428</x:v>
      </x:c>
      <x:c r="AV679" s="119" t="n">
        <x:f>IF(7&gt;D679,0,MAX(2,MIN('难度参数'!$E$12,ROUND(('难度参数'!$E$18*POWER(A679,'难度参数'!$E$19)/D679*(0.85+0.3*(7-1)/MAX(1,D679-1))),0)+F679)))</x:f>
        <x:v>53</x:v>
      </x:c>
      <x:c r="AW679" s="119" t="n">
        <x:f>IF(7&gt;D679,0,ROUND(('难度参数'!$E$13*POWER(A679,'难度参数'!$E$20)*MIN('难度参数'!$E$23,1+MAX(0,A679-'难度参数'!$E$21)*'难度参数'!$E$22))*(36+7*7)/(36+7*(D679+1)/2)*E679,0))</x:f>
        <x:v>19487</x:v>
      </x:c>
      <x:c r="AX679" s="119" t="n">
        <x:f>IF(AV679=0,0,(AV679-IF(7=D679,1,0))*ROUND(AW679*VLOOKUP(INDEX('章节与怪物'!$E$31:$K$37,B679,7),'章节与怪物'!$A$41:$F$44,2,FALSE),0)+IF(7=D679,ROUND(AW679*'难度参数'!$E$28*'章节与怪物'!$E$17,0),0))</x:f>
        <x:v>1500476</x:v>
      </x:c>
      <x:c r="AY679" s="119" t="n">
        <x:f>IF(AV679=0,0,(AV679-IF(7=D679,1,0))*VLOOKUP(INDEX('章节与怪物'!$E$31:$K$37,B679,7),'章节与怪物'!$A$41:$F$44,4,FALSE)+IF(7=D679,'难度参数'!$E$30,0))</x:f>
        <x:v>1968</x:v>
      </x:c>
    </x:row>
    <x:row r="680" ht="23" customHeight="1">
      <x:c r="A680" s="119" t="n">
        <x:v>674</x:v>
      </x:c>
      <x:c r="B680" s="119" t="n">
        <x:f>MOD(INT((A680-1)/5),7)+1</x:f>
        <x:v>2</x:v>
      </x:c>
      <x:c r="C680" s="62" t="str">
        <x:f>INDEX('章节与怪物'!$B$31:$B$37,B680)</x:f>
        <x:v>黄沙要塞</x:v>
      </x:c>
      <x:c r="D680" s="119" t="n">
        <x:f>MIN('难度参数'!$E$8,MAX('难度参数'!$E$7,A680))</x:f>
        <x:v>7</x:v>
      </x:c>
      <x:c r="E680" s="106" t="n">
        <x:v>1</x:v>
      </x:c>
      <x:c r="F680" s="106" t="n">
        <x:v>0</x:v>
      </x:c>
      <x:c r="G680" s="106" t="n">
        <x:v>1</x:v>
      </x:c>
      <x:c r="H680" s="119" t="n">
        <x:f>SUM(X680,AB680,AF680,AJ680,AN680,AR680,AV680)</x:f>
        <x:v>322</x:v>
      </x:c>
      <x:c r="I680" s="119" t="n">
        <x:f>SUM(Z680,AD680,AH680,AL680,AP680,AT680,AX680)</x:f>
        <x:v>6474577</x:v>
      </x:c>
      <x:c r="J680" s="119" t="n">
        <x:f>ROUND(INDEX(X680:AY680,1,(D680-1)*4+2)*'难度参数'!$E$28*'章节与怪物'!$E$17,0)</x:f>
        <x:v>132654</x:v>
      </x:c>
      <x:c r="K680" s="119" t="n">
        <x:f>SUM(AA680,AE680,AI680,AM680,AQ680,AU680,AY680)</x:f>
        <x:v>8574</x:v>
      </x:c>
      <x:c r="L680" s="62" t="n">
        <x:f>H680*(ROUNDUP('难度参数'!$E$24/('难度参数'!$E$26*'难度参数'!$E$27),0)*'难度参数'!$E$26)/60</x:f>
        <x:v>4.293333333333334</x:v>
      </x:c>
      <x:c r="M680" s="62" t="n">
        <x:f>L680+D680*('难度参数'!$E$49+'难度参数'!$E$50)/60</x:f>
        <x:v>5.460000000000001</x:v>
      </x:c>
      <x:c r="N680" s="119" t="n">
        <x:f>ROUNDDOWN(('经济参数'!$E$20+A680*'经济参数'!$E$21)*G680,0)</x:f>
        <x:v>13660</x:v>
      </x:c>
      <x:c r="O680" s="119" t="n">
        <x:f>ROUNDDOWN(MIN('经济参数'!$E$24,'经济参数'!$E$22+A680*'经济参数'!$E$23)*G680,0)</x:f>
        <x:v>0</x:v>
      </x:c>
      <x:c r="P680" s="119" t="n">
        <x:f>ROUNDDOWN((IF(A680&gt;='材料与任务'!$E$31,'材料与任务'!$E$32,IF(A680&gt;='材料与任务'!$E$25,'材料与任务'!$E$26,IF(A680&gt;='材料与任务'!$E$19,'材料与任务'!$E$20,IF(A680&gt;='材料与任务'!$E$13,'材料与任务'!$E$14,'材料与任务'!$E$8)))))*G680,0)</x:f>
        <x:v>6</x:v>
      </x:c>
      <x:c r="Q680" s="119" t="n">
        <x:f>ROUNDDOWN((IF(A680&gt;='材料与任务'!$E$31,'材料与任务'!$E$33,IF(A680&gt;='材料与任务'!$E$25,'材料与任务'!$E$27,IF(A680&gt;='材料与任务'!$E$19,'材料与任务'!$E$21,IF(A680&gt;='材料与任务'!$E$13,'材料与任务'!$E$15,'材料与任务'!$E$9)))))*G680,0)</x:f>
        <x:v>3</x:v>
      </x:c>
      <x:c r="R680" s="110" t="n">
        <x:f>'装备掉落'!$B$38</x:f>
        <x:v>0.6872058758851213</x:v>
      </x:c>
      <x:c r="S680" s="119" t="n">
        <x:f>MAX(IF(VLOOKUP(A680,'装备掉落'!$A$29:$H$34,2,TRUE)&gt;0,1,0),IF(VLOOKUP(A680,'装备掉落'!$A$29:$H$34,3,TRUE)&gt;0,2,0),IF(VLOOKUP(A680,'装备掉落'!$A$29:$H$34,4,TRUE)&gt;0,3,0),IF(VLOOKUP(A680,'装备掉落'!$A$29:$H$34,5,TRUE)&gt;0,4,0),IF(VLOOKUP(A680,'装备掉落'!$A$29:$H$34,6,TRUE)&gt;0,5,0),IF(VLOOKUP(A680,'装备掉落'!$A$29:$H$34,7,TRUE)&gt;0,6,0),IF(VLOOKUP(A680,'装备掉落'!$A$29:$H$34,8,TRUE)&gt;0,7,0))</x:f>
        <x:v>7</x:v>
      </x:c>
      <x:c r="T680" s="119" t="n">
        <x:f>MIN(7,S680+'经济参数'!$E$70)</x:f>
        <x:v>7</x:v>
      </x:c>
      <x:c r="U680" s="119" t="n">
        <x:f>MIN(7,S680+'经济参数'!$E$71)</x:f>
        <x:v>7</x:v>
      </x:c>
      <x:c r="V680" s="119" t="n">
        <x:f>IF(H680&gt;=('难度参数'!$E$52),1,0)+IF(H680&gt;=('难度参数'!$E$52+'难度参数'!$E$53),1,0)+IF(H680&gt;=('难度参数'!$E$52+'难度参数'!$E$53+'难度参数'!$E$54),1,0)+IF(H680&gt;=('难度参数'!$E$52+'难度参数'!$E$53+'难度参数'!$E$54+'难度参数'!$E$55),1,0)+IF(H680&gt;=('难度参数'!$E$52+'难度参数'!$E$53+'难度参数'!$E$54+'难度参数'!$E$55+'难度参数'!$E$56),1,0)+IF(H680&gt;=('难度参数'!$E$52+'难度参数'!$E$53+'难度参数'!$E$54+'难度参数'!$E$55+'难度参数'!$E$56+'难度参数'!$E$57),1,0)</x:f>
        <x:v>6</x:v>
      </x:c>
      <x:c r="W680" s="62" t="str">
        <x:f>IF(L680&gt;'难度参数'!$E$51,"仅出怪已超目标","还需实测")</x:f>
        <x:v>仅出怪已超目标</x:v>
      </x:c>
      <x:c r="X680" s="119" t="n">
        <x:f>IF(1&gt;D680,0,MAX(2,MIN('难度参数'!$E$12,ROUND(('难度参数'!$E$18*POWER(A680,'难度参数'!$E$19)/D680*(0.85+0.3*(1-1)/MAX(1,D680-1))),0)+F680)))</x:f>
        <x:v>39</x:v>
      </x:c>
      <x:c r="Y680" s="119" t="n">
        <x:f>IF(1&gt;D680,0,ROUND(('难度参数'!$E$13*POWER(A680,'难度参数'!$E$20)*MIN('难度参数'!$E$23,1+MAX(0,A680-'难度参数'!$E$21)*'难度参数'!$E$22))*(36+1*7)/(36+7*(D680+1)/2)*E680,0))</x:f>
        <x:v>9869</x:v>
      </x:c>
      <x:c r="Z680" s="119" t="n">
        <x:f>IF(X680=0,0,(X680-IF(1=D680,1,0))*ROUND(Y680*VLOOKUP(INDEX('章节与怪物'!$E$31:$K$37,B680,1),'章节与怪物'!$A$41:$F$44,2,FALSE),0)+IF(1=D680,ROUND(Y680*'难度参数'!$E$28*'章节与怪物'!$E$17,0),0))</x:f>
        <x:v>277134</x:v>
      </x:c>
      <x:c r="AA680" s="119" t="n">
        <x:f>IF(X680=0,0,(X680-IF(1=D680,1,0))*VLOOKUP(INDEX('章节与怪物'!$E$31:$K$37,B680,1),'章节与怪物'!$A$41:$F$44,4,FALSE)+IF(1=D680,'难度参数'!$E$30,0))</x:f>
        <x:v>780</x:v>
      </x:c>
      <x:c r="AB680" s="119" t="n">
        <x:f>IF(2&gt;D680,0,MAX(2,MIN('难度参数'!$E$12,ROUND(('难度参数'!$E$18*POWER(A680,'难度参数'!$E$19)/D680*(0.85+0.3*(2-1)/MAX(1,D680-1))),0)+F680)))</x:f>
        <x:v>41</x:v>
      </x:c>
      <x:c r="AC680" s="119" t="n">
        <x:f>IF(2&gt;D680,0,ROUND(('难度参数'!$E$13*POWER(A680,'难度参数'!$E$20)*MIN('难度参数'!$E$23,1+MAX(0,A680-'难度参数'!$E$21)*'难度参数'!$E$22))*(36+2*7)/(36+7*(D680+1)/2)*E680,0))</x:f>
        <x:v>11475</x:v>
      </x:c>
      <x:c r="AD680" s="119" t="n">
        <x:f>IF(AB680=0,0,(AB680-IF(2=D680,1,0))*ROUND(AC680*VLOOKUP(INDEX('章节与怪物'!$E$31:$K$37,B680,2),'章节与怪物'!$A$41:$F$44,2,FALSE),0)+IF(2=D680,ROUND(AC680*'难度参数'!$E$28*'章节与怪物'!$E$17,0),0))</x:f>
        <x:v>470475</x:v>
      </x:c>
      <x:c r="AE680" s="119" t="n">
        <x:f>IF(AB680=0,0,(AB680-IF(2=D680,1,0))*VLOOKUP(INDEX('章节与怪物'!$E$31:$K$37,B680,2),'章节与怪物'!$A$41:$F$44,4,FALSE)+IF(2=D680,'难度参数'!$E$30,0))</x:f>
        <x:v>738</x:v>
      </x:c>
      <x:c r="AF680" s="119" t="n">
        <x:f>IF(3&gt;D680,0,MAX(2,MIN('难度参数'!$E$12,ROUND(('难度参数'!$E$18*POWER(A680,'难度参数'!$E$19)/D680*(0.85+0.3*(3-1)/MAX(1,D680-1))),0)+F680)))</x:f>
        <x:v>44</x:v>
      </x:c>
      <x:c r="AG680" s="119" t="n">
        <x:f>IF(3&gt;D680,0,ROUND(('难度参数'!$E$13*POWER(A680,'难度参数'!$E$20)*MIN('难度参数'!$E$23,1+MAX(0,A680-'难度参数'!$E$21)*'难度参数'!$E$22))*(36+3*7)/(36+7*(D680+1)/2)*E680,0))</x:f>
        <x:v>13082</x:v>
      </x:c>
      <x:c r="AH680" s="119" t="n">
        <x:f>IF(AF680=0,0,(AF680-IF(3=D680,1,0))*ROUND(AG680*VLOOKUP(INDEX('章节与怪物'!$E$31:$K$37,B680,3),'章节与怪物'!$A$41:$F$44,2,FALSE),0)+IF(3=D680,ROUND(AG680*'难度参数'!$E$28*'章节与怪物'!$E$17,0),0))</x:f>
        <x:v>978516</x:v>
      </x:c>
      <x:c r="AI680" s="119" t="n">
        <x:f>IF(AF680=0,0,(AF680-IF(3=D680,1,0))*VLOOKUP(INDEX('章节与怪物'!$E$31:$K$37,B680,3),'章节与怪物'!$A$41:$F$44,4,FALSE)+IF(3=D680,'难度参数'!$E$30,0))</x:f>
        <x:v>1232</x:v>
      </x:c>
      <x:c r="AJ680" s="119" t="n">
        <x:f>IF(4&gt;D680,0,MAX(2,MIN('难度参数'!$E$12,ROUND(('难度参数'!$E$18*POWER(A680,'难度参数'!$E$19)/D680*(0.85+0.3*(4-1)/MAX(1,D680-1))),0)+F680)))</x:f>
        <x:v>46</x:v>
      </x:c>
      <x:c r="AK680" s="119" t="n">
        <x:f>IF(4&gt;D680,0,ROUND(('难度参数'!$E$13*POWER(A680,'难度参数'!$E$20)*MIN('难度参数'!$E$23,1+MAX(0,A680-'难度参数'!$E$21)*'难度参数'!$E$22))*(36+4*7)/(36+7*(D680+1)/2)*E680,0))</x:f>
        <x:v>14688</x:v>
      </x:c>
      <x:c r="AL680" s="119" t="n">
        <x:f>IF(AJ680=0,0,(AJ680-IF(4=D680,1,0))*ROUND(AK680*VLOOKUP(INDEX('章节与怪物'!$E$31:$K$37,B680,4),'章节与怪物'!$A$41:$F$44,2,FALSE),0)+IF(4=D680,ROUND(AK680*'难度参数'!$E$28*'章节与怪物'!$E$17,0),0))</x:f>
        <x:v>912134</x:v>
      </x:c>
      <x:c r="AM680" s="119" t="n">
        <x:f>IF(AJ680=0,0,(AJ680-IF(4=D680,1,0))*VLOOKUP(INDEX('章节与怪物'!$E$31:$K$37,B680,4),'章节与怪物'!$A$41:$F$44,4,FALSE)+IF(4=D680,'难度参数'!$E$30,0))</x:f>
        <x:v>1564</x:v>
      </x:c>
      <x:c r="AN680" s="119" t="n">
        <x:f>IF(5&gt;D680,0,MAX(2,MIN('难度参数'!$E$12,ROUND(('难度参数'!$E$18*POWER(A680,'难度参数'!$E$19)/D680*(0.85+0.3*(5-1)/MAX(1,D680-1))),0)+F680)))</x:f>
        <x:v>48</x:v>
      </x:c>
      <x:c r="AO680" s="119" t="n">
        <x:f>IF(5&gt;D680,0,ROUND(('难度参数'!$E$13*POWER(A680,'难度参数'!$E$20)*MIN('难度参数'!$E$23,1+MAX(0,A680-'难度参数'!$E$21)*'难度参数'!$E$22))*(36+5*7)/(36+7*(D680+1)/2)*E680,0))</x:f>
        <x:v>16295</x:v>
      </x:c>
      <x:c r="AP680" s="119" t="n">
        <x:f>IF(AN680=0,0,(AN680-IF(5=D680,1,0))*ROUND(AO680*VLOOKUP(INDEX('章节与怪物'!$E$31:$K$37,B680,5),'章节与怪物'!$A$41:$F$44,2,FALSE),0)+IF(5=D680,ROUND(AO680*'难度参数'!$E$28*'章节与怪物'!$E$17,0),0))</x:f>
        <x:v>782160</x:v>
      </x:c>
      <x:c r="AQ680" s="119" t="n">
        <x:f>IF(AN680=0,0,(AN680-IF(5=D680,1,0))*VLOOKUP(INDEX('章节与怪物'!$E$31:$K$37,B680,5),'章节与怪物'!$A$41:$F$44,4,FALSE)+IF(5=D680,'难度参数'!$E$30,0))</x:f>
        <x:v>864</x:v>
      </x:c>
      <x:c r="AR680" s="119" t="n">
        <x:f>IF(6&gt;D680,0,MAX(2,MIN('难度参数'!$E$12,ROUND(('难度参数'!$E$18*POWER(A680,'难度参数'!$E$19)/D680*(0.85+0.3*(6-1)/MAX(1,D680-1))),0)+F680)))</x:f>
        <x:v>51</x:v>
      </x:c>
      <x:c r="AS680" s="119" t="n">
        <x:f>IF(6&gt;D680,0,ROUND(('难度参数'!$E$13*POWER(A680,'难度参数'!$E$20)*MIN('难度参数'!$E$23,1+MAX(0,A680-'难度参数'!$E$21)*'难度参数'!$E$22))*(36+6*7)/(36+7*(D680+1)/2)*E680,0))</x:f>
        <x:v>17901</x:v>
      </x:c>
      <x:c r="AT680" s="119" t="n">
        <x:f>IF(AR680=0,0,(AR680-IF(6=D680,1,0))*ROUND(AS680*VLOOKUP(INDEX('章节与怪物'!$E$31:$K$37,B680,6),'章节与怪物'!$A$41:$F$44,2,FALSE),0)+IF(6=D680,ROUND(AS680*'难度参数'!$E$28*'章节与怪物'!$E$17,0),0))</x:f>
        <x:v>1552032</x:v>
      </x:c>
      <x:c r="AU680" s="119" t="n">
        <x:f>IF(AR680=0,0,(AR680-IF(6=D680,1,0))*VLOOKUP(INDEX('章节与怪物'!$E$31:$K$37,B680,6),'章节与怪物'!$A$41:$F$44,4,FALSE)+IF(6=D680,'难度参数'!$E$30,0))</x:f>
        <x:v>1428</x:v>
      </x:c>
      <x:c r="AV680" s="119" t="n">
        <x:f>IF(7&gt;D680,0,MAX(2,MIN('难度参数'!$E$12,ROUND(('难度参数'!$E$18*POWER(A680,'难度参数'!$E$19)/D680*(0.85+0.3*(7-1)/MAX(1,D680-1))),0)+F680)))</x:f>
        <x:v>53</x:v>
      </x:c>
      <x:c r="AW680" s="119" t="n">
        <x:f>IF(7&gt;D680,0,ROUND(('难度参数'!$E$13*POWER(A680,'难度参数'!$E$20)*MIN('难度参数'!$E$23,1+MAX(0,A680-'难度参数'!$E$21)*'难度参数'!$E$22))*(36+7*7)/(36+7*(D680+1)/2)*E680,0))</x:f>
        <x:v>19508</x:v>
      </x:c>
      <x:c r="AX680" s="119" t="n">
        <x:f>IF(AV680=0,0,(AV680-IF(7=D680,1,0))*ROUND(AW680*VLOOKUP(INDEX('章节与怪物'!$E$31:$K$37,B680,7),'章节与怪物'!$A$41:$F$44,2,FALSE),0)+IF(7=D680,ROUND(AW680*'难度参数'!$E$28*'章节与怪物'!$E$17,0),0))</x:f>
        <x:v>1502126</x:v>
      </x:c>
      <x:c r="AY680" s="119" t="n">
        <x:f>IF(AV680=0,0,(AV680-IF(7=D680,1,0))*VLOOKUP(INDEX('章节与怪物'!$E$31:$K$37,B680,7),'章节与怪物'!$A$41:$F$44,4,FALSE)+IF(7=D680,'难度参数'!$E$30,0))</x:f>
        <x:v>1968</x:v>
      </x:c>
    </x:row>
    <x:row r="681" ht="23" customHeight="1">
      <x:c r="A681" s="119" t="n">
        <x:v>675</x:v>
      </x:c>
      <x:c r="B681" s="119" t="n">
        <x:f>MOD(INT((A681-1)/5),7)+1</x:f>
        <x:v>2</x:v>
      </x:c>
      <x:c r="C681" s="62" t="str">
        <x:f>INDEX('章节与怪物'!$B$31:$B$37,B681)</x:f>
        <x:v>黄沙要塞</x:v>
      </x:c>
      <x:c r="D681" s="119" t="n">
        <x:f>MIN('难度参数'!$E$8,MAX('难度参数'!$E$7,A681))</x:f>
        <x:v>7</x:v>
      </x:c>
      <x:c r="E681" s="106" t="n">
        <x:v>1</x:v>
      </x:c>
      <x:c r="F681" s="106" t="n">
        <x:v>0</x:v>
      </x:c>
      <x:c r="G681" s="106" t="n">
        <x:v>1</x:v>
      </x:c>
      <x:c r="H681" s="119" t="n">
        <x:f>SUM(X681,AB681,AF681,AJ681,AN681,AR681,AV681)</x:f>
        <x:v>322</x:v>
      </x:c>
      <x:c r="I681" s="119" t="n">
        <x:f>SUM(Z681,AD681,AH681,AL681,AP681,AT681,AX681)</x:f>
        <x:v>6481411</x:v>
      </x:c>
      <x:c r="J681" s="119" t="n">
        <x:f>ROUND(INDEX(X681:AY681,1,(D681-1)*4+2)*'难度参数'!$E$28*'章节与怪物'!$E$17,0)</x:f>
        <x:v>132797</x:v>
      </x:c>
      <x:c r="K681" s="119" t="n">
        <x:f>SUM(AA681,AE681,AI681,AM681,AQ681,AU681,AY681)</x:f>
        <x:v>8574</x:v>
      </x:c>
      <x:c r="L681" s="62" t="n">
        <x:f>H681*(ROUNDUP('难度参数'!$E$24/('难度参数'!$E$26*'难度参数'!$E$27),0)*'难度参数'!$E$26)/60</x:f>
        <x:v>4.293333333333334</x:v>
      </x:c>
      <x:c r="M681" s="62" t="n">
        <x:f>L681+D681*('难度参数'!$E$49+'难度参数'!$E$50)/60</x:f>
        <x:v>5.460000000000001</x:v>
      </x:c>
      <x:c r="N681" s="119" t="n">
        <x:f>ROUNDDOWN(('经济参数'!$E$20+A681*'经济参数'!$E$21)*G681,0)</x:f>
        <x:v>13680</x:v>
      </x:c>
      <x:c r="O681" s="119" t="n">
        <x:f>ROUNDDOWN(MIN('经济参数'!$E$24,'经济参数'!$E$22+A681*'经济参数'!$E$23)*G681,0)</x:f>
        <x:v>0</x:v>
      </x:c>
      <x:c r="P681" s="119" t="n">
        <x:f>ROUNDDOWN((IF(A681&gt;='材料与任务'!$E$31,'材料与任务'!$E$32,IF(A681&gt;='材料与任务'!$E$25,'材料与任务'!$E$26,IF(A681&gt;='材料与任务'!$E$19,'材料与任务'!$E$20,IF(A681&gt;='材料与任务'!$E$13,'材料与任务'!$E$14,'材料与任务'!$E$8)))))*G681,0)</x:f>
        <x:v>6</x:v>
      </x:c>
      <x:c r="Q681" s="119" t="n">
        <x:f>ROUNDDOWN((IF(A681&gt;='材料与任务'!$E$31,'材料与任务'!$E$33,IF(A681&gt;='材料与任务'!$E$25,'材料与任务'!$E$27,IF(A681&gt;='材料与任务'!$E$19,'材料与任务'!$E$21,IF(A681&gt;='材料与任务'!$E$13,'材料与任务'!$E$15,'材料与任务'!$E$9)))))*G681,0)</x:f>
        <x:v>3</x:v>
      </x:c>
      <x:c r="R681" s="110" t="n">
        <x:f>'装备掉落'!$B$38</x:f>
        <x:v>0.6872058758851213</x:v>
      </x:c>
      <x:c r="S681" s="119" t="n">
        <x:f>MAX(IF(VLOOKUP(A681,'装备掉落'!$A$29:$H$34,2,TRUE)&gt;0,1,0),IF(VLOOKUP(A681,'装备掉落'!$A$29:$H$34,3,TRUE)&gt;0,2,0),IF(VLOOKUP(A681,'装备掉落'!$A$29:$H$34,4,TRUE)&gt;0,3,0),IF(VLOOKUP(A681,'装备掉落'!$A$29:$H$34,5,TRUE)&gt;0,4,0),IF(VLOOKUP(A681,'装备掉落'!$A$29:$H$34,6,TRUE)&gt;0,5,0),IF(VLOOKUP(A681,'装备掉落'!$A$29:$H$34,7,TRUE)&gt;0,6,0),IF(VLOOKUP(A681,'装备掉落'!$A$29:$H$34,8,TRUE)&gt;0,7,0))</x:f>
        <x:v>7</x:v>
      </x:c>
      <x:c r="T681" s="119" t="n">
        <x:f>MIN(7,S681+'经济参数'!$E$70)</x:f>
        <x:v>7</x:v>
      </x:c>
      <x:c r="U681" s="119" t="n">
        <x:f>MIN(7,S681+'经济参数'!$E$71)</x:f>
        <x:v>7</x:v>
      </x:c>
      <x:c r="V681" s="119" t="n">
        <x:f>IF(H681&gt;=('难度参数'!$E$52),1,0)+IF(H681&gt;=('难度参数'!$E$52+'难度参数'!$E$53),1,0)+IF(H681&gt;=('难度参数'!$E$52+'难度参数'!$E$53+'难度参数'!$E$54),1,0)+IF(H681&gt;=('难度参数'!$E$52+'难度参数'!$E$53+'难度参数'!$E$54+'难度参数'!$E$55),1,0)+IF(H681&gt;=('难度参数'!$E$52+'难度参数'!$E$53+'难度参数'!$E$54+'难度参数'!$E$55+'难度参数'!$E$56),1,0)+IF(H681&gt;=('难度参数'!$E$52+'难度参数'!$E$53+'难度参数'!$E$54+'难度参数'!$E$55+'难度参数'!$E$56+'难度参数'!$E$57),1,0)</x:f>
        <x:v>6</x:v>
      </x:c>
      <x:c r="W681" s="62" t="str">
        <x:f>IF(L681&gt;'难度参数'!$E$51,"仅出怪已超目标","还需实测")</x:f>
        <x:v>仅出怪已超目标</x:v>
      </x:c>
      <x:c r="X681" s="119" t="n">
        <x:f>IF(1&gt;D681,0,MAX(2,MIN('难度参数'!$E$12,ROUND(('难度参数'!$E$18*POWER(A681,'难度参数'!$E$19)/D681*(0.85+0.3*(1-1)/MAX(1,D681-1))),0)+F681)))</x:f>
        <x:v>39</x:v>
      </x:c>
      <x:c r="Y681" s="119" t="n">
        <x:f>IF(1&gt;D681,0,ROUND(('难度参数'!$E$13*POWER(A681,'难度参数'!$E$20)*MIN('难度参数'!$E$23,1+MAX(0,A681-'难度参数'!$E$21)*'难度参数'!$E$22))*(36+1*7)/(36+7*(D681+1)/2)*E681,0))</x:f>
        <x:v>9879</x:v>
      </x:c>
      <x:c r="Z681" s="119" t="n">
        <x:f>IF(X681=0,0,(X681-IF(1=D681,1,0))*ROUND(Y681*VLOOKUP(INDEX('章节与怪物'!$E$31:$K$37,B681,1),'章节与怪物'!$A$41:$F$44,2,FALSE),0)+IF(1=D681,ROUND(Y681*'难度参数'!$E$28*'章节与怪物'!$E$17,0),0))</x:f>
        <x:v>277407</x:v>
      </x:c>
      <x:c r="AA681" s="119" t="n">
        <x:f>IF(X681=0,0,(X681-IF(1=D681,1,0))*VLOOKUP(INDEX('章节与怪物'!$E$31:$K$37,B681,1),'章节与怪物'!$A$41:$F$44,4,FALSE)+IF(1=D681,'难度参数'!$E$30,0))</x:f>
        <x:v>780</x:v>
      </x:c>
      <x:c r="AB681" s="119" t="n">
        <x:f>IF(2&gt;D681,0,MAX(2,MIN('难度参数'!$E$12,ROUND(('难度参数'!$E$18*POWER(A681,'难度参数'!$E$19)/D681*(0.85+0.3*(2-1)/MAX(1,D681-1))),0)+F681)))</x:f>
        <x:v>41</x:v>
      </x:c>
      <x:c r="AC681" s="119" t="n">
        <x:f>IF(2&gt;D681,0,ROUND(('难度参数'!$E$13*POWER(A681,'难度参数'!$E$20)*MIN('难度参数'!$E$23,1+MAX(0,A681-'难度参数'!$E$21)*'难度参数'!$E$22))*(36+2*7)/(36+7*(D681+1)/2)*E681,0))</x:f>
        <x:v>11487</x:v>
      </x:c>
      <x:c r="AD681" s="119" t="n">
        <x:f>IF(AB681=0,0,(AB681-IF(2=D681,1,0))*ROUND(AC681*VLOOKUP(INDEX('章节与怪物'!$E$31:$K$37,B681,2),'章节与怪物'!$A$41:$F$44,2,FALSE),0)+IF(2=D681,ROUND(AC681*'难度参数'!$E$28*'章节与怪物'!$E$17,0),0))</x:f>
        <x:v>470967</x:v>
      </x:c>
      <x:c r="AE681" s="119" t="n">
        <x:f>IF(AB681=0,0,(AB681-IF(2=D681,1,0))*VLOOKUP(INDEX('章节与怪物'!$E$31:$K$37,B681,2),'章节与怪物'!$A$41:$F$44,4,FALSE)+IF(2=D681,'难度参数'!$E$30,0))</x:f>
        <x:v>738</x:v>
      </x:c>
      <x:c r="AF681" s="119" t="n">
        <x:f>IF(3&gt;D681,0,MAX(2,MIN('难度参数'!$E$12,ROUND(('难度参数'!$E$18*POWER(A681,'难度参数'!$E$19)/D681*(0.85+0.3*(3-1)/MAX(1,D681-1))),0)+F681)))</x:f>
        <x:v>44</x:v>
      </x:c>
      <x:c r="AG681" s="119" t="n">
        <x:f>IF(3&gt;D681,0,ROUND(('难度参数'!$E$13*POWER(A681,'难度参数'!$E$20)*MIN('难度参数'!$E$23,1+MAX(0,A681-'难度参数'!$E$21)*'难度参数'!$E$22))*(36+3*7)/(36+7*(D681+1)/2)*E681,0))</x:f>
        <x:v>13096</x:v>
      </x:c>
      <x:c r="AH681" s="119" t="n">
        <x:f>IF(AF681=0,0,(AF681-IF(3=D681,1,0))*ROUND(AG681*VLOOKUP(INDEX('章节与怪物'!$E$31:$K$37,B681,3),'章节与怪物'!$A$41:$F$44,2,FALSE),0)+IF(3=D681,ROUND(AG681*'难度参数'!$E$28*'章节与怪物'!$E$17,0),0))</x:f>
        <x:v>979572</x:v>
      </x:c>
      <x:c r="AI681" s="119" t="n">
        <x:f>IF(AF681=0,0,(AF681-IF(3=D681,1,0))*VLOOKUP(INDEX('章节与怪物'!$E$31:$K$37,B681,3),'章节与怪物'!$A$41:$F$44,4,FALSE)+IF(3=D681,'难度参数'!$E$30,0))</x:f>
        <x:v>1232</x:v>
      </x:c>
      <x:c r="AJ681" s="119" t="n">
        <x:f>IF(4&gt;D681,0,MAX(2,MIN('难度参数'!$E$12,ROUND(('难度参数'!$E$18*POWER(A681,'难度参数'!$E$19)/D681*(0.85+0.3*(4-1)/MAX(1,D681-1))),0)+F681)))</x:f>
        <x:v>46</x:v>
      </x:c>
      <x:c r="AK681" s="119" t="n">
        <x:f>IF(4&gt;D681,0,ROUND(('难度参数'!$E$13*POWER(A681,'难度参数'!$E$20)*MIN('难度参数'!$E$23,1+MAX(0,A681-'难度参数'!$E$21)*'难度参数'!$E$22))*(36+4*7)/(36+7*(D681+1)/2)*E681,0))</x:f>
        <x:v>14704</x:v>
      </x:c>
      <x:c r="AL681" s="119" t="n">
        <x:f>IF(AJ681=0,0,(AJ681-IF(4=D681,1,0))*ROUND(AK681*VLOOKUP(INDEX('章节与怪物'!$E$31:$K$37,B681,4),'章节与怪物'!$A$41:$F$44,2,FALSE),0)+IF(4=D681,ROUND(AK681*'难度参数'!$E$28*'章节与怪物'!$E$17,0),0))</x:f>
        <x:v>913100</x:v>
      </x:c>
      <x:c r="AM681" s="119" t="n">
        <x:f>IF(AJ681=0,0,(AJ681-IF(4=D681,1,0))*VLOOKUP(INDEX('章节与怪物'!$E$31:$K$37,B681,4),'章节与怪物'!$A$41:$F$44,4,FALSE)+IF(4=D681,'难度参数'!$E$30,0))</x:f>
        <x:v>1564</x:v>
      </x:c>
      <x:c r="AN681" s="119" t="n">
        <x:f>IF(5&gt;D681,0,MAX(2,MIN('难度参数'!$E$12,ROUND(('难度参数'!$E$18*POWER(A681,'难度参数'!$E$19)/D681*(0.85+0.3*(5-1)/MAX(1,D681-1))),0)+F681)))</x:f>
        <x:v>48</x:v>
      </x:c>
      <x:c r="AO681" s="119" t="n">
        <x:f>IF(5&gt;D681,0,ROUND(('难度参数'!$E$13*POWER(A681,'难度参数'!$E$20)*MIN('难度参数'!$E$23,1+MAX(0,A681-'难度参数'!$E$21)*'难度参数'!$E$22))*(36+5*7)/(36+7*(D681+1)/2)*E681,0))</x:f>
        <x:v>16312</x:v>
      </x:c>
      <x:c r="AP681" s="119" t="n">
        <x:f>IF(AN681=0,0,(AN681-IF(5=D681,1,0))*ROUND(AO681*VLOOKUP(INDEX('章节与怪物'!$E$31:$K$37,B681,5),'章节与怪物'!$A$41:$F$44,2,FALSE),0)+IF(5=D681,ROUND(AO681*'难度参数'!$E$28*'章节与怪物'!$E$17,0),0))</x:f>
        <x:v>782976</x:v>
      </x:c>
      <x:c r="AQ681" s="119" t="n">
        <x:f>IF(AN681=0,0,(AN681-IF(5=D681,1,0))*VLOOKUP(INDEX('章节与怪物'!$E$31:$K$37,B681,5),'章节与怪物'!$A$41:$F$44,4,FALSE)+IF(5=D681,'难度参数'!$E$30,0))</x:f>
        <x:v>864</x:v>
      </x:c>
      <x:c r="AR681" s="119" t="n">
        <x:f>IF(6&gt;D681,0,MAX(2,MIN('难度参数'!$E$12,ROUND(('难度参数'!$E$18*POWER(A681,'难度参数'!$E$19)/D681*(0.85+0.3*(6-1)/MAX(1,D681-1))),0)+F681)))</x:f>
        <x:v>51</x:v>
      </x:c>
      <x:c r="AS681" s="119" t="n">
        <x:f>IF(6&gt;D681,0,ROUND(('难度参数'!$E$13*POWER(A681,'难度参数'!$E$20)*MIN('难度参数'!$E$23,1+MAX(0,A681-'难度参数'!$E$21)*'难度参数'!$E$22))*(36+6*7)/(36+7*(D681+1)/2)*E681,0))</x:f>
        <x:v>17920</x:v>
      </x:c>
      <x:c r="AT681" s="119" t="n">
        <x:f>IF(AR681=0,0,(AR681-IF(6=D681,1,0))*ROUND(AS681*VLOOKUP(INDEX('章节与怪物'!$E$31:$K$37,B681,6),'章节与怪物'!$A$41:$F$44,2,FALSE),0)+IF(6=D681,ROUND(AS681*'难度参数'!$E$28*'章节与怪物'!$E$17,0),0))</x:f>
        <x:v>1553664</x:v>
      </x:c>
      <x:c r="AU681" s="119" t="n">
        <x:f>IF(AR681=0,0,(AR681-IF(6=D681,1,0))*VLOOKUP(INDEX('章节与怪物'!$E$31:$K$37,B681,6),'章节与怪物'!$A$41:$F$44,4,FALSE)+IF(6=D681,'难度参数'!$E$30,0))</x:f>
        <x:v>1428</x:v>
      </x:c>
      <x:c r="AV681" s="119" t="n">
        <x:f>IF(7&gt;D681,0,MAX(2,MIN('难度参数'!$E$12,ROUND(('难度参数'!$E$18*POWER(A681,'难度参数'!$E$19)/D681*(0.85+0.3*(7-1)/MAX(1,D681-1))),0)+F681)))</x:f>
        <x:v>53</x:v>
      </x:c>
      <x:c r="AW681" s="119" t="n">
        <x:f>IF(7&gt;D681,0,ROUND(('难度参数'!$E$13*POWER(A681,'难度参数'!$E$20)*MIN('难度参数'!$E$23,1+MAX(0,A681-'难度参数'!$E$21)*'难度参数'!$E$22))*(36+7*7)/(36+7*(D681+1)/2)*E681,0))</x:f>
        <x:v>19529</x:v>
      </x:c>
      <x:c r="AX681" s="119" t="n">
        <x:f>IF(AV681=0,0,(AV681-IF(7=D681,1,0))*ROUND(AW681*VLOOKUP(INDEX('章节与怪物'!$E$31:$K$37,B681,7),'章节与怪物'!$A$41:$F$44,2,FALSE),0)+IF(7=D681,ROUND(AW681*'难度参数'!$E$28*'章节与怪物'!$E$17,0),0))</x:f>
        <x:v>1503725</x:v>
      </x:c>
      <x:c r="AY681" s="119" t="n">
        <x:f>IF(AV681=0,0,(AV681-IF(7=D681,1,0))*VLOOKUP(INDEX('章节与怪物'!$E$31:$K$37,B681,7),'章节与怪物'!$A$41:$F$44,4,FALSE)+IF(7=D681,'难度参数'!$E$30,0))</x:f>
        <x:v>1968</x:v>
      </x:c>
    </x:row>
    <x:row r="682" ht="23" customHeight="1">
      <x:c r="A682" s="119" t="n">
        <x:v>676</x:v>
      </x:c>
      <x:c r="B682" s="119" t="n">
        <x:f>MOD(INT((A682-1)/5),7)+1</x:f>
        <x:v>3</x:v>
      </x:c>
      <x:c r="C682" s="62" t="str">
        <x:f>INDEX('章节与怪物'!$B$31:$B$37,B682)</x:f>
        <x:v>腐沼秘林</x:v>
      </x:c>
      <x:c r="D682" s="119" t="n">
        <x:f>MIN('难度参数'!$E$8,MAX('难度参数'!$E$7,A682))</x:f>
        <x:v>7</x:v>
      </x:c>
      <x:c r="E682" s="106" t="n">
        <x:v>1</x:v>
      </x:c>
      <x:c r="F682" s="106" t="n">
        <x:v>0</x:v>
      </x:c>
      <x:c r="G682" s="106" t="n">
        <x:v>1</x:v>
      </x:c>
      <x:c r="H682" s="119" t="n">
        <x:f>SUM(X682,AB682,AF682,AJ682,AN682,AR682,AV682)</x:f>
        <x:v>323</x:v>
      </x:c>
      <x:c r="I682" s="119" t="n">
        <x:f>SUM(Z682,AD682,AH682,AL682,AP682,AT682,AX682)</x:f>
        <x:v>6253155</x:v>
      </x:c>
      <x:c r="J682" s="119" t="n">
        <x:f>ROUND(INDEX(X682:AY682,1,(D682-1)*4+2)*'难度参数'!$E$28*'章节与怪物'!$E$17,0)</x:f>
        <x:v>132933</x:v>
      </x:c>
      <x:c r="K682" s="119" t="n">
        <x:f>SUM(AA682,AE682,AI682,AM682,AQ682,AU682,AY682)</x:f>
        <x:v>8694</x:v>
      </x:c>
      <x:c r="L682" s="62" t="n">
        <x:f>H682*(ROUNDUP('难度参数'!$E$24/('难度参数'!$E$26*'难度参数'!$E$27),0)*'难度参数'!$E$26)/60</x:f>
        <x:v>4.3066666666666675</x:v>
      </x:c>
      <x:c r="M682" s="62" t="n">
        <x:f>L682+D682*('难度参数'!$E$49+'难度参数'!$E$50)/60</x:f>
        <x:v>5.4733333333333345</x:v>
      </x:c>
      <x:c r="N682" s="119" t="n">
        <x:f>ROUNDDOWN(('经济参数'!$E$20+A682*'经济参数'!$E$21)*G682,0)</x:f>
        <x:v>13700</x:v>
      </x:c>
      <x:c r="O682" s="119" t="n">
        <x:f>ROUNDDOWN(MIN('经济参数'!$E$24,'经济参数'!$E$22+A682*'经济参数'!$E$23)*G682,0)</x:f>
        <x:v>0</x:v>
      </x:c>
      <x:c r="P682" s="119" t="n">
        <x:f>ROUNDDOWN((IF(A682&gt;='材料与任务'!$E$31,'材料与任务'!$E$32,IF(A682&gt;='材料与任务'!$E$25,'材料与任务'!$E$26,IF(A682&gt;='材料与任务'!$E$19,'材料与任务'!$E$20,IF(A682&gt;='材料与任务'!$E$13,'材料与任务'!$E$14,'材料与任务'!$E$8)))))*G682,0)</x:f>
        <x:v>6</x:v>
      </x:c>
      <x:c r="Q682" s="119" t="n">
        <x:f>ROUNDDOWN((IF(A682&gt;='材料与任务'!$E$31,'材料与任务'!$E$33,IF(A682&gt;='材料与任务'!$E$25,'材料与任务'!$E$27,IF(A682&gt;='材料与任务'!$E$19,'材料与任务'!$E$21,IF(A682&gt;='材料与任务'!$E$13,'材料与任务'!$E$15,'材料与任务'!$E$9)))))*G682,0)</x:f>
        <x:v>3</x:v>
      </x:c>
      <x:c r="R682" s="110" t="n">
        <x:f>'装备掉落'!$B$38</x:f>
        <x:v>0.6872058758851213</x:v>
      </x:c>
      <x:c r="S682" s="119" t="n">
        <x:f>MAX(IF(VLOOKUP(A682,'装备掉落'!$A$29:$H$34,2,TRUE)&gt;0,1,0),IF(VLOOKUP(A682,'装备掉落'!$A$29:$H$34,3,TRUE)&gt;0,2,0),IF(VLOOKUP(A682,'装备掉落'!$A$29:$H$34,4,TRUE)&gt;0,3,0),IF(VLOOKUP(A682,'装备掉落'!$A$29:$H$34,5,TRUE)&gt;0,4,0),IF(VLOOKUP(A682,'装备掉落'!$A$29:$H$34,6,TRUE)&gt;0,5,0),IF(VLOOKUP(A682,'装备掉落'!$A$29:$H$34,7,TRUE)&gt;0,6,0),IF(VLOOKUP(A682,'装备掉落'!$A$29:$H$34,8,TRUE)&gt;0,7,0))</x:f>
        <x:v>7</x:v>
      </x:c>
      <x:c r="T682" s="119" t="n">
        <x:f>MIN(7,S682+'经济参数'!$E$70)</x:f>
        <x:v>7</x:v>
      </x:c>
      <x:c r="U682" s="119" t="n">
        <x:f>MIN(7,S682+'经济参数'!$E$71)</x:f>
        <x:v>7</x:v>
      </x:c>
      <x:c r="V682" s="119" t="n">
        <x:f>IF(H682&gt;=('难度参数'!$E$52),1,0)+IF(H682&gt;=('难度参数'!$E$52+'难度参数'!$E$53),1,0)+IF(H682&gt;=('难度参数'!$E$52+'难度参数'!$E$53+'难度参数'!$E$54),1,0)+IF(H682&gt;=('难度参数'!$E$52+'难度参数'!$E$53+'难度参数'!$E$54+'难度参数'!$E$55),1,0)+IF(H682&gt;=('难度参数'!$E$52+'难度参数'!$E$53+'难度参数'!$E$54+'难度参数'!$E$55+'难度参数'!$E$56),1,0)+IF(H682&gt;=('难度参数'!$E$52+'难度参数'!$E$53+'难度参数'!$E$54+'难度参数'!$E$55+'难度参数'!$E$56+'难度参数'!$E$57),1,0)</x:f>
        <x:v>6</x:v>
      </x:c>
      <x:c r="W682" s="62" t="str">
        <x:f>IF(L682&gt;'难度参数'!$E$51,"仅出怪已超目标","还需实测")</x:f>
        <x:v>仅出怪已超目标</x:v>
      </x:c>
      <x:c r="X682" s="119" t="n">
        <x:f>IF(1&gt;D682,0,MAX(2,MIN('难度参数'!$E$12,ROUND(('难度参数'!$E$18*POWER(A682,'难度参数'!$E$19)/D682*(0.85+0.3*(1-1)/MAX(1,D682-1))),0)+F682)))</x:f>
        <x:v>39</x:v>
      </x:c>
      <x:c r="Y682" s="119" t="n">
        <x:f>IF(1&gt;D682,0,ROUND(('难度参数'!$E$13*POWER(A682,'难度参数'!$E$20)*MIN('难度参数'!$E$23,1+MAX(0,A682-'难度参数'!$E$21)*'难度参数'!$E$22))*(36+1*7)/(36+7*(D682+1)/2)*E682,0))</x:f>
        <x:v>9890</x:v>
      </x:c>
      <x:c r="Z682" s="119" t="n">
        <x:f>IF(X682=0,0,(X682-IF(1=D682,1,0))*ROUND(Y682*VLOOKUP(INDEX('章节与怪物'!$E$31:$K$37,B682,1),'章节与怪物'!$A$41:$F$44,2,FALSE),0)+IF(1=D682,ROUND(Y682*'难度参数'!$E$28*'章节与怪物'!$E$17,0),0))</x:f>
        <x:v>385710</x:v>
      </x:c>
      <x:c r="AA682" s="119" t="n">
        <x:f>IF(X682=0,0,(X682-IF(1=D682,1,0))*VLOOKUP(INDEX('章节与怪物'!$E$31:$K$37,B682,1),'章节与怪物'!$A$41:$F$44,4,FALSE)+IF(1=D682,'难度参数'!$E$30,0))</x:f>
        <x:v>702</x:v>
      </x:c>
      <x:c r="AB682" s="119" t="n">
        <x:f>IF(2&gt;D682,0,MAX(2,MIN('难度参数'!$E$12,ROUND(('难度参数'!$E$18*POWER(A682,'难度参数'!$E$19)/D682*(0.85+0.3*(2-1)/MAX(1,D682-1))),0)+F682)))</x:f>
        <x:v>42</x:v>
      </x:c>
      <x:c r="AC682" s="119" t="n">
        <x:f>IF(2&gt;D682,0,ROUND(('难度参数'!$E$13*POWER(A682,'难度参数'!$E$20)*MIN('难度参数'!$E$23,1+MAX(0,A682-'难度参数'!$E$21)*'难度参数'!$E$22))*(36+2*7)/(36+7*(D682+1)/2)*E682,0))</x:f>
        <x:v>11500</x:v>
      </x:c>
      <x:c r="AD682" s="119" t="n">
        <x:f>IF(AB682=0,0,(AB682-IF(2=D682,1,0))*ROUND(AC682*VLOOKUP(INDEX('章节与怪物'!$E$31:$K$37,B682,2),'章节与怪物'!$A$41:$F$44,2,FALSE),0)+IF(2=D682,ROUND(AC682*'难度参数'!$E$28*'章节与怪物'!$E$17,0),0))</x:f>
        <x:v>347760</x:v>
      </x:c>
      <x:c r="AE682" s="119" t="n">
        <x:f>IF(AB682=0,0,(AB682-IF(2=D682,1,0))*VLOOKUP(INDEX('章节与怪物'!$E$31:$K$37,B682,2),'章节与怪物'!$A$41:$F$44,4,FALSE)+IF(2=D682,'难度参数'!$E$30,0))</x:f>
        <x:v>840</x:v>
      </x:c>
      <x:c r="AF682" s="119" t="n">
        <x:f>IF(3&gt;D682,0,MAX(2,MIN('难度参数'!$E$12,ROUND(('难度参数'!$E$18*POWER(A682,'难度参数'!$E$19)/D682*(0.85+0.3*(3-1)/MAX(1,D682-1))),0)+F682)))</x:f>
        <x:v>44</x:v>
      </x:c>
      <x:c r="AG682" s="119" t="n">
        <x:f>IF(3&gt;D682,0,ROUND(('难度参数'!$E$13*POWER(A682,'难度参数'!$E$20)*MIN('难度参数'!$E$23,1+MAX(0,A682-'难度参数'!$E$21)*'难度参数'!$E$22))*(36+3*7)/(36+7*(D682+1)/2)*E682,0))</x:f>
        <x:v>13110</x:v>
      </x:c>
      <x:c r="AH682" s="119" t="n">
        <x:f>IF(AF682=0,0,(AF682-IF(3=D682,1,0))*ROUND(AG682*VLOOKUP(INDEX('章节与怪物'!$E$31:$K$37,B682,3),'章节与怪物'!$A$41:$F$44,2,FALSE),0)+IF(3=D682,ROUND(AG682*'难度参数'!$E$28*'章节与怪物'!$E$17,0),0))</x:f>
        <x:v>980628</x:v>
      </x:c>
      <x:c r="AI682" s="119" t="n">
        <x:f>IF(AF682=0,0,(AF682-IF(3=D682,1,0))*VLOOKUP(INDEX('章节与怪物'!$E$31:$K$37,B682,3),'章节与怪物'!$A$41:$F$44,4,FALSE)+IF(3=D682,'难度参数'!$E$30,0))</x:f>
        <x:v>1232</x:v>
      </x:c>
      <x:c r="AJ682" s="119" t="n">
        <x:f>IF(4&gt;D682,0,MAX(2,MIN('难度参数'!$E$12,ROUND(('难度参数'!$E$18*POWER(A682,'难度参数'!$E$19)/D682*(0.85+0.3*(4-1)/MAX(1,D682-1))),0)+F682)))</x:f>
        <x:v>46</x:v>
      </x:c>
      <x:c r="AK682" s="119" t="n">
        <x:f>IF(4&gt;D682,0,ROUND(('难度参数'!$E$13*POWER(A682,'难度参数'!$E$20)*MIN('难度参数'!$E$23,1+MAX(0,A682-'难度参数'!$E$21)*'难度参数'!$E$22))*(36+4*7)/(36+7*(D682+1)/2)*E682,0))</x:f>
        <x:v>14720</x:v>
      </x:c>
      <x:c r="AL682" s="119" t="n">
        <x:f>IF(AJ682=0,0,(AJ682-IF(4=D682,1,0))*ROUND(AK682*VLOOKUP(INDEX('章节与怪物'!$E$31:$K$37,B682,4),'章节与怪物'!$A$41:$F$44,2,FALSE),0)+IF(4=D682,ROUND(AK682*'难度参数'!$E$28*'章节与怪物'!$E$17,0),0))</x:f>
        <x:v>914112</x:v>
      </x:c>
      <x:c r="AM682" s="119" t="n">
        <x:f>IF(AJ682=0,0,(AJ682-IF(4=D682,1,0))*VLOOKUP(INDEX('章节与怪物'!$E$31:$K$37,B682,4),'章节与怪物'!$A$41:$F$44,4,FALSE)+IF(4=D682,'难度参数'!$E$30,0))</x:f>
        <x:v>1564</x:v>
      </x:c>
      <x:c r="AN682" s="119" t="n">
        <x:f>IF(5&gt;D682,0,MAX(2,MIN('难度参数'!$E$12,ROUND(('难度参数'!$E$18*POWER(A682,'难度参数'!$E$19)/D682*(0.85+0.3*(5-1)/MAX(1,D682-1))),0)+F682)))</x:f>
        <x:v>48</x:v>
      </x:c>
      <x:c r="AO682" s="119" t="n">
        <x:f>IF(5&gt;D682,0,ROUND(('难度参数'!$E$13*POWER(A682,'难度参数'!$E$20)*MIN('难度参数'!$E$23,1+MAX(0,A682-'难度参数'!$E$21)*'难度参数'!$E$22))*(36+5*7)/(36+7*(D682+1)/2)*E682,0))</x:f>
        <x:v>16330</x:v>
      </x:c>
      <x:c r="AP682" s="119" t="n">
        <x:f>IF(AN682=0,0,(AN682-IF(5=D682,1,0))*ROUND(AO682*VLOOKUP(INDEX('章节与怪物'!$E$31:$K$37,B682,5),'章节与怪物'!$A$41:$F$44,2,FALSE),0)+IF(5=D682,ROUND(AO682*'难度参数'!$E$28*'章节与怪物'!$E$17,0),0))</x:f>
        <x:v>564384</x:v>
      </x:c>
      <x:c r="AQ682" s="119" t="n">
        <x:f>IF(AN682=0,0,(AN682-IF(5=D682,1,0))*VLOOKUP(INDEX('章节与怪物'!$E$31:$K$37,B682,5),'章节与怪物'!$A$41:$F$44,4,FALSE)+IF(5=D682,'难度参数'!$E$30,0))</x:f>
        <x:v>960</x:v>
      </x:c>
      <x:c r="AR682" s="119" t="n">
        <x:f>IF(6&gt;D682,0,MAX(2,MIN('难度参数'!$E$12,ROUND(('难度参数'!$E$18*POWER(A682,'难度参数'!$E$19)/D682*(0.85+0.3*(6-1)/MAX(1,D682-1))),0)+F682)))</x:f>
        <x:v>51</x:v>
      </x:c>
      <x:c r="AS682" s="119" t="n">
        <x:f>IF(6&gt;D682,0,ROUND(('难度参数'!$E$13*POWER(A682,'难度参数'!$E$20)*MIN('难度参数'!$E$23,1+MAX(0,A682-'难度参数'!$E$21)*'难度参数'!$E$22))*(36+6*7)/(36+7*(D682+1)/2)*E682,0))</x:f>
        <x:v>17939</x:v>
      </x:c>
      <x:c r="AT682" s="119" t="n">
        <x:f>IF(AR682=0,0,(AR682-IF(6=D682,1,0))*ROUND(AS682*VLOOKUP(INDEX('章节与怪物'!$E$31:$K$37,B682,6),'章节与怪物'!$A$41:$F$44,2,FALSE),0)+IF(6=D682,ROUND(AS682*'难度参数'!$E$28*'章节与怪物'!$E$17,0),0))</x:f>
        <x:v>1555296</x:v>
      </x:c>
      <x:c r="AU682" s="119" t="n">
        <x:f>IF(AR682=0,0,(AR682-IF(6=D682,1,0))*VLOOKUP(INDEX('章节与怪物'!$E$31:$K$37,B682,6),'章节与怪物'!$A$41:$F$44,4,FALSE)+IF(6=D682,'难度参数'!$E$30,0))</x:f>
        <x:v>1428</x:v>
      </x:c>
      <x:c r="AV682" s="119" t="n">
        <x:f>IF(7&gt;D682,0,MAX(2,MIN('难度参数'!$E$12,ROUND(('难度参数'!$E$18*POWER(A682,'难度参数'!$E$19)/D682*(0.85+0.3*(7-1)/MAX(1,D682-1))),0)+F682)))</x:f>
        <x:v>53</x:v>
      </x:c>
      <x:c r="AW682" s="119" t="n">
        <x:f>IF(7&gt;D682,0,ROUND(('难度参数'!$E$13*POWER(A682,'难度参数'!$E$20)*MIN('难度参数'!$E$23,1+MAX(0,A682-'难度参数'!$E$21)*'难度参数'!$E$22))*(36+7*7)/(36+7*(D682+1)/2)*E682,0))</x:f>
        <x:v>19549</x:v>
      </x:c>
      <x:c r="AX682" s="119" t="n">
        <x:f>IF(AV682=0,0,(AV682-IF(7=D682,1,0))*ROUND(AW682*VLOOKUP(INDEX('章节与怪物'!$E$31:$K$37,B682,7),'章节与怪物'!$A$41:$F$44,2,FALSE),0)+IF(7=D682,ROUND(AW682*'难度参数'!$E$28*'章节与怪物'!$E$17,0),0))</x:f>
        <x:v>1505265</x:v>
      </x:c>
      <x:c r="AY682" s="119" t="n">
        <x:f>IF(AV682=0,0,(AV682-IF(7=D682,1,0))*VLOOKUP(INDEX('章节与怪物'!$E$31:$K$37,B682,7),'章节与怪物'!$A$41:$F$44,4,FALSE)+IF(7=D682,'难度参数'!$E$30,0))</x:f>
        <x:v>1968</x:v>
      </x:c>
    </x:row>
    <x:row r="683" ht="23" customHeight="1">
      <x:c r="A683" s="119" t="n">
        <x:v>677</x:v>
      </x:c>
      <x:c r="B683" s="119" t="n">
        <x:f>MOD(INT((A683-1)/5),7)+1</x:f>
        <x:v>3</x:v>
      </x:c>
      <x:c r="C683" s="62" t="str">
        <x:f>INDEX('章节与怪物'!$B$31:$B$37,B683)</x:f>
        <x:v>腐沼秘林</x:v>
      </x:c>
      <x:c r="D683" s="119" t="n">
        <x:f>MIN('难度参数'!$E$8,MAX('难度参数'!$E$7,A683))</x:f>
        <x:v>7</x:v>
      </x:c>
      <x:c r="E683" s="106" t="n">
        <x:v>1</x:v>
      </x:c>
      <x:c r="F683" s="106" t="n">
        <x:v>0</x:v>
      </x:c>
      <x:c r="G683" s="106" t="n">
        <x:v>1</x:v>
      </x:c>
      <x:c r="H683" s="119" t="n">
        <x:f>SUM(X683,AB683,AF683,AJ683,AN683,AR683,AV683)</x:f>
        <x:v>323</x:v>
      </x:c>
      <x:c r="I683" s="119" t="n">
        <x:f>SUM(Z683,AD683,AH683,AL683,AP683,AT683,AX683)</x:f>
        <x:v>6259860</x:v>
      </x:c>
      <x:c r="J683" s="119" t="n">
        <x:f>ROUND(INDEX(X683:AY683,1,(D683-1)*4+2)*'难度参数'!$E$28*'章节与怪物'!$E$17,0)</x:f>
        <x:v>133076</x:v>
      </x:c>
      <x:c r="K683" s="119" t="n">
        <x:f>SUM(AA683,AE683,AI683,AM683,AQ683,AU683,AY683)</x:f>
        <x:v>8694</x:v>
      </x:c>
      <x:c r="L683" s="62" t="n">
        <x:f>H683*(ROUNDUP('难度参数'!$E$24/('难度参数'!$E$26*'难度参数'!$E$27),0)*'难度参数'!$E$26)/60</x:f>
        <x:v>4.3066666666666675</x:v>
      </x:c>
      <x:c r="M683" s="62" t="n">
        <x:f>L683+D683*('难度参数'!$E$49+'难度参数'!$E$50)/60</x:f>
        <x:v>5.4733333333333345</x:v>
      </x:c>
      <x:c r="N683" s="119" t="n">
        <x:f>ROUNDDOWN(('经济参数'!$E$20+A683*'经济参数'!$E$21)*G683,0)</x:f>
        <x:v>13720</x:v>
      </x:c>
      <x:c r="O683" s="119" t="n">
        <x:f>ROUNDDOWN(MIN('经济参数'!$E$24,'经济参数'!$E$22+A683*'经济参数'!$E$23)*G683,0)</x:f>
        <x:v>0</x:v>
      </x:c>
      <x:c r="P683" s="119" t="n">
        <x:f>ROUNDDOWN((IF(A683&gt;='材料与任务'!$E$31,'材料与任务'!$E$32,IF(A683&gt;='材料与任务'!$E$25,'材料与任务'!$E$26,IF(A683&gt;='材料与任务'!$E$19,'材料与任务'!$E$20,IF(A683&gt;='材料与任务'!$E$13,'材料与任务'!$E$14,'材料与任务'!$E$8)))))*G683,0)</x:f>
        <x:v>6</x:v>
      </x:c>
      <x:c r="Q683" s="119" t="n">
        <x:f>ROUNDDOWN((IF(A683&gt;='材料与任务'!$E$31,'材料与任务'!$E$33,IF(A683&gt;='材料与任务'!$E$25,'材料与任务'!$E$27,IF(A683&gt;='材料与任务'!$E$19,'材料与任务'!$E$21,IF(A683&gt;='材料与任务'!$E$13,'材料与任务'!$E$15,'材料与任务'!$E$9)))))*G683,0)</x:f>
        <x:v>3</x:v>
      </x:c>
      <x:c r="R683" s="110" t="n">
        <x:f>'装备掉落'!$B$38</x:f>
        <x:v>0.6872058758851213</x:v>
      </x:c>
      <x:c r="S683" s="119" t="n">
        <x:f>MAX(IF(VLOOKUP(A683,'装备掉落'!$A$29:$H$34,2,TRUE)&gt;0,1,0),IF(VLOOKUP(A683,'装备掉落'!$A$29:$H$34,3,TRUE)&gt;0,2,0),IF(VLOOKUP(A683,'装备掉落'!$A$29:$H$34,4,TRUE)&gt;0,3,0),IF(VLOOKUP(A683,'装备掉落'!$A$29:$H$34,5,TRUE)&gt;0,4,0),IF(VLOOKUP(A683,'装备掉落'!$A$29:$H$34,6,TRUE)&gt;0,5,0),IF(VLOOKUP(A683,'装备掉落'!$A$29:$H$34,7,TRUE)&gt;0,6,0),IF(VLOOKUP(A683,'装备掉落'!$A$29:$H$34,8,TRUE)&gt;0,7,0))</x:f>
        <x:v>7</x:v>
      </x:c>
      <x:c r="T683" s="119" t="n">
        <x:f>MIN(7,S683+'经济参数'!$E$70)</x:f>
        <x:v>7</x:v>
      </x:c>
      <x:c r="U683" s="119" t="n">
        <x:f>MIN(7,S683+'经济参数'!$E$71)</x:f>
        <x:v>7</x:v>
      </x:c>
      <x:c r="V683" s="119" t="n">
        <x:f>IF(H683&gt;=('难度参数'!$E$52),1,0)+IF(H683&gt;=('难度参数'!$E$52+'难度参数'!$E$53),1,0)+IF(H683&gt;=('难度参数'!$E$52+'难度参数'!$E$53+'难度参数'!$E$54),1,0)+IF(H683&gt;=('难度参数'!$E$52+'难度参数'!$E$53+'难度参数'!$E$54+'难度参数'!$E$55),1,0)+IF(H683&gt;=('难度参数'!$E$52+'难度参数'!$E$53+'难度参数'!$E$54+'难度参数'!$E$55+'难度参数'!$E$56),1,0)+IF(H683&gt;=('难度参数'!$E$52+'难度参数'!$E$53+'难度参数'!$E$54+'难度参数'!$E$55+'难度参数'!$E$56+'难度参数'!$E$57),1,0)</x:f>
        <x:v>6</x:v>
      </x:c>
      <x:c r="W683" s="62" t="str">
        <x:f>IF(L683&gt;'难度参数'!$E$51,"仅出怪已超目标","还需实测")</x:f>
        <x:v>仅出怪已超目标</x:v>
      </x:c>
      <x:c r="X683" s="119" t="n">
        <x:f>IF(1&gt;D683,0,MAX(2,MIN('难度参数'!$E$12,ROUND(('难度参数'!$E$18*POWER(A683,'难度参数'!$E$19)/D683*(0.85+0.3*(1-1)/MAX(1,D683-1))),0)+F683)))</x:f>
        <x:v>39</x:v>
      </x:c>
      <x:c r="Y683" s="119" t="n">
        <x:f>IF(1&gt;D683,0,ROUND(('难度参数'!$E$13*POWER(A683,'难度参数'!$E$20)*MIN('难度参数'!$E$23,1+MAX(0,A683-'难度参数'!$E$21)*'难度参数'!$E$22))*(36+1*7)/(36+7*(D683+1)/2)*E683,0))</x:f>
        <x:v>9900</x:v>
      </x:c>
      <x:c r="Z683" s="119" t="n">
        <x:f>IF(X683=0,0,(X683-IF(1=D683,1,0))*ROUND(Y683*VLOOKUP(INDEX('章节与怪物'!$E$31:$K$37,B683,1),'章节与怪物'!$A$41:$F$44,2,FALSE),0)+IF(1=D683,ROUND(Y683*'难度参数'!$E$28*'章节与怪物'!$E$17,0),0))</x:f>
        <x:v>386100</x:v>
      </x:c>
      <x:c r="AA683" s="119" t="n">
        <x:f>IF(X683=0,0,(X683-IF(1=D683,1,0))*VLOOKUP(INDEX('章节与怪物'!$E$31:$K$37,B683,1),'章节与怪物'!$A$41:$F$44,4,FALSE)+IF(1=D683,'难度参数'!$E$30,0))</x:f>
        <x:v>702</x:v>
      </x:c>
      <x:c r="AB683" s="119" t="n">
        <x:f>IF(2&gt;D683,0,MAX(2,MIN('难度参数'!$E$12,ROUND(('难度参数'!$E$18*POWER(A683,'难度参数'!$E$19)/D683*(0.85+0.3*(2-1)/MAX(1,D683-1))),0)+F683)))</x:f>
        <x:v>42</x:v>
      </x:c>
      <x:c r="AC683" s="119" t="n">
        <x:f>IF(2&gt;D683,0,ROUND(('难度参数'!$E$13*POWER(A683,'难度参数'!$E$20)*MIN('难度参数'!$E$23,1+MAX(0,A683-'难度参数'!$E$21)*'难度参数'!$E$22))*(36+2*7)/(36+7*(D683+1)/2)*E683,0))</x:f>
        <x:v>11512</x:v>
      </x:c>
      <x:c r="AD683" s="119" t="n">
        <x:f>IF(AB683=0,0,(AB683-IF(2=D683,1,0))*ROUND(AC683*VLOOKUP(INDEX('章节与怪物'!$E$31:$K$37,B683,2),'章节与怪物'!$A$41:$F$44,2,FALSE),0)+IF(2=D683,ROUND(AC683*'难度参数'!$E$28*'章节与怪物'!$E$17,0),0))</x:f>
        <x:v>348138</x:v>
      </x:c>
      <x:c r="AE683" s="119" t="n">
        <x:f>IF(AB683=0,0,(AB683-IF(2=D683,1,0))*VLOOKUP(INDEX('章节与怪物'!$E$31:$K$37,B683,2),'章节与怪物'!$A$41:$F$44,4,FALSE)+IF(2=D683,'难度参数'!$E$30,0))</x:f>
        <x:v>840</x:v>
      </x:c>
      <x:c r="AF683" s="119" t="n">
        <x:f>IF(3&gt;D683,0,MAX(2,MIN('难度参数'!$E$12,ROUND(('难度参数'!$E$18*POWER(A683,'难度参数'!$E$19)/D683*(0.85+0.3*(3-1)/MAX(1,D683-1))),0)+F683)))</x:f>
        <x:v>44</x:v>
      </x:c>
      <x:c r="AG683" s="119" t="n">
        <x:f>IF(3&gt;D683,0,ROUND(('难度参数'!$E$13*POWER(A683,'难度参数'!$E$20)*MIN('难度参数'!$E$23,1+MAX(0,A683-'难度参数'!$E$21)*'难度参数'!$E$22))*(36+3*7)/(36+7*(D683+1)/2)*E683,0))</x:f>
        <x:v>13124</x:v>
      </x:c>
      <x:c r="AH683" s="119" t="n">
        <x:f>IF(AF683=0,0,(AF683-IF(3=D683,1,0))*ROUND(AG683*VLOOKUP(INDEX('章节与怪物'!$E$31:$K$37,B683,3),'章节与怪物'!$A$41:$F$44,2,FALSE),0)+IF(3=D683,ROUND(AG683*'难度参数'!$E$28*'章节与怪物'!$E$17,0),0))</x:f>
        <x:v>981684</x:v>
      </x:c>
      <x:c r="AI683" s="119" t="n">
        <x:f>IF(AF683=0,0,(AF683-IF(3=D683,1,0))*VLOOKUP(INDEX('章节与怪物'!$E$31:$K$37,B683,3),'章节与怪物'!$A$41:$F$44,4,FALSE)+IF(3=D683,'难度参数'!$E$30,0))</x:f>
        <x:v>1232</x:v>
      </x:c>
      <x:c r="AJ683" s="119" t="n">
        <x:f>IF(4&gt;D683,0,MAX(2,MIN('难度参数'!$E$12,ROUND(('难度参数'!$E$18*POWER(A683,'难度参数'!$E$19)/D683*(0.85+0.3*(4-1)/MAX(1,D683-1))),0)+F683)))</x:f>
        <x:v>46</x:v>
      </x:c>
      <x:c r="AK683" s="119" t="n">
        <x:f>IF(4&gt;D683,0,ROUND(('难度参数'!$E$13*POWER(A683,'难度参数'!$E$20)*MIN('难度参数'!$E$23,1+MAX(0,A683-'难度参数'!$E$21)*'难度参数'!$E$22))*(36+4*7)/(36+7*(D683+1)/2)*E683,0))</x:f>
        <x:v>14735</x:v>
      </x:c>
      <x:c r="AL683" s="119" t="n">
        <x:f>IF(AJ683=0,0,(AJ683-IF(4=D683,1,0))*ROUND(AK683*VLOOKUP(INDEX('章节与怪物'!$E$31:$K$37,B683,4),'章节与怪物'!$A$41:$F$44,2,FALSE),0)+IF(4=D683,ROUND(AK683*'难度参数'!$E$28*'章节与怪物'!$E$17,0),0))</x:f>
        <x:v>915032</x:v>
      </x:c>
      <x:c r="AM683" s="119" t="n">
        <x:f>IF(AJ683=0,0,(AJ683-IF(4=D683,1,0))*VLOOKUP(INDEX('章节与怪物'!$E$31:$K$37,B683,4),'章节与怪物'!$A$41:$F$44,4,FALSE)+IF(4=D683,'难度参数'!$E$30,0))</x:f>
        <x:v>1564</x:v>
      </x:c>
      <x:c r="AN683" s="119" t="n">
        <x:f>IF(5&gt;D683,0,MAX(2,MIN('难度参数'!$E$12,ROUND(('难度参数'!$E$18*POWER(A683,'难度参数'!$E$19)/D683*(0.85+0.3*(5-1)/MAX(1,D683-1))),0)+F683)))</x:f>
        <x:v>48</x:v>
      </x:c>
      <x:c r="AO683" s="119" t="n">
        <x:f>IF(5&gt;D683,0,ROUND(('难度参数'!$E$13*POWER(A683,'难度参数'!$E$20)*MIN('难度参数'!$E$23,1+MAX(0,A683-'难度参数'!$E$21)*'难度参数'!$E$22))*(36+5*7)/(36+7*(D683+1)/2)*E683,0))</x:f>
        <x:v>16347</x:v>
      </x:c>
      <x:c r="AP683" s="119" t="n">
        <x:f>IF(AN683=0,0,(AN683-IF(5=D683,1,0))*ROUND(AO683*VLOOKUP(INDEX('章节与怪物'!$E$31:$K$37,B683,5),'章节与怪物'!$A$41:$F$44,2,FALSE),0)+IF(5=D683,ROUND(AO683*'难度参数'!$E$28*'章节与怪物'!$E$17,0),0))</x:f>
        <x:v>564960</x:v>
      </x:c>
      <x:c r="AQ683" s="119" t="n">
        <x:f>IF(AN683=0,0,(AN683-IF(5=D683,1,0))*VLOOKUP(INDEX('章节与怪物'!$E$31:$K$37,B683,5),'章节与怪物'!$A$41:$F$44,4,FALSE)+IF(5=D683,'难度参数'!$E$30,0))</x:f>
        <x:v>960</x:v>
      </x:c>
      <x:c r="AR683" s="119" t="n">
        <x:f>IF(6&gt;D683,0,MAX(2,MIN('难度参数'!$E$12,ROUND(('难度参数'!$E$18*POWER(A683,'难度参数'!$E$19)/D683*(0.85+0.3*(6-1)/MAX(1,D683-1))),0)+F683)))</x:f>
        <x:v>51</x:v>
      </x:c>
      <x:c r="AS683" s="119" t="n">
        <x:f>IF(6&gt;D683,0,ROUND(('难度参数'!$E$13*POWER(A683,'难度参数'!$E$20)*MIN('难度参数'!$E$23,1+MAX(0,A683-'难度参数'!$E$21)*'难度参数'!$E$22))*(36+6*7)/(36+7*(D683+1)/2)*E683,0))</x:f>
        <x:v>17959</x:v>
      </x:c>
      <x:c r="AT683" s="119" t="n">
        <x:f>IF(AR683=0,0,(AR683-IF(6=D683,1,0))*ROUND(AS683*VLOOKUP(INDEX('章节与怪物'!$E$31:$K$37,B683,6),'章节与怪物'!$A$41:$F$44,2,FALSE),0)+IF(6=D683,ROUND(AS683*'难度参数'!$E$28*'章节与怪物'!$E$17,0),0))</x:f>
        <x:v>1557030</x:v>
      </x:c>
      <x:c r="AU683" s="119" t="n">
        <x:f>IF(AR683=0,0,(AR683-IF(6=D683,1,0))*VLOOKUP(INDEX('章节与怪物'!$E$31:$K$37,B683,6),'章节与怪物'!$A$41:$F$44,4,FALSE)+IF(6=D683,'难度参数'!$E$30,0))</x:f>
        <x:v>1428</x:v>
      </x:c>
      <x:c r="AV683" s="119" t="n">
        <x:f>IF(7&gt;D683,0,MAX(2,MIN('难度参数'!$E$12,ROUND(('难度参数'!$E$18*POWER(A683,'难度参数'!$E$19)/D683*(0.85+0.3*(7-1)/MAX(1,D683-1))),0)+F683)))</x:f>
        <x:v>53</x:v>
      </x:c>
      <x:c r="AW683" s="119" t="n">
        <x:f>IF(7&gt;D683,0,ROUND(('难度参数'!$E$13*POWER(A683,'难度参数'!$E$20)*MIN('难度参数'!$E$23,1+MAX(0,A683-'难度参数'!$E$21)*'难度参数'!$E$22))*(36+7*7)/(36+7*(D683+1)/2)*E683,0))</x:f>
        <x:v>19570</x:v>
      </x:c>
      <x:c r="AX683" s="119" t="n">
        <x:f>IF(AV683=0,0,(AV683-IF(7=D683,1,0))*ROUND(AW683*VLOOKUP(INDEX('章节与怪物'!$E$31:$K$37,B683,7),'章节与怪物'!$A$41:$F$44,2,FALSE),0)+IF(7=D683,ROUND(AW683*'难度参数'!$E$28*'章节与怪物'!$E$17,0),0))</x:f>
        <x:v>1506916</x:v>
      </x:c>
      <x:c r="AY683" s="119" t="n">
        <x:f>IF(AV683=0,0,(AV683-IF(7=D683,1,0))*VLOOKUP(INDEX('章节与怪物'!$E$31:$K$37,B683,7),'章节与怪物'!$A$41:$F$44,4,FALSE)+IF(7=D683,'难度参数'!$E$30,0))</x:f>
        <x:v>1968</x:v>
      </x:c>
    </x:row>
    <x:row r="684" ht="23" customHeight="1">
      <x:c r="A684" s="119" t="n">
        <x:v>678</x:v>
      </x:c>
      <x:c r="B684" s="119" t="n">
        <x:f>MOD(INT((A684-1)/5),7)+1</x:f>
        <x:v>3</x:v>
      </x:c>
      <x:c r="C684" s="62" t="str">
        <x:f>INDEX('章节与怪物'!$B$31:$B$37,B684)</x:f>
        <x:v>腐沼秘林</x:v>
      </x:c>
      <x:c r="D684" s="119" t="n">
        <x:f>MIN('难度参数'!$E$8,MAX('难度参数'!$E$7,A684))</x:f>
        <x:v>7</x:v>
      </x:c>
      <x:c r="E684" s="106" t="n">
        <x:v>1</x:v>
      </x:c>
      <x:c r="F684" s="106" t="n">
        <x:v>0</x:v>
      </x:c>
      <x:c r="G684" s="106" t="n">
        <x:v>1</x:v>
      </x:c>
      <x:c r="H684" s="119" t="n">
        <x:f>SUM(X684,AB684,AF684,AJ684,AN684,AR684,AV684)</x:f>
        <x:v>323</x:v>
      </x:c>
      <x:c r="I684" s="119" t="n">
        <x:f>SUM(Z684,AD684,AH684,AL684,AP684,AT684,AX684)</x:f>
        <x:v>6266551</x:v>
      </x:c>
      <x:c r="J684" s="119" t="n">
        <x:f>ROUND(INDEX(X684:AY684,1,(D684-1)*4+2)*'难度参数'!$E$28*'章节与怪物'!$E$17,0)</x:f>
        <x:v>133219</x:v>
      </x:c>
      <x:c r="K684" s="119" t="n">
        <x:f>SUM(AA684,AE684,AI684,AM684,AQ684,AU684,AY684)</x:f>
        <x:v>8694</x:v>
      </x:c>
      <x:c r="L684" s="62" t="n">
        <x:f>H684*(ROUNDUP('难度参数'!$E$24/('难度参数'!$E$26*'难度参数'!$E$27),0)*'难度参数'!$E$26)/60</x:f>
        <x:v>4.3066666666666675</x:v>
      </x:c>
      <x:c r="M684" s="62" t="n">
        <x:f>L684+D684*('难度参数'!$E$49+'难度参数'!$E$50)/60</x:f>
        <x:v>5.4733333333333345</x:v>
      </x:c>
      <x:c r="N684" s="119" t="n">
        <x:f>ROUNDDOWN(('经济参数'!$E$20+A684*'经济参数'!$E$21)*G684,0)</x:f>
        <x:v>13740</x:v>
      </x:c>
      <x:c r="O684" s="119" t="n">
        <x:f>ROUNDDOWN(MIN('经济参数'!$E$24,'经济参数'!$E$22+A684*'经济参数'!$E$23)*G684,0)</x:f>
        <x:v>0</x:v>
      </x:c>
      <x:c r="P684" s="119" t="n">
        <x:f>ROUNDDOWN((IF(A684&gt;='材料与任务'!$E$31,'材料与任务'!$E$32,IF(A684&gt;='材料与任务'!$E$25,'材料与任务'!$E$26,IF(A684&gt;='材料与任务'!$E$19,'材料与任务'!$E$20,IF(A684&gt;='材料与任务'!$E$13,'材料与任务'!$E$14,'材料与任务'!$E$8)))))*G684,0)</x:f>
        <x:v>6</x:v>
      </x:c>
      <x:c r="Q684" s="119" t="n">
        <x:f>ROUNDDOWN((IF(A684&gt;='材料与任务'!$E$31,'材料与任务'!$E$33,IF(A684&gt;='材料与任务'!$E$25,'材料与任务'!$E$27,IF(A684&gt;='材料与任务'!$E$19,'材料与任务'!$E$21,IF(A684&gt;='材料与任务'!$E$13,'材料与任务'!$E$15,'材料与任务'!$E$9)))))*G684,0)</x:f>
        <x:v>3</x:v>
      </x:c>
      <x:c r="R684" s="110" t="n">
        <x:f>'装备掉落'!$B$38</x:f>
        <x:v>0.6872058758851213</x:v>
      </x:c>
      <x:c r="S684" s="119" t="n">
        <x:f>MAX(IF(VLOOKUP(A684,'装备掉落'!$A$29:$H$34,2,TRUE)&gt;0,1,0),IF(VLOOKUP(A684,'装备掉落'!$A$29:$H$34,3,TRUE)&gt;0,2,0),IF(VLOOKUP(A684,'装备掉落'!$A$29:$H$34,4,TRUE)&gt;0,3,0),IF(VLOOKUP(A684,'装备掉落'!$A$29:$H$34,5,TRUE)&gt;0,4,0),IF(VLOOKUP(A684,'装备掉落'!$A$29:$H$34,6,TRUE)&gt;0,5,0),IF(VLOOKUP(A684,'装备掉落'!$A$29:$H$34,7,TRUE)&gt;0,6,0),IF(VLOOKUP(A684,'装备掉落'!$A$29:$H$34,8,TRUE)&gt;0,7,0))</x:f>
        <x:v>7</x:v>
      </x:c>
      <x:c r="T684" s="119" t="n">
        <x:f>MIN(7,S684+'经济参数'!$E$70)</x:f>
        <x:v>7</x:v>
      </x:c>
      <x:c r="U684" s="119" t="n">
        <x:f>MIN(7,S684+'经济参数'!$E$71)</x:f>
        <x:v>7</x:v>
      </x:c>
      <x:c r="V684" s="119" t="n">
        <x:f>IF(H684&gt;=('难度参数'!$E$52),1,0)+IF(H684&gt;=('难度参数'!$E$52+'难度参数'!$E$53),1,0)+IF(H684&gt;=('难度参数'!$E$52+'难度参数'!$E$53+'难度参数'!$E$54),1,0)+IF(H684&gt;=('难度参数'!$E$52+'难度参数'!$E$53+'难度参数'!$E$54+'难度参数'!$E$55),1,0)+IF(H684&gt;=('难度参数'!$E$52+'难度参数'!$E$53+'难度参数'!$E$54+'难度参数'!$E$55+'难度参数'!$E$56),1,0)+IF(H684&gt;=('难度参数'!$E$52+'难度参数'!$E$53+'难度参数'!$E$54+'难度参数'!$E$55+'难度参数'!$E$56+'难度参数'!$E$57),1,0)</x:f>
        <x:v>6</x:v>
      </x:c>
      <x:c r="W684" s="62" t="str">
        <x:f>IF(L684&gt;'难度参数'!$E$51,"仅出怪已超目标","还需实测")</x:f>
        <x:v>仅出怪已超目标</x:v>
      </x:c>
      <x:c r="X684" s="119" t="n">
        <x:f>IF(1&gt;D684,0,MAX(2,MIN('难度参数'!$E$12,ROUND(('难度参数'!$E$18*POWER(A684,'难度参数'!$E$19)/D684*(0.85+0.3*(1-1)/MAX(1,D684-1))),0)+F684)))</x:f>
        <x:v>39</x:v>
      </x:c>
      <x:c r="Y684" s="119" t="n">
        <x:f>IF(1&gt;D684,0,ROUND(('难度参数'!$E$13*POWER(A684,'难度参数'!$E$20)*MIN('难度参数'!$E$23,1+MAX(0,A684-'难度参数'!$E$21)*'难度参数'!$E$22))*(36+1*7)/(36+7*(D684+1)/2)*E684,0))</x:f>
        <x:v>9911</x:v>
      </x:c>
      <x:c r="Z684" s="119" t="n">
        <x:f>IF(X684=0,0,(X684-IF(1=D684,1,0))*ROUND(Y684*VLOOKUP(INDEX('章节与怪物'!$E$31:$K$37,B684,1),'章节与怪物'!$A$41:$F$44,2,FALSE),0)+IF(1=D684,ROUND(Y684*'难度参数'!$E$28*'章节与怪物'!$E$17,0),0))</x:f>
        <x:v>386529</x:v>
      </x:c>
      <x:c r="AA684" s="119" t="n">
        <x:f>IF(X684=0,0,(X684-IF(1=D684,1,0))*VLOOKUP(INDEX('章节与怪物'!$E$31:$K$37,B684,1),'章节与怪物'!$A$41:$F$44,4,FALSE)+IF(1=D684,'难度参数'!$E$30,0))</x:f>
        <x:v>702</x:v>
      </x:c>
      <x:c r="AB684" s="119" t="n">
        <x:f>IF(2&gt;D684,0,MAX(2,MIN('难度参数'!$E$12,ROUND(('难度参数'!$E$18*POWER(A684,'难度参数'!$E$19)/D684*(0.85+0.3*(2-1)/MAX(1,D684-1))),0)+F684)))</x:f>
        <x:v>42</x:v>
      </x:c>
      <x:c r="AC684" s="119" t="n">
        <x:f>IF(2&gt;D684,0,ROUND(('难度参数'!$E$13*POWER(A684,'难度参数'!$E$20)*MIN('难度参数'!$E$23,1+MAX(0,A684-'难度参数'!$E$21)*'难度参数'!$E$22))*(36+2*7)/(36+7*(D684+1)/2)*E684,0))</x:f>
        <x:v>11524</x:v>
      </x:c>
      <x:c r="AD684" s="119" t="n">
        <x:f>IF(AB684=0,0,(AB684-IF(2=D684,1,0))*ROUND(AC684*VLOOKUP(INDEX('章节与怪物'!$E$31:$K$37,B684,2),'章节与怪物'!$A$41:$F$44,2,FALSE),0)+IF(2=D684,ROUND(AC684*'难度参数'!$E$28*'章节与怪物'!$E$17,0),0))</x:f>
        <x:v>348474</x:v>
      </x:c>
      <x:c r="AE684" s="119" t="n">
        <x:f>IF(AB684=0,0,(AB684-IF(2=D684,1,0))*VLOOKUP(INDEX('章节与怪物'!$E$31:$K$37,B684,2),'章节与怪物'!$A$41:$F$44,4,FALSE)+IF(2=D684,'难度参数'!$E$30,0))</x:f>
        <x:v>840</x:v>
      </x:c>
      <x:c r="AF684" s="119" t="n">
        <x:f>IF(3&gt;D684,0,MAX(2,MIN('难度参数'!$E$12,ROUND(('难度参数'!$E$18*POWER(A684,'难度参数'!$E$19)/D684*(0.85+0.3*(3-1)/MAX(1,D684-1))),0)+F684)))</x:f>
        <x:v>44</x:v>
      </x:c>
      <x:c r="AG684" s="119" t="n">
        <x:f>IF(3&gt;D684,0,ROUND(('难度参数'!$E$13*POWER(A684,'难度参数'!$E$20)*MIN('难度参数'!$E$23,1+MAX(0,A684-'难度参数'!$E$21)*'难度参数'!$E$22))*(36+3*7)/(36+7*(D684+1)/2)*E684,0))</x:f>
        <x:v>13138</x:v>
      </x:c>
      <x:c r="AH684" s="119" t="n">
        <x:f>IF(AF684=0,0,(AF684-IF(3=D684,1,0))*ROUND(AG684*VLOOKUP(INDEX('章节与怪物'!$E$31:$K$37,B684,3),'章节与怪物'!$A$41:$F$44,2,FALSE),0)+IF(3=D684,ROUND(AG684*'难度参数'!$E$28*'章节与怪物'!$E$17,0),0))</x:f>
        <x:v>982740</x:v>
      </x:c>
      <x:c r="AI684" s="119" t="n">
        <x:f>IF(AF684=0,0,(AF684-IF(3=D684,1,0))*VLOOKUP(INDEX('章节与怪物'!$E$31:$K$37,B684,3),'章节与怪物'!$A$41:$F$44,4,FALSE)+IF(3=D684,'难度参数'!$E$30,0))</x:f>
        <x:v>1232</x:v>
      </x:c>
      <x:c r="AJ684" s="119" t="n">
        <x:f>IF(4&gt;D684,0,MAX(2,MIN('难度参数'!$E$12,ROUND(('难度参数'!$E$18*POWER(A684,'难度参数'!$E$19)/D684*(0.85+0.3*(4-1)/MAX(1,D684-1))),0)+F684)))</x:f>
        <x:v>46</x:v>
      </x:c>
      <x:c r="AK684" s="119" t="n">
        <x:f>IF(4&gt;D684,0,ROUND(('难度参数'!$E$13*POWER(A684,'难度参数'!$E$20)*MIN('难度参数'!$E$23,1+MAX(0,A684-'难度参数'!$E$21)*'难度参数'!$E$22))*(36+4*7)/(36+7*(D684+1)/2)*E684,0))</x:f>
        <x:v>14751</x:v>
      </x:c>
      <x:c r="AL684" s="119" t="n">
        <x:f>IF(AJ684=0,0,(AJ684-IF(4=D684,1,0))*ROUND(AK684*VLOOKUP(INDEX('章节与怪物'!$E$31:$K$37,B684,4),'章节与怪物'!$A$41:$F$44,2,FALSE),0)+IF(4=D684,ROUND(AK684*'难度参数'!$E$28*'章节与怪物'!$E$17,0),0))</x:f>
        <x:v>916044</x:v>
      </x:c>
      <x:c r="AM684" s="119" t="n">
        <x:f>IF(AJ684=0,0,(AJ684-IF(4=D684,1,0))*VLOOKUP(INDEX('章节与怪物'!$E$31:$K$37,B684,4),'章节与怪物'!$A$41:$F$44,4,FALSE)+IF(4=D684,'难度参数'!$E$30,0))</x:f>
        <x:v>1564</x:v>
      </x:c>
      <x:c r="AN684" s="119" t="n">
        <x:f>IF(5&gt;D684,0,MAX(2,MIN('难度参数'!$E$12,ROUND(('难度参数'!$E$18*POWER(A684,'难度参数'!$E$19)/D684*(0.85+0.3*(5-1)/MAX(1,D684-1))),0)+F684)))</x:f>
        <x:v>48</x:v>
      </x:c>
      <x:c r="AO684" s="119" t="n">
        <x:f>IF(5&gt;D684,0,ROUND(('难度参数'!$E$13*POWER(A684,'难度参数'!$E$20)*MIN('难度参数'!$E$23,1+MAX(0,A684-'难度参数'!$E$21)*'难度参数'!$E$22))*(36+5*7)/(36+7*(D684+1)/2)*E684,0))</x:f>
        <x:v>16364</x:v>
      </x:c>
      <x:c r="AP684" s="119" t="n">
        <x:f>IF(AN684=0,0,(AN684-IF(5=D684,1,0))*ROUND(AO684*VLOOKUP(INDEX('章节与怪物'!$E$31:$K$37,B684,5),'章节与怪物'!$A$41:$F$44,2,FALSE),0)+IF(5=D684,ROUND(AO684*'难度参数'!$E$28*'章节与怪物'!$E$17,0),0))</x:f>
        <x:v>565536</x:v>
      </x:c>
      <x:c r="AQ684" s="119" t="n">
        <x:f>IF(AN684=0,0,(AN684-IF(5=D684,1,0))*VLOOKUP(INDEX('章节与怪物'!$E$31:$K$37,B684,5),'章节与怪物'!$A$41:$F$44,4,FALSE)+IF(5=D684,'难度参数'!$E$30,0))</x:f>
        <x:v>960</x:v>
      </x:c>
      <x:c r="AR684" s="119" t="n">
        <x:f>IF(6&gt;D684,0,MAX(2,MIN('难度参数'!$E$12,ROUND(('难度参数'!$E$18*POWER(A684,'难度参数'!$E$19)/D684*(0.85+0.3*(6-1)/MAX(1,D684-1))),0)+F684)))</x:f>
        <x:v>51</x:v>
      </x:c>
      <x:c r="AS684" s="119" t="n">
        <x:f>IF(6&gt;D684,0,ROUND(('难度参数'!$E$13*POWER(A684,'难度参数'!$E$20)*MIN('难度参数'!$E$23,1+MAX(0,A684-'难度参数'!$E$21)*'难度参数'!$E$22))*(36+6*7)/(36+7*(D684+1)/2)*E684,0))</x:f>
        <x:v>17978</x:v>
      </x:c>
      <x:c r="AT684" s="119" t="n">
        <x:f>IF(AR684=0,0,(AR684-IF(6=D684,1,0))*ROUND(AS684*VLOOKUP(INDEX('章节与怪物'!$E$31:$K$37,B684,6),'章节与怪物'!$A$41:$F$44,2,FALSE),0)+IF(6=D684,ROUND(AS684*'难度参数'!$E$28*'章节与怪物'!$E$17,0),0))</x:f>
        <x:v>1558713</x:v>
      </x:c>
      <x:c r="AU684" s="119" t="n">
        <x:f>IF(AR684=0,0,(AR684-IF(6=D684,1,0))*VLOOKUP(INDEX('章节与怪物'!$E$31:$K$37,B684,6),'章节与怪物'!$A$41:$F$44,4,FALSE)+IF(6=D684,'难度参数'!$E$30,0))</x:f>
        <x:v>1428</x:v>
      </x:c>
      <x:c r="AV684" s="119" t="n">
        <x:f>IF(7&gt;D684,0,MAX(2,MIN('难度参数'!$E$12,ROUND(('难度参数'!$E$18*POWER(A684,'难度参数'!$E$19)/D684*(0.85+0.3*(7-1)/MAX(1,D684-1))),0)+F684)))</x:f>
        <x:v>53</x:v>
      </x:c>
      <x:c r="AW684" s="119" t="n">
        <x:f>IF(7&gt;D684,0,ROUND(('难度参数'!$E$13*POWER(A684,'难度参数'!$E$20)*MIN('难度参数'!$E$23,1+MAX(0,A684-'难度参数'!$E$21)*'难度参数'!$E$22))*(36+7*7)/(36+7*(D684+1)/2)*E684,0))</x:f>
        <x:v>19591</x:v>
      </x:c>
      <x:c r="AX684" s="119" t="n">
        <x:f>IF(AV684=0,0,(AV684-IF(7=D684,1,0))*ROUND(AW684*VLOOKUP(INDEX('章节与怪物'!$E$31:$K$37,B684,7),'章节与怪物'!$A$41:$F$44,2,FALSE),0)+IF(7=D684,ROUND(AW684*'难度参数'!$E$28*'章节与怪物'!$E$17,0),0))</x:f>
        <x:v>1508515</x:v>
      </x:c>
      <x:c r="AY684" s="119" t="n">
        <x:f>IF(AV684=0,0,(AV684-IF(7=D684,1,0))*VLOOKUP(INDEX('章节与怪物'!$E$31:$K$37,B684,7),'章节与怪物'!$A$41:$F$44,4,FALSE)+IF(7=D684,'难度参数'!$E$30,0))</x:f>
        <x:v>1968</x:v>
      </x:c>
    </x:row>
    <x:row r="685" ht="23" customHeight="1">
      <x:c r="A685" s="119" t="n">
        <x:v>679</x:v>
      </x:c>
      <x:c r="B685" s="119" t="n">
        <x:f>MOD(INT((A685-1)/5),7)+1</x:f>
        <x:v>3</x:v>
      </x:c>
      <x:c r="C685" s="62" t="str">
        <x:f>INDEX('章节与怪物'!$B$31:$B$37,B685)</x:f>
        <x:v>腐沼秘林</x:v>
      </x:c>
      <x:c r="D685" s="119" t="n">
        <x:f>MIN('难度参数'!$E$8,MAX('难度参数'!$E$7,A685))</x:f>
        <x:v>7</x:v>
      </x:c>
      <x:c r="E685" s="106" t="n">
        <x:v>1</x:v>
      </x:c>
      <x:c r="F685" s="106" t="n">
        <x:v>0</x:v>
      </x:c>
      <x:c r="G685" s="106" t="n">
        <x:v>1</x:v>
      </x:c>
      <x:c r="H685" s="119" t="n">
        <x:f>SUM(X685,AB685,AF685,AJ685,AN685,AR685,AV685)</x:f>
        <x:v>324</x:v>
      </x:c>
      <x:c r="I685" s="119" t="n">
        <x:f>SUM(Z685,AD685,AH685,AL685,AP685,AT685,AX685)</x:f>
        <x:v>6284903</x:v>
      </x:c>
      <x:c r="J685" s="119" t="n">
        <x:f>ROUND(INDEX(X685:AY685,1,(D685-1)*4+2)*'难度参数'!$E$28*'章节与怪物'!$E$17,0)</x:f>
        <x:v>133362</x:v>
      </x:c>
      <x:c r="K685" s="119" t="n">
        <x:f>SUM(AA685,AE685,AI685,AM685,AQ685,AU685,AY685)</x:f>
        <x:v>8714</x:v>
      </x:c>
      <x:c r="L685" s="62" t="n">
        <x:f>H685*(ROUNDUP('难度参数'!$E$24/('难度参数'!$E$26*'难度参数'!$E$27),0)*'难度参数'!$E$26)/60</x:f>
        <x:v>4.319999999999999</x:v>
      </x:c>
      <x:c r="M685" s="62" t="n">
        <x:f>L685+D685*('难度参数'!$E$49+'难度参数'!$E$50)/60</x:f>
        <x:v>5.486666666666666</x:v>
      </x:c>
      <x:c r="N685" s="119" t="n">
        <x:f>ROUNDDOWN(('经济参数'!$E$20+A685*'经济参数'!$E$21)*G685,0)</x:f>
        <x:v>13760</x:v>
      </x:c>
      <x:c r="O685" s="119" t="n">
        <x:f>ROUNDDOWN(MIN('经济参数'!$E$24,'经济参数'!$E$22+A685*'经济参数'!$E$23)*G685,0)</x:f>
        <x:v>0</x:v>
      </x:c>
      <x:c r="P685" s="119" t="n">
        <x:f>ROUNDDOWN((IF(A685&gt;='材料与任务'!$E$31,'材料与任务'!$E$32,IF(A685&gt;='材料与任务'!$E$25,'材料与任务'!$E$26,IF(A685&gt;='材料与任务'!$E$19,'材料与任务'!$E$20,IF(A685&gt;='材料与任务'!$E$13,'材料与任务'!$E$14,'材料与任务'!$E$8)))))*G685,0)</x:f>
        <x:v>6</x:v>
      </x:c>
      <x:c r="Q685" s="119" t="n">
        <x:f>ROUNDDOWN((IF(A685&gt;='材料与任务'!$E$31,'材料与任务'!$E$33,IF(A685&gt;='材料与任务'!$E$25,'材料与任务'!$E$27,IF(A685&gt;='材料与任务'!$E$19,'材料与任务'!$E$21,IF(A685&gt;='材料与任务'!$E$13,'材料与任务'!$E$15,'材料与任务'!$E$9)))))*G685,0)</x:f>
        <x:v>3</x:v>
      </x:c>
      <x:c r="R685" s="110" t="n">
        <x:f>'装备掉落'!$B$38</x:f>
        <x:v>0.6872058758851213</x:v>
      </x:c>
      <x:c r="S685" s="119" t="n">
        <x:f>MAX(IF(VLOOKUP(A685,'装备掉落'!$A$29:$H$34,2,TRUE)&gt;0,1,0),IF(VLOOKUP(A685,'装备掉落'!$A$29:$H$34,3,TRUE)&gt;0,2,0),IF(VLOOKUP(A685,'装备掉落'!$A$29:$H$34,4,TRUE)&gt;0,3,0),IF(VLOOKUP(A685,'装备掉落'!$A$29:$H$34,5,TRUE)&gt;0,4,0),IF(VLOOKUP(A685,'装备掉落'!$A$29:$H$34,6,TRUE)&gt;0,5,0),IF(VLOOKUP(A685,'装备掉落'!$A$29:$H$34,7,TRUE)&gt;0,6,0),IF(VLOOKUP(A685,'装备掉落'!$A$29:$H$34,8,TRUE)&gt;0,7,0))</x:f>
        <x:v>7</x:v>
      </x:c>
      <x:c r="T685" s="119" t="n">
        <x:f>MIN(7,S685+'经济参数'!$E$70)</x:f>
        <x:v>7</x:v>
      </x:c>
      <x:c r="U685" s="119" t="n">
        <x:f>MIN(7,S685+'经济参数'!$E$71)</x:f>
        <x:v>7</x:v>
      </x:c>
      <x:c r="V685" s="119" t="n">
        <x:f>IF(H685&gt;=('难度参数'!$E$52),1,0)+IF(H685&gt;=('难度参数'!$E$52+'难度参数'!$E$53),1,0)+IF(H685&gt;=('难度参数'!$E$52+'难度参数'!$E$53+'难度参数'!$E$54),1,0)+IF(H685&gt;=('难度参数'!$E$52+'难度参数'!$E$53+'难度参数'!$E$54+'难度参数'!$E$55),1,0)+IF(H685&gt;=('难度参数'!$E$52+'难度参数'!$E$53+'难度参数'!$E$54+'难度参数'!$E$55+'难度参数'!$E$56),1,0)+IF(H685&gt;=('难度参数'!$E$52+'难度参数'!$E$53+'难度参数'!$E$54+'难度参数'!$E$55+'难度参数'!$E$56+'难度参数'!$E$57),1,0)</x:f>
        <x:v>6</x:v>
      </x:c>
      <x:c r="W685" s="62" t="str">
        <x:f>IF(L685&gt;'难度参数'!$E$51,"仅出怪已超目标","还需实测")</x:f>
        <x:v>仅出怪已超目标</x:v>
      </x:c>
      <x:c r="X685" s="119" t="n">
        <x:f>IF(1&gt;D685,0,MAX(2,MIN('难度参数'!$E$12,ROUND(('难度参数'!$E$18*POWER(A685,'难度参数'!$E$19)/D685*(0.85+0.3*(1-1)/MAX(1,D685-1))),0)+F685)))</x:f>
        <x:v>39</x:v>
      </x:c>
      <x:c r="Y685" s="119" t="n">
        <x:f>IF(1&gt;D685,0,ROUND(('难度参数'!$E$13*POWER(A685,'难度参数'!$E$20)*MIN('难度参数'!$E$23,1+MAX(0,A685-'难度参数'!$E$21)*'难度参数'!$E$22))*(36+1*7)/(36+7*(D685+1)/2)*E685,0))</x:f>
        <x:v>9921</x:v>
      </x:c>
      <x:c r="Z685" s="119" t="n">
        <x:f>IF(X685=0,0,(X685-IF(1=D685,1,0))*ROUND(Y685*VLOOKUP(INDEX('章节与怪物'!$E$31:$K$37,B685,1),'章节与怪物'!$A$41:$F$44,2,FALSE),0)+IF(1=D685,ROUND(Y685*'难度参数'!$E$28*'章节与怪物'!$E$17,0),0))</x:f>
        <x:v>386919</x:v>
      </x:c>
      <x:c r="AA685" s="119" t="n">
        <x:f>IF(X685=0,0,(X685-IF(1=D685,1,0))*VLOOKUP(INDEX('章节与怪物'!$E$31:$K$37,B685,1),'章节与怪物'!$A$41:$F$44,4,FALSE)+IF(1=D685,'难度参数'!$E$30,0))</x:f>
        <x:v>702</x:v>
      </x:c>
      <x:c r="AB685" s="119" t="n">
        <x:f>IF(2&gt;D685,0,MAX(2,MIN('难度参数'!$E$12,ROUND(('难度参数'!$E$18*POWER(A685,'难度参数'!$E$19)/D685*(0.85+0.3*(2-1)/MAX(1,D685-1))),0)+F685)))</x:f>
        <x:v>42</x:v>
      </x:c>
      <x:c r="AC685" s="119" t="n">
        <x:f>IF(2&gt;D685,0,ROUND(('难度参数'!$E$13*POWER(A685,'难度参数'!$E$20)*MIN('难度参数'!$E$23,1+MAX(0,A685-'难度参数'!$E$21)*'难度参数'!$E$22))*(36+2*7)/(36+7*(D685+1)/2)*E685,0))</x:f>
        <x:v>11536</x:v>
      </x:c>
      <x:c r="AD685" s="119" t="n">
        <x:f>IF(AB685=0,0,(AB685-IF(2=D685,1,0))*ROUND(AC685*VLOOKUP(INDEX('章节与怪物'!$E$31:$K$37,B685,2),'章节与怪物'!$A$41:$F$44,2,FALSE),0)+IF(2=D685,ROUND(AC685*'难度参数'!$E$28*'章节与怪物'!$E$17,0),0))</x:f>
        <x:v>348852</x:v>
      </x:c>
      <x:c r="AE685" s="119" t="n">
        <x:f>IF(AB685=0,0,(AB685-IF(2=D685,1,0))*VLOOKUP(INDEX('章节与怪物'!$E$31:$K$37,B685,2),'章节与怪物'!$A$41:$F$44,4,FALSE)+IF(2=D685,'难度参数'!$E$30,0))</x:f>
        <x:v>840</x:v>
      </x:c>
      <x:c r="AF685" s="119" t="n">
        <x:f>IF(3&gt;D685,0,MAX(2,MIN('难度参数'!$E$12,ROUND(('难度参数'!$E$18*POWER(A685,'难度参数'!$E$19)/D685*(0.85+0.3*(3-1)/MAX(1,D685-1))),0)+F685)))</x:f>
        <x:v>44</x:v>
      </x:c>
      <x:c r="AG685" s="119" t="n">
        <x:f>IF(3&gt;D685,0,ROUND(('难度参数'!$E$13*POWER(A685,'难度参数'!$E$20)*MIN('难度参数'!$E$23,1+MAX(0,A685-'难度参数'!$E$21)*'难度参数'!$E$22))*(36+3*7)/(36+7*(D685+1)/2)*E685,0))</x:f>
        <x:v>13151</x:v>
      </x:c>
      <x:c r="AH685" s="119" t="n">
        <x:f>IF(AF685=0,0,(AF685-IF(3=D685,1,0))*ROUND(AG685*VLOOKUP(INDEX('章节与怪物'!$E$31:$K$37,B685,3),'章节与怪物'!$A$41:$F$44,2,FALSE),0)+IF(3=D685,ROUND(AG685*'难度参数'!$E$28*'章节与怪物'!$E$17,0),0))</x:f>
        <x:v>983708</x:v>
      </x:c>
      <x:c r="AI685" s="119" t="n">
        <x:f>IF(AF685=0,0,(AF685-IF(3=D685,1,0))*VLOOKUP(INDEX('章节与怪物'!$E$31:$K$37,B685,3),'章节与怪物'!$A$41:$F$44,4,FALSE)+IF(3=D685,'难度参数'!$E$30,0))</x:f>
        <x:v>1232</x:v>
      </x:c>
      <x:c r="AJ685" s="119" t="n">
        <x:f>IF(4&gt;D685,0,MAX(2,MIN('难度参数'!$E$12,ROUND(('难度参数'!$E$18*POWER(A685,'难度参数'!$E$19)/D685*(0.85+0.3*(4-1)/MAX(1,D685-1))),0)+F685)))</x:f>
        <x:v>46</x:v>
      </x:c>
      <x:c r="AK685" s="119" t="n">
        <x:f>IF(4&gt;D685,0,ROUND(('难度参数'!$E$13*POWER(A685,'难度参数'!$E$20)*MIN('难度参数'!$E$23,1+MAX(0,A685-'难度参数'!$E$21)*'难度参数'!$E$22))*(36+4*7)/(36+7*(D685+1)/2)*E685,0))</x:f>
        <x:v>14767</x:v>
      </x:c>
      <x:c r="AL685" s="119" t="n">
        <x:f>IF(AJ685=0,0,(AJ685-IF(4=D685,1,0))*ROUND(AK685*VLOOKUP(INDEX('章节与怪物'!$E$31:$K$37,B685,4),'章节与怪物'!$A$41:$F$44,2,FALSE),0)+IF(4=D685,ROUND(AK685*'难度参数'!$E$28*'章节与怪物'!$E$17,0),0))</x:f>
        <x:v>917010</x:v>
      </x:c>
      <x:c r="AM685" s="119" t="n">
        <x:f>IF(AJ685=0,0,(AJ685-IF(4=D685,1,0))*VLOOKUP(INDEX('章节与怪物'!$E$31:$K$37,B685,4),'章节与怪物'!$A$41:$F$44,4,FALSE)+IF(4=D685,'难度参数'!$E$30,0))</x:f>
        <x:v>1564</x:v>
      </x:c>
      <x:c r="AN685" s="119" t="n">
        <x:f>IF(5&gt;D685,0,MAX(2,MIN('难度参数'!$E$12,ROUND(('难度参数'!$E$18*POWER(A685,'难度参数'!$E$19)/D685*(0.85+0.3*(5-1)/MAX(1,D685-1))),0)+F685)))</x:f>
        <x:v>49</x:v>
      </x:c>
      <x:c r="AO685" s="119" t="n">
        <x:f>IF(5&gt;D685,0,ROUND(('难度参数'!$E$13*POWER(A685,'难度参数'!$E$20)*MIN('难度参数'!$E$23,1+MAX(0,A685-'难度参数'!$E$21)*'难度参数'!$E$22))*(36+5*7)/(36+7*(D685+1)/2)*E685,0))</x:f>
        <x:v>16382</x:v>
      </x:c>
      <x:c r="AP685" s="119" t="n">
        <x:f>IF(AN685=0,0,(AN685-IF(5=D685,1,0))*ROUND(AO685*VLOOKUP(INDEX('章节与怪物'!$E$31:$K$37,B685,5),'章节与怪物'!$A$41:$F$44,2,FALSE),0)+IF(5=D685,ROUND(AO685*'难度参数'!$E$28*'章节与怪物'!$E$17,0),0))</x:f>
        <x:v>577955</x:v>
      </x:c>
      <x:c r="AQ685" s="119" t="n">
        <x:f>IF(AN685=0,0,(AN685-IF(5=D685,1,0))*VLOOKUP(INDEX('章节与怪物'!$E$31:$K$37,B685,5),'章节与怪物'!$A$41:$F$44,4,FALSE)+IF(5=D685,'难度参数'!$E$30,0))</x:f>
        <x:v>980</x:v>
      </x:c>
      <x:c r="AR685" s="119" t="n">
        <x:f>IF(6&gt;D685,0,MAX(2,MIN('难度参数'!$E$12,ROUND(('难度参数'!$E$18*POWER(A685,'难度参数'!$E$19)/D685*(0.85+0.3*(6-1)/MAX(1,D685-1))),0)+F685)))</x:f>
        <x:v>51</x:v>
      </x:c>
      <x:c r="AS685" s="119" t="n">
        <x:f>IF(6&gt;D685,0,ROUND(('难度参数'!$E$13*POWER(A685,'难度参数'!$E$20)*MIN('难度参数'!$E$23,1+MAX(0,A685-'难度参数'!$E$21)*'难度参数'!$E$22))*(36+6*7)/(36+7*(D685+1)/2)*E685,0))</x:f>
        <x:v>17997</x:v>
      </x:c>
      <x:c r="AT685" s="119" t="n">
        <x:f>IF(AR685=0,0,(AR685-IF(6=D685,1,0))*ROUND(AS685*VLOOKUP(INDEX('章节与怪物'!$E$31:$K$37,B685,6),'章节与怪物'!$A$41:$F$44,2,FALSE),0)+IF(6=D685,ROUND(AS685*'难度参数'!$E$28*'章节与怪物'!$E$17,0),0))</x:f>
        <x:v>1560345</x:v>
      </x:c>
      <x:c r="AU685" s="119" t="n">
        <x:f>IF(AR685=0,0,(AR685-IF(6=D685,1,0))*VLOOKUP(INDEX('章节与怪物'!$E$31:$K$37,B685,6),'章节与怪物'!$A$41:$F$44,4,FALSE)+IF(6=D685,'难度参数'!$E$30,0))</x:f>
        <x:v>1428</x:v>
      </x:c>
      <x:c r="AV685" s="119" t="n">
        <x:f>IF(7&gt;D685,0,MAX(2,MIN('难度参数'!$E$12,ROUND(('难度参数'!$E$18*POWER(A685,'难度参数'!$E$19)/D685*(0.85+0.3*(7-1)/MAX(1,D685-1))),0)+F685)))</x:f>
        <x:v>53</x:v>
      </x:c>
      <x:c r="AW685" s="119" t="n">
        <x:f>IF(7&gt;D685,0,ROUND(('难度参数'!$E$13*POWER(A685,'难度参数'!$E$20)*MIN('难度参数'!$E$23,1+MAX(0,A685-'难度参数'!$E$21)*'难度参数'!$E$22))*(36+7*7)/(36+7*(D685+1)/2)*E685,0))</x:f>
        <x:v>19612</x:v>
      </x:c>
      <x:c r="AX685" s="119" t="n">
        <x:f>IF(AV685=0,0,(AV685-IF(7=D685,1,0))*ROUND(AW685*VLOOKUP(INDEX('章节与怪物'!$E$31:$K$37,B685,7),'章节与怪物'!$A$41:$F$44,2,FALSE),0)+IF(7=D685,ROUND(AW685*'难度参数'!$E$28*'章节与怪物'!$E$17,0),0))</x:f>
        <x:v>1510114</x:v>
      </x:c>
      <x:c r="AY685" s="119" t="n">
        <x:f>IF(AV685=0,0,(AV685-IF(7=D685,1,0))*VLOOKUP(INDEX('章节与怪物'!$E$31:$K$37,B685,7),'章节与怪物'!$A$41:$F$44,4,FALSE)+IF(7=D685,'难度参数'!$E$30,0))</x:f>
        <x:v>1968</x:v>
      </x:c>
    </x:row>
    <x:row r="686" ht="23" customHeight="1">
      <x:c r="A686" s="119" t="n">
        <x:v>680</x:v>
      </x:c>
      <x:c r="B686" s="119" t="n">
        <x:f>MOD(INT((A686-1)/5),7)+1</x:f>
        <x:v>3</x:v>
      </x:c>
      <x:c r="C686" s="62" t="str">
        <x:f>INDEX('章节与怪物'!$B$31:$B$37,B686)</x:f>
        <x:v>腐沼秘林</x:v>
      </x:c>
      <x:c r="D686" s="119" t="n">
        <x:f>MIN('难度参数'!$E$8,MAX('难度参数'!$E$7,A686))</x:f>
        <x:v>7</x:v>
      </x:c>
      <x:c r="E686" s="106" t="n">
        <x:v>1</x:v>
      </x:c>
      <x:c r="F686" s="106" t="n">
        <x:v>0</x:v>
      </x:c>
      <x:c r="G686" s="106" t="n">
        <x:v>1</x:v>
      </x:c>
      <x:c r="H686" s="119" t="n">
        <x:f>SUM(X686,AB686,AF686,AJ686,AN686,AR686,AV686)</x:f>
        <x:v>324</x:v>
      </x:c>
      <x:c r="I686" s="119" t="n">
        <x:f>SUM(Z686,AD686,AH686,AL686,AP686,AT686,AX686)</x:f>
        <x:v>6291602</x:v>
      </x:c>
      <x:c r="J686" s="119" t="n">
        <x:f>ROUND(INDEX(X686:AY686,1,(D686-1)*4+2)*'难度参数'!$E$28*'章节与怪物'!$E$17,0)</x:f>
        <x:v>133504</x:v>
      </x:c>
      <x:c r="K686" s="119" t="n">
        <x:f>SUM(AA686,AE686,AI686,AM686,AQ686,AU686,AY686)</x:f>
        <x:v>8714</x:v>
      </x:c>
      <x:c r="L686" s="62" t="n">
        <x:f>H686*(ROUNDUP('难度参数'!$E$24/('难度参数'!$E$26*'难度参数'!$E$27),0)*'难度参数'!$E$26)/60</x:f>
        <x:v>4.319999999999999</x:v>
      </x:c>
      <x:c r="M686" s="62" t="n">
        <x:f>L686+D686*('难度参数'!$E$49+'难度参数'!$E$50)/60</x:f>
        <x:v>5.486666666666666</x:v>
      </x:c>
      <x:c r="N686" s="119" t="n">
        <x:f>ROUNDDOWN(('经济参数'!$E$20+A686*'经济参数'!$E$21)*G686,0)</x:f>
        <x:v>13780</x:v>
      </x:c>
      <x:c r="O686" s="119" t="n">
        <x:f>ROUNDDOWN(MIN('经济参数'!$E$24,'经济参数'!$E$22+A686*'经济参数'!$E$23)*G686,0)</x:f>
        <x:v>0</x:v>
      </x:c>
      <x:c r="P686" s="119" t="n">
        <x:f>ROUNDDOWN((IF(A686&gt;='材料与任务'!$E$31,'材料与任务'!$E$32,IF(A686&gt;='材料与任务'!$E$25,'材料与任务'!$E$26,IF(A686&gt;='材料与任务'!$E$19,'材料与任务'!$E$20,IF(A686&gt;='材料与任务'!$E$13,'材料与任务'!$E$14,'材料与任务'!$E$8)))))*G686,0)</x:f>
        <x:v>6</x:v>
      </x:c>
      <x:c r="Q686" s="119" t="n">
        <x:f>ROUNDDOWN((IF(A686&gt;='材料与任务'!$E$31,'材料与任务'!$E$33,IF(A686&gt;='材料与任务'!$E$25,'材料与任务'!$E$27,IF(A686&gt;='材料与任务'!$E$19,'材料与任务'!$E$21,IF(A686&gt;='材料与任务'!$E$13,'材料与任务'!$E$15,'材料与任务'!$E$9)))))*G686,0)</x:f>
        <x:v>3</x:v>
      </x:c>
      <x:c r="R686" s="110" t="n">
        <x:f>'装备掉落'!$B$38</x:f>
        <x:v>0.6872058758851213</x:v>
      </x:c>
      <x:c r="S686" s="119" t="n">
        <x:f>MAX(IF(VLOOKUP(A686,'装备掉落'!$A$29:$H$34,2,TRUE)&gt;0,1,0),IF(VLOOKUP(A686,'装备掉落'!$A$29:$H$34,3,TRUE)&gt;0,2,0),IF(VLOOKUP(A686,'装备掉落'!$A$29:$H$34,4,TRUE)&gt;0,3,0),IF(VLOOKUP(A686,'装备掉落'!$A$29:$H$34,5,TRUE)&gt;0,4,0),IF(VLOOKUP(A686,'装备掉落'!$A$29:$H$34,6,TRUE)&gt;0,5,0),IF(VLOOKUP(A686,'装备掉落'!$A$29:$H$34,7,TRUE)&gt;0,6,0),IF(VLOOKUP(A686,'装备掉落'!$A$29:$H$34,8,TRUE)&gt;0,7,0))</x:f>
        <x:v>7</x:v>
      </x:c>
      <x:c r="T686" s="119" t="n">
        <x:f>MIN(7,S686+'经济参数'!$E$70)</x:f>
        <x:v>7</x:v>
      </x:c>
      <x:c r="U686" s="119" t="n">
        <x:f>MIN(7,S686+'经济参数'!$E$71)</x:f>
        <x:v>7</x:v>
      </x:c>
      <x:c r="V686" s="119" t="n">
        <x:f>IF(H686&gt;=('难度参数'!$E$52),1,0)+IF(H686&gt;=('难度参数'!$E$52+'难度参数'!$E$53),1,0)+IF(H686&gt;=('难度参数'!$E$52+'难度参数'!$E$53+'难度参数'!$E$54),1,0)+IF(H686&gt;=('难度参数'!$E$52+'难度参数'!$E$53+'难度参数'!$E$54+'难度参数'!$E$55),1,0)+IF(H686&gt;=('难度参数'!$E$52+'难度参数'!$E$53+'难度参数'!$E$54+'难度参数'!$E$55+'难度参数'!$E$56),1,0)+IF(H686&gt;=('难度参数'!$E$52+'难度参数'!$E$53+'难度参数'!$E$54+'难度参数'!$E$55+'难度参数'!$E$56+'难度参数'!$E$57),1,0)</x:f>
        <x:v>6</x:v>
      </x:c>
      <x:c r="W686" s="62" t="str">
        <x:f>IF(L686&gt;'难度参数'!$E$51,"仅出怪已超目标","还需实测")</x:f>
        <x:v>仅出怪已超目标</x:v>
      </x:c>
      <x:c r="X686" s="119" t="n">
        <x:f>IF(1&gt;D686,0,MAX(2,MIN('难度参数'!$E$12,ROUND(('难度参数'!$E$18*POWER(A686,'难度参数'!$E$19)/D686*(0.85+0.3*(1-1)/MAX(1,D686-1))),0)+F686)))</x:f>
        <x:v>39</x:v>
      </x:c>
      <x:c r="Y686" s="119" t="n">
        <x:f>IF(1&gt;D686,0,ROUND(('难度参数'!$E$13*POWER(A686,'难度参数'!$E$20)*MIN('难度参数'!$E$23,1+MAX(0,A686-'难度参数'!$E$21)*'难度参数'!$E$22))*(36+1*7)/(36+7*(D686+1)/2)*E686,0))</x:f>
        <x:v>9932</x:v>
      </x:c>
      <x:c r="Z686" s="119" t="n">
        <x:f>IF(X686=0,0,(X686-IF(1=D686,1,0))*ROUND(Y686*VLOOKUP(INDEX('章节与怪物'!$E$31:$K$37,B686,1),'章节与怪物'!$A$41:$F$44,2,FALSE),0)+IF(1=D686,ROUND(Y686*'难度参数'!$E$28*'章节与怪物'!$E$17,0),0))</x:f>
        <x:v>387348</x:v>
      </x:c>
      <x:c r="AA686" s="119" t="n">
        <x:f>IF(X686=0,0,(X686-IF(1=D686,1,0))*VLOOKUP(INDEX('章节与怪物'!$E$31:$K$37,B686,1),'章节与怪物'!$A$41:$F$44,4,FALSE)+IF(1=D686,'难度参数'!$E$30,0))</x:f>
        <x:v>702</x:v>
      </x:c>
      <x:c r="AB686" s="119" t="n">
        <x:f>IF(2&gt;D686,0,MAX(2,MIN('难度参数'!$E$12,ROUND(('难度参数'!$E$18*POWER(A686,'难度参数'!$E$19)/D686*(0.85+0.3*(2-1)/MAX(1,D686-1))),0)+F686)))</x:f>
        <x:v>42</x:v>
      </x:c>
      <x:c r="AC686" s="119" t="n">
        <x:f>IF(2&gt;D686,0,ROUND(('难度参数'!$E$13*POWER(A686,'难度参数'!$E$20)*MIN('难度参数'!$E$23,1+MAX(0,A686-'难度参数'!$E$21)*'难度参数'!$E$22))*(36+2*7)/(36+7*(D686+1)/2)*E686,0))</x:f>
        <x:v>11549</x:v>
      </x:c>
      <x:c r="AD686" s="119" t="n">
        <x:f>IF(AB686=0,0,(AB686-IF(2=D686,1,0))*ROUND(AC686*VLOOKUP(INDEX('章节与怪物'!$E$31:$K$37,B686,2),'章节与怪物'!$A$41:$F$44,2,FALSE),0)+IF(2=D686,ROUND(AC686*'难度参数'!$E$28*'章节与怪物'!$E$17,0),0))</x:f>
        <x:v>349230</x:v>
      </x:c>
      <x:c r="AE686" s="119" t="n">
        <x:f>IF(AB686=0,0,(AB686-IF(2=D686,1,0))*VLOOKUP(INDEX('章节与怪物'!$E$31:$K$37,B686,2),'章节与怪物'!$A$41:$F$44,4,FALSE)+IF(2=D686,'难度参数'!$E$30,0))</x:f>
        <x:v>840</x:v>
      </x:c>
      <x:c r="AF686" s="119" t="n">
        <x:f>IF(3&gt;D686,0,MAX(2,MIN('难度参数'!$E$12,ROUND(('难度参数'!$E$18*POWER(A686,'难度参数'!$E$19)/D686*(0.85+0.3*(3-1)/MAX(1,D686-1))),0)+F686)))</x:f>
        <x:v>44</x:v>
      </x:c>
      <x:c r="AG686" s="119" t="n">
        <x:f>IF(3&gt;D686,0,ROUND(('难度参数'!$E$13*POWER(A686,'难度参数'!$E$20)*MIN('难度参数'!$E$23,1+MAX(0,A686-'难度参数'!$E$21)*'难度参数'!$E$22))*(36+3*7)/(36+7*(D686+1)/2)*E686,0))</x:f>
        <x:v>13165</x:v>
      </x:c>
      <x:c r="AH686" s="119" t="n">
        <x:f>IF(AF686=0,0,(AF686-IF(3=D686,1,0))*ROUND(AG686*VLOOKUP(INDEX('章节与怪物'!$E$31:$K$37,B686,3),'章节与怪物'!$A$41:$F$44,2,FALSE),0)+IF(3=D686,ROUND(AG686*'难度参数'!$E$28*'章节与怪物'!$E$17,0),0))</x:f>
        <x:v>984764</x:v>
      </x:c>
      <x:c r="AI686" s="119" t="n">
        <x:f>IF(AF686=0,0,(AF686-IF(3=D686,1,0))*VLOOKUP(INDEX('章节与怪物'!$E$31:$K$37,B686,3),'章节与怪物'!$A$41:$F$44,4,FALSE)+IF(3=D686,'难度参数'!$E$30,0))</x:f>
        <x:v>1232</x:v>
      </x:c>
      <x:c r="AJ686" s="119" t="n">
        <x:f>IF(4&gt;D686,0,MAX(2,MIN('难度参数'!$E$12,ROUND(('难度参数'!$E$18*POWER(A686,'难度参数'!$E$19)/D686*(0.85+0.3*(4-1)/MAX(1,D686-1))),0)+F686)))</x:f>
        <x:v>46</x:v>
      </x:c>
      <x:c r="AK686" s="119" t="n">
        <x:f>IF(4&gt;D686,0,ROUND(('难度参数'!$E$13*POWER(A686,'难度参数'!$E$20)*MIN('难度参数'!$E$23,1+MAX(0,A686-'难度参数'!$E$21)*'难度参数'!$E$22))*(36+4*7)/(36+7*(D686+1)/2)*E686,0))</x:f>
        <x:v>14782</x:v>
      </x:c>
      <x:c r="AL686" s="119" t="n">
        <x:f>IF(AJ686=0,0,(AJ686-IF(4=D686,1,0))*ROUND(AK686*VLOOKUP(INDEX('章节与怪物'!$E$31:$K$37,B686,4),'章节与怪物'!$A$41:$F$44,2,FALSE),0)+IF(4=D686,ROUND(AK686*'难度参数'!$E$28*'章节与怪物'!$E$17,0),0))</x:f>
        <x:v>917976</x:v>
      </x:c>
      <x:c r="AM686" s="119" t="n">
        <x:f>IF(AJ686=0,0,(AJ686-IF(4=D686,1,0))*VLOOKUP(INDEX('章节与怪物'!$E$31:$K$37,B686,4),'章节与怪物'!$A$41:$F$44,4,FALSE)+IF(4=D686,'难度参数'!$E$30,0))</x:f>
        <x:v>1564</x:v>
      </x:c>
      <x:c r="AN686" s="119" t="n">
        <x:f>IF(5&gt;D686,0,MAX(2,MIN('难度参数'!$E$12,ROUND(('难度参数'!$E$18*POWER(A686,'难度参数'!$E$19)/D686*(0.85+0.3*(5-1)/MAX(1,D686-1))),0)+F686)))</x:f>
        <x:v>49</x:v>
      </x:c>
      <x:c r="AO686" s="119" t="n">
        <x:f>IF(5&gt;D686,0,ROUND(('难度参数'!$E$13*POWER(A686,'难度参数'!$E$20)*MIN('难度参数'!$E$23,1+MAX(0,A686-'难度参数'!$E$21)*'难度参数'!$E$22))*(36+5*7)/(36+7*(D686+1)/2)*E686,0))</x:f>
        <x:v>16399</x:v>
      </x:c>
      <x:c r="AP686" s="119" t="n">
        <x:f>IF(AN686=0,0,(AN686-IF(5=D686,1,0))*ROUND(AO686*VLOOKUP(INDEX('章节与怪物'!$E$31:$K$37,B686,5),'章节与怪物'!$A$41:$F$44,2,FALSE),0)+IF(5=D686,ROUND(AO686*'难度参数'!$E$28*'章节与怪物'!$E$17,0),0))</x:f>
        <x:v>578543</x:v>
      </x:c>
      <x:c r="AQ686" s="119" t="n">
        <x:f>IF(AN686=0,0,(AN686-IF(5=D686,1,0))*VLOOKUP(INDEX('章节与怪物'!$E$31:$K$37,B686,5),'章节与怪物'!$A$41:$F$44,4,FALSE)+IF(5=D686,'难度参数'!$E$30,0))</x:f>
        <x:v>980</x:v>
      </x:c>
      <x:c r="AR686" s="119" t="n">
        <x:f>IF(6&gt;D686,0,MAX(2,MIN('难度参数'!$E$12,ROUND(('难度参数'!$E$18*POWER(A686,'难度参数'!$E$19)/D686*(0.85+0.3*(6-1)/MAX(1,D686-1))),0)+F686)))</x:f>
        <x:v>51</x:v>
      </x:c>
      <x:c r="AS686" s="119" t="n">
        <x:f>IF(6&gt;D686,0,ROUND(('难度参数'!$E$13*POWER(A686,'难度参数'!$E$20)*MIN('难度参数'!$E$23,1+MAX(0,A686-'难度参数'!$E$21)*'难度参数'!$E$22))*(36+6*7)/(36+7*(D686+1)/2)*E686,0))</x:f>
        <x:v>18016</x:v>
      </x:c>
      <x:c r="AT686" s="119" t="n">
        <x:f>IF(AR686=0,0,(AR686-IF(6=D686,1,0))*ROUND(AS686*VLOOKUP(INDEX('章节与怪物'!$E$31:$K$37,B686,6),'章节与怪物'!$A$41:$F$44,2,FALSE),0)+IF(6=D686,ROUND(AS686*'难度参数'!$E$28*'章节与怪物'!$E$17,0),0))</x:f>
        <x:v>1561977</x:v>
      </x:c>
      <x:c r="AU686" s="119" t="n">
        <x:f>IF(AR686=0,0,(AR686-IF(6=D686,1,0))*VLOOKUP(INDEX('章节与怪物'!$E$31:$K$37,B686,6),'章节与怪物'!$A$41:$F$44,4,FALSE)+IF(6=D686,'难度参数'!$E$30,0))</x:f>
        <x:v>1428</x:v>
      </x:c>
      <x:c r="AV686" s="119" t="n">
        <x:f>IF(7&gt;D686,0,MAX(2,MIN('难度参数'!$E$12,ROUND(('难度参数'!$E$18*POWER(A686,'难度参数'!$E$19)/D686*(0.85+0.3*(7-1)/MAX(1,D686-1))),0)+F686)))</x:f>
        <x:v>53</x:v>
      </x:c>
      <x:c r="AW686" s="119" t="n">
        <x:f>IF(7&gt;D686,0,ROUND(('难度参数'!$E$13*POWER(A686,'难度参数'!$E$20)*MIN('难度参数'!$E$23,1+MAX(0,A686-'难度参数'!$E$21)*'难度参数'!$E$22))*(36+7*7)/(36+7*(D686+1)/2)*E686,0))</x:f>
        <x:v>19633</x:v>
      </x:c>
      <x:c r="AX686" s="119" t="n">
        <x:f>IF(AV686=0,0,(AV686-IF(7=D686,1,0))*ROUND(AW686*VLOOKUP(INDEX('章节与怪物'!$E$31:$K$37,B686,7),'章节与怪物'!$A$41:$F$44,2,FALSE),0)+IF(7=D686,ROUND(AW686*'难度参数'!$E$28*'章节与怪物'!$E$17,0),0))</x:f>
        <x:v>1511764</x:v>
      </x:c>
      <x:c r="AY686" s="119" t="n">
        <x:f>IF(AV686=0,0,(AV686-IF(7=D686,1,0))*VLOOKUP(INDEX('章节与怪物'!$E$31:$K$37,B686,7),'章节与怪物'!$A$41:$F$44,4,FALSE)+IF(7=D686,'难度参数'!$E$30,0))</x:f>
        <x:v>1968</x:v>
      </x:c>
    </x:row>
    <x:row r="687" ht="23" customHeight="1">
      <x:c r="A687" s="119" t="n">
        <x:v>681</x:v>
      </x:c>
      <x:c r="B687" s="119" t="n">
        <x:f>MOD(INT((A687-1)/5),7)+1</x:f>
        <x:v>4</x:v>
      </x:c>
      <x:c r="C687" s="62" t="str">
        <x:f>INDEX('章节与怪物'!$B$31:$B$37,B687)</x:f>
        <x:v>翠野边城</x:v>
      </x:c>
      <x:c r="D687" s="119" t="n">
        <x:f>MIN('难度参数'!$E$8,MAX('难度参数'!$E$7,A687))</x:f>
        <x:v>7</x:v>
      </x:c>
      <x:c r="E687" s="106" t="n">
        <x:v>1</x:v>
      </x:c>
      <x:c r="F687" s="106" t="n">
        <x:v>0</x:v>
      </x:c>
      <x:c r="G687" s="106" t="n">
        <x:v>1</x:v>
      </x:c>
      <x:c r="H687" s="119" t="n">
        <x:f>SUM(X687,AB687,AF687,AJ687,AN687,AR687,AV687)</x:f>
        <x:v>324</x:v>
      </x:c>
      <x:c r="I687" s="119" t="n">
        <x:f>SUM(Z687,AD687,AH687,AL687,AP687,AT687,AX687)</x:f>
        <x:v>5649365</x:v>
      </x:c>
      <x:c r="J687" s="119" t="n">
        <x:f>ROUND(INDEX(X687:AY687,1,(D687-1)*4+2)*'难度参数'!$E$28*'章节与怪物'!$E$17,0)</x:f>
        <x:v>133640</x:v>
      </x:c>
      <x:c r="K687" s="119" t="n">
        <x:f>SUM(AA687,AE687,AI687,AM687,AQ687,AU687,AY687)</x:f>
        <x:v>8202</x:v>
      </x:c>
      <x:c r="L687" s="62" t="n">
        <x:f>H687*(ROUNDUP('难度参数'!$E$24/('难度参数'!$E$26*'难度参数'!$E$27),0)*'难度参数'!$E$26)/60</x:f>
        <x:v>4.319999999999999</x:v>
      </x:c>
      <x:c r="M687" s="62" t="n">
        <x:f>L687+D687*('难度参数'!$E$49+'难度参数'!$E$50)/60</x:f>
        <x:v>5.486666666666666</x:v>
      </x:c>
      <x:c r="N687" s="119" t="n">
        <x:f>ROUNDDOWN(('经济参数'!$E$20+A687*'经济参数'!$E$21)*G687,0)</x:f>
        <x:v>13800</x:v>
      </x:c>
      <x:c r="O687" s="119" t="n">
        <x:f>ROUNDDOWN(MIN('经济参数'!$E$24,'经济参数'!$E$22+A687*'经济参数'!$E$23)*G687,0)</x:f>
        <x:v>0</x:v>
      </x:c>
      <x:c r="P687" s="119" t="n">
        <x:f>ROUNDDOWN((IF(A687&gt;='材料与任务'!$E$31,'材料与任务'!$E$32,IF(A687&gt;='材料与任务'!$E$25,'材料与任务'!$E$26,IF(A687&gt;='材料与任务'!$E$19,'材料与任务'!$E$20,IF(A687&gt;='材料与任务'!$E$13,'材料与任务'!$E$14,'材料与任务'!$E$8)))))*G687,0)</x:f>
        <x:v>6</x:v>
      </x:c>
      <x:c r="Q687" s="119" t="n">
        <x:f>ROUNDDOWN((IF(A687&gt;='材料与任务'!$E$31,'材料与任务'!$E$33,IF(A687&gt;='材料与任务'!$E$25,'材料与任务'!$E$27,IF(A687&gt;='材料与任务'!$E$19,'材料与任务'!$E$21,IF(A687&gt;='材料与任务'!$E$13,'材料与任务'!$E$15,'材料与任务'!$E$9)))))*G687,0)</x:f>
        <x:v>3</x:v>
      </x:c>
      <x:c r="R687" s="110" t="n">
        <x:f>'装备掉落'!$B$38</x:f>
        <x:v>0.6872058758851213</x:v>
      </x:c>
      <x:c r="S687" s="119" t="n">
        <x:f>MAX(IF(VLOOKUP(A687,'装备掉落'!$A$29:$H$34,2,TRUE)&gt;0,1,0),IF(VLOOKUP(A687,'装备掉落'!$A$29:$H$34,3,TRUE)&gt;0,2,0),IF(VLOOKUP(A687,'装备掉落'!$A$29:$H$34,4,TRUE)&gt;0,3,0),IF(VLOOKUP(A687,'装备掉落'!$A$29:$H$34,5,TRUE)&gt;0,4,0),IF(VLOOKUP(A687,'装备掉落'!$A$29:$H$34,6,TRUE)&gt;0,5,0),IF(VLOOKUP(A687,'装备掉落'!$A$29:$H$34,7,TRUE)&gt;0,6,0),IF(VLOOKUP(A687,'装备掉落'!$A$29:$H$34,8,TRUE)&gt;0,7,0))</x:f>
        <x:v>7</x:v>
      </x:c>
      <x:c r="T687" s="119" t="n">
        <x:f>MIN(7,S687+'经济参数'!$E$70)</x:f>
        <x:v>7</x:v>
      </x:c>
      <x:c r="U687" s="119" t="n">
        <x:f>MIN(7,S687+'经济参数'!$E$71)</x:f>
        <x:v>7</x:v>
      </x:c>
      <x:c r="V687" s="119" t="n">
        <x:f>IF(H687&gt;=('难度参数'!$E$52),1,0)+IF(H687&gt;=('难度参数'!$E$52+'难度参数'!$E$53),1,0)+IF(H687&gt;=('难度参数'!$E$52+'难度参数'!$E$53+'难度参数'!$E$54),1,0)+IF(H687&gt;=('难度参数'!$E$52+'难度参数'!$E$53+'难度参数'!$E$54+'难度参数'!$E$55),1,0)+IF(H687&gt;=('难度参数'!$E$52+'难度参数'!$E$53+'难度参数'!$E$54+'难度参数'!$E$55+'难度参数'!$E$56),1,0)+IF(H687&gt;=('难度参数'!$E$52+'难度参数'!$E$53+'难度参数'!$E$54+'难度参数'!$E$55+'难度参数'!$E$56+'难度参数'!$E$57),1,0)</x:f>
        <x:v>6</x:v>
      </x:c>
      <x:c r="W687" s="62" t="str">
        <x:f>IF(L687&gt;'难度参数'!$E$51,"仅出怪已超目标","还需实测")</x:f>
        <x:v>仅出怪已超目标</x:v>
      </x:c>
      <x:c r="X687" s="119" t="n">
        <x:f>IF(1&gt;D687,0,MAX(2,MIN('难度参数'!$E$12,ROUND(('难度参数'!$E$18*POWER(A687,'难度参数'!$E$19)/D687*(0.85+0.3*(1-1)/MAX(1,D687-1))),0)+F687)))</x:f>
        <x:v>39</x:v>
      </x:c>
      <x:c r="Y687" s="119" t="n">
        <x:f>IF(1&gt;D687,0,ROUND(('难度参数'!$E$13*POWER(A687,'难度参数'!$E$20)*MIN('难度参数'!$E$23,1+MAX(0,A687-'难度参数'!$E$21)*'难度参数'!$E$22))*(36+1*7)/(36+7*(D687+1)/2)*E687,0))</x:f>
        <x:v>9942</x:v>
      </x:c>
      <x:c r="Z687" s="119" t="n">
        <x:f>IF(X687=0,0,(X687-IF(1=D687,1,0))*ROUND(Y687*VLOOKUP(INDEX('章节与怪物'!$E$31:$K$37,B687,1),'章节与怪物'!$A$41:$F$44,2,FALSE),0)+IF(1=D687,ROUND(Y687*'难度参数'!$E$28*'章节与怪物'!$E$17,0),0))</x:f>
        <x:v>279162</x:v>
      </x:c>
      <x:c r="AA687" s="119" t="n">
        <x:f>IF(X687=0,0,(X687-IF(1=D687,1,0))*VLOOKUP(INDEX('章节与怪物'!$E$31:$K$37,B687,1),'章节与怪物'!$A$41:$F$44,4,FALSE)+IF(1=D687,'难度参数'!$E$30,0))</x:f>
        <x:v>780</x:v>
      </x:c>
      <x:c r="AB687" s="119" t="n">
        <x:f>IF(2&gt;D687,0,MAX(2,MIN('难度参数'!$E$12,ROUND(('难度参数'!$E$18*POWER(A687,'难度参数'!$E$19)/D687*(0.85+0.3*(2-1)/MAX(1,D687-1))),0)+F687)))</x:f>
        <x:v>42</x:v>
      </x:c>
      <x:c r="AC687" s="119" t="n">
        <x:f>IF(2&gt;D687,0,ROUND(('难度参数'!$E$13*POWER(A687,'难度参数'!$E$20)*MIN('难度参数'!$E$23,1+MAX(0,A687-'难度参数'!$E$21)*'难度参数'!$E$22))*(36+2*7)/(36+7*(D687+1)/2)*E687,0))</x:f>
        <x:v>11561</x:v>
      </x:c>
      <x:c r="AD687" s="119" t="n">
        <x:f>IF(AB687=0,0,(AB687-IF(2=D687,1,0))*ROUND(AC687*VLOOKUP(INDEX('章节与怪物'!$E$31:$K$37,B687,2),'章节与怪物'!$A$41:$F$44,2,FALSE),0)+IF(2=D687,ROUND(AC687*'难度参数'!$E$28*'章节与怪物'!$E$17,0),0))</x:f>
        <x:v>485562</x:v>
      </x:c>
      <x:c r="AE687" s="119" t="n">
        <x:f>IF(AB687=0,0,(AB687-IF(2=D687,1,0))*VLOOKUP(INDEX('章节与怪物'!$E$31:$K$37,B687,2),'章节与怪物'!$A$41:$F$44,4,FALSE)+IF(2=D687,'难度参数'!$E$30,0))</x:f>
        <x:v>756</x:v>
      </x:c>
      <x:c r="AF687" s="119" t="n">
        <x:f>IF(3&gt;D687,0,MAX(2,MIN('难度参数'!$E$12,ROUND(('难度参数'!$E$18*POWER(A687,'难度参数'!$E$19)/D687*(0.85+0.3*(3-1)/MAX(1,D687-1))),0)+F687)))</x:f>
        <x:v>44</x:v>
      </x:c>
      <x:c r="AG687" s="119" t="n">
        <x:f>IF(3&gt;D687,0,ROUND(('难度参数'!$E$13*POWER(A687,'难度参数'!$E$20)*MIN('难度参数'!$E$23,1+MAX(0,A687-'难度参数'!$E$21)*'难度参数'!$E$22))*(36+3*7)/(36+7*(D687+1)/2)*E687,0))</x:f>
        <x:v>13179</x:v>
      </x:c>
      <x:c r="AH687" s="119" t="n">
        <x:f>IF(AF687=0,0,(AF687-IF(3=D687,1,0))*ROUND(AG687*VLOOKUP(INDEX('章节与怪物'!$E$31:$K$37,B687,3),'章节与怪物'!$A$41:$F$44,2,FALSE),0)+IF(3=D687,ROUND(AG687*'难度参数'!$E$28*'章节与怪物'!$E$17,0),0))</x:f>
        <x:v>985776</x:v>
      </x:c>
      <x:c r="AI687" s="119" t="n">
        <x:f>IF(AF687=0,0,(AF687-IF(3=D687,1,0))*VLOOKUP(INDEX('章节与怪物'!$E$31:$K$37,B687,3),'章节与怪物'!$A$41:$F$44,4,FALSE)+IF(3=D687,'难度参数'!$E$30,0))</x:f>
        <x:v>1232</x:v>
      </x:c>
      <x:c r="AJ687" s="119" t="n">
        <x:f>IF(4&gt;D687,0,MAX(2,MIN('难度参数'!$E$12,ROUND(('难度参数'!$E$18*POWER(A687,'难度参数'!$E$19)/D687*(0.85+0.3*(4-1)/MAX(1,D687-1))),0)+F687)))</x:f>
        <x:v>46</x:v>
      </x:c>
      <x:c r="AK687" s="119" t="n">
        <x:f>IF(4&gt;D687,0,ROUND(('难度参数'!$E$13*POWER(A687,'难度参数'!$E$20)*MIN('难度参数'!$E$23,1+MAX(0,A687-'难度参数'!$E$21)*'难度参数'!$E$22))*(36+4*7)/(36+7*(D687+1)/2)*E687,0))</x:f>
        <x:v>14798</x:v>
      </x:c>
      <x:c r="AL687" s="119" t="n">
        <x:f>IF(AJ687=0,0,(AJ687-IF(4=D687,1,0))*ROUND(AK687*VLOOKUP(INDEX('章节与怪物'!$E$31:$K$37,B687,4),'章节与怪物'!$A$41:$F$44,2,FALSE),0)+IF(4=D687,ROUND(AK687*'难度参数'!$E$28*'章节与怪物'!$E$17,0),0))</x:f>
        <x:v>918942</x:v>
      </x:c>
      <x:c r="AM687" s="119" t="n">
        <x:f>IF(AJ687=0,0,(AJ687-IF(4=D687,1,0))*VLOOKUP(INDEX('章节与怪物'!$E$31:$K$37,B687,4),'章节与怪物'!$A$41:$F$44,4,FALSE)+IF(4=D687,'难度参数'!$E$30,0))</x:f>
        <x:v>1564</x:v>
      </x:c>
      <x:c r="AN687" s="119" t="n">
        <x:f>IF(5&gt;D687,0,MAX(2,MIN('难度参数'!$E$12,ROUND(('难度参数'!$E$18*POWER(A687,'难度参数'!$E$19)/D687*(0.85+0.3*(5-1)/MAX(1,D687-1))),0)+F687)))</x:f>
        <x:v>49</x:v>
      </x:c>
      <x:c r="AO687" s="119" t="n">
        <x:f>IF(5&gt;D687,0,ROUND(('难度参数'!$E$13*POWER(A687,'难度参数'!$E$20)*MIN('难度参数'!$E$23,1+MAX(0,A687-'难度参数'!$E$21)*'难度参数'!$E$22))*(36+5*7)/(36+7*(D687+1)/2)*E687,0))</x:f>
        <x:v>16416</x:v>
      </x:c>
      <x:c r="AP687" s="119" t="n">
        <x:f>IF(AN687=0,0,(AN687-IF(5=D687,1,0))*ROUND(AO687*VLOOKUP(INDEX('章节与怪物'!$E$31:$K$37,B687,5),'章节与怪物'!$A$41:$F$44,2,FALSE),0)+IF(5=D687,ROUND(AO687*'难度参数'!$E$28*'章节与怪物'!$E$17,0),0))</x:f>
        <x:v>804384</x:v>
      </x:c>
      <x:c r="AQ687" s="119" t="n">
        <x:f>IF(AN687=0,0,(AN687-IF(5=D687,1,0))*VLOOKUP(INDEX('章节与怪物'!$E$31:$K$37,B687,5),'章节与怪物'!$A$41:$F$44,4,FALSE)+IF(5=D687,'难度参数'!$E$30,0))</x:f>
        <x:v>882</x:v>
      </x:c>
      <x:c r="AR687" s="119" t="n">
        <x:f>IF(6&gt;D687,0,MAX(2,MIN('难度参数'!$E$12,ROUND(('难度参数'!$E$18*POWER(A687,'难度参数'!$E$19)/D687*(0.85+0.3*(6-1)/MAX(1,D687-1))),0)+F687)))</x:f>
        <x:v>51</x:v>
      </x:c>
      <x:c r="AS687" s="119" t="n">
        <x:f>IF(6&gt;D687,0,ROUND(('难度参数'!$E$13*POWER(A687,'难度参数'!$E$20)*MIN('难度参数'!$E$23,1+MAX(0,A687-'难度参数'!$E$21)*'难度参数'!$E$22))*(36+6*7)/(36+7*(D687+1)/2)*E687,0))</x:f>
        <x:v>18035</x:v>
      </x:c>
      <x:c r="AT687" s="119" t="n">
        <x:f>IF(AR687=0,0,(AR687-IF(6=D687,1,0))*ROUND(AS687*VLOOKUP(INDEX('章节与怪物'!$E$31:$K$37,B687,6),'章节与怪物'!$A$41:$F$44,2,FALSE),0)+IF(6=D687,ROUND(AS687*'难度参数'!$E$28*'章节与怪物'!$E$17,0),0))</x:f>
        <x:v>662235</x:v>
      </x:c>
      <x:c r="AU687" s="119" t="n">
        <x:f>IF(AR687=0,0,(AR687-IF(6=D687,1,0))*VLOOKUP(INDEX('章节与怪物'!$E$31:$K$37,B687,6),'章节与怪物'!$A$41:$F$44,4,FALSE)+IF(6=D687,'难度参数'!$E$30,0))</x:f>
        <x:v>1020</x:v>
      </x:c>
      <x:c r="AV687" s="119" t="n">
        <x:f>IF(7&gt;D687,0,MAX(2,MIN('难度参数'!$E$12,ROUND(('难度参数'!$E$18*POWER(A687,'难度参数'!$E$19)/D687*(0.85+0.3*(7-1)/MAX(1,D687-1))),0)+F687)))</x:f>
        <x:v>53</x:v>
      </x:c>
      <x:c r="AW687" s="119" t="n">
        <x:f>IF(7&gt;D687,0,ROUND(('难度参数'!$E$13*POWER(A687,'难度参数'!$E$20)*MIN('难度参数'!$E$23,1+MAX(0,A687-'难度参数'!$E$21)*'难度参数'!$E$22))*(36+7*7)/(36+7*(D687+1)/2)*E687,0))</x:f>
        <x:v>19653</x:v>
      </x:c>
      <x:c r="AX687" s="119" t="n">
        <x:f>IF(AV687=0,0,(AV687-IF(7=D687,1,0))*ROUND(AW687*VLOOKUP(INDEX('章节与怪物'!$E$31:$K$37,B687,7),'章节与怪物'!$A$41:$F$44,2,FALSE),0)+IF(7=D687,ROUND(AW687*'难度参数'!$E$28*'章节与怪物'!$E$17,0),0))</x:f>
        <x:v>1513304</x:v>
      </x:c>
      <x:c r="AY687" s="119" t="n">
        <x:f>IF(AV687=0,0,(AV687-IF(7=D687,1,0))*VLOOKUP(INDEX('章节与怪物'!$E$31:$K$37,B687,7),'章节与怪物'!$A$41:$F$44,4,FALSE)+IF(7=D687,'难度参数'!$E$30,0))</x:f>
        <x:v>1968</x:v>
      </x:c>
    </x:row>
    <x:row r="688" ht="23" customHeight="1">
      <x:c r="A688" s="119" t="n">
        <x:v>682</x:v>
      </x:c>
      <x:c r="B688" s="119" t="n">
        <x:f>MOD(INT((A688-1)/5),7)+1</x:f>
        <x:v>4</x:v>
      </x:c>
      <x:c r="C688" s="62" t="str">
        <x:f>INDEX('章节与怪物'!$B$31:$B$37,B688)</x:f>
        <x:v>翠野边城</x:v>
      </x:c>
      <x:c r="D688" s="119" t="n">
        <x:f>MIN('难度参数'!$E$8,MAX('难度参数'!$E$7,A688))</x:f>
        <x:v>7</x:v>
      </x:c>
      <x:c r="E688" s="106" t="n">
        <x:v>1</x:v>
      </x:c>
      <x:c r="F688" s="106" t="n">
        <x:v>0</x:v>
      </x:c>
      <x:c r="G688" s="106" t="n">
        <x:v>1</x:v>
      </x:c>
      <x:c r="H688" s="119" t="n">
        <x:f>SUM(X688,AB688,AF688,AJ688,AN688,AR688,AV688)</x:f>
        <x:v>324</x:v>
      </x:c>
      <x:c r="I688" s="119" t="n">
        <x:f>SUM(Z688,AD688,AH688,AL688,AP688,AT688,AX688)</x:f>
        <x:v>5655444</x:v>
      </x:c>
      <x:c r="J688" s="119" t="n">
        <x:f>ROUND(INDEX(X688:AY688,1,(D688-1)*4+2)*'难度参数'!$E$28*'章节与怪物'!$E$17,0)</x:f>
        <x:v>133783</x:v>
      </x:c>
      <x:c r="K688" s="119" t="n">
        <x:f>SUM(AA688,AE688,AI688,AM688,AQ688,AU688,AY688)</x:f>
        <x:v>8202</x:v>
      </x:c>
      <x:c r="L688" s="62" t="n">
        <x:f>H688*(ROUNDUP('难度参数'!$E$24/('难度参数'!$E$26*'难度参数'!$E$27),0)*'难度参数'!$E$26)/60</x:f>
        <x:v>4.319999999999999</x:v>
      </x:c>
      <x:c r="M688" s="62" t="n">
        <x:f>L688+D688*('难度参数'!$E$49+'难度参数'!$E$50)/60</x:f>
        <x:v>5.486666666666666</x:v>
      </x:c>
      <x:c r="N688" s="119" t="n">
        <x:f>ROUNDDOWN(('经济参数'!$E$20+A688*'经济参数'!$E$21)*G688,0)</x:f>
        <x:v>13820</x:v>
      </x:c>
      <x:c r="O688" s="119" t="n">
        <x:f>ROUNDDOWN(MIN('经济参数'!$E$24,'经济参数'!$E$22+A688*'经济参数'!$E$23)*G688,0)</x:f>
        <x:v>0</x:v>
      </x:c>
      <x:c r="P688" s="119" t="n">
        <x:f>ROUNDDOWN((IF(A688&gt;='材料与任务'!$E$31,'材料与任务'!$E$32,IF(A688&gt;='材料与任务'!$E$25,'材料与任务'!$E$26,IF(A688&gt;='材料与任务'!$E$19,'材料与任务'!$E$20,IF(A688&gt;='材料与任务'!$E$13,'材料与任务'!$E$14,'材料与任务'!$E$8)))))*G688,0)</x:f>
        <x:v>6</x:v>
      </x:c>
      <x:c r="Q688" s="119" t="n">
        <x:f>ROUNDDOWN((IF(A688&gt;='材料与任务'!$E$31,'材料与任务'!$E$33,IF(A688&gt;='材料与任务'!$E$25,'材料与任务'!$E$27,IF(A688&gt;='材料与任务'!$E$19,'材料与任务'!$E$21,IF(A688&gt;='材料与任务'!$E$13,'材料与任务'!$E$15,'材料与任务'!$E$9)))))*G688,0)</x:f>
        <x:v>3</x:v>
      </x:c>
      <x:c r="R688" s="110" t="n">
        <x:f>'装备掉落'!$B$38</x:f>
        <x:v>0.6872058758851213</x:v>
      </x:c>
      <x:c r="S688" s="119" t="n">
        <x:f>MAX(IF(VLOOKUP(A688,'装备掉落'!$A$29:$H$34,2,TRUE)&gt;0,1,0),IF(VLOOKUP(A688,'装备掉落'!$A$29:$H$34,3,TRUE)&gt;0,2,0),IF(VLOOKUP(A688,'装备掉落'!$A$29:$H$34,4,TRUE)&gt;0,3,0),IF(VLOOKUP(A688,'装备掉落'!$A$29:$H$34,5,TRUE)&gt;0,4,0),IF(VLOOKUP(A688,'装备掉落'!$A$29:$H$34,6,TRUE)&gt;0,5,0),IF(VLOOKUP(A688,'装备掉落'!$A$29:$H$34,7,TRUE)&gt;0,6,0),IF(VLOOKUP(A688,'装备掉落'!$A$29:$H$34,8,TRUE)&gt;0,7,0))</x:f>
        <x:v>7</x:v>
      </x:c>
      <x:c r="T688" s="119" t="n">
        <x:f>MIN(7,S688+'经济参数'!$E$70)</x:f>
        <x:v>7</x:v>
      </x:c>
      <x:c r="U688" s="119" t="n">
        <x:f>MIN(7,S688+'经济参数'!$E$71)</x:f>
        <x:v>7</x:v>
      </x:c>
      <x:c r="V688" s="119" t="n">
        <x:f>IF(H688&gt;=('难度参数'!$E$52),1,0)+IF(H688&gt;=('难度参数'!$E$52+'难度参数'!$E$53),1,0)+IF(H688&gt;=('难度参数'!$E$52+'难度参数'!$E$53+'难度参数'!$E$54),1,0)+IF(H688&gt;=('难度参数'!$E$52+'难度参数'!$E$53+'难度参数'!$E$54+'难度参数'!$E$55),1,0)+IF(H688&gt;=('难度参数'!$E$52+'难度参数'!$E$53+'难度参数'!$E$54+'难度参数'!$E$55+'难度参数'!$E$56),1,0)+IF(H688&gt;=('难度参数'!$E$52+'难度参数'!$E$53+'难度参数'!$E$54+'难度参数'!$E$55+'难度参数'!$E$56+'难度参数'!$E$57),1,0)</x:f>
        <x:v>6</x:v>
      </x:c>
      <x:c r="W688" s="62" t="str">
        <x:f>IF(L688&gt;'难度参数'!$E$51,"仅出怪已超目标","还需实测")</x:f>
        <x:v>仅出怪已超目标</x:v>
      </x:c>
      <x:c r="X688" s="119" t="n">
        <x:f>IF(1&gt;D688,0,MAX(2,MIN('难度参数'!$E$12,ROUND(('难度参数'!$E$18*POWER(A688,'难度参数'!$E$19)/D688*(0.85+0.3*(1-1)/MAX(1,D688-1))),0)+F688)))</x:f>
        <x:v>39</x:v>
      </x:c>
      <x:c r="Y688" s="119" t="n">
        <x:f>IF(1&gt;D688,0,ROUND(('难度参数'!$E$13*POWER(A688,'难度参数'!$E$20)*MIN('难度参数'!$E$23,1+MAX(0,A688-'难度参数'!$E$21)*'难度参数'!$E$22))*(36+1*7)/(36+7*(D688+1)/2)*E688,0))</x:f>
        <x:v>9953</x:v>
      </x:c>
      <x:c r="Z688" s="119" t="n">
        <x:f>IF(X688=0,0,(X688-IF(1=D688,1,0))*ROUND(Y688*VLOOKUP(INDEX('章节与怪物'!$E$31:$K$37,B688,1),'章节与怪物'!$A$41:$F$44,2,FALSE),0)+IF(1=D688,ROUND(Y688*'难度参数'!$E$28*'章节与怪物'!$E$17,0),0))</x:f>
        <x:v>279474</x:v>
      </x:c>
      <x:c r="AA688" s="119" t="n">
        <x:f>IF(X688=0,0,(X688-IF(1=D688,1,0))*VLOOKUP(INDEX('章节与怪物'!$E$31:$K$37,B688,1),'章节与怪物'!$A$41:$F$44,4,FALSE)+IF(1=D688,'难度参数'!$E$30,0))</x:f>
        <x:v>780</x:v>
      </x:c>
      <x:c r="AB688" s="119" t="n">
        <x:f>IF(2&gt;D688,0,MAX(2,MIN('难度参数'!$E$12,ROUND(('难度参数'!$E$18*POWER(A688,'难度参数'!$E$19)/D688*(0.85+0.3*(2-1)/MAX(1,D688-1))),0)+F688)))</x:f>
        <x:v>42</x:v>
      </x:c>
      <x:c r="AC688" s="119" t="n">
        <x:f>IF(2&gt;D688,0,ROUND(('难度参数'!$E$13*POWER(A688,'难度参数'!$E$20)*MIN('难度参数'!$E$23,1+MAX(0,A688-'难度参数'!$E$21)*'难度参数'!$E$22))*(36+2*7)/(36+7*(D688+1)/2)*E688,0))</x:f>
        <x:v>11573</x:v>
      </x:c>
      <x:c r="AD688" s="119" t="n">
        <x:f>IF(AB688=0,0,(AB688-IF(2=D688,1,0))*ROUND(AC688*VLOOKUP(INDEX('章节与怪物'!$E$31:$K$37,B688,2),'章节与怪物'!$A$41:$F$44,2,FALSE),0)+IF(2=D688,ROUND(AC688*'难度参数'!$E$28*'章节与怪物'!$E$17,0),0))</x:f>
        <x:v>486066</x:v>
      </x:c>
      <x:c r="AE688" s="119" t="n">
        <x:f>IF(AB688=0,0,(AB688-IF(2=D688,1,0))*VLOOKUP(INDEX('章节与怪物'!$E$31:$K$37,B688,2),'章节与怪物'!$A$41:$F$44,4,FALSE)+IF(2=D688,'难度参数'!$E$30,0))</x:f>
        <x:v>756</x:v>
      </x:c>
      <x:c r="AF688" s="119" t="n">
        <x:f>IF(3&gt;D688,0,MAX(2,MIN('难度参数'!$E$12,ROUND(('难度参数'!$E$18*POWER(A688,'难度参数'!$E$19)/D688*(0.85+0.3*(3-1)/MAX(1,D688-1))),0)+F688)))</x:f>
        <x:v>44</x:v>
      </x:c>
      <x:c r="AG688" s="119" t="n">
        <x:f>IF(3&gt;D688,0,ROUND(('难度参数'!$E$13*POWER(A688,'难度参数'!$E$20)*MIN('难度参数'!$E$23,1+MAX(0,A688-'难度参数'!$E$21)*'难度参数'!$E$22))*(36+3*7)/(36+7*(D688+1)/2)*E688,0))</x:f>
        <x:v>13193</x:v>
      </x:c>
      <x:c r="AH688" s="119" t="n">
        <x:f>IF(AF688=0,0,(AF688-IF(3=D688,1,0))*ROUND(AG688*VLOOKUP(INDEX('章节与怪物'!$E$31:$K$37,B688,3),'章节与怪物'!$A$41:$F$44,2,FALSE),0)+IF(3=D688,ROUND(AG688*'难度参数'!$E$28*'章节与怪物'!$E$17,0),0))</x:f>
        <x:v>986832</x:v>
      </x:c>
      <x:c r="AI688" s="119" t="n">
        <x:f>IF(AF688=0,0,(AF688-IF(3=D688,1,0))*VLOOKUP(INDEX('章节与怪物'!$E$31:$K$37,B688,3),'章节与怪物'!$A$41:$F$44,4,FALSE)+IF(3=D688,'难度参数'!$E$30,0))</x:f>
        <x:v>1232</x:v>
      </x:c>
      <x:c r="AJ688" s="119" t="n">
        <x:f>IF(4&gt;D688,0,MAX(2,MIN('难度参数'!$E$12,ROUND(('难度参数'!$E$18*POWER(A688,'难度参数'!$E$19)/D688*(0.85+0.3*(4-1)/MAX(1,D688-1))),0)+F688)))</x:f>
        <x:v>46</x:v>
      </x:c>
      <x:c r="AK688" s="119" t="n">
        <x:f>IF(4&gt;D688,0,ROUND(('难度参数'!$E$13*POWER(A688,'难度参数'!$E$20)*MIN('难度参数'!$E$23,1+MAX(0,A688-'难度参数'!$E$21)*'难度参数'!$E$22))*(36+4*7)/(36+7*(D688+1)/2)*E688,0))</x:f>
        <x:v>14814</x:v>
      </x:c>
      <x:c r="AL688" s="119" t="n">
        <x:f>IF(AJ688=0,0,(AJ688-IF(4=D688,1,0))*ROUND(AK688*VLOOKUP(INDEX('章节与怪物'!$E$31:$K$37,B688,4),'章节与怪物'!$A$41:$F$44,2,FALSE),0)+IF(4=D688,ROUND(AK688*'难度参数'!$E$28*'章节与怪物'!$E$17,0),0))</x:f>
        <x:v>919954</x:v>
      </x:c>
      <x:c r="AM688" s="119" t="n">
        <x:f>IF(AJ688=0,0,(AJ688-IF(4=D688,1,0))*VLOOKUP(INDEX('章节与怪物'!$E$31:$K$37,B688,4),'章节与怪物'!$A$41:$F$44,4,FALSE)+IF(4=D688,'难度参数'!$E$30,0))</x:f>
        <x:v>1564</x:v>
      </x:c>
      <x:c r="AN688" s="119" t="n">
        <x:f>IF(5&gt;D688,0,MAX(2,MIN('难度参数'!$E$12,ROUND(('难度参数'!$E$18*POWER(A688,'难度参数'!$E$19)/D688*(0.85+0.3*(5-1)/MAX(1,D688-1))),0)+F688)))</x:f>
        <x:v>49</x:v>
      </x:c>
      <x:c r="AO688" s="119" t="n">
        <x:f>IF(5&gt;D688,0,ROUND(('难度参数'!$E$13*POWER(A688,'难度参数'!$E$20)*MIN('难度参数'!$E$23,1+MAX(0,A688-'难度参数'!$E$21)*'难度参数'!$E$22))*(36+5*7)/(36+7*(D688+1)/2)*E688,0))</x:f>
        <x:v>16434</x:v>
      </x:c>
      <x:c r="AP688" s="119" t="n">
        <x:f>IF(AN688=0,0,(AN688-IF(5=D688,1,0))*ROUND(AO688*VLOOKUP(INDEX('章节与怪物'!$E$31:$K$37,B688,5),'章节与怪物'!$A$41:$F$44,2,FALSE),0)+IF(5=D688,ROUND(AO688*'难度参数'!$E$28*'章节与怪物'!$E$17,0),0))</x:f>
        <x:v>805266</x:v>
      </x:c>
      <x:c r="AQ688" s="119" t="n">
        <x:f>IF(AN688=0,0,(AN688-IF(5=D688,1,0))*VLOOKUP(INDEX('章节与怪物'!$E$31:$K$37,B688,5),'章节与怪物'!$A$41:$F$44,4,FALSE)+IF(5=D688,'难度参数'!$E$30,0))</x:f>
        <x:v>882</x:v>
      </x:c>
      <x:c r="AR688" s="119" t="n">
        <x:f>IF(6&gt;D688,0,MAX(2,MIN('难度参数'!$E$12,ROUND(('难度参数'!$E$18*POWER(A688,'难度参数'!$E$19)/D688*(0.85+0.3*(6-1)/MAX(1,D688-1))),0)+F688)))</x:f>
        <x:v>51</x:v>
      </x:c>
      <x:c r="AS688" s="119" t="n">
        <x:f>IF(6&gt;D688,0,ROUND(('难度参数'!$E$13*POWER(A688,'难度参数'!$E$20)*MIN('难度参数'!$E$23,1+MAX(0,A688-'难度参数'!$E$21)*'难度参数'!$E$22))*(36+6*7)/(36+7*(D688+1)/2)*E688,0))</x:f>
        <x:v>18054</x:v>
      </x:c>
      <x:c r="AT688" s="119" t="n">
        <x:f>IF(AR688=0,0,(AR688-IF(6=D688,1,0))*ROUND(AS688*VLOOKUP(INDEX('章节与怪物'!$E$31:$K$37,B688,6),'章节与怪物'!$A$41:$F$44,2,FALSE),0)+IF(6=D688,ROUND(AS688*'难度参数'!$E$28*'章节与怪物'!$E$17,0),0))</x:f>
        <x:v>662949</x:v>
      </x:c>
      <x:c r="AU688" s="119" t="n">
        <x:f>IF(AR688=0,0,(AR688-IF(6=D688,1,0))*VLOOKUP(INDEX('章节与怪物'!$E$31:$K$37,B688,6),'章节与怪物'!$A$41:$F$44,4,FALSE)+IF(6=D688,'难度参数'!$E$30,0))</x:f>
        <x:v>1020</x:v>
      </x:c>
      <x:c r="AV688" s="119" t="n">
        <x:f>IF(7&gt;D688,0,MAX(2,MIN('难度参数'!$E$12,ROUND(('难度参数'!$E$18*POWER(A688,'难度参数'!$E$19)/D688*(0.85+0.3*(7-1)/MAX(1,D688-1))),0)+F688)))</x:f>
        <x:v>53</x:v>
      </x:c>
      <x:c r="AW688" s="119" t="n">
        <x:f>IF(7&gt;D688,0,ROUND(('难度参数'!$E$13*POWER(A688,'难度参数'!$E$20)*MIN('难度参数'!$E$23,1+MAX(0,A688-'难度参数'!$E$21)*'难度参数'!$E$22))*(36+7*7)/(36+7*(D688+1)/2)*E688,0))</x:f>
        <x:v>19674</x:v>
      </x:c>
      <x:c r="AX688" s="119" t="n">
        <x:f>IF(AV688=0,0,(AV688-IF(7=D688,1,0))*ROUND(AW688*VLOOKUP(INDEX('章节与怪物'!$E$31:$K$37,B688,7),'章节与怪物'!$A$41:$F$44,2,FALSE),0)+IF(7=D688,ROUND(AW688*'难度参数'!$E$28*'章节与怪物'!$E$17,0),0))</x:f>
        <x:v>1514903</x:v>
      </x:c>
      <x:c r="AY688" s="119" t="n">
        <x:f>IF(AV688=0,0,(AV688-IF(7=D688,1,0))*VLOOKUP(INDEX('章节与怪物'!$E$31:$K$37,B688,7),'章节与怪物'!$A$41:$F$44,4,FALSE)+IF(7=D688,'难度参数'!$E$30,0))</x:f>
        <x:v>1968</x:v>
      </x:c>
    </x:row>
    <x:row r="689" ht="23" customHeight="1">
      <x:c r="A689" s="119" t="n">
        <x:v>683</x:v>
      </x:c>
      <x:c r="B689" s="119" t="n">
        <x:f>MOD(INT((A689-1)/5),7)+1</x:f>
        <x:v>4</x:v>
      </x:c>
      <x:c r="C689" s="62" t="str">
        <x:f>INDEX('章节与怪物'!$B$31:$B$37,B689)</x:f>
        <x:v>翠野边城</x:v>
      </x:c>
      <x:c r="D689" s="119" t="n">
        <x:f>MIN('难度参数'!$E$8,MAX('难度参数'!$E$7,A689))</x:f>
        <x:v>7</x:v>
      </x:c>
      <x:c r="E689" s="106" t="n">
        <x:v>1</x:v>
      </x:c>
      <x:c r="F689" s="106" t="n">
        <x:v>0</x:v>
      </x:c>
      <x:c r="G689" s="106" t="n">
        <x:v>1</x:v>
      </x:c>
      <x:c r="H689" s="119" t="n">
        <x:f>SUM(X689,AB689,AF689,AJ689,AN689,AR689,AV689)</x:f>
        <x:v>324</x:v>
      </x:c>
      <x:c r="I689" s="119" t="n">
        <x:f>SUM(Z689,AD689,AH689,AL689,AP689,AT689,AX689)</x:f>
        <x:v>5661343</x:v>
      </x:c>
      <x:c r="J689" s="119" t="n">
        <x:f>ROUND(INDEX(X689:AY689,1,(D689-1)*4+2)*'难度参数'!$E$28*'章节与怪物'!$E$17,0)</x:f>
        <x:v>133926</x:v>
      </x:c>
      <x:c r="K689" s="119" t="n">
        <x:f>SUM(AA689,AE689,AI689,AM689,AQ689,AU689,AY689)</x:f>
        <x:v>8202</x:v>
      </x:c>
      <x:c r="L689" s="62" t="n">
        <x:f>H689*(ROUNDUP('难度参数'!$E$24/('难度参数'!$E$26*'难度参数'!$E$27),0)*'难度参数'!$E$26)/60</x:f>
        <x:v>4.319999999999999</x:v>
      </x:c>
      <x:c r="M689" s="62" t="n">
        <x:f>L689+D689*('难度参数'!$E$49+'难度参数'!$E$50)/60</x:f>
        <x:v>5.486666666666666</x:v>
      </x:c>
      <x:c r="N689" s="119" t="n">
        <x:f>ROUNDDOWN(('经济参数'!$E$20+A689*'经济参数'!$E$21)*G689,0)</x:f>
        <x:v>13840</x:v>
      </x:c>
      <x:c r="O689" s="119" t="n">
        <x:f>ROUNDDOWN(MIN('经济参数'!$E$24,'经济参数'!$E$22+A689*'经济参数'!$E$23)*G689,0)</x:f>
        <x:v>0</x:v>
      </x:c>
      <x:c r="P689" s="119" t="n">
        <x:f>ROUNDDOWN((IF(A689&gt;='材料与任务'!$E$31,'材料与任务'!$E$32,IF(A689&gt;='材料与任务'!$E$25,'材料与任务'!$E$26,IF(A689&gt;='材料与任务'!$E$19,'材料与任务'!$E$20,IF(A689&gt;='材料与任务'!$E$13,'材料与任务'!$E$14,'材料与任务'!$E$8)))))*G689,0)</x:f>
        <x:v>6</x:v>
      </x:c>
      <x:c r="Q689" s="119" t="n">
        <x:f>ROUNDDOWN((IF(A689&gt;='材料与任务'!$E$31,'材料与任务'!$E$33,IF(A689&gt;='材料与任务'!$E$25,'材料与任务'!$E$27,IF(A689&gt;='材料与任务'!$E$19,'材料与任务'!$E$21,IF(A689&gt;='材料与任务'!$E$13,'材料与任务'!$E$15,'材料与任务'!$E$9)))))*G689,0)</x:f>
        <x:v>3</x:v>
      </x:c>
      <x:c r="R689" s="110" t="n">
        <x:f>'装备掉落'!$B$38</x:f>
        <x:v>0.6872058758851213</x:v>
      </x:c>
      <x:c r="S689" s="119" t="n">
        <x:f>MAX(IF(VLOOKUP(A689,'装备掉落'!$A$29:$H$34,2,TRUE)&gt;0,1,0),IF(VLOOKUP(A689,'装备掉落'!$A$29:$H$34,3,TRUE)&gt;0,2,0),IF(VLOOKUP(A689,'装备掉落'!$A$29:$H$34,4,TRUE)&gt;0,3,0),IF(VLOOKUP(A689,'装备掉落'!$A$29:$H$34,5,TRUE)&gt;0,4,0),IF(VLOOKUP(A689,'装备掉落'!$A$29:$H$34,6,TRUE)&gt;0,5,0),IF(VLOOKUP(A689,'装备掉落'!$A$29:$H$34,7,TRUE)&gt;0,6,0),IF(VLOOKUP(A689,'装备掉落'!$A$29:$H$34,8,TRUE)&gt;0,7,0))</x:f>
        <x:v>7</x:v>
      </x:c>
      <x:c r="T689" s="119" t="n">
        <x:f>MIN(7,S689+'经济参数'!$E$70)</x:f>
        <x:v>7</x:v>
      </x:c>
      <x:c r="U689" s="119" t="n">
        <x:f>MIN(7,S689+'经济参数'!$E$71)</x:f>
        <x:v>7</x:v>
      </x:c>
      <x:c r="V689" s="119" t="n">
        <x:f>IF(H689&gt;=('难度参数'!$E$52),1,0)+IF(H689&gt;=('难度参数'!$E$52+'难度参数'!$E$53),1,0)+IF(H689&gt;=('难度参数'!$E$52+'难度参数'!$E$53+'难度参数'!$E$54),1,0)+IF(H689&gt;=('难度参数'!$E$52+'难度参数'!$E$53+'难度参数'!$E$54+'难度参数'!$E$55),1,0)+IF(H689&gt;=('难度参数'!$E$52+'难度参数'!$E$53+'难度参数'!$E$54+'难度参数'!$E$55+'难度参数'!$E$56),1,0)+IF(H689&gt;=('难度参数'!$E$52+'难度参数'!$E$53+'难度参数'!$E$54+'难度参数'!$E$55+'难度参数'!$E$56+'难度参数'!$E$57),1,0)</x:f>
        <x:v>6</x:v>
      </x:c>
      <x:c r="W689" s="62" t="str">
        <x:f>IF(L689&gt;'难度参数'!$E$51,"仅出怪已超目标","还需实测")</x:f>
        <x:v>仅出怪已超目标</x:v>
      </x:c>
      <x:c r="X689" s="119" t="n">
        <x:f>IF(1&gt;D689,0,MAX(2,MIN('难度参数'!$E$12,ROUND(('难度参数'!$E$18*POWER(A689,'难度参数'!$E$19)/D689*(0.85+0.3*(1-1)/MAX(1,D689-1))),0)+F689)))</x:f>
        <x:v>39</x:v>
      </x:c>
      <x:c r="Y689" s="119" t="n">
        <x:f>IF(1&gt;D689,0,ROUND(('难度参数'!$E$13*POWER(A689,'难度参数'!$E$20)*MIN('难度参数'!$E$23,1+MAX(0,A689-'难度参数'!$E$21)*'难度参数'!$E$22))*(36+1*7)/(36+7*(D689+1)/2)*E689,0))</x:f>
        <x:v>9963</x:v>
      </x:c>
      <x:c r="Z689" s="119" t="n">
        <x:f>IF(X689=0,0,(X689-IF(1=D689,1,0))*ROUND(Y689*VLOOKUP(INDEX('章节与怪物'!$E$31:$K$37,B689,1),'章节与怪物'!$A$41:$F$44,2,FALSE),0)+IF(1=D689,ROUND(Y689*'难度参数'!$E$28*'章节与怪物'!$E$17,0),0))</x:f>
        <x:v>279747</x:v>
      </x:c>
      <x:c r="AA689" s="119" t="n">
        <x:f>IF(X689=0,0,(X689-IF(1=D689,1,0))*VLOOKUP(INDEX('章节与怪物'!$E$31:$K$37,B689,1),'章节与怪物'!$A$41:$F$44,4,FALSE)+IF(1=D689,'难度参数'!$E$30,0))</x:f>
        <x:v>780</x:v>
      </x:c>
      <x:c r="AB689" s="119" t="n">
        <x:f>IF(2&gt;D689,0,MAX(2,MIN('难度参数'!$E$12,ROUND(('难度参数'!$E$18*POWER(A689,'难度参数'!$E$19)/D689*(0.85+0.3*(2-1)/MAX(1,D689-1))),0)+F689)))</x:f>
        <x:v>42</x:v>
      </x:c>
      <x:c r="AC689" s="119" t="n">
        <x:f>IF(2&gt;D689,0,ROUND(('难度参数'!$E$13*POWER(A689,'难度参数'!$E$20)*MIN('难度参数'!$E$23,1+MAX(0,A689-'难度参数'!$E$21)*'难度参数'!$E$22))*(36+2*7)/(36+7*(D689+1)/2)*E689,0))</x:f>
        <x:v>11585</x:v>
      </x:c>
      <x:c r="AD689" s="119" t="n">
        <x:f>IF(AB689=0,0,(AB689-IF(2=D689,1,0))*ROUND(AC689*VLOOKUP(INDEX('章节与怪物'!$E$31:$K$37,B689,2),'章节与怪物'!$A$41:$F$44,2,FALSE),0)+IF(2=D689,ROUND(AC689*'难度参数'!$E$28*'章节与怪物'!$E$17,0),0))</x:f>
        <x:v>486570</x:v>
      </x:c>
      <x:c r="AE689" s="119" t="n">
        <x:f>IF(AB689=0,0,(AB689-IF(2=D689,1,0))*VLOOKUP(INDEX('章节与怪物'!$E$31:$K$37,B689,2),'章节与怪物'!$A$41:$F$44,4,FALSE)+IF(2=D689,'难度参数'!$E$30,0))</x:f>
        <x:v>756</x:v>
      </x:c>
      <x:c r="AF689" s="119" t="n">
        <x:f>IF(3&gt;D689,0,MAX(2,MIN('难度参数'!$E$12,ROUND(('难度参数'!$E$18*POWER(A689,'难度参数'!$E$19)/D689*(0.85+0.3*(3-1)/MAX(1,D689-1))),0)+F689)))</x:f>
        <x:v>44</x:v>
      </x:c>
      <x:c r="AG689" s="119" t="n">
        <x:f>IF(3&gt;D689,0,ROUND(('难度参数'!$E$13*POWER(A689,'难度参数'!$E$20)*MIN('难度参数'!$E$23,1+MAX(0,A689-'难度参数'!$E$21)*'难度参数'!$E$22))*(36+3*7)/(36+7*(D689+1)/2)*E689,0))</x:f>
        <x:v>13207</x:v>
      </x:c>
      <x:c r="AH689" s="119" t="n">
        <x:f>IF(AF689=0,0,(AF689-IF(3=D689,1,0))*ROUND(AG689*VLOOKUP(INDEX('章节与怪物'!$E$31:$K$37,B689,3),'章节与怪物'!$A$41:$F$44,2,FALSE),0)+IF(3=D689,ROUND(AG689*'难度参数'!$E$28*'章节与怪物'!$E$17,0),0))</x:f>
        <x:v>987888</x:v>
      </x:c>
      <x:c r="AI689" s="119" t="n">
        <x:f>IF(AF689=0,0,(AF689-IF(3=D689,1,0))*VLOOKUP(INDEX('章节与怪物'!$E$31:$K$37,B689,3),'章节与怪物'!$A$41:$F$44,4,FALSE)+IF(3=D689,'难度参数'!$E$30,0))</x:f>
        <x:v>1232</x:v>
      </x:c>
      <x:c r="AJ689" s="119" t="n">
        <x:f>IF(4&gt;D689,0,MAX(2,MIN('难度参数'!$E$12,ROUND(('难度参数'!$E$18*POWER(A689,'难度参数'!$E$19)/D689*(0.85+0.3*(4-1)/MAX(1,D689-1))),0)+F689)))</x:f>
        <x:v>46</x:v>
      </x:c>
      <x:c r="AK689" s="119" t="n">
        <x:f>IF(4&gt;D689,0,ROUND(('难度参数'!$E$13*POWER(A689,'难度参数'!$E$20)*MIN('难度参数'!$E$23,1+MAX(0,A689-'难度参数'!$E$21)*'难度参数'!$E$22))*(36+4*7)/(36+7*(D689+1)/2)*E689,0))</x:f>
        <x:v>14829</x:v>
      </x:c>
      <x:c r="AL689" s="119" t="n">
        <x:f>IF(AJ689=0,0,(AJ689-IF(4=D689,1,0))*ROUND(AK689*VLOOKUP(INDEX('章节与怪物'!$E$31:$K$37,B689,4),'章节与怪物'!$A$41:$F$44,2,FALSE),0)+IF(4=D689,ROUND(AK689*'难度参数'!$E$28*'章节与怪物'!$E$17,0),0))</x:f>
        <x:v>920874</x:v>
      </x:c>
      <x:c r="AM689" s="119" t="n">
        <x:f>IF(AJ689=0,0,(AJ689-IF(4=D689,1,0))*VLOOKUP(INDEX('章节与怪物'!$E$31:$K$37,B689,4),'章节与怪物'!$A$41:$F$44,4,FALSE)+IF(4=D689,'难度参数'!$E$30,0))</x:f>
        <x:v>1564</x:v>
      </x:c>
      <x:c r="AN689" s="119" t="n">
        <x:f>IF(5&gt;D689,0,MAX(2,MIN('难度参数'!$E$12,ROUND(('难度参数'!$E$18*POWER(A689,'难度参数'!$E$19)/D689*(0.85+0.3*(5-1)/MAX(1,D689-1))),0)+F689)))</x:f>
        <x:v>49</x:v>
      </x:c>
      <x:c r="AO689" s="119" t="n">
        <x:f>IF(5&gt;D689,0,ROUND(('难度参数'!$E$13*POWER(A689,'难度参数'!$E$20)*MIN('难度参数'!$E$23,1+MAX(0,A689-'难度参数'!$E$21)*'难度参数'!$E$22))*(36+5*7)/(36+7*(D689+1)/2)*E689,0))</x:f>
        <x:v>16451</x:v>
      </x:c>
      <x:c r="AP689" s="119" t="n">
        <x:f>IF(AN689=0,0,(AN689-IF(5=D689,1,0))*ROUND(AO689*VLOOKUP(INDEX('章节与怪物'!$E$31:$K$37,B689,5),'章节与怪物'!$A$41:$F$44,2,FALSE),0)+IF(5=D689,ROUND(AO689*'难度参数'!$E$28*'章节与怪物'!$E$17,0),0))</x:f>
        <x:v>806099</x:v>
      </x:c>
      <x:c r="AQ689" s="119" t="n">
        <x:f>IF(AN689=0,0,(AN689-IF(5=D689,1,0))*VLOOKUP(INDEX('章节与怪物'!$E$31:$K$37,B689,5),'章节与怪物'!$A$41:$F$44,4,FALSE)+IF(5=D689,'难度参数'!$E$30,0))</x:f>
        <x:v>882</x:v>
      </x:c>
      <x:c r="AR689" s="119" t="n">
        <x:f>IF(6&gt;D689,0,MAX(2,MIN('难度参数'!$E$12,ROUND(('难度参数'!$E$18*POWER(A689,'难度参数'!$E$19)/D689*(0.85+0.3*(6-1)/MAX(1,D689-1))),0)+F689)))</x:f>
        <x:v>51</x:v>
      </x:c>
      <x:c r="AS689" s="119" t="n">
        <x:f>IF(6&gt;D689,0,ROUND(('难度参数'!$E$13*POWER(A689,'难度参数'!$E$20)*MIN('难度参数'!$E$23,1+MAX(0,A689-'难度参数'!$E$21)*'难度参数'!$E$22))*(36+6*7)/(36+7*(D689+1)/2)*E689,0))</x:f>
        <x:v>18073</x:v>
      </x:c>
      <x:c r="AT689" s="119" t="n">
        <x:f>IF(AR689=0,0,(AR689-IF(6=D689,1,0))*ROUND(AS689*VLOOKUP(INDEX('章节与怪物'!$E$31:$K$37,B689,6),'章节与怪物'!$A$41:$F$44,2,FALSE),0)+IF(6=D689,ROUND(AS689*'难度参数'!$E$28*'章节与怪物'!$E$17,0),0))</x:f>
        <x:v>663663</x:v>
      </x:c>
      <x:c r="AU689" s="119" t="n">
        <x:f>IF(AR689=0,0,(AR689-IF(6=D689,1,0))*VLOOKUP(INDEX('章节与怪物'!$E$31:$K$37,B689,6),'章节与怪物'!$A$41:$F$44,4,FALSE)+IF(6=D689,'难度参数'!$E$30,0))</x:f>
        <x:v>1020</x:v>
      </x:c>
      <x:c r="AV689" s="119" t="n">
        <x:f>IF(7&gt;D689,0,MAX(2,MIN('难度参数'!$E$12,ROUND(('难度参数'!$E$18*POWER(A689,'难度参数'!$E$19)/D689*(0.85+0.3*(7-1)/MAX(1,D689-1))),0)+F689)))</x:f>
        <x:v>53</x:v>
      </x:c>
      <x:c r="AW689" s="119" t="n">
        <x:f>IF(7&gt;D689,0,ROUND(('难度参数'!$E$13*POWER(A689,'难度参数'!$E$20)*MIN('难度参数'!$E$23,1+MAX(0,A689-'难度参数'!$E$21)*'难度参数'!$E$22))*(36+7*7)/(36+7*(D689+1)/2)*E689,0))</x:f>
        <x:v>19695</x:v>
      </x:c>
      <x:c r="AX689" s="119" t="n">
        <x:f>IF(AV689=0,0,(AV689-IF(7=D689,1,0))*ROUND(AW689*VLOOKUP(INDEX('章节与怪物'!$E$31:$K$37,B689,7),'章节与怪物'!$A$41:$F$44,2,FALSE),0)+IF(7=D689,ROUND(AW689*'难度参数'!$E$28*'章节与怪物'!$E$17,0),0))</x:f>
        <x:v>1516502</x:v>
      </x:c>
      <x:c r="AY689" s="119" t="n">
        <x:f>IF(AV689=0,0,(AV689-IF(7=D689,1,0))*VLOOKUP(INDEX('章节与怪物'!$E$31:$K$37,B689,7),'章节与怪物'!$A$41:$F$44,4,FALSE)+IF(7=D689,'难度参数'!$E$30,0))</x:f>
        <x:v>1968</x:v>
      </x:c>
    </x:row>
    <x:row r="690" ht="23" customHeight="1">
      <x:c r="A690" s="119" t="n">
        <x:v>684</x:v>
      </x:c>
      <x:c r="B690" s="119" t="n">
        <x:f>MOD(INT((A690-1)/5),7)+1</x:f>
        <x:v>4</x:v>
      </x:c>
      <x:c r="C690" s="62" t="str">
        <x:f>INDEX('章节与怪物'!$B$31:$B$37,B690)</x:f>
        <x:v>翠野边城</x:v>
      </x:c>
      <x:c r="D690" s="119" t="n">
        <x:f>MIN('难度参数'!$E$8,MAX('难度参数'!$E$7,A690))</x:f>
        <x:v>7</x:v>
      </x:c>
      <x:c r="E690" s="106" t="n">
        <x:v>1</x:v>
      </x:c>
      <x:c r="F690" s="106" t="n">
        <x:v>0</x:v>
      </x:c>
      <x:c r="G690" s="106" t="n">
        <x:v>1</x:v>
      </x:c>
      <x:c r="H690" s="119" t="n">
        <x:f>SUM(X690,AB690,AF690,AJ690,AN690,AR690,AV690)</x:f>
        <x:v>324</x:v>
      </x:c>
      <x:c r="I690" s="119" t="n">
        <x:f>SUM(Z690,AD690,AH690,AL690,AP690,AT690,AX690)</x:f>
        <x:v>5667374</x:v>
      </x:c>
      <x:c r="J690" s="119" t="n">
        <x:f>ROUND(INDEX(X690:AY690,1,(D690-1)*4+2)*'难度参数'!$E$28*'章节与怪物'!$E$17,0)</x:f>
        <x:v>134069</x:v>
      </x:c>
      <x:c r="K690" s="119" t="n">
        <x:f>SUM(AA690,AE690,AI690,AM690,AQ690,AU690,AY690)</x:f>
        <x:v>8202</x:v>
      </x:c>
      <x:c r="L690" s="62" t="n">
        <x:f>H690*(ROUNDUP('难度参数'!$E$24/('难度参数'!$E$26*'难度参数'!$E$27),0)*'难度参数'!$E$26)/60</x:f>
        <x:v>4.319999999999999</x:v>
      </x:c>
      <x:c r="M690" s="62" t="n">
        <x:f>L690+D690*('难度参数'!$E$49+'难度参数'!$E$50)/60</x:f>
        <x:v>5.486666666666666</x:v>
      </x:c>
      <x:c r="N690" s="119" t="n">
        <x:f>ROUNDDOWN(('经济参数'!$E$20+A690*'经济参数'!$E$21)*G690,0)</x:f>
        <x:v>13860</x:v>
      </x:c>
      <x:c r="O690" s="119" t="n">
        <x:f>ROUNDDOWN(MIN('经济参数'!$E$24,'经济参数'!$E$22+A690*'经济参数'!$E$23)*G690,0)</x:f>
        <x:v>0</x:v>
      </x:c>
      <x:c r="P690" s="119" t="n">
        <x:f>ROUNDDOWN((IF(A690&gt;='材料与任务'!$E$31,'材料与任务'!$E$32,IF(A690&gt;='材料与任务'!$E$25,'材料与任务'!$E$26,IF(A690&gt;='材料与任务'!$E$19,'材料与任务'!$E$20,IF(A690&gt;='材料与任务'!$E$13,'材料与任务'!$E$14,'材料与任务'!$E$8)))))*G690,0)</x:f>
        <x:v>6</x:v>
      </x:c>
      <x:c r="Q690" s="119" t="n">
        <x:f>ROUNDDOWN((IF(A690&gt;='材料与任务'!$E$31,'材料与任务'!$E$33,IF(A690&gt;='材料与任务'!$E$25,'材料与任务'!$E$27,IF(A690&gt;='材料与任务'!$E$19,'材料与任务'!$E$21,IF(A690&gt;='材料与任务'!$E$13,'材料与任务'!$E$15,'材料与任务'!$E$9)))))*G690,0)</x:f>
        <x:v>3</x:v>
      </x:c>
      <x:c r="R690" s="110" t="n">
        <x:f>'装备掉落'!$B$38</x:f>
        <x:v>0.6872058758851213</x:v>
      </x:c>
      <x:c r="S690" s="119" t="n">
        <x:f>MAX(IF(VLOOKUP(A690,'装备掉落'!$A$29:$H$34,2,TRUE)&gt;0,1,0),IF(VLOOKUP(A690,'装备掉落'!$A$29:$H$34,3,TRUE)&gt;0,2,0),IF(VLOOKUP(A690,'装备掉落'!$A$29:$H$34,4,TRUE)&gt;0,3,0),IF(VLOOKUP(A690,'装备掉落'!$A$29:$H$34,5,TRUE)&gt;0,4,0),IF(VLOOKUP(A690,'装备掉落'!$A$29:$H$34,6,TRUE)&gt;0,5,0),IF(VLOOKUP(A690,'装备掉落'!$A$29:$H$34,7,TRUE)&gt;0,6,0),IF(VLOOKUP(A690,'装备掉落'!$A$29:$H$34,8,TRUE)&gt;0,7,0))</x:f>
        <x:v>7</x:v>
      </x:c>
      <x:c r="T690" s="119" t="n">
        <x:f>MIN(7,S690+'经济参数'!$E$70)</x:f>
        <x:v>7</x:v>
      </x:c>
      <x:c r="U690" s="119" t="n">
        <x:f>MIN(7,S690+'经济参数'!$E$71)</x:f>
        <x:v>7</x:v>
      </x:c>
      <x:c r="V690" s="119" t="n">
        <x:f>IF(H690&gt;=('难度参数'!$E$52),1,0)+IF(H690&gt;=('难度参数'!$E$52+'难度参数'!$E$53),1,0)+IF(H690&gt;=('难度参数'!$E$52+'难度参数'!$E$53+'难度参数'!$E$54),1,0)+IF(H690&gt;=('难度参数'!$E$52+'难度参数'!$E$53+'难度参数'!$E$54+'难度参数'!$E$55),1,0)+IF(H690&gt;=('难度参数'!$E$52+'难度参数'!$E$53+'难度参数'!$E$54+'难度参数'!$E$55+'难度参数'!$E$56),1,0)+IF(H690&gt;=('难度参数'!$E$52+'难度参数'!$E$53+'难度参数'!$E$54+'难度参数'!$E$55+'难度参数'!$E$56+'难度参数'!$E$57),1,0)</x:f>
        <x:v>6</x:v>
      </x:c>
      <x:c r="W690" s="62" t="str">
        <x:f>IF(L690&gt;'难度参数'!$E$51,"仅出怪已超目标","还需实测")</x:f>
        <x:v>仅出怪已超目标</x:v>
      </x:c>
      <x:c r="X690" s="119" t="n">
        <x:f>IF(1&gt;D690,0,MAX(2,MIN('难度参数'!$E$12,ROUND(('难度参数'!$E$18*POWER(A690,'难度参数'!$E$19)/D690*(0.85+0.3*(1-1)/MAX(1,D690-1))),0)+F690)))</x:f>
        <x:v>39</x:v>
      </x:c>
      <x:c r="Y690" s="119" t="n">
        <x:f>IF(1&gt;D690,0,ROUND(('难度参数'!$E$13*POWER(A690,'难度参数'!$E$20)*MIN('难度参数'!$E$23,1+MAX(0,A690-'难度参数'!$E$21)*'难度参数'!$E$22))*(36+1*7)/(36+7*(D690+1)/2)*E690,0))</x:f>
        <x:v>9974</x:v>
      </x:c>
      <x:c r="Z690" s="119" t="n">
        <x:f>IF(X690=0,0,(X690-IF(1=D690,1,0))*ROUND(Y690*VLOOKUP(INDEX('章节与怪物'!$E$31:$K$37,B690,1),'章节与怪物'!$A$41:$F$44,2,FALSE),0)+IF(1=D690,ROUND(Y690*'难度参数'!$E$28*'章节与怪物'!$E$17,0),0))</x:f>
        <x:v>280059</x:v>
      </x:c>
      <x:c r="AA690" s="119" t="n">
        <x:f>IF(X690=0,0,(X690-IF(1=D690,1,0))*VLOOKUP(INDEX('章节与怪物'!$E$31:$K$37,B690,1),'章节与怪物'!$A$41:$F$44,4,FALSE)+IF(1=D690,'难度参数'!$E$30,0))</x:f>
        <x:v>780</x:v>
      </x:c>
      <x:c r="AB690" s="119" t="n">
        <x:f>IF(2&gt;D690,0,MAX(2,MIN('难度参数'!$E$12,ROUND(('难度参数'!$E$18*POWER(A690,'难度参数'!$E$19)/D690*(0.85+0.3*(2-1)/MAX(1,D690-1))),0)+F690)))</x:f>
        <x:v>42</x:v>
      </x:c>
      <x:c r="AC690" s="119" t="n">
        <x:f>IF(2&gt;D690,0,ROUND(('难度参数'!$E$13*POWER(A690,'难度参数'!$E$20)*MIN('难度参数'!$E$23,1+MAX(0,A690-'难度参数'!$E$21)*'难度参数'!$E$22))*(36+2*7)/(36+7*(D690+1)/2)*E690,0))</x:f>
        <x:v>11597</x:v>
      </x:c>
      <x:c r="AD690" s="119" t="n">
        <x:f>IF(AB690=0,0,(AB690-IF(2=D690,1,0))*ROUND(AC690*VLOOKUP(INDEX('章节与怪物'!$E$31:$K$37,B690,2),'章节与怪物'!$A$41:$F$44,2,FALSE),0)+IF(2=D690,ROUND(AC690*'难度参数'!$E$28*'章节与怪物'!$E$17,0),0))</x:f>
        <x:v>487074</x:v>
      </x:c>
      <x:c r="AE690" s="119" t="n">
        <x:f>IF(AB690=0,0,(AB690-IF(2=D690,1,0))*VLOOKUP(INDEX('章节与怪物'!$E$31:$K$37,B690,2),'章节与怪物'!$A$41:$F$44,4,FALSE)+IF(2=D690,'难度参数'!$E$30,0))</x:f>
        <x:v>756</x:v>
      </x:c>
      <x:c r="AF690" s="119" t="n">
        <x:f>IF(3&gt;D690,0,MAX(2,MIN('难度参数'!$E$12,ROUND(('难度参数'!$E$18*POWER(A690,'难度参数'!$E$19)/D690*(0.85+0.3*(3-1)/MAX(1,D690-1))),0)+F690)))</x:f>
        <x:v>44</x:v>
      </x:c>
      <x:c r="AG690" s="119" t="n">
        <x:f>IF(3&gt;D690,0,ROUND(('难度参数'!$E$13*POWER(A690,'难度参数'!$E$20)*MIN('难度参数'!$E$23,1+MAX(0,A690-'难度参数'!$E$21)*'难度参数'!$E$22))*(36+3*7)/(36+7*(D690+1)/2)*E690,0))</x:f>
        <x:v>13221</x:v>
      </x:c>
      <x:c r="AH690" s="119" t="n">
        <x:f>IF(AF690=0,0,(AF690-IF(3=D690,1,0))*ROUND(AG690*VLOOKUP(INDEX('章节与怪物'!$E$31:$K$37,B690,3),'章节与怪物'!$A$41:$F$44,2,FALSE),0)+IF(3=D690,ROUND(AG690*'难度参数'!$E$28*'章节与怪物'!$E$17,0),0))</x:f>
        <x:v>988944</x:v>
      </x:c>
      <x:c r="AI690" s="119" t="n">
        <x:f>IF(AF690=0,0,(AF690-IF(3=D690,1,0))*VLOOKUP(INDEX('章节与怪物'!$E$31:$K$37,B690,3),'章节与怪物'!$A$41:$F$44,4,FALSE)+IF(3=D690,'难度参数'!$E$30,0))</x:f>
        <x:v>1232</x:v>
      </x:c>
      <x:c r="AJ690" s="119" t="n">
        <x:f>IF(4&gt;D690,0,MAX(2,MIN('难度参数'!$E$12,ROUND(('难度参数'!$E$18*POWER(A690,'难度参数'!$E$19)/D690*(0.85+0.3*(4-1)/MAX(1,D690-1))),0)+F690)))</x:f>
        <x:v>46</x:v>
      </x:c>
      <x:c r="AK690" s="119" t="n">
        <x:f>IF(4&gt;D690,0,ROUND(('难度参数'!$E$13*POWER(A690,'难度参数'!$E$20)*MIN('难度参数'!$E$23,1+MAX(0,A690-'难度参数'!$E$21)*'难度参数'!$E$22))*(36+4*7)/(36+7*(D690+1)/2)*E690,0))</x:f>
        <x:v>14845</x:v>
      </x:c>
      <x:c r="AL690" s="119" t="n">
        <x:f>IF(AJ690=0,0,(AJ690-IF(4=D690,1,0))*ROUND(AK690*VLOOKUP(INDEX('章节与怪物'!$E$31:$K$37,B690,4),'章节与怪物'!$A$41:$F$44,2,FALSE),0)+IF(4=D690,ROUND(AK690*'难度参数'!$E$28*'章节与怪物'!$E$17,0),0))</x:f>
        <x:v>921886</x:v>
      </x:c>
      <x:c r="AM690" s="119" t="n">
        <x:f>IF(AJ690=0,0,(AJ690-IF(4=D690,1,0))*VLOOKUP(INDEX('章节与怪物'!$E$31:$K$37,B690,4),'章节与怪物'!$A$41:$F$44,4,FALSE)+IF(4=D690,'难度参数'!$E$30,0))</x:f>
        <x:v>1564</x:v>
      </x:c>
      <x:c r="AN690" s="119" t="n">
        <x:f>IF(5&gt;D690,0,MAX(2,MIN('难度参数'!$E$12,ROUND(('难度参数'!$E$18*POWER(A690,'难度参数'!$E$19)/D690*(0.85+0.3*(5-1)/MAX(1,D690-1))),0)+F690)))</x:f>
        <x:v>49</x:v>
      </x:c>
      <x:c r="AO690" s="119" t="n">
        <x:f>IF(5&gt;D690,0,ROUND(('难度参数'!$E$13*POWER(A690,'难度参数'!$E$20)*MIN('难度参数'!$E$23,1+MAX(0,A690-'难度参数'!$E$21)*'难度参数'!$E$22))*(36+5*7)/(36+7*(D690+1)/2)*E690,0))</x:f>
        <x:v>16468</x:v>
      </x:c>
      <x:c r="AP690" s="119" t="n">
        <x:f>IF(AN690=0,0,(AN690-IF(5=D690,1,0))*ROUND(AO690*VLOOKUP(INDEX('章节与怪物'!$E$31:$K$37,B690,5),'章节与怪物'!$A$41:$F$44,2,FALSE),0)+IF(5=D690,ROUND(AO690*'难度参数'!$E$28*'章节与怪物'!$E$17,0),0))</x:f>
        <x:v>806932</x:v>
      </x:c>
      <x:c r="AQ690" s="119" t="n">
        <x:f>IF(AN690=0,0,(AN690-IF(5=D690,1,0))*VLOOKUP(INDEX('章节与怪物'!$E$31:$K$37,B690,5),'章节与怪物'!$A$41:$F$44,4,FALSE)+IF(5=D690,'难度参数'!$E$30,0))</x:f>
        <x:v>882</x:v>
      </x:c>
      <x:c r="AR690" s="119" t="n">
        <x:f>IF(6&gt;D690,0,MAX(2,MIN('难度参数'!$E$12,ROUND(('难度参数'!$E$18*POWER(A690,'难度参数'!$E$19)/D690*(0.85+0.3*(6-1)/MAX(1,D690-1))),0)+F690)))</x:f>
        <x:v>51</x:v>
      </x:c>
      <x:c r="AS690" s="119" t="n">
        <x:f>IF(6&gt;D690,0,ROUND(('难度参数'!$E$13*POWER(A690,'难度参数'!$E$20)*MIN('难度参数'!$E$23,1+MAX(0,A690-'难度参数'!$E$21)*'难度参数'!$E$22))*(36+6*7)/(36+7*(D690+1)/2)*E690,0))</x:f>
        <x:v>18092</x:v>
      </x:c>
      <x:c r="AT690" s="119" t="n">
        <x:f>IF(AR690=0,0,(AR690-IF(6=D690,1,0))*ROUND(AS690*VLOOKUP(INDEX('章节与怪物'!$E$31:$K$37,B690,6),'章节与怪物'!$A$41:$F$44,2,FALSE),0)+IF(6=D690,ROUND(AS690*'难度参数'!$E$28*'章节与怪物'!$E$17,0),0))</x:f>
        <x:v>664326</x:v>
      </x:c>
      <x:c r="AU690" s="119" t="n">
        <x:f>IF(AR690=0,0,(AR690-IF(6=D690,1,0))*VLOOKUP(INDEX('章节与怪物'!$E$31:$K$37,B690,6),'章节与怪物'!$A$41:$F$44,4,FALSE)+IF(6=D690,'难度参数'!$E$30,0))</x:f>
        <x:v>1020</x:v>
      </x:c>
      <x:c r="AV690" s="119" t="n">
        <x:f>IF(7&gt;D690,0,MAX(2,MIN('难度参数'!$E$12,ROUND(('难度参数'!$E$18*POWER(A690,'难度参数'!$E$19)/D690*(0.85+0.3*(7-1)/MAX(1,D690-1))),0)+F690)))</x:f>
        <x:v>53</x:v>
      </x:c>
      <x:c r="AW690" s="119" t="n">
        <x:f>IF(7&gt;D690,0,ROUND(('难度参数'!$E$13*POWER(A690,'难度参数'!$E$20)*MIN('难度参数'!$E$23,1+MAX(0,A690-'难度参数'!$E$21)*'难度参数'!$E$22))*(36+7*7)/(36+7*(D690+1)/2)*E690,0))</x:f>
        <x:v>19716</x:v>
      </x:c>
      <x:c r="AX690" s="119" t="n">
        <x:f>IF(AV690=0,0,(AV690-IF(7=D690,1,0))*ROUND(AW690*VLOOKUP(INDEX('章节与怪物'!$E$31:$K$37,B690,7),'章节与怪物'!$A$41:$F$44,2,FALSE),0)+IF(7=D690,ROUND(AW690*'难度参数'!$E$28*'章节与怪物'!$E$17,0),0))</x:f>
        <x:v>1518153</x:v>
      </x:c>
      <x:c r="AY690" s="119" t="n">
        <x:f>IF(AV690=0,0,(AV690-IF(7=D690,1,0))*VLOOKUP(INDEX('章节与怪物'!$E$31:$K$37,B690,7),'章节与怪物'!$A$41:$F$44,4,FALSE)+IF(7=D690,'难度参数'!$E$30,0))</x:f>
        <x:v>1968</x:v>
      </x:c>
    </x:row>
    <x:row r="691" ht="23" customHeight="1">
      <x:c r="A691" s="119" t="n">
        <x:v>685</x:v>
      </x:c>
      <x:c r="B691" s="119" t="n">
        <x:f>MOD(INT((A691-1)/5),7)+1</x:f>
        <x:v>4</x:v>
      </x:c>
      <x:c r="C691" s="62" t="str">
        <x:f>INDEX('章节与怪物'!$B$31:$B$37,B691)</x:f>
        <x:v>翠野边城</x:v>
      </x:c>
      <x:c r="D691" s="119" t="n">
        <x:f>MIN('难度参数'!$E$8,MAX('难度参数'!$E$7,A691))</x:f>
        <x:v>7</x:v>
      </x:c>
      <x:c r="E691" s="106" t="n">
        <x:v>1</x:v>
      </x:c>
      <x:c r="F691" s="106" t="n">
        <x:v>0</x:v>
      </x:c>
      <x:c r="G691" s="106" t="n">
        <x:v>1</x:v>
      </x:c>
      <x:c r="H691" s="119" t="n">
        <x:f>SUM(X691,AB691,AF691,AJ691,AN691,AR691,AV691)</x:f>
        <x:v>324</x:v>
      </x:c>
      <x:c r="I691" s="119" t="n">
        <x:f>SUM(Z691,AD691,AH691,AL691,AP691,AT691,AX691)</x:f>
        <x:v>5673305</x:v>
      </x:c>
      <x:c r="J691" s="119" t="n">
        <x:f>ROUND(INDEX(X691:AY691,1,(D691-1)*4+2)*'难度参数'!$E$28*'章节与怪物'!$E$17,0)</x:f>
        <x:v>134205</x:v>
      </x:c>
      <x:c r="K691" s="119" t="n">
        <x:f>SUM(AA691,AE691,AI691,AM691,AQ691,AU691,AY691)</x:f>
        <x:v>8202</x:v>
      </x:c>
      <x:c r="L691" s="62" t="n">
        <x:f>H691*(ROUNDUP('难度参数'!$E$24/('难度参数'!$E$26*'难度参数'!$E$27),0)*'难度参数'!$E$26)/60</x:f>
        <x:v>4.319999999999999</x:v>
      </x:c>
      <x:c r="M691" s="62" t="n">
        <x:f>L691+D691*('难度参数'!$E$49+'难度参数'!$E$50)/60</x:f>
        <x:v>5.486666666666666</x:v>
      </x:c>
      <x:c r="N691" s="119" t="n">
        <x:f>ROUNDDOWN(('经济参数'!$E$20+A691*'经济参数'!$E$21)*G691,0)</x:f>
        <x:v>13880</x:v>
      </x:c>
      <x:c r="O691" s="119" t="n">
        <x:f>ROUNDDOWN(MIN('经济参数'!$E$24,'经济参数'!$E$22+A691*'经济参数'!$E$23)*G691,0)</x:f>
        <x:v>0</x:v>
      </x:c>
      <x:c r="P691" s="119" t="n">
        <x:f>ROUNDDOWN((IF(A691&gt;='材料与任务'!$E$31,'材料与任务'!$E$32,IF(A691&gt;='材料与任务'!$E$25,'材料与任务'!$E$26,IF(A691&gt;='材料与任务'!$E$19,'材料与任务'!$E$20,IF(A691&gt;='材料与任务'!$E$13,'材料与任务'!$E$14,'材料与任务'!$E$8)))))*G691,0)</x:f>
        <x:v>6</x:v>
      </x:c>
      <x:c r="Q691" s="119" t="n">
        <x:f>ROUNDDOWN((IF(A691&gt;='材料与任务'!$E$31,'材料与任务'!$E$33,IF(A691&gt;='材料与任务'!$E$25,'材料与任务'!$E$27,IF(A691&gt;='材料与任务'!$E$19,'材料与任务'!$E$21,IF(A691&gt;='材料与任务'!$E$13,'材料与任务'!$E$15,'材料与任务'!$E$9)))))*G691,0)</x:f>
        <x:v>3</x:v>
      </x:c>
      <x:c r="R691" s="110" t="n">
        <x:f>'装备掉落'!$B$38</x:f>
        <x:v>0.6872058758851213</x:v>
      </x:c>
      <x:c r="S691" s="119" t="n">
        <x:f>MAX(IF(VLOOKUP(A691,'装备掉落'!$A$29:$H$34,2,TRUE)&gt;0,1,0),IF(VLOOKUP(A691,'装备掉落'!$A$29:$H$34,3,TRUE)&gt;0,2,0),IF(VLOOKUP(A691,'装备掉落'!$A$29:$H$34,4,TRUE)&gt;0,3,0),IF(VLOOKUP(A691,'装备掉落'!$A$29:$H$34,5,TRUE)&gt;0,4,0),IF(VLOOKUP(A691,'装备掉落'!$A$29:$H$34,6,TRUE)&gt;0,5,0),IF(VLOOKUP(A691,'装备掉落'!$A$29:$H$34,7,TRUE)&gt;0,6,0),IF(VLOOKUP(A691,'装备掉落'!$A$29:$H$34,8,TRUE)&gt;0,7,0))</x:f>
        <x:v>7</x:v>
      </x:c>
      <x:c r="T691" s="119" t="n">
        <x:f>MIN(7,S691+'经济参数'!$E$70)</x:f>
        <x:v>7</x:v>
      </x:c>
      <x:c r="U691" s="119" t="n">
        <x:f>MIN(7,S691+'经济参数'!$E$71)</x:f>
        <x:v>7</x:v>
      </x:c>
      <x:c r="V691" s="119" t="n">
        <x:f>IF(H691&gt;=('难度参数'!$E$52),1,0)+IF(H691&gt;=('难度参数'!$E$52+'难度参数'!$E$53),1,0)+IF(H691&gt;=('难度参数'!$E$52+'难度参数'!$E$53+'难度参数'!$E$54),1,0)+IF(H691&gt;=('难度参数'!$E$52+'难度参数'!$E$53+'难度参数'!$E$54+'难度参数'!$E$55),1,0)+IF(H691&gt;=('难度参数'!$E$52+'难度参数'!$E$53+'难度参数'!$E$54+'难度参数'!$E$55+'难度参数'!$E$56),1,0)+IF(H691&gt;=('难度参数'!$E$52+'难度参数'!$E$53+'难度参数'!$E$54+'难度参数'!$E$55+'难度参数'!$E$56+'难度参数'!$E$57),1,0)</x:f>
        <x:v>6</x:v>
      </x:c>
      <x:c r="W691" s="62" t="str">
        <x:f>IF(L691&gt;'难度参数'!$E$51,"仅出怪已超目标","还需实测")</x:f>
        <x:v>仅出怪已超目标</x:v>
      </x:c>
      <x:c r="X691" s="119" t="n">
        <x:f>IF(1&gt;D691,0,MAX(2,MIN('难度参数'!$E$12,ROUND(('难度参数'!$E$18*POWER(A691,'难度参数'!$E$19)/D691*(0.85+0.3*(1-1)/MAX(1,D691-1))),0)+F691)))</x:f>
        <x:v>39</x:v>
      </x:c>
      <x:c r="Y691" s="119" t="n">
        <x:f>IF(1&gt;D691,0,ROUND(('难度参数'!$E$13*POWER(A691,'难度参数'!$E$20)*MIN('难度参数'!$E$23,1+MAX(0,A691-'难度参数'!$E$21)*'难度参数'!$E$22))*(36+1*7)/(36+7*(D691+1)/2)*E691,0))</x:f>
        <x:v>9984</x:v>
      </x:c>
      <x:c r="Z691" s="119" t="n">
        <x:f>IF(X691=0,0,(X691-IF(1=D691,1,0))*ROUND(Y691*VLOOKUP(INDEX('章节与怪物'!$E$31:$K$37,B691,1),'章节与怪物'!$A$41:$F$44,2,FALSE),0)+IF(1=D691,ROUND(Y691*'难度参数'!$E$28*'章节与怪物'!$E$17,0),0))</x:f>
        <x:v>280332</x:v>
      </x:c>
      <x:c r="AA691" s="119" t="n">
        <x:f>IF(X691=0,0,(X691-IF(1=D691,1,0))*VLOOKUP(INDEX('章节与怪物'!$E$31:$K$37,B691,1),'章节与怪物'!$A$41:$F$44,4,FALSE)+IF(1=D691,'难度参数'!$E$30,0))</x:f>
        <x:v>780</x:v>
      </x:c>
      <x:c r="AB691" s="119" t="n">
        <x:f>IF(2&gt;D691,0,MAX(2,MIN('难度参数'!$E$12,ROUND(('难度参数'!$E$18*POWER(A691,'难度参数'!$E$19)/D691*(0.85+0.3*(2-1)/MAX(1,D691-1))),0)+F691)))</x:f>
        <x:v>42</x:v>
      </x:c>
      <x:c r="AC691" s="119" t="n">
        <x:f>IF(2&gt;D691,0,ROUND(('难度参数'!$E$13*POWER(A691,'难度参数'!$E$20)*MIN('难度参数'!$E$23,1+MAX(0,A691-'难度参数'!$E$21)*'难度参数'!$E$22))*(36+2*7)/(36+7*(D691+1)/2)*E691,0))</x:f>
        <x:v>11610</x:v>
      </x:c>
      <x:c r="AD691" s="119" t="n">
        <x:f>IF(AB691=0,0,(AB691-IF(2=D691,1,0))*ROUND(AC691*VLOOKUP(INDEX('章节与怪物'!$E$31:$K$37,B691,2),'章节与怪物'!$A$41:$F$44,2,FALSE),0)+IF(2=D691,ROUND(AC691*'难度参数'!$E$28*'章节与怪物'!$E$17,0),0))</x:f>
        <x:v>487620</x:v>
      </x:c>
      <x:c r="AE691" s="119" t="n">
        <x:f>IF(AB691=0,0,(AB691-IF(2=D691,1,0))*VLOOKUP(INDEX('章节与怪物'!$E$31:$K$37,B691,2),'章节与怪物'!$A$41:$F$44,4,FALSE)+IF(2=D691,'难度参数'!$E$30,0))</x:f>
        <x:v>756</x:v>
      </x:c>
      <x:c r="AF691" s="119" t="n">
        <x:f>IF(3&gt;D691,0,MAX(2,MIN('难度参数'!$E$12,ROUND(('难度参数'!$E$18*POWER(A691,'难度参数'!$E$19)/D691*(0.85+0.3*(3-1)/MAX(1,D691-1))),0)+F691)))</x:f>
        <x:v>44</x:v>
      </x:c>
      <x:c r="AG691" s="119" t="n">
        <x:f>IF(3&gt;D691,0,ROUND(('难度参数'!$E$13*POWER(A691,'难度参数'!$E$20)*MIN('难度参数'!$E$23,1+MAX(0,A691-'难度参数'!$E$21)*'难度参数'!$E$22))*(36+3*7)/(36+7*(D691+1)/2)*E691,0))</x:f>
        <x:v>13235</x:v>
      </x:c>
      <x:c r="AH691" s="119" t="n">
        <x:f>IF(AF691=0,0,(AF691-IF(3=D691,1,0))*ROUND(AG691*VLOOKUP(INDEX('章节与怪物'!$E$31:$K$37,B691,3),'章节与怪物'!$A$41:$F$44,2,FALSE),0)+IF(3=D691,ROUND(AG691*'难度参数'!$E$28*'章节与怪物'!$E$17,0),0))</x:f>
        <x:v>990000</x:v>
      </x:c>
      <x:c r="AI691" s="119" t="n">
        <x:f>IF(AF691=0,0,(AF691-IF(3=D691,1,0))*VLOOKUP(INDEX('章节与怪物'!$E$31:$K$37,B691,3),'章节与怪物'!$A$41:$F$44,4,FALSE)+IF(3=D691,'难度参数'!$E$30,0))</x:f>
        <x:v>1232</x:v>
      </x:c>
      <x:c r="AJ691" s="119" t="n">
        <x:f>IF(4&gt;D691,0,MAX(2,MIN('难度参数'!$E$12,ROUND(('难度参数'!$E$18*POWER(A691,'难度参数'!$E$19)/D691*(0.85+0.3*(4-1)/MAX(1,D691-1))),0)+F691)))</x:f>
        <x:v>46</x:v>
      </x:c>
      <x:c r="AK691" s="119" t="n">
        <x:f>IF(4&gt;D691,0,ROUND(('难度参数'!$E$13*POWER(A691,'难度参数'!$E$20)*MIN('难度参数'!$E$23,1+MAX(0,A691-'难度参数'!$E$21)*'难度参数'!$E$22))*(36+4*7)/(36+7*(D691+1)/2)*E691,0))</x:f>
        <x:v>14860</x:v>
      </x:c>
      <x:c r="AL691" s="119" t="n">
        <x:f>IF(AJ691=0,0,(AJ691-IF(4=D691,1,0))*ROUND(AK691*VLOOKUP(INDEX('章节与怪物'!$E$31:$K$37,B691,4),'章节与怪物'!$A$41:$F$44,2,FALSE),0)+IF(4=D691,ROUND(AK691*'难度参数'!$E$28*'章节与怪物'!$E$17,0),0))</x:f>
        <x:v>922806</x:v>
      </x:c>
      <x:c r="AM691" s="119" t="n">
        <x:f>IF(AJ691=0,0,(AJ691-IF(4=D691,1,0))*VLOOKUP(INDEX('章节与怪物'!$E$31:$K$37,B691,4),'章节与怪物'!$A$41:$F$44,4,FALSE)+IF(4=D691,'难度参数'!$E$30,0))</x:f>
        <x:v>1564</x:v>
      </x:c>
      <x:c r="AN691" s="119" t="n">
        <x:f>IF(5&gt;D691,0,MAX(2,MIN('难度参数'!$E$12,ROUND(('难度参数'!$E$18*POWER(A691,'难度参数'!$E$19)/D691*(0.85+0.3*(5-1)/MAX(1,D691-1))),0)+F691)))</x:f>
        <x:v>49</x:v>
      </x:c>
      <x:c r="AO691" s="119" t="n">
        <x:f>IF(5&gt;D691,0,ROUND(('难度参数'!$E$13*POWER(A691,'难度参数'!$E$20)*MIN('难度参数'!$E$23,1+MAX(0,A691-'难度参数'!$E$21)*'难度参数'!$E$22))*(36+5*7)/(36+7*(D691+1)/2)*E691,0))</x:f>
        <x:v>16486</x:v>
      </x:c>
      <x:c r="AP691" s="119" t="n">
        <x:f>IF(AN691=0,0,(AN691-IF(5=D691,1,0))*ROUND(AO691*VLOOKUP(INDEX('章节与怪物'!$E$31:$K$37,B691,5),'章节与怪物'!$A$41:$F$44,2,FALSE),0)+IF(5=D691,ROUND(AO691*'难度参数'!$E$28*'章节与怪物'!$E$17,0),0))</x:f>
        <x:v>807814</x:v>
      </x:c>
      <x:c r="AQ691" s="119" t="n">
        <x:f>IF(AN691=0,0,(AN691-IF(5=D691,1,0))*VLOOKUP(INDEX('章节与怪物'!$E$31:$K$37,B691,5),'章节与怪物'!$A$41:$F$44,4,FALSE)+IF(5=D691,'难度参数'!$E$30,0))</x:f>
        <x:v>882</x:v>
      </x:c>
      <x:c r="AR691" s="119" t="n">
        <x:f>IF(6&gt;D691,0,MAX(2,MIN('难度参数'!$E$12,ROUND(('难度参数'!$E$18*POWER(A691,'难度参数'!$E$19)/D691*(0.85+0.3*(6-1)/MAX(1,D691-1))),0)+F691)))</x:f>
        <x:v>51</x:v>
      </x:c>
      <x:c r="AS691" s="119" t="n">
        <x:f>IF(6&gt;D691,0,ROUND(('难度参数'!$E$13*POWER(A691,'难度参数'!$E$20)*MIN('难度参数'!$E$23,1+MAX(0,A691-'难度参数'!$E$21)*'难度参数'!$E$22))*(36+6*7)/(36+7*(D691+1)/2)*E691,0))</x:f>
        <x:v>18111</x:v>
      </x:c>
      <x:c r="AT691" s="119" t="n">
        <x:f>IF(AR691=0,0,(AR691-IF(6=D691,1,0))*ROUND(AS691*VLOOKUP(INDEX('章节与怪物'!$E$31:$K$37,B691,6),'章节与怪物'!$A$41:$F$44,2,FALSE),0)+IF(6=D691,ROUND(AS691*'难度参数'!$E$28*'章节与怪物'!$E$17,0),0))</x:f>
        <x:v>665040</x:v>
      </x:c>
      <x:c r="AU691" s="119" t="n">
        <x:f>IF(AR691=0,0,(AR691-IF(6=D691,1,0))*VLOOKUP(INDEX('章节与怪物'!$E$31:$K$37,B691,6),'章节与怪物'!$A$41:$F$44,4,FALSE)+IF(6=D691,'难度参数'!$E$30,0))</x:f>
        <x:v>1020</x:v>
      </x:c>
      <x:c r="AV691" s="119" t="n">
        <x:f>IF(7&gt;D691,0,MAX(2,MIN('难度参数'!$E$12,ROUND(('难度参数'!$E$18*POWER(A691,'难度参数'!$E$19)/D691*(0.85+0.3*(7-1)/MAX(1,D691-1))),0)+F691)))</x:f>
        <x:v>53</x:v>
      </x:c>
      <x:c r="AW691" s="119" t="n">
        <x:f>IF(7&gt;D691,0,ROUND(('难度参数'!$E$13*POWER(A691,'难度参数'!$E$20)*MIN('难度参数'!$E$23,1+MAX(0,A691-'难度参数'!$E$21)*'难度参数'!$E$22))*(36+7*7)/(36+7*(D691+1)/2)*E691,0))</x:f>
        <x:v>19736</x:v>
      </x:c>
      <x:c r="AX691" s="119" t="n">
        <x:f>IF(AV691=0,0,(AV691-IF(7=D691,1,0))*ROUND(AW691*VLOOKUP(INDEX('章节与怪物'!$E$31:$K$37,B691,7),'章节与怪物'!$A$41:$F$44,2,FALSE),0)+IF(7=D691,ROUND(AW691*'难度参数'!$E$28*'章节与怪物'!$E$17,0),0))</x:f>
        <x:v>1519693</x:v>
      </x:c>
      <x:c r="AY691" s="119" t="n">
        <x:f>IF(AV691=0,0,(AV691-IF(7=D691,1,0))*VLOOKUP(INDEX('章节与怪物'!$E$31:$K$37,B691,7),'章节与怪物'!$A$41:$F$44,4,FALSE)+IF(7=D691,'难度参数'!$E$30,0))</x:f>
        <x:v>1968</x:v>
      </x:c>
    </x:row>
    <x:row r="692" ht="23" customHeight="1">
      <x:c r="A692" s="119" t="n">
        <x:v>686</x:v>
      </x:c>
      <x:c r="B692" s="119" t="n">
        <x:f>MOD(INT((A692-1)/5),7)+1</x:f>
        <x:v>5</x:v>
      </x:c>
      <x:c r="C692" s="62" t="str">
        <x:f>INDEX('章节与怪物'!$B$31:$B$37,B692)</x:f>
        <x:v>雨林遗迹</x:v>
      </x:c>
      <x:c r="D692" s="119" t="n">
        <x:f>MIN('难度参数'!$E$8,MAX('难度参数'!$E$7,A692))</x:f>
        <x:v>7</x:v>
      </x:c>
      <x:c r="E692" s="106" t="n">
        <x:v>1</x:v>
      </x:c>
      <x:c r="F692" s="106" t="n">
        <x:v>0</x:v>
      </x:c>
      <x:c r="G692" s="106" t="n">
        <x:v>1</x:v>
      </x:c>
      <x:c r="H692" s="119" t="n">
        <x:f>SUM(X692,AB692,AF692,AJ692,AN692,AR692,AV692)</x:f>
        <x:v>324</x:v>
      </x:c>
      <x:c r="I692" s="119" t="n">
        <x:f>SUM(Z692,AD692,AH692,AL692,AP692,AT692,AX692)</x:f>
        <x:v>6331472</x:v>
      </x:c>
      <x:c r="J692" s="119" t="n">
        <x:f>ROUND(INDEX(X692:AY692,1,(D692-1)*4+2)*'难度参数'!$E$28*'章节与怪物'!$E$17,0)</x:f>
        <x:v>134348</x:v>
      </x:c>
      <x:c r="K692" s="119" t="n">
        <x:f>SUM(AA692,AE692,AI692,AM692,AQ692,AU692,AY692)</x:f>
        <x:v>8714</x:v>
      </x:c>
      <x:c r="L692" s="62" t="n">
        <x:f>H692*(ROUNDUP('难度参数'!$E$24/('难度参数'!$E$26*'难度参数'!$E$27),0)*'难度参数'!$E$26)/60</x:f>
        <x:v>4.319999999999999</x:v>
      </x:c>
      <x:c r="M692" s="62" t="n">
        <x:f>L692+D692*('难度参数'!$E$49+'难度参数'!$E$50)/60</x:f>
        <x:v>5.486666666666666</x:v>
      </x:c>
      <x:c r="N692" s="119" t="n">
        <x:f>ROUNDDOWN(('经济参数'!$E$20+A692*'经济参数'!$E$21)*G692,0)</x:f>
        <x:v>13900</x:v>
      </x:c>
      <x:c r="O692" s="119" t="n">
        <x:f>ROUNDDOWN(MIN('经济参数'!$E$24,'经济参数'!$E$22+A692*'经济参数'!$E$23)*G692,0)</x:f>
        <x:v>0</x:v>
      </x:c>
      <x:c r="P692" s="119" t="n">
        <x:f>ROUNDDOWN((IF(A692&gt;='材料与任务'!$E$31,'材料与任务'!$E$32,IF(A692&gt;='材料与任务'!$E$25,'材料与任务'!$E$26,IF(A692&gt;='材料与任务'!$E$19,'材料与任务'!$E$20,IF(A692&gt;='材料与任务'!$E$13,'材料与任务'!$E$14,'材料与任务'!$E$8)))))*G692,0)</x:f>
        <x:v>6</x:v>
      </x:c>
      <x:c r="Q692" s="119" t="n">
        <x:f>ROUNDDOWN((IF(A692&gt;='材料与任务'!$E$31,'材料与任务'!$E$33,IF(A692&gt;='材料与任务'!$E$25,'材料与任务'!$E$27,IF(A692&gt;='材料与任务'!$E$19,'材料与任务'!$E$21,IF(A692&gt;='材料与任务'!$E$13,'材料与任务'!$E$15,'材料与任务'!$E$9)))))*G692,0)</x:f>
        <x:v>3</x:v>
      </x:c>
      <x:c r="R692" s="110" t="n">
        <x:f>'装备掉落'!$B$38</x:f>
        <x:v>0.6872058758851213</x:v>
      </x:c>
      <x:c r="S692" s="119" t="n">
        <x:f>MAX(IF(VLOOKUP(A692,'装备掉落'!$A$29:$H$34,2,TRUE)&gt;0,1,0),IF(VLOOKUP(A692,'装备掉落'!$A$29:$H$34,3,TRUE)&gt;0,2,0),IF(VLOOKUP(A692,'装备掉落'!$A$29:$H$34,4,TRUE)&gt;0,3,0),IF(VLOOKUP(A692,'装备掉落'!$A$29:$H$34,5,TRUE)&gt;0,4,0),IF(VLOOKUP(A692,'装备掉落'!$A$29:$H$34,6,TRUE)&gt;0,5,0),IF(VLOOKUP(A692,'装备掉落'!$A$29:$H$34,7,TRUE)&gt;0,6,0),IF(VLOOKUP(A692,'装备掉落'!$A$29:$H$34,8,TRUE)&gt;0,7,0))</x:f>
        <x:v>7</x:v>
      </x:c>
      <x:c r="T692" s="119" t="n">
        <x:f>MIN(7,S692+'经济参数'!$E$70)</x:f>
        <x:v>7</x:v>
      </x:c>
      <x:c r="U692" s="119" t="n">
        <x:f>MIN(7,S692+'经济参数'!$E$71)</x:f>
        <x:v>7</x:v>
      </x:c>
      <x:c r="V692" s="119" t="n">
        <x:f>IF(H692&gt;=('难度参数'!$E$52),1,0)+IF(H692&gt;=('难度参数'!$E$52+'难度参数'!$E$53),1,0)+IF(H692&gt;=('难度参数'!$E$52+'难度参数'!$E$53+'难度参数'!$E$54),1,0)+IF(H692&gt;=('难度参数'!$E$52+'难度参数'!$E$53+'难度参数'!$E$54+'难度参数'!$E$55),1,0)+IF(H692&gt;=('难度参数'!$E$52+'难度参数'!$E$53+'难度参数'!$E$54+'难度参数'!$E$55+'难度参数'!$E$56),1,0)+IF(H692&gt;=('难度参数'!$E$52+'难度参数'!$E$53+'难度参数'!$E$54+'难度参数'!$E$55+'难度参数'!$E$56+'难度参数'!$E$57),1,0)</x:f>
        <x:v>6</x:v>
      </x:c>
      <x:c r="W692" s="62" t="str">
        <x:f>IF(L692&gt;'难度参数'!$E$51,"仅出怪已超目标","还需实测")</x:f>
        <x:v>仅出怪已超目标</x:v>
      </x:c>
      <x:c r="X692" s="119" t="n">
        <x:f>IF(1&gt;D692,0,MAX(2,MIN('难度参数'!$E$12,ROUND(('难度参数'!$E$18*POWER(A692,'难度参数'!$E$19)/D692*(0.85+0.3*(1-1)/MAX(1,D692-1))),0)+F692)))</x:f>
        <x:v>39</x:v>
      </x:c>
      <x:c r="Y692" s="119" t="n">
        <x:f>IF(1&gt;D692,0,ROUND(('难度参数'!$E$13*POWER(A692,'难度参数'!$E$20)*MIN('难度参数'!$E$23,1+MAX(0,A692-'难度参数'!$E$21)*'难度参数'!$E$22))*(36+1*7)/(36+7*(D692+1)/2)*E692,0))</x:f>
        <x:v>9995</x:v>
      </x:c>
      <x:c r="Z692" s="119" t="n">
        <x:f>IF(X692=0,0,(X692-IF(1=D692,1,0))*ROUND(Y692*VLOOKUP(INDEX('章节与怪物'!$E$31:$K$37,B692,1),'章节与怪物'!$A$41:$F$44,2,FALSE),0)+IF(1=D692,ROUND(Y692*'难度参数'!$E$28*'章节与怪物'!$E$17,0),0))</x:f>
        <x:v>389805</x:v>
      </x:c>
      <x:c r="AA692" s="119" t="n">
        <x:f>IF(X692=0,0,(X692-IF(1=D692,1,0))*VLOOKUP(INDEX('章节与怪物'!$E$31:$K$37,B692,1),'章节与怪物'!$A$41:$F$44,4,FALSE)+IF(1=D692,'难度参数'!$E$30,0))</x:f>
        <x:v>702</x:v>
      </x:c>
      <x:c r="AB692" s="119" t="n">
        <x:f>IF(2&gt;D692,0,MAX(2,MIN('难度参数'!$E$12,ROUND(('难度参数'!$E$18*POWER(A692,'难度参数'!$E$19)/D692*(0.85+0.3*(2-1)/MAX(1,D692-1))),0)+F692)))</x:f>
        <x:v>42</x:v>
      </x:c>
      <x:c r="AC692" s="119" t="n">
        <x:f>IF(2&gt;D692,0,ROUND(('难度参数'!$E$13*POWER(A692,'难度参数'!$E$20)*MIN('难度参数'!$E$23,1+MAX(0,A692-'难度参数'!$E$21)*'难度参数'!$E$22))*(36+2*7)/(36+7*(D692+1)/2)*E692,0))</x:f>
        <x:v>11622</x:v>
      </x:c>
      <x:c r="AD692" s="119" t="n">
        <x:f>IF(AB692=0,0,(AB692-IF(2=D692,1,0))*ROUND(AC692*VLOOKUP(INDEX('章节与怪物'!$E$31:$K$37,B692,2),'章节与怪物'!$A$41:$F$44,2,FALSE),0)+IF(2=D692,ROUND(AC692*'难度参数'!$E$28*'章节与怪物'!$E$17,0),0))</x:f>
        <x:v>351456</x:v>
      </x:c>
      <x:c r="AE692" s="119" t="n">
        <x:f>IF(AB692=0,0,(AB692-IF(2=D692,1,0))*VLOOKUP(INDEX('章节与怪物'!$E$31:$K$37,B692,2),'章节与怪物'!$A$41:$F$44,4,FALSE)+IF(2=D692,'难度参数'!$E$30,0))</x:f>
        <x:v>840</x:v>
      </x:c>
      <x:c r="AF692" s="119" t="n">
        <x:f>IF(3&gt;D692,0,MAX(2,MIN('难度参数'!$E$12,ROUND(('难度参数'!$E$18*POWER(A692,'难度参数'!$E$19)/D692*(0.85+0.3*(3-1)/MAX(1,D692-1))),0)+F692)))</x:f>
        <x:v>44</x:v>
      </x:c>
      <x:c r="AG692" s="119" t="n">
        <x:f>IF(3&gt;D692,0,ROUND(('难度参数'!$E$13*POWER(A692,'难度参数'!$E$20)*MIN('难度参数'!$E$23,1+MAX(0,A692-'难度参数'!$E$21)*'难度参数'!$E$22))*(36+3*7)/(36+7*(D692+1)/2)*E692,0))</x:f>
        <x:v>13249</x:v>
      </x:c>
      <x:c r="AH692" s="119" t="n">
        <x:f>IF(AF692=0,0,(AF692-IF(3=D692,1,0))*ROUND(AG692*VLOOKUP(INDEX('章节与怪物'!$E$31:$K$37,B692,3),'章节与怪物'!$A$41:$F$44,2,FALSE),0)+IF(3=D692,ROUND(AG692*'难度参数'!$E$28*'章节与怪物'!$E$17,0),0))</x:f>
        <x:v>991012</x:v>
      </x:c>
      <x:c r="AI692" s="119" t="n">
        <x:f>IF(AF692=0,0,(AF692-IF(3=D692,1,0))*VLOOKUP(INDEX('章节与怪物'!$E$31:$K$37,B692,3),'章节与怪物'!$A$41:$F$44,4,FALSE)+IF(3=D692,'难度参数'!$E$30,0))</x:f>
        <x:v>1232</x:v>
      </x:c>
      <x:c r="AJ692" s="119" t="n">
        <x:f>IF(4&gt;D692,0,MAX(2,MIN('难度参数'!$E$12,ROUND(('难度参数'!$E$18*POWER(A692,'难度参数'!$E$19)/D692*(0.85+0.3*(4-1)/MAX(1,D692-1))),0)+F692)))</x:f>
        <x:v>46</x:v>
      </x:c>
      <x:c r="AK692" s="119" t="n">
        <x:f>IF(4&gt;D692,0,ROUND(('难度参数'!$E$13*POWER(A692,'难度参数'!$E$20)*MIN('难度参数'!$E$23,1+MAX(0,A692-'难度参数'!$E$21)*'难度参数'!$E$22))*(36+4*7)/(36+7*(D692+1)/2)*E692,0))</x:f>
        <x:v>14876</x:v>
      </x:c>
      <x:c r="AL692" s="119" t="n">
        <x:f>IF(AJ692=0,0,(AJ692-IF(4=D692,1,0))*ROUND(AK692*VLOOKUP(INDEX('章节与怪物'!$E$31:$K$37,B692,4),'章节与怪物'!$A$41:$F$44,2,FALSE),0)+IF(4=D692,ROUND(AK692*'难度参数'!$E$28*'章节与怪物'!$E$17,0),0))</x:f>
        <x:v>923818</x:v>
      </x:c>
      <x:c r="AM692" s="119" t="n">
        <x:f>IF(AJ692=0,0,(AJ692-IF(4=D692,1,0))*VLOOKUP(INDEX('章节与怪物'!$E$31:$K$37,B692,4),'章节与怪物'!$A$41:$F$44,4,FALSE)+IF(4=D692,'难度参数'!$E$30,0))</x:f>
        <x:v>1564</x:v>
      </x:c>
      <x:c r="AN692" s="119" t="n">
        <x:f>IF(5&gt;D692,0,MAX(2,MIN('难度参数'!$E$12,ROUND(('难度参数'!$E$18*POWER(A692,'难度参数'!$E$19)/D692*(0.85+0.3*(5-1)/MAX(1,D692-1))),0)+F692)))</x:f>
        <x:v>49</x:v>
      </x:c>
      <x:c r="AO692" s="119" t="n">
        <x:f>IF(5&gt;D692,0,ROUND(('难度参数'!$E$13*POWER(A692,'难度参数'!$E$20)*MIN('难度参数'!$E$23,1+MAX(0,A692-'难度参数'!$E$21)*'难度参数'!$E$22))*(36+5*7)/(36+7*(D692+1)/2)*E692,0))</x:f>
        <x:v>16503</x:v>
      </x:c>
      <x:c r="AP692" s="119" t="n">
        <x:f>IF(AN692=0,0,(AN692-IF(5=D692,1,0))*ROUND(AO692*VLOOKUP(INDEX('章节与怪物'!$E$31:$K$37,B692,5),'章节与怪物'!$A$41:$F$44,2,FALSE),0)+IF(5=D692,ROUND(AO692*'难度参数'!$E$28*'章节与怪物'!$E$17,0),0))</x:f>
        <x:v>582218</x:v>
      </x:c>
      <x:c r="AQ692" s="119" t="n">
        <x:f>IF(AN692=0,0,(AN692-IF(5=D692,1,0))*VLOOKUP(INDEX('章节与怪物'!$E$31:$K$37,B692,5),'章节与怪物'!$A$41:$F$44,4,FALSE)+IF(5=D692,'难度参数'!$E$30,0))</x:f>
        <x:v>980</x:v>
      </x:c>
      <x:c r="AR692" s="119" t="n">
        <x:f>IF(6&gt;D692,0,MAX(2,MIN('难度参数'!$E$12,ROUND(('难度参数'!$E$18*POWER(A692,'难度参数'!$E$19)/D692*(0.85+0.3*(6-1)/MAX(1,D692-1))),0)+F692)))</x:f>
        <x:v>51</x:v>
      </x:c>
      <x:c r="AS692" s="119" t="n">
        <x:f>IF(6&gt;D692,0,ROUND(('难度参数'!$E$13*POWER(A692,'难度参数'!$E$20)*MIN('难度参数'!$E$23,1+MAX(0,A692-'难度参数'!$E$21)*'难度参数'!$E$22))*(36+6*7)/(36+7*(D692+1)/2)*E692,0))</x:f>
        <x:v>18130</x:v>
      </x:c>
      <x:c r="AT692" s="119" t="n">
        <x:f>IF(AR692=0,0,(AR692-IF(6=D692,1,0))*ROUND(AS692*VLOOKUP(INDEX('章节与怪物'!$E$31:$K$37,B692,6),'章节与怪物'!$A$41:$F$44,2,FALSE),0)+IF(6=D692,ROUND(AS692*'难度参数'!$E$28*'章节与怪物'!$E$17,0),0))</x:f>
        <x:v>1571871</x:v>
      </x:c>
      <x:c r="AU692" s="119" t="n">
        <x:f>IF(AR692=0,0,(AR692-IF(6=D692,1,0))*VLOOKUP(INDEX('章节与怪物'!$E$31:$K$37,B692,6),'章节与怪物'!$A$41:$F$44,4,FALSE)+IF(6=D692,'难度参数'!$E$30,0))</x:f>
        <x:v>1428</x:v>
      </x:c>
      <x:c r="AV692" s="119" t="n">
        <x:f>IF(7&gt;D692,0,MAX(2,MIN('难度参数'!$E$12,ROUND(('难度参数'!$E$18*POWER(A692,'难度参数'!$E$19)/D692*(0.85+0.3*(7-1)/MAX(1,D692-1))),0)+F692)))</x:f>
        <x:v>53</x:v>
      </x:c>
      <x:c r="AW692" s="119" t="n">
        <x:f>IF(7&gt;D692,0,ROUND(('难度参数'!$E$13*POWER(A692,'难度参数'!$E$20)*MIN('难度参数'!$E$23,1+MAX(0,A692-'难度参数'!$E$21)*'难度参数'!$E$22))*(36+7*7)/(36+7*(D692+1)/2)*E692,0))</x:f>
        <x:v>19757</x:v>
      </x:c>
      <x:c r="AX692" s="119" t="n">
        <x:f>IF(AV692=0,0,(AV692-IF(7=D692,1,0))*ROUND(AW692*VLOOKUP(INDEX('章节与怪物'!$E$31:$K$37,B692,7),'章节与怪物'!$A$41:$F$44,2,FALSE),0)+IF(7=D692,ROUND(AW692*'难度参数'!$E$28*'章节与怪物'!$E$17,0),0))</x:f>
        <x:v>1521292</x:v>
      </x:c>
      <x:c r="AY692" s="119" t="n">
        <x:f>IF(AV692=0,0,(AV692-IF(7=D692,1,0))*VLOOKUP(INDEX('章节与怪物'!$E$31:$K$37,B692,7),'章节与怪物'!$A$41:$F$44,4,FALSE)+IF(7=D692,'难度参数'!$E$30,0))</x:f>
        <x:v>1968</x:v>
      </x:c>
    </x:row>
    <x:row r="693" ht="23" customHeight="1">
      <x:c r="A693" s="119" t="n">
        <x:v>687</x:v>
      </x:c>
      <x:c r="B693" s="119" t="n">
        <x:f>MOD(INT((A693-1)/5),7)+1</x:f>
        <x:v>5</x:v>
      </x:c>
      <x:c r="C693" s="62" t="str">
        <x:f>INDEX('章节与怪物'!$B$31:$B$37,B693)</x:f>
        <x:v>雨林遗迹</x:v>
      </x:c>
      <x:c r="D693" s="119" t="n">
        <x:f>MIN('难度参数'!$E$8,MAX('难度参数'!$E$7,A693))</x:f>
        <x:v>7</x:v>
      </x:c>
      <x:c r="E693" s="106" t="n">
        <x:v>1</x:v>
      </x:c>
      <x:c r="F693" s="106" t="n">
        <x:v>0</x:v>
      </x:c>
      <x:c r="G693" s="106" t="n">
        <x:v>1</x:v>
      </x:c>
      <x:c r="H693" s="119" t="n">
        <x:f>SUM(X693,AB693,AF693,AJ693,AN693,AR693,AV693)</x:f>
        <x:v>324</x:v>
      </x:c>
      <x:c r="I693" s="119" t="n">
        <x:f>SUM(Z693,AD693,AH693,AL693,AP693,AT693,AX693)</x:f>
        <x:v>6338038</x:v>
      </x:c>
      <x:c r="J693" s="119" t="n">
        <x:f>ROUND(INDEX(X693:AY693,1,(D693-1)*4+2)*'难度参数'!$E$28*'章节与怪物'!$E$17,0)</x:f>
        <x:v>134490</x:v>
      </x:c>
      <x:c r="K693" s="119" t="n">
        <x:f>SUM(AA693,AE693,AI693,AM693,AQ693,AU693,AY693)</x:f>
        <x:v>8714</x:v>
      </x:c>
      <x:c r="L693" s="62" t="n">
        <x:f>H693*(ROUNDUP('难度参数'!$E$24/('难度参数'!$E$26*'难度参数'!$E$27),0)*'难度参数'!$E$26)/60</x:f>
        <x:v>4.319999999999999</x:v>
      </x:c>
      <x:c r="M693" s="62" t="n">
        <x:f>L693+D693*('难度参数'!$E$49+'难度参数'!$E$50)/60</x:f>
        <x:v>5.486666666666666</x:v>
      </x:c>
      <x:c r="N693" s="119" t="n">
        <x:f>ROUNDDOWN(('经济参数'!$E$20+A693*'经济参数'!$E$21)*G693,0)</x:f>
        <x:v>13920</x:v>
      </x:c>
      <x:c r="O693" s="119" t="n">
        <x:f>ROUNDDOWN(MIN('经济参数'!$E$24,'经济参数'!$E$22+A693*'经济参数'!$E$23)*G693,0)</x:f>
        <x:v>0</x:v>
      </x:c>
      <x:c r="P693" s="119" t="n">
        <x:f>ROUNDDOWN((IF(A693&gt;='材料与任务'!$E$31,'材料与任务'!$E$32,IF(A693&gt;='材料与任务'!$E$25,'材料与任务'!$E$26,IF(A693&gt;='材料与任务'!$E$19,'材料与任务'!$E$20,IF(A693&gt;='材料与任务'!$E$13,'材料与任务'!$E$14,'材料与任务'!$E$8)))))*G693,0)</x:f>
        <x:v>6</x:v>
      </x:c>
      <x:c r="Q693" s="119" t="n">
        <x:f>ROUNDDOWN((IF(A693&gt;='材料与任务'!$E$31,'材料与任务'!$E$33,IF(A693&gt;='材料与任务'!$E$25,'材料与任务'!$E$27,IF(A693&gt;='材料与任务'!$E$19,'材料与任务'!$E$21,IF(A693&gt;='材料与任务'!$E$13,'材料与任务'!$E$15,'材料与任务'!$E$9)))))*G693,0)</x:f>
        <x:v>3</x:v>
      </x:c>
      <x:c r="R693" s="110" t="n">
        <x:f>'装备掉落'!$B$38</x:f>
        <x:v>0.6872058758851213</x:v>
      </x:c>
      <x:c r="S693" s="119" t="n">
        <x:f>MAX(IF(VLOOKUP(A693,'装备掉落'!$A$29:$H$34,2,TRUE)&gt;0,1,0),IF(VLOOKUP(A693,'装备掉落'!$A$29:$H$34,3,TRUE)&gt;0,2,0),IF(VLOOKUP(A693,'装备掉落'!$A$29:$H$34,4,TRUE)&gt;0,3,0),IF(VLOOKUP(A693,'装备掉落'!$A$29:$H$34,5,TRUE)&gt;0,4,0),IF(VLOOKUP(A693,'装备掉落'!$A$29:$H$34,6,TRUE)&gt;0,5,0),IF(VLOOKUP(A693,'装备掉落'!$A$29:$H$34,7,TRUE)&gt;0,6,0),IF(VLOOKUP(A693,'装备掉落'!$A$29:$H$34,8,TRUE)&gt;0,7,0))</x:f>
        <x:v>7</x:v>
      </x:c>
      <x:c r="T693" s="119" t="n">
        <x:f>MIN(7,S693+'经济参数'!$E$70)</x:f>
        <x:v>7</x:v>
      </x:c>
      <x:c r="U693" s="119" t="n">
        <x:f>MIN(7,S693+'经济参数'!$E$71)</x:f>
        <x:v>7</x:v>
      </x:c>
      <x:c r="V693" s="119" t="n">
        <x:f>IF(H693&gt;=('难度参数'!$E$52),1,0)+IF(H693&gt;=('难度参数'!$E$52+'难度参数'!$E$53),1,0)+IF(H693&gt;=('难度参数'!$E$52+'难度参数'!$E$53+'难度参数'!$E$54),1,0)+IF(H693&gt;=('难度参数'!$E$52+'难度参数'!$E$53+'难度参数'!$E$54+'难度参数'!$E$55),1,0)+IF(H693&gt;=('难度参数'!$E$52+'难度参数'!$E$53+'难度参数'!$E$54+'难度参数'!$E$55+'难度参数'!$E$56),1,0)+IF(H693&gt;=('难度参数'!$E$52+'难度参数'!$E$53+'难度参数'!$E$54+'难度参数'!$E$55+'难度参数'!$E$56+'难度参数'!$E$57),1,0)</x:f>
        <x:v>6</x:v>
      </x:c>
      <x:c r="W693" s="62" t="str">
        <x:f>IF(L693&gt;'难度参数'!$E$51,"仅出怪已超目标","还需实测")</x:f>
        <x:v>仅出怪已超目标</x:v>
      </x:c>
      <x:c r="X693" s="119" t="n">
        <x:f>IF(1&gt;D693,0,MAX(2,MIN('难度参数'!$E$12,ROUND(('难度参数'!$E$18*POWER(A693,'难度参数'!$E$19)/D693*(0.85+0.3*(1-1)/MAX(1,D693-1))),0)+F693)))</x:f>
        <x:v>39</x:v>
      </x:c>
      <x:c r="Y693" s="119" t="n">
        <x:f>IF(1&gt;D693,0,ROUND(('难度参数'!$E$13*POWER(A693,'难度参数'!$E$20)*MIN('难度参数'!$E$23,1+MAX(0,A693-'难度参数'!$E$21)*'难度参数'!$E$22))*(36+1*7)/(36+7*(D693+1)/2)*E693,0))</x:f>
        <x:v>10005</x:v>
      </x:c>
      <x:c r="Z693" s="119" t="n">
        <x:f>IF(X693=0,0,(X693-IF(1=D693,1,0))*ROUND(Y693*VLOOKUP(INDEX('章节与怪物'!$E$31:$K$37,B693,1),'章节与怪物'!$A$41:$F$44,2,FALSE),0)+IF(1=D693,ROUND(Y693*'难度参数'!$E$28*'章节与怪物'!$E$17,0),0))</x:f>
        <x:v>390195</x:v>
      </x:c>
      <x:c r="AA693" s="119" t="n">
        <x:f>IF(X693=0,0,(X693-IF(1=D693,1,0))*VLOOKUP(INDEX('章节与怪物'!$E$31:$K$37,B693,1),'章节与怪物'!$A$41:$F$44,4,FALSE)+IF(1=D693,'难度参数'!$E$30,0))</x:f>
        <x:v>702</x:v>
      </x:c>
      <x:c r="AB693" s="119" t="n">
        <x:f>IF(2&gt;D693,0,MAX(2,MIN('难度参数'!$E$12,ROUND(('难度参数'!$E$18*POWER(A693,'难度参数'!$E$19)/D693*(0.85+0.3*(2-1)/MAX(1,D693-1))),0)+F693)))</x:f>
        <x:v>42</x:v>
      </x:c>
      <x:c r="AC693" s="119" t="n">
        <x:f>IF(2&gt;D693,0,ROUND(('难度参数'!$E$13*POWER(A693,'难度参数'!$E$20)*MIN('难度参数'!$E$23,1+MAX(0,A693-'难度参数'!$E$21)*'难度参数'!$E$22))*(36+2*7)/(36+7*(D693+1)/2)*E693,0))</x:f>
        <x:v>11634</x:v>
      </x:c>
      <x:c r="AD693" s="119" t="n">
        <x:f>IF(AB693=0,0,(AB693-IF(2=D693,1,0))*ROUND(AC693*VLOOKUP(INDEX('章节与怪物'!$E$31:$K$37,B693,2),'章节与怪物'!$A$41:$F$44,2,FALSE),0)+IF(2=D693,ROUND(AC693*'难度参数'!$E$28*'章节与怪物'!$E$17,0),0))</x:f>
        <x:v>351792</x:v>
      </x:c>
      <x:c r="AE693" s="119" t="n">
        <x:f>IF(AB693=0,0,(AB693-IF(2=D693,1,0))*VLOOKUP(INDEX('章节与怪物'!$E$31:$K$37,B693,2),'章节与怪物'!$A$41:$F$44,4,FALSE)+IF(2=D693,'难度参数'!$E$30,0))</x:f>
        <x:v>840</x:v>
      </x:c>
      <x:c r="AF693" s="119" t="n">
        <x:f>IF(3&gt;D693,0,MAX(2,MIN('难度参数'!$E$12,ROUND(('难度参数'!$E$18*POWER(A693,'难度参数'!$E$19)/D693*(0.85+0.3*(3-1)/MAX(1,D693-1))),0)+F693)))</x:f>
        <x:v>44</x:v>
      </x:c>
      <x:c r="AG693" s="119" t="n">
        <x:f>IF(3&gt;D693,0,ROUND(('难度参数'!$E$13*POWER(A693,'难度参数'!$E$20)*MIN('难度参数'!$E$23,1+MAX(0,A693-'难度参数'!$E$21)*'难度参数'!$E$22))*(36+3*7)/(36+7*(D693+1)/2)*E693,0))</x:f>
        <x:v>13263</x:v>
      </x:c>
      <x:c r="AH693" s="119" t="n">
        <x:f>IF(AF693=0,0,(AF693-IF(3=D693,1,0))*ROUND(AG693*VLOOKUP(INDEX('章节与怪物'!$E$31:$K$37,B693,3),'章节与怪物'!$A$41:$F$44,2,FALSE),0)+IF(3=D693,ROUND(AG693*'难度参数'!$E$28*'章节与怪物'!$E$17,0),0))</x:f>
        <x:v>992068</x:v>
      </x:c>
      <x:c r="AI693" s="119" t="n">
        <x:f>IF(AF693=0,0,(AF693-IF(3=D693,1,0))*VLOOKUP(INDEX('章节与怪物'!$E$31:$K$37,B693,3),'章节与怪物'!$A$41:$F$44,4,FALSE)+IF(3=D693,'难度参数'!$E$30,0))</x:f>
        <x:v>1232</x:v>
      </x:c>
      <x:c r="AJ693" s="119" t="n">
        <x:f>IF(4&gt;D693,0,MAX(2,MIN('难度参数'!$E$12,ROUND(('难度参数'!$E$18*POWER(A693,'难度参数'!$E$19)/D693*(0.85+0.3*(4-1)/MAX(1,D693-1))),0)+F693)))</x:f>
        <x:v>46</x:v>
      </x:c>
      <x:c r="AK693" s="119" t="n">
        <x:f>IF(4&gt;D693,0,ROUND(('难度参数'!$E$13*POWER(A693,'难度参数'!$E$20)*MIN('难度参数'!$E$23,1+MAX(0,A693-'难度参数'!$E$21)*'难度参数'!$E$22))*(36+4*7)/(36+7*(D693+1)/2)*E693,0))</x:f>
        <x:v>14892</x:v>
      </x:c>
      <x:c r="AL693" s="119" t="n">
        <x:f>IF(AJ693=0,0,(AJ693-IF(4=D693,1,0))*ROUND(AK693*VLOOKUP(INDEX('章节与怪物'!$E$31:$K$37,B693,4),'章节与怪物'!$A$41:$F$44,2,FALSE),0)+IF(4=D693,ROUND(AK693*'难度参数'!$E$28*'章节与怪物'!$E$17,0),0))</x:f>
        <x:v>924784</x:v>
      </x:c>
      <x:c r="AM693" s="119" t="n">
        <x:f>IF(AJ693=0,0,(AJ693-IF(4=D693,1,0))*VLOOKUP(INDEX('章节与怪物'!$E$31:$K$37,B693,4),'章节与怪物'!$A$41:$F$44,4,FALSE)+IF(4=D693,'难度参数'!$E$30,0))</x:f>
        <x:v>1564</x:v>
      </x:c>
      <x:c r="AN693" s="119" t="n">
        <x:f>IF(5&gt;D693,0,MAX(2,MIN('难度参数'!$E$12,ROUND(('难度参数'!$E$18*POWER(A693,'难度参数'!$E$19)/D693*(0.85+0.3*(5-1)/MAX(1,D693-1))),0)+F693)))</x:f>
        <x:v>49</x:v>
      </x:c>
      <x:c r="AO693" s="119" t="n">
        <x:f>IF(5&gt;D693,0,ROUND(('难度参数'!$E$13*POWER(A693,'难度参数'!$E$20)*MIN('难度参数'!$E$23,1+MAX(0,A693-'难度参数'!$E$21)*'难度参数'!$E$22))*(36+5*7)/(36+7*(D693+1)/2)*E693,0))</x:f>
        <x:v>16520</x:v>
      </x:c>
      <x:c r="AP693" s="119" t="n">
        <x:f>IF(AN693=0,0,(AN693-IF(5=D693,1,0))*ROUND(AO693*VLOOKUP(INDEX('章节与怪物'!$E$31:$K$37,B693,5),'章节与怪物'!$A$41:$F$44,2,FALSE),0)+IF(5=D693,ROUND(AO693*'难度参数'!$E$28*'章节与怪物'!$E$17,0),0))</x:f>
        <x:v>582806</x:v>
      </x:c>
      <x:c r="AQ693" s="119" t="n">
        <x:f>IF(AN693=0,0,(AN693-IF(5=D693,1,0))*VLOOKUP(INDEX('章节与怪物'!$E$31:$K$37,B693,5),'章节与怪物'!$A$41:$F$44,4,FALSE)+IF(5=D693,'难度参数'!$E$30,0))</x:f>
        <x:v>980</x:v>
      </x:c>
      <x:c r="AR693" s="119" t="n">
        <x:f>IF(6&gt;D693,0,MAX(2,MIN('难度参数'!$E$12,ROUND(('难度参数'!$E$18*POWER(A693,'难度参数'!$E$19)/D693*(0.85+0.3*(6-1)/MAX(1,D693-1))),0)+F693)))</x:f>
        <x:v>51</x:v>
      </x:c>
      <x:c r="AS693" s="119" t="n">
        <x:f>IF(6&gt;D693,0,ROUND(('难度参数'!$E$13*POWER(A693,'难度参数'!$E$20)*MIN('难度参数'!$E$23,1+MAX(0,A693-'难度参数'!$E$21)*'难度参数'!$E$22))*(36+6*7)/(36+7*(D693+1)/2)*E693,0))</x:f>
        <x:v>18149</x:v>
      </x:c>
      <x:c r="AT693" s="119" t="n">
        <x:f>IF(AR693=0,0,(AR693-IF(6=D693,1,0))*ROUND(AS693*VLOOKUP(INDEX('章节与怪物'!$E$31:$K$37,B693,6),'章节与怪物'!$A$41:$F$44,2,FALSE),0)+IF(6=D693,ROUND(AS693*'难度参数'!$E$28*'章节与怪物'!$E$17,0),0))</x:f>
        <x:v>1573503</x:v>
      </x:c>
      <x:c r="AU693" s="119" t="n">
        <x:f>IF(AR693=0,0,(AR693-IF(6=D693,1,0))*VLOOKUP(INDEX('章节与怪物'!$E$31:$K$37,B693,6),'章节与怪物'!$A$41:$F$44,4,FALSE)+IF(6=D693,'难度参数'!$E$30,0))</x:f>
        <x:v>1428</x:v>
      </x:c>
      <x:c r="AV693" s="119" t="n">
        <x:f>IF(7&gt;D693,0,MAX(2,MIN('难度参数'!$E$12,ROUND(('难度参数'!$E$18*POWER(A693,'难度参数'!$E$19)/D693*(0.85+0.3*(7-1)/MAX(1,D693-1))),0)+F693)))</x:f>
        <x:v>53</x:v>
      </x:c>
      <x:c r="AW693" s="119" t="n">
        <x:f>IF(7&gt;D693,0,ROUND(('难度参数'!$E$13*POWER(A693,'难度参数'!$E$20)*MIN('难度参数'!$E$23,1+MAX(0,A693-'难度参数'!$E$21)*'难度参数'!$E$22))*(36+7*7)/(36+7*(D693+1)/2)*E693,0))</x:f>
        <x:v>19778</x:v>
      </x:c>
      <x:c r="AX693" s="119" t="n">
        <x:f>IF(AV693=0,0,(AV693-IF(7=D693,1,0))*ROUND(AW693*VLOOKUP(INDEX('章节与怪物'!$E$31:$K$37,B693,7),'章节与怪物'!$A$41:$F$44,2,FALSE),0)+IF(7=D693,ROUND(AW693*'难度参数'!$E$28*'章节与怪物'!$E$17,0),0))</x:f>
        <x:v>1522890</x:v>
      </x:c>
      <x:c r="AY693" s="119" t="n">
        <x:f>IF(AV693=0,0,(AV693-IF(7=D693,1,0))*VLOOKUP(INDEX('章节与怪物'!$E$31:$K$37,B693,7),'章节与怪物'!$A$41:$F$44,4,FALSE)+IF(7=D693,'难度参数'!$E$30,0))</x:f>
        <x:v>1968</x:v>
      </x:c>
    </x:row>
    <x:row r="694" ht="23" customHeight="1">
      <x:c r="A694" s="119" t="n">
        <x:v>688</x:v>
      </x:c>
      <x:c r="B694" s="119" t="n">
        <x:f>MOD(INT((A694-1)/5),7)+1</x:f>
        <x:v>5</x:v>
      </x:c>
      <x:c r="C694" s="62" t="str">
        <x:f>INDEX('章节与怪物'!$B$31:$B$37,B694)</x:f>
        <x:v>雨林遗迹</x:v>
      </x:c>
      <x:c r="D694" s="119" t="n">
        <x:f>MIN('难度参数'!$E$8,MAX('难度参数'!$E$7,A694))</x:f>
        <x:v>7</x:v>
      </x:c>
      <x:c r="E694" s="106" t="n">
        <x:v>1</x:v>
      </x:c>
      <x:c r="F694" s="106" t="n">
        <x:v>0</x:v>
      </x:c>
      <x:c r="G694" s="106" t="n">
        <x:v>1</x:v>
      </x:c>
      <x:c r="H694" s="119" t="n">
        <x:f>SUM(X694,AB694,AF694,AJ694,AN694,AR694,AV694)</x:f>
        <x:v>324</x:v>
      </x:c>
      <x:c r="I694" s="119" t="n">
        <x:f>SUM(Z694,AD694,AH694,AL694,AP694,AT694,AX694)</x:f>
        <x:v>6344792</x:v>
      </x:c>
      <x:c r="J694" s="119" t="n">
        <x:f>ROUND(INDEX(X694:AY694,1,(D694-1)*4+2)*'难度参数'!$E$28*'章节与怪物'!$E$17,0)</x:f>
        <x:v>134633</x:v>
      </x:c>
      <x:c r="K694" s="119" t="n">
        <x:f>SUM(AA694,AE694,AI694,AM694,AQ694,AU694,AY694)</x:f>
        <x:v>8714</x:v>
      </x:c>
      <x:c r="L694" s="62" t="n">
        <x:f>H694*(ROUNDUP('难度参数'!$E$24/('难度参数'!$E$26*'难度参数'!$E$27),0)*'难度参数'!$E$26)/60</x:f>
        <x:v>4.319999999999999</x:v>
      </x:c>
      <x:c r="M694" s="62" t="n">
        <x:f>L694+D694*('难度参数'!$E$49+'难度参数'!$E$50)/60</x:f>
        <x:v>5.486666666666666</x:v>
      </x:c>
      <x:c r="N694" s="119" t="n">
        <x:f>ROUNDDOWN(('经济参数'!$E$20+A694*'经济参数'!$E$21)*G694,0)</x:f>
        <x:v>13940</x:v>
      </x:c>
      <x:c r="O694" s="119" t="n">
        <x:f>ROUNDDOWN(MIN('经济参数'!$E$24,'经济参数'!$E$22+A694*'经济参数'!$E$23)*G694,0)</x:f>
        <x:v>0</x:v>
      </x:c>
      <x:c r="P694" s="119" t="n">
        <x:f>ROUNDDOWN((IF(A694&gt;='材料与任务'!$E$31,'材料与任务'!$E$32,IF(A694&gt;='材料与任务'!$E$25,'材料与任务'!$E$26,IF(A694&gt;='材料与任务'!$E$19,'材料与任务'!$E$20,IF(A694&gt;='材料与任务'!$E$13,'材料与任务'!$E$14,'材料与任务'!$E$8)))))*G694,0)</x:f>
        <x:v>6</x:v>
      </x:c>
      <x:c r="Q694" s="119" t="n">
        <x:f>ROUNDDOWN((IF(A694&gt;='材料与任务'!$E$31,'材料与任务'!$E$33,IF(A694&gt;='材料与任务'!$E$25,'材料与任务'!$E$27,IF(A694&gt;='材料与任务'!$E$19,'材料与任务'!$E$21,IF(A694&gt;='材料与任务'!$E$13,'材料与任务'!$E$15,'材料与任务'!$E$9)))))*G694,0)</x:f>
        <x:v>3</x:v>
      </x:c>
      <x:c r="R694" s="110" t="n">
        <x:f>'装备掉落'!$B$38</x:f>
        <x:v>0.6872058758851213</x:v>
      </x:c>
      <x:c r="S694" s="119" t="n">
        <x:f>MAX(IF(VLOOKUP(A694,'装备掉落'!$A$29:$H$34,2,TRUE)&gt;0,1,0),IF(VLOOKUP(A694,'装备掉落'!$A$29:$H$34,3,TRUE)&gt;0,2,0),IF(VLOOKUP(A694,'装备掉落'!$A$29:$H$34,4,TRUE)&gt;0,3,0),IF(VLOOKUP(A694,'装备掉落'!$A$29:$H$34,5,TRUE)&gt;0,4,0),IF(VLOOKUP(A694,'装备掉落'!$A$29:$H$34,6,TRUE)&gt;0,5,0),IF(VLOOKUP(A694,'装备掉落'!$A$29:$H$34,7,TRUE)&gt;0,6,0),IF(VLOOKUP(A694,'装备掉落'!$A$29:$H$34,8,TRUE)&gt;0,7,0))</x:f>
        <x:v>7</x:v>
      </x:c>
      <x:c r="T694" s="119" t="n">
        <x:f>MIN(7,S694+'经济参数'!$E$70)</x:f>
        <x:v>7</x:v>
      </x:c>
      <x:c r="U694" s="119" t="n">
        <x:f>MIN(7,S694+'经济参数'!$E$71)</x:f>
        <x:v>7</x:v>
      </x:c>
      <x:c r="V694" s="119" t="n">
        <x:f>IF(H694&gt;=('难度参数'!$E$52),1,0)+IF(H694&gt;=('难度参数'!$E$52+'难度参数'!$E$53),1,0)+IF(H694&gt;=('难度参数'!$E$52+'难度参数'!$E$53+'难度参数'!$E$54),1,0)+IF(H694&gt;=('难度参数'!$E$52+'难度参数'!$E$53+'难度参数'!$E$54+'难度参数'!$E$55),1,0)+IF(H694&gt;=('难度参数'!$E$52+'难度参数'!$E$53+'难度参数'!$E$54+'难度参数'!$E$55+'难度参数'!$E$56),1,0)+IF(H694&gt;=('难度参数'!$E$52+'难度参数'!$E$53+'难度参数'!$E$54+'难度参数'!$E$55+'难度参数'!$E$56+'难度参数'!$E$57),1,0)</x:f>
        <x:v>6</x:v>
      </x:c>
      <x:c r="W694" s="62" t="str">
        <x:f>IF(L694&gt;'难度参数'!$E$51,"仅出怪已超目标","还需实测")</x:f>
        <x:v>仅出怪已超目标</x:v>
      </x:c>
      <x:c r="X694" s="119" t="n">
        <x:f>IF(1&gt;D694,0,MAX(2,MIN('难度参数'!$E$12,ROUND(('难度参数'!$E$18*POWER(A694,'难度参数'!$E$19)/D694*(0.85+0.3*(1-1)/MAX(1,D694-1))),0)+F694)))</x:f>
        <x:v>39</x:v>
      </x:c>
      <x:c r="Y694" s="119" t="n">
        <x:f>IF(1&gt;D694,0,ROUND(('难度参数'!$E$13*POWER(A694,'难度参数'!$E$20)*MIN('难度参数'!$E$23,1+MAX(0,A694-'难度参数'!$E$21)*'难度参数'!$E$22))*(36+1*7)/(36+7*(D694+1)/2)*E694,0))</x:f>
        <x:v>10016</x:v>
      </x:c>
      <x:c r="Z694" s="119" t="n">
        <x:f>IF(X694=0,0,(X694-IF(1=D694,1,0))*ROUND(Y694*VLOOKUP(INDEX('章节与怪物'!$E$31:$K$37,B694,1),'章节与怪物'!$A$41:$F$44,2,FALSE),0)+IF(1=D694,ROUND(Y694*'难度参数'!$E$28*'章节与怪物'!$E$17,0),0))</x:f>
        <x:v>390624</x:v>
      </x:c>
      <x:c r="AA694" s="119" t="n">
        <x:f>IF(X694=0,0,(X694-IF(1=D694,1,0))*VLOOKUP(INDEX('章节与怪物'!$E$31:$K$37,B694,1),'章节与怪物'!$A$41:$F$44,4,FALSE)+IF(1=D694,'难度参数'!$E$30,0))</x:f>
        <x:v>702</x:v>
      </x:c>
      <x:c r="AB694" s="119" t="n">
        <x:f>IF(2&gt;D694,0,MAX(2,MIN('难度参数'!$E$12,ROUND(('难度参数'!$E$18*POWER(A694,'难度参数'!$E$19)/D694*(0.85+0.3*(2-1)/MAX(1,D694-1))),0)+F694)))</x:f>
        <x:v>42</x:v>
      </x:c>
      <x:c r="AC694" s="119" t="n">
        <x:f>IF(2&gt;D694,0,ROUND(('难度参数'!$E$13*POWER(A694,'难度参数'!$E$20)*MIN('难度参数'!$E$23,1+MAX(0,A694-'难度参数'!$E$21)*'难度参数'!$E$22))*(36+2*7)/(36+7*(D694+1)/2)*E694,0))</x:f>
        <x:v>11646</x:v>
      </x:c>
      <x:c r="AD694" s="119" t="n">
        <x:f>IF(AB694=0,0,(AB694-IF(2=D694,1,0))*ROUND(AC694*VLOOKUP(INDEX('章节与怪物'!$E$31:$K$37,B694,2),'章节与怪物'!$A$41:$F$44,2,FALSE),0)+IF(2=D694,ROUND(AC694*'难度参数'!$E$28*'章节与怪物'!$E$17,0),0))</x:f>
        <x:v>352170</x:v>
      </x:c>
      <x:c r="AE694" s="119" t="n">
        <x:f>IF(AB694=0,0,(AB694-IF(2=D694,1,0))*VLOOKUP(INDEX('章节与怪物'!$E$31:$K$37,B694,2),'章节与怪物'!$A$41:$F$44,4,FALSE)+IF(2=D694,'难度参数'!$E$30,0))</x:f>
        <x:v>840</x:v>
      </x:c>
      <x:c r="AF694" s="119" t="n">
        <x:f>IF(3&gt;D694,0,MAX(2,MIN('难度参数'!$E$12,ROUND(('难度参数'!$E$18*POWER(A694,'难度参数'!$E$19)/D694*(0.85+0.3*(3-1)/MAX(1,D694-1))),0)+F694)))</x:f>
        <x:v>44</x:v>
      </x:c>
      <x:c r="AG694" s="119" t="n">
        <x:f>IF(3&gt;D694,0,ROUND(('难度参数'!$E$13*POWER(A694,'难度参数'!$E$20)*MIN('难度参数'!$E$23,1+MAX(0,A694-'难度参数'!$E$21)*'难度参数'!$E$22))*(36+3*7)/(36+7*(D694+1)/2)*E694,0))</x:f>
        <x:v>13277</x:v>
      </x:c>
      <x:c r="AH694" s="119" t="n">
        <x:f>IF(AF694=0,0,(AF694-IF(3=D694,1,0))*ROUND(AG694*VLOOKUP(INDEX('章节与怪物'!$E$31:$K$37,B694,3),'章节与怪物'!$A$41:$F$44,2,FALSE),0)+IF(3=D694,ROUND(AG694*'难度参数'!$E$28*'章节与怪物'!$E$17,0),0))</x:f>
        <x:v>993124</x:v>
      </x:c>
      <x:c r="AI694" s="119" t="n">
        <x:f>IF(AF694=0,0,(AF694-IF(3=D694,1,0))*VLOOKUP(INDEX('章节与怪物'!$E$31:$K$37,B694,3),'章节与怪物'!$A$41:$F$44,4,FALSE)+IF(3=D694,'难度参数'!$E$30,0))</x:f>
        <x:v>1232</x:v>
      </x:c>
      <x:c r="AJ694" s="119" t="n">
        <x:f>IF(4&gt;D694,0,MAX(2,MIN('难度参数'!$E$12,ROUND(('难度参数'!$E$18*POWER(A694,'难度参数'!$E$19)/D694*(0.85+0.3*(4-1)/MAX(1,D694-1))),0)+F694)))</x:f>
        <x:v>46</x:v>
      </x:c>
      <x:c r="AK694" s="119" t="n">
        <x:f>IF(4&gt;D694,0,ROUND(('难度参数'!$E$13*POWER(A694,'难度参数'!$E$20)*MIN('难度参数'!$E$23,1+MAX(0,A694-'难度参数'!$E$21)*'难度参数'!$E$22))*(36+4*7)/(36+7*(D694+1)/2)*E694,0))</x:f>
        <x:v>14907</x:v>
      </x:c>
      <x:c r="AL694" s="119" t="n">
        <x:f>IF(AJ694=0,0,(AJ694-IF(4=D694,1,0))*ROUND(AK694*VLOOKUP(INDEX('章节与怪物'!$E$31:$K$37,B694,4),'章节与怪物'!$A$41:$F$44,2,FALSE),0)+IF(4=D694,ROUND(AK694*'难度参数'!$E$28*'章节与怪物'!$E$17,0),0))</x:f>
        <x:v>925704</x:v>
      </x:c>
      <x:c r="AM694" s="119" t="n">
        <x:f>IF(AJ694=0,0,(AJ694-IF(4=D694,1,0))*VLOOKUP(INDEX('章节与怪物'!$E$31:$K$37,B694,4),'章节与怪物'!$A$41:$F$44,4,FALSE)+IF(4=D694,'难度参数'!$E$30,0))</x:f>
        <x:v>1564</x:v>
      </x:c>
      <x:c r="AN694" s="119" t="n">
        <x:f>IF(5&gt;D694,0,MAX(2,MIN('难度参数'!$E$12,ROUND(('难度参数'!$E$18*POWER(A694,'难度参数'!$E$19)/D694*(0.85+0.3*(5-1)/MAX(1,D694-1))),0)+F694)))</x:f>
        <x:v>49</x:v>
      </x:c>
      <x:c r="AO694" s="119" t="n">
        <x:f>IF(5&gt;D694,0,ROUND(('难度参数'!$E$13*POWER(A694,'难度参数'!$E$20)*MIN('难度参数'!$E$23,1+MAX(0,A694-'难度参数'!$E$21)*'难度参数'!$E$22))*(36+5*7)/(36+7*(D694+1)/2)*E694,0))</x:f>
        <x:v>16538</x:v>
      </x:c>
      <x:c r="AP694" s="119" t="n">
        <x:f>IF(AN694=0,0,(AN694-IF(5=D694,1,0))*ROUND(AO694*VLOOKUP(INDEX('章节与怪物'!$E$31:$K$37,B694,5),'章节与怪物'!$A$41:$F$44,2,FALSE),0)+IF(5=D694,ROUND(AO694*'难度参数'!$E$28*'章节与怪物'!$E$17,0),0))</x:f>
        <x:v>583443</x:v>
      </x:c>
      <x:c r="AQ694" s="119" t="n">
        <x:f>IF(AN694=0,0,(AN694-IF(5=D694,1,0))*VLOOKUP(INDEX('章节与怪物'!$E$31:$K$37,B694,5),'章节与怪物'!$A$41:$F$44,4,FALSE)+IF(5=D694,'难度参数'!$E$30,0))</x:f>
        <x:v>980</x:v>
      </x:c>
      <x:c r="AR694" s="119" t="n">
        <x:f>IF(6&gt;D694,0,MAX(2,MIN('难度参数'!$E$12,ROUND(('难度参数'!$E$18*POWER(A694,'难度参数'!$E$19)/D694*(0.85+0.3*(6-1)/MAX(1,D694-1))),0)+F694)))</x:f>
        <x:v>51</x:v>
      </x:c>
      <x:c r="AS694" s="119" t="n">
        <x:f>IF(6&gt;D694,0,ROUND(('难度参数'!$E$13*POWER(A694,'难度参数'!$E$20)*MIN('难度参数'!$E$23,1+MAX(0,A694-'难度参数'!$E$21)*'难度参数'!$E$22))*(36+6*7)/(36+7*(D694+1)/2)*E694,0))</x:f>
        <x:v>18168</x:v>
      </x:c>
      <x:c r="AT694" s="119" t="n">
        <x:f>IF(AR694=0,0,(AR694-IF(6=D694,1,0))*ROUND(AS694*VLOOKUP(INDEX('章节与怪物'!$E$31:$K$37,B694,6),'章节与怪物'!$A$41:$F$44,2,FALSE),0)+IF(6=D694,ROUND(AS694*'难度参数'!$E$28*'章节与怪物'!$E$17,0),0))</x:f>
        <x:v>1575186</x:v>
      </x:c>
      <x:c r="AU694" s="119" t="n">
        <x:f>IF(AR694=0,0,(AR694-IF(6=D694,1,0))*VLOOKUP(INDEX('章节与怪物'!$E$31:$K$37,B694,6),'章节与怪物'!$A$41:$F$44,4,FALSE)+IF(6=D694,'难度参数'!$E$30,0))</x:f>
        <x:v>1428</x:v>
      </x:c>
      <x:c r="AV694" s="119" t="n">
        <x:f>IF(7&gt;D694,0,MAX(2,MIN('难度参数'!$E$12,ROUND(('难度参数'!$E$18*POWER(A694,'难度参数'!$E$19)/D694*(0.85+0.3*(7-1)/MAX(1,D694-1))),0)+F694)))</x:f>
        <x:v>53</x:v>
      </x:c>
      <x:c r="AW694" s="119" t="n">
        <x:f>IF(7&gt;D694,0,ROUND(('难度参数'!$E$13*POWER(A694,'难度参数'!$E$20)*MIN('难度参数'!$E$23,1+MAX(0,A694-'难度参数'!$E$21)*'难度参数'!$E$22))*(36+7*7)/(36+7*(D694+1)/2)*E694,0))</x:f>
        <x:v>19799</x:v>
      </x:c>
      <x:c r="AX694" s="119" t="n">
        <x:f>IF(AV694=0,0,(AV694-IF(7=D694,1,0))*ROUND(AW694*VLOOKUP(INDEX('章节与怪物'!$E$31:$K$37,B694,7),'章节与怪物'!$A$41:$F$44,2,FALSE),0)+IF(7=D694,ROUND(AW694*'难度参数'!$E$28*'章节与怪物'!$E$17,0),0))</x:f>
        <x:v>1524541</x:v>
      </x:c>
      <x:c r="AY694" s="119" t="n">
        <x:f>IF(AV694=0,0,(AV694-IF(7=D694,1,0))*VLOOKUP(INDEX('章节与怪物'!$E$31:$K$37,B694,7),'章节与怪物'!$A$41:$F$44,4,FALSE)+IF(7=D694,'难度参数'!$E$30,0))</x:f>
        <x:v>1968</x:v>
      </x:c>
    </x:row>
    <x:row r="695" ht="23" customHeight="1">
      <x:c r="A695" s="119" t="n">
        <x:v>689</x:v>
      </x:c>
      <x:c r="B695" s="119" t="n">
        <x:f>MOD(INT((A695-1)/5),7)+1</x:f>
        <x:v>5</x:v>
      </x:c>
      <x:c r="C695" s="62" t="str">
        <x:f>INDEX('章节与怪物'!$B$31:$B$37,B695)</x:f>
        <x:v>雨林遗迹</x:v>
      </x:c>
      <x:c r="D695" s="119" t="n">
        <x:f>MIN('难度参数'!$E$8,MAX('难度参数'!$E$7,A695))</x:f>
        <x:v>7</x:v>
      </x:c>
      <x:c r="E695" s="106" t="n">
        <x:v>1</x:v>
      </x:c>
      <x:c r="F695" s="106" t="n">
        <x:v>0</x:v>
      </x:c>
      <x:c r="G695" s="106" t="n">
        <x:v>1</x:v>
      </x:c>
      <x:c r="H695" s="119" t="n">
        <x:f>SUM(X695,AB695,AF695,AJ695,AN695,AR695,AV695)</x:f>
        <x:v>324</x:v>
      </x:c>
      <x:c r="I695" s="119" t="n">
        <x:f>SUM(Z695,AD695,AH695,AL695,AP695,AT695,AX695)</x:f>
        <x:v>6351437</x:v>
      </x:c>
      <x:c r="J695" s="119" t="n">
        <x:f>ROUND(INDEX(X695:AY695,1,(D695-1)*4+2)*'难度参数'!$E$28*'章节与怪物'!$E$17,0)</x:f>
        <x:v>134769</x:v>
      </x:c>
      <x:c r="K695" s="119" t="n">
        <x:f>SUM(AA695,AE695,AI695,AM695,AQ695,AU695,AY695)</x:f>
        <x:v>8714</x:v>
      </x:c>
      <x:c r="L695" s="62" t="n">
        <x:f>H695*(ROUNDUP('难度参数'!$E$24/('难度参数'!$E$26*'难度参数'!$E$27),0)*'难度参数'!$E$26)/60</x:f>
        <x:v>4.319999999999999</x:v>
      </x:c>
      <x:c r="M695" s="62" t="n">
        <x:f>L695+D695*('难度参数'!$E$49+'难度参数'!$E$50)/60</x:f>
        <x:v>5.486666666666666</x:v>
      </x:c>
      <x:c r="N695" s="119" t="n">
        <x:f>ROUNDDOWN(('经济参数'!$E$20+A695*'经济参数'!$E$21)*G695,0)</x:f>
        <x:v>13960</x:v>
      </x:c>
      <x:c r="O695" s="119" t="n">
        <x:f>ROUNDDOWN(MIN('经济参数'!$E$24,'经济参数'!$E$22+A695*'经济参数'!$E$23)*G695,0)</x:f>
        <x:v>0</x:v>
      </x:c>
      <x:c r="P695" s="119" t="n">
        <x:f>ROUNDDOWN((IF(A695&gt;='材料与任务'!$E$31,'材料与任务'!$E$32,IF(A695&gt;='材料与任务'!$E$25,'材料与任务'!$E$26,IF(A695&gt;='材料与任务'!$E$19,'材料与任务'!$E$20,IF(A695&gt;='材料与任务'!$E$13,'材料与任务'!$E$14,'材料与任务'!$E$8)))))*G695,0)</x:f>
        <x:v>6</x:v>
      </x:c>
      <x:c r="Q695" s="119" t="n">
        <x:f>ROUNDDOWN((IF(A695&gt;='材料与任务'!$E$31,'材料与任务'!$E$33,IF(A695&gt;='材料与任务'!$E$25,'材料与任务'!$E$27,IF(A695&gt;='材料与任务'!$E$19,'材料与任务'!$E$21,IF(A695&gt;='材料与任务'!$E$13,'材料与任务'!$E$15,'材料与任务'!$E$9)))))*G695,0)</x:f>
        <x:v>3</x:v>
      </x:c>
      <x:c r="R695" s="110" t="n">
        <x:f>'装备掉落'!$B$38</x:f>
        <x:v>0.6872058758851213</x:v>
      </x:c>
      <x:c r="S695" s="119" t="n">
        <x:f>MAX(IF(VLOOKUP(A695,'装备掉落'!$A$29:$H$34,2,TRUE)&gt;0,1,0),IF(VLOOKUP(A695,'装备掉落'!$A$29:$H$34,3,TRUE)&gt;0,2,0),IF(VLOOKUP(A695,'装备掉落'!$A$29:$H$34,4,TRUE)&gt;0,3,0),IF(VLOOKUP(A695,'装备掉落'!$A$29:$H$34,5,TRUE)&gt;0,4,0),IF(VLOOKUP(A695,'装备掉落'!$A$29:$H$34,6,TRUE)&gt;0,5,0),IF(VLOOKUP(A695,'装备掉落'!$A$29:$H$34,7,TRUE)&gt;0,6,0),IF(VLOOKUP(A695,'装备掉落'!$A$29:$H$34,8,TRUE)&gt;0,7,0))</x:f>
        <x:v>7</x:v>
      </x:c>
      <x:c r="T695" s="119" t="n">
        <x:f>MIN(7,S695+'经济参数'!$E$70)</x:f>
        <x:v>7</x:v>
      </x:c>
      <x:c r="U695" s="119" t="n">
        <x:f>MIN(7,S695+'经济参数'!$E$71)</x:f>
        <x:v>7</x:v>
      </x:c>
      <x:c r="V695" s="119" t="n">
        <x:f>IF(H695&gt;=('难度参数'!$E$52),1,0)+IF(H695&gt;=('难度参数'!$E$52+'难度参数'!$E$53),1,0)+IF(H695&gt;=('难度参数'!$E$52+'难度参数'!$E$53+'难度参数'!$E$54),1,0)+IF(H695&gt;=('难度参数'!$E$52+'难度参数'!$E$53+'难度参数'!$E$54+'难度参数'!$E$55),1,0)+IF(H695&gt;=('难度参数'!$E$52+'难度参数'!$E$53+'难度参数'!$E$54+'难度参数'!$E$55+'难度参数'!$E$56),1,0)+IF(H695&gt;=('难度参数'!$E$52+'难度参数'!$E$53+'难度参数'!$E$54+'难度参数'!$E$55+'难度参数'!$E$56+'难度参数'!$E$57),1,0)</x:f>
        <x:v>6</x:v>
      </x:c>
      <x:c r="W695" s="62" t="str">
        <x:f>IF(L695&gt;'难度参数'!$E$51,"仅出怪已超目标","还需实测")</x:f>
        <x:v>仅出怪已超目标</x:v>
      </x:c>
      <x:c r="X695" s="119" t="n">
        <x:f>IF(1&gt;D695,0,MAX(2,MIN('难度参数'!$E$12,ROUND(('难度参数'!$E$18*POWER(A695,'难度参数'!$E$19)/D695*(0.85+0.3*(1-1)/MAX(1,D695-1))),0)+F695)))</x:f>
        <x:v>39</x:v>
      </x:c>
      <x:c r="Y695" s="119" t="n">
        <x:f>IF(1&gt;D695,0,ROUND(('难度参数'!$E$13*POWER(A695,'难度参数'!$E$20)*MIN('难度参数'!$E$23,1+MAX(0,A695-'难度参数'!$E$21)*'难度参数'!$E$22))*(36+1*7)/(36+7*(D695+1)/2)*E695,0))</x:f>
        <x:v>10026</x:v>
      </x:c>
      <x:c r="Z695" s="119" t="n">
        <x:f>IF(X695=0,0,(X695-IF(1=D695,1,0))*ROUND(Y695*VLOOKUP(INDEX('章节与怪物'!$E$31:$K$37,B695,1),'章节与怪物'!$A$41:$F$44,2,FALSE),0)+IF(1=D695,ROUND(Y695*'难度参数'!$E$28*'章节与怪物'!$E$17,0),0))</x:f>
        <x:v>391014</x:v>
      </x:c>
      <x:c r="AA695" s="119" t="n">
        <x:f>IF(X695=0,0,(X695-IF(1=D695,1,0))*VLOOKUP(INDEX('章节与怪物'!$E$31:$K$37,B695,1),'章节与怪物'!$A$41:$F$44,4,FALSE)+IF(1=D695,'难度参数'!$E$30,0))</x:f>
        <x:v>702</x:v>
      </x:c>
      <x:c r="AB695" s="119" t="n">
        <x:f>IF(2&gt;D695,0,MAX(2,MIN('难度参数'!$E$12,ROUND(('难度参数'!$E$18*POWER(A695,'难度参数'!$E$19)/D695*(0.85+0.3*(2-1)/MAX(1,D695-1))),0)+F695)))</x:f>
        <x:v>42</x:v>
      </x:c>
      <x:c r="AC695" s="119" t="n">
        <x:f>IF(2&gt;D695,0,ROUND(('难度参数'!$E$13*POWER(A695,'难度参数'!$E$20)*MIN('难度参数'!$E$23,1+MAX(0,A695-'难度参数'!$E$21)*'难度参数'!$E$22))*(36+2*7)/(36+7*(D695+1)/2)*E695,0))</x:f>
        <x:v>11658</x:v>
      </x:c>
      <x:c r="AD695" s="119" t="n">
        <x:f>IF(AB695=0,0,(AB695-IF(2=D695,1,0))*ROUND(AC695*VLOOKUP(INDEX('章节与怪物'!$E$31:$K$37,B695,2),'章节与怪物'!$A$41:$F$44,2,FALSE),0)+IF(2=D695,ROUND(AC695*'难度参数'!$E$28*'章节与怪物'!$E$17,0),0))</x:f>
        <x:v>352548</x:v>
      </x:c>
      <x:c r="AE695" s="119" t="n">
        <x:f>IF(AB695=0,0,(AB695-IF(2=D695,1,0))*VLOOKUP(INDEX('章节与怪物'!$E$31:$K$37,B695,2),'章节与怪物'!$A$41:$F$44,4,FALSE)+IF(2=D695,'难度参数'!$E$30,0))</x:f>
        <x:v>840</x:v>
      </x:c>
      <x:c r="AF695" s="119" t="n">
        <x:f>IF(3&gt;D695,0,MAX(2,MIN('难度参数'!$E$12,ROUND(('难度参数'!$E$18*POWER(A695,'难度参数'!$E$19)/D695*(0.85+0.3*(3-1)/MAX(1,D695-1))),0)+F695)))</x:f>
        <x:v>44</x:v>
      </x:c>
      <x:c r="AG695" s="119" t="n">
        <x:f>IF(3&gt;D695,0,ROUND(('难度参数'!$E$13*POWER(A695,'难度参数'!$E$20)*MIN('难度参数'!$E$23,1+MAX(0,A695-'难度参数'!$E$21)*'难度参数'!$E$22))*(36+3*7)/(36+7*(D695+1)/2)*E695,0))</x:f>
        <x:v>13291</x:v>
      </x:c>
      <x:c r="AH695" s="119" t="n">
        <x:f>IF(AF695=0,0,(AF695-IF(3=D695,1,0))*ROUND(AG695*VLOOKUP(INDEX('章节与怪物'!$E$31:$K$37,B695,3),'章节与怪物'!$A$41:$F$44,2,FALSE),0)+IF(3=D695,ROUND(AG695*'难度参数'!$E$28*'章节与怪物'!$E$17,0),0))</x:f>
        <x:v>994180</x:v>
      </x:c>
      <x:c r="AI695" s="119" t="n">
        <x:f>IF(AF695=0,0,(AF695-IF(3=D695,1,0))*VLOOKUP(INDEX('章节与怪物'!$E$31:$K$37,B695,3),'章节与怪物'!$A$41:$F$44,4,FALSE)+IF(3=D695,'难度参数'!$E$30,0))</x:f>
        <x:v>1232</x:v>
      </x:c>
      <x:c r="AJ695" s="119" t="n">
        <x:f>IF(4&gt;D695,0,MAX(2,MIN('难度参数'!$E$12,ROUND(('难度参数'!$E$18*POWER(A695,'难度参数'!$E$19)/D695*(0.85+0.3*(4-1)/MAX(1,D695-1))),0)+F695)))</x:f>
        <x:v>46</x:v>
      </x:c>
      <x:c r="AK695" s="119" t="n">
        <x:f>IF(4&gt;D695,0,ROUND(('难度参数'!$E$13*POWER(A695,'难度参数'!$E$20)*MIN('难度参数'!$E$23,1+MAX(0,A695-'难度参数'!$E$21)*'难度参数'!$E$22))*(36+4*7)/(36+7*(D695+1)/2)*E695,0))</x:f>
        <x:v>14923</x:v>
      </x:c>
      <x:c r="AL695" s="119" t="n">
        <x:f>IF(AJ695=0,0,(AJ695-IF(4=D695,1,0))*ROUND(AK695*VLOOKUP(INDEX('章节与怪物'!$E$31:$K$37,B695,4),'章节与怪物'!$A$41:$F$44,2,FALSE),0)+IF(4=D695,ROUND(AK695*'难度参数'!$E$28*'章节与怪物'!$E$17,0),0))</x:f>
        <x:v>926716</x:v>
      </x:c>
      <x:c r="AM695" s="119" t="n">
        <x:f>IF(AJ695=0,0,(AJ695-IF(4=D695,1,0))*VLOOKUP(INDEX('章节与怪物'!$E$31:$K$37,B695,4),'章节与怪物'!$A$41:$F$44,4,FALSE)+IF(4=D695,'难度参数'!$E$30,0))</x:f>
        <x:v>1564</x:v>
      </x:c>
      <x:c r="AN695" s="119" t="n">
        <x:f>IF(5&gt;D695,0,MAX(2,MIN('难度参数'!$E$12,ROUND(('难度参数'!$E$18*POWER(A695,'难度参数'!$E$19)/D695*(0.85+0.3*(5-1)/MAX(1,D695-1))),0)+F695)))</x:f>
        <x:v>49</x:v>
      </x:c>
      <x:c r="AO695" s="119" t="n">
        <x:f>IF(5&gt;D695,0,ROUND(('难度参数'!$E$13*POWER(A695,'难度参数'!$E$20)*MIN('难度参数'!$E$23,1+MAX(0,A695-'难度参数'!$E$21)*'难度参数'!$E$22))*(36+5*7)/(36+7*(D695+1)/2)*E695,0))</x:f>
        <x:v>16555</x:v>
      </x:c>
      <x:c r="AP695" s="119" t="n">
        <x:f>IF(AN695=0,0,(AN695-IF(5=D695,1,0))*ROUND(AO695*VLOOKUP(INDEX('章节与怪物'!$E$31:$K$37,B695,5),'章节与怪物'!$A$41:$F$44,2,FALSE),0)+IF(5=D695,ROUND(AO695*'难度参数'!$E$28*'章节与怪物'!$E$17,0),0))</x:f>
        <x:v>584080</x:v>
      </x:c>
      <x:c r="AQ695" s="119" t="n">
        <x:f>IF(AN695=0,0,(AN695-IF(5=D695,1,0))*VLOOKUP(INDEX('章节与怪物'!$E$31:$K$37,B695,5),'章节与怪物'!$A$41:$F$44,4,FALSE)+IF(5=D695,'难度参数'!$E$30,0))</x:f>
        <x:v>980</x:v>
      </x:c>
      <x:c r="AR695" s="119" t="n">
        <x:f>IF(6&gt;D695,0,MAX(2,MIN('难度参数'!$E$12,ROUND(('难度参数'!$E$18*POWER(A695,'难度参数'!$E$19)/D695*(0.85+0.3*(6-1)/MAX(1,D695-1))),0)+F695)))</x:f>
        <x:v>51</x:v>
      </x:c>
      <x:c r="AS695" s="119" t="n">
        <x:f>IF(6&gt;D695,0,ROUND(('难度参数'!$E$13*POWER(A695,'难度参数'!$E$20)*MIN('难度参数'!$E$23,1+MAX(0,A695-'难度参数'!$E$21)*'难度参数'!$E$22))*(36+6*7)/(36+7*(D695+1)/2)*E695,0))</x:f>
        <x:v>18187</x:v>
      </x:c>
      <x:c r="AT695" s="119" t="n">
        <x:f>IF(AR695=0,0,(AR695-IF(6=D695,1,0))*ROUND(AS695*VLOOKUP(INDEX('章节与怪物'!$E$31:$K$37,B695,6),'章节与怪物'!$A$41:$F$44,2,FALSE),0)+IF(6=D695,ROUND(AS695*'难度参数'!$E$28*'章节与怪物'!$E$17,0),0))</x:f>
        <x:v>1576818</x:v>
      </x:c>
      <x:c r="AU695" s="119" t="n">
        <x:f>IF(AR695=0,0,(AR695-IF(6=D695,1,0))*VLOOKUP(INDEX('章节与怪物'!$E$31:$K$37,B695,6),'章节与怪物'!$A$41:$F$44,4,FALSE)+IF(6=D695,'难度参数'!$E$30,0))</x:f>
        <x:v>1428</x:v>
      </x:c>
      <x:c r="AV695" s="119" t="n">
        <x:f>IF(7&gt;D695,0,MAX(2,MIN('难度参数'!$E$12,ROUND(('难度参数'!$E$18*POWER(A695,'难度参数'!$E$19)/D695*(0.85+0.3*(7-1)/MAX(1,D695-1))),0)+F695)))</x:f>
        <x:v>53</x:v>
      </x:c>
      <x:c r="AW695" s="119" t="n">
        <x:f>IF(7&gt;D695,0,ROUND(('难度参数'!$E$13*POWER(A695,'难度参数'!$E$20)*MIN('难度参数'!$E$23,1+MAX(0,A695-'难度参数'!$E$21)*'难度参数'!$E$22))*(36+7*7)/(36+7*(D695+1)/2)*E695,0))</x:f>
        <x:v>19819</x:v>
      </x:c>
      <x:c r="AX695" s="119" t="n">
        <x:f>IF(AV695=0,0,(AV695-IF(7=D695,1,0))*ROUND(AW695*VLOOKUP(INDEX('章节与怪物'!$E$31:$K$37,B695,7),'章节与怪物'!$A$41:$F$44,2,FALSE),0)+IF(7=D695,ROUND(AW695*'难度参数'!$E$28*'章节与怪物'!$E$17,0),0))</x:f>
        <x:v>1526081</x:v>
      </x:c>
      <x:c r="AY695" s="119" t="n">
        <x:f>IF(AV695=0,0,(AV695-IF(7=D695,1,0))*VLOOKUP(INDEX('章节与怪物'!$E$31:$K$37,B695,7),'章节与怪物'!$A$41:$F$44,4,FALSE)+IF(7=D695,'难度参数'!$E$30,0))</x:f>
        <x:v>1968</x:v>
      </x:c>
    </x:row>
    <x:row r="696" ht="23" customHeight="1">
      <x:c r="A696" s="119" t="n">
        <x:v>690</x:v>
      </x:c>
      <x:c r="B696" s="119" t="n">
        <x:f>MOD(INT((A696-1)/5),7)+1</x:f>
        <x:v>5</x:v>
      </x:c>
      <x:c r="C696" s="62" t="str">
        <x:f>INDEX('章节与怪物'!$B$31:$B$37,B696)</x:f>
        <x:v>雨林遗迹</x:v>
      </x:c>
      <x:c r="D696" s="119" t="n">
        <x:f>MIN('难度参数'!$E$8,MAX('难度参数'!$E$7,A696))</x:f>
        <x:v>7</x:v>
      </x:c>
      <x:c r="E696" s="106" t="n">
        <x:v>1</x:v>
      </x:c>
      <x:c r="F696" s="106" t="n">
        <x:v>0</x:v>
      </x:c>
      <x:c r="G696" s="106" t="n">
        <x:v>1</x:v>
      </x:c>
      <x:c r="H696" s="119" t="n">
        <x:f>SUM(X696,AB696,AF696,AJ696,AN696,AR696,AV696)</x:f>
        <x:v>324</x:v>
      </x:c>
      <x:c r="I696" s="119" t="n">
        <x:f>SUM(Z696,AD696,AH696,AL696,AP696,AT696,AX696)</x:f>
        <x:v>6358039</x:v>
      </x:c>
      <x:c r="J696" s="119" t="n">
        <x:f>ROUND(INDEX(X696:AY696,1,(D696-1)*4+2)*'难度参数'!$E$28*'章节与怪物'!$E$17,0)</x:f>
        <x:v>134912</x:v>
      </x:c>
      <x:c r="K696" s="119" t="n">
        <x:f>SUM(AA696,AE696,AI696,AM696,AQ696,AU696,AY696)</x:f>
        <x:v>8714</x:v>
      </x:c>
      <x:c r="L696" s="62" t="n">
        <x:f>H696*(ROUNDUP('难度参数'!$E$24/('难度参数'!$E$26*'难度参数'!$E$27),0)*'难度参数'!$E$26)/60</x:f>
        <x:v>4.319999999999999</x:v>
      </x:c>
      <x:c r="M696" s="62" t="n">
        <x:f>L696+D696*('难度参数'!$E$49+'难度参数'!$E$50)/60</x:f>
        <x:v>5.486666666666666</x:v>
      </x:c>
      <x:c r="N696" s="119" t="n">
        <x:f>ROUNDDOWN(('经济参数'!$E$20+A696*'经济参数'!$E$21)*G696,0)</x:f>
        <x:v>13980</x:v>
      </x:c>
      <x:c r="O696" s="119" t="n">
        <x:f>ROUNDDOWN(MIN('经济参数'!$E$24,'经济参数'!$E$22+A696*'经济参数'!$E$23)*G696,0)</x:f>
        <x:v>0</x:v>
      </x:c>
      <x:c r="P696" s="119" t="n">
        <x:f>ROUNDDOWN((IF(A696&gt;='材料与任务'!$E$31,'材料与任务'!$E$32,IF(A696&gt;='材料与任务'!$E$25,'材料与任务'!$E$26,IF(A696&gt;='材料与任务'!$E$19,'材料与任务'!$E$20,IF(A696&gt;='材料与任务'!$E$13,'材料与任务'!$E$14,'材料与任务'!$E$8)))))*G696,0)</x:f>
        <x:v>6</x:v>
      </x:c>
      <x:c r="Q696" s="119" t="n">
        <x:f>ROUNDDOWN((IF(A696&gt;='材料与任务'!$E$31,'材料与任务'!$E$33,IF(A696&gt;='材料与任务'!$E$25,'材料与任务'!$E$27,IF(A696&gt;='材料与任务'!$E$19,'材料与任务'!$E$21,IF(A696&gt;='材料与任务'!$E$13,'材料与任务'!$E$15,'材料与任务'!$E$9)))))*G696,0)</x:f>
        <x:v>3</x:v>
      </x:c>
      <x:c r="R696" s="110" t="n">
        <x:f>'装备掉落'!$B$38</x:f>
        <x:v>0.6872058758851213</x:v>
      </x:c>
      <x:c r="S696" s="119" t="n">
        <x:f>MAX(IF(VLOOKUP(A696,'装备掉落'!$A$29:$H$34,2,TRUE)&gt;0,1,0),IF(VLOOKUP(A696,'装备掉落'!$A$29:$H$34,3,TRUE)&gt;0,2,0),IF(VLOOKUP(A696,'装备掉落'!$A$29:$H$34,4,TRUE)&gt;0,3,0),IF(VLOOKUP(A696,'装备掉落'!$A$29:$H$34,5,TRUE)&gt;0,4,0),IF(VLOOKUP(A696,'装备掉落'!$A$29:$H$34,6,TRUE)&gt;0,5,0),IF(VLOOKUP(A696,'装备掉落'!$A$29:$H$34,7,TRUE)&gt;0,6,0),IF(VLOOKUP(A696,'装备掉落'!$A$29:$H$34,8,TRUE)&gt;0,7,0))</x:f>
        <x:v>7</x:v>
      </x:c>
      <x:c r="T696" s="119" t="n">
        <x:f>MIN(7,S696+'经济参数'!$E$70)</x:f>
        <x:v>7</x:v>
      </x:c>
      <x:c r="U696" s="119" t="n">
        <x:f>MIN(7,S696+'经济参数'!$E$71)</x:f>
        <x:v>7</x:v>
      </x:c>
      <x:c r="V696" s="119" t="n">
        <x:f>IF(H696&gt;=('难度参数'!$E$52),1,0)+IF(H696&gt;=('难度参数'!$E$52+'难度参数'!$E$53),1,0)+IF(H696&gt;=('难度参数'!$E$52+'难度参数'!$E$53+'难度参数'!$E$54),1,0)+IF(H696&gt;=('难度参数'!$E$52+'难度参数'!$E$53+'难度参数'!$E$54+'难度参数'!$E$55),1,0)+IF(H696&gt;=('难度参数'!$E$52+'难度参数'!$E$53+'难度参数'!$E$54+'难度参数'!$E$55+'难度参数'!$E$56),1,0)+IF(H696&gt;=('难度参数'!$E$52+'难度参数'!$E$53+'难度参数'!$E$54+'难度参数'!$E$55+'难度参数'!$E$56+'难度参数'!$E$57),1,0)</x:f>
        <x:v>6</x:v>
      </x:c>
      <x:c r="W696" s="62" t="str">
        <x:f>IF(L696&gt;'难度参数'!$E$51,"仅出怪已超目标","还需实测")</x:f>
        <x:v>仅出怪已超目标</x:v>
      </x:c>
      <x:c r="X696" s="119" t="n">
        <x:f>IF(1&gt;D696,0,MAX(2,MIN('难度参数'!$E$12,ROUND(('难度参数'!$E$18*POWER(A696,'难度参数'!$E$19)/D696*(0.85+0.3*(1-1)/MAX(1,D696-1))),0)+F696)))</x:f>
        <x:v>39</x:v>
      </x:c>
      <x:c r="Y696" s="119" t="n">
        <x:f>IF(1&gt;D696,0,ROUND(('难度参数'!$E$13*POWER(A696,'难度参数'!$E$20)*MIN('难度参数'!$E$23,1+MAX(0,A696-'难度参数'!$E$21)*'难度参数'!$E$22))*(36+1*7)/(36+7*(D696+1)/2)*E696,0))</x:f>
        <x:v>10037</x:v>
      </x:c>
      <x:c r="Z696" s="119" t="n">
        <x:f>IF(X696=0,0,(X696-IF(1=D696,1,0))*ROUND(Y696*VLOOKUP(INDEX('章节与怪物'!$E$31:$K$37,B696,1),'章节与怪物'!$A$41:$F$44,2,FALSE),0)+IF(1=D696,ROUND(Y696*'难度参数'!$E$28*'章节与怪物'!$E$17,0),0))</x:f>
        <x:v>391443</x:v>
      </x:c>
      <x:c r="AA696" s="119" t="n">
        <x:f>IF(X696=0,0,(X696-IF(1=D696,1,0))*VLOOKUP(INDEX('章节与怪物'!$E$31:$K$37,B696,1),'章节与怪物'!$A$41:$F$44,4,FALSE)+IF(1=D696,'难度参数'!$E$30,0))</x:f>
        <x:v>702</x:v>
      </x:c>
      <x:c r="AB696" s="119" t="n">
        <x:f>IF(2&gt;D696,0,MAX(2,MIN('难度参数'!$E$12,ROUND(('难度参数'!$E$18*POWER(A696,'难度参数'!$E$19)/D696*(0.85+0.3*(2-1)/MAX(1,D696-1))),0)+F696)))</x:f>
        <x:v>42</x:v>
      </x:c>
      <x:c r="AC696" s="119" t="n">
        <x:f>IF(2&gt;D696,0,ROUND(('难度参数'!$E$13*POWER(A696,'难度参数'!$E$20)*MIN('难度参数'!$E$23,1+MAX(0,A696-'难度参数'!$E$21)*'难度参数'!$E$22))*(36+2*7)/(36+7*(D696+1)/2)*E696,0))</x:f>
        <x:v>11671</x:v>
      </x:c>
      <x:c r="AD696" s="119" t="n">
        <x:f>IF(AB696=0,0,(AB696-IF(2=D696,1,0))*ROUND(AC696*VLOOKUP(INDEX('章节与怪物'!$E$31:$K$37,B696,2),'章节与怪物'!$A$41:$F$44,2,FALSE),0)+IF(2=D696,ROUND(AC696*'难度参数'!$E$28*'章节与怪物'!$E$17,0),0))</x:f>
        <x:v>352926</x:v>
      </x:c>
      <x:c r="AE696" s="119" t="n">
        <x:f>IF(AB696=0,0,(AB696-IF(2=D696,1,0))*VLOOKUP(INDEX('章节与怪物'!$E$31:$K$37,B696,2),'章节与怪物'!$A$41:$F$44,4,FALSE)+IF(2=D696,'难度参数'!$E$30,0))</x:f>
        <x:v>840</x:v>
      </x:c>
      <x:c r="AF696" s="119" t="n">
        <x:f>IF(3&gt;D696,0,MAX(2,MIN('难度参数'!$E$12,ROUND(('难度参数'!$E$18*POWER(A696,'难度参数'!$E$19)/D696*(0.85+0.3*(3-1)/MAX(1,D696-1))),0)+F696)))</x:f>
        <x:v>44</x:v>
      </x:c>
      <x:c r="AG696" s="119" t="n">
        <x:f>IF(3&gt;D696,0,ROUND(('难度参数'!$E$13*POWER(A696,'难度参数'!$E$20)*MIN('难度参数'!$E$23,1+MAX(0,A696-'难度参数'!$E$21)*'难度参数'!$E$22))*(36+3*7)/(36+7*(D696+1)/2)*E696,0))</x:f>
        <x:v>13305</x:v>
      </x:c>
      <x:c r="AH696" s="119" t="n">
        <x:f>IF(AF696=0,0,(AF696-IF(3=D696,1,0))*ROUND(AG696*VLOOKUP(INDEX('章节与怪物'!$E$31:$K$37,B696,3),'章节与怪物'!$A$41:$F$44,2,FALSE),0)+IF(3=D696,ROUND(AG696*'难度参数'!$E$28*'章节与怪物'!$E$17,0),0))</x:f>
        <x:v>995236</x:v>
      </x:c>
      <x:c r="AI696" s="119" t="n">
        <x:f>IF(AF696=0,0,(AF696-IF(3=D696,1,0))*VLOOKUP(INDEX('章节与怪物'!$E$31:$K$37,B696,3),'章节与怪物'!$A$41:$F$44,4,FALSE)+IF(3=D696,'难度参数'!$E$30,0))</x:f>
        <x:v>1232</x:v>
      </x:c>
      <x:c r="AJ696" s="119" t="n">
        <x:f>IF(4&gt;D696,0,MAX(2,MIN('难度参数'!$E$12,ROUND(('难度参数'!$E$18*POWER(A696,'难度参数'!$E$19)/D696*(0.85+0.3*(4-1)/MAX(1,D696-1))),0)+F696)))</x:f>
        <x:v>46</x:v>
      </x:c>
      <x:c r="AK696" s="119" t="n">
        <x:f>IF(4&gt;D696,0,ROUND(('难度参数'!$E$13*POWER(A696,'难度参数'!$E$20)*MIN('难度参数'!$E$23,1+MAX(0,A696-'难度参数'!$E$21)*'难度参数'!$E$22))*(36+4*7)/(36+7*(D696+1)/2)*E696,0))</x:f>
        <x:v>14938</x:v>
      </x:c>
      <x:c r="AL696" s="119" t="n">
        <x:f>IF(AJ696=0,0,(AJ696-IF(4=D696,1,0))*ROUND(AK696*VLOOKUP(INDEX('章节与怪物'!$E$31:$K$37,B696,4),'章节与怪物'!$A$41:$F$44,2,FALSE),0)+IF(4=D696,ROUND(AK696*'难度参数'!$E$28*'章节与怪物'!$E$17,0),0))</x:f>
        <x:v>927636</x:v>
      </x:c>
      <x:c r="AM696" s="119" t="n">
        <x:f>IF(AJ696=0,0,(AJ696-IF(4=D696,1,0))*VLOOKUP(INDEX('章节与怪物'!$E$31:$K$37,B696,4),'章节与怪物'!$A$41:$F$44,4,FALSE)+IF(4=D696,'难度参数'!$E$30,0))</x:f>
        <x:v>1564</x:v>
      </x:c>
      <x:c r="AN696" s="119" t="n">
        <x:f>IF(5&gt;D696,0,MAX(2,MIN('难度参数'!$E$12,ROUND(('难度参数'!$E$18*POWER(A696,'难度参数'!$E$19)/D696*(0.85+0.3*(5-1)/MAX(1,D696-1))),0)+F696)))</x:f>
        <x:v>49</x:v>
      </x:c>
      <x:c r="AO696" s="119" t="n">
        <x:f>IF(5&gt;D696,0,ROUND(('难度参数'!$E$13*POWER(A696,'难度参数'!$E$20)*MIN('难度参数'!$E$23,1+MAX(0,A696-'难度参数'!$E$21)*'难度参数'!$E$22))*(36+5*7)/(36+7*(D696+1)/2)*E696,0))</x:f>
        <x:v>16572</x:v>
      </x:c>
      <x:c r="AP696" s="119" t="n">
        <x:f>IF(AN696=0,0,(AN696-IF(5=D696,1,0))*ROUND(AO696*VLOOKUP(INDEX('章节与怪物'!$E$31:$K$37,B696,5),'章节与怪物'!$A$41:$F$44,2,FALSE),0)+IF(5=D696,ROUND(AO696*'难度参数'!$E$28*'章节与怪物'!$E$17,0),0))</x:f>
        <x:v>584668</x:v>
      </x:c>
      <x:c r="AQ696" s="119" t="n">
        <x:f>IF(AN696=0,0,(AN696-IF(5=D696,1,0))*VLOOKUP(INDEX('章节与怪物'!$E$31:$K$37,B696,5),'章节与怪物'!$A$41:$F$44,4,FALSE)+IF(5=D696,'难度参数'!$E$30,0))</x:f>
        <x:v>980</x:v>
      </x:c>
      <x:c r="AR696" s="119" t="n">
        <x:f>IF(6&gt;D696,0,MAX(2,MIN('难度参数'!$E$12,ROUND(('难度参数'!$E$18*POWER(A696,'难度参数'!$E$19)/D696*(0.85+0.3*(6-1)/MAX(1,D696-1))),0)+F696)))</x:f>
        <x:v>51</x:v>
      </x:c>
      <x:c r="AS696" s="119" t="n">
        <x:f>IF(6&gt;D696,0,ROUND(('难度参数'!$E$13*POWER(A696,'难度参数'!$E$20)*MIN('难度参数'!$E$23,1+MAX(0,A696-'难度参数'!$E$21)*'难度参数'!$E$22))*(36+6*7)/(36+7*(D696+1)/2)*E696,0))</x:f>
        <x:v>18206</x:v>
      </x:c>
      <x:c r="AT696" s="119" t="n">
        <x:f>IF(AR696=0,0,(AR696-IF(6=D696,1,0))*ROUND(AS696*VLOOKUP(INDEX('章节与怪物'!$E$31:$K$37,B696,6),'章节与怪物'!$A$41:$F$44,2,FALSE),0)+IF(6=D696,ROUND(AS696*'难度参数'!$E$28*'章节与怪物'!$E$17,0),0))</x:f>
        <x:v>1578450</x:v>
      </x:c>
      <x:c r="AU696" s="119" t="n">
        <x:f>IF(AR696=0,0,(AR696-IF(6=D696,1,0))*VLOOKUP(INDEX('章节与怪物'!$E$31:$K$37,B696,6),'章节与怪物'!$A$41:$F$44,4,FALSE)+IF(6=D696,'难度参数'!$E$30,0))</x:f>
        <x:v>1428</x:v>
      </x:c>
      <x:c r="AV696" s="119" t="n">
        <x:f>IF(7&gt;D696,0,MAX(2,MIN('难度参数'!$E$12,ROUND(('难度参数'!$E$18*POWER(A696,'难度参数'!$E$19)/D696*(0.85+0.3*(7-1)/MAX(1,D696-1))),0)+F696)))</x:f>
        <x:v>53</x:v>
      </x:c>
      <x:c r="AW696" s="119" t="n">
        <x:f>IF(7&gt;D696,0,ROUND(('难度参数'!$E$13*POWER(A696,'难度参数'!$E$20)*MIN('难度参数'!$E$23,1+MAX(0,A696-'难度参数'!$E$21)*'难度参数'!$E$22))*(36+7*7)/(36+7*(D696+1)/2)*E696,0))</x:f>
        <x:v>19840</x:v>
      </x:c>
      <x:c r="AX696" s="119" t="n">
        <x:f>IF(AV696=0,0,(AV696-IF(7=D696,1,0))*ROUND(AW696*VLOOKUP(INDEX('章节与怪物'!$E$31:$K$37,B696,7),'章节与怪物'!$A$41:$F$44,2,FALSE),0)+IF(7=D696,ROUND(AW696*'难度参数'!$E$28*'章节与怪物'!$E$17,0),0))</x:f>
        <x:v>1527680</x:v>
      </x:c>
      <x:c r="AY696" s="119" t="n">
        <x:f>IF(AV696=0,0,(AV696-IF(7=D696,1,0))*VLOOKUP(INDEX('章节与怪物'!$E$31:$K$37,B696,7),'章节与怪物'!$A$41:$F$44,4,FALSE)+IF(7=D696,'难度参数'!$E$30,0))</x:f>
        <x:v>1968</x:v>
      </x:c>
    </x:row>
    <x:row r="697" ht="23" customHeight="1">
      <x:c r="A697" s="119" t="n">
        <x:v>691</x:v>
      </x:c>
      <x:c r="B697" s="119" t="n">
        <x:f>MOD(INT((A697-1)/5),7)+1</x:f>
        <x:v>6</x:v>
      </x:c>
      <x:c r="C697" s="62" t="str">
        <x:f>INDEX('章节与怪物'!$B$31:$B$37,B697)</x:f>
        <x:v>熔岩山脉</x:v>
      </x:c>
      <x:c r="D697" s="119" t="n">
        <x:f>MIN('难度参数'!$E$8,MAX('难度参数'!$E$7,A697))</x:f>
        <x:v>7</x:v>
      </x:c>
      <x:c r="E697" s="106" t="n">
        <x:v>1</x:v>
      </x:c>
      <x:c r="F697" s="106" t="n">
        <x:v>0</x:v>
      </x:c>
      <x:c r="G697" s="106" t="n">
        <x:v>1</x:v>
      </x:c>
      <x:c r="H697" s="119" t="n">
        <x:f>SUM(X697,AB697,AF697,AJ697,AN697,AR697,AV697)</x:f>
        <x:v>325</x:v>
      </x:c>
      <x:c r="I697" s="119" t="n">
        <x:f>SUM(Z697,AD697,AH697,AL697,AP697,AT697,AX697)</x:f>
        <x:v>6627220</x:v>
      </x:c>
      <x:c r="J697" s="119" t="n">
        <x:f>ROUND(INDEX(X697:AY697,1,(D697-1)*4+2)*'难度参数'!$E$28*'章节与怪物'!$E$17,0)</x:f>
        <x:v>135055</x:v>
      </x:c>
      <x:c r="K697" s="119" t="n">
        <x:f>SUM(AA697,AE697,AI697,AM697,AQ697,AU697,AY697)</x:f>
        <x:v>8630</x:v>
      </x:c>
      <x:c r="L697" s="62" t="n">
        <x:f>H697*(ROUNDUP('难度参数'!$E$24/('难度参数'!$E$26*'难度参数'!$E$27),0)*'难度参数'!$E$26)/60</x:f>
        <x:v>4.333333333333333</x:v>
      </x:c>
      <x:c r="M697" s="62" t="n">
        <x:f>L697+D697*('难度参数'!$E$49+'难度参数'!$E$50)/60</x:f>
        <x:v>5.5</x:v>
      </x:c>
      <x:c r="N697" s="119" t="n">
        <x:f>ROUNDDOWN(('经济参数'!$E$20+A697*'经济参数'!$E$21)*G697,0)</x:f>
        <x:v>14000</x:v>
      </x:c>
      <x:c r="O697" s="119" t="n">
        <x:f>ROUNDDOWN(MIN('经济参数'!$E$24,'经济参数'!$E$22+A697*'经济参数'!$E$23)*G697,0)</x:f>
        <x:v>0</x:v>
      </x:c>
      <x:c r="P697" s="119" t="n">
        <x:f>ROUNDDOWN((IF(A697&gt;='材料与任务'!$E$31,'材料与任务'!$E$32,IF(A697&gt;='材料与任务'!$E$25,'材料与任务'!$E$26,IF(A697&gt;='材料与任务'!$E$19,'材料与任务'!$E$20,IF(A697&gt;='材料与任务'!$E$13,'材料与任务'!$E$14,'材料与任务'!$E$8)))))*G697,0)</x:f>
        <x:v>6</x:v>
      </x:c>
      <x:c r="Q697" s="119" t="n">
        <x:f>ROUNDDOWN((IF(A697&gt;='材料与任务'!$E$31,'材料与任务'!$E$33,IF(A697&gt;='材料与任务'!$E$25,'材料与任务'!$E$27,IF(A697&gt;='材料与任务'!$E$19,'材料与任务'!$E$21,IF(A697&gt;='材料与任务'!$E$13,'材料与任务'!$E$15,'材料与任务'!$E$9)))))*G697,0)</x:f>
        <x:v>3</x:v>
      </x:c>
      <x:c r="R697" s="110" t="n">
        <x:f>'装备掉落'!$B$38</x:f>
        <x:v>0.6872058758851213</x:v>
      </x:c>
      <x:c r="S697" s="119" t="n">
        <x:f>MAX(IF(VLOOKUP(A697,'装备掉落'!$A$29:$H$34,2,TRUE)&gt;0,1,0),IF(VLOOKUP(A697,'装备掉落'!$A$29:$H$34,3,TRUE)&gt;0,2,0),IF(VLOOKUP(A697,'装备掉落'!$A$29:$H$34,4,TRUE)&gt;0,3,0),IF(VLOOKUP(A697,'装备掉落'!$A$29:$H$34,5,TRUE)&gt;0,4,0),IF(VLOOKUP(A697,'装备掉落'!$A$29:$H$34,6,TRUE)&gt;0,5,0),IF(VLOOKUP(A697,'装备掉落'!$A$29:$H$34,7,TRUE)&gt;0,6,0),IF(VLOOKUP(A697,'装备掉落'!$A$29:$H$34,8,TRUE)&gt;0,7,0))</x:f>
        <x:v>7</x:v>
      </x:c>
      <x:c r="T697" s="119" t="n">
        <x:f>MIN(7,S697+'经济参数'!$E$70)</x:f>
        <x:v>7</x:v>
      </x:c>
      <x:c r="U697" s="119" t="n">
        <x:f>MIN(7,S697+'经济参数'!$E$71)</x:f>
        <x:v>7</x:v>
      </x:c>
      <x:c r="V697" s="119" t="n">
        <x:f>IF(H697&gt;=('难度参数'!$E$52),1,0)+IF(H697&gt;=('难度参数'!$E$52+'难度参数'!$E$53),1,0)+IF(H697&gt;=('难度参数'!$E$52+'难度参数'!$E$53+'难度参数'!$E$54),1,0)+IF(H697&gt;=('难度参数'!$E$52+'难度参数'!$E$53+'难度参数'!$E$54+'难度参数'!$E$55),1,0)+IF(H697&gt;=('难度参数'!$E$52+'难度参数'!$E$53+'难度参数'!$E$54+'难度参数'!$E$55+'难度参数'!$E$56),1,0)+IF(H697&gt;=('难度参数'!$E$52+'难度参数'!$E$53+'难度参数'!$E$54+'难度参数'!$E$55+'难度参数'!$E$56+'难度参数'!$E$57),1,0)</x:f>
        <x:v>6</x:v>
      </x:c>
      <x:c r="W697" s="62" t="str">
        <x:f>IF(L697&gt;'难度参数'!$E$51,"仅出怪已超目标","还需实测")</x:f>
        <x:v>仅出怪已超目标</x:v>
      </x:c>
      <x:c r="X697" s="119" t="n">
        <x:f>IF(1&gt;D697,0,MAX(2,MIN('难度参数'!$E$12,ROUND(('难度参数'!$E$18*POWER(A697,'难度参数'!$E$19)/D697*(0.85+0.3*(1-1)/MAX(1,D697-1))),0)+F697)))</x:f>
        <x:v>40</x:v>
      </x:c>
      <x:c r="Y697" s="119" t="n">
        <x:f>IF(1&gt;D697,0,ROUND(('难度参数'!$E$13*POWER(A697,'难度参数'!$E$20)*MIN('难度参数'!$E$23,1+MAX(0,A697-'难度参数'!$E$21)*'难度参数'!$E$22))*(36+1*7)/(36+7*(D697+1)/2)*E697,0))</x:f>
        <x:v>10047</x:v>
      </x:c>
      <x:c r="Z697" s="119" t="n">
        <x:f>IF(X697=0,0,(X697-IF(1=D697,1,0))*ROUND(Y697*VLOOKUP(INDEX('章节与怪物'!$E$31:$K$37,B697,1),'章节与怪物'!$A$41:$F$44,2,FALSE),0)+IF(1=D697,ROUND(Y697*'难度参数'!$E$28*'章节与怪物'!$E$17,0),0))</x:f>
        <x:v>289360</x:v>
      </x:c>
      <x:c r="AA697" s="119" t="n">
        <x:f>IF(X697=0,0,(X697-IF(1=D697,1,0))*VLOOKUP(INDEX('章节与怪物'!$E$31:$K$37,B697,1),'章节与怪物'!$A$41:$F$44,4,FALSE)+IF(1=D697,'难度参数'!$E$30,0))</x:f>
        <x:v>800</x:v>
      </x:c>
      <x:c r="AB697" s="119" t="n">
        <x:f>IF(2&gt;D697,0,MAX(2,MIN('难度参数'!$E$12,ROUND(('难度参数'!$E$18*POWER(A697,'难度参数'!$E$19)/D697*(0.85+0.3*(2-1)/MAX(1,D697-1))),0)+F697)))</x:f>
        <x:v>42</x:v>
      </x:c>
      <x:c r="AC697" s="119" t="n">
        <x:f>IF(2&gt;D697,0,ROUND(('难度参数'!$E$13*POWER(A697,'难度参数'!$E$20)*MIN('难度参数'!$E$23,1+MAX(0,A697-'难度参数'!$E$21)*'难度参数'!$E$22))*(36+2*7)/(36+7*(D697+1)/2)*E697,0))</x:f>
        <x:v>11683</x:v>
      </x:c>
      <x:c r="AD697" s="119" t="n">
        <x:f>IF(AB697=0,0,(AB697-IF(2=D697,1,0))*ROUND(AC697*VLOOKUP(INDEX('章节与怪物'!$E$31:$K$37,B697,2),'章节与怪物'!$A$41:$F$44,2,FALSE),0)+IF(2=D697,ROUND(AC697*'难度参数'!$E$28*'章节与怪物'!$E$17,0),0))</x:f>
        <x:v>490686</x:v>
      </x:c>
      <x:c r="AE697" s="119" t="n">
        <x:f>IF(AB697=0,0,(AB697-IF(2=D697,1,0))*VLOOKUP(INDEX('章节与怪物'!$E$31:$K$37,B697,2),'章节与怪物'!$A$41:$F$44,4,FALSE)+IF(2=D697,'难度参数'!$E$30,0))</x:f>
        <x:v>756</x:v>
      </x:c>
      <x:c r="AF697" s="119" t="n">
        <x:f>IF(3&gt;D697,0,MAX(2,MIN('难度参数'!$E$12,ROUND(('难度参数'!$E$18*POWER(A697,'难度参数'!$E$19)/D697*(0.85+0.3*(3-1)/MAX(1,D697-1))),0)+F697)))</x:f>
        <x:v>44</x:v>
      </x:c>
      <x:c r="AG697" s="119" t="n">
        <x:f>IF(3&gt;D697,0,ROUND(('难度参数'!$E$13*POWER(A697,'难度参数'!$E$20)*MIN('难度参数'!$E$23,1+MAX(0,A697-'难度参数'!$E$21)*'难度参数'!$E$22))*(36+3*7)/(36+7*(D697+1)/2)*E697,0))</x:f>
        <x:v>13318</x:v>
      </x:c>
      <x:c r="AH697" s="119" t="n">
        <x:f>IF(AF697=0,0,(AF697-IF(3=D697,1,0))*ROUND(AG697*VLOOKUP(INDEX('章节与怪物'!$E$31:$K$37,B697,3),'章节与怪物'!$A$41:$F$44,2,FALSE),0)+IF(3=D697,ROUND(AG697*'难度参数'!$E$28*'章节与怪物'!$E$17,0),0))</x:f>
        <x:v>996204</x:v>
      </x:c>
      <x:c r="AI697" s="119" t="n">
        <x:f>IF(AF697=0,0,(AF697-IF(3=D697,1,0))*VLOOKUP(INDEX('章节与怪物'!$E$31:$K$37,B697,3),'章节与怪物'!$A$41:$F$44,4,FALSE)+IF(3=D697,'难度参数'!$E$30,0))</x:f>
        <x:v>1232</x:v>
      </x:c>
      <x:c r="AJ697" s="119" t="n">
        <x:f>IF(4&gt;D697,0,MAX(2,MIN('难度参数'!$E$12,ROUND(('难度参数'!$E$18*POWER(A697,'难度参数'!$E$19)/D697*(0.85+0.3*(4-1)/MAX(1,D697-1))),0)+F697)))</x:f>
        <x:v>46</x:v>
      </x:c>
      <x:c r="AK697" s="119" t="n">
        <x:f>IF(4&gt;D697,0,ROUND(('难度参数'!$E$13*POWER(A697,'难度参数'!$E$20)*MIN('难度参数'!$E$23,1+MAX(0,A697-'难度参数'!$E$21)*'难度参数'!$E$22))*(36+4*7)/(36+7*(D697+1)/2)*E697,0))</x:f>
        <x:v>14954</x:v>
      </x:c>
      <x:c r="AL697" s="119" t="n">
        <x:f>IF(AJ697=0,0,(AJ697-IF(4=D697,1,0))*ROUND(AK697*VLOOKUP(INDEX('章节与怪物'!$E$31:$K$37,B697,4),'章节与怪物'!$A$41:$F$44,2,FALSE),0)+IF(4=D697,ROUND(AK697*'难度参数'!$E$28*'章节与怪物'!$E$17,0),0))</x:f>
        <x:v>928648</x:v>
      </x:c>
      <x:c r="AM697" s="119" t="n">
        <x:f>IF(AJ697=0,0,(AJ697-IF(4=D697,1,0))*VLOOKUP(INDEX('章节与怪物'!$E$31:$K$37,B697,4),'章节与怪物'!$A$41:$F$44,4,FALSE)+IF(4=D697,'难度参数'!$E$30,0))</x:f>
        <x:v>1564</x:v>
      </x:c>
      <x:c r="AN697" s="119" t="n">
        <x:f>IF(5&gt;D697,0,MAX(2,MIN('难度参数'!$E$12,ROUND(('难度参数'!$E$18*POWER(A697,'难度参数'!$E$19)/D697*(0.85+0.3*(5-1)/MAX(1,D697-1))),0)+F697)))</x:f>
        <x:v>49</x:v>
      </x:c>
      <x:c r="AO697" s="119" t="n">
        <x:f>IF(5&gt;D697,0,ROUND(('难度参数'!$E$13*POWER(A697,'难度参数'!$E$20)*MIN('难度参数'!$E$23,1+MAX(0,A697-'难度参数'!$E$21)*'难度参数'!$E$22))*(36+5*7)/(36+7*(D697+1)/2)*E697,0))</x:f>
        <x:v>16590</x:v>
      </x:c>
      <x:c r="AP697" s="119" t="n">
        <x:f>IF(AN697=0,0,(AN697-IF(5=D697,1,0))*ROUND(AO697*VLOOKUP(INDEX('章节与怪物'!$E$31:$K$37,B697,5),'章节与怪物'!$A$41:$F$44,2,FALSE),0)+IF(5=D697,ROUND(AO697*'难度参数'!$E$28*'章节与怪物'!$E$17,0),0))</x:f>
        <x:v>812910</x:v>
      </x:c>
      <x:c r="AQ697" s="119" t="n">
        <x:f>IF(AN697=0,0,(AN697-IF(5=D697,1,0))*VLOOKUP(INDEX('章节与怪物'!$E$31:$K$37,B697,5),'章节与怪物'!$A$41:$F$44,4,FALSE)+IF(5=D697,'难度参数'!$E$30,0))</x:f>
        <x:v>882</x:v>
      </x:c>
      <x:c r="AR697" s="119" t="n">
        <x:f>IF(6&gt;D697,0,MAX(2,MIN('难度参数'!$E$12,ROUND(('难度参数'!$E$18*POWER(A697,'难度参数'!$E$19)/D697*(0.85+0.3*(6-1)/MAX(1,D697-1))),0)+F697)))</x:f>
        <x:v>51</x:v>
      </x:c>
      <x:c r="AS697" s="119" t="n">
        <x:f>IF(6&gt;D697,0,ROUND(('难度参数'!$E$13*POWER(A697,'难度参数'!$E$20)*MIN('难度参数'!$E$23,1+MAX(0,A697-'难度参数'!$E$21)*'难度参数'!$E$22))*(36+6*7)/(36+7*(D697+1)/2)*E697,0))</x:f>
        <x:v>18225</x:v>
      </x:c>
      <x:c r="AT697" s="119" t="n">
        <x:f>IF(AR697=0,0,(AR697-IF(6=D697,1,0))*ROUND(AS697*VLOOKUP(INDEX('章节与怪物'!$E$31:$K$37,B697,6),'章节与怪物'!$A$41:$F$44,2,FALSE),0)+IF(6=D697,ROUND(AS697*'难度参数'!$E$28*'章节与怪物'!$E$17,0),0))</x:f>
        <x:v>1580133</x:v>
      </x:c>
      <x:c r="AU697" s="119" t="n">
        <x:f>IF(AR697=0,0,(AR697-IF(6=D697,1,0))*VLOOKUP(INDEX('章节与怪物'!$E$31:$K$37,B697,6),'章节与怪物'!$A$41:$F$44,4,FALSE)+IF(6=D697,'难度参数'!$E$30,0))</x:f>
        <x:v>1428</x:v>
      </x:c>
      <x:c r="AV697" s="119" t="n">
        <x:f>IF(7&gt;D697,0,MAX(2,MIN('难度参数'!$E$12,ROUND(('难度参数'!$E$18*POWER(A697,'难度参数'!$E$19)/D697*(0.85+0.3*(7-1)/MAX(1,D697-1))),0)+F697)))</x:f>
        <x:v>53</x:v>
      </x:c>
      <x:c r="AW697" s="119" t="n">
        <x:f>IF(7&gt;D697,0,ROUND(('难度参数'!$E$13*POWER(A697,'难度参数'!$E$20)*MIN('难度参数'!$E$23,1+MAX(0,A697-'难度参数'!$E$21)*'难度参数'!$E$22))*(36+7*7)/(36+7*(D697+1)/2)*E697,0))</x:f>
        <x:v>19861</x:v>
      </x:c>
      <x:c r="AX697" s="119" t="n">
        <x:f>IF(AV697=0,0,(AV697-IF(7=D697,1,0))*ROUND(AW697*VLOOKUP(INDEX('章节与怪物'!$E$31:$K$37,B697,7),'章节与怪物'!$A$41:$F$44,2,FALSE),0)+IF(7=D697,ROUND(AW697*'难度参数'!$E$28*'章节与怪物'!$E$17,0),0))</x:f>
        <x:v>1529279</x:v>
      </x:c>
      <x:c r="AY697" s="119" t="n">
        <x:f>IF(AV697=0,0,(AV697-IF(7=D697,1,0))*VLOOKUP(INDEX('章节与怪物'!$E$31:$K$37,B697,7),'章节与怪物'!$A$41:$F$44,4,FALSE)+IF(7=D697,'难度参数'!$E$30,0))</x:f>
        <x:v>1968</x:v>
      </x:c>
    </x:row>
    <x:row r="698" ht="23" customHeight="1">
      <x:c r="A698" s="119" t="n">
        <x:v>692</x:v>
      </x:c>
      <x:c r="B698" s="119" t="n">
        <x:f>MOD(INT((A698-1)/5),7)+1</x:f>
        <x:v>6</x:v>
      </x:c>
      <x:c r="C698" s="62" t="str">
        <x:f>INDEX('章节与怪物'!$B$31:$B$37,B698)</x:f>
        <x:v>熔岩山脉</x:v>
      </x:c>
      <x:c r="D698" s="119" t="n">
        <x:f>MIN('难度参数'!$E$8,MAX('难度参数'!$E$7,A698))</x:f>
        <x:v>7</x:v>
      </x:c>
      <x:c r="E698" s="106" t="n">
        <x:v>1</x:v>
      </x:c>
      <x:c r="F698" s="106" t="n">
        <x:v>0</x:v>
      </x:c>
      <x:c r="G698" s="106" t="n">
        <x:v>1</x:v>
      </x:c>
      <x:c r="H698" s="119" t="n">
        <x:f>SUM(X698,AB698,AF698,AJ698,AN698,AR698,AV698)</x:f>
        <x:v>326</x:v>
      </x:c>
      <x:c r="I698" s="119" t="n">
        <x:f>SUM(Z698,AD698,AH698,AL698,AP698,AT698,AX698)</x:f>
        <x:v>6654283</x:v>
      </x:c>
      <x:c r="J698" s="119" t="n">
        <x:f>ROUND(INDEX(X698:AY698,1,(D698-1)*4+2)*'难度参数'!$E$28*'章节与怪物'!$E$17,0)</x:f>
        <x:v>135191</x:v>
      </x:c>
      <x:c r="K698" s="119" t="n">
        <x:f>SUM(AA698,AE698,AI698,AM698,AQ698,AU698,AY698)</x:f>
        <x:v>8664</x:v>
      </x:c>
      <x:c r="L698" s="62" t="n">
        <x:f>H698*(ROUNDUP('难度参数'!$E$24/('难度参数'!$E$26*'难度参数'!$E$27),0)*'难度参数'!$E$26)/60</x:f>
        <x:v>4.346666666666667</x:v>
      </x:c>
      <x:c r="M698" s="62" t="n">
        <x:f>L698+D698*('难度参数'!$E$49+'难度参数'!$E$50)/60</x:f>
        <x:v>5.513333333333334</x:v>
      </x:c>
      <x:c r="N698" s="119" t="n">
        <x:f>ROUNDDOWN(('经济参数'!$E$20+A698*'经济参数'!$E$21)*G698,0)</x:f>
        <x:v>14020</x:v>
      </x:c>
      <x:c r="O698" s="119" t="n">
        <x:f>ROUNDDOWN(MIN('经济参数'!$E$24,'经济参数'!$E$22+A698*'经济参数'!$E$23)*G698,0)</x:f>
        <x:v>0</x:v>
      </x:c>
      <x:c r="P698" s="119" t="n">
        <x:f>ROUNDDOWN((IF(A698&gt;='材料与任务'!$E$31,'材料与任务'!$E$32,IF(A698&gt;='材料与任务'!$E$25,'材料与任务'!$E$26,IF(A698&gt;='材料与任务'!$E$19,'材料与任务'!$E$20,IF(A698&gt;='材料与任务'!$E$13,'材料与任务'!$E$14,'材料与任务'!$E$8)))))*G698,0)</x:f>
        <x:v>6</x:v>
      </x:c>
      <x:c r="Q698" s="119" t="n">
        <x:f>ROUNDDOWN((IF(A698&gt;='材料与任务'!$E$31,'材料与任务'!$E$33,IF(A698&gt;='材料与任务'!$E$25,'材料与任务'!$E$27,IF(A698&gt;='材料与任务'!$E$19,'材料与任务'!$E$21,IF(A698&gt;='材料与任务'!$E$13,'材料与任务'!$E$15,'材料与任务'!$E$9)))))*G698,0)</x:f>
        <x:v>3</x:v>
      </x:c>
      <x:c r="R698" s="110" t="n">
        <x:f>'装备掉落'!$B$38</x:f>
        <x:v>0.6872058758851213</x:v>
      </x:c>
      <x:c r="S698" s="119" t="n">
        <x:f>MAX(IF(VLOOKUP(A698,'装备掉落'!$A$29:$H$34,2,TRUE)&gt;0,1,0),IF(VLOOKUP(A698,'装备掉落'!$A$29:$H$34,3,TRUE)&gt;0,2,0),IF(VLOOKUP(A698,'装备掉落'!$A$29:$H$34,4,TRUE)&gt;0,3,0),IF(VLOOKUP(A698,'装备掉落'!$A$29:$H$34,5,TRUE)&gt;0,4,0),IF(VLOOKUP(A698,'装备掉落'!$A$29:$H$34,6,TRUE)&gt;0,5,0),IF(VLOOKUP(A698,'装备掉落'!$A$29:$H$34,7,TRUE)&gt;0,6,0),IF(VLOOKUP(A698,'装备掉落'!$A$29:$H$34,8,TRUE)&gt;0,7,0))</x:f>
        <x:v>7</x:v>
      </x:c>
      <x:c r="T698" s="119" t="n">
        <x:f>MIN(7,S698+'经济参数'!$E$70)</x:f>
        <x:v>7</x:v>
      </x:c>
      <x:c r="U698" s="119" t="n">
        <x:f>MIN(7,S698+'经济参数'!$E$71)</x:f>
        <x:v>7</x:v>
      </x:c>
      <x:c r="V698" s="119" t="n">
        <x:f>IF(H698&gt;=('难度参数'!$E$52),1,0)+IF(H698&gt;=('难度参数'!$E$52+'难度参数'!$E$53),1,0)+IF(H698&gt;=('难度参数'!$E$52+'难度参数'!$E$53+'难度参数'!$E$54),1,0)+IF(H698&gt;=('难度参数'!$E$52+'难度参数'!$E$53+'难度参数'!$E$54+'难度参数'!$E$55),1,0)+IF(H698&gt;=('难度参数'!$E$52+'难度参数'!$E$53+'难度参数'!$E$54+'难度参数'!$E$55+'难度参数'!$E$56),1,0)+IF(H698&gt;=('难度参数'!$E$52+'难度参数'!$E$53+'难度参数'!$E$54+'难度参数'!$E$55+'难度参数'!$E$56+'难度参数'!$E$57),1,0)</x:f>
        <x:v>6</x:v>
      </x:c>
      <x:c r="W698" s="62" t="str">
        <x:f>IF(L698&gt;'难度参数'!$E$51,"仅出怪已超目标","还需实测")</x:f>
        <x:v>仅出怪已超目标</x:v>
      </x:c>
      <x:c r="X698" s="119" t="n">
        <x:f>IF(1&gt;D698,0,MAX(2,MIN('难度参数'!$E$12,ROUND(('难度参数'!$E$18*POWER(A698,'难度参数'!$E$19)/D698*(0.85+0.3*(1-1)/MAX(1,D698-1))),0)+F698)))</x:f>
        <x:v>40</x:v>
      </x:c>
      <x:c r="Y698" s="119" t="n">
        <x:f>IF(1&gt;D698,0,ROUND(('难度参数'!$E$13*POWER(A698,'难度参数'!$E$20)*MIN('难度参数'!$E$23,1+MAX(0,A698-'难度参数'!$E$21)*'难度参数'!$E$22))*(36+1*7)/(36+7*(D698+1)/2)*E698,0))</x:f>
        <x:v>10058</x:v>
      </x:c>
      <x:c r="Z698" s="119" t="n">
        <x:f>IF(X698=0,0,(X698-IF(1=D698,1,0))*ROUND(Y698*VLOOKUP(INDEX('章节与怪物'!$E$31:$K$37,B698,1),'章节与怪物'!$A$41:$F$44,2,FALSE),0)+IF(1=D698,ROUND(Y698*'难度参数'!$E$28*'章节与怪物'!$E$17,0),0))</x:f>
        <x:v>289680</x:v>
      </x:c>
      <x:c r="AA698" s="119" t="n">
        <x:f>IF(X698=0,0,(X698-IF(1=D698,1,0))*VLOOKUP(INDEX('章节与怪物'!$E$31:$K$37,B698,1),'章节与怪物'!$A$41:$F$44,4,FALSE)+IF(1=D698,'难度参数'!$E$30,0))</x:f>
        <x:v>800</x:v>
      </x:c>
      <x:c r="AB698" s="119" t="n">
        <x:f>IF(2&gt;D698,0,MAX(2,MIN('难度参数'!$E$12,ROUND(('难度参数'!$E$18*POWER(A698,'难度参数'!$E$19)/D698*(0.85+0.3*(2-1)/MAX(1,D698-1))),0)+F698)))</x:f>
        <x:v>42</x:v>
      </x:c>
      <x:c r="AC698" s="119" t="n">
        <x:f>IF(2&gt;D698,0,ROUND(('难度参数'!$E$13*POWER(A698,'难度参数'!$E$20)*MIN('难度参数'!$E$23,1+MAX(0,A698-'难度参数'!$E$21)*'难度参数'!$E$22))*(36+2*7)/(36+7*(D698+1)/2)*E698,0))</x:f>
        <x:v>11695</x:v>
      </x:c>
      <x:c r="AD698" s="119" t="n">
        <x:f>IF(AB698=0,0,(AB698-IF(2=D698,1,0))*ROUND(AC698*VLOOKUP(INDEX('章节与怪物'!$E$31:$K$37,B698,2),'章节与怪物'!$A$41:$F$44,2,FALSE),0)+IF(2=D698,ROUND(AC698*'难度参数'!$E$28*'章节与怪物'!$E$17,0),0))</x:f>
        <x:v>491190</x:v>
      </x:c>
      <x:c r="AE698" s="119" t="n">
        <x:f>IF(AB698=0,0,(AB698-IF(2=D698,1,0))*VLOOKUP(INDEX('章节与怪物'!$E$31:$K$37,B698,2),'章节与怪物'!$A$41:$F$44,4,FALSE)+IF(2=D698,'难度参数'!$E$30,0))</x:f>
        <x:v>756</x:v>
      </x:c>
      <x:c r="AF698" s="119" t="n">
        <x:f>IF(3&gt;D698,0,MAX(2,MIN('难度参数'!$E$12,ROUND(('难度参数'!$E$18*POWER(A698,'难度参数'!$E$19)/D698*(0.85+0.3*(3-1)/MAX(1,D698-1))),0)+F698)))</x:f>
        <x:v>44</x:v>
      </x:c>
      <x:c r="AG698" s="119" t="n">
        <x:f>IF(3&gt;D698,0,ROUND(('难度参数'!$E$13*POWER(A698,'难度参数'!$E$20)*MIN('难度参数'!$E$23,1+MAX(0,A698-'难度参数'!$E$21)*'难度参数'!$E$22))*(36+3*7)/(36+7*(D698+1)/2)*E698,0))</x:f>
        <x:v>13332</x:v>
      </x:c>
      <x:c r="AH698" s="119" t="n">
        <x:f>IF(AF698=0,0,(AF698-IF(3=D698,1,0))*ROUND(AG698*VLOOKUP(INDEX('章节与怪物'!$E$31:$K$37,B698,3),'章节与怪物'!$A$41:$F$44,2,FALSE),0)+IF(3=D698,ROUND(AG698*'难度参数'!$E$28*'章节与怪物'!$E$17,0),0))</x:f>
        <x:v>997216</x:v>
      </x:c>
      <x:c r="AI698" s="119" t="n">
        <x:f>IF(AF698=0,0,(AF698-IF(3=D698,1,0))*VLOOKUP(INDEX('章节与怪物'!$E$31:$K$37,B698,3),'章节与怪物'!$A$41:$F$44,4,FALSE)+IF(3=D698,'难度参数'!$E$30,0))</x:f>
        <x:v>1232</x:v>
      </x:c>
      <x:c r="AJ698" s="119" t="n">
        <x:f>IF(4&gt;D698,0,MAX(2,MIN('难度参数'!$E$12,ROUND(('难度参数'!$E$18*POWER(A698,'难度参数'!$E$19)/D698*(0.85+0.3*(4-1)/MAX(1,D698-1))),0)+F698)))</x:f>
        <x:v>47</x:v>
      </x:c>
      <x:c r="AK698" s="119" t="n">
        <x:f>IF(4&gt;D698,0,ROUND(('难度参数'!$E$13*POWER(A698,'难度参数'!$E$20)*MIN('难度参数'!$E$23,1+MAX(0,A698-'难度参数'!$E$21)*'难度参数'!$E$22))*(36+4*7)/(36+7*(D698+1)/2)*E698,0))</x:f>
        <x:v>14970</x:v>
      </x:c>
      <x:c r="AL698" s="119" t="n">
        <x:f>IF(AJ698=0,0,(AJ698-IF(4=D698,1,0))*ROUND(AK698*VLOOKUP(INDEX('章节与怪物'!$E$31:$K$37,B698,4),'章节与怪物'!$A$41:$F$44,2,FALSE),0)+IF(4=D698,ROUND(AK698*'难度参数'!$E$28*'章节与怪物'!$E$17,0),0))</x:f>
        <x:v>949870</x:v>
      </x:c>
      <x:c r="AM698" s="119" t="n">
        <x:f>IF(AJ698=0,0,(AJ698-IF(4=D698,1,0))*VLOOKUP(INDEX('章节与怪物'!$E$31:$K$37,B698,4),'章节与怪物'!$A$41:$F$44,4,FALSE)+IF(4=D698,'难度参数'!$E$30,0))</x:f>
        <x:v>1598</x:v>
      </x:c>
      <x:c r="AN698" s="119" t="n">
        <x:f>IF(5&gt;D698,0,MAX(2,MIN('难度参数'!$E$12,ROUND(('难度参数'!$E$18*POWER(A698,'难度参数'!$E$19)/D698*(0.85+0.3*(5-1)/MAX(1,D698-1))),0)+F698)))</x:f>
        <x:v>49</x:v>
      </x:c>
      <x:c r="AO698" s="119" t="n">
        <x:f>IF(5&gt;D698,0,ROUND(('难度参数'!$E$13*POWER(A698,'难度参数'!$E$20)*MIN('难度参数'!$E$23,1+MAX(0,A698-'难度参数'!$E$21)*'难度参数'!$E$22))*(36+5*7)/(36+7*(D698+1)/2)*E698,0))</x:f>
        <x:v>16607</x:v>
      </x:c>
      <x:c r="AP698" s="119" t="n">
        <x:f>IF(AN698=0,0,(AN698-IF(5=D698,1,0))*ROUND(AO698*VLOOKUP(INDEX('章节与怪物'!$E$31:$K$37,B698,5),'章节与怪物'!$A$41:$F$44,2,FALSE),0)+IF(5=D698,ROUND(AO698*'难度参数'!$E$28*'章节与怪物'!$E$17,0),0))</x:f>
        <x:v>813743</x:v>
      </x:c>
      <x:c r="AQ698" s="119" t="n">
        <x:f>IF(AN698=0,0,(AN698-IF(5=D698,1,0))*VLOOKUP(INDEX('章节与怪物'!$E$31:$K$37,B698,5),'章节与怪物'!$A$41:$F$44,4,FALSE)+IF(5=D698,'难度参数'!$E$30,0))</x:f>
        <x:v>882</x:v>
      </x:c>
      <x:c r="AR698" s="119" t="n">
        <x:f>IF(6&gt;D698,0,MAX(2,MIN('难度参数'!$E$12,ROUND(('难度参数'!$E$18*POWER(A698,'难度参数'!$E$19)/D698*(0.85+0.3*(6-1)/MAX(1,D698-1))),0)+F698)))</x:f>
        <x:v>51</x:v>
      </x:c>
      <x:c r="AS698" s="119" t="n">
        <x:f>IF(6&gt;D698,0,ROUND(('难度参数'!$E$13*POWER(A698,'难度参数'!$E$20)*MIN('难度参数'!$E$23,1+MAX(0,A698-'难度参数'!$E$21)*'难度参数'!$E$22))*(36+6*7)/(36+7*(D698+1)/2)*E698,0))</x:f>
        <x:v>18244</x:v>
      </x:c>
      <x:c r="AT698" s="119" t="n">
        <x:f>IF(AR698=0,0,(AR698-IF(6=D698,1,0))*ROUND(AS698*VLOOKUP(INDEX('章节与怪物'!$E$31:$K$37,B698,6),'章节与怪物'!$A$41:$F$44,2,FALSE),0)+IF(6=D698,ROUND(AS698*'难度参数'!$E$28*'章节与怪物'!$E$17,0),0))</x:f>
        <x:v>1581765</x:v>
      </x:c>
      <x:c r="AU698" s="119" t="n">
        <x:f>IF(AR698=0,0,(AR698-IF(6=D698,1,0))*VLOOKUP(INDEX('章节与怪物'!$E$31:$K$37,B698,6),'章节与怪物'!$A$41:$F$44,4,FALSE)+IF(6=D698,'难度参数'!$E$30,0))</x:f>
        <x:v>1428</x:v>
      </x:c>
      <x:c r="AV698" s="119" t="n">
        <x:f>IF(7&gt;D698,0,MAX(2,MIN('难度参数'!$E$12,ROUND(('难度参数'!$E$18*POWER(A698,'难度参数'!$E$19)/D698*(0.85+0.3*(7-1)/MAX(1,D698-1))),0)+F698)))</x:f>
        <x:v>53</x:v>
      </x:c>
      <x:c r="AW698" s="119" t="n">
        <x:f>IF(7&gt;D698,0,ROUND(('难度参数'!$E$13*POWER(A698,'难度参数'!$E$20)*MIN('难度参数'!$E$23,1+MAX(0,A698-'难度参数'!$E$21)*'难度参数'!$E$22))*(36+7*7)/(36+7*(D698+1)/2)*E698,0))</x:f>
        <x:v>19881</x:v>
      </x:c>
      <x:c r="AX698" s="119" t="n">
        <x:f>IF(AV698=0,0,(AV698-IF(7=D698,1,0))*ROUND(AW698*VLOOKUP(INDEX('章节与怪物'!$E$31:$K$37,B698,7),'章节与怪物'!$A$41:$F$44,2,FALSE),0)+IF(7=D698,ROUND(AW698*'难度参数'!$E$28*'章节与怪物'!$E$17,0),0))</x:f>
        <x:v>1530819</x:v>
      </x:c>
      <x:c r="AY698" s="119" t="n">
        <x:f>IF(AV698=0,0,(AV698-IF(7=D698,1,0))*VLOOKUP(INDEX('章节与怪物'!$E$31:$K$37,B698,7),'章节与怪物'!$A$41:$F$44,4,FALSE)+IF(7=D698,'难度参数'!$E$30,0))</x:f>
        <x:v>1968</x:v>
      </x:c>
    </x:row>
    <x:row r="699" ht="23" customHeight="1">
      <x:c r="A699" s="119" t="n">
        <x:v>693</x:v>
      </x:c>
      <x:c r="B699" s="119" t="n">
        <x:f>MOD(INT((A699-1)/5),7)+1</x:f>
        <x:v>6</x:v>
      </x:c>
      <x:c r="C699" s="62" t="str">
        <x:f>INDEX('章节与怪物'!$B$31:$B$37,B699)</x:f>
        <x:v>熔岩山脉</x:v>
      </x:c>
      <x:c r="D699" s="119" t="n">
        <x:f>MIN('难度参数'!$E$8,MAX('难度参数'!$E$7,A699))</x:f>
        <x:v>7</x:v>
      </x:c>
      <x:c r="E699" s="106" t="n">
        <x:v>1</x:v>
      </x:c>
      <x:c r="F699" s="106" t="n">
        <x:v>0</x:v>
      </x:c>
      <x:c r="G699" s="106" t="n">
        <x:v>1</x:v>
      </x:c>
      <x:c r="H699" s="119" t="n">
        <x:f>SUM(X699,AB699,AF699,AJ699,AN699,AR699,AV699)</x:f>
        <x:v>327</x:v>
      </x:c>
      <x:c r="I699" s="119" t="n">
        <x:f>SUM(Z699,AD699,AH699,AL699,AP699,AT699,AX699)</x:f>
        <x:v>6688047</x:v>
      </x:c>
      <x:c r="J699" s="119" t="n">
        <x:f>ROUND(INDEX(X699:AY699,1,(D699-1)*4+2)*'难度参数'!$E$28*'章节与怪物'!$E$17,0)</x:f>
        <x:v>135334</x:v>
      </x:c>
      <x:c r="K699" s="119" t="n">
        <x:f>SUM(AA699,AE699,AI699,AM699,AQ699,AU699,AY699)</x:f>
        <x:v>8698</x:v>
      </x:c>
      <x:c r="L699" s="62" t="n">
        <x:f>H699*(ROUNDUP('难度参数'!$E$24/('难度参数'!$E$26*'难度参数'!$E$27),0)*'难度参数'!$E$26)/60</x:f>
        <x:v>4.36</x:v>
      </x:c>
      <x:c r="M699" s="62" t="n">
        <x:f>L699+D699*('难度参数'!$E$49+'难度参数'!$E$50)/60</x:f>
        <x:v>5.526666666666667</x:v>
      </x:c>
      <x:c r="N699" s="119" t="n">
        <x:f>ROUNDDOWN(('经济参数'!$E$20+A699*'经济参数'!$E$21)*G699,0)</x:f>
        <x:v>14040</x:v>
      </x:c>
      <x:c r="O699" s="119" t="n">
        <x:f>ROUNDDOWN(MIN('经济参数'!$E$24,'经济参数'!$E$22+A699*'经济参数'!$E$23)*G699,0)</x:f>
        <x:v>0</x:v>
      </x:c>
      <x:c r="P699" s="119" t="n">
        <x:f>ROUNDDOWN((IF(A699&gt;='材料与任务'!$E$31,'材料与任务'!$E$32,IF(A699&gt;='材料与任务'!$E$25,'材料与任务'!$E$26,IF(A699&gt;='材料与任务'!$E$19,'材料与任务'!$E$20,IF(A699&gt;='材料与任务'!$E$13,'材料与任务'!$E$14,'材料与任务'!$E$8)))))*G699,0)</x:f>
        <x:v>6</x:v>
      </x:c>
      <x:c r="Q699" s="119" t="n">
        <x:f>ROUNDDOWN((IF(A699&gt;='材料与任务'!$E$31,'材料与任务'!$E$33,IF(A699&gt;='材料与任务'!$E$25,'材料与任务'!$E$27,IF(A699&gt;='材料与任务'!$E$19,'材料与任务'!$E$21,IF(A699&gt;='材料与任务'!$E$13,'材料与任务'!$E$15,'材料与任务'!$E$9)))))*G699,0)</x:f>
        <x:v>3</x:v>
      </x:c>
      <x:c r="R699" s="110" t="n">
        <x:f>'装备掉落'!$B$38</x:f>
        <x:v>0.6872058758851213</x:v>
      </x:c>
      <x:c r="S699" s="119" t="n">
        <x:f>MAX(IF(VLOOKUP(A699,'装备掉落'!$A$29:$H$34,2,TRUE)&gt;0,1,0),IF(VLOOKUP(A699,'装备掉落'!$A$29:$H$34,3,TRUE)&gt;0,2,0),IF(VLOOKUP(A699,'装备掉落'!$A$29:$H$34,4,TRUE)&gt;0,3,0),IF(VLOOKUP(A699,'装备掉落'!$A$29:$H$34,5,TRUE)&gt;0,4,0),IF(VLOOKUP(A699,'装备掉落'!$A$29:$H$34,6,TRUE)&gt;0,5,0),IF(VLOOKUP(A699,'装备掉落'!$A$29:$H$34,7,TRUE)&gt;0,6,0),IF(VLOOKUP(A699,'装备掉落'!$A$29:$H$34,8,TRUE)&gt;0,7,0))</x:f>
        <x:v>7</x:v>
      </x:c>
      <x:c r="T699" s="119" t="n">
        <x:f>MIN(7,S699+'经济参数'!$E$70)</x:f>
        <x:v>7</x:v>
      </x:c>
      <x:c r="U699" s="119" t="n">
        <x:f>MIN(7,S699+'经济参数'!$E$71)</x:f>
        <x:v>7</x:v>
      </x:c>
      <x:c r="V699" s="119" t="n">
        <x:f>IF(H699&gt;=('难度参数'!$E$52),1,0)+IF(H699&gt;=('难度参数'!$E$52+'难度参数'!$E$53),1,0)+IF(H699&gt;=('难度参数'!$E$52+'难度参数'!$E$53+'难度参数'!$E$54),1,0)+IF(H699&gt;=('难度参数'!$E$52+'难度参数'!$E$53+'难度参数'!$E$54+'难度参数'!$E$55),1,0)+IF(H699&gt;=('难度参数'!$E$52+'难度参数'!$E$53+'难度参数'!$E$54+'难度参数'!$E$55+'难度参数'!$E$56),1,0)+IF(H699&gt;=('难度参数'!$E$52+'难度参数'!$E$53+'难度参数'!$E$54+'难度参数'!$E$55+'难度参数'!$E$56+'难度参数'!$E$57),1,0)</x:f>
        <x:v>6</x:v>
      </x:c>
      <x:c r="W699" s="62" t="str">
        <x:f>IF(L699&gt;'难度参数'!$E$51,"仅出怪已超目标","还需实测")</x:f>
        <x:v>仅出怪已超目标</x:v>
      </x:c>
      <x:c r="X699" s="119" t="n">
        <x:f>IF(1&gt;D699,0,MAX(2,MIN('难度参数'!$E$12,ROUND(('难度参数'!$E$18*POWER(A699,'难度参数'!$E$19)/D699*(0.85+0.3*(1-1)/MAX(1,D699-1))),0)+F699)))</x:f>
        <x:v>40</x:v>
      </x:c>
      <x:c r="Y699" s="119" t="n">
        <x:f>IF(1&gt;D699,0,ROUND(('难度参数'!$E$13*POWER(A699,'难度参数'!$E$20)*MIN('难度参数'!$E$23,1+MAX(0,A699-'难度参数'!$E$21)*'难度参数'!$E$22))*(36+1*7)/(36+7*(D699+1)/2)*E699,0))</x:f>
        <x:v>10068</x:v>
      </x:c>
      <x:c r="Z699" s="119" t="n">
        <x:f>IF(X699=0,0,(X699-IF(1=D699,1,0))*ROUND(Y699*VLOOKUP(INDEX('章节与怪物'!$E$31:$K$37,B699,1),'章节与怪物'!$A$41:$F$44,2,FALSE),0)+IF(1=D699,ROUND(Y699*'难度参数'!$E$28*'章节与怪物'!$E$17,0),0))</x:f>
        <x:v>289960</x:v>
      </x:c>
      <x:c r="AA699" s="119" t="n">
        <x:f>IF(X699=0,0,(X699-IF(1=D699,1,0))*VLOOKUP(INDEX('章节与怪物'!$E$31:$K$37,B699,1),'章节与怪物'!$A$41:$F$44,4,FALSE)+IF(1=D699,'难度参数'!$E$30,0))</x:f>
        <x:v>800</x:v>
      </x:c>
      <x:c r="AB699" s="119" t="n">
        <x:f>IF(2&gt;D699,0,MAX(2,MIN('难度参数'!$E$12,ROUND(('难度参数'!$E$18*POWER(A699,'难度参数'!$E$19)/D699*(0.85+0.3*(2-1)/MAX(1,D699-1))),0)+F699)))</x:f>
        <x:v>42</x:v>
      </x:c>
      <x:c r="AC699" s="119" t="n">
        <x:f>IF(2&gt;D699,0,ROUND(('难度参数'!$E$13*POWER(A699,'难度参数'!$E$20)*MIN('难度参数'!$E$23,1+MAX(0,A699-'难度参数'!$E$21)*'难度参数'!$E$22))*(36+2*7)/(36+7*(D699+1)/2)*E699,0))</x:f>
        <x:v>11707</x:v>
      </x:c>
      <x:c r="AD699" s="119" t="n">
        <x:f>IF(AB699=0,0,(AB699-IF(2=D699,1,0))*ROUND(AC699*VLOOKUP(INDEX('章节与怪物'!$E$31:$K$37,B699,2),'章节与怪物'!$A$41:$F$44,2,FALSE),0)+IF(2=D699,ROUND(AC699*'难度参数'!$E$28*'章节与怪物'!$E$17,0),0))</x:f>
        <x:v>491694</x:v>
      </x:c>
      <x:c r="AE699" s="119" t="n">
        <x:f>IF(AB699=0,0,(AB699-IF(2=D699,1,0))*VLOOKUP(INDEX('章节与怪物'!$E$31:$K$37,B699,2),'章节与怪物'!$A$41:$F$44,4,FALSE)+IF(2=D699,'难度参数'!$E$30,0))</x:f>
        <x:v>756</x:v>
      </x:c>
      <x:c r="AF699" s="119" t="n">
        <x:f>IF(3&gt;D699,0,MAX(2,MIN('难度参数'!$E$12,ROUND(('难度参数'!$E$18*POWER(A699,'难度参数'!$E$19)/D699*(0.85+0.3*(3-1)/MAX(1,D699-1))),0)+F699)))</x:f>
        <x:v>44</x:v>
      </x:c>
      <x:c r="AG699" s="119" t="n">
        <x:f>IF(3&gt;D699,0,ROUND(('难度参数'!$E$13*POWER(A699,'难度参数'!$E$20)*MIN('难度参数'!$E$23,1+MAX(0,A699-'难度参数'!$E$21)*'难度参数'!$E$22))*(36+3*7)/(36+7*(D699+1)/2)*E699,0))</x:f>
        <x:v>13346</x:v>
      </x:c>
      <x:c r="AH699" s="119" t="n">
        <x:f>IF(AF699=0,0,(AF699-IF(3=D699,1,0))*ROUND(AG699*VLOOKUP(INDEX('章节与怪物'!$E$31:$K$37,B699,3),'章节与怪物'!$A$41:$F$44,2,FALSE),0)+IF(3=D699,ROUND(AG699*'难度参数'!$E$28*'章节与怪物'!$E$17,0),0))</x:f>
        <x:v>998272</x:v>
      </x:c>
      <x:c r="AI699" s="119" t="n">
        <x:f>IF(AF699=0,0,(AF699-IF(3=D699,1,0))*VLOOKUP(INDEX('章节与怪物'!$E$31:$K$37,B699,3),'章节与怪物'!$A$41:$F$44,4,FALSE)+IF(3=D699,'难度参数'!$E$30,0))</x:f>
        <x:v>1232</x:v>
      </x:c>
      <x:c r="AJ699" s="119" t="n">
        <x:f>IF(4&gt;D699,0,MAX(2,MIN('难度参数'!$E$12,ROUND(('难度参数'!$E$18*POWER(A699,'难度参数'!$E$19)/D699*(0.85+0.3*(4-1)/MAX(1,D699-1))),0)+F699)))</x:f>
        <x:v>47</x:v>
      </x:c>
      <x:c r="AK699" s="119" t="n">
        <x:f>IF(4&gt;D699,0,ROUND(('难度参数'!$E$13*POWER(A699,'难度参数'!$E$20)*MIN('难度参数'!$E$23,1+MAX(0,A699-'难度参数'!$E$21)*'难度参数'!$E$22))*(36+4*7)/(36+7*(D699+1)/2)*E699,0))</x:f>
        <x:v>14985</x:v>
      </x:c>
      <x:c r="AL699" s="119" t="n">
        <x:f>IF(AJ699=0,0,(AJ699-IF(4=D699,1,0))*ROUND(AK699*VLOOKUP(INDEX('章节与怪物'!$E$31:$K$37,B699,4),'章节与怪物'!$A$41:$F$44,2,FALSE),0)+IF(4=D699,ROUND(AK699*'难度参数'!$E$28*'章节与怪物'!$E$17,0),0))</x:f>
        <x:v>950810</x:v>
      </x:c>
      <x:c r="AM699" s="119" t="n">
        <x:f>IF(AJ699=0,0,(AJ699-IF(4=D699,1,0))*VLOOKUP(INDEX('章节与怪物'!$E$31:$K$37,B699,4),'章节与怪物'!$A$41:$F$44,4,FALSE)+IF(4=D699,'难度参数'!$E$30,0))</x:f>
        <x:v>1598</x:v>
      </x:c>
      <x:c r="AN699" s="119" t="n">
        <x:f>IF(5&gt;D699,0,MAX(2,MIN('难度参数'!$E$12,ROUND(('难度参数'!$E$18*POWER(A699,'难度参数'!$E$19)/D699*(0.85+0.3*(5-1)/MAX(1,D699-1))),0)+F699)))</x:f>
        <x:v>49</x:v>
      </x:c>
      <x:c r="AO699" s="119" t="n">
        <x:f>IF(5&gt;D699,0,ROUND(('难度参数'!$E$13*POWER(A699,'难度参数'!$E$20)*MIN('难度参数'!$E$23,1+MAX(0,A699-'难度参数'!$E$21)*'难度参数'!$E$22))*(36+5*7)/(36+7*(D699+1)/2)*E699,0))</x:f>
        <x:v>16624</x:v>
      </x:c>
      <x:c r="AP699" s="119" t="n">
        <x:f>IF(AN699=0,0,(AN699-IF(5=D699,1,0))*ROUND(AO699*VLOOKUP(INDEX('章节与怪物'!$E$31:$K$37,B699,5),'章节与怪物'!$A$41:$F$44,2,FALSE),0)+IF(5=D699,ROUND(AO699*'难度参数'!$E$28*'章节与怪物'!$E$17,0),0))</x:f>
        <x:v>814576</x:v>
      </x:c>
      <x:c r="AQ699" s="119" t="n">
        <x:f>IF(AN699=0,0,(AN699-IF(5=D699,1,0))*VLOOKUP(INDEX('章节与怪物'!$E$31:$K$37,B699,5),'章节与怪物'!$A$41:$F$44,4,FALSE)+IF(5=D699,'难度参数'!$E$30,0))</x:f>
        <x:v>882</x:v>
      </x:c>
      <x:c r="AR699" s="119" t="n">
        <x:f>IF(6&gt;D699,0,MAX(2,MIN('难度参数'!$E$12,ROUND(('难度参数'!$E$18*POWER(A699,'难度参数'!$E$19)/D699*(0.85+0.3*(6-1)/MAX(1,D699-1))),0)+F699)))</x:f>
        <x:v>51</x:v>
      </x:c>
      <x:c r="AS699" s="119" t="n">
        <x:f>IF(6&gt;D699,0,ROUND(('难度参数'!$E$13*POWER(A699,'难度参数'!$E$20)*MIN('难度参数'!$E$23,1+MAX(0,A699-'难度参数'!$E$21)*'难度参数'!$E$22))*(36+6*7)/(36+7*(D699+1)/2)*E699,0))</x:f>
        <x:v>18263</x:v>
      </x:c>
      <x:c r="AT699" s="119" t="n">
        <x:f>IF(AR699=0,0,(AR699-IF(6=D699,1,0))*ROUND(AS699*VLOOKUP(INDEX('章节与怪物'!$E$31:$K$37,B699,6),'章节与怪物'!$A$41:$F$44,2,FALSE),0)+IF(6=D699,ROUND(AS699*'难度参数'!$E$28*'章节与怪物'!$E$17,0),0))</x:f>
        <x:v>1583397</x:v>
      </x:c>
      <x:c r="AU699" s="119" t="n">
        <x:f>IF(AR699=0,0,(AR699-IF(6=D699,1,0))*VLOOKUP(INDEX('章节与怪物'!$E$31:$K$37,B699,6),'章节与怪物'!$A$41:$F$44,4,FALSE)+IF(6=D699,'难度参数'!$E$30,0))</x:f>
        <x:v>1428</x:v>
      </x:c>
      <x:c r="AV699" s="119" t="n">
        <x:f>IF(7&gt;D699,0,MAX(2,MIN('难度参数'!$E$12,ROUND(('难度参数'!$E$18*POWER(A699,'难度参数'!$E$19)/D699*(0.85+0.3*(7-1)/MAX(1,D699-1))),0)+F699)))</x:f>
        <x:v>54</x:v>
      </x:c>
      <x:c r="AW699" s="119" t="n">
        <x:f>IF(7&gt;D699,0,ROUND(('难度参数'!$E$13*POWER(A699,'难度参数'!$E$20)*MIN('难度参数'!$E$23,1+MAX(0,A699-'难度参数'!$E$21)*'难度参数'!$E$22))*(36+7*7)/(36+7*(D699+1)/2)*E699,0))</x:f>
        <x:v>19902</x:v>
      </x:c>
      <x:c r="AX699" s="119" t="n">
        <x:f>IF(AV699=0,0,(AV699-IF(7=D699,1,0))*ROUND(AW699*VLOOKUP(INDEX('章节与怪物'!$E$31:$K$37,B699,7),'章节与怪物'!$A$41:$F$44,2,FALSE),0)+IF(7=D699,ROUND(AW699*'难度参数'!$E$28*'章节与怪物'!$E$17,0),0))</x:f>
        <x:v>1559338</x:v>
      </x:c>
      <x:c r="AY699" s="119" t="n">
        <x:f>IF(AV699=0,0,(AV699-IF(7=D699,1,0))*VLOOKUP(INDEX('章节与怪物'!$E$31:$K$37,B699,7),'章节与怪物'!$A$41:$F$44,4,FALSE)+IF(7=D699,'难度参数'!$E$30,0))</x:f>
        <x:v>2002</x:v>
      </x:c>
    </x:row>
    <x:row r="700" ht="23" customHeight="1">
      <x:c r="A700" s="119" t="n">
        <x:v>694</x:v>
      </x:c>
      <x:c r="B700" s="119" t="n">
        <x:f>MOD(INT((A700-1)/5),7)+1</x:f>
        <x:v>6</x:v>
      </x:c>
      <x:c r="C700" s="62" t="str">
        <x:f>INDEX('章节与怪物'!$B$31:$B$37,B700)</x:f>
        <x:v>熔岩山脉</x:v>
      </x:c>
      <x:c r="D700" s="119" t="n">
        <x:f>MIN('难度参数'!$E$8,MAX('难度参数'!$E$7,A700))</x:f>
        <x:v>7</x:v>
      </x:c>
      <x:c r="E700" s="106" t="n">
        <x:v>1</x:v>
      </x:c>
      <x:c r="F700" s="106" t="n">
        <x:v>0</x:v>
      </x:c>
      <x:c r="G700" s="106" t="n">
        <x:v>1</x:v>
      </x:c>
      <x:c r="H700" s="119" t="n">
        <x:f>SUM(X700,AB700,AF700,AJ700,AN700,AR700,AV700)</x:f>
        <x:v>327</x:v>
      </x:c>
      <x:c r="I700" s="119" t="n">
        <x:f>SUM(Z700,AD700,AH700,AL700,AP700,AT700,AX700)</x:f>
        <x:v>6695005</x:v>
      </x:c>
      <x:c r="J700" s="119" t="n">
        <x:f>ROUND(INDEX(X700:AY700,1,(D700-1)*4+2)*'难度参数'!$E$28*'章节与怪物'!$E$17,0)</x:f>
        <x:v>135476</x:v>
      </x:c>
      <x:c r="K700" s="119" t="n">
        <x:f>SUM(AA700,AE700,AI700,AM700,AQ700,AU700,AY700)</x:f>
        <x:v>8698</x:v>
      </x:c>
      <x:c r="L700" s="62" t="n">
        <x:f>H700*(ROUNDUP('难度参数'!$E$24/('难度参数'!$E$26*'难度参数'!$E$27),0)*'难度参数'!$E$26)/60</x:f>
        <x:v>4.36</x:v>
      </x:c>
      <x:c r="M700" s="62" t="n">
        <x:f>L700+D700*('难度参数'!$E$49+'难度参数'!$E$50)/60</x:f>
        <x:v>5.526666666666667</x:v>
      </x:c>
      <x:c r="N700" s="119" t="n">
        <x:f>ROUNDDOWN(('经济参数'!$E$20+A700*'经济参数'!$E$21)*G700,0)</x:f>
        <x:v>14060</x:v>
      </x:c>
      <x:c r="O700" s="119" t="n">
        <x:f>ROUNDDOWN(MIN('经济参数'!$E$24,'经济参数'!$E$22+A700*'经济参数'!$E$23)*G700,0)</x:f>
        <x:v>0</x:v>
      </x:c>
      <x:c r="P700" s="119" t="n">
        <x:f>ROUNDDOWN((IF(A700&gt;='材料与任务'!$E$31,'材料与任务'!$E$32,IF(A700&gt;='材料与任务'!$E$25,'材料与任务'!$E$26,IF(A700&gt;='材料与任务'!$E$19,'材料与任务'!$E$20,IF(A700&gt;='材料与任务'!$E$13,'材料与任务'!$E$14,'材料与任务'!$E$8)))))*G700,0)</x:f>
        <x:v>6</x:v>
      </x:c>
      <x:c r="Q700" s="119" t="n">
        <x:f>ROUNDDOWN((IF(A700&gt;='材料与任务'!$E$31,'材料与任务'!$E$33,IF(A700&gt;='材料与任务'!$E$25,'材料与任务'!$E$27,IF(A700&gt;='材料与任务'!$E$19,'材料与任务'!$E$21,IF(A700&gt;='材料与任务'!$E$13,'材料与任务'!$E$15,'材料与任务'!$E$9)))))*G700,0)</x:f>
        <x:v>3</x:v>
      </x:c>
      <x:c r="R700" s="110" t="n">
        <x:f>'装备掉落'!$B$38</x:f>
        <x:v>0.6872058758851213</x:v>
      </x:c>
      <x:c r="S700" s="119" t="n">
        <x:f>MAX(IF(VLOOKUP(A700,'装备掉落'!$A$29:$H$34,2,TRUE)&gt;0,1,0),IF(VLOOKUP(A700,'装备掉落'!$A$29:$H$34,3,TRUE)&gt;0,2,0),IF(VLOOKUP(A700,'装备掉落'!$A$29:$H$34,4,TRUE)&gt;0,3,0),IF(VLOOKUP(A700,'装备掉落'!$A$29:$H$34,5,TRUE)&gt;0,4,0),IF(VLOOKUP(A700,'装备掉落'!$A$29:$H$34,6,TRUE)&gt;0,5,0),IF(VLOOKUP(A700,'装备掉落'!$A$29:$H$34,7,TRUE)&gt;0,6,0),IF(VLOOKUP(A700,'装备掉落'!$A$29:$H$34,8,TRUE)&gt;0,7,0))</x:f>
        <x:v>7</x:v>
      </x:c>
      <x:c r="T700" s="119" t="n">
        <x:f>MIN(7,S700+'经济参数'!$E$70)</x:f>
        <x:v>7</x:v>
      </x:c>
      <x:c r="U700" s="119" t="n">
        <x:f>MIN(7,S700+'经济参数'!$E$71)</x:f>
        <x:v>7</x:v>
      </x:c>
      <x:c r="V700" s="119" t="n">
        <x:f>IF(H700&gt;=('难度参数'!$E$52),1,0)+IF(H700&gt;=('难度参数'!$E$52+'难度参数'!$E$53),1,0)+IF(H700&gt;=('难度参数'!$E$52+'难度参数'!$E$53+'难度参数'!$E$54),1,0)+IF(H700&gt;=('难度参数'!$E$52+'难度参数'!$E$53+'难度参数'!$E$54+'难度参数'!$E$55),1,0)+IF(H700&gt;=('难度参数'!$E$52+'难度参数'!$E$53+'难度参数'!$E$54+'难度参数'!$E$55+'难度参数'!$E$56),1,0)+IF(H700&gt;=('难度参数'!$E$52+'难度参数'!$E$53+'难度参数'!$E$54+'难度参数'!$E$55+'难度参数'!$E$56+'难度参数'!$E$57),1,0)</x:f>
        <x:v>6</x:v>
      </x:c>
      <x:c r="W700" s="62" t="str">
        <x:f>IF(L700&gt;'难度参数'!$E$51,"仅出怪已超目标","还需实测")</x:f>
        <x:v>仅出怪已超目标</x:v>
      </x:c>
      <x:c r="X700" s="119" t="n">
        <x:f>IF(1&gt;D700,0,MAX(2,MIN('难度参数'!$E$12,ROUND(('难度参数'!$E$18*POWER(A700,'难度参数'!$E$19)/D700*(0.85+0.3*(1-1)/MAX(1,D700-1))),0)+F700)))</x:f>
        <x:v>40</x:v>
      </x:c>
      <x:c r="Y700" s="119" t="n">
        <x:f>IF(1&gt;D700,0,ROUND(('难度参数'!$E$13*POWER(A700,'难度参数'!$E$20)*MIN('难度参数'!$E$23,1+MAX(0,A700-'难度参数'!$E$21)*'难度参数'!$E$22))*(36+1*7)/(36+7*(D700+1)/2)*E700,0))</x:f>
        <x:v>10079</x:v>
      </x:c>
      <x:c r="Z700" s="119" t="n">
        <x:f>IF(X700=0,0,(X700-IF(1=D700,1,0))*ROUND(Y700*VLOOKUP(INDEX('章节与怪物'!$E$31:$K$37,B700,1),'章节与怪物'!$A$41:$F$44,2,FALSE),0)+IF(1=D700,ROUND(Y700*'难度参数'!$E$28*'章节与怪物'!$E$17,0),0))</x:f>
        <x:v>290280</x:v>
      </x:c>
      <x:c r="AA700" s="119" t="n">
        <x:f>IF(X700=0,0,(X700-IF(1=D700,1,0))*VLOOKUP(INDEX('章节与怪物'!$E$31:$K$37,B700,1),'章节与怪物'!$A$41:$F$44,4,FALSE)+IF(1=D700,'难度参数'!$E$30,0))</x:f>
        <x:v>800</x:v>
      </x:c>
      <x:c r="AB700" s="119" t="n">
        <x:f>IF(2&gt;D700,0,MAX(2,MIN('难度参数'!$E$12,ROUND(('难度参数'!$E$18*POWER(A700,'难度参数'!$E$19)/D700*(0.85+0.3*(2-1)/MAX(1,D700-1))),0)+F700)))</x:f>
        <x:v>42</x:v>
      </x:c>
      <x:c r="AC700" s="119" t="n">
        <x:f>IF(2&gt;D700,0,ROUND(('难度参数'!$E$13*POWER(A700,'难度参数'!$E$20)*MIN('难度参数'!$E$23,1+MAX(0,A700-'难度参数'!$E$21)*'难度参数'!$E$22))*(36+2*7)/(36+7*(D700+1)/2)*E700,0))</x:f>
        <x:v>11719</x:v>
      </x:c>
      <x:c r="AD700" s="119" t="n">
        <x:f>IF(AB700=0,0,(AB700-IF(2=D700,1,0))*ROUND(AC700*VLOOKUP(INDEX('章节与怪物'!$E$31:$K$37,B700,2),'章节与怪物'!$A$41:$F$44,2,FALSE),0)+IF(2=D700,ROUND(AC700*'难度参数'!$E$28*'章节与怪物'!$E$17,0),0))</x:f>
        <x:v>492198</x:v>
      </x:c>
      <x:c r="AE700" s="119" t="n">
        <x:f>IF(AB700=0,0,(AB700-IF(2=D700,1,0))*VLOOKUP(INDEX('章节与怪物'!$E$31:$K$37,B700,2),'章节与怪物'!$A$41:$F$44,4,FALSE)+IF(2=D700,'难度参数'!$E$30,0))</x:f>
        <x:v>756</x:v>
      </x:c>
      <x:c r="AF700" s="119" t="n">
        <x:f>IF(3&gt;D700,0,MAX(2,MIN('难度参数'!$E$12,ROUND(('难度参数'!$E$18*POWER(A700,'难度参数'!$E$19)/D700*(0.85+0.3*(3-1)/MAX(1,D700-1))),0)+F700)))</x:f>
        <x:v>44</x:v>
      </x:c>
      <x:c r="AG700" s="119" t="n">
        <x:f>IF(3&gt;D700,0,ROUND(('难度参数'!$E$13*POWER(A700,'难度参数'!$E$20)*MIN('难度参数'!$E$23,1+MAX(0,A700-'难度参数'!$E$21)*'难度参数'!$E$22))*(36+3*7)/(36+7*(D700+1)/2)*E700,0))</x:f>
        <x:v>13360</x:v>
      </x:c>
      <x:c r="AH700" s="119" t="n">
        <x:f>IF(AF700=0,0,(AF700-IF(3=D700,1,0))*ROUND(AG700*VLOOKUP(INDEX('章节与怪物'!$E$31:$K$37,B700,3),'章节与怪物'!$A$41:$F$44,2,FALSE),0)+IF(3=D700,ROUND(AG700*'难度参数'!$E$28*'章节与怪物'!$E$17,0),0))</x:f>
        <x:v>999328</x:v>
      </x:c>
      <x:c r="AI700" s="119" t="n">
        <x:f>IF(AF700=0,0,(AF700-IF(3=D700,1,0))*VLOOKUP(INDEX('章节与怪物'!$E$31:$K$37,B700,3),'章节与怪物'!$A$41:$F$44,4,FALSE)+IF(3=D700,'难度参数'!$E$30,0))</x:f>
        <x:v>1232</x:v>
      </x:c>
      <x:c r="AJ700" s="119" t="n">
        <x:f>IF(4&gt;D700,0,MAX(2,MIN('难度参数'!$E$12,ROUND(('难度参数'!$E$18*POWER(A700,'难度参数'!$E$19)/D700*(0.85+0.3*(4-1)/MAX(1,D700-1))),0)+F700)))</x:f>
        <x:v>47</x:v>
      </x:c>
      <x:c r="AK700" s="119" t="n">
        <x:f>IF(4&gt;D700,0,ROUND(('难度参数'!$E$13*POWER(A700,'难度参数'!$E$20)*MIN('难度参数'!$E$23,1+MAX(0,A700-'难度参数'!$E$21)*'难度参数'!$E$22))*(36+4*7)/(36+7*(D700+1)/2)*E700,0))</x:f>
        <x:v>15001</x:v>
      </x:c>
      <x:c r="AL700" s="119" t="n">
        <x:f>IF(AJ700=0,0,(AJ700-IF(4=D700,1,0))*ROUND(AK700*VLOOKUP(INDEX('章节与怪物'!$E$31:$K$37,B700,4),'章节与怪物'!$A$41:$F$44,2,FALSE),0)+IF(4=D700,ROUND(AK700*'难度参数'!$E$28*'章节与怪物'!$E$17,0),0))</x:f>
        <x:v>951797</x:v>
      </x:c>
      <x:c r="AM700" s="119" t="n">
        <x:f>IF(AJ700=0,0,(AJ700-IF(4=D700,1,0))*VLOOKUP(INDEX('章节与怪物'!$E$31:$K$37,B700,4),'章节与怪物'!$A$41:$F$44,4,FALSE)+IF(4=D700,'难度参数'!$E$30,0))</x:f>
        <x:v>1598</x:v>
      </x:c>
      <x:c r="AN700" s="119" t="n">
        <x:f>IF(5&gt;D700,0,MAX(2,MIN('难度参数'!$E$12,ROUND(('难度参数'!$E$18*POWER(A700,'难度参数'!$E$19)/D700*(0.85+0.3*(5-1)/MAX(1,D700-1))),0)+F700)))</x:f>
        <x:v>49</x:v>
      </x:c>
      <x:c r="AO700" s="119" t="n">
        <x:f>IF(5&gt;D700,0,ROUND(('难度参数'!$E$13*POWER(A700,'难度参数'!$E$20)*MIN('难度参数'!$E$23,1+MAX(0,A700-'难度参数'!$E$21)*'难度参数'!$E$22))*(36+5*7)/(36+7*(D700+1)/2)*E700,0))</x:f>
        <x:v>16641</x:v>
      </x:c>
      <x:c r="AP700" s="119" t="n">
        <x:f>IF(AN700=0,0,(AN700-IF(5=D700,1,0))*ROUND(AO700*VLOOKUP(INDEX('章节与怪物'!$E$31:$K$37,B700,5),'章节与怪物'!$A$41:$F$44,2,FALSE),0)+IF(5=D700,ROUND(AO700*'难度参数'!$E$28*'章节与怪物'!$E$17,0),0))</x:f>
        <x:v>815409</x:v>
      </x:c>
      <x:c r="AQ700" s="119" t="n">
        <x:f>IF(AN700=0,0,(AN700-IF(5=D700,1,0))*VLOOKUP(INDEX('章节与怪物'!$E$31:$K$37,B700,5),'章节与怪物'!$A$41:$F$44,4,FALSE)+IF(5=D700,'难度参数'!$E$30,0))</x:f>
        <x:v>882</x:v>
      </x:c>
      <x:c r="AR700" s="119" t="n">
        <x:f>IF(6&gt;D700,0,MAX(2,MIN('难度参数'!$E$12,ROUND(('难度参数'!$E$18*POWER(A700,'难度参数'!$E$19)/D700*(0.85+0.3*(6-1)/MAX(1,D700-1))),0)+F700)))</x:f>
        <x:v>51</x:v>
      </x:c>
      <x:c r="AS700" s="119" t="n">
        <x:f>IF(6&gt;D700,0,ROUND(('难度参数'!$E$13*POWER(A700,'难度参数'!$E$20)*MIN('难度参数'!$E$23,1+MAX(0,A700-'难度参数'!$E$21)*'难度参数'!$E$22))*(36+6*7)/(36+7*(D700+1)/2)*E700,0))</x:f>
        <x:v>18282</x:v>
      </x:c>
      <x:c r="AT700" s="119" t="n">
        <x:f>IF(AR700=0,0,(AR700-IF(6=D700,1,0))*ROUND(AS700*VLOOKUP(INDEX('章节与怪物'!$E$31:$K$37,B700,6),'章节与怪物'!$A$41:$F$44,2,FALSE),0)+IF(6=D700,ROUND(AS700*'难度参数'!$E$28*'章节与怪物'!$E$17,0),0))</x:f>
        <x:v>1585029</x:v>
      </x:c>
      <x:c r="AU700" s="119" t="n">
        <x:f>IF(AR700=0,0,(AR700-IF(6=D700,1,0))*VLOOKUP(INDEX('章节与怪物'!$E$31:$K$37,B700,6),'章节与怪物'!$A$41:$F$44,4,FALSE)+IF(6=D700,'难度参数'!$E$30,0))</x:f>
        <x:v>1428</x:v>
      </x:c>
      <x:c r="AV700" s="119" t="n">
        <x:f>IF(7&gt;D700,0,MAX(2,MIN('难度参数'!$E$12,ROUND(('难度参数'!$E$18*POWER(A700,'难度参数'!$E$19)/D700*(0.85+0.3*(7-1)/MAX(1,D700-1))),0)+F700)))</x:f>
        <x:v>54</x:v>
      </x:c>
      <x:c r="AW700" s="119" t="n">
        <x:f>IF(7&gt;D700,0,ROUND(('难度参数'!$E$13*POWER(A700,'难度参数'!$E$20)*MIN('难度参数'!$E$23,1+MAX(0,A700-'难度参数'!$E$21)*'难度参数'!$E$22))*(36+7*7)/(36+7*(D700+1)/2)*E700,0))</x:f>
        <x:v>19923</x:v>
      </x:c>
      <x:c r="AX700" s="119" t="n">
        <x:f>IF(AV700=0,0,(AV700-IF(7=D700,1,0))*ROUND(AW700*VLOOKUP(INDEX('章节与怪物'!$E$31:$K$37,B700,7),'章节与怪物'!$A$41:$F$44,2,FALSE),0)+IF(7=D700,ROUND(AW700*'难度参数'!$E$28*'章节与怪物'!$E$17,0),0))</x:f>
        <x:v>1560964</x:v>
      </x:c>
      <x:c r="AY700" s="119" t="n">
        <x:f>IF(AV700=0,0,(AV700-IF(7=D700,1,0))*VLOOKUP(INDEX('章节与怪物'!$E$31:$K$37,B700,7),'章节与怪物'!$A$41:$F$44,4,FALSE)+IF(7=D700,'难度参数'!$E$30,0))</x:f>
        <x:v>2002</x:v>
      </x:c>
    </x:row>
    <x:row r="701" ht="23" customHeight="1">
      <x:c r="A701" s="119" t="n">
        <x:v>695</x:v>
      </x:c>
      <x:c r="B701" s="119" t="n">
        <x:f>MOD(INT((A701-1)/5),7)+1</x:f>
        <x:v>6</x:v>
      </x:c>
      <x:c r="C701" s="62" t="str">
        <x:f>INDEX('章节与怪物'!$B$31:$B$37,B701)</x:f>
        <x:v>熔岩山脉</x:v>
      </x:c>
      <x:c r="D701" s="119" t="n">
        <x:f>MIN('难度参数'!$E$8,MAX('难度参数'!$E$7,A701))</x:f>
        <x:v>7</x:v>
      </x:c>
      <x:c r="E701" s="106" t="n">
        <x:v>1</x:v>
      </x:c>
      <x:c r="F701" s="106" t="n">
        <x:v>0</x:v>
      </x:c>
      <x:c r="G701" s="106" t="n">
        <x:v>1</x:v>
      </x:c>
      <x:c r="H701" s="119" t="n">
        <x:f>SUM(X701,AB701,AF701,AJ701,AN701,AR701,AV701)</x:f>
        <x:v>327</x:v>
      </x:c>
      <x:c r="I701" s="119" t="n">
        <x:f>SUM(Z701,AD701,AH701,AL701,AP701,AT701,AX701)</x:f>
        <x:v>6702024</x:v>
      </x:c>
      <x:c r="J701" s="119" t="n">
        <x:f>ROUND(INDEX(X701:AY701,1,(D701-1)*4+2)*'难度参数'!$E$28*'章节与怪物'!$E$17,0)</x:f>
        <x:v>135619</x:v>
      </x:c>
      <x:c r="K701" s="119" t="n">
        <x:f>SUM(AA701,AE701,AI701,AM701,AQ701,AU701,AY701)</x:f>
        <x:v>8698</x:v>
      </x:c>
      <x:c r="L701" s="62" t="n">
        <x:f>H701*(ROUNDUP('难度参数'!$E$24/('难度参数'!$E$26*'难度参数'!$E$27),0)*'难度参数'!$E$26)/60</x:f>
        <x:v>4.36</x:v>
      </x:c>
      <x:c r="M701" s="62" t="n">
        <x:f>L701+D701*('难度参数'!$E$49+'难度参数'!$E$50)/60</x:f>
        <x:v>5.526666666666667</x:v>
      </x:c>
      <x:c r="N701" s="119" t="n">
        <x:f>ROUNDDOWN(('经济参数'!$E$20+A701*'经济参数'!$E$21)*G701,0)</x:f>
        <x:v>14080</x:v>
      </x:c>
      <x:c r="O701" s="119" t="n">
        <x:f>ROUNDDOWN(MIN('经济参数'!$E$24,'经济参数'!$E$22+A701*'经济参数'!$E$23)*G701,0)</x:f>
        <x:v>0</x:v>
      </x:c>
      <x:c r="P701" s="119" t="n">
        <x:f>ROUNDDOWN((IF(A701&gt;='材料与任务'!$E$31,'材料与任务'!$E$32,IF(A701&gt;='材料与任务'!$E$25,'材料与任务'!$E$26,IF(A701&gt;='材料与任务'!$E$19,'材料与任务'!$E$20,IF(A701&gt;='材料与任务'!$E$13,'材料与任务'!$E$14,'材料与任务'!$E$8)))))*G701,0)</x:f>
        <x:v>6</x:v>
      </x:c>
      <x:c r="Q701" s="119" t="n">
        <x:f>ROUNDDOWN((IF(A701&gt;='材料与任务'!$E$31,'材料与任务'!$E$33,IF(A701&gt;='材料与任务'!$E$25,'材料与任务'!$E$27,IF(A701&gt;='材料与任务'!$E$19,'材料与任务'!$E$21,IF(A701&gt;='材料与任务'!$E$13,'材料与任务'!$E$15,'材料与任务'!$E$9)))))*G701,0)</x:f>
        <x:v>3</x:v>
      </x:c>
      <x:c r="R701" s="110" t="n">
        <x:f>'装备掉落'!$B$38</x:f>
        <x:v>0.6872058758851213</x:v>
      </x:c>
      <x:c r="S701" s="119" t="n">
        <x:f>MAX(IF(VLOOKUP(A701,'装备掉落'!$A$29:$H$34,2,TRUE)&gt;0,1,0),IF(VLOOKUP(A701,'装备掉落'!$A$29:$H$34,3,TRUE)&gt;0,2,0),IF(VLOOKUP(A701,'装备掉落'!$A$29:$H$34,4,TRUE)&gt;0,3,0),IF(VLOOKUP(A701,'装备掉落'!$A$29:$H$34,5,TRUE)&gt;0,4,0),IF(VLOOKUP(A701,'装备掉落'!$A$29:$H$34,6,TRUE)&gt;0,5,0),IF(VLOOKUP(A701,'装备掉落'!$A$29:$H$34,7,TRUE)&gt;0,6,0),IF(VLOOKUP(A701,'装备掉落'!$A$29:$H$34,8,TRUE)&gt;0,7,0))</x:f>
        <x:v>7</x:v>
      </x:c>
      <x:c r="T701" s="119" t="n">
        <x:f>MIN(7,S701+'经济参数'!$E$70)</x:f>
        <x:v>7</x:v>
      </x:c>
      <x:c r="U701" s="119" t="n">
        <x:f>MIN(7,S701+'经济参数'!$E$71)</x:f>
        <x:v>7</x:v>
      </x:c>
      <x:c r="V701" s="119" t="n">
        <x:f>IF(H701&gt;=('难度参数'!$E$52),1,0)+IF(H701&gt;=('难度参数'!$E$52+'难度参数'!$E$53),1,0)+IF(H701&gt;=('难度参数'!$E$52+'难度参数'!$E$53+'难度参数'!$E$54),1,0)+IF(H701&gt;=('难度参数'!$E$52+'难度参数'!$E$53+'难度参数'!$E$54+'难度参数'!$E$55),1,0)+IF(H701&gt;=('难度参数'!$E$52+'难度参数'!$E$53+'难度参数'!$E$54+'难度参数'!$E$55+'难度参数'!$E$56),1,0)+IF(H701&gt;=('难度参数'!$E$52+'难度参数'!$E$53+'难度参数'!$E$54+'难度参数'!$E$55+'难度参数'!$E$56+'难度参数'!$E$57),1,0)</x:f>
        <x:v>6</x:v>
      </x:c>
      <x:c r="W701" s="62" t="str">
        <x:f>IF(L701&gt;'难度参数'!$E$51,"仅出怪已超目标","还需实测")</x:f>
        <x:v>仅出怪已超目标</x:v>
      </x:c>
      <x:c r="X701" s="119" t="n">
        <x:f>IF(1&gt;D701,0,MAX(2,MIN('难度参数'!$E$12,ROUND(('难度参数'!$E$18*POWER(A701,'难度参数'!$E$19)/D701*(0.85+0.3*(1-1)/MAX(1,D701-1))),0)+F701)))</x:f>
        <x:v>40</x:v>
      </x:c>
      <x:c r="Y701" s="119" t="n">
        <x:f>IF(1&gt;D701,0,ROUND(('难度参数'!$E$13*POWER(A701,'难度参数'!$E$20)*MIN('难度参数'!$E$23,1+MAX(0,A701-'难度参数'!$E$21)*'难度参数'!$E$22))*(36+1*7)/(36+7*(D701+1)/2)*E701,0))</x:f>
        <x:v>10089</x:v>
      </x:c>
      <x:c r="Z701" s="119" t="n">
        <x:f>IF(X701=0,0,(X701-IF(1=D701,1,0))*ROUND(Y701*VLOOKUP(INDEX('章节与怪物'!$E$31:$K$37,B701,1),'章节与怪物'!$A$41:$F$44,2,FALSE),0)+IF(1=D701,ROUND(Y701*'难度参数'!$E$28*'章节与怪物'!$E$17,0),0))</x:f>
        <x:v>290560</x:v>
      </x:c>
      <x:c r="AA701" s="119" t="n">
        <x:f>IF(X701=0,0,(X701-IF(1=D701,1,0))*VLOOKUP(INDEX('章节与怪物'!$E$31:$K$37,B701,1),'章节与怪物'!$A$41:$F$44,4,FALSE)+IF(1=D701,'难度参数'!$E$30,0))</x:f>
        <x:v>800</x:v>
      </x:c>
      <x:c r="AB701" s="119" t="n">
        <x:f>IF(2&gt;D701,0,MAX(2,MIN('难度参数'!$E$12,ROUND(('难度参数'!$E$18*POWER(A701,'难度参数'!$E$19)/D701*(0.85+0.3*(2-1)/MAX(1,D701-1))),0)+F701)))</x:f>
        <x:v>42</x:v>
      </x:c>
      <x:c r="AC701" s="119" t="n">
        <x:f>IF(2&gt;D701,0,ROUND(('难度参数'!$E$13*POWER(A701,'难度参数'!$E$20)*MIN('难度参数'!$E$23,1+MAX(0,A701-'难度参数'!$E$21)*'难度参数'!$E$22))*(36+2*7)/(36+7*(D701+1)/2)*E701,0))</x:f>
        <x:v>11731</x:v>
      </x:c>
      <x:c r="AD701" s="119" t="n">
        <x:f>IF(AB701=0,0,(AB701-IF(2=D701,1,0))*ROUND(AC701*VLOOKUP(INDEX('章节与怪物'!$E$31:$K$37,B701,2),'章节与怪物'!$A$41:$F$44,2,FALSE),0)+IF(2=D701,ROUND(AC701*'难度参数'!$E$28*'章节与怪物'!$E$17,0),0))</x:f>
        <x:v>492702</x:v>
      </x:c>
      <x:c r="AE701" s="119" t="n">
        <x:f>IF(AB701=0,0,(AB701-IF(2=D701,1,0))*VLOOKUP(INDEX('章节与怪物'!$E$31:$K$37,B701,2),'章节与怪物'!$A$41:$F$44,4,FALSE)+IF(2=D701,'难度参数'!$E$30,0))</x:f>
        <x:v>756</x:v>
      </x:c>
      <x:c r="AF701" s="119" t="n">
        <x:f>IF(3&gt;D701,0,MAX(2,MIN('难度参数'!$E$12,ROUND(('难度参数'!$E$18*POWER(A701,'难度参数'!$E$19)/D701*(0.85+0.3*(3-1)/MAX(1,D701-1))),0)+F701)))</x:f>
        <x:v>44</x:v>
      </x:c>
      <x:c r="AG701" s="119" t="n">
        <x:f>IF(3&gt;D701,0,ROUND(('难度参数'!$E$13*POWER(A701,'难度参数'!$E$20)*MIN('难度参数'!$E$23,1+MAX(0,A701-'难度参数'!$E$21)*'难度参数'!$E$22))*(36+3*7)/(36+7*(D701+1)/2)*E701,0))</x:f>
        <x:v>13374</x:v>
      </x:c>
      <x:c r="AH701" s="119" t="n">
        <x:f>IF(AF701=0,0,(AF701-IF(3=D701,1,0))*ROUND(AG701*VLOOKUP(INDEX('章节与怪物'!$E$31:$K$37,B701,3),'章节与怪物'!$A$41:$F$44,2,FALSE),0)+IF(3=D701,ROUND(AG701*'难度参数'!$E$28*'章节与怪物'!$E$17,0),0))</x:f>
        <x:v>1000384</x:v>
      </x:c>
      <x:c r="AI701" s="119" t="n">
        <x:f>IF(AF701=0,0,(AF701-IF(3=D701,1,0))*VLOOKUP(INDEX('章节与怪物'!$E$31:$K$37,B701,3),'章节与怪物'!$A$41:$F$44,4,FALSE)+IF(3=D701,'难度参数'!$E$30,0))</x:f>
        <x:v>1232</x:v>
      </x:c>
      <x:c r="AJ701" s="119" t="n">
        <x:f>IF(4&gt;D701,0,MAX(2,MIN('难度参数'!$E$12,ROUND(('难度参数'!$E$18*POWER(A701,'难度参数'!$E$19)/D701*(0.85+0.3*(4-1)/MAX(1,D701-1))),0)+F701)))</x:f>
        <x:v>47</x:v>
      </x:c>
      <x:c r="AK701" s="119" t="n">
        <x:f>IF(4&gt;D701,0,ROUND(('难度参数'!$E$13*POWER(A701,'难度参数'!$E$20)*MIN('难度参数'!$E$23,1+MAX(0,A701-'难度参数'!$E$21)*'难度参数'!$E$22))*(36+4*7)/(36+7*(D701+1)/2)*E701,0))</x:f>
        <x:v>15016</x:v>
      </x:c>
      <x:c r="AL701" s="119" t="n">
        <x:f>IF(AJ701=0,0,(AJ701-IF(4=D701,1,0))*ROUND(AK701*VLOOKUP(INDEX('章节与怪物'!$E$31:$K$37,B701,4),'章节与怪物'!$A$41:$F$44,2,FALSE),0)+IF(4=D701,ROUND(AK701*'难度参数'!$E$28*'章节与怪物'!$E$17,0),0))</x:f>
        <x:v>952784</x:v>
      </x:c>
      <x:c r="AM701" s="119" t="n">
        <x:f>IF(AJ701=0,0,(AJ701-IF(4=D701,1,0))*VLOOKUP(INDEX('章节与怪物'!$E$31:$K$37,B701,4),'章节与怪物'!$A$41:$F$44,4,FALSE)+IF(4=D701,'难度参数'!$E$30,0))</x:f>
        <x:v>1598</x:v>
      </x:c>
      <x:c r="AN701" s="119" t="n">
        <x:f>IF(5&gt;D701,0,MAX(2,MIN('难度参数'!$E$12,ROUND(('难度参数'!$E$18*POWER(A701,'难度参数'!$E$19)/D701*(0.85+0.3*(5-1)/MAX(1,D701-1))),0)+F701)))</x:f>
        <x:v>49</x:v>
      </x:c>
      <x:c r="AO701" s="119" t="n">
        <x:f>IF(5&gt;D701,0,ROUND(('难度参数'!$E$13*POWER(A701,'难度参数'!$E$20)*MIN('难度参数'!$E$23,1+MAX(0,A701-'难度参数'!$E$21)*'难度参数'!$E$22))*(36+5*7)/(36+7*(D701+1)/2)*E701,0))</x:f>
        <x:v>16659</x:v>
      </x:c>
      <x:c r="AP701" s="119" t="n">
        <x:f>IF(AN701=0,0,(AN701-IF(5=D701,1,0))*ROUND(AO701*VLOOKUP(INDEX('章节与怪物'!$E$31:$K$37,B701,5),'章节与怪物'!$A$41:$F$44,2,FALSE),0)+IF(5=D701,ROUND(AO701*'难度参数'!$E$28*'章节与怪物'!$E$17,0),0))</x:f>
        <x:v>816291</x:v>
      </x:c>
      <x:c r="AQ701" s="119" t="n">
        <x:f>IF(AN701=0,0,(AN701-IF(5=D701,1,0))*VLOOKUP(INDEX('章节与怪物'!$E$31:$K$37,B701,5),'章节与怪物'!$A$41:$F$44,4,FALSE)+IF(5=D701,'难度参数'!$E$30,0))</x:f>
        <x:v>882</x:v>
      </x:c>
      <x:c r="AR701" s="119" t="n">
        <x:f>IF(6&gt;D701,0,MAX(2,MIN('难度参数'!$E$12,ROUND(('难度参数'!$E$18*POWER(A701,'难度参数'!$E$19)/D701*(0.85+0.3*(6-1)/MAX(1,D701-1))),0)+F701)))</x:f>
        <x:v>51</x:v>
      </x:c>
      <x:c r="AS701" s="119" t="n">
        <x:f>IF(6&gt;D701,0,ROUND(('难度参数'!$E$13*POWER(A701,'难度参数'!$E$20)*MIN('难度参数'!$E$23,1+MAX(0,A701-'难度参数'!$E$21)*'难度参数'!$E$22))*(36+6*7)/(36+7*(D701+1)/2)*E701,0))</x:f>
        <x:v>18301</x:v>
      </x:c>
      <x:c r="AT701" s="119" t="n">
        <x:f>IF(AR701=0,0,(AR701-IF(6=D701,1,0))*ROUND(AS701*VLOOKUP(INDEX('章节与怪物'!$E$31:$K$37,B701,6),'章节与怪物'!$A$41:$F$44,2,FALSE),0)+IF(6=D701,ROUND(AS701*'难度参数'!$E$28*'章节与怪物'!$E$17,0),0))</x:f>
        <x:v>1586712</x:v>
      </x:c>
      <x:c r="AU701" s="119" t="n">
        <x:f>IF(AR701=0,0,(AR701-IF(6=D701,1,0))*VLOOKUP(INDEX('章节与怪物'!$E$31:$K$37,B701,6),'章节与怪物'!$A$41:$F$44,4,FALSE)+IF(6=D701,'难度参数'!$E$30,0))</x:f>
        <x:v>1428</x:v>
      </x:c>
      <x:c r="AV701" s="119" t="n">
        <x:f>IF(7&gt;D701,0,MAX(2,MIN('难度参数'!$E$12,ROUND(('难度参数'!$E$18*POWER(A701,'难度参数'!$E$19)/D701*(0.85+0.3*(7-1)/MAX(1,D701-1))),0)+F701)))</x:f>
        <x:v>54</x:v>
      </x:c>
      <x:c r="AW701" s="119" t="n">
        <x:f>IF(7&gt;D701,0,ROUND(('难度参数'!$E$13*POWER(A701,'难度参数'!$E$20)*MIN('难度参数'!$E$23,1+MAX(0,A701-'难度参数'!$E$21)*'难度参数'!$E$22))*(36+7*7)/(36+7*(D701+1)/2)*E701,0))</x:f>
        <x:v>19944</x:v>
      </x:c>
      <x:c r="AX701" s="119" t="n">
        <x:f>IF(AV701=0,0,(AV701-IF(7=D701,1,0))*ROUND(AW701*VLOOKUP(INDEX('章节与怪物'!$E$31:$K$37,B701,7),'章节与怪物'!$A$41:$F$44,2,FALSE),0)+IF(7=D701,ROUND(AW701*'难度参数'!$E$28*'章节与怪物'!$E$17,0),0))</x:f>
        <x:v>1562591</x:v>
      </x:c>
      <x:c r="AY701" s="119" t="n">
        <x:f>IF(AV701=0,0,(AV701-IF(7=D701,1,0))*VLOOKUP(INDEX('章节与怪物'!$E$31:$K$37,B701,7),'章节与怪物'!$A$41:$F$44,4,FALSE)+IF(7=D701,'难度参数'!$E$30,0))</x:f>
        <x:v>2002</x:v>
      </x:c>
    </x:row>
    <x:row r="702" ht="23" customHeight="1">
      <x:c r="A702" s="119" t="n">
        <x:v>696</x:v>
      </x:c>
      <x:c r="B702" s="119" t="n">
        <x:f>MOD(INT((A702-1)/5),7)+1</x:f>
        <x:v>7</x:v>
      </x:c>
      <x:c r="C702" s="62" t="str">
        <x:f>INDEX('章节与怪物'!$B$31:$B$37,B702)</x:f>
        <x:v>魔法山脊</x:v>
      </x:c>
      <x:c r="D702" s="119" t="n">
        <x:f>MIN('难度参数'!$E$8,MAX('难度参数'!$E$7,A702))</x:f>
        <x:v>7</x:v>
      </x:c>
      <x:c r="E702" s="106" t="n">
        <x:v>1</x:v>
      </x:c>
      <x:c r="F702" s="106" t="n">
        <x:v>0</x:v>
      </x:c>
      <x:c r="G702" s="106" t="n">
        <x:v>1</x:v>
      </x:c>
      <x:c r="H702" s="119" t="n">
        <x:f>SUM(X702,AB702,AF702,AJ702,AN702,AR702,AV702)</x:f>
        <x:v>327</x:v>
      </x:c>
      <x:c r="I702" s="119" t="n">
        <x:f>SUM(Z702,AD702,AH702,AL702,AP702,AT702,AX702)</x:f>
        <x:v>6455208</x:v>
      </x:c>
      <x:c r="J702" s="119" t="n">
        <x:f>ROUND(INDEX(X702:AY702,1,(D702-1)*4+2)*'难度参数'!$E$28*'章节与怪物'!$E$17,0)</x:f>
        <x:v>135755</x:v>
      </x:c>
      <x:c r="K702" s="119" t="n">
        <x:f>SUM(AA702,AE702,AI702,AM702,AQ702,AU702,AY702)</x:f>
        <x:v>8800</x:v>
      </x:c>
      <x:c r="L702" s="62" t="n">
        <x:f>H702*(ROUNDUP('难度参数'!$E$24/('难度参数'!$E$26*'难度参数'!$E$27),0)*'难度参数'!$E$26)/60</x:f>
        <x:v>4.36</x:v>
      </x:c>
      <x:c r="M702" s="62" t="n">
        <x:f>L702+D702*('难度参数'!$E$49+'难度参数'!$E$50)/60</x:f>
        <x:v>5.526666666666667</x:v>
      </x:c>
      <x:c r="N702" s="119" t="n">
        <x:f>ROUNDDOWN(('经济参数'!$E$20+A702*'经济参数'!$E$21)*G702,0)</x:f>
        <x:v>14100</x:v>
      </x:c>
      <x:c r="O702" s="119" t="n">
        <x:f>ROUNDDOWN(MIN('经济参数'!$E$24,'经济参数'!$E$22+A702*'经济参数'!$E$23)*G702,0)</x:f>
        <x:v>0</x:v>
      </x:c>
      <x:c r="P702" s="119" t="n">
        <x:f>ROUNDDOWN((IF(A702&gt;='材料与任务'!$E$31,'材料与任务'!$E$32,IF(A702&gt;='材料与任务'!$E$25,'材料与任务'!$E$26,IF(A702&gt;='材料与任务'!$E$19,'材料与任务'!$E$20,IF(A702&gt;='材料与任务'!$E$13,'材料与任务'!$E$14,'材料与任务'!$E$8)))))*G702,0)</x:f>
        <x:v>6</x:v>
      </x:c>
      <x:c r="Q702" s="119" t="n">
        <x:f>ROUNDDOWN((IF(A702&gt;='材料与任务'!$E$31,'材料与任务'!$E$33,IF(A702&gt;='材料与任务'!$E$25,'材料与任务'!$E$27,IF(A702&gt;='材料与任务'!$E$19,'材料与任务'!$E$21,IF(A702&gt;='材料与任务'!$E$13,'材料与任务'!$E$15,'材料与任务'!$E$9)))))*G702,0)</x:f>
        <x:v>3</x:v>
      </x:c>
      <x:c r="R702" s="110" t="n">
        <x:f>'装备掉落'!$B$38</x:f>
        <x:v>0.6872058758851213</x:v>
      </x:c>
      <x:c r="S702" s="119" t="n">
        <x:f>MAX(IF(VLOOKUP(A702,'装备掉落'!$A$29:$H$34,2,TRUE)&gt;0,1,0),IF(VLOOKUP(A702,'装备掉落'!$A$29:$H$34,3,TRUE)&gt;0,2,0),IF(VLOOKUP(A702,'装备掉落'!$A$29:$H$34,4,TRUE)&gt;0,3,0),IF(VLOOKUP(A702,'装备掉落'!$A$29:$H$34,5,TRUE)&gt;0,4,0),IF(VLOOKUP(A702,'装备掉落'!$A$29:$H$34,6,TRUE)&gt;0,5,0),IF(VLOOKUP(A702,'装备掉落'!$A$29:$H$34,7,TRUE)&gt;0,6,0),IF(VLOOKUP(A702,'装备掉落'!$A$29:$H$34,8,TRUE)&gt;0,7,0))</x:f>
        <x:v>7</x:v>
      </x:c>
      <x:c r="T702" s="119" t="n">
        <x:f>MIN(7,S702+'经济参数'!$E$70)</x:f>
        <x:v>7</x:v>
      </x:c>
      <x:c r="U702" s="119" t="n">
        <x:f>MIN(7,S702+'经济参数'!$E$71)</x:f>
        <x:v>7</x:v>
      </x:c>
      <x:c r="V702" s="119" t="n">
        <x:f>IF(H702&gt;=('难度参数'!$E$52),1,0)+IF(H702&gt;=('难度参数'!$E$52+'难度参数'!$E$53),1,0)+IF(H702&gt;=('难度参数'!$E$52+'难度参数'!$E$53+'难度参数'!$E$54),1,0)+IF(H702&gt;=('难度参数'!$E$52+'难度参数'!$E$53+'难度参数'!$E$54+'难度参数'!$E$55),1,0)+IF(H702&gt;=('难度参数'!$E$52+'难度参数'!$E$53+'难度参数'!$E$54+'难度参数'!$E$55+'难度参数'!$E$56),1,0)+IF(H702&gt;=('难度参数'!$E$52+'难度参数'!$E$53+'难度参数'!$E$54+'难度参数'!$E$55+'难度参数'!$E$56+'难度参数'!$E$57),1,0)</x:f>
        <x:v>6</x:v>
      </x:c>
      <x:c r="W702" s="62" t="str">
        <x:f>IF(L702&gt;'难度参数'!$E$51,"仅出怪已超目标","还需实测")</x:f>
        <x:v>仅出怪已超目标</x:v>
      </x:c>
      <x:c r="X702" s="119" t="n">
        <x:f>IF(1&gt;D702,0,MAX(2,MIN('难度参数'!$E$12,ROUND(('难度参数'!$E$18*POWER(A702,'难度参数'!$E$19)/D702*(0.85+0.3*(1-1)/MAX(1,D702-1))),0)+F702)))</x:f>
        <x:v>40</x:v>
      </x:c>
      <x:c r="Y702" s="119" t="n">
        <x:f>IF(1&gt;D702,0,ROUND(('难度参数'!$E$13*POWER(A702,'难度参数'!$E$20)*MIN('难度参数'!$E$23,1+MAX(0,A702-'难度参数'!$E$21)*'难度参数'!$E$22))*(36+1*7)/(36+7*(D702+1)/2)*E702,0))</x:f>
        <x:v>10100</x:v>
      </x:c>
      <x:c r="Z702" s="119" t="n">
        <x:f>IF(X702=0,0,(X702-IF(1=D702,1,0))*ROUND(Y702*VLOOKUP(INDEX('章节与怪物'!$E$31:$K$37,B702,1),'章节与怪物'!$A$41:$F$44,2,FALSE),0)+IF(1=D702,ROUND(Y702*'难度参数'!$E$28*'章节与怪物'!$E$17,0),0))</x:f>
        <x:v>404000</x:v>
      </x:c>
      <x:c r="AA702" s="119" t="n">
        <x:f>IF(X702=0,0,(X702-IF(1=D702,1,0))*VLOOKUP(INDEX('章节与怪物'!$E$31:$K$37,B702,1),'章节与怪物'!$A$41:$F$44,4,FALSE)+IF(1=D702,'难度参数'!$E$30,0))</x:f>
        <x:v>720</x:v>
      </x:c>
      <x:c r="AB702" s="119" t="n">
        <x:f>IF(2&gt;D702,0,MAX(2,MIN('难度参数'!$E$12,ROUND(('难度参数'!$E$18*POWER(A702,'难度参数'!$E$19)/D702*(0.85+0.3*(2-1)/MAX(1,D702-1))),0)+F702)))</x:f>
        <x:v>42</x:v>
      </x:c>
      <x:c r="AC702" s="119" t="n">
        <x:f>IF(2&gt;D702,0,ROUND(('难度参数'!$E$13*POWER(A702,'难度参数'!$E$20)*MIN('难度参数'!$E$23,1+MAX(0,A702-'难度参数'!$E$21)*'难度参数'!$E$22))*(36+2*7)/(36+7*(D702+1)/2)*E702,0))</x:f>
        <x:v>11744</x:v>
      </x:c>
      <x:c r="AD702" s="119" t="n">
        <x:f>IF(AB702=0,0,(AB702-IF(2=D702,1,0))*ROUND(AC702*VLOOKUP(INDEX('章节与怪物'!$E$31:$K$37,B702,2),'章节与怪物'!$A$41:$F$44,2,FALSE),0)+IF(2=D702,ROUND(AC702*'难度参数'!$E$28*'章节与怪物'!$E$17,0),0))</x:f>
        <x:v>355152</x:v>
      </x:c>
      <x:c r="AE702" s="119" t="n">
        <x:f>IF(AB702=0,0,(AB702-IF(2=D702,1,0))*VLOOKUP(INDEX('章节与怪物'!$E$31:$K$37,B702,2),'章节与怪物'!$A$41:$F$44,4,FALSE)+IF(2=D702,'难度参数'!$E$30,0))</x:f>
        <x:v>840</x:v>
      </x:c>
      <x:c r="AF702" s="119" t="n">
        <x:f>IF(3&gt;D702,0,MAX(2,MIN('难度参数'!$E$12,ROUND(('难度参数'!$E$18*POWER(A702,'难度参数'!$E$19)/D702*(0.85+0.3*(3-1)/MAX(1,D702-1))),0)+F702)))</x:f>
        <x:v>44</x:v>
      </x:c>
      <x:c r="AG702" s="119" t="n">
        <x:f>IF(3&gt;D702,0,ROUND(('难度参数'!$E$13*POWER(A702,'难度参数'!$E$20)*MIN('难度参数'!$E$23,1+MAX(0,A702-'难度参数'!$E$21)*'难度参数'!$E$22))*(36+3*7)/(36+7*(D702+1)/2)*E702,0))</x:f>
        <x:v>13388</x:v>
      </x:c>
      <x:c r="AH702" s="119" t="n">
        <x:f>IF(AF702=0,0,(AF702-IF(3=D702,1,0))*ROUND(AG702*VLOOKUP(INDEX('章节与怪物'!$E$31:$K$37,B702,3),'章节与怪物'!$A$41:$F$44,2,FALSE),0)+IF(3=D702,ROUND(AG702*'难度参数'!$E$28*'章节与怪物'!$E$17,0),0))</x:f>
        <x:v>1001440</x:v>
      </x:c>
      <x:c r="AI702" s="119" t="n">
        <x:f>IF(AF702=0,0,(AF702-IF(3=D702,1,0))*VLOOKUP(INDEX('章节与怪物'!$E$31:$K$37,B702,3),'章节与怪物'!$A$41:$F$44,4,FALSE)+IF(3=D702,'难度参数'!$E$30,0))</x:f>
        <x:v>1232</x:v>
      </x:c>
      <x:c r="AJ702" s="119" t="n">
        <x:f>IF(4&gt;D702,0,MAX(2,MIN('难度参数'!$E$12,ROUND(('难度参数'!$E$18*POWER(A702,'难度参数'!$E$19)/D702*(0.85+0.3*(4-1)/MAX(1,D702-1))),0)+F702)))</x:f>
        <x:v>47</x:v>
      </x:c>
      <x:c r="AK702" s="119" t="n">
        <x:f>IF(4&gt;D702,0,ROUND(('难度参数'!$E$13*POWER(A702,'难度参数'!$E$20)*MIN('难度参数'!$E$23,1+MAX(0,A702-'难度参数'!$E$21)*'难度参数'!$E$22))*(36+4*7)/(36+7*(D702+1)/2)*E702,0))</x:f>
        <x:v>15032</x:v>
      </x:c>
      <x:c r="AL702" s="119" t="n">
        <x:f>IF(AJ702=0,0,(AJ702-IF(4=D702,1,0))*ROUND(AK702*VLOOKUP(INDEX('章节与怪物'!$E$31:$K$37,B702,4),'章节与怪物'!$A$41:$F$44,2,FALSE),0)+IF(4=D702,ROUND(AK702*'难度参数'!$E$28*'章节与怪物'!$E$17,0),0))</x:f>
        <x:v>953771</x:v>
      </x:c>
      <x:c r="AM702" s="119" t="n">
        <x:f>IF(AJ702=0,0,(AJ702-IF(4=D702,1,0))*VLOOKUP(INDEX('章节与怪物'!$E$31:$K$37,B702,4),'章节与怪物'!$A$41:$F$44,4,FALSE)+IF(4=D702,'难度参数'!$E$30,0))</x:f>
        <x:v>1598</x:v>
      </x:c>
      <x:c r="AN702" s="119" t="n">
        <x:f>IF(5&gt;D702,0,MAX(2,MIN('难度参数'!$E$12,ROUND(('难度参数'!$E$18*POWER(A702,'难度参数'!$E$19)/D702*(0.85+0.3*(5-1)/MAX(1,D702-1))),0)+F702)))</x:f>
        <x:v>49</x:v>
      </x:c>
      <x:c r="AO702" s="119" t="n">
        <x:f>IF(5&gt;D702,0,ROUND(('难度参数'!$E$13*POWER(A702,'难度参数'!$E$20)*MIN('难度参数'!$E$23,1+MAX(0,A702-'难度参数'!$E$21)*'难度参数'!$E$22))*(36+5*7)/(36+7*(D702+1)/2)*E702,0))</x:f>
        <x:v>16676</x:v>
      </x:c>
      <x:c r="AP702" s="119" t="n">
        <x:f>IF(AN702=0,0,(AN702-IF(5=D702,1,0))*ROUND(AO702*VLOOKUP(INDEX('章节与怪物'!$E$31:$K$37,B702,5),'章节与怪物'!$A$41:$F$44,2,FALSE),0)+IF(5=D702,ROUND(AO702*'难度参数'!$E$28*'章节与怪物'!$E$17,0),0))</x:f>
        <x:v>588343</x:v>
      </x:c>
      <x:c r="AQ702" s="119" t="n">
        <x:f>IF(AN702=0,0,(AN702-IF(5=D702,1,0))*VLOOKUP(INDEX('章节与怪物'!$E$31:$K$37,B702,5),'章节与怪物'!$A$41:$F$44,4,FALSE)+IF(5=D702,'难度参数'!$E$30,0))</x:f>
        <x:v>980</x:v>
      </x:c>
      <x:c r="AR702" s="119" t="n">
        <x:f>IF(6&gt;D702,0,MAX(2,MIN('难度参数'!$E$12,ROUND(('难度参数'!$E$18*POWER(A702,'难度参数'!$E$19)/D702*(0.85+0.3*(6-1)/MAX(1,D702-1))),0)+F702)))</x:f>
        <x:v>51</x:v>
      </x:c>
      <x:c r="AS702" s="119" t="n">
        <x:f>IF(6&gt;D702,0,ROUND(('难度参数'!$E$13*POWER(A702,'难度参数'!$E$20)*MIN('难度参数'!$E$23,1+MAX(0,A702-'难度参数'!$E$21)*'难度参数'!$E$22))*(36+6*7)/(36+7*(D702+1)/2)*E702,0))</x:f>
        <x:v>18320</x:v>
      </x:c>
      <x:c r="AT702" s="119" t="n">
        <x:f>IF(AR702=0,0,(AR702-IF(6=D702,1,0))*ROUND(AS702*VLOOKUP(INDEX('章节与怪物'!$E$31:$K$37,B702,6),'章节与怪物'!$A$41:$F$44,2,FALSE),0)+IF(6=D702,ROUND(AS702*'难度参数'!$E$28*'章节与怪物'!$E$17,0),0))</x:f>
        <x:v>1588344</x:v>
      </x:c>
      <x:c r="AU702" s="119" t="n">
        <x:f>IF(AR702=0,0,(AR702-IF(6=D702,1,0))*VLOOKUP(INDEX('章节与怪物'!$E$31:$K$37,B702,6),'章节与怪物'!$A$41:$F$44,4,FALSE)+IF(6=D702,'难度参数'!$E$30,0))</x:f>
        <x:v>1428</x:v>
      </x:c>
      <x:c r="AV702" s="119" t="n">
        <x:f>IF(7&gt;D702,0,MAX(2,MIN('难度参数'!$E$12,ROUND(('难度参数'!$E$18*POWER(A702,'难度参数'!$E$19)/D702*(0.85+0.3*(7-1)/MAX(1,D702-1))),0)+F702)))</x:f>
        <x:v>54</x:v>
      </x:c>
      <x:c r="AW702" s="119" t="n">
        <x:f>IF(7&gt;D702,0,ROUND(('难度参数'!$E$13*POWER(A702,'难度参数'!$E$20)*MIN('难度参数'!$E$23,1+MAX(0,A702-'难度参数'!$E$21)*'难度参数'!$E$22))*(36+7*7)/(36+7*(D702+1)/2)*E702,0))</x:f>
        <x:v>19964</x:v>
      </x:c>
      <x:c r="AX702" s="119" t="n">
        <x:f>IF(AV702=0,0,(AV702-IF(7=D702,1,0))*ROUND(AW702*VLOOKUP(INDEX('章节与怪物'!$E$31:$K$37,B702,7),'章节与怪物'!$A$41:$F$44,2,FALSE),0)+IF(7=D702,ROUND(AW702*'难度参数'!$E$28*'章节与怪物'!$E$17,0),0))</x:f>
        <x:v>1564158</x:v>
      </x:c>
      <x:c r="AY702" s="119" t="n">
        <x:f>IF(AV702=0,0,(AV702-IF(7=D702,1,0))*VLOOKUP(INDEX('章节与怪物'!$E$31:$K$37,B702,7),'章节与怪物'!$A$41:$F$44,4,FALSE)+IF(7=D702,'难度参数'!$E$30,0))</x:f>
        <x:v>2002</x:v>
      </x:c>
    </x:row>
    <x:row r="703" ht="23" customHeight="1">
      <x:c r="A703" s="119" t="n">
        <x:v>697</x:v>
      </x:c>
      <x:c r="B703" s="119" t="n">
        <x:f>MOD(INT((A703-1)/5),7)+1</x:f>
        <x:v>7</x:v>
      </x:c>
      <x:c r="C703" s="62" t="str">
        <x:f>INDEX('章节与怪物'!$B$31:$B$37,B703)</x:f>
        <x:v>魔法山脊</x:v>
      </x:c>
      <x:c r="D703" s="119" t="n">
        <x:f>MIN('难度参数'!$E$8,MAX('难度参数'!$E$7,A703))</x:f>
        <x:v>7</x:v>
      </x:c>
      <x:c r="E703" s="106" t="n">
        <x:v>1</x:v>
      </x:c>
      <x:c r="F703" s="106" t="n">
        <x:v>0</x:v>
      </x:c>
      <x:c r="G703" s="106" t="n">
        <x:v>1</x:v>
      </x:c>
      <x:c r="H703" s="119" t="n">
        <x:f>SUM(X703,AB703,AF703,AJ703,AN703,AR703,AV703)</x:f>
        <x:v>327</x:v>
      </x:c>
      <x:c r="I703" s="119" t="n">
        <x:f>SUM(Z703,AD703,AH703,AL703,AP703,AT703,AX703)</x:f>
        <x:v>6461796</x:v>
      </x:c>
      <x:c r="J703" s="119" t="n">
        <x:f>ROUND(INDEX(X703:AY703,1,(D703-1)*4+2)*'难度参数'!$E$28*'章节与怪物'!$E$17,0)</x:f>
        <x:v>135898</x:v>
      </x:c>
      <x:c r="K703" s="119" t="n">
        <x:f>SUM(AA703,AE703,AI703,AM703,AQ703,AU703,AY703)</x:f>
        <x:v>8800</x:v>
      </x:c>
      <x:c r="L703" s="62" t="n">
        <x:f>H703*(ROUNDUP('难度参数'!$E$24/('难度参数'!$E$26*'难度参数'!$E$27),0)*'难度参数'!$E$26)/60</x:f>
        <x:v>4.36</x:v>
      </x:c>
      <x:c r="M703" s="62" t="n">
        <x:f>L703+D703*('难度参数'!$E$49+'难度参数'!$E$50)/60</x:f>
        <x:v>5.526666666666667</x:v>
      </x:c>
      <x:c r="N703" s="119" t="n">
        <x:f>ROUNDDOWN(('经济参数'!$E$20+A703*'经济参数'!$E$21)*G703,0)</x:f>
        <x:v>14120</x:v>
      </x:c>
      <x:c r="O703" s="119" t="n">
        <x:f>ROUNDDOWN(MIN('经济参数'!$E$24,'经济参数'!$E$22+A703*'经济参数'!$E$23)*G703,0)</x:f>
        <x:v>0</x:v>
      </x:c>
      <x:c r="P703" s="119" t="n">
        <x:f>ROUNDDOWN((IF(A703&gt;='材料与任务'!$E$31,'材料与任务'!$E$32,IF(A703&gt;='材料与任务'!$E$25,'材料与任务'!$E$26,IF(A703&gt;='材料与任务'!$E$19,'材料与任务'!$E$20,IF(A703&gt;='材料与任务'!$E$13,'材料与任务'!$E$14,'材料与任务'!$E$8)))))*G703,0)</x:f>
        <x:v>6</x:v>
      </x:c>
      <x:c r="Q703" s="119" t="n">
        <x:f>ROUNDDOWN((IF(A703&gt;='材料与任务'!$E$31,'材料与任务'!$E$33,IF(A703&gt;='材料与任务'!$E$25,'材料与任务'!$E$27,IF(A703&gt;='材料与任务'!$E$19,'材料与任务'!$E$21,IF(A703&gt;='材料与任务'!$E$13,'材料与任务'!$E$15,'材料与任务'!$E$9)))))*G703,0)</x:f>
        <x:v>3</x:v>
      </x:c>
      <x:c r="R703" s="110" t="n">
        <x:f>'装备掉落'!$B$38</x:f>
        <x:v>0.6872058758851213</x:v>
      </x:c>
      <x:c r="S703" s="119" t="n">
        <x:f>MAX(IF(VLOOKUP(A703,'装备掉落'!$A$29:$H$34,2,TRUE)&gt;0,1,0),IF(VLOOKUP(A703,'装备掉落'!$A$29:$H$34,3,TRUE)&gt;0,2,0),IF(VLOOKUP(A703,'装备掉落'!$A$29:$H$34,4,TRUE)&gt;0,3,0),IF(VLOOKUP(A703,'装备掉落'!$A$29:$H$34,5,TRUE)&gt;0,4,0),IF(VLOOKUP(A703,'装备掉落'!$A$29:$H$34,6,TRUE)&gt;0,5,0),IF(VLOOKUP(A703,'装备掉落'!$A$29:$H$34,7,TRUE)&gt;0,6,0),IF(VLOOKUP(A703,'装备掉落'!$A$29:$H$34,8,TRUE)&gt;0,7,0))</x:f>
        <x:v>7</x:v>
      </x:c>
      <x:c r="T703" s="119" t="n">
        <x:f>MIN(7,S703+'经济参数'!$E$70)</x:f>
        <x:v>7</x:v>
      </x:c>
      <x:c r="U703" s="119" t="n">
        <x:f>MIN(7,S703+'经济参数'!$E$71)</x:f>
        <x:v>7</x:v>
      </x:c>
      <x:c r="V703" s="119" t="n">
        <x:f>IF(H703&gt;=('难度参数'!$E$52),1,0)+IF(H703&gt;=('难度参数'!$E$52+'难度参数'!$E$53),1,0)+IF(H703&gt;=('难度参数'!$E$52+'难度参数'!$E$53+'难度参数'!$E$54),1,0)+IF(H703&gt;=('难度参数'!$E$52+'难度参数'!$E$53+'难度参数'!$E$54+'难度参数'!$E$55),1,0)+IF(H703&gt;=('难度参数'!$E$52+'难度参数'!$E$53+'难度参数'!$E$54+'难度参数'!$E$55+'难度参数'!$E$56),1,0)+IF(H703&gt;=('难度参数'!$E$52+'难度参数'!$E$53+'难度参数'!$E$54+'难度参数'!$E$55+'难度参数'!$E$56+'难度参数'!$E$57),1,0)</x:f>
        <x:v>6</x:v>
      </x:c>
      <x:c r="W703" s="62" t="str">
        <x:f>IF(L703&gt;'难度参数'!$E$51,"仅出怪已超目标","还需实测")</x:f>
        <x:v>仅出怪已超目标</x:v>
      </x:c>
      <x:c r="X703" s="119" t="n">
        <x:f>IF(1&gt;D703,0,MAX(2,MIN('难度参数'!$E$12,ROUND(('难度参数'!$E$18*POWER(A703,'难度参数'!$E$19)/D703*(0.85+0.3*(1-1)/MAX(1,D703-1))),0)+F703)))</x:f>
        <x:v>40</x:v>
      </x:c>
      <x:c r="Y703" s="119" t="n">
        <x:f>IF(1&gt;D703,0,ROUND(('难度参数'!$E$13*POWER(A703,'难度参数'!$E$20)*MIN('难度参数'!$E$23,1+MAX(0,A703-'难度参数'!$E$21)*'难度参数'!$E$22))*(36+1*7)/(36+7*(D703+1)/2)*E703,0))</x:f>
        <x:v>10110</x:v>
      </x:c>
      <x:c r="Z703" s="119" t="n">
        <x:f>IF(X703=0,0,(X703-IF(1=D703,1,0))*ROUND(Y703*VLOOKUP(INDEX('章节与怪物'!$E$31:$K$37,B703,1),'章节与怪物'!$A$41:$F$44,2,FALSE),0)+IF(1=D703,ROUND(Y703*'难度参数'!$E$28*'章节与怪物'!$E$17,0),0))</x:f>
        <x:v>404400</x:v>
      </x:c>
      <x:c r="AA703" s="119" t="n">
        <x:f>IF(X703=0,0,(X703-IF(1=D703,1,0))*VLOOKUP(INDEX('章节与怪物'!$E$31:$K$37,B703,1),'章节与怪物'!$A$41:$F$44,4,FALSE)+IF(1=D703,'难度参数'!$E$30,0))</x:f>
        <x:v>720</x:v>
      </x:c>
      <x:c r="AB703" s="119" t="n">
        <x:f>IF(2&gt;D703,0,MAX(2,MIN('难度参数'!$E$12,ROUND(('难度参数'!$E$18*POWER(A703,'难度参数'!$E$19)/D703*(0.85+0.3*(2-1)/MAX(1,D703-1))),0)+F703)))</x:f>
        <x:v>42</x:v>
      </x:c>
      <x:c r="AC703" s="119" t="n">
        <x:f>IF(2&gt;D703,0,ROUND(('难度参数'!$E$13*POWER(A703,'难度参数'!$E$20)*MIN('难度参数'!$E$23,1+MAX(0,A703-'难度参数'!$E$21)*'难度参数'!$E$22))*(36+2*7)/(36+7*(D703+1)/2)*E703,0))</x:f>
        <x:v>11756</x:v>
      </x:c>
      <x:c r="AD703" s="119" t="n">
        <x:f>IF(AB703=0,0,(AB703-IF(2=D703,1,0))*ROUND(AC703*VLOOKUP(INDEX('章节与怪物'!$E$31:$K$37,B703,2),'章节与怪物'!$A$41:$F$44,2,FALSE),0)+IF(2=D703,ROUND(AC703*'难度参数'!$E$28*'章节与怪物'!$E$17,0),0))</x:f>
        <x:v>355488</x:v>
      </x:c>
      <x:c r="AE703" s="119" t="n">
        <x:f>IF(AB703=0,0,(AB703-IF(2=D703,1,0))*VLOOKUP(INDEX('章节与怪物'!$E$31:$K$37,B703,2),'章节与怪物'!$A$41:$F$44,4,FALSE)+IF(2=D703,'难度参数'!$E$30,0))</x:f>
        <x:v>840</x:v>
      </x:c>
      <x:c r="AF703" s="119" t="n">
        <x:f>IF(3&gt;D703,0,MAX(2,MIN('难度参数'!$E$12,ROUND(('难度参数'!$E$18*POWER(A703,'难度参数'!$E$19)/D703*(0.85+0.3*(3-1)/MAX(1,D703-1))),0)+F703)))</x:f>
        <x:v>44</x:v>
      </x:c>
      <x:c r="AG703" s="119" t="n">
        <x:f>IF(3&gt;D703,0,ROUND(('难度参数'!$E$13*POWER(A703,'难度参数'!$E$20)*MIN('难度参数'!$E$23,1+MAX(0,A703-'难度参数'!$E$21)*'难度参数'!$E$22))*(36+3*7)/(36+7*(D703+1)/2)*E703,0))</x:f>
        <x:v>13402</x:v>
      </x:c>
      <x:c r="AH703" s="119" t="n">
        <x:f>IF(AF703=0,0,(AF703-IF(3=D703,1,0))*ROUND(AG703*VLOOKUP(INDEX('章节与怪物'!$E$31:$K$37,B703,3),'章节与怪物'!$A$41:$F$44,2,FALSE),0)+IF(3=D703,ROUND(AG703*'难度参数'!$E$28*'章节与怪物'!$E$17,0),0))</x:f>
        <x:v>1002452</x:v>
      </x:c>
      <x:c r="AI703" s="119" t="n">
        <x:f>IF(AF703=0,0,(AF703-IF(3=D703,1,0))*VLOOKUP(INDEX('章节与怪物'!$E$31:$K$37,B703,3),'章节与怪物'!$A$41:$F$44,4,FALSE)+IF(3=D703,'难度参数'!$E$30,0))</x:f>
        <x:v>1232</x:v>
      </x:c>
      <x:c r="AJ703" s="119" t="n">
        <x:f>IF(4&gt;D703,0,MAX(2,MIN('难度参数'!$E$12,ROUND(('难度参数'!$E$18*POWER(A703,'难度参数'!$E$19)/D703*(0.85+0.3*(4-1)/MAX(1,D703-1))),0)+F703)))</x:f>
        <x:v>47</x:v>
      </x:c>
      <x:c r="AK703" s="119" t="n">
        <x:f>IF(4&gt;D703,0,ROUND(('难度参数'!$E$13*POWER(A703,'难度参数'!$E$20)*MIN('难度参数'!$E$23,1+MAX(0,A703-'难度参数'!$E$21)*'难度参数'!$E$22))*(36+4*7)/(36+7*(D703+1)/2)*E703,0))</x:f>
        <x:v>15047</x:v>
      </x:c>
      <x:c r="AL703" s="119" t="n">
        <x:f>IF(AJ703=0,0,(AJ703-IF(4=D703,1,0))*ROUND(AK703*VLOOKUP(INDEX('章节与怪物'!$E$31:$K$37,B703,4),'章节与怪物'!$A$41:$F$44,2,FALSE),0)+IF(4=D703,ROUND(AK703*'难度参数'!$E$28*'章节与怪物'!$E$17,0),0))</x:f>
        <x:v>954711</x:v>
      </x:c>
      <x:c r="AM703" s="119" t="n">
        <x:f>IF(AJ703=0,0,(AJ703-IF(4=D703,1,0))*VLOOKUP(INDEX('章节与怪物'!$E$31:$K$37,B703,4),'章节与怪物'!$A$41:$F$44,4,FALSE)+IF(4=D703,'难度参数'!$E$30,0))</x:f>
        <x:v>1598</x:v>
      </x:c>
      <x:c r="AN703" s="119" t="n">
        <x:f>IF(5&gt;D703,0,MAX(2,MIN('难度参数'!$E$12,ROUND(('难度参数'!$E$18*POWER(A703,'难度参数'!$E$19)/D703*(0.85+0.3*(5-1)/MAX(1,D703-1))),0)+F703)))</x:f>
        <x:v>49</x:v>
      </x:c>
      <x:c r="AO703" s="119" t="n">
        <x:f>IF(5&gt;D703,0,ROUND(('难度参数'!$E$13*POWER(A703,'难度参数'!$E$20)*MIN('难度参数'!$E$23,1+MAX(0,A703-'难度参数'!$E$21)*'难度参数'!$E$22))*(36+5*7)/(36+7*(D703+1)/2)*E703,0))</x:f>
        <x:v>16693</x:v>
      </x:c>
      <x:c r="AP703" s="119" t="n">
        <x:f>IF(AN703=0,0,(AN703-IF(5=D703,1,0))*ROUND(AO703*VLOOKUP(INDEX('章节与怪物'!$E$31:$K$37,B703,5),'章节与怪物'!$A$41:$F$44,2,FALSE),0)+IF(5=D703,ROUND(AO703*'难度参数'!$E$28*'章节与怪物'!$E$17,0),0))</x:f>
        <x:v>588931</x:v>
      </x:c>
      <x:c r="AQ703" s="119" t="n">
        <x:f>IF(AN703=0,0,(AN703-IF(5=D703,1,0))*VLOOKUP(INDEX('章节与怪物'!$E$31:$K$37,B703,5),'章节与怪物'!$A$41:$F$44,4,FALSE)+IF(5=D703,'难度参数'!$E$30,0))</x:f>
        <x:v>980</x:v>
      </x:c>
      <x:c r="AR703" s="119" t="n">
        <x:f>IF(6&gt;D703,0,MAX(2,MIN('难度参数'!$E$12,ROUND(('难度参数'!$E$18*POWER(A703,'难度参数'!$E$19)/D703*(0.85+0.3*(6-1)/MAX(1,D703-1))),0)+F703)))</x:f>
        <x:v>51</x:v>
      </x:c>
      <x:c r="AS703" s="119" t="n">
        <x:f>IF(6&gt;D703,0,ROUND(('难度参数'!$E$13*POWER(A703,'难度参数'!$E$20)*MIN('难度参数'!$E$23,1+MAX(0,A703-'难度参数'!$E$21)*'难度参数'!$E$22))*(36+6*7)/(36+7*(D703+1)/2)*E703,0))</x:f>
        <x:v>18339</x:v>
      </x:c>
      <x:c r="AT703" s="119" t="n">
        <x:f>IF(AR703=0,0,(AR703-IF(6=D703,1,0))*ROUND(AS703*VLOOKUP(INDEX('章节与怪物'!$E$31:$K$37,B703,6),'章节与怪物'!$A$41:$F$44,2,FALSE),0)+IF(6=D703,ROUND(AS703*'难度参数'!$E$28*'章节与怪物'!$E$17,0),0))</x:f>
        <x:v>1589976</x:v>
      </x:c>
      <x:c r="AU703" s="119" t="n">
        <x:f>IF(AR703=0,0,(AR703-IF(6=D703,1,0))*VLOOKUP(INDEX('章节与怪物'!$E$31:$K$37,B703,6),'章节与怪物'!$A$41:$F$44,4,FALSE)+IF(6=D703,'难度参数'!$E$30,0))</x:f>
        <x:v>1428</x:v>
      </x:c>
      <x:c r="AV703" s="119" t="n">
        <x:f>IF(7&gt;D703,0,MAX(2,MIN('难度参数'!$E$12,ROUND(('难度参数'!$E$18*POWER(A703,'难度参数'!$E$19)/D703*(0.85+0.3*(7-1)/MAX(1,D703-1))),0)+F703)))</x:f>
        <x:v>54</x:v>
      </x:c>
      <x:c r="AW703" s="119" t="n">
        <x:f>IF(7&gt;D703,0,ROUND(('难度参数'!$E$13*POWER(A703,'难度参数'!$E$20)*MIN('难度参数'!$E$23,1+MAX(0,A703-'难度参数'!$E$21)*'难度参数'!$E$22))*(36+7*7)/(36+7*(D703+1)/2)*E703,0))</x:f>
        <x:v>19985</x:v>
      </x:c>
      <x:c r="AX703" s="119" t="n">
        <x:f>IF(AV703=0,0,(AV703-IF(7=D703,1,0))*ROUND(AW703*VLOOKUP(INDEX('章节与怪物'!$E$31:$K$37,B703,7),'章节与怪物'!$A$41:$F$44,2,FALSE),0)+IF(7=D703,ROUND(AW703*'难度参数'!$E$28*'章节与怪物'!$E$17,0),0))</x:f>
        <x:v>1565838</x:v>
      </x:c>
      <x:c r="AY703" s="119" t="n">
        <x:f>IF(AV703=0,0,(AV703-IF(7=D703,1,0))*VLOOKUP(INDEX('章节与怪物'!$E$31:$K$37,B703,7),'章节与怪物'!$A$41:$F$44,4,FALSE)+IF(7=D703,'难度参数'!$E$30,0))</x:f>
        <x:v>2002</x:v>
      </x:c>
    </x:row>
    <x:row r="704" ht="23" customHeight="1">
      <x:c r="A704" s="119" t="n">
        <x:v>698</x:v>
      </x:c>
      <x:c r="B704" s="119" t="n">
        <x:f>MOD(INT((A704-1)/5),7)+1</x:f>
        <x:v>7</x:v>
      </x:c>
      <x:c r="C704" s="62" t="str">
        <x:f>INDEX('章节与怪物'!$B$31:$B$37,B704)</x:f>
        <x:v>魔法山脊</x:v>
      </x:c>
      <x:c r="D704" s="119" t="n">
        <x:f>MIN('难度参数'!$E$8,MAX('难度参数'!$E$7,A704))</x:f>
        <x:v>7</x:v>
      </x:c>
      <x:c r="E704" s="106" t="n">
        <x:v>1</x:v>
      </x:c>
      <x:c r="F704" s="106" t="n">
        <x:v>0</x:v>
      </x:c>
      <x:c r="G704" s="106" t="n">
        <x:v>1</x:v>
      </x:c>
      <x:c r="H704" s="119" t="n">
        <x:f>SUM(X704,AB704,AF704,AJ704,AN704,AR704,AV704)</x:f>
        <x:v>327</x:v>
      </x:c>
      <x:c r="I704" s="119" t="n">
        <x:f>SUM(Z704,AD704,AH704,AL704,AP704,AT704,AX704)</x:f>
        <x:v>6468458</x:v>
      </x:c>
      <x:c r="J704" s="119" t="n">
        <x:f>ROUND(INDEX(X704:AY704,1,(D704-1)*4+2)*'难度参数'!$E$28*'章节与怪物'!$E$17,0)</x:f>
        <x:v>136034</x:v>
      </x:c>
      <x:c r="K704" s="119" t="n">
        <x:f>SUM(AA704,AE704,AI704,AM704,AQ704,AU704,AY704)</x:f>
        <x:v>8800</x:v>
      </x:c>
      <x:c r="L704" s="62" t="n">
        <x:f>H704*(ROUNDUP('难度参数'!$E$24/('难度参数'!$E$26*'难度参数'!$E$27),0)*'难度参数'!$E$26)/60</x:f>
        <x:v>4.36</x:v>
      </x:c>
      <x:c r="M704" s="62" t="n">
        <x:f>L704+D704*('难度参数'!$E$49+'难度参数'!$E$50)/60</x:f>
        <x:v>5.526666666666667</x:v>
      </x:c>
      <x:c r="N704" s="119" t="n">
        <x:f>ROUNDDOWN(('经济参数'!$E$20+A704*'经济参数'!$E$21)*G704,0)</x:f>
        <x:v>14140</x:v>
      </x:c>
      <x:c r="O704" s="119" t="n">
        <x:f>ROUNDDOWN(MIN('经济参数'!$E$24,'经济参数'!$E$22+A704*'经济参数'!$E$23)*G704,0)</x:f>
        <x:v>0</x:v>
      </x:c>
      <x:c r="P704" s="119" t="n">
        <x:f>ROUNDDOWN((IF(A704&gt;='材料与任务'!$E$31,'材料与任务'!$E$32,IF(A704&gt;='材料与任务'!$E$25,'材料与任务'!$E$26,IF(A704&gt;='材料与任务'!$E$19,'材料与任务'!$E$20,IF(A704&gt;='材料与任务'!$E$13,'材料与任务'!$E$14,'材料与任务'!$E$8)))))*G704,0)</x:f>
        <x:v>6</x:v>
      </x:c>
      <x:c r="Q704" s="119" t="n">
        <x:f>ROUNDDOWN((IF(A704&gt;='材料与任务'!$E$31,'材料与任务'!$E$33,IF(A704&gt;='材料与任务'!$E$25,'材料与任务'!$E$27,IF(A704&gt;='材料与任务'!$E$19,'材料与任务'!$E$21,IF(A704&gt;='材料与任务'!$E$13,'材料与任务'!$E$15,'材料与任务'!$E$9)))))*G704,0)</x:f>
        <x:v>3</x:v>
      </x:c>
      <x:c r="R704" s="110" t="n">
        <x:f>'装备掉落'!$B$38</x:f>
        <x:v>0.6872058758851213</x:v>
      </x:c>
      <x:c r="S704" s="119" t="n">
        <x:f>MAX(IF(VLOOKUP(A704,'装备掉落'!$A$29:$H$34,2,TRUE)&gt;0,1,0),IF(VLOOKUP(A704,'装备掉落'!$A$29:$H$34,3,TRUE)&gt;0,2,0),IF(VLOOKUP(A704,'装备掉落'!$A$29:$H$34,4,TRUE)&gt;0,3,0),IF(VLOOKUP(A704,'装备掉落'!$A$29:$H$34,5,TRUE)&gt;0,4,0),IF(VLOOKUP(A704,'装备掉落'!$A$29:$H$34,6,TRUE)&gt;0,5,0),IF(VLOOKUP(A704,'装备掉落'!$A$29:$H$34,7,TRUE)&gt;0,6,0),IF(VLOOKUP(A704,'装备掉落'!$A$29:$H$34,8,TRUE)&gt;0,7,0))</x:f>
        <x:v>7</x:v>
      </x:c>
      <x:c r="T704" s="119" t="n">
        <x:f>MIN(7,S704+'经济参数'!$E$70)</x:f>
        <x:v>7</x:v>
      </x:c>
      <x:c r="U704" s="119" t="n">
        <x:f>MIN(7,S704+'经济参数'!$E$71)</x:f>
        <x:v>7</x:v>
      </x:c>
      <x:c r="V704" s="119" t="n">
        <x:f>IF(H704&gt;=('难度参数'!$E$52),1,0)+IF(H704&gt;=('难度参数'!$E$52+'难度参数'!$E$53),1,0)+IF(H704&gt;=('难度参数'!$E$52+'难度参数'!$E$53+'难度参数'!$E$54),1,0)+IF(H704&gt;=('难度参数'!$E$52+'难度参数'!$E$53+'难度参数'!$E$54+'难度参数'!$E$55),1,0)+IF(H704&gt;=('难度参数'!$E$52+'难度参数'!$E$53+'难度参数'!$E$54+'难度参数'!$E$55+'难度参数'!$E$56),1,0)+IF(H704&gt;=('难度参数'!$E$52+'难度参数'!$E$53+'难度参数'!$E$54+'难度参数'!$E$55+'难度参数'!$E$56+'难度参数'!$E$57),1,0)</x:f>
        <x:v>6</x:v>
      </x:c>
      <x:c r="W704" s="62" t="str">
        <x:f>IF(L704&gt;'难度参数'!$E$51,"仅出怪已超目标","还需实测")</x:f>
        <x:v>仅出怪已超目标</x:v>
      </x:c>
      <x:c r="X704" s="119" t="n">
        <x:f>IF(1&gt;D704,0,MAX(2,MIN('难度参数'!$E$12,ROUND(('难度参数'!$E$18*POWER(A704,'难度参数'!$E$19)/D704*(0.85+0.3*(1-1)/MAX(1,D704-1))),0)+F704)))</x:f>
        <x:v>40</x:v>
      </x:c>
      <x:c r="Y704" s="119" t="n">
        <x:f>IF(1&gt;D704,0,ROUND(('难度参数'!$E$13*POWER(A704,'难度参数'!$E$20)*MIN('难度参数'!$E$23,1+MAX(0,A704-'难度参数'!$E$21)*'难度参数'!$E$22))*(36+1*7)/(36+7*(D704+1)/2)*E704,0))</x:f>
        <x:v>10120</x:v>
      </x:c>
      <x:c r="Z704" s="119" t="n">
        <x:f>IF(X704=0,0,(X704-IF(1=D704,1,0))*ROUND(Y704*VLOOKUP(INDEX('章节与怪物'!$E$31:$K$37,B704,1),'章节与怪物'!$A$41:$F$44,2,FALSE),0)+IF(1=D704,ROUND(Y704*'难度参数'!$E$28*'章节与怪物'!$E$17,0),0))</x:f>
        <x:v>404800</x:v>
      </x:c>
      <x:c r="AA704" s="119" t="n">
        <x:f>IF(X704=0,0,(X704-IF(1=D704,1,0))*VLOOKUP(INDEX('章节与怪物'!$E$31:$K$37,B704,1),'章节与怪物'!$A$41:$F$44,4,FALSE)+IF(1=D704,'难度参数'!$E$30,0))</x:f>
        <x:v>720</x:v>
      </x:c>
      <x:c r="AB704" s="119" t="n">
        <x:f>IF(2&gt;D704,0,MAX(2,MIN('难度参数'!$E$12,ROUND(('难度参数'!$E$18*POWER(A704,'难度参数'!$E$19)/D704*(0.85+0.3*(2-1)/MAX(1,D704-1))),0)+F704)))</x:f>
        <x:v>42</x:v>
      </x:c>
      <x:c r="AC704" s="119" t="n">
        <x:f>IF(2&gt;D704,0,ROUND(('难度参数'!$E$13*POWER(A704,'难度参数'!$E$20)*MIN('难度参数'!$E$23,1+MAX(0,A704-'难度参数'!$E$21)*'难度参数'!$E$22))*(36+2*7)/(36+7*(D704+1)/2)*E704,0))</x:f>
        <x:v>11768</x:v>
      </x:c>
      <x:c r="AD704" s="119" t="n">
        <x:f>IF(AB704=0,0,(AB704-IF(2=D704,1,0))*ROUND(AC704*VLOOKUP(INDEX('章节与怪物'!$E$31:$K$37,B704,2),'章节与怪物'!$A$41:$F$44,2,FALSE),0)+IF(2=D704,ROUND(AC704*'难度参数'!$E$28*'章节与怪物'!$E$17,0),0))</x:f>
        <x:v>355866</x:v>
      </x:c>
      <x:c r="AE704" s="119" t="n">
        <x:f>IF(AB704=0,0,(AB704-IF(2=D704,1,0))*VLOOKUP(INDEX('章节与怪物'!$E$31:$K$37,B704,2),'章节与怪物'!$A$41:$F$44,4,FALSE)+IF(2=D704,'难度参数'!$E$30,0))</x:f>
        <x:v>840</x:v>
      </x:c>
      <x:c r="AF704" s="119" t="n">
        <x:f>IF(3&gt;D704,0,MAX(2,MIN('难度参数'!$E$12,ROUND(('难度参数'!$E$18*POWER(A704,'难度参数'!$E$19)/D704*(0.85+0.3*(3-1)/MAX(1,D704-1))),0)+F704)))</x:f>
        <x:v>44</x:v>
      </x:c>
      <x:c r="AG704" s="119" t="n">
        <x:f>IF(3&gt;D704,0,ROUND(('难度参数'!$E$13*POWER(A704,'难度参数'!$E$20)*MIN('难度参数'!$E$23,1+MAX(0,A704-'难度参数'!$E$21)*'难度参数'!$E$22))*(36+3*7)/(36+7*(D704+1)/2)*E704,0))</x:f>
        <x:v>13415</x:v>
      </x:c>
      <x:c r="AH704" s="119" t="n">
        <x:f>IF(AF704=0,0,(AF704-IF(3=D704,1,0))*ROUND(AG704*VLOOKUP(INDEX('章节与怪物'!$E$31:$K$37,B704,3),'章节与怪物'!$A$41:$F$44,2,FALSE),0)+IF(3=D704,ROUND(AG704*'难度参数'!$E$28*'章节与怪物'!$E$17,0),0))</x:f>
        <x:v>1003464</x:v>
      </x:c>
      <x:c r="AI704" s="119" t="n">
        <x:f>IF(AF704=0,0,(AF704-IF(3=D704,1,0))*VLOOKUP(INDEX('章节与怪物'!$E$31:$K$37,B704,3),'章节与怪物'!$A$41:$F$44,4,FALSE)+IF(3=D704,'难度参数'!$E$30,0))</x:f>
        <x:v>1232</x:v>
      </x:c>
      <x:c r="AJ704" s="119" t="n">
        <x:f>IF(4&gt;D704,0,MAX(2,MIN('难度参数'!$E$12,ROUND(('难度参数'!$E$18*POWER(A704,'难度参数'!$E$19)/D704*(0.85+0.3*(4-1)/MAX(1,D704-1))),0)+F704)))</x:f>
        <x:v>47</x:v>
      </x:c>
      <x:c r="AK704" s="119" t="n">
        <x:f>IF(4&gt;D704,0,ROUND(('难度参数'!$E$13*POWER(A704,'难度参数'!$E$20)*MIN('难度参数'!$E$23,1+MAX(0,A704-'难度参数'!$E$21)*'难度参数'!$E$22))*(36+4*7)/(36+7*(D704+1)/2)*E704,0))</x:f>
        <x:v>15063</x:v>
      </x:c>
      <x:c r="AL704" s="119" t="n">
        <x:f>IF(AJ704=0,0,(AJ704-IF(4=D704,1,0))*ROUND(AK704*VLOOKUP(INDEX('章节与怪物'!$E$31:$K$37,B704,4),'章节与怪物'!$A$41:$F$44,2,FALSE),0)+IF(4=D704,ROUND(AK704*'难度参数'!$E$28*'章节与怪物'!$E$17,0),0))</x:f>
        <x:v>955745</x:v>
      </x:c>
      <x:c r="AM704" s="119" t="n">
        <x:f>IF(AJ704=0,0,(AJ704-IF(4=D704,1,0))*VLOOKUP(INDEX('章节与怪物'!$E$31:$K$37,B704,4),'章节与怪物'!$A$41:$F$44,4,FALSE)+IF(4=D704,'难度参数'!$E$30,0))</x:f>
        <x:v>1598</x:v>
      </x:c>
      <x:c r="AN704" s="119" t="n">
        <x:f>IF(5&gt;D704,0,MAX(2,MIN('难度参数'!$E$12,ROUND(('难度参数'!$E$18*POWER(A704,'难度参数'!$E$19)/D704*(0.85+0.3*(5-1)/MAX(1,D704-1))),0)+F704)))</x:f>
        <x:v>49</x:v>
      </x:c>
      <x:c r="AO704" s="119" t="n">
        <x:f>IF(5&gt;D704,0,ROUND(('难度参数'!$E$13*POWER(A704,'难度参数'!$E$20)*MIN('难度参数'!$E$23,1+MAX(0,A704-'难度参数'!$E$21)*'难度参数'!$E$22))*(36+5*7)/(36+7*(D704+1)/2)*E704,0))</x:f>
        <x:v>16710</x:v>
      </x:c>
      <x:c r="AP704" s="119" t="n">
        <x:f>IF(AN704=0,0,(AN704-IF(5=D704,1,0))*ROUND(AO704*VLOOKUP(INDEX('章节与怪物'!$E$31:$K$37,B704,5),'章节与怪物'!$A$41:$F$44,2,FALSE),0)+IF(5=D704,ROUND(AO704*'难度参数'!$E$28*'章节与怪物'!$E$17,0),0))</x:f>
        <x:v>589519</x:v>
      </x:c>
      <x:c r="AQ704" s="119" t="n">
        <x:f>IF(AN704=0,0,(AN704-IF(5=D704,1,0))*VLOOKUP(INDEX('章节与怪物'!$E$31:$K$37,B704,5),'章节与怪物'!$A$41:$F$44,4,FALSE)+IF(5=D704,'难度参数'!$E$30,0))</x:f>
        <x:v>980</x:v>
      </x:c>
      <x:c r="AR704" s="119" t="n">
        <x:f>IF(6&gt;D704,0,MAX(2,MIN('难度参数'!$E$12,ROUND(('难度参数'!$E$18*POWER(A704,'难度参数'!$E$19)/D704*(0.85+0.3*(6-1)/MAX(1,D704-1))),0)+F704)))</x:f>
        <x:v>51</x:v>
      </x:c>
      <x:c r="AS704" s="119" t="n">
        <x:f>IF(6&gt;D704,0,ROUND(('难度参数'!$E$13*POWER(A704,'难度参数'!$E$20)*MIN('难度参数'!$E$23,1+MAX(0,A704-'难度参数'!$E$21)*'难度参数'!$E$22))*(36+6*7)/(36+7*(D704+1)/2)*E704,0))</x:f>
        <x:v>18358</x:v>
      </x:c>
      <x:c r="AT704" s="119" t="n">
        <x:f>IF(AR704=0,0,(AR704-IF(6=D704,1,0))*ROUND(AS704*VLOOKUP(INDEX('章节与怪物'!$E$31:$K$37,B704,6),'章节与怪物'!$A$41:$F$44,2,FALSE),0)+IF(6=D704,ROUND(AS704*'难度参数'!$E$28*'章节与怪物'!$E$17,0),0))</x:f>
        <x:v>1591659</x:v>
      </x:c>
      <x:c r="AU704" s="119" t="n">
        <x:f>IF(AR704=0,0,(AR704-IF(6=D704,1,0))*VLOOKUP(INDEX('章节与怪物'!$E$31:$K$37,B704,6),'章节与怪物'!$A$41:$F$44,4,FALSE)+IF(6=D704,'难度参数'!$E$30,0))</x:f>
        <x:v>1428</x:v>
      </x:c>
      <x:c r="AV704" s="119" t="n">
        <x:f>IF(7&gt;D704,0,MAX(2,MIN('难度参数'!$E$12,ROUND(('难度参数'!$E$18*POWER(A704,'难度参数'!$E$19)/D704*(0.85+0.3*(7-1)/MAX(1,D704-1))),0)+F704)))</x:f>
        <x:v>54</x:v>
      </x:c>
      <x:c r="AW704" s="119" t="n">
        <x:f>IF(7&gt;D704,0,ROUND(('难度参数'!$E$13*POWER(A704,'难度参数'!$E$20)*MIN('难度参数'!$E$23,1+MAX(0,A704-'难度参数'!$E$21)*'难度参数'!$E$22))*(36+7*7)/(36+7*(D704+1)/2)*E704,0))</x:f>
        <x:v>20005</x:v>
      </x:c>
      <x:c r="AX704" s="119" t="n">
        <x:f>IF(AV704=0,0,(AV704-IF(7=D704,1,0))*ROUND(AW704*VLOOKUP(INDEX('章节与怪物'!$E$31:$K$37,B704,7),'章节与怪物'!$A$41:$F$44,2,FALSE),0)+IF(7=D704,ROUND(AW704*'难度参数'!$E$28*'章节与怪物'!$E$17,0),0))</x:f>
        <x:v>1567405</x:v>
      </x:c>
      <x:c r="AY704" s="119" t="n">
        <x:f>IF(AV704=0,0,(AV704-IF(7=D704,1,0))*VLOOKUP(INDEX('章节与怪物'!$E$31:$K$37,B704,7),'章节与怪物'!$A$41:$F$44,4,FALSE)+IF(7=D704,'难度参数'!$E$30,0))</x:f>
        <x:v>2002</x:v>
      </x:c>
    </x:row>
    <x:row r="705" ht="23" customHeight="1">
      <x:c r="A705" s="119" t="n">
        <x:v>699</x:v>
      </x:c>
      <x:c r="B705" s="119" t="n">
        <x:f>MOD(INT((A705-1)/5),7)+1</x:f>
        <x:v>7</x:v>
      </x:c>
      <x:c r="C705" s="62" t="str">
        <x:f>INDEX('章节与怪物'!$B$31:$B$37,B705)</x:f>
        <x:v>魔法山脊</x:v>
      </x:c>
      <x:c r="D705" s="119" t="n">
        <x:f>MIN('难度参数'!$E$8,MAX('难度参数'!$E$7,A705))</x:f>
        <x:v>7</x:v>
      </x:c>
      <x:c r="E705" s="106" t="n">
        <x:v>1</x:v>
      </x:c>
      <x:c r="F705" s="106" t="n">
        <x:v>0</x:v>
      </x:c>
      <x:c r="G705" s="106" t="n">
        <x:v>1</x:v>
      </x:c>
      <x:c r="H705" s="119" t="n">
        <x:f>SUM(X705,AB705,AF705,AJ705,AN705,AR705,AV705)</x:f>
        <x:v>327</x:v>
      </x:c>
      <x:c r="I705" s="119" t="n">
        <x:f>SUM(Z705,AD705,AH705,AL705,AP705,AT705,AX705)</x:f>
        <x:v>6475124</x:v>
      </x:c>
      <x:c r="J705" s="119" t="n">
        <x:f>ROUND(INDEX(X705:AY705,1,(D705-1)*4+2)*'难度参数'!$E$28*'章节与怪物'!$E$17,0)</x:f>
        <x:v>136177</x:v>
      </x:c>
      <x:c r="K705" s="119" t="n">
        <x:f>SUM(AA705,AE705,AI705,AM705,AQ705,AU705,AY705)</x:f>
        <x:v>8800</x:v>
      </x:c>
      <x:c r="L705" s="62" t="n">
        <x:f>H705*(ROUNDUP('难度参数'!$E$24/('难度参数'!$E$26*'难度参数'!$E$27),0)*'难度参数'!$E$26)/60</x:f>
        <x:v>4.36</x:v>
      </x:c>
      <x:c r="M705" s="62" t="n">
        <x:f>L705+D705*('难度参数'!$E$49+'难度参数'!$E$50)/60</x:f>
        <x:v>5.526666666666667</x:v>
      </x:c>
      <x:c r="N705" s="119" t="n">
        <x:f>ROUNDDOWN(('经济参数'!$E$20+A705*'经济参数'!$E$21)*G705,0)</x:f>
        <x:v>14160</x:v>
      </x:c>
      <x:c r="O705" s="119" t="n">
        <x:f>ROUNDDOWN(MIN('经济参数'!$E$24,'经济参数'!$E$22+A705*'经济参数'!$E$23)*G705,0)</x:f>
        <x:v>0</x:v>
      </x:c>
      <x:c r="P705" s="119" t="n">
        <x:f>ROUNDDOWN((IF(A705&gt;='材料与任务'!$E$31,'材料与任务'!$E$32,IF(A705&gt;='材料与任务'!$E$25,'材料与任务'!$E$26,IF(A705&gt;='材料与任务'!$E$19,'材料与任务'!$E$20,IF(A705&gt;='材料与任务'!$E$13,'材料与任务'!$E$14,'材料与任务'!$E$8)))))*G705,0)</x:f>
        <x:v>6</x:v>
      </x:c>
      <x:c r="Q705" s="119" t="n">
        <x:f>ROUNDDOWN((IF(A705&gt;='材料与任务'!$E$31,'材料与任务'!$E$33,IF(A705&gt;='材料与任务'!$E$25,'材料与任务'!$E$27,IF(A705&gt;='材料与任务'!$E$19,'材料与任务'!$E$21,IF(A705&gt;='材料与任务'!$E$13,'材料与任务'!$E$15,'材料与任务'!$E$9)))))*G705,0)</x:f>
        <x:v>3</x:v>
      </x:c>
      <x:c r="R705" s="110" t="n">
        <x:f>'装备掉落'!$B$38</x:f>
        <x:v>0.6872058758851213</x:v>
      </x:c>
      <x:c r="S705" s="119" t="n">
        <x:f>MAX(IF(VLOOKUP(A705,'装备掉落'!$A$29:$H$34,2,TRUE)&gt;0,1,0),IF(VLOOKUP(A705,'装备掉落'!$A$29:$H$34,3,TRUE)&gt;0,2,0),IF(VLOOKUP(A705,'装备掉落'!$A$29:$H$34,4,TRUE)&gt;0,3,0),IF(VLOOKUP(A705,'装备掉落'!$A$29:$H$34,5,TRUE)&gt;0,4,0),IF(VLOOKUP(A705,'装备掉落'!$A$29:$H$34,6,TRUE)&gt;0,5,0),IF(VLOOKUP(A705,'装备掉落'!$A$29:$H$34,7,TRUE)&gt;0,6,0),IF(VLOOKUP(A705,'装备掉落'!$A$29:$H$34,8,TRUE)&gt;0,7,0))</x:f>
        <x:v>7</x:v>
      </x:c>
      <x:c r="T705" s="119" t="n">
        <x:f>MIN(7,S705+'经济参数'!$E$70)</x:f>
        <x:v>7</x:v>
      </x:c>
      <x:c r="U705" s="119" t="n">
        <x:f>MIN(7,S705+'经济参数'!$E$71)</x:f>
        <x:v>7</x:v>
      </x:c>
      <x:c r="V705" s="119" t="n">
        <x:f>IF(H705&gt;=('难度参数'!$E$52),1,0)+IF(H705&gt;=('难度参数'!$E$52+'难度参数'!$E$53),1,0)+IF(H705&gt;=('难度参数'!$E$52+'难度参数'!$E$53+'难度参数'!$E$54),1,0)+IF(H705&gt;=('难度参数'!$E$52+'难度参数'!$E$53+'难度参数'!$E$54+'难度参数'!$E$55),1,0)+IF(H705&gt;=('难度参数'!$E$52+'难度参数'!$E$53+'难度参数'!$E$54+'难度参数'!$E$55+'难度参数'!$E$56),1,0)+IF(H705&gt;=('难度参数'!$E$52+'难度参数'!$E$53+'难度参数'!$E$54+'难度参数'!$E$55+'难度参数'!$E$56+'难度参数'!$E$57),1,0)</x:f>
        <x:v>6</x:v>
      </x:c>
      <x:c r="W705" s="62" t="str">
        <x:f>IF(L705&gt;'难度参数'!$E$51,"仅出怪已超目标","还需实测")</x:f>
        <x:v>仅出怪已超目标</x:v>
      </x:c>
      <x:c r="X705" s="119" t="n">
        <x:f>IF(1&gt;D705,0,MAX(2,MIN('难度参数'!$E$12,ROUND(('难度参数'!$E$18*POWER(A705,'难度参数'!$E$19)/D705*(0.85+0.3*(1-1)/MAX(1,D705-1))),0)+F705)))</x:f>
        <x:v>40</x:v>
      </x:c>
      <x:c r="Y705" s="119" t="n">
        <x:f>IF(1&gt;D705,0,ROUND(('难度参数'!$E$13*POWER(A705,'难度参数'!$E$20)*MIN('难度参数'!$E$23,1+MAX(0,A705-'难度参数'!$E$21)*'难度参数'!$E$22))*(36+1*7)/(36+7*(D705+1)/2)*E705,0))</x:f>
        <x:v>10131</x:v>
      </x:c>
      <x:c r="Z705" s="119" t="n">
        <x:f>IF(X705=0,0,(X705-IF(1=D705,1,0))*ROUND(Y705*VLOOKUP(INDEX('章节与怪物'!$E$31:$K$37,B705,1),'章节与怪物'!$A$41:$F$44,2,FALSE),0)+IF(1=D705,ROUND(Y705*'难度参数'!$E$28*'章节与怪物'!$E$17,0),0))</x:f>
        <x:v>405240</x:v>
      </x:c>
      <x:c r="AA705" s="119" t="n">
        <x:f>IF(X705=0,0,(X705-IF(1=D705,1,0))*VLOOKUP(INDEX('章节与怪物'!$E$31:$K$37,B705,1),'章节与怪物'!$A$41:$F$44,4,FALSE)+IF(1=D705,'难度参数'!$E$30,0))</x:f>
        <x:v>720</x:v>
      </x:c>
      <x:c r="AB705" s="119" t="n">
        <x:f>IF(2&gt;D705,0,MAX(2,MIN('难度参数'!$E$12,ROUND(('难度参数'!$E$18*POWER(A705,'难度参数'!$E$19)/D705*(0.85+0.3*(2-1)/MAX(1,D705-1))),0)+F705)))</x:f>
        <x:v>42</x:v>
      </x:c>
      <x:c r="AC705" s="119" t="n">
        <x:f>IF(2&gt;D705,0,ROUND(('难度参数'!$E$13*POWER(A705,'难度参数'!$E$20)*MIN('难度参数'!$E$23,1+MAX(0,A705-'难度参数'!$E$21)*'难度参数'!$E$22))*(36+2*7)/(36+7*(D705+1)/2)*E705,0))</x:f>
        <x:v>11780</x:v>
      </x:c>
      <x:c r="AD705" s="119" t="n">
        <x:f>IF(AB705=0,0,(AB705-IF(2=D705,1,0))*ROUND(AC705*VLOOKUP(INDEX('章节与怪物'!$E$31:$K$37,B705,2),'章节与怪物'!$A$41:$F$44,2,FALSE),0)+IF(2=D705,ROUND(AC705*'难度参数'!$E$28*'章节与怪物'!$E$17,0),0))</x:f>
        <x:v>356244</x:v>
      </x:c>
      <x:c r="AE705" s="119" t="n">
        <x:f>IF(AB705=0,0,(AB705-IF(2=D705,1,0))*VLOOKUP(INDEX('章节与怪物'!$E$31:$K$37,B705,2),'章节与怪物'!$A$41:$F$44,4,FALSE)+IF(2=D705,'难度参数'!$E$30,0))</x:f>
        <x:v>840</x:v>
      </x:c>
      <x:c r="AF705" s="119" t="n">
        <x:f>IF(3&gt;D705,0,MAX(2,MIN('难度参数'!$E$12,ROUND(('难度参数'!$E$18*POWER(A705,'难度参数'!$E$19)/D705*(0.85+0.3*(3-1)/MAX(1,D705-1))),0)+F705)))</x:f>
        <x:v>44</x:v>
      </x:c>
      <x:c r="AG705" s="119" t="n">
        <x:f>IF(3&gt;D705,0,ROUND(('难度参数'!$E$13*POWER(A705,'难度参数'!$E$20)*MIN('难度参数'!$E$23,1+MAX(0,A705-'难度参数'!$E$21)*'难度参数'!$E$22))*(36+3*7)/(36+7*(D705+1)/2)*E705,0))</x:f>
        <x:v>13429</x:v>
      </x:c>
      <x:c r="AH705" s="119" t="n">
        <x:f>IF(AF705=0,0,(AF705-IF(3=D705,1,0))*ROUND(AG705*VLOOKUP(INDEX('章节与怪物'!$E$31:$K$37,B705,3),'章节与怪物'!$A$41:$F$44,2,FALSE),0)+IF(3=D705,ROUND(AG705*'难度参数'!$E$28*'章节与怪物'!$E$17,0),0))</x:f>
        <x:v>1004476</x:v>
      </x:c>
      <x:c r="AI705" s="119" t="n">
        <x:f>IF(AF705=0,0,(AF705-IF(3=D705,1,0))*VLOOKUP(INDEX('章节与怪物'!$E$31:$K$37,B705,3),'章节与怪物'!$A$41:$F$44,4,FALSE)+IF(3=D705,'难度参数'!$E$30,0))</x:f>
        <x:v>1232</x:v>
      </x:c>
      <x:c r="AJ705" s="119" t="n">
        <x:f>IF(4&gt;D705,0,MAX(2,MIN('难度参数'!$E$12,ROUND(('难度参数'!$E$18*POWER(A705,'难度参数'!$E$19)/D705*(0.85+0.3*(4-1)/MAX(1,D705-1))),0)+F705)))</x:f>
        <x:v>47</x:v>
      </x:c>
      <x:c r="AK705" s="119" t="n">
        <x:f>IF(4&gt;D705,0,ROUND(('难度参数'!$E$13*POWER(A705,'难度参数'!$E$20)*MIN('难度参数'!$E$23,1+MAX(0,A705-'难度参数'!$E$21)*'难度参数'!$E$22))*(36+4*7)/(36+7*(D705+1)/2)*E705,0))</x:f>
        <x:v>15078</x:v>
      </x:c>
      <x:c r="AL705" s="119" t="n">
        <x:f>IF(AJ705=0,0,(AJ705-IF(4=D705,1,0))*ROUND(AK705*VLOOKUP(INDEX('章节与怪物'!$E$31:$K$37,B705,4),'章节与怪物'!$A$41:$F$44,2,FALSE),0)+IF(4=D705,ROUND(AK705*'难度参数'!$E$28*'章节与怪物'!$E$17,0),0))</x:f>
        <x:v>956685</x:v>
      </x:c>
      <x:c r="AM705" s="119" t="n">
        <x:f>IF(AJ705=0,0,(AJ705-IF(4=D705,1,0))*VLOOKUP(INDEX('章节与怪物'!$E$31:$K$37,B705,4),'章节与怪物'!$A$41:$F$44,4,FALSE)+IF(4=D705,'难度参数'!$E$30,0))</x:f>
        <x:v>1598</x:v>
      </x:c>
      <x:c r="AN705" s="119" t="n">
        <x:f>IF(5&gt;D705,0,MAX(2,MIN('难度参数'!$E$12,ROUND(('难度参数'!$E$18*POWER(A705,'难度参数'!$E$19)/D705*(0.85+0.3*(5-1)/MAX(1,D705-1))),0)+F705)))</x:f>
        <x:v>49</x:v>
      </x:c>
      <x:c r="AO705" s="119" t="n">
        <x:f>IF(5&gt;D705,0,ROUND(('难度参数'!$E$13*POWER(A705,'难度参数'!$E$20)*MIN('难度参数'!$E$23,1+MAX(0,A705-'难度参数'!$E$21)*'难度参数'!$E$22))*(36+5*7)/(36+7*(D705+1)/2)*E705,0))</x:f>
        <x:v>16728</x:v>
      </x:c>
      <x:c r="AP705" s="119" t="n">
        <x:f>IF(AN705=0,0,(AN705-IF(5=D705,1,0))*ROUND(AO705*VLOOKUP(INDEX('章节与怪物'!$E$31:$K$37,B705,5),'章节与怪物'!$A$41:$F$44,2,FALSE),0)+IF(5=D705,ROUND(AO705*'难度参数'!$E$28*'章节与怪物'!$E$17,0),0))</x:f>
        <x:v>590156</x:v>
      </x:c>
      <x:c r="AQ705" s="119" t="n">
        <x:f>IF(AN705=0,0,(AN705-IF(5=D705,1,0))*VLOOKUP(INDEX('章节与怪物'!$E$31:$K$37,B705,5),'章节与怪物'!$A$41:$F$44,4,FALSE)+IF(5=D705,'难度参数'!$E$30,0))</x:f>
        <x:v>980</x:v>
      </x:c>
      <x:c r="AR705" s="119" t="n">
        <x:f>IF(6&gt;D705,0,MAX(2,MIN('难度参数'!$E$12,ROUND(('难度参数'!$E$18*POWER(A705,'难度参数'!$E$19)/D705*(0.85+0.3*(6-1)/MAX(1,D705-1))),0)+F705)))</x:f>
        <x:v>51</x:v>
      </x:c>
      <x:c r="AS705" s="119" t="n">
        <x:f>IF(6&gt;D705,0,ROUND(('难度参数'!$E$13*POWER(A705,'难度参数'!$E$20)*MIN('难度参数'!$E$23,1+MAX(0,A705-'难度参数'!$E$21)*'难度参数'!$E$22))*(36+6*7)/(36+7*(D705+1)/2)*E705,0))</x:f>
        <x:v>18377</x:v>
      </x:c>
      <x:c r="AT705" s="119" t="n">
        <x:f>IF(AR705=0,0,(AR705-IF(6=D705,1,0))*ROUND(AS705*VLOOKUP(INDEX('章节与怪物'!$E$31:$K$37,B705,6),'章节与怪物'!$A$41:$F$44,2,FALSE),0)+IF(6=D705,ROUND(AS705*'难度参数'!$E$28*'章节与怪物'!$E$17,0),0))</x:f>
        <x:v>1593291</x:v>
      </x:c>
      <x:c r="AU705" s="119" t="n">
        <x:f>IF(AR705=0,0,(AR705-IF(6=D705,1,0))*VLOOKUP(INDEX('章节与怪物'!$E$31:$K$37,B705,6),'章节与怪物'!$A$41:$F$44,4,FALSE)+IF(6=D705,'难度参数'!$E$30,0))</x:f>
        <x:v>1428</x:v>
      </x:c>
      <x:c r="AV705" s="119" t="n">
        <x:f>IF(7&gt;D705,0,MAX(2,MIN('难度参数'!$E$12,ROUND(('难度参数'!$E$18*POWER(A705,'难度参数'!$E$19)/D705*(0.85+0.3*(7-1)/MAX(1,D705-1))),0)+F705)))</x:f>
        <x:v>54</x:v>
      </x:c>
      <x:c r="AW705" s="119" t="n">
        <x:f>IF(7&gt;D705,0,ROUND(('难度参数'!$E$13*POWER(A705,'难度参数'!$E$20)*MIN('难度参数'!$E$23,1+MAX(0,A705-'难度参数'!$E$21)*'难度参数'!$E$22))*(36+7*7)/(36+7*(D705+1)/2)*E705,0))</x:f>
        <x:v>20026</x:v>
      </x:c>
      <x:c r="AX705" s="119" t="n">
        <x:f>IF(AV705=0,0,(AV705-IF(7=D705,1,0))*ROUND(AW705*VLOOKUP(INDEX('章节与怪物'!$E$31:$K$37,B705,7),'章节与怪物'!$A$41:$F$44,2,FALSE),0)+IF(7=D705,ROUND(AW705*'难度参数'!$E$28*'章节与怪物'!$E$17,0),0))</x:f>
        <x:v>1569032</x:v>
      </x:c>
      <x:c r="AY705" s="119" t="n">
        <x:f>IF(AV705=0,0,(AV705-IF(7=D705,1,0))*VLOOKUP(INDEX('章节与怪物'!$E$31:$K$37,B705,7),'章节与怪物'!$A$41:$F$44,4,FALSE)+IF(7=D705,'难度参数'!$E$30,0))</x:f>
        <x:v>2002</x:v>
      </x:c>
    </x:row>
    <x:row r="706" ht="23" customHeight="1">
      <x:c r="A706" s="119" t="n">
        <x:v>700</x:v>
      </x:c>
      <x:c r="B706" s="119" t="n">
        <x:f>MOD(INT((A706-1)/5),7)+1</x:f>
        <x:v>7</x:v>
      </x:c>
      <x:c r="C706" s="62" t="str">
        <x:f>INDEX('章节与怪物'!$B$31:$B$37,B706)</x:f>
        <x:v>魔法山脊</x:v>
      </x:c>
      <x:c r="D706" s="119" t="n">
        <x:f>MIN('难度参数'!$E$8,MAX('难度参数'!$E$7,A706))</x:f>
        <x:v>7</x:v>
      </x:c>
      <x:c r="E706" s="106" t="n">
        <x:v>1</x:v>
      </x:c>
      <x:c r="F706" s="106" t="n">
        <x:v>0</x:v>
      </x:c>
      <x:c r="G706" s="106" t="n">
        <x:v>1</x:v>
      </x:c>
      <x:c r="H706" s="119" t="n">
        <x:f>SUM(X706,AB706,AF706,AJ706,AN706,AR706,AV706)</x:f>
        <x:v>327</x:v>
      </x:c>
      <x:c r="I706" s="119" t="n">
        <x:f>SUM(Z706,AD706,AH706,AL706,AP706,AT706,AX706)</x:f>
        <x:v>6481797</x:v>
      </x:c>
      <x:c r="J706" s="119" t="n">
        <x:f>ROUND(INDEX(X706:AY706,1,(D706-1)*4+2)*'难度参数'!$E$28*'章节与怪物'!$E$17,0)</x:f>
        <x:v>136320</x:v>
      </x:c>
      <x:c r="K706" s="119" t="n">
        <x:f>SUM(AA706,AE706,AI706,AM706,AQ706,AU706,AY706)</x:f>
        <x:v>8800</x:v>
      </x:c>
      <x:c r="L706" s="62" t="n">
        <x:f>H706*(ROUNDUP('难度参数'!$E$24/('难度参数'!$E$26*'难度参数'!$E$27),0)*'难度参数'!$E$26)/60</x:f>
        <x:v>4.36</x:v>
      </x:c>
      <x:c r="M706" s="62" t="n">
        <x:f>L706+D706*('难度参数'!$E$49+'难度参数'!$E$50)/60</x:f>
        <x:v>5.526666666666667</x:v>
      </x:c>
      <x:c r="N706" s="119" t="n">
        <x:f>ROUNDDOWN(('经济参数'!$E$20+A706*'经济参数'!$E$21)*G706,0)</x:f>
        <x:v>14180</x:v>
      </x:c>
      <x:c r="O706" s="119" t="n">
        <x:f>ROUNDDOWN(MIN('经济参数'!$E$24,'经济参数'!$E$22+A706*'经济参数'!$E$23)*G706,0)</x:f>
        <x:v>0</x:v>
      </x:c>
      <x:c r="P706" s="119" t="n">
        <x:f>ROUNDDOWN((IF(A706&gt;='材料与任务'!$E$31,'材料与任务'!$E$32,IF(A706&gt;='材料与任务'!$E$25,'材料与任务'!$E$26,IF(A706&gt;='材料与任务'!$E$19,'材料与任务'!$E$20,IF(A706&gt;='材料与任务'!$E$13,'材料与任务'!$E$14,'材料与任务'!$E$8)))))*G706,0)</x:f>
        <x:v>6</x:v>
      </x:c>
      <x:c r="Q706" s="119" t="n">
        <x:f>ROUNDDOWN((IF(A706&gt;='材料与任务'!$E$31,'材料与任务'!$E$33,IF(A706&gt;='材料与任务'!$E$25,'材料与任务'!$E$27,IF(A706&gt;='材料与任务'!$E$19,'材料与任务'!$E$21,IF(A706&gt;='材料与任务'!$E$13,'材料与任务'!$E$15,'材料与任务'!$E$9)))))*G706,0)</x:f>
        <x:v>3</x:v>
      </x:c>
      <x:c r="R706" s="110" t="n">
        <x:f>'装备掉落'!$B$38</x:f>
        <x:v>0.6872058758851213</x:v>
      </x:c>
      <x:c r="S706" s="119" t="n">
        <x:f>MAX(IF(VLOOKUP(A706,'装备掉落'!$A$29:$H$34,2,TRUE)&gt;0,1,0),IF(VLOOKUP(A706,'装备掉落'!$A$29:$H$34,3,TRUE)&gt;0,2,0),IF(VLOOKUP(A706,'装备掉落'!$A$29:$H$34,4,TRUE)&gt;0,3,0),IF(VLOOKUP(A706,'装备掉落'!$A$29:$H$34,5,TRUE)&gt;0,4,0),IF(VLOOKUP(A706,'装备掉落'!$A$29:$H$34,6,TRUE)&gt;0,5,0),IF(VLOOKUP(A706,'装备掉落'!$A$29:$H$34,7,TRUE)&gt;0,6,0),IF(VLOOKUP(A706,'装备掉落'!$A$29:$H$34,8,TRUE)&gt;0,7,0))</x:f>
        <x:v>7</x:v>
      </x:c>
      <x:c r="T706" s="119" t="n">
        <x:f>MIN(7,S706+'经济参数'!$E$70)</x:f>
        <x:v>7</x:v>
      </x:c>
      <x:c r="U706" s="119" t="n">
        <x:f>MIN(7,S706+'经济参数'!$E$71)</x:f>
        <x:v>7</x:v>
      </x:c>
      <x:c r="V706" s="119" t="n">
        <x:f>IF(H706&gt;=('难度参数'!$E$52),1,0)+IF(H706&gt;=('难度参数'!$E$52+'难度参数'!$E$53),1,0)+IF(H706&gt;=('难度参数'!$E$52+'难度参数'!$E$53+'难度参数'!$E$54),1,0)+IF(H706&gt;=('难度参数'!$E$52+'难度参数'!$E$53+'难度参数'!$E$54+'难度参数'!$E$55),1,0)+IF(H706&gt;=('难度参数'!$E$52+'难度参数'!$E$53+'难度参数'!$E$54+'难度参数'!$E$55+'难度参数'!$E$56),1,0)+IF(H706&gt;=('难度参数'!$E$52+'难度参数'!$E$53+'难度参数'!$E$54+'难度参数'!$E$55+'难度参数'!$E$56+'难度参数'!$E$57),1,0)</x:f>
        <x:v>6</x:v>
      </x:c>
      <x:c r="W706" s="62" t="str">
        <x:f>IF(L706&gt;'难度参数'!$E$51,"仅出怪已超目标","还需实测")</x:f>
        <x:v>仅出怪已超目标</x:v>
      </x:c>
      <x:c r="X706" s="119" t="n">
        <x:f>IF(1&gt;D706,0,MAX(2,MIN('难度参数'!$E$12,ROUND(('难度参数'!$E$18*POWER(A706,'难度参数'!$E$19)/D706*(0.85+0.3*(1-1)/MAX(1,D706-1))),0)+F706)))</x:f>
        <x:v>40</x:v>
      </x:c>
      <x:c r="Y706" s="119" t="n">
        <x:f>IF(1&gt;D706,0,ROUND(('难度参数'!$E$13*POWER(A706,'难度参数'!$E$20)*MIN('难度参数'!$E$23,1+MAX(0,A706-'难度参数'!$E$21)*'难度参数'!$E$22))*(36+1*7)/(36+7*(D706+1)/2)*E706,0))</x:f>
        <x:v>10141</x:v>
      </x:c>
      <x:c r="Z706" s="119" t="n">
        <x:f>IF(X706=0,0,(X706-IF(1=D706,1,0))*ROUND(Y706*VLOOKUP(INDEX('章节与怪物'!$E$31:$K$37,B706,1),'章节与怪物'!$A$41:$F$44,2,FALSE),0)+IF(1=D706,ROUND(Y706*'难度参数'!$E$28*'章节与怪物'!$E$17,0),0))</x:f>
        <x:v>405640</x:v>
      </x:c>
      <x:c r="AA706" s="119" t="n">
        <x:f>IF(X706=0,0,(X706-IF(1=D706,1,0))*VLOOKUP(INDEX('章节与怪物'!$E$31:$K$37,B706,1),'章节与怪物'!$A$41:$F$44,4,FALSE)+IF(1=D706,'难度参数'!$E$30,0))</x:f>
        <x:v>720</x:v>
      </x:c>
      <x:c r="AB706" s="119" t="n">
        <x:f>IF(2&gt;D706,0,MAX(2,MIN('难度参数'!$E$12,ROUND(('难度参数'!$E$18*POWER(A706,'难度参数'!$E$19)/D706*(0.85+0.3*(2-1)/MAX(1,D706-1))),0)+F706)))</x:f>
        <x:v>42</x:v>
      </x:c>
      <x:c r="AC706" s="119" t="n">
        <x:f>IF(2&gt;D706,0,ROUND(('难度参数'!$E$13*POWER(A706,'难度参数'!$E$20)*MIN('难度参数'!$E$23,1+MAX(0,A706-'难度参数'!$E$21)*'难度参数'!$E$22))*(36+2*7)/(36+7*(D706+1)/2)*E706,0))</x:f>
        <x:v>11792</x:v>
      </x:c>
      <x:c r="AD706" s="119" t="n">
        <x:f>IF(AB706=0,0,(AB706-IF(2=D706,1,0))*ROUND(AC706*VLOOKUP(INDEX('章节与怪物'!$E$31:$K$37,B706,2),'章节与怪物'!$A$41:$F$44,2,FALSE),0)+IF(2=D706,ROUND(AC706*'难度参数'!$E$28*'章节与怪物'!$E$17,0),0))</x:f>
        <x:v>356580</x:v>
      </x:c>
      <x:c r="AE706" s="119" t="n">
        <x:f>IF(AB706=0,0,(AB706-IF(2=D706,1,0))*VLOOKUP(INDEX('章节与怪物'!$E$31:$K$37,B706,2),'章节与怪物'!$A$41:$F$44,4,FALSE)+IF(2=D706,'难度参数'!$E$30,0))</x:f>
        <x:v>840</x:v>
      </x:c>
      <x:c r="AF706" s="119" t="n">
        <x:f>IF(3&gt;D706,0,MAX(2,MIN('难度参数'!$E$12,ROUND(('难度参数'!$E$18*POWER(A706,'难度参数'!$E$19)/D706*(0.85+0.3*(3-1)/MAX(1,D706-1))),0)+F706)))</x:f>
        <x:v>44</x:v>
      </x:c>
      <x:c r="AG706" s="119" t="n">
        <x:f>IF(3&gt;D706,0,ROUND(('难度参数'!$E$13*POWER(A706,'难度参数'!$E$20)*MIN('难度参数'!$E$23,1+MAX(0,A706-'难度参数'!$E$21)*'难度参数'!$E$22))*(36+3*7)/(36+7*(D706+1)/2)*E706,0))</x:f>
        <x:v>13443</x:v>
      </x:c>
      <x:c r="AH706" s="119" t="n">
        <x:f>IF(AF706=0,0,(AF706-IF(3=D706,1,0))*ROUND(AG706*VLOOKUP(INDEX('章节与怪物'!$E$31:$K$37,B706,3),'章节与怪物'!$A$41:$F$44,2,FALSE),0)+IF(3=D706,ROUND(AG706*'难度参数'!$E$28*'章节与怪物'!$E$17,0),0))</x:f>
        <x:v>1005532</x:v>
      </x:c>
      <x:c r="AI706" s="119" t="n">
        <x:f>IF(AF706=0,0,(AF706-IF(3=D706,1,0))*VLOOKUP(INDEX('章节与怪物'!$E$31:$K$37,B706,3),'章节与怪物'!$A$41:$F$44,4,FALSE)+IF(3=D706,'难度参数'!$E$30,0))</x:f>
        <x:v>1232</x:v>
      </x:c>
      <x:c r="AJ706" s="119" t="n">
        <x:f>IF(4&gt;D706,0,MAX(2,MIN('难度参数'!$E$12,ROUND(('难度参数'!$E$18*POWER(A706,'难度参数'!$E$19)/D706*(0.85+0.3*(4-1)/MAX(1,D706-1))),0)+F706)))</x:f>
        <x:v>47</x:v>
      </x:c>
      <x:c r="AK706" s="119" t="n">
        <x:f>IF(4&gt;D706,0,ROUND(('难度参数'!$E$13*POWER(A706,'难度参数'!$E$20)*MIN('难度参数'!$E$23,1+MAX(0,A706-'难度参数'!$E$21)*'难度参数'!$E$22))*(36+4*7)/(36+7*(D706+1)/2)*E706,0))</x:f>
        <x:v>15094</x:v>
      </x:c>
      <x:c r="AL706" s="119" t="n">
        <x:f>IF(AJ706=0,0,(AJ706-IF(4=D706,1,0))*ROUND(AK706*VLOOKUP(INDEX('章节与怪物'!$E$31:$K$37,B706,4),'章节与怪物'!$A$41:$F$44,2,FALSE),0)+IF(4=D706,ROUND(AK706*'难度参数'!$E$28*'章节与怪物'!$E$17,0),0))</x:f>
        <x:v>957719</x:v>
      </x:c>
      <x:c r="AM706" s="119" t="n">
        <x:f>IF(AJ706=0,0,(AJ706-IF(4=D706,1,0))*VLOOKUP(INDEX('章节与怪物'!$E$31:$K$37,B706,4),'章节与怪物'!$A$41:$F$44,4,FALSE)+IF(4=D706,'难度参数'!$E$30,0))</x:f>
        <x:v>1598</x:v>
      </x:c>
      <x:c r="AN706" s="119" t="n">
        <x:f>IF(5&gt;D706,0,MAX(2,MIN('难度参数'!$E$12,ROUND(('难度参数'!$E$18*POWER(A706,'难度参数'!$E$19)/D706*(0.85+0.3*(5-1)/MAX(1,D706-1))),0)+F706)))</x:f>
        <x:v>49</x:v>
      </x:c>
      <x:c r="AO706" s="119" t="n">
        <x:f>IF(5&gt;D706,0,ROUND(('难度参数'!$E$13*POWER(A706,'难度参数'!$E$20)*MIN('难度参数'!$E$23,1+MAX(0,A706-'难度参数'!$E$21)*'难度参数'!$E$22))*(36+5*7)/(36+7*(D706+1)/2)*E706,0))</x:f>
        <x:v>16745</x:v>
      </x:c>
      <x:c r="AP706" s="119" t="n">
        <x:f>IF(AN706=0,0,(AN706-IF(5=D706,1,0))*ROUND(AO706*VLOOKUP(INDEX('章节与怪物'!$E$31:$K$37,B706,5),'章节与怪物'!$A$41:$F$44,2,FALSE),0)+IF(5=D706,ROUND(AO706*'难度参数'!$E$28*'章节与怪物'!$E$17,0),0))</x:f>
        <x:v>590744</x:v>
      </x:c>
      <x:c r="AQ706" s="119" t="n">
        <x:f>IF(AN706=0,0,(AN706-IF(5=D706,1,0))*VLOOKUP(INDEX('章节与怪物'!$E$31:$K$37,B706,5),'章节与怪物'!$A$41:$F$44,4,FALSE)+IF(5=D706,'难度参数'!$E$30,0))</x:f>
        <x:v>980</x:v>
      </x:c>
      <x:c r="AR706" s="119" t="n">
        <x:f>IF(6&gt;D706,0,MAX(2,MIN('难度参数'!$E$12,ROUND(('难度参数'!$E$18*POWER(A706,'难度参数'!$E$19)/D706*(0.85+0.3*(6-1)/MAX(1,D706-1))),0)+F706)))</x:f>
        <x:v>51</x:v>
      </x:c>
      <x:c r="AS706" s="119" t="n">
        <x:f>IF(6&gt;D706,0,ROUND(('难度参数'!$E$13*POWER(A706,'难度参数'!$E$20)*MIN('难度参数'!$E$23,1+MAX(0,A706-'难度参数'!$E$21)*'难度参数'!$E$22))*(36+6*7)/(36+7*(D706+1)/2)*E706,0))</x:f>
        <x:v>18396</x:v>
      </x:c>
      <x:c r="AT706" s="119" t="n">
        <x:f>IF(AR706=0,0,(AR706-IF(6=D706,1,0))*ROUND(AS706*VLOOKUP(INDEX('章节与怪物'!$E$31:$K$37,B706,6),'章节与怪物'!$A$41:$F$44,2,FALSE),0)+IF(6=D706,ROUND(AS706*'难度参数'!$E$28*'章节与怪物'!$E$17,0),0))</x:f>
        <x:v>1594923</x:v>
      </x:c>
      <x:c r="AU706" s="119" t="n">
        <x:f>IF(AR706=0,0,(AR706-IF(6=D706,1,0))*VLOOKUP(INDEX('章节与怪物'!$E$31:$K$37,B706,6),'章节与怪物'!$A$41:$F$44,4,FALSE)+IF(6=D706,'难度参数'!$E$30,0))</x:f>
        <x:v>1428</x:v>
      </x:c>
      <x:c r="AV706" s="119" t="n">
        <x:f>IF(7&gt;D706,0,MAX(2,MIN('难度参数'!$E$12,ROUND(('难度参数'!$E$18*POWER(A706,'难度参数'!$E$19)/D706*(0.85+0.3*(7-1)/MAX(1,D706-1))),0)+F706)))</x:f>
        <x:v>54</x:v>
      </x:c>
      <x:c r="AW706" s="119" t="n">
        <x:f>IF(7&gt;D706,0,ROUND(('难度参数'!$E$13*POWER(A706,'难度参数'!$E$20)*MIN('难度参数'!$E$23,1+MAX(0,A706-'难度参数'!$E$21)*'难度参数'!$E$22))*(36+7*7)/(36+7*(D706+1)/2)*E706,0))</x:f>
        <x:v>20047</x:v>
      </x:c>
      <x:c r="AX706" s="119" t="n">
        <x:f>IF(AV706=0,0,(AV706-IF(7=D706,1,0))*ROUND(AW706*VLOOKUP(INDEX('章节与怪物'!$E$31:$K$37,B706,7),'章节与怪物'!$A$41:$F$44,2,FALSE),0)+IF(7=D706,ROUND(AW706*'难度参数'!$E$28*'章节与怪物'!$E$17,0),0))</x:f>
        <x:v>1570659</x:v>
      </x:c>
      <x:c r="AY706" s="119" t="n">
        <x:f>IF(AV706=0,0,(AV706-IF(7=D706,1,0))*VLOOKUP(INDEX('章节与怪物'!$E$31:$K$37,B706,7),'章节与怪物'!$A$41:$F$44,4,FALSE)+IF(7=D706,'难度参数'!$E$30,0))</x:f>
        <x:v>2002</x:v>
      </x:c>
    </x:row>
    <x:row r="707" ht="23" customHeight="1">
      <x:c r="A707" s="119" t="n">
        <x:v>701</x:v>
      </x:c>
      <x:c r="B707" s="119" t="n">
        <x:f>MOD(INT((A707-1)/5),7)+1</x:f>
        <x:v>1</x:v>
      </x:c>
      <x:c r="C707" s="62" t="str">
        <x:f>INDEX('章节与怪物'!$B$31:$B$37,B707)</x:f>
        <x:v>冰雪荒原</x:v>
      </x:c>
      <x:c r="D707" s="119" t="n">
        <x:f>MIN('难度参数'!$E$8,MAX('难度参数'!$E$7,A707))</x:f>
        <x:v>7</x:v>
      </x:c>
      <x:c r="E707" s="106" t="n">
        <x:v>1</x:v>
      </x:c>
      <x:c r="F707" s="106" t="n">
        <x:v>0</x:v>
      </x:c>
      <x:c r="G707" s="106" t="n">
        <x:v>1</x:v>
      </x:c>
      <x:c r="H707" s="119" t="n">
        <x:f>SUM(X707,AB707,AF707,AJ707,AN707,AR707,AV707)</x:f>
        <x:v>327</x:v>
      </x:c>
      <x:c r="I707" s="119" t="n">
        <x:f>SUM(Z707,AD707,AH707,AL707,AP707,AT707,AX707)</x:f>
        <x:v>6264981</x:v>
      </x:c>
      <x:c r="J707" s="119" t="n">
        <x:f>ROUND(INDEX(X707:AY707,1,(D707-1)*4+2)*'难度参数'!$E$28*'章节与怪物'!$E$17,0)</x:f>
        <x:v>136456</x:v>
      </x:c>
      <x:c r="K707" s="119" t="n">
        <x:f>SUM(AA707,AE707,AI707,AM707,AQ707,AU707,AY707)</x:f>
        <x:v>8042</x:v>
      </x:c>
      <x:c r="L707" s="62" t="n">
        <x:f>H707*(ROUNDUP('难度参数'!$E$24/('难度参数'!$E$26*'难度参数'!$E$27),0)*'难度参数'!$E$26)/60</x:f>
        <x:v>4.36</x:v>
      </x:c>
      <x:c r="M707" s="62" t="n">
        <x:f>L707+D707*('难度参数'!$E$49+'难度参数'!$E$50)/60</x:f>
        <x:v>5.526666666666667</x:v>
      </x:c>
      <x:c r="N707" s="119" t="n">
        <x:f>ROUNDDOWN(('经济参数'!$E$20+A707*'经济参数'!$E$21)*G707,0)</x:f>
        <x:v>14200</x:v>
      </x:c>
      <x:c r="O707" s="119" t="n">
        <x:f>ROUNDDOWN(MIN('经济参数'!$E$24,'经济参数'!$E$22+A707*'经济参数'!$E$23)*G707,0)</x:f>
        <x:v>0</x:v>
      </x:c>
      <x:c r="P707" s="119" t="n">
        <x:f>ROUNDDOWN((IF(A707&gt;='材料与任务'!$E$31,'材料与任务'!$E$32,IF(A707&gt;='材料与任务'!$E$25,'材料与任务'!$E$26,IF(A707&gt;='材料与任务'!$E$19,'材料与任务'!$E$20,IF(A707&gt;='材料与任务'!$E$13,'材料与任务'!$E$14,'材料与任务'!$E$8)))))*G707,0)</x:f>
        <x:v>6</x:v>
      </x:c>
      <x:c r="Q707" s="119" t="n">
        <x:f>ROUNDDOWN((IF(A707&gt;='材料与任务'!$E$31,'材料与任务'!$E$33,IF(A707&gt;='材料与任务'!$E$25,'材料与任务'!$E$27,IF(A707&gt;='材料与任务'!$E$19,'材料与任务'!$E$21,IF(A707&gt;='材料与任务'!$E$13,'材料与任务'!$E$15,'材料与任务'!$E$9)))))*G707,0)</x:f>
        <x:v>3</x:v>
      </x:c>
      <x:c r="R707" s="110" t="n">
        <x:f>'装备掉落'!$B$38</x:f>
        <x:v>0.6872058758851213</x:v>
      </x:c>
      <x:c r="S707" s="119" t="n">
        <x:f>MAX(IF(VLOOKUP(A707,'装备掉落'!$A$29:$H$34,2,TRUE)&gt;0,1,0),IF(VLOOKUP(A707,'装备掉落'!$A$29:$H$34,3,TRUE)&gt;0,2,0),IF(VLOOKUP(A707,'装备掉落'!$A$29:$H$34,4,TRUE)&gt;0,3,0),IF(VLOOKUP(A707,'装备掉落'!$A$29:$H$34,5,TRUE)&gt;0,4,0),IF(VLOOKUP(A707,'装备掉落'!$A$29:$H$34,6,TRUE)&gt;0,5,0),IF(VLOOKUP(A707,'装备掉落'!$A$29:$H$34,7,TRUE)&gt;0,6,0),IF(VLOOKUP(A707,'装备掉落'!$A$29:$H$34,8,TRUE)&gt;0,7,0))</x:f>
        <x:v>7</x:v>
      </x:c>
      <x:c r="T707" s="119" t="n">
        <x:f>MIN(7,S707+'经济参数'!$E$70)</x:f>
        <x:v>7</x:v>
      </x:c>
      <x:c r="U707" s="119" t="n">
        <x:f>MIN(7,S707+'经济参数'!$E$71)</x:f>
        <x:v>7</x:v>
      </x:c>
      <x:c r="V707" s="119" t="n">
        <x:f>IF(H707&gt;=('难度参数'!$E$52),1,0)+IF(H707&gt;=('难度参数'!$E$52+'难度参数'!$E$53),1,0)+IF(H707&gt;=('难度参数'!$E$52+'难度参数'!$E$53+'难度参数'!$E$54),1,0)+IF(H707&gt;=('难度参数'!$E$52+'难度参数'!$E$53+'难度参数'!$E$54+'难度参数'!$E$55),1,0)+IF(H707&gt;=('难度参数'!$E$52+'难度参数'!$E$53+'难度参数'!$E$54+'难度参数'!$E$55+'难度参数'!$E$56),1,0)+IF(H707&gt;=('难度参数'!$E$52+'难度参数'!$E$53+'难度参数'!$E$54+'难度参数'!$E$55+'难度参数'!$E$56+'难度参数'!$E$57),1,0)</x:f>
        <x:v>6</x:v>
      </x:c>
      <x:c r="W707" s="62" t="str">
        <x:f>IF(L707&gt;'难度参数'!$E$51,"仅出怪已超目标","还需实测")</x:f>
        <x:v>仅出怪已超目标</x:v>
      </x:c>
      <x:c r="X707" s="119" t="n">
        <x:f>IF(1&gt;D707,0,MAX(2,MIN('难度参数'!$E$12,ROUND(('难度参数'!$E$18*POWER(A707,'难度参数'!$E$19)/D707*(0.85+0.3*(1-1)/MAX(1,D707-1))),0)+F707)))</x:f>
        <x:v>40</x:v>
      </x:c>
      <x:c r="Y707" s="119" t="n">
        <x:f>IF(1&gt;D707,0,ROUND(('难度参数'!$E$13*POWER(A707,'难度参数'!$E$20)*MIN('难度参数'!$E$23,1+MAX(0,A707-'难度参数'!$E$21)*'难度参数'!$E$22))*(36+1*7)/(36+7*(D707+1)/2)*E707,0))</x:f>
        <x:v>10152</x:v>
      </x:c>
      <x:c r="Z707" s="119" t="n">
        <x:f>IF(X707=0,0,(X707-IF(1=D707,1,0))*ROUND(Y707*VLOOKUP(INDEX('章节与怪物'!$E$31:$K$37,B707,1),'章节与怪物'!$A$41:$F$44,2,FALSE),0)+IF(1=D707,ROUND(Y707*'难度参数'!$E$28*'章节与怪物'!$E$17,0),0))</x:f>
        <x:v>406080</x:v>
      </x:c>
      <x:c r="AA707" s="119" t="n">
        <x:f>IF(X707=0,0,(X707-IF(1=D707,1,0))*VLOOKUP(INDEX('章节与怪物'!$E$31:$K$37,B707,1),'章节与怪物'!$A$41:$F$44,4,FALSE)+IF(1=D707,'难度参数'!$E$30,0))</x:f>
        <x:v>720</x:v>
      </x:c>
      <x:c r="AB707" s="119" t="n">
        <x:f>IF(2&gt;D707,0,MAX(2,MIN('难度参数'!$E$12,ROUND(('难度参数'!$E$18*POWER(A707,'难度参数'!$E$19)/D707*(0.85+0.3*(2-1)/MAX(1,D707-1))),0)+F707)))</x:f>
        <x:v>42</x:v>
      </x:c>
      <x:c r="AC707" s="119" t="n">
        <x:f>IF(2&gt;D707,0,ROUND(('难度参数'!$E$13*POWER(A707,'难度参数'!$E$20)*MIN('难度参数'!$E$23,1+MAX(0,A707-'难度参数'!$E$21)*'难度参数'!$E$22))*(36+2*7)/(36+7*(D707+1)/2)*E707,0))</x:f>
        <x:v>11804</x:v>
      </x:c>
      <x:c r="AD707" s="119" t="n">
        <x:f>IF(AB707=0,0,(AB707-IF(2=D707,1,0))*ROUND(AC707*VLOOKUP(INDEX('章节与怪物'!$E$31:$K$37,B707,2),'章节与怪物'!$A$41:$F$44,2,FALSE),0)+IF(2=D707,ROUND(AC707*'难度参数'!$E$28*'章节与怪物'!$E$17,0),0))</x:f>
        <x:v>495768</x:v>
      </x:c>
      <x:c r="AE707" s="119" t="n">
        <x:f>IF(AB707=0,0,(AB707-IF(2=D707,1,0))*VLOOKUP(INDEX('章节与怪物'!$E$31:$K$37,B707,2),'章节与怪物'!$A$41:$F$44,4,FALSE)+IF(2=D707,'难度参数'!$E$30,0))</x:f>
        <x:v>756</x:v>
      </x:c>
      <x:c r="AF707" s="119" t="n">
        <x:f>IF(3&gt;D707,0,MAX(2,MIN('难度参数'!$E$12,ROUND(('难度参数'!$E$18*POWER(A707,'难度参数'!$E$19)/D707*(0.85+0.3*(3-1)/MAX(1,D707-1))),0)+F707)))</x:f>
        <x:v>44</x:v>
      </x:c>
      <x:c r="AG707" s="119" t="n">
        <x:f>IF(3&gt;D707,0,ROUND(('难度参数'!$E$13*POWER(A707,'难度参数'!$E$20)*MIN('难度参数'!$E$23,1+MAX(0,A707-'难度参数'!$E$21)*'难度参数'!$E$22))*(36+3*7)/(36+7*(D707+1)/2)*E707,0))</x:f>
        <x:v>13457</x:v>
      </x:c>
      <x:c r="AH707" s="119" t="n">
        <x:f>IF(AF707=0,0,(AF707-IF(3=D707,1,0))*ROUND(AG707*VLOOKUP(INDEX('章节与怪物'!$E$31:$K$37,B707,3),'章节与怪物'!$A$41:$F$44,2,FALSE),0)+IF(3=D707,ROUND(AG707*'难度参数'!$E$28*'章节与怪物'!$E$17,0),0))</x:f>
        <x:v>426316</x:v>
      </x:c>
      <x:c r="AI707" s="119" t="n">
        <x:f>IF(AF707=0,0,(AF707-IF(3=D707,1,0))*VLOOKUP(INDEX('章节与怪物'!$E$31:$K$37,B707,3),'章节与怪物'!$A$41:$F$44,4,FALSE)+IF(3=D707,'难度参数'!$E$30,0))</x:f>
        <x:v>880</x:v>
      </x:c>
      <x:c r="AJ707" s="119" t="n">
        <x:f>IF(4&gt;D707,0,MAX(2,MIN('难度参数'!$E$12,ROUND(('难度参数'!$E$18*POWER(A707,'难度参数'!$E$19)/D707*(0.85+0.3*(4-1)/MAX(1,D707-1))),0)+F707)))</x:f>
        <x:v>47</x:v>
      </x:c>
      <x:c r="AK707" s="119" t="n">
        <x:f>IF(4&gt;D707,0,ROUND(('难度参数'!$E$13*POWER(A707,'难度参数'!$E$20)*MIN('难度参数'!$E$23,1+MAX(0,A707-'难度参数'!$E$21)*'难度参数'!$E$22))*(36+4*7)/(36+7*(D707+1)/2)*E707,0))</x:f>
        <x:v>15110</x:v>
      </x:c>
      <x:c r="AL707" s="119" t="n">
        <x:f>IF(AJ707=0,0,(AJ707-IF(4=D707,1,0))*ROUND(AK707*VLOOKUP(INDEX('章节与怪物'!$E$31:$K$37,B707,4),'章节与怪物'!$A$41:$F$44,2,FALSE),0)+IF(4=D707,ROUND(AK707*'难度参数'!$E$28*'章节与怪物'!$E$17,0),0))</x:f>
        <x:v>1207289</x:v>
      </x:c>
      <x:c r="AM707" s="119" t="n">
        <x:f>IF(AJ707=0,0,(AJ707-IF(4=D707,1,0))*VLOOKUP(INDEX('章节与怪物'!$E$31:$K$37,B707,4),'章节与怪物'!$A$41:$F$44,4,FALSE)+IF(4=D707,'难度参数'!$E$30,0))</x:f>
        <x:v>1316</x:v>
      </x:c>
      <x:c r="AN707" s="119" t="n">
        <x:f>IF(5&gt;D707,0,MAX(2,MIN('难度参数'!$E$12,ROUND(('难度参数'!$E$18*POWER(A707,'难度参数'!$E$19)/D707*(0.85+0.3*(5-1)/MAX(1,D707-1))),0)+F707)))</x:f>
        <x:v>49</x:v>
      </x:c>
      <x:c r="AO707" s="119" t="n">
        <x:f>IF(5&gt;D707,0,ROUND(('难度参数'!$E$13*POWER(A707,'难度参数'!$E$20)*MIN('难度参数'!$E$23,1+MAX(0,A707-'难度参数'!$E$21)*'难度参数'!$E$22))*(36+5*7)/(36+7*(D707+1)/2)*E707,0))</x:f>
        <x:v>16762</x:v>
      </x:c>
      <x:c r="AP707" s="119" t="n">
        <x:f>IF(AN707=0,0,(AN707-IF(5=D707,1,0))*ROUND(AO707*VLOOKUP(INDEX('章节与怪物'!$E$31:$K$37,B707,5),'章节与怪物'!$A$41:$F$44,2,FALSE),0)+IF(5=D707,ROUND(AO707*'难度参数'!$E$28*'章节与怪物'!$E$17,0),0))</x:f>
        <x:v>1108821</x:v>
      </x:c>
      <x:c r="AQ707" s="119" t="n">
        <x:f>IF(AN707=0,0,(AN707-IF(5=D707,1,0))*VLOOKUP(INDEX('章节与怪物'!$E$31:$K$37,B707,5),'章节与怪物'!$A$41:$F$44,4,FALSE)+IF(5=D707,'难度参数'!$E$30,0))</x:f>
        <x:v>1666</x:v>
      </x:c>
      <x:c r="AR707" s="119" t="n">
        <x:f>IF(6&gt;D707,0,MAX(2,MIN('难度参数'!$E$12,ROUND(('难度参数'!$E$18*POWER(A707,'难度参数'!$E$19)/D707*(0.85+0.3*(6-1)/MAX(1,D707-1))),0)+F707)))</x:f>
        <x:v>51</x:v>
      </x:c>
      <x:c r="AS707" s="119" t="n">
        <x:f>IF(6&gt;D707,0,ROUND(('难度参数'!$E$13*POWER(A707,'难度参数'!$E$20)*MIN('难度参数'!$E$23,1+MAX(0,A707-'难度参数'!$E$21)*'难度参数'!$E$22))*(36+6*7)/(36+7*(D707+1)/2)*E707,0))</x:f>
        <x:v>18415</x:v>
      </x:c>
      <x:c r="AT707" s="119" t="n">
        <x:f>IF(AR707=0,0,(AR707-IF(6=D707,1,0))*ROUND(AS707*VLOOKUP(INDEX('章节与怪物'!$E$31:$K$37,B707,6),'章节与怪物'!$A$41:$F$44,2,FALSE),0)+IF(6=D707,ROUND(AS707*'难度参数'!$E$28*'章节与怪物'!$E$17,0),0))</x:f>
        <x:v>676209</x:v>
      </x:c>
      <x:c r="AU707" s="119" t="n">
        <x:f>IF(AR707=0,0,(AR707-IF(6=D707,1,0))*VLOOKUP(INDEX('章节与怪物'!$E$31:$K$37,B707,6),'章节与怪物'!$A$41:$F$44,4,FALSE)+IF(6=D707,'难度参数'!$E$30,0))</x:f>
        <x:v>1020</x:v>
      </x:c>
      <x:c r="AV707" s="119" t="n">
        <x:f>IF(7&gt;D707,0,MAX(2,MIN('难度参数'!$E$12,ROUND(('难度参数'!$E$18*POWER(A707,'难度参数'!$E$19)/D707*(0.85+0.3*(7-1)/MAX(1,D707-1))),0)+F707)))</x:f>
        <x:v>54</x:v>
      </x:c>
      <x:c r="AW707" s="119" t="n">
        <x:f>IF(7&gt;D707,0,ROUND(('难度参数'!$E$13*POWER(A707,'难度参数'!$E$20)*MIN('难度参数'!$E$23,1+MAX(0,A707-'难度参数'!$E$21)*'难度参数'!$E$22))*(36+7*7)/(36+7*(D707+1)/2)*E707,0))</x:f>
        <x:v>20067</x:v>
      </x:c>
      <x:c r="AX707" s="119" t="n">
        <x:f>IF(AV707=0,0,(AV707-IF(7=D707,1,0))*ROUND(AW707*VLOOKUP(INDEX('章节与怪物'!$E$31:$K$37,B707,7),'章节与怪物'!$A$41:$F$44,2,FALSE),0)+IF(7=D707,ROUND(AW707*'难度参数'!$E$28*'章节与怪物'!$E$17,0),0))</x:f>
        <x:v>1944498</x:v>
      </x:c>
      <x:c r="AY707" s="119" t="n">
        <x:f>IF(AV707=0,0,(AV707-IF(7=D707,1,0))*VLOOKUP(INDEX('章节与怪物'!$E$31:$K$37,B707,7),'章节与怪物'!$A$41:$F$44,4,FALSE)+IF(7=D707,'难度参数'!$E$30,0))</x:f>
        <x:v>1684</x:v>
      </x:c>
    </x:row>
    <x:row r="708" ht="23" customHeight="1">
      <x:c r="A708" s="119" t="n">
        <x:v>702</x:v>
      </x:c>
      <x:c r="B708" s="119" t="n">
        <x:f>MOD(INT((A708-1)/5),7)+1</x:f>
        <x:v>1</x:v>
      </x:c>
      <x:c r="C708" s="62" t="str">
        <x:f>INDEX('章节与怪物'!$B$31:$B$37,B708)</x:f>
        <x:v>冰雪荒原</x:v>
      </x:c>
      <x:c r="D708" s="119" t="n">
        <x:f>MIN('难度参数'!$E$8,MAX('难度参数'!$E$7,A708))</x:f>
        <x:v>7</x:v>
      </x:c>
      <x:c r="E708" s="106" t="n">
        <x:v>1</x:v>
      </x:c>
      <x:c r="F708" s="106" t="n">
        <x:v>0</x:v>
      </x:c>
      <x:c r="G708" s="106" t="n">
        <x:v>1</x:v>
      </x:c>
      <x:c r="H708" s="119" t="n">
        <x:f>SUM(X708,AB708,AF708,AJ708,AN708,AR708,AV708)</x:f>
        <x:v>327</x:v>
      </x:c>
      <x:c r="I708" s="119" t="n">
        <x:f>SUM(Z708,AD708,AH708,AL708,AP708,AT708,AX708)</x:f>
        <x:v>6271387</x:v>
      </x:c>
      <x:c r="J708" s="119" t="n">
        <x:f>ROUND(INDEX(X708:AY708,1,(D708-1)*4+2)*'难度参数'!$E$28*'章节与怪物'!$E$17,0)</x:f>
        <x:v>136598</x:v>
      </x:c>
      <x:c r="K708" s="119" t="n">
        <x:f>SUM(AA708,AE708,AI708,AM708,AQ708,AU708,AY708)</x:f>
        <x:v>8042</x:v>
      </x:c>
      <x:c r="L708" s="62" t="n">
        <x:f>H708*(ROUNDUP('难度参数'!$E$24/('难度参数'!$E$26*'难度参数'!$E$27),0)*'难度参数'!$E$26)/60</x:f>
        <x:v>4.36</x:v>
      </x:c>
      <x:c r="M708" s="62" t="n">
        <x:f>L708+D708*('难度参数'!$E$49+'难度参数'!$E$50)/60</x:f>
        <x:v>5.526666666666667</x:v>
      </x:c>
      <x:c r="N708" s="119" t="n">
        <x:f>ROUNDDOWN(('经济参数'!$E$20+A708*'经济参数'!$E$21)*G708,0)</x:f>
        <x:v>14220</x:v>
      </x:c>
      <x:c r="O708" s="119" t="n">
        <x:f>ROUNDDOWN(MIN('经济参数'!$E$24,'经济参数'!$E$22+A708*'经济参数'!$E$23)*G708,0)</x:f>
        <x:v>0</x:v>
      </x:c>
      <x:c r="P708" s="119" t="n">
        <x:f>ROUNDDOWN((IF(A708&gt;='材料与任务'!$E$31,'材料与任务'!$E$32,IF(A708&gt;='材料与任务'!$E$25,'材料与任务'!$E$26,IF(A708&gt;='材料与任务'!$E$19,'材料与任务'!$E$20,IF(A708&gt;='材料与任务'!$E$13,'材料与任务'!$E$14,'材料与任务'!$E$8)))))*G708,0)</x:f>
        <x:v>6</x:v>
      </x:c>
      <x:c r="Q708" s="119" t="n">
        <x:f>ROUNDDOWN((IF(A708&gt;='材料与任务'!$E$31,'材料与任务'!$E$33,IF(A708&gt;='材料与任务'!$E$25,'材料与任务'!$E$27,IF(A708&gt;='材料与任务'!$E$19,'材料与任务'!$E$21,IF(A708&gt;='材料与任务'!$E$13,'材料与任务'!$E$15,'材料与任务'!$E$9)))))*G708,0)</x:f>
        <x:v>3</x:v>
      </x:c>
      <x:c r="R708" s="110" t="n">
        <x:f>'装备掉落'!$B$38</x:f>
        <x:v>0.6872058758851213</x:v>
      </x:c>
      <x:c r="S708" s="119" t="n">
        <x:f>MAX(IF(VLOOKUP(A708,'装备掉落'!$A$29:$H$34,2,TRUE)&gt;0,1,0),IF(VLOOKUP(A708,'装备掉落'!$A$29:$H$34,3,TRUE)&gt;0,2,0),IF(VLOOKUP(A708,'装备掉落'!$A$29:$H$34,4,TRUE)&gt;0,3,0),IF(VLOOKUP(A708,'装备掉落'!$A$29:$H$34,5,TRUE)&gt;0,4,0),IF(VLOOKUP(A708,'装备掉落'!$A$29:$H$34,6,TRUE)&gt;0,5,0),IF(VLOOKUP(A708,'装备掉落'!$A$29:$H$34,7,TRUE)&gt;0,6,0),IF(VLOOKUP(A708,'装备掉落'!$A$29:$H$34,8,TRUE)&gt;0,7,0))</x:f>
        <x:v>7</x:v>
      </x:c>
      <x:c r="T708" s="119" t="n">
        <x:f>MIN(7,S708+'经济参数'!$E$70)</x:f>
        <x:v>7</x:v>
      </x:c>
      <x:c r="U708" s="119" t="n">
        <x:f>MIN(7,S708+'经济参数'!$E$71)</x:f>
        <x:v>7</x:v>
      </x:c>
      <x:c r="V708" s="119" t="n">
        <x:f>IF(H708&gt;=('难度参数'!$E$52),1,0)+IF(H708&gt;=('难度参数'!$E$52+'难度参数'!$E$53),1,0)+IF(H708&gt;=('难度参数'!$E$52+'难度参数'!$E$53+'难度参数'!$E$54),1,0)+IF(H708&gt;=('难度参数'!$E$52+'难度参数'!$E$53+'难度参数'!$E$54+'难度参数'!$E$55),1,0)+IF(H708&gt;=('难度参数'!$E$52+'难度参数'!$E$53+'难度参数'!$E$54+'难度参数'!$E$55+'难度参数'!$E$56),1,0)+IF(H708&gt;=('难度参数'!$E$52+'难度参数'!$E$53+'难度参数'!$E$54+'难度参数'!$E$55+'难度参数'!$E$56+'难度参数'!$E$57),1,0)</x:f>
        <x:v>6</x:v>
      </x:c>
      <x:c r="W708" s="62" t="str">
        <x:f>IF(L708&gt;'难度参数'!$E$51,"仅出怪已超目标","还需实测")</x:f>
        <x:v>仅出怪已超目标</x:v>
      </x:c>
      <x:c r="X708" s="119" t="n">
        <x:f>IF(1&gt;D708,0,MAX(2,MIN('难度参数'!$E$12,ROUND(('难度参数'!$E$18*POWER(A708,'难度参数'!$E$19)/D708*(0.85+0.3*(1-1)/MAX(1,D708-1))),0)+F708)))</x:f>
        <x:v>40</x:v>
      </x:c>
      <x:c r="Y708" s="119" t="n">
        <x:f>IF(1&gt;D708,0,ROUND(('难度参数'!$E$13*POWER(A708,'难度参数'!$E$20)*MIN('难度参数'!$E$23,1+MAX(0,A708-'难度参数'!$E$21)*'难度参数'!$E$22))*(36+1*7)/(36+7*(D708+1)/2)*E708,0))</x:f>
        <x:v>10162</x:v>
      </x:c>
      <x:c r="Z708" s="119" t="n">
        <x:f>IF(X708=0,0,(X708-IF(1=D708,1,0))*ROUND(Y708*VLOOKUP(INDEX('章节与怪物'!$E$31:$K$37,B708,1),'章节与怪物'!$A$41:$F$44,2,FALSE),0)+IF(1=D708,ROUND(Y708*'难度参数'!$E$28*'章节与怪物'!$E$17,0),0))</x:f>
        <x:v>406480</x:v>
      </x:c>
      <x:c r="AA708" s="119" t="n">
        <x:f>IF(X708=0,0,(X708-IF(1=D708,1,0))*VLOOKUP(INDEX('章节与怪物'!$E$31:$K$37,B708,1),'章节与怪物'!$A$41:$F$44,4,FALSE)+IF(1=D708,'难度参数'!$E$30,0))</x:f>
        <x:v>720</x:v>
      </x:c>
      <x:c r="AB708" s="119" t="n">
        <x:f>IF(2&gt;D708,0,MAX(2,MIN('难度参数'!$E$12,ROUND(('难度参数'!$E$18*POWER(A708,'难度参数'!$E$19)/D708*(0.85+0.3*(2-1)/MAX(1,D708-1))),0)+F708)))</x:f>
        <x:v>42</x:v>
      </x:c>
      <x:c r="AC708" s="119" t="n">
        <x:f>IF(2&gt;D708,0,ROUND(('难度参数'!$E$13*POWER(A708,'难度参数'!$E$20)*MIN('难度参数'!$E$23,1+MAX(0,A708-'难度参数'!$E$21)*'难度参数'!$E$22))*(36+2*7)/(36+7*(D708+1)/2)*E708,0))</x:f>
        <x:v>11816</x:v>
      </x:c>
      <x:c r="AD708" s="119" t="n">
        <x:f>IF(AB708=0,0,(AB708-IF(2=D708,1,0))*ROUND(AC708*VLOOKUP(INDEX('章节与怪物'!$E$31:$K$37,B708,2),'章节与怪物'!$A$41:$F$44,2,FALSE),0)+IF(2=D708,ROUND(AC708*'难度参数'!$E$28*'章节与怪物'!$E$17,0),0))</x:f>
        <x:v>496272</x:v>
      </x:c>
      <x:c r="AE708" s="119" t="n">
        <x:f>IF(AB708=0,0,(AB708-IF(2=D708,1,0))*VLOOKUP(INDEX('章节与怪物'!$E$31:$K$37,B708,2),'章节与怪物'!$A$41:$F$44,4,FALSE)+IF(2=D708,'难度参数'!$E$30,0))</x:f>
        <x:v>756</x:v>
      </x:c>
      <x:c r="AF708" s="119" t="n">
        <x:f>IF(3&gt;D708,0,MAX(2,MIN('难度参数'!$E$12,ROUND(('难度参数'!$E$18*POWER(A708,'难度参数'!$E$19)/D708*(0.85+0.3*(3-1)/MAX(1,D708-1))),0)+F708)))</x:f>
        <x:v>44</x:v>
      </x:c>
      <x:c r="AG708" s="119" t="n">
        <x:f>IF(3&gt;D708,0,ROUND(('难度参数'!$E$13*POWER(A708,'难度参数'!$E$20)*MIN('难度参数'!$E$23,1+MAX(0,A708-'难度参数'!$E$21)*'难度参数'!$E$22))*(36+3*7)/(36+7*(D708+1)/2)*E708,0))</x:f>
        <x:v>13471</x:v>
      </x:c>
      <x:c r="AH708" s="119" t="n">
        <x:f>IF(AF708=0,0,(AF708-IF(3=D708,1,0))*ROUND(AG708*VLOOKUP(INDEX('章节与怪物'!$E$31:$K$37,B708,3),'章节与怪物'!$A$41:$F$44,2,FALSE),0)+IF(3=D708,ROUND(AG708*'难度参数'!$E$28*'章节与怪物'!$E$17,0),0))</x:f>
        <x:v>426756</x:v>
      </x:c>
      <x:c r="AI708" s="119" t="n">
        <x:f>IF(AF708=0,0,(AF708-IF(3=D708,1,0))*VLOOKUP(INDEX('章节与怪物'!$E$31:$K$37,B708,3),'章节与怪物'!$A$41:$F$44,4,FALSE)+IF(3=D708,'难度参数'!$E$30,0))</x:f>
        <x:v>880</x:v>
      </x:c>
      <x:c r="AJ708" s="119" t="n">
        <x:f>IF(4&gt;D708,0,MAX(2,MIN('难度参数'!$E$12,ROUND(('难度参数'!$E$18*POWER(A708,'难度参数'!$E$19)/D708*(0.85+0.3*(4-1)/MAX(1,D708-1))),0)+F708)))</x:f>
        <x:v>47</x:v>
      </x:c>
      <x:c r="AK708" s="119" t="n">
        <x:f>IF(4&gt;D708,0,ROUND(('难度参数'!$E$13*POWER(A708,'难度参数'!$E$20)*MIN('难度参数'!$E$23,1+MAX(0,A708-'难度参数'!$E$21)*'难度参数'!$E$22))*(36+4*7)/(36+7*(D708+1)/2)*E708,0))</x:f>
        <x:v>15125</x:v>
      </x:c>
      <x:c r="AL708" s="119" t="n">
        <x:f>IF(AJ708=0,0,(AJ708-IF(4=D708,1,0))*ROUND(AK708*VLOOKUP(INDEX('章节与怪物'!$E$31:$K$37,B708,4),'章节与怪物'!$A$41:$F$44,2,FALSE),0)+IF(4=D708,ROUND(AK708*'难度参数'!$E$28*'章节与怪物'!$E$17,0),0))</x:f>
        <x:v>1208511</x:v>
      </x:c>
      <x:c r="AM708" s="119" t="n">
        <x:f>IF(AJ708=0,0,(AJ708-IF(4=D708,1,0))*VLOOKUP(INDEX('章节与怪物'!$E$31:$K$37,B708,4),'章节与怪物'!$A$41:$F$44,4,FALSE)+IF(4=D708,'难度参数'!$E$30,0))</x:f>
        <x:v>1316</x:v>
      </x:c>
      <x:c r="AN708" s="119" t="n">
        <x:f>IF(5&gt;D708,0,MAX(2,MIN('难度参数'!$E$12,ROUND(('难度参数'!$E$18*POWER(A708,'难度参数'!$E$19)/D708*(0.85+0.3*(5-1)/MAX(1,D708-1))),0)+F708)))</x:f>
        <x:v>49</x:v>
      </x:c>
      <x:c r="AO708" s="119" t="n">
        <x:f>IF(5&gt;D708,0,ROUND(('难度参数'!$E$13*POWER(A708,'难度参数'!$E$20)*MIN('难度参数'!$E$23,1+MAX(0,A708-'难度参数'!$E$21)*'难度参数'!$E$22))*(36+5*7)/(36+7*(D708+1)/2)*E708,0))</x:f>
        <x:v>16779</x:v>
      </x:c>
      <x:c r="AP708" s="119" t="n">
        <x:f>IF(AN708=0,0,(AN708-IF(5=D708,1,0))*ROUND(AO708*VLOOKUP(INDEX('章节与怪物'!$E$31:$K$37,B708,5),'章节与怪物'!$A$41:$F$44,2,FALSE),0)+IF(5=D708,ROUND(AO708*'难度参数'!$E$28*'章节与怪物'!$E$17,0),0))</x:f>
        <x:v>1109948</x:v>
      </x:c>
      <x:c r="AQ708" s="119" t="n">
        <x:f>IF(AN708=0,0,(AN708-IF(5=D708,1,0))*VLOOKUP(INDEX('章节与怪物'!$E$31:$K$37,B708,5),'章节与怪物'!$A$41:$F$44,4,FALSE)+IF(5=D708,'难度参数'!$E$30,0))</x:f>
        <x:v>1666</x:v>
      </x:c>
      <x:c r="AR708" s="119" t="n">
        <x:f>IF(6&gt;D708,0,MAX(2,MIN('难度参数'!$E$12,ROUND(('难度参数'!$E$18*POWER(A708,'难度参数'!$E$19)/D708*(0.85+0.3*(6-1)/MAX(1,D708-1))),0)+F708)))</x:f>
        <x:v>51</x:v>
      </x:c>
      <x:c r="AS708" s="119" t="n">
        <x:f>IF(6&gt;D708,0,ROUND(('难度参数'!$E$13*POWER(A708,'难度参数'!$E$20)*MIN('难度参数'!$E$23,1+MAX(0,A708-'难度参数'!$E$21)*'难度参数'!$E$22))*(36+6*7)/(36+7*(D708+1)/2)*E708,0))</x:f>
        <x:v>18434</x:v>
      </x:c>
      <x:c r="AT708" s="119" t="n">
        <x:f>IF(AR708=0,0,(AR708-IF(6=D708,1,0))*ROUND(AS708*VLOOKUP(INDEX('章节与怪物'!$E$31:$K$37,B708,6),'章节与怪物'!$A$41:$F$44,2,FALSE),0)+IF(6=D708,ROUND(AS708*'难度参数'!$E$28*'章节与怪物'!$E$17,0),0))</x:f>
        <x:v>676872</x:v>
      </x:c>
      <x:c r="AU708" s="119" t="n">
        <x:f>IF(AR708=0,0,(AR708-IF(6=D708,1,0))*VLOOKUP(INDEX('章节与怪物'!$E$31:$K$37,B708,6),'章节与怪物'!$A$41:$F$44,4,FALSE)+IF(6=D708,'难度参数'!$E$30,0))</x:f>
        <x:v>1020</x:v>
      </x:c>
      <x:c r="AV708" s="119" t="n">
        <x:f>IF(7&gt;D708,0,MAX(2,MIN('难度参数'!$E$12,ROUND(('难度参数'!$E$18*POWER(A708,'难度参数'!$E$19)/D708*(0.85+0.3*(7-1)/MAX(1,D708-1))),0)+F708)))</x:f>
        <x:v>54</x:v>
      </x:c>
      <x:c r="AW708" s="119" t="n">
        <x:f>IF(7&gt;D708,0,ROUND(('难度参数'!$E$13*POWER(A708,'难度参数'!$E$20)*MIN('难度参数'!$E$23,1+MAX(0,A708-'难度参数'!$E$21)*'难度参数'!$E$22))*(36+7*7)/(36+7*(D708+1)/2)*E708,0))</x:f>
        <x:v>20088</x:v>
      </x:c>
      <x:c r="AX708" s="119" t="n">
        <x:f>IF(AV708=0,0,(AV708-IF(7=D708,1,0))*ROUND(AW708*VLOOKUP(INDEX('章节与怪物'!$E$31:$K$37,B708,7),'章节与怪物'!$A$41:$F$44,2,FALSE),0)+IF(7=D708,ROUND(AW708*'难度参数'!$E$28*'章节与怪物'!$E$17,0),0))</x:f>
        <x:v>1946548</x:v>
      </x:c>
      <x:c r="AY708" s="119" t="n">
        <x:f>IF(AV708=0,0,(AV708-IF(7=D708,1,0))*VLOOKUP(INDEX('章节与怪物'!$E$31:$K$37,B708,7),'章节与怪物'!$A$41:$F$44,4,FALSE)+IF(7=D708,'难度参数'!$E$30,0))</x:f>
        <x:v>1684</x:v>
      </x:c>
    </x:row>
    <x:row r="709" ht="23" customHeight="1">
      <x:c r="A709" s="119" t="n">
        <x:v>703</x:v>
      </x:c>
      <x:c r="B709" s="119" t="n">
        <x:f>MOD(INT((A709-1)/5),7)+1</x:f>
        <x:v>1</x:v>
      </x:c>
      <x:c r="C709" s="62" t="str">
        <x:f>INDEX('章节与怪物'!$B$31:$B$37,B709)</x:f>
        <x:v>冰雪荒原</x:v>
      </x:c>
      <x:c r="D709" s="119" t="n">
        <x:f>MIN('难度参数'!$E$8,MAX('难度参数'!$E$7,A709))</x:f>
        <x:v>7</x:v>
      </x:c>
      <x:c r="E709" s="106" t="n">
        <x:v>1</x:v>
      </x:c>
      <x:c r="F709" s="106" t="n">
        <x:v>0</x:v>
      </x:c>
      <x:c r="G709" s="106" t="n">
        <x:v>1</x:v>
      </x:c>
      <x:c r="H709" s="119" t="n">
        <x:f>SUM(X709,AB709,AF709,AJ709,AN709,AR709,AV709)</x:f>
        <x:v>327</x:v>
      </x:c>
      <x:c r="I709" s="119" t="n">
        <x:f>SUM(Z709,AD709,AH709,AL709,AP709,AT709,AX709)</x:f>
        <x:v>6277970</x:v>
      </x:c>
      <x:c r="J709" s="119" t="n">
        <x:f>ROUND(INDEX(X709:AY709,1,(D709-1)*4+2)*'难度参数'!$E$28*'章节与怪物'!$E$17,0)</x:f>
        <x:v>136741</x:v>
      </x:c>
      <x:c r="K709" s="119" t="n">
        <x:f>SUM(AA709,AE709,AI709,AM709,AQ709,AU709,AY709)</x:f>
        <x:v>8042</x:v>
      </x:c>
      <x:c r="L709" s="62" t="n">
        <x:f>H709*(ROUNDUP('难度参数'!$E$24/('难度参数'!$E$26*'难度参数'!$E$27),0)*'难度参数'!$E$26)/60</x:f>
        <x:v>4.36</x:v>
      </x:c>
      <x:c r="M709" s="62" t="n">
        <x:f>L709+D709*('难度参数'!$E$49+'难度参数'!$E$50)/60</x:f>
        <x:v>5.526666666666667</x:v>
      </x:c>
      <x:c r="N709" s="119" t="n">
        <x:f>ROUNDDOWN(('经济参数'!$E$20+A709*'经济参数'!$E$21)*G709,0)</x:f>
        <x:v>14240</x:v>
      </x:c>
      <x:c r="O709" s="119" t="n">
        <x:f>ROUNDDOWN(MIN('经济参数'!$E$24,'经济参数'!$E$22+A709*'经济参数'!$E$23)*G709,0)</x:f>
        <x:v>0</x:v>
      </x:c>
      <x:c r="P709" s="119" t="n">
        <x:f>ROUNDDOWN((IF(A709&gt;='材料与任务'!$E$31,'材料与任务'!$E$32,IF(A709&gt;='材料与任务'!$E$25,'材料与任务'!$E$26,IF(A709&gt;='材料与任务'!$E$19,'材料与任务'!$E$20,IF(A709&gt;='材料与任务'!$E$13,'材料与任务'!$E$14,'材料与任务'!$E$8)))))*G709,0)</x:f>
        <x:v>6</x:v>
      </x:c>
      <x:c r="Q709" s="119" t="n">
        <x:f>ROUNDDOWN((IF(A709&gt;='材料与任务'!$E$31,'材料与任务'!$E$33,IF(A709&gt;='材料与任务'!$E$25,'材料与任务'!$E$27,IF(A709&gt;='材料与任务'!$E$19,'材料与任务'!$E$21,IF(A709&gt;='材料与任务'!$E$13,'材料与任务'!$E$15,'材料与任务'!$E$9)))))*G709,0)</x:f>
        <x:v>3</x:v>
      </x:c>
      <x:c r="R709" s="110" t="n">
        <x:f>'装备掉落'!$B$38</x:f>
        <x:v>0.6872058758851213</x:v>
      </x:c>
      <x:c r="S709" s="119" t="n">
        <x:f>MAX(IF(VLOOKUP(A709,'装备掉落'!$A$29:$H$34,2,TRUE)&gt;0,1,0),IF(VLOOKUP(A709,'装备掉落'!$A$29:$H$34,3,TRUE)&gt;0,2,0),IF(VLOOKUP(A709,'装备掉落'!$A$29:$H$34,4,TRUE)&gt;0,3,0),IF(VLOOKUP(A709,'装备掉落'!$A$29:$H$34,5,TRUE)&gt;0,4,0),IF(VLOOKUP(A709,'装备掉落'!$A$29:$H$34,6,TRUE)&gt;0,5,0),IF(VLOOKUP(A709,'装备掉落'!$A$29:$H$34,7,TRUE)&gt;0,6,0),IF(VLOOKUP(A709,'装备掉落'!$A$29:$H$34,8,TRUE)&gt;0,7,0))</x:f>
        <x:v>7</x:v>
      </x:c>
      <x:c r="T709" s="119" t="n">
        <x:f>MIN(7,S709+'经济参数'!$E$70)</x:f>
        <x:v>7</x:v>
      </x:c>
      <x:c r="U709" s="119" t="n">
        <x:f>MIN(7,S709+'经济参数'!$E$71)</x:f>
        <x:v>7</x:v>
      </x:c>
      <x:c r="V709" s="119" t="n">
        <x:f>IF(H709&gt;=('难度参数'!$E$52),1,0)+IF(H709&gt;=('难度参数'!$E$52+'难度参数'!$E$53),1,0)+IF(H709&gt;=('难度参数'!$E$52+'难度参数'!$E$53+'难度参数'!$E$54),1,0)+IF(H709&gt;=('难度参数'!$E$52+'难度参数'!$E$53+'难度参数'!$E$54+'难度参数'!$E$55),1,0)+IF(H709&gt;=('难度参数'!$E$52+'难度参数'!$E$53+'难度参数'!$E$54+'难度参数'!$E$55+'难度参数'!$E$56),1,0)+IF(H709&gt;=('难度参数'!$E$52+'难度参数'!$E$53+'难度参数'!$E$54+'难度参数'!$E$55+'难度参数'!$E$56+'难度参数'!$E$57),1,0)</x:f>
        <x:v>6</x:v>
      </x:c>
      <x:c r="W709" s="62" t="str">
        <x:f>IF(L709&gt;'难度参数'!$E$51,"仅出怪已超目标","还需实测")</x:f>
        <x:v>仅出怪已超目标</x:v>
      </x:c>
      <x:c r="X709" s="119" t="n">
        <x:f>IF(1&gt;D709,0,MAX(2,MIN('难度参数'!$E$12,ROUND(('难度参数'!$E$18*POWER(A709,'难度参数'!$E$19)/D709*(0.85+0.3*(1-1)/MAX(1,D709-1))),0)+F709)))</x:f>
        <x:v>40</x:v>
      </x:c>
      <x:c r="Y709" s="119" t="n">
        <x:f>IF(1&gt;D709,0,ROUND(('难度参数'!$E$13*POWER(A709,'难度参数'!$E$20)*MIN('难度参数'!$E$23,1+MAX(0,A709-'难度参数'!$E$21)*'难度参数'!$E$22))*(36+1*7)/(36+7*(D709+1)/2)*E709,0))</x:f>
        <x:v>10173</x:v>
      </x:c>
      <x:c r="Z709" s="119" t="n">
        <x:f>IF(X709=0,0,(X709-IF(1=D709,1,0))*ROUND(Y709*VLOOKUP(INDEX('章节与怪物'!$E$31:$K$37,B709,1),'章节与怪物'!$A$41:$F$44,2,FALSE),0)+IF(1=D709,ROUND(Y709*'难度参数'!$E$28*'章节与怪物'!$E$17,0),0))</x:f>
        <x:v>406920</x:v>
      </x:c>
      <x:c r="AA709" s="119" t="n">
        <x:f>IF(X709=0,0,(X709-IF(1=D709,1,0))*VLOOKUP(INDEX('章节与怪物'!$E$31:$K$37,B709,1),'章节与怪物'!$A$41:$F$44,4,FALSE)+IF(1=D709,'难度参数'!$E$30,0))</x:f>
        <x:v>720</x:v>
      </x:c>
      <x:c r="AB709" s="119" t="n">
        <x:f>IF(2&gt;D709,0,MAX(2,MIN('难度参数'!$E$12,ROUND(('难度参数'!$E$18*POWER(A709,'难度参数'!$E$19)/D709*(0.85+0.3*(2-1)/MAX(1,D709-1))),0)+F709)))</x:f>
        <x:v>42</x:v>
      </x:c>
      <x:c r="AC709" s="119" t="n">
        <x:f>IF(2&gt;D709,0,ROUND(('难度参数'!$E$13*POWER(A709,'难度参数'!$E$20)*MIN('难度参数'!$E$23,1+MAX(0,A709-'难度参数'!$E$21)*'难度参数'!$E$22))*(36+2*7)/(36+7*(D709+1)/2)*E709,0))</x:f>
        <x:v>11829</x:v>
      </x:c>
      <x:c r="AD709" s="119" t="n">
        <x:f>IF(AB709=0,0,(AB709-IF(2=D709,1,0))*ROUND(AC709*VLOOKUP(INDEX('章节与怪物'!$E$31:$K$37,B709,2),'章节与怪物'!$A$41:$F$44,2,FALSE),0)+IF(2=D709,ROUND(AC709*'难度参数'!$E$28*'章节与怪物'!$E$17,0),0))</x:f>
        <x:v>496818</x:v>
      </x:c>
      <x:c r="AE709" s="119" t="n">
        <x:f>IF(AB709=0,0,(AB709-IF(2=D709,1,0))*VLOOKUP(INDEX('章节与怪物'!$E$31:$K$37,B709,2),'章节与怪物'!$A$41:$F$44,4,FALSE)+IF(2=D709,'难度参数'!$E$30,0))</x:f>
        <x:v>756</x:v>
      </x:c>
      <x:c r="AF709" s="119" t="n">
        <x:f>IF(3&gt;D709,0,MAX(2,MIN('难度参数'!$E$12,ROUND(('难度参数'!$E$18*POWER(A709,'难度参数'!$E$19)/D709*(0.85+0.3*(3-1)/MAX(1,D709-1))),0)+F709)))</x:f>
        <x:v>44</x:v>
      </x:c>
      <x:c r="AG709" s="119" t="n">
        <x:f>IF(3&gt;D709,0,ROUND(('难度参数'!$E$13*POWER(A709,'难度参数'!$E$20)*MIN('难度参数'!$E$23,1+MAX(0,A709-'难度参数'!$E$21)*'难度参数'!$E$22))*(36+3*7)/(36+7*(D709+1)/2)*E709,0))</x:f>
        <x:v>13485</x:v>
      </x:c>
      <x:c r="AH709" s="119" t="n">
        <x:f>IF(AF709=0,0,(AF709-IF(3=D709,1,0))*ROUND(AG709*VLOOKUP(INDEX('章节与怪物'!$E$31:$K$37,B709,3),'章节与怪物'!$A$41:$F$44,2,FALSE),0)+IF(3=D709,ROUND(AG709*'难度参数'!$E$28*'章节与怪物'!$E$17,0),0))</x:f>
        <x:v>427196</x:v>
      </x:c>
      <x:c r="AI709" s="119" t="n">
        <x:f>IF(AF709=0,0,(AF709-IF(3=D709,1,0))*VLOOKUP(INDEX('章节与怪物'!$E$31:$K$37,B709,3),'章节与怪物'!$A$41:$F$44,4,FALSE)+IF(3=D709,'难度参数'!$E$30,0))</x:f>
        <x:v>880</x:v>
      </x:c>
      <x:c r="AJ709" s="119" t="n">
        <x:f>IF(4&gt;D709,0,MAX(2,MIN('难度参数'!$E$12,ROUND(('难度参数'!$E$18*POWER(A709,'难度参数'!$E$19)/D709*(0.85+0.3*(4-1)/MAX(1,D709-1))),0)+F709)))</x:f>
        <x:v>47</x:v>
      </x:c>
      <x:c r="AK709" s="119" t="n">
        <x:f>IF(4&gt;D709,0,ROUND(('难度参数'!$E$13*POWER(A709,'难度参数'!$E$20)*MIN('难度参数'!$E$23,1+MAX(0,A709-'难度参数'!$E$21)*'难度参数'!$E$22))*(36+4*7)/(36+7*(D709+1)/2)*E709,0))</x:f>
        <x:v>15141</x:v>
      </x:c>
      <x:c r="AL709" s="119" t="n">
        <x:f>IF(AJ709=0,0,(AJ709-IF(4=D709,1,0))*ROUND(AK709*VLOOKUP(INDEX('章节与怪物'!$E$31:$K$37,B709,4),'章节与怪物'!$A$41:$F$44,2,FALSE),0)+IF(4=D709,ROUND(AK709*'难度参数'!$E$28*'章节与怪物'!$E$17,0),0))</x:f>
        <x:v>1209780</x:v>
      </x:c>
      <x:c r="AM709" s="119" t="n">
        <x:f>IF(AJ709=0,0,(AJ709-IF(4=D709,1,0))*VLOOKUP(INDEX('章节与怪物'!$E$31:$K$37,B709,4),'章节与怪物'!$A$41:$F$44,4,FALSE)+IF(4=D709,'难度参数'!$E$30,0))</x:f>
        <x:v>1316</x:v>
      </x:c>
      <x:c r="AN709" s="119" t="n">
        <x:f>IF(5&gt;D709,0,MAX(2,MIN('难度参数'!$E$12,ROUND(('难度参数'!$E$18*POWER(A709,'难度参数'!$E$19)/D709*(0.85+0.3*(5-1)/MAX(1,D709-1))),0)+F709)))</x:f>
        <x:v>49</x:v>
      </x:c>
      <x:c r="AO709" s="119" t="n">
        <x:f>IF(5&gt;D709,0,ROUND(('难度参数'!$E$13*POWER(A709,'难度参数'!$E$20)*MIN('难度参数'!$E$23,1+MAX(0,A709-'难度参数'!$E$21)*'难度参数'!$E$22))*(36+5*7)/(36+7*(D709+1)/2)*E709,0))</x:f>
        <x:v>16797</x:v>
      </x:c>
      <x:c r="AP709" s="119" t="n">
        <x:f>IF(AN709=0,0,(AN709-IF(5=D709,1,0))*ROUND(AO709*VLOOKUP(INDEX('章节与怪物'!$E$31:$K$37,B709,5),'章节与怪物'!$A$41:$F$44,2,FALSE),0)+IF(5=D709,ROUND(AO709*'难度参数'!$E$28*'章节与怪物'!$E$17,0),0))</x:f>
        <x:v>1111124</x:v>
      </x:c>
      <x:c r="AQ709" s="119" t="n">
        <x:f>IF(AN709=0,0,(AN709-IF(5=D709,1,0))*VLOOKUP(INDEX('章节与怪物'!$E$31:$K$37,B709,5),'章节与怪物'!$A$41:$F$44,4,FALSE)+IF(5=D709,'难度参数'!$E$30,0))</x:f>
        <x:v>1666</x:v>
      </x:c>
      <x:c r="AR709" s="119" t="n">
        <x:f>IF(6&gt;D709,0,MAX(2,MIN('难度参数'!$E$12,ROUND(('难度参数'!$E$18*POWER(A709,'难度参数'!$E$19)/D709*(0.85+0.3*(6-1)/MAX(1,D709-1))),0)+F709)))</x:f>
        <x:v>51</x:v>
      </x:c>
      <x:c r="AS709" s="119" t="n">
        <x:f>IF(6&gt;D709,0,ROUND(('难度参数'!$E$13*POWER(A709,'难度参数'!$E$20)*MIN('难度参数'!$E$23,1+MAX(0,A709-'难度参数'!$E$21)*'难度参数'!$E$22))*(36+6*7)/(36+7*(D709+1)/2)*E709,0))</x:f>
        <x:v>18453</x:v>
      </x:c>
      <x:c r="AT709" s="119" t="n">
        <x:f>IF(AR709=0,0,(AR709-IF(6=D709,1,0))*ROUND(AS709*VLOOKUP(INDEX('章节与怪物'!$E$31:$K$37,B709,6),'章节与怪物'!$A$41:$F$44,2,FALSE),0)+IF(6=D709,ROUND(AS709*'难度参数'!$E$28*'章节与怪物'!$E$17,0),0))</x:f>
        <x:v>677586</x:v>
      </x:c>
      <x:c r="AU709" s="119" t="n">
        <x:f>IF(AR709=0,0,(AR709-IF(6=D709,1,0))*VLOOKUP(INDEX('章节与怪物'!$E$31:$K$37,B709,6),'章节与怪物'!$A$41:$F$44,4,FALSE)+IF(6=D709,'难度参数'!$E$30,0))</x:f>
        <x:v>1020</x:v>
      </x:c>
      <x:c r="AV709" s="119" t="n">
        <x:f>IF(7&gt;D709,0,MAX(2,MIN('难度参数'!$E$12,ROUND(('难度参数'!$E$18*POWER(A709,'难度参数'!$E$19)/D709*(0.85+0.3*(7-1)/MAX(1,D709-1))),0)+F709)))</x:f>
        <x:v>54</x:v>
      </x:c>
      <x:c r="AW709" s="119" t="n">
        <x:f>IF(7&gt;D709,0,ROUND(('难度参数'!$E$13*POWER(A709,'难度参数'!$E$20)*MIN('难度参数'!$E$23,1+MAX(0,A709-'难度参数'!$E$21)*'难度参数'!$E$22))*(36+7*7)/(36+7*(D709+1)/2)*E709,0))</x:f>
        <x:v>20109</x:v>
      </x:c>
      <x:c r="AX709" s="119" t="n">
        <x:f>IF(AV709=0,0,(AV709-IF(7=D709,1,0))*ROUND(AW709*VLOOKUP(INDEX('章节与怪物'!$E$31:$K$37,B709,7),'章节与怪物'!$A$41:$F$44,2,FALSE),0)+IF(7=D709,ROUND(AW709*'难度参数'!$E$28*'章节与怪物'!$E$17,0),0))</x:f>
        <x:v>1948546</x:v>
      </x:c>
      <x:c r="AY709" s="119" t="n">
        <x:f>IF(AV709=0,0,(AV709-IF(7=D709,1,0))*VLOOKUP(INDEX('章节与怪物'!$E$31:$K$37,B709,7),'章节与怪物'!$A$41:$F$44,4,FALSE)+IF(7=D709,'难度参数'!$E$30,0))</x:f>
        <x:v>1684</x:v>
      </x:c>
    </x:row>
    <x:row r="710" ht="23" customHeight="1">
      <x:c r="A710" s="119" t="n">
        <x:v>704</x:v>
      </x:c>
      <x:c r="B710" s="119" t="n">
        <x:f>MOD(INT((A710-1)/5),7)+1</x:f>
        <x:v>1</x:v>
      </x:c>
      <x:c r="C710" s="62" t="str">
        <x:f>INDEX('章节与怪物'!$B$31:$B$37,B710)</x:f>
        <x:v>冰雪荒原</x:v>
      </x:c>
      <x:c r="D710" s="119" t="n">
        <x:f>MIN('难度参数'!$E$8,MAX('难度参数'!$E$7,A710))</x:f>
        <x:v>7</x:v>
      </x:c>
      <x:c r="E710" s="106" t="n">
        <x:v>1</x:v>
      </x:c>
      <x:c r="F710" s="106" t="n">
        <x:v>0</x:v>
      </x:c>
      <x:c r="G710" s="106" t="n">
        <x:v>1</x:v>
      </x:c>
      <x:c r="H710" s="119" t="n">
        <x:f>SUM(X710,AB710,AF710,AJ710,AN710,AR710,AV710)</x:f>
        <x:v>327</x:v>
      </x:c>
      <x:c r="I710" s="119" t="n">
        <x:f>SUM(Z710,AD710,AH710,AL710,AP710,AT710,AX710)</x:f>
        <x:v>6284217</x:v>
      </x:c>
      <x:c r="J710" s="119" t="n">
        <x:f>ROUND(INDEX(X710:AY710,1,(D710-1)*4+2)*'难度参数'!$E$28*'章节与怪物'!$E$17,0)</x:f>
        <x:v>136877</x:v>
      </x:c>
      <x:c r="K710" s="119" t="n">
        <x:f>SUM(AA710,AE710,AI710,AM710,AQ710,AU710,AY710)</x:f>
        <x:v>8042</x:v>
      </x:c>
      <x:c r="L710" s="62" t="n">
        <x:f>H710*(ROUNDUP('难度参数'!$E$24/('难度参数'!$E$26*'难度参数'!$E$27),0)*'难度参数'!$E$26)/60</x:f>
        <x:v>4.36</x:v>
      </x:c>
      <x:c r="M710" s="62" t="n">
        <x:f>L710+D710*('难度参数'!$E$49+'难度参数'!$E$50)/60</x:f>
        <x:v>5.526666666666667</x:v>
      </x:c>
      <x:c r="N710" s="119" t="n">
        <x:f>ROUNDDOWN(('经济参数'!$E$20+A710*'经济参数'!$E$21)*G710,0)</x:f>
        <x:v>14260</x:v>
      </x:c>
      <x:c r="O710" s="119" t="n">
        <x:f>ROUNDDOWN(MIN('经济参数'!$E$24,'经济参数'!$E$22+A710*'经济参数'!$E$23)*G710,0)</x:f>
        <x:v>0</x:v>
      </x:c>
      <x:c r="P710" s="119" t="n">
        <x:f>ROUNDDOWN((IF(A710&gt;='材料与任务'!$E$31,'材料与任务'!$E$32,IF(A710&gt;='材料与任务'!$E$25,'材料与任务'!$E$26,IF(A710&gt;='材料与任务'!$E$19,'材料与任务'!$E$20,IF(A710&gt;='材料与任务'!$E$13,'材料与任务'!$E$14,'材料与任务'!$E$8)))))*G710,0)</x:f>
        <x:v>6</x:v>
      </x:c>
      <x:c r="Q710" s="119" t="n">
        <x:f>ROUNDDOWN((IF(A710&gt;='材料与任务'!$E$31,'材料与任务'!$E$33,IF(A710&gt;='材料与任务'!$E$25,'材料与任务'!$E$27,IF(A710&gt;='材料与任务'!$E$19,'材料与任务'!$E$21,IF(A710&gt;='材料与任务'!$E$13,'材料与任务'!$E$15,'材料与任务'!$E$9)))))*G710,0)</x:f>
        <x:v>3</x:v>
      </x:c>
      <x:c r="R710" s="110" t="n">
        <x:f>'装备掉落'!$B$38</x:f>
        <x:v>0.6872058758851213</x:v>
      </x:c>
      <x:c r="S710" s="119" t="n">
        <x:f>MAX(IF(VLOOKUP(A710,'装备掉落'!$A$29:$H$34,2,TRUE)&gt;0,1,0),IF(VLOOKUP(A710,'装备掉落'!$A$29:$H$34,3,TRUE)&gt;0,2,0),IF(VLOOKUP(A710,'装备掉落'!$A$29:$H$34,4,TRUE)&gt;0,3,0),IF(VLOOKUP(A710,'装备掉落'!$A$29:$H$34,5,TRUE)&gt;0,4,0),IF(VLOOKUP(A710,'装备掉落'!$A$29:$H$34,6,TRUE)&gt;0,5,0),IF(VLOOKUP(A710,'装备掉落'!$A$29:$H$34,7,TRUE)&gt;0,6,0),IF(VLOOKUP(A710,'装备掉落'!$A$29:$H$34,8,TRUE)&gt;0,7,0))</x:f>
        <x:v>7</x:v>
      </x:c>
      <x:c r="T710" s="119" t="n">
        <x:f>MIN(7,S710+'经济参数'!$E$70)</x:f>
        <x:v>7</x:v>
      </x:c>
      <x:c r="U710" s="119" t="n">
        <x:f>MIN(7,S710+'经济参数'!$E$71)</x:f>
        <x:v>7</x:v>
      </x:c>
      <x:c r="V710" s="119" t="n">
        <x:f>IF(H710&gt;=('难度参数'!$E$52),1,0)+IF(H710&gt;=('难度参数'!$E$52+'难度参数'!$E$53),1,0)+IF(H710&gt;=('难度参数'!$E$52+'难度参数'!$E$53+'难度参数'!$E$54),1,0)+IF(H710&gt;=('难度参数'!$E$52+'难度参数'!$E$53+'难度参数'!$E$54+'难度参数'!$E$55),1,0)+IF(H710&gt;=('难度参数'!$E$52+'难度参数'!$E$53+'难度参数'!$E$54+'难度参数'!$E$55+'难度参数'!$E$56),1,0)+IF(H710&gt;=('难度参数'!$E$52+'难度参数'!$E$53+'难度参数'!$E$54+'难度参数'!$E$55+'难度参数'!$E$56+'难度参数'!$E$57),1,0)</x:f>
        <x:v>6</x:v>
      </x:c>
      <x:c r="W710" s="62" t="str">
        <x:f>IF(L710&gt;'难度参数'!$E$51,"仅出怪已超目标","还需实测")</x:f>
        <x:v>仅出怪已超目标</x:v>
      </x:c>
      <x:c r="X710" s="119" t="n">
        <x:f>IF(1&gt;D710,0,MAX(2,MIN('难度参数'!$E$12,ROUND(('难度参数'!$E$18*POWER(A710,'难度参数'!$E$19)/D710*(0.85+0.3*(1-1)/MAX(1,D710-1))),0)+F710)))</x:f>
        <x:v>40</x:v>
      </x:c>
      <x:c r="Y710" s="119" t="n">
        <x:f>IF(1&gt;D710,0,ROUND(('难度参数'!$E$13*POWER(A710,'难度参数'!$E$20)*MIN('难度参数'!$E$23,1+MAX(0,A710-'难度参数'!$E$21)*'难度参数'!$E$22))*(36+1*7)/(36+7*(D710+1)/2)*E710,0))</x:f>
        <x:v>10183</x:v>
      </x:c>
      <x:c r="Z710" s="119" t="n">
        <x:f>IF(X710=0,0,(X710-IF(1=D710,1,0))*ROUND(Y710*VLOOKUP(INDEX('章节与怪物'!$E$31:$K$37,B710,1),'章节与怪物'!$A$41:$F$44,2,FALSE),0)+IF(1=D710,ROUND(Y710*'难度参数'!$E$28*'章节与怪物'!$E$17,0),0))</x:f>
        <x:v>407320</x:v>
      </x:c>
      <x:c r="AA710" s="119" t="n">
        <x:f>IF(X710=0,0,(X710-IF(1=D710,1,0))*VLOOKUP(INDEX('章节与怪物'!$E$31:$K$37,B710,1),'章节与怪物'!$A$41:$F$44,4,FALSE)+IF(1=D710,'难度参数'!$E$30,0))</x:f>
        <x:v>720</x:v>
      </x:c>
      <x:c r="AB710" s="119" t="n">
        <x:f>IF(2&gt;D710,0,MAX(2,MIN('难度参数'!$E$12,ROUND(('难度参数'!$E$18*POWER(A710,'难度参数'!$E$19)/D710*(0.85+0.3*(2-1)/MAX(1,D710-1))),0)+F710)))</x:f>
        <x:v>42</x:v>
      </x:c>
      <x:c r="AC710" s="119" t="n">
        <x:f>IF(2&gt;D710,0,ROUND(('难度参数'!$E$13*POWER(A710,'难度参数'!$E$20)*MIN('难度参数'!$E$23,1+MAX(0,A710-'难度参数'!$E$21)*'难度参数'!$E$22))*(36+2*7)/(36+7*(D710+1)/2)*E710,0))</x:f>
        <x:v>11841</x:v>
      </x:c>
      <x:c r="AD710" s="119" t="n">
        <x:f>IF(AB710=0,0,(AB710-IF(2=D710,1,0))*ROUND(AC710*VLOOKUP(INDEX('章节与怪物'!$E$31:$K$37,B710,2),'章节与怪物'!$A$41:$F$44,2,FALSE),0)+IF(2=D710,ROUND(AC710*'难度参数'!$E$28*'章节与怪物'!$E$17,0),0))</x:f>
        <x:v>497322</x:v>
      </x:c>
      <x:c r="AE710" s="119" t="n">
        <x:f>IF(AB710=0,0,(AB710-IF(2=D710,1,0))*VLOOKUP(INDEX('章节与怪物'!$E$31:$K$37,B710,2),'章节与怪物'!$A$41:$F$44,4,FALSE)+IF(2=D710,'难度参数'!$E$30,0))</x:f>
        <x:v>756</x:v>
      </x:c>
      <x:c r="AF710" s="119" t="n">
        <x:f>IF(3&gt;D710,0,MAX(2,MIN('难度参数'!$E$12,ROUND(('难度参数'!$E$18*POWER(A710,'难度参数'!$E$19)/D710*(0.85+0.3*(3-1)/MAX(1,D710-1))),0)+F710)))</x:f>
        <x:v>44</x:v>
      </x:c>
      <x:c r="AG710" s="119" t="n">
        <x:f>IF(3&gt;D710,0,ROUND(('难度参数'!$E$13*POWER(A710,'难度参数'!$E$20)*MIN('难度参数'!$E$23,1+MAX(0,A710-'难度参数'!$E$21)*'难度参数'!$E$22))*(36+3*7)/(36+7*(D710+1)/2)*E710,0))</x:f>
        <x:v>13498</x:v>
      </x:c>
      <x:c r="AH710" s="119" t="n">
        <x:f>IF(AF710=0,0,(AF710-IF(3=D710,1,0))*ROUND(AG710*VLOOKUP(INDEX('章节与怪物'!$E$31:$K$37,B710,3),'章节与怪物'!$A$41:$F$44,2,FALSE),0)+IF(3=D710,ROUND(AG710*'难度参数'!$E$28*'章节与怪物'!$E$17,0),0))</x:f>
        <x:v>427636</x:v>
      </x:c>
      <x:c r="AI710" s="119" t="n">
        <x:f>IF(AF710=0,0,(AF710-IF(3=D710,1,0))*VLOOKUP(INDEX('章节与怪物'!$E$31:$K$37,B710,3),'章节与怪物'!$A$41:$F$44,4,FALSE)+IF(3=D710,'难度参数'!$E$30,0))</x:f>
        <x:v>880</x:v>
      </x:c>
      <x:c r="AJ710" s="119" t="n">
        <x:f>IF(4&gt;D710,0,MAX(2,MIN('难度参数'!$E$12,ROUND(('难度参数'!$E$18*POWER(A710,'难度参数'!$E$19)/D710*(0.85+0.3*(4-1)/MAX(1,D710-1))),0)+F710)))</x:f>
        <x:v>47</x:v>
      </x:c>
      <x:c r="AK710" s="119" t="n">
        <x:f>IF(4&gt;D710,0,ROUND(('难度参数'!$E$13*POWER(A710,'难度参数'!$E$20)*MIN('难度参数'!$E$23,1+MAX(0,A710-'难度参数'!$E$21)*'难度参数'!$E$22))*(36+4*7)/(36+7*(D710+1)/2)*E710,0))</x:f>
        <x:v>15156</x:v>
      </x:c>
      <x:c r="AL710" s="119" t="n">
        <x:f>IF(AJ710=0,0,(AJ710-IF(4=D710,1,0))*ROUND(AK710*VLOOKUP(INDEX('章节与怪物'!$E$31:$K$37,B710,4),'章节与怪物'!$A$41:$F$44,2,FALSE),0)+IF(4=D710,ROUND(AK710*'难度参数'!$E$28*'章节与怪物'!$E$17,0),0))</x:f>
        <x:v>1210955</x:v>
      </x:c>
      <x:c r="AM710" s="119" t="n">
        <x:f>IF(AJ710=0,0,(AJ710-IF(4=D710,1,0))*VLOOKUP(INDEX('章节与怪物'!$E$31:$K$37,B710,4),'章节与怪物'!$A$41:$F$44,4,FALSE)+IF(4=D710,'难度参数'!$E$30,0))</x:f>
        <x:v>1316</x:v>
      </x:c>
      <x:c r="AN710" s="119" t="n">
        <x:f>IF(5&gt;D710,0,MAX(2,MIN('难度参数'!$E$12,ROUND(('难度参数'!$E$18*POWER(A710,'难度参数'!$E$19)/D710*(0.85+0.3*(5-1)/MAX(1,D710-1))),0)+F710)))</x:f>
        <x:v>49</x:v>
      </x:c>
      <x:c r="AO710" s="119" t="n">
        <x:f>IF(5&gt;D710,0,ROUND(('难度参数'!$E$13*POWER(A710,'难度参数'!$E$20)*MIN('难度参数'!$E$23,1+MAX(0,A710-'难度参数'!$E$21)*'难度参数'!$E$22))*(36+5*7)/(36+7*(D710+1)/2)*E710,0))</x:f>
        <x:v>16814</x:v>
      </x:c>
      <x:c r="AP710" s="119" t="n">
        <x:f>IF(AN710=0,0,(AN710-IF(5=D710,1,0))*ROUND(AO710*VLOOKUP(INDEX('章节与怪物'!$E$31:$K$37,B710,5),'章节与怪物'!$A$41:$F$44,2,FALSE),0)+IF(5=D710,ROUND(AO710*'难度参数'!$E$28*'章节与怪物'!$E$17,0),0))</x:f>
        <x:v>1112251</x:v>
      </x:c>
      <x:c r="AQ710" s="119" t="n">
        <x:f>IF(AN710=0,0,(AN710-IF(5=D710,1,0))*VLOOKUP(INDEX('章节与怪物'!$E$31:$K$37,B710,5),'章节与怪物'!$A$41:$F$44,4,FALSE)+IF(5=D710,'难度参数'!$E$30,0))</x:f>
        <x:v>1666</x:v>
      </x:c>
      <x:c r="AR710" s="119" t="n">
        <x:f>IF(6&gt;D710,0,MAX(2,MIN('难度参数'!$E$12,ROUND(('难度参数'!$E$18*POWER(A710,'难度参数'!$E$19)/D710*(0.85+0.3*(6-1)/MAX(1,D710-1))),0)+F710)))</x:f>
        <x:v>51</x:v>
      </x:c>
      <x:c r="AS710" s="119" t="n">
        <x:f>IF(6&gt;D710,0,ROUND(('难度参数'!$E$13*POWER(A710,'难度参数'!$E$20)*MIN('难度参数'!$E$23,1+MAX(0,A710-'难度参数'!$E$21)*'难度参数'!$E$22))*(36+6*7)/(36+7*(D710+1)/2)*E710,0))</x:f>
        <x:v>18471</x:v>
      </x:c>
      <x:c r="AT710" s="119" t="n">
        <x:f>IF(AR710=0,0,(AR710-IF(6=D710,1,0))*ROUND(AS710*VLOOKUP(INDEX('章节与怪物'!$E$31:$K$37,B710,6),'章节与怪物'!$A$41:$F$44,2,FALSE),0)+IF(6=D710,ROUND(AS710*'难度参数'!$E$28*'章节与怪物'!$E$17,0),0))</x:f>
        <x:v>678249</x:v>
      </x:c>
      <x:c r="AU710" s="119" t="n">
        <x:f>IF(AR710=0,0,(AR710-IF(6=D710,1,0))*VLOOKUP(INDEX('章节与怪物'!$E$31:$K$37,B710,6),'章节与怪物'!$A$41:$F$44,4,FALSE)+IF(6=D710,'难度参数'!$E$30,0))</x:f>
        <x:v>1020</x:v>
      </x:c>
      <x:c r="AV710" s="119" t="n">
        <x:f>IF(7&gt;D710,0,MAX(2,MIN('难度参数'!$E$12,ROUND(('难度参数'!$E$18*POWER(A710,'难度参数'!$E$19)/D710*(0.85+0.3*(7-1)/MAX(1,D710-1))),0)+F710)))</x:f>
        <x:v>54</x:v>
      </x:c>
      <x:c r="AW710" s="119" t="n">
        <x:f>IF(7&gt;D710,0,ROUND(('难度参数'!$E$13*POWER(A710,'难度参数'!$E$20)*MIN('难度参数'!$E$23,1+MAX(0,A710-'难度参数'!$E$21)*'难度参数'!$E$22))*(36+7*7)/(36+7*(D710+1)/2)*E710,0))</x:f>
        <x:v>20129</x:v>
      </x:c>
      <x:c r="AX710" s="119" t="n">
        <x:f>IF(AV710=0,0,(AV710-IF(7=D710,1,0))*ROUND(AW710*VLOOKUP(INDEX('章节与怪物'!$E$31:$K$37,B710,7),'章节与怪物'!$A$41:$F$44,2,FALSE),0)+IF(7=D710,ROUND(AW710*'难度参数'!$E$28*'章节与怪物'!$E$17,0),0))</x:f>
        <x:v>1950484</x:v>
      </x:c>
      <x:c r="AY710" s="119" t="n">
        <x:f>IF(AV710=0,0,(AV710-IF(7=D710,1,0))*VLOOKUP(INDEX('章节与怪物'!$E$31:$K$37,B710,7),'章节与怪物'!$A$41:$F$44,4,FALSE)+IF(7=D710,'难度参数'!$E$30,0))</x:f>
        <x:v>1684</x:v>
      </x:c>
    </x:row>
    <x:row r="711" ht="23" customHeight="1">
      <x:c r="A711" s="119" t="n">
        <x:v>705</x:v>
      </x:c>
      <x:c r="B711" s="119" t="n">
        <x:f>MOD(INT((A711-1)/5),7)+1</x:f>
        <x:v>1</x:v>
      </x:c>
      <x:c r="C711" s="62" t="str">
        <x:f>INDEX('章节与怪物'!$B$31:$B$37,B711)</x:f>
        <x:v>冰雪荒原</x:v>
      </x:c>
      <x:c r="D711" s="119" t="n">
        <x:f>MIN('难度参数'!$E$8,MAX('难度参数'!$E$7,A711))</x:f>
        <x:v>7</x:v>
      </x:c>
      <x:c r="E711" s="106" t="n">
        <x:v>1</x:v>
      </x:c>
      <x:c r="F711" s="106" t="n">
        <x:v>0</x:v>
      </x:c>
      <x:c r="G711" s="106" t="n">
        <x:v>1</x:v>
      </x:c>
      <x:c r="H711" s="119" t="n">
        <x:f>SUM(X711,AB711,AF711,AJ711,AN711,AR711,AV711)</x:f>
        <x:v>327</x:v>
      </x:c>
      <x:c r="I711" s="119" t="n">
        <x:f>SUM(Z711,AD711,AH711,AL711,AP711,AT711,AX711)</x:f>
        <x:v>6290722</x:v>
      </x:c>
      <x:c r="J711" s="119" t="n">
        <x:f>ROUND(INDEX(X711:AY711,1,(D711-1)*4+2)*'难度参数'!$E$28*'章节与怪物'!$E$17,0)</x:f>
        <x:v>137020</x:v>
      </x:c>
      <x:c r="K711" s="119" t="n">
        <x:f>SUM(AA711,AE711,AI711,AM711,AQ711,AU711,AY711)</x:f>
        <x:v>8042</x:v>
      </x:c>
      <x:c r="L711" s="62" t="n">
        <x:f>H711*(ROUNDUP('难度参数'!$E$24/('难度参数'!$E$26*'难度参数'!$E$27),0)*'难度参数'!$E$26)/60</x:f>
        <x:v>4.36</x:v>
      </x:c>
      <x:c r="M711" s="62" t="n">
        <x:f>L711+D711*('难度参数'!$E$49+'难度参数'!$E$50)/60</x:f>
        <x:v>5.526666666666667</x:v>
      </x:c>
      <x:c r="N711" s="119" t="n">
        <x:f>ROUNDDOWN(('经济参数'!$E$20+A711*'经济参数'!$E$21)*G711,0)</x:f>
        <x:v>14280</x:v>
      </x:c>
      <x:c r="O711" s="119" t="n">
        <x:f>ROUNDDOWN(MIN('经济参数'!$E$24,'经济参数'!$E$22+A711*'经济参数'!$E$23)*G711,0)</x:f>
        <x:v>0</x:v>
      </x:c>
      <x:c r="P711" s="119" t="n">
        <x:f>ROUNDDOWN((IF(A711&gt;='材料与任务'!$E$31,'材料与任务'!$E$32,IF(A711&gt;='材料与任务'!$E$25,'材料与任务'!$E$26,IF(A711&gt;='材料与任务'!$E$19,'材料与任务'!$E$20,IF(A711&gt;='材料与任务'!$E$13,'材料与任务'!$E$14,'材料与任务'!$E$8)))))*G711,0)</x:f>
        <x:v>6</x:v>
      </x:c>
      <x:c r="Q711" s="119" t="n">
        <x:f>ROUNDDOWN((IF(A711&gt;='材料与任务'!$E$31,'材料与任务'!$E$33,IF(A711&gt;='材料与任务'!$E$25,'材料与任务'!$E$27,IF(A711&gt;='材料与任务'!$E$19,'材料与任务'!$E$21,IF(A711&gt;='材料与任务'!$E$13,'材料与任务'!$E$15,'材料与任务'!$E$9)))))*G711,0)</x:f>
        <x:v>3</x:v>
      </x:c>
      <x:c r="R711" s="110" t="n">
        <x:f>'装备掉落'!$B$38</x:f>
        <x:v>0.6872058758851213</x:v>
      </x:c>
      <x:c r="S711" s="119" t="n">
        <x:f>MAX(IF(VLOOKUP(A711,'装备掉落'!$A$29:$H$34,2,TRUE)&gt;0,1,0),IF(VLOOKUP(A711,'装备掉落'!$A$29:$H$34,3,TRUE)&gt;0,2,0),IF(VLOOKUP(A711,'装备掉落'!$A$29:$H$34,4,TRUE)&gt;0,3,0),IF(VLOOKUP(A711,'装备掉落'!$A$29:$H$34,5,TRUE)&gt;0,4,0),IF(VLOOKUP(A711,'装备掉落'!$A$29:$H$34,6,TRUE)&gt;0,5,0),IF(VLOOKUP(A711,'装备掉落'!$A$29:$H$34,7,TRUE)&gt;0,6,0),IF(VLOOKUP(A711,'装备掉落'!$A$29:$H$34,8,TRUE)&gt;0,7,0))</x:f>
        <x:v>7</x:v>
      </x:c>
      <x:c r="T711" s="119" t="n">
        <x:f>MIN(7,S711+'经济参数'!$E$70)</x:f>
        <x:v>7</x:v>
      </x:c>
      <x:c r="U711" s="119" t="n">
        <x:f>MIN(7,S711+'经济参数'!$E$71)</x:f>
        <x:v>7</x:v>
      </x:c>
      <x:c r="V711" s="119" t="n">
        <x:f>IF(H711&gt;=('难度参数'!$E$52),1,0)+IF(H711&gt;=('难度参数'!$E$52+'难度参数'!$E$53),1,0)+IF(H711&gt;=('难度参数'!$E$52+'难度参数'!$E$53+'难度参数'!$E$54),1,0)+IF(H711&gt;=('难度参数'!$E$52+'难度参数'!$E$53+'难度参数'!$E$54+'难度参数'!$E$55),1,0)+IF(H711&gt;=('难度参数'!$E$52+'难度参数'!$E$53+'难度参数'!$E$54+'难度参数'!$E$55+'难度参数'!$E$56),1,0)+IF(H711&gt;=('难度参数'!$E$52+'难度参数'!$E$53+'难度参数'!$E$54+'难度参数'!$E$55+'难度参数'!$E$56+'难度参数'!$E$57),1,0)</x:f>
        <x:v>6</x:v>
      </x:c>
      <x:c r="W711" s="62" t="str">
        <x:f>IF(L711&gt;'难度参数'!$E$51,"仅出怪已超目标","还需实测")</x:f>
        <x:v>仅出怪已超目标</x:v>
      </x:c>
      <x:c r="X711" s="119" t="n">
        <x:f>IF(1&gt;D711,0,MAX(2,MIN('难度参数'!$E$12,ROUND(('难度参数'!$E$18*POWER(A711,'难度参数'!$E$19)/D711*(0.85+0.3*(1-1)/MAX(1,D711-1))),0)+F711)))</x:f>
        <x:v>40</x:v>
      </x:c>
      <x:c r="Y711" s="119" t="n">
        <x:f>IF(1&gt;D711,0,ROUND(('难度参数'!$E$13*POWER(A711,'难度参数'!$E$20)*MIN('难度参数'!$E$23,1+MAX(0,A711-'难度参数'!$E$21)*'难度参数'!$E$22))*(36+1*7)/(36+7*(D711+1)/2)*E711,0))</x:f>
        <x:v>10193</x:v>
      </x:c>
      <x:c r="Z711" s="119" t="n">
        <x:f>IF(X711=0,0,(X711-IF(1=D711,1,0))*ROUND(Y711*VLOOKUP(INDEX('章节与怪物'!$E$31:$K$37,B711,1),'章节与怪物'!$A$41:$F$44,2,FALSE),0)+IF(1=D711,ROUND(Y711*'难度参数'!$E$28*'章节与怪物'!$E$17,0),0))</x:f>
        <x:v>407720</x:v>
      </x:c>
      <x:c r="AA711" s="119" t="n">
        <x:f>IF(X711=0,0,(X711-IF(1=D711,1,0))*VLOOKUP(INDEX('章节与怪物'!$E$31:$K$37,B711,1),'章节与怪物'!$A$41:$F$44,4,FALSE)+IF(1=D711,'难度参数'!$E$30,0))</x:f>
        <x:v>720</x:v>
      </x:c>
      <x:c r="AB711" s="119" t="n">
        <x:f>IF(2&gt;D711,0,MAX(2,MIN('难度参数'!$E$12,ROUND(('难度参数'!$E$18*POWER(A711,'难度参数'!$E$19)/D711*(0.85+0.3*(2-1)/MAX(1,D711-1))),0)+F711)))</x:f>
        <x:v>42</x:v>
      </x:c>
      <x:c r="AC711" s="119" t="n">
        <x:f>IF(2&gt;D711,0,ROUND(('难度参数'!$E$13*POWER(A711,'难度参数'!$E$20)*MIN('难度参数'!$E$23,1+MAX(0,A711-'难度参数'!$E$21)*'难度参数'!$E$22))*(36+2*7)/(36+7*(D711+1)/2)*E711,0))</x:f>
        <x:v>11853</x:v>
      </x:c>
      <x:c r="AD711" s="119" t="n">
        <x:f>IF(AB711=0,0,(AB711-IF(2=D711,1,0))*ROUND(AC711*VLOOKUP(INDEX('章节与怪物'!$E$31:$K$37,B711,2),'章节与怪物'!$A$41:$F$44,2,FALSE),0)+IF(2=D711,ROUND(AC711*'难度参数'!$E$28*'章节与怪物'!$E$17,0),0))</x:f>
        <x:v>497826</x:v>
      </x:c>
      <x:c r="AE711" s="119" t="n">
        <x:f>IF(AB711=0,0,(AB711-IF(2=D711,1,0))*VLOOKUP(INDEX('章节与怪物'!$E$31:$K$37,B711,2),'章节与怪物'!$A$41:$F$44,4,FALSE)+IF(2=D711,'难度参数'!$E$30,0))</x:f>
        <x:v>756</x:v>
      </x:c>
      <x:c r="AF711" s="119" t="n">
        <x:f>IF(3&gt;D711,0,MAX(2,MIN('难度参数'!$E$12,ROUND(('难度参数'!$E$18*POWER(A711,'难度参数'!$E$19)/D711*(0.85+0.3*(3-1)/MAX(1,D711-1))),0)+F711)))</x:f>
        <x:v>44</x:v>
      </x:c>
      <x:c r="AG711" s="119" t="n">
        <x:f>IF(3&gt;D711,0,ROUND(('难度参数'!$E$13*POWER(A711,'难度参数'!$E$20)*MIN('难度参数'!$E$23,1+MAX(0,A711-'难度参数'!$E$21)*'难度参数'!$E$22))*(36+3*7)/(36+7*(D711+1)/2)*E711,0))</x:f>
        <x:v>13512</x:v>
      </x:c>
      <x:c r="AH711" s="119" t="n">
        <x:f>IF(AF711=0,0,(AF711-IF(3=D711,1,0))*ROUND(AG711*VLOOKUP(INDEX('章节与怪物'!$E$31:$K$37,B711,3),'章节与怪物'!$A$41:$F$44,2,FALSE),0)+IF(3=D711,ROUND(AG711*'难度参数'!$E$28*'章节与怪物'!$E$17,0),0))</x:f>
        <x:v>428076</x:v>
      </x:c>
      <x:c r="AI711" s="119" t="n">
        <x:f>IF(AF711=0,0,(AF711-IF(3=D711,1,0))*VLOOKUP(INDEX('章节与怪物'!$E$31:$K$37,B711,3),'章节与怪物'!$A$41:$F$44,4,FALSE)+IF(3=D711,'难度参数'!$E$30,0))</x:f>
        <x:v>880</x:v>
      </x:c>
      <x:c r="AJ711" s="119" t="n">
        <x:f>IF(4&gt;D711,0,MAX(2,MIN('难度参数'!$E$12,ROUND(('难度参数'!$E$18*POWER(A711,'难度参数'!$E$19)/D711*(0.85+0.3*(4-1)/MAX(1,D711-1))),0)+F711)))</x:f>
        <x:v>47</x:v>
      </x:c>
      <x:c r="AK711" s="119" t="n">
        <x:f>IF(4&gt;D711,0,ROUND(('难度参数'!$E$13*POWER(A711,'难度参数'!$E$20)*MIN('难度参数'!$E$23,1+MAX(0,A711-'难度参数'!$E$21)*'难度参数'!$E$22))*(36+4*7)/(36+7*(D711+1)/2)*E711,0))</x:f>
        <x:v>15172</x:v>
      </x:c>
      <x:c r="AL711" s="119" t="n">
        <x:f>IF(AJ711=0,0,(AJ711-IF(4=D711,1,0))*ROUND(AK711*VLOOKUP(INDEX('章节与怪物'!$E$31:$K$37,B711,4),'章节与怪物'!$A$41:$F$44,2,FALSE),0)+IF(4=D711,ROUND(AK711*'难度参数'!$E$28*'章节与怪物'!$E$17,0),0))</x:f>
        <x:v>1212224</x:v>
      </x:c>
      <x:c r="AM711" s="119" t="n">
        <x:f>IF(AJ711=0,0,(AJ711-IF(4=D711,1,0))*VLOOKUP(INDEX('章节与怪物'!$E$31:$K$37,B711,4),'章节与怪物'!$A$41:$F$44,4,FALSE)+IF(4=D711,'难度参数'!$E$30,0))</x:f>
        <x:v>1316</x:v>
      </x:c>
      <x:c r="AN711" s="119" t="n">
        <x:f>IF(5&gt;D711,0,MAX(2,MIN('难度参数'!$E$12,ROUND(('难度参数'!$E$18*POWER(A711,'难度参数'!$E$19)/D711*(0.85+0.3*(5-1)/MAX(1,D711-1))),0)+F711)))</x:f>
        <x:v>49</x:v>
      </x:c>
      <x:c r="AO711" s="119" t="n">
        <x:f>IF(5&gt;D711,0,ROUND(('难度参数'!$E$13*POWER(A711,'难度参数'!$E$20)*MIN('难度参数'!$E$23,1+MAX(0,A711-'难度参数'!$E$21)*'难度参数'!$E$22))*(36+5*7)/(36+7*(D711+1)/2)*E711,0))</x:f>
        <x:v>16831</x:v>
      </x:c>
      <x:c r="AP711" s="119" t="n">
        <x:f>IF(AN711=0,0,(AN711-IF(5=D711,1,0))*ROUND(AO711*VLOOKUP(INDEX('章节与怪物'!$E$31:$K$37,B711,5),'章节与怪物'!$A$41:$F$44,2,FALSE),0)+IF(5=D711,ROUND(AO711*'难度参数'!$E$28*'章节与怪物'!$E$17,0),0))</x:f>
        <x:v>1113378</x:v>
      </x:c>
      <x:c r="AQ711" s="119" t="n">
        <x:f>IF(AN711=0,0,(AN711-IF(5=D711,1,0))*VLOOKUP(INDEX('章节与怪物'!$E$31:$K$37,B711,5),'章节与怪物'!$A$41:$F$44,4,FALSE)+IF(5=D711,'难度参数'!$E$30,0))</x:f>
        <x:v>1666</x:v>
      </x:c>
      <x:c r="AR711" s="119" t="n">
        <x:f>IF(6&gt;D711,0,MAX(2,MIN('难度参数'!$E$12,ROUND(('难度参数'!$E$18*POWER(A711,'难度参数'!$E$19)/D711*(0.85+0.3*(6-1)/MAX(1,D711-1))),0)+F711)))</x:f>
        <x:v>51</x:v>
      </x:c>
      <x:c r="AS711" s="119" t="n">
        <x:f>IF(6&gt;D711,0,ROUND(('难度参数'!$E$13*POWER(A711,'难度参数'!$E$20)*MIN('难度参数'!$E$23,1+MAX(0,A711-'难度参数'!$E$21)*'难度参数'!$E$22))*(36+6*7)/(36+7*(D711+1)/2)*E711,0))</x:f>
        <x:v>18490</x:v>
      </x:c>
      <x:c r="AT711" s="119" t="n">
        <x:f>IF(AR711=0,0,(AR711-IF(6=D711,1,0))*ROUND(AS711*VLOOKUP(INDEX('章节与怪物'!$E$31:$K$37,B711,6),'章节与怪物'!$A$41:$F$44,2,FALSE),0)+IF(6=D711,ROUND(AS711*'难度参数'!$E$28*'章节与怪物'!$E$17,0),0))</x:f>
        <x:v>678963</x:v>
      </x:c>
      <x:c r="AU711" s="119" t="n">
        <x:f>IF(AR711=0,0,(AR711-IF(6=D711,1,0))*VLOOKUP(INDEX('章节与怪物'!$E$31:$K$37,B711,6),'章节与怪物'!$A$41:$F$44,4,FALSE)+IF(6=D711,'难度参数'!$E$30,0))</x:f>
        <x:v>1020</x:v>
      </x:c>
      <x:c r="AV711" s="119" t="n">
        <x:f>IF(7&gt;D711,0,MAX(2,MIN('难度参数'!$E$12,ROUND(('难度参数'!$E$18*POWER(A711,'难度参数'!$E$19)/D711*(0.85+0.3*(7-1)/MAX(1,D711-1))),0)+F711)))</x:f>
        <x:v>54</x:v>
      </x:c>
      <x:c r="AW711" s="119" t="n">
        <x:f>IF(7&gt;D711,0,ROUND(('难度参数'!$E$13*POWER(A711,'难度参数'!$E$20)*MIN('难度参数'!$E$23,1+MAX(0,A711-'难度参数'!$E$21)*'难度参数'!$E$22))*(36+7*7)/(36+7*(D711+1)/2)*E711,0))</x:f>
        <x:v>20150</x:v>
      </x:c>
      <x:c r="AX711" s="119" t="n">
        <x:f>IF(AV711=0,0,(AV711-IF(7=D711,1,0))*ROUND(AW711*VLOOKUP(INDEX('章节与怪物'!$E$31:$K$37,B711,7),'章节与怪物'!$A$41:$F$44,2,FALSE),0)+IF(7=D711,ROUND(AW711*'难度参数'!$E$28*'章节与怪物'!$E$17,0),0))</x:f>
        <x:v>1952535</x:v>
      </x:c>
      <x:c r="AY711" s="119" t="n">
        <x:f>IF(AV711=0,0,(AV711-IF(7=D711,1,0))*VLOOKUP(INDEX('章节与怪物'!$E$31:$K$37,B711,7),'章节与怪物'!$A$41:$F$44,4,FALSE)+IF(7=D711,'难度参数'!$E$30,0))</x:f>
        <x:v>1684</x:v>
      </x:c>
    </x:row>
    <x:row r="712" ht="23" customHeight="1">
      <x:c r="A712" s="119" t="n">
        <x:v>706</x:v>
      </x:c>
      <x:c r="B712" s="119" t="n">
        <x:f>MOD(INT((A712-1)/5),7)+1</x:f>
        <x:v>2</x:v>
      </x:c>
      <x:c r="C712" s="62" t="str">
        <x:f>INDEX('章节与怪物'!$B$31:$B$37,B712)</x:f>
        <x:v>黄沙要塞</x:v>
      </x:c>
      <x:c r="D712" s="119" t="n">
        <x:f>MIN('难度参数'!$E$8,MAX('难度参数'!$E$7,A712))</x:f>
        <x:v>7</x:v>
      </x:c>
      <x:c r="E712" s="106" t="n">
        <x:v>1</x:v>
      </x:c>
      <x:c r="F712" s="106" t="n">
        <x:v>0</x:v>
      </x:c>
      <x:c r="G712" s="106" t="n">
        <x:v>1</x:v>
      </x:c>
      <x:c r="H712" s="119" t="n">
        <x:f>SUM(X712,AB712,AF712,AJ712,AN712,AR712,AV712)</x:f>
        <x:v>328</x:v>
      </x:c>
      <x:c r="I712" s="119" t="n">
        <x:f>SUM(Z712,AD712,AH712,AL712,AP712,AT712,AX712)</x:f>
        <x:v>6809618</x:v>
      </x:c>
      <x:c r="J712" s="119" t="n">
        <x:f>ROUND(INDEX(X712:AY712,1,(D712-1)*4+2)*'难度参数'!$E$28*'章节与怪物'!$E$17,0)</x:f>
        <x:v>137156</x:v>
      </x:c>
      <x:c r="K712" s="119" t="n">
        <x:f>SUM(AA712,AE712,AI712,AM712,AQ712,AU712,AY712)</x:f>
        <x:v>8726</x:v>
      </x:c>
      <x:c r="L712" s="62" t="n">
        <x:f>H712*(ROUNDUP('难度参数'!$E$24/('难度参数'!$E$26*'难度参数'!$E$27),0)*'难度参数'!$E$26)/60</x:f>
        <x:v>4.373333333333334</x:v>
      </x:c>
      <x:c r="M712" s="62" t="n">
        <x:f>L712+D712*('难度参数'!$E$49+'难度参数'!$E$50)/60</x:f>
        <x:v>5.540000000000001</x:v>
      </x:c>
      <x:c r="N712" s="119" t="n">
        <x:f>ROUNDDOWN(('经济参数'!$E$20+A712*'经济参数'!$E$21)*G712,0)</x:f>
        <x:v>14300</x:v>
      </x:c>
      <x:c r="O712" s="119" t="n">
        <x:f>ROUNDDOWN(MIN('经济参数'!$E$24,'经济参数'!$E$22+A712*'经济参数'!$E$23)*G712,0)</x:f>
        <x:v>0</x:v>
      </x:c>
      <x:c r="P712" s="119" t="n">
        <x:f>ROUNDDOWN((IF(A712&gt;='材料与任务'!$E$31,'材料与任务'!$E$32,IF(A712&gt;='材料与任务'!$E$25,'材料与任务'!$E$26,IF(A712&gt;='材料与任务'!$E$19,'材料与任务'!$E$20,IF(A712&gt;='材料与任务'!$E$13,'材料与任务'!$E$14,'材料与任务'!$E$8)))))*G712,0)</x:f>
        <x:v>6</x:v>
      </x:c>
      <x:c r="Q712" s="119" t="n">
        <x:f>ROUNDDOWN((IF(A712&gt;='材料与任务'!$E$31,'材料与任务'!$E$33,IF(A712&gt;='材料与任务'!$E$25,'材料与任务'!$E$27,IF(A712&gt;='材料与任务'!$E$19,'材料与任务'!$E$21,IF(A712&gt;='材料与任务'!$E$13,'材料与任务'!$E$15,'材料与任务'!$E$9)))))*G712,0)</x:f>
        <x:v>3</x:v>
      </x:c>
      <x:c r="R712" s="110" t="n">
        <x:f>'装备掉落'!$B$38</x:f>
        <x:v>0.6872058758851213</x:v>
      </x:c>
      <x:c r="S712" s="119" t="n">
        <x:f>MAX(IF(VLOOKUP(A712,'装备掉落'!$A$29:$H$34,2,TRUE)&gt;0,1,0),IF(VLOOKUP(A712,'装备掉落'!$A$29:$H$34,3,TRUE)&gt;0,2,0),IF(VLOOKUP(A712,'装备掉落'!$A$29:$H$34,4,TRUE)&gt;0,3,0),IF(VLOOKUP(A712,'装备掉落'!$A$29:$H$34,5,TRUE)&gt;0,4,0),IF(VLOOKUP(A712,'装备掉落'!$A$29:$H$34,6,TRUE)&gt;0,5,0),IF(VLOOKUP(A712,'装备掉落'!$A$29:$H$34,7,TRUE)&gt;0,6,0),IF(VLOOKUP(A712,'装备掉落'!$A$29:$H$34,8,TRUE)&gt;0,7,0))</x:f>
        <x:v>7</x:v>
      </x:c>
      <x:c r="T712" s="119" t="n">
        <x:f>MIN(7,S712+'经济参数'!$E$70)</x:f>
        <x:v>7</x:v>
      </x:c>
      <x:c r="U712" s="119" t="n">
        <x:f>MIN(7,S712+'经济参数'!$E$71)</x:f>
        <x:v>7</x:v>
      </x:c>
      <x:c r="V712" s="119" t="n">
        <x:f>IF(H712&gt;=('难度参数'!$E$52),1,0)+IF(H712&gt;=('难度参数'!$E$52+'难度参数'!$E$53),1,0)+IF(H712&gt;=('难度参数'!$E$52+'难度参数'!$E$53+'难度参数'!$E$54),1,0)+IF(H712&gt;=('难度参数'!$E$52+'难度参数'!$E$53+'难度参数'!$E$54+'难度参数'!$E$55),1,0)+IF(H712&gt;=('难度参数'!$E$52+'难度参数'!$E$53+'难度参数'!$E$54+'难度参数'!$E$55+'难度参数'!$E$56),1,0)+IF(H712&gt;=('难度参数'!$E$52+'难度参数'!$E$53+'难度参数'!$E$54+'难度参数'!$E$55+'难度参数'!$E$56+'难度参数'!$E$57),1,0)</x:f>
        <x:v>6</x:v>
      </x:c>
      <x:c r="W712" s="62" t="str">
        <x:f>IF(L712&gt;'难度参数'!$E$51,"仅出怪已超目标","还需实测")</x:f>
        <x:v>仅出怪已超目标</x:v>
      </x:c>
      <x:c r="X712" s="119" t="n">
        <x:f>IF(1&gt;D712,0,MAX(2,MIN('难度参数'!$E$12,ROUND(('难度参数'!$E$18*POWER(A712,'难度参数'!$E$19)/D712*(0.85+0.3*(1-1)/MAX(1,D712-1))),0)+F712)))</x:f>
        <x:v>40</x:v>
      </x:c>
      <x:c r="Y712" s="119" t="n">
        <x:f>IF(1&gt;D712,0,ROUND(('难度参数'!$E$13*POWER(A712,'难度参数'!$E$20)*MIN('难度参数'!$E$23,1+MAX(0,A712-'难度参数'!$E$21)*'难度参数'!$E$22))*(36+1*7)/(36+7*(D712+1)/2)*E712,0))</x:f>
        <x:v>10204</x:v>
      </x:c>
      <x:c r="Z712" s="119" t="n">
        <x:f>IF(X712=0,0,(X712-IF(1=D712,1,0))*ROUND(Y712*VLOOKUP(INDEX('章节与怪物'!$E$31:$K$37,B712,1),'章节与怪物'!$A$41:$F$44,2,FALSE),0)+IF(1=D712,ROUND(Y712*'难度参数'!$E$28*'章节与怪物'!$E$17,0),0))</x:f>
        <x:v>293880</x:v>
      </x:c>
      <x:c r="AA712" s="119" t="n">
        <x:f>IF(X712=0,0,(X712-IF(1=D712,1,0))*VLOOKUP(INDEX('章节与怪物'!$E$31:$K$37,B712,1),'章节与怪物'!$A$41:$F$44,4,FALSE)+IF(1=D712,'难度参数'!$E$30,0))</x:f>
        <x:v>800</x:v>
      </x:c>
      <x:c r="AB712" s="119" t="n">
        <x:f>IF(2&gt;D712,0,MAX(2,MIN('难度参数'!$E$12,ROUND(('难度参数'!$E$18*POWER(A712,'难度参数'!$E$19)/D712*(0.85+0.3*(2-1)/MAX(1,D712-1))),0)+F712)))</x:f>
        <x:v>42</x:v>
      </x:c>
      <x:c r="AC712" s="119" t="n">
        <x:f>IF(2&gt;D712,0,ROUND(('难度参数'!$E$13*POWER(A712,'难度参数'!$E$20)*MIN('难度参数'!$E$23,1+MAX(0,A712-'难度参数'!$E$21)*'难度参数'!$E$22))*(36+2*7)/(36+7*(D712+1)/2)*E712,0))</x:f>
        <x:v>11865</x:v>
      </x:c>
      <x:c r="AD712" s="119" t="n">
        <x:f>IF(AB712=0,0,(AB712-IF(2=D712,1,0))*ROUND(AC712*VLOOKUP(INDEX('章节与怪物'!$E$31:$K$37,B712,2),'章节与怪物'!$A$41:$F$44,2,FALSE),0)+IF(2=D712,ROUND(AC712*'难度参数'!$E$28*'章节与怪物'!$E$17,0),0))</x:f>
        <x:v>498330</x:v>
      </x:c>
      <x:c r="AE712" s="119" t="n">
        <x:f>IF(AB712=0,0,(AB712-IF(2=D712,1,0))*VLOOKUP(INDEX('章节与怪物'!$E$31:$K$37,B712,2),'章节与怪物'!$A$41:$F$44,4,FALSE)+IF(2=D712,'难度参数'!$E$30,0))</x:f>
        <x:v>756</x:v>
      </x:c>
      <x:c r="AF712" s="119" t="n">
        <x:f>IF(3&gt;D712,0,MAX(2,MIN('难度参数'!$E$12,ROUND(('难度参数'!$E$18*POWER(A712,'难度参数'!$E$19)/D712*(0.85+0.3*(3-1)/MAX(1,D712-1))),0)+F712)))</x:f>
        <x:v>44</x:v>
      </x:c>
      <x:c r="AG712" s="119" t="n">
        <x:f>IF(3&gt;D712,0,ROUND(('难度参数'!$E$13*POWER(A712,'难度参数'!$E$20)*MIN('难度参数'!$E$23,1+MAX(0,A712-'难度参数'!$E$21)*'难度参数'!$E$22))*(36+3*7)/(36+7*(D712+1)/2)*E712,0))</x:f>
        <x:v>13526</x:v>
      </x:c>
      <x:c r="AH712" s="119" t="n">
        <x:f>IF(AF712=0,0,(AF712-IF(3=D712,1,0))*ROUND(AG712*VLOOKUP(INDEX('章节与怪物'!$E$31:$K$37,B712,3),'章节与怪物'!$A$41:$F$44,2,FALSE),0)+IF(3=D712,ROUND(AG712*'难度参数'!$E$28*'章节与怪物'!$E$17,0),0))</x:f>
        <x:v>1011736</x:v>
      </x:c>
      <x:c r="AI712" s="119" t="n">
        <x:f>IF(AF712=0,0,(AF712-IF(3=D712,1,0))*VLOOKUP(INDEX('章节与怪物'!$E$31:$K$37,B712,3),'章节与怪物'!$A$41:$F$44,4,FALSE)+IF(3=D712,'难度参数'!$E$30,0))</x:f>
        <x:v>1232</x:v>
      </x:c>
      <x:c r="AJ712" s="119" t="n">
        <x:f>IF(4&gt;D712,0,MAX(2,MIN('难度参数'!$E$12,ROUND(('难度参数'!$E$18*POWER(A712,'难度参数'!$E$19)/D712*(0.85+0.3*(4-1)/MAX(1,D712-1))),0)+F712)))</x:f>
        <x:v>47</x:v>
      </x:c>
      <x:c r="AK712" s="119" t="n">
        <x:f>IF(4&gt;D712,0,ROUND(('难度参数'!$E$13*POWER(A712,'难度参数'!$E$20)*MIN('难度参数'!$E$23,1+MAX(0,A712-'难度参数'!$E$21)*'难度参数'!$E$22))*(36+4*7)/(36+7*(D712+1)/2)*E712,0))</x:f>
        <x:v>15187</x:v>
      </x:c>
      <x:c r="AL712" s="119" t="n">
        <x:f>IF(AJ712=0,0,(AJ712-IF(4=D712,1,0))*ROUND(AK712*VLOOKUP(INDEX('章节与怪物'!$E$31:$K$37,B712,4),'章节与怪物'!$A$41:$F$44,2,FALSE),0)+IF(4=D712,ROUND(AK712*'难度参数'!$E$28*'章节与怪物'!$E$17,0),0))</x:f>
        <x:v>963594</x:v>
      </x:c>
      <x:c r="AM712" s="119" t="n">
        <x:f>IF(AJ712=0,0,(AJ712-IF(4=D712,1,0))*VLOOKUP(INDEX('章节与怪物'!$E$31:$K$37,B712,4),'章节与怪物'!$A$41:$F$44,4,FALSE)+IF(4=D712,'难度参数'!$E$30,0))</x:f>
        <x:v>1598</x:v>
      </x:c>
      <x:c r="AN712" s="119" t="n">
        <x:f>IF(5&gt;D712,0,MAX(2,MIN('难度参数'!$E$12,ROUND(('难度参数'!$E$18*POWER(A712,'难度参数'!$E$19)/D712*(0.85+0.3*(5-1)/MAX(1,D712-1))),0)+F712)))</x:f>
        <x:v>49</x:v>
      </x:c>
      <x:c r="AO712" s="119" t="n">
        <x:f>IF(5&gt;D712,0,ROUND(('难度参数'!$E$13*POWER(A712,'难度参数'!$E$20)*MIN('难度参数'!$E$23,1+MAX(0,A712-'难度参数'!$E$21)*'难度参数'!$E$22))*(36+5*7)/(36+7*(D712+1)/2)*E712,0))</x:f>
        <x:v>16848</x:v>
      </x:c>
      <x:c r="AP712" s="119" t="n">
        <x:f>IF(AN712=0,0,(AN712-IF(5=D712,1,0))*ROUND(AO712*VLOOKUP(INDEX('章节与怪物'!$E$31:$K$37,B712,5),'章节与怪物'!$A$41:$F$44,2,FALSE),0)+IF(5=D712,ROUND(AO712*'难度参数'!$E$28*'章节与怪物'!$E$17,0),0))</x:f>
        <x:v>825552</x:v>
      </x:c>
      <x:c r="AQ712" s="119" t="n">
        <x:f>IF(AN712=0,0,(AN712-IF(5=D712,1,0))*VLOOKUP(INDEX('章节与怪物'!$E$31:$K$37,B712,5),'章节与怪物'!$A$41:$F$44,4,FALSE)+IF(5=D712,'难度参数'!$E$30,0))</x:f>
        <x:v>882</x:v>
      </x:c>
      <x:c r="AR712" s="119" t="n">
        <x:f>IF(6&gt;D712,0,MAX(2,MIN('难度参数'!$E$12,ROUND(('难度参数'!$E$18*POWER(A712,'难度参数'!$E$19)/D712*(0.85+0.3*(6-1)/MAX(1,D712-1))),0)+F712)))</x:f>
        <x:v>52</x:v>
      </x:c>
      <x:c r="AS712" s="119" t="n">
        <x:f>IF(6&gt;D712,0,ROUND(('难度参数'!$E$13*POWER(A712,'难度参数'!$E$20)*MIN('难度参数'!$E$23,1+MAX(0,A712-'难度参数'!$E$21)*'难度参数'!$E$22))*(36+6*7)/(36+7*(D712+1)/2)*E712,0))</x:f>
        <x:v>18509</x:v>
      </x:c>
      <x:c r="AT712" s="119" t="n">
        <x:f>IF(AR712=0,0,(AR712-IF(6=D712,1,0))*ROUND(AS712*VLOOKUP(INDEX('章节与怪物'!$E$31:$K$37,B712,6),'章节与怪物'!$A$41:$F$44,2,FALSE),0)+IF(6=D712,ROUND(AS712*'难度参数'!$E$28*'章节与怪物'!$E$17,0),0))</x:f>
        <x:v>1636180</x:v>
      </x:c>
      <x:c r="AU712" s="119" t="n">
        <x:f>IF(AR712=0,0,(AR712-IF(6=D712,1,0))*VLOOKUP(INDEX('章节与怪物'!$E$31:$K$37,B712,6),'章节与怪物'!$A$41:$F$44,4,FALSE)+IF(6=D712,'难度参数'!$E$30,0))</x:f>
        <x:v>1456</x:v>
      </x:c>
      <x:c r="AV712" s="119" t="n">
        <x:f>IF(7&gt;D712,0,MAX(2,MIN('难度参数'!$E$12,ROUND(('难度参数'!$E$18*POWER(A712,'难度参数'!$E$19)/D712*(0.85+0.3*(7-1)/MAX(1,D712-1))),0)+F712)))</x:f>
        <x:v>54</x:v>
      </x:c>
      <x:c r="AW712" s="119" t="n">
        <x:f>IF(7&gt;D712,0,ROUND(('难度参数'!$E$13*POWER(A712,'难度参数'!$E$20)*MIN('难度参数'!$E$23,1+MAX(0,A712-'难度参数'!$E$21)*'难度参数'!$E$22))*(36+7*7)/(36+7*(D712+1)/2)*E712,0))</x:f>
        <x:v>20170</x:v>
      </x:c>
      <x:c r="AX712" s="119" t="n">
        <x:f>IF(AV712=0,0,(AV712-IF(7=D712,1,0))*ROUND(AW712*VLOOKUP(INDEX('章节与怪物'!$E$31:$K$37,B712,7),'章节与怪物'!$A$41:$F$44,2,FALSE),0)+IF(7=D712,ROUND(AW712*'难度参数'!$E$28*'章节与怪物'!$E$17,0),0))</x:f>
        <x:v>1580346</x:v>
      </x:c>
      <x:c r="AY712" s="119" t="n">
        <x:f>IF(AV712=0,0,(AV712-IF(7=D712,1,0))*VLOOKUP(INDEX('章节与怪物'!$E$31:$K$37,B712,7),'章节与怪物'!$A$41:$F$44,4,FALSE)+IF(7=D712,'难度参数'!$E$30,0))</x:f>
        <x:v>2002</x:v>
      </x:c>
    </x:row>
    <x:row r="713" ht="23" customHeight="1">
      <x:c r="A713" s="119" t="n">
        <x:v>707</x:v>
      </x:c>
      <x:c r="B713" s="119" t="n">
        <x:f>MOD(INT((A713-1)/5),7)+1</x:f>
        <x:v>2</x:v>
      </x:c>
      <x:c r="C713" s="62" t="str">
        <x:f>INDEX('章节与怪物'!$B$31:$B$37,B713)</x:f>
        <x:v>黄沙要塞</x:v>
      </x:c>
      <x:c r="D713" s="119" t="n">
        <x:f>MIN('难度参数'!$E$8,MAX('难度参数'!$E$7,A713))</x:f>
        <x:v>7</x:v>
      </x:c>
      <x:c r="E713" s="106" t="n">
        <x:v>1</x:v>
      </x:c>
      <x:c r="F713" s="106" t="n">
        <x:v>0</x:v>
      </x:c>
      <x:c r="G713" s="106" t="n">
        <x:v>1</x:v>
      </x:c>
      <x:c r="H713" s="119" t="n">
        <x:f>SUM(X713,AB713,AF713,AJ713,AN713,AR713,AV713)</x:f>
        <x:v>329</x:v>
      </x:c>
      <x:c r="I713" s="119" t="n">
        <x:f>SUM(Z713,AD713,AH713,AL713,AP713,AT713,AX713)</x:f>
        <x:v>6839686</x:v>
      </x:c>
      <x:c r="J713" s="119" t="n">
        <x:f>ROUND(INDEX(X713:AY713,1,(D713-1)*4+2)*'难度参数'!$E$28*'章节与怪物'!$E$17,0)</x:f>
        <x:v>137299</x:v>
      </x:c>
      <x:c r="K713" s="119" t="n">
        <x:f>SUM(AA713,AE713,AI713,AM713,AQ713,AU713,AY713)</x:f>
        <x:v>8754</x:v>
      </x:c>
      <x:c r="L713" s="62" t="n">
        <x:f>H713*(ROUNDUP('难度参数'!$E$24/('难度参数'!$E$26*'难度参数'!$E$27),0)*'难度参数'!$E$26)/60</x:f>
        <x:v>4.386666666666667</x:v>
      </x:c>
      <x:c r="M713" s="62" t="n">
        <x:f>L713+D713*('难度参数'!$E$49+'难度参数'!$E$50)/60</x:f>
        <x:v>5.553333333333334</x:v>
      </x:c>
      <x:c r="N713" s="119" t="n">
        <x:f>ROUNDDOWN(('经济参数'!$E$20+A713*'经济参数'!$E$21)*G713,0)</x:f>
        <x:v>14320</x:v>
      </x:c>
      <x:c r="O713" s="119" t="n">
        <x:f>ROUNDDOWN(MIN('经济参数'!$E$24,'经济参数'!$E$22+A713*'经济参数'!$E$23)*G713,0)</x:f>
        <x:v>0</x:v>
      </x:c>
      <x:c r="P713" s="119" t="n">
        <x:f>ROUNDDOWN((IF(A713&gt;='材料与任务'!$E$31,'材料与任务'!$E$32,IF(A713&gt;='材料与任务'!$E$25,'材料与任务'!$E$26,IF(A713&gt;='材料与任务'!$E$19,'材料与任务'!$E$20,IF(A713&gt;='材料与任务'!$E$13,'材料与任务'!$E$14,'材料与任务'!$E$8)))))*G713,0)</x:f>
        <x:v>6</x:v>
      </x:c>
      <x:c r="Q713" s="119" t="n">
        <x:f>ROUNDDOWN((IF(A713&gt;='材料与任务'!$E$31,'材料与任务'!$E$33,IF(A713&gt;='材料与任务'!$E$25,'材料与任务'!$E$27,IF(A713&gt;='材料与任务'!$E$19,'材料与任务'!$E$21,IF(A713&gt;='材料与任务'!$E$13,'材料与任务'!$E$15,'材料与任务'!$E$9)))))*G713,0)</x:f>
        <x:v>3</x:v>
      </x:c>
      <x:c r="R713" s="110" t="n">
        <x:f>'装备掉落'!$B$38</x:f>
        <x:v>0.6872058758851213</x:v>
      </x:c>
      <x:c r="S713" s="119" t="n">
        <x:f>MAX(IF(VLOOKUP(A713,'装备掉落'!$A$29:$H$34,2,TRUE)&gt;0,1,0),IF(VLOOKUP(A713,'装备掉落'!$A$29:$H$34,3,TRUE)&gt;0,2,0),IF(VLOOKUP(A713,'装备掉落'!$A$29:$H$34,4,TRUE)&gt;0,3,0),IF(VLOOKUP(A713,'装备掉落'!$A$29:$H$34,5,TRUE)&gt;0,4,0),IF(VLOOKUP(A713,'装备掉落'!$A$29:$H$34,6,TRUE)&gt;0,5,0),IF(VLOOKUP(A713,'装备掉落'!$A$29:$H$34,7,TRUE)&gt;0,6,0),IF(VLOOKUP(A713,'装备掉落'!$A$29:$H$34,8,TRUE)&gt;0,7,0))</x:f>
        <x:v>7</x:v>
      </x:c>
      <x:c r="T713" s="119" t="n">
        <x:f>MIN(7,S713+'经济参数'!$E$70)</x:f>
        <x:v>7</x:v>
      </x:c>
      <x:c r="U713" s="119" t="n">
        <x:f>MIN(7,S713+'经济参数'!$E$71)</x:f>
        <x:v>7</x:v>
      </x:c>
      <x:c r="V713" s="119" t="n">
        <x:f>IF(H713&gt;=('难度参数'!$E$52),1,0)+IF(H713&gt;=('难度参数'!$E$52+'难度参数'!$E$53),1,0)+IF(H713&gt;=('难度参数'!$E$52+'难度参数'!$E$53+'难度参数'!$E$54),1,0)+IF(H713&gt;=('难度参数'!$E$52+'难度参数'!$E$53+'难度参数'!$E$54+'难度参数'!$E$55),1,0)+IF(H713&gt;=('难度参数'!$E$52+'难度参数'!$E$53+'难度参数'!$E$54+'难度参数'!$E$55+'难度参数'!$E$56),1,0)+IF(H713&gt;=('难度参数'!$E$52+'难度参数'!$E$53+'难度参数'!$E$54+'难度参数'!$E$55+'难度参数'!$E$56+'难度参数'!$E$57),1,0)</x:f>
        <x:v>6</x:v>
      </x:c>
      <x:c r="W713" s="62" t="str">
        <x:f>IF(L713&gt;'难度参数'!$E$51,"仅出怪已超目标","还需实测")</x:f>
        <x:v>仅出怪已超目标</x:v>
      </x:c>
      <x:c r="X713" s="119" t="n">
        <x:f>IF(1&gt;D713,0,MAX(2,MIN('难度参数'!$E$12,ROUND(('难度参数'!$E$18*POWER(A713,'难度参数'!$E$19)/D713*(0.85+0.3*(1-1)/MAX(1,D713-1))),0)+F713)))</x:f>
        <x:v>40</x:v>
      </x:c>
      <x:c r="Y713" s="119" t="n">
        <x:f>IF(1&gt;D713,0,ROUND(('难度参数'!$E$13*POWER(A713,'难度参数'!$E$20)*MIN('难度参数'!$E$23,1+MAX(0,A713-'难度参数'!$E$21)*'难度参数'!$E$22))*(36+1*7)/(36+7*(D713+1)/2)*E713,0))</x:f>
        <x:v>10214</x:v>
      </x:c>
      <x:c r="Z713" s="119" t="n">
        <x:f>IF(X713=0,0,(X713-IF(1=D713,1,0))*ROUND(Y713*VLOOKUP(INDEX('章节与怪物'!$E$31:$K$37,B713,1),'章节与怪物'!$A$41:$F$44,2,FALSE),0)+IF(1=D713,ROUND(Y713*'难度参数'!$E$28*'章节与怪物'!$E$17,0),0))</x:f>
        <x:v>294160</x:v>
      </x:c>
      <x:c r="AA713" s="119" t="n">
        <x:f>IF(X713=0,0,(X713-IF(1=D713,1,0))*VLOOKUP(INDEX('章节与怪物'!$E$31:$K$37,B713,1),'章节与怪物'!$A$41:$F$44,4,FALSE)+IF(1=D713,'难度参数'!$E$30,0))</x:f>
        <x:v>800</x:v>
      </x:c>
      <x:c r="AB713" s="119" t="n">
        <x:f>IF(2&gt;D713,0,MAX(2,MIN('难度参数'!$E$12,ROUND(('难度参数'!$E$18*POWER(A713,'难度参数'!$E$19)/D713*(0.85+0.3*(2-1)/MAX(1,D713-1))),0)+F713)))</x:f>
        <x:v>42</x:v>
      </x:c>
      <x:c r="AC713" s="119" t="n">
        <x:f>IF(2&gt;D713,0,ROUND(('难度参数'!$E$13*POWER(A713,'难度参数'!$E$20)*MIN('难度参数'!$E$23,1+MAX(0,A713-'难度参数'!$E$21)*'难度参数'!$E$22))*(36+2*7)/(36+7*(D713+1)/2)*E713,0))</x:f>
        <x:v>11877</x:v>
      </x:c>
      <x:c r="AD713" s="119" t="n">
        <x:f>IF(AB713=0,0,(AB713-IF(2=D713,1,0))*ROUND(AC713*VLOOKUP(INDEX('章节与怪物'!$E$31:$K$37,B713,2),'章节与怪物'!$A$41:$F$44,2,FALSE),0)+IF(2=D713,ROUND(AC713*'难度参数'!$E$28*'章节与怪物'!$E$17,0),0))</x:f>
        <x:v>498834</x:v>
      </x:c>
      <x:c r="AE713" s="119" t="n">
        <x:f>IF(AB713=0,0,(AB713-IF(2=D713,1,0))*VLOOKUP(INDEX('章节与怪物'!$E$31:$K$37,B713,2),'章节与怪物'!$A$41:$F$44,4,FALSE)+IF(2=D713,'难度参数'!$E$30,0))</x:f>
        <x:v>756</x:v>
      </x:c>
      <x:c r="AF713" s="119" t="n">
        <x:f>IF(3&gt;D713,0,MAX(2,MIN('难度参数'!$E$12,ROUND(('难度参数'!$E$18*POWER(A713,'难度参数'!$E$19)/D713*(0.85+0.3*(3-1)/MAX(1,D713-1))),0)+F713)))</x:f>
        <x:v>45</x:v>
      </x:c>
      <x:c r="AG713" s="119" t="n">
        <x:f>IF(3&gt;D713,0,ROUND(('难度参数'!$E$13*POWER(A713,'难度参数'!$E$20)*MIN('难度参数'!$E$23,1+MAX(0,A713-'难度参数'!$E$21)*'难度参数'!$E$22))*(36+3*7)/(36+7*(D713+1)/2)*E713,0))</x:f>
        <x:v>13540</x:v>
      </x:c>
      <x:c r="AH713" s="119" t="n">
        <x:f>IF(AF713=0,0,(AF713-IF(3=D713,1,0))*ROUND(AG713*VLOOKUP(INDEX('章节与怪物'!$E$31:$K$37,B713,3),'章节与怪物'!$A$41:$F$44,2,FALSE),0)+IF(3=D713,ROUND(AG713*'难度参数'!$E$28*'章节与怪物'!$E$17,0),0))</x:f>
        <x:v>1035810</x:v>
      </x:c>
      <x:c r="AI713" s="119" t="n">
        <x:f>IF(AF713=0,0,(AF713-IF(3=D713,1,0))*VLOOKUP(INDEX('章节与怪物'!$E$31:$K$37,B713,3),'章节与怪物'!$A$41:$F$44,4,FALSE)+IF(3=D713,'难度参数'!$E$30,0))</x:f>
        <x:v>1260</x:v>
      </x:c>
      <x:c r="AJ713" s="119" t="n">
        <x:f>IF(4&gt;D713,0,MAX(2,MIN('难度参数'!$E$12,ROUND(('难度参数'!$E$18*POWER(A713,'难度参数'!$E$19)/D713*(0.85+0.3*(4-1)/MAX(1,D713-1))),0)+F713)))</x:f>
        <x:v>47</x:v>
      </x:c>
      <x:c r="AK713" s="119" t="n">
        <x:f>IF(4&gt;D713,0,ROUND(('难度参数'!$E$13*POWER(A713,'难度参数'!$E$20)*MIN('难度参数'!$E$23,1+MAX(0,A713-'难度参数'!$E$21)*'难度参数'!$E$22))*(36+4*7)/(36+7*(D713+1)/2)*E713,0))</x:f>
        <x:v>15203</x:v>
      </x:c>
      <x:c r="AL713" s="119" t="n">
        <x:f>IF(AJ713=0,0,(AJ713-IF(4=D713,1,0))*ROUND(AK713*VLOOKUP(INDEX('章节与怪物'!$E$31:$K$37,B713,4),'章节与怪物'!$A$41:$F$44,2,FALSE),0)+IF(4=D713,ROUND(AK713*'难度参数'!$E$28*'章节与怪物'!$E$17,0),0))</x:f>
        <x:v>964628</x:v>
      </x:c>
      <x:c r="AM713" s="119" t="n">
        <x:f>IF(AJ713=0,0,(AJ713-IF(4=D713,1,0))*VLOOKUP(INDEX('章节与怪物'!$E$31:$K$37,B713,4),'章节与怪物'!$A$41:$F$44,4,FALSE)+IF(4=D713,'难度参数'!$E$30,0))</x:f>
        <x:v>1598</x:v>
      </x:c>
      <x:c r="AN713" s="119" t="n">
        <x:f>IF(5&gt;D713,0,MAX(2,MIN('难度参数'!$E$12,ROUND(('难度参数'!$E$18*POWER(A713,'难度参数'!$E$19)/D713*(0.85+0.3*(5-1)/MAX(1,D713-1))),0)+F713)))</x:f>
        <x:v>49</x:v>
      </x:c>
      <x:c r="AO713" s="119" t="n">
        <x:f>IF(5&gt;D713,0,ROUND(('难度参数'!$E$13*POWER(A713,'难度参数'!$E$20)*MIN('难度参数'!$E$23,1+MAX(0,A713-'难度参数'!$E$21)*'难度参数'!$E$22))*(36+5*7)/(36+7*(D713+1)/2)*E713,0))</x:f>
        <x:v>16865</x:v>
      </x:c>
      <x:c r="AP713" s="119" t="n">
        <x:f>IF(AN713=0,0,(AN713-IF(5=D713,1,0))*ROUND(AO713*VLOOKUP(INDEX('章节与怪物'!$E$31:$K$37,B713,5),'章节与怪物'!$A$41:$F$44,2,FALSE),0)+IF(5=D713,ROUND(AO713*'难度参数'!$E$28*'章节与怪物'!$E$17,0),0))</x:f>
        <x:v>826385</x:v>
      </x:c>
      <x:c r="AQ713" s="119" t="n">
        <x:f>IF(AN713=0,0,(AN713-IF(5=D713,1,0))*VLOOKUP(INDEX('章节与怪物'!$E$31:$K$37,B713,5),'章节与怪物'!$A$41:$F$44,4,FALSE)+IF(5=D713,'难度参数'!$E$30,0))</x:f>
        <x:v>882</x:v>
      </x:c>
      <x:c r="AR713" s="119" t="n">
        <x:f>IF(6&gt;D713,0,MAX(2,MIN('难度参数'!$E$12,ROUND(('难度参数'!$E$18*POWER(A713,'难度参数'!$E$19)/D713*(0.85+0.3*(6-1)/MAX(1,D713-1))),0)+F713)))</x:f>
        <x:v>52</x:v>
      </x:c>
      <x:c r="AS713" s="119" t="n">
        <x:f>IF(6&gt;D713,0,ROUND(('难度参数'!$E$13*POWER(A713,'难度参数'!$E$20)*MIN('难度参数'!$E$23,1+MAX(0,A713-'难度参数'!$E$21)*'难度参数'!$E$22))*(36+6*7)/(36+7*(D713+1)/2)*E713,0))</x:f>
        <x:v>18528</x:v>
      </x:c>
      <x:c r="AT713" s="119" t="n">
        <x:f>IF(AR713=0,0,(AR713-IF(6=D713,1,0))*ROUND(AS713*VLOOKUP(INDEX('章节与怪物'!$E$31:$K$37,B713,6),'章节与怪物'!$A$41:$F$44,2,FALSE),0)+IF(6=D713,ROUND(AS713*'难度参数'!$E$28*'章节与怪物'!$E$17,0),0))</x:f>
        <x:v>1637896</x:v>
      </x:c>
      <x:c r="AU713" s="119" t="n">
        <x:f>IF(AR713=0,0,(AR713-IF(6=D713,1,0))*VLOOKUP(INDEX('章节与怪物'!$E$31:$K$37,B713,6),'章节与怪物'!$A$41:$F$44,4,FALSE)+IF(6=D713,'难度参数'!$E$30,0))</x:f>
        <x:v>1456</x:v>
      </x:c>
      <x:c r="AV713" s="119" t="n">
        <x:f>IF(7&gt;D713,0,MAX(2,MIN('难度参数'!$E$12,ROUND(('难度参数'!$E$18*POWER(A713,'难度参数'!$E$19)/D713*(0.85+0.3*(7-1)/MAX(1,D713-1))),0)+F713)))</x:f>
        <x:v>54</x:v>
      </x:c>
      <x:c r="AW713" s="119" t="n">
        <x:f>IF(7&gt;D713,0,ROUND(('难度参数'!$E$13*POWER(A713,'难度参数'!$E$20)*MIN('难度参数'!$E$23,1+MAX(0,A713-'难度参数'!$E$21)*'难度参数'!$E$22))*(36+7*7)/(36+7*(D713+1)/2)*E713,0))</x:f>
        <x:v>20191</x:v>
      </x:c>
      <x:c r="AX713" s="119" t="n">
        <x:f>IF(AV713=0,0,(AV713-IF(7=D713,1,0))*ROUND(AW713*VLOOKUP(INDEX('章节与怪物'!$E$31:$K$37,B713,7),'章节与怪物'!$A$41:$F$44,2,FALSE),0)+IF(7=D713,ROUND(AW713*'难度参数'!$E$28*'章节与怪物'!$E$17,0),0))</x:f>
        <x:v>1581973</x:v>
      </x:c>
      <x:c r="AY713" s="119" t="n">
        <x:f>IF(AV713=0,0,(AV713-IF(7=D713,1,0))*VLOOKUP(INDEX('章节与怪物'!$E$31:$K$37,B713,7),'章节与怪物'!$A$41:$F$44,4,FALSE)+IF(7=D713,'难度参数'!$E$30,0))</x:f>
        <x:v>2002</x:v>
      </x:c>
    </x:row>
    <x:row r="714" ht="23" customHeight="1">
      <x:c r="A714" s="119" t="n">
        <x:v>708</x:v>
      </x:c>
      <x:c r="B714" s="119" t="n">
        <x:f>MOD(INT((A714-1)/5),7)+1</x:f>
        <x:v>2</x:v>
      </x:c>
      <x:c r="C714" s="62" t="str">
        <x:f>INDEX('章节与怪物'!$B$31:$B$37,B714)</x:f>
        <x:v>黄沙要塞</x:v>
      </x:c>
      <x:c r="D714" s="119" t="n">
        <x:f>MIN('难度参数'!$E$8,MAX('难度参数'!$E$7,A714))</x:f>
        <x:v>7</x:v>
      </x:c>
      <x:c r="E714" s="106" t="n">
        <x:v>1</x:v>
      </x:c>
      <x:c r="F714" s="106" t="n">
        <x:v>0</x:v>
      </x:c>
      <x:c r="G714" s="106" t="n">
        <x:v>1</x:v>
      </x:c>
      <x:c r="H714" s="119" t="n">
        <x:f>SUM(X714,AB714,AF714,AJ714,AN714,AR714,AV714)</x:f>
        <x:v>329</x:v>
      </x:c>
      <x:c r="I714" s="119" t="n">
        <x:f>SUM(Z714,AD714,AH714,AL714,AP714,AT714,AX714)</x:f>
        <x:v>6846594</x:v>
      </x:c>
      <x:c r="J714" s="119" t="n">
        <x:f>ROUND(INDEX(X714:AY714,1,(D714-1)*4+2)*'难度参数'!$E$28*'章节与怪物'!$E$17,0)</x:f>
        <x:v>137435</x:v>
      </x:c>
      <x:c r="K714" s="119" t="n">
        <x:f>SUM(AA714,AE714,AI714,AM714,AQ714,AU714,AY714)</x:f>
        <x:v>8754</x:v>
      </x:c>
      <x:c r="L714" s="62" t="n">
        <x:f>H714*(ROUNDUP('难度参数'!$E$24/('难度参数'!$E$26*'难度参数'!$E$27),0)*'难度参数'!$E$26)/60</x:f>
        <x:v>4.386666666666667</x:v>
      </x:c>
      <x:c r="M714" s="62" t="n">
        <x:f>L714+D714*('难度参数'!$E$49+'难度参数'!$E$50)/60</x:f>
        <x:v>5.553333333333334</x:v>
      </x:c>
      <x:c r="N714" s="119" t="n">
        <x:f>ROUNDDOWN(('经济参数'!$E$20+A714*'经济参数'!$E$21)*G714,0)</x:f>
        <x:v>14340</x:v>
      </x:c>
      <x:c r="O714" s="119" t="n">
        <x:f>ROUNDDOWN(MIN('经济参数'!$E$24,'经济参数'!$E$22+A714*'经济参数'!$E$23)*G714,0)</x:f>
        <x:v>0</x:v>
      </x:c>
      <x:c r="P714" s="119" t="n">
        <x:f>ROUNDDOWN((IF(A714&gt;='材料与任务'!$E$31,'材料与任务'!$E$32,IF(A714&gt;='材料与任务'!$E$25,'材料与任务'!$E$26,IF(A714&gt;='材料与任务'!$E$19,'材料与任务'!$E$20,IF(A714&gt;='材料与任务'!$E$13,'材料与任务'!$E$14,'材料与任务'!$E$8)))))*G714,0)</x:f>
        <x:v>6</x:v>
      </x:c>
      <x:c r="Q714" s="119" t="n">
        <x:f>ROUNDDOWN((IF(A714&gt;='材料与任务'!$E$31,'材料与任务'!$E$33,IF(A714&gt;='材料与任务'!$E$25,'材料与任务'!$E$27,IF(A714&gt;='材料与任务'!$E$19,'材料与任务'!$E$21,IF(A714&gt;='材料与任务'!$E$13,'材料与任务'!$E$15,'材料与任务'!$E$9)))))*G714,0)</x:f>
        <x:v>3</x:v>
      </x:c>
      <x:c r="R714" s="110" t="n">
        <x:f>'装备掉落'!$B$38</x:f>
        <x:v>0.6872058758851213</x:v>
      </x:c>
      <x:c r="S714" s="119" t="n">
        <x:f>MAX(IF(VLOOKUP(A714,'装备掉落'!$A$29:$H$34,2,TRUE)&gt;0,1,0),IF(VLOOKUP(A714,'装备掉落'!$A$29:$H$34,3,TRUE)&gt;0,2,0),IF(VLOOKUP(A714,'装备掉落'!$A$29:$H$34,4,TRUE)&gt;0,3,0),IF(VLOOKUP(A714,'装备掉落'!$A$29:$H$34,5,TRUE)&gt;0,4,0),IF(VLOOKUP(A714,'装备掉落'!$A$29:$H$34,6,TRUE)&gt;0,5,0),IF(VLOOKUP(A714,'装备掉落'!$A$29:$H$34,7,TRUE)&gt;0,6,0),IF(VLOOKUP(A714,'装备掉落'!$A$29:$H$34,8,TRUE)&gt;0,7,0))</x:f>
        <x:v>7</x:v>
      </x:c>
      <x:c r="T714" s="119" t="n">
        <x:f>MIN(7,S714+'经济参数'!$E$70)</x:f>
        <x:v>7</x:v>
      </x:c>
      <x:c r="U714" s="119" t="n">
        <x:f>MIN(7,S714+'经济参数'!$E$71)</x:f>
        <x:v>7</x:v>
      </x:c>
      <x:c r="V714" s="119" t="n">
        <x:f>IF(H714&gt;=('难度参数'!$E$52),1,0)+IF(H714&gt;=('难度参数'!$E$52+'难度参数'!$E$53),1,0)+IF(H714&gt;=('难度参数'!$E$52+'难度参数'!$E$53+'难度参数'!$E$54),1,0)+IF(H714&gt;=('难度参数'!$E$52+'难度参数'!$E$53+'难度参数'!$E$54+'难度参数'!$E$55),1,0)+IF(H714&gt;=('难度参数'!$E$52+'难度参数'!$E$53+'难度参数'!$E$54+'难度参数'!$E$55+'难度参数'!$E$56),1,0)+IF(H714&gt;=('难度参数'!$E$52+'难度参数'!$E$53+'难度参数'!$E$54+'难度参数'!$E$55+'难度参数'!$E$56+'难度参数'!$E$57),1,0)</x:f>
        <x:v>6</x:v>
      </x:c>
      <x:c r="W714" s="62" t="str">
        <x:f>IF(L714&gt;'难度参数'!$E$51,"仅出怪已超目标","还需实测")</x:f>
        <x:v>仅出怪已超目标</x:v>
      </x:c>
      <x:c r="X714" s="119" t="n">
        <x:f>IF(1&gt;D714,0,MAX(2,MIN('难度参数'!$E$12,ROUND(('难度参数'!$E$18*POWER(A714,'难度参数'!$E$19)/D714*(0.85+0.3*(1-1)/MAX(1,D714-1))),0)+F714)))</x:f>
        <x:v>40</x:v>
      </x:c>
      <x:c r="Y714" s="119" t="n">
        <x:f>IF(1&gt;D714,0,ROUND(('难度参数'!$E$13*POWER(A714,'难度参数'!$E$20)*MIN('难度参数'!$E$23,1+MAX(0,A714-'难度参数'!$E$21)*'难度参数'!$E$22))*(36+1*7)/(36+7*(D714+1)/2)*E714,0))</x:f>
        <x:v>10225</x:v>
      </x:c>
      <x:c r="Z714" s="119" t="n">
        <x:f>IF(X714=0,0,(X714-IF(1=D714,1,0))*ROUND(Y714*VLOOKUP(INDEX('章节与怪物'!$E$31:$K$37,B714,1),'章节与怪物'!$A$41:$F$44,2,FALSE),0)+IF(1=D714,ROUND(Y714*'难度参数'!$E$28*'章节与怪物'!$E$17,0),0))</x:f>
        <x:v>294480</x:v>
      </x:c>
      <x:c r="AA714" s="119" t="n">
        <x:f>IF(X714=0,0,(X714-IF(1=D714,1,0))*VLOOKUP(INDEX('章节与怪物'!$E$31:$K$37,B714,1),'章节与怪物'!$A$41:$F$44,4,FALSE)+IF(1=D714,'难度参数'!$E$30,0))</x:f>
        <x:v>800</x:v>
      </x:c>
      <x:c r="AB714" s="119" t="n">
        <x:f>IF(2&gt;D714,0,MAX(2,MIN('难度参数'!$E$12,ROUND(('难度参数'!$E$18*POWER(A714,'难度参数'!$E$19)/D714*(0.85+0.3*(2-1)/MAX(1,D714-1))),0)+F714)))</x:f>
        <x:v>42</x:v>
      </x:c>
      <x:c r="AC714" s="119" t="n">
        <x:f>IF(2&gt;D714,0,ROUND(('难度参数'!$E$13*POWER(A714,'难度参数'!$E$20)*MIN('难度参数'!$E$23,1+MAX(0,A714-'难度参数'!$E$21)*'难度参数'!$E$22))*(36+2*7)/(36+7*(D714+1)/2)*E714,0))</x:f>
        <x:v>11889</x:v>
      </x:c>
      <x:c r="AD714" s="119" t="n">
        <x:f>IF(AB714=0,0,(AB714-IF(2=D714,1,0))*ROUND(AC714*VLOOKUP(INDEX('章节与怪物'!$E$31:$K$37,B714,2),'章节与怪物'!$A$41:$F$44,2,FALSE),0)+IF(2=D714,ROUND(AC714*'难度参数'!$E$28*'章节与怪物'!$E$17,0),0))</x:f>
        <x:v>499338</x:v>
      </x:c>
      <x:c r="AE714" s="119" t="n">
        <x:f>IF(AB714=0,0,(AB714-IF(2=D714,1,0))*VLOOKUP(INDEX('章节与怪物'!$E$31:$K$37,B714,2),'章节与怪物'!$A$41:$F$44,4,FALSE)+IF(2=D714,'难度参数'!$E$30,0))</x:f>
        <x:v>756</x:v>
      </x:c>
      <x:c r="AF714" s="119" t="n">
        <x:f>IF(3&gt;D714,0,MAX(2,MIN('难度参数'!$E$12,ROUND(('难度参数'!$E$18*POWER(A714,'难度参数'!$E$19)/D714*(0.85+0.3*(3-1)/MAX(1,D714-1))),0)+F714)))</x:f>
        <x:v>45</x:v>
      </x:c>
      <x:c r="AG714" s="119" t="n">
        <x:f>IF(3&gt;D714,0,ROUND(('难度参数'!$E$13*POWER(A714,'难度参数'!$E$20)*MIN('难度参数'!$E$23,1+MAX(0,A714-'难度参数'!$E$21)*'难度参数'!$E$22))*(36+3*7)/(36+7*(D714+1)/2)*E714,0))</x:f>
        <x:v>13554</x:v>
      </x:c>
      <x:c r="AH714" s="119" t="n">
        <x:f>IF(AF714=0,0,(AF714-IF(3=D714,1,0))*ROUND(AG714*VLOOKUP(INDEX('章节与怪物'!$E$31:$K$37,B714,3),'章节与怪物'!$A$41:$F$44,2,FALSE),0)+IF(3=D714,ROUND(AG714*'难度参数'!$E$28*'章节与怪物'!$E$17,0),0))</x:f>
        <x:v>1036890</x:v>
      </x:c>
      <x:c r="AI714" s="119" t="n">
        <x:f>IF(AF714=0,0,(AF714-IF(3=D714,1,0))*VLOOKUP(INDEX('章节与怪物'!$E$31:$K$37,B714,3),'章节与怪物'!$A$41:$F$44,4,FALSE)+IF(3=D714,'难度参数'!$E$30,0))</x:f>
        <x:v>1260</x:v>
      </x:c>
      <x:c r="AJ714" s="119" t="n">
        <x:f>IF(4&gt;D714,0,MAX(2,MIN('难度参数'!$E$12,ROUND(('难度参数'!$E$18*POWER(A714,'难度参数'!$E$19)/D714*(0.85+0.3*(4-1)/MAX(1,D714-1))),0)+F714)))</x:f>
        <x:v>47</x:v>
      </x:c>
      <x:c r="AK714" s="119" t="n">
        <x:f>IF(4&gt;D714,0,ROUND(('难度参数'!$E$13*POWER(A714,'难度参数'!$E$20)*MIN('难度参数'!$E$23,1+MAX(0,A714-'难度参数'!$E$21)*'难度参数'!$E$22))*(36+4*7)/(36+7*(D714+1)/2)*E714,0))</x:f>
        <x:v>15218</x:v>
      </x:c>
      <x:c r="AL714" s="119" t="n">
        <x:f>IF(AJ714=0,0,(AJ714-IF(4=D714,1,0))*ROUND(AK714*VLOOKUP(INDEX('章节与怪物'!$E$31:$K$37,B714,4),'章节与怪物'!$A$41:$F$44,2,FALSE),0)+IF(4=D714,ROUND(AK714*'难度参数'!$E$28*'章节与怪物'!$E$17,0),0))</x:f>
        <x:v>965568</x:v>
      </x:c>
      <x:c r="AM714" s="119" t="n">
        <x:f>IF(AJ714=0,0,(AJ714-IF(4=D714,1,0))*VLOOKUP(INDEX('章节与怪物'!$E$31:$K$37,B714,4),'章节与怪物'!$A$41:$F$44,4,FALSE)+IF(4=D714,'难度参数'!$E$30,0))</x:f>
        <x:v>1598</x:v>
      </x:c>
      <x:c r="AN714" s="119" t="n">
        <x:f>IF(5&gt;D714,0,MAX(2,MIN('难度参数'!$E$12,ROUND(('难度参数'!$E$18*POWER(A714,'难度参数'!$E$19)/D714*(0.85+0.3*(5-1)/MAX(1,D714-1))),0)+F714)))</x:f>
        <x:v>49</x:v>
      </x:c>
      <x:c r="AO714" s="119" t="n">
        <x:f>IF(5&gt;D714,0,ROUND(('难度参数'!$E$13*POWER(A714,'难度参数'!$E$20)*MIN('难度参数'!$E$23,1+MAX(0,A714-'难度参数'!$E$21)*'难度参数'!$E$22))*(36+5*7)/(36+7*(D714+1)/2)*E714,0))</x:f>
        <x:v>16882</x:v>
      </x:c>
      <x:c r="AP714" s="119" t="n">
        <x:f>IF(AN714=0,0,(AN714-IF(5=D714,1,0))*ROUND(AO714*VLOOKUP(INDEX('章节与怪物'!$E$31:$K$37,B714,5),'章节与怪物'!$A$41:$F$44,2,FALSE),0)+IF(5=D714,ROUND(AO714*'难度参数'!$E$28*'章节与怪物'!$E$17,0),0))</x:f>
        <x:v>827218</x:v>
      </x:c>
      <x:c r="AQ714" s="119" t="n">
        <x:f>IF(AN714=0,0,(AN714-IF(5=D714,1,0))*VLOOKUP(INDEX('章节与怪物'!$E$31:$K$37,B714,5),'章节与怪物'!$A$41:$F$44,4,FALSE)+IF(5=D714,'难度参数'!$E$30,0))</x:f>
        <x:v>882</x:v>
      </x:c>
      <x:c r="AR714" s="119" t="n">
        <x:f>IF(6&gt;D714,0,MAX(2,MIN('难度参数'!$E$12,ROUND(('难度参数'!$E$18*POWER(A714,'难度参数'!$E$19)/D714*(0.85+0.3*(6-1)/MAX(1,D714-1))),0)+F714)))</x:f>
        <x:v>52</x:v>
      </x:c>
      <x:c r="AS714" s="119" t="n">
        <x:f>IF(6&gt;D714,0,ROUND(('难度参数'!$E$13*POWER(A714,'难度参数'!$E$20)*MIN('难度参数'!$E$23,1+MAX(0,A714-'难度参数'!$E$21)*'难度参数'!$E$22))*(36+6*7)/(36+7*(D714+1)/2)*E714,0))</x:f>
        <x:v>18547</x:v>
      </x:c>
      <x:c r="AT714" s="119" t="n">
        <x:f>IF(AR714=0,0,(AR714-IF(6=D714,1,0))*ROUND(AS714*VLOOKUP(INDEX('章节与怪物'!$E$31:$K$37,B714,6),'章节与怪物'!$A$41:$F$44,2,FALSE),0)+IF(6=D714,ROUND(AS714*'难度参数'!$E$28*'章节与怪物'!$E$17,0),0))</x:f>
        <x:v>1639560</x:v>
      </x:c>
      <x:c r="AU714" s="119" t="n">
        <x:f>IF(AR714=0,0,(AR714-IF(6=D714,1,0))*VLOOKUP(INDEX('章节与怪物'!$E$31:$K$37,B714,6),'章节与怪物'!$A$41:$F$44,4,FALSE)+IF(6=D714,'难度参数'!$E$30,0))</x:f>
        <x:v>1456</x:v>
      </x:c>
      <x:c r="AV714" s="119" t="n">
        <x:f>IF(7&gt;D714,0,MAX(2,MIN('难度参数'!$E$12,ROUND(('难度参数'!$E$18*POWER(A714,'难度参数'!$E$19)/D714*(0.85+0.3*(7-1)/MAX(1,D714-1))),0)+F714)))</x:f>
        <x:v>54</x:v>
      </x:c>
      <x:c r="AW714" s="119" t="n">
        <x:f>IF(7&gt;D714,0,ROUND(('难度参数'!$E$13*POWER(A714,'难度参数'!$E$20)*MIN('难度参数'!$E$23,1+MAX(0,A714-'难度参数'!$E$21)*'难度参数'!$E$22))*(36+7*7)/(36+7*(D714+1)/2)*E714,0))</x:f>
        <x:v>20211</x:v>
      </x:c>
      <x:c r="AX714" s="119" t="n">
        <x:f>IF(AV714=0,0,(AV714-IF(7=D714,1,0))*ROUND(AW714*VLOOKUP(INDEX('章节与怪物'!$E$31:$K$37,B714,7),'章节与怪物'!$A$41:$F$44,2,FALSE),0)+IF(7=D714,ROUND(AW714*'难度参数'!$E$28*'章节与怪物'!$E$17,0),0))</x:f>
        <x:v>1583540</x:v>
      </x:c>
      <x:c r="AY714" s="119" t="n">
        <x:f>IF(AV714=0,0,(AV714-IF(7=D714,1,0))*VLOOKUP(INDEX('章节与怪物'!$E$31:$K$37,B714,7),'章节与怪物'!$A$41:$F$44,4,FALSE)+IF(7=D714,'难度参数'!$E$30,0))</x:f>
        <x:v>2002</x:v>
      </x:c>
    </x:row>
    <x:row r="715" ht="23" customHeight="1">
      <x:c r="A715" s="119" t="n">
        <x:v>709</x:v>
      </x:c>
      <x:c r="B715" s="119" t="n">
        <x:f>MOD(INT((A715-1)/5),7)+1</x:f>
        <x:v>2</x:v>
      </x:c>
      <x:c r="C715" s="62" t="str">
        <x:f>INDEX('章节与怪物'!$B$31:$B$37,B715)</x:f>
        <x:v>黄沙要塞</x:v>
      </x:c>
      <x:c r="D715" s="119" t="n">
        <x:f>MIN('难度参数'!$E$8,MAX('难度参数'!$E$7,A715))</x:f>
        <x:v>7</x:v>
      </x:c>
      <x:c r="E715" s="106" t="n">
        <x:v>1</x:v>
      </x:c>
      <x:c r="F715" s="106" t="n">
        <x:v>0</x:v>
      </x:c>
      <x:c r="G715" s="106" t="n">
        <x:v>1</x:v>
      </x:c>
      <x:c r="H715" s="119" t="n">
        <x:f>SUM(X715,AB715,AF715,AJ715,AN715,AR715,AV715)</x:f>
        <x:v>329</x:v>
      </x:c>
      <x:c r="I715" s="119" t="n">
        <x:f>SUM(Z715,AD715,AH715,AL715,AP715,AT715,AX715)</x:f>
        <x:v>6853528</x:v>
      </x:c>
      <x:c r="J715" s="119" t="n">
        <x:f>ROUND(INDEX(X715:AY715,1,(D715-1)*4+2)*'难度参数'!$E$28*'章节与怪物'!$E$17,0)</x:f>
        <x:v>137578</x:v>
      </x:c>
      <x:c r="K715" s="119" t="n">
        <x:f>SUM(AA715,AE715,AI715,AM715,AQ715,AU715,AY715)</x:f>
        <x:v>8754</x:v>
      </x:c>
      <x:c r="L715" s="62" t="n">
        <x:f>H715*(ROUNDUP('难度参数'!$E$24/('难度参数'!$E$26*'难度参数'!$E$27),0)*'难度参数'!$E$26)/60</x:f>
        <x:v>4.386666666666667</x:v>
      </x:c>
      <x:c r="M715" s="62" t="n">
        <x:f>L715+D715*('难度参数'!$E$49+'难度参数'!$E$50)/60</x:f>
        <x:v>5.553333333333334</x:v>
      </x:c>
      <x:c r="N715" s="119" t="n">
        <x:f>ROUNDDOWN(('经济参数'!$E$20+A715*'经济参数'!$E$21)*G715,0)</x:f>
        <x:v>14360</x:v>
      </x:c>
      <x:c r="O715" s="119" t="n">
        <x:f>ROUNDDOWN(MIN('经济参数'!$E$24,'经济参数'!$E$22+A715*'经济参数'!$E$23)*G715,0)</x:f>
        <x:v>0</x:v>
      </x:c>
      <x:c r="P715" s="119" t="n">
        <x:f>ROUNDDOWN((IF(A715&gt;='材料与任务'!$E$31,'材料与任务'!$E$32,IF(A715&gt;='材料与任务'!$E$25,'材料与任务'!$E$26,IF(A715&gt;='材料与任务'!$E$19,'材料与任务'!$E$20,IF(A715&gt;='材料与任务'!$E$13,'材料与任务'!$E$14,'材料与任务'!$E$8)))))*G715,0)</x:f>
        <x:v>6</x:v>
      </x:c>
      <x:c r="Q715" s="119" t="n">
        <x:f>ROUNDDOWN((IF(A715&gt;='材料与任务'!$E$31,'材料与任务'!$E$33,IF(A715&gt;='材料与任务'!$E$25,'材料与任务'!$E$27,IF(A715&gt;='材料与任务'!$E$19,'材料与任务'!$E$21,IF(A715&gt;='材料与任务'!$E$13,'材料与任务'!$E$15,'材料与任务'!$E$9)))))*G715,0)</x:f>
        <x:v>3</x:v>
      </x:c>
      <x:c r="R715" s="110" t="n">
        <x:f>'装备掉落'!$B$38</x:f>
        <x:v>0.6872058758851213</x:v>
      </x:c>
      <x:c r="S715" s="119" t="n">
        <x:f>MAX(IF(VLOOKUP(A715,'装备掉落'!$A$29:$H$34,2,TRUE)&gt;0,1,0),IF(VLOOKUP(A715,'装备掉落'!$A$29:$H$34,3,TRUE)&gt;0,2,0),IF(VLOOKUP(A715,'装备掉落'!$A$29:$H$34,4,TRUE)&gt;0,3,0),IF(VLOOKUP(A715,'装备掉落'!$A$29:$H$34,5,TRUE)&gt;0,4,0),IF(VLOOKUP(A715,'装备掉落'!$A$29:$H$34,6,TRUE)&gt;0,5,0),IF(VLOOKUP(A715,'装备掉落'!$A$29:$H$34,7,TRUE)&gt;0,6,0),IF(VLOOKUP(A715,'装备掉落'!$A$29:$H$34,8,TRUE)&gt;0,7,0))</x:f>
        <x:v>7</x:v>
      </x:c>
      <x:c r="T715" s="119" t="n">
        <x:f>MIN(7,S715+'经济参数'!$E$70)</x:f>
        <x:v>7</x:v>
      </x:c>
      <x:c r="U715" s="119" t="n">
        <x:f>MIN(7,S715+'经济参数'!$E$71)</x:f>
        <x:v>7</x:v>
      </x:c>
      <x:c r="V715" s="119" t="n">
        <x:f>IF(H715&gt;=('难度参数'!$E$52),1,0)+IF(H715&gt;=('难度参数'!$E$52+'难度参数'!$E$53),1,0)+IF(H715&gt;=('难度参数'!$E$52+'难度参数'!$E$53+'难度参数'!$E$54),1,0)+IF(H715&gt;=('难度参数'!$E$52+'难度参数'!$E$53+'难度参数'!$E$54+'难度参数'!$E$55),1,0)+IF(H715&gt;=('难度参数'!$E$52+'难度参数'!$E$53+'难度参数'!$E$54+'难度参数'!$E$55+'难度参数'!$E$56),1,0)+IF(H715&gt;=('难度参数'!$E$52+'难度参数'!$E$53+'难度参数'!$E$54+'难度参数'!$E$55+'难度参数'!$E$56+'难度参数'!$E$57),1,0)</x:f>
        <x:v>6</x:v>
      </x:c>
      <x:c r="W715" s="62" t="str">
        <x:f>IF(L715&gt;'难度参数'!$E$51,"仅出怪已超目标","还需实测")</x:f>
        <x:v>仅出怪已超目标</x:v>
      </x:c>
      <x:c r="X715" s="119" t="n">
        <x:f>IF(1&gt;D715,0,MAX(2,MIN('难度参数'!$E$12,ROUND(('难度参数'!$E$18*POWER(A715,'难度参数'!$E$19)/D715*(0.85+0.3*(1-1)/MAX(1,D715-1))),0)+F715)))</x:f>
        <x:v>40</x:v>
      </x:c>
      <x:c r="Y715" s="119" t="n">
        <x:f>IF(1&gt;D715,0,ROUND(('难度参数'!$E$13*POWER(A715,'难度参数'!$E$20)*MIN('难度参数'!$E$23,1+MAX(0,A715-'难度参数'!$E$21)*'难度参数'!$E$22))*(36+1*7)/(36+7*(D715+1)/2)*E715,0))</x:f>
        <x:v>10235</x:v>
      </x:c>
      <x:c r="Z715" s="119" t="n">
        <x:f>IF(X715=0,0,(X715-IF(1=D715,1,0))*ROUND(Y715*VLOOKUP(INDEX('章节与怪物'!$E$31:$K$37,B715,1),'章节与怪物'!$A$41:$F$44,2,FALSE),0)+IF(1=D715,ROUND(Y715*'难度参数'!$E$28*'章节与怪物'!$E$17,0),0))</x:f>
        <x:v>294760</x:v>
      </x:c>
      <x:c r="AA715" s="119" t="n">
        <x:f>IF(X715=0,0,(X715-IF(1=D715,1,0))*VLOOKUP(INDEX('章节与怪物'!$E$31:$K$37,B715,1),'章节与怪物'!$A$41:$F$44,4,FALSE)+IF(1=D715,'难度参数'!$E$30,0))</x:f>
        <x:v>800</x:v>
      </x:c>
      <x:c r="AB715" s="119" t="n">
        <x:f>IF(2&gt;D715,0,MAX(2,MIN('难度参数'!$E$12,ROUND(('难度参数'!$E$18*POWER(A715,'难度参数'!$E$19)/D715*(0.85+0.3*(2-1)/MAX(1,D715-1))),0)+F715)))</x:f>
        <x:v>42</x:v>
      </x:c>
      <x:c r="AC715" s="119" t="n">
        <x:f>IF(2&gt;D715,0,ROUND(('难度参数'!$E$13*POWER(A715,'难度参数'!$E$20)*MIN('难度参数'!$E$23,1+MAX(0,A715-'难度参数'!$E$21)*'难度参数'!$E$22))*(36+2*7)/(36+7*(D715+1)/2)*E715,0))</x:f>
        <x:v>11901</x:v>
      </x:c>
      <x:c r="AD715" s="119" t="n">
        <x:f>IF(AB715=0,0,(AB715-IF(2=D715,1,0))*ROUND(AC715*VLOOKUP(INDEX('章节与怪物'!$E$31:$K$37,B715,2),'章节与怪物'!$A$41:$F$44,2,FALSE),0)+IF(2=D715,ROUND(AC715*'难度参数'!$E$28*'章节与怪物'!$E$17,0),0))</x:f>
        <x:v>499842</x:v>
      </x:c>
      <x:c r="AE715" s="119" t="n">
        <x:f>IF(AB715=0,0,(AB715-IF(2=D715,1,0))*VLOOKUP(INDEX('章节与怪物'!$E$31:$K$37,B715,2),'章节与怪物'!$A$41:$F$44,4,FALSE)+IF(2=D715,'难度参数'!$E$30,0))</x:f>
        <x:v>756</x:v>
      </x:c>
      <x:c r="AF715" s="119" t="n">
        <x:f>IF(3&gt;D715,0,MAX(2,MIN('难度参数'!$E$12,ROUND(('难度参数'!$E$18*POWER(A715,'难度参数'!$E$19)/D715*(0.85+0.3*(3-1)/MAX(1,D715-1))),0)+F715)))</x:f>
        <x:v>45</x:v>
      </x:c>
      <x:c r="AG715" s="119" t="n">
        <x:f>IF(3&gt;D715,0,ROUND(('难度参数'!$E$13*POWER(A715,'难度参数'!$E$20)*MIN('难度参数'!$E$23,1+MAX(0,A715-'难度参数'!$E$21)*'难度参数'!$E$22))*(36+3*7)/(36+7*(D715+1)/2)*E715,0))</x:f>
        <x:v>13567</x:v>
      </x:c>
      <x:c r="AH715" s="119" t="n">
        <x:f>IF(AF715=0,0,(AF715-IF(3=D715,1,0))*ROUND(AG715*VLOOKUP(INDEX('章节与怪物'!$E$31:$K$37,B715,3),'章节与怪物'!$A$41:$F$44,2,FALSE),0)+IF(3=D715,ROUND(AG715*'难度参数'!$E$28*'章节与怪物'!$E$17,0),0))</x:f>
        <x:v>1037880</x:v>
      </x:c>
      <x:c r="AI715" s="119" t="n">
        <x:f>IF(AF715=0,0,(AF715-IF(3=D715,1,0))*VLOOKUP(INDEX('章节与怪物'!$E$31:$K$37,B715,3),'章节与怪物'!$A$41:$F$44,4,FALSE)+IF(3=D715,'难度参数'!$E$30,0))</x:f>
        <x:v>1260</x:v>
      </x:c>
      <x:c r="AJ715" s="119" t="n">
        <x:f>IF(4&gt;D715,0,MAX(2,MIN('难度参数'!$E$12,ROUND(('难度参数'!$E$18*POWER(A715,'难度参数'!$E$19)/D715*(0.85+0.3*(4-1)/MAX(1,D715-1))),0)+F715)))</x:f>
        <x:v>47</x:v>
      </x:c>
      <x:c r="AK715" s="119" t="n">
        <x:f>IF(4&gt;D715,0,ROUND(('难度参数'!$E$13*POWER(A715,'难度参数'!$E$20)*MIN('难度参数'!$E$23,1+MAX(0,A715-'难度参数'!$E$21)*'难度参数'!$E$22))*(36+4*7)/(36+7*(D715+1)/2)*E715,0))</x:f>
        <x:v>15233</x:v>
      </x:c>
      <x:c r="AL715" s="119" t="n">
        <x:f>IF(AJ715=0,0,(AJ715-IF(4=D715,1,0))*ROUND(AK715*VLOOKUP(INDEX('章节与怪物'!$E$31:$K$37,B715,4),'章节与怪物'!$A$41:$F$44,2,FALSE),0)+IF(4=D715,ROUND(AK715*'难度参数'!$E$28*'章节与怪物'!$E$17,0),0))</x:f>
        <x:v>966555</x:v>
      </x:c>
      <x:c r="AM715" s="119" t="n">
        <x:f>IF(AJ715=0,0,(AJ715-IF(4=D715,1,0))*VLOOKUP(INDEX('章节与怪物'!$E$31:$K$37,B715,4),'章节与怪物'!$A$41:$F$44,4,FALSE)+IF(4=D715,'难度参数'!$E$30,0))</x:f>
        <x:v>1598</x:v>
      </x:c>
      <x:c r="AN715" s="119" t="n">
        <x:f>IF(5&gt;D715,0,MAX(2,MIN('难度参数'!$E$12,ROUND(('难度参数'!$E$18*POWER(A715,'难度参数'!$E$19)/D715*(0.85+0.3*(5-1)/MAX(1,D715-1))),0)+F715)))</x:f>
        <x:v>49</x:v>
      </x:c>
      <x:c r="AO715" s="119" t="n">
        <x:f>IF(5&gt;D715,0,ROUND(('难度参数'!$E$13*POWER(A715,'难度参数'!$E$20)*MIN('难度参数'!$E$23,1+MAX(0,A715-'难度参数'!$E$21)*'难度参数'!$E$22))*(36+5*7)/(36+7*(D715+1)/2)*E715,0))</x:f>
        <x:v>16900</x:v>
      </x:c>
      <x:c r="AP715" s="119" t="n">
        <x:f>IF(AN715=0,0,(AN715-IF(5=D715,1,0))*ROUND(AO715*VLOOKUP(INDEX('章节与怪物'!$E$31:$K$37,B715,5),'章节与怪物'!$A$41:$F$44,2,FALSE),0)+IF(5=D715,ROUND(AO715*'难度参数'!$E$28*'章节与怪物'!$E$17,0),0))</x:f>
        <x:v>828100</x:v>
      </x:c>
      <x:c r="AQ715" s="119" t="n">
        <x:f>IF(AN715=0,0,(AN715-IF(5=D715,1,0))*VLOOKUP(INDEX('章节与怪物'!$E$31:$K$37,B715,5),'章节与怪物'!$A$41:$F$44,4,FALSE)+IF(5=D715,'难度参数'!$E$30,0))</x:f>
        <x:v>882</x:v>
      </x:c>
      <x:c r="AR715" s="119" t="n">
        <x:f>IF(6&gt;D715,0,MAX(2,MIN('难度参数'!$E$12,ROUND(('难度参数'!$E$18*POWER(A715,'难度参数'!$E$19)/D715*(0.85+0.3*(6-1)/MAX(1,D715-1))),0)+F715)))</x:f>
        <x:v>52</x:v>
      </x:c>
      <x:c r="AS715" s="119" t="n">
        <x:f>IF(6&gt;D715,0,ROUND(('难度参数'!$E$13*POWER(A715,'难度参数'!$E$20)*MIN('难度参数'!$E$23,1+MAX(0,A715-'难度参数'!$E$21)*'难度参数'!$E$22))*(36+6*7)/(36+7*(D715+1)/2)*E715,0))</x:f>
        <x:v>18566</x:v>
      </x:c>
      <x:c r="AT715" s="119" t="n">
        <x:f>IF(AR715=0,0,(AR715-IF(6=D715,1,0))*ROUND(AS715*VLOOKUP(INDEX('章节与怪物'!$E$31:$K$37,B715,6),'章节与怪物'!$A$41:$F$44,2,FALSE),0)+IF(6=D715,ROUND(AS715*'难度参数'!$E$28*'章节与怪物'!$E$17,0),0))</x:f>
        <x:v>1641224</x:v>
      </x:c>
      <x:c r="AU715" s="119" t="n">
        <x:f>IF(AR715=0,0,(AR715-IF(6=D715,1,0))*VLOOKUP(INDEX('章节与怪物'!$E$31:$K$37,B715,6),'章节与怪物'!$A$41:$F$44,4,FALSE)+IF(6=D715,'难度参数'!$E$30,0))</x:f>
        <x:v>1456</x:v>
      </x:c>
      <x:c r="AV715" s="119" t="n">
        <x:f>IF(7&gt;D715,0,MAX(2,MIN('难度参数'!$E$12,ROUND(('难度参数'!$E$18*POWER(A715,'难度参数'!$E$19)/D715*(0.85+0.3*(7-1)/MAX(1,D715-1))),0)+F715)))</x:f>
        <x:v>54</x:v>
      </x:c>
      <x:c r="AW715" s="119" t="n">
        <x:f>IF(7&gt;D715,0,ROUND(('难度参数'!$E$13*POWER(A715,'难度参数'!$E$20)*MIN('难度参数'!$E$23,1+MAX(0,A715-'难度参数'!$E$21)*'难度参数'!$E$22))*(36+7*7)/(36+7*(D715+1)/2)*E715,0))</x:f>
        <x:v>20232</x:v>
      </x:c>
      <x:c r="AX715" s="119" t="n">
        <x:f>IF(AV715=0,0,(AV715-IF(7=D715,1,0))*ROUND(AW715*VLOOKUP(INDEX('章节与怪物'!$E$31:$K$37,B715,7),'章节与怪物'!$A$41:$F$44,2,FALSE),0)+IF(7=D715,ROUND(AW715*'难度参数'!$E$28*'章节与怪物'!$E$17,0),0))</x:f>
        <x:v>1585167</x:v>
      </x:c>
      <x:c r="AY715" s="119" t="n">
        <x:f>IF(AV715=0,0,(AV715-IF(7=D715,1,0))*VLOOKUP(INDEX('章节与怪物'!$E$31:$K$37,B715,7),'章节与怪物'!$A$41:$F$44,4,FALSE)+IF(7=D715,'难度参数'!$E$30,0))</x:f>
        <x:v>2002</x:v>
      </x:c>
    </x:row>
    <x:row r="716" ht="23" customHeight="1">
      <x:c r="A716" s="119" t="n">
        <x:v>710</x:v>
      </x:c>
      <x:c r="B716" s="119" t="n">
        <x:f>MOD(INT((A716-1)/5),7)+1</x:f>
        <x:v>2</x:v>
      </x:c>
      <x:c r="C716" s="62" t="str">
        <x:f>INDEX('章节与怪物'!$B$31:$B$37,B716)</x:f>
        <x:v>黄沙要塞</x:v>
      </x:c>
      <x:c r="D716" s="119" t="n">
        <x:f>MIN('难度参数'!$E$8,MAX('难度参数'!$E$7,A716))</x:f>
        <x:v>7</x:v>
      </x:c>
      <x:c r="E716" s="106" t="n">
        <x:v>1</x:v>
      </x:c>
      <x:c r="F716" s="106" t="n">
        <x:v>0</x:v>
      </x:c>
      <x:c r="G716" s="106" t="n">
        <x:v>1</x:v>
      </x:c>
      <x:c r="H716" s="119" t="n">
        <x:f>SUM(X716,AB716,AF716,AJ716,AN716,AR716,AV716)</x:f>
        <x:v>329</x:v>
      </x:c>
      <x:c r="I716" s="119" t="n">
        <x:f>SUM(Z716,AD716,AH716,AL716,AP716,AT716,AX716)</x:f>
        <x:v>6860607</x:v>
      </x:c>
      <x:c r="J716" s="119" t="n">
        <x:f>ROUND(INDEX(X716:AY716,1,(D716-1)*4+2)*'难度参数'!$E$28*'章节与怪物'!$E$17,0)</x:f>
        <x:v>137720</x:v>
      </x:c>
      <x:c r="K716" s="119" t="n">
        <x:f>SUM(AA716,AE716,AI716,AM716,AQ716,AU716,AY716)</x:f>
        <x:v>8754</x:v>
      </x:c>
      <x:c r="L716" s="62" t="n">
        <x:f>H716*(ROUNDUP('难度参数'!$E$24/('难度参数'!$E$26*'难度参数'!$E$27),0)*'难度参数'!$E$26)/60</x:f>
        <x:v>4.386666666666667</x:v>
      </x:c>
      <x:c r="M716" s="62" t="n">
        <x:f>L716+D716*('难度参数'!$E$49+'难度参数'!$E$50)/60</x:f>
        <x:v>5.553333333333334</x:v>
      </x:c>
      <x:c r="N716" s="119" t="n">
        <x:f>ROUNDDOWN(('经济参数'!$E$20+A716*'经济参数'!$E$21)*G716,0)</x:f>
        <x:v>14380</x:v>
      </x:c>
      <x:c r="O716" s="119" t="n">
        <x:f>ROUNDDOWN(MIN('经济参数'!$E$24,'经济参数'!$E$22+A716*'经济参数'!$E$23)*G716,0)</x:f>
        <x:v>0</x:v>
      </x:c>
      <x:c r="P716" s="119" t="n">
        <x:f>ROUNDDOWN((IF(A716&gt;='材料与任务'!$E$31,'材料与任务'!$E$32,IF(A716&gt;='材料与任务'!$E$25,'材料与任务'!$E$26,IF(A716&gt;='材料与任务'!$E$19,'材料与任务'!$E$20,IF(A716&gt;='材料与任务'!$E$13,'材料与任务'!$E$14,'材料与任务'!$E$8)))))*G716,0)</x:f>
        <x:v>6</x:v>
      </x:c>
      <x:c r="Q716" s="119" t="n">
        <x:f>ROUNDDOWN((IF(A716&gt;='材料与任务'!$E$31,'材料与任务'!$E$33,IF(A716&gt;='材料与任务'!$E$25,'材料与任务'!$E$27,IF(A716&gt;='材料与任务'!$E$19,'材料与任务'!$E$21,IF(A716&gt;='材料与任务'!$E$13,'材料与任务'!$E$15,'材料与任务'!$E$9)))))*G716,0)</x:f>
        <x:v>3</x:v>
      </x:c>
      <x:c r="R716" s="110" t="n">
        <x:f>'装备掉落'!$B$38</x:f>
        <x:v>0.6872058758851213</x:v>
      </x:c>
      <x:c r="S716" s="119" t="n">
        <x:f>MAX(IF(VLOOKUP(A716,'装备掉落'!$A$29:$H$34,2,TRUE)&gt;0,1,0),IF(VLOOKUP(A716,'装备掉落'!$A$29:$H$34,3,TRUE)&gt;0,2,0),IF(VLOOKUP(A716,'装备掉落'!$A$29:$H$34,4,TRUE)&gt;0,3,0),IF(VLOOKUP(A716,'装备掉落'!$A$29:$H$34,5,TRUE)&gt;0,4,0),IF(VLOOKUP(A716,'装备掉落'!$A$29:$H$34,6,TRUE)&gt;0,5,0),IF(VLOOKUP(A716,'装备掉落'!$A$29:$H$34,7,TRUE)&gt;0,6,0),IF(VLOOKUP(A716,'装备掉落'!$A$29:$H$34,8,TRUE)&gt;0,7,0))</x:f>
        <x:v>7</x:v>
      </x:c>
      <x:c r="T716" s="119" t="n">
        <x:f>MIN(7,S716+'经济参数'!$E$70)</x:f>
        <x:v>7</x:v>
      </x:c>
      <x:c r="U716" s="119" t="n">
        <x:f>MIN(7,S716+'经济参数'!$E$71)</x:f>
        <x:v>7</x:v>
      </x:c>
      <x:c r="V716" s="119" t="n">
        <x:f>IF(H716&gt;=('难度参数'!$E$52),1,0)+IF(H716&gt;=('难度参数'!$E$52+'难度参数'!$E$53),1,0)+IF(H716&gt;=('难度参数'!$E$52+'难度参数'!$E$53+'难度参数'!$E$54),1,0)+IF(H716&gt;=('难度参数'!$E$52+'难度参数'!$E$53+'难度参数'!$E$54+'难度参数'!$E$55),1,0)+IF(H716&gt;=('难度参数'!$E$52+'难度参数'!$E$53+'难度参数'!$E$54+'难度参数'!$E$55+'难度参数'!$E$56),1,0)+IF(H716&gt;=('难度参数'!$E$52+'难度参数'!$E$53+'难度参数'!$E$54+'难度参数'!$E$55+'难度参数'!$E$56+'难度参数'!$E$57),1,0)</x:f>
        <x:v>6</x:v>
      </x:c>
      <x:c r="W716" s="62" t="str">
        <x:f>IF(L716&gt;'难度参数'!$E$51,"仅出怪已超目标","还需实测")</x:f>
        <x:v>仅出怪已超目标</x:v>
      </x:c>
      <x:c r="X716" s="119" t="n">
        <x:f>IF(1&gt;D716,0,MAX(2,MIN('难度参数'!$E$12,ROUND(('难度参数'!$E$18*POWER(A716,'难度参数'!$E$19)/D716*(0.85+0.3*(1-1)/MAX(1,D716-1))),0)+F716)))</x:f>
        <x:v>40</x:v>
      </x:c>
      <x:c r="Y716" s="119" t="n">
        <x:f>IF(1&gt;D716,0,ROUND(('难度参数'!$E$13*POWER(A716,'难度参数'!$E$20)*MIN('难度参数'!$E$23,1+MAX(0,A716-'难度参数'!$E$21)*'难度参数'!$E$22))*(36+1*7)/(36+7*(D716+1)/2)*E716,0))</x:f>
        <x:v>10245</x:v>
      </x:c>
      <x:c r="Z716" s="119" t="n">
        <x:f>IF(X716=0,0,(X716-IF(1=D716,1,0))*ROUND(Y716*VLOOKUP(INDEX('章节与怪物'!$E$31:$K$37,B716,1),'章节与怪物'!$A$41:$F$44,2,FALSE),0)+IF(1=D716,ROUND(Y716*'难度参数'!$E$28*'章节与怪物'!$E$17,0),0))</x:f>
        <x:v>295040</x:v>
      </x:c>
      <x:c r="AA716" s="119" t="n">
        <x:f>IF(X716=0,0,(X716-IF(1=D716,1,0))*VLOOKUP(INDEX('章节与怪物'!$E$31:$K$37,B716,1),'章节与怪物'!$A$41:$F$44,4,FALSE)+IF(1=D716,'难度参数'!$E$30,0))</x:f>
        <x:v>800</x:v>
      </x:c>
      <x:c r="AB716" s="119" t="n">
        <x:f>IF(2&gt;D716,0,MAX(2,MIN('难度参数'!$E$12,ROUND(('难度参数'!$E$18*POWER(A716,'难度参数'!$E$19)/D716*(0.85+0.3*(2-1)/MAX(1,D716-1))),0)+F716)))</x:f>
        <x:v>42</x:v>
      </x:c>
      <x:c r="AC716" s="119" t="n">
        <x:f>IF(2&gt;D716,0,ROUND(('难度参数'!$E$13*POWER(A716,'难度参数'!$E$20)*MIN('难度参数'!$E$23,1+MAX(0,A716-'难度参数'!$E$21)*'难度参数'!$E$22))*(36+2*7)/(36+7*(D716+1)/2)*E716,0))</x:f>
        <x:v>11913</x:v>
      </x:c>
      <x:c r="AD716" s="119" t="n">
        <x:f>IF(AB716=0,0,(AB716-IF(2=D716,1,0))*ROUND(AC716*VLOOKUP(INDEX('章节与怪物'!$E$31:$K$37,B716,2),'章节与怪物'!$A$41:$F$44,2,FALSE),0)+IF(2=D716,ROUND(AC716*'难度参数'!$E$28*'章节与怪物'!$E$17,0),0))</x:f>
        <x:v>500346</x:v>
      </x:c>
      <x:c r="AE716" s="119" t="n">
        <x:f>IF(AB716=0,0,(AB716-IF(2=D716,1,0))*VLOOKUP(INDEX('章节与怪物'!$E$31:$K$37,B716,2),'章节与怪物'!$A$41:$F$44,4,FALSE)+IF(2=D716,'难度参数'!$E$30,0))</x:f>
        <x:v>756</x:v>
      </x:c>
      <x:c r="AF716" s="119" t="n">
        <x:f>IF(3&gt;D716,0,MAX(2,MIN('难度参数'!$E$12,ROUND(('难度参数'!$E$18*POWER(A716,'难度参数'!$E$19)/D716*(0.85+0.3*(3-1)/MAX(1,D716-1))),0)+F716)))</x:f>
        <x:v>45</x:v>
      </x:c>
      <x:c r="AG716" s="119" t="n">
        <x:f>IF(3&gt;D716,0,ROUND(('难度参数'!$E$13*POWER(A716,'难度参数'!$E$20)*MIN('难度参数'!$E$23,1+MAX(0,A716-'难度参数'!$E$21)*'难度参数'!$E$22))*(36+3*7)/(36+7*(D716+1)/2)*E716,0))</x:f>
        <x:v>13581</x:v>
      </x:c>
      <x:c r="AH716" s="119" t="n">
        <x:f>IF(AF716=0,0,(AF716-IF(3=D716,1,0))*ROUND(AG716*VLOOKUP(INDEX('章节与怪物'!$E$31:$K$37,B716,3),'章节与怪物'!$A$41:$F$44,2,FALSE),0)+IF(3=D716,ROUND(AG716*'难度参数'!$E$28*'章节与怪物'!$E$17,0),0))</x:f>
        <x:v>1038960</x:v>
      </x:c>
      <x:c r="AI716" s="119" t="n">
        <x:f>IF(AF716=0,0,(AF716-IF(3=D716,1,0))*VLOOKUP(INDEX('章节与怪物'!$E$31:$K$37,B716,3),'章节与怪物'!$A$41:$F$44,4,FALSE)+IF(3=D716,'难度参数'!$E$30,0))</x:f>
        <x:v>1260</x:v>
      </x:c>
      <x:c r="AJ716" s="119" t="n">
        <x:f>IF(4&gt;D716,0,MAX(2,MIN('难度参数'!$E$12,ROUND(('难度参数'!$E$18*POWER(A716,'难度参数'!$E$19)/D716*(0.85+0.3*(4-1)/MAX(1,D716-1))),0)+F716)))</x:f>
        <x:v>47</x:v>
      </x:c>
      <x:c r="AK716" s="119" t="n">
        <x:f>IF(4&gt;D716,0,ROUND(('难度参数'!$E$13*POWER(A716,'难度参数'!$E$20)*MIN('难度参数'!$E$23,1+MAX(0,A716-'难度参数'!$E$21)*'难度参数'!$E$22))*(36+4*7)/(36+7*(D716+1)/2)*E716,0))</x:f>
        <x:v>15249</x:v>
      </x:c>
      <x:c r="AL716" s="119" t="n">
        <x:f>IF(AJ716=0,0,(AJ716-IF(4=D716,1,0))*ROUND(AK716*VLOOKUP(INDEX('章节与怪物'!$E$31:$K$37,B716,4),'章节与怪物'!$A$41:$F$44,2,FALSE),0)+IF(4=D716,ROUND(AK716*'难度参数'!$E$28*'章节与怪物'!$E$17,0),0))</x:f>
        <x:v>967542</x:v>
      </x:c>
      <x:c r="AM716" s="119" t="n">
        <x:f>IF(AJ716=0,0,(AJ716-IF(4=D716,1,0))*VLOOKUP(INDEX('章节与怪物'!$E$31:$K$37,B716,4),'章节与怪物'!$A$41:$F$44,4,FALSE)+IF(4=D716,'难度参数'!$E$30,0))</x:f>
        <x:v>1598</x:v>
      </x:c>
      <x:c r="AN716" s="119" t="n">
        <x:f>IF(5&gt;D716,0,MAX(2,MIN('难度参数'!$E$12,ROUND(('难度参数'!$E$18*POWER(A716,'难度参数'!$E$19)/D716*(0.85+0.3*(5-1)/MAX(1,D716-1))),0)+F716)))</x:f>
        <x:v>49</x:v>
      </x:c>
      <x:c r="AO716" s="119" t="n">
        <x:f>IF(5&gt;D716,0,ROUND(('难度参数'!$E$13*POWER(A716,'难度参数'!$E$20)*MIN('难度参数'!$E$23,1+MAX(0,A716-'难度参数'!$E$21)*'难度参数'!$E$22))*(36+5*7)/(36+7*(D716+1)/2)*E716,0))</x:f>
        <x:v>16917</x:v>
      </x:c>
      <x:c r="AP716" s="119" t="n">
        <x:f>IF(AN716=0,0,(AN716-IF(5=D716,1,0))*ROUND(AO716*VLOOKUP(INDEX('章节与怪物'!$E$31:$K$37,B716,5),'章节与怪物'!$A$41:$F$44,2,FALSE),0)+IF(5=D716,ROUND(AO716*'难度参数'!$E$28*'章节与怪物'!$E$17,0),0))</x:f>
        <x:v>828933</x:v>
      </x:c>
      <x:c r="AQ716" s="119" t="n">
        <x:f>IF(AN716=0,0,(AN716-IF(5=D716,1,0))*VLOOKUP(INDEX('章节与怪物'!$E$31:$K$37,B716,5),'章节与怪物'!$A$41:$F$44,4,FALSE)+IF(5=D716,'难度参数'!$E$30,0))</x:f>
        <x:v>882</x:v>
      </x:c>
      <x:c r="AR716" s="119" t="n">
        <x:f>IF(6&gt;D716,0,MAX(2,MIN('难度参数'!$E$12,ROUND(('难度参数'!$E$18*POWER(A716,'难度参数'!$E$19)/D716*(0.85+0.3*(6-1)/MAX(1,D716-1))),0)+F716)))</x:f>
        <x:v>52</x:v>
      </x:c>
      <x:c r="AS716" s="119" t="n">
        <x:f>IF(6&gt;D716,0,ROUND(('难度参数'!$E$13*POWER(A716,'难度参数'!$E$20)*MIN('难度参数'!$E$23,1+MAX(0,A716-'难度参数'!$E$21)*'难度参数'!$E$22))*(36+6*7)/(36+7*(D716+1)/2)*E716,0))</x:f>
        <x:v>18585</x:v>
      </x:c>
      <x:c r="AT716" s="119" t="n">
        <x:f>IF(AR716=0,0,(AR716-IF(6=D716,1,0))*ROUND(AS716*VLOOKUP(INDEX('章节与怪物'!$E$31:$K$37,B716,6),'章节与怪物'!$A$41:$F$44,2,FALSE),0)+IF(6=D716,ROUND(AS716*'难度参数'!$E$28*'章节与怪物'!$E$17,0),0))</x:f>
        <x:v>1642940</x:v>
      </x:c>
      <x:c r="AU716" s="119" t="n">
        <x:f>IF(AR716=0,0,(AR716-IF(6=D716,1,0))*VLOOKUP(INDEX('章节与怪物'!$E$31:$K$37,B716,6),'章节与怪物'!$A$41:$F$44,4,FALSE)+IF(6=D716,'难度参数'!$E$30,0))</x:f>
        <x:v>1456</x:v>
      </x:c>
      <x:c r="AV716" s="119" t="n">
        <x:f>IF(7&gt;D716,0,MAX(2,MIN('难度参数'!$E$12,ROUND(('难度参数'!$E$18*POWER(A716,'难度参数'!$E$19)/D716*(0.85+0.3*(7-1)/MAX(1,D716-1))),0)+F716)))</x:f>
        <x:v>54</x:v>
      </x:c>
      <x:c r="AW716" s="119" t="n">
        <x:f>IF(7&gt;D716,0,ROUND(('难度参数'!$E$13*POWER(A716,'难度参数'!$E$20)*MIN('难度参数'!$E$23,1+MAX(0,A716-'难度参数'!$E$21)*'难度参数'!$E$22))*(36+7*7)/(36+7*(D716+1)/2)*E716,0))</x:f>
        <x:v>20253</x:v>
      </x:c>
      <x:c r="AX716" s="119" t="n">
        <x:f>IF(AV716=0,0,(AV716-IF(7=D716,1,0))*ROUND(AW716*VLOOKUP(INDEX('章节与怪物'!$E$31:$K$37,B716,7),'章节与怪物'!$A$41:$F$44,2,FALSE),0)+IF(7=D716,ROUND(AW716*'难度参数'!$E$28*'章节与怪物'!$E$17,0),0))</x:f>
        <x:v>1586846</x:v>
      </x:c>
      <x:c r="AY716" s="119" t="n">
        <x:f>IF(AV716=0,0,(AV716-IF(7=D716,1,0))*VLOOKUP(INDEX('章节与怪物'!$E$31:$K$37,B716,7),'章节与怪物'!$A$41:$F$44,4,FALSE)+IF(7=D716,'难度参数'!$E$30,0))</x:f>
        <x:v>2002</x:v>
      </x:c>
    </x:row>
    <x:row r="717" ht="23" customHeight="1">
      <x:c r="A717" s="119" t="n">
        <x:v>711</x:v>
      </x:c>
      <x:c r="B717" s="119" t="n">
        <x:f>MOD(INT((A717-1)/5),7)+1</x:f>
        <x:v>3</x:v>
      </x:c>
      <x:c r="C717" s="62" t="str">
        <x:f>INDEX('章节与怪物'!$B$31:$B$37,B717)</x:f>
        <x:v>腐沼秘林</x:v>
      </x:c>
      <x:c r="D717" s="119" t="n">
        <x:f>MIN('难度参数'!$E$8,MAX('难度参数'!$E$7,A717))</x:f>
        <x:v>7</x:v>
      </x:c>
      <x:c r="E717" s="106" t="n">
        <x:v>1</x:v>
      </x:c>
      <x:c r="F717" s="106" t="n">
        <x:v>0</x:v>
      </x:c>
      <x:c r="G717" s="106" t="n">
        <x:v>1</x:v>
      </x:c>
      <x:c r="H717" s="119" t="n">
        <x:f>SUM(X717,AB717,AF717,AJ717,AN717,AR717,AV717)</x:f>
        <x:v>329</x:v>
      </x:c>
      <x:c r="I717" s="119" t="n">
        <x:f>SUM(Z717,AD717,AH717,AL717,AP717,AT717,AX717)</x:f>
        <x:v>6609695</x:v>
      </x:c>
      <x:c r="J717" s="119" t="n">
        <x:f>ROUND(INDEX(X717:AY717,1,(D717-1)*4+2)*'难度参数'!$E$28*'章节与怪物'!$E$17,0)</x:f>
        <x:v>137856</x:v>
      </x:c>
      <x:c r="K717" s="119" t="n">
        <x:f>SUM(AA717,AE717,AI717,AM717,AQ717,AU717,AY717)</x:f>
        <x:v>8856</x:v>
      </x:c>
      <x:c r="L717" s="62" t="n">
        <x:f>H717*(ROUNDUP('难度参数'!$E$24/('难度参数'!$E$26*'难度参数'!$E$27),0)*'难度参数'!$E$26)/60</x:f>
        <x:v>4.386666666666667</x:v>
      </x:c>
      <x:c r="M717" s="62" t="n">
        <x:f>L717+D717*('难度参数'!$E$49+'难度参数'!$E$50)/60</x:f>
        <x:v>5.553333333333334</x:v>
      </x:c>
      <x:c r="N717" s="119" t="n">
        <x:f>ROUNDDOWN(('经济参数'!$E$20+A717*'经济参数'!$E$21)*G717,0)</x:f>
        <x:v>14400</x:v>
      </x:c>
      <x:c r="O717" s="119" t="n">
        <x:f>ROUNDDOWN(MIN('经济参数'!$E$24,'经济参数'!$E$22+A717*'经济参数'!$E$23)*G717,0)</x:f>
        <x:v>0</x:v>
      </x:c>
      <x:c r="P717" s="119" t="n">
        <x:f>ROUNDDOWN((IF(A717&gt;='材料与任务'!$E$31,'材料与任务'!$E$32,IF(A717&gt;='材料与任务'!$E$25,'材料与任务'!$E$26,IF(A717&gt;='材料与任务'!$E$19,'材料与任务'!$E$20,IF(A717&gt;='材料与任务'!$E$13,'材料与任务'!$E$14,'材料与任务'!$E$8)))))*G717,0)</x:f>
        <x:v>6</x:v>
      </x:c>
      <x:c r="Q717" s="119" t="n">
        <x:f>ROUNDDOWN((IF(A717&gt;='材料与任务'!$E$31,'材料与任务'!$E$33,IF(A717&gt;='材料与任务'!$E$25,'材料与任务'!$E$27,IF(A717&gt;='材料与任务'!$E$19,'材料与任务'!$E$21,IF(A717&gt;='材料与任务'!$E$13,'材料与任务'!$E$15,'材料与任务'!$E$9)))))*G717,0)</x:f>
        <x:v>3</x:v>
      </x:c>
      <x:c r="R717" s="110" t="n">
        <x:f>'装备掉落'!$B$38</x:f>
        <x:v>0.6872058758851213</x:v>
      </x:c>
      <x:c r="S717" s="119" t="n">
        <x:f>MAX(IF(VLOOKUP(A717,'装备掉落'!$A$29:$H$34,2,TRUE)&gt;0,1,0),IF(VLOOKUP(A717,'装备掉落'!$A$29:$H$34,3,TRUE)&gt;0,2,0),IF(VLOOKUP(A717,'装备掉落'!$A$29:$H$34,4,TRUE)&gt;0,3,0),IF(VLOOKUP(A717,'装备掉落'!$A$29:$H$34,5,TRUE)&gt;0,4,0),IF(VLOOKUP(A717,'装备掉落'!$A$29:$H$34,6,TRUE)&gt;0,5,0),IF(VLOOKUP(A717,'装备掉落'!$A$29:$H$34,7,TRUE)&gt;0,6,0),IF(VLOOKUP(A717,'装备掉落'!$A$29:$H$34,8,TRUE)&gt;0,7,0))</x:f>
        <x:v>7</x:v>
      </x:c>
      <x:c r="T717" s="119" t="n">
        <x:f>MIN(7,S717+'经济参数'!$E$70)</x:f>
        <x:v>7</x:v>
      </x:c>
      <x:c r="U717" s="119" t="n">
        <x:f>MIN(7,S717+'经济参数'!$E$71)</x:f>
        <x:v>7</x:v>
      </x:c>
      <x:c r="V717" s="119" t="n">
        <x:f>IF(H717&gt;=('难度参数'!$E$52),1,0)+IF(H717&gt;=('难度参数'!$E$52+'难度参数'!$E$53),1,0)+IF(H717&gt;=('难度参数'!$E$52+'难度参数'!$E$53+'难度参数'!$E$54),1,0)+IF(H717&gt;=('难度参数'!$E$52+'难度参数'!$E$53+'难度参数'!$E$54+'难度参数'!$E$55),1,0)+IF(H717&gt;=('难度参数'!$E$52+'难度参数'!$E$53+'难度参数'!$E$54+'难度参数'!$E$55+'难度参数'!$E$56),1,0)+IF(H717&gt;=('难度参数'!$E$52+'难度参数'!$E$53+'难度参数'!$E$54+'难度参数'!$E$55+'难度参数'!$E$56+'难度参数'!$E$57),1,0)</x:f>
        <x:v>6</x:v>
      </x:c>
      <x:c r="W717" s="62" t="str">
        <x:f>IF(L717&gt;'难度参数'!$E$51,"仅出怪已超目标","还需实测")</x:f>
        <x:v>仅出怪已超目标</x:v>
      </x:c>
      <x:c r="X717" s="119" t="n">
        <x:f>IF(1&gt;D717,0,MAX(2,MIN('难度参数'!$E$12,ROUND(('难度参数'!$E$18*POWER(A717,'难度参数'!$E$19)/D717*(0.85+0.3*(1-1)/MAX(1,D717-1))),0)+F717)))</x:f>
        <x:v>40</x:v>
      </x:c>
      <x:c r="Y717" s="119" t="n">
        <x:f>IF(1&gt;D717,0,ROUND(('难度参数'!$E$13*POWER(A717,'难度参数'!$E$20)*MIN('难度参数'!$E$23,1+MAX(0,A717-'难度参数'!$E$21)*'难度参数'!$E$22))*(36+1*7)/(36+7*(D717+1)/2)*E717,0))</x:f>
        <x:v>10256</x:v>
      </x:c>
      <x:c r="Z717" s="119" t="n">
        <x:f>IF(X717=0,0,(X717-IF(1=D717,1,0))*ROUND(Y717*VLOOKUP(INDEX('章节与怪物'!$E$31:$K$37,B717,1),'章节与怪物'!$A$41:$F$44,2,FALSE),0)+IF(1=D717,ROUND(Y717*'难度参数'!$E$28*'章节与怪物'!$E$17,0),0))</x:f>
        <x:v>410240</x:v>
      </x:c>
      <x:c r="AA717" s="119" t="n">
        <x:f>IF(X717=0,0,(X717-IF(1=D717,1,0))*VLOOKUP(INDEX('章节与怪物'!$E$31:$K$37,B717,1),'章节与怪物'!$A$41:$F$44,4,FALSE)+IF(1=D717,'难度参数'!$E$30,0))</x:f>
        <x:v>720</x:v>
      </x:c>
      <x:c r="AB717" s="119" t="n">
        <x:f>IF(2&gt;D717,0,MAX(2,MIN('难度参数'!$E$12,ROUND(('难度参数'!$E$18*POWER(A717,'难度参数'!$E$19)/D717*(0.85+0.3*(2-1)/MAX(1,D717-1))),0)+F717)))</x:f>
        <x:v>42</x:v>
      </x:c>
      <x:c r="AC717" s="119" t="n">
        <x:f>IF(2&gt;D717,0,ROUND(('难度参数'!$E$13*POWER(A717,'难度参数'!$E$20)*MIN('难度参数'!$E$23,1+MAX(0,A717-'难度参数'!$E$21)*'难度参数'!$E$22))*(36+2*7)/(36+7*(D717+1)/2)*E717,0))</x:f>
        <x:v>11925</x:v>
      </x:c>
      <x:c r="AD717" s="119" t="n">
        <x:f>IF(AB717=0,0,(AB717-IF(2=D717,1,0))*ROUND(AC717*VLOOKUP(INDEX('章节与怪物'!$E$31:$K$37,B717,2),'章节与怪物'!$A$41:$F$44,2,FALSE),0)+IF(2=D717,ROUND(AC717*'难度参数'!$E$28*'章节与怪物'!$E$17,0),0))</x:f>
        <x:v>360612</x:v>
      </x:c>
      <x:c r="AE717" s="119" t="n">
        <x:f>IF(AB717=0,0,(AB717-IF(2=D717,1,0))*VLOOKUP(INDEX('章节与怪物'!$E$31:$K$37,B717,2),'章节与怪物'!$A$41:$F$44,4,FALSE)+IF(2=D717,'难度参数'!$E$30,0))</x:f>
        <x:v>840</x:v>
      </x:c>
      <x:c r="AF717" s="119" t="n">
        <x:f>IF(3&gt;D717,0,MAX(2,MIN('难度参数'!$E$12,ROUND(('难度参数'!$E$18*POWER(A717,'难度参数'!$E$19)/D717*(0.85+0.3*(3-1)/MAX(1,D717-1))),0)+F717)))</x:f>
        <x:v>45</x:v>
      </x:c>
      <x:c r="AG717" s="119" t="n">
        <x:f>IF(3&gt;D717,0,ROUND(('难度参数'!$E$13*POWER(A717,'难度参数'!$E$20)*MIN('难度参数'!$E$23,1+MAX(0,A717-'难度参数'!$E$21)*'难度参数'!$E$22))*(36+3*7)/(36+7*(D717+1)/2)*E717,0))</x:f>
        <x:v>13595</x:v>
      </x:c>
      <x:c r="AH717" s="119" t="n">
        <x:f>IF(AF717=0,0,(AF717-IF(3=D717,1,0))*ROUND(AG717*VLOOKUP(INDEX('章节与怪物'!$E$31:$K$37,B717,3),'章节与怪物'!$A$41:$F$44,2,FALSE),0)+IF(3=D717,ROUND(AG717*'难度参数'!$E$28*'章节与怪物'!$E$17,0),0))</x:f>
        <x:v>1040040</x:v>
      </x:c>
      <x:c r="AI717" s="119" t="n">
        <x:f>IF(AF717=0,0,(AF717-IF(3=D717,1,0))*VLOOKUP(INDEX('章节与怪物'!$E$31:$K$37,B717,3),'章节与怪物'!$A$41:$F$44,4,FALSE)+IF(3=D717,'难度参数'!$E$30,0))</x:f>
        <x:v>1260</x:v>
      </x:c>
      <x:c r="AJ717" s="119" t="n">
        <x:f>IF(4&gt;D717,0,MAX(2,MIN('难度参数'!$E$12,ROUND(('难度参数'!$E$18*POWER(A717,'难度参数'!$E$19)/D717*(0.85+0.3*(4-1)/MAX(1,D717-1))),0)+F717)))</x:f>
        <x:v>47</x:v>
      </x:c>
      <x:c r="AK717" s="119" t="n">
        <x:f>IF(4&gt;D717,0,ROUND(('难度参数'!$E$13*POWER(A717,'难度参数'!$E$20)*MIN('难度参数'!$E$23,1+MAX(0,A717-'难度参数'!$E$21)*'难度参数'!$E$22))*(36+4*7)/(36+7*(D717+1)/2)*E717,0))</x:f>
        <x:v>15264</x:v>
      </x:c>
      <x:c r="AL717" s="119" t="n">
        <x:f>IF(AJ717=0,0,(AJ717-IF(4=D717,1,0))*ROUND(AK717*VLOOKUP(INDEX('章节与怪物'!$E$31:$K$37,B717,4),'章节与怪物'!$A$41:$F$44,2,FALSE),0)+IF(4=D717,ROUND(AK717*'难度参数'!$E$28*'章节与怪物'!$E$17,0),0))</x:f>
        <x:v>968482</x:v>
      </x:c>
      <x:c r="AM717" s="119" t="n">
        <x:f>IF(AJ717=0,0,(AJ717-IF(4=D717,1,0))*VLOOKUP(INDEX('章节与怪物'!$E$31:$K$37,B717,4),'章节与怪物'!$A$41:$F$44,4,FALSE)+IF(4=D717,'难度参数'!$E$30,0))</x:f>
        <x:v>1598</x:v>
      </x:c>
      <x:c r="AN717" s="119" t="n">
        <x:f>IF(5&gt;D717,0,MAX(2,MIN('难度参数'!$E$12,ROUND(('难度参数'!$E$18*POWER(A717,'难度参数'!$E$19)/D717*(0.85+0.3*(5-1)/MAX(1,D717-1))),0)+F717)))</x:f>
        <x:v>49</x:v>
      </x:c>
      <x:c r="AO717" s="119" t="n">
        <x:f>IF(5&gt;D717,0,ROUND(('难度参数'!$E$13*POWER(A717,'难度参数'!$E$20)*MIN('难度参数'!$E$23,1+MAX(0,A717-'难度参数'!$E$21)*'难度参数'!$E$22))*(36+5*7)/(36+7*(D717+1)/2)*E717,0))</x:f>
        <x:v>16934</x:v>
      </x:c>
      <x:c r="AP717" s="119" t="n">
        <x:f>IF(AN717=0,0,(AN717-IF(5=D717,1,0))*ROUND(AO717*VLOOKUP(INDEX('章节与怪物'!$E$31:$K$37,B717,5),'章节与怪物'!$A$41:$F$44,2,FALSE),0)+IF(5=D717,ROUND(AO717*'难度参数'!$E$28*'章节与怪物'!$E$17,0),0))</x:f>
        <x:v>597408</x:v>
      </x:c>
      <x:c r="AQ717" s="119" t="n">
        <x:f>IF(AN717=0,0,(AN717-IF(5=D717,1,0))*VLOOKUP(INDEX('章节与怪物'!$E$31:$K$37,B717,5),'章节与怪物'!$A$41:$F$44,4,FALSE)+IF(5=D717,'难度参数'!$E$30,0))</x:f>
        <x:v>980</x:v>
      </x:c>
      <x:c r="AR717" s="119" t="n">
        <x:f>IF(6&gt;D717,0,MAX(2,MIN('难度参数'!$E$12,ROUND(('难度参数'!$E$18*POWER(A717,'难度参数'!$E$19)/D717*(0.85+0.3*(6-1)/MAX(1,D717-1))),0)+F717)))</x:f>
        <x:v>52</x:v>
      </x:c>
      <x:c r="AS717" s="119" t="n">
        <x:f>IF(6&gt;D717,0,ROUND(('难度参数'!$E$13*POWER(A717,'难度参数'!$E$20)*MIN('难度参数'!$E$23,1+MAX(0,A717-'难度参数'!$E$21)*'难度参数'!$E$22))*(36+6*7)/(36+7*(D717+1)/2)*E717,0))</x:f>
        <x:v>18603</x:v>
      </x:c>
      <x:c r="AT717" s="119" t="n">
        <x:f>IF(AR717=0,0,(AR717-IF(6=D717,1,0))*ROUND(AS717*VLOOKUP(INDEX('章节与怪物'!$E$31:$K$37,B717,6),'章节与怪物'!$A$41:$F$44,2,FALSE),0)+IF(6=D717,ROUND(AS717*'难度参数'!$E$28*'章节与怪物'!$E$17,0),0))</x:f>
        <x:v>1644500</x:v>
      </x:c>
      <x:c r="AU717" s="119" t="n">
        <x:f>IF(AR717=0,0,(AR717-IF(6=D717,1,0))*VLOOKUP(INDEX('章节与怪物'!$E$31:$K$37,B717,6),'章节与怪物'!$A$41:$F$44,4,FALSE)+IF(6=D717,'难度参数'!$E$30,0))</x:f>
        <x:v>1456</x:v>
      </x:c>
      <x:c r="AV717" s="119" t="n">
        <x:f>IF(7&gt;D717,0,MAX(2,MIN('难度参数'!$E$12,ROUND(('难度参数'!$E$18*POWER(A717,'难度参数'!$E$19)/D717*(0.85+0.3*(7-1)/MAX(1,D717-1))),0)+F717)))</x:f>
        <x:v>54</x:v>
      </x:c>
      <x:c r="AW717" s="119" t="n">
        <x:f>IF(7&gt;D717,0,ROUND(('难度参数'!$E$13*POWER(A717,'难度参数'!$E$20)*MIN('难度参数'!$E$23,1+MAX(0,A717-'难度参数'!$E$21)*'难度参数'!$E$22))*(36+7*7)/(36+7*(D717+1)/2)*E717,0))</x:f>
        <x:v>20273</x:v>
      </x:c>
      <x:c r="AX717" s="119" t="n">
        <x:f>IF(AV717=0,0,(AV717-IF(7=D717,1,0))*ROUND(AW717*VLOOKUP(INDEX('章节与怪物'!$E$31:$K$37,B717,7),'章节与怪物'!$A$41:$F$44,2,FALSE),0)+IF(7=D717,ROUND(AW717*'难度参数'!$E$28*'章节与怪物'!$E$17,0),0))</x:f>
        <x:v>1588413</x:v>
      </x:c>
      <x:c r="AY717" s="119" t="n">
        <x:f>IF(AV717=0,0,(AV717-IF(7=D717,1,0))*VLOOKUP(INDEX('章节与怪物'!$E$31:$K$37,B717,7),'章节与怪物'!$A$41:$F$44,4,FALSE)+IF(7=D717,'难度参数'!$E$30,0))</x:f>
        <x:v>2002</x:v>
      </x:c>
    </x:row>
    <x:row r="718" ht="23" customHeight="1">
      <x:c r="A718" s="119" t="n">
        <x:v>712</x:v>
      </x:c>
      <x:c r="B718" s="119" t="n">
        <x:f>MOD(INT((A718-1)/5),7)+1</x:f>
        <x:v>3</x:v>
      </x:c>
      <x:c r="C718" s="62" t="str">
        <x:f>INDEX('章节与怪物'!$B$31:$B$37,B718)</x:f>
        <x:v>腐沼秘林</x:v>
      </x:c>
      <x:c r="D718" s="119" t="n">
        <x:f>MIN('难度参数'!$E$8,MAX('难度参数'!$E$7,A718))</x:f>
        <x:v>7</x:v>
      </x:c>
      <x:c r="E718" s="106" t="n">
        <x:v>1</x:v>
      </x:c>
      <x:c r="F718" s="106" t="n">
        <x:v>0</x:v>
      </x:c>
      <x:c r="G718" s="106" t="n">
        <x:v>1</x:v>
      </x:c>
      <x:c r="H718" s="119" t="n">
        <x:f>SUM(X718,AB718,AF718,AJ718,AN718,AR718,AV718)</x:f>
        <x:v>329</x:v>
      </x:c>
      <x:c r="I718" s="119" t="n">
        <x:f>SUM(Z718,AD718,AH718,AL718,AP718,AT718,AX718)</x:f>
        <x:v>6616470</x:v>
      </x:c>
      <x:c r="J718" s="119" t="n">
        <x:f>ROUND(INDEX(X718:AY718,1,(D718-1)*4+2)*'难度参数'!$E$28*'章节与怪物'!$E$17,0)</x:f>
        <x:v>137999</x:v>
      </x:c>
      <x:c r="K718" s="119" t="n">
        <x:f>SUM(AA718,AE718,AI718,AM718,AQ718,AU718,AY718)</x:f>
        <x:v>8856</x:v>
      </x:c>
      <x:c r="L718" s="62" t="n">
        <x:f>H718*(ROUNDUP('难度参数'!$E$24/('难度参数'!$E$26*'难度参数'!$E$27),0)*'难度参数'!$E$26)/60</x:f>
        <x:v>4.386666666666667</x:v>
      </x:c>
      <x:c r="M718" s="62" t="n">
        <x:f>L718+D718*('难度参数'!$E$49+'难度参数'!$E$50)/60</x:f>
        <x:v>5.553333333333334</x:v>
      </x:c>
      <x:c r="N718" s="119" t="n">
        <x:f>ROUNDDOWN(('经济参数'!$E$20+A718*'经济参数'!$E$21)*G718,0)</x:f>
        <x:v>14420</x:v>
      </x:c>
      <x:c r="O718" s="119" t="n">
        <x:f>ROUNDDOWN(MIN('经济参数'!$E$24,'经济参数'!$E$22+A718*'经济参数'!$E$23)*G718,0)</x:f>
        <x:v>0</x:v>
      </x:c>
      <x:c r="P718" s="119" t="n">
        <x:f>ROUNDDOWN((IF(A718&gt;='材料与任务'!$E$31,'材料与任务'!$E$32,IF(A718&gt;='材料与任务'!$E$25,'材料与任务'!$E$26,IF(A718&gt;='材料与任务'!$E$19,'材料与任务'!$E$20,IF(A718&gt;='材料与任务'!$E$13,'材料与任务'!$E$14,'材料与任务'!$E$8)))))*G718,0)</x:f>
        <x:v>6</x:v>
      </x:c>
      <x:c r="Q718" s="119" t="n">
        <x:f>ROUNDDOWN((IF(A718&gt;='材料与任务'!$E$31,'材料与任务'!$E$33,IF(A718&gt;='材料与任务'!$E$25,'材料与任务'!$E$27,IF(A718&gt;='材料与任务'!$E$19,'材料与任务'!$E$21,IF(A718&gt;='材料与任务'!$E$13,'材料与任务'!$E$15,'材料与任务'!$E$9)))))*G718,0)</x:f>
        <x:v>3</x:v>
      </x:c>
      <x:c r="R718" s="110" t="n">
        <x:f>'装备掉落'!$B$38</x:f>
        <x:v>0.6872058758851213</x:v>
      </x:c>
      <x:c r="S718" s="119" t="n">
        <x:f>MAX(IF(VLOOKUP(A718,'装备掉落'!$A$29:$H$34,2,TRUE)&gt;0,1,0),IF(VLOOKUP(A718,'装备掉落'!$A$29:$H$34,3,TRUE)&gt;0,2,0),IF(VLOOKUP(A718,'装备掉落'!$A$29:$H$34,4,TRUE)&gt;0,3,0),IF(VLOOKUP(A718,'装备掉落'!$A$29:$H$34,5,TRUE)&gt;0,4,0),IF(VLOOKUP(A718,'装备掉落'!$A$29:$H$34,6,TRUE)&gt;0,5,0),IF(VLOOKUP(A718,'装备掉落'!$A$29:$H$34,7,TRUE)&gt;0,6,0),IF(VLOOKUP(A718,'装备掉落'!$A$29:$H$34,8,TRUE)&gt;0,7,0))</x:f>
        <x:v>7</x:v>
      </x:c>
      <x:c r="T718" s="119" t="n">
        <x:f>MIN(7,S718+'经济参数'!$E$70)</x:f>
        <x:v>7</x:v>
      </x:c>
      <x:c r="U718" s="119" t="n">
        <x:f>MIN(7,S718+'经济参数'!$E$71)</x:f>
        <x:v>7</x:v>
      </x:c>
      <x:c r="V718" s="119" t="n">
        <x:f>IF(H718&gt;=('难度参数'!$E$52),1,0)+IF(H718&gt;=('难度参数'!$E$52+'难度参数'!$E$53),1,0)+IF(H718&gt;=('难度参数'!$E$52+'难度参数'!$E$53+'难度参数'!$E$54),1,0)+IF(H718&gt;=('难度参数'!$E$52+'难度参数'!$E$53+'难度参数'!$E$54+'难度参数'!$E$55),1,0)+IF(H718&gt;=('难度参数'!$E$52+'难度参数'!$E$53+'难度参数'!$E$54+'难度参数'!$E$55+'难度参数'!$E$56),1,0)+IF(H718&gt;=('难度参数'!$E$52+'难度参数'!$E$53+'难度参数'!$E$54+'难度参数'!$E$55+'难度参数'!$E$56+'难度参数'!$E$57),1,0)</x:f>
        <x:v>6</x:v>
      </x:c>
      <x:c r="W718" s="62" t="str">
        <x:f>IF(L718&gt;'难度参数'!$E$51,"仅出怪已超目标","还需实测")</x:f>
        <x:v>仅出怪已超目标</x:v>
      </x:c>
      <x:c r="X718" s="119" t="n">
        <x:f>IF(1&gt;D718,0,MAX(2,MIN('难度参数'!$E$12,ROUND(('难度参数'!$E$18*POWER(A718,'难度参数'!$E$19)/D718*(0.85+0.3*(1-1)/MAX(1,D718-1))),0)+F718)))</x:f>
        <x:v>40</x:v>
      </x:c>
      <x:c r="Y718" s="119" t="n">
        <x:f>IF(1&gt;D718,0,ROUND(('难度参数'!$E$13*POWER(A718,'难度参数'!$E$20)*MIN('难度参数'!$E$23,1+MAX(0,A718-'难度参数'!$E$21)*'难度参数'!$E$22))*(36+1*7)/(36+7*(D718+1)/2)*E718,0))</x:f>
        <x:v>10266</x:v>
      </x:c>
      <x:c r="Z718" s="119" t="n">
        <x:f>IF(X718=0,0,(X718-IF(1=D718,1,0))*ROUND(Y718*VLOOKUP(INDEX('章节与怪物'!$E$31:$K$37,B718,1),'章节与怪物'!$A$41:$F$44,2,FALSE),0)+IF(1=D718,ROUND(Y718*'难度参数'!$E$28*'章节与怪物'!$E$17,0),0))</x:f>
        <x:v>410640</x:v>
      </x:c>
      <x:c r="AA718" s="119" t="n">
        <x:f>IF(X718=0,0,(X718-IF(1=D718,1,0))*VLOOKUP(INDEX('章节与怪物'!$E$31:$K$37,B718,1),'章节与怪物'!$A$41:$F$44,4,FALSE)+IF(1=D718,'难度参数'!$E$30,0))</x:f>
        <x:v>720</x:v>
      </x:c>
      <x:c r="AB718" s="119" t="n">
        <x:f>IF(2&gt;D718,0,MAX(2,MIN('难度参数'!$E$12,ROUND(('难度参数'!$E$18*POWER(A718,'难度参数'!$E$19)/D718*(0.85+0.3*(2-1)/MAX(1,D718-1))),0)+F718)))</x:f>
        <x:v>42</x:v>
      </x:c>
      <x:c r="AC718" s="119" t="n">
        <x:f>IF(2&gt;D718,0,ROUND(('难度参数'!$E$13*POWER(A718,'难度参数'!$E$20)*MIN('难度参数'!$E$23,1+MAX(0,A718-'难度参数'!$E$21)*'难度参数'!$E$22))*(36+2*7)/(36+7*(D718+1)/2)*E718,0))</x:f>
        <x:v>11937</x:v>
      </x:c>
      <x:c r="AD718" s="119" t="n">
        <x:f>IF(AB718=0,0,(AB718-IF(2=D718,1,0))*ROUND(AC718*VLOOKUP(INDEX('章节与怪物'!$E$31:$K$37,B718,2),'章节与怪物'!$A$41:$F$44,2,FALSE),0)+IF(2=D718,ROUND(AC718*'难度参数'!$E$28*'章节与怪物'!$E$17,0),0))</x:f>
        <x:v>360990</x:v>
      </x:c>
      <x:c r="AE718" s="119" t="n">
        <x:f>IF(AB718=0,0,(AB718-IF(2=D718,1,0))*VLOOKUP(INDEX('章节与怪物'!$E$31:$K$37,B718,2),'章节与怪物'!$A$41:$F$44,4,FALSE)+IF(2=D718,'难度参数'!$E$30,0))</x:f>
        <x:v>840</x:v>
      </x:c>
      <x:c r="AF718" s="119" t="n">
        <x:f>IF(3&gt;D718,0,MAX(2,MIN('难度参数'!$E$12,ROUND(('难度参数'!$E$18*POWER(A718,'难度参数'!$E$19)/D718*(0.85+0.3*(3-1)/MAX(1,D718-1))),0)+F718)))</x:f>
        <x:v>45</x:v>
      </x:c>
      <x:c r="AG718" s="119" t="n">
        <x:f>IF(3&gt;D718,0,ROUND(('难度参数'!$E$13*POWER(A718,'难度参数'!$E$20)*MIN('难度参数'!$E$23,1+MAX(0,A718-'难度参数'!$E$21)*'难度参数'!$E$22))*(36+3*7)/(36+7*(D718+1)/2)*E718,0))</x:f>
        <x:v>13609</x:v>
      </x:c>
      <x:c r="AH718" s="119" t="n">
        <x:f>IF(AF718=0,0,(AF718-IF(3=D718,1,0))*ROUND(AG718*VLOOKUP(INDEX('章节与怪物'!$E$31:$K$37,B718,3),'章节与怪物'!$A$41:$F$44,2,FALSE),0)+IF(3=D718,ROUND(AG718*'难度参数'!$E$28*'章节与怪物'!$E$17,0),0))</x:f>
        <x:v>1041075</x:v>
      </x:c>
      <x:c r="AI718" s="119" t="n">
        <x:f>IF(AF718=0,0,(AF718-IF(3=D718,1,0))*VLOOKUP(INDEX('章节与怪物'!$E$31:$K$37,B718,3),'章节与怪物'!$A$41:$F$44,4,FALSE)+IF(3=D718,'难度参数'!$E$30,0))</x:f>
        <x:v>1260</x:v>
      </x:c>
      <x:c r="AJ718" s="119" t="n">
        <x:f>IF(4&gt;D718,0,MAX(2,MIN('难度参数'!$E$12,ROUND(('难度参数'!$E$18*POWER(A718,'难度参数'!$E$19)/D718*(0.85+0.3*(4-1)/MAX(1,D718-1))),0)+F718)))</x:f>
        <x:v>47</x:v>
      </x:c>
      <x:c r="AK718" s="119" t="n">
        <x:f>IF(4&gt;D718,0,ROUND(('难度参数'!$E$13*POWER(A718,'难度参数'!$E$20)*MIN('难度参数'!$E$23,1+MAX(0,A718-'难度参数'!$E$21)*'难度参数'!$E$22))*(36+4*7)/(36+7*(D718+1)/2)*E718,0))</x:f>
        <x:v>15280</x:v>
      </x:c>
      <x:c r="AL718" s="119" t="n">
        <x:f>IF(AJ718=0,0,(AJ718-IF(4=D718,1,0))*ROUND(AK718*VLOOKUP(INDEX('章节与怪物'!$E$31:$K$37,B718,4),'章节与怪物'!$A$41:$F$44,2,FALSE),0)+IF(4=D718,ROUND(AK718*'难度参数'!$E$28*'章节与怪物'!$E$17,0),0))</x:f>
        <x:v>969516</x:v>
      </x:c>
      <x:c r="AM718" s="119" t="n">
        <x:f>IF(AJ718=0,0,(AJ718-IF(4=D718,1,0))*VLOOKUP(INDEX('章节与怪物'!$E$31:$K$37,B718,4),'章节与怪物'!$A$41:$F$44,4,FALSE)+IF(4=D718,'难度参数'!$E$30,0))</x:f>
        <x:v>1598</x:v>
      </x:c>
      <x:c r="AN718" s="119" t="n">
        <x:f>IF(5&gt;D718,0,MAX(2,MIN('难度参数'!$E$12,ROUND(('难度参数'!$E$18*POWER(A718,'难度参数'!$E$19)/D718*(0.85+0.3*(5-1)/MAX(1,D718-1))),0)+F718)))</x:f>
        <x:v>49</x:v>
      </x:c>
      <x:c r="AO718" s="119" t="n">
        <x:f>IF(5&gt;D718,0,ROUND(('难度参数'!$E$13*POWER(A718,'难度参数'!$E$20)*MIN('难度参数'!$E$23,1+MAX(0,A718-'难度参数'!$E$21)*'难度参数'!$E$22))*(36+5*7)/(36+7*(D718+1)/2)*E718,0))</x:f>
        <x:v>16951</x:v>
      </x:c>
      <x:c r="AP718" s="119" t="n">
        <x:f>IF(AN718=0,0,(AN718-IF(5=D718,1,0))*ROUND(AO718*VLOOKUP(INDEX('章节与怪物'!$E$31:$K$37,B718,5),'章节与怪物'!$A$41:$F$44,2,FALSE),0)+IF(5=D718,ROUND(AO718*'难度参数'!$E$28*'章节与怪物'!$E$17,0),0))</x:f>
        <x:v>598045</x:v>
      </x:c>
      <x:c r="AQ718" s="119" t="n">
        <x:f>IF(AN718=0,0,(AN718-IF(5=D718,1,0))*VLOOKUP(INDEX('章节与怪物'!$E$31:$K$37,B718,5),'章节与怪物'!$A$41:$F$44,4,FALSE)+IF(5=D718,'难度参数'!$E$30,0))</x:f>
        <x:v>980</x:v>
      </x:c>
      <x:c r="AR718" s="119" t="n">
        <x:f>IF(6&gt;D718,0,MAX(2,MIN('难度参数'!$E$12,ROUND(('难度参数'!$E$18*POWER(A718,'难度参数'!$E$19)/D718*(0.85+0.3*(6-1)/MAX(1,D718-1))),0)+F718)))</x:f>
        <x:v>52</x:v>
      </x:c>
      <x:c r="AS718" s="119" t="n">
        <x:f>IF(6&gt;D718,0,ROUND(('难度参数'!$E$13*POWER(A718,'难度参数'!$E$20)*MIN('难度参数'!$E$23,1+MAX(0,A718-'难度参数'!$E$21)*'难度参数'!$E$22))*(36+6*7)/(36+7*(D718+1)/2)*E718,0))</x:f>
        <x:v>18622</x:v>
      </x:c>
      <x:c r="AT718" s="119" t="n">
        <x:f>IF(AR718=0,0,(AR718-IF(6=D718,1,0))*ROUND(AS718*VLOOKUP(INDEX('章节与怪物'!$E$31:$K$37,B718,6),'章节与怪物'!$A$41:$F$44,2,FALSE),0)+IF(6=D718,ROUND(AS718*'难度参数'!$E$28*'章节与怪物'!$E$17,0),0))</x:f>
        <x:v>1646164</x:v>
      </x:c>
      <x:c r="AU718" s="119" t="n">
        <x:f>IF(AR718=0,0,(AR718-IF(6=D718,1,0))*VLOOKUP(INDEX('章节与怪物'!$E$31:$K$37,B718,6),'章节与怪物'!$A$41:$F$44,4,FALSE)+IF(6=D718,'难度参数'!$E$30,0))</x:f>
        <x:v>1456</x:v>
      </x:c>
      <x:c r="AV718" s="119" t="n">
        <x:f>IF(7&gt;D718,0,MAX(2,MIN('难度参数'!$E$12,ROUND(('难度参数'!$E$18*POWER(A718,'难度参数'!$E$19)/D718*(0.85+0.3*(7-1)/MAX(1,D718-1))),0)+F718)))</x:f>
        <x:v>54</x:v>
      </x:c>
      <x:c r="AW718" s="119" t="n">
        <x:f>IF(7&gt;D718,0,ROUND(('难度参数'!$E$13*POWER(A718,'难度参数'!$E$20)*MIN('难度参数'!$E$23,1+MAX(0,A718-'难度参数'!$E$21)*'难度参数'!$E$22))*(36+7*7)/(36+7*(D718+1)/2)*E718,0))</x:f>
        <x:v>20294</x:v>
      </x:c>
      <x:c r="AX718" s="119" t="n">
        <x:f>IF(AV718=0,0,(AV718-IF(7=D718,1,0))*ROUND(AW718*VLOOKUP(INDEX('章节与怪物'!$E$31:$K$37,B718,7),'章节与怪物'!$A$41:$F$44,2,FALSE),0)+IF(7=D718,ROUND(AW718*'难度参数'!$E$28*'章节与怪物'!$E$17,0),0))</x:f>
        <x:v>1590040</x:v>
      </x:c>
      <x:c r="AY718" s="119" t="n">
        <x:f>IF(AV718=0,0,(AV718-IF(7=D718,1,0))*VLOOKUP(INDEX('章节与怪物'!$E$31:$K$37,B718,7),'章节与怪物'!$A$41:$F$44,4,FALSE)+IF(7=D718,'难度参数'!$E$30,0))</x:f>
        <x:v>2002</x:v>
      </x:c>
    </x:row>
    <x:row r="719" ht="23" customHeight="1">
      <x:c r="A719" s="119" t="n">
        <x:v>713</x:v>
      </x:c>
      <x:c r="B719" s="119" t="n">
        <x:f>MOD(INT((A719-1)/5),7)+1</x:f>
        <x:v>3</x:v>
      </x:c>
      <x:c r="C719" s="62" t="str">
        <x:f>INDEX('章节与怪物'!$B$31:$B$37,B719)</x:f>
        <x:v>腐沼秘林</x:v>
      </x:c>
      <x:c r="D719" s="119" t="n">
        <x:f>MIN('难度参数'!$E$8,MAX('难度参数'!$E$7,A719))</x:f>
        <x:v>7</x:v>
      </x:c>
      <x:c r="E719" s="106" t="n">
        <x:v>1</x:v>
      </x:c>
      <x:c r="F719" s="106" t="n">
        <x:v>0</x:v>
      </x:c>
      <x:c r="G719" s="106" t="n">
        <x:v>1</x:v>
      </x:c>
      <x:c r="H719" s="119" t="n">
        <x:f>SUM(X719,AB719,AF719,AJ719,AN719,AR719,AV719)</x:f>
        <x:v>329</x:v>
      </x:c>
      <x:c r="I719" s="119" t="n">
        <x:f>SUM(Z719,AD719,AH719,AL719,AP719,AT719,AX719)</x:f>
        <x:v>6623047</x:v>
      </x:c>
      <x:c r="J719" s="119" t="n">
        <x:f>ROUND(INDEX(X719:AY719,1,(D719-1)*4+2)*'难度参数'!$E$28*'章节与怪物'!$E$17,0)</x:f>
        <x:v>138135</x:v>
      </x:c>
      <x:c r="K719" s="119" t="n">
        <x:f>SUM(AA719,AE719,AI719,AM719,AQ719,AU719,AY719)</x:f>
        <x:v>8856</x:v>
      </x:c>
      <x:c r="L719" s="62" t="n">
        <x:f>H719*(ROUNDUP('难度参数'!$E$24/('难度参数'!$E$26*'难度参数'!$E$27),0)*'难度参数'!$E$26)/60</x:f>
        <x:v>4.386666666666667</x:v>
      </x:c>
      <x:c r="M719" s="62" t="n">
        <x:f>L719+D719*('难度参数'!$E$49+'难度参数'!$E$50)/60</x:f>
        <x:v>5.553333333333334</x:v>
      </x:c>
      <x:c r="N719" s="119" t="n">
        <x:f>ROUNDDOWN(('经济参数'!$E$20+A719*'经济参数'!$E$21)*G719,0)</x:f>
        <x:v>14440</x:v>
      </x:c>
      <x:c r="O719" s="119" t="n">
        <x:f>ROUNDDOWN(MIN('经济参数'!$E$24,'经济参数'!$E$22+A719*'经济参数'!$E$23)*G719,0)</x:f>
        <x:v>0</x:v>
      </x:c>
      <x:c r="P719" s="119" t="n">
        <x:f>ROUNDDOWN((IF(A719&gt;='材料与任务'!$E$31,'材料与任务'!$E$32,IF(A719&gt;='材料与任务'!$E$25,'材料与任务'!$E$26,IF(A719&gt;='材料与任务'!$E$19,'材料与任务'!$E$20,IF(A719&gt;='材料与任务'!$E$13,'材料与任务'!$E$14,'材料与任务'!$E$8)))))*G719,0)</x:f>
        <x:v>6</x:v>
      </x:c>
      <x:c r="Q719" s="119" t="n">
        <x:f>ROUNDDOWN((IF(A719&gt;='材料与任务'!$E$31,'材料与任务'!$E$33,IF(A719&gt;='材料与任务'!$E$25,'材料与任务'!$E$27,IF(A719&gt;='材料与任务'!$E$19,'材料与任务'!$E$21,IF(A719&gt;='材料与任务'!$E$13,'材料与任务'!$E$15,'材料与任务'!$E$9)))))*G719,0)</x:f>
        <x:v>3</x:v>
      </x:c>
      <x:c r="R719" s="110" t="n">
        <x:f>'装备掉落'!$B$38</x:f>
        <x:v>0.6872058758851213</x:v>
      </x:c>
      <x:c r="S719" s="119" t="n">
        <x:f>MAX(IF(VLOOKUP(A719,'装备掉落'!$A$29:$H$34,2,TRUE)&gt;0,1,0),IF(VLOOKUP(A719,'装备掉落'!$A$29:$H$34,3,TRUE)&gt;0,2,0),IF(VLOOKUP(A719,'装备掉落'!$A$29:$H$34,4,TRUE)&gt;0,3,0),IF(VLOOKUP(A719,'装备掉落'!$A$29:$H$34,5,TRUE)&gt;0,4,0),IF(VLOOKUP(A719,'装备掉落'!$A$29:$H$34,6,TRUE)&gt;0,5,0),IF(VLOOKUP(A719,'装备掉落'!$A$29:$H$34,7,TRUE)&gt;0,6,0),IF(VLOOKUP(A719,'装备掉落'!$A$29:$H$34,8,TRUE)&gt;0,7,0))</x:f>
        <x:v>7</x:v>
      </x:c>
      <x:c r="T719" s="119" t="n">
        <x:f>MIN(7,S719+'经济参数'!$E$70)</x:f>
        <x:v>7</x:v>
      </x:c>
      <x:c r="U719" s="119" t="n">
        <x:f>MIN(7,S719+'经济参数'!$E$71)</x:f>
        <x:v>7</x:v>
      </x:c>
      <x:c r="V719" s="119" t="n">
        <x:f>IF(H719&gt;=('难度参数'!$E$52),1,0)+IF(H719&gt;=('难度参数'!$E$52+'难度参数'!$E$53),1,0)+IF(H719&gt;=('难度参数'!$E$52+'难度参数'!$E$53+'难度参数'!$E$54),1,0)+IF(H719&gt;=('难度参数'!$E$52+'难度参数'!$E$53+'难度参数'!$E$54+'难度参数'!$E$55),1,0)+IF(H719&gt;=('难度参数'!$E$52+'难度参数'!$E$53+'难度参数'!$E$54+'难度参数'!$E$55+'难度参数'!$E$56),1,0)+IF(H719&gt;=('难度参数'!$E$52+'难度参数'!$E$53+'难度参数'!$E$54+'难度参数'!$E$55+'难度参数'!$E$56+'难度参数'!$E$57),1,0)</x:f>
        <x:v>6</x:v>
      </x:c>
      <x:c r="W719" s="62" t="str">
        <x:f>IF(L719&gt;'难度参数'!$E$51,"仅出怪已超目标","还需实测")</x:f>
        <x:v>仅出怪已超目标</x:v>
      </x:c>
      <x:c r="X719" s="119" t="n">
        <x:f>IF(1&gt;D719,0,MAX(2,MIN('难度参数'!$E$12,ROUND(('难度参数'!$E$18*POWER(A719,'难度参数'!$E$19)/D719*(0.85+0.3*(1-1)/MAX(1,D719-1))),0)+F719)))</x:f>
        <x:v>40</x:v>
      </x:c>
      <x:c r="Y719" s="119" t="n">
        <x:f>IF(1&gt;D719,0,ROUND(('难度参数'!$E$13*POWER(A719,'难度参数'!$E$20)*MIN('难度参数'!$E$23,1+MAX(0,A719-'难度参数'!$E$21)*'难度参数'!$E$22))*(36+1*7)/(36+7*(D719+1)/2)*E719,0))</x:f>
        <x:v>10277</x:v>
      </x:c>
      <x:c r="Z719" s="119" t="n">
        <x:f>IF(X719=0,0,(X719-IF(1=D719,1,0))*ROUND(Y719*VLOOKUP(INDEX('章节与怪物'!$E$31:$K$37,B719,1),'章节与怪物'!$A$41:$F$44,2,FALSE),0)+IF(1=D719,ROUND(Y719*'难度参数'!$E$28*'章节与怪物'!$E$17,0),0))</x:f>
        <x:v>411080</x:v>
      </x:c>
      <x:c r="AA719" s="119" t="n">
        <x:f>IF(X719=0,0,(X719-IF(1=D719,1,0))*VLOOKUP(INDEX('章节与怪物'!$E$31:$K$37,B719,1),'章节与怪物'!$A$41:$F$44,4,FALSE)+IF(1=D719,'难度参数'!$E$30,0))</x:f>
        <x:v>720</x:v>
      </x:c>
      <x:c r="AB719" s="119" t="n">
        <x:f>IF(2&gt;D719,0,MAX(2,MIN('难度参数'!$E$12,ROUND(('难度参数'!$E$18*POWER(A719,'难度参数'!$E$19)/D719*(0.85+0.3*(2-1)/MAX(1,D719-1))),0)+F719)))</x:f>
        <x:v>42</x:v>
      </x:c>
      <x:c r="AC719" s="119" t="n">
        <x:f>IF(2&gt;D719,0,ROUND(('难度参数'!$E$13*POWER(A719,'难度参数'!$E$20)*MIN('难度参数'!$E$23,1+MAX(0,A719-'难度参数'!$E$21)*'难度参数'!$E$22))*(36+2*7)/(36+7*(D719+1)/2)*E719,0))</x:f>
        <x:v>11949</x:v>
      </x:c>
      <x:c r="AD719" s="119" t="n">
        <x:f>IF(AB719=0,0,(AB719-IF(2=D719,1,0))*ROUND(AC719*VLOOKUP(INDEX('章节与怪物'!$E$31:$K$37,B719,2),'章节与怪物'!$A$41:$F$44,2,FALSE),0)+IF(2=D719,ROUND(AC719*'难度参数'!$E$28*'章节与怪物'!$E$17,0),0))</x:f>
        <x:v>361326</x:v>
      </x:c>
      <x:c r="AE719" s="119" t="n">
        <x:f>IF(AB719=0,0,(AB719-IF(2=D719,1,0))*VLOOKUP(INDEX('章节与怪物'!$E$31:$K$37,B719,2),'章节与怪物'!$A$41:$F$44,4,FALSE)+IF(2=D719,'难度参数'!$E$30,0))</x:f>
        <x:v>840</x:v>
      </x:c>
      <x:c r="AF719" s="119" t="n">
        <x:f>IF(3&gt;D719,0,MAX(2,MIN('难度参数'!$E$12,ROUND(('难度参数'!$E$18*POWER(A719,'难度参数'!$E$19)/D719*(0.85+0.3*(3-1)/MAX(1,D719-1))),0)+F719)))</x:f>
        <x:v>45</x:v>
      </x:c>
      <x:c r="AG719" s="119" t="n">
        <x:f>IF(3&gt;D719,0,ROUND(('难度参数'!$E$13*POWER(A719,'难度参数'!$E$20)*MIN('难度参数'!$E$23,1+MAX(0,A719-'难度参数'!$E$21)*'难度参数'!$E$22))*(36+3*7)/(36+7*(D719+1)/2)*E719,0))</x:f>
        <x:v>13622</x:v>
      </x:c>
      <x:c r="AH719" s="119" t="n">
        <x:f>IF(AF719=0,0,(AF719-IF(3=D719,1,0))*ROUND(AG719*VLOOKUP(INDEX('章节与怪物'!$E$31:$K$37,B719,3),'章节与怪物'!$A$41:$F$44,2,FALSE),0)+IF(3=D719,ROUND(AG719*'难度参数'!$E$28*'章节与怪物'!$E$17,0),0))</x:f>
        <x:v>1042065</x:v>
      </x:c>
      <x:c r="AI719" s="119" t="n">
        <x:f>IF(AF719=0,0,(AF719-IF(3=D719,1,0))*VLOOKUP(INDEX('章节与怪物'!$E$31:$K$37,B719,3),'章节与怪物'!$A$41:$F$44,4,FALSE)+IF(3=D719,'难度参数'!$E$30,0))</x:f>
        <x:v>1260</x:v>
      </x:c>
      <x:c r="AJ719" s="119" t="n">
        <x:f>IF(4&gt;D719,0,MAX(2,MIN('难度参数'!$E$12,ROUND(('难度参数'!$E$18*POWER(A719,'难度参数'!$E$19)/D719*(0.85+0.3*(4-1)/MAX(1,D719-1))),0)+F719)))</x:f>
        <x:v>47</x:v>
      </x:c>
      <x:c r="AK719" s="119" t="n">
        <x:f>IF(4&gt;D719,0,ROUND(('难度参数'!$E$13*POWER(A719,'难度参数'!$E$20)*MIN('难度参数'!$E$23,1+MAX(0,A719-'难度参数'!$E$21)*'难度参数'!$E$22))*(36+4*7)/(36+7*(D719+1)/2)*E719,0))</x:f>
        <x:v>15295</x:v>
      </x:c>
      <x:c r="AL719" s="119" t="n">
        <x:f>IF(AJ719=0,0,(AJ719-IF(4=D719,1,0))*ROUND(AK719*VLOOKUP(INDEX('章节与怪物'!$E$31:$K$37,B719,4),'章节与怪物'!$A$41:$F$44,2,FALSE),0)+IF(4=D719,ROUND(AK719*'难度参数'!$E$28*'章节与怪物'!$E$17,0),0))</x:f>
        <x:v>970456</x:v>
      </x:c>
      <x:c r="AM719" s="119" t="n">
        <x:f>IF(AJ719=0,0,(AJ719-IF(4=D719,1,0))*VLOOKUP(INDEX('章节与怪物'!$E$31:$K$37,B719,4),'章节与怪物'!$A$41:$F$44,4,FALSE)+IF(4=D719,'难度参数'!$E$30,0))</x:f>
        <x:v>1598</x:v>
      </x:c>
      <x:c r="AN719" s="119" t="n">
        <x:f>IF(5&gt;D719,0,MAX(2,MIN('难度参数'!$E$12,ROUND(('难度参数'!$E$18*POWER(A719,'难度参数'!$E$19)/D719*(0.85+0.3*(5-1)/MAX(1,D719-1))),0)+F719)))</x:f>
        <x:v>49</x:v>
      </x:c>
      <x:c r="AO719" s="119" t="n">
        <x:f>IF(5&gt;D719,0,ROUND(('难度参数'!$E$13*POWER(A719,'难度参数'!$E$20)*MIN('难度参数'!$E$23,1+MAX(0,A719-'难度参数'!$E$21)*'难度参数'!$E$22))*(36+5*7)/(36+7*(D719+1)/2)*E719,0))</x:f>
        <x:v>16968</x:v>
      </x:c>
      <x:c r="AP719" s="119" t="n">
        <x:f>IF(AN719=0,0,(AN719-IF(5=D719,1,0))*ROUND(AO719*VLOOKUP(INDEX('章节与怪物'!$E$31:$K$37,B719,5),'章节与怪物'!$A$41:$F$44,2,FALSE),0)+IF(5=D719,ROUND(AO719*'难度参数'!$E$28*'章节与怪物'!$E$17,0),0))</x:f>
        <x:v>598633</x:v>
      </x:c>
      <x:c r="AQ719" s="119" t="n">
        <x:f>IF(AN719=0,0,(AN719-IF(5=D719,1,0))*VLOOKUP(INDEX('章节与怪物'!$E$31:$K$37,B719,5),'章节与怪物'!$A$41:$F$44,4,FALSE)+IF(5=D719,'难度参数'!$E$30,0))</x:f>
        <x:v>980</x:v>
      </x:c>
      <x:c r="AR719" s="119" t="n">
        <x:f>IF(6&gt;D719,0,MAX(2,MIN('难度参数'!$E$12,ROUND(('难度参数'!$E$18*POWER(A719,'难度参数'!$E$19)/D719*(0.85+0.3*(6-1)/MAX(1,D719-1))),0)+F719)))</x:f>
        <x:v>52</x:v>
      </x:c>
      <x:c r="AS719" s="119" t="n">
        <x:f>IF(6&gt;D719,0,ROUND(('难度参数'!$E$13*POWER(A719,'难度参数'!$E$20)*MIN('难度参数'!$E$23,1+MAX(0,A719-'难度参数'!$E$21)*'难度参数'!$E$22))*(36+6*7)/(36+7*(D719+1)/2)*E719,0))</x:f>
        <x:v>18641</x:v>
      </x:c>
      <x:c r="AT719" s="119" t="n">
        <x:f>IF(AR719=0,0,(AR719-IF(6=D719,1,0))*ROUND(AS719*VLOOKUP(INDEX('章节与怪物'!$E$31:$K$37,B719,6),'章节与怪物'!$A$41:$F$44,2,FALSE),0)+IF(6=D719,ROUND(AS719*'难度参数'!$E$28*'章节与怪物'!$E$17,0),0))</x:f>
        <x:v>1647880</x:v>
      </x:c>
      <x:c r="AU719" s="119" t="n">
        <x:f>IF(AR719=0,0,(AR719-IF(6=D719,1,0))*VLOOKUP(INDEX('章节与怪物'!$E$31:$K$37,B719,6),'章节与怪物'!$A$41:$F$44,4,FALSE)+IF(6=D719,'难度参数'!$E$30,0))</x:f>
        <x:v>1456</x:v>
      </x:c>
      <x:c r="AV719" s="119" t="n">
        <x:f>IF(7&gt;D719,0,MAX(2,MIN('难度参数'!$E$12,ROUND(('难度参数'!$E$18*POWER(A719,'难度参数'!$E$19)/D719*(0.85+0.3*(7-1)/MAX(1,D719-1))),0)+F719)))</x:f>
        <x:v>54</x:v>
      </x:c>
      <x:c r="AW719" s="119" t="n">
        <x:f>IF(7&gt;D719,0,ROUND(('难度参数'!$E$13*POWER(A719,'难度参数'!$E$20)*MIN('难度参数'!$E$23,1+MAX(0,A719-'难度参数'!$E$21)*'难度参数'!$E$22))*(36+7*7)/(36+7*(D719+1)/2)*E719,0))</x:f>
        <x:v>20314</x:v>
      </x:c>
      <x:c r="AX719" s="119" t="n">
        <x:f>IF(AV719=0,0,(AV719-IF(7=D719,1,0))*ROUND(AW719*VLOOKUP(INDEX('章节与怪物'!$E$31:$K$37,B719,7),'章节与怪物'!$A$41:$F$44,2,FALSE),0)+IF(7=D719,ROUND(AW719*'难度参数'!$E$28*'章节与怪物'!$E$17,0),0))</x:f>
        <x:v>1591607</x:v>
      </x:c>
      <x:c r="AY719" s="119" t="n">
        <x:f>IF(AV719=0,0,(AV719-IF(7=D719,1,0))*VLOOKUP(INDEX('章节与怪物'!$E$31:$K$37,B719,7),'章节与怪物'!$A$41:$F$44,4,FALSE)+IF(7=D719,'难度参数'!$E$30,0))</x:f>
        <x:v>2002</x:v>
      </x:c>
    </x:row>
    <x:row r="720" ht="23" customHeight="1">
      <x:c r="A720" s="119" t="n">
        <x:v>714</x:v>
      </x:c>
      <x:c r="B720" s="119" t="n">
        <x:f>MOD(INT((A720-1)/5),7)+1</x:f>
        <x:v>3</x:v>
      </x:c>
      <x:c r="C720" s="62" t="str">
        <x:f>INDEX('章节与怪物'!$B$31:$B$37,B720)</x:f>
        <x:v>腐沼秘林</x:v>
      </x:c>
      <x:c r="D720" s="119" t="n">
        <x:f>MIN('难度参数'!$E$8,MAX('难度参数'!$E$7,A720))</x:f>
        <x:v>7</x:v>
      </x:c>
      <x:c r="E720" s="106" t="n">
        <x:v>1</x:v>
      </x:c>
      <x:c r="F720" s="106" t="n">
        <x:v>0</x:v>
      </x:c>
      <x:c r="G720" s="106" t="n">
        <x:v>1</x:v>
      </x:c>
      <x:c r="H720" s="119" t="n">
        <x:f>SUM(X720,AB720,AF720,AJ720,AN720,AR720,AV720)</x:f>
        <x:v>329</x:v>
      </x:c>
      <x:c r="I720" s="119" t="n">
        <x:f>SUM(Z720,AD720,AH720,AL720,AP720,AT720,AX720)</x:f>
        <x:v>6629860</x:v>
      </x:c>
      <x:c r="J720" s="119" t="n">
        <x:f>ROUND(INDEX(X720:AY720,1,(D720-1)*4+2)*'难度参数'!$E$28*'章节与怪物'!$E$17,0)</x:f>
        <x:v>138278</x:v>
      </x:c>
      <x:c r="K720" s="119" t="n">
        <x:f>SUM(AA720,AE720,AI720,AM720,AQ720,AU720,AY720)</x:f>
        <x:v>8856</x:v>
      </x:c>
      <x:c r="L720" s="62" t="n">
        <x:f>H720*(ROUNDUP('难度参数'!$E$24/('难度参数'!$E$26*'难度参数'!$E$27),0)*'难度参数'!$E$26)/60</x:f>
        <x:v>4.386666666666667</x:v>
      </x:c>
      <x:c r="M720" s="62" t="n">
        <x:f>L720+D720*('难度参数'!$E$49+'难度参数'!$E$50)/60</x:f>
        <x:v>5.553333333333334</x:v>
      </x:c>
      <x:c r="N720" s="119" t="n">
        <x:f>ROUNDDOWN(('经济参数'!$E$20+A720*'经济参数'!$E$21)*G720,0)</x:f>
        <x:v>14460</x:v>
      </x:c>
      <x:c r="O720" s="119" t="n">
        <x:f>ROUNDDOWN(MIN('经济参数'!$E$24,'经济参数'!$E$22+A720*'经济参数'!$E$23)*G720,0)</x:f>
        <x:v>0</x:v>
      </x:c>
      <x:c r="P720" s="119" t="n">
        <x:f>ROUNDDOWN((IF(A720&gt;='材料与任务'!$E$31,'材料与任务'!$E$32,IF(A720&gt;='材料与任务'!$E$25,'材料与任务'!$E$26,IF(A720&gt;='材料与任务'!$E$19,'材料与任务'!$E$20,IF(A720&gt;='材料与任务'!$E$13,'材料与任务'!$E$14,'材料与任务'!$E$8)))))*G720,0)</x:f>
        <x:v>6</x:v>
      </x:c>
      <x:c r="Q720" s="119" t="n">
        <x:f>ROUNDDOWN((IF(A720&gt;='材料与任务'!$E$31,'材料与任务'!$E$33,IF(A720&gt;='材料与任务'!$E$25,'材料与任务'!$E$27,IF(A720&gt;='材料与任务'!$E$19,'材料与任务'!$E$21,IF(A720&gt;='材料与任务'!$E$13,'材料与任务'!$E$15,'材料与任务'!$E$9)))))*G720,0)</x:f>
        <x:v>3</x:v>
      </x:c>
      <x:c r="R720" s="110" t="n">
        <x:f>'装备掉落'!$B$38</x:f>
        <x:v>0.6872058758851213</x:v>
      </x:c>
      <x:c r="S720" s="119" t="n">
        <x:f>MAX(IF(VLOOKUP(A720,'装备掉落'!$A$29:$H$34,2,TRUE)&gt;0,1,0),IF(VLOOKUP(A720,'装备掉落'!$A$29:$H$34,3,TRUE)&gt;0,2,0),IF(VLOOKUP(A720,'装备掉落'!$A$29:$H$34,4,TRUE)&gt;0,3,0),IF(VLOOKUP(A720,'装备掉落'!$A$29:$H$34,5,TRUE)&gt;0,4,0),IF(VLOOKUP(A720,'装备掉落'!$A$29:$H$34,6,TRUE)&gt;0,5,0),IF(VLOOKUP(A720,'装备掉落'!$A$29:$H$34,7,TRUE)&gt;0,6,0),IF(VLOOKUP(A720,'装备掉落'!$A$29:$H$34,8,TRUE)&gt;0,7,0))</x:f>
        <x:v>7</x:v>
      </x:c>
      <x:c r="T720" s="119" t="n">
        <x:f>MIN(7,S720+'经济参数'!$E$70)</x:f>
        <x:v>7</x:v>
      </x:c>
      <x:c r="U720" s="119" t="n">
        <x:f>MIN(7,S720+'经济参数'!$E$71)</x:f>
        <x:v>7</x:v>
      </x:c>
      <x:c r="V720" s="119" t="n">
        <x:f>IF(H720&gt;=('难度参数'!$E$52),1,0)+IF(H720&gt;=('难度参数'!$E$52+'难度参数'!$E$53),1,0)+IF(H720&gt;=('难度参数'!$E$52+'难度参数'!$E$53+'难度参数'!$E$54),1,0)+IF(H720&gt;=('难度参数'!$E$52+'难度参数'!$E$53+'难度参数'!$E$54+'难度参数'!$E$55),1,0)+IF(H720&gt;=('难度参数'!$E$52+'难度参数'!$E$53+'难度参数'!$E$54+'难度参数'!$E$55+'难度参数'!$E$56),1,0)+IF(H720&gt;=('难度参数'!$E$52+'难度参数'!$E$53+'难度参数'!$E$54+'难度参数'!$E$55+'难度参数'!$E$56+'难度参数'!$E$57),1,0)</x:f>
        <x:v>6</x:v>
      </x:c>
      <x:c r="W720" s="62" t="str">
        <x:f>IF(L720&gt;'难度参数'!$E$51,"仅出怪已超目标","还需实测")</x:f>
        <x:v>仅出怪已超目标</x:v>
      </x:c>
      <x:c r="X720" s="119" t="n">
        <x:f>IF(1&gt;D720,0,MAX(2,MIN('难度参数'!$E$12,ROUND(('难度参数'!$E$18*POWER(A720,'难度参数'!$E$19)/D720*(0.85+0.3*(1-1)/MAX(1,D720-1))),0)+F720)))</x:f>
        <x:v>40</x:v>
      </x:c>
      <x:c r="Y720" s="119" t="n">
        <x:f>IF(1&gt;D720,0,ROUND(('难度参数'!$E$13*POWER(A720,'难度参数'!$E$20)*MIN('难度参数'!$E$23,1+MAX(0,A720-'难度参数'!$E$21)*'难度参数'!$E$22))*(36+1*7)/(36+7*(D720+1)/2)*E720,0))</x:f>
        <x:v>10287</x:v>
      </x:c>
      <x:c r="Z720" s="119" t="n">
        <x:f>IF(X720=0,0,(X720-IF(1=D720,1,0))*ROUND(Y720*VLOOKUP(INDEX('章节与怪物'!$E$31:$K$37,B720,1),'章节与怪物'!$A$41:$F$44,2,FALSE),0)+IF(1=D720,ROUND(Y720*'难度参数'!$E$28*'章节与怪物'!$E$17,0),0))</x:f>
        <x:v>411480</x:v>
      </x:c>
      <x:c r="AA720" s="119" t="n">
        <x:f>IF(X720=0,0,(X720-IF(1=D720,1,0))*VLOOKUP(INDEX('章节与怪物'!$E$31:$K$37,B720,1),'章节与怪物'!$A$41:$F$44,4,FALSE)+IF(1=D720,'难度参数'!$E$30,0))</x:f>
        <x:v>720</x:v>
      </x:c>
      <x:c r="AB720" s="119" t="n">
        <x:f>IF(2&gt;D720,0,MAX(2,MIN('难度参数'!$E$12,ROUND(('难度参数'!$E$18*POWER(A720,'难度参数'!$E$19)/D720*(0.85+0.3*(2-1)/MAX(1,D720-1))),0)+F720)))</x:f>
        <x:v>42</x:v>
      </x:c>
      <x:c r="AC720" s="119" t="n">
        <x:f>IF(2&gt;D720,0,ROUND(('难度参数'!$E$13*POWER(A720,'难度参数'!$E$20)*MIN('难度参数'!$E$23,1+MAX(0,A720-'难度参数'!$E$21)*'难度参数'!$E$22))*(36+2*7)/(36+7*(D720+1)/2)*E720,0))</x:f>
        <x:v>11962</x:v>
      </x:c>
      <x:c r="AD720" s="119" t="n">
        <x:f>IF(AB720=0,0,(AB720-IF(2=D720,1,0))*ROUND(AC720*VLOOKUP(INDEX('章节与怪物'!$E$31:$K$37,B720,2),'章节与怪物'!$A$41:$F$44,2,FALSE),0)+IF(2=D720,ROUND(AC720*'难度参数'!$E$28*'章节与怪物'!$E$17,0),0))</x:f>
        <x:v>361746</x:v>
      </x:c>
      <x:c r="AE720" s="119" t="n">
        <x:f>IF(AB720=0,0,(AB720-IF(2=D720,1,0))*VLOOKUP(INDEX('章节与怪物'!$E$31:$K$37,B720,2),'章节与怪物'!$A$41:$F$44,4,FALSE)+IF(2=D720,'难度参数'!$E$30,0))</x:f>
        <x:v>840</x:v>
      </x:c>
      <x:c r="AF720" s="119" t="n">
        <x:f>IF(3&gt;D720,0,MAX(2,MIN('难度参数'!$E$12,ROUND(('难度参数'!$E$18*POWER(A720,'难度参数'!$E$19)/D720*(0.85+0.3*(3-1)/MAX(1,D720-1))),0)+F720)))</x:f>
        <x:v>45</x:v>
      </x:c>
      <x:c r="AG720" s="119" t="n">
        <x:f>IF(3&gt;D720,0,ROUND(('难度参数'!$E$13*POWER(A720,'难度参数'!$E$20)*MIN('难度参数'!$E$23,1+MAX(0,A720-'难度参数'!$E$21)*'难度参数'!$E$22))*(36+3*7)/(36+7*(D720+1)/2)*E720,0))</x:f>
        <x:v>13636</x:v>
      </x:c>
      <x:c r="AH720" s="119" t="n">
        <x:f>IF(AF720=0,0,(AF720-IF(3=D720,1,0))*ROUND(AG720*VLOOKUP(INDEX('章节与怪物'!$E$31:$K$37,B720,3),'章节与怪物'!$A$41:$F$44,2,FALSE),0)+IF(3=D720,ROUND(AG720*'难度参数'!$E$28*'章节与怪物'!$E$17,0),0))</x:f>
        <x:v>1043145</x:v>
      </x:c>
      <x:c r="AI720" s="119" t="n">
        <x:f>IF(AF720=0,0,(AF720-IF(3=D720,1,0))*VLOOKUP(INDEX('章节与怪物'!$E$31:$K$37,B720,3),'章节与怪物'!$A$41:$F$44,4,FALSE)+IF(3=D720,'难度参数'!$E$30,0))</x:f>
        <x:v>1260</x:v>
      </x:c>
      <x:c r="AJ720" s="119" t="n">
        <x:f>IF(4&gt;D720,0,MAX(2,MIN('难度参数'!$E$12,ROUND(('难度参数'!$E$18*POWER(A720,'难度参数'!$E$19)/D720*(0.85+0.3*(4-1)/MAX(1,D720-1))),0)+F720)))</x:f>
        <x:v>47</x:v>
      </x:c>
      <x:c r="AK720" s="119" t="n">
        <x:f>IF(4&gt;D720,0,ROUND(('难度参数'!$E$13*POWER(A720,'难度参数'!$E$20)*MIN('难度参数'!$E$23,1+MAX(0,A720-'难度参数'!$E$21)*'难度参数'!$E$22))*(36+4*7)/(36+7*(D720+1)/2)*E720,0))</x:f>
        <x:v>15311</x:v>
      </x:c>
      <x:c r="AL720" s="119" t="n">
        <x:f>IF(AJ720=0,0,(AJ720-IF(4=D720,1,0))*ROUND(AK720*VLOOKUP(INDEX('章节与怪物'!$E$31:$K$37,B720,4),'章节与怪物'!$A$41:$F$44,2,FALSE),0)+IF(4=D720,ROUND(AK720*'难度参数'!$E$28*'章节与怪物'!$E$17,0),0))</x:f>
        <x:v>971490</x:v>
      </x:c>
      <x:c r="AM720" s="119" t="n">
        <x:f>IF(AJ720=0,0,(AJ720-IF(4=D720,1,0))*VLOOKUP(INDEX('章节与怪物'!$E$31:$K$37,B720,4),'章节与怪物'!$A$41:$F$44,4,FALSE)+IF(4=D720,'难度参数'!$E$30,0))</x:f>
        <x:v>1598</x:v>
      </x:c>
      <x:c r="AN720" s="119" t="n">
        <x:f>IF(5&gt;D720,0,MAX(2,MIN('难度参数'!$E$12,ROUND(('难度参数'!$E$18*POWER(A720,'难度参数'!$E$19)/D720*(0.85+0.3*(5-1)/MAX(1,D720-1))),0)+F720)))</x:f>
        <x:v>49</x:v>
      </x:c>
      <x:c r="AO720" s="119" t="n">
        <x:f>IF(5&gt;D720,0,ROUND(('难度参数'!$E$13*POWER(A720,'难度参数'!$E$20)*MIN('难度参数'!$E$23,1+MAX(0,A720-'难度参数'!$E$21)*'难度参数'!$E$22))*(36+5*7)/(36+7*(D720+1)/2)*E720,0))</x:f>
        <x:v>16985</x:v>
      </x:c>
      <x:c r="AP720" s="119" t="n">
        <x:f>IF(AN720=0,0,(AN720-IF(5=D720,1,0))*ROUND(AO720*VLOOKUP(INDEX('章节与怪物'!$E$31:$K$37,B720,5),'章节与怪物'!$A$41:$F$44,2,FALSE),0)+IF(5=D720,ROUND(AO720*'难度参数'!$E$28*'章节与怪物'!$E$17,0),0))</x:f>
        <x:v>599221</x:v>
      </x:c>
      <x:c r="AQ720" s="119" t="n">
        <x:f>IF(AN720=0,0,(AN720-IF(5=D720,1,0))*VLOOKUP(INDEX('章节与怪物'!$E$31:$K$37,B720,5),'章节与怪物'!$A$41:$F$44,4,FALSE)+IF(5=D720,'难度参数'!$E$30,0))</x:f>
        <x:v>980</x:v>
      </x:c>
      <x:c r="AR720" s="119" t="n">
        <x:f>IF(6&gt;D720,0,MAX(2,MIN('难度参数'!$E$12,ROUND(('难度参数'!$E$18*POWER(A720,'难度参数'!$E$19)/D720*(0.85+0.3*(6-1)/MAX(1,D720-1))),0)+F720)))</x:f>
        <x:v>52</x:v>
      </x:c>
      <x:c r="AS720" s="119" t="n">
        <x:f>IF(6&gt;D720,0,ROUND(('难度参数'!$E$13*POWER(A720,'难度参数'!$E$20)*MIN('难度参数'!$E$23,1+MAX(0,A720-'难度参数'!$E$21)*'难度参数'!$E$22))*(36+6*7)/(36+7*(D720+1)/2)*E720,0))</x:f>
        <x:v>18660</x:v>
      </x:c>
      <x:c r="AT720" s="119" t="n">
        <x:f>IF(AR720=0,0,(AR720-IF(6=D720,1,0))*ROUND(AS720*VLOOKUP(INDEX('章节与怪物'!$E$31:$K$37,B720,6),'章节与怪物'!$A$41:$F$44,2,FALSE),0)+IF(6=D720,ROUND(AS720*'难度参数'!$E$28*'章节与怪物'!$E$17,0),0))</x:f>
        <x:v>1649544</x:v>
      </x:c>
      <x:c r="AU720" s="119" t="n">
        <x:f>IF(AR720=0,0,(AR720-IF(6=D720,1,0))*VLOOKUP(INDEX('章节与怪物'!$E$31:$K$37,B720,6),'章节与怪物'!$A$41:$F$44,4,FALSE)+IF(6=D720,'难度参数'!$E$30,0))</x:f>
        <x:v>1456</x:v>
      </x:c>
      <x:c r="AV720" s="119" t="n">
        <x:f>IF(7&gt;D720,0,MAX(2,MIN('难度参数'!$E$12,ROUND(('难度参数'!$E$18*POWER(A720,'难度参数'!$E$19)/D720*(0.85+0.3*(7-1)/MAX(1,D720-1))),0)+F720)))</x:f>
        <x:v>54</x:v>
      </x:c>
      <x:c r="AW720" s="119" t="n">
        <x:f>IF(7&gt;D720,0,ROUND(('难度参数'!$E$13*POWER(A720,'难度参数'!$E$20)*MIN('难度参数'!$E$23,1+MAX(0,A720-'难度参数'!$E$21)*'难度参数'!$E$22))*(36+7*7)/(36+7*(D720+1)/2)*E720,0))</x:f>
        <x:v>20335</x:v>
      </x:c>
      <x:c r="AX720" s="119" t="n">
        <x:f>IF(AV720=0,0,(AV720-IF(7=D720,1,0))*ROUND(AW720*VLOOKUP(INDEX('章节与怪物'!$E$31:$K$37,B720,7),'章节与怪物'!$A$41:$F$44,2,FALSE),0)+IF(7=D720,ROUND(AW720*'难度参数'!$E$28*'章节与怪物'!$E$17,0),0))</x:f>
        <x:v>1593234</x:v>
      </x:c>
      <x:c r="AY720" s="119" t="n">
        <x:f>IF(AV720=0,0,(AV720-IF(7=D720,1,0))*VLOOKUP(INDEX('章节与怪物'!$E$31:$K$37,B720,7),'章节与怪物'!$A$41:$F$44,4,FALSE)+IF(7=D720,'难度参数'!$E$30,0))</x:f>
        <x:v>2002</x:v>
      </x:c>
    </x:row>
    <x:row r="721" ht="23" customHeight="1">
      <x:c r="A721" s="119" t="n">
        <x:v>715</x:v>
      </x:c>
      <x:c r="B721" s="119" t="n">
        <x:f>MOD(INT((A721-1)/5),7)+1</x:f>
        <x:v>3</x:v>
      </x:c>
      <x:c r="C721" s="62" t="str">
        <x:f>INDEX('章节与怪物'!$B$31:$B$37,B721)</x:f>
        <x:v>腐沼秘林</x:v>
      </x:c>
      <x:c r="D721" s="119" t="n">
        <x:f>MIN('难度参数'!$E$8,MAX('难度参数'!$E$7,A721))</x:f>
        <x:v>7</x:v>
      </x:c>
      <x:c r="E721" s="106" t="n">
        <x:v>1</x:v>
      </x:c>
      <x:c r="F721" s="106" t="n">
        <x:v>0</x:v>
      </x:c>
      <x:c r="G721" s="106" t="n">
        <x:v>1</x:v>
      </x:c>
      <x:c r="H721" s="119" t="n">
        <x:f>SUM(X721,AB721,AF721,AJ721,AN721,AR721,AV721)</x:f>
        <x:v>329</x:v>
      </x:c>
      <x:c r="I721" s="119" t="n">
        <x:f>SUM(Z721,AD721,AH721,AL721,AP721,AT721,AX721)</x:f>
        <x:v>6636435</x:v>
      </x:c>
      <x:c r="J721" s="119" t="n">
        <x:f>ROUND(INDEX(X721:AY721,1,(D721-1)*4+2)*'难度参数'!$E$28*'章节与怪物'!$E$17,0)</x:f>
        <x:v>138414</x:v>
      </x:c>
      <x:c r="K721" s="119" t="n">
        <x:f>SUM(AA721,AE721,AI721,AM721,AQ721,AU721,AY721)</x:f>
        <x:v>8856</x:v>
      </x:c>
      <x:c r="L721" s="62" t="n">
        <x:f>H721*(ROUNDUP('难度参数'!$E$24/('难度参数'!$E$26*'难度参数'!$E$27),0)*'难度参数'!$E$26)/60</x:f>
        <x:v>4.386666666666667</x:v>
      </x:c>
      <x:c r="M721" s="62" t="n">
        <x:f>L721+D721*('难度参数'!$E$49+'难度参数'!$E$50)/60</x:f>
        <x:v>5.553333333333334</x:v>
      </x:c>
      <x:c r="N721" s="119" t="n">
        <x:f>ROUNDDOWN(('经济参数'!$E$20+A721*'经济参数'!$E$21)*G721,0)</x:f>
        <x:v>14480</x:v>
      </x:c>
      <x:c r="O721" s="119" t="n">
        <x:f>ROUNDDOWN(MIN('经济参数'!$E$24,'经济参数'!$E$22+A721*'经济参数'!$E$23)*G721,0)</x:f>
        <x:v>0</x:v>
      </x:c>
      <x:c r="P721" s="119" t="n">
        <x:f>ROUNDDOWN((IF(A721&gt;='材料与任务'!$E$31,'材料与任务'!$E$32,IF(A721&gt;='材料与任务'!$E$25,'材料与任务'!$E$26,IF(A721&gt;='材料与任务'!$E$19,'材料与任务'!$E$20,IF(A721&gt;='材料与任务'!$E$13,'材料与任务'!$E$14,'材料与任务'!$E$8)))))*G721,0)</x:f>
        <x:v>6</x:v>
      </x:c>
      <x:c r="Q721" s="119" t="n">
        <x:f>ROUNDDOWN((IF(A721&gt;='材料与任务'!$E$31,'材料与任务'!$E$33,IF(A721&gt;='材料与任务'!$E$25,'材料与任务'!$E$27,IF(A721&gt;='材料与任务'!$E$19,'材料与任务'!$E$21,IF(A721&gt;='材料与任务'!$E$13,'材料与任务'!$E$15,'材料与任务'!$E$9)))))*G721,0)</x:f>
        <x:v>3</x:v>
      </x:c>
      <x:c r="R721" s="110" t="n">
        <x:f>'装备掉落'!$B$38</x:f>
        <x:v>0.6872058758851213</x:v>
      </x:c>
      <x:c r="S721" s="119" t="n">
        <x:f>MAX(IF(VLOOKUP(A721,'装备掉落'!$A$29:$H$34,2,TRUE)&gt;0,1,0),IF(VLOOKUP(A721,'装备掉落'!$A$29:$H$34,3,TRUE)&gt;0,2,0),IF(VLOOKUP(A721,'装备掉落'!$A$29:$H$34,4,TRUE)&gt;0,3,0),IF(VLOOKUP(A721,'装备掉落'!$A$29:$H$34,5,TRUE)&gt;0,4,0),IF(VLOOKUP(A721,'装备掉落'!$A$29:$H$34,6,TRUE)&gt;0,5,0),IF(VLOOKUP(A721,'装备掉落'!$A$29:$H$34,7,TRUE)&gt;0,6,0),IF(VLOOKUP(A721,'装备掉落'!$A$29:$H$34,8,TRUE)&gt;0,7,0))</x:f>
        <x:v>7</x:v>
      </x:c>
      <x:c r="T721" s="119" t="n">
        <x:f>MIN(7,S721+'经济参数'!$E$70)</x:f>
        <x:v>7</x:v>
      </x:c>
      <x:c r="U721" s="119" t="n">
        <x:f>MIN(7,S721+'经济参数'!$E$71)</x:f>
        <x:v>7</x:v>
      </x:c>
      <x:c r="V721" s="119" t="n">
        <x:f>IF(H721&gt;=('难度参数'!$E$52),1,0)+IF(H721&gt;=('难度参数'!$E$52+'难度参数'!$E$53),1,0)+IF(H721&gt;=('难度参数'!$E$52+'难度参数'!$E$53+'难度参数'!$E$54),1,0)+IF(H721&gt;=('难度参数'!$E$52+'难度参数'!$E$53+'难度参数'!$E$54+'难度参数'!$E$55),1,0)+IF(H721&gt;=('难度参数'!$E$52+'难度参数'!$E$53+'难度参数'!$E$54+'难度参数'!$E$55+'难度参数'!$E$56),1,0)+IF(H721&gt;=('难度参数'!$E$52+'难度参数'!$E$53+'难度参数'!$E$54+'难度参数'!$E$55+'难度参数'!$E$56+'难度参数'!$E$57),1,0)</x:f>
        <x:v>6</x:v>
      </x:c>
      <x:c r="W721" s="62" t="str">
        <x:f>IF(L721&gt;'难度参数'!$E$51,"仅出怪已超目标","还需实测")</x:f>
        <x:v>仅出怪已超目标</x:v>
      </x:c>
      <x:c r="X721" s="119" t="n">
        <x:f>IF(1&gt;D721,0,MAX(2,MIN('难度参数'!$E$12,ROUND(('难度参数'!$E$18*POWER(A721,'难度参数'!$E$19)/D721*(0.85+0.3*(1-1)/MAX(1,D721-1))),0)+F721)))</x:f>
        <x:v>40</x:v>
      </x:c>
      <x:c r="Y721" s="119" t="n">
        <x:f>IF(1&gt;D721,0,ROUND(('难度参数'!$E$13*POWER(A721,'难度参数'!$E$20)*MIN('难度参数'!$E$23,1+MAX(0,A721-'难度参数'!$E$21)*'难度参数'!$E$22))*(36+1*7)/(36+7*(D721+1)/2)*E721,0))</x:f>
        <x:v>10297</x:v>
      </x:c>
      <x:c r="Z721" s="119" t="n">
        <x:f>IF(X721=0,0,(X721-IF(1=D721,1,0))*ROUND(Y721*VLOOKUP(INDEX('章节与怪物'!$E$31:$K$37,B721,1),'章节与怪物'!$A$41:$F$44,2,FALSE),0)+IF(1=D721,ROUND(Y721*'难度参数'!$E$28*'章节与怪物'!$E$17,0),0))</x:f>
        <x:v>411880</x:v>
      </x:c>
      <x:c r="AA721" s="119" t="n">
        <x:f>IF(X721=0,0,(X721-IF(1=D721,1,0))*VLOOKUP(INDEX('章节与怪物'!$E$31:$K$37,B721,1),'章节与怪物'!$A$41:$F$44,4,FALSE)+IF(1=D721,'难度参数'!$E$30,0))</x:f>
        <x:v>720</x:v>
      </x:c>
      <x:c r="AB721" s="119" t="n">
        <x:f>IF(2&gt;D721,0,MAX(2,MIN('难度参数'!$E$12,ROUND(('难度参数'!$E$18*POWER(A721,'难度参数'!$E$19)/D721*(0.85+0.3*(2-1)/MAX(1,D721-1))),0)+F721)))</x:f>
        <x:v>42</x:v>
      </x:c>
      <x:c r="AC721" s="119" t="n">
        <x:f>IF(2&gt;D721,0,ROUND(('难度参数'!$E$13*POWER(A721,'难度参数'!$E$20)*MIN('难度参数'!$E$23,1+MAX(0,A721-'难度参数'!$E$21)*'难度参数'!$E$22))*(36+2*7)/(36+7*(D721+1)/2)*E721,0))</x:f>
        <x:v>11974</x:v>
      </x:c>
      <x:c r="AD721" s="119" t="n">
        <x:f>IF(AB721=0,0,(AB721-IF(2=D721,1,0))*ROUND(AC721*VLOOKUP(INDEX('章节与怪物'!$E$31:$K$37,B721,2),'章节与怪物'!$A$41:$F$44,2,FALSE),0)+IF(2=D721,ROUND(AC721*'难度参数'!$E$28*'章节与怪物'!$E$17,0),0))</x:f>
        <x:v>362082</x:v>
      </x:c>
      <x:c r="AE721" s="119" t="n">
        <x:f>IF(AB721=0,0,(AB721-IF(2=D721,1,0))*VLOOKUP(INDEX('章节与怪物'!$E$31:$K$37,B721,2),'章节与怪物'!$A$41:$F$44,4,FALSE)+IF(2=D721,'难度参数'!$E$30,0))</x:f>
        <x:v>840</x:v>
      </x:c>
      <x:c r="AF721" s="119" t="n">
        <x:f>IF(3&gt;D721,0,MAX(2,MIN('难度参数'!$E$12,ROUND(('难度参数'!$E$18*POWER(A721,'难度参数'!$E$19)/D721*(0.85+0.3*(3-1)/MAX(1,D721-1))),0)+F721)))</x:f>
        <x:v>45</x:v>
      </x:c>
      <x:c r="AG721" s="119" t="n">
        <x:f>IF(3&gt;D721,0,ROUND(('难度参数'!$E$13*POWER(A721,'难度参数'!$E$20)*MIN('难度参数'!$E$23,1+MAX(0,A721-'难度参数'!$E$21)*'难度参数'!$E$22))*(36+3*7)/(36+7*(D721+1)/2)*E721,0))</x:f>
        <x:v>13650</x:v>
      </x:c>
      <x:c r="AH721" s="119" t="n">
        <x:f>IF(AF721=0,0,(AF721-IF(3=D721,1,0))*ROUND(AG721*VLOOKUP(INDEX('章节与怪物'!$E$31:$K$37,B721,3),'章节与怪物'!$A$41:$F$44,2,FALSE),0)+IF(3=D721,ROUND(AG721*'难度参数'!$E$28*'章节与怪物'!$E$17,0),0))</x:f>
        <x:v>1044225</x:v>
      </x:c>
      <x:c r="AI721" s="119" t="n">
        <x:f>IF(AF721=0,0,(AF721-IF(3=D721,1,0))*VLOOKUP(INDEX('章节与怪物'!$E$31:$K$37,B721,3),'章节与怪物'!$A$41:$F$44,4,FALSE)+IF(3=D721,'难度参数'!$E$30,0))</x:f>
        <x:v>1260</x:v>
      </x:c>
      <x:c r="AJ721" s="119" t="n">
        <x:f>IF(4&gt;D721,0,MAX(2,MIN('难度参数'!$E$12,ROUND(('难度参数'!$E$18*POWER(A721,'难度参数'!$E$19)/D721*(0.85+0.3*(4-1)/MAX(1,D721-1))),0)+F721)))</x:f>
        <x:v>47</x:v>
      </x:c>
      <x:c r="AK721" s="119" t="n">
        <x:f>IF(4&gt;D721,0,ROUND(('难度参数'!$E$13*POWER(A721,'难度参数'!$E$20)*MIN('难度参数'!$E$23,1+MAX(0,A721-'难度参数'!$E$21)*'难度参数'!$E$22))*(36+4*7)/(36+7*(D721+1)/2)*E721,0))</x:f>
        <x:v>15326</x:v>
      </x:c>
      <x:c r="AL721" s="119" t="n">
        <x:f>IF(AJ721=0,0,(AJ721-IF(4=D721,1,0))*ROUND(AK721*VLOOKUP(INDEX('章节与怪物'!$E$31:$K$37,B721,4),'章节与怪物'!$A$41:$F$44,2,FALSE),0)+IF(4=D721,ROUND(AK721*'难度参数'!$E$28*'章节与怪物'!$E$17,0),0))</x:f>
        <x:v>972430</x:v>
      </x:c>
      <x:c r="AM721" s="119" t="n">
        <x:f>IF(AJ721=0,0,(AJ721-IF(4=D721,1,0))*VLOOKUP(INDEX('章节与怪物'!$E$31:$K$37,B721,4),'章节与怪物'!$A$41:$F$44,4,FALSE)+IF(4=D721,'难度参数'!$E$30,0))</x:f>
        <x:v>1598</x:v>
      </x:c>
      <x:c r="AN721" s="119" t="n">
        <x:f>IF(5&gt;D721,0,MAX(2,MIN('难度参数'!$E$12,ROUND(('难度参数'!$E$18*POWER(A721,'难度参数'!$E$19)/D721*(0.85+0.3*(5-1)/MAX(1,D721-1))),0)+F721)))</x:f>
        <x:v>49</x:v>
      </x:c>
      <x:c r="AO721" s="119" t="n">
        <x:f>IF(5&gt;D721,0,ROUND(('难度参数'!$E$13*POWER(A721,'难度参数'!$E$20)*MIN('难度参数'!$E$23,1+MAX(0,A721-'难度参数'!$E$21)*'难度参数'!$E$22))*(36+5*7)/(36+7*(D721+1)/2)*E721,0))</x:f>
        <x:v>17002</x:v>
      </x:c>
      <x:c r="AP721" s="119" t="n">
        <x:f>IF(AN721=0,0,(AN721-IF(5=D721,1,0))*ROUND(AO721*VLOOKUP(INDEX('章节与怪物'!$E$31:$K$37,B721,5),'章节与怪物'!$A$41:$F$44,2,FALSE),0)+IF(5=D721,ROUND(AO721*'难度参数'!$E$28*'章节与怪物'!$E$17,0),0))</x:f>
        <x:v>599809</x:v>
      </x:c>
      <x:c r="AQ721" s="119" t="n">
        <x:f>IF(AN721=0,0,(AN721-IF(5=D721,1,0))*VLOOKUP(INDEX('章节与怪物'!$E$31:$K$37,B721,5),'章节与怪物'!$A$41:$F$44,4,FALSE)+IF(5=D721,'难度参数'!$E$30,0))</x:f>
        <x:v>980</x:v>
      </x:c>
      <x:c r="AR721" s="119" t="n">
        <x:f>IF(6&gt;D721,0,MAX(2,MIN('难度参数'!$E$12,ROUND(('难度参数'!$E$18*POWER(A721,'难度参数'!$E$19)/D721*(0.85+0.3*(6-1)/MAX(1,D721-1))),0)+F721)))</x:f>
        <x:v>52</x:v>
      </x:c>
      <x:c r="AS721" s="119" t="n">
        <x:f>IF(6&gt;D721,0,ROUND(('难度参数'!$E$13*POWER(A721,'难度参数'!$E$20)*MIN('难度参数'!$E$23,1+MAX(0,A721-'难度参数'!$E$21)*'难度参数'!$E$22))*(36+6*7)/(36+7*(D721+1)/2)*E721,0))</x:f>
        <x:v>18679</x:v>
      </x:c>
      <x:c r="AT721" s="119" t="n">
        <x:f>IF(AR721=0,0,(AR721-IF(6=D721,1,0))*ROUND(AS721*VLOOKUP(INDEX('章节与怪物'!$E$31:$K$37,B721,6),'章节与怪物'!$A$41:$F$44,2,FALSE),0)+IF(6=D721,ROUND(AS721*'难度参数'!$E$28*'章节与怪物'!$E$17,0),0))</x:f>
        <x:v>1651208</x:v>
      </x:c>
      <x:c r="AU721" s="119" t="n">
        <x:f>IF(AR721=0,0,(AR721-IF(6=D721,1,0))*VLOOKUP(INDEX('章节与怪物'!$E$31:$K$37,B721,6),'章节与怪物'!$A$41:$F$44,4,FALSE)+IF(6=D721,'难度参数'!$E$30,0))</x:f>
        <x:v>1456</x:v>
      </x:c>
      <x:c r="AV721" s="119" t="n">
        <x:f>IF(7&gt;D721,0,MAX(2,MIN('难度参数'!$E$12,ROUND(('难度参数'!$E$18*POWER(A721,'难度参数'!$E$19)/D721*(0.85+0.3*(7-1)/MAX(1,D721-1))),0)+F721)))</x:f>
        <x:v>54</x:v>
      </x:c>
      <x:c r="AW721" s="119" t="n">
        <x:f>IF(7&gt;D721,0,ROUND(('难度参数'!$E$13*POWER(A721,'难度参数'!$E$20)*MIN('难度参数'!$E$23,1+MAX(0,A721-'难度参数'!$E$21)*'难度参数'!$E$22))*(36+7*7)/(36+7*(D721+1)/2)*E721,0))</x:f>
        <x:v>20355</x:v>
      </x:c>
      <x:c r="AX721" s="119" t="n">
        <x:f>IF(AV721=0,0,(AV721-IF(7=D721,1,0))*ROUND(AW721*VLOOKUP(INDEX('章节与怪物'!$E$31:$K$37,B721,7),'章节与怪物'!$A$41:$F$44,2,FALSE),0)+IF(7=D721,ROUND(AW721*'难度参数'!$E$28*'章节与怪物'!$E$17,0),0))</x:f>
        <x:v>1594801</x:v>
      </x:c>
      <x:c r="AY721" s="119" t="n">
        <x:f>IF(AV721=0,0,(AV721-IF(7=D721,1,0))*VLOOKUP(INDEX('章节与怪物'!$E$31:$K$37,B721,7),'章节与怪物'!$A$41:$F$44,4,FALSE)+IF(7=D721,'难度参数'!$E$30,0))</x:f>
        <x:v>2002</x:v>
      </x:c>
    </x:row>
    <x:row r="722" ht="23" customHeight="1">
      <x:c r="A722" s="119" t="n">
        <x:v>716</x:v>
      </x:c>
      <x:c r="B722" s="119" t="n">
        <x:f>MOD(INT((A722-1)/5),7)+1</x:f>
        <x:v>4</x:v>
      </x:c>
      <x:c r="C722" s="62" t="str">
        <x:f>INDEX('章节与怪物'!$B$31:$B$37,B722)</x:f>
        <x:v>翠野边城</x:v>
      </x:c>
      <x:c r="D722" s="119" t="n">
        <x:f>MIN('难度参数'!$E$8,MAX('难度参数'!$E$7,A722))</x:f>
        <x:v>7</x:v>
      </x:c>
      <x:c r="E722" s="106" t="n">
        <x:v>1</x:v>
      </x:c>
      <x:c r="F722" s="106" t="n">
        <x:v>0</x:v>
      </x:c>
      <x:c r="G722" s="106" t="n">
        <x:v>1</x:v>
      </x:c>
      <x:c r="H722" s="119" t="n">
        <x:f>SUM(X722,AB722,AF722,AJ722,AN722,AR722,AV722)</x:f>
        <x:v>329</x:v>
      </x:c>
      <x:c r="I722" s="119" t="n">
        <x:f>SUM(Z722,AD722,AH722,AL722,AP722,AT722,AX722)</x:f>
        <x:v>5949598</x:v>
      </x:c>
      <x:c r="J722" s="119" t="n">
        <x:f>ROUND(INDEX(X722:AY722,1,(D722-1)*4+2)*'难度参数'!$E$28*'章节与怪物'!$E$17,0)</x:f>
        <x:v>138557</x:v>
      </x:c>
      <x:c r="K722" s="119" t="n">
        <x:f>SUM(AA722,AE722,AI722,AM722,AQ722,AU722,AY722)</x:f>
        <x:v>8338</x:v>
      </x:c>
      <x:c r="L722" s="62" t="n">
        <x:f>H722*(ROUNDUP('难度参数'!$E$24/('难度参数'!$E$26*'难度参数'!$E$27),0)*'难度参数'!$E$26)/60</x:f>
        <x:v>4.386666666666667</x:v>
      </x:c>
      <x:c r="M722" s="62" t="n">
        <x:f>L722+D722*('难度参数'!$E$49+'难度参数'!$E$50)/60</x:f>
        <x:v>5.553333333333334</x:v>
      </x:c>
      <x:c r="N722" s="119" t="n">
        <x:f>ROUNDDOWN(('经济参数'!$E$20+A722*'经济参数'!$E$21)*G722,0)</x:f>
        <x:v>14500</x:v>
      </x:c>
      <x:c r="O722" s="119" t="n">
        <x:f>ROUNDDOWN(MIN('经济参数'!$E$24,'经济参数'!$E$22+A722*'经济参数'!$E$23)*G722,0)</x:f>
        <x:v>0</x:v>
      </x:c>
      <x:c r="P722" s="119" t="n">
        <x:f>ROUNDDOWN((IF(A722&gt;='材料与任务'!$E$31,'材料与任务'!$E$32,IF(A722&gt;='材料与任务'!$E$25,'材料与任务'!$E$26,IF(A722&gt;='材料与任务'!$E$19,'材料与任务'!$E$20,IF(A722&gt;='材料与任务'!$E$13,'材料与任务'!$E$14,'材料与任务'!$E$8)))))*G722,0)</x:f>
        <x:v>6</x:v>
      </x:c>
      <x:c r="Q722" s="119" t="n">
        <x:f>ROUNDDOWN((IF(A722&gt;='材料与任务'!$E$31,'材料与任务'!$E$33,IF(A722&gt;='材料与任务'!$E$25,'材料与任务'!$E$27,IF(A722&gt;='材料与任务'!$E$19,'材料与任务'!$E$21,IF(A722&gt;='材料与任务'!$E$13,'材料与任务'!$E$15,'材料与任务'!$E$9)))))*G722,0)</x:f>
        <x:v>3</x:v>
      </x:c>
      <x:c r="R722" s="110" t="n">
        <x:f>'装备掉落'!$B$38</x:f>
        <x:v>0.6872058758851213</x:v>
      </x:c>
      <x:c r="S722" s="119" t="n">
        <x:f>MAX(IF(VLOOKUP(A722,'装备掉落'!$A$29:$H$34,2,TRUE)&gt;0,1,0),IF(VLOOKUP(A722,'装备掉落'!$A$29:$H$34,3,TRUE)&gt;0,2,0),IF(VLOOKUP(A722,'装备掉落'!$A$29:$H$34,4,TRUE)&gt;0,3,0),IF(VLOOKUP(A722,'装备掉落'!$A$29:$H$34,5,TRUE)&gt;0,4,0),IF(VLOOKUP(A722,'装备掉落'!$A$29:$H$34,6,TRUE)&gt;0,5,0),IF(VLOOKUP(A722,'装备掉落'!$A$29:$H$34,7,TRUE)&gt;0,6,0),IF(VLOOKUP(A722,'装备掉落'!$A$29:$H$34,8,TRUE)&gt;0,7,0))</x:f>
        <x:v>7</x:v>
      </x:c>
      <x:c r="T722" s="119" t="n">
        <x:f>MIN(7,S722+'经济参数'!$E$70)</x:f>
        <x:v>7</x:v>
      </x:c>
      <x:c r="U722" s="119" t="n">
        <x:f>MIN(7,S722+'经济参数'!$E$71)</x:f>
        <x:v>7</x:v>
      </x:c>
      <x:c r="V722" s="119" t="n">
        <x:f>IF(H722&gt;=('难度参数'!$E$52),1,0)+IF(H722&gt;=('难度参数'!$E$52+'难度参数'!$E$53),1,0)+IF(H722&gt;=('难度参数'!$E$52+'难度参数'!$E$53+'难度参数'!$E$54),1,0)+IF(H722&gt;=('难度参数'!$E$52+'难度参数'!$E$53+'难度参数'!$E$54+'难度参数'!$E$55),1,0)+IF(H722&gt;=('难度参数'!$E$52+'难度参数'!$E$53+'难度参数'!$E$54+'难度参数'!$E$55+'难度参数'!$E$56),1,0)+IF(H722&gt;=('难度参数'!$E$52+'难度参数'!$E$53+'难度参数'!$E$54+'难度参数'!$E$55+'难度参数'!$E$56+'难度参数'!$E$57),1,0)</x:f>
        <x:v>6</x:v>
      </x:c>
      <x:c r="W722" s="62" t="str">
        <x:f>IF(L722&gt;'难度参数'!$E$51,"仅出怪已超目标","还需实测")</x:f>
        <x:v>仅出怪已超目标</x:v>
      </x:c>
      <x:c r="X722" s="119" t="n">
        <x:f>IF(1&gt;D722,0,MAX(2,MIN('难度参数'!$E$12,ROUND(('难度参数'!$E$18*POWER(A722,'难度参数'!$E$19)/D722*(0.85+0.3*(1-1)/MAX(1,D722-1))),0)+F722)))</x:f>
        <x:v>40</x:v>
      </x:c>
      <x:c r="Y722" s="119" t="n">
        <x:f>IF(1&gt;D722,0,ROUND(('难度参数'!$E$13*POWER(A722,'难度参数'!$E$20)*MIN('难度参数'!$E$23,1+MAX(0,A722-'难度参数'!$E$21)*'难度参数'!$E$22))*(36+1*7)/(36+7*(D722+1)/2)*E722,0))</x:f>
        <x:v>10308</x:v>
      </x:c>
      <x:c r="Z722" s="119" t="n">
        <x:f>IF(X722=0,0,(X722-IF(1=D722,1,0))*ROUND(Y722*VLOOKUP(INDEX('章节与怪物'!$E$31:$K$37,B722,1),'章节与怪物'!$A$41:$F$44,2,FALSE),0)+IF(1=D722,ROUND(Y722*'难度参数'!$E$28*'章节与怪物'!$E$17,0),0))</x:f>
        <x:v>296880</x:v>
      </x:c>
      <x:c r="AA722" s="119" t="n">
        <x:f>IF(X722=0,0,(X722-IF(1=D722,1,0))*VLOOKUP(INDEX('章节与怪物'!$E$31:$K$37,B722,1),'章节与怪物'!$A$41:$F$44,4,FALSE)+IF(1=D722,'难度参数'!$E$30,0))</x:f>
        <x:v>800</x:v>
      </x:c>
      <x:c r="AB722" s="119" t="n">
        <x:f>IF(2&gt;D722,0,MAX(2,MIN('难度参数'!$E$12,ROUND(('难度参数'!$E$18*POWER(A722,'难度参数'!$E$19)/D722*(0.85+0.3*(2-1)/MAX(1,D722-1))),0)+F722)))</x:f>
        <x:v>42</x:v>
      </x:c>
      <x:c r="AC722" s="119" t="n">
        <x:f>IF(2&gt;D722,0,ROUND(('难度参数'!$E$13*POWER(A722,'难度参数'!$E$20)*MIN('难度参数'!$E$23,1+MAX(0,A722-'难度参数'!$E$21)*'难度参数'!$E$22))*(36+2*7)/(36+7*(D722+1)/2)*E722,0))</x:f>
        <x:v>11986</x:v>
      </x:c>
      <x:c r="AD722" s="119" t="n">
        <x:f>IF(AB722=0,0,(AB722-IF(2=D722,1,0))*ROUND(AC722*VLOOKUP(INDEX('章节与怪物'!$E$31:$K$37,B722,2),'章节与怪物'!$A$41:$F$44,2,FALSE),0)+IF(2=D722,ROUND(AC722*'难度参数'!$E$28*'章节与怪物'!$E$17,0),0))</x:f>
        <x:v>503412</x:v>
      </x:c>
      <x:c r="AE722" s="119" t="n">
        <x:f>IF(AB722=0,0,(AB722-IF(2=D722,1,0))*VLOOKUP(INDEX('章节与怪物'!$E$31:$K$37,B722,2),'章节与怪物'!$A$41:$F$44,4,FALSE)+IF(2=D722,'难度参数'!$E$30,0))</x:f>
        <x:v>756</x:v>
      </x:c>
      <x:c r="AF722" s="119" t="n">
        <x:f>IF(3&gt;D722,0,MAX(2,MIN('难度参数'!$E$12,ROUND(('难度参数'!$E$18*POWER(A722,'难度参数'!$E$19)/D722*(0.85+0.3*(3-1)/MAX(1,D722-1))),0)+F722)))</x:f>
        <x:v>45</x:v>
      </x:c>
      <x:c r="AG722" s="119" t="n">
        <x:f>IF(3&gt;D722,0,ROUND(('难度参数'!$E$13*POWER(A722,'难度参数'!$E$20)*MIN('难度参数'!$E$23,1+MAX(0,A722-'难度参数'!$E$21)*'难度参数'!$E$22))*(36+3*7)/(36+7*(D722+1)/2)*E722,0))</x:f>
        <x:v>13664</x:v>
      </x:c>
      <x:c r="AH722" s="119" t="n">
        <x:f>IF(AF722=0,0,(AF722-IF(3=D722,1,0))*ROUND(AG722*VLOOKUP(INDEX('章节与怪物'!$E$31:$K$37,B722,3),'章节与怪物'!$A$41:$F$44,2,FALSE),0)+IF(3=D722,ROUND(AG722*'难度参数'!$E$28*'章节与怪物'!$E$17,0),0))</x:f>
        <x:v>1045305</x:v>
      </x:c>
      <x:c r="AI722" s="119" t="n">
        <x:f>IF(AF722=0,0,(AF722-IF(3=D722,1,0))*VLOOKUP(INDEX('章节与怪物'!$E$31:$K$37,B722,3),'章节与怪物'!$A$41:$F$44,4,FALSE)+IF(3=D722,'难度参数'!$E$30,0))</x:f>
        <x:v>1260</x:v>
      </x:c>
      <x:c r="AJ722" s="119" t="n">
        <x:f>IF(4&gt;D722,0,MAX(2,MIN('难度参数'!$E$12,ROUND(('难度参数'!$E$18*POWER(A722,'难度参数'!$E$19)/D722*(0.85+0.3*(4-1)/MAX(1,D722-1))),0)+F722)))</x:f>
        <x:v>47</x:v>
      </x:c>
      <x:c r="AK722" s="119" t="n">
        <x:f>IF(4&gt;D722,0,ROUND(('难度参数'!$E$13*POWER(A722,'难度参数'!$E$20)*MIN('难度参数'!$E$23,1+MAX(0,A722-'难度参数'!$E$21)*'难度参数'!$E$22))*(36+4*7)/(36+7*(D722+1)/2)*E722,0))</x:f>
        <x:v>15342</x:v>
      </x:c>
      <x:c r="AL722" s="119" t="n">
        <x:f>IF(AJ722=0,0,(AJ722-IF(4=D722,1,0))*ROUND(AK722*VLOOKUP(INDEX('章节与怪物'!$E$31:$K$37,B722,4),'章节与怪物'!$A$41:$F$44,2,FALSE),0)+IF(4=D722,ROUND(AK722*'难度参数'!$E$28*'章节与怪物'!$E$17,0),0))</x:f>
        <x:v>973464</x:v>
      </x:c>
      <x:c r="AM722" s="119" t="n">
        <x:f>IF(AJ722=0,0,(AJ722-IF(4=D722,1,0))*VLOOKUP(INDEX('章节与怪物'!$E$31:$K$37,B722,4),'章节与怪物'!$A$41:$F$44,4,FALSE)+IF(4=D722,'难度参数'!$E$30,0))</x:f>
        <x:v>1598</x:v>
      </x:c>
      <x:c r="AN722" s="119" t="n">
        <x:f>IF(5&gt;D722,0,MAX(2,MIN('难度参数'!$E$12,ROUND(('难度参数'!$E$18*POWER(A722,'难度参数'!$E$19)/D722*(0.85+0.3*(5-1)/MAX(1,D722-1))),0)+F722)))</x:f>
        <x:v>49</x:v>
      </x:c>
      <x:c r="AO722" s="119" t="n">
        <x:f>IF(5&gt;D722,0,ROUND(('难度参数'!$E$13*POWER(A722,'难度参数'!$E$20)*MIN('难度参数'!$E$23,1+MAX(0,A722-'难度参数'!$E$21)*'难度参数'!$E$22))*(36+5*7)/(36+7*(D722+1)/2)*E722,0))</x:f>
        <x:v>17020</x:v>
      </x:c>
      <x:c r="AP722" s="119" t="n">
        <x:f>IF(AN722=0,0,(AN722-IF(5=D722,1,0))*ROUND(AO722*VLOOKUP(INDEX('章节与怪物'!$E$31:$K$37,B722,5),'章节与怪物'!$A$41:$F$44,2,FALSE),0)+IF(5=D722,ROUND(AO722*'难度参数'!$E$28*'章节与怪物'!$E$17,0),0))</x:f>
        <x:v>833980</x:v>
      </x:c>
      <x:c r="AQ722" s="119" t="n">
        <x:f>IF(AN722=0,0,(AN722-IF(5=D722,1,0))*VLOOKUP(INDEX('章节与怪物'!$E$31:$K$37,B722,5),'章节与怪物'!$A$41:$F$44,4,FALSE)+IF(5=D722,'难度参数'!$E$30,0))</x:f>
        <x:v>882</x:v>
      </x:c>
      <x:c r="AR722" s="119" t="n">
        <x:f>IF(6&gt;D722,0,MAX(2,MIN('难度参数'!$E$12,ROUND(('难度参数'!$E$18*POWER(A722,'难度参数'!$E$19)/D722*(0.85+0.3*(6-1)/MAX(1,D722-1))),0)+F722)))</x:f>
        <x:v>52</x:v>
      </x:c>
      <x:c r="AS722" s="119" t="n">
        <x:f>IF(6&gt;D722,0,ROUND(('难度参数'!$E$13*POWER(A722,'难度参数'!$E$20)*MIN('难度参数'!$E$23,1+MAX(0,A722-'难度参数'!$E$21)*'难度参数'!$E$22))*(36+6*7)/(36+7*(D722+1)/2)*E722,0))</x:f>
        <x:v>18698</x:v>
      </x:c>
      <x:c r="AT722" s="119" t="n">
        <x:f>IF(AR722=0,0,(AR722-IF(6=D722,1,0))*ROUND(AS722*VLOOKUP(INDEX('章节与怪物'!$E$31:$K$37,B722,6),'章节与怪物'!$A$41:$F$44,2,FALSE),0)+IF(6=D722,ROUND(AS722*'难度参数'!$E$28*'章节与怪物'!$E$17,0),0))</x:f>
        <x:v>700076</x:v>
      </x:c>
      <x:c r="AU722" s="119" t="n">
        <x:f>IF(AR722=0,0,(AR722-IF(6=D722,1,0))*VLOOKUP(INDEX('章节与怪物'!$E$31:$K$37,B722,6),'章节与怪物'!$A$41:$F$44,4,FALSE)+IF(6=D722,'难度参数'!$E$30,0))</x:f>
        <x:v>1040</x:v>
      </x:c>
      <x:c r="AV722" s="119" t="n">
        <x:f>IF(7&gt;D722,0,MAX(2,MIN('难度参数'!$E$12,ROUND(('难度参数'!$E$18*POWER(A722,'难度参数'!$E$19)/D722*(0.85+0.3*(7-1)/MAX(1,D722-1))),0)+F722)))</x:f>
        <x:v>54</x:v>
      </x:c>
      <x:c r="AW722" s="119" t="n">
        <x:f>IF(7&gt;D722,0,ROUND(('难度参数'!$E$13*POWER(A722,'难度参数'!$E$20)*MIN('难度参数'!$E$23,1+MAX(0,A722-'难度参数'!$E$21)*'难度参数'!$E$22))*(36+7*7)/(36+7*(D722+1)/2)*E722,0))</x:f>
        <x:v>20376</x:v>
      </x:c>
      <x:c r="AX722" s="119" t="n">
        <x:f>IF(AV722=0,0,(AV722-IF(7=D722,1,0))*ROUND(AW722*VLOOKUP(INDEX('章节与怪物'!$E$31:$K$37,B722,7),'章节与怪物'!$A$41:$F$44,2,FALSE),0)+IF(7=D722,ROUND(AW722*'难度参数'!$E$28*'章节与怪物'!$E$17,0),0))</x:f>
        <x:v>1596481</x:v>
      </x:c>
      <x:c r="AY722" s="119" t="n">
        <x:f>IF(AV722=0,0,(AV722-IF(7=D722,1,0))*VLOOKUP(INDEX('章节与怪物'!$E$31:$K$37,B722,7),'章节与怪物'!$A$41:$F$44,4,FALSE)+IF(7=D722,'难度参数'!$E$30,0))</x:f>
        <x:v>2002</x:v>
      </x:c>
    </x:row>
    <x:row r="723" ht="23" customHeight="1">
      <x:c r="A723" s="119" t="n">
        <x:v>717</x:v>
      </x:c>
      <x:c r="B723" s="119" t="n">
        <x:f>MOD(INT((A723-1)/5),7)+1</x:f>
        <x:v>4</x:v>
      </x:c>
      <x:c r="C723" s="62" t="str">
        <x:f>INDEX('章节与怪物'!$B$31:$B$37,B723)</x:f>
        <x:v>翠野边城</x:v>
      </x:c>
      <x:c r="D723" s="119" t="n">
        <x:f>MIN('难度参数'!$E$8,MAX('难度参数'!$E$7,A723))</x:f>
        <x:v>7</x:v>
      </x:c>
      <x:c r="E723" s="106" t="n">
        <x:v>1</x:v>
      </x:c>
      <x:c r="F723" s="106" t="n">
        <x:v>0</x:v>
      </x:c>
      <x:c r="G723" s="106" t="n">
        <x:v>1</x:v>
      </x:c>
      <x:c r="H723" s="119" t="n">
        <x:f>SUM(X723,AB723,AF723,AJ723,AN723,AR723,AV723)</x:f>
        <x:v>329</x:v>
      </x:c>
      <x:c r="I723" s="119" t="n">
        <x:f>SUM(Z723,AD723,AH723,AL723,AP723,AT723,AX723)</x:f>
        <x:v>5955388</x:v>
      </x:c>
      <x:c r="J723" s="119" t="n">
        <x:f>ROUND(INDEX(X723:AY723,1,(D723-1)*4+2)*'难度参数'!$E$28*'章节与怪物'!$E$17,0)</x:f>
        <x:v>138693</x:v>
      </x:c>
      <x:c r="K723" s="119" t="n">
        <x:f>SUM(AA723,AE723,AI723,AM723,AQ723,AU723,AY723)</x:f>
        <x:v>8338</x:v>
      </x:c>
      <x:c r="L723" s="62" t="n">
        <x:f>H723*(ROUNDUP('难度参数'!$E$24/('难度参数'!$E$26*'难度参数'!$E$27),0)*'难度参数'!$E$26)/60</x:f>
        <x:v>4.386666666666667</x:v>
      </x:c>
      <x:c r="M723" s="62" t="n">
        <x:f>L723+D723*('难度参数'!$E$49+'难度参数'!$E$50)/60</x:f>
        <x:v>5.553333333333334</x:v>
      </x:c>
      <x:c r="N723" s="119" t="n">
        <x:f>ROUNDDOWN(('经济参数'!$E$20+A723*'经济参数'!$E$21)*G723,0)</x:f>
        <x:v>14520</x:v>
      </x:c>
      <x:c r="O723" s="119" t="n">
        <x:f>ROUNDDOWN(MIN('经济参数'!$E$24,'经济参数'!$E$22+A723*'经济参数'!$E$23)*G723,0)</x:f>
        <x:v>0</x:v>
      </x:c>
      <x:c r="P723" s="119" t="n">
        <x:f>ROUNDDOWN((IF(A723&gt;='材料与任务'!$E$31,'材料与任务'!$E$32,IF(A723&gt;='材料与任务'!$E$25,'材料与任务'!$E$26,IF(A723&gt;='材料与任务'!$E$19,'材料与任务'!$E$20,IF(A723&gt;='材料与任务'!$E$13,'材料与任务'!$E$14,'材料与任务'!$E$8)))))*G723,0)</x:f>
        <x:v>6</x:v>
      </x:c>
      <x:c r="Q723" s="119" t="n">
        <x:f>ROUNDDOWN((IF(A723&gt;='材料与任务'!$E$31,'材料与任务'!$E$33,IF(A723&gt;='材料与任务'!$E$25,'材料与任务'!$E$27,IF(A723&gt;='材料与任务'!$E$19,'材料与任务'!$E$21,IF(A723&gt;='材料与任务'!$E$13,'材料与任务'!$E$15,'材料与任务'!$E$9)))))*G723,0)</x:f>
        <x:v>3</x:v>
      </x:c>
      <x:c r="R723" s="110" t="n">
        <x:f>'装备掉落'!$B$38</x:f>
        <x:v>0.6872058758851213</x:v>
      </x:c>
      <x:c r="S723" s="119" t="n">
        <x:f>MAX(IF(VLOOKUP(A723,'装备掉落'!$A$29:$H$34,2,TRUE)&gt;0,1,0),IF(VLOOKUP(A723,'装备掉落'!$A$29:$H$34,3,TRUE)&gt;0,2,0),IF(VLOOKUP(A723,'装备掉落'!$A$29:$H$34,4,TRUE)&gt;0,3,0),IF(VLOOKUP(A723,'装备掉落'!$A$29:$H$34,5,TRUE)&gt;0,4,0),IF(VLOOKUP(A723,'装备掉落'!$A$29:$H$34,6,TRUE)&gt;0,5,0),IF(VLOOKUP(A723,'装备掉落'!$A$29:$H$34,7,TRUE)&gt;0,6,0),IF(VLOOKUP(A723,'装备掉落'!$A$29:$H$34,8,TRUE)&gt;0,7,0))</x:f>
        <x:v>7</x:v>
      </x:c>
      <x:c r="T723" s="119" t="n">
        <x:f>MIN(7,S723+'经济参数'!$E$70)</x:f>
        <x:v>7</x:v>
      </x:c>
      <x:c r="U723" s="119" t="n">
        <x:f>MIN(7,S723+'经济参数'!$E$71)</x:f>
        <x:v>7</x:v>
      </x:c>
      <x:c r="V723" s="119" t="n">
        <x:f>IF(H723&gt;=('难度参数'!$E$52),1,0)+IF(H723&gt;=('难度参数'!$E$52+'难度参数'!$E$53),1,0)+IF(H723&gt;=('难度参数'!$E$52+'难度参数'!$E$53+'难度参数'!$E$54),1,0)+IF(H723&gt;=('难度参数'!$E$52+'难度参数'!$E$53+'难度参数'!$E$54+'难度参数'!$E$55),1,0)+IF(H723&gt;=('难度参数'!$E$52+'难度参数'!$E$53+'难度参数'!$E$54+'难度参数'!$E$55+'难度参数'!$E$56),1,0)+IF(H723&gt;=('难度参数'!$E$52+'难度参数'!$E$53+'难度参数'!$E$54+'难度参数'!$E$55+'难度参数'!$E$56+'难度参数'!$E$57),1,0)</x:f>
        <x:v>6</x:v>
      </x:c>
      <x:c r="W723" s="62" t="str">
        <x:f>IF(L723&gt;'难度参数'!$E$51,"仅出怪已超目标","还需实测")</x:f>
        <x:v>仅出怪已超目标</x:v>
      </x:c>
      <x:c r="X723" s="119" t="n">
        <x:f>IF(1&gt;D723,0,MAX(2,MIN('难度参数'!$E$12,ROUND(('难度参数'!$E$18*POWER(A723,'难度参数'!$E$19)/D723*(0.85+0.3*(1-1)/MAX(1,D723-1))),0)+F723)))</x:f>
        <x:v>40</x:v>
      </x:c>
      <x:c r="Y723" s="119" t="n">
        <x:f>IF(1&gt;D723,0,ROUND(('难度参数'!$E$13*POWER(A723,'难度参数'!$E$20)*MIN('难度参数'!$E$23,1+MAX(0,A723-'难度参数'!$E$21)*'难度参数'!$E$22))*(36+1*7)/(36+7*(D723+1)/2)*E723,0))</x:f>
        <x:v>10318</x:v>
      </x:c>
      <x:c r="Z723" s="119" t="n">
        <x:f>IF(X723=0,0,(X723-IF(1=D723,1,0))*ROUND(Y723*VLOOKUP(INDEX('章节与怪物'!$E$31:$K$37,B723,1),'章节与怪物'!$A$41:$F$44,2,FALSE),0)+IF(1=D723,ROUND(Y723*'难度参数'!$E$28*'章节与怪物'!$E$17,0),0))</x:f>
        <x:v>297160</x:v>
      </x:c>
      <x:c r="AA723" s="119" t="n">
        <x:f>IF(X723=0,0,(X723-IF(1=D723,1,0))*VLOOKUP(INDEX('章节与怪物'!$E$31:$K$37,B723,1),'章节与怪物'!$A$41:$F$44,4,FALSE)+IF(1=D723,'难度参数'!$E$30,0))</x:f>
        <x:v>800</x:v>
      </x:c>
      <x:c r="AB723" s="119" t="n">
        <x:f>IF(2&gt;D723,0,MAX(2,MIN('难度参数'!$E$12,ROUND(('难度参数'!$E$18*POWER(A723,'难度参数'!$E$19)/D723*(0.85+0.3*(2-1)/MAX(1,D723-1))),0)+F723)))</x:f>
        <x:v>42</x:v>
      </x:c>
      <x:c r="AC723" s="119" t="n">
        <x:f>IF(2&gt;D723,0,ROUND(('难度参数'!$E$13*POWER(A723,'难度参数'!$E$20)*MIN('难度参数'!$E$23,1+MAX(0,A723-'难度参数'!$E$21)*'难度参数'!$E$22))*(36+2*7)/(36+7*(D723+1)/2)*E723,0))</x:f>
        <x:v>11998</x:v>
      </x:c>
      <x:c r="AD723" s="119" t="n">
        <x:f>IF(AB723=0,0,(AB723-IF(2=D723,1,0))*ROUND(AC723*VLOOKUP(INDEX('章节与怪物'!$E$31:$K$37,B723,2),'章节与怪物'!$A$41:$F$44,2,FALSE),0)+IF(2=D723,ROUND(AC723*'难度参数'!$E$28*'章节与怪物'!$E$17,0),0))</x:f>
        <x:v>503916</x:v>
      </x:c>
      <x:c r="AE723" s="119" t="n">
        <x:f>IF(AB723=0,0,(AB723-IF(2=D723,1,0))*VLOOKUP(INDEX('章节与怪物'!$E$31:$K$37,B723,2),'章节与怪物'!$A$41:$F$44,4,FALSE)+IF(2=D723,'难度参数'!$E$30,0))</x:f>
        <x:v>756</x:v>
      </x:c>
      <x:c r="AF723" s="119" t="n">
        <x:f>IF(3&gt;D723,0,MAX(2,MIN('难度参数'!$E$12,ROUND(('难度参数'!$E$18*POWER(A723,'难度参数'!$E$19)/D723*(0.85+0.3*(3-1)/MAX(1,D723-1))),0)+F723)))</x:f>
        <x:v>45</x:v>
      </x:c>
      <x:c r="AG723" s="119" t="n">
        <x:f>IF(3&gt;D723,0,ROUND(('难度参数'!$E$13*POWER(A723,'难度参数'!$E$20)*MIN('难度参数'!$E$23,1+MAX(0,A723-'难度参数'!$E$21)*'难度参数'!$E$22))*(36+3*7)/(36+7*(D723+1)/2)*E723,0))</x:f>
        <x:v>13677</x:v>
      </x:c>
      <x:c r="AH723" s="119" t="n">
        <x:f>IF(AF723=0,0,(AF723-IF(3=D723,1,0))*ROUND(AG723*VLOOKUP(INDEX('章节与怪物'!$E$31:$K$37,B723,3),'章节与怪物'!$A$41:$F$44,2,FALSE),0)+IF(3=D723,ROUND(AG723*'难度参数'!$E$28*'章节与怪物'!$E$17,0),0))</x:f>
        <x:v>1046295</x:v>
      </x:c>
      <x:c r="AI723" s="119" t="n">
        <x:f>IF(AF723=0,0,(AF723-IF(3=D723,1,0))*VLOOKUP(INDEX('章节与怪物'!$E$31:$K$37,B723,3),'章节与怪物'!$A$41:$F$44,4,FALSE)+IF(3=D723,'难度参数'!$E$30,0))</x:f>
        <x:v>1260</x:v>
      </x:c>
      <x:c r="AJ723" s="119" t="n">
        <x:f>IF(4&gt;D723,0,MAX(2,MIN('难度参数'!$E$12,ROUND(('难度参数'!$E$18*POWER(A723,'难度参数'!$E$19)/D723*(0.85+0.3*(4-1)/MAX(1,D723-1))),0)+F723)))</x:f>
        <x:v>47</x:v>
      </x:c>
      <x:c r="AK723" s="119" t="n">
        <x:f>IF(4&gt;D723,0,ROUND(('难度参数'!$E$13*POWER(A723,'难度参数'!$E$20)*MIN('难度参数'!$E$23,1+MAX(0,A723-'难度参数'!$E$21)*'难度参数'!$E$22))*(36+4*7)/(36+7*(D723+1)/2)*E723,0))</x:f>
        <x:v>15357</x:v>
      </x:c>
      <x:c r="AL723" s="119" t="n">
        <x:f>IF(AJ723=0,0,(AJ723-IF(4=D723,1,0))*ROUND(AK723*VLOOKUP(INDEX('章节与怪物'!$E$31:$K$37,B723,4),'章节与怪物'!$A$41:$F$44,2,FALSE),0)+IF(4=D723,ROUND(AK723*'难度参数'!$E$28*'章节与怪物'!$E$17,0),0))</x:f>
        <x:v>974404</x:v>
      </x:c>
      <x:c r="AM723" s="119" t="n">
        <x:f>IF(AJ723=0,0,(AJ723-IF(4=D723,1,0))*VLOOKUP(INDEX('章节与怪物'!$E$31:$K$37,B723,4),'章节与怪物'!$A$41:$F$44,4,FALSE)+IF(4=D723,'难度参数'!$E$30,0))</x:f>
        <x:v>1598</x:v>
      </x:c>
      <x:c r="AN723" s="119" t="n">
        <x:f>IF(5&gt;D723,0,MAX(2,MIN('难度参数'!$E$12,ROUND(('难度参数'!$E$18*POWER(A723,'难度参数'!$E$19)/D723*(0.85+0.3*(5-1)/MAX(1,D723-1))),0)+F723)))</x:f>
        <x:v>49</x:v>
      </x:c>
      <x:c r="AO723" s="119" t="n">
        <x:f>IF(5&gt;D723,0,ROUND(('难度参数'!$E$13*POWER(A723,'难度参数'!$E$20)*MIN('难度参数'!$E$23,1+MAX(0,A723-'难度参数'!$E$21)*'难度参数'!$E$22))*(36+5*7)/(36+7*(D723+1)/2)*E723,0))</x:f>
        <x:v>17037</x:v>
      </x:c>
      <x:c r="AP723" s="119" t="n">
        <x:f>IF(AN723=0,0,(AN723-IF(5=D723,1,0))*ROUND(AO723*VLOOKUP(INDEX('章节与怪物'!$E$31:$K$37,B723,5),'章节与怪物'!$A$41:$F$44,2,FALSE),0)+IF(5=D723,ROUND(AO723*'难度参数'!$E$28*'章节与怪物'!$E$17,0),0))</x:f>
        <x:v>834813</x:v>
      </x:c>
      <x:c r="AQ723" s="119" t="n">
        <x:f>IF(AN723=0,0,(AN723-IF(5=D723,1,0))*VLOOKUP(INDEX('章节与怪物'!$E$31:$K$37,B723,5),'章节与怪物'!$A$41:$F$44,4,FALSE)+IF(5=D723,'难度参数'!$E$30,0))</x:f>
        <x:v>882</x:v>
      </x:c>
      <x:c r="AR723" s="119" t="n">
        <x:f>IF(6&gt;D723,0,MAX(2,MIN('难度参数'!$E$12,ROUND(('难度参数'!$E$18*POWER(A723,'难度参数'!$E$19)/D723*(0.85+0.3*(6-1)/MAX(1,D723-1))),0)+F723)))</x:f>
        <x:v>52</x:v>
      </x:c>
      <x:c r="AS723" s="119" t="n">
        <x:f>IF(6&gt;D723,0,ROUND(('难度参数'!$E$13*POWER(A723,'难度参数'!$E$20)*MIN('难度参数'!$E$23,1+MAX(0,A723-'难度参数'!$E$21)*'难度参数'!$E$22))*(36+6*7)/(36+7*(D723+1)/2)*E723,0))</x:f>
        <x:v>18716</x:v>
      </x:c>
      <x:c r="AT723" s="119" t="n">
        <x:f>IF(AR723=0,0,(AR723-IF(6=D723,1,0))*ROUND(AS723*VLOOKUP(INDEX('章节与怪物'!$E$31:$K$37,B723,6),'章节与怪物'!$A$41:$F$44,2,FALSE),0)+IF(6=D723,ROUND(AS723*'难度参数'!$E$28*'章节与怪物'!$E$17,0),0))</x:f>
        <x:v>700752</x:v>
      </x:c>
      <x:c r="AU723" s="119" t="n">
        <x:f>IF(AR723=0,0,(AR723-IF(6=D723,1,0))*VLOOKUP(INDEX('章节与怪物'!$E$31:$K$37,B723,6),'章节与怪物'!$A$41:$F$44,4,FALSE)+IF(6=D723,'难度参数'!$E$30,0))</x:f>
        <x:v>1040</x:v>
      </x:c>
      <x:c r="AV723" s="119" t="n">
        <x:f>IF(7&gt;D723,0,MAX(2,MIN('难度参数'!$E$12,ROUND(('难度参数'!$E$18*POWER(A723,'难度参数'!$E$19)/D723*(0.85+0.3*(7-1)/MAX(1,D723-1))),0)+F723)))</x:f>
        <x:v>54</x:v>
      </x:c>
      <x:c r="AW723" s="119" t="n">
        <x:f>IF(7&gt;D723,0,ROUND(('难度参数'!$E$13*POWER(A723,'难度参数'!$E$20)*MIN('难度参数'!$E$23,1+MAX(0,A723-'难度参数'!$E$21)*'难度参数'!$E$22))*(36+7*7)/(36+7*(D723+1)/2)*E723,0))</x:f>
        <x:v>20396</x:v>
      </x:c>
      <x:c r="AX723" s="119" t="n">
        <x:f>IF(AV723=0,0,(AV723-IF(7=D723,1,0))*ROUND(AW723*VLOOKUP(INDEX('章节与怪物'!$E$31:$K$37,B723,7),'章节与怪物'!$A$41:$F$44,2,FALSE),0)+IF(7=D723,ROUND(AW723*'难度参数'!$E$28*'章节与怪物'!$E$17,0),0))</x:f>
        <x:v>1598048</x:v>
      </x:c>
      <x:c r="AY723" s="119" t="n">
        <x:f>IF(AV723=0,0,(AV723-IF(7=D723,1,0))*VLOOKUP(INDEX('章节与怪物'!$E$31:$K$37,B723,7),'章节与怪物'!$A$41:$F$44,4,FALSE)+IF(7=D723,'难度参数'!$E$30,0))</x:f>
        <x:v>2002</x:v>
      </x:c>
    </x:row>
    <x:row r="724" ht="23" customHeight="1">
      <x:c r="A724" s="119" t="n">
        <x:v>718</x:v>
      </x:c>
      <x:c r="B724" s="119" t="n">
        <x:f>MOD(INT((A724-1)/5),7)+1</x:f>
        <x:v>4</x:v>
      </x:c>
      <x:c r="C724" s="62" t="str">
        <x:f>INDEX('章节与怪物'!$B$31:$B$37,B724)</x:f>
        <x:v>翠野边城</x:v>
      </x:c>
      <x:c r="D724" s="119" t="n">
        <x:f>MIN('难度参数'!$E$8,MAX('难度参数'!$E$7,A724))</x:f>
        <x:v>7</x:v>
      </x:c>
      <x:c r="E724" s="106" t="n">
        <x:v>1</x:v>
      </x:c>
      <x:c r="F724" s="106" t="n">
        <x:v>0</x:v>
      </x:c>
      <x:c r="G724" s="106" t="n">
        <x:v>1</x:v>
      </x:c>
      <x:c r="H724" s="119" t="n">
        <x:f>SUM(X724,AB724,AF724,AJ724,AN724,AR724,AV724)</x:f>
        <x:v>329</x:v>
      </x:c>
      <x:c r="I724" s="119" t="n">
        <x:f>SUM(Z724,AD724,AH724,AL724,AP724,AT724,AX724)</x:f>
        <x:v>5961328</x:v>
      </x:c>
      <x:c r="J724" s="119" t="n">
        <x:f>ROUND(INDEX(X724:AY724,1,(D724-1)*4+2)*'难度参数'!$E$28*'章节与怪物'!$E$17,0)</x:f>
        <x:v>138836</x:v>
      </x:c>
      <x:c r="K724" s="119" t="n">
        <x:f>SUM(AA724,AE724,AI724,AM724,AQ724,AU724,AY724)</x:f>
        <x:v>8338</x:v>
      </x:c>
      <x:c r="L724" s="62" t="n">
        <x:f>H724*(ROUNDUP('难度参数'!$E$24/('难度参数'!$E$26*'难度参数'!$E$27),0)*'难度参数'!$E$26)/60</x:f>
        <x:v>4.386666666666667</x:v>
      </x:c>
      <x:c r="M724" s="62" t="n">
        <x:f>L724+D724*('难度参数'!$E$49+'难度参数'!$E$50)/60</x:f>
        <x:v>5.553333333333334</x:v>
      </x:c>
      <x:c r="N724" s="119" t="n">
        <x:f>ROUNDDOWN(('经济参数'!$E$20+A724*'经济参数'!$E$21)*G724,0)</x:f>
        <x:v>14540</x:v>
      </x:c>
      <x:c r="O724" s="119" t="n">
        <x:f>ROUNDDOWN(MIN('经济参数'!$E$24,'经济参数'!$E$22+A724*'经济参数'!$E$23)*G724,0)</x:f>
        <x:v>0</x:v>
      </x:c>
      <x:c r="P724" s="119" t="n">
        <x:f>ROUNDDOWN((IF(A724&gt;='材料与任务'!$E$31,'材料与任务'!$E$32,IF(A724&gt;='材料与任务'!$E$25,'材料与任务'!$E$26,IF(A724&gt;='材料与任务'!$E$19,'材料与任务'!$E$20,IF(A724&gt;='材料与任务'!$E$13,'材料与任务'!$E$14,'材料与任务'!$E$8)))))*G724,0)</x:f>
        <x:v>6</x:v>
      </x:c>
      <x:c r="Q724" s="119" t="n">
        <x:f>ROUNDDOWN((IF(A724&gt;='材料与任务'!$E$31,'材料与任务'!$E$33,IF(A724&gt;='材料与任务'!$E$25,'材料与任务'!$E$27,IF(A724&gt;='材料与任务'!$E$19,'材料与任务'!$E$21,IF(A724&gt;='材料与任务'!$E$13,'材料与任务'!$E$15,'材料与任务'!$E$9)))))*G724,0)</x:f>
        <x:v>3</x:v>
      </x:c>
      <x:c r="R724" s="110" t="n">
        <x:f>'装备掉落'!$B$38</x:f>
        <x:v>0.6872058758851213</x:v>
      </x:c>
      <x:c r="S724" s="119" t="n">
        <x:f>MAX(IF(VLOOKUP(A724,'装备掉落'!$A$29:$H$34,2,TRUE)&gt;0,1,0),IF(VLOOKUP(A724,'装备掉落'!$A$29:$H$34,3,TRUE)&gt;0,2,0),IF(VLOOKUP(A724,'装备掉落'!$A$29:$H$34,4,TRUE)&gt;0,3,0),IF(VLOOKUP(A724,'装备掉落'!$A$29:$H$34,5,TRUE)&gt;0,4,0),IF(VLOOKUP(A724,'装备掉落'!$A$29:$H$34,6,TRUE)&gt;0,5,0),IF(VLOOKUP(A724,'装备掉落'!$A$29:$H$34,7,TRUE)&gt;0,6,0),IF(VLOOKUP(A724,'装备掉落'!$A$29:$H$34,8,TRUE)&gt;0,7,0))</x:f>
        <x:v>7</x:v>
      </x:c>
      <x:c r="T724" s="119" t="n">
        <x:f>MIN(7,S724+'经济参数'!$E$70)</x:f>
        <x:v>7</x:v>
      </x:c>
      <x:c r="U724" s="119" t="n">
        <x:f>MIN(7,S724+'经济参数'!$E$71)</x:f>
        <x:v>7</x:v>
      </x:c>
      <x:c r="V724" s="119" t="n">
        <x:f>IF(H724&gt;=('难度参数'!$E$52),1,0)+IF(H724&gt;=('难度参数'!$E$52+'难度参数'!$E$53),1,0)+IF(H724&gt;=('难度参数'!$E$52+'难度参数'!$E$53+'难度参数'!$E$54),1,0)+IF(H724&gt;=('难度参数'!$E$52+'难度参数'!$E$53+'难度参数'!$E$54+'难度参数'!$E$55),1,0)+IF(H724&gt;=('难度参数'!$E$52+'难度参数'!$E$53+'难度参数'!$E$54+'难度参数'!$E$55+'难度参数'!$E$56),1,0)+IF(H724&gt;=('难度参数'!$E$52+'难度参数'!$E$53+'难度参数'!$E$54+'难度参数'!$E$55+'难度参数'!$E$56+'难度参数'!$E$57),1,0)</x:f>
        <x:v>6</x:v>
      </x:c>
      <x:c r="W724" s="62" t="str">
        <x:f>IF(L724&gt;'难度参数'!$E$51,"仅出怪已超目标","还需实测")</x:f>
        <x:v>仅出怪已超目标</x:v>
      </x:c>
      <x:c r="X724" s="119" t="n">
        <x:f>IF(1&gt;D724,0,MAX(2,MIN('难度参数'!$E$12,ROUND(('难度参数'!$E$18*POWER(A724,'难度参数'!$E$19)/D724*(0.85+0.3*(1-1)/MAX(1,D724-1))),0)+F724)))</x:f>
        <x:v>40</x:v>
      </x:c>
      <x:c r="Y724" s="119" t="n">
        <x:f>IF(1&gt;D724,0,ROUND(('难度参数'!$E$13*POWER(A724,'难度参数'!$E$20)*MIN('难度参数'!$E$23,1+MAX(0,A724-'难度参数'!$E$21)*'难度参数'!$E$22))*(36+1*7)/(36+7*(D724+1)/2)*E724,0))</x:f>
        <x:v>10328</x:v>
      </x:c>
      <x:c r="Z724" s="119" t="n">
        <x:f>IF(X724=0,0,(X724-IF(1=D724,1,0))*ROUND(Y724*VLOOKUP(INDEX('章节与怪物'!$E$31:$K$37,B724,1),'章节与怪物'!$A$41:$F$44,2,FALSE),0)+IF(1=D724,ROUND(Y724*'难度参数'!$E$28*'章节与怪物'!$E$17,0),0))</x:f>
        <x:v>297440</x:v>
      </x:c>
      <x:c r="AA724" s="119" t="n">
        <x:f>IF(X724=0,0,(X724-IF(1=D724,1,0))*VLOOKUP(INDEX('章节与怪物'!$E$31:$K$37,B724,1),'章节与怪物'!$A$41:$F$44,4,FALSE)+IF(1=D724,'难度参数'!$E$30,0))</x:f>
        <x:v>800</x:v>
      </x:c>
      <x:c r="AB724" s="119" t="n">
        <x:f>IF(2&gt;D724,0,MAX(2,MIN('难度参数'!$E$12,ROUND(('难度参数'!$E$18*POWER(A724,'难度参数'!$E$19)/D724*(0.85+0.3*(2-1)/MAX(1,D724-1))),0)+F724)))</x:f>
        <x:v>42</x:v>
      </x:c>
      <x:c r="AC724" s="119" t="n">
        <x:f>IF(2&gt;D724,0,ROUND(('难度参数'!$E$13*POWER(A724,'难度参数'!$E$20)*MIN('难度参数'!$E$23,1+MAX(0,A724-'难度参数'!$E$21)*'难度参数'!$E$22))*(36+2*7)/(36+7*(D724+1)/2)*E724,0))</x:f>
        <x:v>12010</x:v>
      </x:c>
      <x:c r="AD724" s="119" t="n">
        <x:f>IF(AB724=0,0,(AB724-IF(2=D724,1,0))*ROUND(AC724*VLOOKUP(INDEX('章节与怪物'!$E$31:$K$37,B724,2),'章节与怪物'!$A$41:$F$44,2,FALSE),0)+IF(2=D724,ROUND(AC724*'难度参数'!$E$28*'章节与怪物'!$E$17,0),0))</x:f>
        <x:v>504420</x:v>
      </x:c>
      <x:c r="AE724" s="119" t="n">
        <x:f>IF(AB724=0,0,(AB724-IF(2=D724,1,0))*VLOOKUP(INDEX('章节与怪物'!$E$31:$K$37,B724,2),'章节与怪物'!$A$41:$F$44,4,FALSE)+IF(2=D724,'难度参数'!$E$30,0))</x:f>
        <x:v>756</x:v>
      </x:c>
      <x:c r="AF724" s="119" t="n">
        <x:f>IF(3&gt;D724,0,MAX(2,MIN('难度参数'!$E$12,ROUND(('难度参数'!$E$18*POWER(A724,'难度参数'!$E$19)/D724*(0.85+0.3*(3-1)/MAX(1,D724-1))),0)+F724)))</x:f>
        <x:v>45</x:v>
      </x:c>
      <x:c r="AG724" s="119" t="n">
        <x:f>IF(3&gt;D724,0,ROUND(('难度参数'!$E$13*POWER(A724,'难度参数'!$E$20)*MIN('难度参数'!$E$23,1+MAX(0,A724-'难度参数'!$E$21)*'难度参数'!$E$22))*(36+3*7)/(36+7*(D724+1)/2)*E724,0))</x:f>
        <x:v>13691</x:v>
      </x:c>
      <x:c r="AH724" s="119" t="n">
        <x:f>IF(AF724=0,0,(AF724-IF(3=D724,1,0))*ROUND(AG724*VLOOKUP(INDEX('章节与怪物'!$E$31:$K$37,B724,3),'章节与怪物'!$A$41:$F$44,2,FALSE),0)+IF(3=D724,ROUND(AG724*'难度参数'!$E$28*'章节与怪物'!$E$17,0),0))</x:f>
        <x:v>1047375</x:v>
      </x:c>
      <x:c r="AI724" s="119" t="n">
        <x:f>IF(AF724=0,0,(AF724-IF(3=D724,1,0))*VLOOKUP(INDEX('章节与怪物'!$E$31:$K$37,B724,3),'章节与怪物'!$A$41:$F$44,4,FALSE)+IF(3=D724,'难度参数'!$E$30,0))</x:f>
        <x:v>1260</x:v>
      </x:c>
      <x:c r="AJ724" s="119" t="n">
        <x:f>IF(4&gt;D724,0,MAX(2,MIN('难度参数'!$E$12,ROUND(('难度参数'!$E$18*POWER(A724,'难度参数'!$E$19)/D724*(0.85+0.3*(4-1)/MAX(1,D724-1))),0)+F724)))</x:f>
        <x:v>47</x:v>
      </x:c>
      <x:c r="AK724" s="119" t="n">
        <x:f>IF(4&gt;D724,0,ROUND(('难度参数'!$E$13*POWER(A724,'难度参数'!$E$20)*MIN('难度参数'!$E$23,1+MAX(0,A724-'难度参数'!$E$21)*'难度参数'!$E$22))*(36+4*7)/(36+7*(D724+1)/2)*E724,0))</x:f>
        <x:v>15372</x:v>
      </x:c>
      <x:c r="AL724" s="119" t="n">
        <x:f>IF(AJ724=0,0,(AJ724-IF(4=D724,1,0))*ROUND(AK724*VLOOKUP(INDEX('章节与怪物'!$E$31:$K$37,B724,4),'章节与怪物'!$A$41:$F$44,2,FALSE),0)+IF(4=D724,ROUND(AK724*'难度参数'!$E$28*'章节与怪物'!$E$17,0),0))</x:f>
        <x:v>975344</x:v>
      </x:c>
      <x:c r="AM724" s="119" t="n">
        <x:f>IF(AJ724=0,0,(AJ724-IF(4=D724,1,0))*VLOOKUP(INDEX('章节与怪物'!$E$31:$K$37,B724,4),'章节与怪物'!$A$41:$F$44,4,FALSE)+IF(4=D724,'难度参数'!$E$30,0))</x:f>
        <x:v>1598</x:v>
      </x:c>
      <x:c r="AN724" s="119" t="n">
        <x:f>IF(5&gt;D724,0,MAX(2,MIN('难度参数'!$E$12,ROUND(('难度参数'!$E$18*POWER(A724,'难度参数'!$E$19)/D724*(0.85+0.3*(5-1)/MAX(1,D724-1))),0)+F724)))</x:f>
        <x:v>49</x:v>
      </x:c>
      <x:c r="AO724" s="119" t="n">
        <x:f>IF(5&gt;D724,0,ROUND(('难度参数'!$E$13*POWER(A724,'难度参数'!$E$20)*MIN('难度参数'!$E$23,1+MAX(0,A724-'难度参数'!$E$21)*'难度参数'!$E$22))*(36+5*7)/(36+7*(D724+1)/2)*E724,0))</x:f>
        <x:v>17054</x:v>
      </x:c>
      <x:c r="AP724" s="119" t="n">
        <x:f>IF(AN724=0,0,(AN724-IF(5=D724,1,0))*ROUND(AO724*VLOOKUP(INDEX('章节与怪物'!$E$31:$K$37,B724,5),'章节与怪物'!$A$41:$F$44,2,FALSE),0)+IF(5=D724,ROUND(AO724*'难度参数'!$E$28*'章节与怪物'!$E$17,0),0))</x:f>
        <x:v>835646</x:v>
      </x:c>
      <x:c r="AQ724" s="119" t="n">
        <x:f>IF(AN724=0,0,(AN724-IF(5=D724,1,0))*VLOOKUP(INDEX('章节与怪物'!$E$31:$K$37,B724,5),'章节与怪物'!$A$41:$F$44,4,FALSE)+IF(5=D724,'难度参数'!$E$30,0))</x:f>
        <x:v>882</x:v>
      </x:c>
      <x:c r="AR724" s="119" t="n">
        <x:f>IF(6&gt;D724,0,MAX(2,MIN('难度参数'!$E$12,ROUND(('难度参数'!$E$18*POWER(A724,'难度参数'!$E$19)/D724*(0.85+0.3*(6-1)/MAX(1,D724-1))),0)+F724)))</x:f>
        <x:v>52</x:v>
      </x:c>
      <x:c r="AS724" s="119" t="n">
        <x:f>IF(6&gt;D724,0,ROUND(('难度参数'!$E$13*POWER(A724,'难度参数'!$E$20)*MIN('难度参数'!$E$23,1+MAX(0,A724-'难度参数'!$E$21)*'难度参数'!$E$22))*(36+6*7)/(36+7*(D724+1)/2)*E724,0))</x:f>
        <x:v>18735</x:v>
      </x:c>
      <x:c r="AT724" s="119" t="n">
        <x:f>IF(AR724=0,0,(AR724-IF(6=D724,1,0))*ROUND(AS724*VLOOKUP(INDEX('章节与怪物'!$E$31:$K$37,B724,6),'章节与怪物'!$A$41:$F$44,2,FALSE),0)+IF(6=D724,ROUND(AS724*'难度参数'!$E$28*'章节与怪物'!$E$17,0),0))</x:f>
        <x:v>701428</x:v>
      </x:c>
      <x:c r="AU724" s="119" t="n">
        <x:f>IF(AR724=0,0,(AR724-IF(6=D724,1,0))*VLOOKUP(INDEX('章节与怪物'!$E$31:$K$37,B724,6),'章节与怪物'!$A$41:$F$44,4,FALSE)+IF(6=D724,'难度参数'!$E$30,0))</x:f>
        <x:v>1040</x:v>
      </x:c>
      <x:c r="AV724" s="119" t="n">
        <x:f>IF(7&gt;D724,0,MAX(2,MIN('难度参数'!$E$12,ROUND(('难度参数'!$E$18*POWER(A724,'难度参数'!$E$19)/D724*(0.85+0.3*(7-1)/MAX(1,D724-1))),0)+F724)))</x:f>
        <x:v>54</x:v>
      </x:c>
      <x:c r="AW724" s="119" t="n">
        <x:f>IF(7&gt;D724,0,ROUND(('难度参数'!$E$13*POWER(A724,'难度参数'!$E$20)*MIN('难度参数'!$E$23,1+MAX(0,A724-'难度参数'!$E$21)*'难度参数'!$E$22))*(36+7*7)/(36+7*(D724+1)/2)*E724,0))</x:f>
        <x:v>20417</x:v>
      </x:c>
      <x:c r="AX724" s="119" t="n">
        <x:f>IF(AV724=0,0,(AV724-IF(7=D724,1,0))*ROUND(AW724*VLOOKUP(INDEX('章节与怪物'!$E$31:$K$37,B724,7),'章节与怪物'!$A$41:$F$44,2,FALSE),0)+IF(7=D724,ROUND(AW724*'难度参数'!$E$28*'章节与怪物'!$E$17,0),0))</x:f>
        <x:v>1599675</x:v>
      </x:c>
      <x:c r="AY724" s="119" t="n">
        <x:f>IF(AV724=0,0,(AV724-IF(7=D724,1,0))*VLOOKUP(INDEX('章节与怪物'!$E$31:$K$37,B724,7),'章节与怪物'!$A$41:$F$44,4,FALSE)+IF(7=D724,'难度参数'!$E$30,0))</x:f>
        <x:v>2002</x:v>
      </x:c>
    </x:row>
    <x:row r="725" ht="23" customHeight="1">
      <x:c r="A725" s="119" t="n">
        <x:v>719</x:v>
      </x:c>
      <x:c r="B725" s="119" t="n">
        <x:f>MOD(INT((A725-1)/5),7)+1</x:f>
        <x:v>4</x:v>
      </x:c>
      <x:c r="C725" s="62" t="str">
        <x:f>INDEX('章节与怪物'!$B$31:$B$37,B725)</x:f>
        <x:v>翠野边城</x:v>
      </x:c>
      <x:c r="D725" s="119" t="n">
        <x:f>MIN('难度参数'!$E$8,MAX('难度参数'!$E$7,A725))</x:f>
        <x:v>7</x:v>
      </x:c>
      <x:c r="E725" s="106" t="n">
        <x:v>1</x:v>
      </x:c>
      <x:c r="F725" s="106" t="n">
        <x:v>0</x:v>
      </x:c>
      <x:c r="G725" s="106" t="n">
        <x:v>1</x:v>
      </x:c>
      <x:c r="H725" s="119" t="n">
        <x:f>SUM(X725,AB725,AF725,AJ725,AN725,AR725,AV725)</x:f>
        <x:v>329</x:v>
      </x:c>
      <x:c r="I725" s="119" t="n">
        <x:f>SUM(Z725,AD725,AH725,AL725,AP725,AT725,AX725)</x:f>
        <x:v>5967394</x:v>
      </x:c>
      <x:c r="J725" s="119" t="n">
        <x:f>ROUND(INDEX(X725:AY725,1,(D725-1)*4+2)*'难度参数'!$E$28*'章节与怪物'!$E$17,0)</x:f>
        <x:v>138972</x:v>
      </x:c>
      <x:c r="K725" s="119" t="n">
        <x:f>SUM(AA725,AE725,AI725,AM725,AQ725,AU725,AY725)</x:f>
        <x:v>8338</x:v>
      </x:c>
      <x:c r="L725" s="62" t="n">
        <x:f>H725*(ROUNDUP('难度参数'!$E$24/('难度参数'!$E$26*'难度参数'!$E$27),0)*'难度参数'!$E$26)/60</x:f>
        <x:v>4.386666666666667</x:v>
      </x:c>
      <x:c r="M725" s="62" t="n">
        <x:f>L725+D725*('难度参数'!$E$49+'难度参数'!$E$50)/60</x:f>
        <x:v>5.553333333333334</x:v>
      </x:c>
      <x:c r="N725" s="119" t="n">
        <x:f>ROUNDDOWN(('经济参数'!$E$20+A725*'经济参数'!$E$21)*G725,0)</x:f>
        <x:v>14560</x:v>
      </x:c>
      <x:c r="O725" s="119" t="n">
        <x:f>ROUNDDOWN(MIN('经济参数'!$E$24,'经济参数'!$E$22+A725*'经济参数'!$E$23)*G725,0)</x:f>
        <x:v>0</x:v>
      </x:c>
      <x:c r="P725" s="119" t="n">
        <x:f>ROUNDDOWN((IF(A725&gt;='材料与任务'!$E$31,'材料与任务'!$E$32,IF(A725&gt;='材料与任务'!$E$25,'材料与任务'!$E$26,IF(A725&gt;='材料与任务'!$E$19,'材料与任务'!$E$20,IF(A725&gt;='材料与任务'!$E$13,'材料与任务'!$E$14,'材料与任务'!$E$8)))))*G725,0)</x:f>
        <x:v>6</x:v>
      </x:c>
      <x:c r="Q725" s="119" t="n">
        <x:f>ROUNDDOWN((IF(A725&gt;='材料与任务'!$E$31,'材料与任务'!$E$33,IF(A725&gt;='材料与任务'!$E$25,'材料与任务'!$E$27,IF(A725&gt;='材料与任务'!$E$19,'材料与任务'!$E$21,IF(A725&gt;='材料与任务'!$E$13,'材料与任务'!$E$15,'材料与任务'!$E$9)))))*G725,0)</x:f>
        <x:v>3</x:v>
      </x:c>
      <x:c r="R725" s="110" t="n">
        <x:f>'装备掉落'!$B$38</x:f>
        <x:v>0.6872058758851213</x:v>
      </x:c>
      <x:c r="S725" s="119" t="n">
        <x:f>MAX(IF(VLOOKUP(A725,'装备掉落'!$A$29:$H$34,2,TRUE)&gt;0,1,0),IF(VLOOKUP(A725,'装备掉落'!$A$29:$H$34,3,TRUE)&gt;0,2,0),IF(VLOOKUP(A725,'装备掉落'!$A$29:$H$34,4,TRUE)&gt;0,3,0),IF(VLOOKUP(A725,'装备掉落'!$A$29:$H$34,5,TRUE)&gt;0,4,0),IF(VLOOKUP(A725,'装备掉落'!$A$29:$H$34,6,TRUE)&gt;0,5,0),IF(VLOOKUP(A725,'装备掉落'!$A$29:$H$34,7,TRUE)&gt;0,6,0),IF(VLOOKUP(A725,'装备掉落'!$A$29:$H$34,8,TRUE)&gt;0,7,0))</x:f>
        <x:v>7</x:v>
      </x:c>
      <x:c r="T725" s="119" t="n">
        <x:f>MIN(7,S725+'经济参数'!$E$70)</x:f>
        <x:v>7</x:v>
      </x:c>
      <x:c r="U725" s="119" t="n">
        <x:f>MIN(7,S725+'经济参数'!$E$71)</x:f>
        <x:v>7</x:v>
      </x:c>
      <x:c r="V725" s="119" t="n">
        <x:f>IF(H725&gt;=('难度参数'!$E$52),1,0)+IF(H725&gt;=('难度参数'!$E$52+'难度参数'!$E$53),1,0)+IF(H725&gt;=('难度参数'!$E$52+'难度参数'!$E$53+'难度参数'!$E$54),1,0)+IF(H725&gt;=('难度参数'!$E$52+'难度参数'!$E$53+'难度参数'!$E$54+'难度参数'!$E$55),1,0)+IF(H725&gt;=('难度参数'!$E$52+'难度参数'!$E$53+'难度参数'!$E$54+'难度参数'!$E$55+'难度参数'!$E$56),1,0)+IF(H725&gt;=('难度参数'!$E$52+'难度参数'!$E$53+'难度参数'!$E$54+'难度参数'!$E$55+'难度参数'!$E$56+'难度参数'!$E$57),1,0)</x:f>
        <x:v>6</x:v>
      </x:c>
      <x:c r="W725" s="62" t="str">
        <x:f>IF(L725&gt;'难度参数'!$E$51,"仅出怪已超目标","还需实测")</x:f>
        <x:v>仅出怪已超目标</x:v>
      </x:c>
      <x:c r="X725" s="119" t="n">
        <x:f>IF(1&gt;D725,0,MAX(2,MIN('难度参数'!$E$12,ROUND(('难度参数'!$E$18*POWER(A725,'难度参数'!$E$19)/D725*(0.85+0.3*(1-1)/MAX(1,D725-1))),0)+F725)))</x:f>
        <x:v>40</x:v>
      </x:c>
      <x:c r="Y725" s="119" t="n">
        <x:f>IF(1&gt;D725,0,ROUND(('难度参数'!$E$13*POWER(A725,'难度参数'!$E$20)*MIN('难度参数'!$E$23,1+MAX(0,A725-'难度参数'!$E$21)*'难度参数'!$E$22))*(36+1*7)/(36+7*(D725+1)/2)*E725,0))</x:f>
        <x:v>10339</x:v>
      </x:c>
      <x:c r="Z725" s="119" t="n">
        <x:f>IF(X725=0,0,(X725-IF(1=D725,1,0))*ROUND(Y725*VLOOKUP(INDEX('章节与怪物'!$E$31:$K$37,B725,1),'章节与怪物'!$A$41:$F$44,2,FALSE),0)+IF(1=D725,ROUND(Y725*'难度参数'!$E$28*'章节与怪物'!$E$17,0),0))</x:f>
        <x:v>297760</x:v>
      </x:c>
      <x:c r="AA725" s="119" t="n">
        <x:f>IF(X725=0,0,(X725-IF(1=D725,1,0))*VLOOKUP(INDEX('章节与怪物'!$E$31:$K$37,B725,1),'章节与怪物'!$A$41:$F$44,4,FALSE)+IF(1=D725,'难度参数'!$E$30,0))</x:f>
        <x:v>800</x:v>
      </x:c>
      <x:c r="AB725" s="119" t="n">
        <x:f>IF(2&gt;D725,0,MAX(2,MIN('难度参数'!$E$12,ROUND(('难度参数'!$E$18*POWER(A725,'难度参数'!$E$19)/D725*(0.85+0.3*(2-1)/MAX(1,D725-1))),0)+F725)))</x:f>
        <x:v>42</x:v>
      </x:c>
      <x:c r="AC725" s="119" t="n">
        <x:f>IF(2&gt;D725,0,ROUND(('难度参数'!$E$13*POWER(A725,'难度参数'!$E$20)*MIN('难度参数'!$E$23,1+MAX(0,A725-'难度参数'!$E$21)*'难度参数'!$E$22))*(36+2*7)/(36+7*(D725+1)/2)*E725,0))</x:f>
        <x:v>12022</x:v>
      </x:c>
      <x:c r="AD725" s="119" t="n">
        <x:f>IF(AB725=0,0,(AB725-IF(2=D725,1,0))*ROUND(AC725*VLOOKUP(INDEX('章节与怪物'!$E$31:$K$37,B725,2),'章节与怪物'!$A$41:$F$44,2,FALSE),0)+IF(2=D725,ROUND(AC725*'难度参数'!$E$28*'章节与怪物'!$E$17,0),0))</x:f>
        <x:v>504924</x:v>
      </x:c>
      <x:c r="AE725" s="119" t="n">
        <x:f>IF(AB725=0,0,(AB725-IF(2=D725,1,0))*VLOOKUP(INDEX('章节与怪物'!$E$31:$K$37,B725,2),'章节与怪物'!$A$41:$F$44,4,FALSE)+IF(2=D725,'难度参数'!$E$30,0))</x:f>
        <x:v>756</x:v>
      </x:c>
      <x:c r="AF725" s="119" t="n">
        <x:f>IF(3&gt;D725,0,MAX(2,MIN('难度参数'!$E$12,ROUND(('难度参数'!$E$18*POWER(A725,'难度参数'!$E$19)/D725*(0.85+0.3*(3-1)/MAX(1,D725-1))),0)+F725)))</x:f>
        <x:v>45</x:v>
      </x:c>
      <x:c r="AG725" s="119" t="n">
        <x:f>IF(3&gt;D725,0,ROUND(('难度参数'!$E$13*POWER(A725,'难度参数'!$E$20)*MIN('难度参数'!$E$23,1+MAX(0,A725-'难度参数'!$E$21)*'难度参数'!$E$22))*(36+3*7)/(36+7*(D725+1)/2)*E725,0))</x:f>
        <x:v>13705</x:v>
      </x:c>
      <x:c r="AH725" s="119" t="n">
        <x:f>IF(AF725=0,0,(AF725-IF(3=D725,1,0))*ROUND(AG725*VLOOKUP(INDEX('章节与怪物'!$E$31:$K$37,B725,3),'章节与怪物'!$A$41:$F$44,2,FALSE),0)+IF(3=D725,ROUND(AG725*'难度参数'!$E$28*'章节与怪物'!$E$17,0),0))</x:f>
        <x:v>1048455</x:v>
      </x:c>
      <x:c r="AI725" s="119" t="n">
        <x:f>IF(AF725=0,0,(AF725-IF(3=D725,1,0))*VLOOKUP(INDEX('章节与怪物'!$E$31:$K$37,B725,3),'章节与怪物'!$A$41:$F$44,4,FALSE)+IF(3=D725,'难度参数'!$E$30,0))</x:f>
        <x:v>1260</x:v>
      </x:c>
      <x:c r="AJ725" s="119" t="n">
        <x:f>IF(4&gt;D725,0,MAX(2,MIN('难度参数'!$E$12,ROUND(('难度参数'!$E$18*POWER(A725,'难度参数'!$E$19)/D725*(0.85+0.3*(4-1)/MAX(1,D725-1))),0)+F725)))</x:f>
        <x:v>47</x:v>
      </x:c>
      <x:c r="AK725" s="119" t="n">
        <x:f>IF(4&gt;D725,0,ROUND(('难度参数'!$E$13*POWER(A725,'难度参数'!$E$20)*MIN('难度参数'!$E$23,1+MAX(0,A725-'难度参数'!$E$21)*'难度参数'!$E$22))*(36+4*7)/(36+7*(D725+1)/2)*E725,0))</x:f>
        <x:v>15388</x:v>
      </x:c>
      <x:c r="AL725" s="119" t="n">
        <x:f>IF(AJ725=0,0,(AJ725-IF(4=D725,1,0))*ROUND(AK725*VLOOKUP(INDEX('章节与怪物'!$E$31:$K$37,B725,4),'章节与怪物'!$A$41:$F$44,2,FALSE),0)+IF(4=D725,ROUND(AK725*'难度参数'!$E$28*'章节与怪物'!$E$17,0),0))</x:f>
        <x:v>976378</x:v>
      </x:c>
      <x:c r="AM725" s="119" t="n">
        <x:f>IF(AJ725=0,0,(AJ725-IF(4=D725,1,0))*VLOOKUP(INDEX('章节与怪物'!$E$31:$K$37,B725,4),'章节与怪物'!$A$41:$F$44,4,FALSE)+IF(4=D725,'难度参数'!$E$30,0))</x:f>
        <x:v>1598</x:v>
      </x:c>
      <x:c r="AN725" s="119" t="n">
        <x:f>IF(5&gt;D725,0,MAX(2,MIN('难度参数'!$E$12,ROUND(('难度参数'!$E$18*POWER(A725,'难度参数'!$E$19)/D725*(0.85+0.3*(5-1)/MAX(1,D725-1))),0)+F725)))</x:f>
        <x:v>49</x:v>
      </x:c>
      <x:c r="AO725" s="119" t="n">
        <x:f>IF(5&gt;D725,0,ROUND(('难度参数'!$E$13*POWER(A725,'难度参数'!$E$20)*MIN('难度参数'!$E$23,1+MAX(0,A725-'难度参数'!$E$21)*'难度参数'!$E$22))*(36+5*7)/(36+7*(D725+1)/2)*E725,0))</x:f>
        <x:v>17071</x:v>
      </x:c>
      <x:c r="AP725" s="119" t="n">
        <x:f>IF(AN725=0,0,(AN725-IF(5=D725,1,0))*ROUND(AO725*VLOOKUP(INDEX('章节与怪物'!$E$31:$K$37,B725,5),'章节与怪物'!$A$41:$F$44,2,FALSE),0)+IF(5=D725,ROUND(AO725*'难度参数'!$E$28*'章节与怪物'!$E$17,0),0))</x:f>
        <x:v>836479</x:v>
      </x:c>
      <x:c r="AQ725" s="119" t="n">
        <x:f>IF(AN725=0,0,(AN725-IF(5=D725,1,0))*VLOOKUP(INDEX('章节与怪物'!$E$31:$K$37,B725,5),'章节与怪物'!$A$41:$F$44,4,FALSE)+IF(5=D725,'难度参数'!$E$30,0))</x:f>
        <x:v>882</x:v>
      </x:c>
      <x:c r="AR725" s="119" t="n">
        <x:f>IF(6&gt;D725,0,MAX(2,MIN('难度参数'!$E$12,ROUND(('难度参数'!$E$18*POWER(A725,'难度参数'!$E$19)/D725*(0.85+0.3*(6-1)/MAX(1,D725-1))),0)+F725)))</x:f>
        <x:v>52</x:v>
      </x:c>
      <x:c r="AS725" s="119" t="n">
        <x:f>IF(6&gt;D725,0,ROUND(('难度参数'!$E$13*POWER(A725,'难度参数'!$E$20)*MIN('难度参数'!$E$23,1+MAX(0,A725-'难度参数'!$E$21)*'难度参数'!$E$22))*(36+6*7)/(36+7*(D725+1)/2)*E725,0))</x:f>
        <x:v>18754</x:v>
      </x:c>
      <x:c r="AT725" s="119" t="n">
        <x:f>IF(AR725=0,0,(AR725-IF(6=D725,1,0))*ROUND(AS725*VLOOKUP(INDEX('章节与怪物'!$E$31:$K$37,B725,6),'章节与怪物'!$A$41:$F$44,2,FALSE),0)+IF(6=D725,ROUND(AS725*'难度参数'!$E$28*'章节与怪物'!$E$17,0),0))</x:f>
        <x:v>702156</x:v>
      </x:c>
      <x:c r="AU725" s="119" t="n">
        <x:f>IF(AR725=0,0,(AR725-IF(6=D725,1,0))*VLOOKUP(INDEX('章节与怪物'!$E$31:$K$37,B725,6),'章节与怪物'!$A$41:$F$44,4,FALSE)+IF(6=D725,'难度参数'!$E$30,0))</x:f>
        <x:v>1040</x:v>
      </x:c>
      <x:c r="AV725" s="119" t="n">
        <x:f>IF(7&gt;D725,0,MAX(2,MIN('难度参数'!$E$12,ROUND(('难度参数'!$E$18*POWER(A725,'难度参数'!$E$19)/D725*(0.85+0.3*(7-1)/MAX(1,D725-1))),0)+F725)))</x:f>
        <x:v>54</x:v>
      </x:c>
      <x:c r="AW725" s="119" t="n">
        <x:f>IF(7&gt;D725,0,ROUND(('难度参数'!$E$13*POWER(A725,'难度参数'!$E$20)*MIN('难度参数'!$E$23,1+MAX(0,A725-'难度参数'!$E$21)*'难度参数'!$E$22))*(36+7*7)/(36+7*(D725+1)/2)*E725,0))</x:f>
        <x:v>20437</x:v>
      </x:c>
      <x:c r="AX725" s="119" t="n">
        <x:f>IF(AV725=0,0,(AV725-IF(7=D725,1,0))*ROUND(AW725*VLOOKUP(INDEX('章节与怪物'!$E$31:$K$37,B725,7),'章节与怪物'!$A$41:$F$44,2,FALSE),0)+IF(7=D725,ROUND(AW725*'难度参数'!$E$28*'章节与怪物'!$E$17,0),0))</x:f>
        <x:v>1601242</x:v>
      </x:c>
      <x:c r="AY725" s="119" t="n">
        <x:f>IF(AV725=0,0,(AV725-IF(7=D725,1,0))*VLOOKUP(INDEX('章节与怪物'!$E$31:$K$37,B725,7),'章节与怪物'!$A$41:$F$44,4,FALSE)+IF(7=D725,'难度参数'!$E$30,0))</x:f>
        <x:v>2002</x:v>
      </x:c>
    </x:row>
    <x:row r="726" ht="23" customHeight="1">
      <x:c r="A726" s="119" t="n">
        <x:v>720</x:v>
      </x:c>
      <x:c r="B726" s="119" t="n">
        <x:f>MOD(INT((A726-1)/5),7)+1</x:f>
        <x:v>4</x:v>
      </x:c>
      <x:c r="C726" s="62" t="str">
        <x:f>INDEX('章节与怪物'!$B$31:$B$37,B726)</x:f>
        <x:v>翠野边城</x:v>
      </x:c>
      <x:c r="D726" s="119" t="n">
        <x:f>MIN('难度参数'!$E$8,MAX('难度参数'!$E$7,A726))</x:f>
        <x:v>7</x:v>
      </x:c>
      <x:c r="E726" s="106" t="n">
        <x:v>1</x:v>
      </x:c>
      <x:c r="F726" s="106" t="n">
        <x:v>0</x:v>
      </x:c>
      <x:c r="G726" s="106" t="n">
        <x:v>1</x:v>
      </x:c>
      <x:c r="H726" s="119" t="n">
        <x:f>SUM(X726,AB726,AF726,AJ726,AN726,AR726,AV726)</x:f>
        <x:v>330</x:v>
      </x:c>
      <x:c r="I726" s="119" t="n">
        <x:f>SUM(Z726,AD726,AH726,AL726,AP726,AT726,AX726)</x:f>
        <x:v>5990369</x:v>
      </x:c>
      <x:c r="J726" s="119" t="n">
        <x:f>ROUND(INDEX(X726:AY726,1,(D726-1)*4+2)*'难度参数'!$E$28*'章节与怪物'!$E$17,0)</x:f>
        <x:v>139108</x:v>
      </x:c>
      <x:c r="K726" s="119" t="n">
        <x:f>SUM(AA726,AE726,AI726,AM726,AQ726,AU726,AY726)</x:f>
        <x:v>8356</x:v>
      </x:c>
      <x:c r="L726" s="62" t="n">
        <x:f>H726*(ROUNDUP('难度参数'!$E$24/('难度参数'!$E$26*'难度参数'!$E$27),0)*'难度参数'!$E$26)/60</x:f>
        <x:v>4.4</x:v>
      </x:c>
      <x:c r="M726" s="62" t="n">
        <x:f>L726+D726*('难度参数'!$E$49+'难度参数'!$E$50)/60</x:f>
        <x:v>5.566666666666667</x:v>
      </x:c>
      <x:c r="N726" s="119" t="n">
        <x:f>ROUNDDOWN(('经济参数'!$E$20+A726*'经济参数'!$E$21)*G726,0)</x:f>
        <x:v>14580</x:v>
      </x:c>
      <x:c r="O726" s="119" t="n">
        <x:f>ROUNDDOWN(MIN('经济参数'!$E$24,'经济参数'!$E$22+A726*'经济参数'!$E$23)*G726,0)</x:f>
        <x:v>0</x:v>
      </x:c>
      <x:c r="P726" s="119" t="n">
        <x:f>ROUNDDOWN((IF(A726&gt;='材料与任务'!$E$31,'材料与任务'!$E$32,IF(A726&gt;='材料与任务'!$E$25,'材料与任务'!$E$26,IF(A726&gt;='材料与任务'!$E$19,'材料与任务'!$E$20,IF(A726&gt;='材料与任务'!$E$13,'材料与任务'!$E$14,'材料与任务'!$E$8)))))*G726,0)</x:f>
        <x:v>6</x:v>
      </x:c>
      <x:c r="Q726" s="119" t="n">
        <x:f>ROUNDDOWN((IF(A726&gt;='材料与任务'!$E$31,'材料与任务'!$E$33,IF(A726&gt;='材料与任务'!$E$25,'材料与任务'!$E$27,IF(A726&gt;='材料与任务'!$E$19,'材料与任务'!$E$21,IF(A726&gt;='材料与任务'!$E$13,'材料与任务'!$E$15,'材料与任务'!$E$9)))))*G726,0)</x:f>
        <x:v>3</x:v>
      </x:c>
      <x:c r="R726" s="110" t="n">
        <x:f>'装备掉落'!$B$38</x:f>
        <x:v>0.6872058758851213</x:v>
      </x:c>
      <x:c r="S726" s="119" t="n">
        <x:f>MAX(IF(VLOOKUP(A726,'装备掉落'!$A$29:$H$34,2,TRUE)&gt;0,1,0),IF(VLOOKUP(A726,'装备掉落'!$A$29:$H$34,3,TRUE)&gt;0,2,0),IF(VLOOKUP(A726,'装备掉落'!$A$29:$H$34,4,TRUE)&gt;0,3,0),IF(VLOOKUP(A726,'装备掉落'!$A$29:$H$34,5,TRUE)&gt;0,4,0),IF(VLOOKUP(A726,'装备掉落'!$A$29:$H$34,6,TRUE)&gt;0,5,0),IF(VLOOKUP(A726,'装备掉落'!$A$29:$H$34,7,TRUE)&gt;0,6,0),IF(VLOOKUP(A726,'装备掉落'!$A$29:$H$34,8,TRUE)&gt;0,7,0))</x:f>
        <x:v>7</x:v>
      </x:c>
      <x:c r="T726" s="119" t="n">
        <x:f>MIN(7,S726+'经济参数'!$E$70)</x:f>
        <x:v>7</x:v>
      </x:c>
      <x:c r="U726" s="119" t="n">
        <x:f>MIN(7,S726+'经济参数'!$E$71)</x:f>
        <x:v>7</x:v>
      </x:c>
      <x:c r="V726" s="119" t="n">
        <x:f>IF(H726&gt;=('难度参数'!$E$52),1,0)+IF(H726&gt;=('难度参数'!$E$52+'难度参数'!$E$53),1,0)+IF(H726&gt;=('难度参数'!$E$52+'难度参数'!$E$53+'难度参数'!$E$54),1,0)+IF(H726&gt;=('难度参数'!$E$52+'难度参数'!$E$53+'难度参数'!$E$54+'难度参数'!$E$55),1,0)+IF(H726&gt;=('难度参数'!$E$52+'难度参数'!$E$53+'难度参数'!$E$54+'难度参数'!$E$55+'难度参数'!$E$56),1,0)+IF(H726&gt;=('难度参数'!$E$52+'难度参数'!$E$53+'难度参数'!$E$54+'难度参数'!$E$55+'难度参数'!$E$56+'难度参数'!$E$57),1,0)</x:f>
        <x:v>6</x:v>
      </x:c>
      <x:c r="W726" s="62" t="str">
        <x:f>IF(L726&gt;'难度参数'!$E$51,"仅出怪已超目标","还需实测")</x:f>
        <x:v>仅出怪已超目标</x:v>
      </x:c>
      <x:c r="X726" s="119" t="n">
        <x:f>IF(1&gt;D726,0,MAX(2,MIN('难度参数'!$E$12,ROUND(('难度参数'!$E$18*POWER(A726,'难度参数'!$E$19)/D726*(0.85+0.3*(1-1)/MAX(1,D726-1))),0)+F726)))</x:f>
        <x:v>40</x:v>
      </x:c>
      <x:c r="Y726" s="119" t="n">
        <x:f>IF(1&gt;D726,0,ROUND(('难度参数'!$E$13*POWER(A726,'难度参数'!$E$20)*MIN('难度参数'!$E$23,1+MAX(0,A726-'难度参数'!$E$21)*'难度参数'!$E$22))*(36+1*7)/(36+7*(D726+1)/2)*E726,0))</x:f>
        <x:v>10349</x:v>
      </x:c>
      <x:c r="Z726" s="119" t="n">
        <x:f>IF(X726=0,0,(X726-IF(1=D726,1,0))*ROUND(Y726*VLOOKUP(INDEX('章节与怪物'!$E$31:$K$37,B726,1),'章节与怪物'!$A$41:$F$44,2,FALSE),0)+IF(1=D726,ROUND(Y726*'难度参数'!$E$28*'章节与怪物'!$E$17,0),0))</x:f>
        <x:v>298040</x:v>
      </x:c>
      <x:c r="AA726" s="119" t="n">
        <x:f>IF(X726=0,0,(X726-IF(1=D726,1,0))*VLOOKUP(INDEX('章节与怪物'!$E$31:$K$37,B726,1),'章节与怪物'!$A$41:$F$44,4,FALSE)+IF(1=D726,'难度参数'!$E$30,0))</x:f>
        <x:v>800</x:v>
      </x:c>
      <x:c r="AB726" s="119" t="n">
        <x:f>IF(2&gt;D726,0,MAX(2,MIN('难度参数'!$E$12,ROUND(('难度参数'!$E$18*POWER(A726,'难度参数'!$E$19)/D726*(0.85+0.3*(2-1)/MAX(1,D726-1))),0)+F726)))</x:f>
        <x:v>42</x:v>
      </x:c>
      <x:c r="AC726" s="119" t="n">
        <x:f>IF(2&gt;D726,0,ROUND(('难度参数'!$E$13*POWER(A726,'难度参数'!$E$20)*MIN('难度参数'!$E$23,1+MAX(0,A726-'难度参数'!$E$21)*'难度参数'!$E$22))*(36+2*7)/(36+7*(D726+1)/2)*E726,0))</x:f>
        <x:v>12034</x:v>
      </x:c>
      <x:c r="AD726" s="119" t="n">
        <x:f>IF(AB726=0,0,(AB726-IF(2=D726,1,0))*ROUND(AC726*VLOOKUP(INDEX('章节与怪物'!$E$31:$K$37,B726,2),'章节与怪物'!$A$41:$F$44,2,FALSE),0)+IF(2=D726,ROUND(AC726*'难度参数'!$E$28*'章节与怪物'!$E$17,0),0))</x:f>
        <x:v>505428</x:v>
      </x:c>
      <x:c r="AE726" s="119" t="n">
        <x:f>IF(AB726=0,0,(AB726-IF(2=D726,1,0))*VLOOKUP(INDEX('章节与怪物'!$E$31:$K$37,B726,2),'章节与怪物'!$A$41:$F$44,4,FALSE)+IF(2=D726,'难度参数'!$E$30,0))</x:f>
        <x:v>756</x:v>
      </x:c>
      <x:c r="AF726" s="119" t="n">
        <x:f>IF(3&gt;D726,0,MAX(2,MIN('难度参数'!$E$12,ROUND(('难度参数'!$E$18*POWER(A726,'难度参数'!$E$19)/D726*(0.85+0.3*(3-1)/MAX(1,D726-1))),0)+F726)))</x:f>
        <x:v>45</x:v>
      </x:c>
      <x:c r="AG726" s="119" t="n">
        <x:f>IF(3&gt;D726,0,ROUND(('难度参数'!$E$13*POWER(A726,'难度参数'!$E$20)*MIN('难度参数'!$E$23,1+MAX(0,A726-'难度参数'!$E$21)*'难度参数'!$E$22))*(36+3*7)/(36+7*(D726+1)/2)*E726,0))</x:f>
        <x:v>13719</x:v>
      </x:c>
      <x:c r="AH726" s="119" t="n">
        <x:f>IF(AF726=0,0,(AF726-IF(3=D726,1,0))*ROUND(AG726*VLOOKUP(INDEX('章节与怪物'!$E$31:$K$37,B726,3),'章节与怪物'!$A$41:$F$44,2,FALSE),0)+IF(3=D726,ROUND(AG726*'难度参数'!$E$28*'章节与怪物'!$E$17,0),0))</x:f>
        <x:v>1049490</x:v>
      </x:c>
      <x:c r="AI726" s="119" t="n">
        <x:f>IF(AF726=0,0,(AF726-IF(3=D726,1,0))*VLOOKUP(INDEX('章节与怪物'!$E$31:$K$37,B726,3),'章节与怪物'!$A$41:$F$44,4,FALSE)+IF(3=D726,'难度参数'!$E$30,0))</x:f>
        <x:v>1260</x:v>
      </x:c>
      <x:c r="AJ726" s="119" t="n">
        <x:f>IF(4&gt;D726,0,MAX(2,MIN('难度参数'!$E$12,ROUND(('难度参数'!$E$18*POWER(A726,'难度参数'!$E$19)/D726*(0.85+0.3*(4-1)/MAX(1,D726-1))),0)+F726)))</x:f>
        <x:v>47</x:v>
      </x:c>
      <x:c r="AK726" s="119" t="n">
        <x:f>IF(4&gt;D726,0,ROUND(('难度参数'!$E$13*POWER(A726,'难度参数'!$E$20)*MIN('难度参数'!$E$23,1+MAX(0,A726-'难度参数'!$E$21)*'难度参数'!$E$22))*(36+4*7)/(36+7*(D726+1)/2)*E726,0))</x:f>
        <x:v>15403</x:v>
      </x:c>
      <x:c r="AL726" s="119" t="n">
        <x:f>IF(AJ726=0,0,(AJ726-IF(4=D726,1,0))*ROUND(AK726*VLOOKUP(INDEX('章节与怪物'!$E$31:$K$37,B726,4),'章节与怪物'!$A$41:$F$44,2,FALSE),0)+IF(4=D726,ROUND(AK726*'难度参数'!$E$28*'章节与怪物'!$E$17,0),0))</x:f>
        <x:v>977318</x:v>
      </x:c>
      <x:c r="AM726" s="119" t="n">
        <x:f>IF(AJ726=0,0,(AJ726-IF(4=D726,1,0))*VLOOKUP(INDEX('章节与怪物'!$E$31:$K$37,B726,4),'章节与怪物'!$A$41:$F$44,4,FALSE)+IF(4=D726,'难度参数'!$E$30,0))</x:f>
        <x:v>1598</x:v>
      </x:c>
      <x:c r="AN726" s="119" t="n">
        <x:f>IF(5&gt;D726,0,MAX(2,MIN('难度参数'!$E$12,ROUND(('难度参数'!$E$18*POWER(A726,'难度参数'!$E$19)/D726*(0.85+0.3*(5-1)/MAX(1,D726-1))),0)+F726)))</x:f>
        <x:v>50</x:v>
      </x:c>
      <x:c r="AO726" s="119" t="n">
        <x:f>IF(5&gt;D726,0,ROUND(('难度参数'!$E$13*POWER(A726,'难度参数'!$E$20)*MIN('难度参数'!$E$23,1+MAX(0,A726-'难度参数'!$E$21)*'难度参数'!$E$22))*(36+5*7)/(36+7*(D726+1)/2)*E726,0))</x:f>
        <x:v>17088</x:v>
      </x:c>
      <x:c r="AP726" s="119" t="n">
        <x:f>IF(AN726=0,0,(AN726-IF(5=D726,1,0))*ROUND(AO726*VLOOKUP(INDEX('章节与怪物'!$E$31:$K$37,B726,5),'章节与怪物'!$A$41:$F$44,2,FALSE),0)+IF(5=D726,ROUND(AO726*'难度参数'!$E$28*'章节与怪物'!$E$17,0),0))</x:f>
        <x:v>854400</x:v>
      </x:c>
      <x:c r="AQ726" s="119" t="n">
        <x:f>IF(AN726=0,0,(AN726-IF(5=D726,1,0))*VLOOKUP(INDEX('章节与怪物'!$E$31:$K$37,B726,5),'章节与怪物'!$A$41:$F$44,4,FALSE)+IF(5=D726,'难度参数'!$E$30,0))</x:f>
        <x:v>900</x:v>
      </x:c>
      <x:c r="AR726" s="119" t="n">
        <x:f>IF(6&gt;D726,0,MAX(2,MIN('难度参数'!$E$12,ROUND(('难度参数'!$E$18*POWER(A726,'难度参数'!$E$19)/D726*(0.85+0.3*(6-1)/MAX(1,D726-1))),0)+F726)))</x:f>
        <x:v>52</x:v>
      </x:c>
      <x:c r="AS726" s="119" t="n">
        <x:f>IF(6&gt;D726,0,ROUND(('难度参数'!$E$13*POWER(A726,'难度参数'!$E$20)*MIN('难度参数'!$E$23,1+MAX(0,A726-'难度参数'!$E$21)*'难度参数'!$E$22))*(36+6*7)/(36+7*(D726+1)/2)*E726,0))</x:f>
        <x:v>18773</x:v>
      </x:c>
      <x:c r="AT726" s="119" t="n">
        <x:f>IF(AR726=0,0,(AR726-IF(6=D726,1,0))*ROUND(AS726*VLOOKUP(INDEX('章节与怪物'!$E$31:$K$37,B726,6),'章节与怪物'!$A$41:$F$44,2,FALSE),0)+IF(6=D726,ROUND(AS726*'难度参数'!$E$28*'章节与怪物'!$E$17,0),0))</x:f>
        <x:v>702884</x:v>
      </x:c>
      <x:c r="AU726" s="119" t="n">
        <x:f>IF(AR726=0,0,(AR726-IF(6=D726,1,0))*VLOOKUP(INDEX('章节与怪物'!$E$31:$K$37,B726,6),'章节与怪物'!$A$41:$F$44,4,FALSE)+IF(6=D726,'难度参数'!$E$30,0))</x:f>
        <x:v>1040</x:v>
      </x:c>
      <x:c r="AV726" s="119" t="n">
        <x:f>IF(7&gt;D726,0,MAX(2,MIN('难度参数'!$E$12,ROUND(('难度参数'!$E$18*POWER(A726,'难度参数'!$E$19)/D726*(0.85+0.3*(7-1)/MAX(1,D726-1))),0)+F726)))</x:f>
        <x:v>54</x:v>
      </x:c>
      <x:c r="AW726" s="119" t="n">
        <x:f>IF(7&gt;D726,0,ROUND(('难度参数'!$E$13*POWER(A726,'难度参数'!$E$20)*MIN('难度参数'!$E$23,1+MAX(0,A726-'难度参数'!$E$21)*'难度参数'!$E$22))*(36+7*7)/(36+7*(D726+1)/2)*E726,0))</x:f>
        <x:v>20457</x:v>
      </x:c>
      <x:c r="AX726" s="119" t="n">
        <x:f>IF(AV726=0,0,(AV726-IF(7=D726,1,0))*ROUND(AW726*VLOOKUP(INDEX('章节与怪物'!$E$31:$K$37,B726,7),'章节与怪物'!$A$41:$F$44,2,FALSE),0)+IF(7=D726,ROUND(AW726*'难度参数'!$E$28*'章节与怪物'!$E$17,0),0))</x:f>
        <x:v>1602809</x:v>
      </x:c>
      <x:c r="AY726" s="119" t="n">
        <x:f>IF(AV726=0,0,(AV726-IF(7=D726,1,0))*VLOOKUP(INDEX('章节与怪物'!$E$31:$K$37,B726,7),'章节与怪物'!$A$41:$F$44,4,FALSE)+IF(7=D726,'难度参数'!$E$30,0))</x:f>
        <x:v>2002</x:v>
      </x:c>
    </x:row>
    <x:row r="727" ht="23" customHeight="1">
      <x:c r="A727" s="119" t="n">
        <x:v>721</x:v>
      </x:c>
      <x:c r="B727" s="119" t="n">
        <x:f>MOD(INT((A727-1)/5),7)+1</x:f>
        <x:v>5</x:v>
      </x:c>
      <x:c r="C727" s="62" t="str">
        <x:f>INDEX('章节与怪物'!$B$31:$B$37,B727)</x:f>
        <x:v>雨林遗迹</x:v>
      </x:c>
      <x:c r="D727" s="119" t="n">
        <x:f>MIN('难度参数'!$E$8,MAX('难度参数'!$E$7,A727))</x:f>
        <x:v>7</x:v>
      </x:c>
      <x:c r="E727" s="106" t="n">
        <x:v>1</x:v>
      </x:c>
      <x:c r="F727" s="106" t="n">
        <x:v>0</x:v>
      </x:c>
      <x:c r="G727" s="106" t="n">
        <x:v>1</x:v>
      </x:c>
      <x:c r="H727" s="119" t="n">
        <x:f>SUM(X727,AB727,AF727,AJ727,AN727,AR727,AV727)</x:f>
        <x:v>330</x:v>
      </x:c>
      <x:c r="I727" s="119" t="n">
        <x:f>SUM(Z727,AD727,AH727,AL727,AP727,AT727,AX727)</x:f>
        <x:v>6688885</x:v>
      </x:c>
      <x:c r="J727" s="119" t="n">
        <x:f>ROUND(INDEX(X727:AY727,1,(D727-1)*4+2)*'难度参数'!$E$28*'章节与怪物'!$E$17,0)</x:f>
        <x:v>139250</x:v>
      </x:c>
      <x:c r="K727" s="119" t="n">
        <x:f>SUM(AA727,AE727,AI727,AM727,AQ727,AU727,AY727)</x:f>
        <x:v>8876</x:v>
      </x:c>
      <x:c r="L727" s="62" t="n">
        <x:f>H727*(ROUNDUP('难度参数'!$E$24/('难度参数'!$E$26*'难度参数'!$E$27),0)*'难度参数'!$E$26)/60</x:f>
        <x:v>4.4</x:v>
      </x:c>
      <x:c r="M727" s="62" t="n">
        <x:f>L727+D727*('难度参数'!$E$49+'难度参数'!$E$50)/60</x:f>
        <x:v>5.566666666666667</x:v>
      </x:c>
      <x:c r="N727" s="119" t="n">
        <x:f>ROUNDDOWN(('经济参数'!$E$20+A727*'经济参数'!$E$21)*G727,0)</x:f>
        <x:v>14600</x:v>
      </x:c>
      <x:c r="O727" s="119" t="n">
        <x:f>ROUNDDOWN(MIN('经济参数'!$E$24,'经济参数'!$E$22+A727*'经济参数'!$E$23)*G727,0)</x:f>
        <x:v>0</x:v>
      </x:c>
      <x:c r="P727" s="119" t="n">
        <x:f>ROUNDDOWN((IF(A727&gt;='材料与任务'!$E$31,'材料与任务'!$E$32,IF(A727&gt;='材料与任务'!$E$25,'材料与任务'!$E$26,IF(A727&gt;='材料与任务'!$E$19,'材料与任务'!$E$20,IF(A727&gt;='材料与任务'!$E$13,'材料与任务'!$E$14,'材料与任务'!$E$8)))))*G727,0)</x:f>
        <x:v>6</x:v>
      </x:c>
      <x:c r="Q727" s="119" t="n">
        <x:f>ROUNDDOWN((IF(A727&gt;='材料与任务'!$E$31,'材料与任务'!$E$33,IF(A727&gt;='材料与任务'!$E$25,'材料与任务'!$E$27,IF(A727&gt;='材料与任务'!$E$19,'材料与任务'!$E$21,IF(A727&gt;='材料与任务'!$E$13,'材料与任务'!$E$15,'材料与任务'!$E$9)))))*G727,0)</x:f>
        <x:v>3</x:v>
      </x:c>
      <x:c r="R727" s="110" t="n">
        <x:f>'装备掉落'!$B$38</x:f>
        <x:v>0.6872058758851213</x:v>
      </x:c>
      <x:c r="S727" s="119" t="n">
        <x:f>MAX(IF(VLOOKUP(A727,'装备掉落'!$A$29:$H$34,2,TRUE)&gt;0,1,0),IF(VLOOKUP(A727,'装备掉落'!$A$29:$H$34,3,TRUE)&gt;0,2,0),IF(VLOOKUP(A727,'装备掉落'!$A$29:$H$34,4,TRUE)&gt;0,3,0),IF(VLOOKUP(A727,'装备掉落'!$A$29:$H$34,5,TRUE)&gt;0,4,0),IF(VLOOKUP(A727,'装备掉落'!$A$29:$H$34,6,TRUE)&gt;0,5,0),IF(VLOOKUP(A727,'装备掉落'!$A$29:$H$34,7,TRUE)&gt;0,6,0),IF(VLOOKUP(A727,'装备掉落'!$A$29:$H$34,8,TRUE)&gt;0,7,0))</x:f>
        <x:v>7</x:v>
      </x:c>
      <x:c r="T727" s="119" t="n">
        <x:f>MIN(7,S727+'经济参数'!$E$70)</x:f>
        <x:v>7</x:v>
      </x:c>
      <x:c r="U727" s="119" t="n">
        <x:f>MIN(7,S727+'经济参数'!$E$71)</x:f>
        <x:v>7</x:v>
      </x:c>
      <x:c r="V727" s="119" t="n">
        <x:f>IF(H727&gt;=('难度参数'!$E$52),1,0)+IF(H727&gt;=('难度参数'!$E$52+'难度参数'!$E$53),1,0)+IF(H727&gt;=('难度参数'!$E$52+'难度参数'!$E$53+'难度参数'!$E$54),1,0)+IF(H727&gt;=('难度参数'!$E$52+'难度参数'!$E$53+'难度参数'!$E$54+'难度参数'!$E$55),1,0)+IF(H727&gt;=('难度参数'!$E$52+'难度参数'!$E$53+'难度参数'!$E$54+'难度参数'!$E$55+'难度参数'!$E$56),1,0)+IF(H727&gt;=('难度参数'!$E$52+'难度参数'!$E$53+'难度参数'!$E$54+'难度参数'!$E$55+'难度参数'!$E$56+'难度参数'!$E$57),1,0)</x:f>
        <x:v>6</x:v>
      </x:c>
      <x:c r="W727" s="62" t="str">
        <x:f>IF(L727&gt;'难度参数'!$E$51,"仅出怪已超目标","还需实测")</x:f>
        <x:v>仅出怪已超目标</x:v>
      </x:c>
      <x:c r="X727" s="119" t="n">
        <x:f>IF(1&gt;D727,0,MAX(2,MIN('难度参数'!$E$12,ROUND(('难度参数'!$E$18*POWER(A727,'难度参数'!$E$19)/D727*(0.85+0.3*(1-1)/MAX(1,D727-1))),0)+F727)))</x:f>
        <x:v>40</x:v>
      </x:c>
      <x:c r="Y727" s="119" t="n">
        <x:f>IF(1&gt;D727,0,ROUND(('难度参数'!$E$13*POWER(A727,'难度参数'!$E$20)*MIN('难度参数'!$E$23,1+MAX(0,A727-'难度参数'!$E$21)*'难度参数'!$E$22))*(36+1*7)/(36+7*(D727+1)/2)*E727,0))</x:f>
        <x:v>10359</x:v>
      </x:c>
      <x:c r="Z727" s="119" t="n">
        <x:f>IF(X727=0,0,(X727-IF(1=D727,1,0))*ROUND(Y727*VLOOKUP(INDEX('章节与怪物'!$E$31:$K$37,B727,1),'章节与怪物'!$A$41:$F$44,2,FALSE),0)+IF(1=D727,ROUND(Y727*'难度参数'!$E$28*'章节与怪物'!$E$17,0),0))</x:f>
        <x:v>414360</x:v>
      </x:c>
      <x:c r="AA727" s="119" t="n">
        <x:f>IF(X727=0,0,(X727-IF(1=D727,1,0))*VLOOKUP(INDEX('章节与怪物'!$E$31:$K$37,B727,1),'章节与怪物'!$A$41:$F$44,4,FALSE)+IF(1=D727,'难度参数'!$E$30,0))</x:f>
        <x:v>720</x:v>
      </x:c>
      <x:c r="AB727" s="119" t="n">
        <x:f>IF(2&gt;D727,0,MAX(2,MIN('难度参数'!$E$12,ROUND(('难度参数'!$E$18*POWER(A727,'难度参数'!$E$19)/D727*(0.85+0.3*(2-1)/MAX(1,D727-1))),0)+F727)))</x:f>
        <x:v>42</x:v>
      </x:c>
      <x:c r="AC727" s="119" t="n">
        <x:f>IF(2&gt;D727,0,ROUND(('难度参数'!$E$13*POWER(A727,'难度参数'!$E$20)*MIN('难度参数'!$E$23,1+MAX(0,A727-'难度参数'!$E$21)*'难度参数'!$E$22))*(36+2*7)/(36+7*(D727+1)/2)*E727,0))</x:f>
        <x:v>12046</x:v>
      </x:c>
      <x:c r="AD727" s="119" t="n">
        <x:f>IF(AB727=0,0,(AB727-IF(2=D727,1,0))*ROUND(AC727*VLOOKUP(INDEX('章节与怪物'!$E$31:$K$37,B727,2),'章节与怪物'!$A$41:$F$44,2,FALSE),0)+IF(2=D727,ROUND(AC727*'难度参数'!$E$28*'章节与怪物'!$E$17,0),0))</x:f>
        <x:v>364266</x:v>
      </x:c>
      <x:c r="AE727" s="119" t="n">
        <x:f>IF(AB727=0,0,(AB727-IF(2=D727,1,0))*VLOOKUP(INDEX('章节与怪物'!$E$31:$K$37,B727,2),'章节与怪物'!$A$41:$F$44,4,FALSE)+IF(2=D727,'难度参数'!$E$30,0))</x:f>
        <x:v>840</x:v>
      </x:c>
      <x:c r="AF727" s="119" t="n">
        <x:f>IF(3&gt;D727,0,MAX(2,MIN('难度参数'!$E$12,ROUND(('难度参数'!$E$18*POWER(A727,'难度参数'!$E$19)/D727*(0.85+0.3*(3-1)/MAX(1,D727-1))),0)+F727)))</x:f>
        <x:v>45</x:v>
      </x:c>
      <x:c r="AG727" s="119" t="n">
        <x:f>IF(3&gt;D727,0,ROUND(('难度参数'!$E$13*POWER(A727,'难度参数'!$E$20)*MIN('难度参数'!$E$23,1+MAX(0,A727-'难度参数'!$E$21)*'难度参数'!$E$22))*(36+3*7)/(36+7*(D727+1)/2)*E727,0))</x:f>
        <x:v>13732</x:v>
      </x:c>
      <x:c r="AH727" s="119" t="n">
        <x:f>IF(AF727=0,0,(AF727-IF(3=D727,1,0))*ROUND(AG727*VLOOKUP(INDEX('章节与怪物'!$E$31:$K$37,B727,3),'章节与怪物'!$A$41:$F$44,2,FALSE),0)+IF(3=D727,ROUND(AG727*'难度参数'!$E$28*'章节与怪物'!$E$17,0),0))</x:f>
        <x:v>1050480</x:v>
      </x:c>
      <x:c r="AI727" s="119" t="n">
        <x:f>IF(AF727=0,0,(AF727-IF(3=D727,1,0))*VLOOKUP(INDEX('章节与怪物'!$E$31:$K$37,B727,3),'章节与怪物'!$A$41:$F$44,4,FALSE)+IF(3=D727,'难度参数'!$E$30,0))</x:f>
        <x:v>1260</x:v>
      </x:c>
      <x:c r="AJ727" s="119" t="n">
        <x:f>IF(4&gt;D727,0,MAX(2,MIN('难度参数'!$E$12,ROUND(('难度参数'!$E$18*POWER(A727,'难度参数'!$E$19)/D727*(0.85+0.3*(4-1)/MAX(1,D727-1))),0)+F727)))</x:f>
        <x:v>47</x:v>
      </x:c>
      <x:c r="AK727" s="119" t="n">
        <x:f>IF(4&gt;D727,0,ROUND(('难度参数'!$E$13*POWER(A727,'难度参数'!$E$20)*MIN('难度参数'!$E$23,1+MAX(0,A727-'难度参数'!$E$21)*'难度参数'!$E$22))*(36+4*7)/(36+7*(D727+1)/2)*E727,0))</x:f>
        <x:v>15419</x:v>
      </x:c>
      <x:c r="AL727" s="119" t="n">
        <x:f>IF(AJ727=0,0,(AJ727-IF(4=D727,1,0))*ROUND(AK727*VLOOKUP(INDEX('章节与怪物'!$E$31:$K$37,B727,4),'章节与怪物'!$A$41:$F$44,2,FALSE),0)+IF(4=D727,ROUND(AK727*'难度参数'!$E$28*'章节与怪物'!$E$17,0),0))</x:f>
        <x:v>978352</x:v>
      </x:c>
      <x:c r="AM727" s="119" t="n">
        <x:f>IF(AJ727=0,0,(AJ727-IF(4=D727,1,0))*VLOOKUP(INDEX('章节与怪物'!$E$31:$K$37,B727,4),'章节与怪物'!$A$41:$F$44,4,FALSE)+IF(4=D727,'难度参数'!$E$30,0))</x:f>
        <x:v>1598</x:v>
      </x:c>
      <x:c r="AN727" s="119" t="n">
        <x:f>IF(5&gt;D727,0,MAX(2,MIN('难度参数'!$E$12,ROUND(('难度参数'!$E$18*POWER(A727,'难度参数'!$E$19)/D727*(0.85+0.3*(5-1)/MAX(1,D727-1))),0)+F727)))</x:f>
        <x:v>50</x:v>
      </x:c>
      <x:c r="AO727" s="119" t="n">
        <x:f>IF(5&gt;D727,0,ROUND(('难度参数'!$E$13*POWER(A727,'难度参数'!$E$20)*MIN('难度参数'!$E$23,1+MAX(0,A727-'难度参数'!$E$21)*'难度参数'!$E$22))*(36+5*7)/(36+7*(D727+1)/2)*E727,0))</x:f>
        <x:v>17105</x:v>
      </x:c>
      <x:c r="AP727" s="119" t="n">
        <x:f>IF(AN727=0,0,(AN727-IF(5=D727,1,0))*ROUND(AO727*VLOOKUP(INDEX('章节与怪物'!$E$31:$K$37,B727,5),'章节与怪物'!$A$41:$F$44,2,FALSE),0)+IF(5=D727,ROUND(AO727*'难度参数'!$E$28*'章节与怪物'!$E$17,0),0))</x:f>
        <x:v>615800</x:v>
      </x:c>
      <x:c r="AQ727" s="119" t="n">
        <x:f>IF(AN727=0,0,(AN727-IF(5=D727,1,0))*VLOOKUP(INDEX('章节与怪物'!$E$31:$K$37,B727,5),'章节与怪物'!$A$41:$F$44,4,FALSE)+IF(5=D727,'难度参数'!$E$30,0))</x:f>
        <x:v>1000</x:v>
      </x:c>
      <x:c r="AR727" s="119" t="n">
        <x:f>IF(6&gt;D727,0,MAX(2,MIN('难度参数'!$E$12,ROUND(('难度参数'!$E$18*POWER(A727,'难度参数'!$E$19)/D727*(0.85+0.3*(6-1)/MAX(1,D727-1))),0)+F727)))</x:f>
        <x:v>52</x:v>
      </x:c>
      <x:c r="AS727" s="119" t="n">
        <x:f>IF(6&gt;D727,0,ROUND(('难度参数'!$E$13*POWER(A727,'难度参数'!$E$20)*MIN('难度参数'!$E$23,1+MAX(0,A727-'难度参数'!$E$21)*'难度参数'!$E$22))*(36+6*7)/(36+7*(D727+1)/2)*E727,0))</x:f>
        <x:v>18792</x:v>
      </x:c>
      <x:c r="AT727" s="119" t="n">
        <x:f>IF(AR727=0,0,(AR727-IF(6=D727,1,0))*ROUND(AS727*VLOOKUP(INDEX('章节与怪物'!$E$31:$K$37,B727,6),'章节与怪物'!$A$41:$F$44,2,FALSE),0)+IF(6=D727,ROUND(AS727*'难度参数'!$E$28*'章节与怪物'!$E$17,0),0))</x:f>
        <x:v>1661192</x:v>
      </x:c>
      <x:c r="AU727" s="119" t="n">
        <x:f>IF(AR727=0,0,(AR727-IF(6=D727,1,0))*VLOOKUP(INDEX('章节与怪物'!$E$31:$K$37,B727,6),'章节与怪物'!$A$41:$F$44,4,FALSE)+IF(6=D727,'难度参数'!$E$30,0))</x:f>
        <x:v>1456</x:v>
      </x:c>
      <x:c r="AV727" s="119" t="n">
        <x:f>IF(7&gt;D727,0,MAX(2,MIN('难度参数'!$E$12,ROUND(('难度参数'!$E$18*POWER(A727,'难度参数'!$E$19)/D727*(0.85+0.3*(7-1)/MAX(1,D727-1))),0)+F727)))</x:f>
        <x:v>54</x:v>
      </x:c>
      <x:c r="AW727" s="119" t="n">
        <x:f>IF(7&gt;D727,0,ROUND(('难度参数'!$E$13*POWER(A727,'难度参数'!$E$20)*MIN('难度参数'!$E$23,1+MAX(0,A727-'难度参数'!$E$21)*'难度参数'!$E$22))*(36+7*7)/(36+7*(D727+1)/2)*E727,0))</x:f>
        <x:v>20478</x:v>
      </x:c>
      <x:c r="AX727" s="119" t="n">
        <x:f>IF(AV727=0,0,(AV727-IF(7=D727,1,0))*ROUND(AW727*VLOOKUP(INDEX('章节与怪物'!$E$31:$K$37,B727,7),'章节与怪物'!$A$41:$F$44,2,FALSE),0)+IF(7=D727,ROUND(AW727*'难度参数'!$E$28*'章节与怪物'!$E$17,0),0))</x:f>
        <x:v>1604435</x:v>
      </x:c>
      <x:c r="AY727" s="119" t="n">
        <x:f>IF(AV727=0,0,(AV727-IF(7=D727,1,0))*VLOOKUP(INDEX('章节与怪物'!$E$31:$K$37,B727,7),'章节与怪物'!$A$41:$F$44,4,FALSE)+IF(7=D727,'难度参数'!$E$30,0))</x:f>
        <x:v>2002</x:v>
      </x:c>
    </x:row>
    <x:row r="728" ht="23" customHeight="1">
      <x:c r="A728" s="119" t="n">
        <x:v>722</x:v>
      </x:c>
      <x:c r="B728" s="119" t="n">
        <x:f>MOD(INT((A728-1)/5),7)+1</x:f>
        <x:v>5</x:v>
      </x:c>
      <x:c r="C728" s="62" t="str">
        <x:f>INDEX('章节与怪物'!$B$31:$B$37,B728)</x:f>
        <x:v>雨林遗迹</x:v>
      </x:c>
      <x:c r="D728" s="119" t="n">
        <x:f>MIN('难度参数'!$E$8,MAX('难度参数'!$E$7,A728))</x:f>
        <x:v>7</x:v>
      </x:c>
      <x:c r="E728" s="106" t="n">
        <x:v>1</x:v>
      </x:c>
      <x:c r="F728" s="106" t="n">
        <x:v>0</x:v>
      </x:c>
      <x:c r="G728" s="106" t="n">
        <x:v>1</x:v>
      </x:c>
      <x:c r="H728" s="119" t="n">
        <x:f>SUM(X728,AB728,AF728,AJ728,AN728,AR728,AV728)</x:f>
        <x:v>330</x:v>
      </x:c>
      <x:c r="I728" s="119" t="n">
        <x:f>SUM(Z728,AD728,AH728,AL728,AP728,AT728,AX728)</x:f>
        <x:v>6695502</x:v>
      </x:c>
      <x:c r="J728" s="119" t="n">
        <x:f>ROUND(INDEX(X728:AY728,1,(D728-1)*4+2)*'难度参数'!$E$28*'章节与怪物'!$E$17,0)</x:f>
        <x:v>139386</x:v>
      </x:c>
      <x:c r="K728" s="119" t="n">
        <x:f>SUM(AA728,AE728,AI728,AM728,AQ728,AU728,AY728)</x:f>
        <x:v>8876</x:v>
      </x:c>
      <x:c r="L728" s="62" t="n">
        <x:f>H728*(ROUNDUP('难度参数'!$E$24/('难度参数'!$E$26*'难度参数'!$E$27),0)*'难度参数'!$E$26)/60</x:f>
        <x:v>4.4</x:v>
      </x:c>
      <x:c r="M728" s="62" t="n">
        <x:f>L728+D728*('难度参数'!$E$49+'难度参数'!$E$50)/60</x:f>
        <x:v>5.566666666666667</x:v>
      </x:c>
      <x:c r="N728" s="119" t="n">
        <x:f>ROUNDDOWN(('经济参数'!$E$20+A728*'经济参数'!$E$21)*G728,0)</x:f>
        <x:v>14620</x:v>
      </x:c>
      <x:c r="O728" s="119" t="n">
        <x:f>ROUNDDOWN(MIN('经济参数'!$E$24,'经济参数'!$E$22+A728*'经济参数'!$E$23)*G728,0)</x:f>
        <x:v>0</x:v>
      </x:c>
      <x:c r="P728" s="119" t="n">
        <x:f>ROUNDDOWN((IF(A728&gt;='材料与任务'!$E$31,'材料与任务'!$E$32,IF(A728&gt;='材料与任务'!$E$25,'材料与任务'!$E$26,IF(A728&gt;='材料与任务'!$E$19,'材料与任务'!$E$20,IF(A728&gt;='材料与任务'!$E$13,'材料与任务'!$E$14,'材料与任务'!$E$8)))))*G728,0)</x:f>
        <x:v>6</x:v>
      </x:c>
      <x:c r="Q728" s="119" t="n">
        <x:f>ROUNDDOWN((IF(A728&gt;='材料与任务'!$E$31,'材料与任务'!$E$33,IF(A728&gt;='材料与任务'!$E$25,'材料与任务'!$E$27,IF(A728&gt;='材料与任务'!$E$19,'材料与任务'!$E$21,IF(A728&gt;='材料与任务'!$E$13,'材料与任务'!$E$15,'材料与任务'!$E$9)))))*G728,0)</x:f>
        <x:v>3</x:v>
      </x:c>
      <x:c r="R728" s="110" t="n">
        <x:f>'装备掉落'!$B$38</x:f>
        <x:v>0.6872058758851213</x:v>
      </x:c>
      <x:c r="S728" s="119" t="n">
        <x:f>MAX(IF(VLOOKUP(A728,'装备掉落'!$A$29:$H$34,2,TRUE)&gt;0,1,0),IF(VLOOKUP(A728,'装备掉落'!$A$29:$H$34,3,TRUE)&gt;0,2,0),IF(VLOOKUP(A728,'装备掉落'!$A$29:$H$34,4,TRUE)&gt;0,3,0),IF(VLOOKUP(A728,'装备掉落'!$A$29:$H$34,5,TRUE)&gt;0,4,0),IF(VLOOKUP(A728,'装备掉落'!$A$29:$H$34,6,TRUE)&gt;0,5,0),IF(VLOOKUP(A728,'装备掉落'!$A$29:$H$34,7,TRUE)&gt;0,6,0),IF(VLOOKUP(A728,'装备掉落'!$A$29:$H$34,8,TRUE)&gt;0,7,0))</x:f>
        <x:v>7</x:v>
      </x:c>
      <x:c r="T728" s="119" t="n">
        <x:f>MIN(7,S728+'经济参数'!$E$70)</x:f>
        <x:v>7</x:v>
      </x:c>
      <x:c r="U728" s="119" t="n">
        <x:f>MIN(7,S728+'经济参数'!$E$71)</x:f>
        <x:v>7</x:v>
      </x:c>
      <x:c r="V728" s="119" t="n">
        <x:f>IF(H728&gt;=('难度参数'!$E$52),1,0)+IF(H728&gt;=('难度参数'!$E$52+'难度参数'!$E$53),1,0)+IF(H728&gt;=('难度参数'!$E$52+'难度参数'!$E$53+'难度参数'!$E$54),1,0)+IF(H728&gt;=('难度参数'!$E$52+'难度参数'!$E$53+'难度参数'!$E$54+'难度参数'!$E$55),1,0)+IF(H728&gt;=('难度参数'!$E$52+'难度参数'!$E$53+'难度参数'!$E$54+'难度参数'!$E$55+'难度参数'!$E$56),1,0)+IF(H728&gt;=('难度参数'!$E$52+'难度参数'!$E$53+'难度参数'!$E$54+'难度参数'!$E$55+'难度参数'!$E$56+'难度参数'!$E$57),1,0)</x:f>
        <x:v>6</x:v>
      </x:c>
      <x:c r="W728" s="62" t="str">
        <x:f>IF(L728&gt;'难度参数'!$E$51,"仅出怪已超目标","还需实测")</x:f>
        <x:v>仅出怪已超目标</x:v>
      </x:c>
      <x:c r="X728" s="119" t="n">
        <x:f>IF(1&gt;D728,0,MAX(2,MIN('难度参数'!$E$12,ROUND(('难度参数'!$E$18*POWER(A728,'难度参数'!$E$19)/D728*(0.85+0.3*(1-1)/MAX(1,D728-1))),0)+F728)))</x:f>
        <x:v>40</x:v>
      </x:c>
      <x:c r="Y728" s="119" t="n">
        <x:f>IF(1&gt;D728,0,ROUND(('难度参数'!$E$13*POWER(A728,'难度参数'!$E$20)*MIN('难度参数'!$E$23,1+MAX(0,A728-'难度参数'!$E$21)*'难度参数'!$E$22))*(36+1*7)/(36+7*(D728+1)/2)*E728,0))</x:f>
        <x:v>10370</x:v>
      </x:c>
      <x:c r="Z728" s="119" t="n">
        <x:f>IF(X728=0,0,(X728-IF(1=D728,1,0))*ROUND(Y728*VLOOKUP(INDEX('章节与怪物'!$E$31:$K$37,B728,1),'章节与怪物'!$A$41:$F$44,2,FALSE),0)+IF(1=D728,ROUND(Y728*'难度参数'!$E$28*'章节与怪物'!$E$17,0),0))</x:f>
        <x:v>414800</x:v>
      </x:c>
      <x:c r="AA728" s="119" t="n">
        <x:f>IF(X728=0,0,(X728-IF(1=D728,1,0))*VLOOKUP(INDEX('章节与怪物'!$E$31:$K$37,B728,1),'章节与怪物'!$A$41:$F$44,4,FALSE)+IF(1=D728,'难度参数'!$E$30,0))</x:f>
        <x:v>720</x:v>
      </x:c>
      <x:c r="AB728" s="119" t="n">
        <x:f>IF(2&gt;D728,0,MAX(2,MIN('难度参数'!$E$12,ROUND(('难度参数'!$E$18*POWER(A728,'难度参数'!$E$19)/D728*(0.85+0.3*(2-1)/MAX(1,D728-1))),0)+F728)))</x:f>
        <x:v>42</x:v>
      </x:c>
      <x:c r="AC728" s="119" t="n">
        <x:f>IF(2&gt;D728,0,ROUND(('难度参数'!$E$13*POWER(A728,'难度参数'!$E$20)*MIN('难度参数'!$E$23,1+MAX(0,A728-'难度参数'!$E$21)*'难度参数'!$E$22))*(36+2*7)/(36+7*(D728+1)/2)*E728,0))</x:f>
        <x:v>12058</x:v>
      </x:c>
      <x:c r="AD728" s="119" t="n">
        <x:f>IF(AB728=0,0,(AB728-IF(2=D728,1,0))*ROUND(AC728*VLOOKUP(INDEX('章节与怪物'!$E$31:$K$37,B728,2),'章节与怪物'!$A$41:$F$44,2,FALSE),0)+IF(2=D728,ROUND(AC728*'难度参数'!$E$28*'章节与怪物'!$E$17,0),0))</x:f>
        <x:v>364644</x:v>
      </x:c>
      <x:c r="AE728" s="119" t="n">
        <x:f>IF(AB728=0,0,(AB728-IF(2=D728,1,0))*VLOOKUP(INDEX('章节与怪物'!$E$31:$K$37,B728,2),'章节与怪物'!$A$41:$F$44,4,FALSE)+IF(2=D728,'难度参数'!$E$30,0))</x:f>
        <x:v>840</x:v>
      </x:c>
      <x:c r="AF728" s="119" t="n">
        <x:f>IF(3&gt;D728,0,MAX(2,MIN('难度参数'!$E$12,ROUND(('难度参数'!$E$18*POWER(A728,'难度参数'!$E$19)/D728*(0.85+0.3*(3-1)/MAX(1,D728-1))),0)+F728)))</x:f>
        <x:v>45</x:v>
      </x:c>
      <x:c r="AG728" s="119" t="n">
        <x:f>IF(3&gt;D728,0,ROUND(('难度参数'!$E$13*POWER(A728,'难度参数'!$E$20)*MIN('难度参数'!$E$23,1+MAX(0,A728-'难度参数'!$E$21)*'难度参数'!$E$22))*(36+3*7)/(36+7*(D728+1)/2)*E728,0))</x:f>
        <x:v>13746</x:v>
      </x:c>
      <x:c r="AH728" s="119" t="n">
        <x:f>IF(AF728=0,0,(AF728-IF(3=D728,1,0))*ROUND(AG728*VLOOKUP(INDEX('章节与怪物'!$E$31:$K$37,B728,3),'章节与怪物'!$A$41:$F$44,2,FALSE),0)+IF(3=D728,ROUND(AG728*'难度参数'!$E$28*'章节与怪物'!$E$17,0),0))</x:f>
        <x:v>1051560</x:v>
      </x:c>
      <x:c r="AI728" s="119" t="n">
        <x:f>IF(AF728=0,0,(AF728-IF(3=D728,1,0))*VLOOKUP(INDEX('章节与怪物'!$E$31:$K$37,B728,3),'章节与怪物'!$A$41:$F$44,4,FALSE)+IF(3=D728,'难度参数'!$E$30,0))</x:f>
        <x:v>1260</x:v>
      </x:c>
      <x:c r="AJ728" s="119" t="n">
        <x:f>IF(4&gt;D728,0,MAX(2,MIN('难度参数'!$E$12,ROUND(('难度参数'!$E$18*POWER(A728,'难度参数'!$E$19)/D728*(0.85+0.3*(4-1)/MAX(1,D728-1))),0)+F728)))</x:f>
        <x:v>47</x:v>
      </x:c>
      <x:c r="AK728" s="119" t="n">
        <x:f>IF(4&gt;D728,0,ROUND(('难度参数'!$E$13*POWER(A728,'难度参数'!$E$20)*MIN('难度参数'!$E$23,1+MAX(0,A728-'难度参数'!$E$21)*'难度参数'!$E$22))*(36+4*7)/(36+7*(D728+1)/2)*E728,0))</x:f>
        <x:v>15434</x:v>
      </x:c>
      <x:c r="AL728" s="119" t="n">
        <x:f>IF(AJ728=0,0,(AJ728-IF(4=D728,1,0))*ROUND(AK728*VLOOKUP(INDEX('章节与怪物'!$E$31:$K$37,B728,4),'章节与怪物'!$A$41:$F$44,2,FALSE),0)+IF(4=D728,ROUND(AK728*'难度参数'!$E$28*'章节与怪物'!$E$17,0),0))</x:f>
        <x:v>979292</x:v>
      </x:c>
      <x:c r="AM728" s="119" t="n">
        <x:f>IF(AJ728=0,0,(AJ728-IF(4=D728,1,0))*VLOOKUP(INDEX('章节与怪物'!$E$31:$K$37,B728,4),'章节与怪物'!$A$41:$F$44,4,FALSE)+IF(4=D728,'难度参数'!$E$30,0))</x:f>
        <x:v>1598</x:v>
      </x:c>
      <x:c r="AN728" s="119" t="n">
        <x:f>IF(5&gt;D728,0,MAX(2,MIN('难度参数'!$E$12,ROUND(('难度参数'!$E$18*POWER(A728,'难度参数'!$E$19)/D728*(0.85+0.3*(5-1)/MAX(1,D728-1))),0)+F728)))</x:f>
        <x:v>50</x:v>
      </x:c>
      <x:c r="AO728" s="119" t="n">
        <x:f>IF(5&gt;D728,0,ROUND(('难度参数'!$E$13*POWER(A728,'难度参数'!$E$20)*MIN('难度参数'!$E$23,1+MAX(0,A728-'难度参数'!$E$21)*'难度参数'!$E$22))*(36+5*7)/(36+7*(D728+1)/2)*E728,0))</x:f>
        <x:v>17122</x:v>
      </x:c>
      <x:c r="AP728" s="119" t="n">
        <x:f>IF(AN728=0,0,(AN728-IF(5=D728,1,0))*ROUND(AO728*VLOOKUP(INDEX('章节与怪物'!$E$31:$K$37,B728,5),'章节与怪物'!$A$41:$F$44,2,FALSE),0)+IF(5=D728,ROUND(AO728*'难度参数'!$E$28*'章节与怪物'!$E$17,0),0))</x:f>
        <x:v>616400</x:v>
      </x:c>
      <x:c r="AQ728" s="119" t="n">
        <x:f>IF(AN728=0,0,(AN728-IF(5=D728,1,0))*VLOOKUP(INDEX('章节与怪物'!$E$31:$K$37,B728,5),'章节与怪物'!$A$41:$F$44,4,FALSE)+IF(5=D728,'难度参数'!$E$30,0))</x:f>
        <x:v>1000</x:v>
      </x:c>
      <x:c r="AR728" s="119" t="n">
        <x:f>IF(6&gt;D728,0,MAX(2,MIN('难度参数'!$E$12,ROUND(('难度参数'!$E$18*POWER(A728,'难度参数'!$E$19)/D728*(0.85+0.3*(6-1)/MAX(1,D728-1))),0)+F728)))</x:f>
        <x:v>52</x:v>
      </x:c>
      <x:c r="AS728" s="119" t="n">
        <x:f>IF(6&gt;D728,0,ROUND(('难度参数'!$E$13*POWER(A728,'难度参数'!$E$20)*MIN('难度参数'!$E$23,1+MAX(0,A728-'难度参数'!$E$21)*'难度参数'!$E$22))*(36+6*7)/(36+7*(D728+1)/2)*E728,0))</x:f>
        <x:v>18810</x:v>
      </x:c>
      <x:c r="AT728" s="119" t="n">
        <x:f>IF(AR728=0,0,(AR728-IF(6=D728,1,0))*ROUND(AS728*VLOOKUP(INDEX('章节与怪物'!$E$31:$K$37,B728,6),'章节与怪物'!$A$41:$F$44,2,FALSE),0)+IF(6=D728,ROUND(AS728*'难度参数'!$E$28*'章节与怪物'!$E$17,0),0))</x:f>
        <x:v>1662804</x:v>
      </x:c>
      <x:c r="AU728" s="119" t="n">
        <x:f>IF(AR728=0,0,(AR728-IF(6=D728,1,0))*VLOOKUP(INDEX('章节与怪物'!$E$31:$K$37,B728,6),'章节与怪物'!$A$41:$F$44,4,FALSE)+IF(6=D728,'难度参数'!$E$30,0))</x:f>
        <x:v>1456</x:v>
      </x:c>
      <x:c r="AV728" s="119" t="n">
        <x:f>IF(7&gt;D728,0,MAX(2,MIN('难度参数'!$E$12,ROUND(('难度参数'!$E$18*POWER(A728,'难度参数'!$E$19)/D728*(0.85+0.3*(7-1)/MAX(1,D728-1))),0)+F728)))</x:f>
        <x:v>54</x:v>
      </x:c>
      <x:c r="AW728" s="119" t="n">
        <x:f>IF(7&gt;D728,0,ROUND(('难度参数'!$E$13*POWER(A728,'难度参数'!$E$20)*MIN('难度参数'!$E$23,1+MAX(0,A728-'难度参数'!$E$21)*'难度参数'!$E$22))*(36+7*7)/(36+7*(D728+1)/2)*E728,0))</x:f>
        <x:v>20498</x:v>
      </x:c>
      <x:c r="AX728" s="119" t="n">
        <x:f>IF(AV728=0,0,(AV728-IF(7=D728,1,0))*ROUND(AW728*VLOOKUP(INDEX('章节与怪物'!$E$31:$K$37,B728,7),'章节与怪物'!$A$41:$F$44,2,FALSE),0)+IF(7=D728,ROUND(AW728*'难度参数'!$E$28*'章节与怪物'!$E$17,0),0))</x:f>
        <x:v>1606002</x:v>
      </x:c>
      <x:c r="AY728" s="119" t="n">
        <x:f>IF(AV728=0,0,(AV728-IF(7=D728,1,0))*VLOOKUP(INDEX('章节与怪物'!$E$31:$K$37,B728,7),'章节与怪物'!$A$41:$F$44,4,FALSE)+IF(7=D728,'难度参数'!$E$30,0))</x:f>
        <x:v>2002</x:v>
      </x:c>
    </x:row>
    <x:row r="729" ht="23" customHeight="1">
      <x:c r="A729" s="119" t="n">
        <x:v>723</x:v>
      </x:c>
      <x:c r="B729" s="119" t="n">
        <x:f>MOD(INT((A729-1)/5),7)+1</x:f>
        <x:v>5</x:v>
      </x:c>
      <x:c r="C729" s="62" t="str">
        <x:f>INDEX('章节与怪物'!$B$31:$B$37,B729)</x:f>
        <x:v>雨林遗迹</x:v>
      </x:c>
      <x:c r="D729" s="119" t="n">
        <x:f>MIN('难度参数'!$E$8,MAX('难度参数'!$E$7,A729))</x:f>
        <x:v>7</x:v>
      </x:c>
      <x:c r="E729" s="106" t="n">
        <x:v>1</x:v>
      </x:c>
      <x:c r="F729" s="106" t="n">
        <x:v>0</x:v>
      </x:c>
      <x:c r="G729" s="106" t="n">
        <x:v>1</x:v>
      </x:c>
      <x:c r="H729" s="119" t="n">
        <x:f>SUM(X729,AB729,AF729,AJ729,AN729,AR729,AV729)</x:f>
        <x:v>330</x:v>
      </x:c>
      <x:c r="I729" s="119" t="n">
        <x:f>SUM(Z729,AD729,AH729,AL729,AP729,AT729,AX729)</x:f>
        <x:v>6702202</x:v>
      </x:c>
      <x:c r="J729" s="119" t="n">
        <x:f>ROUND(INDEX(X729:AY729,1,(D729-1)*4+2)*'难度参数'!$E$28*'章节与怪物'!$E$17,0)</x:f>
        <x:v>139529</x:v>
      </x:c>
      <x:c r="K729" s="119" t="n">
        <x:f>SUM(AA729,AE729,AI729,AM729,AQ729,AU729,AY729)</x:f>
        <x:v>8876</x:v>
      </x:c>
      <x:c r="L729" s="62" t="n">
        <x:f>H729*(ROUNDUP('难度参数'!$E$24/('难度参数'!$E$26*'难度参数'!$E$27),0)*'难度参数'!$E$26)/60</x:f>
        <x:v>4.4</x:v>
      </x:c>
      <x:c r="M729" s="62" t="n">
        <x:f>L729+D729*('难度参数'!$E$49+'难度参数'!$E$50)/60</x:f>
        <x:v>5.566666666666667</x:v>
      </x:c>
      <x:c r="N729" s="119" t="n">
        <x:f>ROUNDDOWN(('经济参数'!$E$20+A729*'经济参数'!$E$21)*G729,0)</x:f>
        <x:v>14640</x:v>
      </x:c>
      <x:c r="O729" s="119" t="n">
        <x:f>ROUNDDOWN(MIN('经济参数'!$E$24,'经济参数'!$E$22+A729*'经济参数'!$E$23)*G729,0)</x:f>
        <x:v>0</x:v>
      </x:c>
      <x:c r="P729" s="119" t="n">
        <x:f>ROUNDDOWN((IF(A729&gt;='材料与任务'!$E$31,'材料与任务'!$E$32,IF(A729&gt;='材料与任务'!$E$25,'材料与任务'!$E$26,IF(A729&gt;='材料与任务'!$E$19,'材料与任务'!$E$20,IF(A729&gt;='材料与任务'!$E$13,'材料与任务'!$E$14,'材料与任务'!$E$8)))))*G729,0)</x:f>
        <x:v>6</x:v>
      </x:c>
      <x:c r="Q729" s="119" t="n">
        <x:f>ROUNDDOWN((IF(A729&gt;='材料与任务'!$E$31,'材料与任务'!$E$33,IF(A729&gt;='材料与任务'!$E$25,'材料与任务'!$E$27,IF(A729&gt;='材料与任务'!$E$19,'材料与任务'!$E$21,IF(A729&gt;='材料与任务'!$E$13,'材料与任务'!$E$15,'材料与任务'!$E$9)))))*G729,0)</x:f>
        <x:v>3</x:v>
      </x:c>
      <x:c r="R729" s="110" t="n">
        <x:f>'装备掉落'!$B$38</x:f>
        <x:v>0.6872058758851213</x:v>
      </x:c>
      <x:c r="S729" s="119" t="n">
        <x:f>MAX(IF(VLOOKUP(A729,'装备掉落'!$A$29:$H$34,2,TRUE)&gt;0,1,0),IF(VLOOKUP(A729,'装备掉落'!$A$29:$H$34,3,TRUE)&gt;0,2,0),IF(VLOOKUP(A729,'装备掉落'!$A$29:$H$34,4,TRUE)&gt;0,3,0),IF(VLOOKUP(A729,'装备掉落'!$A$29:$H$34,5,TRUE)&gt;0,4,0),IF(VLOOKUP(A729,'装备掉落'!$A$29:$H$34,6,TRUE)&gt;0,5,0),IF(VLOOKUP(A729,'装备掉落'!$A$29:$H$34,7,TRUE)&gt;0,6,0),IF(VLOOKUP(A729,'装备掉落'!$A$29:$H$34,8,TRUE)&gt;0,7,0))</x:f>
        <x:v>7</x:v>
      </x:c>
      <x:c r="T729" s="119" t="n">
        <x:f>MIN(7,S729+'经济参数'!$E$70)</x:f>
        <x:v>7</x:v>
      </x:c>
      <x:c r="U729" s="119" t="n">
        <x:f>MIN(7,S729+'经济参数'!$E$71)</x:f>
        <x:v>7</x:v>
      </x:c>
      <x:c r="V729" s="119" t="n">
        <x:f>IF(H729&gt;=('难度参数'!$E$52),1,0)+IF(H729&gt;=('难度参数'!$E$52+'难度参数'!$E$53),1,0)+IF(H729&gt;=('难度参数'!$E$52+'难度参数'!$E$53+'难度参数'!$E$54),1,0)+IF(H729&gt;=('难度参数'!$E$52+'难度参数'!$E$53+'难度参数'!$E$54+'难度参数'!$E$55),1,0)+IF(H729&gt;=('难度参数'!$E$52+'难度参数'!$E$53+'难度参数'!$E$54+'难度参数'!$E$55+'难度参数'!$E$56),1,0)+IF(H729&gt;=('难度参数'!$E$52+'难度参数'!$E$53+'难度参数'!$E$54+'难度参数'!$E$55+'难度参数'!$E$56+'难度参数'!$E$57),1,0)</x:f>
        <x:v>6</x:v>
      </x:c>
      <x:c r="W729" s="62" t="str">
        <x:f>IF(L729&gt;'难度参数'!$E$51,"仅出怪已超目标","还需实测")</x:f>
        <x:v>仅出怪已超目标</x:v>
      </x:c>
      <x:c r="X729" s="119" t="n">
        <x:f>IF(1&gt;D729,0,MAX(2,MIN('难度参数'!$E$12,ROUND(('难度参数'!$E$18*POWER(A729,'难度参数'!$E$19)/D729*(0.85+0.3*(1-1)/MAX(1,D729-1))),0)+F729)))</x:f>
        <x:v>40</x:v>
      </x:c>
      <x:c r="Y729" s="119" t="n">
        <x:f>IF(1&gt;D729,0,ROUND(('难度参数'!$E$13*POWER(A729,'难度参数'!$E$20)*MIN('难度参数'!$E$23,1+MAX(0,A729-'难度参数'!$E$21)*'难度参数'!$E$22))*(36+1*7)/(36+7*(D729+1)/2)*E729,0))</x:f>
        <x:v>10380</x:v>
      </x:c>
      <x:c r="Z729" s="119" t="n">
        <x:f>IF(X729=0,0,(X729-IF(1=D729,1,0))*ROUND(Y729*VLOOKUP(INDEX('章节与怪物'!$E$31:$K$37,B729,1),'章节与怪物'!$A$41:$F$44,2,FALSE),0)+IF(1=D729,ROUND(Y729*'难度参数'!$E$28*'章节与怪物'!$E$17,0),0))</x:f>
        <x:v>415200</x:v>
      </x:c>
      <x:c r="AA729" s="119" t="n">
        <x:f>IF(X729=0,0,(X729-IF(1=D729,1,0))*VLOOKUP(INDEX('章节与怪物'!$E$31:$K$37,B729,1),'章节与怪物'!$A$41:$F$44,4,FALSE)+IF(1=D729,'难度参数'!$E$30,0))</x:f>
        <x:v>720</x:v>
      </x:c>
      <x:c r="AB729" s="119" t="n">
        <x:f>IF(2&gt;D729,0,MAX(2,MIN('难度参数'!$E$12,ROUND(('难度参数'!$E$18*POWER(A729,'难度参数'!$E$19)/D729*(0.85+0.3*(2-1)/MAX(1,D729-1))),0)+F729)))</x:f>
        <x:v>42</x:v>
      </x:c>
      <x:c r="AC729" s="119" t="n">
        <x:f>IF(2&gt;D729,0,ROUND(('难度参数'!$E$13*POWER(A729,'难度参数'!$E$20)*MIN('难度参数'!$E$23,1+MAX(0,A729-'难度参数'!$E$21)*'难度参数'!$E$22))*(36+2*7)/(36+7*(D729+1)/2)*E729,0))</x:f>
        <x:v>12070</x:v>
      </x:c>
      <x:c r="AD729" s="119" t="n">
        <x:f>IF(AB729=0,0,(AB729-IF(2=D729,1,0))*ROUND(AC729*VLOOKUP(INDEX('章节与怪物'!$E$31:$K$37,B729,2),'章节与怪物'!$A$41:$F$44,2,FALSE),0)+IF(2=D729,ROUND(AC729*'难度参数'!$E$28*'章节与怪物'!$E$17,0),0))</x:f>
        <x:v>364980</x:v>
      </x:c>
      <x:c r="AE729" s="119" t="n">
        <x:f>IF(AB729=0,0,(AB729-IF(2=D729,1,0))*VLOOKUP(INDEX('章节与怪物'!$E$31:$K$37,B729,2),'章节与怪物'!$A$41:$F$44,4,FALSE)+IF(2=D729,'难度参数'!$E$30,0))</x:f>
        <x:v>840</x:v>
      </x:c>
      <x:c r="AF729" s="119" t="n">
        <x:f>IF(3&gt;D729,0,MAX(2,MIN('难度参数'!$E$12,ROUND(('难度参数'!$E$18*POWER(A729,'难度参数'!$E$19)/D729*(0.85+0.3*(3-1)/MAX(1,D729-1))),0)+F729)))</x:f>
        <x:v>45</x:v>
      </x:c>
      <x:c r="AG729" s="119" t="n">
        <x:f>IF(3&gt;D729,0,ROUND(('难度参数'!$E$13*POWER(A729,'难度参数'!$E$20)*MIN('难度参数'!$E$23,1+MAX(0,A729-'难度参数'!$E$21)*'难度参数'!$E$22))*(36+3*7)/(36+7*(D729+1)/2)*E729,0))</x:f>
        <x:v>13760</x:v>
      </x:c>
      <x:c r="AH729" s="119" t="n">
        <x:f>IF(AF729=0,0,(AF729-IF(3=D729,1,0))*ROUND(AG729*VLOOKUP(INDEX('章节与怪物'!$E$31:$K$37,B729,3),'章节与怪物'!$A$41:$F$44,2,FALSE),0)+IF(3=D729,ROUND(AG729*'难度参数'!$E$28*'章节与怪物'!$E$17,0),0))</x:f>
        <x:v>1052640</x:v>
      </x:c>
      <x:c r="AI729" s="119" t="n">
        <x:f>IF(AF729=0,0,(AF729-IF(3=D729,1,0))*VLOOKUP(INDEX('章节与怪物'!$E$31:$K$37,B729,3),'章节与怪物'!$A$41:$F$44,4,FALSE)+IF(3=D729,'难度参数'!$E$30,0))</x:f>
        <x:v>1260</x:v>
      </x:c>
      <x:c r="AJ729" s="119" t="n">
        <x:f>IF(4&gt;D729,0,MAX(2,MIN('难度参数'!$E$12,ROUND(('难度参数'!$E$18*POWER(A729,'难度参数'!$E$19)/D729*(0.85+0.3*(4-1)/MAX(1,D729-1))),0)+F729)))</x:f>
        <x:v>47</x:v>
      </x:c>
      <x:c r="AK729" s="119" t="n">
        <x:f>IF(4&gt;D729,0,ROUND(('难度参数'!$E$13*POWER(A729,'难度参数'!$E$20)*MIN('难度参数'!$E$23,1+MAX(0,A729-'难度参数'!$E$21)*'难度参数'!$E$22))*(36+4*7)/(36+7*(D729+1)/2)*E729,0))</x:f>
        <x:v>15449</x:v>
      </x:c>
      <x:c r="AL729" s="119" t="n">
        <x:f>IF(AJ729=0,0,(AJ729-IF(4=D729,1,0))*ROUND(AK729*VLOOKUP(INDEX('章节与怪物'!$E$31:$K$37,B729,4),'章节与怪物'!$A$41:$F$44,2,FALSE),0)+IF(4=D729,ROUND(AK729*'难度参数'!$E$28*'章节与怪物'!$E$17,0),0))</x:f>
        <x:v>980232</x:v>
      </x:c>
      <x:c r="AM729" s="119" t="n">
        <x:f>IF(AJ729=0,0,(AJ729-IF(4=D729,1,0))*VLOOKUP(INDEX('章节与怪物'!$E$31:$K$37,B729,4),'章节与怪物'!$A$41:$F$44,4,FALSE)+IF(4=D729,'难度参数'!$E$30,0))</x:f>
        <x:v>1598</x:v>
      </x:c>
      <x:c r="AN729" s="119" t="n">
        <x:f>IF(5&gt;D729,0,MAX(2,MIN('难度参数'!$E$12,ROUND(('难度参数'!$E$18*POWER(A729,'难度参数'!$E$19)/D729*(0.85+0.3*(5-1)/MAX(1,D729-1))),0)+F729)))</x:f>
        <x:v>50</x:v>
      </x:c>
      <x:c r="AO729" s="119" t="n">
        <x:f>IF(5&gt;D729,0,ROUND(('难度参数'!$E$13*POWER(A729,'难度参数'!$E$20)*MIN('难度参数'!$E$23,1+MAX(0,A729-'难度参数'!$E$21)*'难度参数'!$E$22))*(36+5*7)/(36+7*(D729+1)/2)*E729,0))</x:f>
        <x:v>17139</x:v>
      </x:c>
      <x:c r="AP729" s="119" t="n">
        <x:f>IF(AN729=0,0,(AN729-IF(5=D729,1,0))*ROUND(AO729*VLOOKUP(INDEX('章节与怪物'!$E$31:$K$37,B729,5),'章节与怪物'!$A$41:$F$44,2,FALSE),0)+IF(5=D729,ROUND(AO729*'难度参数'!$E$28*'章节与怪物'!$E$17,0),0))</x:f>
        <x:v>617000</x:v>
      </x:c>
      <x:c r="AQ729" s="119" t="n">
        <x:f>IF(AN729=0,0,(AN729-IF(5=D729,1,0))*VLOOKUP(INDEX('章节与怪物'!$E$31:$K$37,B729,5),'章节与怪物'!$A$41:$F$44,4,FALSE)+IF(5=D729,'难度参数'!$E$30,0))</x:f>
        <x:v>1000</x:v>
      </x:c>
      <x:c r="AR729" s="119" t="n">
        <x:f>IF(6&gt;D729,0,MAX(2,MIN('难度参数'!$E$12,ROUND(('难度参数'!$E$18*POWER(A729,'难度参数'!$E$19)/D729*(0.85+0.3*(6-1)/MAX(1,D729-1))),0)+F729)))</x:f>
        <x:v>52</x:v>
      </x:c>
      <x:c r="AS729" s="119" t="n">
        <x:f>IF(6&gt;D729,0,ROUND(('难度参数'!$E$13*POWER(A729,'难度参数'!$E$20)*MIN('难度参数'!$E$23,1+MAX(0,A729-'难度参数'!$E$21)*'难度参数'!$E$22))*(36+6*7)/(36+7*(D729+1)/2)*E729,0))</x:f>
        <x:v>18829</x:v>
      </x:c>
      <x:c r="AT729" s="119" t="n">
        <x:f>IF(AR729=0,0,(AR729-IF(6=D729,1,0))*ROUND(AS729*VLOOKUP(INDEX('章节与怪物'!$E$31:$K$37,B729,6),'章节与怪物'!$A$41:$F$44,2,FALSE),0)+IF(6=D729,ROUND(AS729*'难度参数'!$E$28*'章节与怪物'!$E$17,0),0))</x:f>
        <x:v>1664468</x:v>
      </x:c>
      <x:c r="AU729" s="119" t="n">
        <x:f>IF(AR729=0,0,(AR729-IF(6=D729,1,0))*VLOOKUP(INDEX('章节与怪物'!$E$31:$K$37,B729,6),'章节与怪物'!$A$41:$F$44,4,FALSE)+IF(6=D729,'难度参数'!$E$30,0))</x:f>
        <x:v>1456</x:v>
      </x:c>
      <x:c r="AV729" s="119" t="n">
        <x:f>IF(7&gt;D729,0,MAX(2,MIN('难度参数'!$E$12,ROUND(('难度参数'!$E$18*POWER(A729,'难度参数'!$E$19)/D729*(0.85+0.3*(7-1)/MAX(1,D729-1))),0)+F729)))</x:f>
        <x:v>54</x:v>
      </x:c>
      <x:c r="AW729" s="119" t="n">
        <x:f>IF(7&gt;D729,0,ROUND(('难度参数'!$E$13*POWER(A729,'难度参数'!$E$20)*MIN('难度参数'!$E$23,1+MAX(0,A729-'难度参数'!$E$21)*'难度参数'!$E$22))*(36+7*7)/(36+7*(D729+1)/2)*E729,0))</x:f>
        <x:v>20519</x:v>
      </x:c>
      <x:c r="AX729" s="119" t="n">
        <x:f>IF(AV729=0,0,(AV729-IF(7=D729,1,0))*ROUND(AW729*VLOOKUP(INDEX('章节与怪物'!$E$31:$K$37,B729,7),'章节与怪物'!$A$41:$F$44,2,FALSE),0)+IF(7=D729,ROUND(AW729*'难度参数'!$E$28*'章节与怪物'!$E$17,0),0))</x:f>
        <x:v>1607682</x:v>
      </x:c>
      <x:c r="AY729" s="119" t="n">
        <x:f>IF(AV729=0,0,(AV729-IF(7=D729,1,0))*VLOOKUP(INDEX('章节与怪物'!$E$31:$K$37,B729,7),'章节与怪物'!$A$41:$F$44,4,FALSE)+IF(7=D729,'难度参数'!$E$30,0))</x:f>
        <x:v>2002</x:v>
      </x:c>
    </x:row>
    <x:row r="730" ht="23" customHeight="1">
      <x:c r="A730" s="119" t="n">
        <x:v>724</x:v>
      </x:c>
      <x:c r="B730" s="119" t="n">
        <x:f>MOD(INT((A730-1)/5),7)+1</x:f>
        <x:v>5</x:v>
      </x:c>
      <x:c r="C730" s="62" t="str">
        <x:f>INDEX('章节与怪物'!$B$31:$B$37,B730)</x:f>
        <x:v>雨林遗迹</x:v>
      </x:c>
      <x:c r="D730" s="119" t="n">
        <x:f>MIN('难度参数'!$E$8,MAX('难度参数'!$E$7,A730))</x:f>
        <x:v>7</x:v>
      </x:c>
      <x:c r="E730" s="106" t="n">
        <x:v>1</x:v>
      </x:c>
      <x:c r="F730" s="106" t="n">
        <x:v>0</x:v>
      </x:c>
      <x:c r="G730" s="106" t="n">
        <x:v>1</x:v>
      </x:c>
      <x:c r="H730" s="119" t="n">
        <x:f>SUM(X730,AB730,AF730,AJ730,AN730,AR730,AV730)</x:f>
        <x:v>331</x:v>
      </x:c>
      <x:c r="I730" s="119" t="n">
        <x:f>SUM(Z730,AD730,AH730,AL730,AP730,AT730,AX730)</x:f>
        <x:v>6717586</x:v>
      </x:c>
      <x:c r="J730" s="119" t="n">
        <x:f>ROUND(INDEX(X730:AY730,1,(D730-1)*4+2)*'难度参数'!$E$28*'章节与怪物'!$E$17,0)</x:f>
        <x:v>139665</x:v>
      </x:c>
      <x:c r="K730" s="119" t="n">
        <x:f>SUM(AA730,AE730,AI730,AM730,AQ730,AU730,AY730)</x:f>
        <x:v>8896</x:v>
      </x:c>
      <x:c r="L730" s="62" t="n">
        <x:f>H730*(ROUNDUP('难度参数'!$E$24/('难度参数'!$E$26*'难度参数'!$E$27),0)*'难度参数'!$E$26)/60</x:f>
        <x:v>4.413333333333333</x:v>
      </x:c>
      <x:c r="M730" s="62" t="n">
        <x:f>L730+D730*('难度参数'!$E$49+'难度参数'!$E$50)/60</x:f>
        <x:v>5.58</x:v>
      </x:c>
      <x:c r="N730" s="119" t="n">
        <x:f>ROUNDDOWN(('经济参数'!$E$20+A730*'经济参数'!$E$21)*G730,0)</x:f>
        <x:v>14660</x:v>
      </x:c>
      <x:c r="O730" s="119" t="n">
        <x:f>ROUNDDOWN(MIN('经济参数'!$E$24,'经济参数'!$E$22+A730*'经济参数'!$E$23)*G730,0)</x:f>
        <x:v>0</x:v>
      </x:c>
      <x:c r="P730" s="119" t="n">
        <x:f>ROUNDDOWN((IF(A730&gt;='材料与任务'!$E$31,'材料与任务'!$E$32,IF(A730&gt;='材料与任务'!$E$25,'材料与任务'!$E$26,IF(A730&gt;='材料与任务'!$E$19,'材料与任务'!$E$20,IF(A730&gt;='材料与任务'!$E$13,'材料与任务'!$E$14,'材料与任务'!$E$8)))))*G730,0)</x:f>
        <x:v>6</x:v>
      </x:c>
      <x:c r="Q730" s="119" t="n">
        <x:f>ROUNDDOWN((IF(A730&gt;='材料与任务'!$E$31,'材料与任务'!$E$33,IF(A730&gt;='材料与任务'!$E$25,'材料与任务'!$E$27,IF(A730&gt;='材料与任务'!$E$19,'材料与任务'!$E$21,IF(A730&gt;='材料与任务'!$E$13,'材料与任务'!$E$15,'材料与任务'!$E$9)))))*G730,0)</x:f>
        <x:v>3</x:v>
      </x:c>
      <x:c r="R730" s="110" t="n">
        <x:f>'装备掉落'!$B$38</x:f>
        <x:v>0.6872058758851213</x:v>
      </x:c>
      <x:c r="S730" s="119" t="n">
        <x:f>MAX(IF(VLOOKUP(A730,'装备掉落'!$A$29:$H$34,2,TRUE)&gt;0,1,0),IF(VLOOKUP(A730,'装备掉落'!$A$29:$H$34,3,TRUE)&gt;0,2,0),IF(VLOOKUP(A730,'装备掉落'!$A$29:$H$34,4,TRUE)&gt;0,3,0),IF(VLOOKUP(A730,'装备掉落'!$A$29:$H$34,5,TRUE)&gt;0,4,0),IF(VLOOKUP(A730,'装备掉落'!$A$29:$H$34,6,TRUE)&gt;0,5,0),IF(VLOOKUP(A730,'装备掉落'!$A$29:$H$34,7,TRUE)&gt;0,6,0),IF(VLOOKUP(A730,'装备掉落'!$A$29:$H$34,8,TRUE)&gt;0,7,0))</x:f>
        <x:v>7</x:v>
      </x:c>
      <x:c r="T730" s="119" t="n">
        <x:f>MIN(7,S730+'经济参数'!$E$70)</x:f>
        <x:v>7</x:v>
      </x:c>
      <x:c r="U730" s="119" t="n">
        <x:f>MIN(7,S730+'经济参数'!$E$71)</x:f>
        <x:v>7</x:v>
      </x:c>
      <x:c r="V730" s="119" t="n">
        <x:f>IF(H730&gt;=('难度参数'!$E$52),1,0)+IF(H730&gt;=('难度参数'!$E$52+'难度参数'!$E$53),1,0)+IF(H730&gt;=('难度参数'!$E$52+'难度参数'!$E$53+'难度参数'!$E$54),1,0)+IF(H730&gt;=('难度参数'!$E$52+'难度参数'!$E$53+'难度参数'!$E$54+'难度参数'!$E$55),1,0)+IF(H730&gt;=('难度参数'!$E$52+'难度参数'!$E$53+'难度参数'!$E$54+'难度参数'!$E$55+'难度参数'!$E$56),1,0)+IF(H730&gt;=('难度参数'!$E$52+'难度参数'!$E$53+'难度参数'!$E$54+'难度参数'!$E$55+'难度参数'!$E$56+'难度参数'!$E$57),1,0)</x:f>
        <x:v>6</x:v>
      </x:c>
      <x:c r="W730" s="62" t="str">
        <x:f>IF(L730&gt;'难度参数'!$E$51,"仅出怪已超目标","还需实测")</x:f>
        <x:v>仅出怪已超目标</x:v>
      </x:c>
      <x:c r="X730" s="119" t="n">
        <x:f>IF(1&gt;D730,0,MAX(2,MIN('难度参数'!$E$12,ROUND(('难度参数'!$E$18*POWER(A730,'难度参数'!$E$19)/D730*(0.85+0.3*(1-1)/MAX(1,D730-1))),0)+F730)))</x:f>
        <x:v>40</x:v>
      </x:c>
      <x:c r="Y730" s="119" t="n">
        <x:f>IF(1&gt;D730,0,ROUND(('难度参数'!$E$13*POWER(A730,'难度参数'!$E$20)*MIN('难度参数'!$E$23,1+MAX(0,A730-'难度参数'!$E$21)*'难度参数'!$E$22))*(36+1*7)/(36+7*(D730+1)/2)*E730,0))</x:f>
        <x:v>10390</x:v>
      </x:c>
      <x:c r="Z730" s="119" t="n">
        <x:f>IF(X730=0,0,(X730-IF(1=D730,1,0))*ROUND(Y730*VLOOKUP(INDEX('章节与怪物'!$E$31:$K$37,B730,1),'章节与怪物'!$A$41:$F$44,2,FALSE),0)+IF(1=D730,ROUND(Y730*'难度参数'!$E$28*'章节与怪物'!$E$17,0),0))</x:f>
        <x:v>415600</x:v>
      </x:c>
      <x:c r="AA730" s="119" t="n">
        <x:f>IF(X730=0,0,(X730-IF(1=D730,1,0))*VLOOKUP(INDEX('章节与怪物'!$E$31:$K$37,B730,1),'章节与怪物'!$A$41:$F$44,4,FALSE)+IF(1=D730,'难度参数'!$E$30,0))</x:f>
        <x:v>720</x:v>
      </x:c>
      <x:c r="AB730" s="119" t="n">
        <x:f>IF(2&gt;D730,0,MAX(2,MIN('难度参数'!$E$12,ROUND(('难度参数'!$E$18*POWER(A730,'难度参数'!$E$19)/D730*(0.85+0.3*(2-1)/MAX(1,D730-1))),0)+F730)))</x:f>
        <x:v>43</x:v>
      </x:c>
      <x:c r="AC730" s="119" t="n">
        <x:f>IF(2&gt;D730,0,ROUND(('难度参数'!$E$13*POWER(A730,'难度参数'!$E$20)*MIN('难度参数'!$E$23,1+MAX(0,A730-'难度参数'!$E$21)*'难度参数'!$E$22))*(36+2*7)/(36+7*(D730+1)/2)*E730,0))</x:f>
        <x:v>12082</x:v>
      </x:c>
      <x:c r="AD730" s="119" t="n">
        <x:f>IF(AB730=0,0,(AB730-IF(2=D730,1,0))*ROUND(AC730*VLOOKUP(INDEX('章节与怪物'!$E$31:$K$37,B730,2),'章节与怪物'!$A$41:$F$44,2,FALSE),0)+IF(2=D730,ROUND(AC730*'难度参数'!$E$28*'章节与怪物'!$E$17,0),0))</x:f>
        <x:v>374057</x:v>
      </x:c>
      <x:c r="AE730" s="119" t="n">
        <x:f>IF(AB730=0,0,(AB730-IF(2=D730,1,0))*VLOOKUP(INDEX('章节与怪物'!$E$31:$K$37,B730,2),'章节与怪物'!$A$41:$F$44,4,FALSE)+IF(2=D730,'难度参数'!$E$30,0))</x:f>
        <x:v>860</x:v>
      </x:c>
      <x:c r="AF730" s="119" t="n">
        <x:f>IF(3&gt;D730,0,MAX(2,MIN('难度参数'!$E$12,ROUND(('难度参数'!$E$18*POWER(A730,'难度参数'!$E$19)/D730*(0.85+0.3*(3-1)/MAX(1,D730-1))),0)+F730)))</x:f>
        <x:v>45</x:v>
      </x:c>
      <x:c r="AG730" s="119" t="n">
        <x:f>IF(3&gt;D730,0,ROUND(('难度参数'!$E$13*POWER(A730,'难度参数'!$E$20)*MIN('难度参数'!$E$23,1+MAX(0,A730-'难度参数'!$E$21)*'难度参数'!$E$22))*(36+3*7)/(36+7*(D730+1)/2)*E730,0))</x:f>
        <x:v>13773</x:v>
      </x:c>
      <x:c r="AH730" s="119" t="n">
        <x:f>IF(AF730=0,0,(AF730-IF(3=D730,1,0))*ROUND(AG730*VLOOKUP(INDEX('章节与怪物'!$E$31:$K$37,B730,3),'章节与怪物'!$A$41:$F$44,2,FALSE),0)+IF(3=D730,ROUND(AG730*'难度参数'!$E$28*'章节与怪物'!$E$17,0),0))</x:f>
        <x:v>1053630</x:v>
      </x:c>
      <x:c r="AI730" s="119" t="n">
        <x:f>IF(AF730=0,0,(AF730-IF(3=D730,1,0))*VLOOKUP(INDEX('章节与怪物'!$E$31:$K$37,B730,3),'章节与怪物'!$A$41:$F$44,4,FALSE)+IF(3=D730,'难度参数'!$E$30,0))</x:f>
        <x:v>1260</x:v>
      </x:c>
      <x:c r="AJ730" s="119" t="n">
        <x:f>IF(4&gt;D730,0,MAX(2,MIN('难度参数'!$E$12,ROUND(('难度参数'!$E$18*POWER(A730,'难度参数'!$E$19)/D730*(0.85+0.3*(4-1)/MAX(1,D730-1))),0)+F730)))</x:f>
        <x:v>47</x:v>
      </x:c>
      <x:c r="AK730" s="119" t="n">
        <x:f>IF(4&gt;D730,0,ROUND(('难度参数'!$E$13*POWER(A730,'难度参数'!$E$20)*MIN('难度参数'!$E$23,1+MAX(0,A730-'难度参数'!$E$21)*'难度参数'!$E$22))*(36+4*7)/(36+7*(D730+1)/2)*E730,0))</x:f>
        <x:v>15465</x:v>
      </x:c>
      <x:c r="AL730" s="119" t="n">
        <x:f>IF(AJ730=0,0,(AJ730-IF(4=D730,1,0))*ROUND(AK730*VLOOKUP(INDEX('章节与怪物'!$E$31:$K$37,B730,4),'章节与怪物'!$A$41:$F$44,2,FALSE),0)+IF(4=D730,ROUND(AK730*'难度参数'!$E$28*'章节与怪物'!$E$17,0),0))</x:f>
        <x:v>981266</x:v>
      </x:c>
      <x:c r="AM730" s="119" t="n">
        <x:f>IF(AJ730=0,0,(AJ730-IF(4=D730,1,0))*VLOOKUP(INDEX('章节与怪物'!$E$31:$K$37,B730,4),'章节与怪物'!$A$41:$F$44,4,FALSE)+IF(4=D730,'难度参数'!$E$30,0))</x:f>
        <x:v>1598</x:v>
      </x:c>
      <x:c r="AN730" s="119" t="n">
        <x:f>IF(5&gt;D730,0,MAX(2,MIN('难度参数'!$E$12,ROUND(('难度参数'!$E$18*POWER(A730,'难度参数'!$E$19)/D730*(0.85+0.3*(5-1)/MAX(1,D730-1))),0)+F730)))</x:f>
        <x:v>50</x:v>
      </x:c>
      <x:c r="AO730" s="119" t="n">
        <x:f>IF(5&gt;D730,0,ROUND(('难度参数'!$E$13*POWER(A730,'难度参数'!$E$20)*MIN('难度参数'!$E$23,1+MAX(0,A730-'难度参数'!$E$21)*'难度参数'!$E$22))*(36+5*7)/(36+7*(D730+1)/2)*E730,0))</x:f>
        <x:v>17156</x:v>
      </x:c>
      <x:c r="AP730" s="119" t="n">
        <x:f>IF(AN730=0,0,(AN730-IF(5=D730,1,0))*ROUND(AO730*VLOOKUP(INDEX('章节与怪物'!$E$31:$K$37,B730,5),'章节与怪物'!$A$41:$F$44,2,FALSE),0)+IF(5=D730,ROUND(AO730*'难度参数'!$E$28*'章节与怪物'!$E$17,0),0))</x:f>
        <x:v>617600</x:v>
      </x:c>
      <x:c r="AQ730" s="119" t="n">
        <x:f>IF(AN730=0,0,(AN730-IF(5=D730,1,0))*VLOOKUP(INDEX('章节与怪物'!$E$31:$K$37,B730,5),'章节与怪物'!$A$41:$F$44,4,FALSE)+IF(5=D730,'难度参数'!$E$30,0))</x:f>
        <x:v>1000</x:v>
      </x:c>
      <x:c r="AR730" s="119" t="n">
        <x:f>IF(6&gt;D730,0,MAX(2,MIN('难度参数'!$E$12,ROUND(('难度参数'!$E$18*POWER(A730,'难度参数'!$E$19)/D730*(0.85+0.3*(6-1)/MAX(1,D730-1))),0)+F730)))</x:f>
        <x:v>52</x:v>
      </x:c>
      <x:c r="AS730" s="119" t="n">
        <x:f>IF(6&gt;D730,0,ROUND(('难度参数'!$E$13*POWER(A730,'难度参数'!$E$20)*MIN('难度参数'!$E$23,1+MAX(0,A730-'难度参数'!$E$21)*'难度参数'!$E$22))*(36+6*7)/(36+7*(D730+1)/2)*E730,0))</x:f>
        <x:v>18848</x:v>
      </x:c>
      <x:c r="AT730" s="119" t="n">
        <x:f>IF(AR730=0,0,(AR730-IF(6=D730,1,0))*ROUND(AS730*VLOOKUP(INDEX('章节与怪物'!$E$31:$K$37,B730,6),'章节与怪物'!$A$41:$F$44,2,FALSE),0)+IF(6=D730,ROUND(AS730*'难度参数'!$E$28*'章节与怪物'!$E$17,0),0))</x:f>
        <x:v>1666184</x:v>
      </x:c>
      <x:c r="AU730" s="119" t="n">
        <x:f>IF(AR730=0,0,(AR730-IF(6=D730,1,0))*VLOOKUP(INDEX('章节与怪物'!$E$31:$K$37,B730,6),'章节与怪物'!$A$41:$F$44,4,FALSE)+IF(6=D730,'难度参数'!$E$30,0))</x:f>
        <x:v>1456</x:v>
      </x:c>
      <x:c r="AV730" s="119" t="n">
        <x:f>IF(7&gt;D730,0,MAX(2,MIN('难度参数'!$E$12,ROUND(('难度参数'!$E$18*POWER(A730,'难度参数'!$E$19)/D730*(0.85+0.3*(7-1)/MAX(1,D730-1))),0)+F730)))</x:f>
        <x:v>54</x:v>
      </x:c>
      <x:c r="AW730" s="119" t="n">
        <x:f>IF(7&gt;D730,0,ROUND(('难度参数'!$E$13*POWER(A730,'难度参数'!$E$20)*MIN('难度参数'!$E$23,1+MAX(0,A730-'难度参数'!$E$21)*'难度参数'!$E$22))*(36+7*7)/(36+7*(D730+1)/2)*E730,0))</x:f>
        <x:v>20539</x:v>
      </x:c>
      <x:c r="AX730" s="119" t="n">
        <x:f>IF(AV730=0,0,(AV730-IF(7=D730,1,0))*ROUND(AW730*VLOOKUP(INDEX('章节与怪物'!$E$31:$K$37,B730,7),'章节与怪物'!$A$41:$F$44,2,FALSE),0)+IF(7=D730,ROUND(AW730*'难度参数'!$E$28*'章节与怪物'!$E$17,0),0))</x:f>
        <x:v>1609249</x:v>
      </x:c>
      <x:c r="AY730" s="119" t="n">
        <x:f>IF(AV730=0,0,(AV730-IF(7=D730,1,0))*VLOOKUP(INDEX('章节与怪物'!$E$31:$K$37,B730,7),'章节与怪物'!$A$41:$F$44,4,FALSE)+IF(7=D730,'难度参数'!$E$30,0))</x:f>
        <x:v>2002</x:v>
      </x:c>
    </x:row>
    <x:row r="731" ht="23" customHeight="1">
      <x:c r="A731" s="119" t="n">
        <x:v>725</x:v>
      </x:c>
      <x:c r="B731" s="119" t="n">
        <x:f>MOD(INT((A731-1)/5),7)+1</x:f>
        <x:v>5</x:v>
      </x:c>
      <x:c r="C731" s="62" t="str">
        <x:f>INDEX('章节与怪物'!$B$31:$B$37,B731)</x:f>
        <x:v>雨林遗迹</x:v>
      </x:c>
      <x:c r="D731" s="119" t="n">
        <x:f>MIN('难度参数'!$E$8,MAX('难度参数'!$E$7,A731))</x:f>
        <x:v>7</x:v>
      </x:c>
      <x:c r="E731" s="106" t="n">
        <x:v>1</x:v>
      </x:c>
      <x:c r="F731" s="106" t="n">
        <x:v>0</x:v>
      </x:c>
      <x:c r="G731" s="106" t="n">
        <x:v>1</x:v>
      </x:c>
      <x:c r="H731" s="119" t="n">
        <x:f>SUM(X731,AB731,AF731,AJ731,AN731,AR731,AV731)</x:f>
        <x:v>331</x:v>
      </x:c>
      <x:c r="I731" s="119" t="n">
        <x:f>SUM(Z731,AD731,AH731,AL731,AP731,AT731,AX731)</x:f>
        <x:v>6724374</x:v>
      </x:c>
      <x:c r="J731" s="119" t="n">
        <x:f>ROUND(INDEX(X731:AY731,1,(D731-1)*4+2)*'难度参数'!$E$28*'章节与怪物'!$E$17,0)</x:f>
        <x:v>139808</x:v>
      </x:c>
      <x:c r="K731" s="119" t="n">
        <x:f>SUM(AA731,AE731,AI731,AM731,AQ731,AU731,AY731)</x:f>
        <x:v>8896</x:v>
      </x:c>
      <x:c r="L731" s="62" t="n">
        <x:f>H731*(ROUNDUP('难度参数'!$E$24/('难度参数'!$E$26*'难度参数'!$E$27),0)*'难度参数'!$E$26)/60</x:f>
        <x:v>4.413333333333333</x:v>
      </x:c>
      <x:c r="M731" s="62" t="n">
        <x:f>L731+D731*('难度参数'!$E$49+'难度参数'!$E$50)/60</x:f>
        <x:v>5.58</x:v>
      </x:c>
      <x:c r="N731" s="119" t="n">
        <x:f>ROUNDDOWN(('经济参数'!$E$20+A731*'经济参数'!$E$21)*G731,0)</x:f>
        <x:v>14680</x:v>
      </x:c>
      <x:c r="O731" s="119" t="n">
        <x:f>ROUNDDOWN(MIN('经济参数'!$E$24,'经济参数'!$E$22+A731*'经济参数'!$E$23)*G731,0)</x:f>
        <x:v>0</x:v>
      </x:c>
      <x:c r="P731" s="119" t="n">
        <x:f>ROUNDDOWN((IF(A731&gt;='材料与任务'!$E$31,'材料与任务'!$E$32,IF(A731&gt;='材料与任务'!$E$25,'材料与任务'!$E$26,IF(A731&gt;='材料与任务'!$E$19,'材料与任务'!$E$20,IF(A731&gt;='材料与任务'!$E$13,'材料与任务'!$E$14,'材料与任务'!$E$8)))))*G731,0)</x:f>
        <x:v>6</x:v>
      </x:c>
      <x:c r="Q731" s="119" t="n">
        <x:f>ROUNDDOWN((IF(A731&gt;='材料与任务'!$E$31,'材料与任务'!$E$33,IF(A731&gt;='材料与任务'!$E$25,'材料与任务'!$E$27,IF(A731&gt;='材料与任务'!$E$19,'材料与任务'!$E$21,IF(A731&gt;='材料与任务'!$E$13,'材料与任务'!$E$15,'材料与任务'!$E$9)))))*G731,0)</x:f>
        <x:v>3</x:v>
      </x:c>
      <x:c r="R731" s="110" t="n">
        <x:f>'装备掉落'!$B$38</x:f>
        <x:v>0.6872058758851213</x:v>
      </x:c>
      <x:c r="S731" s="119" t="n">
        <x:f>MAX(IF(VLOOKUP(A731,'装备掉落'!$A$29:$H$34,2,TRUE)&gt;0,1,0),IF(VLOOKUP(A731,'装备掉落'!$A$29:$H$34,3,TRUE)&gt;0,2,0),IF(VLOOKUP(A731,'装备掉落'!$A$29:$H$34,4,TRUE)&gt;0,3,0),IF(VLOOKUP(A731,'装备掉落'!$A$29:$H$34,5,TRUE)&gt;0,4,0),IF(VLOOKUP(A731,'装备掉落'!$A$29:$H$34,6,TRUE)&gt;0,5,0),IF(VLOOKUP(A731,'装备掉落'!$A$29:$H$34,7,TRUE)&gt;0,6,0),IF(VLOOKUP(A731,'装备掉落'!$A$29:$H$34,8,TRUE)&gt;0,7,0))</x:f>
        <x:v>7</x:v>
      </x:c>
      <x:c r="T731" s="119" t="n">
        <x:f>MIN(7,S731+'经济参数'!$E$70)</x:f>
        <x:v>7</x:v>
      </x:c>
      <x:c r="U731" s="119" t="n">
        <x:f>MIN(7,S731+'经济参数'!$E$71)</x:f>
        <x:v>7</x:v>
      </x:c>
      <x:c r="V731" s="119" t="n">
        <x:f>IF(H731&gt;=('难度参数'!$E$52),1,0)+IF(H731&gt;=('难度参数'!$E$52+'难度参数'!$E$53),1,0)+IF(H731&gt;=('难度参数'!$E$52+'难度参数'!$E$53+'难度参数'!$E$54),1,0)+IF(H731&gt;=('难度参数'!$E$52+'难度参数'!$E$53+'难度参数'!$E$54+'难度参数'!$E$55),1,0)+IF(H731&gt;=('难度参数'!$E$52+'难度参数'!$E$53+'难度参数'!$E$54+'难度参数'!$E$55+'难度参数'!$E$56),1,0)+IF(H731&gt;=('难度参数'!$E$52+'难度参数'!$E$53+'难度参数'!$E$54+'难度参数'!$E$55+'难度参数'!$E$56+'难度参数'!$E$57),1,0)</x:f>
        <x:v>6</x:v>
      </x:c>
      <x:c r="W731" s="62" t="str">
        <x:f>IF(L731&gt;'难度参数'!$E$51,"仅出怪已超目标","还需实测")</x:f>
        <x:v>仅出怪已超目标</x:v>
      </x:c>
      <x:c r="X731" s="119" t="n">
        <x:f>IF(1&gt;D731,0,MAX(2,MIN('难度参数'!$E$12,ROUND(('难度参数'!$E$18*POWER(A731,'难度参数'!$E$19)/D731*(0.85+0.3*(1-1)/MAX(1,D731-1))),0)+F731)))</x:f>
        <x:v>40</x:v>
      </x:c>
      <x:c r="Y731" s="119" t="n">
        <x:f>IF(1&gt;D731,0,ROUND(('难度参数'!$E$13*POWER(A731,'难度参数'!$E$20)*MIN('难度参数'!$E$23,1+MAX(0,A731-'难度参数'!$E$21)*'难度参数'!$E$22))*(36+1*7)/(36+7*(D731+1)/2)*E731,0))</x:f>
        <x:v>10401</x:v>
      </x:c>
      <x:c r="Z731" s="119" t="n">
        <x:f>IF(X731=0,0,(X731-IF(1=D731,1,0))*ROUND(Y731*VLOOKUP(INDEX('章节与怪物'!$E$31:$K$37,B731,1),'章节与怪物'!$A$41:$F$44,2,FALSE),0)+IF(1=D731,ROUND(Y731*'难度参数'!$E$28*'章节与怪物'!$E$17,0),0))</x:f>
        <x:v>416040</x:v>
      </x:c>
      <x:c r="AA731" s="119" t="n">
        <x:f>IF(X731=0,0,(X731-IF(1=D731,1,0))*VLOOKUP(INDEX('章节与怪物'!$E$31:$K$37,B731,1),'章节与怪物'!$A$41:$F$44,4,FALSE)+IF(1=D731,'难度参数'!$E$30,0))</x:f>
        <x:v>720</x:v>
      </x:c>
      <x:c r="AB731" s="119" t="n">
        <x:f>IF(2&gt;D731,0,MAX(2,MIN('难度参数'!$E$12,ROUND(('难度参数'!$E$18*POWER(A731,'难度参数'!$E$19)/D731*(0.85+0.3*(2-1)/MAX(1,D731-1))),0)+F731)))</x:f>
        <x:v>43</x:v>
      </x:c>
      <x:c r="AC731" s="119" t="n">
        <x:f>IF(2&gt;D731,0,ROUND(('难度参数'!$E$13*POWER(A731,'难度参数'!$E$20)*MIN('难度参数'!$E$23,1+MAX(0,A731-'难度参数'!$E$21)*'难度参数'!$E$22))*(36+2*7)/(36+7*(D731+1)/2)*E731,0))</x:f>
        <x:v>12094</x:v>
      </x:c>
      <x:c r="AD731" s="119" t="n">
        <x:f>IF(AB731=0,0,(AB731-IF(2=D731,1,0))*ROUND(AC731*VLOOKUP(INDEX('章节与怪物'!$E$31:$K$37,B731,2),'章节与怪物'!$A$41:$F$44,2,FALSE),0)+IF(2=D731,ROUND(AC731*'难度参数'!$E$28*'章节与怪物'!$E$17,0),0))</x:f>
        <x:v>374444</x:v>
      </x:c>
      <x:c r="AE731" s="119" t="n">
        <x:f>IF(AB731=0,0,(AB731-IF(2=D731,1,0))*VLOOKUP(INDEX('章节与怪物'!$E$31:$K$37,B731,2),'章节与怪物'!$A$41:$F$44,4,FALSE)+IF(2=D731,'难度参数'!$E$30,0))</x:f>
        <x:v>860</x:v>
      </x:c>
      <x:c r="AF731" s="119" t="n">
        <x:f>IF(3&gt;D731,0,MAX(2,MIN('难度参数'!$E$12,ROUND(('难度参数'!$E$18*POWER(A731,'难度参数'!$E$19)/D731*(0.85+0.3*(3-1)/MAX(1,D731-1))),0)+F731)))</x:f>
        <x:v>45</x:v>
      </x:c>
      <x:c r="AG731" s="119" t="n">
        <x:f>IF(3&gt;D731,0,ROUND(('难度参数'!$E$13*POWER(A731,'难度参数'!$E$20)*MIN('难度参数'!$E$23,1+MAX(0,A731-'难度参数'!$E$21)*'难度参数'!$E$22))*(36+3*7)/(36+7*(D731+1)/2)*E731,0))</x:f>
        <x:v>13787</x:v>
      </x:c>
      <x:c r="AH731" s="119" t="n">
        <x:f>IF(AF731=0,0,(AF731-IF(3=D731,1,0))*ROUND(AG731*VLOOKUP(INDEX('章节与怪物'!$E$31:$K$37,B731,3),'章节与怪物'!$A$41:$F$44,2,FALSE),0)+IF(3=D731,ROUND(AG731*'难度参数'!$E$28*'章节与怪物'!$E$17,0),0))</x:f>
        <x:v>1054710</x:v>
      </x:c>
      <x:c r="AI731" s="119" t="n">
        <x:f>IF(AF731=0,0,(AF731-IF(3=D731,1,0))*VLOOKUP(INDEX('章节与怪物'!$E$31:$K$37,B731,3),'章节与怪物'!$A$41:$F$44,4,FALSE)+IF(3=D731,'难度参数'!$E$30,0))</x:f>
        <x:v>1260</x:v>
      </x:c>
      <x:c r="AJ731" s="119" t="n">
        <x:f>IF(4&gt;D731,0,MAX(2,MIN('难度参数'!$E$12,ROUND(('难度参数'!$E$18*POWER(A731,'难度参数'!$E$19)/D731*(0.85+0.3*(4-1)/MAX(1,D731-1))),0)+F731)))</x:f>
        <x:v>47</x:v>
      </x:c>
      <x:c r="AK731" s="119" t="n">
        <x:f>IF(4&gt;D731,0,ROUND(('难度参数'!$E$13*POWER(A731,'难度参数'!$E$20)*MIN('难度参数'!$E$23,1+MAX(0,A731-'难度参数'!$E$21)*'难度参数'!$E$22))*(36+4*7)/(36+7*(D731+1)/2)*E731,0))</x:f>
        <x:v>15480</x:v>
      </x:c>
      <x:c r="AL731" s="119" t="n">
        <x:f>IF(AJ731=0,0,(AJ731-IF(4=D731,1,0))*ROUND(AK731*VLOOKUP(INDEX('章节与怪物'!$E$31:$K$37,B731,4),'章节与怪物'!$A$41:$F$44,2,FALSE),0)+IF(4=D731,ROUND(AK731*'难度参数'!$E$28*'章节与怪物'!$E$17,0),0))</x:f>
        <x:v>982206</x:v>
      </x:c>
      <x:c r="AM731" s="119" t="n">
        <x:f>IF(AJ731=0,0,(AJ731-IF(4=D731,1,0))*VLOOKUP(INDEX('章节与怪物'!$E$31:$K$37,B731,4),'章节与怪物'!$A$41:$F$44,4,FALSE)+IF(4=D731,'难度参数'!$E$30,0))</x:f>
        <x:v>1598</x:v>
      </x:c>
      <x:c r="AN731" s="119" t="n">
        <x:f>IF(5&gt;D731,0,MAX(2,MIN('难度参数'!$E$12,ROUND(('难度参数'!$E$18*POWER(A731,'难度参数'!$E$19)/D731*(0.85+0.3*(5-1)/MAX(1,D731-1))),0)+F731)))</x:f>
        <x:v>50</x:v>
      </x:c>
      <x:c r="AO731" s="119" t="n">
        <x:f>IF(5&gt;D731,0,ROUND(('难度参数'!$E$13*POWER(A731,'难度参数'!$E$20)*MIN('难度参数'!$E$23,1+MAX(0,A731-'难度参数'!$E$21)*'难度参数'!$E$22))*(36+5*7)/(36+7*(D731+1)/2)*E731,0))</x:f>
        <x:v>17173</x:v>
      </x:c>
      <x:c r="AP731" s="119" t="n">
        <x:f>IF(AN731=0,0,(AN731-IF(5=D731,1,0))*ROUND(AO731*VLOOKUP(INDEX('章节与怪物'!$E$31:$K$37,B731,5),'章节与怪物'!$A$41:$F$44,2,FALSE),0)+IF(5=D731,ROUND(AO731*'难度参数'!$E$28*'章节与怪物'!$E$17,0),0))</x:f>
        <x:v>618250</x:v>
      </x:c>
      <x:c r="AQ731" s="119" t="n">
        <x:f>IF(AN731=0,0,(AN731-IF(5=D731,1,0))*VLOOKUP(INDEX('章节与怪物'!$E$31:$K$37,B731,5),'章节与怪物'!$A$41:$F$44,4,FALSE)+IF(5=D731,'难度参数'!$E$30,0))</x:f>
        <x:v>1000</x:v>
      </x:c>
      <x:c r="AR731" s="119" t="n">
        <x:f>IF(6&gt;D731,0,MAX(2,MIN('难度参数'!$E$12,ROUND(('难度参数'!$E$18*POWER(A731,'难度参数'!$E$19)/D731*(0.85+0.3*(6-1)/MAX(1,D731-1))),0)+F731)))</x:f>
        <x:v>52</x:v>
      </x:c>
      <x:c r="AS731" s="119" t="n">
        <x:f>IF(6&gt;D731,0,ROUND(('难度参数'!$E$13*POWER(A731,'难度参数'!$E$20)*MIN('难度参数'!$E$23,1+MAX(0,A731-'难度参数'!$E$21)*'难度参数'!$E$22))*(36+6*7)/(36+7*(D731+1)/2)*E731,0))</x:f>
        <x:v>18867</x:v>
      </x:c>
      <x:c r="AT731" s="119" t="n">
        <x:f>IF(AR731=0,0,(AR731-IF(6=D731,1,0))*ROUND(AS731*VLOOKUP(INDEX('章节与怪物'!$E$31:$K$37,B731,6),'章节与怪物'!$A$41:$F$44,2,FALSE),0)+IF(6=D731,ROUND(AS731*'难度参数'!$E$28*'章节与怪物'!$E$17,0),0))</x:f>
        <x:v>1667848</x:v>
      </x:c>
      <x:c r="AU731" s="119" t="n">
        <x:f>IF(AR731=0,0,(AR731-IF(6=D731,1,0))*VLOOKUP(INDEX('章节与怪物'!$E$31:$K$37,B731,6),'章节与怪物'!$A$41:$F$44,4,FALSE)+IF(6=D731,'难度参数'!$E$30,0))</x:f>
        <x:v>1456</x:v>
      </x:c>
      <x:c r="AV731" s="119" t="n">
        <x:f>IF(7&gt;D731,0,MAX(2,MIN('难度参数'!$E$12,ROUND(('难度参数'!$E$18*POWER(A731,'难度参数'!$E$19)/D731*(0.85+0.3*(7-1)/MAX(1,D731-1))),0)+F731)))</x:f>
        <x:v>54</x:v>
      </x:c>
      <x:c r="AW731" s="119" t="n">
        <x:f>IF(7&gt;D731,0,ROUND(('难度参数'!$E$13*POWER(A731,'难度参数'!$E$20)*MIN('难度参数'!$E$23,1+MAX(0,A731-'难度参数'!$E$21)*'难度参数'!$E$22))*(36+7*7)/(36+7*(D731+1)/2)*E731,0))</x:f>
        <x:v>20560</x:v>
      </x:c>
      <x:c r="AX731" s="119" t="n">
        <x:f>IF(AV731=0,0,(AV731-IF(7=D731,1,0))*ROUND(AW731*VLOOKUP(INDEX('章节与怪物'!$E$31:$K$37,B731,7),'章节与怪物'!$A$41:$F$44,2,FALSE),0)+IF(7=D731,ROUND(AW731*'难度参数'!$E$28*'章节与怪物'!$E$17,0),0))</x:f>
        <x:v>1610876</x:v>
      </x:c>
      <x:c r="AY731" s="119" t="n">
        <x:f>IF(AV731=0,0,(AV731-IF(7=D731,1,0))*VLOOKUP(INDEX('章节与怪物'!$E$31:$K$37,B731,7),'章节与怪物'!$A$41:$F$44,4,FALSE)+IF(7=D731,'难度参数'!$E$30,0))</x:f>
        <x:v>2002</x:v>
      </x:c>
    </x:row>
    <x:row r="732" ht="23" customHeight="1">
      <x:c r="A732" s="119" t="n">
        <x:v>726</x:v>
      </x:c>
      <x:c r="B732" s="119" t="n">
        <x:f>MOD(INT((A732-1)/5),7)+1</x:f>
        <x:v>6</x:v>
      </x:c>
      <x:c r="C732" s="62" t="str">
        <x:f>INDEX('章节与怪物'!$B$31:$B$37,B732)</x:f>
        <x:v>熔岩山脉</x:v>
      </x:c>
      <x:c r="D732" s="119" t="n">
        <x:f>MIN('难度参数'!$E$8,MAX('难度参数'!$E$7,A732))</x:f>
        <x:v>7</x:v>
      </x:c>
      <x:c r="E732" s="106" t="n">
        <x:v>1</x:v>
      </x:c>
      <x:c r="F732" s="106" t="n">
        <x:v>0</x:v>
      </x:c>
      <x:c r="G732" s="106" t="n">
        <x:v>1</x:v>
      </x:c>
      <x:c r="H732" s="119" t="n">
        <x:f>SUM(X732,AB732,AF732,AJ732,AN732,AR732,AV732)</x:f>
        <x:v>331</x:v>
      </x:c>
      <x:c r="I732" s="119" t="n">
        <x:f>SUM(Z732,AD732,AH732,AL732,AP732,AT732,AX732)</x:f>
        <x:v>7000831</x:v>
      </x:c>
      <x:c r="J732" s="119" t="n">
        <x:f>ROUND(INDEX(X732:AY732,1,(D732-1)*4+2)*'难度参数'!$E$28*'章节与怪物'!$E$17,0)</x:f>
        <x:v>139944</x:v>
      </x:c>
      <x:c r="K732" s="119" t="n">
        <x:f>SUM(AA732,AE732,AI732,AM732,AQ732,AU732,AY732)</x:f>
        <x:v>8790</x:v>
      </x:c>
      <x:c r="L732" s="62" t="n">
        <x:f>H732*(ROUNDUP('难度参数'!$E$24/('难度参数'!$E$26*'难度参数'!$E$27),0)*'难度参数'!$E$26)/60</x:f>
        <x:v>4.413333333333333</x:v>
      </x:c>
      <x:c r="M732" s="62" t="n">
        <x:f>L732+D732*('难度参数'!$E$49+'难度参数'!$E$50)/60</x:f>
        <x:v>5.58</x:v>
      </x:c>
      <x:c r="N732" s="119" t="n">
        <x:f>ROUNDDOWN(('经济参数'!$E$20+A732*'经济参数'!$E$21)*G732,0)</x:f>
        <x:v>14700</x:v>
      </x:c>
      <x:c r="O732" s="119" t="n">
        <x:f>ROUNDDOWN(MIN('经济参数'!$E$24,'经济参数'!$E$22+A732*'经济参数'!$E$23)*G732,0)</x:f>
        <x:v>0</x:v>
      </x:c>
      <x:c r="P732" s="119" t="n">
        <x:f>ROUNDDOWN((IF(A732&gt;='材料与任务'!$E$31,'材料与任务'!$E$32,IF(A732&gt;='材料与任务'!$E$25,'材料与任务'!$E$26,IF(A732&gt;='材料与任务'!$E$19,'材料与任务'!$E$20,IF(A732&gt;='材料与任务'!$E$13,'材料与任务'!$E$14,'材料与任务'!$E$8)))))*G732,0)</x:f>
        <x:v>6</x:v>
      </x:c>
      <x:c r="Q732" s="119" t="n">
        <x:f>ROUNDDOWN((IF(A732&gt;='材料与任务'!$E$31,'材料与任务'!$E$33,IF(A732&gt;='材料与任务'!$E$25,'材料与任务'!$E$27,IF(A732&gt;='材料与任务'!$E$19,'材料与任务'!$E$21,IF(A732&gt;='材料与任务'!$E$13,'材料与任务'!$E$15,'材料与任务'!$E$9)))))*G732,0)</x:f>
        <x:v>3</x:v>
      </x:c>
      <x:c r="R732" s="110" t="n">
        <x:f>'装备掉落'!$B$38</x:f>
        <x:v>0.6872058758851213</x:v>
      </x:c>
      <x:c r="S732" s="119" t="n">
        <x:f>MAX(IF(VLOOKUP(A732,'装备掉落'!$A$29:$H$34,2,TRUE)&gt;0,1,0),IF(VLOOKUP(A732,'装备掉落'!$A$29:$H$34,3,TRUE)&gt;0,2,0),IF(VLOOKUP(A732,'装备掉落'!$A$29:$H$34,4,TRUE)&gt;0,3,0),IF(VLOOKUP(A732,'装备掉落'!$A$29:$H$34,5,TRUE)&gt;0,4,0),IF(VLOOKUP(A732,'装备掉落'!$A$29:$H$34,6,TRUE)&gt;0,5,0),IF(VLOOKUP(A732,'装备掉落'!$A$29:$H$34,7,TRUE)&gt;0,6,0),IF(VLOOKUP(A732,'装备掉落'!$A$29:$H$34,8,TRUE)&gt;0,7,0))</x:f>
        <x:v>7</x:v>
      </x:c>
      <x:c r="T732" s="119" t="n">
        <x:f>MIN(7,S732+'经济参数'!$E$70)</x:f>
        <x:v>7</x:v>
      </x:c>
      <x:c r="U732" s="119" t="n">
        <x:f>MIN(7,S732+'经济参数'!$E$71)</x:f>
        <x:v>7</x:v>
      </x:c>
      <x:c r="V732" s="119" t="n">
        <x:f>IF(H732&gt;=('难度参数'!$E$52),1,0)+IF(H732&gt;=('难度参数'!$E$52+'难度参数'!$E$53),1,0)+IF(H732&gt;=('难度参数'!$E$52+'难度参数'!$E$53+'难度参数'!$E$54),1,0)+IF(H732&gt;=('难度参数'!$E$52+'难度参数'!$E$53+'难度参数'!$E$54+'难度参数'!$E$55),1,0)+IF(H732&gt;=('难度参数'!$E$52+'难度参数'!$E$53+'难度参数'!$E$54+'难度参数'!$E$55+'难度参数'!$E$56),1,0)+IF(H732&gt;=('难度参数'!$E$52+'难度参数'!$E$53+'难度参数'!$E$54+'难度参数'!$E$55+'难度参数'!$E$56+'难度参数'!$E$57),1,0)</x:f>
        <x:v>6</x:v>
      </x:c>
      <x:c r="W732" s="62" t="str">
        <x:f>IF(L732&gt;'难度参数'!$E$51,"仅出怪已超目标","还需实测")</x:f>
        <x:v>仅出怪已超目标</x:v>
      </x:c>
      <x:c r="X732" s="119" t="n">
        <x:f>IF(1&gt;D732,0,MAX(2,MIN('难度参数'!$E$12,ROUND(('难度参数'!$E$18*POWER(A732,'难度参数'!$E$19)/D732*(0.85+0.3*(1-1)/MAX(1,D732-1))),0)+F732)))</x:f>
        <x:v>40</x:v>
      </x:c>
      <x:c r="Y732" s="119" t="n">
        <x:f>IF(1&gt;D732,0,ROUND(('难度参数'!$E$13*POWER(A732,'难度参数'!$E$20)*MIN('难度参数'!$E$23,1+MAX(0,A732-'难度参数'!$E$21)*'难度参数'!$E$22))*(36+1*7)/(36+7*(D732+1)/2)*E732,0))</x:f>
        <x:v>10411</x:v>
      </x:c>
      <x:c r="Z732" s="119" t="n">
        <x:f>IF(X732=0,0,(X732-IF(1=D732,1,0))*ROUND(Y732*VLOOKUP(INDEX('章节与怪物'!$E$31:$K$37,B732,1),'章节与怪物'!$A$41:$F$44,2,FALSE),0)+IF(1=D732,ROUND(Y732*'难度参数'!$E$28*'章节与怪物'!$E$17,0),0))</x:f>
        <x:v>299840</x:v>
      </x:c>
      <x:c r="AA732" s="119" t="n">
        <x:f>IF(X732=0,0,(X732-IF(1=D732,1,0))*VLOOKUP(INDEX('章节与怪物'!$E$31:$K$37,B732,1),'章节与怪物'!$A$41:$F$44,4,FALSE)+IF(1=D732,'难度参数'!$E$30,0))</x:f>
        <x:v>800</x:v>
      </x:c>
      <x:c r="AB732" s="119" t="n">
        <x:f>IF(2&gt;D732,0,MAX(2,MIN('难度参数'!$E$12,ROUND(('难度参数'!$E$18*POWER(A732,'难度参数'!$E$19)/D732*(0.85+0.3*(2-1)/MAX(1,D732-1))),0)+F732)))</x:f>
        <x:v>43</x:v>
      </x:c>
      <x:c r="AC732" s="119" t="n">
        <x:f>IF(2&gt;D732,0,ROUND(('难度参数'!$E$13*POWER(A732,'难度参数'!$E$20)*MIN('难度参数'!$E$23,1+MAX(0,A732-'难度参数'!$E$21)*'难度参数'!$E$22))*(36+2*7)/(36+7*(D732+1)/2)*E732,0))</x:f>
        <x:v>12106</x:v>
      </x:c>
      <x:c r="AD732" s="119" t="n">
        <x:f>IF(AB732=0,0,(AB732-IF(2=D732,1,0))*ROUND(AC732*VLOOKUP(INDEX('章节与怪物'!$E$31:$K$37,B732,2),'章节与怪物'!$A$41:$F$44,2,FALSE),0)+IF(2=D732,ROUND(AC732*'难度参数'!$E$28*'章节与怪物'!$E$17,0),0))</x:f>
        <x:v>520558</x:v>
      </x:c>
      <x:c r="AE732" s="119" t="n">
        <x:f>IF(AB732=0,0,(AB732-IF(2=D732,1,0))*VLOOKUP(INDEX('章节与怪物'!$E$31:$K$37,B732,2),'章节与怪物'!$A$41:$F$44,4,FALSE)+IF(2=D732,'难度参数'!$E$30,0))</x:f>
        <x:v>774</x:v>
      </x:c>
      <x:c r="AF732" s="119" t="n">
        <x:f>IF(3&gt;D732,0,MAX(2,MIN('难度参数'!$E$12,ROUND(('难度参数'!$E$18*POWER(A732,'难度参数'!$E$19)/D732*(0.85+0.3*(3-1)/MAX(1,D732-1))),0)+F732)))</x:f>
        <x:v>45</x:v>
      </x:c>
      <x:c r="AG732" s="119" t="n">
        <x:f>IF(3&gt;D732,0,ROUND(('难度参数'!$E$13*POWER(A732,'难度参数'!$E$20)*MIN('难度参数'!$E$23,1+MAX(0,A732-'难度参数'!$E$21)*'难度参数'!$E$22))*(36+3*7)/(36+7*(D732+1)/2)*E732,0))</x:f>
        <x:v>13801</x:v>
      </x:c>
      <x:c r="AH732" s="119" t="n">
        <x:f>IF(AF732=0,0,(AF732-IF(3=D732,1,0))*ROUND(AG732*VLOOKUP(INDEX('章节与怪物'!$E$31:$K$37,B732,3),'章节与怪物'!$A$41:$F$44,2,FALSE),0)+IF(3=D732,ROUND(AG732*'难度参数'!$E$28*'章节与怪物'!$E$17,0),0))</x:f>
        <x:v>1055790</x:v>
      </x:c>
      <x:c r="AI732" s="119" t="n">
        <x:f>IF(AF732=0,0,(AF732-IF(3=D732,1,0))*VLOOKUP(INDEX('章节与怪物'!$E$31:$K$37,B732,3),'章节与怪物'!$A$41:$F$44,4,FALSE)+IF(3=D732,'难度参数'!$E$30,0))</x:f>
        <x:v>1260</x:v>
      </x:c>
      <x:c r="AJ732" s="119" t="n">
        <x:f>IF(4&gt;D732,0,MAX(2,MIN('难度参数'!$E$12,ROUND(('难度参数'!$E$18*POWER(A732,'难度参数'!$E$19)/D732*(0.85+0.3*(4-1)/MAX(1,D732-1))),0)+F732)))</x:f>
        <x:v>47</x:v>
      </x:c>
      <x:c r="AK732" s="119" t="n">
        <x:f>IF(4&gt;D732,0,ROUND(('难度参数'!$E$13*POWER(A732,'难度参数'!$E$20)*MIN('难度参数'!$E$23,1+MAX(0,A732-'难度参数'!$E$21)*'难度参数'!$E$22))*(36+4*7)/(36+7*(D732+1)/2)*E732,0))</x:f>
        <x:v>15496</x:v>
      </x:c>
      <x:c r="AL732" s="119" t="n">
        <x:f>IF(AJ732=0,0,(AJ732-IF(4=D732,1,0))*ROUND(AK732*VLOOKUP(INDEX('章节与怪物'!$E$31:$K$37,B732,4),'章节与怪物'!$A$41:$F$44,2,FALSE),0)+IF(4=D732,ROUND(AK732*'难度参数'!$E$28*'章节与怪物'!$E$17,0),0))</x:f>
        <x:v>983240</x:v>
      </x:c>
      <x:c r="AM732" s="119" t="n">
        <x:f>IF(AJ732=0,0,(AJ732-IF(4=D732,1,0))*VLOOKUP(INDEX('章节与怪物'!$E$31:$K$37,B732,4),'章节与怪物'!$A$41:$F$44,4,FALSE)+IF(4=D732,'难度参数'!$E$30,0))</x:f>
        <x:v>1598</x:v>
      </x:c>
      <x:c r="AN732" s="119" t="n">
        <x:f>IF(5&gt;D732,0,MAX(2,MIN('难度参数'!$E$12,ROUND(('难度参数'!$E$18*POWER(A732,'难度参数'!$E$19)/D732*(0.85+0.3*(5-1)/MAX(1,D732-1))),0)+F732)))</x:f>
        <x:v>50</x:v>
      </x:c>
      <x:c r="AO732" s="119" t="n">
        <x:f>IF(5&gt;D732,0,ROUND(('难度参数'!$E$13*POWER(A732,'难度参数'!$E$20)*MIN('难度参数'!$E$23,1+MAX(0,A732-'难度参数'!$E$21)*'难度参数'!$E$22))*(36+5*7)/(36+7*(D732+1)/2)*E732,0))</x:f>
        <x:v>17190</x:v>
      </x:c>
      <x:c r="AP732" s="119" t="n">
        <x:f>IF(AN732=0,0,(AN732-IF(5=D732,1,0))*ROUND(AO732*VLOOKUP(INDEX('章节与怪物'!$E$31:$K$37,B732,5),'章节与怪物'!$A$41:$F$44,2,FALSE),0)+IF(5=D732,ROUND(AO732*'难度参数'!$E$28*'章节与怪物'!$E$17,0),0))</x:f>
        <x:v>859500</x:v>
      </x:c>
      <x:c r="AQ732" s="119" t="n">
        <x:f>IF(AN732=0,0,(AN732-IF(5=D732,1,0))*VLOOKUP(INDEX('章节与怪物'!$E$31:$K$37,B732,5),'章节与怪物'!$A$41:$F$44,4,FALSE)+IF(5=D732,'难度参数'!$E$30,0))</x:f>
        <x:v>900</x:v>
      </x:c>
      <x:c r="AR732" s="119" t="n">
        <x:f>IF(6&gt;D732,0,MAX(2,MIN('难度参数'!$E$12,ROUND(('难度参数'!$E$18*POWER(A732,'难度参数'!$E$19)/D732*(0.85+0.3*(6-1)/MAX(1,D732-1))),0)+F732)))</x:f>
        <x:v>52</x:v>
      </x:c>
      <x:c r="AS732" s="119" t="n">
        <x:f>IF(6&gt;D732,0,ROUND(('难度参数'!$E$13*POWER(A732,'难度参数'!$E$20)*MIN('难度参数'!$E$23,1+MAX(0,A732-'难度参数'!$E$21)*'难度参数'!$E$22))*(36+6*7)/(36+7*(D732+1)/2)*E732,0))</x:f>
        <x:v>18885</x:v>
      </x:c>
      <x:c r="AT732" s="119" t="n">
        <x:f>IF(AR732=0,0,(AR732-IF(6=D732,1,0))*ROUND(AS732*VLOOKUP(INDEX('章节与怪物'!$E$31:$K$37,B732,6),'章节与怪物'!$A$41:$F$44,2,FALSE),0)+IF(6=D732,ROUND(AS732*'难度参数'!$E$28*'章节与怪物'!$E$17,0),0))</x:f>
        <x:v>1669460</x:v>
      </x:c>
      <x:c r="AU732" s="119" t="n">
        <x:f>IF(AR732=0,0,(AR732-IF(6=D732,1,0))*VLOOKUP(INDEX('章节与怪物'!$E$31:$K$37,B732,6),'章节与怪物'!$A$41:$F$44,4,FALSE)+IF(6=D732,'难度参数'!$E$30,0))</x:f>
        <x:v>1456</x:v>
      </x:c>
      <x:c r="AV732" s="119" t="n">
        <x:f>IF(7&gt;D732,0,MAX(2,MIN('难度参数'!$E$12,ROUND(('难度参数'!$E$18*POWER(A732,'难度参数'!$E$19)/D732*(0.85+0.3*(7-1)/MAX(1,D732-1))),0)+F732)))</x:f>
        <x:v>54</x:v>
      </x:c>
      <x:c r="AW732" s="119" t="n">
        <x:f>IF(7&gt;D732,0,ROUND(('难度参数'!$E$13*POWER(A732,'难度参数'!$E$20)*MIN('难度参数'!$E$23,1+MAX(0,A732-'难度参数'!$E$21)*'难度参数'!$E$22))*(36+7*7)/(36+7*(D732+1)/2)*E732,0))</x:f>
        <x:v>20580</x:v>
      </x:c>
      <x:c r="AX732" s="119" t="n">
        <x:f>IF(AV732=0,0,(AV732-IF(7=D732,1,0))*ROUND(AW732*VLOOKUP(INDEX('章节与怪物'!$E$31:$K$37,B732,7),'章节与怪物'!$A$41:$F$44,2,FALSE),0)+IF(7=D732,ROUND(AW732*'难度参数'!$E$28*'章节与怪物'!$E$17,0),0))</x:f>
        <x:v>1612443</x:v>
      </x:c>
      <x:c r="AY732" s="119" t="n">
        <x:f>IF(AV732=0,0,(AV732-IF(7=D732,1,0))*VLOOKUP(INDEX('章节与怪物'!$E$31:$K$37,B732,7),'章节与怪物'!$A$41:$F$44,4,FALSE)+IF(7=D732,'难度参数'!$E$30,0))</x:f>
        <x:v>2002</x:v>
      </x:c>
    </x:row>
    <x:row r="733" ht="23" customHeight="1">
      <x:c r="A733" s="119" t="n">
        <x:v>727</x:v>
      </x:c>
      <x:c r="B733" s="119" t="n">
        <x:f>MOD(INT((A733-1)/5),7)+1</x:f>
        <x:v>6</x:v>
      </x:c>
      <x:c r="C733" s="62" t="str">
        <x:f>INDEX('章节与怪物'!$B$31:$B$37,B733)</x:f>
        <x:v>熔岩山脉</x:v>
      </x:c>
      <x:c r="D733" s="119" t="n">
        <x:f>MIN('难度参数'!$E$8,MAX('难度参数'!$E$7,A733))</x:f>
        <x:v>7</x:v>
      </x:c>
      <x:c r="E733" s="106" t="n">
        <x:v>1</x:v>
      </x:c>
      <x:c r="F733" s="106" t="n">
        <x:v>0</x:v>
      </x:c>
      <x:c r="G733" s="106" t="n">
        <x:v>1</x:v>
      </x:c>
      <x:c r="H733" s="119" t="n">
        <x:f>SUM(X733,AB733,AF733,AJ733,AN733,AR733,AV733)</x:f>
        <x:v>331</x:v>
      </x:c>
      <x:c r="I733" s="119" t="n">
        <x:f>SUM(Z733,AD733,AH733,AL733,AP733,AT733,AX733)</x:f>
        <x:v>7007638</x:v>
      </x:c>
      <x:c r="J733" s="119" t="n">
        <x:f>ROUND(INDEX(X733:AY733,1,(D733-1)*4+2)*'难度参数'!$E$28*'章节与怪物'!$E$17,0)</x:f>
        <x:v>140080</x:v>
      </x:c>
      <x:c r="K733" s="119" t="n">
        <x:f>SUM(AA733,AE733,AI733,AM733,AQ733,AU733,AY733)</x:f>
        <x:v>8790</x:v>
      </x:c>
      <x:c r="L733" s="62" t="n">
        <x:f>H733*(ROUNDUP('难度参数'!$E$24/('难度参数'!$E$26*'难度参数'!$E$27),0)*'难度参数'!$E$26)/60</x:f>
        <x:v>4.413333333333333</x:v>
      </x:c>
      <x:c r="M733" s="62" t="n">
        <x:f>L733+D733*('难度参数'!$E$49+'难度参数'!$E$50)/60</x:f>
        <x:v>5.58</x:v>
      </x:c>
      <x:c r="N733" s="119" t="n">
        <x:f>ROUNDDOWN(('经济参数'!$E$20+A733*'经济参数'!$E$21)*G733,0)</x:f>
        <x:v>14720</x:v>
      </x:c>
      <x:c r="O733" s="119" t="n">
        <x:f>ROUNDDOWN(MIN('经济参数'!$E$24,'经济参数'!$E$22+A733*'经济参数'!$E$23)*G733,0)</x:f>
        <x:v>0</x:v>
      </x:c>
      <x:c r="P733" s="119" t="n">
        <x:f>ROUNDDOWN((IF(A733&gt;='材料与任务'!$E$31,'材料与任务'!$E$32,IF(A733&gt;='材料与任务'!$E$25,'材料与任务'!$E$26,IF(A733&gt;='材料与任务'!$E$19,'材料与任务'!$E$20,IF(A733&gt;='材料与任务'!$E$13,'材料与任务'!$E$14,'材料与任务'!$E$8)))))*G733,0)</x:f>
        <x:v>6</x:v>
      </x:c>
      <x:c r="Q733" s="119" t="n">
        <x:f>ROUNDDOWN((IF(A733&gt;='材料与任务'!$E$31,'材料与任务'!$E$33,IF(A733&gt;='材料与任务'!$E$25,'材料与任务'!$E$27,IF(A733&gt;='材料与任务'!$E$19,'材料与任务'!$E$21,IF(A733&gt;='材料与任务'!$E$13,'材料与任务'!$E$15,'材料与任务'!$E$9)))))*G733,0)</x:f>
        <x:v>3</x:v>
      </x:c>
      <x:c r="R733" s="110" t="n">
        <x:f>'装备掉落'!$B$38</x:f>
        <x:v>0.6872058758851213</x:v>
      </x:c>
      <x:c r="S733" s="119" t="n">
        <x:f>MAX(IF(VLOOKUP(A733,'装备掉落'!$A$29:$H$34,2,TRUE)&gt;0,1,0),IF(VLOOKUP(A733,'装备掉落'!$A$29:$H$34,3,TRUE)&gt;0,2,0),IF(VLOOKUP(A733,'装备掉落'!$A$29:$H$34,4,TRUE)&gt;0,3,0),IF(VLOOKUP(A733,'装备掉落'!$A$29:$H$34,5,TRUE)&gt;0,4,0),IF(VLOOKUP(A733,'装备掉落'!$A$29:$H$34,6,TRUE)&gt;0,5,0),IF(VLOOKUP(A733,'装备掉落'!$A$29:$H$34,7,TRUE)&gt;0,6,0),IF(VLOOKUP(A733,'装备掉落'!$A$29:$H$34,8,TRUE)&gt;0,7,0))</x:f>
        <x:v>7</x:v>
      </x:c>
      <x:c r="T733" s="119" t="n">
        <x:f>MIN(7,S733+'经济参数'!$E$70)</x:f>
        <x:v>7</x:v>
      </x:c>
      <x:c r="U733" s="119" t="n">
        <x:f>MIN(7,S733+'经济参数'!$E$71)</x:f>
        <x:v>7</x:v>
      </x:c>
      <x:c r="V733" s="119" t="n">
        <x:f>IF(H733&gt;=('难度参数'!$E$52),1,0)+IF(H733&gt;=('难度参数'!$E$52+'难度参数'!$E$53),1,0)+IF(H733&gt;=('难度参数'!$E$52+'难度参数'!$E$53+'难度参数'!$E$54),1,0)+IF(H733&gt;=('难度参数'!$E$52+'难度参数'!$E$53+'难度参数'!$E$54+'难度参数'!$E$55),1,0)+IF(H733&gt;=('难度参数'!$E$52+'难度参数'!$E$53+'难度参数'!$E$54+'难度参数'!$E$55+'难度参数'!$E$56),1,0)+IF(H733&gt;=('难度参数'!$E$52+'难度参数'!$E$53+'难度参数'!$E$54+'难度参数'!$E$55+'难度参数'!$E$56+'难度参数'!$E$57),1,0)</x:f>
        <x:v>6</x:v>
      </x:c>
      <x:c r="W733" s="62" t="str">
        <x:f>IF(L733&gt;'难度参数'!$E$51,"仅出怪已超目标","还需实测")</x:f>
        <x:v>仅出怪已超目标</x:v>
      </x:c>
      <x:c r="X733" s="119" t="n">
        <x:f>IF(1&gt;D733,0,MAX(2,MIN('难度参数'!$E$12,ROUND(('难度参数'!$E$18*POWER(A733,'难度参数'!$E$19)/D733*(0.85+0.3*(1-1)/MAX(1,D733-1))),0)+F733)))</x:f>
        <x:v>40</x:v>
      </x:c>
      <x:c r="Y733" s="119" t="n">
        <x:f>IF(1&gt;D733,0,ROUND(('难度参数'!$E$13*POWER(A733,'难度参数'!$E$20)*MIN('难度参数'!$E$23,1+MAX(0,A733-'难度参数'!$E$21)*'难度参数'!$E$22))*(36+1*7)/(36+7*(D733+1)/2)*E733,0))</x:f>
        <x:v>10421</x:v>
      </x:c>
      <x:c r="Z733" s="119" t="n">
        <x:f>IF(X733=0,0,(X733-IF(1=D733,1,0))*ROUND(Y733*VLOOKUP(INDEX('章节与怪物'!$E$31:$K$37,B733,1),'章节与怪物'!$A$41:$F$44,2,FALSE),0)+IF(1=D733,ROUND(Y733*'难度参数'!$E$28*'章节与怪物'!$E$17,0),0))</x:f>
        <x:v>300120</x:v>
      </x:c>
      <x:c r="AA733" s="119" t="n">
        <x:f>IF(X733=0,0,(X733-IF(1=D733,1,0))*VLOOKUP(INDEX('章节与怪物'!$E$31:$K$37,B733,1),'章节与怪物'!$A$41:$F$44,4,FALSE)+IF(1=D733,'难度参数'!$E$30,0))</x:f>
        <x:v>800</x:v>
      </x:c>
      <x:c r="AB733" s="119" t="n">
        <x:f>IF(2&gt;D733,0,MAX(2,MIN('难度参数'!$E$12,ROUND(('难度参数'!$E$18*POWER(A733,'难度参数'!$E$19)/D733*(0.85+0.3*(2-1)/MAX(1,D733-1))),0)+F733)))</x:f>
        <x:v>43</x:v>
      </x:c>
      <x:c r="AC733" s="119" t="n">
        <x:f>IF(2&gt;D733,0,ROUND(('难度参数'!$E$13*POWER(A733,'难度参数'!$E$20)*MIN('难度参数'!$E$23,1+MAX(0,A733-'难度参数'!$E$21)*'难度参数'!$E$22))*(36+2*7)/(36+7*(D733+1)/2)*E733,0))</x:f>
        <x:v>12118</x:v>
      </x:c>
      <x:c r="AD733" s="119" t="n">
        <x:f>IF(AB733=0,0,(AB733-IF(2=D733,1,0))*ROUND(AC733*VLOOKUP(INDEX('章节与怪物'!$E$31:$K$37,B733,2),'章节与怪物'!$A$41:$F$44,2,FALSE),0)+IF(2=D733,ROUND(AC733*'难度参数'!$E$28*'章节与怪物'!$E$17,0),0))</x:f>
        <x:v>521074</x:v>
      </x:c>
      <x:c r="AE733" s="119" t="n">
        <x:f>IF(AB733=0,0,(AB733-IF(2=D733,1,0))*VLOOKUP(INDEX('章节与怪物'!$E$31:$K$37,B733,2),'章节与怪物'!$A$41:$F$44,4,FALSE)+IF(2=D733,'难度参数'!$E$30,0))</x:f>
        <x:v>774</x:v>
      </x:c>
      <x:c r="AF733" s="119" t="n">
        <x:f>IF(3&gt;D733,0,MAX(2,MIN('难度参数'!$E$12,ROUND(('难度参数'!$E$18*POWER(A733,'难度参数'!$E$19)/D733*(0.85+0.3*(3-1)/MAX(1,D733-1))),0)+F733)))</x:f>
        <x:v>45</x:v>
      </x:c>
      <x:c r="AG733" s="119" t="n">
        <x:f>IF(3&gt;D733,0,ROUND(('难度参数'!$E$13*POWER(A733,'难度参数'!$E$20)*MIN('难度参数'!$E$23,1+MAX(0,A733-'难度参数'!$E$21)*'难度参数'!$E$22))*(36+3*7)/(36+7*(D733+1)/2)*E733,0))</x:f>
        <x:v>13814</x:v>
      </x:c>
      <x:c r="AH733" s="119" t="n">
        <x:f>IF(AF733=0,0,(AF733-IF(3=D733,1,0))*ROUND(AG733*VLOOKUP(INDEX('章节与怪物'!$E$31:$K$37,B733,3),'章节与怪物'!$A$41:$F$44,2,FALSE),0)+IF(3=D733,ROUND(AG733*'难度参数'!$E$28*'章节与怪物'!$E$17,0),0))</x:f>
        <x:v>1056780</x:v>
      </x:c>
      <x:c r="AI733" s="119" t="n">
        <x:f>IF(AF733=0,0,(AF733-IF(3=D733,1,0))*VLOOKUP(INDEX('章节与怪物'!$E$31:$K$37,B733,3),'章节与怪物'!$A$41:$F$44,4,FALSE)+IF(3=D733,'难度参数'!$E$30,0))</x:f>
        <x:v>1260</x:v>
      </x:c>
      <x:c r="AJ733" s="119" t="n">
        <x:f>IF(4&gt;D733,0,MAX(2,MIN('难度参数'!$E$12,ROUND(('难度参数'!$E$18*POWER(A733,'难度参数'!$E$19)/D733*(0.85+0.3*(4-1)/MAX(1,D733-1))),0)+F733)))</x:f>
        <x:v>47</x:v>
      </x:c>
      <x:c r="AK733" s="119" t="n">
        <x:f>IF(4&gt;D733,0,ROUND(('难度参数'!$E$13*POWER(A733,'难度参数'!$E$20)*MIN('难度参数'!$E$23,1+MAX(0,A733-'难度参数'!$E$21)*'难度参数'!$E$22))*(36+4*7)/(36+7*(D733+1)/2)*E733,0))</x:f>
        <x:v>15511</x:v>
      </x:c>
      <x:c r="AL733" s="119" t="n">
        <x:f>IF(AJ733=0,0,(AJ733-IF(4=D733,1,0))*ROUND(AK733*VLOOKUP(INDEX('章节与怪物'!$E$31:$K$37,B733,4),'章节与怪物'!$A$41:$F$44,2,FALSE),0)+IF(4=D733,ROUND(AK733*'难度参数'!$E$28*'章节与怪物'!$E$17,0),0))</x:f>
        <x:v>984180</x:v>
      </x:c>
      <x:c r="AM733" s="119" t="n">
        <x:f>IF(AJ733=0,0,(AJ733-IF(4=D733,1,0))*VLOOKUP(INDEX('章节与怪物'!$E$31:$K$37,B733,4),'章节与怪物'!$A$41:$F$44,4,FALSE)+IF(4=D733,'难度参数'!$E$30,0))</x:f>
        <x:v>1598</x:v>
      </x:c>
      <x:c r="AN733" s="119" t="n">
        <x:f>IF(5&gt;D733,0,MAX(2,MIN('难度参数'!$E$12,ROUND(('难度参数'!$E$18*POWER(A733,'难度参数'!$E$19)/D733*(0.85+0.3*(5-1)/MAX(1,D733-1))),0)+F733)))</x:f>
        <x:v>50</x:v>
      </x:c>
      <x:c r="AO733" s="119" t="n">
        <x:f>IF(5&gt;D733,0,ROUND(('难度参数'!$E$13*POWER(A733,'难度参数'!$E$20)*MIN('难度参数'!$E$23,1+MAX(0,A733-'难度参数'!$E$21)*'难度参数'!$E$22))*(36+5*7)/(36+7*(D733+1)/2)*E733,0))</x:f>
        <x:v>17207</x:v>
      </x:c>
      <x:c r="AP733" s="119" t="n">
        <x:f>IF(AN733=0,0,(AN733-IF(5=D733,1,0))*ROUND(AO733*VLOOKUP(INDEX('章节与怪物'!$E$31:$K$37,B733,5),'章节与怪物'!$A$41:$F$44,2,FALSE),0)+IF(5=D733,ROUND(AO733*'难度参数'!$E$28*'章节与怪物'!$E$17,0),0))</x:f>
        <x:v>860350</x:v>
      </x:c>
      <x:c r="AQ733" s="119" t="n">
        <x:f>IF(AN733=0,0,(AN733-IF(5=D733,1,0))*VLOOKUP(INDEX('章节与怪物'!$E$31:$K$37,B733,5),'章节与怪物'!$A$41:$F$44,4,FALSE)+IF(5=D733,'难度参数'!$E$30,0))</x:f>
        <x:v>900</x:v>
      </x:c>
      <x:c r="AR733" s="119" t="n">
        <x:f>IF(6&gt;D733,0,MAX(2,MIN('难度参数'!$E$12,ROUND(('难度参数'!$E$18*POWER(A733,'难度参数'!$E$19)/D733*(0.85+0.3*(6-1)/MAX(1,D733-1))),0)+F733)))</x:f>
        <x:v>52</x:v>
      </x:c>
      <x:c r="AS733" s="119" t="n">
        <x:f>IF(6&gt;D733,0,ROUND(('难度参数'!$E$13*POWER(A733,'难度参数'!$E$20)*MIN('难度参数'!$E$23,1+MAX(0,A733-'难度参数'!$E$21)*'难度参数'!$E$22))*(36+6*7)/(36+7*(D733+1)/2)*E733,0))</x:f>
        <x:v>18904</x:v>
      </x:c>
      <x:c r="AT733" s="119" t="n">
        <x:f>IF(AR733=0,0,(AR733-IF(6=D733,1,0))*ROUND(AS733*VLOOKUP(INDEX('章节与怪物'!$E$31:$K$37,B733,6),'章节与怪物'!$A$41:$F$44,2,FALSE),0)+IF(6=D733,ROUND(AS733*'难度参数'!$E$28*'章节与怪物'!$E$17,0),0))</x:f>
        <x:v>1671124</x:v>
      </x:c>
      <x:c r="AU733" s="119" t="n">
        <x:f>IF(AR733=0,0,(AR733-IF(6=D733,1,0))*VLOOKUP(INDEX('章节与怪物'!$E$31:$K$37,B733,6),'章节与怪物'!$A$41:$F$44,4,FALSE)+IF(6=D733,'难度参数'!$E$30,0))</x:f>
        <x:v>1456</x:v>
      </x:c>
      <x:c r="AV733" s="119" t="n">
        <x:f>IF(7&gt;D733,0,MAX(2,MIN('难度参数'!$E$12,ROUND(('难度参数'!$E$18*POWER(A733,'难度参数'!$E$19)/D733*(0.85+0.3*(7-1)/MAX(1,D733-1))),0)+F733)))</x:f>
        <x:v>54</x:v>
      </x:c>
      <x:c r="AW733" s="119" t="n">
        <x:f>IF(7&gt;D733,0,ROUND(('难度参数'!$E$13*POWER(A733,'难度参数'!$E$20)*MIN('难度参数'!$E$23,1+MAX(0,A733-'难度参数'!$E$21)*'难度参数'!$E$22))*(36+7*7)/(36+7*(D733+1)/2)*E733,0))</x:f>
        <x:v>20600</x:v>
      </x:c>
      <x:c r="AX733" s="119" t="n">
        <x:f>IF(AV733=0,0,(AV733-IF(7=D733,1,0))*ROUND(AW733*VLOOKUP(INDEX('章节与怪物'!$E$31:$K$37,B733,7),'章节与怪物'!$A$41:$F$44,2,FALSE),0)+IF(7=D733,ROUND(AW733*'难度参数'!$E$28*'章节与怪物'!$E$17,0),0))</x:f>
        <x:v>1614010</x:v>
      </x:c>
      <x:c r="AY733" s="119" t="n">
        <x:f>IF(AV733=0,0,(AV733-IF(7=D733,1,0))*VLOOKUP(INDEX('章节与怪物'!$E$31:$K$37,B733,7),'章节与怪物'!$A$41:$F$44,4,FALSE)+IF(7=D733,'难度参数'!$E$30,0))</x:f>
        <x:v>2002</x:v>
      </x:c>
    </x:row>
    <x:row r="734" ht="23" customHeight="1">
      <x:c r="A734" s="119" t="n">
        <x:v>728</x:v>
      </x:c>
      <x:c r="B734" s="119" t="n">
        <x:f>MOD(INT((A734-1)/5),7)+1</x:f>
        <x:v>6</x:v>
      </x:c>
      <x:c r="C734" s="62" t="str">
        <x:f>INDEX('章节与怪物'!$B$31:$B$37,B734)</x:f>
        <x:v>熔岩山脉</x:v>
      </x:c>
      <x:c r="D734" s="119" t="n">
        <x:f>MIN('难度参数'!$E$8,MAX('难度参数'!$E$7,A734))</x:f>
        <x:v>7</x:v>
      </x:c>
      <x:c r="E734" s="106" t="n">
        <x:v>1</x:v>
      </x:c>
      <x:c r="F734" s="106" t="n">
        <x:v>0</x:v>
      </x:c>
      <x:c r="G734" s="106" t="n">
        <x:v>1</x:v>
      </x:c>
      <x:c r="H734" s="119" t="n">
        <x:f>SUM(X734,AB734,AF734,AJ734,AN734,AR734,AV734)</x:f>
        <x:v>331</x:v>
      </x:c>
      <x:c r="I734" s="119" t="n">
        <x:f>SUM(Z734,AD734,AH734,AL734,AP734,AT734,AX734)</x:f>
        <x:v>7014685</x:v>
      </x:c>
      <x:c r="J734" s="119" t="n">
        <x:f>ROUND(INDEX(X734:AY734,1,(D734-1)*4+2)*'难度参数'!$E$28*'章节与怪物'!$E$17,0)</x:f>
        <x:v>140223</x:v>
      </x:c>
      <x:c r="K734" s="119" t="n">
        <x:f>SUM(AA734,AE734,AI734,AM734,AQ734,AU734,AY734)</x:f>
        <x:v>8790</x:v>
      </x:c>
      <x:c r="L734" s="62" t="n">
        <x:f>H734*(ROUNDUP('难度参数'!$E$24/('难度参数'!$E$26*'难度参数'!$E$27),0)*'难度参数'!$E$26)/60</x:f>
        <x:v>4.413333333333333</x:v>
      </x:c>
      <x:c r="M734" s="62" t="n">
        <x:f>L734+D734*('难度参数'!$E$49+'难度参数'!$E$50)/60</x:f>
        <x:v>5.58</x:v>
      </x:c>
      <x:c r="N734" s="119" t="n">
        <x:f>ROUNDDOWN(('经济参数'!$E$20+A734*'经济参数'!$E$21)*G734,0)</x:f>
        <x:v>14740</x:v>
      </x:c>
      <x:c r="O734" s="119" t="n">
        <x:f>ROUNDDOWN(MIN('经济参数'!$E$24,'经济参数'!$E$22+A734*'经济参数'!$E$23)*G734,0)</x:f>
        <x:v>0</x:v>
      </x:c>
      <x:c r="P734" s="119" t="n">
        <x:f>ROUNDDOWN((IF(A734&gt;='材料与任务'!$E$31,'材料与任务'!$E$32,IF(A734&gt;='材料与任务'!$E$25,'材料与任务'!$E$26,IF(A734&gt;='材料与任务'!$E$19,'材料与任务'!$E$20,IF(A734&gt;='材料与任务'!$E$13,'材料与任务'!$E$14,'材料与任务'!$E$8)))))*G734,0)</x:f>
        <x:v>6</x:v>
      </x:c>
      <x:c r="Q734" s="119" t="n">
        <x:f>ROUNDDOWN((IF(A734&gt;='材料与任务'!$E$31,'材料与任务'!$E$33,IF(A734&gt;='材料与任务'!$E$25,'材料与任务'!$E$27,IF(A734&gt;='材料与任务'!$E$19,'材料与任务'!$E$21,IF(A734&gt;='材料与任务'!$E$13,'材料与任务'!$E$15,'材料与任务'!$E$9)))))*G734,0)</x:f>
        <x:v>3</x:v>
      </x:c>
      <x:c r="R734" s="110" t="n">
        <x:f>'装备掉落'!$B$38</x:f>
        <x:v>0.6872058758851213</x:v>
      </x:c>
      <x:c r="S734" s="119" t="n">
        <x:f>MAX(IF(VLOOKUP(A734,'装备掉落'!$A$29:$H$34,2,TRUE)&gt;0,1,0),IF(VLOOKUP(A734,'装备掉落'!$A$29:$H$34,3,TRUE)&gt;0,2,0),IF(VLOOKUP(A734,'装备掉落'!$A$29:$H$34,4,TRUE)&gt;0,3,0),IF(VLOOKUP(A734,'装备掉落'!$A$29:$H$34,5,TRUE)&gt;0,4,0),IF(VLOOKUP(A734,'装备掉落'!$A$29:$H$34,6,TRUE)&gt;0,5,0),IF(VLOOKUP(A734,'装备掉落'!$A$29:$H$34,7,TRUE)&gt;0,6,0),IF(VLOOKUP(A734,'装备掉落'!$A$29:$H$34,8,TRUE)&gt;0,7,0))</x:f>
        <x:v>7</x:v>
      </x:c>
      <x:c r="T734" s="119" t="n">
        <x:f>MIN(7,S734+'经济参数'!$E$70)</x:f>
        <x:v>7</x:v>
      </x:c>
      <x:c r="U734" s="119" t="n">
        <x:f>MIN(7,S734+'经济参数'!$E$71)</x:f>
        <x:v>7</x:v>
      </x:c>
      <x:c r="V734" s="119" t="n">
        <x:f>IF(H734&gt;=('难度参数'!$E$52),1,0)+IF(H734&gt;=('难度参数'!$E$52+'难度参数'!$E$53),1,0)+IF(H734&gt;=('难度参数'!$E$52+'难度参数'!$E$53+'难度参数'!$E$54),1,0)+IF(H734&gt;=('难度参数'!$E$52+'难度参数'!$E$53+'难度参数'!$E$54+'难度参数'!$E$55),1,0)+IF(H734&gt;=('难度参数'!$E$52+'难度参数'!$E$53+'难度参数'!$E$54+'难度参数'!$E$55+'难度参数'!$E$56),1,0)+IF(H734&gt;=('难度参数'!$E$52+'难度参数'!$E$53+'难度参数'!$E$54+'难度参数'!$E$55+'难度参数'!$E$56+'难度参数'!$E$57),1,0)</x:f>
        <x:v>6</x:v>
      </x:c>
      <x:c r="W734" s="62" t="str">
        <x:f>IF(L734&gt;'难度参数'!$E$51,"仅出怪已超目标","还需实测")</x:f>
        <x:v>仅出怪已超目标</x:v>
      </x:c>
      <x:c r="X734" s="119" t="n">
        <x:f>IF(1&gt;D734,0,MAX(2,MIN('难度参数'!$E$12,ROUND(('难度参数'!$E$18*POWER(A734,'难度参数'!$E$19)/D734*(0.85+0.3*(1-1)/MAX(1,D734-1))),0)+F734)))</x:f>
        <x:v>40</x:v>
      </x:c>
      <x:c r="Y734" s="119" t="n">
        <x:f>IF(1&gt;D734,0,ROUND(('难度参数'!$E$13*POWER(A734,'难度参数'!$E$20)*MIN('难度参数'!$E$23,1+MAX(0,A734-'难度参数'!$E$21)*'难度参数'!$E$22))*(36+1*7)/(36+7*(D734+1)/2)*E734,0))</x:f>
        <x:v>10432</x:v>
      </x:c>
      <x:c r="Z734" s="119" t="n">
        <x:f>IF(X734=0,0,(X734-IF(1=D734,1,0))*ROUND(Y734*VLOOKUP(INDEX('章节与怪物'!$E$31:$K$37,B734,1),'章节与怪物'!$A$41:$F$44,2,FALSE),0)+IF(1=D734,ROUND(Y734*'难度参数'!$E$28*'章节与怪物'!$E$17,0),0))</x:f>
        <x:v>300440</x:v>
      </x:c>
      <x:c r="AA734" s="119" t="n">
        <x:f>IF(X734=0,0,(X734-IF(1=D734,1,0))*VLOOKUP(INDEX('章节与怪物'!$E$31:$K$37,B734,1),'章节与怪物'!$A$41:$F$44,4,FALSE)+IF(1=D734,'难度参数'!$E$30,0))</x:f>
        <x:v>800</x:v>
      </x:c>
      <x:c r="AB734" s="119" t="n">
        <x:f>IF(2&gt;D734,0,MAX(2,MIN('难度参数'!$E$12,ROUND(('难度参数'!$E$18*POWER(A734,'难度参数'!$E$19)/D734*(0.85+0.3*(2-1)/MAX(1,D734-1))),0)+F734)))</x:f>
        <x:v>43</x:v>
      </x:c>
      <x:c r="AC734" s="119" t="n">
        <x:f>IF(2&gt;D734,0,ROUND(('难度参数'!$E$13*POWER(A734,'难度参数'!$E$20)*MIN('难度参数'!$E$23,1+MAX(0,A734-'难度参数'!$E$21)*'难度参数'!$E$22))*(36+2*7)/(36+7*(D734+1)/2)*E734,0))</x:f>
        <x:v>12130</x:v>
      </x:c>
      <x:c r="AD734" s="119" t="n">
        <x:f>IF(AB734=0,0,(AB734-IF(2=D734,1,0))*ROUND(AC734*VLOOKUP(INDEX('章节与怪物'!$E$31:$K$37,B734,2),'章节与怪物'!$A$41:$F$44,2,FALSE),0)+IF(2=D734,ROUND(AC734*'难度参数'!$E$28*'章节与怪物'!$E$17,0),0))</x:f>
        <x:v>521590</x:v>
      </x:c>
      <x:c r="AE734" s="119" t="n">
        <x:f>IF(AB734=0,0,(AB734-IF(2=D734,1,0))*VLOOKUP(INDEX('章节与怪物'!$E$31:$K$37,B734,2),'章节与怪物'!$A$41:$F$44,4,FALSE)+IF(2=D734,'难度参数'!$E$30,0))</x:f>
        <x:v>774</x:v>
      </x:c>
      <x:c r="AF734" s="119" t="n">
        <x:f>IF(3&gt;D734,0,MAX(2,MIN('难度参数'!$E$12,ROUND(('难度参数'!$E$18*POWER(A734,'难度参数'!$E$19)/D734*(0.85+0.3*(3-1)/MAX(1,D734-1))),0)+F734)))</x:f>
        <x:v>45</x:v>
      </x:c>
      <x:c r="AG734" s="119" t="n">
        <x:f>IF(3&gt;D734,0,ROUND(('难度参数'!$E$13*POWER(A734,'难度参数'!$E$20)*MIN('难度参数'!$E$23,1+MAX(0,A734-'难度参数'!$E$21)*'难度参数'!$E$22))*(36+3*7)/(36+7*(D734+1)/2)*E734,0))</x:f>
        <x:v>13828</x:v>
      </x:c>
      <x:c r="AH734" s="119" t="n">
        <x:f>IF(AF734=0,0,(AF734-IF(3=D734,1,0))*ROUND(AG734*VLOOKUP(INDEX('章节与怪物'!$E$31:$K$37,B734,3),'章节与怪物'!$A$41:$F$44,2,FALSE),0)+IF(3=D734,ROUND(AG734*'难度参数'!$E$28*'章节与怪物'!$E$17,0),0))</x:f>
        <x:v>1057860</x:v>
      </x:c>
      <x:c r="AI734" s="119" t="n">
        <x:f>IF(AF734=0,0,(AF734-IF(3=D734,1,0))*VLOOKUP(INDEX('章节与怪物'!$E$31:$K$37,B734,3),'章节与怪物'!$A$41:$F$44,4,FALSE)+IF(3=D734,'难度参数'!$E$30,0))</x:f>
        <x:v>1260</x:v>
      </x:c>
      <x:c r="AJ734" s="119" t="n">
        <x:f>IF(4&gt;D734,0,MAX(2,MIN('难度参数'!$E$12,ROUND(('难度参数'!$E$18*POWER(A734,'难度参数'!$E$19)/D734*(0.85+0.3*(4-1)/MAX(1,D734-1))),0)+F734)))</x:f>
        <x:v>47</x:v>
      </x:c>
      <x:c r="AK734" s="119" t="n">
        <x:f>IF(4&gt;D734,0,ROUND(('难度参数'!$E$13*POWER(A734,'难度参数'!$E$20)*MIN('难度参数'!$E$23,1+MAX(0,A734-'难度参数'!$E$21)*'难度参数'!$E$22))*(36+4*7)/(36+7*(D734+1)/2)*E734,0))</x:f>
        <x:v>15526</x:v>
      </x:c>
      <x:c r="AL734" s="119" t="n">
        <x:f>IF(AJ734=0,0,(AJ734-IF(4=D734,1,0))*ROUND(AK734*VLOOKUP(INDEX('章节与怪物'!$E$31:$K$37,B734,4),'章节与怪物'!$A$41:$F$44,2,FALSE),0)+IF(4=D734,ROUND(AK734*'难度参数'!$E$28*'章节与怪物'!$E$17,0),0))</x:f>
        <x:v>985120</x:v>
      </x:c>
      <x:c r="AM734" s="119" t="n">
        <x:f>IF(AJ734=0,0,(AJ734-IF(4=D734,1,0))*VLOOKUP(INDEX('章节与怪物'!$E$31:$K$37,B734,4),'章节与怪物'!$A$41:$F$44,4,FALSE)+IF(4=D734,'难度参数'!$E$30,0))</x:f>
        <x:v>1598</x:v>
      </x:c>
      <x:c r="AN734" s="119" t="n">
        <x:f>IF(5&gt;D734,0,MAX(2,MIN('难度参数'!$E$12,ROUND(('难度参数'!$E$18*POWER(A734,'难度参数'!$E$19)/D734*(0.85+0.3*(5-1)/MAX(1,D734-1))),0)+F734)))</x:f>
        <x:v>50</x:v>
      </x:c>
      <x:c r="AO734" s="119" t="n">
        <x:f>IF(5&gt;D734,0,ROUND(('难度参数'!$E$13*POWER(A734,'难度参数'!$E$20)*MIN('难度参数'!$E$23,1+MAX(0,A734-'难度参数'!$E$21)*'难度参数'!$E$22))*(36+5*7)/(36+7*(D734+1)/2)*E734,0))</x:f>
        <x:v>17225</x:v>
      </x:c>
      <x:c r="AP734" s="119" t="n">
        <x:f>IF(AN734=0,0,(AN734-IF(5=D734,1,0))*ROUND(AO734*VLOOKUP(INDEX('章节与怪物'!$E$31:$K$37,B734,5),'章节与怪物'!$A$41:$F$44,2,FALSE),0)+IF(5=D734,ROUND(AO734*'难度参数'!$E$28*'章节与怪物'!$E$17,0),0))</x:f>
        <x:v>861250</x:v>
      </x:c>
      <x:c r="AQ734" s="119" t="n">
        <x:f>IF(AN734=0,0,(AN734-IF(5=D734,1,0))*VLOOKUP(INDEX('章节与怪物'!$E$31:$K$37,B734,5),'章节与怪物'!$A$41:$F$44,4,FALSE)+IF(5=D734,'难度参数'!$E$30,0))</x:f>
        <x:v>900</x:v>
      </x:c>
      <x:c r="AR734" s="119" t="n">
        <x:f>IF(6&gt;D734,0,MAX(2,MIN('难度参数'!$E$12,ROUND(('难度参数'!$E$18*POWER(A734,'难度参数'!$E$19)/D734*(0.85+0.3*(6-1)/MAX(1,D734-1))),0)+F734)))</x:f>
        <x:v>52</x:v>
      </x:c>
      <x:c r="AS734" s="119" t="n">
        <x:f>IF(6&gt;D734,0,ROUND(('难度参数'!$E$13*POWER(A734,'难度参数'!$E$20)*MIN('难度参数'!$E$23,1+MAX(0,A734-'难度参数'!$E$21)*'难度参数'!$E$22))*(36+6*7)/(36+7*(D734+1)/2)*E734,0))</x:f>
        <x:v>18923</x:v>
      </x:c>
      <x:c r="AT734" s="119" t="n">
        <x:f>IF(AR734=0,0,(AR734-IF(6=D734,1,0))*ROUND(AS734*VLOOKUP(INDEX('章节与怪物'!$E$31:$K$37,B734,6),'章节与怪物'!$A$41:$F$44,2,FALSE),0)+IF(6=D734,ROUND(AS734*'难度参数'!$E$28*'章节与怪物'!$E$17,0),0))</x:f>
        <x:v>1672788</x:v>
      </x:c>
      <x:c r="AU734" s="119" t="n">
        <x:f>IF(AR734=0,0,(AR734-IF(6=D734,1,0))*VLOOKUP(INDEX('章节与怪物'!$E$31:$K$37,B734,6),'章节与怪物'!$A$41:$F$44,4,FALSE)+IF(6=D734,'难度参数'!$E$30,0))</x:f>
        <x:v>1456</x:v>
      </x:c>
      <x:c r="AV734" s="119" t="n">
        <x:f>IF(7&gt;D734,0,MAX(2,MIN('难度参数'!$E$12,ROUND(('难度参数'!$E$18*POWER(A734,'难度参数'!$E$19)/D734*(0.85+0.3*(7-1)/MAX(1,D734-1))),0)+F734)))</x:f>
        <x:v>54</x:v>
      </x:c>
      <x:c r="AW734" s="119" t="n">
        <x:f>IF(7&gt;D734,0,ROUND(('难度参数'!$E$13*POWER(A734,'难度参数'!$E$20)*MIN('难度参数'!$E$23,1+MAX(0,A734-'难度参数'!$E$21)*'难度参数'!$E$22))*(36+7*7)/(36+7*(D734+1)/2)*E734,0))</x:f>
        <x:v>20621</x:v>
      </x:c>
      <x:c r="AX734" s="119" t="n">
        <x:f>IF(AV734=0,0,(AV734-IF(7=D734,1,0))*ROUND(AW734*VLOOKUP(INDEX('章节与怪物'!$E$31:$K$37,B734,7),'章节与怪物'!$A$41:$F$44,2,FALSE),0)+IF(7=D734,ROUND(AW734*'难度参数'!$E$28*'章节与怪物'!$E$17,0),0))</x:f>
        <x:v>1615637</x:v>
      </x:c>
      <x:c r="AY734" s="119" t="n">
        <x:f>IF(AV734=0,0,(AV734-IF(7=D734,1,0))*VLOOKUP(INDEX('章节与怪物'!$E$31:$K$37,B734,7),'章节与怪物'!$A$41:$F$44,4,FALSE)+IF(7=D734,'难度参数'!$E$30,0))</x:f>
        <x:v>2002</x:v>
      </x:c>
    </x:row>
    <x:row r="735" ht="23" customHeight="1">
      <x:c r="A735" s="119" t="n">
        <x:v>729</x:v>
      </x:c>
      <x:c r="B735" s="119" t="n">
        <x:f>MOD(INT((A735-1)/5),7)+1</x:f>
        <x:v>6</x:v>
      </x:c>
      <x:c r="C735" s="62" t="str">
        <x:f>INDEX('章节与怪物'!$B$31:$B$37,B735)</x:f>
        <x:v>熔岩山脉</x:v>
      </x:c>
      <x:c r="D735" s="119" t="n">
        <x:f>MIN('难度参数'!$E$8,MAX('难度参数'!$E$7,A735))</x:f>
        <x:v>7</x:v>
      </x:c>
      <x:c r="E735" s="106" t="n">
        <x:v>1</x:v>
      </x:c>
      <x:c r="F735" s="106" t="n">
        <x:v>0</x:v>
      </x:c>
      <x:c r="G735" s="106" t="n">
        <x:v>1</x:v>
      </x:c>
      <x:c r="H735" s="119" t="n">
        <x:f>SUM(X735,AB735,AF735,AJ735,AN735,AR735,AV735)</x:f>
        <x:v>331</x:v>
      </x:c>
      <x:c r="I735" s="119" t="n">
        <x:f>SUM(Z735,AD735,AH735,AL735,AP735,AT735,AX735)</x:f>
        <x:v>7021579</x:v>
      </x:c>
      <x:c r="J735" s="119" t="n">
        <x:f>ROUND(INDEX(X735:AY735,1,(D735-1)*4+2)*'难度参数'!$E$28*'章节与怪物'!$E$17,0)</x:f>
        <x:v>140359</x:v>
      </x:c>
      <x:c r="K735" s="119" t="n">
        <x:f>SUM(AA735,AE735,AI735,AM735,AQ735,AU735,AY735)</x:f>
        <x:v>8790</x:v>
      </x:c>
      <x:c r="L735" s="62" t="n">
        <x:f>H735*(ROUNDUP('难度参数'!$E$24/('难度参数'!$E$26*'难度参数'!$E$27),0)*'难度参数'!$E$26)/60</x:f>
        <x:v>4.413333333333333</x:v>
      </x:c>
      <x:c r="M735" s="62" t="n">
        <x:f>L735+D735*('难度参数'!$E$49+'难度参数'!$E$50)/60</x:f>
        <x:v>5.58</x:v>
      </x:c>
      <x:c r="N735" s="119" t="n">
        <x:f>ROUNDDOWN(('经济参数'!$E$20+A735*'经济参数'!$E$21)*G735,0)</x:f>
        <x:v>14760</x:v>
      </x:c>
      <x:c r="O735" s="119" t="n">
        <x:f>ROUNDDOWN(MIN('经济参数'!$E$24,'经济参数'!$E$22+A735*'经济参数'!$E$23)*G735,0)</x:f>
        <x:v>0</x:v>
      </x:c>
      <x:c r="P735" s="119" t="n">
        <x:f>ROUNDDOWN((IF(A735&gt;='材料与任务'!$E$31,'材料与任务'!$E$32,IF(A735&gt;='材料与任务'!$E$25,'材料与任务'!$E$26,IF(A735&gt;='材料与任务'!$E$19,'材料与任务'!$E$20,IF(A735&gt;='材料与任务'!$E$13,'材料与任务'!$E$14,'材料与任务'!$E$8)))))*G735,0)</x:f>
        <x:v>6</x:v>
      </x:c>
      <x:c r="Q735" s="119" t="n">
        <x:f>ROUNDDOWN((IF(A735&gt;='材料与任务'!$E$31,'材料与任务'!$E$33,IF(A735&gt;='材料与任务'!$E$25,'材料与任务'!$E$27,IF(A735&gt;='材料与任务'!$E$19,'材料与任务'!$E$21,IF(A735&gt;='材料与任务'!$E$13,'材料与任务'!$E$15,'材料与任务'!$E$9)))))*G735,0)</x:f>
        <x:v>3</x:v>
      </x:c>
      <x:c r="R735" s="110" t="n">
        <x:f>'装备掉落'!$B$38</x:f>
        <x:v>0.6872058758851213</x:v>
      </x:c>
      <x:c r="S735" s="119" t="n">
        <x:f>MAX(IF(VLOOKUP(A735,'装备掉落'!$A$29:$H$34,2,TRUE)&gt;0,1,0),IF(VLOOKUP(A735,'装备掉落'!$A$29:$H$34,3,TRUE)&gt;0,2,0),IF(VLOOKUP(A735,'装备掉落'!$A$29:$H$34,4,TRUE)&gt;0,3,0),IF(VLOOKUP(A735,'装备掉落'!$A$29:$H$34,5,TRUE)&gt;0,4,0),IF(VLOOKUP(A735,'装备掉落'!$A$29:$H$34,6,TRUE)&gt;0,5,0),IF(VLOOKUP(A735,'装备掉落'!$A$29:$H$34,7,TRUE)&gt;0,6,0),IF(VLOOKUP(A735,'装备掉落'!$A$29:$H$34,8,TRUE)&gt;0,7,0))</x:f>
        <x:v>7</x:v>
      </x:c>
      <x:c r="T735" s="119" t="n">
        <x:f>MIN(7,S735+'经济参数'!$E$70)</x:f>
        <x:v>7</x:v>
      </x:c>
      <x:c r="U735" s="119" t="n">
        <x:f>MIN(7,S735+'经济参数'!$E$71)</x:f>
        <x:v>7</x:v>
      </x:c>
      <x:c r="V735" s="119" t="n">
        <x:f>IF(H735&gt;=('难度参数'!$E$52),1,0)+IF(H735&gt;=('难度参数'!$E$52+'难度参数'!$E$53),1,0)+IF(H735&gt;=('难度参数'!$E$52+'难度参数'!$E$53+'难度参数'!$E$54),1,0)+IF(H735&gt;=('难度参数'!$E$52+'难度参数'!$E$53+'难度参数'!$E$54+'难度参数'!$E$55),1,0)+IF(H735&gt;=('难度参数'!$E$52+'难度参数'!$E$53+'难度参数'!$E$54+'难度参数'!$E$55+'难度参数'!$E$56),1,0)+IF(H735&gt;=('难度参数'!$E$52+'难度参数'!$E$53+'难度参数'!$E$54+'难度参数'!$E$55+'难度参数'!$E$56+'难度参数'!$E$57),1,0)</x:f>
        <x:v>6</x:v>
      </x:c>
      <x:c r="W735" s="62" t="str">
        <x:f>IF(L735&gt;'难度参数'!$E$51,"仅出怪已超目标","还需实测")</x:f>
        <x:v>仅出怪已超目标</x:v>
      </x:c>
      <x:c r="X735" s="119" t="n">
        <x:f>IF(1&gt;D735,0,MAX(2,MIN('难度参数'!$E$12,ROUND(('难度参数'!$E$18*POWER(A735,'难度参数'!$E$19)/D735*(0.85+0.3*(1-1)/MAX(1,D735-1))),0)+F735)))</x:f>
        <x:v>40</x:v>
      </x:c>
      <x:c r="Y735" s="119" t="n">
        <x:f>IF(1&gt;D735,0,ROUND(('难度参数'!$E$13*POWER(A735,'难度参数'!$E$20)*MIN('难度参数'!$E$23,1+MAX(0,A735-'难度参数'!$E$21)*'难度参数'!$E$22))*(36+1*7)/(36+7*(D735+1)/2)*E735,0))</x:f>
        <x:v>10442</x:v>
      </x:c>
      <x:c r="Z735" s="119" t="n">
        <x:f>IF(X735=0,0,(X735-IF(1=D735,1,0))*ROUND(Y735*VLOOKUP(INDEX('章节与怪物'!$E$31:$K$37,B735,1),'章节与怪物'!$A$41:$F$44,2,FALSE),0)+IF(1=D735,ROUND(Y735*'难度参数'!$E$28*'章节与怪物'!$E$17,0),0))</x:f>
        <x:v>300720</x:v>
      </x:c>
      <x:c r="AA735" s="119" t="n">
        <x:f>IF(X735=0,0,(X735-IF(1=D735,1,0))*VLOOKUP(INDEX('章节与怪物'!$E$31:$K$37,B735,1),'章节与怪物'!$A$41:$F$44,4,FALSE)+IF(1=D735,'难度参数'!$E$30,0))</x:f>
        <x:v>800</x:v>
      </x:c>
      <x:c r="AB735" s="119" t="n">
        <x:f>IF(2&gt;D735,0,MAX(2,MIN('难度参数'!$E$12,ROUND(('难度参数'!$E$18*POWER(A735,'难度参数'!$E$19)/D735*(0.85+0.3*(2-1)/MAX(1,D735-1))),0)+F735)))</x:f>
        <x:v>43</x:v>
      </x:c>
      <x:c r="AC735" s="119" t="n">
        <x:f>IF(2&gt;D735,0,ROUND(('难度参数'!$E$13*POWER(A735,'难度参数'!$E$20)*MIN('难度参数'!$E$23,1+MAX(0,A735-'难度参数'!$E$21)*'难度参数'!$E$22))*(36+2*7)/(36+7*(D735+1)/2)*E735,0))</x:f>
        <x:v>12142</x:v>
      </x:c>
      <x:c r="AD735" s="119" t="n">
        <x:f>IF(AB735=0,0,(AB735-IF(2=D735,1,0))*ROUND(AC735*VLOOKUP(INDEX('章节与怪物'!$E$31:$K$37,B735,2),'章节与怪物'!$A$41:$F$44,2,FALSE),0)+IF(2=D735,ROUND(AC735*'难度参数'!$E$28*'章节与怪物'!$E$17,0),0))</x:f>
        <x:v>522106</x:v>
      </x:c>
      <x:c r="AE735" s="119" t="n">
        <x:f>IF(AB735=0,0,(AB735-IF(2=D735,1,0))*VLOOKUP(INDEX('章节与怪物'!$E$31:$K$37,B735,2),'章节与怪物'!$A$41:$F$44,4,FALSE)+IF(2=D735,'难度参数'!$E$30,0))</x:f>
        <x:v>774</x:v>
      </x:c>
      <x:c r="AF735" s="119" t="n">
        <x:f>IF(3&gt;D735,0,MAX(2,MIN('难度参数'!$E$12,ROUND(('难度参数'!$E$18*POWER(A735,'难度参数'!$E$19)/D735*(0.85+0.3*(3-1)/MAX(1,D735-1))),0)+F735)))</x:f>
        <x:v>45</x:v>
      </x:c>
      <x:c r="AG735" s="119" t="n">
        <x:f>IF(3&gt;D735,0,ROUND(('难度参数'!$E$13*POWER(A735,'难度参数'!$E$20)*MIN('难度参数'!$E$23,1+MAX(0,A735-'难度参数'!$E$21)*'难度参数'!$E$22))*(36+3*7)/(36+7*(D735+1)/2)*E735,0))</x:f>
        <x:v>13842</x:v>
      </x:c>
      <x:c r="AH735" s="119" t="n">
        <x:f>IF(AF735=0,0,(AF735-IF(3=D735,1,0))*ROUND(AG735*VLOOKUP(INDEX('章节与怪物'!$E$31:$K$37,B735,3),'章节与怪物'!$A$41:$F$44,2,FALSE),0)+IF(3=D735,ROUND(AG735*'难度参数'!$E$28*'章节与怪物'!$E$17,0),0))</x:f>
        <x:v>1058895</x:v>
      </x:c>
      <x:c r="AI735" s="119" t="n">
        <x:f>IF(AF735=0,0,(AF735-IF(3=D735,1,0))*VLOOKUP(INDEX('章节与怪物'!$E$31:$K$37,B735,3),'章节与怪物'!$A$41:$F$44,4,FALSE)+IF(3=D735,'难度参数'!$E$30,0))</x:f>
        <x:v>1260</x:v>
      </x:c>
      <x:c r="AJ735" s="119" t="n">
        <x:f>IF(4&gt;D735,0,MAX(2,MIN('难度参数'!$E$12,ROUND(('难度参数'!$E$18*POWER(A735,'难度参数'!$E$19)/D735*(0.85+0.3*(4-1)/MAX(1,D735-1))),0)+F735)))</x:f>
        <x:v>47</x:v>
      </x:c>
      <x:c r="AK735" s="119" t="n">
        <x:f>IF(4&gt;D735,0,ROUND(('难度参数'!$E$13*POWER(A735,'难度参数'!$E$20)*MIN('难度参数'!$E$23,1+MAX(0,A735-'难度参数'!$E$21)*'难度参数'!$E$22))*(36+4*7)/(36+7*(D735+1)/2)*E735,0))</x:f>
        <x:v>15542</x:v>
      </x:c>
      <x:c r="AL735" s="119" t="n">
        <x:f>IF(AJ735=0,0,(AJ735-IF(4=D735,1,0))*ROUND(AK735*VLOOKUP(INDEX('章节与怪物'!$E$31:$K$37,B735,4),'章节与怪物'!$A$41:$F$44,2,FALSE),0)+IF(4=D735,ROUND(AK735*'难度参数'!$E$28*'章节与怪物'!$E$17,0),0))</x:f>
        <x:v>986154</x:v>
      </x:c>
      <x:c r="AM735" s="119" t="n">
        <x:f>IF(AJ735=0,0,(AJ735-IF(4=D735,1,0))*VLOOKUP(INDEX('章节与怪物'!$E$31:$K$37,B735,4),'章节与怪物'!$A$41:$F$44,4,FALSE)+IF(4=D735,'难度参数'!$E$30,0))</x:f>
        <x:v>1598</x:v>
      </x:c>
      <x:c r="AN735" s="119" t="n">
        <x:f>IF(5&gt;D735,0,MAX(2,MIN('难度参数'!$E$12,ROUND(('难度参数'!$E$18*POWER(A735,'难度参数'!$E$19)/D735*(0.85+0.3*(5-1)/MAX(1,D735-1))),0)+F735)))</x:f>
        <x:v>50</x:v>
      </x:c>
      <x:c r="AO735" s="119" t="n">
        <x:f>IF(5&gt;D735,0,ROUND(('难度参数'!$E$13*POWER(A735,'难度参数'!$E$20)*MIN('难度参数'!$E$23,1+MAX(0,A735-'难度参数'!$E$21)*'难度参数'!$E$22))*(36+5*7)/(36+7*(D735+1)/2)*E735,0))</x:f>
        <x:v>17242</x:v>
      </x:c>
      <x:c r="AP735" s="119" t="n">
        <x:f>IF(AN735=0,0,(AN735-IF(5=D735,1,0))*ROUND(AO735*VLOOKUP(INDEX('章节与怪物'!$E$31:$K$37,B735,5),'章节与怪物'!$A$41:$F$44,2,FALSE),0)+IF(5=D735,ROUND(AO735*'难度参数'!$E$28*'章节与怪物'!$E$17,0),0))</x:f>
        <x:v>862100</x:v>
      </x:c>
      <x:c r="AQ735" s="119" t="n">
        <x:f>IF(AN735=0,0,(AN735-IF(5=D735,1,0))*VLOOKUP(INDEX('章节与怪物'!$E$31:$K$37,B735,5),'章节与怪物'!$A$41:$F$44,4,FALSE)+IF(5=D735,'难度参数'!$E$30,0))</x:f>
        <x:v>900</x:v>
      </x:c>
      <x:c r="AR735" s="119" t="n">
        <x:f>IF(6&gt;D735,0,MAX(2,MIN('难度参数'!$E$12,ROUND(('难度参数'!$E$18*POWER(A735,'难度参数'!$E$19)/D735*(0.85+0.3*(6-1)/MAX(1,D735-1))),0)+F735)))</x:f>
        <x:v>52</x:v>
      </x:c>
      <x:c r="AS735" s="119" t="n">
        <x:f>IF(6&gt;D735,0,ROUND(('难度参数'!$E$13*POWER(A735,'难度参数'!$E$20)*MIN('难度参数'!$E$23,1+MAX(0,A735-'难度参数'!$E$21)*'难度参数'!$E$22))*(36+6*7)/(36+7*(D735+1)/2)*E735,0))</x:f>
        <x:v>18941</x:v>
      </x:c>
      <x:c r="AT735" s="119" t="n">
        <x:f>IF(AR735=0,0,(AR735-IF(6=D735,1,0))*ROUND(AS735*VLOOKUP(INDEX('章节与怪物'!$E$31:$K$37,B735,6),'章节与怪物'!$A$41:$F$44,2,FALSE),0)+IF(6=D735,ROUND(AS735*'难度参数'!$E$28*'章节与怪物'!$E$17,0),0))</x:f>
        <x:v>1674400</x:v>
      </x:c>
      <x:c r="AU735" s="119" t="n">
        <x:f>IF(AR735=0,0,(AR735-IF(6=D735,1,0))*VLOOKUP(INDEX('章节与怪物'!$E$31:$K$37,B735,6),'章节与怪物'!$A$41:$F$44,4,FALSE)+IF(6=D735,'难度参数'!$E$30,0))</x:f>
        <x:v>1456</x:v>
      </x:c>
      <x:c r="AV735" s="119" t="n">
        <x:f>IF(7&gt;D735,0,MAX(2,MIN('难度参数'!$E$12,ROUND(('难度参数'!$E$18*POWER(A735,'难度参数'!$E$19)/D735*(0.85+0.3*(7-1)/MAX(1,D735-1))),0)+F735)))</x:f>
        <x:v>54</x:v>
      </x:c>
      <x:c r="AW735" s="119" t="n">
        <x:f>IF(7&gt;D735,0,ROUND(('难度参数'!$E$13*POWER(A735,'难度参数'!$E$20)*MIN('难度参数'!$E$23,1+MAX(0,A735-'难度参数'!$E$21)*'难度参数'!$E$22))*(36+7*7)/(36+7*(D735+1)/2)*E735,0))</x:f>
        <x:v>20641</x:v>
      </x:c>
      <x:c r="AX735" s="119" t="n">
        <x:f>IF(AV735=0,0,(AV735-IF(7=D735,1,0))*ROUND(AW735*VLOOKUP(INDEX('章节与怪物'!$E$31:$K$37,B735,7),'章节与怪物'!$A$41:$F$44,2,FALSE),0)+IF(7=D735,ROUND(AW735*'难度参数'!$E$28*'章节与怪物'!$E$17,0),0))</x:f>
        <x:v>1617204</x:v>
      </x:c>
      <x:c r="AY735" s="119" t="n">
        <x:f>IF(AV735=0,0,(AV735-IF(7=D735,1,0))*VLOOKUP(INDEX('章节与怪物'!$E$31:$K$37,B735,7),'章节与怪物'!$A$41:$F$44,4,FALSE)+IF(7=D735,'难度参数'!$E$30,0))</x:f>
        <x:v>2002</x:v>
      </x:c>
    </x:row>
    <x:row r="736" ht="23" customHeight="1">
      <x:c r="A736" s="119" t="n">
        <x:v>730</x:v>
      </x:c>
      <x:c r="B736" s="119" t="n">
        <x:f>MOD(INT((A736-1)/5),7)+1</x:f>
        <x:v>6</x:v>
      </x:c>
      <x:c r="C736" s="62" t="str">
        <x:f>INDEX('章节与怪物'!$B$31:$B$37,B736)</x:f>
        <x:v>熔岩山脉</x:v>
      </x:c>
      <x:c r="D736" s="119" t="n">
        <x:f>MIN('难度参数'!$E$8,MAX('难度参数'!$E$7,A736))</x:f>
        <x:v>7</x:v>
      </x:c>
      <x:c r="E736" s="106" t="n">
        <x:v>1</x:v>
      </x:c>
      <x:c r="F736" s="106" t="n">
        <x:v>0</x:v>
      </x:c>
      <x:c r="G736" s="106" t="n">
        <x:v>1</x:v>
      </x:c>
      <x:c r="H736" s="119" t="n">
        <x:f>SUM(X736,AB736,AF736,AJ736,AN736,AR736,AV736)</x:f>
        <x:v>331</x:v>
      </x:c>
      <x:c r="I736" s="119" t="n">
        <x:f>SUM(Z736,AD736,AH736,AL736,AP736,AT736,AX736)</x:f>
        <x:v>7028544</x:v>
      </x:c>
      <x:c r="J736" s="119" t="n">
        <x:f>ROUND(INDEX(X736:AY736,1,(D736-1)*4+2)*'难度参数'!$E$28*'章节与怪物'!$E$17,0)</x:f>
        <x:v>140502</x:v>
      </x:c>
      <x:c r="K736" s="119" t="n">
        <x:f>SUM(AA736,AE736,AI736,AM736,AQ736,AU736,AY736)</x:f>
        <x:v>8790</x:v>
      </x:c>
      <x:c r="L736" s="62" t="n">
        <x:f>H736*(ROUNDUP('难度参数'!$E$24/('难度参数'!$E$26*'难度参数'!$E$27),0)*'难度参数'!$E$26)/60</x:f>
        <x:v>4.413333333333333</x:v>
      </x:c>
      <x:c r="M736" s="62" t="n">
        <x:f>L736+D736*('难度参数'!$E$49+'难度参数'!$E$50)/60</x:f>
        <x:v>5.58</x:v>
      </x:c>
      <x:c r="N736" s="119" t="n">
        <x:f>ROUNDDOWN(('经济参数'!$E$20+A736*'经济参数'!$E$21)*G736,0)</x:f>
        <x:v>14780</x:v>
      </x:c>
      <x:c r="O736" s="119" t="n">
        <x:f>ROUNDDOWN(MIN('经济参数'!$E$24,'经济参数'!$E$22+A736*'经济参数'!$E$23)*G736,0)</x:f>
        <x:v>0</x:v>
      </x:c>
      <x:c r="P736" s="119" t="n">
        <x:f>ROUNDDOWN((IF(A736&gt;='材料与任务'!$E$31,'材料与任务'!$E$32,IF(A736&gt;='材料与任务'!$E$25,'材料与任务'!$E$26,IF(A736&gt;='材料与任务'!$E$19,'材料与任务'!$E$20,IF(A736&gt;='材料与任务'!$E$13,'材料与任务'!$E$14,'材料与任务'!$E$8)))))*G736,0)</x:f>
        <x:v>6</x:v>
      </x:c>
      <x:c r="Q736" s="119" t="n">
        <x:f>ROUNDDOWN((IF(A736&gt;='材料与任务'!$E$31,'材料与任务'!$E$33,IF(A736&gt;='材料与任务'!$E$25,'材料与任务'!$E$27,IF(A736&gt;='材料与任务'!$E$19,'材料与任务'!$E$21,IF(A736&gt;='材料与任务'!$E$13,'材料与任务'!$E$15,'材料与任务'!$E$9)))))*G736,0)</x:f>
        <x:v>3</x:v>
      </x:c>
      <x:c r="R736" s="110" t="n">
        <x:f>'装备掉落'!$B$38</x:f>
        <x:v>0.6872058758851213</x:v>
      </x:c>
      <x:c r="S736" s="119" t="n">
        <x:f>MAX(IF(VLOOKUP(A736,'装备掉落'!$A$29:$H$34,2,TRUE)&gt;0,1,0),IF(VLOOKUP(A736,'装备掉落'!$A$29:$H$34,3,TRUE)&gt;0,2,0),IF(VLOOKUP(A736,'装备掉落'!$A$29:$H$34,4,TRUE)&gt;0,3,0),IF(VLOOKUP(A736,'装备掉落'!$A$29:$H$34,5,TRUE)&gt;0,4,0),IF(VLOOKUP(A736,'装备掉落'!$A$29:$H$34,6,TRUE)&gt;0,5,0),IF(VLOOKUP(A736,'装备掉落'!$A$29:$H$34,7,TRUE)&gt;0,6,0),IF(VLOOKUP(A736,'装备掉落'!$A$29:$H$34,8,TRUE)&gt;0,7,0))</x:f>
        <x:v>7</x:v>
      </x:c>
      <x:c r="T736" s="119" t="n">
        <x:f>MIN(7,S736+'经济参数'!$E$70)</x:f>
        <x:v>7</x:v>
      </x:c>
      <x:c r="U736" s="119" t="n">
        <x:f>MIN(7,S736+'经济参数'!$E$71)</x:f>
        <x:v>7</x:v>
      </x:c>
      <x:c r="V736" s="119" t="n">
        <x:f>IF(H736&gt;=('难度参数'!$E$52),1,0)+IF(H736&gt;=('难度参数'!$E$52+'难度参数'!$E$53),1,0)+IF(H736&gt;=('难度参数'!$E$52+'难度参数'!$E$53+'难度参数'!$E$54),1,0)+IF(H736&gt;=('难度参数'!$E$52+'难度参数'!$E$53+'难度参数'!$E$54+'难度参数'!$E$55),1,0)+IF(H736&gt;=('难度参数'!$E$52+'难度参数'!$E$53+'难度参数'!$E$54+'难度参数'!$E$55+'难度参数'!$E$56),1,0)+IF(H736&gt;=('难度参数'!$E$52+'难度参数'!$E$53+'难度参数'!$E$54+'难度参数'!$E$55+'难度参数'!$E$56+'难度参数'!$E$57),1,0)</x:f>
        <x:v>6</x:v>
      </x:c>
      <x:c r="W736" s="62" t="str">
        <x:f>IF(L736&gt;'难度参数'!$E$51,"仅出怪已超目标","还需实测")</x:f>
        <x:v>仅出怪已超目标</x:v>
      </x:c>
      <x:c r="X736" s="119" t="n">
        <x:f>IF(1&gt;D736,0,MAX(2,MIN('难度参数'!$E$12,ROUND(('难度参数'!$E$18*POWER(A736,'难度参数'!$E$19)/D736*(0.85+0.3*(1-1)/MAX(1,D736-1))),0)+F736)))</x:f>
        <x:v>40</x:v>
      </x:c>
      <x:c r="Y736" s="119" t="n">
        <x:f>IF(1&gt;D736,0,ROUND(('难度参数'!$E$13*POWER(A736,'难度参数'!$E$20)*MIN('难度参数'!$E$23,1+MAX(0,A736-'难度参数'!$E$21)*'难度参数'!$E$22))*(36+1*7)/(36+7*(D736+1)/2)*E736,0))</x:f>
        <x:v>10452</x:v>
      </x:c>
      <x:c r="Z736" s="119" t="n">
        <x:f>IF(X736=0,0,(X736-IF(1=D736,1,0))*ROUND(Y736*VLOOKUP(INDEX('章节与怪物'!$E$31:$K$37,B736,1),'章节与怪物'!$A$41:$F$44,2,FALSE),0)+IF(1=D736,ROUND(Y736*'难度参数'!$E$28*'章节与怪物'!$E$17,0),0))</x:f>
        <x:v>301000</x:v>
      </x:c>
      <x:c r="AA736" s="119" t="n">
        <x:f>IF(X736=0,0,(X736-IF(1=D736,1,0))*VLOOKUP(INDEX('章节与怪物'!$E$31:$K$37,B736,1),'章节与怪物'!$A$41:$F$44,4,FALSE)+IF(1=D736,'难度参数'!$E$30,0))</x:f>
        <x:v>800</x:v>
      </x:c>
      <x:c r="AB736" s="119" t="n">
        <x:f>IF(2&gt;D736,0,MAX(2,MIN('难度参数'!$E$12,ROUND(('难度参数'!$E$18*POWER(A736,'难度参数'!$E$19)/D736*(0.85+0.3*(2-1)/MAX(1,D736-1))),0)+F736)))</x:f>
        <x:v>43</x:v>
      </x:c>
      <x:c r="AC736" s="119" t="n">
        <x:f>IF(2&gt;D736,0,ROUND(('难度参数'!$E$13*POWER(A736,'难度参数'!$E$20)*MIN('难度参数'!$E$23,1+MAX(0,A736-'难度参数'!$E$21)*'难度参数'!$E$22))*(36+2*7)/(36+7*(D736+1)/2)*E736,0))</x:f>
        <x:v>12154</x:v>
      </x:c>
      <x:c r="AD736" s="119" t="n">
        <x:f>IF(AB736=0,0,(AB736-IF(2=D736,1,0))*ROUND(AC736*VLOOKUP(INDEX('章节与怪物'!$E$31:$K$37,B736,2),'章节与怪物'!$A$41:$F$44,2,FALSE),0)+IF(2=D736,ROUND(AC736*'难度参数'!$E$28*'章节与怪物'!$E$17,0),0))</x:f>
        <x:v>522622</x:v>
      </x:c>
      <x:c r="AE736" s="119" t="n">
        <x:f>IF(AB736=0,0,(AB736-IF(2=D736,1,0))*VLOOKUP(INDEX('章节与怪物'!$E$31:$K$37,B736,2),'章节与怪物'!$A$41:$F$44,4,FALSE)+IF(2=D736,'难度参数'!$E$30,0))</x:f>
        <x:v>774</x:v>
      </x:c>
      <x:c r="AF736" s="119" t="n">
        <x:f>IF(3&gt;D736,0,MAX(2,MIN('难度参数'!$E$12,ROUND(('难度参数'!$E$18*POWER(A736,'难度参数'!$E$19)/D736*(0.85+0.3*(3-1)/MAX(1,D736-1))),0)+F736)))</x:f>
        <x:v>45</x:v>
      </x:c>
      <x:c r="AG736" s="119" t="n">
        <x:f>IF(3&gt;D736,0,ROUND(('难度参数'!$E$13*POWER(A736,'难度参数'!$E$20)*MIN('难度参数'!$E$23,1+MAX(0,A736-'难度参数'!$E$21)*'难度参数'!$E$22))*(36+3*7)/(36+7*(D736+1)/2)*E736,0))</x:f>
        <x:v>13855</x:v>
      </x:c>
      <x:c r="AH736" s="119" t="n">
        <x:f>IF(AF736=0,0,(AF736-IF(3=D736,1,0))*ROUND(AG736*VLOOKUP(INDEX('章节与怪物'!$E$31:$K$37,B736,3),'章节与怪物'!$A$41:$F$44,2,FALSE),0)+IF(3=D736,ROUND(AG736*'难度参数'!$E$28*'章节与怪物'!$E$17,0),0))</x:f>
        <x:v>1059930</x:v>
      </x:c>
      <x:c r="AI736" s="119" t="n">
        <x:f>IF(AF736=0,0,(AF736-IF(3=D736,1,0))*VLOOKUP(INDEX('章节与怪物'!$E$31:$K$37,B736,3),'章节与怪物'!$A$41:$F$44,4,FALSE)+IF(3=D736,'难度参数'!$E$30,0))</x:f>
        <x:v>1260</x:v>
      </x:c>
      <x:c r="AJ736" s="119" t="n">
        <x:f>IF(4&gt;D736,0,MAX(2,MIN('难度参数'!$E$12,ROUND(('难度参数'!$E$18*POWER(A736,'难度参数'!$E$19)/D736*(0.85+0.3*(4-1)/MAX(1,D736-1))),0)+F736)))</x:f>
        <x:v>47</x:v>
      </x:c>
      <x:c r="AK736" s="119" t="n">
        <x:f>IF(4&gt;D736,0,ROUND(('难度参数'!$E$13*POWER(A736,'难度参数'!$E$20)*MIN('难度参数'!$E$23,1+MAX(0,A736-'难度参数'!$E$21)*'难度参数'!$E$22))*(36+4*7)/(36+7*(D736+1)/2)*E736,0))</x:f>
        <x:v>15557</x:v>
      </x:c>
      <x:c r="AL736" s="119" t="n">
        <x:f>IF(AJ736=0,0,(AJ736-IF(4=D736,1,0))*ROUND(AK736*VLOOKUP(INDEX('章节与怪物'!$E$31:$K$37,B736,4),'章节与怪物'!$A$41:$F$44,2,FALSE),0)+IF(4=D736,ROUND(AK736*'难度参数'!$E$28*'章节与怪物'!$E$17,0),0))</x:f>
        <x:v>987094</x:v>
      </x:c>
      <x:c r="AM736" s="119" t="n">
        <x:f>IF(AJ736=0,0,(AJ736-IF(4=D736,1,0))*VLOOKUP(INDEX('章节与怪物'!$E$31:$K$37,B736,4),'章节与怪物'!$A$41:$F$44,4,FALSE)+IF(4=D736,'难度参数'!$E$30,0))</x:f>
        <x:v>1598</x:v>
      </x:c>
      <x:c r="AN736" s="119" t="n">
        <x:f>IF(5&gt;D736,0,MAX(2,MIN('难度参数'!$E$12,ROUND(('难度参数'!$E$18*POWER(A736,'难度参数'!$E$19)/D736*(0.85+0.3*(5-1)/MAX(1,D736-1))),0)+F736)))</x:f>
        <x:v>50</x:v>
      </x:c>
      <x:c r="AO736" s="119" t="n">
        <x:f>IF(5&gt;D736,0,ROUND(('难度参数'!$E$13*POWER(A736,'难度参数'!$E$20)*MIN('难度参数'!$E$23,1+MAX(0,A736-'难度参数'!$E$21)*'难度参数'!$E$22))*(36+5*7)/(36+7*(D736+1)/2)*E736,0))</x:f>
        <x:v>17259</x:v>
      </x:c>
      <x:c r="AP736" s="119" t="n">
        <x:f>IF(AN736=0,0,(AN736-IF(5=D736,1,0))*ROUND(AO736*VLOOKUP(INDEX('章节与怪物'!$E$31:$K$37,B736,5),'章节与怪物'!$A$41:$F$44,2,FALSE),0)+IF(5=D736,ROUND(AO736*'难度参数'!$E$28*'章节与怪物'!$E$17,0),0))</x:f>
        <x:v>862950</x:v>
      </x:c>
      <x:c r="AQ736" s="119" t="n">
        <x:f>IF(AN736=0,0,(AN736-IF(5=D736,1,0))*VLOOKUP(INDEX('章节与怪物'!$E$31:$K$37,B736,5),'章节与怪物'!$A$41:$F$44,4,FALSE)+IF(5=D736,'难度参数'!$E$30,0))</x:f>
        <x:v>900</x:v>
      </x:c>
      <x:c r="AR736" s="119" t="n">
        <x:f>IF(6&gt;D736,0,MAX(2,MIN('难度参数'!$E$12,ROUND(('难度参数'!$E$18*POWER(A736,'难度参数'!$E$19)/D736*(0.85+0.3*(6-1)/MAX(1,D736-1))),0)+F736)))</x:f>
        <x:v>52</x:v>
      </x:c>
      <x:c r="AS736" s="119" t="n">
        <x:f>IF(6&gt;D736,0,ROUND(('难度参数'!$E$13*POWER(A736,'难度参数'!$E$20)*MIN('难度参数'!$E$23,1+MAX(0,A736-'难度参数'!$E$21)*'难度参数'!$E$22))*(36+6*7)/(36+7*(D736+1)/2)*E736,0))</x:f>
        <x:v>18960</x:v>
      </x:c>
      <x:c r="AT736" s="119" t="n">
        <x:f>IF(AR736=0,0,(AR736-IF(6=D736,1,0))*ROUND(AS736*VLOOKUP(INDEX('章节与怪物'!$E$31:$K$37,B736,6),'章节与怪物'!$A$41:$F$44,2,FALSE),0)+IF(6=D736,ROUND(AS736*'难度参数'!$E$28*'章节与怪物'!$E$17,0),0))</x:f>
        <x:v>1676064</x:v>
      </x:c>
      <x:c r="AU736" s="119" t="n">
        <x:f>IF(AR736=0,0,(AR736-IF(6=D736,1,0))*VLOOKUP(INDEX('章节与怪物'!$E$31:$K$37,B736,6),'章节与怪物'!$A$41:$F$44,4,FALSE)+IF(6=D736,'难度参数'!$E$30,0))</x:f>
        <x:v>1456</x:v>
      </x:c>
      <x:c r="AV736" s="119" t="n">
        <x:f>IF(7&gt;D736,0,MAX(2,MIN('难度参数'!$E$12,ROUND(('难度参数'!$E$18*POWER(A736,'难度参数'!$E$19)/D736*(0.85+0.3*(7-1)/MAX(1,D736-1))),0)+F736)))</x:f>
        <x:v>54</x:v>
      </x:c>
      <x:c r="AW736" s="119" t="n">
        <x:f>IF(7&gt;D736,0,ROUND(('难度参数'!$E$13*POWER(A736,'难度参数'!$E$20)*MIN('难度参数'!$E$23,1+MAX(0,A736-'难度参数'!$E$21)*'难度参数'!$E$22))*(36+7*7)/(36+7*(D736+1)/2)*E736,0))</x:f>
        <x:v>20662</x:v>
      </x:c>
      <x:c r="AX736" s="119" t="n">
        <x:f>IF(AV736=0,0,(AV736-IF(7=D736,1,0))*ROUND(AW736*VLOOKUP(INDEX('章节与怪物'!$E$31:$K$37,B736,7),'章节与怪物'!$A$41:$F$44,2,FALSE),0)+IF(7=D736,ROUND(AW736*'难度参数'!$E$28*'章节与怪物'!$E$17,0),0))</x:f>
        <x:v>1618884</x:v>
      </x:c>
      <x:c r="AY736" s="119" t="n">
        <x:f>IF(AV736=0,0,(AV736-IF(7=D736,1,0))*VLOOKUP(INDEX('章节与怪物'!$E$31:$K$37,B736,7),'章节与怪物'!$A$41:$F$44,4,FALSE)+IF(7=D736,'难度参数'!$E$30,0))</x:f>
        <x:v>2002</x:v>
      </x:c>
    </x:row>
    <x:row r="737" ht="23" customHeight="1">
      <x:c r="A737" s="119" t="n">
        <x:v>731</x:v>
      </x:c>
      <x:c r="B737" s="119" t="n">
        <x:f>MOD(INT((A737-1)/5),7)+1</x:f>
        <x:v>7</x:v>
      </x:c>
      <x:c r="C737" s="62" t="str">
        <x:f>INDEX('章节与怪物'!$B$31:$B$37,B737)</x:f>
        <x:v>魔法山脊</x:v>
      </x:c>
      <x:c r="D737" s="119" t="n">
        <x:f>MIN('难度参数'!$E$8,MAX('难度参数'!$E$7,A737))</x:f>
        <x:v>7</x:v>
      </x:c>
      <x:c r="E737" s="106" t="n">
        <x:v>1</x:v>
      </x:c>
      <x:c r="F737" s="106" t="n">
        <x:v>0</x:v>
      </x:c>
      <x:c r="G737" s="106" t="n">
        <x:v>1</x:v>
      </x:c>
      <x:c r="H737" s="119" t="n">
        <x:f>SUM(X737,AB737,AF737,AJ737,AN737,AR737,AV737)</x:f>
        <x:v>332</x:v>
      </x:c>
      <x:c r="I737" s="119" t="n">
        <x:f>SUM(Z737,AD737,AH737,AL737,AP737,AT737,AX737)</x:f>
        <x:v>6792249</x:v>
      </x:c>
      <x:c r="J737" s="119" t="n">
        <x:f>ROUND(INDEX(X737:AY737,1,(D737-1)*4+2)*'难度参数'!$E$28*'章节与怪物'!$E$17,0)</x:f>
        <x:v>140638</x:v>
      </x:c>
      <x:c r="K737" s="119" t="n">
        <x:f>SUM(AA737,AE737,AI737,AM737,AQ737,AU737,AY737)</x:f>
        <x:v>8930</x:v>
      </x:c>
      <x:c r="L737" s="62" t="n">
        <x:f>H737*(ROUNDUP('难度参数'!$E$24/('难度参数'!$E$26*'难度参数'!$E$27),0)*'难度参数'!$E$26)/60</x:f>
        <x:v>4.426666666666667</x:v>
      </x:c>
      <x:c r="M737" s="62" t="n">
        <x:f>L737+D737*('难度参数'!$E$49+'难度参数'!$E$50)/60</x:f>
        <x:v>5.593333333333334</x:v>
      </x:c>
      <x:c r="N737" s="119" t="n">
        <x:f>ROUNDDOWN(('经济参数'!$E$20+A737*'经济参数'!$E$21)*G737,0)</x:f>
        <x:v>14800</x:v>
      </x:c>
      <x:c r="O737" s="119" t="n">
        <x:f>ROUNDDOWN(MIN('经济参数'!$E$24,'经济参数'!$E$22+A737*'经济参数'!$E$23)*G737,0)</x:f>
        <x:v>0</x:v>
      </x:c>
      <x:c r="P737" s="119" t="n">
        <x:f>ROUNDDOWN((IF(A737&gt;='材料与任务'!$E$31,'材料与任务'!$E$32,IF(A737&gt;='材料与任务'!$E$25,'材料与任务'!$E$26,IF(A737&gt;='材料与任务'!$E$19,'材料与任务'!$E$20,IF(A737&gt;='材料与任务'!$E$13,'材料与任务'!$E$14,'材料与任务'!$E$8)))))*G737,0)</x:f>
        <x:v>6</x:v>
      </x:c>
      <x:c r="Q737" s="119" t="n">
        <x:f>ROUNDDOWN((IF(A737&gt;='材料与任务'!$E$31,'材料与任务'!$E$33,IF(A737&gt;='材料与任务'!$E$25,'材料与任务'!$E$27,IF(A737&gt;='材料与任务'!$E$19,'材料与任务'!$E$21,IF(A737&gt;='材料与任务'!$E$13,'材料与任务'!$E$15,'材料与任务'!$E$9)))))*G737,0)</x:f>
        <x:v>3</x:v>
      </x:c>
      <x:c r="R737" s="110" t="n">
        <x:f>'装备掉落'!$B$38</x:f>
        <x:v>0.6872058758851213</x:v>
      </x:c>
      <x:c r="S737" s="119" t="n">
        <x:f>MAX(IF(VLOOKUP(A737,'装备掉落'!$A$29:$H$34,2,TRUE)&gt;0,1,0),IF(VLOOKUP(A737,'装备掉落'!$A$29:$H$34,3,TRUE)&gt;0,2,0),IF(VLOOKUP(A737,'装备掉落'!$A$29:$H$34,4,TRUE)&gt;0,3,0),IF(VLOOKUP(A737,'装备掉落'!$A$29:$H$34,5,TRUE)&gt;0,4,0),IF(VLOOKUP(A737,'装备掉落'!$A$29:$H$34,6,TRUE)&gt;0,5,0),IF(VLOOKUP(A737,'装备掉落'!$A$29:$H$34,7,TRUE)&gt;0,6,0),IF(VLOOKUP(A737,'装备掉落'!$A$29:$H$34,8,TRUE)&gt;0,7,0))</x:f>
        <x:v>7</x:v>
      </x:c>
      <x:c r="T737" s="119" t="n">
        <x:f>MIN(7,S737+'经济参数'!$E$70)</x:f>
        <x:v>7</x:v>
      </x:c>
      <x:c r="U737" s="119" t="n">
        <x:f>MIN(7,S737+'经济参数'!$E$71)</x:f>
        <x:v>7</x:v>
      </x:c>
      <x:c r="V737" s="119" t="n">
        <x:f>IF(H737&gt;=('难度参数'!$E$52),1,0)+IF(H737&gt;=('难度参数'!$E$52+'难度参数'!$E$53),1,0)+IF(H737&gt;=('难度参数'!$E$52+'难度参数'!$E$53+'难度参数'!$E$54),1,0)+IF(H737&gt;=('难度参数'!$E$52+'难度参数'!$E$53+'难度参数'!$E$54+'难度参数'!$E$55),1,0)+IF(H737&gt;=('难度参数'!$E$52+'难度参数'!$E$53+'难度参数'!$E$54+'难度参数'!$E$55+'难度参数'!$E$56),1,0)+IF(H737&gt;=('难度参数'!$E$52+'难度参数'!$E$53+'难度参数'!$E$54+'难度参数'!$E$55+'难度参数'!$E$56+'难度参数'!$E$57),1,0)</x:f>
        <x:v>6</x:v>
      </x:c>
      <x:c r="W737" s="62" t="str">
        <x:f>IF(L737&gt;'难度参数'!$E$51,"仅出怪已超目标","还需实测")</x:f>
        <x:v>仅出怪已超目标</x:v>
      </x:c>
      <x:c r="X737" s="119" t="n">
        <x:f>IF(1&gt;D737,0,MAX(2,MIN('难度参数'!$E$12,ROUND(('难度参数'!$E$18*POWER(A737,'难度参数'!$E$19)/D737*(0.85+0.3*(1-1)/MAX(1,D737-1))),0)+F737)))</x:f>
        <x:v>40</x:v>
      </x:c>
      <x:c r="Y737" s="119" t="n">
        <x:f>IF(1&gt;D737,0,ROUND(('难度参数'!$E$13*POWER(A737,'难度参数'!$E$20)*MIN('难度参数'!$E$23,1+MAX(0,A737-'难度参数'!$E$21)*'难度参数'!$E$22))*(36+1*7)/(36+7*(D737+1)/2)*E737,0))</x:f>
        <x:v>10463</x:v>
      </x:c>
      <x:c r="Z737" s="119" t="n">
        <x:f>IF(X737=0,0,(X737-IF(1=D737,1,0))*ROUND(Y737*VLOOKUP(INDEX('章节与怪物'!$E$31:$K$37,B737,1),'章节与怪物'!$A$41:$F$44,2,FALSE),0)+IF(1=D737,ROUND(Y737*'难度参数'!$E$28*'章节与怪物'!$E$17,0),0))</x:f>
        <x:v>418520</x:v>
      </x:c>
      <x:c r="AA737" s="119" t="n">
        <x:f>IF(X737=0,0,(X737-IF(1=D737,1,0))*VLOOKUP(INDEX('章节与怪物'!$E$31:$K$37,B737,1),'章节与怪物'!$A$41:$F$44,4,FALSE)+IF(1=D737,'难度参数'!$E$30,0))</x:f>
        <x:v>720</x:v>
      </x:c>
      <x:c r="AB737" s="119" t="n">
        <x:f>IF(2&gt;D737,0,MAX(2,MIN('难度参数'!$E$12,ROUND(('难度参数'!$E$18*POWER(A737,'难度参数'!$E$19)/D737*(0.85+0.3*(2-1)/MAX(1,D737-1))),0)+F737)))</x:f>
        <x:v>43</x:v>
      </x:c>
      <x:c r="AC737" s="119" t="n">
        <x:f>IF(2&gt;D737,0,ROUND(('难度参数'!$E$13*POWER(A737,'难度参数'!$E$20)*MIN('难度参数'!$E$23,1+MAX(0,A737-'难度参数'!$E$21)*'难度参数'!$E$22))*(36+2*7)/(36+7*(D737+1)/2)*E737,0))</x:f>
        <x:v>12166</x:v>
      </x:c>
      <x:c r="AD737" s="119" t="n">
        <x:f>IF(AB737=0,0,(AB737-IF(2=D737,1,0))*ROUND(AC737*VLOOKUP(INDEX('章节与怪物'!$E$31:$K$37,B737,2),'章节与怪物'!$A$41:$F$44,2,FALSE),0)+IF(2=D737,ROUND(AC737*'难度参数'!$E$28*'章节与怪物'!$E$17,0),0))</x:f>
        <x:v>376680</x:v>
      </x:c>
      <x:c r="AE737" s="119" t="n">
        <x:f>IF(AB737=0,0,(AB737-IF(2=D737,1,0))*VLOOKUP(INDEX('章节与怪物'!$E$31:$K$37,B737,2),'章节与怪物'!$A$41:$F$44,4,FALSE)+IF(2=D737,'难度参数'!$E$30,0))</x:f>
        <x:v>860</x:v>
      </x:c>
      <x:c r="AF737" s="119" t="n">
        <x:f>IF(3&gt;D737,0,MAX(2,MIN('难度参数'!$E$12,ROUND(('难度参数'!$E$18*POWER(A737,'难度参数'!$E$19)/D737*(0.85+0.3*(3-1)/MAX(1,D737-1))),0)+F737)))</x:f>
        <x:v>45</x:v>
      </x:c>
      <x:c r="AG737" s="119" t="n">
        <x:f>IF(3&gt;D737,0,ROUND(('难度参数'!$E$13*POWER(A737,'难度参数'!$E$20)*MIN('难度参数'!$E$23,1+MAX(0,A737-'难度参数'!$E$21)*'难度参数'!$E$22))*(36+3*7)/(36+7*(D737+1)/2)*E737,0))</x:f>
        <x:v>13869</x:v>
      </x:c>
      <x:c r="AH737" s="119" t="n">
        <x:f>IF(AF737=0,0,(AF737-IF(3=D737,1,0))*ROUND(AG737*VLOOKUP(INDEX('章节与怪物'!$E$31:$K$37,B737,3),'章节与怪物'!$A$41:$F$44,2,FALSE),0)+IF(3=D737,ROUND(AG737*'难度参数'!$E$28*'章节与怪物'!$E$17,0),0))</x:f>
        <x:v>1060965</x:v>
      </x:c>
      <x:c r="AI737" s="119" t="n">
        <x:f>IF(AF737=0,0,(AF737-IF(3=D737,1,0))*VLOOKUP(INDEX('章节与怪物'!$E$31:$K$37,B737,3),'章节与怪物'!$A$41:$F$44,4,FALSE)+IF(3=D737,'难度参数'!$E$30,0))</x:f>
        <x:v>1260</x:v>
      </x:c>
      <x:c r="AJ737" s="119" t="n">
        <x:f>IF(4&gt;D737,0,MAX(2,MIN('难度参数'!$E$12,ROUND(('难度参数'!$E$18*POWER(A737,'难度参数'!$E$19)/D737*(0.85+0.3*(4-1)/MAX(1,D737-1))),0)+F737)))</x:f>
        <x:v>47</x:v>
      </x:c>
      <x:c r="AK737" s="119" t="n">
        <x:f>IF(4&gt;D737,0,ROUND(('难度参数'!$E$13*POWER(A737,'难度参数'!$E$20)*MIN('难度参数'!$E$23,1+MAX(0,A737-'难度参数'!$E$21)*'难度参数'!$E$22))*(36+4*7)/(36+7*(D737+1)/2)*E737,0))</x:f>
        <x:v>15572</x:v>
      </x:c>
      <x:c r="AL737" s="119" t="n">
        <x:f>IF(AJ737=0,0,(AJ737-IF(4=D737,1,0))*ROUND(AK737*VLOOKUP(INDEX('章节与怪物'!$E$31:$K$37,B737,4),'章节与怪物'!$A$41:$F$44,2,FALSE),0)+IF(4=D737,ROUND(AK737*'难度参数'!$E$28*'章节与怪物'!$E$17,0),0))</x:f>
        <x:v>988034</x:v>
      </x:c>
      <x:c r="AM737" s="119" t="n">
        <x:f>IF(AJ737=0,0,(AJ737-IF(4=D737,1,0))*VLOOKUP(INDEX('章节与怪物'!$E$31:$K$37,B737,4),'章节与怪物'!$A$41:$F$44,4,FALSE)+IF(4=D737,'难度参数'!$E$30,0))</x:f>
        <x:v>1598</x:v>
      </x:c>
      <x:c r="AN737" s="119" t="n">
        <x:f>IF(5&gt;D737,0,MAX(2,MIN('难度参数'!$E$12,ROUND(('难度参数'!$E$18*POWER(A737,'难度参数'!$E$19)/D737*(0.85+0.3*(5-1)/MAX(1,D737-1))),0)+F737)))</x:f>
        <x:v>50</x:v>
      </x:c>
      <x:c r="AO737" s="119" t="n">
        <x:f>IF(5&gt;D737,0,ROUND(('难度参数'!$E$13*POWER(A737,'难度参数'!$E$20)*MIN('难度参数'!$E$23,1+MAX(0,A737-'难度参数'!$E$21)*'难度参数'!$E$22))*(36+5*7)/(36+7*(D737+1)/2)*E737,0))</x:f>
        <x:v>17276</x:v>
      </x:c>
      <x:c r="AP737" s="119" t="n">
        <x:f>IF(AN737=0,0,(AN737-IF(5=D737,1,0))*ROUND(AO737*VLOOKUP(INDEX('章节与怪物'!$E$31:$K$37,B737,5),'章节与怪物'!$A$41:$F$44,2,FALSE),0)+IF(5=D737,ROUND(AO737*'难度参数'!$E$28*'章节与怪物'!$E$17,0),0))</x:f>
        <x:v>621950</x:v>
      </x:c>
      <x:c r="AQ737" s="119" t="n">
        <x:f>IF(AN737=0,0,(AN737-IF(5=D737,1,0))*VLOOKUP(INDEX('章节与怪物'!$E$31:$K$37,B737,5),'章节与怪物'!$A$41:$F$44,4,FALSE)+IF(5=D737,'难度参数'!$E$30,0))</x:f>
        <x:v>1000</x:v>
      </x:c>
      <x:c r="AR737" s="119" t="n">
        <x:f>IF(6&gt;D737,0,MAX(2,MIN('难度参数'!$E$12,ROUND(('难度参数'!$E$18*POWER(A737,'难度参数'!$E$19)/D737*(0.85+0.3*(6-1)/MAX(1,D737-1))),0)+F737)))</x:f>
        <x:v>52</x:v>
      </x:c>
      <x:c r="AS737" s="119" t="n">
        <x:f>IF(6&gt;D737,0,ROUND(('难度参数'!$E$13*POWER(A737,'难度参数'!$E$20)*MIN('难度参数'!$E$23,1+MAX(0,A737-'难度参数'!$E$21)*'难度参数'!$E$22))*(36+6*7)/(36+7*(D737+1)/2)*E737,0))</x:f>
        <x:v>18979</x:v>
      </x:c>
      <x:c r="AT737" s="119" t="n">
        <x:f>IF(AR737=0,0,(AR737-IF(6=D737,1,0))*ROUND(AS737*VLOOKUP(INDEX('章节与怪物'!$E$31:$K$37,B737,6),'章节与怪物'!$A$41:$F$44,2,FALSE),0)+IF(6=D737,ROUND(AS737*'难度参数'!$E$28*'章节与怪物'!$E$17,0),0))</x:f>
        <x:v>1677728</x:v>
      </x:c>
      <x:c r="AU737" s="119" t="n">
        <x:f>IF(AR737=0,0,(AR737-IF(6=D737,1,0))*VLOOKUP(INDEX('章节与怪物'!$E$31:$K$37,B737,6),'章节与怪物'!$A$41:$F$44,4,FALSE)+IF(6=D737,'难度参数'!$E$30,0))</x:f>
        <x:v>1456</x:v>
      </x:c>
      <x:c r="AV737" s="119" t="n">
        <x:f>IF(7&gt;D737,0,MAX(2,MIN('难度参数'!$E$12,ROUND(('难度参数'!$E$18*POWER(A737,'难度参数'!$E$19)/D737*(0.85+0.3*(7-1)/MAX(1,D737-1))),0)+F737)))</x:f>
        <x:v>55</x:v>
      </x:c>
      <x:c r="AW737" s="119" t="n">
        <x:f>IF(7&gt;D737,0,ROUND(('难度参数'!$E$13*POWER(A737,'难度参数'!$E$20)*MIN('难度参数'!$E$23,1+MAX(0,A737-'难度参数'!$E$21)*'难度参数'!$E$22))*(36+7*7)/(36+7*(D737+1)/2)*E737,0))</x:f>
        <x:v>20682</x:v>
      </x:c>
      <x:c r="AX737" s="119" t="n">
        <x:f>IF(AV737=0,0,(AV737-IF(7=D737,1,0))*ROUND(AW737*VLOOKUP(INDEX('章节与怪物'!$E$31:$K$37,B737,7),'章节与怪物'!$A$41:$F$44,2,FALSE),0)+IF(7=D737,ROUND(AW737*'难度参数'!$E$28*'章节与怪物'!$E$17,0),0))</x:f>
        <x:v>1648372</x:v>
      </x:c>
      <x:c r="AY737" s="119" t="n">
        <x:f>IF(AV737=0,0,(AV737-IF(7=D737,1,0))*VLOOKUP(INDEX('章节与怪物'!$E$31:$K$37,B737,7),'章节与怪物'!$A$41:$F$44,4,FALSE)+IF(7=D737,'难度参数'!$E$30,0))</x:f>
        <x:v>2036</x:v>
      </x:c>
    </x:row>
    <x:row r="738" ht="23" customHeight="1">
      <x:c r="A738" s="119" t="n">
        <x:v>732</x:v>
      </x:c>
      <x:c r="B738" s="119" t="n">
        <x:f>MOD(INT((A738-1)/5),7)+1</x:f>
        <x:v>7</x:v>
      </x:c>
      <x:c r="C738" s="62" t="str">
        <x:f>INDEX('章节与怪物'!$B$31:$B$37,B738)</x:f>
        <x:v>魔法山脊</x:v>
      </x:c>
      <x:c r="D738" s="119" t="n">
        <x:f>MIN('难度参数'!$E$8,MAX('难度参数'!$E$7,A738))</x:f>
        <x:v>7</x:v>
      </x:c>
      <x:c r="E738" s="106" t="n">
        <x:v>1</x:v>
      </x:c>
      <x:c r="F738" s="106" t="n">
        <x:v>0</x:v>
      </x:c>
      <x:c r="G738" s="106" t="n">
        <x:v>1</x:v>
      </x:c>
      <x:c r="H738" s="119" t="n">
        <x:f>SUM(X738,AB738,AF738,AJ738,AN738,AR738,AV738)</x:f>
        <x:v>332</x:v>
      </x:c>
      <x:c r="I738" s="119" t="n">
        <x:f>SUM(Z738,AD738,AH738,AL738,AP738,AT738,AX738)</x:f>
        <x:v>6798913</x:v>
      </x:c>
      <x:c r="J738" s="119" t="n">
        <x:f>ROUND(INDEX(X738:AY738,1,(D738-1)*4+2)*'难度参数'!$E$28*'章节与怪物'!$E$17,0)</x:f>
        <x:v>140774</x:v>
      </x:c>
      <x:c r="K738" s="119" t="n">
        <x:f>SUM(AA738,AE738,AI738,AM738,AQ738,AU738,AY738)</x:f>
        <x:v>8930</x:v>
      </x:c>
      <x:c r="L738" s="62" t="n">
        <x:f>H738*(ROUNDUP('难度参数'!$E$24/('难度参数'!$E$26*'难度参数'!$E$27),0)*'难度参数'!$E$26)/60</x:f>
        <x:v>4.426666666666667</x:v>
      </x:c>
      <x:c r="M738" s="62" t="n">
        <x:f>L738+D738*('难度参数'!$E$49+'难度参数'!$E$50)/60</x:f>
        <x:v>5.593333333333334</x:v>
      </x:c>
      <x:c r="N738" s="119" t="n">
        <x:f>ROUNDDOWN(('经济参数'!$E$20+A738*'经济参数'!$E$21)*G738,0)</x:f>
        <x:v>14820</x:v>
      </x:c>
      <x:c r="O738" s="119" t="n">
        <x:f>ROUNDDOWN(MIN('经济参数'!$E$24,'经济参数'!$E$22+A738*'经济参数'!$E$23)*G738,0)</x:f>
        <x:v>0</x:v>
      </x:c>
      <x:c r="P738" s="119" t="n">
        <x:f>ROUNDDOWN((IF(A738&gt;='材料与任务'!$E$31,'材料与任务'!$E$32,IF(A738&gt;='材料与任务'!$E$25,'材料与任务'!$E$26,IF(A738&gt;='材料与任务'!$E$19,'材料与任务'!$E$20,IF(A738&gt;='材料与任务'!$E$13,'材料与任务'!$E$14,'材料与任务'!$E$8)))))*G738,0)</x:f>
        <x:v>6</x:v>
      </x:c>
      <x:c r="Q738" s="119" t="n">
        <x:f>ROUNDDOWN((IF(A738&gt;='材料与任务'!$E$31,'材料与任务'!$E$33,IF(A738&gt;='材料与任务'!$E$25,'材料与任务'!$E$27,IF(A738&gt;='材料与任务'!$E$19,'材料与任务'!$E$21,IF(A738&gt;='材料与任务'!$E$13,'材料与任务'!$E$15,'材料与任务'!$E$9)))))*G738,0)</x:f>
        <x:v>3</x:v>
      </x:c>
      <x:c r="R738" s="110" t="n">
        <x:f>'装备掉落'!$B$38</x:f>
        <x:v>0.6872058758851213</x:v>
      </x:c>
      <x:c r="S738" s="119" t="n">
        <x:f>MAX(IF(VLOOKUP(A738,'装备掉落'!$A$29:$H$34,2,TRUE)&gt;0,1,0),IF(VLOOKUP(A738,'装备掉落'!$A$29:$H$34,3,TRUE)&gt;0,2,0),IF(VLOOKUP(A738,'装备掉落'!$A$29:$H$34,4,TRUE)&gt;0,3,0),IF(VLOOKUP(A738,'装备掉落'!$A$29:$H$34,5,TRUE)&gt;0,4,0),IF(VLOOKUP(A738,'装备掉落'!$A$29:$H$34,6,TRUE)&gt;0,5,0),IF(VLOOKUP(A738,'装备掉落'!$A$29:$H$34,7,TRUE)&gt;0,6,0),IF(VLOOKUP(A738,'装备掉落'!$A$29:$H$34,8,TRUE)&gt;0,7,0))</x:f>
        <x:v>7</x:v>
      </x:c>
      <x:c r="T738" s="119" t="n">
        <x:f>MIN(7,S738+'经济参数'!$E$70)</x:f>
        <x:v>7</x:v>
      </x:c>
      <x:c r="U738" s="119" t="n">
        <x:f>MIN(7,S738+'经济参数'!$E$71)</x:f>
        <x:v>7</x:v>
      </x:c>
      <x:c r="V738" s="119" t="n">
        <x:f>IF(H738&gt;=('难度参数'!$E$52),1,0)+IF(H738&gt;=('难度参数'!$E$52+'难度参数'!$E$53),1,0)+IF(H738&gt;=('难度参数'!$E$52+'难度参数'!$E$53+'难度参数'!$E$54),1,0)+IF(H738&gt;=('难度参数'!$E$52+'难度参数'!$E$53+'难度参数'!$E$54+'难度参数'!$E$55),1,0)+IF(H738&gt;=('难度参数'!$E$52+'难度参数'!$E$53+'难度参数'!$E$54+'难度参数'!$E$55+'难度参数'!$E$56),1,0)+IF(H738&gt;=('难度参数'!$E$52+'难度参数'!$E$53+'难度参数'!$E$54+'难度参数'!$E$55+'难度参数'!$E$56+'难度参数'!$E$57),1,0)</x:f>
        <x:v>6</x:v>
      </x:c>
      <x:c r="W738" s="62" t="str">
        <x:f>IF(L738&gt;'难度参数'!$E$51,"仅出怪已超目标","还需实测")</x:f>
        <x:v>仅出怪已超目标</x:v>
      </x:c>
      <x:c r="X738" s="119" t="n">
        <x:f>IF(1&gt;D738,0,MAX(2,MIN('难度参数'!$E$12,ROUND(('难度参数'!$E$18*POWER(A738,'难度参数'!$E$19)/D738*(0.85+0.3*(1-1)/MAX(1,D738-1))),0)+F738)))</x:f>
        <x:v>40</x:v>
      </x:c>
      <x:c r="Y738" s="119" t="n">
        <x:f>IF(1&gt;D738,0,ROUND(('难度参数'!$E$13*POWER(A738,'难度参数'!$E$20)*MIN('难度参数'!$E$23,1+MAX(0,A738-'难度参数'!$E$21)*'难度参数'!$E$22))*(36+1*7)/(36+7*(D738+1)/2)*E738,0))</x:f>
        <x:v>10473</x:v>
      </x:c>
      <x:c r="Z738" s="119" t="n">
        <x:f>IF(X738=0,0,(X738-IF(1=D738,1,0))*ROUND(Y738*VLOOKUP(INDEX('章节与怪物'!$E$31:$K$37,B738,1),'章节与怪物'!$A$41:$F$44,2,FALSE),0)+IF(1=D738,ROUND(Y738*'难度参数'!$E$28*'章节与怪物'!$E$17,0),0))</x:f>
        <x:v>418920</x:v>
      </x:c>
      <x:c r="AA738" s="119" t="n">
        <x:f>IF(X738=0,0,(X738-IF(1=D738,1,0))*VLOOKUP(INDEX('章节与怪物'!$E$31:$K$37,B738,1),'章节与怪物'!$A$41:$F$44,4,FALSE)+IF(1=D738,'难度参数'!$E$30,0))</x:f>
        <x:v>720</x:v>
      </x:c>
      <x:c r="AB738" s="119" t="n">
        <x:f>IF(2&gt;D738,0,MAX(2,MIN('难度参数'!$E$12,ROUND(('难度参数'!$E$18*POWER(A738,'难度参数'!$E$19)/D738*(0.85+0.3*(2-1)/MAX(1,D738-1))),0)+F738)))</x:f>
        <x:v>43</x:v>
      </x:c>
      <x:c r="AC738" s="119" t="n">
        <x:f>IF(2&gt;D738,0,ROUND(('难度参数'!$E$13*POWER(A738,'难度参数'!$E$20)*MIN('难度参数'!$E$23,1+MAX(0,A738-'难度参数'!$E$21)*'难度参数'!$E$22))*(36+2*7)/(36+7*(D738+1)/2)*E738,0))</x:f>
        <x:v>12178</x:v>
      </x:c>
      <x:c r="AD738" s="119" t="n">
        <x:f>IF(AB738=0,0,(AB738-IF(2=D738,1,0))*ROUND(AC738*VLOOKUP(INDEX('章节与怪物'!$E$31:$K$37,B738,2),'章节与怪物'!$A$41:$F$44,2,FALSE),0)+IF(2=D738,ROUND(AC738*'难度参数'!$E$28*'章节与怪物'!$E$17,0),0))</x:f>
        <x:v>377024</x:v>
      </x:c>
      <x:c r="AE738" s="119" t="n">
        <x:f>IF(AB738=0,0,(AB738-IF(2=D738,1,0))*VLOOKUP(INDEX('章节与怪物'!$E$31:$K$37,B738,2),'章节与怪物'!$A$41:$F$44,4,FALSE)+IF(2=D738,'难度参数'!$E$30,0))</x:f>
        <x:v>860</x:v>
      </x:c>
      <x:c r="AF738" s="119" t="n">
        <x:f>IF(3&gt;D738,0,MAX(2,MIN('难度参数'!$E$12,ROUND(('难度参数'!$E$18*POWER(A738,'难度参数'!$E$19)/D738*(0.85+0.3*(3-1)/MAX(1,D738-1))),0)+F738)))</x:f>
        <x:v>45</x:v>
      </x:c>
      <x:c r="AG738" s="119" t="n">
        <x:f>IF(3&gt;D738,0,ROUND(('难度参数'!$E$13*POWER(A738,'难度参数'!$E$20)*MIN('难度参数'!$E$23,1+MAX(0,A738-'难度参数'!$E$21)*'难度参数'!$E$22))*(36+3*7)/(36+7*(D738+1)/2)*E738,0))</x:f>
        <x:v>13883</x:v>
      </x:c>
      <x:c r="AH738" s="119" t="n">
        <x:f>IF(AF738=0,0,(AF738-IF(3=D738,1,0))*ROUND(AG738*VLOOKUP(INDEX('章节与怪物'!$E$31:$K$37,B738,3),'章节与怪物'!$A$41:$F$44,2,FALSE),0)+IF(3=D738,ROUND(AG738*'难度参数'!$E$28*'章节与怪物'!$E$17,0),0))</x:f>
        <x:v>1062045</x:v>
      </x:c>
      <x:c r="AI738" s="119" t="n">
        <x:f>IF(AF738=0,0,(AF738-IF(3=D738,1,0))*VLOOKUP(INDEX('章节与怪物'!$E$31:$K$37,B738,3),'章节与怪物'!$A$41:$F$44,4,FALSE)+IF(3=D738,'难度参数'!$E$30,0))</x:f>
        <x:v>1260</x:v>
      </x:c>
      <x:c r="AJ738" s="119" t="n">
        <x:f>IF(4&gt;D738,0,MAX(2,MIN('难度参数'!$E$12,ROUND(('难度参数'!$E$18*POWER(A738,'难度参数'!$E$19)/D738*(0.85+0.3*(4-1)/MAX(1,D738-1))),0)+F738)))</x:f>
        <x:v>47</x:v>
      </x:c>
      <x:c r="AK738" s="119" t="n">
        <x:f>IF(4&gt;D738,0,ROUND(('难度参数'!$E$13*POWER(A738,'难度参数'!$E$20)*MIN('难度参数'!$E$23,1+MAX(0,A738-'难度参数'!$E$21)*'难度参数'!$E$22))*(36+4*7)/(36+7*(D738+1)/2)*E738,0))</x:f>
        <x:v>15588</x:v>
      </x:c>
      <x:c r="AL738" s="119" t="n">
        <x:f>IF(AJ738=0,0,(AJ738-IF(4=D738,1,0))*ROUND(AK738*VLOOKUP(INDEX('章节与怪物'!$E$31:$K$37,B738,4),'章节与怪物'!$A$41:$F$44,2,FALSE),0)+IF(4=D738,ROUND(AK738*'难度参数'!$E$28*'章节与怪物'!$E$17,0),0))</x:f>
        <x:v>989068</x:v>
      </x:c>
      <x:c r="AM738" s="119" t="n">
        <x:f>IF(AJ738=0,0,(AJ738-IF(4=D738,1,0))*VLOOKUP(INDEX('章节与怪物'!$E$31:$K$37,B738,4),'章节与怪物'!$A$41:$F$44,4,FALSE)+IF(4=D738,'难度参数'!$E$30,0))</x:f>
        <x:v>1598</x:v>
      </x:c>
      <x:c r="AN738" s="119" t="n">
        <x:f>IF(5&gt;D738,0,MAX(2,MIN('难度参数'!$E$12,ROUND(('难度参数'!$E$18*POWER(A738,'难度参数'!$E$19)/D738*(0.85+0.3*(5-1)/MAX(1,D738-1))),0)+F738)))</x:f>
        <x:v>50</x:v>
      </x:c>
      <x:c r="AO738" s="119" t="n">
        <x:f>IF(5&gt;D738,0,ROUND(('难度参数'!$E$13*POWER(A738,'难度参数'!$E$20)*MIN('难度参数'!$E$23,1+MAX(0,A738-'难度参数'!$E$21)*'难度参数'!$E$22))*(36+5*7)/(36+7*(D738+1)/2)*E738,0))</x:f>
        <x:v>17293</x:v>
      </x:c>
      <x:c r="AP738" s="119" t="n">
        <x:f>IF(AN738=0,0,(AN738-IF(5=D738,1,0))*ROUND(AO738*VLOOKUP(INDEX('章节与怪物'!$E$31:$K$37,B738,5),'章节与怪物'!$A$41:$F$44,2,FALSE),0)+IF(5=D738,ROUND(AO738*'难度参数'!$E$28*'章节与怪物'!$E$17,0),0))</x:f>
        <x:v>622550</x:v>
      </x:c>
      <x:c r="AQ738" s="119" t="n">
        <x:f>IF(AN738=0,0,(AN738-IF(5=D738,1,0))*VLOOKUP(INDEX('章节与怪物'!$E$31:$K$37,B738,5),'章节与怪物'!$A$41:$F$44,4,FALSE)+IF(5=D738,'难度参数'!$E$30,0))</x:f>
        <x:v>1000</x:v>
      </x:c>
      <x:c r="AR738" s="119" t="n">
        <x:f>IF(6&gt;D738,0,MAX(2,MIN('难度参数'!$E$12,ROUND(('难度参数'!$E$18*POWER(A738,'难度参数'!$E$19)/D738*(0.85+0.3*(6-1)/MAX(1,D738-1))),0)+F738)))</x:f>
        <x:v>52</x:v>
      </x:c>
      <x:c r="AS738" s="119" t="n">
        <x:f>IF(6&gt;D738,0,ROUND(('难度参数'!$E$13*POWER(A738,'难度参数'!$E$20)*MIN('难度参数'!$E$23,1+MAX(0,A738-'难度参数'!$E$21)*'难度参数'!$E$22))*(36+6*7)/(36+7*(D738+1)/2)*E738,0))</x:f>
        <x:v>18997</x:v>
      </x:c>
      <x:c r="AT738" s="119" t="n">
        <x:f>IF(AR738=0,0,(AR738-IF(6=D738,1,0))*ROUND(AS738*VLOOKUP(INDEX('章节与怪物'!$E$31:$K$37,B738,6),'章节与怪物'!$A$41:$F$44,2,FALSE),0)+IF(6=D738,ROUND(AS738*'难度参数'!$E$28*'章节与怪物'!$E$17,0),0))</x:f>
        <x:v>1679340</x:v>
      </x:c>
      <x:c r="AU738" s="119" t="n">
        <x:f>IF(AR738=0,0,(AR738-IF(6=D738,1,0))*VLOOKUP(INDEX('章节与怪物'!$E$31:$K$37,B738,6),'章节与怪物'!$A$41:$F$44,4,FALSE)+IF(6=D738,'难度参数'!$E$30,0))</x:f>
        <x:v>1456</x:v>
      </x:c>
      <x:c r="AV738" s="119" t="n">
        <x:f>IF(7&gt;D738,0,MAX(2,MIN('难度参数'!$E$12,ROUND(('难度参数'!$E$18*POWER(A738,'难度参数'!$E$19)/D738*(0.85+0.3*(7-1)/MAX(1,D738-1))),0)+F738)))</x:f>
        <x:v>55</x:v>
      </x:c>
      <x:c r="AW738" s="119" t="n">
        <x:f>IF(7&gt;D738,0,ROUND(('难度参数'!$E$13*POWER(A738,'难度参数'!$E$20)*MIN('难度参数'!$E$23,1+MAX(0,A738-'难度参数'!$E$21)*'难度参数'!$E$22))*(36+7*7)/(36+7*(D738+1)/2)*E738,0))</x:f>
        <x:v>20702</x:v>
      </x:c>
      <x:c r="AX738" s="119" t="n">
        <x:f>IF(AV738=0,0,(AV738-IF(7=D738,1,0))*ROUND(AW738*VLOOKUP(INDEX('章节与怪物'!$E$31:$K$37,B738,7),'章节与怪物'!$A$41:$F$44,2,FALSE),0)+IF(7=D738,ROUND(AW738*'难度参数'!$E$28*'章节与怪物'!$E$17,0),0))</x:f>
        <x:v>1649966</x:v>
      </x:c>
      <x:c r="AY738" s="119" t="n">
        <x:f>IF(AV738=0,0,(AV738-IF(7=D738,1,0))*VLOOKUP(INDEX('章节与怪物'!$E$31:$K$37,B738,7),'章节与怪物'!$A$41:$F$44,4,FALSE)+IF(7=D738,'难度参数'!$E$30,0))</x:f>
        <x:v>2036</x:v>
      </x:c>
    </x:row>
    <x:row r="739" ht="23" customHeight="1">
      <x:c r="A739" s="119" t="n">
        <x:v>733</x:v>
      </x:c>
      <x:c r="B739" s="119" t="n">
        <x:f>MOD(INT((A739-1)/5),7)+1</x:f>
        <x:v>7</x:v>
      </x:c>
      <x:c r="C739" s="62" t="str">
        <x:f>INDEX('章节与怪物'!$B$31:$B$37,B739)</x:f>
        <x:v>魔法山脊</x:v>
      </x:c>
      <x:c r="D739" s="119" t="n">
        <x:f>MIN('难度参数'!$E$8,MAX('难度参数'!$E$7,A739))</x:f>
        <x:v>7</x:v>
      </x:c>
      <x:c r="E739" s="106" t="n">
        <x:v>1</x:v>
      </x:c>
      <x:c r="F739" s="106" t="n">
        <x:v>0</x:v>
      </x:c>
      <x:c r="G739" s="106" t="n">
        <x:v>1</x:v>
      </x:c>
      <x:c r="H739" s="119" t="n">
        <x:f>SUM(X739,AB739,AF739,AJ739,AN739,AR739,AV739)</x:f>
        <x:v>332</x:v>
      </x:c>
      <x:c r="I739" s="119" t="n">
        <x:f>SUM(Z739,AD739,AH739,AL739,AP739,AT739,AX739)</x:f>
        <x:v>6805548</x:v>
      </x:c>
      <x:c r="J739" s="119" t="n">
        <x:f>ROUND(INDEX(X739:AY739,1,(D739-1)*4+2)*'难度参数'!$E$28*'章节与怪物'!$E$17,0)</x:f>
        <x:v>140916</x:v>
      </x:c>
      <x:c r="K739" s="119" t="n">
        <x:f>SUM(AA739,AE739,AI739,AM739,AQ739,AU739,AY739)</x:f>
        <x:v>8930</x:v>
      </x:c>
      <x:c r="L739" s="62" t="n">
        <x:f>H739*(ROUNDUP('难度参数'!$E$24/('难度参数'!$E$26*'难度参数'!$E$27),0)*'难度参数'!$E$26)/60</x:f>
        <x:v>4.426666666666667</x:v>
      </x:c>
      <x:c r="M739" s="62" t="n">
        <x:f>L739+D739*('难度参数'!$E$49+'难度参数'!$E$50)/60</x:f>
        <x:v>5.593333333333334</x:v>
      </x:c>
      <x:c r="N739" s="119" t="n">
        <x:f>ROUNDDOWN(('经济参数'!$E$20+A739*'经济参数'!$E$21)*G739,0)</x:f>
        <x:v>14840</x:v>
      </x:c>
      <x:c r="O739" s="119" t="n">
        <x:f>ROUNDDOWN(MIN('经济参数'!$E$24,'经济参数'!$E$22+A739*'经济参数'!$E$23)*G739,0)</x:f>
        <x:v>0</x:v>
      </x:c>
      <x:c r="P739" s="119" t="n">
        <x:f>ROUNDDOWN((IF(A739&gt;='材料与任务'!$E$31,'材料与任务'!$E$32,IF(A739&gt;='材料与任务'!$E$25,'材料与任务'!$E$26,IF(A739&gt;='材料与任务'!$E$19,'材料与任务'!$E$20,IF(A739&gt;='材料与任务'!$E$13,'材料与任务'!$E$14,'材料与任务'!$E$8)))))*G739,0)</x:f>
        <x:v>6</x:v>
      </x:c>
      <x:c r="Q739" s="119" t="n">
        <x:f>ROUNDDOWN((IF(A739&gt;='材料与任务'!$E$31,'材料与任务'!$E$33,IF(A739&gt;='材料与任务'!$E$25,'材料与任务'!$E$27,IF(A739&gt;='材料与任务'!$E$19,'材料与任务'!$E$21,IF(A739&gt;='材料与任务'!$E$13,'材料与任务'!$E$15,'材料与任务'!$E$9)))))*G739,0)</x:f>
        <x:v>3</x:v>
      </x:c>
      <x:c r="R739" s="110" t="n">
        <x:f>'装备掉落'!$B$38</x:f>
        <x:v>0.6872058758851213</x:v>
      </x:c>
      <x:c r="S739" s="119" t="n">
        <x:f>MAX(IF(VLOOKUP(A739,'装备掉落'!$A$29:$H$34,2,TRUE)&gt;0,1,0),IF(VLOOKUP(A739,'装备掉落'!$A$29:$H$34,3,TRUE)&gt;0,2,0),IF(VLOOKUP(A739,'装备掉落'!$A$29:$H$34,4,TRUE)&gt;0,3,0),IF(VLOOKUP(A739,'装备掉落'!$A$29:$H$34,5,TRUE)&gt;0,4,0),IF(VLOOKUP(A739,'装备掉落'!$A$29:$H$34,6,TRUE)&gt;0,5,0),IF(VLOOKUP(A739,'装备掉落'!$A$29:$H$34,7,TRUE)&gt;0,6,0),IF(VLOOKUP(A739,'装备掉落'!$A$29:$H$34,8,TRUE)&gt;0,7,0))</x:f>
        <x:v>7</x:v>
      </x:c>
      <x:c r="T739" s="119" t="n">
        <x:f>MIN(7,S739+'经济参数'!$E$70)</x:f>
        <x:v>7</x:v>
      </x:c>
      <x:c r="U739" s="119" t="n">
        <x:f>MIN(7,S739+'经济参数'!$E$71)</x:f>
        <x:v>7</x:v>
      </x:c>
      <x:c r="V739" s="119" t="n">
        <x:f>IF(H739&gt;=('难度参数'!$E$52),1,0)+IF(H739&gt;=('难度参数'!$E$52+'难度参数'!$E$53),1,0)+IF(H739&gt;=('难度参数'!$E$52+'难度参数'!$E$53+'难度参数'!$E$54),1,0)+IF(H739&gt;=('难度参数'!$E$52+'难度参数'!$E$53+'难度参数'!$E$54+'难度参数'!$E$55),1,0)+IF(H739&gt;=('难度参数'!$E$52+'难度参数'!$E$53+'难度参数'!$E$54+'难度参数'!$E$55+'难度参数'!$E$56),1,0)+IF(H739&gt;=('难度参数'!$E$52+'难度参数'!$E$53+'难度参数'!$E$54+'难度参数'!$E$55+'难度参数'!$E$56+'难度参数'!$E$57),1,0)</x:f>
        <x:v>6</x:v>
      </x:c>
      <x:c r="W739" s="62" t="str">
        <x:f>IF(L739&gt;'难度参数'!$E$51,"仅出怪已超目标","还需实测")</x:f>
        <x:v>仅出怪已超目标</x:v>
      </x:c>
      <x:c r="X739" s="119" t="n">
        <x:f>IF(1&gt;D739,0,MAX(2,MIN('难度参数'!$E$12,ROUND(('难度参数'!$E$18*POWER(A739,'难度参数'!$E$19)/D739*(0.85+0.3*(1-1)/MAX(1,D739-1))),0)+F739)))</x:f>
        <x:v>40</x:v>
      </x:c>
      <x:c r="Y739" s="119" t="n">
        <x:f>IF(1&gt;D739,0,ROUND(('难度参数'!$E$13*POWER(A739,'难度参数'!$E$20)*MIN('难度参数'!$E$23,1+MAX(0,A739-'难度参数'!$E$21)*'难度参数'!$E$22))*(36+1*7)/(36+7*(D739+1)/2)*E739,0))</x:f>
        <x:v>10483</x:v>
      </x:c>
      <x:c r="Z739" s="119" t="n">
        <x:f>IF(X739=0,0,(X739-IF(1=D739,1,0))*ROUND(Y739*VLOOKUP(INDEX('章节与怪物'!$E$31:$K$37,B739,1),'章节与怪物'!$A$41:$F$44,2,FALSE),0)+IF(1=D739,ROUND(Y739*'难度参数'!$E$28*'章节与怪物'!$E$17,0),0))</x:f>
        <x:v>419320</x:v>
      </x:c>
      <x:c r="AA739" s="119" t="n">
        <x:f>IF(X739=0,0,(X739-IF(1=D739,1,0))*VLOOKUP(INDEX('章节与怪物'!$E$31:$K$37,B739,1),'章节与怪物'!$A$41:$F$44,4,FALSE)+IF(1=D739,'难度参数'!$E$30,0))</x:f>
        <x:v>720</x:v>
      </x:c>
      <x:c r="AB739" s="119" t="n">
        <x:f>IF(2&gt;D739,0,MAX(2,MIN('难度参数'!$E$12,ROUND(('难度参数'!$E$18*POWER(A739,'难度参数'!$E$19)/D739*(0.85+0.3*(2-1)/MAX(1,D739-1))),0)+F739)))</x:f>
        <x:v>43</x:v>
      </x:c>
      <x:c r="AC739" s="119" t="n">
        <x:f>IF(2&gt;D739,0,ROUND(('难度参数'!$E$13*POWER(A739,'难度参数'!$E$20)*MIN('难度参数'!$E$23,1+MAX(0,A739-'难度参数'!$E$21)*'难度参数'!$E$22))*(36+2*7)/(36+7*(D739+1)/2)*E739,0))</x:f>
        <x:v>12190</x:v>
      </x:c>
      <x:c r="AD739" s="119" t="n">
        <x:f>IF(AB739=0,0,(AB739-IF(2=D739,1,0))*ROUND(AC739*VLOOKUP(INDEX('章节与怪物'!$E$31:$K$37,B739,2),'章节与怪物'!$A$41:$F$44,2,FALSE),0)+IF(2=D739,ROUND(AC739*'难度参数'!$E$28*'章节与怪物'!$E$17,0),0))</x:f>
        <x:v>377411</x:v>
      </x:c>
      <x:c r="AE739" s="119" t="n">
        <x:f>IF(AB739=0,0,(AB739-IF(2=D739,1,0))*VLOOKUP(INDEX('章节与怪物'!$E$31:$K$37,B739,2),'章节与怪物'!$A$41:$F$44,4,FALSE)+IF(2=D739,'难度参数'!$E$30,0))</x:f>
        <x:v>860</x:v>
      </x:c>
      <x:c r="AF739" s="119" t="n">
        <x:f>IF(3&gt;D739,0,MAX(2,MIN('难度参数'!$E$12,ROUND(('难度参数'!$E$18*POWER(A739,'难度参数'!$E$19)/D739*(0.85+0.3*(3-1)/MAX(1,D739-1))),0)+F739)))</x:f>
        <x:v>45</x:v>
      </x:c>
      <x:c r="AG739" s="119" t="n">
        <x:f>IF(3&gt;D739,0,ROUND(('难度参数'!$E$13*POWER(A739,'难度参数'!$E$20)*MIN('难度参数'!$E$23,1+MAX(0,A739-'难度参数'!$E$21)*'难度参数'!$E$22))*(36+3*7)/(36+7*(D739+1)/2)*E739,0))</x:f>
        <x:v>13896</x:v>
      </x:c>
      <x:c r="AH739" s="119" t="n">
        <x:f>IF(AF739=0,0,(AF739-IF(3=D739,1,0))*ROUND(AG739*VLOOKUP(INDEX('章节与怪物'!$E$31:$K$37,B739,3),'章节与怪物'!$A$41:$F$44,2,FALSE),0)+IF(3=D739,ROUND(AG739*'难度参数'!$E$28*'章节与怪物'!$E$17,0),0))</x:f>
        <x:v>1063035</x:v>
      </x:c>
      <x:c r="AI739" s="119" t="n">
        <x:f>IF(AF739=0,0,(AF739-IF(3=D739,1,0))*VLOOKUP(INDEX('章节与怪物'!$E$31:$K$37,B739,3),'章节与怪物'!$A$41:$F$44,4,FALSE)+IF(3=D739,'难度参数'!$E$30,0))</x:f>
        <x:v>1260</x:v>
      </x:c>
      <x:c r="AJ739" s="119" t="n">
        <x:f>IF(4&gt;D739,0,MAX(2,MIN('难度参数'!$E$12,ROUND(('难度参数'!$E$18*POWER(A739,'难度参数'!$E$19)/D739*(0.85+0.3*(4-1)/MAX(1,D739-1))),0)+F739)))</x:f>
        <x:v>47</x:v>
      </x:c>
      <x:c r="AK739" s="119" t="n">
        <x:f>IF(4&gt;D739,0,ROUND(('难度参数'!$E$13*POWER(A739,'难度参数'!$E$20)*MIN('难度参数'!$E$23,1+MAX(0,A739-'难度参数'!$E$21)*'难度参数'!$E$22))*(36+4*7)/(36+7*(D739+1)/2)*E739,0))</x:f>
        <x:v>15603</x:v>
      </x:c>
      <x:c r="AL739" s="119" t="n">
        <x:f>IF(AJ739=0,0,(AJ739-IF(4=D739,1,0))*ROUND(AK739*VLOOKUP(INDEX('章节与怪物'!$E$31:$K$37,B739,4),'章节与怪物'!$A$41:$F$44,2,FALSE),0)+IF(4=D739,ROUND(AK739*'难度参数'!$E$28*'章节与怪物'!$E$17,0),0))</x:f>
        <x:v>990008</x:v>
      </x:c>
      <x:c r="AM739" s="119" t="n">
        <x:f>IF(AJ739=0,0,(AJ739-IF(4=D739,1,0))*VLOOKUP(INDEX('章节与怪物'!$E$31:$K$37,B739,4),'章节与怪物'!$A$41:$F$44,4,FALSE)+IF(4=D739,'难度参数'!$E$30,0))</x:f>
        <x:v>1598</x:v>
      </x:c>
      <x:c r="AN739" s="119" t="n">
        <x:f>IF(5&gt;D739,0,MAX(2,MIN('难度参数'!$E$12,ROUND(('难度参数'!$E$18*POWER(A739,'难度参数'!$E$19)/D739*(0.85+0.3*(5-1)/MAX(1,D739-1))),0)+F739)))</x:f>
        <x:v>50</x:v>
      </x:c>
      <x:c r="AO739" s="119" t="n">
        <x:f>IF(5&gt;D739,0,ROUND(('难度参数'!$E$13*POWER(A739,'难度参数'!$E$20)*MIN('难度参数'!$E$23,1+MAX(0,A739-'难度参数'!$E$21)*'难度参数'!$E$22))*(36+5*7)/(36+7*(D739+1)/2)*E739,0))</x:f>
        <x:v>17310</x:v>
      </x:c>
      <x:c r="AP739" s="119" t="n">
        <x:f>IF(AN739=0,0,(AN739-IF(5=D739,1,0))*ROUND(AO739*VLOOKUP(INDEX('章节与怪物'!$E$31:$K$37,B739,5),'章节与怪物'!$A$41:$F$44,2,FALSE),0)+IF(5=D739,ROUND(AO739*'难度参数'!$E$28*'章节与怪物'!$E$17,0),0))</x:f>
        <x:v>623150</x:v>
      </x:c>
      <x:c r="AQ739" s="119" t="n">
        <x:f>IF(AN739=0,0,(AN739-IF(5=D739,1,0))*VLOOKUP(INDEX('章节与怪物'!$E$31:$K$37,B739,5),'章节与怪物'!$A$41:$F$44,4,FALSE)+IF(5=D739,'难度参数'!$E$30,0))</x:f>
        <x:v>1000</x:v>
      </x:c>
      <x:c r="AR739" s="119" t="n">
        <x:f>IF(6&gt;D739,0,MAX(2,MIN('难度参数'!$E$12,ROUND(('难度参数'!$E$18*POWER(A739,'难度参数'!$E$19)/D739*(0.85+0.3*(6-1)/MAX(1,D739-1))),0)+F739)))</x:f>
        <x:v>52</x:v>
      </x:c>
      <x:c r="AS739" s="119" t="n">
        <x:f>IF(6&gt;D739,0,ROUND(('难度参数'!$E$13*POWER(A739,'难度参数'!$E$20)*MIN('难度参数'!$E$23,1+MAX(0,A739-'难度参数'!$E$21)*'难度参数'!$E$22))*(36+6*7)/(36+7*(D739+1)/2)*E739,0))</x:f>
        <x:v>19016</x:v>
      </x:c>
      <x:c r="AT739" s="119" t="n">
        <x:f>IF(AR739=0,0,(AR739-IF(6=D739,1,0))*ROUND(AS739*VLOOKUP(INDEX('章节与怪物'!$E$31:$K$37,B739,6),'章节与怪物'!$A$41:$F$44,2,FALSE),0)+IF(6=D739,ROUND(AS739*'难度参数'!$E$28*'章节与怪物'!$E$17,0),0))</x:f>
        <x:v>1681004</x:v>
      </x:c>
      <x:c r="AU739" s="119" t="n">
        <x:f>IF(AR739=0,0,(AR739-IF(6=D739,1,0))*VLOOKUP(INDEX('章节与怪物'!$E$31:$K$37,B739,6),'章节与怪物'!$A$41:$F$44,4,FALSE)+IF(6=D739,'难度参数'!$E$30,0))</x:f>
        <x:v>1456</x:v>
      </x:c>
      <x:c r="AV739" s="119" t="n">
        <x:f>IF(7&gt;D739,0,MAX(2,MIN('难度参数'!$E$12,ROUND(('难度参数'!$E$18*POWER(A739,'难度参数'!$E$19)/D739*(0.85+0.3*(7-1)/MAX(1,D739-1))),0)+F739)))</x:f>
        <x:v>55</x:v>
      </x:c>
      <x:c r="AW739" s="119" t="n">
        <x:f>IF(7&gt;D739,0,ROUND(('难度参数'!$E$13*POWER(A739,'难度参数'!$E$20)*MIN('难度参数'!$E$23,1+MAX(0,A739-'难度参数'!$E$21)*'难度参数'!$E$22))*(36+7*7)/(36+7*(D739+1)/2)*E739,0))</x:f>
        <x:v>20723</x:v>
      </x:c>
      <x:c r="AX739" s="119" t="n">
        <x:f>IF(AV739=0,0,(AV739-IF(7=D739,1,0))*ROUND(AW739*VLOOKUP(INDEX('章节与怪物'!$E$31:$K$37,B739,7),'章节与怪物'!$A$41:$F$44,2,FALSE),0)+IF(7=D739,ROUND(AW739*'难度参数'!$E$28*'章节与怪物'!$E$17,0),0))</x:f>
        <x:v>1651620</x:v>
      </x:c>
      <x:c r="AY739" s="119" t="n">
        <x:f>IF(AV739=0,0,(AV739-IF(7=D739,1,0))*VLOOKUP(INDEX('章节与怪物'!$E$31:$K$37,B739,7),'章节与怪物'!$A$41:$F$44,4,FALSE)+IF(7=D739,'难度参数'!$E$30,0))</x:f>
        <x:v>2036</x:v>
      </x:c>
    </x:row>
    <x:row r="740" ht="23" customHeight="1">
      <x:c r="A740" s="119" t="n">
        <x:v>734</x:v>
      </x:c>
      <x:c r="B740" s="119" t="n">
        <x:f>MOD(INT((A740-1)/5),7)+1</x:f>
        <x:v>7</x:v>
      </x:c>
      <x:c r="C740" s="62" t="str">
        <x:f>INDEX('章节与怪物'!$B$31:$B$37,B740)</x:f>
        <x:v>魔法山脊</x:v>
      </x:c>
      <x:c r="D740" s="119" t="n">
        <x:f>MIN('难度参数'!$E$8,MAX('难度参数'!$E$7,A740))</x:f>
        <x:v>7</x:v>
      </x:c>
      <x:c r="E740" s="106" t="n">
        <x:v>1</x:v>
      </x:c>
      <x:c r="F740" s="106" t="n">
        <x:v>0</x:v>
      </x:c>
      <x:c r="G740" s="106" t="n">
        <x:v>1</x:v>
      </x:c>
      <x:c r="H740" s="119" t="n">
        <x:f>SUM(X740,AB740,AF740,AJ740,AN740,AR740,AV740)</x:f>
        <x:v>332</x:v>
      </x:c>
      <x:c r="I740" s="119" t="n">
        <x:f>SUM(Z740,AD740,AH740,AL740,AP740,AT740,AX740)</x:f>
        <x:v>6812262</x:v>
      </x:c>
      <x:c r="J740" s="119" t="n">
        <x:f>ROUND(INDEX(X740:AY740,1,(D740-1)*4+2)*'难度参数'!$E$28*'章节与怪物'!$E$17,0)</x:f>
        <x:v>141052</x:v>
      </x:c>
      <x:c r="K740" s="119" t="n">
        <x:f>SUM(AA740,AE740,AI740,AM740,AQ740,AU740,AY740)</x:f>
        <x:v>8930</x:v>
      </x:c>
      <x:c r="L740" s="62" t="n">
        <x:f>H740*(ROUNDUP('难度参数'!$E$24/('难度参数'!$E$26*'难度参数'!$E$27),0)*'难度参数'!$E$26)/60</x:f>
        <x:v>4.426666666666667</x:v>
      </x:c>
      <x:c r="M740" s="62" t="n">
        <x:f>L740+D740*('难度参数'!$E$49+'难度参数'!$E$50)/60</x:f>
        <x:v>5.593333333333334</x:v>
      </x:c>
      <x:c r="N740" s="119" t="n">
        <x:f>ROUNDDOWN(('经济参数'!$E$20+A740*'经济参数'!$E$21)*G740,0)</x:f>
        <x:v>14860</x:v>
      </x:c>
      <x:c r="O740" s="119" t="n">
        <x:f>ROUNDDOWN(MIN('经济参数'!$E$24,'经济参数'!$E$22+A740*'经济参数'!$E$23)*G740,0)</x:f>
        <x:v>0</x:v>
      </x:c>
      <x:c r="P740" s="119" t="n">
        <x:f>ROUNDDOWN((IF(A740&gt;='材料与任务'!$E$31,'材料与任务'!$E$32,IF(A740&gt;='材料与任务'!$E$25,'材料与任务'!$E$26,IF(A740&gt;='材料与任务'!$E$19,'材料与任务'!$E$20,IF(A740&gt;='材料与任务'!$E$13,'材料与任务'!$E$14,'材料与任务'!$E$8)))))*G740,0)</x:f>
        <x:v>6</x:v>
      </x:c>
      <x:c r="Q740" s="119" t="n">
        <x:f>ROUNDDOWN((IF(A740&gt;='材料与任务'!$E$31,'材料与任务'!$E$33,IF(A740&gt;='材料与任务'!$E$25,'材料与任务'!$E$27,IF(A740&gt;='材料与任务'!$E$19,'材料与任务'!$E$21,IF(A740&gt;='材料与任务'!$E$13,'材料与任务'!$E$15,'材料与任务'!$E$9)))))*G740,0)</x:f>
        <x:v>3</x:v>
      </x:c>
      <x:c r="R740" s="110" t="n">
        <x:f>'装备掉落'!$B$38</x:f>
        <x:v>0.6872058758851213</x:v>
      </x:c>
      <x:c r="S740" s="119" t="n">
        <x:f>MAX(IF(VLOOKUP(A740,'装备掉落'!$A$29:$H$34,2,TRUE)&gt;0,1,0),IF(VLOOKUP(A740,'装备掉落'!$A$29:$H$34,3,TRUE)&gt;0,2,0),IF(VLOOKUP(A740,'装备掉落'!$A$29:$H$34,4,TRUE)&gt;0,3,0),IF(VLOOKUP(A740,'装备掉落'!$A$29:$H$34,5,TRUE)&gt;0,4,0),IF(VLOOKUP(A740,'装备掉落'!$A$29:$H$34,6,TRUE)&gt;0,5,0),IF(VLOOKUP(A740,'装备掉落'!$A$29:$H$34,7,TRUE)&gt;0,6,0),IF(VLOOKUP(A740,'装备掉落'!$A$29:$H$34,8,TRUE)&gt;0,7,0))</x:f>
        <x:v>7</x:v>
      </x:c>
      <x:c r="T740" s="119" t="n">
        <x:f>MIN(7,S740+'经济参数'!$E$70)</x:f>
        <x:v>7</x:v>
      </x:c>
      <x:c r="U740" s="119" t="n">
        <x:f>MIN(7,S740+'经济参数'!$E$71)</x:f>
        <x:v>7</x:v>
      </x:c>
      <x:c r="V740" s="119" t="n">
        <x:f>IF(H740&gt;=('难度参数'!$E$52),1,0)+IF(H740&gt;=('难度参数'!$E$52+'难度参数'!$E$53),1,0)+IF(H740&gt;=('难度参数'!$E$52+'难度参数'!$E$53+'难度参数'!$E$54),1,0)+IF(H740&gt;=('难度参数'!$E$52+'难度参数'!$E$53+'难度参数'!$E$54+'难度参数'!$E$55),1,0)+IF(H740&gt;=('难度参数'!$E$52+'难度参数'!$E$53+'难度参数'!$E$54+'难度参数'!$E$55+'难度参数'!$E$56),1,0)+IF(H740&gt;=('难度参数'!$E$52+'难度参数'!$E$53+'难度参数'!$E$54+'难度参数'!$E$55+'难度参数'!$E$56+'难度参数'!$E$57),1,0)</x:f>
        <x:v>6</x:v>
      </x:c>
      <x:c r="W740" s="62" t="str">
        <x:f>IF(L740&gt;'难度参数'!$E$51,"仅出怪已超目标","还需实测")</x:f>
        <x:v>仅出怪已超目标</x:v>
      </x:c>
      <x:c r="X740" s="119" t="n">
        <x:f>IF(1&gt;D740,0,MAX(2,MIN('难度参数'!$E$12,ROUND(('难度参数'!$E$18*POWER(A740,'难度参数'!$E$19)/D740*(0.85+0.3*(1-1)/MAX(1,D740-1))),0)+F740)))</x:f>
        <x:v>40</x:v>
      </x:c>
      <x:c r="Y740" s="119" t="n">
        <x:f>IF(1&gt;D740,0,ROUND(('难度参数'!$E$13*POWER(A740,'难度参数'!$E$20)*MIN('难度参数'!$E$23,1+MAX(0,A740-'难度参数'!$E$21)*'难度参数'!$E$22))*(36+1*7)/(36+7*(D740+1)/2)*E740,0))</x:f>
        <x:v>10494</x:v>
      </x:c>
      <x:c r="Z740" s="119" t="n">
        <x:f>IF(X740=0,0,(X740-IF(1=D740,1,0))*ROUND(Y740*VLOOKUP(INDEX('章节与怪物'!$E$31:$K$37,B740,1),'章节与怪物'!$A$41:$F$44,2,FALSE),0)+IF(1=D740,ROUND(Y740*'难度参数'!$E$28*'章节与怪物'!$E$17,0),0))</x:f>
        <x:v>419760</x:v>
      </x:c>
      <x:c r="AA740" s="119" t="n">
        <x:f>IF(X740=0,0,(X740-IF(1=D740,1,0))*VLOOKUP(INDEX('章节与怪物'!$E$31:$K$37,B740,1),'章节与怪物'!$A$41:$F$44,4,FALSE)+IF(1=D740,'难度参数'!$E$30,0))</x:f>
        <x:v>720</x:v>
      </x:c>
      <x:c r="AB740" s="119" t="n">
        <x:f>IF(2&gt;D740,0,MAX(2,MIN('难度参数'!$E$12,ROUND(('难度参数'!$E$18*POWER(A740,'难度参数'!$E$19)/D740*(0.85+0.3*(2-1)/MAX(1,D740-1))),0)+F740)))</x:f>
        <x:v>43</x:v>
      </x:c>
      <x:c r="AC740" s="119" t="n">
        <x:f>IF(2&gt;D740,0,ROUND(('难度参数'!$E$13*POWER(A740,'难度参数'!$E$20)*MIN('难度参数'!$E$23,1+MAX(0,A740-'难度参数'!$E$21)*'难度参数'!$E$22))*(36+2*7)/(36+7*(D740+1)/2)*E740,0))</x:f>
        <x:v>12202</x:v>
      </x:c>
      <x:c r="AD740" s="119" t="n">
        <x:f>IF(AB740=0,0,(AB740-IF(2=D740,1,0))*ROUND(AC740*VLOOKUP(INDEX('章节与怪物'!$E$31:$K$37,B740,2),'章节与怪物'!$A$41:$F$44,2,FALSE),0)+IF(2=D740,ROUND(AC740*'难度参数'!$E$28*'章节与怪物'!$E$17,0),0))</x:f>
        <x:v>377755</x:v>
      </x:c>
      <x:c r="AE740" s="119" t="n">
        <x:f>IF(AB740=0,0,(AB740-IF(2=D740,1,0))*VLOOKUP(INDEX('章节与怪物'!$E$31:$K$37,B740,2),'章节与怪物'!$A$41:$F$44,4,FALSE)+IF(2=D740,'难度参数'!$E$30,0))</x:f>
        <x:v>860</x:v>
      </x:c>
      <x:c r="AF740" s="119" t="n">
        <x:f>IF(3&gt;D740,0,MAX(2,MIN('难度参数'!$E$12,ROUND(('难度参数'!$E$18*POWER(A740,'难度参数'!$E$19)/D740*(0.85+0.3*(3-1)/MAX(1,D740-1))),0)+F740)))</x:f>
        <x:v>45</x:v>
      </x:c>
      <x:c r="AG740" s="119" t="n">
        <x:f>IF(3&gt;D740,0,ROUND(('难度参数'!$E$13*POWER(A740,'难度参数'!$E$20)*MIN('难度参数'!$E$23,1+MAX(0,A740-'难度参数'!$E$21)*'难度参数'!$E$22))*(36+3*7)/(36+7*(D740+1)/2)*E740,0))</x:f>
        <x:v>13910</x:v>
      </x:c>
      <x:c r="AH740" s="119" t="n">
        <x:f>IF(AF740=0,0,(AF740-IF(3=D740,1,0))*ROUND(AG740*VLOOKUP(INDEX('章节与怪物'!$E$31:$K$37,B740,3),'章节与怪物'!$A$41:$F$44,2,FALSE),0)+IF(3=D740,ROUND(AG740*'难度参数'!$E$28*'章节与怪物'!$E$17,0),0))</x:f>
        <x:v>1064115</x:v>
      </x:c>
      <x:c r="AI740" s="119" t="n">
        <x:f>IF(AF740=0,0,(AF740-IF(3=D740,1,0))*VLOOKUP(INDEX('章节与怪物'!$E$31:$K$37,B740,3),'章节与怪物'!$A$41:$F$44,4,FALSE)+IF(3=D740,'难度参数'!$E$30,0))</x:f>
        <x:v>1260</x:v>
      </x:c>
      <x:c r="AJ740" s="119" t="n">
        <x:f>IF(4&gt;D740,0,MAX(2,MIN('难度参数'!$E$12,ROUND(('难度参数'!$E$18*POWER(A740,'难度参数'!$E$19)/D740*(0.85+0.3*(4-1)/MAX(1,D740-1))),0)+F740)))</x:f>
        <x:v>47</x:v>
      </x:c>
      <x:c r="AK740" s="119" t="n">
        <x:f>IF(4&gt;D740,0,ROUND(('难度参数'!$E$13*POWER(A740,'难度参数'!$E$20)*MIN('难度参数'!$E$23,1+MAX(0,A740-'难度参数'!$E$21)*'难度参数'!$E$22))*(36+4*7)/(36+7*(D740+1)/2)*E740,0))</x:f>
        <x:v>15618</x:v>
      </x:c>
      <x:c r="AL740" s="119" t="n">
        <x:f>IF(AJ740=0,0,(AJ740-IF(4=D740,1,0))*ROUND(AK740*VLOOKUP(INDEX('章节与怪物'!$E$31:$K$37,B740,4),'章节与怪物'!$A$41:$F$44,2,FALSE),0)+IF(4=D740,ROUND(AK740*'难度参数'!$E$28*'章节与怪物'!$E$17,0),0))</x:f>
        <x:v>990948</x:v>
      </x:c>
      <x:c r="AM740" s="119" t="n">
        <x:f>IF(AJ740=0,0,(AJ740-IF(4=D740,1,0))*VLOOKUP(INDEX('章节与怪物'!$E$31:$K$37,B740,4),'章节与怪物'!$A$41:$F$44,4,FALSE)+IF(4=D740,'难度参数'!$E$30,0))</x:f>
        <x:v>1598</x:v>
      </x:c>
      <x:c r="AN740" s="119" t="n">
        <x:f>IF(5&gt;D740,0,MAX(2,MIN('难度参数'!$E$12,ROUND(('难度参数'!$E$18*POWER(A740,'难度参数'!$E$19)/D740*(0.85+0.3*(5-1)/MAX(1,D740-1))),0)+F740)))</x:f>
        <x:v>50</x:v>
      </x:c>
      <x:c r="AO740" s="119" t="n">
        <x:f>IF(5&gt;D740,0,ROUND(('难度参数'!$E$13*POWER(A740,'难度参数'!$E$20)*MIN('难度参数'!$E$23,1+MAX(0,A740-'难度参数'!$E$21)*'难度参数'!$E$22))*(36+5*7)/(36+7*(D740+1)/2)*E740,0))</x:f>
        <x:v>17327</x:v>
      </x:c>
      <x:c r="AP740" s="119" t="n">
        <x:f>IF(AN740=0,0,(AN740-IF(5=D740,1,0))*ROUND(AO740*VLOOKUP(INDEX('章节与怪物'!$E$31:$K$37,B740,5),'章节与怪物'!$A$41:$F$44,2,FALSE),0)+IF(5=D740,ROUND(AO740*'难度参数'!$E$28*'章节与怪物'!$E$17,0),0))</x:f>
        <x:v>623750</x:v>
      </x:c>
      <x:c r="AQ740" s="119" t="n">
        <x:f>IF(AN740=0,0,(AN740-IF(5=D740,1,0))*VLOOKUP(INDEX('章节与怪物'!$E$31:$K$37,B740,5),'章节与怪物'!$A$41:$F$44,4,FALSE)+IF(5=D740,'难度参数'!$E$30,0))</x:f>
        <x:v>1000</x:v>
      </x:c>
      <x:c r="AR740" s="119" t="n">
        <x:f>IF(6&gt;D740,0,MAX(2,MIN('难度参数'!$E$12,ROUND(('难度参数'!$E$18*POWER(A740,'难度参数'!$E$19)/D740*(0.85+0.3*(6-1)/MAX(1,D740-1))),0)+F740)))</x:f>
        <x:v>52</x:v>
      </x:c>
      <x:c r="AS740" s="119" t="n">
        <x:f>IF(6&gt;D740,0,ROUND(('难度参数'!$E$13*POWER(A740,'难度参数'!$E$20)*MIN('难度参数'!$E$23,1+MAX(0,A740-'难度参数'!$E$21)*'难度参数'!$E$22))*(36+6*7)/(36+7*(D740+1)/2)*E740,0))</x:f>
        <x:v>19035</x:v>
      </x:c>
      <x:c r="AT740" s="119" t="n">
        <x:f>IF(AR740=0,0,(AR740-IF(6=D740,1,0))*ROUND(AS740*VLOOKUP(INDEX('章节与怪物'!$E$31:$K$37,B740,6),'章节与怪物'!$A$41:$F$44,2,FALSE),0)+IF(6=D740,ROUND(AS740*'难度参数'!$E$28*'章节与怪物'!$E$17,0),0))</x:f>
        <x:v>1682720</x:v>
      </x:c>
      <x:c r="AU740" s="119" t="n">
        <x:f>IF(AR740=0,0,(AR740-IF(6=D740,1,0))*VLOOKUP(INDEX('章节与怪物'!$E$31:$K$37,B740,6),'章节与怪物'!$A$41:$F$44,4,FALSE)+IF(6=D740,'难度参数'!$E$30,0))</x:f>
        <x:v>1456</x:v>
      </x:c>
      <x:c r="AV740" s="119" t="n">
        <x:f>IF(7&gt;D740,0,MAX(2,MIN('难度参数'!$E$12,ROUND(('难度参数'!$E$18*POWER(A740,'难度参数'!$E$19)/D740*(0.85+0.3*(7-1)/MAX(1,D740-1))),0)+F740)))</x:f>
        <x:v>55</x:v>
      </x:c>
      <x:c r="AW740" s="119" t="n">
        <x:f>IF(7&gt;D740,0,ROUND(('难度参数'!$E$13*POWER(A740,'难度参数'!$E$20)*MIN('难度参数'!$E$23,1+MAX(0,A740-'难度参数'!$E$21)*'难度参数'!$E$22))*(36+7*7)/(36+7*(D740+1)/2)*E740,0))</x:f>
        <x:v>20743</x:v>
      </x:c>
      <x:c r="AX740" s="119" t="n">
        <x:f>IF(AV740=0,0,(AV740-IF(7=D740,1,0))*ROUND(AW740*VLOOKUP(INDEX('章节与怪物'!$E$31:$K$37,B740,7),'章节与怪物'!$A$41:$F$44,2,FALSE),0)+IF(7=D740,ROUND(AW740*'难度参数'!$E$28*'章节与怪物'!$E$17,0),0))</x:f>
        <x:v>1653214</x:v>
      </x:c>
      <x:c r="AY740" s="119" t="n">
        <x:f>IF(AV740=0,0,(AV740-IF(7=D740,1,0))*VLOOKUP(INDEX('章节与怪物'!$E$31:$K$37,B740,7),'章节与怪物'!$A$41:$F$44,4,FALSE)+IF(7=D740,'难度参数'!$E$30,0))</x:f>
        <x:v>2036</x:v>
      </x:c>
    </x:row>
    <x:row r="741" ht="23" customHeight="1">
      <x:c r="A741" s="119" t="n">
        <x:v>735</x:v>
      </x:c>
      <x:c r="B741" s="119" t="n">
        <x:f>MOD(INT((A741-1)/5),7)+1</x:f>
        <x:v>7</x:v>
      </x:c>
      <x:c r="C741" s="62" t="str">
        <x:f>INDEX('章节与怪物'!$B$31:$B$37,B741)</x:f>
        <x:v>魔法山脊</x:v>
      </x:c>
      <x:c r="D741" s="119" t="n">
        <x:f>MIN('难度参数'!$E$8,MAX('难度参数'!$E$7,A741))</x:f>
        <x:v>7</x:v>
      </x:c>
      <x:c r="E741" s="106" t="n">
        <x:v>1</x:v>
      </x:c>
      <x:c r="F741" s="106" t="n">
        <x:v>0</x:v>
      </x:c>
      <x:c r="G741" s="106" t="n">
        <x:v>1</x:v>
      </x:c>
      <x:c r="H741" s="119" t="n">
        <x:f>SUM(X741,AB741,AF741,AJ741,AN741,AR741,AV741)</x:f>
        <x:v>332</x:v>
      </x:c>
      <x:c r="I741" s="119" t="n">
        <x:f>SUM(Z741,AD741,AH741,AL741,AP741,AT741,AX741)</x:f>
        <x:v>6819071</x:v>
      </x:c>
      <x:c r="J741" s="119" t="n">
        <x:f>ROUND(INDEX(X741:AY741,1,(D741-1)*4+2)*'难度参数'!$E$28*'章节与怪物'!$E$17,0)</x:f>
        <x:v>141188</x:v>
      </x:c>
      <x:c r="K741" s="119" t="n">
        <x:f>SUM(AA741,AE741,AI741,AM741,AQ741,AU741,AY741)</x:f>
        <x:v>8930</x:v>
      </x:c>
      <x:c r="L741" s="62" t="n">
        <x:f>H741*(ROUNDUP('难度参数'!$E$24/('难度参数'!$E$26*'难度参数'!$E$27),0)*'难度参数'!$E$26)/60</x:f>
        <x:v>4.426666666666667</x:v>
      </x:c>
      <x:c r="M741" s="62" t="n">
        <x:f>L741+D741*('难度参数'!$E$49+'难度参数'!$E$50)/60</x:f>
        <x:v>5.593333333333334</x:v>
      </x:c>
      <x:c r="N741" s="119" t="n">
        <x:f>ROUNDDOWN(('经济参数'!$E$20+A741*'经济参数'!$E$21)*G741,0)</x:f>
        <x:v>14880</x:v>
      </x:c>
      <x:c r="O741" s="119" t="n">
        <x:f>ROUNDDOWN(MIN('经济参数'!$E$24,'经济参数'!$E$22+A741*'经济参数'!$E$23)*G741,0)</x:f>
        <x:v>0</x:v>
      </x:c>
      <x:c r="P741" s="119" t="n">
        <x:f>ROUNDDOWN((IF(A741&gt;='材料与任务'!$E$31,'材料与任务'!$E$32,IF(A741&gt;='材料与任务'!$E$25,'材料与任务'!$E$26,IF(A741&gt;='材料与任务'!$E$19,'材料与任务'!$E$20,IF(A741&gt;='材料与任务'!$E$13,'材料与任务'!$E$14,'材料与任务'!$E$8)))))*G741,0)</x:f>
        <x:v>6</x:v>
      </x:c>
      <x:c r="Q741" s="119" t="n">
        <x:f>ROUNDDOWN((IF(A741&gt;='材料与任务'!$E$31,'材料与任务'!$E$33,IF(A741&gt;='材料与任务'!$E$25,'材料与任务'!$E$27,IF(A741&gt;='材料与任务'!$E$19,'材料与任务'!$E$21,IF(A741&gt;='材料与任务'!$E$13,'材料与任务'!$E$15,'材料与任务'!$E$9)))))*G741,0)</x:f>
        <x:v>3</x:v>
      </x:c>
      <x:c r="R741" s="110" t="n">
        <x:f>'装备掉落'!$B$38</x:f>
        <x:v>0.6872058758851213</x:v>
      </x:c>
      <x:c r="S741" s="119" t="n">
        <x:f>MAX(IF(VLOOKUP(A741,'装备掉落'!$A$29:$H$34,2,TRUE)&gt;0,1,0),IF(VLOOKUP(A741,'装备掉落'!$A$29:$H$34,3,TRUE)&gt;0,2,0),IF(VLOOKUP(A741,'装备掉落'!$A$29:$H$34,4,TRUE)&gt;0,3,0),IF(VLOOKUP(A741,'装备掉落'!$A$29:$H$34,5,TRUE)&gt;0,4,0),IF(VLOOKUP(A741,'装备掉落'!$A$29:$H$34,6,TRUE)&gt;0,5,0),IF(VLOOKUP(A741,'装备掉落'!$A$29:$H$34,7,TRUE)&gt;0,6,0),IF(VLOOKUP(A741,'装备掉落'!$A$29:$H$34,8,TRUE)&gt;0,7,0))</x:f>
        <x:v>7</x:v>
      </x:c>
      <x:c r="T741" s="119" t="n">
        <x:f>MIN(7,S741+'经济参数'!$E$70)</x:f>
        <x:v>7</x:v>
      </x:c>
      <x:c r="U741" s="119" t="n">
        <x:f>MIN(7,S741+'经济参数'!$E$71)</x:f>
        <x:v>7</x:v>
      </x:c>
      <x:c r="V741" s="119" t="n">
        <x:f>IF(H741&gt;=('难度参数'!$E$52),1,0)+IF(H741&gt;=('难度参数'!$E$52+'难度参数'!$E$53),1,0)+IF(H741&gt;=('难度参数'!$E$52+'难度参数'!$E$53+'难度参数'!$E$54),1,0)+IF(H741&gt;=('难度参数'!$E$52+'难度参数'!$E$53+'难度参数'!$E$54+'难度参数'!$E$55),1,0)+IF(H741&gt;=('难度参数'!$E$52+'难度参数'!$E$53+'难度参数'!$E$54+'难度参数'!$E$55+'难度参数'!$E$56),1,0)+IF(H741&gt;=('难度参数'!$E$52+'难度参数'!$E$53+'难度参数'!$E$54+'难度参数'!$E$55+'难度参数'!$E$56+'难度参数'!$E$57),1,0)</x:f>
        <x:v>6</x:v>
      </x:c>
      <x:c r="W741" s="62" t="str">
        <x:f>IF(L741&gt;'难度参数'!$E$51,"仅出怪已超目标","还需实测")</x:f>
        <x:v>仅出怪已超目标</x:v>
      </x:c>
      <x:c r="X741" s="119" t="n">
        <x:f>IF(1&gt;D741,0,MAX(2,MIN('难度参数'!$E$12,ROUND(('难度参数'!$E$18*POWER(A741,'难度参数'!$E$19)/D741*(0.85+0.3*(1-1)/MAX(1,D741-1))),0)+F741)))</x:f>
        <x:v>40</x:v>
      </x:c>
      <x:c r="Y741" s="119" t="n">
        <x:f>IF(1&gt;D741,0,ROUND(('难度参数'!$E$13*POWER(A741,'难度参数'!$E$20)*MIN('难度参数'!$E$23,1+MAX(0,A741-'难度参数'!$E$21)*'难度参数'!$E$22))*(36+1*7)/(36+7*(D741+1)/2)*E741,0))</x:f>
        <x:v>10504</x:v>
      </x:c>
      <x:c r="Z741" s="119" t="n">
        <x:f>IF(X741=0,0,(X741-IF(1=D741,1,0))*ROUND(Y741*VLOOKUP(INDEX('章节与怪物'!$E$31:$K$37,B741,1),'章节与怪物'!$A$41:$F$44,2,FALSE),0)+IF(1=D741,ROUND(Y741*'难度参数'!$E$28*'章节与怪物'!$E$17,0),0))</x:f>
        <x:v>420160</x:v>
      </x:c>
      <x:c r="AA741" s="119" t="n">
        <x:f>IF(X741=0,0,(X741-IF(1=D741,1,0))*VLOOKUP(INDEX('章节与怪物'!$E$31:$K$37,B741,1),'章节与怪物'!$A$41:$F$44,4,FALSE)+IF(1=D741,'难度参数'!$E$30,0))</x:f>
        <x:v>720</x:v>
      </x:c>
      <x:c r="AB741" s="119" t="n">
        <x:f>IF(2&gt;D741,0,MAX(2,MIN('难度参数'!$E$12,ROUND(('难度参数'!$E$18*POWER(A741,'难度参数'!$E$19)/D741*(0.85+0.3*(2-1)/MAX(1,D741-1))),0)+F741)))</x:f>
        <x:v>43</x:v>
      </x:c>
      <x:c r="AC741" s="119" t="n">
        <x:f>IF(2&gt;D741,0,ROUND(('难度参数'!$E$13*POWER(A741,'难度参数'!$E$20)*MIN('难度参数'!$E$23,1+MAX(0,A741-'难度参数'!$E$21)*'难度参数'!$E$22))*(36+2*7)/(36+7*(D741+1)/2)*E741,0))</x:f>
        <x:v>12214</x:v>
      </x:c>
      <x:c r="AD741" s="119" t="n">
        <x:f>IF(AB741=0,0,(AB741-IF(2=D741,1,0))*ROUND(AC741*VLOOKUP(INDEX('章节与怪物'!$E$31:$K$37,B741,2),'章节与怪物'!$A$41:$F$44,2,FALSE),0)+IF(2=D741,ROUND(AC741*'难度参数'!$E$28*'章节与怪物'!$E$17,0),0))</x:f>
        <x:v>378142</x:v>
      </x:c>
      <x:c r="AE741" s="119" t="n">
        <x:f>IF(AB741=0,0,(AB741-IF(2=D741,1,0))*VLOOKUP(INDEX('章节与怪物'!$E$31:$K$37,B741,2),'章节与怪物'!$A$41:$F$44,4,FALSE)+IF(2=D741,'难度参数'!$E$30,0))</x:f>
        <x:v>860</x:v>
      </x:c>
      <x:c r="AF741" s="119" t="n">
        <x:f>IF(3&gt;D741,0,MAX(2,MIN('难度参数'!$E$12,ROUND(('难度参数'!$E$18*POWER(A741,'难度参数'!$E$19)/D741*(0.85+0.3*(3-1)/MAX(1,D741-1))),0)+F741)))</x:f>
        <x:v>45</x:v>
      </x:c>
      <x:c r="AG741" s="119" t="n">
        <x:f>IF(3&gt;D741,0,ROUND(('难度参数'!$E$13*POWER(A741,'难度参数'!$E$20)*MIN('难度参数'!$E$23,1+MAX(0,A741-'难度参数'!$E$21)*'难度参数'!$E$22))*(36+3*7)/(36+7*(D741+1)/2)*E741,0))</x:f>
        <x:v>13924</x:v>
      </x:c>
      <x:c r="AH741" s="119" t="n">
        <x:f>IF(AF741=0,0,(AF741-IF(3=D741,1,0))*ROUND(AG741*VLOOKUP(INDEX('章节与怪物'!$E$31:$K$37,B741,3),'章节与怪物'!$A$41:$F$44,2,FALSE),0)+IF(3=D741,ROUND(AG741*'难度参数'!$E$28*'章节与怪物'!$E$17,0),0))</x:f>
        <x:v>1065195</x:v>
      </x:c>
      <x:c r="AI741" s="119" t="n">
        <x:f>IF(AF741=0,0,(AF741-IF(3=D741,1,0))*VLOOKUP(INDEX('章节与怪物'!$E$31:$K$37,B741,3),'章节与怪物'!$A$41:$F$44,4,FALSE)+IF(3=D741,'难度参数'!$E$30,0))</x:f>
        <x:v>1260</x:v>
      </x:c>
      <x:c r="AJ741" s="119" t="n">
        <x:f>IF(4&gt;D741,0,MAX(2,MIN('难度参数'!$E$12,ROUND(('难度参数'!$E$18*POWER(A741,'难度参数'!$E$19)/D741*(0.85+0.3*(4-1)/MAX(1,D741-1))),0)+F741)))</x:f>
        <x:v>47</x:v>
      </x:c>
      <x:c r="AK741" s="119" t="n">
        <x:f>IF(4&gt;D741,0,ROUND(('难度参数'!$E$13*POWER(A741,'难度参数'!$E$20)*MIN('难度参数'!$E$23,1+MAX(0,A741-'难度参数'!$E$21)*'难度参数'!$E$22))*(36+4*7)/(36+7*(D741+1)/2)*E741,0))</x:f>
        <x:v>15634</x:v>
      </x:c>
      <x:c r="AL741" s="119" t="n">
        <x:f>IF(AJ741=0,0,(AJ741-IF(4=D741,1,0))*ROUND(AK741*VLOOKUP(INDEX('章节与怪物'!$E$31:$K$37,B741,4),'章节与怪物'!$A$41:$F$44,2,FALSE),0)+IF(4=D741,ROUND(AK741*'难度参数'!$E$28*'章节与怪物'!$E$17,0),0))</x:f>
        <x:v>991982</x:v>
      </x:c>
      <x:c r="AM741" s="119" t="n">
        <x:f>IF(AJ741=0,0,(AJ741-IF(4=D741,1,0))*VLOOKUP(INDEX('章节与怪物'!$E$31:$K$37,B741,4),'章节与怪物'!$A$41:$F$44,4,FALSE)+IF(4=D741,'难度参数'!$E$30,0))</x:f>
        <x:v>1598</x:v>
      </x:c>
      <x:c r="AN741" s="119" t="n">
        <x:f>IF(5&gt;D741,0,MAX(2,MIN('难度参数'!$E$12,ROUND(('难度参数'!$E$18*POWER(A741,'难度参数'!$E$19)/D741*(0.85+0.3*(5-1)/MAX(1,D741-1))),0)+F741)))</x:f>
        <x:v>50</x:v>
      </x:c>
      <x:c r="AO741" s="119" t="n">
        <x:f>IF(5&gt;D741,0,ROUND(('难度参数'!$E$13*POWER(A741,'难度参数'!$E$20)*MIN('难度参数'!$E$23,1+MAX(0,A741-'难度参数'!$E$21)*'难度参数'!$E$22))*(36+5*7)/(36+7*(D741+1)/2)*E741,0))</x:f>
        <x:v>17344</x:v>
      </x:c>
      <x:c r="AP741" s="119" t="n">
        <x:f>IF(AN741=0,0,(AN741-IF(5=D741,1,0))*ROUND(AO741*VLOOKUP(INDEX('章节与怪物'!$E$31:$K$37,B741,5),'章节与怪物'!$A$41:$F$44,2,FALSE),0)+IF(5=D741,ROUND(AO741*'难度参数'!$E$28*'章节与怪物'!$E$17,0),0))</x:f>
        <x:v>624400</x:v>
      </x:c>
      <x:c r="AQ741" s="119" t="n">
        <x:f>IF(AN741=0,0,(AN741-IF(5=D741,1,0))*VLOOKUP(INDEX('章节与怪物'!$E$31:$K$37,B741,5),'章节与怪物'!$A$41:$F$44,4,FALSE)+IF(5=D741,'难度参数'!$E$30,0))</x:f>
        <x:v>1000</x:v>
      </x:c>
      <x:c r="AR741" s="119" t="n">
        <x:f>IF(6&gt;D741,0,MAX(2,MIN('难度参数'!$E$12,ROUND(('难度参数'!$E$18*POWER(A741,'难度参数'!$E$19)/D741*(0.85+0.3*(6-1)/MAX(1,D741-1))),0)+F741)))</x:f>
        <x:v>52</x:v>
      </x:c>
      <x:c r="AS741" s="119" t="n">
        <x:f>IF(6&gt;D741,0,ROUND(('难度参数'!$E$13*POWER(A741,'难度参数'!$E$20)*MIN('难度参数'!$E$23,1+MAX(0,A741-'难度参数'!$E$21)*'难度参数'!$E$22))*(36+6*7)/(36+7*(D741+1)/2)*E741,0))</x:f>
        <x:v>19054</x:v>
      </x:c>
      <x:c r="AT741" s="119" t="n">
        <x:f>IF(AR741=0,0,(AR741-IF(6=D741,1,0))*ROUND(AS741*VLOOKUP(INDEX('章节与怪物'!$E$31:$K$37,B741,6),'章节与怪物'!$A$41:$F$44,2,FALSE),0)+IF(6=D741,ROUND(AS741*'难度参数'!$E$28*'章节与怪物'!$E$17,0),0))</x:f>
        <x:v>1684384</x:v>
      </x:c>
      <x:c r="AU741" s="119" t="n">
        <x:f>IF(AR741=0,0,(AR741-IF(6=D741,1,0))*VLOOKUP(INDEX('章节与怪物'!$E$31:$K$37,B741,6),'章节与怪物'!$A$41:$F$44,4,FALSE)+IF(6=D741,'难度参数'!$E$30,0))</x:f>
        <x:v>1456</x:v>
      </x:c>
      <x:c r="AV741" s="119" t="n">
        <x:f>IF(7&gt;D741,0,MAX(2,MIN('难度参数'!$E$12,ROUND(('难度参数'!$E$18*POWER(A741,'难度参数'!$E$19)/D741*(0.85+0.3*(7-1)/MAX(1,D741-1))),0)+F741)))</x:f>
        <x:v>55</x:v>
      </x:c>
      <x:c r="AW741" s="119" t="n">
        <x:f>IF(7&gt;D741,0,ROUND(('难度参数'!$E$13*POWER(A741,'难度参数'!$E$20)*MIN('难度参数'!$E$23,1+MAX(0,A741-'难度参数'!$E$21)*'难度参数'!$E$22))*(36+7*7)/(36+7*(D741+1)/2)*E741,0))</x:f>
        <x:v>20763</x:v>
      </x:c>
      <x:c r="AX741" s="119" t="n">
        <x:f>IF(AV741=0,0,(AV741-IF(7=D741,1,0))*ROUND(AW741*VLOOKUP(INDEX('章节与怪物'!$E$31:$K$37,B741,7),'章节与怪物'!$A$41:$F$44,2,FALSE),0)+IF(7=D741,ROUND(AW741*'难度参数'!$E$28*'章节与怪物'!$E$17,0),0))</x:f>
        <x:v>1654808</x:v>
      </x:c>
      <x:c r="AY741" s="119" t="n">
        <x:f>IF(AV741=0,0,(AV741-IF(7=D741,1,0))*VLOOKUP(INDEX('章节与怪物'!$E$31:$K$37,B741,7),'章节与怪物'!$A$41:$F$44,4,FALSE)+IF(7=D741,'难度参数'!$E$30,0))</x:f>
        <x:v>2036</x:v>
      </x:c>
    </x:row>
    <x:row r="742" ht="23" customHeight="1">
      <x:c r="A742" s="119" t="n">
        <x:v>736</x:v>
      </x:c>
      <x:c r="B742" s="119" t="n">
        <x:f>MOD(INT((A742-1)/5),7)+1</x:f>
        <x:v>1</x:v>
      </x:c>
      <x:c r="C742" s="62" t="str">
        <x:f>INDEX('章节与怪物'!$B$31:$B$37,B742)</x:f>
        <x:v>冰雪荒原</x:v>
      </x:c>
      <x:c r="D742" s="119" t="n">
        <x:f>MIN('难度参数'!$E$8,MAX('难度参数'!$E$7,A742))</x:f>
        <x:v>7</x:v>
      </x:c>
      <x:c r="E742" s="106" t="n">
        <x:v>1</x:v>
      </x:c>
      <x:c r="F742" s="106" t="n">
        <x:v>0</x:v>
      </x:c>
      <x:c r="G742" s="106" t="n">
        <x:v>1</x:v>
      </x:c>
      <x:c r="H742" s="119" t="n">
        <x:f>SUM(X742,AB742,AF742,AJ742,AN742,AR742,AV742)</x:f>
        <x:v>333</x:v>
      </x:c>
      <x:c r="I742" s="119" t="n">
        <x:f>SUM(Z742,AD742,AH742,AL742,AP742,AT742,AX742)</x:f>
        <x:v>6610024</x:v>
      </x:c>
      <x:c r="J742" s="119" t="n">
        <x:f>ROUND(INDEX(X742:AY742,1,(D742-1)*4+2)*'难度参数'!$E$28*'章节与怪物'!$E$17,0)</x:f>
        <x:v>141331</x:v>
      </x:c>
      <x:c r="K742" s="119" t="n">
        <x:f>SUM(AA742,AE742,AI742,AM742,AQ742,AU742,AY742)</x:f>
        <x:v>8190</x:v>
      </x:c>
      <x:c r="L742" s="62" t="n">
        <x:f>H742*(ROUNDUP('难度参数'!$E$24/('难度参数'!$E$26*'难度参数'!$E$27),0)*'难度参数'!$E$26)/60</x:f>
        <x:v>4.44</x:v>
      </x:c>
      <x:c r="M742" s="62" t="n">
        <x:f>L742+D742*('难度参数'!$E$49+'难度参数'!$E$50)/60</x:f>
        <x:v>5.606666666666667</x:v>
      </x:c>
      <x:c r="N742" s="119" t="n">
        <x:f>ROUNDDOWN(('经济参数'!$E$20+A742*'经济参数'!$E$21)*G742,0)</x:f>
        <x:v>14900</x:v>
      </x:c>
      <x:c r="O742" s="119" t="n">
        <x:f>ROUNDDOWN(MIN('经济参数'!$E$24,'经济参数'!$E$22+A742*'经济参数'!$E$23)*G742,0)</x:f>
        <x:v>0</x:v>
      </x:c>
      <x:c r="P742" s="119" t="n">
        <x:f>ROUNDDOWN((IF(A742&gt;='材料与任务'!$E$31,'材料与任务'!$E$32,IF(A742&gt;='材料与任务'!$E$25,'材料与任务'!$E$26,IF(A742&gt;='材料与任务'!$E$19,'材料与任务'!$E$20,IF(A742&gt;='材料与任务'!$E$13,'材料与任务'!$E$14,'材料与任务'!$E$8)))))*G742,0)</x:f>
        <x:v>6</x:v>
      </x:c>
      <x:c r="Q742" s="119" t="n">
        <x:f>ROUNDDOWN((IF(A742&gt;='材料与任务'!$E$31,'材料与任务'!$E$33,IF(A742&gt;='材料与任务'!$E$25,'材料与任务'!$E$27,IF(A742&gt;='材料与任务'!$E$19,'材料与任务'!$E$21,IF(A742&gt;='材料与任务'!$E$13,'材料与任务'!$E$15,'材料与任务'!$E$9)))))*G742,0)</x:f>
        <x:v>3</x:v>
      </x:c>
      <x:c r="R742" s="110" t="n">
        <x:f>'装备掉落'!$B$38</x:f>
        <x:v>0.6872058758851213</x:v>
      </x:c>
      <x:c r="S742" s="119" t="n">
        <x:f>MAX(IF(VLOOKUP(A742,'装备掉落'!$A$29:$H$34,2,TRUE)&gt;0,1,0),IF(VLOOKUP(A742,'装备掉落'!$A$29:$H$34,3,TRUE)&gt;0,2,0),IF(VLOOKUP(A742,'装备掉落'!$A$29:$H$34,4,TRUE)&gt;0,3,0),IF(VLOOKUP(A742,'装备掉落'!$A$29:$H$34,5,TRUE)&gt;0,4,0),IF(VLOOKUP(A742,'装备掉落'!$A$29:$H$34,6,TRUE)&gt;0,5,0),IF(VLOOKUP(A742,'装备掉落'!$A$29:$H$34,7,TRUE)&gt;0,6,0),IF(VLOOKUP(A742,'装备掉落'!$A$29:$H$34,8,TRUE)&gt;0,7,0))</x:f>
        <x:v>7</x:v>
      </x:c>
      <x:c r="T742" s="119" t="n">
        <x:f>MIN(7,S742+'经济参数'!$E$70)</x:f>
        <x:v>7</x:v>
      </x:c>
      <x:c r="U742" s="119" t="n">
        <x:f>MIN(7,S742+'经济参数'!$E$71)</x:f>
        <x:v>7</x:v>
      </x:c>
      <x:c r="V742" s="119" t="n">
        <x:f>IF(H742&gt;=('难度参数'!$E$52),1,0)+IF(H742&gt;=('难度参数'!$E$52+'难度参数'!$E$53),1,0)+IF(H742&gt;=('难度参数'!$E$52+'难度参数'!$E$53+'难度参数'!$E$54),1,0)+IF(H742&gt;=('难度参数'!$E$52+'难度参数'!$E$53+'难度参数'!$E$54+'难度参数'!$E$55),1,0)+IF(H742&gt;=('难度参数'!$E$52+'难度参数'!$E$53+'难度参数'!$E$54+'难度参数'!$E$55+'难度参数'!$E$56),1,0)+IF(H742&gt;=('难度参数'!$E$52+'难度参数'!$E$53+'难度参数'!$E$54+'难度参数'!$E$55+'难度参数'!$E$56+'难度参数'!$E$57),1,0)</x:f>
        <x:v>6</x:v>
      </x:c>
      <x:c r="W742" s="62" t="str">
        <x:f>IF(L742&gt;'难度参数'!$E$51,"仅出怪已超目标","还需实测")</x:f>
        <x:v>仅出怪已超目标</x:v>
      </x:c>
      <x:c r="X742" s="119" t="n">
        <x:f>IF(1&gt;D742,0,MAX(2,MIN('难度参数'!$E$12,ROUND(('难度参数'!$E$18*POWER(A742,'难度参数'!$E$19)/D742*(0.85+0.3*(1-1)/MAX(1,D742-1))),0)+F742)))</x:f>
        <x:v>40</x:v>
      </x:c>
      <x:c r="Y742" s="119" t="n">
        <x:f>IF(1&gt;D742,0,ROUND(('难度参数'!$E$13*POWER(A742,'难度参数'!$E$20)*MIN('难度参数'!$E$23,1+MAX(0,A742-'难度参数'!$E$21)*'难度参数'!$E$22))*(36+1*7)/(36+7*(D742+1)/2)*E742,0))</x:f>
        <x:v>10514</x:v>
      </x:c>
      <x:c r="Z742" s="119" t="n">
        <x:f>IF(X742=0,0,(X742-IF(1=D742,1,0))*ROUND(Y742*VLOOKUP(INDEX('章节与怪物'!$E$31:$K$37,B742,1),'章节与怪物'!$A$41:$F$44,2,FALSE),0)+IF(1=D742,ROUND(Y742*'难度参数'!$E$28*'章节与怪物'!$E$17,0),0))</x:f>
        <x:v>420560</x:v>
      </x:c>
      <x:c r="AA742" s="119" t="n">
        <x:f>IF(X742=0,0,(X742-IF(1=D742,1,0))*VLOOKUP(INDEX('章节与怪物'!$E$31:$K$37,B742,1),'章节与怪物'!$A$41:$F$44,4,FALSE)+IF(1=D742,'难度参数'!$E$30,0))</x:f>
        <x:v>720</x:v>
      </x:c>
      <x:c r="AB742" s="119" t="n">
        <x:f>IF(2&gt;D742,0,MAX(2,MIN('难度参数'!$E$12,ROUND(('难度参数'!$E$18*POWER(A742,'难度参数'!$E$19)/D742*(0.85+0.3*(2-1)/MAX(1,D742-1))),0)+F742)))</x:f>
        <x:v>43</x:v>
      </x:c>
      <x:c r="AC742" s="119" t="n">
        <x:f>IF(2&gt;D742,0,ROUND(('难度参数'!$E$13*POWER(A742,'难度参数'!$E$20)*MIN('难度参数'!$E$23,1+MAX(0,A742-'难度参数'!$E$21)*'难度参数'!$E$22))*(36+2*7)/(36+7*(D742+1)/2)*E742,0))</x:f>
        <x:v>12226</x:v>
      </x:c>
      <x:c r="AD742" s="119" t="n">
        <x:f>IF(AB742=0,0,(AB742-IF(2=D742,1,0))*ROUND(AC742*VLOOKUP(INDEX('章节与怪物'!$E$31:$K$37,B742,2),'章节与怪物'!$A$41:$F$44,2,FALSE),0)+IF(2=D742,ROUND(AC742*'难度参数'!$E$28*'章节与怪物'!$E$17,0),0))</x:f>
        <x:v>525718</x:v>
      </x:c>
      <x:c r="AE742" s="119" t="n">
        <x:f>IF(AB742=0,0,(AB742-IF(2=D742,1,0))*VLOOKUP(INDEX('章节与怪物'!$E$31:$K$37,B742,2),'章节与怪物'!$A$41:$F$44,4,FALSE)+IF(2=D742,'难度参数'!$E$30,0))</x:f>
        <x:v>774</x:v>
      </x:c>
      <x:c r="AF742" s="119" t="n">
        <x:f>IF(3&gt;D742,0,MAX(2,MIN('难度参数'!$E$12,ROUND(('难度参数'!$E$18*POWER(A742,'难度参数'!$E$19)/D742*(0.85+0.3*(3-1)/MAX(1,D742-1))),0)+F742)))</x:f>
        <x:v>45</x:v>
      </x:c>
      <x:c r="AG742" s="119" t="n">
        <x:f>IF(3&gt;D742,0,ROUND(('难度参数'!$E$13*POWER(A742,'难度参数'!$E$20)*MIN('难度参数'!$E$23,1+MAX(0,A742-'难度参数'!$E$21)*'难度参数'!$E$22))*(36+3*7)/(36+7*(D742+1)/2)*E742,0))</x:f>
        <x:v>13937</x:v>
      </x:c>
      <x:c r="AH742" s="119" t="n">
        <x:f>IF(AF742=0,0,(AF742-IF(3=D742,1,0))*ROUND(AG742*VLOOKUP(INDEX('章节与怪物'!$E$31:$K$37,B742,3),'章节与怪物'!$A$41:$F$44,2,FALSE),0)+IF(3=D742,ROUND(AG742*'难度参数'!$E$28*'章节与怪物'!$E$17,0),0))</x:f>
        <x:v>451575</x:v>
      </x:c>
      <x:c r="AI742" s="119" t="n">
        <x:f>IF(AF742=0,0,(AF742-IF(3=D742,1,0))*VLOOKUP(INDEX('章节与怪物'!$E$31:$K$37,B742,3),'章节与怪物'!$A$41:$F$44,4,FALSE)+IF(3=D742,'难度参数'!$E$30,0))</x:f>
        <x:v>900</x:v>
      </x:c>
      <x:c r="AJ742" s="119" t="n">
        <x:f>IF(4&gt;D742,0,MAX(2,MIN('难度参数'!$E$12,ROUND(('难度参数'!$E$18*POWER(A742,'难度参数'!$E$19)/D742*(0.85+0.3*(4-1)/MAX(1,D742-1))),0)+F742)))</x:f>
        <x:v>48</x:v>
      </x:c>
      <x:c r="AK742" s="119" t="n">
        <x:f>IF(4&gt;D742,0,ROUND(('难度参数'!$E$13*POWER(A742,'难度参数'!$E$20)*MIN('难度参数'!$E$23,1+MAX(0,A742-'难度参数'!$E$21)*'难度参数'!$E$22))*(36+4*7)/(36+7*(D742+1)/2)*E742,0))</x:f>
        <x:v>15649</x:v>
      </x:c>
      <x:c r="AL742" s="119" t="n">
        <x:f>IF(AJ742=0,0,(AJ742-IF(4=D742,1,0))*ROUND(AK742*VLOOKUP(INDEX('章节与怪物'!$E$31:$K$37,B742,4),'章节与怪物'!$A$41:$F$44,2,FALSE),0)+IF(4=D742,ROUND(AK742*'难度参数'!$E$28*'章节与怪物'!$E$17,0),0))</x:f>
        <x:v>1276944</x:v>
      </x:c>
      <x:c r="AM742" s="119" t="n">
        <x:f>IF(AJ742=0,0,(AJ742-IF(4=D742,1,0))*VLOOKUP(INDEX('章节与怪物'!$E$31:$K$37,B742,4),'章节与怪物'!$A$41:$F$44,4,FALSE)+IF(4=D742,'难度参数'!$E$30,0))</x:f>
        <x:v>1344</x:v>
      </x:c>
      <x:c r="AN742" s="119" t="n">
        <x:f>IF(5&gt;D742,0,MAX(2,MIN('难度参数'!$E$12,ROUND(('难度参数'!$E$18*POWER(A742,'难度参数'!$E$19)/D742*(0.85+0.3*(5-1)/MAX(1,D742-1))),0)+F742)))</x:f>
        <x:v>50</x:v>
      </x:c>
      <x:c r="AO742" s="119" t="n">
        <x:f>IF(5&gt;D742,0,ROUND(('难度参数'!$E$13*POWER(A742,'难度参数'!$E$20)*MIN('难度参数'!$E$23,1+MAX(0,A742-'难度参数'!$E$21)*'难度参数'!$E$22))*(36+5*7)/(36+7*(D742+1)/2)*E742,0))</x:f>
        <x:v>17361</x:v>
      </x:c>
      <x:c r="AP742" s="119" t="n">
        <x:f>IF(AN742=0,0,(AN742-IF(5=D742,1,0))*ROUND(AO742*VLOOKUP(INDEX('章节与怪物'!$E$31:$K$37,B742,5),'章节与怪物'!$A$41:$F$44,2,FALSE),0)+IF(5=D742,ROUND(AO742*'难度参数'!$E$28*'章节与怪物'!$E$17,0),0))</x:f>
        <x:v>1171850</x:v>
      </x:c>
      <x:c r="AQ742" s="119" t="n">
        <x:f>IF(AN742=0,0,(AN742-IF(5=D742,1,0))*VLOOKUP(INDEX('章节与怪物'!$E$31:$K$37,B742,5),'章节与怪物'!$A$41:$F$44,4,FALSE)+IF(5=D742,'难度参数'!$E$30,0))</x:f>
        <x:v>1700</x:v>
      </x:c>
      <x:c r="AR742" s="119" t="n">
        <x:f>IF(6&gt;D742,0,MAX(2,MIN('难度参数'!$E$12,ROUND(('难度参数'!$E$18*POWER(A742,'难度参数'!$E$19)/D742*(0.85+0.3*(6-1)/MAX(1,D742-1))),0)+F742)))</x:f>
        <x:v>52</x:v>
      </x:c>
      <x:c r="AS742" s="119" t="n">
        <x:f>IF(6&gt;D742,0,ROUND(('难度参数'!$E$13*POWER(A742,'难度参数'!$E$20)*MIN('难度参数'!$E$23,1+MAX(0,A742-'难度参数'!$E$21)*'难度参数'!$E$22))*(36+6*7)/(36+7*(D742+1)/2)*E742,0))</x:f>
        <x:v>19072</x:v>
      </x:c>
      <x:c r="AT742" s="119" t="n">
        <x:f>IF(AR742=0,0,(AR742-IF(6=D742,1,0))*ROUND(AS742*VLOOKUP(INDEX('章节与怪物'!$E$31:$K$37,B742,6),'章节与怪物'!$A$41:$F$44,2,FALSE),0)+IF(6=D742,ROUND(AS742*'难度参数'!$E$28*'章节与怪物'!$E$17,0),0))</x:f>
        <x:v>714064</x:v>
      </x:c>
      <x:c r="AU742" s="119" t="n">
        <x:f>IF(AR742=0,0,(AR742-IF(6=D742,1,0))*VLOOKUP(INDEX('章节与怪物'!$E$31:$K$37,B742,6),'章节与怪物'!$A$41:$F$44,4,FALSE)+IF(6=D742,'难度参数'!$E$30,0))</x:f>
        <x:v>1040</x:v>
      </x:c>
      <x:c r="AV742" s="119" t="n">
        <x:f>IF(7&gt;D742,0,MAX(2,MIN('难度参数'!$E$12,ROUND(('难度参数'!$E$18*POWER(A742,'难度参数'!$E$19)/D742*(0.85+0.3*(7-1)/MAX(1,D742-1))),0)+F742)))</x:f>
        <x:v>55</x:v>
      </x:c>
      <x:c r="AW742" s="119" t="n">
        <x:f>IF(7&gt;D742,0,ROUND(('难度参数'!$E$13*POWER(A742,'难度参数'!$E$20)*MIN('难度参数'!$E$23,1+MAX(0,A742-'难度参数'!$E$21)*'难度参数'!$E$22))*(36+7*7)/(36+7*(D742+1)/2)*E742,0))</x:f>
        <x:v>20784</x:v>
      </x:c>
      <x:c r="AX742" s="119" t="n">
        <x:f>IF(AV742=0,0,(AV742-IF(7=D742,1,0))*ROUND(AW742*VLOOKUP(INDEX('章节与怪物'!$E$31:$K$37,B742,7),'章节与怪物'!$A$41:$F$44,2,FALSE),0)+IF(7=D742,ROUND(AW742*'难度参数'!$E$28*'章节与怪物'!$E$17,0),0))</x:f>
        <x:v>2049313</x:v>
      </x:c>
      <x:c r="AY742" s="119" t="n">
        <x:f>IF(AV742=0,0,(AV742-IF(7=D742,1,0))*VLOOKUP(INDEX('章节与怪物'!$E$31:$K$37,B742,7),'章节与怪物'!$A$41:$F$44,4,FALSE)+IF(7=D742,'难度参数'!$E$30,0))</x:f>
        <x:v>1712</x:v>
      </x:c>
    </x:row>
    <x:row r="743" ht="23" customHeight="1">
      <x:c r="A743" s="119" t="n">
        <x:v>737</x:v>
      </x:c>
      <x:c r="B743" s="119" t="n">
        <x:f>MOD(INT((A743-1)/5),7)+1</x:f>
        <x:v>1</x:v>
      </x:c>
      <x:c r="C743" s="62" t="str">
        <x:f>INDEX('章节与怪物'!$B$31:$B$37,B743)</x:f>
        <x:v>冰雪荒原</x:v>
      </x:c>
      <x:c r="D743" s="119" t="n">
        <x:f>MIN('难度参数'!$E$8,MAX('难度参数'!$E$7,A743))</x:f>
        <x:v>7</x:v>
      </x:c>
      <x:c r="E743" s="106" t="n">
        <x:v>1</x:v>
      </x:c>
      <x:c r="F743" s="106" t="n">
        <x:v>0</x:v>
      </x:c>
      <x:c r="G743" s="106" t="n">
        <x:v>1</x:v>
      </x:c>
      <x:c r="H743" s="119" t="n">
        <x:f>SUM(X743,AB743,AF743,AJ743,AN743,AR743,AV743)</x:f>
        <x:v>333</x:v>
      </x:c>
      <x:c r="I743" s="119" t="n">
        <x:f>SUM(Z743,AD743,AH743,AL743,AP743,AT743,AX743)</x:f>
        <x:v>6616488</x:v>
      </x:c>
      <x:c r="J743" s="119" t="n">
        <x:f>ROUND(INDEX(X743:AY743,1,(D743-1)*4+2)*'难度参数'!$E$28*'章节与怪物'!$E$17,0)</x:f>
        <x:v>141467</x:v>
      </x:c>
      <x:c r="K743" s="119" t="n">
        <x:f>SUM(AA743,AE743,AI743,AM743,AQ743,AU743,AY743)</x:f>
        <x:v>8190</x:v>
      </x:c>
      <x:c r="L743" s="62" t="n">
        <x:f>H743*(ROUNDUP('难度参数'!$E$24/('难度参数'!$E$26*'难度参数'!$E$27),0)*'难度参数'!$E$26)/60</x:f>
        <x:v>4.44</x:v>
      </x:c>
      <x:c r="M743" s="62" t="n">
        <x:f>L743+D743*('难度参数'!$E$49+'难度参数'!$E$50)/60</x:f>
        <x:v>5.606666666666667</x:v>
      </x:c>
      <x:c r="N743" s="119" t="n">
        <x:f>ROUNDDOWN(('经济参数'!$E$20+A743*'经济参数'!$E$21)*G743,0)</x:f>
        <x:v>14920</x:v>
      </x:c>
      <x:c r="O743" s="119" t="n">
        <x:f>ROUNDDOWN(MIN('经济参数'!$E$24,'经济参数'!$E$22+A743*'经济参数'!$E$23)*G743,0)</x:f>
        <x:v>0</x:v>
      </x:c>
      <x:c r="P743" s="119" t="n">
        <x:f>ROUNDDOWN((IF(A743&gt;='材料与任务'!$E$31,'材料与任务'!$E$32,IF(A743&gt;='材料与任务'!$E$25,'材料与任务'!$E$26,IF(A743&gt;='材料与任务'!$E$19,'材料与任务'!$E$20,IF(A743&gt;='材料与任务'!$E$13,'材料与任务'!$E$14,'材料与任务'!$E$8)))))*G743,0)</x:f>
        <x:v>6</x:v>
      </x:c>
      <x:c r="Q743" s="119" t="n">
        <x:f>ROUNDDOWN((IF(A743&gt;='材料与任务'!$E$31,'材料与任务'!$E$33,IF(A743&gt;='材料与任务'!$E$25,'材料与任务'!$E$27,IF(A743&gt;='材料与任务'!$E$19,'材料与任务'!$E$21,IF(A743&gt;='材料与任务'!$E$13,'材料与任务'!$E$15,'材料与任务'!$E$9)))))*G743,0)</x:f>
        <x:v>3</x:v>
      </x:c>
      <x:c r="R743" s="110" t="n">
        <x:f>'装备掉落'!$B$38</x:f>
        <x:v>0.6872058758851213</x:v>
      </x:c>
      <x:c r="S743" s="119" t="n">
        <x:f>MAX(IF(VLOOKUP(A743,'装备掉落'!$A$29:$H$34,2,TRUE)&gt;0,1,0),IF(VLOOKUP(A743,'装备掉落'!$A$29:$H$34,3,TRUE)&gt;0,2,0),IF(VLOOKUP(A743,'装备掉落'!$A$29:$H$34,4,TRUE)&gt;0,3,0),IF(VLOOKUP(A743,'装备掉落'!$A$29:$H$34,5,TRUE)&gt;0,4,0),IF(VLOOKUP(A743,'装备掉落'!$A$29:$H$34,6,TRUE)&gt;0,5,0),IF(VLOOKUP(A743,'装备掉落'!$A$29:$H$34,7,TRUE)&gt;0,6,0),IF(VLOOKUP(A743,'装备掉落'!$A$29:$H$34,8,TRUE)&gt;0,7,0))</x:f>
        <x:v>7</x:v>
      </x:c>
      <x:c r="T743" s="119" t="n">
        <x:f>MIN(7,S743+'经济参数'!$E$70)</x:f>
        <x:v>7</x:v>
      </x:c>
      <x:c r="U743" s="119" t="n">
        <x:f>MIN(7,S743+'经济参数'!$E$71)</x:f>
        <x:v>7</x:v>
      </x:c>
      <x:c r="V743" s="119" t="n">
        <x:f>IF(H743&gt;=('难度参数'!$E$52),1,0)+IF(H743&gt;=('难度参数'!$E$52+'难度参数'!$E$53),1,0)+IF(H743&gt;=('难度参数'!$E$52+'难度参数'!$E$53+'难度参数'!$E$54),1,0)+IF(H743&gt;=('难度参数'!$E$52+'难度参数'!$E$53+'难度参数'!$E$54+'难度参数'!$E$55),1,0)+IF(H743&gt;=('难度参数'!$E$52+'难度参数'!$E$53+'难度参数'!$E$54+'难度参数'!$E$55+'难度参数'!$E$56),1,0)+IF(H743&gt;=('难度参数'!$E$52+'难度参数'!$E$53+'难度参数'!$E$54+'难度参数'!$E$55+'难度参数'!$E$56+'难度参数'!$E$57),1,0)</x:f>
        <x:v>6</x:v>
      </x:c>
      <x:c r="W743" s="62" t="str">
        <x:f>IF(L743&gt;'难度参数'!$E$51,"仅出怪已超目标","还需实测")</x:f>
        <x:v>仅出怪已超目标</x:v>
      </x:c>
      <x:c r="X743" s="119" t="n">
        <x:f>IF(1&gt;D743,0,MAX(2,MIN('难度参数'!$E$12,ROUND(('难度参数'!$E$18*POWER(A743,'难度参数'!$E$19)/D743*(0.85+0.3*(1-1)/MAX(1,D743-1))),0)+F743)))</x:f>
        <x:v>40</x:v>
      </x:c>
      <x:c r="Y743" s="119" t="n">
        <x:f>IF(1&gt;D743,0,ROUND(('难度参数'!$E$13*POWER(A743,'难度参数'!$E$20)*MIN('难度参数'!$E$23,1+MAX(0,A743-'难度参数'!$E$21)*'难度参数'!$E$22))*(36+1*7)/(36+7*(D743+1)/2)*E743,0))</x:f>
        <x:v>10524</x:v>
      </x:c>
      <x:c r="Z743" s="119" t="n">
        <x:f>IF(X743=0,0,(X743-IF(1=D743,1,0))*ROUND(Y743*VLOOKUP(INDEX('章节与怪物'!$E$31:$K$37,B743,1),'章节与怪物'!$A$41:$F$44,2,FALSE),0)+IF(1=D743,ROUND(Y743*'难度参数'!$E$28*'章节与怪物'!$E$17,0),0))</x:f>
        <x:v>420960</x:v>
      </x:c>
      <x:c r="AA743" s="119" t="n">
        <x:f>IF(X743=0,0,(X743-IF(1=D743,1,0))*VLOOKUP(INDEX('章节与怪物'!$E$31:$K$37,B743,1),'章节与怪物'!$A$41:$F$44,4,FALSE)+IF(1=D743,'难度参数'!$E$30,0))</x:f>
        <x:v>720</x:v>
      </x:c>
      <x:c r="AB743" s="119" t="n">
        <x:f>IF(2&gt;D743,0,MAX(2,MIN('难度参数'!$E$12,ROUND(('难度参数'!$E$18*POWER(A743,'难度参数'!$E$19)/D743*(0.85+0.3*(2-1)/MAX(1,D743-1))),0)+F743)))</x:f>
        <x:v>43</x:v>
      </x:c>
      <x:c r="AC743" s="119" t="n">
        <x:f>IF(2&gt;D743,0,ROUND(('难度参数'!$E$13*POWER(A743,'难度参数'!$E$20)*MIN('难度参数'!$E$23,1+MAX(0,A743-'难度参数'!$E$21)*'难度参数'!$E$22))*(36+2*7)/(36+7*(D743+1)/2)*E743,0))</x:f>
        <x:v>12238</x:v>
      </x:c>
      <x:c r="AD743" s="119" t="n">
        <x:f>IF(AB743=0,0,(AB743-IF(2=D743,1,0))*ROUND(AC743*VLOOKUP(INDEX('章节与怪物'!$E$31:$K$37,B743,2),'章节与怪物'!$A$41:$F$44,2,FALSE),0)+IF(2=D743,ROUND(AC743*'难度参数'!$E$28*'章节与怪物'!$E$17,0),0))</x:f>
        <x:v>526234</x:v>
      </x:c>
      <x:c r="AE743" s="119" t="n">
        <x:f>IF(AB743=0,0,(AB743-IF(2=D743,1,0))*VLOOKUP(INDEX('章节与怪物'!$E$31:$K$37,B743,2),'章节与怪物'!$A$41:$F$44,4,FALSE)+IF(2=D743,'难度参数'!$E$30,0))</x:f>
        <x:v>774</x:v>
      </x:c>
      <x:c r="AF743" s="119" t="n">
        <x:f>IF(3&gt;D743,0,MAX(2,MIN('难度参数'!$E$12,ROUND(('难度参数'!$E$18*POWER(A743,'难度参数'!$E$19)/D743*(0.85+0.3*(3-1)/MAX(1,D743-1))),0)+F743)))</x:f>
        <x:v>45</x:v>
      </x:c>
      <x:c r="AG743" s="119" t="n">
        <x:f>IF(3&gt;D743,0,ROUND(('难度参数'!$E$13*POWER(A743,'难度参数'!$E$20)*MIN('难度参数'!$E$23,1+MAX(0,A743-'难度参数'!$E$21)*'难度参数'!$E$22))*(36+3*7)/(36+7*(D743+1)/2)*E743,0))</x:f>
        <x:v>13951</x:v>
      </x:c>
      <x:c r="AH743" s="119" t="n">
        <x:f>IF(AF743=0,0,(AF743-IF(3=D743,1,0))*ROUND(AG743*VLOOKUP(INDEX('章节与怪物'!$E$31:$K$37,B743,3),'章节与怪物'!$A$41:$F$44,2,FALSE),0)+IF(3=D743,ROUND(AG743*'难度参数'!$E$28*'章节与怪物'!$E$17,0),0))</x:f>
        <x:v>452025</x:v>
      </x:c>
      <x:c r="AI743" s="119" t="n">
        <x:f>IF(AF743=0,0,(AF743-IF(3=D743,1,0))*VLOOKUP(INDEX('章节与怪物'!$E$31:$K$37,B743,3),'章节与怪物'!$A$41:$F$44,4,FALSE)+IF(3=D743,'难度参数'!$E$30,0))</x:f>
        <x:v>900</x:v>
      </x:c>
      <x:c r="AJ743" s="119" t="n">
        <x:f>IF(4&gt;D743,0,MAX(2,MIN('难度参数'!$E$12,ROUND(('难度参数'!$E$18*POWER(A743,'难度参数'!$E$19)/D743*(0.85+0.3*(4-1)/MAX(1,D743-1))),0)+F743)))</x:f>
        <x:v>48</x:v>
      </x:c>
      <x:c r="AK743" s="119" t="n">
        <x:f>IF(4&gt;D743,0,ROUND(('难度参数'!$E$13*POWER(A743,'难度参数'!$E$20)*MIN('难度参数'!$E$23,1+MAX(0,A743-'难度参数'!$E$21)*'难度参数'!$E$22))*(36+4*7)/(36+7*(D743+1)/2)*E743,0))</x:f>
        <x:v>15664</x:v>
      </x:c>
      <x:c r="AL743" s="119" t="n">
        <x:f>IF(AJ743=0,0,(AJ743-IF(4=D743,1,0))*ROUND(AK743*VLOOKUP(INDEX('章节与怪物'!$E$31:$K$37,B743,4),'章节与怪物'!$A$41:$F$44,2,FALSE),0)+IF(4=D743,ROUND(AK743*'难度参数'!$E$28*'章节与怪物'!$E$17,0),0))</x:f>
        <x:v>1278192</x:v>
      </x:c>
      <x:c r="AM743" s="119" t="n">
        <x:f>IF(AJ743=0,0,(AJ743-IF(4=D743,1,0))*VLOOKUP(INDEX('章节与怪物'!$E$31:$K$37,B743,4),'章节与怪物'!$A$41:$F$44,4,FALSE)+IF(4=D743,'难度参数'!$E$30,0))</x:f>
        <x:v>1344</x:v>
      </x:c>
      <x:c r="AN743" s="119" t="n">
        <x:f>IF(5&gt;D743,0,MAX(2,MIN('难度参数'!$E$12,ROUND(('难度参数'!$E$18*POWER(A743,'难度参数'!$E$19)/D743*(0.85+0.3*(5-1)/MAX(1,D743-1))),0)+F743)))</x:f>
        <x:v>50</x:v>
      </x:c>
      <x:c r="AO743" s="119" t="n">
        <x:f>IF(5&gt;D743,0,ROUND(('难度参数'!$E$13*POWER(A743,'难度参数'!$E$20)*MIN('难度参数'!$E$23,1+MAX(0,A743-'难度参数'!$E$21)*'难度参数'!$E$22))*(36+5*7)/(36+7*(D743+1)/2)*E743,0))</x:f>
        <x:v>17378</x:v>
      </x:c>
      <x:c r="AP743" s="119" t="n">
        <x:f>IF(AN743=0,0,(AN743-IF(5=D743,1,0))*ROUND(AO743*VLOOKUP(INDEX('章节与怪物'!$E$31:$K$37,B743,5),'章节与怪物'!$A$41:$F$44,2,FALSE),0)+IF(5=D743,ROUND(AO743*'难度参数'!$E$28*'章节与怪物'!$E$17,0),0))</x:f>
        <x:v>1173000</x:v>
      </x:c>
      <x:c r="AQ743" s="119" t="n">
        <x:f>IF(AN743=0,0,(AN743-IF(5=D743,1,0))*VLOOKUP(INDEX('章节与怪物'!$E$31:$K$37,B743,5),'章节与怪物'!$A$41:$F$44,4,FALSE)+IF(5=D743,'难度参数'!$E$30,0))</x:f>
        <x:v>1700</x:v>
      </x:c>
      <x:c r="AR743" s="119" t="n">
        <x:f>IF(6&gt;D743,0,MAX(2,MIN('难度参数'!$E$12,ROUND(('难度参数'!$E$18*POWER(A743,'难度参数'!$E$19)/D743*(0.85+0.3*(6-1)/MAX(1,D743-1))),0)+F743)))</x:f>
        <x:v>52</x:v>
      </x:c>
      <x:c r="AS743" s="119" t="n">
        <x:f>IF(6&gt;D743,0,ROUND(('难度参数'!$E$13*POWER(A743,'难度参数'!$E$20)*MIN('难度参数'!$E$23,1+MAX(0,A743-'难度参数'!$E$21)*'难度参数'!$E$22))*(36+6*7)/(36+7*(D743+1)/2)*E743,0))</x:f>
        <x:v>19091</x:v>
      </x:c>
      <x:c r="AT743" s="119" t="n">
        <x:f>IF(AR743=0,0,(AR743-IF(6=D743,1,0))*ROUND(AS743*VLOOKUP(INDEX('章节与怪物'!$E$31:$K$37,B743,6),'章节与怪物'!$A$41:$F$44,2,FALSE),0)+IF(6=D743,ROUND(AS743*'难度参数'!$E$28*'章节与怪物'!$E$17,0),0))</x:f>
        <x:v>714792</x:v>
      </x:c>
      <x:c r="AU743" s="119" t="n">
        <x:f>IF(AR743=0,0,(AR743-IF(6=D743,1,0))*VLOOKUP(INDEX('章节与怪物'!$E$31:$K$37,B743,6),'章节与怪物'!$A$41:$F$44,4,FALSE)+IF(6=D743,'难度参数'!$E$30,0))</x:f>
        <x:v>1040</x:v>
      </x:c>
      <x:c r="AV743" s="119" t="n">
        <x:f>IF(7&gt;D743,0,MAX(2,MIN('难度参数'!$E$12,ROUND(('难度参数'!$E$18*POWER(A743,'难度参数'!$E$19)/D743*(0.85+0.3*(7-1)/MAX(1,D743-1))),0)+F743)))</x:f>
        <x:v>55</x:v>
      </x:c>
      <x:c r="AW743" s="119" t="n">
        <x:f>IF(7&gt;D743,0,ROUND(('难度参数'!$E$13*POWER(A743,'难度参数'!$E$20)*MIN('难度参数'!$E$23,1+MAX(0,A743-'难度参数'!$E$21)*'难度参数'!$E$22))*(36+7*7)/(36+7*(D743+1)/2)*E743,0))</x:f>
        <x:v>20804</x:v>
      </x:c>
      <x:c r="AX743" s="119" t="n">
        <x:f>IF(AV743=0,0,(AV743-IF(7=D743,1,0))*ROUND(AW743*VLOOKUP(INDEX('章节与怪物'!$E$31:$K$37,B743,7),'章节与怪物'!$A$41:$F$44,2,FALSE),0)+IF(7=D743,ROUND(AW743*'难度参数'!$E$28*'章节与怪物'!$E$17,0),0))</x:f>
        <x:v>2051285</x:v>
      </x:c>
      <x:c r="AY743" s="119" t="n">
        <x:f>IF(AV743=0,0,(AV743-IF(7=D743,1,0))*VLOOKUP(INDEX('章节与怪物'!$E$31:$K$37,B743,7),'章节与怪物'!$A$41:$F$44,4,FALSE)+IF(7=D743,'难度参数'!$E$30,0))</x:f>
        <x:v>1712</x:v>
      </x:c>
    </x:row>
    <x:row r="744" ht="23" customHeight="1">
      <x:c r="A744" s="119" t="n">
        <x:v>738</x:v>
      </x:c>
      <x:c r="B744" s="119" t="n">
        <x:f>MOD(INT((A744-1)/5),7)+1</x:f>
        <x:v>1</x:v>
      </x:c>
      <x:c r="C744" s="62" t="str">
        <x:f>INDEX('章节与怪物'!$B$31:$B$37,B744)</x:f>
        <x:v>冰雪荒原</x:v>
      </x:c>
      <x:c r="D744" s="119" t="n">
        <x:f>MIN('难度参数'!$E$8,MAX('难度参数'!$E$7,A744))</x:f>
        <x:v>7</x:v>
      </x:c>
      <x:c r="E744" s="106" t="n">
        <x:v>1</x:v>
      </x:c>
      <x:c r="F744" s="106" t="n">
        <x:v>0</x:v>
      </x:c>
      <x:c r="G744" s="106" t="n">
        <x:v>1</x:v>
      </x:c>
      <x:c r="H744" s="119" t="n">
        <x:f>SUM(X744,AB744,AF744,AJ744,AN744,AR744,AV744)</x:f>
        <x:v>333</x:v>
      </x:c>
      <x:c r="I744" s="119" t="n">
        <x:f>SUM(Z744,AD744,AH744,AL744,AP744,AT744,AX744)</x:f>
        <x:v>6622936</x:v>
      </x:c>
      <x:c r="J744" s="119" t="n">
        <x:f>ROUND(INDEX(X744:AY744,1,(D744-1)*4+2)*'难度参数'!$E$28*'章节与怪物'!$E$17,0)</x:f>
        <x:v>141603</x:v>
      </x:c>
      <x:c r="K744" s="119" t="n">
        <x:f>SUM(AA744,AE744,AI744,AM744,AQ744,AU744,AY744)</x:f>
        <x:v>8190</x:v>
      </x:c>
      <x:c r="L744" s="62" t="n">
        <x:f>H744*(ROUNDUP('难度参数'!$E$24/('难度参数'!$E$26*'难度参数'!$E$27),0)*'难度参数'!$E$26)/60</x:f>
        <x:v>4.44</x:v>
      </x:c>
      <x:c r="M744" s="62" t="n">
        <x:f>L744+D744*('难度参数'!$E$49+'难度参数'!$E$50)/60</x:f>
        <x:v>5.606666666666667</x:v>
      </x:c>
      <x:c r="N744" s="119" t="n">
        <x:f>ROUNDDOWN(('经济参数'!$E$20+A744*'经济参数'!$E$21)*G744,0)</x:f>
        <x:v>14940</x:v>
      </x:c>
      <x:c r="O744" s="119" t="n">
        <x:f>ROUNDDOWN(MIN('经济参数'!$E$24,'经济参数'!$E$22+A744*'经济参数'!$E$23)*G744,0)</x:f>
        <x:v>0</x:v>
      </x:c>
      <x:c r="P744" s="119" t="n">
        <x:f>ROUNDDOWN((IF(A744&gt;='材料与任务'!$E$31,'材料与任务'!$E$32,IF(A744&gt;='材料与任务'!$E$25,'材料与任务'!$E$26,IF(A744&gt;='材料与任务'!$E$19,'材料与任务'!$E$20,IF(A744&gt;='材料与任务'!$E$13,'材料与任务'!$E$14,'材料与任务'!$E$8)))))*G744,0)</x:f>
        <x:v>6</x:v>
      </x:c>
      <x:c r="Q744" s="119" t="n">
        <x:f>ROUNDDOWN((IF(A744&gt;='材料与任务'!$E$31,'材料与任务'!$E$33,IF(A744&gt;='材料与任务'!$E$25,'材料与任务'!$E$27,IF(A744&gt;='材料与任务'!$E$19,'材料与任务'!$E$21,IF(A744&gt;='材料与任务'!$E$13,'材料与任务'!$E$15,'材料与任务'!$E$9)))))*G744,0)</x:f>
        <x:v>3</x:v>
      </x:c>
      <x:c r="R744" s="110" t="n">
        <x:f>'装备掉落'!$B$38</x:f>
        <x:v>0.6872058758851213</x:v>
      </x:c>
      <x:c r="S744" s="119" t="n">
        <x:f>MAX(IF(VLOOKUP(A744,'装备掉落'!$A$29:$H$34,2,TRUE)&gt;0,1,0),IF(VLOOKUP(A744,'装备掉落'!$A$29:$H$34,3,TRUE)&gt;0,2,0),IF(VLOOKUP(A744,'装备掉落'!$A$29:$H$34,4,TRUE)&gt;0,3,0),IF(VLOOKUP(A744,'装备掉落'!$A$29:$H$34,5,TRUE)&gt;0,4,0),IF(VLOOKUP(A744,'装备掉落'!$A$29:$H$34,6,TRUE)&gt;0,5,0),IF(VLOOKUP(A744,'装备掉落'!$A$29:$H$34,7,TRUE)&gt;0,6,0),IF(VLOOKUP(A744,'装备掉落'!$A$29:$H$34,8,TRUE)&gt;0,7,0))</x:f>
        <x:v>7</x:v>
      </x:c>
      <x:c r="T744" s="119" t="n">
        <x:f>MIN(7,S744+'经济参数'!$E$70)</x:f>
        <x:v>7</x:v>
      </x:c>
      <x:c r="U744" s="119" t="n">
        <x:f>MIN(7,S744+'经济参数'!$E$71)</x:f>
        <x:v>7</x:v>
      </x:c>
      <x:c r="V744" s="119" t="n">
        <x:f>IF(H744&gt;=('难度参数'!$E$52),1,0)+IF(H744&gt;=('难度参数'!$E$52+'难度参数'!$E$53),1,0)+IF(H744&gt;=('难度参数'!$E$52+'难度参数'!$E$53+'难度参数'!$E$54),1,0)+IF(H744&gt;=('难度参数'!$E$52+'难度参数'!$E$53+'难度参数'!$E$54+'难度参数'!$E$55),1,0)+IF(H744&gt;=('难度参数'!$E$52+'难度参数'!$E$53+'难度参数'!$E$54+'难度参数'!$E$55+'难度参数'!$E$56),1,0)+IF(H744&gt;=('难度参数'!$E$52+'难度参数'!$E$53+'难度参数'!$E$54+'难度参数'!$E$55+'难度参数'!$E$56+'难度参数'!$E$57),1,0)</x:f>
        <x:v>6</x:v>
      </x:c>
      <x:c r="W744" s="62" t="str">
        <x:f>IF(L744&gt;'难度参数'!$E$51,"仅出怪已超目标","还需实测")</x:f>
        <x:v>仅出怪已超目标</x:v>
      </x:c>
      <x:c r="X744" s="119" t="n">
        <x:f>IF(1&gt;D744,0,MAX(2,MIN('难度参数'!$E$12,ROUND(('难度参数'!$E$18*POWER(A744,'难度参数'!$E$19)/D744*(0.85+0.3*(1-1)/MAX(1,D744-1))),0)+F744)))</x:f>
        <x:v>40</x:v>
      </x:c>
      <x:c r="Y744" s="119" t="n">
        <x:f>IF(1&gt;D744,0,ROUND(('难度参数'!$E$13*POWER(A744,'难度参数'!$E$20)*MIN('难度参数'!$E$23,1+MAX(0,A744-'难度参数'!$E$21)*'难度参数'!$E$22))*(36+1*7)/(36+7*(D744+1)/2)*E744,0))</x:f>
        <x:v>10535</x:v>
      </x:c>
      <x:c r="Z744" s="119" t="n">
        <x:f>IF(X744=0,0,(X744-IF(1=D744,1,0))*ROUND(Y744*VLOOKUP(INDEX('章节与怪物'!$E$31:$K$37,B744,1),'章节与怪物'!$A$41:$F$44,2,FALSE),0)+IF(1=D744,ROUND(Y744*'难度参数'!$E$28*'章节与怪物'!$E$17,0),0))</x:f>
        <x:v>421400</x:v>
      </x:c>
      <x:c r="AA744" s="119" t="n">
        <x:f>IF(X744=0,0,(X744-IF(1=D744,1,0))*VLOOKUP(INDEX('章节与怪物'!$E$31:$K$37,B744,1),'章节与怪物'!$A$41:$F$44,4,FALSE)+IF(1=D744,'难度参数'!$E$30,0))</x:f>
        <x:v>720</x:v>
      </x:c>
      <x:c r="AB744" s="119" t="n">
        <x:f>IF(2&gt;D744,0,MAX(2,MIN('难度参数'!$E$12,ROUND(('难度参数'!$E$18*POWER(A744,'难度参数'!$E$19)/D744*(0.85+0.3*(2-1)/MAX(1,D744-1))),0)+F744)))</x:f>
        <x:v>43</x:v>
      </x:c>
      <x:c r="AC744" s="119" t="n">
        <x:f>IF(2&gt;D744,0,ROUND(('难度参数'!$E$13*POWER(A744,'难度参数'!$E$20)*MIN('难度参数'!$E$23,1+MAX(0,A744-'难度参数'!$E$21)*'难度参数'!$E$22))*(36+2*7)/(36+7*(D744+1)/2)*E744,0))</x:f>
        <x:v>12250</x:v>
      </x:c>
      <x:c r="AD744" s="119" t="n">
        <x:f>IF(AB744=0,0,(AB744-IF(2=D744,1,0))*ROUND(AC744*VLOOKUP(INDEX('章节与怪物'!$E$31:$K$37,B744,2),'章节与怪物'!$A$41:$F$44,2,FALSE),0)+IF(2=D744,ROUND(AC744*'难度参数'!$E$28*'章节与怪物'!$E$17,0),0))</x:f>
        <x:v>526750</x:v>
      </x:c>
      <x:c r="AE744" s="119" t="n">
        <x:f>IF(AB744=0,0,(AB744-IF(2=D744,1,0))*VLOOKUP(INDEX('章节与怪物'!$E$31:$K$37,B744,2),'章节与怪物'!$A$41:$F$44,4,FALSE)+IF(2=D744,'难度参数'!$E$30,0))</x:f>
        <x:v>774</x:v>
      </x:c>
      <x:c r="AF744" s="119" t="n">
        <x:f>IF(3&gt;D744,0,MAX(2,MIN('难度参数'!$E$12,ROUND(('难度参数'!$E$18*POWER(A744,'难度参数'!$E$19)/D744*(0.85+0.3*(3-1)/MAX(1,D744-1))),0)+F744)))</x:f>
        <x:v>45</x:v>
      </x:c>
      <x:c r="AG744" s="119" t="n">
        <x:f>IF(3&gt;D744,0,ROUND(('难度参数'!$E$13*POWER(A744,'难度参数'!$E$20)*MIN('难度参数'!$E$23,1+MAX(0,A744-'难度参数'!$E$21)*'难度参数'!$E$22))*(36+3*7)/(36+7*(D744+1)/2)*E744,0))</x:f>
        <x:v>13965</x:v>
      </x:c>
      <x:c r="AH744" s="119" t="n">
        <x:f>IF(AF744=0,0,(AF744-IF(3=D744,1,0))*ROUND(AG744*VLOOKUP(INDEX('章节与怪物'!$E$31:$K$37,B744,3),'章节与怪物'!$A$41:$F$44,2,FALSE),0)+IF(3=D744,ROUND(AG744*'难度参数'!$E$28*'章节与怪物'!$E$17,0),0))</x:f>
        <x:v>452475</x:v>
      </x:c>
      <x:c r="AI744" s="119" t="n">
        <x:f>IF(AF744=0,0,(AF744-IF(3=D744,1,0))*VLOOKUP(INDEX('章节与怪物'!$E$31:$K$37,B744,3),'章节与怪物'!$A$41:$F$44,4,FALSE)+IF(3=D744,'难度参数'!$E$30,0))</x:f>
        <x:v>900</x:v>
      </x:c>
      <x:c r="AJ744" s="119" t="n">
        <x:f>IF(4&gt;D744,0,MAX(2,MIN('难度参数'!$E$12,ROUND(('难度参数'!$E$18*POWER(A744,'难度参数'!$E$19)/D744*(0.85+0.3*(4-1)/MAX(1,D744-1))),0)+F744)))</x:f>
        <x:v>48</x:v>
      </x:c>
      <x:c r="AK744" s="119" t="n">
        <x:f>IF(4&gt;D744,0,ROUND(('难度参数'!$E$13*POWER(A744,'难度参数'!$E$20)*MIN('难度参数'!$E$23,1+MAX(0,A744-'难度参数'!$E$21)*'难度参数'!$E$22))*(36+4*7)/(36+7*(D744+1)/2)*E744,0))</x:f>
        <x:v>15680</x:v>
      </x:c>
      <x:c r="AL744" s="119" t="n">
        <x:f>IF(AJ744=0,0,(AJ744-IF(4=D744,1,0))*ROUND(AK744*VLOOKUP(INDEX('章节与怪物'!$E$31:$K$37,B744,4),'章节与怪物'!$A$41:$F$44,2,FALSE),0)+IF(4=D744,ROUND(AK744*'难度参数'!$E$28*'章节与怪物'!$E$17,0),0))</x:f>
        <x:v>1279488</x:v>
      </x:c>
      <x:c r="AM744" s="119" t="n">
        <x:f>IF(AJ744=0,0,(AJ744-IF(4=D744,1,0))*VLOOKUP(INDEX('章节与怪物'!$E$31:$K$37,B744,4),'章节与怪物'!$A$41:$F$44,4,FALSE)+IF(4=D744,'难度参数'!$E$30,0))</x:f>
        <x:v>1344</x:v>
      </x:c>
      <x:c r="AN744" s="119" t="n">
        <x:f>IF(5&gt;D744,0,MAX(2,MIN('难度参数'!$E$12,ROUND(('难度参数'!$E$18*POWER(A744,'难度参数'!$E$19)/D744*(0.85+0.3*(5-1)/MAX(1,D744-1))),0)+F744)))</x:f>
        <x:v>50</x:v>
      </x:c>
      <x:c r="AO744" s="119" t="n">
        <x:f>IF(5&gt;D744,0,ROUND(('难度参数'!$E$13*POWER(A744,'难度参数'!$E$20)*MIN('难度参数'!$E$23,1+MAX(0,A744-'难度参数'!$E$21)*'难度参数'!$E$22))*(36+5*7)/(36+7*(D744+1)/2)*E744,0))</x:f>
        <x:v>17395</x:v>
      </x:c>
      <x:c r="AP744" s="119" t="n">
        <x:f>IF(AN744=0,0,(AN744-IF(5=D744,1,0))*ROUND(AO744*VLOOKUP(INDEX('章节与怪物'!$E$31:$K$37,B744,5),'章节与怪物'!$A$41:$F$44,2,FALSE),0)+IF(5=D744,ROUND(AO744*'难度参数'!$E$28*'章节与怪物'!$E$17,0),0))</x:f>
        <x:v>1174150</x:v>
      </x:c>
      <x:c r="AQ744" s="119" t="n">
        <x:f>IF(AN744=0,0,(AN744-IF(5=D744,1,0))*VLOOKUP(INDEX('章节与怪物'!$E$31:$K$37,B744,5),'章节与怪物'!$A$41:$F$44,4,FALSE)+IF(5=D744,'难度参数'!$E$30,0))</x:f>
        <x:v>1700</x:v>
      </x:c>
      <x:c r="AR744" s="119" t="n">
        <x:f>IF(6&gt;D744,0,MAX(2,MIN('难度参数'!$E$12,ROUND(('难度参数'!$E$18*POWER(A744,'难度参数'!$E$19)/D744*(0.85+0.3*(6-1)/MAX(1,D744-1))),0)+F744)))</x:f>
        <x:v>52</x:v>
      </x:c>
      <x:c r="AS744" s="119" t="n">
        <x:f>IF(6&gt;D744,0,ROUND(('难度参数'!$E$13*POWER(A744,'难度参数'!$E$20)*MIN('难度参数'!$E$23,1+MAX(0,A744-'难度参数'!$E$21)*'难度参数'!$E$22))*(36+6*7)/(36+7*(D744+1)/2)*E744,0))</x:f>
        <x:v>19109</x:v>
      </x:c>
      <x:c r="AT744" s="119" t="n">
        <x:f>IF(AR744=0,0,(AR744-IF(6=D744,1,0))*ROUND(AS744*VLOOKUP(INDEX('章节与怪物'!$E$31:$K$37,B744,6),'章节与怪物'!$A$41:$F$44,2,FALSE),0)+IF(6=D744,ROUND(AS744*'难度参数'!$E$28*'章节与怪物'!$E$17,0),0))</x:f>
        <x:v>715416</x:v>
      </x:c>
      <x:c r="AU744" s="119" t="n">
        <x:f>IF(AR744=0,0,(AR744-IF(6=D744,1,0))*VLOOKUP(INDEX('章节与怪物'!$E$31:$K$37,B744,6),'章节与怪物'!$A$41:$F$44,4,FALSE)+IF(6=D744,'难度参数'!$E$30,0))</x:f>
        <x:v>1040</x:v>
      </x:c>
      <x:c r="AV744" s="119" t="n">
        <x:f>IF(7&gt;D744,0,MAX(2,MIN('难度参数'!$E$12,ROUND(('难度参数'!$E$18*POWER(A744,'难度参数'!$E$19)/D744*(0.85+0.3*(7-1)/MAX(1,D744-1))),0)+F744)))</x:f>
        <x:v>55</x:v>
      </x:c>
      <x:c r="AW744" s="119" t="n">
        <x:f>IF(7&gt;D744,0,ROUND(('难度参数'!$E$13*POWER(A744,'难度参数'!$E$20)*MIN('难度参数'!$E$23,1+MAX(0,A744-'难度参数'!$E$21)*'难度参数'!$E$22))*(36+7*7)/(36+7*(D744+1)/2)*E744,0))</x:f>
        <x:v>20824</x:v>
      </x:c>
      <x:c r="AX744" s="119" t="n">
        <x:f>IF(AV744=0,0,(AV744-IF(7=D744,1,0))*ROUND(AW744*VLOOKUP(INDEX('章节与怪物'!$E$31:$K$37,B744,7),'章节与怪物'!$A$41:$F$44,2,FALSE),0)+IF(7=D744,ROUND(AW744*'难度参数'!$E$28*'章节与怪物'!$E$17,0),0))</x:f>
        <x:v>2053257</x:v>
      </x:c>
      <x:c r="AY744" s="119" t="n">
        <x:f>IF(AV744=0,0,(AV744-IF(7=D744,1,0))*VLOOKUP(INDEX('章节与怪物'!$E$31:$K$37,B744,7),'章节与怪物'!$A$41:$F$44,4,FALSE)+IF(7=D744,'难度参数'!$E$30,0))</x:f>
        <x:v>1712</x:v>
      </x:c>
    </x:row>
    <x:row r="745" ht="23" customHeight="1">
      <x:c r="A745" s="119" t="n">
        <x:v>739</x:v>
      </x:c>
      <x:c r="B745" s="119" t="n">
        <x:f>MOD(INT((A745-1)/5),7)+1</x:f>
        <x:v>1</x:v>
      </x:c>
      <x:c r="C745" s="62" t="str">
        <x:f>INDEX('章节与怪物'!$B$31:$B$37,B745)</x:f>
        <x:v>冰雪荒原</x:v>
      </x:c>
      <x:c r="D745" s="119" t="n">
        <x:f>MIN('难度参数'!$E$8,MAX('难度参数'!$E$7,A745))</x:f>
        <x:v>7</x:v>
      </x:c>
      <x:c r="E745" s="106" t="n">
        <x:v>1</x:v>
      </x:c>
      <x:c r="F745" s="106" t="n">
        <x:v>0</x:v>
      </x:c>
      <x:c r="G745" s="106" t="n">
        <x:v>1</x:v>
      </x:c>
      <x:c r="H745" s="119" t="n">
        <x:f>SUM(X745,AB745,AF745,AJ745,AN745,AR745,AV745)</x:f>
        <x:v>333</x:v>
      </x:c>
      <x:c r="I745" s="119" t="n">
        <x:f>SUM(Z745,AD745,AH745,AL745,AP745,AT745,AX745)</x:f>
        <x:v>6629420</x:v>
      </x:c>
      <x:c r="J745" s="119" t="n">
        <x:f>ROUND(INDEX(X745:AY745,1,(D745-1)*4+2)*'难度参数'!$E$28*'章节与怪物'!$E$17,0)</x:f>
        <x:v>141746</x:v>
      </x:c>
      <x:c r="K745" s="119" t="n">
        <x:f>SUM(AA745,AE745,AI745,AM745,AQ745,AU745,AY745)</x:f>
        <x:v>8190</x:v>
      </x:c>
      <x:c r="L745" s="62" t="n">
        <x:f>H745*(ROUNDUP('难度参数'!$E$24/('难度参数'!$E$26*'难度参数'!$E$27),0)*'难度参数'!$E$26)/60</x:f>
        <x:v>4.44</x:v>
      </x:c>
      <x:c r="M745" s="62" t="n">
        <x:f>L745+D745*('难度参数'!$E$49+'难度参数'!$E$50)/60</x:f>
        <x:v>5.606666666666667</x:v>
      </x:c>
      <x:c r="N745" s="119" t="n">
        <x:f>ROUNDDOWN(('经济参数'!$E$20+A745*'经济参数'!$E$21)*G745,0)</x:f>
        <x:v>14960</x:v>
      </x:c>
      <x:c r="O745" s="119" t="n">
        <x:f>ROUNDDOWN(MIN('经济参数'!$E$24,'经济参数'!$E$22+A745*'经济参数'!$E$23)*G745,0)</x:f>
        <x:v>0</x:v>
      </x:c>
      <x:c r="P745" s="119" t="n">
        <x:f>ROUNDDOWN((IF(A745&gt;='材料与任务'!$E$31,'材料与任务'!$E$32,IF(A745&gt;='材料与任务'!$E$25,'材料与任务'!$E$26,IF(A745&gt;='材料与任务'!$E$19,'材料与任务'!$E$20,IF(A745&gt;='材料与任务'!$E$13,'材料与任务'!$E$14,'材料与任务'!$E$8)))))*G745,0)</x:f>
        <x:v>6</x:v>
      </x:c>
      <x:c r="Q745" s="119" t="n">
        <x:f>ROUNDDOWN((IF(A745&gt;='材料与任务'!$E$31,'材料与任务'!$E$33,IF(A745&gt;='材料与任务'!$E$25,'材料与任务'!$E$27,IF(A745&gt;='材料与任务'!$E$19,'材料与任务'!$E$21,IF(A745&gt;='材料与任务'!$E$13,'材料与任务'!$E$15,'材料与任务'!$E$9)))))*G745,0)</x:f>
        <x:v>3</x:v>
      </x:c>
      <x:c r="R745" s="110" t="n">
        <x:f>'装备掉落'!$B$38</x:f>
        <x:v>0.6872058758851213</x:v>
      </x:c>
      <x:c r="S745" s="119" t="n">
        <x:f>MAX(IF(VLOOKUP(A745,'装备掉落'!$A$29:$H$34,2,TRUE)&gt;0,1,0),IF(VLOOKUP(A745,'装备掉落'!$A$29:$H$34,3,TRUE)&gt;0,2,0),IF(VLOOKUP(A745,'装备掉落'!$A$29:$H$34,4,TRUE)&gt;0,3,0),IF(VLOOKUP(A745,'装备掉落'!$A$29:$H$34,5,TRUE)&gt;0,4,0),IF(VLOOKUP(A745,'装备掉落'!$A$29:$H$34,6,TRUE)&gt;0,5,0),IF(VLOOKUP(A745,'装备掉落'!$A$29:$H$34,7,TRUE)&gt;0,6,0),IF(VLOOKUP(A745,'装备掉落'!$A$29:$H$34,8,TRUE)&gt;0,7,0))</x:f>
        <x:v>7</x:v>
      </x:c>
      <x:c r="T745" s="119" t="n">
        <x:f>MIN(7,S745+'经济参数'!$E$70)</x:f>
        <x:v>7</x:v>
      </x:c>
      <x:c r="U745" s="119" t="n">
        <x:f>MIN(7,S745+'经济参数'!$E$71)</x:f>
        <x:v>7</x:v>
      </x:c>
      <x:c r="V745" s="119" t="n">
        <x:f>IF(H745&gt;=('难度参数'!$E$52),1,0)+IF(H745&gt;=('难度参数'!$E$52+'难度参数'!$E$53),1,0)+IF(H745&gt;=('难度参数'!$E$52+'难度参数'!$E$53+'难度参数'!$E$54),1,0)+IF(H745&gt;=('难度参数'!$E$52+'难度参数'!$E$53+'难度参数'!$E$54+'难度参数'!$E$55),1,0)+IF(H745&gt;=('难度参数'!$E$52+'难度参数'!$E$53+'难度参数'!$E$54+'难度参数'!$E$55+'难度参数'!$E$56),1,0)+IF(H745&gt;=('难度参数'!$E$52+'难度参数'!$E$53+'难度参数'!$E$54+'难度参数'!$E$55+'难度参数'!$E$56+'难度参数'!$E$57),1,0)</x:f>
        <x:v>6</x:v>
      </x:c>
      <x:c r="W745" s="62" t="str">
        <x:f>IF(L745&gt;'难度参数'!$E$51,"仅出怪已超目标","还需实测")</x:f>
        <x:v>仅出怪已超目标</x:v>
      </x:c>
      <x:c r="X745" s="119" t="n">
        <x:f>IF(1&gt;D745,0,MAX(2,MIN('难度参数'!$E$12,ROUND(('难度参数'!$E$18*POWER(A745,'难度参数'!$E$19)/D745*(0.85+0.3*(1-1)/MAX(1,D745-1))),0)+F745)))</x:f>
        <x:v>40</x:v>
      </x:c>
      <x:c r="Y745" s="119" t="n">
        <x:f>IF(1&gt;D745,0,ROUND(('难度参数'!$E$13*POWER(A745,'难度参数'!$E$20)*MIN('难度参数'!$E$23,1+MAX(0,A745-'难度参数'!$E$21)*'难度参数'!$E$22))*(36+1*7)/(36+7*(D745+1)/2)*E745,0))</x:f>
        <x:v>10545</x:v>
      </x:c>
      <x:c r="Z745" s="119" t="n">
        <x:f>IF(X745=0,0,(X745-IF(1=D745,1,0))*ROUND(Y745*VLOOKUP(INDEX('章节与怪物'!$E$31:$K$37,B745,1),'章节与怪物'!$A$41:$F$44,2,FALSE),0)+IF(1=D745,ROUND(Y745*'难度参数'!$E$28*'章节与怪物'!$E$17,0),0))</x:f>
        <x:v>421800</x:v>
      </x:c>
      <x:c r="AA745" s="119" t="n">
        <x:f>IF(X745=0,0,(X745-IF(1=D745,1,0))*VLOOKUP(INDEX('章节与怪物'!$E$31:$K$37,B745,1),'章节与怪物'!$A$41:$F$44,4,FALSE)+IF(1=D745,'难度参数'!$E$30,0))</x:f>
        <x:v>720</x:v>
      </x:c>
      <x:c r="AB745" s="119" t="n">
        <x:f>IF(2&gt;D745,0,MAX(2,MIN('难度参数'!$E$12,ROUND(('难度参数'!$E$18*POWER(A745,'难度参数'!$E$19)/D745*(0.85+0.3*(2-1)/MAX(1,D745-1))),0)+F745)))</x:f>
        <x:v>43</x:v>
      </x:c>
      <x:c r="AC745" s="119" t="n">
        <x:f>IF(2&gt;D745,0,ROUND(('难度参数'!$E$13*POWER(A745,'难度参数'!$E$20)*MIN('难度参数'!$E$23,1+MAX(0,A745-'难度参数'!$E$21)*'难度参数'!$E$22))*(36+2*7)/(36+7*(D745+1)/2)*E745,0))</x:f>
        <x:v>12262</x:v>
      </x:c>
      <x:c r="AD745" s="119" t="n">
        <x:f>IF(AB745=0,0,(AB745-IF(2=D745,1,0))*ROUND(AC745*VLOOKUP(INDEX('章节与怪物'!$E$31:$K$37,B745,2),'章节与怪物'!$A$41:$F$44,2,FALSE),0)+IF(2=D745,ROUND(AC745*'难度参数'!$E$28*'章节与怪物'!$E$17,0),0))</x:f>
        <x:v>527266</x:v>
      </x:c>
      <x:c r="AE745" s="119" t="n">
        <x:f>IF(AB745=0,0,(AB745-IF(2=D745,1,0))*VLOOKUP(INDEX('章节与怪物'!$E$31:$K$37,B745,2),'章节与怪物'!$A$41:$F$44,4,FALSE)+IF(2=D745,'难度参数'!$E$30,0))</x:f>
        <x:v>774</x:v>
      </x:c>
      <x:c r="AF745" s="119" t="n">
        <x:f>IF(3&gt;D745,0,MAX(2,MIN('难度参数'!$E$12,ROUND(('难度参数'!$E$18*POWER(A745,'难度参数'!$E$19)/D745*(0.85+0.3*(3-1)/MAX(1,D745-1))),0)+F745)))</x:f>
        <x:v>45</x:v>
      </x:c>
      <x:c r="AG745" s="119" t="n">
        <x:f>IF(3&gt;D745,0,ROUND(('难度参数'!$E$13*POWER(A745,'难度参数'!$E$20)*MIN('难度参数'!$E$23,1+MAX(0,A745-'难度参数'!$E$21)*'难度参数'!$E$22))*(36+3*7)/(36+7*(D745+1)/2)*E745,0))</x:f>
        <x:v>13978</x:v>
      </x:c>
      <x:c r="AH745" s="119" t="n">
        <x:f>IF(AF745=0,0,(AF745-IF(3=D745,1,0))*ROUND(AG745*VLOOKUP(INDEX('章节与怪物'!$E$31:$K$37,B745,3),'章节与怪物'!$A$41:$F$44,2,FALSE),0)+IF(3=D745,ROUND(AG745*'难度参数'!$E$28*'章节与怪物'!$E$17,0),0))</x:f>
        <x:v>452880</x:v>
      </x:c>
      <x:c r="AI745" s="119" t="n">
        <x:f>IF(AF745=0,0,(AF745-IF(3=D745,1,0))*VLOOKUP(INDEX('章节与怪物'!$E$31:$K$37,B745,3),'章节与怪物'!$A$41:$F$44,4,FALSE)+IF(3=D745,'难度参数'!$E$30,0))</x:f>
        <x:v>900</x:v>
      </x:c>
      <x:c r="AJ745" s="119" t="n">
        <x:f>IF(4&gt;D745,0,MAX(2,MIN('难度参数'!$E$12,ROUND(('难度参数'!$E$18*POWER(A745,'难度参数'!$E$19)/D745*(0.85+0.3*(4-1)/MAX(1,D745-1))),0)+F745)))</x:f>
        <x:v>48</x:v>
      </x:c>
      <x:c r="AK745" s="119" t="n">
        <x:f>IF(4&gt;D745,0,ROUND(('难度参数'!$E$13*POWER(A745,'难度参数'!$E$20)*MIN('难度参数'!$E$23,1+MAX(0,A745-'难度参数'!$E$21)*'难度参数'!$E$22))*(36+4*7)/(36+7*(D745+1)/2)*E745,0))</x:f>
        <x:v>15695</x:v>
      </x:c>
      <x:c r="AL745" s="119" t="n">
        <x:f>IF(AJ745=0,0,(AJ745-IF(4=D745,1,0))*ROUND(AK745*VLOOKUP(INDEX('章节与怪物'!$E$31:$K$37,B745,4),'章节与怪物'!$A$41:$F$44,2,FALSE),0)+IF(4=D745,ROUND(AK745*'难度参数'!$E$28*'章节与怪物'!$E$17,0),0))</x:f>
        <x:v>1280736</x:v>
      </x:c>
      <x:c r="AM745" s="119" t="n">
        <x:f>IF(AJ745=0,0,(AJ745-IF(4=D745,1,0))*VLOOKUP(INDEX('章节与怪物'!$E$31:$K$37,B745,4),'章节与怪物'!$A$41:$F$44,4,FALSE)+IF(4=D745,'难度参数'!$E$30,0))</x:f>
        <x:v>1344</x:v>
      </x:c>
      <x:c r="AN745" s="119" t="n">
        <x:f>IF(5&gt;D745,0,MAX(2,MIN('难度参数'!$E$12,ROUND(('难度参数'!$E$18*POWER(A745,'难度参数'!$E$19)/D745*(0.85+0.3*(5-1)/MAX(1,D745-1))),0)+F745)))</x:f>
        <x:v>50</x:v>
      </x:c>
      <x:c r="AO745" s="119" t="n">
        <x:f>IF(5&gt;D745,0,ROUND(('难度参数'!$E$13*POWER(A745,'难度参数'!$E$20)*MIN('难度参数'!$E$23,1+MAX(0,A745-'难度参数'!$E$21)*'难度参数'!$E$22))*(36+5*7)/(36+7*(D745+1)/2)*E745,0))</x:f>
        <x:v>17411</x:v>
      </x:c>
      <x:c r="AP745" s="119" t="n">
        <x:f>IF(AN745=0,0,(AN745-IF(5=D745,1,0))*ROUND(AO745*VLOOKUP(INDEX('章节与怪物'!$E$31:$K$37,B745,5),'章节与怪物'!$A$41:$F$44,2,FALSE),0)+IF(5=D745,ROUND(AO745*'难度参数'!$E$28*'章节与怪物'!$E$17,0),0))</x:f>
        <x:v>1175250</x:v>
      </x:c>
      <x:c r="AQ745" s="119" t="n">
        <x:f>IF(AN745=0,0,(AN745-IF(5=D745,1,0))*VLOOKUP(INDEX('章节与怪物'!$E$31:$K$37,B745,5),'章节与怪物'!$A$41:$F$44,4,FALSE)+IF(5=D745,'难度参数'!$E$30,0))</x:f>
        <x:v>1700</x:v>
      </x:c>
      <x:c r="AR745" s="119" t="n">
        <x:f>IF(6&gt;D745,0,MAX(2,MIN('难度参数'!$E$12,ROUND(('难度参数'!$E$18*POWER(A745,'难度参数'!$E$19)/D745*(0.85+0.3*(6-1)/MAX(1,D745-1))),0)+F745)))</x:f>
        <x:v>52</x:v>
      </x:c>
      <x:c r="AS745" s="119" t="n">
        <x:f>IF(6&gt;D745,0,ROUND(('难度参数'!$E$13*POWER(A745,'难度参数'!$E$20)*MIN('难度参数'!$E$23,1+MAX(0,A745-'难度参数'!$E$21)*'难度参数'!$E$22))*(36+6*7)/(36+7*(D745+1)/2)*E745,0))</x:f>
        <x:v>19128</x:v>
      </x:c>
      <x:c r="AT745" s="119" t="n">
        <x:f>IF(AR745=0,0,(AR745-IF(6=D745,1,0))*ROUND(AS745*VLOOKUP(INDEX('章节与怪物'!$E$31:$K$37,B745,6),'章节与怪物'!$A$41:$F$44,2,FALSE),0)+IF(6=D745,ROUND(AS745*'难度参数'!$E$28*'章节与怪物'!$E$17,0),0))</x:f>
        <x:v>716144</x:v>
      </x:c>
      <x:c r="AU745" s="119" t="n">
        <x:f>IF(AR745=0,0,(AR745-IF(6=D745,1,0))*VLOOKUP(INDEX('章节与怪物'!$E$31:$K$37,B745,6),'章节与怪物'!$A$41:$F$44,4,FALSE)+IF(6=D745,'难度参数'!$E$30,0))</x:f>
        <x:v>1040</x:v>
      </x:c>
      <x:c r="AV745" s="119" t="n">
        <x:f>IF(7&gt;D745,0,MAX(2,MIN('难度参数'!$E$12,ROUND(('难度参数'!$E$18*POWER(A745,'难度参数'!$E$19)/D745*(0.85+0.3*(7-1)/MAX(1,D745-1))),0)+F745)))</x:f>
        <x:v>55</x:v>
      </x:c>
      <x:c r="AW745" s="119" t="n">
        <x:f>IF(7&gt;D745,0,ROUND(('难度参数'!$E$13*POWER(A745,'难度参数'!$E$20)*MIN('难度参数'!$E$23,1+MAX(0,A745-'难度参数'!$E$21)*'难度参数'!$E$22))*(36+7*7)/(36+7*(D745+1)/2)*E745,0))</x:f>
        <x:v>20845</x:v>
      </x:c>
      <x:c r="AX745" s="119" t="n">
        <x:f>IF(AV745=0,0,(AV745-IF(7=D745,1,0))*ROUND(AW745*VLOOKUP(INDEX('章节与怪物'!$E$31:$K$37,B745,7),'章节与怪物'!$A$41:$F$44,2,FALSE),0)+IF(7=D745,ROUND(AW745*'难度参数'!$E$28*'章节与怪物'!$E$17,0),0))</x:f>
        <x:v>2055344</x:v>
      </x:c>
      <x:c r="AY745" s="119" t="n">
        <x:f>IF(AV745=0,0,(AV745-IF(7=D745,1,0))*VLOOKUP(INDEX('章节与怪物'!$E$31:$K$37,B745,7),'章节与怪物'!$A$41:$F$44,4,FALSE)+IF(7=D745,'难度参数'!$E$30,0))</x:f>
        <x:v>1712</x:v>
      </x:c>
    </x:row>
    <x:row r="746" ht="23" customHeight="1">
      <x:c r="A746" s="119" t="n">
        <x:v>740</x:v>
      </x:c>
      <x:c r="B746" s="119" t="n">
        <x:f>MOD(INT((A746-1)/5),7)+1</x:f>
        <x:v>1</x:v>
      </x:c>
      <x:c r="C746" s="62" t="str">
        <x:f>INDEX('章节与怪物'!$B$31:$B$37,B746)</x:f>
        <x:v>冰雪荒原</x:v>
      </x:c>
      <x:c r="D746" s="119" t="n">
        <x:f>MIN('难度参数'!$E$8,MAX('难度参数'!$E$7,A746))</x:f>
        <x:v>7</x:v>
      </x:c>
      <x:c r="E746" s="106" t="n">
        <x:v>1</x:v>
      </x:c>
      <x:c r="F746" s="106" t="n">
        <x:v>0</x:v>
      </x:c>
      <x:c r="G746" s="106" t="n">
        <x:v>1</x:v>
      </x:c>
      <x:c r="H746" s="119" t="n">
        <x:f>SUM(X746,AB746,AF746,AJ746,AN746,AR746,AV746)</x:f>
        <x:v>333</x:v>
      </x:c>
      <x:c r="I746" s="119" t="n">
        <x:f>SUM(Z746,AD746,AH746,AL746,AP746,AT746,AX746)</x:f>
        <x:v>6635836</x:v>
      </x:c>
      <x:c r="J746" s="119" t="n">
        <x:f>ROUND(INDEX(X746:AY746,1,(D746-1)*4+2)*'难度参数'!$E$28*'章节与怪物'!$E$17,0)</x:f>
        <x:v>141882</x:v>
      </x:c>
      <x:c r="K746" s="119" t="n">
        <x:f>SUM(AA746,AE746,AI746,AM746,AQ746,AU746,AY746)</x:f>
        <x:v>8190</x:v>
      </x:c>
      <x:c r="L746" s="62" t="n">
        <x:f>H746*(ROUNDUP('难度参数'!$E$24/('难度参数'!$E$26*'难度参数'!$E$27),0)*'难度参数'!$E$26)/60</x:f>
        <x:v>4.44</x:v>
      </x:c>
      <x:c r="M746" s="62" t="n">
        <x:f>L746+D746*('难度参数'!$E$49+'难度参数'!$E$50)/60</x:f>
        <x:v>5.606666666666667</x:v>
      </x:c>
      <x:c r="N746" s="119" t="n">
        <x:f>ROUNDDOWN(('经济参数'!$E$20+A746*'经济参数'!$E$21)*G746,0)</x:f>
        <x:v>14980</x:v>
      </x:c>
      <x:c r="O746" s="119" t="n">
        <x:f>ROUNDDOWN(MIN('经济参数'!$E$24,'经济参数'!$E$22+A746*'经济参数'!$E$23)*G746,0)</x:f>
        <x:v>0</x:v>
      </x:c>
      <x:c r="P746" s="119" t="n">
        <x:f>ROUNDDOWN((IF(A746&gt;='材料与任务'!$E$31,'材料与任务'!$E$32,IF(A746&gt;='材料与任务'!$E$25,'材料与任务'!$E$26,IF(A746&gt;='材料与任务'!$E$19,'材料与任务'!$E$20,IF(A746&gt;='材料与任务'!$E$13,'材料与任务'!$E$14,'材料与任务'!$E$8)))))*G746,0)</x:f>
        <x:v>6</x:v>
      </x:c>
      <x:c r="Q746" s="119" t="n">
        <x:f>ROUNDDOWN((IF(A746&gt;='材料与任务'!$E$31,'材料与任务'!$E$33,IF(A746&gt;='材料与任务'!$E$25,'材料与任务'!$E$27,IF(A746&gt;='材料与任务'!$E$19,'材料与任务'!$E$21,IF(A746&gt;='材料与任务'!$E$13,'材料与任务'!$E$15,'材料与任务'!$E$9)))))*G746,0)</x:f>
        <x:v>3</x:v>
      </x:c>
      <x:c r="R746" s="110" t="n">
        <x:f>'装备掉落'!$B$38</x:f>
        <x:v>0.6872058758851213</x:v>
      </x:c>
      <x:c r="S746" s="119" t="n">
        <x:f>MAX(IF(VLOOKUP(A746,'装备掉落'!$A$29:$H$34,2,TRUE)&gt;0,1,0),IF(VLOOKUP(A746,'装备掉落'!$A$29:$H$34,3,TRUE)&gt;0,2,0),IF(VLOOKUP(A746,'装备掉落'!$A$29:$H$34,4,TRUE)&gt;0,3,0),IF(VLOOKUP(A746,'装备掉落'!$A$29:$H$34,5,TRUE)&gt;0,4,0),IF(VLOOKUP(A746,'装备掉落'!$A$29:$H$34,6,TRUE)&gt;0,5,0),IF(VLOOKUP(A746,'装备掉落'!$A$29:$H$34,7,TRUE)&gt;0,6,0),IF(VLOOKUP(A746,'装备掉落'!$A$29:$H$34,8,TRUE)&gt;0,7,0))</x:f>
        <x:v>7</x:v>
      </x:c>
      <x:c r="T746" s="119" t="n">
        <x:f>MIN(7,S746+'经济参数'!$E$70)</x:f>
        <x:v>7</x:v>
      </x:c>
      <x:c r="U746" s="119" t="n">
        <x:f>MIN(7,S746+'经济参数'!$E$71)</x:f>
        <x:v>7</x:v>
      </x:c>
      <x:c r="V746" s="119" t="n">
        <x:f>IF(H746&gt;=('难度参数'!$E$52),1,0)+IF(H746&gt;=('难度参数'!$E$52+'难度参数'!$E$53),1,0)+IF(H746&gt;=('难度参数'!$E$52+'难度参数'!$E$53+'难度参数'!$E$54),1,0)+IF(H746&gt;=('难度参数'!$E$52+'难度参数'!$E$53+'难度参数'!$E$54+'难度参数'!$E$55),1,0)+IF(H746&gt;=('难度参数'!$E$52+'难度参数'!$E$53+'难度参数'!$E$54+'难度参数'!$E$55+'难度参数'!$E$56),1,0)+IF(H746&gt;=('难度参数'!$E$52+'难度参数'!$E$53+'难度参数'!$E$54+'难度参数'!$E$55+'难度参数'!$E$56+'难度参数'!$E$57),1,0)</x:f>
        <x:v>6</x:v>
      </x:c>
      <x:c r="W746" s="62" t="str">
        <x:f>IF(L746&gt;'难度参数'!$E$51,"仅出怪已超目标","还需实测")</x:f>
        <x:v>仅出怪已超目标</x:v>
      </x:c>
      <x:c r="X746" s="119" t="n">
        <x:f>IF(1&gt;D746,0,MAX(2,MIN('难度参数'!$E$12,ROUND(('难度参数'!$E$18*POWER(A746,'难度参数'!$E$19)/D746*(0.85+0.3*(1-1)/MAX(1,D746-1))),0)+F746)))</x:f>
        <x:v>40</x:v>
      </x:c>
      <x:c r="Y746" s="119" t="n">
        <x:f>IF(1&gt;D746,0,ROUND(('难度参数'!$E$13*POWER(A746,'难度参数'!$E$20)*MIN('难度参数'!$E$23,1+MAX(0,A746-'难度参数'!$E$21)*'难度参数'!$E$22))*(36+1*7)/(36+7*(D746+1)/2)*E746,0))</x:f>
        <x:v>10555</x:v>
      </x:c>
      <x:c r="Z746" s="119" t="n">
        <x:f>IF(X746=0,0,(X746-IF(1=D746,1,0))*ROUND(Y746*VLOOKUP(INDEX('章节与怪物'!$E$31:$K$37,B746,1),'章节与怪物'!$A$41:$F$44,2,FALSE),0)+IF(1=D746,ROUND(Y746*'难度参数'!$E$28*'章节与怪物'!$E$17,0),0))</x:f>
        <x:v>422200</x:v>
      </x:c>
      <x:c r="AA746" s="119" t="n">
        <x:f>IF(X746=0,0,(X746-IF(1=D746,1,0))*VLOOKUP(INDEX('章节与怪物'!$E$31:$K$37,B746,1),'章节与怪物'!$A$41:$F$44,4,FALSE)+IF(1=D746,'难度参数'!$E$30,0))</x:f>
        <x:v>720</x:v>
      </x:c>
      <x:c r="AB746" s="119" t="n">
        <x:f>IF(2&gt;D746,0,MAX(2,MIN('难度参数'!$E$12,ROUND(('难度参数'!$E$18*POWER(A746,'难度参数'!$E$19)/D746*(0.85+0.3*(2-1)/MAX(1,D746-1))),0)+F746)))</x:f>
        <x:v>43</x:v>
      </x:c>
      <x:c r="AC746" s="119" t="n">
        <x:f>IF(2&gt;D746,0,ROUND(('难度参数'!$E$13*POWER(A746,'难度参数'!$E$20)*MIN('难度参数'!$E$23,1+MAX(0,A746-'难度参数'!$E$21)*'难度参数'!$E$22))*(36+2*7)/(36+7*(D746+1)/2)*E746,0))</x:f>
        <x:v>12274</x:v>
      </x:c>
      <x:c r="AD746" s="119" t="n">
        <x:f>IF(AB746=0,0,(AB746-IF(2=D746,1,0))*ROUND(AC746*VLOOKUP(INDEX('章节与怪物'!$E$31:$K$37,B746,2),'章节与怪物'!$A$41:$F$44,2,FALSE),0)+IF(2=D746,ROUND(AC746*'难度参数'!$E$28*'章节与怪物'!$E$17,0),0))</x:f>
        <x:v>527782</x:v>
      </x:c>
      <x:c r="AE746" s="119" t="n">
        <x:f>IF(AB746=0,0,(AB746-IF(2=D746,1,0))*VLOOKUP(INDEX('章节与怪物'!$E$31:$K$37,B746,2),'章节与怪物'!$A$41:$F$44,4,FALSE)+IF(2=D746,'难度参数'!$E$30,0))</x:f>
        <x:v>774</x:v>
      </x:c>
      <x:c r="AF746" s="119" t="n">
        <x:f>IF(3&gt;D746,0,MAX(2,MIN('难度参数'!$E$12,ROUND(('难度参数'!$E$18*POWER(A746,'难度参数'!$E$19)/D746*(0.85+0.3*(3-1)/MAX(1,D746-1))),0)+F746)))</x:f>
        <x:v>45</x:v>
      </x:c>
      <x:c r="AG746" s="119" t="n">
        <x:f>IF(3&gt;D746,0,ROUND(('难度参数'!$E$13*POWER(A746,'难度参数'!$E$20)*MIN('难度参数'!$E$23,1+MAX(0,A746-'难度参数'!$E$21)*'难度参数'!$E$22))*(36+3*7)/(36+7*(D746+1)/2)*E746,0))</x:f>
        <x:v>13992</x:v>
      </x:c>
      <x:c r="AH746" s="119" t="n">
        <x:f>IF(AF746=0,0,(AF746-IF(3=D746,1,0))*ROUND(AG746*VLOOKUP(INDEX('章节与怪物'!$E$31:$K$37,B746,3),'章节与怪物'!$A$41:$F$44,2,FALSE),0)+IF(3=D746,ROUND(AG746*'难度参数'!$E$28*'章节与怪物'!$E$17,0),0))</x:f>
        <x:v>453330</x:v>
      </x:c>
      <x:c r="AI746" s="119" t="n">
        <x:f>IF(AF746=0,0,(AF746-IF(3=D746,1,0))*VLOOKUP(INDEX('章节与怪物'!$E$31:$K$37,B746,3),'章节与怪物'!$A$41:$F$44,4,FALSE)+IF(3=D746,'难度参数'!$E$30,0))</x:f>
        <x:v>900</x:v>
      </x:c>
      <x:c r="AJ746" s="119" t="n">
        <x:f>IF(4&gt;D746,0,MAX(2,MIN('难度参数'!$E$12,ROUND(('难度参数'!$E$18*POWER(A746,'难度参数'!$E$19)/D746*(0.85+0.3*(4-1)/MAX(1,D746-1))),0)+F746)))</x:f>
        <x:v>48</x:v>
      </x:c>
      <x:c r="AK746" s="119" t="n">
        <x:f>IF(4&gt;D746,0,ROUND(('难度参数'!$E$13*POWER(A746,'难度参数'!$E$20)*MIN('难度参数'!$E$23,1+MAX(0,A746-'难度参数'!$E$21)*'难度参数'!$E$22))*(36+4*7)/(36+7*(D746+1)/2)*E746,0))</x:f>
        <x:v>15710</x:v>
      </x:c>
      <x:c r="AL746" s="119" t="n">
        <x:f>IF(AJ746=0,0,(AJ746-IF(4=D746,1,0))*ROUND(AK746*VLOOKUP(INDEX('章节与怪物'!$E$31:$K$37,B746,4),'章节与怪物'!$A$41:$F$44,2,FALSE),0)+IF(4=D746,ROUND(AK746*'难度参数'!$E$28*'章节与怪物'!$E$17,0),0))</x:f>
        <x:v>1281936</x:v>
      </x:c>
      <x:c r="AM746" s="119" t="n">
        <x:f>IF(AJ746=0,0,(AJ746-IF(4=D746,1,0))*VLOOKUP(INDEX('章节与怪物'!$E$31:$K$37,B746,4),'章节与怪物'!$A$41:$F$44,4,FALSE)+IF(4=D746,'难度参数'!$E$30,0))</x:f>
        <x:v>1344</x:v>
      </x:c>
      <x:c r="AN746" s="119" t="n">
        <x:f>IF(5&gt;D746,0,MAX(2,MIN('难度参数'!$E$12,ROUND(('难度参数'!$E$18*POWER(A746,'难度参数'!$E$19)/D746*(0.85+0.3*(5-1)/MAX(1,D746-1))),0)+F746)))</x:f>
        <x:v>50</x:v>
      </x:c>
      <x:c r="AO746" s="119" t="n">
        <x:f>IF(5&gt;D746,0,ROUND(('难度参数'!$E$13*POWER(A746,'难度参数'!$E$20)*MIN('难度参数'!$E$23,1+MAX(0,A746-'难度参数'!$E$21)*'难度参数'!$E$22))*(36+5*7)/(36+7*(D746+1)/2)*E746,0))</x:f>
        <x:v>17428</x:v>
      </x:c>
      <x:c r="AP746" s="119" t="n">
        <x:f>IF(AN746=0,0,(AN746-IF(5=D746,1,0))*ROUND(AO746*VLOOKUP(INDEX('章节与怪物'!$E$31:$K$37,B746,5),'章节与怪物'!$A$41:$F$44,2,FALSE),0)+IF(5=D746,ROUND(AO746*'难度参数'!$E$28*'章节与怪物'!$E$17,0),0))</x:f>
        <x:v>1176400</x:v>
      </x:c>
      <x:c r="AQ746" s="119" t="n">
        <x:f>IF(AN746=0,0,(AN746-IF(5=D746,1,0))*VLOOKUP(INDEX('章节与怪物'!$E$31:$K$37,B746,5),'章节与怪物'!$A$41:$F$44,4,FALSE)+IF(5=D746,'难度参数'!$E$30,0))</x:f>
        <x:v>1700</x:v>
      </x:c>
      <x:c r="AR746" s="119" t="n">
        <x:f>IF(6&gt;D746,0,MAX(2,MIN('难度参数'!$E$12,ROUND(('难度参数'!$E$18*POWER(A746,'难度参数'!$E$19)/D746*(0.85+0.3*(6-1)/MAX(1,D746-1))),0)+F746)))</x:f>
        <x:v>52</x:v>
      </x:c>
      <x:c r="AS746" s="119" t="n">
        <x:f>IF(6&gt;D746,0,ROUND(('难度参数'!$E$13*POWER(A746,'难度参数'!$E$20)*MIN('难度参数'!$E$23,1+MAX(0,A746-'难度参数'!$E$21)*'难度参数'!$E$22))*(36+6*7)/(36+7*(D746+1)/2)*E746,0))</x:f>
        <x:v>19147</x:v>
      </x:c>
      <x:c r="AT746" s="119" t="n">
        <x:f>IF(AR746=0,0,(AR746-IF(6=D746,1,0))*ROUND(AS746*VLOOKUP(INDEX('章节与怪物'!$E$31:$K$37,B746,6),'章节与怪物'!$A$41:$F$44,2,FALSE),0)+IF(6=D746,ROUND(AS746*'难度参数'!$E$28*'章节与怪物'!$E$17,0),0))</x:f>
        <x:v>716872</x:v>
      </x:c>
      <x:c r="AU746" s="119" t="n">
        <x:f>IF(AR746=0,0,(AR746-IF(6=D746,1,0))*VLOOKUP(INDEX('章节与怪物'!$E$31:$K$37,B746,6),'章节与怪物'!$A$41:$F$44,4,FALSE)+IF(6=D746,'难度参数'!$E$30,0))</x:f>
        <x:v>1040</x:v>
      </x:c>
      <x:c r="AV746" s="119" t="n">
        <x:f>IF(7&gt;D746,0,MAX(2,MIN('难度参数'!$E$12,ROUND(('难度参数'!$E$18*POWER(A746,'难度参数'!$E$19)/D746*(0.85+0.3*(7-1)/MAX(1,D746-1))),0)+F746)))</x:f>
        <x:v>55</x:v>
      </x:c>
      <x:c r="AW746" s="119" t="n">
        <x:f>IF(7&gt;D746,0,ROUND(('难度参数'!$E$13*POWER(A746,'难度参数'!$E$20)*MIN('难度参数'!$E$23,1+MAX(0,A746-'难度参数'!$E$21)*'难度参数'!$E$22))*(36+7*7)/(36+7*(D746+1)/2)*E746,0))</x:f>
        <x:v>20865</x:v>
      </x:c>
      <x:c r="AX746" s="119" t="n">
        <x:f>IF(AV746=0,0,(AV746-IF(7=D746,1,0))*ROUND(AW746*VLOOKUP(INDEX('章节与怪物'!$E$31:$K$37,B746,7),'章节与怪物'!$A$41:$F$44,2,FALSE),0)+IF(7=D746,ROUND(AW746*'难度参数'!$E$28*'章节与怪物'!$E$17,0),0))</x:f>
        <x:v>2057316</x:v>
      </x:c>
      <x:c r="AY746" s="119" t="n">
        <x:f>IF(AV746=0,0,(AV746-IF(7=D746,1,0))*VLOOKUP(INDEX('章节与怪物'!$E$31:$K$37,B746,7),'章节与怪物'!$A$41:$F$44,4,FALSE)+IF(7=D746,'难度参数'!$E$30,0))</x:f>
        <x:v>1712</x:v>
      </x:c>
    </x:row>
    <x:row r="747" ht="23" customHeight="1">
      <x:c r="A747" s="119" t="n">
        <x:v>741</x:v>
      </x:c>
      <x:c r="B747" s="119" t="n">
        <x:f>MOD(INT((A747-1)/5),7)+1</x:f>
        <x:v>2</x:v>
      </x:c>
      <x:c r="C747" s="62" t="str">
        <x:f>INDEX('章节与怪物'!$B$31:$B$37,B747)</x:f>
        <x:v>黄沙要塞</x:v>
      </x:c>
      <x:c r="D747" s="119" t="n">
        <x:f>MIN('难度参数'!$E$8,MAX('难度参数'!$E$7,A747))</x:f>
        <x:v>7</x:v>
      </x:c>
      <x:c r="E747" s="106" t="n">
        <x:v>1</x:v>
      </x:c>
      <x:c r="F747" s="106" t="n">
        <x:v>0</x:v>
      </x:c>
      <x:c r="G747" s="106" t="n">
        <x:v>1</x:v>
      </x:c>
      <x:c r="H747" s="119" t="n">
        <x:f>SUM(X747,AB747,AF747,AJ747,AN747,AR747,AV747)</x:f>
        <x:v>333</x:v>
      </x:c>
      <x:c r="I747" s="119" t="n">
        <x:f>SUM(Z747,AD747,AH747,AL747,AP747,AT747,AX747)</x:f>
        <x:v>7154025</x:v>
      </x:c>
      <x:c r="J747" s="119" t="n">
        <x:f>ROUND(INDEX(X747:AY747,1,(D747-1)*4+2)*'难度参数'!$E$28*'章节与怪物'!$E$17,0)</x:f>
        <x:v>142018</x:v>
      </x:c>
      <x:c r="K747" s="119" t="n">
        <x:f>SUM(AA747,AE747,AI747,AM747,AQ747,AU747,AY747)</x:f>
        <x:v>8858</x:v>
      </x:c>
      <x:c r="L747" s="62" t="n">
        <x:f>H747*(ROUNDUP('难度参数'!$E$24/('难度参数'!$E$26*'难度参数'!$E$27),0)*'难度参数'!$E$26)/60</x:f>
        <x:v>4.44</x:v>
      </x:c>
      <x:c r="M747" s="62" t="n">
        <x:f>L747+D747*('难度参数'!$E$49+'难度参数'!$E$50)/60</x:f>
        <x:v>5.606666666666667</x:v>
      </x:c>
      <x:c r="N747" s="119" t="n">
        <x:f>ROUNDDOWN(('经济参数'!$E$20+A747*'经济参数'!$E$21)*G747,0)</x:f>
        <x:v>15000</x:v>
      </x:c>
      <x:c r="O747" s="119" t="n">
        <x:f>ROUNDDOWN(MIN('经济参数'!$E$24,'经济参数'!$E$22+A747*'经济参数'!$E$23)*G747,0)</x:f>
        <x:v>0</x:v>
      </x:c>
      <x:c r="P747" s="119" t="n">
        <x:f>ROUNDDOWN((IF(A747&gt;='材料与任务'!$E$31,'材料与任务'!$E$32,IF(A747&gt;='材料与任务'!$E$25,'材料与任务'!$E$26,IF(A747&gt;='材料与任务'!$E$19,'材料与任务'!$E$20,IF(A747&gt;='材料与任务'!$E$13,'材料与任务'!$E$14,'材料与任务'!$E$8)))))*G747,0)</x:f>
        <x:v>6</x:v>
      </x:c>
      <x:c r="Q747" s="119" t="n">
        <x:f>ROUNDDOWN((IF(A747&gt;='材料与任务'!$E$31,'材料与任务'!$E$33,IF(A747&gt;='材料与任务'!$E$25,'材料与任务'!$E$27,IF(A747&gt;='材料与任务'!$E$19,'材料与任务'!$E$21,IF(A747&gt;='材料与任务'!$E$13,'材料与任务'!$E$15,'材料与任务'!$E$9)))))*G747,0)</x:f>
        <x:v>3</x:v>
      </x:c>
      <x:c r="R747" s="110" t="n">
        <x:f>'装备掉落'!$B$38</x:f>
        <x:v>0.6872058758851213</x:v>
      </x:c>
      <x:c r="S747" s="119" t="n">
        <x:f>MAX(IF(VLOOKUP(A747,'装备掉落'!$A$29:$H$34,2,TRUE)&gt;0,1,0),IF(VLOOKUP(A747,'装备掉落'!$A$29:$H$34,3,TRUE)&gt;0,2,0),IF(VLOOKUP(A747,'装备掉落'!$A$29:$H$34,4,TRUE)&gt;0,3,0),IF(VLOOKUP(A747,'装备掉落'!$A$29:$H$34,5,TRUE)&gt;0,4,0),IF(VLOOKUP(A747,'装备掉落'!$A$29:$H$34,6,TRUE)&gt;0,5,0),IF(VLOOKUP(A747,'装备掉落'!$A$29:$H$34,7,TRUE)&gt;0,6,0),IF(VLOOKUP(A747,'装备掉落'!$A$29:$H$34,8,TRUE)&gt;0,7,0))</x:f>
        <x:v>7</x:v>
      </x:c>
      <x:c r="T747" s="119" t="n">
        <x:f>MIN(7,S747+'经济参数'!$E$70)</x:f>
        <x:v>7</x:v>
      </x:c>
      <x:c r="U747" s="119" t="n">
        <x:f>MIN(7,S747+'经济参数'!$E$71)</x:f>
        <x:v>7</x:v>
      </x:c>
      <x:c r="V747" s="119" t="n">
        <x:f>IF(H747&gt;=('难度参数'!$E$52),1,0)+IF(H747&gt;=('难度参数'!$E$52+'难度参数'!$E$53),1,0)+IF(H747&gt;=('难度参数'!$E$52+'难度参数'!$E$53+'难度参数'!$E$54),1,0)+IF(H747&gt;=('难度参数'!$E$52+'难度参数'!$E$53+'难度参数'!$E$54+'难度参数'!$E$55),1,0)+IF(H747&gt;=('难度参数'!$E$52+'难度参数'!$E$53+'难度参数'!$E$54+'难度参数'!$E$55+'难度参数'!$E$56),1,0)+IF(H747&gt;=('难度参数'!$E$52+'难度参数'!$E$53+'难度参数'!$E$54+'难度参数'!$E$55+'难度参数'!$E$56+'难度参数'!$E$57),1,0)</x:f>
        <x:v>6</x:v>
      </x:c>
      <x:c r="W747" s="62" t="str">
        <x:f>IF(L747&gt;'难度参数'!$E$51,"仅出怪已超目标","还需实测")</x:f>
        <x:v>仅出怪已超目标</x:v>
      </x:c>
      <x:c r="X747" s="119" t="n">
        <x:f>IF(1&gt;D747,0,MAX(2,MIN('难度参数'!$E$12,ROUND(('难度参数'!$E$18*POWER(A747,'难度参数'!$E$19)/D747*(0.85+0.3*(1-1)/MAX(1,D747-1))),0)+F747)))</x:f>
        <x:v>40</x:v>
      </x:c>
      <x:c r="Y747" s="119" t="n">
        <x:f>IF(1&gt;D747,0,ROUND(('难度参数'!$E$13*POWER(A747,'难度参数'!$E$20)*MIN('难度参数'!$E$23,1+MAX(0,A747-'难度参数'!$E$21)*'难度参数'!$E$22))*(36+1*7)/(36+7*(D747+1)/2)*E747,0))</x:f>
        <x:v>10566</x:v>
      </x:c>
      <x:c r="Z747" s="119" t="n">
        <x:f>IF(X747=0,0,(X747-IF(1=D747,1,0))*ROUND(Y747*VLOOKUP(INDEX('章节与怪物'!$E$31:$K$37,B747,1),'章节与怪物'!$A$41:$F$44,2,FALSE),0)+IF(1=D747,ROUND(Y747*'难度参数'!$E$28*'章节与怪物'!$E$17,0),0))</x:f>
        <x:v>304320</x:v>
      </x:c>
      <x:c r="AA747" s="119" t="n">
        <x:f>IF(X747=0,0,(X747-IF(1=D747,1,0))*VLOOKUP(INDEX('章节与怪物'!$E$31:$K$37,B747,1),'章节与怪物'!$A$41:$F$44,4,FALSE)+IF(1=D747,'难度参数'!$E$30,0))</x:f>
        <x:v>800</x:v>
      </x:c>
      <x:c r="AB747" s="119" t="n">
        <x:f>IF(2&gt;D747,0,MAX(2,MIN('难度参数'!$E$12,ROUND(('难度参数'!$E$18*POWER(A747,'难度参数'!$E$19)/D747*(0.85+0.3*(2-1)/MAX(1,D747-1))),0)+F747)))</x:f>
        <x:v>43</x:v>
      </x:c>
      <x:c r="AC747" s="119" t="n">
        <x:f>IF(2&gt;D747,0,ROUND(('难度参数'!$E$13*POWER(A747,'难度参数'!$E$20)*MIN('难度参数'!$E$23,1+MAX(0,A747-'难度参数'!$E$21)*'难度参数'!$E$22))*(36+2*7)/(36+7*(D747+1)/2)*E747,0))</x:f>
        <x:v>12286</x:v>
      </x:c>
      <x:c r="AD747" s="119" t="n">
        <x:f>IF(AB747=0,0,(AB747-IF(2=D747,1,0))*ROUND(AC747*VLOOKUP(INDEX('章节与怪物'!$E$31:$K$37,B747,2),'章节与怪物'!$A$41:$F$44,2,FALSE),0)+IF(2=D747,ROUND(AC747*'难度参数'!$E$28*'章节与怪物'!$E$17,0),0))</x:f>
        <x:v>528298</x:v>
      </x:c>
      <x:c r="AE747" s="119" t="n">
        <x:f>IF(AB747=0,0,(AB747-IF(2=D747,1,0))*VLOOKUP(INDEX('章节与怪物'!$E$31:$K$37,B747,2),'章节与怪物'!$A$41:$F$44,4,FALSE)+IF(2=D747,'难度参数'!$E$30,0))</x:f>
        <x:v>774</x:v>
      </x:c>
      <x:c r="AF747" s="119" t="n">
        <x:f>IF(3&gt;D747,0,MAX(2,MIN('难度参数'!$E$12,ROUND(('难度参数'!$E$18*POWER(A747,'难度参数'!$E$19)/D747*(0.85+0.3*(3-1)/MAX(1,D747-1))),0)+F747)))</x:f>
        <x:v>45</x:v>
      </x:c>
      <x:c r="AG747" s="119" t="n">
        <x:f>IF(3&gt;D747,0,ROUND(('难度参数'!$E$13*POWER(A747,'难度参数'!$E$20)*MIN('难度参数'!$E$23,1+MAX(0,A747-'难度参数'!$E$21)*'难度参数'!$E$22))*(36+3*7)/(36+7*(D747+1)/2)*E747,0))</x:f>
        <x:v>14005</x:v>
      </x:c>
      <x:c r="AH747" s="119" t="n">
        <x:f>IF(AF747=0,0,(AF747-IF(3=D747,1,0))*ROUND(AG747*VLOOKUP(INDEX('章节与怪物'!$E$31:$K$37,B747,3),'章节与怪物'!$A$41:$F$44,2,FALSE),0)+IF(3=D747,ROUND(AG747*'难度参数'!$E$28*'章节与怪物'!$E$17,0),0))</x:f>
        <x:v>1071405</x:v>
      </x:c>
      <x:c r="AI747" s="119" t="n">
        <x:f>IF(AF747=0,0,(AF747-IF(3=D747,1,0))*VLOOKUP(INDEX('章节与怪物'!$E$31:$K$37,B747,3),'章节与怪物'!$A$41:$F$44,4,FALSE)+IF(3=D747,'难度参数'!$E$30,0))</x:f>
        <x:v>1260</x:v>
      </x:c>
      <x:c r="AJ747" s="119" t="n">
        <x:f>IF(4&gt;D747,0,MAX(2,MIN('难度参数'!$E$12,ROUND(('难度参数'!$E$18*POWER(A747,'难度参数'!$E$19)/D747*(0.85+0.3*(4-1)/MAX(1,D747-1))),0)+F747)))</x:f>
        <x:v>48</x:v>
      </x:c>
      <x:c r="AK747" s="119" t="n">
        <x:f>IF(4&gt;D747,0,ROUND(('难度参数'!$E$13*POWER(A747,'难度参数'!$E$20)*MIN('难度参数'!$E$23,1+MAX(0,A747-'难度参数'!$E$21)*'难度参数'!$E$22))*(36+4*7)/(36+7*(D747+1)/2)*E747,0))</x:f>
        <x:v>15725</x:v>
      </x:c>
      <x:c r="AL747" s="119" t="n">
        <x:f>IF(AJ747=0,0,(AJ747-IF(4=D747,1,0))*ROUND(AK747*VLOOKUP(INDEX('章节与怪物'!$E$31:$K$37,B747,4),'章节与怪物'!$A$41:$F$44,2,FALSE),0)+IF(4=D747,ROUND(AK747*'难度参数'!$E$28*'章节与怪物'!$E$17,0),0))</x:f>
        <x:v>1018992</x:v>
      </x:c>
      <x:c r="AM747" s="119" t="n">
        <x:f>IF(AJ747=0,0,(AJ747-IF(4=D747,1,0))*VLOOKUP(INDEX('章节与怪物'!$E$31:$K$37,B747,4),'章节与怪物'!$A$41:$F$44,4,FALSE)+IF(4=D747,'难度参数'!$E$30,0))</x:f>
        <x:v>1632</x:v>
      </x:c>
      <x:c r="AN747" s="119" t="n">
        <x:f>IF(5&gt;D747,0,MAX(2,MIN('难度参数'!$E$12,ROUND(('难度参数'!$E$18*POWER(A747,'难度参数'!$E$19)/D747*(0.85+0.3*(5-1)/MAX(1,D747-1))),0)+F747)))</x:f>
        <x:v>50</x:v>
      </x:c>
      <x:c r="AO747" s="119" t="n">
        <x:f>IF(5&gt;D747,0,ROUND(('难度参数'!$E$13*POWER(A747,'难度参数'!$E$20)*MIN('难度参数'!$E$23,1+MAX(0,A747-'难度参数'!$E$21)*'难度参数'!$E$22))*(36+5*7)/(36+7*(D747+1)/2)*E747,0))</x:f>
        <x:v>17445</x:v>
      </x:c>
      <x:c r="AP747" s="119" t="n">
        <x:f>IF(AN747=0,0,(AN747-IF(5=D747,1,0))*ROUND(AO747*VLOOKUP(INDEX('章节与怪物'!$E$31:$K$37,B747,5),'章节与怪物'!$A$41:$F$44,2,FALSE),0)+IF(5=D747,ROUND(AO747*'难度参数'!$E$28*'章节与怪物'!$E$17,0),0))</x:f>
        <x:v>872250</x:v>
      </x:c>
      <x:c r="AQ747" s="119" t="n">
        <x:f>IF(AN747=0,0,(AN747-IF(5=D747,1,0))*VLOOKUP(INDEX('章节与怪物'!$E$31:$K$37,B747,5),'章节与怪物'!$A$41:$F$44,4,FALSE)+IF(5=D747,'难度参数'!$E$30,0))</x:f>
        <x:v>900</x:v>
      </x:c>
      <x:c r="AR747" s="119" t="n">
        <x:f>IF(6&gt;D747,0,MAX(2,MIN('难度参数'!$E$12,ROUND(('难度参数'!$E$18*POWER(A747,'难度参数'!$E$19)/D747*(0.85+0.3*(6-1)/MAX(1,D747-1))),0)+F747)))</x:f>
        <x:v>52</x:v>
      </x:c>
      <x:c r="AS747" s="119" t="n">
        <x:f>IF(6&gt;D747,0,ROUND(('难度参数'!$E$13*POWER(A747,'难度参数'!$E$20)*MIN('难度参数'!$E$23,1+MAX(0,A747-'难度参数'!$E$21)*'难度参数'!$E$22))*(36+6*7)/(36+7*(D747+1)/2)*E747,0))</x:f>
        <x:v>19165</x:v>
      </x:c>
      <x:c r="AT747" s="119" t="n">
        <x:f>IF(AR747=0,0,(AR747-IF(6=D747,1,0))*ROUND(AS747*VLOOKUP(INDEX('章节与怪物'!$E$31:$K$37,B747,6),'章节与怪物'!$A$41:$F$44,2,FALSE),0)+IF(6=D747,ROUND(AS747*'难度参数'!$E$28*'章节与怪物'!$E$17,0),0))</x:f>
        <x:v>1694212</x:v>
      </x:c>
      <x:c r="AU747" s="119" t="n">
        <x:f>IF(AR747=0,0,(AR747-IF(6=D747,1,0))*VLOOKUP(INDEX('章节与怪物'!$E$31:$K$37,B747,6),'章节与怪物'!$A$41:$F$44,4,FALSE)+IF(6=D747,'难度参数'!$E$30,0))</x:f>
        <x:v>1456</x:v>
      </x:c>
      <x:c r="AV747" s="119" t="n">
        <x:f>IF(7&gt;D747,0,MAX(2,MIN('难度参数'!$E$12,ROUND(('难度参数'!$E$18*POWER(A747,'难度参数'!$E$19)/D747*(0.85+0.3*(7-1)/MAX(1,D747-1))),0)+F747)))</x:f>
        <x:v>55</x:v>
      </x:c>
      <x:c r="AW747" s="119" t="n">
        <x:f>IF(7&gt;D747,0,ROUND(('难度参数'!$E$13*POWER(A747,'难度参数'!$E$20)*MIN('难度参数'!$E$23,1+MAX(0,A747-'难度参数'!$E$21)*'难度参数'!$E$22))*(36+7*7)/(36+7*(D747+1)/2)*E747,0))</x:f>
        <x:v>20885</x:v>
      </x:c>
      <x:c r="AX747" s="119" t="n">
        <x:f>IF(AV747=0,0,(AV747-IF(7=D747,1,0))*ROUND(AW747*VLOOKUP(INDEX('章节与怪物'!$E$31:$K$37,B747,7),'章节与怪物'!$A$41:$F$44,2,FALSE),0)+IF(7=D747,ROUND(AW747*'难度参数'!$E$28*'章节与怪物'!$E$17,0),0))</x:f>
        <x:v>1664548</x:v>
      </x:c>
      <x:c r="AY747" s="119" t="n">
        <x:f>IF(AV747=0,0,(AV747-IF(7=D747,1,0))*VLOOKUP(INDEX('章节与怪物'!$E$31:$K$37,B747,7),'章节与怪物'!$A$41:$F$44,4,FALSE)+IF(7=D747,'难度参数'!$E$30,0))</x:f>
        <x:v>2036</x:v>
      </x:c>
    </x:row>
    <x:row r="748" ht="23" customHeight="1">
      <x:c r="A748" s="119" t="n">
        <x:v>742</x:v>
      </x:c>
      <x:c r="B748" s="119" t="n">
        <x:f>MOD(INT((A748-1)/5),7)+1</x:f>
        <x:v>2</x:v>
      </x:c>
      <x:c r="C748" s="62" t="str">
        <x:f>INDEX('章节与怪物'!$B$31:$B$37,B748)</x:f>
        <x:v>黄沙要塞</x:v>
      </x:c>
      <x:c r="D748" s="119" t="n">
        <x:f>MIN('难度参数'!$E$8,MAX('难度参数'!$E$7,A748))</x:f>
        <x:v>7</x:v>
      </x:c>
      <x:c r="E748" s="106" t="n">
        <x:v>1</x:v>
      </x:c>
      <x:c r="F748" s="106" t="n">
        <x:v>0</x:v>
      </x:c>
      <x:c r="G748" s="106" t="n">
        <x:v>1</x:v>
      </x:c>
      <x:c r="H748" s="119" t="n">
        <x:f>SUM(X748,AB748,AF748,AJ748,AN748,AR748,AV748)</x:f>
        <x:v>334</x:v>
      </x:c>
      <x:c r="I748" s="119" t="n">
        <x:f>SUM(Z748,AD748,AH748,AL748,AP748,AT748,AX748)</x:f>
        <x:v>7168605</x:v>
      </x:c>
      <x:c r="J748" s="119" t="n">
        <x:f>ROUND(INDEX(X748:AY748,1,(D748-1)*4+2)*'难度参数'!$E$28*'章节与怪物'!$E$17,0)</x:f>
        <x:v>142161</x:v>
      </x:c>
      <x:c r="K748" s="119" t="n">
        <x:f>SUM(AA748,AE748,AI748,AM748,AQ748,AU748,AY748)</x:f>
        <x:v>8878</x:v>
      </x:c>
      <x:c r="L748" s="62" t="n">
        <x:f>H748*(ROUNDUP('难度参数'!$E$24/('难度参数'!$E$26*'难度参数'!$E$27),0)*'难度参数'!$E$26)/60</x:f>
        <x:v>4.453333333333333</x:v>
      </x:c>
      <x:c r="M748" s="62" t="n">
        <x:f>L748+D748*('难度参数'!$E$49+'难度参数'!$E$50)/60</x:f>
        <x:v>5.62</x:v>
      </x:c>
      <x:c r="N748" s="119" t="n">
        <x:f>ROUNDDOWN(('经济参数'!$E$20+A748*'经济参数'!$E$21)*G748,0)</x:f>
        <x:v>15020</x:v>
      </x:c>
      <x:c r="O748" s="119" t="n">
        <x:f>ROUNDDOWN(MIN('经济参数'!$E$24,'经济参数'!$E$22+A748*'经济参数'!$E$23)*G748,0)</x:f>
        <x:v>0</x:v>
      </x:c>
      <x:c r="P748" s="119" t="n">
        <x:f>ROUNDDOWN((IF(A748&gt;='材料与任务'!$E$31,'材料与任务'!$E$32,IF(A748&gt;='材料与任务'!$E$25,'材料与任务'!$E$26,IF(A748&gt;='材料与任务'!$E$19,'材料与任务'!$E$20,IF(A748&gt;='材料与任务'!$E$13,'材料与任务'!$E$14,'材料与任务'!$E$8)))))*G748,0)</x:f>
        <x:v>6</x:v>
      </x:c>
      <x:c r="Q748" s="119" t="n">
        <x:f>ROUNDDOWN((IF(A748&gt;='材料与任务'!$E$31,'材料与任务'!$E$33,IF(A748&gt;='材料与任务'!$E$25,'材料与任务'!$E$27,IF(A748&gt;='材料与任务'!$E$19,'材料与任务'!$E$21,IF(A748&gt;='材料与任务'!$E$13,'材料与任务'!$E$15,'材料与任务'!$E$9)))))*G748,0)</x:f>
        <x:v>3</x:v>
      </x:c>
      <x:c r="R748" s="110" t="n">
        <x:f>'装备掉落'!$B$38</x:f>
        <x:v>0.6872058758851213</x:v>
      </x:c>
      <x:c r="S748" s="119" t="n">
        <x:f>MAX(IF(VLOOKUP(A748,'装备掉落'!$A$29:$H$34,2,TRUE)&gt;0,1,0),IF(VLOOKUP(A748,'装备掉落'!$A$29:$H$34,3,TRUE)&gt;0,2,0),IF(VLOOKUP(A748,'装备掉落'!$A$29:$H$34,4,TRUE)&gt;0,3,0),IF(VLOOKUP(A748,'装备掉落'!$A$29:$H$34,5,TRUE)&gt;0,4,0),IF(VLOOKUP(A748,'装备掉落'!$A$29:$H$34,6,TRUE)&gt;0,5,0),IF(VLOOKUP(A748,'装备掉落'!$A$29:$H$34,7,TRUE)&gt;0,6,0),IF(VLOOKUP(A748,'装备掉落'!$A$29:$H$34,8,TRUE)&gt;0,7,0))</x:f>
        <x:v>7</x:v>
      </x:c>
      <x:c r="T748" s="119" t="n">
        <x:f>MIN(7,S748+'经济参数'!$E$70)</x:f>
        <x:v>7</x:v>
      </x:c>
      <x:c r="U748" s="119" t="n">
        <x:f>MIN(7,S748+'经济参数'!$E$71)</x:f>
        <x:v>7</x:v>
      </x:c>
      <x:c r="V748" s="119" t="n">
        <x:f>IF(H748&gt;=('难度参数'!$E$52),1,0)+IF(H748&gt;=('难度参数'!$E$52+'难度参数'!$E$53),1,0)+IF(H748&gt;=('难度参数'!$E$52+'难度参数'!$E$53+'难度参数'!$E$54),1,0)+IF(H748&gt;=('难度参数'!$E$52+'难度参数'!$E$53+'难度参数'!$E$54+'难度参数'!$E$55),1,0)+IF(H748&gt;=('难度参数'!$E$52+'难度参数'!$E$53+'难度参数'!$E$54+'难度参数'!$E$55+'难度参数'!$E$56),1,0)+IF(H748&gt;=('难度参数'!$E$52+'难度参数'!$E$53+'难度参数'!$E$54+'难度参数'!$E$55+'难度参数'!$E$56+'难度参数'!$E$57),1,0)</x:f>
        <x:v>6</x:v>
      </x:c>
      <x:c r="W748" s="62" t="str">
        <x:f>IF(L748&gt;'难度参数'!$E$51,"仅出怪已超目标","还需实测")</x:f>
        <x:v>仅出怪已超目标</x:v>
      </x:c>
      <x:c r="X748" s="119" t="n">
        <x:f>IF(1&gt;D748,0,MAX(2,MIN('难度参数'!$E$12,ROUND(('难度参数'!$E$18*POWER(A748,'难度参数'!$E$19)/D748*(0.85+0.3*(1-1)/MAX(1,D748-1))),0)+F748)))</x:f>
        <x:v>41</x:v>
      </x:c>
      <x:c r="Y748" s="119" t="n">
        <x:f>IF(1&gt;D748,0,ROUND(('难度参数'!$E$13*POWER(A748,'难度参数'!$E$20)*MIN('难度参数'!$E$23,1+MAX(0,A748-'难度参数'!$E$21)*'难度参数'!$E$22))*(36+1*7)/(36+7*(D748+1)/2)*E748,0))</x:f>
        <x:v>10576</x:v>
      </x:c>
      <x:c r="Z748" s="119" t="n">
        <x:f>IF(X748=0,0,(X748-IF(1=D748,1,0))*ROUND(Y748*VLOOKUP(INDEX('章节与怪物'!$E$31:$K$37,B748,1),'章节与怪物'!$A$41:$F$44,2,FALSE),0)+IF(1=D748,ROUND(Y748*'难度参数'!$E$28*'章节与怪物'!$E$17,0),0))</x:f>
        <x:v>312215</x:v>
      </x:c>
      <x:c r="AA748" s="119" t="n">
        <x:f>IF(X748=0,0,(X748-IF(1=D748,1,0))*VLOOKUP(INDEX('章节与怪物'!$E$31:$K$37,B748,1),'章节与怪物'!$A$41:$F$44,4,FALSE)+IF(1=D748,'难度参数'!$E$30,0))</x:f>
        <x:v>820</x:v>
      </x:c>
      <x:c r="AB748" s="119" t="n">
        <x:f>IF(2&gt;D748,0,MAX(2,MIN('难度参数'!$E$12,ROUND(('难度参数'!$E$18*POWER(A748,'难度参数'!$E$19)/D748*(0.85+0.3*(2-1)/MAX(1,D748-1))),0)+F748)))</x:f>
        <x:v>43</x:v>
      </x:c>
      <x:c r="AC748" s="119" t="n">
        <x:f>IF(2&gt;D748,0,ROUND(('难度参数'!$E$13*POWER(A748,'难度参数'!$E$20)*MIN('难度参数'!$E$23,1+MAX(0,A748-'难度参数'!$E$21)*'难度参数'!$E$22))*(36+2*7)/(36+7*(D748+1)/2)*E748,0))</x:f>
        <x:v>12297</x:v>
      </x:c>
      <x:c r="AD748" s="119" t="n">
        <x:f>IF(AB748=0,0,(AB748-IF(2=D748,1,0))*ROUND(AC748*VLOOKUP(INDEX('章节与怪物'!$E$31:$K$37,B748,2),'章节与怪物'!$A$41:$F$44,2,FALSE),0)+IF(2=D748,ROUND(AC748*'难度参数'!$E$28*'章节与怪物'!$E$17,0),0))</x:f>
        <x:v>528771</x:v>
      </x:c>
      <x:c r="AE748" s="119" t="n">
        <x:f>IF(AB748=0,0,(AB748-IF(2=D748,1,0))*VLOOKUP(INDEX('章节与怪物'!$E$31:$K$37,B748,2),'章节与怪物'!$A$41:$F$44,4,FALSE)+IF(2=D748,'难度参数'!$E$30,0))</x:f>
        <x:v>774</x:v>
      </x:c>
      <x:c r="AF748" s="119" t="n">
        <x:f>IF(3&gt;D748,0,MAX(2,MIN('难度参数'!$E$12,ROUND(('难度参数'!$E$18*POWER(A748,'难度参数'!$E$19)/D748*(0.85+0.3*(3-1)/MAX(1,D748-1))),0)+F748)))</x:f>
        <x:v>45</x:v>
      </x:c>
      <x:c r="AG748" s="119" t="n">
        <x:f>IF(3&gt;D748,0,ROUND(('难度参数'!$E$13*POWER(A748,'难度参数'!$E$20)*MIN('难度参数'!$E$23,1+MAX(0,A748-'难度参数'!$E$21)*'难度参数'!$E$22))*(36+3*7)/(36+7*(D748+1)/2)*E748,0))</x:f>
        <x:v>14019</x:v>
      </x:c>
      <x:c r="AH748" s="119" t="n">
        <x:f>IF(AF748=0,0,(AF748-IF(3=D748,1,0))*ROUND(AG748*VLOOKUP(INDEX('章节与怪物'!$E$31:$K$37,B748,3),'章节与怪物'!$A$41:$F$44,2,FALSE),0)+IF(3=D748,ROUND(AG748*'难度参数'!$E$28*'章节与怪物'!$E$17,0),0))</x:f>
        <x:v>1072440</x:v>
      </x:c>
      <x:c r="AI748" s="119" t="n">
        <x:f>IF(AF748=0,0,(AF748-IF(3=D748,1,0))*VLOOKUP(INDEX('章节与怪物'!$E$31:$K$37,B748,3),'章节与怪物'!$A$41:$F$44,4,FALSE)+IF(3=D748,'难度参数'!$E$30,0))</x:f>
        <x:v>1260</x:v>
      </x:c>
      <x:c r="AJ748" s="119" t="n">
        <x:f>IF(4&gt;D748,0,MAX(2,MIN('难度参数'!$E$12,ROUND(('难度参数'!$E$18*POWER(A748,'难度参数'!$E$19)/D748*(0.85+0.3*(4-1)/MAX(1,D748-1))),0)+F748)))</x:f>
        <x:v>48</x:v>
      </x:c>
      <x:c r="AK748" s="119" t="n">
        <x:f>IF(4&gt;D748,0,ROUND(('难度参数'!$E$13*POWER(A748,'难度参数'!$E$20)*MIN('难度参数'!$E$23,1+MAX(0,A748-'难度参数'!$E$21)*'难度参数'!$E$22))*(36+4*7)/(36+7*(D748+1)/2)*E748,0))</x:f>
        <x:v>15741</x:v>
      </x:c>
      <x:c r="AL748" s="119" t="n">
        <x:f>IF(AJ748=0,0,(AJ748-IF(4=D748,1,0))*ROUND(AK748*VLOOKUP(INDEX('章节与怪物'!$E$31:$K$37,B748,4),'章节与怪物'!$A$41:$F$44,2,FALSE),0)+IF(4=D748,ROUND(AK748*'难度参数'!$E$28*'章节与怪物'!$E$17,0),0))</x:f>
        <x:v>1020000</x:v>
      </x:c>
      <x:c r="AM748" s="119" t="n">
        <x:f>IF(AJ748=0,0,(AJ748-IF(4=D748,1,0))*VLOOKUP(INDEX('章节与怪物'!$E$31:$K$37,B748,4),'章节与怪物'!$A$41:$F$44,4,FALSE)+IF(4=D748,'难度参数'!$E$30,0))</x:f>
        <x:v>1632</x:v>
      </x:c>
      <x:c r="AN748" s="119" t="n">
        <x:f>IF(5&gt;D748,0,MAX(2,MIN('难度参数'!$E$12,ROUND(('难度参数'!$E$18*POWER(A748,'难度参数'!$E$19)/D748*(0.85+0.3*(5-1)/MAX(1,D748-1))),0)+F748)))</x:f>
        <x:v>50</x:v>
      </x:c>
      <x:c r="AO748" s="119" t="n">
        <x:f>IF(5&gt;D748,0,ROUND(('难度参数'!$E$13*POWER(A748,'难度参数'!$E$20)*MIN('难度参数'!$E$23,1+MAX(0,A748-'难度参数'!$E$21)*'难度参数'!$E$22))*(36+5*7)/(36+7*(D748+1)/2)*E748,0))</x:f>
        <x:v>17462</x:v>
      </x:c>
      <x:c r="AP748" s="119" t="n">
        <x:f>IF(AN748=0,0,(AN748-IF(5=D748,1,0))*ROUND(AO748*VLOOKUP(INDEX('章节与怪物'!$E$31:$K$37,B748,5),'章节与怪物'!$A$41:$F$44,2,FALSE),0)+IF(5=D748,ROUND(AO748*'难度参数'!$E$28*'章节与怪物'!$E$17,0),0))</x:f>
        <x:v>873100</x:v>
      </x:c>
      <x:c r="AQ748" s="119" t="n">
        <x:f>IF(AN748=0,0,(AN748-IF(5=D748,1,0))*VLOOKUP(INDEX('章节与怪物'!$E$31:$K$37,B748,5),'章节与怪物'!$A$41:$F$44,4,FALSE)+IF(5=D748,'难度参数'!$E$30,0))</x:f>
        <x:v>900</x:v>
      </x:c>
      <x:c r="AR748" s="119" t="n">
        <x:f>IF(6&gt;D748,0,MAX(2,MIN('难度参数'!$E$12,ROUND(('难度参数'!$E$18*POWER(A748,'难度参数'!$E$19)/D748*(0.85+0.3*(6-1)/MAX(1,D748-1))),0)+F748)))</x:f>
        <x:v>52</x:v>
      </x:c>
      <x:c r="AS748" s="119" t="n">
        <x:f>IF(6&gt;D748,0,ROUND(('难度参数'!$E$13*POWER(A748,'难度参数'!$E$20)*MIN('难度参数'!$E$23,1+MAX(0,A748-'难度参数'!$E$21)*'难度参数'!$E$22))*(36+6*7)/(36+7*(D748+1)/2)*E748,0))</x:f>
        <x:v>19184</x:v>
      </x:c>
      <x:c r="AT748" s="119" t="n">
        <x:f>IF(AR748=0,0,(AR748-IF(6=D748,1,0))*ROUND(AS748*VLOOKUP(INDEX('章节与怪物'!$E$31:$K$37,B748,6),'章节与怪物'!$A$41:$F$44,2,FALSE),0)+IF(6=D748,ROUND(AS748*'难度参数'!$E$28*'章节与怪物'!$E$17,0),0))</x:f>
        <x:v>1695876</x:v>
      </x:c>
      <x:c r="AU748" s="119" t="n">
        <x:f>IF(AR748=0,0,(AR748-IF(6=D748,1,0))*VLOOKUP(INDEX('章节与怪物'!$E$31:$K$37,B748,6),'章节与怪物'!$A$41:$F$44,4,FALSE)+IF(6=D748,'难度参数'!$E$30,0))</x:f>
        <x:v>1456</x:v>
      </x:c>
      <x:c r="AV748" s="119" t="n">
        <x:f>IF(7&gt;D748,0,MAX(2,MIN('难度参数'!$E$12,ROUND(('难度参数'!$E$18*POWER(A748,'难度参数'!$E$19)/D748*(0.85+0.3*(7-1)/MAX(1,D748-1))),0)+F748)))</x:f>
        <x:v>55</x:v>
      </x:c>
      <x:c r="AW748" s="119" t="n">
        <x:f>IF(7&gt;D748,0,ROUND(('难度参数'!$E$13*POWER(A748,'难度参数'!$E$20)*MIN('难度参数'!$E$23,1+MAX(0,A748-'难度参数'!$E$21)*'难度参数'!$E$22))*(36+7*7)/(36+7*(D748+1)/2)*E748,0))</x:f>
        <x:v>20906</x:v>
      </x:c>
      <x:c r="AX748" s="119" t="n">
        <x:f>IF(AV748=0,0,(AV748-IF(7=D748,1,0))*ROUND(AW748*VLOOKUP(INDEX('章节与怪物'!$E$31:$K$37,B748,7),'章节与怪物'!$A$41:$F$44,2,FALSE),0)+IF(7=D748,ROUND(AW748*'难度参数'!$E$28*'章节与怪物'!$E$17,0),0))</x:f>
        <x:v>1666203</x:v>
      </x:c>
      <x:c r="AY748" s="119" t="n">
        <x:f>IF(AV748=0,0,(AV748-IF(7=D748,1,0))*VLOOKUP(INDEX('章节与怪物'!$E$31:$K$37,B748,7),'章节与怪物'!$A$41:$F$44,4,FALSE)+IF(7=D748,'难度参数'!$E$30,0))</x:f>
        <x:v>2036</x:v>
      </x:c>
    </x:row>
    <x:row r="749" ht="23" customHeight="1">
      <x:c r="A749" s="119" t="n">
        <x:v>743</x:v>
      </x:c>
      <x:c r="B749" s="119" t="n">
        <x:f>MOD(INT((A749-1)/5),7)+1</x:f>
        <x:v>2</x:v>
      </x:c>
      <x:c r="C749" s="62" t="str">
        <x:f>INDEX('章节与怪物'!$B$31:$B$37,B749)</x:f>
        <x:v>黄沙要塞</x:v>
      </x:c>
      <x:c r="D749" s="119" t="n">
        <x:f>MIN('难度参数'!$E$8,MAX('难度参数'!$E$7,A749))</x:f>
        <x:v>7</x:v>
      </x:c>
      <x:c r="E749" s="106" t="n">
        <x:v>1</x:v>
      </x:c>
      <x:c r="F749" s="106" t="n">
        <x:v>0</x:v>
      </x:c>
      <x:c r="G749" s="106" t="n">
        <x:v>1</x:v>
      </x:c>
      <x:c r="H749" s="119" t="n">
        <x:f>SUM(X749,AB749,AF749,AJ749,AN749,AR749,AV749)</x:f>
        <x:v>334</x:v>
      </x:c>
      <x:c r="I749" s="119" t="n">
        <x:f>SUM(Z749,AD749,AH749,AL749,AP749,AT749,AX749)</x:f>
        <x:v>7175604</x:v>
      </x:c>
      <x:c r="J749" s="119" t="n">
        <x:f>ROUND(INDEX(X749:AY749,1,(D749-1)*4+2)*'难度参数'!$E$28*'章节与怪物'!$E$17,0)</x:f>
        <x:v>142297</x:v>
      </x:c>
      <x:c r="K749" s="119" t="n">
        <x:f>SUM(AA749,AE749,AI749,AM749,AQ749,AU749,AY749)</x:f>
        <x:v>8878</x:v>
      </x:c>
      <x:c r="L749" s="62" t="n">
        <x:f>H749*(ROUNDUP('难度参数'!$E$24/('难度参数'!$E$26*'难度参数'!$E$27),0)*'难度参数'!$E$26)/60</x:f>
        <x:v>4.453333333333333</x:v>
      </x:c>
      <x:c r="M749" s="62" t="n">
        <x:f>L749+D749*('难度参数'!$E$49+'难度参数'!$E$50)/60</x:f>
        <x:v>5.62</x:v>
      </x:c>
      <x:c r="N749" s="119" t="n">
        <x:f>ROUNDDOWN(('经济参数'!$E$20+A749*'经济参数'!$E$21)*G749,0)</x:f>
        <x:v>15040</x:v>
      </x:c>
      <x:c r="O749" s="119" t="n">
        <x:f>ROUNDDOWN(MIN('经济参数'!$E$24,'经济参数'!$E$22+A749*'经济参数'!$E$23)*G749,0)</x:f>
        <x:v>0</x:v>
      </x:c>
      <x:c r="P749" s="119" t="n">
        <x:f>ROUNDDOWN((IF(A749&gt;='材料与任务'!$E$31,'材料与任务'!$E$32,IF(A749&gt;='材料与任务'!$E$25,'材料与任务'!$E$26,IF(A749&gt;='材料与任务'!$E$19,'材料与任务'!$E$20,IF(A749&gt;='材料与任务'!$E$13,'材料与任务'!$E$14,'材料与任务'!$E$8)))))*G749,0)</x:f>
        <x:v>6</x:v>
      </x:c>
      <x:c r="Q749" s="119" t="n">
        <x:f>ROUNDDOWN((IF(A749&gt;='材料与任务'!$E$31,'材料与任务'!$E$33,IF(A749&gt;='材料与任务'!$E$25,'材料与任务'!$E$27,IF(A749&gt;='材料与任务'!$E$19,'材料与任务'!$E$21,IF(A749&gt;='材料与任务'!$E$13,'材料与任务'!$E$15,'材料与任务'!$E$9)))))*G749,0)</x:f>
        <x:v>3</x:v>
      </x:c>
      <x:c r="R749" s="110" t="n">
        <x:f>'装备掉落'!$B$38</x:f>
        <x:v>0.6872058758851213</x:v>
      </x:c>
      <x:c r="S749" s="119" t="n">
        <x:f>MAX(IF(VLOOKUP(A749,'装备掉落'!$A$29:$H$34,2,TRUE)&gt;0,1,0),IF(VLOOKUP(A749,'装备掉落'!$A$29:$H$34,3,TRUE)&gt;0,2,0),IF(VLOOKUP(A749,'装备掉落'!$A$29:$H$34,4,TRUE)&gt;0,3,0),IF(VLOOKUP(A749,'装备掉落'!$A$29:$H$34,5,TRUE)&gt;0,4,0),IF(VLOOKUP(A749,'装备掉落'!$A$29:$H$34,6,TRUE)&gt;0,5,0),IF(VLOOKUP(A749,'装备掉落'!$A$29:$H$34,7,TRUE)&gt;0,6,0),IF(VLOOKUP(A749,'装备掉落'!$A$29:$H$34,8,TRUE)&gt;0,7,0))</x:f>
        <x:v>7</x:v>
      </x:c>
      <x:c r="T749" s="119" t="n">
        <x:f>MIN(7,S749+'经济参数'!$E$70)</x:f>
        <x:v>7</x:v>
      </x:c>
      <x:c r="U749" s="119" t="n">
        <x:f>MIN(7,S749+'经济参数'!$E$71)</x:f>
        <x:v>7</x:v>
      </x:c>
      <x:c r="V749" s="119" t="n">
        <x:f>IF(H749&gt;=('难度参数'!$E$52),1,0)+IF(H749&gt;=('难度参数'!$E$52+'难度参数'!$E$53),1,0)+IF(H749&gt;=('难度参数'!$E$52+'难度参数'!$E$53+'难度参数'!$E$54),1,0)+IF(H749&gt;=('难度参数'!$E$52+'难度参数'!$E$53+'难度参数'!$E$54+'难度参数'!$E$55),1,0)+IF(H749&gt;=('难度参数'!$E$52+'难度参数'!$E$53+'难度参数'!$E$54+'难度参数'!$E$55+'难度参数'!$E$56),1,0)+IF(H749&gt;=('难度参数'!$E$52+'难度参数'!$E$53+'难度参数'!$E$54+'难度参数'!$E$55+'难度参数'!$E$56+'难度参数'!$E$57),1,0)</x:f>
        <x:v>6</x:v>
      </x:c>
      <x:c r="W749" s="62" t="str">
        <x:f>IF(L749&gt;'难度参数'!$E$51,"仅出怪已超目标","还需实测")</x:f>
        <x:v>仅出怪已超目标</x:v>
      </x:c>
      <x:c r="X749" s="119" t="n">
        <x:f>IF(1&gt;D749,0,MAX(2,MIN('难度参数'!$E$12,ROUND(('难度参数'!$E$18*POWER(A749,'难度参数'!$E$19)/D749*(0.85+0.3*(1-1)/MAX(1,D749-1))),0)+F749)))</x:f>
        <x:v>41</x:v>
      </x:c>
      <x:c r="Y749" s="119" t="n">
        <x:f>IF(1&gt;D749,0,ROUND(('难度参数'!$E$13*POWER(A749,'难度参数'!$E$20)*MIN('难度参数'!$E$23,1+MAX(0,A749-'难度参数'!$E$21)*'难度参数'!$E$22))*(36+1*7)/(36+7*(D749+1)/2)*E749,0))</x:f>
        <x:v>10586</x:v>
      </x:c>
      <x:c r="Z749" s="119" t="n">
        <x:f>IF(X749=0,0,(X749-IF(1=D749,1,0))*ROUND(Y749*VLOOKUP(INDEX('章节与怪物'!$E$31:$K$37,B749,1),'章节与怪物'!$A$41:$F$44,2,FALSE),0)+IF(1=D749,ROUND(Y749*'难度参数'!$E$28*'章节与怪物'!$E$17,0),0))</x:f>
        <x:v>312502</x:v>
      </x:c>
      <x:c r="AA749" s="119" t="n">
        <x:f>IF(X749=0,0,(X749-IF(1=D749,1,0))*VLOOKUP(INDEX('章节与怪物'!$E$31:$K$37,B749,1),'章节与怪物'!$A$41:$F$44,4,FALSE)+IF(1=D749,'难度参数'!$E$30,0))</x:f>
        <x:v>820</x:v>
      </x:c>
      <x:c r="AB749" s="119" t="n">
        <x:f>IF(2&gt;D749,0,MAX(2,MIN('难度参数'!$E$12,ROUND(('难度参数'!$E$18*POWER(A749,'难度参数'!$E$19)/D749*(0.85+0.3*(2-1)/MAX(1,D749-1))),0)+F749)))</x:f>
        <x:v>43</x:v>
      </x:c>
      <x:c r="AC749" s="119" t="n">
        <x:f>IF(2&gt;D749,0,ROUND(('难度参数'!$E$13*POWER(A749,'难度参数'!$E$20)*MIN('难度参数'!$E$23,1+MAX(0,A749-'难度参数'!$E$21)*'难度参数'!$E$22))*(36+2*7)/(36+7*(D749+1)/2)*E749,0))</x:f>
        <x:v>12309</x:v>
      </x:c>
      <x:c r="AD749" s="119" t="n">
        <x:f>IF(AB749=0,0,(AB749-IF(2=D749,1,0))*ROUND(AC749*VLOOKUP(INDEX('章节与怪物'!$E$31:$K$37,B749,2),'章节与怪物'!$A$41:$F$44,2,FALSE),0)+IF(2=D749,ROUND(AC749*'难度参数'!$E$28*'章节与怪物'!$E$17,0),0))</x:f>
        <x:v>529287</x:v>
      </x:c>
      <x:c r="AE749" s="119" t="n">
        <x:f>IF(AB749=0,0,(AB749-IF(2=D749,1,0))*VLOOKUP(INDEX('章节与怪物'!$E$31:$K$37,B749,2),'章节与怪物'!$A$41:$F$44,4,FALSE)+IF(2=D749,'难度参数'!$E$30,0))</x:f>
        <x:v>774</x:v>
      </x:c>
      <x:c r="AF749" s="119" t="n">
        <x:f>IF(3&gt;D749,0,MAX(2,MIN('难度参数'!$E$12,ROUND(('难度参数'!$E$18*POWER(A749,'难度参数'!$E$19)/D749*(0.85+0.3*(3-1)/MAX(1,D749-1))),0)+F749)))</x:f>
        <x:v>45</x:v>
      </x:c>
      <x:c r="AG749" s="119" t="n">
        <x:f>IF(3&gt;D749,0,ROUND(('难度参数'!$E$13*POWER(A749,'难度参数'!$E$20)*MIN('难度参数'!$E$23,1+MAX(0,A749-'难度参数'!$E$21)*'难度参数'!$E$22))*(36+3*7)/(36+7*(D749+1)/2)*E749,0))</x:f>
        <x:v>14033</x:v>
      </x:c>
      <x:c r="AH749" s="119" t="n">
        <x:f>IF(AF749=0,0,(AF749-IF(3=D749,1,0))*ROUND(AG749*VLOOKUP(INDEX('章节与怪物'!$E$31:$K$37,B749,3),'章节与怪物'!$A$41:$F$44,2,FALSE),0)+IF(3=D749,ROUND(AG749*'难度参数'!$E$28*'章节与怪物'!$E$17,0),0))</x:f>
        <x:v>1073520</x:v>
      </x:c>
      <x:c r="AI749" s="119" t="n">
        <x:f>IF(AF749=0,0,(AF749-IF(3=D749,1,0))*VLOOKUP(INDEX('章节与怪物'!$E$31:$K$37,B749,3),'章节与怪物'!$A$41:$F$44,4,FALSE)+IF(3=D749,'难度参数'!$E$30,0))</x:f>
        <x:v>1260</x:v>
      </x:c>
      <x:c r="AJ749" s="119" t="n">
        <x:f>IF(4&gt;D749,0,MAX(2,MIN('难度参数'!$E$12,ROUND(('难度参数'!$E$18*POWER(A749,'难度参数'!$E$19)/D749*(0.85+0.3*(4-1)/MAX(1,D749-1))),0)+F749)))</x:f>
        <x:v>48</x:v>
      </x:c>
      <x:c r="AK749" s="119" t="n">
        <x:f>IF(4&gt;D749,0,ROUND(('难度参数'!$E$13*POWER(A749,'难度参数'!$E$20)*MIN('难度参数'!$E$23,1+MAX(0,A749-'难度参数'!$E$21)*'难度参数'!$E$22))*(36+4*7)/(36+7*(D749+1)/2)*E749,0))</x:f>
        <x:v>15756</x:v>
      </x:c>
      <x:c r="AL749" s="119" t="n">
        <x:f>IF(AJ749=0,0,(AJ749-IF(4=D749,1,0))*ROUND(AK749*VLOOKUP(INDEX('章节与怪物'!$E$31:$K$37,B749,4),'章节与怪物'!$A$41:$F$44,2,FALSE),0)+IF(4=D749,ROUND(AK749*'难度参数'!$E$28*'章节与怪物'!$E$17,0),0))</x:f>
        <x:v>1021008</x:v>
      </x:c>
      <x:c r="AM749" s="119" t="n">
        <x:f>IF(AJ749=0,0,(AJ749-IF(4=D749,1,0))*VLOOKUP(INDEX('章节与怪物'!$E$31:$K$37,B749,4),'章节与怪物'!$A$41:$F$44,4,FALSE)+IF(4=D749,'难度参数'!$E$30,0))</x:f>
        <x:v>1632</x:v>
      </x:c>
      <x:c r="AN749" s="119" t="n">
        <x:f>IF(5&gt;D749,0,MAX(2,MIN('难度参数'!$E$12,ROUND(('难度参数'!$E$18*POWER(A749,'难度参数'!$E$19)/D749*(0.85+0.3*(5-1)/MAX(1,D749-1))),0)+F749)))</x:f>
        <x:v>50</x:v>
      </x:c>
      <x:c r="AO749" s="119" t="n">
        <x:f>IF(5&gt;D749,0,ROUND(('难度参数'!$E$13*POWER(A749,'难度参数'!$E$20)*MIN('难度参数'!$E$23,1+MAX(0,A749-'难度参数'!$E$21)*'难度参数'!$E$22))*(36+5*7)/(36+7*(D749+1)/2)*E749,0))</x:f>
        <x:v>17479</x:v>
      </x:c>
      <x:c r="AP749" s="119" t="n">
        <x:f>IF(AN749=0,0,(AN749-IF(5=D749,1,0))*ROUND(AO749*VLOOKUP(INDEX('章节与怪物'!$E$31:$K$37,B749,5),'章节与怪物'!$A$41:$F$44,2,FALSE),0)+IF(5=D749,ROUND(AO749*'难度参数'!$E$28*'章节与怪物'!$E$17,0),0))</x:f>
        <x:v>873950</x:v>
      </x:c>
      <x:c r="AQ749" s="119" t="n">
        <x:f>IF(AN749=0,0,(AN749-IF(5=D749,1,0))*VLOOKUP(INDEX('章节与怪物'!$E$31:$K$37,B749,5),'章节与怪物'!$A$41:$F$44,4,FALSE)+IF(5=D749,'难度参数'!$E$30,0))</x:f>
        <x:v>900</x:v>
      </x:c>
      <x:c r="AR749" s="119" t="n">
        <x:f>IF(6&gt;D749,0,MAX(2,MIN('难度参数'!$E$12,ROUND(('难度参数'!$E$18*POWER(A749,'难度参数'!$E$19)/D749*(0.85+0.3*(6-1)/MAX(1,D749-1))),0)+F749)))</x:f>
        <x:v>52</x:v>
      </x:c>
      <x:c r="AS749" s="119" t="n">
        <x:f>IF(6&gt;D749,0,ROUND(('难度参数'!$E$13*POWER(A749,'难度参数'!$E$20)*MIN('难度参数'!$E$23,1+MAX(0,A749-'难度参数'!$E$21)*'难度参数'!$E$22))*(36+6*7)/(36+7*(D749+1)/2)*E749,0))</x:f>
        <x:v>19203</x:v>
      </x:c>
      <x:c r="AT749" s="119" t="n">
        <x:f>IF(AR749=0,0,(AR749-IF(6=D749,1,0))*ROUND(AS749*VLOOKUP(INDEX('章节与怪物'!$E$31:$K$37,B749,6),'章节与怪物'!$A$41:$F$44,2,FALSE),0)+IF(6=D749,ROUND(AS749*'难度参数'!$E$28*'章节与怪物'!$E$17,0),0))</x:f>
        <x:v>1697540</x:v>
      </x:c>
      <x:c r="AU749" s="119" t="n">
        <x:f>IF(AR749=0,0,(AR749-IF(6=D749,1,0))*VLOOKUP(INDEX('章节与怪物'!$E$31:$K$37,B749,6),'章节与怪物'!$A$41:$F$44,4,FALSE)+IF(6=D749,'难度参数'!$E$30,0))</x:f>
        <x:v>1456</x:v>
      </x:c>
      <x:c r="AV749" s="119" t="n">
        <x:f>IF(7&gt;D749,0,MAX(2,MIN('难度参数'!$E$12,ROUND(('难度参数'!$E$18*POWER(A749,'难度参数'!$E$19)/D749*(0.85+0.3*(7-1)/MAX(1,D749-1))),0)+F749)))</x:f>
        <x:v>55</x:v>
      </x:c>
      <x:c r="AW749" s="119" t="n">
        <x:f>IF(7&gt;D749,0,ROUND(('难度参数'!$E$13*POWER(A749,'难度参数'!$E$20)*MIN('难度参数'!$E$23,1+MAX(0,A749-'难度参数'!$E$21)*'难度参数'!$E$22))*(36+7*7)/(36+7*(D749+1)/2)*E749,0))</x:f>
        <x:v>20926</x:v>
      </x:c>
      <x:c r="AX749" s="119" t="n">
        <x:f>IF(AV749=0,0,(AV749-IF(7=D749,1,0))*ROUND(AW749*VLOOKUP(INDEX('章节与怪物'!$E$31:$K$37,B749,7),'章节与怪物'!$A$41:$F$44,2,FALSE),0)+IF(7=D749,ROUND(AW749*'难度参数'!$E$28*'章节与怪物'!$E$17,0),0))</x:f>
        <x:v>1667797</x:v>
      </x:c>
      <x:c r="AY749" s="119" t="n">
        <x:f>IF(AV749=0,0,(AV749-IF(7=D749,1,0))*VLOOKUP(INDEX('章节与怪物'!$E$31:$K$37,B749,7),'章节与怪物'!$A$41:$F$44,4,FALSE)+IF(7=D749,'难度参数'!$E$30,0))</x:f>
        <x:v>2036</x:v>
      </x:c>
    </x:row>
    <x:row r="750" ht="23" customHeight="1">
      <x:c r="A750" s="119" t="n">
        <x:v>744</x:v>
      </x:c>
      <x:c r="B750" s="119" t="n">
        <x:f>MOD(INT((A750-1)/5),7)+1</x:f>
        <x:v>2</x:v>
      </x:c>
      <x:c r="C750" s="62" t="str">
        <x:f>INDEX('章节与怪物'!$B$31:$B$37,B750)</x:f>
        <x:v>黄沙要塞</x:v>
      </x:c>
      <x:c r="D750" s="119" t="n">
        <x:f>MIN('难度参数'!$E$8,MAX('难度参数'!$E$7,A750))</x:f>
        <x:v>7</x:v>
      </x:c>
      <x:c r="E750" s="106" t="n">
        <x:v>1</x:v>
      </x:c>
      <x:c r="F750" s="106" t="n">
        <x:v>0</x:v>
      </x:c>
      <x:c r="G750" s="106" t="n">
        <x:v>1</x:v>
      </x:c>
      <x:c r="H750" s="119" t="n">
        <x:f>SUM(X750,AB750,AF750,AJ750,AN750,AR750,AV750)</x:f>
        <x:v>334</x:v>
      </x:c>
      <x:c r="I750" s="119" t="n">
        <x:f>SUM(Z750,AD750,AH750,AL750,AP750,AT750,AX750)</x:f>
        <x:v>7182413</x:v>
      </x:c>
      <x:c r="J750" s="119" t="n">
        <x:f>ROUND(INDEX(X750:AY750,1,(D750-1)*4+2)*'难度参数'!$E$28*'章节与怪物'!$E$17,0)</x:f>
        <x:v>142433</x:v>
      </x:c>
      <x:c r="K750" s="119" t="n">
        <x:f>SUM(AA750,AE750,AI750,AM750,AQ750,AU750,AY750)</x:f>
        <x:v>8878</x:v>
      </x:c>
      <x:c r="L750" s="62" t="n">
        <x:f>H750*(ROUNDUP('难度参数'!$E$24/('难度参数'!$E$26*'难度参数'!$E$27),0)*'难度参数'!$E$26)/60</x:f>
        <x:v>4.453333333333333</x:v>
      </x:c>
      <x:c r="M750" s="62" t="n">
        <x:f>L750+D750*('难度参数'!$E$49+'难度参数'!$E$50)/60</x:f>
        <x:v>5.62</x:v>
      </x:c>
      <x:c r="N750" s="119" t="n">
        <x:f>ROUNDDOWN(('经济参数'!$E$20+A750*'经济参数'!$E$21)*G750,0)</x:f>
        <x:v>15060</x:v>
      </x:c>
      <x:c r="O750" s="119" t="n">
        <x:f>ROUNDDOWN(MIN('经济参数'!$E$24,'经济参数'!$E$22+A750*'经济参数'!$E$23)*G750,0)</x:f>
        <x:v>0</x:v>
      </x:c>
      <x:c r="P750" s="119" t="n">
        <x:f>ROUNDDOWN((IF(A750&gt;='材料与任务'!$E$31,'材料与任务'!$E$32,IF(A750&gt;='材料与任务'!$E$25,'材料与任务'!$E$26,IF(A750&gt;='材料与任务'!$E$19,'材料与任务'!$E$20,IF(A750&gt;='材料与任务'!$E$13,'材料与任务'!$E$14,'材料与任务'!$E$8)))))*G750,0)</x:f>
        <x:v>6</x:v>
      </x:c>
      <x:c r="Q750" s="119" t="n">
        <x:f>ROUNDDOWN((IF(A750&gt;='材料与任务'!$E$31,'材料与任务'!$E$33,IF(A750&gt;='材料与任务'!$E$25,'材料与任务'!$E$27,IF(A750&gt;='材料与任务'!$E$19,'材料与任务'!$E$21,IF(A750&gt;='材料与任务'!$E$13,'材料与任务'!$E$15,'材料与任务'!$E$9)))))*G750,0)</x:f>
        <x:v>3</x:v>
      </x:c>
      <x:c r="R750" s="110" t="n">
        <x:f>'装备掉落'!$B$38</x:f>
        <x:v>0.6872058758851213</x:v>
      </x:c>
      <x:c r="S750" s="119" t="n">
        <x:f>MAX(IF(VLOOKUP(A750,'装备掉落'!$A$29:$H$34,2,TRUE)&gt;0,1,0),IF(VLOOKUP(A750,'装备掉落'!$A$29:$H$34,3,TRUE)&gt;0,2,0),IF(VLOOKUP(A750,'装备掉落'!$A$29:$H$34,4,TRUE)&gt;0,3,0),IF(VLOOKUP(A750,'装备掉落'!$A$29:$H$34,5,TRUE)&gt;0,4,0),IF(VLOOKUP(A750,'装备掉落'!$A$29:$H$34,6,TRUE)&gt;0,5,0),IF(VLOOKUP(A750,'装备掉落'!$A$29:$H$34,7,TRUE)&gt;0,6,0),IF(VLOOKUP(A750,'装备掉落'!$A$29:$H$34,8,TRUE)&gt;0,7,0))</x:f>
        <x:v>7</x:v>
      </x:c>
      <x:c r="T750" s="119" t="n">
        <x:f>MIN(7,S750+'经济参数'!$E$70)</x:f>
        <x:v>7</x:v>
      </x:c>
      <x:c r="U750" s="119" t="n">
        <x:f>MIN(7,S750+'经济参数'!$E$71)</x:f>
        <x:v>7</x:v>
      </x:c>
      <x:c r="V750" s="119" t="n">
        <x:f>IF(H750&gt;=('难度参数'!$E$52),1,0)+IF(H750&gt;=('难度参数'!$E$52+'难度参数'!$E$53),1,0)+IF(H750&gt;=('难度参数'!$E$52+'难度参数'!$E$53+'难度参数'!$E$54),1,0)+IF(H750&gt;=('难度参数'!$E$52+'难度参数'!$E$53+'难度参数'!$E$54+'难度参数'!$E$55),1,0)+IF(H750&gt;=('难度参数'!$E$52+'难度参数'!$E$53+'难度参数'!$E$54+'难度参数'!$E$55+'难度参数'!$E$56),1,0)+IF(H750&gt;=('难度参数'!$E$52+'难度参数'!$E$53+'难度参数'!$E$54+'难度参数'!$E$55+'难度参数'!$E$56+'难度参数'!$E$57),1,0)</x:f>
        <x:v>6</x:v>
      </x:c>
      <x:c r="W750" s="62" t="str">
        <x:f>IF(L750&gt;'难度参数'!$E$51,"仅出怪已超目标","还需实测")</x:f>
        <x:v>仅出怪已超目标</x:v>
      </x:c>
      <x:c r="X750" s="119" t="n">
        <x:f>IF(1&gt;D750,0,MAX(2,MIN('难度参数'!$E$12,ROUND(('难度参数'!$E$18*POWER(A750,'难度参数'!$E$19)/D750*(0.85+0.3*(1-1)/MAX(1,D750-1))),0)+F750)))</x:f>
        <x:v>41</x:v>
      </x:c>
      <x:c r="Y750" s="119" t="n">
        <x:f>IF(1&gt;D750,0,ROUND(('难度参数'!$E$13*POWER(A750,'难度参数'!$E$20)*MIN('难度参数'!$E$23,1+MAX(0,A750-'难度参数'!$E$21)*'难度参数'!$E$22))*(36+1*7)/(36+7*(D750+1)/2)*E750,0))</x:f>
        <x:v>10596</x:v>
      </x:c>
      <x:c r="Z750" s="119" t="n">
        <x:f>IF(X750=0,0,(X750-IF(1=D750,1,0))*ROUND(Y750*VLOOKUP(INDEX('章节与怪物'!$E$31:$K$37,B750,1),'章节与怪物'!$A$41:$F$44,2,FALSE),0)+IF(1=D750,ROUND(Y750*'难度参数'!$E$28*'章节与怪物'!$E$17,0),0))</x:f>
        <x:v>312789</x:v>
      </x:c>
      <x:c r="AA750" s="119" t="n">
        <x:f>IF(X750=0,0,(X750-IF(1=D750,1,0))*VLOOKUP(INDEX('章节与怪物'!$E$31:$K$37,B750,1),'章节与怪物'!$A$41:$F$44,4,FALSE)+IF(1=D750,'难度参数'!$E$30,0))</x:f>
        <x:v>820</x:v>
      </x:c>
      <x:c r="AB750" s="119" t="n">
        <x:f>IF(2&gt;D750,0,MAX(2,MIN('难度参数'!$E$12,ROUND(('难度参数'!$E$18*POWER(A750,'难度参数'!$E$19)/D750*(0.85+0.3*(2-1)/MAX(1,D750-1))),0)+F750)))</x:f>
        <x:v>43</x:v>
      </x:c>
      <x:c r="AC750" s="119" t="n">
        <x:f>IF(2&gt;D750,0,ROUND(('难度参数'!$E$13*POWER(A750,'难度参数'!$E$20)*MIN('难度参数'!$E$23,1+MAX(0,A750-'难度参数'!$E$21)*'难度参数'!$E$22))*(36+2*7)/(36+7*(D750+1)/2)*E750,0))</x:f>
        <x:v>12321</x:v>
      </x:c>
      <x:c r="AD750" s="119" t="n">
        <x:f>IF(AB750=0,0,(AB750-IF(2=D750,1,0))*ROUND(AC750*VLOOKUP(INDEX('章节与怪物'!$E$31:$K$37,B750,2),'章节与怪物'!$A$41:$F$44,2,FALSE),0)+IF(2=D750,ROUND(AC750*'难度参数'!$E$28*'章节与怪物'!$E$17,0),0))</x:f>
        <x:v>529803</x:v>
      </x:c>
      <x:c r="AE750" s="119" t="n">
        <x:f>IF(AB750=0,0,(AB750-IF(2=D750,1,0))*VLOOKUP(INDEX('章节与怪物'!$E$31:$K$37,B750,2),'章节与怪物'!$A$41:$F$44,4,FALSE)+IF(2=D750,'难度参数'!$E$30,0))</x:f>
        <x:v>774</x:v>
      </x:c>
      <x:c r="AF750" s="119" t="n">
        <x:f>IF(3&gt;D750,0,MAX(2,MIN('难度参数'!$E$12,ROUND(('难度参数'!$E$18*POWER(A750,'难度参数'!$E$19)/D750*(0.85+0.3*(3-1)/MAX(1,D750-1))),0)+F750)))</x:f>
        <x:v>45</x:v>
      </x:c>
      <x:c r="AG750" s="119" t="n">
        <x:f>IF(3&gt;D750,0,ROUND(('难度参数'!$E$13*POWER(A750,'难度参数'!$E$20)*MIN('难度参数'!$E$23,1+MAX(0,A750-'难度参数'!$E$21)*'难度参数'!$E$22))*(36+3*7)/(36+7*(D750+1)/2)*E750,0))</x:f>
        <x:v>14046</x:v>
      </x:c>
      <x:c r="AH750" s="119" t="n">
        <x:f>IF(AF750=0,0,(AF750-IF(3=D750,1,0))*ROUND(AG750*VLOOKUP(INDEX('章节与怪物'!$E$31:$K$37,B750,3),'章节与怪物'!$A$41:$F$44,2,FALSE),0)+IF(3=D750,ROUND(AG750*'难度参数'!$E$28*'章节与怪物'!$E$17,0),0))</x:f>
        <x:v>1074510</x:v>
      </x:c>
      <x:c r="AI750" s="119" t="n">
        <x:f>IF(AF750=0,0,(AF750-IF(3=D750,1,0))*VLOOKUP(INDEX('章节与怪物'!$E$31:$K$37,B750,3),'章节与怪物'!$A$41:$F$44,4,FALSE)+IF(3=D750,'难度参数'!$E$30,0))</x:f>
        <x:v>1260</x:v>
      </x:c>
      <x:c r="AJ750" s="119" t="n">
        <x:f>IF(4&gt;D750,0,MAX(2,MIN('难度参数'!$E$12,ROUND(('难度参数'!$E$18*POWER(A750,'难度参数'!$E$19)/D750*(0.85+0.3*(4-1)/MAX(1,D750-1))),0)+F750)))</x:f>
        <x:v>48</x:v>
      </x:c>
      <x:c r="AK750" s="119" t="n">
        <x:f>IF(4&gt;D750,0,ROUND(('难度参数'!$E$13*POWER(A750,'难度参数'!$E$20)*MIN('难度参数'!$E$23,1+MAX(0,A750-'难度参数'!$E$21)*'难度参数'!$E$22))*(36+4*7)/(36+7*(D750+1)/2)*E750,0))</x:f>
        <x:v>15771</x:v>
      </x:c>
      <x:c r="AL750" s="119" t="n">
        <x:f>IF(AJ750=0,0,(AJ750-IF(4=D750,1,0))*ROUND(AK750*VLOOKUP(INDEX('章节与怪物'!$E$31:$K$37,B750,4),'章节与怪物'!$A$41:$F$44,2,FALSE),0)+IF(4=D750,ROUND(AK750*'难度参数'!$E$28*'章节与怪物'!$E$17,0),0))</x:f>
        <x:v>1021968</x:v>
      </x:c>
      <x:c r="AM750" s="119" t="n">
        <x:f>IF(AJ750=0,0,(AJ750-IF(4=D750,1,0))*VLOOKUP(INDEX('章节与怪物'!$E$31:$K$37,B750,4),'章节与怪物'!$A$41:$F$44,4,FALSE)+IF(4=D750,'难度参数'!$E$30,0))</x:f>
        <x:v>1632</x:v>
      </x:c>
      <x:c r="AN750" s="119" t="n">
        <x:f>IF(5&gt;D750,0,MAX(2,MIN('难度参数'!$E$12,ROUND(('难度参数'!$E$18*POWER(A750,'难度参数'!$E$19)/D750*(0.85+0.3*(5-1)/MAX(1,D750-1))),0)+F750)))</x:f>
        <x:v>50</x:v>
      </x:c>
      <x:c r="AO750" s="119" t="n">
        <x:f>IF(5&gt;D750,0,ROUND(('难度参数'!$E$13*POWER(A750,'难度参数'!$E$20)*MIN('难度参数'!$E$23,1+MAX(0,A750-'难度参数'!$E$21)*'难度参数'!$E$22))*(36+5*7)/(36+7*(D750+1)/2)*E750,0))</x:f>
        <x:v>17496</x:v>
      </x:c>
      <x:c r="AP750" s="119" t="n">
        <x:f>IF(AN750=0,0,(AN750-IF(5=D750,1,0))*ROUND(AO750*VLOOKUP(INDEX('章节与怪物'!$E$31:$K$37,B750,5),'章节与怪物'!$A$41:$F$44,2,FALSE),0)+IF(5=D750,ROUND(AO750*'难度参数'!$E$28*'章节与怪物'!$E$17,0),0))</x:f>
        <x:v>874800</x:v>
      </x:c>
      <x:c r="AQ750" s="119" t="n">
        <x:f>IF(AN750=0,0,(AN750-IF(5=D750,1,0))*VLOOKUP(INDEX('章节与怪物'!$E$31:$K$37,B750,5),'章节与怪物'!$A$41:$F$44,4,FALSE)+IF(5=D750,'难度参数'!$E$30,0))</x:f>
        <x:v>900</x:v>
      </x:c>
      <x:c r="AR750" s="119" t="n">
        <x:f>IF(6&gt;D750,0,MAX(2,MIN('难度参数'!$E$12,ROUND(('难度参数'!$E$18*POWER(A750,'难度参数'!$E$19)/D750*(0.85+0.3*(6-1)/MAX(1,D750-1))),0)+F750)))</x:f>
        <x:v>52</x:v>
      </x:c>
      <x:c r="AS750" s="119" t="n">
        <x:f>IF(6&gt;D750,0,ROUND(('难度参数'!$E$13*POWER(A750,'难度参数'!$E$20)*MIN('难度参数'!$E$23,1+MAX(0,A750-'难度参数'!$E$21)*'难度参数'!$E$22))*(36+6*7)/(36+7*(D750+1)/2)*E750,0))</x:f>
        <x:v>19221</x:v>
      </x:c>
      <x:c r="AT750" s="119" t="n">
        <x:f>IF(AR750=0,0,(AR750-IF(6=D750,1,0))*ROUND(AS750*VLOOKUP(INDEX('章节与怪物'!$E$31:$K$37,B750,6),'章节与怪物'!$A$41:$F$44,2,FALSE),0)+IF(6=D750,ROUND(AS750*'难度参数'!$E$28*'章节与怪物'!$E$17,0),0))</x:f>
        <x:v>1699152</x:v>
      </x:c>
      <x:c r="AU750" s="119" t="n">
        <x:f>IF(AR750=0,0,(AR750-IF(6=D750,1,0))*VLOOKUP(INDEX('章节与怪物'!$E$31:$K$37,B750,6),'章节与怪物'!$A$41:$F$44,4,FALSE)+IF(6=D750,'难度参数'!$E$30,0))</x:f>
        <x:v>1456</x:v>
      </x:c>
      <x:c r="AV750" s="119" t="n">
        <x:f>IF(7&gt;D750,0,MAX(2,MIN('难度参数'!$E$12,ROUND(('难度参数'!$E$18*POWER(A750,'难度参数'!$E$19)/D750*(0.85+0.3*(7-1)/MAX(1,D750-1))),0)+F750)))</x:f>
        <x:v>55</x:v>
      </x:c>
      <x:c r="AW750" s="119" t="n">
        <x:f>IF(7&gt;D750,0,ROUND(('难度参数'!$E$13*POWER(A750,'难度参数'!$E$20)*MIN('难度参数'!$E$23,1+MAX(0,A750-'难度参数'!$E$21)*'难度参数'!$E$22))*(36+7*7)/(36+7*(D750+1)/2)*E750,0))</x:f>
        <x:v>20946</x:v>
      </x:c>
      <x:c r="AX750" s="119" t="n">
        <x:f>IF(AV750=0,0,(AV750-IF(7=D750,1,0))*ROUND(AW750*VLOOKUP(INDEX('章节与怪物'!$E$31:$K$37,B750,7),'章节与怪物'!$A$41:$F$44,2,FALSE),0)+IF(7=D750,ROUND(AW750*'难度参数'!$E$28*'章节与怪物'!$E$17,0),0))</x:f>
        <x:v>1669391</x:v>
      </x:c>
      <x:c r="AY750" s="119" t="n">
        <x:f>IF(AV750=0,0,(AV750-IF(7=D750,1,0))*VLOOKUP(INDEX('章节与怪物'!$E$31:$K$37,B750,7),'章节与怪物'!$A$41:$F$44,4,FALSE)+IF(7=D750,'难度参数'!$E$30,0))</x:f>
        <x:v>2036</x:v>
      </x:c>
    </x:row>
    <x:row r="751" ht="23" customHeight="1">
      <x:c r="A751" s="119" t="n">
        <x:v>745</x:v>
      </x:c>
      <x:c r="B751" s="119" t="n">
        <x:f>MOD(INT((A751-1)/5),7)+1</x:f>
        <x:v>2</x:v>
      </x:c>
      <x:c r="C751" s="62" t="str">
        <x:f>INDEX('章节与怪物'!$B$31:$B$37,B751)</x:f>
        <x:v>黄沙要塞</x:v>
      </x:c>
      <x:c r="D751" s="119" t="n">
        <x:f>MIN('难度参数'!$E$8,MAX('难度参数'!$E$7,A751))</x:f>
        <x:v>7</x:v>
      </x:c>
      <x:c r="E751" s="106" t="n">
        <x:v>1</x:v>
      </x:c>
      <x:c r="F751" s="106" t="n">
        <x:v>0</x:v>
      </x:c>
      <x:c r="G751" s="106" t="n">
        <x:v>1</x:v>
      </x:c>
      <x:c r="H751" s="119" t="n">
        <x:f>SUM(X751,AB751,AF751,AJ751,AN751,AR751,AV751)</x:f>
        <x:v>334</x:v>
      </x:c>
      <x:c r="I751" s="119" t="n">
        <x:f>SUM(Z751,AD751,AH751,AL751,AP751,AT751,AX751)</x:f>
        <x:v>7189453</x:v>
      </x:c>
      <x:c r="J751" s="119" t="n">
        <x:f>ROUND(INDEX(X751:AY751,1,(D751-1)*4+2)*'难度参数'!$E$28*'章节与怪物'!$E$17,0)</x:f>
        <x:v>142569</x:v>
      </x:c>
      <x:c r="K751" s="119" t="n">
        <x:f>SUM(AA751,AE751,AI751,AM751,AQ751,AU751,AY751)</x:f>
        <x:v>8878</x:v>
      </x:c>
      <x:c r="L751" s="62" t="n">
        <x:f>H751*(ROUNDUP('难度参数'!$E$24/('难度参数'!$E$26*'难度参数'!$E$27),0)*'难度参数'!$E$26)/60</x:f>
        <x:v>4.453333333333333</x:v>
      </x:c>
      <x:c r="M751" s="62" t="n">
        <x:f>L751+D751*('难度参数'!$E$49+'难度参数'!$E$50)/60</x:f>
        <x:v>5.62</x:v>
      </x:c>
      <x:c r="N751" s="119" t="n">
        <x:f>ROUNDDOWN(('经济参数'!$E$20+A751*'经济参数'!$E$21)*G751,0)</x:f>
        <x:v>15080</x:v>
      </x:c>
      <x:c r="O751" s="119" t="n">
        <x:f>ROUNDDOWN(MIN('经济参数'!$E$24,'经济参数'!$E$22+A751*'经济参数'!$E$23)*G751,0)</x:f>
        <x:v>0</x:v>
      </x:c>
      <x:c r="P751" s="119" t="n">
        <x:f>ROUNDDOWN((IF(A751&gt;='材料与任务'!$E$31,'材料与任务'!$E$32,IF(A751&gt;='材料与任务'!$E$25,'材料与任务'!$E$26,IF(A751&gt;='材料与任务'!$E$19,'材料与任务'!$E$20,IF(A751&gt;='材料与任务'!$E$13,'材料与任务'!$E$14,'材料与任务'!$E$8)))))*G751,0)</x:f>
        <x:v>6</x:v>
      </x:c>
      <x:c r="Q751" s="119" t="n">
        <x:f>ROUNDDOWN((IF(A751&gt;='材料与任务'!$E$31,'材料与任务'!$E$33,IF(A751&gt;='材料与任务'!$E$25,'材料与任务'!$E$27,IF(A751&gt;='材料与任务'!$E$19,'材料与任务'!$E$21,IF(A751&gt;='材料与任务'!$E$13,'材料与任务'!$E$15,'材料与任务'!$E$9)))))*G751,0)</x:f>
        <x:v>3</x:v>
      </x:c>
      <x:c r="R751" s="110" t="n">
        <x:f>'装备掉落'!$B$38</x:f>
        <x:v>0.6872058758851213</x:v>
      </x:c>
      <x:c r="S751" s="119" t="n">
        <x:f>MAX(IF(VLOOKUP(A751,'装备掉落'!$A$29:$H$34,2,TRUE)&gt;0,1,0),IF(VLOOKUP(A751,'装备掉落'!$A$29:$H$34,3,TRUE)&gt;0,2,0),IF(VLOOKUP(A751,'装备掉落'!$A$29:$H$34,4,TRUE)&gt;0,3,0),IF(VLOOKUP(A751,'装备掉落'!$A$29:$H$34,5,TRUE)&gt;0,4,0),IF(VLOOKUP(A751,'装备掉落'!$A$29:$H$34,6,TRUE)&gt;0,5,0),IF(VLOOKUP(A751,'装备掉落'!$A$29:$H$34,7,TRUE)&gt;0,6,0),IF(VLOOKUP(A751,'装备掉落'!$A$29:$H$34,8,TRUE)&gt;0,7,0))</x:f>
        <x:v>7</x:v>
      </x:c>
      <x:c r="T751" s="119" t="n">
        <x:f>MIN(7,S751+'经济参数'!$E$70)</x:f>
        <x:v>7</x:v>
      </x:c>
      <x:c r="U751" s="119" t="n">
        <x:f>MIN(7,S751+'经济参数'!$E$71)</x:f>
        <x:v>7</x:v>
      </x:c>
      <x:c r="V751" s="119" t="n">
        <x:f>IF(H751&gt;=('难度参数'!$E$52),1,0)+IF(H751&gt;=('难度参数'!$E$52+'难度参数'!$E$53),1,0)+IF(H751&gt;=('难度参数'!$E$52+'难度参数'!$E$53+'难度参数'!$E$54),1,0)+IF(H751&gt;=('难度参数'!$E$52+'难度参数'!$E$53+'难度参数'!$E$54+'难度参数'!$E$55),1,0)+IF(H751&gt;=('难度参数'!$E$52+'难度参数'!$E$53+'难度参数'!$E$54+'难度参数'!$E$55+'难度参数'!$E$56),1,0)+IF(H751&gt;=('难度参数'!$E$52+'难度参数'!$E$53+'难度参数'!$E$54+'难度参数'!$E$55+'难度参数'!$E$56+'难度参数'!$E$57),1,0)</x:f>
        <x:v>6</x:v>
      </x:c>
      <x:c r="W751" s="62" t="str">
        <x:f>IF(L751&gt;'难度参数'!$E$51,"仅出怪已超目标","还需实测")</x:f>
        <x:v>仅出怪已超目标</x:v>
      </x:c>
      <x:c r="X751" s="119" t="n">
        <x:f>IF(1&gt;D751,0,MAX(2,MIN('难度参数'!$E$12,ROUND(('难度参数'!$E$18*POWER(A751,'难度参数'!$E$19)/D751*(0.85+0.3*(1-1)/MAX(1,D751-1))),0)+F751)))</x:f>
        <x:v>41</x:v>
      </x:c>
      <x:c r="Y751" s="119" t="n">
        <x:f>IF(1&gt;D751,0,ROUND(('难度参数'!$E$13*POWER(A751,'难度参数'!$E$20)*MIN('难度参数'!$E$23,1+MAX(0,A751-'难度参数'!$E$21)*'难度参数'!$E$22))*(36+1*7)/(36+7*(D751+1)/2)*E751,0))</x:f>
        <x:v>10607</x:v>
      </x:c>
      <x:c r="Z751" s="119" t="n">
        <x:f>IF(X751=0,0,(X751-IF(1=D751,1,0))*ROUND(Y751*VLOOKUP(INDEX('章节与怪物'!$E$31:$K$37,B751,1),'章节与怪物'!$A$41:$F$44,2,FALSE),0)+IF(1=D751,ROUND(Y751*'难度参数'!$E$28*'章节与怪物'!$E$17,0),0))</x:f>
        <x:v>313117</x:v>
      </x:c>
      <x:c r="AA751" s="119" t="n">
        <x:f>IF(X751=0,0,(X751-IF(1=D751,1,0))*VLOOKUP(INDEX('章节与怪物'!$E$31:$K$37,B751,1),'章节与怪物'!$A$41:$F$44,4,FALSE)+IF(1=D751,'难度参数'!$E$30,0))</x:f>
        <x:v>820</x:v>
      </x:c>
      <x:c r="AB751" s="119" t="n">
        <x:f>IF(2&gt;D751,0,MAX(2,MIN('难度参数'!$E$12,ROUND(('难度参数'!$E$18*POWER(A751,'难度参数'!$E$19)/D751*(0.85+0.3*(2-1)/MAX(1,D751-1))),0)+F751)))</x:f>
        <x:v>43</x:v>
      </x:c>
      <x:c r="AC751" s="119" t="n">
        <x:f>IF(2&gt;D751,0,ROUND(('难度参数'!$E$13*POWER(A751,'难度参数'!$E$20)*MIN('难度参数'!$E$23,1+MAX(0,A751-'难度参数'!$E$21)*'难度参数'!$E$22))*(36+2*7)/(36+7*(D751+1)/2)*E751,0))</x:f>
        <x:v>12333</x:v>
      </x:c>
      <x:c r="AD751" s="119" t="n">
        <x:f>IF(AB751=0,0,(AB751-IF(2=D751,1,0))*ROUND(AC751*VLOOKUP(INDEX('章节与怪物'!$E$31:$K$37,B751,2),'章节与怪物'!$A$41:$F$44,2,FALSE),0)+IF(2=D751,ROUND(AC751*'难度参数'!$E$28*'章节与怪物'!$E$17,0),0))</x:f>
        <x:v>530319</x:v>
      </x:c>
      <x:c r="AE751" s="119" t="n">
        <x:f>IF(AB751=0,0,(AB751-IF(2=D751,1,0))*VLOOKUP(INDEX('章节与怪物'!$E$31:$K$37,B751,2),'章节与怪物'!$A$41:$F$44,4,FALSE)+IF(2=D751,'难度参数'!$E$30,0))</x:f>
        <x:v>774</x:v>
      </x:c>
      <x:c r="AF751" s="119" t="n">
        <x:f>IF(3&gt;D751,0,MAX(2,MIN('难度参数'!$E$12,ROUND(('难度参数'!$E$18*POWER(A751,'难度参数'!$E$19)/D751*(0.85+0.3*(3-1)/MAX(1,D751-1))),0)+F751)))</x:f>
        <x:v>45</x:v>
      </x:c>
      <x:c r="AG751" s="119" t="n">
        <x:f>IF(3&gt;D751,0,ROUND(('难度参数'!$E$13*POWER(A751,'难度参数'!$E$20)*MIN('难度参数'!$E$23,1+MAX(0,A751-'难度参数'!$E$21)*'难度参数'!$E$22))*(36+3*7)/(36+7*(D751+1)/2)*E751,0))</x:f>
        <x:v>14060</x:v>
      </x:c>
      <x:c r="AH751" s="119" t="n">
        <x:f>IF(AF751=0,0,(AF751-IF(3=D751,1,0))*ROUND(AG751*VLOOKUP(INDEX('章节与怪物'!$E$31:$K$37,B751,3),'章节与怪物'!$A$41:$F$44,2,FALSE),0)+IF(3=D751,ROUND(AG751*'难度参数'!$E$28*'章节与怪物'!$E$17,0),0))</x:f>
        <x:v>1075590</x:v>
      </x:c>
      <x:c r="AI751" s="119" t="n">
        <x:f>IF(AF751=0,0,(AF751-IF(3=D751,1,0))*VLOOKUP(INDEX('章节与怪物'!$E$31:$K$37,B751,3),'章节与怪物'!$A$41:$F$44,4,FALSE)+IF(3=D751,'难度参数'!$E$30,0))</x:f>
        <x:v>1260</x:v>
      </x:c>
      <x:c r="AJ751" s="119" t="n">
        <x:f>IF(4&gt;D751,0,MAX(2,MIN('难度参数'!$E$12,ROUND(('难度参数'!$E$18*POWER(A751,'难度参数'!$E$19)/D751*(0.85+0.3*(4-1)/MAX(1,D751-1))),0)+F751)))</x:f>
        <x:v>48</x:v>
      </x:c>
      <x:c r="AK751" s="119" t="n">
        <x:f>IF(4&gt;D751,0,ROUND(('难度参数'!$E$13*POWER(A751,'难度参数'!$E$20)*MIN('难度参数'!$E$23,1+MAX(0,A751-'难度参数'!$E$21)*'难度参数'!$E$22))*(36+4*7)/(36+7*(D751+1)/2)*E751,0))</x:f>
        <x:v>15787</x:v>
      </x:c>
      <x:c r="AL751" s="119" t="n">
        <x:f>IF(AJ751=0,0,(AJ751-IF(4=D751,1,0))*ROUND(AK751*VLOOKUP(INDEX('章节与怪物'!$E$31:$K$37,B751,4),'章节与怪物'!$A$41:$F$44,2,FALSE),0)+IF(4=D751,ROUND(AK751*'难度参数'!$E$28*'章节与怪物'!$E$17,0),0))</x:f>
        <x:v>1022976</x:v>
      </x:c>
      <x:c r="AM751" s="119" t="n">
        <x:f>IF(AJ751=0,0,(AJ751-IF(4=D751,1,0))*VLOOKUP(INDEX('章节与怪物'!$E$31:$K$37,B751,4),'章节与怪物'!$A$41:$F$44,4,FALSE)+IF(4=D751,'难度参数'!$E$30,0))</x:f>
        <x:v>1632</x:v>
      </x:c>
      <x:c r="AN751" s="119" t="n">
        <x:f>IF(5&gt;D751,0,MAX(2,MIN('难度参数'!$E$12,ROUND(('难度参数'!$E$18*POWER(A751,'难度参数'!$E$19)/D751*(0.85+0.3*(5-1)/MAX(1,D751-1))),0)+F751)))</x:f>
        <x:v>50</x:v>
      </x:c>
      <x:c r="AO751" s="119" t="n">
        <x:f>IF(5&gt;D751,0,ROUND(('难度参数'!$E$13*POWER(A751,'难度参数'!$E$20)*MIN('难度参数'!$E$23,1+MAX(0,A751-'难度参数'!$E$21)*'难度参数'!$E$22))*(36+5*7)/(36+7*(D751+1)/2)*E751,0))</x:f>
        <x:v>17513</x:v>
      </x:c>
      <x:c r="AP751" s="119" t="n">
        <x:f>IF(AN751=0,0,(AN751-IF(5=D751,1,0))*ROUND(AO751*VLOOKUP(INDEX('章节与怪物'!$E$31:$K$37,B751,5),'章节与怪物'!$A$41:$F$44,2,FALSE),0)+IF(5=D751,ROUND(AO751*'难度参数'!$E$28*'章节与怪物'!$E$17,0),0))</x:f>
        <x:v>875650</x:v>
      </x:c>
      <x:c r="AQ751" s="119" t="n">
        <x:f>IF(AN751=0,0,(AN751-IF(5=D751,1,0))*VLOOKUP(INDEX('章节与怪物'!$E$31:$K$37,B751,5),'章节与怪物'!$A$41:$F$44,4,FALSE)+IF(5=D751,'难度参数'!$E$30,0))</x:f>
        <x:v>900</x:v>
      </x:c>
      <x:c r="AR751" s="119" t="n">
        <x:f>IF(6&gt;D751,0,MAX(2,MIN('难度参数'!$E$12,ROUND(('难度参数'!$E$18*POWER(A751,'难度参数'!$E$19)/D751*(0.85+0.3*(6-1)/MAX(1,D751-1))),0)+F751)))</x:f>
        <x:v>52</x:v>
      </x:c>
      <x:c r="AS751" s="119" t="n">
        <x:f>IF(6&gt;D751,0,ROUND(('难度参数'!$E$13*POWER(A751,'难度参数'!$E$20)*MIN('难度参数'!$E$23,1+MAX(0,A751-'难度参数'!$E$21)*'难度参数'!$E$22))*(36+6*7)/(36+7*(D751+1)/2)*E751,0))</x:f>
        <x:v>19240</x:v>
      </x:c>
      <x:c r="AT751" s="119" t="n">
        <x:f>IF(AR751=0,0,(AR751-IF(6=D751,1,0))*ROUND(AS751*VLOOKUP(INDEX('章节与怪物'!$E$31:$K$37,B751,6),'章节与怪物'!$A$41:$F$44,2,FALSE),0)+IF(6=D751,ROUND(AS751*'难度参数'!$E$28*'章节与怪物'!$E$17,0),0))</x:f>
        <x:v>1700816</x:v>
      </x:c>
      <x:c r="AU751" s="119" t="n">
        <x:f>IF(AR751=0,0,(AR751-IF(6=D751,1,0))*VLOOKUP(INDEX('章节与怪物'!$E$31:$K$37,B751,6),'章节与怪物'!$A$41:$F$44,4,FALSE)+IF(6=D751,'难度参数'!$E$30,0))</x:f>
        <x:v>1456</x:v>
      </x:c>
      <x:c r="AV751" s="119" t="n">
        <x:f>IF(7&gt;D751,0,MAX(2,MIN('难度参数'!$E$12,ROUND(('难度参数'!$E$18*POWER(A751,'难度参数'!$E$19)/D751*(0.85+0.3*(7-1)/MAX(1,D751-1))),0)+F751)))</x:f>
        <x:v>55</x:v>
      </x:c>
      <x:c r="AW751" s="119" t="n">
        <x:f>IF(7&gt;D751,0,ROUND(('难度参数'!$E$13*POWER(A751,'难度参数'!$E$20)*MIN('难度参数'!$E$23,1+MAX(0,A751-'难度参数'!$E$21)*'难度参数'!$E$22))*(36+7*7)/(36+7*(D751+1)/2)*E751,0))</x:f>
        <x:v>20966</x:v>
      </x:c>
      <x:c r="AX751" s="119" t="n">
        <x:f>IF(AV751=0,0,(AV751-IF(7=D751,1,0))*ROUND(AW751*VLOOKUP(INDEX('章节与怪物'!$E$31:$K$37,B751,7),'章节与怪物'!$A$41:$F$44,2,FALSE),0)+IF(7=D751,ROUND(AW751*'难度参数'!$E$28*'章节与怪物'!$E$17,0),0))</x:f>
        <x:v>1670985</x:v>
      </x:c>
      <x:c r="AY751" s="119" t="n">
        <x:f>IF(AV751=0,0,(AV751-IF(7=D751,1,0))*VLOOKUP(INDEX('章节与怪物'!$E$31:$K$37,B751,7),'章节与怪物'!$A$41:$F$44,4,FALSE)+IF(7=D751,'难度参数'!$E$30,0))</x:f>
        <x:v>2036</x:v>
      </x:c>
    </x:row>
    <x:row r="752" ht="23" customHeight="1">
      <x:c r="A752" s="119" t="n">
        <x:v>746</x:v>
      </x:c>
      <x:c r="B752" s="119" t="n">
        <x:f>MOD(INT((A752-1)/5),7)+1</x:f>
        <x:v>3</x:v>
      </x:c>
      <x:c r="C752" s="62" t="str">
        <x:f>INDEX('章节与怪物'!$B$31:$B$37,B752)</x:f>
        <x:v>腐沼秘林</x:v>
      </x:c>
      <x:c r="D752" s="119" t="n">
        <x:f>MIN('难度参数'!$E$8,MAX('难度参数'!$E$7,A752))</x:f>
        <x:v>7</x:v>
      </x:c>
      <x:c r="E752" s="106" t="n">
        <x:v>1</x:v>
      </x:c>
      <x:c r="F752" s="106" t="n">
        <x:v>0</x:v>
      </x:c>
      <x:c r="G752" s="106" t="n">
        <x:v>1</x:v>
      </x:c>
      <x:c r="H752" s="119" t="n">
        <x:f>SUM(X752,AB752,AF752,AJ752,AN752,AR752,AV752)</x:f>
        <x:v>335</x:v>
      </x:c>
      <x:c r="I752" s="119" t="n">
        <x:f>SUM(Z752,AD752,AH752,AL752,AP752,AT752,AX752)</x:f>
        <x:v>6956952</x:v>
      </x:c>
      <x:c r="J752" s="119" t="n">
        <x:f>ROUND(INDEX(X752:AY752,1,(D752-1)*4+2)*'难度参数'!$E$28*'章节与怪物'!$E$17,0)</x:f>
        <x:v>142712</x:v>
      </x:c>
      <x:c r="K752" s="119" t="n">
        <x:f>SUM(AA752,AE752,AI752,AM752,AQ752,AU752,AY752)</x:f>
        <x:v>9010</x:v>
      </x:c>
      <x:c r="L752" s="62" t="n">
        <x:f>H752*(ROUNDUP('难度参数'!$E$24/('难度参数'!$E$26*'难度参数'!$E$27),0)*'难度参数'!$E$26)/60</x:f>
        <x:v>4.466666666666667</x:v>
      </x:c>
      <x:c r="M752" s="62" t="n">
        <x:f>L752+D752*('难度参数'!$E$49+'难度参数'!$E$50)/60</x:f>
        <x:v>5.633333333333334</x:v>
      </x:c>
      <x:c r="N752" s="119" t="n">
        <x:f>ROUNDDOWN(('经济参数'!$E$20+A752*'经济参数'!$E$21)*G752,0)</x:f>
        <x:v>15100</x:v>
      </x:c>
      <x:c r="O752" s="119" t="n">
        <x:f>ROUNDDOWN(MIN('经济参数'!$E$24,'经济参数'!$E$22+A752*'经济参数'!$E$23)*G752,0)</x:f>
        <x:v>0</x:v>
      </x:c>
      <x:c r="P752" s="119" t="n">
        <x:f>ROUNDDOWN((IF(A752&gt;='材料与任务'!$E$31,'材料与任务'!$E$32,IF(A752&gt;='材料与任务'!$E$25,'材料与任务'!$E$26,IF(A752&gt;='材料与任务'!$E$19,'材料与任务'!$E$20,IF(A752&gt;='材料与任务'!$E$13,'材料与任务'!$E$14,'材料与任务'!$E$8)))))*G752,0)</x:f>
        <x:v>6</x:v>
      </x:c>
      <x:c r="Q752" s="119" t="n">
        <x:f>ROUNDDOWN((IF(A752&gt;='材料与任务'!$E$31,'材料与任务'!$E$33,IF(A752&gt;='材料与任务'!$E$25,'材料与任务'!$E$27,IF(A752&gt;='材料与任务'!$E$19,'材料与任务'!$E$21,IF(A752&gt;='材料与任务'!$E$13,'材料与任务'!$E$15,'材料与任务'!$E$9)))))*G752,0)</x:f>
        <x:v>3</x:v>
      </x:c>
      <x:c r="R752" s="110" t="n">
        <x:f>'装备掉落'!$B$38</x:f>
        <x:v>0.6872058758851213</x:v>
      </x:c>
      <x:c r="S752" s="119" t="n">
        <x:f>MAX(IF(VLOOKUP(A752,'装备掉落'!$A$29:$H$34,2,TRUE)&gt;0,1,0),IF(VLOOKUP(A752,'装备掉落'!$A$29:$H$34,3,TRUE)&gt;0,2,0),IF(VLOOKUP(A752,'装备掉落'!$A$29:$H$34,4,TRUE)&gt;0,3,0),IF(VLOOKUP(A752,'装备掉落'!$A$29:$H$34,5,TRUE)&gt;0,4,0),IF(VLOOKUP(A752,'装备掉落'!$A$29:$H$34,6,TRUE)&gt;0,5,0),IF(VLOOKUP(A752,'装备掉落'!$A$29:$H$34,7,TRUE)&gt;0,6,0),IF(VLOOKUP(A752,'装备掉落'!$A$29:$H$34,8,TRUE)&gt;0,7,0))</x:f>
        <x:v>7</x:v>
      </x:c>
      <x:c r="T752" s="119" t="n">
        <x:f>MIN(7,S752+'经济参数'!$E$70)</x:f>
        <x:v>7</x:v>
      </x:c>
      <x:c r="U752" s="119" t="n">
        <x:f>MIN(7,S752+'经济参数'!$E$71)</x:f>
        <x:v>7</x:v>
      </x:c>
      <x:c r="V752" s="119" t="n">
        <x:f>IF(H752&gt;=('难度参数'!$E$52),1,0)+IF(H752&gt;=('难度参数'!$E$52+'难度参数'!$E$53),1,0)+IF(H752&gt;=('难度参数'!$E$52+'难度参数'!$E$53+'难度参数'!$E$54),1,0)+IF(H752&gt;=('难度参数'!$E$52+'难度参数'!$E$53+'难度参数'!$E$54+'难度参数'!$E$55),1,0)+IF(H752&gt;=('难度参数'!$E$52+'难度参数'!$E$53+'难度参数'!$E$54+'难度参数'!$E$55+'难度参数'!$E$56),1,0)+IF(H752&gt;=('难度参数'!$E$52+'难度参数'!$E$53+'难度参数'!$E$54+'难度参数'!$E$55+'难度参数'!$E$56+'难度参数'!$E$57),1,0)</x:f>
        <x:v>6</x:v>
      </x:c>
      <x:c r="W752" s="62" t="str">
        <x:f>IF(L752&gt;'难度参数'!$E$51,"仅出怪已超目标","还需实测")</x:f>
        <x:v>仅出怪已超目标</x:v>
      </x:c>
      <x:c r="X752" s="119" t="n">
        <x:f>IF(1&gt;D752,0,MAX(2,MIN('难度参数'!$E$12,ROUND(('难度参数'!$E$18*POWER(A752,'难度参数'!$E$19)/D752*(0.85+0.3*(1-1)/MAX(1,D752-1))),0)+F752)))</x:f>
        <x:v>41</x:v>
      </x:c>
      <x:c r="Y752" s="119" t="n">
        <x:f>IF(1&gt;D752,0,ROUND(('难度参数'!$E$13*POWER(A752,'难度参数'!$E$20)*MIN('难度参数'!$E$23,1+MAX(0,A752-'难度参数'!$E$21)*'难度参数'!$E$22))*(36+1*7)/(36+7*(D752+1)/2)*E752,0))</x:f>
        <x:v>10617</x:v>
      </x:c>
      <x:c r="Z752" s="119" t="n">
        <x:f>IF(X752=0,0,(X752-IF(1=D752,1,0))*ROUND(Y752*VLOOKUP(INDEX('章节与怪物'!$E$31:$K$37,B752,1),'章节与怪物'!$A$41:$F$44,2,FALSE),0)+IF(1=D752,ROUND(Y752*'难度参数'!$E$28*'章节与怪物'!$E$17,0),0))</x:f>
        <x:v>435297</x:v>
      </x:c>
      <x:c r="AA752" s="119" t="n">
        <x:f>IF(X752=0,0,(X752-IF(1=D752,1,0))*VLOOKUP(INDEX('章节与怪物'!$E$31:$K$37,B752,1),'章节与怪物'!$A$41:$F$44,4,FALSE)+IF(1=D752,'难度参数'!$E$30,0))</x:f>
        <x:v>738</x:v>
      </x:c>
      <x:c r="AB752" s="119" t="n">
        <x:f>IF(2&gt;D752,0,MAX(2,MIN('难度参数'!$E$12,ROUND(('难度参数'!$E$18*POWER(A752,'难度参数'!$E$19)/D752*(0.85+0.3*(2-1)/MAX(1,D752-1))),0)+F752)))</x:f>
        <x:v>43</x:v>
      </x:c>
      <x:c r="AC752" s="119" t="n">
        <x:f>IF(2&gt;D752,0,ROUND(('难度参数'!$E$13*POWER(A752,'难度参数'!$E$20)*MIN('难度参数'!$E$23,1+MAX(0,A752-'难度参数'!$E$21)*'难度参数'!$E$22))*(36+2*7)/(36+7*(D752+1)/2)*E752,0))</x:f>
        <x:v>12345</x:v>
      </x:c>
      <x:c r="AD752" s="119" t="n">
        <x:f>IF(AB752=0,0,(AB752-IF(2=D752,1,0))*ROUND(AC752*VLOOKUP(INDEX('章节与怪物'!$E$31:$K$37,B752,2),'章节与怪物'!$A$41:$F$44,2,FALSE),0)+IF(2=D752,ROUND(AC752*'难度参数'!$E$28*'章节与怪物'!$E$17,0),0))</x:f>
        <x:v>382184</x:v>
      </x:c>
      <x:c r="AE752" s="119" t="n">
        <x:f>IF(AB752=0,0,(AB752-IF(2=D752,1,0))*VLOOKUP(INDEX('章节与怪物'!$E$31:$K$37,B752,2),'章节与怪物'!$A$41:$F$44,4,FALSE)+IF(2=D752,'难度参数'!$E$30,0))</x:f>
        <x:v>860</x:v>
      </x:c>
      <x:c r="AF752" s="119" t="n">
        <x:f>IF(3&gt;D752,0,MAX(2,MIN('难度参数'!$E$12,ROUND(('难度参数'!$E$18*POWER(A752,'难度参数'!$E$19)/D752*(0.85+0.3*(3-1)/MAX(1,D752-1))),0)+F752)))</x:f>
        <x:v>45</x:v>
      </x:c>
      <x:c r="AG752" s="119" t="n">
        <x:f>IF(3&gt;D752,0,ROUND(('难度参数'!$E$13*POWER(A752,'难度参数'!$E$20)*MIN('难度参数'!$E$23,1+MAX(0,A752-'难度参数'!$E$21)*'难度参数'!$E$22))*(36+3*7)/(36+7*(D752+1)/2)*E752,0))</x:f>
        <x:v>14073</x:v>
      </x:c>
      <x:c r="AH752" s="119" t="n">
        <x:f>IF(AF752=0,0,(AF752-IF(3=D752,1,0))*ROUND(AG752*VLOOKUP(INDEX('章节与怪物'!$E$31:$K$37,B752,3),'章节与怪物'!$A$41:$F$44,2,FALSE),0)+IF(3=D752,ROUND(AG752*'难度参数'!$E$28*'章节与怪物'!$E$17,0),0))</x:f>
        <x:v>1076580</x:v>
      </x:c>
      <x:c r="AI752" s="119" t="n">
        <x:f>IF(AF752=0,0,(AF752-IF(3=D752,1,0))*VLOOKUP(INDEX('章节与怪物'!$E$31:$K$37,B752,3),'章节与怪物'!$A$41:$F$44,4,FALSE)+IF(3=D752,'难度参数'!$E$30,0))</x:f>
        <x:v>1260</x:v>
      </x:c>
      <x:c r="AJ752" s="119" t="n">
        <x:f>IF(4&gt;D752,0,MAX(2,MIN('难度参数'!$E$12,ROUND(('难度参数'!$E$18*POWER(A752,'难度参数'!$E$19)/D752*(0.85+0.3*(4-1)/MAX(1,D752-1))),0)+F752)))</x:f>
        <x:v>48</x:v>
      </x:c>
      <x:c r="AK752" s="119" t="n">
        <x:f>IF(4&gt;D752,0,ROUND(('难度参数'!$E$13*POWER(A752,'难度参数'!$E$20)*MIN('难度参数'!$E$23,1+MAX(0,A752-'难度参数'!$E$21)*'难度参数'!$E$22))*(36+4*7)/(36+7*(D752+1)/2)*E752,0))</x:f>
        <x:v>15802</x:v>
      </x:c>
      <x:c r="AL752" s="119" t="n">
        <x:f>IF(AJ752=0,0,(AJ752-IF(4=D752,1,0))*ROUND(AK752*VLOOKUP(INDEX('章节与怪物'!$E$31:$K$37,B752,4),'章节与怪物'!$A$41:$F$44,2,FALSE),0)+IF(4=D752,ROUND(AK752*'难度参数'!$E$28*'章节与怪物'!$E$17,0),0))</x:f>
        <x:v>1023984</x:v>
      </x:c>
      <x:c r="AM752" s="119" t="n">
        <x:f>IF(AJ752=0,0,(AJ752-IF(4=D752,1,0))*VLOOKUP(INDEX('章节与怪物'!$E$31:$K$37,B752,4),'章节与怪物'!$A$41:$F$44,4,FALSE)+IF(4=D752,'难度参数'!$E$30,0))</x:f>
        <x:v>1632</x:v>
      </x:c>
      <x:c r="AN752" s="119" t="n">
        <x:f>IF(5&gt;D752,0,MAX(2,MIN('难度参数'!$E$12,ROUND(('难度参数'!$E$18*POWER(A752,'难度参数'!$E$19)/D752*(0.85+0.3*(5-1)/MAX(1,D752-1))),0)+F752)))</x:f>
        <x:v>50</x:v>
      </x:c>
      <x:c r="AO752" s="119" t="n">
        <x:f>IF(5&gt;D752,0,ROUND(('难度参数'!$E$13*POWER(A752,'难度参数'!$E$20)*MIN('难度参数'!$E$23,1+MAX(0,A752-'难度参数'!$E$21)*'难度参数'!$E$22))*(36+5*7)/(36+7*(D752+1)/2)*E752,0))</x:f>
        <x:v>17530</x:v>
      </x:c>
      <x:c r="AP752" s="119" t="n">
        <x:f>IF(AN752=0,0,(AN752-IF(5=D752,1,0))*ROUND(AO752*VLOOKUP(INDEX('章节与怪物'!$E$31:$K$37,B752,5),'章节与怪物'!$A$41:$F$44,2,FALSE),0)+IF(5=D752,ROUND(AO752*'难度参数'!$E$28*'章节与怪物'!$E$17,0),0))</x:f>
        <x:v>631100</x:v>
      </x:c>
      <x:c r="AQ752" s="119" t="n">
        <x:f>IF(AN752=0,0,(AN752-IF(5=D752,1,0))*VLOOKUP(INDEX('章节与怪物'!$E$31:$K$37,B752,5),'章节与怪物'!$A$41:$F$44,4,FALSE)+IF(5=D752,'难度参数'!$E$30,0))</x:f>
        <x:v>1000</x:v>
      </x:c>
      <x:c r="AR752" s="119" t="n">
        <x:f>IF(6&gt;D752,0,MAX(2,MIN('难度参数'!$E$12,ROUND(('难度参数'!$E$18*POWER(A752,'难度参数'!$E$19)/D752*(0.85+0.3*(6-1)/MAX(1,D752-1))),0)+F752)))</x:f>
        <x:v>53</x:v>
      </x:c>
      <x:c r="AS752" s="119" t="n">
        <x:f>IF(6&gt;D752,0,ROUND(('难度参数'!$E$13*POWER(A752,'难度参数'!$E$20)*MIN('难度参数'!$E$23,1+MAX(0,A752-'难度参数'!$E$21)*'难度参数'!$E$22))*(36+6*7)/(36+7*(D752+1)/2)*E752,0))</x:f>
        <x:v>19258</x:v>
      </x:c>
      <x:c r="AT752" s="119" t="n">
        <x:f>IF(AR752=0,0,(AR752-IF(6=D752,1,0))*ROUND(AS752*VLOOKUP(INDEX('章节与怪物'!$E$31:$K$37,B752,6),'章节与怪物'!$A$41:$F$44,2,FALSE),0)+IF(6=D752,ROUND(AS752*'难度参数'!$E$28*'章节与怪物'!$E$17,0),0))</x:f>
        <x:v>1735167</x:v>
      </x:c>
      <x:c r="AU752" s="119" t="n">
        <x:f>IF(AR752=0,0,(AR752-IF(6=D752,1,0))*VLOOKUP(INDEX('章节与怪物'!$E$31:$K$37,B752,6),'章节与怪物'!$A$41:$F$44,4,FALSE)+IF(6=D752,'难度参数'!$E$30,0))</x:f>
        <x:v>1484</x:v>
      </x:c>
      <x:c r="AV752" s="119" t="n">
        <x:f>IF(7&gt;D752,0,MAX(2,MIN('难度参数'!$E$12,ROUND(('难度参数'!$E$18*POWER(A752,'难度参数'!$E$19)/D752*(0.85+0.3*(7-1)/MAX(1,D752-1))),0)+F752)))</x:f>
        <x:v>55</x:v>
      </x:c>
      <x:c r="AW752" s="119" t="n">
        <x:f>IF(7&gt;D752,0,ROUND(('难度参数'!$E$13*POWER(A752,'难度参数'!$E$20)*MIN('难度参数'!$E$23,1+MAX(0,A752-'难度参数'!$E$21)*'难度参数'!$E$22))*(36+7*7)/(36+7*(D752+1)/2)*E752,0))</x:f>
        <x:v>20987</x:v>
      </x:c>
      <x:c r="AX752" s="119" t="n">
        <x:f>IF(AV752=0,0,(AV752-IF(7=D752,1,0))*ROUND(AW752*VLOOKUP(INDEX('章节与怪物'!$E$31:$K$37,B752,7),'章节与怪物'!$A$41:$F$44,2,FALSE),0)+IF(7=D752,ROUND(AW752*'难度参数'!$E$28*'章节与怪物'!$E$17,0),0))</x:f>
        <x:v>1672640</x:v>
      </x:c>
      <x:c r="AY752" s="119" t="n">
        <x:f>IF(AV752=0,0,(AV752-IF(7=D752,1,0))*VLOOKUP(INDEX('章节与怪物'!$E$31:$K$37,B752,7),'章节与怪物'!$A$41:$F$44,4,FALSE)+IF(7=D752,'难度参数'!$E$30,0))</x:f>
        <x:v>2036</x:v>
      </x:c>
    </x:row>
    <x:row r="753" ht="23" customHeight="1">
      <x:c r="A753" s="119" t="n">
        <x:v>747</x:v>
      </x:c>
      <x:c r="B753" s="119" t="n">
        <x:f>MOD(INT((A753-1)/5),7)+1</x:f>
        <x:v>3</x:v>
      </x:c>
      <x:c r="C753" s="62" t="str">
        <x:f>INDEX('章节与怪物'!$B$31:$B$37,B753)</x:f>
        <x:v>腐沼秘林</x:v>
      </x:c>
      <x:c r="D753" s="119" t="n">
        <x:f>MIN('难度参数'!$E$8,MAX('难度参数'!$E$7,A753))</x:f>
        <x:v>7</x:v>
      </x:c>
      <x:c r="E753" s="106" t="n">
        <x:v>1</x:v>
      </x:c>
      <x:c r="F753" s="106" t="n">
        <x:v>0</x:v>
      </x:c>
      <x:c r="G753" s="106" t="n">
        <x:v>1</x:v>
      </x:c>
      <x:c r="H753" s="119" t="n">
        <x:f>SUM(X753,AB753,AF753,AJ753,AN753,AR753,AV753)</x:f>
        <x:v>335</x:v>
      </x:c>
      <x:c r="I753" s="119" t="n">
        <x:f>SUM(Z753,AD753,AH753,AL753,AP753,AT753,AX753)</x:f>
        <x:v>6963679</x:v>
      </x:c>
      <x:c r="J753" s="119" t="n">
        <x:f>ROUND(INDEX(X753:AY753,1,(D753-1)*4+2)*'难度参数'!$E$28*'章节与怪物'!$E$17,0)</x:f>
        <x:v>142848</x:v>
      </x:c>
      <x:c r="K753" s="119" t="n">
        <x:f>SUM(AA753,AE753,AI753,AM753,AQ753,AU753,AY753)</x:f>
        <x:v>9010</x:v>
      </x:c>
      <x:c r="L753" s="62" t="n">
        <x:f>H753*(ROUNDUP('难度参数'!$E$24/('难度参数'!$E$26*'难度参数'!$E$27),0)*'难度参数'!$E$26)/60</x:f>
        <x:v>4.466666666666667</x:v>
      </x:c>
      <x:c r="M753" s="62" t="n">
        <x:f>L753+D753*('难度参数'!$E$49+'难度参数'!$E$50)/60</x:f>
        <x:v>5.633333333333334</x:v>
      </x:c>
      <x:c r="N753" s="119" t="n">
        <x:f>ROUNDDOWN(('经济参数'!$E$20+A753*'经济参数'!$E$21)*G753,0)</x:f>
        <x:v>15120</x:v>
      </x:c>
      <x:c r="O753" s="119" t="n">
        <x:f>ROUNDDOWN(MIN('经济参数'!$E$24,'经济参数'!$E$22+A753*'经济参数'!$E$23)*G753,0)</x:f>
        <x:v>0</x:v>
      </x:c>
      <x:c r="P753" s="119" t="n">
        <x:f>ROUNDDOWN((IF(A753&gt;='材料与任务'!$E$31,'材料与任务'!$E$32,IF(A753&gt;='材料与任务'!$E$25,'材料与任务'!$E$26,IF(A753&gt;='材料与任务'!$E$19,'材料与任务'!$E$20,IF(A753&gt;='材料与任务'!$E$13,'材料与任务'!$E$14,'材料与任务'!$E$8)))))*G753,0)</x:f>
        <x:v>6</x:v>
      </x:c>
      <x:c r="Q753" s="119" t="n">
        <x:f>ROUNDDOWN((IF(A753&gt;='材料与任务'!$E$31,'材料与任务'!$E$33,IF(A753&gt;='材料与任务'!$E$25,'材料与任务'!$E$27,IF(A753&gt;='材料与任务'!$E$19,'材料与任务'!$E$21,IF(A753&gt;='材料与任务'!$E$13,'材料与任务'!$E$15,'材料与任务'!$E$9)))))*G753,0)</x:f>
        <x:v>3</x:v>
      </x:c>
      <x:c r="R753" s="110" t="n">
        <x:f>'装备掉落'!$B$38</x:f>
        <x:v>0.6872058758851213</x:v>
      </x:c>
      <x:c r="S753" s="119" t="n">
        <x:f>MAX(IF(VLOOKUP(A753,'装备掉落'!$A$29:$H$34,2,TRUE)&gt;0,1,0),IF(VLOOKUP(A753,'装备掉落'!$A$29:$H$34,3,TRUE)&gt;0,2,0),IF(VLOOKUP(A753,'装备掉落'!$A$29:$H$34,4,TRUE)&gt;0,3,0),IF(VLOOKUP(A753,'装备掉落'!$A$29:$H$34,5,TRUE)&gt;0,4,0),IF(VLOOKUP(A753,'装备掉落'!$A$29:$H$34,6,TRUE)&gt;0,5,0),IF(VLOOKUP(A753,'装备掉落'!$A$29:$H$34,7,TRUE)&gt;0,6,0),IF(VLOOKUP(A753,'装备掉落'!$A$29:$H$34,8,TRUE)&gt;0,7,0))</x:f>
        <x:v>7</x:v>
      </x:c>
      <x:c r="T753" s="119" t="n">
        <x:f>MIN(7,S753+'经济参数'!$E$70)</x:f>
        <x:v>7</x:v>
      </x:c>
      <x:c r="U753" s="119" t="n">
        <x:f>MIN(7,S753+'经济参数'!$E$71)</x:f>
        <x:v>7</x:v>
      </x:c>
      <x:c r="V753" s="119" t="n">
        <x:f>IF(H753&gt;=('难度参数'!$E$52),1,0)+IF(H753&gt;=('难度参数'!$E$52+'难度参数'!$E$53),1,0)+IF(H753&gt;=('难度参数'!$E$52+'难度参数'!$E$53+'难度参数'!$E$54),1,0)+IF(H753&gt;=('难度参数'!$E$52+'难度参数'!$E$53+'难度参数'!$E$54+'难度参数'!$E$55),1,0)+IF(H753&gt;=('难度参数'!$E$52+'难度参数'!$E$53+'难度参数'!$E$54+'难度参数'!$E$55+'难度参数'!$E$56),1,0)+IF(H753&gt;=('难度参数'!$E$52+'难度参数'!$E$53+'难度参数'!$E$54+'难度参数'!$E$55+'难度参数'!$E$56+'难度参数'!$E$57),1,0)</x:f>
        <x:v>6</x:v>
      </x:c>
      <x:c r="W753" s="62" t="str">
        <x:f>IF(L753&gt;'难度参数'!$E$51,"仅出怪已超目标","还需实测")</x:f>
        <x:v>仅出怪已超目标</x:v>
      </x:c>
      <x:c r="X753" s="119" t="n">
        <x:f>IF(1&gt;D753,0,MAX(2,MIN('难度参数'!$E$12,ROUND(('难度参数'!$E$18*POWER(A753,'难度参数'!$E$19)/D753*(0.85+0.3*(1-1)/MAX(1,D753-1))),0)+F753)))</x:f>
        <x:v>41</x:v>
      </x:c>
      <x:c r="Y753" s="119" t="n">
        <x:f>IF(1&gt;D753,0,ROUND(('难度参数'!$E$13*POWER(A753,'难度参数'!$E$20)*MIN('难度参数'!$E$23,1+MAX(0,A753-'难度参数'!$E$21)*'难度参数'!$E$22))*(36+1*7)/(36+7*(D753+1)/2)*E753,0))</x:f>
        <x:v>10627</x:v>
      </x:c>
      <x:c r="Z753" s="119" t="n">
        <x:f>IF(X753=0,0,(X753-IF(1=D753,1,0))*ROUND(Y753*VLOOKUP(INDEX('章节与怪物'!$E$31:$K$37,B753,1),'章节与怪物'!$A$41:$F$44,2,FALSE),0)+IF(1=D753,ROUND(Y753*'难度参数'!$E$28*'章节与怪物'!$E$17,0),0))</x:f>
        <x:v>435707</x:v>
      </x:c>
      <x:c r="AA753" s="119" t="n">
        <x:f>IF(X753=0,0,(X753-IF(1=D753,1,0))*VLOOKUP(INDEX('章节与怪物'!$E$31:$K$37,B753,1),'章节与怪物'!$A$41:$F$44,4,FALSE)+IF(1=D753,'难度参数'!$E$30,0))</x:f>
        <x:v>738</x:v>
      </x:c>
      <x:c r="AB753" s="119" t="n">
        <x:f>IF(2&gt;D753,0,MAX(2,MIN('难度参数'!$E$12,ROUND(('难度参数'!$E$18*POWER(A753,'难度参数'!$E$19)/D753*(0.85+0.3*(2-1)/MAX(1,D753-1))),0)+F753)))</x:f>
        <x:v>43</x:v>
      </x:c>
      <x:c r="AC753" s="119" t="n">
        <x:f>IF(2&gt;D753,0,ROUND(('难度参数'!$E$13*POWER(A753,'难度参数'!$E$20)*MIN('难度参数'!$E$23,1+MAX(0,A753-'难度参数'!$E$21)*'难度参数'!$E$22))*(36+2*7)/(36+7*(D753+1)/2)*E753,0))</x:f>
        <x:v>12357</x:v>
      </x:c>
      <x:c r="AD753" s="119" t="n">
        <x:f>IF(AB753=0,0,(AB753-IF(2=D753,1,0))*ROUND(AC753*VLOOKUP(INDEX('章节与怪物'!$E$31:$K$37,B753,2),'章节与怪物'!$A$41:$F$44,2,FALSE),0)+IF(2=D753,ROUND(AC753*'难度参数'!$E$28*'章节与怪物'!$E$17,0),0))</x:f>
        <x:v>382571</x:v>
      </x:c>
      <x:c r="AE753" s="119" t="n">
        <x:f>IF(AB753=0,0,(AB753-IF(2=D753,1,0))*VLOOKUP(INDEX('章节与怪物'!$E$31:$K$37,B753,2),'章节与怪物'!$A$41:$F$44,4,FALSE)+IF(2=D753,'难度参数'!$E$30,0))</x:f>
        <x:v>860</x:v>
      </x:c>
      <x:c r="AF753" s="119" t="n">
        <x:f>IF(3&gt;D753,0,MAX(2,MIN('难度参数'!$E$12,ROUND(('难度参数'!$E$18*POWER(A753,'难度参数'!$E$19)/D753*(0.85+0.3*(3-1)/MAX(1,D753-1))),0)+F753)))</x:f>
        <x:v>45</x:v>
      </x:c>
      <x:c r="AG753" s="119" t="n">
        <x:f>IF(3&gt;D753,0,ROUND(('难度参数'!$E$13*POWER(A753,'难度参数'!$E$20)*MIN('难度参数'!$E$23,1+MAX(0,A753-'难度参数'!$E$21)*'难度参数'!$E$22))*(36+3*7)/(36+7*(D753+1)/2)*E753,0))</x:f>
        <x:v>14087</x:v>
      </x:c>
      <x:c r="AH753" s="119" t="n">
        <x:f>IF(AF753=0,0,(AF753-IF(3=D753,1,0))*ROUND(AG753*VLOOKUP(INDEX('章节与怪物'!$E$31:$K$37,B753,3),'章节与怪物'!$A$41:$F$44,2,FALSE),0)+IF(3=D753,ROUND(AG753*'难度参数'!$E$28*'章节与怪物'!$E$17,0),0))</x:f>
        <x:v>1077660</x:v>
      </x:c>
      <x:c r="AI753" s="119" t="n">
        <x:f>IF(AF753=0,0,(AF753-IF(3=D753,1,0))*VLOOKUP(INDEX('章节与怪物'!$E$31:$K$37,B753,3),'章节与怪物'!$A$41:$F$44,4,FALSE)+IF(3=D753,'难度参数'!$E$30,0))</x:f>
        <x:v>1260</x:v>
      </x:c>
      <x:c r="AJ753" s="119" t="n">
        <x:f>IF(4&gt;D753,0,MAX(2,MIN('难度参数'!$E$12,ROUND(('难度参数'!$E$18*POWER(A753,'难度参数'!$E$19)/D753*(0.85+0.3*(4-1)/MAX(1,D753-1))),0)+F753)))</x:f>
        <x:v>48</x:v>
      </x:c>
      <x:c r="AK753" s="119" t="n">
        <x:f>IF(4&gt;D753,0,ROUND(('难度参数'!$E$13*POWER(A753,'难度参数'!$E$20)*MIN('难度参数'!$E$23,1+MAX(0,A753-'难度参数'!$E$21)*'难度参数'!$E$22))*(36+4*7)/(36+7*(D753+1)/2)*E753,0))</x:f>
        <x:v>15817</x:v>
      </x:c>
      <x:c r="AL753" s="119" t="n">
        <x:f>IF(AJ753=0,0,(AJ753-IF(4=D753,1,0))*ROUND(AK753*VLOOKUP(INDEX('章节与怪物'!$E$31:$K$37,B753,4),'章节与怪物'!$A$41:$F$44,2,FALSE),0)+IF(4=D753,ROUND(AK753*'难度参数'!$E$28*'章节与怪物'!$E$17,0),0))</x:f>
        <x:v>1024944</x:v>
      </x:c>
      <x:c r="AM753" s="119" t="n">
        <x:f>IF(AJ753=0,0,(AJ753-IF(4=D753,1,0))*VLOOKUP(INDEX('章节与怪物'!$E$31:$K$37,B753,4),'章节与怪物'!$A$41:$F$44,4,FALSE)+IF(4=D753,'难度参数'!$E$30,0))</x:f>
        <x:v>1632</x:v>
      </x:c>
      <x:c r="AN753" s="119" t="n">
        <x:f>IF(5&gt;D753,0,MAX(2,MIN('难度参数'!$E$12,ROUND(('难度参数'!$E$18*POWER(A753,'难度参数'!$E$19)/D753*(0.85+0.3*(5-1)/MAX(1,D753-1))),0)+F753)))</x:f>
        <x:v>50</x:v>
      </x:c>
      <x:c r="AO753" s="119" t="n">
        <x:f>IF(5&gt;D753,0,ROUND(('难度参数'!$E$13*POWER(A753,'难度参数'!$E$20)*MIN('难度参数'!$E$23,1+MAX(0,A753-'难度参数'!$E$21)*'难度参数'!$E$22))*(36+5*7)/(36+7*(D753+1)/2)*E753,0))</x:f>
        <x:v>17547</x:v>
      </x:c>
      <x:c r="AP753" s="119" t="n">
        <x:f>IF(AN753=0,0,(AN753-IF(5=D753,1,0))*ROUND(AO753*VLOOKUP(INDEX('章节与怪物'!$E$31:$K$37,B753,5),'章节与怪物'!$A$41:$F$44,2,FALSE),0)+IF(5=D753,ROUND(AO753*'难度参数'!$E$28*'章节与怪物'!$E$17,0),0))</x:f>
        <x:v>631700</x:v>
      </x:c>
      <x:c r="AQ753" s="119" t="n">
        <x:f>IF(AN753=0,0,(AN753-IF(5=D753,1,0))*VLOOKUP(INDEX('章节与怪物'!$E$31:$K$37,B753,5),'章节与怪物'!$A$41:$F$44,4,FALSE)+IF(5=D753,'难度参数'!$E$30,0))</x:f>
        <x:v>1000</x:v>
      </x:c>
      <x:c r="AR753" s="119" t="n">
        <x:f>IF(6&gt;D753,0,MAX(2,MIN('难度参数'!$E$12,ROUND(('难度参数'!$E$18*POWER(A753,'难度参数'!$E$19)/D753*(0.85+0.3*(6-1)/MAX(1,D753-1))),0)+F753)))</x:f>
        <x:v>53</x:v>
      </x:c>
      <x:c r="AS753" s="119" t="n">
        <x:f>IF(6&gt;D753,0,ROUND(('难度参数'!$E$13*POWER(A753,'难度参数'!$E$20)*MIN('难度参数'!$E$23,1+MAX(0,A753-'难度参数'!$E$21)*'难度参数'!$E$22))*(36+6*7)/(36+7*(D753+1)/2)*E753,0))</x:f>
        <x:v>19277</x:v>
      </x:c>
      <x:c r="AT753" s="119" t="n">
        <x:f>IF(AR753=0,0,(AR753-IF(6=D753,1,0))*ROUND(AS753*VLOOKUP(INDEX('章节与怪物'!$E$31:$K$37,B753,6),'章节与怪物'!$A$41:$F$44,2,FALSE),0)+IF(6=D753,ROUND(AS753*'难度参数'!$E$28*'章节与怪物'!$E$17,0),0))</x:f>
        <x:v>1736863</x:v>
      </x:c>
      <x:c r="AU753" s="119" t="n">
        <x:f>IF(AR753=0,0,(AR753-IF(6=D753,1,0))*VLOOKUP(INDEX('章节与怪物'!$E$31:$K$37,B753,6),'章节与怪物'!$A$41:$F$44,4,FALSE)+IF(6=D753,'难度参数'!$E$30,0))</x:f>
        <x:v>1484</x:v>
      </x:c>
      <x:c r="AV753" s="119" t="n">
        <x:f>IF(7&gt;D753,0,MAX(2,MIN('难度参数'!$E$12,ROUND(('难度参数'!$E$18*POWER(A753,'难度参数'!$E$19)/D753*(0.85+0.3*(7-1)/MAX(1,D753-1))),0)+F753)))</x:f>
        <x:v>55</x:v>
      </x:c>
      <x:c r="AW753" s="119" t="n">
        <x:f>IF(7&gt;D753,0,ROUND(('难度参数'!$E$13*POWER(A753,'难度参数'!$E$20)*MIN('难度参数'!$E$23,1+MAX(0,A753-'难度参数'!$E$21)*'难度参数'!$E$22))*(36+7*7)/(36+7*(D753+1)/2)*E753,0))</x:f>
        <x:v>21007</x:v>
      </x:c>
      <x:c r="AX753" s="119" t="n">
        <x:f>IF(AV753=0,0,(AV753-IF(7=D753,1,0))*ROUND(AW753*VLOOKUP(INDEX('章节与怪物'!$E$31:$K$37,B753,7),'章节与怪物'!$A$41:$F$44,2,FALSE),0)+IF(7=D753,ROUND(AW753*'难度参数'!$E$28*'章节与怪物'!$E$17,0),0))</x:f>
        <x:v>1674234</x:v>
      </x:c>
      <x:c r="AY753" s="119" t="n">
        <x:f>IF(AV753=0,0,(AV753-IF(7=D753,1,0))*VLOOKUP(INDEX('章节与怪物'!$E$31:$K$37,B753,7),'章节与怪物'!$A$41:$F$44,4,FALSE)+IF(7=D753,'难度参数'!$E$30,0))</x:f>
        <x:v>2036</x:v>
      </x:c>
    </x:row>
    <x:row r="754" ht="23" customHeight="1">
      <x:c r="A754" s="119" t="n">
        <x:v>748</x:v>
      </x:c>
      <x:c r="B754" s="119" t="n">
        <x:f>MOD(INT((A754-1)/5),7)+1</x:f>
        <x:v>3</x:v>
      </x:c>
      <x:c r="C754" s="62" t="str">
        <x:f>INDEX('章节与怪物'!$B$31:$B$37,B754)</x:f>
        <x:v>腐沼秘林</x:v>
      </x:c>
      <x:c r="D754" s="119" t="n">
        <x:f>MIN('难度参数'!$E$8,MAX('难度参数'!$E$7,A754))</x:f>
        <x:v>7</x:v>
      </x:c>
      <x:c r="E754" s="106" t="n">
        <x:v>1</x:v>
      </x:c>
      <x:c r="F754" s="106" t="n">
        <x:v>0</x:v>
      </x:c>
      <x:c r="G754" s="106" t="n">
        <x:v>1</x:v>
      </x:c>
      <x:c r="H754" s="119" t="n">
        <x:f>SUM(X754,AB754,AF754,AJ754,AN754,AR754,AV754)</x:f>
        <x:v>335</x:v>
      </x:c>
      <x:c r="I754" s="119" t="n">
        <x:f>SUM(Z754,AD754,AH754,AL754,AP754,AT754,AX754)</x:f>
        <x:v>6970406</x:v>
      </x:c>
      <x:c r="J754" s="119" t="n">
        <x:f>ROUND(INDEX(X754:AY754,1,(D754-1)*4+2)*'难度参数'!$E$28*'章节与怪物'!$E$17,0)</x:f>
        <x:v>142984</x:v>
      </x:c>
      <x:c r="K754" s="119" t="n">
        <x:f>SUM(AA754,AE754,AI754,AM754,AQ754,AU754,AY754)</x:f>
        <x:v>9010</x:v>
      </x:c>
      <x:c r="L754" s="62" t="n">
        <x:f>H754*(ROUNDUP('难度参数'!$E$24/('难度参数'!$E$26*'难度参数'!$E$27),0)*'难度参数'!$E$26)/60</x:f>
        <x:v>4.466666666666667</x:v>
      </x:c>
      <x:c r="M754" s="62" t="n">
        <x:f>L754+D754*('难度参数'!$E$49+'难度参数'!$E$50)/60</x:f>
        <x:v>5.633333333333334</x:v>
      </x:c>
      <x:c r="N754" s="119" t="n">
        <x:f>ROUNDDOWN(('经济参数'!$E$20+A754*'经济参数'!$E$21)*G754,0)</x:f>
        <x:v>15140</x:v>
      </x:c>
      <x:c r="O754" s="119" t="n">
        <x:f>ROUNDDOWN(MIN('经济参数'!$E$24,'经济参数'!$E$22+A754*'经济参数'!$E$23)*G754,0)</x:f>
        <x:v>0</x:v>
      </x:c>
      <x:c r="P754" s="119" t="n">
        <x:f>ROUNDDOWN((IF(A754&gt;='材料与任务'!$E$31,'材料与任务'!$E$32,IF(A754&gt;='材料与任务'!$E$25,'材料与任务'!$E$26,IF(A754&gt;='材料与任务'!$E$19,'材料与任务'!$E$20,IF(A754&gt;='材料与任务'!$E$13,'材料与任务'!$E$14,'材料与任务'!$E$8)))))*G754,0)</x:f>
        <x:v>6</x:v>
      </x:c>
      <x:c r="Q754" s="119" t="n">
        <x:f>ROUNDDOWN((IF(A754&gt;='材料与任务'!$E$31,'材料与任务'!$E$33,IF(A754&gt;='材料与任务'!$E$25,'材料与任务'!$E$27,IF(A754&gt;='材料与任务'!$E$19,'材料与任务'!$E$21,IF(A754&gt;='材料与任务'!$E$13,'材料与任务'!$E$15,'材料与任务'!$E$9)))))*G754,0)</x:f>
        <x:v>3</x:v>
      </x:c>
      <x:c r="R754" s="110" t="n">
        <x:f>'装备掉落'!$B$38</x:f>
        <x:v>0.6872058758851213</x:v>
      </x:c>
      <x:c r="S754" s="119" t="n">
        <x:f>MAX(IF(VLOOKUP(A754,'装备掉落'!$A$29:$H$34,2,TRUE)&gt;0,1,0),IF(VLOOKUP(A754,'装备掉落'!$A$29:$H$34,3,TRUE)&gt;0,2,0),IF(VLOOKUP(A754,'装备掉落'!$A$29:$H$34,4,TRUE)&gt;0,3,0),IF(VLOOKUP(A754,'装备掉落'!$A$29:$H$34,5,TRUE)&gt;0,4,0),IF(VLOOKUP(A754,'装备掉落'!$A$29:$H$34,6,TRUE)&gt;0,5,0),IF(VLOOKUP(A754,'装备掉落'!$A$29:$H$34,7,TRUE)&gt;0,6,0),IF(VLOOKUP(A754,'装备掉落'!$A$29:$H$34,8,TRUE)&gt;0,7,0))</x:f>
        <x:v>7</x:v>
      </x:c>
      <x:c r="T754" s="119" t="n">
        <x:f>MIN(7,S754+'经济参数'!$E$70)</x:f>
        <x:v>7</x:v>
      </x:c>
      <x:c r="U754" s="119" t="n">
        <x:f>MIN(7,S754+'经济参数'!$E$71)</x:f>
        <x:v>7</x:v>
      </x:c>
      <x:c r="V754" s="119" t="n">
        <x:f>IF(H754&gt;=('难度参数'!$E$52),1,0)+IF(H754&gt;=('难度参数'!$E$52+'难度参数'!$E$53),1,0)+IF(H754&gt;=('难度参数'!$E$52+'难度参数'!$E$53+'难度参数'!$E$54),1,0)+IF(H754&gt;=('难度参数'!$E$52+'难度参数'!$E$53+'难度参数'!$E$54+'难度参数'!$E$55),1,0)+IF(H754&gt;=('难度参数'!$E$52+'难度参数'!$E$53+'难度参数'!$E$54+'难度参数'!$E$55+'难度参数'!$E$56),1,0)+IF(H754&gt;=('难度参数'!$E$52+'难度参数'!$E$53+'难度参数'!$E$54+'难度参数'!$E$55+'难度参数'!$E$56+'难度参数'!$E$57),1,0)</x:f>
        <x:v>6</x:v>
      </x:c>
      <x:c r="W754" s="62" t="str">
        <x:f>IF(L754&gt;'难度参数'!$E$51,"仅出怪已超目标","还需实测")</x:f>
        <x:v>仅出怪已超目标</x:v>
      </x:c>
      <x:c r="X754" s="119" t="n">
        <x:f>IF(1&gt;D754,0,MAX(2,MIN('难度参数'!$E$12,ROUND(('难度参数'!$E$18*POWER(A754,'难度参数'!$E$19)/D754*(0.85+0.3*(1-1)/MAX(1,D754-1))),0)+F754)))</x:f>
        <x:v>41</x:v>
      </x:c>
      <x:c r="Y754" s="119" t="n">
        <x:f>IF(1&gt;D754,0,ROUND(('难度参数'!$E$13*POWER(A754,'难度参数'!$E$20)*MIN('难度参数'!$E$23,1+MAX(0,A754-'难度参数'!$E$21)*'难度参数'!$E$22))*(36+1*7)/(36+7*(D754+1)/2)*E754,0))</x:f>
        <x:v>10637</x:v>
      </x:c>
      <x:c r="Z754" s="119" t="n">
        <x:f>IF(X754=0,0,(X754-IF(1=D754,1,0))*ROUND(Y754*VLOOKUP(INDEX('章节与怪物'!$E$31:$K$37,B754,1),'章节与怪物'!$A$41:$F$44,2,FALSE),0)+IF(1=D754,ROUND(Y754*'难度参数'!$E$28*'章节与怪物'!$E$17,0),0))</x:f>
        <x:v>436117</x:v>
      </x:c>
      <x:c r="AA754" s="119" t="n">
        <x:f>IF(X754=0,0,(X754-IF(1=D754,1,0))*VLOOKUP(INDEX('章节与怪物'!$E$31:$K$37,B754,1),'章节与怪物'!$A$41:$F$44,4,FALSE)+IF(1=D754,'难度参数'!$E$30,0))</x:f>
        <x:v>738</x:v>
      </x:c>
      <x:c r="AB754" s="119" t="n">
        <x:f>IF(2&gt;D754,0,MAX(2,MIN('难度参数'!$E$12,ROUND(('难度参数'!$E$18*POWER(A754,'难度参数'!$E$19)/D754*(0.85+0.3*(2-1)/MAX(1,D754-1))),0)+F754)))</x:f>
        <x:v>43</x:v>
      </x:c>
      <x:c r="AC754" s="119" t="n">
        <x:f>IF(2&gt;D754,0,ROUND(('难度参数'!$E$13*POWER(A754,'难度参数'!$E$20)*MIN('难度参数'!$E$23,1+MAX(0,A754-'难度参数'!$E$21)*'难度参数'!$E$22))*(36+2*7)/(36+7*(D754+1)/2)*E754,0))</x:f>
        <x:v>12369</x:v>
      </x:c>
      <x:c r="AD754" s="119" t="n">
        <x:f>IF(AB754=0,0,(AB754-IF(2=D754,1,0))*ROUND(AC754*VLOOKUP(INDEX('章节与怪物'!$E$31:$K$37,B754,2),'章节与怪物'!$A$41:$F$44,2,FALSE),0)+IF(2=D754,ROUND(AC754*'难度参数'!$E$28*'章节与怪物'!$E$17,0),0))</x:f>
        <x:v>382958</x:v>
      </x:c>
      <x:c r="AE754" s="119" t="n">
        <x:f>IF(AB754=0,0,(AB754-IF(2=D754,1,0))*VLOOKUP(INDEX('章节与怪物'!$E$31:$K$37,B754,2),'章节与怪物'!$A$41:$F$44,4,FALSE)+IF(2=D754,'难度参数'!$E$30,0))</x:f>
        <x:v>860</x:v>
      </x:c>
      <x:c r="AF754" s="119" t="n">
        <x:f>IF(3&gt;D754,0,MAX(2,MIN('难度参数'!$E$12,ROUND(('难度参数'!$E$18*POWER(A754,'难度参数'!$E$19)/D754*(0.85+0.3*(3-1)/MAX(1,D754-1))),0)+F754)))</x:f>
        <x:v>45</x:v>
      </x:c>
      <x:c r="AG754" s="119" t="n">
        <x:f>IF(3&gt;D754,0,ROUND(('难度参数'!$E$13*POWER(A754,'难度参数'!$E$20)*MIN('难度参数'!$E$23,1+MAX(0,A754-'难度参数'!$E$21)*'难度参数'!$E$22))*(36+3*7)/(36+7*(D754+1)/2)*E754,0))</x:f>
        <x:v>14101</x:v>
      </x:c>
      <x:c r="AH754" s="119" t="n">
        <x:f>IF(AF754=0,0,(AF754-IF(3=D754,1,0))*ROUND(AG754*VLOOKUP(INDEX('章节与怪物'!$E$31:$K$37,B754,3),'章节与怪物'!$A$41:$F$44,2,FALSE),0)+IF(3=D754,ROUND(AG754*'难度参数'!$E$28*'章节与怪物'!$E$17,0),0))</x:f>
        <x:v>1078740</x:v>
      </x:c>
      <x:c r="AI754" s="119" t="n">
        <x:f>IF(AF754=0,0,(AF754-IF(3=D754,1,0))*VLOOKUP(INDEX('章节与怪物'!$E$31:$K$37,B754,3),'章节与怪物'!$A$41:$F$44,4,FALSE)+IF(3=D754,'难度参数'!$E$30,0))</x:f>
        <x:v>1260</x:v>
      </x:c>
      <x:c r="AJ754" s="119" t="n">
        <x:f>IF(4&gt;D754,0,MAX(2,MIN('难度参数'!$E$12,ROUND(('难度参数'!$E$18*POWER(A754,'难度参数'!$E$19)/D754*(0.85+0.3*(4-1)/MAX(1,D754-1))),0)+F754)))</x:f>
        <x:v>48</x:v>
      </x:c>
      <x:c r="AK754" s="119" t="n">
        <x:f>IF(4&gt;D754,0,ROUND(('难度参数'!$E$13*POWER(A754,'难度参数'!$E$20)*MIN('难度参数'!$E$23,1+MAX(0,A754-'难度参数'!$E$21)*'难度参数'!$E$22))*(36+4*7)/(36+7*(D754+1)/2)*E754,0))</x:f>
        <x:v>15832</x:v>
      </x:c>
      <x:c r="AL754" s="119" t="n">
        <x:f>IF(AJ754=0,0,(AJ754-IF(4=D754,1,0))*ROUND(AK754*VLOOKUP(INDEX('章节与怪物'!$E$31:$K$37,B754,4),'章节与怪物'!$A$41:$F$44,2,FALSE),0)+IF(4=D754,ROUND(AK754*'难度参数'!$E$28*'章节与怪物'!$E$17,0),0))</x:f>
        <x:v>1025904</x:v>
      </x:c>
      <x:c r="AM754" s="119" t="n">
        <x:f>IF(AJ754=0,0,(AJ754-IF(4=D754,1,0))*VLOOKUP(INDEX('章节与怪物'!$E$31:$K$37,B754,4),'章节与怪物'!$A$41:$F$44,4,FALSE)+IF(4=D754,'难度参数'!$E$30,0))</x:f>
        <x:v>1632</x:v>
      </x:c>
      <x:c r="AN754" s="119" t="n">
        <x:f>IF(5&gt;D754,0,MAX(2,MIN('难度参数'!$E$12,ROUND(('难度参数'!$E$18*POWER(A754,'难度参数'!$E$19)/D754*(0.85+0.3*(5-1)/MAX(1,D754-1))),0)+F754)))</x:f>
        <x:v>50</x:v>
      </x:c>
      <x:c r="AO754" s="119" t="n">
        <x:f>IF(5&gt;D754,0,ROUND(('难度参数'!$E$13*POWER(A754,'难度参数'!$E$20)*MIN('难度参数'!$E$23,1+MAX(0,A754-'难度参数'!$E$21)*'难度参数'!$E$22))*(36+5*7)/(36+7*(D754+1)/2)*E754,0))</x:f>
        <x:v>17564</x:v>
      </x:c>
      <x:c r="AP754" s="119" t="n">
        <x:f>IF(AN754=0,0,(AN754-IF(5=D754,1,0))*ROUND(AO754*VLOOKUP(INDEX('章节与怪物'!$E$31:$K$37,B754,5),'章节与怪物'!$A$41:$F$44,2,FALSE),0)+IF(5=D754,ROUND(AO754*'难度参数'!$E$28*'章节与怪物'!$E$17,0),0))</x:f>
        <x:v>632300</x:v>
      </x:c>
      <x:c r="AQ754" s="119" t="n">
        <x:f>IF(AN754=0,0,(AN754-IF(5=D754,1,0))*VLOOKUP(INDEX('章节与怪物'!$E$31:$K$37,B754,5),'章节与怪物'!$A$41:$F$44,4,FALSE)+IF(5=D754,'难度参数'!$E$30,0))</x:f>
        <x:v>1000</x:v>
      </x:c>
      <x:c r="AR754" s="119" t="n">
        <x:f>IF(6&gt;D754,0,MAX(2,MIN('难度参数'!$E$12,ROUND(('难度参数'!$E$18*POWER(A754,'难度参数'!$E$19)/D754*(0.85+0.3*(6-1)/MAX(1,D754-1))),0)+F754)))</x:f>
        <x:v>53</x:v>
      </x:c>
      <x:c r="AS754" s="119" t="n">
        <x:f>IF(6&gt;D754,0,ROUND(('难度参数'!$E$13*POWER(A754,'难度参数'!$E$20)*MIN('难度参数'!$E$23,1+MAX(0,A754-'难度参数'!$E$21)*'难度参数'!$E$22))*(36+6*7)/(36+7*(D754+1)/2)*E754,0))</x:f>
        <x:v>19296</x:v>
      </x:c>
      <x:c r="AT754" s="119" t="n">
        <x:f>IF(AR754=0,0,(AR754-IF(6=D754,1,0))*ROUND(AS754*VLOOKUP(INDEX('章节与怪物'!$E$31:$K$37,B754,6),'章节与怪物'!$A$41:$F$44,2,FALSE),0)+IF(6=D754,ROUND(AS754*'难度参数'!$E$28*'章节与怪物'!$E$17,0),0))</x:f>
        <x:v>1738559</x:v>
      </x:c>
      <x:c r="AU754" s="119" t="n">
        <x:f>IF(AR754=0,0,(AR754-IF(6=D754,1,0))*VLOOKUP(INDEX('章节与怪物'!$E$31:$K$37,B754,6),'章节与怪物'!$A$41:$F$44,4,FALSE)+IF(6=D754,'难度参数'!$E$30,0))</x:f>
        <x:v>1484</x:v>
      </x:c>
      <x:c r="AV754" s="119" t="n">
        <x:f>IF(7&gt;D754,0,MAX(2,MIN('难度参数'!$E$12,ROUND(('难度参数'!$E$18*POWER(A754,'难度参数'!$E$19)/D754*(0.85+0.3*(7-1)/MAX(1,D754-1))),0)+F754)))</x:f>
        <x:v>55</x:v>
      </x:c>
      <x:c r="AW754" s="119" t="n">
        <x:f>IF(7&gt;D754,0,ROUND(('难度参数'!$E$13*POWER(A754,'难度参数'!$E$20)*MIN('难度参数'!$E$23,1+MAX(0,A754-'难度参数'!$E$21)*'难度参数'!$E$22))*(36+7*7)/(36+7*(D754+1)/2)*E754,0))</x:f>
        <x:v>21027</x:v>
      </x:c>
      <x:c r="AX754" s="119" t="n">
        <x:f>IF(AV754=0,0,(AV754-IF(7=D754,1,0))*ROUND(AW754*VLOOKUP(INDEX('章节与怪物'!$E$31:$K$37,B754,7),'章节与怪物'!$A$41:$F$44,2,FALSE),0)+IF(7=D754,ROUND(AW754*'难度参数'!$E$28*'章节与怪物'!$E$17,0),0))</x:f>
        <x:v>1675828</x:v>
      </x:c>
      <x:c r="AY754" s="119" t="n">
        <x:f>IF(AV754=0,0,(AV754-IF(7=D754,1,0))*VLOOKUP(INDEX('章节与怪物'!$E$31:$K$37,B754,7),'章节与怪物'!$A$41:$F$44,4,FALSE)+IF(7=D754,'难度参数'!$E$30,0))</x:f>
        <x:v>2036</x:v>
      </x:c>
    </x:row>
    <x:row r="755" ht="23" customHeight="1">
      <x:c r="A755" s="119" t="n">
        <x:v>749</x:v>
      </x:c>
      <x:c r="B755" s="119" t="n">
        <x:f>MOD(INT((A755-1)/5),7)+1</x:f>
        <x:v>3</x:v>
      </x:c>
      <x:c r="C755" s="62" t="str">
        <x:f>INDEX('章节与怪物'!$B$31:$B$37,B755)</x:f>
        <x:v>腐沼秘林</x:v>
      </x:c>
      <x:c r="D755" s="119" t="n">
        <x:f>MIN('难度参数'!$E$8,MAX('难度参数'!$E$7,A755))</x:f>
        <x:v>7</x:v>
      </x:c>
      <x:c r="E755" s="106" t="n">
        <x:v>1</x:v>
      </x:c>
      <x:c r="F755" s="106" t="n">
        <x:v>0</x:v>
      </x:c>
      <x:c r="G755" s="106" t="n">
        <x:v>1</x:v>
      </x:c>
      <x:c r="H755" s="119" t="n">
        <x:f>SUM(X755,AB755,AF755,AJ755,AN755,AR755,AV755)</x:f>
        <x:v>335</x:v>
      </x:c>
      <x:c r="I755" s="119" t="n">
        <x:f>SUM(Z755,AD755,AH755,AL755,AP755,AT755,AX755)</x:f>
        <x:v>6976988</x:v>
      </x:c>
      <x:c r="J755" s="119" t="n">
        <x:f>ROUND(INDEX(X755:AY755,1,(D755-1)*4+2)*'难度参数'!$E$28*'章节与怪物'!$E$17,0)</x:f>
        <x:v>143120</x:v>
      </x:c>
      <x:c r="K755" s="119" t="n">
        <x:f>SUM(AA755,AE755,AI755,AM755,AQ755,AU755,AY755)</x:f>
        <x:v>9010</x:v>
      </x:c>
      <x:c r="L755" s="62" t="n">
        <x:f>H755*(ROUNDUP('难度参数'!$E$24/('难度参数'!$E$26*'难度参数'!$E$27),0)*'难度参数'!$E$26)/60</x:f>
        <x:v>4.466666666666667</x:v>
      </x:c>
      <x:c r="M755" s="62" t="n">
        <x:f>L755+D755*('难度参数'!$E$49+'难度参数'!$E$50)/60</x:f>
        <x:v>5.633333333333334</x:v>
      </x:c>
      <x:c r="N755" s="119" t="n">
        <x:f>ROUNDDOWN(('经济参数'!$E$20+A755*'经济参数'!$E$21)*G755,0)</x:f>
        <x:v>15160</x:v>
      </x:c>
      <x:c r="O755" s="119" t="n">
        <x:f>ROUNDDOWN(MIN('经济参数'!$E$24,'经济参数'!$E$22+A755*'经济参数'!$E$23)*G755,0)</x:f>
        <x:v>0</x:v>
      </x:c>
      <x:c r="P755" s="119" t="n">
        <x:f>ROUNDDOWN((IF(A755&gt;='材料与任务'!$E$31,'材料与任务'!$E$32,IF(A755&gt;='材料与任务'!$E$25,'材料与任务'!$E$26,IF(A755&gt;='材料与任务'!$E$19,'材料与任务'!$E$20,IF(A755&gt;='材料与任务'!$E$13,'材料与任务'!$E$14,'材料与任务'!$E$8)))))*G755,0)</x:f>
        <x:v>6</x:v>
      </x:c>
      <x:c r="Q755" s="119" t="n">
        <x:f>ROUNDDOWN((IF(A755&gt;='材料与任务'!$E$31,'材料与任务'!$E$33,IF(A755&gt;='材料与任务'!$E$25,'材料与任务'!$E$27,IF(A755&gt;='材料与任务'!$E$19,'材料与任务'!$E$21,IF(A755&gt;='材料与任务'!$E$13,'材料与任务'!$E$15,'材料与任务'!$E$9)))))*G755,0)</x:f>
        <x:v>3</x:v>
      </x:c>
      <x:c r="R755" s="110" t="n">
        <x:f>'装备掉落'!$B$38</x:f>
        <x:v>0.6872058758851213</x:v>
      </x:c>
      <x:c r="S755" s="119" t="n">
        <x:f>MAX(IF(VLOOKUP(A755,'装备掉落'!$A$29:$H$34,2,TRUE)&gt;0,1,0),IF(VLOOKUP(A755,'装备掉落'!$A$29:$H$34,3,TRUE)&gt;0,2,0),IF(VLOOKUP(A755,'装备掉落'!$A$29:$H$34,4,TRUE)&gt;0,3,0),IF(VLOOKUP(A755,'装备掉落'!$A$29:$H$34,5,TRUE)&gt;0,4,0),IF(VLOOKUP(A755,'装备掉落'!$A$29:$H$34,6,TRUE)&gt;0,5,0),IF(VLOOKUP(A755,'装备掉落'!$A$29:$H$34,7,TRUE)&gt;0,6,0),IF(VLOOKUP(A755,'装备掉落'!$A$29:$H$34,8,TRUE)&gt;0,7,0))</x:f>
        <x:v>7</x:v>
      </x:c>
      <x:c r="T755" s="119" t="n">
        <x:f>MIN(7,S755+'经济参数'!$E$70)</x:f>
        <x:v>7</x:v>
      </x:c>
      <x:c r="U755" s="119" t="n">
        <x:f>MIN(7,S755+'经济参数'!$E$71)</x:f>
        <x:v>7</x:v>
      </x:c>
      <x:c r="V755" s="119" t="n">
        <x:f>IF(H755&gt;=('难度参数'!$E$52),1,0)+IF(H755&gt;=('难度参数'!$E$52+'难度参数'!$E$53),1,0)+IF(H755&gt;=('难度参数'!$E$52+'难度参数'!$E$53+'难度参数'!$E$54),1,0)+IF(H755&gt;=('难度参数'!$E$52+'难度参数'!$E$53+'难度参数'!$E$54+'难度参数'!$E$55),1,0)+IF(H755&gt;=('难度参数'!$E$52+'难度参数'!$E$53+'难度参数'!$E$54+'难度参数'!$E$55+'难度参数'!$E$56),1,0)+IF(H755&gt;=('难度参数'!$E$52+'难度参数'!$E$53+'难度参数'!$E$54+'难度参数'!$E$55+'难度参数'!$E$56+'难度参数'!$E$57),1,0)</x:f>
        <x:v>6</x:v>
      </x:c>
      <x:c r="W755" s="62" t="str">
        <x:f>IF(L755&gt;'难度参数'!$E$51,"仅出怪已超目标","还需实测")</x:f>
        <x:v>仅出怪已超目标</x:v>
      </x:c>
      <x:c r="X755" s="119" t="n">
        <x:f>IF(1&gt;D755,0,MAX(2,MIN('难度参数'!$E$12,ROUND(('难度参数'!$E$18*POWER(A755,'难度参数'!$E$19)/D755*(0.85+0.3*(1-1)/MAX(1,D755-1))),0)+F755)))</x:f>
        <x:v>41</x:v>
      </x:c>
      <x:c r="Y755" s="119" t="n">
        <x:f>IF(1&gt;D755,0,ROUND(('难度参数'!$E$13*POWER(A755,'难度参数'!$E$20)*MIN('难度参数'!$E$23,1+MAX(0,A755-'难度参数'!$E$21)*'难度参数'!$E$22))*(36+1*7)/(36+7*(D755+1)/2)*E755,0))</x:f>
        <x:v>10648</x:v>
      </x:c>
      <x:c r="Z755" s="119" t="n">
        <x:f>IF(X755=0,0,(X755-IF(1=D755,1,0))*ROUND(Y755*VLOOKUP(INDEX('章节与怪物'!$E$31:$K$37,B755,1),'章节与怪物'!$A$41:$F$44,2,FALSE),0)+IF(1=D755,ROUND(Y755*'难度参数'!$E$28*'章节与怪物'!$E$17,0),0))</x:f>
        <x:v>436568</x:v>
      </x:c>
      <x:c r="AA755" s="119" t="n">
        <x:f>IF(X755=0,0,(X755-IF(1=D755,1,0))*VLOOKUP(INDEX('章节与怪物'!$E$31:$K$37,B755,1),'章节与怪物'!$A$41:$F$44,4,FALSE)+IF(1=D755,'难度参数'!$E$30,0))</x:f>
        <x:v>738</x:v>
      </x:c>
      <x:c r="AB755" s="119" t="n">
        <x:f>IF(2&gt;D755,0,MAX(2,MIN('难度参数'!$E$12,ROUND(('难度参数'!$E$18*POWER(A755,'难度参数'!$E$19)/D755*(0.85+0.3*(2-1)/MAX(1,D755-1))),0)+F755)))</x:f>
        <x:v>43</x:v>
      </x:c>
      <x:c r="AC755" s="119" t="n">
        <x:f>IF(2&gt;D755,0,ROUND(('难度参数'!$E$13*POWER(A755,'难度参数'!$E$20)*MIN('难度参数'!$E$23,1+MAX(0,A755-'难度参数'!$E$21)*'难度参数'!$E$22))*(36+2*7)/(36+7*(D755+1)/2)*E755,0))</x:f>
        <x:v>12381</x:v>
      </x:c>
      <x:c r="AD755" s="119" t="n">
        <x:f>IF(AB755=0,0,(AB755-IF(2=D755,1,0))*ROUND(AC755*VLOOKUP(INDEX('章节与怪物'!$E$31:$K$37,B755,2),'章节与怪物'!$A$41:$F$44,2,FALSE),0)+IF(2=D755,ROUND(AC755*'难度参数'!$E$28*'章节与怪物'!$E$17,0),0))</x:f>
        <x:v>383302</x:v>
      </x:c>
      <x:c r="AE755" s="119" t="n">
        <x:f>IF(AB755=0,0,(AB755-IF(2=D755,1,0))*VLOOKUP(INDEX('章节与怪物'!$E$31:$K$37,B755,2),'章节与怪物'!$A$41:$F$44,4,FALSE)+IF(2=D755,'难度参数'!$E$30,0))</x:f>
        <x:v>860</x:v>
      </x:c>
      <x:c r="AF755" s="119" t="n">
        <x:f>IF(3&gt;D755,0,MAX(2,MIN('难度参数'!$E$12,ROUND(('难度参数'!$E$18*POWER(A755,'难度参数'!$E$19)/D755*(0.85+0.3*(3-1)/MAX(1,D755-1))),0)+F755)))</x:f>
        <x:v>45</x:v>
      </x:c>
      <x:c r="AG755" s="119" t="n">
        <x:f>IF(3&gt;D755,0,ROUND(('难度参数'!$E$13*POWER(A755,'难度参数'!$E$20)*MIN('难度参数'!$E$23,1+MAX(0,A755-'难度参数'!$E$21)*'难度参数'!$E$22))*(36+3*7)/(36+7*(D755+1)/2)*E755,0))</x:f>
        <x:v>14114</x:v>
      </x:c>
      <x:c r="AH755" s="119" t="n">
        <x:f>IF(AF755=0,0,(AF755-IF(3=D755,1,0))*ROUND(AG755*VLOOKUP(INDEX('章节与怪物'!$E$31:$K$37,B755,3),'章节与怪物'!$A$41:$F$44,2,FALSE),0)+IF(3=D755,ROUND(AG755*'难度参数'!$E$28*'章节与怪物'!$E$17,0),0))</x:f>
        <x:v>1079730</x:v>
      </x:c>
      <x:c r="AI755" s="119" t="n">
        <x:f>IF(AF755=0,0,(AF755-IF(3=D755,1,0))*VLOOKUP(INDEX('章节与怪物'!$E$31:$K$37,B755,3),'章节与怪物'!$A$41:$F$44,4,FALSE)+IF(3=D755,'难度参数'!$E$30,0))</x:f>
        <x:v>1260</x:v>
      </x:c>
      <x:c r="AJ755" s="119" t="n">
        <x:f>IF(4&gt;D755,0,MAX(2,MIN('难度参数'!$E$12,ROUND(('难度参数'!$E$18*POWER(A755,'难度参数'!$E$19)/D755*(0.85+0.3*(4-1)/MAX(1,D755-1))),0)+F755)))</x:f>
        <x:v>48</x:v>
      </x:c>
      <x:c r="AK755" s="119" t="n">
        <x:f>IF(4&gt;D755,0,ROUND(('难度参数'!$E$13*POWER(A755,'难度参数'!$E$20)*MIN('难度参数'!$E$23,1+MAX(0,A755-'难度参数'!$E$21)*'难度参数'!$E$22))*(36+4*7)/(36+7*(D755+1)/2)*E755,0))</x:f>
        <x:v>15847</x:v>
      </x:c>
      <x:c r="AL755" s="119" t="n">
        <x:f>IF(AJ755=0,0,(AJ755-IF(4=D755,1,0))*ROUND(AK755*VLOOKUP(INDEX('章节与怪物'!$E$31:$K$37,B755,4),'章节与怪物'!$A$41:$F$44,2,FALSE),0)+IF(4=D755,ROUND(AK755*'难度参数'!$E$28*'章节与怪物'!$E$17,0),0))</x:f>
        <x:v>1026864</x:v>
      </x:c>
      <x:c r="AM755" s="119" t="n">
        <x:f>IF(AJ755=0,0,(AJ755-IF(4=D755,1,0))*VLOOKUP(INDEX('章节与怪物'!$E$31:$K$37,B755,4),'章节与怪物'!$A$41:$F$44,4,FALSE)+IF(4=D755,'难度参数'!$E$30,0))</x:f>
        <x:v>1632</x:v>
      </x:c>
      <x:c r="AN755" s="119" t="n">
        <x:f>IF(5&gt;D755,0,MAX(2,MIN('难度参数'!$E$12,ROUND(('难度参数'!$E$18*POWER(A755,'难度参数'!$E$19)/D755*(0.85+0.3*(5-1)/MAX(1,D755-1))),0)+F755)))</x:f>
        <x:v>50</x:v>
      </x:c>
      <x:c r="AO755" s="119" t="n">
        <x:f>IF(5&gt;D755,0,ROUND(('难度参数'!$E$13*POWER(A755,'难度参数'!$E$20)*MIN('难度参数'!$E$23,1+MAX(0,A755-'难度参数'!$E$21)*'难度参数'!$E$22))*(36+5*7)/(36+7*(D755+1)/2)*E755,0))</x:f>
        <x:v>17581</x:v>
      </x:c>
      <x:c r="AP755" s="119" t="n">
        <x:f>IF(AN755=0,0,(AN755-IF(5=D755,1,0))*ROUND(AO755*VLOOKUP(INDEX('章节与怪物'!$E$31:$K$37,B755,5),'章节与怪物'!$A$41:$F$44,2,FALSE),0)+IF(5=D755,ROUND(AO755*'难度参数'!$E$28*'章节与怪物'!$E$17,0),0))</x:f>
        <x:v>632900</x:v>
      </x:c>
      <x:c r="AQ755" s="119" t="n">
        <x:f>IF(AN755=0,0,(AN755-IF(5=D755,1,0))*VLOOKUP(INDEX('章节与怪物'!$E$31:$K$37,B755,5),'章节与怪物'!$A$41:$F$44,4,FALSE)+IF(5=D755,'难度参数'!$E$30,0))</x:f>
        <x:v>1000</x:v>
      </x:c>
      <x:c r="AR755" s="119" t="n">
        <x:f>IF(6&gt;D755,0,MAX(2,MIN('难度参数'!$E$12,ROUND(('难度参数'!$E$18*POWER(A755,'难度参数'!$E$19)/D755*(0.85+0.3*(6-1)/MAX(1,D755-1))),0)+F755)))</x:f>
        <x:v>53</x:v>
      </x:c>
      <x:c r="AS755" s="119" t="n">
        <x:f>IF(6&gt;D755,0,ROUND(('难度参数'!$E$13*POWER(A755,'难度参数'!$E$20)*MIN('难度参数'!$E$23,1+MAX(0,A755-'难度参数'!$E$21)*'难度参数'!$E$22))*(36+6*7)/(36+7*(D755+1)/2)*E755,0))</x:f>
        <x:v>19314</x:v>
      </x:c>
      <x:c r="AT755" s="119" t="n">
        <x:f>IF(AR755=0,0,(AR755-IF(6=D755,1,0))*ROUND(AS755*VLOOKUP(INDEX('章节与怪物'!$E$31:$K$37,B755,6),'章节与怪物'!$A$41:$F$44,2,FALSE),0)+IF(6=D755,ROUND(AS755*'难度参数'!$E$28*'章节与怪物'!$E$17,0),0))</x:f>
        <x:v>1740202</x:v>
      </x:c>
      <x:c r="AU755" s="119" t="n">
        <x:f>IF(AR755=0,0,(AR755-IF(6=D755,1,0))*VLOOKUP(INDEX('章节与怪物'!$E$31:$K$37,B755,6),'章节与怪物'!$A$41:$F$44,4,FALSE)+IF(6=D755,'难度参数'!$E$30,0))</x:f>
        <x:v>1484</x:v>
      </x:c>
      <x:c r="AV755" s="119" t="n">
        <x:f>IF(7&gt;D755,0,MAX(2,MIN('难度参数'!$E$12,ROUND(('难度参数'!$E$18*POWER(A755,'难度参数'!$E$19)/D755*(0.85+0.3*(7-1)/MAX(1,D755-1))),0)+F755)))</x:f>
        <x:v>55</x:v>
      </x:c>
      <x:c r="AW755" s="119" t="n">
        <x:f>IF(7&gt;D755,0,ROUND(('难度参数'!$E$13*POWER(A755,'难度参数'!$E$20)*MIN('难度参数'!$E$23,1+MAX(0,A755-'难度参数'!$E$21)*'难度参数'!$E$22))*(36+7*7)/(36+7*(D755+1)/2)*E755,0))</x:f>
        <x:v>21047</x:v>
      </x:c>
      <x:c r="AX755" s="119" t="n">
        <x:f>IF(AV755=0,0,(AV755-IF(7=D755,1,0))*ROUND(AW755*VLOOKUP(INDEX('章节与怪物'!$E$31:$K$37,B755,7),'章节与怪物'!$A$41:$F$44,2,FALSE),0)+IF(7=D755,ROUND(AW755*'难度参数'!$E$28*'章节与怪物'!$E$17,0),0))</x:f>
        <x:v>1677422</x:v>
      </x:c>
      <x:c r="AY755" s="119" t="n">
        <x:f>IF(AV755=0,0,(AV755-IF(7=D755,1,0))*VLOOKUP(INDEX('章节与怪物'!$E$31:$K$37,B755,7),'章节与怪物'!$A$41:$F$44,4,FALSE)+IF(7=D755,'难度参数'!$E$30,0))</x:f>
        <x:v>2036</x:v>
      </x:c>
    </x:row>
    <x:row r="756" ht="23" customHeight="1">
      <x:c r="A756" s="119" t="n">
        <x:v>750</x:v>
      </x:c>
      <x:c r="B756" s="119" t="n">
        <x:f>MOD(INT((A756-1)/5),7)+1</x:f>
        <x:v>3</x:v>
      </x:c>
      <x:c r="C756" s="62" t="str">
        <x:f>INDEX('章节与怪物'!$B$31:$B$37,B756)</x:f>
        <x:v>腐沼秘林</x:v>
      </x:c>
      <x:c r="D756" s="119" t="n">
        <x:f>MIN('难度参数'!$E$8,MAX('难度参数'!$E$7,A756))</x:f>
        <x:v>7</x:v>
      </x:c>
      <x:c r="E756" s="106" t="n">
        <x:v>1</x:v>
      </x:c>
      <x:c r="F756" s="106" t="n">
        <x:v>0</x:v>
      </x:c>
      <x:c r="G756" s="106" t="n">
        <x:v>1</x:v>
      </x:c>
      <x:c r="H756" s="119" t="n">
        <x:f>SUM(X756,AB756,AF756,AJ756,AN756,AR756,AV756)</x:f>
        <x:v>335</x:v>
      </x:c>
      <x:c r="I756" s="119" t="n">
        <x:f>SUM(Z756,AD756,AH756,AL756,AP756,AT756,AX756)</x:f>
        <x:v>6983975</x:v>
      </x:c>
      <x:c r="J756" s="119" t="n">
        <x:f>ROUND(INDEX(X756:AY756,1,(D756-1)*4+2)*'难度参数'!$E$28*'章节与怪物'!$E$17,0)</x:f>
        <x:v>143262</x:v>
      </x:c>
      <x:c r="K756" s="119" t="n">
        <x:f>SUM(AA756,AE756,AI756,AM756,AQ756,AU756,AY756)</x:f>
        <x:v>9010</x:v>
      </x:c>
      <x:c r="L756" s="62" t="n">
        <x:f>H756*(ROUNDUP('难度参数'!$E$24/('难度参数'!$E$26*'难度参数'!$E$27),0)*'难度参数'!$E$26)/60</x:f>
        <x:v>4.466666666666667</x:v>
      </x:c>
      <x:c r="M756" s="62" t="n">
        <x:f>L756+D756*('难度参数'!$E$49+'难度参数'!$E$50)/60</x:f>
        <x:v>5.633333333333334</x:v>
      </x:c>
      <x:c r="N756" s="119" t="n">
        <x:f>ROUNDDOWN(('经济参数'!$E$20+A756*'经济参数'!$E$21)*G756,0)</x:f>
        <x:v>15180</x:v>
      </x:c>
      <x:c r="O756" s="119" t="n">
        <x:f>ROUNDDOWN(MIN('经济参数'!$E$24,'经济参数'!$E$22+A756*'经济参数'!$E$23)*G756,0)</x:f>
        <x:v>0</x:v>
      </x:c>
      <x:c r="P756" s="119" t="n">
        <x:f>ROUNDDOWN((IF(A756&gt;='材料与任务'!$E$31,'材料与任务'!$E$32,IF(A756&gt;='材料与任务'!$E$25,'材料与任务'!$E$26,IF(A756&gt;='材料与任务'!$E$19,'材料与任务'!$E$20,IF(A756&gt;='材料与任务'!$E$13,'材料与任务'!$E$14,'材料与任务'!$E$8)))))*G756,0)</x:f>
        <x:v>6</x:v>
      </x:c>
      <x:c r="Q756" s="119" t="n">
        <x:f>ROUNDDOWN((IF(A756&gt;='材料与任务'!$E$31,'材料与任务'!$E$33,IF(A756&gt;='材料与任务'!$E$25,'材料与任务'!$E$27,IF(A756&gt;='材料与任务'!$E$19,'材料与任务'!$E$21,IF(A756&gt;='材料与任务'!$E$13,'材料与任务'!$E$15,'材料与任务'!$E$9)))))*G756,0)</x:f>
        <x:v>3</x:v>
      </x:c>
      <x:c r="R756" s="110" t="n">
        <x:f>'装备掉落'!$B$38</x:f>
        <x:v>0.6872058758851213</x:v>
      </x:c>
      <x:c r="S756" s="119" t="n">
        <x:f>MAX(IF(VLOOKUP(A756,'装备掉落'!$A$29:$H$34,2,TRUE)&gt;0,1,0),IF(VLOOKUP(A756,'装备掉落'!$A$29:$H$34,3,TRUE)&gt;0,2,0),IF(VLOOKUP(A756,'装备掉落'!$A$29:$H$34,4,TRUE)&gt;0,3,0),IF(VLOOKUP(A756,'装备掉落'!$A$29:$H$34,5,TRUE)&gt;0,4,0),IF(VLOOKUP(A756,'装备掉落'!$A$29:$H$34,6,TRUE)&gt;0,5,0),IF(VLOOKUP(A756,'装备掉落'!$A$29:$H$34,7,TRUE)&gt;0,6,0),IF(VLOOKUP(A756,'装备掉落'!$A$29:$H$34,8,TRUE)&gt;0,7,0))</x:f>
        <x:v>7</x:v>
      </x:c>
      <x:c r="T756" s="119" t="n">
        <x:f>MIN(7,S756+'经济参数'!$E$70)</x:f>
        <x:v>7</x:v>
      </x:c>
      <x:c r="U756" s="119" t="n">
        <x:f>MIN(7,S756+'经济参数'!$E$71)</x:f>
        <x:v>7</x:v>
      </x:c>
      <x:c r="V756" s="119" t="n">
        <x:f>IF(H756&gt;=('难度参数'!$E$52),1,0)+IF(H756&gt;=('难度参数'!$E$52+'难度参数'!$E$53),1,0)+IF(H756&gt;=('难度参数'!$E$52+'难度参数'!$E$53+'难度参数'!$E$54),1,0)+IF(H756&gt;=('难度参数'!$E$52+'难度参数'!$E$53+'难度参数'!$E$54+'难度参数'!$E$55),1,0)+IF(H756&gt;=('难度参数'!$E$52+'难度参数'!$E$53+'难度参数'!$E$54+'难度参数'!$E$55+'难度参数'!$E$56),1,0)+IF(H756&gt;=('难度参数'!$E$52+'难度参数'!$E$53+'难度参数'!$E$54+'难度参数'!$E$55+'难度参数'!$E$56+'难度参数'!$E$57),1,0)</x:f>
        <x:v>6</x:v>
      </x:c>
      <x:c r="W756" s="62" t="str">
        <x:f>IF(L756&gt;'难度参数'!$E$51,"仅出怪已超目标","还需实测")</x:f>
        <x:v>仅出怪已超目标</x:v>
      </x:c>
      <x:c r="X756" s="119" t="n">
        <x:f>IF(1&gt;D756,0,MAX(2,MIN('难度参数'!$E$12,ROUND(('难度参数'!$E$18*POWER(A756,'难度参数'!$E$19)/D756*(0.85+0.3*(1-1)/MAX(1,D756-1))),0)+F756)))</x:f>
        <x:v>41</x:v>
      </x:c>
      <x:c r="Y756" s="119" t="n">
        <x:f>IF(1&gt;D756,0,ROUND(('难度参数'!$E$13*POWER(A756,'难度参数'!$E$20)*MIN('难度参数'!$E$23,1+MAX(0,A756-'难度参数'!$E$21)*'难度参数'!$E$22))*(36+1*7)/(36+7*(D756+1)/2)*E756,0))</x:f>
        <x:v>10658</x:v>
      </x:c>
      <x:c r="Z756" s="119" t="n">
        <x:f>IF(X756=0,0,(X756-IF(1=D756,1,0))*ROUND(Y756*VLOOKUP(INDEX('章节与怪物'!$E$31:$K$37,B756,1),'章节与怪物'!$A$41:$F$44,2,FALSE),0)+IF(1=D756,ROUND(Y756*'难度参数'!$E$28*'章节与怪物'!$E$17,0),0))</x:f>
        <x:v>436978</x:v>
      </x:c>
      <x:c r="AA756" s="119" t="n">
        <x:f>IF(X756=0,0,(X756-IF(1=D756,1,0))*VLOOKUP(INDEX('章节与怪物'!$E$31:$K$37,B756,1),'章节与怪物'!$A$41:$F$44,4,FALSE)+IF(1=D756,'难度参数'!$E$30,0))</x:f>
        <x:v>738</x:v>
      </x:c>
      <x:c r="AB756" s="119" t="n">
        <x:f>IF(2&gt;D756,0,MAX(2,MIN('难度参数'!$E$12,ROUND(('难度参数'!$E$18*POWER(A756,'难度参数'!$E$19)/D756*(0.85+0.3*(2-1)/MAX(1,D756-1))),0)+F756)))</x:f>
        <x:v>43</x:v>
      </x:c>
      <x:c r="AC756" s="119" t="n">
        <x:f>IF(2&gt;D756,0,ROUND(('难度参数'!$E$13*POWER(A756,'难度参数'!$E$20)*MIN('难度参数'!$E$23,1+MAX(0,A756-'难度参数'!$E$21)*'难度参数'!$E$22))*(36+2*7)/(36+7*(D756+1)/2)*E756,0))</x:f>
        <x:v>12393</x:v>
      </x:c>
      <x:c r="AD756" s="119" t="n">
        <x:f>IF(AB756=0,0,(AB756-IF(2=D756,1,0))*ROUND(AC756*VLOOKUP(INDEX('章节与怪物'!$E$31:$K$37,B756,2),'章节与怪物'!$A$41:$F$44,2,FALSE),0)+IF(2=D756,ROUND(AC756*'难度参数'!$E$28*'章节与怪物'!$E$17,0),0))</x:f>
        <x:v>383689</x:v>
      </x:c>
      <x:c r="AE756" s="119" t="n">
        <x:f>IF(AB756=0,0,(AB756-IF(2=D756,1,0))*VLOOKUP(INDEX('章节与怪物'!$E$31:$K$37,B756,2),'章节与怪物'!$A$41:$F$44,4,FALSE)+IF(2=D756,'难度参数'!$E$30,0))</x:f>
        <x:v>860</x:v>
      </x:c>
      <x:c r="AF756" s="119" t="n">
        <x:f>IF(3&gt;D756,0,MAX(2,MIN('难度参数'!$E$12,ROUND(('难度参数'!$E$18*POWER(A756,'难度参数'!$E$19)/D756*(0.85+0.3*(3-1)/MAX(1,D756-1))),0)+F756)))</x:f>
        <x:v>45</x:v>
      </x:c>
      <x:c r="AG756" s="119" t="n">
        <x:f>IF(3&gt;D756,0,ROUND(('难度参数'!$E$13*POWER(A756,'难度参数'!$E$20)*MIN('难度参数'!$E$23,1+MAX(0,A756-'难度参数'!$E$21)*'难度参数'!$E$22))*(36+3*7)/(36+7*(D756+1)/2)*E756,0))</x:f>
        <x:v>14128</x:v>
      </x:c>
      <x:c r="AH756" s="119" t="n">
        <x:f>IF(AF756=0,0,(AF756-IF(3=D756,1,0))*ROUND(AG756*VLOOKUP(INDEX('章节与怪物'!$E$31:$K$37,B756,3),'章节与怪物'!$A$41:$F$44,2,FALSE),0)+IF(3=D756,ROUND(AG756*'难度参数'!$E$28*'章节与怪物'!$E$17,0),0))</x:f>
        <x:v>1080810</x:v>
      </x:c>
      <x:c r="AI756" s="119" t="n">
        <x:f>IF(AF756=0,0,(AF756-IF(3=D756,1,0))*VLOOKUP(INDEX('章节与怪物'!$E$31:$K$37,B756,3),'章节与怪物'!$A$41:$F$44,4,FALSE)+IF(3=D756,'难度参数'!$E$30,0))</x:f>
        <x:v>1260</x:v>
      </x:c>
      <x:c r="AJ756" s="119" t="n">
        <x:f>IF(4&gt;D756,0,MAX(2,MIN('难度参数'!$E$12,ROUND(('难度参数'!$E$18*POWER(A756,'难度参数'!$E$19)/D756*(0.85+0.3*(4-1)/MAX(1,D756-1))),0)+F756)))</x:f>
        <x:v>48</x:v>
      </x:c>
      <x:c r="AK756" s="119" t="n">
        <x:f>IF(4&gt;D756,0,ROUND(('难度参数'!$E$13*POWER(A756,'难度参数'!$E$20)*MIN('难度参数'!$E$23,1+MAX(0,A756-'难度参数'!$E$21)*'难度参数'!$E$22))*(36+4*7)/(36+7*(D756+1)/2)*E756,0))</x:f>
        <x:v>15863</x:v>
      </x:c>
      <x:c r="AL756" s="119" t="n">
        <x:f>IF(AJ756=0,0,(AJ756-IF(4=D756,1,0))*ROUND(AK756*VLOOKUP(INDEX('章节与怪物'!$E$31:$K$37,B756,4),'章节与怪物'!$A$41:$F$44,2,FALSE),0)+IF(4=D756,ROUND(AK756*'难度参数'!$E$28*'章节与怪物'!$E$17,0),0))</x:f>
        <x:v>1027920</x:v>
      </x:c>
      <x:c r="AM756" s="119" t="n">
        <x:f>IF(AJ756=0,0,(AJ756-IF(4=D756,1,0))*VLOOKUP(INDEX('章节与怪物'!$E$31:$K$37,B756,4),'章节与怪物'!$A$41:$F$44,4,FALSE)+IF(4=D756,'难度参数'!$E$30,0))</x:f>
        <x:v>1632</x:v>
      </x:c>
      <x:c r="AN756" s="119" t="n">
        <x:f>IF(5&gt;D756,0,MAX(2,MIN('难度参数'!$E$12,ROUND(('难度参数'!$E$18*POWER(A756,'难度参数'!$E$19)/D756*(0.85+0.3*(5-1)/MAX(1,D756-1))),0)+F756)))</x:f>
        <x:v>50</x:v>
      </x:c>
      <x:c r="AO756" s="119" t="n">
        <x:f>IF(5&gt;D756,0,ROUND(('难度参数'!$E$13*POWER(A756,'难度参数'!$E$20)*MIN('难度参数'!$E$23,1+MAX(0,A756-'难度参数'!$E$21)*'难度参数'!$E$22))*(36+5*7)/(36+7*(D756+1)/2)*E756,0))</x:f>
        <x:v>17598</x:v>
      </x:c>
      <x:c r="AP756" s="119" t="n">
        <x:f>IF(AN756=0,0,(AN756-IF(5=D756,1,0))*ROUND(AO756*VLOOKUP(INDEX('章节与怪物'!$E$31:$K$37,B756,5),'章节与怪物'!$A$41:$F$44,2,FALSE),0)+IF(5=D756,ROUND(AO756*'难度参数'!$E$28*'章节与怪物'!$E$17,0),0))</x:f>
        <x:v>633550</x:v>
      </x:c>
      <x:c r="AQ756" s="119" t="n">
        <x:f>IF(AN756=0,0,(AN756-IF(5=D756,1,0))*VLOOKUP(INDEX('章节与怪物'!$E$31:$K$37,B756,5),'章节与怪物'!$A$41:$F$44,4,FALSE)+IF(5=D756,'难度参数'!$E$30,0))</x:f>
        <x:v>1000</x:v>
      </x:c>
      <x:c r="AR756" s="119" t="n">
        <x:f>IF(6&gt;D756,0,MAX(2,MIN('难度参数'!$E$12,ROUND(('难度参数'!$E$18*POWER(A756,'难度参数'!$E$19)/D756*(0.85+0.3*(6-1)/MAX(1,D756-1))),0)+F756)))</x:f>
        <x:v>53</x:v>
      </x:c>
      <x:c r="AS756" s="119" t="n">
        <x:f>IF(6&gt;D756,0,ROUND(('难度参数'!$E$13*POWER(A756,'难度参数'!$E$20)*MIN('难度参数'!$E$23,1+MAX(0,A756-'难度参数'!$E$21)*'难度参数'!$E$22))*(36+6*7)/(36+7*(D756+1)/2)*E756,0))</x:f>
        <x:v>19333</x:v>
      </x:c>
      <x:c r="AT756" s="119" t="n">
        <x:f>IF(AR756=0,0,(AR756-IF(6=D756,1,0))*ROUND(AS756*VLOOKUP(INDEX('章节与怪物'!$E$31:$K$37,B756,6),'章节与怪物'!$A$41:$F$44,2,FALSE),0)+IF(6=D756,ROUND(AS756*'难度参数'!$E$28*'章节与怪物'!$E$17,0),0))</x:f>
        <x:v>1741898</x:v>
      </x:c>
      <x:c r="AU756" s="119" t="n">
        <x:f>IF(AR756=0,0,(AR756-IF(6=D756,1,0))*VLOOKUP(INDEX('章节与怪物'!$E$31:$K$37,B756,6),'章节与怪物'!$A$41:$F$44,4,FALSE)+IF(6=D756,'难度参数'!$E$30,0))</x:f>
        <x:v>1484</x:v>
      </x:c>
      <x:c r="AV756" s="119" t="n">
        <x:f>IF(7&gt;D756,0,MAX(2,MIN('难度参数'!$E$12,ROUND(('难度参数'!$E$18*POWER(A756,'难度参数'!$E$19)/D756*(0.85+0.3*(7-1)/MAX(1,D756-1))),0)+F756)))</x:f>
        <x:v>55</x:v>
      </x:c>
      <x:c r="AW756" s="119" t="n">
        <x:f>IF(7&gt;D756,0,ROUND(('难度参数'!$E$13*POWER(A756,'难度参数'!$E$20)*MIN('难度参数'!$E$23,1+MAX(0,A756-'难度参数'!$E$21)*'难度参数'!$E$22))*(36+7*7)/(36+7*(D756+1)/2)*E756,0))</x:f>
        <x:v>21068</x:v>
      </x:c>
      <x:c r="AX756" s="119" t="n">
        <x:f>IF(AV756=0,0,(AV756-IF(7=D756,1,0))*ROUND(AW756*VLOOKUP(INDEX('章节与怪物'!$E$31:$K$37,B756,7),'章节与怪物'!$A$41:$F$44,2,FALSE),0)+IF(7=D756,ROUND(AW756*'难度参数'!$E$28*'章节与怪物'!$E$17,0),0))</x:f>
        <x:v>1679130</x:v>
      </x:c>
      <x:c r="AY756" s="119" t="n">
        <x:f>IF(AV756=0,0,(AV756-IF(7=D756,1,0))*VLOOKUP(INDEX('章节与怪物'!$E$31:$K$37,B756,7),'章节与怪物'!$A$41:$F$44,4,FALSE)+IF(7=D756,'难度参数'!$E$30,0))</x:f>
        <x:v>2036</x:v>
      </x:c>
    </x:row>
    <x:row r="757" ht="23" customHeight="1">
      <x:c r="A757" s="119" t="n">
        <x:v>751</x:v>
      </x:c>
      <x:c r="B757" s="119" t="n">
        <x:f>MOD(INT((A757-1)/5),7)+1</x:f>
        <x:v>4</x:v>
      </x:c>
      <x:c r="C757" s="62" t="str">
        <x:f>INDEX('章节与怪物'!$B$31:$B$37,B757)</x:f>
        <x:v>翠野边城</x:v>
      </x:c>
      <x:c r="D757" s="119" t="n">
        <x:f>MIN('难度参数'!$E$8,MAX('难度参数'!$E$7,A757))</x:f>
        <x:v>7</x:v>
      </x:c>
      <x:c r="E757" s="106" t="n">
        <x:v>1</x:v>
      </x:c>
      <x:c r="F757" s="106" t="n">
        <x:v>0</x:v>
      </x:c>
      <x:c r="G757" s="106" t="n">
        <x:v>1</x:v>
      </x:c>
      <x:c r="H757" s="119" t="n">
        <x:f>SUM(X757,AB757,AF757,AJ757,AN757,AR757,AV757)</x:f>
        <x:v>335</x:v>
      </x:c>
      <x:c r="I757" s="119" t="n">
        <x:f>SUM(Z757,AD757,AH757,AL757,AP757,AT757,AX757)</x:f>
        <x:v>6258939</x:v>
      </x:c>
      <x:c r="J757" s="119" t="n">
        <x:f>ROUND(INDEX(X757:AY757,1,(D757-1)*4+2)*'难度参数'!$E$28*'章节与怪物'!$E$17,0)</x:f>
        <x:v>143398</x:v>
      </x:c>
      <x:c r="K757" s="119" t="n">
        <x:f>SUM(AA757,AE757,AI757,AM757,AQ757,AU757,AY757)</x:f>
        <x:v>8482</x:v>
      </x:c>
      <x:c r="L757" s="62" t="n">
        <x:f>H757*(ROUNDUP('难度参数'!$E$24/('难度参数'!$E$26*'难度参数'!$E$27),0)*'难度参数'!$E$26)/60</x:f>
        <x:v>4.466666666666667</x:v>
      </x:c>
      <x:c r="M757" s="62" t="n">
        <x:f>L757+D757*('难度参数'!$E$49+'难度参数'!$E$50)/60</x:f>
        <x:v>5.633333333333334</x:v>
      </x:c>
      <x:c r="N757" s="119" t="n">
        <x:f>ROUNDDOWN(('经济参数'!$E$20+A757*'经济参数'!$E$21)*G757,0)</x:f>
        <x:v>15200</x:v>
      </x:c>
      <x:c r="O757" s="119" t="n">
        <x:f>ROUNDDOWN(MIN('经济参数'!$E$24,'经济参数'!$E$22+A757*'经济参数'!$E$23)*G757,0)</x:f>
        <x:v>0</x:v>
      </x:c>
      <x:c r="P757" s="119" t="n">
        <x:f>ROUNDDOWN((IF(A757&gt;='材料与任务'!$E$31,'材料与任务'!$E$32,IF(A757&gt;='材料与任务'!$E$25,'材料与任务'!$E$26,IF(A757&gt;='材料与任务'!$E$19,'材料与任务'!$E$20,IF(A757&gt;='材料与任务'!$E$13,'材料与任务'!$E$14,'材料与任务'!$E$8)))))*G757,0)</x:f>
        <x:v>6</x:v>
      </x:c>
      <x:c r="Q757" s="119" t="n">
        <x:f>ROUNDDOWN((IF(A757&gt;='材料与任务'!$E$31,'材料与任务'!$E$33,IF(A757&gt;='材料与任务'!$E$25,'材料与任务'!$E$27,IF(A757&gt;='材料与任务'!$E$19,'材料与任务'!$E$21,IF(A757&gt;='材料与任务'!$E$13,'材料与任务'!$E$15,'材料与任务'!$E$9)))))*G757,0)</x:f>
        <x:v>3</x:v>
      </x:c>
      <x:c r="R757" s="110" t="n">
        <x:f>'装备掉落'!$B$38</x:f>
        <x:v>0.6872058758851213</x:v>
      </x:c>
      <x:c r="S757" s="119" t="n">
        <x:f>MAX(IF(VLOOKUP(A757,'装备掉落'!$A$29:$H$34,2,TRUE)&gt;0,1,0),IF(VLOOKUP(A757,'装备掉落'!$A$29:$H$34,3,TRUE)&gt;0,2,0),IF(VLOOKUP(A757,'装备掉落'!$A$29:$H$34,4,TRUE)&gt;0,3,0),IF(VLOOKUP(A757,'装备掉落'!$A$29:$H$34,5,TRUE)&gt;0,4,0),IF(VLOOKUP(A757,'装备掉落'!$A$29:$H$34,6,TRUE)&gt;0,5,0),IF(VLOOKUP(A757,'装备掉落'!$A$29:$H$34,7,TRUE)&gt;0,6,0),IF(VLOOKUP(A757,'装备掉落'!$A$29:$H$34,8,TRUE)&gt;0,7,0))</x:f>
        <x:v>7</x:v>
      </x:c>
      <x:c r="T757" s="119" t="n">
        <x:f>MIN(7,S757+'经济参数'!$E$70)</x:f>
        <x:v>7</x:v>
      </x:c>
      <x:c r="U757" s="119" t="n">
        <x:f>MIN(7,S757+'经济参数'!$E$71)</x:f>
        <x:v>7</x:v>
      </x:c>
      <x:c r="V757" s="119" t="n">
        <x:f>IF(H757&gt;=('难度参数'!$E$52),1,0)+IF(H757&gt;=('难度参数'!$E$52+'难度参数'!$E$53),1,0)+IF(H757&gt;=('难度参数'!$E$52+'难度参数'!$E$53+'难度参数'!$E$54),1,0)+IF(H757&gt;=('难度参数'!$E$52+'难度参数'!$E$53+'难度参数'!$E$54+'难度参数'!$E$55),1,0)+IF(H757&gt;=('难度参数'!$E$52+'难度参数'!$E$53+'难度参数'!$E$54+'难度参数'!$E$55+'难度参数'!$E$56),1,0)+IF(H757&gt;=('难度参数'!$E$52+'难度参数'!$E$53+'难度参数'!$E$54+'难度参数'!$E$55+'难度参数'!$E$56+'难度参数'!$E$57),1,0)</x:f>
        <x:v>6</x:v>
      </x:c>
      <x:c r="W757" s="62" t="str">
        <x:f>IF(L757&gt;'难度参数'!$E$51,"仅出怪已超目标","还需实测")</x:f>
        <x:v>仅出怪已超目标</x:v>
      </x:c>
      <x:c r="X757" s="119" t="n">
        <x:f>IF(1&gt;D757,0,MAX(2,MIN('难度参数'!$E$12,ROUND(('难度参数'!$E$18*POWER(A757,'难度参数'!$E$19)/D757*(0.85+0.3*(1-1)/MAX(1,D757-1))),0)+F757)))</x:f>
        <x:v>41</x:v>
      </x:c>
      <x:c r="Y757" s="119" t="n">
        <x:f>IF(1&gt;D757,0,ROUND(('难度参数'!$E$13*POWER(A757,'难度参数'!$E$20)*MIN('难度参数'!$E$23,1+MAX(0,A757-'难度参数'!$E$21)*'难度参数'!$E$22))*(36+1*7)/(36+7*(D757+1)/2)*E757,0))</x:f>
        <x:v>10668</x:v>
      </x:c>
      <x:c r="Z757" s="119" t="n">
        <x:f>IF(X757=0,0,(X757-IF(1=D757,1,0))*ROUND(Y757*VLOOKUP(INDEX('章节与怪物'!$E$31:$K$37,B757,1),'章节与怪物'!$A$41:$F$44,2,FALSE),0)+IF(1=D757,ROUND(Y757*'难度参数'!$E$28*'章节与怪物'!$E$17,0),0))</x:f>
        <x:v>314921</x:v>
      </x:c>
      <x:c r="AA757" s="119" t="n">
        <x:f>IF(X757=0,0,(X757-IF(1=D757,1,0))*VLOOKUP(INDEX('章节与怪物'!$E$31:$K$37,B757,1),'章节与怪物'!$A$41:$F$44,4,FALSE)+IF(1=D757,'难度参数'!$E$30,0))</x:f>
        <x:v>820</x:v>
      </x:c>
      <x:c r="AB757" s="119" t="n">
        <x:f>IF(2&gt;D757,0,MAX(2,MIN('难度参数'!$E$12,ROUND(('难度参数'!$E$18*POWER(A757,'难度参数'!$E$19)/D757*(0.85+0.3*(2-1)/MAX(1,D757-1))),0)+F757)))</x:f>
        <x:v>43</x:v>
      </x:c>
      <x:c r="AC757" s="119" t="n">
        <x:f>IF(2&gt;D757,0,ROUND(('难度参数'!$E$13*POWER(A757,'难度参数'!$E$20)*MIN('难度参数'!$E$23,1+MAX(0,A757-'难度参数'!$E$21)*'难度参数'!$E$22))*(36+2*7)/(36+7*(D757+1)/2)*E757,0))</x:f>
        <x:v>12405</x:v>
      </x:c>
      <x:c r="AD757" s="119" t="n">
        <x:f>IF(AB757=0,0,(AB757-IF(2=D757,1,0))*ROUND(AC757*VLOOKUP(INDEX('章节与怪物'!$E$31:$K$37,B757,2),'章节与怪物'!$A$41:$F$44,2,FALSE),0)+IF(2=D757,ROUND(AC757*'难度参数'!$E$28*'章节与怪物'!$E$17,0),0))</x:f>
        <x:v>533415</x:v>
      </x:c>
      <x:c r="AE757" s="119" t="n">
        <x:f>IF(AB757=0,0,(AB757-IF(2=D757,1,0))*VLOOKUP(INDEX('章节与怪物'!$E$31:$K$37,B757,2),'章节与怪物'!$A$41:$F$44,4,FALSE)+IF(2=D757,'难度参数'!$E$30,0))</x:f>
        <x:v>774</x:v>
      </x:c>
      <x:c r="AF757" s="119" t="n">
        <x:f>IF(3&gt;D757,0,MAX(2,MIN('难度参数'!$E$12,ROUND(('难度参数'!$E$18*POWER(A757,'难度参数'!$E$19)/D757*(0.85+0.3*(3-1)/MAX(1,D757-1))),0)+F757)))</x:f>
        <x:v>45</x:v>
      </x:c>
      <x:c r="AG757" s="119" t="n">
        <x:f>IF(3&gt;D757,0,ROUND(('难度参数'!$E$13*POWER(A757,'难度参数'!$E$20)*MIN('难度参数'!$E$23,1+MAX(0,A757-'难度参数'!$E$21)*'难度参数'!$E$22))*(36+3*7)/(36+7*(D757+1)/2)*E757,0))</x:f>
        <x:v>14141</x:v>
      </x:c>
      <x:c r="AH757" s="119" t="n">
        <x:f>IF(AF757=0,0,(AF757-IF(3=D757,1,0))*ROUND(AG757*VLOOKUP(INDEX('章节与怪物'!$E$31:$K$37,B757,3),'章节与怪物'!$A$41:$F$44,2,FALSE),0)+IF(3=D757,ROUND(AG757*'难度参数'!$E$28*'章节与怪物'!$E$17,0),0))</x:f>
        <x:v>1081800</x:v>
      </x:c>
      <x:c r="AI757" s="119" t="n">
        <x:f>IF(AF757=0,0,(AF757-IF(3=D757,1,0))*VLOOKUP(INDEX('章节与怪物'!$E$31:$K$37,B757,3),'章节与怪物'!$A$41:$F$44,4,FALSE)+IF(3=D757,'难度参数'!$E$30,0))</x:f>
        <x:v>1260</x:v>
      </x:c>
      <x:c r="AJ757" s="119" t="n">
        <x:f>IF(4&gt;D757,0,MAX(2,MIN('难度参数'!$E$12,ROUND(('难度参数'!$E$18*POWER(A757,'难度参数'!$E$19)/D757*(0.85+0.3*(4-1)/MAX(1,D757-1))),0)+F757)))</x:f>
        <x:v>48</x:v>
      </x:c>
      <x:c r="AK757" s="119" t="n">
        <x:f>IF(4&gt;D757,0,ROUND(('难度参数'!$E$13*POWER(A757,'难度参数'!$E$20)*MIN('难度参数'!$E$23,1+MAX(0,A757-'难度参数'!$E$21)*'难度参数'!$E$22))*(36+4*7)/(36+7*(D757+1)/2)*E757,0))</x:f>
        <x:v>15878</x:v>
      </x:c>
      <x:c r="AL757" s="119" t="n">
        <x:f>IF(AJ757=0,0,(AJ757-IF(4=D757,1,0))*ROUND(AK757*VLOOKUP(INDEX('章节与怪物'!$E$31:$K$37,B757,4),'章节与怪物'!$A$41:$F$44,2,FALSE),0)+IF(4=D757,ROUND(AK757*'难度参数'!$E$28*'章节与怪物'!$E$17,0),0))</x:f>
        <x:v>1028880</x:v>
      </x:c>
      <x:c r="AM757" s="119" t="n">
        <x:f>IF(AJ757=0,0,(AJ757-IF(4=D757,1,0))*VLOOKUP(INDEX('章节与怪物'!$E$31:$K$37,B757,4),'章节与怪物'!$A$41:$F$44,4,FALSE)+IF(4=D757,'难度参数'!$E$30,0))</x:f>
        <x:v>1632</x:v>
      </x:c>
      <x:c r="AN757" s="119" t="n">
        <x:f>IF(5&gt;D757,0,MAX(2,MIN('难度参数'!$E$12,ROUND(('难度参数'!$E$18*POWER(A757,'难度参数'!$E$19)/D757*(0.85+0.3*(5-1)/MAX(1,D757-1))),0)+F757)))</x:f>
        <x:v>50</x:v>
      </x:c>
      <x:c r="AO757" s="119" t="n">
        <x:f>IF(5&gt;D757,0,ROUND(('难度参数'!$E$13*POWER(A757,'难度参数'!$E$20)*MIN('难度参数'!$E$23,1+MAX(0,A757-'难度参数'!$E$21)*'难度参数'!$E$22))*(36+5*7)/(36+7*(D757+1)/2)*E757,0))</x:f>
        <x:v>17615</x:v>
      </x:c>
      <x:c r="AP757" s="119" t="n">
        <x:f>IF(AN757=0,0,(AN757-IF(5=D757,1,0))*ROUND(AO757*VLOOKUP(INDEX('章节与怪物'!$E$31:$K$37,B757,5),'章节与怪物'!$A$41:$F$44,2,FALSE),0)+IF(5=D757,ROUND(AO757*'难度参数'!$E$28*'章节与怪物'!$E$17,0),0))</x:f>
        <x:v>880750</x:v>
      </x:c>
      <x:c r="AQ757" s="119" t="n">
        <x:f>IF(AN757=0,0,(AN757-IF(5=D757,1,0))*VLOOKUP(INDEX('章节与怪物'!$E$31:$K$37,B757,5),'章节与怪物'!$A$41:$F$44,4,FALSE)+IF(5=D757,'难度参数'!$E$30,0))</x:f>
        <x:v>900</x:v>
      </x:c>
      <x:c r="AR757" s="119" t="n">
        <x:f>IF(6&gt;D757,0,MAX(2,MIN('难度参数'!$E$12,ROUND(('难度参数'!$E$18*POWER(A757,'难度参数'!$E$19)/D757*(0.85+0.3*(6-1)/MAX(1,D757-1))),0)+F757)))</x:f>
        <x:v>53</x:v>
      </x:c>
      <x:c r="AS757" s="119" t="n">
        <x:f>IF(6&gt;D757,0,ROUND(('难度参数'!$E$13*POWER(A757,'难度参数'!$E$20)*MIN('难度参数'!$E$23,1+MAX(0,A757-'难度参数'!$E$21)*'难度参数'!$E$22))*(36+6*7)/(36+7*(D757+1)/2)*E757,0))</x:f>
        <x:v>19351</x:v>
      </x:c>
      <x:c r="AT757" s="119" t="n">
        <x:f>IF(AR757=0,0,(AR757-IF(6=D757,1,0))*ROUND(AS757*VLOOKUP(INDEX('章节与怪物'!$E$31:$K$37,B757,6),'章节与怪物'!$A$41:$F$44,2,FALSE),0)+IF(6=D757,ROUND(AS757*'难度参数'!$E$28*'章节与怪物'!$E$17,0),0))</x:f>
        <x:v>738449</x:v>
      </x:c>
      <x:c r="AU757" s="119" t="n">
        <x:f>IF(AR757=0,0,(AR757-IF(6=D757,1,0))*VLOOKUP(INDEX('章节与怪物'!$E$31:$K$37,B757,6),'章节与怪物'!$A$41:$F$44,4,FALSE)+IF(6=D757,'难度参数'!$E$30,0))</x:f>
        <x:v>1060</x:v>
      </x:c>
      <x:c r="AV757" s="119" t="n">
        <x:f>IF(7&gt;D757,0,MAX(2,MIN('难度参数'!$E$12,ROUND(('难度参数'!$E$18*POWER(A757,'难度参数'!$E$19)/D757*(0.85+0.3*(7-1)/MAX(1,D757-1))),0)+F757)))</x:f>
        <x:v>55</x:v>
      </x:c>
      <x:c r="AW757" s="119" t="n">
        <x:f>IF(7&gt;D757,0,ROUND(('难度参数'!$E$13*POWER(A757,'难度参数'!$E$20)*MIN('难度参数'!$E$23,1+MAX(0,A757-'难度参数'!$E$21)*'难度参数'!$E$22))*(36+7*7)/(36+7*(D757+1)/2)*E757,0))</x:f>
        <x:v>21088</x:v>
      </x:c>
      <x:c r="AX757" s="119" t="n">
        <x:f>IF(AV757=0,0,(AV757-IF(7=D757,1,0))*ROUND(AW757*VLOOKUP(INDEX('章节与怪物'!$E$31:$K$37,B757,7),'章节与怪物'!$A$41:$F$44,2,FALSE),0)+IF(7=D757,ROUND(AW757*'难度参数'!$E$28*'章节与怪物'!$E$17,0),0))</x:f>
        <x:v>1680724</x:v>
      </x:c>
      <x:c r="AY757" s="119" t="n">
        <x:f>IF(AV757=0,0,(AV757-IF(7=D757,1,0))*VLOOKUP(INDEX('章节与怪物'!$E$31:$K$37,B757,7),'章节与怪物'!$A$41:$F$44,4,FALSE)+IF(7=D757,'难度参数'!$E$30,0))</x:f>
        <x:v>2036</x:v>
      </x:c>
    </x:row>
    <x:row r="758" ht="23" customHeight="1">
      <x:c r="A758" s="119" t="n">
        <x:v>752</x:v>
      </x:c>
      <x:c r="B758" s="119" t="n">
        <x:f>MOD(INT((A758-1)/5),7)+1</x:f>
        <x:v>4</x:v>
      </x:c>
      <x:c r="C758" s="62" t="str">
        <x:f>INDEX('章节与怪物'!$B$31:$B$37,B758)</x:f>
        <x:v>翠野边城</x:v>
      </x:c>
      <x:c r="D758" s="119" t="n">
        <x:f>MIN('难度参数'!$E$8,MAX('难度参数'!$E$7,A758))</x:f>
        <x:v>7</x:v>
      </x:c>
      <x:c r="E758" s="106" t="n">
        <x:v>1</x:v>
      </x:c>
      <x:c r="F758" s="106" t="n">
        <x:v>0</x:v>
      </x:c>
      <x:c r="G758" s="106" t="n">
        <x:v>1</x:v>
      </x:c>
      <x:c r="H758" s="119" t="n">
        <x:f>SUM(X758,AB758,AF758,AJ758,AN758,AR758,AV758)</x:f>
        <x:v>335</x:v>
      </x:c>
      <x:c r="I758" s="119" t="n">
        <x:f>SUM(Z758,AD758,AH758,AL758,AP758,AT758,AX758)</x:f>
        <x:v>6264913</x:v>
      </x:c>
      <x:c r="J758" s="119" t="n">
        <x:f>ROUND(INDEX(X758:AY758,1,(D758-1)*4+2)*'难度参数'!$E$28*'章节与怪物'!$E$17,0)</x:f>
        <x:v>143534</x:v>
      </x:c>
      <x:c r="K758" s="119" t="n">
        <x:f>SUM(AA758,AE758,AI758,AM758,AQ758,AU758,AY758)</x:f>
        <x:v>8482</x:v>
      </x:c>
      <x:c r="L758" s="62" t="n">
        <x:f>H758*(ROUNDUP('难度参数'!$E$24/('难度参数'!$E$26*'难度参数'!$E$27),0)*'难度参数'!$E$26)/60</x:f>
        <x:v>4.466666666666667</x:v>
      </x:c>
      <x:c r="M758" s="62" t="n">
        <x:f>L758+D758*('难度参数'!$E$49+'难度参数'!$E$50)/60</x:f>
        <x:v>5.633333333333334</x:v>
      </x:c>
      <x:c r="N758" s="119" t="n">
        <x:f>ROUNDDOWN(('经济参数'!$E$20+A758*'经济参数'!$E$21)*G758,0)</x:f>
        <x:v>15220</x:v>
      </x:c>
      <x:c r="O758" s="119" t="n">
        <x:f>ROUNDDOWN(MIN('经济参数'!$E$24,'经济参数'!$E$22+A758*'经济参数'!$E$23)*G758,0)</x:f>
        <x:v>0</x:v>
      </x:c>
      <x:c r="P758" s="119" t="n">
        <x:f>ROUNDDOWN((IF(A758&gt;='材料与任务'!$E$31,'材料与任务'!$E$32,IF(A758&gt;='材料与任务'!$E$25,'材料与任务'!$E$26,IF(A758&gt;='材料与任务'!$E$19,'材料与任务'!$E$20,IF(A758&gt;='材料与任务'!$E$13,'材料与任务'!$E$14,'材料与任务'!$E$8)))))*G758,0)</x:f>
        <x:v>6</x:v>
      </x:c>
      <x:c r="Q758" s="119" t="n">
        <x:f>ROUNDDOWN((IF(A758&gt;='材料与任务'!$E$31,'材料与任务'!$E$33,IF(A758&gt;='材料与任务'!$E$25,'材料与任务'!$E$27,IF(A758&gt;='材料与任务'!$E$19,'材料与任务'!$E$21,IF(A758&gt;='材料与任务'!$E$13,'材料与任务'!$E$15,'材料与任务'!$E$9)))))*G758,0)</x:f>
        <x:v>3</x:v>
      </x:c>
      <x:c r="R758" s="110" t="n">
        <x:f>'装备掉落'!$B$38</x:f>
        <x:v>0.6872058758851213</x:v>
      </x:c>
      <x:c r="S758" s="119" t="n">
        <x:f>MAX(IF(VLOOKUP(A758,'装备掉落'!$A$29:$H$34,2,TRUE)&gt;0,1,0),IF(VLOOKUP(A758,'装备掉落'!$A$29:$H$34,3,TRUE)&gt;0,2,0),IF(VLOOKUP(A758,'装备掉落'!$A$29:$H$34,4,TRUE)&gt;0,3,0),IF(VLOOKUP(A758,'装备掉落'!$A$29:$H$34,5,TRUE)&gt;0,4,0),IF(VLOOKUP(A758,'装备掉落'!$A$29:$H$34,6,TRUE)&gt;0,5,0),IF(VLOOKUP(A758,'装备掉落'!$A$29:$H$34,7,TRUE)&gt;0,6,0),IF(VLOOKUP(A758,'装备掉落'!$A$29:$H$34,8,TRUE)&gt;0,7,0))</x:f>
        <x:v>7</x:v>
      </x:c>
      <x:c r="T758" s="119" t="n">
        <x:f>MIN(7,S758+'经济参数'!$E$70)</x:f>
        <x:v>7</x:v>
      </x:c>
      <x:c r="U758" s="119" t="n">
        <x:f>MIN(7,S758+'经济参数'!$E$71)</x:f>
        <x:v>7</x:v>
      </x:c>
      <x:c r="V758" s="119" t="n">
        <x:f>IF(H758&gt;=('难度参数'!$E$52),1,0)+IF(H758&gt;=('难度参数'!$E$52+'难度参数'!$E$53),1,0)+IF(H758&gt;=('难度参数'!$E$52+'难度参数'!$E$53+'难度参数'!$E$54),1,0)+IF(H758&gt;=('难度参数'!$E$52+'难度参数'!$E$53+'难度参数'!$E$54+'难度参数'!$E$55),1,0)+IF(H758&gt;=('难度参数'!$E$52+'难度参数'!$E$53+'难度参数'!$E$54+'难度参数'!$E$55+'难度参数'!$E$56),1,0)+IF(H758&gt;=('难度参数'!$E$52+'难度参数'!$E$53+'难度参数'!$E$54+'难度参数'!$E$55+'难度参数'!$E$56+'难度参数'!$E$57),1,0)</x:f>
        <x:v>6</x:v>
      </x:c>
      <x:c r="W758" s="62" t="str">
        <x:f>IF(L758&gt;'难度参数'!$E$51,"仅出怪已超目标","还需实测")</x:f>
        <x:v>仅出怪已超目标</x:v>
      </x:c>
      <x:c r="X758" s="119" t="n">
        <x:f>IF(1&gt;D758,0,MAX(2,MIN('难度参数'!$E$12,ROUND(('难度参数'!$E$18*POWER(A758,'难度参数'!$E$19)/D758*(0.85+0.3*(1-1)/MAX(1,D758-1))),0)+F758)))</x:f>
        <x:v>41</x:v>
      </x:c>
      <x:c r="Y758" s="119" t="n">
        <x:f>IF(1&gt;D758,0,ROUND(('难度参数'!$E$13*POWER(A758,'难度参数'!$E$20)*MIN('难度参数'!$E$23,1+MAX(0,A758-'难度参数'!$E$21)*'难度参数'!$E$22))*(36+1*7)/(36+7*(D758+1)/2)*E758,0))</x:f>
        <x:v>10678</x:v>
      </x:c>
      <x:c r="Z758" s="119" t="n">
        <x:f>IF(X758=0,0,(X758-IF(1=D758,1,0))*ROUND(Y758*VLOOKUP(INDEX('章节与怪物'!$E$31:$K$37,B758,1),'章节与怪物'!$A$41:$F$44,2,FALSE),0)+IF(1=D758,ROUND(Y758*'难度参数'!$E$28*'章节与怪物'!$E$17,0),0))</x:f>
        <x:v>315208</x:v>
      </x:c>
      <x:c r="AA758" s="119" t="n">
        <x:f>IF(X758=0,0,(X758-IF(1=D758,1,0))*VLOOKUP(INDEX('章节与怪物'!$E$31:$K$37,B758,1),'章节与怪物'!$A$41:$F$44,4,FALSE)+IF(1=D758,'难度参数'!$E$30,0))</x:f>
        <x:v>820</x:v>
      </x:c>
      <x:c r="AB758" s="119" t="n">
        <x:f>IF(2&gt;D758,0,MAX(2,MIN('难度参数'!$E$12,ROUND(('难度参数'!$E$18*POWER(A758,'难度参数'!$E$19)/D758*(0.85+0.3*(2-1)/MAX(1,D758-1))),0)+F758)))</x:f>
        <x:v>43</x:v>
      </x:c>
      <x:c r="AC758" s="119" t="n">
        <x:f>IF(2&gt;D758,0,ROUND(('难度参数'!$E$13*POWER(A758,'难度参数'!$E$20)*MIN('难度参数'!$E$23,1+MAX(0,A758-'难度参数'!$E$21)*'难度参数'!$E$22))*(36+2*7)/(36+7*(D758+1)/2)*E758,0))</x:f>
        <x:v>12417</x:v>
      </x:c>
      <x:c r="AD758" s="119" t="n">
        <x:f>IF(AB758=0,0,(AB758-IF(2=D758,1,0))*ROUND(AC758*VLOOKUP(INDEX('章节与怪物'!$E$31:$K$37,B758,2),'章节与怪物'!$A$41:$F$44,2,FALSE),0)+IF(2=D758,ROUND(AC758*'难度参数'!$E$28*'章节与怪物'!$E$17,0),0))</x:f>
        <x:v>533931</x:v>
      </x:c>
      <x:c r="AE758" s="119" t="n">
        <x:f>IF(AB758=0,0,(AB758-IF(2=D758,1,0))*VLOOKUP(INDEX('章节与怪物'!$E$31:$K$37,B758,2),'章节与怪物'!$A$41:$F$44,4,FALSE)+IF(2=D758,'难度参数'!$E$30,0))</x:f>
        <x:v>774</x:v>
      </x:c>
      <x:c r="AF758" s="119" t="n">
        <x:f>IF(3&gt;D758,0,MAX(2,MIN('难度参数'!$E$12,ROUND(('难度参数'!$E$18*POWER(A758,'难度参数'!$E$19)/D758*(0.85+0.3*(3-1)/MAX(1,D758-1))),0)+F758)))</x:f>
        <x:v>45</x:v>
      </x:c>
      <x:c r="AG758" s="119" t="n">
        <x:f>IF(3&gt;D758,0,ROUND(('难度参数'!$E$13*POWER(A758,'难度参数'!$E$20)*MIN('难度参数'!$E$23,1+MAX(0,A758-'难度参数'!$E$21)*'难度参数'!$E$22))*(36+3*7)/(36+7*(D758+1)/2)*E758,0))</x:f>
        <x:v>14155</x:v>
      </x:c>
      <x:c r="AH758" s="119" t="n">
        <x:f>IF(AF758=0,0,(AF758-IF(3=D758,1,0))*ROUND(AG758*VLOOKUP(INDEX('章节与怪物'!$E$31:$K$37,B758,3),'章节与怪物'!$A$41:$F$44,2,FALSE),0)+IF(3=D758,ROUND(AG758*'难度参数'!$E$28*'章节与怪物'!$E$17,0),0))</x:f>
        <x:v>1082880</x:v>
      </x:c>
      <x:c r="AI758" s="119" t="n">
        <x:f>IF(AF758=0,0,(AF758-IF(3=D758,1,0))*VLOOKUP(INDEX('章节与怪物'!$E$31:$K$37,B758,3),'章节与怪物'!$A$41:$F$44,4,FALSE)+IF(3=D758,'难度参数'!$E$30,0))</x:f>
        <x:v>1260</x:v>
      </x:c>
      <x:c r="AJ758" s="119" t="n">
        <x:f>IF(4&gt;D758,0,MAX(2,MIN('难度参数'!$E$12,ROUND(('难度参数'!$E$18*POWER(A758,'难度参数'!$E$19)/D758*(0.85+0.3*(4-1)/MAX(1,D758-1))),0)+F758)))</x:f>
        <x:v>48</x:v>
      </x:c>
      <x:c r="AK758" s="119" t="n">
        <x:f>IF(4&gt;D758,0,ROUND(('难度参数'!$E$13*POWER(A758,'难度参数'!$E$20)*MIN('难度参数'!$E$23,1+MAX(0,A758-'难度参数'!$E$21)*'难度参数'!$E$22))*(36+4*7)/(36+7*(D758+1)/2)*E758,0))</x:f>
        <x:v>15893</x:v>
      </x:c>
      <x:c r="AL758" s="119" t="n">
        <x:f>IF(AJ758=0,0,(AJ758-IF(4=D758,1,0))*ROUND(AK758*VLOOKUP(INDEX('章节与怪物'!$E$31:$K$37,B758,4),'章节与怪物'!$A$41:$F$44,2,FALSE),0)+IF(4=D758,ROUND(AK758*'难度参数'!$E$28*'章节与怪物'!$E$17,0),0))</x:f>
        <x:v>1029888</x:v>
      </x:c>
      <x:c r="AM758" s="119" t="n">
        <x:f>IF(AJ758=0,0,(AJ758-IF(4=D758,1,0))*VLOOKUP(INDEX('章节与怪物'!$E$31:$K$37,B758,4),'章节与怪物'!$A$41:$F$44,4,FALSE)+IF(4=D758,'难度参数'!$E$30,0))</x:f>
        <x:v>1632</x:v>
      </x:c>
      <x:c r="AN758" s="119" t="n">
        <x:f>IF(5&gt;D758,0,MAX(2,MIN('难度参数'!$E$12,ROUND(('难度参数'!$E$18*POWER(A758,'难度参数'!$E$19)/D758*(0.85+0.3*(5-1)/MAX(1,D758-1))),0)+F758)))</x:f>
        <x:v>50</x:v>
      </x:c>
      <x:c r="AO758" s="119" t="n">
        <x:f>IF(5&gt;D758,0,ROUND(('难度参数'!$E$13*POWER(A758,'难度参数'!$E$20)*MIN('难度参数'!$E$23,1+MAX(0,A758-'难度参数'!$E$21)*'难度参数'!$E$22))*(36+5*7)/(36+7*(D758+1)/2)*E758,0))</x:f>
        <x:v>17631</x:v>
      </x:c>
      <x:c r="AP758" s="119" t="n">
        <x:f>IF(AN758=0,0,(AN758-IF(5=D758,1,0))*ROUND(AO758*VLOOKUP(INDEX('章节与怪物'!$E$31:$K$37,B758,5),'章节与怪物'!$A$41:$F$44,2,FALSE),0)+IF(5=D758,ROUND(AO758*'难度参数'!$E$28*'章节与怪物'!$E$17,0),0))</x:f>
        <x:v>881550</x:v>
      </x:c>
      <x:c r="AQ758" s="119" t="n">
        <x:f>IF(AN758=0,0,(AN758-IF(5=D758,1,0))*VLOOKUP(INDEX('章节与怪物'!$E$31:$K$37,B758,5),'章节与怪物'!$A$41:$F$44,4,FALSE)+IF(5=D758,'难度参数'!$E$30,0))</x:f>
        <x:v>900</x:v>
      </x:c>
      <x:c r="AR758" s="119" t="n">
        <x:f>IF(6&gt;D758,0,MAX(2,MIN('难度参数'!$E$12,ROUND(('难度参数'!$E$18*POWER(A758,'难度参数'!$E$19)/D758*(0.85+0.3*(6-1)/MAX(1,D758-1))),0)+F758)))</x:f>
        <x:v>53</x:v>
      </x:c>
      <x:c r="AS758" s="119" t="n">
        <x:f>IF(6&gt;D758,0,ROUND(('难度参数'!$E$13*POWER(A758,'难度参数'!$E$20)*MIN('难度参数'!$E$23,1+MAX(0,A758-'难度参数'!$E$21)*'难度参数'!$E$22))*(36+6*7)/(36+7*(D758+1)/2)*E758,0))</x:f>
        <x:v>19370</x:v>
      </x:c>
      <x:c r="AT758" s="119" t="n">
        <x:f>IF(AR758=0,0,(AR758-IF(6=D758,1,0))*ROUND(AS758*VLOOKUP(INDEX('章节与怪物'!$E$31:$K$37,B758,6),'章节与怪物'!$A$41:$F$44,2,FALSE),0)+IF(6=D758,ROUND(AS758*'难度参数'!$E$28*'章节与怪物'!$E$17,0),0))</x:f>
        <x:v>739138</x:v>
      </x:c>
      <x:c r="AU758" s="119" t="n">
        <x:f>IF(AR758=0,0,(AR758-IF(6=D758,1,0))*VLOOKUP(INDEX('章节与怪物'!$E$31:$K$37,B758,6),'章节与怪物'!$A$41:$F$44,4,FALSE)+IF(6=D758,'难度参数'!$E$30,0))</x:f>
        <x:v>1060</x:v>
      </x:c>
      <x:c r="AV758" s="119" t="n">
        <x:f>IF(7&gt;D758,0,MAX(2,MIN('难度参数'!$E$12,ROUND(('难度参数'!$E$18*POWER(A758,'难度参数'!$E$19)/D758*(0.85+0.3*(7-1)/MAX(1,D758-1))),0)+F758)))</x:f>
        <x:v>55</x:v>
      </x:c>
      <x:c r="AW758" s="119" t="n">
        <x:f>IF(7&gt;D758,0,ROUND(('难度参数'!$E$13*POWER(A758,'难度参数'!$E$20)*MIN('难度参数'!$E$23,1+MAX(0,A758-'难度参数'!$E$21)*'难度参数'!$E$22))*(36+7*7)/(36+7*(D758+1)/2)*E758,0))</x:f>
        <x:v>21108</x:v>
      </x:c>
      <x:c r="AX758" s="119" t="n">
        <x:f>IF(AV758=0,0,(AV758-IF(7=D758,1,0))*ROUND(AW758*VLOOKUP(INDEX('章节与怪物'!$E$31:$K$37,B758,7),'章节与怪物'!$A$41:$F$44,2,FALSE),0)+IF(7=D758,ROUND(AW758*'难度参数'!$E$28*'章节与怪物'!$E$17,0),0))</x:f>
        <x:v>1682318</x:v>
      </x:c>
      <x:c r="AY758" s="119" t="n">
        <x:f>IF(AV758=0,0,(AV758-IF(7=D758,1,0))*VLOOKUP(INDEX('章节与怪物'!$E$31:$K$37,B758,7),'章节与怪物'!$A$41:$F$44,4,FALSE)+IF(7=D758,'难度参数'!$E$30,0))</x:f>
        <x:v>2036</x:v>
      </x:c>
    </x:row>
    <x:row r="759" ht="23" customHeight="1">
      <x:c r="A759" s="119" t="n">
        <x:v>753</x:v>
      </x:c>
      <x:c r="B759" s="119" t="n">
        <x:f>MOD(INT((A759-1)/5),7)+1</x:f>
        <x:v>4</x:v>
      </x:c>
      <x:c r="C759" s="62" t="str">
        <x:f>INDEX('章节与怪物'!$B$31:$B$37,B759)</x:f>
        <x:v>翠野边城</x:v>
      </x:c>
      <x:c r="D759" s="119" t="n">
        <x:f>MIN('难度参数'!$E$8,MAX('难度参数'!$E$7,A759))</x:f>
        <x:v>7</x:v>
      </x:c>
      <x:c r="E759" s="106" t="n">
        <x:v>1</x:v>
      </x:c>
      <x:c r="F759" s="106" t="n">
        <x:v>0</x:v>
      </x:c>
      <x:c r="G759" s="106" t="n">
        <x:v>1</x:v>
      </x:c>
      <x:c r="H759" s="119" t="n">
        <x:f>SUM(X759,AB759,AF759,AJ759,AN759,AR759,AV759)</x:f>
        <x:v>336</x:v>
      </x:c>
      <x:c r="I759" s="119" t="n">
        <x:f>SUM(Z759,AD759,AH759,AL759,AP759,AT759,AX759)</x:f>
        <x:v>6294842</x:v>
      </x:c>
      <x:c r="J759" s="119" t="n">
        <x:f>ROUND(INDEX(X759:AY759,1,(D759-1)*4+2)*'难度参数'!$E$28*'章节与怪物'!$E$17,0)</x:f>
        <x:v>143670</x:v>
      </x:c>
      <x:c r="K759" s="119" t="n">
        <x:f>SUM(AA759,AE759,AI759,AM759,AQ759,AU759,AY759)</x:f>
        <x:v>8510</x:v>
      </x:c>
      <x:c r="L759" s="62" t="n">
        <x:f>H759*(ROUNDUP('难度参数'!$E$24/('难度参数'!$E$26*'难度参数'!$E$27),0)*'难度参数'!$E$26)/60</x:f>
        <x:v>4.48</x:v>
      </x:c>
      <x:c r="M759" s="62" t="n">
        <x:f>L759+D759*('难度参数'!$E$49+'难度参数'!$E$50)/60</x:f>
        <x:v>5.646666666666667</x:v>
      </x:c>
      <x:c r="N759" s="119" t="n">
        <x:f>ROUNDDOWN(('经济参数'!$E$20+A759*'经济参数'!$E$21)*G759,0)</x:f>
        <x:v>15240</x:v>
      </x:c>
      <x:c r="O759" s="119" t="n">
        <x:f>ROUNDDOWN(MIN('经济参数'!$E$24,'经济参数'!$E$22+A759*'经济参数'!$E$23)*G759,0)</x:f>
        <x:v>0</x:v>
      </x:c>
      <x:c r="P759" s="119" t="n">
        <x:f>ROUNDDOWN((IF(A759&gt;='材料与任务'!$E$31,'材料与任务'!$E$32,IF(A759&gt;='材料与任务'!$E$25,'材料与任务'!$E$26,IF(A759&gt;='材料与任务'!$E$19,'材料与任务'!$E$20,IF(A759&gt;='材料与任务'!$E$13,'材料与任务'!$E$14,'材料与任务'!$E$8)))))*G759,0)</x:f>
        <x:v>6</x:v>
      </x:c>
      <x:c r="Q759" s="119" t="n">
        <x:f>ROUNDDOWN((IF(A759&gt;='材料与任务'!$E$31,'材料与任务'!$E$33,IF(A759&gt;='材料与任务'!$E$25,'材料与任务'!$E$27,IF(A759&gt;='材料与任务'!$E$19,'材料与任务'!$E$21,IF(A759&gt;='材料与任务'!$E$13,'材料与任务'!$E$15,'材料与任务'!$E$9)))))*G759,0)</x:f>
        <x:v>3</x:v>
      </x:c>
      <x:c r="R759" s="110" t="n">
        <x:f>'装备掉落'!$B$38</x:f>
        <x:v>0.6872058758851213</x:v>
      </x:c>
      <x:c r="S759" s="119" t="n">
        <x:f>MAX(IF(VLOOKUP(A759,'装备掉落'!$A$29:$H$34,2,TRUE)&gt;0,1,0),IF(VLOOKUP(A759,'装备掉落'!$A$29:$H$34,3,TRUE)&gt;0,2,0),IF(VLOOKUP(A759,'装备掉落'!$A$29:$H$34,4,TRUE)&gt;0,3,0),IF(VLOOKUP(A759,'装备掉落'!$A$29:$H$34,5,TRUE)&gt;0,4,0),IF(VLOOKUP(A759,'装备掉落'!$A$29:$H$34,6,TRUE)&gt;0,5,0),IF(VLOOKUP(A759,'装备掉落'!$A$29:$H$34,7,TRUE)&gt;0,6,0),IF(VLOOKUP(A759,'装备掉落'!$A$29:$H$34,8,TRUE)&gt;0,7,0))</x:f>
        <x:v>7</x:v>
      </x:c>
      <x:c r="T759" s="119" t="n">
        <x:f>MIN(7,S759+'经济参数'!$E$70)</x:f>
        <x:v>7</x:v>
      </x:c>
      <x:c r="U759" s="119" t="n">
        <x:f>MIN(7,S759+'经济参数'!$E$71)</x:f>
        <x:v>7</x:v>
      </x:c>
      <x:c r="V759" s="119" t="n">
        <x:f>IF(H759&gt;=('难度参数'!$E$52),1,0)+IF(H759&gt;=('难度参数'!$E$52+'难度参数'!$E$53),1,0)+IF(H759&gt;=('难度参数'!$E$52+'难度参数'!$E$53+'难度参数'!$E$54),1,0)+IF(H759&gt;=('难度参数'!$E$52+'难度参数'!$E$53+'难度参数'!$E$54+'难度参数'!$E$55),1,0)+IF(H759&gt;=('难度参数'!$E$52+'难度参数'!$E$53+'难度参数'!$E$54+'难度参数'!$E$55+'难度参数'!$E$56),1,0)+IF(H759&gt;=('难度参数'!$E$52+'难度参数'!$E$53+'难度参数'!$E$54+'难度参数'!$E$55+'难度参数'!$E$56+'难度参数'!$E$57),1,0)</x:f>
        <x:v>6</x:v>
      </x:c>
      <x:c r="W759" s="62" t="str">
        <x:f>IF(L759&gt;'难度参数'!$E$51,"仅出怪已超目标","还需实测")</x:f>
        <x:v>仅出怪已超目标</x:v>
      </x:c>
      <x:c r="X759" s="119" t="n">
        <x:f>IF(1&gt;D759,0,MAX(2,MIN('难度参数'!$E$12,ROUND(('难度参数'!$E$18*POWER(A759,'难度参数'!$E$19)/D759*(0.85+0.3*(1-1)/MAX(1,D759-1))),0)+F759)))</x:f>
        <x:v>41</x:v>
      </x:c>
      <x:c r="Y759" s="119" t="n">
        <x:f>IF(1&gt;D759,0,ROUND(('难度参数'!$E$13*POWER(A759,'难度参数'!$E$20)*MIN('难度参数'!$E$23,1+MAX(0,A759-'难度参数'!$E$21)*'难度参数'!$E$22))*(36+1*7)/(36+7*(D759+1)/2)*E759,0))</x:f>
        <x:v>10688</x:v>
      </x:c>
      <x:c r="Z759" s="119" t="n">
        <x:f>IF(X759=0,0,(X759-IF(1=D759,1,0))*ROUND(Y759*VLOOKUP(INDEX('章节与怪物'!$E$31:$K$37,B759,1),'章节与怪物'!$A$41:$F$44,2,FALSE),0)+IF(1=D759,ROUND(Y759*'难度参数'!$E$28*'章节与怪物'!$E$17,0),0))</x:f>
        <x:v>315495</x:v>
      </x:c>
      <x:c r="AA759" s="119" t="n">
        <x:f>IF(X759=0,0,(X759-IF(1=D759,1,0))*VLOOKUP(INDEX('章节与怪物'!$E$31:$K$37,B759,1),'章节与怪物'!$A$41:$F$44,4,FALSE)+IF(1=D759,'难度参数'!$E$30,0))</x:f>
        <x:v>820</x:v>
      </x:c>
      <x:c r="AB759" s="119" t="n">
        <x:f>IF(2&gt;D759,0,MAX(2,MIN('难度参数'!$E$12,ROUND(('难度参数'!$E$18*POWER(A759,'难度参数'!$E$19)/D759*(0.85+0.3*(2-1)/MAX(1,D759-1))),0)+F759)))</x:f>
        <x:v>43</x:v>
      </x:c>
      <x:c r="AC759" s="119" t="n">
        <x:f>IF(2&gt;D759,0,ROUND(('难度参数'!$E$13*POWER(A759,'难度参数'!$E$20)*MIN('难度参数'!$E$23,1+MAX(0,A759-'难度参数'!$E$21)*'难度参数'!$E$22))*(36+2*7)/(36+7*(D759+1)/2)*E759,0))</x:f>
        <x:v>12428</x:v>
      </x:c>
      <x:c r="AD759" s="119" t="n">
        <x:f>IF(AB759=0,0,(AB759-IF(2=D759,1,0))*ROUND(AC759*VLOOKUP(INDEX('章节与怪物'!$E$31:$K$37,B759,2),'章节与怪物'!$A$41:$F$44,2,FALSE),0)+IF(2=D759,ROUND(AC759*'难度参数'!$E$28*'章节与怪物'!$E$17,0),0))</x:f>
        <x:v>534404</x:v>
      </x:c>
      <x:c r="AE759" s="119" t="n">
        <x:f>IF(AB759=0,0,(AB759-IF(2=D759,1,0))*VLOOKUP(INDEX('章节与怪物'!$E$31:$K$37,B759,2),'章节与怪物'!$A$41:$F$44,4,FALSE)+IF(2=D759,'难度参数'!$E$30,0))</x:f>
        <x:v>774</x:v>
      </x:c>
      <x:c r="AF759" s="119" t="n">
        <x:f>IF(3&gt;D759,0,MAX(2,MIN('难度参数'!$E$12,ROUND(('难度参数'!$E$18*POWER(A759,'难度参数'!$E$19)/D759*(0.85+0.3*(3-1)/MAX(1,D759-1))),0)+F759)))</x:f>
        <x:v>46</x:v>
      </x:c>
      <x:c r="AG759" s="119" t="n">
        <x:f>IF(3&gt;D759,0,ROUND(('难度参数'!$E$13*POWER(A759,'难度参数'!$E$20)*MIN('难度参数'!$E$23,1+MAX(0,A759-'难度参数'!$E$21)*'难度参数'!$E$22))*(36+3*7)/(36+7*(D759+1)/2)*E759,0))</x:f>
        <x:v>14168</x:v>
      </x:c>
      <x:c r="AH759" s="119" t="n">
        <x:f>IF(AF759=0,0,(AF759-IF(3=D759,1,0))*ROUND(AG759*VLOOKUP(INDEX('章节与怪物'!$E$31:$K$37,B759,3),'章节与怪物'!$A$41:$F$44,2,FALSE),0)+IF(3=D759,ROUND(AG759*'难度参数'!$E$28*'章节与怪物'!$E$17,0),0))</x:f>
        <x:v>1107956</x:v>
      </x:c>
      <x:c r="AI759" s="119" t="n">
        <x:f>IF(AF759=0,0,(AF759-IF(3=D759,1,0))*VLOOKUP(INDEX('章节与怪物'!$E$31:$K$37,B759,3),'章节与怪物'!$A$41:$F$44,4,FALSE)+IF(3=D759,'难度参数'!$E$30,0))</x:f>
        <x:v>1288</x:v>
      </x:c>
      <x:c r="AJ759" s="119" t="n">
        <x:f>IF(4&gt;D759,0,MAX(2,MIN('难度参数'!$E$12,ROUND(('难度参数'!$E$18*POWER(A759,'难度参数'!$E$19)/D759*(0.85+0.3*(4-1)/MAX(1,D759-1))),0)+F759)))</x:f>
        <x:v>48</x:v>
      </x:c>
      <x:c r="AK759" s="119" t="n">
        <x:f>IF(4&gt;D759,0,ROUND(('难度参数'!$E$13*POWER(A759,'难度参数'!$E$20)*MIN('难度参数'!$E$23,1+MAX(0,A759-'难度参数'!$E$21)*'难度参数'!$E$22))*(36+4*7)/(36+7*(D759+1)/2)*E759,0))</x:f>
        <x:v>15908</x:v>
      </x:c>
      <x:c r="AL759" s="119" t="n">
        <x:f>IF(AJ759=0,0,(AJ759-IF(4=D759,1,0))*ROUND(AK759*VLOOKUP(INDEX('章节与怪物'!$E$31:$K$37,B759,4),'章节与怪物'!$A$41:$F$44,2,FALSE),0)+IF(4=D759,ROUND(AK759*'难度参数'!$E$28*'章节与怪物'!$E$17,0),0))</x:f>
        <x:v>1030848</x:v>
      </x:c>
      <x:c r="AM759" s="119" t="n">
        <x:f>IF(AJ759=0,0,(AJ759-IF(4=D759,1,0))*VLOOKUP(INDEX('章节与怪物'!$E$31:$K$37,B759,4),'章节与怪物'!$A$41:$F$44,4,FALSE)+IF(4=D759,'难度参数'!$E$30,0))</x:f>
        <x:v>1632</x:v>
      </x:c>
      <x:c r="AN759" s="119" t="n">
        <x:f>IF(5&gt;D759,0,MAX(2,MIN('难度参数'!$E$12,ROUND(('难度参数'!$E$18*POWER(A759,'难度参数'!$E$19)/D759*(0.85+0.3*(5-1)/MAX(1,D759-1))),0)+F759)))</x:f>
        <x:v>50</x:v>
      </x:c>
      <x:c r="AO759" s="119" t="n">
        <x:f>IF(5&gt;D759,0,ROUND(('难度参数'!$E$13*POWER(A759,'难度参数'!$E$20)*MIN('难度参数'!$E$23,1+MAX(0,A759-'难度参数'!$E$21)*'难度参数'!$E$22))*(36+5*7)/(36+7*(D759+1)/2)*E759,0))</x:f>
        <x:v>17648</x:v>
      </x:c>
      <x:c r="AP759" s="119" t="n">
        <x:f>IF(AN759=0,0,(AN759-IF(5=D759,1,0))*ROUND(AO759*VLOOKUP(INDEX('章节与怪物'!$E$31:$K$37,B759,5),'章节与怪物'!$A$41:$F$44,2,FALSE),0)+IF(5=D759,ROUND(AO759*'难度参数'!$E$28*'章节与怪物'!$E$17,0),0))</x:f>
        <x:v>882400</x:v>
      </x:c>
      <x:c r="AQ759" s="119" t="n">
        <x:f>IF(AN759=0,0,(AN759-IF(5=D759,1,0))*VLOOKUP(INDEX('章节与怪物'!$E$31:$K$37,B759,5),'章节与怪物'!$A$41:$F$44,4,FALSE)+IF(5=D759,'难度参数'!$E$30,0))</x:f>
        <x:v>900</x:v>
      </x:c>
      <x:c r="AR759" s="119" t="n">
        <x:f>IF(6&gt;D759,0,MAX(2,MIN('难度参数'!$E$12,ROUND(('难度参数'!$E$18*POWER(A759,'难度参数'!$E$19)/D759*(0.85+0.3*(6-1)/MAX(1,D759-1))),0)+F759)))</x:f>
        <x:v>53</x:v>
      </x:c>
      <x:c r="AS759" s="119" t="n">
        <x:f>IF(6&gt;D759,0,ROUND(('难度参数'!$E$13*POWER(A759,'难度参数'!$E$20)*MIN('难度参数'!$E$23,1+MAX(0,A759-'难度参数'!$E$21)*'难度参数'!$E$22))*(36+6*7)/(36+7*(D759+1)/2)*E759,0))</x:f>
        <x:v>19388</x:v>
      </x:c>
      <x:c r="AT759" s="119" t="n">
        <x:f>IF(AR759=0,0,(AR759-IF(6=D759,1,0))*ROUND(AS759*VLOOKUP(INDEX('章节与怪物'!$E$31:$K$37,B759,6),'章节与怪物'!$A$41:$F$44,2,FALSE),0)+IF(6=D759,ROUND(AS759*'难度参数'!$E$28*'章节与怪物'!$E$17,0),0))</x:f>
        <x:v>739827</x:v>
      </x:c>
      <x:c r="AU759" s="119" t="n">
        <x:f>IF(AR759=0,0,(AR759-IF(6=D759,1,0))*VLOOKUP(INDEX('章节与怪物'!$E$31:$K$37,B759,6),'章节与怪物'!$A$41:$F$44,4,FALSE)+IF(6=D759,'难度参数'!$E$30,0))</x:f>
        <x:v>1060</x:v>
      </x:c>
      <x:c r="AV759" s="119" t="n">
        <x:f>IF(7&gt;D759,0,MAX(2,MIN('难度参数'!$E$12,ROUND(('难度参数'!$E$18*POWER(A759,'难度参数'!$E$19)/D759*(0.85+0.3*(7-1)/MAX(1,D759-1))),0)+F759)))</x:f>
        <x:v>55</x:v>
      </x:c>
      <x:c r="AW759" s="119" t="n">
        <x:f>IF(7&gt;D759,0,ROUND(('难度参数'!$E$13*POWER(A759,'难度参数'!$E$20)*MIN('难度参数'!$E$23,1+MAX(0,A759-'难度参数'!$E$21)*'难度参数'!$E$22))*(36+7*7)/(36+7*(D759+1)/2)*E759,0))</x:f>
        <x:v>21128</x:v>
      </x:c>
      <x:c r="AX759" s="119" t="n">
        <x:f>IF(AV759=0,0,(AV759-IF(7=D759,1,0))*ROUND(AW759*VLOOKUP(INDEX('章节与怪物'!$E$31:$K$37,B759,7),'章节与怪物'!$A$41:$F$44,2,FALSE),0)+IF(7=D759,ROUND(AW759*'难度参数'!$E$28*'章节与怪物'!$E$17,0),0))</x:f>
        <x:v>1683912</x:v>
      </x:c>
      <x:c r="AY759" s="119" t="n">
        <x:f>IF(AV759=0,0,(AV759-IF(7=D759,1,0))*VLOOKUP(INDEX('章节与怪物'!$E$31:$K$37,B759,7),'章节与怪物'!$A$41:$F$44,4,FALSE)+IF(7=D759,'难度参数'!$E$30,0))</x:f>
        <x:v>2036</x:v>
      </x:c>
    </x:row>
    <x:row r="760" ht="23" customHeight="1">
      <x:c r="A760" s="119" t="n">
        <x:v>754</x:v>
      </x:c>
      <x:c r="B760" s="119" t="n">
        <x:f>MOD(INT((A760-1)/5),7)+1</x:f>
        <x:v>4</x:v>
      </x:c>
      <x:c r="C760" s="62" t="str">
        <x:f>INDEX('章节与怪物'!$B$31:$B$37,B760)</x:f>
        <x:v>翠野边城</x:v>
      </x:c>
      <x:c r="D760" s="119" t="n">
        <x:f>MIN('难度参数'!$E$8,MAX('难度参数'!$E$7,A760))</x:f>
        <x:v>7</x:v>
      </x:c>
      <x:c r="E760" s="106" t="n">
        <x:v>1</x:v>
      </x:c>
      <x:c r="F760" s="106" t="n">
        <x:v>0</x:v>
      </x:c>
      <x:c r="G760" s="106" t="n">
        <x:v>1</x:v>
      </x:c>
      <x:c r="H760" s="119" t="n">
        <x:f>SUM(X760,AB760,AF760,AJ760,AN760,AR760,AV760)</x:f>
        <x:v>336</x:v>
      </x:c>
      <x:c r="I760" s="119" t="n">
        <x:f>SUM(Z760,AD760,AH760,AL760,AP760,AT760,AX760)</x:f>
        <x:v>6300999</x:v>
      </x:c>
      <x:c r="J760" s="119" t="n">
        <x:f>ROUND(INDEX(X760:AY760,1,(D760-1)*4+2)*'难度参数'!$E$28*'章节与怪物'!$E$17,0)</x:f>
        <x:v>143813</x:v>
      </x:c>
      <x:c r="K760" s="119" t="n">
        <x:f>SUM(AA760,AE760,AI760,AM760,AQ760,AU760,AY760)</x:f>
        <x:v>8510</x:v>
      </x:c>
      <x:c r="L760" s="62" t="n">
        <x:f>H760*(ROUNDUP('难度参数'!$E$24/('难度参数'!$E$26*'难度参数'!$E$27),0)*'难度参数'!$E$26)/60</x:f>
        <x:v>4.48</x:v>
      </x:c>
      <x:c r="M760" s="62" t="n">
        <x:f>L760+D760*('难度参数'!$E$49+'难度参数'!$E$50)/60</x:f>
        <x:v>5.646666666666667</x:v>
      </x:c>
      <x:c r="N760" s="119" t="n">
        <x:f>ROUNDDOWN(('经济参数'!$E$20+A760*'经济参数'!$E$21)*G760,0)</x:f>
        <x:v>15260</x:v>
      </x:c>
      <x:c r="O760" s="119" t="n">
        <x:f>ROUNDDOWN(MIN('经济参数'!$E$24,'经济参数'!$E$22+A760*'经济参数'!$E$23)*G760,0)</x:f>
        <x:v>0</x:v>
      </x:c>
      <x:c r="P760" s="119" t="n">
        <x:f>ROUNDDOWN((IF(A760&gt;='材料与任务'!$E$31,'材料与任务'!$E$32,IF(A760&gt;='材料与任务'!$E$25,'材料与任务'!$E$26,IF(A760&gt;='材料与任务'!$E$19,'材料与任务'!$E$20,IF(A760&gt;='材料与任务'!$E$13,'材料与任务'!$E$14,'材料与任务'!$E$8)))))*G760,0)</x:f>
        <x:v>6</x:v>
      </x:c>
      <x:c r="Q760" s="119" t="n">
        <x:f>ROUNDDOWN((IF(A760&gt;='材料与任务'!$E$31,'材料与任务'!$E$33,IF(A760&gt;='材料与任务'!$E$25,'材料与任务'!$E$27,IF(A760&gt;='材料与任务'!$E$19,'材料与任务'!$E$21,IF(A760&gt;='材料与任务'!$E$13,'材料与任务'!$E$15,'材料与任务'!$E$9)))))*G760,0)</x:f>
        <x:v>3</x:v>
      </x:c>
      <x:c r="R760" s="110" t="n">
        <x:f>'装备掉落'!$B$38</x:f>
        <x:v>0.6872058758851213</x:v>
      </x:c>
      <x:c r="S760" s="119" t="n">
        <x:f>MAX(IF(VLOOKUP(A760,'装备掉落'!$A$29:$H$34,2,TRUE)&gt;0,1,0),IF(VLOOKUP(A760,'装备掉落'!$A$29:$H$34,3,TRUE)&gt;0,2,0),IF(VLOOKUP(A760,'装备掉落'!$A$29:$H$34,4,TRUE)&gt;0,3,0),IF(VLOOKUP(A760,'装备掉落'!$A$29:$H$34,5,TRUE)&gt;0,4,0),IF(VLOOKUP(A760,'装备掉落'!$A$29:$H$34,6,TRUE)&gt;0,5,0),IF(VLOOKUP(A760,'装备掉落'!$A$29:$H$34,7,TRUE)&gt;0,6,0),IF(VLOOKUP(A760,'装备掉落'!$A$29:$H$34,8,TRUE)&gt;0,7,0))</x:f>
        <x:v>7</x:v>
      </x:c>
      <x:c r="T760" s="119" t="n">
        <x:f>MIN(7,S760+'经济参数'!$E$70)</x:f>
        <x:v>7</x:v>
      </x:c>
      <x:c r="U760" s="119" t="n">
        <x:f>MIN(7,S760+'经济参数'!$E$71)</x:f>
        <x:v>7</x:v>
      </x:c>
      <x:c r="V760" s="119" t="n">
        <x:f>IF(H760&gt;=('难度参数'!$E$52),1,0)+IF(H760&gt;=('难度参数'!$E$52+'难度参数'!$E$53),1,0)+IF(H760&gt;=('难度参数'!$E$52+'难度参数'!$E$53+'难度参数'!$E$54),1,0)+IF(H760&gt;=('难度参数'!$E$52+'难度参数'!$E$53+'难度参数'!$E$54+'难度参数'!$E$55),1,0)+IF(H760&gt;=('难度参数'!$E$52+'难度参数'!$E$53+'难度参数'!$E$54+'难度参数'!$E$55+'难度参数'!$E$56),1,0)+IF(H760&gt;=('难度参数'!$E$52+'难度参数'!$E$53+'难度参数'!$E$54+'难度参数'!$E$55+'难度参数'!$E$56+'难度参数'!$E$57),1,0)</x:f>
        <x:v>6</x:v>
      </x:c>
      <x:c r="W760" s="62" t="str">
        <x:f>IF(L760&gt;'难度参数'!$E$51,"仅出怪已超目标","还需实测")</x:f>
        <x:v>仅出怪已超目标</x:v>
      </x:c>
      <x:c r="X760" s="119" t="n">
        <x:f>IF(1&gt;D760,0,MAX(2,MIN('难度参数'!$E$12,ROUND(('难度参数'!$E$18*POWER(A760,'难度参数'!$E$19)/D760*(0.85+0.3*(1-1)/MAX(1,D760-1))),0)+F760)))</x:f>
        <x:v>41</x:v>
      </x:c>
      <x:c r="Y760" s="119" t="n">
        <x:f>IF(1&gt;D760,0,ROUND(('难度参数'!$E$13*POWER(A760,'难度参数'!$E$20)*MIN('难度参数'!$E$23,1+MAX(0,A760-'难度参数'!$E$21)*'难度参数'!$E$22))*(36+1*7)/(36+7*(D760+1)/2)*E760,0))</x:f>
        <x:v>10699</x:v>
      </x:c>
      <x:c r="Z760" s="119" t="n">
        <x:f>IF(X760=0,0,(X760-IF(1=D760,1,0))*ROUND(Y760*VLOOKUP(INDEX('章节与怪物'!$E$31:$K$37,B760,1),'章节与怪物'!$A$41:$F$44,2,FALSE),0)+IF(1=D760,ROUND(Y760*'难度参数'!$E$28*'章节与怪物'!$E$17,0),0))</x:f>
        <x:v>315823</x:v>
      </x:c>
      <x:c r="AA760" s="119" t="n">
        <x:f>IF(X760=0,0,(X760-IF(1=D760,1,0))*VLOOKUP(INDEX('章节与怪物'!$E$31:$K$37,B760,1),'章节与怪物'!$A$41:$F$44,4,FALSE)+IF(1=D760,'难度参数'!$E$30,0))</x:f>
        <x:v>820</x:v>
      </x:c>
      <x:c r="AB760" s="119" t="n">
        <x:f>IF(2&gt;D760,0,MAX(2,MIN('难度参数'!$E$12,ROUND(('难度参数'!$E$18*POWER(A760,'难度参数'!$E$19)/D760*(0.85+0.3*(2-1)/MAX(1,D760-1))),0)+F760)))</x:f>
        <x:v>43</x:v>
      </x:c>
      <x:c r="AC760" s="119" t="n">
        <x:f>IF(2&gt;D760,0,ROUND(('难度参数'!$E$13*POWER(A760,'难度参数'!$E$20)*MIN('难度参数'!$E$23,1+MAX(0,A760-'难度参数'!$E$21)*'难度参数'!$E$22))*(36+2*7)/(36+7*(D760+1)/2)*E760,0))</x:f>
        <x:v>12440</x:v>
      </x:c>
      <x:c r="AD760" s="119" t="n">
        <x:f>IF(AB760=0,0,(AB760-IF(2=D760,1,0))*ROUND(AC760*VLOOKUP(INDEX('章节与怪物'!$E$31:$K$37,B760,2),'章节与怪物'!$A$41:$F$44,2,FALSE),0)+IF(2=D760,ROUND(AC760*'难度参数'!$E$28*'章节与怪物'!$E$17,0),0))</x:f>
        <x:v>534920</x:v>
      </x:c>
      <x:c r="AE760" s="119" t="n">
        <x:f>IF(AB760=0,0,(AB760-IF(2=D760,1,0))*VLOOKUP(INDEX('章节与怪物'!$E$31:$K$37,B760,2),'章节与怪物'!$A$41:$F$44,4,FALSE)+IF(2=D760,'难度参数'!$E$30,0))</x:f>
        <x:v>774</x:v>
      </x:c>
      <x:c r="AF760" s="119" t="n">
        <x:f>IF(3&gt;D760,0,MAX(2,MIN('难度参数'!$E$12,ROUND(('难度参数'!$E$18*POWER(A760,'难度参数'!$E$19)/D760*(0.85+0.3*(3-1)/MAX(1,D760-1))),0)+F760)))</x:f>
        <x:v>46</x:v>
      </x:c>
      <x:c r="AG760" s="119" t="n">
        <x:f>IF(3&gt;D760,0,ROUND(('难度参数'!$E$13*POWER(A760,'难度参数'!$E$20)*MIN('难度参数'!$E$23,1+MAX(0,A760-'难度参数'!$E$21)*'难度参数'!$E$22))*(36+3*7)/(36+7*(D760+1)/2)*E760,0))</x:f>
        <x:v>14182</x:v>
      </x:c>
      <x:c r="AH760" s="119" t="n">
        <x:f>IF(AF760=0,0,(AF760-IF(3=D760,1,0))*ROUND(AG760*VLOOKUP(INDEX('章节与怪物'!$E$31:$K$37,B760,3),'章节与怪物'!$A$41:$F$44,2,FALSE),0)+IF(3=D760,ROUND(AG760*'难度参数'!$E$28*'章节与怪物'!$E$17,0),0))</x:f>
        <x:v>1109014</x:v>
      </x:c>
      <x:c r="AI760" s="119" t="n">
        <x:f>IF(AF760=0,0,(AF760-IF(3=D760,1,0))*VLOOKUP(INDEX('章节与怪物'!$E$31:$K$37,B760,3),'章节与怪物'!$A$41:$F$44,4,FALSE)+IF(3=D760,'难度参数'!$E$30,0))</x:f>
        <x:v>1288</x:v>
      </x:c>
      <x:c r="AJ760" s="119" t="n">
        <x:f>IF(4&gt;D760,0,MAX(2,MIN('难度参数'!$E$12,ROUND(('难度参数'!$E$18*POWER(A760,'难度参数'!$E$19)/D760*(0.85+0.3*(4-1)/MAX(1,D760-1))),0)+F760)))</x:f>
        <x:v>48</x:v>
      </x:c>
      <x:c r="AK760" s="119" t="n">
        <x:f>IF(4&gt;D760,0,ROUND(('难度参数'!$E$13*POWER(A760,'难度参数'!$E$20)*MIN('难度参数'!$E$23,1+MAX(0,A760-'难度参数'!$E$21)*'难度参数'!$E$22))*(36+4*7)/(36+7*(D760+1)/2)*E760,0))</x:f>
        <x:v>15924</x:v>
      </x:c>
      <x:c r="AL760" s="119" t="n">
        <x:f>IF(AJ760=0,0,(AJ760-IF(4=D760,1,0))*ROUND(AK760*VLOOKUP(INDEX('章节与怪物'!$E$31:$K$37,B760,4),'章节与怪物'!$A$41:$F$44,2,FALSE),0)+IF(4=D760,ROUND(AK760*'难度参数'!$E$28*'章节与怪物'!$E$17,0),0))</x:f>
        <x:v>1031856</x:v>
      </x:c>
      <x:c r="AM760" s="119" t="n">
        <x:f>IF(AJ760=0,0,(AJ760-IF(4=D760,1,0))*VLOOKUP(INDEX('章节与怪物'!$E$31:$K$37,B760,4),'章节与怪物'!$A$41:$F$44,4,FALSE)+IF(4=D760,'难度参数'!$E$30,0))</x:f>
        <x:v>1632</x:v>
      </x:c>
      <x:c r="AN760" s="119" t="n">
        <x:f>IF(5&gt;D760,0,MAX(2,MIN('难度参数'!$E$12,ROUND(('难度参数'!$E$18*POWER(A760,'难度参数'!$E$19)/D760*(0.85+0.3*(5-1)/MAX(1,D760-1))),0)+F760)))</x:f>
        <x:v>50</x:v>
      </x:c>
      <x:c r="AO760" s="119" t="n">
        <x:f>IF(5&gt;D760,0,ROUND(('难度参数'!$E$13*POWER(A760,'难度参数'!$E$20)*MIN('难度参数'!$E$23,1+MAX(0,A760-'难度参数'!$E$21)*'难度参数'!$E$22))*(36+5*7)/(36+7*(D760+1)/2)*E760,0))</x:f>
        <x:v>17665</x:v>
      </x:c>
      <x:c r="AP760" s="119" t="n">
        <x:f>IF(AN760=0,0,(AN760-IF(5=D760,1,0))*ROUND(AO760*VLOOKUP(INDEX('章节与怪物'!$E$31:$K$37,B760,5),'章节与怪物'!$A$41:$F$44,2,FALSE),0)+IF(5=D760,ROUND(AO760*'难度参数'!$E$28*'章节与怪物'!$E$17,0),0))</x:f>
        <x:v>883250</x:v>
      </x:c>
      <x:c r="AQ760" s="119" t="n">
        <x:f>IF(AN760=0,0,(AN760-IF(5=D760,1,0))*VLOOKUP(INDEX('章节与怪物'!$E$31:$K$37,B760,5),'章节与怪物'!$A$41:$F$44,4,FALSE)+IF(5=D760,'难度参数'!$E$30,0))</x:f>
        <x:v>900</x:v>
      </x:c>
      <x:c r="AR760" s="119" t="n">
        <x:f>IF(6&gt;D760,0,MAX(2,MIN('难度参数'!$E$12,ROUND(('难度参数'!$E$18*POWER(A760,'难度参数'!$E$19)/D760*(0.85+0.3*(6-1)/MAX(1,D760-1))),0)+F760)))</x:f>
        <x:v>53</x:v>
      </x:c>
      <x:c r="AS760" s="119" t="n">
        <x:f>IF(6&gt;D760,0,ROUND(('难度参数'!$E$13*POWER(A760,'难度参数'!$E$20)*MIN('难度参数'!$E$23,1+MAX(0,A760-'难度参数'!$E$21)*'难度参数'!$E$22))*(36+6*7)/(36+7*(D760+1)/2)*E760,0))</x:f>
        <x:v>19407</x:v>
      </x:c>
      <x:c r="AT760" s="119" t="n">
        <x:f>IF(AR760=0,0,(AR760-IF(6=D760,1,0))*ROUND(AS760*VLOOKUP(INDEX('章节与怪物'!$E$31:$K$37,B760,6),'章节与怪物'!$A$41:$F$44,2,FALSE),0)+IF(6=D760,ROUND(AS760*'难度参数'!$E$28*'章节与怪物'!$E$17,0),0))</x:f>
        <x:v>740569</x:v>
      </x:c>
      <x:c r="AU760" s="119" t="n">
        <x:f>IF(AR760=0,0,(AR760-IF(6=D760,1,0))*VLOOKUP(INDEX('章节与怪物'!$E$31:$K$37,B760,6),'章节与怪物'!$A$41:$F$44,4,FALSE)+IF(6=D760,'难度参数'!$E$30,0))</x:f>
        <x:v>1060</x:v>
      </x:c>
      <x:c r="AV760" s="119" t="n">
        <x:f>IF(7&gt;D760,0,MAX(2,MIN('难度参数'!$E$12,ROUND(('难度参数'!$E$18*POWER(A760,'难度参数'!$E$19)/D760*(0.85+0.3*(7-1)/MAX(1,D760-1))),0)+F760)))</x:f>
        <x:v>55</x:v>
      </x:c>
      <x:c r="AW760" s="119" t="n">
        <x:f>IF(7&gt;D760,0,ROUND(('难度参数'!$E$13*POWER(A760,'难度参数'!$E$20)*MIN('难度参数'!$E$23,1+MAX(0,A760-'难度参数'!$E$21)*'难度参数'!$E$22))*(36+7*7)/(36+7*(D760+1)/2)*E760,0))</x:f>
        <x:v>21149</x:v>
      </x:c>
      <x:c r="AX760" s="119" t="n">
        <x:f>IF(AV760=0,0,(AV760-IF(7=D760,1,0))*ROUND(AW760*VLOOKUP(INDEX('章节与怪物'!$E$31:$K$37,B760,7),'章节与怪物'!$A$41:$F$44,2,FALSE),0)+IF(7=D760,ROUND(AW760*'难度参数'!$E$28*'章节与怪物'!$E$17,0),0))</x:f>
        <x:v>1685567</x:v>
      </x:c>
      <x:c r="AY760" s="119" t="n">
        <x:f>IF(AV760=0,0,(AV760-IF(7=D760,1,0))*VLOOKUP(INDEX('章节与怪物'!$E$31:$K$37,B760,7),'章节与怪物'!$A$41:$F$44,4,FALSE)+IF(7=D760,'难度参数'!$E$30,0))</x:f>
        <x:v>2036</x:v>
      </x:c>
    </x:row>
    <x:row r="761" ht="23" customHeight="1">
      <x:c r="A761" s="119" t="n">
        <x:v>755</x:v>
      </x:c>
      <x:c r="B761" s="119" t="n">
        <x:f>MOD(INT((A761-1)/5),7)+1</x:f>
        <x:v>4</x:v>
      </x:c>
      <x:c r="C761" s="62" t="str">
        <x:f>INDEX('章节与怪物'!$B$31:$B$37,B761)</x:f>
        <x:v>翠野边城</x:v>
      </x:c>
      <x:c r="D761" s="119" t="n">
        <x:f>MIN('难度参数'!$E$8,MAX('难度参数'!$E$7,A761))</x:f>
        <x:v>7</x:v>
      </x:c>
      <x:c r="E761" s="106" t="n">
        <x:v>1</x:v>
      </x:c>
      <x:c r="F761" s="106" t="n">
        <x:v>0</x:v>
      </x:c>
      <x:c r="G761" s="106" t="n">
        <x:v>1</x:v>
      </x:c>
      <x:c r="H761" s="119" t="n">
        <x:f>SUM(X761,AB761,AF761,AJ761,AN761,AR761,AV761)</x:f>
        <x:v>336</x:v>
      </x:c>
      <x:c r="I761" s="119" t="n">
        <x:f>SUM(Z761,AD761,AH761,AL761,AP761,AT761,AX761)</x:f>
        <x:v>6307001</x:v>
      </x:c>
      <x:c r="J761" s="119" t="n">
        <x:f>ROUND(INDEX(X761:AY761,1,(D761-1)*4+2)*'难度参数'!$E$28*'章节与怪物'!$E$17,0)</x:f>
        <x:v>143949</x:v>
      </x:c>
      <x:c r="K761" s="119" t="n">
        <x:f>SUM(AA761,AE761,AI761,AM761,AQ761,AU761,AY761)</x:f>
        <x:v>8510</x:v>
      </x:c>
      <x:c r="L761" s="62" t="n">
        <x:f>H761*(ROUNDUP('难度参数'!$E$24/('难度参数'!$E$26*'难度参数'!$E$27),0)*'难度参数'!$E$26)/60</x:f>
        <x:v>4.48</x:v>
      </x:c>
      <x:c r="M761" s="62" t="n">
        <x:f>L761+D761*('难度参数'!$E$49+'难度参数'!$E$50)/60</x:f>
        <x:v>5.646666666666667</x:v>
      </x:c>
      <x:c r="N761" s="119" t="n">
        <x:f>ROUNDDOWN(('经济参数'!$E$20+A761*'经济参数'!$E$21)*G761,0)</x:f>
        <x:v>15280</x:v>
      </x:c>
      <x:c r="O761" s="119" t="n">
        <x:f>ROUNDDOWN(MIN('经济参数'!$E$24,'经济参数'!$E$22+A761*'经济参数'!$E$23)*G761,0)</x:f>
        <x:v>0</x:v>
      </x:c>
      <x:c r="P761" s="119" t="n">
        <x:f>ROUNDDOWN((IF(A761&gt;='材料与任务'!$E$31,'材料与任务'!$E$32,IF(A761&gt;='材料与任务'!$E$25,'材料与任务'!$E$26,IF(A761&gt;='材料与任务'!$E$19,'材料与任务'!$E$20,IF(A761&gt;='材料与任务'!$E$13,'材料与任务'!$E$14,'材料与任务'!$E$8)))))*G761,0)</x:f>
        <x:v>6</x:v>
      </x:c>
      <x:c r="Q761" s="119" t="n">
        <x:f>ROUNDDOWN((IF(A761&gt;='材料与任务'!$E$31,'材料与任务'!$E$33,IF(A761&gt;='材料与任务'!$E$25,'材料与任务'!$E$27,IF(A761&gt;='材料与任务'!$E$19,'材料与任务'!$E$21,IF(A761&gt;='材料与任务'!$E$13,'材料与任务'!$E$15,'材料与任务'!$E$9)))))*G761,0)</x:f>
        <x:v>3</x:v>
      </x:c>
      <x:c r="R761" s="110" t="n">
        <x:f>'装备掉落'!$B$38</x:f>
        <x:v>0.6872058758851213</x:v>
      </x:c>
      <x:c r="S761" s="119" t="n">
        <x:f>MAX(IF(VLOOKUP(A761,'装备掉落'!$A$29:$H$34,2,TRUE)&gt;0,1,0),IF(VLOOKUP(A761,'装备掉落'!$A$29:$H$34,3,TRUE)&gt;0,2,0),IF(VLOOKUP(A761,'装备掉落'!$A$29:$H$34,4,TRUE)&gt;0,3,0),IF(VLOOKUP(A761,'装备掉落'!$A$29:$H$34,5,TRUE)&gt;0,4,0),IF(VLOOKUP(A761,'装备掉落'!$A$29:$H$34,6,TRUE)&gt;0,5,0),IF(VLOOKUP(A761,'装备掉落'!$A$29:$H$34,7,TRUE)&gt;0,6,0),IF(VLOOKUP(A761,'装备掉落'!$A$29:$H$34,8,TRUE)&gt;0,7,0))</x:f>
        <x:v>7</x:v>
      </x:c>
      <x:c r="T761" s="119" t="n">
        <x:f>MIN(7,S761+'经济参数'!$E$70)</x:f>
        <x:v>7</x:v>
      </x:c>
      <x:c r="U761" s="119" t="n">
        <x:f>MIN(7,S761+'经济参数'!$E$71)</x:f>
        <x:v>7</x:v>
      </x:c>
      <x:c r="V761" s="119" t="n">
        <x:f>IF(H761&gt;=('难度参数'!$E$52),1,0)+IF(H761&gt;=('难度参数'!$E$52+'难度参数'!$E$53),1,0)+IF(H761&gt;=('难度参数'!$E$52+'难度参数'!$E$53+'难度参数'!$E$54),1,0)+IF(H761&gt;=('难度参数'!$E$52+'难度参数'!$E$53+'难度参数'!$E$54+'难度参数'!$E$55),1,0)+IF(H761&gt;=('难度参数'!$E$52+'难度参数'!$E$53+'难度参数'!$E$54+'难度参数'!$E$55+'难度参数'!$E$56),1,0)+IF(H761&gt;=('难度参数'!$E$52+'难度参数'!$E$53+'难度参数'!$E$54+'难度参数'!$E$55+'难度参数'!$E$56+'难度参数'!$E$57),1,0)</x:f>
        <x:v>6</x:v>
      </x:c>
      <x:c r="W761" s="62" t="str">
        <x:f>IF(L761&gt;'难度参数'!$E$51,"仅出怪已超目标","还需实测")</x:f>
        <x:v>仅出怪已超目标</x:v>
      </x:c>
      <x:c r="X761" s="119" t="n">
        <x:f>IF(1&gt;D761,0,MAX(2,MIN('难度参数'!$E$12,ROUND(('难度参数'!$E$18*POWER(A761,'难度参数'!$E$19)/D761*(0.85+0.3*(1-1)/MAX(1,D761-1))),0)+F761)))</x:f>
        <x:v>41</x:v>
      </x:c>
      <x:c r="Y761" s="119" t="n">
        <x:f>IF(1&gt;D761,0,ROUND(('难度参数'!$E$13*POWER(A761,'难度参数'!$E$20)*MIN('难度参数'!$E$23,1+MAX(0,A761-'难度参数'!$E$21)*'难度参数'!$E$22))*(36+1*7)/(36+7*(D761+1)/2)*E761,0))</x:f>
        <x:v>10709</x:v>
      </x:c>
      <x:c r="Z761" s="119" t="n">
        <x:f>IF(X761=0,0,(X761-IF(1=D761,1,0))*ROUND(Y761*VLOOKUP(INDEX('章节与怪物'!$E$31:$K$37,B761,1),'章节与怪物'!$A$41:$F$44,2,FALSE),0)+IF(1=D761,ROUND(Y761*'难度参数'!$E$28*'章节与怪物'!$E$17,0),0))</x:f>
        <x:v>316110</x:v>
      </x:c>
      <x:c r="AA761" s="119" t="n">
        <x:f>IF(X761=0,0,(X761-IF(1=D761,1,0))*VLOOKUP(INDEX('章节与怪物'!$E$31:$K$37,B761,1),'章节与怪物'!$A$41:$F$44,4,FALSE)+IF(1=D761,'难度参数'!$E$30,0))</x:f>
        <x:v>820</x:v>
      </x:c>
      <x:c r="AB761" s="119" t="n">
        <x:f>IF(2&gt;D761,0,MAX(2,MIN('难度参数'!$E$12,ROUND(('难度参数'!$E$18*POWER(A761,'难度参数'!$E$19)/D761*(0.85+0.3*(2-1)/MAX(1,D761-1))),0)+F761)))</x:f>
        <x:v>43</x:v>
      </x:c>
      <x:c r="AC761" s="119" t="n">
        <x:f>IF(2&gt;D761,0,ROUND(('难度参数'!$E$13*POWER(A761,'难度参数'!$E$20)*MIN('难度参数'!$E$23,1+MAX(0,A761-'难度参数'!$E$21)*'难度参数'!$E$22))*(36+2*7)/(36+7*(D761+1)/2)*E761,0))</x:f>
        <x:v>12452</x:v>
      </x:c>
      <x:c r="AD761" s="119" t="n">
        <x:f>IF(AB761=0,0,(AB761-IF(2=D761,1,0))*ROUND(AC761*VLOOKUP(INDEX('章节与怪物'!$E$31:$K$37,B761,2),'章节与怪物'!$A$41:$F$44,2,FALSE),0)+IF(2=D761,ROUND(AC761*'难度参数'!$E$28*'章节与怪物'!$E$17,0),0))</x:f>
        <x:v>535436</x:v>
      </x:c>
      <x:c r="AE761" s="119" t="n">
        <x:f>IF(AB761=0,0,(AB761-IF(2=D761,1,0))*VLOOKUP(INDEX('章节与怪物'!$E$31:$K$37,B761,2),'章节与怪物'!$A$41:$F$44,4,FALSE)+IF(2=D761,'难度参数'!$E$30,0))</x:f>
        <x:v>774</x:v>
      </x:c>
      <x:c r="AF761" s="119" t="n">
        <x:f>IF(3&gt;D761,0,MAX(2,MIN('难度参数'!$E$12,ROUND(('难度参数'!$E$18*POWER(A761,'难度参数'!$E$19)/D761*(0.85+0.3*(3-1)/MAX(1,D761-1))),0)+F761)))</x:f>
        <x:v>46</x:v>
      </x:c>
      <x:c r="AG761" s="119" t="n">
        <x:f>IF(3&gt;D761,0,ROUND(('难度参数'!$E$13*POWER(A761,'难度参数'!$E$20)*MIN('难度参数'!$E$23,1+MAX(0,A761-'难度参数'!$E$21)*'难度参数'!$E$22))*(36+3*7)/(36+7*(D761+1)/2)*E761,0))</x:f>
        <x:v>14195</x:v>
      </x:c>
      <x:c r="AH761" s="119" t="n">
        <x:f>IF(AF761=0,0,(AF761-IF(3=D761,1,0))*ROUND(AG761*VLOOKUP(INDEX('章节与怪物'!$E$31:$K$37,B761,3),'章节与怪物'!$A$41:$F$44,2,FALSE),0)+IF(3=D761,ROUND(AG761*'难度参数'!$E$28*'章节与怪物'!$E$17,0),0))</x:f>
        <x:v>1110072</x:v>
      </x:c>
      <x:c r="AI761" s="119" t="n">
        <x:f>IF(AF761=0,0,(AF761-IF(3=D761,1,0))*VLOOKUP(INDEX('章节与怪物'!$E$31:$K$37,B761,3),'章节与怪物'!$A$41:$F$44,4,FALSE)+IF(3=D761,'难度参数'!$E$30,0))</x:f>
        <x:v>1288</x:v>
      </x:c>
      <x:c r="AJ761" s="119" t="n">
        <x:f>IF(4&gt;D761,0,MAX(2,MIN('难度参数'!$E$12,ROUND(('难度参数'!$E$18*POWER(A761,'难度参数'!$E$19)/D761*(0.85+0.3*(4-1)/MAX(1,D761-1))),0)+F761)))</x:f>
        <x:v>48</x:v>
      </x:c>
      <x:c r="AK761" s="119" t="n">
        <x:f>IF(4&gt;D761,0,ROUND(('难度参数'!$E$13*POWER(A761,'难度参数'!$E$20)*MIN('难度参数'!$E$23,1+MAX(0,A761-'难度参数'!$E$21)*'难度参数'!$E$22))*(36+4*7)/(36+7*(D761+1)/2)*E761,0))</x:f>
        <x:v>15939</x:v>
      </x:c>
      <x:c r="AL761" s="119" t="n">
        <x:f>IF(AJ761=0,0,(AJ761-IF(4=D761,1,0))*ROUND(AK761*VLOOKUP(INDEX('章节与怪物'!$E$31:$K$37,B761,4),'章节与怪物'!$A$41:$F$44,2,FALSE),0)+IF(4=D761,ROUND(AK761*'难度参数'!$E$28*'章节与怪物'!$E$17,0),0))</x:f>
        <x:v>1032864</x:v>
      </x:c>
      <x:c r="AM761" s="119" t="n">
        <x:f>IF(AJ761=0,0,(AJ761-IF(4=D761,1,0))*VLOOKUP(INDEX('章节与怪物'!$E$31:$K$37,B761,4),'章节与怪物'!$A$41:$F$44,4,FALSE)+IF(4=D761,'难度参数'!$E$30,0))</x:f>
        <x:v>1632</x:v>
      </x:c>
      <x:c r="AN761" s="119" t="n">
        <x:f>IF(5&gt;D761,0,MAX(2,MIN('难度参数'!$E$12,ROUND(('难度参数'!$E$18*POWER(A761,'难度参数'!$E$19)/D761*(0.85+0.3*(5-1)/MAX(1,D761-1))),0)+F761)))</x:f>
        <x:v>50</x:v>
      </x:c>
      <x:c r="AO761" s="119" t="n">
        <x:f>IF(5&gt;D761,0,ROUND(('难度参数'!$E$13*POWER(A761,'难度参数'!$E$20)*MIN('难度参数'!$E$23,1+MAX(0,A761-'难度参数'!$E$21)*'难度参数'!$E$22))*(36+5*7)/(36+7*(D761+1)/2)*E761,0))</x:f>
        <x:v>17682</x:v>
      </x:c>
      <x:c r="AP761" s="119" t="n">
        <x:f>IF(AN761=0,0,(AN761-IF(5=D761,1,0))*ROUND(AO761*VLOOKUP(INDEX('章节与怪物'!$E$31:$K$37,B761,5),'章节与怪物'!$A$41:$F$44,2,FALSE),0)+IF(5=D761,ROUND(AO761*'难度参数'!$E$28*'章节与怪物'!$E$17,0),0))</x:f>
        <x:v>884100</x:v>
      </x:c>
      <x:c r="AQ761" s="119" t="n">
        <x:f>IF(AN761=0,0,(AN761-IF(5=D761,1,0))*VLOOKUP(INDEX('章节与怪物'!$E$31:$K$37,B761,5),'章节与怪物'!$A$41:$F$44,4,FALSE)+IF(5=D761,'难度参数'!$E$30,0))</x:f>
        <x:v>900</x:v>
      </x:c>
      <x:c r="AR761" s="119" t="n">
        <x:f>IF(6&gt;D761,0,MAX(2,MIN('难度参数'!$E$12,ROUND(('难度参数'!$E$18*POWER(A761,'难度参数'!$E$19)/D761*(0.85+0.3*(6-1)/MAX(1,D761-1))),0)+F761)))</x:f>
        <x:v>53</x:v>
      </x:c>
      <x:c r="AS761" s="119" t="n">
        <x:f>IF(6&gt;D761,0,ROUND(('难度参数'!$E$13*POWER(A761,'难度参数'!$E$20)*MIN('难度参数'!$E$23,1+MAX(0,A761-'难度参数'!$E$21)*'难度参数'!$E$22))*(36+6*7)/(36+7*(D761+1)/2)*E761,0))</x:f>
        <x:v>19425</x:v>
      </x:c>
      <x:c r="AT761" s="119" t="n">
        <x:f>IF(AR761=0,0,(AR761-IF(6=D761,1,0))*ROUND(AS761*VLOOKUP(INDEX('章节与怪物'!$E$31:$K$37,B761,6),'章节与怪物'!$A$41:$F$44,2,FALSE),0)+IF(6=D761,ROUND(AS761*'难度参数'!$E$28*'章节与怪物'!$E$17,0),0))</x:f>
        <x:v>741258</x:v>
      </x:c>
      <x:c r="AU761" s="119" t="n">
        <x:f>IF(AR761=0,0,(AR761-IF(6=D761,1,0))*VLOOKUP(INDEX('章节与怪物'!$E$31:$K$37,B761,6),'章节与怪物'!$A$41:$F$44,4,FALSE)+IF(6=D761,'难度参数'!$E$30,0))</x:f>
        <x:v>1060</x:v>
      </x:c>
      <x:c r="AV761" s="119" t="n">
        <x:f>IF(7&gt;D761,0,MAX(2,MIN('难度参数'!$E$12,ROUND(('难度参数'!$E$18*POWER(A761,'难度参数'!$E$19)/D761*(0.85+0.3*(7-1)/MAX(1,D761-1))),0)+F761)))</x:f>
        <x:v>55</x:v>
      </x:c>
      <x:c r="AW761" s="119" t="n">
        <x:f>IF(7&gt;D761,0,ROUND(('难度参数'!$E$13*POWER(A761,'难度参数'!$E$20)*MIN('难度参数'!$E$23,1+MAX(0,A761-'难度参数'!$E$21)*'难度参数'!$E$22))*(36+7*7)/(36+7*(D761+1)/2)*E761,0))</x:f>
        <x:v>21169</x:v>
      </x:c>
      <x:c r="AX761" s="119" t="n">
        <x:f>IF(AV761=0,0,(AV761-IF(7=D761,1,0))*ROUND(AW761*VLOOKUP(INDEX('章节与怪物'!$E$31:$K$37,B761,7),'章节与怪物'!$A$41:$F$44,2,FALSE),0)+IF(7=D761,ROUND(AW761*'难度参数'!$E$28*'章节与怪物'!$E$17,0),0))</x:f>
        <x:v>1687161</x:v>
      </x:c>
      <x:c r="AY761" s="119" t="n">
        <x:f>IF(AV761=0,0,(AV761-IF(7=D761,1,0))*VLOOKUP(INDEX('章节与怪物'!$E$31:$K$37,B761,7),'章节与怪物'!$A$41:$F$44,4,FALSE)+IF(7=D761,'难度参数'!$E$30,0))</x:f>
        <x:v>2036</x:v>
      </x:c>
    </x:row>
    <x:row r="762" ht="23" customHeight="1">
      <x:c r="A762" s="119" t="n">
        <x:v>756</x:v>
      </x:c>
      <x:c r="B762" s="119" t="n">
        <x:f>MOD(INT((A762-1)/5),7)+1</x:f>
        <x:v>5</x:v>
      </x:c>
      <x:c r="C762" s="62" t="str">
        <x:f>INDEX('章节与怪物'!$B$31:$B$37,B762)</x:f>
        <x:v>雨林遗迹</x:v>
      </x:c>
      <x:c r="D762" s="119" t="n">
        <x:f>MIN('难度参数'!$E$8,MAX('难度参数'!$E$7,A762))</x:f>
        <x:v>7</x:v>
      </x:c>
      <x:c r="E762" s="106" t="n">
        <x:v>1</x:v>
      </x:c>
      <x:c r="F762" s="106" t="n">
        <x:v>0</x:v>
      </x:c>
      <x:c r="G762" s="106" t="n">
        <x:v>1</x:v>
      </x:c>
      <x:c r="H762" s="119" t="n">
        <x:f>SUM(X762,AB762,AF762,AJ762,AN762,AR762,AV762)</x:f>
        <x:v>336</x:v>
      </x:c>
      <x:c r="I762" s="119" t="n">
        <x:f>SUM(Z762,AD762,AH762,AL762,AP762,AT762,AX762)</x:f>
        <x:v>7048135</x:v>
      </x:c>
      <x:c r="J762" s="119" t="n">
        <x:f>ROUND(INDEX(X762:AY762,1,(D762-1)*4+2)*'难度参数'!$E$28*'章节与怪物'!$E$17,0)</x:f>
        <x:v>144085</x:v>
      </x:c>
      <x:c r="K762" s="119" t="n">
        <x:f>SUM(AA762,AE762,AI762,AM762,AQ762,AU762,AY762)</x:f>
        <x:v>9038</x:v>
      </x:c>
      <x:c r="L762" s="62" t="n">
        <x:f>H762*(ROUNDUP('难度参数'!$E$24/('难度参数'!$E$26*'难度参数'!$E$27),0)*'难度参数'!$E$26)/60</x:f>
        <x:v>4.48</x:v>
      </x:c>
      <x:c r="M762" s="62" t="n">
        <x:f>L762+D762*('难度参数'!$E$49+'难度参数'!$E$50)/60</x:f>
        <x:v>5.646666666666667</x:v>
      </x:c>
      <x:c r="N762" s="119" t="n">
        <x:f>ROUNDDOWN(('经济参数'!$E$20+A762*'经济参数'!$E$21)*G762,0)</x:f>
        <x:v>15300</x:v>
      </x:c>
      <x:c r="O762" s="119" t="n">
        <x:f>ROUNDDOWN(MIN('经济参数'!$E$24,'经济参数'!$E$22+A762*'经济参数'!$E$23)*G762,0)</x:f>
        <x:v>0</x:v>
      </x:c>
      <x:c r="P762" s="119" t="n">
        <x:f>ROUNDDOWN((IF(A762&gt;='材料与任务'!$E$31,'材料与任务'!$E$32,IF(A762&gt;='材料与任务'!$E$25,'材料与任务'!$E$26,IF(A762&gt;='材料与任务'!$E$19,'材料与任务'!$E$20,IF(A762&gt;='材料与任务'!$E$13,'材料与任务'!$E$14,'材料与任务'!$E$8)))))*G762,0)</x:f>
        <x:v>6</x:v>
      </x:c>
      <x:c r="Q762" s="119" t="n">
        <x:f>ROUNDDOWN((IF(A762&gt;='材料与任务'!$E$31,'材料与任务'!$E$33,IF(A762&gt;='材料与任务'!$E$25,'材料与任务'!$E$27,IF(A762&gt;='材料与任务'!$E$19,'材料与任务'!$E$21,IF(A762&gt;='材料与任务'!$E$13,'材料与任务'!$E$15,'材料与任务'!$E$9)))))*G762,0)</x:f>
        <x:v>3</x:v>
      </x:c>
      <x:c r="R762" s="110" t="n">
        <x:f>'装备掉落'!$B$38</x:f>
        <x:v>0.6872058758851213</x:v>
      </x:c>
      <x:c r="S762" s="119" t="n">
        <x:f>MAX(IF(VLOOKUP(A762,'装备掉落'!$A$29:$H$34,2,TRUE)&gt;0,1,0),IF(VLOOKUP(A762,'装备掉落'!$A$29:$H$34,3,TRUE)&gt;0,2,0),IF(VLOOKUP(A762,'装备掉落'!$A$29:$H$34,4,TRUE)&gt;0,3,0),IF(VLOOKUP(A762,'装备掉落'!$A$29:$H$34,5,TRUE)&gt;0,4,0),IF(VLOOKUP(A762,'装备掉落'!$A$29:$H$34,6,TRUE)&gt;0,5,0),IF(VLOOKUP(A762,'装备掉落'!$A$29:$H$34,7,TRUE)&gt;0,6,0),IF(VLOOKUP(A762,'装备掉落'!$A$29:$H$34,8,TRUE)&gt;0,7,0))</x:f>
        <x:v>7</x:v>
      </x:c>
      <x:c r="T762" s="119" t="n">
        <x:f>MIN(7,S762+'经济参数'!$E$70)</x:f>
        <x:v>7</x:v>
      </x:c>
      <x:c r="U762" s="119" t="n">
        <x:f>MIN(7,S762+'经济参数'!$E$71)</x:f>
        <x:v>7</x:v>
      </x:c>
      <x:c r="V762" s="119" t="n">
        <x:f>IF(H762&gt;=('难度参数'!$E$52),1,0)+IF(H762&gt;=('难度参数'!$E$52+'难度参数'!$E$53),1,0)+IF(H762&gt;=('难度参数'!$E$52+'难度参数'!$E$53+'难度参数'!$E$54),1,0)+IF(H762&gt;=('难度参数'!$E$52+'难度参数'!$E$53+'难度参数'!$E$54+'难度参数'!$E$55),1,0)+IF(H762&gt;=('难度参数'!$E$52+'难度参数'!$E$53+'难度参数'!$E$54+'难度参数'!$E$55+'难度参数'!$E$56),1,0)+IF(H762&gt;=('难度参数'!$E$52+'难度参数'!$E$53+'难度参数'!$E$54+'难度参数'!$E$55+'难度参数'!$E$56+'难度参数'!$E$57),1,0)</x:f>
        <x:v>6</x:v>
      </x:c>
      <x:c r="W762" s="62" t="str">
        <x:f>IF(L762&gt;'难度参数'!$E$51,"仅出怪已超目标","还需实测")</x:f>
        <x:v>仅出怪已超目标</x:v>
      </x:c>
      <x:c r="X762" s="119" t="n">
        <x:f>IF(1&gt;D762,0,MAX(2,MIN('难度参数'!$E$12,ROUND(('难度参数'!$E$18*POWER(A762,'难度参数'!$E$19)/D762*(0.85+0.3*(1-1)/MAX(1,D762-1))),0)+F762)))</x:f>
        <x:v>41</x:v>
      </x:c>
      <x:c r="Y762" s="119" t="n">
        <x:f>IF(1&gt;D762,0,ROUND(('难度参数'!$E$13*POWER(A762,'难度参数'!$E$20)*MIN('难度参数'!$E$23,1+MAX(0,A762-'难度参数'!$E$21)*'难度参数'!$E$22))*(36+1*7)/(36+7*(D762+1)/2)*E762,0))</x:f>
        <x:v>10719</x:v>
      </x:c>
      <x:c r="Z762" s="119" t="n">
        <x:f>IF(X762=0,0,(X762-IF(1=D762,1,0))*ROUND(Y762*VLOOKUP(INDEX('章节与怪物'!$E$31:$K$37,B762,1),'章节与怪物'!$A$41:$F$44,2,FALSE),0)+IF(1=D762,ROUND(Y762*'难度参数'!$E$28*'章节与怪物'!$E$17,0),0))</x:f>
        <x:v>439479</x:v>
      </x:c>
      <x:c r="AA762" s="119" t="n">
        <x:f>IF(X762=0,0,(X762-IF(1=D762,1,0))*VLOOKUP(INDEX('章节与怪物'!$E$31:$K$37,B762,1),'章节与怪物'!$A$41:$F$44,4,FALSE)+IF(1=D762,'难度参数'!$E$30,0))</x:f>
        <x:v>738</x:v>
      </x:c>
      <x:c r="AB762" s="119" t="n">
        <x:f>IF(2&gt;D762,0,MAX(2,MIN('难度参数'!$E$12,ROUND(('难度参数'!$E$18*POWER(A762,'难度参数'!$E$19)/D762*(0.85+0.3*(2-1)/MAX(1,D762-1))),0)+F762)))</x:f>
        <x:v>43</x:v>
      </x:c>
      <x:c r="AC762" s="119" t="n">
        <x:f>IF(2&gt;D762,0,ROUND(('难度参数'!$E$13*POWER(A762,'难度参数'!$E$20)*MIN('难度参数'!$E$23,1+MAX(0,A762-'难度参数'!$E$21)*'难度参数'!$E$22))*(36+2*7)/(36+7*(D762+1)/2)*E762,0))</x:f>
        <x:v>12464</x:v>
      </x:c>
      <x:c r="AD762" s="119" t="n">
        <x:f>IF(AB762=0,0,(AB762-IF(2=D762,1,0))*ROUND(AC762*VLOOKUP(INDEX('章节与怪物'!$E$31:$K$37,B762,2),'章节与怪物'!$A$41:$F$44,2,FALSE),0)+IF(2=D762,ROUND(AC762*'难度参数'!$E$28*'章节与怪物'!$E$17,0),0))</x:f>
        <x:v>385882</x:v>
      </x:c>
      <x:c r="AE762" s="119" t="n">
        <x:f>IF(AB762=0,0,(AB762-IF(2=D762,1,0))*VLOOKUP(INDEX('章节与怪物'!$E$31:$K$37,B762,2),'章节与怪物'!$A$41:$F$44,4,FALSE)+IF(2=D762,'难度参数'!$E$30,0))</x:f>
        <x:v>860</x:v>
      </x:c>
      <x:c r="AF762" s="119" t="n">
        <x:f>IF(3&gt;D762,0,MAX(2,MIN('难度参数'!$E$12,ROUND(('难度参数'!$E$18*POWER(A762,'难度参数'!$E$19)/D762*(0.85+0.3*(3-1)/MAX(1,D762-1))),0)+F762)))</x:f>
        <x:v>46</x:v>
      </x:c>
      <x:c r="AG762" s="119" t="n">
        <x:f>IF(3&gt;D762,0,ROUND(('难度参数'!$E$13*POWER(A762,'难度参数'!$E$20)*MIN('难度参数'!$E$23,1+MAX(0,A762-'难度参数'!$E$21)*'难度参数'!$E$22))*(36+3*7)/(36+7*(D762+1)/2)*E762,0))</x:f>
        <x:v>14209</x:v>
      </x:c>
      <x:c r="AH762" s="119" t="n">
        <x:f>IF(AF762=0,0,(AF762-IF(3=D762,1,0))*ROUND(AG762*VLOOKUP(INDEX('章节与怪物'!$E$31:$K$37,B762,3),'章节与怪物'!$A$41:$F$44,2,FALSE),0)+IF(3=D762,ROUND(AG762*'难度参数'!$E$28*'章节与怪物'!$E$17,0),0))</x:f>
        <x:v>1111130</x:v>
      </x:c>
      <x:c r="AI762" s="119" t="n">
        <x:f>IF(AF762=0,0,(AF762-IF(3=D762,1,0))*VLOOKUP(INDEX('章节与怪物'!$E$31:$K$37,B762,3),'章节与怪物'!$A$41:$F$44,4,FALSE)+IF(3=D762,'难度参数'!$E$30,0))</x:f>
        <x:v>1288</x:v>
      </x:c>
      <x:c r="AJ762" s="119" t="n">
        <x:f>IF(4&gt;D762,0,MAX(2,MIN('难度参数'!$E$12,ROUND(('难度参数'!$E$18*POWER(A762,'难度参数'!$E$19)/D762*(0.85+0.3*(4-1)/MAX(1,D762-1))),0)+F762)))</x:f>
        <x:v>48</x:v>
      </x:c>
      <x:c r="AK762" s="119" t="n">
        <x:f>IF(4&gt;D762,0,ROUND(('难度参数'!$E$13*POWER(A762,'难度参数'!$E$20)*MIN('难度参数'!$E$23,1+MAX(0,A762-'难度参数'!$E$21)*'难度参数'!$E$22))*(36+4*7)/(36+7*(D762+1)/2)*E762,0))</x:f>
        <x:v>15954</x:v>
      </x:c>
      <x:c r="AL762" s="119" t="n">
        <x:f>IF(AJ762=0,0,(AJ762-IF(4=D762,1,0))*ROUND(AK762*VLOOKUP(INDEX('章节与怪物'!$E$31:$K$37,B762,4),'章节与怪物'!$A$41:$F$44,2,FALSE),0)+IF(4=D762,ROUND(AK762*'难度参数'!$E$28*'章节与怪物'!$E$17,0),0))</x:f>
        <x:v>1033824</x:v>
      </x:c>
      <x:c r="AM762" s="119" t="n">
        <x:f>IF(AJ762=0,0,(AJ762-IF(4=D762,1,0))*VLOOKUP(INDEX('章节与怪物'!$E$31:$K$37,B762,4),'章节与怪物'!$A$41:$F$44,4,FALSE)+IF(4=D762,'难度参数'!$E$30,0))</x:f>
        <x:v>1632</x:v>
      </x:c>
      <x:c r="AN762" s="119" t="n">
        <x:f>IF(5&gt;D762,0,MAX(2,MIN('难度参数'!$E$12,ROUND(('难度参数'!$E$18*POWER(A762,'难度参数'!$E$19)/D762*(0.85+0.3*(5-1)/MAX(1,D762-1))),0)+F762)))</x:f>
        <x:v>50</x:v>
      </x:c>
      <x:c r="AO762" s="119" t="n">
        <x:f>IF(5&gt;D762,0,ROUND(('难度参数'!$E$13*POWER(A762,'难度参数'!$E$20)*MIN('难度参数'!$E$23,1+MAX(0,A762-'难度参数'!$E$21)*'难度参数'!$E$22))*(36+5*7)/(36+7*(D762+1)/2)*E762,0))</x:f>
        <x:v>17699</x:v>
      </x:c>
      <x:c r="AP762" s="119" t="n">
        <x:f>IF(AN762=0,0,(AN762-IF(5=D762,1,0))*ROUND(AO762*VLOOKUP(INDEX('章节与怪物'!$E$31:$K$37,B762,5),'章节与怪物'!$A$41:$F$44,2,FALSE),0)+IF(5=D762,ROUND(AO762*'难度参数'!$E$28*'章节与怪物'!$E$17,0),0))</x:f>
        <x:v>637150</x:v>
      </x:c>
      <x:c r="AQ762" s="119" t="n">
        <x:f>IF(AN762=0,0,(AN762-IF(5=D762,1,0))*VLOOKUP(INDEX('章节与怪物'!$E$31:$K$37,B762,5),'章节与怪物'!$A$41:$F$44,4,FALSE)+IF(5=D762,'难度参数'!$E$30,0))</x:f>
        <x:v>1000</x:v>
      </x:c>
      <x:c r="AR762" s="119" t="n">
        <x:f>IF(6&gt;D762,0,MAX(2,MIN('难度参数'!$E$12,ROUND(('难度参数'!$E$18*POWER(A762,'难度参数'!$E$19)/D762*(0.85+0.3*(6-1)/MAX(1,D762-1))),0)+F762)))</x:f>
        <x:v>53</x:v>
      </x:c>
      <x:c r="AS762" s="119" t="n">
        <x:f>IF(6&gt;D762,0,ROUND(('难度参数'!$E$13*POWER(A762,'难度参数'!$E$20)*MIN('难度参数'!$E$23,1+MAX(0,A762-'难度参数'!$E$21)*'难度参数'!$E$22))*(36+6*7)/(36+7*(D762+1)/2)*E762,0))</x:f>
        <x:v>19444</x:v>
      </x:c>
      <x:c r="AT762" s="119" t="n">
        <x:f>IF(AR762=0,0,(AR762-IF(6=D762,1,0))*ROUND(AS762*VLOOKUP(INDEX('章节与怪物'!$E$31:$K$37,B762,6),'章节与怪物'!$A$41:$F$44,2,FALSE),0)+IF(6=D762,ROUND(AS762*'难度参数'!$E$28*'章节与怪物'!$E$17,0),0))</x:f>
        <x:v>1751915</x:v>
      </x:c>
      <x:c r="AU762" s="119" t="n">
        <x:f>IF(AR762=0,0,(AR762-IF(6=D762,1,0))*VLOOKUP(INDEX('章节与怪物'!$E$31:$K$37,B762,6),'章节与怪物'!$A$41:$F$44,4,FALSE)+IF(6=D762,'难度参数'!$E$30,0))</x:f>
        <x:v>1484</x:v>
      </x:c>
      <x:c r="AV762" s="119" t="n">
        <x:f>IF(7&gt;D762,0,MAX(2,MIN('难度参数'!$E$12,ROUND(('难度参数'!$E$18*POWER(A762,'难度参数'!$E$19)/D762*(0.85+0.3*(7-1)/MAX(1,D762-1))),0)+F762)))</x:f>
        <x:v>55</x:v>
      </x:c>
      <x:c r="AW762" s="119" t="n">
        <x:f>IF(7&gt;D762,0,ROUND(('难度参数'!$E$13*POWER(A762,'难度参数'!$E$20)*MIN('难度参数'!$E$23,1+MAX(0,A762-'难度参数'!$E$21)*'难度参数'!$E$22))*(36+7*7)/(36+7*(D762+1)/2)*E762,0))</x:f>
        <x:v>21189</x:v>
      </x:c>
      <x:c r="AX762" s="119" t="n">
        <x:f>IF(AV762=0,0,(AV762-IF(7=D762,1,0))*ROUND(AW762*VLOOKUP(INDEX('章节与怪物'!$E$31:$K$37,B762,7),'章节与怪物'!$A$41:$F$44,2,FALSE),0)+IF(7=D762,ROUND(AW762*'难度参数'!$E$28*'章节与怪物'!$E$17,0),0))</x:f>
        <x:v>1688755</x:v>
      </x:c>
      <x:c r="AY762" s="119" t="n">
        <x:f>IF(AV762=0,0,(AV762-IF(7=D762,1,0))*VLOOKUP(INDEX('章节与怪物'!$E$31:$K$37,B762,7),'章节与怪物'!$A$41:$F$44,4,FALSE)+IF(7=D762,'难度参数'!$E$30,0))</x:f>
        <x:v>2036</x:v>
      </x:c>
    </x:row>
    <x:row r="763" ht="23" customHeight="1">
      <x:c r="A763" s="119" t="n">
        <x:v>757</x:v>
      </x:c>
      <x:c r="B763" s="119" t="n">
        <x:f>MOD(INT((A763-1)/5),7)+1</x:f>
        <x:v>5</x:v>
      </x:c>
      <x:c r="C763" s="62" t="str">
        <x:f>INDEX('章节与怪物'!$B$31:$B$37,B763)</x:f>
        <x:v>雨林遗迹</x:v>
      </x:c>
      <x:c r="D763" s="119" t="n">
        <x:f>MIN('难度参数'!$E$8,MAX('难度参数'!$E$7,A763))</x:f>
        <x:v>7</x:v>
      </x:c>
      <x:c r="E763" s="106" t="n">
        <x:v>1</x:v>
      </x:c>
      <x:c r="F763" s="106" t="n">
        <x:v>0</x:v>
      </x:c>
      <x:c r="G763" s="106" t="n">
        <x:v>1</x:v>
      </x:c>
      <x:c r="H763" s="119" t="n">
        <x:f>SUM(X763,AB763,AF763,AJ763,AN763,AR763,AV763)</x:f>
        <x:v>336</x:v>
      </x:c>
      <x:c r="I763" s="119" t="n">
        <x:f>SUM(Z763,AD763,AH763,AL763,AP763,AT763,AX763)</x:f>
        <x:v>7054830</x:v>
      </x:c>
      <x:c r="J763" s="119" t="n">
        <x:f>ROUND(INDEX(X763:AY763,1,(D763-1)*4+2)*'难度参数'!$E$28*'章节与怪物'!$E$17,0)</x:f>
        <x:v>144221</x:v>
      </x:c>
      <x:c r="K763" s="119" t="n">
        <x:f>SUM(AA763,AE763,AI763,AM763,AQ763,AU763,AY763)</x:f>
        <x:v>9038</x:v>
      </x:c>
      <x:c r="L763" s="62" t="n">
        <x:f>H763*(ROUNDUP('难度参数'!$E$24/('难度参数'!$E$26*'难度参数'!$E$27),0)*'难度参数'!$E$26)/60</x:f>
        <x:v>4.48</x:v>
      </x:c>
      <x:c r="M763" s="62" t="n">
        <x:f>L763+D763*('难度参数'!$E$49+'难度参数'!$E$50)/60</x:f>
        <x:v>5.646666666666667</x:v>
      </x:c>
      <x:c r="N763" s="119" t="n">
        <x:f>ROUNDDOWN(('经济参数'!$E$20+A763*'经济参数'!$E$21)*G763,0)</x:f>
        <x:v>15320</x:v>
      </x:c>
      <x:c r="O763" s="119" t="n">
        <x:f>ROUNDDOWN(MIN('经济参数'!$E$24,'经济参数'!$E$22+A763*'经济参数'!$E$23)*G763,0)</x:f>
        <x:v>0</x:v>
      </x:c>
      <x:c r="P763" s="119" t="n">
        <x:f>ROUNDDOWN((IF(A763&gt;='材料与任务'!$E$31,'材料与任务'!$E$32,IF(A763&gt;='材料与任务'!$E$25,'材料与任务'!$E$26,IF(A763&gt;='材料与任务'!$E$19,'材料与任务'!$E$20,IF(A763&gt;='材料与任务'!$E$13,'材料与任务'!$E$14,'材料与任务'!$E$8)))))*G763,0)</x:f>
        <x:v>6</x:v>
      </x:c>
      <x:c r="Q763" s="119" t="n">
        <x:f>ROUNDDOWN((IF(A763&gt;='材料与任务'!$E$31,'材料与任务'!$E$33,IF(A763&gt;='材料与任务'!$E$25,'材料与任务'!$E$27,IF(A763&gt;='材料与任务'!$E$19,'材料与任务'!$E$21,IF(A763&gt;='材料与任务'!$E$13,'材料与任务'!$E$15,'材料与任务'!$E$9)))))*G763,0)</x:f>
        <x:v>3</x:v>
      </x:c>
      <x:c r="R763" s="110" t="n">
        <x:f>'装备掉落'!$B$38</x:f>
        <x:v>0.6872058758851213</x:v>
      </x:c>
      <x:c r="S763" s="119" t="n">
        <x:f>MAX(IF(VLOOKUP(A763,'装备掉落'!$A$29:$H$34,2,TRUE)&gt;0,1,0),IF(VLOOKUP(A763,'装备掉落'!$A$29:$H$34,3,TRUE)&gt;0,2,0),IF(VLOOKUP(A763,'装备掉落'!$A$29:$H$34,4,TRUE)&gt;0,3,0),IF(VLOOKUP(A763,'装备掉落'!$A$29:$H$34,5,TRUE)&gt;0,4,0),IF(VLOOKUP(A763,'装备掉落'!$A$29:$H$34,6,TRUE)&gt;0,5,0),IF(VLOOKUP(A763,'装备掉落'!$A$29:$H$34,7,TRUE)&gt;0,6,0),IF(VLOOKUP(A763,'装备掉落'!$A$29:$H$34,8,TRUE)&gt;0,7,0))</x:f>
        <x:v>7</x:v>
      </x:c>
      <x:c r="T763" s="119" t="n">
        <x:f>MIN(7,S763+'经济参数'!$E$70)</x:f>
        <x:v>7</x:v>
      </x:c>
      <x:c r="U763" s="119" t="n">
        <x:f>MIN(7,S763+'经济参数'!$E$71)</x:f>
        <x:v>7</x:v>
      </x:c>
      <x:c r="V763" s="119" t="n">
        <x:f>IF(H763&gt;=('难度参数'!$E$52),1,0)+IF(H763&gt;=('难度参数'!$E$52+'难度参数'!$E$53),1,0)+IF(H763&gt;=('难度参数'!$E$52+'难度参数'!$E$53+'难度参数'!$E$54),1,0)+IF(H763&gt;=('难度参数'!$E$52+'难度参数'!$E$53+'难度参数'!$E$54+'难度参数'!$E$55),1,0)+IF(H763&gt;=('难度参数'!$E$52+'难度参数'!$E$53+'难度参数'!$E$54+'难度参数'!$E$55+'难度参数'!$E$56),1,0)+IF(H763&gt;=('难度参数'!$E$52+'难度参数'!$E$53+'难度参数'!$E$54+'难度参数'!$E$55+'难度参数'!$E$56+'难度参数'!$E$57),1,0)</x:f>
        <x:v>6</x:v>
      </x:c>
      <x:c r="W763" s="62" t="str">
        <x:f>IF(L763&gt;'难度参数'!$E$51,"仅出怪已超目标","还需实测")</x:f>
        <x:v>仅出怪已超目标</x:v>
      </x:c>
      <x:c r="X763" s="119" t="n">
        <x:f>IF(1&gt;D763,0,MAX(2,MIN('难度参数'!$E$12,ROUND(('难度参数'!$E$18*POWER(A763,'难度参数'!$E$19)/D763*(0.85+0.3*(1-1)/MAX(1,D763-1))),0)+F763)))</x:f>
        <x:v>41</x:v>
      </x:c>
      <x:c r="Y763" s="119" t="n">
        <x:f>IF(1&gt;D763,0,ROUND(('难度参数'!$E$13*POWER(A763,'难度参数'!$E$20)*MIN('难度参数'!$E$23,1+MAX(0,A763-'难度参数'!$E$21)*'难度参数'!$E$22))*(36+1*7)/(36+7*(D763+1)/2)*E763,0))</x:f>
        <x:v>10729</x:v>
      </x:c>
      <x:c r="Z763" s="119" t="n">
        <x:f>IF(X763=0,0,(X763-IF(1=D763,1,0))*ROUND(Y763*VLOOKUP(INDEX('章节与怪物'!$E$31:$K$37,B763,1),'章节与怪物'!$A$41:$F$44,2,FALSE),0)+IF(1=D763,ROUND(Y763*'难度参数'!$E$28*'章节与怪物'!$E$17,0),0))</x:f>
        <x:v>439889</x:v>
      </x:c>
      <x:c r="AA763" s="119" t="n">
        <x:f>IF(X763=0,0,(X763-IF(1=D763,1,0))*VLOOKUP(INDEX('章节与怪物'!$E$31:$K$37,B763,1),'章节与怪物'!$A$41:$F$44,4,FALSE)+IF(1=D763,'难度参数'!$E$30,0))</x:f>
        <x:v>738</x:v>
      </x:c>
      <x:c r="AB763" s="119" t="n">
        <x:f>IF(2&gt;D763,0,MAX(2,MIN('难度参数'!$E$12,ROUND(('难度参数'!$E$18*POWER(A763,'难度参数'!$E$19)/D763*(0.85+0.3*(2-1)/MAX(1,D763-1))),0)+F763)))</x:f>
        <x:v>43</x:v>
      </x:c>
      <x:c r="AC763" s="119" t="n">
        <x:f>IF(2&gt;D763,0,ROUND(('难度参数'!$E$13*POWER(A763,'难度参数'!$E$20)*MIN('难度参数'!$E$23,1+MAX(0,A763-'难度参数'!$E$21)*'难度参数'!$E$22))*(36+2*7)/(36+7*(D763+1)/2)*E763,0))</x:f>
        <x:v>12476</x:v>
      </x:c>
      <x:c r="AD763" s="119" t="n">
        <x:f>IF(AB763=0,0,(AB763-IF(2=D763,1,0))*ROUND(AC763*VLOOKUP(INDEX('章节与怪物'!$E$31:$K$37,B763,2),'章节与怪物'!$A$41:$F$44,2,FALSE),0)+IF(2=D763,ROUND(AC763*'难度参数'!$E$28*'章节与怪物'!$E$17,0),0))</x:f>
        <x:v>386269</x:v>
      </x:c>
      <x:c r="AE763" s="119" t="n">
        <x:f>IF(AB763=0,0,(AB763-IF(2=D763,1,0))*VLOOKUP(INDEX('章节与怪物'!$E$31:$K$37,B763,2),'章节与怪物'!$A$41:$F$44,4,FALSE)+IF(2=D763,'难度参数'!$E$30,0))</x:f>
        <x:v>860</x:v>
      </x:c>
      <x:c r="AF763" s="119" t="n">
        <x:f>IF(3&gt;D763,0,MAX(2,MIN('难度参数'!$E$12,ROUND(('难度参数'!$E$18*POWER(A763,'难度参数'!$E$19)/D763*(0.85+0.3*(3-1)/MAX(1,D763-1))),0)+F763)))</x:f>
        <x:v>46</x:v>
      </x:c>
      <x:c r="AG763" s="119" t="n">
        <x:f>IF(3&gt;D763,0,ROUND(('难度参数'!$E$13*POWER(A763,'难度参数'!$E$20)*MIN('难度参数'!$E$23,1+MAX(0,A763-'难度参数'!$E$21)*'难度参数'!$E$22))*(36+3*7)/(36+7*(D763+1)/2)*E763,0))</x:f>
        <x:v>14223</x:v>
      </x:c>
      <x:c r="AH763" s="119" t="n">
        <x:f>IF(AF763=0,0,(AF763-IF(3=D763,1,0))*ROUND(AG763*VLOOKUP(INDEX('章节与怪物'!$E$31:$K$37,B763,3),'章节与怪物'!$A$41:$F$44,2,FALSE),0)+IF(3=D763,ROUND(AG763*'难度参数'!$E$28*'章节与怪物'!$E$17,0),0))</x:f>
        <x:v>1112234</x:v>
      </x:c>
      <x:c r="AI763" s="119" t="n">
        <x:f>IF(AF763=0,0,(AF763-IF(3=D763,1,0))*VLOOKUP(INDEX('章节与怪物'!$E$31:$K$37,B763,3),'章节与怪物'!$A$41:$F$44,4,FALSE)+IF(3=D763,'难度参数'!$E$30,0))</x:f>
        <x:v>1288</x:v>
      </x:c>
      <x:c r="AJ763" s="119" t="n">
        <x:f>IF(4&gt;D763,0,MAX(2,MIN('难度参数'!$E$12,ROUND(('难度参数'!$E$18*POWER(A763,'难度参数'!$E$19)/D763*(0.85+0.3*(4-1)/MAX(1,D763-1))),0)+F763)))</x:f>
        <x:v>48</x:v>
      </x:c>
      <x:c r="AK763" s="119" t="n">
        <x:f>IF(4&gt;D763,0,ROUND(('难度参数'!$E$13*POWER(A763,'难度参数'!$E$20)*MIN('难度参数'!$E$23,1+MAX(0,A763-'难度参数'!$E$21)*'难度参数'!$E$22))*(36+4*7)/(36+7*(D763+1)/2)*E763,0))</x:f>
        <x:v>15969</x:v>
      </x:c>
      <x:c r="AL763" s="119" t="n">
        <x:f>IF(AJ763=0,0,(AJ763-IF(4=D763,1,0))*ROUND(AK763*VLOOKUP(INDEX('章节与怪物'!$E$31:$K$37,B763,4),'章节与怪物'!$A$41:$F$44,2,FALSE),0)+IF(4=D763,ROUND(AK763*'难度参数'!$E$28*'章节与怪物'!$E$17,0),0))</x:f>
        <x:v>1034784</x:v>
      </x:c>
      <x:c r="AM763" s="119" t="n">
        <x:f>IF(AJ763=0,0,(AJ763-IF(4=D763,1,0))*VLOOKUP(INDEX('章节与怪物'!$E$31:$K$37,B763,4),'章节与怪物'!$A$41:$F$44,4,FALSE)+IF(4=D763,'难度参数'!$E$30,0))</x:f>
        <x:v>1632</x:v>
      </x:c>
      <x:c r="AN763" s="119" t="n">
        <x:f>IF(5&gt;D763,0,MAX(2,MIN('难度参数'!$E$12,ROUND(('难度参数'!$E$18*POWER(A763,'难度参数'!$E$19)/D763*(0.85+0.3*(5-1)/MAX(1,D763-1))),0)+F763)))</x:f>
        <x:v>50</x:v>
      </x:c>
      <x:c r="AO763" s="119" t="n">
        <x:f>IF(5&gt;D763,0,ROUND(('难度参数'!$E$13*POWER(A763,'难度参数'!$E$20)*MIN('难度参数'!$E$23,1+MAX(0,A763-'难度参数'!$E$21)*'难度参数'!$E$22))*(36+5*7)/(36+7*(D763+1)/2)*E763,0))</x:f>
        <x:v>17716</x:v>
      </x:c>
      <x:c r="AP763" s="119" t="n">
        <x:f>IF(AN763=0,0,(AN763-IF(5=D763,1,0))*ROUND(AO763*VLOOKUP(INDEX('章节与怪物'!$E$31:$K$37,B763,5),'章节与怪物'!$A$41:$F$44,2,FALSE),0)+IF(5=D763,ROUND(AO763*'难度参数'!$E$28*'章节与怪物'!$E$17,0),0))</x:f>
        <x:v>637800</x:v>
      </x:c>
      <x:c r="AQ763" s="119" t="n">
        <x:f>IF(AN763=0,0,(AN763-IF(5=D763,1,0))*VLOOKUP(INDEX('章节与怪物'!$E$31:$K$37,B763,5),'章节与怪物'!$A$41:$F$44,4,FALSE)+IF(5=D763,'难度参数'!$E$30,0))</x:f>
        <x:v>1000</x:v>
      </x:c>
      <x:c r="AR763" s="119" t="n">
        <x:f>IF(6&gt;D763,0,MAX(2,MIN('难度参数'!$E$12,ROUND(('难度参数'!$E$18*POWER(A763,'难度参数'!$E$19)/D763*(0.85+0.3*(6-1)/MAX(1,D763-1))),0)+F763)))</x:f>
        <x:v>53</x:v>
      </x:c>
      <x:c r="AS763" s="119" t="n">
        <x:f>IF(6&gt;D763,0,ROUND(('难度参数'!$E$13*POWER(A763,'难度参数'!$E$20)*MIN('难度参数'!$E$23,1+MAX(0,A763-'难度参数'!$E$21)*'难度参数'!$E$22))*(36+6*7)/(36+7*(D763+1)/2)*E763,0))</x:f>
        <x:v>19462</x:v>
      </x:c>
      <x:c r="AT763" s="119" t="n">
        <x:f>IF(AR763=0,0,(AR763-IF(6=D763,1,0))*ROUND(AS763*VLOOKUP(INDEX('章节与怪物'!$E$31:$K$37,B763,6),'章节与怪物'!$A$41:$F$44,2,FALSE),0)+IF(6=D763,ROUND(AS763*'难度参数'!$E$28*'章节与怪物'!$E$17,0),0))</x:f>
        <x:v>1753505</x:v>
      </x:c>
      <x:c r="AU763" s="119" t="n">
        <x:f>IF(AR763=0,0,(AR763-IF(6=D763,1,0))*VLOOKUP(INDEX('章节与怪物'!$E$31:$K$37,B763,6),'章节与怪物'!$A$41:$F$44,4,FALSE)+IF(6=D763,'难度参数'!$E$30,0))</x:f>
        <x:v>1484</x:v>
      </x:c>
      <x:c r="AV763" s="119" t="n">
        <x:f>IF(7&gt;D763,0,MAX(2,MIN('难度参数'!$E$12,ROUND(('难度参数'!$E$18*POWER(A763,'难度参数'!$E$19)/D763*(0.85+0.3*(7-1)/MAX(1,D763-1))),0)+F763)))</x:f>
        <x:v>55</x:v>
      </x:c>
      <x:c r="AW763" s="119" t="n">
        <x:f>IF(7&gt;D763,0,ROUND(('难度参数'!$E$13*POWER(A763,'难度参数'!$E$20)*MIN('难度参数'!$E$23,1+MAX(0,A763-'难度参数'!$E$21)*'难度参数'!$E$22))*(36+7*7)/(36+7*(D763+1)/2)*E763,0))</x:f>
        <x:v>21209</x:v>
      </x:c>
      <x:c r="AX763" s="119" t="n">
        <x:f>IF(AV763=0,0,(AV763-IF(7=D763,1,0))*ROUND(AW763*VLOOKUP(INDEX('章节与怪物'!$E$31:$K$37,B763,7),'章节与怪物'!$A$41:$F$44,2,FALSE),0)+IF(7=D763,ROUND(AW763*'难度参数'!$E$28*'章节与怪物'!$E$17,0),0))</x:f>
        <x:v>1690349</x:v>
      </x:c>
      <x:c r="AY763" s="119" t="n">
        <x:f>IF(AV763=0,0,(AV763-IF(7=D763,1,0))*VLOOKUP(INDEX('章节与怪物'!$E$31:$K$37,B763,7),'章节与怪物'!$A$41:$F$44,4,FALSE)+IF(7=D763,'难度参数'!$E$30,0))</x:f>
        <x:v>2036</x:v>
      </x:c>
    </x:row>
    <x:row r="764" ht="23" customHeight="1">
      <x:c r="A764" s="119" t="n">
        <x:v>758</x:v>
      </x:c>
      <x:c r="B764" s="119" t="n">
        <x:f>MOD(INT((A764-1)/5),7)+1</x:f>
        <x:v>5</x:v>
      </x:c>
      <x:c r="C764" s="62" t="str">
        <x:f>INDEX('章节与怪物'!$B$31:$B$37,B764)</x:f>
        <x:v>雨林遗迹</x:v>
      </x:c>
      <x:c r="D764" s="119" t="n">
        <x:f>MIN('难度参数'!$E$8,MAX('难度参数'!$E$7,A764))</x:f>
        <x:v>7</x:v>
      </x:c>
      <x:c r="E764" s="106" t="n">
        <x:v>1</x:v>
      </x:c>
      <x:c r="F764" s="106" t="n">
        <x:v>0</x:v>
      </x:c>
      <x:c r="G764" s="106" t="n">
        <x:v>1</x:v>
      </x:c>
      <x:c r="H764" s="119" t="n">
        <x:f>SUM(X764,AB764,AF764,AJ764,AN764,AR764,AV764)</x:f>
        <x:v>336</x:v>
      </x:c>
      <x:c r="I764" s="119" t="n">
        <x:f>SUM(Z764,AD764,AH764,AL764,AP764,AT764,AX764)</x:f>
        <x:v>7061540</x:v>
      </x:c>
      <x:c r="J764" s="119" t="n">
        <x:f>ROUND(INDEX(X764:AY764,1,(D764-1)*4+2)*'难度参数'!$E$28*'章节与怪物'!$E$17,0)</x:f>
        <x:v>144357</x:v>
      </x:c>
      <x:c r="K764" s="119" t="n">
        <x:f>SUM(AA764,AE764,AI764,AM764,AQ764,AU764,AY764)</x:f>
        <x:v>9038</x:v>
      </x:c>
      <x:c r="L764" s="62" t="n">
        <x:f>H764*(ROUNDUP('难度参数'!$E$24/('难度参数'!$E$26*'难度参数'!$E$27),0)*'难度参数'!$E$26)/60</x:f>
        <x:v>4.48</x:v>
      </x:c>
      <x:c r="M764" s="62" t="n">
        <x:f>L764+D764*('难度参数'!$E$49+'难度参数'!$E$50)/60</x:f>
        <x:v>5.646666666666667</x:v>
      </x:c>
      <x:c r="N764" s="119" t="n">
        <x:f>ROUNDDOWN(('经济参数'!$E$20+A764*'经济参数'!$E$21)*G764,0)</x:f>
        <x:v>15340</x:v>
      </x:c>
      <x:c r="O764" s="119" t="n">
        <x:f>ROUNDDOWN(MIN('经济参数'!$E$24,'经济参数'!$E$22+A764*'经济参数'!$E$23)*G764,0)</x:f>
        <x:v>0</x:v>
      </x:c>
      <x:c r="P764" s="119" t="n">
        <x:f>ROUNDDOWN((IF(A764&gt;='材料与任务'!$E$31,'材料与任务'!$E$32,IF(A764&gt;='材料与任务'!$E$25,'材料与任务'!$E$26,IF(A764&gt;='材料与任务'!$E$19,'材料与任务'!$E$20,IF(A764&gt;='材料与任务'!$E$13,'材料与任务'!$E$14,'材料与任务'!$E$8)))))*G764,0)</x:f>
        <x:v>6</x:v>
      </x:c>
      <x:c r="Q764" s="119" t="n">
        <x:f>ROUNDDOWN((IF(A764&gt;='材料与任务'!$E$31,'材料与任务'!$E$33,IF(A764&gt;='材料与任务'!$E$25,'材料与任务'!$E$27,IF(A764&gt;='材料与任务'!$E$19,'材料与任务'!$E$21,IF(A764&gt;='材料与任务'!$E$13,'材料与任务'!$E$15,'材料与任务'!$E$9)))))*G764,0)</x:f>
        <x:v>3</x:v>
      </x:c>
      <x:c r="R764" s="110" t="n">
        <x:f>'装备掉落'!$B$38</x:f>
        <x:v>0.6872058758851213</x:v>
      </x:c>
      <x:c r="S764" s="119" t="n">
        <x:f>MAX(IF(VLOOKUP(A764,'装备掉落'!$A$29:$H$34,2,TRUE)&gt;0,1,0),IF(VLOOKUP(A764,'装备掉落'!$A$29:$H$34,3,TRUE)&gt;0,2,0),IF(VLOOKUP(A764,'装备掉落'!$A$29:$H$34,4,TRUE)&gt;0,3,0),IF(VLOOKUP(A764,'装备掉落'!$A$29:$H$34,5,TRUE)&gt;0,4,0),IF(VLOOKUP(A764,'装备掉落'!$A$29:$H$34,6,TRUE)&gt;0,5,0),IF(VLOOKUP(A764,'装备掉落'!$A$29:$H$34,7,TRUE)&gt;0,6,0),IF(VLOOKUP(A764,'装备掉落'!$A$29:$H$34,8,TRUE)&gt;0,7,0))</x:f>
        <x:v>7</x:v>
      </x:c>
      <x:c r="T764" s="119" t="n">
        <x:f>MIN(7,S764+'经济参数'!$E$70)</x:f>
        <x:v>7</x:v>
      </x:c>
      <x:c r="U764" s="119" t="n">
        <x:f>MIN(7,S764+'经济参数'!$E$71)</x:f>
        <x:v>7</x:v>
      </x:c>
      <x:c r="V764" s="119" t="n">
        <x:f>IF(H764&gt;=('难度参数'!$E$52),1,0)+IF(H764&gt;=('难度参数'!$E$52+'难度参数'!$E$53),1,0)+IF(H764&gt;=('难度参数'!$E$52+'难度参数'!$E$53+'难度参数'!$E$54),1,0)+IF(H764&gt;=('难度参数'!$E$52+'难度参数'!$E$53+'难度参数'!$E$54+'难度参数'!$E$55),1,0)+IF(H764&gt;=('难度参数'!$E$52+'难度参数'!$E$53+'难度参数'!$E$54+'难度参数'!$E$55+'难度参数'!$E$56),1,0)+IF(H764&gt;=('难度参数'!$E$52+'难度参数'!$E$53+'难度参数'!$E$54+'难度参数'!$E$55+'难度参数'!$E$56+'难度参数'!$E$57),1,0)</x:f>
        <x:v>6</x:v>
      </x:c>
      <x:c r="W764" s="62" t="str">
        <x:f>IF(L764&gt;'难度参数'!$E$51,"仅出怪已超目标","还需实测")</x:f>
        <x:v>仅出怪已超目标</x:v>
      </x:c>
      <x:c r="X764" s="119" t="n">
        <x:f>IF(1&gt;D764,0,MAX(2,MIN('难度参数'!$E$12,ROUND(('难度参数'!$E$18*POWER(A764,'难度参数'!$E$19)/D764*(0.85+0.3*(1-1)/MAX(1,D764-1))),0)+F764)))</x:f>
        <x:v>41</x:v>
      </x:c>
      <x:c r="Y764" s="119" t="n">
        <x:f>IF(1&gt;D764,0,ROUND(('难度参数'!$E$13*POWER(A764,'难度参数'!$E$20)*MIN('难度参数'!$E$23,1+MAX(0,A764-'难度参数'!$E$21)*'难度参数'!$E$22))*(36+1*7)/(36+7*(D764+1)/2)*E764,0))</x:f>
        <x:v>10740</x:v>
      </x:c>
      <x:c r="Z764" s="119" t="n">
        <x:f>IF(X764=0,0,(X764-IF(1=D764,1,0))*ROUND(Y764*VLOOKUP(INDEX('章节与怪物'!$E$31:$K$37,B764,1),'章节与怪物'!$A$41:$F$44,2,FALSE),0)+IF(1=D764,ROUND(Y764*'难度参数'!$E$28*'章节与怪物'!$E$17,0),0))</x:f>
        <x:v>440340</x:v>
      </x:c>
      <x:c r="AA764" s="119" t="n">
        <x:f>IF(X764=0,0,(X764-IF(1=D764,1,0))*VLOOKUP(INDEX('章节与怪物'!$E$31:$K$37,B764,1),'章节与怪物'!$A$41:$F$44,4,FALSE)+IF(1=D764,'难度参数'!$E$30,0))</x:f>
        <x:v>738</x:v>
      </x:c>
      <x:c r="AB764" s="119" t="n">
        <x:f>IF(2&gt;D764,0,MAX(2,MIN('难度参数'!$E$12,ROUND(('难度参数'!$E$18*POWER(A764,'难度参数'!$E$19)/D764*(0.85+0.3*(2-1)/MAX(1,D764-1))),0)+F764)))</x:f>
        <x:v>43</x:v>
      </x:c>
      <x:c r="AC764" s="119" t="n">
        <x:f>IF(2&gt;D764,0,ROUND(('难度参数'!$E$13*POWER(A764,'难度参数'!$E$20)*MIN('难度参数'!$E$23,1+MAX(0,A764-'难度参数'!$E$21)*'难度参数'!$E$22))*(36+2*7)/(36+7*(D764+1)/2)*E764,0))</x:f>
        <x:v>12488</x:v>
      </x:c>
      <x:c r="AD764" s="119" t="n">
        <x:f>IF(AB764=0,0,(AB764-IF(2=D764,1,0))*ROUND(AC764*VLOOKUP(INDEX('章节与怪物'!$E$31:$K$37,B764,2),'章节与怪物'!$A$41:$F$44,2,FALSE),0)+IF(2=D764,ROUND(AC764*'难度参数'!$E$28*'章节与怪物'!$E$17,0),0))</x:f>
        <x:v>386613</x:v>
      </x:c>
      <x:c r="AE764" s="119" t="n">
        <x:f>IF(AB764=0,0,(AB764-IF(2=D764,1,0))*VLOOKUP(INDEX('章节与怪物'!$E$31:$K$37,B764,2),'章节与怪物'!$A$41:$F$44,4,FALSE)+IF(2=D764,'难度参数'!$E$30,0))</x:f>
        <x:v>860</x:v>
      </x:c>
      <x:c r="AF764" s="119" t="n">
        <x:f>IF(3&gt;D764,0,MAX(2,MIN('难度参数'!$E$12,ROUND(('难度参数'!$E$18*POWER(A764,'难度参数'!$E$19)/D764*(0.85+0.3*(3-1)/MAX(1,D764-1))),0)+F764)))</x:f>
        <x:v>46</x:v>
      </x:c>
      <x:c r="AG764" s="119" t="n">
        <x:f>IF(3&gt;D764,0,ROUND(('难度参数'!$E$13*POWER(A764,'难度参数'!$E$20)*MIN('难度参数'!$E$23,1+MAX(0,A764-'难度参数'!$E$21)*'难度参数'!$E$22))*(36+3*7)/(36+7*(D764+1)/2)*E764,0))</x:f>
        <x:v>14236</x:v>
      </x:c>
      <x:c r="AH764" s="119" t="n">
        <x:f>IF(AF764=0,0,(AF764-IF(3=D764,1,0))*ROUND(AG764*VLOOKUP(INDEX('章节与怪物'!$E$31:$K$37,B764,3),'章节与怪物'!$A$41:$F$44,2,FALSE),0)+IF(3=D764,ROUND(AG764*'难度参数'!$E$28*'章节与怪物'!$E$17,0),0))</x:f>
        <x:v>1113246</x:v>
      </x:c>
      <x:c r="AI764" s="119" t="n">
        <x:f>IF(AF764=0,0,(AF764-IF(3=D764,1,0))*VLOOKUP(INDEX('章节与怪物'!$E$31:$K$37,B764,3),'章节与怪物'!$A$41:$F$44,4,FALSE)+IF(3=D764,'难度参数'!$E$30,0))</x:f>
        <x:v>1288</x:v>
      </x:c>
      <x:c r="AJ764" s="119" t="n">
        <x:f>IF(4&gt;D764,0,MAX(2,MIN('难度参数'!$E$12,ROUND(('难度参数'!$E$18*POWER(A764,'难度参数'!$E$19)/D764*(0.85+0.3*(4-1)/MAX(1,D764-1))),0)+F764)))</x:f>
        <x:v>48</x:v>
      </x:c>
      <x:c r="AK764" s="119" t="n">
        <x:f>IF(4&gt;D764,0,ROUND(('难度参数'!$E$13*POWER(A764,'难度参数'!$E$20)*MIN('难度参数'!$E$23,1+MAX(0,A764-'难度参数'!$E$21)*'难度参数'!$E$22))*(36+4*7)/(36+7*(D764+1)/2)*E764,0))</x:f>
        <x:v>15984</x:v>
      </x:c>
      <x:c r="AL764" s="119" t="n">
        <x:f>IF(AJ764=0,0,(AJ764-IF(4=D764,1,0))*ROUND(AK764*VLOOKUP(INDEX('章节与怪物'!$E$31:$K$37,B764,4),'章节与怪物'!$A$41:$F$44,2,FALSE),0)+IF(4=D764,ROUND(AK764*'难度参数'!$E$28*'章节与怪物'!$E$17,0),0))</x:f>
        <x:v>1035744</x:v>
      </x:c>
      <x:c r="AM764" s="119" t="n">
        <x:f>IF(AJ764=0,0,(AJ764-IF(4=D764,1,0))*VLOOKUP(INDEX('章节与怪物'!$E$31:$K$37,B764,4),'章节与怪物'!$A$41:$F$44,4,FALSE)+IF(4=D764,'难度参数'!$E$30,0))</x:f>
        <x:v>1632</x:v>
      </x:c>
      <x:c r="AN764" s="119" t="n">
        <x:f>IF(5&gt;D764,0,MAX(2,MIN('难度参数'!$E$12,ROUND(('难度参数'!$E$18*POWER(A764,'难度参数'!$E$19)/D764*(0.85+0.3*(5-1)/MAX(1,D764-1))),0)+F764)))</x:f>
        <x:v>50</x:v>
      </x:c>
      <x:c r="AO764" s="119" t="n">
        <x:f>IF(5&gt;D764,0,ROUND(('难度参数'!$E$13*POWER(A764,'难度参数'!$E$20)*MIN('难度参数'!$E$23,1+MAX(0,A764-'难度参数'!$E$21)*'难度参数'!$E$22))*(36+5*7)/(36+7*(D764+1)/2)*E764,0))</x:f>
        <x:v>17733</x:v>
      </x:c>
      <x:c r="AP764" s="119" t="n">
        <x:f>IF(AN764=0,0,(AN764-IF(5=D764,1,0))*ROUND(AO764*VLOOKUP(INDEX('章节与怪物'!$E$31:$K$37,B764,5),'章节与怪物'!$A$41:$F$44,2,FALSE),0)+IF(5=D764,ROUND(AO764*'难度参数'!$E$28*'章节与怪物'!$E$17,0),0))</x:f>
        <x:v>638400</x:v>
      </x:c>
      <x:c r="AQ764" s="119" t="n">
        <x:f>IF(AN764=0,0,(AN764-IF(5=D764,1,0))*VLOOKUP(INDEX('章节与怪物'!$E$31:$K$37,B764,5),'章节与怪物'!$A$41:$F$44,4,FALSE)+IF(5=D764,'难度参数'!$E$30,0))</x:f>
        <x:v>1000</x:v>
      </x:c>
      <x:c r="AR764" s="119" t="n">
        <x:f>IF(6&gt;D764,0,MAX(2,MIN('难度参数'!$E$12,ROUND(('难度参数'!$E$18*POWER(A764,'难度参数'!$E$19)/D764*(0.85+0.3*(6-1)/MAX(1,D764-1))),0)+F764)))</x:f>
        <x:v>53</x:v>
      </x:c>
      <x:c r="AS764" s="119" t="n">
        <x:f>IF(6&gt;D764,0,ROUND(('难度参数'!$E$13*POWER(A764,'难度参数'!$E$20)*MIN('难度参数'!$E$23,1+MAX(0,A764-'难度参数'!$E$21)*'难度参数'!$E$22))*(36+6*7)/(36+7*(D764+1)/2)*E764,0))</x:f>
        <x:v>19481</x:v>
      </x:c>
      <x:c r="AT764" s="119" t="n">
        <x:f>IF(AR764=0,0,(AR764-IF(6=D764,1,0))*ROUND(AS764*VLOOKUP(INDEX('章节与怪物'!$E$31:$K$37,B764,6),'章节与怪物'!$A$41:$F$44,2,FALSE),0)+IF(6=D764,ROUND(AS764*'难度参数'!$E$28*'章节与怪物'!$E$17,0),0))</x:f>
        <x:v>1755254</x:v>
      </x:c>
      <x:c r="AU764" s="119" t="n">
        <x:f>IF(AR764=0,0,(AR764-IF(6=D764,1,0))*VLOOKUP(INDEX('章节与怪物'!$E$31:$K$37,B764,6),'章节与怪物'!$A$41:$F$44,4,FALSE)+IF(6=D764,'难度参数'!$E$30,0))</x:f>
        <x:v>1484</x:v>
      </x:c>
      <x:c r="AV764" s="119" t="n">
        <x:f>IF(7&gt;D764,0,MAX(2,MIN('难度参数'!$E$12,ROUND(('难度参数'!$E$18*POWER(A764,'难度参数'!$E$19)/D764*(0.85+0.3*(7-1)/MAX(1,D764-1))),0)+F764)))</x:f>
        <x:v>55</x:v>
      </x:c>
      <x:c r="AW764" s="119" t="n">
        <x:f>IF(7&gt;D764,0,ROUND(('难度参数'!$E$13*POWER(A764,'难度参数'!$E$20)*MIN('难度参数'!$E$23,1+MAX(0,A764-'难度参数'!$E$21)*'难度参数'!$E$22))*(36+7*7)/(36+7*(D764+1)/2)*E764,0))</x:f>
        <x:v>21229</x:v>
      </x:c>
      <x:c r="AX764" s="119" t="n">
        <x:f>IF(AV764=0,0,(AV764-IF(7=D764,1,0))*ROUND(AW764*VLOOKUP(INDEX('章节与怪物'!$E$31:$K$37,B764,7),'章节与怪物'!$A$41:$F$44,2,FALSE),0)+IF(7=D764,ROUND(AW764*'难度参数'!$E$28*'章节与怪物'!$E$17,0),0))</x:f>
        <x:v>1691943</x:v>
      </x:c>
      <x:c r="AY764" s="119" t="n">
        <x:f>IF(AV764=0,0,(AV764-IF(7=D764,1,0))*VLOOKUP(INDEX('章节与怪物'!$E$31:$K$37,B764,7),'章节与怪物'!$A$41:$F$44,4,FALSE)+IF(7=D764,'难度参数'!$E$30,0))</x:f>
        <x:v>2036</x:v>
      </x:c>
    </x:row>
    <x:row r="765" ht="23" customHeight="1">
      <x:c r="A765" s="119" t="n">
        <x:v>759</x:v>
      </x:c>
      <x:c r="B765" s="119" t="n">
        <x:f>MOD(INT((A765-1)/5),7)+1</x:f>
        <x:v>5</x:v>
      </x:c>
      <x:c r="C765" s="62" t="str">
        <x:f>INDEX('章节与怪物'!$B$31:$B$37,B765)</x:f>
        <x:v>雨林遗迹</x:v>
      </x:c>
      <x:c r="D765" s="119" t="n">
        <x:f>MIN('难度参数'!$E$8,MAX('难度参数'!$E$7,A765))</x:f>
        <x:v>7</x:v>
      </x:c>
      <x:c r="E765" s="106" t="n">
        <x:v>1</x:v>
      </x:c>
      <x:c r="F765" s="106" t="n">
        <x:v>0</x:v>
      </x:c>
      <x:c r="G765" s="106" t="n">
        <x:v>1</x:v>
      </x:c>
      <x:c r="H765" s="119" t="n">
        <x:f>SUM(X765,AB765,AF765,AJ765,AN765,AR765,AV765)</x:f>
        <x:v>336</x:v>
      </x:c>
      <x:c r="I765" s="119" t="n">
        <x:f>SUM(Z765,AD765,AH765,AL765,AP765,AT765,AX765)</x:f>
        <x:v>7068281</x:v>
      </x:c>
      <x:c r="J765" s="119" t="n">
        <x:f>ROUND(INDEX(X765:AY765,1,(D765-1)*4+2)*'难度参数'!$E$28*'章节与怪物'!$E$17,0)</x:f>
        <x:v>144493</x:v>
      </x:c>
      <x:c r="K765" s="119" t="n">
        <x:f>SUM(AA765,AE765,AI765,AM765,AQ765,AU765,AY765)</x:f>
        <x:v>9038</x:v>
      </x:c>
      <x:c r="L765" s="62" t="n">
        <x:f>H765*(ROUNDUP('难度参数'!$E$24/('难度参数'!$E$26*'难度参数'!$E$27),0)*'难度参数'!$E$26)/60</x:f>
        <x:v>4.48</x:v>
      </x:c>
      <x:c r="M765" s="62" t="n">
        <x:f>L765+D765*('难度参数'!$E$49+'难度参数'!$E$50)/60</x:f>
        <x:v>5.646666666666667</x:v>
      </x:c>
      <x:c r="N765" s="119" t="n">
        <x:f>ROUNDDOWN(('经济参数'!$E$20+A765*'经济参数'!$E$21)*G765,0)</x:f>
        <x:v>15360</x:v>
      </x:c>
      <x:c r="O765" s="119" t="n">
        <x:f>ROUNDDOWN(MIN('经济参数'!$E$24,'经济参数'!$E$22+A765*'经济参数'!$E$23)*G765,0)</x:f>
        <x:v>0</x:v>
      </x:c>
      <x:c r="P765" s="119" t="n">
        <x:f>ROUNDDOWN((IF(A765&gt;='材料与任务'!$E$31,'材料与任务'!$E$32,IF(A765&gt;='材料与任务'!$E$25,'材料与任务'!$E$26,IF(A765&gt;='材料与任务'!$E$19,'材料与任务'!$E$20,IF(A765&gt;='材料与任务'!$E$13,'材料与任务'!$E$14,'材料与任务'!$E$8)))))*G765,0)</x:f>
        <x:v>6</x:v>
      </x:c>
      <x:c r="Q765" s="119" t="n">
        <x:f>ROUNDDOWN((IF(A765&gt;='材料与任务'!$E$31,'材料与任务'!$E$33,IF(A765&gt;='材料与任务'!$E$25,'材料与任务'!$E$27,IF(A765&gt;='材料与任务'!$E$19,'材料与任务'!$E$21,IF(A765&gt;='材料与任务'!$E$13,'材料与任务'!$E$15,'材料与任务'!$E$9)))))*G765,0)</x:f>
        <x:v>3</x:v>
      </x:c>
      <x:c r="R765" s="110" t="n">
        <x:f>'装备掉落'!$B$38</x:f>
        <x:v>0.6872058758851213</x:v>
      </x:c>
      <x:c r="S765" s="119" t="n">
        <x:f>MAX(IF(VLOOKUP(A765,'装备掉落'!$A$29:$H$34,2,TRUE)&gt;0,1,0),IF(VLOOKUP(A765,'装备掉落'!$A$29:$H$34,3,TRUE)&gt;0,2,0),IF(VLOOKUP(A765,'装备掉落'!$A$29:$H$34,4,TRUE)&gt;0,3,0),IF(VLOOKUP(A765,'装备掉落'!$A$29:$H$34,5,TRUE)&gt;0,4,0),IF(VLOOKUP(A765,'装备掉落'!$A$29:$H$34,6,TRUE)&gt;0,5,0),IF(VLOOKUP(A765,'装备掉落'!$A$29:$H$34,7,TRUE)&gt;0,6,0),IF(VLOOKUP(A765,'装备掉落'!$A$29:$H$34,8,TRUE)&gt;0,7,0))</x:f>
        <x:v>7</x:v>
      </x:c>
      <x:c r="T765" s="119" t="n">
        <x:f>MIN(7,S765+'经济参数'!$E$70)</x:f>
        <x:v>7</x:v>
      </x:c>
      <x:c r="U765" s="119" t="n">
        <x:f>MIN(7,S765+'经济参数'!$E$71)</x:f>
        <x:v>7</x:v>
      </x:c>
      <x:c r="V765" s="119" t="n">
        <x:f>IF(H765&gt;=('难度参数'!$E$52),1,0)+IF(H765&gt;=('难度参数'!$E$52+'难度参数'!$E$53),1,0)+IF(H765&gt;=('难度参数'!$E$52+'难度参数'!$E$53+'难度参数'!$E$54),1,0)+IF(H765&gt;=('难度参数'!$E$52+'难度参数'!$E$53+'难度参数'!$E$54+'难度参数'!$E$55),1,0)+IF(H765&gt;=('难度参数'!$E$52+'难度参数'!$E$53+'难度参数'!$E$54+'难度参数'!$E$55+'难度参数'!$E$56),1,0)+IF(H765&gt;=('难度参数'!$E$52+'难度参数'!$E$53+'难度参数'!$E$54+'难度参数'!$E$55+'难度参数'!$E$56+'难度参数'!$E$57),1,0)</x:f>
        <x:v>6</x:v>
      </x:c>
      <x:c r="W765" s="62" t="str">
        <x:f>IF(L765&gt;'难度参数'!$E$51,"仅出怪已超目标","还需实测")</x:f>
        <x:v>仅出怪已超目标</x:v>
      </x:c>
      <x:c r="X765" s="119" t="n">
        <x:f>IF(1&gt;D765,0,MAX(2,MIN('难度参数'!$E$12,ROUND(('难度参数'!$E$18*POWER(A765,'难度参数'!$E$19)/D765*(0.85+0.3*(1-1)/MAX(1,D765-1))),0)+F765)))</x:f>
        <x:v>41</x:v>
      </x:c>
      <x:c r="Y765" s="119" t="n">
        <x:f>IF(1&gt;D765,0,ROUND(('难度参数'!$E$13*POWER(A765,'难度参数'!$E$20)*MIN('难度参数'!$E$23,1+MAX(0,A765-'难度参数'!$E$21)*'难度参数'!$E$22))*(36+1*7)/(36+7*(D765+1)/2)*E765,0))</x:f>
        <x:v>10750</x:v>
      </x:c>
      <x:c r="Z765" s="119" t="n">
        <x:f>IF(X765=0,0,(X765-IF(1=D765,1,0))*ROUND(Y765*VLOOKUP(INDEX('章节与怪物'!$E$31:$K$37,B765,1),'章节与怪物'!$A$41:$F$44,2,FALSE),0)+IF(1=D765,ROUND(Y765*'难度参数'!$E$28*'章节与怪物'!$E$17,0),0))</x:f>
        <x:v>440750</x:v>
      </x:c>
      <x:c r="AA765" s="119" t="n">
        <x:f>IF(X765=0,0,(X765-IF(1=D765,1,0))*VLOOKUP(INDEX('章节与怪物'!$E$31:$K$37,B765,1),'章节与怪物'!$A$41:$F$44,4,FALSE)+IF(1=D765,'难度参数'!$E$30,0))</x:f>
        <x:v>738</x:v>
      </x:c>
      <x:c r="AB765" s="119" t="n">
        <x:f>IF(2&gt;D765,0,MAX(2,MIN('难度参数'!$E$12,ROUND(('难度参数'!$E$18*POWER(A765,'难度参数'!$E$19)/D765*(0.85+0.3*(2-1)/MAX(1,D765-1))),0)+F765)))</x:f>
        <x:v>43</x:v>
      </x:c>
      <x:c r="AC765" s="119" t="n">
        <x:f>IF(2&gt;D765,0,ROUND(('难度参数'!$E$13*POWER(A765,'难度参数'!$E$20)*MIN('难度参数'!$E$23,1+MAX(0,A765-'难度参数'!$E$21)*'难度参数'!$E$22))*(36+2*7)/(36+7*(D765+1)/2)*E765,0))</x:f>
        <x:v>12500</x:v>
      </x:c>
      <x:c r="AD765" s="119" t="n">
        <x:f>IF(AB765=0,0,(AB765-IF(2=D765,1,0))*ROUND(AC765*VLOOKUP(INDEX('章节与怪物'!$E$31:$K$37,B765,2),'章节与怪物'!$A$41:$F$44,2,FALSE),0)+IF(2=D765,ROUND(AC765*'难度参数'!$E$28*'章节与怪物'!$E$17,0),0))</x:f>
        <x:v>387000</x:v>
      </x:c>
      <x:c r="AE765" s="119" t="n">
        <x:f>IF(AB765=0,0,(AB765-IF(2=D765,1,0))*VLOOKUP(INDEX('章节与怪物'!$E$31:$K$37,B765,2),'章节与怪物'!$A$41:$F$44,4,FALSE)+IF(2=D765,'难度参数'!$E$30,0))</x:f>
        <x:v>860</x:v>
      </x:c>
      <x:c r="AF765" s="119" t="n">
        <x:f>IF(3&gt;D765,0,MAX(2,MIN('难度参数'!$E$12,ROUND(('难度参数'!$E$18*POWER(A765,'难度参数'!$E$19)/D765*(0.85+0.3*(3-1)/MAX(1,D765-1))),0)+F765)))</x:f>
        <x:v>46</x:v>
      </x:c>
      <x:c r="AG765" s="119" t="n">
        <x:f>IF(3&gt;D765,0,ROUND(('难度参数'!$E$13*POWER(A765,'难度参数'!$E$20)*MIN('难度参数'!$E$23,1+MAX(0,A765-'难度参数'!$E$21)*'难度参数'!$E$22))*(36+3*7)/(36+7*(D765+1)/2)*E765,0))</x:f>
        <x:v>14250</x:v>
      </x:c>
      <x:c r="AH765" s="119" t="n">
        <x:f>IF(AF765=0,0,(AF765-IF(3=D765,1,0))*ROUND(AG765*VLOOKUP(INDEX('章节与怪物'!$E$31:$K$37,B765,3),'章节与怪物'!$A$41:$F$44,2,FALSE),0)+IF(3=D765,ROUND(AG765*'难度参数'!$E$28*'章节与怪物'!$E$17,0),0))</x:f>
        <x:v>1114350</x:v>
      </x:c>
      <x:c r="AI765" s="119" t="n">
        <x:f>IF(AF765=0,0,(AF765-IF(3=D765,1,0))*VLOOKUP(INDEX('章节与怪物'!$E$31:$K$37,B765,3),'章节与怪物'!$A$41:$F$44,4,FALSE)+IF(3=D765,'难度参数'!$E$30,0))</x:f>
        <x:v>1288</x:v>
      </x:c>
      <x:c r="AJ765" s="119" t="n">
        <x:f>IF(4&gt;D765,0,MAX(2,MIN('难度参数'!$E$12,ROUND(('难度参数'!$E$18*POWER(A765,'难度参数'!$E$19)/D765*(0.85+0.3*(4-1)/MAX(1,D765-1))),0)+F765)))</x:f>
        <x:v>48</x:v>
      </x:c>
      <x:c r="AK765" s="119" t="n">
        <x:f>IF(4&gt;D765,0,ROUND(('难度参数'!$E$13*POWER(A765,'难度参数'!$E$20)*MIN('难度参数'!$E$23,1+MAX(0,A765-'难度参数'!$E$21)*'难度参数'!$E$22))*(36+4*7)/(36+7*(D765+1)/2)*E765,0))</x:f>
        <x:v>16000</x:v>
      </x:c>
      <x:c r="AL765" s="119" t="n">
        <x:f>IF(AJ765=0,0,(AJ765-IF(4=D765,1,0))*ROUND(AK765*VLOOKUP(INDEX('章节与怪物'!$E$31:$K$37,B765,4),'章节与怪物'!$A$41:$F$44,2,FALSE),0)+IF(4=D765,ROUND(AK765*'难度参数'!$E$28*'章节与怪物'!$E$17,0),0))</x:f>
        <x:v>1036800</x:v>
      </x:c>
      <x:c r="AM765" s="119" t="n">
        <x:f>IF(AJ765=0,0,(AJ765-IF(4=D765,1,0))*VLOOKUP(INDEX('章节与怪物'!$E$31:$K$37,B765,4),'章节与怪物'!$A$41:$F$44,4,FALSE)+IF(4=D765,'难度参数'!$E$30,0))</x:f>
        <x:v>1632</x:v>
      </x:c>
      <x:c r="AN765" s="119" t="n">
        <x:f>IF(5&gt;D765,0,MAX(2,MIN('难度参数'!$E$12,ROUND(('难度参数'!$E$18*POWER(A765,'难度参数'!$E$19)/D765*(0.85+0.3*(5-1)/MAX(1,D765-1))),0)+F765)))</x:f>
        <x:v>50</x:v>
      </x:c>
      <x:c r="AO765" s="119" t="n">
        <x:f>IF(5&gt;D765,0,ROUND(('难度参数'!$E$13*POWER(A765,'难度参数'!$E$20)*MIN('难度参数'!$E$23,1+MAX(0,A765-'难度参数'!$E$21)*'难度参数'!$E$22))*(36+5*7)/(36+7*(D765+1)/2)*E765,0))</x:f>
        <x:v>17750</x:v>
      </x:c>
      <x:c r="AP765" s="119" t="n">
        <x:f>IF(AN765=0,0,(AN765-IF(5=D765,1,0))*ROUND(AO765*VLOOKUP(INDEX('章节与怪物'!$E$31:$K$37,B765,5),'章节与怪物'!$A$41:$F$44,2,FALSE),0)+IF(5=D765,ROUND(AO765*'难度参数'!$E$28*'章节与怪物'!$E$17,0),0))</x:f>
        <x:v>639000</x:v>
      </x:c>
      <x:c r="AQ765" s="119" t="n">
        <x:f>IF(AN765=0,0,(AN765-IF(5=D765,1,0))*VLOOKUP(INDEX('章节与怪物'!$E$31:$K$37,B765,5),'章节与怪物'!$A$41:$F$44,4,FALSE)+IF(5=D765,'难度参数'!$E$30,0))</x:f>
        <x:v>1000</x:v>
      </x:c>
      <x:c r="AR765" s="119" t="n">
        <x:f>IF(6&gt;D765,0,MAX(2,MIN('难度参数'!$E$12,ROUND(('难度参数'!$E$18*POWER(A765,'难度参数'!$E$19)/D765*(0.85+0.3*(6-1)/MAX(1,D765-1))),0)+F765)))</x:f>
        <x:v>53</x:v>
      </x:c>
      <x:c r="AS765" s="119" t="n">
        <x:f>IF(6&gt;D765,0,ROUND(('难度参数'!$E$13*POWER(A765,'难度参数'!$E$20)*MIN('难度参数'!$E$23,1+MAX(0,A765-'难度参数'!$E$21)*'难度参数'!$E$22))*(36+6*7)/(36+7*(D765+1)/2)*E765,0))</x:f>
        <x:v>19499</x:v>
      </x:c>
      <x:c r="AT765" s="119" t="n">
        <x:f>IF(AR765=0,0,(AR765-IF(6=D765,1,0))*ROUND(AS765*VLOOKUP(INDEX('章节与怪物'!$E$31:$K$37,B765,6),'章节与怪物'!$A$41:$F$44,2,FALSE),0)+IF(6=D765,ROUND(AS765*'难度参数'!$E$28*'章节与怪物'!$E$17,0),0))</x:f>
        <x:v>1756844</x:v>
      </x:c>
      <x:c r="AU765" s="119" t="n">
        <x:f>IF(AR765=0,0,(AR765-IF(6=D765,1,0))*VLOOKUP(INDEX('章节与怪物'!$E$31:$K$37,B765,6),'章节与怪物'!$A$41:$F$44,4,FALSE)+IF(6=D765,'难度参数'!$E$30,0))</x:f>
        <x:v>1484</x:v>
      </x:c>
      <x:c r="AV765" s="119" t="n">
        <x:f>IF(7&gt;D765,0,MAX(2,MIN('难度参数'!$E$12,ROUND(('难度参数'!$E$18*POWER(A765,'难度参数'!$E$19)/D765*(0.85+0.3*(7-1)/MAX(1,D765-1))),0)+F765)))</x:f>
        <x:v>55</x:v>
      </x:c>
      <x:c r="AW765" s="119" t="n">
        <x:f>IF(7&gt;D765,0,ROUND(('难度参数'!$E$13*POWER(A765,'难度参数'!$E$20)*MIN('难度参数'!$E$23,1+MAX(0,A765-'难度参数'!$E$21)*'难度参数'!$E$22))*(36+7*7)/(36+7*(D765+1)/2)*E765,0))</x:f>
        <x:v>21249</x:v>
      </x:c>
      <x:c r="AX765" s="119" t="n">
        <x:f>IF(AV765=0,0,(AV765-IF(7=D765,1,0))*ROUND(AW765*VLOOKUP(INDEX('章节与怪物'!$E$31:$K$37,B765,7),'章节与怪物'!$A$41:$F$44,2,FALSE),0)+IF(7=D765,ROUND(AW765*'难度参数'!$E$28*'章节与怪物'!$E$17,0),0))</x:f>
        <x:v>1693537</x:v>
      </x:c>
      <x:c r="AY765" s="119" t="n">
        <x:f>IF(AV765=0,0,(AV765-IF(7=D765,1,0))*VLOOKUP(INDEX('章节与怪物'!$E$31:$K$37,B765,7),'章节与怪物'!$A$41:$F$44,4,FALSE)+IF(7=D765,'难度参数'!$E$30,0))</x:f>
        <x:v>2036</x:v>
      </x:c>
    </x:row>
    <x:row r="766" ht="23" customHeight="1">
      <x:c r="A766" s="119" t="n">
        <x:v>760</x:v>
      </x:c>
      <x:c r="B766" s="119" t="n">
        <x:f>MOD(INT((A766-1)/5),7)+1</x:f>
        <x:v>5</x:v>
      </x:c>
      <x:c r="C766" s="62" t="str">
        <x:f>INDEX('章节与怪物'!$B$31:$B$37,B766)</x:f>
        <x:v>雨林遗迹</x:v>
      </x:c>
      <x:c r="D766" s="119" t="n">
        <x:f>MIN('难度参数'!$E$8,MAX('难度参数'!$E$7,A766))</x:f>
        <x:v>7</x:v>
      </x:c>
      <x:c r="E766" s="106" t="n">
        <x:v>1</x:v>
      </x:c>
      <x:c r="F766" s="106" t="n">
        <x:v>0</x:v>
      </x:c>
      <x:c r="G766" s="106" t="n">
        <x:v>1</x:v>
      </x:c>
      <x:c r="H766" s="119" t="n">
        <x:f>SUM(X766,AB766,AF766,AJ766,AN766,AR766,AV766)</x:f>
        <x:v>336</x:v>
      </x:c>
      <x:c r="I766" s="119" t="n">
        <x:f>SUM(Z766,AD766,AH766,AL766,AP766,AT766,AX766)</x:f>
        <x:v>7075108</x:v>
      </x:c>
      <x:c r="J766" s="119" t="n">
        <x:f>ROUND(INDEX(X766:AY766,1,(D766-1)*4+2)*'难度参数'!$E$28*'章节与怪物'!$E$17,0)</x:f>
        <x:v>144636</x:v>
      </x:c>
      <x:c r="K766" s="119" t="n">
        <x:f>SUM(AA766,AE766,AI766,AM766,AQ766,AU766,AY766)</x:f>
        <x:v>9038</x:v>
      </x:c>
      <x:c r="L766" s="62" t="n">
        <x:f>H766*(ROUNDUP('难度参数'!$E$24/('难度参数'!$E$26*'难度参数'!$E$27),0)*'难度参数'!$E$26)/60</x:f>
        <x:v>4.48</x:v>
      </x:c>
      <x:c r="M766" s="62" t="n">
        <x:f>L766+D766*('难度参数'!$E$49+'难度参数'!$E$50)/60</x:f>
        <x:v>5.646666666666667</x:v>
      </x:c>
      <x:c r="N766" s="119" t="n">
        <x:f>ROUNDDOWN(('经济参数'!$E$20+A766*'经济参数'!$E$21)*G766,0)</x:f>
        <x:v>15380</x:v>
      </x:c>
      <x:c r="O766" s="119" t="n">
        <x:f>ROUNDDOWN(MIN('经济参数'!$E$24,'经济参数'!$E$22+A766*'经济参数'!$E$23)*G766,0)</x:f>
        <x:v>0</x:v>
      </x:c>
      <x:c r="P766" s="119" t="n">
        <x:f>ROUNDDOWN((IF(A766&gt;='材料与任务'!$E$31,'材料与任务'!$E$32,IF(A766&gt;='材料与任务'!$E$25,'材料与任务'!$E$26,IF(A766&gt;='材料与任务'!$E$19,'材料与任务'!$E$20,IF(A766&gt;='材料与任务'!$E$13,'材料与任务'!$E$14,'材料与任务'!$E$8)))))*G766,0)</x:f>
        <x:v>6</x:v>
      </x:c>
      <x:c r="Q766" s="119" t="n">
        <x:f>ROUNDDOWN((IF(A766&gt;='材料与任务'!$E$31,'材料与任务'!$E$33,IF(A766&gt;='材料与任务'!$E$25,'材料与任务'!$E$27,IF(A766&gt;='材料与任务'!$E$19,'材料与任务'!$E$21,IF(A766&gt;='材料与任务'!$E$13,'材料与任务'!$E$15,'材料与任务'!$E$9)))))*G766,0)</x:f>
        <x:v>3</x:v>
      </x:c>
      <x:c r="R766" s="110" t="n">
        <x:f>'装备掉落'!$B$38</x:f>
        <x:v>0.6872058758851213</x:v>
      </x:c>
      <x:c r="S766" s="119" t="n">
        <x:f>MAX(IF(VLOOKUP(A766,'装备掉落'!$A$29:$H$34,2,TRUE)&gt;0,1,0),IF(VLOOKUP(A766,'装备掉落'!$A$29:$H$34,3,TRUE)&gt;0,2,0),IF(VLOOKUP(A766,'装备掉落'!$A$29:$H$34,4,TRUE)&gt;0,3,0),IF(VLOOKUP(A766,'装备掉落'!$A$29:$H$34,5,TRUE)&gt;0,4,0),IF(VLOOKUP(A766,'装备掉落'!$A$29:$H$34,6,TRUE)&gt;0,5,0),IF(VLOOKUP(A766,'装备掉落'!$A$29:$H$34,7,TRUE)&gt;0,6,0),IF(VLOOKUP(A766,'装备掉落'!$A$29:$H$34,8,TRUE)&gt;0,7,0))</x:f>
        <x:v>7</x:v>
      </x:c>
      <x:c r="T766" s="119" t="n">
        <x:f>MIN(7,S766+'经济参数'!$E$70)</x:f>
        <x:v>7</x:v>
      </x:c>
      <x:c r="U766" s="119" t="n">
        <x:f>MIN(7,S766+'经济参数'!$E$71)</x:f>
        <x:v>7</x:v>
      </x:c>
      <x:c r="V766" s="119" t="n">
        <x:f>IF(H766&gt;=('难度参数'!$E$52),1,0)+IF(H766&gt;=('难度参数'!$E$52+'难度参数'!$E$53),1,0)+IF(H766&gt;=('难度参数'!$E$52+'难度参数'!$E$53+'难度参数'!$E$54),1,0)+IF(H766&gt;=('难度参数'!$E$52+'难度参数'!$E$53+'难度参数'!$E$54+'难度参数'!$E$55),1,0)+IF(H766&gt;=('难度参数'!$E$52+'难度参数'!$E$53+'难度参数'!$E$54+'难度参数'!$E$55+'难度参数'!$E$56),1,0)+IF(H766&gt;=('难度参数'!$E$52+'难度参数'!$E$53+'难度参数'!$E$54+'难度参数'!$E$55+'难度参数'!$E$56+'难度参数'!$E$57),1,0)</x:f>
        <x:v>6</x:v>
      </x:c>
      <x:c r="W766" s="62" t="str">
        <x:f>IF(L766&gt;'难度参数'!$E$51,"仅出怪已超目标","还需实测")</x:f>
        <x:v>仅出怪已超目标</x:v>
      </x:c>
      <x:c r="X766" s="119" t="n">
        <x:f>IF(1&gt;D766,0,MAX(2,MIN('难度参数'!$E$12,ROUND(('难度参数'!$E$18*POWER(A766,'难度参数'!$E$19)/D766*(0.85+0.3*(1-1)/MAX(1,D766-1))),0)+F766)))</x:f>
        <x:v>41</x:v>
      </x:c>
      <x:c r="Y766" s="119" t="n">
        <x:f>IF(1&gt;D766,0,ROUND(('难度参数'!$E$13*POWER(A766,'难度参数'!$E$20)*MIN('难度参数'!$E$23,1+MAX(0,A766-'难度参数'!$E$21)*'难度参数'!$E$22))*(36+1*7)/(36+7*(D766+1)/2)*E766,0))</x:f>
        <x:v>10760</x:v>
      </x:c>
      <x:c r="Z766" s="119" t="n">
        <x:f>IF(X766=0,0,(X766-IF(1=D766,1,0))*ROUND(Y766*VLOOKUP(INDEX('章节与怪物'!$E$31:$K$37,B766,1),'章节与怪物'!$A$41:$F$44,2,FALSE),0)+IF(1=D766,ROUND(Y766*'难度参数'!$E$28*'章节与怪物'!$E$17,0),0))</x:f>
        <x:v>441160</x:v>
      </x:c>
      <x:c r="AA766" s="119" t="n">
        <x:f>IF(X766=0,0,(X766-IF(1=D766,1,0))*VLOOKUP(INDEX('章节与怪物'!$E$31:$K$37,B766,1),'章节与怪物'!$A$41:$F$44,4,FALSE)+IF(1=D766,'难度参数'!$E$30,0))</x:f>
        <x:v>738</x:v>
      </x:c>
      <x:c r="AB766" s="119" t="n">
        <x:f>IF(2&gt;D766,0,MAX(2,MIN('难度参数'!$E$12,ROUND(('难度参数'!$E$18*POWER(A766,'难度参数'!$E$19)/D766*(0.85+0.3*(2-1)/MAX(1,D766-1))),0)+F766)))</x:f>
        <x:v>43</x:v>
      </x:c>
      <x:c r="AC766" s="119" t="n">
        <x:f>IF(2&gt;D766,0,ROUND(('难度参数'!$E$13*POWER(A766,'难度参数'!$E$20)*MIN('难度参数'!$E$23,1+MAX(0,A766-'难度参数'!$E$21)*'难度参数'!$E$22))*(36+2*7)/(36+7*(D766+1)/2)*E766,0))</x:f>
        <x:v>12512</x:v>
      </x:c>
      <x:c r="AD766" s="119" t="n">
        <x:f>IF(AB766=0,0,(AB766-IF(2=D766,1,0))*ROUND(AC766*VLOOKUP(INDEX('章节与怪物'!$E$31:$K$37,B766,2),'章节与怪物'!$A$41:$F$44,2,FALSE),0)+IF(2=D766,ROUND(AC766*'难度参数'!$E$28*'章节与怪物'!$E$17,0),0))</x:f>
        <x:v>387387</x:v>
      </x:c>
      <x:c r="AE766" s="119" t="n">
        <x:f>IF(AB766=0,0,(AB766-IF(2=D766,1,0))*VLOOKUP(INDEX('章节与怪物'!$E$31:$K$37,B766,2),'章节与怪物'!$A$41:$F$44,4,FALSE)+IF(2=D766,'难度参数'!$E$30,0))</x:f>
        <x:v>860</x:v>
      </x:c>
      <x:c r="AF766" s="119" t="n">
        <x:f>IF(3&gt;D766,0,MAX(2,MIN('难度参数'!$E$12,ROUND(('难度参数'!$E$18*POWER(A766,'难度参数'!$E$19)/D766*(0.85+0.3*(3-1)/MAX(1,D766-1))),0)+F766)))</x:f>
        <x:v>46</x:v>
      </x:c>
      <x:c r="AG766" s="119" t="n">
        <x:f>IF(3&gt;D766,0,ROUND(('难度参数'!$E$13*POWER(A766,'难度参数'!$E$20)*MIN('难度参数'!$E$23,1+MAX(0,A766-'难度参数'!$E$21)*'难度参数'!$E$22))*(36+3*7)/(36+7*(D766+1)/2)*E766,0))</x:f>
        <x:v>14263</x:v>
      </x:c>
      <x:c r="AH766" s="119" t="n">
        <x:f>IF(AF766=0,0,(AF766-IF(3=D766,1,0))*ROUND(AG766*VLOOKUP(INDEX('章节与怪物'!$E$31:$K$37,B766,3),'章节与怪物'!$A$41:$F$44,2,FALSE),0)+IF(3=D766,ROUND(AG766*'难度参数'!$E$28*'章节与怪物'!$E$17,0),0))</x:f>
        <x:v>1115362</x:v>
      </x:c>
      <x:c r="AI766" s="119" t="n">
        <x:f>IF(AF766=0,0,(AF766-IF(3=D766,1,0))*VLOOKUP(INDEX('章节与怪物'!$E$31:$K$37,B766,3),'章节与怪物'!$A$41:$F$44,4,FALSE)+IF(3=D766,'难度参数'!$E$30,0))</x:f>
        <x:v>1288</x:v>
      </x:c>
      <x:c r="AJ766" s="119" t="n">
        <x:f>IF(4&gt;D766,0,MAX(2,MIN('难度参数'!$E$12,ROUND(('难度参数'!$E$18*POWER(A766,'难度参数'!$E$19)/D766*(0.85+0.3*(4-1)/MAX(1,D766-1))),0)+F766)))</x:f>
        <x:v>48</x:v>
      </x:c>
      <x:c r="AK766" s="119" t="n">
        <x:f>IF(4&gt;D766,0,ROUND(('难度参数'!$E$13*POWER(A766,'难度参数'!$E$20)*MIN('难度参数'!$E$23,1+MAX(0,A766-'难度参数'!$E$21)*'难度参数'!$E$22))*(36+4*7)/(36+7*(D766+1)/2)*E766,0))</x:f>
        <x:v>16015</x:v>
      </x:c>
      <x:c r="AL766" s="119" t="n">
        <x:f>IF(AJ766=0,0,(AJ766-IF(4=D766,1,0))*ROUND(AK766*VLOOKUP(INDEX('章节与怪物'!$E$31:$K$37,B766,4),'章节与怪物'!$A$41:$F$44,2,FALSE),0)+IF(4=D766,ROUND(AK766*'难度参数'!$E$28*'章节与怪物'!$E$17,0),0))</x:f>
        <x:v>1037760</x:v>
      </x:c>
      <x:c r="AM766" s="119" t="n">
        <x:f>IF(AJ766=0,0,(AJ766-IF(4=D766,1,0))*VLOOKUP(INDEX('章节与怪物'!$E$31:$K$37,B766,4),'章节与怪物'!$A$41:$F$44,4,FALSE)+IF(4=D766,'难度参数'!$E$30,0))</x:f>
        <x:v>1632</x:v>
      </x:c>
      <x:c r="AN766" s="119" t="n">
        <x:f>IF(5&gt;D766,0,MAX(2,MIN('难度参数'!$E$12,ROUND(('难度参数'!$E$18*POWER(A766,'难度参数'!$E$19)/D766*(0.85+0.3*(5-1)/MAX(1,D766-1))),0)+F766)))</x:f>
        <x:v>50</x:v>
      </x:c>
      <x:c r="AO766" s="119" t="n">
        <x:f>IF(5&gt;D766,0,ROUND(('难度参数'!$E$13*POWER(A766,'难度参数'!$E$20)*MIN('难度参数'!$E$23,1+MAX(0,A766-'难度参数'!$E$21)*'难度参数'!$E$22))*(36+5*7)/(36+7*(D766+1)/2)*E766,0))</x:f>
        <x:v>17766</x:v>
      </x:c>
      <x:c r="AP766" s="119" t="n">
        <x:f>IF(AN766=0,0,(AN766-IF(5=D766,1,0))*ROUND(AO766*VLOOKUP(INDEX('章节与怪物'!$E$31:$K$37,B766,5),'章节与怪物'!$A$41:$F$44,2,FALSE),0)+IF(5=D766,ROUND(AO766*'难度参数'!$E$28*'章节与怪物'!$E$17,0),0))</x:f>
        <x:v>639600</x:v>
      </x:c>
      <x:c r="AQ766" s="119" t="n">
        <x:f>IF(AN766=0,0,(AN766-IF(5=D766,1,0))*VLOOKUP(INDEX('章节与怪物'!$E$31:$K$37,B766,5),'章节与怪物'!$A$41:$F$44,4,FALSE)+IF(5=D766,'难度参数'!$E$30,0))</x:f>
        <x:v>1000</x:v>
      </x:c>
      <x:c r="AR766" s="119" t="n">
        <x:f>IF(6&gt;D766,0,MAX(2,MIN('难度参数'!$E$12,ROUND(('难度参数'!$E$18*POWER(A766,'难度参数'!$E$19)/D766*(0.85+0.3*(6-1)/MAX(1,D766-1))),0)+F766)))</x:f>
        <x:v>53</x:v>
      </x:c>
      <x:c r="AS766" s="119" t="n">
        <x:f>IF(6&gt;D766,0,ROUND(('难度参数'!$E$13*POWER(A766,'难度参数'!$E$20)*MIN('难度参数'!$E$23,1+MAX(0,A766-'难度参数'!$E$21)*'难度参数'!$E$22))*(36+6*7)/(36+7*(D766+1)/2)*E766,0))</x:f>
        <x:v>19518</x:v>
      </x:c>
      <x:c r="AT766" s="119" t="n">
        <x:f>IF(AR766=0,0,(AR766-IF(6=D766,1,0))*ROUND(AS766*VLOOKUP(INDEX('章节与怪物'!$E$31:$K$37,B766,6),'章节与怪物'!$A$41:$F$44,2,FALSE),0)+IF(6=D766,ROUND(AS766*'难度参数'!$E$28*'章节与怪物'!$E$17,0),0))</x:f>
        <x:v>1758593</x:v>
      </x:c>
      <x:c r="AU766" s="119" t="n">
        <x:f>IF(AR766=0,0,(AR766-IF(6=D766,1,0))*VLOOKUP(INDEX('章节与怪物'!$E$31:$K$37,B766,6),'章节与怪物'!$A$41:$F$44,4,FALSE)+IF(6=D766,'难度参数'!$E$30,0))</x:f>
        <x:v>1484</x:v>
      </x:c>
      <x:c r="AV766" s="119" t="n">
        <x:f>IF(7&gt;D766,0,MAX(2,MIN('难度参数'!$E$12,ROUND(('难度参数'!$E$18*POWER(A766,'难度参数'!$E$19)/D766*(0.85+0.3*(7-1)/MAX(1,D766-1))),0)+F766)))</x:f>
        <x:v>55</x:v>
      </x:c>
      <x:c r="AW766" s="119" t="n">
        <x:f>IF(7&gt;D766,0,ROUND(('难度参数'!$E$13*POWER(A766,'难度参数'!$E$20)*MIN('难度参数'!$E$23,1+MAX(0,A766-'难度参数'!$E$21)*'难度参数'!$E$22))*(36+7*7)/(36+7*(D766+1)/2)*E766,0))</x:f>
        <x:v>21270</x:v>
      </x:c>
      <x:c r="AX766" s="119" t="n">
        <x:f>IF(AV766=0,0,(AV766-IF(7=D766,1,0))*ROUND(AW766*VLOOKUP(INDEX('章节与怪物'!$E$31:$K$37,B766,7),'章节与怪物'!$A$41:$F$44,2,FALSE),0)+IF(7=D766,ROUND(AW766*'难度参数'!$E$28*'章节与怪物'!$E$17,0),0))</x:f>
        <x:v>1695246</x:v>
      </x:c>
      <x:c r="AY766" s="119" t="n">
        <x:f>IF(AV766=0,0,(AV766-IF(7=D766,1,0))*VLOOKUP(INDEX('章节与怪物'!$E$31:$K$37,B766,7),'章节与怪物'!$A$41:$F$44,4,FALSE)+IF(7=D766,'难度参数'!$E$30,0))</x:f>
        <x:v>2036</x:v>
      </x:c>
    </x:row>
    <x:row r="767" ht="23" customHeight="1">
      <x:c r="A767" s="119" t="n">
        <x:v>761</x:v>
      </x:c>
      <x:c r="B767" s="119" t="n">
        <x:f>MOD(INT((A767-1)/5),7)+1</x:f>
        <x:v>6</x:v>
      </x:c>
      <x:c r="C767" s="62" t="str">
        <x:f>INDEX('章节与怪物'!$B$31:$B$37,B767)</x:f>
        <x:v>熔岩山脉</x:v>
      </x:c>
      <x:c r="D767" s="119" t="n">
        <x:f>MIN('难度参数'!$E$8,MAX('难度参数'!$E$7,A767))</x:f>
        <x:v>7</x:v>
      </x:c>
      <x:c r="E767" s="106" t="n">
        <x:v>1</x:v>
      </x:c>
      <x:c r="F767" s="106" t="n">
        <x:v>0</x:v>
      </x:c>
      <x:c r="G767" s="106" t="n">
        <x:v>1</x:v>
      </x:c>
      <x:c r="H767" s="119" t="n">
        <x:f>SUM(X767,AB767,AF767,AJ767,AN767,AR767,AV767)</x:f>
        <x:v>336</x:v>
      </x:c>
      <x:c r="I767" s="119" t="n">
        <x:f>SUM(Z767,AD767,AH767,AL767,AP767,AT767,AX767)</x:f>
        <x:v>7357810</x:v>
      </x:c>
      <x:c r="J767" s="119" t="n">
        <x:f>ROUND(INDEX(X767:AY767,1,(D767-1)*4+2)*'难度参数'!$E$28*'章节与怪物'!$E$17,0)</x:f>
        <x:v>144772</x:v>
      </x:c>
      <x:c r="K767" s="119" t="n">
        <x:f>SUM(AA767,AE767,AI767,AM767,AQ767,AU767,AY767)</x:f>
        <x:v>8934</x:v>
      </x:c>
      <x:c r="L767" s="62" t="n">
        <x:f>H767*(ROUNDUP('难度参数'!$E$24/('难度参数'!$E$26*'难度参数'!$E$27),0)*'难度参数'!$E$26)/60</x:f>
        <x:v>4.48</x:v>
      </x:c>
      <x:c r="M767" s="62" t="n">
        <x:f>L767+D767*('难度参数'!$E$49+'难度参数'!$E$50)/60</x:f>
        <x:v>5.646666666666667</x:v>
      </x:c>
      <x:c r="N767" s="119" t="n">
        <x:f>ROUNDDOWN(('经济参数'!$E$20+A767*'经济参数'!$E$21)*G767,0)</x:f>
        <x:v>15400</x:v>
      </x:c>
      <x:c r="O767" s="119" t="n">
        <x:f>ROUNDDOWN(MIN('经济参数'!$E$24,'经济参数'!$E$22+A767*'经济参数'!$E$23)*G767,0)</x:f>
        <x:v>0</x:v>
      </x:c>
      <x:c r="P767" s="119" t="n">
        <x:f>ROUNDDOWN((IF(A767&gt;='材料与任务'!$E$31,'材料与任务'!$E$32,IF(A767&gt;='材料与任务'!$E$25,'材料与任务'!$E$26,IF(A767&gt;='材料与任务'!$E$19,'材料与任务'!$E$20,IF(A767&gt;='材料与任务'!$E$13,'材料与任务'!$E$14,'材料与任务'!$E$8)))))*G767,0)</x:f>
        <x:v>6</x:v>
      </x:c>
      <x:c r="Q767" s="119" t="n">
        <x:f>ROUNDDOWN((IF(A767&gt;='材料与任务'!$E$31,'材料与任务'!$E$33,IF(A767&gt;='材料与任务'!$E$25,'材料与任务'!$E$27,IF(A767&gt;='材料与任务'!$E$19,'材料与任务'!$E$21,IF(A767&gt;='材料与任务'!$E$13,'材料与任务'!$E$15,'材料与任务'!$E$9)))))*G767,0)</x:f>
        <x:v>3</x:v>
      </x:c>
      <x:c r="R767" s="110" t="n">
        <x:f>'装备掉落'!$B$38</x:f>
        <x:v>0.6872058758851213</x:v>
      </x:c>
      <x:c r="S767" s="119" t="n">
        <x:f>MAX(IF(VLOOKUP(A767,'装备掉落'!$A$29:$H$34,2,TRUE)&gt;0,1,0),IF(VLOOKUP(A767,'装备掉落'!$A$29:$H$34,3,TRUE)&gt;0,2,0),IF(VLOOKUP(A767,'装备掉落'!$A$29:$H$34,4,TRUE)&gt;0,3,0),IF(VLOOKUP(A767,'装备掉落'!$A$29:$H$34,5,TRUE)&gt;0,4,0),IF(VLOOKUP(A767,'装备掉落'!$A$29:$H$34,6,TRUE)&gt;0,5,0),IF(VLOOKUP(A767,'装备掉落'!$A$29:$H$34,7,TRUE)&gt;0,6,0),IF(VLOOKUP(A767,'装备掉落'!$A$29:$H$34,8,TRUE)&gt;0,7,0))</x:f>
        <x:v>7</x:v>
      </x:c>
      <x:c r="T767" s="119" t="n">
        <x:f>MIN(7,S767+'经济参数'!$E$70)</x:f>
        <x:v>7</x:v>
      </x:c>
      <x:c r="U767" s="119" t="n">
        <x:f>MIN(7,S767+'经济参数'!$E$71)</x:f>
        <x:v>7</x:v>
      </x:c>
      <x:c r="V767" s="119" t="n">
        <x:f>IF(H767&gt;=('难度参数'!$E$52),1,0)+IF(H767&gt;=('难度参数'!$E$52+'难度参数'!$E$53),1,0)+IF(H767&gt;=('难度参数'!$E$52+'难度参数'!$E$53+'难度参数'!$E$54),1,0)+IF(H767&gt;=('难度参数'!$E$52+'难度参数'!$E$53+'难度参数'!$E$54+'难度参数'!$E$55),1,0)+IF(H767&gt;=('难度参数'!$E$52+'难度参数'!$E$53+'难度参数'!$E$54+'难度参数'!$E$55+'难度参数'!$E$56),1,0)+IF(H767&gt;=('难度参数'!$E$52+'难度参数'!$E$53+'难度参数'!$E$54+'难度参数'!$E$55+'难度参数'!$E$56+'难度参数'!$E$57),1,0)</x:f>
        <x:v>6</x:v>
      </x:c>
      <x:c r="W767" s="62" t="str">
        <x:f>IF(L767&gt;'难度参数'!$E$51,"仅出怪已超目标","还需实测")</x:f>
        <x:v>仅出怪已超目标</x:v>
      </x:c>
      <x:c r="X767" s="119" t="n">
        <x:f>IF(1&gt;D767,0,MAX(2,MIN('难度参数'!$E$12,ROUND(('难度参数'!$E$18*POWER(A767,'难度参数'!$E$19)/D767*(0.85+0.3*(1-1)/MAX(1,D767-1))),0)+F767)))</x:f>
        <x:v>41</x:v>
      </x:c>
      <x:c r="Y767" s="119" t="n">
        <x:f>IF(1&gt;D767,0,ROUND(('难度参数'!$E$13*POWER(A767,'难度参数'!$E$20)*MIN('难度参数'!$E$23,1+MAX(0,A767-'难度参数'!$E$21)*'难度参数'!$E$22))*(36+1*7)/(36+7*(D767+1)/2)*E767,0))</x:f>
        <x:v>10770</x:v>
      </x:c>
      <x:c r="Z767" s="119" t="n">
        <x:f>IF(X767=0,0,(X767-IF(1=D767,1,0))*ROUND(Y767*VLOOKUP(INDEX('章节与怪物'!$E$31:$K$37,B767,1),'章节与怪物'!$A$41:$F$44,2,FALSE),0)+IF(1=D767,ROUND(Y767*'难度参数'!$E$28*'章节与怪物'!$E$17,0),0))</x:f>
        <x:v>317914</x:v>
      </x:c>
      <x:c r="AA767" s="119" t="n">
        <x:f>IF(X767=0,0,(X767-IF(1=D767,1,0))*VLOOKUP(INDEX('章节与怪物'!$E$31:$K$37,B767,1),'章节与怪物'!$A$41:$F$44,4,FALSE)+IF(1=D767,'难度参数'!$E$30,0))</x:f>
        <x:v>820</x:v>
      </x:c>
      <x:c r="AB767" s="119" t="n">
        <x:f>IF(2&gt;D767,0,MAX(2,MIN('难度参数'!$E$12,ROUND(('难度参数'!$E$18*POWER(A767,'难度参数'!$E$19)/D767*(0.85+0.3*(2-1)/MAX(1,D767-1))),0)+F767)))</x:f>
        <x:v>43</x:v>
      </x:c>
      <x:c r="AC767" s="119" t="n">
        <x:f>IF(2&gt;D767,0,ROUND(('难度参数'!$E$13*POWER(A767,'难度参数'!$E$20)*MIN('难度参数'!$E$23,1+MAX(0,A767-'难度参数'!$E$21)*'难度参数'!$E$22))*(36+2*7)/(36+7*(D767+1)/2)*E767,0))</x:f>
        <x:v>12523</x:v>
      </x:c>
      <x:c r="AD767" s="119" t="n">
        <x:f>IF(AB767=0,0,(AB767-IF(2=D767,1,0))*ROUND(AC767*VLOOKUP(INDEX('章节与怪物'!$E$31:$K$37,B767,2),'章节与怪物'!$A$41:$F$44,2,FALSE),0)+IF(2=D767,ROUND(AC767*'难度参数'!$E$28*'章节与怪物'!$E$17,0),0))</x:f>
        <x:v>538489</x:v>
      </x:c>
      <x:c r="AE767" s="119" t="n">
        <x:f>IF(AB767=0,0,(AB767-IF(2=D767,1,0))*VLOOKUP(INDEX('章节与怪物'!$E$31:$K$37,B767,2),'章节与怪物'!$A$41:$F$44,4,FALSE)+IF(2=D767,'难度参数'!$E$30,0))</x:f>
        <x:v>774</x:v>
      </x:c>
      <x:c r="AF767" s="119" t="n">
        <x:f>IF(3&gt;D767,0,MAX(2,MIN('难度参数'!$E$12,ROUND(('难度参数'!$E$18*POWER(A767,'难度参数'!$E$19)/D767*(0.85+0.3*(3-1)/MAX(1,D767-1))),0)+F767)))</x:f>
        <x:v>46</x:v>
      </x:c>
      <x:c r="AG767" s="119" t="n">
        <x:f>IF(3&gt;D767,0,ROUND(('难度参数'!$E$13*POWER(A767,'难度参数'!$E$20)*MIN('难度参数'!$E$23,1+MAX(0,A767-'难度参数'!$E$21)*'难度参数'!$E$22))*(36+3*7)/(36+7*(D767+1)/2)*E767,0))</x:f>
        <x:v>14277</x:v>
      </x:c>
      <x:c r="AH767" s="119" t="n">
        <x:f>IF(AF767=0,0,(AF767-IF(3=D767,1,0))*ROUND(AG767*VLOOKUP(INDEX('章节与怪物'!$E$31:$K$37,B767,3),'章节与怪物'!$A$41:$F$44,2,FALSE),0)+IF(3=D767,ROUND(AG767*'难度参数'!$E$28*'章节与怪物'!$E$17,0),0))</x:f>
        <x:v>1116466</x:v>
      </x:c>
      <x:c r="AI767" s="119" t="n">
        <x:f>IF(AF767=0,0,(AF767-IF(3=D767,1,0))*VLOOKUP(INDEX('章节与怪物'!$E$31:$K$37,B767,3),'章节与怪物'!$A$41:$F$44,4,FALSE)+IF(3=D767,'难度参数'!$E$30,0))</x:f>
        <x:v>1288</x:v>
      </x:c>
      <x:c r="AJ767" s="119" t="n">
        <x:f>IF(4&gt;D767,0,MAX(2,MIN('难度参数'!$E$12,ROUND(('难度参数'!$E$18*POWER(A767,'难度参数'!$E$19)/D767*(0.85+0.3*(4-1)/MAX(1,D767-1))),0)+F767)))</x:f>
        <x:v>48</x:v>
      </x:c>
      <x:c r="AK767" s="119" t="n">
        <x:f>IF(4&gt;D767,0,ROUND(('难度参数'!$E$13*POWER(A767,'难度参数'!$E$20)*MIN('难度参数'!$E$23,1+MAX(0,A767-'难度参数'!$E$21)*'难度参数'!$E$22))*(36+4*7)/(36+7*(D767+1)/2)*E767,0))</x:f>
        <x:v>16030</x:v>
      </x:c>
      <x:c r="AL767" s="119" t="n">
        <x:f>IF(AJ767=0,0,(AJ767-IF(4=D767,1,0))*ROUND(AK767*VLOOKUP(INDEX('章节与怪物'!$E$31:$K$37,B767,4),'章节与怪物'!$A$41:$F$44,2,FALSE),0)+IF(4=D767,ROUND(AK767*'难度参数'!$E$28*'章节与怪物'!$E$17,0),0))</x:f>
        <x:v>1038768</x:v>
      </x:c>
      <x:c r="AM767" s="119" t="n">
        <x:f>IF(AJ767=0,0,(AJ767-IF(4=D767,1,0))*VLOOKUP(INDEX('章节与怪物'!$E$31:$K$37,B767,4),'章节与怪物'!$A$41:$F$44,4,FALSE)+IF(4=D767,'难度参数'!$E$30,0))</x:f>
        <x:v>1632</x:v>
      </x:c>
      <x:c r="AN767" s="119" t="n">
        <x:f>IF(5&gt;D767,0,MAX(2,MIN('难度参数'!$E$12,ROUND(('难度参数'!$E$18*POWER(A767,'难度参数'!$E$19)/D767*(0.85+0.3*(5-1)/MAX(1,D767-1))),0)+F767)))</x:f>
        <x:v>50</x:v>
      </x:c>
      <x:c r="AO767" s="119" t="n">
        <x:f>IF(5&gt;D767,0,ROUND(('难度参数'!$E$13*POWER(A767,'难度参数'!$E$20)*MIN('难度参数'!$E$23,1+MAX(0,A767-'难度参数'!$E$21)*'难度参数'!$E$22))*(36+5*7)/(36+7*(D767+1)/2)*E767,0))</x:f>
        <x:v>17783</x:v>
      </x:c>
      <x:c r="AP767" s="119" t="n">
        <x:f>IF(AN767=0,0,(AN767-IF(5=D767,1,0))*ROUND(AO767*VLOOKUP(INDEX('章节与怪物'!$E$31:$K$37,B767,5),'章节与怪物'!$A$41:$F$44,2,FALSE),0)+IF(5=D767,ROUND(AO767*'难度参数'!$E$28*'章节与怪物'!$E$17,0),0))</x:f>
        <x:v>889150</x:v>
      </x:c>
      <x:c r="AQ767" s="119" t="n">
        <x:f>IF(AN767=0,0,(AN767-IF(5=D767,1,0))*VLOOKUP(INDEX('章节与怪物'!$E$31:$K$37,B767,5),'章节与怪物'!$A$41:$F$44,4,FALSE)+IF(5=D767,'难度参数'!$E$30,0))</x:f>
        <x:v>900</x:v>
      </x:c>
      <x:c r="AR767" s="119" t="n">
        <x:f>IF(6&gt;D767,0,MAX(2,MIN('难度参数'!$E$12,ROUND(('难度参数'!$E$18*POWER(A767,'难度参数'!$E$19)/D767*(0.85+0.3*(6-1)/MAX(1,D767-1))),0)+F767)))</x:f>
        <x:v>53</x:v>
      </x:c>
      <x:c r="AS767" s="119" t="n">
        <x:f>IF(6&gt;D767,0,ROUND(('难度参数'!$E$13*POWER(A767,'难度参数'!$E$20)*MIN('难度参数'!$E$23,1+MAX(0,A767-'难度参数'!$E$21)*'难度参数'!$E$22))*(36+6*7)/(36+7*(D767+1)/2)*E767,0))</x:f>
        <x:v>19536</x:v>
      </x:c>
      <x:c r="AT767" s="119" t="n">
        <x:f>IF(AR767=0,0,(AR767-IF(6=D767,1,0))*ROUND(AS767*VLOOKUP(INDEX('章节与怪物'!$E$31:$K$37,B767,6),'章节与怪物'!$A$41:$F$44,2,FALSE),0)+IF(6=D767,ROUND(AS767*'难度参数'!$E$28*'章节与怪物'!$E$17,0),0))</x:f>
        <x:v>1760183</x:v>
      </x:c>
      <x:c r="AU767" s="119" t="n">
        <x:f>IF(AR767=0,0,(AR767-IF(6=D767,1,0))*VLOOKUP(INDEX('章节与怪物'!$E$31:$K$37,B767,6),'章节与怪物'!$A$41:$F$44,4,FALSE)+IF(6=D767,'难度参数'!$E$30,0))</x:f>
        <x:v>1484</x:v>
      </x:c>
      <x:c r="AV767" s="119" t="n">
        <x:f>IF(7&gt;D767,0,MAX(2,MIN('难度参数'!$E$12,ROUND(('难度参数'!$E$18*POWER(A767,'难度参数'!$E$19)/D767*(0.85+0.3*(7-1)/MAX(1,D767-1))),0)+F767)))</x:f>
        <x:v>55</x:v>
      </x:c>
      <x:c r="AW767" s="119" t="n">
        <x:f>IF(7&gt;D767,0,ROUND(('难度参数'!$E$13*POWER(A767,'难度参数'!$E$20)*MIN('难度参数'!$E$23,1+MAX(0,A767-'难度参数'!$E$21)*'难度参数'!$E$22))*(36+7*7)/(36+7*(D767+1)/2)*E767,0))</x:f>
        <x:v>21290</x:v>
      </x:c>
      <x:c r="AX767" s="119" t="n">
        <x:f>IF(AV767=0,0,(AV767-IF(7=D767,1,0))*ROUND(AW767*VLOOKUP(INDEX('章节与怪物'!$E$31:$K$37,B767,7),'章节与怪物'!$A$41:$F$44,2,FALSE),0)+IF(7=D767,ROUND(AW767*'难度参数'!$E$28*'章节与怪物'!$E$17,0),0))</x:f>
        <x:v>1696840</x:v>
      </x:c>
      <x:c r="AY767" s="119" t="n">
        <x:f>IF(AV767=0,0,(AV767-IF(7=D767,1,0))*VLOOKUP(INDEX('章节与怪物'!$E$31:$K$37,B767,7),'章节与怪物'!$A$41:$F$44,4,FALSE)+IF(7=D767,'难度参数'!$E$30,0))</x:f>
        <x:v>2036</x:v>
      </x:c>
    </x:row>
    <x:row r="768" ht="23" customHeight="1">
      <x:c r="A768" s="119" t="n">
        <x:v>762</x:v>
      </x:c>
      <x:c r="B768" s="119" t="n">
        <x:f>MOD(INT((A768-1)/5),7)+1</x:f>
        <x:v>6</x:v>
      </x:c>
      <x:c r="C768" s="62" t="str">
        <x:f>INDEX('章节与怪物'!$B$31:$B$37,B768)</x:f>
        <x:v>熔岩山脉</x:v>
      </x:c>
      <x:c r="D768" s="119" t="n">
        <x:f>MIN('难度参数'!$E$8,MAX('难度参数'!$E$7,A768))</x:f>
        <x:v>7</x:v>
      </x:c>
      <x:c r="E768" s="106" t="n">
        <x:v>1</x:v>
      </x:c>
      <x:c r="F768" s="106" t="n">
        <x:v>0</x:v>
      </x:c>
      <x:c r="G768" s="106" t="n">
        <x:v>1</x:v>
      </x:c>
      <x:c r="H768" s="119" t="n">
        <x:f>SUM(X768,AB768,AF768,AJ768,AN768,AR768,AV768)</x:f>
        <x:v>336</x:v>
      </x:c>
      <x:c r="I768" s="119" t="n">
        <x:f>SUM(Z768,AD768,AH768,AL768,AP768,AT768,AX768)</x:f>
        <x:v>7364819</x:v>
      </x:c>
      <x:c r="J768" s="119" t="n">
        <x:f>ROUND(INDEX(X768:AY768,1,(D768-1)*4+2)*'难度参数'!$E$28*'章节与怪物'!$E$17,0)</x:f>
        <x:v>144908</x:v>
      </x:c>
      <x:c r="K768" s="119" t="n">
        <x:f>SUM(AA768,AE768,AI768,AM768,AQ768,AU768,AY768)</x:f>
        <x:v>8934</x:v>
      </x:c>
      <x:c r="L768" s="62" t="n">
        <x:f>H768*(ROUNDUP('难度参数'!$E$24/('难度参数'!$E$26*'难度参数'!$E$27),0)*'难度参数'!$E$26)/60</x:f>
        <x:v>4.48</x:v>
      </x:c>
      <x:c r="M768" s="62" t="n">
        <x:f>L768+D768*('难度参数'!$E$49+'难度参数'!$E$50)/60</x:f>
        <x:v>5.646666666666667</x:v>
      </x:c>
      <x:c r="N768" s="119" t="n">
        <x:f>ROUNDDOWN(('经济参数'!$E$20+A768*'经济参数'!$E$21)*G768,0)</x:f>
        <x:v>15420</x:v>
      </x:c>
      <x:c r="O768" s="119" t="n">
        <x:f>ROUNDDOWN(MIN('经济参数'!$E$24,'经济参数'!$E$22+A768*'经济参数'!$E$23)*G768,0)</x:f>
        <x:v>0</x:v>
      </x:c>
      <x:c r="P768" s="119" t="n">
        <x:f>ROUNDDOWN((IF(A768&gt;='材料与任务'!$E$31,'材料与任务'!$E$32,IF(A768&gt;='材料与任务'!$E$25,'材料与任务'!$E$26,IF(A768&gt;='材料与任务'!$E$19,'材料与任务'!$E$20,IF(A768&gt;='材料与任务'!$E$13,'材料与任务'!$E$14,'材料与任务'!$E$8)))))*G768,0)</x:f>
        <x:v>6</x:v>
      </x:c>
      <x:c r="Q768" s="119" t="n">
        <x:f>ROUNDDOWN((IF(A768&gt;='材料与任务'!$E$31,'材料与任务'!$E$33,IF(A768&gt;='材料与任务'!$E$25,'材料与任务'!$E$27,IF(A768&gt;='材料与任务'!$E$19,'材料与任务'!$E$21,IF(A768&gt;='材料与任务'!$E$13,'材料与任务'!$E$15,'材料与任务'!$E$9)))))*G768,0)</x:f>
        <x:v>3</x:v>
      </x:c>
      <x:c r="R768" s="110" t="n">
        <x:f>'装备掉落'!$B$38</x:f>
        <x:v>0.6872058758851213</x:v>
      </x:c>
      <x:c r="S768" s="119" t="n">
        <x:f>MAX(IF(VLOOKUP(A768,'装备掉落'!$A$29:$H$34,2,TRUE)&gt;0,1,0),IF(VLOOKUP(A768,'装备掉落'!$A$29:$H$34,3,TRUE)&gt;0,2,0),IF(VLOOKUP(A768,'装备掉落'!$A$29:$H$34,4,TRUE)&gt;0,3,0),IF(VLOOKUP(A768,'装备掉落'!$A$29:$H$34,5,TRUE)&gt;0,4,0),IF(VLOOKUP(A768,'装备掉落'!$A$29:$H$34,6,TRUE)&gt;0,5,0),IF(VLOOKUP(A768,'装备掉落'!$A$29:$H$34,7,TRUE)&gt;0,6,0),IF(VLOOKUP(A768,'装备掉落'!$A$29:$H$34,8,TRUE)&gt;0,7,0))</x:f>
        <x:v>7</x:v>
      </x:c>
      <x:c r="T768" s="119" t="n">
        <x:f>MIN(7,S768+'经济参数'!$E$70)</x:f>
        <x:v>7</x:v>
      </x:c>
      <x:c r="U768" s="119" t="n">
        <x:f>MIN(7,S768+'经济参数'!$E$71)</x:f>
        <x:v>7</x:v>
      </x:c>
      <x:c r="V768" s="119" t="n">
        <x:f>IF(H768&gt;=('难度参数'!$E$52),1,0)+IF(H768&gt;=('难度参数'!$E$52+'难度参数'!$E$53),1,0)+IF(H768&gt;=('难度参数'!$E$52+'难度参数'!$E$53+'难度参数'!$E$54),1,0)+IF(H768&gt;=('难度参数'!$E$52+'难度参数'!$E$53+'难度参数'!$E$54+'难度参数'!$E$55),1,0)+IF(H768&gt;=('难度参数'!$E$52+'难度参数'!$E$53+'难度参数'!$E$54+'难度参数'!$E$55+'难度参数'!$E$56),1,0)+IF(H768&gt;=('难度参数'!$E$52+'难度参数'!$E$53+'难度参数'!$E$54+'难度参数'!$E$55+'难度参数'!$E$56+'难度参数'!$E$57),1,0)</x:f>
        <x:v>6</x:v>
      </x:c>
      <x:c r="W768" s="62" t="str">
        <x:f>IF(L768&gt;'难度参数'!$E$51,"仅出怪已超目标","还需实测")</x:f>
        <x:v>仅出怪已超目标</x:v>
      </x:c>
      <x:c r="X768" s="119" t="n">
        <x:f>IF(1&gt;D768,0,MAX(2,MIN('难度参数'!$E$12,ROUND(('难度参数'!$E$18*POWER(A768,'难度参数'!$E$19)/D768*(0.85+0.3*(1-1)/MAX(1,D768-1))),0)+F768)))</x:f>
        <x:v>41</x:v>
      </x:c>
      <x:c r="Y768" s="119" t="n">
        <x:f>IF(1&gt;D768,0,ROUND(('难度参数'!$E$13*POWER(A768,'难度参数'!$E$20)*MIN('难度参数'!$E$23,1+MAX(0,A768-'难度参数'!$E$21)*'难度参数'!$E$22))*(36+1*7)/(36+7*(D768+1)/2)*E768,0))</x:f>
        <x:v>10780</x:v>
      </x:c>
      <x:c r="Z768" s="119" t="n">
        <x:f>IF(X768=0,0,(X768-IF(1=D768,1,0))*ROUND(Y768*VLOOKUP(INDEX('章节与怪物'!$E$31:$K$37,B768,1),'章节与怪物'!$A$41:$F$44,2,FALSE),0)+IF(1=D768,ROUND(Y768*'难度参数'!$E$28*'章节与怪物'!$E$17,0),0))</x:f>
        <x:v>318242</x:v>
      </x:c>
      <x:c r="AA768" s="119" t="n">
        <x:f>IF(X768=0,0,(X768-IF(1=D768,1,0))*VLOOKUP(INDEX('章节与怪物'!$E$31:$K$37,B768,1),'章节与怪物'!$A$41:$F$44,4,FALSE)+IF(1=D768,'难度参数'!$E$30,0))</x:f>
        <x:v>820</x:v>
      </x:c>
      <x:c r="AB768" s="119" t="n">
        <x:f>IF(2&gt;D768,0,MAX(2,MIN('难度参数'!$E$12,ROUND(('难度参数'!$E$18*POWER(A768,'难度参数'!$E$19)/D768*(0.85+0.3*(2-1)/MAX(1,D768-1))),0)+F768)))</x:f>
        <x:v>43</x:v>
      </x:c>
      <x:c r="AC768" s="119" t="n">
        <x:f>IF(2&gt;D768,0,ROUND(('难度参数'!$E$13*POWER(A768,'难度参数'!$E$20)*MIN('难度参数'!$E$23,1+MAX(0,A768-'难度参数'!$E$21)*'难度参数'!$E$22))*(36+2*7)/(36+7*(D768+1)/2)*E768,0))</x:f>
        <x:v>12535</x:v>
      </x:c>
      <x:c r="AD768" s="119" t="n">
        <x:f>IF(AB768=0,0,(AB768-IF(2=D768,1,0))*ROUND(AC768*VLOOKUP(INDEX('章节与怪物'!$E$31:$K$37,B768,2),'章节与怪物'!$A$41:$F$44,2,FALSE),0)+IF(2=D768,ROUND(AC768*'难度参数'!$E$28*'章节与怪物'!$E$17,0),0))</x:f>
        <x:v>539005</x:v>
      </x:c>
      <x:c r="AE768" s="119" t="n">
        <x:f>IF(AB768=0,0,(AB768-IF(2=D768,1,0))*VLOOKUP(INDEX('章节与怪物'!$E$31:$K$37,B768,2),'章节与怪物'!$A$41:$F$44,4,FALSE)+IF(2=D768,'难度参数'!$E$30,0))</x:f>
        <x:v>774</x:v>
      </x:c>
      <x:c r="AF768" s="119" t="n">
        <x:f>IF(3&gt;D768,0,MAX(2,MIN('难度参数'!$E$12,ROUND(('难度参数'!$E$18*POWER(A768,'难度参数'!$E$19)/D768*(0.85+0.3*(3-1)/MAX(1,D768-1))),0)+F768)))</x:f>
        <x:v>46</x:v>
      </x:c>
      <x:c r="AG768" s="119" t="n">
        <x:f>IF(3&gt;D768,0,ROUND(('难度参数'!$E$13*POWER(A768,'难度参数'!$E$20)*MIN('难度参数'!$E$23,1+MAX(0,A768-'难度参数'!$E$21)*'难度参数'!$E$22))*(36+3*7)/(36+7*(D768+1)/2)*E768,0))</x:f>
        <x:v>14290</x:v>
      </x:c>
      <x:c r="AH768" s="119" t="n">
        <x:f>IF(AF768=0,0,(AF768-IF(3=D768,1,0))*ROUND(AG768*VLOOKUP(INDEX('章节与怪物'!$E$31:$K$37,B768,3),'章节与怪物'!$A$41:$F$44,2,FALSE),0)+IF(3=D768,ROUND(AG768*'难度参数'!$E$28*'章节与怪物'!$E$17,0),0))</x:f>
        <x:v>1117478</x:v>
      </x:c>
      <x:c r="AI768" s="119" t="n">
        <x:f>IF(AF768=0,0,(AF768-IF(3=D768,1,0))*VLOOKUP(INDEX('章节与怪物'!$E$31:$K$37,B768,3),'章节与怪物'!$A$41:$F$44,4,FALSE)+IF(3=D768,'难度参数'!$E$30,0))</x:f>
        <x:v>1288</x:v>
      </x:c>
      <x:c r="AJ768" s="119" t="n">
        <x:f>IF(4&gt;D768,0,MAX(2,MIN('难度参数'!$E$12,ROUND(('难度参数'!$E$18*POWER(A768,'难度参数'!$E$19)/D768*(0.85+0.3*(4-1)/MAX(1,D768-1))),0)+F768)))</x:f>
        <x:v>48</x:v>
      </x:c>
      <x:c r="AK768" s="119" t="n">
        <x:f>IF(4&gt;D768,0,ROUND(('难度参数'!$E$13*POWER(A768,'难度参数'!$E$20)*MIN('难度参数'!$E$23,1+MAX(0,A768-'难度参数'!$E$21)*'难度参数'!$E$22))*(36+4*7)/(36+7*(D768+1)/2)*E768,0))</x:f>
        <x:v>16045</x:v>
      </x:c>
      <x:c r="AL768" s="119" t="n">
        <x:f>IF(AJ768=0,0,(AJ768-IF(4=D768,1,0))*ROUND(AK768*VLOOKUP(INDEX('章节与怪物'!$E$31:$K$37,B768,4),'章节与怪物'!$A$41:$F$44,2,FALSE),0)+IF(4=D768,ROUND(AK768*'难度参数'!$E$28*'章节与怪物'!$E$17,0),0))</x:f>
        <x:v>1039728</x:v>
      </x:c>
      <x:c r="AM768" s="119" t="n">
        <x:f>IF(AJ768=0,0,(AJ768-IF(4=D768,1,0))*VLOOKUP(INDEX('章节与怪物'!$E$31:$K$37,B768,4),'章节与怪物'!$A$41:$F$44,4,FALSE)+IF(4=D768,'难度参数'!$E$30,0))</x:f>
        <x:v>1632</x:v>
      </x:c>
      <x:c r="AN768" s="119" t="n">
        <x:f>IF(5&gt;D768,0,MAX(2,MIN('难度参数'!$E$12,ROUND(('难度参数'!$E$18*POWER(A768,'难度参数'!$E$19)/D768*(0.85+0.3*(5-1)/MAX(1,D768-1))),0)+F768)))</x:f>
        <x:v>50</x:v>
      </x:c>
      <x:c r="AO768" s="119" t="n">
        <x:f>IF(5&gt;D768,0,ROUND(('难度参数'!$E$13*POWER(A768,'难度参数'!$E$20)*MIN('难度参数'!$E$23,1+MAX(0,A768-'难度参数'!$E$21)*'难度参数'!$E$22))*(36+5*7)/(36+7*(D768+1)/2)*E768,0))</x:f>
        <x:v>17800</x:v>
      </x:c>
      <x:c r="AP768" s="119" t="n">
        <x:f>IF(AN768=0,0,(AN768-IF(5=D768,1,0))*ROUND(AO768*VLOOKUP(INDEX('章节与怪物'!$E$31:$K$37,B768,5),'章节与怪物'!$A$41:$F$44,2,FALSE),0)+IF(5=D768,ROUND(AO768*'难度参数'!$E$28*'章节与怪物'!$E$17,0),0))</x:f>
        <x:v>890000</x:v>
      </x:c>
      <x:c r="AQ768" s="119" t="n">
        <x:f>IF(AN768=0,0,(AN768-IF(5=D768,1,0))*VLOOKUP(INDEX('章节与怪物'!$E$31:$K$37,B768,5),'章节与怪物'!$A$41:$F$44,4,FALSE)+IF(5=D768,'难度参数'!$E$30,0))</x:f>
        <x:v>900</x:v>
      </x:c>
      <x:c r="AR768" s="119" t="n">
        <x:f>IF(6&gt;D768,0,MAX(2,MIN('难度参数'!$E$12,ROUND(('难度参数'!$E$18*POWER(A768,'难度参数'!$E$19)/D768*(0.85+0.3*(6-1)/MAX(1,D768-1))),0)+F768)))</x:f>
        <x:v>53</x:v>
      </x:c>
      <x:c r="AS768" s="119" t="n">
        <x:f>IF(6&gt;D768,0,ROUND(('难度参数'!$E$13*POWER(A768,'难度参数'!$E$20)*MIN('难度参数'!$E$23,1+MAX(0,A768-'难度参数'!$E$21)*'难度参数'!$E$22))*(36+6*7)/(36+7*(D768+1)/2)*E768,0))</x:f>
        <x:v>19555</x:v>
      </x:c>
      <x:c r="AT768" s="119" t="n">
        <x:f>IF(AR768=0,0,(AR768-IF(6=D768,1,0))*ROUND(AS768*VLOOKUP(INDEX('章节与怪物'!$E$31:$K$37,B768,6),'章节与怪物'!$A$41:$F$44,2,FALSE),0)+IF(6=D768,ROUND(AS768*'难度参数'!$E$28*'章节与怪物'!$E$17,0),0))</x:f>
        <x:v>1761932</x:v>
      </x:c>
      <x:c r="AU768" s="119" t="n">
        <x:f>IF(AR768=0,0,(AR768-IF(6=D768,1,0))*VLOOKUP(INDEX('章节与怪物'!$E$31:$K$37,B768,6),'章节与怪物'!$A$41:$F$44,4,FALSE)+IF(6=D768,'难度参数'!$E$30,0))</x:f>
        <x:v>1484</x:v>
      </x:c>
      <x:c r="AV768" s="119" t="n">
        <x:f>IF(7&gt;D768,0,MAX(2,MIN('难度参数'!$E$12,ROUND(('难度参数'!$E$18*POWER(A768,'难度参数'!$E$19)/D768*(0.85+0.3*(7-1)/MAX(1,D768-1))),0)+F768)))</x:f>
        <x:v>55</x:v>
      </x:c>
      <x:c r="AW768" s="119" t="n">
        <x:f>IF(7&gt;D768,0,ROUND(('难度参数'!$E$13*POWER(A768,'难度参数'!$E$20)*MIN('难度参数'!$E$23,1+MAX(0,A768-'难度参数'!$E$21)*'难度参数'!$E$22))*(36+7*7)/(36+7*(D768+1)/2)*E768,0))</x:f>
        <x:v>21310</x:v>
      </x:c>
      <x:c r="AX768" s="119" t="n">
        <x:f>IF(AV768=0,0,(AV768-IF(7=D768,1,0))*ROUND(AW768*VLOOKUP(INDEX('章节与怪物'!$E$31:$K$37,B768,7),'章节与怪物'!$A$41:$F$44,2,FALSE),0)+IF(7=D768,ROUND(AW768*'难度参数'!$E$28*'章节与怪物'!$E$17,0),0))</x:f>
        <x:v>1698434</x:v>
      </x:c>
      <x:c r="AY768" s="119" t="n">
        <x:f>IF(AV768=0,0,(AV768-IF(7=D768,1,0))*VLOOKUP(INDEX('章节与怪物'!$E$31:$K$37,B768,7),'章节与怪物'!$A$41:$F$44,4,FALSE)+IF(7=D768,'难度参数'!$E$30,0))</x:f>
        <x:v>2036</x:v>
      </x:c>
    </x:row>
    <x:row r="769" ht="23" customHeight="1">
      <x:c r="A769" s="119" t="n">
        <x:v>763</x:v>
      </x:c>
      <x:c r="B769" s="119" t="n">
        <x:f>MOD(INT((A769-1)/5),7)+1</x:f>
        <x:v>6</x:v>
      </x:c>
      <x:c r="C769" s="62" t="str">
        <x:f>INDEX('章节与怪物'!$B$31:$B$37,B769)</x:f>
        <x:v>熔岩山脉</x:v>
      </x:c>
      <x:c r="D769" s="119" t="n">
        <x:f>MIN('难度参数'!$E$8,MAX('难度参数'!$E$7,A769))</x:f>
        <x:v>7</x:v>
      </x:c>
      <x:c r="E769" s="106" t="n">
        <x:v>1</x:v>
      </x:c>
      <x:c r="F769" s="106" t="n">
        <x:v>0</x:v>
      </x:c>
      <x:c r="G769" s="106" t="n">
        <x:v>1</x:v>
      </x:c>
      <x:c r="H769" s="119" t="n">
        <x:f>SUM(X769,AB769,AF769,AJ769,AN769,AR769,AV769)</x:f>
        <x:v>337</x:v>
      </x:c>
      <x:c r="I769" s="119" t="n">
        <x:f>SUM(Z769,AD769,AH769,AL769,AP769,AT769,AX769)</x:f>
        <x:v>7389537</x:v>
      </x:c>
      <x:c r="J769" s="119" t="n">
        <x:f>ROUND(INDEX(X769:AY769,1,(D769-1)*4+2)*'难度参数'!$E$28*'章节与怪物'!$E$17,0)</x:f>
        <x:v>145044</x:v>
      </x:c>
      <x:c r="K769" s="119" t="n">
        <x:f>SUM(AA769,AE769,AI769,AM769,AQ769,AU769,AY769)</x:f>
        <x:v>8952</x:v>
      </x:c>
      <x:c r="L769" s="62" t="n">
        <x:f>H769*(ROUNDUP('难度参数'!$E$24/('难度参数'!$E$26*'难度参数'!$E$27),0)*'难度参数'!$E$26)/60</x:f>
        <x:v>4.493333333333334</x:v>
      </x:c>
      <x:c r="M769" s="62" t="n">
        <x:f>L769+D769*('难度参数'!$E$49+'难度参数'!$E$50)/60</x:f>
        <x:v>5.660000000000001</x:v>
      </x:c>
      <x:c r="N769" s="119" t="n">
        <x:f>ROUNDDOWN(('经济参数'!$E$20+A769*'经济参数'!$E$21)*G769,0)</x:f>
        <x:v>15440</x:v>
      </x:c>
      <x:c r="O769" s="119" t="n">
        <x:f>ROUNDDOWN(MIN('经济参数'!$E$24,'经济参数'!$E$22+A769*'经济参数'!$E$23)*G769,0)</x:f>
        <x:v>0</x:v>
      </x:c>
      <x:c r="P769" s="119" t="n">
        <x:f>ROUNDDOWN((IF(A769&gt;='材料与任务'!$E$31,'材料与任务'!$E$32,IF(A769&gt;='材料与任务'!$E$25,'材料与任务'!$E$26,IF(A769&gt;='材料与任务'!$E$19,'材料与任务'!$E$20,IF(A769&gt;='材料与任务'!$E$13,'材料与任务'!$E$14,'材料与任务'!$E$8)))))*G769,0)</x:f>
        <x:v>6</x:v>
      </x:c>
      <x:c r="Q769" s="119" t="n">
        <x:f>ROUNDDOWN((IF(A769&gt;='材料与任务'!$E$31,'材料与任务'!$E$33,IF(A769&gt;='材料与任务'!$E$25,'材料与任务'!$E$27,IF(A769&gt;='材料与任务'!$E$19,'材料与任务'!$E$21,IF(A769&gt;='材料与任务'!$E$13,'材料与任务'!$E$15,'材料与任务'!$E$9)))))*G769,0)</x:f>
        <x:v>3</x:v>
      </x:c>
      <x:c r="R769" s="110" t="n">
        <x:f>'装备掉落'!$B$38</x:f>
        <x:v>0.6872058758851213</x:v>
      </x:c>
      <x:c r="S769" s="119" t="n">
        <x:f>MAX(IF(VLOOKUP(A769,'装备掉落'!$A$29:$H$34,2,TRUE)&gt;0,1,0),IF(VLOOKUP(A769,'装备掉落'!$A$29:$H$34,3,TRUE)&gt;0,2,0),IF(VLOOKUP(A769,'装备掉落'!$A$29:$H$34,4,TRUE)&gt;0,3,0),IF(VLOOKUP(A769,'装备掉落'!$A$29:$H$34,5,TRUE)&gt;0,4,0),IF(VLOOKUP(A769,'装备掉落'!$A$29:$H$34,6,TRUE)&gt;0,5,0),IF(VLOOKUP(A769,'装备掉落'!$A$29:$H$34,7,TRUE)&gt;0,6,0),IF(VLOOKUP(A769,'装备掉落'!$A$29:$H$34,8,TRUE)&gt;0,7,0))</x:f>
        <x:v>7</x:v>
      </x:c>
      <x:c r="T769" s="119" t="n">
        <x:f>MIN(7,S769+'经济参数'!$E$70)</x:f>
        <x:v>7</x:v>
      </x:c>
      <x:c r="U769" s="119" t="n">
        <x:f>MIN(7,S769+'经济参数'!$E$71)</x:f>
        <x:v>7</x:v>
      </x:c>
      <x:c r="V769" s="119" t="n">
        <x:f>IF(H769&gt;=('难度参数'!$E$52),1,0)+IF(H769&gt;=('难度参数'!$E$52+'难度参数'!$E$53),1,0)+IF(H769&gt;=('难度参数'!$E$52+'难度参数'!$E$53+'难度参数'!$E$54),1,0)+IF(H769&gt;=('难度参数'!$E$52+'难度参数'!$E$53+'难度参数'!$E$54+'难度参数'!$E$55),1,0)+IF(H769&gt;=('难度参数'!$E$52+'难度参数'!$E$53+'难度参数'!$E$54+'难度参数'!$E$55+'难度参数'!$E$56),1,0)+IF(H769&gt;=('难度参数'!$E$52+'难度参数'!$E$53+'难度参数'!$E$54+'难度参数'!$E$55+'难度参数'!$E$56+'难度参数'!$E$57),1,0)</x:f>
        <x:v>6</x:v>
      </x:c>
      <x:c r="W769" s="62" t="str">
        <x:f>IF(L769&gt;'难度参数'!$E$51,"仅出怪已超目标","还需实测")</x:f>
        <x:v>仅出怪已超目标</x:v>
      </x:c>
      <x:c r="X769" s="119" t="n">
        <x:f>IF(1&gt;D769,0,MAX(2,MIN('难度参数'!$E$12,ROUND(('难度参数'!$E$18*POWER(A769,'难度参数'!$E$19)/D769*(0.85+0.3*(1-1)/MAX(1,D769-1))),0)+F769)))</x:f>
        <x:v>41</x:v>
      </x:c>
      <x:c r="Y769" s="119" t="n">
        <x:f>IF(1&gt;D769,0,ROUND(('难度参数'!$E$13*POWER(A769,'难度参数'!$E$20)*MIN('难度参数'!$E$23,1+MAX(0,A769-'难度参数'!$E$21)*'难度参数'!$E$22))*(36+1*7)/(36+7*(D769+1)/2)*E769,0))</x:f>
        <x:v>10790</x:v>
      </x:c>
      <x:c r="Z769" s="119" t="n">
        <x:f>IF(X769=0,0,(X769-IF(1=D769,1,0))*ROUND(Y769*VLOOKUP(INDEX('章节与怪物'!$E$31:$K$37,B769,1),'章节与怪物'!$A$41:$F$44,2,FALSE),0)+IF(1=D769,ROUND(Y769*'难度参数'!$E$28*'章节与怪物'!$E$17,0),0))</x:f>
        <x:v>318529</x:v>
      </x:c>
      <x:c r="AA769" s="119" t="n">
        <x:f>IF(X769=0,0,(X769-IF(1=D769,1,0))*VLOOKUP(INDEX('章节与怪物'!$E$31:$K$37,B769,1),'章节与怪物'!$A$41:$F$44,4,FALSE)+IF(1=D769,'难度参数'!$E$30,0))</x:f>
        <x:v>820</x:v>
      </x:c>
      <x:c r="AB769" s="119" t="n">
        <x:f>IF(2&gt;D769,0,MAX(2,MIN('难度参数'!$E$12,ROUND(('难度参数'!$E$18*POWER(A769,'难度参数'!$E$19)/D769*(0.85+0.3*(2-1)/MAX(1,D769-1))),0)+F769)))</x:f>
        <x:v>43</x:v>
      </x:c>
      <x:c r="AC769" s="119" t="n">
        <x:f>IF(2&gt;D769,0,ROUND(('难度参数'!$E$13*POWER(A769,'难度参数'!$E$20)*MIN('难度参数'!$E$23,1+MAX(0,A769-'难度参数'!$E$21)*'难度参数'!$E$22))*(36+2*7)/(36+7*(D769+1)/2)*E769,0))</x:f>
        <x:v>12547</x:v>
      </x:c>
      <x:c r="AD769" s="119" t="n">
        <x:f>IF(AB769=0,0,(AB769-IF(2=D769,1,0))*ROUND(AC769*VLOOKUP(INDEX('章节与怪物'!$E$31:$K$37,B769,2),'章节与怪物'!$A$41:$F$44,2,FALSE),0)+IF(2=D769,ROUND(AC769*'难度参数'!$E$28*'章节与怪物'!$E$17,0),0))</x:f>
        <x:v>539521</x:v>
      </x:c>
      <x:c r="AE769" s="119" t="n">
        <x:f>IF(AB769=0,0,(AB769-IF(2=D769,1,0))*VLOOKUP(INDEX('章节与怪物'!$E$31:$K$37,B769,2),'章节与怪物'!$A$41:$F$44,4,FALSE)+IF(2=D769,'难度参数'!$E$30,0))</x:f>
        <x:v>774</x:v>
      </x:c>
      <x:c r="AF769" s="119" t="n">
        <x:f>IF(3&gt;D769,0,MAX(2,MIN('难度参数'!$E$12,ROUND(('难度参数'!$E$18*POWER(A769,'难度参数'!$E$19)/D769*(0.85+0.3*(3-1)/MAX(1,D769-1))),0)+F769)))</x:f>
        <x:v>46</x:v>
      </x:c>
      <x:c r="AG769" s="119" t="n">
        <x:f>IF(3&gt;D769,0,ROUND(('难度参数'!$E$13*POWER(A769,'难度参数'!$E$20)*MIN('难度参数'!$E$23,1+MAX(0,A769-'难度参数'!$E$21)*'难度参数'!$E$22))*(36+3*7)/(36+7*(D769+1)/2)*E769,0))</x:f>
        <x:v>14304</x:v>
      </x:c>
      <x:c r="AH769" s="119" t="n">
        <x:f>IF(AF769=0,0,(AF769-IF(3=D769,1,0))*ROUND(AG769*VLOOKUP(INDEX('章节与怪物'!$E$31:$K$37,B769,3),'章节与怪物'!$A$41:$F$44,2,FALSE),0)+IF(3=D769,ROUND(AG769*'难度参数'!$E$28*'章节与怪物'!$E$17,0),0))</x:f>
        <x:v>1118582</x:v>
      </x:c>
      <x:c r="AI769" s="119" t="n">
        <x:f>IF(AF769=0,0,(AF769-IF(3=D769,1,0))*VLOOKUP(INDEX('章节与怪物'!$E$31:$K$37,B769,3),'章节与怪物'!$A$41:$F$44,4,FALSE)+IF(3=D769,'难度参数'!$E$30,0))</x:f>
        <x:v>1288</x:v>
      </x:c>
      <x:c r="AJ769" s="119" t="n">
        <x:f>IF(4&gt;D769,0,MAX(2,MIN('难度参数'!$E$12,ROUND(('难度参数'!$E$18*POWER(A769,'难度参数'!$E$19)/D769*(0.85+0.3*(4-1)/MAX(1,D769-1))),0)+F769)))</x:f>
        <x:v>48</x:v>
      </x:c>
      <x:c r="AK769" s="119" t="n">
        <x:f>IF(4&gt;D769,0,ROUND(('难度参数'!$E$13*POWER(A769,'难度参数'!$E$20)*MIN('难度参数'!$E$23,1+MAX(0,A769-'难度参数'!$E$21)*'难度参数'!$E$22))*(36+4*7)/(36+7*(D769+1)/2)*E769,0))</x:f>
        <x:v>16060</x:v>
      </x:c>
      <x:c r="AL769" s="119" t="n">
        <x:f>IF(AJ769=0,0,(AJ769-IF(4=D769,1,0))*ROUND(AK769*VLOOKUP(INDEX('章节与怪物'!$E$31:$K$37,B769,4),'章节与怪物'!$A$41:$F$44,2,FALSE),0)+IF(4=D769,ROUND(AK769*'难度参数'!$E$28*'章节与怪物'!$E$17,0),0))</x:f>
        <x:v>1040688</x:v>
      </x:c>
      <x:c r="AM769" s="119" t="n">
        <x:f>IF(AJ769=0,0,(AJ769-IF(4=D769,1,0))*VLOOKUP(INDEX('章节与怪物'!$E$31:$K$37,B769,4),'章节与怪物'!$A$41:$F$44,4,FALSE)+IF(4=D769,'难度参数'!$E$30,0))</x:f>
        <x:v>1632</x:v>
      </x:c>
      <x:c r="AN769" s="119" t="n">
        <x:f>IF(5&gt;D769,0,MAX(2,MIN('难度参数'!$E$12,ROUND(('难度参数'!$E$18*POWER(A769,'难度参数'!$E$19)/D769*(0.85+0.3*(5-1)/MAX(1,D769-1))),0)+F769)))</x:f>
        <x:v>51</x:v>
      </x:c>
      <x:c r="AO769" s="119" t="n">
        <x:f>IF(5&gt;D769,0,ROUND(('难度参数'!$E$13*POWER(A769,'难度参数'!$E$20)*MIN('难度参数'!$E$23,1+MAX(0,A769-'难度参数'!$E$21)*'难度参数'!$E$22))*(36+5*7)/(36+7*(D769+1)/2)*E769,0))</x:f>
        <x:v>17817</x:v>
      </x:c>
      <x:c r="AP769" s="119" t="n">
        <x:f>IF(AN769=0,0,(AN769-IF(5=D769,1,0))*ROUND(AO769*VLOOKUP(INDEX('章节与怪物'!$E$31:$K$37,B769,5),'章节与怪物'!$A$41:$F$44,2,FALSE),0)+IF(5=D769,ROUND(AO769*'难度参数'!$E$28*'章节与怪物'!$E$17,0),0))</x:f>
        <x:v>908667</x:v>
      </x:c>
      <x:c r="AQ769" s="119" t="n">
        <x:f>IF(AN769=0,0,(AN769-IF(5=D769,1,0))*VLOOKUP(INDEX('章节与怪物'!$E$31:$K$37,B769,5),'章节与怪物'!$A$41:$F$44,4,FALSE)+IF(5=D769,'难度参数'!$E$30,0))</x:f>
        <x:v>918</x:v>
      </x:c>
      <x:c r="AR769" s="119" t="n">
        <x:f>IF(6&gt;D769,0,MAX(2,MIN('难度参数'!$E$12,ROUND(('难度参数'!$E$18*POWER(A769,'难度参数'!$E$19)/D769*(0.85+0.3*(6-1)/MAX(1,D769-1))),0)+F769)))</x:f>
        <x:v>53</x:v>
      </x:c>
      <x:c r="AS769" s="119" t="n">
        <x:f>IF(6&gt;D769,0,ROUND(('难度参数'!$E$13*POWER(A769,'难度参数'!$E$20)*MIN('难度参数'!$E$23,1+MAX(0,A769-'难度参数'!$E$21)*'难度参数'!$E$22))*(36+6*7)/(36+7*(D769+1)/2)*E769,0))</x:f>
        <x:v>19573</x:v>
      </x:c>
      <x:c r="AT769" s="119" t="n">
        <x:f>IF(AR769=0,0,(AR769-IF(6=D769,1,0))*ROUND(AS769*VLOOKUP(INDEX('章节与怪物'!$E$31:$K$37,B769,6),'章节与怪物'!$A$41:$F$44,2,FALSE),0)+IF(6=D769,ROUND(AS769*'难度参数'!$E$28*'章节与怪物'!$E$17,0),0))</x:f>
        <x:v>1763522</x:v>
      </x:c>
      <x:c r="AU769" s="119" t="n">
        <x:f>IF(AR769=0,0,(AR769-IF(6=D769,1,0))*VLOOKUP(INDEX('章节与怪物'!$E$31:$K$37,B769,6),'章节与怪物'!$A$41:$F$44,4,FALSE)+IF(6=D769,'难度参数'!$E$30,0))</x:f>
        <x:v>1484</x:v>
      </x:c>
      <x:c r="AV769" s="119" t="n">
        <x:f>IF(7&gt;D769,0,MAX(2,MIN('难度参数'!$E$12,ROUND(('难度参数'!$E$18*POWER(A769,'难度参数'!$E$19)/D769*(0.85+0.3*(7-1)/MAX(1,D769-1))),0)+F769)))</x:f>
        <x:v>55</x:v>
      </x:c>
      <x:c r="AW769" s="119" t="n">
        <x:f>IF(7&gt;D769,0,ROUND(('难度参数'!$E$13*POWER(A769,'难度参数'!$E$20)*MIN('难度参数'!$E$23,1+MAX(0,A769-'难度参数'!$E$21)*'难度参数'!$E$22))*(36+7*7)/(36+7*(D769+1)/2)*E769,0))</x:f>
        <x:v>21330</x:v>
      </x:c>
      <x:c r="AX769" s="119" t="n">
        <x:f>IF(AV769=0,0,(AV769-IF(7=D769,1,0))*ROUND(AW769*VLOOKUP(INDEX('章节与怪物'!$E$31:$K$37,B769,7),'章节与怪物'!$A$41:$F$44,2,FALSE),0)+IF(7=D769,ROUND(AW769*'难度参数'!$E$28*'章节与怪物'!$E$17,0),0))</x:f>
        <x:v>1700028</x:v>
      </x:c>
      <x:c r="AY769" s="119" t="n">
        <x:f>IF(AV769=0,0,(AV769-IF(7=D769,1,0))*VLOOKUP(INDEX('章节与怪物'!$E$31:$K$37,B769,7),'章节与怪物'!$A$41:$F$44,4,FALSE)+IF(7=D769,'难度参数'!$E$30,0))</x:f>
        <x:v>2036</x:v>
      </x:c>
    </x:row>
    <x:row r="770" ht="23" customHeight="1">
      <x:c r="A770" s="119" t="n">
        <x:v>764</x:v>
      </x:c>
      <x:c r="B770" s="119" t="n">
        <x:f>MOD(INT((A770-1)/5),7)+1</x:f>
        <x:v>6</x:v>
      </x:c>
      <x:c r="C770" s="62" t="str">
        <x:f>INDEX('章节与怪物'!$B$31:$B$37,B770)</x:f>
        <x:v>熔岩山脉</x:v>
      </x:c>
      <x:c r="D770" s="119" t="n">
        <x:f>MIN('难度参数'!$E$8,MAX('难度参数'!$E$7,A770))</x:f>
        <x:v>7</x:v>
      </x:c>
      <x:c r="E770" s="106" t="n">
        <x:v>1</x:v>
      </x:c>
      <x:c r="F770" s="106" t="n">
        <x:v>0</x:v>
      </x:c>
      <x:c r="G770" s="106" t="n">
        <x:v>1</x:v>
      </x:c>
      <x:c r="H770" s="119" t="n">
        <x:f>SUM(X770,AB770,AF770,AJ770,AN770,AR770,AV770)</x:f>
        <x:v>337</x:v>
      </x:c>
      <x:c r="I770" s="119" t="n">
        <x:f>SUM(Z770,AD770,AH770,AL770,AP770,AT770,AX770)</x:f>
        <x:v>7396510</x:v>
      </x:c>
      <x:c r="J770" s="119" t="n">
        <x:f>ROUND(INDEX(X770:AY770,1,(D770-1)*4+2)*'难度参数'!$E$28*'章节与怪物'!$E$17,0)</x:f>
        <x:v>145180</x:v>
      </x:c>
      <x:c r="K770" s="119" t="n">
        <x:f>SUM(AA770,AE770,AI770,AM770,AQ770,AU770,AY770)</x:f>
        <x:v>8952</x:v>
      </x:c>
      <x:c r="L770" s="62" t="n">
        <x:f>H770*(ROUNDUP('难度参数'!$E$24/('难度参数'!$E$26*'难度参数'!$E$27),0)*'难度参数'!$E$26)/60</x:f>
        <x:v>4.493333333333334</x:v>
      </x:c>
      <x:c r="M770" s="62" t="n">
        <x:f>L770+D770*('难度参数'!$E$49+'难度参数'!$E$50)/60</x:f>
        <x:v>5.660000000000001</x:v>
      </x:c>
      <x:c r="N770" s="119" t="n">
        <x:f>ROUNDDOWN(('经济参数'!$E$20+A770*'经济参数'!$E$21)*G770,0)</x:f>
        <x:v>15460</x:v>
      </x:c>
      <x:c r="O770" s="119" t="n">
        <x:f>ROUNDDOWN(MIN('经济参数'!$E$24,'经济参数'!$E$22+A770*'经济参数'!$E$23)*G770,0)</x:f>
        <x:v>0</x:v>
      </x:c>
      <x:c r="P770" s="119" t="n">
        <x:f>ROUNDDOWN((IF(A770&gt;='材料与任务'!$E$31,'材料与任务'!$E$32,IF(A770&gt;='材料与任务'!$E$25,'材料与任务'!$E$26,IF(A770&gt;='材料与任务'!$E$19,'材料与任务'!$E$20,IF(A770&gt;='材料与任务'!$E$13,'材料与任务'!$E$14,'材料与任务'!$E$8)))))*G770,0)</x:f>
        <x:v>6</x:v>
      </x:c>
      <x:c r="Q770" s="119" t="n">
        <x:f>ROUNDDOWN((IF(A770&gt;='材料与任务'!$E$31,'材料与任务'!$E$33,IF(A770&gt;='材料与任务'!$E$25,'材料与任务'!$E$27,IF(A770&gt;='材料与任务'!$E$19,'材料与任务'!$E$21,IF(A770&gt;='材料与任务'!$E$13,'材料与任务'!$E$15,'材料与任务'!$E$9)))))*G770,0)</x:f>
        <x:v>3</x:v>
      </x:c>
      <x:c r="R770" s="110" t="n">
        <x:f>'装备掉落'!$B$38</x:f>
        <x:v>0.6872058758851213</x:v>
      </x:c>
      <x:c r="S770" s="119" t="n">
        <x:f>MAX(IF(VLOOKUP(A770,'装备掉落'!$A$29:$H$34,2,TRUE)&gt;0,1,0),IF(VLOOKUP(A770,'装备掉落'!$A$29:$H$34,3,TRUE)&gt;0,2,0),IF(VLOOKUP(A770,'装备掉落'!$A$29:$H$34,4,TRUE)&gt;0,3,0),IF(VLOOKUP(A770,'装备掉落'!$A$29:$H$34,5,TRUE)&gt;0,4,0),IF(VLOOKUP(A770,'装备掉落'!$A$29:$H$34,6,TRUE)&gt;0,5,0),IF(VLOOKUP(A770,'装备掉落'!$A$29:$H$34,7,TRUE)&gt;0,6,0),IF(VLOOKUP(A770,'装备掉落'!$A$29:$H$34,8,TRUE)&gt;0,7,0))</x:f>
        <x:v>7</x:v>
      </x:c>
      <x:c r="T770" s="119" t="n">
        <x:f>MIN(7,S770+'经济参数'!$E$70)</x:f>
        <x:v>7</x:v>
      </x:c>
      <x:c r="U770" s="119" t="n">
        <x:f>MIN(7,S770+'经济参数'!$E$71)</x:f>
        <x:v>7</x:v>
      </x:c>
      <x:c r="V770" s="119" t="n">
        <x:f>IF(H770&gt;=('难度参数'!$E$52),1,0)+IF(H770&gt;=('难度参数'!$E$52+'难度参数'!$E$53),1,0)+IF(H770&gt;=('难度参数'!$E$52+'难度参数'!$E$53+'难度参数'!$E$54),1,0)+IF(H770&gt;=('难度参数'!$E$52+'难度参数'!$E$53+'难度参数'!$E$54+'难度参数'!$E$55),1,0)+IF(H770&gt;=('难度参数'!$E$52+'难度参数'!$E$53+'难度参数'!$E$54+'难度参数'!$E$55+'难度参数'!$E$56),1,0)+IF(H770&gt;=('难度参数'!$E$52+'难度参数'!$E$53+'难度参数'!$E$54+'难度参数'!$E$55+'难度参数'!$E$56+'难度参数'!$E$57),1,0)</x:f>
        <x:v>6</x:v>
      </x:c>
      <x:c r="W770" s="62" t="str">
        <x:f>IF(L770&gt;'难度参数'!$E$51,"仅出怪已超目标","还需实测")</x:f>
        <x:v>仅出怪已超目标</x:v>
      </x:c>
      <x:c r="X770" s="119" t="n">
        <x:f>IF(1&gt;D770,0,MAX(2,MIN('难度参数'!$E$12,ROUND(('难度参数'!$E$18*POWER(A770,'难度参数'!$E$19)/D770*(0.85+0.3*(1-1)/MAX(1,D770-1))),0)+F770)))</x:f>
        <x:v>41</x:v>
      </x:c>
      <x:c r="Y770" s="119" t="n">
        <x:f>IF(1&gt;D770,0,ROUND(('难度参数'!$E$13*POWER(A770,'难度参数'!$E$20)*MIN('难度参数'!$E$23,1+MAX(0,A770-'难度参数'!$E$21)*'难度参数'!$E$22))*(36+1*7)/(36+7*(D770+1)/2)*E770,0))</x:f>
        <x:v>10801</x:v>
      </x:c>
      <x:c r="Z770" s="119" t="n">
        <x:f>IF(X770=0,0,(X770-IF(1=D770,1,0))*ROUND(Y770*VLOOKUP(INDEX('章节与怪物'!$E$31:$K$37,B770,1),'章节与怪物'!$A$41:$F$44,2,FALSE),0)+IF(1=D770,ROUND(Y770*'难度参数'!$E$28*'章节与怪物'!$E$17,0),0))</x:f>
        <x:v>318857</x:v>
      </x:c>
      <x:c r="AA770" s="119" t="n">
        <x:f>IF(X770=0,0,(X770-IF(1=D770,1,0))*VLOOKUP(INDEX('章节与怪物'!$E$31:$K$37,B770,1),'章节与怪物'!$A$41:$F$44,4,FALSE)+IF(1=D770,'难度参数'!$E$30,0))</x:f>
        <x:v>820</x:v>
      </x:c>
      <x:c r="AB770" s="119" t="n">
        <x:f>IF(2&gt;D770,0,MAX(2,MIN('难度参数'!$E$12,ROUND(('难度参数'!$E$18*POWER(A770,'难度参数'!$E$19)/D770*(0.85+0.3*(2-1)/MAX(1,D770-1))),0)+F770)))</x:f>
        <x:v>43</x:v>
      </x:c>
      <x:c r="AC770" s="119" t="n">
        <x:f>IF(2&gt;D770,0,ROUND(('难度参数'!$E$13*POWER(A770,'难度参数'!$E$20)*MIN('难度参数'!$E$23,1+MAX(0,A770-'难度参数'!$E$21)*'难度参数'!$E$22))*(36+2*7)/(36+7*(D770+1)/2)*E770,0))</x:f>
        <x:v>12559</x:v>
      </x:c>
      <x:c r="AD770" s="119" t="n">
        <x:f>IF(AB770=0,0,(AB770-IF(2=D770,1,0))*ROUND(AC770*VLOOKUP(INDEX('章节与怪物'!$E$31:$K$37,B770,2),'章节与怪物'!$A$41:$F$44,2,FALSE),0)+IF(2=D770,ROUND(AC770*'难度参数'!$E$28*'章节与怪物'!$E$17,0),0))</x:f>
        <x:v>540037</x:v>
      </x:c>
      <x:c r="AE770" s="119" t="n">
        <x:f>IF(AB770=0,0,(AB770-IF(2=D770,1,0))*VLOOKUP(INDEX('章节与怪物'!$E$31:$K$37,B770,2),'章节与怪物'!$A$41:$F$44,4,FALSE)+IF(2=D770,'难度参数'!$E$30,0))</x:f>
        <x:v>774</x:v>
      </x:c>
      <x:c r="AF770" s="119" t="n">
        <x:f>IF(3&gt;D770,0,MAX(2,MIN('难度参数'!$E$12,ROUND(('难度参数'!$E$18*POWER(A770,'难度参数'!$E$19)/D770*(0.85+0.3*(3-1)/MAX(1,D770-1))),0)+F770)))</x:f>
        <x:v>46</x:v>
      </x:c>
      <x:c r="AG770" s="119" t="n">
        <x:f>IF(3&gt;D770,0,ROUND(('难度参数'!$E$13*POWER(A770,'难度参数'!$E$20)*MIN('难度参数'!$E$23,1+MAX(0,A770-'难度参数'!$E$21)*'难度参数'!$E$22))*(36+3*7)/(36+7*(D770+1)/2)*E770,0))</x:f>
        <x:v>14317</x:v>
      </x:c>
      <x:c r="AH770" s="119" t="n">
        <x:f>IF(AF770=0,0,(AF770-IF(3=D770,1,0))*ROUND(AG770*VLOOKUP(INDEX('章节与怪物'!$E$31:$K$37,B770,3),'章节与怪物'!$A$41:$F$44,2,FALSE),0)+IF(3=D770,ROUND(AG770*'难度参数'!$E$28*'章节与怪物'!$E$17,0),0))</x:f>
        <x:v>1119594</x:v>
      </x:c>
      <x:c r="AI770" s="119" t="n">
        <x:f>IF(AF770=0,0,(AF770-IF(3=D770,1,0))*VLOOKUP(INDEX('章节与怪物'!$E$31:$K$37,B770,3),'章节与怪物'!$A$41:$F$44,4,FALSE)+IF(3=D770,'难度参数'!$E$30,0))</x:f>
        <x:v>1288</x:v>
      </x:c>
      <x:c r="AJ770" s="119" t="n">
        <x:f>IF(4&gt;D770,0,MAX(2,MIN('难度参数'!$E$12,ROUND(('难度参数'!$E$18*POWER(A770,'难度参数'!$E$19)/D770*(0.85+0.3*(4-1)/MAX(1,D770-1))),0)+F770)))</x:f>
        <x:v>48</x:v>
      </x:c>
      <x:c r="AK770" s="119" t="n">
        <x:f>IF(4&gt;D770,0,ROUND(('难度参数'!$E$13*POWER(A770,'难度参数'!$E$20)*MIN('难度参数'!$E$23,1+MAX(0,A770-'难度参数'!$E$21)*'难度参数'!$E$22))*(36+4*7)/(36+7*(D770+1)/2)*E770,0))</x:f>
        <x:v>16075</x:v>
      </x:c>
      <x:c r="AL770" s="119" t="n">
        <x:f>IF(AJ770=0,0,(AJ770-IF(4=D770,1,0))*ROUND(AK770*VLOOKUP(INDEX('章节与怪物'!$E$31:$K$37,B770,4),'章节与怪物'!$A$41:$F$44,2,FALSE),0)+IF(4=D770,ROUND(AK770*'难度参数'!$E$28*'章节与怪物'!$E$17,0),0))</x:f>
        <x:v>1041648</x:v>
      </x:c>
      <x:c r="AM770" s="119" t="n">
        <x:f>IF(AJ770=0,0,(AJ770-IF(4=D770,1,0))*VLOOKUP(INDEX('章节与怪物'!$E$31:$K$37,B770,4),'章节与怪物'!$A$41:$F$44,4,FALSE)+IF(4=D770,'难度参数'!$E$30,0))</x:f>
        <x:v>1632</x:v>
      </x:c>
      <x:c r="AN770" s="119" t="n">
        <x:f>IF(5&gt;D770,0,MAX(2,MIN('难度参数'!$E$12,ROUND(('难度参数'!$E$18*POWER(A770,'难度参数'!$E$19)/D770*(0.85+0.3*(5-1)/MAX(1,D770-1))),0)+F770)))</x:f>
        <x:v>51</x:v>
      </x:c>
      <x:c r="AO770" s="119" t="n">
        <x:f>IF(5&gt;D770,0,ROUND(('难度参数'!$E$13*POWER(A770,'难度参数'!$E$20)*MIN('难度参数'!$E$23,1+MAX(0,A770-'难度参数'!$E$21)*'难度参数'!$E$22))*(36+5*7)/(36+7*(D770+1)/2)*E770,0))</x:f>
        <x:v>17834</x:v>
      </x:c>
      <x:c r="AP770" s="119" t="n">
        <x:f>IF(AN770=0,0,(AN770-IF(5=D770,1,0))*ROUND(AO770*VLOOKUP(INDEX('章节与怪物'!$E$31:$K$37,B770,5),'章节与怪物'!$A$41:$F$44,2,FALSE),0)+IF(5=D770,ROUND(AO770*'难度参数'!$E$28*'章节与怪物'!$E$17,0),0))</x:f>
        <x:v>909534</x:v>
      </x:c>
      <x:c r="AQ770" s="119" t="n">
        <x:f>IF(AN770=0,0,(AN770-IF(5=D770,1,0))*VLOOKUP(INDEX('章节与怪物'!$E$31:$K$37,B770,5),'章节与怪物'!$A$41:$F$44,4,FALSE)+IF(5=D770,'难度参数'!$E$30,0))</x:f>
        <x:v>918</x:v>
      </x:c>
      <x:c r="AR770" s="119" t="n">
        <x:f>IF(6&gt;D770,0,MAX(2,MIN('难度参数'!$E$12,ROUND(('难度参数'!$E$18*POWER(A770,'难度参数'!$E$19)/D770*(0.85+0.3*(6-1)/MAX(1,D770-1))),0)+F770)))</x:f>
        <x:v>53</x:v>
      </x:c>
      <x:c r="AS770" s="119" t="n">
        <x:f>IF(6&gt;D770,0,ROUND(('难度参数'!$E$13*POWER(A770,'难度参数'!$E$20)*MIN('难度参数'!$E$23,1+MAX(0,A770-'难度参数'!$E$21)*'难度参数'!$E$22))*(36+6*7)/(36+7*(D770+1)/2)*E770,0))</x:f>
        <x:v>19592</x:v>
      </x:c>
      <x:c r="AT770" s="119" t="n">
        <x:f>IF(AR770=0,0,(AR770-IF(6=D770,1,0))*ROUND(AS770*VLOOKUP(INDEX('章节与怪物'!$E$31:$K$37,B770,6),'章节与怪物'!$A$41:$F$44,2,FALSE),0)+IF(6=D770,ROUND(AS770*'难度参数'!$E$28*'章节与怪物'!$E$17,0),0))</x:f>
        <x:v>1765218</x:v>
      </x:c>
      <x:c r="AU770" s="119" t="n">
        <x:f>IF(AR770=0,0,(AR770-IF(6=D770,1,0))*VLOOKUP(INDEX('章节与怪物'!$E$31:$K$37,B770,6),'章节与怪物'!$A$41:$F$44,4,FALSE)+IF(6=D770,'难度参数'!$E$30,0))</x:f>
        <x:v>1484</x:v>
      </x:c>
      <x:c r="AV770" s="119" t="n">
        <x:f>IF(7&gt;D770,0,MAX(2,MIN('难度参数'!$E$12,ROUND(('难度参数'!$E$18*POWER(A770,'难度参数'!$E$19)/D770*(0.85+0.3*(7-1)/MAX(1,D770-1))),0)+F770)))</x:f>
        <x:v>55</x:v>
      </x:c>
      <x:c r="AW770" s="119" t="n">
        <x:f>IF(7&gt;D770,0,ROUND(('难度参数'!$E$13*POWER(A770,'难度参数'!$E$20)*MIN('难度参数'!$E$23,1+MAX(0,A770-'难度参数'!$E$21)*'难度参数'!$E$22))*(36+7*7)/(36+7*(D770+1)/2)*E770,0))</x:f>
        <x:v>21350</x:v>
      </x:c>
      <x:c r="AX770" s="119" t="n">
        <x:f>IF(AV770=0,0,(AV770-IF(7=D770,1,0))*ROUND(AW770*VLOOKUP(INDEX('章节与怪物'!$E$31:$K$37,B770,7),'章节与怪物'!$A$41:$F$44,2,FALSE),0)+IF(7=D770,ROUND(AW770*'难度参数'!$E$28*'章节与怪物'!$E$17,0),0))</x:f>
        <x:v>1701622</x:v>
      </x:c>
      <x:c r="AY770" s="119" t="n">
        <x:f>IF(AV770=0,0,(AV770-IF(7=D770,1,0))*VLOOKUP(INDEX('章节与怪物'!$E$31:$K$37,B770,7),'章节与怪物'!$A$41:$F$44,4,FALSE)+IF(7=D770,'难度参数'!$E$30,0))</x:f>
        <x:v>2036</x:v>
      </x:c>
    </x:row>
    <x:row r="771" ht="23" customHeight="1">
      <x:c r="A771" s="119" t="n">
        <x:v>765</x:v>
      </x:c>
      <x:c r="B771" s="119" t="n">
        <x:f>MOD(INT((A771-1)/5),7)+1</x:f>
        <x:v>6</x:v>
      </x:c>
      <x:c r="C771" s="62" t="str">
        <x:f>INDEX('章节与怪物'!$B$31:$B$37,B771)</x:f>
        <x:v>熔岩山脉</x:v>
      </x:c>
      <x:c r="D771" s="119" t="n">
        <x:f>MIN('难度参数'!$E$8,MAX('难度参数'!$E$7,A771))</x:f>
        <x:v>7</x:v>
      </x:c>
      <x:c r="E771" s="106" t="n">
        <x:v>1</x:v>
      </x:c>
      <x:c r="F771" s="106" t="n">
        <x:v>0</x:v>
      </x:c>
      <x:c r="G771" s="106" t="n">
        <x:v>1</x:v>
      </x:c>
      <x:c r="H771" s="119" t="n">
        <x:f>SUM(X771,AB771,AF771,AJ771,AN771,AR771,AV771)</x:f>
        <x:v>337</x:v>
      </x:c>
      <x:c r="I771" s="119" t="n">
        <x:f>SUM(Z771,AD771,AH771,AL771,AP771,AT771,AX771)</x:f>
        <x:v>7403526</x:v>
      </x:c>
      <x:c r="J771" s="119" t="n">
        <x:f>ROUND(INDEX(X771:AY771,1,(D771-1)*4+2)*'难度参数'!$E$28*'章节与怪物'!$E$17,0)</x:f>
        <x:v>145316</x:v>
      </x:c>
      <x:c r="K771" s="119" t="n">
        <x:f>SUM(AA771,AE771,AI771,AM771,AQ771,AU771,AY771)</x:f>
        <x:v>8952</x:v>
      </x:c>
      <x:c r="L771" s="62" t="n">
        <x:f>H771*(ROUNDUP('难度参数'!$E$24/('难度参数'!$E$26*'难度参数'!$E$27),0)*'难度参数'!$E$26)/60</x:f>
        <x:v>4.493333333333334</x:v>
      </x:c>
      <x:c r="M771" s="62" t="n">
        <x:f>L771+D771*('难度参数'!$E$49+'难度参数'!$E$50)/60</x:f>
        <x:v>5.660000000000001</x:v>
      </x:c>
      <x:c r="N771" s="119" t="n">
        <x:f>ROUNDDOWN(('经济参数'!$E$20+A771*'经济参数'!$E$21)*G771,0)</x:f>
        <x:v>15480</x:v>
      </x:c>
      <x:c r="O771" s="119" t="n">
        <x:f>ROUNDDOWN(MIN('经济参数'!$E$24,'经济参数'!$E$22+A771*'经济参数'!$E$23)*G771,0)</x:f>
        <x:v>0</x:v>
      </x:c>
      <x:c r="P771" s="119" t="n">
        <x:f>ROUNDDOWN((IF(A771&gt;='材料与任务'!$E$31,'材料与任务'!$E$32,IF(A771&gt;='材料与任务'!$E$25,'材料与任务'!$E$26,IF(A771&gt;='材料与任务'!$E$19,'材料与任务'!$E$20,IF(A771&gt;='材料与任务'!$E$13,'材料与任务'!$E$14,'材料与任务'!$E$8)))))*G771,0)</x:f>
        <x:v>6</x:v>
      </x:c>
      <x:c r="Q771" s="119" t="n">
        <x:f>ROUNDDOWN((IF(A771&gt;='材料与任务'!$E$31,'材料与任务'!$E$33,IF(A771&gt;='材料与任务'!$E$25,'材料与任务'!$E$27,IF(A771&gt;='材料与任务'!$E$19,'材料与任务'!$E$21,IF(A771&gt;='材料与任务'!$E$13,'材料与任务'!$E$15,'材料与任务'!$E$9)))))*G771,0)</x:f>
        <x:v>3</x:v>
      </x:c>
      <x:c r="R771" s="110" t="n">
        <x:f>'装备掉落'!$B$38</x:f>
        <x:v>0.6872058758851213</x:v>
      </x:c>
      <x:c r="S771" s="119" t="n">
        <x:f>MAX(IF(VLOOKUP(A771,'装备掉落'!$A$29:$H$34,2,TRUE)&gt;0,1,0),IF(VLOOKUP(A771,'装备掉落'!$A$29:$H$34,3,TRUE)&gt;0,2,0),IF(VLOOKUP(A771,'装备掉落'!$A$29:$H$34,4,TRUE)&gt;0,3,0),IF(VLOOKUP(A771,'装备掉落'!$A$29:$H$34,5,TRUE)&gt;0,4,0),IF(VLOOKUP(A771,'装备掉落'!$A$29:$H$34,6,TRUE)&gt;0,5,0),IF(VLOOKUP(A771,'装备掉落'!$A$29:$H$34,7,TRUE)&gt;0,6,0),IF(VLOOKUP(A771,'装备掉落'!$A$29:$H$34,8,TRUE)&gt;0,7,0))</x:f>
        <x:v>7</x:v>
      </x:c>
      <x:c r="T771" s="119" t="n">
        <x:f>MIN(7,S771+'经济参数'!$E$70)</x:f>
        <x:v>7</x:v>
      </x:c>
      <x:c r="U771" s="119" t="n">
        <x:f>MIN(7,S771+'经济参数'!$E$71)</x:f>
        <x:v>7</x:v>
      </x:c>
      <x:c r="V771" s="119" t="n">
        <x:f>IF(H771&gt;=('难度参数'!$E$52),1,0)+IF(H771&gt;=('难度参数'!$E$52+'难度参数'!$E$53),1,0)+IF(H771&gt;=('难度参数'!$E$52+'难度参数'!$E$53+'难度参数'!$E$54),1,0)+IF(H771&gt;=('难度参数'!$E$52+'难度参数'!$E$53+'难度参数'!$E$54+'难度参数'!$E$55),1,0)+IF(H771&gt;=('难度参数'!$E$52+'难度参数'!$E$53+'难度参数'!$E$54+'难度参数'!$E$55+'难度参数'!$E$56),1,0)+IF(H771&gt;=('难度参数'!$E$52+'难度参数'!$E$53+'难度参数'!$E$54+'难度参数'!$E$55+'难度参数'!$E$56+'难度参数'!$E$57),1,0)</x:f>
        <x:v>6</x:v>
      </x:c>
      <x:c r="W771" s="62" t="str">
        <x:f>IF(L771&gt;'难度参数'!$E$51,"仅出怪已超目标","还需实测")</x:f>
        <x:v>仅出怪已超目标</x:v>
      </x:c>
      <x:c r="X771" s="119" t="n">
        <x:f>IF(1&gt;D771,0,MAX(2,MIN('难度参数'!$E$12,ROUND(('难度参数'!$E$18*POWER(A771,'难度参数'!$E$19)/D771*(0.85+0.3*(1-1)/MAX(1,D771-1))),0)+F771)))</x:f>
        <x:v>41</x:v>
      </x:c>
      <x:c r="Y771" s="119" t="n">
        <x:f>IF(1&gt;D771,0,ROUND(('难度参数'!$E$13*POWER(A771,'难度参数'!$E$20)*MIN('难度参数'!$E$23,1+MAX(0,A771-'难度参数'!$E$21)*'难度参数'!$E$22))*(36+1*7)/(36+7*(D771+1)/2)*E771,0))</x:f>
        <x:v>10811</x:v>
      </x:c>
      <x:c r="Z771" s="119" t="n">
        <x:f>IF(X771=0,0,(X771-IF(1=D771,1,0))*ROUND(Y771*VLOOKUP(INDEX('章节与怪物'!$E$31:$K$37,B771,1),'章节与怪物'!$A$41:$F$44,2,FALSE),0)+IF(1=D771,ROUND(Y771*'难度参数'!$E$28*'章节与怪物'!$E$17,0),0))</x:f>
        <x:v>319144</x:v>
      </x:c>
      <x:c r="AA771" s="119" t="n">
        <x:f>IF(X771=0,0,(X771-IF(1=D771,1,0))*VLOOKUP(INDEX('章节与怪物'!$E$31:$K$37,B771,1),'章节与怪物'!$A$41:$F$44,4,FALSE)+IF(1=D771,'难度参数'!$E$30,0))</x:f>
        <x:v>820</x:v>
      </x:c>
      <x:c r="AB771" s="119" t="n">
        <x:f>IF(2&gt;D771,0,MAX(2,MIN('难度参数'!$E$12,ROUND(('难度参数'!$E$18*POWER(A771,'难度参数'!$E$19)/D771*(0.85+0.3*(2-1)/MAX(1,D771-1))),0)+F771)))</x:f>
        <x:v>43</x:v>
      </x:c>
      <x:c r="AC771" s="119" t="n">
        <x:f>IF(2&gt;D771,0,ROUND(('难度参数'!$E$13*POWER(A771,'难度参数'!$E$20)*MIN('难度参数'!$E$23,1+MAX(0,A771-'难度参数'!$E$21)*'难度参数'!$E$22))*(36+2*7)/(36+7*(D771+1)/2)*E771,0))</x:f>
        <x:v>12571</x:v>
      </x:c>
      <x:c r="AD771" s="119" t="n">
        <x:f>IF(AB771=0,0,(AB771-IF(2=D771,1,0))*ROUND(AC771*VLOOKUP(INDEX('章节与怪物'!$E$31:$K$37,B771,2),'章节与怪物'!$A$41:$F$44,2,FALSE),0)+IF(2=D771,ROUND(AC771*'难度参数'!$E$28*'章节与怪物'!$E$17,0),0))</x:f>
        <x:v>540553</x:v>
      </x:c>
      <x:c r="AE771" s="119" t="n">
        <x:f>IF(AB771=0,0,(AB771-IF(2=D771,1,0))*VLOOKUP(INDEX('章节与怪物'!$E$31:$K$37,B771,2),'章节与怪物'!$A$41:$F$44,4,FALSE)+IF(2=D771,'难度参数'!$E$30,0))</x:f>
        <x:v>774</x:v>
      </x:c>
      <x:c r="AF771" s="119" t="n">
        <x:f>IF(3&gt;D771,0,MAX(2,MIN('难度参数'!$E$12,ROUND(('难度参数'!$E$18*POWER(A771,'难度参数'!$E$19)/D771*(0.85+0.3*(3-1)/MAX(1,D771-1))),0)+F771)))</x:f>
        <x:v>46</x:v>
      </x:c>
      <x:c r="AG771" s="119" t="n">
        <x:f>IF(3&gt;D771,0,ROUND(('难度参数'!$E$13*POWER(A771,'难度参数'!$E$20)*MIN('难度参数'!$E$23,1+MAX(0,A771-'难度参数'!$E$21)*'难度参数'!$E$22))*(36+3*7)/(36+7*(D771+1)/2)*E771,0))</x:f>
        <x:v>14331</x:v>
      </x:c>
      <x:c r="AH771" s="119" t="n">
        <x:f>IF(AF771=0,0,(AF771-IF(3=D771,1,0))*ROUND(AG771*VLOOKUP(INDEX('章节与怪物'!$E$31:$K$37,B771,3),'章节与怪物'!$A$41:$F$44,2,FALSE),0)+IF(3=D771,ROUND(AG771*'难度参数'!$E$28*'章节与怪物'!$E$17,0),0))</x:f>
        <x:v>1120698</x:v>
      </x:c>
      <x:c r="AI771" s="119" t="n">
        <x:f>IF(AF771=0,0,(AF771-IF(3=D771,1,0))*VLOOKUP(INDEX('章节与怪物'!$E$31:$K$37,B771,3),'章节与怪物'!$A$41:$F$44,4,FALSE)+IF(3=D771,'难度参数'!$E$30,0))</x:f>
        <x:v>1288</x:v>
      </x:c>
      <x:c r="AJ771" s="119" t="n">
        <x:f>IF(4&gt;D771,0,MAX(2,MIN('难度参数'!$E$12,ROUND(('难度参数'!$E$18*POWER(A771,'难度参数'!$E$19)/D771*(0.85+0.3*(4-1)/MAX(1,D771-1))),0)+F771)))</x:f>
        <x:v>48</x:v>
      </x:c>
      <x:c r="AK771" s="119" t="n">
        <x:f>IF(4&gt;D771,0,ROUND(('难度参数'!$E$13*POWER(A771,'难度参数'!$E$20)*MIN('难度参数'!$E$23,1+MAX(0,A771-'难度参数'!$E$21)*'难度参数'!$E$22))*(36+4*7)/(36+7*(D771+1)/2)*E771,0))</x:f>
        <x:v>16091</x:v>
      </x:c>
      <x:c r="AL771" s="119" t="n">
        <x:f>IF(AJ771=0,0,(AJ771-IF(4=D771,1,0))*ROUND(AK771*VLOOKUP(INDEX('章节与怪物'!$E$31:$K$37,B771,4),'章节与怪物'!$A$41:$F$44,2,FALSE),0)+IF(4=D771,ROUND(AK771*'难度参数'!$E$28*'章节与怪物'!$E$17,0),0))</x:f>
        <x:v>1042704</x:v>
      </x:c>
      <x:c r="AM771" s="119" t="n">
        <x:f>IF(AJ771=0,0,(AJ771-IF(4=D771,1,0))*VLOOKUP(INDEX('章节与怪物'!$E$31:$K$37,B771,4),'章节与怪物'!$A$41:$F$44,4,FALSE)+IF(4=D771,'难度参数'!$E$30,0))</x:f>
        <x:v>1632</x:v>
      </x:c>
      <x:c r="AN771" s="119" t="n">
        <x:f>IF(5&gt;D771,0,MAX(2,MIN('难度参数'!$E$12,ROUND(('难度参数'!$E$18*POWER(A771,'难度参数'!$E$19)/D771*(0.85+0.3*(5-1)/MAX(1,D771-1))),0)+F771)))</x:f>
        <x:v>51</x:v>
      </x:c>
      <x:c r="AO771" s="119" t="n">
        <x:f>IF(5&gt;D771,0,ROUND(('难度参数'!$E$13*POWER(A771,'难度参数'!$E$20)*MIN('难度参数'!$E$23,1+MAX(0,A771-'难度参数'!$E$21)*'难度参数'!$E$22))*(36+5*7)/(36+7*(D771+1)/2)*E771,0))</x:f>
        <x:v>17850</x:v>
      </x:c>
      <x:c r="AP771" s="119" t="n">
        <x:f>IF(AN771=0,0,(AN771-IF(5=D771,1,0))*ROUND(AO771*VLOOKUP(INDEX('章节与怪物'!$E$31:$K$37,B771,5),'章节与怪物'!$A$41:$F$44,2,FALSE),0)+IF(5=D771,ROUND(AO771*'难度参数'!$E$28*'章节与怪物'!$E$17,0),0))</x:f>
        <x:v>910350</x:v>
      </x:c>
      <x:c r="AQ771" s="119" t="n">
        <x:f>IF(AN771=0,0,(AN771-IF(5=D771,1,0))*VLOOKUP(INDEX('章节与怪物'!$E$31:$K$37,B771,5),'章节与怪物'!$A$41:$F$44,4,FALSE)+IF(5=D771,'难度参数'!$E$30,0))</x:f>
        <x:v>918</x:v>
      </x:c>
      <x:c r="AR771" s="119" t="n">
        <x:f>IF(6&gt;D771,0,MAX(2,MIN('难度参数'!$E$12,ROUND(('难度参数'!$E$18*POWER(A771,'难度参数'!$E$19)/D771*(0.85+0.3*(6-1)/MAX(1,D771-1))),0)+F771)))</x:f>
        <x:v>53</x:v>
      </x:c>
      <x:c r="AS771" s="119" t="n">
        <x:f>IF(6&gt;D771,0,ROUND(('难度参数'!$E$13*POWER(A771,'难度参数'!$E$20)*MIN('难度参数'!$E$23,1+MAX(0,A771-'难度参数'!$E$21)*'难度参数'!$E$22))*(36+6*7)/(36+7*(D771+1)/2)*E771,0))</x:f>
        <x:v>19610</x:v>
      </x:c>
      <x:c r="AT771" s="119" t="n">
        <x:f>IF(AR771=0,0,(AR771-IF(6=D771,1,0))*ROUND(AS771*VLOOKUP(INDEX('章节与怪物'!$E$31:$K$37,B771,6),'章节与怪物'!$A$41:$F$44,2,FALSE),0)+IF(6=D771,ROUND(AS771*'难度参数'!$E$28*'章节与怪物'!$E$17,0),0))</x:f>
        <x:v>1766861</x:v>
      </x:c>
      <x:c r="AU771" s="119" t="n">
        <x:f>IF(AR771=0,0,(AR771-IF(6=D771,1,0))*VLOOKUP(INDEX('章节与怪物'!$E$31:$K$37,B771,6),'章节与怪物'!$A$41:$F$44,4,FALSE)+IF(6=D771,'难度参数'!$E$30,0))</x:f>
        <x:v>1484</x:v>
      </x:c>
      <x:c r="AV771" s="119" t="n">
        <x:f>IF(7&gt;D771,0,MAX(2,MIN('难度参数'!$E$12,ROUND(('难度参数'!$E$18*POWER(A771,'难度参数'!$E$19)/D771*(0.85+0.3*(7-1)/MAX(1,D771-1))),0)+F771)))</x:f>
        <x:v>55</x:v>
      </x:c>
      <x:c r="AW771" s="119" t="n">
        <x:f>IF(7&gt;D771,0,ROUND(('难度参数'!$E$13*POWER(A771,'难度参数'!$E$20)*MIN('难度参数'!$E$23,1+MAX(0,A771-'难度参数'!$E$21)*'难度参数'!$E$22))*(36+7*7)/(36+7*(D771+1)/2)*E771,0))</x:f>
        <x:v>21370</x:v>
      </x:c>
      <x:c r="AX771" s="119" t="n">
        <x:f>IF(AV771=0,0,(AV771-IF(7=D771,1,0))*ROUND(AW771*VLOOKUP(INDEX('章节与怪物'!$E$31:$K$37,B771,7),'章节与怪物'!$A$41:$F$44,2,FALSE),0)+IF(7=D771,ROUND(AW771*'难度参数'!$E$28*'章节与怪物'!$E$17,0),0))</x:f>
        <x:v>1703216</x:v>
      </x:c>
      <x:c r="AY771" s="119" t="n">
        <x:f>IF(AV771=0,0,(AV771-IF(7=D771,1,0))*VLOOKUP(INDEX('章节与怪物'!$E$31:$K$37,B771,7),'章节与怪物'!$A$41:$F$44,4,FALSE)+IF(7=D771,'难度参数'!$E$30,0))</x:f>
        <x:v>2036</x:v>
      </x:c>
    </x:row>
    <x:row r="772" ht="23" customHeight="1">
      <x:c r="A772" s="119" t="n">
        <x:v>766</x:v>
      </x:c>
      <x:c r="B772" s="119" t="n">
        <x:f>MOD(INT((A772-1)/5),7)+1</x:f>
        <x:v>7</x:v>
      </x:c>
      <x:c r="C772" s="62" t="str">
        <x:f>INDEX('章节与怪物'!$B$31:$B$37,B772)</x:f>
        <x:v>魔法山脊</x:v>
      </x:c>
      <x:c r="D772" s="119" t="n">
        <x:f>MIN('难度参数'!$E$8,MAX('难度参数'!$E$7,A772))</x:f>
        <x:v>7</x:v>
      </x:c>
      <x:c r="E772" s="106" t="n">
        <x:v>1</x:v>
      </x:c>
      <x:c r="F772" s="106" t="n">
        <x:v>0</x:v>
      </x:c>
      <x:c r="G772" s="106" t="n">
        <x:v>1</x:v>
      </x:c>
      <x:c r="H772" s="119" t="n">
        <x:f>SUM(X772,AB772,AF772,AJ772,AN772,AR772,AV772)</x:f>
        <x:v>337</x:v>
      </x:c>
      <x:c r="I772" s="119" t="n">
        <x:f>SUM(Z772,AD772,AH772,AL772,AP772,AT772,AX772)</x:f>
        <x:v>7128046</x:v>
      </x:c>
      <x:c r="J772" s="119" t="n">
        <x:f>ROUND(INDEX(X772:AY772,1,(D772-1)*4+2)*'难度参数'!$E$28*'章节与怪物'!$E$17,0)</x:f>
        <x:v>145452</x:v>
      </x:c>
      <x:c r="K772" s="119" t="n">
        <x:f>SUM(AA772,AE772,AI772,AM772,AQ772,AU772,AY772)</x:f>
        <x:v>9058</x:v>
      </x:c>
      <x:c r="L772" s="62" t="n">
        <x:f>H772*(ROUNDUP('难度参数'!$E$24/('难度参数'!$E$26*'难度参数'!$E$27),0)*'难度参数'!$E$26)/60</x:f>
        <x:v>4.493333333333334</x:v>
      </x:c>
      <x:c r="M772" s="62" t="n">
        <x:f>L772+D772*('难度参数'!$E$49+'难度参数'!$E$50)/60</x:f>
        <x:v>5.660000000000001</x:v>
      </x:c>
      <x:c r="N772" s="119" t="n">
        <x:f>ROUNDDOWN(('经济参数'!$E$20+A772*'经济参数'!$E$21)*G772,0)</x:f>
        <x:v>15500</x:v>
      </x:c>
      <x:c r="O772" s="119" t="n">
        <x:f>ROUNDDOWN(MIN('经济参数'!$E$24,'经济参数'!$E$22+A772*'经济参数'!$E$23)*G772,0)</x:f>
        <x:v>0</x:v>
      </x:c>
      <x:c r="P772" s="119" t="n">
        <x:f>ROUNDDOWN((IF(A772&gt;='材料与任务'!$E$31,'材料与任务'!$E$32,IF(A772&gt;='材料与任务'!$E$25,'材料与任务'!$E$26,IF(A772&gt;='材料与任务'!$E$19,'材料与任务'!$E$20,IF(A772&gt;='材料与任务'!$E$13,'材料与任务'!$E$14,'材料与任务'!$E$8)))))*G772,0)</x:f>
        <x:v>6</x:v>
      </x:c>
      <x:c r="Q772" s="119" t="n">
        <x:f>ROUNDDOWN((IF(A772&gt;='材料与任务'!$E$31,'材料与任务'!$E$33,IF(A772&gt;='材料与任务'!$E$25,'材料与任务'!$E$27,IF(A772&gt;='材料与任务'!$E$19,'材料与任务'!$E$21,IF(A772&gt;='材料与任务'!$E$13,'材料与任务'!$E$15,'材料与任务'!$E$9)))))*G772,0)</x:f>
        <x:v>3</x:v>
      </x:c>
      <x:c r="R772" s="110" t="n">
        <x:f>'装备掉落'!$B$38</x:f>
        <x:v>0.6872058758851213</x:v>
      </x:c>
      <x:c r="S772" s="119" t="n">
        <x:f>MAX(IF(VLOOKUP(A772,'装备掉落'!$A$29:$H$34,2,TRUE)&gt;0,1,0),IF(VLOOKUP(A772,'装备掉落'!$A$29:$H$34,3,TRUE)&gt;0,2,0),IF(VLOOKUP(A772,'装备掉落'!$A$29:$H$34,4,TRUE)&gt;0,3,0),IF(VLOOKUP(A772,'装备掉落'!$A$29:$H$34,5,TRUE)&gt;0,4,0),IF(VLOOKUP(A772,'装备掉落'!$A$29:$H$34,6,TRUE)&gt;0,5,0),IF(VLOOKUP(A772,'装备掉落'!$A$29:$H$34,7,TRUE)&gt;0,6,0),IF(VLOOKUP(A772,'装备掉落'!$A$29:$H$34,8,TRUE)&gt;0,7,0))</x:f>
        <x:v>7</x:v>
      </x:c>
      <x:c r="T772" s="119" t="n">
        <x:f>MIN(7,S772+'经济参数'!$E$70)</x:f>
        <x:v>7</x:v>
      </x:c>
      <x:c r="U772" s="119" t="n">
        <x:f>MIN(7,S772+'经济参数'!$E$71)</x:f>
        <x:v>7</x:v>
      </x:c>
      <x:c r="V772" s="119" t="n">
        <x:f>IF(H772&gt;=('难度参数'!$E$52),1,0)+IF(H772&gt;=('难度参数'!$E$52+'难度参数'!$E$53),1,0)+IF(H772&gt;=('难度参数'!$E$52+'难度参数'!$E$53+'难度参数'!$E$54),1,0)+IF(H772&gt;=('难度参数'!$E$52+'难度参数'!$E$53+'难度参数'!$E$54+'难度参数'!$E$55),1,0)+IF(H772&gt;=('难度参数'!$E$52+'难度参数'!$E$53+'难度参数'!$E$54+'难度参数'!$E$55+'难度参数'!$E$56),1,0)+IF(H772&gt;=('难度参数'!$E$52+'难度参数'!$E$53+'难度参数'!$E$54+'难度参数'!$E$55+'难度参数'!$E$56+'难度参数'!$E$57),1,0)</x:f>
        <x:v>6</x:v>
      </x:c>
      <x:c r="W772" s="62" t="str">
        <x:f>IF(L772&gt;'难度参数'!$E$51,"仅出怪已超目标","还需实测")</x:f>
        <x:v>仅出怪已超目标</x:v>
      </x:c>
      <x:c r="X772" s="119" t="n">
        <x:f>IF(1&gt;D772,0,MAX(2,MIN('难度参数'!$E$12,ROUND(('难度参数'!$E$18*POWER(A772,'难度参数'!$E$19)/D772*(0.85+0.3*(1-1)/MAX(1,D772-1))),0)+F772)))</x:f>
        <x:v>41</x:v>
      </x:c>
      <x:c r="Y772" s="119" t="n">
        <x:f>IF(1&gt;D772,0,ROUND(('难度参数'!$E$13*POWER(A772,'难度参数'!$E$20)*MIN('难度参数'!$E$23,1+MAX(0,A772-'难度参数'!$E$21)*'难度参数'!$E$22))*(36+1*7)/(36+7*(D772+1)/2)*E772,0))</x:f>
        <x:v>10821</x:v>
      </x:c>
      <x:c r="Z772" s="119" t="n">
        <x:f>IF(X772=0,0,(X772-IF(1=D772,1,0))*ROUND(Y772*VLOOKUP(INDEX('章节与怪物'!$E$31:$K$37,B772,1),'章节与怪物'!$A$41:$F$44,2,FALSE),0)+IF(1=D772,ROUND(Y772*'难度参数'!$E$28*'章节与怪物'!$E$17,0),0))</x:f>
        <x:v>443661</x:v>
      </x:c>
      <x:c r="AA772" s="119" t="n">
        <x:f>IF(X772=0,0,(X772-IF(1=D772,1,0))*VLOOKUP(INDEX('章节与怪物'!$E$31:$K$37,B772,1),'章节与怪物'!$A$41:$F$44,4,FALSE)+IF(1=D772,'难度参数'!$E$30,0))</x:f>
        <x:v>738</x:v>
      </x:c>
      <x:c r="AB772" s="119" t="n">
        <x:f>IF(2&gt;D772,0,MAX(2,MIN('难度参数'!$E$12,ROUND(('难度参数'!$E$18*POWER(A772,'难度参数'!$E$19)/D772*(0.85+0.3*(2-1)/MAX(1,D772-1))),0)+F772)))</x:f>
        <x:v>43</x:v>
      </x:c>
      <x:c r="AC772" s="119" t="n">
        <x:f>IF(2&gt;D772,0,ROUND(('难度参数'!$E$13*POWER(A772,'难度参数'!$E$20)*MIN('难度参数'!$E$23,1+MAX(0,A772-'难度参数'!$E$21)*'难度参数'!$E$22))*(36+2*7)/(36+7*(D772+1)/2)*E772,0))</x:f>
        <x:v>12583</x:v>
      </x:c>
      <x:c r="AD772" s="119" t="n">
        <x:f>IF(AB772=0,0,(AB772-IF(2=D772,1,0))*ROUND(AC772*VLOOKUP(INDEX('章节与怪物'!$E$31:$K$37,B772,2),'章节与怪物'!$A$41:$F$44,2,FALSE),0)+IF(2=D772,ROUND(AC772*'难度参数'!$E$28*'章节与怪物'!$E$17,0),0))</x:f>
        <x:v>389580</x:v>
      </x:c>
      <x:c r="AE772" s="119" t="n">
        <x:f>IF(AB772=0,0,(AB772-IF(2=D772,1,0))*VLOOKUP(INDEX('章节与怪物'!$E$31:$K$37,B772,2),'章节与怪物'!$A$41:$F$44,4,FALSE)+IF(2=D772,'难度参数'!$E$30,0))</x:f>
        <x:v>860</x:v>
      </x:c>
      <x:c r="AF772" s="119" t="n">
        <x:f>IF(3&gt;D772,0,MAX(2,MIN('难度参数'!$E$12,ROUND(('难度参数'!$E$18*POWER(A772,'难度参数'!$E$19)/D772*(0.85+0.3*(3-1)/MAX(1,D772-1))),0)+F772)))</x:f>
        <x:v>46</x:v>
      </x:c>
      <x:c r="AG772" s="119" t="n">
        <x:f>IF(3&gt;D772,0,ROUND(('难度参数'!$E$13*POWER(A772,'难度参数'!$E$20)*MIN('难度参数'!$E$23,1+MAX(0,A772-'难度参数'!$E$21)*'难度参数'!$E$22))*(36+3*7)/(36+7*(D772+1)/2)*E772,0))</x:f>
        <x:v>14344</x:v>
      </x:c>
      <x:c r="AH772" s="119" t="n">
        <x:f>IF(AF772=0,0,(AF772-IF(3=D772,1,0))*ROUND(AG772*VLOOKUP(INDEX('章节与怪物'!$E$31:$K$37,B772,3),'章节与怪物'!$A$41:$F$44,2,FALSE),0)+IF(3=D772,ROUND(AG772*'难度参数'!$E$28*'章节与怪物'!$E$17,0),0))</x:f>
        <x:v>1121710</x:v>
      </x:c>
      <x:c r="AI772" s="119" t="n">
        <x:f>IF(AF772=0,0,(AF772-IF(3=D772,1,0))*VLOOKUP(INDEX('章节与怪物'!$E$31:$K$37,B772,3),'章节与怪物'!$A$41:$F$44,4,FALSE)+IF(3=D772,'难度参数'!$E$30,0))</x:f>
        <x:v>1288</x:v>
      </x:c>
      <x:c r="AJ772" s="119" t="n">
        <x:f>IF(4&gt;D772,0,MAX(2,MIN('难度参数'!$E$12,ROUND(('难度参数'!$E$18*POWER(A772,'难度参数'!$E$19)/D772*(0.85+0.3*(4-1)/MAX(1,D772-1))),0)+F772)))</x:f>
        <x:v>48</x:v>
      </x:c>
      <x:c r="AK772" s="119" t="n">
        <x:f>IF(4&gt;D772,0,ROUND(('难度参数'!$E$13*POWER(A772,'难度参数'!$E$20)*MIN('难度参数'!$E$23,1+MAX(0,A772-'难度参数'!$E$21)*'难度参数'!$E$22))*(36+4*7)/(36+7*(D772+1)/2)*E772,0))</x:f>
        <x:v>16106</x:v>
      </x:c>
      <x:c r="AL772" s="119" t="n">
        <x:f>IF(AJ772=0,0,(AJ772-IF(4=D772,1,0))*ROUND(AK772*VLOOKUP(INDEX('章节与怪物'!$E$31:$K$37,B772,4),'章节与怪物'!$A$41:$F$44,2,FALSE),0)+IF(4=D772,ROUND(AK772*'难度参数'!$E$28*'章节与怪物'!$E$17,0),0))</x:f>
        <x:v>1043664</x:v>
      </x:c>
      <x:c r="AM772" s="119" t="n">
        <x:f>IF(AJ772=0,0,(AJ772-IF(4=D772,1,0))*VLOOKUP(INDEX('章节与怪物'!$E$31:$K$37,B772,4),'章节与怪物'!$A$41:$F$44,4,FALSE)+IF(4=D772,'难度参数'!$E$30,0))</x:f>
        <x:v>1632</x:v>
      </x:c>
      <x:c r="AN772" s="119" t="n">
        <x:f>IF(5&gt;D772,0,MAX(2,MIN('难度参数'!$E$12,ROUND(('难度参数'!$E$18*POWER(A772,'难度参数'!$E$19)/D772*(0.85+0.3*(5-1)/MAX(1,D772-1))),0)+F772)))</x:f>
        <x:v>51</x:v>
      </x:c>
      <x:c r="AO772" s="119" t="n">
        <x:f>IF(5&gt;D772,0,ROUND(('难度参数'!$E$13*POWER(A772,'难度参数'!$E$20)*MIN('难度参数'!$E$23,1+MAX(0,A772-'难度参数'!$E$21)*'难度参数'!$E$22))*(36+5*7)/(36+7*(D772+1)/2)*E772,0))</x:f>
        <x:v>17867</x:v>
      </x:c>
      <x:c r="AP772" s="119" t="n">
        <x:f>IF(AN772=0,0,(AN772-IF(5=D772,1,0))*ROUND(AO772*VLOOKUP(INDEX('章节与怪物'!$E$31:$K$37,B772,5),'章节与怪物'!$A$41:$F$44,2,FALSE),0)+IF(5=D772,ROUND(AO772*'难度参数'!$E$28*'章节与怪物'!$E$17,0),0))</x:f>
        <x:v>656064</x:v>
      </x:c>
      <x:c r="AQ772" s="119" t="n">
        <x:f>IF(AN772=0,0,(AN772-IF(5=D772,1,0))*VLOOKUP(INDEX('章节与怪物'!$E$31:$K$37,B772,5),'章节与怪物'!$A$41:$F$44,4,FALSE)+IF(5=D772,'难度参数'!$E$30,0))</x:f>
        <x:v>1020</x:v>
      </x:c>
      <x:c r="AR772" s="119" t="n">
        <x:f>IF(6&gt;D772,0,MAX(2,MIN('难度参数'!$E$12,ROUND(('难度参数'!$E$18*POWER(A772,'难度参数'!$E$19)/D772*(0.85+0.3*(6-1)/MAX(1,D772-1))),0)+F772)))</x:f>
        <x:v>53</x:v>
      </x:c>
      <x:c r="AS772" s="119" t="n">
        <x:f>IF(6&gt;D772,0,ROUND(('难度参数'!$E$13*POWER(A772,'难度参数'!$E$20)*MIN('难度参数'!$E$23,1+MAX(0,A772-'难度参数'!$E$21)*'难度参数'!$E$22))*(36+6*7)/(36+7*(D772+1)/2)*E772,0))</x:f>
        <x:v>19629</x:v>
      </x:c>
      <x:c r="AT772" s="119" t="n">
        <x:f>IF(AR772=0,0,(AR772-IF(6=D772,1,0))*ROUND(AS772*VLOOKUP(INDEX('章节与怪物'!$E$31:$K$37,B772,6),'章节与怪物'!$A$41:$F$44,2,FALSE),0)+IF(6=D772,ROUND(AS772*'难度参数'!$E$28*'章节与怪物'!$E$17,0),0))</x:f>
        <x:v>1768557</x:v>
      </x:c>
      <x:c r="AU772" s="119" t="n">
        <x:f>IF(AR772=0,0,(AR772-IF(6=D772,1,0))*VLOOKUP(INDEX('章节与怪物'!$E$31:$K$37,B772,6),'章节与怪物'!$A$41:$F$44,4,FALSE)+IF(6=D772,'难度参数'!$E$30,0))</x:f>
        <x:v>1484</x:v>
      </x:c>
      <x:c r="AV772" s="119" t="n">
        <x:f>IF(7&gt;D772,0,MAX(2,MIN('难度参数'!$E$12,ROUND(('难度参数'!$E$18*POWER(A772,'难度参数'!$E$19)/D772*(0.85+0.3*(7-1)/MAX(1,D772-1))),0)+F772)))</x:f>
        <x:v>55</x:v>
      </x:c>
      <x:c r="AW772" s="119" t="n">
        <x:f>IF(7&gt;D772,0,ROUND(('难度参数'!$E$13*POWER(A772,'难度参数'!$E$20)*MIN('难度参数'!$E$23,1+MAX(0,A772-'难度参数'!$E$21)*'难度参数'!$E$22))*(36+7*7)/(36+7*(D772+1)/2)*E772,0))</x:f>
        <x:v>21390</x:v>
      </x:c>
      <x:c r="AX772" s="119" t="n">
        <x:f>IF(AV772=0,0,(AV772-IF(7=D772,1,0))*ROUND(AW772*VLOOKUP(INDEX('章节与怪物'!$E$31:$K$37,B772,7),'章节与怪物'!$A$41:$F$44,2,FALSE),0)+IF(7=D772,ROUND(AW772*'难度参数'!$E$28*'章节与怪物'!$E$17,0),0))</x:f>
        <x:v>1704810</x:v>
      </x:c>
      <x:c r="AY772" s="119" t="n">
        <x:f>IF(AV772=0,0,(AV772-IF(7=D772,1,0))*VLOOKUP(INDEX('章节与怪物'!$E$31:$K$37,B772,7),'章节与怪物'!$A$41:$F$44,4,FALSE)+IF(7=D772,'难度参数'!$E$30,0))</x:f>
        <x:v>2036</x:v>
      </x:c>
    </x:row>
    <x:row r="773" ht="23" customHeight="1">
      <x:c r="A773" s="119" t="n">
        <x:v>767</x:v>
      </x:c>
      <x:c r="B773" s="119" t="n">
        <x:f>MOD(INT((A773-1)/5),7)+1</x:f>
        <x:v>7</x:v>
      </x:c>
      <x:c r="C773" s="62" t="str">
        <x:f>INDEX('章节与怪物'!$B$31:$B$37,B773)</x:f>
        <x:v>魔法山脊</x:v>
      </x:c>
      <x:c r="D773" s="119" t="n">
        <x:f>MIN('难度参数'!$E$8,MAX('难度参数'!$E$7,A773))</x:f>
        <x:v>7</x:v>
      </x:c>
      <x:c r="E773" s="106" t="n">
        <x:v>1</x:v>
      </x:c>
      <x:c r="F773" s="106" t="n">
        <x:v>0</x:v>
      </x:c>
      <x:c r="G773" s="106" t="n">
        <x:v>1</x:v>
      </x:c>
      <x:c r="H773" s="119" t="n">
        <x:f>SUM(X773,AB773,AF773,AJ773,AN773,AR773,AV773)</x:f>
        <x:v>337</x:v>
      </x:c>
      <x:c r="I773" s="119" t="n">
        <x:f>SUM(Z773,AD773,AH773,AL773,AP773,AT773,AX773)</x:f>
        <x:v>7134713</x:v>
      </x:c>
      <x:c r="J773" s="119" t="n">
        <x:f>ROUND(INDEX(X773:AY773,1,(D773-1)*4+2)*'难度参数'!$E$28*'章节与怪物'!$E$17,0)</x:f>
        <x:v>145588</x:v>
      </x:c>
      <x:c r="K773" s="119" t="n">
        <x:f>SUM(AA773,AE773,AI773,AM773,AQ773,AU773,AY773)</x:f>
        <x:v>9058</x:v>
      </x:c>
      <x:c r="L773" s="62" t="n">
        <x:f>H773*(ROUNDUP('难度参数'!$E$24/('难度参数'!$E$26*'难度参数'!$E$27),0)*'难度参数'!$E$26)/60</x:f>
        <x:v>4.493333333333334</x:v>
      </x:c>
      <x:c r="M773" s="62" t="n">
        <x:f>L773+D773*('难度参数'!$E$49+'难度参数'!$E$50)/60</x:f>
        <x:v>5.660000000000001</x:v>
      </x:c>
      <x:c r="N773" s="119" t="n">
        <x:f>ROUNDDOWN(('经济参数'!$E$20+A773*'经济参数'!$E$21)*G773,0)</x:f>
        <x:v>15520</x:v>
      </x:c>
      <x:c r="O773" s="119" t="n">
        <x:f>ROUNDDOWN(MIN('经济参数'!$E$24,'经济参数'!$E$22+A773*'经济参数'!$E$23)*G773,0)</x:f>
        <x:v>0</x:v>
      </x:c>
      <x:c r="P773" s="119" t="n">
        <x:f>ROUNDDOWN((IF(A773&gt;='材料与任务'!$E$31,'材料与任务'!$E$32,IF(A773&gt;='材料与任务'!$E$25,'材料与任务'!$E$26,IF(A773&gt;='材料与任务'!$E$19,'材料与任务'!$E$20,IF(A773&gt;='材料与任务'!$E$13,'材料与任务'!$E$14,'材料与任务'!$E$8)))))*G773,0)</x:f>
        <x:v>6</x:v>
      </x:c>
      <x:c r="Q773" s="119" t="n">
        <x:f>ROUNDDOWN((IF(A773&gt;='材料与任务'!$E$31,'材料与任务'!$E$33,IF(A773&gt;='材料与任务'!$E$25,'材料与任务'!$E$27,IF(A773&gt;='材料与任务'!$E$19,'材料与任务'!$E$21,IF(A773&gt;='材料与任务'!$E$13,'材料与任务'!$E$15,'材料与任务'!$E$9)))))*G773,0)</x:f>
        <x:v>3</x:v>
      </x:c>
      <x:c r="R773" s="110" t="n">
        <x:f>'装备掉落'!$B$38</x:f>
        <x:v>0.6872058758851213</x:v>
      </x:c>
      <x:c r="S773" s="119" t="n">
        <x:f>MAX(IF(VLOOKUP(A773,'装备掉落'!$A$29:$H$34,2,TRUE)&gt;0,1,0),IF(VLOOKUP(A773,'装备掉落'!$A$29:$H$34,3,TRUE)&gt;0,2,0),IF(VLOOKUP(A773,'装备掉落'!$A$29:$H$34,4,TRUE)&gt;0,3,0),IF(VLOOKUP(A773,'装备掉落'!$A$29:$H$34,5,TRUE)&gt;0,4,0),IF(VLOOKUP(A773,'装备掉落'!$A$29:$H$34,6,TRUE)&gt;0,5,0),IF(VLOOKUP(A773,'装备掉落'!$A$29:$H$34,7,TRUE)&gt;0,6,0),IF(VLOOKUP(A773,'装备掉落'!$A$29:$H$34,8,TRUE)&gt;0,7,0))</x:f>
        <x:v>7</x:v>
      </x:c>
      <x:c r="T773" s="119" t="n">
        <x:f>MIN(7,S773+'经济参数'!$E$70)</x:f>
        <x:v>7</x:v>
      </x:c>
      <x:c r="U773" s="119" t="n">
        <x:f>MIN(7,S773+'经济参数'!$E$71)</x:f>
        <x:v>7</x:v>
      </x:c>
      <x:c r="V773" s="119" t="n">
        <x:f>IF(H773&gt;=('难度参数'!$E$52),1,0)+IF(H773&gt;=('难度参数'!$E$52+'难度参数'!$E$53),1,0)+IF(H773&gt;=('难度参数'!$E$52+'难度参数'!$E$53+'难度参数'!$E$54),1,0)+IF(H773&gt;=('难度参数'!$E$52+'难度参数'!$E$53+'难度参数'!$E$54+'难度参数'!$E$55),1,0)+IF(H773&gt;=('难度参数'!$E$52+'难度参数'!$E$53+'难度参数'!$E$54+'难度参数'!$E$55+'难度参数'!$E$56),1,0)+IF(H773&gt;=('难度参数'!$E$52+'难度参数'!$E$53+'难度参数'!$E$54+'难度参数'!$E$55+'难度参数'!$E$56+'难度参数'!$E$57),1,0)</x:f>
        <x:v>6</x:v>
      </x:c>
      <x:c r="W773" s="62" t="str">
        <x:f>IF(L773&gt;'难度参数'!$E$51,"仅出怪已超目标","还需实测")</x:f>
        <x:v>仅出怪已超目标</x:v>
      </x:c>
      <x:c r="X773" s="119" t="n">
        <x:f>IF(1&gt;D773,0,MAX(2,MIN('难度参数'!$E$12,ROUND(('难度参数'!$E$18*POWER(A773,'难度参数'!$E$19)/D773*(0.85+0.3*(1-1)/MAX(1,D773-1))),0)+F773)))</x:f>
        <x:v>41</x:v>
      </x:c>
      <x:c r="Y773" s="119" t="n">
        <x:f>IF(1&gt;D773,0,ROUND(('难度参数'!$E$13*POWER(A773,'难度参数'!$E$20)*MIN('难度参数'!$E$23,1+MAX(0,A773-'难度参数'!$E$21)*'难度参数'!$E$22))*(36+1*7)/(36+7*(D773+1)/2)*E773,0))</x:f>
        <x:v>10831</x:v>
      </x:c>
      <x:c r="Z773" s="119" t="n">
        <x:f>IF(X773=0,0,(X773-IF(1=D773,1,0))*ROUND(Y773*VLOOKUP(INDEX('章节与怪物'!$E$31:$K$37,B773,1),'章节与怪物'!$A$41:$F$44,2,FALSE),0)+IF(1=D773,ROUND(Y773*'难度参数'!$E$28*'章节与怪物'!$E$17,0),0))</x:f>
        <x:v>444071</x:v>
      </x:c>
      <x:c r="AA773" s="119" t="n">
        <x:f>IF(X773=0,0,(X773-IF(1=D773,1,0))*VLOOKUP(INDEX('章节与怪物'!$E$31:$K$37,B773,1),'章节与怪物'!$A$41:$F$44,4,FALSE)+IF(1=D773,'难度参数'!$E$30,0))</x:f>
        <x:v>738</x:v>
      </x:c>
      <x:c r="AB773" s="119" t="n">
        <x:f>IF(2&gt;D773,0,MAX(2,MIN('难度参数'!$E$12,ROUND(('难度参数'!$E$18*POWER(A773,'难度参数'!$E$19)/D773*(0.85+0.3*(2-1)/MAX(1,D773-1))),0)+F773)))</x:f>
        <x:v>43</x:v>
      </x:c>
      <x:c r="AC773" s="119" t="n">
        <x:f>IF(2&gt;D773,0,ROUND(('难度参数'!$E$13*POWER(A773,'难度参数'!$E$20)*MIN('难度参数'!$E$23,1+MAX(0,A773-'难度参数'!$E$21)*'难度参数'!$E$22))*(36+2*7)/(36+7*(D773+1)/2)*E773,0))</x:f>
        <x:v>12594</x:v>
      </x:c>
      <x:c r="AD773" s="119" t="n">
        <x:f>IF(AB773=0,0,(AB773-IF(2=D773,1,0))*ROUND(AC773*VLOOKUP(INDEX('章节与怪物'!$E$31:$K$37,B773,2),'章节与怪物'!$A$41:$F$44,2,FALSE),0)+IF(2=D773,ROUND(AC773*'难度参数'!$E$28*'章节与怪物'!$E$17,0),0))</x:f>
        <x:v>389924</x:v>
      </x:c>
      <x:c r="AE773" s="119" t="n">
        <x:f>IF(AB773=0,0,(AB773-IF(2=D773,1,0))*VLOOKUP(INDEX('章节与怪物'!$E$31:$K$37,B773,2),'章节与怪物'!$A$41:$F$44,4,FALSE)+IF(2=D773,'难度参数'!$E$30,0))</x:f>
        <x:v>860</x:v>
      </x:c>
      <x:c r="AF773" s="119" t="n">
        <x:f>IF(3&gt;D773,0,MAX(2,MIN('难度参数'!$E$12,ROUND(('难度参数'!$E$18*POWER(A773,'难度参数'!$E$19)/D773*(0.85+0.3*(3-1)/MAX(1,D773-1))),0)+F773)))</x:f>
        <x:v>46</x:v>
      </x:c>
      <x:c r="AG773" s="119" t="n">
        <x:f>IF(3&gt;D773,0,ROUND(('难度参数'!$E$13*POWER(A773,'难度参数'!$E$20)*MIN('难度参数'!$E$23,1+MAX(0,A773-'难度参数'!$E$21)*'难度参数'!$E$22))*(36+3*7)/(36+7*(D773+1)/2)*E773,0))</x:f>
        <x:v>14358</x:v>
      </x:c>
      <x:c r="AH773" s="119" t="n">
        <x:f>IF(AF773=0,0,(AF773-IF(3=D773,1,0))*ROUND(AG773*VLOOKUP(INDEX('章节与怪物'!$E$31:$K$37,B773,3),'章节与怪物'!$A$41:$F$44,2,FALSE),0)+IF(3=D773,ROUND(AG773*'难度参数'!$E$28*'章节与怪物'!$E$17,0),0))</x:f>
        <x:v>1122814</x:v>
      </x:c>
      <x:c r="AI773" s="119" t="n">
        <x:f>IF(AF773=0,0,(AF773-IF(3=D773,1,0))*VLOOKUP(INDEX('章节与怪物'!$E$31:$K$37,B773,3),'章节与怪物'!$A$41:$F$44,4,FALSE)+IF(3=D773,'难度参数'!$E$30,0))</x:f>
        <x:v>1288</x:v>
      </x:c>
      <x:c r="AJ773" s="119" t="n">
        <x:f>IF(4&gt;D773,0,MAX(2,MIN('难度参数'!$E$12,ROUND(('难度参数'!$E$18*POWER(A773,'难度参数'!$E$19)/D773*(0.85+0.3*(4-1)/MAX(1,D773-1))),0)+F773)))</x:f>
        <x:v>48</x:v>
      </x:c>
      <x:c r="AK773" s="119" t="n">
        <x:f>IF(4&gt;D773,0,ROUND(('难度参数'!$E$13*POWER(A773,'难度参数'!$E$20)*MIN('难度参数'!$E$23,1+MAX(0,A773-'难度参数'!$E$21)*'难度参数'!$E$22))*(36+4*7)/(36+7*(D773+1)/2)*E773,0))</x:f>
        <x:v>16121</x:v>
      </x:c>
      <x:c r="AL773" s="119" t="n">
        <x:f>IF(AJ773=0,0,(AJ773-IF(4=D773,1,0))*ROUND(AK773*VLOOKUP(INDEX('章节与怪物'!$E$31:$K$37,B773,4),'章节与怪物'!$A$41:$F$44,2,FALSE),0)+IF(4=D773,ROUND(AK773*'难度参数'!$E$28*'章节与怪物'!$E$17,0),0))</x:f>
        <x:v>1044624</x:v>
      </x:c>
      <x:c r="AM773" s="119" t="n">
        <x:f>IF(AJ773=0,0,(AJ773-IF(4=D773,1,0))*VLOOKUP(INDEX('章节与怪物'!$E$31:$K$37,B773,4),'章节与怪物'!$A$41:$F$44,4,FALSE)+IF(4=D773,'难度参数'!$E$30,0))</x:f>
        <x:v>1632</x:v>
      </x:c>
      <x:c r="AN773" s="119" t="n">
        <x:f>IF(5&gt;D773,0,MAX(2,MIN('难度参数'!$E$12,ROUND(('难度参数'!$E$18*POWER(A773,'难度参数'!$E$19)/D773*(0.85+0.3*(5-1)/MAX(1,D773-1))),0)+F773)))</x:f>
        <x:v>51</x:v>
      </x:c>
      <x:c r="AO773" s="119" t="n">
        <x:f>IF(5&gt;D773,0,ROUND(('难度参数'!$E$13*POWER(A773,'难度参数'!$E$20)*MIN('难度参数'!$E$23,1+MAX(0,A773-'难度参数'!$E$21)*'难度参数'!$E$22))*(36+5*7)/(36+7*(D773+1)/2)*E773,0))</x:f>
        <x:v>17884</x:v>
      </x:c>
      <x:c r="AP773" s="119" t="n">
        <x:f>IF(AN773=0,0,(AN773-IF(5=D773,1,0))*ROUND(AO773*VLOOKUP(INDEX('章节与怪物'!$E$31:$K$37,B773,5),'章节与怪物'!$A$41:$F$44,2,FALSE),0)+IF(5=D773,ROUND(AO773*'难度参数'!$E$28*'章节与怪物'!$E$17,0),0))</x:f>
        <x:v>656676</x:v>
      </x:c>
      <x:c r="AQ773" s="119" t="n">
        <x:f>IF(AN773=0,0,(AN773-IF(5=D773,1,0))*VLOOKUP(INDEX('章节与怪物'!$E$31:$K$37,B773,5),'章节与怪物'!$A$41:$F$44,4,FALSE)+IF(5=D773,'难度参数'!$E$30,0))</x:f>
        <x:v>1020</x:v>
      </x:c>
      <x:c r="AR773" s="119" t="n">
        <x:f>IF(6&gt;D773,0,MAX(2,MIN('难度参数'!$E$12,ROUND(('难度参数'!$E$18*POWER(A773,'难度参数'!$E$19)/D773*(0.85+0.3*(6-1)/MAX(1,D773-1))),0)+F773)))</x:f>
        <x:v>53</x:v>
      </x:c>
      <x:c r="AS773" s="119" t="n">
        <x:f>IF(6&gt;D773,0,ROUND(('难度参数'!$E$13*POWER(A773,'难度参数'!$E$20)*MIN('难度参数'!$E$23,1+MAX(0,A773-'难度参数'!$E$21)*'难度参数'!$E$22))*(36+6*7)/(36+7*(D773+1)/2)*E773,0))</x:f>
        <x:v>19647</x:v>
      </x:c>
      <x:c r="AT773" s="119" t="n">
        <x:f>IF(AR773=0,0,(AR773-IF(6=D773,1,0))*ROUND(AS773*VLOOKUP(INDEX('章节与怪物'!$E$31:$K$37,B773,6),'章节与怪物'!$A$41:$F$44,2,FALSE),0)+IF(6=D773,ROUND(AS773*'难度参数'!$E$28*'章节与怪物'!$E$17,0),0))</x:f>
        <x:v>1770200</x:v>
      </x:c>
      <x:c r="AU773" s="119" t="n">
        <x:f>IF(AR773=0,0,(AR773-IF(6=D773,1,0))*VLOOKUP(INDEX('章节与怪物'!$E$31:$K$37,B773,6),'章节与怪物'!$A$41:$F$44,4,FALSE)+IF(6=D773,'难度参数'!$E$30,0))</x:f>
        <x:v>1484</x:v>
      </x:c>
      <x:c r="AV773" s="119" t="n">
        <x:f>IF(7&gt;D773,0,MAX(2,MIN('难度参数'!$E$12,ROUND(('难度参数'!$E$18*POWER(A773,'难度参数'!$E$19)/D773*(0.85+0.3*(7-1)/MAX(1,D773-1))),0)+F773)))</x:f>
        <x:v>55</x:v>
      </x:c>
      <x:c r="AW773" s="119" t="n">
        <x:f>IF(7&gt;D773,0,ROUND(('难度参数'!$E$13*POWER(A773,'难度参数'!$E$20)*MIN('难度参数'!$E$23,1+MAX(0,A773-'难度参数'!$E$21)*'难度参数'!$E$22))*(36+7*7)/(36+7*(D773+1)/2)*E773,0))</x:f>
        <x:v>21410</x:v>
      </x:c>
      <x:c r="AX773" s="119" t="n">
        <x:f>IF(AV773=0,0,(AV773-IF(7=D773,1,0))*ROUND(AW773*VLOOKUP(INDEX('章节与怪物'!$E$31:$K$37,B773,7),'章节与怪物'!$A$41:$F$44,2,FALSE),0)+IF(7=D773,ROUND(AW773*'难度参数'!$E$28*'章节与怪物'!$E$17,0),0))</x:f>
        <x:v>1706404</x:v>
      </x:c>
      <x:c r="AY773" s="119" t="n">
        <x:f>IF(AV773=0,0,(AV773-IF(7=D773,1,0))*VLOOKUP(INDEX('章节与怪物'!$E$31:$K$37,B773,7),'章节与怪物'!$A$41:$F$44,4,FALSE)+IF(7=D773,'难度参数'!$E$30,0))</x:f>
        <x:v>2036</x:v>
      </x:c>
    </x:row>
    <x:row r="774" ht="23" customHeight="1">
      <x:c r="A774" s="119" t="n">
        <x:v>768</x:v>
      </x:c>
      <x:c r="B774" s="119" t="n">
        <x:f>MOD(INT((A774-1)/5),7)+1</x:f>
        <x:v>7</x:v>
      </x:c>
      <x:c r="C774" s="62" t="str">
        <x:f>INDEX('章节与怪物'!$B$31:$B$37,B774)</x:f>
        <x:v>魔法山脊</x:v>
      </x:c>
      <x:c r="D774" s="119" t="n">
        <x:f>MIN('难度参数'!$E$8,MAX('难度参数'!$E$7,A774))</x:f>
        <x:v>7</x:v>
      </x:c>
      <x:c r="E774" s="106" t="n">
        <x:v>1</x:v>
      </x:c>
      <x:c r="F774" s="106" t="n">
        <x:v>0</x:v>
      </x:c>
      <x:c r="G774" s="106" t="n">
        <x:v>1</x:v>
      </x:c>
      <x:c r="H774" s="119" t="n">
        <x:f>SUM(X774,AB774,AF774,AJ774,AN774,AR774,AV774)</x:f>
        <x:v>337</x:v>
      </x:c>
      <x:c r="I774" s="119" t="n">
        <x:f>SUM(Z774,AD774,AH774,AL774,AP774,AT774,AX774)</x:f>
        <x:v>7141501</x:v>
      </x:c>
      <x:c r="J774" s="119" t="n">
        <x:f>ROUND(INDEX(X774:AY774,1,(D774-1)*4+2)*'难度参数'!$E$28*'章节与怪物'!$E$17,0)</x:f>
        <x:v>145731</x:v>
      </x:c>
      <x:c r="K774" s="119" t="n">
        <x:f>SUM(AA774,AE774,AI774,AM774,AQ774,AU774,AY774)</x:f>
        <x:v>9058</x:v>
      </x:c>
      <x:c r="L774" s="62" t="n">
        <x:f>H774*(ROUNDUP('难度参数'!$E$24/('难度参数'!$E$26*'难度参数'!$E$27),0)*'难度参数'!$E$26)/60</x:f>
        <x:v>4.493333333333334</x:v>
      </x:c>
      <x:c r="M774" s="62" t="n">
        <x:f>L774+D774*('难度参数'!$E$49+'难度参数'!$E$50)/60</x:f>
        <x:v>5.660000000000001</x:v>
      </x:c>
      <x:c r="N774" s="119" t="n">
        <x:f>ROUNDDOWN(('经济参数'!$E$20+A774*'经济参数'!$E$21)*G774,0)</x:f>
        <x:v>15540</x:v>
      </x:c>
      <x:c r="O774" s="119" t="n">
        <x:f>ROUNDDOWN(MIN('经济参数'!$E$24,'经济参数'!$E$22+A774*'经济参数'!$E$23)*G774,0)</x:f>
        <x:v>0</x:v>
      </x:c>
      <x:c r="P774" s="119" t="n">
        <x:f>ROUNDDOWN((IF(A774&gt;='材料与任务'!$E$31,'材料与任务'!$E$32,IF(A774&gt;='材料与任务'!$E$25,'材料与任务'!$E$26,IF(A774&gt;='材料与任务'!$E$19,'材料与任务'!$E$20,IF(A774&gt;='材料与任务'!$E$13,'材料与任务'!$E$14,'材料与任务'!$E$8)))))*G774,0)</x:f>
        <x:v>6</x:v>
      </x:c>
      <x:c r="Q774" s="119" t="n">
        <x:f>ROUNDDOWN((IF(A774&gt;='材料与任务'!$E$31,'材料与任务'!$E$33,IF(A774&gt;='材料与任务'!$E$25,'材料与任务'!$E$27,IF(A774&gt;='材料与任务'!$E$19,'材料与任务'!$E$21,IF(A774&gt;='材料与任务'!$E$13,'材料与任务'!$E$15,'材料与任务'!$E$9)))))*G774,0)</x:f>
        <x:v>3</x:v>
      </x:c>
      <x:c r="R774" s="110" t="n">
        <x:f>'装备掉落'!$B$38</x:f>
        <x:v>0.6872058758851213</x:v>
      </x:c>
      <x:c r="S774" s="119" t="n">
        <x:f>MAX(IF(VLOOKUP(A774,'装备掉落'!$A$29:$H$34,2,TRUE)&gt;0,1,0),IF(VLOOKUP(A774,'装备掉落'!$A$29:$H$34,3,TRUE)&gt;0,2,0),IF(VLOOKUP(A774,'装备掉落'!$A$29:$H$34,4,TRUE)&gt;0,3,0),IF(VLOOKUP(A774,'装备掉落'!$A$29:$H$34,5,TRUE)&gt;0,4,0),IF(VLOOKUP(A774,'装备掉落'!$A$29:$H$34,6,TRUE)&gt;0,5,0),IF(VLOOKUP(A774,'装备掉落'!$A$29:$H$34,7,TRUE)&gt;0,6,0),IF(VLOOKUP(A774,'装备掉落'!$A$29:$H$34,8,TRUE)&gt;0,7,0))</x:f>
        <x:v>7</x:v>
      </x:c>
      <x:c r="T774" s="119" t="n">
        <x:f>MIN(7,S774+'经济参数'!$E$70)</x:f>
        <x:v>7</x:v>
      </x:c>
      <x:c r="U774" s="119" t="n">
        <x:f>MIN(7,S774+'经济参数'!$E$71)</x:f>
        <x:v>7</x:v>
      </x:c>
      <x:c r="V774" s="119" t="n">
        <x:f>IF(H774&gt;=('难度参数'!$E$52),1,0)+IF(H774&gt;=('难度参数'!$E$52+'难度参数'!$E$53),1,0)+IF(H774&gt;=('难度参数'!$E$52+'难度参数'!$E$53+'难度参数'!$E$54),1,0)+IF(H774&gt;=('难度参数'!$E$52+'难度参数'!$E$53+'难度参数'!$E$54+'难度参数'!$E$55),1,0)+IF(H774&gt;=('难度参数'!$E$52+'难度参数'!$E$53+'难度参数'!$E$54+'难度参数'!$E$55+'难度参数'!$E$56),1,0)+IF(H774&gt;=('难度参数'!$E$52+'难度参数'!$E$53+'难度参数'!$E$54+'难度参数'!$E$55+'难度参数'!$E$56+'难度参数'!$E$57),1,0)</x:f>
        <x:v>6</x:v>
      </x:c>
      <x:c r="W774" s="62" t="str">
        <x:f>IF(L774&gt;'难度参数'!$E$51,"仅出怪已超目标","还需实测")</x:f>
        <x:v>仅出怪已超目标</x:v>
      </x:c>
      <x:c r="X774" s="119" t="n">
        <x:f>IF(1&gt;D774,0,MAX(2,MIN('难度参数'!$E$12,ROUND(('难度参数'!$E$18*POWER(A774,'难度参数'!$E$19)/D774*(0.85+0.3*(1-1)/MAX(1,D774-1))),0)+F774)))</x:f>
        <x:v>41</x:v>
      </x:c>
      <x:c r="Y774" s="119" t="n">
        <x:f>IF(1&gt;D774,0,ROUND(('难度参数'!$E$13*POWER(A774,'难度参数'!$E$20)*MIN('难度参数'!$E$23,1+MAX(0,A774-'难度参数'!$E$21)*'难度参数'!$E$22))*(36+1*7)/(36+7*(D774+1)/2)*E774,0))</x:f>
        <x:v>10841</x:v>
      </x:c>
      <x:c r="Z774" s="119" t="n">
        <x:f>IF(X774=0,0,(X774-IF(1=D774,1,0))*ROUND(Y774*VLOOKUP(INDEX('章节与怪物'!$E$31:$K$37,B774,1),'章节与怪物'!$A$41:$F$44,2,FALSE),0)+IF(1=D774,ROUND(Y774*'难度参数'!$E$28*'章节与怪物'!$E$17,0),0))</x:f>
        <x:v>444481</x:v>
      </x:c>
      <x:c r="AA774" s="119" t="n">
        <x:f>IF(X774=0,0,(X774-IF(1=D774,1,0))*VLOOKUP(INDEX('章节与怪物'!$E$31:$K$37,B774,1),'章节与怪物'!$A$41:$F$44,4,FALSE)+IF(1=D774,'难度参数'!$E$30,0))</x:f>
        <x:v>738</x:v>
      </x:c>
      <x:c r="AB774" s="119" t="n">
        <x:f>IF(2&gt;D774,0,MAX(2,MIN('难度参数'!$E$12,ROUND(('难度参数'!$E$18*POWER(A774,'难度参数'!$E$19)/D774*(0.85+0.3*(2-1)/MAX(1,D774-1))),0)+F774)))</x:f>
        <x:v>43</x:v>
      </x:c>
      <x:c r="AC774" s="119" t="n">
        <x:f>IF(2&gt;D774,0,ROUND(('难度参数'!$E$13*POWER(A774,'难度参数'!$E$20)*MIN('难度参数'!$E$23,1+MAX(0,A774-'难度参数'!$E$21)*'难度参数'!$E$22))*(36+2*7)/(36+7*(D774+1)/2)*E774,0))</x:f>
        <x:v>12606</x:v>
      </x:c>
      <x:c r="AD774" s="119" t="n">
        <x:f>IF(AB774=0,0,(AB774-IF(2=D774,1,0))*ROUND(AC774*VLOOKUP(INDEX('章节与怪物'!$E$31:$K$37,B774,2),'章节与怪物'!$A$41:$F$44,2,FALSE),0)+IF(2=D774,ROUND(AC774*'难度参数'!$E$28*'章节与怪物'!$E$17,0),0))</x:f>
        <x:v>390268</x:v>
      </x:c>
      <x:c r="AE774" s="119" t="n">
        <x:f>IF(AB774=0,0,(AB774-IF(2=D774,1,0))*VLOOKUP(INDEX('章节与怪物'!$E$31:$K$37,B774,2),'章节与怪物'!$A$41:$F$44,4,FALSE)+IF(2=D774,'难度参数'!$E$30,0))</x:f>
        <x:v>860</x:v>
      </x:c>
      <x:c r="AF774" s="119" t="n">
        <x:f>IF(3&gt;D774,0,MAX(2,MIN('难度参数'!$E$12,ROUND(('难度参数'!$E$18*POWER(A774,'难度参数'!$E$19)/D774*(0.85+0.3*(3-1)/MAX(1,D774-1))),0)+F774)))</x:f>
        <x:v>46</x:v>
      </x:c>
      <x:c r="AG774" s="119" t="n">
        <x:f>IF(3&gt;D774,0,ROUND(('难度参数'!$E$13*POWER(A774,'难度参数'!$E$20)*MIN('难度参数'!$E$23,1+MAX(0,A774-'难度参数'!$E$21)*'难度参数'!$E$22))*(36+3*7)/(36+7*(D774+1)/2)*E774,0))</x:f>
        <x:v>14371</x:v>
      </x:c>
      <x:c r="AH774" s="119" t="n">
        <x:f>IF(AF774=0,0,(AF774-IF(3=D774,1,0))*ROUND(AG774*VLOOKUP(INDEX('章节与怪物'!$E$31:$K$37,B774,3),'章节与怪物'!$A$41:$F$44,2,FALSE),0)+IF(3=D774,ROUND(AG774*'难度参数'!$E$28*'章节与怪物'!$E$17,0),0))</x:f>
        <x:v>1123826</x:v>
      </x:c>
      <x:c r="AI774" s="119" t="n">
        <x:f>IF(AF774=0,0,(AF774-IF(3=D774,1,0))*VLOOKUP(INDEX('章节与怪物'!$E$31:$K$37,B774,3),'章节与怪物'!$A$41:$F$44,4,FALSE)+IF(3=D774,'难度参数'!$E$30,0))</x:f>
        <x:v>1288</x:v>
      </x:c>
      <x:c r="AJ774" s="119" t="n">
        <x:f>IF(4&gt;D774,0,MAX(2,MIN('难度参数'!$E$12,ROUND(('难度参数'!$E$18*POWER(A774,'难度参数'!$E$19)/D774*(0.85+0.3*(4-1)/MAX(1,D774-1))),0)+F774)))</x:f>
        <x:v>48</x:v>
      </x:c>
      <x:c r="AK774" s="119" t="n">
        <x:f>IF(4&gt;D774,0,ROUND(('难度参数'!$E$13*POWER(A774,'难度参数'!$E$20)*MIN('难度参数'!$E$23,1+MAX(0,A774-'难度参数'!$E$21)*'难度参数'!$E$22))*(36+4*7)/(36+7*(D774+1)/2)*E774,0))</x:f>
        <x:v>16136</x:v>
      </x:c>
      <x:c r="AL774" s="119" t="n">
        <x:f>IF(AJ774=0,0,(AJ774-IF(4=D774,1,0))*ROUND(AK774*VLOOKUP(INDEX('章节与怪物'!$E$31:$K$37,B774,4),'章节与怪物'!$A$41:$F$44,2,FALSE),0)+IF(4=D774,ROUND(AK774*'难度参数'!$E$28*'章节与怪物'!$E$17,0),0))</x:f>
        <x:v>1045632</x:v>
      </x:c>
      <x:c r="AM774" s="119" t="n">
        <x:f>IF(AJ774=0,0,(AJ774-IF(4=D774,1,0))*VLOOKUP(INDEX('章节与怪物'!$E$31:$K$37,B774,4),'章节与怪物'!$A$41:$F$44,4,FALSE)+IF(4=D774,'难度参数'!$E$30,0))</x:f>
        <x:v>1632</x:v>
      </x:c>
      <x:c r="AN774" s="119" t="n">
        <x:f>IF(5&gt;D774,0,MAX(2,MIN('难度参数'!$E$12,ROUND(('难度参数'!$E$18*POWER(A774,'难度参数'!$E$19)/D774*(0.85+0.3*(5-1)/MAX(1,D774-1))),0)+F774)))</x:f>
        <x:v>51</x:v>
      </x:c>
      <x:c r="AO774" s="119" t="n">
        <x:f>IF(5&gt;D774,0,ROUND(('难度参数'!$E$13*POWER(A774,'难度参数'!$E$20)*MIN('难度参数'!$E$23,1+MAX(0,A774-'难度参数'!$E$21)*'难度参数'!$E$22))*(36+5*7)/(36+7*(D774+1)/2)*E774,0))</x:f>
        <x:v>17901</x:v>
      </x:c>
      <x:c r="AP774" s="119" t="n">
        <x:f>IF(AN774=0,0,(AN774-IF(5=D774,1,0))*ROUND(AO774*VLOOKUP(INDEX('章节与怪物'!$E$31:$K$37,B774,5),'章节与怪物'!$A$41:$F$44,2,FALSE),0)+IF(5=D774,ROUND(AO774*'难度参数'!$E$28*'章节与怪物'!$E$17,0),0))</x:f>
        <x:v>657339</x:v>
      </x:c>
      <x:c r="AQ774" s="119" t="n">
        <x:f>IF(AN774=0,0,(AN774-IF(5=D774,1,0))*VLOOKUP(INDEX('章节与怪物'!$E$31:$K$37,B774,5),'章节与怪物'!$A$41:$F$44,4,FALSE)+IF(5=D774,'难度参数'!$E$30,0))</x:f>
        <x:v>1020</x:v>
      </x:c>
      <x:c r="AR774" s="119" t="n">
        <x:f>IF(6&gt;D774,0,MAX(2,MIN('难度参数'!$E$12,ROUND(('难度参数'!$E$18*POWER(A774,'难度参数'!$E$19)/D774*(0.85+0.3*(6-1)/MAX(1,D774-1))),0)+F774)))</x:f>
        <x:v>53</x:v>
      </x:c>
      <x:c r="AS774" s="119" t="n">
        <x:f>IF(6&gt;D774,0,ROUND(('难度参数'!$E$13*POWER(A774,'难度参数'!$E$20)*MIN('难度参数'!$E$23,1+MAX(0,A774-'难度参数'!$E$21)*'难度参数'!$E$22))*(36+6*7)/(36+7*(D774+1)/2)*E774,0))</x:f>
        <x:v>19666</x:v>
      </x:c>
      <x:c r="AT774" s="119" t="n">
        <x:f>IF(AR774=0,0,(AR774-IF(6=D774,1,0))*ROUND(AS774*VLOOKUP(INDEX('章节与怪物'!$E$31:$K$37,B774,6),'章节与怪物'!$A$41:$F$44,2,FALSE),0)+IF(6=D774,ROUND(AS774*'难度参数'!$E$28*'章节与怪物'!$E$17,0),0))</x:f>
        <x:v>1771896</x:v>
      </x:c>
      <x:c r="AU774" s="119" t="n">
        <x:f>IF(AR774=0,0,(AR774-IF(6=D774,1,0))*VLOOKUP(INDEX('章节与怪物'!$E$31:$K$37,B774,6),'章节与怪物'!$A$41:$F$44,4,FALSE)+IF(6=D774,'难度参数'!$E$30,0))</x:f>
        <x:v>1484</x:v>
      </x:c>
      <x:c r="AV774" s="119" t="n">
        <x:f>IF(7&gt;D774,0,MAX(2,MIN('难度参数'!$E$12,ROUND(('难度参数'!$E$18*POWER(A774,'难度参数'!$E$19)/D774*(0.85+0.3*(7-1)/MAX(1,D774-1))),0)+F774)))</x:f>
        <x:v>55</x:v>
      </x:c>
      <x:c r="AW774" s="119" t="n">
        <x:f>IF(7&gt;D774,0,ROUND(('难度参数'!$E$13*POWER(A774,'难度参数'!$E$20)*MIN('难度参数'!$E$23,1+MAX(0,A774-'难度参数'!$E$21)*'难度参数'!$E$22))*(36+7*7)/(36+7*(D774+1)/2)*E774,0))</x:f>
        <x:v>21431</x:v>
      </x:c>
      <x:c r="AX774" s="119" t="n">
        <x:f>IF(AV774=0,0,(AV774-IF(7=D774,1,0))*ROUND(AW774*VLOOKUP(INDEX('章节与怪物'!$E$31:$K$37,B774,7),'章节与怪物'!$A$41:$F$44,2,FALSE),0)+IF(7=D774,ROUND(AW774*'难度参数'!$E$28*'章节与怪物'!$E$17,0),0))</x:f>
        <x:v>1708059</x:v>
      </x:c>
      <x:c r="AY774" s="119" t="n">
        <x:f>IF(AV774=0,0,(AV774-IF(7=D774,1,0))*VLOOKUP(INDEX('章节与怪物'!$E$31:$K$37,B774,7),'章节与怪物'!$A$41:$F$44,4,FALSE)+IF(7=D774,'难度参数'!$E$30,0))</x:f>
        <x:v>2036</x:v>
      </x:c>
    </x:row>
    <x:row r="775" ht="23" customHeight="1">
      <x:c r="A775" s="119" t="n">
        <x:v>769</x:v>
      </x:c>
      <x:c r="B775" s="119" t="n">
        <x:f>MOD(INT((A775-1)/5),7)+1</x:f>
        <x:v>7</x:v>
      </x:c>
      <x:c r="C775" s="62" t="str">
        <x:f>INDEX('章节与怪物'!$B$31:$B$37,B775)</x:f>
        <x:v>魔法山脊</x:v>
      </x:c>
      <x:c r="D775" s="119" t="n">
        <x:f>MIN('难度参数'!$E$8,MAX('难度参数'!$E$7,A775))</x:f>
        <x:v>7</x:v>
      </x:c>
      <x:c r="E775" s="106" t="n">
        <x:v>1</x:v>
      </x:c>
      <x:c r="F775" s="106" t="n">
        <x:v>0</x:v>
      </x:c>
      <x:c r="G775" s="106" t="n">
        <x:v>1</x:v>
      </x:c>
      <x:c r="H775" s="119" t="n">
        <x:f>SUM(X775,AB775,AF775,AJ775,AN775,AR775,AV775)</x:f>
        <x:v>337</x:v>
      </x:c>
      <x:c r="I775" s="119" t="n">
        <x:f>SUM(Z775,AD775,AH775,AL775,AP775,AT775,AX775)</x:f>
        <x:v>7148211</x:v>
      </x:c>
      <x:c r="J775" s="119" t="n">
        <x:f>ROUND(INDEX(X775:AY775,1,(D775-1)*4+2)*'难度参数'!$E$28*'章节与怪物'!$E$17,0)</x:f>
        <x:v>145867</x:v>
      </x:c>
      <x:c r="K775" s="119" t="n">
        <x:f>SUM(AA775,AE775,AI775,AM775,AQ775,AU775,AY775)</x:f>
        <x:v>9058</x:v>
      </x:c>
      <x:c r="L775" s="62" t="n">
        <x:f>H775*(ROUNDUP('难度参数'!$E$24/('难度参数'!$E$26*'难度参数'!$E$27),0)*'难度参数'!$E$26)/60</x:f>
        <x:v>4.493333333333334</x:v>
      </x:c>
      <x:c r="M775" s="62" t="n">
        <x:f>L775+D775*('难度参数'!$E$49+'难度参数'!$E$50)/60</x:f>
        <x:v>5.660000000000001</x:v>
      </x:c>
      <x:c r="N775" s="119" t="n">
        <x:f>ROUNDDOWN(('经济参数'!$E$20+A775*'经济参数'!$E$21)*G775,0)</x:f>
        <x:v>15560</x:v>
      </x:c>
      <x:c r="O775" s="119" t="n">
        <x:f>ROUNDDOWN(MIN('经济参数'!$E$24,'经济参数'!$E$22+A775*'经济参数'!$E$23)*G775,0)</x:f>
        <x:v>0</x:v>
      </x:c>
      <x:c r="P775" s="119" t="n">
        <x:f>ROUNDDOWN((IF(A775&gt;='材料与任务'!$E$31,'材料与任务'!$E$32,IF(A775&gt;='材料与任务'!$E$25,'材料与任务'!$E$26,IF(A775&gt;='材料与任务'!$E$19,'材料与任务'!$E$20,IF(A775&gt;='材料与任务'!$E$13,'材料与任务'!$E$14,'材料与任务'!$E$8)))))*G775,0)</x:f>
        <x:v>6</x:v>
      </x:c>
      <x:c r="Q775" s="119" t="n">
        <x:f>ROUNDDOWN((IF(A775&gt;='材料与任务'!$E$31,'材料与任务'!$E$33,IF(A775&gt;='材料与任务'!$E$25,'材料与任务'!$E$27,IF(A775&gt;='材料与任务'!$E$19,'材料与任务'!$E$21,IF(A775&gt;='材料与任务'!$E$13,'材料与任务'!$E$15,'材料与任务'!$E$9)))))*G775,0)</x:f>
        <x:v>3</x:v>
      </x:c>
      <x:c r="R775" s="110" t="n">
        <x:f>'装备掉落'!$B$38</x:f>
        <x:v>0.6872058758851213</x:v>
      </x:c>
      <x:c r="S775" s="119" t="n">
        <x:f>MAX(IF(VLOOKUP(A775,'装备掉落'!$A$29:$H$34,2,TRUE)&gt;0,1,0),IF(VLOOKUP(A775,'装备掉落'!$A$29:$H$34,3,TRUE)&gt;0,2,0),IF(VLOOKUP(A775,'装备掉落'!$A$29:$H$34,4,TRUE)&gt;0,3,0),IF(VLOOKUP(A775,'装备掉落'!$A$29:$H$34,5,TRUE)&gt;0,4,0),IF(VLOOKUP(A775,'装备掉落'!$A$29:$H$34,6,TRUE)&gt;0,5,0),IF(VLOOKUP(A775,'装备掉落'!$A$29:$H$34,7,TRUE)&gt;0,6,0),IF(VLOOKUP(A775,'装备掉落'!$A$29:$H$34,8,TRUE)&gt;0,7,0))</x:f>
        <x:v>7</x:v>
      </x:c>
      <x:c r="T775" s="119" t="n">
        <x:f>MIN(7,S775+'经济参数'!$E$70)</x:f>
        <x:v>7</x:v>
      </x:c>
      <x:c r="U775" s="119" t="n">
        <x:f>MIN(7,S775+'经济参数'!$E$71)</x:f>
        <x:v>7</x:v>
      </x:c>
      <x:c r="V775" s="119" t="n">
        <x:f>IF(H775&gt;=('难度参数'!$E$52),1,0)+IF(H775&gt;=('难度参数'!$E$52+'难度参数'!$E$53),1,0)+IF(H775&gt;=('难度参数'!$E$52+'难度参数'!$E$53+'难度参数'!$E$54),1,0)+IF(H775&gt;=('难度参数'!$E$52+'难度参数'!$E$53+'难度参数'!$E$54+'难度参数'!$E$55),1,0)+IF(H775&gt;=('难度参数'!$E$52+'难度参数'!$E$53+'难度参数'!$E$54+'难度参数'!$E$55+'难度参数'!$E$56),1,0)+IF(H775&gt;=('难度参数'!$E$52+'难度参数'!$E$53+'难度参数'!$E$54+'难度参数'!$E$55+'难度参数'!$E$56+'难度参数'!$E$57),1,0)</x:f>
        <x:v>6</x:v>
      </x:c>
      <x:c r="W775" s="62" t="str">
        <x:f>IF(L775&gt;'难度参数'!$E$51,"仅出怪已超目标","还需实测")</x:f>
        <x:v>仅出怪已超目标</x:v>
      </x:c>
      <x:c r="X775" s="119" t="n">
        <x:f>IF(1&gt;D775,0,MAX(2,MIN('难度参数'!$E$12,ROUND(('难度参数'!$E$18*POWER(A775,'难度参数'!$E$19)/D775*(0.85+0.3*(1-1)/MAX(1,D775-1))),0)+F775)))</x:f>
        <x:v>41</x:v>
      </x:c>
      <x:c r="Y775" s="119" t="n">
        <x:f>IF(1&gt;D775,0,ROUND(('难度参数'!$E$13*POWER(A775,'难度参数'!$E$20)*MIN('难度参数'!$E$23,1+MAX(0,A775-'难度参数'!$E$21)*'难度参数'!$E$22))*(36+1*7)/(36+7*(D775+1)/2)*E775,0))</x:f>
        <x:v>10851</x:v>
      </x:c>
      <x:c r="Z775" s="119" t="n">
        <x:f>IF(X775=0,0,(X775-IF(1=D775,1,0))*ROUND(Y775*VLOOKUP(INDEX('章节与怪物'!$E$31:$K$37,B775,1),'章节与怪物'!$A$41:$F$44,2,FALSE),0)+IF(1=D775,ROUND(Y775*'难度参数'!$E$28*'章节与怪物'!$E$17,0),0))</x:f>
        <x:v>444891</x:v>
      </x:c>
      <x:c r="AA775" s="119" t="n">
        <x:f>IF(X775=0,0,(X775-IF(1=D775,1,0))*VLOOKUP(INDEX('章节与怪物'!$E$31:$K$37,B775,1),'章节与怪物'!$A$41:$F$44,4,FALSE)+IF(1=D775,'难度参数'!$E$30,0))</x:f>
        <x:v>738</x:v>
      </x:c>
      <x:c r="AB775" s="119" t="n">
        <x:f>IF(2&gt;D775,0,MAX(2,MIN('难度参数'!$E$12,ROUND(('难度参数'!$E$18*POWER(A775,'难度参数'!$E$19)/D775*(0.85+0.3*(2-1)/MAX(1,D775-1))),0)+F775)))</x:f>
        <x:v>43</x:v>
      </x:c>
      <x:c r="AC775" s="119" t="n">
        <x:f>IF(2&gt;D775,0,ROUND(('难度参数'!$E$13*POWER(A775,'难度参数'!$E$20)*MIN('难度参数'!$E$23,1+MAX(0,A775-'难度参数'!$E$21)*'难度参数'!$E$22))*(36+2*7)/(36+7*(D775+1)/2)*E775,0))</x:f>
        <x:v>12618</x:v>
      </x:c>
      <x:c r="AD775" s="119" t="n">
        <x:f>IF(AB775=0,0,(AB775-IF(2=D775,1,0))*ROUND(AC775*VLOOKUP(INDEX('章节与怪物'!$E$31:$K$37,B775,2),'章节与怪物'!$A$41:$F$44,2,FALSE),0)+IF(2=D775,ROUND(AC775*'难度参数'!$E$28*'章节与怪物'!$E$17,0),0))</x:f>
        <x:v>390655</x:v>
      </x:c>
      <x:c r="AE775" s="119" t="n">
        <x:f>IF(AB775=0,0,(AB775-IF(2=D775,1,0))*VLOOKUP(INDEX('章节与怪物'!$E$31:$K$37,B775,2),'章节与怪物'!$A$41:$F$44,4,FALSE)+IF(2=D775,'难度参数'!$E$30,0))</x:f>
        <x:v>860</x:v>
      </x:c>
      <x:c r="AF775" s="119" t="n">
        <x:f>IF(3&gt;D775,0,MAX(2,MIN('难度参数'!$E$12,ROUND(('难度参数'!$E$18*POWER(A775,'难度参数'!$E$19)/D775*(0.85+0.3*(3-1)/MAX(1,D775-1))),0)+F775)))</x:f>
        <x:v>46</x:v>
      </x:c>
      <x:c r="AG775" s="119" t="n">
        <x:f>IF(3&gt;D775,0,ROUND(('难度参数'!$E$13*POWER(A775,'难度参数'!$E$20)*MIN('难度参数'!$E$23,1+MAX(0,A775-'难度参数'!$E$21)*'难度参数'!$E$22))*(36+3*7)/(36+7*(D775+1)/2)*E775,0))</x:f>
        <x:v>14385</x:v>
      </x:c>
      <x:c r="AH775" s="119" t="n">
        <x:f>IF(AF775=0,0,(AF775-IF(3=D775,1,0))*ROUND(AG775*VLOOKUP(INDEX('章节与怪物'!$E$31:$K$37,B775,3),'章节与怪物'!$A$41:$F$44,2,FALSE),0)+IF(3=D775,ROUND(AG775*'难度参数'!$E$28*'章节与怪物'!$E$17,0),0))</x:f>
        <x:v>1124930</x:v>
      </x:c>
      <x:c r="AI775" s="119" t="n">
        <x:f>IF(AF775=0,0,(AF775-IF(3=D775,1,0))*VLOOKUP(INDEX('章节与怪物'!$E$31:$K$37,B775,3),'章节与怪物'!$A$41:$F$44,4,FALSE)+IF(3=D775,'难度参数'!$E$30,0))</x:f>
        <x:v>1288</x:v>
      </x:c>
      <x:c r="AJ775" s="119" t="n">
        <x:f>IF(4&gt;D775,0,MAX(2,MIN('难度参数'!$E$12,ROUND(('难度参数'!$E$18*POWER(A775,'难度参数'!$E$19)/D775*(0.85+0.3*(4-1)/MAX(1,D775-1))),0)+F775)))</x:f>
        <x:v>48</x:v>
      </x:c>
      <x:c r="AK775" s="119" t="n">
        <x:f>IF(4&gt;D775,0,ROUND(('难度参数'!$E$13*POWER(A775,'难度参数'!$E$20)*MIN('难度参数'!$E$23,1+MAX(0,A775-'难度参数'!$E$21)*'难度参数'!$E$22))*(36+4*7)/(36+7*(D775+1)/2)*E775,0))</x:f>
        <x:v>16151</x:v>
      </x:c>
      <x:c r="AL775" s="119" t="n">
        <x:f>IF(AJ775=0,0,(AJ775-IF(4=D775,1,0))*ROUND(AK775*VLOOKUP(INDEX('章节与怪物'!$E$31:$K$37,B775,4),'章节与怪物'!$A$41:$F$44,2,FALSE),0)+IF(4=D775,ROUND(AK775*'难度参数'!$E$28*'章节与怪物'!$E$17,0),0))</x:f>
        <x:v>1046592</x:v>
      </x:c>
      <x:c r="AM775" s="119" t="n">
        <x:f>IF(AJ775=0,0,(AJ775-IF(4=D775,1,0))*VLOOKUP(INDEX('章节与怪物'!$E$31:$K$37,B775,4),'章节与怪物'!$A$41:$F$44,4,FALSE)+IF(4=D775,'难度参数'!$E$30,0))</x:f>
        <x:v>1632</x:v>
      </x:c>
      <x:c r="AN775" s="119" t="n">
        <x:f>IF(5&gt;D775,0,MAX(2,MIN('难度参数'!$E$12,ROUND(('难度参数'!$E$18*POWER(A775,'难度参数'!$E$19)/D775*(0.85+0.3*(5-1)/MAX(1,D775-1))),0)+F775)))</x:f>
        <x:v>51</x:v>
      </x:c>
      <x:c r="AO775" s="119" t="n">
        <x:f>IF(5&gt;D775,0,ROUND(('难度参数'!$E$13*POWER(A775,'难度参数'!$E$20)*MIN('难度参数'!$E$23,1+MAX(0,A775-'难度参数'!$E$21)*'难度参数'!$E$22))*(36+5*7)/(36+7*(D775+1)/2)*E775,0))</x:f>
        <x:v>17918</x:v>
      </x:c>
      <x:c r="AP775" s="119" t="n">
        <x:f>IF(AN775=0,0,(AN775-IF(5=D775,1,0))*ROUND(AO775*VLOOKUP(INDEX('章节与怪物'!$E$31:$K$37,B775,5),'章节与怪物'!$A$41:$F$44,2,FALSE),0)+IF(5=D775,ROUND(AO775*'难度参数'!$E$28*'章节与怪物'!$E$17,0),0))</x:f>
        <x:v>657951</x:v>
      </x:c>
      <x:c r="AQ775" s="119" t="n">
        <x:f>IF(AN775=0,0,(AN775-IF(5=D775,1,0))*VLOOKUP(INDEX('章节与怪物'!$E$31:$K$37,B775,5),'章节与怪物'!$A$41:$F$44,4,FALSE)+IF(5=D775,'难度参数'!$E$30,0))</x:f>
        <x:v>1020</x:v>
      </x:c>
      <x:c r="AR775" s="119" t="n">
        <x:f>IF(6&gt;D775,0,MAX(2,MIN('难度参数'!$E$12,ROUND(('难度参数'!$E$18*POWER(A775,'难度参数'!$E$19)/D775*(0.85+0.3*(6-1)/MAX(1,D775-1))),0)+F775)))</x:f>
        <x:v>53</x:v>
      </x:c>
      <x:c r="AS775" s="119" t="n">
        <x:f>IF(6&gt;D775,0,ROUND(('难度参数'!$E$13*POWER(A775,'难度参数'!$E$20)*MIN('难度参数'!$E$23,1+MAX(0,A775-'难度参数'!$E$21)*'难度参数'!$E$22))*(36+6*7)/(36+7*(D775+1)/2)*E775,0))</x:f>
        <x:v>19684</x:v>
      </x:c>
      <x:c r="AT775" s="119" t="n">
        <x:f>IF(AR775=0,0,(AR775-IF(6=D775,1,0))*ROUND(AS775*VLOOKUP(INDEX('章节与怪物'!$E$31:$K$37,B775,6),'章节与怪物'!$A$41:$F$44,2,FALSE),0)+IF(6=D775,ROUND(AS775*'难度参数'!$E$28*'章节与怪物'!$E$17,0),0))</x:f>
        <x:v>1773539</x:v>
      </x:c>
      <x:c r="AU775" s="119" t="n">
        <x:f>IF(AR775=0,0,(AR775-IF(6=D775,1,0))*VLOOKUP(INDEX('章节与怪物'!$E$31:$K$37,B775,6),'章节与怪物'!$A$41:$F$44,4,FALSE)+IF(6=D775,'难度参数'!$E$30,0))</x:f>
        <x:v>1484</x:v>
      </x:c>
      <x:c r="AV775" s="119" t="n">
        <x:f>IF(7&gt;D775,0,MAX(2,MIN('难度参数'!$E$12,ROUND(('难度参数'!$E$18*POWER(A775,'难度参数'!$E$19)/D775*(0.85+0.3*(7-1)/MAX(1,D775-1))),0)+F775)))</x:f>
        <x:v>55</x:v>
      </x:c>
      <x:c r="AW775" s="119" t="n">
        <x:f>IF(7&gt;D775,0,ROUND(('难度参数'!$E$13*POWER(A775,'难度参数'!$E$20)*MIN('难度参数'!$E$23,1+MAX(0,A775-'难度参数'!$E$21)*'难度参数'!$E$22))*(36+7*7)/(36+7*(D775+1)/2)*E775,0))</x:f>
        <x:v>21451</x:v>
      </x:c>
      <x:c r="AX775" s="119" t="n">
        <x:f>IF(AV775=0,0,(AV775-IF(7=D775,1,0))*ROUND(AW775*VLOOKUP(INDEX('章节与怪物'!$E$31:$K$37,B775,7),'章节与怪物'!$A$41:$F$44,2,FALSE),0)+IF(7=D775,ROUND(AW775*'难度参数'!$E$28*'章节与怪物'!$E$17,0),0))</x:f>
        <x:v>1709653</x:v>
      </x:c>
      <x:c r="AY775" s="119" t="n">
        <x:f>IF(AV775=0,0,(AV775-IF(7=D775,1,0))*VLOOKUP(INDEX('章节与怪物'!$E$31:$K$37,B775,7),'章节与怪物'!$A$41:$F$44,4,FALSE)+IF(7=D775,'难度参数'!$E$30,0))</x:f>
        <x:v>2036</x:v>
      </x:c>
    </x:row>
    <x:row r="776" ht="23" customHeight="1">
      <x:c r="A776" s="119" t="n">
        <x:v>770</x:v>
      </x:c>
      <x:c r="B776" s="119" t="n">
        <x:f>MOD(INT((A776-1)/5),7)+1</x:f>
        <x:v>7</x:v>
      </x:c>
      <x:c r="C776" s="62" t="str">
        <x:f>INDEX('章节与怪物'!$B$31:$B$37,B776)</x:f>
        <x:v>魔法山脊</x:v>
      </x:c>
      <x:c r="D776" s="119" t="n">
        <x:f>MIN('难度参数'!$E$8,MAX('难度参数'!$E$7,A776))</x:f>
        <x:v>7</x:v>
      </x:c>
      <x:c r="E776" s="106" t="n">
        <x:v>1</x:v>
      </x:c>
      <x:c r="F776" s="106" t="n">
        <x:v>0</x:v>
      </x:c>
      <x:c r="G776" s="106" t="n">
        <x:v>1</x:v>
      </x:c>
      <x:c r="H776" s="119" t="n">
        <x:f>SUM(X776,AB776,AF776,AJ776,AN776,AR776,AV776)</x:f>
        <x:v>338</x:v>
      </x:c>
      <x:c r="I776" s="119" t="n">
        <x:f>SUM(Z776,AD776,AH776,AL776,AP776,AT776,AX776)</x:f>
        <x:v>7183858</x:v>
      </x:c>
      <x:c r="J776" s="119" t="n">
        <x:f>ROUND(INDEX(X776:AY776,1,(D776-1)*4+2)*'难度参数'!$E$28*'章节与怪物'!$E$17,0)</x:f>
        <x:v>146003</x:v>
      </x:c>
      <x:c r="K776" s="119" t="n">
        <x:f>SUM(AA776,AE776,AI776,AM776,AQ776,AU776,AY776)</x:f>
        <x:v>9092</x:v>
      </x:c>
      <x:c r="L776" s="62" t="n">
        <x:f>H776*(ROUNDUP('难度参数'!$E$24/('难度参数'!$E$26*'难度参数'!$E$27),0)*'难度参数'!$E$26)/60</x:f>
        <x:v>4.506666666666667</x:v>
      </x:c>
      <x:c r="M776" s="62" t="n">
        <x:f>L776+D776*('难度参数'!$E$49+'难度参数'!$E$50)/60</x:f>
        <x:v>5.673333333333334</x:v>
      </x:c>
      <x:c r="N776" s="119" t="n">
        <x:f>ROUNDDOWN(('经济参数'!$E$20+A776*'经济参数'!$E$21)*G776,0)</x:f>
        <x:v>15580</x:v>
      </x:c>
      <x:c r="O776" s="119" t="n">
        <x:f>ROUNDDOWN(MIN('经济参数'!$E$24,'经济参数'!$E$22+A776*'经济参数'!$E$23)*G776,0)</x:f>
        <x:v>0</x:v>
      </x:c>
      <x:c r="P776" s="119" t="n">
        <x:f>ROUNDDOWN((IF(A776&gt;='材料与任务'!$E$31,'材料与任务'!$E$32,IF(A776&gt;='材料与任务'!$E$25,'材料与任务'!$E$26,IF(A776&gt;='材料与任务'!$E$19,'材料与任务'!$E$20,IF(A776&gt;='材料与任务'!$E$13,'材料与任务'!$E$14,'材料与任务'!$E$8)))))*G776,0)</x:f>
        <x:v>6</x:v>
      </x:c>
      <x:c r="Q776" s="119" t="n">
        <x:f>ROUNDDOWN((IF(A776&gt;='材料与任务'!$E$31,'材料与任务'!$E$33,IF(A776&gt;='材料与任务'!$E$25,'材料与任务'!$E$27,IF(A776&gt;='材料与任务'!$E$19,'材料与任务'!$E$21,IF(A776&gt;='材料与任务'!$E$13,'材料与任务'!$E$15,'材料与任务'!$E$9)))))*G776,0)</x:f>
        <x:v>3</x:v>
      </x:c>
      <x:c r="R776" s="110" t="n">
        <x:f>'装备掉落'!$B$38</x:f>
        <x:v>0.6872058758851213</x:v>
      </x:c>
      <x:c r="S776" s="119" t="n">
        <x:f>MAX(IF(VLOOKUP(A776,'装备掉落'!$A$29:$H$34,2,TRUE)&gt;0,1,0),IF(VLOOKUP(A776,'装备掉落'!$A$29:$H$34,3,TRUE)&gt;0,2,0),IF(VLOOKUP(A776,'装备掉落'!$A$29:$H$34,4,TRUE)&gt;0,3,0),IF(VLOOKUP(A776,'装备掉落'!$A$29:$H$34,5,TRUE)&gt;0,4,0),IF(VLOOKUP(A776,'装备掉落'!$A$29:$H$34,6,TRUE)&gt;0,5,0),IF(VLOOKUP(A776,'装备掉落'!$A$29:$H$34,7,TRUE)&gt;0,6,0),IF(VLOOKUP(A776,'装备掉落'!$A$29:$H$34,8,TRUE)&gt;0,7,0))</x:f>
        <x:v>7</x:v>
      </x:c>
      <x:c r="T776" s="119" t="n">
        <x:f>MIN(7,S776+'经济参数'!$E$70)</x:f>
        <x:v>7</x:v>
      </x:c>
      <x:c r="U776" s="119" t="n">
        <x:f>MIN(7,S776+'经济参数'!$E$71)</x:f>
        <x:v>7</x:v>
      </x:c>
      <x:c r="V776" s="119" t="n">
        <x:f>IF(H776&gt;=('难度参数'!$E$52),1,0)+IF(H776&gt;=('难度参数'!$E$52+'难度参数'!$E$53),1,0)+IF(H776&gt;=('难度参数'!$E$52+'难度参数'!$E$53+'难度参数'!$E$54),1,0)+IF(H776&gt;=('难度参数'!$E$52+'难度参数'!$E$53+'难度参数'!$E$54+'难度参数'!$E$55),1,0)+IF(H776&gt;=('难度参数'!$E$52+'难度参数'!$E$53+'难度参数'!$E$54+'难度参数'!$E$55+'难度参数'!$E$56),1,0)+IF(H776&gt;=('难度参数'!$E$52+'难度参数'!$E$53+'难度参数'!$E$54+'难度参数'!$E$55+'难度参数'!$E$56+'难度参数'!$E$57),1,0)</x:f>
        <x:v>6</x:v>
      </x:c>
      <x:c r="W776" s="62" t="str">
        <x:f>IF(L776&gt;'难度参数'!$E$51,"仅出怪已超目标","还需实测")</x:f>
        <x:v>仅出怪已超目标</x:v>
      </x:c>
      <x:c r="X776" s="119" t="n">
        <x:f>IF(1&gt;D776,0,MAX(2,MIN('难度参数'!$E$12,ROUND(('难度参数'!$E$18*POWER(A776,'难度参数'!$E$19)/D776*(0.85+0.3*(1-1)/MAX(1,D776-1))),0)+F776)))</x:f>
        <x:v>41</x:v>
      </x:c>
      <x:c r="Y776" s="119" t="n">
        <x:f>IF(1&gt;D776,0,ROUND(('难度参数'!$E$13*POWER(A776,'难度参数'!$E$20)*MIN('难度参数'!$E$23,1+MAX(0,A776-'难度参数'!$E$21)*'难度参数'!$E$22))*(36+1*7)/(36+7*(D776+1)/2)*E776,0))</x:f>
        <x:v>10862</x:v>
      </x:c>
      <x:c r="Z776" s="119" t="n">
        <x:f>IF(X776=0,0,(X776-IF(1=D776,1,0))*ROUND(Y776*VLOOKUP(INDEX('章节与怪物'!$E$31:$K$37,B776,1),'章节与怪物'!$A$41:$F$44,2,FALSE),0)+IF(1=D776,ROUND(Y776*'难度参数'!$E$28*'章节与怪物'!$E$17,0),0))</x:f>
        <x:v>445342</x:v>
      </x:c>
      <x:c r="AA776" s="119" t="n">
        <x:f>IF(X776=0,0,(X776-IF(1=D776,1,0))*VLOOKUP(INDEX('章节与怪物'!$E$31:$K$37,B776,1),'章节与怪物'!$A$41:$F$44,4,FALSE)+IF(1=D776,'难度参数'!$E$30,0))</x:f>
        <x:v>738</x:v>
      </x:c>
      <x:c r="AB776" s="119" t="n">
        <x:f>IF(2&gt;D776,0,MAX(2,MIN('难度参数'!$E$12,ROUND(('难度参数'!$E$18*POWER(A776,'难度参数'!$E$19)/D776*(0.85+0.3*(2-1)/MAX(1,D776-1))),0)+F776)))</x:f>
        <x:v>43</x:v>
      </x:c>
      <x:c r="AC776" s="119" t="n">
        <x:f>IF(2&gt;D776,0,ROUND(('难度参数'!$E$13*POWER(A776,'难度参数'!$E$20)*MIN('难度参数'!$E$23,1+MAX(0,A776-'难度参数'!$E$21)*'难度参数'!$E$22))*(36+2*7)/(36+7*(D776+1)/2)*E776,0))</x:f>
        <x:v>12630</x:v>
      </x:c>
      <x:c r="AD776" s="119" t="n">
        <x:f>IF(AB776=0,0,(AB776-IF(2=D776,1,0))*ROUND(AC776*VLOOKUP(INDEX('章节与怪物'!$E$31:$K$37,B776,2),'章节与怪物'!$A$41:$F$44,2,FALSE),0)+IF(2=D776,ROUND(AC776*'难度参数'!$E$28*'章节与怪物'!$E$17,0),0))</x:f>
        <x:v>391042</x:v>
      </x:c>
      <x:c r="AE776" s="119" t="n">
        <x:f>IF(AB776=0,0,(AB776-IF(2=D776,1,0))*VLOOKUP(INDEX('章节与怪物'!$E$31:$K$37,B776,2),'章节与怪物'!$A$41:$F$44,4,FALSE)+IF(2=D776,'难度参数'!$E$30,0))</x:f>
        <x:v>860</x:v>
      </x:c>
      <x:c r="AF776" s="119" t="n">
        <x:f>IF(3&gt;D776,0,MAX(2,MIN('难度参数'!$E$12,ROUND(('难度参数'!$E$18*POWER(A776,'难度参数'!$E$19)/D776*(0.85+0.3*(3-1)/MAX(1,D776-1))),0)+F776)))</x:f>
        <x:v>46</x:v>
      </x:c>
      <x:c r="AG776" s="119" t="n">
        <x:f>IF(3&gt;D776,0,ROUND(('难度参数'!$E$13*POWER(A776,'难度参数'!$E$20)*MIN('难度参数'!$E$23,1+MAX(0,A776-'难度参数'!$E$21)*'难度参数'!$E$22))*(36+3*7)/(36+7*(D776+1)/2)*E776,0))</x:f>
        <x:v>14398</x:v>
      </x:c>
      <x:c r="AH776" s="119" t="n">
        <x:f>IF(AF776=0,0,(AF776-IF(3=D776,1,0))*ROUND(AG776*VLOOKUP(INDEX('章节与怪物'!$E$31:$K$37,B776,3),'章节与怪物'!$A$41:$F$44,2,FALSE),0)+IF(3=D776,ROUND(AG776*'难度参数'!$E$28*'章节与怪物'!$E$17,0),0))</x:f>
        <x:v>1125942</x:v>
      </x:c>
      <x:c r="AI776" s="119" t="n">
        <x:f>IF(AF776=0,0,(AF776-IF(3=D776,1,0))*VLOOKUP(INDEX('章节与怪物'!$E$31:$K$37,B776,3),'章节与怪物'!$A$41:$F$44,4,FALSE)+IF(3=D776,'难度参数'!$E$30,0))</x:f>
        <x:v>1288</x:v>
      </x:c>
      <x:c r="AJ776" s="119" t="n">
        <x:f>IF(4&gt;D776,0,MAX(2,MIN('难度参数'!$E$12,ROUND(('难度参数'!$E$18*POWER(A776,'难度参数'!$E$19)/D776*(0.85+0.3*(4-1)/MAX(1,D776-1))),0)+F776)))</x:f>
        <x:v>48</x:v>
      </x:c>
      <x:c r="AK776" s="119" t="n">
        <x:f>IF(4&gt;D776,0,ROUND(('难度参数'!$E$13*POWER(A776,'难度参数'!$E$20)*MIN('难度参数'!$E$23,1+MAX(0,A776-'难度参数'!$E$21)*'难度参数'!$E$22))*(36+4*7)/(36+7*(D776+1)/2)*E776,0))</x:f>
        <x:v>16166</x:v>
      </x:c>
      <x:c r="AL776" s="119" t="n">
        <x:f>IF(AJ776=0,0,(AJ776-IF(4=D776,1,0))*ROUND(AK776*VLOOKUP(INDEX('章节与怪物'!$E$31:$K$37,B776,4),'章节与怪物'!$A$41:$F$44,2,FALSE),0)+IF(4=D776,ROUND(AK776*'难度参数'!$E$28*'章节与怪物'!$E$17,0),0))</x:f>
        <x:v>1047552</x:v>
      </x:c>
      <x:c r="AM776" s="119" t="n">
        <x:f>IF(AJ776=0,0,(AJ776-IF(4=D776,1,0))*VLOOKUP(INDEX('章节与怪物'!$E$31:$K$37,B776,4),'章节与怪物'!$A$41:$F$44,4,FALSE)+IF(4=D776,'难度参数'!$E$30,0))</x:f>
        <x:v>1632</x:v>
      </x:c>
      <x:c r="AN776" s="119" t="n">
        <x:f>IF(5&gt;D776,0,MAX(2,MIN('难度参数'!$E$12,ROUND(('难度参数'!$E$18*POWER(A776,'难度参数'!$E$19)/D776*(0.85+0.3*(5-1)/MAX(1,D776-1))),0)+F776)))</x:f>
        <x:v>51</x:v>
      </x:c>
      <x:c r="AO776" s="119" t="n">
        <x:f>IF(5&gt;D776,0,ROUND(('难度参数'!$E$13*POWER(A776,'难度参数'!$E$20)*MIN('难度参数'!$E$23,1+MAX(0,A776-'难度参数'!$E$21)*'难度参数'!$E$22))*(36+5*7)/(36+7*(D776+1)/2)*E776,0))</x:f>
        <x:v>17934</x:v>
      </x:c>
      <x:c r="AP776" s="119" t="n">
        <x:f>IF(AN776=0,0,(AN776-IF(5=D776,1,0))*ROUND(AO776*VLOOKUP(INDEX('章节与怪物'!$E$31:$K$37,B776,5),'章节与怪物'!$A$41:$F$44,2,FALSE),0)+IF(5=D776,ROUND(AO776*'难度参数'!$E$28*'章节与怪物'!$E$17,0),0))</x:f>
        <x:v>658512</x:v>
      </x:c>
      <x:c r="AQ776" s="119" t="n">
        <x:f>IF(AN776=0,0,(AN776-IF(5=D776,1,0))*VLOOKUP(INDEX('章节与怪物'!$E$31:$K$37,B776,5),'章节与怪物'!$A$41:$F$44,4,FALSE)+IF(5=D776,'难度参数'!$E$30,0))</x:f>
        <x:v>1020</x:v>
      </x:c>
      <x:c r="AR776" s="119" t="n">
        <x:f>IF(6&gt;D776,0,MAX(2,MIN('难度参数'!$E$12,ROUND(('难度参数'!$E$18*POWER(A776,'难度参数'!$E$19)/D776*(0.85+0.3*(6-1)/MAX(1,D776-1))),0)+F776)))</x:f>
        <x:v>53</x:v>
      </x:c>
      <x:c r="AS776" s="119" t="n">
        <x:f>IF(6&gt;D776,0,ROUND(('难度参数'!$E$13*POWER(A776,'难度参数'!$E$20)*MIN('难度参数'!$E$23,1+MAX(0,A776-'难度参数'!$E$21)*'难度参数'!$E$22))*(36+6*7)/(36+7*(D776+1)/2)*E776,0))</x:f>
        <x:v>19703</x:v>
      </x:c>
      <x:c r="AT776" s="119" t="n">
        <x:f>IF(AR776=0,0,(AR776-IF(6=D776,1,0))*ROUND(AS776*VLOOKUP(INDEX('章节与怪物'!$E$31:$K$37,B776,6),'章节与怪物'!$A$41:$F$44,2,FALSE),0)+IF(6=D776,ROUND(AS776*'难度参数'!$E$28*'章节与怪物'!$E$17,0),0))</x:f>
        <x:v>1775235</x:v>
      </x:c>
      <x:c r="AU776" s="119" t="n">
        <x:f>IF(AR776=0,0,(AR776-IF(6=D776,1,0))*VLOOKUP(INDEX('章节与怪物'!$E$31:$K$37,B776,6),'章节与怪物'!$A$41:$F$44,4,FALSE)+IF(6=D776,'难度参数'!$E$30,0))</x:f>
        <x:v>1484</x:v>
      </x:c>
      <x:c r="AV776" s="119" t="n">
        <x:f>IF(7&gt;D776,0,MAX(2,MIN('难度参数'!$E$12,ROUND(('难度参数'!$E$18*POWER(A776,'难度参数'!$E$19)/D776*(0.85+0.3*(7-1)/MAX(1,D776-1))),0)+F776)))</x:f>
        <x:v>56</x:v>
      </x:c>
      <x:c r="AW776" s="119" t="n">
        <x:f>IF(7&gt;D776,0,ROUND(('难度参数'!$E$13*POWER(A776,'难度参数'!$E$20)*MIN('难度参数'!$E$23,1+MAX(0,A776-'难度参数'!$E$21)*'难度参数'!$E$22))*(36+7*7)/(36+7*(D776+1)/2)*E776,0))</x:f>
        <x:v>21471</x:v>
      </x:c>
      <x:c r="AX776" s="119" t="n">
        <x:f>IF(AV776=0,0,(AV776-IF(7=D776,1,0))*ROUND(AW776*VLOOKUP(INDEX('章节与怪物'!$E$31:$K$37,B776,7),'章节与怪物'!$A$41:$F$44,2,FALSE),0)+IF(7=D776,ROUND(AW776*'难度参数'!$E$28*'章节与怪物'!$E$17,0),0))</x:f>
        <x:v>1740233</x:v>
      </x:c>
      <x:c r="AY776" s="119" t="n">
        <x:f>IF(AV776=0,0,(AV776-IF(7=D776,1,0))*VLOOKUP(INDEX('章节与怪物'!$E$31:$K$37,B776,7),'章节与怪物'!$A$41:$F$44,4,FALSE)+IF(7=D776,'难度参数'!$E$30,0))</x:f>
        <x:v>2070</x:v>
      </x:c>
    </x:row>
    <x:row r="777" ht="23" customHeight="1">
      <x:c r="A777" s="119" t="n">
        <x:v>771</x:v>
      </x:c>
      <x:c r="B777" s="119" t="n">
        <x:f>MOD(INT((A777-1)/5),7)+1</x:f>
        <x:v>1</x:v>
      </x:c>
      <x:c r="C777" s="62" t="str">
        <x:f>INDEX('章节与怪物'!$B$31:$B$37,B777)</x:f>
        <x:v>冰雪荒原</x:v>
      </x:c>
      <x:c r="D777" s="119" t="n">
        <x:f>MIN('难度参数'!$E$8,MAX('难度参数'!$E$7,A777))</x:f>
        <x:v>7</x:v>
      </x:c>
      <x:c r="E777" s="106" t="n">
        <x:v>1</x:v>
      </x:c>
      <x:c r="F777" s="106" t="n">
        <x:v>0</x:v>
      </x:c>
      <x:c r="G777" s="106" t="n">
        <x:v>1</x:v>
      </x:c>
      <x:c r="H777" s="119" t="n">
        <x:f>SUM(X777,AB777,AF777,AJ777,AN777,AR777,AV777)</x:f>
        <x:v>338</x:v>
      </x:c>
      <x:c r="I777" s="119" t="n">
        <x:f>SUM(Z777,AD777,AH777,AL777,AP777,AT777,AX777)</x:f>
        <x:v>6931083</x:v>
      </x:c>
      <x:c r="J777" s="119" t="n">
        <x:f>ROUND(INDEX(X777:AY777,1,(D777-1)*4+2)*'难度参数'!$E$28*'章节与怪物'!$E$17,0)</x:f>
        <x:v>146139</x:v>
      </x:c>
      <x:c r="K777" s="119" t="n">
        <x:f>SUM(AA777,AE777,AI777,AM777,AQ777,AU777,AY777)</x:f>
        <x:v>8310</x:v>
      </x:c>
      <x:c r="L777" s="62" t="n">
        <x:f>H777*(ROUNDUP('难度参数'!$E$24/('难度参数'!$E$26*'难度参数'!$E$27),0)*'难度参数'!$E$26)/60</x:f>
        <x:v>4.506666666666667</x:v>
      </x:c>
      <x:c r="M777" s="62" t="n">
        <x:f>L777+D777*('难度参数'!$E$49+'难度参数'!$E$50)/60</x:f>
        <x:v>5.673333333333334</x:v>
      </x:c>
      <x:c r="N777" s="119" t="n">
        <x:f>ROUNDDOWN(('经济参数'!$E$20+A777*'经济参数'!$E$21)*G777,0)</x:f>
        <x:v>15600</x:v>
      </x:c>
      <x:c r="O777" s="119" t="n">
        <x:f>ROUNDDOWN(MIN('经济参数'!$E$24,'经济参数'!$E$22+A777*'经济参数'!$E$23)*G777,0)</x:f>
        <x:v>0</x:v>
      </x:c>
      <x:c r="P777" s="119" t="n">
        <x:f>ROUNDDOWN((IF(A777&gt;='材料与任务'!$E$31,'材料与任务'!$E$32,IF(A777&gt;='材料与任务'!$E$25,'材料与任务'!$E$26,IF(A777&gt;='材料与任务'!$E$19,'材料与任务'!$E$20,IF(A777&gt;='材料与任务'!$E$13,'材料与任务'!$E$14,'材料与任务'!$E$8)))))*G777,0)</x:f>
        <x:v>6</x:v>
      </x:c>
      <x:c r="Q777" s="119" t="n">
        <x:f>ROUNDDOWN((IF(A777&gt;='材料与任务'!$E$31,'材料与任务'!$E$33,IF(A777&gt;='材料与任务'!$E$25,'材料与任务'!$E$27,IF(A777&gt;='材料与任务'!$E$19,'材料与任务'!$E$21,IF(A777&gt;='材料与任务'!$E$13,'材料与任务'!$E$15,'材料与任务'!$E$9)))))*G777,0)</x:f>
        <x:v>3</x:v>
      </x:c>
      <x:c r="R777" s="110" t="n">
        <x:f>'装备掉落'!$B$38</x:f>
        <x:v>0.6872058758851213</x:v>
      </x:c>
      <x:c r="S777" s="119" t="n">
        <x:f>MAX(IF(VLOOKUP(A777,'装备掉落'!$A$29:$H$34,2,TRUE)&gt;0,1,0),IF(VLOOKUP(A777,'装备掉落'!$A$29:$H$34,3,TRUE)&gt;0,2,0),IF(VLOOKUP(A777,'装备掉落'!$A$29:$H$34,4,TRUE)&gt;0,3,0),IF(VLOOKUP(A777,'装备掉落'!$A$29:$H$34,5,TRUE)&gt;0,4,0),IF(VLOOKUP(A777,'装备掉落'!$A$29:$H$34,6,TRUE)&gt;0,5,0),IF(VLOOKUP(A777,'装备掉落'!$A$29:$H$34,7,TRUE)&gt;0,6,0),IF(VLOOKUP(A777,'装备掉落'!$A$29:$H$34,8,TRUE)&gt;0,7,0))</x:f>
        <x:v>7</x:v>
      </x:c>
      <x:c r="T777" s="119" t="n">
        <x:f>MIN(7,S777+'经济参数'!$E$70)</x:f>
        <x:v>7</x:v>
      </x:c>
      <x:c r="U777" s="119" t="n">
        <x:f>MIN(7,S777+'经济参数'!$E$71)</x:f>
        <x:v>7</x:v>
      </x:c>
      <x:c r="V777" s="119" t="n">
        <x:f>IF(H777&gt;=('难度参数'!$E$52),1,0)+IF(H777&gt;=('难度参数'!$E$52+'难度参数'!$E$53),1,0)+IF(H777&gt;=('难度参数'!$E$52+'难度参数'!$E$53+'难度参数'!$E$54),1,0)+IF(H777&gt;=('难度参数'!$E$52+'难度参数'!$E$53+'难度参数'!$E$54+'难度参数'!$E$55),1,0)+IF(H777&gt;=('难度参数'!$E$52+'难度参数'!$E$53+'难度参数'!$E$54+'难度参数'!$E$55+'难度参数'!$E$56),1,0)+IF(H777&gt;=('难度参数'!$E$52+'难度参数'!$E$53+'难度参数'!$E$54+'难度参数'!$E$55+'难度参数'!$E$56+'难度参数'!$E$57),1,0)</x:f>
        <x:v>6</x:v>
      </x:c>
      <x:c r="W777" s="62" t="str">
        <x:f>IF(L777&gt;'难度参数'!$E$51,"仅出怪已超目标","还需实测")</x:f>
        <x:v>仅出怪已超目标</x:v>
      </x:c>
      <x:c r="X777" s="119" t="n">
        <x:f>IF(1&gt;D777,0,MAX(2,MIN('难度参数'!$E$12,ROUND(('难度参数'!$E$18*POWER(A777,'难度参数'!$E$19)/D777*(0.85+0.3*(1-1)/MAX(1,D777-1))),0)+F777)))</x:f>
        <x:v>41</x:v>
      </x:c>
      <x:c r="Y777" s="119" t="n">
        <x:f>IF(1&gt;D777,0,ROUND(('难度参数'!$E$13*POWER(A777,'难度参数'!$E$20)*MIN('难度参数'!$E$23,1+MAX(0,A777-'难度参数'!$E$21)*'难度参数'!$E$22))*(36+1*7)/(36+7*(D777+1)/2)*E777,0))</x:f>
        <x:v>10872</x:v>
      </x:c>
      <x:c r="Z777" s="119" t="n">
        <x:f>IF(X777=0,0,(X777-IF(1=D777,1,0))*ROUND(Y777*VLOOKUP(INDEX('章节与怪物'!$E$31:$K$37,B777,1),'章节与怪物'!$A$41:$F$44,2,FALSE),0)+IF(1=D777,ROUND(Y777*'难度参数'!$E$28*'章节与怪物'!$E$17,0),0))</x:f>
        <x:v>445752</x:v>
      </x:c>
      <x:c r="AA777" s="119" t="n">
        <x:f>IF(X777=0,0,(X777-IF(1=D777,1,0))*VLOOKUP(INDEX('章节与怪物'!$E$31:$K$37,B777,1),'章节与怪物'!$A$41:$F$44,4,FALSE)+IF(1=D777,'难度参数'!$E$30,0))</x:f>
        <x:v>738</x:v>
      </x:c>
      <x:c r="AB777" s="119" t="n">
        <x:f>IF(2&gt;D777,0,MAX(2,MIN('难度参数'!$E$12,ROUND(('难度参数'!$E$18*POWER(A777,'难度参数'!$E$19)/D777*(0.85+0.3*(2-1)/MAX(1,D777-1))),0)+F777)))</x:f>
        <x:v>43</x:v>
      </x:c>
      <x:c r="AC777" s="119" t="n">
        <x:f>IF(2&gt;D777,0,ROUND(('难度参数'!$E$13*POWER(A777,'难度参数'!$E$20)*MIN('难度参数'!$E$23,1+MAX(0,A777-'难度参数'!$E$21)*'难度参数'!$E$22))*(36+2*7)/(36+7*(D777+1)/2)*E777,0))</x:f>
        <x:v>12642</x:v>
      </x:c>
      <x:c r="AD777" s="119" t="n">
        <x:f>IF(AB777=0,0,(AB777-IF(2=D777,1,0))*ROUND(AC777*VLOOKUP(INDEX('章节与怪物'!$E$31:$K$37,B777,2),'章节与怪物'!$A$41:$F$44,2,FALSE),0)+IF(2=D777,ROUND(AC777*'难度参数'!$E$28*'章节与怪物'!$E$17,0),0))</x:f>
        <x:v>543606</x:v>
      </x:c>
      <x:c r="AE777" s="119" t="n">
        <x:f>IF(AB777=0,0,(AB777-IF(2=D777,1,0))*VLOOKUP(INDEX('章节与怪物'!$E$31:$K$37,B777,2),'章节与怪物'!$A$41:$F$44,4,FALSE)+IF(2=D777,'难度参数'!$E$30,0))</x:f>
        <x:v>774</x:v>
      </x:c>
      <x:c r="AF777" s="119" t="n">
        <x:f>IF(3&gt;D777,0,MAX(2,MIN('难度参数'!$E$12,ROUND(('难度参数'!$E$18*POWER(A777,'难度参数'!$E$19)/D777*(0.85+0.3*(3-1)/MAX(1,D777-1))),0)+F777)))</x:f>
        <x:v>46</x:v>
      </x:c>
      <x:c r="AG777" s="119" t="n">
        <x:f>IF(3&gt;D777,0,ROUND(('难度参数'!$E$13*POWER(A777,'难度参数'!$E$20)*MIN('难度参数'!$E$23,1+MAX(0,A777-'难度参数'!$E$21)*'难度参数'!$E$22))*(36+3*7)/(36+7*(D777+1)/2)*E777,0))</x:f>
        <x:v>14411</x:v>
      </x:c>
      <x:c r="AH777" s="119" t="n">
        <x:f>IF(AF777=0,0,(AF777-IF(3=D777,1,0))*ROUND(AG777*VLOOKUP(INDEX('章节与怪物'!$E$31:$K$37,B777,3),'章节与怪物'!$A$41:$F$44,2,FALSE),0)+IF(3=D777,ROUND(AG777*'难度参数'!$E$28*'章节与怪物'!$E$17,0),0))</x:f>
        <x:v>477296</x:v>
      </x:c>
      <x:c r="AI777" s="119" t="n">
        <x:f>IF(AF777=0,0,(AF777-IF(3=D777,1,0))*VLOOKUP(INDEX('章节与怪物'!$E$31:$K$37,B777,3),'章节与怪物'!$A$41:$F$44,4,FALSE)+IF(3=D777,'难度参数'!$E$30,0))</x:f>
        <x:v>920</x:v>
      </x:c>
      <x:c r="AJ777" s="119" t="n">
        <x:f>IF(4&gt;D777,0,MAX(2,MIN('难度参数'!$E$12,ROUND(('难度参数'!$E$18*POWER(A777,'难度参数'!$E$19)/D777*(0.85+0.3*(4-1)/MAX(1,D777-1))),0)+F777)))</x:f>
        <x:v>48</x:v>
      </x:c>
      <x:c r="AK777" s="119" t="n">
        <x:f>IF(4&gt;D777,0,ROUND(('难度参数'!$E$13*POWER(A777,'难度参数'!$E$20)*MIN('难度参数'!$E$23,1+MAX(0,A777-'难度参数'!$E$21)*'难度参数'!$E$22))*(36+4*7)/(36+7*(D777+1)/2)*E777,0))</x:f>
        <x:v>16181</x:v>
      </x:c>
      <x:c r="AL777" s="119" t="n">
        <x:f>IF(AJ777=0,0,(AJ777-IF(4=D777,1,0))*ROUND(AK777*VLOOKUP(INDEX('章节与怪物'!$E$31:$K$37,B777,4),'章节与怪物'!$A$41:$F$44,2,FALSE),0)+IF(4=D777,ROUND(AK777*'难度参数'!$E$28*'章节与怪物'!$E$17,0),0))</x:f>
        <x:v>1320384</x:v>
      </x:c>
      <x:c r="AM777" s="119" t="n">
        <x:f>IF(AJ777=0,0,(AJ777-IF(4=D777,1,0))*VLOOKUP(INDEX('章节与怪物'!$E$31:$K$37,B777,4),'章节与怪物'!$A$41:$F$44,4,FALSE)+IF(4=D777,'难度参数'!$E$30,0))</x:f>
        <x:v>1344</x:v>
      </x:c>
      <x:c r="AN777" s="119" t="n">
        <x:f>IF(5&gt;D777,0,MAX(2,MIN('难度参数'!$E$12,ROUND(('难度参数'!$E$18*POWER(A777,'难度参数'!$E$19)/D777*(0.85+0.3*(5-1)/MAX(1,D777-1))),0)+F777)))</x:f>
        <x:v>51</x:v>
      </x:c>
      <x:c r="AO777" s="119" t="n">
        <x:f>IF(5&gt;D777,0,ROUND(('难度参数'!$E$13*POWER(A777,'难度参数'!$E$20)*MIN('难度参数'!$E$23,1+MAX(0,A777-'难度参数'!$E$21)*'难度参数'!$E$22))*(36+5*7)/(36+7*(D777+1)/2)*E777,0))</x:f>
        <x:v>17951</x:v>
      </x:c>
      <x:c r="AP777" s="119" t="n">
        <x:f>IF(AN777=0,0,(AN777-IF(5=D777,1,0))*ROUND(AO777*VLOOKUP(INDEX('章节与怪物'!$E$31:$K$37,B777,5),'章节与怪物'!$A$41:$F$44,2,FALSE),0)+IF(5=D777,ROUND(AO777*'难度参数'!$E$28*'章节与怪物'!$E$17,0),0))</x:f>
        <x:v>1235934</x:v>
      </x:c>
      <x:c r="AQ777" s="119" t="n">
        <x:f>IF(AN777=0,0,(AN777-IF(5=D777,1,0))*VLOOKUP(INDEX('章节与怪物'!$E$31:$K$37,B777,5),'章节与怪物'!$A$41:$F$44,4,FALSE)+IF(5=D777,'难度参数'!$E$30,0))</x:f>
        <x:v>1734</x:v>
      </x:c>
      <x:c r="AR777" s="119" t="n">
        <x:f>IF(6&gt;D777,0,MAX(2,MIN('难度参数'!$E$12,ROUND(('难度参数'!$E$18*POWER(A777,'难度参数'!$E$19)/D777*(0.85+0.3*(6-1)/MAX(1,D777-1))),0)+F777)))</x:f>
        <x:v>53</x:v>
      </x:c>
      <x:c r="AS777" s="119" t="n">
        <x:f>IF(6&gt;D777,0,ROUND(('难度参数'!$E$13*POWER(A777,'难度参数'!$E$20)*MIN('难度参数'!$E$23,1+MAX(0,A777-'难度参数'!$E$21)*'难度参数'!$E$22))*(36+6*7)/(36+7*(D777+1)/2)*E777,0))</x:f>
        <x:v>19721</x:v>
      </x:c>
      <x:c r="AT777" s="119" t="n">
        <x:f>IF(AR777=0,0,(AR777-IF(6=D777,1,0))*ROUND(AS777*VLOOKUP(INDEX('章节与怪物'!$E$31:$K$37,B777,6),'章节与怪物'!$A$41:$F$44,2,FALSE),0)+IF(6=D777,ROUND(AS777*'难度参数'!$E$28*'章节与怪物'!$E$17,0),0))</x:f>
        <x:v>752547</x:v>
      </x:c>
      <x:c r="AU777" s="119" t="n">
        <x:f>IF(AR777=0,0,(AR777-IF(6=D777,1,0))*VLOOKUP(INDEX('章节与怪物'!$E$31:$K$37,B777,6),'章节与怪物'!$A$41:$F$44,4,FALSE)+IF(6=D777,'难度参数'!$E$30,0))</x:f>
        <x:v>1060</x:v>
      </x:c>
      <x:c r="AV777" s="119" t="n">
        <x:f>IF(7&gt;D777,0,MAX(2,MIN('难度参数'!$E$12,ROUND(('难度参数'!$E$18*POWER(A777,'难度参数'!$E$19)/D777*(0.85+0.3*(7-1)/MAX(1,D777-1))),0)+F777)))</x:f>
        <x:v>56</x:v>
      </x:c>
      <x:c r="AW777" s="119" t="n">
        <x:f>IF(7&gt;D777,0,ROUND(('难度参数'!$E$13*POWER(A777,'难度参数'!$E$20)*MIN('难度参数'!$E$23,1+MAX(0,A777-'难度参数'!$E$21)*'难度参数'!$E$22))*(36+7*7)/(36+7*(D777+1)/2)*E777,0))</x:f>
        <x:v>21491</x:v>
      </x:c>
      <x:c r="AX777" s="119" t="n">
        <x:f>IF(AV777=0,0,(AV777-IF(7=D777,1,0))*ROUND(AW777*VLOOKUP(INDEX('章节与怪物'!$E$31:$K$37,B777,7),'章节与怪物'!$A$41:$F$44,2,FALSE),0)+IF(7=D777,ROUND(AW777*'难度参数'!$E$28*'章节与怪物'!$E$17,0),0))</x:f>
        <x:v>2155564</x:v>
      </x:c>
      <x:c r="AY777" s="119" t="n">
        <x:f>IF(AV777=0,0,(AV777-IF(7=D777,1,0))*VLOOKUP(INDEX('章节与怪物'!$E$31:$K$37,B777,7),'章节与怪物'!$A$41:$F$44,4,FALSE)+IF(7=D777,'难度参数'!$E$30,0))</x:f>
        <x:v>1740</x:v>
      </x:c>
    </x:row>
    <x:row r="778" ht="23" customHeight="1">
      <x:c r="A778" s="119" t="n">
        <x:v>772</x:v>
      </x:c>
      <x:c r="B778" s="119" t="n">
        <x:f>MOD(INT((A778-1)/5),7)+1</x:f>
        <x:v>1</x:v>
      </x:c>
      <x:c r="C778" s="62" t="str">
        <x:f>INDEX('章节与怪物'!$B$31:$B$37,B778)</x:f>
        <x:v>冰雪荒原</x:v>
      </x:c>
      <x:c r="D778" s="119" t="n">
        <x:f>MIN('难度参数'!$E$8,MAX('难度参数'!$E$7,A778))</x:f>
        <x:v>7</x:v>
      </x:c>
      <x:c r="E778" s="106" t="n">
        <x:v>1</x:v>
      </x:c>
      <x:c r="F778" s="106" t="n">
        <x:v>0</x:v>
      </x:c>
      <x:c r="G778" s="106" t="n">
        <x:v>1</x:v>
      </x:c>
      <x:c r="H778" s="119" t="n">
        <x:f>SUM(X778,AB778,AF778,AJ778,AN778,AR778,AV778)</x:f>
        <x:v>338</x:v>
      </x:c>
      <x:c r="I778" s="119" t="n">
        <x:f>SUM(Z778,AD778,AH778,AL778,AP778,AT778,AX778)</x:f>
        <x:v>6937494</x:v>
      </x:c>
      <x:c r="J778" s="119" t="n">
        <x:f>ROUND(INDEX(X778:AY778,1,(D778-1)*4+2)*'难度参数'!$E$28*'章节与怪物'!$E$17,0)</x:f>
        <x:v>146275</x:v>
      </x:c>
      <x:c r="K778" s="119" t="n">
        <x:f>SUM(AA778,AE778,AI778,AM778,AQ778,AU778,AY778)</x:f>
        <x:v>8310</x:v>
      </x:c>
      <x:c r="L778" s="62" t="n">
        <x:f>H778*(ROUNDUP('难度参数'!$E$24/('难度参数'!$E$26*'难度参数'!$E$27),0)*'难度参数'!$E$26)/60</x:f>
        <x:v>4.506666666666667</x:v>
      </x:c>
      <x:c r="M778" s="62" t="n">
        <x:f>L778+D778*('难度参数'!$E$49+'难度参数'!$E$50)/60</x:f>
        <x:v>5.673333333333334</x:v>
      </x:c>
      <x:c r="N778" s="119" t="n">
        <x:f>ROUNDDOWN(('经济参数'!$E$20+A778*'经济参数'!$E$21)*G778,0)</x:f>
        <x:v>15620</x:v>
      </x:c>
      <x:c r="O778" s="119" t="n">
        <x:f>ROUNDDOWN(MIN('经济参数'!$E$24,'经济参数'!$E$22+A778*'经济参数'!$E$23)*G778,0)</x:f>
        <x:v>0</x:v>
      </x:c>
      <x:c r="P778" s="119" t="n">
        <x:f>ROUNDDOWN((IF(A778&gt;='材料与任务'!$E$31,'材料与任务'!$E$32,IF(A778&gt;='材料与任务'!$E$25,'材料与任务'!$E$26,IF(A778&gt;='材料与任务'!$E$19,'材料与任务'!$E$20,IF(A778&gt;='材料与任务'!$E$13,'材料与任务'!$E$14,'材料与任务'!$E$8)))))*G778,0)</x:f>
        <x:v>6</x:v>
      </x:c>
      <x:c r="Q778" s="119" t="n">
        <x:f>ROUNDDOWN((IF(A778&gt;='材料与任务'!$E$31,'材料与任务'!$E$33,IF(A778&gt;='材料与任务'!$E$25,'材料与任务'!$E$27,IF(A778&gt;='材料与任务'!$E$19,'材料与任务'!$E$21,IF(A778&gt;='材料与任务'!$E$13,'材料与任务'!$E$15,'材料与任务'!$E$9)))))*G778,0)</x:f>
        <x:v>3</x:v>
      </x:c>
      <x:c r="R778" s="110" t="n">
        <x:f>'装备掉落'!$B$38</x:f>
        <x:v>0.6872058758851213</x:v>
      </x:c>
      <x:c r="S778" s="119" t="n">
        <x:f>MAX(IF(VLOOKUP(A778,'装备掉落'!$A$29:$H$34,2,TRUE)&gt;0,1,0),IF(VLOOKUP(A778,'装备掉落'!$A$29:$H$34,3,TRUE)&gt;0,2,0),IF(VLOOKUP(A778,'装备掉落'!$A$29:$H$34,4,TRUE)&gt;0,3,0),IF(VLOOKUP(A778,'装备掉落'!$A$29:$H$34,5,TRUE)&gt;0,4,0),IF(VLOOKUP(A778,'装备掉落'!$A$29:$H$34,6,TRUE)&gt;0,5,0),IF(VLOOKUP(A778,'装备掉落'!$A$29:$H$34,7,TRUE)&gt;0,6,0),IF(VLOOKUP(A778,'装备掉落'!$A$29:$H$34,8,TRUE)&gt;0,7,0))</x:f>
        <x:v>7</x:v>
      </x:c>
      <x:c r="T778" s="119" t="n">
        <x:f>MIN(7,S778+'经济参数'!$E$70)</x:f>
        <x:v>7</x:v>
      </x:c>
      <x:c r="U778" s="119" t="n">
        <x:f>MIN(7,S778+'经济参数'!$E$71)</x:f>
        <x:v>7</x:v>
      </x:c>
      <x:c r="V778" s="119" t="n">
        <x:f>IF(H778&gt;=('难度参数'!$E$52),1,0)+IF(H778&gt;=('难度参数'!$E$52+'难度参数'!$E$53),1,0)+IF(H778&gt;=('难度参数'!$E$52+'难度参数'!$E$53+'难度参数'!$E$54),1,0)+IF(H778&gt;=('难度参数'!$E$52+'难度参数'!$E$53+'难度参数'!$E$54+'难度参数'!$E$55),1,0)+IF(H778&gt;=('难度参数'!$E$52+'难度参数'!$E$53+'难度参数'!$E$54+'难度参数'!$E$55+'难度参数'!$E$56),1,0)+IF(H778&gt;=('难度参数'!$E$52+'难度参数'!$E$53+'难度参数'!$E$54+'难度参数'!$E$55+'难度参数'!$E$56+'难度参数'!$E$57),1,0)</x:f>
        <x:v>6</x:v>
      </x:c>
      <x:c r="W778" s="62" t="str">
        <x:f>IF(L778&gt;'难度参数'!$E$51,"仅出怪已超目标","还需实测")</x:f>
        <x:v>仅出怪已超目标</x:v>
      </x:c>
      <x:c r="X778" s="119" t="n">
        <x:f>IF(1&gt;D778,0,MAX(2,MIN('难度参数'!$E$12,ROUND(('难度参数'!$E$18*POWER(A778,'难度参数'!$E$19)/D778*(0.85+0.3*(1-1)/MAX(1,D778-1))),0)+F778)))</x:f>
        <x:v>41</x:v>
      </x:c>
      <x:c r="Y778" s="119" t="n">
        <x:f>IF(1&gt;D778,0,ROUND(('难度参数'!$E$13*POWER(A778,'难度参数'!$E$20)*MIN('难度参数'!$E$23,1+MAX(0,A778-'难度参数'!$E$21)*'难度参数'!$E$22))*(36+1*7)/(36+7*(D778+1)/2)*E778,0))</x:f>
        <x:v>10882</x:v>
      </x:c>
      <x:c r="Z778" s="119" t="n">
        <x:f>IF(X778=0,0,(X778-IF(1=D778,1,0))*ROUND(Y778*VLOOKUP(INDEX('章节与怪物'!$E$31:$K$37,B778,1),'章节与怪物'!$A$41:$F$44,2,FALSE),0)+IF(1=D778,ROUND(Y778*'难度参数'!$E$28*'章节与怪物'!$E$17,0),0))</x:f>
        <x:v>446162</x:v>
      </x:c>
      <x:c r="AA778" s="119" t="n">
        <x:f>IF(X778=0,0,(X778-IF(1=D778,1,0))*VLOOKUP(INDEX('章节与怪物'!$E$31:$K$37,B778,1),'章节与怪物'!$A$41:$F$44,4,FALSE)+IF(1=D778,'难度参数'!$E$30,0))</x:f>
        <x:v>738</x:v>
      </x:c>
      <x:c r="AB778" s="119" t="n">
        <x:f>IF(2&gt;D778,0,MAX(2,MIN('难度参数'!$E$12,ROUND(('难度参数'!$E$18*POWER(A778,'难度参数'!$E$19)/D778*(0.85+0.3*(2-1)/MAX(1,D778-1))),0)+F778)))</x:f>
        <x:v>43</x:v>
      </x:c>
      <x:c r="AC778" s="119" t="n">
        <x:f>IF(2&gt;D778,0,ROUND(('难度参数'!$E$13*POWER(A778,'难度参数'!$E$20)*MIN('难度参数'!$E$23,1+MAX(0,A778-'难度参数'!$E$21)*'难度参数'!$E$22))*(36+2*7)/(36+7*(D778+1)/2)*E778,0))</x:f>
        <x:v>12653</x:v>
      </x:c>
      <x:c r="AD778" s="119" t="n">
        <x:f>IF(AB778=0,0,(AB778-IF(2=D778,1,0))*ROUND(AC778*VLOOKUP(INDEX('章节与怪物'!$E$31:$K$37,B778,2),'章节与怪物'!$A$41:$F$44,2,FALSE),0)+IF(2=D778,ROUND(AC778*'难度参数'!$E$28*'章节与怪物'!$E$17,0),0))</x:f>
        <x:v>544079</x:v>
      </x:c>
      <x:c r="AE778" s="119" t="n">
        <x:f>IF(AB778=0,0,(AB778-IF(2=D778,1,0))*VLOOKUP(INDEX('章节与怪物'!$E$31:$K$37,B778,2),'章节与怪物'!$A$41:$F$44,4,FALSE)+IF(2=D778,'难度参数'!$E$30,0))</x:f>
        <x:v>774</x:v>
      </x:c>
      <x:c r="AF778" s="119" t="n">
        <x:f>IF(3&gt;D778,0,MAX(2,MIN('难度参数'!$E$12,ROUND(('难度参数'!$E$18*POWER(A778,'难度参数'!$E$19)/D778*(0.85+0.3*(3-1)/MAX(1,D778-1))),0)+F778)))</x:f>
        <x:v>46</x:v>
      </x:c>
      <x:c r="AG778" s="119" t="n">
        <x:f>IF(3&gt;D778,0,ROUND(('难度参数'!$E$13*POWER(A778,'难度参数'!$E$20)*MIN('难度参数'!$E$23,1+MAX(0,A778-'难度参数'!$E$21)*'难度参数'!$E$22))*(36+3*7)/(36+7*(D778+1)/2)*E778,0))</x:f>
        <x:v>14425</x:v>
      </x:c>
      <x:c r="AH778" s="119" t="n">
        <x:f>IF(AF778=0,0,(AF778-IF(3=D778,1,0))*ROUND(AG778*VLOOKUP(INDEX('章节与怪物'!$E$31:$K$37,B778,3),'章节与怪物'!$A$41:$F$44,2,FALSE),0)+IF(3=D778,ROUND(AG778*'难度参数'!$E$28*'章节与怪物'!$E$17,0),0))</x:f>
        <x:v>477756</x:v>
      </x:c>
      <x:c r="AI778" s="119" t="n">
        <x:f>IF(AF778=0,0,(AF778-IF(3=D778,1,0))*VLOOKUP(INDEX('章节与怪物'!$E$31:$K$37,B778,3),'章节与怪物'!$A$41:$F$44,4,FALSE)+IF(3=D778,'难度参数'!$E$30,0))</x:f>
        <x:v>920</x:v>
      </x:c>
      <x:c r="AJ778" s="119" t="n">
        <x:f>IF(4&gt;D778,0,MAX(2,MIN('难度参数'!$E$12,ROUND(('难度参数'!$E$18*POWER(A778,'难度参数'!$E$19)/D778*(0.85+0.3*(4-1)/MAX(1,D778-1))),0)+F778)))</x:f>
        <x:v>48</x:v>
      </x:c>
      <x:c r="AK778" s="119" t="n">
        <x:f>IF(4&gt;D778,0,ROUND(('难度参数'!$E$13*POWER(A778,'难度参数'!$E$20)*MIN('难度参数'!$E$23,1+MAX(0,A778-'难度参数'!$E$21)*'难度参数'!$E$22))*(36+4*7)/(36+7*(D778+1)/2)*E778,0))</x:f>
        <x:v>16196</x:v>
      </x:c>
      <x:c r="AL778" s="119" t="n">
        <x:f>IF(AJ778=0,0,(AJ778-IF(4=D778,1,0))*ROUND(AK778*VLOOKUP(INDEX('章节与怪物'!$E$31:$K$37,B778,4),'章节与怪物'!$A$41:$F$44,2,FALSE),0)+IF(4=D778,ROUND(AK778*'难度参数'!$E$28*'章节与怪物'!$E$17,0),0))</x:f>
        <x:v>1321584</x:v>
      </x:c>
      <x:c r="AM778" s="119" t="n">
        <x:f>IF(AJ778=0,0,(AJ778-IF(4=D778,1,0))*VLOOKUP(INDEX('章节与怪物'!$E$31:$K$37,B778,4),'章节与怪物'!$A$41:$F$44,4,FALSE)+IF(4=D778,'难度参数'!$E$30,0))</x:f>
        <x:v>1344</x:v>
      </x:c>
      <x:c r="AN778" s="119" t="n">
        <x:f>IF(5&gt;D778,0,MAX(2,MIN('难度参数'!$E$12,ROUND(('难度参数'!$E$18*POWER(A778,'难度参数'!$E$19)/D778*(0.85+0.3*(5-1)/MAX(1,D778-1))),0)+F778)))</x:f>
        <x:v>51</x:v>
      </x:c>
      <x:c r="AO778" s="119" t="n">
        <x:f>IF(5&gt;D778,0,ROUND(('难度参数'!$E$13*POWER(A778,'难度参数'!$E$20)*MIN('难度参数'!$E$23,1+MAX(0,A778-'难度参数'!$E$21)*'难度参数'!$E$22))*(36+5*7)/(36+7*(D778+1)/2)*E778,0))</x:f>
        <x:v>17968</x:v>
      </x:c>
      <x:c r="AP778" s="119" t="n">
        <x:f>IF(AN778=0,0,(AN778-IF(5=D778,1,0))*ROUND(AO778*VLOOKUP(INDEX('章节与怪物'!$E$31:$K$37,B778,5),'章节与怪物'!$A$41:$F$44,2,FALSE),0)+IF(5=D778,ROUND(AO778*'难度参数'!$E$28*'章节与怪物'!$E$17,0),0))</x:f>
        <x:v>1237107</x:v>
      </x:c>
      <x:c r="AQ778" s="119" t="n">
        <x:f>IF(AN778=0,0,(AN778-IF(5=D778,1,0))*VLOOKUP(INDEX('章节与怪物'!$E$31:$K$37,B778,5),'章节与怪物'!$A$41:$F$44,4,FALSE)+IF(5=D778,'难度参数'!$E$30,0))</x:f>
        <x:v>1734</x:v>
      </x:c>
      <x:c r="AR778" s="119" t="n">
        <x:f>IF(6&gt;D778,0,MAX(2,MIN('难度参数'!$E$12,ROUND(('难度参数'!$E$18*POWER(A778,'难度参数'!$E$19)/D778*(0.85+0.3*(6-1)/MAX(1,D778-1))),0)+F778)))</x:f>
        <x:v>53</x:v>
      </x:c>
      <x:c r="AS778" s="119" t="n">
        <x:f>IF(6&gt;D778,0,ROUND(('难度参数'!$E$13*POWER(A778,'难度参数'!$E$20)*MIN('难度参数'!$E$23,1+MAX(0,A778-'难度参数'!$E$21)*'难度参数'!$E$22))*(36+6*7)/(36+7*(D778+1)/2)*E778,0))</x:f>
        <x:v>19739</x:v>
      </x:c>
      <x:c r="AT778" s="119" t="n">
        <x:f>IF(AR778=0,0,(AR778-IF(6=D778,1,0))*ROUND(AS778*VLOOKUP(INDEX('章节与怪物'!$E$31:$K$37,B778,6),'章节与怪物'!$A$41:$F$44,2,FALSE),0)+IF(6=D778,ROUND(AS778*'难度参数'!$E$28*'章节与怪物'!$E$17,0),0))</x:f>
        <x:v>753236</x:v>
      </x:c>
      <x:c r="AU778" s="119" t="n">
        <x:f>IF(AR778=0,0,(AR778-IF(6=D778,1,0))*VLOOKUP(INDEX('章节与怪物'!$E$31:$K$37,B778,6),'章节与怪物'!$A$41:$F$44,4,FALSE)+IF(6=D778,'难度参数'!$E$30,0))</x:f>
        <x:v>1060</x:v>
      </x:c>
      <x:c r="AV778" s="119" t="n">
        <x:f>IF(7&gt;D778,0,MAX(2,MIN('难度参数'!$E$12,ROUND(('难度参数'!$E$18*POWER(A778,'难度参数'!$E$19)/D778*(0.85+0.3*(7-1)/MAX(1,D778-1))),0)+F778)))</x:f>
        <x:v>56</x:v>
      </x:c>
      <x:c r="AW778" s="119" t="n">
        <x:f>IF(7&gt;D778,0,ROUND(('难度参数'!$E$13*POWER(A778,'难度参数'!$E$20)*MIN('难度参数'!$E$23,1+MAX(0,A778-'难度参数'!$E$21)*'难度参数'!$E$22))*(36+7*7)/(36+7*(D778+1)/2)*E778,0))</x:f>
        <x:v>21511</x:v>
      </x:c>
      <x:c r="AX778" s="119" t="n">
        <x:f>IF(AV778=0,0,(AV778-IF(7=D778,1,0))*ROUND(AW778*VLOOKUP(INDEX('章节与怪物'!$E$31:$K$37,B778,7),'章节与怪物'!$A$41:$F$44,2,FALSE),0)+IF(7=D778,ROUND(AW778*'难度参数'!$E$28*'章节与怪物'!$E$17,0),0))</x:f>
        <x:v>2157570</x:v>
      </x:c>
      <x:c r="AY778" s="119" t="n">
        <x:f>IF(AV778=0,0,(AV778-IF(7=D778,1,0))*VLOOKUP(INDEX('章节与怪物'!$E$31:$K$37,B778,7),'章节与怪物'!$A$41:$F$44,4,FALSE)+IF(7=D778,'难度参数'!$E$30,0))</x:f>
        <x:v>1740</x:v>
      </x:c>
    </x:row>
    <x:row r="779" ht="23" customHeight="1">
      <x:c r="A779" s="119" t="n">
        <x:v>773</x:v>
      </x:c>
      <x:c r="B779" s="119" t="n">
        <x:f>MOD(INT((A779-1)/5),7)+1</x:f>
        <x:v>1</x:v>
      </x:c>
      <x:c r="C779" s="62" t="str">
        <x:f>INDEX('章节与怪物'!$B$31:$B$37,B779)</x:f>
        <x:v>冰雪荒原</x:v>
      </x:c>
      <x:c r="D779" s="119" t="n">
        <x:f>MIN('难度参数'!$E$8,MAX('难度参数'!$E$7,A779))</x:f>
        <x:v>7</x:v>
      </x:c>
      <x:c r="E779" s="106" t="n">
        <x:v>1</x:v>
      </x:c>
      <x:c r="F779" s="106" t="n">
        <x:v>0</x:v>
      </x:c>
      <x:c r="G779" s="106" t="n">
        <x:v>1</x:v>
      </x:c>
      <x:c r="H779" s="119" t="n">
        <x:f>SUM(X779,AB779,AF779,AJ779,AN779,AR779,AV779)</x:f>
        <x:v>339</x:v>
      </x:c>
      <x:c r="I779" s="119" t="n">
        <x:f>SUM(Z779,AD779,AH779,AL779,AP779,AT779,AX779)</x:f>
        <x:v>6956668</x:v>
      </x:c>
      <x:c r="J779" s="119" t="n">
        <x:f>ROUND(INDEX(X779:AY779,1,(D779-1)*4+2)*'难度参数'!$E$28*'章节与怪物'!$E$17,0)</x:f>
        <x:v>146411</x:v>
      </x:c>
      <x:c r="K779" s="119" t="n">
        <x:f>SUM(AA779,AE779,AI779,AM779,AQ779,AU779,AY779)</x:f>
        <x:v>8328</x:v>
      </x:c>
      <x:c r="L779" s="62" t="n">
        <x:f>H779*(ROUNDUP('难度参数'!$E$24/('难度参数'!$E$26*'难度参数'!$E$27),0)*'难度参数'!$E$26)/60</x:f>
        <x:v>4.52</x:v>
      </x:c>
      <x:c r="M779" s="62" t="n">
        <x:f>L779+D779*('难度参数'!$E$49+'难度参数'!$E$50)/60</x:f>
        <x:v>5.6866666666666665</x:v>
      </x:c>
      <x:c r="N779" s="119" t="n">
        <x:f>ROUNDDOWN(('经济参数'!$E$20+A779*'经济参数'!$E$21)*G779,0)</x:f>
        <x:v>15640</x:v>
      </x:c>
      <x:c r="O779" s="119" t="n">
        <x:f>ROUNDDOWN(MIN('经济参数'!$E$24,'经济参数'!$E$22+A779*'经济参数'!$E$23)*G779,0)</x:f>
        <x:v>0</x:v>
      </x:c>
      <x:c r="P779" s="119" t="n">
        <x:f>ROUNDDOWN((IF(A779&gt;='材料与任务'!$E$31,'材料与任务'!$E$32,IF(A779&gt;='材料与任务'!$E$25,'材料与任务'!$E$26,IF(A779&gt;='材料与任务'!$E$19,'材料与任务'!$E$20,IF(A779&gt;='材料与任务'!$E$13,'材料与任务'!$E$14,'材料与任务'!$E$8)))))*G779,0)</x:f>
        <x:v>6</x:v>
      </x:c>
      <x:c r="Q779" s="119" t="n">
        <x:f>ROUNDDOWN((IF(A779&gt;='材料与任务'!$E$31,'材料与任务'!$E$33,IF(A779&gt;='材料与任务'!$E$25,'材料与任务'!$E$27,IF(A779&gt;='材料与任务'!$E$19,'材料与任务'!$E$21,IF(A779&gt;='材料与任务'!$E$13,'材料与任务'!$E$15,'材料与任务'!$E$9)))))*G779,0)</x:f>
        <x:v>3</x:v>
      </x:c>
      <x:c r="R779" s="110" t="n">
        <x:f>'装备掉落'!$B$38</x:f>
        <x:v>0.6872058758851213</x:v>
      </x:c>
      <x:c r="S779" s="119" t="n">
        <x:f>MAX(IF(VLOOKUP(A779,'装备掉落'!$A$29:$H$34,2,TRUE)&gt;0,1,0),IF(VLOOKUP(A779,'装备掉落'!$A$29:$H$34,3,TRUE)&gt;0,2,0),IF(VLOOKUP(A779,'装备掉落'!$A$29:$H$34,4,TRUE)&gt;0,3,0),IF(VLOOKUP(A779,'装备掉落'!$A$29:$H$34,5,TRUE)&gt;0,4,0),IF(VLOOKUP(A779,'装备掉落'!$A$29:$H$34,6,TRUE)&gt;0,5,0),IF(VLOOKUP(A779,'装备掉落'!$A$29:$H$34,7,TRUE)&gt;0,6,0),IF(VLOOKUP(A779,'装备掉落'!$A$29:$H$34,8,TRUE)&gt;0,7,0))</x:f>
        <x:v>7</x:v>
      </x:c>
      <x:c r="T779" s="119" t="n">
        <x:f>MIN(7,S779+'经济参数'!$E$70)</x:f>
        <x:v>7</x:v>
      </x:c>
      <x:c r="U779" s="119" t="n">
        <x:f>MIN(7,S779+'经济参数'!$E$71)</x:f>
        <x:v>7</x:v>
      </x:c>
      <x:c r="V779" s="119" t="n">
        <x:f>IF(H779&gt;=('难度参数'!$E$52),1,0)+IF(H779&gt;=('难度参数'!$E$52+'难度参数'!$E$53),1,0)+IF(H779&gt;=('难度参数'!$E$52+'难度参数'!$E$53+'难度参数'!$E$54),1,0)+IF(H779&gt;=('难度参数'!$E$52+'难度参数'!$E$53+'难度参数'!$E$54+'难度参数'!$E$55),1,0)+IF(H779&gt;=('难度参数'!$E$52+'难度参数'!$E$53+'难度参数'!$E$54+'难度参数'!$E$55+'难度参数'!$E$56),1,0)+IF(H779&gt;=('难度参数'!$E$52+'难度参数'!$E$53+'难度参数'!$E$54+'难度参数'!$E$55+'难度参数'!$E$56+'难度参数'!$E$57),1,0)</x:f>
        <x:v>6</x:v>
      </x:c>
      <x:c r="W779" s="62" t="str">
        <x:f>IF(L779&gt;'难度参数'!$E$51,"仅出怪已超目标","还需实测")</x:f>
        <x:v>仅出怪已超目标</x:v>
      </x:c>
      <x:c r="X779" s="119" t="n">
        <x:f>IF(1&gt;D779,0,MAX(2,MIN('难度参数'!$E$12,ROUND(('难度参数'!$E$18*POWER(A779,'难度参数'!$E$19)/D779*(0.85+0.3*(1-1)/MAX(1,D779-1))),0)+F779)))</x:f>
        <x:v>41</x:v>
      </x:c>
      <x:c r="Y779" s="119" t="n">
        <x:f>IF(1&gt;D779,0,ROUND(('难度参数'!$E$13*POWER(A779,'难度参数'!$E$20)*MIN('难度参数'!$E$23,1+MAX(0,A779-'难度参数'!$E$21)*'难度参数'!$E$22))*(36+1*7)/(36+7*(D779+1)/2)*E779,0))</x:f>
        <x:v>10892</x:v>
      </x:c>
      <x:c r="Z779" s="119" t="n">
        <x:f>IF(X779=0,0,(X779-IF(1=D779,1,0))*ROUND(Y779*VLOOKUP(INDEX('章节与怪物'!$E$31:$K$37,B779,1),'章节与怪物'!$A$41:$F$44,2,FALSE),0)+IF(1=D779,ROUND(Y779*'难度参数'!$E$28*'章节与怪物'!$E$17,0),0))</x:f>
        <x:v>446572</x:v>
      </x:c>
      <x:c r="AA779" s="119" t="n">
        <x:f>IF(X779=0,0,(X779-IF(1=D779,1,0))*VLOOKUP(INDEX('章节与怪物'!$E$31:$K$37,B779,1),'章节与怪物'!$A$41:$F$44,4,FALSE)+IF(1=D779,'难度参数'!$E$30,0))</x:f>
        <x:v>738</x:v>
      </x:c>
      <x:c r="AB779" s="119" t="n">
        <x:f>IF(2&gt;D779,0,MAX(2,MIN('难度参数'!$E$12,ROUND(('难度参数'!$E$18*POWER(A779,'难度参数'!$E$19)/D779*(0.85+0.3*(2-1)/MAX(1,D779-1))),0)+F779)))</x:f>
        <x:v>44</x:v>
      </x:c>
      <x:c r="AC779" s="119" t="n">
        <x:f>IF(2&gt;D779,0,ROUND(('难度参数'!$E$13*POWER(A779,'难度参数'!$E$20)*MIN('难度参数'!$E$23,1+MAX(0,A779-'难度参数'!$E$21)*'难度参数'!$E$22))*(36+2*7)/(36+7*(D779+1)/2)*E779,0))</x:f>
        <x:v>12665</x:v>
      </x:c>
      <x:c r="AD779" s="119" t="n">
        <x:f>IF(AB779=0,0,(AB779-IF(2=D779,1,0))*ROUND(AC779*VLOOKUP(INDEX('章节与怪物'!$E$31:$K$37,B779,2),'章节与怪物'!$A$41:$F$44,2,FALSE),0)+IF(2=D779,ROUND(AC779*'难度参数'!$E$28*'章节与怪物'!$E$17,0),0))</x:f>
        <x:v>557260</x:v>
      </x:c>
      <x:c r="AE779" s="119" t="n">
        <x:f>IF(AB779=0,0,(AB779-IF(2=D779,1,0))*VLOOKUP(INDEX('章节与怪物'!$E$31:$K$37,B779,2),'章节与怪物'!$A$41:$F$44,4,FALSE)+IF(2=D779,'难度参数'!$E$30,0))</x:f>
        <x:v>792</x:v>
      </x:c>
      <x:c r="AF779" s="119" t="n">
        <x:f>IF(3&gt;D779,0,MAX(2,MIN('难度参数'!$E$12,ROUND(('难度参数'!$E$18*POWER(A779,'难度参数'!$E$19)/D779*(0.85+0.3*(3-1)/MAX(1,D779-1))),0)+F779)))</x:f>
        <x:v>46</x:v>
      </x:c>
      <x:c r="AG779" s="119" t="n">
        <x:f>IF(3&gt;D779,0,ROUND(('难度参数'!$E$13*POWER(A779,'难度参数'!$E$20)*MIN('难度参数'!$E$23,1+MAX(0,A779-'难度参数'!$E$21)*'难度参数'!$E$22))*(36+3*7)/(36+7*(D779+1)/2)*E779,0))</x:f>
        <x:v>14438</x:v>
      </x:c>
      <x:c r="AH779" s="119" t="n">
        <x:f>IF(AF779=0,0,(AF779-IF(3=D779,1,0))*ROUND(AG779*VLOOKUP(INDEX('章节与怪物'!$E$31:$K$37,B779,3),'章节与怪物'!$A$41:$F$44,2,FALSE),0)+IF(3=D779,ROUND(AG779*'难度参数'!$E$28*'章节与怪物'!$E$17,0),0))</x:f>
        <x:v>478170</x:v>
      </x:c>
      <x:c r="AI779" s="119" t="n">
        <x:f>IF(AF779=0,0,(AF779-IF(3=D779,1,0))*VLOOKUP(INDEX('章节与怪物'!$E$31:$K$37,B779,3),'章节与怪物'!$A$41:$F$44,4,FALSE)+IF(3=D779,'难度参数'!$E$30,0))</x:f>
        <x:v>920</x:v>
      </x:c>
      <x:c r="AJ779" s="119" t="n">
        <x:f>IF(4&gt;D779,0,MAX(2,MIN('难度参数'!$E$12,ROUND(('难度参数'!$E$18*POWER(A779,'难度参数'!$E$19)/D779*(0.85+0.3*(4-1)/MAX(1,D779-1))),0)+F779)))</x:f>
        <x:v>48</x:v>
      </x:c>
      <x:c r="AK779" s="119" t="n">
        <x:f>IF(4&gt;D779,0,ROUND(('难度参数'!$E$13*POWER(A779,'难度参数'!$E$20)*MIN('难度参数'!$E$23,1+MAX(0,A779-'难度参数'!$E$21)*'难度参数'!$E$22))*(36+4*7)/(36+7*(D779+1)/2)*E779,0))</x:f>
        <x:v>16211</x:v>
      </x:c>
      <x:c r="AL779" s="119" t="n">
        <x:f>IF(AJ779=0,0,(AJ779-IF(4=D779,1,0))*ROUND(AK779*VLOOKUP(INDEX('章节与怪物'!$E$31:$K$37,B779,4),'章节与怪物'!$A$41:$F$44,2,FALSE),0)+IF(4=D779,ROUND(AK779*'难度参数'!$E$28*'章节与怪物'!$E$17,0),0))</x:f>
        <x:v>1322832</x:v>
      </x:c>
      <x:c r="AM779" s="119" t="n">
        <x:f>IF(AJ779=0,0,(AJ779-IF(4=D779,1,0))*VLOOKUP(INDEX('章节与怪物'!$E$31:$K$37,B779,4),'章节与怪物'!$A$41:$F$44,4,FALSE)+IF(4=D779,'难度参数'!$E$30,0))</x:f>
        <x:v>1344</x:v>
      </x:c>
      <x:c r="AN779" s="119" t="n">
        <x:f>IF(5&gt;D779,0,MAX(2,MIN('难度参数'!$E$12,ROUND(('难度参数'!$E$18*POWER(A779,'难度参数'!$E$19)/D779*(0.85+0.3*(5-1)/MAX(1,D779-1))),0)+F779)))</x:f>
        <x:v>51</x:v>
      </x:c>
      <x:c r="AO779" s="119" t="n">
        <x:f>IF(5&gt;D779,0,ROUND(('难度参数'!$E$13*POWER(A779,'难度参数'!$E$20)*MIN('难度参数'!$E$23,1+MAX(0,A779-'难度参数'!$E$21)*'难度参数'!$E$22))*(36+5*7)/(36+7*(D779+1)/2)*E779,0))</x:f>
        <x:v>17985</x:v>
      </x:c>
      <x:c r="AP779" s="119" t="n">
        <x:f>IF(AN779=0,0,(AN779-IF(5=D779,1,0))*ROUND(AO779*VLOOKUP(INDEX('章节与怪物'!$E$31:$K$37,B779,5),'章节与怪物'!$A$41:$F$44,2,FALSE),0)+IF(5=D779,ROUND(AO779*'难度参数'!$E$28*'章节与怪物'!$E$17,0),0))</x:f>
        <x:v>1238280</x:v>
      </x:c>
      <x:c r="AQ779" s="119" t="n">
        <x:f>IF(AN779=0,0,(AN779-IF(5=D779,1,0))*VLOOKUP(INDEX('章节与怪物'!$E$31:$K$37,B779,5),'章节与怪物'!$A$41:$F$44,4,FALSE)+IF(5=D779,'难度参数'!$E$30,0))</x:f>
        <x:v>1734</x:v>
      </x:c>
      <x:c r="AR779" s="119" t="n">
        <x:f>IF(6&gt;D779,0,MAX(2,MIN('难度参数'!$E$12,ROUND(('难度参数'!$E$18*POWER(A779,'难度参数'!$E$19)/D779*(0.85+0.3*(6-1)/MAX(1,D779-1))),0)+F779)))</x:f>
        <x:v>53</x:v>
      </x:c>
      <x:c r="AS779" s="119" t="n">
        <x:f>IF(6&gt;D779,0,ROUND(('难度参数'!$E$13*POWER(A779,'难度参数'!$E$20)*MIN('难度参数'!$E$23,1+MAX(0,A779-'难度参数'!$E$21)*'难度参数'!$E$22))*(36+6*7)/(36+7*(D779+1)/2)*E779,0))</x:f>
        <x:v>19758</x:v>
      </x:c>
      <x:c r="AT779" s="119" t="n">
        <x:f>IF(AR779=0,0,(AR779-IF(6=D779,1,0))*ROUND(AS779*VLOOKUP(INDEX('章节与怪物'!$E$31:$K$37,B779,6),'章节与怪物'!$A$41:$F$44,2,FALSE),0)+IF(6=D779,ROUND(AS779*'难度参数'!$E$28*'章节与怪物'!$E$17,0),0))</x:f>
        <x:v>753978</x:v>
      </x:c>
      <x:c r="AU779" s="119" t="n">
        <x:f>IF(AR779=0,0,(AR779-IF(6=D779,1,0))*VLOOKUP(INDEX('章节与怪物'!$E$31:$K$37,B779,6),'章节与怪物'!$A$41:$F$44,4,FALSE)+IF(6=D779,'难度参数'!$E$30,0))</x:f>
        <x:v>1060</x:v>
      </x:c>
      <x:c r="AV779" s="119" t="n">
        <x:f>IF(7&gt;D779,0,MAX(2,MIN('难度参数'!$E$12,ROUND(('难度参数'!$E$18*POWER(A779,'难度参数'!$E$19)/D779*(0.85+0.3*(7-1)/MAX(1,D779-1))),0)+F779)))</x:f>
        <x:v>56</x:v>
      </x:c>
      <x:c r="AW779" s="119" t="n">
        <x:f>IF(7&gt;D779,0,ROUND(('难度参数'!$E$13*POWER(A779,'难度参数'!$E$20)*MIN('难度参数'!$E$23,1+MAX(0,A779-'难度参数'!$E$21)*'难度参数'!$E$22))*(36+7*7)/(36+7*(D779+1)/2)*E779,0))</x:f>
        <x:v>21531</x:v>
      </x:c>
      <x:c r="AX779" s="119" t="n">
        <x:f>IF(AV779=0,0,(AV779-IF(7=D779,1,0))*ROUND(AW779*VLOOKUP(INDEX('章节与怪物'!$E$31:$K$37,B779,7),'章节与怪物'!$A$41:$F$44,2,FALSE),0)+IF(7=D779,ROUND(AW779*'难度参数'!$E$28*'章节与怪物'!$E$17,0),0))</x:f>
        <x:v>2159576</x:v>
      </x:c>
      <x:c r="AY779" s="119" t="n">
        <x:f>IF(AV779=0,0,(AV779-IF(7=D779,1,0))*VLOOKUP(INDEX('章节与怪物'!$E$31:$K$37,B779,7),'章节与怪物'!$A$41:$F$44,4,FALSE)+IF(7=D779,'难度参数'!$E$30,0))</x:f>
        <x:v>1740</x:v>
      </x:c>
    </x:row>
    <x:row r="780" ht="23" customHeight="1">
      <x:c r="A780" s="119" t="n">
        <x:v>774</x:v>
      </x:c>
      <x:c r="B780" s="119" t="n">
        <x:f>MOD(INT((A780-1)/5),7)+1</x:f>
        <x:v>1</x:v>
      </x:c>
      <x:c r="C780" s="62" t="str">
        <x:f>INDEX('章节与怪物'!$B$31:$B$37,B780)</x:f>
        <x:v>冰雪荒原</x:v>
      </x:c>
      <x:c r="D780" s="119" t="n">
        <x:f>MIN('难度参数'!$E$8,MAX('难度参数'!$E$7,A780))</x:f>
        <x:v>7</x:v>
      </x:c>
      <x:c r="E780" s="106" t="n">
        <x:v>1</x:v>
      </x:c>
      <x:c r="F780" s="106" t="n">
        <x:v>0</x:v>
      </x:c>
      <x:c r="G780" s="106" t="n">
        <x:v>1</x:v>
      </x:c>
      <x:c r="H780" s="119" t="n">
        <x:f>SUM(X780,AB780,AF780,AJ780,AN780,AR780,AV780)</x:f>
        <x:v>339</x:v>
      </x:c>
      <x:c r="I780" s="119" t="n">
        <x:f>SUM(Z780,AD780,AH780,AL780,AP780,AT780,AX780)</x:f>
        <x:v>6963128</x:v>
      </x:c>
      <x:c r="J780" s="119" t="n">
        <x:f>ROUND(INDEX(X780:AY780,1,(D780-1)*4+2)*'难度参数'!$E$28*'章节与怪物'!$E$17,0)</x:f>
        <x:v>146547</x:v>
      </x:c>
      <x:c r="K780" s="119" t="n">
        <x:f>SUM(AA780,AE780,AI780,AM780,AQ780,AU780,AY780)</x:f>
        <x:v>8328</x:v>
      </x:c>
      <x:c r="L780" s="62" t="n">
        <x:f>H780*(ROUNDUP('难度参数'!$E$24/('难度参数'!$E$26*'难度参数'!$E$27),0)*'难度参数'!$E$26)/60</x:f>
        <x:v>4.52</x:v>
      </x:c>
      <x:c r="M780" s="62" t="n">
        <x:f>L780+D780*('难度参数'!$E$49+'难度参数'!$E$50)/60</x:f>
        <x:v>5.6866666666666665</x:v>
      </x:c>
      <x:c r="N780" s="119" t="n">
        <x:f>ROUNDDOWN(('经济参数'!$E$20+A780*'经济参数'!$E$21)*G780,0)</x:f>
        <x:v>15660</x:v>
      </x:c>
      <x:c r="O780" s="119" t="n">
        <x:f>ROUNDDOWN(MIN('经济参数'!$E$24,'经济参数'!$E$22+A780*'经济参数'!$E$23)*G780,0)</x:f>
        <x:v>0</x:v>
      </x:c>
      <x:c r="P780" s="119" t="n">
        <x:f>ROUNDDOWN((IF(A780&gt;='材料与任务'!$E$31,'材料与任务'!$E$32,IF(A780&gt;='材料与任务'!$E$25,'材料与任务'!$E$26,IF(A780&gt;='材料与任务'!$E$19,'材料与任务'!$E$20,IF(A780&gt;='材料与任务'!$E$13,'材料与任务'!$E$14,'材料与任务'!$E$8)))))*G780,0)</x:f>
        <x:v>6</x:v>
      </x:c>
      <x:c r="Q780" s="119" t="n">
        <x:f>ROUNDDOWN((IF(A780&gt;='材料与任务'!$E$31,'材料与任务'!$E$33,IF(A780&gt;='材料与任务'!$E$25,'材料与任务'!$E$27,IF(A780&gt;='材料与任务'!$E$19,'材料与任务'!$E$21,IF(A780&gt;='材料与任务'!$E$13,'材料与任务'!$E$15,'材料与任务'!$E$9)))))*G780,0)</x:f>
        <x:v>3</x:v>
      </x:c>
      <x:c r="R780" s="110" t="n">
        <x:f>'装备掉落'!$B$38</x:f>
        <x:v>0.6872058758851213</x:v>
      </x:c>
      <x:c r="S780" s="119" t="n">
        <x:f>MAX(IF(VLOOKUP(A780,'装备掉落'!$A$29:$H$34,2,TRUE)&gt;0,1,0),IF(VLOOKUP(A780,'装备掉落'!$A$29:$H$34,3,TRUE)&gt;0,2,0),IF(VLOOKUP(A780,'装备掉落'!$A$29:$H$34,4,TRUE)&gt;0,3,0),IF(VLOOKUP(A780,'装备掉落'!$A$29:$H$34,5,TRUE)&gt;0,4,0),IF(VLOOKUP(A780,'装备掉落'!$A$29:$H$34,6,TRUE)&gt;0,5,0),IF(VLOOKUP(A780,'装备掉落'!$A$29:$H$34,7,TRUE)&gt;0,6,0),IF(VLOOKUP(A780,'装备掉落'!$A$29:$H$34,8,TRUE)&gt;0,7,0))</x:f>
        <x:v>7</x:v>
      </x:c>
      <x:c r="T780" s="119" t="n">
        <x:f>MIN(7,S780+'经济参数'!$E$70)</x:f>
        <x:v>7</x:v>
      </x:c>
      <x:c r="U780" s="119" t="n">
        <x:f>MIN(7,S780+'经济参数'!$E$71)</x:f>
        <x:v>7</x:v>
      </x:c>
      <x:c r="V780" s="119" t="n">
        <x:f>IF(H780&gt;=('难度参数'!$E$52),1,0)+IF(H780&gt;=('难度参数'!$E$52+'难度参数'!$E$53),1,0)+IF(H780&gt;=('难度参数'!$E$52+'难度参数'!$E$53+'难度参数'!$E$54),1,0)+IF(H780&gt;=('难度参数'!$E$52+'难度参数'!$E$53+'难度参数'!$E$54+'难度参数'!$E$55),1,0)+IF(H780&gt;=('难度参数'!$E$52+'难度参数'!$E$53+'难度参数'!$E$54+'难度参数'!$E$55+'难度参数'!$E$56),1,0)+IF(H780&gt;=('难度参数'!$E$52+'难度参数'!$E$53+'难度参数'!$E$54+'难度参数'!$E$55+'难度参数'!$E$56+'难度参数'!$E$57),1,0)</x:f>
        <x:v>6</x:v>
      </x:c>
      <x:c r="W780" s="62" t="str">
        <x:f>IF(L780&gt;'难度参数'!$E$51,"仅出怪已超目标","还需实测")</x:f>
        <x:v>仅出怪已超目标</x:v>
      </x:c>
      <x:c r="X780" s="119" t="n">
        <x:f>IF(1&gt;D780,0,MAX(2,MIN('难度参数'!$E$12,ROUND(('难度参数'!$E$18*POWER(A780,'难度参数'!$E$19)/D780*(0.85+0.3*(1-1)/MAX(1,D780-1))),0)+F780)))</x:f>
        <x:v>41</x:v>
      </x:c>
      <x:c r="Y780" s="119" t="n">
        <x:f>IF(1&gt;D780,0,ROUND(('难度参数'!$E$13*POWER(A780,'难度参数'!$E$20)*MIN('难度参数'!$E$23,1+MAX(0,A780-'难度参数'!$E$21)*'难度参数'!$E$22))*(36+1*7)/(36+7*(D780+1)/2)*E780,0))</x:f>
        <x:v>10902</x:v>
      </x:c>
      <x:c r="Z780" s="119" t="n">
        <x:f>IF(X780=0,0,(X780-IF(1=D780,1,0))*ROUND(Y780*VLOOKUP(INDEX('章节与怪物'!$E$31:$K$37,B780,1),'章节与怪物'!$A$41:$F$44,2,FALSE),0)+IF(1=D780,ROUND(Y780*'难度参数'!$E$28*'章节与怪物'!$E$17,0),0))</x:f>
        <x:v>446982</x:v>
      </x:c>
      <x:c r="AA780" s="119" t="n">
        <x:f>IF(X780=0,0,(X780-IF(1=D780,1,0))*VLOOKUP(INDEX('章节与怪物'!$E$31:$K$37,B780,1),'章节与怪物'!$A$41:$F$44,4,FALSE)+IF(1=D780,'难度参数'!$E$30,0))</x:f>
        <x:v>738</x:v>
      </x:c>
      <x:c r="AB780" s="119" t="n">
        <x:f>IF(2&gt;D780,0,MAX(2,MIN('难度参数'!$E$12,ROUND(('难度参数'!$E$18*POWER(A780,'难度参数'!$E$19)/D780*(0.85+0.3*(2-1)/MAX(1,D780-1))),0)+F780)))</x:f>
        <x:v>44</x:v>
      </x:c>
      <x:c r="AC780" s="119" t="n">
        <x:f>IF(2&gt;D780,0,ROUND(('难度参数'!$E$13*POWER(A780,'难度参数'!$E$20)*MIN('难度参数'!$E$23,1+MAX(0,A780-'难度参数'!$E$21)*'难度参数'!$E$22))*(36+2*7)/(36+7*(D780+1)/2)*E780,0))</x:f>
        <x:v>12677</x:v>
      </x:c>
      <x:c r="AD780" s="119" t="n">
        <x:f>IF(AB780=0,0,(AB780-IF(2=D780,1,0))*ROUND(AC780*VLOOKUP(INDEX('章节与怪物'!$E$31:$K$37,B780,2),'章节与怪物'!$A$41:$F$44,2,FALSE),0)+IF(2=D780,ROUND(AC780*'难度参数'!$E$28*'章节与怪物'!$E$17,0),0))</x:f>
        <x:v>557788</x:v>
      </x:c>
      <x:c r="AE780" s="119" t="n">
        <x:f>IF(AB780=0,0,(AB780-IF(2=D780,1,0))*VLOOKUP(INDEX('章节与怪物'!$E$31:$K$37,B780,2),'章节与怪物'!$A$41:$F$44,4,FALSE)+IF(2=D780,'难度参数'!$E$30,0))</x:f>
        <x:v>792</x:v>
      </x:c>
      <x:c r="AF780" s="119" t="n">
        <x:f>IF(3&gt;D780,0,MAX(2,MIN('难度参数'!$E$12,ROUND(('难度参数'!$E$18*POWER(A780,'难度参数'!$E$19)/D780*(0.85+0.3*(3-1)/MAX(1,D780-1))),0)+F780)))</x:f>
        <x:v>46</x:v>
      </x:c>
      <x:c r="AG780" s="119" t="n">
        <x:f>IF(3&gt;D780,0,ROUND(('难度参数'!$E$13*POWER(A780,'难度参数'!$E$20)*MIN('难度参数'!$E$23,1+MAX(0,A780-'难度参数'!$E$21)*'难度参数'!$E$22))*(36+3*7)/(36+7*(D780+1)/2)*E780,0))</x:f>
        <x:v>14452</x:v>
      </x:c>
      <x:c r="AH780" s="119" t="n">
        <x:f>IF(AF780=0,0,(AF780-IF(3=D780,1,0))*ROUND(AG780*VLOOKUP(INDEX('章节与怪物'!$E$31:$K$37,B780,3),'章节与怪物'!$A$41:$F$44,2,FALSE),0)+IF(3=D780,ROUND(AG780*'难度参数'!$E$28*'章节与怪物'!$E$17,0),0))</x:f>
        <x:v>478630</x:v>
      </x:c>
      <x:c r="AI780" s="119" t="n">
        <x:f>IF(AF780=0,0,(AF780-IF(3=D780,1,0))*VLOOKUP(INDEX('章节与怪物'!$E$31:$K$37,B780,3),'章节与怪物'!$A$41:$F$44,4,FALSE)+IF(3=D780,'难度参数'!$E$30,0))</x:f>
        <x:v>920</x:v>
      </x:c>
      <x:c r="AJ780" s="119" t="n">
        <x:f>IF(4&gt;D780,0,MAX(2,MIN('难度参数'!$E$12,ROUND(('难度参数'!$E$18*POWER(A780,'难度参数'!$E$19)/D780*(0.85+0.3*(4-1)/MAX(1,D780-1))),0)+F780)))</x:f>
        <x:v>48</x:v>
      </x:c>
      <x:c r="AK780" s="119" t="n">
        <x:f>IF(4&gt;D780,0,ROUND(('难度参数'!$E$13*POWER(A780,'难度参数'!$E$20)*MIN('难度参数'!$E$23,1+MAX(0,A780-'难度参数'!$E$21)*'难度参数'!$E$22))*(36+4*7)/(36+7*(D780+1)/2)*E780,0))</x:f>
        <x:v>16227</x:v>
      </x:c>
      <x:c r="AL780" s="119" t="n">
        <x:f>IF(AJ780=0,0,(AJ780-IF(4=D780,1,0))*ROUND(AK780*VLOOKUP(INDEX('章节与怪物'!$E$31:$K$37,B780,4),'章节与怪物'!$A$41:$F$44,2,FALSE),0)+IF(4=D780,ROUND(AK780*'难度参数'!$E$28*'章节与怪物'!$E$17,0),0))</x:f>
        <x:v>1324128</x:v>
      </x:c>
      <x:c r="AM780" s="119" t="n">
        <x:f>IF(AJ780=0,0,(AJ780-IF(4=D780,1,0))*VLOOKUP(INDEX('章节与怪物'!$E$31:$K$37,B780,4),'章节与怪物'!$A$41:$F$44,4,FALSE)+IF(4=D780,'难度参数'!$E$30,0))</x:f>
        <x:v>1344</x:v>
      </x:c>
      <x:c r="AN780" s="119" t="n">
        <x:f>IF(5&gt;D780,0,MAX(2,MIN('难度参数'!$E$12,ROUND(('难度参数'!$E$18*POWER(A780,'难度参数'!$E$19)/D780*(0.85+0.3*(5-1)/MAX(1,D780-1))),0)+F780)))</x:f>
        <x:v>51</x:v>
      </x:c>
      <x:c r="AO780" s="119" t="n">
        <x:f>IF(5&gt;D780,0,ROUND(('难度参数'!$E$13*POWER(A780,'难度参数'!$E$20)*MIN('难度参数'!$E$23,1+MAX(0,A780-'难度参数'!$E$21)*'难度参数'!$E$22))*(36+5*7)/(36+7*(D780+1)/2)*E780,0))</x:f>
        <x:v>18001</x:v>
      </x:c>
      <x:c r="AP780" s="119" t="n">
        <x:f>IF(AN780=0,0,(AN780-IF(5=D780,1,0))*ROUND(AO780*VLOOKUP(INDEX('章节与怪物'!$E$31:$K$37,B780,5),'章节与怪物'!$A$41:$F$44,2,FALSE),0)+IF(5=D780,ROUND(AO780*'难度参数'!$E$28*'章节与怪物'!$E$17,0),0))</x:f>
        <x:v>1239351</x:v>
      </x:c>
      <x:c r="AQ780" s="119" t="n">
        <x:f>IF(AN780=0,0,(AN780-IF(5=D780,1,0))*VLOOKUP(INDEX('章节与怪物'!$E$31:$K$37,B780,5),'章节与怪物'!$A$41:$F$44,4,FALSE)+IF(5=D780,'难度参数'!$E$30,0))</x:f>
        <x:v>1734</x:v>
      </x:c>
      <x:c r="AR780" s="119" t="n">
        <x:f>IF(6&gt;D780,0,MAX(2,MIN('难度参数'!$E$12,ROUND(('难度参数'!$E$18*POWER(A780,'难度参数'!$E$19)/D780*(0.85+0.3*(6-1)/MAX(1,D780-1))),0)+F780)))</x:f>
        <x:v>53</x:v>
      </x:c>
      <x:c r="AS780" s="119" t="n">
        <x:f>IF(6&gt;D780,0,ROUND(('难度参数'!$E$13*POWER(A780,'难度参数'!$E$20)*MIN('难度参数'!$E$23,1+MAX(0,A780-'难度参数'!$E$21)*'难度参数'!$E$22))*(36+6*7)/(36+7*(D780+1)/2)*E780,0))</x:f>
        <x:v>19776</x:v>
      </x:c>
      <x:c r="AT780" s="119" t="n">
        <x:f>IF(AR780=0,0,(AR780-IF(6=D780,1,0))*ROUND(AS780*VLOOKUP(INDEX('章节与怪物'!$E$31:$K$37,B780,6),'章节与怪物'!$A$41:$F$44,2,FALSE),0)+IF(6=D780,ROUND(AS780*'难度参数'!$E$28*'章节与怪物'!$E$17,0),0))</x:f>
        <x:v>754667</x:v>
      </x:c>
      <x:c r="AU780" s="119" t="n">
        <x:f>IF(AR780=0,0,(AR780-IF(6=D780,1,0))*VLOOKUP(INDEX('章节与怪物'!$E$31:$K$37,B780,6),'章节与怪物'!$A$41:$F$44,4,FALSE)+IF(6=D780,'难度参数'!$E$30,0))</x:f>
        <x:v>1060</x:v>
      </x:c>
      <x:c r="AV780" s="119" t="n">
        <x:f>IF(7&gt;D780,0,MAX(2,MIN('难度参数'!$E$12,ROUND(('难度参数'!$E$18*POWER(A780,'难度参数'!$E$19)/D780*(0.85+0.3*(7-1)/MAX(1,D780-1))),0)+F780)))</x:f>
        <x:v>56</x:v>
      </x:c>
      <x:c r="AW780" s="119" t="n">
        <x:f>IF(7&gt;D780,0,ROUND(('难度参数'!$E$13*POWER(A780,'难度参数'!$E$20)*MIN('难度参数'!$E$23,1+MAX(0,A780-'难度参数'!$E$21)*'难度参数'!$E$22))*(36+7*7)/(36+7*(D780+1)/2)*E780,0))</x:f>
        <x:v>21551</x:v>
      </x:c>
      <x:c r="AX780" s="119" t="n">
        <x:f>IF(AV780=0,0,(AV780-IF(7=D780,1,0))*ROUND(AW780*VLOOKUP(INDEX('章节与怪物'!$E$31:$K$37,B780,7),'章节与怪物'!$A$41:$F$44,2,FALSE),0)+IF(7=D780,ROUND(AW780*'难度参数'!$E$28*'章节与怪物'!$E$17,0),0))</x:f>
        <x:v>2161582</x:v>
      </x:c>
      <x:c r="AY780" s="119" t="n">
        <x:f>IF(AV780=0,0,(AV780-IF(7=D780,1,0))*VLOOKUP(INDEX('章节与怪物'!$E$31:$K$37,B780,7),'章节与怪物'!$A$41:$F$44,4,FALSE)+IF(7=D780,'难度参数'!$E$30,0))</x:f>
        <x:v>1740</x:v>
      </x:c>
    </x:row>
    <x:row r="781" ht="23" customHeight="1">
      <x:c r="A781" s="119" t="n">
        <x:v>775</x:v>
      </x:c>
      <x:c r="B781" s="119" t="n">
        <x:f>MOD(INT((A781-1)/5),7)+1</x:f>
        <x:v>1</x:v>
      </x:c>
      <x:c r="C781" s="62" t="str">
        <x:f>INDEX('章节与怪物'!$B$31:$B$37,B781)</x:f>
        <x:v>冰雪荒原</x:v>
      </x:c>
      <x:c r="D781" s="119" t="n">
        <x:f>MIN('难度参数'!$E$8,MAX('难度参数'!$E$7,A781))</x:f>
        <x:v>7</x:v>
      </x:c>
      <x:c r="E781" s="106" t="n">
        <x:v>1</x:v>
      </x:c>
      <x:c r="F781" s="106" t="n">
        <x:v>0</x:v>
      </x:c>
      <x:c r="G781" s="106" t="n">
        <x:v>1</x:v>
      </x:c>
      <x:c r="H781" s="119" t="n">
        <x:f>SUM(X781,AB781,AF781,AJ781,AN781,AR781,AV781)</x:f>
        <x:v>339</x:v>
      </x:c>
      <x:c r="I781" s="119" t="n">
        <x:f>SUM(Z781,AD781,AH781,AL781,AP781,AT781,AX781)</x:f>
        <x:v>6969594</x:v>
      </x:c>
      <x:c r="J781" s="119" t="n">
        <x:f>ROUND(INDEX(X781:AY781,1,(D781-1)*4+2)*'难度参数'!$E$28*'章节与怪物'!$E$17,0)</x:f>
        <x:v>146683</x:v>
      </x:c>
      <x:c r="K781" s="119" t="n">
        <x:f>SUM(AA781,AE781,AI781,AM781,AQ781,AU781,AY781)</x:f>
        <x:v>8328</x:v>
      </x:c>
      <x:c r="L781" s="62" t="n">
        <x:f>H781*(ROUNDUP('难度参数'!$E$24/('难度参数'!$E$26*'难度参数'!$E$27),0)*'难度参数'!$E$26)/60</x:f>
        <x:v>4.52</x:v>
      </x:c>
      <x:c r="M781" s="62" t="n">
        <x:f>L781+D781*('难度参数'!$E$49+'难度参数'!$E$50)/60</x:f>
        <x:v>5.6866666666666665</x:v>
      </x:c>
      <x:c r="N781" s="119" t="n">
        <x:f>ROUNDDOWN(('经济参数'!$E$20+A781*'经济参数'!$E$21)*G781,0)</x:f>
        <x:v>15680</x:v>
      </x:c>
      <x:c r="O781" s="119" t="n">
        <x:f>ROUNDDOWN(MIN('经济参数'!$E$24,'经济参数'!$E$22+A781*'经济参数'!$E$23)*G781,0)</x:f>
        <x:v>0</x:v>
      </x:c>
      <x:c r="P781" s="119" t="n">
        <x:f>ROUNDDOWN((IF(A781&gt;='材料与任务'!$E$31,'材料与任务'!$E$32,IF(A781&gt;='材料与任务'!$E$25,'材料与任务'!$E$26,IF(A781&gt;='材料与任务'!$E$19,'材料与任务'!$E$20,IF(A781&gt;='材料与任务'!$E$13,'材料与任务'!$E$14,'材料与任务'!$E$8)))))*G781,0)</x:f>
        <x:v>6</x:v>
      </x:c>
      <x:c r="Q781" s="119" t="n">
        <x:f>ROUNDDOWN((IF(A781&gt;='材料与任务'!$E$31,'材料与任务'!$E$33,IF(A781&gt;='材料与任务'!$E$25,'材料与任务'!$E$27,IF(A781&gt;='材料与任务'!$E$19,'材料与任务'!$E$21,IF(A781&gt;='材料与任务'!$E$13,'材料与任务'!$E$15,'材料与任务'!$E$9)))))*G781,0)</x:f>
        <x:v>3</x:v>
      </x:c>
      <x:c r="R781" s="110" t="n">
        <x:f>'装备掉落'!$B$38</x:f>
        <x:v>0.6872058758851213</x:v>
      </x:c>
      <x:c r="S781" s="119" t="n">
        <x:f>MAX(IF(VLOOKUP(A781,'装备掉落'!$A$29:$H$34,2,TRUE)&gt;0,1,0),IF(VLOOKUP(A781,'装备掉落'!$A$29:$H$34,3,TRUE)&gt;0,2,0),IF(VLOOKUP(A781,'装备掉落'!$A$29:$H$34,4,TRUE)&gt;0,3,0),IF(VLOOKUP(A781,'装备掉落'!$A$29:$H$34,5,TRUE)&gt;0,4,0),IF(VLOOKUP(A781,'装备掉落'!$A$29:$H$34,6,TRUE)&gt;0,5,0),IF(VLOOKUP(A781,'装备掉落'!$A$29:$H$34,7,TRUE)&gt;0,6,0),IF(VLOOKUP(A781,'装备掉落'!$A$29:$H$34,8,TRUE)&gt;0,7,0))</x:f>
        <x:v>7</x:v>
      </x:c>
      <x:c r="T781" s="119" t="n">
        <x:f>MIN(7,S781+'经济参数'!$E$70)</x:f>
        <x:v>7</x:v>
      </x:c>
      <x:c r="U781" s="119" t="n">
        <x:f>MIN(7,S781+'经济参数'!$E$71)</x:f>
        <x:v>7</x:v>
      </x:c>
      <x:c r="V781" s="119" t="n">
        <x:f>IF(H781&gt;=('难度参数'!$E$52),1,0)+IF(H781&gt;=('难度参数'!$E$52+'难度参数'!$E$53),1,0)+IF(H781&gt;=('难度参数'!$E$52+'难度参数'!$E$53+'难度参数'!$E$54),1,0)+IF(H781&gt;=('难度参数'!$E$52+'难度参数'!$E$53+'难度参数'!$E$54+'难度参数'!$E$55),1,0)+IF(H781&gt;=('难度参数'!$E$52+'难度参数'!$E$53+'难度参数'!$E$54+'难度参数'!$E$55+'难度参数'!$E$56),1,0)+IF(H781&gt;=('难度参数'!$E$52+'难度参数'!$E$53+'难度参数'!$E$54+'难度参数'!$E$55+'难度参数'!$E$56+'难度参数'!$E$57),1,0)</x:f>
        <x:v>6</x:v>
      </x:c>
      <x:c r="W781" s="62" t="str">
        <x:f>IF(L781&gt;'难度参数'!$E$51,"仅出怪已超目标","还需实测")</x:f>
        <x:v>仅出怪已超目标</x:v>
      </x:c>
      <x:c r="X781" s="119" t="n">
        <x:f>IF(1&gt;D781,0,MAX(2,MIN('难度参数'!$E$12,ROUND(('难度参数'!$E$18*POWER(A781,'难度参数'!$E$19)/D781*(0.85+0.3*(1-1)/MAX(1,D781-1))),0)+F781)))</x:f>
        <x:v>41</x:v>
      </x:c>
      <x:c r="Y781" s="119" t="n">
        <x:f>IF(1&gt;D781,0,ROUND(('难度参数'!$E$13*POWER(A781,'难度参数'!$E$20)*MIN('难度参数'!$E$23,1+MAX(0,A781-'难度参数'!$E$21)*'难度参数'!$E$22))*(36+1*7)/(36+7*(D781+1)/2)*E781,0))</x:f>
        <x:v>10912</x:v>
      </x:c>
      <x:c r="Z781" s="119" t="n">
        <x:f>IF(X781=0,0,(X781-IF(1=D781,1,0))*ROUND(Y781*VLOOKUP(INDEX('章节与怪物'!$E$31:$K$37,B781,1),'章节与怪物'!$A$41:$F$44,2,FALSE),0)+IF(1=D781,ROUND(Y781*'难度参数'!$E$28*'章节与怪物'!$E$17,0),0))</x:f>
        <x:v>447392</x:v>
      </x:c>
      <x:c r="AA781" s="119" t="n">
        <x:f>IF(X781=0,0,(X781-IF(1=D781,1,0))*VLOOKUP(INDEX('章节与怪物'!$E$31:$K$37,B781,1),'章节与怪物'!$A$41:$F$44,4,FALSE)+IF(1=D781,'难度参数'!$E$30,0))</x:f>
        <x:v>738</x:v>
      </x:c>
      <x:c r="AB781" s="119" t="n">
        <x:f>IF(2&gt;D781,0,MAX(2,MIN('难度参数'!$E$12,ROUND(('难度参数'!$E$18*POWER(A781,'难度参数'!$E$19)/D781*(0.85+0.3*(2-1)/MAX(1,D781-1))),0)+F781)))</x:f>
        <x:v>44</x:v>
      </x:c>
      <x:c r="AC781" s="119" t="n">
        <x:f>IF(2&gt;D781,0,ROUND(('难度参数'!$E$13*POWER(A781,'难度参数'!$E$20)*MIN('难度参数'!$E$23,1+MAX(0,A781-'难度参数'!$E$21)*'难度参数'!$E$22))*(36+2*7)/(36+7*(D781+1)/2)*E781,0))</x:f>
        <x:v>12689</x:v>
      </x:c>
      <x:c r="AD781" s="119" t="n">
        <x:f>IF(AB781=0,0,(AB781-IF(2=D781,1,0))*ROUND(AC781*VLOOKUP(INDEX('章节与怪物'!$E$31:$K$37,B781,2),'章节与怪物'!$A$41:$F$44,2,FALSE),0)+IF(2=D781,ROUND(AC781*'难度参数'!$E$28*'章节与怪物'!$E$17,0),0))</x:f>
        <x:v>558316</x:v>
      </x:c>
      <x:c r="AE781" s="119" t="n">
        <x:f>IF(AB781=0,0,(AB781-IF(2=D781,1,0))*VLOOKUP(INDEX('章节与怪物'!$E$31:$K$37,B781,2),'章节与怪物'!$A$41:$F$44,4,FALSE)+IF(2=D781,'难度参数'!$E$30,0))</x:f>
        <x:v>792</x:v>
      </x:c>
      <x:c r="AF781" s="119" t="n">
        <x:f>IF(3&gt;D781,0,MAX(2,MIN('难度参数'!$E$12,ROUND(('难度参数'!$E$18*POWER(A781,'难度参数'!$E$19)/D781*(0.85+0.3*(3-1)/MAX(1,D781-1))),0)+F781)))</x:f>
        <x:v>46</x:v>
      </x:c>
      <x:c r="AG781" s="119" t="n">
        <x:f>IF(3&gt;D781,0,ROUND(('难度参数'!$E$13*POWER(A781,'难度参数'!$E$20)*MIN('难度参数'!$E$23,1+MAX(0,A781-'难度参数'!$E$21)*'难度参数'!$E$22))*(36+3*7)/(36+7*(D781+1)/2)*E781,0))</x:f>
        <x:v>14465</x:v>
      </x:c>
      <x:c r="AH781" s="119" t="n">
        <x:f>IF(AF781=0,0,(AF781-IF(3=D781,1,0))*ROUND(AG781*VLOOKUP(INDEX('章节与怪物'!$E$31:$K$37,B781,3),'章节与怪物'!$A$41:$F$44,2,FALSE),0)+IF(3=D781,ROUND(AG781*'难度参数'!$E$28*'章节与怪物'!$E$17,0),0))</x:f>
        <x:v>479090</x:v>
      </x:c>
      <x:c r="AI781" s="119" t="n">
        <x:f>IF(AF781=0,0,(AF781-IF(3=D781,1,0))*VLOOKUP(INDEX('章节与怪物'!$E$31:$K$37,B781,3),'章节与怪物'!$A$41:$F$44,4,FALSE)+IF(3=D781,'难度参数'!$E$30,0))</x:f>
        <x:v>920</x:v>
      </x:c>
      <x:c r="AJ781" s="119" t="n">
        <x:f>IF(4&gt;D781,0,MAX(2,MIN('难度参数'!$E$12,ROUND(('难度参数'!$E$18*POWER(A781,'难度参数'!$E$19)/D781*(0.85+0.3*(4-1)/MAX(1,D781-1))),0)+F781)))</x:f>
        <x:v>48</x:v>
      </x:c>
      <x:c r="AK781" s="119" t="n">
        <x:f>IF(4&gt;D781,0,ROUND(('难度参数'!$E$13*POWER(A781,'难度参数'!$E$20)*MIN('难度参数'!$E$23,1+MAX(0,A781-'难度参数'!$E$21)*'难度参数'!$E$22))*(36+4*7)/(36+7*(D781+1)/2)*E781,0))</x:f>
        <x:v>16242</x:v>
      </x:c>
      <x:c r="AL781" s="119" t="n">
        <x:f>IF(AJ781=0,0,(AJ781-IF(4=D781,1,0))*ROUND(AK781*VLOOKUP(INDEX('章节与怪物'!$E$31:$K$37,B781,4),'章节与怪物'!$A$41:$F$44,2,FALSE),0)+IF(4=D781,ROUND(AK781*'难度参数'!$E$28*'章节与怪物'!$E$17,0),0))</x:f>
        <x:v>1325328</x:v>
      </x:c>
      <x:c r="AM781" s="119" t="n">
        <x:f>IF(AJ781=0,0,(AJ781-IF(4=D781,1,0))*VLOOKUP(INDEX('章节与怪物'!$E$31:$K$37,B781,4),'章节与怪物'!$A$41:$F$44,4,FALSE)+IF(4=D781,'难度参数'!$E$30,0))</x:f>
        <x:v>1344</x:v>
      </x:c>
      <x:c r="AN781" s="119" t="n">
        <x:f>IF(5&gt;D781,0,MAX(2,MIN('难度参数'!$E$12,ROUND(('难度参数'!$E$18*POWER(A781,'难度参数'!$E$19)/D781*(0.85+0.3*(5-1)/MAX(1,D781-1))),0)+F781)))</x:f>
        <x:v>51</x:v>
      </x:c>
      <x:c r="AO781" s="119" t="n">
        <x:f>IF(5&gt;D781,0,ROUND(('难度参数'!$E$13*POWER(A781,'难度参数'!$E$20)*MIN('难度参数'!$E$23,1+MAX(0,A781-'难度参数'!$E$21)*'难度参数'!$E$22))*(36+5*7)/(36+7*(D781+1)/2)*E781,0))</x:f>
        <x:v>18018</x:v>
      </x:c>
      <x:c r="AP781" s="119" t="n">
        <x:f>IF(AN781=0,0,(AN781-IF(5=D781,1,0))*ROUND(AO781*VLOOKUP(INDEX('章节与怪物'!$E$31:$K$37,B781,5),'章节与怪物'!$A$41:$F$44,2,FALSE),0)+IF(5=D781,ROUND(AO781*'难度参数'!$E$28*'章节与怪物'!$E$17,0),0))</x:f>
        <x:v>1240524</x:v>
      </x:c>
      <x:c r="AQ781" s="119" t="n">
        <x:f>IF(AN781=0,0,(AN781-IF(5=D781,1,0))*VLOOKUP(INDEX('章节与怪物'!$E$31:$K$37,B781,5),'章节与怪物'!$A$41:$F$44,4,FALSE)+IF(5=D781,'难度参数'!$E$30,0))</x:f>
        <x:v>1734</x:v>
      </x:c>
      <x:c r="AR781" s="119" t="n">
        <x:f>IF(6&gt;D781,0,MAX(2,MIN('难度参数'!$E$12,ROUND(('难度参数'!$E$18*POWER(A781,'难度参数'!$E$19)/D781*(0.85+0.3*(6-1)/MAX(1,D781-1))),0)+F781)))</x:f>
        <x:v>53</x:v>
      </x:c>
      <x:c r="AS781" s="119" t="n">
        <x:f>IF(6&gt;D781,0,ROUND(('难度参数'!$E$13*POWER(A781,'难度参数'!$E$20)*MIN('难度参数'!$E$23,1+MAX(0,A781-'难度参数'!$E$21)*'难度参数'!$E$22))*(36+6*7)/(36+7*(D781+1)/2)*E781,0))</x:f>
        <x:v>19795</x:v>
      </x:c>
      <x:c r="AT781" s="119" t="n">
        <x:f>IF(AR781=0,0,(AR781-IF(6=D781,1,0))*ROUND(AS781*VLOOKUP(INDEX('章节与怪物'!$E$31:$K$37,B781,6),'章节与怪物'!$A$41:$F$44,2,FALSE),0)+IF(6=D781,ROUND(AS781*'难度参数'!$E$28*'章节与怪物'!$E$17,0),0))</x:f>
        <x:v>755356</x:v>
      </x:c>
      <x:c r="AU781" s="119" t="n">
        <x:f>IF(AR781=0,0,(AR781-IF(6=D781,1,0))*VLOOKUP(INDEX('章节与怪物'!$E$31:$K$37,B781,6),'章节与怪物'!$A$41:$F$44,4,FALSE)+IF(6=D781,'难度参数'!$E$30,0))</x:f>
        <x:v>1060</x:v>
      </x:c>
      <x:c r="AV781" s="119" t="n">
        <x:f>IF(7&gt;D781,0,MAX(2,MIN('难度参数'!$E$12,ROUND(('难度参数'!$E$18*POWER(A781,'难度参数'!$E$19)/D781*(0.85+0.3*(7-1)/MAX(1,D781-1))),0)+F781)))</x:f>
        <x:v>56</x:v>
      </x:c>
      <x:c r="AW781" s="119" t="n">
        <x:f>IF(7&gt;D781,0,ROUND(('难度参数'!$E$13*POWER(A781,'难度参数'!$E$20)*MIN('难度参数'!$E$23,1+MAX(0,A781-'难度参数'!$E$21)*'难度参数'!$E$22))*(36+7*7)/(36+7*(D781+1)/2)*E781,0))</x:f>
        <x:v>21571</x:v>
      </x:c>
      <x:c r="AX781" s="119" t="n">
        <x:f>IF(AV781=0,0,(AV781-IF(7=D781,1,0))*ROUND(AW781*VLOOKUP(INDEX('章节与怪物'!$E$31:$K$37,B781,7),'章节与怪物'!$A$41:$F$44,2,FALSE),0)+IF(7=D781,ROUND(AW781*'难度参数'!$E$28*'章节与怪物'!$E$17,0),0))</x:f>
        <x:v>2163588</x:v>
      </x:c>
      <x:c r="AY781" s="119" t="n">
        <x:f>IF(AV781=0,0,(AV781-IF(7=D781,1,0))*VLOOKUP(INDEX('章节与怪物'!$E$31:$K$37,B781,7),'章节与怪物'!$A$41:$F$44,4,FALSE)+IF(7=D781,'难度参数'!$E$30,0))</x:f>
        <x:v>1740</x:v>
      </x:c>
    </x:row>
    <x:row r="782" ht="23" customHeight="1">
      <x:c r="A782" s="119" t="n">
        <x:v>776</x:v>
      </x:c>
      <x:c r="B782" s="119" t="n">
        <x:f>MOD(INT((A782-1)/5),7)+1</x:f>
        <x:v>2</x:v>
      </x:c>
      <x:c r="C782" s="62" t="str">
        <x:f>INDEX('章节与怪物'!$B$31:$B$37,B782)</x:f>
        <x:v>黄沙要塞</x:v>
      </x:c>
      <x:c r="D782" s="119" t="n">
        <x:f>MIN('难度参数'!$E$8,MAX('难度参数'!$E$7,A782))</x:f>
        <x:v>7</x:v>
      </x:c>
      <x:c r="E782" s="106" t="n">
        <x:v>1</x:v>
      </x:c>
      <x:c r="F782" s="106" t="n">
        <x:v>0</x:v>
      </x:c>
      <x:c r="G782" s="106" t="n">
        <x:v>1</x:v>
      </x:c>
      <x:c r="H782" s="119" t="n">
        <x:f>SUM(X782,AB782,AF782,AJ782,AN782,AR782,AV782)</x:f>
        <x:v>339</x:v>
      </x:c>
      <x:c r="I782" s="119" t="n">
        <x:f>SUM(Z782,AD782,AH782,AL782,AP782,AT782,AX782)</x:f>
        <x:v>7521899</x:v>
      </x:c>
      <x:c r="J782" s="119" t="n">
        <x:f>ROUND(INDEX(X782:AY782,1,(D782-1)*4+2)*'难度参数'!$E$28*'章节与怪物'!$E$17,0)</x:f>
        <x:v>146819</x:v>
      </x:c>
      <x:c r="K782" s="119" t="n">
        <x:f>SUM(AA782,AE782,AI782,AM782,AQ782,AU782,AY782)</x:f>
        <x:v>9004</x:v>
      </x:c>
      <x:c r="L782" s="62" t="n">
        <x:f>H782*(ROUNDUP('难度参数'!$E$24/('难度参数'!$E$26*'难度参数'!$E$27),0)*'难度参数'!$E$26)/60</x:f>
        <x:v>4.52</x:v>
      </x:c>
      <x:c r="M782" s="62" t="n">
        <x:f>L782+D782*('难度参数'!$E$49+'难度参数'!$E$50)/60</x:f>
        <x:v>5.6866666666666665</x:v>
      </x:c>
      <x:c r="N782" s="119" t="n">
        <x:f>ROUNDDOWN(('经济参数'!$E$20+A782*'经济参数'!$E$21)*G782,0)</x:f>
        <x:v>15700</x:v>
      </x:c>
      <x:c r="O782" s="119" t="n">
        <x:f>ROUNDDOWN(MIN('经济参数'!$E$24,'经济参数'!$E$22+A782*'经济参数'!$E$23)*G782,0)</x:f>
        <x:v>0</x:v>
      </x:c>
      <x:c r="P782" s="119" t="n">
        <x:f>ROUNDDOWN((IF(A782&gt;='材料与任务'!$E$31,'材料与任务'!$E$32,IF(A782&gt;='材料与任务'!$E$25,'材料与任务'!$E$26,IF(A782&gt;='材料与任务'!$E$19,'材料与任务'!$E$20,IF(A782&gt;='材料与任务'!$E$13,'材料与任务'!$E$14,'材料与任务'!$E$8)))))*G782,0)</x:f>
        <x:v>6</x:v>
      </x:c>
      <x:c r="Q782" s="119" t="n">
        <x:f>ROUNDDOWN((IF(A782&gt;='材料与任务'!$E$31,'材料与任务'!$E$33,IF(A782&gt;='材料与任务'!$E$25,'材料与任务'!$E$27,IF(A782&gt;='材料与任务'!$E$19,'材料与任务'!$E$21,IF(A782&gt;='材料与任务'!$E$13,'材料与任务'!$E$15,'材料与任务'!$E$9)))))*G782,0)</x:f>
        <x:v>3</x:v>
      </x:c>
      <x:c r="R782" s="110" t="n">
        <x:f>'装备掉落'!$B$38</x:f>
        <x:v>0.6872058758851213</x:v>
      </x:c>
      <x:c r="S782" s="119" t="n">
        <x:f>MAX(IF(VLOOKUP(A782,'装备掉落'!$A$29:$H$34,2,TRUE)&gt;0,1,0),IF(VLOOKUP(A782,'装备掉落'!$A$29:$H$34,3,TRUE)&gt;0,2,0),IF(VLOOKUP(A782,'装备掉落'!$A$29:$H$34,4,TRUE)&gt;0,3,0),IF(VLOOKUP(A782,'装备掉落'!$A$29:$H$34,5,TRUE)&gt;0,4,0),IF(VLOOKUP(A782,'装备掉落'!$A$29:$H$34,6,TRUE)&gt;0,5,0),IF(VLOOKUP(A782,'装备掉落'!$A$29:$H$34,7,TRUE)&gt;0,6,0),IF(VLOOKUP(A782,'装备掉落'!$A$29:$H$34,8,TRUE)&gt;0,7,0))</x:f>
        <x:v>7</x:v>
      </x:c>
      <x:c r="T782" s="119" t="n">
        <x:f>MIN(7,S782+'经济参数'!$E$70)</x:f>
        <x:v>7</x:v>
      </x:c>
      <x:c r="U782" s="119" t="n">
        <x:f>MIN(7,S782+'经济参数'!$E$71)</x:f>
        <x:v>7</x:v>
      </x:c>
      <x:c r="V782" s="119" t="n">
        <x:f>IF(H782&gt;=('难度参数'!$E$52),1,0)+IF(H782&gt;=('难度参数'!$E$52+'难度参数'!$E$53),1,0)+IF(H782&gt;=('难度参数'!$E$52+'难度参数'!$E$53+'难度参数'!$E$54),1,0)+IF(H782&gt;=('难度参数'!$E$52+'难度参数'!$E$53+'难度参数'!$E$54+'难度参数'!$E$55),1,0)+IF(H782&gt;=('难度参数'!$E$52+'难度参数'!$E$53+'难度参数'!$E$54+'难度参数'!$E$55+'难度参数'!$E$56),1,0)+IF(H782&gt;=('难度参数'!$E$52+'难度参数'!$E$53+'难度参数'!$E$54+'难度参数'!$E$55+'难度参数'!$E$56+'难度参数'!$E$57),1,0)</x:f>
        <x:v>6</x:v>
      </x:c>
      <x:c r="W782" s="62" t="str">
        <x:f>IF(L782&gt;'难度参数'!$E$51,"仅出怪已超目标","还需实测")</x:f>
        <x:v>仅出怪已超目标</x:v>
      </x:c>
      <x:c r="X782" s="119" t="n">
        <x:f>IF(1&gt;D782,0,MAX(2,MIN('难度参数'!$E$12,ROUND(('难度参数'!$E$18*POWER(A782,'难度参数'!$E$19)/D782*(0.85+0.3*(1-1)/MAX(1,D782-1))),0)+F782)))</x:f>
        <x:v>41</x:v>
      </x:c>
      <x:c r="Y782" s="119" t="n">
        <x:f>IF(1&gt;D782,0,ROUND(('难度参数'!$E$13*POWER(A782,'难度参数'!$E$20)*MIN('难度参数'!$E$23,1+MAX(0,A782-'难度参数'!$E$21)*'难度参数'!$E$22))*(36+1*7)/(36+7*(D782+1)/2)*E782,0))</x:f>
        <x:v>10923</x:v>
      </x:c>
      <x:c r="Z782" s="119" t="n">
        <x:f>IF(X782=0,0,(X782-IF(1=D782,1,0))*ROUND(Y782*VLOOKUP(INDEX('章节与怪物'!$E$31:$K$37,B782,1),'章节与怪物'!$A$41:$F$44,2,FALSE),0)+IF(1=D782,ROUND(Y782*'难度参数'!$E$28*'章节与怪物'!$E$17,0),0))</x:f>
        <x:v>322465</x:v>
      </x:c>
      <x:c r="AA782" s="119" t="n">
        <x:f>IF(X782=0,0,(X782-IF(1=D782,1,0))*VLOOKUP(INDEX('章节与怪物'!$E$31:$K$37,B782,1),'章节与怪物'!$A$41:$F$44,4,FALSE)+IF(1=D782,'难度参数'!$E$30,0))</x:f>
        <x:v>820</x:v>
      </x:c>
      <x:c r="AB782" s="119" t="n">
        <x:f>IF(2&gt;D782,0,MAX(2,MIN('难度参数'!$E$12,ROUND(('难度参数'!$E$18*POWER(A782,'难度参数'!$E$19)/D782*(0.85+0.3*(2-1)/MAX(1,D782-1))),0)+F782)))</x:f>
        <x:v>44</x:v>
      </x:c>
      <x:c r="AC782" s="119" t="n">
        <x:f>IF(2&gt;D782,0,ROUND(('难度参数'!$E$13*POWER(A782,'难度参数'!$E$20)*MIN('难度参数'!$E$23,1+MAX(0,A782-'难度参数'!$E$21)*'难度参数'!$E$22))*(36+2*7)/(36+7*(D782+1)/2)*E782,0))</x:f>
        <x:v>12701</x:v>
      </x:c>
      <x:c r="AD782" s="119" t="n">
        <x:f>IF(AB782=0,0,(AB782-IF(2=D782,1,0))*ROUND(AC782*VLOOKUP(INDEX('章节与怪物'!$E$31:$K$37,B782,2),'章节与怪物'!$A$41:$F$44,2,FALSE),0)+IF(2=D782,ROUND(AC782*'难度参数'!$E$28*'章节与怪物'!$E$17,0),0))</x:f>
        <x:v>558844</x:v>
      </x:c>
      <x:c r="AE782" s="119" t="n">
        <x:f>IF(AB782=0,0,(AB782-IF(2=D782,1,0))*VLOOKUP(INDEX('章节与怪物'!$E$31:$K$37,B782,2),'章节与怪物'!$A$41:$F$44,4,FALSE)+IF(2=D782,'难度参数'!$E$30,0))</x:f>
        <x:v>792</x:v>
      </x:c>
      <x:c r="AF782" s="119" t="n">
        <x:f>IF(3&gt;D782,0,MAX(2,MIN('难度参数'!$E$12,ROUND(('难度参数'!$E$18*POWER(A782,'难度参数'!$E$19)/D782*(0.85+0.3*(3-1)/MAX(1,D782-1))),0)+F782)))</x:f>
        <x:v>46</x:v>
      </x:c>
      <x:c r="AG782" s="119" t="n">
        <x:f>IF(3&gt;D782,0,ROUND(('难度参数'!$E$13*POWER(A782,'难度参数'!$E$20)*MIN('难度参数'!$E$23,1+MAX(0,A782-'难度参数'!$E$21)*'难度参数'!$E$22))*(36+3*7)/(36+7*(D782+1)/2)*E782,0))</x:f>
        <x:v>14479</x:v>
      </x:c>
      <x:c r="AH782" s="119" t="n">
        <x:f>IF(AF782=0,0,(AF782-IF(3=D782,1,0))*ROUND(AG782*VLOOKUP(INDEX('章节与怪物'!$E$31:$K$37,B782,3),'章节与怪物'!$A$41:$F$44,2,FALSE),0)+IF(3=D782,ROUND(AG782*'难度参数'!$E$28*'章节与怪物'!$E$17,0),0))</x:f>
        <x:v>1132244</x:v>
      </x:c>
      <x:c r="AI782" s="119" t="n">
        <x:f>IF(AF782=0,0,(AF782-IF(3=D782,1,0))*VLOOKUP(INDEX('章节与怪物'!$E$31:$K$37,B782,3),'章节与怪物'!$A$41:$F$44,4,FALSE)+IF(3=D782,'难度参数'!$E$30,0))</x:f>
        <x:v>1288</x:v>
      </x:c>
      <x:c r="AJ782" s="119" t="n">
        <x:f>IF(4&gt;D782,0,MAX(2,MIN('难度参数'!$E$12,ROUND(('难度参数'!$E$18*POWER(A782,'难度参数'!$E$19)/D782*(0.85+0.3*(4-1)/MAX(1,D782-1))),0)+F782)))</x:f>
        <x:v>48</x:v>
      </x:c>
      <x:c r="AK782" s="119" t="n">
        <x:f>IF(4&gt;D782,0,ROUND(('难度参数'!$E$13*POWER(A782,'难度参数'!$E$20)*MIN('难度参数'!$E$23,1+MAX(0,A782-'难度参数'!$E$21)*'难度参数'!$E$22))*(36+4*7)/(36+7*(D782+1)/2)*E782,0))</x:f>
        <x:v>16257</x:v>
      </x:c>
      <x:c r="AL782" s="119" t="n">
        <x:f>IF(AJ782=0,0,(AJ782-IF(4=D782,1,0))*ROUND(AK782*VLOOKUP(INDEX('章节与怪物'!$E$31:$K$37,B782,4),'章节与怪物'!$A$41:$F$44,2,FALSE),0)+IF(4=D782,ROUND(AK782*'难度参数'!$E$28*'章节与怪物'!$E$17,0),0))</x:f>
        <x:v>1053456</x:v>
      </x:c>
      <x:c r="AM782" s="119" t="n">
        <x:f>IF(AJ782=0,0,(AJ782-IF(4=D782,1,0))*VLOOKUP(INDEX('章节与怪物'!$E$31:$K$37,B782,4),'章节与怪物'!$A$41:$F$44,4,FALSE)+IF(4=D782,'难度参数'!$E$30,0))</x:f>
        <x:v>1632</x:v>
      </x:c>
      <x:c r="AN782" s="119" t="n">
        <x:f>IF(5&gt;D782,0,MAX(2,MIN('难度参数'!$E$12,ROUND(('难度参数'!$E$18*POWER(A782,'难度参数'!$E$19)/D782*(0.85+0.3*(5-1)/MAX(1,D782-1))),0)+F782)))</x:f>
        <x:v>51</x:v>
      </x:c>
      <x:c r="AO782" s="119" t="n">
        <x:f>IF(5&gt;D782,0,ROUND(('难度参数'!$E$13*POWER(A782,'难度参数'!$E$20)*MIN('难度参数'!$E$23,1+MAX(0,A782-'难度参数'!$E$21)*'难度参数'!$E$22))*(36+5*7)/(36+7*(D782+1)/2)*E782,0))</x:f>
        <x:v>18035</x:v>
      </x:c>
      <x:c r="AP782" s="119" t="n">
        <x:f>IF(AN782=0,0,(AN782-IF(5=D782,1,0))*ROUND(AO782*VLOOKUP(INDEX('章节与怪物'!$E$31:$K$37,B782,5),'章节与怪物'!$A$41:$F$44,2,FALSE),0)+IF(5=D782,ROUND(AO782*'难度参数'!$E$28*'章节与怪物'!$E$17,0),0))</x:f>
        <x:v>919785</x:v>
      </x:c>
      <x:c r="AQ782" s="119" t="n">
        <x:f>IF(AN782=0,0,(AN782-IF(5=D782,1,0))*VLOOKUP(INDEX('章节与怪物'!$E$31:$K$37,B782,5),'章节与怪物'!$A$41:$F$44,4,FALSE)+IF(5=D782,'难度参数'!$E$30,0))</x:f>
        <x:v>918</x:v>
      </x:c>
      <x:c r="AR782" s="119" t="n">
        <x:f>IF(6&gt;D782,0,MAX(2,MIN('难度参数'!$E$12,ROUND(('难度参数'!$E$18*POWER(A782,'难度参数'!$E$19)/D782*(0.85+0.3*(6-1)/MAX(1,D782-1))),0)+F782)))</x:f>
        <x:v>53</x:v>
      </x:c>
      <x:c r="AS782" s="119" t="n">
        <x:f>IF(6&gt;D782,0,ROUND(('难度参数'!$E$13*POWER(A782,'难度参数'!$E$20)*MIN('难度参数'!$E$23,1+MAX(0,A782-'难度参数'!$E$21)*'难度参数'!$E$22))*(36+6*7)/(36+7*(D782+1)/2)*E782,0))</x:f>
        <x:v>19813</x:v>
      </x:c>
      <x:c r="AT782" s="119" t="n">
        <x:f>IF(AR782=0,0,(AR782-IF(6=D782,1,0))*ROUND(AS782*VLOOKUP(INDEX('章节与怪物'!$E$31:$K$37,B782,6),'章节与怪物'!$A$41:$F$44,2,FALSE),0)+IF(6=D782,ROUND(AS782*'难度参数'!$E$28*'章节与怪物'!$E$17,0),0))</x:f>
        <x:v>1785146</x:v>
      </x:c>
      <x:c r="AU782" s="119" t="n">
        <x:f>IF(AR782=0,0,(AR782-IF(6=D782,1,0))*VLOOKUP(INDEX('章节与怪物'!$E$31:$K$37,B782,6),'章节与怪物'!$A$41:$F$44,4,FALSE)+IF(6=D782,'难度参数'!$E$30,0))</x:f>
        <x:v>1484</x:v>
      </x:c>
      <x:c r="AV782" s="119" t="n">
        <x:f>IF(7&gt;D782,0,MAX(2,MIN('难度参数'!$E$12,ROUND(('难度参数'!$E$18*POWER(A782,'难度参数'!$E$19)/D782*(0.85+0.3*(7-1)/MAX(1,D782-1))),0)+F782)))</x:f>
        <x:v>56</x:v>
      </x:c>
      <x:c r="AW782" s="119" t="n">
        <x:f>IF(7&gt;D782,0,ROUND(('难度参数'!$E$13*POWER(A782,'难度参数'!$E$20)*MIN('难度参数'!$E$23,1+MAX(0,A782-'难度参数'!$E$21)*'难度参数'!$E$22))*(36+7*7)/(36+7*(D782+1)/2)*E782,0))</x:f>
        <x:v>21591</x:v>
      </x:c>
      <x:c r="AX782" s="119" t="n">
        <x:f>IF(AV782=0,0,(AV782-IF(7=D782,1,0))*ROUND(AW782*VLOOKUP(INDEX('章节与怪物'!$E$31:$K$37,B782,7),'章节与怪物'!$A$41:$F$44,2,FALSE),0)+IF(7=D782,ROUND(AW782*'难度参数'!$E$28*'章节与怪物'!$E$17,0),0))</x:f>
        <x:v>1749959</x:v>
      </x:c>
      <x:c r="AY782" s="119" t="n">
        <x:f>IF(AV782=0,0,(AV782-IF(7=D782,1,0))*VLOOKUP(INDEX('章节与怪物'!$E$31:$K$37,B782,7),'章节与怪物'!$A$41:$F$44,4,FALSE)+IF(7=D782,'难度参数'!$E$30,0))</x:f>
        <x:v>2070</x:v>
      </x:c>
    </x:row>
    <x:row r="783" ht="23" customHeight="1">
      <x:c r="A783" s="119" t="n">
        <x:v>777</x:v>
      </x:c>
      <x:c r="B783" s="119" t="n">
        <x:f>MOD(INT((A783-1)/5),7)+1</x:f>
        <x:v>2</x:v>
      </x:c>
      <x:c r="C783" s="62" t="str">
        <x:f>INDEX('章节与怪物'!$B$31:$B$37,B783)</x:f>
        <x:v>黄沙要塞</x:v>
      </x:c>
      <x:c r="D783" s="119" t="n">
        <x:f>MIN('难度参数'!$E$8,MAX('难度参数'!$E$7,A783))</x:f>
        <x:v>7</x:v>
      </x:c>
      <x:c r="E783" s="106" t="n">
        <x:v>1</x:v>
      </x:c>
      <x:c r="F783" s="106" t="n">
        <x:v>0</x:v>
      </x:c>
      <x:c r="G783" s="106" t="n">
        <x:v>1</x:v>
      </x:c>
      <x:c r="H783" s="119" t="n">
        <x:f>SUM(X783,AB783,AF783,AJ783,AN783,AR783,AV783)</x:f>
        <x:v>339</x:v>
      </x:c>
      <x:c r="I783" s="119" t="n">
        <x:f>SUM(Z783,AD783,AH783,AL783,AP783,AT783,AX783)</x:f>
        <x:v>7528773</x:v>
      </x:c>
      <x:c r="J783" s="119" t="n">
        <x:f>ROUND(INDEX(X783:AY783,1,(D783-1)*4+2)*'难度参数'!$E$28*'章节与怪物'!$E$17,0)</x:f>
        <x:v>146955</x:v>
      </x:c>
      <x:c r="K783" s="119" t="n">
        <x:f>SUM(AA783,AE783,AI783,AM783,AQ783,AU783,AY783)</x:f>
        <x:v>9004</x:v>
      </x:c>
      <x:c r="L783" s="62" t="n">
        <x:f>H783*(ROUNDUP('难度参数'!$E$24/('难度参数'!$E$26*'难度参数'!$E$27),0)*'难度参数'!$E$26)/60</x:f>
        <x:v>4.52</x:v>
      </x:c>
      <x:c r="M783" s="62" t="n">
        <x:f>L783+D783*('难度参数'!$E$49+'难度参数'!$E$50)/60</x:f>
        <x:v>5.6866666666666665</x:v>
      </x:c>
      <x:c r="N783" s="119" t="n">
        <x:f>ROUNDDOWN(('经济参数'!$E$20+A783*'经济参数'!$E$21)*G783,0)</x:f>
        <x:v>15720</x:v>
      </x:c>
      <x:c r="O783" s="119" t="n">
        <x:f>ROUNDDOWN(MIN('经济参数'!$E$24,'经济参数'!$E$22+A783*'经济参数'!$E$23)*G783,0)</x:f>
        <x:v>0</x:v>
      </x:c>
      <x:c r="P783" s="119" t="n">
        <x:f>ROUNDDOWN((IF(A783&gt;='材料与任务'!$E$31,'材料与任务'!$E$32,IF(A783&gt;='材料与任务'!$E$25,'材料与任务'!$E$26,IF(A783&gt;='材料与任务'!$E$19,'材料与任务'!$E$20,IF(A783&gt;='材料与任务'!$E$13,'材料与任务'!$E$14,'材料与任务'!$E$8)))))*G783,0)</x:f>
        <x:v>6</x:v>
      </x:c>
      <x:c r="Q783" s="119" t="n">
        <x:f>ROUNDDOWN((IF(A783&gt;='材料与任务'!$E$31,'材料与任务'!$E$33,IF(A783&gt;='材料与任务'!$E$25,'材料与任务'!$E$27,IF(A783&gt;='材料与任务'!$E$19,'材料与任务'!$E$21,IF(A783&gt;='材料与任务'!$E$13,'材料与任务'!$E$15,'材料与任务'!$E$9)))))*G783,0)</x:f>
        <x:v>3</x:v>
      </x:c>
      <x:c r="R783" s="110" t="n">
        <x:f>'装备掉落'!$B$38</x:f>
        <x:v>0.6872058758851213</x:v>
      </x:c>
      <x:c r="S783" s="119" t="n">
        <x:f>MAX(IF(VLOOKUP(A783,'装备掉落'!$A$29:$H$34,2,TRUE)&gt;0,1,0),IF(VLOOKUP(A783,'装备掉落'!$A$29:$H$34,3,TRUE)&gt;0,2,0),IF(VLOOKUP(A783,'装备掉落'!$A$29:$H$34,4,TRUE)&gt;0,3,0),IF(VLOOKUP(A783,'装备掉落'!$A$29:$H$34,5,TRUE)&gt;0,4,0),IF(VLOOKUP(A783,'装备掉落'!$A$29:$H$34,6,TRUE)&gt;0,5,0),IF(VLOOKUP(A783,'装备掉落'!$A$29:$H$34,7,TRUE)&gt;0,6,0),IF(VLOOKUP(A783,'装备掉落'!$A$29:$H$34,8,TRUE)&gt;0,7,0))</x:f>
        <x:v>7</x:v>
      </x:c>
      <x:c r="T783" s="119" t="n">
        <x:f>MIN(7,S783+'经济参数'!$E$70)</x:f>
        <x:v>7</x:v>
      </x:c>
      <x:c r="U783" s="119" t="n">
        <x:f>MIN(7,S783+'经济参数'!$E$71)</x:f>
        <x:v>7</x:v>
      </x:c>
      <x:c r="V783" s="119" t="n">
        <x:f>IF(H783&gt;=('难度参数'!$E$52),1,0)+IF(H783&gt;=('难度参数'!$E$52+'难度参数'!$E$53),1,0)+IF(H783&gt;=('难度参数'!$E$52+'难度参数'!$E$53+'难度参数'!$E$54),1,0)+IF(H783&gt;=('难度参数'!$E$52+'难度参数'!$E$53+'难度参数'!$E$54+'难度参数'!$E$55),1,0)+IF(H783&gt;=('难度参数'!$E$52+'难度参数'!$E$53+'难度参数'!$E$54+'难度参数'!$E$55+'难度参数'!$E$56),1,0)+IF(H783&gt;=('难度参数'!$E$52+'难度参数'!$E$53+'难度参数'!$E$54+'难度参数'!$E$55+'难度参数'!$E$56+'难度参数'!$E$57),1,0)</x:f>
        <x:v>6</x:v>
      </x:c>
      <x:c r="W783" s="62" t="str">
        <x:f>IF(L783&gt;'难度参数'!$E$51,"仅出怪已超目标","还需实测")</x:f>
        <x:v>仅出怪已超目标</x:v>
      </x:c>
      <x:c r="X783" s="119" t="n">
        <x:f>IF(1&gt;D783,0,MAX(2,MIN('难度参数'!$E$12,ROUND(('难度参数'!$E$18*POWER(A783,'难度参数'!$E$19)/D783*(0.85+0.3*(1-1)/MAX(1,D783-1))),0)+F783)))</x:f>
        <x:v>41</x:v>
      </x:c>
      <x:c r="Y783" s="119" t="n">
        <x:f>IF(1&gt;D783,0,ROUND(('难度参数'!$E$13*POWER(A783,'难度参数'!$E$20)*MIN('难度参数'!$E$23,1+MAX(0,A783-'难度参数'!$E$21)*'难度参数'!$E$22))*(36+1*7)/(36+7*(D783+1)/2)*E783,0))</x:f>
        <x:v>10933</x:v>
      </x:c>
      <x:c r="Z783" s="119" t="n">
        <x:f>IF(X783=0,0,(X783-IF(1=D783,1,0))*ROUND(Y783*VLOOKUP(INDEX('章节与怪物'!$E$31:$K$37,B783,1),'章节与怪物'!$A$41:$F$44,2,FALSE),0)+IF(1=D783,ROUND(Y783*'难度参数'!$E$28*'章节与怪物'!$E$17,0),0))</x:f>
        <x:v>322752</x:v>
      </x:c>
      <x:c r="AA783" s="119" t="n">
        <x:f>IF(X783=0,0,(X783-IF(1=D783,1,0))*VLOOKUP(INDEX('章节与怪物'!$E$31:$K$37,B783,1),'章节与怪物'!$A$41:$F$44,4,FALSE)+IF(1=D783,'难度参数'!$E$30,0))</x:f>
        <x:v>820</x:v>
      </x:c>
      <x:c r="AB783" s="119" t="n">
        <x:f>IF(2&gt;D783,0,MAX(2,MIN('难度参数'!$E$12,ROUND(('难度参数'!$E$18*POWER(A783,'难度参数'!$E$19)/D783*(0.85+0.3*(2-1)/MAX(1,D783-1))),0)+F783)))</x:f>
        <x:v>44</x:v>
      </x:c>
      <x:c r="AC783" s="119" t="n">
        <x:f>IF(2&gt;D783,0,ROUND(('难度参数'!$E$13*POWER(A783,'难度参数'!$E$20)*MIN('难度参数'!$E$23,1+MAX(0,A783-'难度参数'!$E$21)*'难度参数'!$E$22))*(36+2*7)/(36+7*(D783+1)/2)*E783,0))</x:f>
        <x:v>12712</x:v>
      </x:c>
      <x:c r="AD783" s="119" t="n">
        <x:f>IF(AB783=0,0,(AB783-IF(2=D783,1,0))*ROUND(AC783*VLOOKUP(INDEX('章节与怪物'!$E$31:$K$37,B783,2),'章节与怪物'!$A$41:$F$44,2,FALSE),0)+IF(2=D783,ROUND(AC783*'难度参数'!$E$28*'章节与怪物'!$E$17,0),0))</x:f>
        <x:v>559328</x:v>
      </x:c>
      <x:c r="AE783" s="119" t="n">
        <x:f>IF(AB783=0,0,(AB783-IF(2=D783,1,0))*VLOOKUP(INDEX('章节与怪物'!$E$31:$K$37,B783,2),'章节与怪物'!$A$41:$F$44,4,FALSE)+IF(2=D783,'难度参数'!$E$30,0))</x:f>
        <x:v>792</x:v>
      </x:c>
      <x:c r="AF783" s="119" t="n">
        <x:f>IF(3&gt;D783,0,MAX(2,MIN('难度参数'!$E$12,ROUND(('难度参数'!$E$18*POWER(A783,'难度参数'!$E$19)/D783*(0.85+0.3*(3-1)/MAX(1,D783-1))),0)+F783)))</x:f>
        <x:v>46</x:v>
      </x:c>
      <x:c r="AG783" s="119" t="n">
        <x:f>IF(3&gt;D783,0,ROUND(('难度参数'!$E$13*POWER(A783,'难度参数'!$E$20)*MIN('难度参数'!$E$23,1+MAX(0,A783-'难度参数'!$E$21)*'难度参数'!$E$22))*(36+3*7)/(36+7*(D783+1)/2)*E783,0))</x:f>
        <x:v>14492</x:v>
      </x:c>
      <x:c r="AH783" s="119" t="n">
        <x:f>IF(AF783=0,0,(AF783-IF(3=D783,1,0))*ROUND(AG783*VLOOKUP(INDEX('章节与怪物'!$E$31:$K$37,B783,3),'章节与怪物'!$A$41:$F$44,2,FALSE),0)+IF(3=D783,ROUND(AG783*'难度参数'!$E$28*'章节与怪物'!$E$17,0),0))</x:f>
        <x:v>1133256</x:v>
      </x:c>
      <x:c r="AI783" s="119" t="n">
        <x:f>IF(AF783=0,0,(AF783-IF(3=D783,1,0))*VLOOKUP(INDEX('章节与怪物'!$E$31:$K$37,B783,3),'章节与怪物'!$A$41:$F$44,4,FALSE)+IF(3=D783,'难度参数'!$E$30,0))</x:f>
        <x:v>1288</x:v>
      </x:c>
      <x:c r="AJ783" s="119" t="n">
        <x:f>IF(4&gt;D783,0,MAX(2,MIN('难度参数'!$E$12,ROUND(('难度参数'!$E$18*POWER(A783,'难度参数'!$E$19)/D783*(0.85+0.3*(4-1)/MAX(1,D783-1))),0)+F783)))</x:f>
        <x:v>48</x:v>
      </x:c>
      <x:c r="AK783" s="119" t="n">
        <x:f>IF(4&gt;D783,0,ROUND(('难度参数'!$E$13*POWER(A783,'难度参数'!$E$20)*MIN('难度参数'!$E$23,1+MAX(0,A783-'难度参数'!$E$21)*'难度参数'!$E$22))*(36+4*7)/(36+7*(D783+1)/2)*E783,0))</x:f>
        <x:v>16272</x:v>
      </x:c>
      <x:c r="AL783" s="119" t="n">
        <x:f>IF(AJ783=0,0,(AJ783-IF(4=D783,1,0))*ROUND(AK783*VLOOKUP(INDEX('章节与怪物'!$E$31:$K$37,B783,4),'章节与怪物'!$A$41:$F$44,2,FALSE),0)+IF(4=D783,ROUND(AK783*'难度参数'!$E$28*'章节与怪物'!$E$17,0),0))</x:f>
        <x:v>1054416</x:v>
      </x:c>
      <x:c r="AM783" s="119" t="n">
        <x:f>IF(AJ783=0,0,(AJ783-IF(4=D783,1,0))*VLOOKUP(INDEX('章节与怪物'!$E$31:$K$37,B783,4),'章节与怪物'!$A$41:$F$44,4,FALSE)+IF(4=D783,'难度参数'!$E$30,0))</x:f>
        <x:v>1632</x:v>
      </x:c>
      <x:c r="AN783" s="119" t="n">
        <x:f>IF(5&gt;D783,0,MAX(2,MIN('难度参数'!$E$12,ROUND(('难度参数'!$E$18*POWER(A783,'难度参数'!$E$19)/D783*(0.85+0.3*(5-1)/MAX(1,D783-1))),0)+F783)))</x:f>
        <x:v>51</x:v>
      </x:c>
      <x:c r="AO783" s="119" t="n">
        <x:f>IF(5&gt;D783,0,ROUND(('难度参数'!$E$13*POWER(A783,'难度参数'!$E$20)*MIN('难度参数'!$E$23,1+MAX(0,A783-'难度参数'!$E$21)*'难度参数'!$E$22))*(36+5*7)/(36+7*(D783+1)/2)*E783,0))</x:f>
        <x:v>18052</x:v>
      </x:c>
      <x:c r="AP783" s="119" t="n">
        <x:f>IF(AN783=0,0,(AN783-IF(5=D783,1,0))*ROUND(AO783*VLOOKUP(INDEX('章节与怪物'!$E$31:$K$37,B783,5),'章节与怪物'!$A$41:$F$44,2,FALSE),0)+IF(5=D783,ROUND(AO783*'难度参数'!$E$28*'章节与怪物'!$E$17,0),0))</x:f>
        <x:v>920652</x:v>
      </x:c>
      <x:c r="AQ783" s="119" t="n">
        <x:f>IF(AN783=0,0,(AN783-IF(5=D783,1,0))*VLOOKUP(INDEX('章节与怪物'!$E$31:$K$37,B783,5),'章节与怪物'!$A$41:$F$44,4,FALSE)+IF(5=D783,'难度参数'!$E$30,0))</x:f>
        <x:v>918</x:v>
      </x:c>
      <x:c r="AR783" s="119" t="n">
        <x:f>IF(6&gt;D783,0,MAX(2,MIN('难度参数'!$E$12,ROUND(('难度参数'!$E$18*POWER(A783,'难度参数'!$E$19)/D783*(0.85+0.3*(6-1)/MAX(1,D783-1))),0)+F783)))</x:f>
        <x:v>53</x:v>
      </x:c>
      <x:c r="AS783" s="119" t="n">
        <x:f>IF(6&gt;D783,0,ROUND(('难度参数'!$E$13*POWER(A783,'难度参数'!$E$20)*MIN('难度参数'!$E$23,1+MAX(0,A783-'难度参数'!$E$21)*'难度参数'!$E$22))*(36+6*7)/(36+7*(D783+1)/2)*E783,0))</x:f>
        <x:v>19831</x:v>
      </x:c>
      <x:c r="AT783" s="119" t="n">
        <x:f>IF(AR783=0,0,(AR783-IF(6=D783,1,0))*ROUND(AS783*VLOOKUP(INDEX('章节与怪物'!$E$31:$K$37,B783,6),'章节与怪物'!$A$41:$F$44,2,FALSE),0)+IF(6=D783,ROUND(AS783*'难度参数'!$E$28*'章节与怪物'!$E$17,0),0))</x:f>
        <x:v>1786789</x:v>
      </x:c>
      <x:c r="AU783" s="119" t="n">
        <x:f>IF(AR783=0,0,(AR783-IF(6=D783,1,0))*VLOOKUP(INDEX('章节与怪物'!$E$31:$K$37,B783,6),'章节与怪物'!$A$41:$F$44,4,FALSE)+IF(6=D783,'难度参数'!$E$30,0))</x:f>
        <x:v>1484</x:v>
      </x:c>
      <x:c r="AV783" s="119" t="n">
        <x:f>IF(7&gt;D783,0,MAX(2,MIN('难度参数'!$E$12,ROUND(('难度参数'!$E$18*POWER(A783,'难度参数'!$E$19)/D783*(0.85+0.3*(7-1)/MAX(1,D783-1))),0)+F783)))</x:f>
        <x:v>56</x:v>
      </x:c>
      <x:c r="AW783" s="119" t="n">
        <x:f>IF(7&gt;D783,0,ROUND(('难度参数'!$E$13*POWER(A783,'难度参数'!$E$20)*MIN('难度参数'!$E$23,1+MAX(0,A783-'难度参数'!$E$21)*'难度参数'!$E$22))*(36+7*7)/(36+7*(D783+1)/2)*E783,0))</x:f>
        <x:v>21611</x:v>
      </x:c>
      <x:c r="AX783" s="119" t="n">
        <x:f>IF(AV783=0,0,(AV783-IF(7=D783,1,0))*ROUND(AW783*VLOOKUP(INDEX('章节与怪物'!$E$31:$K$37,B783,7),'章节与怪物'!$A$41:$F$44,2,FALSE),0)+IF(7=D783,ROUND(AW783*'难度参数'!$E$28*'章节与怪物'!$E$17,0),0))</x:f>
        <x:v>1751580</x:v>
      </x:c>
      <x:c r="AY783" s="119" t="n">
        <x:f>IF(AV783=0,0,(AV783-IF(7=D783,1,0))*VLOOKUP(INDEX('章节与怪物'!$E$31:$K$37,B783,7),'章节与怪物'!$A$41:$F$44,4,FALSE)+IF(7=D783,'难度参数'!$E$30,0))</x:f>
        <x:v>2070</x:v>
      </x:c>
    </x:row>
    <x:row r="784" ht="23" customHeight="1">
      <x:c r="A784" s="119" t="n">
        <x:v>778</x:v>
      </x:c>
      <x:c r="B784" s="119" t="n">
        <x:f>MOD(INT((A784-1)/5),7)+1</x:f>
        <x:v>2</x:v>
      </x:c>
      <x:c r="C784" s="62" t="str">
        <x:f>INDEX('章节与怪物'!$B$31:$B$37,B784)</x:f>
        <x:v>黄沙要塞</x:v>
      </x:c>
      <x:c r="D784" s="119" t="n">
        <x:f>MIN('难度参数'!$E$8,MAX('难度参数'!$E$7,A784))</x:f>
        <x:v>7</x:v>
      </x:c>
      <x:c r="E784" s="106" t="n">
        <x:v>1</x:v>
      </x:c>
      <x:c r="F784" s="106" t="n">
        <x:v>0</x:v>
      </x:c>
      <x:c r="G784" s="106" t="n">
        <x:v>1</x:v>
      </x:c>
      <x:c r="H784" s="119" t="n">
        <x:f>SUM(X784,AB784,AF784,AJ784,AN784,AR784,AV784)</x:f>
        <x:v>339</x:v>
      </x:c>
      <x:c r="I784" s="119" t="n">
        <x:f>SUM(Z784,AD784,AH784,AL784,AP784,AT784,AX784)</x:f>
        <x:v>7535785</x:v>
      </x:c>
      <x:c r="J784" s="119" t="n">
        <x:f>ROUND(INDEX(X784:AY784,1,(D784-1)*4+2)*'难度参数'!$E$28*'章节与怪物'!$E$17,0)</x:f>
        <x:v>147091</x:v>
      </x:c>
      <x:c r="K784" s="119" t="n">
        <x:f>SUM(AA784,AE784,AI784,AM784,AQ784,AU784,AY784)</x:f>
        <x:v>9004</x:v>
      </x:c>
      <x:c r="L784" s="62" t="n">
        <x:f>H784*(ROUNDUP('难度参数'!$E$24/('难度参数'!$E$26*'难度参数'!$E$27),0)*'难度参数'!$E$26)/60</x:f>
        <x:v>4.52</x:v>
      </x:c>
      <x:c r="M784" s="62" t="n">
        <x:f>L784+D784*('难度参数'!$E$49+'难度参数'!$E$50)/60</x:f>
        <x:v>5.6866666666666665</x:v>
      </x:c>
      <x:c r="N784" s="119" t="n">
        <x:f>ROUNDDOWN(('经济参数'!$E$20+A784*'经济参数'!$E$21)*G784,0)</x:f>
        <x:v>15740</x:v>
      </x:c>
      <x:c r="O784" s="119" t="n">
        <x:f>ROUNDDOWN(MIN('经济参数'!$E$24,'经济参数'!$E$22+A784*'经济参数'!$E$23)*G784,0)</x:f>
        <x:v>0</x:v>
      </x:c>
      <x:c r="P784" s="119" t="n">
        <x:f>ROUNDDOWN((IF(A784&gt;='材料与任务'!$E$31,'材料与任务'!$E$32,IF(A784&gt;='材料与任务'!$E$25,'材料与任务'!$E$26,IF(A784&gt;='材料与任务'!$E$19,'材料与任务'!$E$20,IF(A784&gt;='材料与任务'!$E$13,'材料与任务'!$E$14,'材料与任务'!$E$8)))))*G784,0)</x:f>
        <x:v>6</x:v>
      </x:c>
      <x:c r="Q784" s="119" t="n">
        <x:f>ROUNDDOWN((IF(A784&gt;='材料与任务'!$E$31,'材料与任务'!$E$33,IF(A784&gt;='材料与任务'!$E$25,'材料与任务'!$E$27,IF(A784&gt;='材料与任务'!$E$19,'材料与任务'!$E$21,IF(A784&gt;='材料与任务'!$E$13,'材料与任务'!$E$15,'材料与任务'!$E$9)))))*G784,0)</x:f>
        <x:v>3</x:v>
      </x:c>
      <x:c r="R784" s="110" t="n">
        <x:f>'装备掉落'!$B$38</x:f>
        <x:v>0.6872058758851213</x:v>
      </x:c>
      <x:c r="S784" s="119" t="n">
        <x:f>MAX(IF(VLOOKUP(A784,'装备掉落'!$A$29:$H$34,2,TRUE)&gt;0,1,0),IF(VLOOKUP(A784,'装备掉落'!$A$29:$H$34,3,TRUE)&gt;0,2,0),IF(VLOOKUP(A784,'装备掉落'!$A$29:$H$34,4,TRUE)&gt;0,3,0),IF(VLOOKUP(A784,'装备掉落'!$A$29:$H$34,5,TRUE)&gt;0,4,0),IF(VLOOKUP(A784,'装备掉落'!$A$29:$H$34,6,TRUE)&gt;0,5,0),IF(VLOOKUP(A784,'装备掉落'!$A$29:$H$34,7,TRUE)&gt;0,6,0),IF(VLOOKUP(A784,'装备掉落'!$A$29:$H$34,8,TRUE)&gt;0,7,0))</x:f>
        <x:v>7</x:v>
      </x:c>
      <x:c r="T784" s="119" t="n">
        <x:f>MIN(7,S784+'经济参数'!$E$70)</x:f>
        <x:v>7</x:v>
      </x:c>
      <x:c r="U784" s="119" t="n">
        <x:f>MIN(7,S784+'经济参数'!$E$71)</x:f>
        <x:v>7</x:v>
      </x:c>
      <x:c r="V784" s="119" t="n">
        <x:f>IF(H784&gt;=('难度参数'!$E$52),1,0)+IF(H784&gt;=('难度参数'!$E$52+'难度参数'!$E$53),1,0)+IF(H784&gt;=('难度参数'!$E$52+'难度参数'!$E$53+'难度参数'!$E$54),1,0)+IF(H784&gt;=('难度参数'!$E$52+'难度参数'!$E$53+'难度参数'!$E$54+'难度参数'!$E$55),1,0)+IF(H784&gt;=('难度参数'!$E$52+'难度参数'!$E$53+'难度参数'!$E$54+'难度参数'!$E$55+'难度参数'!$E$56),1,0)+IF(H784&gt;=('难度参数'!$E$52+'难度参数'!$E$53+'难度参数'!$E$54+'难度参数'!$E$55+'难度参数'!$E$56+'难度参数'!$E$57),1,0)</x:f>
        <x:v>6</x:v>
      </x:c>
      <x:c r="W784" s="62" t="str">
        <x:f>IF(L784&gt;'难度参数'!$E$51,"仅出怪已超目标","还需实测")</x:f>
        <x:v>仅出怪已超目标</x:v>
      </x:c>
      <x:c r="X784" s="119" t="n">
        <x:f>IF(1&gt;D784,0,MAX(2,MIN('难度参数'!$E$12,ROUND(('难度参数'!$E$18*POWER(A784,'难度参数'!$E$19)/D784*(0.85+0.3*(1-1)/MAX(1,D784-1))),0)+F784)))</x:f>
        <x:v>41</x:v>
      </x:c>
      <x:c r="Y784" s="119" t="n">
        <x:f>IF(1&gt;D784,0,ROUND(('难度参数'!$E$13*POWER(A784,'难度参数'!$E$20)*MIN('难度参数'!$E$23,1+MAX(0,A784-'难度参数'!$E$21)*'难度参数'!$E$22))*(36+1*7)/(36+7*(D784+1)/2)*E784,0))</x:f>
        <x:v>10943</x:v>
      </x:c>
      <x:c r="Z784" s="119" t="n">
        <x:f>IF(X784=0,0,(X784-IF(1=D784,1,0))*ROUND(Y784*VLOOKUP(INDEX('章节与怪物'!$E$31:$K$37,B784,1),'章节与怪物'!$A$41:$F$44,2,FALSE),0)+IF(1=D784,ROUND(Y784*'难度参数'!$E$28*'章节与怪物'!$E$17,0),0))</x:f>
        <x:v>323039</x:v>
      </x:c>
      <x:c r="AA784" s="119" t="n">
        <x:f>IF(X784=0,0,(X784-IF(1=D784,1,0))*VLOOKUP(INDEX('章节与怪物'!$E$31:$K$37,B784,1),'章节与怪物'!$A$41:$F$44,4,FALSE)+IF(1=D784,'难度参数'!$E$30,0))</x:f>
        <x:v>820</x:v>
      </x:c>
      <x:c r="AB784" s="119" t="n">
        <x:f>IF(2&gt;D784,0,MAX(2,MIN('难度参数'!$E$12,ROUND(('难度参数'!$E$18*POWER(A784,'难度参数'!$E$19)/D784*(0.85+0.3*(2-1)/MAX(1,D784-1))),0)+F784)))</x:f>
        <x:v>44</x:v>
      </x:c>
      <x:c r="AC784" s="119" t="n">
        <x:f>IF(2&gt;D784,0,ROUND(('难度参数'!$E$13*POWER(A784,'难度参数'!$E$20)*MIN('难度参数'!$E$23,1+MAX(0,A784-'难度参数'!$E$21)*'难度参数'!$E$22))*(36+2*7)/(36+7*(D784+1)/2)*E784,0))</x:f>
        <x:v>12724</x:v>
      </x:c>
      <x:c r="AD784" s="119" t="n">
        <x:f>IF(AB784=0,0,(AB784-IF(2=D784,1,0))*ROUND(AC784*VLOOKUP(INDEX('章节与怪物'!$E$31:$K$37,B784,2),'章节与怪物'!$A$41:$F$44,2,FALSE),0)+IF(2=D784,ROUND(AC784*'难度参数'!$E$28*'章节与怪物'!$E$17,0),0))</x:f>
        <x:v>559856</x:v>
      </x:c>
      <x:c r="AE784" s="119" t="n">
        <x:f>IF(AB784=0,0,(AB784-IF(2=D784,1,0))*VLOOKUP(INDEX('章节与怪物'!$E$31:$K$37,B784,2),'章节与怪物'!$A$41:$F$44,4,FALSE)+IF(2=D784,'难度参数'!$E$30,0))</x:f>
        <x:v>792</x:v>
      </x:c>
      <x:c r="AF784" s="119" t="n">
        <x:f>IF(3&gt;D784,0,MAX(2,MIN('难度参数'!$E$12,ROUND(('难度参数'!$E$18*POWER(A784,'难度参数'!$E$19)/D784*(0.85+0.3*(3-1)/MAX(1,D784-1))),0)+F784)))</x:f>
        <x:v>46</x:v>
      </x:c>
      <x:c r="AG784" s="119" t="n">
        <x:f>IF(3&gt;D784,0,ROUND(('难度参数'!$E$13*POWER(A784,'难度参数'!$E$20)*MIN('难度参数'!$E$23,1+MAX(0,A784-'难度参数'!$E$21)*'难度参数'!$E$22))*(36+3*7)/(36+7*(D784+1)/2)*E784,0))</x:f>
        <x:v>14506</x:v>
      </x:c>
      <x:c r="AH784" s="119" t="n">
        <x:f>IF(AF784=0,0,(AF784-IF(3=D784,1,0))*ROUND(AG784*VLOOKUP(INDEX('章节与怪物'!$E$31:$K$37,B784,3),'章节与怪物'!$A$41:$F$44,2,FALSE),0)+IF(3=D784,ROUND(AG784*'难度参数'!$E$28*'章节与怪物'!$E$17,0),0))</x:f>
        <x:v>1134360</x:v>
      </x:c>
      <x:c r="AI784" s="119" t="n">
        <x:f>IF(AF784=0,0,(AF784-IF(3=D784,1,0))*VLOOKUP(INDEX('章节与怪物'!$E$31:$K$37,B784,3),'章节与怪物'!$A$41:$F$44,4,FALSE)+IF(3=D784,'难度参数'!$E$30,0))</x:f>
        <x:v>1288</x:v>
      </x:c>
      <x:c r="AJ784" s="119" t="n">
        <x:f>IF(4&gt;D784,0,MAX(2,MIN('难度参数'!$E$12,ROUND(('难度参数'!$E$18*POWER(A784,'难度参数'!$E$19)/D784*(0.85+0.3*(4-1)/MAX(1,D784-1))),0)+F784)))</x:f>
        <x:v>48</x:v>
      </x:c>
      <x:c r="AK784" s="119" t="n">
        <x:f>IF(4&gt;D784,0,ROUND(('难度参数'!$E$13*POWER(A784,'难度参数'!$E$20)*MIN('难度参数'!$E$23,1+MAX(0,A784-'难度参数'!$E$21)*'难度参数'!$E$22))*(36+4*7)/(36+7*(D784+1)/2)*E784,0))</x:f>
        <x:v>16287</x:v>
      </x:c>
      <x:c r="AL784" s="119" t="n">
        <x:f>IF(AJ784=0,0,(AJ784-IF(4=D784,1,0))*ROUND(AK784*VLOOKUP(INDEX('章节与怪物'!$E$31:$K$37,B784,4),'章节与怪物'!$A$41:$F$44,2,FALSE),0)+IF(4=D784,ROUND(AK784*'难度参数'!$E$28*'章节与怪物'!$E$17,0),0))</x:f>
        <x:v>1055376</x:v>
      </x:c>
      <x:c r="AM784" s="119" t="n">
        <x:f>IF(AJ784=0,0,(AJ784-IF(4=D784,1,0))*VLOOKUP(INDEX('章节与怪物'!$E$31:$K$37,B784,4),'章节与怪物'!$A$41:$F$44,4,FALSE)+IF(4=D784,'难度参数'!$E$30,0))</x:f>
        <x:v>1632</x:v>
      </x:c>
      <x:c r="AN784" s="119" t="n">
        <x:f>IF(5&gt;D784,0,MAX(2,MIN('难度参数'!$E$12,ROUND(('难度参数'!$E$18*POWER(A784,'难度参数'!$E$19)/D784*(0.85+0.3*(5-1)/MAX(1,D784-1))),0)+F784)))</x:f>
        <x:v>51</x:v>
      </x:c>
      <x:c r="AO784" s="119" t="n">
        <x:f>IF(5&gt;D784,0,ROUND(('难度参数'!$E$13*POWER(A784,'难度参数'!$E$20)*MIN('难度参数'!$E$23,1+MAX(0,A784-'难度参数'!$E$21)*'难度参数'!$E$22))*(36+5*7)/(36+7*(D784+1)/2)*E784,0))</x:f>
        <x:v>18068</x:v>
      </x:c>
      <x:c r="AP784" s="119" t="n">
        <x:f>IF(AN784=0,0,(AN784-IF(5=D784,1,0))*ROUND(AO784*VLOOKUP(INDEX('章节与怪物'!$E$31:$K$37,B784,5),'章节与怪物'!$A$41:$F$44,2,FALSE),0)+IF(5=D784,ROUND(AO784*'难度参数'!$E$28*'章节与怪物'!$E$17,0),0))</x:f>
        <x:v>921468</x:v>
      </x:c>
      <x:c r="AQ784" s="119" t="n">
        <x:f>IF(AN784=0,0,(AN784-IF(5=D784,1,0))*VLOOKUP(INDEX('章节与怪物'!$E$31:$K$37,B784,5),'章节与怪物'!$A$41:$F$44,4,FALSE)+IF(5=D784,'难度参数'!$E$30,0))</x:f>
        <x:v>918</x:v>
      </x:c>
      <x:c r="AR784" s="119" t="n">
        <x:f>IF(6&gt;D784,0,MAX(2,MIN('难度参数'!$E$12,ROUND(('难度参数'!$E$18*POWER(A784,'难度参数'!$E$19)/D784*(0.85+0.3*(6-1)/MAX(1,D784-1))),0)+F784)))</x:f>
        <x:v>53</x:v>
      </x:c>
      <x:c r="AS784" s="119" t="n">
        <x:f>IF(6&gt;D784,0,ROUND(('难度参数'!$E$13*POWER(A784,'难度参数'!$E$20)*MIN('难度参数'!$E$23,1+MAX(0,A784-'难度参数'!$E$21)*'难度参数'!$E$22))*(36+6*7)/(36+7*(D784+1)/2)*E784,0))</x:f>
        <x:v>19850</x:v>
      </x:c>
      <x:c r="AT784" s="119" t="n">
        <x:f>IF(AR784=0,0,(AR784-IF(6=D784,1,0))*ROUND(AS784*VLOOKUP(INDEX('章节与怪物'!$E$31:$K$37,B784,6),'章节与怪物'!$A$41:$F$44,2,FALSE),0)+IF(6=D784,ROUND(AS784*'难度参数'!$E$28*'章节与怪物'!$E$17,0),0))</x:f>
        <x:v>1788485</x:v>
      </x:c>
      <x:c r="AU784" s="119" t="n">
        <x:f>IF(AR784=0,0,(AR784-IF(6=D784,1,0))*VLOOKUP(INDEX('章节与怪物'!$E$31:$K$37,B784,6),'章节与怪物'!$A$41:$F$44,4,FALSE)+IF(6=D784,'难度参数'!$E$30,0))</x:f>
        <x:v>1484</x:v>
      </x:c>
      <x:c r="AV784" s="119" t="n">
        <x:f>IF(7&gt;D784,0,MAX(2,MIN('难度参数'!$E$12,ROUND(('难度参数'!$E$18*POWER(A784,'难度参数'!$E$19)/D784*(0.85+0.3*(7-1)/MAX(1,D784-1))),0)+F784)))</x:f>
        <x:v>56</x:v>
      </x:c>
      <x:c r="AW784" s="119" t="n">
        <x:f>IF(7&gt;D784,0,ROUND(('难度参数'!$E$13*POWER(A784,'难度参数'!$E$20)*MIN('难度参数'!$E$23,1+MAX(0,A784-'难度参数'!$E$21)*'难度参数'!$E$22))*(36+7*7)/(36+7*(D784+1)/2)*E784,0))</x:f>
        <x:v>21631</x:v>
      </x:c>
      <x:c r="AX784" s="119" t="n">
        <x:f>IF(AV784=0,0,(AV784-IF(7=D784,1,0))*ROUND(AW784*VLOOKUP(INDEX('章节与怪物'!$E$31:$K$37,B784,7),'章节与怪物'!$A$41:$F$44,2,FALSE),0)+IF(7=D784,ROUND(AW784*'难度参数'!$E$28*'章节与怪物'!$E$17,0),0))</x:f>
        <x:v>1753201</x:v>
      </x:c>
      <x:c r="AY784" s="119" t="n">
        <x:f>IF(AV784=0,0,(AV784-IF(7=D784,1,0))*VLOOKUP(INDEX('章节与怪物'!$E$31:$K$37,B784,7),'章节与怪物'!$A$41:$F$44,4,FALSE)+IF(7=D784,'难度参数'!$E$30,0))</x:f>
        <x:v>2070</x:v>
      </x:c>
    </x:row>
    <x:row r="785" ht="23" customHeight="1">
      <x:c r="A785" s="119" t="n">
        <x:v>779</x:v>
      </x:c>
      <x:c r="B785" s="119" t="n">
        <x:f>MOD(INT((A785-1)/5),7)+1</x:f>
        <x:v>2</x:v>
      </x:c>
      <x:c r="C785" s="62" t="str">
        <x:f>INDEX('章节与怪物'!$B$31:$B$37,B785)</x:f>
        <x:v>黄沙要塞</x:v>
      </x:c>
      <x:c r="D785" s="119" t="n">
        <x:f>MIN('难度参数'!$E$8,MAX('难度参数'!$E$7,A785))</x:f>
        <x:v>7</x:v>
      </x:c>
      <x:c r="E785" s="106" t="n">
        <x:v>1</x:v>
      </x:c>
      <x:c r="F785" s="106" t="n">
        <x:v>0</x:v>
      </x:c>
      <x:c r="G785" s="106" t="n">
        <x:v>1</x:v>
      </x:c>
      <x:c r="H785" s="119" t="n">
        <x:f>SUM(X785,AB785,AF785,AJ785,AN785,AR785,AV785)</x:f>
        <x:v>339</x:v>
      </x:c>
      <x:c r="I785" s="119" t="n">
        <x:f>SUM(Z785,AD785,AH785,AL785,AP785,AT785,AX785)</x:f>
        <x:v>7542751</x:v>
      </x:c>
      <x:c r="J785" s="119" t="n">
        <x:f>ROUND(INDEX(X785:AY785,1,(D785-1)*4+2)*'难度参数'!$E$28*'章节与怪物'!$E$17,0)</x:f>
        <x:v>147227</x:v>
      </x:c>
      <x:c r="K785" s="119" t="n">
        <x:f>SUM(AA785,AE785,AI785,AM785,AQ785,AU785,AY785)</x:f>
        <x:v>9004</x:v>
      </x:c>
      <x:c r="L785" s="62" t="n">
        <x:f>H785*(ROUNDUP('难度参数'!$E$24/('难度参数'!$E$26*'难度参数'!$E$27),0)*'难度参数'!$E$26)/60</x:f>
        <x:v>4.52</x:v>
      </x:c>
      <x:c r="M785" s="62" t="n">
        <x:f>L785+D785*('难度参数'!$E$49+'难度参数'!$E$50)/60</x:f>
        <x:v>5.6866666666666665</x:v>
      </x:c>
      <x:c r="N785" s="119" t="n">
        <x:f>ROUNDDOWN(('经济参数'!$E$20+A785*'经济参数'!$E$21)*G785,0)</x:f>
        <x:v>15760</x:v>
      </x:c>
      <x:c r="O785" s="119" t="n">
        <x:f>ROUNDDOWN(MIN('经济参数'!$E$24,'经济参数'!$E$22+A785*'经济参数'!$E$23)*G785,0)</x:f>
        <x:v>0</x:v>
      </x:c>
      <x:c r="P785" s="119" t="n">
        <x:f>ROUNDDOWN((IF(A785&gt;='材料与任务'!$E$31,'材料与任务'!$E$32,IF(A785&gt;='材料与任务'!$E$25,'材料与任务'!$E$26,IF(A785&gt;='材料与任务'!$E$19,'材料与任务'!$E$20,IF(A785&gt;='材料与任务'!$E$13,'材料与任务'!$E$14,'材料与任务'!$E$8)))))*G785,0)</x:f>
        <x:v>6</x:v>
      </x:c>
      <x:c r="Q785" s="119" t="n">
        <x:f>ROUNDDOWN((IF(A785&gt;='材料与任务'!$E$31,'材料与任务'!$E$33,IF(A785&gt;='材料与任务'!$E$25,'材料与任务'!$E$27,IF(A785&gt;='材料与任务'!$E$19,'材料与任务'!$E$21,IF(A785&gt;='材料与任务'!$E$13,'材料与任务'!$E$15,'材料与任务'!$E$9)))))*G785,0)</x:f>
        <x:v>3</x:v>
      </x:c>
      <x:c r="R785" s="110" t="n">
        <x:f>'装备掉落'!$B$38</x:f>
        <x:v>0.6872058758851213</x:v>
      </x:c>
      <x:c r="S785" s="119" t="n">
        <x:f>MAX(IF(VLOOKUP(A785,'装备掉落'!$A$29:$H$34,2,TRUE)&gt;0,1,0),IF(VLOOKUP(A785,'装备掉落'!$A$29:$H$34,3,TRUE)&gt;0,2,0),IF(VLOOKUP(A785,'装备掉落'!$A$29:$H$34,4,TRUE)&gt;0,3,0),IF(VLOOKUP(A785,'装备掉落'!$A$29:$H$34,5,TRUE)&gt;0,4,0),IF(VLOOKUP(A785,'装备掉落'!$A$29:$H$34,6,TRUE)&gt;0,5,0),IF(VLOOKUP(A785,'装备掉落'!$A$29:$H$34,7,TRUE)&gt;0,6,0),IF(VLOOKUP(A785,'装备掉落'!$A$29:$H$34,8,TRUE)&gt;0,7,0))</x:f>
        <x:v>7</x:v>
      </x:c>
      <x:c r="T785" s="119" t="n">
        <x:f>MIN(7,S785+'经济参数'!$E$70)</x:f>
        <x:v>7</x:v>
      </x:c>
      <x:c r="U785" s="119" t="n">
        <x:f>MIN(7,S785+'经济参数'!$E$71)</x:f>
        <x:v>7</x:v>
      </x:c>
      <x:c r="V785" s="119" t="n">
        <x:f>IF(H785&gt;=('难度参数'!$E$52),1,0)+IF(H785&gt;=('难度参数'!$E$52+'难度参数'!$E$53),1,0)+IF(H785&gt;=('难度参数'!$E$52+'难度参数'!$E$53+'难度参数'!$E$54),1,0)+IF(H785&gt;=('难度参数'!$E$52+'难度参数'!$E$53+'难度参数'!$E$54+'难度参数'!$E$55),1,0)+IF(H785&gt;=('难度参数'!$E$52+'难度参数'!$E$53+'难度参数'!$E$54+'难度参数'!$E$55+'难度参数'!$E$56),1,0)+IF(H785&gt;=('难度参数'!$E$52+'难度参数'!$E$53+'难度参数'!$E$54+'难度参数'!$E$55+'难度参数'!$E$56+'难度参数'!$E$57),1,0)</x:f>
        <x:v>6</x:v>
      </x:c>
      <x:c r="W785" s="62" t="str">
        <x:f>IF(L785&gt;'难度参数'!$E$51,"仅出怪已超目标","还需实测")</x:f>
        <x:v>仅出怪已超目标</x:v>
      </x:c>
      <x:c r="X785" s="119" t="n">
        <x:f>IF(1&gt;D785,0,MAX(2,MIN('难度参数'!$E$12,ROUND(('难度参数'!$E$18*POWER(A785,'难度参数'!$E$19)/D785*(0.85+0.3*(1-1)/MAX(1,D785-1))),0)+F785)))</x:f>
        <x:v>41</x:v>
      </x:c>
      <x:c r="Y785" s="119" t="n">
        <x:f>IF(1&gt;D785,0,ROUND(('难度参数'!$E$13*POWER(A785,'难度参数'!$E$20)*MIN('难度参数'!$E$23,1+MAX(0,A785-'难度参数'!$E$21)*'难度参数'!$E$22))*(36+1*7)/(36+7*(D785+1)/2)*E785,0))</x:f>
        <x:v>10953</x:v>
      </x:c>
      <x:c r="Z785" s="119" t="n">
        <x:f>IF(X785=0,0,(X785-IF(1=D785,1,0))*ROUND(Y785*VLOOKUP(INDEX('章节与怪物'!$E$31:$K$37,B785,1),'章节与怪物'!$A$41:$F$44,2,FALSE),0)+IF(1=D785,ROUND(Y785*'难度参数'!$E$28*'章节与怪物'!$E$17,0),0))</x:f>
        <x:v>323326</x:v>
      </x:c>
      <x:c r="AA785" s="119" t="n">
        <x:f>IF(X785=0,0,(X785-IF(1=D785,1,0))*VLOOKUP(INDEX('章节与怪物'!$E$31:$K$37,B785,1),'章节与怪物'!$A$41:$F$44,4,FALSE)+IF(1=D785,'难度参数'!$E$30,0))</x:f>
        <x:v>820</x:v>
      </x:c>
      <x:c r="AB785" s="119" t="n">
        <x:f>IF(2&gt;D785,0,MAX(2,MIN('难度参数'!$E$12,ROUND(('难度参数'!$E$18*POWER(A785,'难度参数'!$E$19)/D785*(0.85+0.3*(2-1)/MAX(1,D785-1))),0)+F785)))</x:f>
        <x:v>44</x:v>
      </x:c>
      <x:c r="AC785" s="119" t="n">
        <x:f>IF(2&gt;D785,0,ROUND(('难度参数'!$E$13*POWER(A785,'难度参数'!$E$20)*MIN('难度参数'!$E$23,1+MAX(0,A785-'难度参数'!$E$21)*'难度参数'!$E$22))*(36+2*7)/(36+7*(D785+1)/2)*E785,0))</x:f>
        <x:v>12736</x:v>
      </x:c>
      <x:c r="AD785" s="119" t="n">
        <x:f>IF(AB785=0,0,(AB785-IF(2=D785,1,0))*ROUND(AC785*VLOOKUP(INDEX('章节与怪物'!$E$31:$K$37,B785,2),'章节与怪物'!$A$41:$F$44,2,FALSE),0)+IF(2=D785,ROUND(AC785*'难度参数'!$E$28*'章节与怪物'!$E$17,0),0))</x:f>
        <x:v>560384</x:v>
      </x:c>
      <x:c r="AE785" s="119" t="n">
        <x:f>IF(AB785=0,0,(AB785-IF(2=D785,1,0))*VLOOKUP(INDEX('章节与怪物'!$E$31:$K$37,B785,2),'章节与怪物'!$A$41:$F$44,4,FALSE)+IF(2=D785,'难度参数'!$E$30,0))</x:f>
        <x:v>792</x:v>
      </x:c>
      <x:c r="AF785" s="119" t="n">
        <x:f>IF(3&gt;D785,0,MAX(2,MIN('难度参数'!$E$12,ROUND(('难度参数'!$E$18*POWER(A785,'难度参数'!$E$19)/D785*(0.85+0.3*(3-1)/MAX(1,D785-1))),0)+F785)))</x:f>
        <x:v>46</x:v>
      </x:c>
      <x:c r="AG785" s="119" t="n">
        <x:f>IF(3&gt;D785,0,ROUND(('难度参数'!$E$13*POWER(A785,'难度参数'!$E$20)*MIN('难度参数'!$E$23,1+MAX(0,A785-'难度参数'!$E$21)*'难度参数'!$E$22))*(36+3*7)/(36+7*(D785+1)/2)*E785,0))</x:f>
        <x:v>14519</x:v>
      </x:c>
      <x:c r="AH785" s="119" t="n">
        <x:f>IF(AF785=0,0,(AF785-IF(3=D785,1,0))*ROUND(AG785*VLOOKUP(INDEX('章节与怪物'!$E$31:$K$37,B785,3),'章节与怪物'!$A$41:$F$44,2,FALSE),0)+IF(3=D785,ROUND(AG785*'难度参数'!$E$28*'章节与怪物'!$E$17,0),0))</x:f>
        <x:v>1135372</x:v>
      </x:c>
      <x:c r="AI785" s="119" t="n">
        <x:f>IF(AF785=0,0,(AF785-IF(3=D785,1,0))*VLOOKUP(INDEX('章节与怪物'!$E$31:$K$37,B785,3),'章节与怪物'!$A$41:$F$44,4,FALSE)+IF(3=D785,'难度参数'!$E$30,0))</x:f>
        <x:v>1288</x:v>
      </x:c>
      <x:c r="AJ785" s="119" t="n">
        <x:f>IF(4&gt;D785,0,MAX(2,MIN('难度参数'!$E$12,ROUND(('难度参数'!$E$18*POWER(A785,'难度参数'!$E$19)/D785*(0.85+0.3*(4-1)/MAX(1,D785-1))),0)+F785)))</x:f>
        <x:v>48</x:v>
      </x:c>
      <x:c r="AK785" s="119" t="n">
        <x:f>IF(4&gt;D785,0,ROUND(('难度参数'!$E$13*POWER(A785,'难度参数'!$E$20)*MIN('难度参数'!$E$23,1+MAX(0,A785-'难度参数'!$E$21)*'难度参数'!$E$22))*(36+4*7)/(36+7*(D785+1)/2)*E785,0))</x:f>
        <x:v>16302</x:v>
      </x:c>
      <x:c r="AL785" s="119" t="n">
        <x:f>IF(AJ785=0,0,(AJ785-IF(4=D785,1,0))*ROUND(AK785*VLOOKUP(INDEX('章节与怪物'!$E$31:$K$37,B785,4),'章节与怪物'!$A$41:$F$44,2,FALSE),0)+IF(4=D785,ROUND(AK785*'难度参数'!$E$28*'章节与怪物'!$E$17,0),0))</x:f>
        <x:v>1056384</x:v>
      </x:c>
      <x:c r="AM785" s="119" t="n">
        <x:f>IF(AJ785=0,0,(AJ785-IF(4=D785,1,0))*VLOOKUP(INDEX('章节与怪物'!$E$31:$K$37,B785,4),'章节与怪物'!$A$41:$F$44,4,FALSE)+IF(4=D785,'难度参数'!$E$30,0))</x:f>
        <x:v>1632</x:v>
      </x:c>
      <x:c r="AN785" s="119" t="n">
        <x:f>IF(5&gt;D785,0,MAX(2,MIN('难度参数'!$E$12,ROUND(('难度参数'!$E$18*POWER(A785,'难度参数'!$E$19)/D785*(0.85+0.3*(5-1)/MAX(1,D785-1))),0)+F785)))</x:f>
        <x:v>51</x:v>
      </x:c>
      <x:c r="AO785" s="119" t="n">
        <x:f>IF(5&gt;D785,0,ROUND(('难度参数'!$E$13*POWER(A785,'难度参数'!$E$20)*MIN('难度参数'!$E$23,1+MAX(0,A785-'难度参数'!$E$21)*'难度参数'!$E$22))*(36+5*7)/(36+7*(D785+1)/2)*E785,0))</x:f>
        <x:v>18085</x:v>
      </x:c>
      <x:c r="AP785" s="119" t="n">
        <x:f>IF(AN785=0,0,(AN785-IF(5=D785,1,0))*ROUND(AO785*VLOOKUP(INDEX('章节与怪物'!$E$31:$K$37,B785,5),'章节与怪物'!$A$41:$F$44,2,FALSE),0)+IF(5=D785,ROUND(AO785*'难度参数'!$E$28*'章节与怪物'!$E$17,0),0))</x:f>
        <x:v>922335</x:v>
      </x:c>
      <x:c r="AQ785" s="119" t="n">
        <x:f>IF(AN785=0,0,(AN785-IF(5=D785,1,0))*VLOOKUP(INDEX('章节与怪物'!$E$31:$K$37,B785,5),'章节与怪物'!$A$41:$F$44,4,FALSE)+IF(5=D785,'难度参数'!$E$30,0))</x:f>
        <x:v>918</x:v>
      </x:c>
      <x:c r="AR785" s="119" t="n">
        <x:f>IF(6&gt;D785,0,MAX(2,MIN('难度参数'!$E$12,ROUND(('难度参数'!$E$18*POWER(A785,'难度参数'!$E$19)/D785*(0.85+0.3*(6-1)/MAX(1,D785-1))),0)+F785)))</x:f>
        <x:v>53</x:v>
      </x:c>
      <x:c r="AS785" s="119" t="n">
        <x:f>IF(6&gt;D785,0,ROUND(('难度参数'!$E$13*POWER(A785,'难度参数'!$E$20)*MIN('难度参数'!$E$23,1+MAX(0,A785-'难度参数'!$E$21)*'难度参数'!$E$22))*(36+6*7)/(36+7*(D785+1)/2)*E785,0))</x:f>
        <x:v>19868</x:v>
      </x:c>
      <x:c r="AT785" s="119" t="n">
        <x:f>IF(AR785=0,0,(AR785-IF(6=D785,1,0))*ROUND(AS785*VLOOKUP(INDEX('章节与怪物'!$E$31:$K$37,B785,6),'章节与怪物'!$A$41:$F$44,2,FALSE),0)+IF(6=D785,ROUND(AS785*'难度参数'!$E$28*'章节与怪物'!$E$17,0),0))</x:f>
        <x:v>1790128</x:v>
      </x:c>
      <x:c r="AU785" s="119" t="n">
        <x:f>IF(AR785=0,0,(AR785-IF(6=D785,1,0))*VLOOKUP(INDEX('章节与怪物'!$E$31:$K$37,B785,6),'章节与怪物'!$A$41:$F$44,4,FALSE)+IF(6=D785,'难度参数'!$E$30,0))</x:f>
        <x:v>1484</x:v>
      </x:c>
      <x:c r="AV785" s="119" t="n">
        <x:f>IF(7&gt;D785,0,MAX(2,MIN('难度参数'!$E$12,ROUND(('难度参数'!$E$18*POWER(A785,'难度参数'!$E$19)/D785*(0.85+0.3*(7-1)/MAX(1,D785-1))),0)+F785)))</x:f>
        <x:v>56</x:v>
      </x:c>
      <x:c r="AW785" s="119" t="n">
        <x:f>IF(7&gt;D785,0,ROUND(('难度参数'!$E$13*POWER(A785,'难度参数'!$E$20)*MIN('难度参数'!$E$23,1+MAX(0,A785-'难度参数'!$E$21)*'难度参数'!$E$22))*(36+7*7)/(36+7*(D785+1)/2)*E785,0))</x:f>
        <x:v>21651</x:v>
      </x:c>
      <x:c r="AX785" s="119" t="n">
        <x:f>IF(AV785=0,0,(AV785-IF(7=D785,1,0))*ROUND(AW785*VLOOKUP(INDEX('章节与怪物'!$E$31:$K$37,B785,7),'章节与怪物'!$A$41:$F$44,2,FALSE),0)+IF(7=D785,ROUND(AW785*'难度参数'!$E$28*'章节与怪物'!$E$17,0),0))</x:f>
        <x:v>1754822</x:v>
      </x:c>
      <x:c r="AY785" s="119" t="n">
        <x:f>IF(AV785=0,0,(AV785-IF(7=D785,1,0))*VLOOKUP(INDEX('章节与怪物'!$E$31:$K$37,B785,7),'章节与怪物'!$A$41:$F$44,4,FALSE)+IF(7=D785,'难度参数'!$E$30,0))</x:f>
        <x:v>2070</x:v>
      </x:c>
    </x:row>
    <x:row r="786" ht="23" customHeight="1">
      <x:c r="A786" s="119" t="n">
        <x:v>780</x:v>
      </x:c>
      <x:c r="B786" s="119" t="n">
        <x:f>MOD(INT((A786-1)/5),7)+1</x:f>
        <x:v>2</x:v>
      </x:c>
      <x:c r="C786" s="62" t="str">
        <x:f>INDEX('章节与怪物'!$B$31:$B$37,B786)</x:f>
        <x:v>黄沙要塞</x:v>
      </x:c>
      <x:c r="D786" s="119" t="n">
        <x:f>MIN('难度参数'!$E$8,MAX('难度参数'!$E$7,A786))</x:f>
        <x:v>7</x:v>
      </x:c>
      <x:c r="E786" s="106" t="n">
        <x:v>1</x:v>
      </x:c>
      <x:c r="F786" s="106" t="n">
        <x:v>0</x:v>
      </x:c>
      <x:c r="G786" s="106" t="n">
        <x:v>1</x:v>
      </x:c>
      <x:c r="H786" s="119" t="n">
        <x:f>SUM(X786,AB786,AF786,AJ786,AN786,AR786,AV786)</x:f>
        <x:v>339</x:v>
      </x:c>
      <x:c r="I786" s="119" t="n">
        <x:f>SUM(Z786,AD786,AH786,AL786,AP786,AT786,AX786)</x:f>
        <x:v>7549616</x:v>
      </x:c>
      <x:c r="J786" s="119" t="n">
        <x:f>ROUND(INDEX(X786:AY786,1,(D786-1)*4+2)*'难度参数'!$E$28*'章节与怪物'!$E$17,0)</x:f>
        <x:v>147363</x:v>
      </x:c>
      <x:c r="K786" s="119" t="n">
        <x:f>SUM(AA786,AE786,AI786,AM786,AQ786,AU786,AY786)</x:f>
        <x:v>9004</x:v>
      </x:c>
      <x:c r="L786" s="62" t="n">
        <x:f>H786*(ROUNDUP('难度参数'!$E$24/('难度参数'!$E$26*'难度参数'!$E$27),0)*'难度参数'!$E$26)/60</x:f>
        <x:v>4.52</x:v>
      </x:c>
      <x:c r="M786" s="62" t="n">
        <x:f>L786+D786*('难度参数'!$E$49+'难度参数'!$E$50)/60</x:f>
        <x:v>5.6866666666666665</x:v>
      </x:c>
      <x:c r="N786" s="119" t="n">
        <x:f>ROUNDDOWN(('经济参数'!$E$20+A786*'经济参数'!$E$21)*G786,0)</x:f>
        <x:v>15780</x:v>
      </x:c>
      <x:c r="O786" s="119" t="n">
        <x:f>ROUNDDOWN(MIN('经济参数'!$E$24,'经济参数'!$E$22+A786*'经济参数'!$E$23)*G786,0)</x:f>
        <x:v>0</x:v>
      </x:c>
      <x:c r="P786" s="119" t="n">
        <x:f>ROUNDDOWN((IF(A786&gt;='材料与任务'!$E$31,'材料与任务'!$E$32,IF(A786&gt;='材料与任务'!$E$25,'材料与任务'!$E$26,IF(A786&gt;='材料与任务'!$E$19,'材料与任务'!$E$20,IF(A786&gt;='材料与任务'!$E$13,'材料与任务'!$E$14,'材料与任务'!$E$8)))))*G786,0)</x:f>
        <x:v>6</x:v>
      </x:c>
      <x:c r="Q786" s="119" t="n">
        <x:f>ROUNDDOWN((IF(A786&gt;='材料与任务'!$E$31,'材料与任务'!$E$33,IF(A786&gt;='材料与任务'!$E$25,'材料与任务'!$E$27,IF(A786&gt;='材料与任务'!$E$19,'材料与任务'!$E$21,IF(A786&gt;='材料与任务'!$E$13,'材料与任务'!$E$15,'材料与任务'!$E$9)))))*G786,0)</x:f>
        <x:v>3</x:v>
      </x:c>
      <x:c r="R786" s="110" t="n">
        <x:f>'装备掉落'!$B$38</x:f>
        <x:v>0.6872058758851213</x:v>
      </x:c>
      <x:c r="S786" s="119" t="n">
        <x:f>MAX(IF(VLOOKUP(A786,'装备掉落'!$A$29:$H$34,2,TRUE)&gt;0,1,0),IF(VLOOKUP(A786,'装备掉落'!$A$29:$H$34,3,TRUE)&gt;0,2,0),IF(VLOOKUP(A786,'装备掉落'!$A$29:$H$34,4,TRUE)&gt;0,3,0),IF(VLOOKUP(A786,'装备掉落'!$A$29:$H$34,5,TRUE)&gt;0,4,0),IF(VLOOKUP(A786,'装备掉落'!$A$29:$H$34,6,TRUE)&gt;0,5,0),IF(VLOOKUP(A786,'装备掉落'!$A$29:$H$34,7,TRUE)&gt;0,6,0),IF(VLOOKUP(A786,'装备掉落'!$A$29:$H$34,8,TRUE)&gt;0,7,0))</x:f>
        <x:v>7</x:v>
      </x:c>
      <x:c r="T786" s="119" t="n">
        <x:f>MIN(7,S786+'经济参数'!$E$70)</x:f>
        <x:v>7</x:v>
      </x:c>
      <x:c r="U786" s="119" t="n">
        <x:f>MIN(7,S786+'经济参数'!$E$71)</x:f>
        <x:v>7</x:v>
      </x:c>
      <x:c r="V786" s="119" t="n">
        <x:f>IF(H786&gt;=('难度参数'!$E$52),1,0)+IF(H786&gt;=('难度参数'!$E$52+'难度参数'!$E$53),1,0)+IF(H786&gt;=('难度参数'!$E$52+'难度参数'!$E$53+'难度参数'!$E$54),1,0)+IF(H786&gt;=('难度参数'!$E$52+'难度参数'!$E$53+'难度参数'!$E$54+'难度参数'!$E$55),1,0)+IF(H786&gt;=('难度参数'!$E$52+'难度参数'!$E$53+'难度参数'!$E$54+'难度参数'!$E$55+'难度参数'!$E$56),1,0)+IF(H786&gt;=('难度参数'!$E$52+'难度参数'!$E$53+'难度参数'!$E$54+'难度参数'!$E$55+'难度参数'!$E$56+'难度参数'!$E$57),1,0)</x:f>
        <x:v>6</x:v>
      </x:c>
      <x:c r="W786" s="62" t="str">
        <x:f>IF(L786&gt;'难度参数'!$E$51,"仅出怪已超目标","还需实测")</x:f>
        <x:v>仅出怪已超目标</x:v>
      </x:c>
      <x:c r="X786" s="119" t="n">
        <x:f>IF(1&gt;D786,0,MAX(2,MIN('难度参数'!$E$12,ROUND(('难度参数'!$E$18*POWER(A786,'难度参数'!$E$19)/D786*(0.85+0.3*(1-1)/MAX(1,D786-1))),0)+F786)))</x:f>
        <x:v>41</x:v>
      </x:c>
      <x:c r="Y786" s="119" t="n">
        <x:f>IF(1&gt;D786,0,ROUND(('难度参数'!$E$13*POWER(A786,'难度参数'!$E$20)*MIN('难度参数'!$E$23,1+MAX(0,A786-'难度参数'!$E$21)*'难度参数'!$E$22))*(36+1*7)/(36+7*(D786+1)/2)*E786,0))</x:f>
        <x:v>10963</x:v>
      </x:c>
      <x:c r="Z786" s="119" t="n">
        <x:f>IF(X786=0,0,(X786-IF(1=D786,1,0))*ROUND(Y786*VLOOKUP(INDEX('章节与怪物'!$E$31:$K$37,B786,1),'章节与怪物'!$A$41:$F$44,2,FALSE),0)+IF(1=D786,ROUND(Y786*'难度参数'!$E$28*'章节与怪物'!$E$17,0),0))</x:f>
        <x:v>323613</x:v>
      </x:c>
      <x:c r="AA786" s="119" t="n">
        <x:f>IF(X786=0,0,(X786-IF(1=D786,1,0))*VLOOKUP(INDEX('章节与怪物'!$E$31:$K$37,B786,1),'章节与怪物'!$A$41:$F$44,4,FALSE)+IF(1=D786,'难度参数'!$E$30,0))</x:f>
        <x:v>820</x:v>
      </x:c>
      <x:c r="AB786" s="119" t="n">
        <x:f>IF(2&gt;D786,0,MAX(2,MIN('难度参数'!$E$12,ROUND(('难度参数'!$E$18*POWER(A786,'难度参数'!$E$19)/D786*(0.85+0.3*(2-1)/MAX(1,D786-1))),0)+F786)))</x:f>
        <x:v>44</x:v>
      </x:c>
      <x:c r="AC786" s="119" t="n">
        <x:f>IF(2&gt;D786,0,ROUND(('难度参数'!$E$13*POWER(A786,'难度参数'!$E$20)*MIN('难度参数'!$E$23,1+MAX(0,A786-'难度参数'!$E$21)*'难度参数'!$E$22))*(36+2*7)/(36+7*(D786+1)/2)*E786,0))</x:f>
        <x:v>12748</x:v>
      </x:c>
      <x:c r="AD786" s="119" t="n">
        <x:f>IF(AB786=0,0,(AB786-IF(2=D786,1,0))*ROUND(AC786*VLOOKUP(INDEX('章节与怪物'!$E$31:$K$37,B786,2),'章节与怪物'!$A$41:$F$44,2,FALSE),0)+IF(2=D786,ROUND(AC786*'难度参数'!$E$28*'章节与怪物'!$E$17,0),0))</x:f>
        <x:v>560912</x:v>
      </x:c>
      <x:c r="AE786" s="119" t="n">
        <x:f>IF(AB786=0,0,(AB786-IF(2=D786,1,0))*VLOOKUP(INDEX('章节与怪物'!$E$31:$K$37,B786,2),'章节与怪物'!$A$41:$F$44,4,FALSE)+IF(2=D786,'难度参数'!$E$30,0))</x:f>
        <x:v>792</x:v>
      </x:c>
      <x:c r="AF786" s="119" t="n">
        <x:f>IF(3&gt;D786,0,MAX(2,MIN('难度参数'!$E$12,ROUND(('难度参数'!$E$18*POWER(A786,'难度参数'!$E$19)/D786*(0.85+0.3*(3-1)/MAX(1,D786-1))),0)+F786)))</x:f>
        <x:v>46</x:v>
      </x:c>
      <x:c r="AG786" s="119" t="n">
        <x:f>IF(3&gt;D786,0,ROUND(('难度参数'!$E$13*POWER(A786,'难度参数'!$E$20)*MIN('难度参数'!$E$23,1+MAX(0,A786-'难度参数'!$E$21)*'难度参数'!$E$22))*(36+3*7)/(36+7*(D786+1)/2)*E786,0))</x:f>
        <x:v>14532</x:v>
      </x:c>
      <x:c r="AH786" s="119" t="n">
        <x:f>IF(AF786=0,0,(AF786-IF(3=D786,1,0))*ROUND(AG786*VLOOKUP(INDEX('章节与怪物'!$E$31:$K$37,B786,3),'章节与怪物'!$A$41:$F$44,2,FALSE),0)+IF(3=D786,ROUND(AG786*'难度参数'!$E$28*'章节与怪物'!$E$17,0),0))</x:f>
        <x:v>1136384</x:v>
      </x:c>
      <x:c r="AI786" s="119" t="n">
        <x:f>IF(AF786=0,0,(AF786-IF(3=D786,1,0))*VLOOKUP(INDEX('章节与怪物'!$E$31:$K$37,B786,3),'章节与怪物'!$A$41:$F$44,4,FALSE)+IF(3=D786,'难度参数'!$E$30,0))</x:f>
        <x:v>1288</x:v>
      </x:c>
      <x:c r="AJ786" s="119" t="n">
        <x:f>IF(4&gt;D786,0,MAX(2,MIN('难度参数'!$E$12,ROUND(('难度参数'!$E$18*POWER(A786,'难度参数'!$E$19)/D786*(0.85+0.3*(4-1)/MAX(1,D786-1))),0)+F786)))</x:f>
        <x:v>48</x:v>
      </x:c>
      <x:c r="AK786" s="119" t="n">
        <x:f>IF(4&gt;D786,0,ROUND(('难度参数'!$E$13*POWER(A786,'难度参数'!$E$20)*MIN('难度参数'!$E$23,1+MAX(0,A786-'难度参数'!$E$21)*'难度参数'!$E$22))*(36+4*7)/(36+7*(D786+1)/2)*E786,0))</x:f>
        <x:v>16317</x:v>
      </x:c>
      <x:c r="AL786" s="119" t="n">
        <x:f>IF(AJ786=0,0,(AJ786-IF(4=D786,1,0))*ROUND(AK786*VLOOKUP(INDEX('章节与怪物'!$E$31:$K$37,B786,4),'章节与怪物'!$A$41:$F$44,2,FALSE),0)+IF(4=D786,ROUND(AK786*'难度参数'!$E$28*'章节与怪物'!$E$17,0),0))</x:f>
        <x:v>1057344</x:v>
      </x:c>
      <x:c r="AM786" s="119" t="n">
        <x:f>IF(AJ786=0,0,(AJ786-IF(4=D786,1,0))*VLOOKUP(INDEX('章节与怪物'!$E$31:$K$37,B786,4),'章节与怪物'!$A$41:$F$44,4,FALSE)+IF(4=D786,'难度参数'!$E$30,0))</x:f>
        <x:v>1632</x:v>
      </x:c>
      <x:c r="AN786" s="119" t="n">
        <x:f>IF(5&gt;D786,0,MAX(2,MIN('难度参数'!$E$12,ROUND(('难度参数'!$E$18*POWER(A786,'难度参数'!$E$19)/D786*(0.85+0.3*(5-1)/MAX(1,D786-1))),0)+F786)))</x:f>
        <x:v>51</x:v>
      </x:c>
      <x:c r="AO786" s="119" t="n">
        <x:f>IF(5&gt;D786,0,ROUND(('难度参数'!$E$13*POWER(A786,'难度参数'!$E$20)*MIN('难度参数'!$E$23,1+MAX(0,A786-'难度参数'!$E$21)*'难度参数'!$E$22))*(36+5*7)/(36+7*(D786+1)/2)*E786,0))</x:f>
        <x:v>18102</x:v>
      </x:c>
      <x:c r="AP786" s="119" t="n">
        <x:f>IF(AN786=0,0,(AN786-IF(5=D786,1,0))*ROUND(AO786*VLOOKUP(INDEX('章节与怪物'!$E$31:$K$37,B786,5),'章节与怪物'!$A$41:$F$44,2,FALSE),0)+IF(5=D786,ROUND(AO786*'难度参数'!$E$28*'章节与怪物'!$E$17,0),0))</x:f>
        <x:v>923202</x:v>
      </x:c>
      <x:c r="AQ786" s="119" t="n">
        <x:f>IF(AN786=0,0,(AN786-IF(5=D786,1,0))*VLOOKUP(INDEX('章节与怪物'!$E$31:$K$37,B786,5),'章节与怪物'!$A$41:$F$44,4,FALSE)+IF(5=D786,'难度参数'!$E$30,0))</x:f>
        <x:v>918</x:v>
      </x:c>
      <x:c r="AR786" s="119" t="n">
        <x:f>IF(6&gt;D786,0,MAX(2,MIN('难度参数'!$E$12,ROUND(('难度参数'!$E$18*POWER(A786,'难度参数'!$E$19)/D786*(0.85+0.3*(6-1)/MAX(1,D786-1))),0)+F786)))</x:f>
        <x:v>53</x:v>
      </x:c>
      <x:c r="AS786" s="119" t="n">
        <x:f>IF(6&gt;D786,0,ROUND(('难度参数'!$E$13*POWER(A786,'难度参数'!$E$20)*MIN('难度参数'!$E$23,1+MAX(0,A786-'难度参数'!$E$21)*'难度参数'!$E$22))*(36+6*7)/(36+7*(D786+1)/2)*E786,0))</x:f>
        <x:v>19886</x:v>
      </x:c>
      <x:c r="AT786" s="119" t="n">
        <x:f>IF(AR786=0,0,(AR786-IF(6=D786,1,0))*ROUND(AS786*VLOOKUP(INDEX('章节与怪物'!$E$31:$K$37,B786,6),'章节与怪物'!$A$41:$F$44,2,FALSE),0)+IF(6=D786,ROUND(AS786*'难度参数'!$E$28*'章节与怪物'!$E$17,0),0))</x:f>
        <x:v>1791718</x:v>
      </x:c>
      <x:c r="AU786" s="119" t="n">
        <x:f>IF(AR786=0,0,(AR786-IF(6=D786,1,0))*VLOOKUP(INDEX('章节与怪物'!$E$31:$K$37,B786,6),'章节与怪物'!$A$41:$F$44,4,FALSE)+IF(6=D786,'难度参数'!$E$30,0))</x:f>
        <x:v>1484</x:v>
      </x:c>
      <x:c r="AV786" s="119" t="n">
        <x:f>IF(7&gt;D786,0,MAX(2,MIN('难度参数'!$E$12,ROUND(('难度参数'!$E$18*POWER(A786,'难度参数'!$E$19)/D786*(0.85+0.3*(7-1)/MAX(1,D786-1))),0)+F786)))</x:f>
        <x:v>56</x:v>
      </x:c>
      <x:c r="AW786" s="119" t="n">
        <x:f>IF(7&gt;D786,0,ROUND(('难度参数'!$E$13*POWER(A786,'难度参数'!$E$20)*MIN('难度参数'!$E$23,1+MAX(0,A786-'难度参数'!$E$21)*'难度参数'!$E$22))*(36+7*7)/(36+7*(D786+1)/2)*E786,0))</x:f>
        <x:v>21671</x:v>
      </x:c>
      <x:c r="AX786" s="119" t="n">
        <x:f>IF(AV786=0,0,(AV786-IF(7=D786,1,0))*ROUND(AW786*VLOOKUP(INDEX('章节与怪物'!$E$31:$K$37,B786,7),'章节与怪物'!$A$41:$F$44,2,FALSE),0)+IF(7=D786,ROUND(AW786*'难度参数'!$E$28*'章节与怪物'!$E$17,0),0))</x:f>
        <x:v>1756443</x:v>
      </x:c>
      <x:c r="AY786" s="119" t="n">
        <x:f>IF(AV786=0,0,(AV786-IF(7=D786,1,0))*VLOOKUP(INDEX('章节与怪物'!$E$31:$K$37,B786,7),'章节与怪物'!$A$41:$F$44,4,FALSE)+IF(7=D786,'难度参数'!$E$30,0))</x:f>
        <x:v>2070</x:v>
      </x:c>
    </x:row>
    <x:row r="787" ht="23" customHeight="1">
      <x:c r="A787" s="119" t="n">
        <x:v>781</x:v>
      </x:c>
      <x:c r="B787" s="119" t="n">
        <x:f>MOD(INT((A787-1)/5),7)+1</x:f>
        <x:v>3</x:v>
      </x:c>
      <x:c r="C787" s="62" t="str">
        <x:f>INDEX('章节与怪物'!$B$31:$B$37,B787)</x:f>
        <x:v>腐沼秘林</x:v>
      </x:c>
      <x:c r="D787" s="119" t="n">
        <x:f>MIN('难度参数'!$E$8,MAX('难度参数'!$E$7,A787))</x:f>
        <x:v>7</x:v>
      </x:c>
      <x:c r="E787" s="106" t="n">
        <x:v>1</x:v>
      </x:c>
      <x:c r="F787" s="106" t="n">
        <x:v>0</x:v>
      </x:c>
      <x:c r="G787" s="106" t="n">
        <x:v>1</x:v>
      </x:c>
      <x:c r="H787" s="119" t="n">
        <x:f>SUM(X787,AB787,AF787,AJ787,AN787,AR787,AV787)</x:f>
        <x:v>340</x:v>
      </x:c>
      <x:c r="I787" s="119" t="n">
        <x:f>SUM(Z787,AD787,AH787,AL787,AP787,AT787,AX787)</x:f>
        <x:v>7288743</x:v>
      </x:c>
      <x:c r="J787" s="119" t="n">
        <x:f>ROUND(INDEX(X787:AY787,1,(D787-1)*4+2)*'难度参数'!$E$28*'章节与怪物'!$E$17,0)</x:f>
        <x:v>147499</x:v>
      </x:c>
      <x:c r="K787" s="119" t="n">
        <x:f>SUM(AA787,AE787,AI787,AM787,AQ787,AU787,AY787)</x:f>
        <x:v>9146</x:v>
      </x:c>
      <x:c r="L787" s="62" t="n">
        <x:f>H787*(ROUNDUP('难度参数'!$E$24/('难度参数'!$E$26*'难度参数'!$E$27),0)*'难度参数'!$E$26)/60</x:f>
        <x:v>4.533333333333333</x:v>
      </x:c>
      <x:c r="M787" s="62" t="n">
        <x:f>L787+D787*('难度参数'!$E$49+'难度参数'!$E$50)/60</x:f>
        <x:v>5.7</x:v>
      </x:c>
      <x:c r="N787" s="119" t="n">
        <x:f>ROUNDDOWN(('经济参数'!$E$20+A787*'经济参数'!$E$21)*G787,0)</x:f>
        <x:v>15800</x:v>
      </x:c>
      <x:c r="O787" s="119" t="n">
        <x:f>ROUNDDOWN(MIN('经济参数'!$E$24,'经济参数'!$E$22+A787*'经济参数'!$E$23)*G787,0)</x:f>
        <x:v>0</x:v>
      </x:c>
      <x:c r="P787" s="119" t="n">
        <x:f>ROUNDDOWN((IF(A787&gt;='材料与任务'!$E$31,'材料与任务'!$E$32,IF(A787&gt;='材料与任务'!$E$25,'材料与任务'!$E$26,IF(A787&gt;='材料与任务'!$E$19,'材料与任务'!$E$20,IF(A787&gt;='材料与任务'!$E$13,'材料与任务'!$E$14,'材料与任务'!$E$8)))))*G787,0)</x:f>
        <x:v>6</x:v>
      </x:c>
      <x:c r="Q787" s="119" t="n">
        <x:f>ROUNDDOWN((IF(A787&gt;='材料与任务'!$E$31,'材料与任务'!$E$33,IF(A787&gt;='材料与任务'!$E$25,'材料与任务'!$E$27,IF(A787&gt;='材料与任务'!$E$19,'材料与任务'!$E$21,IF(A787&gt;='材料与任务'!$E$13,'材料与任务'!$E$15,'材料与任务'!$E$9)))))*G787,0)</x:f>
        <x:v>3</x:v>
      </x:c>
      <x:c r="R787" s="110" t="n">
        <x:f>'装备掉落'!$B$38</x:f>
        <x:v>0.6872058758851213</x:v>
      </x:c>
      <x:c r="S787" s="119" t="n">
        <x:f>MAX(IF(VLOOKUP(A787,'装备掉落'!$A$29:$H$34,2,TRUE)&gt;0,1,0),IF(VLOOKUP(A787,'装备掉落'!$A$29:$H$34,3,TRUE)&gt;0,2,0),IF(VLOOKUP(A787,'装备掉落'!$A$29:$H$34,4,TRUE)&gt;0,3,0),IF(VLOOKUP(A787,'装备掉落'!$A$29:$H$34,5,TRUE)&gt;0,4,0),IF(VLOOKUP(A787,'装备掉落'!$A$29:$H$34,6,TRUE)&gt;0,5,0),IF(VLOOKUP(A787,'装备掉落'!$A$29:$H$34,7,TRUE)&gt;0,6,0),IF(VLOOKUP(A787,'装备掉落'!$A$29:$H$34,8,TRUE)&gt;0,7,0))</x:f>
        <x:v>7</x:v>
      </x:c>
      <x:c r="T787" s="119" t="n">
        <x:f>MIN(7,S787+'经济参数'!$E$70)</x:f>
        <x:v>7</x:v>
      </x:c>
      <x:c r="U787" s="119" t="n">
        <x:f>MIN(7,S787+'经济参数'!$E$71)</x:f>
        <x:v>7</x:v>
      </x:c>
      <x:c r="V787" s="119" t="n">
        <x:f>IF(H787&gt;=('难度参数'!$E$52),1,0)+IF(H787&gt;=('难度参数'!$E$52+'难度参数'!$E$53),1,0)+IF(H787&gt;=('难度参数'!$E$52+'难度参数'!$E$53+'难度参数'!$E$54),1,0)+IF(H787&gt;=('难度参数'!$E$52+'难度参数'!$E$53+'难度参数'!$E$54+'难度参数'!$E$55),1,0)+IF(H787&gt;=('难度参数'!$E$52+'难度参数'!$E$53+'难度参数'!$E$54+'难度参数'!$E$55+'难度参数'!$E$56),1,0)+IF(H787&gt;=('难度参数'!$E$52+'难度参数'!$E$53+'难度参数'!$E$54+'难度参数'!$E$55+'难度参数'!$E$56+'难度参数'!$E$57),1,0)</x:f>
        <x:v>6</x:v>
      </x:c>
      <x:c r="W787" s="62" t="str">
        <x:f>IF(L787&gt;'难度参数'!$E$51,"仅出怪已超目标","还需实测")</x:f>
        <x:v>仅出怪已超目标</x:v>
      </x:c>
      <x:c r="X787" s="119" t="n">
        <x:f>IF(1&gt;D787,0,MAX(2,MIN('难度参数'!$E$12,ROUND(('难度参数'!$E$18*POWER(A787,'难度参数'!$E$19)/D787*(0.85+0.3*(1-1)/MAX(1,D787-1))),0)+F787)))</x:f>
        <x:v>41</x:v>
      </x:c>
      <x:c r="Y787" s="119" t="n">
        <x:f>IF(1&gt;D787,0,ROUND(('难度参数'!$E$13*POWER(A787,'难度参数'!$E$20)*MIN('难度参数'!$E$23,1+MAX(0,A787-'难度参数'!$E$21)*'难度参数'!$E$22))*(36+1*7)/(36+7*(D787+1)/2)*E787,0))</x:f>
        <x:v>10973</x:v>
      </x:c>
      <x:c r="Z787" s="119" t="n">
        <x:f>IF(X787=0,0,(X787-IF(1=D787,1,0))*ROUND(Y787*VLOOKUP(INDEX('章节与怪物'!$E$31:$K$37,B787,1),'章节与怪物'!$A$41:$F$44,2,FALSE),0)+IF(1=D787,ROUND(Y787*'难度参数'!$E$28*'章节与怪物'!$E$17,0),0))</x:f>
        <x:v>449893</x:v>
      </x:c>
      <x:c r="AA787" s="119" t="n">
        <x:f>IF(X787=0,0,(X787-IF(1=D787,1,0))*VLOOKUP(INDEX('章节与怪物'!$E$31:$K$37,B787,1),'章节与怪物'!$A$41:$F$44,4,FALSE)+IF(1=D787,'难度参数'!$E$30,0))</x:f>
        <x:v>738</x:v>
      </x:c>
      <x:c r="AB787" s="119" t="n">
        <x:f>IF(2&gt;D787,0,MAX(2,MIN('难度参数'!$E$12,ROUND(('难度参数'!$E$18*POWER(A787,'难度参数'!$E$19)/D787*(0.85+0.3*(2-1)/MAX(1,D787-1))),0)+F787)))</x:f>
        <x:v>44</x:v>
      </x:c>
      <x:c r="AC787" s="119" t="n">
        <x:f>IF(2&gt;D787,0,ROUND(('难度参数'!$E$13*POWER(A787,'难度参数'!$E$20)*MIN('难度参数'!$E$23,1+MAX(0,A787-'难度参数'!$E$21)*'难度参数'!$E$22))*(36+2*7)/(36+7*(D787+1)/2)*E787,0))</x:f>
        <x:v>12759</x:v>
      </x:c>
      <x:c r="AD787" s="119" t="n">
        <x:f>IF(AB787=0,0,(AB787-IF(2=D787,1,0))*ROUND(AC787*VLOOKUP(INDEX('章节与怪物'!$E$31:$K$37,B787,2),'章节与怪物'!$A$41:$F$44,2,FALSE),0)+IF(2=D787,ROUND(AC787*'难度参数'!$E$28*'章节与怪物'!$E$17,0),0))</x:f>
        <x:v>404184</x:v>
      </x:c>
      <x:c r="AE787" s="119" t="n">
        <x:f>IF(AB787=0,0,(AB787-IF(2=D787,1,0))*VLOOKUP(INDEX('章节与怪物'!$E$31:$K$37,B787,2),'章节与怪物'!$A$41:$F$44,4,FALSE)+IF(2=D787,'难度参数'!$E$30,0))</x:f>
        <x:v>880</x:v>
      </x:c>
      <x:c r="AF787" s="119" t="n">
        <x:f>IF(3&gt;D787,0,MAX(2,MIN('难度参数'!$E$12,ROUND(('难度参数'!$E$18*POWER(A787,'难度参数'!$E$19)/D787*(0.85+0.3*(3-1)/MAX(1,D787-1))),0)+F787)))</x:f>
        <x:v>46</x:v>
      </x:c>
      <x:c r="AG787" s="119" t="n">
        <x:f>IF(3&gt;D787,0,ROUND(('难度参数'!$E$13*POWER(A787,'难度参数'!$E$20)*MIN('难度参数'!$E$23,1+MAX(0,A787-'难度参数'!$E$21)*'难度参数'!$E$22))*(36+3*7)/(36+7*(D787+1)/2)*E787,0))</x:f>
        <x:v>14546</x:v>
      </x:c>
      <x:c r="AH787" s="119" t="n">
        <x:f>IF(AF787=0,0,(AF787-IF(3=D787,1,0))*ROUND(AG787*VLOOKUP(INDEX('章节与怪物'!$E$31:$K$37,B787,3),'章节与怪物'!$A$41:$F$44,2,FALSE),0)+IF(3=D787,ROUND(AG787*'难度参数'!$E$28*'章节与怪物'!$E$17,0),0))</x:f>
        <x:v>1137488</x:v>
      </x:c>
      <x:c r="AI787" s="119" t="n">
        <x:f>IF(AF787=0,0,(AF787-IF(3=D787,1,0))*VLOOKUP(INDEX('章节与怪物'!$E$31:$K$37,B787,3),'章节与怪物'!$A$41:$F$44,4,FALSE)+IF(3=D787,'难度参数'!$E$30,0))</x:f>
        <x:v>1288</x:v>
      </x:c>
      <x:c r="AJ787" s="119" t="n">
        <x:f>IF(4&gt;D787,0,MAX(2,MIN('难度参数'!$E$12,ROUND(('难度参数'!$E$18*POWER(A787,'难度参数'!$E$19)/D787*(0.85+0.3*(4-1)/MAX(1,D787-1))),0)+F787)))</x:f>
        <x:v>49</x:v>
      </x:c>
      <x:c r="AK787" s="119" t="n">
        <x:f>IF(4&gt;D787,0,ROUND(('难度参数'!$E$13*POWER(A787,'难度参数'!$E$20)*MIN('难度参数'!$E$23,1+MAX(0,A787-'难度参数'!$E$21)*'难度参数'!$E$22))*(36+4*7)/(36+7*(D787+1)/2)*E787,0))</x:f>
        <x:v>16332</x:v>
      </x:c>
      <x:c r="AL787" s="119" t="n">
        <x:f>IF(AJ787=0,0,(AJ787-IF(4=D787,1,0))*ROUND(AK787*VLOOKUP(INDEX('章节与怪物'!$E$31:$K$37,B787,4),'章节与怪物'!$A$41:$F$44,2,FALSE),0)+IF(4=D787,ROUND(AK787*'难度参数'!$E$28*'章节与怪物'!$E$17,0),0))</x:f>
        <x:v>1080352</x:v>
      </x:c>
      <x:c r="AM787" s="119" t="n">
        <x:f>IF(AJ787=0,0,(AJ787-IF(4=D787,1,0))*VLOOKUP(INDEX('章节与怪物'!$E$31:$K$37,B787,4),'章节与怪物'!$A$41:$F$44,4,FALSE)+IF(4=D787,'难度参数'!$E$30,0))</x:f>
        <x:v>1666</x:v>
      </x:c>
      <x:c r="AN787" s="119" t="n">
        <x:f>IF(5&gt;D787,0,MAX(2,MIN('难度参数'!$E$12,ROUND(('难度参数'!$E$18*POWER(A787,'难度参数'!$E$19)/D787*(0.85+0.3*(5-1)/MAX(1,D787-1))),0)+F787)))</x:f>
        <x:v>51</x:v>
      </x:c>
      <x:c r="AO787" s="119" t="n">
        <x:f>IF(5&gt;D787,0,ROUND(('难度参数'!$E$13*POWER(A787,'难度参数'!$E$20)*MIN('难度参数'!$E$23,1+MAX(0,A787-'难度参数'!$E$21)*'难度参数'!$E$22))*(36+5*7)/(36+7*(D787+1)/2)*E787,0))</x:f>
        <x:v>18118</x:v>
      </x:c>
      <x:c r="AP787" s="119" t="n">
        <x:f>IF(AN787=0,0,(AN787-IF(5=D787,1,0))*ROUND(AO787*VLOOKUP(INDEX('章节与怪物'!$E$31:$K$37,B787,5),'章节与怪物'!$A$41:$F$44,2,FALSE),0)+IF(5=D787,ROUND(AO787*'难度参数'!$E$28*'章节与怪物'!$E$17,0),0))</x:f>
        <x:v>665295</x:v>
      </x:c>
      <x:c r="AQ787" s="119" t="n">
        <x:f>IF(AN787=0,0,(AN787-IF(5=D787,1,0))*VLOOKUP(INDEX('章节与怪物'!$E$31:$K$37,B787,5),'章节与怪物'!$A$41:$F$44,4,FALSE)+IF(5=D787,'难度参数'!$E$30,0))</x:f>
        <x:v>1020</x:v>
      </x:c>
      <x:c r="AR787" s="119" t="n">
        <x:f>IF(6&gt;D787,0,MAX(2,MIN('难度参数'!$E$12,ROUND(('难度参数'!$E$18*POWER(A787,'难度参数'!$E$19)/D787*(0.85+0.3*(6-1)/MAX(1,D787-1))),0)+F787)))</x:f>
        <x:v>53</x:v>
      </x:c>
      <x:c r="AS787" s="119" t="n">
        <x:f>IF(6&gt;D787,0,ROUND(('难度参数'!$E$13*POWER(A787,'难度参数'!$E$20)*MIN('难度参数'!$E$23,1+MAX(0,A787-'难度参数'!$E$21)*'难度参数'!$E$22))*(36+6*7)/(36+7*(D787+1)/2)*E787,0))</x:f>
        <x:v>19905</x:v>
      </x:c>
      <x:c r="AT787" s="119" t="n">
        <x:f>IF(AR787=0,0,(AR787-IF(6=D787,1,0))*ROUND(AS787*VLOOKUP(INDEX('章节与怪物'!$E$31:$K$37,B787,6),'章节与怪物'!$A$41:$F$44,2,FALSE),0)+IF(6=D787,ROUND(AS787*'难度参数'!$E$28*'章节与怪物'!$E$17,0),0))</x:f>
        <x:v>1793467</x:v>
      </x:c>
      <x:c r="AU787" s="119" t="n">
        <x:f>IF(AR787=0,0,(AR787-IF(6=D787,1,0))*VLOOKUP(INDEX('章节与怪物'!$E$31:$K$37,B787,6),'章节与怪物'!$A$41:$F$44,4,FALSE)+IF(6=D787,'难度参数'!$E$30,0))</x:f>
        <x:v>1484</x:v>
      </x:c>
      <x:c r="AV787" s="119" t="n">
        <x:f>IF(7&gt;D787,0,MAX(2,MIN('难度参数'!$E$12,ROUND(('难度参数'!$E$18*POWER(A787,'难度参数'!$E$19)/D787*(0.85+0.3*(7-1)/MAX(1,D787-1))),0)+F787)))</x:f>
        <x:v>56</x:v>
      </x:c>
      <x:c r="AW787" s="119" t="n">
        <x:f>IF(7&gt;D787,0,ROUND(('难度参数'!$E$13*POWER(A787,'难度参数'!$E$20)*MIN('难度参数'!$E$23,1+MAX(0,A787-'难度参数'!$E$21)*'难度参数'!$E$22))*(36+7*7)/(36+7*(D787+1)/2)*E787,0))</x:f>
        <x:v>21691</x:v>
      </x:c>
      <x:c r="AX787" s="119" t="n">
        <x:f>IF(AV787=0,0,(AV787-IF(7=D787,1,0))*ROUND(AW787*VLOOKUP(INDEX('章节与怪物'!$E$31:$K$37,B787,7),'章节与怪物'!$A$41:$F$44,2,FALSE),0)+IF(7=D787,ROUND(AW787*'难度参数'!$E$28*'章节与怪物'!$E$17,0),0))</x:f>
        <x:v>1758064</x:v>
      </x:c>
      <x:c r="AY787" s="119" t="n">
        <x:f>IF(AV787=0,0,(AV787-IF(7=D787,1,0))*VLOOKUP(INDEX('章节与怪物'!$E$31:$K$37,B787,7),'章节与怪物'!$A$41:$F$44,4,FALSE)+IF(7=D787,'难度参数'!$E$30,0))</x:f>
        <x:v>2070</x:v>
      </x:c>
    </x:row>
    <x:row r="788" ht="23" customHeight="1">
      <x:c r="A788" s="119" t="n">
        <x:v>782</x:v>
      </x:c>
      <x:c r="B788" s="119" t="n">
        <x:f>MOD(INT((A788-1)/5),7)+1</x:f>
        <x:v>3</x:v>
      </x:c>
      <x:c r="C788" s="62" t="str">
        <x:f>INDEX('章节与怪物'!$B$31:$B$37,B788)</x:f>
        <x:v>腐沼秘林</x:v>
      </x:c>
      <x:c r="D788" s="119" t="n">
        <x:f>MIN('难度参数'!$E$8,MAX('难度参数'!$E$7,A788))</x:f>
        <x:v>7</x:v>
      </x:c>
      <x:c r="E788" s="106" t="n">
        <x:v>1</x:v>
      </x:c>
      <x:c r="F788" s="106" t="n">
        <x:v>0</x:v>
      </x:c>
      <x:c r="G788" s="106" t="n">
        <x:v>1</x:v>
      </x:c>
      <x:c r="H788" s="119" t="n">
        <x:f>SUM(X788,AB788,AF788,AJ788,AN788,AR788,AV788)</x:f>
        <x:v>340</x:v>
      </x:c>
      <x:c r="I788" s="119" t="n">
        <x:f>SUM(Z788,AD788,AH788,AL788,AP788,AT788,AX788)</x:f>
        <x:v>7295364</x:v>
      </x:c>
      <x:c r="J788" s="119" t="n">
        <x:f>ROUND(INDEX(X788:AY788,1,(D788-1)*4+2)*'难度参数'!$E$28*'章节与怪物'!$E$17,0)</x:f>
        <x:v>147635</x:v>
      </x:c>
      <x:c r="K788" s="119" t="n">
        <x:f>SUM(AA788,AE788,AI788,AM788,AQ788,AU788,AY788)</x:f>
        <x:v>9146</x:v>
      </x:c>
      <x:c r="L788" s="62" t="n">
        <x:f>H788*(ROUNDUP('难度参数'!$E$24/('难度参数'!$E$26*'难度参数'!$E$27),0)*'难度参数'!$E$26)/60</x:f>
        <x:v>4.533333333333333</x:v>
      </x:c>
      <x:c r="M788" s="62" t="n">
        <x:f>L788+D788*('难度参数'!$E$49+'难度参数'!$E$50)/60</x:f>
        <x:v>5.7</x:v>
      </x:c>
      <x:c r="N788" s="119" t="n">
        <x:f>ROUNDDOWN(('经济参数'!$E$20+A788*'经济参数'!$E$21)*G788,0)</x:f>
        <x:v>15820</x:v>
      </x:c>
      <x:c r="O788" s="119" t="n">
        <x:f>ROUNDDOWN(MIN('经济参数'!$E$24,'经济参数'!$E$22+A788*'经济参数'!$E$23)*G788,0)</x:f>
        <x:v>0</x:v>
      </x:c>
      <x:c r="P788" s="119" t="n">
        <x:f>ROUNDDOWN((IF(A788&gt;='材料与任务'!$E$31,'材料与任务'!$E$32,IF(A788&gt;='材料与任务'!$E$25,'材料与任务'!$E$26,IF(A788&gt;='材料与任务'!$E$19,'材料与任务'!$E$20,IF(A788&gt;='材料与任务'!$E$13,'材料与任务'!$E$14,'材料与任务'!$E$8)))))*G788,0)</x:f>
        <x:v>6</x:v>
      </x:c>
      <x:c r="Q788" s="119" t="n">
        <x:f>ROUNDDOWN((IF(A788&gt;='材料与任务'!$E$31,'材料与任务'!$E$33,IF(A788&gt;='材料与任务'!$E$25,'材料与任务'!$E$27,IF(A788&gt;='材料与任务'!$E$19,'材料与任务'!$E$21,IF(A788&gt;='材料与任务'!$E$13,'材料与任务'!$E$15,'材料与任务'!$E$9)))))*G788,0)</x:f>
        <x:v>3</x:v>
      </x:c>
      <x:c r="R788" s="110" t="n">
        <x:f>'装备掉落'!$B$38</x:f>
        <x:v>0.6872058758851213</x:v>
      </x:c>
      <x:c r="S788" s="119" t="n">
        <x:f>MAX(IF(VLOOKUP(A788,'装备掉落'!$A$29:$H$34,2,TRUE)&gt;0,1,0),IF(VLOOKUP(A788,'装备掉落'!$A$29:$H$34,3,TRUE)&gt;0,2,0),IF(VLOOKUP(A788,'装备掉落'!$A$29:$H$34,4,TRUE)&gt;0,3,0),IF(VLOOKUP(A788,'装备掉落'!$A$29:$H$34,5,TRUE)&gt;0,4,0),IF(VLOOKUP(A788,'装备掉落'!$A$29:$H$34,6,TRUE)&gt;0,5,0),IF(VLOOKUP(A788,'装备掉落'!$A$29:$H$34,7,TRUE)&gt;0,6,0),IF(VLOOKUP(A788,'装备掉落'!$A$29:$H$34,8,TRUE)&gt;0,7,0))</x:f>
        <x:v>7</x:v>
      </x:c>
      <x:c r="T788" s="119" t="n">
        <x:f>MIN(7,S788+'经济参数'!$E$70)</x:f>
        <x:v>7</x:v>
      </x:c>
      <x:c r="U788" s="119" t="n">
        <x:f>MIN(7,S788+'经济参数'!$E$71)</x:f>
        <x:v>7</x:v>
      </x:c>
      <x:c r="V788" s="119" t="n">
        <x:f>IF(H788&gt;=('难度参数'!$E$52),1,0)+IF(H788&gt;=('难度参数'!$E$52+'难度参数'!$E$53),1,0)+IF(H788&gt;=('难度参数'!$E$52+'难度参数'!$E$53+'难度参数'!$E$54),1,0)+IF(H788&gt;=('难度参数'!$E$52+'难度参数'!$E$53+'难度参数'!$E$54+'难度参数'!$E$55),1,0)+IF(H788&gt;=('难度参数'!$E$52+'难度参数'!$E$53+'难度参数'!$E$54+'难度参数'!$E$55+'难度参数'!$E$56),1,0)+IF(H788&gt;=('难度参数'!$E$52+'难度参数'!$E$53+'难度参数'!$E$54+'难度参数'!$E$55+'难度参数'!$E$56+'难度参数'!$E$57),1,0)</x:f>
        <x:v>6</x:v>
      </x:c>
      <x:c r="W788" s="62" t="str">
        <x:f>IF(L788&gt;'难度参数'!$E$51,"仅出怪已超目标","还需实测")</x:f>
        <x:v>仅出怪已超目标</x:v>
      </x:c>
      <x:c r="X788" s="119" t="n">
        <x:f>IF(1&gt;D788,0,MAX(2,MIN('难度参数'!$E$12,ROUND(('难度参数'!$E$18*POWER(A788,'难度参数'!$E$19)/D788*(0.85+0.3*(1-1)/MAX(1,D788-1))),0)+F788)))</x:f>
        <x:v>41</x:v>
      </x:c>
      <x:c r="Y788" s="119" t="n">
        <x:f>IF(1&gt;D788,0,ROUND(('难度参数'!$E$13*POWER(A788,'难度参数'!$E$20)*MIN('难度参数'!$E$23,1+MAX(0,A788-'难度参数'!$E$21)*'难度参数'!$E$22))*(36+1*7)/(36+7*(D788+1)/2)*E788,0))</x:f>
        <x:v>10983</x:v>
      </x:c>
      <x:c r="Z788" s="119" t="n">
        <x:f>IF(X788=0,0,(X788-IF(1=D788,1,0))*ROUND(Y788*VLOOKUP(INDEX('章节与怪物'!$E$31:$K$37,B788,1),'章节与怪物'!$A$41:$F$44,2,FALSE),0)+IF(1=D788,ROUND(Y788*'难度参数'!$E$28*'章节与怪物'!$E$17,0),0))</x:f>
        <x:v>450303</x:v>
      </x:c>
      <x:c r="AA788" s="119" t="n">
        <x:f>IF(X788=0,0,(X788-IF(1=D788,1,0))*VLOOKUP(INDEX('章节与怪物'!$E$31:$K$37,B788,1),'章节与怪物'!$A$41:$F$44,4,FALSE)+IF(1=D788,'难度参数'!$E$30,0))</x:f>
        <x:v>738</x:v>
      </x:c>
      <x:c r="AB788" s="119" t="n">
        <x:f>IF(2&gt;D788,0,MAX(2,MIN('难度参数'!$E$12,ROUND(('难度参数'!$E$18*POWER(A788,'难度参数'!$E$19)/D788*(0.85+0.3*(2-1)/MAX(1,D788-1))),0)+F788)))</x:f>
        <x:v>44</x:v>
      </x:c>
      <x:c r="AC788" s="119" t="n">
        <x:f>IF(2&gt;D788,0,ROUND(('难度参数'!$E$13*POWER(A788,'难度参数'!$E$20)*MIN('难度参数'!$E$23,1+MAX(0,A788-'难度参数'!$E$21)*'难度参数'!$E$22))*(36+2*7)/(36+7*(D788+1)/2)*E788,0))</x:f>
        <x:v>12771</x:v>
      </x:c>
      <x:c r="AD788" s="119" t="n">
        <x:f>IF(AB788=0,0,(AB788-IF(2=D788,1,0))*ROUND(AC788*VLOOKUP(INDEX('章节与怪物'!$E$31:$K$37,B788,2),'章节与怪物'!$A$41:$F$44,2,FALSE),0)+IF(2=D788,ROUND(AC788*'难度参数'!$E$28*'章节与怪物'!$E$17,0),0))</x:f>
        <x:v>404580</x:v>
      </x:c>
      <x:c r="AE788" s="119" t="n">
        <x:f>IF(AB788=0,0,(AB788-IF(2=D788,1,0))*VLOOKUP(INDEX('章节与怪物'!$E$31:$K$37,B788,2),'章节与怪物'!$A$41:$F$44,4,FALSE)+IF(2=D788,'难度参数'!$E$30,0))</x:f>
        <x:v>880</x:v>
      </x:c>
      <x:c r="AF788" s="119" t="n">
        <x:f>IF(3&gt;D788,0,MAX(2,MIN('难度参数'!$E$12,ROUND(('难度参数'!$E$18*POWER(A788,'难度参数'!$E$19)/D788*(0.85+0.3*(3-1)/MAX(1,D788-1))),0)+F788)))</x:f>
        <x:v>46</x:v>
      </x:c>
      <x:c r="AG788" s="119" t="n">
        <x:f>IF(3&gt;D788,0,ROUND(('难度参数'!$E$13*POWER(A788,'难度参数'!$E$20)*MIN('难度参数'!$E$23,1+MAX(0,A788-'难度参数'!$E$21)*'难度参数'!$E$22))*(36+3*7)/(36+7*(D788+1)/2)*E788,0))</x:f>
        <x:v>14559</x:v>
      </x:c>
      <x:c r="AH788" s="119" t="n">
        <x:f>IF(AF788=0,0,(AF788-IF(3=D788,1,0))*ROUND(AG788*VLOOKUP(INDEX('章节与怪物'!$E$31:$K$37,B788,3),'章节与怪物'!$A$41:$F$44,2,FALSE),0)+IF(3=D788,ROUND(AG788*'难度参数'!$E$28*'章节与怪物'!$E$17,0),0))</x:f>
        <x:v>1138500</x:v>
      </x:c>
      <x:c r="AI788" s="119" t="n">
        <x:f>IF(AF788=0,0,(AF788-IF(3=D788,1,0))*VLOOKUP(INDEX('章节与怪物'!$E$31:$K$37,B788,3),'章节与怪物'!$A$41:$F$44,4,FALSE)+IF(3=D788,'难度参数'!$E$30,0))</x:f>
        <x:v>1288</x:v>
      </x:c>
      <x:c r="AJ788" s="119" t="n">
        <x:f>IF(4&gt;D788,0,MAX(2,MIN('难度参数'!$E$12,ROUND(('难度参数'!$E$18*POWER(A788,'难度参数'!$E$19)/D788*(0.85+0.3*(4-1)/MAX(1,D788-1))),0)+F788)))</x:f>
        <x:v>49</x:v>
      </x:c>
      <x:c r="AK788" s="119" t="n">
        <x:f>IF(4&gt;D788,0,ROUND(('难度参数'!$E$13*POWER(A788,'难度参数'!$E$20)*MIN('难度参数'!$E$23,1+MAX(0,A788-'难度参数'!$E$21)*'难度参数'!$E$22))*(36+4*7)/(36+7*(D788+1)/2)*E788,0))</x:f>
        <x:v>16347</x:v>
      </x:c>
      <x:c r="AL788" s="119" t="n">
        <x:f>IF(AJ788=0,0,(AJ788-IF(4=D788,1,0))*ROUND(AK788*VLOOKUP(INDEX('章节与怪物'!$E$31:$K$37,B788,4),'章节与怪物'!$A$41:$F$44,2,FALSE),0)+IF(4=D788,ROUND(AK788*'难度参数'!$E$28*'章节与怪物'!$E$17,0),0))</x:f>
        <x:v>1081332</x:v>
      </x:c>
      <x:c r="AM788" s="119" t="n">
        <x:f>IF(AJ788=0,0,(AJ788-IF(4=D788,1,0))*VLOOKUP(INDEX('章节与怪物'!$E$31:$K$37,B788,4),'章节与怪物'!$A$41:$F$44,4,FALSE)+IF(4=D788,'难度参数'!$E$30,0))</x:f>
        <x:v>1666</x:v>
      </x:c>
      <x:c r="AN788" s="119" t="n">
        <x:f>IF(5&gt;D788,0,MAX(2,MIN('难度参数'!$E$12,ROUND(('难度参数'!$E$18*POWER(A788,'难度参数'!$E$19)/D788*(0.85+0.3*(5-1)/MAX(1,D788-1))),0)+F788)))</x:f>
        <x:v>51</x:v>
      </x:c>
      <x:c r="AO788" s="119" t="n">
        <x:f>IF(5&gt;D788,0,ROUND(('难度参数'!$E$13*POWER(A788,'难度参数'!$E$20)*MIN('难度参数'!$E$23,1+MAX(0,A788-'难度参数'!$E$21)*'难度参数'!$E$22))*(36+5*7)/(36+7*(D788+1)/2)*E788,0))</x:f>
        <x:v>18135</x:v>
      </x:c>
      <x:c r="AP788" s="119" t="n">
        <x:f>IF(AN788=0,0,(AN788-IF(5=D788,1,0))*ROUND(AO788*VLOOKUP(INDEX('章节与怪物'!$E$31:$K$37,B788,5),'章节与怪物'!$A$41:$F$44,2,FALSE),0)+IF(5=D788,ROUND(AO788*'难度参数'!$E$28*'章节与怪物'!$E$17,0),0))</x:f>
        <x:v>665907</x:v>
      </x:c>
      <x:c r="AQ788" s="119" t="n">
        <x:f>IF(AN788=0,0,(AN788-IF(5=D788,1,0))*VLOOKUP(INDEX('章节与怪物'!$E$31:$K$37,B788,5),'章节与怪物'!$A$41:$F$44,4,FALSE)+IF(5=D788,'难度参数'!$E$30,0))</x:f>
        <x:v>1020</x:v>
      </x:c>
      <x:c r="AR788" s="119" t="n">
        <x:f>IF(6&gt;D788,0,MAX(2,MIN('难度参数'!$E$12,ROUND(('难度参数'!$E$18*POWER(A788,'难度参数'!$E$19)/D788*(0.85+0.3*(6-1)/MAX(1,D788-1))),0)+F788)))</x:f>
        <x:v>53</x:v>
      </x:c>
      <x:c r="AS788" s="119" t="n">
        <x:f>IF(6&gt;D788,0,ROUND(('难度参数'!$E$13*POWER(A788,'难度参数'!$E$20)*MIN('难度参数'!$E$23,1+MAX(0,A788-'难度参数'!$E$21)*'难度参数'!$E$22))*(36+6*7)/(36+7*(D788+1)/2)*E788,0))</x:f>
        <x:v>19923</x:v>
      </x:c>
      <x:c r="AT788" s="119" t="n">
        <x:f>IF(AR788=0,0,(AR788-IF(6=D788,1,0))*ROUND(AS788*VLOOKUP(INDEX('章节与怪物'!$E$31:$K$37,B788,6),'章节与怪物'!$A$41:$F$44,2,FALSE),0)+IF(6=D788,ROUND(AS788*'难度参数'!$E$28*'章节与怪物'!$E$17,0),0))</x:f>
        <x:v>1795057</x:v>
      </x:c>
      <x:c r="AU788" s="119" t="n">
        <x:f>IF(AR788=0,0,(AR788-IF(6=D788,1,0))*VLOOKUP(INDEX('章节与怪物'!$E$31:$K$37,B788,6),'章节与怪物'!$A$41:$F$44,4,FALSE)+IF(6=D788,'难度参数'!$E$30,0))</x:f>
        <x:v>1484</x:v>
      </x:c>
      <x:c r="AV788" s="119" t="n">
        <x:f>IF(7&gt;D788,0,MAX(2,MIN('难度参数'!$E$12,ROUND(('难度参数'!$E$18*POWER(A788,'难度参数'!$E$19)/D788*(0.85+0.3*(7-1)/MAX(1,D788-1))),0)+F788)))</x:f>
        <x:v>56</x:v>
      </x:c>
      <x:c r="AW788" s="119" t="n">
        <x:f>IF(7&gt;D788,0,ROUND(('难度参数'!$E$13*POWER(A788,'难度参数'!$E$20)*MIN('难度参数'!$E$23,1+MAX(0,A788-'难度参数'!$E$21)*'难度参数'!$E$22))*(36+7*7)/(36+7*(D788+1)/2)*E788,0))</x:f>
        <x:v>21711</x:v>
      </x:c>
      <x:c r="AX788" s="119" t="n">
        <x:f>IF(AV788=0,0,(AV788-IF(7=D788,1,0))*ROUND(AW788*VLOOKUP(INDEX('章节与怪物'!$E$31:$K$37,B788,7),'章节与怪物'!$A$41:$F$44,2,FALSE),0)+IF(7=D788,ROUND(AW788*'难度参数'!$E$28*'章节与怪物'!$E$17,0),0))</x:f>
        <x:v>1759685</x:v>
      </x:c>
      <x:c r="AY788" s="119" t="n">
        <x:f>IF(AV788=0,0,(AV788-IF(7=D788,1,0))*VLOOKUP(INDEX('章节与怪物'!$E$31:$K$37,B788,7),'章节与怪物'!$A$41:$F$44,4,FALSE)+IF(7=D788,'难度参数'!$E$30,0))</x:f>
        <x:v>2070</x:v>
      </x:c>
    </x:row>
    <x:row r="789" ht="23" customHeight="1">
      <x:c r="A789" s="119" t="n">
        <x:v>783</x:v>
      </x:c>
      <x:c r="B789" s="119" t="n">
        <x:f>MOD(INT((A789-1)/5),7)+1</x:f>
        <x:v>3</x:v>
      </x:c>
      <x:c r="C789" s="62" t="str">
        <x:f>INDEX('章节与怪物'!$B$31:$B$37,B789)</x:f>
        <x:v>腐沼秘林</x:v>
      </x:c>
      <x:c r="D789" s="119" t="n">
        <x:f>MIN('难度参数'!$E$8,MAX('难度参数'!$E$7,A789))</x:f>
        <x:v>7</x:v>
      </x:c>
      <x:c r="E789" s="106" t="n">
        <x:v>1</x:v>
      </x:c>
      <x:c r="F789" s="106" t="n">
        <x:v>0</x:v>
      </x:c>
      <x:c r="G789" s="106" t="n">
        <x:v>1</x:v>
      </x:c>
      <x:c r="H789" s="119" t="n">
        <x:f>SUM(X789,AB789,AF789,AJ789,AN789,AR789,AV789)</x:f>
        <x:v>340</x:v>
      </x:c>
      <x:c r="I789" s="119" t="n">
        <x:f>SUM(Z789,AD789,AH789,AL789,AP789,AT789,AX789)</x:f>
        <x:v>7302179</x:v>
      </x:c>
      <x:c r="J789" s="119" t="n">
        <x:f>ROUND(INDEX(X789:AY789,1,(D789-1)*4+2)*'难度参数'!$E$28*'章节与怪物'!$E$17,0)</x:f>
        <x:v>147771</x:v>
      </x:c>
      <x:c r="K789" s="119" t="n">
        <x:f>SUM(AA789,AE789,AI789,AM789,AQ789,AU789,AY789)</x:f>
        <x:v>9146</x:v>
      </x:c>
      <x:c r="L789" s="62" t="n">
        <x:f>H789*(ROUNDUP('难度参数'!$E$24/('难度参数'!$E$26*'难度参数'!$E$27),0)*'难度参数'!$E$26)/60</x:f>
        <x:v>4.533333333333333</x:v>
      </x:c>
      <x:c r="M789" s="62" t="n">
        <x:f>L789+D789*('难度参数'!$E$49+'难度参数'!$E$50)/60</x:f>
        <x:v>5.7</x:v>
      </x:c>
      <x:c r="N789" s="119" t="n">
        <x:f>ROUNDDOWN(('经济参数'!$E$20+A789*'经济参数'!$E$21)*G789,0)</x:f>
        <x:v>15840</x:v>
      </x:c>
      <x:c r="O789" s="119" t="n">
        <x:f>ROUNDDOWN(MIN('经济参数'!$E$24,'经济参数'!$E$22+A789*'经济参数'!$E$23)*G789,0)</x:f>
        <x:v>0</x:v>
      </x:c>
      <x:c r="P789" s="119" t="n">
        <x:f>ROUNDDOWN((IF(A789&gt;='材料与任务'!$E$31,'材料与任务'!$E$32,IF(A789&gt;='材料与任务'!$E$25,'材料与任务'!$E$26,IF(A789&gt;='材料与任务'!$E$19,'材料与任务'!$E$20,IF(A789&gt;='材料与任务'!$E$13,'材料与任务'!$E$14,'材料与任务'!$E$8)))))*G789,0)</x:f>
        <x:v>6</x:v>
      </x:c>
      <x:c r="Q789" s="119" t="n">
        <x:f>ROUNDDOWN((IF(A789&gt;='材料与任务'!$E$31,'材料与任务'!$E$33,IF(A789&gt;='材料与任务'!$E$25,'材料与任务'!$E$27,IF(A789&gt;='材料与任务'!$E$19,'材料与任务'!$E$21,IF(A789&gt;='材料与任务'!$E$13,'材料与任务'!$E$15,'材料与任务'!$E$9)))))*G789,0)</x:f>
        <x:v>3</x:v>
      </x:c>
      <x:c r="R789" s="110" t="n">
        <x:f>'装备掉落'!$B$38</x:f>
        <x:v>0.6872058758851213</x:v>
      </x:c>
      <x:c r="S789" s="119" t="n">
        <x:f>MAX(IF(VLOOKUP(A789,'装备掉落'!$A$29:$H$34,2,TRUE)&gt;0,1,0),IF(VLOOKUP(A789,'装备掉落'!$A$29:$H$34,3,TRUE)&gt;0,2,0),IF(VLOOKUP(A789,'装备掉落'!$A$29:$H$34,4,TRUE)&gt;0,3,0),IF(VLOOKUP(A789,'装备掉落'!$A$29:$H$34,5,TRUE)&gt;0,4,0),IF(VLOOKUP(A789,'装备掉落'!$A$29:$H$34,6,TRUE)&gt;0,5,0),IF(VLOOKUP(A789,'装备掉落'!$A$29:$H$34,7,TRUE)&gt;0,6,0),IF(VLOOKUP(A789,'装备掉落'!$A$29:$H$34,8,TRUE)&gt;0,7,0))</x:f>
        <x:v>7</x:v>
      </x:c>
      <x:c r="T789" s="119" t="n">
        <x:f>MIN(7,S789+'经济参数'!$E$70)</x:f>
        <x:v>7</x:v>
      </x:c>
      <x:c r="U789" s="119" t="n">
        <x:f>MIN(7,S789+'经济参数'!$E$71)</x:f>
        <x:v>7</x:v>
      </x:c>
      <x:c r="V789" s="119" t="n">
        <x:f>IF(H789&gt;=('难度参数'!$E$52),1,0)+IF(H789&gt;=('难度参数'!$E$52+'难度参数'!$E$53),1,0)+IF(H789&gt;=('难度参数'!$E$52+'难度参数'!$E$53+'难度参数'!$E$54),1,0)+IF(H789&gt;=('难度参数'!$E$52+'难度参数'!$E$53+'难度参数'!$E$54+'难度参数'!$E$55),1,0)+IF(H789&gt;=('难度参数'!$E$52+'难度参数'!$E$53+'难度参数'!$E$54+'难度参数'!$E$55+'难度参数'!$E$56),1,0)+IF(H789&gt;=('难度参数'!$E$52+'难度参数'!$E$53+'难度参数'!$E$54+'难度参数'!$E$55+'难度参数'!$E$56+'难度参数'!$E$57),1,0)</x:f>
        <x:v>6</x:v>
      </x:c>
      <x:c r="W789" s="62" t="str">
        <x:f>IF(L789&gt;'难度参数'!$E$51,"仅出怪已超目标","还需实测")</x:f>
        <x:v>仅出怪已超目标</x:v>
      </x:c>
      <x:c r="X789" s="119" t="n">
        <x:f>IF(1&gt;D789,0,MAX(2,MIN('难度参数'!$E$12,ROUND(('难度参数'!$E$18*POWER(A789,'难度参数'!$E$19)/D789*(0.85+0.3*(1-1)/MAX(1,D789-1))),0)+F789)))</x:f>
        <x:v>41</x:v>
      </x:c>
      <x:c r="Y789" s="119" t="n">
        <x:f>IF(1&gt;D789,0,ROUND(('难度参数'!$E$13*POWER(A789,'难度参数'!$E$20)*MIN('难度参数'!$E$23,1+MAX(0,A789-'难度参数'!$E$21)*'难度参数'!$E$22))*(36+1*7)/(36+7*(D789+1)/2)*E789,0))</x:f>
        <x:v>10993</x:v>
      </x:c>
      <x:c r="Z789" s="119" t="n">
        <x:f>IF(X789=0,0,(X789-IF(1=D789,1,0))*ROUND(Y789*VLOOKUP(INDEX('章节与怪物'!$E$31:$K$37,B789,1),'章节与怪物'!$A$41:$F$44,2,FALSE),0)+IF(1=D789,ROUND(Y789*'难度参数'!$E$28*'章节与怪物'!$E$17,0),0))</x:f>
        <x:v>450713</x:v>
      </x:c>
      <x:c r="AA789" s="119" t="n">
        <x:f>IF(X789=0,0,(X789-IF(1=D789,1,0))*VLOOKUP(INDEX('章节与怪物'!$E$31:$K$37,B789,1),'章节与怪物'!$A$41:$F$44,4,FALSE)+IF(1=D789,'难度参数'!$E$30,0))</x:f>
        <x:v>738</x:v>
      </x:c>
      <x:c r="AB789" s="119" t="n">
        <x:f>IF(2&gt;D789,0,MAX(2,MIN('难度参数'!$E$12,ROUND(('难度参数'!$E$18*POWER(A789,'难度参数'!$E$19)/D789*(0.85+0.3*(2-1)/MAX(1,D789-1))),0)+F789)))</x:f>
        <x:v>44</x:v>
      </x:c>
      <x:c r="AC789" s="119" t="n">
        <x:f>IF(2&gt;D789,0,ROUND(('难度参数'!$E$13*POWER(A789,'难度参数'!$E$20)*MIN('难度参数'!$E$23,1+MAX(0,A789-'难度参数'!$E$21)*'难度参数'!$E$22))*(36+2*7)/(36+7*(D789+1)/2)*E789,0))</x:f>
        <x:v>12783</x:v>
      </x:c>
      <x:c r="AD789" s="119" t="n">
        <x:f>IF(AB789=0,0,(AB789-IF(2=D789,1,0))*ROUND(AC789*VLOOKUP(INDEX('章节与怪物'!$E$31:$K$37,B789,2),'章节与怪物'!$A$41:$F$44,2,FALSE),0)+IF(2=D789,ROUND(AC789*'难度参数'!$E$28*'章节与怪物'!$E$17,0),0))</x:f>
        <x:v>404976</x:v>
      </x:c>
      <x:c r="AE789" s="119" t="n">
        <x:f>IF(AB789=0,0,(AB789-IF(2=D789,1,0))*VLOOKUP(INDEX('章节与怪物'!$E$31:$K$37,B789,2),'章节与怪物'!$A$41:$F$44,4,FALSE)+IF(2=D789,'难度参数'!$E$30,0))</x:f>
        <x:v>880</x:v>
      </x:c>
      <x:c r="AF789" s="119" t="n">
        <x:f>IF(3&gt;D789,0,MAX(2,MIN('难度参数'!$E$12,ROUND(('难度参数'!$E$18*POWER(A789,'难度参数'!$E$19)/D789*(0.85+0.3*(3-1)/MAX(1,D789-1))),0)+F789)))</x:f>
        <x:v>46</x:v>
      </x:c>
      <x:c r="AG789" s="119" t="n">
        <x:f>IF(3&gt;D789,0,ROUND(('难度参数'!$E$13*POWER(A789,'难度参数'!$E$20)*MIN('难度参数'!$E$23,1+MAX(0,A789-'难度参数'!$E$21)*'难度参数'!$E$22))*(36+3*7)/(36+7*(D789+1)/2)*E789,0))</x:f>
        <x:v>14573</x:v>
      </x:c>
      <x:c r="AH789" s="119" t="n">
        <x:f>IF(AF789=0,0,(AF789-IF(3=D789,1,0))*ROUND(AG789*VLOOKUP(INDEX('章节与怪物'!$E$31:$K$37,B789,3),'章节与怪物'!$A$41:$F$44,2,FALSE),0)+IF(3=D789,ROUND(AG789*'难度参数'!$E$28*'章节与怪物'!$E$17,0),0))</x:f>
        <x:v>1139604</x:v>
      </x:c>
      <x:c r="AI789" s="119" t="n">
        <x:f>IF(AF789=0,0,(AF789-IF(3=D789,1,0))*VLOOKUP(INDEX('章节与怪物'!$E$31:$K$37,B789,3),'章节与怪物'!$A$41:$F$44,4,FALSE)+IF(3=D789,'难度参数'!$E$30,0))</x:f>
        <x:v>1288</x:v>
      </x:c>
      <x:c r="AJ789" s="119" t="n">
        <x:f>IF(4&gt;D789,0,MAX(2,MIN('难度参数'!$E$12,ROUND(('难度参数'!$E$18*POWER(A789,'难度参数'!$E$19)/D789*(0.85+0.3*(4-1)/MAX(1,D789-1))),0)+F789)))</x:f>
        <x:v>49</x:v>
      </x:c>
      <x:c r="AK789" s="119" t="n">
        <x:f>IF(4&gt;D789,0,ROUND(('难度参数'!$E$13*POWER(A789,'难度参数'!$E$20)*MIN('难度参数'!$E$23,1+MAX(0,A789-'难度参数'!$E$21)*'难度参数'!$E$22))*(36+4*7)/(36+7*(D789+1)/2)*E789,0))</x:f>
        <x:v>16362</x:v>
      </x:c>
      <x:c r="AL789" s="119" t="n">
        <x:f>IF(AJ789=0,0,(AJ789-IF(4=D789,1,0))*ROUND(AK789*VLOOKUP(INDEX('章节与怪物'!$E$31:$K$37,B789,4),'章节与怪物'!$A$41:$F$44,2,FALSE),0)+IF(4=D789,ROUND(AK789*'难度参数'!$E$28*'章节与怪物'!$E$17,0),0))</x:f>
        <x:v>1082361</x:v>
      </x:c>
      <x:c r="AM789" s="119" t="n">
        <x:f>IF(AJ789=0,0,(AJ789-IF(4=D789,1,0))*VLOOKUP(INDEX('章节与怪物'!$E$31:$K$37,B789,4),'章节与怪物'!$A$41:$F$44,4,FALSE)+IF(4=D789,'难度参数'!$E$30,0))</x:f>
        <x:v>1666</x:v>
      </x:c>
      <x:c r="AN789" s="119" t="n">
        <x:f>IF(5&gt;D789,0,MAX(2,MIN('难度参数'!$E$12,ROUND(('难度参数'!$E$18*POWER(A789,'难度参数'!$E$19)/D789*(0.85+0.3*(5-1)/MAX(1,D789-1))),0)+F789)))</x:f>
        <x:v>51</x:v>
      </x:c>
      <x:c r="AO789" s="119" t="n">
        <x:f>IF(5&gt;D789,0,ROUND(('难度参数'!$E$13*POWER(A789,'难度参数'!$E$20)*MIN('难度参数'!$E$23,1+MAX(0,A789-'难度参数'!$E$21)*'难度参数'!$E$22))*(36+5*7)/(36+7*(D789+1)/2)*E789,0))</x:f>
        <x:v>18152</x:v>
      </x:c>
      <x:c r="AP789" s="119" t="n">
        <x:f>IF(AN789=0,0,(AN789-IF(5=D789,1,0))*ROUND(AO789*VLOOKUP(INDEX('章节与怪物'!$E$31:$K$37,B789,5),'章节与怪物'!$A$41:$F$44,2,FALSE),0)+IF(5=D789,ROUND(AO789*'难度参数'!$E$28*'章节与怪物'!$E$17,0),0))</x:f>
        <x:v>666519</x:v>
      </x:c>
      <x:c r="AQ789" s="119" t="n">
        <x:f>IF(AN789=0,0,(AN789-IF(5=D789,1,0))*VLOOKUP(INDEX('章节与怪物'!$E$31:$K$37,B789,5),'章节与怪物'!$A$41:$F$44,4,FALSE)+IF(5=D789,'难度参数'!$E$30,0))</x:f>
        <x:v>1020</x:v>
      </x:c>
      <x:c r="AR789" s="119" t="n">
        <x:f>IF(6&gt;D789,0,MAX(2,MIN('难度参数'!$E$12,ROUND(('难度参数'!$E$18*POWER(A789,'难度参数'!$E$19)/D789*(0.85+0.3*(6-1)/MAX(1,D789-1))),0)+F789)))</x:f>
        <x:v>53</x:v>
      </x:c>
      <x:c r="AS789" s="119" t="n">
        <x:f>IF(6&gt;D789,0,ROUND(('难度参数'!$E$13*POWER(A789,'难度参数'!$E$20)*MIN('难度参数'!$E$23,1+MAX(0,A789-'难度参数'!$E$21)*'难度参数'!$E$22))*(36+6*7)/(36+7*(D789+1)/2)*E789,0))</x:f>
        <x:v>19941</x:v>
      </x:c>
      <x:c r="AT789" s="119" t="n">
        <x:f>IF(AR789=0,0,(AR789-IF(6=D789,1,0))*ROUND(AS789*VLOOKUP(INDEX('章节与怪物'!$E$31:$K$37,B789,6),'章节与怪物'!$A$41:$F$44,2,FALSE),0)+IF(6=D789,ROUND(AS789*'难度参数'!$E$28*'章节与怪物'!$E$17,0),0))</x:f>
        <x:v>1796700</x:v>
      </x:c>
      <x:c r="AU789" s="119" t="n">
        <x:f>IF(AR789=0,0,(AR789-IF(6=D789,1,0))*VLOOKUP(INDEX('章节与怪物'!$E$31:$K$37,B789,6),'章节与怪物'!$A$41:$F$44,4,FALSE)+IF(6=D789,'难度参数'!$E$30,0))</x:f>
        <x:v>1484</x:v>
      </x:c>
      <x:c r="AV789" s="119" t="n">
        <x:f>IF(7&gt;D789,0,MAX(2,MIN('难度参数'!$E$12,ROUND(('难度参数'!$E$18*POWER(A789,'难度参数'!$E$19)/D789*(0.85+0.3*(7-1)/MAX(1,D789-1))),0)+F789)))</x:f>
        <x:v>56</x:v>
      </x:c>
      <x:c r="AW789" s="119" t="n">
        <x:f>IF(7&gt;D789,0,ROUND(('难度参数'!$E$13*POWER(A789,'难度参数'!$E$20)*MIN('难度参数'!$E$23,1+MAX(0,A789-'难度参数'!$E$21)*'难度参数'!$E$22))*(36+7*7)/(36+7*(D789+1)/2)*E789,0))</x:f>
        <x:v>21731</x:v>
      </x:c>
      <x:c r="AX789" s="119" t="n">
        <x:f>IF(AV789=0,0,(AV789-IF(7=D789,1,0))*ROUND(AW789*VLOOKUP(INDEX('章节与怪物'!$E$31:$K$37,B789,7),'章节与怪物'!$A$41:$F$44,2,FALSE),0)+IF(7=D789,ROUND(AW789*'难度参数'!$E$28*'章节与怪物'!$E$17,0),0))</x:f>
        <x:v>1761306</x:v>
      </x:c>
      <x:c r="AY789" s="119" t="n">
        <x:f>IF(AV789=0,0,(AV789-IF(7=D789,1,0))*VLOOKUP(INDEX('章节与怪物'!$E$31:$K$37,B789,7),'章节与怪物'!$A$41:$F$44,4,FALSE)+IF(7=D789,'难度参数'!$E$30,0))</x:f>
        <x:v>2070</x:v>
      </x:c>
    </x:row>
    <x:row r="790" ht="23" customHeight="1">
      <x:c r="A790" s="119" t="n">
        <x:v>784</x:v>
      </x:c>
      <x:c r="B790" s="119" t="n">
        <x:f>MOD(INT((A790-1)/5),7)+1</x:f>
        <x:v>3</x:v>
      </x:c>
      <x:c r="C790" s="62" t="str">
        <x:f>INDEX('章节与怪物'!$B$31:$B$37,B790)</x:f>
        <x:v>腐沼秘林</x:v>
      </x:c>
      <x:c r="D790" s="119" t="n">
        <x:f>MIN('难度参数'!$E$8,MAX('难度参数'!$E$7,A790))</x:f>
        <x:v>7</x:v>
      </x:c>
      <x:c r="E790" s="106" t="n">
        <x:v>1</x:v>
      </x:c>
      <x:c r="F790" s="106" t="n">
        <x:v>0</x:v>
      </x:c>
      <x:c r="G790" s="106" t="n">
        <x:v>1</x:v>
      </x:c>
      <x:c r="H790" s="119" t="n">
        <x:f>SUM(X790,AB790,AF790,AJ790,AN790,AR790,AV790)</x:f>
        <x:v>340</x:v>
      </x:c>
      <x:c r="I790" s="119" t="n">
        <x:f>SUM(Z790,AD790,AH790,AL790,AP790,AT790,AX790)</x:f>
        <x:v>7308913</x:v>
      </x:c>
      <x:c r="J790" s="119" t="n">
        <x:f>ROUND(INDEX(X790:AY790,1,(D790-1)*4+2)*'难度参数'!$E$28*'章节与怪物'!$E$17,0)</x:f>
        <x:v>147907</x:v>
      </x:c>
      <x:c r="K790" s="119" t="n">
        <x:f>SUM(AA790,AE790,AI790,AM790,AQ790,AU790,AY790)</x:f>
        <x:v>9146</x:v>
      </x:c>
      <x:c r="L790" s="62" t="n">
        <x:f>H790*(ROUNDUP('难度参数'!$E$24/('难度参数'!$E$26*'难度参数'!$E$27),0)*'难度参数'!$E$26)/60</x:f>
        <x:v>4.533333333333333</x:v>
      </x:c>
      <x:c r="M790" s="62" t="n">
        <x:f>L790+D790*('难度参数'!$E$49+'难度参数'!$E$50)/60</x:f>
        <x:v>5.7</x:v>
      </x:c>
      <x:c r="N790" s="119" t="n">
        <x:f>ROUNDDOWN(('经济参数'!$E$20+A790*'经济参数'!$E$21)*G790,0)</x:f>
        <x:v>15860</x:v>
      </x:c>
      <x:c r="O790" s="119" t="n">
        <x:f>ROUNDDOWN(MIN('经济参数'!$E$24,'经济参数'!$E$22+A790*'经济参数'!$E$23)*G790,0)</x:f>
        <x:v>0</x:v>
      </x:c>
      <x:c r="P790" s="119" t="n">
        <x:f>ROUNDDOWN((IF(A790&gt;='材料与任务'!$E$31,'材料与任务'!$E$32,IF(A790&gt;='材料与任务'!$E$25,'材料与任务'!$E$26,IF(A790&gt;='材料与任务'!$E$19,'材料与任务'!$E$20,IF(A790&gt;='材料与任务'!$E$13,'材料与任务'!$E$14,'材料与任务'!$E$8)))))*G790,0)</x:f>
        <x:v>6</x:v>
      </x:c>
      <x:c r="Q790" s="119" t="n">
        <x:f>ROUNDDOWN((IF(A790&gt;='材料与任务'!$E$31,'材料与任务'!$E$33,IF(A790&gt;='材料与任务'!$E$25,'材料与任务'!$E$27,IF(A790&gt;='材料与任务'!$E$19,'材料与任务'!$E$21,IF(A790&gt;='材料与任务'!$E$13,'材料与任务'!$E$15,'材料与任务'!$E$9)))))*G790,0)</x:f>
        <x:v>3</x:v>
      </x:c>
      <x:c r="R790" s="110" t="n">
        <x:f>'装备掉落'!$B$38</x:f>
        <x:v>0.6872058758851213</x:v>
      </x:c>
      <x:c r="S790" s="119" t="n">
        <x:f>MAX(IF(VLOOKUP(A790,'装备掉落'!$A$29:$H$34,2,TRUE)&gt;0,1,0),IF(VLOOKUP(A790,'装备掉落'!$A$29:$H$34,3,TRUE)&gt;0,2,0),IF(VLOOKUP(A790,'装备掉落'!$A$29:$H$34,4,TRUE)&gt;0,3,0),IF(VLOOKUP(A790,'装备掉落'!$A$29:$H$34,5,TRUE)&gt;0,4,0),IF(VLOOKUP(A790,'装备掉落'!$A$29:$H$34,6,TRUE)&gt;0,5,0),IF(VLOOKUP(A790,'装备掉落'!$A$29:$H$34,7,TRUE)&gt;0,6,0),IF(VLOOKUP(A790,'装备掉落'!$A$29:$H$34,8,TRUE)&gt;0,7,0))</x:f>
        <x:v>7</x:v>
      </x:c>
      <x:c r="T790" s="119" t="n">
        <x:f>MIN(7,S790+'经济参数'!$E$70)</x:f>
        <x:v>7</x:v>
      </x:c>
      <x:c r="U790" s="119" t="n">
        <x:f>MIN(7,S790+'经济参数'!$E$71)</x:f>
        <x:v>7</x:v>
      </x:c>
      <x:c r="V790" s="119" t="n">
        <x:f>IF(H790&gt;=('难度参数'!$E$52),1,0)+IF(H790&gt;=('难度参数'!$E$52+'难度参数'!$E$53),1,0)+IF(H790&gt;=('难度参数'!$E$52+'难度参数'!$E$53+'难度参数'!$E$54),1,0)+IF(H790&gt;=('难度参数'!$E$52+'难度参数'!$E$53+'难度参数'!$E$54+'难度参数'!$E$55),1,0)+IF(H790&gt;=('难度参数'!$E$52+'难度参数'!$E$53+'难度参数'!$E$54+'难度参数'!$E$55+'难度参数'!$E$56),1,0)+IF(H790&gt;=('难度参数'!$E$52+'难度参数'!$E$53+'难度参数'!$E$54+'难度参数'!$E$55+'难度参数'!$E$56+'难度参数'!$E$57),1,0)</x:f>
        <x:v>6</x:v>
      </x:c>
      <x:c r="W790" s="62" t="str">
        <x:f>IF(L790&gt;'难度参数'!$E$51,"仅出怪已超目标","还需实测")</x:f>
        <x:v>仅出怪已超目标</x:v>
      </x:c>
      <x:c r="X790" s="119" t="n">
        <x:f>IF(1&gt;D790,0,MAX(2,MIN('难度参数'!$E$12,ROUND(('难度参数'!$E$18*POWER(A790,'难度参数'!$E$19)/D790*(0.85+0.3*(1-1)/MAX(1,D790-1))),0)+F790)))</x:f>
        <x:v>41</x:v>
      </x:c>
      <x:c r="Y790" s="119" t="n">
        <x:f>IF(1&gt;D790,0,ROUND(('难度参数'!$E$13*POWER(A790,'难度参数'!$E$20)*MIN('难度参数'!$E$23,1+MAX(0,A790-'难度参数'!$E$21)*'难度参数'!$E$22))*(36+1*7)/(36+7*(D790+1)/2)*E790,0))</x:f>
        <x:v>11003</x:v>
      </x:c>
      <x:c r="Z790" s="119" t="n">
        <x:f>IF(X790=0,0,(X790-IF(1=D790,1,0))*ROUND(Y790*VLOOKUP(INDEX('章节与怪物'!$E$31:$K$37,B790,1),'章节与怪物'!$A$41:$F$44,2,FALSE),0)+IF(1=D790,ROUND(Y790*'难度参数'!$E$28*'章节与怪物'!$E$17,0),0))</x:f>
        <x:v>451123</x:v>
      </x:c>
      <x:c r="AA790" s="119" t="n">
        <x:f>IF(X790=0,0,(X790-IF(1=D790,1,0))*VLOOKUP(INDEX('章节与怪物'!$E$31:$K$37,B790,1),'章节与怪物'!$A$41:$F$44,4,FALSE)+IF(1=D790,'难度参数'!$E$30,0))</x:f>
        <x:v>738</x:v>
      </x:c>
      <x:c r="AB790" s="119" t="n">
        <x:f>IF(2&gt;D790,0,MAX(2,MIN('难度参数'!$E$12,ROUND(('难度参数'!$E$18*POWER(A790,'难度参数'!$E$19)/D790*(0.85+0.3*(2-1)/MAX(1,D790-1))),0)+F790)))</x:f>
        <x:v>44</x:v>
      </x:c>
      <x:c r="AC790" s="119" t="n">
        <x:f>IF(2&gt;D790,0,ROUND(('难度参数'!$E$13*POWER(A790,'难度参数'!$E$20)*MIN('难度参数'!$E$23,1+MAX(0,A790-'难度参数'!$E$21)*'难度参数'!$E$22))*(36+2*7)/(36+7*(D790+1)/2)*E790,0))</x:f>
        <x:v>12795</x:v>
      </x:c>
      <x:c r="AD790" s="119" t="n">
        <x:f>IF(AB790=0,0,(AB790-IF(2=D790,1,0))*ROUND(AC790*VLOOKUP(INDEX('章节与怪物'!$E$31:$K$37,B790,2),'章节与怪物'!$A$41:$F$44,2,FALSE),0)+IF(2=D790,ROUND(AC790*'难度参数'!$E$28*'章节与怪物'!$E$17,0),0))</x:f>
        <x:v>405328</x:v>
      </x:c>
      <x:c r="AE790" s="119" t="n">
        <x:f>IF(AB790=0,0,(AB790-IF(2=D790,1,0))*VLOOKUP(INDEX('章节与怪物'!$E$31:$K$37,B790,2),'章节与怪物'!$A$41:$F$44,4,FALSE)+IF(2=D790,'难度参数'!$E$30,0))</x:f>
        <x:v>880</x:v>
      </x:c>
      <x:c r="AF790" s="119" t="n">
        <x:f>IF(3&gt;D790,0,MAX(2,MIN('难度参数'!$E$12,ROUND(('难度参数'!$E$18*POWER(A790,'难度参数'!$E$19)/D790*(0.85+0.3*(3-1)/MAX(1,D790-1))),0)+F790)))</x:f>
        <x:v>46</x:v>
      </x:c>
      <x:c r="AG790" s="119" t="n">
        <x:f>IF(3&gt;D790,0,ROUND(('难度参数'!$E$13*POWER(A790,'难度参数'!$E$20)*MIN('难度参数'!$E$23,1+MAX(0,A790-'难度参数'!$E$21)*'难度参数'!$E$22))*(36+3*7)/(36+7*(D790+1)/2)*E790,0))</x:f>
        <x:v>14586</x:v>
      </x:c>
      <x:c r="AH790" s="119" t="n">
        <x:f>IF(AF790=0,0,(AF790-IF(3=D790,1,0))*ROUND(AG790*VLOOKUP(INDEX('章节与怪物'!$E$31:$K$37,B790,3),'章节与怪物'!$A$41:$F$44,2,FALSE),0)+IF(3=D790,ROUND(AG790*'难度参数'!$E$28*'章节与怪物'!$E$17,0),0))</x:f>
        <x:v>1140616</x:v>
      </x:c>
      <x:c r="AI790" s="119" t="n">
        <x:f>IF(AF790=0,0,(AF790-IF(3=D790,1,0))*VLOOKUP(INDEX('章节与怪物'!$E$31:$K$37,B790,3),'章节与怪物'!$A$41:$F$44,4,FALSE)+IF(3=D790,'难度参数'!$E$30,0))</x:f>
        <x:v>1288</x:v>
      </x:c>
      <x:c r="AJ790" s="119" t="n">
        <x:f>IF(4&gt;D790,0,MAX(2,MIN('难度参数'!$E$12,ROUND(('难度参数'!$E$18*POWER(A790,'难度参数'!$E$19)/D790*(0.85+0.3*(4-1)/MAX(1,D790-1))),0)+F790)))</x:f>
        <x:v>49</x:v>
      </x:c>
      <x:c r="AK790" s="119" t="n">
        <x:f>IF(4&gt;D790,0,ROUND(('难度参数'!$E$13*POWER(A790,'难度参数'!$E$20)*MIN('难度参数'!$E$23,1+MAX(0,A790-'难度参数'!$E$21)*'难度参数'!$E$22))*(36+4*7)/(36+7*(D790+1)/2)*E790,0))</x:f>
        <x:v>16377</x:v>
      </x:c>
      <x:c r="AL790" s="119" t="n">
        <x:f>IF(AJ790=0,0,(AJ790-IF(4=D790,1,0))*ROUND(AK790*VLOOKUP(INDEX('章节与怪物'!$E$31:$K$37,B790,4),'章节与怪物'!$A$41:$F$44,2,FALSE),0)+IF(4=D790,ROUND(AK790*'难度参数'!$E$28*'章节与怪物'!$E$17,0),0))</x:f>
        <x:v>1083341</x:v>
      </x:c>
      <x:c r="AM790" s="119" t="n">
        <x:f>IF(AJ790=0,0,(AJ790-IF(4=D790,1,0))*VLOOKUP(INDEX('章节与怪物'!$E$31:$K$37,B790,4),'章节与怪物'!$A$41:$F$44,4,FALSE)+IF(4=D790,'难度参数'!$E$30,0))</x:f>
        <x:v>1666</x:v>
      </x:c>
      <x:c r="AN790" s="119" t="n">
        <x:f>IF(5&gt;D790,0,MAX(2,MIN('难度参数'!$E$12,ROUND(('难度参数'!$E$18*POWER(A790,'难度参数'!$E$19)/D790*(0.85+0.3*(5-1)/MAX(1,D790-1))),0)+F790)))</x:f>
        <x:v>51</x:v>
      </x:c>
      <x:c r="AO790" s="119" t="n">
        <x:f>IF(5&gt;D790,0,ROUND(('难度参数'!$E$13*POWER(A790,'难度参数'!$E$20)*MIN('难度参数'!$E$23,1+MAX(0,A790-'难度参数'!$E$21)*'难度参数'!$E$22))*(36+5*7)/(36+7*(D790+1)/2)*E790,0))</x:f>
        <x:v>18169</x:v>
      </x:c>
      <x:c r="AP790" s="119" t="n">
        <x:f>IF(AN790=0,0,(AN790-IF(5=D790,1,0))*ROUND(AO790*VLOOKUP(INDEX('章节与怪物'!$E$31:$K$37,B790,5),'章节与怪物'!$A$41:$F$44,2,FALSE),0)+IF(5=D790,ROUND(AO790*'难度参数'!$E$28*'章节与怪物'!$E$17,0),0))</x:f>
        <x:v>667182</x:v>
      </x:c>
      <x:c r="AQ790" s="119" t="n">
        <x:f>IF(AN790=0,0,(AN790-IF(5=D790,1,0))*VLOOKUP(INDEX('章节与怪物'!$E$31:$K$37,B790,5),'章节与怪物'!$A$41:$F$44,4,FALSE)+IF(5=D790,'难度参数'!$E$30,0))</x:f>
        <x:v>1020</x:v>
      </x:c>
      <x:c r="AR790" s="119" t="n">
        <x:f>IF(6&gt;D790,0,MAX(2,MIN('难度参数'!$E$12,ROUND(('难度参数'!$E$18*POWER(A790,'难度参数'!$E$19)/D790*(0.85+0.3*(6-1)/MAX(1,D790-1))),0)+F790)))</x:f>
        <x:v>53</x:v>
      </x:c>
      <x:c r="AS790" s="119" t="n">
        <x:f>IF(6&gt;D790,0,ROUND(('难度参数'!$E$13*POWER(A790,'难度参数'!$E$20)*MIN('难度参数'!$E$23,1+MAX(0,A790-'难度参数'!$E$21)*'难度参数'!$E$22))*(36+6*7)/(36+7*(D790+1)/2)*E790,0))</x:f>
        <x:v>19960</x:v>
      </x:c>
      <x:c r="AT790" s="119" t="n">
        <x:f>IF(AR790=0,0,(AR790-IF(6=D790,1,0))*ROUND(AS790*VLOOKUP(INDEX('章节与怪物'!$E$31:$K$37,B790,6),'章节与怪物'!$A$41:$F$44,2,FALSE),0)+IF(6=D790,ROUND(AS790*'难度参数'!$E$28*'章节与怪物'!$E$17,0),0))</x:f>
        <x:v>1798396</x:v>
      </x:c>
      <x:c r="AU790" s="119" t="n">
        <x:f>IF(AR790=0,0,(AR790-IF(6=D790,1,0))*VLOOKUP(INDEX('章节与怪物'!$E$31:$K$37,B790,6),'章节与怪物'!$A$41:$F$44,4,FALSE)+IF(6=D790,'难度参数'!$E$30,0))</x:f>
        <x:v>1484</x:v>
      </x:c>
      <x:c r="AV790" s="119" t="n">
        <x:f>IF(7&gt;D790,0,MAX(2,MIN('难度参数'!$E$12,ROUND(('难度参数'!$E$18*POWER(A790,'难度参数'!$E$19)/D790*(0.85+0.3*(7-1)/MAX(1,D790-1))),0)+F790)))</x:f>
        <x:v>56</x:v>
      </x:c>
      <x:c r="AW790" s="119" t="n">
        <x:f>IF(7&gt;D790,0,ROUND(('难度参数'!$E$13*POWER(A790,'难度参数'!$E$20)*MIN('难度参数'!$E$23,1+MAX(0,A790-'难度参数'!$E$21)*'难度参数'!$E$22))*(36+7*7)/(36+7*(D790+1)/2)*E790,0))</x:f>
        <x:v>21751</x:v>
      </x:c>
      <x:c r="AX790" s="119" t="n">
        <x:f>IF(AV790=0,0,(AV790-IF(7=D790,1,0))*ROUND(AW790*VLOOKUP(INDEX('章节与怪物'!$E$31:$K$37,B790,7),'章节与怪物'!$A$41:$F$44,2,FALSE),0)+IF(7=D790,ROUND(AW790*'难度参数'!$E$28*'章节与怪物'!$E$17,0),0))</x:f>
        <x:v>1762927</x:v>
      </x:c>
      <x:c r="AY790" s="119" t="n">
        <x:f>IF(AV790=0,0,(AV790-IF(7=D790,1,0))*VLOOKUP(INDEX('章节与怪物'!$E$31:$K$37,B790,7),'章节与怪物'!$A$41:$F$44,4,FALSE)+IF(7=D790,'难度参数'!$E$30,0))</x:f>
        <x:v>2070</x:v>
      </x:c>
    </x:row>
    <x:row r="791" ht="23" customHeight="1">
      <x:c r="A791" s="119" t="n">
        <x:v>785</x:v>
      </x:c>
      <x:c r="B791" s="119" t="n">
        <x:f>MOD(INT((A791-1)/5),7)+1</x:f>
        <x:v>3</x:v>
      </x:c>
      <x:c r="C791" s="62" t="str">
        <x:f>INDEX('章节与怪物'!$B$31:$B$37,B791)</x:f>
        <x:v>腐沼秘林</x:v>
      </x:c>
      <x:c r="D791" s="119" t="n">
        <x:f>MIN('难度参数'!$E$8,MAX('难度参数'!$E$7,A791))</x:f>
        <x:v>7</x:v>
      </x:c>
      <x:c r="E791" s="106" t="n">
        <x:v>1</x:v>
      </x:c>
      <x:c r="F791" s="106" t="n">
        <x:v>0</x:v>
      </x:c>
      <x:c r="G791" s="106" t="n">
        <x:v>1</x:v>
      </x:c>
      <x:c r="H791" s="119" t="n">
        <x:f>SUM(X791,AB791,AF791,AJ791,AN791,AR791,AV791)</x:f>
        <x:v>340</x:v>
      </x:c>
      <x:c r="I791" s="119" t="n">
        <x:f>SUM(Z791,AD791,AH791,AL791,AP791,AT791,AX791)</x:f>
        <x:v>7315533</x:v>
      </x:c>
      <x:c r="J791" s="119" t="n">
        <x:f>ROUND(INDEX(X791:AY791,1,(D791-1)*4+2)*'难度参数'!$E$28*'章节与怪物'!$E$17,0)</x:f>
        <x:v>148043</x:v>
      </x:c>
      <x:c r="K791" s="119" t="n">
        <x:f>SUM(AA791,AE791,AI791,AM791,AQ791,AU791,AY791)</x:f>
        <x:v>9146</x:v>
      </x:c>
      <x:c r="L791" s="62" t="n">
        <x:f>H791*(ROUNDUP('难度参数'!$E$24/('难度参数'!$E$26*'难度参数'!$E$27),0)*'难度参数'!$E$26)/60</x:f>
        <x:v>4.533333333333333</x:v>
      </x:c>
      <x:c r="M791" s="62" t="n">
        <x:f>L791+D791*('难度参数'!$E$49+'难度参数'!$E$50)/60</x:f>
        <x:v>5.7</x:v>
      </x:c>
      <x:c r="N791" s="119" t="n">
        <x:f>ROUNDDOWN(('经济参数'!$E$20+A791*'经济参数'!$E$21)*G791,0)</x:f>
        <x:v>15880</x:v>
      </x:c>
      <x:c r="O791" s="119" t="n">
        <x:f>ROUNDDOWN(MIN('经济参数'!$E$24,'经济参数'!$E$22+A791*'经济参数'!$E$23)*G791,0)</x:f>
        <x:v>0</x:v>
      </x:c>
      <x:c r="P791" s="119" t="n">
        <x:f>ROUNDDOWN((IF(A791&gt;='材料与任务'!$E$31,'材料与任务'!$E$32,IF(A791&gt;='材料与任务'!$E$25,'材料与任务'!$E$26,IF(A791&gt;='材料与任务'!$E$19,'材料与任务'!$E$20,IF(A791&gt;='材料与任务'!$E$13,'材料与任务'!$E$14,'材料与任务'!$E$8)))))*G791,0)</x:f>
        <x:v>6</x:v>
      </x:c>
      <x:c r="Q791" s="119" t="n">
        <x:f>ROUNDDOWN((IF(A791&gt;='材料与任务'!$E$31,'材料与任务'!$E$33,IF(A791&gt;='材料与任务'!$E$25,'材料与任务'!$E$27,IF(A791&gt;='材料与任务'!$E$19,'材料与任务'!$E$21,IF(A791&gt;='材料与任务'!$E$13,'材料与任务'!$E$15,'材料与任务'!$E$9)))))*G791,0)</x:f>
        <x:v>3</x:v>
      </x:c>
      <x:c r="R791" s="110" t="n">
        <x:f>'装备掉落'!$B$38</x:f>
        <x:v>0.6872058758851213</x:v>
      </x:c>
      <x:c r="S791" s="119" t="n">
        <x:f>MAX(IF(VLOOKUP(A791,'装备掉落'!$A$29:$H$34,2,TRUE)&gt;0,1,0),IF(VLOOKUP(A791,'装备掉落'!$A$29:$H$34,3,TRUE)&gt;0,2,0),IF(VLOOKUP(A791,'装备掉落'!$A$29:$H$34,4,TRUE)&gt;0,3,0),IF(VLOOKUP(A791,'装备掉落'!$A$29:$H$34,5,TRUE)&gt;0,4,0),IF(VLOOKUP(A791,'装备掉落'!$A$29:$H$34,6,TRUE)&gt;0,5,0),IF(VLOOKUP(A791,'装备掉落'!$A$29:$H$34,7,TRUE)&gt;0,6,0),IF(VLOOKUP(A791,'装备掉落'!$A$29:$H$34,8,TRUE)&gt;0,7,0))</x:f>
        <x:v>7</x:v>
      </x:c>
      <x:c r="T791" s="119" t="n">
        <x:f>MIN(7,S791+'经济参数'!$E$70)</x:f>
        <x:v>7</x:v>
      </x:c>
      <x:c r="U791" s="119" t="n">
        <x:f>MIN(7,S791+'经济参数'!$E$71)</x:f>
        <x:v>7</x:v>
      </x:c>
      <x:c r="V791" s="119" t="n">
        <x:f>IF(H791&gt;=('难度参数'!$E$52),1,0)+IF(H791&gt;=('难度参数'!$E$52+'难度参数'!$E$53),1,0)+IF(H791&gt;=('难度参数'!$E$52+'难度参数'!$E$53+'难度参数'!$E$54),1,0)+IF(H791&gt;=('难度参数'!$E$52+'难度参数'!$E$53+'难度参数'!$E$54+'难度参数'!$E$55),1,0)+IF(H791&gt;=('难度参数'!$E$52+'难度参数'!$E$53+'难度参数'!$E$54+'难度参数'!$E$55+'难度参数'!$E$56),1,0)+IF(H791&gt;=('难度参数'!$E$52+'难度参数'!$E$53+'难度参数'!$E$54+'难度参数'!$E$55+'难度参数'!$E$56+'难度参数'!$E$57),1,0)</x:f>
        <x:v>6</x:v>
      </x:c>
      <x:c r="W791" s="62" t="str">
        <x:f>IF(L791&gt;'难度参数'!$E$51,"仅出怪已超目标","还需实测")</x:f>
        <x:v>仅出怪已超目标</x:v>
      </x:c>
      <x:c r="X791" s="119" t="n">
        <x:f>IF(1&gt;D791,0,MAX(2,MIN('难度参数'!$E$12,ROUND(('难度参数'!$E$18*POWER(A791,'难度参数'!$E$19)/D791*(0.85+0.3*(1-1)/MAX(1,D791-1))),0)+F791)))</x:f>
        <x:v>41</x:v>
      </x:c>
      <x:c r="Y791" s="119" t="n">
        <x:f>IF(1&gt;D791,0,ROUND(('难度参数'!$E$13*POWER(A791,'难度参数'!$E$20)*MIN('难度参数'!$E$23,1+MAX(0,A791-'难度参数'!$E$21)*'难度参数'!$E$22))*(36+1*7)/(36+7*(D791+1)/2)*E791,0))</x:f>
        <x:v>11014</x:v>
      </x:c>
      <x:c r="Z791" s="119" t="n">
        <x:f>IF(X791=0,0,(X791-IF(1=D791,1,0))*ROUND(Y791*VLOOKUP(INDEX('章节与怪物'!$E$31:$K$37,B791,1),'章节与怪物'!$A$41:$F$44,2,FALSE),0)+IF(1=D791,ROUND(Y791*'难度参数'!$E$28*'章节与怪物'!$E$17,0),0))</x:f>
        <x:v>451574</x:v>
      </x:c>
      <x:c r="AA791" s="119" t="n">
        <x:f>IF(X791=0,0,(X791-IF(1=D791,1,0))*VLOOKUP(INDEX('章节与怪物'!$E$31:$K$37,B791,1),'章节与怪物'!$A$41:$F$44,4,FALSE)+IF(1=D791,'难度参数'!$E$30,0))</x:f>
        <x:v>738</x:v>
      </x:c>
      <x:c r="AB791" s="119" t="n">
        <x:f>IF(2&gt;D791,0,MAX(2,MIN('难度参数'!$E$12,ROUND(('难度参数'!$E$18*POWER(A791,'难度参数'!$E$19)/D791*(0.85+0.3*(2-1)/MAX(1,D791-1))),0)+F791)))</x:f>
        <x:v>44</x:v>
      </x:c>
      <x:c r="AC791" s="119" t="n">
        <x:f>IF(2&gt;D791,0,ROUND(('难度参数'!$E$13*POWER(A791,'难度参数'!$E$20)*MIN('难度参数'!$E$23,1+MAX(0,A791-'难度参数'!$E$21)*'难度参数'!$E$22))*(36+2*7)/(36+7*(D791+1)/2)*E791,0))</x:f>
        <x:v>12806</x:v>
      </x:c>
      <x:c r="AD791" s="119" t="n">
        <x:f>IF(AB791=0,0,(AB791-IF(2=D791,1,0))*ROUND(AC791*VLOOKUP(INDEX('章节与怪物'!$E$31:$K$37,B791,2),'章节与怪物'!$A$41:$F$44,2,FALSE),0)+IF(2=D791,ROUND(AC791*'难度参数'!$E$28*'章节与怪物'!$E$17,0),0))</x:f>
        <x:v>405680</x:v>
      </x:c>
      <x:c r="AE791" s="119" t="n">
        <x:f>IF(AB791=0,0,(AB791-IF(2=D791,1,0))*VLOOKUP(INDEX('章节与怪物'!$E$31:$K$37,B791,2),'章节与怪物'!$A$41:$F$44,4,FALSE)+IF(2=D791,'难度参数'!$E$30,0))</x:f>
        <x:v>880</x:v>
      </x:c>
      <x:c r="AF791" s="119" t="n">
        <x:f>IF(3&gt;D791,0,MAX(2,MIN('难度参数'!$E$12,ROUND(('难度参数'!$E$18*POWER(A791,'难度参数'!$E$19)/D791*(0.85+0.3*(3-1)/MAX(1,D791-1))),0)+F791)))</x:f>
        <x:v>46</x:v>
      </x:c>
      <x:c r="AG791" s="119" t="n">
        <x:f>IF(3&gt;D791,0,ROUND(('难度参数'!$E$13*POWER(A791,'难度参数'!$E$20)*MIN('难度参数'!$E$23,1+MAX(0,A791-'难度参数'!$E$21)*'难度参数'!$E$22))*(36+3*7)/(36+7*(D791+1)/2)*E791,0))</x:f>
        <x:v>14599</x:v>
      </x:c>
      <x:c r="AH791" s="119" t="n">
        <x:f>IF(AF791=0,0,(AF791-IF(3=D791,1,0))*ROUND(AG791*VLOOKUP(INDEX('章节与怪物'!$E$31:$K$37,B791,3),'章节与怪物'!$A$41:$F$44,2,FALSE),0)+IF(3=D791,ROUND(AG791*'难度参数'!$E$28*'章节与怪物'!$E$17,0),0))</x:f>
        <x:v>1141628</x:v>
      </x:c>
      <x:c r="AI791" s="119" t="n">
        <x:f>IF(AF791=0,0,(AF791-IF(3=D791,1,0))*VLOOKUP(INDEX('章节与怪物'!$E$31:$K$37,B791,3),'章节与怪物'!$A$41:$F$44,4,FALSE)+IF(3=D791,'难度参数'!$E$30,0))</x:f>
        <x:v>1288</x:v>
      </x:c>
      <x:c r="AJ791" s="119" t="n">
        <x:f>IF(4&gt;D791,0,MAX(2,MIN('难度参数'!$E$12,ROUND(('难度参数'!$E$18*POWER(A791,'难度参数'!$E$19)/D791*(0.85+0.3*(4-1)/MAX(1,D791-1))),0)+F791)))</x:f>
        <x:v>49</x:v>
      </x:c>
      <x:c r="AK791" s="119" t="n">
        <x:f>IF(4&gt;D791,0,ROUND(('难度参数'!$E$13*POWER(A791,'难度参数'!$E$20)*MIN('难度参数'!$E$23,1+MAX(0,A791-'难度参数'!$E$21)*'难度参数'!$E$22))*(36+4*7)/(36+7*(D791+1)/2)*E791,0))</x:f>
        <x:v>16392</x:v>
      </x:c>
      <x:c r="AL791" s="119" t="n">
        <x:f>IF(AJ791=0,0,(AJ791-IF(4=D791,1,0))*ROUND(AK791*VLOOKUP(INDEX('章节与怪物'!$E$31:$K$37,B791,4),'章节与怪物'!$A$41:$F$44,2,FALSE),0)+IF(4=D791,ROUND(AK791*'难度参数'!$E$28*'章节与怪物'!$E$17,0),0))</x:f>
        <x:v>1084321</x:v>
      </x:c>
      <x:c r="AM791" s="119" t="n">
        <x:f>IF(AJ791=0,0,(AJ791-IF(4=D791,1,0))*VLOOKUP(INDEX('章节与怪物'!$E$31:$K$37,B791,4),'章节与怪物'!$A$41:$F$44,4,FALSE)+IF(4=D791,'难度参数'!$E$30,0))</x:f>
        <x:v>1666</x:v>
      </x:c>
      <x:c r="AN791" s="119" t="n">
        <x:f>IF(5&gt;D791,0,MAX(2,MIN('难度参数'!$E$12,ROUND(('难度参数'!$E$18*POWER(A791,'难度参数'!$E$19)/D791*(0.85+0.3*(5-1)/MAX(1,D791-1))),0)+F791)))</x:f>
        <x:v>51</x:v>
      </x:c>
      <x:c r="AO791" s="119" t="n">
        <x:f>IF(5&gt;D791,0,ROUND(('难度参数'!$E$13*POWER(A791,'难度参数'!$E$20)*MIN('难度参数'!$E$23,1+MAX(0,A791-'难度参数'!$E$21)*'难度参数'!$E$22))*(36+5*7)/(36+7*(D791+1)/2)*E791,0))</x:f>
        <x:v>18185</x:v>
      </x:c>
      <x:c r="AP791" s="119" t="n">
        <x:f>IF(AN791=0,0,(AN791-IF(5=D791,1,0))*ROUND(AO791*VLOOKUP(INDEX('章节与怪物'!$E$31:$K$37,B791,5),'章节与怪物'!$A$41:$F$44,2,FALSE),0)+IF(5=D791,ROUND(AO791*'难度参数'!$E$28*'章节与怪物'!$E$17,0),0))</x:f>
        <x:v>667743</x:v>
      </x:c>
      <x:c r="AQ791" s="119" t="n">
        <x:f>IF(AN791=0,0,(AN791-IF(5=D791,1,0))*VLOOKUP(INDEX('章节与怪物'!$E$31:$K$37,B791,5),'章节与怪物'!$A$41:$F$44,4,FALSE)+IF(5=D791,'难度参数'!$E$30,0))</x:f>
        <x:v>1020</x:v>
      </x:c>
      <x:c r="AR791" s="119" t="n">
        <x:f>IF(6&gt;D791,0,MAX(2,MIN('难度参数'!$E$12,ROUND(('难度参数'!$E$18*POWER(A791,'难度参数'!$E$19)/D791*(0.85+0.3*(6-1)/MAX(1,D791-1))),0)+F791)))</x:f>
        <x:v>53</x:v>
      </x:c>
      <x:c r="AS791" s="119" t="n">
        <x:f>IF(6&gt;D791,0,ROUND(('难度参数'!$E$13*POWER(A791,'难度参数'!$E$20)*MIN('难度参数'!$E$23,1+MAX(0,A791-'难度参数'!$E$21)*'难度参数'!$E$22))*(36+6*7)/(36+7*(D791+1)/2)*E791,0))</x:f>
        <x:v>19978</x:v>
      </x:c>
      <x:c r="AT791" s="119" t="n">
        <x:f>IF(AR791=0,0,(AR791-IF(6=D791,1,0))*ROUND(AS791*VLOOKUP(INDEX('章节与怪物'!$E$31:$K$37,B791,6),'章节与怪物'!$A$41:$F$44,2,FALSE),0)+IF(6=D791,ROUND(AS791*'难度参数'!$E$28*'章节与怪物'!$E$17,0),0))</x:f>
        <x:v>1800039</x:v>
      </x:c>
      <x:c r="AU791" s="119" t="n">
        <x:f>IF(AR791=0,0,(AR791-IF(6=D791,1,0))*VLOOKUP(INDEX('章节与怪物'!$E$31:$K$37,B791,6),'章节与怪物'!$A$41:$F$44,4,FALSE)+IF(6=D791,'难度参数'!$E$30,0))</x:f>
        <x:v>1484</x:v>
      </x:c>
      <x:c r="AV791" s="119" t="n">
        <x:f>IF(7&gt;D791,0,MAX(2,MIN('难度参数'!$E$12,ROUND(('难度参数'!$E$18*POWER(A791,'难度参数'!$E$19)/D791*(0.85+0.3*(7-1)/MAX(1,D791-1))),0)+F791)))</x:f>
        <x:v>56</x:v>
      </x:c>
      <x:c r="AW791" s="119" t="n">
        <x:f>IF(7&gt;D791,0,ROUND(('难度参数'!$E$13*POWER(A791,'难度参数'!$E$20)*MIN('难度参数'!$E$23,1+MAX(0,A791-'难度参数'!$E$21)*'难度参数'!$E$22))*(36+7*7)/(36+7*(D791+1)/2)*E791,0))</x:f>
        <x:v>21771</x:v>
      </x:c>
      <x:c r="AX791" s="119" t="n">
        <x:f>IF(AV791=0,0,(AV791-IF(7=D791,1,0))*ROUND(AW791*VLOOKUP(INDEX('章节与怪物'!$E$31:$K$37,B791,7),'章节与怪物'!$A$41:$F$44,2,FALSE),0)+IF(7=D791,ROUND(AW791*'难度参数'!$E$28*'章节与怪物'!$E$17,0),0))</x:f>
        <x:v>1764548</x:v>
      </x:c>
      <x:c r="AY791" s="119" t="n">
        <x:f>IF(AV791=0,0,(AV791-IF(7=D791,1,0))*VLOOKUP(INDEX('章节与怪物'!$E$31:$K$37,B791,7),'章节与怪物'!$A$41:$F$44,4,FALSE)+IF(7=D791,'难度参数'!$E$30,0))</x:f>
        <x:v>2070</x:v>
      </x:c>
    </x:row>
    <x:row r="792" ht="23" customHeight="1">
      <x:c r="A792" s="119" t="n">
        <x:v>786</x:v>
      </x:c>
      <x:c r="B792" s="119" t="n">
        <x:f>MOD(INT((A792-1)/5),7)+1</x:f>
        <x:v>4</x:v>
      </x:c>
      <x:c r="C792" s="62" t="str">
        <x:f>INDEX('章节与怪物'!$B$31:$B$37,B792)</x:f>
        <x:v>翠野边城</x:v>
      </x:c>
      <x:c r="D792" s="119" t="n">
        <x:f>MIN('难度参数'!$E$8,MAX('难度参数'!$E$7,A792))</x:f>
        <x:v>7</x:v>
      </x:c>
      <x:c r="E792" s="106" t="n">
        <x:v>1</x:v>
      </x:c>
      <x:c r="F792" s="106" t="n">
        <x:v>0</x:v>
      </x:c>
      <x:c r="G792" s="106" t="n">
        <x:v>1</x:v>
      </x:c>
      <x:c r="H792" s="119" t="n">
        <x:f>SUM(X792,AB792,AF792,AJ792,AN792,AR792,AV792)</x:f>
        <x:v>340</x:v>
      </x:c>
      <x:c r="I792" s="119" t="n">
        <x:f>SUM(Z792,AD792,AH792,AL792,AP792,AT792,AX792)</x:f>
        <x:v>6574954</x:v>
      </x:c>
      <x:c r="J792" s="119" t="n">
        <x:f>ROUND(INDEX(X792:AY792,1,(D792-1)*4+2)*'难度参数'!$E$28*'章节与怪物'!$E$17,0)</x:f>
        <x:v>148179</x:v>
      </x:c>
      <x:c r="K792" s="119" t="n">
        <x:f>SUM(AA792,AE792,AI792,AM792,AQ792,AU792,AY792)</x:f>
        <x:v>8614</x:v>
      </x:c>
      <x:c r="L792" s="62" t="n">
        <x:f>H792*(ROUNDUP('难度参数'!$E$24/('难度参数'!$E$26*'难度参数'!$E$27),0)*'难度参数'!$E$26)/60</x:f>
        <x:v>4.533333333333333</x:v>
      </x:c>
      <x:c r="M792" s="62" t="n">
        <x:f>L792+D792*('难度参数'!$E$49+'难度参数'!$E$50)/60</x:f>
        <x:v>5.7</x:v>
      </x:c>
      <x:c r="N792" s="119" t="n">
        <x:f>ROUNDDOWN(('经济参数'!$E$20+A792*'经济参数'!$E$21)*G792,0)</x:f>
        <x:v>15900</x:v>
      </x:c>
      <x:c r="O792" s="119" t="n">
        <x:f>ROUNDDOWN(MIN('经济参数'!$E$24,'经济参数'!$E$22+A792*'经济参数'!$E$23)*G792,0)</x:f>
        <x:v>0</x:v>
      </x:c>
      <x:c r="P792" s="119" t="n">
        <x:f>ROUNDDOWN((IF(A792&gt;='材料与任务'!$E$31,'材料与任务'!$E$32,IF(A792&gt;='材料与任务'!$E$25,'材料与任务'!$E$26,IF(A792&gt;='材料与任务'!$E$19,'材料与任务'!$E$20,IF(A792&gt;='材料与任务'!$E$13,'材料与任务'!$E$14,'材料与任务'!$E$8)))))*G792,0)</x:f>
        <x:v>6</x:v>
      </x:c>
      <x:c r="Q792" s="119" t="n">
        <x:f>ROUNDDOWN((IF(A792&gt;='材料与任务'!$E$31,'材料与任务'!$E$33,IF(A792&gt;='材料与任务'!$E$25,'材料与任务'!$E$27,IF(A792&gt;='材料与任务'!$E$19,'材料与任务'!$E$21,IF(A792&gt;='材料与任务'!$E$13,'材料与任务'!$E$15,'材料与任务'!$E$9)))))*G792,0)</x:f>
        <x:v>3</x:v>
      </x:c>
      <x:c r="R792" s="110" t="n">
        <x:f>'装备掉落'!$B$38</x:f>
        <x:v>0.6872058758851213</x:v>
      </x:c>
      <x:c r="S792" s="119" t="n">
        <x:f>MAX(IF(VLOOKUP(A792,'装备掉落'!$A$29:$H$34,2,TRUE)&gt;0,1,0),IF(VLOOKUP(A792,'装备掉落'!$A$29:$H$34,3,TRUE)&gt;0,2,0),IF(VLOOKUP(A792,'装备掉落'!$A$29:$H$34,4,TRUE)&gt;0,3,0),IF(VLOOKUP(A792,'装备掉落'!$A$29:$H$34,5,TRUE)&gt;0,4,0),IF(VLOOKUP(A792,'装备掉落'!$A$29:$H$34,6,TRUE)&gt;0,5,0),IF(VLOOKUP(A792,'装备掉落'!$A$29:$H$34,7,TRUE)&gt;0,6,0),IF(VLOOKUP(A792,'装备掉落'!$A$29:$H$34,8,TRUE)&gt;0,7,0))</x:f>
        <x:v>7</x:v>
      </x:c>
      <x:c r="T792" s="119" t="n">
        <x:f>MIN(7,S792+'经济参数'!$E$70)</x:f>
        <x:v>7</x:v>
      </x:c>
      <x:c r="U792" s="119" t="n">
        <x:f>MIN(7,S792+'经济参数'!$E$71)</x:f>
        <x:v>7</x:v>
      </x:c>
      <x:c r="V792" s="119" t="n">
        <x:f>IF(H792&gt;=('难度参数'!$E$52),1,0)+IF(H792&gt;=('难度参数'!$E$52+'难度参数'!$E$53),1,0)+IF(H792&gt;=('难度参数'!$E$52+'难度参数'!$E$53+'难度参数'!$E$54),1,0)+IF(H792&gt;=('难度参数'!$E$52+'难度参数'!$E$53+'难度参数'!$E$54+'难度参数'!$E$55),1,0)+IF(H792&gt;=('难度参数'!$E$52+'难度参数'!$E$53+'难度参数'!$E$54+'难度参数'!$E$55+'难度参数'!$E$56),1,0)+IF(H792&gt;=('难度参数'!$E$52+'难度参数'!$E$53+'难度参数'!$E$54+'难度参数'!$E$55+'难度参数'!$E$56+'难度参数'!$E$57),1,0)</x:f>
        <x:v>6</x:v>
      </x:c>
      <x:c r="W792" s="62" t="str">
        <x:f>IF(L792&gt;'难度参数'!$E$51,"仅出怪已超目标","还需实测")</x:f>
        <x:v>仅出怪已超目标</x:v>
      </x:c>
      <x:c r="X792" s="119" t="n">
        <x:f>IF(1&gt;D792,0,MAX(2,MIN('难度参数'!$E$12,ROUND(('难度参数'!$E$18*POWER(A792,'难度参数'!$E$19)/D792*(0.85+0.3*(1-1)/MAX(1,D792-1))),0)+F792)))</x:f>
        <x:v>41</x:v>
      </x:c>
      <x:c r="Y792" s="119" t="n">
        <x:f>IF(1&gt;D792,0,ROUND(('难度参数'!$E$13*POWER(A792,'难度参数'!$E$20)*MIN('难度参数'!$E$23,1+MAX(0,A792-'难度参数'!$E$21)*'难度参数'!$E$22))*(36+1*7)/(36+7*(D792+1)/2)*E792,0))</x:f>
        <x:v>11024</x:v>
      </x:c>
      <x:c r="Z792" s="119" t="n">
        <x:f>IF(X792=0,0,(X792-IF(1=D792,1,0))*ROUND(Y792*VLOOKUP(INDEX('章节与怪物'!$E$31:$K$37,B792,1),'章节与怪物'!$A$41:$F$44,2,FALSE),0)+IF(1=D792,ROUND(Y792*'难度参数'!$E$28*'章节与怪物'!$E$17,0),0))</x:f>
        <x:v>325417</x:v>
      </x:c>
      <x:c r="AA792" s="119" t="n">
        <x:f>IF(X792=0,0,(X792-IF(1=D792,1,0))*VLOOKUP(INDEX('章节与怪物'!$E$31:$K$37,B792,1),'章节与怪物'!$A$41:$F$44,4,FALSE)+IF(1=D792,'难度参数'!$E$30,0))</x:f>
        <x:v>820</x:v>
      </x:c>
      <x:c r="AB792" s="119" t="n">
        <x:f>IF(2&gt;D792,0,MAX(2,MIN('难度参数'!$E$12,ROUND(('难度参数'!$E$18*POWER(A792,'难度参数'!$E$19)/D792*(0.85+0.3*(2-1)/MAX(1,D792-1))),0)+F792)))</x:f>
        <x:v>44</x:v>
      </x:c>
      <x:c r="AC792" s="119" t="n">
        <x:f>IF(2&gt;D792,0,ROUND(('难度参数'!$E$13*POWER(A792,'难度参数'!$E$20)*MIN('难度参数'!$E$23,1+MAX(0,A792-'难度参数'!$E$21)*'难度参数'!$E$22))*(36+2*7)/(36+7*(D792+1)/2)*E792,0))</x:f>
        <x:v>12818</x:v>
      </x:c>
      <x:c r="AD792" s="119" t="n">
        <x:f>IF(AB792=0,0,(AB792-IF(2=D792,1,0))*ROUND(AC792*VLOOKUP(INDEX('章节与怪物'!$E$31:$K$37,B792,2),'章节与怪物'!$A$41:$F$44,2,FALSE),0)+IF(2=D792,ROUND(AC792*'难度参数'!$E$28*'章节与怪物'!$E$17,0),0))</x:f>
        <x:v>563992</x:v>
      </x:c>
      <x:c r="AE792" s="119" t="n">
        <x:f>IF(AB792=0,0,(AB792-IF(2=D792,1,0))*VLOOKUP(INDEX('章节与怪物'!$E$31:$K$37,B792,2),'章节与怪物'!$A$41:$F$44,4,FALSE)+IF(2=D792,'难度参数'!$E$30,0))</x:f>
        <x:v>792</x:v>
      </x:c>
      <x:c r="AF792" s="119" t="n">
        <x:f>IF(3&gt;D792,0,MAX(2,MIN('难度参数'!$E$12,ROUND(('难度参数'!$E$18*POWER(A792,'难度参数'!$E$19)/D792*(0.85+0.3*(3-1)/MAX(1,D792-1))),0)+F792)))</x:f>
        <x:v>46</x:v>
      </x:c>
      <x:c r="AG792" s="119" t="n">
        <x:f>IF(3&gt;D792,0,ROUND(('难度参数'!$E$13*POWER(A792,'难度参数'!$E$20)*MIN('难度参数'!$E$23,1+MAX(0,A792-'难度参数'!$E$21)*'难度参数'!$E$22))*(36+3*7)/(36+7*(D792+1)/2)*E792,0))</x:f>
        <x:v>14613</x:v>
      </x:c>
      <x:c r="AH792" s="119" t="n">
        <x:f>IF(AF792=0,0,(AF792-IF(3=D792,1,0))*ROUND(AG792*VLOOKUP(INDEX('章节与怪物'!$E$31:$K$37,B792,3),'章节与怪物'!$A$41:$F$44,2,FALSE),0)+IF(3=D792,ROUND(AG792*'难度参数'!$E$28*'章节与怪物'!$E$17,0),0))</x:f>
        <x:v>1142732</x:v>
      </x:c>
      <x:c r="AI792" s="119" t="n">
        <x:f>IF(AF792=0,0,(AF792-IF(3=D792,1,0))*VLOOKUP(INDEX('章节与怪物'!$E$31:$K$37,B792,3),'章节与怪物'!$A$41:$F$44,4,FALSE)+IF(3=D792,'难度参数'!$E$30,0))</x:f>
        <x:v>1288</x:v>
      </x:c>
      <x:c r="AJ792" s="119" t="n">
        <x:f>IF(4&gt;D792,0,MAX(2,MIN('难度参数'!$E$12,ROUND(('难度参数'!$E$18*POWER(A792,'难度参数'!$E$19)/D792*(0.85+0.3*(4-1)/MAX(1,D792-1))),0)+F792)))</x:f>
        <x:v>49</x:v>
      </x:c>
      <x:c r="AK792" s="119" t="n">
        <x:f>IF(4&gt;D792,0,ROUND(('难度参数'!$E$13*POWER(A792,'难度参数'!$E$20)*MIN('难度参数'!$E$23,1+MAX(0,A792-'难度参数'!$E$21)*'难度参数'!$E$22))*(36+4*7)/(36+7*(D792+1)/2)*E792,0))</x:f>
        <x:v>16407</x:v>
      </x:c>
      <x:c r="AL792" s="119" t="n">
        <x:f>IF(AJ792=0,0,(AJ792-IF(4=D792,1,0))*ROUND(AK792*VLOOKUP(INDEX('章节与怪物'!$E$31:$K$37,B792,4),'章节与怪物'!$A$41:$F$44,2,FALSE),0)+IF(4=D792,ROUND(AK792*'难度参数'!$E$28*'章节与怪物'!$E$17,0),0))</x:f>
        <x:v>1085301</x:v>
      </x:c>
      <x:c r="AM792" s="119" t="n">
        <x:f>IF(AJ792=0,0,(AJ792-IF(4=D792,1,0))*VLOOKUP(INDEX('章节与怪物'!$E$31:$K$37,B792,4),'章节与怪物'!$A$41:$F$44,4,FALSE)+IF(4=D792,'难度参数'!$E$30,0))</x:f>
        <x:v>1666</x:v>
      </x:c>
      <x:c r="AN792" s="119" t="n">
        <x:f>IF(5&gt;D792,0,MAX(2,MIN('难度参数'!$E$12,ROUND(('难度参数'!$E$18*POWER(A792,'难度参数'!$E$19)/D792*(0.85+0.3*(5-1)/MAX(1,D792-1))),0)+F792)))</x:f>
        <x:v>51</x:v>
      </x:c>
      <x:c r="AO792" s="119" t="n">
        <x:f>IF(5&gt;D792,0,ROUND(('难度参数'!$E$13*POWER(A792,'难度参数'!$E$20)*MIN('难度参数'!$E$23,1+MAX(0,A792-'难度参数'!$E$21)*'难度参数'!$E$22))*(36+5*7)/(36+7*(D792+1)/2)*E792,0))</x:f>
        <x:v>18202</x:v>
      </x:c>
      <x:c r="AP792" s="119" t="n">
        <x:f>IF(AN792=0,0,(AN792-IF(5=D792,1,0))*ROUND(AO792*VLOOKUP(INDEX('章节与怪物'!$E$31:$K$37,B792,5),'章节与怪物'!$A$41:$F$44,2,FALSE),0)+IF(5=D792,ROUND(AO792*'难度参数'!$E$28*'章节与怪物'!$E$17,0),0))</x:f>
        <x:v>928302</x:v>
      </x:c>
      <x:c r="AQ792" s="119" t="n">
        <x:f>IF(AN792=0,0,(AN792-IF(5=D792,1,0))*VLOOKUP(INDEX('章节与怪物'!$E$31:$K$37,B792,5),'章节与怪物'!$A$41:$F$44,4,FALSE)+IF(5=D792,'难度参数'!$E$30,0))</x:f>
        <x:v>918</x:v>
      </x:c>
      <x:c r="AR792" s="119" t="n">
        <x:f>IF(6&gt;D792,0,MAX(2,MIN('难度参数'!$E$12,ROUND(('难度参数'!$E$18*POWER(A792,'难度参数'!$E$19)/D792*(0.85+0.3*(6-1)/MAX(1,D792-1))),0)+F792)))</x:f>
        <x:v>53</x:v>
      </x:c>
      <x:c r="AS792" s="119" t="n">
        <x:f>IF(6&gt;D792,0,ROUND(('难度参数'!$E$13*POWER(A792,'难度参数'!$E$20)*MIN('难度参数'!$E$23,1+MAX(0,A792-'难度参数'!$E$21)*'难度参数'!$E$22))*(36+6*7)/(36+7*(D792+1)/2)*E792,0))</x:f>
        <x:v>19996</x:v>
      </x:c>
      <x:c r="AT792" s="119" t="n">
        <x:f>IF(AR792=0,0,(AR792-IF(6=D792,1,0))*ROUND(AS792*VLOOKUP(INDEX('章节与怪物'!$E$31:$K$37,B792,6),'章节与怪物'!$A$41:$F$44,2,FALSE),0)+IF(6=D792,ROUND(AS792*'难度参数'!$E$28*'章节与怪物'!$E$17,0),0))</x:f>
        <x:v>763041</x:v>
      </x:c>
      <x:c r="AU792" s="119" t="n">
        <x:f>IF(AR792=0,0,(AR792-IF(6=D792,1,0))*VLOOKUP(INDEX('章节与怪物'!$E$31:$K$37,B792,6),'章节与怪物'!$A$41:$F$44,4,FALSE)+IF(6=D792,'难度参数'!$E$30,0))</x:f>
        <x:v>1060</x:v>
      </x:c>
      <x:c r="AV792" s="119" t="n">
        <x:f>IF(7&gt;D792,0,MAX(2,MIN('难度参数'!$E$12,ROUND(('难度参数'!$E$18*POWER(A792,'难度参数'!$E$19)/D792*(0.85+0.3*(7-1)/MAX(1,D792-1))),0)+F792)))</x:f>
        <x:v>56</x:v>
      </x:c>
      <x:c r="AW792" s="119" t="n">
        <x:f>IF(7&gt;D792,0,ROUND(('难度参数'!$E$13*POWER(A792,'难度参数'!$E$20)*MIN('难度参数'!$E$23,1+MAX(0,A792-'难度参数'!$E$21)*'难度参数'!$E$22))*(36+7*7)/(36+7*(D792+1)/2)*E792,0))</x:f>
        <x:v>21791</x:v>
      </x:c>
      <x:c r="AX792" s="119" t="n">
        <x:f>IF(AV792=0,0,(AV792-IF(7=D792,1,0))*ROUND(AW792*VLOOKUP(INDEX('章节与怪物'!$E$31:$K$37,B792,7),'章节与怪物'!$A$41:$F$44,2,FALSE),0)+IF(7=D792,ROUND(AW792*'难度参数'!$E$28*'章节与怪物'!$E$17,0),0))</x:f>
        <x:v>1766169</x:v>
      </x:c>
      <x:c r="AY792" s="119" t="n">
        <x:f>IF(AV792=0,0,(AV792-IF(7=D792,1,0))*VLOOKUP(INDEX('章节与怪物'!$E$31:$K$37,B792,7),'章节与怪物'!$A$41:$F$44,4,FALSE)+IF(7=D792,'难度参数'!$E$30,0))</x:f>
        <x:v>2070</x:v>
      </x:c>
    </x:row>
    <x:row r="793" ht="23" customHeight="1">
      <x:c r="A793" s="119" t="n">
        <x:v>787</x:v>
      </x:c>
      <x:c r="B793" s="119" t="n">
        <x:f>MOD(INT((A793-1)/5),7)+1</x:f>
        <x:v>4</x:v>
      </x:c>
      <x:c r="C793" s="62" t="str">
        <x:f>INDEX('章节与怪物'!$B$31:$B$37,B793)</x:f>
        <x:v>翠野边城</x:v>
      </x:c>
      <x:c r="D793" s="119" t="n">
        <x:f>MIN('难度参数'!$E$8,MAX('难度参数'!$E$7,A793))</x:f>
        <x:v>7</x:v>
      </x:c>
      <x:c r="E793" s="106" t="n">
        <x:v>1</x:v>
      </x:c>
      <x:c r="F793" s="106" t="n">
        <x:v>0</x:v>
      </x:c>
      <x:c r="G793" s="106" t="n">
        <x:v>1</x:v>
      </x:c>
      <x:c r="H793" s="119" t="n">
        <x:f>SUM(X793,AB793,AF793,AJ793,AN793,AR793,AV793)</x:f>
        <x:v>341</x:v>
      </x:c>
      <x:c r="I793" s="119" t="n">
        <x:f>SUM(Z793,AD793,AH793,AL793,AP793,AT793,AX793)</x:f>
        <x:v>6595451</x:v>
      </x:c>
      <x:c r="J793" s="119" t="n">
        <x:f>ROUND(INDEX(X793:AY793,1,(D793-1)*4+2)*'难度参数'!$E$28*'章节与怪物'!$E$17,0)</x:f>
        <x:v>148315</x:v>
      </x:c>
      <x:c r="K793" s="119" t="n">
        <x:f>SUM(AA793,AE793,AI793,AM793,AQ793,AU793,AY793)</x:f>
        <x:v>8634</x:v>
      </x:c>
      <x:c r="L793" s="62" t="n">
        <x:f>H793*(ROUNDUP('难度参数'!$E$24/('难度参数'!$E$26*'难度参数'!$E$27),0)*'难度参数'!$E$26)/60</x:f>
        <x:v>4.546666666666667</x:v>
      </x:c>
      <x:c r="M793" s="62" t="n">
        <x:f>L793+D793*('难度参数'!$E$49+'难度参数'!$E$50)/60</x:f>
        <x:v>5.713333333333334</x:v>
      </x:c>
      <x:c r="N793" s="119" t="n">
        <x:f>ROUNDDOWN(('经济参数'!$E$20+A793*'经济参数'!$E$21)*G793,0)</x:f>
        <x:v>15920</x:v>
      </x:c>
      <x:c r="O793" s="119" t="n">
        <x:f>ROUNDDOWN(MIN('经济参数'!$E$24,'经济参数'!$E$22+A793*'经济参数'!$E$23)*G793,0)</x:f>
        <x:v>0</x:v>
      </x:c>
      <x:c r="P793" s="119" t="n">
        <x:f>ROUNDDOWN((IF(A793&gt;='材料与任务'!$E$31,'材料与任务'!$E$32,IF(A793&gt;='材料与任务'!$E$25,'材料与任务'!$E$26,IF(A793&gt;='材料与任务'!$E$19,'材料与任务'!$E$20,IF(A793&gt;='材料与任务'!$E$13,'材料与任务'!$E$14,'材料与任务'!$E$8)))))*G793,0)</x:f>
        <x:v>6</x:v>
      </x:c>
      <x:c r="Q793" s="119" t="n">
        <x:f>ROUNDDOWN((IF(A793&gt;='材料与任务'!$E$31,'材料与任务'!$E$33,IF(A793&gt;='材料与任务'!$E$25,'材料与任务'!$E$27,IF(A793&gt;='材料与任务'!$E$19,'材料与任务'!$E$21,IF(A793&gt;='材料与任务'!$E$13,'材料与任务'!$E$15,'材料与任务'!$E$9)))))*G793,0)</x:f>
        <x:v>3</x:v>
      </x:c>
      <x:c r="R793" s="110" t="n">
        <x:f>'装备掉落'!$B$38</x:f>
        <x:v>0.6872058758851213</x:v>
      </x:c>
      <x:c r="S793" s="119" t="n">
        <x:f>MAX(IF(VLOOKUP(A793,'装备掉落'!$A$29:$H$34,2,TRUE)&gt;0,1,0),IF(VLOOKUP(A793,'装备掉落'!$A$29:$H$34,3,TRUE)&gt;0,2,0),IF(VLOOKUP(A793,'装备掉落'!$A$29:$H$34,4,TRUE)&gt;0,3,0),IF(VLOOKUP(A793,'装备掉落'!$A$29:$H$34,5,TRUE)&gt;0,4,0),IF(VLOOKUP(A793,'装备掉落'!$A$29:$H$34,6,TRUE)&gt;0,5,0),IF(VLOOKUP(A793,'装备掉落'!$A$29:$H$34,7,TRUE)&gt;0,6,0),IF(VLOOKUP(A793,'装备掉落'!$A$29:$H$34,8,TRUE)&gt;0,7,0))</x:f>
        <x:v>7</x:v>
      </x:c>
      <x:c r="T793" s="119" t="n">
        <x:f>MIN(7,S793+'经济参数'!$E$70)</x:f>
        <x:v>7</x:v>
      </x:c>
      <x:c r="U793" s="119" t="n">
        <x:f>MIN(7,S793+'经济参数'!$E$71)</x:f>
        <x:v>7</x:v>
      </x:c>
      <x:c r="V793" s="119" t="n">
        <x:f>IF(H793&gt;=('难度参数'!$E$52),1,0)+IF(H793&gt;=('难度参数'!$E$52+'难度参数'!$E$53),1,0)+IF(H793&gt;=('难度参数'!$E$52+'难度参数'!$E$53+'难度参数'!$E$54),1,0)+IF(H793&gt;=('难度参数'!$E$52+'难度参数'!$E$53+'难度参数'!$E$54+'难度参数'!$E$55),1,0)+IF(H793&gt;=('难度参数'!$E$52+'难度参数'!$E$53+'难度参数'!$E$54+'难度参数'!$E$55+'难度参数'!$E$56),1,0)+IF(H793&gt;=('难度参数'!$E$52+'难度参数'!$E$53+'难度参数'!$E$54+'难度参数'!$E$55+'难度参数'!$E$56+'难度参数'!$E$57),1,0)</x:f>
        <x:v>6</x:v>
      </x:c>
      <x:c r="W793" s="62" t="str">
        <x:f>IF(L793&gt;'难度参数'!$E$51,"仅出怪已超目标","还需实测")</x:f>
        <x:v>仅出怪已超目标</x:v>
      </x:c>
      <x:c r="X793" s="119" t="n">
        <x:f>IF(1&gt;D793,0,MAX(2,MIN('难度参数'!$E$12,ROUND(('难度参数'!$E$18*POWER(A793,'难度参数'!$E$19)/D793*(0.85+0.3*(1-1)/MAX(1,D793-1))),0)+F793)))</x:f>
        <x:v>41</x:v>
      </x:c>
      <x:c r="Y793" s="119" t="n">
        <x:f>IF(1&gt;D793,0,ROUND(('难度参数'!$E$13*POWER(A793,'难度参数'!$E$20)*MIN('难度参数'!$E$23,1+MAX(0,A793-'难度参数'!$E$21)*'难度参数'!$E$22))*(36+1*7)/(36+7*(D793+1)/2)*E793,0))</x:f>
        <x:v>11034</x:v>
      </x:c>
      <x:c r="Z793" s="119" t="n">
        <x:f>IF(X793=0,0,(X793-IF(1=D793,1,0))*ROUND(Y793*VLOOKUP(INDEX('章节与怪物'!$E$31:$K$37,B793,1),'章节与怪物'!$A$41:$F$44,2,FALSE),0)+IF(1=D793,ROUND(Y793*'难度参数'!$E$28*'章节与怪物'!$E$17,0),0))</x:f>
        <x:v>325704</x:v>
      </x:c>
      <x:c r="AA793" s="119" t="n">
        <x:f>IF(X793=0,0,(X793-IF(1=D793,1,0))*VLOOKUP(INDEX('章节与怪物'!$E$31:$K$37,B793,1),'章节与怪物'!$A$41:$F$44,4,FALSE)+IF(1=D793,'难度参数'!$E$30,0))</x:f>
        <x:v>820</x:v>
      </x:c>
      <x:c r="AB793" s="119" t="n">
        <x:f>IF(2&gt;D793,0,MAX(2,MIN('难度参数'!$E$12,ROUND(('难度参数'!$E$18*POWER(A793,'难度参数'!$E$19)/D793*(0.85+0.3*(2-1)/MAX(1,D793-1))),0)+F793)))</x:f>
        <x:v>44</x:v>
      </x:c>
      <x:c r="AC793" s="119" t="n">
        <x:f>IF(2&gt;D793,0,ROUND(('难度参数'!$E$13*POWER(A793,'难度参数'!$E$20)*MIN('难度参数'!$E$23,1+MAX(0,A793-'难度参数'!$E$21)*'难度参数'!$E$22))*(36+2*7)/(36+7*(D793+1)/2)*E793,0))</x:f>
        <x:v>12830</x:v>
      </x:c>
      <x:c r="AD793" s="119" t="n">
        <x:f>IF(AB793=0,0,(AB793-IF(2=D793,1,0))*ROUND(AC793*VLOOKUP(INDEX('章节与怪物'!$E$31:$K$37,B793,2),'章节与怪物'!$A$41:$F$44,2,FALSE),0)+IF(2=D793,ROUND(AC793*'难度参数'!$E$28*'章节与怪物'!$E$17,0),0))</x:f>
        <x:v>564520</x:v>
      </x:c>
      <x:c r="AE793" s="119" t="n">
        <x:f>IF(AB793=0,0,(AB793-IF(2=D793,1,0))*VLOOKUP(INDEX('章节与怪物'!$E$31:$K$37,B793,2),'章节与怪物'!$A$41:$F$44,4,FALSE)+IF(2=D793,'难度参数'!$E$30,0))</x:f>
        <x:v>792</x:v>
      </x:c>
      <x:c r="AF793" s="119" t="n">
        <x:f>IF(3&gt;D793,0,MAX(2,MIN('难度参数'!$E$12,ROUND(('难度参数'!$E$18*POWER(A793,'难度参数'!$E$19)/D793*(0.85+0.3*(3-1)/MAX(1,D793-1))),0)+F793)))</x:f>
        <x:v>46</x:v>
      </x:c>
      <x:c r="AG793" s="119" t="n">
        <x:f>IF(3&gt;D793,0,ROUND(('难度参数'!$E$13*POWER(A793,'难度参数'!$E$20)*MIN('难度参数'!$E$23,1+MAX(0,A793-'难度参数'!$E$21)*'难度参数'!$E$22))*(36+3*7)/(36+7*(D793+1)/2)*E793,0))</x:f>
        <x:v>14626</x:v>
      </x:c>
      <x:c r="AH793" s="119" t="n">
        <x:f>IF(AF793=0,0,(AF793-IF(3=D793,1,0))*ROUND(AG793*VLOOKUP(INDEX('章节与怪物'!$E$31:$K$37,B793,3),'章节与怪物'!$A$41:$F$44,2,FALSE),0)+IF(3=D793,ROUND(AG793*'难度参数'!$E$28*'章节与怪物'!$E$17,0),0))</x:f>
        <x:v>1143744</x:v>
      </x:c>
      <x:c r="AI793" s="119" t="n">
        <x:f>IF(AF793=0,0,(AF793-IF(3=D793,1,0))*VLOOKUP(INDEX('章节与怪物'!$E$31:$K$37,B793,3),'章节与怪物'!$A$41:$F$44,4,FALSE)+IF(3=D793,'难度参数'!$E$30,0))</x:f>
        <x:v>1288</x:v>
      </x:c>
      <x:c r="AJ793" s="119" t="n">
        <x:f>IF(4&gt;D793,0,MAX(2,MIN('难度参数'!$E$12,ROUND(('难度参数'!$E$18*POWER(A793,'难度参数'!$E$19)/D793*(0.85+0.3*(4-1)/MAX(1,D793-1))),0)+F793)))</x:f>
        <x:v>49</x:v>
      </x:c>
      <x:c r="AK793" s="119" t="n">
        <x:f>IF(4&gt;D793,0,ROUND(('难度参数'!$E$13*POWER(A793,'难度参数'!$E$20)*MIN('难度参数'!$E$23,1+MAX(0,A793-'难度参数'!$E$21)*'难度参数'!$E$22))*(36+4*7)/(36+7*(D793+1)/2)*E793,0))</x:f>
        <x:v>16422</x:v>
      </x:c>
      <x:c r="AL793" s="119" t="n">
        <x:f>IF(AJ793=0,0,(AJ793-IF(4=D793,1,0))*ROUND(AK793*VLOOKUP(INDEX('章节与怪物'!$E$31:$K$37,B793,4),'章节与怪物'!$A$41:$F$44,2,FALSE),0)+IF(4=D793,ROUND(AK793*'难度参数'!$E$28*'章节与怪物'!$E$17,0),0))</x:f>
        <x:v>1086330</x:v>
      </x:c>
      <x:c r="AM793" s="119" t="n">
        <x:f>IF(AJ793=0,0,(AJ793-IF(4=D793,1,0))*VLOOKUP(INDEX('章节与怪物'!$E$31:$K$37,B793,4),'章节与怪物'!$A$41:$F$44,4,FALSE)+IF(4=D793,'难度参数'!$E$30,0))</x:f>
        <x:v>1666</x:v>
      </x:c>
      <x:c r="AN793" s="119" t="n">
        <x:f>IF(5&gt;D793,0,MAX(2,MIN('难度参数'!$E$12,ROUND(('难度参数'!$E$18*POWER(A793,'难度参数'!$E$19)/D793*(0.85+0.3*(5-1)/MAX(1,D793-1))),0)+F793)))</x:f>
        <x:v>51</x:v>
      </x:c>
      <x:c r="AO793" s="119" t="n">
        <x:f>IF(5&gt;D793,0,ROUND(('难度参数'!$E$13*POWER(A793,'难度参数'!$E$20)*MIN('难度参数'!$E$23,1+MAX(0,A793-'难度参数'!$E$21)*'难度参数'!$E$22))*(36+5*7)/(36+7*(D793+1)/2)*E793,0))</x:f>
        <x:v>18219</x:v>
      </x:c>
      <x:c r="AP793" s="119" t="n">
        <x:f>IF(AN793=0,0,(AN793-IF(5=D793,1,0))*ROUND(AO793*VLOOKUP(INDEX('章节与怪物'!$E$31:$K$37,B793,5),'章节与怪物'!$A$41:$F$44,2,FALSE),0)+IF(5=D793,ROUND(AO793*'难度参数'!$E$28*'章节与怪物'!$E$17,0),0))</x:f>
        <x:v>929169</x:v>
      </x:c>
      <x:c r="AQ793" s="119" t="n">
        <x:f>IF(AN793=0,0,(AN793-IF(5=D793,1,0))*VLOOKUP(INDEX('章节与怪物'!$E$31:$K$37,B793,5),'章节与怪物'!$A$41:$F$44,4,FALSE)+IF(5=D793,'难度参数'!$E$30,0))</x:f>
        <x:v>918</x:v>
      </x:c>
      <x:c r="AR793" s="119" t="n">
        <x:f>IF(6&gt;D793,0,MAX(2,MIN('难度参数'!$E$12,ROUND(('难度参数'!$E$18*POWER(A793,'难度参数'!$E$19)/D793*(0.85+0.3*(6-1)/MAX(1,D793-1))),0)+F793)))</x:f>
        <x:v>54</x:v>
      </x:c>
      <x:c r="AS793" s="119" t="n">
        <x:f>IF(6&gt;D793,0,ROUND(('难度参数'!$E$13*POWER(A793,'难度参数'!$E$20)*MIN('难度参数'!$E$23,1+MAX(0,A793-'难度参数'!$E$21)*'难度参数'!$E$22))*(36+6*7)/(36+7*(D793+1)/2)*E793,0))</x:f>
        <x:v>20015</x:v>
      </x:c>
      <x:c r="AT793" s="119" t="n">
        <x:f>IF(AR793=0,0,(AR793-IF(6=D793,1,0))*ROUND(AS793*VLOOKUP(INDEX('章节与怪物'!$E$31:$K$37,B793,6),'章节与怪物'!$A$41:$F$44,2,FALSE),0)+IF(6=D793,ROUND(AS793*'难度参数'!$E$28*'章节与怪物'!$E$17,0),0))</x:f>
        <x:v>778194</x:v>
      </x:c>
      <x:c r="AU793" s="119" t="n">
        <x:f>IF(AR793=0,0,(AR793-IF(6=D793,1,0))*VLOOKUP(INDEX('章节与怪物'!$E$31:$K$37,B793,6),'章节与怪物'!$A$41:$F$44,4,FALSE)+IF(6=D793,'难度参数'!$E$30,0))</x:f>
        <x:v>1080</x:v>
      </x:c>
      <x:c r="AV793" s="119" t="n">
        <x:f>IF(7&gt;D793,0,MAX(2,MIN('难度参数'!$E$12,ROUND(('难度参数'!$E$18*POWER(A793,'难度参数'!$E$19)/D793*(0.85+0.3*(7-1)/MAX(1,D793-1))),0)+F793)))</x:f>
        <x:v>56</x:v>
      </x:c>
      <x:c r="AW793" s="119" t="n">
        <x:f>IF(7&gt;D793,0,ROUND(('难度参数'!$E$13*POWER(A793,'难度参数'!$E$20)*MIN('难度参数'!$E$23,1+MAX(0,A793-'难度参数'!$E$21)*'难度参数'!$E$22))*(36+7*7)/(36+7*(D793+1)/2)*E793,0))</x:f>
        <x:v>21811</x:v>
      </x:c>
      <x:c r="AX793" s="119" t="n">
        <x:f>IF(AV793=0,0,(AV793-IF(7=D793,1,0))*ROUND(AW793*VLOOKUP(INDEX('章节与怪物'!$E$31:$K$37,B793,7),'章节与怪物'!$A$41:$F$44,2,FALSE),0)+IF(7=D793,ROUND(AW793*'难度参数'!$E$28*'章节与怪物'!$E$17,0),0))</x:f>
        <x:v>1767790</x:v>
      </x:c>
      <x:c r="AY793" s="119" t="n">
        <x:f>IF(AV793=0,0,(AV793-IF(7=D793,1,0))*VLOOKUP(INDEX('章节与怪物'!$E$31:$K$37,B793,7),'章节与怪物'!$A$41:$F$44,4,FALSE)+IF(7=D793,'难度参数'!$E$30,0))</x:f>
        <x:v>2070</x:v>
      </x:c>
    </x:row>
    <x:row r="794" ht="23" customHeight="1">
      <x:c r="A794" s="119" t="n">
        <x:v>788</x:v>
      </x:c>
      <x:c r="B794" s="119" t="n">
        <x:f>MOD(INT((A794-1)/5),7)+1</x:f>
        <x:v>4</x:v>
      </x:c>
      <x:c r="C794" s="62" t="str">
        <x:f>INDEX('章节与怪物'!$B$31:$B$37,B794)</x:f>
        <x:v>翠野边城</x:v>
      </x:c>
      <x:c r="D794" s="119" t="n">
        <x:f>MIN('难度参数'!$E$8,MAX('难度参数'!$E$7,A794))</x:f>
        <x:v>7</x:v>
      </x:c>
      <x:c r="E794" s="106" t="n">
        <x:v>1</x:v>
      </x:c>
      <x:c r="F794" s="106" t="n">
        <x:v>0</x:v>
      </x:c>
      <x:c r="G794" s="106" t="n">
        <x:v>1</x:v>
      </x:c>
      <x:c r="H794" s="119" t="n">
        <x:f>SUM(X794,AB794,AF794,AJ794,AN794,AR794,AV794)</x:f>
        <x:v>341</x:v>
      </x:c>
      <x:c r="I794" s="119" t="n">
        <x:f>SUM(Z794,AD794,AH794,AL794,AP794,AT794,AX794)</x:f>
        <x:v>6601530</x:v>
      </x:c>
      <x:c r="J794" s="119" t="n">
        <x:f>ROUND(INDEX(X794:AY794,1,(D794-1)*4+2)*'难度参数'!$E$28*'章节与怪物'!$E$17,0)</x:f>
        <x:v>148451</x:v>
      </x:c>
      <x:c r="K794" s="119" t="n">
        <x:f>SUM(AA794,AE794,AI794,AM794,AQ794,AU794,AY794)</x:f>
        <x:v>8634</x:v>
      </x:c>
      <x:c r="L794" s="62" t="n">
        <x:f>H794*(ROUNDUP('难度参数'!$E$24/('难度参数'!$E$26*'难度参数'!$E$27),0)*'难度参数'!$E$26)/60</x:f>
        <x:v>4.546666666666667</x:v>
      </x:c>
      <x:c r="M794" s="62" t="n">
        <x:f>L794+D794*('难度参数'!$E$49+'难度参数'!$E$50)/60</x:f>
        <x:v>5.713333333333334</x:v>
      </x:c>
      <x:c r="N794" s="119" t="n">
        <x:f>ROUNDDOWN(('经济参数'!$E$20+A794*'经济参数'!$E$21)*G794,0)</x:f>
        <x:v>15940</x:v>
      </x:c>
      <x:c r="O794" s="119" t="n">
        <x:f>ROUNDDOWN(MIN('经济参数'!$E$24,'经济参数'!$E$22+A794*'经济参数'!$E$23)*G794,0)</x:f>
        <x:v>0</x:v>
      </x:c>
      <x:c r="P794" s="119" t="n">
        <x:f>ROUNDDOWN((IF(A794&gt;='材料与任务'!$E$31,'材料与任务'!$E$32,IF(A794&gt;='材料与任务'!$E$25,'材料与任务'!$E$26,IF(A794&gt;='材料与任务'!$E$19,'材料与任务'!$E$20,IF(A794&gt;='材料与任务'!$E$13,'材料与任务'!$E$14,'材料与任务'!$E$8)))))*G794,0)</x:f>
        <x:v>6</x:v>
      </x:c>
      <x:c r="Q794" s="119" t="n">
        <x:f>ROUNDDOWN((IF(A794&gt;='材料与任务'!$E$31,'材料与任务'!$E$33,IF(A794&gt;='材料与任务'!$E$25,'材料与任务'!$E$27,IF(A794&gt;='材料与任务'!$E$19,'材料与任务'!$E$21,IF(A794&gt;='材料与任务'!$E$13,'材料与任务'!$E$15,'材料与任务'!$E$9)))))*G794,0)</x:f>
        <x:v>3</x:v>
      </x:c>
      <x:c r="R794" s="110" t="n">
        <x:f>'装备掉落'!$B$38</x:f>
        <x:v>0.6872058758851213</x:v>
      </x:c>
      <x:c r="S794" s="119" t="n">
        <x:f>MAX(IF(VLOOKUP(A794,'装备掉落'!$A$29:$H$34,2,TRUE)&gt;0,1,0),IF(VLOOKUP(A794,'装备掉落'!$A$29:$H$34,3,TRUE)&gt;0,2,0),IF(VLOOKUP(A794,'装备掉落'!$A$29:$H$34,4,TRUE)&gt;0,3,0),IF(VLOOKUP(A794,'装备掉落'!$A$29:$H$34,5,TRUE)&gt;0,4,0),IF(VLOOKUP(A794,'装备掉落'!$A$29:$H$34,6,TRUE)&gt;0,5,0),IF(VLOOKUP(A794,'装备掉落'!$A$29:$H$34,7,TRUE)&gt;0,6,0),IF(VLOOKUP(A794,'装备掉落'!$A$29:$H$34,8,TRUE)&gt;0,7,0))</x:f>
        <x:v>7</x:v>
      </x:c>
      <x:c r="T794" s="119" t="n">
        <x:f>MIN(7,S794+'经济参数'!$E$70)</x:f>
        <x:v>7</x:v>
      </x:c>
      <x:c r="U794" s="119" t="n">
        <x:f>MIN(7,S794+'经济参数'!$E$71)</x:f>
        <x:v>7</x:v>
      </x:c>
      <x:c r="V794" s="119" t="n">
        <x:f>IF(H794&gt;=('难度参数'!$E$52),1,0)+IF(H794&gt;=('难度参数'!$E$52+'难度参数'!$E$53),1,0)+IF(H794&gt;=('难度参数'!$E$52+'难度参数'!$E$53+'难度参数'!$E$54),1,0)+IF(H794&gt;=('难度参数'!$E$52+'难度参数'!$E$53+'难度参数'!$E$54+'难度参数'!$E$55),1,0)+IF(H794&gt;=('难度参数'!$E$52+'难度参数'!$E$53+'难度参数'!$E$54+'难度参数'!$E$55+'难度参数'!$E$56),1,0)+IF(H794&gt;=('难度参数'!$E$52+'难度参数'!$E$53+'难度参数'!$E$54+'难度参数'!$E$55+'难度参数'!$E$56+'难度参数'!$E$57),1,0)</x:f>
        <x:v>6</x:v>
      </x:c>
      <x:c r="W794" s="62" t="str">
        <x:f>IF(L794&gt;'难度参数'!$E$51,"仅出怪已超目标","还需实测")</x:f>
        <x:v>仅出怪已超目标</x:v>
      </x:c>
      <x:c r="X794" s="119" t="n">
        <x:f>IF(1&gt;D794,0,MAX(2,MIN('难度参数'!$E$12,ROUND(('难度参数'!$E$18*POWER(A794,'难度参数'!$E$19)/D794*(0.85+0.3*(1-1)/MAX(1,D794-1))),0)+F794)))</x:f>
        <x:v>41</x:v>
      </x:c>
      <x:c r="Y794" s="119" t="n">
        <x:f>IF(1&gt;D794,0,ROUND(('难度参数'!$E$13*POWER(A794,'难度参数'!$E$20)*MIN('难度参数'!$E$23,1+MAX(0,A794-'难度参数'!$E$21)*'难度参数'!$E$22))*(36+1*7)/(36+7*(D794+1)/2)*E794,0))</x:f>
        <x:v>11044</x:v>
      </x:c>
      <x:c r="Z794" s="119" t="n">
        <x:f>IF(X794=0,0,(X794-IF(1=D794,1,0))*ROUND(Y794*VLOOKUP(INDEX('章节与怪物'!$E$31:$K$37,B794,1),'章节与怪物'!$A$41:$F$44,2,FALSE),0)+IF(1=D794,ROUND(Y794*'难度参数'!$E$28*'章节与怪物'!$E$17,0),0))</x:f>
        <x:v>326032</x:v>
      </x:c>
      <x:c r="AA794" s="119" t="n">
        <x:f>IF(X794=0,0,(X794-IF(1=D794,1,0))*VLOOKUP(INDEX('章节与怪物'!$E$31:$K$37,B794,1),'章节与怪物'!$A$41:$F$44,4,FALSE)+IF(1=D794,'难度参数'!$E$30,0))</x:f>
        <x:v>820</x:v>
      </x:c>
      <x:c r="AB794" s="119" t="n">
        <x:f>IF(2&gt;D794,0,MAX(2,MIN('难度参数'!$E$12,ROUND(('难度参数'!$E$18*POWER(A794,'难度参数'!$E$19)/D794*(0.85+0.3*(2-1)/MAX(1,D794-1))),0)+F794)))</x:f>
        <x:v>44</x:v>
      </x:c>
      <x:c r="AC794" s="119" t="n">
        <x:f>IF(2&gt;D794,0,ROUND(('难度参数'!$E$13*POWER(A794,'难度参数'!$E$20)*MIN('难度参数'!$E$23,1+MAX(0,A794-'难度参数'!$E$21)*'难度参数'!$E$22))*(36+2*7)/(36+7*(D794+1)/2)*E794,0))</x:f>
        <x:v>12842</x:v>
      </x:c>
      <x:c r="AD794" s="119" t="n">
        <x:f>IF(AB794=0,0,(AB794-IF(2=D794,1,0))*ROUND(AC794*VLOOKUP(INDEX('章节与怪物'!$E$31:$K$37,B794,2),'章节与怪物'!$A$41:$F$44,2,FALSE),0)+IF(2=D794,ROUND(AC794*'难度参数'!$E$28*'章节与怪物'!$E$17,0),0))</x:f>
        <x:v>565048</x:v>
      </x:c>
      <x:c r="AE794" s="119" t="n">
        <x:f>IF(AB794=0,0,(AB794-IF(2=D794,1,0))*VLOOKUP(INDEX('章节与怪物'!$E$31:$K$37,B794,2),'章节与怪物'!$A$41:$F$44,4,FALSE)+IF(2=D794,'难度参数'!$E$30,0))</x:f>
        <x:v>792</x:v>
      </x:c>
      <x:c r="AF794" s="119" t="n">
        <x:f>IF(3&gt;D794,0,MAX(2,MIN('难度参数'!$E$12,ROUND(('难度参数'!$E$18*POWER(A794,'难度参数'!$E$19)/D794*(0.85+0.3*(3-1)/MAX(1,D794-1))),0)+F794)))</x:f>
        <x:v>46</x:v>
      </x:c>
      <x:c r="AG794" s="119" t="n">
        <x:f>IF(3&gt;D794,0,ROUND(('难度参数'!$E$13*POWER(A794,'难度参数'!$E$20)*MIN('难度参数'!$E$23,1+MAX(0,A794-'难度参数'!$E$21)*'难度参数'!$E$22))*(36+3*7)/(36+7*(D794+1)/2)*E794,0))</x:f>
        <x:v>14640</x:v>
      </x:c>
      <x:c r="AH794" s="119" t="n">
        <x:f>IF(AF794=0,0,(AF794-IF(3=D794,1,0))*ROUND(AG794*VLOOKUP(INDEX('章节与怪物'!$E$31:$K$37,B794,3),'章节与怪物'!$A$41:$F$44,2,FALSE),0)+IF(3=D794,ROUND(AG794*'难度参数'!$E$28*'章节与怪物'!$E$17,0),0))</x:f>
        <x:v>1144848</x:v>
      </x:c>
      <x:c r="AI794" s="119" t="n">
        <x:f>IF(AF794=0,0,(AF794-IF(3=D794,1,0))*VLOOKUP(INDEX('章节与怪物'!$E$31:$K$37,B794,3),'章节与怪物'!$A$41:$F$44,4,FALSE)+IF(3=D794,'难度参数'!$E$30,0))</x:f>
        <x:v>1288</x:v>
      </x:c>
      <x:c r="AJ794" s="119" t="n">
        <x:f>IF(4&gt;D794,0,MAX(2,MIN('难度参数'!$E$12,ROUND(('难度参数'!$E$18*POWER(A794,'难度参数'!$E$19)/D794*(0.85+0.3*(4-1)/MAX(1,D794-1))),0)+F794)))</x:f>
        <x:v>49</x:v>
      </x:c>
      <x:c r="AK794" s="119" t="n">
        <x:f>IF(4&gt;D794,0,ROUND(('难度参数'!$E$13*POWER(A794,'难度参数'!$E$20)*MIN('难度参数'!$E$23,1+MAX(0,A794-'难度参数'!$E$21)*'难度参数'!$E$22))*(36+4*7)/(36+7*(D794+1)/2)*E794,0))</x:f>
        <x:v>16437</x:v>
      </x:c>
      <x:c r="AL794" s="119" t="n">
        <x:f>IF(AJ794=0,0,(AJ794-IF(4=D794,1,0))*ROUND(AK794*VLOOKUP(INDEX('章节与怪物'!$E$31:$K$37,B794,4),'章节与怪物'!$A$41:$F$44,2,FALSE),0)+IF(4=D794,ROUND(AK794*'难度参数'!$E$28*'章节与怪物'!$E$17,0),0))</x:f>
        <x:v>1087310</x:v>
      </x:c>
      <x:c r="AM794" s="119" t="n">
        <x:f>IF(AJ794=0,0,(AJ794-IF(4=D794,1,0))*VLOOKUP(INDEX('章节与怪物'!$E$31:$K$37,B794,4),'章节与怪物'!$A$41:$F$44,4,FALSE)+IF(4=D794,'难度参数'!$E$30,0))</x:f>
        <x:v>1666</x:v>
      </x:c>
      <x:c r="AN794" s="119" t="n">
        <x:f>IF(5&gt;D794,0,MAX(2,MIN('难度参数'!$E$12,ROUND(('难度参数'!$E$18*POWER(A794,'难度参数'!$E$19)/D794*(0.85+0.3*(5-1)/MAX(1,D794-1))),0)+F794)))</x:f>
        <x:v>51</x:v>
      </x:c>
      <x:c r="AO794" s="119" t="n">
        <x:f>IF(5&gt;D794,0,ROUND(('难度参数'!$E$13*POWER(A794,'难度参数'!$E$20)*MIN('难度参数'!$E$23,1+MAX(0,A794-'难度参数'!$E$21)*'难度参数'!$E$22))*(36+5*7)/(36+7*(D794+1)/2)*E794,0))</x:f>
        <x:v>18235</x:v>
      </x:c>
      <x:c r="AP794" s="119" t="n">
        <x:f>IF(AN794=0,0,(AN794-IF(5=D794,1,0))*ROUND(AO794*VLOOKUP(INDEX('章节与怪物'!$E$31:$K$37,B794,5),'章节与怪物'!$A$41:$F$44,2,FALSE),0)+IF(5=D794,ROUND(AO794*'难度参数'!$E$28*'章节与怪物'!$E$17,0),0))</x:f>
        <x:v>929985</x:v>
      </x:c>
      <x:c r="AQ794" s="119" t="n">
        <x:f>IF(AN794=0,0,(AN794-IF(5=D794,1,0))*VLOOKUP(INDEX('章节与怪物'!$E$31:$K$37,B794,5),'章节与怪物'!$A$41:$F$44,4,FALSE)+IF(5=D794,'难度参数'!$E$30,0))</x:f>
        <x:v>918</x:v>
      </x:c>
      <x:c r="AR794" s="119" t="n">
        <x:f>IF(6&gt;D794,0,MAX(2,MIN('难度参数'!$E$12,ROUND(('难度参数'!$E$18*POWER(A794,'难度参数'!$E$19)/D794*(0.85+0.3*(6-1)/MAX(1,D794-1))),0)+F794)))</x:f>
        <x:v>54</x:v>
      </x:c>
      <x:c r="AS794" s="119" t="n">
        <x:f>IF(6&gt;D794,0,ROUND(('难度参数'!$E$13*POWER(A794,'难度参数'!$E$20)*MIN('难度参数'!$E$23,1+MAX(0,A794-'难度参数'!$E$21)*'难度参数'!$E$22))*(36+6*7)/(36+7*(D794+1)/2)*E794,0))</x:f>
        <x:v>20033</x:v>
      </x:c>
      <x:c r="AT794" s="119" t="n">
        <x:f>IF(AR794=0,0,(AR794-IF(6=D794,1,0))*ROUND(AS794*VLOOKUP(INDEX('章节与怪物'!$E$31:$K$37,B794,6),'章节与怪物'!$A$41:$F$44,2,FALSE),0)+IF(6=D794,ROUND(AS794*'难度参数'!$E$28*'章节与怪物'!$E$17,0),0))</x:f>
        <x:v>778896</x:v>
      </x:c>
      <x:c r="AU794" s="119" t="n">
        <x:f>IF(AR794=0,0,(AR794-IF(6=D794,1,0))*VLOOKUP(INDEX('章节与怪物'!$E$31:$K$37,B794,6),'章节与怪物'!$A$41:$F$44,4,FALSE)+IF(6=D794,'难度参数'!$E$30,0))</x:f>
        <x:v>1080</x:v>
      </x:c>
      <x:c r="AV794" s="119" t="n">
        <x:f>IF(7&gt;D794,0,MAX(2,MIN('难度参数'!$E$12,ROUND(('难度参数'!$E$18*POWER(A794,'难度参数'!$E$19)/D794*(0.85+0.3*(7-1)/MAX(1,D794-1))),0)+F794)))</x:f>
        <x:v>56</x:v>
      </x:c>
      <x:c r="AW794" s="119" t="n">
        <x:f>IF(7&gt;D794,0,ROUND(('难度参数'!$E$13*POWER(A794,'难度参数'!$E$20)*MIN('难度参数'!$E$23,1+MAX(0,A794-'难度参数'!$E$21)*'难度参数'!$E$22))*(36+7*7)/(36+7*(D794+1)/2)*E794,0))</x:f>
        <x:v>21831</x:v>
      </x:c>
      <x:c r="AX794" s="119" t="n">
        <x:f>IF(AV794=0,0,(AV794-IF(7=D794,1,0))*ROUND(AW794*VLOOKUP(INDEX('章节与怪物'!$E$31:$K$37,B794,7),'章节与怪物'!$A$41:$F$44,2,FALSE),0)+IF(7=D794,ROUND(AW794*'难度参数'!$E$28*'章节与怪物'!$E$17,0),0))</x:f>
        <x:v>1769411</x:v>
      </x:c>
      <x:c r="AY794" s="119" t="n">
        <x:f>IF(AV794=0,0,(AV794-IF(7=D794,1,0))*VLOOKUP(INDEX('章节与怪物'!$E$31:$K$37,B794,7),'章节与怪物'!$A$41:$F$44,4,FALSE)+IF(7=D794,'难度参数'!$E$30,0))</x:f>
        <x:v>2070</x:v>
      </x:c>
    </x:row>
    <x:row r="795" ht="23" customHeight="1">
      <x:c r="A795" s="119" t="n">
        <x:v>789</x:v>
      </x:c>
      <x:c r="B795" s="119" t="n">
        <x:f>MOD(INT((A795-1)/5),7)+1</x:f>
        <x:v>4</x:v>
      </x:c>
      <x:c r="C795" s="62" t="str">
        <x:f>INDEX('章节与怪物'!$B$31:$B$37,B795)</x:f>
        <x:v>翠野边城</x:v>
      </x:c>
      <x:c r="D795" s="119" t="n">
        <x:f>MIN('难度参数'!$E$8,MAX('难度参数'!$E$7,A795))</x:f>
        <x:v>7</x:v>
      </x:c>
      <x:c r="E795" s="106" t="n">
        <x:v>1</x:v>
      </x:c>
      <x:c r="F795" s="106" t="n">
        <x:v>0</x:v>
      </x:c>
      <x:c r="G795" s="106" t="n">
        <x:v>1</x:v>
      </x:c>
      <x:c r="H795" s="119" t="n">
        <x:f>SUM(X795,AB795,AF795,AJ795,AN795,AR795,AV795)</x:f>
        <x:v>341</x:v>
      </x:c>
      <x:c r="I795" s="119" t="n">
        <x:f>SUM(Z795,AD795,AH795,AL795,AP795,AT795,AX795)</x:f>
        <x:v>6607483</x:v>
      </x:c>
      <x:c r="J795" s="119" t="n">
        <x:f>ROUND(INDEX(X795:AY795,1,(D795-1)*4+2)*'难度参数'!$E$28*'章节与怪物'!$E$17,0)</x:f>
        <x:v>148587</x:v>
      </x:c>
      <x:c r="K795" s="119" t="n">
        <x:f>SUM(AA795,AE795,AI795,AM795,AQ795,AU795,AY795)</x:f>
        <x:v>8634</x:v>
      </x:c>
      <x:c r="L795" s="62" t="n">
        <x:f>H795*(ROUNDUP('难度参数'!$E$24/('难度参数'!$E$26*'难度参数'!$E$27),0)*'难度参数'!$E$26)/60</x:f>
        <x:v>4.546666666666667</x:v>
      </x:c>
      <x:c r="M795" s="62" t="n">
        <x:f>L795+D795*('难度参数'!$E$49+'难度参数'!$E$50)/60</x:f>
        <x:v>5.713333333333334</x:v>
      </x:c>
      <x:c r="N795" s="119" t="n">
        <x:f>ROUNDDOWN(('经济参数'!$E$20+A795*'经济参数'!$E$21)*G795,0)</x:f>
        <x:v>15960</x:v>
      </x:c>
      <x:c r="O795" s="119" t="n">
        <x:f>ROUNDDOWN(MIN('经济参数'!$E$24,'经济参数'!$E$22+A795*'经济参数'!$E$23)*G795,0)</x:f>
        <x:v>0</x:v>
      </x:c>
      <x:c r="P795" s="119" t="n">
        <x:f>ROUNDDOWN((IF(A795&gt;='材料与任务'!$E$31,'材料与任务'!$E$32,IF(A795&gt;='材料与任务'!$E$25,'材料与任务'!$E$26,IF(A795&gt;='材料与任务'!$E$19,'材料与任务'!$E$20,IF(A795&gt;='材料与任务'!$E$13,'材料与任务'!$E$14,'材料与任务'!$E$8)))))*G795,0)</x:f>
        <x:v>6</x:v>
      </x:c>
      <x:c r="Q795" s="119" t="n">
        <x:f>ROUNDDOWN((IF(A795&gt;='材料与任务'!$E$31,'材料与任务'!$E$33,IF(A795&gt;='材料与任务'!$E$25,'材料与任务'!$E$27,IF(A795&gt;='材料与任务'!$E$19,'材料与任务'!$E$21,IF(A795&gt;='材料与任务'!$E$13,'材料与任务'!$E$15,'材料与任务'!$E$9)))))*G795,0)</x:f>
        <x:v>3</x:v>
      </x:c>
      <x:c r="R795" s="110" t="n">
        <x:f>'装备掉落'!$B$38</x:f>
        <x:v>0.6872058758851213</x:v>
      </x:c>
      <x:c r="S795" s="119" t="n">
        <x:f>MAX(IF(VLOOKUP(A795,'装备掉落'!$A$29:$H$34,2,TRUE)&gt;0,1,0),IF(VLOOKUP(A795,'装备掉落'!$A$29:$H$34,3,TRUE)&gt;0,2,0),IF(VLOOKUP(A795,'装备掉落'!$A$29:$H$34,4,TRUE)&gt;0,3,0),IF(VLOOKUP(A795,'装备掉落'!$A$29:$H$34,5,TRUE)&gt;0,4,0),IF(VLOOKUP(A795,'装备掉落'!$A$29:$H$34,6,TRUE)&gt;0,5,0),IF(VLOOKUP(A795,'装备掉落'!$A$29:$H$34,7,TRUE)&gt;0,6,0),IF(VLOOKUP(A795,'装备掉落'!$A$29:$H$34,8,TRUE)&gt;0,7,0))</x:f>
        <x:v>7</x:v>
      </x:c>
      <x:c r="T795" s="119" t="n">
        <x:f>MIN(7,S795+'经济参数'!$E$70)</x:f>
        <x:v>7</x:v>
      </x:c>
      <x:c r="U795" s="119" t="n">
        <x:f>MIN(7,S795+'经济参数'!$E$71)</x:f>
        <x:v>7</x:v>
      </x:c>
      <x:c r="V795" s="119" t="n">
        <x:f>IF(H795&gt;=('难度参数'!$E$52),1,0)+IF(H795&gt;=('难度参数'!$E$52+'难度参数'!$E$53),1,0)+IF(H795&gt;=('难度参数'!$E$52+'难度参数'!$E$53+'难度参数'!$E$54),1,0)+IF(H795&gt;=('难度参数'!$E$52+'难度参数'!$E$53+'难度参数'!$E$54+'难度参数'!$E$55),1,0)+IF(H795&gt;=('难度参数'!$E$52+'难度参数'!$E$53+'难度参数'!$E$54+'难度参数'!$E$55+'难度参数'!$E$56),1,0)+IF(H795&gt;=('难度参数'!$E$52+'难度参数'!$E$53+'难度参数'!$E$54+'难度参数'!$E$55+'难度参数'!$E$56+'难度参数'!$E$57),1,0)</x:f>
        <x:v>6</x:v>
      </x:c>
      <x:c r="W795" s="62" t="str">
        <x:f>IF(L795&gt;'难度参数'!$E$51,"仅出怪已超目标","还需实测")</x:f>
        <x:v>仅出怪已超目标</x:v>
      </x:c>
      <x:c r="X795" s="119" t="n">
        <x:f>IF(1&gt;D795,0,MAX(2,MIN('难度参数'!$E$12,ROUND(('难度参数'!$E$18*POWER(A795,'难度参数'!$E$19)/D795*(0.85+0.3*(1-1)/MAX(1,D795-1))),0)+F795)))</x:f>
        <x:v>41</x:v>
      </x:c>
      <x:c r="Y795" s="119" t="n">
        <x:f>IF(1&gt;D795,0,ROUND(('难度参数'!$E$13*POWER(A795,'难度参数'!$E$20)*MIN('难度参数'!$E$23,1+MAX(0,A795-'难度参数'!$E$21)*'难度参数'!$E$22))*(36+1*7)/(36+7*(D795+1)/2)*E795,0))</x:f>
        <x:v>11054</x:v>
      </x:c>
      <x:c r="Z795" s="119" t="n">
        <x:f>IF(X795=0,0,(X795-IF(1=D795,1,0))*ROUND(Y795*VLOOKUP(INDEX('章节与怪物'!$E$31:$K$37,B795,1),'章节与怪物'!$A$41:$F$44,2,FALSE),0)+IF(1=D795,ROUND(Y795*'难度参数'!$E$28*'章节与怪物'!$E$17,0),0))</x:f>
        <x:v>326319</x:v>
      </x:c>
      <x:c r="AA795" s="119" t="n">
        <x:f>IF(X795=0,0,(X795-IF(1=D795,1,0))*VLOOKUP(INDEX('章节与怪物'!$E$31:$K$37,B795,1),'章节与怪物'!$A$41:$F$44,4,FALSE)+IF(1=D795,'难度参数'!$E$30,0))</x:f>
        <x:v>820</x:v>
      </x:c>
      <x:c r="AB795" s="119" t="n">
        <x:f>IF(2&gt;D795,0,MAX(2,MIN('难度参数'!$E$12,ROUND(('难度参数'!$E$18*POWER(A795,'难度参数'!$E$19)/D795*(0.85+0.3*(2-1)/MAX(1,D795-1))),0)+F795)))</x:f>
        <x:v>44</x:v>
      </x:c>
      <x:c r="AC795" s="119" t="n">
        <x:f>IF(2&gt;D795,0,ROUND(('难度参数'!$E$13*POWER(A795,'难度参数'!$E$20)*MIN('难度参数'!$E$23,1+MAX(0,A795-'难度参数'!$E$21)*'难度参数'!$E$22))*(36+2*7)/(36+7*(D795+1)/2)*E795,0))</x:f>
        <x:v>12853</x:v>
      </x:c>
      <x:c r="AD795" s="119" t="n">
        <x:f>IF(AB795=0,0,(AB795-IF(2=D795,1,0))*ROUND(AC795*VLOOKUP(INDEX('章节与怪物'!$E$31:$K$37,B795,2),'章节与怪物'!$A$41:$F$44,2,FALSE),0)+IF(2=D795,ROUND(AC795*'难度参数'!$E$28*'章节与怪物'!$E$17,0),0))</x:f>
        <x:v>565532</x:v>
      </x:c>
      <x:c r="AE795" s="119" t="n">
        <x:f>IF(AB795=0,0,(AB795-IF(2=D795,1,0))*VLOOKUP(INDEX('章节与怪物'!$E$31:$K$37,B795,2),'章节与怪物'!$A$41:$F$44,4,FALSE)+IF(2=D795,'难度参数'!$E$30,0))</x:f>
        <x:v>792</x:v>
      </x:c>
      <x:c r="AF795" s="119" t="n">
        <x:f>IF(3&gt;D795,0,MAX(2,MIN('难度参数'!$E$12,ROUND(('难度参数'!$E$18*POWER(A795,'难度参数'!$E$19)/D795*(0.85+0.3*(3-1)/MAX(1,D795-1))),0)+F795)))</x:f>
        <x:v>46</x:v>
      </x:c>
      <x:c r="AG795" s="119" t="n">
        <x:f>IF(3&gt;D795,0,ROUND(('难度参数'!$E$13*POWER(A795,'难度参数'!$E$20)*MIN('难度参数'!$E$23,1+MAX(0,A795-'难度参数'!$E$21)*'难度参数'!$E$22))*(36+3*7)/(36+7*(D795+1)/2)*E795,0))</x:f>
        <x:v>14653</x:v>
      </x:c>
      <x:c r="AH795" s="119" t="n">
        <x:f>IF(AF795=0,0,(AF795-IF(3=D795,1,0))*ROUND(AG795*VLOOKUP(INDEX('章节与怪物'!$E$31:$K$37,B795,3),'章节与怪物'!$A$41:$F$44,2,FALSE),0)+IF(3=D795,ROUND(AG795*'难度参数'!$E$28*'章节与怪物'!$E$17,0),0))</x:f>
        <x:v>1145860</x:v>
      </x:c>
      <x:c r="AI795" s="119" t="n">
        <x:f>IF(AF795=0,0,(AF795-IF(3=D795,1,0))*VLOOKUP(INDEX('章节与怪物'!$E$31:$K$37,B795,3),'章节与怪物'!$A$41:$F$44,4,FALSE)+IF(3=D795,'难度参数'!$E$30,0))</x:f>
        <x:v>1288</x:v>
      </x:c>
      <x:c r="AJ795" s="119" t="n">
        <x:f>IF(4&gt;D795,0,MAX(2,MIN('难度参数'!$E$12,ROUND(('难度参数'!$E$18*POWER(A795,'难度参数'!$E$19)/D795*(0.85+0.3*(4-1)/MAX(1,D795-1))),0)+F795)))</x:f>
        <x:v>49</x:v>
      </x:c>
      <x:c r="AK795" s="119" t="n">
        <x:f>IF(4&gt;D795,0,ROUND(('难度参数'!$E$13*POWER(A795,'难度参数'!$E$20)*MIN('难度参数'!$E$23,1+MAX(0,A795-'难度参数'!$E$21)*'难度参数'!$E$22))*(36+4*7)/(36+7*(D795+1)/2)*E795,0))</x:f>
        <x:v>16452</x:v>
      </x:c>
      <x:c r="AL795" s="119" t="n">
        <x:f>IF(AJ795=0,0,(AJ795-IF(4=D795,1,0))*ROUND(AK795*VLOOKUP(INDEX('章节与怪物'!$E$31:$K$37,B795,4),'章节与怪物'!$A$41:$F$44,2,FALSE),0)+IF(4=D795,ROUND(AK795*'难度参数'!$E$28*'章节与怪物'!$E$17,0),0))</x:f>
        <x:v>1088290</x:v>
      </x:c>
      <x:c r="AM795" s="119" t="n">
        <x:f>IF(AJ795=0,0,(AJ795-IF(4=D795,1,0))*VLOOKUP(INDEX('章节与怪物'!$E$31:$K$37,B795,4),'章节与怪物'!$A$41:$F$44,4,FALSE)+IF(4=D795,'难度参数'!$E$30,0))</x:f>
        <x:v>1666</x:v>
      </x:c>
      <x:c r="AN795" s="119" t="n">
        <x:f>IF(5&gt;D795,0,MAX(2,MIN('难度参数'!$E$12,ROUND(('难度参数'!$E$18*POWER(A795,'难度参数'!$E$19)/D795*(0.85+0.3*(5-1)/MAX(1,D795-1))),0)+F795)))</x:f>
        <x:v>51</x:v>
      </x:c>
      <x:c r="AO795" s="119" t="n">
        <x:f>IF(5&gt;D795,0,ROUND(('难度参数'!$E$13*POWER(A795,'难度参数'!$E$20)*MIN('难度参数'!$E$23,1+MAX(0,A795-'难度参数'!$E$21)*'难度参数'!$E$22))*(36+5*7)/(36+7*(D795+1)/2)*E795,0))</x:f>
        <x:v>18252</x:v>
      </x:c>
      <x:c r="AP795" s="119" t="n">
        <x:f>IF(AN795=0,0,(AN795-IF(5=D795,1,0))*ROUND(AO795*VLOOKUP(INDEX('章节与怪物'!$E$31:$K$37,B795,5),'章节与怪物'!$A$41:$F$44,2,FALSE),0)+IF(5=D795,ROUND(AO795*'难度参数'!$E$28*'章节与怪物'!$E$17,0),0))</x:f>
        <x:v>930852</x:v>
      </x:c>
      <x:c r="AQ795" s="119" t="n">
        <x:f>IF(AN795=0,0,(AN795-IF(5=D795,1,0))*VLOOKUP(INDEX('章节与怪物'!$E$31:$K$37,B795,5),'章节与怪物'!$A$41:$F$44,4,FALSE)+IF(5=D795,'难度参数'!$E$30,0))</x:f>
        <x:v>918</x:v>
      </x:c>
      <x:c r="AR795" s="119" t="n">
        <x:f>IF(6&gt;D795,0,MAX(2,MIN('难度参数'!$E$12,ROUND(('难度参数'!$E$18*POWER(A795,'难度参数'!$E$19)/D795*(0.85+0.3*(6-1)/MAX(1,D795-1))),0)+F795)))</x:f>
        <x:v>54</x:v>
      </x:c>
      <x:c r="AS795" s="119" t="n">
        <x:f>IF(6&gt;D795,0,ROUND(('难度参数'!$E$13*POWER(A795,'难度参数'!$E$20)*MIN('难度参数'!$E$23,1+MAX(0,A795-'难度参数'!$E$21)*'难度参数'!$E$22))*(36+6*7)/(36+7*(D795+1)/2)*E795,0))</x:f>
        <x:v>20051</x:v>
      </x:c>
      <x:c r="AT795" s="119" t="n">
        <x:f>IF(AR795=0,0,(AR795-IF(6=D795,1,0))*ROUND(AS795*VLOOKUP(INDEX('章节与怪物'!$E$31:$K$37,B795,6),'章节与怪物'!$A$41:$F$44,2,FALSE),0)+IF(6=D795,ROUND(AS795*'难度参数'!$E$28*'章节与怪物'!$E$17,0),0))</x:f>
        <x:v>779598</x:v>
      </x:c>
      <x:c r="AU795" s="119" t="n">
        <x:f>IF(AR795=0,0,(AR795-IF(6=D795,1,0))*VLOOKUP(INDEX('章节与怪物'!$E$31:$K$37,B795,6),'章节与怪物'!$A$41:$F$44,4,FALSE)+IF(6=D795,'难度参数'!$E$30,0))</x:f>
        <x:v>1080</x:v>
      </x:c>
      <x:c r="AV795" s="119" t="n">
        <x:f>IF(7&gt;D795,0,MAX(2,MIN('难度参数'!$E$12,ROUND(('难度参数'!$E$18*POWER(A795,'难度参数'!$E$19)/D795*(0.85+0.3*(7-1)/MAX(1,D795-1))),0)+F795)))</x:f>
        <x:v>56</x:v>
      </x:c>
      <x:c r="AW795" s="119" t="n">
        <x:f>IF(7&gt;D795,0,ROUND(('难度参数'!$E$13*POWER(A795,'难度参数'!$E$20)*MIN('难度参数'!$E$23,1+MAX(0,A795-'难度参数'!$E$21)*'难度参数'!$E$22))*(36+7*7)/(36+7*(D795+1)/2)*E795,0))</x:f>
        <x:v>21851</x:v>
      </x:c>
      <x:c r="AX795" s="119" t="n">
        <x:f>IF(AV795=0,0,(AV795-IF(7=D795,1,0))*ROUND(AW795*VLOOKUP(INDEX('章节与怪物'!$E$31:$K$37,B795,7),'章节与怪物'!$A$41:$F$44,2,FALSE),0)+IF(7=D795,ROUND(AW795*'难度参数'!$E$28*'章节与怪物'!$E$17,0),0))</x:f>
        <x:v>1771032</x:v>
      </x:c>
      <x:c r="AY795" s="119" t="n">
        <x:f>IF(AV795=0,0,(AV795-IF(7=D795,1,0))*VLOOKUP(INDEX('章节与怪物'!$E$31:$K$37,B795,7),'章节与怪物'!$A$41:$F$44,4,FALSE)+IF(7=D795,'难度参数'!$E$30,0))</x:f>
        <x:v>2070</x:v>
      </x:c>
    </x:row>
    <x:row r="796" ht="23" customHeight="1">
      <x:c r="A796" s="119" t="n">
        <x:v>790</x:v>
      </x:c>
      <x:c r="B796" s="119" t="n">
        <x:f>MOD(INT((A796-1)/5),7)+1</x:f>
        <x:v>4</x:v>
      </x:c>
      <x:c r="C796" s="62" t="str">
        <x:f>INDEX('章节与怪物'!$B$31:$B$37,B796)</x:f>
        <x:v>翠野边城</x:v>
      </x:c>
      <x:c r="D796" s="119" t="n">
        <x:f>MIN('难度参数'!$E$8,MAX('难度参数'!$E$7,A796))</x:f>
        <x:v>7</x:v>
      </x:c>
      <x:c r="E796" s="106" t="n">
        <x:v>1</x:v>
      </x:c>
      <x:c r="F796" s="106" t="n">
        <x:v>0</x:v>
      </x:c>
      <x:c r="G796" s="106" t="n">
        <x:v>1</x:v>
      </x:c>
      <x:c r="H796" s="119" t="n">
        <x:f>SUM(X796,AB796,AF796,AJ796,AN796,AR796,AV796)</x:f>
        <x:v>341</x:v>
      </x:c>
      <x:c r="I796" s="119" t="n">
        <x:f>SUM(Z796,AD796,AH796,AL796,AP796,AT796,AX796)</x:f>
        <x:v>6613480</x:v>
      </x:c>
      <x:c r="J796" s="119" t="n">
        <x:f>ROUND(INDEX(X796:AY796,1,(D796-1)*4+2)*'难度参数'!$E$28*'章节与怪物'!$E$17,0)</x:f>
        <x:v>148723</x:v>
      </x:c>
      <x:c r="K796" s="119" t="n">
        <x:f>SUM(AA796,AE796,AI796,AM796,AQ796,AU796,AY796)</x:f>
        <x:v>8634</x:v>
      </x:c>
      <x:c r="L796" s="62" t="n">
        <x:f>H796*(ROUNDUP('难度参数'!$E$24/('难度参数'!$E$26*'难度参数'!$E$27),0)*'难度参数'!$E$26)/60</x:f>
        <x:v>4.546666666666667</x:v>
      </x:c>
      <x:c r="M796" s="62" t="n">
        <x:f>L796+D796*('难度参数'!$E$49+'难度参数'!$E$50)/60</x:f>
        <x:v>5.713333333333334</x:v>
      </x:c>
      <x:c r="N796" s="119" t="n">
        <x:f>ROUNDDOWN(('经济参数'!$E$20+A796*'经济参数'!$E$21)*G796,0)</x:f>
        <x:v>15980</x:v>
      </x:c>
      <x:c r="O796" s="119" t="n">
        <x:f>ROUNDDOWN(MIN('经济参数'!$E$24,'经济参数'!$E$22+A796*'经济参数'!$E$23)*G796,0)</x:f>
        <x:v>0</x:v>
      </x:c>
      <x:c r="P796" s="119" t="n">
        <x:f>ROUNDDOWN((IF(A796&gt;='材料与任务'!$E$31,'材料与任务'!$E$32,IF(A796&gt;='材料与任务'!$E$25,'材料与任务'!$E$26,IF(A796&gt;='材料与任务'!$E$19,'材料与任务'!$E$20,IF(A796&gt;='材料与任务'!$E$13,'材料与任务'!$E$14,'材料与任务'!$E$8)))))*G796,0)</x:f>
        <x:v>6</x:v>
      </x:c>
      <x:c r="Q796" s="119" t="n">
        <x:f>ROUNDDOWN((IF(A796&gt;='材料与任务'!$E$31,'材料与任务'!$E$33,IF(A796&gt;='材料与任务'!$E$25,'材料与任务'!$E$27,IF(A796&gt;='材料与任务'!$E$19,'材料与任务'!$E$21,IF(A796&gt;='材料与任务'!$E$13,'材料与任务'!$E$15,'材料与任务'!$E$9)))))*G796,0)</x:f>
        <x:v>3</x:v>
      </x:c>
      <x:c r="R796" s="110" t="n">
        <x:f>'装备掉落'!$B$38</x:f>
        <x:v>0.6872058758851213</x:v>
      </x:c>
      <x:c r="S796" s="119" t="n">
        <x:f>MAX(IF(VLOOKUP(A796,'装备掉落'!$A$29:$H$34,2,TRUE)&gt;0,1,0),IF(VLOOKUP(A796,'装备掉落'!$A$29:$H$34,3,TRUE)&gt;0,2,0),IF(VLOOKUP(A796,'装备掉落'!$A$29:$H$34,4,TRUE)&gt;0,3,0),IF(VLOOKUP(A796,'装备掉落'!$A$29:$H$34,5,TRUE)&gt;0,4,0),IF(VLOOKUP(A796,'装备掉落'!$A$29:$H$34,6,TRUE)&gt;0,5,0),IF(VLOOKUP(A796,'装备掉落'!$A$29:$H$34,7,TRUE)&gt;0,6,0),IF(VLOOKUP(A796,'装备掉落'!$A$29:$H$34,8,TRUE)&gt;0,7,0))</x:f>
        <x:v>7</x:v>
      </x:c>
      <x:c r="T796" s="119" t="n">
        <x:f>MIN(7,S796+'经济参数'!$E$70)</x:f>
        <x:v>7</x:v>
      </x:c>
      <x:c r="U796" s="119" t="n">
        <x:f>MIN(7,S796+'经济参数'!$E$71)</x:f>
        <x:v>7</x:v>
      </x:c>
      <x:c r="V796" s="119" t="n">
        <x:f>IF(H796&gt;=('难度参数'!$E$52),1,0)+IF(H796&gt;=('难度参数'!$E$52+'难度参数'!$E$53),1,0)+IF(H796&gt;=('难度参数'!$E$52+'难度参数'!$E$53+'难度参数'!$E$54),1,0)+IF(H796&gt;=('难度参数'!$E$52+'难度参数'!$E$53+'难度参数'!$E$54+'难度参数'!$E$55),1,0)+IF(H796&gt;=('难度参数'!$E$52+'难度参数'!$E$53+'难度参数'!$E$54+'难度参数'!$E$55+'难度参数'!$E$56),1,0)+IF(H796&gt;=('难度参数'!$E$52+'难度参数'!$E$53+'难度参数'!$E$54+'难度参数'!$E$55+'难度参数'!$E$56+'难度参数'!$E$57),1,0)</x:f>
        <x:v>6</x:v>
      </x:c>
      <x:c r="W796" s="62" t="str">
        <x:f>IF(L796&gt;'难度参数'!$E$51,"仅出怪已超目标","还需实测")</x:f>
        <x:v>仅出怪已超目标</x:v>
      </x:c>
      <x:c r="X796" s="119" t="n">
        <x:f>IF(1&gt;D796,0,MAX(2,MIN('难度参数'!$E$12,ROUND(('难度参数'!$E$18*POWER(A796,'难度参数'!$E$19)/D796*(0.85+0.3*(1-1)/MAX(1,D796-1))),0)+F796)))</x:f>
        <x:v>41</x:v>
      </x:c>
      <x:c r="Y796" s="119" t="n">
        <x:f>IF(1&gt;D796,0,ROUND(('难度参数'!$E$13*POWER(A796,'难度参数'!$E$20)*MIN('难度参数'!$E$23,1+MAX(0,A796-'难度参数'!$E$21)*'难度参数'!$E$22))*(36+1*7)/(36+7*(D796+1)/2)*E796,0))</x:f>
        <x:v>11064</x:v>
      </x:c>
      <x:c r="Z796" s="119" t="n">
        <x:f>IF(X796=0,0,(X796-IF(1=D796,1,0))*ROUND(Y796*VLOOKUP(INDEX('章节与怪物'!$E$31:$K$37,B796,1),'章节与怪物'!$A$41:$F$44,2,FALSE),0)+IF(1=D796,ROUND(Y796*'难度参数'!$E$28*'章节与怪物'!$E$17,0),0))</x:f>
        <x:v>326606</x:v>
      </x:c>
      <x:c r="AA796" s="119" t="n">
        <x:f>IF(X796=0,0,(X796-IF(1=D796,1,0))*VLOOKUP(INDEX('章节与怪物'!$E$31:$K$37,B796,1),'章节与怪物'!$A$41:$F$44,4,FALSE)+IF(1=D796,'难度参数'!$E$30,0))</x:f>
        <x:v>820</x:v>
      </x:c>
      <x:c r="AB796" s="119" t="n">
        <x:f>IF(2&gt;D796,0,MAX(2,MIN('难度参数'!$E$12,ROUND(('难度参数'!$E$18*POWER(A796,'难度参数'!$E$19)/D796*(0.85+0.3*(2-1)/MAX(1,D796-1))),0)+F796)))</x:f>
        <x:v>44</x:v>
      </x:c>
      <x:c r="AC796" s="119" t="n">
        <x:f>IF(2&gt;D796,0,ROUND(('难度参数'!$E$13*POWER(A796,'难度参数'!$E$20)*MIN('难度参数'!$E$23,1+MAX(0,A796-'难度参数'!$E$21)*'难度参数'!$E$22))*(36+2*7)/(36+7*(D796+1)/2)*E796,0))</x:f>
        <x:v>12865</x:v>
      </x:c>
      <x:c r="AD796" s="119" t="n">
        <x:f>IF(AB796=0,0,(AB796-IF(2=D796,1,0))*ROUND(AC796*VLOOKUP(INDEX('章节与怪物'!$E$31:$K$37,B796,2),'章节与怪物'!$A$41:$F$44,2,FALSE),0)+IF(2=D796,ROUND(AC796*'难度参数'!$E$28*'章节与怪物'!$E$17,0),0))</x:f>
        <x:v>566060</x:v>
      </x:c>
      <x:c r="AE796" s="119" t="n">
        <x:f>IF(AB796=0,0,(AB796-IF(2=D796,1,0))*VLOOKUP(INDEX('章节与怪物'!$E$31:$K$37,B796,2),'章节与怪物'!$A$41:$F$44,4,FALSE)+IF(2=D796,'难度参数'!$E$30,0))</x:f>
        <x:v>792</x:v>
      </x:c>
      <x:c r="AF796" s="119" t="n">
        <x:f>IF(3&gt;D796,0,MAX(2,MIN('难度参数'!$E$12,ROUND(('难度参数'!$E$18*POWER(A796,'难度参数'!$E$19)/D796*(0.85+0.3*(3-1)/MAX(1,D796-1))),0)+F796)))</x:f>
        <x:v>46</x:v>
      </x:c>
      <x:c r="AG796" s="119" t="n">
        <x:f>IF(3&gt;D796,0,ROUND(('难度参数'!$E$13*POWER(A796,'难度参数'!$E$20)*MIN('难度参数'!$E$23,1+MAX(0,A796-'难度参数'!$E$21)*'难度参数'!$E$22))*(36+3*7)/(36+7*(D796+1)/2)*E796,0))</x:f>
        <x:v>14666</x:v>
      </x:c>
      <x:c r="AH796" s="119" t="n">
        <x:f>IF(AF796=0,0,(AF796-IF(3=D796,1,0))*ROUND(AG796*VLOOKUP(INDEX('章节与怪物'!$E$31:$K$37,B796,3),'章节与怪物'!$A$41:$F$44,2,FALSE),0)+IF(3=D796,ROUND(AG796*'难度参数'!$E$28*'章节与怪物'!$E$17,0),0))</x:f>
        <x:v>1146872</x:v>
      </x:c>
      <x:c r="AI796" s="119" t="n">
        <x:f>IF(AF796=0,0,(AF796-IF(3=D796,1,0))*VLOOKUP(INDEX('章节与怪物'!$E$31:$K$37,B796,3),'章节与怪物'!$A$41:$F$44,4,FALSE)+IF(3=D796,'难度参数'!$E$30,0))</x:f>
        <x:v>1288</x:v>
      </x:c>
      <x:c r="AJ796" s="119" t="n">
        <x:f>IF(4&gt;D796,0,MAX(2,MIN('难度参数'!$E$12,ROUND(('难度参数'!$E$18*POWER(A796,'难度参数'!$E$19)/D796*(0.85+0.3*(4-1)/MAX(1,D796-1))),0)+F796)))</x:f>
        <x:v>49</x:v>
      </x:c>
      <x:c r="AK796" s="119" t="n">
        <x:f>IF(4&gt;D796,0,ROUND(('难度参数'!$E$13*POWER(A796,'难度参数'!$E$20)*MIN('难度参数'!$E$23,1+MAX(0,A796-'难度参数'!$E$21)*'难度参数'!$E$22))*(36+4*7)/(36+7*(D796+1)/2)*E796,0))</x:f>
        <x:v>16467</x:v>
      </x:c>
      <x:c r="AL796" s="119" t="n">
        <x:f>IF(AJ796=0,0,(AJ796-IF(4=D796,1,0))*ROUND(AK796*VLOOKUP(INDEX('章节与怪物'!$E$31:$K$37,B796,4),'章节与怪物'!$A$41:$F$44,2,FALSE),0)+IF(4=D796,ROUND(AK796*'难度参数'!$E$28*'章节与怪物'!$E$17,0),0))</x:f>
        <x:v>1089270</x:v>
      </x:c>
      <x:c r="AM796" s="119" t="n">
        <x:f>IF(AJ796=0,0,(AJ796-IF(4=D796,1,0))*VLOOKUP(INDEX('章节与怪物'!$E$31:$K$37,B796,4),'章节与怪物'!$A$41:$F$44,4,FALSE)+IF(4=D796,'难度参数'!$E$30,0))</x:f>
        <x:v>1666</x:v>
      </x:c>
      <x:c r="AN796" s="119" t="n">
        <x:f>IF(5&gt;D796,0,MAX(2,MIN('难度参数'!$E$12,ROUND(('难度参数'!$E$18*POWER(A796,'难度参数'!$E$19)/D796*(0.85+0.3*(5-1)/MAX(1,D796-1))),0)+F796)))</x:f>
        <x:v>51</x:v>
      </x:c>
      <x:c r="AO796" s="119" t="n">
        <x:f>IF(5&gt;D796,0,ROUND(('难度参数'!$E$13*POWER(A796,'难度参数'!$E$20)*MIN('难度参数'!$E$23,1+MAX(0,A796-'难度参数'!$E$21)*'难度参数'!$E$22))*(36+5*7)/(36+7*(D796+1)/2)*E796,0))</x:f>
        <x:v>18269</x:v>
      </x:c>
      <x:c r="AP796" s="119" t="n">
        <x:f>IF(AN796=0,0,(AN796-IF(5=D796,1,0))*ROUND(AO796*VLOOKUP(INDEX('章节与怪物'!$E$31:$K$37,B796,5),'章节与怪物'!$A$41:$F$44,2,FALSE),0)+IF(5=D796,ROUND(AO796*'难度参数'!$E$28*'章节与怪物'!$E$17,0),0))</x:f>
        <x:v>931719</x:v>
      </x:c>
      <x:c r="AQ796" s="119" t="n">
        <x:f>IF(AN796=0,0,(AN796-IF(5=D796,1,0))*VLOOKUP(INDEX('章节与怪物'!$E$31:$K$37,B796,5),'章节与怪物'!$A$41:$F$44,4,FALSE)+IF(5=D796,'难度参数'!$E$30,0))</x:f>
        <x:v>918</x:v>
      </x:c>
      <x:c r="AR796" s="119" t="n">
        <x:f>IF(6&gt;D796,0,MAX(2,MIN('难度参数'!$E$12,ROUND(('难度参数'!$E$18*POWER(A796,'难度参数'!$E$19)/D796*(0.85+0.3*(6-1)/MAX(1,D796-1))),0)+F796)))</x:f>
        <x:v>54</x:v>
      </x:c>
      <x:c r="AS796" s="119" t="n">
        <x:f>IF(6&gt;D796,0,ROUND(('难度参数'!$E$13*POWER(A796,'难度参数'!$E$20)*MIN('难度参数'!$E$23,1+MAX(0,A796-'难度参数'!$E$21)*'难度参数'!$E$22))*(36+6*7)/(36+7*(D796+1)/2)*E796,0))</x:f>
        <x:v>20070</x:v>
      </x:c>
      <x:c r="AT796" s="119" t="n">
        <x:f>IF(AR796=0,0,(AR796-IF(6=D796,1,0))*ROUND(AS796*VLOOKUP(INDEX('章节与怪物'!$E$31:$K$37,B796,6),'章节与怪物'!$A$41:$F$44,2,FALSE),0)+IF(6=D796,ROUND(AS796*'难度参数'!$E$28*'章节与怪物'!$E$17,0),0))</x:f>
        <x:v>780300</x:v>
      </x:c>
      <x:c r="AU796" s="119" t="n">
        <x:f>IF(AR796=0,0,(AR796-IF(6=D796,1,0))*VLOOKUP(INDEX('章节与怪物'!$E$31:$K$37,B796,6),'章节与怪物'!$A$41:$F$44,4,FALSE)+IF(6=D796,'难度参数'!$E$30,0))</x:f>
        <x:v>1080</x:v>
      </x:c>
      <x:c r="AV796" s="119" t="n">
        <x:f>IF(7&gt;D796,0,MAX(2,MIN('难度参数'!$E$12,ROUND(('难度参数'!$E$18*POWER(A796,'难度参数'!$E$19)/D796*(0.85+0.3*(7-1)/MAX(1,D796-1))),0)+F796)))</x:f>
        <x:v>56</x:v>
      </x:c>
      <x:c r="AW796" s="119" t="n">
        <x:f>IF(7&gt;D796,0,ROUND(('难度参数'!$E$13*POWER(A796,'难度参数'!$E$20)*MIN('难度参数'!$E$23,1+MAX(0,A796-'难度参数'!$E$21)*'难度参数'!$E$22))*(36+7*7)/(36+7*(D796+1)/2)*E796,0))</x:f>
        <x:v>21871</x:v>
      </x:c>
      <x:c r="AX796" s="119" t="n">
        <x:f>IF(AV796=0,0,(AV796-IF(7=D796,1,0))*ROUND(AW796*VLOOKUP(INDEX('章节与怪物'!$E$31:$K$37,B796,7),'章节与怪物'!$A$41:$F$44,2,FALSE),0)+IF(7=D796,ROUND(AW796*'难度参数'!$E$28*'章节与怪物'!$E$17,0),0))</x:f>
        <x:v>1772653</x:v>
      </x:c>
      <x:c r="AY796" s="119" t="n">
        <x:f>IF(AV796=0,0,(AV796-IF(7=D796,1,0))*VLOOKUP(INDEX('章节与怪物'!$E$31:$K$37,B796,7),'章节与怪物'!$A$41:$F$44,4,FALSE)+IF(7=D796,'难度参数'!$E$30,0))</x:f>
        <x:v>2070</x:v>
      </x:c>
    </x:row>
    <x:row r="797" ht="23" customHeight="1">
      <x:c r="A797" s="119" t="n">
        <x:v>791</x:v>
      </x:c>
      <x:c r="B797" s="119" t="n">
        <x:f>MOD(INT((A797-1)/5),7)+1</x:f>
        <x:v>5</x:v>
      </x:c>
      <x:c r="C797" s="62" t="str">
        <x:f>INDEX('章节与怪物'!$B$31:$B$37,B797)</x:f>
        <x:v>雨林遗迹</x:v>
      </x:c>
      <x:c r="D797" s="119" t="n">
        <x:f>MIN('难度参数'!$E$8,MAX('难度参数'!$E$7,A797))</x:f>
        <x:v>7</x:v>
      </x:c>
      <x:c r="E797" s="106" t="n">
        <x:v>1</x:v>
      </x:c>
      <x:c r="F797" s="106" t="n">
        <x:v>0</x:v>
      </x:c>
      <x:c r="G797" s="106" t="n">
        <x:v>1</x:v>
      </x:c>
      <x:c r="H797" s="119" t="n">
        <x:f>SUM(X797,AB797,AF797,AJ797,AN797,AR797,AV797)</x:f>
        <x:v>341</x:v>
      </x:c>
      <x:c r="I797" s="119" t="n">
        <x:f>SUM(Z797,AD797,AH797,AL797,AP797,AT797,AX797)</x:f>
        <x:v>7390022</x:v>
      </x:c>
      <x:c r="J797" s="119" t="n">
        <x:f>ROUND(INDEX(X797:AY797,1,(D797-1)*4+2)*'难度参数'!$E$28*'章节与怪物'!$E$17,0)</x:f>
        <x:v>148859</x:v>
      </x:c>
      <x:c r="K797" s="119" t="n">
        <x:f>SUM(AA797,AE797,AI797,AM797,AQ797,AU797,AY797)</x:f>
        <x:v>9174</x:v>
      </x:c>
      <x:c r="L797" s="62" t="n">
        <x:f>H797*(ROUNDUP('难度参数'!$E$24/('难度参数'!$E$26*'难度参数'!$E$27),0)*'难度参数'!$E$26)/60</x:f>
        <x:v>4.546666666666667</x:v>
      </x:c>
      <x:c r="M797" s="62" t="n">
        <x:f>L797+D797*('难度参数'!$E$49+'难度参数'!$E$50)/60</x:f>
        <x:v>5.713333333333334</x:v>
      </x:c>
      <x:c r="N797" s="119" t="n">
        <x:f>ROUNDDOWN(('经济参数'!$E$20+A797*'经济参数'!$E$21)*G797,0)</x:f>
        <x:v>16000</x:v>
      </x:c>
      <x:c r="O797" s="119" t="n">
        <x:f>ROUNDDOWN(MIN('经济参数'!$E$24,'经济参数'!$E$22+A797*'经济参数'!$E$23)*G797,0)</x:f>
        <x:v>0</x:v>
      </x:c>
      <x:c r="P797" s="119" t="n">
        <x:f>ROUNDDOWN((IF(A797&gt;='材料与任务'!$E$31,'材料与任务'!$E$32,IF(A797&gt;='材料与任务'!$E$25,'材料与任务'!$E$26,IF(A797&gt;='材料与任务'!$E$19,'材料与任务'!$E$20,IF(A797&gt;='材料与任务'!$E$13,'材料与任务'!$E$14,'材料与任务'!$E$8)))))*G797,0)</x:f>
        <x:v>6</x:v>
      </x:c>
      <x:c r="Q797" s="119" t="n">
        <x:f>ROUNDDOWN((IF(A797&gt;='材料与任务'!$E$31,'材料与任务'!$E$33,IF(A797&gt;='材料与任务'!$E$25,'材料与任务'!$E$27,IF(A797&gt;='材料与任务'!$E$19,'材料与任务'!$E$21,IF(A797&gt;='材料与任务'!$E$13,'材料与任务'!$E$15,'材料与任务'!$E$9)))))*G797,0)</x:f>
        <x:v>3</x:v>
      </x:c>
      <x:c r="R797" s="110" t="n">
        <x:f>'装备掉落'!$B$38</x:f>
        <x:v>0.6872058758851213</x:v>
      </x:c>
      <x:c r="S797" s="119" t="n">
        <x:f>MAX(IF(VLOOKUP(A797,'装备掉落'!$A$29:$H$34,2,TRUE)&gt;0,1,0),IF(VLOOKUP(A797,'装备掉落'!$A$29:$H$34,3,TRUE)&gt;0,2,0),IF(VLOOKUP(A797,'装备掉落'!$A$29:$H$34,4,TRUE)&gt;0,3,0),IF(VLOOKUP(A797,'装备掉落'!$A$29:$H$34,5,TRUE)&gt;0,4,0),IF(VLOOKUP(A797,'装备掉落'!$A$29:$H$34,6,TRUE)&gt;0,5,0),IF(VLOOKUP(A797,'装备掉落'!$A$29:$H$34,7,TRUE)&gt;0,6,0),IF(VLOOKUP(A797,'装备掉落'!$A$29:$H$34,8,TRUE)&gt;0,7,0))</x:f>
        <x:v>7</x:v>
      </x:c>
      <x:c r="T797" s="119" t="n">
        <x:f>MIN(7,S797+'经济参数'!$E$70)</x:f>
        <x:v>7</x:v>
      </x:c>
      <x:c r="U797" s="119" t="n">
        <x:f>MIN(7,S797+'经济参数'!$E$71)</x:f>
        <x:v>7</x:v>
      </x:c>
      <x:c r="V797" s="119" t="n">
        <x:f>IF(H797&gt;=('难度参数'!$E$52),1,0)+IF(H797&gt;=('难度参数'!$E$52+'难度参数'!$E$53),1,0)+IF(H797&gt;=('难度参数'!$E$52+'难度参数'!$E$53+'难度参数'!$E$54),1,0)+IF(H797&gt;=('难度参数'!$E$52+'难度参数'!$E$53+'难度参数'!$E$54+'难度参数'!$E$55),1,0)+IF(H797&gt;=('难度参数'!$E$52+'难度参数'!$E$53+'难度参数'!$E$54+'难度参数'!$E$55+'难度参数'!$E$56),1,0)+IF(H797&gt;=('难度参数'!$E$52+'难度参数'!$E$53+'难度参数'!$E$54+'难度参数'!$E$55+'难度参数'!$E$56+'难度参数'!$E$57),1,0)</x:f>
        <x:v>6</x:v>
      </x:c>
      <x:c r="W797" s="62" t="str">
        <x:f>IF(L797&gt;'难度参数'!$E$51,"仅出怪已超目标","还需实测")</x:f>
        <x:v>仅出怪已超目标</x:v>
      </x:c>
      <x:c r="X797" s="119" t="n">
        <x:f>IF(1&gt;D797,0,MAX(2,MIN('难度参数'!$E$12,ROUND(('难度参数'!$E$18*POWER(A797,'难度参数'!$E$19)/D797*(0.85+0.3*(1-1)/MAX(1,D797-1))),0)+F797)))</x:f>
        <x:v>41</x:v>
      </x:c>
      <x:c r="Y797" s="119" t="n">
        <x:f>IF(1&gt;D797,0,ROUND(('难度参数'!$E$13*POWER(A797,'难度参数'!$E$20)*MIN('难度参数'!$E$23,1+MAX(0,A797-'难度参数'!$E$21)*'难度参数'!$E$22))*(36+1*7)/(36+7*(D797+1)/2)*E797,0))</x:f>
        <x:v>11074</x:v>
      </x:c>
      <x:c r="Z797" s="119" t="n">
        <x:f>IF(X797=0,0,(X797-IF(1=D797,1,0))*ROUND(Y797*VLOOKUP(INDEX('章节与怪物'!$E$31:$K$37,B797,1),'章节与怪物'!$A$41:$F$44,2,FALSE),0)+IF(1=D797,ROUND(Y797*'难度参数'!$E$28*'章节与怪物'!$E$17,0),0))</x:f>
        <x:v>454034</x:v>
      </x:c>
      <x:c r="AA797" s="119" t="n">
        <x:f>IF(X797=0,0,(X797-IF(1=D797,1,0))*VLOOKUP(INDEX('章节与怪物'!$E$31:$K$37,B797,1),'章节与怪物'!$A$41:$F$44,4,FALSE)+IF(1=D797,'难度参数'!$E$30,0))</x:f>
        <x:v>738</x:v>
      </x:c>
      <x:c r="AB797" s="119" t="n">
        <x:f>IF(2&gt;D797,0,MAX(2,MIN('难度参数'!$E$12,ROUND(('难度参数'!$E$18*POWER(A797,'难度参数'!$E$19)/D797*(0.85+0.3*(2-1)/MAX(1,D797-1))),0)+F797)))</x:f>
        <x:v>44</x:v>
      </x:c>
      <x:c r="AC797" s="119" t="n">
        <x:f>IF(2&gt;D797,0,ROUND(('难度参数'!$E$13*POWER(A797,'难度参数'!$E$20)*MIN('难度参数'!$E$23,1+MAX(0,A797-'难度参数'!$E$21)*'难度参数'!$E$22))*(36+2*7)/(36+7*(D797+1)/2)*E797,0))</x:f>
        <x:v>12877</x:v>
      </x:c>
      <x:c r="AD797" s="119" t="n">
        <x:f>IF(AB797=0,0,(AB797-IF(2=D797,1,0))*ROUND(AC797*VLOOKUP(INDEX('章节与怪物'!$E$31:$K$37,B797,2),'章节与怪物'!$A$41:$F$44,2,FALSE),0)+IF(2=D797,ROUND(AC797*'难度参数'!$E$28*'章节与怪物'!$E$17,0),0))</x:f>
        <x:v>407924</x:v>
      </x:c>
      <x:c r="AE797" s="119" t="n">
        <x:f>IF(AB797=0,0,(AB797-IF(2=D797,1,0))*VLOOKUP(INDEX('章节与怪物'!$E$31:$K$37,B797,2),'章节与怪物'!$A$41:$F$44,4,FALSE)+IF(2=D797,'难度参数'!$E$30,0))</x:f>
        <x:v>880</x:v>
      </x:c>
      <x:c r="AF797" s="119" t="n">
        <x:f>IF(3&gt;D797,0,MAX(2,MIN('难度参数'!$E$12,ROUND(('难度参数'!$E$18*POWER(A797,'难度参数'!$E$19)/D797*(0.85+0.3*(3-1)/MAX(1,D797-1))),0)+F797)))</x:f>
        <x:v>46</x:v>
      </x:c>
      <x:c r="AG797" s="119" t="n">
        <x:f>IF(3&gt;D797,0,ROUND(('难度参数'!$E$13*POWER(A797,'难度参数'!$E$20)*MIN('难度参数'!$E$23,1+MAX(0,A797-'难度参数'!$E$21)*'难度参数'!$E$22))*(36+3*7)/(36+7*(D797+1)/2)*E797,0))</x:f>
        <x:v>14680</x:v>
      </x:c>
      <x:c r="AH797" s="119" t="n">
        <x:f>IF(AF797=0,0,(AF797-IF(3=D797,1,0))*ROUND(AG797*VLOOKUP(INDEX('章节与怪物'!$E$31:$K$37,B797,3),'章节与怪物'!$A$41:$F$44,2,FALSE),0)+IF(3=D797,ROUND(AG797*'难度参数'!$E$28*'章节与怪物'!$E$17,0),0))</x:f>
        <x:v>1147976</x:v>
      </x:c>
      <x:c r="AI797" s="119" t="n">
        <x:f>IF(AF797=0,0,(AF797-IF(3=D797,1,0))*VLOOKUP(INDEX('章节与怪物'!$E$31:$K$37,B797,3),'章节与怪物'!$A$41:$F$44,4,FALSE)+IF(3=D797,'难度参数'!$E$30,0))</x:f>
        <x:v>1288</x:v>
      </x:c>
      <x:c r="AJ797" s="119" t="n">
        <x:f>IF(4&gt;D797,0,MAX(2,MIN('难度参数'!$E$12,ROUND(('难度参数'!$E$18*POWER(A797,'难度参数'!$E$19)/D797*(0.85+0.3*(4-1)/MAX(1,D797-1))),0)+F797)))</x:f>
        <x:v>49</x:v>
      </x:c>
      <x:c r="AK797" s="119" t="n">
        <x:f>IF(4&gt;D797,0,ROUND(('难度参数'!$E$13*POWER(A797,'难度参数'!$E$20)*MIN('难度参数'!$E$23,1+MAX(0,A797-'难度参数'!$E$21)*'难度参数'!$E$22))*(36+4*7)/(36+7*(D797+1)/2)*E797,0))</x:f>
        <x:v>16482</x:v>
      </x:c>
      <x:c r="AL797" s="119" t="n">
        <x:f>IF(AJ797=0,0,(AJ797-IF(4=D797,1,0))*ROUND(AK797*VLOOKUP(INDEX('章节与怪物'!$E$31:$K$37,B797,4),'章节与怪物'!$A$41:$F$44,2,FALSE),0)+IF(4=D797,ROUND(AK797*'难度参数'!$E$28*'章节与怪物'!$E$17,0),0))</x:f>
        <x:v>1090299</x:v>
      </x:c>
      <x:c r="AM797" s="119" t="n">
        <x:f>IF(AJ797=0,0,(AJ797-IF(4=D797,1,0))*VLOOKUP(INDEX('章节与怪物'!$E$31:$K$37,B797,4),'章节与怪物'!$A$41:$F$44,4,FALSE)+IF(4=D797,'难度参数'!$E$30,0))</x:f>
        <x:v>1666</x:v>
      </x:c>
      <x:c r="AN797" s="119" t="n">
        <x:f>IF(5&gt;D797,0,MAX(2,MIN('难度参数'!$E$12,ROUND(('难度参数'!$E$18*POWER(A797,'难度参数'!$E$19)/D797*(0.85+0.3*(5-1)/MAX(1,D797-1))),0)+F797)))</x:f>
        <x:v>51</x:v>
      </x:c>
      <x:c r="AO797" s="119" t="n">
        <x:f>IF(5&gt;D797,0,ROUND(('难度参数'!$E$13*POWER(A797,'难度参数'!$E$20)*MIN('难度参数'!$E$23,1+MAX(0,A797-'难度参数'!$E$21)*'难度参数'!$E$22))*(36+5*7)/(36+7*(D797+1)/2)*E797,0))</x:f>
        <x:v>18285</x:v>
      </x:c>
      <x:c r="AP797" s="119" t="n">
        <x:f>IF(AN797=0,0,(AN797-IF(5=D797,1,0))*ROUND(AO797*VLOOKUP(INDEX('章节与怪物'!$E$31:$K$37,B797,5),'章节与怪物'!$A$41:$F$44,2,FALSE),0)+IF(5=D797,ROUND(AO797*'难度参数'!$E$28*'章节与怪物'!$E$17,0),0))</x:f>
        <x:v>671415</x:v>
      </x:c>
      <x:c r="AQ797" s="119" t="n">
        <x:f>IF(AN797=0,0,(AN797-IF(5=D797,1,0))*VLOOKUP(INDEX('章节与怪物'!$E$31:$K$37,B797,5),'章节与怪物'!$A$41:$F$44,4,FALSE)+IF(5=D797,'难度参数'!$E$30,0))</x:f>
        <x:v>1020</x:v>
      </x:c>
      <x:c r="AR797" s="119" t="n">
        <x:f>IF(6&gt;D797,0,MAX(2,MIN('难度参数'!$E$12,ROUND(('难度参数'!$E$18*POWER(A797,'难度参数'!$E$19)/D797*(0.85+0.3*(6-1)/MAX(1,D797-1))),0)+F797)))</x:f>
        <x:v>54</x:v>
      </x:c>
      <x:c r="AS797" s="119" t="n">
        <x:f>IF(6&gt;D797,0,ROUND(('难度参数'!$E$13*POWER(A797,'难度参数'!$E$20)*MIN('难度参数'!$E$23,1+MAX(0,A797-'难度参数'!$E$21)*'难度参数'!$E$22))*(36+6*7)/(36+7*(D797+1)/2)*E797,0))</x:f>
        <x:v>20088</x:v>
      </x:c>
      <x:c r="AT797" s="119" t="n">
        <x:f>IF(AR797=0,0,(AR797-IF(6=D797,1,0))*ROUND(AS797*VLOOKUP(INDEX('章节与怪物'!$E$31:$K$37,B797,6),'章节与怪物'!$A$41:$F$44,2,FALSE),0)+IF(6=D797,ROUND(AS797*'难度参数'!$E$28*'章节与怪物'!$E$17,0),0))</x:f>
        <x:v>1844100</x:v>
      </x:c>
      <x:c r="AU797" s="119" t="n">
        <x:f>IF(AR797=0,0,(AR797-IF(6=D797,1,0))*VLOOKUP(INDEX('章节与怪物'!$E$31:$K$37,B797,6),'章节与怪物'!$A$41:$F$44,4,FALSE)+IF(6=D797,'难度参数'!$E$30,0))</x:f>
        <x:v>1512</x:v>
      </x:c>
      <x:c r="AV797" s="119" t="n">
        <x:f>IF(7&gt;D797,0,MAX(2,MIN('难度参数'!$E$12,ROUND(('难度参数'!$E$18*POWER(A797,'难度参数'!$E$19)/D797*(0.85+0.3*(7-1)/MAX(1,D797-1))),0)+F797)))</x:f>
        <x:v>56</x:v>
      </x:c>
      <x:c r="AW797" s="119" t="n">
        <x:f>IF(7&gt;D797,0,ROUND(('难度参数'!$E$13*POWER(A797,'难度参数'!$E$20)*MIN('难度参数'!$E$23,1+MAX(0,A797-'难度参数'!$E$21)*'难度参数'!$E$22))*(36+7*7)/(36+7*(D797+1)/2)*E797,0))</x:f>
        <x:v>21891</x:v>
      </x:c>
      <x:c r="AX797" s="119" t="n">
        <x:f>IF(AV797=0,0,(AV797-IF(7=D797,1,0))*ROUND(AW797*VLOOKUP(INDEX('章节与怪物'!$E$31:$K$37,B797,7),'章节与怪物'!$A$41:$F$44,2,FALSE),0)+IF(7=D797,ROUND(AW797*'难度参数'!$E$28*'章节与怪物'!$E$17,0),0))</x:f>
        <x:v>1774274</x:v>
      </x:c>
      <x:c r="AY797" s="119" t="n">
        <x:f>IF(AV797=0,0,(AV797-IF(7=D797,1,0))*VLOOKUP(INDEX('章节与怪物'!$E$31:$K$37,B797,7),'章节与怪物'!$A$41:$F$44,4,FALSE)+IF(7=D797,'难度参数'!$E$30,0))</x:f>
        <x:v>2070</x:v>
      </x:c>
    </x:row>
    <x:row r="798" ht="23" customHeight="1">
      <x:c r="A798" s="119" t="n">
        <x:v>792</x:v>
      </x:c>
      <x:c r="B798" s="119" t="n">
        <x:f>MOD(INT((A798-1)/5),7)+1</x:f>
        <x:v>5</x:v>
      </x:c>
      <x:c r="C798" s="62" t="str">
        <x:f>INDEX('章节与怪物'!$B$31:$B$37,B798)</x:f>
        <x:v>雨林遗迹</x:v>
      </x:c>
      <x:c r="D798" s="119" t="n">
        <x:f>MIN('难度参数'!$E$8,MAX('难度参数'!$E$7,A798))</x:f>
        <x:v>7</x:v>
      </x:c>
      <x:c r="E798" s="106" t="n">
        <x:v>1</x:v>
      </x:c>
      <x:c r="F798" s="106" t="n">
        <x:v>0</x:v>
      </x:c>
      <x:c r="G798" s="106" t="n">
        <x:v>1</x:v>
      </x:c>
      <x:c r="H798" s="119" t="n">
        <x:f>SUM(X798,AB798,AF798,AJ798,AN798,AR798,AV798)</x:f>
        <x:v>341</x:v>
      </x:c>
      <x:c r="I798" s="119" t="n">
        <x:f>SUM(Z798,AD798,AH798,AL798,AP798,AT798,AX798)</x:f>
        <x:v>7396673</x:v>
      </x:c>
      <x:c r="J798" s="119" t="n">
        <x:f>ROUND(INDEX(X798:AY798,1,(D798-1)*4+2)*'难度参数'!$E$28*'章节与怪物'!$E$17,0)</x:f>
        <x:v>148995</x:v>
      </x:c>
      <x:c r="K798" s="119" t="n">
        <x:f>SUM(AA798,AE798,AI798,AM798,AQ798,AU798,AY798)</x:f>
        <x:v>9174</x:v>
      </x:c>
      <x:c r="L798" s="62" t="n">
        <x:f>H798*(ROUNDUP('难度参数'!$E$24/('难度参数'!$E$26*'难度参数'!$E$27),0)*'难度参数'!$E$26)/60</x:f>
        <x:v>4.546666666666667</x:v>
      </x:c>
      <x:c r="M798" s="62" t="n">
        <x:f>L798+D798*('难度参数'!$E$49+'难度参数'!$E$50)/60</x:f>
        <x:v>5.713333333333334</x:v>
      </x:c>
      <x:c r="N798" s="119" t="n">
        <x:f>ROUNDDOWN(('经济参数'!$E$20+A798*'经济参数'!$E$21)*G798,0)</x:f>
        <x:v>16020</x:v>
      </x:c>
      <x:c r="O798" s="119" t="n">
        <x:f>ROUNDDOWN(MIN('经济参数'!$E$24,'经济参数'!$E$22+A798*'经济参数'!$E$23)*G798,0)</x:f>
        <x:v>0</x:v>
      </x:c>
      <x:c r="P798" s="119" t="n">
        <x:f>ROUNDDOWN((IF(A798&gt;='材料与任务'!$E$31,'材料与任务'!$E$32,IF(A798&gt;='材料与任务'!$E$25,'材料与任务'!$E$26,IF(A798&gt;='材料与任务'!$E$19,'材料与任务'!$E$20,IF(A798&gt;='材料与任务'!$E$13,'材料与任务'!$E$14,'材料与任务'!$E$8)))))*G798,0)</x:f>
        <x:v>6</x:v>
      </x:c>
      <x:c r="Q798" s="119" t="n">
        <x:f>ROUNDDOWN((IF(A798&gt;='材料与任务'!$E$31,'材料与任务'!$E$33,IF(A798&gt;='材料与任务'!$E$25,'材料与任务'!$E$27,IF(A798&gt;='材料与任务'!$E$19,'材料与任务'!$E$21,IF(A798&gt;='材料与任务'!$E$13,'材料与任务'!$E$15,'材料与任务'!$E$9)))))*G798,0)</x:f>
        <x:v>3</x:v>
      </x:c>
      <x:c r="R798" s="110" t="n">
        <x:f>'装备掉落'!$B$38</x:f>
        <x:v>0.6872058758851213</x:v>
      </x:c>
      <x:c r="S798" s="119" t="n">
        <x:f>MAX(IF(VLOOKUP(A798,'装备掉落'!$A$29:$H$34,2,TRUE)&gt;0,1,0),IF(VLOOKUP(A798,'装备掉落'!$A$29:$H$34,3,TRUE)&gt;0,2,0),IF(VLOOKUP(A798,'装备掉落'!$A$29:$H$34,4,TRUE)&gt;0,3,0),IF(VLOOKUP(A798,'装备掉落'!$A$29:$H$34,5,TRUE)&gt;0,4,0),IF(VLOOKUP(A798,'装备掉落'!$A$29:$H$34,6,TRUE)&gt;0,5,0),IF(VLOOKUP(A798,'装备掉落'!$A$29:$H$34,7,TRUE)&gt;0,6,0),IF(VLOOKUP(A798,'装备掉落'!$A$29:$H$34,8,TRUE)&gt;0,7,0))</x:f>
        <x:v>7</x:v>
      </x:c>
      <x:c r="T798" s="119" t="n">
        <x:f>MIN(7,S798+'经济参数'!$E$70)</x:f>
        <x:v>7</x:v>
      </x:c>
      <x:c r="U798" s="119" t="n">
        <x:f>MIN(7,S798+'经济参数'!$E$71)</x:f>
        <x:v>7</x:v>
      </x:c>
      <x:c r="V798" s="119" t="n">
        <x:f>IF(H798&gt;=('难度参数'!$E$52),1,0)+IF(H798&gt;=('难度参数'!$E$52+'难度参数'!$E$53),1,0)+IF(H798&gt;=('难度参数'!$E$52+'难度参数'!$E$53+'难度参数'!$E$54),1,0)+IF(H798&gt;=('难度参数'!$E$52+'难度参数'!$E$53+'难度参数'!$E$54+'难度参数'!$E$55),1,0)+IF(H798&gt;=('难度参数'!$E$52+'难度参数'!$E$53+'难度参数'!$E$54+'难度参数'!$E$55+'难度参数'!$E$56),1,0)+IF(H798&gt;=('难度参数'!$E$52+'难度参数'!$E$53+'难度参数'!$E$54+'难度参数'!$E$55+'难度参数'!$E$56+'难度参数'!$E$57),1,0)</x:f>
        <x:v>6</x:v>
      </x:c>
      <x:c r="W798" s="62" t="str">
        <x:f>IF(L798&gt;'难度参数'!$E$51,"仅出怪已超目标","还需实测")</x:f>
        <x:v>仅出怪已超目标</x:v>
      </x:c>
      <x:c r="X798" s="119" t="n">
        <x:f>IF(1&gt;D798,0,MAX(2,MIN('难度参数'!$E$12,ROUND(('难度参数'!$E$18*POWER(A798,'难度参数'!$E$19)/D798*(0.85+0.3*(1-1)/MAX(1,D798-1))),0)+F798)))</x:f>
        <x:v>41</x:v>
      </x:c>
      <x:c r="Y798" s="119" t="n">
        <x:f>IF(1&gt;D798,0,ROUND(('难度参数'!$E$13*POWER(A798,'难度参数'!$E$20)*MIN('难度参数'!$E$23,1+MAX(0,A798-'难度参数'!$E$21)*'难度参数'!$E$22))*(36+1*7)/(36+7*(D798+1)/2)*E798,0))</x:f>
        <x:v>11084</x:v>
      </x:c>
      <x:c r="Z798" s="119" t="n">
        <x:f>IF(X798=0,0,(X798-IF(1=D798,1,0))*ROUND(Y798*VLOOKUP(INDEX('章节与怪物'!$E$31:$K$37,B798,1),'章节与怪物'!$A$41:$F$44,2,FALSE),0)+IF(1=D798,ROUND(Y798*'难度参数'!$E$28*'章节与怪物'!$E$17,0),0))</x:f>
        <x:v>454444</x:v>
      </x:c>
      <x:c r="AA798" s="119" t="n">
        <x:f>IF(X798=0,0,(X798-IF(1=D798,1,0))*VLOOKUP(INDEX('章节与怪物'!$E$31:$K$37,B798,1),'章节与怪物'!$A$41:$F$44,4,FALSE)+IF(1=D798,'难度参数'!$E$30,0))</x:f>
        <x:v>738</x:v>
      </x:c>
      <x:c r="AB798" s="119" t="n">
        <x:f>IF(2&gt;D798,0,MAX(2,MIN('难度参数'!$E$12,ROUND(('难度参数'!$E$18*POWER(A798,'难度参数'!$E$19)/D798*(0.85+0.3*(2-1)/MAX(1,D798-1))),0)+F798)))</x:f>
        <x:v>44</x:v>
      </x:c>
      <x:c r="AC798" s="119" t="n">
        <x:f>IF(2&gt;D798,0,ROUND(('难度参数'!$E$13*POWER(A798,'难度参数'!$E$20)*MIN('难度参数'!$E$23,1+MAX(0,A798-'难度参数'!$E$21)*'难度参数'!$E$22))*(36+2*7)/(36+7*(D798+1)/2)*E798,0))</x:f>
        <x:v>12889</x:v>
      </x:c>
      <x:c r="AD798" s="119" t="n">
        <x:f>IF(AB798=0,0,(AB798-IF(2=D798,1,0))*ROUND(AC798*VLOOKUP(INDEX('章节与怪物'!$E$31:$K$37,B798,2),'章节与怪物'!$A$41:$F$44,2,FALSE),0)+IF(2=D798,ROUND(AC798*'难度参数'!$E$28*'章节与怪物'!$E$17,0),0))</x:f>
        <x:v>408320</x:v>
      </x:c>
      <x:c r="AE798" s="119" t="n">
        <x:f>IF(AB798=0,0,(AB798-IF(2=D798,1,0))*VLOOKUP(INDEX('章节与怪物'!$E$31:$K$37,B798,2),'章节与怪物'!$A$41:$F$44,4,FALSE)+IF(2=D798,'难度参数'!$E$30,0))</x:f>
        <x:v>880</x:v>
      </x:c>
      <x:c r="AF798" s="119" t="n">
        <x:f>IF(3&gt;D798,0,MAX(2,MIN('难度参数'!$E$12,ROUND(('难度参数'!$E$18*POWER(A798,'难度参数'!$E$19)/D798*(0.85+0.3*(3-1)/MAX(1,D798-1))),0)+F798)))</x:f>
        <x:v>46</x:v>
      </x:c>
      <x:c r="AG798" s="119" t="n">
        <x:f>IF(3&gt;D798,0,ROUND(('难度参数'!$E$13*POWER(A798,'难度参数'!$E$20)*MIN('难度参数'!$E$23,1+MAX(0,A798-'难度参数'!$E$21)*'难度参数'!$E$22))*(36+3*7)/(36+7*(D798+1)/2)*E798,0))</x:f>
        <x:v>14693</x:v>
      </x:c>
      <x:c r="AH798" s="119" t="n">
        <x:f>IF(AF798=0,0,(AF798-IF(3=D798,1,0))*ROUND(AG798*VLOOKUP(INDEX('章节与怪物'!$E$31:$K$37,B798,3),'章节与怪物'!$A$41:$F$44,2,FALSE),0)+IF(3=D798,ROUND(AG798*'难度参数'!$E$28*'章节与怪物'!$E$17,0),0))</x:f>
        <x:v>1148988</x:v>
      </x:c>
      <x:c r="AI798" s="119" t="n">
        <x:f>IF(AF798=0,0,(AF798-IF(3=D798,1,0))*VLOOKUP(INDEX('章节与怪物'!$E$31:$K$37,B798,3),'章节与怪物'!$A$41:$F$44,4,FALSE)+IF(3=D798,'难度参数'!$E$30,0))</x:f>
        <x:v>1288</x:v>
      </x:c>
      <x:c r="AJ798" s="119" t="n">
        <x:f>IF(4&gt;D798,0,MAX(2,MIN('难度参数'!$E$12,ROUND(('难度参数'!$E$18*POWER(A798,'难度参数'!$E$19)/D798*(0.85+0.3*(4-1)/MAX(1,D798-1))),0)+F798)))</x:f>
        <x:v>49</x:v>
      </x:c>
      <x:c r="AK798" s="119" t="n">
        <x:f>IF(4&gt;D798,0,ROUND(('难度参数'!$E$13*POWER(A798,'难度参数'!$E$20)*MIN('难度参数'!$E$23,1+MAX(0,A798-'难度参数'!$E$21)*'难度参数'!$E$22))*(36+4*7)/(36+7*(D798+1)/2)*E798,0))</x:f>
        <x:v>16497</x:v>
      </x:c>
      <x:c r="AL798" s="119" t="n">
        <x:f>IF(AJ798=0,0,(AJ798-IF(4=D798,1,0))*ROUND(AK798*VLOOKUP(INDEX('章节与怪物'!$E$31:$K$37,B798,4),'章节与怪物'!$A$41:$F$44,2,FALSE),0)+IF(4=D798,ROUND(AK798*'难度参数'!$E$28*'章节与怪物'!$E$17,0),0))</x:f>
        <x:v>1091279</x:v>
      </x:c>
      <x:c r="AM798" s="119" t="n">
        <x:f>IF(AJ798=0,0,(AJ798-IF(4=D798,1,0))*VLOOKUP(INDEX('章节与怪物'!$E$31:$K$37,B798,4),'章节与怪物'!$A$41:$F$44,4,FALSE)+IF(4=D798,'难度参数'!$E$30,0))</x:f>
        <x:v>1666</x:v>
      </x:c>
      <x:c r="AN798" s="119" t="n">
        <x:f>IF(5&gt;D798,0,MAX(2,MIN('难度参数'!$E$12,ROUND(('难度参数'!$E$18*POWER(A798,'难度参数'!$E$19)/D798*(0.85+0.3*(5-1)/MAX(1,D798-1))),0)+F798)))</x:f>
        <x:v>51</x:v>
      </x:c>
      <x:c r="AO798" s="119" t="n">
        <x:f>IF(5&gt;D798,0,ROUND(('难度参数'!$E$13*POWER(A798,'难度参数'!$E$20)*MIN('难度参数'!$E$23,1+MAX(0,A798-'难度参数'!$E$21)*'难度参数'!$E$22))*(36+5*7)/(36+7*(D798+1)/2)*E798,0))</x:f>
        <x:v>18302</x:v>
      </x:c>
      <x:c r="AP798" s="119" t="n">
        <x:f>IF(AN798=0,0,(AN798-IF(5=D798,1,0))*ROUND(AO798*VLOOKUP(INDEX('章节与怪物'!$E$31:$K$37,B798,5),'章节与怪物'!$A$41:$F$44,2,FALSE),0)+IF(5=D798,ROUND(AO798*'难度参数'!$E$28*'章节与怪物'!$E$17,0),0))</x:f>
        <x:v>672027</x:v>
      </x:c>
      <x:c r="AQ798" s="119" t="n">
        <x:f>IF(AN798=0,0,(AN798-IF(5=D798,1,0))*VLOOKUP(INDEX('章节与怪物'!$E$31:$K$37,B798,5),'章节与怪物'!$A$41:$F$44,4,FALSE)+IF(5=D798,'难度参数'!$E$30,0))</x:f>
        <x:v>1020</x:v>
      </x:c>
      <x:c r="AR798" s="119" t="n">
        <x:f>IF(6&gt;D798,0,MAX(2,MIN('难度参数'!$E$12,ROUND(('难度参数'!$E$18*POWER(A798,'难度参数'!$E$19)/D798*(0.85+0.3*(6-1)/MAX(1,D798-1))),0)+F798)))</x:f>
        <x:v>54</x:v>
      </x:c>
      <x:c r="AS798" s="119" t="n">
        <x:f>IF(6&gt;D798,0,ROUND(('难度参数'!$E$13*POWER(A798,'难度参数'!$E$20)*MIN('难度参数'!$E$23,1+MAX(0,A798-'难度参数'!$E$21)*'难度参数'!$E$22))*(36+6*7)/(36+7*(D798+1)/2)*E798,0))</x:f>
        <x:v>20106</x:v>
      </x:c>
      <x:c r="AT798" s="119" t="n">
        <x:f>IF(AR798=0,0,(AR798-IF(6=D798,1,0))*ROUND(AS798*VLOOKUP(INDEX('章节与怪物'!$E$31:$K$37,B798,6),'章节与怪物'!$A$41:$F$44,2,FALSE),0)+IF(6=D798,ROUND(AS798*'难度参数'!$E$28*'章节与怪物'!$E$17,0),0))</x:f>
        <x:v>1845720</x:v>
      </x:c>
      <x:c r="AU798" s="119" t="n">
        <x:f>IF(AR798=0,0,(AR798-IF(6=D798,1,0))*VLOOKUP(INDEX('章节与怪物'!$E$31:$K$37,B798,6),'章节与怪物'!$A$41:$F$44,4,FALSE)+IF(6=D798,'难度参数'!$E$30,0))</x:f>
        <x:v>1512</x:v>
      </x:c>
      <x:c r="AV798" s="119" t="n">
        <x:f>IF(7&gt;D798,0,MAX(2,MIN('难度参数'!$E$12,ROUND(('难度参数'!$E$18*POWER(A798,'难度参数'!$E$19)/D798*(0.85+0.3*(7-1)/MAX(1,D798-1))),0)+F798)))</x:f>
        <x:v>56</x:v>
      </x:c>
      <x:c r="AW798" s="119" t="n">
        <x:f>IF(7&gt;D798,0,ROUND(('难度参数'!$E$13*POWER(A798,'难度参数'!$E$20)*MIN('难度参数'!$E$23,1+MAX(0,A798-'难度参数'!$E$21)*'难度参数'!$E$22))*(36+7*7)/(36+7*(D798+1)/2)*E798,0))</x:f>
        <x:v>21911</x:v>
      </x:c>
      <x:c r="AX798" s="119" t="n">
        <x:f>IF(AV798=0,0,(AV798-IF(7=D798,1,0))*ROUND(AW798*VLOOKUP(INDEX('章节与怪物'!$E$31:$K$37,B798,7),'章节与怪物'!$A$41:$F$44,2,FALSE),0)+IF(7=D798,ROUND(AW798*'难度参数'!$E$28*'章节与怪物'!$E$17,0),0))</x:f>
        <x:v>1775895</x:v>
      </x:c>
      <x:c r="AY798" s="119" t="n">
        <x:f>IF(AV798=0,0,(AV798-IF(7=D798,1,0))*VLOOKUP(INDEX('章节与怪物'!$E$31:$K$37,B798,7),'章节与怪物'!$A$41:$F$44,4,FALSE)+IF(7=D798,'难度参数'!$E$30,0))</x:f>
        <x:v>2070</x:v>
      </x:c>
    </x:row>
    <x:row r="799" ht="23" customHeight="1">
      <x:c r="A799" s="119" t="n">
        <x:v>793</x:v>
      </x:c>
      <x:c r="B799" s="119" t="n">
        <x:f>MOD(INT((A799-1)/5),7)+1</x:f>
        <x:v>5</x:v>
      </x:c>
      <x:c r="C799" s="62" t="str">
        <x:f>INDEX('章节与怪物'!$B$31:$B$37,B799)</x:f>
        <x:v>雨林遗迹</x:v>
      </x:c>
      <x:c r="D799" s="119" t="n">
        <x:f>MIN('难度参数'!$E$8,MAX('难度参数'!$E$7,A799))</x:f>
        <x:v>7</x:v>
      </x:c>
      <x:c r="E799" s="106" t="n">
        <x:v>1</x:v>
      </x:c>
      <x:c r="F799" s="106" t="n">
        <x:v>0</x:v>
      </x:c>
      <x:c r="G799" s="106" t="n">
        <x:v>1</x:v>
      </x:c>
      <x:c r="H799" s="119" t="n">
        <x:f>SUM(X799,AB799,AF799,AJ799,AN799,AR799,AV799)</x:f>
        <x:v>341</x:v>
      </x:c>
      <x:c r="I799" s="119" t="n">
        <x:f>SUM(Z799,AD799,AH799,AL799,AP799,AT799,AX799)</x:f>
        <x:v>7403334</x:v>
      </x:c>
      <x:c r="J799" s="119" t="n">
        <x:f>ROUND(INDEX(X799:AY799,1,(D799-1)*4+2)*'难度参数'!$E$28*'章节与怪物'!$E$17,0)</x:f>
        <x:v>149131</x:v>
      </x:c>
      <x:c r="K799" s="119" t="n">
        <x:f>SUM(AA799,AE799,AI799,AM799,AQ799,AU799,AY799)</x:f>
        <x:v>9174</x:v>
      </x:c>
      <x:c r="L799" s="62" t="n">
        <x:f>H799*(ROUNDUP('难度参数'!$E$24/('难度参数'!$E$26*'难度参数'!$E$27),0)*'难度参数'!$E$26)/60</x:f>
        <x:v>4.546666666666667</x:v>
      </x:c>
      <x:c r="M799" s="62" t="n">
        <x:f>L799+D799*('难度参数'!$E$49+'难度参数'!$E$50)/60</x:f>
        <x:v>5.713333333333334</x:v>
      </x:c>
      <x:c r="N799" s="119" t="n">
        <x:f>ROUNDDOWN(('经济参数'!$E$20+A799*'经济参数'!$E$21)*G799,0)</x:f>
        <x:v>16040</x:v>
      </x:c>
      <x:c r="O799" s="119" t="n">
        <x:f>ROUNDDOWN(MIN('经济参数'!$E$24,'经济参数'!$E$22+A799*'经济参数'!$E$23)*G799,0)</x:f>
        <x:v>0</x:v>
      </x:c>
      <x:c r="P799" s="119" t="n">
        <x:f>ROUNDDOWN((IF(A799&gt;='材料与任务'!$E$31,'材料与任务'!$E$32,IF(A799&gt;='材料与任务'!$E$25,'材料与任务'!$E$26,IF(A799&gt;='材料与任务'!$E$19,'材料与任务'!$E$20,IF(A799&gt;='材料与任务'!$E$13,'材料与任务'!$E$14,'材料与任务'!$E$8)))))*G799,0)</x:f>
        <x:v>6</x:v>
      </x:c>
      <x:c r="Q799" s="119" t="n">
        <x:f>ROUNDDOWN((IF(A799&gt;='材料与任务'!$E$31,'材料与任务'!$E$33,IF(A799&gt;='材料与任务'!$E$25,'材料与任务'!$E$27,IF(A799&gt;='材料与任务'!$E$19,'材料与任务'!$E$21,IF(A799&gt;='材料与任务'!$E$13,'材料与任务'!$E$15,'材料与任务'!$E$9)))))*G799,0)</x:f>
        <x:v>3</x:v>
      </x:c>
      <x:c r="R799" s="110" t="n">
        <x:f>'装备掉落'!$B$38</x:f>
        <x:v>0.6872058758851213</x:v>
      </x:c>
      <x:c r="S799" s="119" t="n">
        <x:f>MAX(IF(VLOOKUP(A799,'装备掉落'!$A$29:$H$34,2,TRUE)&gt;0,1,0),IF(VLOOKUP(A799,'装备掉落'!$A$29:$H$34,3,TRUE)&gt;0,2,0),IF(VLOOKUP(A799,'装备掉落'!$A$29:$H$34,4,TRUE)&gt;0,3,0),IF(VLOOKUP(A799,'装备掉落'!$A$29:$H$34,5,TRUE)&gt;0,4,0),IF(VLOOKUP(A799,'装备掉落'!$A$29:$H$34,6,TRUE)&gt;0,5,0),IF(VLOOKUP(A799,'装备掉落'!$A$29:$H$34,7,TRUE)&gt;0,6,0),IF(VLOOKUP(A799,'装备掉落'!$A$29:$H$34,8,TRUE)&gt;0,7,0))</x:f>
        <x:v>7</x:v>
      </x:c>
      <x:c r="T799" s="119" t="n">
        <x:f>MIN(7,S799+'经济参数'!$E$70)</x:f>
        <x:v>7</x:v>
      </x:c>
      <x:c r="U799" s="119" t="n">
        <x:f>MIN(7,S799+'经济参数'!$E$71)</x:f>
        <x:v>7</x:v>
      </x:c>
      <x:c r="V799" s="119" t="n">
        <x:f>IF(H799&gt;=('难度参数'!$E$52),1,0)+IF(H799&gt;=('难度参数'!$E$52+'难度参数'!$E$53),1,0)+IF(H799&gt;=('难度参数'!$E$52+'难度参数'!$E$53+'难度参数'!$E$54),1,0)+IF(H799&gt;=('难度参数'!$E$52+'难度参数'!$E$53+'难度参数'!$E$54+'难度参数'!$E$55),1,0)+IF(H799&gt;=('难度参数'!$E$52+'难度参数'!$E$53+'难度参数'!$E$54+'难度参数'!$E$55+'难度参数'!$E$56),1,0)+IF(H799&gt;=('难度参数'!$E$52+'难度参数'!$E$53+'难度参数'!$E$54+'难度参数'!$E$55+'难度参数'!$E$56+'难度参数'!$E$57),1,0)</x:f>
        <x:v>6</x:v>
      </x:c>
      <x:c r="W799" s="62" t="str">
        <x:f>IF(L799&gt;'难度参数'!$E$51,"仅出怪已超目标","还需实测")</x:f>
        <x:v>仅出怪已超目标</x:v>
      </x:c>
      <x:c r="X799" s="119" t="n">
        <x:f>IF(1&gt;D799,0,MAX(2,MIN('难度参数'!$E$12,ROUND(('难度参数'!$E$18*POWER(A799,'难度参数'!$E$19)/D799*(0.85+0.3*(1-1)/MAX(1,D799-1))),0)+F799)))</x:f>
        <x:v>41</x:v>
      </x:c>
      <x:c r="Y799" s="119" t="n">
        <x:f>IF(1&gt;D799,0,ROUND(('难度参数'!$E$13*POWER(A799,'难度参数'!$E$20)*MIN('难度参数'!$E$23,1+MAX(0,A799-'难度参数'!$E$21)*'难度参数'!$E$22))*(36+1*7)/(36+7*(D799+1)/2)*E799,0))</x:f>
        <x:v>11094</x:v>
      </x:c>
      <x:c r="Z799" s="119" t="n">
        <x:f>IF(X799=0,0,(X799-IF(1=D799,1,0))*ROUND(Y799*VLOOKUP(INDEX('章节与怪物'!$E$31:$K$37,B799,1),'章节与怪物'!$A$41:$F$44,2,FALSE),0)+IF(1=D799,ROUND(Y799*'难度参数'!$E$28*'章节与怪物'!$E$17,0),0))</x:f>
        <x:v>454854</x:v>
      </x:c>
      <x:c r="AA799" s="119" t="n">
        <x:f>IF(X799=0,0,(X799-IF(1=D799,1,0))*VLOOKUP(INDEX('章节与怪物'!$E$31:$K$37,B799,1),'章节与怪物'!$A$41:$F$44,4,FALSE)+IF(1=D799,'难度参数'!$E$30,0))</x:f>
        <x:v>738</x:v>
      </x:c>
      <x:c r="AB799" s="119" t="n">
        <x:f>IF(2&gt;D799,0,MAX(2,MIN('难度参数'!$E$12,ROUND(('难度参数'!$E$18*POWER(A799,'难度参数'!$E$19)/D799*(0.85+0.3*(2-1)/MAX(1,D799-1))),0)+F799)))</x:f>
        <x:v>44</x:v>
      </x:c>
      <x:c r="AC799" s="119" t="n">
        <x:f>IF(2&gt;D799,0,ROUND(('难度参数'!$E$13*POWER(A799,'难度参数'!$E$20)*MIN('难度参数'!$E$23,1+MAX(0,A799-'难度参数'!$E$21)*'难度参数'!$E$22))*(36+2*7)/(36+7*(D799+1)/2)*E799,0))</x:f>
        <x:v>12900</x:v>
      </x:c>
      <x:c r="AD799" s="119" t="n">
        <x:f>IF(AB799=0,0,(AB799-IF(2=D799,1,0))*ROUND(AC799*VLOOKUP(INDEX('章节与怪物'!$E$31:$K$37,B799,2),'章节与怪物'!$A$41:$F$44,2,FALSE),0)+IF(2=D799,ROUND(AC799*'难度参数'!$E$28*'章节与怪物'!$E$17,0),0))</x:f>
        <x:v>408672</x:v>
      </x:c>
      <x:c r="AE799" s="119" t="n">
        <x:f>IF(AB799=0,0,(AB799-IF(2=D799,1,0))*VLOOKUP(INDEX('章节与怪物'!$E$31:$K$37,B799,2),'章节与怪物'!$A$41:$F$44,4,FALSE)+IF(2=D799,'难度参数'!$E$30,0))</x:f>
        <x:v>880</x:v>
      </x:c>
      <x:c r="AF799" s="119" t="n">
        <x:f>IF(3&gt;D799,0,MAX(2,MIN('难度参数'!$E$12,ROUND(('难度参数'!$E$18*POWER(A799,'难度参数'!$E$19)/D799*(0.85+0.3*(3-1)/MAX(1,D799-1))),0)+F799)))</x:f>
        <x:v>46</x:v>
      </x:c>
      <x:c r="AG799" s="119" t="n">
        <x:f>IF(3&gt;D799,0,ROUND(('难度参数'!$E$13*POWER(A799,'难度参数'!$E$20)*MIN('难度参数'!$E$23,1+MAX(0,A799-'难度参数'!$E$21)*'难度参数'!$E$22))*(36+3*7)/(36+7*(D799+1)/2)*E799,0))</x:f>
        <x:v>14706</x:v>
      </x:c>
      <x:c r="AH799" s="119" t="n">
        <x:f>IF(AF799=0,0,(AF799-IF(3=D799,1,0))*ROUND(AG799*VLOOKUP(INDEX('章节与怪物'!$E$31:$K$37,B799,3),'章节与怪物'!$A$41:$F$44,2,FALSE),0)+IF(3=D799,ROUND(AG799*'难度参数'!$E$28*'章节与怪物'!$E$17,0),0))</x:f>
        <x:v>1150000</x:v>
      </x:c>
      <x:c r="AI799" s="119" t="n">
        <x:f>IF(AF799=0,0,(AF799-IF(3=D799,1,0))*VLOOKUP(INDEX('章节与怪物'!$E$31:$K$37,B799,3),'章节与怪物'!$A$41:$F$44,4,FALSE)+IF(3=D799,'难度参数'!$E$30,0))</x:f>
        <x:v>1288</x:v>
      </x:c>
      <x:c r="AJ799" s="119" t="n">
        <x:f>IF(4&gt;D799,0,MAX(2,MIN('难度参数'!$E$12,ROUND(('难度参数'!$E$18*POWER(A799,'难度参数'!$E$19)/D799*(0.85+0.3*(4-1)/MAX(1,D799-1))),0)+F799)))</x:f>
        <x:v>49</x:v>
      </x:c>
      <x:c r="AK799" s="119" t="n">
        <x:f>IF(4&gt;D799,0,ROUND(('难度参数'!$E$13*POWER(A799,'难度参数'!$E$20)*MIN('难度参数'!$E$23,1+MAX(0,A799-'难度参数'!$E$21)*'难度参数'!$E$22))*(36+4*7)/(36+7*(D799+1)/2)*E799,0))</x:f>
        <x:v>16512</x:v>
      </x:c>
      <x:c r="AL799" s="119" t="n">
        <x:f>IF(AJ799=0,0,(AJ799-IF(4=D799,1,0))*ROUND(AK799*VLOOKUP(INDEX('章节与怪物'!$E$31:$K$37,B799,4),'章节与怪物'!$A$41:$F$44,2,FALSE),0)+IF(4=D799,ROUND(AK799*'难度参数'!$E$28*'章节与怪物'!$E$17,0),0))</x:f>
        <x:v>1092259</x:v>
      </x:c>
      <x:c r="AM799" s="119" t="n">
        <x:f>IF(AJ799=0,0,(AJ799-IF(4=D799,1,0))*VLOOKUP(INDEX('章节与怪物'!$E$31:$K$37,B799,4),'章节与怪物'!$A$41:$F$44,4,FALSE)+IF(4=D799,'难度参数'!$E$30,0))</x:f>
        <x:v>1666</x:v>
      </x:c>
      <x:c r="AN799" s="119" t="n">
        <x:f>IF(5&gt;D799,0,MAX(2,MIN('难度参数'!$E$12,ROUND(('难度参数'!$E$18*POWER(A799,'难度参数'!$E$19)/D799*(0.85+0.3*(5-1)/MAX(1,D799-1))),0)+F799)))</x:f>
        <x:v>51</x:v>
      </x:c>
      <x:c r="AO799" s="119" t="n">
        <x:f>IF(5&gt;D799,0,ROUND(('难度参数'!$E$13*POWER(A799,'难度参数'!$E$20)*MIN('难度参数'!$E$23,1+MAX(0,A799-'难度参数'!$E$21)*'难度参数'!$E$22))*(36+5*7)/(36+7*(D799+1)/2)*E799,0))</x:f>
        <x:v>18318</x:v>
      </x:c>
      <x:c r="AP799" s="119" t="n">
        <x:f>IF(AN799=0,0,(AN799-IF(5=D799,1,0))*ROUND(AO799*VLOOKUP(INDEX('章节与怪物'!$E$31:$K$37,B799,5),'章节与怪物'!$A$41:$F$44,2,FALSE),0)+IF(5=D799,ROUND(AO799*'难度参数'!$E$28*'章节与怪物'!$E$17,0),0))</x:f>
        <x:v>672639</x:v>
      </x:c>
      <x:c r="AQ799" s="119" t="n">
        <x:f>IF(AN799=0,0,(AN799-IF(5=D799,1,0))*VLOOKUP(INDEX('章节与怪物'!$E$31:$K$37,B799,5),'章节与怪物'!$A$41:$F$44,4,FALSE)+IF(5=D799,'难度参数'!$E$30,0))</x:f>
        <x:v>1020</x:v>
      </x:c>
      <x:c r="AR799" s="119" t="n">
        <x:f>IF(6&gt;D799,0,MAX(2,MIN('难度参数'!$E$12,ROUND(('难度参数'!$E$18*POWER(A799,'难度参数'!$E$19)/D799*(0.85+0.3*(6-1)/MAX(1,D799-1))),0)+F799)))</x:f>
        <x:v>54</x:v>
      </x:c>
      <x:c r="AS799" s="119" t="n">
        <x:f>IF(6&gt;D799,0,ROUND(('难度参数'!$E$13*POWER(A799,'难度参数'!$E$20)*MIN('难度参数'!$E$23,1+MAX(0,A799-'难度参数'!$E$21)*'难度参数'!$E$22))*(36+6*7)/(36+7*(D799+1)/2)*E799,0))</x:f>
        <x:v>20124</x:v>
      </x:c>
      <x:c r="AT799" s="119" t="n">
        <x:f>IF(AR799=0,0,(AR799-IF(6=D799,1,0))*ROUND(AS799*VLOOKUP(INDEX('章节与怪物'!$E$31:$K$37,B799,6),'章节与怪物'!$A$41:$F$44,2,FALSE),0)+IF(6=D799,ROUND(AS799*'难度参数'!$E$28*'章节与怪物'!$E$17,0),0))</x:f>
        <x:v>1847394</x:v>
      </x:c>
      <x:c r="AU799" s="119" t="n">
        <x:f>IF(AR799=0,0,(AR799-IF(6=D799,1,0))*VLOOKUP(INDEX('章节与怪物'!$E$31:$K$37,B799,6),'章节与怪物'!$A$41:$F$44,4,FALSE)+IF(6=D799,'难度参数'!$E$30,0))</x:f>
        <x:v>1512</x:v>
      </x:c>
      <x:c r="AV799" s="119" t="n">
        <x:f>IF(7&gt;D799,0,MAX(2,MIN('难度参数'!$E$12,ROUND(('难度参数'!$E$18*POWER(A799,'难度参数'!$E$19)/D799*(0.85+0.3*(7-1)/MAX(1,D799-1))),0)+F799)))</x:f>
        <x:v>56</x:v>
      </x:c>
      <x:c r="AW799" s="119" t="n">
        <x:f>IF(7&gt;D799,0,ROUND(('难度参数'!$E$13*POWER(A799,'难度参数'!$E$20)*MIN('难度参数'!$E$23,1+MAX(0,A799-'难度参数'!$E$21)*'难度参数'!$E$22))*(36+7*7)/(36+7*(D799+1)/2)*E799,0))</x:f>
        <x:v>21931</x:v>
      </x:c>
      <x:c r="AX799" s="119" t="n">
        <x:f>IF(AV799=0,0,(AV799-IF(7=D799,1,0))*ROUND(AW799*VLOOKUP(INDEX('章节与怪物'!$E$31:$K$37,B799,7),'章节与怪物'!$A$41:$F$44,2,FALSE),0)+IF(7=D799,ROUND(AW799*'难度参数'!$E$28*'章节与怪物'!$E$17,0),0))</x:f>
        <x:v>1777516</x:v>
      </x:c>
      <x:c r="AY799" s="119" t="n">
        <x:f>IF(AV799=0,0,(AV799-IF(7=D799,1,0))*VLOOKUP(INDEX('章节与怪物'!$E$31:$K$37,B799,7),'章节与怪物'!$A$41:$F$44,4,FALSE)+IF(7=D799,'难度参数'!$E$30,0))</x:f>
        <x:v>2070</x:v>
      </x:c>
    </x:row>
    <x:row r="800" ht="23" customHeight="1">
      <x:c r="A800" s="119" t="n">
        <x:v>794</x:v>
      </x:c>
      <x:c r="B800" s="119" t="n">
        <x:f>MOD(INT((A800-1)/5),7)+1</x:f>
        <x:v>5</x:v>
      </x:c>
      <x:c r="C800" s="62" t="str">
        <x:f>INDEX('章节与怪物'!$B$31:$B$37,B800)</x:f>
        <x:v>雨林遗迹</x:v>
      </x:c>
      <x:c r="D800" s="119" t="n">
        <x:f>MIN('难度参数'!$E$8,MAX('难度参数'!$E$7,A800))</x:f>
        <x:v>7</x:v>
      </x:c>
      <x:c r="E800" s="106" t="n">
        <x:v>1</x:v>
      </x:c>
      <x:c r="F800" s="106" t="n">
        <x:v>0</x:v>
      </x:c>
      <x:c r="G800" s="106" t="n">
        <x:v>1</x:v>
      </x:c>
      <x:c r="H800" s="119" t="n">
        <x:f>SUM(X800,AB800,AF800,AJ800,AN800,AR800,AV800)</x:f>
        <x:v>341</x:v>
      </x:c>
      <x:c r="I800" s="119" t="n">
        <x:f>SUM(Z800,AD800,AH800,AL800,AP800,AT800,AX800)</x:f>
        <x:v>7410123</x:v>
      </x:c>
      <x:c r="J800" s="119" t="n">
        <x:f>ROUND(INDEX(X800:AY800,1,(D800-1)*4+2)*'难度参数'!$E$28*'章节与怪物'!$E$17,0)</x:f>
        <x:v>149260</x:v>
      </x:c>
      <x:c r="K800" s="119" t="n">
        <x:f>SUM(AA800,AE800,AI800,AM800,AQ800,AU800,AY800)</x:f>
        <x:v>9174</x:v>
      </x:c>
      <x:c r="L800" s="62" t="n">
        <x:f>H800*(ROUNDUP('难度参数'!$E$24/('难度参数'!$E$26*'难度参数'!$E$27),0)*'难度参数'!$E$26)/60</x:f>
        <x:v>4.546666666666667</x:v>
      </x:c>
      <x:c r="M800" s="62" t="n">
        <x:f>L800+D800*('难度参数'!$E$49+'难度参数'!$E$50)/60</x:f>
        <x:v>5.713333333333334</x:v>
      </x:c>
      <x:c r="N800" s="119" t="n">
        <x:f>ROUNDDOWN(('经济参数'!$E$20+A800*'经济参数'!$E$21)*G800,0)</x:f>
        <x:v>16060</x:v>
      </x:c>
      <x:c r="O800" s="119" t="n">
        <x:f>ROUNDDOWN(MIN('经济参数'!$E$24,'经济参数'!$E$22+A800*'经济参数'!$E$23)*G800,0)</x:f>
        <x:v>0</x:v>
      </x:c>
      <x:c r="P800" s="119" t="n">
        <x:f>ROUNDDOWN((IF(A800&gt;='材料与任务'!$E$31,'材料与任务'!$E$32,IF(A800&gt;='材料与任务'!$E$25,'材料与任务'!$E$26,IF(A800&gt;='材料与任务'!$E$19,'材料与任务'!$E$20,IF(A800&gt;='材料与任务'!$E$13,'材料与任务'!$E$14,'材料与任务'!$E$8)))))*G800,0)</x:f>
        <x:v>6</x:v>
      </x:c>
      <x:c r="Q800" s="119" t="n">
        <x:f>ROUNDDOWN((IF(A800&gt;='材料与任务'!$E$31,'材料与任务'!$E$33,IF(A800&gt;='材料与任务'!$E$25,'材料与任务'!$E$27,IF(A800&gt;='材料与任务'!$E$19,'材料与任务'!$E$21,IF(A800&gt;='材料与任务'!$E$13,'材料与任务'!$E$15,'材料与任务'!$E$9)))))*G800,0)</x:f>
        <x:v>3</x:v>
      </x:c>
      <x:c r="R800" s="110" t="n">
        <x:f>'装备掉落'!$B$38</x:f>
        <x:v>0.6872058758851213</x:v>
      </x:c>
      <x:c r="S800" s="119" t="n">
        <x:f>MAX(IF(VLOOKUP(A800,'装备掉落'!$A$29:$H$34,2,TRUE)&gt;0,1,0),IF(VLOOKUP(A800,'装备掉落'!$A$29:$H$34,3,TRUE)&gt;0,2,0),IF(VLOOKUP(A800,'装备掉落'!$A$29:$H$34,4,TRUE)&gt;0,3,0),IF(VLOOKUP(A800,'装备掉落'!$A$29:$H$34,5,TRUE)&gt;0,4,0),IF(VLOOKUP(A800,'装备掉落'!$A$29:$H$34,6,TRUE)&gt;0,5,0),IF(VLOOKUP(A800,'装备掉落'!$A$29:$H$34,7,TRUE)&gt;0,6,0),IF(VLOOKUP(A800,'装备掉落'!$A$29:$H$34,8,TRUE)&gt;0,7,0))</x:f>
        <x:v>7</x:v>
      </x:c>
      <x:c r="T800" s="119" t="n">
        <x:f>MIN(7,S800+'经济参数'!$E$70)</x:f>
        <x:v>7</x:v>
      </x:c>
      <x:c r="U800" s="119" t="n">
        <x:f>MIN(7,S800+'经济参数'!$E$71)</x:f>
        <x:v>7</x:v>
      </x:c>
      <x:c r="V800" s="119" t="n">
        <x:f>IF(H800&gt;=('难度参数'!$E$52),1,0)+IF(H800&gt;=('难度参数'!$E$52+'难度参数'!$E$53),1,0)+IF(H800&gt;=('难度参数'!$E$52+'难度参数'!$E$53+'难度参数'!$E$54),1,0)+IF(H800&gt;=('难度参数'!$E$52+'难度参数'!$E$53+'难度参数'!$E$54+'难度参数'!$E$55),1,0)+IF(H800&gt;=('难度参数'!$E$52+'难度参数'!$E$53+'难度参数'!$E$54+'难度参数'!$E$55+'难度参数'!$E$56),1,0)+IF(H800&gt;=('难度参数'!$E$52+'难度参数'!$E$53+'难度参数'!$E$54+'难度参数'!$E$55+'难度参数'!$E$56+'难度参数'!$E$57),1,0)</x:f>
        <x:v>6</x:v>
      </x:c>
      <x:c r="W800" s="62" t="str">
        <x:f>IF(L800&gt;'难度参数'!$E$51,"仅出怪已超目标","还需实测")</x:f>
        <x:v>仅出怪已超目标</x:v>
      </x:c>
      <x:c r="X800" s="119" t="n">
        <x:f>IF(1&gt;D800,0,MAX(2,MIN('难度参数'!$E$12,ROUND(('难度参数'!$E$18*POWER(A800,'难度参数'!$E$19)/D800*(0.85+0.3*(1-1)/MAX(1,D800-1))),0)+F800)))</x:f>
        <x:v>41</x:v>
      </x:c>
      <x:c r="Y800" s="119" t="n">
        <x:f>IF(1&gt;D800,0,ROUND(('难度参数'!$E$13*POWER(A800,'难度参数'!$E$20)*MIN('难度参数'!$E$23,1+MAX(0,A800-'难度参数'!$E$21)*'难度参数'!$E$22))*(36+1*7)/(36+7*(D800+1)/2)*E800,0))</x:f>
        <x:v>11104</x:v>
      </x:c>
      <x:c r="Z800" s="119" t="n">
        <x:f>IF(X800=0,0,(X800-IF(1=D800,1,0))*ROUND(Y800*VLOOKUP(INDEX('章节与怪物'!$E$31:$K$37,B800,1),'章节与怪物'!$A$41:$F$44,2,FALSE),0)+IF(1=D800,ROUND(Y800*'难度参数'!$E$28*'章节与怪物'!$E$17,0),0))</x:f>
        <x:v>455264</x:v>
      </x:c>
      <x:c r="AA800" s="119" t="n">
        <x:f>IF(X800=0,0,(X800-IF(1=D800,1,0))*VLOOKUP(INDEX('章节与怪物'!$E$31:$K$37,B800,1),'章节与怪物'!$A$41:$F$44,4,FALSE)+IF(1=D800,'难度参数'!$E$30,0))</x:f>
        <x:v>738</x:v>
      </x:c>
      <x:c r="AB800" s="119" t="n">
        <x:f>IF(2&gt;D800,0,MAX(2,MIN('难度参数'!$E$12,ROUND(('难度参数'!$E$18*POWER(A800,'难度参数'!$E$19)/D800*(0.85+0.3*(2-1)/MAX(1,D800-1))),0)+F800)))</x:f>
        <x:v>44</x:v>
      </x:c>
      <x:c r="AC800" s="119" t="n">
        <x:f>IF(2&gt;D800,0,ROUND(('难度参数'!$E$13*POWER(A800,'难度参数'!$E$20)*MIN('难度参数'!$E$23,1+MAX(0,A800-'难度参数'!$E$21)*'难度参数'!$E$22))*(36+2*7)/(36+7*(D800+1)/2)*E800,0))</x:f>
        <x:v>12912</x:v>
      </x:c>
      <x:c r="AD800" s="119" t="n">
        <x:f>IF(AB800=0,0,(AB800-IF(2=D800,1,0))*ROUND(AC800*VLOOKUP(INDEX('章节与怪物'!$E$31:$K$37,B800,2),'章节与怪物'!$A$41:$F$44,2,FALSE),0)+IF(2=D800,ROUND(AC800*'难度参数'!$E$28*'章节与怪物'!$E$17,0),0))</x:f>
        <x:v>409068</x:v>
      </x:c>
      <x:c r="AE800" s="119" t="n">
        <x:f>IF(AB800=0,0,(AB800-IF(2=D800,1,0))*VLOOKUP(INDEX('章节与怪物'!$E$31:$K$37,B800,2),'章节与怪物'!$A$41:$F$44,4,FALSE)+IF(2=D800,'难度参数'!$E$30,0))</x:f>
        <x:v>880</x:v>
      </x:c>
      <x:c r="AF800" s="119" t="n">
        <x:f>IF(3&gt;D800,0,MAX(2,MIN('难度参数'!$E$12,ROUND(('难度参数'!$E$18*POWER(A800,'难度参数'!$E$19)/D800*(0.85+0.3*(3-1)/MAX(1,D800-1))),0)+F800)))</x:f>
        <x:v>46</x:v>
      </x:c>
      <x:c r="AG800" s="119" t="n">
        <x:f>IF(3&gt;D800,0,ROUND(('难度参数'!$E$13*POWER(A800,'难度参数'!$E$20)*MIN('难度参数'!$E$23,1+MAX(0,A800-'难度参数'!$E$21)*'难度参数'!$E$22))*(36+3*7)/(36+7*(D800+1)/2)*E800,0))</x:f>
        <x:v>14720</x:v>
      </x:c>
      <x:c r="AH800" s="119" t="n">
        <x:f>IF(AF800=0,0,(AF800-IF(3=D800,1,0))*ROUND(AG800*VLOOKUP(INDEX('章节与怪物'!$E$31:$K$37,B800,3),'章节与怪物'!$A$41:$F$44,2,FALSE),0)+IF(3=D800,ROUND(AG800*'难度参数'!$E$28*'章节与怪物'!$E$17,0),0))</x:f>
        <x:v>1151104</x:v>
      </x:c>
      <x:c r="AI800" s="119" t="n">
        <x:f>IF(AF800=0,0,(AF800-IF(3=D800,1,0))*VLOOKUP(INDEX('章节与怪物'!$E$31:$K$37,B800,3),'章节与怪物'!$A$41:$F$44,4,FALSE)+IF(3=D800,'难度参数'!$E$30,0))</x:f>
        <x:v>1288</x:v>
      </x:c>
      <x:c r="AJ800" s="119" t="n">
        <x:f>IF(4&gt;D800,0,MAX(2,MIN('难度参数'!$E$12,ROUND(('难度参数'!$E$18*POWER(A800,'难度参数'!$E$19)/D800*(0.85+0.3*(4-1)/MAX(1,D800-1))),0)+F800)))</x:f>
        <x:v>49</x:v>
      </x:c>
      <x:c r="AK800" s="119" t="n">
        <x:f>IF(4&gt;D800,0,ROUND(('难度参数'!$E$13*POWER(A800,'难度参数'!$E$20)*MIN('难度参数'!$E$23,1+MAX(0,A800-'难度参数'!$E$21)*'难度参数'!$E$22))*(36+4*7)/(36+7*(D800+1)/2)*E800,0))</x:f>
        <x:v>16527</x:v>
      </x:c>
      <x:c r="AL800" s="119" t="n">
        <x:f>IF(AJ800=0,0,(AJ800-IF(4=D800,1,0))*ROUND(AK800*VLOOKUP(INDEX('章节与怪物'!$E$31:$K$37,B800,4),'章节与怪物'!$A$41:$F$44,2,FALSE),0)+IF(4=D800,ROUND(AK800*'难度参数'!$E$28*'章节与怪物'!$E$17,0),0))</x:f>
        <x:v>1093239</x:v>
      </x:c>
      <x:c r="AM800" s="119" t="n">
        <x:f>IF(AJ800=0,0,(AJ800-IF(4=D800,1,0))*VLOOKUP(INDEX('章节与怪物'!$E$31:$K$37,B800,4),'章节与怪物'!$A$41:$F$44,4,FALSE)+IF(4=D800,'难度参数'!$E$30,0))</x:f>
        <x:v>1666</x:v>
      </x:c>
      <x:c r="AN800" s="119" t="n">
        <x:f>IF(5&gt;D800,0,MAX(2,MIN('难度参数'!$E$12,ROUND(('难度参数'!$E$18*POWER(A800,'难度参数'!$E$19)/D800*(0.85+0.3*(5-1)/MAX(1,D800-1))),0)+F800)))</x:f>
        <x:v>51</x:v>
      </x:c>
      <x:c r="AO800" s="119" t="n">
        <x:f>IF(5&gt;D800,0,ROUND(('难度参数'!$E$13*POWER(A800,'难度参数'!$E$20)*MIN('难度参数'!$E$23,1+MAX(0,A800-'难度参数'!$E$21)*'难度参数'!$E$22))*(36+5*7)/(36+7*(D800+1)/2)*E800,0))</x:f>
        <x:v>18335</x:v>
      </x:c>
      <x:c r="AP800" s="119" t="n">
        <x:f>IF(AN800=0,0,(AN800-IF(5=D800,1,0))*ROUND(AO800*VLOOKUP(INDEX('章节与怪物'!$E$31:$K$37,B800,5),'章节与怪物'!$A$41:$F$44,2,FALSE),0)+IF(5=D800,ROUND(AO800*'难度参数'!$E$28*'章节与怪物'!$E$17,0),0))</x:f>
        <x:v>673251</x:v>
      </x:c>
      <x:c r="AQ800" s="119" t="n">
        <x:f>IF(AN800=0,0,(AN800-IF(5=D800,1,0))*VLOOKUP(INDEX('章节与怪物'!$E$31:$K$37,B800,5),'章节与怪物'!$A$41:$F$44,4,FALSE)+IF(5=D800,'难度参数'!$E$30,0))</x:f>
        <x:v>1020</x:v>
      </x:c>
      <x:c r="AR800" s="119" t="n">
        <x:f>IF(6&gt;D800,0,MAX(2,MIN('难度参数'!$E$12,ROUND(('难度参数'!$E$18*POWER(A800,'难度参数'!$E$19)/D800*(0.85+0.3*(6-1)/MAX(1,D800-1))),0)+F800)))</x:f>
        <x:v>54</x:v>
      </x:c>
      <x:c r="AS800" s="119" t="n">
        <x:f>IF(6&gt;D800,0,ROUND(('难度参数'!$E$13*POWER(A800,'难度参数'!$E$20)*MIN('难度参数'!$E$23,1+MAX(0,A800-'难度参数'!$E$21)*'难度参数'!$E$22))*(36+6*7)/(36+7*(D800+1)/2)*E800,0))</x:f>
        <x:v>20143</x:v>
      </x:c>
      <x:c r="AT800" s="119" t="n">
        <x:f>IF(AR800=0,0,(AR800-IF(6=D800,1,0))*ROUND(AS800*VLOOKUP(INDEX('章节与怪物'!$E$31:$K$37,B800,6),'章节与怪物'!$A$41:$F$44,2,FALSE),0)+IF(6=D800,ROUND(AS800*'难度参数'!$E$28*'章节与怪物'!$E$17,0),0))</x:f>
        <x:v>1849122</x:v>
      </x:c>
      <x:c r="AU800" s="119" t="n">
        <x:f>IF(AR800=0,0,(AR800-IF(6=D800,1,0))*VLOOKUP(INDEX('章节与怪物'!$E$31:$K$37,B800,6),'章节与怪物'!$A$41:$F$44,4,FALSE)+IF(6=D800,'难度参数'!$E$30,0))</x:f>
        <x:v>1512</x:v>
      </x:c>
      <x:c r="AV800" s="119" t="n">
        <x:f>IF(7&gt;D800,0,MAX(2,MIN('难度参数'!$E$12,ROUND(('难度参数'!$E$18*POWER(A800,'难度参数'!$E$19)/D800*(0.85+0.3*(7-1)/MAX(1,D800-1))),0)+F800)))</x:f>
        <x:v>56</x:v>
      </x:c>
      <x:c r="AW800" s="119" t="n">
        <x:f>IF(7&gt;D800,0,ROUND(('难度参数'!$E$13*POWER(A800,'难度参数'!$E$20)*MIN('难度参数'!$E$23,1+MAX(0,A800-'难度参数'!$E$21)*'难度参数'!$E$22))*(36+7*7)/(36+7*(D800+1)/2)*E800,0))</x:f>
        <x:v>21950</x:v>
      </x:c>
      <x:c r="AX800" s="119" t="n">
        <x:f>IF(AV800=0,0,(AV800-IF(7=D800,1,0))*ROUND(AW800*VLOOKUP(INDEX('章节与怪物'!$E$31:$K$37,B800,7),'章节与怪物'!$A$41:$F$44,2,FALSE),0)+IF(7=D800,ROUND(AW800*'难度参数'!$E$28*'章节与怪物'!$E$17,0),0))</x:f>
        <x:v>1779075</x:v>
      </x:c>
      <x:c r="AY800" s="119" t="n">
        <x:f>IF(AV800=0,0,(AV800-IF(7=D800,1,0))*VLOOKUP(INDEX('章节与怪物'!$E$31:$K$37,B800,7),'章节与怪物'!$A$41:$F$44,4,FALSE)+IF(7=D800,'难度参数'!$E$30,0))</x:f>
        <x:v>2070</x:v>
      </x:c>
    </x:row>
    <x:row r="801" ht="23" customHeight="1">
      <x:c r="A801" s="119" t="n">
        <x:v>795</x:v>
      </x:c>
      <x:c r="B801" s="119" t="n">
        <x:f>MOD(INT((A801-1)/5),7)+1</x:f>
        <x:v>5</x:v>
      </x:c>
      <x:c r="C801" s="62" t="str">
        <x:f>INDEX('章节与怪物'!$B$31:$B$37,B801)</x:f>
        <x:v>雨林遗迹</x:v>
      </x:c>
      <x:c r="D801" s="119" t="n">
        <x:f>MIN('难度参数'!$E$8,MAX('难度参数'!$E$7,A801))</x:f>
        <x:v>7</x:v>
      </x:c>
      <x:c r="E801" s="106" t="n">
        <x:v>1</x:v>
      </x:c>
      <x:c r="F801" s="106" t="n">
        <x:v>0</x:v>
      </x:c>
      <x:c r="G801" s="106" t="n">
        <x:v>1</x:v>
      </x:c>
      <x:c r="H801" s="119" t="n">
        <x:f>SUM(X801,AB801,AF801,AJ801,AN801,AR801,AV801)</x:f>
        <x:v>341</x:v>
      </x:c>
      <x:c r="I801" s="119" t="n">
        <x:f>SUM(Z801,AD801,AH801,AL801,AP801,AT801,AX801)</x:f>
        <x:v>7416833</x:v>
      </x:c>
      <x:c r="J801" s="119" t="n">
        <x:f>ROUND(INDEX(X801:AY801,1,(D801-1)*4+2)*'难度参数'!$E$28*'章节与怪物'!$E$17,0)</x:f>
        <x:v>149396</x:v>
      </x:c>
      <x:c r="K801" s="119" t="n">
        <x:f>SUM(AA801,AE801,AI801,AM801,AQ801,AU801,AY801)</x:f>
        <x:v>9174</x:v>
      </x:c>
      <x:c r="L801" s="62" t="n">
        <x:f>H801*(ROUNDUP('难度参数'!$E$24/('难度参数'!$E$26*'难度参数'!$E$27),0)*'难度参数'!$E$26)/60</x:f>
        <x:v>4.546666666666667</x:v>
      </x:c>
      <x:c r="M801" s="62" t="n">
        <x:f>L801+D801*('难度参数'!$E$49+'难度参数'!$E$50)/60</x:f>
        <x:v>5.713333333333334</x:v>
      </x:c>
      <x:c r="N801" s="119" t="n">
        <x:f>ROUNDDOWN(('经济参数'!$E$20+A801*'经济参数'!$E$21)*G801,0)</x:f>
        <x:v>16080</x:v>
      </x:c>
      <x:c r="O801" s="119" t="n">
        <x:f>ROUNDDOWN(MIN('经济参数'!$E$24,'经济参数'!$E$22+A801*'经济参数'!$E$23)*G801,0)</x:f>
        <x:v>0</x:v>
      </x:c>
      <x:c r="P801" s="119" t="n">
        <x:f>ROUNDDOWN((IF(A801&gt;='材料与任务'!$E$31,'材料与任务'!$E$32,IF(A801&gt;='材料与任务'!$E$25,'材料与任务'!$E$26,IF(A801&gt;='材料与任务'!$E$19,'材料与任务'!$E$20,IF(A801&gt;='材料与任务'!$E$13,'材料与任务'!$E$14,'材料与任务'!$E$8)))))*G801,0)</x:f>
        <x:v>6</x:v>
      </x:c>
      <x:c r="Q801" s="119" t="n">
        <x:f>ROUNDDOWN((IF(A801&gt;='材料与任务'!$E$31,'材料与任务'!$E$33,IF(A801&gt;='材料与任务'!$E$25,'材料与任务'!$E$27,IF(A801&gt;='材料与任务'!$E$19,'材料与任务'!$E$21,IF(A801&gt;='材料与任务'!$E$13,'材料与任务'!$E$15,'材料与任务'!$E$9)))))*G801,0)</x:f>
        <x:v>3</x:v>
      </x:c>
      <x:c r="R801" s="110" t="n">
        <x:f>'装备掉落'!$B$38</x:f>
        <x:v>0.6872058758851213</x:v>
      </x:c>
      <x:c r="S801" s="119" t="n">
        <x:f>MAX(IF(VLOOKUP(A801,'装备掉落'!$A$29:$H$34,2,TRUE)&gt;0,1,0),IF(VLOOKUP(A801,'装备掉落'!$A$29:$H$34,3,TRUE)&gt;0,2,0),IF(VLOOKUP(A801,'装备掉落'!$A$29:$H$34,4,TRUE)&gt;0,3,0),IF(VLOOKUP(A801,'装备掉落'!$A$29:$H$34,5,TRUE)&gt;0,4,0),IF(VLOOKUP(A801,'装备掉落'!$A$29:$H$34,6,TRUE)&gt;0,5,0),IF(VLOOKUP(A801,'装备掉落'!$A$29:$H$34,7,TRUE)&gt;0,6,0),IF(VLOOKUP(A801,'装备掉落'!$A$29:$H$34,8,TRUE)&gt;0,7,0))</x:f>
        <x:v>7</x:v>
      </x:c>
      <x:c r="T801" s="119" t="n">
        <x:f>MIN(7,S801+'经济参数'!$E$70)</x:f>
        <x:v>7</x:v>
      </x:c>
      <x:c r="U801" s="119" t="n">
        <x:f>MIN(7,S801+'经济参数'!$E$71)</x:f>
        <x:v>7</x:v>
      </x:c>
      <x:c r="V801" s="119" t="n">
        <x:f>IF(H801&gt;=('难度参数'!$E$52),1,0)+IF(H801&gt;=('难度参数'!$E$52+'难度参数'!$E$53),1,0)+IF(H801&gt;=('难度参数'!$E$52+'难度参数'!$E$53+'难度参数'!$E$54),1,0)+IF(H801&gt;=('难度参数'!$E$52+'难度参数'!$E$53+'难度参数'!$E$54+'难度参数'!$E$55),1,0)+IF(H801&gt;=('难度参数'!$E$52+'难度参数'!$E$53+'难度参数'!$E$54+'难度参数'!$E$55+'难度参数'!$E$56),1,0)+IF(H801&gt;=('难度参数'!$E$52+'难度参数'!$E$53+'难度参数'!$E$54+'难度参数'!$E$55+'难度参数'!$E$56+'难度参数'!$E$57),1,0)</x:f>
        <x:v>6</x:v>
      </x:c>
      <x:c r="W801" s="62" t="str">
        <x:f>IF(L801&gt;'难度参数'!$E$51,"仅出怪已超目标","还需实测")</x:f>
        <x:v>仅出怪已超目标</x:v>
      </x:c>
      <x:c r="X801" s="119" t="n">
        <x:f>IF(1&gt;D801,0,MAX(2,MIN('难度参数'!$E$12,ROUND(('难度参数'!$E$18*POWER(A801,'难度参数'!$E$19)/D801*(0.85+0.3*(1-1)/MAX(1,D801-1))),0)+F801)))</x:f>
        <x:v>41</x:v>
      </x:c>
      <x:c r="Y801" s="119" t="n">
        <x:f>IF(1&gt;D801,0,ROUND(('难度参数'!$E$13*POWER(A801,'难度参数'!$E$20)*MIN('难度参数'!$E$23,1+MAX(0,A801-'难度参数'!$E$21)*'难度参数'!$E$22))*(36+1*7)/(36+7*(D801+1)/2)*E801,0))</x:f>
        <x:v>11114</x:v>
      </x:c>
      <x:c r="Z801" s="119" t="n">
        <x:f>IF(X801=0,0,(X801-IF(1=D801,1,0))*ROUND(Y801*VLOOKUP(INDEX('章节与怪物'!$E$31:$K$37,B801,1),'章节与怪物'!$A$41:$F$44,2,FALSE),0)+IF(1=D801,ROUND(Y801*'难度参数'!$E$28*'章节与怪物'!$E$17,0),0))</x:f>
        <x:v>455674</x:v>
      </x:c>
      <x:c r="AA801" s="119" t="n">
        <x:f>IF(X801=0,0,(X801-IF(1=D801,1,0))*VLOOKUP(INDEX('章节与怪物'!$E$31:$K$37,B801,1),'章节与怪物'!$A$41:$F$44,4,FALSE)+IF(1=D801,'难度参数'!$E$30,0))</x:f>
        <x:v>738</x:v>
      </x:c>
      <x:c r="AB801" s="119" t="n">
        <x:f>IF(2&gt;D801,0,MAX(2,MIN('难度参数'!$E$12,ROUND(('难度参数'!$E$18*POWER(A801,'难度参数'!$E$19)/D801*(0.85+0.3*(2-1)/MAX(1,D801-1))),0)+F801)))</x:f>
        <x:v>44</x:v>
      </x:c>
      <x:c r="AC801" s="119" t="n">
        <x:f>IF(2&gt;D801,0,ROUND(('难度参数'!$E$13*POWER(A801,'难度参数'!$E$20)*MIN('难度参数'!$E$23,1+MAX(0,A801-'难度参数'!$E$21)*'难度参数'!$E$22))*(36+2*7)/(36+7*(D801+1)/2)*E801,0))</x:f>
        <x:v>12924</x:v>
      </x:c>
      <x:c r="AD801" s="119" t="n">
        <x:f>IF(AB801=0,0,(AB801-IF(2=D801,1,0))*ROUND(AC801*VLOOKUP(INDEX('章节与怪物'!$E$31:$K$37,B801,2),'章节与怪物'!$A$41:$F$44,2,FALSE),0)+IF(2=D801,ROUND(AC801*'难度参数'!$E$28*'章节与怪物'!$E$17,0),0))</x:f>
        <x:v>409420</x:v>
      </x:c>
      <x:c r="AE801" s="119" t="n">
        <x:f>IF(AB801=0,0,(AB801-IF(2=D801,1,0))*VLOOKUP(INDEX('章节与怪物'!$E$31:$K$37,B801,2),'章节与怪物'!$A$41:$F$44,4,FALSE)+IF(2=D801,'难度参数'!$E$30,0))</x:f>
        <x:v>880</x:v>
      </x:c>
      <x:c r="AF801" s="119" t="n">
        <x:f>IF(3&gt;D801,0,MAX(2,MIN('难度参数'!$E$12,ROUND(('难度参数'!$E$18*POWER(A801,'难度参数'!$E$19)/D801*(0.85+0.3*(3-1)/MAX(1,D801-1))),0)+F801)))</x:f>
        <x:v>46</x:v>
      </x:c>
      <x:c r="AG801" s="119" t="n">
        <x:f>IF(3&gt;D801,0,ROUND(('难度参数'!$E$13*POWER(A801,'难度参数'!$E$20)*MIN('难度参数'!$E$23,1+MAX(0,A801-'难度参数'!$E$21)*'难度参数'!$E$22))*(36+3*7)/(36+7*(D801+1)/2)*E801,0))</x:f>
        <x:v>14733</x:v>
      </x:c>
      <x:c r="AH801" s="119" t="n">
        <x:f>IF(AF801=0,0,(AF801-IF(3=D801,1,0))*ROUND(AG801*VLOOKUP(INDEX('章节与怪物'!$E$31:$K$37,B801,3),'章节与怪物'!$A$41:$F$44,2,FALSE),0)+IF(3=D801,ROUND(AG801*'难度参数'!$E$28*'章节与怪物'!$E$17,0),0))</x:f>
        <x:v>1152116</x:v>
      </x:c>
      <x:c r="AI801" s="119" t="n">
        <x:f>IF(AF801=0,0,(AF801-IF(3=D801,1,0))*VLOOKUP(INDEX('章节与怪物'!$E$31:$K$37,B801,3),'章节与怪物'!$A$41:$F$44,4,FALSE)+IF(3=D801,'难度参数'!$E$30,0))</x:f>
        <x:v>1288</x:v>
      </x:c>
      <x:c r="AJ801" s="119" t="n">
        <x:f>IF(4&gt;D801,0,MAX(2,MIN('难度参数'!$E$12,ROUND(('难度参数'!$E$18*POWER(A801,'难度参数'!$E$19)/D801*(0.85+0.3*(4-1)/MAX(1,D801-1))),0)+F801)))</x:f>
        <x:v>49</x:v>
      </x:c>
      <x:c r="AK801" s="119" t="n">
        <x:f>IF(4&gt;D801,0,ROUND(('难度参数'!$E$13*POWER(A801,'难度参数'!$E$20)*MIN('难度参数'!$E$23,1+MAX(0,A801-'难度参数'!$E$21)*'难度参数'!$E$22))*(36+4*7)/(36+7*(D801+1)/2)*E801,0))</x:f>
        <x:v>16542</x:v>
      </x:c>
      <x:c r="AL801" s="119" t="n">
        <x:f>IF(AJ801=0,0,(AJ801-IF(4=D801,1,0))*ROUND(AK801*VLOOKUP(INDEX('章节与怪物'!$E$31:$K$37,B801,4),'章节与怪物'!$A$41:$F$44,2,FALSE),0)+IF(4=D801,ROUND(AK801*'难度参数'!$E$28*'章节与怪物'!$E$17,0),0))</x:f>
        <x:v>1094268</x:v>
      </x:c>
      <x:c r="AM801" s="119" t="n">
        <x:f>IF(AJ801=0,0,(AJ801-IF(4=D801,1,0))*VLOOKUP(INDEX('章节与怪物'!$E$31:$K$37,B801,4),'章节与怪物'!$A$41:$F$44,4,FALSE)+IF(4=D801,'难度参数'!$E$30,0))</x:f>
        <x:v>1666</x:v>
      </x:c>
      <x:c r="AN801" s="119" t="n">
        <x:f>IF(5&gt;D801,0,MAX(2,MIN('难度参数'!$E$12,ROUND(('难度参数'!$E$18*POWER(A801,'难度参数'!$E$19)/D801*(0.85+0.3*(5-1)/MAX(1,D801-1))),0)+F801)))</x:f>
        <x:v>51</x:v>
      </x:c>
      <x:c r="AO801" s="119" t="n">
        <x:f>IF(5&gt;D801,0,ROUND(('难度参数'!$E$13*POWER(A801,'难度参数'!$E$20)*MIN('难度参数'!$E$23,1+MAX(0,A801-'难度参数'!$E$21)*'难度参数'!$E$22))*(36+5*7)/(36+7*(D801+1)/2)*E801,0))</x:f>
        <x:v>18352</x:v>
      </x:c>
      <x:c r="AP801" s="119" t="n">
        <x:f>IF(AN801=0,0,(AN801-IF(5=D801,1,0))*ROUND(AO801*VLOOKUP(INDEX('章节与怪物'!$E$31:$K$37,B801,5),'章节与怪物'!$A$41:$F$44,2,FALSE),0)+IF(5=D801,ROUND(AO801*'难度参数'!$E$28*'章节与怪物'!$E$17,0),0))</x:f>
        <x:v>673863</x:v>
      </x:c>
      <x:c r="AQ801" s="119" t="n">
        <x:f>IF(AN801=0,0,(AN801-IF(5=D801,1,0))*VLOOKUP(INDEX('章节与怪物'!$E$31:$K$37,B801,5),'章节与怪物'!$A$41:$F$44,4,FALSE)+IF(5=D801,'难度参数'!$E$30,0))</x:f>
        <x:v>1020</x:v>
      </x:c>
      <x:c r="AR801" s="119" t="n">
        <x:f>IF(6&gt;D801,0,MAX(2,MIN('难度参数'!$E$12,ROUND(('难度参数'!$E$18*POWER(A801,'难度参数'!$E$19)/D801*(0.85+0.3*(6-1)/MAX(1,D801-1))),0)+F801)))</x:f>
        <x:v>54</x:v>
      </x:c>
      <x:c r="AS801" s="119" t="n">
        <x:f>IF(6&gt;D801,0,ROUND(('难度参数'!$E$13*POWER(A801,'难度参数'!$E$20)*MIN('难度参数'!$E$23,1+MAX(0,A801-'难度参数'!$E$21)*'难度参数'!$E$22))*(36+6*7)/(36+7*(D801+1)/2)*E801,0))</x:f>
        <x:v>20161</x:v>
      </x:c>
      <x:c r="AT801" s="119" t="n">
        <x:f>IF(AR801=0,0,(AR801-IF(6=D801,1,0))*ROUND(AS801*VLOOKUP(INDEX('章节与怪物'!$E$31:$K$37,B801,6),'章节与怪物'!$A$41:$F$44,2,FALSE),0)+IF(6=D801,ROUND(AS801*'难度参数'!$E$28*'章节与怪物'!$E$17,0),0))</x:f>
        <x:v>1850796</x:v>
      </x:c>
      <x:c r="AU801" s="119" t="n">
        <x:f>IF(AR801=0,0,(AR801-IF(6=D801,1,0))*VLOOKUP(INDEX('章节与怪物'!$E$31:$K$37,B801,6),'章节与怪物'!$A$41:$F$44,4,FALSE)+IF(6=D801,'难度参数'!$E$30,0))</x:f>
        <x:v>1512</x:v>
      </x:c>
      <x:c r="AV801" s="119" t="n">
        <x:f>IF(7&gt;D801,0,MAX(2,MIN('难度参数'!$E$12,ROUND(('难度参数'!$E$18*POWER(A801,'难度参数'!$E$19)/D801*(0.85+0.3*(7-1)/MAX(1,D801-1))),0)+F801)))</x:f>
        <x:v>56</x:v>
      </x:c>
      <x:c r="AW801" s="119" t="n">
        <x:f>IF(7&gt;D801,0,ROUND(('难度参数'!$E$13*POWER(A801,'难度参数'!$E$20)*MIN('难度参数'!$E$23,1+MAX(0,A801-'难度参数'!$E$21)*'难度参数'!$E$22))*(36+7*7)/(36+7*(D801+1)/2)*E801,0))</x:f>
        <x:v>21970</x:v>
      </x:c>
      <x:c r="AX801" s="119" t="n">
        <x:f>IF(AV801=0,0,(AV801-IF(7=D801,1,0))*ROUND(AW801*VLOOKUP(INDEX('章节与怪物'!$E$31:$K$37,B801,7),'章节与怪物'!$A$41:$F$44,2,FALSE),0)+IF(7=D801,ROUND(AW801*'难度参数'!$E$28*'章节与怪物'!$E$17,0),0))</x:f>
        <x:v>1780696</x:v>
      </x:c>
      <x:c r="AY801" s="119" t="n">
        <x:f>IF(AV801=0,0,(AV801-IF(7=D801,1,0))*VLOOKUP(INDEX('章节与怪物'!$E$31:$K$37,B801,7),'章节与怪物'!$A$41:$F$44,4,FALSE)+IF(7=D801,'难度参数'!$E$30,0))</x:f>
        <x:v>2070</x:v>
      </x:c>
    </x:row>
    <x:row r="802" ht="23" customHeight="1">
      <x:c r="A802" s="119" t="n">
        <x:v>796</x:v>
      </x:c>
      <x:c r="B802" s="119" t="n">
        <x:f>MOD(INT((A802-1)/5),7)+1</x:f>
        <x:v>6</x:v>
      </x:c>
      <x:c r="C802" s="62" t="str">
        <x:f>INDEX('章节与怪物'!$B$31:$B$37,B802)</x:f>
        <x:v>熔岩山脉</x:v>
      </x:c>
      <x:c r="D802" s="119" t="n">
        <x:f>MIN('难度参数'!$E$8,MAX('难度参数'!$E$7,A802))</x:f>
        <x:v>7</x:v>
      </x:c>
      <x:c r="E802" s="106" t="n">
        <x:v>1</x:v>
      </x:c>
      <x:c r="F802" s="106" t="n">
        <x:v>0</x:v>
      </x:c>
      <x:c r="G802" s="106" t="n">
        <x:v>1</x:v>
      </x:c>
      <x:c r="H802" s="119" t="n">
        <x:f>SUM(X802,AB802,AF802,AJ802,AN802,AR802,AV802)</x:f>
        <x:v>342</x:v>
      </x:c>
      <x:c r="I802" s="119" t="n">
        <x:f>SUM(Z802,AD802,AH802,AL802,AP802,AT802,AX802)</x:f>
        <x:v>7725395</x:v>
      </x:c>
      <x:c r="J802" s="119" t="n">
        <x:f>ROUND(INDEX(X802:AY802,1,(D802-1)*4+2)*'难度参数'!$E$28*'章节与怪物'!$E$17,0)</x:f>
        <x:v>149532</x:v>
      </x:c>
      <x:c r="K802" s="119" t="n">
        <x:f>SUM(AA802,AE802,AI802,AM802,AQ802,AU802,AY802)</x:f>
        <x:v>9086</x:v>
      </x:c>
      <x:c r="L802" s="62" t="n">
        <x:f>H802*(ROUNDUP('难度参数'!$E$24/('难度参数'!$E$26*'难度参数'!$E$27),0)*'难度参数'!$E$26)/60</x:f>
        <x:v>4.5600000000000005</x:v>
      </x:c>
      <x:c r="M802" s="62" t="n">
        <x:f>L802+D802*('难度参数'!$E$49+'难度参数'!$E$50)/60</x:f>
        <x:v>5.7266666666666675</x:v>
      </x:c>
      <x:c r="N802" s="119" t="n">
        <x:f>ROUNDDOWN(('经济参数'!$E$20+A802*'经济参数'!$E$21)*G802,0)</x:f>
        <x:v>16100</x:v>
      </x:c>
      <x:c r="O802" s="119" t="n">
        <x:f>ROUNDDOWN(MIN('经济参数'!$E$24,'经济参数'!$E$22+A802*'经济参数'!$E$23)*G802,0)</x:f>
        <x:v>0</x:v>
      </x:c>
      <x:c r="P802" s="119" t="n">
        <x:f>ROUNDDOWN((IF(A802&gt;='材料与任务'!$E$31,'材料与任务'!$E$32,IF(A802&gt;='材料与任务'!$E$25,'材料与任务'!$E$26,IF(A802&gt;='材料与任务'!$E$19,'材料与任务'!$E$20,IF(A802&gt;='材料与任务'!$E$13,'材料与任务'!$E$14,'材料与任务'!$E$8)))))*G802,0)</x:f>
        <x:v>6</x:v>
      </x:c>
      <x:c r="Q802" s="119" t="n">
        <x:f>ROUNDDOWN((IF(A802&gt;='材料与任务'!$E$31,'材料与任务'!$E$33,IF(A802&gt;='材料与任务'!$E$25,'材料与任务'!$E$27,IF(A802&gt;='材料与任务'!$E$19,'材料与任务'!$E$21,IF(A802&gt;='材料与任务'!$E$13,'材料与任务'!$E$15,'材料与任务'!$E$9)))))*G802,0)</x:f>
        <x:v>3</x:v>
      </x:c>
      <x:c r="R802" s="110" t="n">
        <x:f>'装备掉落'!$B$38</x:f>
        <x:v>0.6872058758851213</x:v>
      </x:c>
      <x:c r="S802" s="119" t="n">
        <x:f>MAX(IF(VLOOKUP(A802,'装备掉落'!$A$29:$H$34,2,TRUE)&gt;0,1,0),IF(VLOOKUP(A802,'装备掉落'!$A$29:$H$34,3,TRUE)&gt;0,2,0),IF(VLOOKUP(A802,'装备掉落'!$A$29:$H$34,4,TRUE)&gt;0,3,0),IF(VLOOKUP(A802,'装备掉落'!$A$29:$H$34,5,TRUE)&gt;0,4,0),IF(VLOOKUP(A802,'装备掉落'!$A$29:$H$34,6,TRUE)&gt;0,5,0),IF(VLOOKUP(A802,'装备掉落'!$A$29:$H$34,7,TRUE)&gt;0,6,0),IF(VLOOKUP(A802,'装备掉落'!$A$29:$H$34,8,TRUE)&gt;0,7,0))</x:f>
        <x:v>7</x:v>
      </x:c>
      <x:c r="T802" s="119" t="n">
        <x:f>MIN(7,S802+'经济参数'!$E$70)</x:f>
        <x:v>7</x:v>
      </x:c>
      <x:c r="U802" s="119" t="n">
        <x:f>MIN(7,S802+'经济参数'!$E$71)</x:f>
        <x:v>7</x:v>
      </x:c>
      <x:c r="V802" s="119" t="n">
        <x:f>IF(H802&gt;=('难度参数'!$E$52),1,0)+IF(H802&gt;=('难度参数'!$E$52+'难度参数'!$E$53),1,0)+IF(H802&gt;=('难度参数'!$E$52+'难度参数'!$E$53+'难度参数'!$E$54),1,0)+IF(H802&gt;=('难度参数'!$E$52+'难度参数'!$E$53+'难度参数'!$E$54+'难度参数'!$E$55),1,0)+IF(H802&gt;=('难度参数'!$E$52+'难度参数'!$E$53+'难度参数'!$E$54+'难度参数'!$E$55+'难度参数'!$E$56),1,0)+IF(H802&gt;=('难度参数'!$E$52+'难度参数'!$E$53+'难度参数'!$E$54+'难度参数'!$E$55+'难度参数'!$E$56+'难度参数'!$E$57),1,0)</x:f>
        <x:v>6</x:v>
      </x:c>
      <x:c r="W802" s="62" t="str">
        <x:f>IF(L802&gt;'难度参数'!$E$51,"仅出怪已超目标","还需实测")</x:f>
        <x:v>仅出怪已超目标</x:v>
      </x:c>
      <x:c r="X802" s="119" t="n">
        <x:f>IF(1&gt;D802,0,MAX(2,MIN('难度参数'!$E$12,ROUND(('难度参数'!$E$18*POWER(A802,'难度参数'!$E$19)/D802*(0.85+0.3*(1-1)/MAX(1,D802-1))),0)+F802)))</x:f>
        <x:v>42</x:v>
      </x:c>
      <x:c r="Y802" s="119" t="n">
        <x:f>IF(1&gt;D802,0,ROUND(('难度参数'!$E$13*POWER(A802,'难度参数'!$E$20)*MIN('难度参数'!$E$23,1+MAX(0,A802-'难度参数'!$E$21)*'难度参数'!$E$22))*(36+1*7)/(36+7*(D802+1)/2)*E802,0))</x:f>
        <x:v>11124</x:v>
      </x:c>
      <x:c r="Z802" s="119" t="n">
        <x:f>IF(X802=0,0,(X802-IF(1=D802,1,0))*ROUND(Y802*VLOOKUP(INDEX('章节与怪物'!$E$31:$K$37,B802,1),'章节与怪物'!$A$41:$F$44,2,FALSE),0)+IF(1=D802,ROUND(Y802*'难度参数'!$E$28*'章节与怪物'!$E$17,0),0))</x:f>
        <x:v>336378</x:v>
      </x:c>
      <x:c r="AA802" s="119" t="n">
        <x:f>IF(X802=0,0,(X802-IF(1=D802,1,0))*VLOOKUP(INDEX('章节与怪物'!$E$31:$K$37,B802,1),'章节与怪物'!$A$41:$F$44,4,FALSE)+IF(1=D802,'难度参数'!$E$30,0))</x:f>
        <x:v>840</x:v>
      </x:c>
      <x:c r="AB802" s="119" t="n">
        <x:f>IF(2&gt;D802,0,MAX(2,MIN('难度参数'!$E$12,ROUND(('难度参数'!$E$18*POWER(A802,'难度参数'!$E$19)/D802*(0.85+0.3*(2-1)/MAX(1,D802-1))),0)+F802)))</x:f>
        <x:v>44</x:v>
      </x:c>
      <x:c r="AC802" s="119" t="n">
        <x:f>IF(2&gt;D802,0,ROUND(('难度参数'!$E$13*POWER(A802,'难度参数'!$E$20)*MIN('难度参数'!$E$23,1+MAX(0,A802-'难度参数'!$E$21)*'难度参数'!$E$22))*(36+2*7)/(36+7*(D802+1)/2)*E802,0))</x:f>
        <x:v>12935</x:v>
      </x:c>
      <x:c r="AD802" s="119" t="n">
        <x:f>IF(AB802=0,0,(AB802-IF(2=D802,1,0))*ROUND(AC802*VLOOKUP(INDEX('章节与怪物'!$E$31:$K$37,B802,2),'章节与怪物'!$A$41:$F$44,2,FALSE),0)+IF(2=D802,ROUND(AC802*'难度参数'!$E$28*'章节与怪物'!$E$17,0),0))</x:f>
        <x:v>569140</x:v>
      </x:c>
      <x:c r="AE802" s="119" t="n">
        <x:f>IF(AB802=0,0,(AB802-IF(2=D802,1,0))*VLOOKUP(INDEX('章节与怪物'!$E$31:$K$37,B802,2),'章节与怪物'!$A$41:$F$44,4,FALSE)+IF(2=D802,'难度参数'!$E$30,0))</x:f>
        <x:v>792</x:v>
      </x:c>
      <x:c r="AF802" s="119" t="n">
        <x:f>IF(3&gt;D802,0,MAX(2,MIN('难度参数'!$E$12,ROUND(('难度参数'!$E$18*POWER(A802,'难度参数'!$E$19)/D802*(0.85+0.3*(3-1)/MAX(1,D802-1))),0)+F802)))</x:f>
        <x:v>46</x:v>
      </x:c>
      <x:c r="AG802" s="119" t="n">
        <x:f>IF(3&gt;D802,0,ROUND(('难度参数'!$E$13*POWER(A802,'难度参数'!$E$20)*MIN('难度参数'!$E$23,1+MAX(0,A802-'难度参数'!$E$21)*'难度参数'!$E$22))*(36+3*7)/(36+7*(D802+1)/2)*E802,0))</x:f>
        <x:v>14746</x:v>
      </x:c>
      <x:c r="AH802" s="119" t="n">
        <x:f>IF(AF802=0,0,(AF802-IF(3=D802,1,0))*ROUND(AG802*VLOOKUP(INDEX('章节与怪物'!$E$31:$K$37,B802,3),'章节与怪物'!$A$41:$F$44,2,FALSE),0)+IF(3=D802,ROUND(AG802*'难度参数'!$E$28*'章节与怪物'!$E$17,0),0))</x:f>
        <x:v>1153128</x:v>
      </x:c>
      <x:c r="AI802" s="119" t="n">
        <x:f>IF(AF802=0,0,(AF802-IF(3=D802,1,0))*VLOOKUP(INDEX('章节与怪物'!$E$31:$K$37,B802,3),'章节与怪物'!$A$41:$F$44,4,FALSE)+IF(3=D802,'难度参数'!$E$30,0))</x:f>
        <x:v>1288</x:v>
      </x:c>
      <x:c r="AJ802" s="119" t="n">
        <x:f>IF(4&gt;D802,0,MAX(2,MIN('难度参数'!$E$12,ROUND(('难度参数'!$E$18*POWER(A802,'难度参数'!$E$19)/D802*(0.85+0.3*(4-1)/MAX(1,D802-1))),0)+F802)))</x:f>
        <x:v>49</x:v>
      </x:c>
      <x:c r="AK802" s="119" t="n">
        <x:f>IF(4&gt;D802,0,ROUND(('难度参数'!$E$13*POWER(A802,'难度参数'!$E$20)*MIN('难度参数'!$E$23,1+MAX(0,A802-'难度参数'!$E$21)*'难度参数'!$E$22))*(36+4*7)/(36+7*(D802+1)/2)*E802,0))</x:f>
        <x:v>16557</x:v>
      </x:c>
      <x:c r="AL802" s="119" t="n">
        <x:f>IF(AJ802=0,0,(AJ802-IF(4=D802,1,0))*ROUND(AK802*VLOOKUP(INDEX('章节与怪物'!$E$31:$K$37,B802,4),'章节与怪物'!$A$41:$F$44,2,FALSE),0)+IF(4=D802,ROUND(AK802*'难度参数'!$E$28*'章节与怪物'!$E$17,0),0))</x:f>
        <x:v>1095248</x:v>
      </x:c>
      <x:c r="AM802" s="119" t="n">
        <x:f>IF(AJ802=0,0,(AJ802-IF(4=D802,1,0))*VLOOKUP(INDEX('章节与怪物'!$E$31:$K$37,B802,4),'章节与怪物'!$A$41:$F$44,4,FALSE)+IF(4=D802,'难度参数'!$E$30,0))</x:f>
        <x:v>1666</x:v>
      </x:c>
      <x:c r="AN802" s="119" t="n">
        <x:f>IF(5&gt;D802,0,MAX(2,MIN('难度参数'!$E$12,ROUND(('难度参数'!$E$18*POWER(A802,'难度参数'!$E$19)/D802*(0.85+0.3*(5-1)/MAX(1,D802-1))),0)+F802)))</x:f>
        <x:v>51</x:v>
      </x:c>
      <x:c r="AO802" s="119" t="n">
        <x:f>IF(5&gt;D802,0,ROUND(('难度参数'!$E$13*POWER(A802,'难度参数'!$E$20)*MIN('难度参数'!$E$23,1+MAX(0,A802-'难度参数'!$E$21)*'难度参数'!$E$22))*(36+5*7)/(36+7*(D802+1)/2)*E802,0))</x:f>
        <x:v>18368</x:v>
      </x:c>
      <x:c r="AP802" s="119" t="n">
        <x:f>IF(AN802=0,0,(AN802-IF(5=D802,1,0))*ROUND(AO802*VLOOKUP(INDEX('章节与怪物'!$E$31:$K$37,B802,5),'章节与怪物'!$A$41:$F$44,2,FALSE),0)+IF(5=D802,ROUND(AO802*'难度参数'!$E$28*'章节与怪物'!$E$17,0),0))</x:f>
        <x:v>936768</x:v>
      </x:c>
      <x:c r="AQ802" s="119" t="n">
        <x:f>IF(AN802=0,0,(AN802-IF(5=D802,1,0))*VLOOKUP(INDEX('章节与怪物'!$E$31:$K$37,B802,5),'章节与怪物'!$A$41:$F$44,4,FALSE)+IF(5=D802,'难度参数'!$E$30,0))</x:f>
        <x:v>918</x:v>
      </x:c>
      <x:c r="AR802" s="119" t="n">
        <x:f>IF(6&gt;D802,0,MAX(2,MIN('难度参数'!$E$12,ROUND(('难度参数'!$E$18*POWER(A802,'难度参数'!$E$19)/D802*(0.85+0.3*(6-1)/MAX(1,D802-1))),0)+F802)))</x:f>
        <x:v>54</x:v>
      </x:c>
      <x:c r="AS802" s="119" t="n">
        <x:f>IF(6&gt;D802,0,ROUND(('难度参数'!$E$13*POWER(A802,'难度参数'!$E$20)*MIN('难度参数'!$E$23,1+MAX(0,A802-'难度参数'!$E$21)*'难度参数'!$E$22))*(36+6*7)/(36+7*(D802+1)/2)*E802,0))</x:f>
        <x:v>20179</x:v>
      </x:c>
      <x:c r="AT802" s="119" t="n">
        <x:f>IF(AR802=0,0,(AR802-IF(6=D802,1,0))*ROUND(AS802*VLOOKUP(INDEX('章节与怪物'!$E$31:$K$37,B802,6),'章节与怪物'!$A$41:$F$44,2,FALSE),0)+IF(6=D802,ROUND(AS802*'难度参数'!$E$28*'章节与怪物'!$E$17,0),0))</x:f>
        <x:v>1852416</x:v>
      </x:c>
      <x:c r="AU802" s="119" t="n">
        <x:f>IF(AR802=0,0,(AR802-IF(6=D802,1,0))*VLOOKUP(INDEX('章节与怪物'!$E$31:$K$37,B802,6),'章节与怪物'!$A$41:$F$44,4,FALSE)+IF(6=D802,'难度参数'!$E$30,0))</x:f>
        <x:v>1512</x:v>
      </x:c>
      <x:c r="AV802" s="119" t="n">
        <x:f>IF(7&gt;D802,0,MAX(2,MIN('难度参数'!$E$12,ROUND(('难度参数'!$E$18*POWER(A802,'难度参数'!$E$19)/D802*(0.85+0.3*(7-1)/MAX(1,D802-1))),0)+F802)))</x:f>
        <x:v>56</x:v>
      </x:c>
      <x:c r="AW802" s="119" t="n">
        <x:f>IF(7&gt;D802,0,ROUND(('难度参数'!$E$13*POWER(A802,'难度参数'!$E$20)*MIN('难度参数'!$E$23,1+MAX(0,A802-'难度参数'!$E$21)*'难度参数'!$E$22))*(36+7*7)/(36+7*(D802+1)/2)*E802,0))</x:f>
        <x:v>21990</x:v>
      </x:c>
      <x:c r="AX802" s="119" t="n">
        <x:f>IF(AV802=0,0,(AV802-IF(7=D802,1,0))*ROUND(AW802*VLOOKUP(INDEX('章节与怪物'!$E$31:$K$37,B802,7),'章节与怪物'!$A$41:$F$44,2,FALSE),0)+IF(7=D802,ROUND(AW802*'难度参数'!$E$28*'章节与怪物'!$E$17,0),0))</x:f>
        <x:v>1782317</x:v>
      </x:c>
      <x:c r="AY802" s="119" t="n">
        <x:f>IF(AV802=0,0,(AV802-IF(7=D802,1,0))*VLOOKUP(INDEX('章节与怪物'!$E$31:$K$37,B802,7),'章节与怪物'!$A$41:$F$44,4,FALSE)+IF(7=D802,'难度参数'!$E$30,0))</x:f>
        <x:v>2070</x:v>
      </x:c>
    </x:row>
    <x:row r="803" ht="23" customHeight="1">
      <x:c r="A803" s="119" t="n">
        <x:v>797</x:v>
      </x:c>
      <x:c r="B803" s="119" t="n">
        <x:f>MOD(INT((A803-1)/5),7)+1</x:f>
        <x:v>6</x:v>
      </x:c>
      <x:c r="C803" s="62" t="str">
        <x:f>INDEX('章节与怪物'!$B$31:$B$37,B803)</x:f>
        <x:v>熔岩山脉</x:v>
      </x:c>
      <x:c r="D803" s="119" t="n">
        <x:f>MIN('难度参数'!$E$8,MAX('难度参数'!$E$7,A803))</x:f>
        <x:v>7</x:v>
      </x:c>
      <x:c r="E803" s="106" t="n">
        <x:v>1</x:v>
      </x:c>
      <x:c r="F803" s="106" t="n">
        <x:v>0</x:v>
      </x:c>
      <x:c r="G803" s="106" t="n">
        <x:v>1</x:v>
      </x:c>
      <x:c r="H803" s="119" t="n">
        <x:f>SUM(X803,AB803,AF803,AJ803,AN803,AR803,AV803)</x:f>
        <x:v>342</x:v>
      </x:c>
      <x:c r="I803" s="119" t="n">
        <x:f>SUM(Z803,AD803,AH803,AL803,AP803,AT803,AX803)</x:f>
        <x:v>7732613</x:v>
      </x:c>
      <x:c r="J803" s="119" t="n">
        <x:f>ROUND(INDEX(X803:AY803,1,(D803-1)*4+2)*'难度参数'!$E$28*'章节与怪物'!$E$17,0)</x:f>
        <x:v>149668</x:v>
      </x:c>
      <x:c r="K803" s="119" t="n">
        <x:f>SUM(AA803,AE803,AI803,AM803,AQ803,AU803,AY803)</x:f>
        <x:v>9086</x:v>
      </x:c>
      <x:c r="L803" s="62" t="n">
        <x:f>H803*(ROUNDUP('难度参数'!$E$24/('难度参数'!$E$26*'难度参数'!$E$27),0)*'难度参数'!$E$26)/60</x:f>
        <x:v>4.5600000000000005</x:v>
      </x:c>
      <x:c r="M803" s="62" t="n">
        <x:f>L803+D803*('难度参数'!$E$49+'难度参数'!$E$50)/60</x:f>
        <x:v>5.7266666666666675</x:v>
      </x:c>
      <x:c r="N803" s="119" t="n">
        <x:f>ROUNDDOWN(('经济参数'!$E$20+A803*'经济参数'!$E$21)*G803,0)</x:f>
        <x:v>16120</x:v>
      </x:c>
      <x:c r="O803" s="119" t="n">
        <x:f>ROUNDDOWN(MIN('经济参数'!$E$24,'经济参数'!$E$22+A803*'经济参数'!$E$23)*G803,0)</x:f>
        <x:v>0</x:v>
      </x:c>
      <x:c r="P803" s="119" t="n">
        <x:f>ROUNDDOWN((IF(A803&gt;='材料与任务'!$E$31,'材料与任务'!$E$32,IF(A803&gt;='材料与任务'!$E$25,'材料与任务'!$E$26,IF(A803&gt;='材料与任务'!$E$19,'材料与任务'!$E$20,IF(A803&gt;='材料与任务'!$E$13,'材料与任务'!$E$14,'材料与任务'!$E$8)))))*G803,0)</x:f>
        <x:v>6</x:v>
      </x:c>
      <x:c r="Q803" s="119" t="n">
        <x:f>ROUNDDOWN((IF(A803&gt;='材料与任务'!$E$31,'材料与任务'!$E$33,IF(A803&gt;='材料与任务'!$E$25,'材料与任务'!$E$27,IF(A803&gt;='材料与任务'!$E$19,'材料与任务'!$E$21,IF(A803&gt;='材料与任务'!$E$13,'材料与任务'!$E$15,'材料与任务'!$E$9)))))*G803,0)</x:f>
        <x:v>3</x:v>
      </x:c>
      <x:c r="R803" s="110" t="n">
        <x:f>'装备掉落'!$B$38</x:f>
        <x:v>0.6872058758851213</x:v>
      </x:c>
      <x:c r="S803" s="119" t="n">
        <x:f>MAX(IF(VLOOKUP(A803,'装备掉落'!$A$29:$H$34,2,TRUE)&gt;0,1,0),IF(VLOOKUP(A803,'装备掉落'!$A$29:$H$34,3,TRUE)&gt;0,2,0),IF(VLOOKUP(A803,'装备掉落'!$A$29:$H$34,4,TRUE)&gt;0,3,0),IF(VLOOKUP(A803,'装备掉落'!$A$29:$H$34,5,TRUE)&gt;0,4,0),IF(VLOOKUP(A803,'装备掉落'!$A$29:$H$34,6,TRUE)&gt;0,5,0),IF(VLOOKUP(A803,'装备掉落'!$A$29:$H$34,7,TRUE)&gt;0,6,0),IF(VLOOKUP(A803,'装备掉落'!$A$29:$H$34,8,TRUE)&gt;0,7,0))</x:f>
        <x:v>7</x:v>
      </x:c>
      <x:c r="T803" s="119" t="n">
        <x:f>MIN(7,S803+'经济参数'!$E$70)</x:f>
        <x:v>7</x:v>
      </x:c>
      <x:c r="U803" s="119" t="n">
        <x:f>MIN(7,S803+'经济参数'!$E$71)</x:f>
        <x:v>7</x:v>
      </x:c>
      <x:c r="V803" s="119" t="n">
        <x:f>IF(H803&gt;=('难度参数'!$E$52),1,0)+IF(H803&gt;=('难度参数'!$E$52+'难度参数'!$E$53),1,0)+IF(H803&gt;=('难度参数'!$E$52+'难度参数'!$E$53+'难度参数'!$E$54),1,0)+IF(H803&gt;=('难度参数'!$E$52+'难度参数'!$E$53+'难度参数'!$E$54+'难度参数'!$E$55),1,0)+IF(H803&gt;=('难度参数'!$E$52+'难度参数'!$E$53+'难度参数'!$E$54+'难度参数'!$E$55+'难度参数'!$E$56),1,0)+IF(H803&gt;=('难度参数'!$E$52+'难度参数'!$E$53+'难度参数'!$E$54+'难度参数'!$E$55+'难度参数'!$E$56+'难度参数'!$E$57),1,0)</x:f>
        <x:v>6</x:v>
      </x:c>
      <x:c r="W803" s="62" t="str">
        <x:f>IF(L803&gt;'难度参数'!$E$51,"仅出怪已超目标","还需实测")</x:f>
        <x:v>仅出怪已超目标</x:v>
      </x:c>
      <x:c r="X803" s="119" t="n">
        <x:f>IF(1&gt;D803,0,MAX(2,MIN('难度参数'!$E$12,ROUND(('难度参数'!$E$18*POWER(A803,'难度参数'!$E$19)/D803*(0.85+0.3*(1-1)/MAX(1,D803-1))),0)+F803)))</x:f>
        <x:v>42</x:v>
      </x:c>
      <x:c r="Y803" s="119" t="n">
        <x:f>IF(1&gt;D803,0,ROUND(('难度参数'!$E$13*POWER(A803,'难度参数'!$E$20)*MIN('难度参数'!$E$23,1+MAX(0,A803-'难度参数'!$E$21)*'难度参数'!$E$22))*(36+1*7)/(36+7*(D803+1)/2)*E803,0))</x:f>
        <x:v>11135</x:v>
      </x:c>
      <x:c r="Z803" s="119" t="n">
        <x:f>IF(X803=0,0,(X803-IF(1=D803,1,0))*ROUND(Y803*VLOOKUP(INDEX('章节与怪物'!$E$31:$K$37,B803,1),'章节与怪物'!$A$41:$F$44,2,FALSE),0)+IF(1=D803,ROUND(Y803*'难度参数'!$E$28*'章节与怪物'!$E$17,0),0))</x:f>
        <x:v>336714</x:v>
      </x:c>
      <x:c r="AA803" s="119" t="n">
        <x:f>IF(X803=0,0,(X803-IF(1=D803,1,0))*VLOOKUP(INDEX('章节与怪物'!$E$31:$K$37,B803,1),'章节与怪物'!$A$41:$F$44,4,FALSE)+IF(1=D803,'难度参数'!$E$30,0))</x:f>
        <x:v>840</x:v>
      </x:c>
      <x:c r="AB803" s="119" t="n">
        <x:f>IF(2&gt;D803,0,MAX(2,MIN('难度参数'!$E$12,ROUND(('难度参数'!$E$18*POWER(A803,'难度参数'!$E$19)/D803*(0.85+0.3*(2-1)/MAX(1,D803-1))),0)+F803)))</x:f>
        <x:v>44</x:v>
      </x:c>
      <x:c r="AC803" s="119" t="n">
        <x:f>IF(2&gt;D803,0,ROUND(('难度参数'!$E$13*POWER(A803,'难度参数'!$E$20)*MIN('难度参数'!$E$23,1+MAX(0,A803-'难度参数'!$E$21)*'难度参数'!$E$22))*(36+2*7)/(36+7*(D803+1)/2)*E803,0))</x:f>
        <x:v>12947</x:v>
      </x:c>
      <x:c r="AD803" s="119" t="n">
        <x:f>IF(AB803=0,0,(AB803-IF(2=D803,1,0))*ROUND(AC803*VLOOKUP(INDEX('章节与怪物'!$E$31:$K$37,B803,2),'章节与怪物'!$A$41:$F$44,2,FALSE),0)+IF(2=D803,ROUND(AC803*'难度参数'!$E$28*'章节与怪物'!$E$17,0),0))</x:f>
        <x:v>569668</x:v>
      </x:c>
      <x:c r="AE803" s="119" t="n">
        <x:f>IF(AB803=0,0,(AB803-IF(2=D803,1,0))*VLOOKUP(INDEX('章节与怪物'!$E$31:$K$37,B803,2),'章节与怪物'!$A$41:$F$44,4,FALSE)+IF(2=D803,'难度参数'!$E$30,0))</x:f>
        <x:v>792</x:v>
      </x:c>
      <x:c r="AF803" s="119" t="n">
        <x:f>IF(3&gt;D803,0,MAX(2,MIN('难度参数'!$E$12,ROUND(('难度参数'!$E$18*POWER(A803,'难度参数'!$E$19)/D803*(0.85+0.3*(3-1)/MAX(1,D803-1))),0)+F803)))</x:f>
        <x:v>46</x:v>
      </x:c>
      <x:c r="AG803" s="119" t="n">
        <x:f>IF(3&gt;D803,0,ROUND(('难度参数'!$E$13*POWER(A803,'难度参数'!$E$20)*MIN('难度参数'!$E$23,1+MAX(0,A803-'难度参数'!$E$21)*'难度参数'!$E$22))*(36+3*7)/(36+7*(D803+1)/2)*E803,0))</x:f>
        <x:v>14760</x:v>
      </x:c>
      <x:c r="AH803" s="119" t="n">
        <x:f>IF(AF803=0,0,(AF803-IF(3=D803,1,0))*ROUND(AG803*VLOOKUP(INDEX('章节与怪物'!$E$31:$K$37,B803,3),'章节与怪物'!$A$41:$F$44,2,FALSE),0)+IF(3=D803,ROUND(AG803*'难度参数'!$E$28*'章节与怪物'!$E$17,0),0))</x:f>
        <x:v>1154232</x:v>
      </x:c>
      <x:c r="AI803" s="119" t="n">
        <x:f>IF(AF803=0,0,(AF803-IF(3=D803,1,0))*VLOOKUP(INDEX('章节与怪物'!$E$31:$K$37,B803,3),'章节与怪物'!$A$41:$F$44,4,FALSE)+IF(3=D803,'难度参数'!$E$30,0))</x:f>
        <x:v>1288</x:v>
      </x:c>
      <x:c r="AJ803" s="119" t="n">
        <x:f>IF(4&gt;D803,0,MAX(2,MIN('难度参数'!$E$12,ROUND(('难度参数'!$E$18*POWER(A803,'难度参数'!$E$19)/D803*(0.85+0.3*(4-1)/MAX(1,D803-1))),0)+F803)))</x:f>
        <x:v>49</x:v>
      </x:c>
      <x:c r="AK803" s="119" t="n">
        <x:f>IF(4&gt;D803,0,ROUND(('难度参数'!$E$13*POWER(A803,'难度参数'!$E$20)*MIN('难度参数'!$E$23,1+MAX(0,A803-'难度参数'!$E$21)*'难度参数'!$E$22))*(36+4*7)/(36+7*(D803+1)/2)*E803,0))</x:f>
        <x:v>16572</x:v>
      </x:c>
      <x:c r="AL803" s="119" t="n">
        <x:f>IF(AJ803=0,0,(AJ803-IF(4=D803,1,0))*ROUND(AK803*VLOOKUP(INDEX('章节与怪物'!$E$31:$K$37,B803,4),'章节与怪物'!$A$41:$F$44,2,FALSE),0)+IF(4=D803,ROUND(AK803*'难度参数'!$E$28*'章节与怪物'!$E$17,0),0))</x:f>
        <x:v>1096228</x:v>
      </x:c>
      <x:c r="AM803" s="119" t="n">
        <x:f>IF(AJ803=0,0,(AJ803-IF(4=D803,1,0))*VLOOKUP(INDEX('章节与怪物'!$E$31:$K$37,B803,4),'章节与怪物'!$A$41:$F$44,4,FALSE)+IF(4=D803,'难度参数'!$E$30,0))</x:f>
        <x:v>1666</x:v>
      </x:c>
      <x:c r="AN803" s="119" t="n">
        <x:f>IF(5&gt;D803,0,MAX(2,MIN('难度参数'!$E$12,ROUND(('难度参数'!$E$18*POWER(A803,'难度参数'!$E$19)/D803*(0.85+0.3*(5-1)/MAX(1,D803-1))),0)+F803)))</x:f>
        <x:v>51</x:v>
      </x:c>
      <x:c r="AO803" s="119" t="n">
        <x:f>IF(5&gt;D803,0,ROUND(('难度参数'!$E$13*POWER(A803,'难度参数'!$E$20)*MIN('难度参数'!$E$23,1+MAX(0,A803-'难度参数'!$E$21)*'难度参数'!$E$22))*(36+5*7)/(36+7*(D803+1)/2)*E803,0))</x:f>
        <x:v>18385</x:v>
      </x:c>
      <x:c r="AP803" s="119" t="n">
        <x:f>IF(AN803=0,0,(AN803-IF(5=D803,1,0))*ROUND(AO803*VLOOKUP(INDEX('章节与怪物'!$E$31:$K$37,B803,5),'章节与怪物'!$A$41:$F$44,2,FALSE),0)+IF(5=D803,ROUND(AO803*'难度参数'!$E$28*'章节与怪物'!$E$17,0),0))</x:f>
        <x:v>937635</x:v>
      </x:c>
      <x:c r="AQ803" s="119" t="n">
        <x:f>IF(AN803=0,0,(AN803-IF(5=D803,1,0))*VLOOKUP(INDEX('章节与怪物'!$E$31:$K$37,B803,5),'章节与怪物'!$A$41:$F$44,4,FALSE)+IF(5=D803,'难度参数'!$E$30,0))</x:f>
        <x:v>918</x:v>
      </x:c>
      <x:c r="AR803" s="119" t="n">
        <x:f>IF(6&gt;D803,0,MAX(2,MIN('难度参数'!$E$12,ROUND(('难度参数'!$E$18*POWER(A803,'难度参数'!$E$19)/D803*(0.85+0.3*(6-1)/MAX(1,D803-1))),0)+F803)))</x:f>
        <x:v>54</x:v>
      </x:c>
      <x:c r="AS803" s="119" t="n">
        <x:f>IF(6&gt;D803,0,ROUND(('难度参数'!$E$13*POWER(A803,'难度参数'!$E$20)*MIN('难度参数'!$E$23,1+MAX(0,A803-'难度参数'!$E$21)*'难度参数'!$E$22))*(36+6*7)/(36+7*(D803+1)/2)*E803,0))</x:f>
        <x:v>20198</x:v>
      </x:c>
      <x:c r="AT803" s="119" t="n">
        <x:f>IF(AR803=0,0,(AR803-IF(6=D803,1,0))*ROUND(AS803*VLOOKUP(INDEX('章节与怪物'!$E$31:$K$37,B803,6),'章节与怪物'!$A$41:$F$44,2,FALSE),0)+IF(6=D803,ROUND(AS803*'难度参数'!$E$28*'章节与怪物'!$E$17,0),0))</x:f>
        <x:v>1854198</x:v>
      </x:c>
      <x:c r="AU803" s="119" t="n">
        <x:f>IF(AR803=0,0,(AR803-IF(6=D803,1,0))*VLOOKUP(INDEX('章节与怪物'!$E$31:$K$37,B803,6),'章节与怪物'!$A$41:$F$44,4,FALSE)+IF(6=D803,'难度参数'!$E$30,0))</x:f>
        <x:v>1512</x:v>
      </x:c>
      <x:c r="AV803" s="119" t="n">
        <x:f>IF(7&gt;D803,0,MAX(2,MIN('难度参数'!$E$12,ROUND(('难度参数'!$E$18*POWER(A803,'难度参数'!$E$19)/D803*(0.85+0.3*(7-1)/MAX(1,D803-1))),0)+F803)))</x:f>
        <x:v>56</x:v>
      </x:c>
      <x:c r="AW803" s="119" t="n">
        <x:f>IF(7&gt;D803,0,ROUND(('难度参数'!$E$13*POWER(A803,'难度参数'!$E$20)*MIN('难度参数'!$E$23,1+MAX(0,A803-'难度参数'!$E$21)*'难度参数'!$E$22))*(36+7*7)/(36+7*(D803+1)/2)*E803,0))</x:f>
        <x:v>22010</x:v>
      </x:c>
      <x:c r="AX803" s="119" t="n">
        <x:f>IF(AV803=0,0,(AV803-IF(7=D803,1,0))*ROUND(AW803*VLOOKUP(INDEX('章节与怪物'!$E$31:$K$37,B803,7),'章节与怪物'!$A$41:$F$44,2,FALSE),0)+IF(7=D803,ROUND(AW803*'难度参数'!$E$28*'章节与怪物'!$E$17,0),0))</x:f>
        <x:v>1783938</x:v>
      </x:c>
      <x:c r="AY803" s="119" t="n">
        <x:f>IF(AV803=0,0,(AV803-IF(7=D803,1,0))*VLOOKUP(INDEX('章节与怪物'!$E$31:$K$37,B803,7),'章节与怪物'!$A$41:$F$44,4,FALSE)+IF(7=D803,'难度参数'!$E$30,0))</x:f>
        <x:v>2070</x:v>
      </x:c>
    </x:row>
    <x:row r="804" ht="23" customHeight="1">
      <x:c r="A804" s="119" t="n">
        <x:v>798</x:v>
      </x:c>
      <x:c r="B804" s="119" t="n">
        <x:f>MOD(INT((A804-1)/5),7)+1</x:f>
        <x:v>6</x:v>
      </x:c>
      <x:c r="C804" s="62" t="str">
        <x:f>INDEX('章节与怪物'!$B$31:$B$37,B804)</x:f>
        <x:v>熔岩山脉</x:v>
      </x:c>
      <x:c r="D804" s="119" t="n">
        <x:f>MIN('难度参数'!$E$8,MAX('难度参数'!$E$7,A804))</x:f>
        <x:v>7</x:v>
      </x:c>
      <x:c r="E804" s="106" t="n">
        <x:v>1</x:v>
      </x:c>
      <x:c r="F804" s="106" t="n">
        <x:v>0</x:v>
      </x:c>
      <x:c r="G804" s="106" t="n">
        <x:v>1</x:v>
      </x:c>
      <x:c r="H804" s="119" t="n">
        <x:f>SUM(X804,AB804,AF804,AJ804,AN804,AR804,AV804)</x:f>
        <x:v>342</x:v>
      </x:c>
      <x:c r="I804" s="119" t="n">
        <x:f>SUM(Z804,AD804,AH804,AL804,AP804,AT804,AX804)</x:f>
        <x:v>7739535</x:v>
      </x:c>
      <x:c r="J804" s="119" t="n">
        <x:f>ROUND(INDEX(X804:AY804,1,(D804-1)*4+2)*'难度参数'!$E$28*'章节与怪物'!$E$17,0)</x:f>
        <x:v>149804</x:v>
      </x:c>
      <x:c r="K804" s="119" t="n">
        <x:f>SUM(AA804,AE804,AI804,AM804,AQ804,AU804,AY804)</x:f>
        <x:v>9086</x:v>
      </x:c>
      <x:c r="L804" s="62" t="n">
        <x:f>H804*(ROUNDUP('难度参数'!$E$24/('难度参数'!$E$26*'难度参数'!$E$27),0)*'难度参数'!$E$26)/60</x:f>
        <x:v>4.5600000000000005</x:v>
      </x:c>
      <x:c r="M804" s="62" t="n">
        <x:f>L804+D804*('难度参数'!$E$49+'难度参数'!$E$50)/60</x:f>
        <x:v>5.7266666666666675</x:v>
      </x:c>
      <x:c r="N804" s="119" t="n">
        <x:f>ROUNDDOWN(('经济参数'!$E$20+A804*'经济参数'!$E$21)*G804,0)</x:f>
        <x:v>16140</x:v>
      </x:c>
      <x:c r="O804" s="119" t="n">
        <x:f>ROUNDDOWN(MIN('经济参数'!$E$24,'经济参数'!$E$22+A804*'经济参数'!$E$23)*G804,0)</x:f>
        <x:v>0</x:v>
      </x:c>
      <x:c r="P804" s="119" t="n">
        <x:f>ROUNDDOWN((IF(A804&gt;='材料与任务'!$E$31,'材料与任务'!$E$32,IF(A804&gt;='材料与任务'!$E$25,'材料与任务'!$E$26,IF(A804&gt;='材料与任务'!$E$19,'材料与任务'!$E$20,IF(A804&gt;='材料与任务'!$E$13,'材料与任务'!$E$14,'材料与任务'!$E$8)))))*G804,0)</x:f>
        <x:v>6</x:v>
      </x:c>
      <x:c r="Q804" s="119" t="n">
        <x:f>ROUNDDOWN((IF(A804&gt;='材料与任务'!$E$31,'材料与任务'!$E$33,IF(A804&gt;='材料与任务'!$E$25,'材料与任务'!$E$27,IF(A804&gt;='材料与任务'!$E$19,'材料与任务'!$E$21,IF(A804&gt;='材料与任务'!$E$13,'材料与任务'!$E$15,'材料与任务'!$E$9)))))*G804,0)</x:f>
        <x:v>3</x:v>
      </x:c>
      <x:c r="R804" s="110" t="n">
        <x:f>'装备掉落'!$B$38</x:f>
        <x:v>0.6872058758851213</x:v>
      </x:c>
      <x:c r="S804" s="119" t="n">
        <x:f>MAX(IF(VLOOKUP(A804,'装备掉落'!$A$29:$H$34,2,TRUE)&gt;0,1,0),IF(VLOOKUP(A804,'装备掉落'!$A$29:$H$34,3,TRUE)&gt;0,2,0),IF(VLOOKUP(A804,'装备掉落'!$A$29:$H$34,4,TRUE)&gt;0,3,0),IF(VLOOKUP(A804,'装备掉落'!$A$29:$H$34,5,TRUE)&gt;0,4,0),IF(VLOOKUP(A804,'装备掉落'!$A$29:$H$34,6,TRUE)&gt;0,5,0),IF(VLOOKUP(A804,'装备掉落'!$A$29:$H$34,7,TRUE)&gt;0,6,0),IF(VLOOKUP(A804,'装备掉落'!$A$29:$H$34,8,TRUE)&gt;0,7,0))</x:f>
        <x:v>7</x:v>
      </x:c>
      <x:c r="T804" s="119" t="n">
        <x:f>MIN(7,S804+'经济参数'!$E$70)</x:f>
        <x:v>7</x:v>
      </x:c>
      <x:c r="U804" s="119" t="n">
        <x:f>MIN(7,S804+'经济参数'!$E$71)</x:f>
        <x:v>7</x:v>
      </x:c>
      <x:c r="V804" s="119" t="n">
        <x:f>IF(H804&gt;=('难度参数'!$E$52),1,0)+IF(H804&gt;=('难度参数'!$E$52+'难度参数'!$E$53),1,0)+IF(H804&gt;=('难度参数'!$E$52+'难度参数'!$E$53+'难度参数'!$E$54),1,0)+IF(H804&gt;=('难度参数'!$E$52+'难度参数'!$E$53+'难度参数'!$E$54+'难度参数'!$E$55),1,0)+IF(H804&gt;=('难度参数'!$E$52+'难度参数'!$E$53+'难度参数'!$E$54+'难度参数'!$E$55+'难度参数'!$E$56),1,0)+IF(H804&gt;=('难度参数'!$E$52+'难度参数'!$E$53+'难度参数'!$E$54+'难度参数'!$E$55+'难度参数'!$E$56+'难度参数'!$E$57),1,0)</x:f>
        <x:v>6</x:v>
      </x:c>
      <x:c r="W804" s="62" t="str">
        <x:f>IF(L804&gt;'难度参数'!$E$51,"仅出怪已超目标","还需实测")</x:f>
        <x:v>仅出怪已超目标</x:v>
      </x:c>
      <x:c r="X804" s="119" t="n">
        <x:f>IF(1&gt;D804,0,MAX(2,MIN('难度参数'!$E$12,ROUND(('难度参数'!$E$18*POWER(A804,'难度参数'!$E$19)/D804*(0.85+0.3*(1-1)/MAX(1,D804-1))),0)+F804)))</x:f>
        <x:v>42</x:v>
      </x:c>
      <x:c r="Y804" s="119" t="n">
        <x:f>IF(1&gt;D804,0,ROUND(('难度参数'!$E$13*POWER(A804,'难度参数'!$E$20)*MIN('难度参数'!$E$23,1+MAX(0,A804-'难度参数'!$E$21)*'难度参数'!$E$22))*(36+1*7)/(36+7*(D804+1)/2)*E804,0))</x:f>
        <x:v>11145</x:v>
      </x:c>
      <x:c r="Z804" s="119" t="n">
        <x:f>IF(X804=0,0,(X804-IF(1=D804,1,0))*ROUND(Y804*VLOOKUP(INDEX('章节与怪物'!$E$31:$K$37,B804,1),'章节与怪物'!$A$41:$F$44,2,FALSE),0)+IF(1=D804,ROUND(Y804*'难度参数'!$E$28*'章节与怪物'!$E$17,0),0))</x:f>
        <x:v>337008</x:v>
      </x:c>
      <x:c r="AA804" s="119" t="n">
        <x:f>IF(X804=0,0,(X804-IF(1=D804,1,0))*VLOOKUP(INDEX('章节与怪物'!$E$31:$K$37,B804,1),'章节与怪物'!$A$41:$F$44,4,FALSE)+IF(1=D804,'难度参数'!$E$30,0))</x:f>
        <x:v>840</x:v>
      </x:c>
      <x:c r="AB804" s="119" t="n">
        <x:f>IF(2&gt;D804,0,MAX(2,MIN('难度参数'!$E$12,ROUND(('难度参数'!$E$18*POWER(A804,'难度参数'!$E$19)/D804*(0.85+0.3*(2-1)/MAX(1,D804-1))),0)+F804)))</x:f>
        <x:v>44</x:v>
      </x:c>
      <x:c r="AC804" s="119" t="n">
        <x:f>IF(2&gt;D804,0,ROUND(('难度参数'!$E$13*POWER(A804,'难度参数'!$E$20)*MIN('难度参数'!$E$23,1+MAX(0,A804-'难度参数'!$E$21)*'难度参数'!$E$22))*(36+2*7)/(36+7*(D804+1)/2)*E804,0))</x:f>
        <x:v>12959</x:v>
      </x:c>
      <x:c r="AD804" s="119" t="n">
        <x:f>IF(AB804=0,0,(AB804-IF(2=D804,1,0))*ROUND(AC804*VLOOKUP(INDEX('章节与怪物'!$E$31:$K$37,B804,2),'章节与怪物'!$A$41:$F$44,2,FALSE),0)+IF(2=D804,ROUND(AC804*'难度参数'!$E$28*'章节与怪物'!$E$17,0),0))</x:f>
        <x:v>570196</x:v>
      </x:c>
      <x:c r="AE804" s="119" t="n">
        <x:f>IF(AB804=0,0,(AB804-IF(2=D804,1,0))*VLOOKUP(INDEX('章节与怪物'!$E$31:$K$37,B804,2),'章节与怪物'!$A$41:$F$44,4,FALSE)+IF(2=D804,'难度参数'!$E$30,0))</x:f>
        <x:v>792</x:v>
      </x:c>
      <x:c r="AF804" s="119" t="n">
        <x:f>IF(3&gt;D804,0,MAX(2,MIN('难度参数'!$E$12,ROUND(('难度参数'!$E$18*POWER(A804,'难度参数'!$E$19)/D804*(0.85+0.3*(3-1)/MAX(1,D804-1))),0)+F804)))</x:f>
        <x:v>46</x:v>
      </x:c>
      <x:c r="AG804" s="119" t="n">
        <x:f>IF(3&gt;D804,0,ROUND(('难度参数'!$E$13*POWER(A804,'难度参数'!$E$20)*MIN('难度参数'!$E$23,1+MAX(0,A804-'难度参数'!$E$21)*'难度参数'!$E$22))*(36+3*7)/(36+7*(D804+1)/2)*E804,0))</x:f>
        <x:v>14773</x:v>
      </x:c>
      <x:c r="AH804" s="119" t="n">
        <x:f>IF(AF804=0,0,(AF804-IF(3=D804,1,0))*ROUND(AG804*VLOOKUP(INDEX('章节与怪物'!$E$31:$K$37,B804,3),'章节与怪物'!$A$41:$F$44,2,FALSE),0)+IF(3=D804,ROUND(AG804*'难度参数'!$E$28*'章节与怪物'!$E$17,0),0))</x:f>
        <x:v>1155244</x:v>
      </x:c>
      <x:c r="AI804" s="119" t="n">
        <x:f>IF(AF804=0,0,(AF804-IF(3=D804,1,0))*VLOOKUP(INDEX('章节与怪物'!$E$31:$K$37,B804,3),'章节与怪物'!$A$41:$F$44,4,FALSE)+IF(3=D804,'难度参数'!$E$30,0))</x:f>
        <x:v>1288</x:v>
      </x:c>
      <x:c r="AJ804" s="119" t="n">
        <x:f>IF(4&gt;D804,0,MAX(2,MIN('难度参数'!$E$12,ROUND(('难度参数'!$E$18*POWER(A804,'难度参数'!$E$19)/D804*(0.85+0.3*(4-1)/MAX(1,D804-1))),0)+F804)))</x:f>
        <x:v>49</x:v>
      </x:c>
      <x:c r="AK804" s="119" t="n">
        <x:f>IF(4&gt;D804,0,ROUND(('难度参数'!$E$13*POWER(A804,'难度参数'!$E$20)*MIN('难度参数'!$E$23,1+MAX(0,A804-'难度参数'!$E$21)*'难度参数'!$E$22))*(36+4*7)/(36+7*(D804+1)/2)*E804,0))</x:f>
        <x:v>16587</x:v>
      </x:c>
      <x:c r="AL804" s="119" t="n">
        <x:f>IF(AJ804=0,0,(AJ804-IF(4=D804,1,0))*ROUND(AK804*VLOOKUP(INDEX('章节与怪物'!$E$31:$K$37,B804,4),'章节与怪物'!$A$41:$F$44,2,FALSE),0)+IF(4=D804,ROUND(AK804*'难度参数'!$E$28*'章节与怪物'!$E$17,0),0))</x:f>
        <x:v>1097208</x:v>
      </x:c>
      <x:c r="AM804" s="119" t="n">
        <x:f>IF(AJ804=0,0,(AJ804-IF(4=D804,1,0))*VLOOKUP(INDEX('章节与怪物'!$E$31:$K$37,B804,4),'章节与怪物'!$A$41:$F$44,4,FALSE)+IF(4=D804,'难度参数'!$E$30,0))</x:f>
        <x:v>1666</x:v>
      </x:c>
      <x:c r="AN804" s="119" t="n">
        <x:f>IF(5&gt;D804,0,MAX(2,MIN('难度参数'!$E$12,ROUND(('难度参数'!$E$18*POWER(A804,'难度参数'!$E$19)/D804*(0.85+0.3*(5-1)/MAX(1,D804-1))),0)+F804)))</x:f>
        <x:v>51</x:v>
      </x:c>
      <x:c r="AO804" s="119" t="n">
        <x:f>IF(5&gt;D804,0,ROUND(('难度参数'!$E$13*POWER(A804,'难度参数'!$E$20)*MIN('难度参数'!$E$23,1+MAX(0,A804-'难度参数'!$E$21)*'难度参数'!$E$22))*(36+5*7)/(36+7*(D804+1)/2)*E804,0))</x:f>
        <x:v>18402</x:v>
      </x:c>
      <x:c r="AP804" s="119" t="n">
        <x:f>IF(AN804=0,0,(AN804-IF(5=D804,1,0))*ROUND(AO804*VLOOKUP(INDEX('章节与怪物'!$E$31:$K$37,B804,5),'章节与怪物'!$A$41:$F$44,2,FALSE),0)+IF(5=D804,ROUND(AO804*'难度参数'!$E$28*'章节与怪物'!$E$17,0),0))</x:f>
        <x:v>938502</x:v>
      </x:c>
      <x:c r="AQ804" s="119" t="n">
        <x:f>IF(AN804=0,0,(AN804-IF(5=D804,1,0))*VLOOKUP(INDEX('章节与怪物'!$E$31:$K$37,B804,5),'章节与怪物'!$A$41:$F$44,4,FALSE)+IF(5=D804,'难度参数'!$E$30,0))</x:f>
        <x:v>918</x:v>
      </x:c>
      <x:c r="AR804" s="119" t="n">
        <x:f>IF(6&gt;D804,0,MAX(2,MIN('难度参数'!$E$12,ROUND(('难度参数'!$E$18*POWER(A804,'难度参数'!$E$19)/D804*(0.85+0.3*(6-1)/MAX(1,D804-1))),0)+F804)))</x:f>
        <x:v>54</x:v>
      </x:c>
      <x:c r="AS804" s="119" t="n">
        <x:f>IF(6&gt;D804,0,ROUND(('难度参数'!$E$13*POWER(A804,'难度参数'!$E$20)*MIN('难度参数'!$E$23,1+MAX(0,A804-'难度参数'!$E$21)*'难度参数'!$E$22))*(36+6*7)/(36+7*(D804+1)/2)*E804,0))</x:f>
        <x:v>20216</x:v>
      </x:c>
      <x:c r="AT804" s="119" t="n">
        <x:f>IF(AR804=0,0,(AR804-IF(6=D804,1,0))*ROUND(AS804*VLOOKUP(INDEX('章节与怪物'!$E$31:$K$37,B804,6),'章节与怪物'!$A$41:$F$44,2,FALSE),0)+IF(6=D804,ROUND(AS804*'难度参数'!$E$28*'章节与怪物'!$E$17,0),0))</x:f>
        <x:v>1855818</x:v>
      </x:c>
      <x:c r="AU804" s="119" t="n">
        <x:f>IF(AR804=0,0,(AR804-IF(6=D804,1,0))*VLOOKUP(INDEX('章节与怪物'!$E$31:$K$37,B804,6),'章节与怪物'!$A$41:$F$44,4,FALSE)+IF(6=D804,'难度参数'!$E$30,0))</x:f>
        <x:v>1512</x:v>
      </x:c>
      <x:c r="AV804" s="119" t="n">
        <x:f>IF(7&gt;D804,0,MAX(2,MIN('难度参数'!$E$12,ROUND(('难度参数'!$E$18*POWER(A804,'难度参数'!$E$19)/D804*(0.85+0.3*(7-1)/MAX(1,D804-1))),0)+F804)))</x:f>
        <x:v>56</x:v>
      </x:c>
      <x:c r="AW804" s="119" t="n">
        <x:f>IF(7&gt;D804,0,ROUND(('难度参数'!$E$13*POWER(A804,'难度参数'!$E$20)*MIN('难度参数'!$E$23,1+MAX(0,A804-'难度参数'!$E$21)*'难度参数'!$E$22))*(36+7*7)/(36+7*(D804+1)/2)*E804,0))</x:f>
        <x:v>22030</x:v>
      </x:c>
      <x:c r="AX804" s="119" t="n">
        <x:f>IF(AV804=0,0,(AV804-IF(7=D804,1,0))*ROUND(AW804*VLOOKUP(INDEX('章节与怪物'!$E$31:$K$37,B804,7),'章节与怪物'!$A$41:$F$44,2,FALSE),0)+IF(7=D804,ROUND(AW804*'难度参数'!$E$28*'章节与怪物'!$E$17,0),0))</x:f>
        <x:v>1785559</x:v>
      </x:c>
      <x:c r="AY804" s="119" t="n">
        <x:f>IF(AV804=0,0,(AV804-IF(7=D804,1,0))*VLOOKUP(INDEX('章节与怪物'!$E$31:$K$37,B804,7),'章节与怪物'!$A$41:$F$44,4,FALSE)+IF(7=D804,'难度参数'!$E$30,0))</x:f>
        <x:v>2070</x:v>
      </x:c>
    </x:row>
    <x:row r="805" ht="23" customHeight="1">
      <x:c r="A805" s="119" t="n">
        <x:v>799</x:v>
      </x:c>
      <x:c r="B805" s="119" t="n">
        <x:f>MOD(INT((A805-1)/5),7)+1</x:f>
        <x:v>6</x:v>
      </x:c>
      <x:c r="C805" s="62" t="str">
        <x:f>INDEX('章节与怪物'!$B$31:$B$37,B805)</x:f>
        <x:v>熔岩山脉</x:v>
      </x:c>
      <x:c r="D805" s="119" t="n">
        <x:f>MIN('难度参数'!$E$8,MAX('难度参数'!$E$7,A805))</x:f>
        <x:v>7</x:v>
      </x:c>
      <x:c r="E805" s="106" t="n">
        <x:v>1</x:v>
      </x:c>
      <x:c r="F805" s="106" t="n">
        <x:v>0</x:v>
      </x:c>
      <x:c r="G805" s="106" t="n">
        <x:v>1</x:v>
      </x:c>
      <x:c r="H805" s="119" t="n">
        <x:f>SUM(X805,AB805,AF805,AJ805,AN805,AR805,AV805)</x:f>
        <x:v>342</x:v>
      </x:c>
      <x:c r="I805" s="119" t="n">
        <x:f>SUM(Z805,AD805,AH805,AL805,AP805,AT805,AX805)</x:f>
        <x:v>7746551</x:v>
      </x:c>
      <x:c r="J805" s="119" t="n">
        <x:f>ROUND(INDEX(X805:AY805,1,(D805-1)*4+2)*'难度参数'!$E$28*'章节与怪物'!$E$17,0)</x:f>
        <x:v>149940</x:v>
      </x:c>
      <x:c r="K805" s="119" t="n">
        <x:f>SUM(AA805,AE805,AI805,AM805,AQ805,AU805,AY805)</x:f>
        <x:v>9086</x:v>
      </x:c>
      <x:c r="L805" s="62" t="n">
        <x:f>H805*(ROUNDUP('难度参数'!$E$24/('难度参数'!$E$26*'难度参数'!$E$27),0)*'难度参数'!$E$26)/60</x:f>
        <x:v>4.5600000000000005</x:v>
      </x:c>
      <x:c r="M805" s="62" t="n">
        <x:f>L805+D805*('难度参数'!$E$49+'难度参数'!$E$50)/60</x:f>
        <x:v>5.7266666666666675</x:v>
      </x:c>
      <x:c r="N805" s="119" t="n">
        <x:f>ROUNDDOWN(('经济参数'!$E$20+A805*'经济参数'!$E$21)*G805,0)</x:f>
        <x:v>16160</x:v>
      </x:c>
      <x:c r="O805" s="119" t="n">
        <x:f>ROUNDDOWN(MIN('经济参数'!$E$24,'经济参数'!$E$22+A805*'经济参数'!$E$23)*G805,0)</x:f>
        <x:v>0</x:v>
      </x:c>
      <x:c r="P805" s="119" t="n">
        <x:f>ROUNDDOWN((IF(A805&gt;='材料与任务'!$E$31,'材料与任务'!$E$32,IF(A805&gt;='材料与任务'!$E$25,'材料与任务'!$E$26,IF(A805&gt;='材料与任务'!$E$19,'材料与任务'!$E$20,IF(A805&gt;='材料与任务'!$E$13,'材料与任务'!$E$14,'材料与任务'!$E$8)))))*G805,0)</x:f>
        <x:v>6</x:v>
      </x:c>
      <x:c r="Q805" s="119" t="n">
        <x:f>ROUNDDOWN((IF(A805&gt;='材料与任务'!$E$31,'材料与任务'!$E$33,IF(A805&gt;='材料与任务'!$E$25,'材料与任务'!$E$27,IF(A805&gt;='材料与任务'!$E$19,'材料与任务'!$E$21,IF(A805&gt;='材料与任务'!$E$13,'材料与任务'!$E$15,'材料与任务'!$E$9)))))*G805,0)</x:f>
        <x:v>3</x:v>
      </x:c>
      <x:c r="R805" s="110" t="n">
        <x:f>'装备掉落'!$B$38</x:f>
        <x:v>0.6872058758851213</x:v>
      </x:c>
      <x:c r="S805" s="119" t="n">
        <x:f>MAX(IF(VLOOKUP(A805,'装备掉落'!$A$29:$H$34,2,TRUE)&gt;0,1,0),IF(VLOOKUP(A805,'装备掉落'!$A$29:$H$34,3,TRUE)&gt;0,2,0),IF(VLOOKUP(A805,'装备掉落'!$A$29:$H$34,4,TRUE)&gt;0,3,0),IF(VLOOKUP(A805,'装备掉落'!$A$29:$H$34,5,TRUE)&gt;0,4,0),IF(VLOOKUP(A805,'装备掉落'!$A$29:$H$34,6,TRUE)&gt;0,5,0),IF(VLOOKUP(A805,'装备掉落'!$A$29:$H$34,7,TRUE)&gt;0,6,0),IF(VLOOKUP(A805,'装备掉落'!$A$29:$H$34,8,TRUE)&gt;0,7,0))</x:f>
        <x:v>7</x:v>
      </x:c>
      <x:c r="T805" s="119" t="n">
        <x:f>MIN(7,S805+'经济参数'!$E$70)</x:f>
        <x:v>7</x:v>
      </x:c>
      <x:c r="U805" s="119" t="n">
        <x:f>MIN(7,S805+'经济参数'!$E$71)</x:f>
        <x:v>7</x:v>
      </x:c>
      <x:c r="V805" s="119" t="n">
        <x:f>IF(H805&gt;=('难度参数'!$E$52),1,0)+IF(H805&gt;=('难度参数'!$E$52+'难度参数'!$E$53),1,0)+IF(H805&gt;=('难度参数'!$E$52+'难度参数'!$E$53+'难度参数'!$E$54),1,0)+IF(H805&gt;=('难度参数'!$E$52+'难度参数'!$E$53+'难度参数'!$E$54+'难度参数'!$E$55),1,0)+IF(H805&gt;=('难度参数'!$E$52+'难度参数'!$E$53+'难度参数'!$E$54+'难度参数'!$E$55+'难度参数'!$E$56),1,0)+IF(H805&gt;=('难度参数'!$E$52+'难度参数'!$E$53+'难度参数'!$E$54+'难度参数'!$E$55+'难度参数'!$E$56+'难度参数'!$E$57),1,0)</x:f>
        <x:v>6</x:v>
      </x:c>
      <x:c r="W805" s="62" t="str">
        <x:f>IF(L805&gt;'难度参数'!$E$51,"仅出怪已超目标","还需实测")</x:f>
        <x:v>仅出怪已超目标</x:v>
      </x:c>
      <x:c r="X805" s="119" t="n">
        <x:f>IF(1&gt;D805,0,MAX(2,MIN('难度参数'!$E$12,ROUND(('难度参数'!$E$18*POWER(A805,'难度参数'!$E$19)/D805*(0.85+0.3*(1-1)/MAX(1,D805-1))),0)+F805)))</x:f>
        <x:v>42</x:v>
      </x:c>
      <x:c r="Y805" s="119" t="n">
        <x:f>IF(1&gt;D805,0,ROUND(('难度参数'!$E$13*POWER(A805,'难度参数'!$E$20)*MIN('难度参数'!$E$23,1+MAX(0,A805-'难度参数'!$E$21)*'难度参数'!$E$22))*(36+1*7)/(36+7*(D805+1)/2)*E805,0))</x:f>
        <x:v>11155</x:v>
      </x:c>
      <x:c r="Z805" s="119" t="n">
        <x:f>IF(X805=0,0,(X805-IF(1=D805,1,0))*ROUND(Y805*VLOOKUP(INDEX('章节与怪物'!$E$31:$K$37,B805,1),'章节与怪物'!$A$41:$F$44,2,FALSE),0)+IF(1=D805,ROUND(Y805*'难度参数'!$E$28*'章节与怪物'!$E$17,0),0))</x:f>
        <x:v>337344</x:v>
      </x:c>
      <x:c r="AA805" s="119" t="n">
        <x:f>IF(X805=0,0,(X805-IF(1=D805,1,0))*VLOOKUP(INDEX('章节与怪物'!$E$31:$K$37,B805,1),'章节与怪物'!$A$41:$F$44,4,FALSE)+IF(1=D805,'难度参数'!$E$30,0))</x:f>
        <x:v>840</x:v>
      </x:c>
      <x:c r="AB805" s="119" t="n">
        <x:f>IF(2&gt;D805,0,MAX(2,MIN('难度参数'!$E$12,ROUND(('难度参数'!$E$18*POWER(A805,'难度参数'!$E$19)/D805*(0.85+0.3*(2-1)/MAX(1,D805-1))),0)+F805)))</x:f>
        <x:v>44</x:v>
      </x:c>
      <x:c r="AC805" s="119" t="n">
        <x:f>IF(2&gt;D805,0,ROUND(('难度参数'!$E$13*POWER(A805,'难度参数'!$E$20)*MIN('难度参数'!$E$23,1+MAX(0,A805-'难度参数'!$E$21)*'难度参数'!$E$22))*(36+2*7)/(36+7*(D805+1)/2)*E805,0))</x:f>
        <x:v>12971</x:v>
      </x:c>
      <x:c r="AD805" s="119" t="n">
        <x:f>IF(AB805=0,0,(AB805-IF(2=D805,1,0))*ROUND(AC805*VLOOKUP(INDEX('章节与怪物'!$E$31:$K$37,B805,2),'章节与怪物'!$A$41:$F$44,2,FALSE),0)+IF(2=D805,ROUND(AC805*'难度参数'!$E$28*'章节与怪物'!$E$17,0),0))</x:f>
        <x:v>570724</x:v>
      </x:c>
      <x:c r="AE805" s="119" t="n">
        <x:f>IF(AB805=0,0,(AB805-IF(2=D805,1,0))*VLOOKUP(INDEX('章节与怪物'!$E$31:$K$37,B805,2),'章节与怪物'!$A$41:$F$44,4,FALSE)+IF(2=D805,'难度参数'!$E$30,0))</x:f>
        <x:v>792</x:v>
      </x:c>
      <x:c r="AF805" s="119" t="n">
        <x:f>IF(3&gt;D805,0,MAX(2,MIN('难度参数'!$E$12,ROUND(('难度参数'!$E$18*POWER(A805,'难度参数'!$E$19)/D805*(0.85+0.3*(3-1)/MAX(1,D805-1))),0)+F805)))</x:f>
        <x:v>46</x:v>
      </x:c>
      <x:c r="AG805" s="119" t="n">
        <x:f>IF(3&gt;D805,0,ROUND(('难度参数'!$E$13*POWER(A805,'难度参数'!$E$20)*MIN('难度参数'!$E$23,1+MAX(0,A805-'难度参数'!$E$21)*'难度参数'!$E$22))*(36+3*7)/(36+7*(D805+1)/2)*E805,0))</x:f>
        <x:v>14786</x:v>
      </x:c>
      <x:c r="AH805" s="119" t="n">
        <x:f>IF(AF805=0,0,(AF805-IF(3=D805,1,0))*ROUND(AG805*VLOOKUP(INDEX('章节与怪物'!$E$31:$K$37,B805,3),'章节与怪物'!$A$41:$F$44,2,FALSE),0)+IF(3=D805,ROUND(AG805*'难度参数'!$E$28*'章节与怪物'!$E$17,0),0))</x:f>
        <x:v>1156256</x:v>
      </x:c>
      <x:c r="AI805" s="119" t="n">
        <x:f>IF(AF805=0,0,(AF805-IF(3=D805,1,0))*VLOOKUP(INDEX('章节与怪物'!$E$31:$K$37,B805,3),'章节与怪物'!$A$41:$F$44,4,FALSE)+IF(3=D805,'难度参数'!$E$30,0))</x:f>
        <x:v>1288</x:v>
      </x:c>
      <x:c r="AJ805" s="119" t="n">
        <x:f>IF(4&gt;D805,0,MAX(2,MIN('难度参数'!$E$12,ROUND(('难度参数'!$E$18*POWER(A805,'难度参数'!$E$19)/D805*(0.85+0.3*(4-1)/MAX(1,D805-1))),0)+F805)))</x:f>
        <x:v>49</x:v>
      </x:c>
      <x:c r="AK805" s="119" t="n">
        <x:f>IF(4&gt;D805,0,ROUND(('难度参数'!$E$13*POWER(A805,'难度参数'!$E$20)*MIN('难度参数'!$E$23,1+MAX(0,A805-'难度参数'!$E$21)*'难度参数'!$E$22))*(36+4*7)/(36+7*(D805+1)/2)*E805,0))</x:f>
        <x:v>16602</x:v>
      </x:c>
      <x:c r="AL805" s="119" t="n">
        <x:f>IF(AJ805=0,0,(AJ805-IF(4=D805,1,0))*ROUND(AK805*VLOOKUP(INDEX('章节与怪物'!$E$31:$K$37,B805,4),'章节与怪物'!$A$41:$F$44,2,FALSE),0)+IF(4=D805,ROUND(AK805*'难度参数'!$E$28*'章节与怪物'!$E$17,0),0))</x:f>
        <x:v>1098237</x:v>
      </x:c>
      <x:c r="AM805" s="119" t="n">
        <x:f>IF(AJ805=0,0,(AJ805-IF(4=D805,1,0))*VLOOKUP(INDEX('章节与怪物'!$E$31:$K$37,B805,4),'章节与怪物'!$A$41:$F$44,4,FALSE)+IF(4=D805,'难度参数'!$E$30,0))</x:f>
        <x:v>1666</x:v>
      </x:c>
      <x:c r="AN805" s="119" t="n">
        <x:f>IF(5&gt;D805,0,MAX(2,MIN('难度参数'!$E$12,ROUND(('难度参数'!$E$18*POWER(A805,'难度参数'!$E$19)/D805*(0.85+0.3*(5-1)/MAX(1,D805-1))),0)+F805)))</x:f>
        <x:v>51</x:v>
      </x:c>
      <x:c r="AO805" s="119" t="n">
        <x:f>IF(5&gt;D805,0,ROUND(('难度参数'!$E$13*POWER(A805,'难度参数'!$E$20)*MIN('难度参数'!$E$23,1+MAX(0,A805-'难度参数'!$E$21)*'难度参数'!$E$22))*(36+5*7)/(36+7*(D805+1)/2)*E805,0))</x:f>
        <x:v>18418</x:v>
      </x:c>
      <x:c r="AP805" s="119" t="n">
        <x:f>IF(AN805=0,0,(AN805-IF(5=D805,1,0))*ROUND(AO805*VLOOKUP(INDEX('章节与怪物'!$E$31:$K$37,B805,5),'章节与怪物'!$A$41:$F$44,2,FALSE),0)+IF(5=D805,ROUND(AO805*'难度参数'!$E$28*'章节与怪物'!$E$17,0),0))</x:f>
        <x:v>939318</x:v>
      </x:c>
      <x:c r="AQ805" s="119" t="n">
        <x:f>IF(AN805=0,0,(AN805-IF(5=D805,1,0))*VLOOKUP(INDEX('章节与怪物'!$E$31:$K$37,B805,5),'章节与怪物'!$A$41:$F$44,4,FALSE)+IF(5=D805,'难度参数'!$E$30,0))</x:f>
        <x:v>918</x:v>
      </x:c>
      <x:c r="AR805" s="119" t="n">
        <x:f>IF(6&gt;D805,0,MAX(2,MIN('难度参数'!$E$12,ROUND(('难度参数'!$E$18*POWER(A805,'难度参数'!$E$19)/D805*(0.85+0.3*(6-1)/MAX(1,D805-1))),0)+F805)))</x:f>
        <x:v>54</x:v>
      </x:c>
      <x:c r="AS805" s="119" t="n">
        <x:f>IF(6&gt;D805,0,ROUND(('难度参数'!$E$13*POWER(A805,'难度参数'!$E$20)*MIN('难度参数'!$E$23,1+MAX(0,A805-'难度参数'!$E$21)*'难度参数'!$E$22))*(36+6*7)/(36+7*(D805+1)/2)*E805,0))</x:f>
        <x:v>20234</x:v>
      </x:c>
      <x:c r="AT805" s="119" t="n">
        <x:f>IF(AR805=0,0,(AR805-IF(6=D805,1,0))*ROUND(AS805*VLOOKUP(INDEX('章节与怪物'!$E$31:$K$37,B805,6),'章节与怪物'!$A$41:$F$44,2,FALSE),0)+IF(6=D805,ROUND(AS805*'难度参数'!$E$28*'章节与怪物'!$E$17,0),0))</x:f>
        <x:v>1857492</x:v>
      </x:c>
      <x:c r="AU805" s="119" t="n">
        <x:f>IF(AR805=0,0,(AR805-IF(6=D805,1,0))*VLOOKUP(INDEX('章节与怪物'!$E$31:$K$37,B805,6),'章节与怪物'!$A$41:$F$44,4,FALSE)+IF(6=D805,'难度参数'!$E$30,0))</x:f>
        <x:v>1512</x:v>
      </x:c>
      <x:c r="AV805" s="119" t="n">
        <x:f>IF(7&gt;D805,0,MAX(2,MIN('难度参数'!$E$12,ROUND(('难度参数'!$E$18*POWER(A805,'难度参数'!$E$19)/D805*(0.85+0.3*(7-1)/MAX(1,D805-1))),0)+F805)))</x:f>
        <x:v>56</x:v>
      </x:c>
      <x:c r="AW805" s="119" t="n">
        <x:f>IF(7&gt;D805,0,ROUND(('难度参数'!$E$13*POWER(A805,'难度参数'!$E$20)*MIN('难度参数'!$E$23,1+MAX(0,A805-'难度参数'!$E$21)*'难度参数'!$E$22))*(36+7*7)/(36+7*(D805+1)/2)*E805,0))</x:f>
        <x:v>22050</x:v>
      </x:c>
      <x:c r="AX805" s="119" t="n">
        <x:f>IF(AV805=0,0,(AV805-IF(7=D805,1,0))*ROUND(AW805*VLOOKUP(INDEX('章节与怪物'!$E$31:$K$37,B805,7),'章节与怪物'!$A$41:$F$44,2,FALSE),0)+IF(7=D805,ROUND(AW805*'难度参数'!$E$28*'章节与怪物'!$E$17,0),0))</x:f>
        <x:v>1787180</x:v>
      </x:c>
      <x:c r="AY805" s="119" t="n">
        <x:f>IF(AV805=0,0,(AV805-IF(7=D805,1,0))*VLOOKUP(INDEX('章节与怪物'!$E$31:$K$37,B805,7),'章节与怪物'!$A$41:$F$44,4,FALSE)+IF(7=D805,'难度参数'!$E$30,0))</x:f>
        <x:v>2070</x:v>
      </x:c>
    </x:row>
    <x:row r="806" ht="23" customHeight="1">
      <x:c r="A806" s="119" t="n">
        <x:v>800</x:v>
      </x:c>
      <x:c r="B806" s="119" t="n">
        <x:f>MOD(INT((A806-1)/5),7)+1</x:f>
        <x:v>6</x:v>
      </x:c>
      <x:c r="C806" s="62" t="str">
        <x:f>INDEX('章节与怪物'!$B$31:$B$37,B806)</x:f>
        <x:v>熔岩山脉</x:v>
      </x:c>
      <x:c r="D806" s="119" t="n">
        <x:f>MIN('难度参数'!$E$8,MAX('难度参数'!$E$7,A806))</x:f>
        <x:v>7</x:v>
      </x:c>
      <x:c r="E806" s="106" t="n">
        <x:v>1</x:v>
      </x:c>
      <x:c r="F806" s="106" t="n">
        <x:v>0</x:v>
      </x:c>
      <x:c r="G806" s="106" t="n">
        <x:v>1</x:v>
      </x:c>
      <x:c r="H806" s="119" t="n">
        <x:f>SUM(X806,AB806,AF806,AJ806,AN806,AR806,AV806)</x:f>
        <x:v>342</x:v>
      </x:c>
      <x:c r="I806" s="119" t="n">
        <x:f>SUM(Z806,AD806,AH806,AL806,AP806,AT806,AX806)</x:f>
        <x:v>7753521</x:v>
      </x:c>
      <x:c r="J806" s="119" t="n">
        <x:f>ROUND(INDEX(X806:AY806,1,(D806-1)*4+2)*'难度参数'!$E$28*'章节与怪物'!$E$17,0)</x:f>
        <x:v>150076</x:v>
      </x:c>
      <x:c r="K806" s="119" t="n">
        <x:f>SUM(AA806,AE806,AI806,AM806,AQ806,AU806,AY806)</x:f>
        <x:v>9086</x:v>
      </x:c>
      <x:c r="L806" s="62" t="n">
        <x:f>H806*(ROUNDUP('难度参数'!$E$24/('难度参数'!$E$26*'难度参数'!$E$27),0)*'难度参数'!$E$26)/60</x:f>
        <x:v>4.5600000000000005</x:v>
      </x:c>
      <x:c r="M806" s="62" t="n">
        <x:f>L806+D806*('难度参数'!$E$49+'难度参数'!$E$50)/60</x:f>
        <x:v>5.7266666666666675</x:v>
      </x:c>
      <x:c r="N806" s="119" t="n">
        <x:f>ROUNDDOWN(('经济参数'!$E$20+A806*'经济参数'!$E$21)*G806,0)</x:f>
        <x:v>16180</x:v>
      </x:c>
      <x:c r="O806" s="119" t="n">
        <x:f>ROUNDDOWN(MIN('经济参数'!$E$24,'经济参数'!$E$22+A806*'经济参数'!$E$23)*G806,0)</x:f>
        <x:v>0</x:v>
      </x:c>
      <x:c r="P806" s="119" t="n">
        <x:f>ROUNDDOWN((IF(A806&gt;='材料与任务'!$E$31,'材料与任务'!$E$32,IF(A806&gt;='材料与任务'!$E$25,'材料与任务'!$E$26,IF(A806&gt;='材料与任务'!$E$19,'材料与任务'!$E$20,IF(A806&gt;='材料与任务'!$E$13,'材料与任务'!$E$14,'材料与任务'!$E$8)))))*G806,0)</x:f>
        <x:v>6</x:v>
      </x:c>
      <x:c r="Q806" s="119" t="n">
        <x:f>ROUNDDOWN((IF(A806&gt;='材料与任务'!$E$31,'材料与任务'!$E$33,IF(A806&gt;='材料与任务'!$E$25,'材料与任务'!$E$27,IF(A806&gt;='材料与任务'!$E$19,'材料与任务'!$E$21,IF(A806&gt;='材料与任务'!$E$13,'材料与任务'!$E$15,'材料与任务'!$E$9)))))*G806,0)</x:f>
        <x:v>3</x:v>
      </x:c>
      <x:c r="R806" s="110" t="n">
        <x:f>'装备掉落'!$B$38</x:f>
        <x:v>0.6872058758851213</x:v>
      </x:c>
      <x:c r="S806" s="119" t="n">
        <x:f>MAX(IF(VLOOKUP(A806,'装备掉落'!$A$29:$H$34,2,TRUE)&gt;0,1,0),IF(VLOOKUP(A806,'装备掉落'!$A$29:$H$34,3,TRUE)&gt;0,2,0),IF(VLOOKUP(A806,'装备掉落'!$A$29:$H$34,4,TRUE)&gt;0,3,0),IF(VLOOKUP(A806,'装备掉落'!$A$29:$H$34,5,TRUE)&gt;0,4,0),IF(VLOOKUP(A806,'装备掉落'!$A$29:$H$34,6,TRUE)&gt;0,5,0),IF(VLOOKUP(A806,'装备掉落'!$A$29:$H$34,7,TRUE)&gt;0,6,0),IF(VLOOKUP(A806,'装备掉落'!$A$29:$H$34,8,TRUE)&gt;0,7,0))</x:f>
        <x:v>7</x:v>
      </x:c>
      <x:c r="T806" s="119" t="n">
        <x:f>MIN(7,S806+'经济参数'!$E$70)</x:f>
        <x:v>7</x:v>
      </x:c>
      <x:c r="U806" s="119" t="n">
        <x:f>MIN(7,S806+'经济参数'!$E$71)</x:f>
        <x:v>7</x:v>
      </x:c>
      <x:c r="V806" s="119" t="n">
        <x:f>IF(H806&gt;=('难度参数'!$E$52),1,0)+IF(H806&gt;=('难度参数'!$E$52+'难度参数'!$E$53),1,0)+IF(H806&gt;=('难度参数'!$E$52+'难度参数'!$E$53+'难度参数'!$E$54),1,0)+IF(H806&gt;=('难度参数'!$E$52+'难度参数'!$E$53+'难度参数'!$E$54+'难度参数'!$E$55),1,0)+IF(H806&gt;=('难度参数'!$E$52+'难度参数'!$E$53+'难度参数'!$E$54+'难度参数'!$E$55+'难度参数'!$E$56),1,0)+IF(H806&gt;=('难度参数'!$E$52+'难度参数'!$E$53+'难度参数'!$E$54+'难度参数'!$E$55+'难度参数'!$E$56+'难度参数'!$E$57),1,0)</x:f>
        <x:v>6</x:v>
      </x:c>
      <x:c r="W806" s="62" t="str">
        <x:f>IF(L806&gt;'难度参数'!$E$51,"仅出怪已超目标","还需实测")</x:f>
        <x:v>仅出怪已超目标</x:v>
      </x:c>
      <x:c r="X806" s="119" t="n">
        <x:f>IF(1&gt;D806,0,MAX(2,MIN('难度参数'!$E$12,ROUND(('难度参数'!$E$18*POWER(A806,'难度参数'!$E$19)/D806*(0.85+0.3*(1-1)/MAX(1,D806-1))),0)+F806)))</x:f>
        <x:v>42</x:v>
      </x:c>
      <x:c r="Y806" s="119" t="n">
        <x:f>IF(1&gt;D806,0,ROUND(('难度参数'!$E$13*POWER(A806,'难度参数'!$E$20)*MIN('难度参数'!$E$23,1+MAX(0,A806-'难度参数'!$E$21)*'难度参数'!$E$22))*(36+1*7)/(36+7*(D806+1)/2)*E806,0))</x:f>
        <x:v>11165</x:v>
      </x:c>
      <x:c r="Z806" s="119" t="n">
        <x:f>IF(X806=0,0,(X806-IF(1=D806,1,0))*ROUND(Y806*VLOOKUP(INDEX('章节与怪物'!$E$31:$K$37,B806,1),'章节与怪物'!$A$41:$F$44,2,FALSE),0)+IF(1=D806,ROUND(Y806*'难度参数'!$E$28*'章节与怪物'!$E$17,0),0))</x:f>
        <x:v>337638</x:v>
      </x:c>
      <x:c r="AA806" s="119" t="n">
        <x:f>IF(X806=0,0,(X806-IF(1=D806,1,0))*VLOOKUP(INDEX('章节与怪物'!$E$31:$K$37,B806,1),'章节与怪物'!$A$41:$F$44,4,FALSE)+IF(1=D806,'难度参数'!$E$30,0))</x:f>
        <x:v>840</x:v>
      </x:c>
      <x:c r="AB806" s="119" t="n">
        <x:f>IF(2&gt;D806,0,MAX(2,MIN('难度参数'!$E$12,ROUND(('难度参数'!$E$18*POWER(A806,'难度参数'!$E$19)/D806*(0.85+0.3*(2-1)/MAX(1,D806-1))),0)+F806)))</x:f>
        <x:v>44</x:v>
      </x:c>
      <x:c r="AC806" s="119" t="n">
        <x:f>IF(2&gt;D806,0,ROUND(('难度参数'!$E$13*POWER(A806,'难度参数'!$E$20)*MIN('难度参数'!$E$23,1+MAX(0,A806-'难度参数'!$E$21)*'难度参数'!$E$22))*(36+2*7)/(36+7*(D806+1)/2)*E806,0))</x:f>
        <x:v>12982</x:v>
      </x:c>
      <x:c r="AD806" s="119" t="n">
        <x:f>IF(AB806=0,0,(AB806-IF(2=D806,1,0))*ROUND(AC806*VLOOKUP(INDEX('章节与怪物'!$E$31:$K$37,B806,2),'章节与怪物'!$A$41:$F$44,2,FALSE),0)+IF(2=D806,ROUND(AC806*'难度参数'!$E$28*'章节与怪物'!$E$17,0),0))</x:f>
        <x:v>571208</x:v>
      </x:c>
      <x:c r="AE806" s="119" t="n">
        <x:f>IF(AB806=0,0,(AB806-IF(2=D806,1,0))*VLOOKUP(INDEX('章节与怪物'!$E$31:$K$37,B806,2),'章节与怪物'!$A$41:$F$44,4,FALSE)+IF(2=D806,'难度参数'!$E$30,0))</x:f>
        <x:v>792</x:v>
      </x:c>
      <x:c r="AF806" s="119" t="n">
        <x:f>IF(3&gt;D806,0,MAX(2,MIN('难度参数'!$E$12,ROUND(('难度参数'!$E$18*POWER(A806,'难度参数'!$E$19)/D806*(0.85+0.3*(3-1)/MAX(1,D806-1))),0)+F806)))</x:f>
        <x:v>46</x:v>
      </x:c>
      <x:c r="AG806" s="119" t="n">
        <x:f>IF(3&gt;D806,0,ROUND(('难度参数'!$E$13*POWER(A806,'难度参数'!$E$20)*MIN('难度参数'!$E$23,1+MAX(0,A806-'难度参数'!$E$21)*'难度参数'!$E$22))*(36+3*7)/(36+7*(D806+1)/2)*E806,0))</x:f>
        <x:v>14800</x:v>
      </x:c>
      <x:c r="AH806" s="119" t="n">
        <x:f>IF(AF806=0,0,(AF806-IF(3=D806,1,0))*ROUND(AG806*VLOOKUP(INDEX('章节与怪物'!$E$31:$K$37,B806,3),'章节与怪物'!$A$41:$F$44,2,FALSE),0)+IF(3=D806,ROUND(AG806*'难度参数'!$E$28*'章节与怪物'!$E$17,0),0))</x:f>
        <x:v>1157360</x:v>
      </x:c>
      <x:c r="AI806" s="119" t="n">
        <x:f>IF(AF806=0,0,(AF806-IF(3=D806,1,0))*VLOOKUP(INDEX('章节与怪物'!$E$31:$K$37,B806,3),'章节与怪物'!$A$41:$F$44,4,FALSE)+IF(3=D806,'难度参数'!$E$30,0))</x:f>
        <x:v>1288</x:v>
      </x:c>
      <x:c r="AJ806" s="119" t="n">
        <x:f>IF(4&gt;D806,0,MAX(2,MIN('难度参数'!$E$12,ROUND(('难度参数'!$E$18*POWER(A806,'难度参数'!$E$19)/D806*(0.85+0.3*(4-1)/MAX(1,D806-1))),0)+F806)))</x:f>
        <x:v>49</x:v>
      </x:c>
      <x:c r="AK806" s="119" t="n">
        <x:f>IF(4&gt;D806,0,ROUND(('难度参数'!$E$13*POWER(A806,'难度参数'!$E$20)*MIN('难度参数'!$E$23,1+MAX(0,A806-'难度参数'!$E$21)*'难度参数'!$E$22))*(36+4*7)/(36+7*(D806+1)/2)*E806,0))</x:f>
        <x:v>16617</x:v>
      </x:c>
      <x:c r="AL806" s="119" t="n">
        <x:f>IF(AJ806=0,0,(AJ806-IF(4=D806,1,0))*ROUND(AK806*VLOOKUP(INDEX('章节与怪物'!$E$31:$K$37,B806,4),'章节与怪物'!$A$41:$F$44,2,FALSE),0)+IF(4=D806,ROUND(AK806*'难度参数'!$E$28*'章节与怪物'!$E$17,0),0))</x:f>
        <x:v>1099217</x:v>
      </x:c>
      <x:c r="AM806" s="119" t="n">
        <x:f>IF(AJ806=0,0,(AJ806-IF(4=D806,1,0))*VLOOKUP(INDEX('章节与怪物'!$E$31:$K$37,B806,4),'章节与怪物'!$A$41:$F$44,4,FALSE)+IF(4=D806,'难度参数'!$E$30,0))</x:f>
        <x:v>1666</x:v>
      </x:c>
      <x:c r="AN806" s="119" t="n">
        <x:f>IF(5&gt;D806,0,MAX(2,MIN('难度参数'!$E$12,ROUND(('难度参数'!$E$18*POWER(A806,'难度参数'!$E$19)/D806*(0.85+0.3*(5-1)/MAX(1,D806-1))),0)+F806)))</x:f>
        <x:v>51</x:v>
      </x:c>
      <x:c r="AO806" s="119" t="n">
        <x:f>IF(5&gt;D806,0,ROUND(('难度参数'!$E$13*POWER(A806,'难度参数'!$E$20)*MIN('难度参数'!$E$23,1+MAX(0,A806-'难度参数'!$E$21)*'难度参数'!$E$22))*(36+5*7)/(36+7*(D806+1)/2)*E806,0))</x:f>
        <x:v>18435</x:v>
      </x:c>
      <x:c r="AP806" s="119" t="n">
        <x:f>IF(AN806=0,0,(AN806-IF(5=D806,1,0))*ROUND(AO806*VLOOKUP(INDEX('章节与怪物'!$E$31:$K$37,B806,5),'章节与怪物'!$A$41:$F$44,2,FALSE),0)+IF(5=D806,ROUND(AO806*'难度参数'!$E$28*'章节与怪物'!$E$17,0),0))</x:f>
        <x:v>940185</x:v>
      </x:c>
      <x:c r="AQ806" s="119" t="n">
        <x:f>IF(AN806=0,0,(AN806-IF(5=D806,1,0))*VLOOKUP(INDEX('章节与怪物'!$E$31:$K$37,B806,5),'章节与怪物'!$A$41:$F$44,4,FALSE)+IF(5=D806,'难度参数'!$E$30,0))</x:f>
        <x:v>918</x:v>
      </x:c>
      <x:c r="AR806" s="119" t="n">
        <x:f>IF(6&gt;D806,0,MAX(2,MIN('难度参数'!$E$12,ROUND(('难度参数'!$E$18*POWER(A806,'难度参数'!$E$19)/D806*(0.85+0.3*(6-1)/MAX(1,D806-1))),0)+F806)))</x:f>
        <x:v>54</x:v>
      </x:c>
      <x:c r="AS806" s="119" t="n">
        <x:f>IF(6&gt;D806,0,ROUND(('难度参数'!$E$13*POWER(A806,'难度参数'!$E$20)*MIN('难度参数'!$E$23,1+MAX(0,A806-'难度参数'!$E$21)*'难度参数'!$E$22))*(36+6*7)/(36+7*(D806+1)/2)*E806,0))</x:f>
        <x:v>20252</x:v>
      </x:c>
      <x:c r="AT806" s="119" t="n">
        <x:f>IF(AR806=0,0,(AR806-IF(6=D806,1,0))*ROUND(AS806*VLOOKUP(INDEX('章节与怪物'!$E$31:$K$37,B806,6),'章节与怪物'!$A$41:$F$44,2,FALSE),0)+IF(6=D806,ROUND(AS806*'难度参数'!$E$28*'章节与怪物'!$E$17,0),0))</x:f>
        <x:v>1859112</x:v>
      </x:c>
      <x:c r="AU806" s="119" t="n">
        <x:f>IF(AR806=0,0,(AR806-IF(6=D806,1,0))*VLOOKUP(INDEX('章节与怪物'!$E$31:$K$37,B806,6),'章节与怪物'!$A$41:$F$44,4,FALSE)+IF(6=D806,'难度参数'!$E$30,0))</x:f>
        <x:v>1512</x:v>
      </x:c>
      <x:c r="AV806" s="119" t="n">
        <x:f>IF(7&gt;D806,0,MAX(2,MIN('难度参数'!$E$12,ROUND(('难度参数'!$E$18*POWER(A806,'难度参数'!$E$19)/D806*(0.85+0.3*(7-1)/MAX(1,D806-1))),0)+F806)))</x:f>
        <x:v>56</x:v>
      </x:c>
      <x:c r="AW806" s="119" t="n">
        <x:f>IF(7&gt;D806,0,ROUND(('难度参数'!$E$13*POWER(A806,'难度参数'!$E$20)*MIN('难度参数'!$E$23,1+MAX(0,A806-'难度参数'!$E$21)*'难度参数'!$E$22))*(36+7*7)/(36+7*(D806+1)/2)*E806,0))</x:f>
        <x:v>22070</x:v>
      </x:c>
      <x:c r="AX806" s="119" t="n">
        <x:f>IF(AV806=0,0,(AV806-IF(7=D806,1,0))*ROUND(AW806*VLOOKUP(INDEX('章节与怪物'!$E$31:$K$37,B806,7),'章节与怪物'!$A$41:$F$44,2,FALSE),0)+IF(7=D806,ROUND(AW806*'难度参数'!$E$28*'章节与怪物'!$E$17,0),0))</x:f>
        <x:v>1788801</x:v>
      </x:c>
      <x:c r="AY806" s="119" t="n">
        <x:f>IF(AV806=0,0,(AV806-IF(7=D806,1,0))*VLOOKUP(INDEX('章节与怪物'!$E$31:$K$37,B806,7),'章节与怪物'!$A$41:$F$44,4,FALSE)+IF(7=D806,'难度参数'!$E$30,0))</x:f>
        <x:v>2070</x:v>
      </x:c>
    </x:row>
    <x:row r="807" ht="23" customHeight="1">
      <x:c r="A807" s="119" t="n">
        <x:v>801</x:v>
      </x:c>
      <x:c r="B807" s="119" t="n">
        <x:f>MOD(INT((A807-1)/5),7)+1</x:f>
        <x:v>7</x:v>
      </x:c>
      <x:c r="C807" s="62" t="str">
        <x:f>INDEX('章节与怪物'!$B$31:$B$37,B807)</x:f>
        <x:v>魔法山脊</x:v>
      </x:c>
      <x:c r="D807" s="119" t="n">
        <x:f>MIN('难度参数'!$E$8,MAX('难度参数'!$E$7,A807))</x:f>
        <x:v>7</x:v>
      </x:c>
      <x:c r="E807" s="106" t="n">
        <x:v>1</x:v>
      </x:c>
      <x:c r="F807" s="106" t="n">
        <x:v>0</x:v>
      </x:c>
      <x:c r="G807" s="106" t="n">
        <x:v>1</x:v>
      </x:c>
      <x:c r="H807" s="119" t="n">
        <x:f>SUM(X807,AB807,AF807,AJ807,AN807,AR807,AV807)</x:f>
        <x:v>342</x:v>
      </x:c>
      <x:c r="I807" s="119" t="n">
        <x:f>SUM(Z807,AD807,AH807,AL807,AP807,AT807,AX807)</x:f>
        <x:v>7468326</x:v>
      </x:c>
      <x:c r="J807" s="119" t="n">
        <x:f>ROUND(INDEX(X807:AY807,1,(D807-1)*4+2)*'难度参数'!$E$28*'章节与怪物'!$E$17,0)</x:f>
        <x:v>150212</x:v>
      </x:c>
      <x:c r="K807" s="119" t="n">
        <x:f>SUM(AA807,AE807,AI807,AM807,AQ807,AU807,AY807)</x:f>
        <x:v>9192</x:v>
      </x:c>
      <x:c r="L807" s="62" t="n">
        <x:f>H807*(ROUNDUP('难度参数'!$E$24/('难度参数'!$E$26*'难度参数'!$E$27),0)*'难度参数'!$E$26)/60</x:f>
        <x:v>4.5600000000000005</x:v>
      </x:c>
      <x:c r="M807" s="62" t="n">
        <x:f>L807+D807*('难度参数'!$E$49+'难度参数'!$E$50)/60</x:f>
        <x:v>5.7266666666666675</x:v>
      </x:c>
      <x:c r="N807" s="119" t="n">
        <x:f>ROUNDDOWN(('经济参数'!$E$20+A807*'经济参数'!$E$21)*G807,0)</x:f>
        <x:v>16200</x:v>
      </x:c>
      <x:c r="O807" s="119" t="n">
        <x:f>ROUNDDOWN(MIN('经济参数'!$E$24,'经济参数'!$E$22+A807*'经济参数'!$E$23)*G807,0)</x:f>
        <x:v>0</x:v>
      </x:c>
      <x:c r="P807" s="119" t="n">
        <x:f>ROUNDDOWN((IF(A807&gt;='材料与任务'!$E$31,'材料与任务'!$E$32,IF(A807&gt;='材料与任务'!$E$25,'材料与任务'!$E$26,IF(A807&gt;='材料与任务'!$E$19,'材料与任务'!$E$20,IF(A807&gt;='材料与任务'!$E$13,'材料与任务'!$E$14,'材料与任务'!$E$8)))))*G807,0)</x:f>
        <x:v>6</x:v>
      </x:c>
      <x:c r="Q807" s="119" t="n">
        <x:f>ROUNDDOWN((IF(A807&gt;='材料与任务'!$E$31,'材料与任务'!$E$33,IF(A807&gt;='材料与任务'!$E$25,'材料与任务'!$E$27,IF(A807&gt;='材料与任务'!$E$19,'材料与任务'!$E$21,IF(A807&gt;='材料与任务'!$E$13,'材料与任务'!$E$15,'材料与任务'!$E$9)))))*G807,0)</x:f>
        <x:v>3</x:v>
      </x:c>
      <x:c r="R807" s="110" t="n">
        <x:f>'装备掉落'!$B$38</x:f>
        <x:v>0.6872058758851213</x:v>
      </x:c>
      <x:c r="S807" s="119" t="n">
        <x:f>MAX(IF(VLOOKUP(A807,'装备掉落'!$A$29:$H$34,2,TRUE)&gt;0,1,0),IF(VLOOKUP(A807,'装备掉落'!$A$29:$H$34,3,TRUE)&gt;0,2,0),IF(VLOOKUP(A807,'装备掉落'!$A$29:$H$34,4,TRUE)&gt;0,3,0),IF(VLOOKUP(A807,'装备掉落'!$A$29:$H$34,5,TRUE)&gt;0,4,0),IF(VLOOKUP(A807,'装备掉落'!$A$29:$H$34,6,TRUE)&gt;0,5,0),IF(VLOOKUP(A807,'装备掉落'!$A$29:$H$34,7,TRUE)&gt;0,6,0),IF(VLOOKUP(A807,'装备掉落'!$A$29:$H$34,8,TRUE)&gt;0,7,0))</x:f>
        <x:v>7</x:v>
      </x:c>
      <x:c r="T807" s="119" t="n">
        <x:f>MIN(7,S807+'经济参数'!$E$70)</x:f>
        <x:v>7</x:v>
      </x:c>
      <x:c r="U807" s="119" t="n">
        <x:f>MIN(7,S807+'经济参数'!$E$71)</x:f>
        <x:v>7</x:v>
      </x:c>
      <x:c r="V807" s="119" t="n">
        <x:f>IF(H807&gt;=('难度参数'!$E$52),1,0)+IF(H807&gt;=('难度参数'!$E$52+'难度参数'!$E$53),1,0)+IF(H807&gt;=('难度参数'!$E$52+'难度参数'!$E$53+'难度参数'!$E$54),1,0)+IF(H807&gt;=('难度参数'!$E$52+'难度参数'!$E$53+'难度参数'!$E$54+'难度参数'!$E$55),1,0)+IF(H807&gt;=('难度参数'!$E$52+'难度参数'!$E$53+'难度参数'!$E$54+'难度参数'!$E$55+'难度参数'!$E$56),1,0)+IF(H807&gt;=('难度参数'!$E$52+'难度参数'!$E$53+'难度参数'!$E$54+'难度参数'!$E$55+'难度参数'!$E$56+'难度参数'!$E$57),1,0)</x:f>
        <x:v>6</x:v>
      </x:c>
      <x:c r="W807" s="62" t="str">
        <x:f>IF(L807&gt;'难度参数'!$E$51,"仅出怪已超目标","还需实测")</x:f>
        <x:v>仅出怪已超目标</x:v>
      </x:c>
      <x:c r="X807" s="119" t="n">
        <x:f>IF(1&gt;D807,0,MAX(2,MIN('难度参数'!$E$12,ROUND(('难度参数'!$E$18*POWER(A807,'难度参数'!$E$19)/D807*(0.85+0.3*(1-1)/MAX(1,D807-1))),0)+F807)))</x:f>
        <x:v>42</x:v>
      </x:c>
      <x:c r="Y807" s="119" t="n">
        <x:f>IF(1&gt;D807,0,ROUND(('难度参数'!$E$13*POWER(A807,'难度参数'!$E$20)*MIN('难度参数'!$E$23,1+MAX(0,A807-'难度参数'!$E$21)*'难度参数'!$E$22))*(36+1*7)/(36+7*(D807+1)/2)*E807,0))</x:f>
        <x:v>11175</x:v>
      </x:c>
      <x:c r="Z807" s="119" t="n">
        <x:f>IF(X807=0,0,(X807-IF(1=D807,1,0))*ROUND(Y807*VLOOKUP(INDEX('章节与怪物'!$E$31:$K$37,B807,1),'章节与怪物'!$A$41:$F$44,2,FALSE),0)+IF(1=D807,ROUND(Y807*'难度参数'!$E$28*'章节与怪物'!$E$17,0),0))</x:f>
        <x:v>469350</x:v>
      </x:c>
      <x:c r="AA807" s="119" t="n">
        <x:f>IF(X807=0,0,(X807-IF(1=D807,1,0))*VLOOKUP(INDEX('章节与怪物'!$E$31:$K$37,B807,1),'章节与怪物'!$A$41:$F$44,4,FALSE)+IF(1=D807,'难度参数'!$E$30,0))</x:f>
        <x:v>756</x:v>
      </x:c>
      <x:c r="AB807" s="119" t="n">
        <x:f>IF(2&gt;D807,0,MAX(2,MIN('难度参数'!$E$12,ROUND(('难度参数'!$E$18*POWER(A807,'难度参数'!$E$19)/D807*(0.85+0.3*(2-1)/MAX(1,D807-1))),0)+F807)))</x:f>
        <x:v>44</x:v>
      </x:c>
      <x:c r="AC807" s="119" t="n">
        <x:f>IF(2&gt;D807,0,ROUND(('难度参数'!$E$13*POWER(A807,'难度参数'!$E$20)*MIN('难度参数'!$E$23,1+MAX(0,A807-'难度参数'!$E$21)*'难度参数'!$E$22))*(36+2*7)/(36+7*(D807+1)/2)*E807,0))</x:f>
        <x:v>12994</x:v>
      </x:c>
      <x:c r="AD807" s="119" t="n">
        <x:f>IF(AB807=0,0,(AB807-IF(2=D807,1,0))*ROUND(AC807*VLOOKUP(INDEX('章节与怪物'!$E$31:$K$37,B807,2),'章节与怪物'!$A$41:$F$44,2,FALSE),0)+IF(2=D807,ROUND(AC807*'难度参数'!$E$28*'章节与怪物'!$E$17,0),0))</x:f>
        <x:v>411664</x:v>
      </x:c>
      <x:c r="AE807" s="119" t="n">
        <x:f>IF(AB807=0,0,(AB807-IF(2=D807,1,0))*VLOOKUP(INDEX('章节与怪物'!$E$31:$K$37,B807,2),'章节与怪物'!$A$41:$F$44,4,FALSE)+IF(2=D807,'难度参数'!$E$30,0))</x:f>
        <x:v>880</x:v>
      </x:c>
      <x:c r="AF807" s="119" t="n">
        <x:f>IF(3&gt;D807,0,MAX(2,MIN('难度参数'!$E$12,ROUND(('难度参数'!$E$18*POWER(A807,'难度参数'!$E$19)/D807*(0.85+0.3*(3-1)/MAX(1,D807-1))),0)+F807)))</x:f>
        <x:v>46</x:v>
      </x:c>
      <x:c r="AG807" s="119" t="n">
        <x:f>IF(3&gt;D807,0,ROUND(('难度参数'!$E$13*POWER(A807,'难度参数'!$E$20)*MIN('难度参数'!$E$23,1+MAX(0,A807-'难度参数'!$E$21)*'难度参数'!$E$22))*(36+3*7)/(36+7*(D807+1)/2)*E807,0))</x:f>
        <x:v>14813</x:v>
      </x:c>
      <x:c r="AH807" s="119" t="n">
        <x:f>IF(AF807=0,0,(AF807-IF(3=D807,1,0))*ROUND(AG807*VLOOKUP(INDEX('章节与怪物'!$E$31:$K$37,B807,3),'章节与怪物'!$A$41:$F$44,2,FALSE),0)+IF(3=D807,ROUND(AG807*'难度参数'!$E$28*'章节与怪物'!$E$17,0),0))</x:f>
        <x:v>1158372</x:v>
      </x:c>
      <x:c r="AI807" s="119" t="n">
        <x:f>IF(AF807=0,0,(AF807-IF(3=D807,1,0))*VLOOKUP(INDEX('章节与怪物'!$E$31:$K$37,B807,3),'章节与怪物'!$A$41:$F$44,4,FALSE)+IF(3=D807,'难度参数'!$E$30,0))</x:f>
        <x:v>1288</x:v>
      </x:c>
      <x:c r="AJ807" s="119" t="n">
        <x:f>IF(4&gt;D807,0,MAX(2,MIN('难度参数'!$E$12,ROUND(('难度参数'!$E$18*POWER(A807,'难度参数'!$E$19)/D807*(0.85+0.3*(4-1)/MAX(1,D807-1))),0)+F807)))</x:f>
        <x:v>49</x:v>
      </x:c>
      <x:c r="AK807" s="119" t="n">
        <x:f>IF(4&gt;D807,0,ROUND(('难度参数'!$E$13*POWER(A807,'难度参数'!$E$20)*MIN('难度参数'!$E$23,1+MAX(0,A807-'难度参数'!$E$21)*'难度参数'!$E$22))*(36+4*7)/(36+7*(D807+1)/2)*E807,0))</x:f>
        <x:v>16632</x:v>
      </x:c>
      <x:c r="AL807" s="119" t="n">
        <x:f>IF(AJ807=0,0,(AJ807-IF(4=D807,1,0))*ROUND(AK807*VLOOKUP(INDEX('章节与怪物'!$E$31:$K$37,B807,4),'章节与怪物'!$A$41:$F$44,2,FALSE),0)+IF(4=D807,ROUND(AK807*'难度参数'!$E$28*'章节与怪物'!$E$17,0),0))</x:f>
        <x:v>1100197</x:v>
      </x:c>
      <x:c r="AM807" s="119" t="n">
        <x:f>IF(AJ807=0,0,(AJ807-IF(4=D807,1,0))*VLOOKUP(INDEX('章节与怪物'!$E$31:$K$37,B807,4),'章节与怪物'!$A$41:$F$44,4,FALSE)+IF(4=D807,'难度参数'!$E$30,0))</x:f>
        <x:v>1666</x:v>
      </x:c>
      <x:c r="AN807" s="119" t="n">
        <x:f>IF(5&gt;D807,0,MAX(2,MIN('难度参数'!$E$12,ROUND(('难度参数'!$E$18*POWER(A807,'难度参数'!$E$19)/D807*(0.85+0.3*(5-1)/MAX(1,D807-1))),0)+F807)))</x:f>
        <x:v>51</x:v>
      </x:c>
      <x:c r="AO807" s="119" t="n">
        <x:f>IF(5&gt;D807,0,ROUND(('难度参数'!$E$13*POWER(A807,'难度参数'!$E$20)*MIN('难度参数'!$E$23,1+MAX(0,A807-'难度参数'!$E$21)*'难度参数'!$E$22))*(36+5*7)/(36+7*(D807+1)/2)*E807,0))</x:f>
        <x:v>18451</x:v>
      </x:c>
      <x:c r="AP807" s="119" t="n">
        <x:f>IF(AN807=0,0,(AN807-IF(5=D807,1,0))*ROUND(AO807*VLOOKUP(INDEX('章节与怪物'!$E$31:$K$37,B807,5),'章节与怪物'!$A$41:$F$44,2,FALSE),0)+IF(5=D807,ROUND(AO807*'难度参数'!$E$28*'章节与怪物'!$E$17,0),0))</x:f>
        <x:v>677535</x:v>
      </x:c>
      <x:c r="AQ807" s="119" t="n">
        <x:f>IF(AN807=0,0,(AN807-IF(5=D807,1,0))*VLOOKUP(INDEX('章节与怪物'!$E$31:$K$37,B807,5),'章节与怪物'!$A$41:$F$44,4,FALSE)+IF(5=D807,'难度参数'!$E$30,0))</x:f>
        <x:v>1020</x:v>
      </x:c>
      <x:c r="AR807" s="119" t="n">
        <x:f>IF(6&gt;D807,0,MAX(2,MIN('难度参数'!$E$12,ROUND(('难度参数'!$E$18*POWER(A807,'难度参数'!$E$19)/D807*(0.85+0.3*(6-1)/MAX(1,D807-1))),0)+F807)))</x:f>
        <x:v>54</x:v>
      </x:c>
      <x:c r="AS807" s="119" t="n">
        <x:f>IF(6&gt;D807,0,ROUND(('难度参数'!$E$13*POWER(A807,'难度参数'!$E$20)*MIN('难度参数'!$E$23,1+MAX(0,A807-'难度参数'!$E$21)*'难度参数'!$E$22))*(36+6*7)/(36+7*(D807+1)/2)*E807,0))</x:f>
        <x:v>20270</x:v>
      </x:c>
      <x:c r="AT807" s="119" t="n">
        <x:f>IF(AR807=0,0,(AR807-IF(6=D807,1,0))*ROUND(AS807*VLOOKUP(INDEX('章节与怪物'!$E$31:$K$37,B807,6),'章节与怪物'!$A$41:$F$44,2,FALSE),0)+IF(6=D807,ROUND(AS807*'难度参数'!$E$28*'章节与怪物'!$E$17,0),0))</x:f>
        <x:v>1860786</x:v>
      </x:c>
      <x:c r="AU807" s="119" t="n">
        <x:f>IF(AR807=0,0,(AR807-IF(6=D807,1,0))*VLOOKUP(INDEX('章节与怪物'!$E$31:$K$37,B807,6),'章节与怪物'!$A$41:$F$44,4,FALSE)+IF(6=D807,'难度参数'!$E$30,0))</x:f>
        <x:v>1512</x:v>
      </x:c>
      <x:c r="AV807" s="119" t="n">
        <x:f>IF(7&gt;D807,0,MAX(2,MIN('难度参数'!$E$12,ROUND(('难度参数'!$E$18*POWER(A807,'难度参数'!$E$19)/D807*(0.85+0.3*(7-1)/MAX(1,D807-1))),0)+F807)))</x:f>
        <x:v>56</x:v>
      </x:c>
      <x:c r="AW807" s="119" t="n">
        <x:f>IF(7&gt;D807,0,ROUND(('难度参数'!$E$13*POWER(A807,'难度参数'!$E$20)*MIN('难度参数'!$E$23,1+MAX(0,A807-'难度参数'!$E$21)*'难度参数'!$E$22))*(36+7*7)/(36+7*(D807+1)/2)*E807,0))</x:f>
        <x:v>22090</x:v>
      </x:c>
      <x:c r="AX807" s="119" t="n">
        <x:f>IF(AV807=0,0,(AV807-IF(7=D807,1,0))*ROUND(AW807*VLOOKUP(INDEX('章节与怪物'!$E$31:$K$37,B807,7),'章节与怪物'!$A$41:$F$44,2,FALSE),0)+IF(7=D807,ROUND(AW807*'难度参数'!$E$28*'章节与怪物'!$E$17,0),0))</x:f>
        <x:v>1790422</x:v>
      </x:c>
      <x:c r="AY807" s="119" t="n">
        <x:f>IF(AV807=0,0,(AV807-IF(7=D807,1,0))*VLOOKUP(INDEX('章节与怪物'!$E$31:$K$37,B807,7),'章节与怪物'!$A$41:$F$44,4,FALSE)+IF(7=D807,'难度参数'!$E$30,0))</x:f>
        <x:v>2070</x:v>
      </x:c>
    </x:row>
    <x:row r="808" ht="23" customHeight="1">
      <x:c r="A808" s="119" t="n">
        <x:v>802</x:v>
      </x:c>
      <x:c r="B808" s="119" t="n">
        <x:f>MOD(INT((A808-1)/5),7)+1</x:f>
        <x:v>7</x:v>
      </x:c>
      <x:c r="C808" s="62" t="str">
        <x:f>INDEX('章节与怪物'!$B$31:$B$37,B808)</x:f>
        <x:v>魔法山脊</x:v>
      </x:c>
      <x:c r="D808" s="119" t="n">
        <x:f>MIN('难度参数'!$E$8,MAX('难度参数'!$E$7,A808))</x:f>
        <x:v>7</x:v>
      </x:c>
      <x:c r="E808" s="106" t="n">
        <x:v>1</x:v>
      </x:c>
      <x:c r="F808" s="106" t="n">
        <x:v>0</x:v>
      </x:c>
      <x:c r="G808" s="106" t="n">
        <x:v>1</x:v>
      </x:c>
      <x:c r="H808" s="119" t="n">
        <x:f>SUM(X808,AB808,AF808,AJ808,AN808,AR808,AV808)</x:f>
        <x:v>343</x:v>
      </x:c>
      <x:c r="I808" s="119" t="n">
        <x:f>SUM(Z808,AD808,AH808,AL808,AP808,AT808,AX808)</x:f>
        <x:v>7500138</x:v>
      </x:c>
      <x:c r="J808" s="119" t="n">
        <x:f>ROUND(INDEX(X808:AY808,1,(D808-1)*4+2)*'难度参数'!$E$28*'章节与怪物'!$E$17,0)</x:f>
        <x:v>150341</x:v>
      </x:c>
      <x:c r="K808" s="119" t="n">
        <x:f>SUM(AA808,AE808,AI808,AM808,AQ808,AU808,AY808)</x:f>
        <x:v>9220</x:v>
      </x:c>
      <x:c r="L808" s="62" t="n">
        <x:f>H808*(ROUNDUP('难度参数'!$E$24/('难度参数'!$E$26*'难度参数'!$E$27),0)*'难度参数'!$E$26)/60</x:f>
        <x:v>4.573333333333334</x:v>
      </x:c>
      <x:c r="M808" s="62" t="n">
        <x:f>L808+D808*('难度参数'!$E$49+'难度参数'!$E$50)/60</x:f>
        <x:v>5.740000000000001</x:v>
      </x:c>
      <x:c r="N808" s="119" t="n">
        <x:f>ROUNDDOWN(('经济参数'!$E$20+A808*'经济参数'!$E$21)*G808,0)</x:f>
        <x:v>16220</x:v>
      </x:c>
      <x:c r="O808" s="119" t="n">
        <x:f>ROUNDDOWN(MIN('经济参数'!$E$24,'经济参数'!$E$22+A808*'经济参数'!$E$23)*G808,0)</x:f>
        <x:v>0</x:v>
      </x:c>
      <x:c r="P808" s="119" t="n">
        <x:f>ROUNDDOWN((IF(A808&gt;='材料与任务'!$E$31,'材料与任务'!$E$32,IF(A808&gt;='材料与任务'!$E$25,'材料与任务'!$E$26,IF(A808&gt;='材料与任务'!$E$19,'材料与任务'!$E$20,IF(A808&gt;='材料与任务'!$E$13,'材料与任务'!$E$14,'材料与任务'!$E$8)))))*G808,0)</x:f>
        <x:v>6</x:v>
      </x:c>
      <x:c r="Q808" s="119" t="n">
        <x:f>ROUNDDOWN((IF(A808&gt;='材料与任务'!$E$31,'材料与任务'!$E$33,IF(A808&gt;='材料与任务'!$E$25,'材料与任务'!$E$27,IF(A808&gt;='材料与任务'!$E$19,'材料与任务'!$E$21,IF(A808&gt;='材料与任务'!$E$13,'材料与任务'!$E$15,'材料与任务'!$E$9)))))*G808,0)</x:f>
        <x:v>3</x:v>
      </x:c>
      <x:c r="R808" s="110" t="n">
        <x:f>'装备掉落'!$B$38</x:f>
        <x:v>0.6872058758851213</x:v>
      </x:c>
      <x:c r="S808" s="119" t="n">
        <x:f>MAX(IF(VLOOKUP(A808,'装备掉落'!$A$29:$H$34,2,TRUE)&gt;0,1,0),IF(VLOOKUP(A808,'装备掉落'!$A$29:$H$34,3,TRUE)&gt;0,2,0),IF(VLOOKUP(A808,'装备掉落'!$A$29:$H$34,4,TRUE)&gt;0,3,0),IF(VLOOKUP(A808,'装备掉落'!$A$29:$H$34,5,TRUE)&gt;0,4,0),IF(VLOOKUP(A808,'装备掉落'!$A$29:$H$34,6,TRUE)&gt;0,5,0),IF(VLOOKUP(A808,'装备掉落'!$A$29:$H$34,7,TRUE)&gt;0,6,0),IF(VLOOKUP(A808,'装备掉落'!$A$29:$H$34,8,TRUE)&gt;0,7,0))</x:f>
        <x:v>7</x:v>
      </x:c>
      <x:c r="T808" s="119" t="n">
        <x:f>MIN(7,S808+'经济参数'!$E$70)</x:f>
        <x:v>7</x:v>
      </x:c>
      <x:c r="U808" s="119" t="n">
        <x:f>MIN(7,S808+'经济参数'!$E$71)</x:f>
        <x:v>7</x:v>
      </x:c>
      <x:c r="V808" s="119" t="n">
        <x:f>IF(H808&gt;=('难度参数'!$E$52),1,0)+IF(H808&gt;=('难度参数'!$E$52+'难度参数'!$E$53),1,0)+IF(H808&gt;=('难度参数'!$E$52+'难度参数'!$E$53+'难度参数'!$E$54),1,0)+IF(H808&gt;=('难度参数'!$E$52+'难度参数'!$E$53+'难度参数'!$E$54+'难度参数'!$E$55),1,0)+IF(H808&gt;=('难度参数'!$E$52+'难度参数'!$E$53+'难度参数'!$E$54+'难度参数'!$E$55+'难度参数'!$E$56),1,0)+IF(H808&gt;=('难度参数'!$E$52+'难度参数'!$E$53+'难度参数'!$E$54+'难度参数'!$E$55+'难度参数'!$E$56+'难度参数'!$E$57),1,0)</x:f>
        <x:v>6</x:v>
      </x:c>
      <x:c r="W808" s="62" t="str">
        <x:f>IF(L808&gt;'难度参数'!$E$51,"仅出怪已超目标","还需实测")</x:f>
        <x:v>仅出怪已超目标</x:v>
      </x:c>
      <x:c r="X808" s="119" t="n">
        <x:f>IF(1&gt;D808,0,MAX(2,MIN('难度参数'!$E$12,ROUND(('难度参数'!$E$18*POWER(A808,'难度参数'!$E$19)/D808*(0.85+0.3*(1-1)/MAX(1,D808-1))),0)+F808)))</x:f>
        <x:v>42</x:v>
      </x:c>
      <x:c r="Y808" s="119" t="n">
        <x:f>IF(1&gt;D808,0,ROUND(('难度参数'!$E$13*POWER(A808,'难度参数'!$E$20)*MIN('难度参数'!$E$23,1+MAX(0,A808-'难度参数'!$E$21)*'难度参数'!$E$22))*(36+1*7)/(36+7*(D808+1)/2)*E808,0))</x:f>
        <x:v>11185</x:v>
      </x:c>
      <x:c r="Z808" s="119" t="n">
        <x:f>IF(X808=0,0,(X808-IF(1=D808,1,0))*ROUND(Y808*VLOOKUP(INDEX('章节与怪物'!$E$31:$K$37,B808,1),'章节与怪物'!$A$41:$F$44,2,FALSE),0)+IF(1=D808,ROUND(Y808*'难度参数'!$E$28*'章节与怪物'!$E$17,0),0))</x:f>
        <x:v>469770</x:v>
      </x:c>
      <x:c r="AA808" s="119" t="n">
        <x:f>IF(X808=0,0,(X808-IF(1=D808,1,0))*VLOOKUP(INDEX('章节与怪物'!$E$31:$K$37,B808,1),'章节与怪物'!$A$41:$F$44,4,FALSE)+IF(1=D808,'难度参数'!$E$30,0))</x:f>
        <x:v>756</x:v>
      </x:c>
      <x:c r="AB808" s="119" t="n">
        <x:f>IF(2&gt;D808,0,MAX(2,MIN('难度参数'!$E$12,ROUND(('难度参数'!$E$18*POWER(A808,'难度参数'!$E$19)/D808*(0.85+0.3*(2-1)/MAX(1,D808-1))),0)+F808)))</x:f>
        <x:v>44</x:v>
      </x:c>
      <x:c r="AC808" s="119" t="n">
        <x:f>IF(2&gt;D808,0,ROUND(('难度参数'!$E$13*POWER(A808,'难度参数'!$E$20)*MIN('难度参数'!$E$23,1+MAX(0,A808-'难度参数'!$E$21)*'难度参数'!$E$22))*(36+2*7)/(36+7*(D808+1)/2)*E808,0))</x:f>
        <x:v>13006</x:v>
      </x:c>
      <x:c r="AD808" s="119" t="n">
        <x:f>IF(AB808=0,0,(AB808-IF(2=D808,1,0))*ROUND(AC808*VLOOKUP(INDEX('章节与怪物'!$E$31:$K$37,B808,2),'章节与怪物'!$A$41:$F$44,2,FALSE),0)+IF(2=D808,ROUND(AC808*'难度参数'!$E$28*'章节与怪物'!$E$17,0),0))</x:f>
        <x:v>412016</x:v>
      </x:c>
      <x:c r="AE808" s="119" t="n">
        <x:f>IF(AB808=0,0,(AB808-IF(2=D808,1,0))*VLOOKUP(INDEX('章节与怪物'!$E$31:$K$37,B808,2),'章节与怪物'!$A$41:$F$44,4,FALSE)+IF(2=D808,'难度参数'!$E$30,0))</x:f>
        <x:v>880</x:v>
      </x:c>
      <x:c r="AF808" s="119" t="n">
        <x:f>IF(3&gt;D808,0,MAX(2,MIN('难度参数'!$E$12,ROUND(('难度参数'!$E$18*POWER(A808,'难度参数'!$E$19)/D808*(0.85+0.3*(3-1)/MAX(1,D808-1))),0)+F808)))</x:f>
        <x:v>47</x:v>
      </x:c>
      <x:c r="AG808" s="119" t="n">
        <x:f>IF(3&gt;D808,0,ROUND(('难度参数'!$E$13*POWER(A808,'难度参数'!$E$20)*MIN('难度参数'!$E$23,1+MAX(0,A808-'难度参数'!$E$21)*'难度参数'!$E$22))*(36+3*7)/(36+7*(D808+1)/2)*E808,0))</x:f>
        <x:v>14826</x:v>
      </x:c>
      <x:c r="AH808" s="119" t="n">
        <x:f>IF(AF808=0,0,(AF808-IF(3=D808,1,0))*ROUND(AG808*VLOOKUP(INDEX('章节与怪物'!$E$31:$K$37,B808,3),'章节与怪物'!$A$41:$F$44,2,FALSE),0)+IF(3=D808,ROUND(AG808*'难度参数'!$E$28*'章节与怪物'!$E$17,0),0))</x:f>
        <x:v>1184588</x:v>
      </x:c>
      <x:c r="AI808" s="119" t="n">
        <x:f>IF(AF808=0,0,(AF808-IF(3=D808,1,0))*VLOOKUP(INDEX('章节与怪物'!$E$31:$K$37,B808,3),'章节与怪物'!$A$41:$F$44,4,FALSE)+IF(3=D808,'难度参数'!$E$30,0))</x:f>
        <x:v>1316</x:v>
      </x:c>
      <x:c r="AJ808" s="119" t="n">
        <x:f>IF(4&gt;D808,0,MAX(2,MIN('难度参数'!$E$12,ROUND(('难度参数'!$E$18*POWER(A808,'难度参数'!$E$19)/D808*(0.85+0.3*(4-1)/MAX(1,D808-1))),0)+F808)))</x:f>
        <x:v>49</x:v>
      </x:c>
      <x:c r="AK808" s="119" t="n">
        <x:f>IF(4&gt;D808,0,ROUND(('难度参数'!$E$13*POWER(A808,'难度参数'!$E$20)*MIN('难度参数'!$E$23,1+MAX(0,A808-'难度参数'!$E$21)*'难度参数'!$E$22))*(36+4*7)/(36+7*(D808+1)/2)*E808,0))</x:f>
        <x:v>16647</x:v>
      </x:c>
      <x:c r="AL808" s="119" t="n">
        <x:f>IF(AJ808=0,0,(AJ808-IF(4=D808,1,0))*ROUND(AK808*VLOOKUP(INDEX('章节与怪物'!$E$31:$K$37,B808,4),'章节与怪物'!$A$41:$F$44,2,FALSE),0)+IF(4=D808,ROUND(AK808*'难度参数'!$E$28*'章节与怪物'!$E$17,0),0))</x:f>
        <x:v>1101177</x:v>
      </x:c>
      <x:c r="AM808" s="119" t="n">
        <x:f>IF(AJ808=0,0,(AJ808-IF(4=D808,1,0))*VLOOKUP(INDEX('章节与怪物'!$E$31:$K$37,B808,4),'章节与怪物'!$A$41:$F$44,4,FALSE)+IF(4=D808,'难度参数'!$E$30,0))</x:f>
        <x:v>1666</x:v>
      </x:c>
      <x:c r="AN808" s="119" t="n">
        <x:f>IF(5&gt;D808,0,MAX(2,MIN('难度参数'!$E$12,ROUND(('难度参数'!$E$18*POWER(A808,'难度参数'!$E$19)/D808*(0.85+0.3*(5-1)/MAX(1,D808-1))),0)+F808)))</x:f>
        <x:v>51</x:v>
      </x:c>
      <x:c r="AO808" s="119" t="n">
        <x:f>IF(5&gt;D808,0,ROUND(('难度参数'!$E$13*POWER(A808,'难度参数'!$E$20)*MIN('难度参数'!$E$23,1+MAX(0,A808-'难度参数'!$E$21)*'难度参数'!$E$22))*(36+5*7)/(36+7*(D808+1)/2)*E808,0))</x:f>
        <x:v>18468</x:v>
      </x:c>
      <x:c r="AP808" s="119" t="n">
        <x:f>IF(AN808=0,0,(AN808-IF(5=D808,1,0))*ROUND(AO808*VLOOKUP(INDEX('章节与怪物'!$E$31:$K$37,B808,5),'章节与怪物'!$A$41:$F$44,2,FALSE),0)+IF(5=D808,ROUND(AO808*'难度参数'!$E$28*'章节与怪物'!$E$17,0),0))</x:f>
        <x:v>678147</x:v>
      </x:c>
      <x:c r="AQ808" s="119" t="n">
        <x:f>IF(AN808=0,0,(AN808-IF(5=D808,1,0))*VLOOKUP(INDEX('章节与怪物'!$E$31:$K$37,B808,5),'章节与怪物'!$A$41:$F$44,4,FALSE)+IF(5=D808,'难度参数'!$E$30,0))</x:f>
        <x:v>1020</x:v>
      </x:c>
      <x:c r="AR808" s="119" t="n">
        <x:f>IF(6&gt;D808,0,MAX(2,MIN('难度参数'!$E$12,ROUND(('难度参数'!$E$18*POWER(A808,'难度参数'!$E$19)/D808*(0.85+0.3*(6-1)/MAX(1,D808-1))),0)+F808)))</x:f>
        <x:v>54</x:v>
      </x:c>
      <x:c r="AS808" s="119" t="n">
        <x:f>IF(6&gt;D808,0,ROUND(('难度参数'!$E$13*POWER(A808,'难度参数'!$E$20)*MIN('难度参数'!$E$23,1+MAX(0,A808-'难度参数'!$E$21)*'难度参数'!$E$22))*(36+6*7)/(36+7*(D808+1)/2)*E808,0))</x:f>
        <x:v>20289</x:v>
      </x:c>
      <x:c r="AT808" s="119" t="n">
        <x:f>IF(AR808=0,0,(AR808-IF(6=D808,1,0))*ROUND(AS808*VLOOKUP(INDEX('章节与怪物'!$E$31:$K$37,B808,6),'章节与怪物'!$A$41:$F$44,2,FALSE),0)+IF(6=D808,ROUND(AS808*'难度参数'!$E$28*'章节与怪物'!$E$17,0),0))</x:f>
        <x:v>1862514</x:v>
      </x:c>
      <x:c r="AU808" s="119" t="n">
        <x:f>IF(AR808=0,0,(AR808-IF(6=D808,1,0))*VLOOKUP(INDEX('章节与怪物'!$E$31:$K$37,B808,6),'章节与怪物'!$A$41:$F$44,4,FALSE)+IF(6=D808,'难度参数'!$E$30,0))</x:f>
        <x:v>1512</x:v>
      </x:c>
      <x:c r="AV808" s="119" t="n">
        <x:f>IF(7&gt;D808,0,MAX(2,MIN('难度参数'!$E$12,ROUND(('难度参数'!$E$18*POWER(A808,'难度参数'!$E$19)/D808*(0.85+0.3*(7-1)/MAX(1,D808-1))),0)+F808)))</x:f>
        <x:v>56</x:v>
      </x:c>
      <x:c r="AW808" s="119" t="n">
        <x:f>IF(7&gt;D808,0,ROUND(('难度参数'!$E$13*POWER(A808,'难度参数'!$E$20)*MIN('难度参数'!$E$23,1+MAX(0,A808-'难度参数'!$E$21)*'难度参数'!$E$22))*(36+7*7)/(36+7*(D808+1)/2)*E808,0))</x:f>
        <x:v>22109</x:v>
      </x:c>
      <x:c r="AX808" s="119" t="n">
        <x:f>IF(AV808=0,0,(AV808-IF(7=D808,1,0))*ROUND(AW808*VLOOKUP(INDEX('章节与怪物'!$E$31:$K$37,B808,7),'章节与怪物'!$A$41:$F$44,2,FALSE),0)+IF(7=D808,ROUND(AW808*'难度参数'!$E$28*'章节与怪物'!$E$17,0),0))</x:f>
        <x:v>1791926</x:v>
      </x:c>
      <x:c r="AY808" s="119" t="n">
        <x:f>IF(AV808=0,0,(AV808-IF(7=D808,1,0))*VLOOKUP(INDEX('章节与怪物'!$E$31:$K$37,B808,7),'章节与怪物'!$A$41:$F$44,4,FALSE)+IF(7=D808,'难度参数'!$E$30,0))</x:f>
        <x:v>2070</x:v>
      </x:c>
    </x:row>
    <x:row r="809" ht="23" customHeight="1">
      <x:c r="A809" s="119" t="n">
        <x:v>803</x:v>
      </x:c>
      <x:c r="B809" s="119" t="n">
        <x:f>MOD(INT((A809-1)/5),7)+1</x:f>
        <x:v>7</x:v>
      </x:c>
      <x:c r="C809" s="62" t="str">
        <x:f>INDEX('章节与怪物'!$B$31:$B$37,B809)</x:f>
        <x:v>魔法山脊</x:v>
      </x:c>
      <x:c r="D809" s="119" t="n">
        <x:f>MIN('难度参数'!$E$8,MAX('难度参数'!$E$7,A809))</x:f>
        <x:v>7</x:v>
      </x:c>
      <x:c r="E809" s="106" t="n">
        <x:v>1</x:v>
      </x:c>
      <x:c r="F809" s="106" t="n">
        <x:v>0</x:v>
      </x:c>
      <x:c r="G809" s="106" t="n">
        <x:v>1</x:v>
      </x:c>
      <x:c r="H809" s="119" t="n">
        <x:f>SUM(X809,AB809,AF809,AJ809,AN809,AR809,AV809)</x:f>
        <x:v>343</x:v>
      </x:c>
      <x:c r="I809" s="119" t="n">
        <x:f>SUM(Z809,AD809,AH809,AL809,AP809,AT809,AX809)</x:f>
        <x:v>7506923</x:v>
      </x:c>
      <x:c r="J809" s="119" t="n">
        <x:f>ROUND(INDEX(X809:AY809,1,(D809-1)*4+2)*'难度参数'!$E$28*'章节与怪物'!$E$17,0)</x:f>
        <x:v>150477</x:v>
      </x:c>
      <x:c r="K809" s="119" t="n">
        <x:f>SUM(AA809,AE809,AI809,AM809,AQ809,AU809,AY809)</x:f>
        <x:v>9220</x:v>
      </x:c>
      <x:c r="L809" s="62" t="n">
        <x:f>H809*(ROUNDUP('难度参数'!$E$24/('难度参数'!$E$26*'难度参数'!$E$27),0)*'难度参数'!$E$26)/60</x:f>
        <x:v>4.573333333333334</x:v>
      </x:c>
      <x:c r="M809" s="62" t="n">
        <x:f>L809+D809*('难度参数'!$E$49+'难度参数'!$E$50)/60</x:f>
        <x:v>5.740000000000001</x:v>
      </x:c>
      <x:c r="N809" s="119" t="n">
        <x:f>ROUNDDOWN(('经济参数'!$E$20+A809*'经济参数'!$E$21)*G809,0)</x:f>
        <x:v>16240</x:v>
      </x:c>
      <x:c r="O809" s="119" t="n">
        <x:f>ROUNDDOWN(MIN('经济参数'!$E$24,'经济参数'!$E$22+A809*'经济参数'!$E$23)*G809,0)</x:f>
        <x:v>0</x:v>
      </x:c>
      <x:c r="P809" s="119" t="n">
        <x:f>ROUNDDOWN((IF(A809&gt;='材料与任务'!$E$31,'材料与任务'!$E$32,IF(A809&gt;='材料与任务'!$E$25,'材料与任务'!$E$26,IF(A809&gt;='材料与任务'!$E$19,'材料与任务'!$E$20,IF(A809&gt;='材料与任务'!$E$13,'材料与任务'!$E$14,'材料与任务'!$E$8)))))*G809,0)</x:f>
        <x:v>6</x:v>
      </x:c>
      <x:c r="Q809" s="119" t="n">
        <x:f>ROUNDDOWN((IF(A809&gt;='材料与任务'!$E$31,'材料与任务'!$E$33,IF(A809&gt;='材料与任务'!$E$25,'材料与任务'!$E$27,IF(A809&gt;='材料与任务'!$E$19,'材料与任务'!$E$21,IF(A809&gt;='材料与任务'!$E$13,'材料与任务'!$E$15,'材料与任务'!$E$9)))))*G809,0)</x:f>
        <x:v>3</x:v>
      </x:c>
      <x:c r="R809" s="110" t="n">
        <x:f>'装备掉落'!$B$38</x:f>
        <x:v>0.6872058758851213</x:v>
      </x:c>
      <x:c r="S809" s="119" t="n">
        <x:f>MAX(IF(VLOOKUP(A809,'装备掉落'!$A$29:$H$34,2,TRUE)&gt;0,1,0),IF(VLOOKUP(A809,'装备掉落'!$A$29:$H$34,3,TRUE)&gt;0,2,0),IF(VLOOKUP(A809,'装备掉落'!$A$29:$H$34,4,TRUE)&gt;0,3,0),IF(VLOOKUP(A809,'装备掉落'!$A$29:$H$34,5,TRUE)&gt;0,4,0),IF(VLOOKUP(A809,'装备掉落'!$A$29:$H$34,6,TRUE)&gt;0,5,0),IF(VLOOKUP(A809,'装备掉落'!$A$29:$H$34,7,TRUE)&gt;0,6,0),IF(VLOOKUP(A809,'装备掉落'!$A$29:$H$34,8,TRUE)&gt;0,7,0))</x:f>
        <x:v>7</x:v>
      </x:c>
      <x:c r="T809" s="119" t="n">
        <x:f>MIN(7,S809+'经济参数'!$E$70)</x:f>
        <x:v>7</x:v>
      </x:c>
      <x:c r="U809" s="119" t="n">
        <x:f>MIN(7,S809+'经济参数'!$E$71)</x:f>
        <x:v>7</x:v>
      </x:c>
      <x:c r="V809" s="119" t="n">
        <x:f>IF(H809&gt;=('难度参数'!$E$52),1,0)+IF(H809&gt;=('难度参数'!$E$52+'难度参数'!$E$53),1,0)+IF(H809&gt;=('难度参数'!$E$52+'难度参数'!$E$53+'难度参数'!$E$54),1,0)+IF(H809&gt;=('难度参数'!$E$52+'难度参数'!$E$53+'难度参数'!$E$54+'难度参数'!$E$55),1,0)+IF(H809&gt;=('难度参数'!$E$52+'难度参数'!$E$53+'难度参数'!$E$54+'难度参数'!$E$55+'难度参数'!$E$56),1,0)+IF(H809&gt;=('难度参数'!$E$52+'难度参数'!$E$53+'难度参数'!$E$54+'难度参数'!$E$55+'难度参数'!$E$56+'难度参数'!$E$57),1,0)</x:f>
        <x:v>6</x:v>
      </x:c>
      <x:c r="W809" s="62" t="str">
        <x:f>IF(L809&gt;'难度参数'!$E$51,"仅出怪已超目标","还需实测")</x:f>
        <x:v>仅出怪已超目标</x:v>
      </x:c>
      <x:c r="X809" s="119" t="n">
        <x:f>IF(1&gt;D809,0,MAX(2,MIN('难度参数'!$E$12,ROUND(('难度参数'!$E$18*POWER(A809,'难度参数'!$E$19)/D809*(0.85+0.3*(1-1)/MAX(1,D809-1))),0)+F809)))</x:f>
        <x:v>42</x:v>
      </x:c>
      <x:c r="Y809" s="119" t="n">
        <x:f>IF(1&gt;D809,0,ROUND(('难度参数'!$E$13*POWER(A809,'难度参数'!$E$20)*MIN('难度参数'!$E$23,1+MAX(0,A809-'难度参数'!$E$21)*'难度参数'!$E$22))*(36+1*7)/(36+7*(D809+1)/2)*E809,0))</x:f>
        <x:v>11195</x:v>
      </x:c>
      <x:c r="Z809" s="119" t="n">
        <x:f>IF(X809=0,0,(X809-IF(1=D809,1,0))*ROUND(Y809*VLOOKUP(INDEX('章节与怪物'!$E$31:$K$37,B809,1),'章节与怪物'!$A$41:$F$44,2,FALSE),0)+IF(1=D809,ROUND(Y809*'难度参数'!$E$28*'章节与怪物'!$E$17,0),0))</x:f>
        <x:v>470190</x:v>
      </x:c>
      <x:c r="AA809" s="119" t="n">
        <x:f>IF(X809=0,0,(X809-IF(1=D809,1,0))*VLOOKUP(INDEX('章节与怪物'!$E$31:$K$37,B809,1),'章节与怪物'!$A$41:$F$44,4,FALSE)+IF(1=D809,'难度参数'!$E$30,0))</x:f>
        <x:v>756</x:v>
      </x:c>
      <x:c r="AB809" s="119" t="n">
        <x:f>IF(2&gt;D809,0,MAX(2,MIN('难度参数'!$E$12,ROUND(('难度参数'!$E$18*POWER(A809,'难度参数'!$E$19)/D809*(0.85+0.3*(2-1)/MAX(1,D809-1))),0)+F809)))</x:f>
        <x:v>44</x:v>
      </x:c>
      <x:c r="AC809" s="119" t="n">
        <x:f>IF(2&gt;D809,0,ROUND(('难度参数'!$E$13*POWER(A809,'难度参数'!$E$20)*MIN('难度参数'!$E$23,1+MAX(0,A809-'难度参数'!$E$21)*'难度参数'!$E$22))*(36+2*7)/(36+7*(D809+1)/2)*E809,0))</x:f>
        <x:v>13017</x:v>
      </x:c>
      <x:c r="AD809" s="119" t="n">
        <x:f>IF(AB809=0,0,(AB809-IF(2=D809,1,0))*ROUND(AC809*VLOOKUP(INDEX('章节与怪物'!$E$31:$K$37,B809,2),'章节与怪物'!$A$41:$F$44,2,FALSE),0)+IF(2=D809,ROUND(AC809*'难度参数'!$E$28*'章节与怪物'!$E$17,0),0))</x:f>
        <x:v>412368</x:v>
      </x:c>
      <x:c r="AE809" s="119" t="n">
        <x:f>IF(AB809=0,0,(AB809-IF(2=D809,1,0))*VLOOKUP(INDEX('章节与怪物'!$E$31:$K$37,B809,2),'章节与怪物'!$A$41:$F$44,4,FALSE)+IF(2=D809,'难度参数'!$E$30,0))</x:f>
        <x:v>880</x:v>
      </x:c>
      <x:c r="AF809" s="119" t="n">
        <x:f>IF(3&gt;D809,0,MAX(2,MIN('难度参数'!$E$12,ROUND(('难度参数'!$E$18*POWER(A809,'难度参数'!$E$19)/D809*(0.85+0.3*(3-1)/MAX(1,D809-1))),0)+F809)))</x:f>
        <x:v>47</x:v>
      </x:c>
      <x:c r="AG809" s="119" t="n">
        <x:f>IF(3&gt;D809,0,ROUND(('难度参数'!$E$13*POWER(A809,'难度参数'!$E$20)*MIN('难度参数'!$E$23,1+MAX(0,A809-'难度参数'!$E$21)*'难度参数'!$E$22))*(36+3*7)/(36+7*(D809+1)/2)*E809,0))</x:f>
        <x:v>14840</x:v>
      </x:c>
      <x:c r="AH809" s="119" t="n">
        <x:f>IF(AF809=0,0,(AF809-IF(3=D809,1,0))*ROUND(AG809*VLOOKUP(INDEX('章节与怪物'!$E$31:$K$37,B809,3),'章节与怪物'!$A$41:$F$44,2,FALSE),0)+IF(3=D809,ROUND(AG809*'难度参数'!$E$28*'章节与怪物'!$E$17,0),0))</x:f>
        <x:v>1185716</x:v>
      </x:c>
      <x:c r="AI809" s="119" t="n">
        <x:f>IF(AF809=0,0,(AF809-IF(3=D809,1,0))*VLOOKUP(INDEX('章节与怪物'!$E$31:$K$37,B809,3),'章节与怪物'!$A$41:$F$44,4,FALSE)+IF(3=D809,'难度参数'!$E$30,0))</x:f>
        <x:v>1316</x:v>
      </x:c>
      <x:c r="AJ809" s="119" t="n">
        <x:f>IF(4&gt;D809,0,MAX(2,MIN('难度参数'!$E$12,ROUND(('难度参数'!$E$18*POWER(A809,'难度参数'!$E$19)/D809*(0.85+0.3*(4-1)/MAX(1,D809-1))),0)+F809)))</x:f>
        <x:v>49</x:v>
      </x:c>
      <x:c r="AK809" s="119" t="n">
        <x:f>IF(4&gt;D809,0,ROUND(('难度参数'!$E$13*POWER(A809,'难度参数'!$E$20)*MIN('难度参数'!$E$23,1+MAX(0,A809-'难度参数'!$E$21)*'难度参数'!$E$22))*(36+4*7)/(36+7*(D809+1)/2)*E809,0))</x:f>
        <x:v>16662</x:v>
      </x:c>
      <x:c r="AL809" s="119" t="n">
        <x:f>IF(AJ809=0,0,(AJ809-IF(4=D809,1,0))*ROUND(AK809*VLOOKUP(INDEX('章节与怪物'!$E$31:$K$37,B809,4),'章节与怪物'!$A$41:$F$44,2,FALSE),0)+IF(4=D809,ROUND(AK809*'难度参数'!$E$28*'章节与怪物'!$E$17,0),0))</x:f>
        <x:v>1102206</x:v>
      </x:c>
      <x:c r="AM809" s="119" t="n">
        <x:f>IF(AJ809=0,0,(AJ809-IF(4=D809,1,0))*VLOOKUP(INDEX('章节与怪物'!$E$31:$K$37,B809,4),'章节与怪物'!$A$41:$F$44,4,FALSE)+IF(4=D809,'难度参数'!$E$30,0))</x:f>
        <x:v>1666</x:v>
      </x:c>
      <x:c r="AN809" s="119" t="n">
        <x:f>IF(5&gt;D809,0,MAX(2,MIN('难度参数'!$E$12,ROUND(('难度参数'!$E$18*POWER(A809,'难度参数'!$E$19)/D809*(0.85+0.3*(5-1)/MAX(1,D809-1))),0)+F809)))</x:f>
        <x:v>51</x:v>
      </x:c>
      <x:c r="AO809" s="119" t="n">
        <x:f>IF(5&gt;D809,0,ROUND(('难度参数'!$E$13*POWER(A809,'难度参数'!$E$20)*MIN('难度参数'!$E$23,1+MAX(0,A809-'难度参数'!$E$21)*'难度参数'!$E$22))*(36+5*7)/(36+7*(D809+1)/2)*E809,0))</x:f>
        <x:v>18484</x:v>
      </x:c>
      <x:c r="AP809" s="119" t="n">
        <x:f>IF(AN809=0,0,(AN809-IF(5=D809,1,0))*ROUND(AO809*VLOOKUP(INDEX('章节与怪物'!$E$31:$K$37,B809,5),'章节与怪物'!$A$41:$F$44,2,FALSE),0)+IF(5=D809,ROUND(AO809*'难度参数'!$E$28*'章节与怪物'!$E$17,0),0))</x:f>
        <x:v>678708</x:v>
      </x:c>
      <x:c r="AQ809" s="119" t="n">
        <x:f>IF(AN809=0,0,(AN809-IF(5=D809,1,0))*VLOOKUP(INDEX('章节与怪物'!$E$31:$K$37,B809,5),'章节与怪物'!$A$41:$F$44,4,FALSE)+IF(5=D809,'难度参数'!$E$30,0))</x:f>
        <x:v>1020</x:v>
      </x:c>
      <x:c r="AR809" s="119" t="n">
        <x:f>IF(6&gt;D809,0,MAX(2,MIN('难度参数'!$E$12,ROUND(('难度参数'!$E$18*POWER(A809,'难度参数'!$E$19)/D809*(0.85+0.3*(6-1)/MAX(1,D809-1))),0)+F809)))</x:f>
        <x:v>54</x:v>
      </x:c>
      <x:c r="AS809" s="119" t="n">
        <x:f>IF(6&gt;D809,0,ROUND(('难度参数'!$E$13*POWER(A809,'难度参数'!$E$20)*MIN('难度参数'!$E$23,1+MAX(0,A809-'难度参数'!$E$21)*'难度参数'!$E$22))*(36+6*7)/(36+7*(D809+1)/2)*E809,0))</x:f>
        <x:v>20307</x:v>
      </x:c>
      <x:c r="AT809" s="119" t="n">
        <x:f>IF(AR809=0,0,(AR809-IF(6=D809,1,0))*ROUND(AS809*VLOOKUP(INDEX('章节与怪物'!$E$31:$K$37,B809,6),'章节与怪物'!$A$41:$F$44,2,FALSE),0)+IF(6=D809,ROUND(AS809*'难度参数'!$E$28*'章节与怪物'!$E$17,0),0))</x:f>
        <x:v>1864188</x:v>
      </x:c>
      <x:c r="AU809" s="119" t="n">
        <x:f>IF(AR809=0,0,(AR809-IF(6=D809,1,0))*VLOOKUP(INDEX('章节与怪物'!$E$31:$K$37,B809,6),'章节与怪物'!$A$41:$F$44,4,FALSE)+IF(6=D809,'难度参数'!$E$30,0))</x:f>
        <x:v>1512</x:v>
      </x:c>
      <x:c r="AV809" s="119" t="n">
        <x:f>IF(7&gt;D809,0,MAX(2,MIN('难度参数'!$E$12,ROUND(('难度参数'!$E$18*POWER(A809,'难度参数'!$E$19)/D809*(0.85+0.3*(7-1)/MAX(1,D809-1))),0)+F809)))</x:f>
        <x:v>56</x:v>
      </x:c>
      <x:c r="AW809" s="119" t="n">
        <x:f>IF(7&gt;D809,0,ROUND(('难度参数'!$E$13*POWER(A809,'难度参数'!$E$20)*MIN('难度参数'!$E$23,1+MAX(0,A809-'难度参数'!$E$21)*'难度参数'!$E$22))*(36+7*7)/(36+7*(D809+1)/2)*E809,0))</x:f>
        <x:v>22129</x:v>
      </x:c>
      <x:c r="AX809" s="119" t="n">
        <x:f>IF(AV809=0,0,(AV809-IF(7=D809,1,0))*ROUND(AW809*VLOOKUP(INDEX('章节与怪物'!$E$31:$K$37,B809,7),'章节与怪物'!$A$41:$F$44,2,FALSE),0)+IF(7=D809,ROUND(AW809*'难度参数'!$E$28*'章节与怪物'!$E$17,0),0))</x:f>
        <x:v>1793547</x:v>
      </x:c>
      <x:c r="AY809" s="119" t="n">
        <x:f>IF(AV809=0,0,(AV809-IF(7=D809,1,0))*VLOOKUP(INDEX('章节与怪物'!$E$31:$K$37,B809,7),'章节与怪物'!$A$41:$F$44,4,FALSE)+IF(7=D809,'难度参数'!$E$30,0))</x:f>
        <x:v>2070</x:v>
      </x:c>
    </x:row>
    <x:row r="810" ht="23" customHeight="1">
      <x:c r="A810" s="119" t="n">
        <x:v>804</x:v>
      </x:c>
      <x:c r="B810" s="119" t="n">
        <x:f>MOD(INT((A810-1)/5),7)+1</x:f>
        <x:v>7</x:v>
      </x:c>
      <x:c r="C810" s="62" t="str">
        <x:f>INDEX('章节与怪物'!$B$31:$B$37,B810)</x:f>
        <x:v>魔法山脊</x:v>
      </x:c>
      <x:c r="D810" s="119" t="n">
        <x:f>MIN('难度参数'!$E$8,MAX('难度参数'!$E$7,A810))</x:f>
        <x:v>7</x:v>
      </x:c>
      <x:c r="E810" s="106" t="n">
        <x:v>1</x:v>
      </x:c>
      <x:c r="F810" s="106" t="n">
        <x:v>0</x:v>
      </x:c>
      <x:c r="G810" s="106" t="n">
        <x:v>1</x:v>
      </x:c>
      <x:c r="H810" s="119" t="n">
        <x:f>SUM(X810,AB810,AF810,AJ810,AN810,AR810,AV810)</x:f>
        <x:v>343</x:v>
      </x:c>
      <x:c r="I810" s="119" t="n">
        <x:f>SUM(Z810,AD810,AH810,AL810,AP810,AT810,AX810)</x:f>
        <x:v>7513711</x:v>
      </x:c>
      <x:c r="J810" s="119" t="n">
        <x:f>ROUND(INDEX(X810:AY810,1,(D810-1)*4+2)*'难度参数'!$E$28*'章节与怪物'!$E$17,0)</x:f>
        <x:v>150613</x:v>
      </x:c>
      <x:c r="K810" s="119" t="n">
        <x:f>SUM(AA810,AE810,AI810,AM810,AQ810,AU810,AY810)</x:f>
        <x:v>9220</x:v>
      </x:c>
      <x:c r="L810" s="62" t="n">
        <x:f>H810*(ROUNDUP('难度参数'!$E$24/('难度参数'!$E$26*'难度参数'!$E$27),0)*'难度参数'!$E$26)/60</x:f>
        <x:v>4.573333333333334</x:v>
      </x:c>
      <x:c r="M810" s="62" t="n">
        <x:f>L810+D810*('难度参数'!$E$49+'难度参数'!$E$50)/60</x:f>
        <x:v>5.740000000000001</x:v>
      </x:c>
      <x:c r="N810" s="119" t="n">
        <x:f>ROUNDDOWN(('经济参数'!$E$20+A810*'经济参数'!$E$21)*G810,0)</x:f>
        <x:v>16260</x:v>
      </x:c>
      <x:c r="O810" s="119" t="n">
        <x:f>ROUNDDOWN(MIN('经济参数'!$E$24,'经济参数'!$E$22+A810*'经济参数'!$E$23)*G810,0)</x:f>
        <x:v>0</x:v>
      </x:c>
      <x:c r="P810" s="119" t="n">
        <x:f>ROUNDDOWN((IF(A810&gt;='材料与任务'!$E$31,'材料与任务'!$E$32,IF(A810&gt;='材料与任务'!$E$25,'材料与任务'!$E$26,IF(A810&gt;='材料与任务'!$E$19,'材料与任务'!$E$20,IF(A810&gt;='材料与任务'!$E$13,'材料与任务'!$E$14,'材料与任务'!$E$8)))))*G810,0)</x:f>
        <x:v>6</x:v>
      </x:c>
      <x:c r="Q810" s="119" t="n">
        <x:f>ROUNDDOWN((IF(A810&gt;='材料与任务'!$E$31,'材料与任务'!$E$33,IF(A810&gt;='材料与任务'!$E$25,'材料与任务'!$E$27,IF(A810&gt;='材料与任务'!$E$19,'材料与任务'!$E$21,IF(A810&gt;='材料与任务'!$E$13,'材料与任务'!$E$15,'材料与任务'!$E$9)))))*G810,0)</x:f>
        <x:v>3</x:v>
      </x:c>
      <x:c r="R810" s="110" t="n">
        <x:f>'装备掉落'!$B$38</x:f>
        <x:v>0.6872058758851213</x:v>
      </x:c>
      <x:c r="S810" s="119" t="n">
        <x:f>MAX(IF(VLOOKUP(A810,'装备掉落'!$A$29:$H$34,2,TRUE)&gt;0,1,0),IF(VLOOKUP(A810,'装备掉落'!$A$29:$H$34,3,TRUE)&gt;0,2,0),IF(VLOOKUP(A810,'装备掉落'!$A$29:$H$34,4,TRUE)&gt;0,3,0),IF(VLOOKUP(A810,'装备掉落'!$A$29:$H$34,5,TRUE)&gt;0,4,0),IF(VLOOKUP(A810,'装备掉落'!$A$29:$H$34,6,TRUE)&gt;0,5,0),IF(VLOOKUP(A810,'装备掉落'!$A$29:$H$34,7,TRUE)&gt;0,6,0),IF(VLOOKUP(A810,'装备掉落'!$A$29:$H$34,8,TRUE)&gt;0,7,0))</x:f>
        <x:v>7</x:v>
      </x:c>
      <x:c r="T810" s="119" t="n">
        <x:f>MIN(7,S810+'经济参数'!$E$70)</x:f>
        <x:v>7</x:v>
      </x:c>
      <x:c r="U810" s="119" t="n">
        <x:f>MIN(7,S810+'经济参数'!$E$71)</x:f>
        <x:v>7</x:v>
      </x:c>
      <x:c r="V810" s="119" t="n">
        <x:f>IF(H810&gt;=('难度参数'!$E$52),1,0)+IF(H810&gt;=('难度参数'!$E$52+'难度参数'!$E$53),1,0)+IF(H810&gt;=('难度参数'!$E$52+'难度参数'!$E$53+'难度参数'!$E$54),1,0)+IF(H810&gt;=('难度参数'!$E$52+'难度参数'!$E$53+'难度参数'!$E$54+'难度参数'!$E$55),1,0)+IF(H810&gt;=('难度参数'!$E$52+'难度参数'!$E$53+'难度参数'!$E$54+'难度参数'!$E$55+'难度参数'!$E$56),1,0)+IF(H810&gt;=('难度参数'!$E$52+'难度参数'!$E$53+'难度参数'!$E$54+'难度参数'!$E$55+'难度参数'!$E$56+'难度参数'!$E$57),1,0)</x:f>
        <x:v>6</x:v>
      </x:c>
      <x:c r="W810" s="62" t="str">
        <x:f>IF(L810&gt;'难度参数'!$E$51,"仅出怪已超目标","还需实测")</x:f>
        <x:v>仅出怪已超目标</x:v>
      </x:c>
      <x:c r="X810" s="119" t="n">
        <x:f>IF(1&gt;D810,0,MAX(2,MIN('难度参数'!$E$12,ROUND(('难度参数'!$E$18*POWER(A810,'难度参数'!$E$19)/D810*(0.85+0.3*(1-1)/MAX(1,D810-1))),0)+F810)))</x:f>
        <x:v>42</x:v>
      </x:c>
      <x:c r="Y810" s="119" t="n">
        <x:f>IF(1&gt;D810,0,ROUND(('难度参数'!$E$13*POWER(A810,'难度参数'!$E$20)*MIN('难度参数'!$E$23,1+MAX(0,A810-'难度参数'!$E$21)*'难度参数'!$E$22))*(36+1*7)/(36+7*(D810+1)/2)*E810,0))</x:f>
        <x:v>11205</x:v>
      </x:c>
      <x:c r="Z810" s="119" t="n">
        <x:f>IF(X810=0,0,(X810-IF(1=D810,1,0))*ROUND(Y810*VLOOKUP(INDEX('章节与怪物'!$E$31:$K$37,B810,1),'章节与怪物'!$A$41:$F$44,2,FALSE),0)+IF(1=D810,ROUND(Y810*'难度参数'!$E$28*'章节与怪物'!$E$17,0),0))</x:f>
        <x:v>470610</x:v>
      </x:c>
      <x:c r="AA810" s="119" t="n">
        <x:f>IF(X810=0,0,(X810-IF(1=D810,1,0))*VLOOKUP(INDEX('章节与怪物'!$E$31:$K$37,B810,1),'章节与怪物'!$A$41:$F$44,4,FALSE)+IF(1=D810,'难度参数'!$E$30,0))</x:f>
        <x:v>756</x:v>
      </x:c>
      <x:c r="AB810" s="119" t="n">
        <x:f>IF(2&gt;D810,0,MAX(2,MIN('难度参数'!$E$12,ROUND(('难度参数'!$E$18*POWER(A810,'难度参数'!$E$19)/D810*(0.85+0.3*(2-1)/MAX(1,D810-1))),0)+F810)))</x:f>
        <x:v>44</x:v>
      </x:c>
      <x:c r="AC810" s="119" t="n">
        <x:f>IF(2&gt;D810,0,ROUND(('难度参数'!$E$13*POWER(A810,'难度参数'!$E$20)*MIN('难度参数'!$E$23,1+MAX(0,A810-'难度参数'!$E$21)*'难度参数'!$E$22))*(36+2*7)/(36+7*(D810+1)/2)*E810,0))</x:f>
        <x:v>13029</x:v>
      </x:c>
      <x:c r="AD810" s="119" t="n">
        <x:f>IF(AB810=0,0,(AB810-IF(2=D810,1,0))*ROUND(AC810*VLOOKUP(INDEX('章节与怪物'!$E$31:$K$37,B810,2),'章节与怪物'!$A$41:$F$44,2,FALSE),0)+IF(2=D810,ROUND(AC810*'难度参数'!$E$28*'章节与怪物'!$E$17,0),0))</x:f>
        <x:v>412764</x:v>
      </x:c>
      <x:c r="AE810" s="119" t="n">
        <x:f>IF(AB810=0,0,(AB810-IF(2=D810,1,0))*VLOOKUP(INDEX('章节与怪物'!$E$31:$K$37,B810,2),'章节与怪物'!$A$41:$F$44,4,FALSE)+IF(2=D810,'难度参数'!$E$30,0))</x:f>
        <x:v>880</x:v>
      </x:c>
      <x:c r="AF810" s="119" t="n">
        <x:f>IF(3&gt;D810,0,MAX(2,MIN('难度参数'!$E$12,ROUND(('难度参数'!$E$18*POWER(A810,'难度参数'!$E$19)/D810*(0.85+0.3*(3-1)/MAX(1,D810-1))),0)+F810)))</x:f>
        <x:v>47</x:v>
      </x:c>
      <x:c r="AG810" s="119" t="n">
        <x:f>IF(3&gt;D810,0,ROUND(('难度参数'!$E$13*POWER(A810,'难度参数'!$E$20)*MIN('难度参数'!$E$23,1+MAX(0,A810-'难度参数'!$E$21)*'难度参数'!$E$22))*(36+3*7)/(36+7*(D810+1)/2)*E810,0))</x:f>
        <x:v>14853</x:v>
      </x:c>
      <x:c r="AH810" s="119" t="n">
        <x:f>IF(AF810=0,0,(AF810-IF(3=D810,1,0))*ROUND(AG810*VLOOKUP(INDEX('章节与怪物'!$E$31:$K$37,B810,3),'章节与怪物'!$A$41:$F$44,2,FALSE),0)+IF(3=D810,ROUND(AG810*'难度参数'!$E$28*'章节与怪物'!$E$17,0),0))</x:f>
        <x:v>1186750</x:v>
      </x:c>
      <x:c r="AI810" s="119" t="n">
        <x:f>IF(AF810=0,0,(AF810-IF(3=D810,1,0))*VLOOKUP(INDEX('章节与怪物'!$E$31:$K$37,B810,3),'章节与怪物'!$A$41:$F$44,4,FALSE)+IF(3=D810,'难度参数'!$E$30,0))</x:f>
        <x:v>1316</x:v>
      </x:c>
      <x:c r="AJ810" s="119" t="n">
        <x:f>IF(4&gt;D810,0,MAX(2,MIN('难度参数'!$E$12,ROUND(('难度参数'!$E$18*POWER(A810,'难度参数'!$E$19)/D810*(0.85+0.3*(4-1)/MAX(1,D810-1))),0)+F810)))</x:f>
        <x:v>49</x:v>
      </x:c>
      <x:c r="AK810" s="119" t="n">
        <x:f>IF(4&gt;D810,0,ROUND(('难度参数'!$E$13*POWER(A810,'难度参数'!$E$20)*MIN('难度参数'!$E$23,1+MAX(0,A810-'难度参数'!$E$21)*'难度参数'!$E$22))*(36+4*7)/(36+7*(D810+1)/2)*E810,0))</x:f>
        <x:v>16677</x:v>
      </x:c>
      <x:c r="AL810" s="119" t="n">
        <x:f>IF(AJ810=0,0,(AJ810-IF(4=D810,1,0))*ROUND(AK810*VLOOKUP(INDEX('章节与怪物'!$E$31:$K$37,B810,4),'章节与怪物'!$A$41:$F$44,2,FALSE),0)+IF(4=D810,ROUND(AK810*'难度参数'!$E$28*'章节与怪物'!$E$17,0),0))</x:f>
        <x:v>1103186</x:v>
      </x:c>
      <x:c r="AM810" s="119" t="n">
        <x:f>IF(AJ810=0,0,(AJ810-IF(4=D810,1,0))*VLOOKUP(INDEX('章节与怪物'!$E$31:$K$37,B810,4),'章节与怪物'!$A$41:$F$44,4,FALSE)+IF(4=D810,'难度参数'!$E$30,0))</x:f>
        <x:v>1666</x:v>
      </x:c>
      <x:c r="AN810" s="119" t="n">
        <x:f>IF(5&gt;D810,0,MAX(2,MIN('难度参数'!$E$12,ROUND(('难度参数'!$E$18*POWER(A810,'难度参数'!$E$19)/D810*(0.85+0.3*(5-1)/MAX(1,D810-1))),0)+F810)))</x:f>
        <x:v>51</x:v>
      </x:c>
      <x:c r="AO810" s="119" t="n">
        <x:f>IF(5&gt;D810,0,ROUND(('难度参数'!$E$13*POWER(A810,'难度参数'!$E$20)*MIN('难度参数'!$E$23,1+MAX(0,A810-'难度参数'!$E$21)*'难度参数'!$E$22))*(36+5*7)/(36+7*(D810+1)/2)*E810,0))</x:f>
        <x:v>18501</x:v>
      </x:c>
      <x:c r="AP810" s="119" t="n">
        <x:f>IF(AN810=0,0,(AN810-IF(5=D810,1,0))*ROUND(AO810*VLOOKUP(INDEX('章节与怪物'!$E$31:$K$37,B810,5),'章节与怪物'!$A$41:$F$44,2,FALSE),0)+IF(5=D810,ROUND(AO810*'难度参数'!$E$28*'章节与怪物'!$E$17,0),0))</x:f>
        <x:v>679371</x:v>
      </x:c>
      <x:c r="AQ810" s="119" t="n">
        <x:f>IF(AN810=0,0,(AN810-IF(5=D810,1,0))*VLOOKUP(INDEX('章节与怪物'!$E$31:$K$37,B810,5),'章节与怪物'!$A$41:$F$44,4,FALSE)+IF(5=D810,'难度参数'!$E$30,0))</x:f>
        <x:v>1020</x:v>
      </x:c>
      <x:c r="AR810" s="119" t="n">
        <x:f>IF(6&gt;D810,0,MAX(2,MIN('难度参数'!$E$12,ROUND(('难度参数'!$E$18*POWER(A810,'难度参数'!$E$19)/D810*(0.85+0.3*(6-1)/MAX(1,D810-1))),0)+F810)))</x:f>
        <x:v>54</x:v>
      </x:c>
      <x:c r="AS810" s="119" t="n">
        <x:f>IF(6&gt;D810,0,ROUND(('难度参数'!$E$13*POWER(A810,'难度参数'!$E$20)*MIN('难度参数'!$E$23,1+MAX(0,A810-'难度参数'!$E$21)*'难度参数'!$E$22))*(36+6*7)/(36+7*(D810+1)/2)*E810,0))</x:f>
        <x:v>20325</x:v>
      </x:c>
      <x:c r="AT810" s="119" t="n">
        <x:f>IF(AR810=0,0,(AR810-IF(6=D810,1,0))*ROUND(AS810*VLOOKUP(INDEX('章节与怪物'!$E$31:$K$37,B810,6),'章节与怪物'!$A$41:$F$44,2,FALSE),0)+IF(6=D810,ROUND(AS810*'难度参数'!$E$28*'章节与怪物'!$E$17,0),0))</x:f>
        <x:v>1865862</x:v>
      </x:c>
      <x:c r="AU810" s="119" t="n">
        <x:f>IF(AR810=0,0,(AR810-IF(6=D810,1,0))*VLOOKUP(INDEX('章节与怪物'!$E$31:$K$37,B810,6),'章节与怪物'!$A$41:$F$44,4,FALSE)+IF(6=D810,'难度参数'!$E$30,0))</x:f>
        <x:v>1512</x:v>
      </x:c>
      <x:c r="AV810" s="119" t="n">
        <x:f>IF(7&gt;D810,0,MAX(2,MIN('难度参数'!$E$12,ROUND(('难度参数'!$E$18*POWER(A810,'难度参数'!$E$19)/D810*(0.85+0.3*(7-1)/MAX(1,D810-1))),0)+F810)))</x:f>
        <x:v>56</x:v>
      </x:c>
      <x:c r="AW810" s="119" t="n">
        <x:f>IF(7&gt;D810,0,ROUND(('难度参数'!$E$13*POWER(A810,'难度参数'!$E$20)*MIN('难度参数'!$E$23,1+MAX(0,A810-'难度参数'!$E$21)*'难度参数'!$E$22))*(36+7*7)/(36+7*(D810+1)/2)*E810,0))</x:f>
        <x:v>22149</x:v>
      </x:c>
      <x:c r="AX810" s="119" t="n">
        <x:f>IF(AV810=0,0,(AV810-IF(7=D810,1,0))*ROUND(AW810*VLOOKUP(INDEX('章节与怪物'!$E$31:$K$37,B810,7),'章节与怪物'!$A$41:$F$44,2,FALSE),0)+IF(7=D810,ROUND(AW810*'难度参数'!$E$28*'章节与怪物'!$E$17,0),0))</x:f>
        <x:v>1795168</x:v>
      </x:c>
      <x:c r="AY810" s="119" t="n">
        <x:f>IF(AV810=0,0,(AV810-IF(7=D810,1,0))*VLOOKUP(INDEX('章节与怪物'!$E$31:$K$37,B810,7),'章节与怪物'!$A$41:$F$44,4,FALSE)+IF(7=D810,'难度参数'!$E$30,0))</x:f>
        <x:v>2070</x:v>
      </x:c>
    </x:row>
    <x:row r="811" ht="23" customHeight="1">
      <x:c r="A811" s="119" t="n">
        <x:v>805</x:v>
      </x:c>
      <x:c r="B811" s="119" t="n">
        <x:f>MOD(INT((A811-1)/5),7)+1</x:f>
        <x:v>7</x:v>
      </x:c>
      <x:c r="C811" s="62" t="str">
        <x:f>INDEX('章节与怪物'!$B$31:$B$37,B811)</x:f>
        <x:v>魔法山脊</x:v>
      </x:c>
      <x:c r="D811" s="119" t="n">
        <x:f>MIN('难度参数'!$E$8,MAX('难度参数'!$E$7,A811))</x:f>
        <x:v>7</x:v>
      </x:c>
      <x:c r="E811" s="106" t="n">
        <x:v>1</x:v>
      </x:c>
      <x:c r="F811" s="106" t="n">
        <x:v>0</x:v>
      </x:c>
      <x:c r="G811" s="106" t="n">
        <x:v>1</x:v>
      </x:c>
      <x:c r="H811" s="119" t="n">
        <x:f>SUM(X811,AB811,AF811,AJ811,AN811,AR811,AV811)</x:f>
        <x:v>343</x:v>
      </x:c>
      <x:c r="I811" s="119" t="n">
        <x:f>SUM(Z811,AD811,AH811,AL811,AP811,AT811,AX811)</x:f>
        <x:v>7520394</x:v>
      </x:c>
      <x:c r="J811" s="119" t="n">
        <x:f>ROUND(INDEX(X811:AY811,1,(D811-1)*4+2)*'难度参数'!$E$28*'章节与怪物'!$E$17,0)</x:f>
        <x:v>150749</x:v>
      </x:c>
      <x:c r="K811" s="119" t="n">
        <x:f>SUM(AA811,AE811,AI811,AM811,AQ811,AU811,AY811)</x:f>
        <x:v>9220</x:v>
      </x:c>
      <x:c r="L811" s="62" t="n">
        <x:f>H811*(ROUNDUP('难度参数'!$E$24/('难度参数'!$E$26*'难度参数'!$E$27),0)*'难度参数'!$E$26)/60</x:f>
        <x:v>4.573333333333334</x:v>
      </x:c>
      <x:c r="M811" s="62" t="n">
        <x:f>L811+D811*('难度参数'!$E$49+'难度参数'!$E$50)/60</x:f>
        <x:v>5.740000000000001</x:v>
      </x:c>
      <x:c r="N811" s="119" t="n">
        <x:f>ROUNDDOWN(('经济参数'!$E$20+A811*'经济参数'!$E$21)*G811,0)</x:f>
        <x:v>16280</x:v>
      </x:c>
      <x:c r="O811" s="119" t="n">
        <x:f>ROUNDDOWN(MIN('经济参数'!$E$24,'经济参数'!$E$22+A811*'经济参数'!$E$23)*G811,0)</x:f>
        <x:v>0</x:v>
      </x:c>
      <x:c r="P811" s="119" t="n">
        <x:f>ROUNDDOWN((IF(A811&gt;='材料与任务'!$E$31,'材料与任务'!$E$32,IF(A811&gt;='材料与任务'!$E$25,'材料与任务'!$E$26,IF(A811&gt;='材料与任务'!$E$19,'材料与任务'!$E$20,IF(A811&gt;='材料与任务'!$E$13,'材料与任务'!$E$14,'材料与任务'!$E$8)))))*G811,0)</x:f>
        <x:v>6</x:v>
      </x:c>
      <x:c r="Q811" s="119" t="n">
        <x:f>ROUNDDOWN((IF(A811&gt;='材料与任务'!$E$31,'材料与任务'!$E$33,IF(A811&gt;='材料与任务'!$E$25,'材料与任务'!$E$27,IF(A811&gt;='材料与任务'!$E$19,'材料与任务'!$E$21,IF(A811&gt;='材料与任务'!$E$13,'材料与任务'!$E$15,'材料与任务'!$E$9)))))*G811,0)</x:f>
        <x:v>3</x:v>
      </x:c>
      <x:c r="R811" s="110" t="n">
        <x:f>'装备掉落'!$B$38</x:f>
        <x:v>0.6872058758851213</x:v>
      </x:c>
      <x:c r="S811" s="119" t="n">
        <x:f>MAX(IF(VLOOKUP(A811,'装备掉落'!$A$29:$H$34,2,TRUE)&gt;0,1,0),IF(VLOOKUP(A811,'装备掉落'!$A$29:$H$34,3,TRUE)&gt;0,2,0),IF(VLOOKUP(A811,'装备掉落'!$A$29:$H$34,4,TRUE)&gt;0,3,0),IF(VLOOKUP(A811,'装备掉落'!$A$29:$H$34,5,TRUE)&gt;0,4,0),IF(VLOOKUP(A811,'装备掉落'!$A$29:$H$34,6,TRUE)&gt;0,5,0),IF(VLOOKUP(A811,'装备掉落'!$A$29:$H$34,7,TRUE)&gt;0,6,0),IF(VLOOKUP(A811,'装备掉落'!$A$29:$H$34,8,TRUE)&gt;0,7,0))</x:f>
        <x:v>7</x:v>
      </x:c>
      <x:c r="T811" s="119" t="n">
        <x:f>MIN(7,S811+'经济参数'!$E$70)</x:f>
        <x:v>7</x:v>
      </x:c>
      <x:c r="U811" s="119" t="n">
        <x:f>MIN(7,S811+'经济参数'!$E$71)</x:f>
        <x:v>7</x:v>
      </x:c>
      <x:c r="V811" s="119" t="n">
        <x:f>IF(H811&gt;=('难度参数'!$E$52),1,0)+IF(H811&gt;=('难度参数'!$E$52+'难度参数'!$E$53),1,0)+IF(H811&gt;=('难度参数'!$E$52+'难度参数'!$E$53+'难度参数'!$E$54),1,0)+IF(H811&gt;=('难度参数'!$E$52+'难度参数'!$E$53+'难度参数'!$E$54+'难度参数'!$E$55),1,0)+IF(H811&gt;=('难度参数'!$E$52+'难度参数'!$E$53+'难度参数'!$E$54+'难度参数'!$E$55+'难度参数'!$E$56),1,0)+IF(H811&gt;=('难度参数'!$E$52+'难度参数'!$E$53+'难度参数'!$E$54+'难度参数'!$E$55+'难度参数'!$E$56+'难度参数'!$E$57),1,0)</x:f>
        <x:v>6</x:v>
      </x:c>
      <x:c r="W811" s="62" t="str">
        <x:f>IF(L811&gt;'难度参数'!$E$51,"仅出怪已超目标","还需实测")</x:f>
        <x:v>仅出怪已超目标</x:v>
      </x:c>
      <x:c r="X811" s="119" t="n">
        <x:f>IF(1&gt;D811,0,MAX(2,MIN('难度参数'!$E$12,ROUND(('难度参数'!$E$18*POWER(A811,'难度参数'!$E$19)/D811*(0.85+0.3*(1-1)/MAX(1,D811-1))),0)+F811)))</x:f>
        <x:v>42</x:v>
      </x:c>
      <x:c r="Y811" s="119" t="n">
        <x:f>IF(1&gt;D811,0,ROUND(('难度参数'!$E$13*POWER(A811,'难度参数'!$E$20)*MIN('难度参数'!$E$23,1+MAX(0,A811-'难度参数'!$E$21)*'难度参数'!$E$22))*(36+1*7)/(36+7*(D811+1)/2)*E811,0))</x:f>
        <x:v>11215</x:v>
      </x:c>
      <x:c r="Z811" s="119" t="n">
        <x:f>IF(X811=0,0,(X811-IF(1=D811,1,0))*ROUND(Y811*VLOOKUP(INDEX('章节与怪物'!$E$31:$K$37,B811,1),'章节与怪物'!$A$41:$F$44,2,FALSE),0)+IF(1=D811,ROUND(Y811*'难度参数'!$E$28*'章节与怪物'!$E$17,0),0))</x:f>
        <x:v>471030</x:v>
      </x:c>
      <x:c r="AA811" s="119" t="n">
        <x:f>IF(X811=0,0,(X811-IF(1=D811,1,0))*VLOOKUP(INDEX('章节与怪物'!$E$31:$K$37,B811,1),'章节与怪物'!$A$41:$F$44,4,FALSE)+IF(1=D811,'难度参数'!$E$30,0))</x:f>
        <x:v>756</x:v>
      </x:c>
      <x:c r="AB811" s="119" t="n">
        <x:f>IF(2&gt;D811,0,MAX(2,MIN('难度参数'!$E$12,ROUND(('难度参数'!$E$18*POWER(A811,'难度参数'!$E$19)/D811*(0.85+0.3*(2-1)/MAX(1,D811-1))),0)+F811)))</x:f>
        <x:v>44</x:v>
      </x:c>
      <x:c r="AC811" s="119" t="n">
        <x:f>IF(2&gt;D811,0,ROUND(('难度参数'!$E$13*POWER(A811,'难度参数'!$E$20)*MIN('难度参数'!$E$23,1+MAX(0,A811-'难度参数'!$E$21)*'难度参数'!$E$22))*(36+2*7)/(36+7*(D811+1)/2)*E811,0))</x:f>
        <x:v>13041</x:v>
      </x:c>
      <x:c r="AD811" s="119" t="n">
        <x:f>IF(AB811=0,0,(AB811-IF(2=D811,1,0))*ROUND(AC811*VLOOKUP(INDEX('章节与怪物'!$E$31:$K$37,B811,2),'章节与怪物'!$A$41:$F$44,2,FALSE),0)+IF(2=D811,ROUND(AC811*'难度参数'!$E$28*'章节与怪物'!$E$17,0),0))</x:f>
        <x:v>413160</x:v>
      </x:c>
      <x:c r="AE811" s="119" t="n">
        <x:f>IF(AB811=0,0,(AB811-IF(2=D811,1,0))*VLOOKUP(INDEX('章节与怪物'!$E$31:$K$37,B811,2),'章节与怪物'!$A$41:$F$44,4,FALSE)+IF(2=D811,'难度参数'!$E$30,0))</x:f>
        <x:v>880</x:v>
      </x:c>
      <x:c r="AF811" s="119" t="n">
        <x:f>IF(3&gt;D811,0,MAX(2,MIN('难度参数'!$E$12,ROUND(('难度参数'!$E$18*POWER(A811,'难度参数'!$E$19)/D811*(0.85+0.3*(3-1)/MAX(1,D811-1))),0)+F811)))</x:f>
        <x:v>47</x:v>
      </x:c>
      <x:c r="AG811" s="119" t="n">
        <x:f>IF(3&gt;D811,0,ROUND(('难度参数'!$E$13*POWER(A811,'难度参数'!$E$20)*MIN('难度参数'!$E$23,1+MAX(0,A811-'难度参数'!$E$21)*'难度参数'!$E$22))*(36+3*7)/(36+7*(D811+1)/2)*E811,0))</x:f>
        <x:v>14866</x:v>
      </x:c>
      <x:c r="AH811" s="119" t="n">
        <x:f>IF(AF811=0,0,(AF811-IF(3=D811,1,0))*ROUND(AG811*VLOOKUP(INDEX('章节与怪物'!$E$31:$K$37,B811,3),'章节与怪物'!$A$41:$F$44,2,FALSE),0)+IF(3=D811,ROUND(AG811*'难度参数'!$E$28*'章节与怪物'!$E$17,0),0))</x:f>
        <x:v>1187784</x:v>
      </x:c>
      <x:c r="AI811" s="119" t="n">
        <x:f>IF(AF811=0,0,(AF811-IF(3=D811,1,0))*VLOOKUP(INDEX('章节与怪物'!$E$31:$K$37,B811,3),'章节与怪物'!$A$41:$F$44,4,FALSE)+IF(3=D811,'难度参数'!$E$30,0))</x:f>
        <x:v>1316</x:v>
      </x:c>
      <x:c r="AJ811" s="119" t="n">
        <x:f>IF(4&gt;D811,0,MAX(2,MIN('难度参数'!$E$12,ROUND(('难度参数'!$E$18*POWER(A811,'难度参数'!$E$19)/D811*(0.85+0.3*(4-1)/MAX(1,D811-1))),0)+F811)))</x:f>
        <x:v>49</x:v>
      </x:c>
      <x:c r="AK811" s="119" t="n">
        <x:f>IF(4&gt;D811,0,ROUND(('难度参数'!$E$13*POWER(A811,'难度参数'!$E$20)*MIN('难度参数'!$E$23,1+MAX(0,A811-'难度参数'!$E$21)*'难度参数'!$E$22))*(36+4*7)/(36+7*(D811+1)/2)*E811,0))</x:f>
        <x:v>16692</x:v>
      </x:c>
      <x:c r="AL811" s="119" t="n">
        <x:f>IF(AJ811=0,0,(AJ811-IF(4=D811,1,0))*ROUND(AK811*VLOOKUP(INDEX('章节与怪物'!$E$31:$K$37,B811,4),'章节与怪物'!$A$41:$F$44,2,FALSE),0)+IF(4=D811,ROUND(AK811*'难度参数'!$E$28*'章节与怪物'!$E$17,0),0))</x:f>
        <x:v>1104166</x:v>
      </x:c>
      <x:c r="AM811" s="119" t="n">
        <x:f>IF(AJ811=0,0,(AJ811-IF(4=D811,1,0))*VLOOKUP(INDEX('章节与怪物'!$E$31:$K$37,B811,4),'章节与怪物'!$A$41:$F$44,4,FALSE)+IF(4=D811,'难度参数'!$E$30,0))</x:f>
        <x:v>1666</x:v>
      </x:c>
      <x:c r="AN811" s="119" t="n">
        <x:f>IF(5&gt;D811,0,MAX(2,MIN('难度参数'!$E$12,ROUND(('难度参数'!$E$18*POWER(A811,'难度参数'!$E$19)/D811*(0.85+0.3*(5-1)/MAX(1,D811-1))),0)+F811)))</x:f>
        <x:v>51</x:v>
      </x:c>
      <x:c r="AO811" s="119" t="n">
        <x:f>IF(5&gt;D811,0,ROUND(('难度参数'!$E$13*POWER(A811,'难度参数'!$E$20)*MIN('难度参数'!$E$23,1+MAX(0,A811-'难度参数'!$E$21)*'难度参数'!$E$22))*(36+5*7)/(36+7*(D811+1)/2)*E811,0))</x:f>
        <x:v>18518</x:v>
      </x:c>
      <x:c r="AP811" s="119" t="n">
        <x:f>IF(AN811=0,0,(AN811-IF(5=D811,1,0))*ROUND(AO811*VLOOKUP(INDEX('章节与怪物'!$E$31:$K$37,B811,5),'章节与怪物'!$A$41:$F$44,2,FALSE),0)+IF(5=D811,ROUND(AO811*'难度参数'!$E$28*'章节与怪物'!$E$17,0),0))</x:f>
        <x:v>679983</x:v>
      </x:c>
      <x:c r="AQ811" s="119" t="n">
        <x:f>IF(AN811=0,0,(AN811-IF(5=D811,1,0))*VLOOKUP(INDEX('章节与怪物'!$E$31:$K$37,B811,5),'章节与怪物'!$A$41:$F$44,4,FALSE)+IF(5=D811,'难度参数'!$E$30,0))</x:f>
        <x:v>1020</x:v>
      </x:c>
      <x:c r="AR811" s="119" t="n">
        <x:f>IF(6&gt;D811,0,MAX(2,MIN('难度参数'!$E$12,ROUND(('难度参数'!$E$18*POWER(A811,'难度参数'!$E$19)/D811*(0.85+0.3*(6-1)/MAX(1,D811-1))),0)+F811)))</x:f>
        <x:v>54</x:v>
      </x:c>
      <x:c r="AS811" s="119" t="n">
        <x:f>IF(6&gt;D811,0,ROUND(('难度参数'!$E$13*POWER(A811,'难度参数'!$E$20)*MIN('难度参数'!$E$23,1+MAX(0,A811-'难度参数'!$E$21)*'难度参数'!$E$22))*(36+6*7)/(36+7*(D811+1)/2)*E811,0))</x:f>
        <x:v>20343</x:v>
      </x:c>
      <x:c r="AT811" s="119" t="n">
        <x:f>IF(AR811=0,0,(AR811-IF(6=D811,1,0))*ROUND(AS811*VLOOKUP(INDEX('章节与怪物'!$E$31:$K$37,B811,6),'章节与怪物'!$A$41:$F$44,2,FALSE),0)+IF(6=D811,ROUND(AS811*'难度参数'!$E$28*'章节与怪物'!$E$17,0),0))</x:f>
        <x:v>1867482</x:v>
      </x:c>
      <x:c r="AU811" s="119" t="n">
        <x:f>IF(AR811=0,0,(AR811-IF(6=D811,1,0))*VLOOKUP(INDEX('章节与怪物'!$E$31:$K$37,B811,6),'章节与怪物'!$A$41:$F$44,4,FALSE)+IF(6=D811,'难度参数'!$E$30,0))</x:f>
        <x:v>1512</x:v>
      </x:c>
      <x:c r="AV811" s="119" t="n">
        <x:f>IF(7&gt;D811,0,MAX(2,MIN('难度参数'!$E$12,ROUND(('难度参数'!$E$18*POWER(A811,'难度参数'!$E$19)/D811*(0.85+0.3*(7-1)/MAX(1,D811-1))),0)+F811)))</x:f>
        <x:v>56</x:v>
      </x:c>
      <x:c r="AW811" s="119" t="n">
        <x:f>IF(7&gt;D811,0,ROUND(('难度参数'!$E$13*POWER(A811,'难度参数'!$E$20)*MIN('难度参数'!$E$23,1+MAX(0,A811-'难度参数'!$E$21)*'难度参数'!$E$22))*(36+7*7)/(36+7*(D811+1)/2)*E811,0))</x:f>
        <x:v>22169</x:v>
      </x:c>
      <x:c r="AX811" s="119" t="n">
        <x:f>IF(AV811=0,0,(AV811-IF(7=D811,1,0))*ROUND(AW811*VLOOKUP(INDEX('章节与怪物'!$E$31:$K$37,B811,7),'章节与怪物'!$A$41:$F$44,2,FALSE),0)+IF(7=D811,ROUND(AW811*'难度参数'!$E$28*'章节与怪物'!$E$17,0),0))</x:f>
        <x:v>1796789</x:v>
      </x:c>
      <x:c r="AY811" s="119" t="n">
        <x:f>IF(AV811=0,0,(AV811-IF(7=D811,1,0))*VLOOKUP(INDEX('章节与怪物'!$E$31:$K$37,B811,7),'章节与怪物'!$A$41:$F$44,4,FALSE)+IF(7=D811,'难度参数'!$E$30,0))</x:f>
        <x:v>2070</x:v>
      </x:c>
    </x:row>
    <x:row r="812" ht="23" customHeight="1">
      <x:c r="A812" s="119" t="n">
        <x:v>806</x:v>
      </x:c>
      <x:c r="B812" s="119" t="n">
        <x:f>MOD(INT((A812-1)/5),7)+1</x:f>
        <x:v>1</x:v>
      </x:c>
      <x:c r="C812" s="62" t="str">
        <x:f>INDEX('章节与怪物'!$B$31:$B$37,B812)</x:f>
        <x:v>冰雪荒原</x:v>
      </x:c>
      <x:c r="D812" s="119" t="n">
        <x:f>MIN('难度参数'!$E$8,MAX('难度参数'!$E$7,A812))</x:f>
        <x:v>7</x:v>
      </x:c>
      <x:c r="E812" s="106" t="n">
        <x:v>1</x:v>
      </x:c>
      <x:c r="F812" s="106" t="n">
        <x:v>0</x:v>
      </x:c>
      <x:c r="G812" s="106" t="n">
        <x:v>1</x:v>
      </x:c>
      <x:c r="H812" s="119" t="n">
        <x:f>SUM(X812,AB812,AF812,AJ812,AN812,AR812,AV812)</x:f>
        <x:v>344</x:v>
      </x:c>
      <x:c r="I812" s="119" t="n">
        <x:f>SUM(Z812,AD812,AH812,AL812,AP812,AT812,AX812)</x:f>
        <x:v>7259266</x:v>
      </x:c>
      <x:c r="J812" s="119" t="n">
        <x:f>ROUND(INDEX(X812:AY812,1,(D812-1)*4+2)*'难度参数'!$E$28*'章节与怪物'!$E$17,0)</x:f>
        <x:v>150885</x:v>
      </x:c>
      <x:c r="K812" s="119" t="n">
        <x:f>SUM(AA812,AE812,AI812,AM812,AQ812,AU812,AY812)</x:f>
        <x:v>8448</x:v>
      </x:c>
      <x:c r="L812" s="62" t="n">
        <x:f>H812*(ROUNDUP('难度参数'!$E$24/('难度参数'!$E$26*'难度参数'!$E$27),0)*'难度参数'!$E$26)/60</x:f>
        <x:v>4.586666666666667</x:v>
      </x:c>
      <x:c r="M812" s="62" t="n">
        <x:f>L812+D812*('难度参数'!$E$49+'难度参数'!$E$50)/60</x:f>
        <x:v>5.753333333333334</x:v>
      </x:c>
      <x:c r="N812" s="119" t="n">
        <x:f>ROUNDDOWN(('经济参数'!$E$20+A812*'经济参数'!$E$21)*G812,0)</x:f>
        <x:v>16300</x:v>
      </x:c>
      <x:c r="O812" s="119" t="n">
        <x:f>ROUNDDOWN(MIN('经济参数'!$E$24,'经济参数'!$E$22+A812*'经济参数'!$E$23)*G812,0)</x:f>
        <x:v>0</x:v>
      </x:c>
      <x:c r="P812" s="119" t="n">
        <x:f>ROUNDDOWN((IF(A812&gt;='材料与任务'!$E$31,'材料与任务'!$E$32,IF(A812&gt;='材料与任务'!$E$25,'材料与任务'!$E$26,IF(A812&gt;='材料与任务'!$E$19,'材料与任务'!$E$20,IF(A812&gt;='材料与任务'!$E$13,'材料与任务'!$E$14,'材料与任务'!$E$8)))))*G812,0)</x:f>
        <x:v>6</x:v>
      </x:c>
      <x:c r="Q812" s="119" t="n">
        <x:f>ROUNDDOWN((IF(A812&gt;='材料与任务'!$E$31,'材料与任务'!$E$33,IF(A812&gt;='材料与任务'!$E$25,'材料与任务'!$E$27,IF(A812&gt;='材料与任务'!$E$19,'材料与任务'!$E$21,IF(A812&gt;='材料与任务'!$E$13,'材料与任务'!$E$15,'材料与任务'!$E$9)))))*G812,0)</x:f>
        <x:v>3</x:v>
      </x:c>
      <x:c r="R812" s="110" t="n">
        <x:f>'装备掉落'!$B$38</x:f>
        <x:v>0.6872058758851213</x:v>
      </x:c>
      <x:c r="S812" s="119" t="n">
        <x:f>MAX(IF(VLOOKUP(A812,'装备掉落'!$A$29:$H$34,2,TRUE)&gt;0,1,0),IF(VLOOKUP(A812,'装备掉落'!$A$29:$H$34,3,TRUE)&gt;0,2,0),IF(VLOOKUP(A812,'装备掉落'!$A$29:$H$34,4,TRUE)&gt;0,3,0),IF(VLOOKUP(A812,'装备掉落'!$A$29:$H$34,5,TRUE)&gt;0,4,0),IF(VLOOKUP(A812,'装备掉落'!$A$29:$H$34,6,TRUE)&gt;0,5,0),IF(VLOOKUP(A812,'装备掉落'!$A$29:$H$34,7,TRUE)&gt;0,6,0),IF(VLOOKUP(A812,'装备掉落'!$A$29:$H$34,8,TRUE)&gt;0,7,0))</x:f>
        <x:v>7</x:v>
      </x:c>
      <x:c r="T812" s="119" t="n">
        <x:f>MIN(7,S812+'经济参数'!$E$70)</x:f>
        <x:v>7</x:v>
      </x:c>
      <x:c r="U812" s="119" t="n">
        <x:f>MIN(7,S812+'经济参数'!$E$71)</x:f>
        <x:v>7</x:v>
      </x:c>
      <x:c r="V812" s="119" t="n">
        <x:f>IF(H812&gt;=('难度参数'!$E$52),1,0)+IF(H812&gt;=('难度参数'!$E$52+'难度参数'!$E$53),1,0)+IF(H812&gt;=('难度参数'!$E$52+'难度参数'!$E$53+'难度参数'!$E$54),1,0)+IF(H812&gt;=('难度参数'!$E$52+'难度参数'!$E$53+'难度参数'!$E$54+'难度参数'!$E$55),1,0)+IF(H812&gt;=('难度参数'!$E$52+'难度参数'!$E$53+'难度参数'!$E$54+'难度参数'!$E$55+'难度参数'!$E$56),1,0)+IF(H812&gt;=('难度参数'!$E$52+'难度参数'!$E$53+'难度参数'!$E$54+'难度参数'!$E$55+'难度参数'!$E$56+'难度参数'!$E$57),1,0)</x:f>
        <x:v>6</x:v>
      </x:c>
      <x:c r="W812" s="62" t="str">
        <x:f>IF(L812&gt;'难度参数'!$E$51,"仅出怪已超目标","还需实测")</x:f>
        <x:v>仅出怪已超目标</x:v>
      </x:c>
      <x:c r="X812" s="119" t="n">
        <x:f>IF(1&gt;D812,0,MAX(2,MIN('难度参数'!$E$12,ROUND(('难度参数'!$E$18*POWER(A812,'难度参数'!$E$19)/D812*(0.85+0.3*(1-1)/MAX(1,D812-1))),0)+F812)))</x:f>
        <x:v>42</x:v>
      </x:c>
      <x:c r="Y812" s="119" t="n">
        <x:f>IF(1&gt;D812,0,ROUND(('难度参数'!$E$13*POWER(A812,'难度参数'!$E$20)*MIN('难度参数'!$E$23,1+MAX(0,A812-'难度参数'!$E$21)*'难度参数'!$E$22))*(36+1*7)/(36+7*(D812+1)/2)*E812,0))</x:f>
        <x:v>11225</x:v>
      </x:c>
      <x:c r="Z812" s="119" t="n">
        <x:f>IF(X812=0,0,(X812-IF(1=D812,1,0))*ROUND(Y812*VLOOKUP(INDEX('章节与怪物'!$E$31:$K$37,B812,1),'章节与怪物'!$A$41:$F$44,2,FALSE),0)+IF(1=D812,ROUND(Y812*'难度参数'!$E$28*'章节与怪物'!$E$17,0),0))</x:f>
        <x:v>471450</x:v>
      </x:c>
      <x:c r="AA812" s="119" t="n">
        <x:f>IF(X812=0,0,(X812-IF(1=D812,1,0))*VLOOKUP(INDEX('章节与怪物'!$E$31:$K$37,B812,1),'章节与怪物'!$A$41:$F$44,4,FALSE)+IF(1=D812,'难度参数'!$E$30,0))</x:f>
        <x:v>756</x:v>
      </x:c>
      <x:c r="AB812" s="119" t="n">
        <x:f>IF(2&gt;D812,0,MAX(2,MIN('难度参数'!$E$12,ROUND(('难度参数'!$E$18*POWER(A812,'难度参数'!$E$19)/D812*(0.85+0.3*(2-1)/MAX(1,D812-1))),0)+F812)))</x:f>
        <x:v>44</x:v>
      </x:c>
      <x:c r="AC812" s="119" t="n">
        <x:f>IF(2&gt;D812,0,ROUND(('难度参数'!$E$13*POWER(A812,'难度参数'!$E$20)*MIN('难度参数'!$E$23,1+MAX(0,A812-'难度参数'!$E$21)*'难度参数'!$E$22))*(36+2*7)/(36+7*(D812+1)/2)*E812,0))</x:f>
        <x:v>13052</x:v>
      </x:c>
      <x:c r="AD812" s="119" t="n">
        <x:f>IF(AB812=0,0,(AB812-IF(2=D812,1,0))*ROUND(AC812*VLOOKUP(INDEX('章节与怪物'!$E$31:$K$37,B812,2),'章节与怪物'!$A$41:$F$44,2,FALSE),0)+IF(2=D812,ROUND(AC812*'难度参数'!$E$28*'章节与怪物'!$E$17,0),0))</x:f>
        <x:v>574288</x:v>
      </x:c>
      <x:c r="AE812" s="119" t="n">
        <x:f>IF(AB812=0,0,(AB812-IF(2=D812,1,0))*VLOOKUP(INDEX('章节与怪物'!$E$31:$K$37,B812,2),'章节与怪物'!$A$41:$F$44,4,FALSE)+IF(2=D812,'难度参数'!$E$30,0))</x:f>
        <x:v>792</x:v>
      </x:c>
      <x:c r="AF812" s="119" t="n">
        <x:f>IF(3&gt;D812,0,MAX(2,MIN('难度参数'!$E$12,ROUND(('难度参数'!$E$18*POWER(A812,'难度参数'!$E$19)/D812*(0.85+0.3*(3-1)/MAX(1,D812-1))),0)+F812)))</x:f>
        <x:v>47</x:v>
      </x:c>
      <x:c r="AG812" s="119" t="n">
        <x:f>IF(3&gt;D812,0,ROUND(('难度参数'!$E$13*POWER(A812,'难度参数'!$E$20)*MIN('难度参数'!$E$23,1+MAX(0,A812-'难度参数'!$E$21)*'难度参数'!$E$22))*(36+3*7)/(36+7*(D812+1)/2)*E812,0))</x:f>
        <x:v>14880</x:v>
      </x:c>
      <x:c r="AH812" s="119" t="n">
        <x:f>IF(AF812=0,0,(AF812-IF(3=D812,1,0))*ROUND(AG812*VLOOKUP(INDEX('章节与怪物'!$E$31:$K$37,B812,3),'章节与怪物'!$A$41:$F$44,2,FALSE),0)+IF(3=D812,ROUND(AG812*'难度参数'!$E$28*'章节与怪物'!$E$17,0),0))</x:f>
        <x:v>503558</x:v>
      </x:c>
      <x:c r="AI812" s="119" t="n">
        <x:f>IF(AF812=0,0,(AF812-IF(3=D812,1,0))*VLOOKUP(INDEX('章节与怪物'!$E$31:$K$37,B812,3),'章节与怪物'!$A$41:$F$44,4,FALSE)+IF(3=D812,'难度参数'!$E$30,0))</x:f>
        <x:v>940</x:v>
      </x:c>
      <x:c r="AJ812" s="119" t="n">
        <x:f>IF(4&gt;D812,0,MAX(2,MIN('难度参数'!$E$12,ROUND(('难度参数'!$E$18*POWER(A812,'难度参数'!$E$19)/D812*(0.85+0.3*(4-1)/MAX(1,D812-1))),0)+F812)))</x:f>
        <x:v>49</x:v>
      </x:c>
      <x:c r="AK812" s="119" t="n">
        <x:f>IF(4&gt;D812,0,ROUND(('难度参数'!$E$13*POWER(A812,'难度参数'!$E$20)*MIN('难度参数'!$E$23,1+MAX(0,A812-'难度参数'!$E$21)*'难度参数'!$E$22))*(36+4*7)/(36+7*(D812+1)/2)*E812,0))</x:f>
        <x:v>16707</x:v>
      </x:c>
      <x:c r="AL812" s="119" t="n">
        <x:f>IF(AJ812=0,0,(AJ812-IF(4=D812,1,0))*ROUND(AK812*VLOOKUP(INDEX('章节与怪物'!$E$31:$K$37,B812,4),'章节与怪物'!$A$41:$F$44,2,FALSE),0)+IF(4=D812,ROUND(AK812*'难度参数'!$E$28*'章节与怪物'!$E$17,0),0))</x:f>
        <x:v>1391698</x:v>
      </x:c>
      <x:c r="AM812" s="119" t="n">
        <x:f>IF(AJ812=0,0,(AJ812-IF(4=D812,1,0))*VLOOKUP(INDEX('章节与怪物'!$E$31:$K$37,B812,4),'章节与怪物'!$A$41:$F$44,4,FALSE)+IF(4=D812,'难度参数'!$E$30,0))</x:f>
        <x:v>1372</x:v>
      </x:c>
      <x:c r="AN812" s="119" t="n">
        <x:f>IF(5&gt;D812,0,MAX(2,MIN('难度参数'!$E$12,ROUND(('难度参数'!$E$18*POWER(A812,'难度参数'!$E$19)/D812*(0.85+0.3*(5-1)/MAX(1,D812-1))),0)+F812)))</x:f>
        <x:v>52</x:v>
      </x:c>
      <x:c r="AO812" s="119" t="n">
        <x:f>IF(5&gt;D812,0,ROUND(('难度参数'!$E$13*POWER(A812,'难度参数'!$E$20)*MIN('难度参数'!$E$23,1+MAX(0,A812-'难度参数'!$E$21)*'难度参数'!$E$22))*(36+5*7)/(36+7*(D812+1)/2)*E812,0))</x:f>
        <x:v>18534</x:v>
      </x:c>
      <x:c r="AP812" s="119" t="n">
        <x:f>IF(AN812=0,0,(AN812-IF(5=D812,1,0))*ROUND(AO812*VLOOKUP(INDEX('章节与怪物'!$E$31:$K$37,B812,5),'章节与怪物'!$A$41:$F$44,2,FALSE),0)+IF(5=D812,ROUND(AO812*'难度参数'!$E$28*'章节与怪物'!$E$17,0),0))</x:f>
        <x:v>1301092</x:v>
      </x:c>
      <x:c r="AQ812" s="119" t="n">
        <x:f>IF(AN812=0,0,(AN812-IF(5=D812,1,0))*VLOOKUP(INDEX('章节与怪物'!$E$31:$K$37,B812,5),'章节与怪物'!$A$41:$F$44,4,FALSE)+IF(5=D812,'难度参数'!$E$30,0))</x:f>
        <x:v>1768</x:v>
      </x:c>
      <x:c r="AR812" s="119" t="n">
        <x:f>IF(6&gt;D812,0,MAX(2,MIN('难度参数'!$E$12,ROUND(('难度参数'!$E$18*POWER(A812,'难度参数'!$E$19)/D812*(0.85+0.3*(6-1)/MAX(1,D812-1))),0)+F812)))</x:f>
        <x:v>54</x:v>
      </x:c>
      <x:c r="AS812" s="119" t="n">
        <x:f>IF(6&gt;D812,0,ROUND(('难度参数'!$E$13*POWER(A812,'难度参数'!$E$20)*MIN('难度参数'!$E$23,1+MAX(0,A812-'难度参数'!$E$21)*'难度参数'!$E$22))*(36+6*7)/(36+7*(D812+1)/2)*E812,0))</x:f>
        <x:v>20361</x:v>
      </x:c>
      <x:c r="AT812" s="119" t="n">
        <x:f>IF(AR812=0,0,(AR812-IF(6=D812,1,0))*ROUND(AS812*VLOOKUP(INDEX('章节与怪物'!$E$31:$K$37,B812,6),'章节与怪物'!$A$41:$F$44,2,FALSE),0)+IF(6=D812,ROUND(AS812*'难度参数'!$E$28*'章节与怪物'!$E$17,0),0))</x:f>
        <x:v>791640</x:v>
      </x:c>
      <x:c r="AU812" s="119" t="n">
        <x:f>IF(AR812=0,0,(AR812-IF(6=D812,1,0))*VLOOKUP(INDEX('章节与怪物'!$E$31:$K$37,B812,6),'章节与怪物'!$A$41:$F$44,4,FALSE)+IF(6=D812,'难度参数'!$E$30,0))</x:f>
        <x:v>1080</x:v>
      </x:c>
      <x:c r="AV812" s="119" t="n">
        <x:f>IF(7&gt;D812,0,MAX(2,MIN('难度参数'!$E$12,ROUND(('难度参数'!$E$18*POWER(A812,'难度参数'!$E$19)/D812*(0.85+0.3*(7-1)/MAX(1,D812-1))),0)+F812)))</x:f>
        <x:v>56</x:v>
      </x:c>
      <x:c r="AW812" s="119" t="n">
        <x:f>IF(7&gt;D812,0,ROUND(('难度参数'!$E$13*POWER(A812,'难度参数'!$E$20)*MIN('难度参数'!$E$23,1+MAX(0,A812-'难度参数'!$E$21)*'难度参数'!$E$22))*(36+7*7)/(36+7*(D812+1)/2)*E812,0))</x:f>
        <x:v>22189</x:v>
      </x:c>
      <x:c r="AX812" s="119" t="n">
        <x:f>IF(AV812=0,0,(AV812-IF(7=D812,1,0))*ROUND(AW812*VLOOKUP(INDEX('章节与怪物'!$E$31:$K$37,B812,7),'章节与怪物'!$A$41:$F$44,2,FALSE),0)+IF(7=D812,ROUND(AW812*'难度参数'!$E$28*'章节与怪物'!$E$17,0),0))</x:f>
        <x:v>2225540</x:v>
      </x:c>
      <x:c r="AY812" s="119" t="n">
        <x:f>IF(AV812=0,0,(AV812-IF(7=D812,1,0))*VLOOKUP(INDEX('章节与怪物'!$E$31:$K$37,B812,7),'章节与怪物'!$A$41:$F$44,4,FALSE)+IF(7=D812,'难度参数'!$E$30,0))</x:f>
        <x:v>1740</x:v>
      </x:c>
    </x:row>
    <x:row r="813" ht="23" customHeight="1">
      <x:c r="A813" s="119" t="n">
        <x:v>807</x:v>
      </x:c>
      <x:c r="B813" s="119" t="n">
        <x:f>MOD(INT((A813-1)/5),7)+1</x:f>
        <x:v>1</x:v>
      </x:c>
      <x:c r="C813" s="62" t="str">
        <x:f>INDEX('章节与怪物'!$B$31:$B$37,B813)</x:f>
        <x:v>冰雪荒原</x:v>
      </x:c>
      <x:c r="D813" s="119" t="n">
        <x:f>MIN('难度参数'!$E$8,MAX('难度参数'!$E$7,A813))</x:f>
        <x:v>7</x:v>
      </x:c>
      <x:c r="E813" s="106" t="n">
        <x:v>1</x:v>
      </x:c>
      <x:c r="F813" s="106" t="n">
        <x:v>0</x:v>
      </x:c>
      <x:c r="G813" s="106" t="n">
        <x:v>1</x:v>
      </x:c>
      <x:c r="H813" s="119" t="n">
        <x:f>SUM(X813,AB813,AF813,AJ813,AN813,AR813,AV813)</x:f>
        <x:v>344</x:v>
      </x:c>
      <x:c r="I813" s="119" t="n">
        <x:f>SUM(Z813,AD813,AH813,AL813,AP813,AT813,AX813)</x:f>
        <x:v>7265820</x:v>
      </x:c>
      <x:c r="J813" s="119" t="n">
        <x:f>ROUND(INDEX(X813:AY813,1,(D813-1)*4+2)*'难度参数'!$E$28*'章节与怪物'!$E$17,0)</x:f>
        <x:v>151021</x:v>
      </x:c>
      <x:c r="K813" s="119" t="n">
        <x:f>SUM(AA813,AE813,AI813,AM813,AQ813,AU813,AY813)</x:f>
        <x:v>8448</x:v>
      </x:c>
      <x:c r="L813" s="62" t="n">
        <x:f>H813*(ROUNDUP('难度参数'!$E$24/('难度参数'!$E$26*'难度参数'!$E$27),0)*'难度参数'!$E$26)/60</x:f>
        <x:v>4.586666666666667</x:v>
      </x:c>
      <x:c r="M813" s="62" t="n">
        <x:f>L813+D813*('难度参数'!$E$49+'难度参数'!$E$50)/60</x:f>
        <x:v>5.753333333333334</x:v>
      </x:c>
      <x:c r="N813" s="119" t="n">
        <x:f>ROUNDDOWN(('经济参数'!$E$20+A813*'经济参数'!$E$21)*G813,0)</x:f>
        <x:v>16320</x:v>
      </x:c>
      <x:c r="O813" s="119" t="n">
        <x:f>ROUNDDOWN(MIN('经济参数'!$E$24,'经济参数'!$E$22+A813*'经济参数'!$E$23)*G813,0)</x:f>
        <x:v>0</x:v>
      </x:c>
      <x:c r="P813" s="119" t="n">
        <x:f>ROUNDDOWN((IF(A813&gt;='材料与任务'!$E$31,'材料与任务'!$E$32,IF(A813&gt;='材料与任务'!$E$25,'材料与任务'!$E$26,IF(A813&gt;='材料与任务'!$E$19,'材料与任务'!$E$20,IF(A813&gt;='材料与任务'!$E$13,'材料与任务'!$E$14,'材料与任务'!$E$8)))))*G813,0)</x:f>
        <x:v>6</x:v>
      </x:c>
      <x:c r="Q813" s="119" t="n">
        <x:f>ROUNDDOWN((IF(A813&gt;='材料与任务'!$E$31,'材料与任务'!$E$33,IF(A813&gt;='材料与任务'!$E$25,'材料与任务'!$E$27,IF(A813&gt;='材料与任务'!$E$19,'材料与任务'!$E$21,IF(A813&gt;='材料与任务'!$E$13,'材料与任务'!$E$15,'材料与任务'!$E$9)))))*G813,0)</x:f>
        <x:v>3</x:v>
      </x:c>
      <x:c r="R813" s="110" t="n">
        <x:f>'装备掉落'!$B$38</x:f>
        <x:v>0.6872058758851213</x:v>
      </x:c>
      <x:c r="S813" s="119" t="n">
        <x:f>MAX(IF(VLOOKUP(A813,'装备掉落'!$A$29:$H$34,2,TRUE)&gt;0,1,0),IF(VLOOKUP(A813,'装备掉落'!$A$29:$H$34,3,TRUE)&gt;0,2,0),IF(VLOOKUP(A813,'装备掉落'!$A$29:$H$34,4,TRUE)&gt;0,3,0),IF(VLOOKUP(A813,'装备掉落'!$A$29:$H$34,5,TRUE)&gt;0,4,0),IF(VLOOKUP(A813,'装备掉落'!$A$29:$H$34,6,TRUE)&gt;0,5,0),IF(VLOOKUP(A813,'装备掉落'!$A$29:$H$34,7,TRUE)&gt;0,6,0),IF(VLOOKUP(A813,'装备掉落'!$A$29:$H$34,8,TRUE)&gt;0,7,0))</x:f>
        <x:v>7</x:v>
      </x:c>
      <x:c r="T813" s="119" t="n">
        <x:f>MIN(7,S813+'经济参数'!$E$70)</x:f>
        <x:v>7</x:v>
      </x:c>
      <x:c r="U813" s="119" t="n">
        <x:f>MIN(7,S813+'经济参数'!$E$71)</x:f>
        <x:v>7</x:v>
      </x:c>
      <x:c r="V813" s="119" t="n">
        <x:f>IF(H813&gt;=('难度参数'!$E$52),1,0)+IF(H813&gt;=('难度参数'!$E$52+'难度参数'!$E$53),1,0)+IF(H813&gt;=('难度参数'!$E$52+'难度参数'!$E$53+'难度参数'!$E$54),1,0)+IF(H813&gt;=('难度参数'!$E$52+'难度参数'!$E$53+'难度参数'!$E$54+'难度参数'!$E$55),1,0)+IF(H813&gt;=('难度参数'!$E$52+'难度参数'!$E$53+'难度参数'!$E$54+'难度参数'!$E$55+'难度参数'!$E$56),1,0)+IF(H813&gt;=('难度参数'!$E$52+'难度参数'!$E$53+'难度参数'!$E$54+'难度参数'!$E$55+'难度参数'!$E$56+'难度参数'!$E$57),1,0)</x:f>
        <x:v>6</x:v>
      </x:c>
      <x:c r="W813" s="62" t="str">
        <x:f>IF(L813&gt;'难度参数'!$E$51,"仅出怪已超目标","还需实测")</x:f>
        <x:v>仅出怪已超目标</x:v>
      </x:c>
      <x:c r="X813" s="119" t="n">
        <x:f>IF(1&gt;D813,0,MAX(2,MIN('难度参数'!$E$12,ROUND(('难度参数'!$E$18*POWER(A813,'难度参数'!$E$19)/D813*(0.85+0.3*(1-1)/MAX(1,D813-1))),0)+F813)))</x:f>
        <x:v>42</x:v>
      </x:c>
      <x:c r="Y813" s="119" t="n">
        <x:f>IF(1&gt;D813,0,ROUND(('难度参数'!$E$13*POWER(A813,'难度参数'!$E$20)*MIN('难度参数'!$E$23,1+MAX(0,A813-'难度参数'!$E$21)*'难度参数'!$E$22))*(36+1*7)/(36+7*(D813+1)/2)*E813,0))</x:f>
        <x:v>11235</x:v>
      </x:c>
      <x:c r="Z813" s="119" t="n">
        <x:f>IF(X813=0,0,(X813-IF(1=D813,1,0))*ROUND(Y813*VLOOKUP(INDEX('章节与怪物'!$E$31:$K$37,B813,1),'章节与怪物'!$A$41:$F$44,2,FALSE),0)+IF(1=D813,ROUND(Y813*'难度参数'!$E$28*'章节与怪物'!$E$17,0),0))</x:f>
        <x:v>471870</x:v>
      </x:c>
      <x:c r="AA813" s="119" t="n">
        <x:f>IF(X813=0,0,(X813-IF(1=D813,1,0))*VLOOKUP(INDEX('章节与怪物'!$E$31:$K$37,B813,1),'章节与怪物'!$A$41:$F$44,4,FALSE)+IF(1=D813,'难度参数'!$E$30,0))</x:f>
        <x:v>756</x:v>
      </x:c>
      <x:c r="AB813" s="119" t="n">
        <x:f>IF(2&gt;D813,0,MAX(2,MIN('难度参数'!$E$12,ROUND(('难度参数'!$E$18*POWER(A813,'难度参数'!$E$19)/D813*(0.85+0.3*(2-1)/MAX(1,D813-1))),0)+F813)))</x:f>
        <x:v>44</x:v>
      </x:c>
      <x:c r="AC813" s="119" t="n">
        <x:f>IF(2&gt;D813,0,ROUND(('难度参数'!$E$13*POWER(A813,'难度参数'!$E$20)*MIN('难度参数'!$E$23,1+MAX(0,A813-'难度参数'!$E$21)*'难度参数'!$E$22))*(36+2*7)/(36+7*(D813+1)/2)*E813,0))</x:f>
        <x:v>13064</x:v>
      </x:c>
      <x:c r="AD813" s="119" t="n">
        <x:f>IF(AB813=0,0,(AB813-IF(2=D813,1,0))*ROUND(AC813*VLOOKUP(INDEX('章节与怪物'!$E$31:$K$37,B813,2),'章节与怪物'!$A$41:$F$44,2,FALSE),0)+IF(2=D813,ROUND(AC813*'难度参数'!$E$28*'章节与怪物'!$E$17,0),0))</x:f>
        <x:v>574816</x:v>
      </x:c>
      <x:c r="AE813" s="119" t="n">
        <x:f>IF(AB813=0,0,(AB813-IF(2=D813,1,0))*VLOOKUP(INDEX('章节与怪物'!$E$31:$K$37,B813,2),'章节与怪物'!$A$41:$F$44,4,FALSE)+IF(2=D813,'难度参数'!$E$30,0))</x:f>
        <x:v>792</x:v>
      </x:c>
      <x:c r="AF813" s="119" t="n">
        <x:f>IF(3&gt;D813,0,MAX(2,MIN('难度参数'!$E$12,ROUND(('难度参数'!$E$18*POWER(A813,'难度参数'!$E$19)/D813*(0.85+0.3*(3-1)/MAX(1,D813-1))),0)+F813)))</x:f>
        <x:v>47</x:v>
      </x:c>
      <x:c r="AG813" s="119" t="n">
        <x:f>IF(3&gt;D813,0,ROUND(('难度参数'!$E$13*POWER(A813,'难度参数'!$E$20)*MIN('难度参数'!$E$23,1+MAX(0,A813-'难度参数'!$E$21)*'难度参数'!$E$22))*(36+3*7)/(36+7*(D813+1)/2)*E813,0))</x:f>
        <x:v>14893</x:v>
      </x:c>
      <x:c r="AH813" s="119" t="n">
        <x:f>IF(AF813=0,0,(AF813-IF(3=D813,1,0))*ROUND(AG813*VLOOKUP(INDEX('章节与怪物'!$E$31:$K$37,B813,3),'章节与怪物'!$A$41:$F$44,2,FALSE),0)+IF(3=D813,ROUND(AG813*'难度参数'!$E$28*'章节与怪物'!$E$17,0),0))</x:f>
        <x:v>503981</x:v>
      </x:c>
      <x:c r="AI813" s="119" t="n">
        <x:f>IF(AF813=0,0,(AF813-IF(3=D813,1,0))*VLOOKUP(INDEX('章节与怪物'!$E$31:$K$37,B813,3),'章节与怪物'!$A$41:$F$44,4,FALSE)+IF(3=D813,'难度参数'!$E$30,0))</x:f>
        <x:v>940</x:v>
      </x:c>
      <x:c r="AJ813" s="119" t="n">
        <x:f>IF(4&gt;D813,0,MAX(2,MIN('难度参数'!$E$12,ROUND(('难度参数'!$E$18*POWER(A813,'难度参数'!$E$19)/D813*(0.85+0.3*(4-1)/MAX(1,D813-1))),0)+F813)))</x:f>
        <x:v>49</x:v>
      </x:c>
      <x:c r="AK813" s="119" t="n">
        <x:f>IF(4&gt;D813,0,ROUND(('难度参数'!$E$13*POWER(A813,'难度参数'!$E$20)*MIN('难度参数'!$E$23,1+MAX(0,A813-'难度参数'!$E$21)*'难度参数'!$E$22))*(36+4*7)/(36+7*(D813+1)/2)*E813,0))</x:f>
        <x:v>16722</x:v>
      </x:c>
      <x:c r="AL813" s="119" t="n">
        <x:f>IF(AJ813=0,0,(AJ813-IF(4=D813,1,0))*ROUND(AK813*VLOOKUP(INDEX('章节与怪物'!$E$31:$K$37,B813,4),'章节与怪物'!$A$41:$F$44,2,FALSE),0)+IF(4=D813,ROUND(AK813*'难度参数'!$E$28*'章节与怪物'!$E$17,0),0))</x:f>
        <x:v>1392923</x:v>
      </x:c>
      <x:c r="AM813" s="119" t="n">
        <x:f>IF(AJ813=0,0,(AJ813-IF(4=D813,1,0))*VLOOKUP(INDEX('章节与怪物'!$E$31:$K$37,B813,4),'章节与怪物'!$A$41:$F$44,4,FALSE)+IF(4=D813,'难度参数'!$E$30,0))</x:f>
        <x:v>1372</x:v>
      </x:c>
      <x:c r="AN813" s="119" t="n">
        <x:f>IF(5&gt;D813,0,MAX(2,MIN('难度参数'!$E$12,ROUND(('难度参数'!$E$18*POWER(A813,'难度参数'!$E$19)/D813*(0.85+0.3*(5-1)/MAX(1,D813-1))),0)+F813)))</x:f>
        <x:v>52</x:v>
      </x:c>
      <x:c r="AO813" s="119" t="n">
        <x:f>IF(5&gt;D813,0,ROUND(('难度参数'!$E$13*POWER(A813,'难度参数'!$E$20)*MIN('难度参数'!$E$23,1+MAX(0,A813-'难度参数'!$E$21)*'难度参数'!$E$22))*(36+5*7)/(36+7*(D813+1)/2)*E813,0))</x:f>
        <x:v>18551</x:v>
      </x:c>
      <x:c r="AP813" s="119" t="n">
        <x:f>IF(AN813=0,0,(AN813-IF(5=D813,1,0))*ROUND(AO813*VLOOKUP(INDEX('章节与怪物'!$E$31:$K$37,B813,5),'章节与怪物'!$A$41:$F$44,2,FALSE),0)+IF(5=D813,ROUND(AO813*'难度参数'!$E$28*'章节与怪物'!$E$17,0),0))</x:f>
        <x:v>1302288</x:v>
      </x:c>
      <x:c r="AQ813" s="119" t="n">
        <x:f>IF(AN813=0,0,(AN813-IF(5=D813,1,0))*VLOOKUP(INDEX('章节与怪物'!$E$31:$K$37,B813,5),'章节与怪物'!$A$41:$F$44,4,FALSE)+IF(5=D813,'难度参数'!$E$30,0))</x:f>
        <x:v>1768</x:v>
      </x:c>
      <x:c r="AR813" s="119" t="n">
        <x:f>IF(6&gt;D813,0,MAX(2,MIN('难度参数'!$E$12,ROUND(('难度参数'!$E$18*POWER(A813,'难度参数'!$E$19)/D813*(0.85+0.3*(6-1)/MAX(1,D813-1))),0)+F813)))</x:f>
        <x:v>54</x:v>
      </x:c>
      <x:c r="AS813" s="119" t="n">
        <x:f>IF(6&gt;D813,0,ROUND(('难度参数'!$E$13*POWER(A813,'难度参数'!$E$20)*MIN('难度参数'!$E$23,1+MAX(0,A813-'难度参数'!$E$21)*'难度参数'!$E$22))*(36+6*7)/(36+7*(D813+1)/2)*E813,0))</x:f>
        <x:v>20380</x:v>
      </x:c>
      <x:c r="AT813" s="119" t="n">
        <x:f>IF(AR813=0,0,(AR813-IF(6=D813,1,0))*ROUND(AS813*VLOOKUP(INDEX('章节与怪物'!$E$31:$K$37,B813,6),'章节与怪物'!$A$41:$F$44,2,FALSE),0)+IF(6=D813,ROUND(AS813*'难度参数'!$E$28*'章节与怪物'!$E$17,0),0))</x:f>
        <x:v>792396</x:v>
      </x:c>
      <x:c r="AU813" s="119" t="n">
        <x:f>IF(AR813=0,0,(AR813-IF(6=D813,1,0))*VLOOKUP(INDEX('章节与怪物'!$E$31:$K$37,B813,6),'章节与怪物'!$A$41:$F$44,4,FALSE)+IF(6=D813,'难度参数'!$E$30,0))</x:f>
        <x:v>1080</x:v>
      </x:c>
      <x:c r="AV813" s="119" t="n">
        <x:f>IF(7&gt;D813,0,MAX(2,MIN('难度参数'!$E$12,ROUND(('难度参数'!$E$18*POWER(A813,'难度参数'!$E$19)/D813*(0.85+0.3*(7-1)/MAX(1,D813-1))),0)+F813)))</x:f>
        <x:v>56</x:v>
      </x:c>
      <x:c r="AW813" s="119" t="n">
        <x:f>IF(7&gt;D813,0,ROUND(('难度参数'!$E$13*POWER(A813,'难度参数'!$E$20)*MIN('难度参数'!$E$23,1+MAX(0,A813-'难度参数'!$E$21)*'难度参数'!$E$22))*(36+7*7)/(36+7*(D813+1)/2)*E813,0))</x:f>
        <x:v>22209</x:v>
      </x:c>
      <x:c r="AX813" s="119" t="n">
        <x:f>IF(AV813=0,0,(AV813-IF(7=D813,1,0))*ROUND(AW813*VLOOKUP(INDEX('章节与怪物'!$E$31:$K$37,B813,7),'章节与怪物'!$A$41:$F$44,2,FALSE),0)+IF(7=D813,ROUND(AW813*'难度参数'!$E$28*'章节与怪物'!$E$17,0),0))</x:f>
        <x:v>2227546</x:v>
      </x:c>
      <x:c r="AY813" s="119" t="n">
        <x:f>IF(AV813=0,0,(AV813-IF(7=D813,1,0))*VLOOKUP(INDEX('章节与怪物'!$E$31:$K$37,B813,7),'章节与怪物'!$A$41:$F$44,4,FALSE)+IF(7=D813,'难度参数'!$E$30,0))</x:f>
        <x:v>1740</x:v>
      </x:c>
    </x:row>
    <x:row r="814" ht="23" customHeight="1">
      <x:c r="A814" s="119" t="n">
        <x:v>808</x:v>
      </x:c>
      <x:c r="B814" s="119" t="n">
        <x:f>MOD(INT((A814-1)/5),7)+1</x:f>
        <x:v>1</x:v>
      </x:c>
      <x:c r="C814" s="62" t="str">
        <x:f>INDEX('章节与怪物'!$B$31:$B$37,B814)</x:f>
        <x:v>冰雪荒原</x:v>
      </x:c>
      <x:c r="D814" s="119" t="n">
        <x:f>MIN('难度参数'!$E$8,MAX('难度参数'!$E$7,A814))</x:f>
        <x:v>7</x:v>
      </x:c>
      <x:c r="E814" s="106" t="n">
        <x:v>1</x:v>
      </x:c>
      <x:c r="F814" s="106" t="n">
        <x:v>0</x:v>
      </x:c>
      <x:c r="G814" s="106" t="n">
        <x:v>1</x:v>
      </x:c>
      <x:c r="H814" s="119" t="n">
        <x:f>SUM(X814,AB814,AF814,AJ814,AN814,AR814,AV814)</x:f>
        <x:v>344</x:v>
      </x:c>
      <x:c r="I814" s="119" t="n">
        <x:f>SUM(Z814,AD814,AH814,AL814,AP814,AT814,AX814)</x:f>
        <x:v>7272203</x:v>
      </x:c>
      <x:c r="J814" s="119" t="n">
        <x:f>ROUND(INDEX(X814:AY814,1,(D814-1)*4+2)*'难度参数'!$E$28*'章节与怪物'!$E$17,0)</x:f>
        <x:v>151150</x:v>
      </x:c>
      <x:c r="K814" s="119" t="n">
        <x:f>SUM(AA814,AE814,AI814,AM814,AQ814,AU814,AY814)</x:f>
        <x:v>8448</x:v>
      </x:c>
      <x:c r="L814" s="62" t="n">
        <x:f>H814*(ROUNDUP('难度参数'!$E$24/('难度参数'!$E$26*'难度参数'!$E$27),0)*'难度参数'!$E$26)/60</x:f>
        <x:v>4.586666666666667</x:v>
      </x:c>
      <x:c r="M814" s="62" t="n">
        <x:f>L814+D814*('难度参数'!$E$49+'难度参数'!$E$50)/60</x:f>
        <x:v>5.753333333333334</x:v>
      </x:c>
      <x:c r="N814" s="119" t="n">
        <x:f>ROUNDDOWN(('经济参数'!$E$20+A814*'经济参数'!$E$21)*G814,0)</x:f>
        <x:v>16340</x:v>
      </x:c>
      <x:c r="O814" s="119" t="n">
        <x:f>ROUNDDOWN(MIN('经济参数'!$E$24,'经济参数'!$E$22+A814*'经济参数'!$E$23)*G814,0)</x:f>
        <x:v>0</x:v>
      </x:c>
      <x:c r="P814" s="119" t="n">
        <x:f>ROUNDDOWN((IF(A814&gt;='材料与任务'!$E$31,'材料与任务'!$E$32,IF(A814&gt;='材料与任务'!$E$25,'材料与任务'!$E$26,IF(A814&gt;='材料与任务'!$E$19,'材料与任务'!$E$20,IF(A814&gt;='材料与任务'!$E$13,'材料与任务'!$E$14,'材料与任务'!$E$8)))))*G814,0)</x:f>
        <x:v>6</x:v>
      </x:c>
      <x:c r="Q814" s="119" t="n">
        <x:f>ROUNDDOWN((IF(A814&gt;='材料与任务'!$E$31,'材料与任务'!$E$33,IF(A814&gt;='材料与任务'!$E$25,'材料与任务'!$E$27,IF(A814&gt;='材料与任务'!$E$19,'材料与任务'!$E$21,IF(A814&gt;='材料与任务'!$E$13,'材料与任务'!$E$15,'材料与任务'!$E$9)))))*G814,0)</x:f>
        <x:v>3</x:v>
      </x:c>
      <x:c r="R814" s="110" t="n">
        <x:f>'装备掉落'!$B$38</x:f>
        <x:v>0.6872058758851213</x:v>
      </x:c>
      <x:c r="S814" s="119" t="n">
        <x:f>MAX(IF(VLOOKUP(A814,'装备掉落'!$A$29:$H$34,2,TRUE)&gt;0,1,0),IF(VLOOKUP(A814,'装备掉落'!$A$29:$H$34,3,TRUE)&gt;0,2,0),IF(VLOOKUP(A814,'装备掉落'!$A$29:$H$34,4,TRUE)&gt;0,3,0),IF(VLOOKUP(A814,'装备掉落'!$A$29:$H$34,5,TRUE)&gt;0,4,0),IF(VLOOKUP(A814,'装备掉落'!$A$29:$H$34,6,TRUE)&gt;0,5,0),IF(VLOOKUP(A814,'装备掉落'!$A$29:$H$34,7,TRUE)&gt;0,6,0),IF(VLOOKUP(A814,'装备掉落'!$A$29:$H$34,8,TRUE)&gt;0,7,0))</x:f>
        <x:v>7</x:v>
      </x:c>
      <x:c r="T814" s="119" t="n">
        <x:f>MIN(7,S814+'经济参数'!$E$70)</x:f>
        <x:v>7</x:v>
      </x:c>
      <x:c r="U814" s="119" t="n">
        <x:f>MIN(7,S814+'经济参数'!$E$71)</x:f>
        <x:v>7</x:v>
      </x:c>
      <x:c r="V814" s="119" t="n">
        <x:f>IF(H814&gt;=('难度参数'!$E$52),1,0)+IF(H814&gt;=('难度参数'!$E$52+'难度参数'!$E$53),1,0)+IF(H814&gt;=('难度参数'!$E$52+'难度参数'!$E$53+'难度参数'!$E$54),1,0)+IF(H814&gt;=('难度参数'!$E$52+'难度参数'!$E$53+'难度参数'!$E$54+'难度参数'!$E$55),1,0)+IF(H814&gt;=('难度参数'!$E$52+'难度参数'!$E$53+'难度参数'!$E$54+'难度参数'!$E$55+'难度参数'!$E$56),1,0)+IF(H814&gt;=('难度参数'!$E$52+'难度参数'!$E$53+'难度参数'!$E$54+'难度参数'!$E$55+'难度参数'!$E$56+'难度参数'!$E$57),1,0)</x:f>
        <x:v>6</x:v>
      </x:c>
      <x:c r="W814" s="62" t="str">
        <x:f>IF(L814&gt;'难度参数'!$E$51,"仅出怪已超目标","还需实测")</x:f>
        <x:v>仅出怪已超目标</x:v>
      </x:c>
      <x:c r="X814" s="119" t="n">
        <x:f>IF(1&gt;D814,0,MAX(2,MIN('难度参数'!$E$12,ROUND(('难度参数'!$E$18*POWER(A814,'难度参数'!$E$19)/D814*(0.85+0.3*(1-1)/MAX(1,D814-1))),0)+F814)))</x:f>
        <x:v>42</x:v>
      </x:c>
      <x:c r="Y814" s="119" t="n">
        <x:f>IF(1&gt;D814,0,ROUND(('难度参数'!$E$13*POWER(A814,'难度参数'!$E$20)*MIN('难度参数'!$E$23,1+MAX(0,A814-'难度参数'!$E$21)*'难度参数'!$E$22))*(36+1*7)/(36+7*(D814+1)/2)*E814,0))</x:f>
        <x:v>11245</x:v>
      </x:c>
      <x:c r="Z814" s="119" t="n">
        <x:f>IF(X814=0,0,(X814-IF(1=D814,1,0))*ROUND(Y814*VLOOKUP(INDEX('章节与怪物'!$E$31:$K$37,B814,1),'章节与怪物'!$A$41:$F$44,2,FALSE),0)+IF(1=D814,ROUND(Y814*'难度参数'!$E$28*'章节与怪物'!$E$17,0),0))</x:f>
        <x:v>472290</x:v>
      </x:c>
      <x:c r="AA814" s="119" t="n">
        <x:f>IF(X814=0,0,(X814-IF(1=D814,1,0))*VLOOKUP(INDEX('章节与怪物'!$E$31:$K$37,B814,1),'章节与怪物'!$A$41:$F$44,4,FALSE)+IF(1=D814,'难度参数'!$E$30,0))</x:f>
        <x:v>756</x:v>
      </x:c>
      <x:c r="AB814" s="119" t="n">
        <x:f>IF(2&gt;D814,0,MAX(2,MIN('难度参数'!$E$12,ROUND(('难度参数'!$E$18*POWER(A814,'难度参数'!$E$19)/D814*(0.85+0.3*(2-1)/MAX(1,D814-1))),0)+F814)))</x:f>
        <x:v>44</x:v>
      </x:c>
      <x:c r="AC814" s="119" t="n">
        <x:f>IF(2&gt;D814,0,ROUND(('难度参数'!$E$13*POWER(A814,'难度参数'!$E$20)*MIN('难度参数'!$E$23,1+MAX(0,A814-'难度参数'!$E$21)*'难度参数'!$E$22))*(36+2*7)/(36+7*(D814+1)/2)*E814,0))</x:f>
        <x:v>13076</x:v>
      </x:c>
      <x:c r="AD814" s="119" t="n">
        <x:f>IF(AB814=0,0,(AB814-IF(2=D814,1,0))*ROUND(AC814*VLOOKUP(INDEX('章节与怪物'!$E$31:$K$37,B814,2),'章节与怪物'!$A$41:$F$44,2,FALSE),0)+IF(2=D814,ROUND(AC814*'难度参数'!$E$28*'章节与怪物'!$E$17,0),0))</x:f>
        <x:v>575344</x:v>
      </x:c>
      <x:c r="AE814" s="119" t="n">
        <x:f>IF(AB814=0,0,(AB814-IF(2=D814,1,0))*VLOOKUP(INDEX('章节与怪物'!$E$31:$K$37,B814,2),'章节与怪物'!$A$41:$F$44,4,FALSE)+IF(2=D814,'难度参数'!$E$30,0))</x:f>
        <x:v>792</x:v>
      </x:c>
      <x:c r="AF814" s="119" t="n">
        <x:f>IF(3&gt;D814,0,MAX(2,MIN('难度参数'!$E$12,ROUND(('难度参数'!$E$18*POWER(A814,'难度参数'!$E$19)/D814*(0.85+0.3*(3-1)/MAX(1,D814-1))),0)+F814)))</x:f>
        <x:v>47</x:v>
      </x:c>
      <x:c r="AG814" s="119" t="n">
        <x:f>IF(3&gt;D814,0,ROUND(('难度参数'!$E$13*POWER(A814,'难度参数'!$E$20)*MIN('难度参数'!$E$23,1+MAX(0,A814-'难度参数'!$E$21)*'难度参数'!$E$22))*(36+3*7)/(36+7*(D814+1)/2)*E814,0))</x:f>
        <x:v>14906</x:v>
      </x:c>
      <x:c r="AH814" s="119" t="n">
        <x:f>IF(AF814=0,0,(AF814-IF(3=D814,1,0))*ROUND(AG814*VLOOKUP(INDEX('章节与怪物'!$E$31:$K$37,B814,3),'章节与怪物'!$A$41:$F$44,2,FALSE),0)+IF(3=D814,ROUND(AG814*'难度参数'!$E$28*'章节与怪物'!$E$17,0),0))</x:f>
        <x:v>504404</x:v>
      </x:c>
      <x:c r="AI814" s="119" t="n">
        <x:f>IF(AF814=0,0,(AF814-IF(3=D814,1,0))*VLOOKUP(INDEX('章节与怪物'!$E$31:$K$37,B814,3),'章节与怪物'!$A$41:$F$44,4,FALSE)+IF(3=D814,'难度参数'!$E$30,0))</x:f>
        <x:v>940</x:v>
      </x:c>
      <x:c r="AJ814" s="119" t="n">
        <x:f>IF(4&gt;D814,0,MAX(2,MIN('难度参数'!$E$12,ROUND(('难度参数'!$E$18*POWER(A814,'难度参数'!$E$19)/D814*(0.85+0.3*(4-1)/MAX(1,D814-1))),0)+F814)))</x:f>
        <x:v>49</x:v>
      </x:c>
      <x:c r="AK814" s="119" t="n">
        <x:f>IF(4&gt;D814,0,ROUND(('难度参数'!$E$13*POWER(A814,'难度参数'!$E$20)*MIN('难度参数'!$E$23,1+MAX(0,A814-'难度参数'!$E$21)*'难度参数'!$E$22))*(36+4*7)/(36+7*(D814+1)/2)*E814,0))</x:f>
        <x:v>16737</x:v>
      </x:c>
      <x:c r="AL814" s="119" t="n">
        <x:f>IF(AJ814=0,0,(AJ814-IF(4=D814,1,0))*ROUND(AK814*VLOOKUP(INDEX('章节与怪物'!$E$31:$K$37,B814,4),'章节与怪物'!$A$41:$F$44,2,FALSE),0)+IF(4=D814,ROUND(AK814*'难度参数'!$E$28*'章节与怪物'!$E$17,0),0))</x:f>
        <x:v>1394197</x:v>
      </x:c>
      <x:c r="AM814" s="119" t="n">
        <x:f>IF(AJ814=0,0,(AJ814-IF(4=D814,1,0))*VLOOKUP(INDEX('章节与怪物'!$E$31:$K$37,B814,4),'章节与怪物'!$A$41:$F$44,4,FALSE)+IF(4=D814,'难度参数'!$E$30,0))</x:f>
        <x:v>1372</x:v>
      </x:c>
      <x:c r="AN814" s="119" t="n">
        <x:f>IF(5&gt;D814,0,MAX(2,MIN('难度参数'!$E$12,ROUND(('难度参数'!$E$18*POWER(A814,'难度参数'!$E$19)/D814*(0.85+0.3*(5-1)/MAX(1,D814-1))),0)+F814)))</x:f>
        <x:v>52</x:v>
      </x:c>
      <x:c r="AO814" s="119" t="n">
        <x:f>IF(5&gt;D814,0,ROUND(('难度参数'!$E$13*POWER(A814,'难度参数'!$E$20)*MIN('难度参数'!$E$23,1+MAX(0,A814-'难度参数'!$E$21)*'难度参数'!$E$22))*(36+5*7)/(36+7*(D814+1)/2)*E814,0))</x:f>
        <x:v>18567</x:v>
      </x:c>
      <x:c r="AP814" s="119" t="n">
        <x:f>IF(AN814=0,0,(AN814-IF(5=D814,1,0))*ROUND(AO814*VLOOKUP(INDEX('章节与怪物'!$E$31:$K$37,B814,5),'章节与怪物'!$A$41:$F$44,2,FALSE),0)+IF(5=D814,ROUND(AO814*'难度参数'!$E$28*'章节与怪物'!$E$17,0),0))</x:f>
        <x:v>1303380</x:v>
      </x:c>
      <x:c r="AQ814" s="119" t="n">
        <x:f>IF(AN814=0,0,(AN814-IF(5=D814,1,0))*VLOOKUP(INDEX('章节与怪物'!$E$31:$K$37,B814,5),'章节与怪物'!$A$41:$F$44,4,FALSE)+IF(5=D814,'难度参数'!$E$30,0))</x:f>
        <x:v>1768</x:v>
      </x:c>
      <x:c r="AR814" s="119" t="n">
        <x:f>IF(6&gt;D814,0,MAX(2,MIN('难度参数'!$E$12,ROUND(('难度参数'!$E$18*POWER(A814,'难度参数'!$E$19)/D814*(0.85+0.3*(6-1)/MAX(1,D814-1))),0)+F814)))</x:f>
        <x:v>54</x:v>
      </x:c>
      <x:c r="AS814" s="119" t="n">
        <x:f>IF(6&gt;D814,0,ROUND(('难度参数'!$E$13*POWER(A814,'难度参数'!$E$20)*MIN('难度参数'!$E$23,1+MAX(0,A814-'难度参数'!$E$21)*'难度参数'!$E$22))*(36+6*7)/(36+7*(D814+1)/2)*E814,0))</x:f>
        <x:v>20398</x:v>
      </x:c>
      <x:c r="AT814" s="119" t="n">
        <x:f>IF(AR814=0,0,(AR814-IF(6=D814,1,0))*ROUND(AS814*VLOOKUP(INDEX('章节与怪物'!$E$31:$K$37,B814,6),'章节与怪物'!$A$41:$F$44,2,FALSE),0)+IF(6=D814,ROUND(AS814*'难度参数'!$E$28*'章节与怪物'!$E$17,0),0))</x:f>
        <x:v>793098</x:v>
      </x:c>
      <x:c r="AU814" s="119" t="n">
        <x:f>IF(AR814=0,0,(AR814-IF(6=D814,1,0))*VLOOKUP(INDEX('章节与怪物'!$E$31:$K$37,B814,6),'章节与怪物'!$A$41:$F$44,4,FALSE)+IF(6=D814,'难度参数'!$E$30,0))</x:f>
        <x:v>1080</x:v>
      </x:c>
      <x:c r="AV814" s="119" t="n">
        <x:f>IF(7&gt;D814,0,MAX(2,MIN('难度参数'!$E$12,ROUND(('难度参数'!$E$18*POWER(A814,'难度参数'!$E$19)/D814*(0.85+0.3*(7-1)/MAX(1,D814-1))),0)+F814)))</x:f>
        <x:v>56</x:v>
      </x:c>
      <x:c r="AW814" s="119" t="n">
        <x:f>IF(7&gt;D814,0,ROUND(('难度参数'!$E$13*POWER(A814,'难度参数'!$E$20)*MIN('难度参数'!$E$23,1+MAX(0,A814-'难度参数'!$E$21)*'难度参数'!$E$22))*(36+7*7)/(36+7*(D814+1)/2)*E814,0))</x:f>
        <x:v>22228</x:v>
      </x:c>
      <x:c r="AX814" s="119" t="n">
        <x:f>IF(AV814=0,0,(AV814-IF(7=D814,1,0))*ROUND(AW814*VLOOKUP(INDEX('章节与怪物'!$E$31:$K$37,B814,7),'章节与怪物'!$A$41:$F$44,2,FALSE),0)+IF(7=D814,ROUND(AW814*'难度参数'!$E$28*'章节与怪物'!$E$17,0),0))</x:f>
        <x:v>2229490</x:v>
      </x:c>
      <x:c r="AY814" s="119" t="n">
        <x:f>IF(AV814=0,0,(AV814-IF(7=D814,1,0))*VLOOKUP(INDEX('章节与怪物'!$E$31:$K$37,B814,7),'章节与怪物'!$A$41:$F$44,4,FALSE)+IF(7=D814,'难度参数'!$E$30,0))</x:f>
        <x:v>1740</x:v>
      </x:c>
    </x:row>
    <x:row r="815" ht="23" customHeight="1">
      <x:c r="A815" s="119" t="n">
        <x:v>809</x:v>
      </x:c>
      <x:c r="B815" s="119" t="n">
        <x:f>MOD(INT((A815-1)/5),7)+1</x:f>
        <x:v>1</x:v>
      </x:c>
      <x:c r="C815" s="62" t="str">
        <x:f>INDEX('章节与怪物'!$B$31:$B$37,B815)</x:f>
        <x:v>冰雪荒原</x:v>
      </x:c>
      <x:c r="D815" s="119" t="n">
        <x:f>MIN('难度参数'!$E$8,MAX('难度参数'!$E$7,A815))</x:f>
        <x:v>7</x:v>
      </x:c>
      <x:c r="E815" s="106" t="n">
        <x:v>1</x:v>
      </x:c>
      <x:c r="F815" s="106" t="n">
        <x:v>0</x:v>
      </x:c>
      <x:c r="G815" s="106" t="n">
        <x:v>1</x:v>
      </x:c>
      <x:c r="H815" s="119" t="n">
        <x:f>SUM(X815,AB815,AF815,AJ815,AN815,AR815,AV815)</x:f>
        <x:v>344</x:v>
      </x:c>
      <x:c r="I815" s="119" t="n">
        <x:f>SUM(Z815,AD815,AH815,AL815,AP815,AT815,AX815)</x:f>
        <x:v>7278706</x:v>
      </x:c>
      <x:c r="J815" s="119" t="n">
        <x:f>ROUND(INDEX(X815:AY815,1,(D815-1)*4+2)*'难度参数'!$E$28*'章节与怪物'!$E$17,0)</x:f>
        <x:v>151286</x:v>
      </x:c>
      <x:c r="K815" s="119" t="n">
        <x:f>SUM(AA815,AE815,AI815,AM815,AQ815,AU815,AY815)</x:f>
        <x:v>8448</x:v>
      </x:c>
      <x:c r="L815" s="62" t="n">
        <x:f>H815*(ROUNDUP('难度参数'!$E$24/('难度参数'!$E$26*'难度参数'!$E$27),0)*'难度参数'!$E$26)/60</x:f>
        <x:v>4.586666666666667</x:v>
      </x:c>
      <x:c r="M815" s="62" t="n">
        <x:f>L815+D815*('难度参数'!$E$49+'难度参数'!$E$50)/60</x:f>
        <x:v>5.753333333333334</x:v>
      </x:c>
      <x:c r="N815" s="119" t="n">
        <x:f>ROUNDDOWN(('经济参数'!$E$20+A815*'经济参数'!$E$21)*G815,0)</x:f>
        <x:v>16360</x:v>
      </x:c>
      <x:c r="O815" s="119" t="n">
        <x:f>ROUNDDOWN(MIN('经济参数'!$E$24,'经济参数'!$E$22+A815*'经济参数'!$E$23)*G815,0)</x:f>
        <x:v>0</x:v>
      </x:c>
      <x:c r="P815" s="119" t="n">
        <x:f>ROUNDDOWN((IF(A815&gt;='材料与任务'!$E$31,'材料与任务'!$E$32,IF(A815&gt;='材料与任务'!$E$25,'材料与任务'!$E$26,IF(A815&gt;='材料与任务'!$E$19,'材料与任务'!$E$20,IF(A815&gt;='材料与任务'!$E$13,'材料与任务'!$E$14,'材料与任务'!$E$8)))))*G815,0)</x:f>
        <x:v>6</x:v>
      </x:c>
      <x:c r="Q815" s="119" t="n">
        <x:f>ROUNDDOWN((IF(A815&gt;='材料与任务'!$E$31,'材料与任务'!$E$33,IF(A815&gt;='材料与任务'!$E$25,'材料与任务'!$E$27,IF(A815&gt;='材料与任务'!$E$19,'材料与任务'!$E$21,IF(A815&gt;='材料与任务'!$E$13,'材料与任务'!$E$15,'材料与任务'!$E$9)))))*G815,0)</x:f>
        <x:v>3</x:v>
      </x:c>
      <x:c r="R815" s="110" t="n">
        <x:f>'装备掉落'!$B$38</x:f>
        <x:v>0.6872058758851213</x:v>
      </x:c>
      <x:c r="S815" s="119" t="n">
        <x:f>MAX(IF(VLOOKUP(A815,'装备掉落'!$A$29:$H$34,2,TRUE)&gt;0,1,0),IF(VLOOKUP(A815,'装备掉落'!$A$29:$H$34,3,TRUE)&gt;0,2,0),IF(VLOOKUP(A815,'装备掉落'!$A$29:$H$34,4,TRUE)&gt;0,3,0),IF(VLOOKUP(A815,'装备掉落'!$A$29:$H$34,5,TRUE)&gt;0,4,0),IF(VLOOKUP(A815,'装备掉落'!$A$29:$H$34,6,TRUE)&gt;0,5,0),IF(VLOOKUP(A815,'装备掉落'!$A$29:$H$34,7,TRUE)&gt;0,6,0),IF(VLOOKUP(A815,'装备掉落'!$A$29:$H$34,8,TRUE)&gt;0,7,0))</x:f>
        <x:v>7</x:v>
      </x:c>
      <x:c r="T815" s="119" t="n">
        <x:f>MIN(7,S815+'经济参数'!$E$70)</x:f>
        <x:v>7</x:v>
      </x:c>
      <x:c r="U815" s="119" t="n">
        <x:f>MIN(7,S815+'经济参数'!$E$71)</x:f>
        <x:v>7</x:v>
      </x:c>
      <x:c r="V815" s="119" t="n">
        <x:f>IF(H815&gt;=('难度参数'!$E$52),1,0)+IF(H815&gt;=('难度参数'!$E$52+'难度参数'!$E$53),1,0)+IF(H815&gt;=('难度参数'!$E$52+'难度参数'!$E$53+'难度参数'!$E$54),1,0)+IF(H815&gt;=('难度参数'!$E$52+'难度参数'!$E$53+'难度参数'!$E$54+'难度参数'!$E$55),1,0)+IF(H815&gt;=('难度参数'!$E$52+'难度参数'!$E$53+'难度参数'!$E$54+'难度参数'!$E$55+'难度参数'!$E$56),1,0)+IF(H815&gt;=('难度参数'!$E$52+'难度参数'!$E$53+'难度参数'!$E$54+'难度参数'!$E$55+'难度参数'!$E$56+'难度参数'!$E$57),1,0)</x:f>
        <x:v>6</x:v>
      </x:c>
      <x:c r="W815" s="62" t="str">
        <x:f>IF(L815&gt;'难度参数'!$E$51,"仅出怪已超目标","还需实测")</x:f>
        <x:v>仅出怪已超目标</x:v>
      </x:c>
      <x:c r="X815" s="119" t="n">
        <x:f>IF(1&gt;D815,0,MAX(2,MIN('难度参数'!$E$12,ROUND(('难度参数'!$E$18*POWER(A815,'难度参数'!$E$19)/D815*(0.85+0.3*(1-1)/MAX(1,D815-1))),0)+F815)))</x:f>
        <x:v>42</x:v>
      </x:c>
      <x:c r="Y815" s="119" t="n">
        <x:f>IF(1&gt;D815,0,ROUND(('难度参数'!$E$13*POWER(A815,'难度参数'!$E$20)*MIN('难度参数'!$E$23,1+MAX(0,A815-'难度参数'!$E$21)*'难度参数'!$E$22))*(36+1*7)/(36+7*(D815+1)/2)*E815,0))</x:f>
        <x:v>11255</x:v>
      </x:c>
      <x:c r="Z815" s="119" t="n">
        <x:f>IF(X815=0,0,(X815-IF(1=D815,1,0))*ROUND(Y815*VLOOKUP(INDEX('章节与怪物'!$E$31:$K$37,B815,1),'章节与怪物'!$A$41:$F$44,2,FALSE),0)+IF(1=D815,ROUND(Y815*'难度参数'!$E$28*'章节与怪物'!$E$17,0),0))</x:f>
        <x:v>472710</x:v>
      </x:c>
      <x:c r="AA815" s="119" t="n">
        <x:f>IF(X815=0,0,(X815-IF(1=D815,1,0))*VLOOKUP(INDEX('章节与怪物'!$E$31:$K$37,B815,1),'章节与怪物'!$A$41:$F$44,4,FALSE)+IF(1=D815,'难度参数'!$E$30,0))</x:f>
        <x:v>756</x:v>
      </x:c>
      <x:c r="AB815" s="119" t="n">
        <x:f>IF(2&gt;D815,0,MAX(2,MIN('难度参数'!$E$12,ROUND(('难度参数'!$E$18*POWER(A815,'难度参数'!$E$19)/D815*(0.85+0.3*(2-1)/MAX(1,D815-1))),0)+F815)))</x:f>
        <x:v>44</x:v>
      </x:c>
      <x:c r="AC815" s="119" t="n">
        <x:f>IF(2&gt;D815,0,ROUND(('难度参数'!$E$13*POWER(A815,'难度参数'!$E$20)*MIN('难度参数'!$E$23,1+MAX(0,A815-'难度参数'!$E$21)*'难度参数'!$E$22))*(36+2*7)/(36+7*(D815+1)/2)*E815,0))</x:f>
        <x:v>13087</x:v>
      </x:c>
      <x:c r="AD815" s="119" t="n">
        <x:f>IF(AB815=0,0,(AB815-IF(2=D815,1,0))*ROUND(AC815*VLOOKUP(INDEX('章节与怪物'!$E$31:$K$37,B815,2),'章节与怪物'!$A$41:$F$44,2,FALSE),0)+IF(2=D815,ROUND(AC815*'难度参数'!$E$28*'章节与怪物'!$E$17,0),0))</x:f>
        <x:v>575828</x:v>
      </x:c>
      <x:c r="AE815" s="119" t="n">
        <x:f>IF(AB815=0,0,(AB815-IF(2=D815,1,0))*VLOOKUP(INDEX('章节与怪物'!$E$31:$K$37,B815,2),'章节与怪物'!$A$41:$F$44,4,FALSE)+IF(2=D815,'难度参数'!$E$30,0))</x:f>
        <x:v>792</x:v>
      </x:c>
      <x:c r="AF815" s="119" t="n">
        <x:f>IF(3&gt;D815,0,MAX(2,MIN('难度参数'!$E$12,ROUND(('难度参数'!$E$18*POWER(A815,'难度参数'!$E$19)/D815*(0.85+0.3*(3-1)/MAX(1,D815-1))),0)+F815)))</x:f>
        <x:v>47</x:v>
      </x:c>
      <x:c r="AG815" s="119" t="n">
        <x:f>IF(3&gt;D815,0,ROUND(('难度参数'!$E$13*POWER(A815,'难度参数'!$E$20)*MIN('难度参数'!$E$23,1+MAX(0,A815-'难度参数'!$E$21)*'难度参数'!$E$22))*(36+3*7)/(36+7*(D815+1)/2)*E815,0))</x:f>
        <x:v>14919</x:v>
      </x:c>
      <x:c r="AH815" s="119" t="n">
        <x:f>IF(AF815=0,0,(AF815-IF(3=D815,1,0))*ROUND(AG815*VLOOKUP(INDEX('章节与怪物'!$E$31:$K$37,B815,3),'章节与怪物'!$A$41:$F$44,2,FALSE),0)+IF(3=D815,ROUND(AG815*'难度参数'!$E$28*'章节与怪物'!$E$17,0),0))</x:f>
        <x:v>504874</x:v>
      </x:c>
      <x:c r="AI815" s="119" t="n">
        <x:f>IF(AF815=0,0,(AF815-IF(3=D815,1,0))*VLOOKUP(INDEX('章节与怪物'!$E$31:$K$37,B815,3),'章节与怪物'!$A$41:$F$44,4,FALSE)+IF(3=D815,'难度参数'!$E$30,0))</x:f>
        <x:v>940</x:v>
      </x:c>
      <x:c r="AJ815" s="119" t="n">
        <x:f>IF(4&gt;D815,0,MAX(2,MIN('难度参数'!$E$12,ROUND(('难度参数'!$E$18*POWER(A815,'难度参数'!$E$19)/D815*(0.85+0.3*(4-1)/MAX(1,D815-1))),0)+F815)))</x:f>
        <x:v>49</x:v>
      </x:c>
      <x:c r="AK815" s="119" t="n">
        <x:f>IF(4&gt;D815,0,ROUND(('难度参数'!$E$13*POWER(A815,'难度参数'!$E$20)*MIN('难度参数'!$E$23,1+MAX(0,A815-'难度参数'!$E$21)*'难度参数'!$E$22))*(36+4*7)/(36+7*(D815+1)/2)*E815,0))</x:f>
        <x:v>16752</x:v>
      </x:c>
      <x:c r="AL815" s="119" t="n">
        <x:f>IF(AJ815=0,0,(AJ815-IF(4=D815,1,0))*ROUND(AK815*VLOOKUP(INDEX('章节与怪物'!$E$31:$K$37,B815,4),'章节与怪物'!$A$41:$F$44,2,FALSE),0)+IF(4=D815,ROUND(AK815*'难度参数'!$E$28*'章节与怪物'!$E$17,0),0))</x:f>
        <x:v>1395422</x:v>
      </x:c>
      <x:c r="AM815" s="119" t="n">
        <x:f>IF(AJ815=0,0,(AJ815-IF(4=D815,1,0))*VLOOKUP(INDEX('章节与怪物'!$E$31:$K$37,B815,4),'章节与怪物'!$A$41:$F$44,4,FALSE)+IF(4=D815,'难度参数'!$E$30,0))</x:f>
        <x:v>1372</x:v>
      </x:c>
      <x:c r="AN815" s="119" t="n">
        <x:f>IF(5&gt;D815,0,MAX(2,MIN('难度参数'!$E$12,ROUND(('难度参数'!$E$18*POWER(A815,'难度参数'!$E$19)/D815*(0.85+0.3*(5-1)/MAX(1,D815-1))),0)+F815)))</x:f>
        <x:v>52</x:v>
      </x:c>
      <x:c r="AO815" s="119" t="n">
        <x:f>IF(5&gt;D815,0,ROUND(('难度参数'!$E$13*POWER(A815,'难度参数'!$E$20)*MIN('难度参数'!$E$23,1+MAX(0,A815-'难度参数'!$E$21)*'难度参数'!$E$22))*(36+5*7)/(36+7*(D815+1)/2)*E815,0))</x:f>
        <x:v>18584</x:v>
      </x:c>
      <x:c r="AP815" s="119" t="n">
        <x:f>IF(AN815=0,0,(AN815-IF(5=D815,1,0))*ROUND(AO815*VLOOKUP(INDEX('章节与怪物'!$E$31:$K$37,B815,5),'章节与怪物'!$A$41:$F$44,2,FALSE),0)+IF(5=D815,ROUND(AO815*'难度参数'!$E$28*'章节与怪物'!$E$17,0),0))</x:f>
        <x:v>1304576</x:v>
      </x:c>
      <x:c r="AQ815" s="119" t="n">
        <x:f>IF(AN815=0,0,(AN815-IF(5=D815,1,0))*VLOOKUP(INDEX('章节与怪物'!$E$31:$K$37,B815,5),'章节与怪物'!$A$41:$F$44,4,FALSE)+IF(5=D815,'难度参数'!$E$30,0))</x:f>
        <x:v>1768</x:v>
      </x:c>
      <x:c r="AR815" s="119" t="n">
        <x:f>IF(6&gt;D815,0,MAX(2,MIN('难度参数'!$E$12,ROUND(('难度参数'!$E$18*POWER(A815,'难度参数'!$E$19)/D815*(0.85+0.3*(6-1)/MAX(1,D815-1))),0)+F815)))</x:f>
        <x:v>54</x:v>
      </x:c>
      <x:c r="AS815" s="119" t="n">
        <x:f>IF(6&gt;D815,0,ROUND(('难度参数'!$E$13*POWER(A815,'难度参数'!$E$20)*MIN('难度参数'!$E$23,1+MAX(0,A815-'难度参数'!$E$21)*'难度参数'!$E$22))*(36+6*7)/(36+7*(D815+1)/2)*E815,0))</x:f>
        <x:v>20416</x:v>
      </x:c>
      <x:c r="AT815" s="119" t="n">
        <x:f>IF(AR815=0,0,(AR815-IF(6=D815,1,0))*ROUND(AS815*VLOOKUP(INDEX('章节与怪物'!$E$31:$K$37,B815,6),'章节与怪物'!$A$41:$F$44,2,FALSE),0)+IF(6=D815,ROUND(AS815*'难度参数'!$E$28*'章节与怪物'!$E$17,0),0))</x:f>
        <x:v>793800</x:v>
      </x:c>
      <x:c r="AU815" s="119" t="n">
        <x:f>IF(AR815=0,0,(AR815-IF(6=D815,1,0))*VLOOKUP(INDEX('章节与怪物'!$E$31:$K$37,B815,6),'章节与怪物'!$A$41:$F$44,4,FALSE)+IF(6=D815,'难度参数'!$E$30,0))</x:f>
        <x:v>1080</x:v>
      </x:c>
      <x:c r="AV815" s="119" t="n">
        <x:f>IF(7&gt;D815,0,MAX(2,MIN('难度参数'!$E$12,ROUND(('难度参数'!$E$18*POWER(A815,'难度参数'!$E$19)/D815*(0.85+0.3*(7-1)/MAX(1,D815-1))),0)+F815)))</x:f>
        <x:v>56</x:v>
      </x:c>
      <x:c r="AW815" s="119" t="n">
        <x:f>IF(7&gt;D815,0,ROUND(('难度参数'!$E$13*POWER(A815,'难度参数'!$E$20)*MIN('难度参数'!$E$23,1+MAX(0,A815-'难度参数'!$E$21)*'难度参数'!$E$22))*(36+7*7)/(36+7*(D815+1)/2)*E815,0))</x:f>
        <x:v>22248</x:v>
      </x:c>
      <x:c r="AX815" s="119" t="n">
        <x:f>IF(AV815=0,0,(AV815-IF(7=D815,1,0))*ROUND(AW815*VLOOKUP(INDEX('章节与怪物'!$E$31:$K$37,B815,7),'章节与怪物'!$A$41:$F$44,2,FALSE),0)+IF(7=D815,ROUND(AW815*'难度参数'!$E$28*'章节与怪物'!$E$17,0),0))</x:f>
        <x:v>2231496</x:v>
      </x:c>
      <x:c r="AY815" s="119" t="n">
        <x:f>IF(AV815=0,0,(AV815-IF(7=D815,1,0))*VLOOKUP(INDEX('章节与怪物'!$E$31:$K$37,B815,7),'章节与怪物'!$A$41:$F$44,4,FALSE)+IF(7=D815,'难度参数'!$E$30,0))</x:f>
        <x:v>1740</x:v>
      </x:c>
    </x:row>
    <x:row r="816" ht="23" customHeight="1">
      <x:c r="A816" s="119" t="n">
        <x:v>810</x:v>
      </x:c>
      <x:c r="B816" s="119" t="n">
        <x:f>MOD(INT((A816-1)/5),7)+1</x:f>
        <x:v>1</x:v>
      </x:c>
      <x:c r="C816" s="62" t="str">
        <x:f>INDEX('章节与怪物'!$B$31:$B$37,B816)</x:f>
        <x:v>冰雪荒原</x:v>
      </x:c>
      <x:c r="D816" s="119" t="n">
        <x:f>MIN('难度参数'!$E$8,MAX('难度参数'!$E$7,A816))</x:f>
        <x:v>7</x:v>
      </x:c>
      <x:c r="E816" s="106" t="n">
        <x:v>1</x:v>
      </x:c>
      <x:c r="F816" s="106" t="n">
        <x:v>0</x:v>
      </x:c>
      <x:c r="G816" s="106" t="n">
        <x:v>1</x:v>
      </x:c>
      <x:c r="H816" s="119" t="n">
        <x:f>SUM(X816,AB816,AF816,AJ816,AN816,AR816,AV816)</x:f>
        <x:v>345</x:v>
      </x:c>
      <x:c r="I816" s="119" t="n">
        <x:f>SUM(Z816,AD816,AH816,AL816,AP816,AT816,AX816)</x:f>
        <x:v>7323052</x:v>
      </x:c>
      <x:c r="J816" s="119" t="n">
        <x:f>ROUND(INDEX(X816:AY816,1,(D816-1)*4+2)*'难度参数'!$E$28*'章节与怪物'!$E$17,0)</x:f>
        <x:v>151422</x:v>
      </x:c>
      <x:c r="K816" s="119" t="n">
        <x:f>SUM(AA816,AE816,AI816,AM816,AQ816,AU816,AY816)</x:f>
        <x:v>8476</x:v>
      </x:c>
      <x:c r="L816" s="62" t="n">
        <x:f>H816*(ROUNDUP('难度参数'!$E$24/('难度参数'!$E$26*'难度参数'!$E$27),0)*'难度参数'!$E$26)/60</x:f>
        <x:v>4.6</x:v>
      </x:c>
      <x:c r="M816" s="62" t="n">
        <x:f>L816+D816*('难度参数'!$E$49+'难度参数'!$E$50)/60</x:f>
        <x:v>5.766666666666667</x:v>
      </x:c>
      <x:c r="N816" s="119" t="n">
        <x:f>ROUNDDOWN(('经济参数'!$E$20+A816*'经济参数'!$E$21)*G816,0)</x:f>
        <x:v>16380</x:v>
      </x:c>
      <x:c r="O816" s="119" t="n">
        <x:f>ROUNDDOWN(MIN('经济参数'!$E$24,'经济参数'!$E$22+A816*'经济参数'!$E$23)*G816,0)</x:f>
        <x:v>0</x:v>
      </x:c>
      <x:c r="P816" s="119" t="n">
        <x:f>ROUNDDOWN((IF(A816&gt;='材料与任务'!$E$31,'材料与任务'!$E$32,IF(A816&gt;='材料与任务'!$E$25,'材料与任务'!$E$26,IF(A816&gt;='材料与任务'!$E$19,'材料与任务'!$E$20,IF(A816&gt;='材料与任务'!$E$13,'材料与任务'!$E$14,'材料与任务'!$E$8)))))*G816,0)</x:f>
        <x:v>6</x:v>
      </x:c>
      <x:c r="Q816" s="119" t="n">
        <x:f>ROUNDDOWN((IF(A816&gt;='材料与任务'!$E$31,'材料与任务'!$E$33,IF(A816&gt;='材料与任务'!$E$25,'材料与任务'!$E$27,IF(A816&gt;='材料与任务'!$E$19,'材料与任务'!$E$21,IF(A816&gt;='材料与任务'!$E$13,'材料与任务'!$E$15,'材料与任务'!$E$9)))))*G816,0)</x:f>
        <x:v>3</x:v>
      </x:c>
      <x:c r="R816" s="110" t="n">
        <x:f>'装备掉落'!$B$38</x:f>
        <x:v>0.6872058758851213</x:v>
      </x:c>
      <x:c r="S816" s="119" t="n">
        <x:f>MAX(IF(VLOOKUP(A816,'装备掉落'!$A$29:$H$34,2,TRUE)&gt;0,1,0),IF(VLOOKUP(A816,'装备掉落'!$A$29:$H$34,3,TRUE)&gt;0,2,0),IF(VLOOKUP(A816,'装备掉落'!$A$29:$H$34,4,TRUE)&gt;0,3,0),IF(VLOOKUP(A816,'装备掉落'!$A$29:$H$34,5,TRUE)&gt;0,4,0),IF(VLOOKUP(A816,'装备掉落'!$A$29:$H$34,6,TRUE)&gt;0,5,0),IF(VLOOKUP(A816,'装备掉落'!$A$29:$H$34,7,TRUE)&gt;0,6,0),IF(VLOOKUP(A816,'装备掉落'!$A$29:$H$34,8,TRUE)&gt;0,7,0))</x:f>
        <x:v>7</x:v>
      </x:c>
      <x:c r="T816" s="119" t="n">
        <x:f>MIN(7,S816+'经济参数'!$E$70)</x:f>
        <x:v>7</x:v>
      </x:c>
      <x:c r="U816" s="119" t="n">
        <x:f>MIN(7,S816+'经济参数'!$E$71)</x:f>
        <x:v>7</x:v>
      </x:c>
      <x:c r="V816" s="119" t="n">
        <x:f>IF(H816&gt;=('难度参数'!$E$52),1,0)+IF(H816&gt;=('难度参数'!$E$52+'难度参数'!$E$53),1,0)+IF(H816&gt;=('难度参数'!$E$52+'难度参数'!$E$53+'难度参数'!$E$54),1,0)+IF(H816&gt;=('难度参数'!$E$52+'难度参数'!$E$53+'难度参数'!$E$54+'难度参数'!$E$55),1,0)+IF(H816&gt;=('难度参数'!$E$52+'难度参数'!$E$53+'难度参数'!$E$54+'难度参数'!$E$55+'难度参数'!$E$56),1,0)+IF(H816&gt;=('难度参数'!$E$52+'难度参数'!$E$53+'难度参数'!$E$54+'难度参数'!$E$55+'难度参数'!$E$56+'难度参数'!$E$57),1,0)</x:f>
        <x:v>6</x:v>
      </x:c>
      <x:c r="W816" s="62" t="str">
        <x:f>IF(L816&gt;'难度参数'!$E$51,"仅出怪已超目标","还需实测")</x:f>
        <x:v>仅出怪已超目标</x:v>
      </x:c>
      <x:c r="X816" s="119" t="n">
        <x:f>IF(1&gt;D816,0,MAX(2,MIN('难度参数'!$E$12,ROUND(('难度参数'!$E$18*POWER(A816,'难度参数'!$E$19)/D816*(0.85+0.3*(1-1)/MAX(1,D816-1))),0)+F816)))</x:f>
        <x:v>42</x:v>
      </x:c>
      <x:c r="Y816" s="119" t="n">
        <x:f>IF(1&gt;D816,0,ROUND(('难度参数'!$E$13*POWER(A816,'难度参数'!$E$20)*MIN('难度参数'!$E$23,1+MAX(0,A816-'难度参数'!$E$21)*'难度参数'!$E$22))*(36+1*7)/(36+7*(D816+1)/2)*E816,0))</x:f>
        <x:v>11265</x:v>
      </x:c>
      <x:c r="Z816" s="119" t="n">
        <x:f>IF(X816=0,0,(X816-IF(1=D816,1,0))*ROUND(Y816*VLOOKUP(INDEX('章节与怪物'!$E$31:$K$37,B816,1),'章节与怪物'!$A$41:$F$44,2,FALSE),0)+IF(1=D816,ROUND(Y816*'难度参数'!$E$28*'章节与怪物'!$E$17,0),0))</x:f>
        <x:v>473130</x:v>
      </x:c>
      <x:c r="AA816" s="119" t="n">
        <x:f>IF(X816=0,0,(X816-IF(1=D816,1,0))*VLOOKUP(INDEX('章节与怪物'!$E$31:$K$37,B816,1),'章节与怪物'!$A$41:$F$44,4,FALSE)+IF(1=D816,'难度参数'!$E$30,0))</x:f>
        <x:v>756</x:v>
      </x:c>
      <x:c r="AB816" s="119" t="n">
        <x:f>IF(2&gt;D816,0,MAX(2,MIN('难度参数'!$E$12,ROUND(('难度参数'!$E$18*POWER(A816,'难度参数'!$E$19)/D816*(0.85+0.3*(2-1)/MAX(1,D816-1))),0)+F816)))</x:f>
        <x:v>44</x:v>
      </x:c>
      <x:c r="AC816" s="119" t="n">
        <x:f>IF(2&gt;D816,0,ROUND(('难度参数'!$E$13*POWER(A816,'难度参数'!$E$20)*MIN('难度参数'!$E$23,1+MAX(0,A816-'难度参数'!$E$21)*'难度参数'!$E$22))*(36+2*7)/(36+7*(D816+1)/2)*E816,0))</x:f>
        <x:v>13099</x:v>
      </x:c>
      <x:c r="AD816" s="119" t="n">
        <x:f>IF(AB816=0,0,(AB816-IF(2=D816,1,0))*ROUND(AC816*VLOOKUP(INDEX('章节与怪物'!$E$31:$K$37,B816,2),'章节与怪物'!$A$41:$F$44,2,FALSE),0)+IF(2=D816,ROUND(AC816*'难度参数'!$E$28*'章节与怪物'!$E$17,0),0))</x:f>
        <x:v>576356</x:v>
      </x:c>
      <x:c r="AE816" s="119" t="n">
        <x:f>IF(AB816=0,0,(AB816-IF(2=D816,1,0))*VLOOKUP(INDEX('章节与怪物'!$E$31:$K$37,B816,2),'章节与怪物'!$A$41:$F$44,4,FALSE)+IF(2=D816,'难度参数'!$E$30,0))</x:f>
        <x:v>792</x:v>
      </x:c>
      <x:c r="AF816" s="119" t="n">
        <x:f>IF(3&gt;D816,0,MAX(2,MIN('难度参数'!$E$12,ROUND(('难度参数'!$E$18*POWER(A816,'难度参数'!$E$19)/D816*(0.85+0.3*(3-1)/MAX(1,D816-1))),0)+F816)))</x:f>
        <x:v>47</x:v>
      </x:c>
      <x:c r="AG816" s="119" t="n">
        <x:f>IF(3&gt;D816,0,ROUND(('难度参数'!$E$13*POWER(A816,'难度参数'!$E$20)*MIN('难度参数'!$E$23,1+MAX(0,A816-'难度参数'!$E$21)*'难度参数'!$E$22))*(36+3*7)/(36+7*(D816+1)/2)*E816,0))</x:f>
        <x:v>14933</x:v>
      </x:c>
      <x:c r="AH816" s="119" t="n">
        <x:f>IF(AF816=0,0,(AF816-IF(3=D816,1,0))*ROUND(AG816*VLOOKUP(INDEX('章节与怪物'!$E$31:$K$37,B816,3),'章节与怪物'!$A$41:$F$44,2,FALSE),0)+IF(3=D816,ROUND(AG816*'难度参数'!$E$28*'章节与怪物'!$E$17,0),0))</x:f>
        <x:v>505344</x:v>
      </x:c>
      <x:c r="AI816" s="119" t="n">
        <x:f>IF(AF816=0,0,(AF816-IF(3=D816,1,0))*VLOOKUP(INDEX('章节与怪物'!$E$31:$K$37,B816,3),'章节与怪物'!$A$41:$F$44,4,FALSE)+IF(3=D816,'难度参数'!$E$30,0))</x:f>
        <x:v>940</x:v>
      </x:c>
      <x:c r="AJ816" s="119" t="n">
        <x:f>IF(4&gt;D816,0,MAX(2,MIN('难度参数'!$E$12,ROUND(('难度参数'!$E$18*POWER(A816,'难度参数'!$E$19)/D816*(0.85+0.3*(4-1)/MAX(1,D816-1))),0)+F816)))</x:f>
        <x:v>49</x:v>
      </x:c>
      <x:c r="AK816" s="119" t="n">
        <x:f>IF(4&gt;D816,0,ROUND(('难度参数'!$E$13*POWER(A816,'难度参数'!$E$20)*MIN('难度参数'!$E$23,1+MAX(0,A816-'难度参数'!$E$21)*'难度参数'!$E$22))*(36+4*7)/(36+7*(D816+1)/2)*E816,0))</x:f>
        <x:v>16767</x:v>
      </x:c>
      <x:c r="AL816" s="119" t="n">
        <x:f>IF(AJ816=0,0,(AJ816-IF(4=D816,1,0))*ROUND(AK816*VLOOKUP(INDEX('章节与怪物'!$E$31:$K$37,B816,4),'章节与怪物'!$A$41:$F$44,2,FALSE),0)+IF(4=D816,ROUND(AK816*'难度参数'!$E$28*'章节与怪物'!$E$17,0),0))</x:f>
        <x:v>1396696</x:v>
      </x:c>
      <x:c r="AM816" s="119" t="n">
        <x:f>IF(AJ816=0,0,(AJ816-IF(4=D816,1,0))*VLOOKUP(INDEX('章节与怪物'!$E$31:$K$37,B816,4),'章节与怪物'!$A$41:$F$44,4,FALSE)+IF(4=D816,'难度参数'!$E$30,0))</x:f>
        <x:v>1372</x:v>
      </x:c>
      <x:c r="AN816" s="119" t="n">
        <x:f>IF(5&gt;D816,0,MAX(2,MIN('难度参数'!$E$12,ROUND(('难度参数'!$E$18*POWER(A816,'难度参数'!$E$19)/D816*(0.85+0.3*(5-1)/MAX(1,D816-1))),0)+F816)))</x:f>
        <x:v>52</x:v>
      </x:c>
      <x:c r="AO816" s="119" t="n">
        <x:f>IF(5&gt;D816,0,ROUND(('难度参数'!$E$13*POWER(A816,'难度参数'!$E$20)*MIN('难度参数'!$E$23,1+MAX(0,A816-'难度参数'!$E$21)*'难度参数'!$E$22))*(36+5*7)/(36+7*(D816+1)/2)*E816,0))</x:f>
        <x:v>18600</x:v>
      </x:c>
      <x:c r="AP816" s="119" t="n">
        <x:f>IF(AN816=0,0,(AN816-IF(5=D816,1,0))*ROUND(AO816*VLOOKUP(INDEX('章节与怪物'!$E$31:$K$37,B816,5),'章节与怪物'!$A$41:$F$44,2,FALSE),0)+IF(5=D816,ROUND(AO816*'难度参数'!$E$28*'章节与怪物'!$E$17,0),0))</x:f>
        <x:v>1305720</x:v>
      </x:c>
      <x:c r="AQ816" s="119" t="n">
        <x:f>IF(AN816=0,0,(AN816-IF(5=D816,1,0))*VLOOKUP(INDEX('章节与怪物'!$E$31:$K$37,B816,5),'章节与怪物'!$A$41:$F$44,4,FALSE)+IF(5=D816,'难度参数'!$E$30,0))</x:f>
        <x:v>1768</x:v>
      </x:c>
      <x:c r="AR816" s="119" t="n">
        <x:f>IF(6&gt;D816,0,MAX(2,MIN('难度参数'!$E$12,ROUND(('难度参数'!$E$18*POWER(A816,'难度参数'!$E$19)/D816*(0.85+0.3*(6-1)/MAX(1,D816-1))),0)+F816)))</x:f>
        <x:v>54</x:v>
      </x:c>
      <x:c r="AS816" s="119" t="n">
        <x:f>IF(6&gt;D816,0,ROUND(('难度参数'!$E$13*POWER(A816,'难度参数'!$E$20)*MIN('难度参数'!$E$23,1+MAX(0,A816-'难度参数'!$E$21)*'难度参数'!$E$22))*(36+6*7)/(36+7*(D816+1)/2)*E816,0))</x:f>
        <x:v>20434</x:v>
      </x:c>
      <x:c r="AT816" s="119" t="n">
        <x:f>IF(AR816=0,0,(AR816-IF(6=D816,1,0))*ROUND(AS816*VLOOKUP(INDEX('章节与怪物'!$E$31:$K$37,B816,6),'章节与怪物'!$A$41:$F$44,2,FALSE),0)+IF(6=D816,ROUND(AS816*'难度参数'!$E$28*'章节与怪物'!$E$17,0),0))</x:f>
        <x:v>794448</x:v>
      </x:c>
      <x:c r="AU816" s="119" t="n">
        <x:f>IF(AR816=0,0,(AR816-IF(6=D816,1,0))*VLOOKUP(INDEX('章节与怪物'!$E$31:$K$37,B816,6),'章节与怪物'!$A$41:$F$44,4,FALSE)+IF(6=D816,'难度参数'!$E$30,0))</x:f>
        <x:v>1080</x:v>
      </x:c>
      <x:c r="AV816" s="119" t="n">
        <x:f>IF(7&gt;D816,0,MAX(2,MIN('难度参数'!$E$12,ROUND(('难度参数'!$E$18*POWER(A816,'难度参数'!$E$19)/D816*(0.85+0.3*(7-1)/MAX(1,D816-1))),0)+F816)))</x:f>
        <x:v>57</x:v>
      </x:c>
      <x:c r="AW816" s="119" t="n">
        <x:f>IF(7&gt;D816,0,ROUND(('难度参数'!$E$13*POWER(A816,'难度参数'!$E$20)*MIN('难度参数'!$E$23,1+MAX(0,A816-'难度参数'!$E$21)*'难度参数'!$E$22))*(36+7*7)/(36+7*(D816+1)/2)*E816,0))</x:f>
        <x:v>22268</x:v>
      </x:c>
      <x:c r="AX816" s="119" t="n">
        <x:f>IF(AV816=0,0,(AV816-IF(7=D816,1,0))*ROUND(AW816*VLOOKUP(INDEX('章节与怪物'!$E$31:$K$37,B816,7),'章节与怪物'!$A$41:$F$44,2,FALSE),0)+IF(7=D816,ROUND(AW816*'难度参数'!$E$28*'章节与怪物'!$E$17,0),0))</x:f>
        <x:v>2271358</x:v>
      </x:c>
      <x:c r="AY816" s="119" t="n">
        <x:f>IF(AV816=0,0,(AV816-IF(7=D816,1,0))*VLOOKUP(INDEX('章节与怪物'!$E$31:$K$37,B816,7),'章节与怪物'!$A$41:$F$44,4,FALSE)+IF(7=D816,'难度参数'!$E$30,0))</x:f>
        <x:v>1768</x:v>
      </x:c>
    </x:row>
    <x:row r="817" ht="23" customHeight="1">
      <x:c r="A817" s="119" t="n">
        <x:v>811</x:v>
      </x:c>
      <x:c r="B817" s="119" t="n">
        <x:f>MOD(INT((A817-1)/5),7)+1</x:f>
        <x:v>2</x:v>
      </x:c>
      <x:c r="C817" s="62" t="str">
        <x:f>INDEX('章节与怪物'!$B$31:$B$37,B817)</x:f>
        <x:v>黄沙要塞</x:v>
      </x:c>
      <x:c r="D817" s="119" t="n">
        <x:f>MIN('难度参数'!$E$8,MAX('难度参数'!$E$7,A817))</x:f>
        <x:v>7</x:v>
      </x:c>
      <x:c r="E817" s="106" t="n">
        <x:v>1</x:v>
      </x:c>
      <x:c r="F817" s="106" t="n">
        <x:v>0</x:v>
      </x:c>
      <x:c r="G817" s="106" t="n">
        <x:v>1</x:v>
      </x:c>
      <x:c r="H817" s="119" t="n">
        <x:f>SUM(X817,AB817,AF817,AJ817,AN817,AR817,AV817)</x:f>
        <x:v>345</x:v>
      </x:c>
      <x:c r="I817" s="119" t="n">
        <x:f>SUM(Z817,AD817,AH817,AL817,AP817,AT817,AX817)</x:f>
        <x:v>7904116</x:v>
      </x:c>
      <x:c r="J817" s="119" t="n">
        <x:f>ROUND(INDEX(X817:AY817,1,(D817-1)*4+2)*'难度参数'!$E$28*'章节与怪物'!$E$17,0)</x:f>
        <x:v>151558</x:v>
      </x:c>
      <x:c r="K817" s="119" t="n">
        <x:f>SUM(AA817,AE817,AI817,AM817,AQ817,AU817,AY817)</x:f>
        <x:v>9166</x:v>
      </x:c>
      <x:c r="L817" s="62" t="n">
        <x:f>H817*(ROUNDUP('难度参数'!$E$24/('难度参数'!$E$26*'难度参数'!$E$27),0)*'难度参数'!$E$26)/60</x:f>
        <x:v>4.6</x:v>
      </x:c>
      <x:c r="M817" s="62" t="n">
        <x:f>L817+D817*('难度参数'!$E$49+'难度参数'!$E$50)/60</x:f>
        <x:v>5.766666666666667</x:v>
      </x:c>
      <x:c r="N817" s="119" t="n">
        <x:f>ROUNDDOWN(('经济参数'!$E$20+A817*'经济参数'!$E$21)*G817,0)</x:f>
        <x:v>16400</x:v>
      </x:c>
      <x:c r="O817" s="119" t="n">
        <x:f>ROUNDDOWN(MIN('经济参数'!$E$24,'经济参数'!$E$22+A817*'经济参数'!$E$23)*G817,0)</x:f>
        <x:v>0</x:v>
      </x:c>
      <x:c r="P817" s="119" t="n">
        <x:f>ROUNDDOWN((IF(A817&gt;='材料与任务'!$E$31,'材料与任务'!$E$32,IF(A817&gt;='材料与任务'!$E$25,'材料与任务'!$E$26,IF(A817&gt;='材料与任务'!$E$19,'材料与任务'!$E$20,IF(A817&gt;='材料与任务'!$E$13,'材料与任务'!$E$14,'材料与任务'!$E$8)))))*G817,0)</x:f>
        <x:v>6</x:v>
      </x:c>
      <x:c r="Q817" s="119" t="n">
        <x:f>ROUNDDOWN((IF(A817&gt;='材料与任务'!$E$31,'材料与任务'!$E$33,IF(A817&gt;='材料与任务'!$E$25,'材料与任务'!$E$27,IF(A817&gt;='材料与任务'!$E$19,'材料与任务'!$E$21,IF(A817&gt;='材料与任务'!$E$13,'材料与任务'!$E$15,'材料与任务'!$E$9)))))*G817,0)</x:f>
        <x:v>3</x:v>
      </x:c>
      <x:c r="R817" s="110" t="n">
        <x:f>'装备掉落'!$B$38</x:f>
        <x:v>0.6872058758851213</x:v>
      </x:c>
      <x:c r="S817" s="119" t="n">
        <x:f>MAX(IF(VLOOKUP(A817,'装备掉落'!$A$29:$H$34,2,TRUE)&gt;0,1,0),IF(VLOOKUP(A817,'装备掉落'!$A$29:$H$34,3,TRUE)&gt;0,2,0),IF(VLOOKUP(A817,'装备掉落'!$A$29:$H$34,4,TRUE)&gt;0,3,0),IF(VLOOKUP(A817,'装备掉落'!$A$29:$H$34,5,TRUE)&gt;0,4,0),IF(VLOOKUP(A817,'装备掉落'!$A$29:$H$34,6,TRUE)&gt;0,5,0),IF(VLOOKUP(A817,'装备掉落'!$A$29:$H$34,7,TRUE)&gt;0,6,0),IF(VLOOKUP(A817,'装备掉落'!$A$29:$H$34,8,TRUE)&gt;0,7,0))</x:f>
        <x:v>7</x:v>
      </x:c>
      <x:c r="T817" s="119" t="n">
        <x:f>MIN(7,S817+'经济参数'!$E$70)</x:f>
        <x:v>7</x:v>
      </x:c>
      <x:c r="U817" s="119" t="n">
        <x:f>MIN(7,S817+'经济参数'!$E$71)</x:f>
        <x:v>7</x:v>
      </x:c>
      <x:c r="V817" s="119" t="n">
        <x:f>IF(H817&gt;=('难度参数'!$E$52),1,0)+IF(H817&gt;=('难度参数'!$E$52+'难度参数'!$E$53),1,0)+IF(H817&gt;=('难度参数'!$E$52+'难度参数'!$E$53+'难度参数'!$E$54),1,0)+IF(H817&gt;=('难度参数'!$E$52+'难度参数'!$E$53+'难度参数'!$E$54+'难度参数'!$E$55),1,0)+IF(H817&gt;=('难度参数'!$E$52+'难度参数'!$E$53+'难度参数'!$E$54+'难度参数'!$E$55+'难度参数'!$E$56),1,0)+IF(H817&gt;=('难度参数'!$E$52+'难度参数'!$E$53+'难度参数'!$E$54+'难度参数'!$E$55+'难度参数'!$E$56+'难度参数'!$E$57),1,0)</x:f>
        <x:v>6</x:v>
      </x:c>
      <x:c r="W817" s="62" t="str">
        <x:f>IF(L817&gt;'难度参数'!$E$51,"仅出怪已超目标","还需实测")</x:f>
        <x:v>仅出怪已超目标</x:v>
      </x:c>
      <x:c r="X817" s="119" t="n">
        <x:f>IF(1&gt;D817,0,MAX(2,MIN('难度参数'!$E$12,ROUND(('难度参数'!$E$18*POWER(A817,'难度参数'!$E$19)/D817*(0.85+0.3*(1-1)/MAX(1,D817-1))),0)+F817)))</x:f>
        <x:v>42</x:v>
      </x:c>
      <x:c r="Y817" s="119" t="n">
        <x:f>IF(1&gt;D817,0,ROUND(('难度参数'!$E$13*POWER(A817,'难度参数'!$E$20)*MIN('难度参数'!$E$23,1+MAX(0,A817-'难度参数'!$E$21)*'难度参数'!$E$22))*(36+1*7)/(36+7*(D817+1)/2)*E817,0))</x:f>
        <x:v>11275</x:v>
      </x:c>
      <x:c r="Z817" s="119" t="n">
        <x:f>IF(X817=0,0,(X817-IF(1=D817,1,0))*ROUND(Y817*VLOOKUP(INDEX('章节与怪物'!$E$31:$K$37,B817,1),'章节与怪物'!$A$41:$F$44,2,FALSE),0)+IF(1=D817,ROUND(Y817*'难度参数'!$E$28*'章节与怪物'!$E$17,0),0))</x:f>
        <x:v>340956</x:v>
      </x:c>
      <x:c r="AA817" s="119" t="n">
        <x:f>IF(X817=0,0,(X817-IF(1=D817,1,0))*VLOOKUP(INDEX('章节与怪物'!$E$31:$K$37,B817,1),'章节与怪物'!$A$41:$F$44,4,FALSE)+IF(1=D817,'难度参数'!$E$30,0))</x:f>
        <x:v>840</x:v>
      </x:c>
      <x:c r="AB817" s="119" t="n">
        <x:f>IF(2&gt;D817,0,MAX(2,MIN('难度参数'!$E$12,ROUND(('难度参数'!$E$18*POWER(A817,'难度参数'!$E$19)/D817*(0.85+0.3*(2-1)/MAX(1,D817-1))),0)+F817)))</x:f>
        <x:v>44</x:v>
      </x:c>
      <x:c r="AC817" s="119" t="n">
        <x:f>IF(2&gt;D817,0,ROUND(('难度参数'!$E$13*POWER(A817,'难度参数'!$E$20)*MIN('难度参数'!$E$23,1+MAX(0,A817-'难度参数'!$E$21)*'难度参数'!$E$22))*(36+2*7)/(36+7*(D817+1)/2)*E817,0))</x:f>
        <x:v>13110</x:v>
      </x:c>
      <x:c r="AD817" s="119" t="n">
        <x:f>IF(AB817=0,0,(AB817-IF(2=D817,1,0))*ROUND(AC817*VLOOKUP(INDEX('章节与怪物'!$E$31:$K$37,B817,2),'章节与怪物'!$A$41:$F$44,2,FALSE),0)+IF(2=D817,ROUND(AC817*'难度参数'!$E$28*'章节与怪物'!$E$17,0),0))</x:f>
        <x:v>576840</x:v>
      </x:c>
      <x:c r="AE817" s="119" t="n">
        <x:f>IF(AB817=0,0,(AB817-IF(2=D817,1,0))*VLOOKUP(INDEX('章节与怪物'!$E$31:$K$37,B817,2),'章节与怪物'!$A$41:$F$44,4,FALSE)+IF(2=D817,'难度参数'!$E$30,0))</x:f>
        <x:v>792</x:v>
      </x:c>
      <x:c r="AF817" s="119" t="n">
        <x:f>IF(3&gt;D817,0,MAX(2,MIN('难度参数'!$E$12,ROUND(('难度参数'!$E$18*POWER(A817,'难度参数'!$E$19)/D817*(0.85+0.3*(3-1)/MAX(1,D817-1))),0)+F817)))</x:f>
        <x:v>47</x:v>
      </x:c>
      <x:c r="AG817" s="119" t="n">
        <x:f>IF(3&gt;D817,0,ROUND(('难度参数'!$E$13*POWER(A817,'难度参数'!$E$20)*MIN('难度参数'!$E$23,1+MAX(0,A817-'难度参数'!$E$21)*'难度参数'!$E$22))*(36+3*7)/(36+7*(D817+1)/2)*E817,0))</x:f>
        <x:v>14946</x:v>
      </x:c>
      <x:c r="AH817" s="119" t="n">
        <x:f>IF(AF817=0,0,(AF817-IF(3=D817,1,0))*ROUND(AG817*VLOOKUP(INDEX('章节与怪物'!$E$31:$K$37,B817,3),'章节与怪物'!$A$41:$F$44,2,FALSE),0)+IF(3=D817,ROUND(AG817*'难度参数'!$E$28*'章节与怪物'!$E$17,0),0))</x:f>
        <x:v>1194176</x:v>
      </x:c>
      <x:c r="AI817" s="119" t="n">
        <x:f>IF(AF817=0,0,(AF817-IF(3=D817,1,0))*VLOOKUP(INDEX('章节与怪物'!$E$31:$K$37,B817,3),'章节与怪物'!$A$41:$F$44,4,FALSE)+IF(3=D817,'难度参数'!$E$30,0))</x:f>
        <x:v>1316</x:v>
      </x:c>
      <x:c r="AJ817" s="119" t="n">
        <x:f>IF(4&gt;D817,0,MAX(2,MIN('难度参数'!$E$12,ROUND(('难度参数'!$E$18*POWER(A817,'难度参数'!$E$19)/D817*(0.85+0.3*(4-1)/MAX(1,D817-1))),0)+F817)))</x:f>
        <x:v>49</x:v>
      </x:c>
      <x:c r="AK817" s="119" t="n">
        <x:f>IF(4&gt;D817,0,ROUND(('难度参数'!$E$13*POWER(A817,'难度参数'!$E$20)*MIN('难度参数'!$E$23,1+MAX(0,A817-'难度参数'!$E$21)*'难度参数'!$E$22))*(36+4*7)/(36+7*(D817+1)/2)*E817,0))</x:f>
        <x:v>16781</x:v>
      </x:c>
      <x:c r="AL817" s="119" t="n">
        <x:f>IF(AJ817=0,0,(AJ817-IF(4=D817,1,0))*ROUND(AK817*VLOOKUP(INDEX('章节与怪物'!$E$31:$K$37,B817,4),'章节与怪物'!$A$41:$F$44,2,FALSE),0)+IF(4=D817,ROUND(AK817*'难度参数'!$E$28*'章节与怪物'!$E$17,0),0))</x:f>
        <x:v>1110046</x:v>
      </x:c>
      <x:c r="AM817" s="119" t="n">
        <x:f>IF(AJ817=0,0,(AJ817-IF(4=D817,1,0))*VLOOKUP(INDEX('章节与怪物'!$E$31:$K$37,B817,4),'章节与怪物'!$A$41:$F$44,4,FALSE)+IF(4=D817,'难度参数'!$E$30,0))</x:f>
        <x:v>1666</x:v>
      </x:c>
      <x:c r="AN817" s="119" t="n">
        <x:f>IF(5&gt;D817,0,MAX(2,MIN('难度参数'!$E$12,ROUND(('难度参数'!$E$18*POWER(A817,'难度参数'!$E$19)/D817*(0.85+0.3*(5-1)/MAX(1,D817-1))),0)+F817)))</x:f>
        <x:v>52</x:v>
      </x:c>
      <x:c r="AO817" s="119" t="n">
        <x:f>IF(5&gt;D817,0,ROUND(('难度参数'!$E$13*POWER(A817,'难度参数'!$E$20)*MIN('难度参数'!$E$23,1+MAX(0,A817-'难度参数'!$E$21)*'难度参数'!$E$22))*(36+5*7)/(36+7*(D817+1)/2)*E817,0))</x:f>
        <x:v>18617</x:v>
      </x:c>
      <x:c r="AP817" s="119" t="n">
        <x:f>IF(AN817=0,0,(AN817-IF(5=D817,1,0))*ROUND(AO817*VLOOKUP(INDEX('章节与怪物'!$E$31:$K$37,B817,5),'章节与怪物'!$A$41:$F$44,2,FALSE),0)+IF(5=D817,ROUND(AO817*'难度参数'!$E$28*'章节与怪物'!$E$17,0),0))</x:f>
        <x:v>968084</x:v>
      </x:c>
      <x:c r="AQ817" s="119" t="n">
        <x:f>IF(AN817=0,0,(AN817-IF(5=D817,1,0))*VLOOKUP(INDEX('章节与怪物'!$E$31:$K$37,B817,5),'章节与怪物'!$A$41:$F$44,4,FALSE)+IF(5=D817,'难度参数'!$E$30,0))</x:f>
        <x:v>936</x:v>
      </x:c>
      <x:c r="AR817" s="119" t="n">
        <x:f>IF(6&gt;D817,0,MAX(2,MIN('难度参数'!$E$12,ROUND(('难度参数'!$E$18*POWER(A817,'难度参数'!$E$19)/D817*(0.85+0.3*(6-1)/MAX(1,D817-1))),0)+F817)))</x:f>
        <x:v>54</x:v>
      </x:c>
      <x:c r="AS817" s="119" t="n">
        <x:f>IF(6&gt;D817,0,ROUND(('难度参数'!$E$13*POWER(A817,'难度参数'!$E$20)*MIN('难度参数'!$E$23,1+MAX(0,A817-'难度参数'!$E$21)*'难度参数'!$E$22))*(36+6*7)/(36+7*(D817+1)/2)*E817,0))</x:f>
        <x:v>20452</x:v>
      </x:c>
      <x:c r="AT817" s="119" t="n">
        <x:f>IF(AR817=0,0,(AR817-IF(6=D817,1,0))*ROUND(AS817*VLOOKUP(INDEX('章节与怪物'!$E$31:$K$37,B817,6),'章节与怪物'!$A$41:$F$44,2,FALSE),0)+IF(6=D817,ROUND(AS817*'难度参数'!$E$28*'章节与怪物'!$E$17,0),0))</x:f>
        <x:v>1877472</x:v>
      </x:c>
      <x:c r="AU817" s="119" t="n">
        <x:f>IF(AR817=0,0,(AR817-IF(6=D817,1,0))*VLOOKUP(INDEX('章节与怪物'!$E$31:$K$37,B817,6),'章节与怪物'!$A$41:$F$44,4,FALSE)+IF(6=D817,'难度参数'!$E$30,0))</x:f>
        <x:v>1512</x:v>
      </x:c>
      <x:c r="AV817" s="119" t="n">
        <x:f>IF(7&gt;D817,0,MAX(2,MIN('难度参数'!$E$12,ROUND(('难度参数'!$E$18*POWER(A817,'难度参数'!$E$19)/D817*(0.85+0.3*(7-1)/MAX(1,D817-1))),0)+F817)))</x:f>
        <x:v>57</x:v>
      </x:c>
      <x:c r="AW817" s="119" t="n">
        <x:f>IF(7&gt;D817,0,ROUND(('难度参数'!$E$13*POWER(A817,'难度参数'!$E$20)*MIN('难度参数'!$E$23,1+MAX(0,A817-'难度参数'!$E$21)*'难度参数'!$E$22))*(36+7*7)/(36+7*(D817+1)/2)*E817,0))</x:f>
        <x:v>22288</x:v>
      </x:c>
      <x:c r="AX817" s="119" t="n">
        <x:f>IF(AV817=0,0,(AV817-IF(7=D817,1,0))*ROUND(AW817*VLOOKUP(INDEX('章节与怪物'!$E$31:$K$37,B817,7),'章节与怪物'!$A$41:$F$44,2,FALSE),0)+IF(7=D817,ROUND(AW817*'难度参数'!$E$28*'章节与怪物'!$E$17,0),0))</x:f>
        <x:v>1836542</x:v>
      </x:c>
      <x:c r="AY817" s="119" t="n">
        <x:f>IF(AV817=0,0,(AV817-IF(7=D817,1,0))*VLOOKUP(INDEX('章节与怪物'!$E$31:$K$37,B817,7),'章节与怪物'!$A$41:$F$44,4,FALSE)+IF(7=D817,'难度参数'!$E$30,0))</x:f>
        <x:v>2104</x:v>
      </x:c>
    </x:row>
    <x:row r="818" ht="23" customHeight="1">
      <x:c r="A818" s="119" t="n">
        <x:v>812</x:v>
      </x:c>
      <x:c r="B818" s="119" t="n">
        <x:f>MOD(INT((A818-1)/5),7)+1</x:f>
        <x:v>2</x:v>
      </x:c>
      <x:c r="C818" s="62" t="str">
        <x:f>INDEX('章节与怪物'!$B$31:$B$37,B818)</x:f>
        <x:v>黄沙要塞</x:v>
      </x:c>
      <x:c r="D818" s="119" t="n">
        <x:f>MIN('难度参数'!$E$8,MAX('难度参数'!$E$7,A818))</x:f>
        <x:v>7</x:v>
      </x:c>
      <x:c r="E818" s="106" t="n">
        <x:v>1</x:v>
      </x:c>
      <x:c r="F818" s="106" t="n">
        <x:v>0</x:v>
      </x:c>
      <x:c r="G818" s="106" t="n">
        <x:v>1</x:v>
      </x:c>
      <x:c r="H818" s="119" t="n">
        <x:f>SUM(X818,AB818,AF818,AJ818,AN818,AR818,AV818)</x:f>
        <x:v>345</x:v>
      </x:c>
      <x:c r="I818" s="119" t="n">
        <x:f>SUM(Z818,AD818,AH818,AL818,AP818,AT818,AX818)</x:f>
        <x:v>7911263</x:v>
      </x:c>
      <x:c r="J818" s="119" t="n">
        <x:f>ROUND(INDEX(X818:AY818,1,(D818-1)*4+2)*'难度参数'!$E$28*'章节与怪物'!$E$17,0)</x:f>
        <x:v>151694</x:v>
      </x:c>
      <x:c r="K818" s="119" t="n">
        <x:f>SUM(AA818,AE818,AI818,AM818,AQ818,AU818,AY818)</x:f>
        <x:v>9166</x:v>
      </x:c>
      <x:c r="L818" s="62" t="n">
        <x:f>H818*(ROUNDUP('难度参数'!$E$24/('难度参数'!$E$26*'难度参数'!$E$27),0)*'难度参数'!$E$26)/60</x:f>
        <x:v>4.6</x:v>
      </x:c>
      <x:c r="M818" s="62" t="n">
        <x:f>L818+D818*('难度参数'!$E$49+'难度参数'!$E$50)/60</x:f>
        <x:v>5.766666666666667</x:v>
      </x:c>
      <x:c r="N818" s="119" t="n">
        <x:f>ROUNDDOWN(('经济参数'!$E$20+A818*'经济参数'!$E$21)*G818,0)</x:f>
        <x:v>16420</x:v>
      </x:c>
      <x:c r="O818" s="119" t="n">
        <x:f>ROUNDDOWN(MIN('经济参数'!$E$24,'经济参数'!$E$22+A818*'经济参数'!$E$23)*G818,0)</x:f>
        <x:v>0</x:v>
      </x:c>
      <x:c r="P818" s="119" t="n">
        <x:f>ROUNDDOWN((IF(A818&gt;='材料与任务'!$E$31,'材料与任务'!$E$32,IF(A818&gt;='材料与任务'!$E$25,'材料与任务'!$E$26,IF(A818&gt;='材料与任务'!$E$19,'材料与任务'!$E$20,IF(A818&gt;='材料与任务'!$E$13,'材料与任务'!$E$14,'材料与任务'!$E$8)))))*G818,0)</x:f>
        <x:v>6</x:v>
      </x:c>
      <x:c r="Q818" s="119" t="n">
        <x:f>ROUNDDOWN((IF(A818&gt;='材料与任务'!$E$31,'材料与任务'!$E$33,IF(A818&gt;='材料与任务'!$E$25,'材料与任务'!$E$27,IF(A818&gt;='材料与任务'!$E$19,'材料与任务'!$E$21,IF(A818&gt;='材料与任务'!$E$13,'材料与任务'!$E$15,'材料与任务'!$E$9)))))*G818,0)</x:f>
        <x:v>3</x:v>
      </x:c>
      <x:c r="R818" s="110" t="n">
        <x:f>'装备掉落'!$B$38</x:f>
        <x:v>0.6872058758851213</x:v>
      </x:c>
      <x:c r="S818" s="119" t="n">
        <x:f>MAX(IF(VLOOKUP(A818,'装备掉落'!$A$29:$H$34,2,TRUE)&gt;0,1,0),IF(VLOOKUP(A818,'装备掉落'!$A$29:$H$34,3,TRUE)&gt;0,2,0),IF(VLOOKUP(A818,'装备掉落'!$A$29:$H$34,4,TRUE)&gt;0,3,0),IF(VLOOKUP(A818,'装备掉落'!$A$29:$H$34,5,TRUE)&gt;0,4,0),IF(VLOOKUP(A818,'装备掉落'!$A$29:$H$34,6,TRUE)&gt;0,5,0),IF(VLOOKUP(A818,'装备掉落'!$A$29:$H$34,7,TRUE)&gt;0,6,0),IF(VLOOKUP(A818,'装备掉落'!$A$29:$H$34,8,TRUE)&gt;0,7,0))</x:f>
        <x:v>7</x:v>
      </x:c>
      <x:c r="T818" s="119" t="n">
        <x:f>MIN(7,S818+'经济参数'!$E$70)</x:f>
        <x:v>7</x:v>
      </x:c>
      <x:c r="U818" s="119" t="n">
        <x:f>MIN(7,S818+'经济参数'!$E$71)</x:f>
        <x:v>7</x:v>
      </x:c>
      <x:c r="V818" s="119" t="n">
        <x:f>IF(H818&gt;=('难度参数'!$E$52),1,0)+IF(H818&gt;=('难度参数'!$E$52+'难度参数'!$E$53),1,0)+IF(H818&gt;=('难度参数'!$E$52+'难度参数'!$E$53+'难度参数'!$E$54),1,0)+IF(H818&gt;=('难度参数'!$E$52+'难度参数'!$E$53+'难度参数'!$E$54+'难度参数'!$E$55),1,0)+IF(H818&gt;=('难度参数'!$E$52+'难度参数'!$E$53+'难度参数'!$E$54+'难度参数'!$E$55+'难度参数'!$E$56),1,0)+IF(H818&gt;=('难度参数'!$E$52+'难度参数'!$E$53+'难度参数'!$E$54+'难度参数'!$E$55+'难度参数'!$E$56+'难度参数'!$E$57),1,0)</x:f>
        <x:v>6</x:v>
      </x:c>
      <x:c r="W818" s="62" t="str">
        <x:f>IF(L818&gt;'难度参数'!$E$51,"仅出怪已超目标","还需实测")</x:f>
        <x:v>仅出怪已超目标</x:v>
      </x:c>
      <x:c r="X818" s="119" t="n">
        <x:f>IF(1&gt;D818,0,MAX(2,MIN('难度参数'!$E$12,ROUND(('难度参数'!$E$18*POWER(A818,'难度参数'!$E$19)/D818*(0.85+0.3*(1-1)/MAX(1,D818-1))),0)+F818)))</x:f>
        <x:v>42</x:v>
      </x:c>
      <x:c r="Y818" s="119" t="n">
        <x:f>IF(1&gt;D818,0,ROUND(('难度参数'!$E$13*POWER(A818,'难度参数'!$E$20)*MIN('难度参数'!$E$23,1+MAX(0,A818-'难度参数'!$E$21)*'难度参数'!$E$22))*(36+1*7)/(36+7*(D818+1)/2)*E818,0))</x:f>
        <x:v>11285</x:v>
      </x:c>
      <x:c r="Z818" s="119" t="n">
        <x:f>IF(X818=0,0,(X818-IF(1=D818,1,0))*ROUND(Y818*VLOOKUP(INDEX('章节与怪物'!$E$31:$K$37,B818,1),'章节与怪物'!$A$41:$F$44,2,FALSE),0)+IF(1=D818,ROUND(Y818*'难度参数'!$E$28*'章节与怪物'!$E$17,0),0))</x:f>
        <x:v>341250</x:v>
      </x:c>
      <x:c r="AA818" s="119" t="n">
        <x:f>IF(X818=0,0,(X818-IF(1=D818,1,0))*VLOOKUP(INDEX('章节与怪物'!$E$31:$K$37,B818,1),'章节与怪物'!$A$41:$F$44,4,FALSE)+IF(1=D818,'难度参数'!$E$30,0))</x:f>
        <x:v>840</x:v>
      </x:c>
      <x:c r="AB818" s="119" t="n">
        <x:f>IF(2&gt;D818,0,MAX(2,MIN('难度参数'!$E$12,ROUND(('难度参数'!$E$18*POWER(A818,'难度参数'!$E$19)/D818*(0.85+0.3*(2-1)/MAX(1,D818-1))),0)+F818)))</x:f>
        <x:v>44</x:v>
      </x:c>
      <x:c r="AC818" s="119" t="n">
        <x:f>IF(2&gt;D818,0,ROUND(('难度参数'!$E$13*POWER(A818,'难度参数'!$E$20)*MIN('难度参数'!$E$23,1+MAX(0,A818-'难度参数'!$E$21)*'难度参数'!$E$22))*(36+2*7)/(36+7*(D818+1)/2)*E818,0))</x:f>
        <x:v>13122</x:v>
      </x:c>
      <x:c r="AD818" s="119" t="n">
        <x:f>IF(AB818=0,0,(AB818-IF(2=D818,1,0))*ROUND(AC818*VLOOKUP(INDEX('章节与怪物'!$E$31:$K$37,B818,2),'章节与怪物'!$A$41:$F$44,2,FALSE),0)+IF(2=D818,ROUND(AC818*'难度参数'!$E$28*'章节与怪物'!$E$17,0),0))</x:f>
        <x:v>577368</x:v>
      </x:c>
      <x:c r="AE818" s="119" t="n">
        <x:f>IF(AB818=0,0,(AB818-IF(2=D818,1,0))*VLOOKUP(INDEX('章节与怪物'!$E$31:$K$37,B818,2),'章节与怪物'!$A$41:$F$44,4,FALSE)+IF(2=D818,'难度参数'!$E$30,0))</x:f>
        <x:v>792</x:v>
      </x:c>
      <x:c r="AF818" s="119" t="n">
        <x:f>IF(3&gt;D818,0,MAX(2,MIN('难度参数'!$E$12,ROUND(('难度参数'!$E$18*POWER(A818,'难度参数'!$E$19)/D818*(0.85+0.3*(3-1)/MAX(1,D818-1))),0)+F818)))</x:f>
        <x:v>47</x:v>
      </x:c>
      <x:c r="AG818" s="119" t="n">
        <x:f>IF(3&gt;D818,0,ROUND(('难度参数'!$E$13*POWER(A818,'难度参数'!$E$20)*MIN('难度参数'!$E$23,1+MAX(0,A818-'难度参数'!$E$21)*'难度参数'!$E$22))*(36+3*7)/(36+7*(D818+1)/2)*E818,0))</x:f>
        <x:v>14959</x:v>
      </x:c>
      <x:c r="AH818" s="119" t="n">
        <x:f>IF(AF818=0,0,(AF818-IF(3=D818,1,0))*ROUND(AG818*VLOOKUP(INDEX('章节与怪物'!$E$31:$K$37,B818,3),'章节与怪物'!$A$41:$F$44,2,FALSE),0)+IF(3=D818,ROUND(AG818*'难度参数'!$E$28*'章节与怪物'!$E$17,0),0))</x:f>
        <x:v>1195210</x:v>
      </x:c>
      <x:c r="AI818" s="119" t="n">
        <x:f>IF(AF818=0,0,(AF818-IF(3=D818,1,0))*VLOOKUP(INDEX('章节与怪物'!$E$31:$K$37,B818,3),'章节与怪物'!$A$41:$F$44,4,FALSE)+IF(3=D818,'难度参数'!$E$30,0))</x:f>
        <x:v>1316</x:v>
      </x:c>
      <x:c r="AJ818" s="119" t="n">
        <x:f>IF(4&gt;D818,0,MAX(2,MIN('难度参数'!$E$12,ROUND(('难度参数'!$E$18*POWER(A818,'难度参数'!$E$19)/D818*(0.85+0.3*(4-1)/MAX(1,D818-1))),0)+F818)))</x:f>
        <x:v>49</x:v>
      </x:c>
      <x:c r="AK818" s="119" t="n">
        <x:f>IF(4&gt;D818,0,ROUND(('难度参数'!$E$13*POWER(A818,'难度参数'!$E$20)*MIN('难度参数'!$E$23,1+MAX(0,A818-'难度参数'!$E$21)*'难度参数'!$E$22))*(36+4*7)/(36+7*(D818+1)/2)*E818,0))</x:f>
        <x:v>16796</x:v>
      </x:c>
      <x:c r="AL818" s="119" t="n">
        <x:f>IF(AJ818=0,0,(AJ818-IF(4=D818,1,0))*ROUND(AK818*VLOOKUP(INDEX('章节与怪物'!$E$31:$K$37,B818,4),'章节与怪物'!$A$41:$F$44,2,FALSE),0)+IF(4=D818,ROUND(AK818*'难度参数'!$E$28*'章节与怪物'!$E$17,0),0))</x:f>
        <x:v>1111075</x:v>
      </x:c>
      <x:c r="AM818" s="119" t="n">
        <x:f>IF(AJ818=0,0,(AJ818-IF(4=D818,1,0))*VLOOKUP(INDEX('章节与怪物'!$E$31:$K$37,B818,4),'章节与怪物'!$A$41:$F$44,4,FALSE)+IF(4=D818,'难度参数'!$E$30,0))</x:f>
        <x:v>1666</x:v>
      </x:c>
      <x:c r="AN818" s="119" t="n">
        <x:f>IF(5&gt;D818,0,MAX(2,MIN('难度参数'!$E$12,ROUND(('难度参数'!$E$18*POWER(A818,'难度参数'!$E$19)/D818*(0.85+0.3*(5-1)/MAX(1,D818-1))),0)+F818)))</x:f>
        <x:v>52</x:v>
      </x:c>
      <x:c r="AO818" s="119" t="n">
        <x:f>IF(5&gt;D818,0,ROUND(('难度参数'!$E$13*POWER(A818,'难度参数'!$E$20)*MIN('难度参数'!$E$23,1+MAX(0,A818-'难度参数'!$E$21)*'难度参数'!$E$22))*(36+5*7)/(36+7*(D818+1)/2)*E818,0))</x:f>
        <x:v>18633</x:v>
      </x:c>
      <x:c r="AP818" s="119" t="n">
        <x:f>IF(AN818=0,0,(AN818-IF(5=D818,1,0))*ROUND(AO818*VLOOKUP(INDEX('章节与怪物'!$E$31:$K$37,B818,5),'章节与怪物'!$A$41:$F$44,2,FALSE),0)+IF(5=D818,ROUND(AO818*'难度参数'!$E$28*'章节与怪物'!$E$17,0),0))</x:f>
        <x:v>968916</x:v>
      </x:c>
      <x:c r="AQ818" s="119" t="n">
        <x:f>IF(AN818=0,0,(AN818-IF(5=D818,1,0))*VLOOKUP(INDEX('章节与怪物'!$E$31:$K$37,B818,5),'章节与怪物'!$A$41:$F$44,4,FALSE)+IF(5=D818,'难度参数'!$E$30,0))</x:f>
        <x:v>936</x:v>
      </x:c>
      <x:c r="AR818" s="119" t="n">
        <x:f>IF(6&gt;D818,0,MAX(2,MIN('难度参数'!$E$12,ROUND(('难度参数'!$E$18*POWER(A818,'难度参数'!$E$19)/D818*(0.85+0.3*(6-1)/MAX(1,D818-1))),0)+F818)))</x:f>
        <x:v>54</x:v>
      </x:c>
      <x:c r="AS818" s="119" t="n">
        <x:f>IF(6&gt;D818,0,ROUND(('难度参数'!$E$13*POWER(A818,'难度参数'!$E$20)*MIN('难度参数'!$E$23,1+MAX(0,A818-'难度参数'!$E$21)*'难度参数'!$E$22))*(36+6*7)/(36+7*(D818+1)/2)*E818,0))</x:f>
        <x:v>20471</x:v>
      </x:c>
      <x:c r="AT818" s="119" t="n">
        <x:f>IF(AR818=0,0,(AR818-IF(6=D818,1,0))*ROUND(AS818*VLOOKUP(INDEX('章节与怪物'!$E$31:$K$37,B818,6),'章节与怪物'!$A$41:$F$44,2,FALSE),0)+IF(6=D818,ROUND(AS818*'难度参数'!$E$28*'章节与怪物'!$E$17,0),0))</x:f>
        <x:v>1879254</x:v>
      </x:c>
      <x:c r="AU818" s="119" t="n">
        <x:f>IF(AR818=0,0,(AR818-IF(6=D818,1,0))*VLOOKUP(INDEX('章节与怪物'!$E$31:$K$37,B818,6),'章节与怪物'!$A$41:$F$44,4,FALSE)+IF(6=D818,'难度参数'!$E$30,0))</x:f>
        <x:v>1512</x:v>
      </x:c>
      <x:c r="AV818" s="119" t="n">
        <x:f>IF(7&gt;D818,0,MAX(2,MIN('难度参数'!$E$12,ROUND(('难度参数'!$E$18*POWER(A818,'难度参数'!$E$19)/D818*(0.85+0.3*(7-1)/MAX(1,D818-1))),0)+F818)))</x:f>
        <x:v>57</x:v>
      </x:c>
      <x:c r="AW818" s="119" t="n">
        <x:f>IF(7&gt;D818,0,ROUND(('难度参数'!$E$13*POWER(A818,'难度参数'!$E$20)*MIN('难度参数'!$E$23,1+MAX(0,A818-'难度参数'!$E$21)*'难度参数'!$E$22))*(36+7*7)/(36+7*(D818+1)/2)*E818,0))</x:f>
        <x:v>22308</x:v>
      </x:c>
      <x:c r="AX818" s="119" t="n">
        <x:f>IF(AV818=0,0,(AV818-IF(7=D818,1,0))*ROUND(AW818*VLOOKUP(INDEX('章节与怪物'!$E$31:$K$37,B818,7),'章节与怪物'!$A$41:$F$44,2,FALSE),0)+IF(7=D818,ROUND(AW818*'难度参数'!$E$28*'章节与怪物'!$E$17,0),0))</x:f>
        <x:v>1838190</x:v>
      </x:c>
      <x:c r="AY818" s="119" t="n">
        <x:f>IF(AV818=0,0,(AV818-IF(7=D818,1,0))*VLOOKUP(INDEX('章节与怪物'!$E$31:$K$37,B818,7),'章节与怪物'!$A$41:$F$44,4,FALSE)+IF(7=D818,'难度参数'!$E$30,0))</x:f>
        <x:v>2104</x:v>
      </x:c>
    </x:row>
    <x:row r="819" ht="23" customHeight="1">
      <x:c r="A819" s="119" t="n">
        <x:v>813</x:v>
      </x:c>
      <x:c r="B819" s="119" t="n">
        <x:f>MOD(INT((A819-1)/5),7)+1</x:f>
        <x:v>2</x:v>
      </x:c>
      <x:c r="C819" s="62" t="str">
        <x:f>INDEX('章节与怪物'!$B$31:$B$37,B819)</x:f>
        <x:v>黄沙要塞</x:v>
      </x:c>
      <x:c r="D819" s="119" t="n">
        <x:f>MIN('难度参数'!$E$8,MAX('难度参数'!$E$7,A819))</x:f>
        <x:v>7</x:v>
      </x:c>
      <x:c r="E819" s="106" t="n">
        <x:v>1</x:v>
      </x:c>
      <x:c r="F819" s="106" t="n">
        <x:v>0</x:v>
      </x:c>
      <x:c r="G819" s="106" t="n">
        <x:v>1</x:v>
      </x:c>
      <x:c r="H819" s="119" t="n">
        <x:f>SUM(X819,AB819,AF819,AJ819,AN819,AR819,AV819)</x:f>
        <x:v>345</x:v>
      </x:c>
      <x:c r="I819" s="119" t="n">
        <x:f>SUM(Z819,AD819,AH819,AL819,AP819,AT819,AX819)</x:f>
        <x:v>7918133</x:v>
      </x:c>
      <x:c r="J819" s="119" t="n">
        <x:f>ROUND(INDEX(X819:AY819,1,(D819-1)*4+2)*'难度参数'!$E$28*'章节与怪物'!$E$17,0)</x:f>
        <x:v>151824</x:v>
      </x:c>
      <x:c r="K819" s="119" t="n">
        <x:f>SUM(AA819,AE819,AI819,AM819,AQ819,AU819,AY819)</x:f>
        <x:v>9166</x:v>
      </x:c>
      <x:c r="L819" s="62" t="n">
        <x:f>H819*(ROUNDUP('难度参数'!$E$24/('难度参数'!$E$26*'难度参数'!$E$27),0)*'难度参数'!$E$26)/60</x:f>
        <x:v>4.6</x:v>
      </x:c>
      <x:c r="M819" s="62" t="n">
        <x:f>L819+D819*('难度参数'!$E$49+'难度参数'!$E$50)/60</x:f>
        <x:v>5.766666666666667</x:v>
      </x:c>
      <x:c r="N819" s="119" t="n">
        <x:f>ROUNDDOWN(('经济参数'!$E$20+A819*'经济参数'!$E$21)*G819,0)</x:f>
        <x:v>16440</x:v>
      </x:c>
      <x:c r="O819" s="119" t="n">
        <x:f>ROUNDDOWN(MIN('经济参数'!$E$24,'经济参数'!$E$22+A819*'经济参数'!$E$23)*G819,0)</x:f>
        <x:v>0</x:v>
      </x:c>
      <x:c r="P819" s="119" t="n">
        <x:f>ROUNDDOWN((IF(A819&gt;='材料与任务'!$E$31,'材料与任务'!$E$32,IF(A819&gt;='材料与任务'!$E$25,'材料与任务'!$E$26,IF(A819&gt;='材料与任务'!$E$19,'材料与任务'!$E$20,IF(A819&gt;='材料与任务'!$E$13,'材料与任务'!$E$14,'材料与任务'!$E$8)))))*G819,0)</x:f>
        <x:v>6</x:v>
      </x:c>
      <x:c r="Q819" s="119" t="n">
        <x:f>ROUNDDOWN((IF(A819&gt;='材料与任务'!$E$31,'材料与任务'!$E$33,IF(A819&gt;='材料与任务'!$E$25,'材料与任务'!$E$27,IF(A819&gt;='材料与任务'!$E$19,'材料与任务'!$E$21,IF(A819&gt;='材料与任务'!$E$13,'材料与任务'!$E$15,'材料与任务'!$E$9)))))*G819,0)</x:f>
        <x:v>3</x:v>
      </x:c>
      <x:c r="R819" s="110" t="n">
        <x:f>'装备掉落'!$B$38</x:f>
        <x:v>0.6872058758851213</x:v>
      </x:c>
      <x:c r="S819" s="119" t="n">
        <x:f>MAX(IF(VLOOKUP(A819,'装备掉落'!$A$29:$H$34,2,TRUE)&gt;0,1,0),IF(VLOOKUP(A819,'装备掉落'!$A$29:$H$34,3,TRUE)&gt;0,2,0),IF(VLOOKUP(A819,'装备掉落'!$A$29:$H$34,4,TRUE)&gt;0,3,0),IF(VLOOKUP(A819,'装备掉落'!$A$29:$H$34,5,TRUE)&gt;0,4,0),IF(VLOOKUP(A819,'装备掉落'!$A$29:$H$34,6,TRUE)&gt;0,5,0),IF(VLOOKUP(A819,'装备掉落'!$A$29:$H$34,7,TRUE)&gt;0,6,0),IF(VLOOKUP(A819,'装备掉落'!$A$29:$H$34,8,TRUE)&gt;0,7,0))</x:f>
        <x:v>7</x:v>
      </x:c>
      <x:c r="T819" s="119" t="n">
        <x:f>MIN(7,S819+'经济参数'!$E$70)</x:f>
        <x:v>7</x:v>
      </x:c>
      <x:c r="U819" s="119" t="n">
        <x:f>MIN(7,S819+'经济参数'!$E$71)</x:f>
        <x:v>7</x:v>
      </x:c>
      <x:c r="V819" s="119" t="n">
        <x:f>IF(H819&gt;=('难度参数'!$E$52),1,0)+IF(H819&gt;=('难度参数'!$E$52+'难度参数'!$E$53),1,0)+IF(H819&gt;=('难度参数'!$E$52+'难度参数'!$E$53+'难度参数'!$E$54),1,0)+IF(H819&gt;=('难度参数'!$E$52+'难度参数'!$E$53+'难度参数'!$E$54+'难度参数'!$E$55),1,0)+IF(H819&gt;=('难度参数'!$E$52+'难度参数'!$E$53+'难度参数'!$E$54+'难度参数'!$E$55+'难度参数'!$E$56),1,0)+IF(H819&gt;=('难度参数'!$E$52+'难度参数'!$E$53+'难度参数'!$E$54+'难度参数'!$E$55+'难度参数'!$E$56+'难度参数'!$E$57),1,0)</x:f>
        <x:v>6</x:v>
      </x:c>
      <x:c r="W819" s="62" t="str">
        <x:f>IF(L819&gt;'难度参数'!$E$51,"仅出怪已超目标","还需实测")</x:f>
        <x:v>仅出怪已超目标</x:v>
      </x:c>
      <x:c r="X819" s="119" t="n">
        <x:f>IF(1&gt;D819,0,MAX(2,MIN('难度参数'!$E$12,ROUND(('难度参数'!$E$18*POWER(A819,'难度参数'!$E$19)/D819*(0.85+0.3*(1-1)/MAX(1,D819-1))),0)+F819)))</x:f>
        <x:v>42</x:v>
      </x:c>
      <x:c r="Y819" s="119" t="n">
        <x:f>IF(1&gt;D819,0,ROUND(('难度参数'!$E$13*POWER(A819,'难度参数'!$E$20)*MIN('难度参数'!$E$23,1+MAX(0,A819-'难度参数'!$E$21)*'难度参数'!$E$22))*(36+1*7)/(36+7*(D819+1)/2)*E819,0))</x:f>
        <x:v>11295</x:v>
      </x:c>
      <x:c r="Z819" s="119" t="n">
        <x:f>IF(X819=0,0,(X819-IF(1=D819,1,0))*ROUND(Y819*VLOOKUP(INDEX('章节与怪物'!$E$31:$K$37,B819,1),'章节与怪物'!$A$41:$F$44,2,FALSE),0)+IF(1=D819,ROUND(Y819*'难度参数'!$E$28*'章节与怪物'!$E$17,0),0))</x:f>
        <x:v>341544</x:v>
      </x:c>
      <x:c r="AA819" s="119" t="n">
        <x:f>IF(X819=0,0,(X819-IF(1=D819,1,0))*VLOOKUP(INDEX('章节与怪物'!$E$31:$K$37,B819,1),'章节与怪物'!$A$41:$F$44,4,FALSE)+IF(1=D819,'难度参数'!$E$30,0))</x:f>
        <x:v>840</x:v>
      </x:c>
      <x:c r="AB819" s="119" t="n">
        <x:f>IF(2&gt;D819,0,MAX(2,MIN('难度参数'!$E$12,ROUND(('难度参数'!$E$18*POWER(A819,'难度参数'!$E$19)/D819*(0.85+0.3*(2-1)/MAX(1,D819-1))),0)+F819)))</x:f>
        <x:v>44</x:v>
      </x:c>
      <x:c r="AC819" s="119" t="n">
        <x:f>IF(2&gt;D819,0,ROUND(('难度参数'!$E$13*POWER(A819,'难度参数'!$E$20)*MIN('难度参数'!$E$23,1+MAX(0,A819-'难度参数'!$E$21)*'难度参数'!$E$22))*(36+2*7)/(36+7*(D819+1)/2)*E819,0))</x:f>
        <x:v>13134</x:v>
      </x:c>
      <x:c r="AD819" s="119" t="n">
        <x:f>IF(AB819=0,0,(AB819-IF(2=D819,1,0))*ROUND(AC819*VLOOKUP(INDEX('章节与怪物'!$E$31:$K$37,B819,2),'章节与怪物'!$A$41:$F$44,2,FALSE),0)+IF(2=D819,ROUND(AC819*'难度参数'!$E$28*'章节与怪物'!$E$17,0),0))</x:f>
        <x:v>577896</x:v>
      </x:c>
      <x:c r="AE819" s="119" t="n">
        <x:f>IF(AB819=0,0,(AB819-IF(2=D819,1,0))*VLOOKUP(INDEX('章节与怪物'!$E$31:$K$37,B819,2),'章节与怪物'!$A$41:$F$44,4,FALSE)+IF(2=D819,'难度参数'!$E$30,0))</x:f>
        <x:v>792</x:v>
      </x:c>
      <x:c r="AF819" s="119" t="n">
        <x:f>IF(3&gt;D819,0,MAX(2,MIN('难度参数'!$E$12,ROUND(('难度参数'!$E$18*POWER(A819,'难度参数'!$E$19)/D819*(0.85+0.3*(3-1)/MAX(1,D819-1))),0)+F819)))</x:f>
        <x:v>47</x:v>
      </x:c>
      <x:c r="AG819" s="119" t="n">
        <x:f>IF(3&gt;D819,0,ROUND(('难度参数'!$E$13*POWER(A819,'难度参数'!$E$20)*MIN('难度参数'!$E$23,1+MAX(0,A819-'难度参数'!$E$21)*'难度参数'!$E$22))*(36+3*7)/(36+7*(D819+1)/2)*E819,0))</x:f>
        <x:v>14972</x:v>
      </x:c>
      <x:c r="AH819" s="119" t="n">
        <x:f>IF(AF819=0,0,(AF819-IF(3=D819,1,0))*ROUND(AG819*VLOOKUP(INDEX('章节与怪物'!$E$31:$K$37,B819,3),'章节与怪物'!$A$41:$F$44,2,FALSE),0)+IF(3=D819,ROUND(AG819*'难度参数'!$E$28*'章节与怪物'!$E$17,0),0))</x:f>
        <x:v>1196244</x:v>
      </x:c>
      <x:c r="AI819" s="119" t="n">
        <x:f>IF(AF819=0,0,(AF819-IF(3=D819,1,0))*VLOOKUP(INDEX('章节与怪物'!$E$31:$K$37,B819,3),'章节与怪物'!$A$41:$F$44,4,FALSE)+IF(3=D819,'难度参数'!$E$30,0))</x:f>
        <x:v>1316</x:v>
      </x:c>
      <x:c r="AJ819" s="119" t="n">
        <x:f>IF(4&gt;D819,0,MAX(2,MIN('难度参数'!$E$12,ROUND(('难度参数'!$E$18*POWER(A819,'难度参数'!$E$19)/D819*(0.85+0.3*(4-1)/MAX(1,D819-1))),0)+F819)))</x:f>
        <x:v>49</x:v>
      </x:c>
      <x:c r="AK819" s="119" t="n">
        <x:f>IF(4&gt;D819,0,ROUND(('难度参数'!$E$13*POWER(A819,'难度参数'!$E$20)*MIN('难度参数'!$E$23,1+MAX(0,A819-'难度参数'!$E$21)*'难度参数'!$E$22))*(36+4*7)/(36+7*(D819+1)/2)*E819,0))</x:f>
        <x:v>16811</x:v>
      </x:c>
      <x:c r="AL819" s="119" t="n">
        <x:f>IF(AJ819=0,0,(AJ819-IF(4=D819,1,0))*ROUND(AK819*VLOOKUP(INDEX('章节与怪物'!$E$31:$K$37,B819,4),'章节与怪物'!$A$41:$F$44,2,FALSE),0)+IF(4=D819,ROUND(AK819*'难度参数'!$E$28*'章节与怪物'!$E$17,0),0))</x:f>
        <x:v>1112055</x:v>
      </x:c>
      <x:c r="AM819" s="119" t="n">
        <x:f>IF(AJ819=0,0,(AJ819-IF(4=D819,1,0))*VLOOKUP(INDEX('章节与怪物'!$E$31:$K$37,B819,4),'章节与怪物'!$A$41:$F$44,4,FALSE)+IF(4=D819,'难度参数'!$E$30,0))</x:f>
        <x:v>1666</x:v>
      </x:c>
      <x:c r="AN819" s="119" t="n">
        <x:f>IF(5&gt;D819,0,MAX(2,MIN('难度参数'!$E$12,ROUND(('难度参数'!$E$18*POWER(A819,'难度参数'!$E$19)/D819*(0.85+0.3*(5-1)/MAX(1,D819-1))),0)+F819)))</x:f>
        <x:v>52</x:v>
      </x:c>
      <x:c r="AO819" s="119" t="n">
        <x:f>IF(5&gt;D819,0,ROUND(('难度参数'!$E$13*POWER(A819,'难度参数'!$E$20)*MIN('难度参数'!$E$23,1+MAX(0,A819-'难度参数'!$E$21)*'难度参数'!$E$22))*(36+5*7)/(36+7*(D819+1)/2)*E819,0))</x:f>
        <x:v>18650</x:v>
      </x:c>
      <x:c r="AP819" s="119" t="n">
        <x:f>IF(AN819=0,0,(AN819-IF(5=D819,1,0))*ROUND(AO819*VLOOKUP(INDEX('章节与怪物'!$E$31:$K$37,B819,5),'章节与怪物'!$A$41:$F$44,2,FALSE),0)+IF(5=D819,ROUND(AO819*'难度参数'!$E$28*'章节与怪物'!$E$17,0),0))</x:f>
        <x:v>969800</x:v>
      </x:c>
      <x:c r="AQ819" s="119" t="n">
        <x:f>IF(AN819=0,0,(AN819-IF(5=D819,1,0))*VLOOKUP(INDEX('章节与怪物'!$E$31:$K$37,B819,5),'章节与怪物'!$A$41:$F$44,4,FALSE)+IF(5=D819,'难度参数'!$E$30,0))</x:f>
        <x:v>936</x:v>
      </x:c>
      <x:c r="AR819" s="119" t="n">
        <x:f>IF(6&gt;D819,0,MAX(2,MIN('难度参数'!$E$12,ROUND(('难度参数'!$E$18*POWER(A819,'难度参数'!$E$19)/D819*(0.85+0.3*(6-1)/MAX(1,D819-1))),0)+F819)))</x:f>
        <x:v>54</x:v>
      </x:c>
      <x:c r="AS819" s="119" t="n">
        <x:f>IF(6&gt;D819,0,ROUND(('难度参数'!$E$13*POWER(A819,'难度参数'!$E$20)*MIN('难度参数'!$E$23,1+MAX(0,A819-'难度参数'!$E$21)*'难度参数'!$E$22))*(36+6*7)/(36+7*(D819+1)/2)*E819,0))</x:f>
        <x:v>20489</x:v>
      </x:c>
      <x:c r="AT819" s="119" t="n">
        <x:f>IF(AR819=0,0,(AR819-IF(6=D819,1,0))*ROUND(AS819*VLOOKUP(INDEX('章节与怪物'!$E$31:$K$37,B819,6),'章节与怪物'!$A$41:$F$44,2,FALSE),0)+IF(6=D819,ROUND(AS819*'难度参数'!$E$28*'章节与怪物'!$E$17,0),0))</x:f>
        <x:v>1880874</x:v>
      </x:c>
      <x:c r="AU819" s="119" t="n">
        <x:f>IF(AR819=0,0,(AR819-IF(6=D819,1,0))*VLOOKUP(INDEX('章节与怪物'!$E$31:$K$37,B819,6),'章节与怪物'!$A$41:$F$44,4,FALSE)+IF(6=D819,'难度参数'!$E$30,0))</x:f>
        <x:v>1512</x:v>
      </x:c>
      <x:c r="AV819" s="119" t="n">
        <x:f>IF(7&gt;D819,0,MAX(2,MIN('难度参数'!$E$12,ROUND(('难度参数'!$E$18*POWER(A819,'难度参数'!$E$19)/D819*(0.85+0.3*(7-1)/MAX(1,D819-1))),0)+F819)))</x:f>
        <x:v>57</x:v>
      </x:c>
      <x:c r="AW819" s="119" t="n">
        <x:f>IF(7&gt;D819,0,ROUND(('难度参数'!$E$13*POWER(A819,'难度参数'!$E$20)*MIN('难度参数'!$E$23,1+MAX(0,A819-'难度参数'!$E$21)*'难度参数'!$E$22))*(36+7*7)/(36+7*(D819+1)/2)*E819,0))</x:f>
        <x:v>22327</x:v>
      </x:c>
      <x:c r="AX819" s="119" t="n">
        <x:f>IF(AV819=0,0,(AV819-IF(7=D819,1,0))*ROUND(AW819*VLOOKUP(INDEX('章节与怪物'!$E$31:$K$37,B819,7),'章节与怪物'!$A$41:$F$44,2,FALSE),0)+IF(7=D819,ROUND(AW819*'难度参数'!$E$28*'章节与怪物'!$E$17,0),0))</x:f>
        <x:v>1839720</x:v>
      </x:c>
      <x:c r="AY819" s="119" t="n">
        <x:f>IF(AV819=0,0,(AV819-IF(7=D819,1,0))*VLOOKUP(INDEX('章节与怪物'!$E$31:$K$37,B819,7),'章节与怪物'!$A$41:$F$44,4,FALSE)+IF(7=D819,'难度参数'!$E$30,0))</x:f>
        <x:v>2104</x:v>
      </x:c>
    </x:row>
    <x:row r="820" ht="23" customHeight="1">
      <x:c r="A820" s="119" t="n">
        <x:v>814</x:v>
      </x:c>
      <x:c r="B820" s="119" t="n">
        <x:f>MOD(INT((A820-1)/5),7)+1</x:f>
        <x:v>2</x:v>
      </x:c>
      <x:c r="C820" s="62" t="str">
        <x:f>INDEX('章节与怪物'!$B$31:$B$37,B820)</x:f>
        <x:v>黄沙要塞</x:v>
      </x:c>
      <x:c r="D820" s="119" t="n">
        <x:f>MIN('难度参数'!$E$8,MAX('难度参数'!$E$7,A820))</x:f>
        <x:v>7</x:v>
      </x:c>
      <x:c r="E820" s="106" t="n">
        <x:v>1</x:v>
      </x:c>
      <x:c r="F820" s="106" t="n">
        <x:v>0</x:v>
      </x:c>
      <x:c r="G820" s="106" t="n">
        <x:v>1</x:v>
      </x:c>
      <x:c r="H820" s="119" t="n">
        <x:f>SUM(X820,AB820,AF820,AJ820,AN820,AR820,AV820)</x:f>
        <x:v>345</x:v>
      </x:c>
      <x:c r="I820" s="119" t="n">
        <x:f>SUM(Z820,AD820,AH820,AL820,AP820,AT820,AX820)</x:f>
        <x:v>7925215</x:v>
      </x:c>
      <x:c r="J820" s="119" t="n">
        <x:f>ROUND(INDEX(X820:AY820,1,(D820-1)*4+2)*'难度参数'!$E$28*'章节与怪物'!$E$17,0)</x:f>
        <x:v>151960</x:v>
      </x:c>
      <x:c r="K820" s="119" t="n">
        <x:f>SUM(AA820,AE820,AI820,AM820,AQ820,AU820,AY820)</x:f>
        <x:v>9166</x:v>
      </x:c>
      <x:c r="L820" s="62" t="n">
        <x:f>H820*(ROUNDUP('难度参数'!$E$24/('难度参数'!$E$26*'难度参数'!$E$27),0)*'难度参数'!$E$26)/60</x:f>
        <x:v>4.6</x:v>
      </x:c>
      <x:c r="M820" s="62" t="n">
        <x:f>L820+D820*('难度参数'!$E$49+'难度参数'!$E$50)/60</x:f>
        <x:v>5.766666666666667</x:v>
      </x:c>
      <x:c r="N820" s="119" t="n">
        <x:f>ROUNDDOWN(('经济参数'!$E$20+A820*'经济参数'!$E$21)*G820,0)</x:f>
        <x:v>16460</x:v>
      </x:c>
      <x:c r="O820" s="119" t="n">
        <x:f>ROUNDDOWN(MIN('经济参数'!$E$24,'经济参数'!$E$22+A820*'经济参数'!$E$23)*G820,0)</x:f>
        <x:v>0</x:v>
      </x:c>
      <x:c r="P820" s="119" t="n">
        <x:f>ROUNDDOWN((IF(A820&gt;='材料与任务'!$E$31,'材料与任务'!$E$32,IF(A820&gt;='材料与任务'!$E$25,'材料与任务'!$E$26,IF(A820&gt;='材料与任务'!$E$19,'材料与任务'!$E$20,IF(A820&gt;='材料与任务'!$E$13,'材料与任务'!$E$14,'材料与任务'!$E$8)))))*G820,0)</x:f>
        <x:v>6</x:v>
      </x:c>
      <x:c r="Q820" s="119" t="n">
        <x:f>ROUNDDOWN((IF(A820&gt;='材料与任务'!$E$31,'材料与任务'!$E$33,IF(A820&gt;='材料与任务'!$E$25,'材料与任务'!$E$27,IF(A820&gt;='材料与任务'!$E$19,'材料与任务'!$E$21,IF(A820&gt;='材料与任务'!$E$13,'材料与任务'!$E$15,'材料与任务'!$E$9)))))*G820,0)</x:f>
        <x:v>3</x:v>
      </x:c>
      <x:c r="R820" s="110" t="n">
        <x:f>'装备掉落'!$B$38</x:f>
        <x:v>0.6872058758851213</x:v>
      </x:c>
      <x:c r="S820" s="119" t="n">
        <x:f>MAX(IF(VLOOKUP(A820,'装备掉落'!$A$29:$H$34,2,TRUE)&gt;0,1,0),IF(VLOOKUP(A820,'装备掉落'!$A$29:$H$34,3,TRUE)&gt;0,2,0),IF(VLOOKUP(A820,'装备掉落'!$A$29:$H$34,4,TRUE)&gt;0,3,0),IF(VLOOKUP(A820,'装备掉落'!$A$29:$H$34,5,TRUE)&gt;0,4,0),IF(VLOOKUP(A820,'装备掉落'!$A$29:$H$34,6,TRUE)&gt;0,5,0),IF(VLOOKUP(A820,'装备掉落'!$A$29:$H$34,7,TRUE)&gt;0,6,0),IF(VLOOKUP(A820,'装备掉落'!$A$29:$H$34,8,TRUE)&gt;0,7,0))</x:f>
        <x:v>7</x:v>
      </x:c>
      <x:c r="T820" s="119" t="n">
        <x:f>MIN(7,S820+'经济参数'!$E$70)</x:f>
        <x:v>7</x:v>
      </x:c>
      <x:c r="U820" s="119" t="n">
        <x:f>MIN(7,S820+'经济参数'!$E$71)</x:f>
        <x:v>7</x:v>
      </x:c>
      <x:c r="V820" s="119" t="n">
        <x:f>IF(H820&gt;=('难度参数'!$E$52),1,0)+IF(H820&gt;=('难度参数'!$E$52+'难度参数'!$E$53),1,0)+IF(H820&gt;=('难度参数'!$E$52+'难度参数'!$E$53+'难度参数'!$E$54),1,0)+IF(H820&gt;=('难度参数'!$E$52+'难度参数'!$E$53+'难度参数'!$E$54+'难度参数'!$E$55),1,0)+IF(H820&gt;=('难度参数'!$E$52+'难度参数'!$E$53+'难度参数'!$E$54+'难度参数'!$E$55+'难度参数'!$E$56),1,0)+IF(H820&gt;=('难度参数'!$E$52+'难度参数'!$E$53+'难度参数'!$E$54+'难度参数'!$E$55+'难度参数'!$E$56+'难度参数'!$E$57),1,0)</x:f>
        <x:v>6</x:v>
      </x:c>
      <x:c r="W820" s="62" t="str">
        <x:f>IF(L820&gt;'难度参数'!$E$51,"仅出怪已超目标","还需实测")</x:f>
        <x:v>仅出怪已超目标</x:v>
      </x:c>
      <x:c r="X820" s="119" t="n">
        <x:f>IF(1&gt;D820,0,MAX(2,MIN('难度参数'!$E$12,ROUND(('难度参数'!$E$18*POWER(A820,'难度参数'!$E$19)/D820*(0.85+0.3*(1-1)/MAX(1,D820-1))),0)+F820)))</x:f>
        <x:v>42</x:v>
      </x:c>
      <x:c r="Y820" s="119" t="n">
        <x:f>IF(1&gt;D820,0,ROUND(('难度参数'!$E$13*POWER(A820,'难度参数'!$E$20)*MIN('难度参数'!$E$23,1+MAX(0,A820-'难度参数'!$E$21)*'难度参数'!$E$22))*(36+1*7)/(36+7*(D820+1)/2)*E820,0))</x:f>
        <x:v>11305</x:v>
      </x:c>
      <x:c r="Z820" s="119" t="n">
        <x:f>IF(X820=0,0,(X820-IF(1=D820,1,0))*ROUND(Y820*VLOOKUP(INDEX('章节与怪物'!$E$31:$K$37,B820,1),'章节与怪物'!$A$41:$F$44,2,FALSE),0)+IF(1=D820,ROUND(Y820*'难度参数'!$E$28*'章节与怪物'!$E$17,0),0))</x:f>
        <x:v>341880</x:v>
      </x:c>
      <x:c r="AA820" s="119" t="n">
        <x:f>IF(X820=0,0,(X820-IF(1=D820,1,0))*VLOOKUP(INDEX('章节与怪物'!$E$31:$K$37,B820,1),'章节与怪物'!$A$41:$F$44,4,FALSE)+IF(1=D820,'难度参数'!$E$30,0))</x:f>
        <x:v>840</x:v>
      </x:c>
      <x:c r="AB820" s="119" t="n">
        <x:f>IF(2&gt;D820,0,MAX(2,MIN('难度参数'!$E$12,ROUND(('难度参数'!$E$18*POWER(A820,'难度参数'!$E$19)/D820*(0.85+0.3*(2-1)/MAX(1,D820-1))),0)+F820)))</x:f>
        <x:v>44</x:v>
      </x:c>
      <x:c r="AC820" s="119" t="n">
        <x:f>IF(2&gt;D820,0,ROUND(('难度参数'!$E$13*POWER(A820,'难度参数'!$E$20)*MIN('难度参数'!$E$23,1+MAX(0,A820-'难度参数'!$E$21)*'难度参数'!$E$22))*(36+2*7)/(36+7*(D820+1)/2)*E820,0))</x:f>
        <x:v>13145</x:v>
      </x:c>
      <x:c r="AD820" s="119" t="n">
        <x:f>IF(AB820=0,0,(AB820-IF(2=D820,1,0))*ROUND(AC820*VLOOKUP(INDEX('章节与怪物'!$E$31:$K$37,B820,2),'章节与怪物'!$A$41:$F$44,2,FALSE),0)+IF(2=D820,ROUND(AC820*'难度参数'!$E$28*'章节与怪物'!$E$17,0),0))</x:f>
        <x:v>578380</x:v>
      </x:c>
      <x:c r="AE820" s="119" t="n">
        <x:f>IF(AB820=0,0,(AB820-IF(2=D820,1,0))*VLOOKUP(INDEX('章节与怪物'!$E$31:$K$37,B820,2),'章节与怪物'!$A$41:$F$44,4,FALSE)+IF(2=D820,'难度参数'!$E$30,0))</x:f>
        <x:v>792</x:v>
      </x:c>
      <x:c r="AF820" s="119" t="n">
        <x:f>IF(3&gt;D820,0,MAX(2,MIN('难度参数'!$E$12,ROUND(('难度参数'!$E$18*POWER(A820,'难度参数'!$E$19)/D820*(0.85+0.3*(3-1)/MAX(1,D820-1))),0)+F820)))</x:f>
        <x:v>47</x:v>
      </x:c>
      <x:c r="AG820" s="119" t="n">
        <x:f>IF(3&gt;D820,0,ROUND(('难度参数'!$E$13*POWER(A820,'难度参数'!$E$20)*MIN('难度参数'!$E$23,1+MAX(0,A820-'难度参数'!$E$21)*'难度参数'!$E$22))*(36+3*7)/(36+7*(D820+1)/2)*E820,0))</x:f>
        <x:v>14986</x:v>
      </x:c>
      <x:c r="AH820" s="119" t="n">
        <x:f>IF(AF820=0,0,(AF820-IF(3=D820,1,0))*ROUND(AG820*VLOOKUP(INDEX('章节与怪物'!$E$31:$K$37,B820,3),'章节与怪物'!$A$41:$F$44,2,FALSE),0)+IF(3=D820,ROUND(AG820*'难度参数'!$E$28*'章节与怪物'!$E$17,0),0))</x:f>
        <x:v>1197372</x:v>
      </x:c>
      <x:c r="AI820" s="119" t="n">
        <x:f>IF(AF820=0,0,(AF820-IF(3=D820,1,0))*VLOOKUP(INDEX('章节与怪物'!$E$31:$K$37,B820,3),'章节与怪物'!$A$41:$F$44,4,FALSE)+IF(3=D820,'难度参数'!$E$30,0))</x:f>
        <x:v>1316</x:v>
      </x:c>
      <x:c r="AJ820" s="119" t="n">
        <x:f>IF(4&gt;D820,0,MAX(2,MIN('难度参数'!$E$12,ROUND(('难度参数'!$E$18*POWER(A820,'难度参数'!$E$19)/D820*(0.85+0.3*(4-1)/MAX(1,D820-1))),0)+F820)))</x:f>
        <x:v>49</x:v>
      </x:c>
      <x:c r="AK820" s="119" t="n">
        <x:f>IF(4&gt;D820,0,ROUND(('难度参数'!$E$13*POWER(A820,'难度参数'!$E$20)*MIN('难度参数'!$E$23,1+MAX(0,A820-'难度参数'!$E$21)*'难度参数'!$E$22))*(36+4*7)/(36+7*(D820+1)/2)*E820,0))</x:f>
        <x:v>16826</x:v>
      </x:c>
      <x:c r="AL820" s="119" t="n">
        <x:f>IF(AJ820=0,0,(AJ820-IF(4=D820,1,0))*ROUND(AK820*VLOOKUP(INDEX('章节与怪物'!$E$31:$K$37,B820,4),'章节与怪物'!$A$41:$F$44,2,FALSE),0)+IF(4=D820,ROUND(AK820*'难度参数'!$E$28*'章节与怪物'!$E$17,0),0))</x:f>
        <x:v>1113035</x:v>
      </x:c>
      <x:c r="AM820" s="119" t="n">
        <x:f>IF(AJ820=0,0,(AJ820-IF(4=D820,1,0))*VLOOKUP(INDEX('章节与怪物'!$E$31:$K$37,B820,4),'章节与怪物'!$A$41:$F$44,4,FALSE)+IF(4=D820,'难度参数'!$E$30,0))</x:f>
        <x:v>1666</x:v>
      </x:c>
      <x:c r="AN820" s="119" t="n">
        <x:f>IF(5&gt;D820,0,MAX(2,MIN('难度参数'!$E$12,ROUND(('难度参数'!$E$18*POWER(A820,'难度参数'!$E$19)/D820*(0.85+0.3*(5-1)/MAX(1,D820-1))),0)+F820)))</x:f>
        <x:v>52</x:v>
      </x:c>
      <x:c r="AO820" s="119" t="n">
        <x:f>IF(5&gt;D820,0,ROUND(('难度参数'!$E$13*POWER(A820,'难度参数'!$E$20)*MIN('难度参数'!$E$23,1+MAX(0,A820-'难度参数'!$E$21)*'难度参数'!$E$22))*(36+5*7)/(36+7*(D820+1)/2)*E820,0))</x:f>
        <x:v>18666</x:v>
      </x:c>
      <x:c r="AP820" s="119" t="n">
        <x:f>IF(AN820=0,0,(AN820-IF(5=D820,1,0))*ROUND(AO820*VLOOKUP(INDEX('章节与怪物'!$E$31:$K$37,B820,5),'章节与怪物'!$A$41:$F$44,2,FALSE),0)+IF(5=D820,ROUND(AO820*'难度参数'!$E$28*'章节与怪物'!$E$17,0),0))</x:f>
        <x:v>970632</x:v>
      </x:c>
      <x:c r="AQ820" s="119" t="n">
        <x:f>IF(AN820=0,0,(AN820-IF(5=D820,1,0))*VLOOKUP(INDEX('章节与怪物'!$E$31:$K$37,B820,5),'章节与怪物'!$A$41:$F$44,4,FALSE)+IF(5=D820,'难度参数'!$E$30,0))</x:f>
        <x:v>936</x:v>
      </x:c>
      <x:c r="AR820" s="119" t="n">
        <x:f>IF(6&gt;D820,0,MAX(2,MIN('难度参数'!$E$12,ROUND(('难度参数'!$E$18*POWER(A820,'难度参数'!$E$19)/D820*(0.85+0.3*(6-1)/MAX(1,D820-1))),0)+F820)))</x:f>
        <x:v>54</x:v>
      </x:c>
      <x:c r="AS820" s="119" t="n">
        <x:f>IF(6&gt;D820,0,ROUND(('难度参数'!$E$13*POWER(A820,'难度参数'!$E$20)*MIN('难度参数'!$E$23,1+MAX(0,A820-'难度参数'!$E$21)*'难度参数'!$E$22))*(36+6*7)/(36+7*(D820+1)/2)*E820,0))</x:f>
        <x:v>20507</x:v>
      </x:c>
      <x:c r="AT820" s="119" t="n">
        <x:f>IF(AR820=0,0,(AR820-IF(6=D820,1,0))*ROUND(AS820*VLOOKUP(INDEX('章节与怪物'!$E$31:$K$37,B820,6),'章节与怪物'!$A$41:$F$44,2,FALSE),0)+IF(6=D820,ROUND(AS820*'难度参数'!$E$28*'章节与怪物'!$E$17,0),0))</x:f>
        <x:v>1882548</x:v>
      </x:c>
      <x:c r="AU820" s="119" t="n">
        <x:f>IF(AR820=0,0,(AR820-IF(6=D820,1,0))*VLOOKUP(INDEX('章节与怪物'!$E$31:$K$37,B820,6),'章节与怪物'!$A$41:$F$44,4,FALSE)+IF(6=D820,'难度参数'!$E$30,0))</x:f>
        <x:v>1512</x:v>
      </x:c>
      <x:c r="AV820" s="119" t="n">
        <x:f>IF(7&gt;D820,0,MAX(2,MIN('难度参数'!$E$12,ROUND(('难度参数'!$E$18*POWER(A820,'难度参数'!$E$19)/D820*(0.85+0.3*(7-1)/MAX(1,D820-1))),0)+F820)))</x:f>
        <x:v>57</x:v>
      </x:c>
      <x:c r="AW820" s="119" t="n">
        <x:f>IF(7&gt;D820,0,ROUND(('难度参数'!$E$13*POWER(A820,'难度参数'!$E$20)*MIN('难度参数'!$E$23,1+MAX(0,A820-'难度参数'!$E$21)*'难度参数'!$E$22))*(36+7*7)/(36+7*(D820+1)/2)*E820,0))</x:f>
        <x:v>22347</x:v>
      </x:c>
      <x:c r="AX820" s="119" t="n">
        <x:f>IF(AV820=0,0,(AV820-IF(7=D820,1,0))*ROUND(AW820*VLOOKUP(INDEX('章节与怪物'!$E$31:$K$37,B820,7),'章节与怪物'!$A$41:$F$44,2,FALSE),0)+IF(7=D820,ROUND(AW820*'难度参数'!$E$28*'章节与怪物'!$E$17,0),0))</x:f>
        <x:v>1841368</x:v>
      </x:c>
      <x:c r="AY820" s="119" t="n">
        <x:f>IF(AV820=0,0,(AV820-IF(7=D820,1,0))*VLOOKUP(INDEX('章节与怪物'!$E$31:$K$37,B820,7),'章节与怪物'!$A$41:$F$44,4,FALSE)+IF(7=D820,'难度参数'!$E$30,0))</x:f>
        <x:v>2104</x:v>
      </x:c>
    </x:row>
    <x:row r="821" ht="23" customHeight="1">
      <x:c r="A821" s="119" t="n">
        <x:v>815</x:v>
      </x:c>
      <x:c r="B821" s="119" t="n">
        <x:f>MOD(INT((A821-1)/5),7)+1</x:f>
        <x:v>2</x:v>
      </x:c>
      <x:c r="C821" s="62" t="str">
        <x:f>INDEX('章节与怪物'!$B$31:$B$37,B821)</x:f>
        <x:v>黄沙要塞</x:v>
      </x:c>
      <x:c r="D821" s="119" t="n">
        <x:f>MIN('难度参数'!$E$8,MAX('难度参数'!$E$7,A821))</x:f>
        <x:v>7</x:v>
      </x:c>
      <x:c r="E821" s="106" t="n">
        <x:v>1</x:v>
      </x:c>
      <x:c r="F821" s="106" t="n">
        <x:v>0</x:v>
      </x:c>
      <x:c r="G821" s="106" t="n">
        <x:v>1</x:v>
      </x:c>
      <x:c r="H821" s="119" t="n">
        <x:f>SUM(X821,AB821,AF821,AJ821,AN821,AR821,AV821)</x:f>
        <x:v>345</x:v>
      </x:c>
      <x:c r="I821" s="119" t="n">
        <x:f>SUM(Z821,AD821,AH821,AL821,AP821,AT821,AX821)</x:f>
        <x:v>7932257</x:v>
      </x:c>
      <x:c r="J821" s="119" t="n">
        <x:f>ROUND(INDEX(X821:AY821,1,(D821-1)*4+2)*'难度参数'!$E$28*'章节与怪物'!$E$17,0)</x:f>
        <x:v>152096</x:v>
      </x:c>
      <x:c r="K821" s="119" t="n">
        <x:f>SUM(AA821,AE821,AI821,AM821,AQ821,AU821,AY821)</x:f>
        <x:v>9166</x:v>
      </x:c>
      <x:c r="L821" s="62" t="n">
        <x:f>H821*(ROUNDUP('难度参数'!$E$24/('难度参数'!$E$26*'难度参数'!$E$27),0)*'难度参数'!$E$26)/60</x:f>
        <x:v>4.6</x:v>
      </x:c>
      <x:c r="M821" s="62" t="n">
        <x:f>L821+D821*('难度参数'!$E$49+'难度参数'!$E$50)/60</x:f>
        <x:v>5.766666666666667</x:v>
      </x:c>
      <x:c r="N821" s="119" t="n">
        <x:f>ROUNDDOWN(('经济参数'!$E$20+A821*'经济参数'!$E$21)*G821,0)</x:f>
        <x:v>16480</x:v>
      </x:c>
      <x:c r="O821" s="119" t="n">
        <x:f>ROUNDDOWN(MIN('经济参数'!$E$24,'经济参数'!$E$22+A821*'经济参数'!$E$23)*G821,0)</x:f>
        <x:v>0</x:v>
      </x:c>
      <x:c r="P821" s="119" t="n">
        <x:f>ROUNDDOWN((IF(A821&gt;='材料与任务'!$E$31,'材料与任务'!$E$32,IF(A821&gt;='材料与任务'!$E$25,'材料与任务'!$E$26,IF(A821&gt;='材料与任务'!$E$19,'材料与任务'!$E$20,IF(A821&gt;='材料与任务'!$E$13,'材料与任务'!$E$14,'材料与任务'!$E$8)))))*G821,0)</x:f>
        <x:v>6</x:v>
      </x:c>
      <x:c r="Q821" s="119" t="n">
        <x:f>ROUNDDOWN((IF(A821&gt;='材料与任务'!$E$31,'材料与任务'!$E$33,IF(A821&gt;='材料与任务'!$E$25,'材料与任务'!$E$27,IF(A821&gt;='材料与任务'!$E$19,'材料与任务'!$E$21,IF(A821&gt;='材料与任务'!$E$13,'材料与任务'!$E$15,'材料与任务'!$E$9)))))*G821,0)</x:f>
        <x:v>3</x:v>
      </x:c>
      <x:c r="R821" s="110" t="n">
        <x:f>'装备掉落'!$B$38</x:f>
        <x:v>0.6872058758851213</x:v>
      </x:c>
      <x:c r="S821" s="119" t="n">
        <x:f>MAX(IF(VLOOKUP(A821,'装备掉落'!$A$29:$H$34,2,TRUE)&gt;0,1,0),IF(VLOOKUP(A821,'装备掉落'!$A$29:$H$34,3,TRUE)&gt;0,2,0),IF(VLOOKUP(A821,'装备掉落'!$A$29:$H$34,4,TRUE)&gt;0,3,0),IF(VLOOKUP(A821,'装备掉落'!$A$29:$H$34,5,TRUE)&gt;0,4,0),IF(VLOOKUP(A821,'装备掉落'!$A$29:$H$34,6,TRUE)&gt;0,5,0),IF(VLOOKUP(A821,'装备掉落'!$A$29:$H$34,7,TRUE)&gt;0,6,0),IF(VLOOKUP(A821,'装备掉落'!$A$29:$H$34,8,TRUE)&gt;0,7,0))</x:f>
        <x:v>7</x:v>
      </x:c>
      <x:c r="T821" s="119" t="n">
        <x:f>MIN(7,S821+'经济参数'!$E$70)</x:f>
        <x:v>7</x:v>
      </x:c>
      <x:c r="U821" s="119" t="n">
        <x:f>MIN(7,S821+'经济参数'!$E$71)</x:f>
        <x:v>7</x:v>
      </x:c>
      <x:c r="V821" s="119" t="n">
        <x:f>IF(H821&gt;=('难度参数'!$E$52),1,0)+IF(H821&gt;=('难度参数'!$E$52+'难度参数'!$E$53),1,0)+IF(H821&gt;=('难度参数'!$E$52+'难度参数'!$E$53+'难度参数'!$E$54),1,0)+IF(H821&gt;=('难度参数'!$E$52+'难度参数'!$E$53+'难度参数'!$E$54+'难度参数'!$E$55),1,0)+IF(H821&gt;=('难度参数'!$E$52+'难度参数'!$E$53+'难度参数'!$E$54+'难度参数'!$E$55+'难度参数'!$E$56),1,0)+IF(H821&gt;=('难度参数'!$E$52+'难度参数'!$E$53+'难度参数'!$E$54+'难度参数'!$E$55+'难度参数'!$E$56+'难度参数'!$E$57),1,0)</x:f>
        <x:v>6</x:v>
      </x:c>
      <x:c r="W821" s="62" t="str">
        <x:f>IF(L821&gt;'难度参数'!$E$51,"仅出怪已超目标","还需实测")</x:f>
        <x:v>仅出怪已超目标</x:v>
      </x:c>
      <x:c r="X821" s="119" t="n">
        <x:f>IF(1&gt;D821,0,MAX(2,MIN('难度参数'!$E$12,ROUND(('难度参数'!$E$18*POWER(A821,'难度参数'!$E$19)/D821*(0.85+0.3*(1-1)/MAX(1,D821-1))),0)+F821)))</x:f>
        <x:v>42</x:v>
      </x:c>
      <x:c r="Y821" s="119" t="n">
        <x:f>IF(1&gt;D821,0,ROUND(('难度参数'!$E$13*POWER(A821,'难度参数'!$E$20)*MIN('难度参数'!$E$23,1+MAX(0,A821-'难度参数'!$E$21)*'难度参数'!$E$22))*(36+1*7)/(36+7*(D821+1)/2)*E821,0))</x:f>
        <x:v>11315</x:v>
      </x:c>
      <x:c r="Z821" s="119" t="n">
        <x:f>IF(X821=0,0,(X821-IF(1=D821,1,0))*ROUND(Y821*VLOOKUP(INDEX('章节与怪物'!$E$31:$K$37,B821,1),'章节与怪物'!$A$41:$F$44,2,FALSE),0)+IF(1=D821,ROUND(Y821*'难度参数'!$E$28*'章节与怪物'!$E$17,0),0))</x:f>
        <x:v>342174</x:v>
      </x:c>
      <x:c r="AA821" s="119" t="n">
        <x:f>IF(X821=0,0,(X821-IF(1=D821,1,0))*VLOOKUP(INDEX('章节与怪物'!$E$31:$K$37,B821,1),'章节与怪物'!$A$41:$F$44,4,FALSE)+IF(1=D821,'难度参数'!$E$30,0))</x:f>
        <x:v>840</x:v>
      </x:c>
      <x:c r="AB821" s="119" t="n">
        <x:f>IF(2&gt;D821,0,MAX(2,MIN('难度参数'!$E$12,ROUND(('难度参数'!$E$18*POWER(A821,'难度参数'!$E$19)/D821*(0.85+0.3*(2-1)/MAX(1,D821-1))),0)+F821)))</x:f>
        <x:v>44</x:v>
      </x:c>
      <x:c r="AC821" s="119" t="n">
        <x:f>IF(2&gt;D821,0,ROUND(('难度参数'!$E$13*POWER(A821,'难度参数'!$E$20)*MIN('难度参数'!$E$23,1+MAX(0,A821-'难度参数'!$E$21)*'难度参数'!$E$22))*(36+2*7)/(36+7*(D821+1)/2)*E821,0))</x:f>
        <x:v>13157</x:v>
      </x:c>
      <x:c r="AD821" s="119" t="n">
        <x:f>IF(AB821=0,0,(AB821-IF(2=D821,1,0))*ROUND(AC821*VLOOKUP(INDEX('章节与怪物'!$E$31:$K$37,B821,2),'章节与怪物'!$A$41:$F$44,2,FALSE),0)+IF(2=D821,ROUND(AC821*'难度参数'!$E$28*'章节与怪物'!$E$17,0),0))</x:f>
        <x:v>578908</x:v>
      </x:c>
      <x:c r="AE821" s="119" t="n">
        <x:f>IF(AB821=0,0,(AB821-IF(2=D821,1,0))*VLOOKUP(INDEX('章节与怪物'!$E$31:$K$37,B821,2),'章节与怪物'!$A$41:$F$44,4,FALSE)+IF(2=D821,'难度参数'!$E$30,0))</x:f>
        <x:v>792</x:v>
      </x:c>
      <x:c r="AF821" s="119" t="n">
        <x:f>IF(3&gt;D821,0,MAX(2,MIN('难度参数'!$E$12,ROUND(('难度参数'!$E$18*POWER(A821,'难度参数'!$E$19)/D821*(0.85+0.3*(3-1)/MAX(1,D821-1))),0)+F821)))</x:f>
        <x:v>47</x:v>
      </x:c>
      <x:c r="AG821" s="119" t="n">
        <x:f>IF(3&gt;D821,0,ROUND(('难度参数'!$E$13*POWER(A821,'难度参数'!$E$20)*MIN('难度参数'!$E$23,1+MAX(0,A821-'难度参数'!$E$21)*'难度参数'!$E$22))*(36+3*7)/(36+7*(D821+1)/2)*E821,0))</x:f>
        <x:v>14999</x:v>
      </x:c>
      <x:c r="AH821" s="119" t="n">
        <x:f>IF(AF821=0,0,(AF821-IF(3=D821,1,0))*ROUND(AG821*VLOOKUP(INDEX('章节与怪物'!$E$31:$K$37,B821,3),'章节与怪物'!$A$41:$F$44,2,FALSE),0)+IF(3=D821,ROUND(AG821*'难度参数'!$E$28*'章节与怪物'!$E$17,0),0))</x:f>
        <x:v>1198406</x:v>
      </x:c>
      <x:c r="AI821" s="119" t="n">
        <x:f>IF(AF821=0,0,(AF821-IF(3=D821,1,0))*VLOOKUP(INDEX('章节与怪物'!$E$31:$K$37,B821,3),'章节与怪物'!$A$41:$F$44,4,FALSE)+IF(3=D821,'难度参数'!$E$30,0))</x:f>
        <x:v>1316</x:v>
      </x:c>
      <x:c r="AJ821" s="119" t="n">
        <x:f>IF(4&gt;D821,0,MAX(2,MIN('难度参数'!$E$12,ROUND(('难度参数'!$E$18*POWER(A821,'难度参数'!$E$19)/D821*(0.85+0.3*(4-1)/MAX(1,D821-1))),0)+F821)))</x:f>
        <x:v>49</x:v>
      </x:c>
      <x:c r="AK821" s="119" t="n">
        <x:f>IF(4&gt;D821,0,ROUND(('难度参数'!$E$13*POWER(A821,'难度参数'!$E$20)*MIN('难度参数'!$E$23,1+MAX(0,A821-'难度参数'!$E$21)*'难度参数'!$E$22))*(36+4*7)/(36+7*(D821+1)/2)*E821,0))</x:f>
        <x:v>16841</x:v>
      </x:c>
      <x:c r="AL821" s="119" t="n">
        <x:f>IF(AJ821=0,0,(AJ821-IF(4=D821,1,0))*ROUND(AK821*VLOOKUP(INDEX('章节与怪物'!$E$31:$K$37,B821,4),'章节与怪物'!$A$41:$F$44,2,FALSE),0)+IF(4=D821,ROUND(AK821*'难度参数'!$E$28*'章节与怪物'!$E$17,0),0))</x:f>
        <x:v>1114015</x:v>
      </x:c>
      <x:c r="AM821" s="119" t="n">
        <x:f>IF(AJ821=0,0,(AJ821-IF(4=D821,1,0))*VLOOKUP(INDEX('章节与怪物'!$E$31:$K$37,B821,4),'章节与怪物'!$A$41:$F$44,4,FALSE)+IF(4=D821,'难度参数'!$E$30,0))</x:f>
        <x:v>1666</x:v>
      </x:c>
      <x:c r="AN821" s="119" t="n">
        <x:f>IF(5&gt;D821,0,MAX(2,MIN('难度参数'!$E$12,ROUND(('难度参数'!$E$18*POWER(A821,'难度参数'!$E$19)/D821*(0.85+0.3*(5-1)/MAX(1,D821-1))),0)+F821)))</x:f>
        <x:v>52</x:v>
      </x:c>
      <x:c r="AO821" s="119" t="n">
        <x:f>IF(5&gt;D821,0,ROUND(('难度参数'!$E$13*POWER(A821,'难度参数'!$E$20)*MIN('难度参数'!$E$23,1+MAX(0,A821-'难度参数'!$E$21)*'难度参数'!$E$22))*(36+5*7)/(36+7*(D821+1)/2)*E821,0))</x:f>
        <x:v>18683</x:v>
      </x:c>
      <x:c r="AP821" s="119" t="n">
        <x:f>IF(AN821=0,0,(AN821-IF(5=D821,1,0))*ROUND(AO821*VLOOKUP(INDEX('章节与怪物'!$E$31:$K$37,B821,5),'章节与怪物'!$A$41:$F$44,2,FALSE),0)+IF(5=D821,ROUND(AO821*'难度参数'!$E$28*'章节与怪物'!$E$17,0),0))</x:f>
        <x:v>971516</x:v>
      </x:c>
      <x:c r="AQ821" s="119" t="n">
        <x:f>IF(AN821=0,0,(AN821-IF(5=D821,1,0))*VLOOKUP(INDEX('章节与怪物'!$E$31:$K$37,B821,5),'章节与怪物'!$A$41:$F$44,4,FALSE)+IF(5=D821,'难度参数'!$E$30,0))</x:f>
        <x:v>936</x:v>
      </x:c>
      <x:c r="AR821" s="119" t="n">
        <x:f>IF(6&gt;D821,0,MAX(2,MIN('难度参数'!$E$12,ROUND(('难度参数'!$E$18*POWER(A821,'难度参数'!$E$19)/D821*(0.85+0.3*(6-1)/MAX(1,D821-1))),0)+F821)))</x:f>
        <x:v>54</x:v>
      </x:c>
      <x:c r="AS821" s="119" t="n">
        <x:f>IF(6&gt;D821,0,ROUND(('难度参数'!$E$13*POWER(A821,'难度参数'!$E$20)*MIN('难度参数'!$E$23,1+MAX(0,A821-'难度参数'!$E$21)*'难度参数'!$E$22))*(36+6*7)/(36+7*(D821+1)/2)*E821,0))</x:f>
        <x:v>20525</x:v>
      </x:c>
      <x:c r="AT821" s="119" t="n">
        <x:f>IF(AR821=0,0,(AR821-IF(6=D821,1,0))*ROUND(AS821*VLOOKUP(INDEX('章节与怪物'!$E$31:$K$37,B821,6),'章节与怪物'!$A$41:$F$44,2,FALSE),0)+IF(6=D821,ROUND(AS821*'难度参数'!$E$28*'章节与怪物'!$E$17,0),0))</x:f>
        <x:v>1884222</x:v>
      </x:c>
      <x:c r="AU821" s="119" t="n">
        <x:f>IF(AR821=0,0,(AR821-IF(6=D821,1,0))*VLOOKUP(INDEX('章节与怪物'!$E$31:$K$37,B821,6),'章节与怪物'!$A$41:$F$44,4,FALSE)+IF(6=D821,'难度参数'!$E$30,0))</x:f>
        <x:v>1512</x:v>
      </x:c>
      <x:c r="AV821" s="119" t="n">
        <x:f>IF(7&gt;D821,0,MAX(2,MIN('难度参数'!$E$12,ROUND(('难度参数'!$E$18*POWER(A821,'难度参数'!$E$19)/D821*(0.85+0.3*(7-1)/MAX(1,D821-1))),0)+F821)))</x:f>
        <x:v>57</x:v>
      </x:c>
      <x:c r="AW821" s="119" t="n">
        <x:f>IF(7&gt;D821,0,ROUND(('难度参数'!$E$13*POWER(A821,'难度参数'!$E$20)*MIN('难度参数'!$E$23,1+MAX(0,A821-'难度参数'!$E$21)*'难度参数'!$E$22))*(36+7*7)/(36+7*(D821+1)/2)*E821,0))</x:f>
        <x:v>22367</x:v>
      </x:c>
      <x:c r="AX821" s="119" t="n">
        <x:f>IF(AV821=0,0,(AV821-IF(7=D821,1,0))*ROUND(AW821*VLOOKUP(INDEX('章节与怪物'!$E$31:$K$37,B821,7),'章节与怪物'!$A$41:$F$44,2,FALSE),0)+IF(7=D821,ROUND(AW821*'难度参数'!$E$28*'章节与怪物'!$E$17,0),0))</x:f>
        <x:v>1843016</x:v>
      </x:c>
      <x:c r="AY821" s="119" t="n">
        <x:f>IF(AV821=0,0,(AV821-IF(7=D821,1,0))*VLOOKUP(INDEX('章节与怪物'!$E$31:$K$37,B821,7),'章节与怪物'!$A$41:$F$44,4,FALSE)+IF(7=D821,'难度参数'!$E$30,0))</x:f>
        <x:v>2104</x:v>
      </x:c>
    </x:row>
    <x:row r="822" ht="23" customHeight="1">
      <x:c r="A822" s="119" t="n">
        <x:v>816</x:v>
      </x:c>
      <x:c r="B822" s="119" t="n">
        <x:f>MOD(INT((A822-1)/5),7)+1</x:f>
        <x:v>3</x:v>
      </x:c>
      <x:c r="C822" s="62" t="str">
        <x:f>INDEX('章节与怪物'!$B$31:$B$37,B822)</x:f>
        <x:v>腐沼秘林</x:v>
      </x:c>
      <x:c r="D822" s="119" t="n">
        <x:f>MIN('难度参数'!$E$8,MAX('难度参数'!$E$7,A822))</x:f>
        <x:v>7</x:v>
      </x:c>
      <x:c r="E822" s="106" t="n">
        <x:v>1</x:v>
      </x:c>
      <x:c r="F822" s="106" t="n">
        <x:v>0</x:v>
      </x:c>
      <x:c r="G822" s="106" t="n">
        <x:v>1</x:v>
      </x:c>
      <x:c r="H822" s="119" t="n">
        <x:f>SUM(X822,AB822,AF822,AJ822,AN822,AR822,AV822)</x:f>
        <x:v>345</x:v>
      </x:c>
      <x:c r="I822" s="119" t="n">
        <x:f>SUM(Z822,AD822,AH822,AL822,AP822,AT822,AX822)</x:f>
        <x:v>7637924</x:v>
      </x:c>
      <x:c r="J822" s="119" t="n">
        <x:f>ROUND(INDEX(X822:AY822,1,(D822-1)*4+2)*'难度参数'!$E$28*'章节与怪物'!$E$17,0)</x:f>
        <x:v>152232</x:v>
      </x:c>
      <x:c r="K822" s="119" t="n">
        <x:f>SUM(AA822,AE822,AI822,AM822,AQ822,AU822,AY822)</x:f>
        <x:v>9274</x:v>
      </x:c>
      <x:c r="L822" s="62" t="n">
        <x:f>H822*(ROUNDUP('难度参数'!$E$24/('难度参数'!$E$26*'难度参数'!$E$27),0)*'难度参数'!$E$26)/60</x:f>
        <x:v>4.6</x:v>
      </x:c>
      <x:c r="M822" s="62" t="n">
        <x:f>L822+D822*('难度参数'!$E$49+'难度参数'!$E$50)/60</x:f>
        <x:v>5.766666666666667</x:v>
      </x:c>
      <x:c r="N822" s="119" t="n">
        <x:f>ROUNDDOWN(('经济参数'!$E$20+A822*'经济参数'!$E$21)*G822,0)</x:f>
        <x:v>16500</x:v>
      </x:c>
      <x:c r="O822" s="119" t="n">
        <x:f>ROUNDDOWN(MIN('经济参数'!$E$24,'经济参数'!$E$22+A822*'经济参数'!$E$23)*G822,0)</x:f>
        <x:v>0</x:v>
      </x:c>
      <x:c r="P822" s="119" t="n">
        <x:f>ROUNDDOWN((IF(A822&gt;='材料与任务'!$E$31,'材料与任务'!$E$32,IF(A822&gt;='材料与任务'!$E$25,'材料与任务'!$E$26,IF(A822&gt;='材料与任务'!$E$19,'材料与任务'!$E$20,IF(A822&gt;='材料与任务'!$E$13,'材料与任务'!$E$14,'材料与任务'!$E$8)))))*G822,0)</x:f>
        <x:v>6</x:v>
      </x:c>
      <x:c r="Q822" s="119" t="n">
        <x:f>ROUNDDOWN((IF(A822&gt;='材料与任务'!$E$31,'材料与任务'!$E$33,IF(A822&gt;='材料与任务'!$E$25,'材料与任务'!$E$27,IF(A822&gt;='材料与任务'!$E$19,'材料与任务'!$E$21,IF(A822&gt;='材料与任务'!$E$13,'材料与任务'!$E$15,'材料与任务'!$E$9)))))*G822,0)</x:f>
        <x:v>3</x:v>
      </x:c>
      <x:c r="R822" s="110" t="n">
        <x:f>'装备掉落'!$B$38</x:f>
        <x:v>0.6872058758851213</x:v>
      </x:c>
      <x:c r="S822" s="119" t="n">
        <x:f>MAX(IF(VLOOKUP(A822,'装备掉落'!$A$29:$H$34,2,TRUE)&gt;0,1,0),IF(VLOOKUP(A822,'装备掉落'!$A$29:$H$34,3,TRUE)&gt;0,2,0),IF(VLOOKUP(A822,'装备掉落'!$A$29:$H$34,4,TRUE)&gt;0,3,0),IF(VLOOKUP(A822,'装备掉落'!$A$29:$H$34,5,TRUE)&gt;0,4,0),IF(VLOOKUP(A822,'装备掉落'!$A$29:$H$34,6,TRUE)&gt;0,5,0),IF(VLOOKUP(A822,'装备掉落'!$A$29:$H$34,7,TRUE)&gt;0,6,0),IF(VLOOKUP(A822,'装备掉落'!$A$29:$H$34,8,TRUE)&gt;0,7,0))</x:f>
        <x:v>7</x:v>
      </x:c>
      <x:c r="T822" s="119" t="n">
        <x:f>MIN(7,S822+'经济参数'!$E$70)</x:f>
        <x:v>7</x:v>
      </x:c>
      <x:c r="U822" s="119" t="n">
        <x:f>MIN(7,S822+'经济参数'!$E$71)</x:f>
        <x:v>7</x:v>
      </x:c>
      <x:c r="V822" s="119" t="n">
        <x:f>IF(H822&gt;=('难度参数'!$E$52),1,0)+IF(H822&gt;=('难度参数'!$E$52+'难度参数'!$E$53),1,0)+IF(H822&gt;=('难度参数'!$E$52+'难度参数'!$E$53+'难度参数'!$E$54),1,0)+IF(H822&gt;=('难度参数'!$E$52+'难度参数'!$E$53+'难度参数'!$E$54+'难度参数'!$E$55),1,0)+IF(H822&gt;=('难度参数'!$E$52+'难度参数'!$E$53+'难度参数'!$E$54+'难度参数'!$E$55+'难度参数'!$E$56),1,0)+IF(H822&gt;=('难度参数'!$E$52+'难度参数'!$E$53+'难度参数'!$E$54+'难度参数'!$E$55+'难度参数'!$E$56+'难度参数'!$E$57),1,0)</x:f>
        <x:v>6</x:v>
      </x:c>
      <x:c r="W822" s="62" t="str">
        <x:f>IF(L822&gt;'难度参数'!$E$51,"仅出怪已超目标","还需实测")</x:f>
        <x:v>仅出怪已超目标</x:v>
      </x:c>
      <x:c r="X822" s="119" t="n">
        <x:f>IF(1&gt;D822,0,MAX(2,MIN('难度参数'!$E$12,ROUND(('难度参数'!$E$18*POWER(A822,'难度参数'!$E$19)/D822*(0.85+0.3*(1-1)/MAX(1,D822-1))),0)+F822)))</x:f>
        <x:v>42</x:v>
      </x:c>
      <x:c r="Y822" s="119" t="n">
        <x:f>IF(1&gt;D822,0,ROUND(('难度参数'!$E$13*POWER(A822,'难度参数'!$E$20)*MIN('难度参数'!$E$23,1+MAX(0,A822-'难度参数'!$E$21)*'难度参数'!$E$22))*(36+1*7)/(36+7*(D822+1)/2)*E822,0))</x:f>
        <x:v>11325</x:v>
      </x:c>
      <x:c r="Z822" s="119" t="n">
        <x:f>IF(X822=0,0,(X822-IF(1=D822,1,0))*ROUND(Y822*VLOOKUP(INDEX('章节与怪物'!$E$31:$K$37,B822,1),'章节与怪物'!$A$41:$F$44,2,FALSE),0)+IF(1=D822,ROUND(Y822*'难度参数'!$E$28*'章节与怪物'!$E$17,0),0))</x:f>
        <x:v>475650</x:v>
      </x:c>
      <x:c r="AA822" s="119" t="n">
        <x:f>IF(X822=0,0,(X822-IF(1=D822,1,0))*VLOOKUP(INDEX('章节与怪物'!$E$31:$K$37,B822,1),'章节与怪物'!$A$41:$F$44,4,FALSE)+IF(1=D822,'难度参数'!$E$30,0))</x:f>
        <x:v>756</x:v>
      </x:c>
      <x:c r="AB822" s="119" t="n">
        <x:f>IF(2&gt;D822,0,MAX(2,MIN('难度参数'!$E$12,ROUND(('难度参数'!$E$18*POWER(A822,'难度参数'!$E$19)/D822*(0.85+0.3*(2-1)/MAX(1,D822-1))),0)+F822)))</x:f>
        <x:v>44</x:v>
      </x:c>
      <x:c r="AC822" s="119" t="n">
        <x:f>IF(2&gt;D822,0,ROUND(('难度参数'!$E$13*POWER(A822,'难度参数'!$E$20)*MIN('难度参数'!$E$23,1+MAX(0,A822-'难度参数'!$E$21)*'难度参数'!$E$22))*(36+2*7)/(36+7*(D822+1)/2)*E822,0))</x:f>
        <x:v>13169</x:v>
      </x:c>
      <x:c r="AD822" s="119" t="n">
        <x:f>IF(AB822=0,0,(AB822-IF(2=D822,1,0))*ROUND(AC822*VLOOKUP(INDEX('章节与怪物'!$E$31:$K$37,B822,2),'章节与怪物'!$A$41:$F$44,2,FALSE),0)+IF(2=D822,ROUND(AC822*'难度参数'!$E$28*'章节与怪物'!$E$17,0),0))</x:f>
        <x:v>417208</x:v>
      </x:c>
      <x:c r="AE822" s="119" t="n">
        <x:f>IF(AB822=0,0,(AB822-IF(2=D822,1,0))*VLOOKUP(INDEX('章节与怪物'!$E$31:$K$37,B822,2),'章节与怪物'!$A$41:$F$44,4,FALSE)+IF(2=D822,'难度参数'!$E$30,0))</x:f>
        <x:v>880</x:v>
      </x:c>
      <x:c r="AF822" s="119" t="n">
        <x:f>IF(3&gt;D822,0,MAX(2,MIN('难度参数'!$E$12,ROUND(('难度参数'!$E$18*POWER(A822,'难度参数'!$E$19)/D822*(0.85+0.3*(3-1)/MAX(1,D822-1))),0)+F822)))</x:f>
        <x:v>47</x:v>
      </x:c>
      <x:c r="AG822" s="119" t="n">
        <x:f>IF(3&gt;D822,0,ROUND(('难度参数'!$E$13*POWER(A822,'难度参数'!$E$20)*MIN('难度参数'!$E$23,1+MAX(0,A822-'难度参数'!$E$21)*'难度参数'!$E$22))*(36+3*7)/(36+7*(D822+1)/2)*E822,0))</x:f>
        <x:v>15012</x:v>
      </x:c>
      <x:c r="AH822" s="119" t="n">
        <x:f>IF(AF822=0,0,(AF822-IF(3=D822,1,0))*ROUND(AG822*VLOOKUP(INDEX('章节与怪物'!$E$31:$K$37,B822,3),'章节与怪物'!$A$41:$F$44,2,FALSE),0)+IF(3=D822,ROUND(AG822*'难度参数'!$E$28*'章节与怪物'!$E$17,0),0))</x:f>
        <x:v>1199440</x:v>
      </x:c>
      <x:c r="AI822" s="119" t="n">
        <x:f>IF(AF822=0,0,(AF822-IF(3=D822,1,0))*VLOOKUP(INDEX('章节与怪物'!$E$31:$K$37,B822,3),'章节与怪物'!$A$41:$F$44,4,FALSE)+IF(3=D822,'难度参数'!$E$30,0))</x:f>
        <x:v>1316</x:v>
      </x:c>
      <x:c r="AJ822" s="119" t="n">
        <x:f>IF(4&gt;D822,0,MAX(2,MIN('难度参数'!$E$12,ROUND(('难度参数'!$E$18*POWER(A822,'难度参数'!$E$19)/D822*(0.85+0.3*(4-1)/MAX(1,D822-1))),0)+F822)))</x:f>
        <x:v>49</x:v>
      </x:c>
      <x:c r="AK822" s="119" t="n">
        <x:f>IF(4&gt;D822,0,ROUND(('难度参数'!$E$13*POWER(A822,'难度参数'!$E$20)*MIN('难度参数'!$E$23,1+MAX(0,A822-'难度参数'!$E$21)*'难度参数'!$E$22))*(36+4*7)/(36+7*(D822+1)/2)*E822,0))</x:f>
        <x:v>16856</x:v>
      </x:c>
      <x:c r="AL822" s="119" t="n">
        <x:f>IF(AJ822=0,0,(AJ822-IF(4=D822,1,0))*ROUND(AK822*VLOOKUP(INDEX('章节与怪物'!$E$31:$K$37,B822,4),'章节与怪物'!$A$41:$F$44,2,FALSE),0)+IF(4=D822,ROUND(AK822*'难度参数'!$E$28*'章节与怪物'!$E$17,0),0))</x:f>
        <x:v>1115044</x:v>
      </x:c>
      <x:c r="AM822" s="119" t="n">
        <x:f>IF(AJ822=0,0,(AJ822-IF(4=D822,1,0))*VLOOKUP(INDEX('章节与怪物'!$E$31:$K$37,B822,4),'章节与怪物'!$A$41:$F$44,4,FALSE)+IF(4=D822,'难度参数'!$E$30,0))</x:f>
        <x:v>1666</x:v>
      </x:c>
      <x:c r="AN822" s="119" t="n">
        <x:f>IF(5&gt;D822,0,MAX(2,MIN('难度参数'!$E$12,ROUND(('难度参数'!$E$18*POWER(A822,'难度参数'!$E$19)/D822*(0.85+0.3*(5-1)/MAX(1,D822-1))),0)+F822)))</x:f>
        <x:v>52</x:v>
      </x:c>
      <x:c r="AO822" s="119" t="n">
        <x:f>IF(5&gt;D822,0,ROUND(('难度参数'!$E$13*POWER(A822,'难度参数'!$E$20)*MIN('难度参数'!$E$23,1+MAX(0,A822-'难度参数'!$E$21)*'难度参数'!$E$22))*(36+5*7)/(36+7*(D822+1)/2)*E822,0))</x:f>
        <x:v>18699</x:v>
      </x:c>
      <x:c r="AP822" s="119" t="n">
        <x:f>IF(AN822=0,0,(AN822-IF(5=D822,1,0))*ROUND(AO822*VLOOKUP(INDEX('章节与怪物'!$E$31:$K$37,B822,5),'章节与怪物'!$A$41:$F$44,2,FALSE),0)+IF(5=D822,ROUND(AO822*'难度参数'!$E$28*'章节与怪物'!$E$17,0),0))</x:f>
        <x:v>700076</x:v>
      </x:c>
      <x:c r="AQ822" s="119" t="n">
        <x:f>IF(AN822=0,0,(AN822-IF(5=D822,1,0))*VLOOKUP(INDEX('章节与怪物'!$E$31:$K$37,B822,5),'章节与怪物'!$A$41:$F$44,4,FALSE)+IF(5=D822,'难度参数'!$E$30,0))</x:f>
        <x:v>1040</x:v>
      </x:c>
      <x:c r="AR822" s="119" t="n">
        <x:f>IF(6&gt;D822,0,MAX(2,MIN('难度参数'!$E$12,ROUND(('难度参数'!$E$18*POWER(A822,'难度参数'!$E$19)/D822*(0.85+0.3*(6-1)/MAX(1,D822-1))),0)+F822)))</x:f>
        <x:v>54</x:v>
      </x:c>
      <x:c r="AS822" s="119" t="n">
        <x:f>IF(6&gt;D822,0,ROUND(('难度参数'!$E$13*POWER(A822,'难度参数'!$E$20)*MIN('难度参数'!$E$23,1+MAX(0,A822-'难度参数'!$E$21)*'难度参数'!$E$22))*(36+6*7)/(36+7*(D822+1)/2)*E822,0))</x:f>
        <x:v>20543</x:v>
      </x:c>
      <x:c r="AT822" s="119" t="n">
        <x:f>IF(AR822=0,0,(AR822-IF(6=D822,1,0))*ROUND(AS822*VLOOKUP(INDEX('章节与怪物'!$E$31:$K$37,B822,6),'章节与怪物'!$A$41:$F$44,2,FALSE),0)+IF(6=D822,ROUND(AS822*'难度参数'!$E$28*'章节与怪物'!$E$17,0),0))</x:f>
        <x:v>1885842</x:v>
      </x:c>
      <x:c r="AU822" s="119" t="n">
        <x:f>IF(AR822=0,0,(AR822-IF(6=D822,1,0))*VLOOKUP(INDEX('章节与怪物'!$E$31:$K$37,B822,6),'章节与怪物'!$A$41:$F$44,4,FALSE)+IF(6=D822,'难度参数'!$E$30,0))</x:f>
        <x:v>1512</x:v>
      </x:c>
      <x:c r="AV822" s="119" t="n">
        <x:f>IF(7&gt;D822,0,MAX(2,MIN('难度参数'!$E$12,ROUND(('难度参数'!$E$18*POWER(A822,'难度参数'!$E$19)/D822*(0.85+0.3*(7-1)/MAX(1,D822-1))),0)+F822)))</x:f>
        <x:v>57</x:v>
      </x:c>
      <x:c r="AW822" s="119" t="n">
        <x:f>IF(7&gt;D822,0,ROUND(('难度参数'!$E$13*POWER(A822,'难度参数'!$E$20)*MIN('难度参数'!$E$23,1+MAX(0,A822-'难度参数'!$E$21)*'难度参数'!$E$22))*(36+7*7)/(36+7*(D822+1)/2)*E822,0))</x:f>
        <x:v>22387</x:v>
      </x:c>
      <x:c r="AX822" s="119" t="n">
        <x:f>IF(AV822=0,0,(AV822-IF(7=D822,1,0))*ROUND(AW822*VLOOKUP(INDEX('章节与怪物'!$E$31:$K$37,B822,7),'章节与怪物'!$A$41:$F$44,2,FALSE),0)+IF(7=D822,ROUND(AW822*'难度参数'!$E$28*'章节与怪物'!$E$17,0),0))</x:f>
        <x:v>1844664</x:v>
      </x:c>
      <x:c r="AY822" s="119" t="n">
        <x:f>IF(AV822=0,0,(AV822-IF(7=D822,1,0))*VLOOKUP(INDEX('章节与怪物'!$E$31:$K$37,B822,7),'章节与怪物'!$A$41:$F$44,4,FALSE)+IF(7=D822,'难度参数'!$E$30,0))</x:f>
        <x:v>2104</x:v>
      </x:c>
    </x:row>
    <x:row r="823" ht="23" customHeight="1">
      <x:c r="A823" s="119" t="n">
        <x:v>817</x:v>
      </x:c>
      <x:c r="B823" s="119" t="n">
        <x:f>MOD(INT((A823-1)/5),7)+1</x:f>
        <x:v>3</x:v>
      </x:c>
      <x:c r="C823" s="62" t="str">
        <x:f>INDEX('章节与怪物'!$B$31:$B$37,B823)</x:f>
        <x:v>腐沼秘林</x:v>
      </x:c>
      <x:c r="D823" s="119" t="n">
        <x:f>MIN('难度参数'!$E$8,MAX('难度参数'!$E$7,A823))</x:f>
        <x:v>7</x:v>
      </x:c>
      <x:c r="E823" s="106" t="n">
        <x:v>1</x:v>
      </x:c>
      <x:c r="F823" s="106" t="n">
        <x:v>0</x:v>
      </x:c>
      <x:c r="G823" s="106" t="n">
        <x:v>1</x:v>
      </x:c>
      <x:c r="H823" s="119" t="n">
        <x:f>SUM(X823,AB823,AF823,AJ823,AN823,AR823,AV823)</x:f>
        <x:v>345</x:v>
      </x:c>
      <x:c r="I823" s="119" t="n">
        <x:f>SUM(Z823,AD823,AH823,AL823,AP823,AT823,AX823)</x:f>
        <x:v>7644692</x:v>
      </x:c>
      <x:c r="J823" s="119" t="n">
        <x:f>ROUND(INDEX(X823:AY823,1,(D823-1)*4+2)*'难度参数'!$E$28*'章节与怪物'!$E$17,0)</x:f>
        <x:v>152361</x:v>
      </x:c>
      <x:c r="K823" s="119" t="n">
        <x:f>SUM(AA823,AE823,AI823,AM823,AQ823,AU823,AY823)</x:f>
        <x:v>9274</x:v>
      </x:c>
      <x:c r="L823" s="62" t="n">
        <x:f>H823*(ROUNDUP('难度参数'!$E$24/('难度参数'!$E$26*'难度参数'!$E$27),0)*'难度参数'!$E$26)/60</x:f>
        <x:v>4.6</x:v>
      </x:c>
      <x:c r="M823" s="62" t="n">
        <x:f>L823+D823*('难度参数'!$E$49+'难度参数'!$E$50)/60</x:f>
        <x:v>5.766666666666667</x:v>
      </x:c>
      <x:c r="N823" s="119" t="n">
        <x:f>ROUNDDOWN(('经济参数'!$E$20+A823*'经济参数'!$E$21)*G823,0)</x:f>
        <x:v>16520</x:v>
      </x:c>
      <x:c r="O823" s="119" t="n">
        <x:f>ROUNDDOWN(MIN('经济参数'!$E$24,'经济参数'!$E$22+A823*'经济参数'!$E$23)*G823,0)</x:f>
        <x:v>0</x:v>
      </x:c>
      <x:c r="P823" s="119" t="n">
        <x:f>ROUNDDOWN((IF(A823&gt;='材料与任务'!$E$31,'材料与任务'!$E$32,IF(A823&gt;='材料与任务'!$E$25,'材料与任务'!$E$26,IF(A823&gt;='材料与任务'!$E$19,'材料与任务'!$E$20,IF(A823&gt;='材料与任务'!$E$13,'材料与任务'!$E$14,'材料与任务'!$E$8)))))*G823,0)</x:f>
        <x:v>6</x:v>
      </x:c>
      <x:c r="Q823" s="119" t="n">
        <x:f>ROUNDDOWN((IF(A823&gt;='材料与任务'!$E$31,'材料与任务'!$E$33,IF(A823&gt;='材料与任务'!$E$25,'材料与任务'!$E$27,IF(A823&gt;='材料与任务'!$E$19,'材料与任务'!$E$21,IF(A823&gt;='材料与任务'!$E$13,'材料与任务'!$E$15,'材料与任务'!$E$9)))))*G823,0)</x:f>
        <x:v>3</x:v>
      </x:c>
      <x:c r="R823" s="110" t="n">
        <x:f>'装备掉落'!$B$38</x:f>
        <x:v>0.6872058758851213</x:v>
      </x:c>
      <x:c r="S823" s="119" t="n">
        <x:f>MAX(IF(VLOOKUP(A823,'装备掉落'!$A$29:$H$34,2,TRUE)&gt;0,1,0),IF(VLOOKUP(A823,'装备掉落'!$A$29:$H$34,3,TRUE)&gt;0,2,0),IF(VLOOKUP(A823,'装备掉落'!$A$29:$H$34,4,TRUE)&gt;0,3,0),IF(VLOOKUP(A823,'装备掉落'!$A$29:$H$34,5,TRUE)&gt;0,4,0),IF(VLOOKUP(A823,'装备掉落'!$A$29:$H$34,6,TRUE)&gt;0,5,0),IF(VLOOKUP(A823,'装备掉落'!$A$29:$H$34,7,TRUE)&gt;0,6,0),IF(VLOOKUP(A823,'装备掉落'!$A$29:$H$34,8,TRUE)&gt;0,7,0))</x:f>
        <x:v>7</x:v>
      </x:c>
      <x:c r="T823" s="119" t="n">
        <x:f>MIN(7,S823+'经济参数'!$E$70)</x:f>
        <x:v>7</x:v>
      </x:c>
      <x:c r="U823" s="119" t="n">
        <x:f>MIN(7,S823+'经济参数'!$E$71)</x:f>
        <x:v>7</x:v>
      </x:c>
      <x:c r="V823" s="119" t="n">
        <x:f>IF(H823&gt;=('难度参数'!$E$52),1,0)+IF(H823&gt;=('难度参数'!$E$52+'难度参数'!$E$53),1,0)+IF(H823&gt;=('难度参数'!$E$52+'难度参数'!$E$53+'难度参数'!$E$54),1,0)+IF(H823&gt;=('难度参数'!$E$52+'难度参数'!$E$53+'难度参数'!$E$54+'难度参数'!$E$55),1,0)+IF(H823&gt;=('难度参数'!$E$52+'难度参数'!$E$53+'难度参数'!$E$54+'难度参数'!$E$55+'难度参数'!$E$56),1,0)+IF(H823&gt;=('难度参数'!$E$52+'难度参数'!$E$53+'难度参数'!$E$54+'难度参数'!$E$55+'难度参数'!$E$56+'难度参数'!$E$57),1,0)</x:f>
        <x:v>6</x:v>
      </x:c>
      <x:c r="W823" s="62" t="str">
        <x:f>IF(L823&gt;'难度参数'!$E$51,"仅出怪已超目标","还需实测")</x:f>
        <x:v>仅出怪已超目标</x:v>
      </x:c>
      <x:c r="X823" s="119" t="n">
        <x:f>IF(1&gt;D823,0,MAX(2,MIN('难度参数'!$E$12,ROUND(('难度参数'!$E$18*POWER(A823,'难度参数'!$E$19)/D823*(0.85+0.3*(1-1)/MAX(1,D823-1))),0)+F823)))</x:f>
        <x:v>42</x:v>
      </x:c>
      <x:c r="Y823" s="119" t="n">
        <x:f>IF(1&gt;D823,0,ROUND(('难度参数'!$E$13*POWER(A823,'难度参数'!$E$20)*MIN('难度参数'!$E$23,1+MAX(0,A823-'难度参数'!$E$21)*'难度参数'!$E$22))*(36+1*7)/(36+7*(D823+1)/2)*E823,0))</x:f>
        <x:v>11335</x:v>
      </x:c>
      <x:c r="Z823" s="119" t="n">
        <x:f>IF(X823=0,0,(X823-IF(1=D823,1,0))*ROUND(Y823*VLOOKUP(INDEX('章节与怪物'!$E$31:$K$37,B823,1),'章节与怪物'!$A$41:$F$44,2,FALSE),0)+IF(1=D823,ROUND(Y823*'难度参数'!$E$28*'章节与怪物'!$E$17,0),0))</x:f>
        <x:v>476070</x:v>
      </x:c>
      <x:c r="AA823" s="119" t="n">
        <x:f>IF(X823=0,0,(X823-IF(1=D823,1,0))*VLOOKUP(INDEX('章节与怪物'!$E$31:$K$37,B823,1),'章节与怪物'!$A$41:$F$44,4,FALSE)+IF(1=D823,'难度参数'!$E$30,0))</x:f>
        <x:v>756</x:v>
      </x:c>
      <x:c r="AB823" s="119" t="n">
        <x:f>IF(2&gt;D823,0,MAX(2,MIN('难度参数'!$E$12,ROUND(('难度参数'!$E$18*POWER(A823,'难度参数'!$E$19)/D823*(0.85+0.3*(2-1)/MAX(1,D823-1))),0)+F823)))</x:f>
        <x:v>44</x:v>
      </x:c>
      <x:c r="AC823" s="119" t="n">
        <x:f>IF(2&gt;D823,0,ROUND(('难度参数'!$E$13*POWER(A823,'难度参数'!$E$20)*MIN('难度参数'!$E$23,1+MAX(0,A823-'难度参数'!$E$21)*'难度参数'!$E$22))*(36+2*7)/(36+7*(D823+1)/2)*E823,0))</x:f>
        <x:v>13180</x:v>
      </x:c>
      <x:c r="AD823" s="119" t="n">
        <x:f>IF(AB823=0,0,(AB823-IF(2=D823,1,0))*ROUND(AC823*VLOOKUP(INDEX('章节与怪物'!$E$31:$K$37,B823,2),'章节与怪物'!$A$41:$F$44,2,FALSE),0)+IF(2=D823,ROUND(AC823*'难度参数'!$E$28*'章节与怪物'!$E$17,0),0))</x:f>
        <x:v>417560</x:v>
      </x:c>
      <x:c r="AE823" s="119" t="n">
        <x:f>IF(AB823=0,0,(AB823-IF(2=D823,1,0))*VLOOKUP(INDEX('章节与怪物'!$E$31:$K$37,B823,2),'章节与怪物'!$A$41:$F$44,4,FALSE)+IF(2=D823,'难度参数'!$E$30,0))</x:f>
        <x:v>880</x:v>
      </x:c>
      <x:c r="AF823" s="119" t="n">
        <x:f>IF(3&gt;D823,0,MAX(2,MIN('难度参数'!$E$12,ROUND(('难度参数'!$E$18*POWER(A823,'难度参数'!$E$19)/D823*(0.85+0.3*(3-1)/MAX(1,D823-1))),0)+F823)))</x:f>
        <x:v>47</x:v>
      </x:c>
      <x:c r="AG823" s="119" t="n">
        <x:f>IF(3&gt;D823,0,ROUND(('难度参数'!$E$13*POWER(A823,'难度参数'!$E$20)*MIN('难度参数'!$E$23,1+MAX(0,A823-'难度参数'!$E$21)*'难度参数'!$E$22))*(36+3*7)/(36+7*(D823+1)/2)*E823,0))</x:f>
        <x:v>15025</x:v>
      </x:c>
      <x:c r="AH823" s="119" t="n">
        <x:f>IF(AF823=0,0,(AF823-IF(3=D823,1,0))*ROUND(AG823*VLOOKUP(INDEX('章节与怪物'!$E$31:$K$37,B823,3),'章节与怪物'!$A$41:$F$44,2,FALSE),0)+IF(3=D823,ROUND(AG823*'难度参数'!$E$28*'章节与怪物'!$E$17,0),0))</x:f>
        <x:v>1200521</x:v>
      </x:c>
      <x:c r="AI823" s="119" t="n">
        <x:f>IF(AF823=0,0,(AF823-IF(3=D823,1,0))*VLOOKUP(INDEX('章节与怪物'!$E$31:$K$37,B823,3),'章节与怪物'!$A$41:$F$44,4,FALSE)+IF(3=D823,'难度参数'!$E$30,0))</x:f>
        <x:v>1316</x:v>
      </x:c>
      <x:c r="AJ823" s="119" t="n">
        <x:f>IF(4&gt;D823,0,MAX(2,MIN('难度参数'!$E$12,ROUND(('难度参数'!$E$18*POWER(A823,'难度参数'!$E$19)/D823*(0.85+0.3*(4-1)/MAX(1,D823-1))),0)+F823)))</x:f>
        <x:v>49</x:v>
      </x:c>
      <x:c r="AK823" s="119" t="n">
        <x:f>IF(4&gt;D823,0,ROUND(('难度参数'!$E$13*POWER(A823,'难度参数'!$E$20)*MIN('难度参数'!$E$23,1+MAX(0,A823-'难度参数'!$E$21)*'难度参数'!$E$22))*(36+4*7)/(36+7*(D823+1)/2)*E823,0))</x:f>
        <x:v>16871</x:v>
      </x:c>
      <x:c r="AL823" s="119" t="n">
        <x:f>IF(AJ823=0,0,(AJ823-IF(4=D823,1,0))*ROUND(AK823*VLOOKUP(INDEX('章节与怪物'!$E$31:$K$37,B823,4),'章节与怪物'!$A$41:$F$44,2,FALSE),0)+IF(4=D823,ROUND(AK823*'难度参数'!$E$28*'章节与怪物'!$E$17,0),0))</x:f>
        <x:v>1116024</x:v>
      </x:c>
      <x:c r="AM823" s="119" t="n">
        <x:f>IF(AJ823=0,0,(AJ823-IF(4=D823,1,0))*VLOOKUP(INDEX('章节与怪物'!$E$31:$K$37,B823,4),'章节与怪物'!$A$41:$F$44,4,FALSE)+IF(4=D823,'难度参数'!$E$30,0))</x:f>
        <x:v>1666</x:v>
      </x:c>
      <x:c r="AN823" s="119" t="n">
        <x:f>IF(5&gt;D823,0,MAX(2,MIN('难度参数'!$E$12,ROUND(('难度参数'!$E$18*POWER(A823,'难度参数'!$E$19)/D823*(0.85+0.3*(5-1)/MAX(1,D823-1))),0)+F823)))</x:f>
        <x:v>52</x:v>
      </x:c>
      <x:c r="AO823" s="119" t="n">
        <x:f>IF(5&gt;D823,0,ROUND(('难度参数'!$E$13*POWER(A823,'难度参数'!$E$20)*MIN('难度参数'!$E$23,1+MAX(0,A823-'难度参数'!$E$21)*'难度参数'!$E$22))*(36+5*7)/(36+7*(D823+1)/2)*E823,0))</x:f>
        <x:v>18716</x:v>
      </x:c>
      <x:c r="AP823" s="119" t="n">
        <x:f>IF(AN823=0,0,(AN823-IF(5=D823,1,0))*ROUND(AO823*VLOOKUP(INDEX('章节与怪物'!$E$31:$K$37,B823,5),'章节与怪物'!$A$41:$F$44,2,FALSE),0)+IF(5=D823,ROUND(AO823*'难度参数'!$E$28*'章节与怪物'!$E$17,0),0))</x:f>
        <x:v>700752</x:v>
      </x:c>
      <x:c r="AQ823" s="119" t="n">
        <x:f>IF(AN823=0,0,(AN823-IF(5=D823,1,0))*VLOOKUP(INDEX('章节与怪物'!$E$31:$K$37,B823,5),'章节与怪物'!$A$41:$F$44,4,FALSE)+IF(5=D823,'难度参数'!$E$30,0))</x:f>
        <x:v>1040</x:v>
      </x:c>
      <x:c r="AR823" s="119" t="n">
        <x:f>IF(6&gt;D823,0,MAX(2,MIN('难度参数'!$E$12,ROUND(('难度参数'!$E$18*POWER(A823,'难度参数'!$E$19)/D823*(0.85+0.3*(6-1)/MAX(1,D823-1))),0)+F823)))</x:f>
        <x:v>54</x:v>
      </x:c>
      <x:c r="AS823" s="119" t="n">
        <x:f>IF(6&gt;D823,0,ROUND(('难度参数'!$E$13*POWER(A823,'难度参数'!$E$20)*MIN('难度参数'!$E$23,1+MAX(0,A823-'难度参数'!$E$21)*'难度参数'!$E$22))*(36+6*7)/(36+7*(D823+1)/2)*E823,0))</x:f>
        <x:v>20561</x:v>
      </x:c>
      <x:c r="AT823" s="119" t="n">
        <x:f>IF(AR823=0,0,(AR823-IF(6=D823,1,0))*ROUND(AS823*VLOOKUP(INDEX('章节与怪物'!$E$31:$K$37,B823,6),'章节与怪物'!$A$41:$F$44,2,FALSE),0)+IF(6=D823,ROUND(AS823*'难度参数'!$E$28*'章节与怪物'!$E$17,0),0))</x:f>
        <x:v>1887516</x:v>
      </x:c>
      <x:c r="AU823" s="119" t="n">
        <x:f>IF(AR823=0,0,(AR823-IF(6=D823,1,0))*VLOOKUP(INDEX('章节与怪物'!$E$31:$K$37,B823,6),'章节与怪物'!$A$41:$F$44,4,FALSE)+IF(6=D823,'难度参数'!$E$30,0))</x:f>
        <x:v>1512</x:v>
      </x:c>
      <x:c r="AV823" s="119" t="n">
        <x:f>IF(7&gt;D823,0,MAX(2,MIN('难度参数'!$E$12,ROUND(('难度参数'!$E$18*POWER(A823,'难度参数'!$E$19)/D823*(0.85+0.3*(7-1)/MAX(1,D823-1))),0)+F823)))</x:f>
        <x:v>57</x:v>
      </x:c>
      <x:c r="AW823" s="119" t="n">
        <x:f>IF(7&gt;D823,0,ROUND(('难度参数'!$E$13*POWER(A823,'难度参数'!$E$20)*MIN('难度参数'!$E$23,1+MAX(0,A823-'难度参数'!$E$21)*'难度参数'!$E$22))*(36+7*7)/(36+7*(D823+1)/2)*E823,0))</x:f>
        <x:v>22406</x:v>
      </x:c>
      <x:c r="AX823" s="119" t="n">
        <x:f>IF(AV823=0,0,(AV823-IF(7=D823,1,0))*ROUND(AW823*VLOOKUP(INDEX('章节与怪物'!$E$31:$K$37,B823,7),'章节与怪物'!$A$41:$F$44,2,FALSE),0)+IF(7=D823,ROUND(AW823*'难度参数'!$E$28*'章节与怪物'!$E$17,0),0))</x:f>
        <x:v>1846249</x:v>
      </x:c>
      <x:c r="AY823" s="119" t="n">
        <x:f>IF(AV823=0,0,(AV823-IF(7=D823,1,0))*VLOOKUP(INDEX('章节与怪物'!$E$31:$K$37,B823,7),'章节与怪物'!$A$41:$F$44,4,FALSE)+IF(7=D823,'难度参数'!$E$30,0))</x:f>
        <x:v>2104</x:v>
      </x:c>
    </x:row>
    <x:row r="824" ht="23" customHeight="1">
      <x:c r="A824" s="119" t="n">
        <x:v>818</x:v>
      </x:c>
      <x:c r="B824" s="119" t="n">
        <x:f>MOD(INT((A824-1)/5),7)+1</x:f>
        <x:v>3</x:v>
      </x:c>
      <x:c r="C824" s="62" t="str">
        <x:f>INDEX('章节与怪物'!$B$31:$B$37,B824)</x:f>
        <x:v>腐沼秘林</x:v>
      </x:c>
      <x:c r="D824" s="119" t="n">
        <x:f>MIN('难度参数'!$E$8,MAX('难度参数'!$E$7,A824))</x:f>
        <x:v>7</x:v>
      </x:c>
      <x:c r="E824" s="106" t="n">
        <x:v>1</x:v>
      </x:c>
      <x:c r="F824" s="106" t="n">
        <x:v>0</x:v>
      </x:c>
      <x:c r="G824" s="106" t="n">
        <x:v>1</x:v>
      </x:c>
      <x:c r="H824" s="119" t="n">
        <x:f>SUM(X824,AB824,AF824,AJ824,AN824,AR824,AV824)</x:f>
        <x:v>345</x:v>
      </x:c>
      <x:c r="I824" s="119" t="n">
        <x:f>SUM(Z824,AD824,AH824,AL824,AP824,AT824,AX824)</x:f>
        <x:v>7651365</x:v>
      </x:c>
      <x:c r="J824" s="119" t="n">
        <x:f>ROUND(INDEX(X824:AY824,1,(D824-1)*4+2)*'难度参数'!$E$28*'章节与怪物'!$E$17,0)</x:f>
        <x:v>152497</x:v>
      </x:c>
      <x:c r="K824" s="119" t="n">
        <x:f>SUM(AA824,AE824,AI824,AM824,AQ824,AU824,AY824)</x:f>
        <x:v>9274</x:v>
      </x:c>
      <x:c r="L824" s="62" t="n">
        <x:f>H824*(ROUNDUP('难度参数'!$E$24/('难度参数'!$E$26*'难度参数'!$E$27),0)*'难度参数'!$E$26)/60</x:f>
        <x:v>4.6</x:v>
      </x:c>
      <x:c r="M824" s="62" t="n">
        <x:f>L824+D824*('难度参数'!$E$49+'难度参数'!$E$50)/60</x:f>
        <x:v>5.766666666666667</x:v>
      </x:c>
      <x:c r="N824" s="119" t="n">
        <x:f>ROUNDDOWN(('经济参数'!$E$20+A824*'经济参数'!$E$21)*G824,0)</x:f>
        <x:v>16540</x:v>
      </x:c>
      <x:c r="O824" s="119" t="n">
        <x:f>ROUNDDOWN(MIN('经济参数'!$E$24,'经济参数'!$E$22+A824*'经济参数'!$E$23)*G824,0)</x:f>
        <x:v>0</x:v>
      </x:c>
      <x:c r="P824" s="119" t="n">
        <x:f>ROUNDDOWN((IF(A824&gt;='材料与任务'!$E$31,'材料与任务'!$E$32,IF(A824&gt;='材料与任务'!$E$25,'材料与任务'!$E$26,IF(A824&gt;='材料与任务'!$E$19,'材料与任务'!$E$20,IF(A824&gt;='材料与任务'!$E$13,'材料与任务'!$E$14,'材料与任务'!$E$8)))))*G824,0)</x:f>
        <x:v>6</x:v>
      </x:c>
      <x:c r="Q824" s="119" t="n">
        <x:f>ROUNDDOWN((IF(A824&gt;='材料与任务'!$E$31,'材料与任务'!$E$33,IF(A824&gt;='材料与任务'!$E$25,'材料与任务'!$E$27,IF(A824&gt;='材料与任务'!$E$19,'材料与任务'!$E$21,IF(A824&gt;='材料与任务'!$E$13,'材料与任务'!$E$15,'材料与任务'!$E$9)))))*G824,0)</x:f>
        <x:v>3</x:v>
      </x:c>
      <x:c r="R824" s="110" t="n">
        <x:f>'装备掉落'!$B$38</x:f>
        <x:v>0.6872058758851213</x:v>
      </x:c>
      <x:c r="S824" s="119" t="n">
        <x:f>MAX(IF(VLOOKUP(A824,'装备掉落'!$A$29:$H$34,2,TRUE)&gt;0,1,0),IF(VLOOKUP(A824,'装备掉落'!$A$29:$H$34,3,TRUE)&gt;0,2,0),IF(VLOOKUP(A824,'装备掉落'!$A$29:$H$34,4,TRUE)&gt;0,3,0),IF(VLOOKUP(A824,'装备掉落'!$A$29:$H$34,5,TRUE)&gt;0,4,0),IF(VLOOKUP(A824,'装备掉落'!$A$29:$H$34,6,TRUE)&gt;0,5,0),IF(VLOOKUP(A824,'装备掉落'!$A$29:$H$34,7,TRUE)&gt;0,6,0),IF(VLOOKUP(A824,'装备掉落'!$A$29:$H$34,8,TRUE)&gt;0,7,0))</x:f>
        <x:v>7</x:v>
      </x:c>
      <x:c r="T824" s="119" t="n">
        <x:f>MIN(7,S824+'经济参数'!$E$70)</x:f>
        <x:v>7</x:v>
      </x:c>
      <x:c r="U824" s="119" t="n">
        <x:f>MIN(7,S824+'经济参数'!$E$71)</x:f>
        <x:v>7</x:v>
      </x:c>
      <x:c r="V824" s="119" t="n">
        <x:f>IF(H824&gt;=('难度参数'!$E$52),1,0)+IF(H824&gt;=('难度参数'!$E$52+'难度参数'!$E$53),1,0)+IF(H824&gt;=('难度参数'!$E$52+'难度参数'!$E$53+'难度参数'!$E$54),1,0)+IF(H824&gt;=('难度参数'!$E$52+'难度参数'!$E$53+'难度参数'!$E$54+'难度参数'!$E$55),1,0)+IF(H824&gt;=('难度参数'!$E$52+'难度参数'!$E$53+'难度参数'!$E$54+'难度参数'!$E$55+'难度参数'!$E$56),1,0)+IF(H824&gt;=('难度参数'!$E$52+'难度参数'!$E$53+'难度参数'!$E$54+'难度参数'!$E$55+'难度参数'!$E$56+'难度参数'!$E$57),1,0)</x:f>
        <x:v>6</x:v>
      </x:c>
      <x:c r="W824" s="62" t="str">
        <x:f>IF(L824&gt;'难度参数'!$E$51,"仅出怪已超目标","还需实测")</x:f>
        <x:v>仅出怪已超目标</x:v>
      </x:c>
      <x:c r="X824" s="119" t="n">
        <x:f>IF(1&gt;D824,0,MAX(2,MIN('难度参数'!$E$12,ROUND(('难度参数'!$E$18*POWER(A824,'难度参数'!$E$19)/D824*(0.85+0.3*(1-1)/MAX(1,D824-1))),0)+F824)))</x:f>
        <x:v>42</x:v>
      </x:c>
      <x:c r="Y824" s="119" t="n">
        <x:f>IF(1&gt;D824,0,ROUND(('难度参数'!$E$13*POWER(A824,'难度参数'!$E$20)*MIN('难度参数'!$E$23,1+MAX(0,A824-'难度参数'!$E$21)*'难度参数'!$E$22))*(36+1*7)/(36+7*(D824+1)/2)*E824,0))</x:f>
        <x:v>11345</x:v>
      </x:c>
      <x:c r="Z824" s="119" t="n">
        <x:f>IF(X824=0,0,(X824-IF(1=D824,1,0))*ROUND(Y824*VLOOKUP(INDEX('章节与怪物'!$E$31:$K$37,B824,1),'章节与怪物'!$A$41:$F$44,2,FALSE),0)+IF(1=D824,ROUND(Y824*'难度参数'!$E$28*'章节与怪物'!$E$17,0),0))</x:f>
        <x:v>476490</x:v>
      </x:c>
      <x:c r="AA824" s="119" t="n">
        <x:f>IF(X824=0,0,(X824-IF(1=D824,1,0))*VLOOKUP(INDEX('章节与怪物'!$E$31:$K$37,B824,1),'章节与怪物'!$A$41:$F$44,4,FALSE)+IF(1=D824,'难度参数'!$E$30,0))</x:f>
        <x:v>756</x:v>
      </x:c>
      <x:c r="AB824" s="119" t="n">
        <x:f>IF(2&gt;D824,0,MAX(2,MIN('难度参数'!$E$12,ROUND(('难度参数'!$E$18*POWER(A824,'难度参数'!$E$19)/D824*(0.85+0.3*(2-1)/MAX(1,D824-1))),0)+F824)))</x:f>
        <x:v>44</x:v>
      </x:c>
      <x:c r="AC824" s="119" t="n">
        <x:f>IF(2&gt;D824,0,ROUND(('难度参数'!$E$13*POWER(A824,'难度参数'!$E$20)*MIN('难度参数'!$E$23,1+MAX(0,A824-'难度参数'!$E$21)*'难度参数'!$E$22))*(36+2*7)/(36+7*(D824+1)/2)*E824,0))</x:f>
        <x:v>13192</x:v>
      </x:c>
      <x:c r="AD824" s="119" t="n">
        <x:f>IF(AB824=0,0,(AB824-IF(2=D824,1,0))*ROUND(AC824*VLOOKUP(INDEX('章节与怪物'!$E$31:$K$37,B824,2),'章节与怪物'!$A$41:$F$44,2,FALSE),0)+IF(2=D824,ROUND(AC824*'难度参数'!$E$28*'章节与怪物'!$E$17,0),0))</x:f>
        <x:v>417912</x:v>
      </x:c>
      <x:c r="AE824" s="119" t="n">
        <x:f>IF(AB824=0,0,(AB824-IF(2=D824,1,0))*VLOOKUP(INDEX('章节与怪物'!$E$31:$K$37,B824,2),'章节与怪物'!$A$41:$F$44,4,FALSE)+IF(2=D824,'难度参数'!$E$30,0))</x:f>
        <x:v>880</x:v>
      </x:c>
      <x:c r="AF824" s="119" t="n">
        <x:f>IF(3&gt;D824,0,MAX(2,MIN('难度参数'!$E$12,ROUND(('难度参数'!$E$18*POWER(A824,'难度参数'!$E$19)/D824*(0.85+0.3*(3-1)/MAX(1,D824-1))),0)+F824)))</x:f>
        <x:v>47</x:v>
      </x:c>
      <x:c r="AG824" s="119" t="n">
        <x:f>IF(3&gt;D824,0,ROUND(('难度参数'!$E$13*POWER(A824,'难度参数'!$E$20)*MIN('难度参数'!$E$23,1+MAX(0,A824-'难度参数'!$E$21)*'难度参数'!$E$22))*(36+3*7)/(36+7*(D824+1)/2)*E824,0))</x:f>
        <x:v>15039</x:v>
      </x:c>
      <x:c r="AH824" s="119" t="n">
        <x:f>IF(AF824=0,0,(AF824-IF(3=D824,1,0))*ROUND(AG824*VLOOKUP(INDEX('章节与怪物'!$E$31:$K$37,B824,3),'章节与怪物'!$A$41:$F$44,2,FALSE),0)+IF(3=D824,ROUND(AG824*'难度参数'!$E$28*'章节与怪物'!$E$17,0),0))</x:f>
        <x:v>1201602</x:v>
      </x:c>
      <x:c r="AI824" s="119" t="n">
        <x:f>IF(AF824=0,0,(AF824-IF(3=D824,1,0))*VLOOKUP(INDEX('章节与怪物'!$E$31:$K$37,B824,3),'章节与怪物'!$A$41:$F$44,4,FALSE)+IF(3=D824,'难度参数'!$E$30,0))</x:f>
        <x:v>1316</x:v>
      </x:c>
      <x:c r="AJ824" s="119" t="n">
        <x:f>IF(4&gt;D824,0,MAX(2,MIN('难度参数'!$E$12,ROUND(('难度参数'!$E$18*POWER(A824,'难度参数'!$E$19)/D824*(0.85+0.3*(4-1)/MAX(1,D824-1))),0)+F824)))</x:f>
        <x:v>49</x:v>
      </x:c>
      <x:c r="AK824" s="119" t="n">
        <x:f>IF(4&gt;D824,0,ROUND(('难度参数'!$E$13*POWER(A824,'难度参数'!$E$20)*MIN('难度参数'!$E$23,1+MAX(0,A824-'难度参数'!$E$21)*'难度参数'!$E$22))*(36+4*7)/(36+7*(D824+1)/2)*E824,0))</x:f>
        <x:v>16886</x:v>
      </x:c>
      <x:c r="AL824" s="119" t="n">
        <x:f>IF(AJ824=0,0,(AJ824-IF(4=D824,1,0))*ROUND(AK824*VLOOKUP(INDEX('章节与怪物'!$E$31:$K$37,B824,4),'章节与怪物'!$A$41:$F$44,2,FALSE),0)+IF(4=D824,ROUND(AK824*'难度参数'!$E$28*'章节与怪物'!$E$17,0),0))</x:f>
        <x:v>1117004</x:v>
      </x:c>
      <x:c r="AM824" s="119" t="n">
        <x:f>IF(AJ824=0,0,(AJ824-IF(4=D824,1,0))*VLOOKUP(INDEX('章节与怪物'!$E$31:$K$37,B824,4),'章节与怪物'!$A$41:$F$44,4,FALSE)+IF(4=D824,'难度参数'!$E$30,0))</x:f>
        <x:v>1666</x:v>
      </x:c>
      <x:c r="AN824" s="119" t="n">
        <x:f>IF(5&gt;D824,0,MAX(2,MIN('难度参数'!$E$12,ROUND(('难度参数'!$E$18*POWER(A824,'难度参数'!$E$19)/D824*(0.85+0.3*(5-1)/MAX(1,D824-1))),0)+F824)))</x:f>
        <x:v>52</x:v>
      </x:c>
      <x:c r="AO824" s="119" t="n">
        <x:f>IF(5&gt;D824,0,ROUND(('难度参数'!$E$13*POWER(A824,'难度参数'!$E$20)*MIN('难度参数'!$E$23,1+MAX(0,A824-'难度参数'!$E$21)*'难度参数'!$E$22))*(36+5*7)/(36+7*(D824+1)/2)*E824,0))</x:f>
        <x:v>18732</x:v>
      </x:c>
      <x:c r="AP824" s="119" t="n">
        <x:f>IF(AN824=0,0,(AN824-IF(5=D824,1,0))*ROUND(AO824*VLOOKUP(INDEX('章节与怪物'!$E$31:$K$37,B824,5),'章节与怪物'!$A$41:$F$44,2,FALSE),0)+IF(5=D824,ROUND(AO824*'难度参数'!$E$28*'章节与怪物'!$E$17,0),0))</x:f>
        <x:v>701324</x:v>
      </x:c>
      <x:c r="AQ824" s="119" t="n">
        <x:f>IF(AN824=0,0,(AN824-IF(5=D824,1,0))*VLOOKUP(INDEX('章节与怪物'!$E$31:$K$37,B824,5),'章节与怪物'!$A$41:$F$44,4,FALSE)+IF(5=D824,'难度参数'!$E$30,0))</x:f>
        <x:v>1040</x:v>
      </x:c>
      <x:c r="AR824" s="119" t="n">
        <x:f>IF(6&gt;D824,0,MAX(2,MIN('难度参数'!$E$12,ROUND(('难度参数'!$E$18*POWER(A824,'难度参数'!$E$19)/D824*(0.85+0.3*(6-1)/MAX(1,D824-1))),0)+F824)))</x:f>
        <x:v>54</x:v>
      </x:c>
      <x:c r="AS824" s="119" t="n">
        <x:f>IF(6&gt;D824,0,ROUND(('难度参数'!$E$13*POWER(A824,'难度参数'!$E$20)*MIN('难度参数'!$E$23,1+MAX(0,A824-'难度参数'!$E$21)*'难度参数'!$E$22))*(36+6*7)/(36+7*(D824+1)/2)*E824,0))</x:f>
        <x:v>20579</x:v>
      </x:c>
      <x:c r="AT824" s="119" t="n">
        <x:f>IF(AR824=0,0,(AR824-IF(6=D824,1,0))*ROUND(AS824*VLOOKUP(INDEX('章节与怪物'!$E$31:$K$37,B824,6),'章节与怪物'!$A$41:$F$44,2,FALSE),0)+IF(6=D824,ROUND(AS824*'难度参数'!$E$28*'章节与怪物'!$E$17,0),0))</x:f>
        <x:v>1889136</x:v>
      </x:c>
      <x:c r="AU824" s="119" t="n">
        <x:f>IF(AR824=0,0,(AR824-IF(6=D824,1,0))*VLOOKUP(INDEX('章节与怪物'!$E$31:$K$37,B824,6),'章节与怪物'!$A$41:$F$44,4,FALSE)+IF(6=D824,'难度参数'!$E$30,0))</x:f>
        <x:v>1512</x:v>
      </x:c>
      <x:c r="AV824" s="119" t="n">
        <x:f>IF(7&gt;D824,0,MAX(2,MIN('难度参数'!$E$12,ROUND(('难度参数'!$E$18*POWER(A824,'难度参数'!$E$19)/D824*(0.85+0.3*(7-1)/MAX(1,D824-1))),0)+F824)))</x:f>
        <x:v>57</x:v>
      </x:c>
      <x:c r="AW824" s="119" t="n">
        <x:f>IF(7&gt;D824,0,ROUND(('难度参数'!$E$13*POWER(A824,'难度参数'!$E$20)*MIN('难度参数'!$E$23,1+MAX(0,A824-'难度参数'!$E$21)*'难度参数'!$E$22))*(36+7*7)/(36+7*(D824+1)/2)*E824,0))</x:f>
        <x:v>22426</x:v>
      </x:c>
      <x:c r="AX824" s="119" t="n">
        <x:f>IF(AV824=0,0,(AV824-IF(7=D824,1,0))*ROUND(AW824*VLOOKUP(INDEX('章节与怪物'!$E$31:$K$37,B824,7),'章节与怪物'!$A$41:$F$44,2,FALSE),0)+IF(7=D824,ROUND(AW824*'难度参数'!$E$28*'章节与怪物'!$E$17,0),0))</x:f>
        <x:v>1847897</x:v>
      </x:c>
      <x:c r="AY824" s="119" t="n">
        <x:f>IF(AV824=0,0,(AV824-IF(7=D824,1,0))*VLOOKUP(INDEX('章节与怪物'!$E$31:$K$37,B824,7),'章节与怪物'!$A$41:$F$44,4,FALSE)+IF(7=D824,'难度参数'!$E$30,0))</x:f>
        <x:v>2104</x:v>
      </x:c>
    </x:row>
    <x:row r="825" ht="23" customHeight="1">
      <x:c r="A825" s="119" t="n">
        <x:v>819</x:v>
      </x:c>
      <x:c r="B825" s="119" t="n">
        <x:f>MOD(INT((A825-1)/5),7)+1</x:f>
        <x:v>3</x:v>
      </x:c>
      <x:c r="C825" s="62" t="str">
        <x:f>INDEX('章节与怪物'!$B$31:$B$37,B825)</x:f>
        <x:v>腐沼秘林</x:v>
      </x:c>
      <x:c r="D825" s="119" t="n">
        <x:f>MIN('难度参数'!$E$8,MAX('难度参数'!$E$7,A825))</x:f>
        <x:v>7</x:v>
      </x:c>
      <x:c r="E825" s="106" t="n">
        <x:v>1</x:v>
      </x:c>
      <x:c r="F825" s="106" t="n">
        <x:v>0</x:v>
      </x:c>
      <x:c r="G825" s="106" t="n">
        <x:v>1</x:v>
      </x:c>
      <x:c r="H825" s="119" t="n">
        <x:f>SUM(X825,AB825,AF825,AJ825,AN825,AR825,AV825)</x:f>
        <x:v>345</x:v>
      </x:c>
      <x:c r="I825" s="119" t="n">
        <x:f>SUM(Z825,AD825,AH825,AL825,AP825,AT825,AX825)</x:f>
        <x:v>7658048</x:v>
      </x:c>
      <x:c r="J825" s="119" t="n">
        <x:f>ROUND(INDEX(X825:AY825,1,(D825-1)*4+2)*'难度参数'!$E$28*'章节与怪物'!$E$17,0)</x:f>
        <x:v>152633</x:v>
      </x:c>
      <x:c r="K825" s="119" t="n">
        <x:f>SUM(AA825,AE825,AI825,AM825,AQ825,AU825,AY825)</x:f>
        <x:v>9274</x:v>
      </x:c>
      <x:c r="L825" s="62" t="n">
        <x:f>H825*(ROUNDUP('难度参数'!$E$24/('难度参数'!$E$26*'难度参数'!$E$27),0)*'难度参数'!$E$26)/60</x:f>
        <x:v>4.6</x:v>
      </x:c>
      <x:c r="M825" s="62" t="n">
        <x:f>L825+D825*('难度参数'!$E$49+'难度参数'!$E$50)/60</x:f>
        <x:v>5.766666666666667</x:v>
      </x:c>
      <x:c r="N825" s="119" t="n">
        <x:f>ROUNDDOWN(('经济参数'!$E$20+A825*'经济参数'!$E$21)*G825,0)</x:f>
        <x:v>16560</x:v>
      </x:c>
      <x:c r="O825" s="119" t="n">
        <x:f>ROUNDDOWN(MIN('经济参数'!$E$24,'经济参数'!$E$22+A825*'经济参数'!$E$23)*G825,0)</x:f>
        <x:v>0</x:v>
      </x:c>
      <x:c r="P825" s="119" t="n">
        <x:f>ROUNDDOWN((IF(A825&gt;='材料与任务'!$E$31,'材料与任务'!$E$32,IF(A825&gt;='材料与任务'!$E$25,'材料与任务'!$E$26,IF(A825&gt;='材料与任务'!$E$19,'材料与任务'!$E$20,IF(A825&gt;='材料与任务'!$E$13,'材料与任务'!$E$14,'材料与任务'!$E$8)))))*G825,0)</x:f>
        <x:v>6</x:v>
      </x:c>
      <x:c r="Q825" s="119" t="n">
        <x:f>ROUNDDOWN((IF(A825&gt;='材料与任务'!$E$31,'材料与任务'!$E$33,IF(A825&gt;='材料与任务'!$E$25,'材料与任务'!$E$27,IF(A825&gt;='材料与任务'!$E$19,'材料与任务'!$E$21,IF(A825&gt;='材料与任务'!$E$13,'材料与任务'!$E$15,'材料与任务'!$E$9)))))*G825,0)</x:f>
        <x:v>3</x:v>
      </x:c>
      <x:c r="R825" s="110" t="n">
        <x:f>'装备掉落'!$B$38</x:f>
        <x:v>0.6872058758851213</x:v>
      </x:c>
      <x:c r="S825" s="119" t="n">
        <x:f>MAX(IF(VLOOKUP(A825,'装备掉落'!$A$29:$H$34,2,TRUE)&gt;0,1,0),IF(VLOOKUP(A825,'装备掉落'!$A$29:$H$34,3,TRUE)&gt;0,2,0),IF(VLOOKUP(A825,'装备掉落'!$A$29:$H$34,4,TRUE)&gt;0,3,0),IF(VLOOKUP(A825,'装备掉落'!$A$29:$H$34,5,TRUE)&gt;0,4,0),IF(VLOOKUP(A825,'装备掉落'!$A$29:$H$34,6,TRUE)&gt;0,5,0),IF(VLOOKUP(A825,'装备掉落'!$A$29:$H$34,7,TRUE)&gt;0,6,0),IF(VLOOKUP(A825,'装备掉落'!$A$29:$H$34,8,TRUE)&gt;0,7,0))</x:f>
        <x:v>7</x:v>
      </x:c>
      <x:c r="T825" s="119" t="n">
        <x:f>MIN(7,S825+'经济参数'!$E$70)</x:f>
        <x:v>7</x:v>
      </x:c>
      <x:c r="U825" s="119" t="n">
        <x:f>MIN(7,S825+'经济参数'!$E$71)</x:f>
        <x:v>7</x:v>
      </x:c>
      <x:c r="V825" s="119" t="n">
        <x:f>IF(H825&gt;=('难度参数'!$E$52),1,0)+IF(H825&gt;=('难度参数'!$E$52+'难度参数'!$E$53),1,0)+IF(H825&gt;=('难度参数'!$E$52+'难度参数'!$E$53+'难度参数'!$E$54),1,0)+IF(H825&gt;=('难度参数'!$E$52+'难度参数'!$E$53+'难度参数'!$E$54+'难度参数'!$E$55),1,0)+IF(H825&gt;=('难度参数'!$E$52+'难度参数'!$E$53+'难度参数'!$E$54+'难度参数'!$E$55+'难度参数'!$E$56),1,0)+IF(H825&gt;=('难度参数'!$E$52+'难度参数'!$E$53+'难度参数'!$E$54+'难度参数'!$E$55+'难度参数'!$E$56+'难度参数'!$E$57),1,0)</x:f>
        <x:v>6</x:v>
      </x:c>
      <x:c r="W825" s="62" t="str">
        <x:f>IF(L825&gt;'难度参数'!$E$51,"仅出怪已超目标","还需实测")</x:f>
        <x:v>仅出怪已超目标</x:v>
      </x:c>
      <x:c r="X825" s="119" t="n">
        <x:f>IF(1&gt;D825,0,MAX(2,MIN('难度参数'!$E$12,ROUND(('难度参数'!$E$18*POWER(A825,'难度参数'!$E$19)/D825*(0.85+0.3*(1-1)/MAX(1,D825-1))),0)+F825)))</x:f>
        <x:v>42</x:v>
      </x:c>
      <x:c r="Y825" s="119" t="n">
        <x:f>IF(1&gt;D825,0,ROUND(('难度参数'!$E$13*POWER(A825,'难度参数'!$E$20)*MIN('难度参数'!$E$23,1+MAX(0,A825-'难度参数'!$E$21)*'难度参数'!$E$22))*(36+1*7)/(36+7*(D825+1)/2)*E825,0))</x:f>
        <x:v>11355</x:v>
      </x:c>
      <x:c r="Z825" s="119" t="n">
        <x:f>IF(X825=0,0,(X825-IF(1=D825,1,0))*ROUND(Y825*VLOOKUP(INDEX('章节与怪物'!$E$31:$K$37,B825,1),'章节与怪物'!$A$41:$F$44,2,FALSE),0)+IF(1=D825,ROUND(Y825*'难度参数'!$E$28*'章节与怪物'!$E$17,0),0))</x:f>
        <x:v>476910</x:v>
      </x:c>
      <x:c r="AA825" s="119" t="n">
        <x:f>IF(X825=0,0,(X825-IF(1=D825,1,0))*VLOOKUP(INDEX('章节与怪物'!$E$31:$K$37,B825,1),'章节与怪物'!$A$41:$F$44,4,FALSE)+IF(1=D825,'难度参数'!$E$30,0))</x:f>
        <x:v>756</x:v>
      </x:c>
      <x:c r="AB825" s="119" t="n">
        <x:f>IF(2&gt;D825,0,MAX(2,MIN('难度参数'!$E$12,ROUND(('难度参数'!$E$18*POWER(A825,'难度参数'!$E$19)/D825*(0.85+0.3*(2-1)/MAX(1,D825-1))),0)+F825)))</x:f>
        <x:v>44</x:v>
      </x:c>
      <x:c r="AC825" s="119" t="n">
        <x:f>IF(2&gt;D825,0,ROUND(('难度参数'!$E$13*POWER(A825,'难度参数'!$E$20)*MIN('难度参数'!$E$23,1+MAX(0,A825-'难度参数'!$E$21)*'难度参数'!$E$22))*(36+2*7)/(36+7*(D825+1)/2)*E825,0))</x:f>
        <x:v>13203</x:v>
      </x:c>
      <x:c r="AD825" s="119" t="n">
        <x:f>IF(AB825=0,0,(AB825-IF(2=D825,1,0))*ROUND(AC825*VLOOKUP(INDEX('章节与怪物'!$E$31:$K$37,B825,2),'章节与怪物'!$A$41:$F$44,2,FALSE),0)+IF(2=D825,ROUND(AC825*'难度参数'!$E$28*'章节与怪物'!$E$17,0),0))</x:f>
        <x:v>418264</x:v>
      </x:c>
      <x:c r="AE825" s="119" t="n">
        <x:f>IF(AB825=0,0,(AB825-IF(2=D825,1,0))*VLOOKUP(INDEX('章节与怪物'!$E$31:$K$37,B825,2),'章节与怪物'!$A$41:$F$44,4,FALSE)+IF(2=D825,'难度参数'!$E$30,0))</x:f>
        <x:v>880</x:v>
      </x:c>
      <x:c r="AF825" s="119" t="n">
        <x:f>IF(3&gt;D825,0,MAX(2,MIN('难度参数'!$E$12,ROUND(('难度参数'!$E$18*POWER(A825,'难度参数'!$E$19)/D825*(0.85+0.3*(3-1)/MAX(1,D825-1))),0)+F825)))</x:f>
        <x:v>47</x:v>
      </x:c>
      <x:c r="AG825" s="119" t="n">
        <x:f>IF(3&gt;D825,0,ROUND(('难度参数'!$E$13*POWER(A825,'难度参数'!$E$20)*MIN('难度参数'!$E$23,1+MAX(0,A825-'难度参数'!$E$21)*'难度参数'!$E$22))*(36+3*7)/(36+7*(D825+1)/2)*E825,0))</x:f>
        <x:v>15052</x:v>
      </x:c>
      <x:c r="AH825" s="119" t="n">
        <x:f>IF(AF825=0,0,(AF825-IF(3=D825,1,0))*ROUND(AG825*VLOOKUP(INDEX('章节与怪物'!$E$31:$K$37,B825,3),'章节与怪物'!$A$41:$F$44,2,FALSE),0)+IF(3=D825,ROUND(AG825*'难度参数'!$E$28*'章节与怪物'!$E$17,0),0))</x:f>
        <x:v>1202636</x:v>
      </x:c>
      <x:c r="AI825" s="119" t="n">
        <x:f>IF(AF825=0,0,(AF825-IF(3=D825,1,0))*VLOOKUP(INDEX('章节与怪物'!$E$31:$K$37,B825,3),'章节与怪物'!$A$41:$F$44,4,FALSE)+IF(3=D825,'难度参数'!$E$30,0))</x:f>
        <x:v>1316</x:v>
      </x:c>
      <x:c r="AJ825" s="119" t="n">
        <x:f>IF(4&gt;D825,0,MAX(2,MIN('难度参数'!$E$12,ROUND(('难度参数'!$E$18*POWER(A825,'难度参数'!$E$19)/D825*(0.85+0.3*(4-1)/MAX(1,D825-1))),0)+F825)))</x:f>
        <x:v>49</x:v>
      </x:c>
      <x:c r="AK825" s="119" t="n">
        <x:f>IF(4&gt;D825,0,ROUND(('难度参数'!$E$13*POWER(A825,'难度参数'!$E$20)*MIN('难度参数'!$E$23,1+MAX(0,A825-'难度参数'!$E$21)*'难度参数'!$E$22))*(36+4*7)/(36+7*(D825+1)/2)*E825,0))</x:f>
        <x:v>16900</x:v>
      </x:c>
      <x:c r="AL825" s="119" t="n">
        <x:f>IF(AJ825=0,0,(AJ825-IF(4=D825,1,0))*ROUND(AK825*VLOOKUP(INDEX('章节与怪物'!$E$31:$K$37,B825,4),'章节与怪物'!$A$41:$F$44,2,FALSE),0)+IF(4=D825,ROUND(AK825*'难度参数'!$E$28*'章节与怪物'!$E$17,0),0))</x:f>
        <x:v>1117935</x:v>
      </x:c>
      <x:c r="AM825" s="119" t="n">
        <x:f>IF(AJ825=0,0,(AJ825-IF(4=D825,1,0))*VLOOKUP(INDEX('章节与怪物'!$E$31:$K$37,B825,4),'章节与怪物'!$A$41:$F$44,4,FALSE)+IF(4=D825,'难度参数'!$E$30,0))</x:f>
        <x:v>1666</x:v>
      </x:c>
      <x:c r="AN825" s="119" t="n">
        <x:f>IF(5&gt;D825,0,MAX(2,MIN('难度参数'!$E$12,ROUND(('难度参数'!$E$18*POWER(A825,'难度参数'!$E$19)/D825*(0.85+0.3*(5-1)/MAX(1,D825-1))),0)+F825)))</x:f>
        <x:v>52</x:v>
      </x:c>
      <x:c r="AO825" s="119" t="n">
        <x:f>IF(5&gt;D825,0,ROUND(('难度参数'!$E$13*POWER(A825,'难度参数'!$E$20)*MIN('难度参数'!$E$23,1+MAX(0,A825-'难度参数'!$E$21)*'难度参数'!$E$22))*(36+5*7)/(36+7*(D825+1)/2)*E825,0))</x:f>
        <x:v>18749</x:v>
      </x:c>
      <x:c r="AP825" s="119" t="n">
        <x:f>IF(AN825=0,0,(AN825-IF(5=D825,1,0))*ROUND(AO825*VLOOKUP(INDEX('章节与怪物'!$E$31:$K$37,B825,5),'章节与怪物'!$A$41:$F$44,2,FALSE),0)+IF(5=D825,ROUND(AO825*'难度参数'!$E$28*'章节与怪物'!$E$17,0),0))</x:f>
        <x:v>701948</x:v>
      </x:c>
      <x:c r="AQ825" s="119" t="n">
        <x:f>IF(AN825=0,0,(AN825-IF(5=D825,1,0))*VLOOKUP(INDEX('章节与怪物'!$E$31:$K$37,B825,5),'章节与怪物'!$A$41:$F$44,4,FALSE)+IF(5=D825,'难度参数'!$E$30,0))</x:f>
        <x:v>1040</x:v>
      </x:c>
      <x:c r="AR825" s="119" t="n">
        <x:f>IF(6&gt;D825,0,MAX(2,MIN('难度参数'!$E$12,ROUND(('难度参数'!$E$18*POWER(A825,'难度参数'!$E$19)/D825*(0.85+0.3*(6-1)/MAX(1,D825-1))),0)+F825)))</x:f>
        <x:v>54</x:v>
      </x:c>
      <x:c r="AS825" s="119" t="n">
        <x:f>IF(6&gt;D825,0,ROUND(('难度参数'!$E$13*POWER(A825,'难度参数'!$E$20)*MIN('难度参数'!$E$23,1+MAX(0,A825-'难度参数'!$E$21)*'难度参数'!$E$22))*(36+6*7)/(36+7*(D825+1)/2)*E825,0))</x:f>
        <x:v>20597</x:v>
      </x:c>
      <x:c r="AT825" s="119" t="n">
        <x:f>IF(AR825=0,0,(AR825-IF(6=D825,1,0))*ROUND(AS825*VLOOKUP(INDEX('章节与怪物'!$E$31:$K$37,B825,6),'章节与怪物'!$A$41:$F$44,2,FALSE),0)+IF(6=D825,ROUND(AS825*'难度参数'!$E$28*'章节与怪物'!$E$17,0),0))</x:f>
        <x:v>1890810</x:v>
      </x:c>
      <x:c r="AU825" s="119" t="n">
        <x:f>IF(AR825=0,0,(AR825-IF(6=D825,1,0))*VLOOKUP(INDEX('章节与怪物'!$E$31:$K$37,B825,6),'章节与怪物'!$A$41:$F$44,4,FALSE)+IF(6=D825,'难度参数'!$E$30,0))</x:f>
        <x:v>1512</x:v>
      </x:c>
      <x:c r="AV825" s="119" t="n">
        <x:f>IF(7&gt;D825,0,MAX(2,MIN('难度参数'!$E$12,ROUND(('难度参数'!$E$18*POWER(A825,'难度参数'!$E$19)/D825*(0.85+0.3*(7-1)/MAX(1,D825-1))),0)+F825)))</x:f>
        <x:v>57</x:v>
      </x:c>
      <x:c r="AW825" s="119" t="n">
        <x:f>IF(7&gt;D825,0,ROUND(('难度参数'!$E$13*POWER(A825,'难度参数'!$E$20)*MIN('难度参数'!$E$23,1+MAX(0,A825-'难度参数'!$E$21)*'难度参数'!$E$22))*(36+7*7)/(36+7*(D825+1)/2)*E825,0))</x:f>
        <x:v>22446</x:v>
      </x:c>
      <x:c r="AX825" s="119" t="n">
        <x:f>IF(AV825=0,0,(AV825-IF(7=D825,1,0))*ROUND(AW825*VLOOKUP(INDEX('章节与怪物'!$E$31:$K$37,B825,7),'章节与怪物'!$A$41:$F$44,2,FALSE),0)+IF(7=D825,ROUND(AW825*'难度参数'!$E$28*'章节与怪物'!$E$17,0),0))</x:f>
        <x:v>1849545</x:v>
      </x:c>
      <x:c r="AY825" s="119" t="n">
        <x:f>IF(AV825=0,0,(AV825-IF(7=D825,1,0))*VLOOKUP(INDEX('章节与怪物'!$E$31:$K$37,B825,7),'章节与怪物'!$A$41:$F$44,4,FALSE)+IF(7=D825,'难度参数'!$E$30,0))</x:f>
        <x:v>2104</x:v>
      </x:c>
    </x:row>
    <x:row r="826" ht="23" customHeight="1">
      <x:c r="A826" s="119" t="n">
        <x:v>820</x:v>
      </x:c>
      <x:c r="B826" s="119" t="n">
        <x:f>MOD(INT((A826-1)/5),7)+1</x:f>
        <x:v>3</x:v>
      </x:c>
      <x:c r="C826" s="62" t="str">
        <x:f>INDEX('章节与怪物'!$B$31:$B$37,B826)</x:f>
        <x:v>腐沼秘林</x:v>
      </x:c>
      <x:c r="D826" s="119" t="n">
        <x:f>MIN('难度参数'!$E$8,MAX('难度参数'!$E$7,A826))</x:f>
        <x:v>7</x:v>
      </x:c>
      <x:c r="E826" s="106" t="n">
        <x:v>1</x:v>
      </x:c>
      <x:c r="F826" s="106" t="n">
        <x:v>0</x:v>
      </x:c>
      <x:c r="G826" s="106" t="n">
        <x:v>1</x:v>
      </x:c>
      <x:c r="H826" s="119" t="n">
        <x:f>SUM(X826,AB826,AF826,AJ826,AN826,AR826,AV826)</x:f>
        <x:v>345</x:v>
      </x:c>
      <x:c r="I826" s="119" t="n">
        <x:f>SUM(Z826,AD826,AH826,AL826,AP826,AT826,AX826)</x:f>
        <x:v>7664925</x:v>
      </x:c>
      <x:c r="J826" s="119" t="n">
        <x:f>ROUND(INDEX(X826:AY826,1,(D826-1)*4+2)*'难度参数'!$E$28*'章节与怪物'!$E$17,0)</x:f>
        <x:v>152769</x:v>
      </x:c>
      <x:c r="K826" s="119" t="n">
        <x:f>SUM(AA826,AE826,AI826,AM826,AQ826,AU826,AY826)</x:f>
        <x:v>9274</x:v>
      </x:c>
      <x:c r="L826" s="62" t="n">
        <x:f>H826*(ROUNDUP('难度参数'!$E$24/('难度参数'!$E$26*'难度参数'!$E$27),0)*'难度参数'!$E$26)/60</x:f>
        <x:v>4.6</x:v>
      </x:c>
      <x:c r="M826" s="62" t="n">
        <x:f>L826+D826*('难度参数'!$E$49+'难度参数'!$E$50)/60</x:f>
        <x:v>5.766666666666667</x:v>
      </x:c>
      <x:c r="N826" s="119" t="n">
        <x:f>ROUNDDOWN(('经济参数'!$E$20+A826*'经济参数'!$E$21)*G826,0)</x:f>
        <x:v>16580</x:v>
      </x:c>
      <x:c r="O826" s="119" t="n">
        <x:f>ROUNDDOWN(MIN('经济参数'!$E$24,'经济参数'!$E$22+A826*'经济参数'!$E$23)*G826,0)</x:f>
        <x:v>0</x:v>
      </x:c>
      <x:c r="P826" s="119" t="n">
        <x:f>ROUNDDOWN((IF(A826&gt;='材料与任务'!$E$31,'材料与任务'!$E$32,IF(A826&gt;='材料与任务'!$E$25,'材料与任务'!$E$26,IF(A826&gt;='材料与任务'!$E$19,'材料与任务'!$E$20,IF(A826&gt;='材料与任务'!$E$13,'材料与任务'!$E$14,'材料与任务'!$E$8)))))*G826,0)</x:f>
        <x:v>6</x:v>
      </x:c>
      <x:c r="Q826" s="119" t="n">
        <x:f>ROUNDDOWN((IF(A826&gt;='材料与任务'!$E$31,'材料与任务'!$E$33,IF(A826&gt;='材料与任务'!$E$25,'材料与任务'!$E$27,IF(A826&gt;='材料与任务'!$E$19,'材料与任务'!$E$21,IF(A826&gt;='材料与任务'!$E$13,'材料与任务'!$E$15,'材料与任务'!$E$9)))))*G826,0)</x:f>
        <x:v>3</x:v>
      </x:c>
      <x:c r="R826" s="110" t="n">
        <x:f>'装备掉落'!$B$38</x:f>
        <x:v>0.6872058758851213</x:v>
      </x:c>
      <x:c r="S826" s="119" t="n">
        <x:f>MAX(IF(VLOOKUP(A826,'装备掉落'!$A$29:$H$34,2,TRUE)&gt;0,1,0),IF(VLOOKUP(A826,'装备掉落'!$A$29:$H$34,3,TRUE)&gt;0,2,0),IF(VLOOKUP(A826,'装备掉落'!$A$29:$H$34,4,TRUE)&gt;0,3,0),IF(VLOOKUP(A826,'装备掉落'!$A$29:$H$34,5,TRUE)&gt;0,4,0),IF(VLOOKUP(A826,'装备掉落'!$A$29:$H$34,6,TRUE)&gt;0,5,0),IF(VLOOKUP(A826,'装备掉落'!$A$29:$H$34,7,TRUE)&gt;0,6,0),IF(VLOOKUP(A826,'装备掉落'!$A$29:$H$34,8,TRUE)&gt;0,7,0))</x:f>
        <x:v>7</x:v>
      </x:c>
      <x:c r="T826" s="119" t="n">
        <x:f>MIN(7,S826+'经济参数'!$E$70)</x:f>
        <x:v>7</x:v>
      </x:c>
      <x:c r="U826" s="119" t="n">
        <x:f>MIN(7,S826+'经济参数'!$E$71)</x:f>
        <x:v>7</x:v>
      </x:c>
      <x:c r="V826" s="119" t="n">
        <x:f>IF(H826&gt;=('难度参数'!$E$52),1,0)+IF(H826&gt;=('难度参数'!$E$52+'难度参数'!$E$53),1,0)+IF(H826&gt;=('难度参数'!$E$52+'难度参数'!$E$53+'难度参数'!$E$54),1,0)+IF(H826&gt;=('难度参数'!$E$52+'难度参数'!$E$53+'难度参数'!$E$54+'难度参数'!$E$55),1,0)+IF(H826&gt;=('难度参数'!$E$52+'难度参数'!$E$53+'难度参数'!$E$54+'难度参数'!$E$55+'难度参数'!$E$56),1,0)+IF(H826&gt;=('难度参数'!$E$52+'难度参数'!$E$53+'难度参数'!$E$54+'难度参数'!$E$55+'难度参数'!$E$56+'难度参数'!$E$57),1,0)</x:f>
        <x:v>6</x:v>
      </x:c>
      <x:c r="W826" s="62" t="str">
        <x:f>IF(L826&gt;'难度参数'!$E$51,"仅出怪已超目标","还需实测")</x:f>
        <x:v>仅出怪已超目标</x:v>
      </x:c>
      <x:c r="X826" s="119" t="n">
        <x:f>IF(1&gt;D826,0,MAX(2,MIN('难度参数'!$E$12,ROUND(('难度参数'!$E$18*POWER(A826,'难度参数'!$E$19)/D826*(0.85+0.3*(1-1)/MAX(1,D826-1))),0)+F826)))</x:f>
        <x:v>42</x:v>
      </x:c>
      <x:c r="Y826" s="119" t="n">
        <x:f>IF(1&gt;D826,0,ROUND(('难度参数'!$E$13*POWER(A826,'难度参数'!$E$20)*MIN('难度参数'!$E$23,1+MAX(0,A826-'难度参数'!$E$21)*'难度参数'!$E$22))*(36+1*7)/(36+7*(D826+1)/2)*E826,0))</x:f>
        <x:v>11365</x:v>
      </x:c>
      <x:c r="Z826" s="119" t="n">
        <x:f>IF(X826=0,0,(X826-IF(1=D826,1,0))*ROUND(Y826*VLOOKUP(INDEX('章节与怪物'!$E$31:$K$37,B826,1),'章节与怪物'!$A$41:$F$44,2,FALSE),0)+IF(1=D826,ROUND(Y826*'难度参数'!$E$28*'章节与怪物'!$E$17,0),0))</x:f>
        <x:v>477330</x:v>
      </x:c>
      <x:c r="AA826" s="119" t="n">
        <x:f>IF(X826=0,0,(X826-IF(1=D826,1,0))*VLOOKUP(INDEX('章节与怪物'!$E$31:$K$37,B826,1),'章节与怪物'!$A$41:$F$44,4,FALSE)+IF(1=D826,'难度参数'!$E$30,0))</x:f>
        <x:v>756</x:v>
      </x:c>
      <x:c r="AB826" s="119" t="n">
        <x:f>IF(2&gt;D826,0,MAX(2,MIN('难度参数'!$E$12,ROUND(('难度参数'!$E$18*POWER(A826,'难度参数'!$E$19)/D826*(0.85+0.3*(2-1)/MAX(1,D826-1))),0)+F826)))</x:f>
        <x:v>44</x:v>
      </x:c>
      <x:c r="AC826" s="119" t="n">
        <x:f>IF(2&gt;D826,0,ROUND(('难度参数'!$E$13*POWER(A826,'难度参数'!$E$20)*MIN('难度参数'!$E$23,1+MAX(0,A826-'难度参数'!$E$21)*'难度参数'!$E$22))*(36+2*7)/(36+7*(D826+1)/2)*E826,0))</x:f>
        <x:v>13215</x:v>
      </x:c>
      <x:c r="AD826" s="119" t="n">
        <x:f>IF(AB826=0,0,(AB826-IF(2=D826,1,0))*ROUND(AC826*VLOOKUP(INDEX('章节与怪物'!$E$31:$K$37,B826,2),'章节与怪物'!$A$41:$F$44,2,FALSE),0)+IF(2=D826,ROUND(AC826*'难度参数'!$E$28*'章节与怪物'!$E$17,0),0))</x:f>
        <x:v>418660</x:v>
      </x:c>
      <x:c r="AE826" s="119" t="n">
        <x:f>IF(AB826=0,0,(AB826-IF(2=D826,1,0))*VLOOKUP(INDEX('章节与怪物'!$E$31:$K$37,B826,2),'章节与怪物'!$A$41:$F$44,4,FALSE)+IF(2=D826,'难度参数'!$E$30,0))</x:f>
        <x:v>880</x:v>
      </x:c>
      <x:c r="AF826" s="119" t="n">
        <x:f>IF(3&gt;D826,0,MAX(2,MIN('难度参数'!$E$12,ROUND(('难度参数'!$E$18*POWER(A826,'难度参数'!$E$19)/D826*(0.85+0.3*(3-1)/MAX(1,D826-1))),0)+F826)))</x:f>
        <x:v>47</x:v>
      </x:c>
      <x:c r="AG826" s="119" t="n">
        <x:f>IF(3&gt;D826,0,ROUND(('难度参数'!$E$13*POWER(A826,'难度参数'!$E$20)*MIN('难度参数'!$E$23,1+MAX(0,A826-'难度参数'!$E$21)*'难度参数'!$E$22))*(36+3*7)/(36+7*(D826+1)/2)*E826,0))</x:f>
        <x:v>15065</x:v>
      </x:c>
      <x:c r="AH826" s="119" t="n">
        <x:f>IF(AF826=0,0,(AF826-IF(3=D826,1,0))*ROUND(AG826*VLOOKUP(INDEX('章节与怪物'!$E$31:$K$37,B826,3),'章节与怪物'!$A$41:$F$44,2,FALSE),0)+IF(3=D826,ROUND(AG826*'难度参数'!$E$28*'章节与怪物'!$E$17,0),0))</x:f>
        <x:v>1203717</x:v>
      </x:c>
      <x:c r="AI826" s="119" t="n">
        <x:f>IF(AF826=0,0,(AF826-IF(3=D826,1,0))*VLOOKUP(INDEX('章节与怪物'!$E$31:$K$37,B826,3),'章节与怪物'!$A$41:$F$44,4,FALSE)+IF(3=D826,'难度参数'!$E$30,0))</x:f>
        <x:v>1316</x:v>
      </x:c>
      <x:c r="AJ826" s="119" t="n">
        <x:f>IF(4&gt;D826,0,MAX(2,MIN('难度参数'!$E$12,ROUND(('难度参数'!$E$18*POWER(A826,'难度参数'!$E$19)/D826*(0.85+0.3*(4-1)/MAX(1,D826-1))),0)+F826)))</x:f>
        <x:v>49</x:v>
      </x:c>
      <x:c r="AK826" s="119" t="n">
        <x:f>IF(4&gt;D826,0,ROUND(('难度参数'!$E$13*POWER(A826,'难度参数'!$E$20)*MIN('难度参数'!$E$23,1+MAX(0,A826-'难度参数'!$E$21)*'难度参数'!$E$22))*(36+4*7)/(36+7*(D826+1)/2)*E826,0))</x:f>
        <x:v>16915</x:v>
      </x:c>
      <x:c r="AL826" s="119" t="n">
        <x:f>IF(AJ826=0,0,(AJ826-IF(4=D826,1,0))*ROUND(AK826*VLOOKUP(INDEX('章节与怪物'!$E$31:$K$37,B826,4),'章节与怪物'!$A$41:$F$44,2,FALSE),0)+IF(4=D826,ROUND(AK826*'难度参数'!$E$28*'章节与怪物'!$E$17,0),0))</x:f>
        <x:v>1118915</x:v>
      </x:c>
      <x:c r="AM826" s="119" t="n">
        <x:f>IF(AJ826=0,0,(AJ826-IF(4=D826,1,0))*VLOOKUP(INDEX('章节与怪物'!$E$31:$K$37,B826,4),'章节与怪物'!$A$41:$F$44,4,FALSE)+IF(4=D826,'难度参数'!$E$30,0))</x:f>
        <x:v>1666</x:v>
      </x:c>
      <x:c r="AN826" s="119" t="n">
        <x:f>IF(5&gt;D826,0,MAX(2,MIN('难度参数'!$E$12,ROUND(('难度参数'!$E$18*POWER(A826,'难度参数'!$E$19)/D826*(0.85+0.3*(5-1)/MAX(1,D826-1))),0)+F826)))</x:f>
        <x:v>52</x:v>
      </x:c>
      <x:c r="AO826" s="119" t="n">
        <x:f>IF(5&gt;D826,0,ROUND(('难度参数'!$E$13*POWER(A826,'难度参数'!$E$20)*MIN('难度参数'!$E$23,1+MAX(0,A826-'难度参数'!$E$21)*'难度参数'!$E$22))*(36+5*7)/(36+7*(D826+1)/2)*E826,0))</x:f>
        <x:v>18765</x:v>
      </x:c>
      <x:c r="AP826" s="119" t="n">
        <x:f>IF(AN826=0,0,(AN826-IF(5=D826,1,0))*ROUND(AO826*VLOOKUP(INDEX('章节与怪物'!$E$31:$K$37,B826,5),'章节与怪物'!$A$41:$F$44,2,FALSE),0)+IF(5=D826,ROUND(AO826*'难度参数'!$E$28*'章节与怪物'!$E$17,0),0))</x:f>
        <x:v>702572</x:v>
      </x:c>
      <x:c r="AQ826" s="119" t="n">
        <x:f>IF(AN826=0,0,(AN826-IF(5=D826,1,0))*VLOOKUP(INDEX('章节与怪物'!$E$31:$K$37,B826,5),'章节与怪物'!$A$41:$F$44,4,FALSE)+IF(5=D826,'难度参数'!$E$30,0))</x:f>
        <x:v>1040</x:v>
      </x:c>
      <x:c r="AR826" s="119" t="n">
        <x:f>IF(6&gt;D826,0,MAX(2,MIN('难度参数'!$E$12,ROUND(('难度参数'!$E$18*POWER(A826,'难度参数'!$E$19)/D826*(0.85+0.3*(6-1)/MAX(1,D826-1))),0)+F826)))</x:f>
        <x:v>54</x:v>
      </x:c>
      <x:c r="AS826" s="119" t="n">
        <x:f>IF(6&gt;D826,0,ROUND(('难度参数'!$E$13*POWER(A826,'难度参数'!$E$20)*MIN('难度参数'!$E$23,1+MAX(0,A826-'难度参数'!$E$21)*'难度参数'!$E$22))*(36+6*7)/(36+7*(D826+1)/2)*E826,0))</x:f>
        <x:v>20616</x:v>
      </x:c>
      <x:c r="AT826" s="119" t="n">
        <x:f>IF(AR826=0,0,(AR826-IF(6=D826,1,0))*ROUND(AS826*VLOOKUP(INDEX('章节与怪物'!$E$31:$K$37,B826,6),'章节与怪物'!$A$41:$F$44,2,FALSE),0)+IF(6=D826,ROUND(AS826*'难度参数'!$E$28*'章节与怪物'!$E$17,0),0))</x:f>
        <x:v>1892538</x:v>
      </x:c>
      <x:c r="AU826" s="119" t="n">
        <x:f>IF(AR826=0,0,(AR826-IF(6=D826,1,0))*VLOOKUP(INDEX('章节与怪物'!$E$31:$K$37,B826,6),'章节与怪物'!$A$41:$F$44,4,FALSE)+IF(6=D826,'难度参数'!$E$30,0))</x:f>
        <x:v>1512</x:v>
      </x:c>
      <x:c r="AV826" s="119" t="n">
        <x:f>IF(7&gt;D826,0,MAX(2,MIN('难度参数'!$E$12,ROUND(('难度参数'!$E$18*POWER(A826,'难度参数'!$E$19)/D826*(0.85+0.3*(7-1)/MAX(1,D826-1))),0)+F826)))</x:f>
        <x:v>57</x:v>
      </x:c>
      <x:c r="AW826" s="119" t="n">
        <x:f>IF(7&gt;D826,0,ROUND(('难度参数'!$E$13*POWER(A826,'难度参数'!$E$20)*MIN('难度参数'!$E$23,1+MAX(0,A826-'难度参数'!$E$21)*'难度参数'!$E$22))*(36+7*7)/(36+7*(D826+1)/2)*E826,0))</x:f>
        <x:v>22466</x:v>
      </x:c>
      <x:c r="AX826" s="119" t="n">
        <x:f>IF(AV826=0,0,(AV826-IF(7=D826,1,0))*ROUND(AW826*VLOOKUP(INDEX('章节与怪物'!$E$31:$K$37,B826,7),'章节与怪物'!$A$41:$F$44,2,FALSE),0)+IF(7=D826,ROUND(AW826*'难度参数'!$E$28*'章节与怪物'!$E$17,0),0))</x:f>
        <x:v>1851193</x:v>
      </x:c>
      <x:c r="AY826" s="119" t="n">
        <x:f>IF(AV826=0,0,(AV826-IF(7=D826,1,0))*VLOOKUP(INDEX('章节与怪物'!$E$31:$K$37,B826,7),'章节与怪物'!$A$41:$F$44,4,FALSE)+IF(7=D826,'难度参数'!$E$30,0))</x:f>
        <x:v>2104</x:v>
      </x:c>
    </x:row>
    <x:row r="827" ht="23" customHeight="1">
      <x:c r="A827" s="119" t="n">
        <x:v>821</x:v>
      </x:c>
      <x:c r="B827" s="119" t="n">
        <x:f>MOD(INT((A827-1)/5),7)+1</x:f>
        <x:v>4</x:v>
      </x:c>
      <x:c r="C827" s="62" t="str">
        <x:f>INDEX('章节与怪物'!$B$31:$B$37,B827)</x:f>
        <x:v>翠野边城</x:v>
      </x:c>
      <x:c r="D827" s="119" t="n">
        <x:f>MIN('难度参数'!$E$8,MAX('难度参数'!$E$7,A827))</x:f>
        <x:v>7</x:v>
      </x:c>
      <x:c r="E827" s="106" t="n">
        <x:v>1</x:v>
      </x:c>
      <x:c r="F827" s="106" t="n">
        <x:v>0</x:v>
      </x:c>
      <x:c r="G827" s="106" t="n">
        <x:v>1</x:v>
      </x:c>
      <x:c r="H827" s="119" t="n">
        <x:f>SUM(X827,AB827,AF827,AJ827,AN827,AR827,AV827)</x:f>
        <x:v>345</x:v>
      </x:c>
      <x:c r="I827" s="119" t="n">
        <x:f>SUM(Z827,AD827,AH827,AL827,AP827,AT827,AX827)</x:f>
        <x:v>6882329</x:v>
      </x:c>
      <x:c r="J827" s="119" t="n">
        <x:f>ROUND(INDEX(X827:AY827,1,(D827-1)*4+2)*'难度参数'!$E$28*'章节与怪物'!$E$17,0)</x:f>
        <x:v>152898</x:v>
      </x:c>
      <x:c r="K827" s="119" t="n">
        <x:f>SUM(AA827,AE827,AI827,AM827,AQ827,AU827,AY827)</x:f>
        <x:v>8734</x:v>
      </x:c>
      <x:c r="L827" s="62" t="n">
        <x:f>H827*(ROUNDUP('难度参数'!$E$24/('难度参数'!$E$26*'难度参数'!$E$27),0)*'难度参数'!$E$26)/60</x:f>
        <x:v>4.6</x:v>
      </x:c>
      <x:c r="M827" s="62" t="n">
        <x:f>L827+D827*('难度参数'!$E$49+'难度参数'!$E$50)/60</x:f>
        <x:v>5.766666666666667</x:v>
      </x:c>
      <x:c r="N827" s="119" t="n">
        <x:f>ROUNDDOWN(('经济参数'!$E$20+A827*'经济参数'!$E$21)*G827,0)</x:f>
        <x:v>16600</x:v>
      </x:c>
      <x:c r="O827" s="119" t="n">
        <x:f>ROUNDDOWN(MIN('经济参数'!$E$24,'经济参数'!$E$22+A827*'经济参数'!$E$23)*G827,0)</x:f>
        <x:v>0</x:v>
      </x:c>
      <x:c r="P827" s="119" t="n">
        <x:f>ROUNDDOWN((IF(A827&gt;='材料与任务'!$E$31,'材料与任务'!$E$32,IF(A827&gt;='材料与任务'!$E$25,'材料与任务'!$E$26,IF(A827&gt;='材料与任务'!$E$19,'材料与任务'!$E$20,IF(A827&gt;='材料与任务'!$E$13,'材料与任务'!$E$14,'材料与任务'!$E$8)))))*G827,0)</x:f>
        <x:v>6</x:v>
      </x:c>
      <x:c r="Q827" s="119" t="n">
        <x:f>ROUNDDOWN((IF(A827&gt;='材料与任务'!$E$31,'材料与任务'!$E$33,IF(A827&gt;='材料与任务'!$E$25,'材料与任务'!$E$27,IF(A827&gt;='材料与任务'!$E$19,'材料与任务'!$E$21,IF(A827&gt;='材料与任务'!$E$13,'材料与任务'!$E$15,'材料与任务'!$E$9)))))*G827,0)</x:f>
        <x:v>3</x:v>
      </x:c>
      <x:c r="R827" s="110" t="n">
        <x:f>'装备掉落'!$B$38</x:f>
        <x:v>0.6872058758851213</x:v>
      </x:c>
      <x:c r="S827" s="119" t="n">
        <x:f>MAX(IF(VLOOKUP(A827,'装备掉落'!$A$29:$H$34,2,TRUE)&gt;0,1,0),IF(VLOOKUP(A827,'装备掉落'!$A$29:$H$34,3,TRUE)&gt;0,2,0),IF(VLOOKUP(A827,'装备掉落'!$A$29:$H$34,4,TRUE)&gt;0,3,0),IF(VLOOKUP(A827,'装备掉落'!$A$29:$H$34,5,TRUE)&gt;0,4,0),IF(VLOOKUP(A827,'装备掉落'!$A$29:$H$34,6,TRUE)&gt;0,5,0),IF(VLOOKUP(A827,'装备掉落'!$A$29:$H$34,7,TRUE)&gt;0,6,0),IF(VLOOKUP(A827,'装备掉落'!$A$29:$H$34,8,TRUE)&gt;0,7,0))</x:f>
        <x:v>7</x:v>
      </x:c>
      <x:c r="T827" s="119" t="n">
        <x:f>MIN(7,S827+'经济参数'!$E$70)</x:f>
        <x:v>7</x:v>
      </x:c>
      <x:c r="U827" s="119" t="n">
        <x:f>MIN(7,S827+'经济参数'!$E$71)</x:f>
        <x:v>7</x:v>
      </x:c>
      <x:c r="V827" s="119" t="n">
        <x:f>IF(H827&gt;=('难度参数'!$E$52),1,0)+IF(H827&gt;=('难度参数'!$E$52+'难度参数'!$E$53),1,0)+IF(H827&gt;=('难度参数'!$E$52+'难度参数'!$E$53+'难度参数'!$E$54),1,0)+IF(H827&gt;=('难度参数'!$E$52+'难度参数'!$E$53+'难度参数'!$E$54+'难度参数'!$E$55),1,0)+IF(H827&gt;=('难度参数'!$E$52+'难度参数'!$E$53+'难度参数'!$E$54+'难度参数'!$E$55+'难度参数'!$E$56),1,0)+IF(H827&gt;=('难度参数'!$E$52+'难度参数'!$E$53+'难度参数'!$E$54+'难度参数'!$E$55+'难度参数'!$E$56+'难度参数'!$E$57),1,0)</x:f>
        <x:v>6</x:v>
      </x:c>
      <x:c r="W827" s="62" t="str">
        <x:f>IF(L827&gt;'难度参数'!$E$51,"仅出怪已超目标","还需实测")</x:f>
        <x:v>仅出怪已超目标</x:v>
      </x:c>
      <x:c r="X827" s="119" t="n">
        <x:f>IF(1&gt;D827,0,MAX(2,MIN('难度参数'!$E$12,ROUND(('难度参数'!$E$18*POWER(A827,'难度参数'!$E$19)/D827*(0.85+0.3*(1-1)/MAX(1,D827-1))),0)+F827)))</x:f>
        <x:v>42</x:v>
      </x:c>
      <x:c r="Y827" s="119" t="n">
        <x:f>IF(1&gt;D827,0,ROUND(('难度参数'!$E$13*POWER(A827,'难度参数'!$E$20)*MIN('难度参数'!$E$23,1+MAX(0,A827-'难度参数'!$E$21)*'难度参数'!$E$22))*(36+1*7)/(36+7*(D827+1)/2)*E827,0))</x:f>
        <x:v>11375</x:v>
      </x:c>
      <x:c r="Z827" s="119" t="n">
        <x:f>IF(X827=0,0,(X827-IF(1=D827,1,0))*ROUND(Y827*VLOOKUP(INDEX('章节与怪物'!$E$31:$K$37,B827,1),'章节与怪物'!$A$41:$F$44,2,FALSE),0)+IF(1=D827,ROUND(Y827*'难度参数'!$E$28*'章节与怪物'!$E$17,0),0))</x:f>
        <x:v>343980</x:v>
      </x:c>
      <x:c r="AA827" s="119" t="n">
        <x:f>IF(X827=0,0,(X827-IF(1=D827,1,0))*VLOOKUP(INDEX('章节与怪物'!$E$31:$K$37,B827,1),'章节与怪物'!$A$41:$F$44,4,FALSE)+IF(1=D827,'难度参数'!$E$30,0))</x:f>
        <x:v>840</x:v>
      </x:c>
      <x:c r="AB827" s="119" t="n">
        <x:f>IF(2&gt;D827,0,MAX(2,MIN('难度参数'!$E$12,ROUND(('难度参数'!$E$18*POWER(A827,'难度参数'!$E$19)/D827*(0.85+0.3*(2-1)/MAX(1,D827-1))),0)+F827)))</x:f>
        <x:v>44</x:v>
      </x:c>
      <x:c r="AC827" s="119" t="n">
        <x:f>IF(2&gt;D827,0,ROUND(('难度参数'!$E$13*POWER(A827,'难度参数'!$E$20)*MIN('难度参数'!$E$23,1+MAX(0,A827-'难度参数'!$E$21)*'难度参数'!$E$22))*(36+2*7)/(36+7*(D827+1)/2)*E827,0))</x:f>
        <x:v>13227</x:v>
      </x:c>
      <x:c r="AD827" s="119" t="n">
        <x:f>IF(AB827=0,0,(AB827-IF(2=D827,1,0))*ROUND(AC827*VLOOKUP(INDEX('章节与怪物'!$E$31:$K$37,B827,2),'章节与怪物'!$A$41:$F$44,2,FALSE),0)+IF(2=D827,ROUND(AC827*'难度参数'!$E$28*'章节与怪物'!$E$17,0),0))</x:f>
        <x:v>581988</x:v>
      </x:c>
      <x:c r="AE827" s="119" t="n">
        <x:f>IF(AB827=0,0,(AB827-IF(2=D827,1,0))*VLOOKUP(INDEX('章节与怪物'!$E$31:$K$37,B827,2),'章节与怪物'!$A$41:$F$44,4,FALSE)+IF(2=D827,'难度参数'!$E$30,0))</x:f>
        <x:v>792</x:v>
      </x:c>
      <x:c r="AF827" s="119" t="n">
        <x:f>IF(3&gt;D827,0,MAX(2,MIN('难度参数'!$E$12,ROUND(('难度参数'!$E$18*POWER(A827,'难度参数'!$E$19)/D827*(0.85+0.3*(3-1)/MAX(1,D827-1))),0)+F827)))</x:f>
        <x:v>47</x:v>
      </x:c>
      <x:c r="AG827" s="119" t="n">
        <x:f>IF(3&gt;D827,0,ROUND(('难度参数'!$E$13*POWER(A827,'难度参数'!$E$20)*MIN('难度参数'!$E$23,1+MAX(0,A827-'难度参数'!$E$21)*'难度参数'!$E$22))*(36+3*7)/(36+7*(D827+1)/2)*E827,0))</x:f>
        <x:v>15078</x:v>
      </x:c>
      <x:c r="AH827" s="119" t="n">
        <x:f>IF(AF827=0,0,(AF827-IF(3=D827,1,0))*ROUND(AG827*VLOOKUP(INDEX('章节与怪物'!$E$31:$K$37,B827,3),'章节与怪物'!$A$41:$F$44,2,FALSE),0)+IF(3=D827,ROUND(AG827*'难度参数'!$E$28*'章节与怪物'!$E$17,0),0))</x:f>
        <x:v>1204751</x:v>
      </x:c>
      <x:c r="AI827" s="119" t="n">
        <x:f>IF(AF827=0,0,(AF827-IF(3=D827,1,0))*VLOOKUP(INDEX('章节与怪物'!$E$31:$K$37,B827,3),'章节与怪物'!$A$41:$F$44,4,FALSE)+IF(3=D827,'难度参数'!$E$30,0))</x:f>
        <x:v>1316</x:v>
      </x:c>
      <x:c r="AJ827" s="119" t="n">
        <x:f>IF(4&gt;D827,0,MAX(2,MIN('难度参数'!$E$12,ROUND(('难度参数'!$E$18*POWER(A827,'难度参数'!$E$19)/D827*(0.85+0.3*(4-1)/MAX(1,D827-1))),0)+F827)))</x:f>
        <x:v>49</x:v>
      </x:c>
      <x:c r="AK827" s="119" t="n">
        <x:f>IF(4&gt;D827,0,ROUND(('难度参数'!$E$13*POWER(A827,'难度参数'!$E$20)*MIN('难度参数'!$E$23,1+MAX(0,A827-'难度参数'!$E$21)*'难度参数'!$E$22))*(36+4*7)/(36+7*(D827+1)/2)*E827,0))</x:f>
        <x:v>16930</x:v>
      </x:c>
      <x:c r="AL827" s="119" t="n">
        <x:f>IF(AJ827=0,0,(AJ827-IF(4=D827,1,0))*ROUND(AK827*VLOOKUP(INDEX('章节与怪物'!$E$31:$K$37,B827,4),'章节与怪物'!$A$41:$F$44,2,FALSE),0)+IF(4=D827,ROUND(AK827*'难度参数'!$E$28*'章节与怪物'!$E$17,0),0))</x:f>
        <x:v>1119944</x:v>
      </x:c>
      <x:c r="AM827" s="119" t="n">
        <x:f>IF(AJ827=0,0,(AJ827-IF(4=D827,1,0))*VLOOKUP(INDEX('章节与怪物'!$E$31:$K$37,B827,4),'章节与怪物'!$A$41:$F$44,4,FALSE)+IF(4=D827,'难度参数'!$E$30,0))</x:f>
        <x:v>1666</x:v>
      </x:c>
      <x:c r="AN827" s="119" t="n">
        <x:f>IF(5&gt;D827,0,MAX(2,MIN('难度参数'!$E$12,ROUND(('难度参数'!$E$18*POWER(A827,'难度参数'!$E$19)/D827*(0.85+0.3*(5-1)/MAX(1,D827-1))),0)+F827)))</x:f>
        <x:v>52</x:v>
      </x:c>
      <x:c r="AO827" s="119" t="n">
        <x:f>IF(5&gt;D827,0,ROUND(('难度参数'!$E$13*POWER(A827,'难度参数'!$E$20)*MIN('难度参数'!$E$23,1+MAX(0,A827-'难度参数'!$E$21)*'难度参数'!$E$22))*(36+5*7)/(36+7*(D827+1)/2)*E827,0))</x:f>
        <x:v>18782</x:v>
      </x:c>
      <x:c r="AP827" s="119" t="n">
        <x:f>IF(AN827=0,0,(AN827-IF(5=D827,1,0))*ROUND(AO827*VLOOKUP(INDEX('章节与怪物'!$E$31:$K$37,B827,5),'章节与怪物'!$A$41:$F$44,2,FALSE),0)+IF(5=D827,ROUND(AO827*'难度参数'!$E$28*'章节与怪物'!$E$17,0),0))</x:f>
        <x:v>976664</x:v>
      </x:c>
      <x:c r="AQ827" s="119" t="n">
        <x:f>IF(AN827=0,0,(AN827-IF(5=D827,1,0))*VLOOKUP(INDEX('章节与怪物'!$E$31:$K$37,B827,5),'章节与怪物'!$A$41:$F$44,4,FALSE)+IF(5=D827,'难度参数'!$E$30,0))</x:f>
        <x:v>936</x:v>
      </x:c>
      <x:c r="AR827" s="119" t="n">
        <x:f>IF(6&gt;D827,0,MAX(2,MIN('难度参数'!$E$12,ROUND(('难度参数'!$E$18*POWER(A827,'难度参数'!$E$19)/D827*(0.85+0.3*(6-1)/MAX(1,D827-1))),0)+F827)))</x:f>
        <x:v>54</x:v>
      </x:c>
      <x:c r="AS827" s="119" t="n">
        <x:f>IF(6&gt;D827,0,ROUND(('难度参数'!$E$13*POWER(A827,'难度参数'!$E$20)*MIN('难度参数'!$E$23,1+MAX(0,A827-'难度参数'!$E$21)*'难度参数'!$E$22))*(36+6*7)/(36+7*(D827+1)/2)*E827,0))</x:f>
        <x:v>20634</x:v>
      </x:c>
      <x:c r="AT827" s="119" t="n">
        <x:f>IF(AR827=0,0,(AR827-IF(6=D827,1,0))*ROUND(AS827*VLOOKUP(INDEX('章节与怪物'!$E$31:$K$37,B827,6),'章节与怪物'!$A$41:$F$44,2,FALSE),0)+IF(6=D827,ROUND(AS827*'难度参数'!$E$28*'章节与怪物'!$E$17,0),0))</x:f>
        <x:v>802224</x:v>
      </x:c>
      <x:c r="AU827" s="119" t="n">
        <x:f>IF(AR827=0,0,(AR827-IF(6=D827,1,0))*VLOOKUP(INDEX('章节与怪物'!$E$31:$K$37,B827,6),'章节与怪物'!$A$41:$F$44,4,FALSE)+IF(6=D827,'难度参数'!$E$30,0))</x:f>
        <x:v>1080</x:v>
      </x:c>
      <x:c r="AV827" s="119" t="n">
        <x:f>IF(7&gt;D827,0,MAX(2,MIN('难度参数'!$E$12,ROUND(('难度参数'!$E$18*POWER(A827,'难度参数'!$E$19)/D827*(0.85+0.3*(7-1)/MAX(1,D827-1))),0)+F827)))</x:f>
        <x:v>57</x:v>
      </x:c>
      <x:c r="AW827" s="119" t="n">
        <x:f>IF(7&gt;D827,0,ROUND(('难度参数'!$E$13*POWER(A827,'难度参数'!$E$20)*MIN('难度参数'!$E$23,1+MAX(0,A827-'难度参数'!$E$21)*'难度参数'!$E$22))*(36+7*7)/(36+7*(D827+1)/2)*E827,0))</x:f>
        <x:v>22485</x:v>
      </x:c>
      <x:c r="AX827" s="119" t="n">
        <x:f>IF(AV827=0,0,(AV827-IF(7=D827,1,0))*ROUND(AW827*VLOOKUP(INDEX('章节与怪物'!$E$31:$K$37,B827,7),'章节与怪物'!$A$41:$F$44,2,FALSE),0)+IF(7=D827,ROUND(AW827*'难度参数'!$E$28*'章节与怪物'!$E$17,0),0))</x:f>
        <x:v>1852778</x:v>
      </x:c>
      <x:c r="AY827" s="119" t="n">
        <x:f>IF(AV827=0,0,(AV827-IF(7=D827,1,0))*VLOOKUP(INDEX('章节与怪物'!$E$31:$K$37,B827,7),'章节与怪物'!$A$41:$F$44,4,FALSE)+IF(7=D827,'难度参数'!$E$30,0))</x:f>
        <x:v>2104</x:v>
      </x:c>
    </x:row>
    <x:row r="828" ht="23" customHeight="1">
      <x:c r="A828" s="119" t="n">
        <x:v>822</x:v>
      </x:c>
      <x:c r="B828" s="119" t="n">
        <x:f>MOD(INT((A828-1)/5),7)+1</x:f>
        <x:v>4</x:v>
      </x:c>
      <x:c r="C828" s="62" t="str">
        <x:f>INDEX('章节与怪物'!$B$31:$B$37,B828)</x:f>
        <x:v>翠野边城</x:v>
      </x:c>
      <x:c r="D828" s="119" t="n">
        <x:f>MIN('难度参数'!$E$8,MAX('难度参数'!$E$7,A828))</x:f>
        <x:v>7</x:v>
      </x:c>
      <x:c r="E828" s="106" t="n">
        <x:v>1</x:v>
      </x:c>
      <x:c r="F828" s="106" t="n">
        <x:v>0</x:v>
      </x:c>
      <x:c r="G828" s="106" t="n">
        <x:v>1</x:v>
      </x:c>
      <x:c r="H828" s="119" t="n">
        <x:f>SUM(X828,AB828,AF828,AJ828,AN828,AR828,AV828)</x:f>
        <x:v>345</x:v>
      </x:c>
      <x:c r="I828" s="119" t="n">
        <x:f>SUM(Z828,AD828,AH828,AL828,AP828,AT828,AX828)</x:f>
        <x:v>6888350</x:v>
      </x:c>
      <x:c r="J828" s="119" t="n">
        <x:f>ROUND(INDEX(X828:AY828,1,(D828-1)*4+2)*'难度参数'!$E$28*'章节与怪物'!$E$17,0)</x:f>
        <x:v>153034</x:v>
      </x:c>
      <x:c r="K828" s="119" t="n">
        <x:f>SUM(AA828,AE828,AI828,AM828,AQ828,AU828,AY828)</x:f>
        <x:v>8734</x:v>
      </x:c>
      <x:c r="L828" s="62" t="n">
        <x:f>H828*(ROUNDUP('难度参数'!$E$24/('难度参数'!$E$26*'难度参数'!$E$27),0)*'难度参数'!$E$26)/60</x:f>
        <x:v>4.6</x:v>
      </x:c>
      <x:c r="M828" s="62" t="n">
        <x:f>L828+D828*('难度参数'!$E$49+'难度参数'!$E$50)/60</x:f>
        <x:v>5.766666666666667</x:v>
      </x:c>
      <x:c r="N828" s="119" t="n">
        <x:f>ROUNDDOWN(('经济参数'!$E$20+A828*'经济参数'!$E$21)*G828,0)</x:f>
        <x:v>16620</x:v>
      </x:c>
      <x:c r="O828" s="119" t="n">
        <x:f>ROUNDDOWN(MIN('经济参数'!$E$24,'经济参数'!$E$22+A828*'经济参数'!$E$23)*G828,0)</x:f>
        <x:v>0</x:v>
      </x:c>
      <x:c r="P828" s="119" t="n">
        <x:f>ROUNDDOWN((IF(A828&gt;='材料与任务'!$E$31,'材料与任务'!$E$32,IF(A828&gt;='材料与任务'!$E$25,'材料与任务'!$E$26,IF(A828&gt;='材料与任务'!$E$19,'材料与任务'!$E$20,IF(A828&gt;='材料与任务'!$E$13,'材料与任务'!$E$14,'材料与任务'!$E$8)))))*G828,0)</x:f>
        <x:v>6</x:v>
      </x:c>
      <x:c r="Q828" s="119" t="n">
        <x:f>ROUNDDOWN((IF(A828&gt;='材料与任务'!$E$31,'材料与任务'!$E$33,IF(A828&gt;='材料与任务'!$E$25,'材料与任务'!$E$27,IF(A828&gt;='材料与任务'!$E$19,'材料与任务'!$E$21,IF(A828&gt;='材料与任务'!$E$13,'材料与任务'!$E$15,'材料与任务'!$E$9)))))*G828,0)</x:f>
        <x:v>3</x:v>
      </x:c>
      <x:c r="R828" s="110" t="n">
        <x:f>'装备掉落'!$B$38</x:f>
        <x:v>0.6872058758851213</x:v>
      </x:c>
      <x:c r="S828" s="119" t="n">
        <x:f>MAX(IF(VLOOKUP(A828,'装备掉落'!$A$29:$H$34,2,TRUE)&gt;0,1,0),IF(VLOOKUP(A828,'装备掉落'!$A$29:$H$34,3,TRUE)&gt;0,2,0),IF(VLOOKUP(A828,'装备掉落'!$A$29:$H$34,4,TRUE)&gt;0,3,0),IF(VLOOKUP(A828,'装备掉落'!$A$29:$H$34,5,TRUE)&gt;0,4,0),IF(VLOOKUP(A828,'装备掉落'!$A$29:$H$34,6,TRUE)&gt;0,5,0),IF(VLOOKUP(A828,'装备掉落'!$A$29:$H$34,7,TRUE)&gt;0,6,0),IF(VLOOKUP(A828,'装备掉落'!$A$29:$H$34,8,TRUE)&gt;0,7,0))</x:f>
        <x:v>7</x:v>
      </x:c>
      <x:c r="T828" s="119" t="n">
        <x:f>MIN(7,S828+'经济参数'!$E$70)</x:f>
        <x:v>7</x:v>
      </x:c>
      <x:c r="U828" s="119" t="n">
        <x:f>MIN(7,S828+'经济参数'!$E$71)</x:f>
        <x:v>7</x:v>
      </x:c>
      <x:c r="V828" s="119" t="n">
        <x:f>IF(H828&gt;=('难度参数'!$E$52),1,0)+IF(H828&gt;=('难度参数'!$E$52+'难度参数'!$E$53),1,0)+IF(H828&gt;=('难度参数'!$E$52+'难度参数'!$E$53+'难度参数'!$E$54),1,0)+IF(H828&gt;=('难度参数'!$E$52+'难度参数'!$E$53+'难度参数'!$E$54+'难度参数'!$E$55),1,0)+IF(H828&gt;=('难度参数'!$E$52+'难度参数'!$E$53+'难度参数'!$E$54+'难度参数'!$E$55+'难度参数'!$E$56),1,0)+IF(H828&gt;=('难度参数'!$E$52+'难度参数'!$E$53+'难度参数'!$E$54+'难度参数'!$E$55+'难度参数'!$E$56+'难度参数'!$E$57),1,0)</x:f>
        <x:v>6</x:v>
      </x:c>
      <x:c r="W828" s="62" t="str">
        <x:f>IF(L828&gt;'难度参数'!$E$51,"仅出怪已超目标","还需实测")</x:f>
        <x:v>仅出怪已超目标</x:v>
      </x:c>
      <x:c r="X828" s="119" t="n">
        <x:f>IF(1&gt;D828,0,MAX(2,MIN('难度参数'!$E$12,ROUND(('难度参数'!$E$18*POWER(A828,'难度参数'!$E$19)/D828*(0.85+0.3*(1-1)/MAX(1,D828-1))),0)+F828)))</x:f>
        <x:v>42</x:v>
      </x:c>
      <x:c r="Y828" s="119" t="n">
        <x:f>IF(1&gt;D828,0,ROUND(('难度参数'!$E$13*POWER(A828,'难度参数'!$E$20)*MIN('难度参数'!$E$23,1+MAX(0,A828-'难度参数'!$E$21)*'难度参数'!$E$22))*(36+1*7)/(36+7*(D828+1)/2)*E828,0))</x:f>
        <x:v>11385</x:v>
      </x:c>
      <x:c r="Z828" s="119" t="n">
        <x:f>IF(X828=0,0,(X828-IF(1=D828,1,0))*ROUND(Y828*VLOOKUP(INDEX('章节与怪物'!$E$31:$K$37,B828,1),'章节与怪物'!$A$41:$F$44,2,FALSE),0)+IF(1=D828,ROUND(Y828*'难度参数'!$E$28*'章节与怪物'!$E$17,0),0))</x:f>
        <x:v>344274</x:v>
      </x:c>
      <x:c r="AA828" s="119" t="n">
        <x:f>IF(X828=0,0,(X828-IF(1=D828,1,0))*VLOOKUP(INDEX('章节与怪物'!$E$31:$K$37,B828,1),'章节与怪物'!$A$41:$F$44,4,FALSE)+IF(1=D828,'难度参数'!$E$30,0))</x:f>
        <x:v>840</x:v>
      </x:c>
      <x:c r="AB828" s="119" t="n">
        <x:f>IF(2&gt;D828,0,MAX(2,MIN('难度参数'!$E$12,ROUND(('难度参数'!$E$18*POWER(A828,'难度参数'!$E$19)/D828*(0.85+0.3*(2-1)/MAX(1,D828-1))),0)+F828)))</x:f>
        <x:v>44</x:v>
      </x:c>
      <x:c r="AC828" s="119" t="n">
        <x:f>IF(2&gt;D828,0,ROUND(('难度参数'!$E$13*POWER(A828,'难度参数'!$E$20)*MIN('难度参数'!$E$23,1+MAX(0,A828-'难度参数'!$E$21)*'难度参数'!$E$22))*(36+2*7)/(36+7*(D828+1)/2)*E828,0))</x:f>
        <x:v>13238</x:v>
      </x:c>
      <x:c r="AD828" s="119" t="n">
        <x:f>IF(AB828=0,0,(AB828-IF(2=D828,1,0))*ROUND(AC828*VLOOKUP(INDEX('章节与怪物'!$E$31:$K$37,B828,2),'章节与怪物'!$A$41:$F$44,2,FALSE),0)+IF(2=D828,ROUND(AC828*'难度参数'!$E$28*'章节与怪物'!$E$17,0),0))</x:f>
        <x:v>582472</x:v>
      </x:c>
      <x:c r="AE828" s="119" t="n">
        <x:f>IF(AB828=0,0,(AB828-IF(2=D828,1,0))*VLOOKUP(INDEX('章节与怪物'!$E$31:$K$37,B828,2),'章节与怪物'!$A$41:$F$44,4,FALSE)+IF(2=D828,'难度参数'!$E$30,0))</x:f>
        <x:v>792</x:v>
      </x:c>
      <x:c r="AF828" s="119" t="n">
        <x:f>IF(3&gt;D828,0,MAX(2,MIN('难度参数'!$E$12,ROUND(('难度参数'!$E$18*POWER(A828,'难度参数'!$E$19)/D828*(0.85+0.3*(3-1)/MAX(1,D828-1))),0)+F828)))</x:f>
        <x:v>47</x:v>
      </x:c>
      <x:c r="AG828" s="119" t="n">
        <x:f>IF(3&gt;D828,0,ROUND(('难度参数'!$E$13*POWER(A828,'难度参数'!$E$20)*MIN('难度参数'!$E$23,1+MAX(0,A828-'难度参数'!$E$21)*'难度参数'!$E$22))*(36+3*7)/(36+7*(D828+1)/2)*E828,0))</x:f>
        <x:v>15092</x:v>
      </x:c>
      <x:c r="AH828" s="119" t="n">
        <x:f>IF(AF828=0,0,(AF828-IF(3=D828,1,0))*ROUND(AG828*VLOOKUP(INDEX('章节与怪物'!$E$31:$K$37,B828,3),'章节与怪物'!$A$41:$F$44,2,FALSE),0)+IF(3=D828,ROUND(AG828*'难度参数'!$E$28*'章节与怪物'!$E$17,0),0))</x:f>
        <x:v>1205832</x:v>
      </x:c>
      <x:c r="AI828" s="119" t="n">
        <x:f>IF(AF828=0,0,(AF828-IF(3=D828,1,0))*VLOOKUP(INDEX('章节与怪物'!$E$31:$K$37,B828,3),'章节与怪物'!$A$41:$F$44,4,FALSE)+IF(3=D828,'难度参数'!$E$30,0))</x:f>
        <x:v>1316</x:v>
      </x:c>
      <x:c r="AJ828" s="119" t="n">
        <x:f>IF(4&gt;D828,0,MAX(2,MIN('难度参数'!$E$12,ROUND(('难度参数'!$E$18*POWER(A828,'难度参数'!$E$19)/D828*(0.85+0.3*(4-1)/MAX(1,D828-1))),0)+F828)))</x:f>
        <x:v>49</x:v>
      </x:c>
      <x:c r="AK828" s="119" t="n">
        <x:f>IF(4&gt;D828,0,ROUND(('难度参数'!$E$13*POWER(A828,'难度参数'!$E$20)*MIN('难度参数'!$E$23,1+MAX(0,A828-'难度参数'!$E$21)*'难度参数'!$E$22))*(36+4*7)/(36+7*(D828+1)/2)*E828,0))</x:f>
        <x:v>16945</x:v>
      </x:c>
      <x:c r="AL828" s="119" t="n">
        <x:f>IF(AJ828=0,0,(AJ828-IF(4=D828,1,0))*ROUND(AK828*VLOOKUP(INDEX('章节与怪物'!$E$31:$K$37,B828,4),'章节与怪物'!$A$41:$F$44,2,FALSE),0)+IF(4=D828,ROUND(AK828*'难度参数'!$E$28*'章节与怪物'!$E$17,0),0))</x:f>
        <x:v>1120924</x:v>
      </x:c>
      <x:c r="AM828" s="119" t="n">
        <x:f>IF(AJ828=0,0,(AJ828-IF(4=D828,1,0))*VLOOKUP(INDEX('章节与怪物'!$E$31:$K$37,B828,4),'章节与怪物'!$A$41:$F$44,4,FALSE)+IF(4=D828,'难度参数'!$E$30,0))</x:f>
        <x:v>1666</x:v>
      </x:c>
      <x:c r="AN828" s="119" t="n">
        <x:f>IF(5&gt;D828,0,MAX(2,MIN('难度参数'!$E$12,ROUND(('难度参数'!$E$18*POWER(A828,'难度参数'!$E$19)/D828*(0.85+0.3*(5-1)/MAX(1,D828-1))),0)+F828)))</x:f>
        <x:v>52</x:v>
      </x:c>
      <x:c r="AO828" s="119" t="n">
        <x:f>IF(5&gt;D828,0,ROUND(('难度参数'!$E$13*POWER(A828,'难度参数'!$E$20)*MIN('难度参数'!$E$23,1+MAX(0,A828-'难度参数'!$E$21)*'难度参数'!$E$22))*(36+5*7)/(36+7*(D828+1)/2)*E828,0))</x:f>
        <x:v>18798</x:v>
      </x:c>
      <x:c r="AP828" s="119" t="n">
        <x:f>IF(AN828=0,0,(AN828-IF(5=D828,1,0))*ROUND(AO828*VLOOKUP(INDEX('章节与怪物'!$E$31:$K$37,B828,5),'章节与怪物'!$A$41:$F$44,2,FALSE),0)+IF(5=D828,ROUND(AO828*'难度参数'!$E$28*'章节与怪物'!$E$17,0),0))</x:f>
        <x:v>977496</x:v>
      </x:c>
      <x:c r="AQ828" s="119" t="n">
        <x:f>IF(AN828=0,0,(AN828-IF(5=D828,1,0))*VLOOKUP(INDEX('章节与怪物'!$E$31:$K$37,B828,5),'章节与怪物'!$A$41:$F$44,4,FALSE)+IF(5=D828,'难度参数'!$E$30,0))</x:f>
        <x:v>936</x:v>
      </x:c>
      <x:c r="AR828" s="119" t="n">
        <x:f>IF(6&gt;D828,0,MAX(2,MIN('难度参数'!$E$12,ROUND(('难度参数'!$E$18*POWER(A828,'难度参数'!$E$19)/D828*(0.85+0.3*(6-1)/MAX(1,D828-1))),0)+F828)))</x:f>
        <x:v>54</x:v>
      </x:c>
      <x:c r="AS828" s="119" t="n">
        <x:f>IF(6&gt;D828,0,ROUND(('难度参数'!$E$13*POWER(A828,'难度参数'!$E$20)*MIN('难度参数'!$E$23,1+MAX(0,A828-'难度参数'!$E$21)*'难度参数'!$E$22))*(36+6*7)/(36+7*(D828+1)/2)*E828,0))</x:f>
        <x:v>20652</x:v>
      </x:c>
      <x:c r="AT828" s="119" t="n">
        <x:f>IF(AR828=0,0,(AR828-IF(6=D828,1,0))*ROUND(AS828*VLOOKUP(INDEX('章节与怪物'!$E$31:$K$37,B828,6),'章节与怪物'!$A$41:$F$44,2,FALSE),0)+IF(6=D828,ROUND(AS828*'难度参数'!$E$28*'章节与怪物'!$E$17,0),0))</x:f>
        <x:v>802926</x:v>
      </x:c>
      <x:c r="AU828" s="119" t="n">
        <x:f>IF(AR828=0,0,(AR828-IF(6=D828,1,0))*VLOOKUP(INDEX('章节与怪物'!$E$31:$K$37,B828,6),'章节与怪物'!$A$41:$F$44,4,FALSE)+IF(6=D828,'难度参数'!$E$30,0))</x:f>
        <x:v>1080</x:v>
      </x:c>
      <x:c r="AV828" s="119" t="n">
        <x:f>IF(7&gt;D828,0,MAX(2,MIN('难度参数'!$E$12,ROUND(('难度参数'!$E$18*POWER(A828,'难度参数'!$E$19)/D828*(0.85+0.3*(7-1)/MAX(1,D828-1))),0)+F828)))</x:f>
        <x:v>57</x:v>
      </x:c>
      <x:c r="AW828" s="119" t="n">
        <x:f>IF(7&gt;D828,0,ROUND(('难度参数'!$E$13*POWER(A828,'难度参数'!$E$20)*MIN('难度参数'!$E$23,1+MAX(0,A828-'难度参数'!$E$21)*'难度参数'!$E$22))*(36+7*7)/(36+7*(D828+1)/2)*E828,0))</x:f>
        <x:v>22505</x:v>
      </x:c>
      <x:c r="AX828" s="119" t="n">
        <x:f>IF(AV828=0,0,(AV828-IF(7=D828,1,0))*ROUND(AW828*VLOOKUP(INDEX('章节与怪物'!$E$31:$K$37,B828,7),'章节与怪物'!$A$41:$F$44,2,FALSE),0)+IF(7=D828,ROUND(AW828*'难度参数'!$E$28*'章节与怪物'!$E$17,0),0))</x:f>
        <x:v>1854426</x:v>
      </x:c>
      <x:c r="AY828" s="119" t="n">
        <x:f>IF(AV828=0,0,(AV828-IF(7=D828,1,0))*VLOOKUP(INDEX('章节与怪物'!$E$31:$K$37,B828,7),'章节与怪物'!$A$41:$F$44,4,FALSE)+IF(7=D828,'难度参数'!$E$30,0))</x:f>
        <x:v>2104</x:v>
      </x:c>
    </x:row>
    <x:row r="829" ht="23" customHeight="1">
      <x:c r="A829" s="119" t="n">
        <x:v>823</x:v>
      </x:c>
      <x:c r="B829" s="119" t="n">
        <x:f>MOD(INT((A829-1)/5),7)+1</x:f>
        <x:v>4</x:v>
      </x:c>
      <x:c r="C829" s="62" t="str">
        <x:f>INDEX('章节与怪物'!$B$31:$B$37,B829)</x:f>
        <x:v>翠野边城</x:v>
      </x:c>
      <x:c r="D829" s="119" t="n">
        <x:f>MIN('难度参数'!$E$8,MAX('难度参数'!$E$7,A829))</x:f>
        <x:v>7</x:v>
      </x:c>
      <x:c r="E829" s="106" t="n">
        <x:v>1</x:v>
      </x:c>
      <x:c r="F829" s="106" t="n">
        <x:v>0</x:v>
      </x:c>
      <x:c r="G829" s="106" t="n">
        <x:v>1</x:v>
      </x:c>
      <x:c r="H829" s="119" t="n">
        <x:f>SUM(X829,AB829,AF829,AJ829,AN829,AR829,AV829)</x:f>
        <x:v>345</x:v>
      </x:c>
      <x:c r="I829" s="119" t="n">
        <x:f>SUM(Z829,AD829,AH829,AL829,AP829,AT829,AX829)</x:f>
        <x:v>6894467</x:v>
      </x:c>
      <x:c r="J829" s="119" t="n">
        <x:f>ROUND(INDEX(X829:AY829,1,(D829-1)*4+2)*'难度参数'!$E$28*'章节与怪物'!$E$17,0)</x:f>
        <x:v>153170</x:v>
      </x:c>
      <x:c r="K829" s="119" t="n">
        <x:f>SUM(AA829,AE829,AI829,AM829,AQ829,AU829,AY829)</x:f>
        <x:v>8734</x:v>
      </x:c>
      <x:c r="L829" s="62" t="n">
        <x:f>H829*(ROUNDUP('难度参数'!$E$24/('难度参数'!$E$26*'难度参数'!$E$27),0)*'难度参数'!$E$26)/60</x:f>
        <x:v>4.6</x:v>
      </x:c>
      <x:c r="M829" s="62" t="n">
        <x:f>L829+D829*('难度参数'!$E$49+'难度参数'!$E$50)/60</x:f>
        <x:v>5.766666666666667</x:v>
      </x:c>
      <x:c r="N829" s="119" t="n">
        <x:f>ROUNDDOWN(('经济参数'!$E$20+A829*'经济参数'!$E$21)*G829,0)</x:f>
        <x:v>16640</x:v>
      </x:c>
      <x:c r="O829" s="119" t="n">
        <x:f>ROUNDDOWN(MIN('经济参数'!$E$24,'经济参数'!$E$22+A829*'经济参数'!$E$23)*G829,0)</x:f>
        <x:v>0</x:v>
      </x:c>
      <x:c r="P829" s="119" t="n">
        <x:f>ROUNDDOWN((IF(A829&gt;='材料与任务'!$E$31,'材料与任务'!$E$32,IF(A829&gt;='材料与任务'!$E$25,'材料与任务'!$E$26,IF(A829&gt;='材料与任务'!$E$19,'材料与任务'!$E$20,IF(A829&gt;='材料与任务'!$E$13,'材料与任务'!$E$14,'材料与任务'!$E$8)))))*G829,0)</x:f>
        <x:v>6</x:v>
      </x:c>
      <x:c r="Q829" s="119" t="n">
        <x:f>ROUNDDOWN((IF(A829&gt;='材料与任务'!$E$31,'材料与任务'!$E$33,IF(A829&gt;='材料与任务'!$E$25,'材料与任务'!$E$27,IF(A829&gt;='材料与任务'!$E$19,'材料与任务'!$E$21,IF(A829&gt;='材料与任务'!$E$13,'材料与任务'!$E$15,'材料与任务'!$E$9)))))*G829,0)</x:f>
        <x:v>3</x:v>
      </x:c>
      <x:c r="R829" s="110" t="n">
        <x:f>'装备掉落'!$B$38</x:f>
        <x:v>0.6872058758851213</x:v>
      </x:c>
      <x:c r="S829" s="119" t="n">
        <x:f>MAX(IF(VLOOKUP(A829,'装备掉落'!$A$29:$H$34,2,TRUE)&gt;0,1,0),IF(VLOOKUP(A829,'装备掉落'!$A$29:$H$34,3,TRUE)&gt;0,2,0),IF(VLOOKUP(A829,'装备掉落'!$A$29:$H$34,4,TRUE)&gt;0,3,0),IF(VLOOKUP(A829,'装备掉落'!$A$29:$H$34,5,TRUE)&gt;0,4,0),IF(VLOOKUP(A829,'装备掉落'!$A$29:$H$34,6,TRUE)&gt;0,5,0),IF(VLOOKUP(A829,'装备掉落'!$A$29:$H$34,7,TRUE)&gt;0,6,0),IF(VLOOKUP(A829,'装备掉落'!$A$29:$H$34,8,TRUE)&gt;0,7,0))</x:f>
        <x:v>7</x:v>
      </x:c>
      <x:c r="T829" s="119" t="n">
        <x:f>MIN(7,S829+'经济参数'!$E$70)</x:f>
        <x:v>7</x:v>
      </x:c>
      <x:c r="U829" s="119" t="n">
        <x:f>MIN(7,S829+'经济参数'!$E$71)</x:f>
        <x:v>7</x:v>
      </x:c>
      <x:c r="V829" s="119" t="n">
        <x:f>IF(H829&gt;=('难度参数'!$E$52),1,0)+IF(H829&gt;=('难度参数'!$E$52+'难度参数'!$E$53),1,0)+IF(H829&gt;=('难度参数'!$E$52+'难度参数'!$E$53+'难度参数'!$E$54),1,0)+IF(H829&gt;=('难度参数'!$E$52+'难度参数'!$E$53+'难度参数'!$E$54+'难度参数'!$E$55),1,0)+IF(H829&gt;=('难度参数'!$E$52+'难度参数'!$E$53+'难度参数'!$E$54+'难度参数'!$E$55+'难度参数'!$E$56),1,0)+IF(H829&gt;=('难度参数'!$E$52+'难度参数'!$E$53+'难度参数'!$E$54+'难度参数'!$E$55+'难度参数'!$E$56+'难度参数'!$E$57),1,0)</x:f>
        <x:v>6</x:v>
      </x:c>
      <x:c r="W829" s="62" t="str">
        <x:f>IF(L829&gt;'难度参数'!$E$51,"仅出怪已超目标","还需实测")</x:f>
        <x:v>仅出怪已超目标</x:v>
      </x:c>
      <x:c r="X829" s="119" t="n">
        <x:f>IF(1&gt;D829,0,MAX(2,MIN('难度参数'!$E$12,ROUND(('难度参数'!$E$18*POWER(A829,'难度参数'!$E$19)/D829*(0.85+0.3*(1-1)/MAX(1,D829-1))),0)+F829)))</x:f>
        <x:v>42</x:v>
      </x:c>
      <x:c r="Y829" s="119" t="n">
        <x:f>IF(1&gt;D829,0,ROUND(('难度参数'!$E$13*POWER(A829,'难度参数'!$E$20)*MIN('难度参数'!$E$23,1+MAX(0,A829-'难度参数'!$E$21)*'难度参数'!$E$22))*(36+1*7)/(36+7*(D829+1)/2)*E829,0))</x:f>
        <x:v>11395</x:v>
      </x:c>
      <x:c r="Z829" s="119" t="n">
        <x:f>IF(X829=0,0,(X829-IF(1=D829,1,0))*ROUND(Y829*VLOOKUP(INDEX('章节与怪物'!$E$31:$K$37,B829,1),'章节与怪物'!$A$41:$F$44,2,FALSE),0)+IF(1=D829,ROUND(Y829*'难度参数'!$E$28*'章节与怪物'!$E$17,0),0))</x:f>
        <x:v>344568</x:v>
      </x:c>
      <x:c r="AA829" s="119" t="n">
        <x:f>IF(X829=0,0,(X829-IF(1=D829,1,0))*VLOOKUP(INDEX('章节与怪物'!$E$31:$K$37,B829,1),'章节与怪物'!$A$41:$F$44,4,FALSE)+IF(1=D829,'难度参数'!$E$30,0))</x:f>
        <x:v>840</x:v>
      </x:c>
      <x:c r="AB829" s="119" t="n">
        <x:f>IF(2&gt;D829,0,MAX(2,MIN('难度参数'!$E$12,ROUND(('难度参数'!$E$18*POWER(A829,'难度参数'!$E$19)/D829*(0.85+0.3*(2-1)/MAX(1,D829-1))),0)+F829)))</x:f>
        <x:v>44</x:v>
      </x:c>
      <x:c r="AC829" s="119" t="n">
        <x:f>IF(2&gt;D829,0,ROUND(('难度参数'!$E$13*POWER(A829,'难度参数'!$E$20)*MIN('难度参数'!$E$23,1+MAX(0,A829-'难度参数'!$E$21)*'难度参数'!$E$22))*(36+2*7)/(36+7*(D829+1)/2)*E829,0))</x:f>
        <x:v>13250</x:v>
      </x:c>
      <x:c r="AD829" s="119" t="n">
        <x:f>IF(AB829=0,0,(AB829-IF(2=D829,1,0))*ROUND(AC829*VLOOKUP(INDEX('章节与怪物'!$E$31:$K$37,B829,2),'章节与怪物'!$A$41:$F$44,2,FALSE),0)+IF(2=D829,ROUND(AC829*'难度参数'!$E$28*'章节与怪物'!$E$17,0),0))</x:f>
        <x:v>583000</x:v>
      </x:c>
      <x:c r="AE829" s="119" t="n">
        <x:f>IF(AB829=0,0,(AB829-IF(2=D829,1,0))*VLOOKUP(INDEX('章节与怪物'!$E$31:$K$37,B829,2),'章节与怪物'!$A$41:$F$44,4,FALSE)+IF(2=D829,'难度参数'!$E$30,0))</x:f>
        <x:v>792</x:v>
      </x:c>
      <x:c r="AF829" s="119" t="n">
        <x:f>IF(3&gt;D829,0,MAX(2,MIN('难度参数'!$E$12,ROUND(('难度参数'!$E$18*POWER(A829,'难度参数'!$E$19)/D829*(0.85+0.3*(3-1)/MAX(1,D829-1))),0)+F829)))</x:f>
        <x:v>47</x:v>
      </x:c>
      <x:c r="AG829" s="119" t="n">
        <x:f>IF(3&gt;D829,0,ROUND(('难度参数'!$E$13*POWER(A829,'难度参数'!$E$20)*MIN('难度参数'!$E$23,1+MAX(0,A829-'难度参数'!$E$21)*'难度参数'!$E$22))*(36+3*7)/(36+7*(D829+1)/2)*E829,0))</x:f>
        <x:v>15105</x:v>
      </x:c>
      <x:c r="AH829" s="119" t="n">
        <x:f>IF(AF829=0,0,(AF829-IF(3=D829,1,0))*ROUND(AG829*VLOOKUP(INDEX('章节与怪物'!$E$31:$K$37,B829,3),'章节与怪物'!$A$41:$F$44,2,FALSE),0)+IF(3=D829,ROUND(AG829*'难度参数'!$E$28*'章节与怪物'!$E$17,0),0))</x:f>
        <x:v>1206913</x:v>
      </x:c>
      <x:c r="AI829" s="119" t="n">
        <x:f>IF(AF829=0,0,(AF829-IF(3=D829,1,0))*VLOOKUP(INDEX('章节与怪物'!$E$31:$K$37,B829,3),'章节与怪物'!$A$41:$F$44,4,FALSE)+IF(3=D829,'难度参数'!$E$30,0))</x:f>
        <x:v>1316</x:v>
      </x:c>
      <x:c r="AJ829" s="119" t="n">
        <x:f>IF(4&gt;D829,0,MAX(2,MIN('难度参数'!$E$12,ROUND(('难度参数'!$E$18*POWER(A829,'难度参数'!$E$19)/D829*(0.85+0.3*(4-1)/MAX(1,D829-1))),0)+F829)))</x:f>
        <x:v>49</x:v>
      </x:c>
      <x:c r="AK829" s="119" t="n">
        <x:f>IF(4&gt;D829,0,ROUND(('难度参数'!$E$13*POWER(A829,'难度参数'!$E$20)*MIN('难度参数'!$E$23,1+MAX(0,A829-'难度参数'!$E$21)*'难度参数'!$E$22))*(36+4*7)/(36+7*(D829+1)/2)*E829,0))</x:f>
        <x:v>16960</x:v>
      </x:c>
      <x:c r="AL829" s="119" t="n">
        <x:f>IF(AJ829=0,0,(AJ829-IF(4=D829,1,0))*ROUND(AK829*VLOOKUP(INDEX('章节与怪物'!$E$31:$K$37,B829,4),'章节与怪物'!$A$41:$F$44,2,FALSE),0)+IF(4=D829,ROUND(AK829*'难度参数'!$E$28*'章节与怪物'!$E$17,0),0))</x:f>
        <x:v>1121904</x:v>
      </x:c>
      <x:c r="AM829" s="119" t="n">
        <x:f>IF(AJ829=0,0,(AJ829-IF(4=D829,1,0))*VLOOKUP(INDEX('章节与怪物'!$E$31:$K$37,B829,4),'章节与怪物'!$A$41:$F$44,4,FALSE)+IF(4=D829,'难度参数'!$E$30,0))</x:f>
        <x:v>1666</x:v>
      </x:c>
      <x:c r="AN829" s="119" t="n">
        <x:f>IF(5&gt;D829,0,MAX(2,MIN('难度参数'!$E$12,ROUND(('难度参数'!$E$18*POWER(A829,'难度参数'!$E$19)/D829*(0.85+0.3*(5-1)/MAX(1,D829-1))),0)+F829)))</x:f>
        <x:v>52</x:v>
      </x:c>
      <x:c r="AO829" s="119" t="n">
        <x:f>IF(5&gt;D829,0,ROUND(('难度参数'!$E$13*POWER(A829,'难度参数'!$E$20)*MIN('难度参数'!$E$23,1+MAX(0,A829-'难度参数'!$E$21)*'难度参数'!$E$22))*(36+5*7)/(36+7*(D829+1)/2)*E829,0))</x:f>
        <x:v>18815</x:v>
      </x:c>
      <x:c r="AP829" s="119" t="n">
        <x:f>IF(AN829=0,0,(AN829-IF(5=D829,1,0))*ROUND(AO829*VLOOKUP(INDEX('章节与怪物'!$E$31:$K$37,B829,5),'章节与怪物'!$A$41:$F$44,2,FALSE),0)+IF(5=D829,ROUND(AO829*'难度参数'!$E$28*'章节与怪物'!$E$17,0),0))</x:f>
        <x:v>978380</x:v>
      </x:c>
      <x:c r="AQ829" s="119" t="n">
        <x:f>IF(AN829=0,0,(AN829-IF(5=D829,1,0))*VLOOKUP(INDEX('章节与怪物'!$E$31:$K$37,B829,5),'章节与怪物'!$A$41:$F$44,4,FALSE)+IF(5=D829,'难度参数'!$E$30,0))</x:f>
        <x:v>936</x:v>
      </x:c>
      <x:c r="AR829" s="119" t="n">
        <x:f>IF(6&gt;D829,0,MAX(2,MIN('难度参数'!$E$12,ROUND(('难度参数'!$E$18*POWER(A829,'难度参数'!$E$19)/D829*(0.85+0.3*(6-1)/MAX(1,D829-1))),0)+F829)))</x:f>
        <x:v>54</x:v>
      </x:c>
      <x:c r="AS829" s="119" t="n">
        <x:f>IF(6&gt;D829,0,ROUND(('难度参数'!$E$13*POWER(A829,'难度参数'!$E$20)*MIN('难度参数'!$E$23,1+MAX(0,A829-'难度参数'!$E$21)*'难度参数'!$E$22))*(36+6*7)/(36+7*(D829+1)/2)*E829,0))</x:f>
        <x:v>20670</x:v>
      </x:c>
      <x:c r="AT829" s="119" t="n">
        <x:f>IF(AR829=0,0,(AR829-IF(6=D829,1,0))*ROUND(AS829*VLOOKUP(INDEX('章节与怪物'!$E$31:$K$37,B829,6),'章节与怪物'!$A$41:$F$44,2,FALSE),0)+IF(6=D829,ROUND(AS829*'难度参数'!$E$28*'章节与怪物'!$E$17,0),0))</x:f>
        <x:v>803628</x:v>
      </x:c>
      <x:c r="AU829" s="119" t="n">
        <x:f>IF(AR829=0,0,(AR829-IF(6=D829,1,0))*VLOOKUP(INDEX('章节与怪物'!$E$31:$K$37,B829,6),'章节与怪物'!$A$41:$F$44,4,FALSE)+IF(6=D829,'难度参数'!$E$30,0))</x:f>
        <x:v>1080</x:v>
      </x:c>
      <x:c r="AV829" s="119" t="n">
        <x:f>IF(7&gt;D829,0,MAX(2,MIN('难度参数'!$E$12,ROUND(('难度参数'!$E$18*POWER(A829,'难度参数'!$E$19)/D829*(0.85+0.3*(7-1)/MAX(1,D829-1))),0)+F829)))</x:f>
        <x:v>57</x:v>
      </x:c>
      <x:c r="AW829" s="119" t="n">
        <x:f>IF(7&gt;D829,0,ROUND(('难度参数'!$E$13*POWER(A829,'难度参数'!$E$20)*MIN('难度参数'!$E$23,1+MAX(0,A829-'难度参数'!$E$21)*'难度参数'!$E$22))*(36+7*7)/(36+7*(D829+1)/2)*E829,0))</x:f>
        <x:v>22525</x:v>
      </x:c>
      <x:c r="AX829" s="119" t="n">
        <x:f>IF(AV829=0,0,(AV829-IF(7=D829,1,0))*ROUND(AW829*VLOOKUP(INDEX('章节与怪物'!$E$31:$K$37,B829,7),'章节与怪物'!$A$41:$F$44,2,FALSE),0)+IF(7=D829,ROUND(AW829*'难度参数'!$E$28*'章节与怪物'!$E$17,0),0))</x:f>
        <x:v>1856074</x:v>
      </x:c>
      <x:c r="AY829" s="119" t="n">
        <x:f>IF(AV829=0,0,(AV829-IF(7=D829,1,0))*VLOOKUP(INDEX('章节与怪物'!$E$31:$K$37,B829,7),'章节与怪物'!$A$41:$F$44,4,FALSE)+IF(7=D829,'难度参数'!$E$30,0))</x:f>
        <x:v>2104</x:v>
      </x:c>
    </x:row>
    <x:row r="830" ht="23" customHeight="1">
      <x:c r="A830" s="119" t="n">
        <x:v>824</x:v>
      </x:c>
      <x:c r="B830" s="119" t="n">
        <x:f>MOD(INT((A830-1)/5),7)+1</x:f>
        <x:v>4</x:v>
      </x:c>
      <x:c r="C830" s="62" t="str">
        <x:f>INDEX('章节与怪物'!$B$31:$B$37,B830)</x:f>
        <x:v>翠野边城</x:v>
      </x:c>
      <x:c r="D830" s="119" t="n">
        <x:f>MIN('难度参数'!$E$8,MAX('难度参数'!$E$7,A830))</x:f>
        <x:v>7</x:v>
      </x:c>
      <x:c r="E830" s="106" t="n">
        <x:v>1</x:v>
      </x:c>
      <x:c r="F830" s="106" t="n">
        <x:v>0</x:v>
      </x:c>
      <x:c r="G830" s="106" t="n">
        <x:v>1</x:v>
      </x:c>
      <x:c r="H830" s="119" t="n">
        <x:f>SUM(X830,AB830,AF830,AJ830,AN830,AR830,AV830)</x:f>
        <x:v>345</x:v>
      </x:c>
      <x:c r="I830" s="119" t="n">
        <x:f>SUM(Z830,AD830,AH830,AL830,AP830,AT830,AX830)</x:f>
        <x:v>6900364</x:v>
      </x:c>
      <x:c r="J830" s="119" t="n">
        <x:f>ROUND(INDEX(X830:AY830,1,(D830-1)*4+2)*'难度参数'!$E$28*'章节与怪物'!$E$17,0)</x:f>
        <x:v>153299</x:v>
      </x:c>
      <x:c r="K830" s="119" t="n">
        <x:f>SUM(AA830,AE830,AI830,AM830,AQ830,AU830,AY830)</x:f>
        <x:v>8734</x:v>
      </x:c>
      <x:c r="L830" s="62" t="n">
        <x:f>H830*(ROUNDUP('难度参数'!$E$24/('难度参数'!$E$26*'难度参数'!$E$27),0)*'难度参数'!$E$26)/60</x:f>
        <x:v>4.6</x:v>
      </x:c>
      <x:c r="M830" s="62" t="n">
        <x:f>L830+D830*('难度参数'!$E$49+'难度参数'!$E$50)/60</x:f>
        <x:v>5.766666666666667</x:v>
      </x:c>
      <x:c r="N830" s="119" t="n">
        <x:f>ROUNDDOWN(('经济参数'!$E$20+A830*'经济参数'!$E$21)*G830,0)</x:f>
        <x:v>16660</x:v>
      </x:c>
      <x:c r="O830" s="119" t="n">
        <x:f>ROUNDDOWN(MIN('经济参数'!$E$24,'经济参数'!$E$22+A830*'经济参数'!$E$23)*G830,0)</x:f>
        <x:v>0</x:v>
      </x:c>
      <x:c r="P830" s="119" t="n">
        <x:f>ROUNDDOWN((IF(A830&gt;='材料与任务'!$E$31,'材料与任务'!$E$32,IF(A830&gt;='材料与任务'!$E$25,'材料与任务'!$E$26,IF(A830&gt;='材料与任务'!$E$19,'材料与任务'!$E$20,IF(A830&gt;='材料与任务'!$E$13,'材料与任务'!$E$14,'材料与任务'!$E$8)))))*G830,0)</x:f>
        <x:v>6</x:v>
      </x:c>
      <x:c r="Q830" s="119" t="n">
        <x:f>ROUNDDOWN((IF(A830&gt;='材料与任务'!$E$31,'材料与任务'!$E$33,IF(A830&gt;='材料与任务'!$E$25,'材料与任务'!$E$27,IF(A830&gt;='材料与任务'!$E$19,'材料与任务'!$E$21,IF(A830&gt;='材料与任务'!$E$13,'材料与任务'!$E$15,'材料与任务'!$E$9)))))*G830,0)</x:f>
        <x:v>3</x:v>
      </x:c>
      <x:c r="R830" s="110" t="n">
        <x:f>'装备掉落'!$B$38</x:f>
        <x:v>0.6872058758851213</x:v>
      </x:c>
      <x:c r="S830" s="119" t="n">
        <x:f>MAX(IF(VLOOKUP(A830,'装备掉落'!$A$29:$H$34,2,TRUE)&gt;0,1,0),IF(VLOOKUP(A830,'装备掉落'!$A$29:$H$34,3,TRUE)&gt;0,2,0),IF(VLOOKUP(A830,'装备掉落'!$A$29:$H$34,4,TRUE)&gt;0,3,0),IF(VLOOKUP(A830,'装备掉落'!$A$29:$H$34,5,TRUE)&gt;0,4,0),IF(VLOOKUP(A830,'装备掉落'!$A$29:$H$34,6,TRUE)&gt;0,5,0),IF(VLOOKUP(A830,'装备掉落'!$A$29:$H$34,7,TRUE)&gt;0,6,0),IF(VLOOKUP(A830,'装备掉落'!$A$29:$H$34,8,TRUE)&gt;0,7,0))</x:f>
        <x:v>7</x:v>
      </x:c>
      <x:c r="T830" s="119" t="n">
        <x:f>MIN(7,S830+'经济参数'!$E$70)</x:f>
        <x:v>7</x:v>
      </x:c>
      <x:c r="U830" s="119" t="n">
        <x:f>MIN(7,S830+'经济参数'!$E$71)</x:f>
        <x:v>7</x:v>
      </x:c>
      <x:c r="V830" s="119" t="n">
        <x:f>IF(H830&gt;=('难度参数'!$E$52),1,0)+IF(H830&gt;=('难度参数'!$E$52+'难度参数'!$E$53),1,0)+IF(H830&gt;=('难度参数'!$E$52+'难度参数'!$E$53+'难度参数'!$E$54),1,0)+IF(H830&gt;=('难度参数'!$E$52+'难度参数'!$E$53+'难度参数'!$E$54+'难度参数'!$E$55),1,0)+IF(H830&gt;=('难度参数'!$E$52+'难度参数'!$E$53+'难度参数'!$E$54+'难度参数'!$E$55+'难度参数'!$E$56),1,0)+IF(H830&gt;=('难度参数'!$E$52+'难度参数'!$E$53+'难度参数'!$E$54+'难度参数'!$E$55+'难度参数'!$E$56+'难度参数'!$E$57),1,0)</x:f>
        <x:v>6</x:v>
      </x:c>
      <x:c r="W830" s="62" t="str">
        <x:f>IF(L830&gt;'难度参数'!$E$51,"仅出怪已超目标","还需实测")</x:f>
        <x:v>仅出怪已超目标</x:v>
      </x:c>
      <x:c r="X830" s="119" t="n">
        <x:f>IF(1&gt;D830,0,MAX(2,MIN('难度参数'!$E$12,ROUND(('难度参数'!$E$18*POWER(A830,'难度参数'!$E$19)/D830*(0.85+0.3*(1-1)/MAX(1,D830-1))),0)+F830)))</x:f>
        <x:v>42</x:v>
      </x:c>
      <x:c r="Y830" s="119" t="n">
        <x:f>IF(1&gt;D830,0,ROUND(('难度参数'!$E$13*POWER(A830,'难度参数'!$E$20)*MIN('难度参数'!$E$23,1+MAX(0,A830-'难度参数'!$E$21)*'难度参数'!$E$22))*(36+1*7)/(36+7*(D830+1)/2)*E830,0))</x:f>
        <x:v>11405</x:v>
      </x:c>
      <x:c r="Z830" s="119" t="n">
        <x:f>IF(X830=0,0,(X830-IF(1=D830,1,0))*ROUND(Y830*VLOOKUP(INDEX('章节与怪物'!$E$31:$K$37,B830,1),'章节与怪物'!$A$41:$F$44,2,FALSE),0)+IF(1=D830,ROUND(Y830*'难度参数'!$E$28*'章节与怪物'!$E$17,0),0))</x:f>
        <x:v>344904</x:v>
      </x:c>
      <x:c r="AA830" s="119" t="n">
        <x:f>IF(X830=0,0,(X830-IF(1=D830,1,0))*VLOOKUP(INDEX('章节与怪物'!$E$31:$K$37,B830,1),'章节与怪物'!$A$41:$F$44,4,FALSE)+IF(1=D830,'难度参数'!$E$30,0))</x:f>
        <x:v>840</x:v>
      </x:c>
      <x:c r="AB830" s="119" t="n">
        <x:f>IF(2&gt;D830,0,MAX(2,MIN('难度参数'!$E$12,ROUND(('难度参数'!$E$18*POWER(A830,'难度参数'!$E$19)/D830*(0.85+0.3*(2-1)/MAX(1,D830-1))),0)+F830)))</x:f>
        <x:v>44</x:v>
      </x:c>
      <x:c r="AC830" s="119" t="n">
        <x:f>IF(2&gt;D830,0,ROUND(('难度参数'!$E$13*POWER(A830,'难度参数'!$E$20)*MIN('难度参数'!$E$23,1+MAX(0,A830-'难度参数'!$E$21)*'难度参数'!$E$22))*(36+2*7)/(36+7*(D830+1)/2)*E830,0))</x:f>
        <x:v>13261</x:v>
      </x:c>
      <x:c r="AD830" s="119" t="n">
        <x:f>IF(AB830=0,0,(AB830-IF(2=D830,1,0))*ROUND(AC830*VLOOKUP(INDEX('章节与怪物'!$E$31:$K$37,B830,2),'章节与怪物'!$A$41:$F$44,2,FALSE),0)+IF(2=D830,ROUND(AC830*'难度参数'!$E$28*'章节与怪物'!$E$17,0),0))</x:f>
        <x:v>583484</x:v>
      </x:c>
      <x:c r="AE830" s="119" t="n">
        <x:f>IF(AB830=0,0,(AB830-IF(2=D830,1,0))*VLOOKUP(INDEX('章节与怪物'!$E$31:$K$37,B830,2),'章节与怪物'!$A$41:$F$44,4,FALSE)+IF(2=D830,'难度参数'!$E$30,0))</x:f>
        <x:v>792</x:v>
      </x:c>
      <x:c r="AF830" s="119" t="n">
        <x:f>IF(3&gt;D830,0,MAX(2,MIN('难度参数'!$E$12,ROUND(('难度参数'!$E$18*POWER(A830,'难度参数'!$E$19)/D830*(0.85+0.3*(3-1)/MAX(1,D830-1))),0)+F830)))</x:f>
        <x:v>47</x:v>
      </x:c>
      <x:c r="AG830" s="119" t="n">
        <x:f>IF(3&gt;D830,0,ROUND(('难度参数'!$E$13*POWER(A830,'难度参数'!$E$20)*MIN('难度参数'!$E$23,1+MAX(0,A830-'难度参数'!$E$21)*'难度参数'!$E$22))*(36+3*7)/(36+7*(D830+1)/2)*E830,0))</x:f>
        <x:v>15118</x:v>
      </x:c>
      <x:c r="AH830" s="119" t="n">
        <x:f>IF(AF830=0,0,(AF830-IF(3=D830,1,0))*ROUND(AG830*VLOOKUP(INDEX('章节与怪物'!$E$31:$K$37,B830,3),'章节与怪物'!$A$41:$F$44,2,FALSE),0)+IF(3=D830,ROUND(AG830*'难度参数'!$E$28*'章节与怪物'!$E$17,0),0))</x:f>
        <x:v>1207947</x:v>
      </x:c>
      <x:c r="AI830" s="119" t="n">
        <x:f>IF(AF830=0,0,(AF830-IF(3=D830,1,0))*VLOOKUP(INDEX('章节与怪物'!$E$31:$K$37,B830,3),'章节与怪物'!$A$41:$F$44,4,FALSE)+IF(3=D830,'难度参数'!$E$30,0))</x:f>
        <x:v>1316</x:v>
      </x:c>
      <x:c r="AJ830" s="119" t="n">
        <x:f>IF(4&gt;D830,0,MAX(2,MIN('难度参数'!$E$12,ROUND(('难度参数'!$E$18*POWER(A830,'难度参数'!$E$19)/D830*(0.85+0.3*(4-1)/MAX(1,D830-1))),0)+F830)))</x:f>
        <x:v>49</x:v>
      </x:c>
      <x:c r="AK830" s="119" t="n">
        <x:f>IF(4&gt;D830,0,ROUND(('难度参数'!$E$13*POWER(A830,'难度参数'!$E$20)*MIN('难度参数'!$E$23,1+MAX(0,A830-'难度参数'!$E$21)*'难度参数'!$E$22))*(36+4*7)/(36+7*(D830+1)/2)*E830,0))</x:f>
        <x:v>16975</x:v>
      </x:c>
      <x:c r="AL830" s="119" t="n">
        <x:f>IF(AJ830=0,0,(AJ830-IF(4=D830,1,0))*ROUND(AK830*VLOOKUP(INDEX('章节与怪物'!$E$31:$K$37,B830,4),'章节与怪物'!$A$41:$F$44,2,FALSE),0)+IF(4=D830,ROUND(AK830*'难度参数'!$E$28*'章节与怪物'!$E$17,0),0))</x:f>
        <x:v>1122884</x:v>
      </x:c>
      <x:c r="AM830" s="119" t="n">
        <x:f>IF(AJ830=0,0,(AJ830-IF(4=D830,1,0))*VLOOKUP(INDEX('章节与怪物'!$E$31:$K$37,B830,4),'章节与怪物'!$A$41:$F$44,4,FALSE)+IF(4=D830,'难度参数'!$E$30,0))</x:f>
        <x:v>1666</x:v>
      </x:c>
      <x:c r="AN830" s="119" t="n">
        <x:f>IF(5&gt;D830,0,MAX(2,MIN('难度参数'!$E$12,ROUND(('难度参数'!$E$18*POWER(A830,'难度参数'!$E$19)/D830*(0.85+0.3*(5-1)/MAX(1,D830-1))),0)+F830)))</x:f>
        <x:v>52</x:v>
      </x:c>
      <x:c r="AO830" s="119" t="n">
        <x:f>IF(5&gt;D830,0,ROUND(('难度参数'!$E$13*POWER(A830,'难度参数'!$E$20)*MIN('难度参数'!$E$23,1+MAX(0,A830-'难度参数'!$E$21)*'难度参数'!$E$22))*(36+5*7)/(36+7*(D830+1)/2)*E830,0))</x:f>
        <x:v>18831</x:v>
      </x:c>
      <x:c r="AP830" s="119" t="n">
        <x:f>IF(AN830=0,0,(AN830-IF(5=D830,1,0))*ROUND(AO830*VLOOKUP(INDEX('章节与怪物'!$E$31:$K$37,B830,5),'章节与怪物'!$A$41:$F$44,2,FALSE),0)+IF(5=D830,ROUND(AO830*'难度参数'!$E$28*'章节与怪物'!$E$17,0),0))</x:f>
        <x:v>979212</x:v>
      </x:c>
      <x:c r="AQ830" s="119" t="n">
        <x:f>IF(AN830=0,0,(AN830-IF(5=D830,1,0))*VLOOKUP(INDEX('章节与怪物'!$E$31:$K$37,B830,5),'章节与怪物'!$A$41:$F$44,4,FALSE)+IF(5=D830,'难度参数'!$E$30,0))</x:f>
        <x:v>936</x:v>
      </x:c>
      <x:c r="AR830" s="119" t="n">
        <x:f>IF(6&gt;D830,0,MAX(2,MIN('难度参数'!$E$12,ROUND(('难度参数'!$E$18*POWER(A830,'难度参数'!$E$19)/D830*(0.85+0.3*(6-1)/MAX(1,D830-1))),0)+F830)))</x:f>
        <x:v>54</x:v>
      </x:c>
      <x:c r="AS830" s="119" t="n">
        <x:f>IF(6&gt;D830,0,ROUND(('难度参数'!$E$13*POWER(A830,'难度参数'!$E$20)*MIN('难度参数'!$E$23,1+MAX(0,A830-'难度参数'!$E$21)*'难度参数'!$E$22))*(36+6*7)/(36+7*(D830+1)/2)*E830,0))</x:f>
        <x:v>20688</x:v>
      </x:c>
      <x:c r="AT830" s="119" t="n">
        <x:f>IF(AR830=0,0,(AR830-IF(6=D830,1,0))*ROUND(AS830*VLOOKUP(INDEX('章节与怪物'!$E$31:$K$37,B830,6),'章节与怪物'!$A$41:$F$44,2,FALSE),0)+IF(6=D830,ROUND(AS830*'难度参数'!$E$28*'章节与怪物'!$E$17,0),0))</x:f>
        <x:v>804330</x:v>
      </x:c>
      <x:c r="AU830" s="119" t="n">
        <x:f>IF(AR830=0,0,(AR830-IF(6=D830,1,0))*VLOOKUP(INDEX('章节与怪物'!$E$31:$K$37,B830,6),'章节与怪物'!$A$41:$F$44,4,FALSE)+IF(6=D830,'难度参数'!$E$30,0))</x:f>
        <x:v>1080</x:v>
      </x:c>
      <x:c r="AV830" s="119" t="n">
        <x:f>IF(7&gt;D830,0,MAX(2,MIN('难度参数'!$E$12,ROUND(('难度参数'!$E$18*POWER(A830,'难度参数'!$E$19)/D830*(0.85+0.3*(7-1)/MAX(1,D830-1))),0)+F830)))</x:f>
        <x:v>57</x:v>
      </x:c>
      <x:c r="AW830" s="119" t="n">
        <x:f>IF(7&gt;D830,0,ROUND(('难度参数'!$E$13*POWER(A830,'难度参数'!$E$20)*MIN('难度参数'!$E$23,1+MAX(0,A830-'难度参数'!$E$21)*'难度参数'!$E$22))*(36+7*7)/(36+7*(D830+1)/2)*E830,0))</x:f>
        <x:v>22544</x:v>
      </x:c>
      <x:c r="AX830" s="119" t="n">
        <x:f>IF(AV830=0,0,(AV830-IF(7=D830,1,0))*ROUND(AW830*VLOOKUP(INDEX('章节与怪物'!$E$31:$K$37,B830,7),'章节与怪物'!$A$41:$F$44,2,FALSE),0)+IF(7=D830,ROUND(AW830*'难度参数'!$E$28*'章节与怪物'!$E$17,0),0))</x:f>
        <x:v>1857603</x:v>
      </x:c>
      <x:c r="AY830" s="119" t="n">
        <x:f>IF(AV830=0,0,(AV830-IF(7=D830,1,0))*VLOOKUP(INDEX('章节与怪物'!$E$31:$K$37,B830,7),'章节与怪物'!$A$41:$F$44,4,FALSE)+IF(7=D830,'难度参数'!$E$30,0))</x:f>
        <x:v>2104</x:v>
      </x:c>
    </x:row>
    <x:row r="831" ht="23" customHeight="1">
      <x:c r="A831" s="119" t="n">
        <x:v>825</x:v>
      </x:c>
      <x:c r="B831" s="119" t="n">
        <x:f>MOD(INT((A831-1)/5),7)+1</x:f>
        <x:v>4</x:v>
      </x:c>
      <x:c r="C831" s="62" t="str">
        <x:f>INDEX('章节与怪物'!$B$31:$B$37,B831)</x:f>
        <x:v>翠野边城</x:v>
      </x:c>
      <x:c r="D831" s="119" t="n">
        <x:f>MIN('难度参数'!$E$8,MAX('难度参数'!$E$7,A831))</x:f>
        <x:v>7</x:v>
      </x:c>
      <x:c r="E831" s="106" t="n">
        <x:v>1</x:v>
      </x:c>
      <x:c r="F831" s="106" t="n">
        <x:v>0</x:v>
      </x:c>
      <x:c r="G831" s="106" t="n">
        <x:v>1</x:v>
      </x:c>
      <x:c r="H831" s="119" t="n">
        <x:f>SUM(X831,AB831,AF831,AJ831,AN831,AR831,AV831)</x:f>
        <x:v>346</x:v>
      </x:c>
      <x:c r="I831" s="119" t="n">
        <x:f>SUM(Z831,AD831,AH831,AL831,AP831,AT831,AX831)</x:f>
        <x:v>6919756</x:v>
      </x:c>
      <x:c r="J831" s="119" t="n">
        <x:f>ROUND(INDEX(X831:AY831,1,(D831-1)*4+2)*'难度参数'!$E$28*'章节与怪物'!$E$17,0)</x:f>
        <x:v>153435</x:v>
      </x:c>
      <x:c r="K831" s="119" t="n">
        <x:f>SUM(AA831,AE831,AI831,AM831,AQ831,AU831,AY831)</x:f>
        <x:v>8752</x:v>
      </x:c>
      <x:c r="L831" s="62" t="n">
        <x:f>H831*(ROUNDUP('难度参数'!$E$24/('难度参数'!$E$26*'难度参数'!$E$27),0)*'难度参数'!$E$26)/60</x:f>
        <x:v>4.613333333333333</x:v>
      </x:c>
      <x:c r="M831" s="62" t="n">
        <x:f>L831+D831*('难度参数'!$E$49+'难度参数'!$E$50)/60</x:f>
        <x:v>5.78</x:v>
      </x:c>
      <x:c r="N831" s="119" t="n">
        <x:f>ROUNDDOWN(('经济参数'!$E$20+A831*'经济参数'!$E$21)*G831,0)</x:f>
        <x:v>16680</x:v>
      </x:c>
      <x:c r="O831" s="119" t="n">
        <x:f>ROUNDDOWN(MIN('经济参数'!$E$24,'经济参数'!$E$22+A831*'经济参数'!$E$23)*G831,0)</x:f>
        <x:v>0</x:v>
      </x:c>
      <x:c r="P831" s="119" t="n">
        <x:f>ROUNDDOWN((IF(A831&gt;='材料与任务'!$E$31,'材料与任务'!$E$32,IF(A831&gt;='材料与任务'!$E$25,'材料与任务'!$E$26,IF(A831&gt;='材料与任务'!$E$19,'材料与任务'!$E$20,IF(A831&gt;='材料与任务'!$E$13,'材料与任务'!$E$14,'材料与任务'!$E$8)))))*G831,0)</x:f>
        <x:v>6</x:v>
      </x:c>
      <x:c r="Q831" s="119" t="n">
        <x:f>ROUNDDOWN((IF(A831&gt;='材料与任务'!$E$31,'材料与任务'!$E$33,IF(A831&gt;='材料与任务'!$E$25,'材料与任务'!$E$27,IF(A831&gt;='材料与任务'!$E$19,'材料与任务'!$E$21,IF(A831&gt;='材料与任务'!$E$13,'材料与任务'!$E$15,'材料与任务'!$E$9)))))*G831,0)</x:f>
        <x:v>3</x:v>
      </x:c>
      <x:c r="R831" s="110" t="n">
        <x:f>'装备掉落'!$B$38</x:f>
        <x:v>0.6872058758851213</x:v>
      </x:c>
      <x:c r="S831" s="119" t="n">
        <x:f>MAX(IF(VLOOKUP(A831,'装备掉落'!$A$29:$H$34,2,TRUE)&gt;0,1,0),IF(VLOOKUP(A831,'装备掉落'!$A$29:$H$34,3,TRUE)&gt;0,2,0),IF(VLOOKUP(A831,'装备掉落'!$A$29:$H$34,4,TRUE)&gt;0,3,0),IF(VLOOKUP(A831,'装备掉落'!$A$29:$H$34,5,TRUE)&gt;0,4,0),IF(VLOOKUP(A831,'装备掉落'!$A$29:$H$34,6,TRUE)&gt;0,5,0),IF(VLOOKUP(A831,'装备掉落'!$A$29:$H$34,7,TRUE)&gt;0,6,0),IF(VLOOKUP(A831,'装备掉落'!$A$29:$H$34,8,TRUE)&gt;0,7,0))</x:f>
        <x:v>7</x:v>
      </x:c>
      <x:c r="T831" s="119" t="n">
        <x:f>MIN(7,S831+'经济参数'!$E$70)</x:f>
        <x:v>7</x:v>
      </x:c>
      <x:c r="U831" s="119" t="n">
        <x:f>MIN(7,S831+'经济参数'!$E$71)</x:f>
        <x:v>7</x:v>
      </x:c>
      <x:c r="V831" s="119" t="n">
        <x:f>IF(H831&gt;=('难度参数'!$E$52),1,0)+IF(H831&gt;=('难度参数'!$E$52+'难度参数'!$E$53),1,0)+IF(H831&gt;=('难度参数'!$E$52+'难度参数'!$E$53+'难度参数'!$E$54),1,0)+IF(H831&gt;=('难度参数'!$E$52+'难度参数'!$E$53+'难度参数'!$E$54+'难度参数'!$E$55),1,0)+IF(H831&gt;=('难度参数'!$E$52+'难度参数'!$E$53+'难度参数'!$E$54+'难度参数'!$E$55+'难度参数'!$E$56),1,0)+IF(H831&gt;=('难度参数'!$E$52+'难度参数'!$E$53+'难度参数'!$E$54+'难度参数'!$E$55+'难度参数'!$E$56+'难度参数'!$E$57),1,0)</x:f>
        <x:v>6</x:v>
      </x:c>
      <x:c r="W831" s="62" t="str">
        <x:f>IF(L831&gt;'难度参数'!$E$51,"仅出怪已超目标","还需实测")</x:f>
        <x:v>仅出怪已超目标</x:v>
      </x:c>
      <x:c r="X831" s="119" t="n">
        <x:f>IF(1&gt;D831,0,MAX(2,MIN('难度参数'!$E$12,ROUND(('难度参数'!$E$18*POWER(A831,'难度参数'!$E$19)/D831*(0.85+0.3*(1-1)/MAX(1,D831-1))),0)+F831)))</x:f>
        <x:v>42</x:v>
      </x:c>
      <x:c r="Y831" s="119" t="n">
        <x:f>IF(1&gt;D831,0,ROUND(('难度参数'!$E$13*POWER(A831,'难度参数'!$E$20)*MIN('难度参数'!$E$23,1+MAX(0,A831-'难度参数'!$E$21)*'难度参数'!$E$22))*(36+1*7)/(36+7*(D831+1)/2)*E831,0))</x:f>
        <x:v>11415</x:v>
      </x:c>
      <x:c r="Z831" s="119" t="n">
        <x:f>IF(X831=0,0,(X831-IF(1=D831,1,0))*ROUND(Y831*VLOOKUP(INDEX('章节与怪物'!$E$31:$K$37,B831,1),'章节与怪物'!$A$41:$F$44,2,FALSE),0)+IF(1=D831,ROUND(Y831*'难度参数'!$E$28*'章节与怪物'!$E$17,0),0))</x:f>
        <x:v>345198</x:v>
      </x:c>
      <x:c r="AA831" s="119" t="n">
        <x:f>IF(X831=0,0,(X831-IF(1=D831,1,0))*VLOOKUP(INDEX('章节与怪物'!$E$31:$K$37,B831,1),'章节与怪物'!$A$41:$F$44,4,FALSE)+IF(1=D831,'难度参数'!$E$30,0))</x:f>
        <x:v>840</x:v>
      </x:c>
      <x:c r="AB831" s="119" t="n">
        <x:f>IF(2&gt;D831,0,MAX(2,MIN('难度参数'!$E$12,ROUND(('难度参数'!$E$18*POWER(A831,'难度参数'!$E$19)/D831*(0.85+0.3*(2-1)/MAX(1,D831-1))),0)+F831)))</x:f>
        <x:v>45</x:v>
      </x:c>
      <x:c r="AC831" s="119" t="n">
        <x:f>IF(2&gt;D831,0,ROUND(('难度参数'!$E$13*POWER(A831,'难度参数'!$E$20)*MIN('难度参数'!$E$23,1+MAX(0,A831-'难度参数'!$E$21)*'难度参数'!$E$22))*(36+2*7)/(36+7*(D831+1)/2)*E831,0))</x:f>
        <x:v>13273</x:v>
      </x:c>
      <x:c r="AD831" s="119" t="n">
        <x:f>IF(AB831=0,0,(AB831-IF(2=D831,1,0))*ROUND(AC831*VLOOKUP(INDEX('章节与怪物'!$E$31:$K$37,B831,2),'章节与怪物'!$A$41:$F$44,2,FALSE),0)+IF(2=D831,ROUND(AC831*'难度参数'!$E$28*'章节与怪物'!$E$17,0),0))</x:f>
        <x:v>597285</x:v>
      </x:c>
      <x:c r="AE831" s="119" t="n">
        <x:f>IF(AB831=0,0,(AB831-IF(2=D831,1,0))*VLOOKUP(INDEX('章节与怪物'!$E$31:$K$37,B831,2),'章节与怪物'!$A$41:$F$44,4,FALSE)+IF(2=D831,'难度参数'!$E$30,0))</x:f>
        <x:v>810</x:v>
      </x:c>
      <x:c r="AF831" s="119" t="n">
        <x:f>IF(3&gt;D831,0,MAX(2,MIN('难度参数'!$E$12,ROUND(('难度参数'!$E$18*POWER(A831,'难度参数'!$E$19)/D831*(0.85+0.3*(3-1)/MAX(1,D831-1))),0)+F831)))</x:f>
        <x:v>47</x:v>
      </x:c>
      <x:c r="AG831" s="119" t="n">
        <x:f>IF(3&gt;D831,0,ROUND(('难度参数'!$E$13*POWER(A831,'难度参数'!$E$20)*MIN('难度参数'!$E$23,1+MAX(0,A831-'难度参数'!$E$21)*'难度参数'!$E$22))*(36+3*7)/(36+7*(D831+1)/2)*E831,0))</x:f>
        <x:v>15131</x:v>
      </x:c>
      <x:c r="AH831" s="119" t="n">
        <x:f>IF(AF831=0,0,(AF831-IF(3=D831,1,0))*ROUND(AG831*VLOOKUP(INDEX('章节与怪物'!$E$31:$K$37,B831,3),'章节与怪物'!$A$41:$F$44,2,FALSE),0)+IF(3=D831,ROUND(AG831*'难度参数'!$E$28*'章节与怪物'!$E$17,0),0))</x:f>
        <x:v>1208981</x:v>
      </x:c>
      <x:c r="AI831" s="119" t="n">
        <x:f>IF(AF831=0,0,(AF831-IF(3=D831,1,0))*VLOOKUP(INDEX('章节与怪物'!$E$31:$K$37,B831,3),'章节与怪物'!$A$41:$F$44,4,FALSE)+IF(3=D831,'难度参数'!$E$30,0))</x:f>
        <x:v>1316</x:v>
      </x:c>
      <x:c r="AJ831" s="119" t="n">
        <x:f>IF(4&gt;D831,0,MAX(2,MIN('难度参数'!$E$12,ROUND(('难度参数'!$E$18*POWER(A831,'难度参数'!$E$19)/D831*(0.85+0.3*(4-1)/MAX(1,D831-1))),0)+F831)))</x:f>
        <x:v>49</x:v>
      </x:c>
      <x:c r="AK831" s="119" t="n">
        <x:f>IF(4&gt;D831,0,ROUND(('难度参数'!$E$13*POWER(A831,'难度参数'!$E$20)*MIN('难度参数'!$E$23,1+MAX(0,A831-'难度参数'!$E$21)*'难度参数'!$E$22))*(36+4*7)/(36+7*(D831+1)/2)*E831,0))</x:f>
        <x:v>16990</x:v>
      </x:c>
      <x:c r="AL831" s="119" t="n">
        <x:f>IF(AJ831=0,0,(AJ831-IF(4=D831,1,0))*ROUND(AK831*VLOOKUP(INDEX('章节与怪物'!$E$31:$K$37,B831,4),'章节与怪物'!$A$41:$F$44,2,FALSE),0)+IF(4=D831,ROUND(AK831*'难度参数'!$E$28*'章节与怪物'!$E$17,0),0))</x:f>
        <x:v>1123913</x:v>
      </x:c>
      <x:c r="AM831" s="119" t="n">
        <x:f>IF(AJ831=0,0,(AJ831-IF(4=D831,1,0))*VLOOKUP(INDEX('章节与怪物'!$E$31:$K$37,B831,4),'章节与怪物'!$A$41:$F$44,4,FALSE)+IF(4=D831,'难度参数'!$E$30,0))</x:f>
        <x:v>1666</x:v>
      </x:c>
      <x:c r="AN831" s="119" t="n">
        <x:f>IF(5&gt;D831,0,MAX(2,MIN('难度参数'!$E$12,ROUND(('难度参数'!$E$18*POWER(A831,'难度参数'!$E$19)/D831*(0.85+0.3*(5-1)/MAX(1,D831-1))),0)+F831)))</x:f>
        <x:v>52</x:v>
      </x:c>
      <x:c r="AO831" s="119" t="n">
        <x:f>IF(5&gt;D831,0,ROUND(('难度参数'!$E$13*POWER(A831,'难度参数'!$E$20)*MIN('难度参数'!$E$23,1+MAX(0,A831-'难度参数'!$E$21)*'难度参数'!$E$22))*(36+5*7)/(36+7*(D831+1)/2)*E831,0))</x:f>
        <x:v>18848</x:v>
      </x:c>
      <x:c r="AP831" s="119" t="n">
        <x:f>IF(AN831=0,0,(AN831-IF(5=D831,1,0))*ROUND(AO831*VLOOKUP(INDEX('章节与怪物'!$E$31:$K$37,B831,5),'章节与怪物'!$A$41:$F$44,2,FALSE),0)+IF(5=D831,ROUND(AO831*'难度参数'!$E$28*'章节与怪物'!$E$17,0),0))</x:f>
        <x:v>980096</x:v>
      </x:c>
      <x:c r="AQ831" s="119" t="n">
        <x:f>IF(AN831=0,0,(AN831-IF(5=D831,1,0))*VLOOKUP(INDEX('章节与怪物'!$E$31:$K$37,B831,5),'章节与怪物'!$A$41:$F$44,4,FALSE)+IF(5=D831,'难度参数'!$E$30,0))</x:f>
        <x:v>936</x:v>
      </x:c>
      <x:c r="AR831" s="119" t="n">
        <x:f>IF(6&gt;D831,0,MAX(2,MIN('难度参数'!$E$12,ROUND(('难度参数'!$E$18*POWER(A831,'难度参数'!$E$19)/D831*(0.85+0.3*(6-1)/MAX(1,D831-1))),0)+F831)))</x:f>
        <x:v>54</x:v>
      </x:c>
      <x:c r="AS831" s="119" t="n">
        <x:f>IF(6&gt;D831,0,ROUND(('难度参数'!$E$13*POWER(A831,'难度参数'!$E$20)*MIN('难度参数'!$E$23,1+MAX(0,A831-'难度参数'!$E$21)*'难度参数'!$E$22))*(36+6*7)/(36+7*(D831+1)/2)*E831,0))</x:f>
        <x:v>20706</x:v>
      </x:c>
      <x:c r="AT831" s="119" t="n">
        <x:f>IF(AR831=0,0,(AR831-IF(6=D831,1,0))*ROUND(AS831*VLOOKUP(INDEX('章节与怪物'!$E$31:$K$37,B831,6),'章节与怪物'!$A$41:$F$44,2,FALSE),0)+IF(6=D831,ROUND(AS831*'难度参数'!$E$28*'章节与怪物'!$E$17,0),0))</x:f>
        <x:v>805032</x:v>
      </x:c>
      <x:c r="AU831" s="119" t="n">
        <x:f>IF(AR831=0,0,(AR831-IF(6=D831,1,0))*VLOOKUP(INDEX('章节与怪物'!$E$31:$K$37,B831,6),'章节与怪物'!$A$41:$F$44,4,FALSE)+IF(6=D831,'难度参数'!$E$30,0))</x:f>
        <x:v>1080</x:v>
      </x:c>
      <x:c r="AV831" s="119" t="n">
        <x:f>IF(7&gt;D831,0,MAX(2,MIN('难度参数'!$E$12,ROUND(('难度参数'!$E$18*POWER(A831,'难度参数'!$E$19)/D831*(0.85+0.3*(7-1)/MAX(1,D831-1))),0)+F831)))</x:f>
        <x:v>57</x:v>
      </x:c>
      <x:c r="AW831" s="119" t="n">
        <x:f>IF(7&gt;D831,0,ROUND(('难度参数'!$E$13*POWER(A831,'难度参数'!$E$20)*MIN('难度参数'!$E$23,1+MAX(0,A831-'难度参数'!$E$21)*'难度参数'!$E$22))*(36+7*7)/(36+7*(D831+1)/2)*E831,0))</x:f>
        <x:v>22564</x:v>
      </x:c>
      <x:c r="AX831" s="119" t="n">
        <x:f>IF(AV831=0,0,(AV831-IF(7=D831,1,0))*ROUND(AW831*VLOOKUP(INDEX('章节与怪物'!$E$31:$K$37,B831,7),'章节与怪物'!$A$41:$F$44,2,FALSE),0)+IF(7=D831,ROUND(AW831*'难度参数'!$E$28*'章节与怪物'!$E$17,0),0))</x:f>
        <x:v>1859251</x:v>
      </x:c>
      <x:c r="AY831" s="119" t="n">
        <x:f>IF(AV831=0,0,(AV831-IF(7=D831,1,0))*VLOOKUP(INDEX('章节与怪物'!$E$31:$K$37,B831,7),'章节与怪物'!$A$41:$F$44,4,FALSE)+IF(7=D831,'难度参数'!$E$30,0))</x:f>
        <x:v>2104</x:v>
      </x:c>
    </x:row>
    <x:row r="832" ht="23" customHeight="1">
      <x:c r="A832" s="119" t="n">
        <x:v>826</x:v>
      </x:c>
      <x:c r="B832" s="119" t="n">
        <x:f>MOD(INT((A832-1)/5),7)+1</x:f>
        <x:v>5</x:v>
      </x:c>
      <x:c r="C832" s="62" t="str">
        <x:f>INDEX('章节与怪物'!$B$31:$B$37,B832)</x:f>
        <x:v>雨林遗迹</x:v>
      </x:c>
      <x:c r="D832" s="119" t="n">
        <x:f>MIN('难度参数'!$E$8,MAX('难度参数'!$E$7,A832))</x:f>
        <x:v>7</x:v>
      </x:c>
      <x:c r="E832" s="106" t="n">
        <x:v>1</x:v>
      </x:c>
      <x:c r="F832" s="106" t="n">
        <x:v>0</x:v>
      </x:c>
      <x:c r="G832" s="106" t="n">
        <x:v>1</x:v>
      </x:c>
      <x:c r="H832" s="119" t="n">
        <x:f>SUM(X832,AB832,AF832,AJ832,AN832,AR832,AV832)</x:f>
        <x:v>346</x:v>
      </x:c>
      <x:c r="I832" s="119" t="n">
        <x:f>SUM(Z832,AD832,AH832,AL832,AP832,AT832,AX832)</x:f>
        <x:v>7714722</x:v>
      </x:c>
      <x:c r="J832" s="119" t="n">
        <x:f>ROUND(INDEX(X832:AY832,1,(D832-1)*4+2)*'难度参数'!$E$28*'章节与怪物'!$E$17,0)</x:f>
        <x:v>153571</x:v>
      </x:c>
      <x:c r="K832" s="119" t="n">
        <x:f>SUM(AA832,AE832,AI832,AM832,AQ832,AU832,AY832)</x:f>
        <x:v>9294</x:v>
      </x:c>
      <x:c r="L832" s="62" t="n">
        <x:f>H832*(ROUNDUP('难度参数'!$E$24/('难度参数'!$E$26*'难度参数'!$E$27),0)*'难度参数'!$E$26)/60</x:f>
        <x:v>4.613333333333333</x:v>
      </x:c>
      <x:c r="M832" s="62" t="n">
        <x:f>L832+D832*('难度参数'!$E$49+'难度参数'!$E$50)/60</x:f>
        <x:v>5.78</x:v>
      </x:c>
      <x:c r="N832" s="119" t="n">
        <x:f>ROUNDDOWN(('经济参数'!$E$20+A832*'经济参数'!$E$21)*G832,0)</x:f>
        <x:v>16700</x:v>
      </x:c>
      <x:c r="O832" s="119" t="n">
        <x:f>ROUNDDOWN(MIN('经济参数'!$E$24,'经济参数'!$E$22+A832*'经济参数'!$E$23)*G832,0)</x:f>
        <x:v>0</x:v>
      </x:c>
      <x:c r="P832" s="119" t="n">
        <x:f>ROUNDDOWN((IF(A832&gt;='材料与任务'!$E$31,'材料与任务'!$E$32,IF(A832&gt;='材料与任务'!$E$25,'材料与任务'!$E$26,IF(A832&gt;='材料与任务'!$E$19,'材料与任务'!$E$20,IF(A832&gt;='材料与任务'!$E$13,'材料与任务'!$E$14,'材料与任务'!$E$8)))))*G832,0)</x:f>
        <x:v>6</x:v>
      </x:c>
      <x:c r="Q832" s="119" t="n">
        <x:f>ROUNDDOWN((IF(A832&gt;='材料与任务'!$E$31,'材料与任务'!$E$33,IF(A832&gt;='材料与任务'!$E$25,'材料与任务'!$E$27,IF(A832&gt;='材料与任务'!$E$19,'材料与任务'!$E$21,IF(A832&gt;='材料与任务'!$E$13,'材料与任务'!$E$15,'材料与任务'!$E$9)))))*G832,0)</x:f>
        <x:v>3</x:v>
      </x:c>
      <x:c r="R832" s="110" t="n">
        <x:f>'装备掉落'!$B$38</x:f>
        <x:v>0.6872058758851213</x:v>
      </x:c>
      <x:c r="S832" s="119" t="n">
        <x:f>MAX(IF(VLOOKUP(A832,'装备掉落'!$A$29:$H$34,2,TRUE)&gt;0,1,0),IF(VLOOKUP(A832,'装备掉落'!$A$29:$H$34,3,TRUE)&gt;0,2,0),IF(VLOOKUP(A832,'装备掉落'!$A$29:$H$34,4,TRUE)&gt;0,3,0),IF(VLOOKUP(A832,'装备掉落'!$A$29:$H$34,5,TRUE)&gt;0,4,0),IF(VLOOKUP(A832,'装备掉落'!$A$29:$H$34,6,TRUE)&gt;0,5,0),IF(VLOOKUP(A832,'装备掉落'!$A$29:$H$34,7,TRUE)&gt;0,6,0),IF(VLOOKUP(A832,'装备掉落'!$A$29:$H$34,8,TRUE)&gt;0,7,0))</x:f>
        <x:v>7</x:v>
      </x:c>
      <x:c r="T832" s="119" t="n">
        <x:f>MIN(7,S832+'经济参数'!$E$70)</x:f>
        <x:v>7</x:v>
      </x:c>
      <x:c r="U832" s="119" t="n">
        <x:f>MIN(7,S832+'经济参数'!$E$71)</x:f>
        <x:v>7</x:v>
      </x:c>
      <x:c r="V832" s="119" t="n">
        <x:f>IF(H832&gt;=('难度参数'!$E$52),1,0)+IF(H832&gt;=('难度参数'!$E$52+'难度参数'!$E$53),1,0)+IF(H832&gt;=('难度参数'!$E$52+'难度参数'!$E$53+'难度参数'!$E$54),1,0)+IF(H832&gt;=('难度参数'!$E$52+'难度参数'!$E$53+'难度参数'!$E$54+'难度参数'!$E$55),1,0)+IF(H832&gt;=('难度参数'!$E$52+'难度参数'!$E$53+'难度参数'!$E$54+'难度参数'!$E$55+'难度参数'!$E$56),1,0)+IF(H832&gt;=('难度参数'!$E$52+'难度参数'!$E$53+'难度参数'!$E$54+'难度参数'!$E$55+'难度参数'!$E$56+'难度参数'!$E$57),1,0)</x:f>
        <x:v>6</x:v>
      </x:c>
      <x:c r="W832" s="62" t="str">
        <x:f>IF(L832&gt;'难度参数'!$E$51,"仅出怪已超目标","还需实测")</x:f>
        <x:v>仅出怪已超目标</x:v>
      </x:c>
      <x:c r="X832" s="119" t="n">
        <x:f>IF(1&gt;D832,0,MAX(2,MIN('难度参数'!$E$12,ROUND(('难度参数'!$E$18*POWER(A832,'难度参数'!$E$19)/D832*(0.85+0.3*(1-1)/MAX(1,D832-1))),0)+F832)))</x:f>
        <x:v>42</x:v>
      </x:c>
      <x:c r="Y832" s="119" t="n">
        <x:f>IF(1&gt;D832,0,ROUND(('难度参数'!$E$13*POWER(A832,'难度参数'!$E$20)*MIN('难度参数'!$E$23,1+MAX(0,A832-'难度参数'!$E$21)*'难度参数'!$E$22))*(36+1*7)/(36+7*(D832+1)/2)*E832,0))</x:f>
        <x:v>11425</x:v>
      </x:c>
      <x:c r="Z832" s="119" t="n">
        <x:f>IF(X832=0,0,(X832-IF(1=D832,1,0))*ROUND(Y832*VLOOKUP(INDEX('章节与怪物'!$E$31:$K$37,B832,1),'章节与怪物'!$A$41:$F$44,2,FALSE),0)+IF(1=D832,ROUND(Y832*'难度参数'!$E$28*'章节与怪物'!$E$17,0),0))</x:f>
        <x:v>479850</x:v>
      </x:c>
      <x:c r="AA832" s="119" t="n">
        <x:f>IF(X832=0,0,(X832-IF(1=D832,1,0))*VLOOKUP(INDEX('章节与怪物'!$E$31:$K$37,B832,1),'章节与怪物'!$A$41:$F$44,4,FALSE)+IF(1=D832,'难度参数'!$E$30,0))</x:f>
        <x:v>756</x:v>
      </x:c>
      <x:c r="AB832" s="119" t="n">
        <x:f>IF(2&gt;D832,0,MAX(2,MIN('难度参数'!$E$12,ROUND(('难度参数'!$E$18*POWER(A832,'难度参数'!$E$19)/D832*(0.85+0.3*(2-1)/MAX(1,D832-1))),0)+F832)))</x:f>
        <x:v>45</x:v>
      </x:c>
      <x:c r="AC832" s="119" t="n">
        <x:f>IF(2&gt;D832,0,ROUND(('难度参数'!$E$13*POWER(A832,'难度参数'!$E$20)*MIN('难度参数'!$E$23,1+MAX(0,A832-'难度参数'!$E$21)*'难度参数'!$E$22))*(36+2*7)/(36+7*(D832+1)/2)*E832,0))</x:f>
        <x:v>13285</x:v>
      </x:c>
      <x:c r="AD832" s="119" t="n">
        <x:f>IF(AB832=0,0,(AB832-IF(2=D832,1,0))*ROUND(AC832*VLOOKUP(INDEX('章节与怪物'!$E$31:$K$37,B832,2),'章节与怪物'!$A$41:$F$44,2,FALSE),0)+IF(2=D832,ROUND(AC832*'难度参数'!$E$28*'章节与怪物'!$E$17,0),0))</x:f>
        <x:v>430425</x:v>
      </x:c>
      <x:c r="AE832" s="119" t="n">
        <x:f>IF(AB832=0,0,(AB832-IF(2=D832,1,0))*VLOOKUP(INDEX('章节与怪物'!$E$31:$K$37,B832,2),'章节与怪物'!$A$41:$F$44,4,FALSE)+IF(2=D832,'难度参数'!$E$30,0))</x:f>
        <x:v>900</x:v>
      </x:c>
      <x:c r="AF832" s="119" t="n">
        <x:f>IF(3&gt;D832,0,MAX(2,MIN('难度参数'!$E$12,ROUND(('难度参数'!$E$18*POWER(A832,'难度参数'!$E$19)/D832*(0.85+0.3*(3-1)/MAX(1,D832-1))),0)+F832)))</x:f>
        <x:v>47</x:v>
      </x:c>
      <x:c r="AG832" s="119" t="n">
        <x:f>IF(3&gt;D832,0,ROUND(('难度参数'!$E$13*POWER(A832,'难度参数'!$E$20)*MIN('难度参数'!$E$23,1+MAX(0,A832-'难度参数'!$E$21)*'难度参数'!$E$22))*(36+3*7)/(36+7*(D832+1)/2)*E832,0))</x:f>
        <x:v>15144</x:v>
      </x:c>
      <x:c r="AH832" s="119" t="n">
        <x:f>IF(AF832=0,0,(AF832-IF(3=D832,1,0))*ROUND(AG832*VLOOKUP(INDEX('章节与怪物'!$E$31:$K$37,B832,3),'章节与怪物'!$A$41:$F$44,2,FALSE),0)+IF(3=D832,ROUND(AG832*'难度参数'!$E$28*'章节与怪物'!$E$17,0),0))</x:f>
        <x:v>1210015</x:v>
      </x:c>
      <x:c r="AI832" s="119" t="n">
        <x:f>IF(AF832=0,0,(AF832-IF(3=D832,1,0))*VLOOKUP(INDEX('章节与怪物'!$E$31:$K$37,B832,3),'章节与怪物'!$A$41:$F$44,4,FALSE)+IF(3=D832,'难度参数'!$E$30,0))</x:f>
        <x:v>1316</x:v>
      </x:c>
      <x:c r="AJ832" s="119" t="n">
        <x:f>IF(4&gt;D832,0,MAX(2,MIN('难度参数'!$E$12,ROUND(('难度参数'!$E$18*POWER(A832,'难度参数'!$E$19)/D832*(0.85+0.3*(4-1)/MAX(1,D832-1))),0)+F832)))</x:f>
        <x:v>49</x:v>
      </x:c>
      <x:c r="AK832" s="119" t="n">
        <x:f>IF(4&gt;D832,0,ROUND(('难度参数'!$E$13*POWER(A832,'难度参数'!$E$20)*MIN('难度参数'!$E$23,1+MAX(0,A832-'难度参数'!$E$21)*'难度参数'!$E$22))*(36+4*7)/(36+7*(D832+1)/2)*E832,0))</x:f>
        <x:v>17004</x:v>
      </x:c>
      <x:c r="AL832" s="119" t="n">
        <x:f>IF(AJ832=0,0,(AJ832-IF(4=D832,1,0))*ROUND(AK832*VLOOKUP(INDEX('章节与怪物'!$E$31:$K$37,B832,4),'章节与怪物'!$A$41:$F$44,2,FALSE),0)+IF(4=D832,ROUND(AK832*'难度参数'!$E$28*'章节与怪物'!$E$17,0),0))</x:f>
        <x:v>1124795</x:v>
      </x:c>
      <x:c r="AM832" s="119" t="n">
        <x:f>IF(AJ832=0,0,(AJ832-IF(4=D832,1,0))*VLOOKUP(INDEX('章节与怪物'!$E$31:$K$37,B832,4),'章节与怪物'!$A$41:$F$44,4,FALSE)+IF(4=D832,'难度参数'!$E$30,0))</x:f>
        <x:v>1666</x:v>
      </x:c>
      <x:c r="AN832" s="119" t="n">
        <x:f>IF(5&gt;D832,0,MAX(2,MIN('难度参数'!$E$12,ROUND(('难度参数'!$E$18*POWER(A832,'难度参数'!$E$19)/D832*(0.85+0.3*(5-1)/MAX(1,D832-1))),0)+F832)))</x:f>
        <x:v>52</x:v>
      </x:c>
      <x:c r="AO832" s="119" t="n">
        <x:f>IF(5&gt;D832,0,ROUND(('难度参数'!$E$13*POWER(A832,'难度参数'!$E$20)*MIN('难度参数'!$E$23,1+MAX(0,A832-'难度参数'!$E$21)*'难度参数'!$E$22))*(36+5*7)/(36+7*(D832+1)/2)*E832,0))</x:f>
        <x:v>18864</x:v>
      </x:c>
      <x:c r="AP832" s="119" t="n">
        <x:f>IF(AN832=0,0,(AN832-IF(5=D832,1,0))*ROUND(AO832*VLOOKUP(INDEX('章节与怪物'!$E$31:$K$37,B832,5),'章节与怪物'!$A$41:$F$44,2,FALSE),0)+IF(5=D832,ROUND(AO832*'难度参数'!$E$28*'章节与怪物'!$E$17,0),0))</x:f>
        <x:v>706264</x:v>
      </x:c>
      <x:c r="AQ832" s="119" t="n">
        <x:f>IF(AN832=0,0,(AN832-IF(5=D832,1,0))*VLOOKUP(INDEX('章节与怪物'!$E$31:$K$37,B832,5),'章节与怪物'!$A$41:$F$44,4,FALSE)+IF(5=D832,'难度参数'!$E$30,0))</x:f>
        <x:v>1040</x:v>
      </x:c>
      <x:c r="AR832" s="119" t="n">
        <x:f>IF(6&gt;D832,0,MAX(2,MIN('难度参数'!$E$12,ROUND(('难度参数'!$E$18*POWER(A832,'难度参数'!$E$19)/D832*(0.85+0.3*(6-1)/MAX(1,D832-1))),0)+F832)))</x:f>
        <x:v>54</x:v>
      </x:c>
      <x:c r="AS832" s="119" t="n">
        <x:f>IF(6&gt;D832,0,ROUND(('难度参数'!$E$13*POWER(A832,'难度参数'!$E$20)*MIN('难度参数'!$E$23,1+MAX(0,A832-'难度参数'!$E$21)*'难度参数'!$E$22))*(36+6*7)/(36+7*(D832+1)/2)*E832,0))</x:f>
        <x:v>20724</x:v>
      </x:c>
      <x:c r="AT832" s="119" t="n">
        <x:f>IF(AR832=0,0,(AR832-IF(6=D832,1,0))*ROUND(AS832*VLOOKUP(INDEX('章节与怪物'!$E$31:$K$37,B832,6),'章节与怪物'!$A$41:$F$44,2,FALSE),0)+IF(6=D832,ROUND(AS832*'难度参数'!$E$28*'章节与怪物'!$E$17,0),0))</x:f>
        <x:v>1902474</x:v>
      </x:c>
      <x:c r="AU832" s="119" t="n">
        <x:f>IF(AR832=0,0,(AR832-IF(6=D832,1,0))*VLOOKUP(INDEX('章节与怪物'!$E$31:$K$37,B832,6),'章节与怪物'!$A$41:$F$44,4,FALSE)+IF(6=D832,'难度参数'!$E$30,0))</x:f>
        <x:v>1512</x:v>
      </x:c>
      <x:c r="AV832" s="119" t="n">
        <x:f>IF(7&gt;D832,0,MAX(2,MIN('难度参数'!$E$12,ROUND(('难度参数'!$E$18*POWER(A832,'难度参数'!$E$19)/D832*(0.85+0.3*(7-1)/MAX(1,D832-1))),0)+F832)))</x:f>
        <x:v>57</x:v>
      </x:c>
      <x:c r="AW832" s="119" t="n">
        <x:f>IF(7&gt;D832,0,ROUND(('难度参数'!$E$13*POWER(A832,'难度参数'!$E$20)*MIN('难度参数'!$E$23,1+MAX(0,A832-'难度参数'!$E$21)*'难度参数'!$E$22))*(36+7*7)/(36+7*(D832+1)/2)*E832,0))</x:f>
        <x:v>22584</x:v>
      </x:c>
      <x:c r="AX832" s="119" t="n">
        <x:f>IF(AV832=0,0,(AV832-IF(7=D832,1,0))*ROUND(AW832*VLOOKUP(INDEX('章节与怪物'!$E$31:$K$37,B832,7),'章节与怪物'!$A$41:$F$44,2,FALSE),0)+IF(7=D832,ROUND(AW832*'难度参数'!$E$28*'章节与怪物'!$E$17,0),0))</x:f>
        <x:v>1860899</x:v>
      </x:c>
      <x:c r="AY832" s="119" t="n">
        <x:f>IF(AV832=0,0,(AV832-IF(7=D832,1,0))*VLOOKUP(INDEX('章节与怪物'!$E$31:$K$37,B832,7),'章节与怪物'!$A$41:$F$44,4,FALSE)+IF(7=D832,'难度参数'!$E$30,0))</x:f>
        <x:v>2104</x:v>
      </x:c>
    </x:row>
    <x:row r="833" ht="23" customHeight="1">
      <x:c r="A833" s="119" t="n">
        <x:v>827</x:v>
      </x:c>
      <x:c r="B833" s="119" t="n">
        <x:f>MOD(INT((A833-1)/5),7)+1</x:f>
        <x:v>5</x:v>
      </x:c>
      <x:c r="C833" s="62" t="str">
        <x:f>INDEX('章节与怪物'!$B$31:$B$37,B833)</x:f>
        <x:v>雨林遗迹</x:v>
      </x:c>
      <x:c r="D833" s="119" t="n">
        <x:f>MIN('难度参数'!$E$8,MAX('难度参数'!$E$7,A833))</x:f>
        <x:v>7</x:v>
      </x:c>
      <x:c r="E833" s="106" t="n">
        <x:v>1</x:v>
      </x:c>
      <x:c r="F833" s="106" t="n">
        <x:v>0</x:v>
      </x:c>
      <x:c r="G833" s="106" t="n">
        <x:v>1</x:v>
      </x:c>
      <x:c r="H833" s="119" t="n">
        <x:f>SUM(X833,AB833,AF833,AJ833,AN833,AR833,AV833)</x:f>
        <x:v>346</x:v>
      </x:c>
      <x:c r="I833" s="119" t="n">
        <x:f>SUM(Z833,AD833,AH833,AL833,AP833,AT833,AX833)</x:f>
        <x:v>7721551</x:v>
      </x:c>
      <x:c r="J833" s="119" t="n">
        <x:f>ROUND(INDEX(X833:AY833,1,(D833-1)*4+2)*'难度参数'!$E$28*'章节与怪物'!$E$17,0)</x:f>
        <x:v>153707</x:v>
      </x:c>
      <x:c r="K833" s="119" t="n">
        <x:f>SUM(AA833,AE833,AI833,AM833,AQ833,AU833,AY833)</x:f>
        <x:v>9294</x:v>
      </x:c>
      <x:c r="L833" s="62" t="n">
        <x:f>H833*(ROUNDUP('难度参数'!$E$24/('难度参数'!$E$26*'难度参数'!$E$27),0)*'难度参数'!$E$26)/60</x:f>
        <x:v>4.613333333333333</x:v>
      </x:c>
      <x:c r="M833" s="62" t="n">
        <x:f>L833+D833*('难度参数'!$E$49+'难度参数'!$E$50)/60</x:f>
        <x:v>5.78</x:v>
      </x:c>
      <x:c r="N833" s="119" t="n">
        <x:f>ROUNDDOWN(('经济参数'!$E$20+A833*'经济参数'!$E$21)*G833,0)</x:f>
        <x:v>16720</x:v>
      </x:c>
      <x:c r="O833" s="119" t="n">
        <x:f>ROUNDDOWN(MIN('经济参数'!$E$24,'经济参数'!$E$22+A833*'经济参数'!$E$23)*G833,0)</x:f>
        <x:v>0</x:v>
      </x:c>
      <x:c r="P833" s="119" t="n">
        <x:f>ROUNDDOWN((IF(A833&gt;='材料与任务'!$E$31,'材料与任务'!$E$32,IF(A833&gt;='材料与任务'!$E$25,'材料与任务'!$E$26,IF(A833&gt;='材料与任务'!$E$19,'材料与任务'!$E$20,IF(A833&gt;='材料与任务'!$E$13,'材料与任务'!$E$14,'材料与任务'!$E$8)))))*G833,0)</x:f>
        <x:v>6</x:v>
      </x:c>
      <x:c r="Q833" s="119" t="n">
        <x:f>ROUNDDOWN((IF(A833&gt;='材料与任务'!$E$31,'材料与任务'!$E$33,IF(A833&gt;='材料与任务'!$E$25,'材料与任务'!$E$27,IF(A833&gt;='材料与任务'!$E$19,'材料与任务'!$E$21,IF(A833&gt;='材料与任务'!$E$13,'材料与任务'!$E$15,'材料与任务'!$E$9)))))*G833,0)</x:f>
        <x:v>3</x:v>
      </x:c>
      <x:c r="R833" s="110" t="n">
        <x:f>'装备掉落'!$B$38</x:f>
        <x:v>0.6872058758851213</x:v>
      </x:c>
      <x:c r="S833" s="119" t="n">
        <x:f>MAX(IF(VLOOKUP(A833,'装备掉落'!$A$29:$H$34,2,TRUE)&gt;0,1,0),IF(VLOOKUP(A833,'装备掉落'!$A$29:$H$34,3,TRUE)&gt;0,2,0),IF(VLOOKUP(A833,'装备掉落'!$A$29:$H$34,4,TRUE)&gt;0,3,0),IF(VLOOKUP(A833,'装备掉落'!$A$29:$H$34,5,TRUE)&gt;0,4,0),IF(VLOOKUP(A833,'装备掉落'!$A$29:$H$34,6,TRUE)&gt;0,5,0),IF(VLOOKUP(A833,'装备掉落'!$A$29:$H$34,7,TRUE)&gt;0,6,0),IF(VLOOKUP(A833,'装备掉落'!$A$29:$H$34,8,TRUE)&gt;0,7,0))</x:f>
        <x:v>7</x:v>
      </x:c>
      <x:c r="T833" s="119" t="n">
        <x:f>MIN(7,S833+'经济参数'!$E$70)</x:f>
        <x:v>7</x:v>
      </x:c>
      <x:c r="U833" s="119" t="n">
        <x:f>MIN(7,S833+'经济参数'!$E$71)</x:f>
        <x:v>7</x:v>
      </x:c>
      <x:c r="V833" s="119" t="n">
        <x:f>IF(H833&gt;=('难度参数'!$E$52),1,0)+IF(H833&gt;=('难度参数'!$E$52+'难度参数'!$E$53),1,0)+IF(H833&gt;=('难度参数'!$E$52+'难度参数'!$E$53+'难度参数'!$E$54),1,0)+IF(H833&gt;=('难度参数'!$E$52+'难度参数'!$E$53+'难度参数'!$E$54+'难度参数'!$E$55),1,0)+IF(H833&gt;=('难度参数'!$E$52+'难度参数'!$E$53+'难度参数'!$E$54+'难度参数'!$E$55+'难度参数'!$E$56),1,0)+IF(H833&gt;=('难度参数'!$E$52+'难度参数'!$E$53+'难度参数'!$E$54+'难度参数'!$E$55+'难度参数'!$E$56+'难度参数'!$E$57),1,0)</x:f>
        <x:v>6</x:v>
      </x:c>
      <x:c r="W833" s="62" t="str">
        <x:f>IF(L833&gt;'难度参数'!$E$51,"仅出怪已超目标","还需实测")</x:f>
        <x:v>仅出怪已超目标</x:v>
      </x:c>
      <x:c r="X833" s="119" t="n">
        <x:f>IF(1&gt;D833,0,MAX(2,MIN('难度参数'!$E$12,ROUND(('难度参数'!$E$18*POWER(A833,'难度参数'!$E$19)/D833*(0.85+0.3*(1-1)/MAX(1,D833-1))),0)+F833)))</x:f>
        <x:v>42</x:v>
      </x:c>
      <x:c r="Y833" s="119" t="n">
        <x:f>IF(1&gt;D833,0,ROUND(('难度参数'!$E$13*POWER(A833,'难度参数'!$E$20)*MIN('难度参数'!$E$23,1+MAX(0,A833-'难度参数'!$E$21)*'难度参数'!$E$22))*(36+1*7)/(36+7*(D833+1)/2)*E833,0))</x:f>
        <x:v>11435</x:v>
      </x:c>
      <x:c r="Z833" s="119" t="n">
        <x:f>IF(X833=0,0,(X833-IF(1=D833,1,0))*ROUND(Y833*VLOOKUP(INDEX('章节与怪物'!$E$31:$K$37,B833,1),'章节与怪物'!$A$41:$F$44,2,FALSE),0)+IF(1=D833,ROUND(Y833*'难度参数'!$E$28*'章节与怪物'!$E$17,0),0))</x:f>
        <x:v>480270</x:v>
      </x:c>
      <x:c r="AA833" s="119" t="n">
        <x:f>IF(X833=0,0,(X833-IF(1=D833,1,0))*VLOOKUP(INDEX('章节与怪物'!$E$31:$K$37,B833,1),'章节与怪物'!$A$41:$F$44,4,FALSE)+IF(1=D833,'难度参数'!$E$30,0))</x:f>
        <x:v>756</x:v>
      </x:c>
      <x:c r="AB833" s="119" t="n">
        <x:f>IF(2&gt;D833,0,MAX(2,MIN('难度参数'!$E$12,ROUND(('难度参数'!$E$18*POWER(A833,'难度参数'!$E$19)/D833*(0.85+0.3*(2-1)/MAX(1,D833-1))),0)+F833)))</x:f>
        <x:v>45</x:v>
      </x:c>
      <x:c r="AC833" s="119" t="n">
        <x:f>IF(2&gt;D833,0,ROUND(('难度参数'!$E$13*POWER(A833,'难度参数'!$E$20)*MIN('难度参数'!$E$23,1+MAX(0,A833-'难度参数'!$E$21)*'难度参数'!$E$22))*(36+2*7)/(36+7*(D833+1)/2)*E833,0))</x:f>
        <x:v>13296</x:v>
      </x:c>
      <x:c r="AD833" s="119" t="n">
        <x:f>IF(AB833=0,0,(AB833-IF(2=D833,1,0))*ROUND(AC833*VLOOKUP(INDEX('章节与怪物'!$E$31:$K$37,B833,2),'章节与怪物'!$A$41:$F$44,2,FALSE),0)+IF(2=D833,ROUND(AC833*'难度参数'!$E$28*'章节与怪物'!$E$17,0),0))</x:f>
        <x:v>430785</x:v>
      </x:c>
      <x:c r="AE833" s="119" t="n">
        <x:f>IF(AB833=0,0,(AB833-IF(2=D833,1,0))*VLOOKUP(INDEX('章节与怪物'!$E$31:$K$37,B833,2),'章节与怪物'!$A$41:$F$44,4,FALSE)+IF(2=D833,'难度参数'!$E$30,0))</x:f>
        <x:v>900</x:v>
      </x:c>
      <x:c r="AF833" s="119" t="n">
        <x:f>IF(3&gt;D833,0,MAX(2,MIN('难度参数'!$E$12,ROUND(('难度参数'!$E$18*POWER(A833,'难度参数'!$E$19)/D833*(0.85+0.3*(3-1)/MAX(1,D833-1))),0)+F833)))</x:f>
        <x:v>47</x:v>
      </x:c>
      <x:c r="AG833" s="119" t="n">
        <x:f>IF(3&gt;D833,0,ROUND(('难度参数'!$E$13*POWER(A833,'难度参数'!$E$20)*MIN('难度参数'!$E$23,1+MAX(0,A833-'难度参数'!$E$21)*'难度参数'!$E$22))*(36+3*7)/(36+7*(D833+1)/2)*E833,0))</x:f>
        <x:v>15158</x:v>
      </x:c>
      <x:c r="AH833" s="119" t="n">
        <x:f>IF(AF833=0,0,(AF833-IF(3=D833,1,0))*ROUND(AG833*VLOOKUP(INDEX('章节与怪物'!$E$31:$K$37,B833,3),'章节与怪物'!$A$41:$F$44,2,FALSE),0)+IF(3=D833,ROUND(AG833*'难度参数'!$E$28*'章节与怪物'!$E$17,0),0))</x:f>
        <x:v>1211143</x:v>
      </x:c>
      <x:c r="AI833" s="119" t="n">
        <x:f>IF(AF833=0,0,(AF833-IF(3=D833,1,0))*VLOOKUP(INDEX('章节与怪物'!$E$31:$K$37,B833,3),'章节与怪物'!$A$41:$F$44,4,FALSE)+IF(3=D833,'难度参数'!$E$30,0))</x:f>
        <x:v>1316</x:v>
      </x:c>
      <x:c r="AJ833" s="119" t="n">
        <x:f>IF(4&gt;D833,0,MAX(2,MIN('难度参数'!$E$12,ROUND(('难度参数'!$E$18*POWER(A833,'难度参数'!$E$19)/D833*(0.85+0.3*(4-1)/MAX(1,D833-1))),0)+F833)))</x:f>
        <x:v>49</x:v>
      </x:c>
      <x:c r="AK833" s="119" t="n">
        <x:f>IF(4&gt;D833,0,ROUND(('难度参数'!$E$13*POWER(A833,'难度参数'!$E$20)*MIN('难度参数'!$E$23,1+MAX(0,A833-'难度参数'!$E$21)*'难度参数'!$E$22))*(36+4*7)/(36+7*(D833+1)/2)*E833,0))</x:f>
        <x:v>17019</x:v>
      </x:c>
      <x:c r="AL833" s="119" t="n">
        <x:f>IF(AJ833=0,0,(AJ833-IF(4=D833,1,0))*ROUND(AK833*VLOOKUP(INDEX('章节与怪物'!$E$31:$K$37,B833,4),'章节与怪物'!$A$41:$F$44,2,FALSE),0)+IF(4=D833,ROUND(AK833*'难度参数'!$E$28*'章节与怪物'!$E$17,0),0))</x:f>
        <x:v>1125824</x:v>
      </x:c>
      <x:c r="AM833" s="119" t="n">
        <x:f>IF(AJ833=0,0,(AJ833-IF(4=D833,1,0))*VLOOKUP(INDEX('章节与怪物'!$E$31:$K$37,B833,4),'章节与怪物'!$A$41:$F$44,4,FALSE)+IF(4=D833,'难度参数'!$E$30,0))</x:f>
        <x:v>1666</x:v>
      </x:c>
      <x:c r="AN833" s="119" t="n">
        <x:f>IF(5&gt;D833,0,MAX(2,MIN('难度参数'!$E$12,ROUND(('难度参数'!$E$18*POWER(A833,'难度参数'!$E$19)/D833*(0.85+0.3*(5-1)/MAX(1,D833-1))),0)+F833)))</x:f>
        <x:v>52</x:v>
      </x:c>
      <x:c r="AO833" s="119" t="n">
        <x:f>IF(5&gt;D833,0,ROUND(('难度参数'!$E$13*POWER(A833,'难度参数'!$E$20)*MIN('难度参数'!$E$23,1+MAX(0,A833-'难度参数'!$E$21)*'难度参数'!$E$22))*(36+5*7)/(36+7*(D833+1)/2)*E833,0))</x:f>
        <x:v>18881</x:v>
      </x:c>
      <x:c r="AP833" s="119" t="n">
        <x:f>IF(AN833=0,0,(AN833-IF(5=D833,1,0))*ROUND(AO833*VLOOKUP(INDEX('章节与怪物'!$E$31:$K$37,B833,5),'章节与怪物'!$A$41:$F$44,2,FALSE),0)+IF(5=D833,ROUND(AO833*'难度参数'!$E$28*'章节与怪物'!$E$17,0),0))</x:f>
        <x:v>706888</x:v>
      </x:c>
      <x:c r="AQ833" s="119" t="n">
        <x:f>IF(AN833=0,0,(AN833-IF(5=D833,1,0))*VLOOKUP(INDEX('章节与怪物'!$E$31:$K$37,B833,5),'章节与怪物'!$A$41:$F$44,4,FALSE)+IF(5=D833,'难度参数'!$E$30,0))</x:f>
        <x:v>1040</x:v>
      </x:c>
      <x:c r="AR833" s="119" t="n">
        <x:f>IF(6&gt;D833,0,MAX(2,MIN('难度参数'!$E$12,ROUND(('难度参数'!$E$18*POWER(A833,'难度参数'!$E$19)/D833*(0.85+0.3*(6-1)/MAX(1,D833-1))),0)+F833)))</x:f>
        <x:v>54</x:v>
      </x:c>
      <x:c r="AS833" s="119" t="n">
        <x:f>IF(6&gt;D833,0,ROUND(('难度参数'!$E$13*POWER(A833,'难度参数'!$E$20)*MIN('难度参数'!$E$23,1+MAX(0,A833-'难度参数'!$E$21)*'难度参数'!$E$22))*(36+6*7)/(36+7*(D833+1)/2)*E833,0))</x:f>
        <x:v>20742</x:v>
      </x:c>
      <x:c r="AT833" s="119" t="n">
        <x:f>IF(AR833=0,0,(AR833-IF(6=D833,1,0))*ROUND(AS833*VLOOKUP(INDEX('章节与怪物'!$E$31:$K$37,B833,6),'章节与怪物'!$A$41:$F$44,2,FALSE),0)+IF(6=D833,ROUND(AS833*'难度参数'!$E$28*'章节与怪物'!$E$17,0),0))</x:f>
        <x:v>1904094</x:v>
      </x:c>
      <x:c r="AU833" s="119" t="n">
        <x:f>IF(AR833=0,0,(AR833-IF(6=D833,1,0))*VLOOKUP(INDEX('章节与怪物'!$E$31:$K$37,B833,6),'章节与怪物'!$A$41:$F$44,4,FALSE)+IF(6=D833,'难度参数'!$E$30,0))</x:f>
        <x:v>1512</x:v>
      </x:c>
      <x:c r="AV833" s="119" t="n">
        <x:f>IF(7&gt;D833,0,MAX(2,MIN('难度参数'!$E$12,ROUND(('难度参数'!$E$18*POWER(A833,'难度参数'!$E$19)/D833*(0.85+0.3*(7-1)/MAX(1,D833-1))),0)+F833)))</x:f>
        <x:v>57</x:v>
      </x:c>
      <x:c r="AW833" s="119" t="n">
        <x:f>IF(7&gt;D833,0,ROUND(('难度参数'!$E$13*POWER(A833,'难度参数'!$E$20)*MIN('难度参数'!$E$23,1+MAX(0,A833-'难度参数'!$E$21)*'难度参数'!$E$22))*(36+7*7)/(36+7*(D833+1)/2)*E833,0))</x:f>
        <x:v>22604</x:v>
      </x:c>
      <x:c r="AX833" s="119" t="n">
        <x:f>IF(AV833=0,0,(AV833-IF(7=D833,1,0))*ROUND(AW833*VLOOKUP(INDEX('章节与怪物'!$E$31:$K$37,B833,7),'章节与怪物'!$A$41:$F$44,2,FALSE),0)+IF(7=D833,ROUND(AW833*'难度参数'!$E$28*'章节与怪物'!$E$17,0),0))</x:f>
        <x:v>1862547</x:v>
      </x:c>
      <x:c r="AY833" s="119" t="n">
        <x:f>IF(AV833=0,0,(AV833-IF(7=D833,1,0))*VLOOKUP(INDEX('章节与怪物'!$E$31:$K$37,B833,7),'章节与怪物'!$A$41:$F$44,4,FALSE)+IF(7=D833,'难度参数'!$E$30,0))</x:f>
        <x:v>2104</x:v>
      </x:c>
    </x:row>
    <x:row r="834" ht="23" customHeight="1">
      <x:c r="A834" s="119" t="n">
        <x:v>828</x:v>
      </x:c>
      <x:c r="B834" s="119" t="n">
        <x:f>MOD(INT((A834-1)/5),7)+1</x:f>
        <x:v>5</x:v>
      </x:c>
      <x:c r="C834" s="62" t="str">
        <x:f>INDEX('章节与怪物'!$B$31:$B$37,B834)</x:f>
        <x:v>雨林遗迹</x:v>
      </x:c>
      <x:c r="D834" s="119" t="n">
        <x:f>MIN('难度参数'!$E$8,MAX('难度参数'!$E$7,A834))</x:f>
        <x:v>7</x:v>
      </x:c>
      <x:c r="E834" s="106" t="n">
        <x:v>1</x:v>
      </x:c>
      <x:c r="F834" s="106" t="n">
        <x:v>0</x:v>
      </x:c>
      <x:c r="G834" s="106" t="n">
        <x:v>1</x:v>
      </x:c>
      <x:c r="H834" s="119" t="n">
        <x:f>SUM(X834,AB834,AF834,AJ834,AN834,AR834,AV834)</x:f>
        <x:v>347</x:v>
      </x:c>
      <x:c r="I834" s="119" t="n">
        <x:f>SUM(Z834,AD834,AH834,AL834,AP834,AT834,AX834)</x:f>
        <x:v>7751269</x:v>
      </x:c>
      <x:c r="J834" s="119" t="n">
        <x:f>ROUND(INDEX(X834:AY834,1,(D834-1)*4+2)*'难度参数'!$E$28*'章节与怪物'!$E$17,0)</x:f>
        <x:v>153836</x:v>
      </x:c>
      <x:c r="K834" s="119" t="n">
        <x:f>SUM(AA834,AE834,AI834,AM834,AQ834,AU834,AY834)</x:f>
        <x:v>9328</x:v>
      </x:c>
      <x:c r="L834" s="62" t="n">
        <x:f>H834*(ROUNDUP('难度参数'!$E$24/('难度参数'!$E$26*'难度参数'!$E$27),0)*'难度参数'!$E$26)/60</x:f>
        <x:v>4.626666666666667</x:v>
      </x:c>
      <x:c r="M834" s="62" t="n">
        <x:f>L834+D834*('难度参数'!$E$49+'难度参数'!$E$50)/60</x:f>
        <x:v>5.793333333333334</x:v>
      </x:c>
      <x:c r="N834" s="119" t="n">
        <x:f>ROUNDDOWN(('经济参数'!$E$20+A834*'经济参数'!$E$21)*G834,0)</x:f>
        <x:v>16740</x:v>
      </x:c>
      <x:c r="O834" s="119" t="n">
        <x:f>ROUNDDOWN(MIN('经济参数'!$E$24,'经济参数'!$E$22+A834*'经济参数'!$E$23)*G834,0)</x:f>
        <x:v>0</x:v>
      </x:c>
      <x:c r="P834" s="119" t="n">
        <x:f>ROUNDDOWN((IF(A834&gt;='材料与任务'!$E$31,'材料与任务'!$E$32,IF(A834&gt;='材料与任务'!$E$25,'材料与任务'!$E$26,IF(A834&gt;='材料与任务'!$E$19,'材料与任务'!$E$20,IF(A834&gt;='材料与任务'!$E$13,'材料与任务'!$E$14,'材料与任务'!$E$8)))))*G834,0)</x:f>
        <x:v>6</x:v>
      </x:c>
      <x:c r="Q834" s="119" t="n">
        <x:f>ROUNDDOWN((IF(A834&gt;='材料与任务'!$E$31,'材料与任务'!$E$33,IF(A834&gt;='材料与任务'!$E$25,'材料与任务'!$E$27,IF(A834&gt;='材料与任务'!$E$19,'材料与任务'!$E$21,IF(A834&gt;='材料与任务'!$E$13,'材料与任务'!$E$15,'材料与任务'!$E$9)))))*G834,0)</x:f>
        <x:v>3</x:v>
      </x:c>
      <x:c r="R834" s="110" t="n">
        <x:f>'装备掉落'!$B$38</x:f>
        <x:v>0.6872058758851213</x:v>
      </x:c>
      <x:c r="S834" s="119" t="n">
        <x:f>MAX(IF(VLOOKUP(A834,'装备掉落'!$A$29:$H$34,2,TRUE)&gt;0,1,0),IF(VLOOKUP(A834,'装备掉落'!$A$29:$H$34,3,TRUE)&gt;0,2,0),IF(VLOOKUP(A834,'装备掉落'!$A$29:$H$34,4,TRUE)&gt;0,3,0),IF(VLOOKUP(A834,'装备掉落'!$A$29:$H$34,5,TRUE)&gt;0,4,0),IF(VLOOKUP(A834,'装备掉落'!$A$29:$H$34,6,TRUE)&gt;0,5,0),IF(VLOOKUP(A834,'装备掉落'!$A$29:$H$34,7,TRUE)&gt;0,6,0),IF(VLOOKUP(A834,'装备掉落'!$A$29:$H$34,8,TRUE)&gt;0,7,0))</x:f>
        <x:v>7</x:v>
      </x:c>
      <x:c r="T834" s="119" t="n">
        <x:f>MIN(7,S834+'经济参数'!$E$70)</x:f>
        <x:v>7</x:v>
      </x:c>
      <x:c r="U834" s="119" t="n">
        <x:f>MIN(7,S834+'经济参数'!$E$71)</x:f>
        <x:v>7</x:v>
      </x:c>
      <x:c r="V834" s="119" t="n">
        <x:f>IF(H834&gt;=('难度参数'!$E$52),1,0)+IF(H834&gt;=('难度参数'!$E$52+'难度参数'!$E$53),1,0)+IF(H834&gt;=('难度参数'!$E$52+'难度参数'!$E$53+'难度参数'!$E$54),1,0)+IF(H834&gt;=('难度参数'!$E$52+'难度参数'!$E$53+'难度参数'!$E$54+'难度参数'!$E$55),1,0)+IF(H834&gt;=('难度参数'!$E$52+'难度参数'!$E$53+'难度参数'!$E$54+'难度参数'!$E$55+'难度参数'!$E$56),1,0)+IF(H834&gt;=('难度参数'!$E$52+'难度参数'!$E$53+'难度参数'!$E$54+'难度参数'!$E$55+'难度参数'!$E$56+'难度参数'!$E$57),1,0)</x:f>
        <x:v>6</x:v>
      </x:c>
      <x:c r="W834" s="62" t="str">
        <x:f>IF(L834&gt;'难度参数'!$E$51,"仅出怪已超目标","还需实测")</x:f>
        <x:v>仅出怪已超目标</x:v>
      </x:c>
      <x:c r="X834" s="119" t="n">
        <x:f>IF(1&gt;D834,0,MAX(2,MIN('难度参数'!$E$12,ROUND(('难度参数'!$E$18*POWER(A834,'难度参数'!$E$19)/D834*(0.85+0.3*(1-1)/MAX(1,D834-1))),0)+F834)))</x:f>
        <x:v>42</x:v>
      </x:c>
      <x:c r="Y834" s="119" t="n">
        <x:f>IF(1&gt;D834,0,ROUND(('难度参数'!$E$13*POWER(A834,'难度参数'!$E$20)*MIN('难度参数'!$E$23,1+MAX(0,A834-'难度参数'!$E$21)*'难度参数'!$E$22))*(36+1*7)/(36+7*(D834+1)/2)*E834,0))</x:f>
        <x:v>11445</x:v>
      </x:c>
      <x:c r="Z834" s="119" t="n">
        <x:f>IF(X834=0,0,(X834-IF(1=D834,1,0))*ROUND(Y834*VLOOKUP(INDEX('章节与怪物'!$E$31:$K$37,B834,1),'章节与怪物'!$A$41:$F$44,2,FALSE),0)+IF(1=D834,ROUND(Y834*'难度参数'!$E$28*'章节与怪物'!$E$17,0),0))</x:f>
        <x:v>480690</x:v>
      </x:c>
      <x:c r="AA834" s="119" t="n">
        <x:f>IF(X834=0,0,(X834-IF(1=D834,1,0))*VLOOKUP(INDEX('章节与怪物'!$E$31:$K$37,B834,1),'章节与怪物'!$A$41:$F$44,4,FALSE)+IF(1=D834,'难度参数'!$E$30,0))</x:f>
        <x:v>756</x:v>
      </x:c>
      <x:c r="AB834" s="119" t="n">
        <x:f>IF(2&gt;D834,0,MAX(2,MIN('难度参数'!$E$12,ROUND(('难度参数'!$E$18*POWER(A834,'难度参数'!$E$19)/D834*(0.85+0.3*(2-1)/MAX(1,D834-1))),0)+F834)))</x:f>
        <x:v>45</x:v>
      </x:c>
      <x:c r="AC834" s="119" t="n">
        <x:f>IF(2&gt;D834,0,ROUND(('难度参数'!$E$13*POWER(A834,'难度参数'!$E$20)*MIN('难度参数'!$E$23,1+MAX(0,A834-'难度参数'!$E$21)*'难度参数'!$E$22))*(36+2*7)/(36+7*(D834+1)/2)*E834,0))</x:f>
        <x:v>13308</x:v>
      </x:c>
      <x:c r="AD834" s="119" t="n">
        <x:f>IF(AB834=0,0,(AB834-IF(2=D834,1,0))*ROUND(AC834*VLOOKUP(INDEX('章节与怪物'!$E$31:$K$37,B834,2),'章节与怪物'!$A$41:$F$44,2,FALSE),0)+IF(2=D834,ROUND(AC834*'难度参数'!$E$28*'章节与怪物'!$E$17,0),0))</x:f>
        <x:v>431190</x:v>
      </x:c>
      <x:c r="AE834" s="119" t="n">
        <x:f>IF(AB834=0,0,(AB834-IF(2=D834,1,0))*VLOOKUP(INDEX('章节与怪物'!$E$31:$K$37,B834,2),'章节与怪物'!$A$41:$F$44,4,FALSE)+IF(2=D834,'难度参数'!$E$30,0))</x:f>
        <x:v>900</x:v>
      </x:c>
      <x:c r="AF834" s="119" t="n">
        <x:f>IF(3&gt;D834,0,MAX(2,MIN('难度参数'!$E$12,ROUND(('难度参数'!$E$18*POWER(A834,'难度参数'!$E$19)/D834*(0.85+0.3*(3-1)/MAX(1,D834-1))),0)+F834)))</x:f>
        <x:v>47</x:v>
      </x:c>
      <x:c r="AG834" s="119" t="n">
        <x:f>IF(3&gt;D834,0,ROUND(('难度参数'!$E$13*POWER(A834,'难度参数'!$E$20)*MIN('难度参数'!$E$23,1+MAX(0,A834-'难度参数'!$E$21)*'难度参数'!$E$22))*(36+3*7)/(36+7*(D834+1)/2)*E834,0))</x:f>
        <x:v>15171</x:v>
      </x:c>
      <x:c r="AH834" s="119" t="n">
        <x:f>IF(AF834=0,0,(AF834-IF(3=D834,1,0))*ROUND(AG834*VLOOKUP(INDEX('章节与怪物'!$E$31:$K$37,B834,3),'章节与怪物'!$A$41:$F$44,2,FALSE),0)+IF(3=D834,ROUND(AG834*'难度参数'!$E$28*'章节与怪物'!$E$17,0),0))</x:f>
        <x:v>1212177</x:v>
      </x:c>
      <x:c r="AI834" s="119" t="n">
        <x:f>IF(AF834=0,0,(AF834-IF(3=D834,1,0))*VLOOKUP(INDEX('章节与怪物'!$E$31:$K$37,B834,3),'章节与怪物'!$A$41:$F$44,4,FALSE)+IF(3=D834,'难度参数'!$E$30,0))</x:f>
        <x:v>1316</x:v>
      </x:c>
      <x:c r="AJ834" s="119" t="n">
        <x:f>IF(4&gt;D834,0,MAX(2,MIN('难度参数'!$E$12,ROUND(('难度参数'!$E$18*POWER(A834,'难度参数'!$E$19)/D834*(0.85+0.3*(4-1)/MAX(1,D834-1))),0)+F834)))</x:f>
        <x:v>50</x:v>
      </x:c>
      <x:c r="AK834" s="119" t="n">
        <x:f>IF(4&gt;D834,0,ROUND(('难度参数'!$E$13*POWER(A834,'难度参数'!$E$20)*MIN('难度参数'!$E$23,1+MAX(0,A834-'难度参数'!$E$21)*'难度参数'!$E$22))*(36+4*7)/(36+7*(D834+1)/2)*E834,0))</x:f>
        <x:v>17034</x:v>
      </x:c>
      <x:c r="AL834" s="119" t="n">
        <x:f>IF(AJ834=0,0,(AJ834-IF(4=D834,1,0))*ROUND(AK834*VLOOKUP(INDEX('章节与怪物'!$E$31:$K$37,B834,4),'章节与怪物'!$A$41:$F$44,2,FALSE),0)+IF(4=D834,ROUND(AK834*'难度参数'!$E$28*'章节与怪物'!$E$17,0),0))</x:f>
        <x:v>1149800</x:v>
      </x:c>
      <x:c r="AM834" s="119" t="n">
        <x:f>IF(AJ834=0,0,(AJ834-IF(4=D834,1,0))*VLOOKUP(INDEX('章节与怪物'!$E$31:$K$37,B834,4),'章节与怪物'!$A$41:$F$44,4,FALSE)+IF(4=D834,'难度参数'!$E$30,0))</x:f>
        <x:v>1700</x:v>
      </x:c>
      <x:c r="AN834" s="119" t="n">
        <x:f>IF(5&gt;D834,0,MAX(2,MIN('难度参数'!$E$12,ROUND(('难度参数'!$E$18*POWER(A834,'难度参数'!$E$19)/D834*(0.85+0.3*(5-1)/MAX(1,D834-1))),0)+F834)))</x:f>
        <x:v>52</x:v>
      </x:c>
      <x:c r="AO834" s="119" t="n">
        <x:f>IF(5&gt;D834,0,ROUND(('难度参数'!$E$13*POWER(A834,'难度参数'!$E$20)*MIN('难度参数'!$E$23,1+MAX(0,A834-'难度参数'!$E$21)*'难度参数'!$E$22))*(36+5*7)/(36+7*(D834+1)/2)*E834,0))</x:f>
        <x:v>18897</x:v>
      </x:c>
      <x:c r="AP834" s="119" t="n">
        <x:f>IF(AN834=0,0,(AN834-IF(5=D834,1,0))*ROUND(AO834*VLOOKUP(INDEX('章节与怪物'!$E$31:$K$37,B834,5),'章节与怪物'!$A$41:$F$44,2,FALSE),0)+IF(5=D834,ROUND(AO834*'难度参数'!$E$28*'章节与怪物'!$E$17,0),0))</x:f>
        <x:v>707512</x:v>
      </x:c>
      <x:c r="AQ834" s="119" t="n">
        <x:f>IF(AN834=0,0,(AN834-IF(5=D834,1,0))*VLOOKUP(INDEX('章节与怪物'!$E$31:$K$37,B834,5),'章节与怪物'!$A$41:$F$44,4,FALSE)+IF(5=D834,'难度参数'!$E$30,0))</x:f>
        <x:v>1040</x:v>
      </x:c>
      <x:c r="AR834" s="119" t="n">
        <x:f>IF(6&gt;D834,0,MAX(2,MIN('难度参数'!$E$12,ROUND(('难度参数'!$E$18*POWER(A834,'难度参数'!$E$19)/D834*(0.85+0.3*(6-1)/MAX(1,D834-1))),0)+F834)))</x:f>
        <x:v>54</x:v>
      </x:c>
      <x:c r="AS834" s="119" t="n">
        <x:f>IF(6&gt;D834,0,ROUND(('难度参数'!$E$13*POWER(A834,'难度参数'!$E$20)*MIN('难度参数'!$E$23,1+MAX(0,A834-'难度参数'!$E$21)*'难度参数'!$E$22))*(36+6*7)/(36+7*(D834+1)/2)*E834,0))</x:f>
        <x:v>20760</x:v>
      </x:c>
      <x:c r="AT834" s="119" t="n">
        <x:f>IF(AR834=0,0,(AR834-IF(6=D834,1,0))*ROUND(AS834*VLOOKUP(INDEX('章节与怪物'!$E$31:$K$37,B834,6),'章节与怪物'!$A$41:$F$44,2,FALSE),0)+IF(6=D834,ROUND(AS834*'难度参数'!$E$28*'章节与怪物'!$E$17,0),0))</x:f>
        <x:v>1905768</x:v>
      </x:c>
      <x:c r="AU834" s="119" t="n">
        <x:f>IF(AR834=0,0,(AR834-IF(6=D834,1,0))*VLOOKUP(INDEX('章节与怪物'!$E$31:$K$37,B834,6),'章节与怪物'!$A$41:$F$44,4,FALSE)+IF(6=D834,'难度参数'!$E$30,0))</x:f>
        <x:v>1512</x:v>
      </x:c>
      <x:c r="AV834" s="119" t="n">
        <x:f>IF(7&gt;D834,0,MAX(2,MIN('难度参数'!$E$12,ROUND(('难度参数'!$E$18*POWER(A834,'难度参数'!$E$19)/D834*(0.85+0.3*(7-1)/MAX(1,D834-1))),0)+F834)))</x:f>
        <x:v>57</x:v>
      </x:c>
      <x:c r="AW834" s="119" t="n">
        <x:f>IF(7&gt;D834,0,ROUND(('难度参数'!$E$13*POWER(A834,'难度参数'!$E$20)*MIN('难度参数'!$E$23,1+MAX(0,A834-'难度参数'!$E$21)*'难度参数'!$E$22))*(36+7*7)/(36+7*(D834+1)/2)*E834,0))</x:f>
        <x:v>22623</x:v>
      </x:c>
      <x:c r="AX834" s="119" t="n">
        <x:f>IF(AV834=0,0,(AV834-IF(7=D834,1,0))*ROUND(AW834*VLOOKUP(INDEX('章节与怪物'!$E$31:$K$37,B834,7),'章节与怪物'!$A$41:$F$44,2,FALSE),0)+IF(7=D834,ROUND(AW834*'难度参数'!$E$28*'章节与怪物'!$E$17,0),0))</x:f>
        <x:v>1864132</x:v>
      </x:c>
      <x:c r="AY834" s="119" t="n">
        <x:f>IF(AV834=0,0,(AV834-IF(7=D834,1,0))*VLOOKUP(INDEX('章节与怪物'!$E$31:$K$37,B834,7),'章节与怪物'!$A$41:$F$44,4,FALSE)+IF(7=D834,'难度参数'!$E$30,0))</x:f>
        <x:v>2104</x:v>
      </x:c>
    </x:row>
    <x:row r="835" ht="23" customHeight="1">
      <x:c r="A835" s="119" t="n">
        <x:v>829</x:v>
      </x:c>
      <x:c r="B835" s="119" t="n">
        <x:f>MOD(INT((A835-1)/5),7)+1</x:f>
        <x:v>5</x:v>
      </x:c>
      <x:c r="C835" s="62" t="str">
        <x:f>INDEX('章节与怪物'!$B$31:$B$37,B835)</x:f>
        <x:v>雨林遗迹</x:v>
      </x:c>
      <x:c r="D835" s="119" t="n">
        <x:f>MIN('难度参数'!$E$8,MAX('难度参数'!$E$7,A835))</x:f>
        <x:v>7</x:v>
      </x:c>
      <x:c r="E835" s="106" t="n">
        <x:v>1</x:v>
      </x:c>
      <x:c r="F835" s="106" t="n">
        <x:v>0</x:v>
      </x:c>
      <x:c r="G835" s="106" t="n">
        <x:v>1</x:v>
      </x:c>
      <x:c r="H835" s="119" t="n">
        <x:f>SUM(X835,AB835,AF835,AJ835,AN835,AR835,AV835)</x:f>
        <x:v>347</x:v>
      </x:c>
      <x:c r="I835" s="119" t="n">
        <x:f>SUM(Z835,AD835,AH835,AL835,AP835,AT835,AX835)</x:f>
        <x:v>7757977</x:v>
      </x:c>
      <x:c r="J835" s="119" t="n">
        <x:f>ROUND(INDEX(X835:AY835,1,(D835-1)*4+2)*'难度参数'!$E$28*'章节与怪物'!$E$17,0)</x:f>
        <x:v>153972</x:v>
      </x:c>
      <x:c r="K835" s="119" t="n">
        <x:f>SUM(AA835,AE835,AI835,AM835,AQ835,AU835,AY835)</x:f>
        <x:v>9328</x:v>
      </x:c>
      <x:c r="L835" s="62" t="n">
        <x:f>H835*(ROUNDUP('难度参数'!$E$24/('难度参数'!$E$26*'难度参数'!$E$27),0)*'难度参数'!$E$26)/60</x:f>
        <x:v>4.626666666666667</x:v>
      </x:c>
      <x:c r="M835" s="62" t="n">
        <x:f>L835+D835*('难度参数'!$E$49+'难度参数'!$E$50)/60</x:f>
        <x:v>5.793333333333334</x:v>
      </x:c>
      <x:c r="N835" s="119" t="n">
        <x:f>ROUNDDOWN(('经济参数'!$E$20+A835*'经济参数'!$E$21)*G835,0)</x:f>
        <x:v>16760</x:v>
      </x:c>
      <x:c r="O835" s="119" t="n">
        <x:f>ROUNDDOWN(MIN('经济参数'!$E$24,'经济参数'!$E$22+A835*'经济参数'!$E$23)*G835,0)</x:f>
        <x:v>0</x:v>
      </x:c>
      <x:c r="P835" s="119" t="n">
        <x:f>ROUNDDOWN((IF(A835&gt;='材料与任务'!$E$31,'材料与任务'!$E$32,IF(A835&gt;='材料与任务'!$E$25,'材料与任务'!$E$26,IF(A835&gt;='材料与任务'!$E$19,'材料与任务'!$E$20,IF(A835&gt;='材料与任务'!$E$13,'材料与任务'!$E$14,'材料与任务'!$E$8)))))*G835,0)</x:f>
        <x:v>6</x:v>
      </x:c>
      <x:c r="Q835" s="119" t="n">
        <x:f>ROUNDDOWN((IF(A835&gt;='材料与任务'!$E$31,'材料与任务'!$E$33,IF(A835&gt;='材料与任务'!$E$25,'材料与任务'!$E$27,IF(A835&gt;='材料与任务'!$E$19,'材料与任务'!$E$21,IF(A835&gt;='材料与任务'!$E$13,'材料与任务'!$E$15,'材料与任务'!$E$9)))))*G835,0)</x:f>
        <x:v>3</x:v>
      </x:c>
      <x:c r="R835" s="110" t="n">
        <x:f>'装备掉落'!$B$38</x:f>
        <x:v>0.6872058758851213</x:v>
      </x:c>
      <x:c r="S835" s="119" t="n">
        <x:f>MAX(IF(VLOOKUP(A835,'装备掉落'!$A$29:$H$34,2,TRUE)&gt;0,1,0),IF(VLOOKUP(A835,'装备掉落'!$A$29:$H$34,3,TRUE)&gt;0,2,0),IF(VLOOKUP(A835,'装备掉落'!$A$29:$H$34,4,TRUE)&gt;0,3,0),IF(VLOOKUP(A835,'装备掉落'!$A$29:$H$34,5,TRUE)&gt;0,4,0),IF(VLOOKUP(A835,'装备掉落'!$A$29:$H$34,6,TRUE)&gt;0,5,0),IF(VLOOKUP(A835,'装备掉落'!$A$29:$H$34,7,TRUE)&gt;0,6,0),IF(VLOOKUP(A835,'装备掉落'!$A$29:$H$34,8,TRUE)&gt;0,7,0))</x:f>
        <x:v>7</x:v>
      </x:c>
      <x:c r="T835" s="119" t="n">
        <x:f>MIN(7,S835+'经济参数'!$E$70)</x:f>
        <x:v>7</x:v>
      </x:c>
      <x:c r="U835" s="119" t="n">
        <x:f>MIN(7,S835+'经济参数'!$E$71)</x:f>
        <x:v>7</x:v>
      </x:c>
      <x:c r="V835" s="119" t="n">
        <x:f>IF(H835&gt;=('难度参数'!$E$52),1,0)+IF(H835&gt;=('难度参数'!$E$52+'难度参数'!$E$53),1,0)+IF(H835&gt;=('难度参数'!$E$52+'难度参数'!$E$53+'难度参数'!$E$54),1,0)+IF(H835&gt;=('难度参数'!$E$52+'难度参数'!$E$53+'难度参数'!$E$54+'难度参数'!$E$55),1,0)+IF(H835&gt;=('难度参数'!$E$52+'难度参数'!$E$53+'难度参数'!$E$54+'难度参数'!$E$55+'难度参数'!$E$56),1,0)+IF(H835&gt;=('难度参数'!$E$52+'难度参数'!$E$53+'难度参数'!$E$54+'难度参数'!$E$55+'难度参数'!$E$56+'难度参数'!$E$57),1,0)</x:f>
        <x:v>6</x:v>
      </x:c>
      <x:c r="W835" s="62" t="str">
        <x:f>IF(L835&gt;'难度参数'!$E$51,"仅出怪已超目标","还需实测")</x:f>
        <x:v>仅出怪已超目标</x:v>
      </x:c>
      <x:c r="X835" s="119" t="n">
        <x:f>IF(1&gt;D835,0,MAX(2,MIN('难度参数'!$E$12,ROUND(('难度参数'!$E$18*POWER(A835,'难度参数'!$E$19)/D835*(0.85+0.3*(1-1)/MAX(1,D835-1))),0)+F835)))</x:f>
        <x:v>42</x:v>
      </x:c>
      <x:c r="Y835" s="119" t="n">
        <x:f>IF(1&gt;D835,0,ROUND(('难度参数'!$E$13*POWER(A835,'难度参数'!$E$20)*MIN('难度参数'!$E$23,1+MAX(0,A835-'难度参数'!$E$21)*'难度参数'!$E$22))*(36+1*7)/(36+7*(D835+1)/2)*E835,0))</x:f>
        <x:v>11455</x:v>
      </x:c>
      <x:c r="Z835" s="119" t="n">
        <x:f>IF(X835=0,0,(X835-IF(1=D835,1,0))*ROUND(Y835*VLOOKUP(INDEX('章节与怪物'!$E$31:$K$37,B835,1),'章节与怪物'!$A$41:$F$44,2,FALSE),0)+IF(1=D835,ROUND(Y835*'难度参数'!$E$28*'章节与怪物'!$E$17,0),0))</x:f>
        <x:v>481110</x:v>
      </x:c>
      <x:c r="AA835" s="119" t="n">
        <x:f>IF(X835=0,0,(X835-IF(1=D835,1,0))*VLOOKUP(INDEX('章节与怪物'!$E$31:$K$37,B835,1),'章节与怪物'!$A$41:$F$44,4,FALSE)+IF(1=D835,'难度参数'!$E$30,0))</x:f>
        <x:v>756</x:v>
      </x:c>
      <x:c r="AB835" s="119" t="n">
        <x:f>IF(2&gt;D835,0,MAX(2,MIN('难度参数'!$E$12,ROUND(('难度参数'!$E$18*POWER(A835,'难度参数'!$E$19)/D835*(0.85+0.3*(2-1)/MAX(1,D835-1))),0)+F835)))</x:f>
        <x:v>45</x:v>
      </x:c>
      <x:c r="AC835" s="119" t="n">
        <x:f>IF(2&gt;D835,0,ROUND(('难度参数'!$E$13*POWER(A835,'难度参数'!$E$20)*MIN('难度参数'!$E$23,1+MAX(0,A835-'难度参数'!$E$21)*'难度参数'!$E$22))*(36+2*7)/(36+7*(D835+1)/2)*E835,0))</x:f>
        <x:v>13319</x:v>
      </x:c>
      <x:c r="AD835" s="119" t="n">
        <x:f>IF(AB835=0,0,(AB835-IF(2=D835,1,0))*ROUND(AC835*VLOOKUP(INDEX('章节与怪物'!$E$31:$K$37,B835,2),'章节与怪物'!$A$41:$F$44,2,FALSE),0)+IF(2=D835,ROUND(AC835*'难度参数'!$E$28*'章节与怪物'!$E$17,0),0))</x:f>
        <x:v>431550</x:v>
      </x:c>
      <x:c r="AE835" s="119" t="n">
        <x:f>IF(AB835=0,0,(AB835-IF(2=D835,1,0))*VLOOKUP(INDEX('章节与怪物'!$E$31:$K$37,B835,2),'章节与怪物'!$A$41:$F$44,4,FALSE)+IF(2=D835,'难度参数'!$E$30,0))</x:f>
        <x:v>900</x:v>
      </x:c>
      <x:c r="AF835" s="119" t="n">
        <x:f>IF(3&gt;D835,0,MAX(2,MIN('难度参数'!$E$12,ROUND(('难度参数'!$E$18*POWER(A835,'难度参数'!$E$19)/D835*(0.85+0.3*(3-1)/MAX(1,D835-1))),0)+F835)))</x:f>
        <x:v>47</x:v>
      </x:c>
      <x:c r="AG835" s="119" t="n">
        <x:f>IF(3&gt;D835,0,ROUND(('难度参数'!$E$13*POWER(A835,'难度参数'!$E$20)*MIN('难度参数'!$E$23,1+MAX(0,A835-'难度参数'!$E$21)*'难度参数'!$E$22))*(36+3*7)/(36+7*(D835+1)/2)*E835,0))</x:f>
        <x:v>15184</x:v>
      </x:c>
      <x:c r="AH835" s="119" t="n">
        <x:f>IF(AF835=0,0,(AF835-IF(3=D835,1,0))*ROUND(AG835*VLOOKUP(INDEX('章节与怪物'!$E$31:$K$37,B835,3),'章节与怪物'!$A$41:$F$44,2,FALSE),0)+IF(3=D835,ROUND(AG835*'难度参数'!$E$28*'章节与怪物'!$E$17,0),0))</x:f>
        <x:v>1213211</x:v>
      </x:c>
      <x:c r="AI835" s="119" t="n">
        <x:f>IF(AF835=0,0,(AF835-IF(3=D835,1,0))*VLOOKUP(INDEX('章节与怪物'!$E$31:$K$37,B835,3),'章节与怪物'!$A$41:$F$44,4,FALSE)+IF(3=D835,'难度参数'!$E$30,0))</x:f>
        <x:v>1316</x:v>
      </x:c>
      <x:c r="AJ835" s="119" t="n">
        <x:f>IF(4&gt;D835,0,MAX(2,MIN('难度参数'!$E$12,ROUND(('难度参数'!$E$18*POWER(A835,'难度参数'!$E$19)/D835*(0.85+0.3*(4-1)/MAX(1,D835-1))),0)+F835)))</x:f>
        <x:v>50</x:v>
      </x:c>
      <x:c r="AK835" s="119" t="n">
        <x:f>IF(4&gt;D835,0,ROUND(('难度参数'!$E$13*POWER(A835,'难度参数'!$E$20)*MIN('难度参数'!$E$23,1+MAX(0,A835-'难度参数'!$E$21)*'难度参数'!$E$22))*(36+4*7)/(36+7*(D835+1)/2)*E835,0))</x:f>
        <x:v>17049</x:v>
      </x:c>
      <x:c r="AL835" s="119" t="n">
        <x:f>IF(AJ835=0,0,(AJ835-IF(4=D835,1,0))*ROUND(AK835*VLOOKUP(INDEX('章节与怪物'!$E$31:$K$37,B835,4),'章节与怪物'!$A$41:$F$44,2,FALSE),0)+IF(4=D835,ROUND(AK835*'难度参数'!$E$28*'章节与怪物'!$E$17,0),0))</x:f>
        <x:v>1150800</x:v>
      </x:c>
      <x:c r="AM835" s="119" t="n">
        <x:f>IF(AJ835=0,0,(AJ835-IF(4=D835,1,0))*VLOOKUP(INDEX('章节与怪物'!$E$31:$K$37,B835,4),'章节与怪物'!$A$41:$F$44,4,FALSE)+IF(4=D835,'难度参数'!$E$30,0))</x:f>
        <x:v>1700</x:v>
      </x:c>
      <x:c r="AN835" s="119" t="n">
        <x:f>IF(5&gt;D835,0,MAX(2,MIN('难度参数'!$E$12,ROUND(('难度参数'!$E$18*POWER(A835,'难度参数'!$E$19)/D835*(0.85+0.3*(5-1)/MAX(1,D835-1))),0)+F835)))</x:f>
        <x:v>52</x:v>
      </x:c>
      <x:c r="AO835" s="119" t="n">
        <x:f>IF(5&gt;D835,0,ROUND(('难度参数'!$E$13*POWER(A835,'难度参数'!$E$20)*MIN('难度参数'!$E$23,1+MAX(0,A835-'难度参数'!$E$21)*'难度参数'!$E$22))*(36+5*7)/(36+7*(D835+1)/2)*E835,0))</x:f>
        <x:v>18913</x:v>
      </x:c>
      <x:c r="AP835" s="119" t="n">
        <x:f>IF(AN835=0,0,(AN835-IF(5=D835,1,0))*ROUND(AO835*VLOOKUP(INDEX('章节与怪物'!$E$31:$K$37,B835,5),'章节与怪物'!$A$41:$F$44,2,FALSE),0)+IF(5=D835,ROUND(AO835*'难度参数'!$E$28*'章节与怪物'!$E$17,0),0))</x:f>
        <x:v>708084</x:v>
      </x:c>
      <x:c r="AQ835" s="119" t="n">
        <x:f>IF(AN835=0,0,(AN835-IF(5=D835,1,0))*VLOOKUP(INDEX('章节与怪物'!$E$31:$K$37,B835,5),'章节与怪物'!$A$41:$F$44,4,FALSE)+IF(5=D835,'难度参数'!$E$30,0))</x:f>
        <x:v>1040</x:v>
      </x:c>
      <x:c r="AR835" s="119" t="n">
        <x:f>IF(6&gt;D835,0,MAX(2,MIN('难度参数'!$E$12,ROUND(('难度参数'!$E$18*POWER(A835,'难度参数'!$E$19)/D835*(0.85+0.3*(6-1)/MAX(1,D835-1))),0)+F835)))</x:f>
        <x:v>54</x:v>
      </x:c>
      <x:c r="AS835" s="119" t="n">
        <x:f>IF(6&gt;D835,0,ROUND(('难度参数'!$E$13*POWER(A835,'难度参数'!$E$20)*MIN('难度参数'!$E$23,1+MAX(0,A835-'难度参数'!$E$21)*'难度参数'!$E$22))*(36+6*7)/(36+7*(D835+1)/2)*E835,0))</x:f>
        <x:v>20778</x:v>
      </x:c>
      <x:c r="AT835" s="119" t="n">
        <x:f>IF(AR835=0,0,(AR835-IF(6=D835,1,0))*ROUND(AS835*VLOOKUP(INDEX('章节与怪物'!$E$31:$K$37,B835,6),'章节与怪物'!$A$41:$F$44,2,FALSE),0)+IF(6=D835,ROUND(AS835*'难度参数'!$E$28*'章节与怪物'!$E$17,0),0))</x:f>
        <x:v>1907442</x:v>
      </x:c>
      <x:c r="AU835" s="119" t="n">
        <x:f>IF(AR835=0,0,(AR835-IF(6=D835,1,0))*VLOOKUP(INDEX('章节与怪物'!$E$31:$K$37,B835,6),'章节与怪物'!$A$41:$F$44,4,FALSE)+IF(6=D835,'难度参数'!$E$30,0))</x:f>
        <x:v>1512</x:v>
      </x:c>
      <x:c r="AV835" s="119" t="n">
        <x:f>IF(7&gt;D835,0,MAX(2,MIN('难度参数'!$E$12,ROUND(('难度参数'!$E$18*POWER(A835,'难度参数'!$E$19)/D835*(0.85+0.3*(7-1)/MAX(1,D835-1))),0)+F835)))</x:f>
        <x:v>57</x:v>
      </x:c>
      <x:c r="AW835" s="119" t="n">
        <x:f>IF(7&gt;D835,0,ROUND(('难度参数'!$E$13*POWER(A835,'难度参数'!$E$20)*MIN('难度参数'!$E$23,1+MAX(0,A835-'难度参数'!$E$21)*'难度参数'!$E$22))*(36+7*7)/(36+7*(D835+1)/2)*E835,0))</x:f>
        <x:v>22643</x:v>
      </x:c>
      <x:c r="AX835" s="119" t="n">
        <x:f>IF(AV835=0,0,(AV835-IF(7=D835,1,0))*ROUND(AW835*VLOOKUP(INDEX('章节与怪物'!$E$31:$K$37,B835,7),'章节与怪物'!$A$41:$F$44,2,FALSE),0)+IF(7=D835,ROUND(AW835*'难度参数'!$E$28*'章节与怪物'!$E$17,0),0))</x:f>
        <x:v>1865780</x:v>
      </x:c>
      <x:c r="AY835" s="119" t="n">
        <x:f>IF(AV835=0,0,(AV835-IF(7=D835,1,0))*VLOOKUP(INDEX('章节与怪物'!$E$31:$K$37,B835,7),'章节与怪物'!$A$41:$F$44,4,FALSE)+IF(7=D835,'难度参数'!$E$30,0))</x:f>
        <x:v>2104</x:v>
      </x:c>
    </x:row>
    <x:row r="836" ht="23" customHeight="1">
      <x:c r="A836" s="119" t="n">
        <x:v>830</x:v>
      </x:c>
      <x:c r="B836" s="119" t="n">
        <x:f>MOD(INT((A836-1)/5),7)+1</x:f>
        <x:v>5</x:v>
      </x:c>
      <x:c r="C836" s="62" t="str">
        <x:f>INDEX('章节与怪物'!$B$31:$B$37,B836)</x:f>
        <x:v>雨林遗迹</x:v>
      </x:c>
      <x:c r="D836" s="119" t="n">
        <x:f>MIN('难度参数'!$E$8,MAX('难度参数'!$E$7,A836))</x:f>
        <x:v>7</x:v>
      </x:c>
      <x:c r="E836" s="106" t="n">
        <x:v>1</x:v>
      </x:c>
      <x:c r="F836" s="106" t="n">
        <x:v>0</x:v>
      </x:c>
      <x:c r="G836" s="106" t="n">
        <x:v>1</x:v>
      </x:c>
      <x:c r="H836" s="119" t="n">
        <x:f>SUM(X836,AB836,AF836,AJ836,AN836,AR836,AV836)</x:f>
        <x:v>348</x:v>
      </x:c>
      <x:c r="I836" s="119" t="n">
        <x:f>SUM(Z836,AD836,AH836,AL836,AP836,AT836,AX836)</x:f>
        <x:v>7800088</x:v>
      </x:c>
      <x:c r="J836" s="119" t="n">
        <x:f>ROUND(INDEX(X836:AY836,1,(D836-1)*4+2)*'难度参数'!$E$28*'章节与怪物'!$E$17,0)</x:f>
        <x:v>154108</x:v>
      </x:c>
      <x:c r="K836" s="119" t="n">
        <x:f>SUM(AA836,AE836,AI836,AM836,AQ836,AU836,AY836)</x:f>
        <x:v>9356</x:v>
      </x:c>
      <x:c r="L836" s="62" t="n">
        <x:f>H836*(ROUNDUP('难度参数'!$E$24/('难度参数'!$E$26*'难度参数'!$E$27),0)*'难度参数'!$E$26)/60</x:f>
        <x:v>4.640000000000001</x:v>
      </x:c>
      <x:c r="M836" s="62" t="n">
        <x:f>L836+D836*('难度参数'!$E$49+'难度参数'!$E$50)/60</x:f>
        <x:v>5.8066666666666675</x:v>
      </x:c>
      <x:c r="N836" s="119" t="n">
        <x:f>ROUNDDOWN(('经济参数'!$E$20+A836*'经济参数'!$E$21)*G836,0)</x:f>
        <x:v>16780</x:v>
      </x:c>
      <x:c r="O836" s="119" t="n">
        <x:f>ROUNDDOWN(MIN('经济参数'!$E$24,'经济参数'!$E$22+A836*'经济参数'!$E$23)*G836,0)</x:f>
        <x:v>0</x:v>
      </x:c>
      <x:c r="P836" s="119" t="n">
        <x:f>ROUNDDOWN((IF(A836&gt;='材料与任务'!$E$31,'材料与任务'!$E$32,IF(A836&gt;='材料与任务'!$E$25,'材料与任务'!$E$26,IF(A836&gt;='材料与任务'!$E$19,'材料与任务'!$E$20,IF(A836&gt;='材料与任务'!$E$13,'材料与任务'!$E$14,'材料与任务'!$E$8)))))*G836,0)</x:f>
        <x:v>6</x:v>
      </x:c>
      <x:c r="Q836" s="119" t="n">
        <x:f>ROUNDDOWN((IF(A836&gt;='材料与任务'!$E$31,'材料与任务'!$E$33,IF(A836&gt;='材料与任务'!$E$25,'材料与任务'!$E$27,IF(A836&gt;='材料与任务'!$E$19,'材料与任务'!$E$21,IF(A836&gt;='材料与任务'!$E$13,'材料与任务'!$E$15,'材料与任务'!$E$9)))))*G836,0)</x:f>
        <x:v>3</x:v>
      </x:c>
      <x:c r="R836" s="110" t="n">
        <x:f>'装备掉落'!$B$38</x:f>
        <x:v>0.6872058758851213</x:v>
      </x:c>
      <x:c r="S836" s="119" t="n">
        <x:f>MAX(IF(VLOOKUP(A836,'装备掉落'!$A$29:$H$34,2,TRUE)&gt;0,1,0),IF(VLOOKUP(A836,'装备掉落'!$A$29:$H$34,3,TRUE)&gt;0,2,0),IF(VLOOKUP(A836,'装备掉落'!$A$29:$H$34,4,TRUE)&gt;0,3,0),IF(VLOOKUP(A836,'装备掉落'!$A$29:$H$34,5,TRUE)&gt;0,4,0),IF(VLOOKUP(A836,'装备掉落'!$A$29:$H$34,6,TRUE)&gt;0,5,0),IF(VLOOKUP(A836,'装备掉落'!$A$29:$H$34,7,TRUE)&gt;0,6,0),IF(VLOOKUP(A836,'装备掉落'!$A$29:$H$34,8,TRUE)&gt;0,7,0))</x:f>
        <x:v>7</x:v>
      </x:c>
      <x:c r="T836" s="119" t="n">
        <x:f>MIN(7,S836+'经济参数'!$E$70)</x:f>
        <x:v>7</x:v>
      </x:c>
      <x:c r="U836" s="119" t="n">
        <x:f>MIN(7,S836+'经济参数'!$E$71)</x:f>
        <x:v>7</x:v>
      </x:c>
      <x:c r="V836" s="119" t="n">
        <x:f>IF(H836&gt;=('难度参数'!$E$52),1,0)+IF(H836&gt;=('难度参数'!$E$52+'难度参数'!$E$53),1,0)+IF(H836&gt;=('难度参数'!$E$52+'难度参数'!$E$53+'难度参数'!$E$54),1,0)+IF(H836&gt;=('难度参数'!$E$52+'难度参数'!$E$53+'难度参数'!$E$54+'难度参数'!$E$55),1,0)+IF(H836&gt;=('难度参数'!$E$52+'难度参数'!$E$53+'难度参数'!$E$54+'难度参数'!$E$55+'难度参数'!$E$56),1,0)+IF(H836&gt;=('难度参数'!$E$52+'难度参数'!$E$53+'难度参数'!$E$54+'难度参数'!$E$55+'难度参数'!$E$56+'难度参数'!$E$57),1,0)</x:f>
        <x:v>6</x:v>
      </x:c>
      <x:c r="W836" s="62" t="str">
        <x:f>IF(L836&gt;'难度参数'!$E$51,"仅出怪已超目标","还需实测")</x:f>
        <x:v>仅出怪已超目标</x:v>
      </x:c>
      <x:c r="X836" s="119" t="n">
        <x:f>IF(1&gt;D836,0,MAX(2,MIN('难度参数'!$E$12,ROUND(('难度参数'!$E$18*POWER(A836,'难度参数'!$E$19)/D836*(0.85+0.3*(1-1)/MAX(1,D836-1))),0)+F836)))</x:f>
        <x:v>42</x:v>
      </x:c>
      <x:c r="Y836" s="119" t="n">
        <x:f>IF(1&gt;D836,0,ROUND(('难度参数'!$E$13*POWER(A836,'难度参数'!$E$20)*MIN('难度参数'!$E$23,1+MAX(0,A836-'难度参数'!$E$21)*'难度参数'!$E$22))*(36+1*7)/(36+7*(D836+1)/2)*E836,0))</x:f>
        <x:v>11465</x:v>
      </x:c>
      <x:c r="Z836" s="119" t="n">
        <x:f>IF(X836=0,0,(X836-IF(1=D836,1,0))*ROUND(Y836*VLOOKUP(INDEX('章节与怪物'!$E$31:$K$37,B836,1),'章节与怪物'!$A$41:$F$44,2,FALSE),0)+IF(1=D836,ROUND(Y836*'难度参数'!$E$28*'章节与怪物'!$E$17,0),0))</x:f>
        <x:v>481530</x:v>
      </x:c>
      <x:c r="AA836" s="119" t="n">
        <x:f>IF(X836=0,0,(X836-IF(1=D836,1,0))*VLOOKUP(INDEX('章节与怪物'!$E$31:$K$37,B836,1),'章节与怪物'!$A$41:$F$44,4,FALSE)+IF(1=D836,'难度参数'!$E$30,0))</x:f>
        <x:v>756</x:v>
      </x:c>
      <x:c r="AB836" s="119" t="n">
        <x:f>IF(2&gt;D836,0,MAX(2,MIN('难度参数'!$E$12,ROUND(('难度参数'!$E$18*POWER(A836,'难度参数'!$E$19)/D836*(0.85+0.3*(2-1)/MAX(1,D836-1))),0)+F836)))</x:f>
        <x:v>45</x:v>
      </x:c>
      <x:c r="AC836" s="119" t="n">
        <x:f>IF(2&gt;D836,0,ROUND(('难度参数'!$E$13*POWER(A836,'难度参数'!$E$20)*MIN('难度参数'!$E$23,1+MAX(0,A836-'难度参数'!$E$21)*'难度参数'!$E$22))*(36+2*7)/(36+7*(D836+1)/2)*E836,0))</x:f>
        <x:v>13331</x:v>
      </x:c>
      <x:c r="AD836" s="119" t="n">
        <x:f>IF(AB836=0,0,(AB836-IF(2=D836,1,0))*ROUND(AC836*VLOOKUP(INDEX('章节与怪物'!$E$31:$K$37,B836,2),'章节与怪物'!$A$41:$F$44,2,FALSE),0)+IF(2=D836,ROUND(AC836*'难度参数'!$E$28*'章节与怪物'!$E$17,0),0))</x:f>
        <x:v>431910</x:v>
      </x:c>
      <x:c r="AE836" s="119" t="n">
        <x:f>IF(AB836=0,0,(AB836-IF(2=D836,1,0))*VLOOKUP(INDEX('章节与怪物'!$E$31:$K$37,B836,2),'章节与怪物'!$A$41:$F$44,4,FALSE)+IF(2=D836,'难度参数'!$E$30,0))</x:f>
        <x:v>900</x:v>
      </x:c>
      <x:c r="AF836" s="119" t="n">
        <x:f>IF(3&gt;D836,0,MAX(2,MIN('难度参数'!$E$12,ROUND(('难度参数'!$E$18*POWER(A836,'难度参数'!$E$19)/D836*(0.85+0.3*(3-1)/MAX(1,D836-1))),0)+F836)))</x:f>
        <x:v>47</x:v>
      </x:c>
      <x:c r="AG836" s="119" t="n">
        <x:f>IF(3&gt;D836,0,ROUND(('难度参数'!$E$13*POWER(A836,'难度参数'!$E$20)*MIN('难度参数'!$E$23,1+MAX(0,A836-'难度参数'!$E$21)*'难度参数'!$E$22))*(36+3*7)/(36+7*(D836+1)/2)*E836,0))</x:f>
        <x:v>15197</x:v>
      </x:c>
      <x:c r="AH836" s="119" t="n">
        <x:f>IF(AF836=0,0,(AF836-IF(3=D836,1,0))*ROUND(AG836*VLOOKUP(INDEX('章节与怪物'!$E$31:$K$37,B836,3),'章节与怪物'!$A$41:$F$44,2,FALSE),0)+IF(3=D836,ROUND(AG836*'难度参数'!$E$28*'章节与怪物'!$E$17,0),0))</x:f>
        <x:v>1214245</x:v>
      </x:c>
      <x:c r="AI836" s="119" t="n">
        <x:f>IF(AF836=0,0,(AF836-IF(3=D836,1,0))*VLOOKUP(INDEX('章节与怪物'!$E$31:$K$37,B836,3),'章节与怪物'!$A$41:$F$44,4,FALSE)+IF(3=D836,'难度参数'!$E$30,0))</x:f>
        <x:v>1316</x:v>
      </x:c>
      <x:c r="AJ836" s="119" t="n">
        <x:f>IF(4&gt;D836,0,MAX(2,MIN('难度参数'!$E$12,ROUND(('难度参数'!$E$18*POWER(A836,'难度参数'!$E$19)/D836*(0.85+0.3*(4-1)/MAX(1,D836-1))),0)+F836)))</x:f>
        <x:v>50</x:v>
      </x:c>
      <x:c r="AK836" s="119" t="n">
        <x:f>IF(4&gt;D836,0,ROUND(('难度参数'!$E$13*POWER(A836,'难度参数'!$E$20)*MIN('难度参数'!$E$23,1+MAX(0,A836-'难度参数'!$E$21)*'难度参数'!$E$22))*(36+4*7)/(36+7*(D836+1)/2)*E836,0))</x:f>
        <x:v>17064</x:v>
      </x:c>
      <x:c r="AL836" s="119" t="n">
        <x:f>IF(AJ836=0,0,(AJ836-IF(4=D836,1,0))*ROUND(AK836*VLOOKUP(INDEX('章节与怪物'!$E$31:$K$37,B836,4),'章节与怪物'!$A$41:$F$44,2,FALSE),0)+IF(4=D836,ROUND(AK836*'难度参数'!$E$28*'章节与怪物'!$E$17,0),0))</x:f>
        <x:v>1151800</x:v>
      </x:c>
      <x:c r="AM836" s="119" t="n">
        <x:f>IF(AJ836=0,0,(AJ836-IF(4=D836,1,0))*VLOOKUP(INDEX('章节与怪物'!$E$31:$K$37,B836,4),'章节与怪物'!$A$41:$F$44,4,FALSE)+IF(4=D836,'难度参数'!$E$30,0))</x:f>
        <x:v>1700</x:v>
      </x:c>
      <x:c r="AN836" s="119" t="n">
        <x:f>IF(5&gt;D836,0,MAX(2,MIN('难度参数'!$E$12,ROUND(('难度参数'!$E$18*POWER(A836,'难度参数'!$E$19)/D836*(0.85+0.3*(5-1)/MAX(1,D836-1))),0)+F836)))</x:f>
        <x:v>52</x:v>
      </x:c>
      <x:c r="AO836" s="119" t="n">
        <x:f>IF(5&gt;D836,0,ROUND(('难度参数'!$E$13*POWER(A836,'难度参数'!$E$20)*MIN('难度参数'!$E$23,1+MAX(0,A836-'难度参数'!$E$21)*'难度参数'!$E$22))*(36+5*7)/(36+7*(D836+1)/2)*E836,0))</x:f>
        <x:v>18930</x:v>
      </x:c>
      <x:c r="AP836" s="119" t="n">
        <x:f>IF(AN836=0,0,(AN836-IF(5=D836,1,0))*ROUND(AO836*VLOOKUP(INDEX('章节与怪物'!$E$31:$K$37,B836,5),'章节与怪物'!$A$41:$F$44,2,FALSE),0)+IF(5=D836,ROUND(AO836*'难度参数'!$E$28*'章节与怪物'!$E$17,0),0))</x:f>
        <x:v>708760</x:v>
      </x:c>
      <x:c r="AQ836" s="119" t="n">
        <x:f>IF(AN836=0,0,(AN836-IF(5=D836,1,0))*VLOOKUP(INDEX('章节与怪物'!$E$31:$K$37,B836,5),'章节与怪物'!$A$41:$F$44,4,FALSE)+IF(5=D836,'难度参数'!$E$30,0))</x:f>
        <x:v>1040</x:v>
      </x:c>
      <x:c r="AR836" s="119" t="n">
        <x:f>IF(6&gt;D836,0,MAX(2,MIN('难度参数'!$E$12,ROUND(('难度参数'!$E$18*POWER(A836,'难度参数'!$E$19)/D836*(0.85+0.3*(6-1)/MAX(1,D836-1))),0)+F836)))</x:f>
        <x:v>55</x:v>
      </x:c>
      <x:c r="AS836" s="119" t="n">
        <x:f>IF(6&gt;D836,0,ROUND(('难度参数'!$E$13*POWER(A836,'难度参数'!$E$20)*MIN('难度参数'!$E$23,1+MAX(0,A836-'难度参数'!$E$21)*'难度参数'!$E$22))*(36+6*7)/(36+7*(D836+1)/2)*E836,0))</x:f>
        <x:v>20796</x:v>
      </x:c>
      <x:c r="AT836" s="119" t="n">
        <x:f>IF(AR836=0,0,(AR836-IF(6=D836,1,0))*ROUND(AS836*VLOOKUP(INDEX('章节与怪物'!$E$31:$K$37,B836,6),'章节与怪物'!$A$41:$F$44,2,FALSE),0)+IF(6=D836,ROUND(AS836*'难度参数'!$E$28*'章节与怪物'!$E$17,0),0))</x:f>
        <x:v>1944415</x:v>
      </x:c>
      <x:c r="AU836" s="119" t="n">
        <x:f>IF(AR836=0,0,(AR836-IF(6=D836,1,0))*VLOOKUP(INDEX('章节与怪物'!$E$31:$K$37,B836,6),'章节与怪物'!$A$41:$F$44,4,FALSE)+IF(6=D836,'难度参数'!$E$30,0))</x:f>
        <x:v>1540</x:v>
      </x:c>
      <x:c r="AV836" s="119" t="n">
        <x:f>IF(7&gt;D836,0,MAX(2,MIN('难度参数'!$E$12,ROUND(('难度参数'!$E$18*POWER(A836,'难度参数'!$E$19)/D836*(0.85+0.3*(7-1)/MAX(1,D836-1))),0)+F836)))</x:f>
        <x:v>57</x:v>
      </x:c>
      <x:c r="AW836" s="119" t="n">
        <x:f>IF(7&gt;D836,0,ROUND(('难度参数'!$E$13*POWER(A836,'难度参数'!$E$20)*MIN('难度参数'!$E$23,1+MAX(0,A836-'难度参数'!$E$21)*'难度参数'!$E$22))*(36+7*7)/(36+7*(D836+1)/2)*E836,0))</x:f>
        <x:v>22663</x:v>
      </x:c>
      <x:c r="AX836" s="119" t="n">
        <x:f>IF(AV836=0,0,(AV836-IF(7=D836,1,0))*ROUND(AW836*VLOOKUP(INDEX('章节与怪物'!$E$31:$K$37,B836,7),'章节与怪物'!$A$41:$F$44,2,FALSE),0)+IF(7=D836,ROUND(AW836*'难度参数'!$E$28*'章节与怪物'!$E$17,0),0))</x:f>
        <x:v>1867428</x:v>
      </x:c>
      <x:c r="AY836" s="119" t="n">
        <x:f>IF(AV836=0,0,(AV836-IF(7=D836,1,0))*VLOOKUP(INDEX('章节与怪物'!$E$31:$K$37,B836,7),'章节与怪物'!$A$41:$F$44,4,FALSE)+IF(7=D836,'难度参数'!$E$30,0))</x:f>
        <x:v>2104</x:v>
      </x:c>
    </x:row>
    <x:row r="837" ht="23" customHeight="1">
      <x:c r="A837" s="119" t="n">
        <x:v>831</x:v>
      </x:c>
      <x:c r="B837" s="119" t="n">
        <x:f>MOD(INT((A837-1)/5),7)+1</x:f>
        <x:v>6</x:v>
      </x:c>
      <x:c r="C837" s="62" t="str">
        <x:f>INDEX('章节与怪物'!$B$31:$B$37,B837)</x:f>
        <x:v>熔岩山脉</x:v>
      </x:c>
      <x:c r="D837" s="119" t="n">
        <x:f>MIN('难度参数'!$E$8,MAX('难度参数'!$E$7,A837))</x:f>
        <x:v>7</x:v>
      </x:c>
      <x:c r="E837" s="106" t="n">
        <x:v>1</x:v>
      </x:c>
      <x:c r="F837" s="106" t="n">
        <x:v>0</x:v>
      </x:c>
      <x:c r="G837" s="106" t="n">
        <x:v>1</x:v>
      </x:c>
      <x:c r="H837" s="119" t="n">
        <x:f>SUM(X837,AB837,AF837,AJ837,AN837,AR837,AV837)</x:f>
        <x:v>348</x:v>
      </x:c>
      <x:c r="I837" s="119" t="n">
        <x:f>SUM(Z837,AD837,AH837,AL837,AP837,AT837,AX837)</x:f>
        <x:v>8115749</x:v>
      </x:c>
      <x:c r="J837" s="119" t="n">
        <x:f>ROUND(INDEX(X837:AY837,1,(D837-1)*4+2)*'难度参数'!$E$28*'章节与怪物'!$E$17,0)</x:f>
        <x:v>154238</x:v>
      </x:c>
      <x:c r="K837" s="119" t="n">
        <x:f>SUM(AA837,AE837,AI837,AM837,AQ837,AU837,AY837)</x:f>
        <x:v>9246</x:v>
      </x:c>
      <x:c r="L837" s="62" t="n">
        <x:f>H837*(ROUNDUP('难度参数'!$E$24/('难度参数'!$E$26*'难度参数'!$E$27),0)*'难度参数'!$E$26)/60</x:f>
        <x:v>4.640000000000001</x:v>
      </x:c>
      <x:c r="M837" s="62" t="n">
        <x:f>L837+D837*('难度参数'!$E$49+'难度参数'!$E$50)/60</x:f>
        <x:v>5.8066666666666675</x:v>
      </x:c>
      <x:c r="N837" s="119" t="n">
        <x:f>ROUNDDOWN(('经济参数'!$E$20+A837*'经济参数'!$E$21)*G837,0)</x:f>
        <x:v>16800</x:v>
      </x:c>
      <x:c r="O837" s="119" t="n">
        <x:f>ROUNDDOWN(MIN('经济参数'!$E$24,'经济参数'!$E$22+A837*'经济参数'!$E$23)*G837,0)</x:f>
        <x:v>0</x:v>
      </x:c>
      <x:c r="P837" s="119" t="n">
        <x:f>ROUNDDOWN((IF(A837&gt;='材料与任务'!$E$31,'材料与任务'!$E$32,IF(A837&gt;='材料与任务'!$E$25,'材料与任务'!$E$26,IF(A837&gt;='材料与任务'!$E$19,'材料与任务'!$E$20,IF(A837&gt;='材料与任务'!$E$13,'材料与任务'!$E$14,'材料与任务'!$E$8)))))*G837,0)</x:f>
        <x:v>6</x:v>
      </x:c>
      <x:c r="Q837" s="119" t="n">
        <x:f>ROUNDDOWN((IF(A837&gt;='材料与任务'!$E$31,'材料与任务'!$E$33,IF(A837&gt;='材料与任务'!$E$25,'材料与任务'!$E$27,IF(A837&gt;='材料与任务'!$E$19,'材料与任务'!$E$21,IF(A837&gt;='材料与任务'!$E$13,'材料与任务'!$E$15,'材料与任务'!$E$9)))))*G837,0)</x:f>
        <x:v>3</x:v>
      </x:c>
      <x:c r="R837" s="110" t="n">
        <x:f>'装备掉落'!$B$38</x:f>
        <x:v>0.6872058758851213</x:v>
      </x:c>
      <x:c r="S837" s="119" t="n">
        <x:f>MAX(IF(VLOOKUP(A837,'装备掉落'!$A$29:$H$34,2,TRUE)&gt;0,1,0),IF(VLOOKUP(A837,'装备掉落'!$A$29:$H$34,3,TRUE)&gt;0,2,0),IF(VLOOKUP(A837,'装备掉落'!$A$29:$H$34,4,TRUE)&gt;0,3,0),IF(VLOOKUP(A837,'装备掉落'!$A$29:$H$34,5,TRUE)&gt;0,4,0),IF(VLOOKUP(A837,'装备掉落'!$A$29:$H$34,6,TRUE)&gt;0,5,0),IF(VLOOKUP(A837,'装备掉落'!$A$29:$H$34,7,TRUE)&gt;0,6,0),IF(VLOOKUP(A837,'装备掉落'!$A$29:$H$34,8,TRUE)&gt;0,7,0))</x:f>
        <x:v>7</x:v>
      </x:c>
      <x:c r="T837" s="119" t="n">
        <x:f>MIN(7,S837+'经济参数'!$E$70)</x:f>
        <x:v>7</x:v>
      </x:c>
      <x:c r="U837" s="119" t="n">
        <x:f>MIN(7,S837+'经济参数'!$E$71)</x:f>
        <x:v>7</x:v>
      </x:c>
      <x:c r="V837" s="119" t="n">
        <x:f>IF(H837&gt;=('难度参数'!$E$52),1,0)+IF(H837&gt;=('难度参数'!$E$52+'难度参数'!$E$53),1,0)+IF(H837&gt;=('难度参数'!$E$52+'难度参数'!$E$53+'难度参数'!$E$54),1,0)+IF(H837&gt;=('难度参数'!$E$52+'难度参数'!$E$53+'难度参数'!$E$54+'难度参数'!$E$55),1,0)+IF(H837&gt;=('难度参数'!$E$52+'难度参数'!$E$53+'难度参数'!$E$54+'难度参数'!$E$55+'难度参数'!$E$56),1,0)+IF(H837&gt;=('难度参数'!$E$52+'难度参数'!$E$53+'难度参数'!$E$54+'难度参数'!$E$55+'难度参数'!$E$56+'难度参数'!$E$57),1,0)</x:f>
        <x:v>6</x:v>
      </x:c>
      <x:c r="W837" s="62" t="str">
        <x:f>IF(L837&gt;'难度参数'!$E$51,"仅出怪已超目标","还需实测")</x:f>
        <x:v>仅出怪已超目标</x:v>
      </x:c>
      <x:c r="X837" s="119" t="n">
        <x:f>IF(1&gt;D837,0,MAX(2,MIN('难度参数'!$E$12,ROUND(('难度参数'!$E$18*POWER(A837,'难度参数'!$E$19)/D837*(0.85+0.3*(1-1)/MAX(1,D837-1))),0)+F837)))</x:f>
        <x:v>42</x:v>
      </x:c>
      <x:c r="Y837" s="119" t="n">
        <x:f>IF(1&gt;D837,0,ROUND(('难度参数'!$E$13*POWER(A837,'难度参数'!$E$20)*MIN('难度参数'!$E$23,1+MAX(0,A837-'难度参数'!$E$21)*'难度参数'!$E$22))*(36+1*7)/(36+7*(D837+1)/2)*E837,0))</x:f>
        <x:v>11475</x:v>
      </x:c>
      <x:c r="Z837" s="119" t="n">
        <x:f>IF(X837=0,0,(X837-IF(1=D837,1,0))*ROUND(Y837*VLOOKUP(INDEX('章节与怪物'!$E$31:$K$37,B837,1),'章节与怪物'!$A$41:$F$44,2,FALSE),0)+IF(1=D837,ROUND(Y837*'难度参数'!$E$28*'章节与怪物'!$E$17,0),0))</x:f>
        <x:v>347004</x:v>
      </x:c>
      <x:c r="AA837" s="119" t="n">
        <x:f>IF(X837=0,0,(X837-IF(1=D837,1,0))*VLOOKUP(INDEX('章节与怪物'!$E$31:$K$37,B837,1),'章节与怪物'!$A$41:$F$44,4,FALSE)+IF(1=D837,'难度参数'!$E$30,0))</x:f>
        <x:v>840</x:v>
      </x:c>
      <x:c r="AB837" s="119" t="n">
        <x:f>IF(2&gt;D837,0,MAX(2,MIN('难度参数'!$E$12,ROUND(('难度参数'!$E$18*POWER(A837,'难度参数'!$E$19)/D837*(0.85+0.3*(2-1)/MAX(1,D837-1))),0)+F837)))</x:f>
        <x:v>45</x:v>
      </x:c>
      <x:c r="AC837" s="119" t="n">
        <x:f>IF(2&gt;D837,0,ROUND(('难度参数'!$E$13*POWER(A837,'难度参数'!$E$20)*MIN('难度参数'!$E$23,1+MAX(0,A837-'难度参数'!$E$21)*'难度参数'!$E$22))*(36+2*7)/(36+7*(D837+1)/2)*E837,0))</x:f>
        <x:v>13342</x:v>
      </x:c>
      <x:c r="AD837" s="119" t="n">
        <x:f>IF(AB837=0,0,(AB837-IF(2=D837,1,0))*ROUND(AC837*VLOOKUP(INDEX('章节与怪物'!$E$31:$K$37,B837,2),'章节与怪物'!$A$41:$F$44,2,FALSE),0)+IF(2=D837,ROUND(AC837*'难度参数'!$E$28*'章节与怪物'!$E$17,0),0))</x:f>
        <x:v>600390</x:v>
      </x:c>
      <x:c r="AE837" s="119" t="n">
        <x:f>IF(AB837=0,0,(AB837-IF(2=D837,1,0))*VLOOKUP(INDEX('章节与怪物'!$E$31:$K$37,B837,2),'章节与怪物'!$A$41:$F$44,4,FALSE)+IF(2=D837,'难度参数'!$E$30,0))</x:f>
        <x:v>810</x:v>
      </x:c>
      <x:c r="AF837" s="119" t="n">
        <x:f>IF(3&gt;D837,0,MAX(2,MIN('难度参数'!$E$12,ROUND(('难度参数'!$E$18*POWER(A837,'难度参数'!$E$19)/D837*(0.85+0.3*(3-1)/MAX(1,D837-1))),0)+F837)))</x:f>
        <x:v>47</x:v>
      </x:c>
      <x:c r="AG837" s="119" t="n">
        <x:f>IF(3&gt;D837,0,ROUND(('难度参数'!$E$13*POWER(A837,'难度参数'!$E$20)*MIN('难度参数'!$E$23,1+MAX(0,A837-'难度参数'!$E$21)*'难度参数'!$E$22))*(36+3*7)/(36+7*(D837+1)/2)*E837,0))</x:f>
        <x:v>15210</x:v>
      </x:c>
      <x:c r="AH837" s="119" t="n">
        <x:f>IF(AF837=0,0,(AF837-IF(3=D837,1,0))*ROUND(AG837*VLOOKUP(INDEX('章节与怪物'!$E$31:$K$37,B837,3),'章节与怪物'!$A$41:$F$44,2,FALSE),0)+IF(3=D837,ROUND(AG837*'难度参数'!$E$28*'章节与怪物'!$E$17,0),0))</x:f>
        <x:v>1215279</x:v>
      </x:c>
      <x:c r="AI837" s="119" t="n">
        <x:f>IF(AF837=0,0,(AF837-IF(3=D837,1,0))*VLOOKUP(INDEX('章节与怪物'!$E$31:$K$37,B837,3),'章节与怪物'!$A$41:$F$44,4,FALSE)+IF(3=D837,'难度参数'!$E$30,0))</x:f>
        <x:v>1316</x:v>
      </x:c>
      <x:c r="AJ837" s="119" t="n">
        <x:f>IF(4&gt;D837,0,MAX(2,MIN('难度参数'!$E$12,ROUND(('难度参数'!$E$18*POWER(A837,'难度参数'!$E$19)/D837*(0.85+0.3*(4-1)/MAX(1,D837-1))),0)+F837)))</x:f>
        <x:v>50</x:v>
      </x:c>
      <x:c r="AK837" s="119" t="n">
        <x:f>IF(4&gt;D837,0,ROUND(('难度参数'!$E$13*POWER(A837,'难度参数'!$E$20)*MIN('难度参数'!$E$23,1+MAX(0,A837-'难度参数'!$E$21)*'难度参数'!$E$22))*(36+4*7)/(36+7*(D837+1)/2)*E837,0))</x:f>
        <x:v>17078</x:v>
      </x:c>
      <x:c r="AL837" s="119" t="n">
        <x:f>IF(AJ837=0,0,(AJ837-IF(4=D837,1,0))*ROUND(AK837*VLOOKUP(INDEX('章节与怪物'!$E$31:$K$37,B837,4),'章节与怪物'!$A$41:$F$44,2,FALSE),0)+IF(4=D837,ROUND(AK837*'难度参数'!$E$28*'章节与怪物'!$E$17,0),0))</x:f>
        <x:v>1152750</x:v>
      </x:c>
      <x:c r="AM837" s="119" t="n">
        <x:f>IF(AJ837=0,0,(AJ837-IF(4=D837,1,0))*VLOOKUP(INDEX('章节与怪物'!$E$31:$K$37,B837,4),'章节与怪物'!$A$41:$F$44,4,FALSE)+IF(4=D837,'难度参数'!$E$30,0))</x:f>
        <x:v>1700</x:v>
      </x:c>
      <x:c r="AN837" s="119" t="n">
        <x:f>IF(5&gt;D837,0,MAX(2,MIN('难度参数'!$E$12,ROUND(('难度参数'!$E$18*POWER(A837,'难度参数'!$E$19)/D837*(0.85+0.3*(5-1)/MAX(1,D837-1))),0)+F837)))</x:f>
        <x:v>52</x:v>
      </x:c>
      <x:c r="AO837" s="119" t="n">
        <x:f>IF(5&gt;D837,0,ROUND(('难度参数'!$E$13*POWER(A837,'难度参数'!$E$20)*MIN('难度参数'!$E$23,1+MAX(0,A837-'难度参数'!$E$21)*'难度参数'!$E$22))*(36+5*7)/(36+7*(D837+1)/2)*E837,0))</x:f>
        <x:v>18946</x:v>
      </x:c>
      <x:c r="AP837" s="119" t="n">
        <x:f>IF(AN837=0,0,(AN837-IF(5=D837,1,0))*ROUND(AO837*VLOOKUP(INDEX('章节与怪物'!$E$31:$K$37,B837,5),'章节与怪物'!$A$41:$F$44,2,FALSE),0)+IF(5=D837,ROUND(AO837*'难度参数'!$E$28*'章节与怪物'!$E$17,0),0))</x:f>
        <x:v>985192</x:v>
      </x:c>
      <x:c r="AQ837" s="119" t="n">
        <x:f>IF(AN837=0,0,(AN837-IF(5=D837,1,0))*VLOOKUP(INDEX('章节与怪物'!$E$31:$K$37,B837,5),'章节与怪物'!$A$41:$F$44,4,FALSE)+IF(5=D837,'难度参数'!$E$30,0))</x:f>
        <x:v>936</x:v>
      </x:c>
      <x:c r="AR837" s="119" t="n">
        <x:f>IF(6&gt;D837,0,MAX(2,MIN('难度参数'!$E$12,ROUND(('难度参数'!$E$18*POWER(A837,'难度参数'!$E$19)/D837*(0.85+0.3*(6-1)/MAX(1,D837-1))),0)+F837)))</x:f>
        <x:v>55</x:v>
      </x:c>
      <x:c r="AS837" s="119" t="n">
        <x:f>IF(6&gt;D837,0,ROUND(('难度参数'!$E$13*POWER(A837,'难度参数'!$E$20)*MIN('难度参数'!$E$23,1+MAX(0,A837-'难度参数'!$E$21)*'难度参数'!$E$22))*(36+6*7)/(36+7*(D837+1)/2)*E837,0))</x:f>
        <x:v>20814</x:v>
      </x:c>
      <x:c r="AT837" s="119" t="n">
        <x:f>IF(AR837=0,0,(AR837-IF(6=D837,1,0))*ROUND(AS837*VLOOKUP(INDEX('章节与怪物'!$E$31:$K$37,B837,6),'章节与怪物'!$A$41:$F$44,2,FALSE),0)+IF(6=D837,ROUND(AS837*'难度参数'!$E$28*'章节与怪物'!$E$17,0),0))</x:f>
        <x:v>1946120</x:v>
      </x:c>
      <x:c r="AU837" s="119" t="n">
        <x:f>IF(AR837=0,0,(AR837-IF(6=D837,1,0))*VLOOKUP(INDEX('章节与怪物'!$E$31:$K$37,B837,6),'章节与怪物'!$A$41:$F$44,4,FALSE)+IF(6=D837,'难度参数'!$E$30,0))</x:f>
        <x:v>1540</x:v>
      </x:c>
      <x:c r="AV837" s="119" t="n">
        <x:f>IF(7&gt;D837,0,MAX(2,MIN('难度参数'!$E$12,ROUND(('难度参数'!$E$18*POWER(A837,'难度参数'!$E$19)/D837*(0.85+0.3*(7-1)/MAX(1,D837-1))),0)+F837)))</x:f>
        <x:v>57</x:v>
      </x:c>
      <x:c r="AW837" s="119" t="n">
        <x:f>IF(7&gt;D837,0,ROUND(('难度参数'!$E$13*POWER(A837,'难度参数'!$E$20)*MIN('难度参数'!$E$23,1+MAX(0,A837-'难度参数'!$E$21)*'难度参数'!$E$22))*(36+7*7)/(36+7*(D837+1)/2)*E837,0))</x:f>
        <x:v>22682</x:v>
      </x:c>
      <x:c r="AX837" s="119" t="n">
        <x:f>IF(AV837=0,0,(AV837-IF(7=D837,1,0))*ROUND(AW837*VLOOKUP(INDEX('章节与怪物'!$E$31:$K$37,B837,7),'章节与怪物'!$A$41:$F$44,2,FALSE),0)+IF(7=D837,ROUND(AW837*'难度参数'!$E$28*'章节与怪物'!$E$17,0),0))</x:f>
        <x:v>1869014</x:v>
      </x:c>
      <x:c r="AY837" s="119" t="n">
        <x:f>IF(AV837=0,0,(AV837-IF(7=D837,1,0))*VLOOKUP(INDEX('章节与怪物'!$E$31:$K$37,B837,7),'章节与怪物'!$A$41:$F$44,4,FALSE)+IF(7=D837,'难度参数'!$E$30,0))</x:f>
        <x:v>2104</x:v>
      </x:c>
    </x:row>
    <x:row r="838" ht="23" customHeight="1">
      <x:c r="A838" s="119" t="n">
        <x:v>832</x:v>
      </x:c>
      <x:c r="B838" s="119" t="n">
        <x:f>MOD(INT((A838-1)/5),7)+1</x:f>
        <x:v>6</x:v>
      </x:c>
      <x:c r="C838" s="62" t="str">
        <x:f>INDEX('章节与怪物'!$B$31:$B$37,B838)</x:f>
        <x:v>熔岩山脉</x:v>
      </x:c>
      <x:c r="D838" s="119" t="n">
        <x:f>MIN('难度参数'!$E$8,MAX('难度参数'!$E$7,A838))</x:f>
        <x:v>7</x:v>
      </x:c>
      <x:c r="E838" s="106" t="n">
        <x:v>1</x:v>
      </x:c>
      <x:c r="F838" s="106" t="n">
        <x:v>0</x:v>
      </x:c>
      <x:c r="G838" s="106" t="n">
        <x:v>1</x:v>
      </x:c>
      <x:c r="H838" s="119" t="n">
        <x:f>SUM(X838,AB838,AF838,AJ838,AN838,AR838,AV838)</x:f>
        <x:v>348</x:v>
      </x:c>
      <x:c r="I838" s="119" t="n">
        <x:f>SUM(Z838,AD838,AH838,AL838,AP838,AT838,AX838)</x:f>
        <x:v>8122901</x:v>
      </x:c>
      <x:c r="J838" s="119" t="n">
        <x:f>ROUND(INDEX(X838:AY838,1,(D838-1)*4+2)*'难度参数'!$E$28*'章节与怪物'!$E$17,0)</x:f>
        <x:v>154374</x:v>
      </x:c>
      <x:c r="K838" s="119" t="n">
        <x:f>SUM(AA838,AE838,AI838,AM838,AQ838,AU838,AY838)</x:f>
        <x:v>9246</x:v>
      </x:c>
      <x:c r="L838" s="62" t="n">
        <x:f>H838*(ROUNDUP('难度参数'!$E$24/('难度参数'!$E$26*'难度参数'!$E$27),0)*'难度参数'!$E$26)/60</x:f>
        <x:v>4.640000000000001</x:v>
      </x:c>
      <x:c r="M838" s="62" t="n">
        <x:f>L838+D838*('难度参数'!$E$49+'难度参数'!$E$50)/60</x:f>
        <x:v>5.8066666666666675</x:v>
      </x:c>
      <x:c r="N838" s="119" t="n">
        <x:f>ROUNDDOWN(('经济参数'!$E$20+A838*'经济参数'!$E$21)*G838,0)</x:f>
        <x:v>16820</x:v>
      </x:c>
      <x:c r="O838" s="119" t="n">
        <x:f>ROUNDDOWN(MIN('经济参数'!$E$24,'经济参数'!$E$22+A838*'经济参数'!$E$23)*G838,0)</x:f>
        <x:v>0</x:v>
      </x:c>
      <x:c r="P838" s="119" t="n">
        <x:f>ROUNDDOWN((IF(A838&gt;='材料与任务'!$E$31,'材料与任务'!$E$32,IF(A838&gt;='材料与任务'!$E$25,'材料与任务'!$E$26,IF(A838&gt;='材料与任务'!$E$19,'材料与任务'!$E$20,IF(A838&gt;='材料与任务'!$E$13,'材料与任务'!$E$14,'材料与任务'!$E$8)))))*G838,0)</x:f>
        <x:v>6</x:v>
      </x:c>
      <x:c r="Q838" s="119" t="n">
        <x:f>ROUNDDOWN((IF(A838&gt;='材料与任务'!$E$31,'材料与任务'!$E$33,IF(A838&gt;='材料与任务'!$E$25,'材料与任务'!$E$27,IF(A838&gt;='材料与任务'!$E$19,'材料与任务'!$E$21,IF(A838&gt;='材料与任务'!$E$13,'材料与任务'!$E$15,'材料与任务'!$E$9)))))*G838,0)</x:f>
        <x:v>3</x:v>
      </x:c>
      <x:c r="R838" s="110" t="n">
        <x:f>'装备掉落'!$B$38</x:f>
        <x:v>0.6872058758851213</x:v>
      </x:c>
      <x:c r="S838" s="119" t="n">
        <x:f>MAX(IF(VLOOKUP(A838,'装备掉落'!$A$29:$H$34,2,TRUE)&gt;0,1,0),IF(VLOOKUP(A838,'装备掉落'!$A$29:$H$34,3,TRUE)&gt;0,2,0),IF(VLOOKUP(A838,'装备掉落'!$A$29:$H$34,4,TRUE)&gt;0,3,0),IF(VLOOKUP(A838,'装备掉落'!$A$29:$H$34,5,TRUE)&gt;0,4,0),IF(VLOOKUP(A838,'装备掉落'!$A$29:$H$34,6,TRUE)&gt;0,5,0),IF(VLOOKUP(A838,'装备掉落'!$A$29:$H$34,7,TRUE)&gt;0,6,0),IF(VLOOKUP(A838,'装备掉落'!$A$29:$H$34,8,TRUE)&gt;0,7,0))</x:f>
        <x:v>7</x:v>
      </x:c>
      <x:c r="T838" s="119" t="n">
        <x:f>MIN(7,S838+'经济参数'!$E$70)</x:f>
        <x:v>7</x:v>
      </x:c>
      <x:c r="U838" s="119" t="n">
        <x:f>MIN(7,S838+'经济参数'!$E$71)</x:f>
        <x:v>7</x:v>
      </x:c>
      <x:c r="V838" s="119" t="n">
        <x:f>IF(H838&gt;=('难度参数'!$E$52),1,0)+IF(H838&gt;=('难度参数'!$E$52+'难度参数'!$E$53),1,0)+IF(H838&gt;=('难度参数'!$E$52+'难度参数'!$E$53+'难度参数'!$E$54),1,0)+IF(H838&gt;=('难度参数'!$E$52+'难度参数'!$E$53+'难度参数'!$E$54+'难度参数'!$E$55),1,0)+IF(H838&gt;=('难度参数'!$E$52+'难度参数'!$E$53+'难度参数'!$E$54+'难度参数'!$E$55+'难度参数'!$E$56),1,0)+IF(H838&gt;=('难度参数'!$E$52+'难度参数'!$E$53+'难度参数'!$E$54+'难度参数'!$E$55+'难度参数'!$E$56+'难度参数'!$E$57),1,0)</x:f>
        <x:v>6</x:v>
      </x:c>
      <x:c r="W838" s="62" t="str">
        <x:f>IF(L838&gt;'难度参数'!$E$51,"仅出怪已超目标","还需实测")</x:f>
        <x:v>仅出怪已超目标</x:v>
      </x:c>
      <x:c r="X838" s="119" t="n">
        <x:f>IF(1&gt;D838,0,MAX(2,MIN('难度参数'!$E$12,ROUND(('难度参数'!$E$18*POWER(A838,'难度参数'!$E$19)/D838*(0.85+0.3*(1-1)/MAX(1,D838-1))),0)+F838)))</x:f>
        <x:v>42</x:v>
      </x:c>
      <x:c r="Y838" s="119" t="n">
        <x:f>IF(1&gt;D838,0,ROUND(('难度参数'!$E$13*POWER(A838,'难度参数'!$E$20)*MIN('难度参数'!$E$23,1+MAX(0,A838-'难度参数'!$E$21)*'难度参数'!$E$22))*(36+1*7)/(36+7*(D838+1)/2)*E838,0))</x:f>
        <x:v>11484</x:v>
      </x:c>
      <x:c r="Z838" s="119" t="n">
        <x:f>IF(X838=0,0,(X838-IF(1=D838,1,0))*ROUND(Y838*VLOOKUP(INDEX('章节与怪物'!$E$31:$K$37,B838,1),'章节与怪物'!$A$41:$F$44,2,FALSE),0)+IF(1=D838,ROUND(Y838*'难度参数'!$E$28*'章节与怪物'!$E$17,0),0))</x:f>
        <x:v>347256</x:v>
      </x:c>
      <x:c r="AA838" s="119" t="n">
        <x:f>IF(X838=0,0,(X838-IF(1=D838,1,0))*VLOOKUP(INDEX('章节与怪物'!$E$31:$K$37,B838,1),'章节与怪物'!$A$41:$F$44,4,FALSE)+IF(1=D838,'难度参数'!$E$30,0))</x:f>
        <x:v>840</x:v>
      </x:c>
      <x:c r="AB838" s="119" t="n">
        <x:f>IF(2&gt;D838,0,MAX(2,MIN('难度参数'!$E$12,ROUND(('难度参数'!$E$18*POWER(A838,'难度参数'!$E$19)/D838*(0.85+0.3*(2-1)/MAX(1,D838-1))),0)+F838)))</x:f>
        <x:v>45</x:v>
      </x:c>
      <x:c r="AC838" s="119" t="n">
        <x:f>IF(2&gt;D838,0,ROUND(('难度参数'!$E$13*POWER(A838,'难度参数'!$E$20)*MIN('难度参数'!$E$23,1+MAX(0,A838-'难度参数'!$E$21)*'难度参数'!$E$22))*(36+2*7)/(36+7*(D838+1)/2)*E838,0))</x:f>
        <x:v>13354</x:v>
      </x:c>
      <x:c r="AD838" s="119" t="n">
        <x:f>IF(AB838=0,0,(AB838-IF(2=D838,1,0))*ROUND(AC838*VLOOKUP(INDEX('章节与怪物'!$E$31:$K$37,B838,2),'章节与怪物'!$A$41:$F$44,2,FALSE),0)+IF(2=D838,ROUND(AC838*'难度参数'!$E$28*'章节与怪物'!$E$17,0),0))</x:f>
        <x:v>600930</x:v>
      </x:c>
      <x:c r="AE838" s="119" t="n">
        <x:f>IF(AB838=0,0,(AB838-IF(2=D838,1,0))*VLOOKUP(INDEX('章节与怪物'!$E$31:$K$37,B838,2),'章节与怪物'!$A$41:$F$44,4,FALSE)+IF(2=D838,'难度参数'!$E$30,0))</x:f>
        <x:v>810</x:v>
      </x:c>
      <x:c r="AF838" s="119" t="n">
        <x:f>IF(3&gt;D838,0,MAX(2,MIN('难度参数'!$E$12,ROUND(('难度参数'!$E$18*POWER(A838,'难度参数'!$E$19)/D838*(0.85+0.3*(3-1)/MAX(1,D838-1))),0)+F838)))</x:f>
        <x:v>47</x:v>
      </x:c>
      <x:c r="AG838" s="119" t="n">
        <x:f>IF(3&gt;D838,0,ROUND(('难度参数'!$E$13*POWER(A838,'难度参数'!$E$20)*MIN('难度参数'!$E$23,1+MAX(0,A838-'难度参数'!$E$21)*'难度参数'!$E$22))*(36+3*7)/(36+7*(D838+1)/2)*E838,0))</x:f>
        <x:v>15224</x:v>
      </x:c>
      <x:c r="AH838" s="119" t="n">
        <x:f>IF(AF838=0,0,(AF838-IF(3=D838,1,0))*ROUND(AG838*VLOOKUP(INDEX('章节与怪物'!$E$31:$K$37,B838,3),'章节与怪物'!$A$41:$F$44,2,FALSE),0)+IF(3=D838,ROUND(AG838*'难度参数'!$E$28*'章节与怪物'!$E$17,0),0))</x:f>
        <x:v>1216407</x:v>
      </x:c>
      <x:c r="AI838" s="119" t="n">
        <x:f>IF(AF838=0,0,(AF838-IF(3=D838,1,0))*VLOOKUP(INDEX('章节与怪物'!$E$31:$K$37,B838,3),'章节与怪物'!$A$41:$F$44,4,FALSE)+IF(3=D838,'难度参数'!$E$30,0))</x:f>
        <x:v>1316</x:v>
      </x:c>
      <x:c r="AJ838" s="119" t="n">
        <x:f>IF(4&gt;D838,0,MAX(2,MIN('难度参数'!$E$12,ROUND(('难度参数'!$E$18*POWER(A838,'难度参数'!$E$19)/D838*(0.85+0.3*(4-1)/MAX(1,D838-1))),0)+F838)))</x:f>
        <x:v>50</x:v>
      </x:c>
      <x:c r="AK838" s="119" t="n">
        <x:f>IF(4&gt;D838,0,ROUND(('难度参数'!$E$13*POWER(A838,'难度参数'!$E$20)*MIN('难度参数'!$E$23,1+MAX(0,A838-'难度参数'!$E$21)*'难度参数'!$E$22))*(36+4*7)/(36+7*(D838+1)/2)*E838,0))</x:f>
        <x:v>17093</x:v>
      </x:c>
      <x:c r="AL838" s="119" t="n">
        <x:f>IF(AJ838=0,0,(AJ838-IF(4=D838,1,0))*ROUND(AK838*VLOOKUP(INDEX('章节与怪物'!$E$31:$K$37,B838,4),'章节与怪物'!$A$41:$F$44,2,FALSE),0)+IF(4=D838,ROUND(AK838*'难度参数'!$E$28*'章节与怪物'!$E$17,0),0))</x:f>
        <x:v>1153800</x:v>
      </x:c>
      <x:c r="AM838" s="119" t="n">
        <x:f>IF(AJ838=0,0,(AJ838-IF(4=D838,1,0))*VLOOKUP(INDEX('章节与怪物'!$E$31:$K$37,B838,4),'章节与怪物'!$A$41:$F$44,4,FALSE)+IF(4=D838,'难度参数'!$E$30,0))</x:f>
        <x:v>1700</x:v>
      </x:c>
      <x:c r="AN838" s="119" t="n">
        <x:f>IF(5&gt;D838,0,MAX(2,MIN('难度参数'!$E$12,ROUND(('难度参数'!$E$18*POWER(A838,'难度参数'!$E$19)/D838*(0.85+0.3*(5-1)/MAX(1,D838-1))),0)+F838)))</x:f>
        <x:v>52</x:v>
      </x:c>
      <x:c r="AO838" s="119" t="n">
        <x:f>IF(5&gt;D838,0,ROUND(('难度参数'!$E$13*POWER(A838,'难度参数'!$E$20)*MIN('难度参数'!$E$23,1+MAX(0,A838-'难度参数'!$E$21)*'难度参数'!$E$22))*(36+5*7)/(36+7*(D838+1)/2)*E838,0))</x:f>
        <x:v>18963</x:v>
      </x:c>
      <x:c r="AP838" s="119" t="n">
        <x:f>IF(AN838=0,0,(AN838-IF(5=D838,1,0))*ROUND(AO838*VLOOKUP(INDEX('章节与怪物'!$E$31:$K$37,B838,5),'章节与怪物'!$A$41:$F$44,2,FALSE),0)+IF(5=D838,ROUND(AO838*'难度参数'!$E$28*'章节与怪物'!$E$17,0),0))</x:f>
        <x:v>986076</x:v>
      </x:c>
      <x:c r="AQ838" s="119" t="n">
        <x:f>IF(AN838=0,0,(AN838-IF(5=D838,1,0))*VLOOKUP(INDEX('章节与怪物'!$E$31:$K$37,B838,5),'章节与怪物'!$A$41:$F$44,4,FALSE)+IF(5=D838,'难度参数'!$E$30,0))</x:f>
        <x:v>936</x:v>
      </x:c>
      <x:c r="AR838" s="119" t="n">
        <x:f>IF(6&gt;D838,0,MAX(2,MIN('难度参数'!$E$12,ROUND(('难度参数'!$E$18*POWER(A838,'难度参数'!$E$19)/D838*(0.85+0.3*(6-1)/MAX(1,D838-1))),0)+F838)))</x:f>
        <x:v>55</x:v>
      </x:c>
      <x:c r="AS838" s="119" t="n">
        <x:f>IF(6&gt;D838,0,ROUND(('难度参数'!$E$13*POWER(A838,'难度参数'!$E$20)*MIN('难度参数'!$E$23,1+MAX(0,A838-'难度参数'!$E$21)*'难度参数'!$E$22))*(36+6*7)/(36+7*(D838+1)/2)*E838,0))</x:f>
        <x:v>20832</x:v>
      </x:c>
      <x:c r="AT838" s="119" t="n">
        <x:f>IF(AR838=0,0,(AR838-IF(6=D838,1,0))*ROUND(AS838*VLOOKUP(INDEX('章节与怪物'!$E$31:$K$37,B838,6),'章节与怪物'!$A$41:$F$44,2,FALSE),0)+IF(6=D838,ROUND(AS838*'难度参数'!$E$28*'章节与怪物'!$E$17,0),0))</x:f>
        <x:v>1947770</x:v>
      </x:c>
      <x:c r="AU838" s="119" t="n">
        <x:f>IF(AR838=0,0,(AR838-IF(6=D838,1,0))*VLOOKUP(INDEX('章节与怪物'!$E$31:$K$37,B838,6),'章节与怪物'!$A$41:$F$44,4,FALSE)+IF(6=D838,'难度参数'!$E$30,0))</x:f>
        <x:v>1540</x:v>
      </x:c>
      <x:c r="AV838" s="119" t="n">
        <x:f>IF(7&gt;D838,0,MAX(2,MIN('难度参数'!$E$12,ROUND(('难度参数'!$E$18*POWER(A838,'难度参数'!$E$19)/D838*(0.85+0.3*(7-1)/MAX(1,D838-1))),0)+F838)))</x:f>
        <x:v>57</x:v>
      </x:c>
      <x:c r="AW838" s="119" t="n">
        <x:f>IF(7&gt;D838,0,ROUND(('难度参数'!$E$13*POWER(A838,'难度参数'!$E$20)*MIN('难度参数'!$E$23,1+MAX(0,A838-'难度参数'!$E$21)*'难度参数'!$E$22))*(36+7*7)/(36+7*(D838+1)/2)*E838,0))</x:f>
        <x:v>22702</x:v>
      </x:c>
      <x:c r="AX838" s="119" t="n">
        <x:f>IF(AV838=0,0,(AV838-IF(7=D838,1,0))*ROUND(AW838*VLOOKUP(INDEX('章节与怪物'!$E$31:$K$37,B838,7),'章节与怪物'!$A$41:$F$44,2,FALSE),0)+IF(7=D838,ROUND(AW838*'难度参数'!$E$28*'章节与怪物'!$E$17,0),0))</x:f>
        <x:v>1870662</x:v>
      </x:c>
      <x:c r="AY838" s="119" t="n">
        <x:f>IF(AV838=0,0,(AV838-IF(7=D838,1,0))*VLOOKUP(INDEX('章节与怪物'!$E$31:$K$37,B838,7),'章节与怪物'!$A$41:$F$44,4,FALSE)+IF(7=D838,'难度参数'!$E$30,0))</x:f>
        <x:v>2104</x:v>
      </x:c>
    </x:row>
    <x:row r="839" ht="23" customHeight="1">
      <x:c r="A839" s="119" t="n">
        <x:v>833</x:v>
      </x:c>
      <x:c r="B839" s="119" t="n">
        <x:f>MOD(INT((A839-1)/5),7)+1</x:f>
        <x:v>6</x:v>
      </x:c>
      <x:c r="C839" s="62" t="str">
        <x:f>INDEX('章节与怪物'!$B$31:$B$37,B839)</x:f>
        <x:v>熔岩山脉</x:v>
      </x:c>
      <x:c r="D839" s="119" t="n">
        <x:f>MIN('难度参数'!$E$8,MAX('难度参数'!$E$7,A839))</x:f>
        <x:v>7</x:v>
      </x:c>
      <x:c r="E839" s="106" t="n">
        <x:v>1</x:v>
      </x:c>
      <x:c r="F839" s="106" t="n">
        <x:v>0</x:v>
      </x:c>
      <x:c r="G839" s="106" t="n">
        <x:v>1</x:v>
      </x:c>
      <x:c r="H839" s="119" t="n">
        <x:f>SUM(X839,AB839,AF839,AJ839,AN839,AR839,AV839)</x:f>
        <x:v>348</x:v>
      </x:c>
      <x:c r="I839" s="119" t="n">
        <x:f>SUM(Z839,AD839,AH839,AL839,AP839,AT839,AX839)</x:f>
        <x:v>8129996</x:v>
      </x:c>
      <x:c r="J839" s="119" t="n">
        <x:f>ROUND(INDEX(X839:AY839,1,(D839-1)*4+2)*'难度参数'!$E$28*'章节与怪物'!$E$17,0)</x:f>
        <x:v>154510</x:v>
      </x:c>
      <x:c r="K839" s="119" t="n">
        <x:f>SUM(AA839,AE839,AI839,AM839,AQ839,AU839,AY839)</x:f>
        <x:v>9246</x:v>
      </x:c>
      <x:c r="L839" s="62" t="n">
        <x:f>H839*(ROUNDUP('难度参数'!$E$24/('难度参数'!$E$26*'难度参数'!$E$27),0)*'难度参数'!$E$26)/60</x:f>
        <x:v>4.640000000000001</x:v>
      </x:c>
      <x:c r="M839" s="62" t="n">
        <x:f>L839+D839*('难度参数'!$E$49+'难度参数'!$E$50)/60</x:f>
        <x:v>5.8066666666666675</x:v>
      </x:c>
      <x:c r="N839" s="119" t="n">
        <x:f>ROUNDDOWN(('经济参数'!$E$20+A839*'经济参数'!$E$21)*G839,0)</x:f>
        <x:v>16840</x:v>
      </x:c>
      <x:c r="O839" s="119" t="n">
        <x:f>ROUNDDOWN(MIN('经济参数'!$E$24,'经济参数'!$E$22+A839*'经济参数'!$E$23)*G839,0)</x:f>
        <x:v>0</x:v>
      </x:c>
      <x:c r="P839" s="119" t="n">
        <x:f>ROUNDDOWN((IF(A839&gt;='材料与任务'!$E$31,'材料与任务'!$E$32,IF(A839&gt;='材料与任务'!$E$25,'材料与任务'!$E$26,IF(A839&gt;='材料与任务'!$E$19,'材料与任务'!$E$20,IF(A839&gt;='材料与任务'!$E$13,'材料与任务'!$E$14,'材料与任务'!$E$8)))))*G839,0)</x:f>
        <x:v>6</x:v>
      </x:c>
      <x:c r="Q839" s="119" t="n">
        <x:f>ROUNDDOWN((IF(A839&gt;='材料与任务'!$E$31,'材料与任务'!$E$33,IF(A839&gt;='材料与任务'!$E$25,'材料与任务'!$E$27,IF(A839&gt;='材料与任务'!$E$19,'材料与任务'!$E$21,IF(A839&gt;='材料与任务'!$E$13,'材料与任务'!$E$15,'材料与任务'!$E$9)))))*G839,0)</x:f>
        <x:v>3</x:v>
      </x:c>
      <x:c r="R839" s="110" t="n">
        <x:f>'装备掉落'!$B$38</x:f>
        <x:v>0.6872058758851213</x:v>
      </x:c>
      <x:c r="S839" s="119" t="n">
        <x:f>MAX(IF(VLOOKUP(A839,'装备掉落'!$A$29:$H$34,2,TRUE)&gt;0,1,0),IF(VLOOKUP(A839,'装备掉落'!$A$29:$H$34,3,TRUE)&gt;0,2,0),IF(VLOOKUP(A839,'装备掉落'!$A$29:$H$34,4,TRUE)&gt;0,3,0),IF(VLOOKUP(A839,'装备掉落'!$A$29:$H$34,5,TRUE)&gt;0,4,0),IF(VLOOKUP(A839,'装备掉落'!$A$29:$H$34,6,TRUE)&gt;0,5,0),IF(VLOOKUP(A839,'装备掉落'!$A$29:$H$34,7,TRUE)&gt;0,6,0),IF(VLOOKUP(A839,'装备掉落'!$A$29:$H$34,8,TRUE)&gt;0,7,0))</x:f>
        <x:v>7</x:v>
      </x:c>
      <x:c r="T839" s="119" t="n">
        <x:f>MIN(7,S839+'经济参数'!$E$70)</x:f>
        <x:v>7</x:v>
      </x:c>
      <x:c r="U839" s="119" t="n">
        <x:f>MIN(7,S839+'经济参数'!$E$71)</x:f>
        <x:v>7</x:v>
      </x:c>
      <x:c r="V839" s="119" t="n">
        <x:f>IF(H839&gt;=('难度参数'!$E$52),1,0)+IF(H839&gt;=('难度参数'!$E$52+'难度参数'!$E$53),1,0)+IF(H839&gt;=('难度参数'!$E$52+'难度参数'!$E$53+'难度参数'!$E$54),1,0)+IF(H839&gt;=('难度参数'!$E$52+'难度参数'!$E$53+'难度参数'!$E$54+'难度参数'!$E$55),1,0)+IF(H839&gt;=('难度参数'!$E$52+'难度参数'!$E$53+'难度参数'!$E$54+'难度参数'!$E$55+'难度参数'!$E$56),1,0)+IF(H839&gt;=('难度参数'!$E$52+'难度参数'!$E$53+'难度参数'!$E$54+'难度参数'!$E$55+'难度参数'!$E$56+'难度参数'!$E$57),1,0)</x:f>
        <x:v>6</x:v>
      </x:c>
      <x:c r="W839" s="62" t="str">
        <x:f>IF(L839&gt;'难度参数'!$E$51,"仅出怪已超目标","还需实测")</x:f>
        <x:v>仅出怪已超目标</x:v>
      </x:c>
      <x:c r="X839" s="119" t="n">
        <x:f>IF(1&gt;D839,0,MAX(2,MIN('难度参数'!$E$12,ROUND(('难度参数'!$E$18*POWER(A839,'难度参数'!$E$19)/D839*(0.85+0.3*(1-1)/MAX(1,D839-1))),0)+F839)))</x:f>
        <x:v>42</x:v>
      </x:c>
      <x:c r="Y839" s="119" t="n">
        <x:f>IF(1&gt;D839,0,ROUND(('难度参数'!$E$13*POWER(A839,'难度参数'!$E$20)*MIN('难度参数'!$E$23,1+MAX(0,A839-'难度参数'!$E$21)*'难度参数'!$E$22))*(36+1*7)/(36+7*(D839+1)/2)*E839,0))</x:f>
        <x:v>11494</x:v>
      </x:c>
      <x:c r="Z839" s="119" t="n">
        <x:f>IF(X839=0,0,(X839-IF(1=D839,1,0))*ROUND(Y839*VLOOKUP(INDEX('章节与怪物'!$E$31:$K$37,B839,1),'章节与怪物'!$A$41:$F$44,2,FALSE),0)+IF(1=D839,ROUND(Y839*'难度参数'!$E$28*'章节与怪物'!$E$17,0),0))</x:f>
        <x:v>347592</x:v>
      </x:c>
      <x:c r="AA839" s="119" t="n">
        <x:f>IF(X839=0,0,(X839-IF(1=D839,1,0))*VLOOKUP(INDEX('章节与怪物'!$E$31:$K$37,B839,1),'章节与怪物'!$A$41:$F$44,4,FALSE)+IF(1=D839,'难度参数'!$E$30,0))</x:f>
        <x:v>840</x:v>
      </x:c>
      <x:c r="AB839" s="119" t="n">
        <x:f>IF(2&gt;D839,0,MAX(2,MIN('难度参数'!$E$12,ROUND(('难度参数'!$E$18*POWER(A839,'难度参数'!$E$19)/D839*(0.85+0.3*(2-1)/MAX(1,D839-1))),0)+F839)))</x:f>
        <x:v>45</x:v>
      </x:c>
      <x:c r="AC839" s="119" t="n">
        <x:f>IF(2&gt;D839,0,ROUND(('难度参数'!$E$13*POWER(A839,'难度参数'!$E$20)*MIN('难度参数'!$E$23,1+MAX(0,A839-'难度参数'!$E$21)*'难度参数'!$E$22))*(36+2*7)/(36+7*(D839+1)/2)*E839,0))</x:f>
        <x:v>13366</x:v>
      </x:c>
      <x:c r="AD839" s="119" t="n">
        <x:f>IF(AB839=0,0,(AB839-IF(2=D839,1,0))*ROUND(AC839*VLOOKUP(INDEX('章节与怪物'!$E$31:$K$37,B839,2),'章节与怪物'!$A$41:$F$44,2,FALSE),0)+IF(2=D839,ROUND(AC839*'难度参数'!$E$28*'章节与怪物'!$E$17,0),0))</x:f>
        <x:v>601470</x:v>
      </x:c>
      <x:c r="AE839" s="119" t="n">
        <x:f>IF(AB839=0,0,(AB839-IF(2=D839,1,0))*VLOOKUP(INDEX('章节与怪物'!$E$31:$K$37,B839,2),'章节与怪物'!$A$41:$F$44,4,FALSE)+IF(2=D839,'难度参数'!$E$30,0))</x:f>
        <x:v>810</x:v>
      </x:c>
      <x:c r="AF839" s="119" t="n">
        <x:f>IF(3&gt;D839,0,MAX(2,MIN('难度参数'!$E$12,ROUND(('难度参数'!$E$18*POWER(A839,'难度参数'!$E$19)/D839*(0.85+0.3*(3-1)/MAX(1,D839-1))),0)+F839)))</x:f>
        <x:v>47</x:v>
      </x:c>
      <x:c r="AG839" s="119" t="n">
        <x:f>IF(3&gt;D839,0,ROUND(('难度参数'!$E$13*POWER(A839,'难度参数'!$E$20)*MIN('难度参数'!$E$23,1+MAX(0,A839-'难度参数'!$E$21)*'难度参数'!$E$22))*(36+3*7)/(36+7*(D839+1)/2)*E839,0))</x:f>
        <x:v>15237</x:v>
      </x:c>
      <x:c r="AH839" s="119" t="n">
        <x:f>IF(AF839=0,0,(AF839-IF(3=D839,1,0))*ROUND(AG839*VLOOKUP(INDEX('章节与怪物'!$E$31:$K$37,B839,3),'章节与怪物'!$A$41:$F$44,2,FALSE),0)+IF(3=D839,ROUND(AG839*'难度参数'!$E$28*'章节与怪物'!$E$17,0),0))</x:f>
        <x:v>1217441</x:v>
      </x:c>
      <x:c r="AI839" s="119" t="n">
        <x:f>IF(AF839=0,0,(AF839-IF(3=D839,1,0))*VLOOKUP(INDEX('章节与怪物'!$E$31:$K$37,B839,3),'章节与怪物'!$A$41:$F$44,4,FALSE)+IF(3=D839,'难度参数'!$E$30,0))</x:f>
        <x:v>1316</x:v>
      </x:c>
      <x:c r="AJ839" s="119" t="n">
        <x:f>IF(4&gt;D839,0,MAX(2,MIN('难度参数'!$E$12,ROUND(('难度参数'!$E$18*POWER(A839,'难度参数'!$E$19)/D839*(0.85+0.3*(4-1)/MAX(1,D839-1))),0)+F839)))</x:f>
        <x:v>50</x:v>
      </x:c>
      <x:c r="AK839" s="119" t="n">
        <x:f>IF(4&gt;D839,0,ROUND(('难度参数'!$E$13*POWER(A839,'难度参数'!$E$20)*MIN('难度参数'!$E$23,1+MAX(0,A839-'难度参数'!$E$21)*'难度参数'!$E$22))*(36+4*7)/(36+7*(D839+1)/2)*E839,0))</x:f>
        <x:v>17108</x:v>
      </x:c>
      <x:c r="AL839" s="119" t="n">
        <x:f>IF(AJ839=0,0,(AJ839-IF(4=D839,1,0))*ROUND(AK839*VLOOKUP(INDEX('章节与怪物'!$E$31:$K$37,B839,4),'章节与怪物'!$A$41:$F$44,2,FALSE),0)+IF(4=D839,ROUND(AK839*'难度参数'!$E$28*'章节与怪物'!$E$17,0),0))</x:f>
        <x:v>1154800</x:v>
      </x:c>
      <x:c r="AM839" s="119" t="n">
        <x:f>IF(AJ839=0,0,(AJ839-IF(4=D839,1,0))*VLOOKUP(INDEX('章节与怪物'!$E$31:$K$37,B839,4),'章节与怪物'!$A$41:$F$44,4,FALSE)+IF(4=D839,'难度参数'!$E$30,0))</x:f>
        <x:v>1700</x:v>
      </x:c>
      <x:c r="AN839" s="119" t="n">
        <x:f>IF(5&gt;D839,0,MAX(2,MIN('难度参数'!$E$12,ROUND(('难度参数'!$E$18*POWER(A839,'难度参数'!$E$19)/D839*(0.85+0.3*(5-1)/MAX(1,D839-1))),0)+F839)))</x:f>
        <x:v>52</x:v>
      </x:c>
      <x:c r="AO839" s="119" t="n">
        <x:f>IF(5&gt;D839,0,ROUND(('难度参数'!$E$13*POWER(A839,'难度参数'!$E$20)*MIN('难度参数'!$E$23,1+MAX(0,A839-'难度参数'!$E$21)*'难度参数'!$E$22))*(36+5*7)/(36+7*(D839+1)/2)*E839,0))</x:f>
        <x:v>18979</x:v>
      </x:c>
      <x:c r="AP839" s="119" t="n">
        <x:f>IF(AN839=0,0,(AN839-IF(5=D839,1,0))*ROUND(AO839*VLOOKUP(INDEX('章节与怪物'!$E$31:$K$37,B839,5),'章节与怪物'!$A$41:$F$44,2,FALSE),0)+IF(5=D839,ROUND(AO839*'难度参数'!$E$28*'章节与怪物'!$E$17,0),0))</x:f>
        <x:v>986908</x:v>
      </x:c>
      <x:c r="AQ839" s="119" t="n">
        <x:f>IF(AN839=0,0,(AN839-IF(5=D839,1,0))*VLOOKUP(INDEX('章节与怪物'!$E$31:$K$37,B839,5),'章节与怪物'!$A$41:$F$44,4,FALSE)+IF(5=D839,'难度参数'!$E$30,0))</x:f>
        <x:v>936</x:v>
      </x:c>
      <x:c r="AR839" s="119" t="n">
        <x:f>IF(6&gt;D839,0,MAX(2,MIN('难度参数'!$E$12,ROUND(('难度参数'!$E$18*POWER(A839,'难度参数'!$E$19)/D839*(0.85+0.3*(6-1)/MAX(1,D839-1))),0)+F839)))</x:f>
        <x:v>55</x:v>
      </x:c>
      <x:c r="AS839" s="119" t="n">
        <x:f>IF(6&gt;D839,0,ROUND(('难度参数'!$E$13*POWER(A839,'难度参数'!$E$20)*MIN('难度参数'!$E$23,1+MAX(0,A839-'难度参数'!$E$21)*'难度参数'!$E$22))*(36+6*7)/(36+7*(D839+1)/2)*E839,0))</x:f>
        <x:v>20850</x:v>
      </x:c>
      <x:c r="AT839" s="119" t="n">
        <x:f>IF(AR839=0,0,(AR839-IF(6=D839,1,0))*ROUND(AS839*VLOOKUP(INDEX('章节与怪物'!$E$31:$K$37,B839,6),'章节与怪物'!$A$41:$F$44,2,FALSE),0)+IF(6=D839,ROUND(AS839*'难度参数'!$E$28*'章节与怪物'!$E$17,0),0))</x:f>
        <x:v>1949475</x:v>
      </x:c>
      <x:c r="AU839" s="119" t="n">
        <x:f>IF(AR839=0,0,(AR839-IF(6=D839,1,0))*VLOOKUP(INDEX('章节与怪物'!$E$31:$K$37,B839,6),'章节与怪物'!$A$41:$F$44,4,FALSE)+IF(6=D839,'难度参数'!$E$30,0))</x:f>
        <x:v>1540</x:v>
      </x:c>
      <x:c r="AV839" s="119" t="n">
        <x:f>IF(7&gt;D839,0,MAX(2,MIN('难度参数'!$E$12,ROUND(('难度参数'!$E$18*POWER(A839,'难度参数'!$E$19)/D839*(0.85+0.3*(7-1)/MAX(1,D839-1))),0)+F839)))</x:f>
        <x:v>57</x:v>
      </x:c>
      <x:c r="AW839" s="119" t="n">
        <x:f>IF(7&gt;D839,0,ROUND(('难度参数'!$E$13*POWER(A839,'难度参数'!$E$20)*MIN('难度参数'!$E$23,1+MAX(0,A839-'难度参数'!$E$21)*'难度参数'!$E$22))*(36+7*7)/(36+7*(D839+1)/2)*E839,0))</x:f>
        <x:v>22722</x:v>
      </x:c>
      <x:c r="AX839" s="119" t="n">
        <x:f>IF(AV839=0,0,(AV839-IF(7=D839,1,0))*ROUND(AW839*VLOOKUP(INDEX('章节与怪物'!$E$31:$K$37,B839,7),'章节与怪物'!$A$41:$F$44,2,FALSE),0)+IF(7=D839,ROUND(AW839*'难度参数'!$E$28*'章节与怪物'!$E$17,0),0))</x:f>
        <x:v>1872310</x:v>
      </x:c>
      <x:c r="AY839" s="119" t="n">
        <x:f>IF(AV839=0,0,(AV839-IF(7=D839,1,0))*VLOOKUP(INDEX('章节与怪物'!$E$31:$K$37,B839,7),'章节与怪物'!$A$41:$F$44,4,FALSE)+IF(7=D839,'难度参数'!$E$30,0))</x:f>
        <x:v>2104</x:v>
      </x:c>
    </x:row>
    <x:row r="840" ht="23" customHeight="1">
      <x:c r="A840" s="119" t="n">
        <x:v>834</x:v>
      </x:c>
      <x:c r="B840" s="119" t="n">
        <x:f>MOD(INT((A840-1)/5),7)+1</x:f>
        <x:v>6</x:v>
      </x:c>
      <x:c r="C840" s="62" t="str">
        <x:f>INDEX('章节与怪物'!$B$31:$B$37,B840)</x:f>
        <x:v>熔岩山脉</x:v>
      </x:c>
      <x:c r="D840" s="119" t="n">
        <x:f>MIN('难度参数'!$E$8,MAX('难度参数'!$E$7,A840))</x:f>
        <x:v>7</x:v>
      </x:c>
      <x:c r="E840" s="106" t="n">
        <x:v>1</x:v>
      </x:c>
      <x:c r="F840" s="106" t="n">
        <x:v>0</x:v>
      </x:c>
      <x:c r="G840" s="106" t="n">
        <x:v>1</x:v>
      </x:c>
      <x:c r="H840" s="119" t="n">
        <x:f>SUM(X840,AB840,AF840,AJ840,AN840,AR840,AV840)</x:f>
        <x:v>348</x:v>
      </x:c>
      <x:c r="I840" s="119" t="n">
        <x:f>SUM(Z840,AD840,AH840,AL840,AP840,AT840,AX840)</x:f>
        <x:v>8136937</x:v>
      </x:c>
      <x:c r="J840" s="119" t="n">
        <x:f>ROUND(INDEX(X840:AY840,1,(D840-1)*4+2)*'难度参数'!$E$28*'章节与怪物'!$E$17,0)</x:f>
        <x:v>154639</x:v>
      </x:c>
      <x:c r="K840" s="119" t="n">
        <x:f>SUM(AA840,AE840,AI840,AM840,AQ840,AU840,AY840)</x:f>
        <x:v>9246</x:v>
      </x:c>
      <x:c r="L840" s="62" t="n">
        <x:f>H840*(ROUNDUP('难度参数'!$E$24/('难度参数'!$E$26*'难度参数'!$E$27),0)*'难度参数'!$E$26)/60</x:f>
        <x:v>4.640000000000001</x:v>
      </x:c>
      <x:c r="M840" s="62" t="n">
        <x:f>L840+D840*('难度参数'!$E$49+'难度参数'!$E$50)/60</x:f>
        <x:v>5.8066666666666675</x:v>
      </x:c>
      <x:c r="N840" s="119" t="n">
        <x:f>ROUNDDOWN(('经济参数'!$E$20+A840*'经济参数'!$E$21)*G840,0)</x:f>
        <x:v>16860</x:v>
      </x:c>
      <x:c r="O840" s="119" t="n">
        <x:f>ROUNDDOWN(MIN('经济参数'!$E$24,'经济参数'!$E$22+A840*'经济参数'!$E$23)*G840,0)</x:f>
        <x:v>0</x:v>
      </x:c>
      <x:c r="P840" s="119" t="n">
        <x:f>ROUNDDOWN((IF(A840&gt;='材料与任务'!$E$31,'材料与任务'!$E$32,IF(A840&gt;='材料与任务'!$E$25,'材料与任务'!$E$26,IF(A840&gt;='材料与任务'!$E$19,'材料与任务'!$E$20,IF(A840&gt;='材料与任务'!$E$13,'材料与任务'!$E$14,'材料与任务'!$E$8)))))*G840,0)</x:f>
        <x:v>6</x:v>
      </x:c>
      <x:c r="Q840" s="119" t="n">
        <x:f>ROUNDDOWN((IF(A840&gt;='材料与任务'!$E$31,'材料与任务'!$E$33,IF(A840&gt;='材料与任务'!$E$25,'材料与任务'!$E$27,IF(A840&gt;='材料与任务'!$E$19,'材料与任务'!$E$21,IF(A840&gt;='材料与任务'!$E$13,'材料与任务'!$E$15,'材料与任务'!$E$9)))))*G840,0)</x:f>
        <x:v>3</x:v>
      </x:c>
      <x:c r="R840" s="110" t="n">
        <x:f>'装备掉落'!$B$38</x:f>
        <x:v>0.6872058758851213</x:v>
      </x:c>
      <x:c r="S840" s="119" t="n">
        <x:f>MAX(IF(VLOOKUP(A840,'装备掉落'!$A$29:$H$34,2,TRUE)&gt;0,1,0),IF(VLOOKUP(A840,'装备掉落'!$A$29:$H$34,3,TRUE)&gt;0,2,0),IF(VLOOKUP(A840,'装备掉落'!$A$29:$H$34,4,TRUE)&gt;0,3,0),IF(VLOOKUP(A840,'装备掉落'!$A$29:$H$34,5,TRUE)&gt;0,4,0),IF(VLOOKUP(A840,'装备掉落'!$A$29:$H$34,6,TRUE)&gt;0,5,0),IF(VLOOKUP(A840,'装备掉落'!$A$29:$H$34,7,TRUE)&gt;0,6,0),IF(VLOOKUP(A840,'装备掉落'!$A$29:$H$34,8,TRUE)&gt;0,7,0))</x:f>
        <x:v>7</x:v>
      </x:c>
      <x:c r="T840" s="119" t="n">
        <x:f>MIN(7,S840+'经济参数'!$E$70)</x:f>
        <x:v>7</x:v>
      </x:c>
      <x:c r="U840" s="119" t="n">
        <x:f>MIN(7,S840+'经济参数'!$E$71)</x:f>
        <x:v>7</x:v>
      </x:c>
      <x:c r="V840" s="119" t="n">
        <x:f>IF(H840&gt;=('难度参数'!$E$52),1,0)+IF(H840&gt;=('难度参数'!$E$52+'难度参数'!$E$53),1,0)+IF(H840&gt;=('难度参数'!$E$52+'难度参数'!$E$53+'难度参数'!$E$54),1,0)+IF(H840&gt;=('难度参数'!$E$52+'难度参数'!$E$53+'难度参数'!$E$54+'难度参数'!$E$55),1,0)+IF(H840&gt;=('难度参数'!$E$52+'难度参数'!$E$53+'难度参数'!$E$54+'难度参数'!$E$55+'难度参数'!$E$56),1,0)+IF(H840&gt;=('难度参数'!$E$52+'难度参数'!$E$53+'难度参数'!$E$54+'难度参数'!$E$55+'难度参数'!$E$56+'难度参数'!$E$57),1,0)</x:f>
        <x:v>6</x:v>
      </x:c>
      <x:c r="W840" s="62" t="str">
        <x:f>IF(L840&gt;'难度参数'!$E$51,"仅出怪已超目标","还需实测")</x:f>
        <x:v>仅出怪已超目标</x:v>
      </x:c>
      <x:c r="X840" s="119" t="n">
        <x:f>IF(1&gt;D840,0,MAX(2,MIN('难度参数'!$E$12,ROUND(('难度参数'!$E$18*POWER(A840,'难度参数'!$E$19)/D840*(0.85+0.3*(1-1)/MAX(1,D840-1))),0)+F840)))</x:f>
        <x:v>42</x:v>
      </x:c>
      <x:c r="Y840" s="119" t="n">
        <x:f>IF(1&gt;D840,0,ROUND(('难度参数'!$E$13*POWER(A840,'难度参数'!$E$20)*MIN('难度参数'!$E$23,1+MAX(0,A840-'难度参数'!$E$21)*'难度参数'!$E$22))*(36+1*7)/(36+7*(D840+1)/2)*E840,0))</x:f>
        <x:v>11504</x:v>
      </x:c>
      <x:c r="Z840" s="119" t="n">
        <x:f>IF(X840=0,0,(X840-IF(1=D840,1,0))*ROUND(Y840*VLOOKUP(INDEX('章节与怪物'!$E$31:$K$37,B840,1),'章节与怪物'!$A$41:$F$44,2,FALSE),0)+IF(1=D840,ROUND(Y840*'难度参数'!$E$28*'章节与怪物'!$E$17,0),0))</x:f>
        <x:v>347886</x:v>
      </x:c>
      <x:c r="AA840" s="119" t="n">
        <x:f>IF(X840=0,0,(X840-IF(1=D840,1,0))*VLOOKUP(INDEX('章节与怪物'!$E$31:$K$37,B840,1),'章节与怪物'!$A$41:$F$44,4,FALSE)+IF(1=D840,'难度参数'!$E$30,0))</x:f>
        <x:v>840</x:v>
      </x:c>
      <x:c r="AB840" s="119" t="n">
        <x:f>IF(2&gt;D840,0,MAX(2,MIN('难度参数'!$E$12,ROUND(('难度参数'!$E$18*POWER(A840,'难度参数'!$E$19)/D840*(0.85+0.3*(2-1)/MAX(1,D840-1))),0)+F840)))</x:f>
        <x:v>45</x:v>
      </x:c>
      <x:c r="AC840" s="119" t="n">
        <x:f>IF(2&gt;D840,0,ROUND(('难度参数'!$E$13*POWER(A840,'难度参数'!$E$20)*MIN('难度参数'!$E$23,1+MAX(0,A840-'难度参数'!$E$21)*'难度参数'!$E$22))*(36+2*7)/(36+7*(D840+1)/2)*E840,0))</x:f>
        <x:v>13377</x:v>
      </x:c>
      <x:c r="AD840" s="119" t="n">
        <x:f>IF(AB840=0,0,(AB840-IF(2=D840,1,0))*ROUND(AC840*VLOOKUP(INDEX('章节与怪物'!$E$31:$K$37,B840,2),'章节与怪物'!$A$41:$F$44,2,FALSE),0)+IF(2=D840,ROUND(AC840*'难度参数'!$E$28*'章节与怪物'!$E$17,0),0))</x:f>
        <x:v>601965</x:v>
      </x:c>
      <x:c r="AE840" s="119" t="n">
        <x:f>IF(AB840=0,0,(AB840-IF(2=D840,1,0))*VLOOKUP(INDEX('章节与怪物'!$E$31:$K$37,B840,2),'章节与怪物'!$A$41:$F$44,4,FALSE)+IF(2=D840,'难度参数'!$E$30,0))</x:f>
        <x:v>810</x:v>
      </x:c>
      <x:c r="AF840" s="119" t="n">
        <x:f>IF(3&gt;D840,0,MAX(2,MIN('难度参数'!$E$12,ROUND(('难度参数'!$E$18*POWER(A840,'难度参数'!$E$19)/D840*(0.85+0.3*(3-1)/MAX(1,D840-1))),0)+F840)))</x:f>
        <x:v>47</x:v>
      </x:c>
      <x:c r="AG840" s="119" t="n">
        <x:f>IF(3&gt;D840,0,ROUND(('难度参数'!$E$13*POWER(A840,'难度参数'!$E$20)*MIN('难度参数'!$E$23,1+MAX(0,A840-'难度参数'!$E$21)*'难度参数'!$E$22))*(36+3*7)/(36+7*(D840+1)/2)*E840,0))</x:f>
        <x:v>15250</x:v>
      </x:c>
      <x:c r="AH840" s="119" t="n">
        <x:f>IF(AF840=0,0,(AF840-IF(3=D840,1,0))*ROUND(AG840*VLOOKUP(INDEX('章节与怪物'!$E$31:$K$37,B840,3),'章节与怪物'!$A$41:$F$44,2,FALSE),0)+IF(3=D840,ROUND(AG840*'难度参数'!$E$28*'章节与怪物'!$E$17,0),0))</x:f>
        <x:v>1218475</x:v>
      </x:c>
      <x:c r="AI840" s="119" t="n">
        <x:f>IF(AF840=0,0,(AF840-IF(3=D840,1,0))*VLOOKUP(INDEX('章节与怪物'!$E$31:$K$37,B840,3),'章节与怪物'!$A$41:$F$44,4,FALSE)+IF(3=D840,'难度参数'!$E$30,0))</x:f>
        <x:v>1316</x:v>
      </x:c>
      <x:c r="AJ840" s="119" t="n">
        <x:f>IF(4&gt;D840,0,MAX(2,MIN('难度参数'!$E$12,ROUND(('难度参数'!$E$18*POWER(A840,'难度参数'!$E$19)/D840*(0.85+0.3*(4-1)/MAX(1,D840-1))),0)+F840)))</x:f>
        <x:v>50</x:v>
      </x:c>
      <x:c r="AK840" s="119" t="n">
        <x:f>IF(4&gt;D840,0,ROUND(('难度参数'!$E$13*POWER(A840,'难度参数'!$E$20)*MIN('难度参数'!$E$23,1+MAX(0,A840-'难度参数'!$E$21)*'难度参数'!$E$22))*(36+4*7)/(36+7*(D840+1)/2)*E840,0))</x:f>
        <x:v>17123</x:v>
      </x:c>
      <x:c r="AL840" s="119" t="n">
        <x:f>IF(AJ840=0,0,(AJ840-IF(4=D840,1,0))*ROUND(AK840*VLOOKUP(INDEX('章节与怪物'!$E$31:$K$37,B840,4),'章节与怪物'!$A$41:$F$44,2,FALSE),0)+IF(4=D840,ROUND(AK840*'难度参数'!$E$28*'章节与怪物'!$E$17,0),0))</x:f>
        <x:v>1155800</x:v>
      </x:c>
      <x:c r="AM840" s="119" t="n">
        <x:f>IF(AJ840=0,0,(AJ840-IF(4=D840,1,0))*VLOOKUP(INDEX('章节与怪物'!$E$31:$K$37,B840,4),'章节与怪物'!$A$41:$F$44,4,FALSE)+IF(4=D840,'难度参数'!$E$30,0))</x:f>
        <x:v>1700</x:v>
      </x:c>
      <x:c r="AN840" s="119" t="n">
        <x:f>IF(5&gt;D840,0,MAX(2,MIN('难度参数'!$E$12,ROUND(('难度参数'!$E$18*POWER(A840,'难度参数'!$E$19)/D840*(0.85+0.3*(5-1)/MAX(1,D840-1))),0)+F840)))</x:f>
        <x:v>52</x:v>
      </x:c>
      <x:c r="AO840" s="119" t="n">
        <x:f>IF(5&gt;D840,0,ROUND(('难度参数'!$E$13*POWER(A840,'难度参数'!$E$20)*MIN('难度参数'!$E$23,1+MAX(0,A840-'难度参数'!$E$21)*'难度参数'!$E$22))*(36+5*7)/(36+7*(D840+1)/2)*E840,0))</x:f>
        <x:v>18996</x:v>
      </x:c>
      <x:c r="AP840" s="119" t="n">
        <x:f>IF(AN840=0,0,(AN840-IF(5=D840,1,0))*ROUND(AO840*VLOOKUP(INDEX('章节与怪物'!$E$31:$K$37,B840,5),'章节与怪物'!$A$41:$F$44,2,FALSE),0)+IF(5=D840,ROUND(AO840*'难度参数'!$E$28*'章节与怪物'!$E$17,0),0))</x:f>
        <x:v>987792</x:v>
      </x:c>
      <x:c r="AQ840" s="119" t="n">
        <x:f>IF(AN840=0,0,(AN840-IF(5=D840,1,0))*VLOOKUP(INDEX('章节与怪物'!$E$31:$K$37,B840,5),'章节与怪物'!$A$41:$F$44,4,FALSE)+IF(5=D840,'难度参数'!$E$30,0))</x:f>
        <x:v>936</x:v>
      </x:c>
      <x:c r="AR840" s="119" t="n">
        <x:f>IF(6&gt;D840,0,MAX(2,MIN('难度参数'!$E$12,ROUND(('难度参数'!$E$18*POWER(A840,'难度参数'!$E$19)/D840*(0.85+0.3*(6-1)/MAX(1,D840-1))),0)+F840)))</x:f>
        <x:v>55</x:v>
      </x:c>
      <x:c r="AS840" s="119" t="n">
        <x:f>IF(6&gt;D840,0,ROUND(('难度参数'!$E$13*POWER(A840,'难度参数'!$E$20)*MIN('难度参数'!$E$23,1+MAX(0,A840-'难度参数'!$E$21)*'难度参数'!$E$22))*(36+6*7)/(36+7*(D840+1)/2)*E840,0))</x:f>
        <x:v>20868</x:v>
      </x:c>
      <x:c r="AT840" s="119" t="n">
        <x:f>IF(AR840=0,0,(AR840-IF(6=D840,1,0))*ROUND(AS840*VLOOKUP(INDEX('章节与怪物'!$E$31:$K$37,B840,6),'章节与怪物'!$A$41:$F$44,2,FALSE),0)+IF(6=D840,ROUND(AS840*'难度参数'!$E$28*'章节与怪物'!$E$17,0),0))</x:f>
        <x:v>1951180</x:v>
      </x:c>
      <x:c r="AU840" s="119" t="n">
        <x:f>IF(AR840=0,0,(AR840-IF(6=D840,1,0))*VLOOKUP(INDEX('章节与怪物'!$E$31:$K$37,B840,6),'章节与怪物'!$A$41:$F$44,4,FALSE)+IF(6=D840,'难度参数'!$E$30,0))</x:f>
        <x:v>1540</x:v>
      </x:c>
      <x:c r="AV840" s="119" t="n">
        <x:f>IF(7&gt;D840,0,MAX(2,MIN('难度参数'!$E$12,ROUND(('难度参数'!$E$18*POWER(A840,'难度参数'!$E$19)/D840*(0.85+0.3*(7-1)/MAX(1,D840-1))),0)+F840)))</x:f>
        <x:v>57</x:v>
      </x:c>
      <x:c r="AW840" s="119" t="n">
        <x:f>IF(7&gt;D840,0,ROUND(('难度参数'!$E$13*POWER(A840,'难度参数'!$E$20)*MIN('难度参数'!$E$23,1+MAX(0,A840-'难度参数'!$E$21)*'难度参数'!$E$22))*(36+7*7)/(36+7*(D840+1)/2)*E840,0))</x:f>
        <x:v>22741</x:v>
      </x:c>
      <x:c r="AX840" s="119" t="n">
        <x:f>IF(AV840=0,0,(AV840-IF(7=D840,1,0))*ROUND(AW840*VLOOKUP(INDEX('章节与怪物'!$E$31:$K$37,B840,7),'章节与怪物'!$A$41:$F$44,2,FALSE),0)+IF(7=D840,ROUND(AW840*'难度参数'!$E$28*'章节与怪物'!$E$17,0),0))</x:f>
        <x:v>1873839</x:v>
      </x:c>
      <x:c r="AY840" s="119" t="n">
        <x:f>IF(AV840=0,0,(AV840-IF(7=D840,1,0))*VLOOKUP(INDEX('章节与怪物'!$E$31:$K$37,B840,7),'章节与怪物'!$A$41:$F$44,4,FALSE)+IF(7=D840,'难度参数'!$E$30,0))</x:f>
        <x:v>2104</x:v>
      </x:c>
    </x:row>
    <x:row r="841" ht="23" customHeight="1">
      <x:c r="A841" s="119" t="n">
        <x:v>835</x:v>
      </x:c>
      <x:c r="B841" s="119" t="n">
        <x:f>MOD(INT((A841-1)/5),7)+1</x:f>
        <x:v>6</x:v>
      </x:c>
      <x:c r="C841" s="62" t="str">
        <x:f>INDEX('章节与怪物'!$B$31:$B$37,B841)</x:f>
        <x:v>熔岩山脉</x:v>
      </x:c>
      <x:c r="D841" s="119" t="n">
        <x:f>MIN('难度参数'!$E$8,MAX('难度参数'!$E$7,A841))</x:f>
        <x:v>7</x:v>
      </x:c>
      <x:c r="E841" s="106" t="n">
        <x:v>1</x:v>
      </x:c>
      <x:c r="F841" s="106" t="n">
        <x:v>0</x:v>
      </x:c>
      <x:c r="G841" s="106" t="n">
        <x:v>1</x:v>
      </x:c>
      <x:c r="H841" s="119" t="n">
        <x:f>SUM(X841,AB841,AF841,AJ841,AN841,AR841,AV841)</x:f>
        <x:v>348</x:v>
      </x:c>
      <x:c r="I841" s="119" t="n">
        <x:f>SUM(Z841,AD841,AH841,AL841,AP841,AT841,AX841)</x:f>
        <x:v>8143935</x:v>
      </x:c>
      <x:c r="J841" s="119" t="n">
        <x:f>ROUND(INDEX(X841:AY841,1,(D841-1)*4+2)*'难度参数'!$E$28*'章节与怪物'!$E$17,0)</x:f>
        <x:v>154775</x:v>
      </x:c>
      <x:c r="K841" s="119" t="n">
        <x:f>SUM(AA841,AE841,AI841,AM841,AQ841,AU841,AY841)</x:f>
        <x:v>9246</x:v>
      </x:c>
      <x:c r="L841" s="62" t="n">
        <x:f>H841*(ROUNDUP('难度参数'!$E$24/('难度参数'!$E$26*'难度参数'!$E$27),0)*'难度参数'!$E$26)/60</x:f>
        <x:v>4.640000000000001</x:v>
      </x:c>
      <x:c r="M841" s="62" t="n">
        <x:f>L841+D841*('难度参数'!$E$49+'难度参数'!$E$50)/60</x:f>
        <x:v>5.8066666666666675</x:v>
      </x:c>
      <x:c r="N841" s="119" t="n">
        <x:f>ROUNDDOWN(('经济参数'!$E$20+A841*'经济参数'!$E$21)*G841,0)</x:f>
        <x:v>16880</x:v>
      </x:c>
      <x:c r="O841" s="119" t="n">
        <x:f>ROUNDDOWN(MIN('经济参数'!$E$24,'经济参数'!$E$22+A841*'经济参数'!$E$23)*G841,0)</x:f>
        <x:v>0</x:v>
      </x:c>
      <x:c r="P841" s="119" t="n">
        <x:f>ROUNDDOWN((IF(A841&gt;='材料与任务'!$E$31,'材料与任务'!$E$32,IF(A841&gt;='材料与任务'!$E$25,'材料与任务'!$E$26,IF(A841&gt;='材料与任务'!$E$19,'材料与任务'!$E$20,IF(A841&gt;='材料与任务'!$E$13,'材料与任务'!$E$14,'材料与任务'!$E$8)))))*G841,0)</x:f>
        <x:v>6</x:v>
      </x:c>
      <x:c r="Q841" s="119" t="n">
        <x:f>ROUNDDOWN((IF(A841&gt;='材料与任务'!$E$31,'材料与任务'!$E$33,IF(A841&gt;='材料与任务'!$E$25,'材料与任务'!$E$27,IF(A841&gt;='材料与任务'!$E$19,'材料与任务'!$E$21,IF(A841&gt;='材料与任务'!$E$13,'材料与任务'!$E$15,'材料与任务'!$E$9)))))*G841,0)</x:f>
        <x:v>3</x:v>
      </x:c>
      <x:c r="R841" s="110" t="n">
        <x:f>'装备掉落'!$B$38</x:f>
        <x:v>0.6872058758851213</x:v>
      </x:c>
      <x:c r="S841" s="119" t="n">
        <x:f>MAX(IF(VLOOKUP(A841,'装备掉落'!$A$29:$H$34,2,TRUE)&gt;0,1,0),IF(VLOOKUP(A841,'装备掉落'!$A$29:$H$34,3,TRUE)&gt;0,2,0),IF(VLOOKUP(A841,'装备掉落'!$A$29:$H$34,4,TRUE)&gt;0,3,0),IF(VLOOKUP(A841,'装备掉落'!$A$29:$H$34,5,TRUE)&gt;0,4,0),IF(VLOOKUP(A841,'装备掉落'!$A$29:$H$34,6,TRUE)&gt;0,5,0),IF(VLOOKUP(A841,'装备掉落'!$A$29:$H$34,7,TRUE)&gt;0,6,0),IF(VLOOKUP(A841,'装备掉落'!$A$29:$H$34,8,TRUE)&gt;0,7,0))</x:f>
        <x:v>7</x:v>
      </x:c>
      <x:c r="T841" s="119" t="n">
        <x:f>MIN(7,S841+'经济参数'!$E$70)</x:f>
        <x:v>7</x:v>
      </x:c>
      <x:c r="U841" s="119" t="n">
        <x:f>MIN(7,S841+'经济参数'!$E$71)</x:f>
        <x:v>7</x:v>
      </x:c>
      <x:c r="V841" s="119" t="n">
        <x:f>IF(H841&gt;=('难度参数'!$E$52),1,0)+IF(H841&gt;=('难度参数'!$E$52+'难度参数'!$E$53),1,0)+IF(H841&gt;=('难度参数'!$E$52+'难度参数'!$E$53+'难度参数'!$E$54),1,0)+IF(H841&gt;=('难度参数'!$E$52+'难度参数'!$E$53+'难度参数'!$E$54+'难度参数'!$E$55),1,0)+IF(H841&gt;=('难度参数'!$E$52+'难度参数'!$E$53+'难度参数'!$E$54+'难度参数'!$E$55+'难度参数'!$E$56),1,0)+IF(H841&gt;=('难度参数'!$E$52+'难度参数'!$E$53+'难度参数'!$E$54+'难度参数'!$E$55+'难度参数'!$E$56+'难度参数'!$E$57),1,0)</x:f>
        <x:v>6</x:v>
      </x:c>
      <x:c r="W841" s="62" t="str">
        <x:f>IF(L841&gt;'难度参数'!$E$51,"仅出怪已超目标","还需实测")</x:f>
        <x:v>仅出怪已超目标</x:v>
      </x:c>
      <x:c r="X841" s="119" t="n">
        <x:f>IF(1&gt;D841,0,MAX(2,MIN('难度参数'!$E$12,ROUND(('难度参数'!$E$18*POWER(A841,'难度参数'!$E$19)/D841*(0.85+0.3*(1-1)/MAX(1,D841-1))),0)+F841)))</x:f>
        <x:v>42</x:v>
      </x:c>
      <x:c r="Y841" s="119" t="n">
        <x:f>IF(1&gt;D841,0,ROUND(('难度参数'!$E$13*POWER(A841,'难度参数'!$E$20)*MIN('难度参数'!$E$23,1+MAX(0,A841-'难度参数'!$E$21)*'难度参数'!$E$22))*(36+1*7)/(36+7*(D841+1)/2)*E841,0))</x:f>
        <x:v>11514</x:v>
      </x:c>
      <x:c r="Z841" s="119" t="n">
        <x:f>IF(X841=0,0,(X841-IF(1=D841,1,0))*ROUND(Y841*VLOOKUP(INDEX('章节与怪物'!$E$31:$K$37,B841,1),'章节与怪物'!$A$41:$F$44,2,FALSE),0)+IF(1=D841,ROUND(Y841*'难度参数'!$E$28*'章节与怪物'!$E$17,0),0))</x:f>
        <x:v>348180</x:v>
      </x:c>
      <x:c r="AA841" s="119" t="n">
        <x:f>IF(X841=0,0,(X841-IF(1=D841,1,0))*VLOOKUP(INDEX('章节与怪物'!$E$31:$K$37,B841,1),'章节与怪物'!$A$41:$F$44,4,FALSE)+IF(1=D841,'难度参数'!$E$30,0))</x:f>
        <x:v>840</x:v>
      </x:c>
      <x:c r="AB841" s="119" t="n">
        <x:f>IF(2&gt;D841,0,MAX(2,MIN('难度参数'!$E$12,ROUND(('难度参数'!$E$18*POWER(A841,'难度参数'!$E$19)/D841*(0.85+0.3*(2-1)/MAX(1,D841-1))),0)+F841)))</x:f>
        <x:v>45</x:v>
      </x:c>
      <x:c r="AC841" s="119" t="n">
        <x:f>IF(2&gt;D841,0,ROUND(('难度参数'!$E$13*POWER(A841,'难度参数'!$E$20)*MIN('难度参数'!$E$23,1+MAX(0,A841-'难度参数'!$E$21)*'难度参数'!$E$22))*(36+2*7)/(36+7*(D841+1)/2)*E841,0))</x:f>
        <x:v>13389</x:v>
      </x:c>
      <x:c r="AD841" s="119" t="n">
        <x:f>IF(AB841=0,0,(AB841-IF(2=D841,1,0))*ROUND(AC841*VLOOKUP(INDEX('章节与怪物'!$E$31:$K$37,B841,2),'章节与怪物'!$A$41:$F$44,2,FALSE),0)+IF(2=D841,ROUND(AC841*'难度参数'!$E$28*'章节与怪物'!$E$17,0),0))</x:f>
        <x:v>602505</x:v>
      </x:c>
      <x:c r="AE841" s="119" t="n">
        <x:f>IF(AB841=0,0,(AB841-IF(2=D841,1,0))*VLOOKUP(INDEX('章节与怪物'!$E$31:$K$37,B841,2),'章节与怪物'!$A$41:$F$44,4,FALSE)+IF(2=D841,'难度参数'!$E$30,0))</x:f>
        <x:v>810</x:v>
      </x:c>
      <x:c r="AF841" s="119" t="n">
        <x:f>IF(3&gt;D841,0,MAX(2,MIN('难度参数'!$E$12,ROUND(('难度参数'!$E$18*POWER(A841,'难度参数'!$E$19)/D841*(0.85+0.3*(3-1)/MAX(1,D841-1))),0)+F841)))</x:f>
        <x:v>47</x:v>
      </x:c>
      <x:c r="AG841" s="119" t="n">
        <x:f>IF(3&gt;D841,0,ROUND(('难度参数'!$E$13*POWER(A841,'难度参数'!$E$20)*MIN('难度参数'!$E$23,1+MAX(0,A841-'难度参数'!$E$21)*'难度参数'!$E$22))*(36+3*7)/(36+7*(D841+1)/2)*E841,0))</x:f>
        <x:v>15263</x:v>
      </x:c>
      <x:c r="AH841" s="119" t="n">
        <x:f>IF(AF841=0,0,(AF841-IF(3=D841,1,0))*ROUND(AG841*VLOOKUP(INDEX('章节与怪物'!$E$31:$K$37,B841,3),'章节与怪物'!$A$41:$F$44,2,FALSE),0)+IF(3=D841,ROUND(AG841*'难度参数'!$E$28*'章节与怪物'!$E$17,0),0))</x:f>
        <x:v>1219509</x:v>
      </x:c>
      <x:c r="AI841" s="119" t="n">
        <x:f>IF(AF841=0,0,(AF841-IF(3=D841,1,0))*VLOOKUP(INDEX('章节与怪物'!$E$31:$K$37,B841,3),'章节与怪物'!$A$41:$F$44,4,FALSE)+IF(3=D841,'难度参数'!$E$30,0))</x:f>
        <x:v>1316</x:v>
      </x:c>
      <x:c r="AJ841" s="119" t="n">
        <x:f>IF(4&gt;D841,0,MAX(2,MIN('难度参数'!$E$12,ROUND(('难度参数'!$E$18*POWER(A841,'难度参数'!$E$19)/D841*(0.85+0.3*(4-1)/MAX(1,D841-1))),0)+F841)))</x:f>
        <x:v>50</x:v>
      </x:c>
      <x:c r="AK841" s="119" t="n">
        <x:f>IF(4&gt;D841,0,ROUND(('难度参数'!$E$13*POWER(A841,'难度参数'!$E$20)*MIN('难度参数'!$E$23,1+MAX(0,A841-'难度参数'!$E$21)*'难度参数'!$E$22))*(36+4*7)/(36+7*(D841+1)/2)*E841,0))</x:f>
        <x:v>17138</x:v>
      </x:c>
      <x:c r="AL841" s="119" t="n">
        <x:f>IF(AJ841=0,0,(AJ841-IF(4=D841,1,0))*ROUND(AK841*VLOOKUP(INDEX('章节与怪物'!$E$31:$K$37,B841,4),'章节与怪物'!$A$41:$F$44,2,FALSE),0)+IF(4=D841,ROUND(AK841*'难度参数'!$E$28*'章节与怪物'!$E$17,0),0))</x:f>
        <x:v>1156800</x:v>
      </x:c>
      <x:c r="AM841" s="119" t="n">
        <x:f>IF(AJ841=0,0,(AJ841-IF(4=D841,1,0))*VLOOKUP(INDEX('章节与怪物'!$E$31:$K$37,B841,4),'章节与怪物'!$A$41:$F$44,4,FALSE)+IF(4=D841,'难度参数'!$E$30,0))</x:f>
        <x:v>1700</x:v>
      </x:c>
      <x:c r="AN841" s="119" t="n">
        <x:f>IF(5&gt;D841,0,MAX(2,MIN('难度参数'!$E$12,ROUND(('难度参数'!$E$18*POWER(A841,'难度参数'!$E$19)/D841*(0.85+0.3*(5-1)/MAX(1,D841-1))),0)+F841)))</x:f>
        <x:v>52</x:v>
      </x:c>
      <x:c r="AO841" s="119" t="n">
        <x:f>IF(5&gt;D841,0,ROUND(('难度参数'!$E$13*POWER(A841,'难度参数'!$E$20)*MIN('难度参数'!$E$23,1+MAX(0,A841-'难度参数'!$E$21)*'难度参数'!$E$22))*(36+5*7)/(36+7*(D841+1)/2)*E841,0))</x:f>
        <x:v>19012</x:v>
      </x:c>
      <x:c r="AP841" s="119" t="n">
        <x:f>IF(AN841=0,0,(AN841-IF(5=D841,1,0))*ROUND(AO841*VLOOKUP(INDEX('章节与怪物'!$E$31:$K$37,B841,5),'章节与怪物'!$A$41:$F$44,2,FALSE),0)+IF(5=D841,ROUND(AO841*'难度参数'!$E$28*'章节与怪物'!$E$17,0),0))</x:f>
        <x:v>988624</x:v>
      </x:c>
      <x:c r="AQ841" s="119" t="n">
        <x:f>IF(AN841=0,0,(AN841-IF(5=D841,1,0))*VLOOKUP(INDEX('章节与怪物'!$E$31:$K$37,B841,5),'章节与怪物'!$A$41:$F$44,4,FALSE)+IF(5=D841,'难度参数'!$E$30,0))</x:f>
        <x:v>936</x:v>
      </x:c>
      <x:c r="AR841" s="119" t="n">
        <x:f>IF(6&gt;D841,0,MAX(2,MIN('难度参数'!$E$12,ROUND(('难度参数'!$E$18*POWER(A841,'难度参数'!$E$19)/D841*(0.85+0.3*(6-1)/MAX(1,D841-1))),0)+F841)))</x:f>
        <x:v>55</x:v>
      </x:c>
      <x:c r="AS841" s="119" t="n">
        <x:f>IF(6&gt;D841,0,ROUND(('难度参数'!$E$13*POWER(A841,'难度参数'!$E$20)*MIN('难度参数'!$E$23,1+MAX(0,A841-'难度参数'!$E$21)*'难度参数'!$E$22))*(36+6*7)/(36+7*(D841+1)/2)*E841,0))</x:f>
        <x:v>20886</x:v>
      </x:c>
      <x:c r="AT841" s="119" t="n">
        <x:f>IF(AR841=0,0,(AR841-IF(6=D841,1,0))*ROUND(AS841*VLOOKUP(INDEX('章节与怪物'!$E$31:$K$37,B841,6),'章节与怪物'!$A$41:$F$44,2,FALSE),0)+IF(6=D841,ROUND(AS841*'难度参数'!$E$28*'章节与怪物'!$E$17,0),0))</x:f>
        <x:v>1952830</x:v>
      </x:c>
      <x:c r="AU841" s="119" t="n">
        <x:f>IF(AR841=0,0,(AR841-IF(6=D841,1,0))*VLOOKUP(INDEX('章节与怪物'!$E$31:$K$37,B841,6),'章节与怪物'!$A$41:$F$44,4,FALSE)+IF(6=D841,'难度参数'!$E$30,0))</x:f>
        <x:v>1540</x:v>
      </x:c>
      <x:c r="AV841" s="119" t="n">
        <x:f>IF(7&gt;D841,0,MAX(2,MIN('难度参数'!$E$12,ROUND(('难度参数'!$E$18*POWER(A841,'难度参数'!$E$19)/D841*(0.85+0.3*(7-1)/MAX(1,D841-1))),0)+F841)))</x:f>
        <x:v>57</x:v>
      </x:c>
      <x:c r="AW841" s="119" t="n">
        <x:f>IF(7&gt;D841,0,ROUND(('难度参数'!$E$13*POWER(A841,'难度参数'!$E$20)*MIN('难度参数'!$E$23,1+MAX(0,A841-'难度参数'!$E$21)*'难度参数'!$E$22))*(36+7*7)/(36+7*(D841+1)/2)*E841,0))</x:f>
        <x:v>22761</x:v>
      </x:c>
      <x:c r="AX841" s="119" t="n">
        <x:f>IF(AV841=0,0,(AV841-IF(7=D841,1,0))*ROUND(AW841*VLOOKUP(INDEX('章节与怪物'!$E$31:$K$37,B841,7),'章节与怪物'!$A$41:$F$44,2,FALSE),0)+IF(7=D841,ROUND(AW841*'难度参数'!$E$28*'章节与怪物'!$E$17,0),0))</x:f>
        <x:v>1875487</x:v>
      </x:c>
      <x:c r="AY841" s="119" t="n">
        <x:f>IF(AV841=0,0,(AV841-IF(7=D841,1,0))*VLOOKUP(INDEX('章节与怪物'!$E$31:$K$37,B841,7),'章节与怪物'!$A$41:$F$44,4,FALSE)+IF(7=D841,'难度参数'!$E$30,0))</x:f>
        <x:v>2104</x:v>
      </x:c>
    </x:row>
    <x:row r="842" ht="23" customHeight="1">
      <x:c r="A842" s="119" t="n">
        <x:v>836</x:v>
      </x:c>
      <x:c r="B842" s="119" t="n">
        <x:f>MOD(INT((A842-1)/5),7)+1</x:f>
        <x:v>7</x:v>
      </x:c>
      <x:c r="C842" s="62" t="str">
        <x:f>INDEX('章节与怪物'!$B$31:$B$37,B842)</x:f>
        <x:v>魔法山脊</x:v>
      </x:c>
      <x:c r="D842" s="119" t="n">
        <x:f>MIN('难度参数'!$E$8,MAX('难度参数'!$E$7,A842))</x:f>
        <x:v>7</x:v>
      </x:c>
      <x:c r="E842" s="106" t="n">
        <x:v>1</x:v>
      </x:c>
      <x:c r="F842" s="106" t="n">
        <x:v>0</x:v>
      </x:c>
      <x:c r="G842" s="106" t="n">
        <x:v>1</x:v>
      </x:c>
      <x:c r="H842" s="119" t="n">
        <x:f>SUM(X842,AB842,AF842,AJ842,AN842,AR842,AV842)</x:f>
        <x:v>348</x:v>
      </x:c>
      <x:c r="I842" s="119" t="n">
        <x:f>SUM(Z842,AD842,AH842,AL842,AP842,AT842,AX842)</x:f>
        <x:v>7840468</x:v>
      </x:c>
      <x:c r="J842" s="119" t="n">
        <x:f>ROUND(INDEX(X842:AY842,1,(D842-1)*4+2)*'难度参数'!$E$28*'章节与怪物'!$E$17,0)</x:f>
        <x:v>154904</x:v>
      </x:c>
      <x:c r="K842" s="119" t="n">
        <x:f>SUM(AA842,AE842,AI842,AM842,AQ842,AU842,AY842)</x:f>
        <x:v>9356</x:v>
      </x:c>
      <x:c r="L842" s="62" t="n">
        <x:f>H842*(ROUNDUP('难度参数'!$E$24/('难度参数'!$E$26*'难度参数'!$E$27),0)*'难度参数'!$E$26)/60</x:f>
        <x:v>4.640000000000001</x:v>
      </x:c>
      <x:c r="M842" s="62" t="n">
        <x:f>L842+D842*('难度参数'!$E$49+'难度参数'!$E$50)/60</x:f>
        <x:v>5.8066666666666675</x:v>
      </x:c>
      <x:c r="N842" s="119" t="n">
        <x:f>ROUNDDOWN(('经济参数'!$E$20+A842*'经济参数'!$E$21)*G842,0)</x:f>
        <x:v>16900</x:v>
      </x:c>
      <x:c r="O842" s="119" t="n">
        <x:f>ROUNDDOWN(MIN('经济参数'!$E$24,'经济参数'!$E$22+A842*'经济参数'!$E$23)*G842,0)</x:f>
        <x:v>0</x:v>
      </x:c>
      <x:c r="P842" s="119" t="n">
        <x:f>ROUNDDOWN((IF(A842&gt;='材料与任务'!$E$31,'材料与任务'!$E$32,IF(A842&gt;='材料与任务'!$E$25,'材料与任务'!$E$26,IF(A842&gt;='材料与任务'!$E$19,'材料与任务'!$E$20,IF(A842&gt;='材料与任务'!$E$13,'材料与任务'!$E$14,'材料与任务'!$E$8)))))*G842,0)</x:f>
        <x:v>6</x:v>
      </x:c>
      <x:c r="Q842" s="119" t="n">
        <x:f>ROUNDDOWN((IF(A842&gt;='材料与任务'!$E$31,'材料与任务'!$E$33,IF(A842&gt;='材料与任务'!$E$25,'材料与任务'!$E$27,IF(A842&gt;='材料与任务'!$E$19,'材料与任务'!$E$21,IF(A842&gt;='材料与任务'!$E$13,'材料与任务'!$E$15,'材料与任务'!$E$9)))))*G842,0)</x:f>
        <x:v>3</x:v>
      </x:c>
      <x:c r="R842" s="110" t="n">
        <x:f>'装备掉落'!$B$38</x:f>
        <x:v>0.6872058758851213</x:v>
      </x:c>
      <x:c r="S842" s="119" t="n">
        <x:f>MAX(IF(VLOOKUP(A842,'装备掉落'!$A$29:$H$34,2,TRUE)&gt;0,1,0),IF(VLOOKUP(A842,'装备掉落'!$A$29:$H$34,3,TRUE)&gt;0,2,0),IF(VLOOKUP(A842,'装备掉落'!$A$29:$H$34,4,TRUE)&gt;0,3,0),IF(VLOOKUP(A842,'装备掉落'!$A$29:$H$34,5,TRUE)&gt;0,4,0),IF(VLOOKUP(A842,'装备掉落'!$A$29:$H$34,6,TRUE)&gt;0,5,0),IF(VLOOKUP(A842,'装备掉落'!$A$29:$H$34,7,TRUE)&gt;0,6,0),IF(VLOOKUP(A842,'装备掉落'!$A$29:$H$34,8,TRUE)&gt;0,7,0))</x:f>
        <x:v>7</x:v>
      </x:c>
      <x:c r="T842" s="119" t="n">
        <x:f>MIN(7,S842+'经济参数'!$E$70)</x:f>
        <x:v>7</x:v>
      </x:c>
      <x:c r="U842" s="119" t="n">
        <x:f>MIN(7,S842+'经济参数'!$E$71)</x:f>
        <x:v>7</x:v>
      </x:c>
      <x:c r="V842" s="119" t="n">
        <x:f>IF(H842&gt;=('难度参数'!$E$52),1,0)+IF(H842&gt;=('难度参数'!$E$52+'难度参数'!$E$53),1,0)+IF(H842&gt;=('难度参数'!$E$52+'难度参数'!$E$53+'难度参数'!$E$54),1,0)+IF(H842&gt;=('难度参数'!$E$52+'难度参数'!$E$53+'难度参数'!$E$54+'难度参数'!$E$55),1,0)+IF(H842&gt;=('难度参数'!$E$52+'难度参数'!$E$53+'难度参数'!$E$54+'难度参数'!$E$55+'难度参数'!$E$56),1,0)+IF(H842&gt;=('难度参数'!$E$52+'难度参数'!$E$53+'难度参数'!$E$54+'难度参数'!$E$55+'难度参数'!$E$56+'难度参数'!$E$57),1,0)</x:f>
        <x:v>6</x:v>
      </x:c>
      <x:c r="W842" s="62" t="str">
        <x:f>IF(L842&gt;'难度参数'!$E$51,"仅出怪已超目标","还需实测")</x:f>
        <x:v>仅出怪已超目标</x:v>
      </x:c>
      <x:c r="X842" s="119" t="n">
        <x:f>IF(1&gt;D842,0,MAX(2,MIN('难度参数'!$E$12,ROUND(('难度参数'!$E$18*POWER(A842,'难度参数'!$E$19)/D842*(0.85+0.3*(1-1)/MAX(1,D842-1))),0)+F842)))</x:f>
        <x:v>42</x:v>
      </x:c>
      <x:c r="Y842" s="119" t="n">
        <x:f>IF(1&gt;D842,0,ROUND(('难度参数'!$E$13*POWER(A842,'难度参数'!$E$20)*MIN('难度参数'!$E$23,1+MAX(0,A842-'难度参数'!$E$21)*'难度参数'!$E$22))*(36+1*7)/(36+7*(D842+1)/2)*E842,0))</x:f>
        <x:v>11524</x:v>
      </x:c>
      <x:c r="Z842" s="119" t="n">
        <x:f>IF(X842=0,0,(X842-IF(1=D842,1,0))*ROUND(Y842*VLOOKUP(INDEX('章节与怪物'!$E$31:$K$37,B842,1),'章节与怪物'!$A$41:$F$44,2,FALSE),0)+IF(1=D842,ROUND(Y842*'难度参数'!$E$28*'章节与怪物'!$E$17,0),0))</x:f>
        <x:v>484008</x:v>
      </x:c>
      <x:c r="AA842" s="119" t="n">
        <x:f>IF(X842=0,0,(X842-IF(1=D842,1,0))*VLOOKUP(INDEX('章节与怪物'!$E$31:$K$37,B842,1),'章节与怪物'!$A$41:$F$44,4,FALSE)+IF(1=D842,'难度参数'!$E$30,0))</x:f>
        <x:v>756</x:v>
      </x:c>
      <x:c r="AB842" s="119" t="n">
        <x:f>IF(2&gt;D842,0,MAX(2,MIN('难度参数'!$E$12,ROUND(('难度参数'!$E$18*POWER(A842,'难度参数'!$E$19)/D842*(0.85+0.3*(2-1)/MAX(1,D842-1))),0)+F842)))</x:f>
        <x:v>45</x:v>
      </x:c>
      <x:c r="AC842" s="119" t="n">
        <x:f>IF(2&gt;D842,0,ROUND(('难度参数'!$E$13*POWER(A842,'难度参数'!$E$20)*MIN('难度参数'!$E$23,1+MAX(0,A842-'难度参数'!$E$21)*'难度参数'!$E$22))*(36+2*7)/(36+7*(D842+1)/2)*E842,0))</x:f>
        <x:v>13400</x:v>
      </x:c>
      <x:c r="AD842" s="119" t="n">
        <x:f>IF(AB842=0,0,(AB842-IF(2=D842,1,0))*ROUND(AC842*VLOOKUP(INDEX('章节与怪物'!$E$31:$K$37,B842,2),'章节与怪物'!$A$41:$F$44,2,FALSE),0)+IF(2=D842,ROUND(AC842*'难度参数'!$E$28*'章节与怪物'!$E$17,0),0))</x:f>
        <x:v>434160</x:v>
      </x:c>
      <x:c r="AE842" s="119" t="n">
        <x:f>IF(AB842=0,0,(AB842-IF(2=D842,1,0))*VLOOKUP(INDEX('章节与怪物'!$E$31:$K$37,B842,2),'章节与怪物'!$A$41:$F$44,4,FALSE)+IF(2=D842,'难度参数'!$E$30,0))</x:f>
        <x:v>900</x:v>
      </x:c>
      <x:c r="AF842" s="119" t="n">
        <x:f>IF(3&gt;D842,0,MAX(2,MIN('难度参数'!$E$12,ROUND(('难度参数'!$E$18*POWER(A842,'难度参数'!$E$19)/D842*(0.85+0.3*(3-1)/MAX(1,D842-1))),0)+F842)))</x:f>
        <x:v>47</x:v>
      </x:c>
      <x:c r="AG842" s="119" t="n">
        <x:f>IF(3&gt;D842,0,ROUND(('难度参数'!$E$13*POWER(A842,'难度参数'!$E$20)*MIN('难度参数'!$E$23,1+MAX(0,A842-'难度参数'!$E$21)*'难度参数'!$E$22))*(36+3*7)/(36+7*(D842+1)/2)*E842,0))</x:f>
        <x:v>15276</x:v>
      </x:c>
      <x:c r="AH842" s="119" t="n">
        <x:f>IF(AF842=0,0,(AF842-IF(3=D842,1,0))*ROUND(AG842*VLOOKUP(INDEX('章节与怪物'!$E$31:$K$37,B842,3),'章节与怪物'!$A$41:$F$44,2,FALSE),0)+IF(3=D842,ROUND(AG842*'难度参数'!$E$28*'章节与怪物'!$E$17,0),0))</x:f>
        <x:v>1220543</x:v>
      </x:c>
      <x:c r="AI842" s="119" t="n">
        <x:f>IF(AF842=0,0,(AF842-IF(3=D842,1,0))*VLOOKUP(INDEX('章节与怪物'!$E$31:$K$37,B842,3),'章节与怪物'!$A$41:$F$44,4,FALSE)+IF(3=D842,'难度参数'!$E$30,0))</x:f>
        <x:v>1316</x:v>
      </x:c>
      <x:c r="AJ842" s="119" t="n">
        <x:f>IF(4&gt;D842,0,MAX(2,MIN('难度参数'!$E$12,ROUND(('难度参数'!$E$18*POWER(A842,'难度参数'!$E$19)/D842*(0.85+0.3*(4-1)/MAX(1,D842-1))),0)+F842)))</x:f>
        <x:v>50</x:v>
      </x:c>
      <x:c r="AK842" s="119" t="n">
        <x:f>IF(4&gt;D842,0,ROUND(('难度参数'!$E$13*POWER(A842,'难度参数'!$E$20)*MIN('难度参数'!$E$23,1+MAX(0,A842-'难度参数'!$E$21)*'难度参数'!$E$22))*(36+4*7)/(36+7*(D842+1)/2)*E842,0))</x:f>
        <x:v>17152</x:v>
      </x:c>
      <x:c r="AL842" s="119" t="n">
        <x:f>IF(AJ842=0,0,(AJ842-IF(4=D842,1,0))*ROUND(AK842*VLOOKUP(INDEX('章节与怪物'!$E$31:$K$37,B842,4),'章节与怪物'!$A$41:$F$44,2,FALSE),0)+IF(4=D842,ROUND(AK842*'难度参数'!$E$28*'章节与怪物'!$E$17,0),0))</x:f>
        <x:v>1157750</x:v>
      </x:c>
      <x:c r="AM842" s="119" t="n">
        <x:f>IF(AJ842=0,0,(AJ842-IF(4=D842,1,0))*VLOOKUP(INDEX('章节与怪物'!$E$31:$K$37,B842,4),'章节与怪物'!$A$41:$F$44,4,FALSE)+IF(4=D842,'难度参数'!$E$30,0))</x:f>
        <x:v>1700</x:v>
      </x:c>
      <x:c r="AN842" s="119" t="n">
        <x:f>IF(5&gt;D842,0,MAX(2,MIN('难度参数'!$E$12,ROUND(('难度参数'!$E$18*POWER(A842,'难度参数'!$E$19)/D842*(0.85+0.3*(5-1)/MAX(1,D842-1))),0)+F842)))</x:f>
        <x:v>52</x:v>
      </x:c>
      <x:c r="AO842" s="119" t="n">
        <x:f>IF(5&gt;D842,0,ROUND(('难度参数'!$E$13*POWER(A842,'难度参数'!$E$20)*MIN('难度参数'!$E$23,1+MAX(0,A842-'难度参数'!$E$21)*'难度参数'!$E$22))*(36+5*7)/(36+7*(D842+1)/2)*E842,0))</x:f>
        <x:v>19028</x:v>
      </x:c>
      <x:c r="AP842" s="119" t="n">
        <x:f>IF(AN842=0,0,(AN842-IF(5=D842,1,0))*ROUND(AO842*VLOOKUP(INDEX('章节与怪物'!$E$31:$K$37,B842,5),'章节与怪物'!$A$41:$F$44,2,FALSE),0)+IF(5=D842,ROUND(AO842*'难度参数'!$E$28*'章节与怪物'!$E$17,0),0))</x:f>
        <x:v>712400</x:v>
      </x:c>
      <x:c r="AQ842" s="119" t="n">
        <x:f>IF(AN842=0,0,(AN842-IF(5=D842,1,0))*VLOOKUP(INDEX('章节与怪物'!$E$31:$K$37,B842,5),'章节与怪物'!$A$41:$F$44,4,FALSE)+IF(5=D842,'难度参数'!$E$30,0))</x:f>
        <x:v>1040</x:v>
      </x:c>
      <x:c r="AR842" s="119" t="n">
        <x:f>IF(6&gt;D842,0,MAX(2,MIN('难度参数'!$E$12,ROUND(('难度参数'!$E$18*POWER(A842,'难度参数'!$E$19)/D842*(0.85+0.3*(6-1)/MAX(1,D842-1))),0)+F842)))</x:f>
        <x:v>55</x:v>
      </x:c>
      <x:c r="AS842" s="119" t="n">
        <x:f>IF(6&gt;D842,0,ROUND(('难度参数'!$E$13*POWER(A842,'难度参数'!$E$20)*MIN('难度参数'!$E$23,1+MAX(0,A842-'难度参数'!$E$21)*'难度参数'!$E$22))*(36+6*7)/(36+7*(D842+1)/2)*E842,0))</x:f>
        <x:v>20904</x:v>
      </x:c>
      <x:c r="AT842" s="119" t="n">
        <x:f>IF(AR842=0,0,(AR842-IF(6=D842,1,0))*ROUND(AS842*VLOOKUP(INDEX('章节与怪物'!$E$31:$K$37,B842,6),'章节与怪物'!$A$41:$F$44,2,FALSE),0)+IF(6=D842,ROUND(AS842*'难度参数'!$E$28*'章节与怪物'!$E$17,0),0))</x:f>
        <x:v>1954535</x:v>
      </x:c>
      <x:c r="AU842" s="119" t="n">
        <x:f>IF(AR842=0,0,(AR842-IF(6=D842,1,0))*VLOOKUP(INDEX('章节与怪物'!$E$31:$K$37,B842,6),'章节与怪物'!$A$41:$F$44,4,FALSE)+IF(6=D842,'难度参数'!$E$30,0))</x:f>
        <x:v>1540</x:v>
      </x:c>
      <x:c r="AV842" s="119" t="n">
        <x:f>IF(7&gt;D842,0,MAX(2,MIN('难度参数'!$E$12,ROUND(('难度参数'!$E$18*POWER(A842,'难度参数'!$E$19)/D842*(0.85+0.3*(7-1)/MAX(1,D842-1))),0)+F842)))</x:f>
        <x:v>57</x:v>
      </x:c>
      <x:c r="AW842" s="119" t="n">
        <x:f>IF(7&gt;D842,0,ROUND(('难度参数'!$E$13*POWER(A842,'难度参数'!$E$20)*MIN('难度参数'!$E$23,1+MAX(0,A842-'难度参数'!$E$21)*'难度参数'!$E$22))*(36+7*7)/(36+7*(D842+1)/2)*E842,0))</x:f>
        <x:v>22780</x:v>
      </x:c>
      <x:c r="AX842" s="119" t="n">
        <x:f>IF(AV842=0,0,(AV842-IF(7=D842,1,0))*ROUND(AW842*VLOOKUP(INDEX('章节与怪物'!$E$31:$K$37,B842,7),'章节与怪物'!$A$41:$F$44,2,FALSE),0)+IF(7=D842,ROUND(AW842*'难度参数'!$E$28*'章节与怪物'!$E$17,0),0))</x:f>
        <x:v>1877072</x:v>
      </x:c>
      <x:c r="AY842" s="119" t="n">
        <x:f>IF(AV842=0,0,(AV842-IF(7=D842,1,0))*VLOOKUP(INDEX('章节与怪物'!$E$31:$K$37,B842,7),'章节与怪物'!$A$41:$F$44,4,FALSE)+IF(7=D842,'难度参数'!$E$30,0))</x:f>
        <x:v>2104</x:v>
      </x:c>
    </x:row>
    <x:row r="843" ht="23" customHeight="1">
      <x:c r="A843" s="119" t="n">
        <x:v>837</x:v>
      </x:c>
      <x:c r="B843" s="119" t="n">
        <x:f>MOD(INT((A843-1)/5),7)+1</x:f>
        <x:v>7</x:v>
      </x:c>
      <x:c r="C843" s="62" t="str">
        <x:f>INDEX('章节与怪物'!$B$31:$B$37,B843)</x:f>
        <x:v>魔法山脊</x:v>
      </x:c>
      <x:c r="D843" s="119" t="n">
        <x:f>MIN('难度参数'!$E$8,MAX('难度参数'!$E$7,A843))</x:f>
        <x:v>7</x:v>
      </x:c>
      <x:c r="E843" s="106" t="n">
        <x:v>1</x:v>
      </x:c>
      <x:c r="F843" s="106" t="n">
        <x:v>0</x:v>
      </x:c>
      <x:c r="G843" s="106" t="n">
        <x:v>1</x:v>
      </x:c>
      <x:c r="H843" s="119" t="n">
        <x:f>SUM(X843,AB843,AF843,AJ843,AN843,AR843,AV843)</x:f>
        <x:v>348</x:v>
      </x:c>
      <x:c r="I843" s="119" t="n">
        <x:f>SUM(Z843,AD843,AH843,AL843,AP843,AT843,AX843)</x:f>
        <x:v>7847249</x:v>
      </x:c>
      <x:c r="J843" s="119" t="n">
        <x:f>ROUND(INDEX(X843:AY843,1,(D843-1)*4+2)*'难度参数'!$E$28*'章节与怪物'!$E$17,0)</x:f>
        <x:v>155040</x:v>
      </x:c>
      <x:c r="K843" s="119" t="n">
        <x:f>SUM(AA843,AE843,AI843,AM843,AQ843,AU843,AY843)</x:f>
        <x:v>9356</x:v>
      </x:c>
      <x:c r="L843" s="62" t="n">
        <x:f>H843*(ROUNDUP('难度参数'!$E$24/('难度参数'!$E$26*'难度参数'!$E$27),0)*'难度参数'!$E$26)/60</x:f>
        <x:v>4.640000000000001</x:v>
      </x:c>
      <x:c r="M843" s="62" t="n">
        <x:f>L843+D843*('难度参数'!$E$49+'难度参数'!$E$50)/60</x:f>
        <x:v>5.8066666666666675</x:v>
      </x:c>
      <x:c r="N843" s="119" t="n">
        <x:f>ROUNDDOWN(('经济参数'!$E$20+A843*'经济参数'!$E$21)*G843,0)</x:f>
        <x:v>16920</x:v>
      </x:c>
      <x:c r="O843" s="119" t="n">
        <x:f>ROUNDDOWN(MIN('经济参数'!$E$24,'经济参数'!$E$22+A843*'经济参数'!$E$23)*G843,0)</x:f>
        <x:v>0</x:v>
      </x:c>
      <x:c r="P843" s="119" t="n">
        <x:f>ROUNDDOWN((IF(A843&gt;='材料与任务'!$E$31,'材料与任务'!$E$32,IF(A843&gt;='材料与任务'!$E$25,'材料与任务'!$E$26,IF(A843&gt;='材料与任务'!$E$19,'材料与任务'!$E$20,IF(A843&gt;='材料与任务'!$E$13,'材料与任务'!$E$14,'材料与任务'!$E$8)))))*G843,0)</x:f>
        <x:v>6</x:v>
      </x:c>
      <x:c r="Q843" s="119" t="n">
        <x:f>ROUNDDOWN((IF(A843&gt;='材料与任务'!$E$31,'材料与任务'!$E$33,IF(A843&gt;='材料与任务'!$E$25,'材料与任务'!$E$27,IF(A843&gt;='材料与任务'!$E$19,'材料与任务'!$E$21,IF(A843&gt;='材料与任务'!$E$13,'材料与任务'!$E$15,'材料与任务'!$E$9)))))*G843,0)</x:f>
        <x:v>3</x:v>
      </x:c>
      <x:c r="R843" s="110" t="n">
        <x:f>'装备掉落'!$B$38</x:f>
        <x:v>0.6872058758851213</x:v>
      </x:c>
      <x:c r="S843" s="119" t="n">
        <x:f>MAX(IF(VLOOKUP(A843,'装备掉落'!$A$29:$H$34,2,TRUE)&gt;0,1,0),IF(VLOOKUP(A843,'装备掉落'!$A$29:$H$34,3,TRUE)&gt;0,2,0),IF(VLOOKUP(A843,'装备掉落'!$A$29:$H$34,4,TRUE)&gt;0,3,0),IF(VLOOKUP(A843,'装备掉落'!$A$29:$H$34,5,TRUE)&gt;0,4,0),IF(VLOOKUP(A843,'装备掉落'!$A$29:$H$34,6,TRUE)&gt;0,5,0),IF(VLOOKUP(A843,'装备掉落'!$A$29:$H$34,7,TRUE)&gt;0,6,0),IF(VLOOKUP(A843,'装备掉落'!$A$29:$H$34,8,TRUE)&gt;0,7,0))</x:f>
        <x:v>7</x:v>
      </x:c>
      <x:c r="T843" s="119" t="n">
        <x:f>MIN(7,S843+'经济参数'!$E$70)</x:f>
        <x:v>7</x:v>
      </x:c>
      <x:c r="U843" s="119" t="n">
        <x:f>MIN(7,S843+'经济参数'!$E$71)</x:f>
        <x:v>7</x:v>
      </x:c>
      <x:c r="V843" s="119" t="n">
        <x:f>IF(H843&gt;=('难度参数'!$E$52),1,0)+IF(H843&gt;=('难度参数'!$E$52+'难度参数'!$E$53),1,0)+IF(H843&gt;=('难度参数'!$E$52+'难度参数'!$E$53+'难度参数'!$E$54),1,0)+IF(H843&gt;=('难度参数'!$E$52+'难度参数'!$E$53+'难度参数'!$E$54+'难度参数'!$E$55),1,0)+IF(H843&gt;=('难度参数'!$E$52+'难度参数'!$E$53+'难度参数'!$E$54+'难度参数'!$E$55+'难度参数'!$E$56),1,0)+IF(H843&gt;=('难度参数'!$E$52+'难度参数'!$E$53+'难度参数'!$E$54+'难度参数'!$E$55+'难度参数'!$E$56+'难度参数'!$E$57),1,0)</x:f>
        <x:v>6</x:v>
      </x:c>
      <x:c r="W843" s="62" t="str">
        <x:f>IF(L843&gt;'难度参数'!$E$51,"仅出怪已超目标","还需实测")</x:f>
        <x:v>仅出怪已超目标</x:v>
      </x:c>
      <x:c r="X843" s="119" t="n">
        <x:f>IF(1&gt;D843,0,MAX(2,MIN('难度参数'!$E$12,ROUND(('难度参数'!$E$18*POWER(A843,'难度参数'!$E$19)/D843*(0.85+0.3*(1-1)/MAX(1,D843-1))),0)+F843)))</x:f>
        <x:v>42</x:v>
      </x:c>
      <x:c r="Y843" s="119" t="n">
        <x:f>IF(1&gt;D843,0,ROUND(('难度参数'!$E$13*POWER(A843,'难度参数'!$E$20)*MIN('难度参数'!$E$23,1+MAX(0,A843-'难度参数'!$E$21)*'难度参数'!$E$22))*(36+1*7)/(36+7*(D843+1)/2)*E843,0))</x:f>
        <x:v>11534</x:v>
      </x:c>
      <x:c r="Z843" s="119" t="n">
        <x:f>IF(X843=0,0,(X843-IF(1=D843,1,0))*ROUND(Y843*VLOOKUP(INDEX('章节与怪物'!$E$31:$K$37,B843,1),'章节与怪物'!$A$41:$F$44,2,FALSE),0)+IF(1=D843,ROUND(Y843*'难度参数'!$E$28*'章节与怪物'!$E$17,0),0))</x:f>
        <x:v>484428</x:v>
      </x:c>
      <x:c r="AA843" s="119" t="n">
        <x:f>IF(X843=0,0,(X843-IF(1=D843,1,0))*VLOOKUP(INDEX('章节与怪物'!$E$31:$K$37,B843,1),'章节与怪物'!$A$41:$F$44,4,FALSE)+IF(1=D843,'难度参数'!$E$30,0))</x:f>
        <x:v>756</x:v>
      </x:c>
      <x:c r="AB843" s="119" t="n">
        <x:f>IF(2&gt;D843,0,MAX(2,MIN('难度参数'!$E$12,ROUND(('难度参数'!$E$18*POWER(A843,'难度参数'!$E$19)/D843*(0.85+0.3*(2-1)/MAX(1,D843-1))),0)+F843)))</x:f>
        <x:v>45</x:v>
      </x:c>
      <x:c r="AC843" s="119" t="n">
        <x:f>IF(2&gt;D843,0,ROUND(('难度参数'!$E$13*POWER(A843,'难度参数'!$E$20)*MIN('难度参数'!$E$23,1+MAX(0,A843-'难度参数'!$E$21)*'难度参数'!$E$22))*(36+2*7)/(36+7*(D843+1)/2)*E843,0))</x:f>
        <x:v>13412</x:v>
      </x:c>
      <x:c r="AD843" s="119" t="n">
        <x:f>IF(AB843=0,0,(AB843-IF(2=D843,1,0))*ROUND(AC843*VLOOKUP(INDEX('章节与怪物'!$E$31:$K$37,B843,2),'章节与怪物'!$A$41:$F$44,2,FALSE),0)+IF(2=D843,ROUND(AC843*'难度参数'!$E$28*'章节与怪物'!$E$17,0),0))</x:f>
        <x:v>434565</x:v>
      </x:c>
      <x:c r="AE843" s="119" t="n">
        <x:f>IF(AB843=0,0,(AB843-IF(2=D843,1,0))*VLOOKUP(INDEX('章节与怪物'!$E$31:$K$37,B843,2),'章节与怪物'!$A$41:$F$44,4,FALSE)+IF(2=D843,'难度参数'!$E$30,0))</x:f>
        <x:v>900</x:v>
      </x:c>
      <x:c r="AF843" s="119" t="n">
        <x:f>IF(3&gt;D843,0,MAX(2,MIN('难度参数'!$E$12,ROUND(('难度参数'!$E$18*POWER(A843,'难度参数'!$E$19)/D843*(0.85+0.3*(3-1)/MAX(1,D843-1))),0)+F843)))</x:f>
        <x:v>47</x:v>
      </x:c>
      <x:c r="AG843" s="119" t="n">
        <x:f>IF(3&gt;D843,0,ROUND(('难度参数'!$E$13*POWER(A843,'难度参数'!$E$20)*MIN('难度参数'!$E$23,1+MAX(0,A843-'难度参数'!$E$21)*'难度参数'!$E$22))*(36+3*7)/(36+7*(D843+1)/2)*E843,0))</x:f>
        <x:v>15289</x:v>
      </x:c>
      <x:c r="AH843" s="119" t="n">
        <x:f>IF(AF843=0,0,(AF843-IF(3=D843,1,0))*ROUND(AG843*VLOOKUP(INDEX('章节与怪物'!$E$31:$K$37,B843,3),'章节与怪物'!$A$41:$F$44,2,FALSE),0)+IF(3=D843,ROUND(AG843*'难度参数'!$E$28*'章节与怪物'!$E$17,0),0))</x:f>
        <x:v>1221577</x:v>
      </x:c>
      <x:c r="AI843" s="119" t="n">
        <x:f>IF(AF843=0,0,(AF843-IF(3=D843,1,0))*VLOOKUP(INDEX('章节与怪物'!$E$31:$K$37,B843,3),'章节与怪物'!$A$41:$F$44,4,FALSE)+IF(3=D843,'难度参数'!$E$30,0))</x:f>
        <x:v>1316</x:v>
      </x:c>
      <x:c r="AJ843" s="119" t="n">
        <x:f>IF(4&gt;D843,0,MAX(2,MIN('难度参数'!$E$12,ROUND(('难度参数'!$E$18*POWER(A843,'难度参数'!$E$19)/D843*(0.85+0.3*(4-1)/MAX(1,D843-1))),0)+F843)))</x:f>
        <x:v>50</x:v>
      </x:c>
      <x:c r="AK843" s="119" t="n">
        <x:f>IF(4&gt;D843,0,ROUND(('难度参数'!$E$13*POWER(A843,'难度参数'!$E$20)*MIN('难度参数'!$E$23,1+MAX(0,A843-'难度参数'!$E$21)*'难度参数'!$E$22))*(36+4*7)/(36+7*(D843+1)/2)*E843,0))</x:f>
        <x:v>17167</x:v>
      </x:c>
      <x:c r="AL843" s="119" t="n">
        <x:f>IF(AJ843=0,0,(AJ843-IF(4=D843,1,0))*ROUND(AK843*VLOOKUP(INDEX('章节与怪物'!$E$31:$K$37,B843,4),'章节与怪物'!$A$41:$F$44,2,FALSE),0)+IF(4=D843,ROUND(AK843*'难度参数'!$E$28*'章节与怪物'!$E$17,0),0))</x:f>
        <x:v>1158750</x:v>
      </x:c>
      <x:c r="AM843" s="119" t="n">
        <x:f>IF(AJ843=0,0,(AJ843-IF(4=D843,1,0))*VLOOKUP(INDEX('章节与怪物'!$E$31:$K$37,B843,4),'章节与怪物'!$A$41:$F$44,4,FALSE)+IF(4=D843,'难度参数'!$E$30,0))</x:f>
        <x:v>1700</x:v>
      </x:c>
      <x:c r="AN843" s="119" t="n">
        <x:f>IF(5&gt;D843,0,MAX(2,MIN('难度参数'!$E$12,ROUND(('难度参数'!$E$18*POWER(A843,'难度参数'!$E$19)/D843*(0.85+0.3*(5-1)/MAX(1,D843-1))),0)+F843)))</x:f>
        <x:v>52</x:v>
      </x:c>
      <x:c r="AO843" s="119" t="n">
        <x:f>IF(5&gt;D843,0,ROUND(('难度参数'!$E$13*POWER(A843,'难度参数'!$E$20)*MIN('难度参数'!$E$23,1+MAX(0,A843-'难度参数'!$E$21)*'难度参数'!$E$22))*(36+5*7)/(36+7*(D843+1)/2)*E843,0))</x:f>
        <x:v>19045</x:v>
      </x:c>
      <x:c r="AP843" s="119" t="n">
        <x:f>IF(AN843=0,0,(AN843-IF(5=D843,1,0))*ROUND(AO843*VLOOKUP(INDEX('章节与怪物'!$E$31:$K$37,B843,5),'章节与怪物'!$A$41:$F$44,2,FALSE),0)+IF(5=D843,ROUND(AO843*'难度参数'!$E$28*'章节与怪物'!$E$17,0),0))</x:f>
        <x:v>713024</x:v>
      </x:c>
      <x:c r="AQ843" s="119" t="n">
        <x:f>IF(AN843=0,0,(AN843-IF(5=D843,1,0))*VLOOKUP(INDEX('章节与怪物'!$E$31:$K$37,B843,5),'章节与怪物'!$A$41:$F$44,4,FALSE)+IF(5=D843,'难度参数'!$E$30,0))</x:f>
        <x:v>1040</x:v>
      </x:c>
      <x:c r="AR843" s="119" t="n">
        <x:f>IF(6&gt;D843,0,MAX(2,MIN('难度参数'!$E$12,ROUND(('难度参数'!$E$18*POWER(A843,'难度参数'!$E$19)/D843*(0.85+0.3*(6-1)/MAX(1,D843-1))),0)+F843)))</x:f>
        <x:v>55</x:v>
      </x:c>
      <x:c r="AS843" s="119" t="n">
        <x:f>IF(6&gt;D843,0,ROUND(('难度参数'!$E$13*POWER(A843,'难度参数'!$E$20)*MIN('难度参数'!$E$23,1+MAX(0,A843-'难度参数'!$E$21)*'难度参数'!$E$22))*(36+6*7)/(36+7*(D843+1)/2)*E843,0))</x:f>
        <x:v>20922</x:v>
      </x:c>
      <x:c r="AT843" s="119" t="n">
        <x:f>IF(AR843=0,0,(AR843-IF(6=D843,1,0))*ROUND(AS843*VLOOKUP(INDEX('章节与怪物'!$E$31:$K$37,B843,6),'章节与怪物'!$A$41:$F$44,2,FALSE),0)+IF(6=D843,ROUND(AS843*'难度参数'!$E$28*'章节与怪物'!$E$17,0),0))</x:f>
        <x:v>1956185</x:v>
      </x:c>
      <x:c r="AU843" s="119" t="n">
        <x:f>IF(AR843=0,0,(AR843-IF(6=D843,1,0))*VLOOKUP(INDEX('章节与怪物'!$E$31:$K$37,B843,6),'章节与怪物'!$A$41:$F$44,4,FALSE)+IF(6=D843,'难度参数'!$E$30,0))</x:f>
        <x:v>1540</x:v>
      </x:c>
      <x:c r="AV843" s="119" t="n">
        <x:f>IF(7&gt;D843,0,MAX(2,MIN('难度参数'!$E$12,ROUND(('难度参数'!$E$18*POWER(A843,'难度参数'!$E$19)/D843*(0.85+0.3*(7-1)/MAX(1,D843-1))),0)+F843)))</x:f>
        <x:v>57</x:v>
      </x:c>
      <x:c r="AW843" s="119" t="n">
        <x:f>IF(7&gt;D843,0,ROUND(('难度参数'!$E$13*POWER(A843,'难度参数'!$E$20)*MIN('难度参数'!$E$23,1+MAX(0,A843-'难度参数'!$E$21)*'难度参数'!$E$22))*(36+7*7)/(36+7*(D843+1)/2)*E843,0))</x:f>
        <x:v>22800</x:v>
      </x:c>
      <x:c r="AX843" s="119" t="n">
        <x:f>IF(AV843=0,0,(AV843-IF(7=D843,1,0))*ROUND(AW843*VLOOKUP(INDEX('章节与怪物'!$E$31:$K$37,B843,7),'章节与怪物'!$A$41:$F$44,2,FALSE),0)+IF(7=D843,ROUND(AW843*'难度参数'!$E$28*'章节与怪物'!$E$17,0),0))</x:f>
        <x:v>1878720</x:v>
      </x:c>
      <x:c r="AY843" s="119" t="n">
        <x:f>IF(AV843=0,0,(AV843-IF(7=D843,1,0))*VLOOKUP(INDEX('章节与怪物'!$E$31:$K$37,B843,7),'章节与怪物'!$A$41:$F$44,4,FALSE)+IF(7=D843,'难度参数'!$E$30,0))</x:f>
        <x:v>2104</x:v>
      </x:c>
    </x:row>
    <x:row r="844" ht="23" customHeight="1">
      <x:c r="A844" s="119" t="n">
        <x:v>838</x:v>
      </x:c>
      <x:c r="B844" s="119" t="n">
        <x:f>MOD(INT((A844-1)/5),7)+1</x:f>
        <x:v>7</x:v>
      </x:c>
      <x:c r="C844" s="62" t="str">
        <x:f>INDEX('章节与怪物'!$B$31:$B$37,B844)</x:f>
        <x:v>魔法山脊</x:v>
      </x:c>
      <x:c r="D844" s="119" t="n">
        <x:f>MIN('难度参数'!$E$8,MAX('难度参数'!$E$7,A844))</x:f>
        <x:v>7</x:v>
      </x:c>
      <x:c r="E844" s="106" t="n">
        <x:v>1</x:v>
      </x:c>
      <x:c r="F844" s="106" t="n">
        <x:v>0</x:v>
      </x:c>
      <x:c r="G844" s="106" t="n">
        <x:v>1</x:v>
      </x:c>
      <x:c r="H844" s="119" t="n">
        <x:f>SUM(X844,AB844,AF844,AJ844,AN844,AR844,AV844)</x:f>
        <x:v>348</x:v>
      </x:c>
      <x:c r="I844" s="119" t="n">
        <x:f>SUM(Z844,AD844,AH844,AL844,AP844,AT844,AX844)</x:f>
        <x:v>7854184</x:v>
      </x:c>
      <x:c r="J844" s="119" t="n">
        <x:f>ROUND(INDEX(X844:AY844,1,(D844-1)*4+2)*'难度参数'!$E$28*'章节与怪物'!$E$17,0)</x:f>
        <x:v>155176</x:v>
      </x:c>
      <x:c r="K844" s="119" t="n">
        <x:f>SUM(AA844,AE844,AI844,AM844,AQ844,AU844,AY844)</x:f>
        <x:v>9356</x:v>
      </x:c>
      <x:c r="L844" s="62" t="n">
        <x:f>H844*(ROUNDUP('难度参数'!$E$24/('难度参数'!$E$26*'难度参数'!$E$27),0)*'难度参数'!$E$26)/60</x:f>
        <x:v>4.640000000000001</x:v>
      </x:c>
      <x:c r="M844" s="62" t="n">
        <x:f>L844+D844*('难度参数'!$E$49+'难度参数'!$E$50)/60</x:f>
        <x:v>5.8066666666666675</x:v>
      </x:c>
      <x:c r="N844" s="119" t="n">
        <x:f>ROUNDDOWN(('经济参数'!$E$20+A844*'经济参数'!$E$21)*G844,0)</x:f>
        <x:v>16940</x:v>
      </x:c>
      <x:c r="O844" s="119" t="n">
        <x:f>ROUNDDOWN(MIN('经济参数'!$E$24,'经济参数'!$E$22+A844*'经济参数'!$E$23)*G844,0)</x:f>
        <x:v>0</x:v>
      </x:c>
      <x:c r="P844" s="119" t="n">
        <x:f>ROUNDDOWN((IF(A844&gt;='材料与任务'!$E$31,'材料与任务'!$E$32,IF(A844&gt;='材料与任务'!$E$25,'材料与任务'!$E$26,IF(A844&gt;='材料与任务'!$E$19,'材料与任务'!$E$20,IF(A844&gt;='材料与任务'!$E$13,'材料与任务'!$E$14,'材料与任务'!$E$8)))))*G844,0)</x:f>
        <x:v>6</x:v>
      </x:c>
      <x:c r="Q844" s="119" t="n">
        <x:f>ROUNDDOWN((IF(A844&gt;='材料与任务'!$E$31,'材料与任务'!$E$33,IF(A844&gt;='材料与任务'!$E$25,'材料与任务'!$E$27,IF(A844&gt;='材料与任务'!$E$19,'材料与任务'!$E$21,IF(A844&gt;='材料与任务'!$E$13,'材料与任务'!$E$15,'材料与任务'!$E$9)))))*G844,0)</x:f>
        <x:v>3</x:v>
      </x:c>
      <x:c r="R844" s="110" t="n">
        <x:f>'装备掉落'!$B$38</x:f>
        <x:v>0.6872058758851213</x:v>
      </x:c>
      <x:c r="S844" s="119" t="n">
        <x:f>MAX(IF(VLOOKUP(A844,'装备掉落'!$A$29:$H$34,2,TRUE)&gt;0,1,0),IF(VLOOKUP(A844,'装备掉落'!$A$29:$H$34,3,TRUE)&gt;0,2,0),IF(VLOOKUP(A844,'装备掉落'!$A$29:$H$34,4,TRUE)&gt;0,3,0),IF(VLOOKUP(A844,'装备掉落'!$A$29:$H$34,5,TRUE)&gt;0,4,0),IF(VLOOKUP(A844,'装备掉落'!$A$29:$H$34,6,TRUE)&gt;0,5,0),IF(VLOOKUP(A844,'装备掉落'!$A$29:$H$34,7,TRUE)&gt;0,6,0),IF(VLOOKUP(A844,'装备掉落'!$A$29:$H$34,8,TRUE)&gt;0,7,0))</x:f>
        <x:v>7</x:v>
      </x:c>
      <x:c r="T844" s="119" t="n">
        <x:f>MIN(7,S844+'经济参数'!$E$70)</x:f>
        <x:v>7</x:v>
      </x:c>
      <x:c r="U844" s="119" t="n">
        <x:f>MIN(7,S844+'经济参数'!$E$71)</x:f>
        <x:v>7</x:v>
      </x:c>
      <x:c r="V844" s="119" t="n">
        <x:f>IF(H844&gt;=('难度参数'!$E$52),1,0)+IF(H844&gt;=('难度参数'!$E$52+'难度参数'!$E$53),1,0)+IF(H844&gt;=('难度参数'!$E$52+'难度参数'!$E$53+'难度参数'!$E$54),1,0)+IF(H844&gt;=('难度参数'!$E$52+'难度参数'!$E$53+'难度参数'!$E$54+'难度参数'!$E$55),1,0)+IF(H844&gt;=('难度参数'!$E$52+'难度参数'!$E$53+'难度参数'!$E$54+'难度参数'!$E$55+'难度参数'!$E$56),1,0)+IF(H844&gt;=('难度参数'!$E$52+'难度参数'!$E$53+'难度参数'!$E$54+'难度参数'!$E$55+'难度参数'!$E$56+'难度参数'!$E$57),1,0)</x:f>
        <x:v>6</x:v>
      </x:c>
      <x:c r="W844" s="62" t="str">
        <x:f>IF(L844&gt;'难度参数'!$E$51,"仅出怪已超目标","还需实测")</x:f>
        <x:v>仅出怪已超目标</x:v>
      </x:c>
      <x:c r="X844" s="119" t="n">
        <x:f>IF(1&gt;D844,0,MAX(2,MIN('难度参数'!$E$12,ROUND(('难度参数'!$E$18*POWER(A844,'难度参数'!$E$19)/D844*(0.85+0.3*(1-1)/MAX(1,D844-1))),0)+F844)))</x:f>
        <x:v>42</x:v>
      </x:c>
      <x:c r="Y844" s="119" t="n">
        <x:f>IF(1&gt;D844,0,ROUND(('难度参数'!$E$13*POWER(A844,'难度参数'!$E$20)*MIN('难度参数'!$E$23,1+MAX(0,A844-'难度参数'!$E$21)*'难度参数'!$E$22))*(36+1*7)/(36+7*(D844+1)/2)*E844,0))</x:f>
        <x:v>11544</x:v>
      </x:c>
      <x:c r="Z844" s="119" t="n">
        <x:f>IF(X844=0,0,(X844-IF(1=D844,1,0))*ROUND(Y844*VLOOKUP(INDEX('章节与怪物'!$E$31:$K$37,B844,1),'章节与怪物'!$A$41:$F$44,2,FALSE),0)+IF(1=D844,ROUND(Y844*'难度参数'!$E$28*'章节与怪物'!$E$17,0),0))</x:f>
        <x:v>484848</x:v>
      </x:c>
      <x:c r="AA844" s="119" t="n">
        <x:f>IF(X844=0,0,(X844-IF(1=D844,1,0))*VLOOKUP(INDEX('章节与怪物'!$E$31:$K$37,B844,1),'章节与怪物'!$A$41:$F$44,4,FALSE)+IF(1=D844,'难度参数'!$E$30,0))</x:f>
        <x:v>756</x:v>
      </x:c>
      <x:c r="AB844" s="119" t="n">
        <x:f>IF(2&gt;D844,0,MAX(2,MIN('难度参数'!$E$12,ROUND(('难度参数'!$E$18*POWER(A844,'难度参数'!$E$19)/D844*(0.85+0.3*(2-1)/MAX(1,D844-1))),0)+F844)))</x:f>
        <x:v>45</x:v>
      </x:c>
      <x:c r="AC844" s="119" t="n">
        <x:f>IF(2&gt;D844,0,ROUND(('难度参数'!$E$13*POWER(A844,'难度参数'!$E$20)*MIN('难度参数'!$E$23,1+MAX(0,A844-'难度参数'!$E$21)*'难度参数'!$E$22))*(36+2*7)/(36+7*(D844+1)/2)*E844,0))</x:f>
        <x:v>13423</x:v>
      </x:c>
      <x:c r="AD844" s="119" t="n">
        <x:f>IF(AB844=0,0,(AB844-IF(2=D844,1,0))*ROUND(AC844*VLOOKUP(INDEX('章节与怪物'!$E$31:$K$37,B844,2),'章节与怪物'!$A$41:$F$44,2,FALSE),0)+IF(2=D844,ROUND(AC844*'难度参数'!$E$28*'章节与怪物'!$E$17,0),0))</x:f>
        <x:v>434925</x:v>
      </x:c>
      <x:c r="AE844" s="119" t="n">
        <x:f>IF(AB844=0,0,(AB844-IF(2=D844,1,0))*VLOOKUP(INDEX('章节与怪物'!$E$31:$K$37,B844,2),'章节与怪物'!$A$41:$F$44,4,FALSE)+IF(2=D844,'难度参数'!$E$30,0))</x:f>
        <x:v>900</x:v>
      </x:c>
      <x:c r="AF844" s="119" t="n">
        <x:f>IF(3&gt;D844,0,MAX(2,MIN('难度参数'!$E$12,ROUND(('难度参数'!$E$18*POWER(A844,'难度参数'!$E$19)/D844*(0.85+0.3*(3-1)/MAX(1,D844-1))),0)+F844)))</x:f>
        <x:v>47</x:v>
      </x:c>
      <x:c r="AG844" s="119" t="n">
        <x:f>IF(3&gt;D844,0,ROUND(('难度参数'!$E$13*POWER(A844,'难度参数'!$E$20)*MIN('难度参数'!$E$23,1+MAX(0,A844-'难度参数'!$E$21)*'难度参数'!$E$22))*(36+3*7)/(36+7*(D844+1)/2)*E844,0))</x:f>
        <x:v>15303</x:v>
      </x:c>
      <x:c r="AH844" s="119" t="n">
        <x:f>IF(AF844=0,0,(AF844-IF(3=D844,1,0))*ROUND(AG844*VLOOKUP(INDEX('章节与怪物'!$E$31:$K$37,B844,3),'章节与怪物'!$A$41:$F$44,2,FALSE),0)+IF(3=D844,ROUND(AG844*'难度参数'!$E$28*'章节与怪物'!$E$17,0),0))</x:f>
        <x:v>1222705</x:v>
      </x:c>
      <x:c r="AI844" s="119" t="n">
        <x:f>IF(AF844=0,0,(AF844-IF(3=D844,1,0))*VLOOKUP(INDEX('章节与怪物'!$E$31:$K$37,B844,3),'章节与怪物'!$A$41:$F$44,4,FALSE)+IF(3=D844,'难度参数'!$E$30,0))</x:f>
        <x:v>1316</x:v>
      </x:c>
      <x:c r="AJ844" s="119" t="n">
        <x:f>IF(4&gt;D844,0,MAX(2,MIN('难度参数'!$E$12,ROUND(('难度参数'!$E$18*POWER(A844,'难度参数'!$E$19)/D844*(0.85+0.3*(4-1)/MAX(1,D844-1))),0)+F844)))</x:f>
        <x:v>50</x:v>
      </x:c>
      <x:c r="AK844" s="119" t="n">
        <x:f>IF(4&gt;D844,0,ROUND(('难度参数'!$E$13*POWER(A844,'难度参数'!$E$20)*MIN('难度参数'!$E$23,1+MAX(0,A844-'难度参数'!$E$21)*'难度参数'!$E$22))*(36+4*7)/(36+7*(D844+1)/2)*E844,0))</x:f>
        <x:v>17182</x:v>
      </x:c>
      <x:c r="AL844" s="119" t="n">
        <x:f>IF(AJ844=0,0,(AJ844-IF(4=D844,1,0))*ROUND(AK844*VLOOKUP(INDEX('章节与怪物'!$E$31:$K$37,B844,4),'章节与怪物'!$A$41:$F$44,2,FALSE),0)+IF(4=D844,ROUND(AK844*'难度参数'!$E$28*'章节与怪物'!$E$17,0),0))</x:f>
        <x:v>1159800</x:v>
      </x:c>
      <x:c r="AM844" s="119" t="n">
        <x:f>IF(AJ844=0,0,(AJ844-IF(4=D844,1,0))*VLOOKUP(INDEX('章节与怪物'!$E$31:$K$37,B844,4),'章节与怪物'!$A$41:$F$44,4,FALSE)+IF(4=D844,'难度参数'!$E$30,0))</x:f>
        <x:v>1700</x:v>
      </x:c>
      <x:c r="AN844" s="119" t="n">
        <x:f>IF(5&gt;D844,0,MAX(2,MIN('难度参数'!$E$12,ROUND(('难度参数'!$E$18*POWER(A844,'难度参数'!$E$19)/D844*(0.85+0.3*(5-1)/MAX(1,D844-1))),0)+F844)))</x:f>
        <x:v>52</x:v>
      </x:c>
      <x:c r="AO844" s="119" t="n">
        <x:f>IF(5&gt;D844,0,ROUND(('难度参数'!$E$13*POWER(A844,'难度参数'!$E$20)*MIN('难度参数'!$E$23,1+MAX(0,A844-'难度参数'!$E$21)*'难度参数'!$E$22))*(36+5*7)/(36+7*(D844+1)/2)*E844,0))</x:f>
        <x:v>19061</x:v>
      </x:c>
      <x:c r="AP844" s="119" t="n">
        <x:f>IF(AN844=0,0,(AN844-IF(5=D844,1,0))*ROUND(AO844*VLOOKUP(INDEX('章节与怪物'!$E$31:$K$37,B844,5),'章节与怪物'!$A$41:$F$44,2,FALSE),0)+IF(5=D844,ROUND(AO844*'难度参数'!$E$28*'章节与怪物'!$E$17,0),0))</x:f>
        <x:v>713648</x:v>
      </x:c>
      <x:c r="AQ844" s="119" t="n">
        <x:f>IF(AN844=0,0,(AN844-IF(5=D844,1,0))*VLOOKUP(INDEX('章节与怪物'!$E$31:$K$37,B844,5),'章节与怪物'!$A$41:$F$44,4,FALSE)+IF(5=D844,'难度参数'!$E$30,0))</x:f>
        <x:v>1040</x:v>
      </x:c>
      <x:c r="AR844" s="119" t="n">
        <x:f>IF(6&gt;D844,0,MAX(2,MIN('难度参数'!$E$12,ROUND(('难度参数'!$E$18*POWER(A844,'难度参数'!$E$19)/D844*(0.85+0.3*(6-1)/MAX(1,D844-1))),0)+F844)))</x:f>
        <x:v>55</x:v>
      </x:c>
      <x:c r="AS844" s="119" t="n">
        <x:f>IF(6&gt;D844,0,ROUND(('难度参数'!$E$13*POWER(A844,'难度参数'!$E$20)*MIN('难度参数'!$E$23,1+MAX(0,A844-'难度参数'!$E$21)*'难度参数'!$E$22))*(36+6*7)/(36+7*(D844+1)/2)*E844,0))</x:f>
        <x:v>20940</x:v>
      </x:c>
      <x:c r="AT844" s="119" t="n">
        <x:f>IF(AR844=0,0,(AR844-IF(6=D844,1,0))*ROUND(AS844*VLOOKUP(INDEX('章节与怪物'!$E$31:$K$37,B844,6),'章节与怪物'!$A$41:$F$44,2,FALSE),0)+IF(6=D844,ROUND(AS844*'难度参数'!$E$28*'章节与怪物'!$E$17,0),0))</x:f>
        <x:v>1957890</x:v>
      </x:c>
      <x:c r="AU844" s="119" t="n">
        <x:f>IF(AR844=0,0,(AR844-IF(6=D844,1,0))*VLOOKUP(INDEX('章节与怪物'!$E$31:$K$37,B844,6),'章节与怪物'!$A$41:$F$44,4,FALSE)+IF(6=D844,'难度参数'!$E$30,0))</x:f>
        <x:v>1540</x:v>
      </x:c>
      <x:c r="AV844" s="119" t="n">
        <x:f>IF(7&gt;D844,0,MAX(2,MIN('难度参数'!$E$12,ROUND(('难度参数'!$E$18*POWER(A844,'难度参数'!$E$19)/D844*(0.85+0.3*(7-1)/MAX(1,D844-1))),0)+F844)))</x:f>
        <x:v>57</x:v>
      </x:c>
      <x:c r="AW844" s="119" t="n">
        <x:f>IF(7&gt;D844,0,ROUND(('难度参数'!$E$13*POWER(A844,'难度参数'!$E$20)*MIN('难度参数'!$E$23,1+MAX(0,A844-'难度参数'!$E$21)*'难度参数'!$E$22))*(36+7*7)/(36+7*(D844+1)/2)*E844,0))</x:f>
        <x:v>22820</x:v>
      </x:c>
      <x:c r="AX844" s="119" t="n">
        <x:f>IF(AV844=0,0,(AV844-IF(7=D844,1,0))*ROUND(AW844*VLOOKUP(INDEX('章节与怪物'!$E$31:$K$37,B844,7),'章节与怪物'!$A$41:$F$44,2,FALSE),0)+IF(7=D844,ROUND(AW844*'难度参数'!$E$28*'章节与怪物'!$E$17,0),0))</x:f>
        <x:v>1880368</x:v>
      </x:c>
      <x:c r="AY844" s="119" t="n">
        <x:f>IF(AV844=0,0,(AV844-IF(7=D844,1,0))*VLOOKUP(INDEX('章节与怪物'!$E$31:$K$37,B844,7),'章节与怪物'!$A$41:$F$44,4,FALSE)+IF(7=D844,'难度参数'!$E$30,0))</x:f>
        <x:v>2104</x:v>
      </x:c>
    </x:row>
    <x:row r="845" ht="23" customHeight="1">
      <x:c r="A845" s="119" t="n">
        <x:v>839</x:v>
      </x:c>
      <x:c r="B845" s="119" t="n">
        <x:f>MOD(INT((A845-1)/5),7)+1</x:f>
        <x:v>7</x:v>
      </x:c>
      <x:c r="C845" s="62" t="str">
        <x:f>INDEX('章节与怪物'!$B$31:$B$37,B845)</x:f>
        <x:v>魔法山脊</x:v>
      </x:c>
      <x:c r="D845" s="119" t="n">
        <x:f>MIN('难度参数'!$E$8,MAX('难度参数'!$E$7,A845))</x:f>
        <x:v>7</x:v>
      </x:c>
      <x:c r="E845" s="106" t="n">
        <x:v>1</x:v>
      </x:c>
      <x:c r="F845" s="106" t="n">
        <x:v>0</x:v>
      </x:c>
      <x:c r="G845" s="106" t="n">
        <x:v>1</x:v>
      </x:c>
      <x:c r="H845" s="119" t="n">
        <x:f>SUM(X845,AB845,AF845,AJ845,AN845,AR845,AV845)</x:f>
        <x:v>348</x:v>
      </x:c>
      <x:c r="I845" s="119" t="n">
        <x:f>SUM(Z845,AD845,AH845,AL845,AP845,AT845,AX845)</x:f>
        <x:v>7860860</x:v>
      </x:c>
      <x:c r="J845" s="119" t="n">
        <x:f>ROUND(INDEX(X845:AY845,1,(D845-1)*4+2)*'难度参数'!$E$28*'章节与怪物'!$E$17,0)</x:f>
        <x:v>155305</x:v>
      </x:c>
      <x:c r="K845" s="119" t="n">
        <x:f>SUM(AA845,AE845,AI845,AM845,AQ845,AU845,AY845)</x:f>
        <x:v>9356</x:v>
      </x:c>
      <x:c r="L845" s="62" t="n">
        <x:f>H845*(ROUNDUP('难度参数'!$E$24/('难度参数'!$E$26*'难度参数'!$E$27),0)*'难度参数'!$E$26)/60</x:f>
        <x:v>4.640000000000001</x:v>
      </x:c>
      <x:c r="M845" s="62" t="n">
        <x:f>L845+D845*('难度参数'!$E$49+'难度参数'!$E$50)/60</x:f>
        <x:v>5.8066666666666675</x:v>
      </x:c>
      <x:c r="N845" s="119" t="n">
        <x:f>ROUNDDOWN(('经济参数'!$E$20+A845*'经济参数'!$E$21)*G845,0)</x:f>
        <x:v>16960</x:v>
      </x:c>
      <x:c r="O845" s="119" t="n">
        <x:f>ROUNDDOWN(MIN('经济参数'!$E$24,'经济参数'!$E$22+A845*'经济参数'!$E$23)*G845,0)</x:f>
        <x:v>0</x:v>
      </x:c>
      <x:c r="P845" s="119" t="n">
        <x:f>ROUNDDOWN((IF(A845&gt;='材料与任务'!$E$31,'材料与任务'!$E$32,IF(A845&gt;='材料与任务'!$E$25,'材料与任务'!$E$26,IF(A845&gt;='材料与任务'!$E$19,'材料与任务'!$E$20,IF(A845&gt;='材料与任务'!$E$13,'材料与任务'!$E$14,'材料与任务'!$E$8)))))*G845,0)</x:f>
        <x:v>6</x:v>
      </x:c>
      <x:c r="Q845" s="119" t="n">
        <x:f>ROUNDDOWN((IF(A845&gt;='材料与任务'!$E$31,'材料与任务'!$E$33,IF(A845&gt;='材料与任务'!$E$25,'材料与任务'!$E$27,IF(A845&gt;='材料与任务'!$E$19,'材料与任务'!$E$21,IF(A845&gt;='材料与任务'!$E$13,'材料与任务'!$E$15,'材料与任务'!$E$9)))))*G845,0)</x:f>
        <x:v>3</x:v>
      </x:c>
      <x:c r="R845" s="110" t="n">
        <x:f>'装备掉落'!$B$38</x:f>
        <x:v>0.6872058758851213</x:v>
      </x:c>
      <x:c r="S845" s="119" t="n">
        <x:f>MAX(IF(VLOOKUP(A845,'装备掉落'!$A$29:$H$34,2,TRUE)&gt;0,1,0),IF(VLOOKUP(A845,'装备掉落'!$A$29:$H$34,3,TRUE)&gt;0,2,0),IF(VLOOKUP(A845,'装备掉落'!$A$29:$H$34,4,TRUE)&gt;0,3,0),IF(VLOOKUP(A845,'装备掉落'!$A$29:$H$34,5,TRUE)&gt;0,4,0),IF(VLOOKUP(A845,'装备掉落'!$A$29:$H$34,6,TRUE)&gt;0,5,0),IF(VLOOKUP(A845,'装备掉落'!$A$29:$H$34,7,TRUE)&gt;0,6,0),IF(VLOOKUP(A845,'装备掉落'!$A$29:$H$34,8,TRUE)&gt;0,7,0))</x:f>
        <x:v>7</x:v>
      </x:c>
      <x:c r="T845" s="119" t="n">
        <x:f>MIN(7,S845+'经济参数'!$E$70)</x:f>
        <x:v>7</x:v>
      </x:c>
      <x:c r="U845" s="119" t="n">
        <x:f>MIN(7,S845+'经济参数'!$E$71)</x:f>
        <x:v>7</x:v>
      </x:c>
      <x:c r="V845" s="119" t="n">
        <x:f>IF(H845&gt;=('难度参数'!$E$52),1,0)+IF(H845&gt;=('难度参数'!$E$52+'难度参数'!$E$53),1,0)+IF(H845&gt;=('难度参数'!$E$52+'难度参数'!$E$53+'难度参数'!$E$54),1,0)+IF(H845&gt;=('难度参数'!$E$52+'难度参数'!$E$53+'难度参数'!$E$54+'难度参数'!$E$55),1,0)+IF(H845&gt;=('难度参数'!$E$52+'难度参数'!$E$53+'难度参数'!$E$54+'难度参数'!$E$55+'难度参数'!$E$56),1,0)+IF(H845&gt;=('难度参数'!$E$52+'难度参数'!$E$53+'难度参数'!$E$54+'难度参数'!$E$55+'难度参数'!$E$56+'难度参数'!$E$57),1,0)</x:f>
        <x:v>6</x:v>
      </x:c>
      <x:c r="W845" s="62" t="str">
        <x:f>IF(L845&gt;'难度参数'!$E$51,"仅出怪已超目标","还需实测")</x:f>
        <x:v>仅出怪已超目标</x:v>
      </x:c>
      <x:c r="X845" s="119" t="n">
        <x:f>IF(1&gt;D845,0,MAX(2,MIN('难度参数'!$E$12,ROUND(('难度参数'!$E$18*POWER(A845,'难度参数'!$E$19)/D845*(0.85+0.3*(1-1)/MAX(1,D845-1))),0)+F845)))</x:f>
        <x:v>42</x:v>
      </x:c>
      <x:c r="Y845" s="119" t="n">
        <x:f>IF(1&gt;D845,0,ROUND(('难度参数'!$E$13*POWER(A845,'难度参数'!$E$20)*MIN('难度参数'!$E$23,1+MAX(0,A845-'难度参数'!$E$21)*'难度参数'!$E$22))*(36+1*7)/(36+7*(D845+1)/2)*E845,0))</x:f>
        <x:v>11554</x:v>
      </x:c>
      <x:c r="Z845" s="119" t="n">
        <x:f>IF(X845=0,0,(X845-IF(1=D845,1,0))*ROUND(Y845*VLOOKUP(INDEX('章节与怪物'!$E$31:$K$37,B845,1),'章节与怪物'!$A$41:$F$44,2,FALSE),0)+IF(1=D845,ROUND(Y845*'难度参数'!$E$28*'章节与怪物'!$E$17,0),0))</x:f>
        <x:v>485268</x:v>
      </x:c>
      <x:c r="AA845" s="119" t="n">
        <x:f>IF(X845=0,0,(X845-IF(1=D845,1,0))*VLOOKUP(INDEX('章节与怪物'!$E$31:$K$37,B845,1),'章节与怪物'!$A$41:$F$44,4,FALSE)+IF(1=D845,'难度参数'!$E$30,0))</x:f>
        <x:v>756</x:v>
      </x:c>
      <x:c r="AB845" s="119" t="n">
        <x:f>IF(2&gt;D845,0,MAX(2,MIN('难度参数'!$E$12,ROUND(('难度参数'!$E$18*POWER(A845,'难度参数'!$E$19)/D845*(0.85+0.3*(2-1)/MAX(1,D845-1))),0)+F845)))</x:f>
        <x:v>45</x:v>
      </x:c>
      <x:c r="AC845" s="119" t="n">
        <x:f>IF(2&gt;D845,0,ROUND(('难度参数'!$E$13*POWER(A845,'难度参数'!$E$20)*MIN('难度参数'!$E$23,1+MAX(0,A845-'难度参数'!$E$21)*'难度参数'!$E$22))*(36+2*7)/(36+7*(D845+1)/2)*E845,0))</x:f>
        <x:v>13435</x:v>
      </x:c>
      <x:c r="AD845" s="119" t="n">
        <x:f>IF(AB845=0,0,(AB845-IF(2=D845,1,0))*ROUND(AC845*VLOOKUP(INDEX('章节与怪物'!$E$31:$K$37,B845,2),'章节与怪物'!$A$41:$F$44,2,FALSE),0)+IF(2=D845,ROUND(AC845*'难度参数'!$E$28*'章节与怪物'!$E$17,0),0))</x:f>
        <x:v>435285</x:v>
      </x:c>
      <x:c r="AE845" s="119" t="n">
        <x:f>IF(AB845=0,0,(AB845-IF(2=D845,1,0))*VLOOKUP(INDEX('章节与怪物'!$E$31:$K$37,B845,2),'章节与怪物'!$A$41:$F$44,4,FALSE)+IF(2=D845,'难度参数'!$E$30,0))</x:f>
        <x:v>900</x:v>
      </x:c>
      <x:c r="AF845" s="119" t="n">
        <x:f>IF(3&gt;D845,0,MAX(2,MIN('难度参数'!$E$12,ROUND(('难度参数'!$E$18*POWER(A845,'难度参数'!$E$19)/D845*(0.85+0.3*(3-1)/MAX(1,D845-1))),0)+F845)))</x:f>
        <x:v>47</x:v>
      </x:c>
      <x:c r="AG845" s="119" t="n">
        <x:f>IF(3&gt;D845,0,ROUND(('难度参数'!$E$13*POWER(A845,'难度参数'!$E$20)*MIN('难度参数'!$E$23,1+MAX(0,A845-'难度参数'!$E$21)*'难度参数'!$E$22))*(36+3*7)/(36+7*(D845+1)/2)*E845,0))</x:f>
        <x:v>15316</x:v>
      </x:c>
      <x:c r="AH845" s="119" t="n">
        <x:f>IF(AF845=0,0,(AF845-IF(3=D845,1,0))*ROUND(AG845*VLOOKUP(INDEX('章节与怪物'!$E$31:$K$37,B845,3),'章节与怪物'!$A$41:$F$44,2,FALSE),0)+IF(3=D845,ROUND(AG845*'难度参数'!$E$28*'章节与怪物'!$E$17,0),0))</x:f>
        <x:v>1223739</x:v>
      </x:c>
      <x:c r="AI845" s="119" t="n">
        <x:f>IF(AF845=0,0,(AF845-IF(3=D845,1,0))*VLOOKUP(INDEX('章节与怪物'!$E$31:$K$37,B845,3),'章节与怪物'!$A$41:$F$44,4,FALSE)+IF(3=D845,'难度参数'!$E$30,0))</x:f>
        <x:v>1316</x:v>
      </x:c>
      <x:c r="AJ845" s="119" t="n">
        <x:f>IF(4&gt;D845,0,MAX(2,MIN('难度参数'!$E$12,ROUND(('难度参数'!$E$18*POWER(A845,'难度参数'!$E$19)/D845*(0.85+0.3*(4-1)/MAX(1,D845-1))),0)+F845)))</x:f>
        <x:v>50</x:v>
      </x:c>
      <x:c r="AK845" s="119" t="n">
        <x:f>IF(4&gt;D845,0,ROUND(('难度参数'!$E$13*POWER(A845,'难度参数'!$E$20)*MIN('难度参数'!$E$23,1+MAX(0,A845-'难度参数'!$E$21)*'难度参数'!$E$22))*(36+4*7)/(36+7*(D845+1)/2)*E845,0))</x:f>
        <x:v>17197</x:v>
      </x:c>
      <x:c r="AL845" s="119" t="n">
        <x:f>IF(AJ845=0,0,(AJ845-IF(4=D845,1,0))*ROUND(AK845*VLOOKUP(INDEX('章节与怪物'!$E$31:$K$37,B845,4),'章节与怪物'!$A$41:$F$44,2,FALSE),0)+IF(4=D845,ROUND(AK845*'难度参数'!$E$28*'章节与怪物'!$E$17,0),0))</x:f>
        <x:v>1160800</x:v>
      </x:c>
      <x:c r="AM845" s="119" t="n">
        <x:f>IF(AJ845=0,0,(AJ845-IF(4=D845,1,0))*VLOOKUP(INDEX('章节与怪物'!$E$31:$K$37,B845,4),'章节与怪物'!$A$41:$F$44,4,FALSE)+IF(4=D845,'难度参数'!$E$30,0))</x:f>
        <x:v>1700</x:v>
      </x:c>
      <x:c r="AN845" s="119" t="n">
        <x:f>IF(5&gt;D845,0,MAX(2,MIN('难度参数'!$E$12,ROUND(('难度参数'!$E$18*POWER(A845,'难度参数'!$E$19)/D845*(0.85+0.3*(5-1)/MAX(1,D845-1))),0)+F845)))</x:f>
        <x:v>52</x:v>
      </x:c>
      <x:c r="AO845" s="119" t="n">
        <x:f>IF(5&gt;D845,0,ROUND(('难度参数'!$E$13*POWER(A845,'难度参数'!$E$20)*MIN('难度参数'!$E$23,1+MAX(0,A845-'难度参数'!$E$21)*'难度参数'!$E$22))*(36+5*7)/(36+7*(D845+1)/2)*E845,0))</x:f>
        <x:v>19077</x:v>
      </x:c>
      <x:c r="AP845" s="119" t="n">
        <x:f>IF(AN845=0,0,(AN845-IF(5=D845,1,0))*ROUND(AO845*VLOOKUP(INDEX('章节与怪物'!$E$31:$K$37,B845,5),'章节与怪物'!$A$41:$F$44,2,FALSE),0)+IF(5=D845,ROUND(AO845*'难度参数'!$E$28*'章节与怪物'!$E$17,0),0))</x:f>
        <x:v>714220</x:v>
      </x:c>
      <x:c r="AQ845" s="119" t="n">
        <x:f>IF(AN845=0,0,(AN845-IF(5=D845,1,0))*VLOOKUP(INDEX('章节与怪物'!$E$31:$K$37,B845,5),'章节与怪物'!$A$41:$F$44,4,FALSE)+IF(5=D845,'难度参数'!$E$30,0))</x:f>
        <x:v>1040</x:v>
      </x:c>
      <x:c r="AR845" s="119" t="n">
        <x:f>IF(6&gt;D845,0,MAX(2,MIN('难度参数'!$E$12,ROUND(('难度参数'!$E$18*POWER(A845,'难度参数'!$E$19)/D845*(0.85+0.3*(6-1)/MAX(1,D845-1))),0)+F845)))</x:f>
        <x:v>55</x:v>
      </x:c>
      <x:c r="AS845" s="119" t="n">
        <x:f>IF(6&gt;D845,0,ROUND(('难度参数'!$E$13*POWER(A845,'难度参数'!$E$20)*MIN('难度参数'!$E$23,1+MAX(0,A845-'难度参数'!$E$21)*'难度参数'!$E$22))*(36+6*7)/(36+7*(D845+1)/2)*E845,0))</x:f>
        <x:v>20958</x:v>
      </x:c>
      <x:c r="AT845" s="119" t="n">
        <x:f>IF(AR845=0,0,(AR845-IF(6=D845,1,0))*ROUND(AS845*VLOOKUP(INDEX('章节与怪物'!$E$31:$K$37,B845,6),'章节与怪物'!$A$41:$F$44,2,FALSE),0)+IF(6=D845,ROUND(AS845*'难度参数'!$E$28*'章节与怪物'!$E$17,0),0))</x:f>
        <x:v>1959595</x:v>
      </x:c>
      <x:c r="AU845" s="119" t="n">
        <x:f>IF(AR845=0,0,(AR845-IF(6=D845,1,0))*VLOOKUP(INDEX('章节与怪物'!$E$31:$K$37,B845,6),'章节与怪物'!$A$41:$F$44,4,FALSE)+IF(6=D845,'难度参数'!$E$30,0))</x:f>
        <x:v>1540</x:v>
      </x:c>
      <x:c r="AV845" s="119" t="n">
        <x:f>IF(7&gt;D845,0,MAX(2,MIN('难度参数'!$E$12,ROUND(('难度参数'!$E$18*POWER(A845,'难度参数'!$E$19)/D845*(0.85+0.3*(7-1)/MAX(1,D845-1))),0)+F845)))</x:f>
        <x:v>57</x:v>
      </x:c>
      <x:c r="AW845" s="119" t="n">
        <x:f>IF(7&gt;D845,0,ROUND(('难度参数'!$E$13*POWER(A845,'难度参数'!$E$20)*MIN('难度参数'!$E$23,1+MAX(0,A845-'难度参数'!$E$21)*'难度参数'!$E$22))*(36+7*7)/(36+7*(D845+1)/2)*E845,0))</x:f>
        <x:v>22839</x:v>
      </x:c>
      <x:c r="AX845" s="119" t="n">
        <x:f>IF(AV845=0,0,(AV845-IF(7=D845,1,0))*ROUND(AW845*VLOOKUP(INDEX('章节与怪物'!$E$31:$K$37,B845,7),'章节与怪物'!$A$41:$F$44,2,FALSE),0)+IF(7=D845,ROUND(AW845*'难度参数'!$E$28*'章节与怪物'!$E$17,0),0))</x:f>
        <x:v>1881953</x:v>
      </x:c>
      <x:c r="AY845" s="119" t="n">
        <x:f>IF(AV845=0,0,(AV845-IF(7=D845,1,0))*VLOOKUP(INDEX('章节与怪物'!$E$31:$K$37,B845,7),'章节与怪物'!$A$41:$F$44,4,FALSE)+IF(7=D845,'难度参数'!$E$30,0))</x:f>
        <x:v>2104</x:v>
      </x:c>
    </x:row>
    <x:row r="846" ht="23" customHeight="1">
      <x:c r="A846" s="119" t="n">
        <x:v>840</x:v>
      </x:c>
      <x:c r="B846" s="119" t="n">
        <x:f>MOD(INT((A846-1)/5),7)+1</x:f>
        <x:v>7</x:v>
      </x:c>
      <x:c r="C846" s="62" t="str">
        <x:f>INDEX('章节与怪物'!$B$31:$B$37,B846)</x:f>
        <x:v>魔法山脊</x:v>
      </x:c>
      <x:c r="D846" s="119" t="n">
        <x:f>MIN('难度参数'!$E$8,MAX('难度参数'!$E$7,A846))</x:f>
        <x:v>7</x:v>
      </x:c>
      <x:c r="E846" s="106" t="n">
        <x:v>1</x:v>
      </x:c>
      <x:c r="F846" s="106" t="n">
        <x:v>0</x:v>
      </x:c>
      <x:c r="G846" s="106" t="n">
        <x:v>1</x:v>
      </x:c>
      <x:c r="H846" s="119" t="n">
        <x:f>SUM(X846,AB846,AF846,AJ846,AN846,AR846,AV846)</x:f>
        <x:v>348</x:v>
      </x:c>
      <x:c r="I846" s="119" t="n">
        <x:f>SUM(Z846,AD846,AH846,AL846,AP846,AT846,AX846)</x:f>
        <x:v>7867598</x:v>
      </x:c>
      <x:c r="J846" s="119" t="n">
        <x:f>ROUND(INDEX(X846:AY846,1,(D846-1)*4+2)*'难度参数'!$E$28*'章节与怪物'!$E$17,0)</x:f>
        <x:v>155441</x:v>
      </x:c>
      <x:c r="K846" s="119" t="n">
        <x:f>SUM(AA846,AE846,AI846,AM846,AQ846,AU846,AY846)</x:f>
        <x:v>9356</x:v>
      </x:c>
      <x:c r="L846" s="62" t="n">
        <x:f>H846*(ROUNDUP('难度参数'!$E$24/('难度参数'!$E$26*'难度参数'!$E$27),0)*'难度参数'!$E$26)/60</x:f>
        <x:v>4.640000000000001</x:v>
      </x:c>
      <x:c r="M846" s="62" t="n">
        <x:f>L846+D846*('难度参数'!$E$49+'难度参数'!$E$50)/60</x:f>
        <x:v>5.8066666666666675</x:v>
      </x:c>
      <x:c r="N846" s="119" t="n">
        <x:f>ROUNDDOWN(('经济参数'!$E$20+A846*'经济参数'!$E$21)*G846,0)</x:f>
        <x:v>16980</x:v>
      </x:c>
      <x:c r="O846" s="119" t="n">
        <x:f>ROUNDDOWN(MIN('经济参数'!$E$24,'经济参数'!$E$22+A846*'经济参数'!$E$23)*G846,0)</x:f>
        <x:v>0</x:v>
      </x:c>
      <x:c r="P846" s="119" t="n">
        <x:f>ROUNDDOWN((IF(A846&gt;='材料与任务'!$E$31,'材料与任务'!$E$32,IF(A846&gt;='材料与任务'!$E$25,'材料与任务'!$E$26,IF(A846&gt;='材料与任务'!$E$19,'材料与任务'!$E$20,IF(A846&gt;='材料与任务'!$E$13,'材料与任务'!$E$14,'材料与任务'!$E$8)))))*G846,0)</x:f>
        <x:v>6</x:v>
      </x:c>
      <x:c r="Q846" s="119" t="n">
        <x:f>ROUNDDOWN((IF(A846&gt;='材料与任务'!$E$31,'材料与任务'!$E$33,IF(A846&gt;='材料与任务'!$E$25,'材料与任务'!$E$27,IF(A846&gt;='材料与任务'!$E$19,'材料与任务'!$E$21,IF(A846&gt;='材料与任务'!$E$13,'材料与任务'!$E$15,'材料与任务'!$E$9)))))*G846,0)</x:f>
        <x:v>3</x:v>
      </x:c>
      <x:c r="R846" s="110" t="n">
        <x:f>'装备掉落'!$B$38</x:f>
        <x:v>0.6872058758851213</x:v>
      </x:c>
      <x:c r="S846" s="119" t="n">
        <x:f>MAX(IF(VLOOKUP(A846,'装备掉落'!$A$29:$H$34,2,TRUE)&gt;0,1,0),IF(VLOOKUP(A846,'装备掉落'!$A$29:$H$34,3,TRUE)&gt;0,2,0),IF(VLOOKUP(A846,'装备掉落'!$A$29:$H$34,4,TRUE)&gt;0,3,0),IF(VLOOKUP(A846,'装备掉落'!$A$29:$H$34,5,TRUE)&gt;0,4,0),IF(VLOOKUP(A846,'装备掉落'!$A$29:$H$34,6,TRUE)&gt;0,5,0),IF(VLOOKUP(A846,'装备掉落'!$A$29:$H$34,7,TRUE)&gt;0,6,0),IF(VLOOKUP(A846,'装备掉落'!$A$29:$H$34,8,TRUE)&gt;0,7,0))</x:f>
        <x:v>7</x:v>
      </x:c>
      <x:c r="T846" s="119" t="n">
        <x:f>MIN(7,S846+'经济参数'!$E$70)</x:f>
        <x:v>7</x:v>
      </x:c>
      <x:c r="U846" s="119" t="n">
        <x:f>MIN(7,S846+'经济参数'!$E$71)</x:f>
        <x:v>7</x:v>
      </x:c>
      <x:c r="V846" s="119" t="n">
        <x:f>IF(H846&gt;=('难度参数'!$E$52),1,0)+IF(H846&gt;=('难度参数'!$E$52+'难度参数'!$E$53),1,0)+IF(H846&gt;=('难度参数'!$E$52+'难度参数'!$E$53+'难度参数'!$E$54),1,0)+IF(H846&gt;=('难度参数'!$E$52+'难度参数'!$E$53+'难度参数'!$E$54+'难度参数'!$E$55),1,0)+IF(H846&gt;=('难度参数'!$E$52+'难度参数'!$E$53+'难度参数'!$E$54+'难度参数'!$E$55+'难度参数'!$E$56),1,0)+IF(H846&gt;=('难度参数'!$E$52+'难度参数'!$E$53+'难度参数'!$E$54+'难度参数'!$E$55+'难度参数'!$E$56+'难度参数'!$E$57),1,0)</x:f>
        <x:v>6</x:v>
      </x:c>
      <x:c r="W846" s="62" t="str">
        <x:f>IF(L846&gt;'难度参数'!$E$51,"仅出怪已超目标","还需实测")</x:f>
        <x:v>仅出怪已超目标</x:v>
      </x:c>
      <x:c r="X846" s="119" t="n">
        <x:f>IF(1&gt;D846,0,MAX(2,MIN('难度参数'!$E$12,ROUND(('难度参数'!$E$18*POWER(A846,'难度参数'!$E$19)/D846*(0.85+0.3*(1-1)/MAX(1,D846-1))),0)+F846)))</x:f>
        <x:v>42</x:v>
      </x:c>
      <x:c r="Y846" s="119" t="n">
        <x:f>IF(1&gt;D846,0,ROUND(('难度参数'!$E$13*POWER(A846,'难度参数'!$E$20)*MIN('难度参数'!$E$23,1+MAX(0,A846-'难度参数'!$E$21)*'难度参数'!$E$22))*(36+1*7)/(36+7*(D846+1)/2)*E846,0))</x:f>
        <x:v>11564</x:v>
      </x:c>
      <x:c r="Z846" s="119" t="n">
        <x:f>IF(X846=0,0,(X846-IF(1=D846,1,0))*ROUND(Y846*VLOOKUP(INDEX('章节与怪物'!$E$31:$K$37,B846,1),'章节与怪物'!$A$41:$F$44,2,FALSE),0)+IF(1=D846,ROUND(Y846*'难度参数'!$E$28*'章节与怪物'!$E$17,0),0))</x:f>
        <x:v>485688</x:v>
      </x:c>
      <x:c r="AA846" s="119" t="n">
        <x:f>IF(X846=0,0,(X846-IF(1=D846,1,0))*VLOOKUP(INDEX('章节与怪物'!$E$31:$K$37,B846,1),'章节与怪物'!$A$41:$F$44,4,FALSE)+IF(1=D846,'难度参数'!$E$30,0))</x:f>
        <x:v>756</x:v>
      </x:c>
      <x:c r="AB846" s="119" t="n">
        <x:f>IF(2&gt;D846,0,MAX(2,MIN('难度参数'!$E$12,ROUND(('难度参数'!$E$18*POWER(A846,'难度参数'!$E$19)/D846*(0.85+0.3*(2-1)/MAX(1,D846-1))),0)+F846)))</x:f>
        <x:v>45</x:v>
      </x:c>
      <x:c r="AC846" s="119" t="n">
        <x:f>IF(2&gt;D846,0,ROUND(('难度参数'!$E$13*POWER(A846,'难度参数'!$E$20)*MIN('难度参数'!$E$23,1+MAX(0,A846-'难度参数'!$E$21)*'难度参数'!$E$22))*(36+2*7)/(36+7*(D846+1)/2)*E846,0))</x:f>
        <x:v>13446</x:v>
      </x:c>
      <x:c r="AD846" s="119" t="n">
        <x:f>IF(AB846=0,0,(AB846-IF(2=D846,1,0))*ROUND(AC846*VLOOKUP(INDEX('章节与怪物'!$E$31:$K$37,B846,2),'章节与怪物'!$A$41:$F$44,2,FALSE),0)+IF(2=D846,ROUND(AC846*'难度参数'!$E$28*'章节与怪物'!$E$17,0),0))</x:f>
        <x:v>435645</x:v>
      </x:c>
      <x:c r="AE846" s="119" t="n">
        <x:f>IF(AB846=0,0,(AB846-IF(2=D846,1,0))*VLOOKUP(INDEX('章节与怪物'!$E$31:$K$37,B846,2),'章节与怪物'!$A$41:$F$44,4,FALSE)+IF(2=D846,'难度参数'!$E$30,0))</x:f>
        <x:v>900</x:v>
      </x:c>
      <x:c r="AF846" s="119" t="n">
        <x:f>IF(3&gt;D846,0,MAX(2,MIN('难度参数'!$E$12,ROUND(('难度参数'!$E$18*POWER(A846,'难度参数'!$E$19)/D846*(0.85+0.3*(3-1)/MAX(1,D846-1))),0)+F846)))</x:f>
        <x:v>47</x:v>
      </x:c>
      <x:c r="AG846" s="119" t="n">
        <x:f>IF(3&gt;D846,0,ROUND(('难度参数'!$E$13*POWER(A846,'难度参数'!$E$20)*MIN('难度参数'!$E$23,1+MAX(0,A846-'难度参数'!$E$21)*'难度参数'!$E$22))*(36+3*7)/(36+7*(D846+1)/2)*E846,0))</x:f>
        <x:v>15329</x:v>
      </x:c>
      <x:c r="AH846" s="119" t="n">
        <x:f>IF(AF846=0,0,(AF846-IF(3=D846,1,0))*ROUND(AG846*VLOOKUP(INDEX('章节与怪物'!$E$31:$K$37,B846,3),'章节与怪物'!$A$41:$F$44,2,FALSE),0)+IF(3=D846,ROUND(AG846*'难度参数'!$E$28*'章节与怪物'!$E$17,0),0))</x:f>
        <x:v>1224773</x:v>
      </x:c>
      <x:c r="AI846" s="119" t="n">
        <x:f>IF(AF846=0,0,(AF846-IF(3=D846,1,0))*VLOOKUP(INDEX('章节与怪物'!$E$31:$K$37,B846,3),'章节与怪物'!$A$41:$F$44,4,FALSE)+IF(3=D846,'难度参数'!$E$30,0))</x:f>
        <x:v>1316</x:v>
      </x:c>
      <x:c r="AJ846" s="119" t="n">
        <x:f>IF(4&gt;D846,0,MAX(2,MIN('难度参数'!$E$12,ROUND(('难度参数'!$E$18*POWER(A846,'难度参数'!$E$19)/D846*(0.85+0.3*(4-1)/MAX(1,D846-1))),0)+F846)))</x:f>
        <x:v>50</x:v>
      </x:c>
      <x:c r="AK846" s="119" t="n">
        <x:f>IF(4&gt;D846,0,ROUND(('难度参数'!$E$13*POWER(A846,'难度参数'!$E$20)*MIN('难度参数'!$E$23,1+MAX(0,A846-'难度参数'!$E$21)*'难度参数'!$E$22))*(36+4*7)/(36+7*(D846+1)/2)*E846,0))</x:f>
        <x:v>17211</x:v>
      </x:c>
      <x:c r="AL846" s="119" t="n">
        <x:f>IF(AJ846=0,0,(AJ846-IF(4=D846,1,0))*ROUND(AK846*VLOOKUP(INDEX('章节与怪物'!$E$31:$K$37,B846,4),'章节与怪物'!$A$41:$F$44,2,FALSE),0)+IF(4=D846,ROUND(AK846*'难度参数'!$E$28*'章节与怪物'!$E$17,0),0))</x:f>
        <x:v>1161750</x:v>
      </x:c>
      <x:c r="AM846" s="119" t="n">
        <x:f>IF(AJ846=0,0,(AJ846-IF(4=D846,1,0))*VLOOKUP(INDEX('章节与怪物'!$E$31:$K$37,B846,4),'章节与怪物'!$A$41:$F$44,4,FALSE)+IF(4=D846,'难度参数'!$E$30,0))</x:f>
        <x:v>1700</x:v>
      </x:c>
      <x:c r="AN846" s="119" t="n">
        <x:f>IF(5&gt;D846,0,MAX(2,MIN('难度参数'!$E$12,ROUND(('难度参数'!$E$18*POWER(A846,'难度参数'!$E$19)/D846*(0.85+0.3*(5-1)/MAX(1,D846-1))),0)+F846)))</x:f>
        <x:v>52</x:v>
      </x:c>
      <x:c r="AO846" s="119" t="n">
        <x:f>IF(5&gt;D846,0,ROUND(('难度参数'!$E$13*POWER(A846,'难度参数'!$E$20)*MIN('难度参数'!$E$23,1+MAX(0,A846-'难度参数'!$E$21)*'难度参数'!$E$22))*(36+5*7)/(36+7*(D846+1)/2)*E846,0))</x:f>
        <x:v>19094</x:v>
      </x:c>
      <x:c r="AP846" s="119" t="n">
        <x:f>IF(AN846=0,0,(AN846-IF(5=D846,1,0))*ROUND(AO846*VLOOKUP(INDEX('章节与怪物'!$E$31:$K$37,B846,5),'章节与怪物'!$A$41:$F$44,2,FALSE),0)+IF(5=D846,ROUND(AO846*'难度参数'!$E$28*'章节与怪物'!$E$17,0),0))</x:f>
        <x:v>714896</x:v>
      </x:c>
      <x:c r="AQ846" s="119" t="n">
        <x:f>IF(AN846=0,0,(AN846-IF(5=D846,1,0))*VLOOKUP(INDEX('章节与怪物'!$E$31:$K$37,B846,5),'章节与怪物'!$A$41:$F$44,4,FALSE)+IF(5=D846,'难度参数'!$E$30,0))</x:f>
        <x:v>1040</x:v>
      </x:c>
      <x:c r="AR846" s="119" t="n">
        <x:f>IF(6&gt;D846,0,MAX(2,MIN('难度参数'!$E$12,ROUND(('难度参数'!$E$18*POWER(A846,'难度参数'!$E$19)/D846*(0.85+0.3*(6-1)/MAX(1,D846-1))),0)+F846)))</x:f>
        <x:v>55</x:v>
      </x:c>
      <x:c r="AS846" s="119" t="n">
        <x:f>IF(6&gt;D846,0,ROUND(('难度参数'!$E$13*POWER(A846,'难度参数'!$E$20)*MIN('难度参数'!$E$23,1+MAX(0,A846-'难度参数'!$E$21)*'难度参数'!$E$22))*(36+6*7)/(36+7*(D846+1)/2)*E846,0))</x:f>
        <x:v>20976</x:v>
      </x:c>
      <x:c r="AT846" s="119" t="n">
        <x:f>IF(AR846=0,0,(AR846-IF(6=D846,1,0))*ROUND(AS846*VLOOKUP(INDEX('章节与怪物'!$E$31:$K$37,B846,6),'章节与怪物'!$A$41:$F$44,2,FALSE),0)+IF(6=D846,ROUND(AS846*'难度参数'!$E$28*'章节与怪物'!$E$17,0),0))</x:f>
        <x:v>1961245</x:v>
      </x:c>
      <x:c r="AU846" s="119" t="n">
        <x:f>IF(AR846=0,0,(AR846-IF(6=D846,1,0))*VLOOKUP(INDEX('章节与怪物'!$E$31:$K$37,B846,6),'章节与怪物'!$A$41:$F$44,4,FALSE)+IF(6=D846,'难度参数'!$E$30,0))</x:f>
        <x:v>1540</x:v>
      </x:c>
      <x:c r="AV846" s="119" t="n">
        <x:f>IF(7&gt;D846,0,MAX(2,MIN('难度参数'!$E$12,ROUND(('难度参数'!$E$18*POWER(A846,'难度参数'!$E$19)/D846*(0.85+0.3*(7-1)/MAX(1,D846-1))),0)+F846)))</x:f>
        <x:v>57</x:v>
      </x:c>
      <x:c r="AW846" s="119" t="n">
        <x:f>IF(7&gt;D846,0,ROUND(('难度参数'!$E$13*POWER(A846,'难度参数'!$E$20)*MIN('难度参数'!$E$23,1+MAX(0,A846-'难度参数'!$E$21)*'难度参数'!$E$22))*(36+7*7)/(36+7*(D846+1)/2)*E846,0))</x:f>
        <x:v>22859</x:v>
      </x:c>
      <x:c r="AX846" s="119" t="n">
        <x:f>IF(AV846=0,0,(AV846-IF(7=D846,1,0))*ROUND(AW846*VLOOKUP(INDEX('章节与怪物'!$E$31:$K$37,B846,7),'章节与怪物'!$A$41:$F$44,2,FALSE),0)+IF(7=D846,ROUND(AW846*'难度参数'!$E$28*'章节与怪物'!$E$17,0),0))</x:f>
        <x:v>1883601</x:v>
      </x:c>
      <x:c r="AY846" s="119" t="n">
        <x:f>IF(AV846=0,0,(AV846-IF(7=D846,1,0))*VLOOKUP(INDEX('章节与怪物'!$E$31:$K$37,B846,7),'章节与怪物'!$A$41:$F$44,4,FALSE)+IF(7=D846,'难度参数'!$E$30,0))</x:f>
        <x:v>2104</x:v>
      </x:c>
    </x:row>
    <x:row r="847" ht="23" customHeight="1">
      <x:c r="A847" s="119" t="n">
        <x:v>841</x:v>
      </x:c>
      <x:c r="B847" s="119" t="n">
        <x:f>MOD(INT((A847-1)/5),7)+1</x:f>
        <x:v>1</x:v>
      </x:c>
      <x:c r="C847" s="62" t="str">
        <x:f>INDEX('章节与怪物'!$B$31:$B$37,B847)</x:f>
        <x:v>冰雪荒原</x:v>
      </x:c>
      <x:c r="D847" s="119" t="n">
        <x:f>MIN('难度参数'!$E$8,MAX('难度参数'!$E$7,A847))</x:f>
        <x:v>7</x:v>
      </x:c>
      <x:c r="E847" s="106" t="n">
        <x:v>1</x:v>
      </x:c>
      <x:c r="F847" s="106" t="n">
        <x:v>0</x:v>
      </x:c>
      <x:c r="G847" s="106" t="n">
        <x:v>1</x:v>
      </x:c>
      <x:c r="H847" s="119" t="n">
        <x:f>SUM(X847,AB847,AF847,AJ847,AN847,AR847,AV847)</x:f>
        <x:v>348</x:v>
      </x:c>
      <x:c r="I847" s="119" t="n">
        <x:f>SUM(Z847,AD847,AH847,AL847,AP847,AT847,AX847)</x:f>
        <x:v>7581586</x:v>
      </x:c>
      <x:c r="J847" s="119" t="n">
        <x:f>ROUND(INDEX(X847:AY847,1,(D847-1)*4+2)*'难度参数'!$E$28*'章节与怪物'!$E$17,0)</x:f>
        <x:v>155570</x:v>
      </x:c>
      <x:c r="K847" s="119" t="n">
        <x:f>SUM(AA847,AE847,AI847,AM847,AQ847,AU847,AY847)</x:f>
        <x:v>8542</x:v>
      </x:c>
      <x:c r="L847" s="62" t="n">
        <x:f>H847*(ROUNDUP('难度参数'!$E$24/('难度参数'!$E$26*'难度参数'!$E$27),0)*'难度参数'!$E$26)/60</x:f>
        <x:v>4.640000000000001</x:v>
      </x:c>
      <x:c r="M847" s="62" t="n">
        <x:f>L847+D847*('难度参数'!$E$49+'难度参数'!$E$50)/60</x:f>
        <x:v>5.8066666666666675</x:v>
      </x:c>
      <x:c r="N847" s="119" t="n">
        <x:f>ROUNDDOWN(('经济参数'!$E$20+A847*'经济参数'!$E$21)*G847,0)</x:f>
        <x:v>17000</x:v>
      </x:c>
      <x:c r="O847" s="119" t="n">
        <x:f>ROUNDDOWN(MIN('经济参数'!$E$24,'经济参数'!$E$22+A847*'经济参数'!$E$23)*G847,0)</x:f>
        <x:v>0</x:v>
      </x:c>
      <x:c r="P847" s="119" t="n">
        <x:f>ROUNDDOWN((IF(A847&gt;='材料与任务'!$E$31,'材料与任务'!$E$32,IF(A847&gt;='材料与任务'!$E$25,'材料与任务'!$E$26,IF(A847&gt;='材料与任务'!$E$19,'材料与任务'!$E$20,IF(A847&gt;='材料与任务'!$E$13,'材料与任务'!$E$14,'材料与任务'!$E$8)))))*G847,0)</x:f>
        <x:v>6</x:v>
      </x:c>
      <x:c r="Q847" s="119" t="n">
        <x:f>ROUNDDOWN((IF(A847&gt;='材料与任务'!$E$31,'材料与任务'!$E$33,IF(A847&gt;='材料与任务'!$E$25,'材料与任务'!$E$27,IF(A847&gt;='材料与任务'!$E$19,'材料与任务'!$E$21,IF(A847&gt;='材料与任务'!$E$13,'材料与任务'!$E$15,'材料与任务'!$E$9)))))*G847,0)</x:f>
        <x:v>3</x:v>
      </x:c>
      <x:c r="R847" s="110" t="n">
        <x:f>'装备掉落'!$B$38</x:f>
        <x:v>0.6872058758851213</x:v>
      </x:c>
      <x:c r="S847" s="119" t="n">
        <x:f>MAX(IF(VLOOKUP(A847,'装备掉落'!$A$29:$H$34,2,TRUE)&gt;0,1,0),IF(VLOOKUP(A847,'装备掉落'!$A$29:$H$34,3,TRUE)&gt;0,2,0),IF(VLOOKUP(A847,'装备掉落'!$A$29:$H$34,4,TRUE)&gt;0,3,0),IF(VLOOKUP(A847,'装备掉落'!$A$29:$H$34,5,TRUE)&gt;0,4,0),IF(VLOOKUP(A847,'装备掉落'!$A$29:$H$34,6,TRUE)&gt;0,5,0),IF(VLOOKUP(A847,'装备掉落'!$A$29:$H$34,7,TRUE)&gt;0,6,0),IF(VLOOKUP(A847,'装备掉落'!$A$29:$H$34,8,TRUE)&gt;0,7,0))</x:f>
        <x:v>7</x:v>
      </x:c>
      <x:c r="T847" s="119" t="n">
        <x:f>MIN(7,S847+'经济参数'!$E$70)</x:f>
        <x:v>7</x:v>
      </x:c>
      <x:c r="U847" s="119" t="n">
        <x:f>MIN(7,S847+'经济参数'!$E$71)</x:f>
        <x:v>7</x:v>
      </x:c>
      <x:c r="V847" s="119" t="n">
        <x:f>IF(H847&gt;=('难度参数'!$E$52),1,0)+IF(H847&gt;=('难度参数'!$E$52+'难度参数'!$E$53),1,0)+IF(H847&gt;=('难度参数'!$E$52+'难度参数'!$E$53+'难度参数'!$E$54),1,0)+IF(H847&gt;=('难度参数'!$E$52+'难度参数'!$E$53+'难度参数'!$E$54+'难度参数'!$E$55),1,0)+IF(H847&gt;=('难度参数'!$E$52+'难度参数'!$E$53+'难度参数'!$E$54+'难度参数'!$E$55+'难度参数'!$E$56),1,0)+IF(H847&gt;=('难度参数'!$E$52+'难度参数'!$E$53+'难度参数'!$E$54+'难度参数'!$E$55+'难度参数'!$E$56+'难度参数'!$E$57),1,0)</x:f>
        <x:v>6</x:v>
      </x:c>
      <x:c r="W847" s="62" t="str">
        <x:f>IF(L847&gt;'难度参数'!$E$51,"仅出怪已超目标","还需实测")</x:f>
        <x:v>仅出怪已超目标</x:v>
      </x:c>
      <x:c r="X847" s="119" t="n">
        <x:f>IF(1&gt;D847,0,MAX(2,MIN('难度参数'!$E$12,ROUND(('难度参数'!$E$18*POWER(A847,'难度参数'!$E$19)/D847*(0.85+0.3*(1-1)/MAX(1,D847-1))),0)+F847)))</x:f>
        <x:v>42</x:v>
      </x:c>
      <x:c r="Y847" s="119" t="n">
        <x:f>IF(1&gt;D847,0,ROUND(('难度参数'!$E$13*POWER(A847,'难度参数'!$E$20)*MIN('难度参数'!$E$23,1+MAX(0,A847-'难度参数'!$E$21)*'难度参数'!$E$22))*(36+1*7)/(36+7*(D847+1)/2)*E847,0))</x:f>
        <x:v>11574</x:v>
      </x:c>
      <x:c r="Z847" s="119" t="n">
        <x:f>IF(X847=0,0,(X847-IF(1=D847,1,0))*ROUND(Y847*VLOOKUP(INDEX('章节与怪物'!$E$31:$K$37,B847,1),'章节与怪物'!$A$41:$F$44,2,FALSE),0)+IF(1=D847,ROUND(Y847*'难度参数'!$E$28*'章节与怪物'!$E$17,0),0))</x:f>
        <x:v>486108</x:v>
      </x:c>
      <x:c r="AA847" s="119" t="n">
        <x:f>IF(X847=0,0,(X847-IF(1=D847,1,0))*VLOOKUP(INDEX('章节与怪物'!$E$31:$K$37,B847,1),'章节与怪物'!$A$41:$F$44,4,FALSE)+IF(1=D847,'难度参数'!$E$30,0))</x:f>
        <x:v>756</x:v>
      </x:c>
      <x:c r="AB847" s="119" t="n">
        <x:f>IF(2&gt;D847,0,MAX(2,MIN('难度参数'!$E$12,ROUND(('难度参数'!$E$18*POWER(A847,'难度参数'!$E$19)/D847*(0.85+0.3*(2-1)/MAX(1,D847-1))),0)+F847)))</x:f>
        <x:v>45</x:v>
      </x:c>
      <x:c r="AC847" s="119" t="n">
        <x:f>IF(2&gt;D847,0,ROUND(('难度参数'!$E$13*POWER(A847,'难度参数'!$E$20)*MIN('难度参数'!$E$23,1+MAX(0,A847-'难度参数'!$E$21)*'难度参数'!$E$22))*(36+2*7)/(36+7*(D847+1)/2)*E847,0))</x:f>
        <x:v>13458</x:v>
      </x:c>
      <x:c r="AD847" s="119" t="n">
        <x:f>IF(AB847=0,0,(AB847-IF(2=D847,1,0))*ROUND(AC847*VLOOKUP(INDEX('章节与怪物'!$E$31:$K$37,B847,2),'章节与怪物'!$A$41:$F$44,2,FALSE),0)+IF(2=D847,ROUND(AC847*'难度参数'!$E$28*'章节与怪物'!$E$17,0),0))</x:f>
        <x:v>605610</x:v>
      </x:c>
      <x:c r="AE847" s="119" t="n">
        <x:f>IF(AB847=0,0,(AB847-IF(2=D847,1,0))*VLOOKUP(INDEX('章节与怪物'!$E$31:$K$37,B847,2),'章节与怪物'!$A$41:$F$44,4,FALSE)+IF(2=D847,'难度参数'!$E$30,0))</x:f>
        <x:v>810</x:v>
      </x:c>
      <x:c r="AF847" s="119" t="n">
        <x:f>IF(3&gt;D847,0,MAX(2,MIN('难度参数'!$E$12,ROUND(('难度参数'!$E$18*POWER(A847,'难度参数'!$E$19)/D847*(0.85+0.3*(3-1)/MAX(1,D847-1))),0)+F847)))</x:f>
        <x:v>47</x:v>
      </x:c>
      <x:c r="AG847" s="119" t="n">
        <x:f>IF(3&gt;D847,0,ROUND(('难度参数'!$E$13*POWER(A847,'难度参数'!$E$20)*MIN('难度参数'!$E$23,1+MAX(0,A847-'难度参数'!$E$21)*'难度参数'!$E$22))*(36+3*7)/(36+7*(D847+1)/2)*E847,0))</x:f>
        <x:v>15342</x:v>
      </x:c>
      <x:c r="AH847" s="119" t="n">
        <x:f>IF(AF847=0,0,(AF847-IF(3=D847,1,0))*ROUND(AG847*VLOOKUP(INDEX('章节与怪物'!$E$31:$K$37,B847,3),'章节与怪物'!$A$41:$F$44,2,FALSE),0)+IF(3=D847,ROUND(AG847*'难度参数'!$E$28*'章节与怪物'!$E$17,0),0))</x:f>
        <x:v>519162</x:v>
      </x:c>
      <x:c r="AI847" s="119" t="n">
        <x:f>IF(AF847=0,0,(AF847-IF(3=D847,1,0))*VLOOKUP(INDEX('章节与怪物'!$E$31:$K$37,B847,3),'章节与怪物'!$A$41:$F$44,4,FALSE)+IF(3=D847,'难度参数'!$E$30,0))</x:f>
        <x:v>940</x:v>
      </x:c>
      <x:c r="AJ847" s="119" t="n">
        <x:f>IF(4&gt;D847,0,MAX(2,MIN('难度参数'!$E$12,ROUND(('难度参数'!$E$18*POWER(A847,'难度参数'!$E$19)/D847*(0.85+0.3*(4-1)/MAX(1,D847-1))),0)+F847)))</x:f>
        <x:v>50</x:v>
      </x:c>
      <x:c r="AK847" s="119" t="n">
        <x:f>IF(4&gt;D847,0,ROUND(('难度参数'!$E$13*POWER(A847,'难度参数'!$E$20)*MIN('难度参数'!$E$23,1+MAX(0,A847-'难度参数'!$E$21)*'难度参数'!$E$22))*(36+4*7)/(36+7*(D847+1)/2)*E847,0))</x:f>
        <x:v>17226</x:v>
      </x:c>
      <x:c r="AL847" s="119" t="n">
        <x:f>IF(AJ847=0,0,(AJ847-IF(4=D847,1,0))*ROUND(AK847*VLOOKUP(INDEX('章节与怪物'!$E$31:$K$37,B847,4),'章节与怪物'!$A$41:$F$44,2,FALSE),0)+IF(4=D847,ROUND(AK847*'难度参数'!$E$28*'章节与怪物'!$E$17,0),0))</x:f>
        <x:v>1464200</x:v>
      </x:c>
      <x:c r="AM847" s="119" t="n">
        <x:f>IF(AJ847=0,0,(AJ847-IF(4=D847,1,0))*VLOOKUP(INDEX('章节与怪物'!$E$31:$K$37,B847,4),'章节与怪物'!$A$41:$F$44,4,FALSE)+IF(4=D847,'难度参数'!$E$30,0))</x:f>
        <x:v>1400</x:v>
      </x:c>
      <x:c r="AN847" s="119" t="n">
        <x:f>IF(5&gt;D847,0,MAX(2,MIN('难度参数'!$E$12,ROUND(('难度参数'!$E$18*POWER(A847,'难度参数'!$E$19)/D847*(0.85+0.3*(5-1)/MAX(1,D847-1))),0)+F847)))</x:f>
        <x:v>52</x:v>
      </x:c>
      <x:c r="AO847" s="119" t="n">
        <x:f>IF(5&gt;D847,0,ROUND(('难度参数'!$E$13*POWER(A847,'难度参数'!$E$20)*MIN('难度参数'!$E$23,1+MAX(0,A847-'难度参数'!$E$21)*'难度参数'!$E$22))*(36+5*7)/(36+7*(D847+1)/2)*E847,0))</x:f>
        <x:v>19110</x:v>
      </x:c>
      <x:c r="AP847" s="119" t="n">
        <x:f>IF(AN847=0,0,(AN847-IF(5=D847,1,0))*ROUND(AO847*VLOOKUP(INDEX('章节与怪物'!$E$31:$K$37,B847,5),'章节与怪物'!$A$41:$F$44,2,FALSE),0)+IF(5=D847,ROUND(AO847*'难度参数'!$E$28*'章节与怪物'!$E$17,0),0))</x:f>
        <x:v>1341548</x:v>
      </x:c>
      <x:c r="AQ847" s="119" t="n">
        <x:f>IF(AN847=0,0,(AN847-IF(5=D847,1,0))*VLOOKUP(INDEX('章节与怪物'!$E$31:$K$37,B847,5),'章节与怪物'!$A$41:$F$44,4,FALSE)+IF(5=D847,'难度参数'!$E$30,0))</x:f>
        <x:v>1768</x:v>
      </x:c>
      <x:c r="AR847" s="119" t="n">
        <x:f>IF(6&gt;D847,0,MAX(2,MIN('难度参数'!$E$12,ROUND(('难度参数'!$E$18*POWER(A847,'难度参数'!$E$19)/D847*(0.85+0.3*(6-1)/MAX(1,D847-1))),0)+F847)))</x:f>
        <x:v>55</x:v>
      </x:c>
      <x:c r="AS847" s="119" t="n">
        <x:f>IF(6&gt;D847,0,ROUND(('难度参数'!$E$13*POWER(A847,'难度参数'!$E$20)*MIN('难度参数'!$E$23,1+MAX(0,A847-'难度参数'!$E$21)*'难度参数'!$E$22))*(36+6*7)/(36+7*(D847+1)/2)*E847,0))</x:f>
        <x:v>20994</x:v>
      </x:c>
      <x:c r="AT847" s="119" t="n">
        <x:f>IF(AR847=0,0,(AR847-IF(6=D847,1,0))*ROUND(AS847*VLOOKUP(INDEX('章节与怪物'!$E$31:$K$37,B847,6),'章节与怪物'!$A$41:$F$44,2,FALSE),0)+IF(6=D847,ROUND(AS847*'难度参数'!$E$28*'章节与怪物'!$E$17,0),0))</x:f>
        <x:v>831380</x:v>
      </x:c>
      <x:c r="AU847" s="119" t="n">
        <x:f>IF(AR847=0,0,(AR847-IF(6=D847,1,0))*VLOOKUP(INDEX('章节与怪物'!$E$31:$K$37,B847,6),'章节与怪物'!$A$41:$F$44,4,FALSE)+IF(6=D847,'难度参数'!$E$30,0))</x:f>
        <x:v>1100</x:v>
      </x:c>
      <x:c r="AV847" s="119" t="n">
        <x:f>IF(7&gt;D847,0,MAX(2,MIN('难度参数'!$E$12,ROUND(('难度参数'!$E$18*POWER(A847,'难度参数'!$E$19)/D847*(0.85+0.3*(7-1)/MAX(1,D847-1))),0)+F847)))</x:f>
        <x:v>57</x:v>
      </x:c>
      <x:c r="AW847" s="119" t="n">
        <x:f>IF(7&gt;D847,0,ROUND(('难度参数'!$E$13*POWER(A847,'难度参数'!$E$20)*MIN('难度参数'!$E$23,1+MAX(0,A847-'难度参数'!$E$21)*'难度参数'!$E$22))*(36+7*7)/(36+7*(D847+1)/2)*E847,0))</x:f>
        <x:v>22878</x:v>
      </x:c>
      <x:c r="AX847" s="119" t="n">
        <x:f>IF(AV847=0,0,(AV847-IF(7=D847,1,0))*ROUND(AW847*VLOOKUP(INDEX('章节与怪物'!$E$31:$K$37,B847,7),'章节与怪物'!$A$41:$F$44,2,FALSE),0)+IF(7=D847,ROUND(AW847*'难度参数'!$E$28*'章节与怪物'!$E$17,0),0))</x:f>
        <x:v>2333578</x:v>
      </x:c>
      <x:c r="AY847" s="119" t="n">
        <x:f>IF(AV847=0,0,(AV847-IF(7=D847,1,0))*VLOOKUP(INDEX('章节与怪物'!$E$31:$K$37,B847,7),'章节与怪物'!$A$41:$F$44,4,FALSE)+IF(7=D847,'难度参数'!$E$30,0))</x:f>
        <x:v>1768</x:v>
      </x:c>
    </x:row>
    <x:row r="848" ht="23" customHeight="1">
      <x:c r="A848" s="119" t="n">
        <x:v>842</x:v>
      </x:c>
      <x:c r="B848" s="119" t="n">
        <x:f>MOD(INT((A848-1)/5),7)+1</x:f>
        <x:v>1</x:v>
      </x:c>
      <x:c r="C848" s="62" t="str">
        <x:f>INDEX('章节与怪物'!$B$31:$B$37,B848)</x:f>
        <x:v>冰雪荒原</x:v>
      </x:c>
      <x:c r="D848" s="119" t="n">
        <x:f>MIN('难度参数'!$E$8,MAX('难度参数'!$E$7,A848))</x:f>
        <x:v>7</x:v>
      </x:c>
      <x:c r="E848" s="106" t="n">
        <x:v>1</x:v>
      </x:c>
      <x:c r="F848" s="106" t="n">
        <x:v>0</x:v>
      </x:c>
      <x:c r="G848" s="106" t="n">
        <x:v>1</x:v>
      </x:c>
      <x:c r="H848" s="119" t="n">
        <x:f>SUM(X848,AB848,AF848,AJ848,AN848,AR848,AV848)</x:f>
        <x:v>348</x:v>
      </x:c>
      <x:c r="I848" s="119" t="n">
        <x:f>SUM(Z848,AD848,AH848,AL848,AP848,AT848,AX848)</x:f>
        <x:v>7588170</x:v>
      </x:c>
      <x:c r="J848" s="119" t="n">
        <x:f>ROUND(INDEX(X848:AY848,1,(D848-1)*4+2)*'难度参数'!$E$28*'章节与怪物'!$E$17,0)</x:f>
        <x:v>155706</x:v>
      </x:c>
      <x:c r="K848" s="119" t="n">
        <x:f>SUM(AA848,AE848,AI848,AM848,AQ848,AU848,AY848)</x:f>
        <x:v>8542</x:v>
      </x:c>
      <x:c r="L848" s="62" t="n">
        <x:f>H848*(ROUNDUP('难度参数'!$E$24/('难度参数'!$E$26*'难度参数'!$E$27),0)*'难度参数'!$E$26)/60</x:f>
        <x:v>4.640000000000001</x:v>
      </x:c>
      <x:c r="M848" s="62" t="n">
        <x:f>L848+D848*('难度参数'!$E$49+'难度参数'!$E$50)/60</x:f>
        <x:v>5.8066666666666675</x:v>
      </x:c>
      <x:c r="N848" s="119" t="n">
        <x:f>ROUNDDOWN(('经济参数'!$E$20+A848*'经济参数'!$E$21)*G848,0)</x:f>
        <x:v>17020</x:v>
      </x:c>
      <x:c r="O848" s="119" t="n">
        <x:f>ROUNDDOWN(MIN('经济参数'!$E$24,'经济参数'!$E$22+A848*'经济参数'!$E$23)*G848,0)</x:f>
        <x:v>0</x:v>
      </x:c>
      <x:c r="P848" s="119" t="n">
        <x:f>ROUNDDOWN((IF(A848&gt;='材料与任务'!$E$31,'材料与任务'!$E$32,IF(A848&gt;='材料与任务'!$E$25,'材料与任务'!$E$26,IF(A848&gt;='材料与任务'!$E$19,'材料与任务'!$E$20,IF(A848&gt;='材料与任务'!$E$13,'材料与任务'!$E$14,'材料与任务'!$E$8)))))*G848,0)</x:f>
        <x:v>6</x:v>
      </x:c>
      <x:c r="Q848" s="119" t="n">
        <x:f>ROUNDDOWN((IF(A848&gt;='材料与任务'!$E$31,'材料与任务'!$E$33,IF(A848&gt;='材料与任务'!$E$25,'材料与任务'!$E$27,IF(A848&gt;='材料与任务'!$E$19,'材料与任务'!$E$21,IF(A848&gt;='材料与任务'!$E$13,'材料与任务'!$E$15,'材料与任务'!$E$9)))))*G848,0)</x:f>
        <x:v>3</x:v>
      </x:c>
      <x:c r="R848" s="110" t="n">
        <x:f>'装备掉落'!$B$38</x:f>
        <x:v>0.6872058758851213</x:v>
      </x:c>
      <x:c r="S848" s="119" t="n">
        <x:f>MAX(IF(VLOOKUP(A848,'装备掉落'!$A$29:$H$34,2,TRUE)&gt;0,1,0),IF(VLOOKUP(A848,'装备掉落'!$A$29:$H$34,3,TRUE)&gt;0,2,0),IF(VLOOKUP(A848,'装备掉落'!$A$29:$H$34,4,TRUE)&gt;0,3,0),IF(VLOOKUP(A848,'装备掉落'!$A$29:$H$34,5,TRUE)&gt;0,4,0),IF(VLOOKUP(A848,'装备掉落'!$A$29:$H$34,6,TRUE)&gt;0,5,0),IF(VLOOKUP(A848,'装备掉落'!$A$29:$H$34,7,TRUE)&gt;0,6,0),IF(VLOOKUP(A848,'装备掉落'!$A$29:$H$34,8,TRUE)&gt;0,7,0))</x:f>
        <x:v>7</x:v>
      </x:c>
      <x:c r="T848" s="119" t="n">
        <x:f>MIN(7,S848+'经济参数'!$E$70)</x:f>
        <x:v>7</x:v>
      </x:c>
      <x:c r="U848" s="119" t="n">
        <x:f>MIN(7,S848+'经济参数'!$E$71)</x:f>
        <x:v>7</x:v>
      </x:c>
      <x:c r="V848" s="119" t="n">
        <x:f>IF(H848&gt;=('难度参数'!$E$52),1,0)+IF(H848&gt;=('难度参数'!$E$52+'难度参数'!$E$53),1,0)+IF(H848&gt;=('难度参数'!$E$52+'难度参数'!$E$53+'难度参数'!$E$54),1,0)+IF(H848&gt;=('难度参数'!$E$52+'难度参数'!$E$53+'难度参数'!$E$54+'难度参数'!$E$55),1,0)+IF(H848&gt;=('难度参数'!$E$52+'难度参数'!$E$53+'难度参数'!$E$54+'难度参数'!$E$55+'难度参数'!$E$56),1,0)+IF(H848&gt;=('难度参数'!$E$52+'难度参数'!$E$53+'难度参数'!$E$54+'难度参数'!$E$55+'难度参数'!$E$56+'难度参数'!$E$57),1,0)</x:f>
        <x:v>6</x:v>
      </x:c>
      <x:c r="W848" s="62" t="str">
        <x:f>IF(L848&gt;'难度参数'!$E$51,"仅出怪已超目标","还需实测")</x:f>
        <x:v>仅出怪已超目标</x:v>
      </x:c>
      <x:c r="X848" s="119" t="n">
        <x:f>IF(1&gt;D848,0,MAX(2,MIN('难度参数'!$E$12,ROUND(('难度参数'!$E$18*POWER(A848,'难度参数'!$E$19)/D848*(0.85+0.3*(1-1)/MAX(1,D848-1))),0)+F848)))</x:f>
        <x:v>42</x:v>
      </x:c>
      <x:c r="Y848" s="119" t="n">
        <x:f>IF(1&gt;D848,0,ROUND(('难度参数'!$E$13*POWER(A848,'难度参数'!$E$20)*MIN('难度参数'!$E$23,1+MAX(0,A848-'难度参数'!$E$21)*'难度参数'!$E$22))*(36+1*7)/(36+7*(D848+1)/2)*E848,0))</x:f>
        <x:v>11584</x:v>
      </x:c>
      <x:c r="Z848" s="119" t="n">
        <x:f>IF(X848=0,0,(X848-IF(1=D848,1,0))*ROUND(Y848*VLOOKUP(INDEX('章节与怪物'!$E$31:$K$37,B848,1),'章节与怪物'!$A$41:$F$44,2,FALSE),0)+IF(1=D848,ROUND(Y848*'难度参数'!$E$28*'章节与怪物'!$E$17,0),0))</x:f>
        <x:v>486528</x:v>
      </x:c>
      <x:c r="AA848" s="119" t="n">
        <x:f>IF(X848=0,0,(X848-IF(1=D848,1,0))*VLOOKUP(INDEX('章节与怪物'!$E$31:$K$37,B848,1),'章节与怪物'!$A$41:$F$44,4,FALSE)+IF(1=D848,'难度参数'!$E$30,0))</x:f>
        <x:v>756</x:v>
      </x:c>
      <x:c r="AB848" s="119" t="n">
        <x:f>IF(2&gt;D848,0,MAX(2,MIN('难度参数'!$E$12,ROUND(('难度参数'!$E$18*POWER(A848,'难度参数'!$E$19)/D848*(0.85+0.3*(2-1)/MAX(1,D848-1))),0)+F848)))</x:f>
        <x:v>45</x:v>
      </x:c>
      <x:c r="AC848" s="119" t="n">
        <x:f>IF(2&gt;D848,0,ROUND(('难度参数'!$E$13*POWER(A848,'难度参数'!$E$20)*MIN('难度参数'!$E$23,1+MAX(0,A848-'难度参数'!$E$21)*'难度参数'!$E$22))*(36+2*7)/(36+7*(D848+1)/2)*E848,0))</x:f>
        <x:v>13469</x:v>
      </x:c>
      <x:c r="AD848" s="119" t="n">
        <x:f>IF(AB848=0,0,(AB848-IF(2=D848,1,0))*ROUND(AC848*VLOOKUP(INDEX('章节与怪物'!$E$31:$K$37,B848,2),'章节与怪物'!$A$41:$F$44,2,FALSE),0)+IF(2=D848,ROUND(AC848*'难度参数'!$E$28*'章节与怪物'!$E$17,0),0))</x:f>
        <x:v>606105</x:v>
      </x:c>
      <x:c r="AE848" s="119" t="n">
        <x:f>IF(AB848=0,0,(AB848-IF(2=D848,1,0))*VLOOKUP(INDEX('章节与怪物'!$E$31:$K$37,B848,2),'章节与怪物'!$A$41:$F$44,4,FALSE)+IF(2=D848,'难度参数'!$E$30,0))</x:f>
        <x:v>810</x:v>
      </x:c>
      <x:c r="AF848" s="119" t="n">
        <x:f>IF(3&gt;D848,0,MAX(2,MIN('难度参数'!$E$12,ROUND(('难度参数'!$E$18*POWER(A848,'难度参数'!$E$19)/D848*(0.85+0.3*(3-1)/MAX(1,D848-1))),0)+F848)))</x:f>
        <x:v>47</x:v>
      </x:c>
      <x:c r="AG848" s="119" t="n">
        <x:f>IF(3&gt;D848,0,ROUND(('难度参数'!$E$13*POWER(A848,'难度参数'!$E$20)*MIN('难度参数'!$E$23,1+MAX(0,A848-'难度参数'!$E$21)*'难度参数'!$E$22))*(36+3*7)/(36+7*(D848+1)/2)*E848,0))</x:f>
        <x:v>15355</x:v>
      </x:c>
      <x:c r="AH848" s="119" t="n">
        <x:f>IF(AF848=0,0,(AF848-IF(3=D848,1,0))*ROUND(AG848*VLOOKUP(INDEX('章节与怪物'!$E$31:$K$37,B848,3),'章节与怪物'!$A$41:$F$44,2,FALSE),0)+IF(3=D848,ROUND(AG848*'难度参数'!$E$28*'章节与怪物'!$E$17,0),0))</x:f>
        <x:v>519632</x:v>
      </x:c>
      <x:c r="AI848" s="119" t="n">
        <x:f>IF(AF848=0,0,(AF848-IF(3=D848,1,0))*VLOOKUP(INDEX('章节与怪物'!$E$31:$K$37,B848,3),'章节与怪物'!$A$41:$F$44,4,FALSE)+IF(3=D848,'难度参数'!$E$30,0))</x:f>
        <x:v>940</x:v>
      </x:c>
      <x:c r="AJ848" s="119" t="n">
        <x:f>IF(4&gt;D848,0,MAX(2,MIN('难度参数'!$E$12,ROUND(('难度参数'!$E$18*POWER(A848,'难度参数'!$E$19)/D848*(0.85+0.3*(4-1)/MAX(1,D848-1))),0)+F848)))</x:f>
        <x:v>50</x:v>
      </x:c>
      <x:c r="AK848" s="119" t="n">
        <x:f>IF(4&gt;D848,0,ROUND(('难度参数'!$E$13*POWER(A848,'难度参数'!$E$20)*MIN('难度参数'!$E$23,1+MAX(0,A848-'难度参数'!$E$21)*'难度参数'!$E$22))*(36+4*7)/(36+7*(D848+1)/2)*E848,0))</x:f>
        <x:v>17241</x:v>
      </x:c>
      <x:c r="AL848" s="119" t="n">
        <x:f>IF(AJ848=0,0,(AJ848-IF(4=D848,1,0))*ROUND(AK848*VLOOKUP(INDEX('章节与怪物'!$E$31:$K$37,B848,4),'章节与怪物'!$A$41:$F$44,2,FALSE),0)+IF(4=D848,ROUND(AK848*'难度参数'!$E$28*'章节与怪物'!$E$17,0),0))</x:f>
        <x:v>1465500</x:v>
      </x:c>
      <x:c r="AM848" s="119" t="n">
        <x:f>IF(AJ848=0,0,(AJ848-IF(4=D848,1,0))*VLOOKUP(INDEX('章节与怪物'!$E$31:$K$37,B848,4),'章节与怪物'!$A$41:$F$44,4,FALSE)+IF(4=D848,'难度参数'!$E$30,0))</x:f>
        <x:v>1400</x:v>
      </x:c>
      <x:c r="AN848" s="119" t="n">
        <x:f>IF(5&gt;D848,0,MAX(2,MIN('难度参数'!$E$12,ROUND(('难度参数'!$E$18*POWER(A848,'难度参数'!$E$19)/D848*(0.85+0.3*(5-1)/MAX(1,D848-1))),0)+F848)))</x:f>
        <x:v>52</x:v>
      </x:c>
      <x:c r="AO848" s="119" t="n">
        <x:f>IF(5&gt;D848,0,ROUND(('难度参数'!$E$13*POWER(A848,'难度参数'!$E$20)*MIN('难度参数'!$E$23,1+MAX(0,A848-'难度参数'!$E$21)*'难度参数'!$E$22))*(36+5*7)/(36+7*(D848+1)/2)*E848,0))</x:f>
        <x:v>19127</x:v>
      </x:c>
      <x:c r="AP848" s="119" t="n">
        <x:f>IF(AN848=0,0,(AN848-IF(5=D848,1,0))*ROUND(AO848*VLOOKUP(INDEX('章节与怪物'!$E$31:$K$37,B848,5),'章节与怪物'!$A$41:$F$44,2,FALSE),0)+IF(5=D848,ROUND(AO848*'难度参数'!$E$28*'章节与怪物'!$E$17,0),0))</x:f>
        <x:v>1342692</x:v>
      </x:c>
      <x:c r="AQ848" s="119" t="n">
        <x:f>IF(AN848=0,0,(AN848-IF(5=D848,1,0))*VLOOKUP(INDEX('章节与怪物'!$E$31:$K$37,B848,5),'章节与怪物'!$A$41:$F$44,4,FALSE)+IF(5=D848,'难度参数'!$E$30,0))</x:f>
        <x:v>1768</x:v>
      </x:c>
      <x:c r="AR848" s="119" t="n">
        <x:f>IF(6&gt;D848,0,MAX(2,MIN('难度参数'!$E$12,ROUND(('难度参数'!$E$18*POWER(A848,'难度参数'!$E$19)/D848*(0.85+0.3*(6-1)/MAX(1,D848-1))),0)+F848)))</x:f>
        <x:v>55</x:v>
      </x:c>
      <x:c r="AS848" s="119" t="n">
        <x:f>IF(6&gt;D848,0,ROUND(('难度参数'!$E$13*POWER(A848,'难度参数'!$E$20)*MIN('难度参数'!$E$23,1+MAX(0,A848-'难度参数'!$E$21)*'难度参数'!$E$22))*(36+6*7)/(36+7*(D848+1)/2)*E848,0))</x:f>
        <x:v>21012</x:v>
      </x:c>
      <x:c r="AT848" s="119" t="n">
        <x:f>IF(AR848=0,0,(AR848-IF(6=D848,1,0))*ROUND(AS848*VLOOKUP(INDEX('章节与怪物'!$E$31:$K$37,B848,6),'章节与怪物'!$A$41:$F$44,2,FALSE),0)+IF(6=D848,ROUND(AS848*'难度参数'!$E$28*'章节与怪物'!$E$17,0),0))</x:f>
        <x:v>832095</x:v>
      </x:c>
      <x:c r="AU848" s="119" t="n">
        <x:f>IF(AR848=0,0,(AR848-IF(6=D848,1,0))*VLOOKUP(INDEX('章节与怪物'!$E$31:$K$37,B848,6),'章节与怪物'!$A$41:$F$44,4,FALSE)+IF(6=D848,'难度参数'!$E$30,0))</x:f>
        <x:v>1100</x:v>
      </x:c>
      <x:c r="AV848" s="119" t="n">
        <x:f>IF(7&gt;D848,0,MAX(2,MIN('难度参数'!$E$12,ROUND(('难度参数'!$E$18*POWER(A848,'难度参数'!$E$19)/D848*(0.85+0.3*(7-1)/MAX(1,D848-1))),0)+F848)))</x:f>
        <x:v>57</x:v>
      </x:c>
      <x:c r="AW848" s="119" t="n">
        <x:f>IF(7&gt;D848,0,ROUND(('难度参数'!$E$13*POWER(A848,'难度参数'!$E$20)*MIN('难度参数'!$E$23,1+MAX(0,A848-'难度参数'!$E$21)*'难度参数'!$E$22))*(36+7*7)/(36+7*(D848+1)/2)*E848,0))</x:f>
        <x:v>22898</x:v>
      </x:c>
      <x:c r="AX848" s="119" t="n">
        <x:f>IF(AV848=0,0,(AV848-IF(7=D848,1,0))*ROUND(AW848*VLOOKUP(INDEX('章节与怪物'!$E$31:$K$37,B848,7),'章节与怪物'!$A$41:$F$44,2,FALSE),0)+IF(7=D848,ROUND(AW848*'难度参数'!$E$28*'章节与怪物'!$E$17,0),0))</x:f>
        <x:v>2335618</x:v>
      </x:c>
      <x:c r="AY848" s="119" t="n">
        <x:f>IF(AV848=0,0,(AV848-IF(7=D848,1,0))*VLOOKUP(INDEX('章节与怪物'!$E$31:$K$37,B848,7),'章节与怪物'!$A$41:$F$44,4,FALSE)+IF(7=D848,'难度参数'!$E$30,0))</x:f>
        <x:v>1768</x:v>
      </x:c>
    </x:row>
    <x:row r="849" ht="23" customHeight="1">
      <x:c r="A849" s="119" t="n">
        <x:v>843</x:v>
      </x:c>
      <x:c r="B849" s="119" t="n">
        <x:f>MOD(INT((A849-1)/5),7)+1</x:f>
        <x:v>1</x:v>
      </x:c>
      <x:c r="C849" s="62" t="str">
        <x:f>INDEX('章节与怪物'!$B$31:$B$37,B849)</x:f>
        <x:v>冰雪荒原</x:v>
      </x:c>
      <x:c r="D849" s="119" t="n">
        <x:f>MIN('难度参数'!$E$8,MAX('难度参数'!$E$7,A849))</x:f>
        <x:v>7</x:v>
      </x:c>
      <x:c r="E849" s="106" t="n">
        <x:v>1</x:v>
      </x:c>
      <x:c r="F849" s="106" t="n">
        <x:v>0</x:v>
      </x:c>
      <x:c r="G849" s="106" t="n">
        <x:v>1</x:v>
      </x:c>
      <x:c r="H849" s="119" t="n">
        <x:f>SUM(X849,AB849,AF849,AJ849,AN849,AR849,AV849)</x:f>
        <x:v>348</x:v>
      </x:c>
      <x:c r="I849" s="119" t="n">
        <x:f>SUM(Z849,AD849,AH849,AL849,AP849,AT849,AX849)</x:f>
        <x:v>7594702</x:v>
      </x:c>
      <x:c r="J849" s="119" t="n">
        <x:f>ROUND(INDEX(X849:AY849,1,(D849-1)*4+2)*'难度参数'!$E$28*'章节与怪物'!$E$17,0)</x:f>
        <x:v>155842</x:v>
      </x:c>
      <x:c r="K849" s="119" t="n">
        <x:f>SUM(AA849,AE849,AI849,AM849,AQ849,AU849,AY849)</x:f>
        <x:v>8542</x:v>
      </x:c>
      <x:c r="L849" s="62" t="n">
        <x:f>H849*(ROUNDUP('难度参数'!$E$24/('难度参数'!$E$26*'难度参数'!$E$27),0)*'难度参数'!$E$26)/60</x:f>
        <x:v>4.640000000000001</x:v>
      </x:c>
      <x:c r="M849" s="62" t="n">
        <x:f>L849+D849*('难度参数'!$E$49+'难度参数'!$E$50)/60</x:f>
        <x:v>5.8066666666666675</x:v>
      </x:c>
      <x:c r="N849" s="119" t="n">
        <x:f>ROUNDDOWN(('经济参数'!$E$20+A849*'经济参数'!$E$21)*G849,0)</x:f>
        <x:v>17040</x:v>
      </x:c>
      <x:c r="O849" s="119" t="n">
        <x:f>ROUNDDOWN(MIN('经济参数'!$E$24,'经济参数'!$E$22+A849*'经济参数'!$E$23)*G849,0)</x:f>
        <x:v>0</x:v>
      </x:c>
      <x:c r="P849" s="119" t="n">
        <x:f>ROUNDDOWN((IF(A849&gt;='材料与任务'!$E$31,'材料与任务'!$E$32,IF(A849&gt;='材料与任务'!$E$25,'材料与任务'!$E$26,IF(A849&gt;='材料与任务'!$E$19,'材料与任务'!$E$20,IF(A849&gt;='材料与任务'!$E$13,'材料与任务'!$E$14,'材料与任务'!$E$8)))))*G849,0)</x:f>
        <x:v>6</x:v>
      </x:c>
      <x:c r="Q849" s="119" t="n">
        <x:f>ROUNDDOWN((IF(A849&gt;='材料与任务'!$E$31,'材料与任务'!$E$33,IF(A849&gt;='材料与任务'!$E$25,'材料与任务'!$E$27,IF(A849&gt;='材料与任务'!$E$19,'材料与任务'!$E$21,IF(A849&gt;='材料与任务'!$E$13,'材料与任务'!$E$15,'材料与任务'!$E$9)))))*G849,0)</x:f>
        <x:v>3</x:v>
      </x:c>
      <x:c r="R849" s="110" t="n">
        <x:f>'装备掉落'!$B$38</x:f>
        <x:v>0.6872058758851213</x:v>
      </x:c>
      <x:c r="S849" s="119" t="n">
        <x:f>MAX(IF(VLOOKUP(A849,'装备掉落'!$A$29:$H$34,2,TRUE)&gt;0,1,0),IF(VLOOKUP(A849,'装备掉落'!$A$29:$H$34,3,TRUE)&gt;0,2,0),IF(VLOOKUP(A849,'装备掉落'!$A$29:$H$34,4,TRUE)&gt;0,3,0),IF(VLOOKUP(A849,'装备掉落'!$A$29:$H$34,5,TRUE)&gt;0,4,0),IF(VLOOKUP(A849,'装备掉落'!$A$29:$H$34,6,TRUE)&gt;0,5,0),IF(VLOOKUP(A849,'装备掉落'!$A$29:$H$34,7,TRUE)&gt;0,6,0),IF(VLOOKUP(A849,'装备掉落'!$A$29:$H$34,8,TRUE)&gt;0,7,0))</x:f>
        <x:v>7</x:v>
      </x:c>
      <x:c r="T849" s="119" t="n">
        <x:f>MIN(7,S849+'经济参数'!$E$70)</x:f>
        <x:v>7</x:v>
      </x:c>
      <x:c r="U849" s="119" t="n">
        <x:f>MIN(7,S849+'经济参数'!$E$71)</x:f>
        <x:v>7</x:v>
      </x:c>
      <x:c r="V849" s="119" t="n">
        <x:f>IF(H849&gt;=('难度参数'!$E$52),1,0)+IF(H849&gt;=('难度参数'!$E$52+'难度参数'!$E$53),1,0)+IF(H849&gt;=('难度参数'!$E$52+'难度参数'!$E$53+'难度参数'!$E$54),1,0)+IF(H849&gt;=('难度参数'!$E$52+'难度参数'!$E$53+'难度参数'!$E$54+'难度参数'!$E$55),1,0)+IF(H849&gt;=('难度参数'!$E$52+'难度参数'!$E$53+'难度参数'!$E$54+'难度参数'!$E$55+'难度参数'!$E$56),1,0)+IF(H849&gt;=('难度参数'!$E$52+'难度参数'!$E$53+'难度参数'!$E$54+'难度参数'!$E$55+'难度参数'!$E$56+'难度参数'!$E$57),1,0)</x:f>
        <x:v>6</x:v>
      </x:c>
      <x:c r="W849" s="62" t="str">
        <x:f>IF(L849&gt;'难度参数'!$E$51,"仅出怪已超目标","还需实测")</x:f>
        <x:v>仅出怪已超目标</x:v>
      </x:c>
      <x:c r="X849" s="119" t="n">
        <x:f>IF(1&gt;D849,0,MAX(2,MIN('难度参数'!$E$12,ROUND(('难度参数'!$E$18*POWER(A849,'难度参数'!$E$19)/D849*(0.85+0.3*(1-1)/MAX(1,D849-1))),0)+F849)))</x:f>
        <x:v>42</x:v>
      </x:c>
      <x:c r="Y849" s="119" t="n">
        <x:f>IF(1&gt;D849,0,ROUND(('难度参数'!$E$13*POWER(A849,'难度参数'!$E$20)*MIN('难度参数'!$E$23,1+MAX(0,A849-'难度参数'!$E$21)*'难度参数'!$E$22))*(36+1*7)/(36+7*(D849+1)/2)*E849,0))</x:f>
        <x:v>11594</x:v>
      </x:c>
      <x:c r="Z849" s="119" t="n">
        <x:f>IF(X849=0,0,(X849-IF(1=D849,1,0))*ROUND(Y849*VLOOKUP(INDEX('章节与怪物'!$E$31:$K$37,B849,1),'章节与怪物'!$A$41:$F$44,2,FALSE),0)+IF(1=D849,ROUND(Y849*'难度参数'!$E$28*'章节与怪物'!$E$17,0),0))</x:f>
        <x:v>486948</x:v>
      </x:c>
      <x:c r="AA849" s="119" t="n">
        <x:f>IF(X849=0,0,(X849-IF(1=D849,1,0))*VLOOKUP(INDEX('章节与怪物'!$E$31:$K$37,B849,1),'章节与怪物'!$A$41:$F$44,4,FALSE)+IF(1=D849,'难度参数'!$E$30,0))</x:f>
        <x:v>756</x:v>
      </x:c>
      <x:c r="AB849" s="119" t="n">
        <x:f>IF(2&gt;D849,0,MAX(2,MIN('难度参数'!$E$12,ROUND(('难度参数'!$E$18*POWER(A849,'难度参数'!$E$19)/D849*(0.85+0.3*(2-1)/MAX(1,D849-1))),0)+F849)))</x:f>
        <x:v>45</x:v>
      </x:c>
      <x:c r="AC849" s="119" t="n">
        <x:f>IF(2&gt;D849,0,ROUND(('难度参数'!$E$13*POWER(A849,'难度参数'!$E$20)*MIN('难度参数'!$E$23,1+MAX(0,A849-'难度参数'!$E$21)*'难度参数'!$E$22))*(36+2*7)/(36+7*(D849+1)/2)*E849,0))</x:f>
        <x:v>13481</x:v>
      </x:c>
      <x:c r="AD849" s="119" t="n">
        <x:f>IF(AB849=0,0,(AB849-IF(2=D849,1,0))*ROUND(AC849*VLOOKUP(INDEX('章节与怪物'!$E$31:$K$37,B849,2),'章节与怪物'!$A$41:$F$44,2,FALSE),0)+IF(2=D849,ROUND(AC849*'难度参数'!$E$28*'章节与怪物'!$E$17,0),0))</x:f>
        <x:v>606645</x:v>
      </x:c>
      <x:c r="AE849" s="119" t="n">
        <x:f>IF(AB849=0,0,(AB849-IF(2=D849,1,0))*VLOOKUP(INDEX('章节与怪物'!$E$31:$K$37,B849,2),'章节与怪物'!$A$41:$F$44,4,FALSE)+IF(2=D849,'难度参数'!$E$30,0))</x:f>
        <x:v>810</x:v>
      </x:c>
      <x:c r="AF849" s="119" t="n">
        <x:f>IF(3&gt;D849,0,MAX(2,MIN('难度参数'!$E$12,ROUND(('难度参数'!$E$18*POWER(A849,'难度参数'!$E$19)/D849*(0.85+0.3*(3-1)/MAX(1,D849-1))),0)+F849)))</x:f>
        <x:v>47</x:v>
      </x:c>
      <x:c r="AG849" s="119" t="n">
        <x:f>IF(3&gt;D849,0,ROUND(('难度参数'!$E$13*POWER(A849,'难度参数'!$E$20)*MIN('难度参数'!$E$23,1+MAX(0,A849-'难度参数'!$E$21)*'难度参数'!$E$22))*(36+3*7)/(36+7*(D849+1)/2)*E849,0))</x:f>
        <x:v>15368</x:v>
      </x:c>
      <x:c r="AH849" s="119" t="n">
        <x:f>IF(AF849=0,0,(AF849-IF(3=D849,1,0))*ROUND(AG849*VLOOKUP(INDEX('章节与怪物'!$E$31:$K$37,B849,3),'章节与怪物'!$A$41:$F$44,2,FALSE),0)+IF(3=D849,ROUND(AG849*'难度参数'!$E$28*'章节与怪物'!$E$17,0),0))</x:f>
        <x:v>520055</x:v>
      </x:c>
      <x:c r="AI849" s="119" t="n">
        <x:f>IF(AF849=0,0,(AF849-IF(3=D849,1,0))*VLOOKUP(INDEX('章节与怪物'!$E$31:$K$37,B849,3),'章节与怪物'!$A$41:$F$44,4,FALSE)+IF(3=D849,'难度参数'!$E$30,0))</x:f>
        <x:v>940</x:v>
      </x:c>
      <x:c r="AJ849" s="119" t="n">
        <x:f>IF(4&gt;D849,0,MAX(2,MIN('难度参数'!$E$12,ROUND(('难度参数'!$E$18*POWER(A849,'难度参数'!$E$19)/D849*(0.85+0.3*(4-1)/MAX(1,D849-1))),0)+F849)))</x:f>
        <x:v>50</x:v>
      </x:c>
      <x:c r="AK849" s="119" t="n">
        <x:f>IF(4&gt;D849,0,ROUND(('难度参数'!$E$13*POWER(A849,'难度参数'!$E$20)*MIN('难度参数'!$E$23,1+MAX(0,A849-'难度参数'!$E$21)*'难度参数'!$E$22))*(36+4*7)/(36+7*(D849+1)/2)*E849,0))</x:f>
        <x:v>17256</x:v>
      </x:c>
      <x:c r="AL849" s="119" t="n">
        <x:f>IF(AJ849=0,0,(AJ849-IF(4=D849,1,0))*ROUND(AK849*VLOOKUP(INDEX('章节与怪物'!$E$31:$K$37,B849,4),'章节与怪物'!$A$41:$F$44,2,FALSE),0)+IF(4=D849,ROUND(AK849*'难度参数'!$E$28*'章节与怪物'!$E$17,0),0))</x:f>
        <x:v>1466750</x:v>
      </x:c>
      <x:c r="AM849" s="119" t="n">
        <x:f>IF(AJ849=0,0,(AJ849-IF(4=D849,1,0))*VLOOKUP(INDEX('章节与怪物'!$E$31:$K$37,B849,4),'章节与怪物'!$A$41:$F$44,4,FALSE)+IF(4=D849,'难度参数'!$E$30,0))</x:f>
        <x:v>1400</x:v>
      </x:c>
      <x:c r="AN849" s="119" t="n">
        <x:f>IF(5&gt;D849,0,MAX(2,MIN('难度参数'!$E$12,ROUND(('难度参数'!$E$18*POWER(A849,'难度参数'!$E$19)/D849*(0.85+0.3*(5-1)/MAX(1,D849-1))),0)+F849)))</x:f>
        <x:v>52</x:v>
      </x:c>
      <x:c r="AO849" s="119" t="n">
        <x:f>IF(5&gt;D849,0,ROUND(('难度参数'!$E$13*POWER(A849,'难度参数'!$E$20)*MIN('难度参数'!$E$23,1+MAX(0,A849-'难度参数'!$E$21)*'难度参数'!$E$22))*(36+5*7)/(36+7*(D849+1)/2)*E849,0))</x:f>
        <x:v>19143</x:v>
      </x:c>
      <x:c r="AP849" s="119" t="n">
        <x:f>IF(AN849=0,0,(AN849-IF(5=D849,1,0))*ROUND(AO849*VLOOKUP(INDEX('章节与怪物'!$E$31:$K$37,B849,5),'章节与怪物'!$A$41:$F$44,2,FALSE),0)+IF(5=D849,ROUND(AO849*'难度参数'!$E$28*'章节与怪物'!$E$17,0),0))</x:f>
        <x:v>1343836</x:v>
      </x:c>
      <x:c r="AQ849" s="119" t="n">
        <x:f>IF(AN849=0,0,(AN849-IF(5=D849,1,0))*VLOOKUP(INDEX('章节与怪物'!$E$31:$K$37,B849,5),'章节与怪物'!$A$41:$F$44,4,FALSE)+IF(5=D849,'难度参数'!$E$30,0))</x:f>
        <x:v>1768</x:v>
      </x:c>
      <x:c r="AR849" s="119" t="n">
        <x:f>IF(6&gt;D849,0,MAX(2,MIN('难度参数'!$E$12,ROUND(('难度参数'!$E$18*POWER(A849,'难度参数'!$E$19)/D849*(0.85+0.3*(6-1)/MAX(1,D849-1))),0)+F849)))</x:f>
        <x:v>55</x:v>
      </x:c>
      <x:c r="AS849" s="119" t="n">
        <x:f>IF(6&gt;D849,0,ROUND(('难度参数'!$E$13*POWER(A849,'难度参数'!$E$20)*MIN('难度参数'!$E$23,1+MAX(0,A849-'难度参数'!$E$21)*'难度参数'!$E$22))*(36+6*7)/(36+7*(D849+1)/2)*E849,0))</x:f>
        <x:v>21030</x:v>
      </x:c>
      <x:c r="AT849" s="119" t="n">
        <x:f>IF(AR849=0,0,(AR849-IF(6=D849,1,0))*ROUND(AS849*VLOOKUP(INDEX('章节与怪物'!$E$31:$K$37,B849,6),'章节与怪物'!$A$41:$F$44,2,FALSE),0)+IF(6=D849,ROUND(AS849*'难度参数'!$E$28*'章节与怪物'!$E$17,0),0))</x:f>
        <x:v>832810</x:v>
      </x:c>
      <x:c r="AU849" s="119" t="n">
        <x:f>IF(AR849=0,0,(AR849-IF(6=D849,1,0))*VLOOKUP(INDEX('章节与怪物'!$E$31:$K$37,B849,6),'章节与怪物'!$A$41:$F$44,4,FALSE)+IF(6=D849,'难度参数'!$E$30,0))</x:f>
        <x:v>1100</x:v>
      </x:c>
      <x:c r="AV849" s="119" t="n">
        <x:f>IF(7&gt;D849,0,MAX(2,MIN('难度参数'!$E$12,ROUND(('难度参数'!$E$18*POWER(A849,'难度参数'!$E$19)/D849*(0.85+0.3*(7-1)/MAX(1,D849-1))),0)+F849)))</x:f>
        <x:v>57</x:v>
      </x:c>
      <x:c r="AW849" s="119" t="n">
        <x:f>IF(7&gt;D849,0,ROUND(('难度参数'!$E$13*POWER(A849,'难度参数'!$E$20)*MIN('难度参数'!$E$23,1+MAX(0,A849-'难度参数'!$E$21)*'难度参数'!$E$22))*(36+7*7)/(36+7*(D849+1)/2)*E849,0))</x:f>
        <x:v>22918</x:v>
      </x:c>
      <x:c r="AX849" s="119" t="n">
        <x:f>IF(AV849=0,0,(AV849-IF(7=D849,1,0))*ROUND(AW849*VLOOKUP(INDEX('章节与怪物'!$E$31:$K$37,B849,7),'章节与怪物'!$A$41:$F$44,2,FALSE),0)+IF(7=D849,ROUND(AW849*'难度参数'!$E$28*'章节与怪物'!$E$17,0),0))</x:f>
        <x:v>2337658</x:v>
      </x:c>
      <x:c r="AY849" s="119" t="n">
        <x:f>IF(AV849=0,0,(AV849-IF(7=D849,1,0))*VLOOKUP(INDEX('章节与怪物'!$E$31:$K$37,B849,7),'章节与怪物'!$A$41:$F$44,4,FALSE)+IF(7=D849,'难度参数'!$E$30,0))</x:f>
        <x:v>1768</x:v>
      </x:c>
    </x:row>
    <x:row r="850" ht="23" customHeight="1">
      <x:c r="A850" s="119" t="n">
        <x:v>844</x:v>
      </x:c>
      <x:c r="B850" s="119" t="n">
        <x:f>MOD(INT((A850-1)/5),7)+1</x:f>
        <x:v>1</x:v>
      </x:c>
      <x:c r="C850" s="62" t="str">
        <x:f>INDEX('章节与怪物'!$B$31:$B$37,B850)</x:f>
        <x:v>冰雪荒原</x:v>
      </x:c>
      <x:c r="D850" s="119" t="n">
        <x:f>MIN('难度参数'!$E$8,MAX('难度参数'!$E$7,A850))</x:f>
        <x:v>7</x:v>
      </x:c>
      <x:c r="E850" s="106" t="n">
        <x:v>1</x:v>
      </x:c>
      <x:c r="F850" s="106" t="n">
        <x:v>0</x:v>
      </x:c>
      <x:c r="G850" s="106" t="n">
        <x:v>1</x:v>
      </x:c>
      <x:c r="H850" s="119" t="n">
        <x:f>SUM(X850,AB850,AF850,AJ850,AN850,AR850,AV850)</x:f>
        <x:v>348</x:v>
      </x:c>
      <x:c r="I850" s="119" t="n">
        <x:f>SUM(Z850,AD850,AH850,AL850,AP850,AT850,AX850)</x:f>
        <x:v>7600979</x:v>
      </x:c>
      <x:c r="J850" s="119" t="n">
        <x:f>ROUND(INDEX(X850:AY850,1,(D850-1)*4+2)*'难度参数'!$E$28*'章节与怪物'!$E$17,0)</x:f>
        <x:v>155972</x:v>
      </x:c>
      <x:c r="K850" s="119" t="n">
        <x:f>SUM(AA850,AE850,AI850,AM850,AQ850,AU850,AY850)</x:f>
        <x:v>8542</x:v>
      </x:c>
      <x:c r="L850" s="62" t="n">
        <x:f>H850*(ROUNDUP('难度参数'!$E$24/('难度参数'!$E$26*'难度参数'!$E$27),0)*'难度参数'!$E$26)/60</x:f>
        <x:v>4.640000000000001</x:v>
      </x:c>
      <x:c r="M850" s="62" t="n">
        <x:f>L850+D850*('难度参数'!$E$49+'难度参数'!$E$50)/60</x:f>
        <x:v>5.8066666666666675</x:v>
      </x:c>
      <x:c r="N850" s="119" t="n">
        <x:f>ROUNDDOWN(('经济参数'!$E$20+A850*'经济参数'!$E$21)*G850,0)</x:f>
        <x:v>17060</x:v>
      </x:c>
      <x:c r="O850" s="119" t="n">
        <x:f>ROUNDDOWN(MIN('经济参数'!$E$24,'经济参数'!$E$22+A850*'经济参数'!$E$23)*G850,0)</x:f>
        <x:v>0</x:v>
      </x:c>
      <x:c r="P850" s="119" t="n">
        <x:f>ROUNDDOWN((IF(A850&gt;='材料与任务'!$E$31,'材料与任务'!$E$32,IF(A850&gt;='材料与任务'!$E$25,'材料与任务'!$E$26,IF(A850&gt;='材料与任务'!$E$19,'材料与任务'!$E$20,IF(A850&gt;='材料与任务'!$E$13,'材料与任务'!$E$14,'材料与任务'!$E$8)))))*G850,0)</x:f>
        <x:v>6</x:v>
      </x:c>
      <x:c r="Q850" s="119" t="n">
        <x:f>ROUNDDOWN((IF(A850&gt;='材料与任务'!$E$31,'材料与任务'!$E$33,IF(A850&gt;='材料与任务'!$E$25,'材料与任务'!$E$27,IF(A850&gt;='材料与任务'!$E$19,'材料与任务'!$E$21,IF(A850&gt;='材料与任务'!$E$13,'材料与任务'!$E$15,'材料与任务'!$E$9)))))*G850,0)</x:f>
        <x:v>3</x:v>
      </x:c>
      <x:c r="R850" s="110" t="n">
        <x:f>'装备掉落'!$B$38</x:f>
        <x:v>0.6872058758851213</x:v>
      </x:c>
      <x:c r="S850" s="119" t="n">
        <x:f>MAX(IF(VLOOKUP(A850,'装备掉落'!$A$29:$H$34,2,TRUE)&gt;0,1,0),IF(VLOOKUP(A850,'装备掉落'!$A$29:$H$34,3,TRUE)&gt;0,2,0),IF(VLOOKUP(A850,'装备掉落'!$A$29:$H$34,4,TRUE)&gt;0,3,0),IF(VLOOKUP(A850,'装备掉落'!$A$29:$H$34,5,TRUE)&gt;0,4,0),IF(VLOOKUP(A850,'装备掉落'!$A$29:$H$34,6,TRUE)&gt;0,5,0),IF(VLOOKUP(A850,'装备掉落'!$A$29:$H$34,7,TRUE)&gt;0,6,0),IF(VLOOKUP(A850,'装备掉落'!$A$29:$H$34,8,TRUE)&gt;0,7,0))</x:f>
        <x:v>7</x:v>
      </x:c>
      <x:c r="T850" s="119" t="n">
        <x:f>MIN(7,S850+'经济参数'!$E$70)</x:f>
        <x:v>7</x:v>
      </x:c>
      <x:c r="U850" s="119" t="n">
        <x:f>MIN(7,S850+'经济参数'!$E$71)</x:f>
        <x:v>7</x:v>
      </x:c>
      <x:c r="V850" s="119" t="n">
        <x:f>IF(H850&gt;=('难度参数'!$E$52),1,0)+IF(H850&gt;=('难度参数'!$E$52+'难度参数'!$E$53),1,0)+IF(H850&gt;=('难度参数'!$E$52+'难度参数'!$E$53+'难度参数'!$E$54),1,0)+IF(H850&gt;=('难度参数'!$E$52+'难度参数'!$E$53+'难度参数'!$E$54+'难度参数'!$E$55),1,0)+IF(H850&gt;=('难度参数'!$E$52+'难度参数'!$E$53+'难度参数'!$E$54+'难度参数'!$E$55+'难度参数'!$E$56),1,0)+IF(H850&gt;=('难度参数'!$E$52+'难度参数'!$E$53+'难度参数'!$E$54+'难度参数'!$E$55+'难度参数'!$E$56+'难度参数'!$E$57),1,0)</x:f>
        <x:v>6</x:v>
      </x:c>
      <x:c r="W850" s="62" t="str">
        <x:f>IF(L850&gt;'难度参数'!$E$51,"仅出怪已超目标","还需实测")</x:f>
        <x:v>仅出怪已超目标</x:v>
      </x:c>
      <x:c r="X850" s="119" t="n">
        <x:f>IF(1&gt;D850,0,MAX(2,MIN('难度参数'!$E$12,ROUND(('难度参数'!$E$18*POWER(A850,'难度参数'!$E$19)/D850*(0.85+0.3*(1-1)/MAX(1,D850-1))),0)+F850)))</x:f>
        <x:v>42</x:v>
      </x:c>
      <x:c r="Y850" s="119" t="n">
        <x:f>IF(1&gt;D850,0,ROUND(('难度参数'!$E$13*POWER(A850,'难度参数'!$E$20)*MIN('难度参数'!$E$23,1+MAX(0,A850-'难度参数'!$E$21)*'难度参数'!$E$22))*(36+1*7)/(36+7*(D850+1)/2)*E850,0))</x:f>
        <x:v>11603</x:v>
      </x:c>
      <x:c r="Z850" s="119" t="n">
        <x:f>IF(X850=0,0,(X850-IF(1=D850,1,0))*ROUND(Y850*VLOOKUP(INDEX('章节与怪物'!$E$31:$K$37,B850,1),'章节与怪物'!$A$41:$F$44,2,FALSE),0)+IF(1=D850,ROUND(Y850*'难度参数'!$E$28*'章节与怪物'!$E$17,0),0))</x:f>
        <x:v>487326</x:v>
      </x:c>
      <x:c r="AA850" s="119" t="n">
        <x:f>IF(X850=0,0,(X850-IF(1=D850,1,0))*VLOOKUP(INDEX('章节与怪物'!$E$31:$K$37,B850,1),'章节与怪物'!$A$41:$F$44,4,FALSE)+IF(1=D850,'难度参数'!$E$30,0))</x:f>
        <x:v>756</x:v>
      </x:c>
      <x:c r="AB850" s="119" t="n">
        <x:f>IF(2&gt;D850,0,MAX(2,MIN('难度参数'!$E$12,ROUND(('难度参数'!$E$18*POWER(A850,'难度参数'!$E$19)/D850*(0.85+0.3*(2-1)/MAX(1,D850-1))),0)+F850)))</x:f>
        <x:v>45</x:v>
      </x:c>
      <x:c r="AC850" s="119" t="n">
        <x:f>IF(2&gt;D850,0,ROUND(('难度参数'!$E$13*POWER(A850,'难度参数'!$E$20)*MIN('难度参数'!$E$23,1+MAX(0,A850-'难度参数'!$E$21)*'难度参数'!$E$22))*(36+2*7)/(36+7*(D850+1)/2)*E850,0))</x:f>
        <x:v>13492</x:v>
      </x:c>
      <x:c r="AD850" s="119" t="n">
        <x:f>IF(AB850=0,0,(AB850-IF(2=D850,1,0))*ROUND(AC850*VLOOKUP(INDEX('章节与怪物'!$E$31:$K$37,B850,2),'章节与怪物'!$A$41:$F$44,2,FALSE),0)+IF(2=D850,ROUND(AC850*'难度参数'!$E$28*'章节与怪物'!$E$17,0),0))</x:f>
        <x:v>607140</x:v>
      </x:c>
      <x:c r="AE850" s="119" t="n">
        <x:f>IF(AB850=0,0,(AB850-IF(2=D850,1,0))*VLOOKUP(INDEX('章节与怪物'!$E$31:$K$37,B850,2),'章节与怪物'!$A$41:$F$44,4,FALSE)+IF(2=D850,'难度参数'!$E$30,0))</x:f>
        <x:v>810</x:v>
      </x:c>
      <x:c r="AF850" s="119" t="n">
        <x:f>IF(3&gt;D850,0,MAX(2,MIN('难度参数'!$E$12,ROUND(('难度参数'!$E$18*POWER(A850,'难度参数'!$E$19)/D850*(0.85+0.3*(3-1)/MAX(1,D850-1))),0)+F850)))</x:f>
        <x:v>47</x:v>
      </x:c>
      <x:c r="AG850" s="119" t="n">
        <x:f>IF(3&gt;D850,0,ROUND(('难度参数'!$E$13*POWER(A850,'难度参数'!$E$20)*MIN('难度参数'!$E$23,1+MAX(0,A850-'难度参数'!$E$21)*'难度参数'!$E$22))*(36+3*7)/(36+7*(D850+1)/2)*E850,0))</x:f>
        <x:v>15381</x:v>
      </x:c>
      <x:c r="AH850" s="119" t="n">
        <x:f>IF(AF850=0,0,(AF850-IF(3=D850,1,0))*ROUND(AG850*VLOOKUP(INDEX('章节与怪物'!$E$31:$K$37,B850,3),'章节与怪物'!$A$41:$F$44,2,FALSE),0)+IF(3=D850,ROUND(AG850*'难度参数'!$E$28*'章节与怪物'!$E$17,0),0))</x:f>
        <x:v>520478</x:v>
      </x:c>
      <x:c r="AI850" s="119" t="n">
        <x:f>IF(AF850=0,0,(AF850-IF(3=D850,1,0))*VLOOKUP(INDEX('章节与怪物'!$E$31:$K$37,B850,3),'章节与怪物'!$A$41:$F$44,4,FALSE)+IF(3=D850,'难度参数'!$E$30,0))</x:f>
        <x:v>940</x:v>
      </x:c>
      <x:c r="AJ850" s="119" t="n">
        <x:f>IF(4&gt;D850,0,MAX(2,MIN('难度参数'!$E$12,ROUND(('难度参数'!$E$18*POWER(A850,'难度参数'!$E$19)/D850*(0.85+0.3*(4-1)/MAX(1,D850-1))),0)+F850)))</x:f>
        <x:v>50</x:v>
      </x:c>
      <x:c r="AK850" s="119" t="n">
        <x:f>IF(4&gt;D850,0,ROUND(('难度参数'!$E$13*POWER(A850,'难度参数'!$E$20)*MIN('难度参数'!$E$23,1+MAX(0,A850-'难度参数'!$E$21)*'难度参数'!$E$22))*(36+4*7)/(36+7*(D850+1)/2)*E850,0))</x:f>
        <x:v>17270</x:v>
      </x:c>
      <x:c r="AL850" s="119" t="n">
        <x:f>IF(AJ850=0,0,(AJ850-IF(4=D850,1,0))*ROUND(AK850*VLOOKUP(INDEX('章节与怪物'!$E$31:$K$37,B850,4),'章节与怪物'!$A$41:$F$44,2,FALSE),0)+IF(4=D850,ROUND(AK850*'难度参数'!$E$28*'章节与怪物'!$E$17,0),0))</x:f>
        <x:v>1467950</x:v>
      </x:c>
      <x:c r="AM850" s="119" t="n">
        <x:f>IF(AJ850=0,0,(AJ850-IF(4=D850,1,0))*VLOOKUP(INDEX('章节与怪物'!$E$31:$K$37,B850,4),'章节与怪物'!$A$41:$F$44,4,FALSE)+IF(4=D850,'难度参数'!$E$30,0))</x:f>
        <x:v>1400</x:v>
      </x:c>
      <x:c r="AN850" s="119" t="n">
        <x:f>IF(5&gt;D850,0,MAX(2,MIN('难度参数'!$E$12,ROUND(('难度参数'!$E$18*POWER(A850,'难度参数'!$E$19)/D850*(0.85+0.3*(5-1)/MAX(1,D850-1))),0)+F850)))</x:f>
        <x:v>52</x:v>
      </x:c>
      <x:c r="AO850" s="119" t="n">
        <x:f>IF(5&gt;D850,0,ROUND(('难度参数'!$E$13*POWER(A850,'难度参数'!$E$20)*MIN('难度参数'!$E$23,1+MAX(0,A850-'难度参数'!$E$21)*'难度参数'!$E$22))*(36+5*7)/(36+7*(D850+1)/2)*E850,0))</x:f>
        <x:v>19159</x:v>
      </x:c>
      <x:c r="AP850" s="119" t="n">
        <x:f>IF(AN850=0,0,(AN850-IF(5=D850,1,0))*ROUND(AO850*VLOOKUP(INDEX('章节与怪物'!$E$31:$K$37,B850,5),'章节与怪物'!$A$41:$F$44,2,FALSE),0)+IF(5=D850,ROUND(AO850*'难度参数'!$E$28*'章节与怪物'!$E$17,0),0))</x:f>
        <x:v>1344980</x:v>
      </x:c>
      <x:c r="AQ850" s="119" t="n">
        <x:f>IF(AN850=0,0,(AN850-IF(5=D850,1,0))*VLOOKUP(INDEX('章节与怪物'!$E$31:$K$37,B850,5),'章节与怪物'!$A$41:$F$44,4,FALSE)+IF(5=D850,'难度参数'!$E$30,0))</x:f>
        <x:v>1768</x:v>
      </x:c>
      <x:c r="AR850" s="119" t="n">
        <x:f>IF(6&gt;D850,0,MAX(2,MIN('难度参数'!$E$12,ROUND(('难度参数'!$E$18*POWER(A850,'难度参数'!$E$19)/D850*(0.85+0.3*(6-1)/MAX(1,D850-1))),0)+F850)))</x:f>
        <x:v>55</x:v>
      </x:c>
      <x:c r="AS850" s="119" t="n">
        <x:f>IF(6&gt;D850,0,ROUND(('难度参数'!$E$13*POWER(A850,'难度参数'!$E$20)*MIN('难度参数'!$E$23,1+MAX(0,A850-'难度参数'!$E$21)*'难度参数'!$E$22))*(36+6*7)/(36+7*(D850+1)/2)*E850,0))</x:f>
        <x:v>21048</x:v>
      </x:c>
      <x:c r="AT850" s="119" t="n">
        <x:f>IF(AR850=0,0,(AR850-IF(6=D850,1,0))*ROUND(AS850*VLOOKUP(INDEX('章节与怪物'!$E$31:$K$37,B850,6),'章节与怪物'!$A$41:$F$44,2,FALSE),0)+IF(6=D850,ROUND(AS850*'难度参数'!$E$28*'章节与怪物'!$E$17,0),0))</x:f>
        <x:v>833525</x:v>
      </x:c>
      <x:c r="AU850" s="119" t="n">
        <x:f>IF(AR850=0,0,(AR850-IF(6=D850,1,0))*VLOOKUP(INDEX('章节与怪物'!$E$31:$K$37,B850,6),'章节与怪物'!$A$41:$F$44,4,FALSE)+IF(6=D850,'难度参数'!$E$30,0))</x:f>
        <x:v>1100</x:v>
      </x:c>
      <x:c r="AV850" s="119" t="n">
        <x:f>IF(7&gt;D850,0,MAX(2,MIN('难度参数'!$E$12,ROUND(('难度参数'!$E$18*POWER(A850,'难度参数'!$E$19)/D850*(0.85+0.3*(7-1)/MAX(1,D850-1))),0)+F850)))</x:f>
        <x:v>57</x:v>
      </x:c>
      <x:c r="AW850" s="119" t="n">
        <x:f>IF(7&gt;D850,0,ROUND(('难度参数'!$E$13*POWER(A850,'难度参数'!$E$20)*MIN('难度参数'!$E$23,1+MAX(0,A850-'难度参数'!$E$21)*'难度参数'!$E$22))*(36+7*7)/(36+7*(D850+1)/2)*E850,0))</x:f>
        <x:v>22937</x:v>
      </x:c>
      <x:c r="AX850" s="119" t="n">
        <x:f>IF(AV850=0,0,(AV850-IF(7=D850,1,0))*ROUND(AW850*VLOOKUP(INDEX('章节与怪物'!$E$31:$K$37,B850,7),'章节与怪物'!$A$41:$F$44,2,FALSE),0)+IF(7=D850,ROUND(AW850*'难度参数'!$E$28*'章节与怪物'!$E$17,0),0))</x:f>
        <x:v>2339580</x:v>
      </x:c>
      <x:c r="AY850" s="119" t="n">
        <x:f>IF(AV850=0,0,(AV850-IF(7=D850,1,0))*VLOOKUP(INDEX('章节与怪物'!$E$31:$K$37,B850,7),'章节与怪物'!$A$41:$F$44,4,FALSE)+IF(7=D850,'难度参数'!$E$30,0))</x:f>
        <x:v>1768</x:v>
      </x:c>
    </x:row>
    <x:row r="851" ht="23" customHeight="1">
      <x:c r="A851" s="119" t="n">
        <x:v>845</x:v>
      </x:c>
      <x:c r="B851" s="119" t="n">
        <x:f>MOD(INT((A851-1)/5),7)+1</x:f>
        <x:v>1</x:v>
      </x:c>
      <x:c r="C851" s="62" t="str">
        <x:f>INDEX('章节与怪物'!$B$31:$B$37,B851)</x:f>
        <x:v>冰雪荒原</x:v>
      </x:c>
      <x:c r="D851" s="119" t="n">
        <x:f>MIN('难度参数'!$E$8,MAX('难度参数'!$E$7,A851))</x:f>
        <x:v>7</x:v>
      </x:c>
      <x:c r="E851" s="106" t="n">
        <x:v>1</x:v>
      </x:c>
      <x:c r="F851" s="106" t="n">
        <x:v>0</x:v>
      </x:c>
      <x:c r="G851" s="106" t="n">
        <x:v>1</x:v>
      </x:c>
      <x:c r="H851" s="119" t="n">
        <x:f>SUM(X851,AB851,AF851,AJ851,AN851,AR851,AV851)</x:f>
        <x:v>348</x:v>
      </x:c>
      <x:c r="I851" s="119" t="n">
        <x:f>SUM(Z851,AD851,AH851,AL851,AP851,AT851,AX851)</x:f>
        <x:v>7607660</x:v>
      </x:c>
      <x:c r="J851" s="119" t="n">
        <x:f>ROUND(INDEX(X851:AY851,1,(D851-1)*4+2)*'难度参数'!$E$28*'章节与怪物'!$E$17,0)</x:f>
        <x:v>156108</x:v>
      </x:c>
      <x:c r="K851" s="119" t="n">
        <x:f>SUM(AA851,AE851,AI851,AM851,AQ851,AU851,AY851)</x:f>
        <x:v>8542</x:v>
      </x:c>
      <x:c r="L851" s="62" t="n">
        <x:f>H851*(ROUNDUP('难度参数'!$E$24/('难度参数'!$E$26*'难度参数'!$E$27),0)*'难度参数'!$E$26)/60</x:f>
        <x:v>4.640000000000001</x:v>
      </x:c>
      <x:c r="M851" s="62" t="n">
        <x:f>L851+D851*('难度参数'!$E$49+'难度参数'!$E$50)/60</x:f>
        <x:v>5.8066666666666675</x:v>
      </x:c>
      <x:c r="N851" s="119" t="n">
        <x:f>ROUNDDOWN(('经济参数'!$E$20+A851*'经济参数'!$E$21)*G851,0)</x:f>
        <x:v>17080</x:v>
      </x:c>
      <x:c r="O851" s="119" t="n">
        <x:f>ROUNDDOWN(MIN('经济参数'!$E$24,'经济参数'!$E$22+A851*'经济参数'!$E$23)*G851,0)</x:f>
        <x:v>0</x:v>
      </x:c>
      <x:c r="P851" s="119" t="n">
        <x:f>ROUNDDOWN((IF(A851&gt;='材料与任务'!$E$31,'材料与任务'!$E$32,IF(A851&gt;='材料与任务'!$E$25,'材料与任务'!$E$26,IF(A851&gt;='材料与任务'!$E$19,'材料与任务'!$E$20,IF(A851&gt;='材料与任务'!$E$13,'材料与任务'!$E$14,'材料与任务'!$E$8)))))*G851,0)</x:f>
        <x:v>6</x:v>
      </x:c>
      <x:c r="Q851" s="119" t="n">
        <x:f>ROUNDDOWN((IF(A851&gt;='材料与任务'!$E$31,'材料与任务'!$E$33,IF(A851&gt;='材料与任务'!$E$25,'材料与任务'!$E$27,IF(A851&gt;='材料与任务'!$E$19,'材料与任务'!$E$21,IF(A851&gt;='材料与任务'!$E$13,'材料与任务'!$E$15,'材料与任务'!$E$9)))))*G851,0)</x:f>
        <x:v>3</x:v>
      </x:c>
      <x:c r="R851" s="110" t="n">
        <x:f>'装备掉落'!$B$38</x:f>
        <x:v>0.6872058758851213</x:v>
      </x:c>
      <x:c r="S851" s="119" t="n">
        <x:f>MAX(IF(VLOOKUP(A851,'装备掉落'!$A$29:$H$34,2,TRUE)&gt;0,1,0),IF(VLOOKUP(A851,'装备掉落'!$A$29:$H$34,3,TRUE)&gt;0,2,0),IF(VLOOKUP(A851,'装备掉落'!$A$29:$H$34,4,TRUE)&gt;0,3,0),IF(VLOOKUP(A851,'装备掉落'!$A$29:$H$34,5,TRUE)&gt;0,4,0),IF(VLOOKUP(A851,'装备掉落'!$A$29:$H$34,6,TRUE)&gt;0,5,0),IF(VLOOKUP(A851,'装备掉落'!$A$29:$H$34,7,TRUE)&gt;0,6,0),IF(VLOOKUP(A851,'装备掉落'!$A$29:$H$34,8,TRUE)&gt;0,7,0))</x:f>
        <x:v>7</x:v>
      </x:c>
      <x:c r="T851" s="119" t="n">
        <x:f>MIN(7,S851+'经济参数'!$E$70)</x:f>
        <x:v>7</x:v>
      </x:c>
      <x:c r="U851" s="119" t="n">
        <x:f>MIN(7,S851+'经济参数'!$E$71)</x:f>
        <x:v>7</x:v>
      </x:c>
      <x:c r="V851" s="119" t="n">
        <x:f>IF(H851&gt;=('难度参数'!$E$52),1,0)+IF(H851&gt;=('难度参数'!$E$52+'难度参数'!$E$53),1,0)+IF(H851&gt;=('难度参数'!$E$52+'难度参数'!$E$53+'难度参数'!$E$54),1,0)+IF(H851&gt;=('难度参数'!$E$52+'难度参数'!$E$53+'难度参数'!$E$54+'难度参数'!$E$55),1,0)+IF(H851&gt;=('难度参数'!$E$52+'难度参数'!$E$53+'难度参数'!$E$54+'难度参数'!$E$55+'难度参数'!$E$56),1,0)+IF(H851&gt;=('难度参数'!$E$52+'难度参数'!$E$53+'难度参数'!$E$54+'难度参数'!$E$55+'难度参数'!$E$56+'难度参数'!$E$57),1,0)</x:f>
        <x:v>6</x:v>
      </x:c>
      <x:c r="W851" s="62" t="str">
        <x:f>IF(L851&gt;'难度参数'!$E$51,"仅出怪已超目标","还需实测")</x:f>
        <x:v>仅出怪已超目标</x:v>
      </x:c>
      <x:c r="X851" s="119" t="n">
        <x:f>IF(1&gt;D851,0,MAX(2,MIN('难度参数'!$E$12,ROUND(('难度参数'!$E$18*POWER(A851,'难度参数'!$E$19)/D851*(0.85+0.3*(1-1)/MAX(1,D851-1))),0)+F851)))</x:f>
        <x:v>42</x:v>
      </x:c>
      <x:c r="Y851" s="119" t="n">
        <x:f>IF(1&gt;D851,0,ROUND(('难度参数'!$E$13*POWER(A851,'难度参数'!$E$20)*MIN('难度参数'!$E$23,1+MAX(0,A851-'难度参数'!$E$21)*'难度参数'!$E$22))*(36+1*7)/(36+7*(D851+1)/2)*E851,0))</x:f>
        <x:v>11613</x:v>
      </x:c>
      <x:c r="Z851" s="119" t="n">
        <x:f>IF(X851=0,0,(X851-IF(1=D851,1,0))*ROUND(Y851*VLOOKUP(INDEX('章节与怪物'!$E$31:$K$37,B851,1),'章节与怪物'!$A$41:$F$44,2,FALSE),0)+IF(1=D851,ROUND(Y851*'难度参数'!$E$28*'章节与怪物'!$E$17,0),0))</x:f>
        <x:v>487746</x:v>
      </x:c>
      <x:c r="AA851" s="119" t="n">
        <x:f>IF(X851=0,0,(X851-IF(1=D851,1,0))*VLOOKUP(INDEX('章节与怪物'!$E$31:$K$37,B851,1),'章节与怪物'!$A$41:$F$44,4,FALSE)+IF(1=D851,'难度参数'!$E$30,0))</x:f>
        <x:v>756</x:v>
      </x:c>
      <x:c r="AB851" s="119" t="n">
        <x:f>IF(2&gt;D851,0,MAX(2,MIN('难度参数'!$E$12,ROUND(('难度参数'!$E$18*POWER(A851,'难度参数'!$E$19)/D851*(0.85+0.3*(2-1)/MAX(1,D851-1))),0)+F851)))</x:f>
        <x:v>45</x:v>
      </x:c>
      <x:c r="AC851" s="119" t="n">
        <x:f>IF(2&gt;D851,0,ROUND(('难度参数'!$E$13*POWER(A851,'难度参数'!$E$20)*MIN('难度参数'!$E$23,1+MAX(0,A851-'难度参数'!$E$21)*'难度参数'!$E$22))*(36+2*7)/(36+7*(D851+1)/2)*E851,0))</x:f>
        <x:v>13504</x:v>
      </x:c>
      <x:c r="AD851" s="119" t="n">
        <x:f>IF(AB851=0,0,(AB851-IF(2=D851,1,0))*ROUND(AC851*VLOOKUP(INDEX('章节与怪物'!$E$31:$K$37,B851,2),'章节与怪物'!$A$41:$F$44,2,FALSE),0)+IF(2=D851,ROUND(AC851*'难度参数'!$E$28*'章节与怪物'!$E$17,0),0))</x:f>
        <x:v>607680</x:v>
      </x:c>
      <x:c r="AE851" s="119" t="n">
        <x:f>IF(AB851=0,0,(AB851-IF(2=D851,1,0))*VLOOKUP(INDEX('章节与怪物'!$E$31:$K$37,B851,2),'章节与怪物'!$A$41:$F$44,4,FALSE)+IF(2=D851,'难度参数'!$E$30,0))</x:f>
        <x:v>810</x:v>
      </x:c>
      <x:c r="AF851" s="119" t="n">
        <x:f>IF(3&gt;D851,0,MAX(2,MIN('难度参数'!$E$12,ROUND(('难度参数'!$E$18*POWER(A851,'难度参数'!$E$19)/D851*(0.85+0.3*(3-1)/MAX(1,D851-1))),0)+F851)))</x:f>
        <x:v>47</x:v>
      </x:c>
      <x:c r="AG851" s="119" t="n">
        <x:f>IF(3&gt;D851,0,ROUND(('难度参数'!$E$13*POWER(A851,'难度参数'!$E$20)*MIN('难度参数'!$E$23,1+MAX(0,A851-'难度参数'!$E$21)*'难度参数'!$E$22))*(36+3*7)/(36+7*(D851+1)/2)*E851,0))</x:f>
        <x:v>15394</x:v>
      </x:c>
      <x:c r="AH851" s="119" t="n">
        <x:f>IF(AF851=0,0,(AF851-IF(3=D851,1,0))*ROUND(AG851*VLOOKUP(INDEX('章节与怪物'!$E$31:$K$37,B851,3),'章节与怪物'!$A$41:$F$44,2,FALSE),0)+IF(3=D851,ROUND(AG851*'难度参数'!$E$28*'章节与怪物'!$E$17,0),0))</x:f>
        <x:v>520948</x:v>
      </x:c>
      <x:c r="AI851" s="119" t="n">
        <x:f>IF(AF851=0,0,(AF851-IF(3=D851,1,0))*VLOOKUP(INDEX('章节与怪物'!$E$31:$K$37,B851,3),'章节与怪物'!$A$41:$F$44,4,FALSE)+IF(3=D851,'难度参数'!$E$30,0))</x:f>
        <x:v>940</x:v>
      </x:c>
      <x:c r="AJ851" s="119" t="n">
        <x:f>IF(4&gt;D851,0,MAX(2,MIN('难度参数'!$E$12,ROUND(('难度参数'!$E$18*POWER(A851,'难度参数'!$E$19)/D851*(0.85+0.3*(4-1)/MAX(1,D851-1))),0)+F851)))</x:f>
        <x:v>50</x:v>
      </x:c>
      <x:c r="AK851" s="119" t="n">
        <x:f>IF(4&gt;D851,0,ROUND(('难度参数'!$E$13*POWER(A851,'难度参数'!$E$20)*MIN('难度参数'!$E$23,1+MAX(0,A851-'难度参数'!$E$21)*'难度参数'!$E$22))*(36+4*7)/(36+7*(D851+1)/2)*E851,0))</x:f>
        <x:v>17285</x:v>
      </x:c>
      <x:c r="AL851" s="119" t="n">
        <x:f>IF(AJ851=0,0,(AJ851-IF(4=D851,1,0))*ROUND(AK851*VLOOKUP(INDEX('章节与怪物'!$E$31:$K$37,B851,4),'章节与怪物'!$A$41:$F$44,2,FALSE),0)+IF(4=D851,ROUND(AK851*'难度参数'!$E$28*'章节与怪物'!$E$17,0),0))</x:f>
        <x:v>1469250</x:v>
      </x:c>
      <x:c r="AM851" s="119" t="n">
        <x:f>IF(AJ851=0,0,(AJ851-IF(4=D851,1,0))*VLOOKUP(INDEX('章节与怪物'!$E$31:$K$37,B851,4),'章节与怪物'!$A$41:$F$44,4,FALSE)+IF(4=D851,'难度参数'!$E$30,0))</x:f>
        <x:v>1400</x:v>
      </x:c>
      <x:c r="AN851" s="119" t="n">
        <x:f>IF(5&gt;D851,0,MAX(2,MIN('难度参数'!$E$12,ROUND(('难度参数'!$E$18*POWER(A851,'难度参数'!$E$19)/D851*(0.85+0.3*(5-1)/MAX(1,D851-1))),0)+F851)))</x:f>
        <x:v>52</x:v>
      </x:c>
      <x:c r="AO851" s="119" t="n">
        <x:f>IF(5&gt;D851,0,ROUND(('难度参数'!$E$13*POWER(A851,'难度参数'!$E$20)*MIN('难度参数'!$E$23,1+MAX(0,A851-'难度参数'!$E$21)*'难度参数'!$E$22))*(36+5*7)/(36+7*(D851+1)/2)*E851,0))</x:f>
        <x:v>19176</x:v>
      </x:c>
      <x:c r="AP851" s="119" t="n">
        <x:f>IF(AN851=0,0,(AN851-IF(5=D851,1,0))*ROUND(AO851*VLOOKUP(INDEX('章节与怪物'!$E$31:$K$37,B851,5),'章节与怪物'!$A$41:$F$44,2,FALSE),0)+IF(5=D851,ROUND(AO851*'难度参数'!$E$28*'章节与怪物'!$E$17,0),0))</x:f>
        <x:v>1346176</x:v>
      </x:c>
      <x:c r="AQ851" s="119" t="n">
        <x:f>IF(AN851=0,0,(AN851-IF(5=D851,1,0))*VLOOKUP(INDEX('章节与怪物'!$E$31:$K$37,B851,5),'章节与怪物'!$A$41:$F$44,4,FALSE)+IF(5=D851,'难度参数'!$E$30,0))</x:f>
        <x:v>1768</x:v>
      </x:c>
      <x:c r="AR851" s="119" t="n">
        <x:f>IF(6&gt;D851,0,MAX(2,MIN('难度参数'!$E$12,ROUND(('难度参数'!$E$18*POWER(A851,'难度参数'!$E$19)/D851*(0.85+0.3*(6-1)/MAX(1,D851-1))),0)+F851)))</x:f>
        <x:v>55</x:v>
      </x:c>
      <x:c r="AS851" s="119" t="n">
        <x:f>IF(6&gt;D851,0,ROUND(('难度参数'!$E$13*POWER(A851,'难度参数'!$E$20)*MIN('难度参数'!$E$23,1+MAX(0,A851-'难度参数'!$E$21)*'难度参数'!$E$22))*(36+6*7)/(36+7*(D851+1)/2)*E851,0))</x:f>
        <x:v>21066</x:v>
      </x:c>
      <x:c r="AT851" s="119" t="n">
        <x:f>IF(AR851=0,0,(AR851-IF(6=D851,1,0))*ROUND(AS851*VLOOKUP(INDEX('章节与怪物'!$E$31:$K$37,B851,6),'章节与怪物'!$A$41:$F$44,2,FALSE),0)+IF(6=D851,ROUND(AS851*'难度参数'!$E$28*'章节与怪物'!$E$17,0),0))</x:f>
        <x:v>834240</x:v>
      </x:c>
      <x:c r="AU851" s="119" t="n">
        <x:f>IF(AR851=0,0,(AR851-IF(6=D851,1,0))*VLOOKUP(INDEX('章节与怪物'!$E$31:$K$37,B851,6),'章节与怪物'!$A$41:$F$44,4,FALSE)+IF(6=D851,'难度参数'!$E$30,0))</x:f>
        <x:v>1100</x:v>
      </x:c>
      <x:c r="AV851" s="119" t="n">
        <x:f>IF(7&gt;D851,0,MAX(2,MIN('难度参数'!$E$12,ROUND(('难度参数'!$E$18*POWER(A851,'难度参数'!$E$19)/D851*(0.85+0.3*(7-1)/MAX(1,D851-1))),0)+F851)))</x:f>
        <x:v>57</x:v>
      </x:c>
      <x:c r="AW851" s="119" t="n">
        <x:f>IF(7&gt;D851,0,ROUND(('难度参数'!$E$13*POWER(A851,'难度参数'!$E$20)*MIN('难度参数'!$E$23,1+MAX(0,A851-'难度参数'!$E$21)*'难度参数'!$E$22))*(36+7*7)/(36+7*(D851+1)/2)*E851,0))</x:f>
        <x:v>22957</x:v>
      </x:c>
      <x:c r="AX851" s="119" t="n">
        <x:f>IF(AV851=0,0,(AV851-IF(7=D851,1,0))*ROUND(AW851*VLOOKUP(INDEX('章节与怪物'!$E$31:$K$37,B851,7),'章节与怪物'!$A$41:$F$44,2,FALSE),0)+IF(7=D851,ROUND(AW851*'难度参数'!$E$28*'章节与怪物'!$E$17,0),0))</x:f>
        <x:v>2341620</x:v>
      </x:c>
      <x:c r="AY851" s="119" t="n">
        <x:f>IF(AV851=0,0,(AV851-IF(7=D851,1,0))*VLOOKUP(INDEX('章节与怪物'!$E$31:$K$37,B851,7),'章节与怪物'!$A$41:$F$44,4,FALSE)+IF(7=D851,'难度参数'!$E$30,0))</x:f>
        <x:v>1768</x:v>
      </x:c>
    </x:row>
    <x:row r="852" ht="23" customHeight="1">
      <x:c r="A852" s="119" t="n">
        <x:v>846</x:v>
      </x:c>
      <x:c r="B852" s="119" t="n">
        <x:f>MOD(INT((A852-1)/5),7)+1</x:f>
        <x:v>2</x:v>
      </x:c>
      <x:c r="C852" s="62" t="str">
        <x:f>INDEX('章节与怪物'!$B$31:$B$37,B852)</x:f>
        <x:v>黄沙要塞</x:v>
      </x:c>
      <x:c r="D852" s="119" t="n">
        <x:f>MIN('难度参数'!$E$8,MAX('难度参数'!$E$7,A852))</x:f>
        <x:v>7</x:v>
      </x:c>
      <x:c r="E852" s="106" t="n">
        <x:v>1</x:v>
      </x:c>
      <x:c r="F852" s="106" t="n">
        <x:v>0</x:v>
      </x:c>
      <x:c r="G852" s="106" t="n">
        <x:v>1</x:v>
      </x:c>
      <x:c r="H852" s="119" t="n">
        <x:f>SUM(X852,AB852,AF852,AJ852,AN852,AR852,AV852)</x:f>
        <x:v>348</x:v>
      </x:c>
      <x:c r="I852" s="119" t="n">
        <x:f>SUM(Z852,AD852,AH852,AL852,AP852,AT852,AX852)</x:f>
        <x:v>8221135</x:v>
      </x:c>
      <x:c r="J852" s="119" t="n">
        <x:f>ROUND(INDEX(X852:AY852,1,(D852-1)*4+2)*'难度参数'!$E$28*'章节与怪物'!$E$17,0)</x:f>
        <x:v>156237</x:v>
      </x:c>
      <x:c r="K852" s="119" t="n">
        <x:f>SUM(AA852,AE852,AI852,AM852,AQ852,AU852,AY852)</x:f>
        <x:v>9246</x:v>
      </x:c>
      <x:c r="L852" s="62" t="n">
        <x:f>H852*(ROUNDUP('难度参数'!$E$24/('难度参数'!$E$26*'难度参数'!$E$27),0)*'难度参数'!$E$26)/60</x:f>
        <x:v>4.640000000000001</x:v>
      </x:c>
      <x:c r="M852" s="62" t="n">
        <x:f>L852+D852*('难度参数'!$E$49+'难度参数'!$E$50)/60</x:f>
        <x:v>5.8066666666666675</x:v>
      </x:c>
      <x:c r="N852" s="119" t="n">
        <x:f>ROUNDDOWN(('经济参数'!$E$20+A852*'经济参数'!$E$21)*G852,0)</x:f>
        <x:v>17100</x:v>
      </x:c>
      <x:c r="O852" s="119" t="n">
        <x:f>ROUNDDOWN(MIN('经济参数'!$E$24,'经济参数'!$E$22+A852*'经济参数'!$E$23)*G852,0)</x:f>
        <x:v>0</x:v>
      </x:c>
      <x:c r="P852" s="119" t="n">
        <x:f>ROUNDDOWN((IF(A852&gt;='材料与任务'!$E$31,'材料与任务'!$E$32,IF(A852&gt;='材料与任务'!$E$25,'材料与任务'!$E$26,IF(A852&gt;='材料与任务'!$E$19,'材料与任务'!$E$20,IF(A852&gt;='材料与任务'!$E$13,'材料与任务'!$E$14,'材料与任务'!$E$8)))))*G852,0)</x:f>
        <x:v>6</x:v>
      </x:c>
      <x:c r="Q852" s="119" t="n">
        <x:f>ROUNDDOWN((IF(A852&gt;='材料与任务'!$E$31,'材料与任务'!$E$33,IF(A852&gt;='材料与任务'!$E$25,'材料与任务'!$E$27,IF(A852&gt;='材料与任务'!$E$19,'材料与任务'!$E$21,IF(A852&gt;='材料与任务'!$E$13,'材料与任务'!$E$15,'材料与任务'!$E$9)))))*G852,0)</x:f>
        <x:v>3</x:v>
      </x:c>
      <x:c r="R852" s="110" t="n">
        <x:f>'装备掉落'!$B$38</x:f>
        <x:v>0.6872058758851213</x:v>
      </x:c>
      <x:c r="S852" s="119" t="n">
        <x:f>MAX(IF(VLOOKUP(A852,'装备掉落'!$A$29:$H$34,2,TRUE)&gt;0,1,0),IF(VLOOKUP(A852,'装备掉落'!$A$29:$H$34,3,TRUE)&gt;0,2,0),IF(VLOOKUP(A852,'装备掉落'!$A$29:$H$34,4,TRUE)&gt;0,3,0),IF(VLOOKUP(A852,'装备掉落'!$A$29:$H$34,5,TRUE)&gt;0,4,0),IF(VLOOKUP(A852,'装备掉落'!$A$29:$H$34,6,TRUE)&gt;0,5,0),IF(VLOOKUP(A852,'装备掉落'!$A$29:$H$34,7,TRUE)&gt;0,6,0),IF(VLOOKUP(A852,'装备掉落'!$A$29:$H$34,8,TRUE)&gt;0,7,0))</x:f>
        <x:v>7</x:v>
      </x:c>
      <x:c r="T852" s="119" t="n">
        <x:f>MIN(7,S852+'经济参数'!$E$70)</x:f>
        <x:v>7</x:v>
      </x:c>
      <x:c r="U852" s="119" t="n">
        <x:f>MIN(7,S852+'经济参数'!$E$71)</x:f>
        <x:v>7</x:v>
      </x:c>
      <x:c r="V852" s="119" t="n">
        <x:f>IF(H852&gt;=('难度参数'!$E$52),1,0)+IF(H852&gt;=('难度参数'!$E$52+'难度参数'!$E$53),1,0)+IF(H852&gt;=('难度参数'!$E$52+'难度参数'!$E$53+'难度参数'!$E$54),1,0)+IF(H852&gt;=('难度参数'!$E$52+'难度参数'!$E$53+'难度参数'!$E$54+'难度参数'!$E$55),1,0)+IF(H852&gt;=('难度参数'!$E$52+'难度参数'!$E$53+'难度参数'!$E$54+'难度参数'!$E$55+'难度参数'!$E$56),1,0)+IF(H852&gt;=('难度参数'!$E$52+'难度参数'!$E$53+'难度参数'!$E$54+'难度参数'!$E$55+'难度参数'!$E$56+'难度参数'!$E$57),1,0)</x:f>
        <x:v>6</x:v>
      </x:c>
      <x:c r="W852" s="62" t="str">
        <x:f>IF(L852&gt;'难度参数'!$E$51,"仅出怪已超目标","还需实测")</x:f>
        <x:v>仅出怪已超目标</x:v>
      </x:c>
      <x:c r="X852" s="119" t="n">
        <x:f>IF(1&gt;D852,0,MAX(2,MIN('难度参数'!$E$12,ROUND(('难度参数'!$E$18*POWER(A852,'难度参数'!$E$19)/D852*(0.85+0.3*(1-1)/MAX(1,D852-1))),0)+F852)))</x:f>
        <x:v>42</x:v>
      </x:c>
      <x:c r="Y852" s="119" t="n">
        <x:f>IF(1&gt;D852,0,ROUND(('难度参数'!$E$13*POWER(A852,'难度参数'!$E$20)*MIN('难度参数'!$E$23,1+MAX(0,A852-'难度参数'!$E$21)*'难度参数'!$E$22))*(36+1*7)/(36+7*(D852+1)/2)*E852,0))</x:f>
        <x:v>11623</x:v>
      </x:c>
      <x:c r="Z852" s="119" t="n">
        <x:f>IF(X852=0,0,(X852-IF(1=D852,1,0))*ROUND(Y852*VLOOKUP(INDEX('章节与怪物'!$E$31:$K$37,B852,1),'章节与怪物'!$A$41:$F$44,2,FALSE),0)+IF(1=D852,ROUND(Y852*'难度参数'!$E$28*'章节与怪物'!$E$17,0),0))</x:f>
        <x:v>351498</x:v>
      </x:c>
      <x:c r="AA852" s="119" t="n">
        <x:f>IF(X852=0,0,(X852-IF(1=D852,1,0))*VLOOKUP(INDEX('章节与怪物'!$E$31:$K$37,B852,1),'章节与怪物'!$A$41:$F$44,4,FALSE)+IF(1=D852,'难度参数'!$E$30,0))</x:f>
        <x:v>840</x:v>
      </x:c>
      <x:c r="AB852" s="119" t="n">
        <x:f>IF(2&gt;D852,0,MAX(2,MIN('难度参数'!$E$12,ROUND(('难度参数'!$E$18*POWER(A852,'难度参数'!$E$19)/D852*(0.85+0.3*(2-1)/MAX(1,D852-1))),0)+F852)))</x:f>
        <x:v>45</x:v>
      </x:c>
      <x:c r="AC852" s="119" t="n">
        <x:f>IF(2&gt;D852,0,ROUND(('难度参数'!$E$13*POWER(A852,'难度参数'!$E$20)*MIN('难度参数'!$E$23,1+MAX(0,A852-'难度参数'!$E$21)*'难度参数'!$E$22))*(36+2*7)/(36+7*(D852+1)/2)*E852,0))</x:f>
        <x:v>13515</x:v>
      </x:c>
      <x:c r="AD852" s="119" t="n">
        <x:f>IF(AB852=0,0,(AB852-IF(2=D852,1,0))*ROUND(AC852*VLOOKUP(INDEX('章节与怪物'!$E$31:$K$37,B852,2),'章节与怪物'!$A$41:$F$44,2,FALSE),0)+IF(2=D852,ROUND(AC852*'难度参数'!$E$28*'章节与怪物'!$E$17,0),0))</x:f>
        <x:v>608175</x:v>
      </x:c>
      <x:c r="AE852" s="119" t="n">
        <x:f>IF(AB852=0,0,(AB852-IF(2=D852,1,0))*VLOOKUP(INDEX('章节与怪物'!$E$31:$K$37,B852,2),'章节与怪物'!$A$41:$F$44,4,FALSE)+IF(2=D852,'难度参数'!$E$30,0))</x:f>
        <x:v>810</x:v>
      </x:c>
      <x:c r="AF852" s="119" t="n">
        <x:f>IF(3&gt;D852,0,MAX(2,MIN('难度参数'!$E$12,ROUND(('难度参数'!$E$18*POWER(A852,'难度参数'!$E$19)/D852*(0.85+0.3*(3-1)/MAX(1,D852-1))),0)+F852)))</x:f>
        <x:v>47</x:v>
      </x:c>
      <x:c r="AG852" s="119" t="n">
        <x:f>IF(3&gt;D852,0,ROUND(('难度参数'!$E$13*POWER(A852,'难度参数'!$E$20)*MIN('难度参数'!$E$23,1+MAX(0,A852-'难度参数'!$E$21)*'难度参数'!$E$22))*(36+3*7)/(36+7*(D852+1)/2)*E852,0))</x:f>
        <x:v>15408</x:v>
      </x:c>
      <x:c r="AH852" s="119" t="n">
        <x:f>IF(AF852=0,0,(AF852-IF(3=D852,1,0))*ROUND(AG852*VLOOKUP(INDEX('章节与怪物'!$E$31:$K$37,B852,3),'章节与怪物'!$A$41:$F$44,2,FALSE),0)+IF(3=D852,ROUND(AG852*'难度参数'!$E$28*'章节与怪物'!$E$17,0),0))</x:f>
        <x:v>1231118</x:v>
      </x:c>
      <x:c r="AI852" s="119" t="n">
        <x:f>IF(AF852=0,0,(AF852-IF(3=D852,1,0))*VLOOKUP(INDEX('章节与怪物'!$E$31:$K$37,B852,3),'章节与怪物'!$A$41:$F$44,4,FALSE)+IF(3=D852,'难度参数'!$E$30,0))</x:f>
        <x:v>1316</x:v>
      </x:c>
      <x:c r="AJ852" s="119" t="n">
        <x:f>IF(4&gt;D852,0,MAX(2,MIN('难度参数'!$E$12,ROUND(('难度参数'!$E$18*POWER(A852,'难度参数'!$E$19)/D852*(0.85+0.3*(4-1)/MAX(1,D852-1))),0)+F852)))</x:f>
        <x:v>50</x:v>
      </x:c>
      <x:c r="AK852" s="119" t="n">
        <x:f>IF(4&gt;D852,0,ROUND(('难度参数'!$E$13*POWER(A852,'难度参数'!$E$20)*MIN('难度参数'!$E$23,1+MAX(0,A852-'难度参数'!$E$21)*'难度参数'!$E$22))*(36+4*7)/(36+7*(D852+1)/2)*E852,0))</x:f>
        <x:v>17300</x:v>
      </x:c>
      <x:c r="AL852" s="119" t="n">
        <x:f>IF(AJ852=0,0,(AJ852-IF(4=D852,1,0))*ROUND(AK852*VLOOKUP(INDEX('章节与怪物'!$E$31:$K$37,B852,4),'章节与怪物'!$A$41:$F$44,2,FALSE),0)+IF(4=D852,ROUND(AK852*'难度参数'!$E$28*'章节与怪物'!$E$17,0),0))</x:f>
        <x:v>1167750</x:v>
      </x:c>
      <x:c r="AM852" s="119" t="n">
        <x:f>IF(AJ852=0,0,(AJ852-IF(4=D852,1,0))*VLOOKUP(INDEX('章节与怪物'!$E$31:$K$37,B852,4),'章节与怪物'!$A$41:$F$44,4,FALSE)+IF(4=D852,'难度参数'!$E$30,0))</x:f>
        <x:v>1700</x:v>
      </x:c>
      <x:c r="AN852" s="119" t="n">
        <x:f>IF(5&gt;D852,0,MAX(2,MIN('难度参数'!$E$12,ROUND(('难度参数'!$E$18*POWER(A852,'难度参数'!$E$19)/D852*(0.85+0.3*(5-1)/MAX(1,D852-1))),0)+F852)))</x:f>
        <x:v>52</x:v>
      </x:c>
      <x:c r="AO852" s="119" t="n">
        <x:f>IF(5&gt;D852,0,ROUND(('难度参数'!$E$13*POWER(A852,'难度参数'!$E$20)*MIN('难度参数'!$E$23,1+MAX(0,A852-'难度参数'!$E$21)*'难度参数'!$E$22))*(36+5*7)/(36+7*(D852+1)/2)*E852,0))</x:f>
        <x:v>19192</x:v>
      </x:c>
      <x:c r="AP852" s="119" t="n">
        <x:f>IF(AN852=0,0,(AN852-IF(5=D852,1,0))*ROUND(AO852*VLOOKUP(INDEX('章节与怪物'!$E$31:$K$37,B852,5),'章节与怪物'!$A$41:$F$44,2,FALSE),0)+IF(5=D852,ROUND(AO852*'难度参数'!$E$28*'章节与怪物'!$E$17,0),0))</x:f>
        <x:v>997984</x:v>
      </x:c>
      <x:c r="AQ852" s="119" t="n">
        <x:f>IF(AN852=0,0,(AN852-IF(5=D852,1,0))*VLOOKUP(INDEX('章节与怪物'!$E$31:$K$37,B852,5),'章节与怪物'!$A$41:$F$44,4,FALSE)+IF(5=D852,'难度参数'!$E$30,0))</x:f>
        <x:v>936</x:v>
      </x:c>
      <x:c r="AR852" s="119" t="n">
        <x:f>IF(6&gt;D852,0,MAX(2,MIN('难度参数'!$E$12,ROUND(('难度参数'!$E$18*POWER(A852,'难度参数'!$E$19)/D852*(0.85+0.3*(6-1)/MAX(1,D852-1))),0)+F852)))</x:f>
        <x:v>55</x:v>
      </x:c>
      <x:c r="AS852" s="119" t="n">
        <x:f>IF(6&gt;D852,0,ROUND(('难度参数'!$E$13*POWER(A852,'难度参数'!$E$20)*MIN('难度参数'!$E$23,1+MAX(0,A852-'难度参数'!$E$21)*'难度参数'!$E$22))*(36+6*7)/(36+7*(D852+1)/2)*E852,0))</x:f>
        <x:v>21084</x:v>
      </x:c>
      <x:c r="AT852" s="119" t="n">
        <x:f>IF(AR852=0,0,(AR852-IF(6=D852,1,0))*ROUND(AS852*VLOOKUP(INDEX('章节与怪物'!$E$31:$K$37,B852,6),'章节与怪物'!$A$41:$F$44,2,FALSE),0)+IF(6=D852,ROUND(AS852*'难度参数'!$E$28*'章节与怪物'!$E$17,0),0))</x:f>
        <x:v>1971365</x:v>
      </x:c>
      <x:c r="AU852" s="119" t="n">
        <x:f>IF(AR852=0,0,(AR852-IF(6=D852,1,0))*VLOOKUP(INDEX('章节与怪物'!$E$31:$K$37,B852,6),'章节与怪物'!$A$41:$F$44,4,FALSE)+IF(6=D852,'难度参数'!$E$30,0))</x:f>
        <x:v>1540</x:v>
      </x:c>
      <x:c r="AV852" s="119" t="n">
        <x:f>IF(7&gt;D852,0,MAX(2,MIN('难度参数'!$E$12,ROUND(('难度参数'!$E$18*POWER(A852,'难度参数'!$E$19)/D852*(0.85+0.3*(7-1)/MAX(1,D852-1))),0)+F852)))</x:f>
        <x:v>57</x:v>
      </x:c>
      <x:c r="AW852" s="119" t="n">
        <x:f>IF(7&gt;D852,0,ROUND(('难度参数'!$E$13*POWER(A852,'难度参数'!$E$20)*MIN('难度参数'!$E$23,1+MAX(0,A852-'难度参数'!$E$21)*'难度参数'!$E$22))*(36+7*7)/(36+7*(D852+1)/2)*E852,0))</x:f>
        <x:v>22976</x:v>
      </x:c>
      <x:c r="AX852" s="119" t="n">
        <x:f>IF(AV852=0,0,(AV852-IF(7=D852,1,0))*ROUND(AW852*VLOOKUP(INDEX('章节与怪物'!$E$31:$K$37,B852,7),'章节与怪物'!$A$41:$F$44,2,FALSE),0)+IF(7=D852,ROUND(AW852*'难度参数'!$E$28*'章节与怪物'!$E$17,0),0))</x:f>
        <x:v>1893245</x:v>
      </x:c>
      <x:c r="AY852" s="119" t="n">
        <x:f>IF(AV852=0,0,(AV852-IF(7=D852,1,0))*VLOOKUP(INDEX('章节与怪物'!$E$31:$K$37,B852,7),'章节与怪物'!$A$41:$F$44,4,FALSE)+IF(7=D852,'难度参数'!$E$30,0))</x:f>
        <x:v>2104</x:v>
      </x:c>
    </x:row>
    <x:row r="853" ht="23" customHeight="1">
      <x:c r="A853" s="119" t="n">
        <x:v>847</x:v>
      </x:c>
      <x:c r="B853" s="119" t="n">
        <x:f>MOD(INT((A853-1)/5),7)+1</x:f>
        <x:v>2</x:v>
      </x:c>
      <x:c r="C853" s="62" t="str">
        <x:f>INDEX('章节与怪物'!$B$31:$B$37,B853)</x:f>
        <x:v>黄沙要塞</x:v>
      </x:c>
      <x:c r="D853" s="119" t="n">
        <x:f>MIN('难度参数'!$E$8,MAX('难度参数'!$E$7,A853))</x:f>
        <x:v>7</x:v>
      </x:c>
      <x:c r="E853" s="106" t="n">
        <x:v>1</x:v>
      </x:c>
      <x:c r="F853" s="106" t="n">
        <x:v>0</x:v>
      </x:c>
      <x:c r="G853" s="106" t="n">
        <x:v>1</x:v>
      </x:c>
      <x:c r="H853" s="119" t="n">
        <x:f>SUM(X853,AB853,AF853,AJ853,AN853,AR853,AV853)</x:f>
        <x:v>348</x:v>
      </x:c>
      <x:c r="I853" s="119" t="n">
        <x:f>SUM(Z853,AD853,AH853,AL853,AP853,AT853,AX853)</x:f>
        <x:v>8228083</x:v>
      </x:c>
      <x:c r="J853" s="119" t="n">
        <x:f>ROUND(INDEX(X853:AY853,1,(D853-1)*4+2)*'难度参数'!$E$28*'章节与怪物'!$E$17,0)</x:f>
        <x:v>156373</x:v>
      </x:c>
      <x:c r="K853" s="119" t="n">
        <x:f>SUM(AA853,AE853,AI853,AM853,AQ853,AU853,AY853)</x:f>
        <x:v>9246</x:v>
      </x:c>
      <x:c r="L853" s="62" t="n">
        <x:f>H853*(ROUNDUP('难度参数'!$E$24/('难度参数'!$E$26*'难度参数'!$E$27),0)*'难度参数'!$E$26)/60</x:f>
        <x:v>4.640000000000001</x:v>
      </x:c>
      <x:c r="M853" s="62" t="n">
        <x:f>L853+D853*('难度参数'!$E$49+'难度参数'!$E$50)/60</x:f>
        <x:v>5.8066666666666675</x:v>
      </x:c>
      <x:c r="N853" s="119" t="n">
        <x:f>ROUNDDOWN(('经济参数'!$E$20+A853*'经济参数'!$E$21)*G853,0)</x:f>
        <x:v>17120</x:v>
      </x:c>
      <x:c r="O853" s="119" t="n">
        <x:f>ROUNDDOWN(MIN('经济参数'!$E$24,'经济参数'!$E$22+A853*'经济参数'!$E$23)*G853,0)</x:f>
        <x:v>0</x:v>
      </x:c>
      <x:c r="P853" s="119" t="n">
        <x:f>ROUNDDOWN((IF(A853&gt;='材料与任务'!$E$31,'材料与任务'!$E$32,IF(A853&gt;='材料与任务'!$E$25,'材料与任务'!$E$26,IF(A853&gt;='材料与任务'!$E$19,'材料与任务'!$E$20,IF(A853&gt;='材料与任务'!$E$13,'材料与任务'!$E$14,'材料与任务'!$E$8)))))*G853,0)</x:f>
        <x:v>6</x:v>
      </x:c>
      <x:c r="Q853" s="119" t="n">
        <x:f>ROUNDDOWN((IF(A853&gt;='材料与任务'!$E$31,'材料与任务'!$E$33,IF(A853&gt;='材料与任务'!$E$25,'材料与任务'!$E$27,IF(A853&gt;='材料与任务'!$E$19,'材料与任务'!$E$21,IF(A853&gt;='材料与任务'!$E$13,'材料与任务'!$E$15,'材料与任务'!$E$9)))))*G853,0)</x:f>
        <x:v>3</x:v>
      </x:c>
      <x:c r="R853" s="110" t="n">
        <x:f>'装备掉落'!$B$38</x:f>
        <x:v>0.6872058758851213</x:v>
      </x:c>
      <x:c r="S853" s="119" t="n">
        <x:f>MAX(IF(VLOOKUP(A853,'装备掉落'!$A$29:$H$34,2,TRUE)&gt;0,1,0),IF(VLOOKUP(A853,'装备掉落'!$A$29:$H$34,3,TRUE)&gt;0,2,0),IF(VLOOKUP(A853,'装备掉落'!$A$29:$H$34,4,TRUE)&gt;0,3,0),IF(VLOOKUP(A853,'装备掉落'!$A$29:$H$34,5,TRUE)&gt;0,4,0),IF(VLOOKUP(A853,'装备掉落'!$A$29:$H$34,6,TRUE)&gt;0,5,0),IF(VLOOKUP(A853,'装备掉落'!$A$29:$H$34,7,TRUE)&gt;0,6,0),IF(VLOOKUP(A853,'装备掉落'!$A$29:$H$34,8,TRUE)&gt;0,7,0))</x:f>
        <x:v>7</x:v>
      </x:c>
      <x:c r="T853" s="119" t="n">
        <x:f>MIN(7,S853+'经济参数'!$E$70)</x:f>
        <x:v>7</x:v>
      </x:c>
      <x:c r="U853" s="119" t="n">
        <x:f>MIN(7,S853+'经济参数'!$E$71)</x:f>
        <x:v>7</x:v>
      </x:c>
      <x:c r="V853" s="119" t="n">
        <x:f>IF(H853&gt;=('难度参数'!$E$52),1,0)+IF(H853&gt;=('难度参数'!$E$52+'难度参数'!$E$53),1,0)+IF(H853&gt;=('难度参数'!$E$52+'难度参数'!$E$53+'难度参数'!$E$54),1,0)+IF(H853&gt;=('难度参数'!$E$52+'难度参数'!$E$53+'难度参数'!$E$54+'难度参数'!$E$55),1,0)+IF(H853&gt;=('难度参数'!$E$52+'难度参数'!$E$53+'难度参数'!$E$54+'难度参数'!$E$55+'难度参数'!$E$56),1,0)+IF(H853&gt;=('难度参数'!$E$52+'难度参数'!$E$53+'难度参数'!$E$54+'难度参数'!$E$55+'难度参数'!$E$56+'难度参数'!$E$57),1,0)</x:f>
        <x:v>6</x:v>
      </x:c>
      <x:c r="W853" s="62" t="str">
        <x:f>IF(L853&gt;'难度参数'!$E$51,"仅出怪已超目标","还需实测")</x:f>
        <x:v>仅出怪已超目标</x:v>
      </x:c>
      <x:c r="X853" s="119" t="n">
        <x:f>IF(1&gt;D853,0,MAX(2,MIN('难度参数'!$E$12,ROUND(('难度参数'!$E$18*POWER(A853,'难度参数'!$E$19)/D853*(0.85+0.3*(1-1)/MAX(1,D853-1))),0)+F853)))</x:f>
        <x:v>42</x:v>
      </x:c>
      <x:c r="Y853" s="119" t="n">
        <x:f>IF(1&gt;D853,0,ROUND(('难度参数'!$E$13*POWER(A853,'难度参数'!$E$20)*MIN('难度参数'!$E$23,1+MAX(0,A853-'难度参数'!$E$21)*'难度参数'!$E$22))*(36+1*7)/(36+7*(D853+1)/2)*E853,0))</x:f>
        <x:v>11633</x:v>
      </x:c>
      <x:c r="Z853" s="119" t="n">
        <x:f>IF(X853=0,0,(X853-IF(1=D853,1,0))*ROUND(Y853*VLOOKUP(INDEX('章节与怪物'!$E$31:$K$37,B853,1),'章节与怪物'!$A$41:$F$44,2,FALSE),0)+IF(1=D853,ROUND(Y853*'难度参数'!$E$28*'章节与怪物'!$E$17,0),0))</x:f>
        <x:v>351792</x:v>
      </x:c>
      <x:c r="AA853" s="119" t="n">
        <x:f>IF(X853=0,0,(X853-IF(1=D853,1,0))*VLOOKUP(INDEX('章节与怪物'!$E$31:$K$37,B853,1),'章节与怪物'!$A$41:$F$44,4,FALSE)+IF(1=D853,'难度参数'!$E$30,0))</x:f>
        <x:v>840</x:v>
      </x:c>
      <x:c r="AB853" s="119" t="n">
        <x:f>IF(2&gt;D853,0,MAX(2,MIN('难度参数'!$E$12,ROUND(('难度参数'!$E$18*POWER(A853,'难度参数'!$E$19)/D853*(0.85+0.3*(2-1)/MAX(1,D853-1))),0)+F853)))</x:f>
        <x:v>45</x:v>
      </x:c>
      <x:c r="AC853" s="119" t="n">
        <x:f>IF(2&gt;D853,0,ROUND(('难度参数'!$E$13*POWER(A853,'难度参数'!$E$20)*MIN('难度参数'!$E$23,1+MAX(0,A853-'难度参数'!$E$21)*'难度参数'!$E$22))*(36+2*7)/(36+7*(D853+1)/2)*E853,0))</x:f>
        <x:v>13527</x:v>
      </x:c>
      <x:c r="AD853" s="119" t="n">
        <x:f>IF(AB853=0,0,(AB853-IF(2=D853,1,0))*ROUND(AC853*VLOOKUP(INDEX('章节与怪物'!$E$31:$K$37,B853,2),'章节与怪物'!$A$41:$F$44,2,FALSE),0)+IF(2=D853,ROUND(AC853*'难度参数'!$E$28*'章节与怪物'!$E$17,0),0))</x:f>
        <x:v>608715</x:v>
      </x:c>
      <x:c r="AE853" s="119" t="n">
        <x:f>IF(AB853=0,0,(AB853-IF(2=D853,1,0))*VLOOKUP(INDEX('章节与怪物'!$E$31:$K$37,B853,2),'章节与怪物'!$A$41:$F$44,4,FALSE)+IF(2=D853,'难度参数'!$E$30,0))</x:f>
        <x:v>810</x:v>
      </x:c>
      <x:c r="AF853" s="119" t="n">
        <x:f>IF(3&gt;D853,0,MAX(2,MIN('难度参数'!$E$12,ROUND(('难度参数'!$E$18*POWER(A853,'难度参数'!$E$19)/D853*(0.85+0.3*(3-1)/MAX(1,D853-1))),0)+F853)))</x:f>
        <x:v>47</x:v>
      </x:c>
      <x:c r="AG853" s="119" t="n">
        <x:f>IF(3&gt;D853,0,ROUND(('难度参数'!$E$13*POWER(A853,'难度参数'!$E$20)*MIN('难度参数'!$E$23,1+MAX(0,A853-'难度参数'!$E$21)*'难度参数'!$E$22))*(36+3*7)/(36+7*(D853+1)/2)*E853,0))</x:f>
        <x:v>15421</x:v>
      </x:c>
      <x:c r="AH853" s="119" t="n">
        <x:f>IF(AF853=0,0,(AF853-IF(3=D853,1,0))*ROUND(AG853*VLOOKUP(INDEX('章节与怪物'!$E$31:$K$37,B853,3),'章节与怪物'!$A$41:$F$44,2,FALSE),0)+IF(3=D853,ROUND(AG853*'难度参数'!$E$28*'章节与怪物'!$E$17,0),0))</x:f>
        <x:v>1232152</x:v>
      </x:c>
      <x:c r="AI853" s="119" t="n">
        <x:f>IF(AF853=0,0,(AF853-IF(3=D853,1,0))*VLOOKUP(INDEX('章节与怪物'!$E$31:$K$37,B853,3),'章节与怪物'!$A$41:$F$44,4,FALSE)+IF(3=D853,'难度参数'!$E$30,0))</x:f>
        <x:v>1316</x:v>
      </x:c>
      <x:c r="AJ853" s="119" t="n">
        <x:f>IF(4&gt;D853,0,MAX(2,MIN('难度参数'!$E$12,ROUND(('难度参数'!$E$18*POWER(A853,'难度参数'!$E$19)/D853*(0.85+0.3*(4-1)/MAX(1,D853-1))),0)+F853)))</x:f>
        <x:v>50</x:v>
      </x:c>
      <x:c r="AK853" s="119" t="n">
        <x:f>IF(4&gt;D853,0,ROUND(('难度参数'!$E$13*POWER(A853,'难度参数'!$E$20)*MIN('难度参数'!$E$23,1+MAX(0,A853-'难度参数'!$E$21)*'难度参数'!$E$22))*(36+4*7)/(36+7*(D853+1)/2)*E853,0))</x:f>
        <x:v>17314</x:v>
      </x:c>
      <x:c r="AL853" s="119" t="n">
        <x:f>IF(AJ853=0,0,(AJ853-IF(4=D853,1,0))*ROUND(AK853*VLOOKUP(INDEX('章节与怪物'!$E$31:$K$37,B853,4),'章节与怪物'!$A$41:$F$44,2,FALSE),0)+IF(4=D853,ROUND(AK853*'难度参数'!$E$28*'章节与怪物'!$E$17,0),0))</x:f>
        <x:v>1168700</x:v>
      </x:c>
      <x:c r="AM853" s="119" t="n">
        <x:f>IF(AJ853=0,0,(AJ853-IF(4=D853,1,0))*VLOOKUP(INDEX('章节与怪物'!$E$31:$K$37,B853,4),'章节与怪物'!$A$41:$F$44,4,FALSE)+IF(4=D853,'难度参数'!$E$30,0))</x:f>
        <x:v>1700</x:v>
      </x:c>
      <x:c r="AN853" s="119" t="n">
        <x:f>IF(5&gt;D853,0,MAX(2,MIN('难度参数'!$E$12,ROUND(('难度参数'!$E$18*POWER(A853,'难度参数'!$E$19)/D853*(0.85+0.3*(5-1)/MAX(1,D853-1))),0)+F853)))</x:f>
        <x:v>52</x:v>
      </x:c>
      <x:c r="AO853" s="119" t="n">
        <x:f>IF(5&gt;D853,0,ROUND(('难度参数'!$E$13*POWER(A853,'难度参数'!$E$20)*MIN('难度参数'!$E$23,1+MAX(0,A853-'难度参数'!$E$21)*'难度参数'!$E$22))*(36+5*7)/(36+7*(D853+1)/2)*E853,0))</x:f>
        <x:v>19208</x:v>
      </x:c>
      <x:c r="AP853" s="119" t="n">
        <x:f>IF(AN853=0,0,(AN853-IF(5=D853,1,0))*ROUND(AO853*VLOOKUP(INDEX('章节与怪物'!$E$31:$K$37,B853,5),'章节与怪物'!$A$41:$F$44,2,FALSE),0)+IF(5=D853,ROUND(AO853*'难度参数'!$E$28*'章节与怪物'!$E$17,0),0))</x:f>
        <x:v>998816</x:v>
      </x:c>
      <x:c r="AQ853" s="119" t="n">
        <x:f>IF(AN853=0,0,(AN853-IF(5=D853,1,0))*VLOOKUP(INDEX('章节与怪物'!$E$31:$K$37,B853,5),'章节与怪物'!$A$41:$F$44,4,FALSE)+IF(5=D853,'难度参数'!$E$30,0))</x:f>
        <x:v>936</x:v>
      </x:c>
      <x:c r="AR853" s="119" t="n">
        <x:f>IF(6&gt;D853,0,MAX(2,MIN('难度参数'!$E$12,ROUND(('难度参数'!$E$18*POWER(A853,'难度参数'!$E$19)/D853*(0.85+0.3*(6-1)/MAX(1,D853-1))),0)+F853)))</x:f>
        <x:v>55</x:v>
      </x:c>
      <x:c r="AS853" s="119" t="n">
        <x:f>IF(6&gt;D853,0,ROUND(('难度参数'!$E$13*POWER(A853,'难度参数'!$E$20)*MIN('难度参数'!$E$23,1+MAX(0,A853-'难度参数'!$E$21)*'难度参数'!$E$22))*(36+6*7)/(36+7*(D853+1)/2)*E853,0))</x:f>
        <x:v>21102</x:v>
      </x:c>
      <x:c r="AT853" s="119" t="n">
        <x:f>IF(AR853=0,0,(AR853-IF(6=D853,1,0))*ROUND(AS853*VLOOKUP(INDEX('章节与怪物'!$E$31:$K$37,B853,6),'章节与怪物'!$A$41:$F$44,2,FALSE),0)+IF(6=D853,ROUND(AS853*'难度参数'!$E$28*'章节与怪物'!$E$17,0),0))</x:f>
        <x:v>1973015</x:v>
      </x:c>
      <x:c r="AU853" s="119" t="n">
        <x:f>IF(AR853=0,0,(AR853-IF(6=D853,1,0))*VLOOKUP(INDEX('章节与怪物'!$E$31:$K$37,B853,6),'章节与怪物'!$A$41:$F$44,4,FALSE)+IF(6=D853,'难度参数'!$E$30,0))</x:f>
        <x:v>1540</x:v>
      </x:c>
      <x:c r="AV853" s="119" t="n">
        <x:f>IF(7&gt;D853,0,MAX(2,MIN('难度参数'!$E$12,ROUND(('难度参数'!$E$18*POWER(A853,'难度参数'!$E$19)/D853*(0.85+0.3*(7-1)/MAX(1,D853-1))),0)+F853)))</x:f>
        <x:v>57</x:v>
      </x:c>
      <x:c r="AW853" s="119" t="n">
        <x:f>IF(7&gt;D853,0,ROUND(('难度参数'!$E$13*POWER(A853,'难度参数'!$E$20)*MIN('难度参数'!$E$23,1+MAX(0,A853-'难度参数'!$E$21)*'难度参数'!$E$22))*(36+7*7)/(36+7*(D853+1)/2)*E853,0))</x:f>
        <x:v>22996</x:v>
      </x:c>
      <x:c r="AX853" s="119" t="n">
        <x:f>IF(AV853=0,0,(AV853-IF(7=D853,1,0))*ROUND(AW853*VLOOKUP(INDEX('章节与怪物'!$E$31:$K$37,B853,7),'章节与怪物'!$A$41:$F$44,2,FALSE),0)+IF(7=D853,ROUND(AW853*'难度参数'!$E$28*'章节与怪物'!$E$17,0),0))</x:f>
        <x:v>1894893</x:v>
      </x:c>
      <x:c r="AY853" s="119" t="n">
        <x:f>IF(AV853=0,0,(AV853-IF(7=D853,1,0))*VLOOKUP(INDEX('章节与怪物'!$E$31:$K$37,B853,7),'章节与怪物'!$A$41:$F$44,4,FALSE)+IF(7=D853,'难度参数'!$E$30,0))</x:f>
        <x:v>2104</x:v>
      </x:c>
    </x:row>
    <x:row r="854" ht="23" customHeight="1">
      <x:c r="A854" s="119" t="n">
        <x:v>848</x:v>
      </x:c>
      <x:c r="B854" s="119" t="n">
        <x:f>MOD(INT((A854-1)/5),7)+1</x:f>
        <x:v>2</x:v>
      </x:c>
      <x:c r="C854" s="62" t="str">
        <x:f>INDEX('章节与怪物'!$B$31:$B$37,B854)</x:f>
        <x:v>黄沙要塞</x:v>
      </x:c>
      <x:c r="D854" s="119" t="n">
        <x:f>MIN('难度参数'!$E$8,MAX('难度参数'!$E$7,A854))</x:f>
        <x:v>7</x:v>
      </x:c>
      <x:c r="E854" s="106" t="n">
        <x:v>1</x:v>
      </x:c>
      <x:c r="F854" s="106" t="n">
        <x:v>0</x:v>
      </x:c>
      <x:c r="G854" s="106" t="n">
        <x:v>1</x:v>
      </x:c>
      <x:c r="H854" s="119" t="n">
        <x:f>SUM(X854,AB854,AF854,AJ854,AN854,AR854,AV854)</x:f>
        <x:v>348</x:v>
      </x:c>
      <x:c r="I854" s="119" t="n">
        <x:f>SUM(Z854,AD854,AH854,AL854,AP854,AT854,AX854)</x:f>
        <x:v>8235024</x:v>
      </x:c>
      <x:c r="J854" s="119" t="n">
        <x:f>ROUND(INDEX(X854:AY854,1,(D854-1)*4+2)*'难度参数'!$E$28*'章节与怪物'!$E$17,0)</x:f>
        <x:v>156502</x:v>
      </x:c>
      <x:c r="K854" s="119" t="n">
        <x:f>SUM(AA854,AE854,AI854,AM854,AQ854,AU854,AY854)</x:f>
        <x:v>9246</x:v>
      </x:c>
      <x:c r="L854" s="62" t="n">
        <x:f>H854*(ROUNDUP('难度参数'!$E$24/('难度参数'!$E$26*'难度参数'!$E$27),0)*'难度参数'!$E$26)/60</x:f>
        <x:v>4.640000000000001</x:v>
      </x:c>
      <x:c r="M854" s="62" t="n">
        <x:f>L854+D854*('难度参数'!$E$49+'难度参数'!$E$50)/60</x:f>
        <x:v>5.8066666666666675</x:v>
      </x:c>
      <x:c r="N854" s="119" t="n">
        <x:f>ROUNDDOWN(('经济参数'!$E$20+A854*'经济参数'!$E$21)*G854,0)</x:f>
        <x:v>17140</x:v>
      </x:c>
      <x:c r="O854" s="119" t="n">
        <x:f>ROUNDDOWN(MIN('经济参数'!$E$24,'经济参数'!$E$22+A854*'经济参数'!$E$23)*G854,0)</x:f>
        <x:v>0</x:v>
      </x:c>
      <x:c r="P854" s="119" t="n">
        <x:f>ROUNDDOWN((IF(A854&gt;='材料与任务'!$E$31,'材料与任务'!$E$32,IF(A854&gt;='材料与任务'!$E$25,'材料与任务'!$E$26,IF(A854&gt;='材料与任务'!$E$19,'材料与任务'!$E$20,IF(A854&gt;='材料与任务'!$E$13,'材料与任务'!$E$14,'材料与任务'!$E$8)))))*G854,0)</x:f>
        <x:v>6</x:v>
      </x:c>
      <x:c r="Q854" s="119" t="n">
        <x:f>ROUNDDOWN((IF(A854&gt;='材料与任务'!$E$31,'材料与任务'!$E$33,IF(A854&gt;='材料与任务'!$E$25,'材料与任务'!$E$27,IF(A854&gt;='材料与任务'!$E$19,'材料与任务'!$E$21,IF(A854&gt;='材料与任务'!$E$13,'材料与任务'!$E$15,'材料与任务'!$E$9)))))*G854,0)</x:f>
        <x:v>3</x:v>
      </x:c>
      <x:c r="R854" s="110" t="n">
        <x:f>'装备掉落'!$B$38</x:f>
        <x:v>0.6872058758851213</x:v>
      </x:c>
      <x:c r="S854" s="119" t="n">
        <x:f>MAX(IF(VLOOKUP(A854,'装备掉落'!$A$29:$H$34,2,TRUE)&gt;0,1,0),IF(VLOOKUP(A854,'装备掉落'!$A$29:$H$34,3,TRUE)&gt;0,2,0),IF(VLOOKUP(A854,'装备掉落'!$A$29:$H$34,4,TRUE)&gt;0,3,0),IF(VLOOKUP(A854,'装备掉落'!$A$29:$H$34,5,TRUE)&gt;0,4,0),IF(VLOOKUP(A854,'装备掉落'!$A$29:$H$34,6,TRUE)&gt;0,5,0),IF(VLOOKUP(A854,'装备掉落'!$A$29:$H$34,7,TRUE)&gt;0,6,0),IF(VLOOKUP(A854,'装备掉落'!$A$29:$H$34,8,TRUE)&gt;0,7,0))</x:f>
        <x:v>7</x:v>
      </x:c>
      <x:c r="T854" s="119" t="n">
        <x:f>MIN(7,S854+'经济参数'!$E$70)</x:f>
        <x:v>7</x:v>
      </x:c>
      <x:c r="U854" s="119" t="n">
        <x:f>MIN(7,S854+'经济参数'!$E$71)</x:f>
        <x:v>7</x:v>
      </x:c>
      <x:c r="V854" s="119" t="n">
        <x:f>IF(H854&gt;=('难度参数'!$E$52),1,0)+IF(H854&gt;=('难度参数'!$E$52+'难度参数'!$E$53),1,0)+IF(H854&gt;=('难度参数'!$E$52+'难度参数'!$E$53+'难度参数'!$E$54),1,0)+IF(H854&gt;=('难度参数'!$E$52+'难度参数'!$E$53+'难度参数'!$E$54+'难度参数'!$E$55),1,0)+IF(H854&gt;=('难度参数'!$E$52+'难度参数'!$E$53+'难度参数'!$E$54+'难度参数'!$E$55+'难度参数'!$E$56),1,0)+IF(H854&gt;=('难度参数'!$E$52+'难度参数'!$E$53+'难度参数'!$E$54+'难度参数'!$E$55+'难度参数'!$E$56+'难度参数'!$E$57),1,0)</x:f>
        <x:v>6</x:v>
      </x:c>
      <x:c r="W854" s="62" t="str">
        <x:f>IF(L854&gt;'难度参数'!$E$51,"仅出怪已超目标","还需实测")</x:f>
        <x:v>仅出怪已超目标</x:v>
      </x:c>
      <x:c r="X854" s="119" t="n">
        <x:f>IF(1&gt;D854,0,MAX(2,MIN('难度参数'!$E$12,ROUND(('难度参数'!$E$18*POWER(A854,'难度参数'!$E$19)/D854*(0.85+0.3*(1-1)/MAX(1,D854-1))),0)+F854)))</x:f>
        <x:v>42</x:v>
      </x:c>
      <x:c r="Y854" s="119" t="n">
        <x:f>IF(1&gt;D854,0,ROUND(('难度参数'!$E$13*POWER(A854,'难度参数'!$E$20)*MIN('难度参数'!$E$23,1+MAX(0,A854-'难度参数'!$E$21)*'难度参数'!$E$22))*(36+1*7)/(36+7*(D854+1)/2)*E854,0))</x:f>
        <x:v>11643</x:v>
      </x:c>
      <x:c r="Z854" s="119" t="n">
        <x:f>IF(X854=0,0,(X854-IF(1=D854,1,0))*ROUND(Y854*VLOOKUP(INDEX('章节与怪物'!$E$31:$K$37,B854,1),'章节与怪物'!$A$41:$F$44,2,FALSE),0)+IF(1=D854,ROUND(Y854*'难度参数'!$E$28*'章节与怪物'!$E$17,0),0))</x:f>
        <x:v>352086</x:v>
      </x:c>
      <x:c r="AA854" s="119" t="n">
        <x:f>IF(X854=0,0,(X854-IF(1=D854,1,0))*VLOOKUP(INDEX('章节与怪物'!$E$31:$K$37,B854,1),'章节与怪物'!$A$41:$F$44,4,FALSE)+IF(1=D854,'难度参数'!$E$30,0))</x:f>
        <x:v>840</x:v>
      </x:c>
      <x:c r="AB854" s="119" t="n">
        <x:f>IF(2&gt;D854,0,MAX(2,MIN('难度参数'!$E$12,ROUND(('难度参数'!$E$18*POWER(A854,'难度参数'!$E$19)/D854*(0.85+0.3*(2-1)/MAX(1,D854-1))),0)+F854)))</x:f>
        <x:v>45</x:v>
      </x:c>
      <x:c r="AC854" s="119" t="n">
        <x:f>IF(2&gt;D854,0,ROUND(('难度参数'!$E$13*POWER(A854,'难度参数'!$E$20)*MIN('难度参数'!$E$23,1+MAX(0,A854-'难度参数'!$E$21)*'难度参数'!$E$22))*(36+2*7)/(36+7*(D854+1)/2)*E854,0))</x:f>
        <x:v>13538</x:v>
      </x:c>
      <x:c r="AD854" s="119" t="n">
        <x:f>IF(AB854=0,0,(AB854-IF(2=D854,1,0))*ROUND(AC854*VLOOKUP(INDEX('章节与怪物'!$E$31:$K$37,B854,2),'章节与怪物'!$A$41:$F$44,2,FALSE),0)+IF(2=D854,ROUND(AC854*'难度参数'!$E$28*'章节与怪物'!$E$17,0),0))</x:f>
        <x:v>609210</x:v>
      </x:c>
      <x:c r="AE854" s="119" t="n">
        <x:f>IF(AB854=0,0,(AB854-IF(2=D854,1,0))*VLOOKUP(INDEX('章节与怪物'!$E$31:$K$37,B854,2),'章节与怪物'!$A$41:$F$44,4,FALSE)+IF(2=D854,'难度参数'!$E$30,0))</x:f>
        <x:v>810</x:v>
      </x:c>
      <x:c r="AF854" s="119" t="n">
        <x:f>IF(3&gt;D854,0,MAX(2,MIN('难度参数'!$E$12,ROUND(('难度参数'!$E$18*POWER(A854,'难度参数'!$E$19)/D854*(0.85+0.3*(3-1)/MAX(1,D854-1))),0)+F854)))</x:f>
        <x:v>47</x:v>
      </x:c>
      <x:c r="AG854" s="119" t="n">
        <x:f>IF(3&gt;D854,0,ROUND(('难度参数'!$E$13*POWER(A854,'难度参数'!$E$20)*MIN('难度参数'!$E$23,1+MAX(0,A854-'难度参数'!$E$21)*'难度参数'!$E$22))*(36+3*7)/(36+7*(D854+1)/2)*E854,0))</x:f>
        <x:v>15434</x:v>
      </x:c>
      <x:c r="AH854" s="119" t="n">
        <x:f>IF(AF854=0,0,(AF854-IF(3=D854,1,0))*ROUND(AG854*VLOOKUP(INDEX('章节与怪物'!$E$31:$K$37,B854,3),'章节与怪物'!$A$41:$F$44,2,FALSE),0)+IF(3=D854,ROUND(AG854*'难度参数'!$E$28*'章节与怪物'!$E$17,0),0))</x:f>
        <x:v>1233186</x:v>
      </x:c>
      <x:c r="AI854" s="119" t="n">
        <x:f>IF(AF854=0,0,(AF854-IF(3=D854,1,0))*VLOOKUP(INDEX('章节与怪物'!$E$31:$K$37,B854,3),'章节与怪物'!$A$41:$F$44,4,FALSE)+IF(3=D854,'难度参数'!$E$30,0))</x:f>
        <x:v>1316</x:v>
      </x:c>
      <x:c r="AJ854" s="119" t="n">
        <x:f>IF(4&gt;D854,0,MAX(2,MIN('难度参数'!$E$12,ROUND(('难度参数'!$E$18*POWER(A854,'难度参数'!$E$19)/D854*(0.85+0.3*(4-1)/MAX(1,D854-1))),0)+F854)))</x:f>
        <x:v>50</x:v>
      </x:c>
      <x:c r="AK854" s="119" t="n">
        <x:f>IF(4&gt;D854,0,ROUND(('难度参数'!$E$13*POWER(A854,'难度参数'!$E$20)*MIN('难度参数'!$E$23,1+MAX(0,A854-'难度参数'!$E$21)*'难度参数'!$E$22))*(36+4*7)/(36+7*(D854+1)/2)*E854,0))</x:f>
        <x:v>17329</x:v>
      </x:c>
      <x:c r="AL854" s="119" t="n">
        <x:f>IF(AJ854=0,0,(AJ854-IF(4=D854,1,0))*ROUND(AK854*VLOOKUP(INDEX('章节与怪物'!$E$31:$K$37,B854,4),'章节与怪物'!$A$41:$F$44,2,FALSE),0)+IF(4=D854,ROUND(AK854*'难度参数'!$E$28*'章节与怪物'!$E$17,0),0))</x:f>
        <x:v>1169700</x:v>
      </x:c>
      <x:c r="AM854" s="119" t="n">
        <x:f>IF(AJ854=0,0,(AJ854-IF(4=D854,1,0))*VLOOKUP(INDEX('章节与怪物'!$E$31:$K$37,B854,4),'章节与怪物'!$A$41:$F$44,4,FALSE)+IF(4=D854,'难度参数'!$E$30,0))</x:f>
        <x:v>1700</x:v>
      </x:c>
      <x:c r="AN854" s="119" t="n">
        <x:f>IF(5&gt;D854,0,MAX(2,MIN('难度参数'!$E$12,ROUND(('难度参数'!$E$18*POWER(A854,'难度参数'!$E$19)/D854*(0.85+0.3*(5-1)/MAX(1,D854-1))),0)+F854)))</x:f>
        <x:v>52</x:v>
      </x:c>
      <x:c r="AO854" s="119" t="n">
        <x:f>IF(5&gt;D854,0,ROUND(('难度参数'!$E$13*POWER(A854,'难度参数'!$E$20)*MIN('难度参数'!$E$23,1+MAX(0,A854-'难度参数'!$E$21)*'难度参数'!$E$22))*(36+5*7)/(36+7*(D854+1)/2)*E854,0))</x:f>
        <x:v>19225</x:v>
      </x:c>
      <x:c r="AP854" s="119" t="n">
        <x:f>IF(AN854=0,0,(AN854-IF(5=D854,1,0))*ROUND(AO854*VLOOKUP(INDEX('章节与怪物'!$E$31:$K$37,B854,5),'章节与怪物'!$A$41:$F$44,2,FALSE),0)+IF(5=D854,ROUND(AO854*'难度参数'!$E$28*'章节与怪物'!$E$17,0),0))</x:f>
        <x:v>999700</x:v>
      </x:c>
      <x:c r="AQ854" s="119" t="n">
        <x:f>IF(AN854=0,0,(AN854-IF(5=D854,1,0))*VLOOKUP(INDEX('章节与怪物'!$E$31:$K$37,B854,5),'章节与怪物'!$A$41:$F$44,4,FALSE)+IF(5=D854,'难度参数'!$E$30,0))</x:f>
        <x:v>936</x:v>
      </x:c>
      <x:c r="AR854" s="119" t="n">
        <x:f>IF(6&gt;D854,0,MAX(2,MIN('难度参数'!$E$12,ROUND(('难度参数'!$E$18*POWER(A854,'难度参数'!$E$19)/D854*(0.85+0.3*(6-1)/MAX(1,D854-1))),0)+F854)))</x:f>
        <x:v>55</x:v>
      </x:c>
      <x:c r="AS854" s="119" t="n">
        <x:f>IF(6&gt;D854,0,ROUND(('难度参数'!$E$13*POWER(A854,'难度参数'!$E$20)*MIN('难度参数'!$E$23,1+MAX(0,A854-'难度参数'!$E$21)*'难度参数'!$E$22))*(36+6*7)/(36+7*(D854+1)/2)*E854,0))</x:f>
        <x:v>21120</x:v>
      </x:c>
      <x:c r="AT854" s="119" t="n">
        <x:f>IF(AR854=0,0,(AR854-IF(6=D854,1,0))*ROUND(AS854*VLOOKUP(INDEX('章节与怪物'!$E$31:$K$37,B854,6),'章节与怪物'!$A$41:$F$44,2,FALSE),0)+IF(6=D854,ROUND(AS854*'难度参数'!$E$28*'章节与怪物'!$E$17,0),0))</x:f>
        <x:v>1974720</x:v>
      </x:c>
      <x:c r="AU854" s="119" t="n">
        <x:f>IF(AR854=0,0,(AR854-IF(6=D854,1,0))*VLOOKUP(INDEX('章节与怪物'!$E$31:$K$37,B854,6),'章节与怪物'!$A$41:$F$44,4,FALSE)+IF(6=D854,'难度参数'!$E$30,0))</x:f>
        <x:v>1540</x:v>
      </x:c>
      <x:c r="AV854" s="119" t="n">
        <x:f>IF(7&gt;D854,0,MAX(2,MIN('难度参数'!$E$12,ROUND(('难度参数'!$E$18*POWER(A854,'难度参数'!$E$19)/D854*(0.85+0.3*(7-1)/MAX(1,D854-1))),0)+F854)))</x:f>
        <x:v>57</x:v>
      </x:c>
      <x:c r="AW854" s="119" t="n">
        <x:f>IF(7&gt;D854,0,ROUND(('难度参数'!$E$13*POWER(A854,'难度参数'!$E$20)*MIN('难度参数'!$E$23,1+MAX(0,A854-'难度参数'!$E$21)*'难度参数'!$E$22))*(36+7*7)/(36+7*(D854+1)/2)*E854,0))</x:f>
        <x:v>23015</x:v>
      </x:c>
      <x:c r="AX854" s="119" t="n">
        <x:f>IF(AV854=0,0,(AV854-IF(7=D854,1,0))*ROUND(AW854*VLOOKUP(INDEX('章节与怪物'!$E$31:$K$37,B854,7),'章节与怪物'!$A$41:$F$44,2,FALSE),0)+IF(7=D854,ROUND(AW854*'难度参数'!$E$28*'章节与怪物'!$E$17,0),0))</x:f>
        <x:v>1896422</x:v>
      </x:c>
      <x:c r="AY854" s="119" t="n">
        <x:f>IF(AV854=0,0,(AV854-IF(7=D854,1,0))*VLOOKUP(INDEX('章节与怪物'!$E$31:$K$37,B854,7),'章节与怪物'!$A$41:$F$44,4,FALSE)+IF(7=D854,'难度参数'!$E$30,0))</x:f>
        <x:v>2104</x:v>
      </x:c>
    </x:row>
    <x:row r="855" ht="23" customHeight="1">
      <x:c r="A855" s="119" t="n">
        <x:v>849</x:v>
      </x:c>
      <x:c r="B855" s="119" t="n">
        <x:f>MOD(INT((A855-1)/5),7)+1</x:f>
        <x:v>2</x:v>
      </x:c>
      <x:c r="C855" s="62" t="str">
        <x:f>INDEX('章节与怪物'!$B$31:$B$37,B855)</x:f>
        <x:v>黄沙要塞</x:v>
      </x:c>
      <x:c r="D855" s="119" t="n">
        <x:f>MIN('难度参数'!$E$8,MAX('难度参数'!$E$7,A855))</x:f>
        <x:v>7</x:v>
      </x:c>
      <x:c r="E855" s="106" t="n">
        <x:v>1</x:v>
      </x:c>
      <x:c r="F855" s="106" t="n">
        <x:v>0</x:v>
      </x:c>
      <x:c r="G855" s="106" t="n">
        <x:v>1</x:v>
      </x:c>
      <x:c r="H855" s="119" t="n">
        <x:f>SUM(X855,AB855,AF855,AJ855,AN855,AR855,AV855)</x:f>
        <x:v>348</x:v>
      </x:c>
      <x:c r="I855" s="119" t="n">
        <x:f>SUM(Z855,AD855,AH855,AL855,AP855,AT855,AX855)</x:f>
        <x:v>8242077</x:v>
      </x:c>
      <x:c r="J855" s="119" t="n">
        <x:f>ROUND(INDEX(X855:AY855,1,(D855-1)*4+2)*'难度参数'!$E$28*'章节与怪物'!$E$17,0)</x:f>
        <x:v>156638</x:v>
      </x:c>
      <x:c r="K855" s="119" t="n">
        <x:f>SUM(AA855,AE855,AI855,AM855,AQ855,AU855,AY855)</x:f>
        <x:v>9246</x:v>
      </x:c>
      <x:c r="L855" s="62" t="n">
        <x:f>H855*(ROUNDUP('难度参数'!$E$24/('难度参数'!$E$26*'难度参数'!$E$27),0)*'难度参数'!$E$26)/60</x:f>
        <x:v>4.640000000000001</x:v>
      </x:c>
      <x:c r="M855" s="62" t="n">
        <x:f>L855+D855*('难度参数'!$E$49+'难度参数'!$E$50)/60</x:f>
        <x:v>5.8066666666666675</x:v>
      </x:c>
      <x:c r="N855" s="119" t="n">
        <x:f>ROUNDDOWN(('经济参数'!$E$20+A855*'经济参数'!$E$21)*G855,0)</x:f>
        <x:v>17160</x:v>
      </x:c>
      <x:c r="O855" s="119" t="n">
        <x:f>ROUNDDOWN(MIN('经济参数'!$E$24,'经济参数'!$E$22+A855*'经济参数'!$E$23)*G855,0)</x:f>
        <x:v>0</x:v>
      </x:c>
      <x:c r="P855" s="119" t="n">
        <x:f>ROUNDDOWN((IF(A855&gt;='材料与任务'!$E$31,'材料与任务'!$E$32,IF(A855&gt;='材料与任务'!$E$25,'材料与任务'!$E$26,IF(A855&gt;='材料与任务'!$E$19,'材料与任务'!$E$20,IF(A855&gt;='材料与任务'!$E$13,'材料与任务'!$E$14,'材料与任务'!$E$8)))))*G855,0)</x:f>
        <x:v>6</x:v>
      </x:c>
      <x:c r="Q855" s="119" t="n">
        <x:f>ROUNDDOWN((IF(A855&gt;='材料与任务'!$E$31,'材料与任务'!$E$33,IF(A855&gt;='材料与任务'!$E$25,'材料与任务'!$E$27,IF(A855&gt;='材料与任务'!$E$19,'材料与任务'!$E$21,IF(A855&gt;='材料与任务'!$E$13,'材料与任务'!$E$15,'材料与任务'!$E$9)))))*G855,0)</x:f>
        <x:v>3</x:v>
      </x:c>
      <x:c r="R855" s="110" t="n">
        <x:f>'装备掉落'!$B$38</x:f>
        <x:v>0.6872058758851213</x:v>
      </x:c>
      <x:c r="S855" s="119" t="n">
        <x:f>MAX(IF(VLOOKUP(A855,'装备掉落'!$A$29:$H$34,2,TRUE)&gt;0,1,0),IF(VLOOKUP(A855,'装备掉落'!$A$29:$H$34,3,TRUE)&gt;0,2,0),IF(VLOOKUP(A855,'装备掉落'!$A$29:$H$34,4,TRUE)&gt;0,3,0),IF(VLOOKUP(A855,'装备掉落'!$A$29:$H$34,5,TRUE)&gt;0,4,0),IF(VLOOKUP(A855,'装备掉落'!$A$29:$H$34,6,TRUE)&gt;0,5,0),IF(VLOOKUP(A855,'装备掉落'!$A$29:$H$34,7,TRUE)&gt;0,6,0),IF(VLOOKUP(A855,'装备掉落'!$A$29:$H$34,8,TRUE)&gt;0,7,0))</x:f>
        <x:v>7</x:v>
      </x:c>
      <x:c r="T855" s="119" t="n">
        <x:f>MIN(7,S855+'经济参数'!$E$70)</x:f>
        <x:v>7</x:v>
      </x:c>
      <x:c r="U855" s="119" t="n">
        <x:f>MIN(7,S855+'经济参数'!$E$71)</x:f>
        <x:v>7</x:v>
      </x:c>
      <x:c r="V855" s="119" t="n">
        <x:f>IF(H855&gt;=('难度参数'!$E$52),1,0)+IF(H855&gt;=('难度参数'!$E$52+'难度参数'!$E$53),1,0)+IF(H855&gt;=('难度参数'!$E$52+'难度参数'!$E$53+'难度参数'!$E$54),1,0)+IF(H855&gt;=('难度参数'!$E$52+'难度参数'!$E$53+'难度参数'!$E$54+'难度参数'!$E$55),1,0)+IF(H855&gt;=('难度参数'!$E$52+'难度参数'!$E$53+'难度参数'!$E$54+'难度参数'!$E$55+'难度参数'!$E$56),1,0)+IF(H855&gt;=('难度参数'!$E$52+'难度参数'!$E$53+'难度参数'!$E$54+'难度参数'!$E$55+'难度参数'!$E$56+'难度参数'!$E$57),1,0)</x:f>
        <x:v>6</x:v>
      </x:c>
      <x:c r="W855" s="62" t="str">
        <x:f>IF(L855&gt;'难度参数'!$E$51,"仅出怪已超目标","还需实测")</x:f>
        <x:v>仅出怪已超目标</x:v>
      </x:c>
      <x:c r="X855" s="119" t="n">
        <x:f>IF(1&gt;D855,0,MAX(2,MIN('难度参数'!$E$12,ROUND(('难度参数'!$E$18*POWER(A855,'难度参数'!$E$19)/D855*(0.85+0.3*(1-1)/MAX(1,D855-1))),0)+F855)))</x:f>
        <x:v>42</x:v>
      </x:c>
      <x:c r="Y855" s="119" t="n">
        <x:f>IF(1&gt;D855,0,ROUND(('难度参数'!$E$13*POWER(A855,'难度参数'!$E$20)*MIN('难度参数'!$E$23,1+MAX(0,A855-'难度参数'!$E$21)*'难度参数'!$E$22))*(36+1*7)/(36+7*(D855+1)/2)*E855,0))</x:f>
        <x:v>11653</x:v>
      </x:c>
      <x:c r="Z855" s="119" t="n">
        <x:f>IF(X855=0,0,(X855-IF(1=D855,1,0))*ROUND(Y855*VLOOKUP(INDEX('章节与怪物'!$E$31:$K$37,B855,1),'章节与怪物'!$A$41:$F$44,2,FALSE),0)+IF(1=D855,ROUND(Y855*'难度参数'!$E$28*'章节与怪物'!$E$17,0),0))</x:f>
        <x:v>352380</x:v>
      </x:c>
      <x:c r="AA855" s="119" t="n">
        <x:f>IF(X855=0,0,(X855-IF(1=D855,1,0))*VLOOKUP(INDEX('章节与怪物'!$E$31:$K$37,B855,1),'章节与怪物'!$A$41:$F$44,4,FALSE)+IF(1=D855,'难度参数'!$E$30,0))</x:f>
        <x:v>840</x:v>
      </x:c>
      <x:c r="AB855" s="119" t="n">
        <x:f>IF(2&gt;D855,0,MAX(2,MIN('难度参数'!$E$12,ROUND(('难度参数'!$E$18*POWER(A855,'难度参数'!$E$19)/D855*(0.85+0.3*(2-1)/MAX(1,D855-1))),0)+F855)))</x:f>
        <x:v>45</x:v>
      </x:c>
      <x:c r="AC855" s="119" t="n">
        <x:f>IF(2&gt;D855,0,ROUND(('难度参数'!$E$13*POWER(A855,'难度参数'!$E$20)*MIN('难度参数'!$E$23,1+MAX(0,A855-'难度参数'!$E$21)*'难度参数'!$E$22))*(36+2*7)/(36+7*(D855+1)/2)*E855,0))</x:f>
        <x:v>13550</x:v>
      </x:c>
      <x:c r="AD855" s="119" t="n">
        <x:f>IF(AB855=0,0,(AB855-IF(2=D855,1,0))*ROUND(AC855*VLOOKUP(INDEX('章节与怪物'!$E$31:$K$37,B855,2),'章节与怪物'!$A$41:$F$44,2,FALSE),0)+IF(2=D855,ROUND(AC855*'难度参数'!$E$28*'章节与怪物'!$E$17,0),0))</x:f>
        <x:v>609750</x:v>
      </x:c>
      <x:c r="AE855" s="119" t="n">
        <x:f>IF(AB855=0,0,(AB855-IF(2=D855,1,0))*VLOOKUP(INDEX('章节与怪物'!$E$31:$K$37,B855,2),'章节与怪物'!$A$41:$F$44,4,FALSE)+IF(2=D855,'难度参数'!$E$30,0))</x:f>
        <x:v>810</x:v>
      </x:c>
      <x:c r="AF855" s="119" t="n">
        <x:f>IF(3&gt;D855,0,MAX(2,MIN('难度参数'!$E$12,ROUND(('难度参数'!$E$18*POWER(A855,'难度参数'!$E$19)/D855*(0.85+0.3*(3-1)/MAX(1,D855-1))),0)+F855)))</x:f>
        <x:v>47</x:v>
      </x:c>
      <x:c r="AG855" s="119" t="n">
        <x:f>IF(3&gt;D855,0,ROUND(('难度参数'!$E$13*POWER(A855,'难度参数'!$E$20)*MIN('难度参数'!$E$23,1+MAX(0,A855-'难度参数'!$E$21)*'难度参数'!$E$22))*(36+3*7)/(36+7*(D855+1)/2)*E855,0))</x:f>
        <x:v>15447</x:v>
      </x:c>
      <x:c r="AH855" s="119" t="n">
        <x:f>IF(AF855=0,0,(AF855-IF(3=D855,1,0))*ROUND(AG855*VLOOKUP(INDEX('章节与怪物'!$E$31:$K$37,B855,3),'章节与怪物'!$A$41:$F$44,2,FALSE),0)+IF(3=D855,ROUND(AG855*'难度参数'!$E$28*'章节与怪物'!$E$17,0),0))</x:f>
        <x:v>1234220</x:v>
      </x:c>
      <x:c r="AI855" s="119" t="n">
        <x:f>IF(AF855=0,0,(AF855-IF(3=D855,1,0))*VLOOKUP(INDEX('章节与怪物'!$E$31:$K$37,B855,3),'章节与怪物'!$A$41:$F$44,4,FALSE)+IF(3=D855,'难度参数'!$E$30,0))</x:f>
        <x:v>1316</x:v>
      </x:c>
      <x:c r="AJ855" s="119" t="n">
        <x:f>IF(4&gt;D855,0,MAX(2,MIN('难度参数'!$E$12,ROUND(('难度参数'!$E$18*POWER(A855,'难度参数'!$E$19)/D855*(0.85+0.3*(4-1)/MAX(1,D855-1))),0)+F855)))</x:f>
        <x:v>50</x:v>
      </x:c>
      <x:c r="AK855" s="119" t="n">
        <x:f>IF(4&gt;D855,0,ROUND(('难度参数'!$E$13*POWER(A855,'难度参数'!$E$20)*MIN('难度参数'!$E$23,1+MAX(0,A855-'难度参数'!$E$21)*'难度参数'!$E$22))*(36+4*7)/(36+7*(D855+1)/2)*E855,0))</x:f>
        <x:v>17344</x:v>
      </x:c>
      <x:c r="AL855" s="119" t="n">
        <x:f>IF(AJ855=0,0,(AJ855-IF(4=D855,1,0))*ROUND(AK855*VLOOKUP(INDEX('章节与怪物'!$E$31:$K$37,B855,4),'章节与怪物'!$A$41:$F$44,2,FALSE),0)+IF(4=D855,ROUND(AK855*'难度参数'!$E$28*'章节与怪物'!$E$17,0),0))</x:f>
        <x:v>1170700</x:v>
      </x:c>
      <x:c r="AM855" s="119" t="n">
        <x:f>IF(AJ855=0,0,(AJ855-IF(4=D855,1,0))*VLOOKUP(INDEX('章节与怪物'!$E$31:$K$37,B855,4),'章节与怪物'!$A$41:$F$44,4,FALSE)+IF(4=D855,'难度参数'!$E$30,0))</x:f>
        <x:v>1700</x:v>
      </x:c>
      <x:c r="AN855" s="119" t="n">
        <x:f>IF(5&gt;D855,0,MAX(2,MIN('难度参数'!$E$12,ROUND(('难度参数'!$E$18*POWER(A855,'难度参数'!$E$19)/D855*(0.85+0.3*(5-1)/MAX(1,D855-1))),0)+F855)))</x:f>
        <x:v>52</x:v>
      </x:c>
      <x:c r="AO855" s="119" t="n">
        <x:f>IF(5&gt;D855,0,ROUND(('难度参数'!$E$13*POWER(A855,'难度参数'!$E$20)*MIN('难度参数'!$E$23,1+MAX(0,A855-'难度参数'!$E$21)*'难度参数'!$E$22))*(36+5*7)/(36+7*(D855+1)/2)*E855,0))</x:f>
        <x:v>19241</x:v>
      </x:c>
      <x:c r="AP855" s="119" t="n">
        <x:f>IF(AN855=0,0,(AN855-IF(5=D855,1,0))*ROUND(AO855*VLOOKUP(INDEX('章节与怪物'!$E$31:$K$37,B855,5),'章节与怪物'!$A$41:$F$44,2,FALSE),0)+IF(5=D855,ROUND(AO855*'难度参数'!$E$28*'章节与怪物'!$E$17,0),0))</x:f>
        <x:v>1000532</x:v>
      </x:c>
      <x:c r="AQ855" s="119" t="n">
        <x:f>IF(AN855=0,0,(AN855-IF(5=D855,1,0))*VLOOKUP(INDEX('章节与怪物'!$E$31:$K$37,B855,5),'章节与怪物'!$A$41:$F$44,4,FALSE)+IF(5=D855,'难度参数'!$E$30,0))</x:f>
        <x:v>936</x:v>
      </x:c>
      <x:c r="AR855" s="119" t="n">
        <x:f>IF(6&gt;D855,0,MAX(2,MIN('难度参数'!$E$12,ROUND(('难度参数'!$E$18*POWER(A855,'难度参数'!$E$19)/D855*(0.85+0.3*(6-1)/MAX(1,D855-1))),0)+F855)))</x:f>
        <x:v>55</x:v>
      </x:c>
      <x:c r="AS855" s="119" t="n">
        <x:f>IF(6&gt;D855,0,ROUND(('难度参数'!$E$13*POWER(A855,'难度参数'!$E$20)*MIN('难度参数'!$E$23,1+MAX(0,A855-'难度参数'!$E$21)*'难度参数'!$E$22))*(36+6*7)/(36+7*(D855+1)/2)*E855,0))</x:f>
        <x:v>21138</x:v>
      </x:c>
      <x:c r="AT855" s="119" t="n">
        <x:f>IF(AR855=0,0,(AR855-IF(6=D855,1,0))*ROUND(AS855*VLOOKUP(INDEX('章节与怪物'!$E$31:$K$37,B855,6),'章节与怪物'!$A$41:$F$44,2,FALSE),0)+IF(6=D855,ROUND(AS855*'难度参数'!$E$28*'章节与怪物'!$E$17,0),0))</x:f>
        <x:v>1976425</x:v>
      </x:c>
      <x:c r="AU855" s="119" t="n">
        <x:f>IF(AR855=0,0,(AR855-IF(6=D855,1,0))*VLOOKUP(INDEX('章节与怪物'!$E$31:$K$37,B855,6),'章节与怪物'!$A$41:$F$44,4,FALSE)+IF(6=D855,'难度参数'!$E$30,0))</x:f>
        <x:v>1540</x:v>
      </x:c>
      <x:c r="AV855" s="119" t="n">
        <x:f>IF(7&gt;D855,0,MAX(2,MIN('难度参数'!$E$12,ROUND(('难度参数'!$E$18*POWER(A855,'难度参数'!$E$19)/D855*(0.85+0.3*(7-1)/MAX(1,D855-1))),0)+F855)))</x:f>
        <x:v>57</x:v>
      </x:c>
      <x:c r="AW855" s="119" t="n">
        <x:f>IF(7&gt;D855,0,ROUND(('难度参数'!$E$13*POWER(A855,'难度参数'!$E$20)*MIN('难度参数'!$E$23,1+MAX(0,A855-'难度参数'!$E$21)*'难度参数'!$E$22))*(36+7*7)/(36+7*(D855+1)/2)*E855,0))</x:f>
        <x:v>23035</x:v>
      </x:c>
      <x:c r="AX855" s="119" t="n">
        <x:f>IF(AV855=0,0,(AV855-IF(7=D855,1,0))*ROUND(AW855*VLOOKUP(INDEX('章节与怪物'!$E$31:$K$37,B855,7),'章节与怪物'!$A$41:$F$44,2,FALSE),0)+IF(7=D855,ROUND(AW855*'难度参数'!$E$28*'章节与怪物'!$E$17,0),0))</x:f>
        <x:v>1898070</x:v>
      </x:c>
      <x:c r="AY855" s="119" t="n">
        <x:f>IF(AV855=0,0,(AV855-IF(7=D855,1,0))*VLOOKUP(INDEX('章节与怪物'!$E$31:$K$37,B855,7),'章节与怪物'!$A$41:$F$44,4,FALSE)+IF(7=D855,'难度参数'!$E$30,0))</x:f>
        <x:v>2104</x:v>
      </x:c>
    </x:row>
    <x:row r="856" ht="23" customHeight="1">
      <x:c r="A856" s="119" t="n">
        <x:v>850</x:v>
      </x:c>
      <x:c r="B856" s="119" t="n">
        <x:f>MOD(INT((A856-1)/5),7)+1</x:f>
        <x:v>2</x:v>
      </x:c>
      <x:c r="C856" s="62" t="str">
        <x:f>INDEX('章节与怪物'!$B$31:$B$37,B856)</x:f>
        <x:v>黄沙要塞</x:v>
      </x:c>
      <x:c r="D856" s="119" t="n">
        <x:f>MIN('难度参数'!$E$8,MAX('难度参数'!$E$7,A856))</x:f>
        <x:v>7</x:v>
      </x:c>
      <x:c r="E856" s="106" t="n">
        <x:v>1</x:v>
      </x:c>
      <x:c r="F856" s="106" t="n">
        <x:v>0</x:v>
      </x:c>
      <x:c r="G856" s="106" t="n">
        <x:v>1</x:v>
      </x:c>
      <x:c r="H856" s="119" t="n">
        <x:f>SUM(X856,AB856,AF856,AJ856,AN856,AR856,AV856)</x:f>
        <x:v>348</x:v>
      </x:c>
      <x:c r="I856" s="119" t="n">
        <x:f>SUM(Z856,AD856,AH856,AL856,AP856,AT856,AX856)</x:f>
        <x:v>8249017</x:v>
      </x:c>
      <x:c r="J856" s="119" t="n">
        <x:f>ROUND(INDEX(X856:AY856,1,(D856-1)*4+2)*'难度参数'!$E$28*'章节与怪物'!$E$17,0)</x:f>
        <x:v>156767</x:v>
      </x:c>
      <x:c r="K856" s="119" t="n">
        <x:f>SUM(AA856,AE856,AI856,AM856,AQ856,AU856,AY856)</x:f>
        <x:v>9246</x:v>
      </x:c>
      <x:c r="L856" s="62" t="n">
        <x:f>H856*(ROUNDUP('难度参数'!$E$24/('难度参数'!$E$26*'难度参数'!$E$27),0)*'难度参数'!$E$26)/60</x:f>
        <x:v>4.640000000000001</x:v>
      </x:c>
      <x:c r="M856" s="62" t="n">
        <x:f>L856+D856*('难度参数'!$E$49+'难度参数'!$E$50)/60</x:f>
        <x:v>5.8066666666666675</x:v>
      </x:c>
      <x:c r="N856" s="119" t="n">
        <x:f>ROUNDDOWN(('经济参数'!$E$20+A856*'经济参数'!$E$21)*G856,0)</x:f>
        <x:v>17180</x:v>
      </x:c>
      <x:c r="O856" s="119" t="n">
        <x:f>ROUNDDOWN(MIN('经济参数'!$E$24,'经济参数'!$E$22+A856*'经济参数'!$E$23)*G856,0)</x:f>
        <x:v>0</x:v>
      </x:c>
      <x:c r="P856" s="119" t="n">
        <x:f>ROUNDDOWN((IF(A856&gt;='材料与任务'!$E$31,'材料与任务'!$E$32,IF(A856&gt;='材料与任务'!$E$25,'材料与任务'!$E$26,IF(A856&gt;='材料与任务'!$E$19,'材料与任务'!$E$20,IF(A856&gt;='材料与任务'!$E$13,'材料与任务'!$E$14,'材料与任务'!$E$8)))))*G856,0)</x:f>
        <x:v>6</x:v>
      </x:c>
      <x:c r="Q856" s="119" t="n">
        <x:f>ROUNDDOWN((IF(A856&gt;='材料与任务'!$E$31,'材料与任务'!$E$33,IF(A856&gt;='材料与任务'!$E$25,'材料与任务'!$E$27,IF(A856&gt;='材料与任务'!$E$19,'材料与任务'!$E$21,IF(A856&gt;='材料与任务'!$E$13,'材料与任务'!$E$15,'材料与任务'!$E$9)))))*G856,0)</x:f>
        <x:v>3</x:v>
      </x:c>
      <x:c r="R856" s="110" t="n">
        <x:f>'装备掉落'!$B$38</x:f>
        <x:v>0.6872058758851213</x:v>
      </x:c>
      <x:c r="S856" s="119" t="n">
        <x:f>MAX(IF(VLOOKUP(A856,'装备掉落'!$A$29:$H$34,2,TRUE)&gt;0,1,0),IF(VLOOKUP(A856,'装备掉落'!$A$29:$H$34,3,TRUE)&gt;0,2,0),IF(VLOOKUP(A856,'装备掉落'!$A$29:$H$34,4,TRUE)&gt;0,3,0),IF(VLOOKUP(A856,'装备掉落'!$A$29:$H$34,5,TRUE)&gt;0,4,0),IF(VLOOKUP(A856,'装备掉落'!$A$29:$H$34,6,TRUE)&gt;0,5,0),IF(VLOOKUP(A856,'装备掉落'!$A$29:$H$34,7,TRUE)&gt;0,6,0),IF(VLOOKUP(A856,'装备掉落'!$A$29:$H$34,8,TRUE)&gt;0,7,0))</x:f>
        <x:v>7</x:v>
      </x:c>
      <x:c r="T856" s="119" t="n">
        <x:f>MIN(7,S856+'经济参数'!$E$70)</x:f>
        <x:v>7</x:v>
      </x:c>
      <x:c r="U856" s="119" t="n">
        <x:f>MIN(7,S856+'经济参数'!$E$71)</x:f>
        <x:v>7</x:v>
      </x:c>
      <x:c r="V856" s="119" t="n">
        <x:f>IF(H856&gt;=('难度参数'!$E$52),1,0)+IF(H856&gt;=('难度参数'!$E$52+'难度参数'!$E$53),1,0)+IF(H856&gt;=('难度参数'!$E$52+'难度参数'!$E$53+'难度参数'!$E$54),1,0)+IF(H856&gt;=('难度参数'!$E$52+'难度参数'!$E$53+'难度参数'!$E$54+'难度参数'!$E$55),1,0)+IF(H856&gt;=('难度参数'!$E$52+'难度参数'!$E$53+'难度参数'!$E$54+'难度参数'!$E$55+'难度参数'!$E$56),1,0)+IF(H856&gt;=('难度参数'!$E$52+'难度参数'!$E$53+'难度参数'!$E$54+'难度参数'!$E$55+'难度参数'!$E$56+'难度参数'!$E$57),1,0)</x:f>
        <x:v>6</x:v>
      </x:c>
      <x:c r="W856" s="62" t="str">
        <x:f>IF(L856&gt;'难度参数'!$E$51,"仅出怪已超目标","还需实测")</x:f>
        <x:v>仅出怪已超目标</x:v>
      </x:c>
      <x:c r="X856" s="119" t="n">
        <x:f>IF(1&gt;D856,0,MAX(2,MIN('难度参数'!$E$12,ROUND(('难度参数'!$E$18*POWER(A856,'难度参数'!$E$19)/D856*(0.85+0.3*(1-1)/MAX(1,D856-1))),0)+F856)))</x:f>
        <x:v>42</x:v>
      </x:c>
      <x:c r="Y856" s="119" t="n">
        <x:f>IF(1&gt;D856,0,ROUND(('难度参数'!$E$13*POWER(A856,'难度参数'!$E$20)*MIN('难度参数'!$E$23,1+MAX(0,A856-'难度参数'!$E$21)*'难度参数'!$E$22))*(36+1*7)/(36+7*(D856+1)/2)*E856,0))</x:f>
        <x:v>11663</x:v>
      </x:c>
      <x:c r="Z856" s="119" t="n">
        <x:f>IF(X856=0,0,(X856-IF(1=D856,1,0))*ROUND(Y856*VLOOKUP(INDEX('章节与怪物'!$E$31:$K$37,B856,1),'章节与怪物'!$A$41:$F$44,2,FALSE),0)+IF(1=D856,ROUND(Y856*'难度参数'!$E$28*'章节与怪物'!$E$17,0),0))</x:f>
        <x:v>352674</x:v>
      </x:c>
      <x:c r="AA856" s="119" t="n">
        <x:f>IF(X856=0,0,(X856-IF(1=D856,1,0))*VLOOKUP(INDEX('章节与怪物'!$E$31:$K$37,B856,1),'章节与怪物'!$A$41:$F$44,4,FALSE)+IF(1=D856,'难度参数'!$E$30,0))</x:f>
        <x:v>840</x:v>
      </x:c>
      <x:c r="AB856" s="119" t="n">
        <x:f>IF(2&gt;D856,0,MAX(2,MIN('难度参数'!$E$12,ROUND(('难度参数'!$E$18*POWER(A856,'难度参数'!$E$19)/D856*(0.85+0.3*(2-1)/MAX(1,D856-1))),0)+F856)))</x:f>
        <x:v>45</x:v>
      </x:c>
      <x:c r="AC856" s="119" t="n">
        <x:f>IF(2&gt;D856,0,ROUND(('难度参数'!$E$13*POWER(A856,'难度参数'!$E$20)*MIN('难度参数'!$E$23,1+MAX(0,A856-'难度参数'!$E$21)*'难度参数'!$E$22))*(36+2*7)/(36+7*(D856+1)/2)*E856,0))</x:f>
        <x:v>13561</x:v>
      </x:c>
      <x:c r="AD856" s="119" t="n">
        <x:f>IF(AB856=0,0,(AB856-IF(2=D856,1,0))*ROUND(AC856*VLOOKUP(INDEX('章节与怪物'!$E$31:$K$37,B856,2),'章节与怪物'!$A$41:$F$44,2,FALSE),0)+IF(2=D856,ROUND(AC856*'难度参数'!$E$28*'章节与怪物'!$E$17,0),0))</x:f>
        <x:v>610245</x:v>
      </x:c>
      <x:c r="AE856" s="119" t="n">
        <x:f>IF(AB856=0,0,(AB856-IF(2=D856,1,0))*VLOOKUP(INDEX('章节与怪物'!$E$31:$K$37,B856,2),'章节与怪物'!$A$41:$F$44,4,FALSE)+IF(2=D856,'难度参数'!$E$30,0))</x:f>
        <x:v>810</x:v>
      </x:c>
      <x:c r="AF856" s="119" t="n">
        <x:f>IF(3&gt;D856,0,MAX(2,MIN('难度参数'!$E$12,ROUND(('难度参数'!$E$18*POWER(A856,'难度参数'!$E$19)/D856*(0.85+0.3*(3-1)/MAX(1,D856-1))),0)+F856)))</x:f>
        <x:v>47</x:v>
      </x:c>
      <x:c r="AG856" s="119" t="n">
        <x:f>IF(3&gt;D856,0,ROUND(('难度参数'!$E$13*POWER(A856,'难度参数'!$E$20)*MIN('难度参数'!$E$23,1+MAX(0,A856-'难度参数'!$E$21)*'难度参数'!$E$22))*(36+3*7)/(36+7*(D856+1)/2)*E856,0))</x:f>
        <x:v>15460</x:v>
      </x:c>
      <x:c r="AH856" s="119" t="n">
        <x:f>IF(AF856=0,0,(AF856-IF(3=D856,1,0))*ROUND(AG856*VLOOKUP(INDEX('章节与怪物'!$E$31:$K$37,B856,3),'章节与怪物'!$A$41:$F$44,2,FALSE),0)+IF(3=D856,ROUND(AG856*'难度参数'!$E$28*'章节与怪物'!$E$17,0),0))</x:f>
        <x:v>1235254</x:v>
      </x:c>
      <x:c r="AI856" s="119" t="n">
        <x:f>IF(AF856=0,0,(AF856-IF(3=D856,1,0))*VLOOKUP(INDEX('章节与怪物'!$E$31:$K$37,B856,3),'章节与怪物'!$A$41:$F$44,4,FALSE)+IF(3=D856,'难度参数'!$E$30,0))</x:f>
        <x:v>1316</x:v>
      </x:c>
      <x:c r="AJ856" s="119" t="n">
        <x:f>IF(4&gt;D856,0,MAX(2,MIN('难度参数'!$E$12,ROUND(('难度参数'!$E$18*POWER(A856,'难度参数'!$E$19)/D856*(0.85+0.3*(4-1)/MAX(1,D856-1))),0)+F856)))</x:f>
        <x:v>50</x:v>
      </x:c>
      <x:c r="AK856" s="119" t="n">
        <x:f>IF(4&gt;D856,0,ROUND(('难度参数'!$E$13*POWER(A856,'难度参数'!$E$20)*MIN('难度参数'!$E$23,1+MAX(0,A856-'难度参数'!$E$21)*'难度参数'!$E$22))*(36+4*7)/(36+7*(D856+1)/2)*E856,0))</x:f>
        <x:v>17359</x:v>
      </x:c>
      <x:c r="AL856" s="119" t="n">
        <x:f>IF(AJ856=0,0,(AJ856-IF(4=D856,1,0))*ROUND(AK856*VLOOKUP(INDEX('章节与怪物'!$E$31:$K$37,B856,4),'章节与怪物'!$A$41:$F$44,2,FALSE),0)+IF(4=D856,ROUND(AK856*'难度参数'!$E$28*'章节与怪物'!$E$17,0),0))</x:f>
        <x:v>1171750</x:v>
      </x:c>
      <x:c r="AM856" s="119" t="n">
        <x:f>IF(AJ856=0,0,(AJ856-IF(4=D856,1,0))*VLOOKUP(INDEX('章节与怪物'!$E$31:$K$37,B856,4),'章节与怪物'!$A$41:$F$44,4,FALSE)+IF(4=D856,'难度参数'!$E$30,0))</x:f>
        <x:v>1700</x:v>
      </x:c>
      <x:c r="AN856" s="119" t="n">
        <x:f>IF(5&gt;D856,0,MAX(2,MIN('难度参数'!$E$12,ROUND(('难度参数'!$E$18*POWER(A856,'难度参数'!$E$19)/D856*(0.85+0.3*(5-1)/MAX(1,D856-1))),0)+F856)))</x:f>
        <x:v>52</x:v>
      </x:c>
      <x:c r="AO856" s="119" t="n">
        <x:f>IF(5&gt;D856,0,ROUND(('难度参数'!$E$13*POWER(A856,'难度参数'!$E$20)*MIN('难度参数'!$E$23,1+MAX(0,A856-'难度参数'!$E$21)*'难度参数'!$E$22))*(36+5*7)/(36+7*(D856+1)/2)*E856,0))</x:f>
        <x:v>19257</x:v>
      </x:c>
      <x:c r="AP856" s="119" t="n">
        <x:f>IF(AN856=0,0,(AN856-IF(5=D856,1,0))*ROUND(AO856*VLOOKUP(INDEX('章节与怪物'!$E$31:$K$37,B856,5),'章节与怪物'!$A$41:$F$44,2,FALSE),0)+IF(5=D856,ROUND(AO856*'难度参数'!$E$28*'章节与怪物'!$E$17,0),0))</x:f>
        <x:v>1001364</x:v>
      </x:c>
      <x:c r="AQ856" s="119" t="n">
        <x:f>IF(AN856=0,0,(AN856-IF(5=D856,1,0))*VLOOKUP(INDEX('章节与怪物'!$E$31:$K$37,B856,5),'章节与怪物'!$A$41:$F$44,4,FALSE)+IF(5=D856,'难度参数'!$E$30,0))</x:f>
        <x:v>936</x:v>
      </x:c>
      <x:c r="AR856" s="119" t="n">
        <x:f>IF(6&gt;D856,0,MAX(2,MIN('难度参数'!$E$12,ROUND(('难度参数'!$E$18*POWER(A856,'难度参数'!$E$19)/D856*(0.85+0.3*(6-1)/MAX(1,D856-1))),0)+F856)))</x:f>
        <x:v>55</x:v>
      </x:c>
      <x:c r="AS856" s="119" t="n">
        <x:f>IF(6&gt;D856,0,ROUND(('难度参数'!$E$13*POWER(A856,'难度参数'!$E$20)*MIN('难度参数'!$E$23,1+MAX(0,A856-'难度参数'!$E$21)*'难度参数'!$E$22))*(36+6*7)/(36+7*(D856+1)/2)*E856,0))</x:f>
        <x:v>21156</x:v>
      </x:c>
      <x:c r="AT856" s="119" t="n">
        <x:f>IF(AR856=0,0,(AR856-IF(6=D856,1,0))*ROUND(AS856*VLOOKUP(INDEX('章节与怪物'!$E$31:$K$37,B856,6),'章节与怪物'!$A$41:$F$44,2,FALSE),0)+IF(6=D856,ROUND(AS856*'难度参数'!$E$28*'章节与怪物'!$E$17,0),0))</x:f>
        <x:v>1978075</x:v>
      </x:c>
      <x:c r="AU856" s="119" t="n">
        <x:f>IF(AR856=0,0,(AR856-IF(6=D856,1,0))*VLOOKUP(INDEX('章节与怪物'!$E$31:$K$37,B856,6),'章节与怪物'!$A$41:$F$44,4,FALSE)+IF(6=D856,'难度参数'!$E$30,0))</x:f>
        <x:v>1540</x:v>
      </x:c>
      <x:c r="AV856" s="119" t="n">
        <x:f>IF(7&gt;D856,0,MAX(2,MIN('难度参数'!$E$12,ROUND(('难度参数'!$E$18*POWER(A856,'难度参数'!$E$19)/D856*(0.85+0.3*(7-1)/MAX(1,D856-1))),0)+F856)))</x:f>
        <x:v>57</x:v>
      </x:c>
      <x:c r="AW856" s="119" t="n">
        <x:f>IF(7&gt;D856,0,ROUND(('难度参数'!$E$13*POWER(A856,'难度参数'!$E$20)*MIN('难度参数'!$E$23,1+MAX(0,A856-'难度参数'!$E$21)*'难度参数'!$E$22))*(36+7*7)/(36+7*(D856+1)/2)*E856,0))</x:f>
        <x:v>23054</x:v>
      </x:c>
      <x:c r="AX856" s="119" t="n">
        <x:f>IF(AV856=0,0,(AV856-IF(7=D856,1,0))*ROUND(AW856*VLOOKUP(INDEX('章节与怪物'!$E$31:$K$37,B856,7),'章节与怪物'!$A$41:$F$44,2,FALSE),0)+IF(7=D856,ROUND(AW856*'难度参数'!$E$28*'章节与怪物'!$E$17,0),0))</x:f>
        <x:v>1899655</x:v>
      </x:c>
      <x:c r="AY856" s="119" t="n">
        <x:f>IF(AV856=0,0,(AV856-IF(7=D856,1,0))*VLOOKUP(INDEX('章节与怪物'!$E$31:$K$37,B856,7),'章节与怪物'!$A$41:$F$44,4,FALSE)+IF(7=D856,'难度参数'!$E$30,0))</x:f>
        <x:v>2104</x:v>
      </x:c>
    </x:row>
    <x:row r="857" ht="23" customHeight="1">
      <x:c r="A857" s="119" t="n">
        <x:v>851</x:v>
      </x:c>
      <x:c r="B857" s="119" t="n">
        <x:f>MOD(INT((A857-1)/5),7)+1</x:f>
        <x:v>3</x:v>
      </x:c>
      <x:c r="C857" s="62" t="str">
        <x:f>INDEX('章节与怪物'!$B$31:$B$37,B857)</x:f>
        <x:v>腐沼秘林</x:v>
      </x:c>
      <x:c r="D857" s="119" t="n">
        <x:f>MIN('难度参数'!$E$8,MAX('难度参数'!$E$7,A857))</x:f>
        <x:v>7</x:v>
      </x:c>
      <x:c r="E857" s="106" t="n">
        <x:v>1</x:v>
      </x:c>
      <x:c r="F857" s="106" t="n">
        <x:v>0</x:v>
      </x:c>
      <x:c r="G857" s="106" t="n">
        <x:v>1</x:v>
      </x:c>
      <x:c r="H857" s="119" t="n">
        <x:f>SUM(X857,AB857,AF857,AJ857,AN857,AR857,AV857)</x:f>
        <x:v>348</x:v>
      </x:c>
      <x:c r="I857" s="119" t="n">
        <x:f>SUM(Z857,AD857,AH857,AL857,AP857,AT857,AX857)</x:f>
        <x:v>7941726</x:v>
      </x:c>
      <x:c r="J857" s="119" t="n">
        <x:f>ROUND(INDEX(X857:AY857,1,(D857-1)*4+2)*'难度参数'!$E$28*'章节与怪物'!$E$17,0)</x:f>
        <x:v>156903</x:v>
      </x:c>
      <x:c r="K857" s="119" t="n">
        <x:f>SUM(AA857,AE857,AI857,AM857,AQ857,AU857,AY857)</x:f>
        <x:v>9356</x:v>
      </x:c>
      <x:c r="L857" s="62" t="n">
        <x:f>H857*(ROUNDUP('难度参数'!$E$24/('难度参数'!$E$26*'难度参数'!$E$27),0)*'难度参数'!$E$26)/60</x:f>
        <x:v>4.640000000000001</x:v>
      </x:c>
      <x:c r="M857" s="62" t="n">
        <x:f>L857+D857*('难度参数'!$E$49+'难度参数'!$E$50)/60</x:f>
        <x:v>5.8066666666666675</x:v>
      </x:c>
      <x:c r="N857" s="119" t="n">
        <x:f>ROUNDDOWN(('经济参数'!$E$20+A857*'经济参数'!$E$21)*G857,0)</x:f>
        <x:v>17200</x:v>
      </x:c>
      <x:c r="O857" s="119" t="n">
        <x:f>ROUNDDOWN(MIN('经济参数'!$E$24,'经济参数'!$E$22+A857*'经济参数'!$E$23)*G857,0)</x:f>
        <x:v>0</x:v>
      </x:c>
      <x:c r="P857" s="119" t="n">
        <x:f>ROUNDDOWN((IF(A857&gt;='材料与任务'!$E$31,'材料与任务'!$E$32,IF(A857&gt;='材料与任务'!$E$25,'材料与任务'!$E$26,IF(A857&gt;='材料与任务'!$E$19,'材料与任务'!$E$20,IF(A857&gt;='材料与任务'!$E$13,'材料与任务'!$E$14,'材料与任务'!$E$8)))))*G857,0)</x:f>
        <x:v>6</x:v>
      </x:c>
      <x:c r="Q857" s="119" t="n">
        <x:f>ROUNDDOWN((IF(A857&gt;='材料与任务'!$E$31,'材料与任务'!$E$33,IF(A857&gt;='材料与任务'!$E$25,'材料与任务'!$E$27,IF(A857&gt;='材料与任务'!$E$19,'材料与任务'!$E$21,IF(A857&gt;='材料与任务'!$E$13,'材料与任务'!$E$15,'材料与任务'!$E$9)))))*G857,0)</x:f>
        <x:v>3</x:v>
      </x:c>
      <x:c r="R857" s="110" t="n">
        <x:f>'装备掉落'!$B$38</x:f>
        <x:v>0.6872058758851213</x:v>
      </x:c>
      <x:c r="S857" s="119" t="n">
        <x:f>MAX(IF(VLOOKUP(A857,'装备掉落'!$A$29:$H$34,2,TRUE)&gt;0,1,0),IF(VLOOKUP(A857,'装备掉落'!$A$29:$H$34,3,TRUE)&gt;0,2,0),IF(VLOOKUP(A857,'装备掉落'!$A$29:$H$34,4,TRUE)&gt;0,3,0),IF(VLOOKUP(A857,'装备掉落'!$A$29:$H$34,5,TRUE)&gt;0,4,0),IF(VLOOKUP(A857,'装备掉落'!$A$29:$H$34,6,TRUE)&gt;0,5,0),IF(VLOOKUP(A857,'装备掉落'!$A$29:$H$34,7,TRUE)&gt;0,6,0),IF(VLOOKUP(A857,'装备掉落'!$A$29:$H$34,8,TRUE)&gt;0,7,0))</x:f>
        <x:v>7</x:v>
      </x:c>
      <x:c r="T857" s="119" t="n">
        <x:f>MIN(7,S857+'经济参数'!$E$70)</x:f>
        <x:v>7</x:v>
      </x:c>
      <x:c r="U857" s="119" t="n">
        <x:f>MIN(7,S857+'经济参数'!$E$71)</x:f>
        <x:v>7</x:v>
      </x:c>
      <x:c r="V857" s="119" t="n">
        <x:f>IF(H857&gt;=('难度参数'!$E$52),1,0)+IF(H857&gt;=('难度参数'!$E$52+'难度参数'!$E$53),1,0)+IF(H857&gt;=('难度参数'!$E$52+'难度参数'!$E$53+'难度参数'!$E$54),1,0)+IF(H857&gt;=('难度参数'!$E$52+'难度参数'!$E$53+'难度参数'!$E$54+'难度参数'!$E$55),1,0)+IF(H857&gt;=('难度参数'!$E$52+'难度参数'!$E$53+'难度参数'!$E$54+'难度参数'!$E$55+'难度参数'!$E$56),1,0)+IF(H857&gt;=('难度参数'!$E$52+'难度参数'!$E$53+'难度参数'!$E$54+'难度参数'!$E$55+'难度参数'!$E$56+'难度参数'!$E$57),1,0)</x:f>
        <x:v>6</x:v>
      </x:c>
      <x:c r="W857" s="62" t="str">
        <x:f>IF(L857&gt;'难度参数'!$E$51,"仅出怪已超目标","还需实测")</x:f>
        <x:v>仅出怪已超目标</x:v>
      </x:c>
      <x:c r="X857" s="119" t="n">
        <x:f>IF(1&gt;D857,0,MAX(2,MIN('难度参数'!$E$12,ROUND(('难度参数'!$E$18*POWER(A857,'难度参数'!$E$19)/D857*(0.85+0.3*(1-1)/MAX(1,D857-1))),0)+F857)))</x:f>
        <x:v>42</x:v>
      </x:c>
      <x:c r="Y857" s="119" t="n">
        <x:f>IF(1&gt;D857,0,ROUND(('难度参数'!$E$13*POWER(A857,'难度参数'!$E$20)*MIN('难度参数'!$E$23,1+MAX(0,A857-'难度参数'!$E$21)*'难度参数'!$E$22))*(36+1*7)/(36+7*(D857+1)/2)*E857,0))</x:f>
        <x:v>11673</x:v>
      </x:c>
      <x:c r="Z857" s="119" t="n">
        <x:f>IF(X857=0,0,(X857-IF(1=D857,1,0))*ROUND(Y857*VLOOKUP(INDEX('章节与怪物'!$E$31:$K$37,B857,1),'章节与怪物'!$A$41:$F$44,2,FALSE),0)+IF(1=D857,ROUND(Y857*'难度参数'!$E$28*'章节与怪物'!$E$17,0),0))</x:f>
        <x:v>490266</x:v>
      </x:c>
      <x:c r="AA857" s="119" t="n">
        <x:f>IF(X857=0,0,(X857-IF(1=D857,1,0))*VLOOKUP(INDEX('章节与怪物'!$E$31:$K$37,B857,1),'章节与怪物'!$A$41:$F$44,4,FALSE)+IF(1=D857,'难度参数'!$E$30,0))</x:f>
        <x:v>756</x:v>
      </x:c>
      <x:c r="AB857" s="119" t="n">
        <x:f>IF(2&gt;D857,0,MAX(2,MIN('难度参数'!$E$12,ROUND(('难度参数'!$E$18*POWER(A857,'难度参数'!$E$19)/D857*(0.85+0.3*(2-1)/MAX(1,D857-1))),0)+F857)))</x:f>
        <x:v>45</x:v>
      </x:c>
      <x:c r="AC857" s="119" t="n">
        <x:f>IF(2&gt;D857,0,ROUND(('难度参数'!$E$13*POWER(A857,'难度参数'!$E$20)*MIN('难度参数'!$E$23,1+MAX(0,A857-'难度参数'!$E$21)*'难度参数'!$E$22))*(36+2*7)/(36+7*(D857+1)/2)*E857,0))</x:f>
        <x:v>13573</x:v>
      </x:c>
      <x:c r="AD857" s="119" t="n">
        <x:f>IF(AB857=0,0,(AB857-IF(2=D857,1,0))*ROUND(AC857*VLOOKUP(INDEX('章节与怪物'!$E$31:$K$37,B857,2),'章节与怪物'!$A$41:$F$44,2,FALSE),0)+IF(2=D857,ROUND(AC857*'难度参数'!$E$28*'章节与怪物'!$E$17,0),0))</x:f>
        <x:v>439785</x:v>
      </x:c>
      <x:c r="AE857" s="119" t="n">
        <x:f>IF(AB857=0,0,(AB857-IF(2=D857,1,0))*VLOOKUP(INDEX('章节与怪物'!$E$31:$K$37,B857,2),'章节与怪物'!$A$41:$F$44,4,FALSE)+IF(2=D857,'难度参数'!$E$30,0))</x:f>
        <x:v>900</x:v>
      </x:c>
      <x:c r="AF857" s="119" t="n">
        <x:f>IF(3&gt;D857,0,MAX(2,MIN('难度参数'!$E$12,ROUND(('难度参数'!$E$18*POWER(A857,'难度参数'!$E$19)/D857*(0.85+0.3*(3-1)/MAX(1,D857-1))),0)+F857)))</x:f>
        <x:v>47</x:v>
      </x:c>
      <x:c r="AG857" s="119" t="n">
        <x:f>IF(3&gt;D857,0,ROUND(('难度参数'!$E$13*POWER(A857,'难度参数'!$E$20)*MIN('难度参数'!$E$23,1+MAX(0,A857-'难度参数'!$E$21)*'难度参数'!$E$22))*(36+3*7)/(36+7*(D857+1)/2)*E857,0))</x:f>
        <x:v>15473</x:v>
      </x:c>
      <x:c r="AH857" s="119" t="n">
        <x:f>IF(AF857=0,0,(AF857-IF(3=D857,1,0))*ROUND(AG857*VLOOKUP(INDEX('章节与怪物'!$E$31:$K$37,B857,3),'章节与怪物'!$A$41:$F$44,2,FALSE),0)+IF(3=D857,ROUND(AG857*'难度参数'!$E$28*'章节与怪物'!$E$17,0),0))</x:f>
        <x:v>1236288</x:v>
      </x:c>
      <x:c r="AI857" s="119" t="n">
        <x:f>IF(AF857=0,0,(AF857-IF(3=D857,1,0))*VLOOKUP(INDEX('章节与怪物'!$E$31:$K$37,B857,3),'章节与怪物'!$A$41:$F$44,4,FALSE)+IF(3=D857,'难度参数'!$E$30,0))</x:f>
        <x:v>1316</x:v>
      </x:c>
      <x:c r="AJ857" s="119" t="n">
        <x:f>IF(4&gt;D857,0,MAX(2,MIN('难度参数'!$E$12,ROUND(('难度参数'!$E$18*POWER(A857,'难度参数'!$E$19)/D857*(0.85+0.3*(4-1)/MAX(1,D857-1))),0)+F857)))</x:f>
        <x:v>50</x:v>
      </x:c>
      <x:c r="AK857" s="119" t="n">
        <x:f>IF(4&gt;D857,0,ROUND(('难度参数'!$E$13*POWER(A857,'难度参数'!$E$20)*MIN('难度参数'!$E$23,1+MAX(0,A857-'难度参数'!$E$21)*'难度参数'!$E$22))*(36+4*7)/(36+7*(D857+1)/2)*E857,0))</x:f>
        <x:v>17373</x:v>
      </x:c>
      <x:c r="AL857" s="119" t="n">
        <x:f>IF(AJ857=0,0,(AJ857-IF(4=D857,1,0))*ROUND(AK857*VLOOKUP(INDEX('章节与怪物'!$E$31:$K$37,B857,4),'章节与怪物'!$A$41:$F$44,2,FALSE),0)+IF(4=D857,ROUND(AK857*'难度参数'!$E$28*'章节与怪物'!$E$17,0),0))</x:f>
        <x:v>1172700</x:v>
      </x:c>
      <x:c r="AM857" s="119" t="n">
        <x:f>IF(AJ857=0,0,(AJ857-IF(4=D857,1,0))*VLOOKUP(INDEX('章节与怪物'!$E$31:$K$37,B857,4),'章节与怪物'!$A$41:$F$44,4,FALSE)+IF(4=D857,'难度参数'!$E$30,0))</x:f>
        <x:v>1700</x:v>
      </x:c>
      <x:c r="AN857" s="119" t="n">
        <x:f>IF(5&gt;D857,0,MAX(2,MIN('难度参数'!$E$12,ROUND(('难度参数'!$E$18*POWER(A857,'难度参数'!$E$19)/D857*(0.85+0.3*(5-1)/MAX(1,D857-1))),0)+F857)))</x:f>
        <x:v>52</x:v>
      </x:c>
      <x:c r="AO857" s="119" t="n">
        <x:f>IF(5&gt;D857,0,ROUND(('难度参数'!$E$13*POWER(A857,'难度参数'!$E$20)*MIN('难度参数'!$E$23,1+MAX(0,A857-'难度参数'!$E$21)*'难度参数'!$E$22))*(36+5*7)/(36+7*(D857+1)/2)*E857,0))</x:f>
        <x:v>19274</x:v>
      </x:c>
      <x:c r="AP857" s="119" t="n">
        <x:f>IF(AN857=0,0,(AN857-IF(5=D857,1,0))*ROUND(AO857*VLOOKUP(INDEX('章节与怪物'!$E$31:$K$37,B857,5),'章节与怪物'!$A$41:$F$44,2,FALSE),0)+IF(5=D857,ROUND(AO857*'难度参数'!$E$28*'章节与怪物'!$E$17,0),0))</x:f>
        <x:v>721604</x:v>
      </x:c>
      <x:c r="AQ857" s="119" t="n">
        <x:f>IF(AN857=0,0,(AN857-IF(5=D857,1,0))*VLOOKUP(INDEX('章节与怪物'!$E$31:$K$37,B857,5),'章节与怪物'!$A$41:$F$44,4,FALSE)+IF(5=D857,'难度参数'!$E$30,0))</x:f>
        <x:v>1040</x:v>
      </x:c>
      <x:c r="AR857" s="119" t="n">
        <x:f>IF(6&gt;D857,0,MAX(2,MIN('难度参数'!$E$12,ROUND(('难度参数'!$E$18*POWER(A857,'难度参数'!$E$19)/D857*(0.85+0.3*(6-1)/MAX(1,D857-1))),0)+F857)))</x:f>
        <x:v>55</x:v>
      </x:c>
      <x:c r="AS857" s="119" t="n">
        <x:f>IF(6&gt;D857,0,ROUND(('难度参数'!$E$13*POWER(A857,'难度参数'!$E$20)*MIN('难度参数'!$E$23,1+MAX(0,A857-'难度参数'!$E$21)*'难度参数'!$E$22))*(36+6*7)/(36+7*(D857+1)/2)*E857,0))</x:f>
        <x:v>21174</x:v>
      </x:c>
      <x:c r="AT857" s="119" t="n">
        <x:f>IF(AR857=0,0,(AR857-IF(6=D857,1,0))*ROUND(AS857*VLOOKUP(INDEX('章节与怪物'!$E$31:$K$37,B857,6),'章节与怪物'!$A$41:$F$44,2,FALSE),0)+IF(6=D857,ROUND(AS857*'难度参数'!$E$28*'章节与怪物'!$E$17,0),0))</x:f>
        <x:v>1979780</x:v>
      </x:c>
      <x:c r="AU857" s="119" t="n">
        <x:f>IF(AR857=0,0,(AR857-IF(6=D857,1,0))*VLOOKUP(INDEX('章节与怪物'!$E$31:$K$37,B857,6),'章节与怪物'!$A$41:$F$44,4,FALSE)+IF(6=D857,'难度参数'!$E$30,0))</x:f>
        <x:v>1540</x:v>
      </x:c>
      <x:c r="AV857" s="119" t="n">
        <x:f>IF(7&gt;D857,0,MAX(2,MIN('难度参数'!$E$12,ROUND(('难度参数'!$E$18*POWER(A857,'难度参数'!$E$19)/D857*(0.85+0.3*(7-1)/MAX(1,D857-1))),0)+F857)))</x:f>
        <x:v>57</x:v>
      </x:c>
      <x:c r="AW857" s="119" t="n">
        <x:f>IF(7&gt;D857,0,ROUND(('难度参数'!$E$13*POWER(A857,'难度参数'!$E$20)*MIN('难度参数'!$E$23,1+MAX(0,A857-'难度参数'!$E$21)*'难度参数'!$E$22))*(36+7*7)/(36+7*(D857+1)/2)*E857,0))</x:f>
        <x:v>23074</x:v>
      </x:c>
      <x:c r="AX857" s="119" t="n">
        <x:f>IF(AV857=0,0,(AV857-IF(7=D857,1,0))*ROUND(AW857*VLOOKUP(INDEX('章节与怪物'!$E$31:$K$37,B857,7),'章节与怪物'!$A$41:$F$44,2,FALSE),0)+IF(7=D857,ROUND(AW857*'难度参数'!$E$28*'章节与怪物'!$E$17,0),0))</x:f>
        <x:v>1901303</x:v>
      </x:c>
      <x:c r="AY857" s="119" t="n">
        <x:f>IF(AV857=0,0,(AV857-IF(7=D857,1,0))*VLOOKUP(INDEX('章节与怪物'!$E$31:$K$37,B857,7),'章节与怪物'!$A$41:$F$44,4,FALSE)+IF(7=D857,'难度参数'!$E$30,0))</x:f>
        <x:v>2104</x:v>
      </x:c>
    </x:row>
    <x:row r="858" ht="23" customHeight="1">
      <x:c r="A858" s="119" t="n">
        <x:v>852</x:v>
      </x:c>
      <x:c r="B858" s="119" t="n">
        <x:f>MOD(INT((A858-1)/5),7)+1</x:f>
        <x:v>3</x:v>
      </x:c>
      <x:c r="C858" s="62" t="str">
        <x:f>INDEX('章节与怪物'!$B$31:$B$37,B858)</x:f>
        <x:v>腐沼秘林</x:v>
      </x:c>
      <x:c r="D858" s="119" t="n">
        <x:f>MIN('难度参数'!$E$8,MAX('难度参数'!$E$7,A858))</x:f>
        <x:v>7</x:v>
      </x:c>
      <x:c r="E858" s="106" t="n">
        <x:v>1</x:v>
      </x:c>
      <x:c r="F858" s="106" t="n">
        <x:v>0</x:v>
      </x:c>
      <x:c r="G858" s="106" t="n">
        <x:v>1</x:v>
      </x:c>
      <x:c r="H858" s="119" t="n">
        <x:f>SUM(X858,AB858,AF858,AJ858,AN858,AR858,AV858)</x:f>
        <x:v>352</x:v>
      </x:c>
      <x:c r="I858" s="119" t="n">
        <x:f>SUM(Z858,AD858,AH858,AL858,AP858,AT858,AX858)</x:f>
        <x:v>8031428</x:v>
      </x:c>
      <x:c r="J858" s="119" t="n">
        <x:f>ROUND(INDEX(X858:AY858,1,(D858-1)*4+2)*'难度参数'!$E$28*'章节与怪物'!$E$17,0)</x:f>
        <x:v>157032</x:v>
      </x:c>
      <x:c r="K858" s="119" t="n">
        <x:f>SUM(AA858,AE858,AI858,AM858,AQ858,AU858,AY858)</x:f>
        <x:v>9456</x:v>
      </x:c>
      <x:c r="L858" s="62" t="n">
        <x:f>H858*(ROUNDUP('难度参数'!$E$24/('难度参数'!$E$26*'难度参数'!$E$27),0)*'难度参数'!$E$26)/60</x:f>
        <x:v>4.693333333333333</x:v>
      </x:c>
      <x:c r="M858" s="62" t="n">
        <x:f>L858+D858*('难度参数'!$E$49+'难度参数'!$E$50)/60</x:f>
        <x:v>5.86</x:v>
      </x:c>
      <x:c r="N858" s="119" t="n">
        <x:f>ROUNDDOWN(('经济参数'!$E$20+A858*'经济参数'!$E$21)*G858,0)</x:f>
        <x:v>17220</x:v>
      </x:c>
      <x:c r="O858" s="119" t="n">
        <x:f>ROUNDDOWN(MIN('经济参数'!$E$24,'经济参数'!$E$22+A858*'经济参数'!$E$23)*G858,0)</x:f>
        <x:v>0</x:v>
      </x:c>
      <x:c r="P858" s="119" t="n">
        <x:f>ROUNDDOWN((IF(A858&gt;='材料与任务'!$E$31,'材料与任务'!$E$32,IF(A858&gt;='材料与任务'!$E$25,'材料与任务'!$E$26,IF(A858&gt;='材料与任务'!$E$19,'材料与任务'!$E$20,IF(A858&gt;='材料与任务'!$E$13,'材料与任务'!$E$14,'材料与任务'!$E$8)))))*G858,0)</x:f>
        <x:v>6</x:v>
      </x:c>
      <x:c r="Q858" s="119" t="n">
        <x:f>ROUNDDOWN((IF(A858&gt;='材料与任务'!$E$31,'材料与任务'!$E$33,IF(A858&gt;='材料与任务'!$E$25,'材料与任务'!$E$27,IF(A858&gt;='材料与任务'!$E$19,'材料与任务'!$E$21,IF(A858&gt;='材料与任务'!$E$13,'材料与任务'!$E$15,'材料与任务'!$E$9)))))*G858,0)</x:f>
        <x:v>3</x:v>
      </x:c>
      <x:c r="R858" s="110" t="n">
        <x:f>'装备掉落'!$B$38</x:f>
        <x:v>0.6872058758851213</x:v>
      </x:c>
      <x:c r="S858" s="119" t="n">
        <x:f>MAX(IF(VLOOKUP(A858,'装备掉落'!$A$29:$H$34,2,TRUE)&gt;0,1,0),IF(VLOOKUP(A858,'装备掉落'!$A$29:$H$34,3,TRUE)&gt;0,2,0),IF(VLOOKUP(A858,'装备掉落'!$A$29:$H$34,4,TRUE)&gt;0,3,0),IF(VLOOKUP(A858,'装备掉落'!$A$29:$H$34,5,TRUE)&gt;0,4,0),IF(VLOOKUP(A858,'装备掉落'!$A$29:$H$34,6,TRUE)&gt;0,5,0),IF(VLOOKUP(A858,'装备掉落'!$A$29:$H$34,7,TRUE)&gt;0,6,0),IF(VLOOKUP(A858,'装备掉落'!$A$29:$H$34,8,TRUE)&gt;0,7,0))</x:f>
        <x:v>7</x:v>
      </x:c>
      <x:c r="T858" s="119" t="n">
        <x:f>MIN(7,S858+'经济参数'!$E$70)</x:f>
        <x:v>7</x:v>
      </x:c>
      <x:c r="U858" s="119" t="n">
        <x:f>MIN(7,S858+'经济参数'!$E$71)</x:f>
        <x:v>7</x:v>
      </x:c>
      <x:c r="V858" s="119" t="n">
        <x:f>IF(H858&gt;=('难度参数'!$E$52),1,0)+IF(H858&gt;=('难度参数'!$E$52+'难度参数'!$E$53),1,0)+IF(H858&gt;=('难度参数'!$E$52+'难度参数'!$E$53+'难度参数'!$E$54),1,0)+IF(H858&gt;=('难度参数'!$E$52+'难度参数'!$E$53+'难度参数'!$E$54+'难度参数'!$E$55),1,0)+IF(H858&gt;=('难度参数'!$E$52+'难度参数'!$E$53+'难度参数'!$E$54+'难度参数'!$E$55+'难度参数'!$E$56),1,0)+IF(H858&gt;=('难度参数'!$E$52+'难度参数'!$E$53+'难度参数'!$E$54+'难度参数'!$E$55+'难度参数'!$E$56+'难度参数'!$E$57),1,0)</x:f>
        <x:v>6</x:v>
      </x:c>
      <x:c r="W858" s="62" t="str">
        <x:f>IF(L858&gt;'难度参数'!$E$51,"仅出怪已超目标","还需实测")</x:f>
        <x:v>仅出怪已超目标</x:v>
      </x:c>
      <x:c r="X858" s="119" t="n">
        <x:f>IF(1&gt;D858,0,MAX(2,MIN('难度参数'!$E$12,ROUND(('难度参数'!$E$18*POWER(A858,'难度参数'!$E$19)/D858*(0.85+0.3*(1-1)/MAX(1,D858-1))),0)+F858)))</x:f>
        <x:v>43</x:v>
      </x:c>
      <x:c r="Y858" s="119" t="n">
        <x:f>IF(1&gt;D858,0,ROUND(('难度参数'!$E$13*POWER(A858,'难度参数'!$E$20)*MIN('难度参数'!$E$23,1+MAX(0,A858-'难度参数'!$E$21)*'难度参数'!$E$22))*(36+1*7)/(36+7*(D858+1)/2)*E858,0))</x:f>
        <x:v>11683</x:v>
      </x:c>
      <x:c r="Z858" s="119" t="n">
        <x:f>IF(X858=0,0,(X858-IF(1=D858,1,0))*ROUND(Y858*VLOOKUP(INDEX('章节与怪物'!$E$31:$K$37,B858,1),'章节与怪物'!$A$41:$F$44,2,FALSE),0)+IF(1=D858,ROUND(Y858*'难度参数'!$E$28*'章节与怪物'!$E$17,0),0))</x:f>
        <x:v>502369</x:v>
      </x:c>
      <x:c r="AA858" s="119" t="n">
        <x:f>IF(X858=0,0,(X858-IF(1=D858,1,0))*VLOOKUP(INDEX('章节与怪物'!$E$31:$K$37,B858,1),'章节与怪物'!$A$41:$F$44,4,FALSE)+IF(1=D858,'难度参数'!$E$30,0))</x:f>
        <x:v>774</x:v>
      </x:c>
      <x:c r="AB858" s="119" t="n">
        <x:f>IF(2&gt;D858,0,MAX(2,MIN('难度参数'!$E$12,ROUND(('难度参数'!$E$18*POWER(A858,'难度参数'!$E$19)/D858*(0.85+0.3*(2-1)/MAX(1,D858-1))),0)+F858)))</x:f>
        <x:v>45</x:v>
      </x:c>
      <x:c r="AC858" s="119" t="n">
        <x:f>IF(2&gt;D858,0,ROUND(('难度参数'!$E$13*POWER(A858,'难度参数'!$E$20)*MIN('难度参数'!$E$23,1+MAX(0,A858-'难度参数'!$E$21)*'难度参数'!$E$22))*(36+2*7)/(36+7*(D858+1)/2)*E858,0))</x:f>
        <x:v>13584</x:v>
      </x:c>
      <x:c r="AD858" s="119" t="n">
        <x:f>IF(AB858=0,0,(AB858-IF(2=D858,1,0))*ROUND(AC858*VLOOKUP(INDEX('章节与怪物'!$E$31:$K$37,B858,2),'章节与怪物'!$A$41:$F$44,2,FALSE),0)+IF(2=D858,ROUND(AC858*'难度参数'!$E$28*'章节与怪物'!$E$17,0),0))</x:f>
        <x:v>440100</x:v>
      </x:c>
      <x:c r="AE858" s="119" t="n">
        <x:f>IF(AB858=0,0,(AB858-IF(2=D858,1,0))*VLOOKUP(INDEX('章节与怪物'!$E$31:$K$37,B858,2),'章节与怪物'!$A$41:$F$44,4,FALSE)+IF(2=D858,'难度参数'!$E$30,0))</x:f>
        <x:v>900</x:v>
      </x:c>
      <x:c r="AF858" s="119" t="n">
        <x:f>IF(3&gt;D858,0,MAX(2,MIN('难度参数'!$E$12,ROUND(('难度参数'!$E$18*POWER(A858,'难度参数'!$E$19)/D858*(0.85+0.3*(3-1)/MAX(1,D858-1))),0)+F858)))</x:f>
        <x:v>48</x:v>
      </x:c>
      <x:c r="AG858" s="119" t="n">
        <x:f>IF(3&gt;D858,0,ROUND(('难度参数'!$E$13*POWER(A858,'难度参数'!$E$20)*MIN('难度参数'!$E$23,1+MAX(0,A858-'难度参数'!$E$21)*'难度参数'!$E$22))*(36+3*7)/(36+7*(D858+1)/2)*E858,0))</x:f>
        <x:v>15486</x:v>
      </x:c>
      <x:c r="AH858" s="119" t="n">
        <x:f>IF(AF858=0,0,(AF858-IF(3=D858,1,0))*ROUND(AG858*VLOOKUP(INDEX('章节与怪物'!$E$31:$K$37,B858,3),'章节与怪物'!$A$41:$F$44,2,FALSE),0)+IF(3=D858,ROUND(AG858*'难度参数'!$E$28*'章节与怪物'!$E$17,0),0))</x:f>
        <x:v>1263648</x:v>
      </x:c>
      <x:c r="AI858" s="119" t="n">
        <x:f>IF(AF858=0,0,(AF858-IF(3=D858,1,0))*VLOOKUP(INDEX('章节与怪物'!$E$31:$K$37,B858,3),'章节与怪物'!$A$41:$F$44,4,FALSE)+IF(3=D858,'难度参数'!$E$30,0))</x:f>
        <x:v>1344</x:v>
      </x:c>
      <x:c r="AJ858" s="119" t="n">
        <x:f>IF(4&gt;D858,0,MAX(2,MIN('难度参数'!$E$12,ROUND(('难度参数'!$E$18*POWER(A858,'难度参数'!$E$19)/D858*(0.85+0.3*(4-1)/MAX(1,D858-1))),0)+F858)))</x:f>
        <x:v>50</x:v>
      </x:c>
      <x:c r="AK858" s="119" t="n">
        <x:f>IF(4&gt;D858,0,ROUND(('难度参数'!$E$13*POWER(A858,'难度参数'!$E$20)*MIN('难度参数'!$E$23,1+MAX(0,A858-'难度参数'!$E$21)*'难度参数'!$E$22))*(36+4*7)/(36+7*(D858+1)/2)*E858,0))</x:f>
        <x:v>17388</x:v>
      </x:c>
      <x:c r="AL858" s="119" t="n">
        <x:f>IF(AJ858=0,0,(AJ858-IF(4=D858,1,0))*ROUND(AK858*VLOOKUP(INDEX('章节与怪物'!$E$31:$K$37,B858,4),'章节与怪物'!$A$41:$F$44,2,FALSE),0)+IF(4=D858,ROUND(AK858*'难度参数'!$E$28*'章节与怪物'!$E$17,0),0))</x:f>
        <x:v>1173700</x:v>
      </x:c>
      <x:c r="AM858" s="119" t="n">
        <x:f>IF(AJ858=0,0,(AJ858-IF(4=D858,1,0))*VLOOKUP(INDEX('章节与怪物'!$E$31:$K$37,B858,4),'章节与怪物'!$A$41:$F$44,4,FALSE)+IF(4=D858,'难度参数'!$E$30,0))</x:f>
        <x:v>1700</x:v>
      </x:c>
      <x:c r="AN858" s="119" t="n">
        <x:f>IF(5&gt;D858,0,MAX(2,MIN('难度参数'!$E$12,ROUND(('难度参数'!$E$18*POWER(A858,'难度参数'!$E$19)/D858*(0.85+0.3*(5-1)/MAX(1,D858-1))),0)+F858)))</x:f>
        <x:v>53</x:v>
      </x:c>
      <x:c r="AO858" s="119" t="n">
        <x:f>IF(5&gt;D858,0,ROUND(('难度参数'!$E$13*POWER(A858,'难度参数'!$E$20)*MIN('难度参数'!$E$23,1+MAX(0,A858-'难度参数'!$E$21)*'难度参数'!$E$22))*(36+5*7)/(36+7*(D858+1)/2)*E858,0))</x:f>
        <x:v>19290</x:v>
      </x:c>
      <x:c r="AP858" s="119" t="n">
        <x:f>IF(AN858=0,0,(AN858-IF(5=D858,1,0))*ROUND(AO858*VLOOKUP(INDEX('章节与怪物'!$E$31:$K$37,B858,5),'章节与怪物'!$A$41:$F$44,2,FALSE),0)+IF(5=D858,ROUND(AO858*'难度参数'!$E$28*'章节与怪物'!$E$17,0),0))</x:f>
        <x:v>736117</x:v>
      </x:c>
      <x:c r="AQ858" s="119" t="n">
        <x:f>IF(AN858=0,0,(AN858-IF(5=D858,1,0))*VLOOKUP(INDEX('章节与怪物'!$E$31:$K$37,B858,5),'章节与怪物'!$A$41:$F$44,4,FALSE)+IF(5=D858,'难度参数'!$E$30,0))</x:f>
        <x:v>1060</x:v>
      </x:c>
      <x:c r="AR858" s="119" t="n">
        <x:f>IF(6&gt;D858,0,MAX(2,MIN('难度参数'!$E$12,ROUND(('难度参数'!$E$18*POWER(A858,'难度参数'!$E$19)/D858*(0.85+0.3*(6-1)/MAX(1,D858-1))),0)+F858)))</x:f>
        <x:v>55</x:v>
      </x:c>
      <x:c r="AS858" s="119" t="n">
        <x:f>IF(6&gt;D858,0,ROUND(('难度参数'!$E$13*POWER(A858,'难度参数'!$E$20)*MIN('难度参数'!$E$23,1+MAX(0,A858-'难度参数'!$E$21)*'难度参数'!$E$22))*(36+6*7)/(36+7*(D858+1)/2)*E858,0))</x:f>
        <x:v>21192</x:v>
      </x:c>
      <x:c r="AT858" s="119" t="n">
        <x:f>IF(AR858=0,0,(AR858-IF(6=D858,1,0))*ROUND(AS858*VLOOKUP(INDEX('章节与怪物'!$E$31:$K$37,B858,6),'章节与怪物'!$A$41:$F$44,2,FALSE),0)+IF(6=D858,ROUND(AS858*'难度参数'!$E$28*'章节与怪物'!$E$17,0),0))</x:f>
        <x:v>1981430</x:v>
      </x:c>
      <x:c r="AU858" s="119" t="n">
        <x:f>IF(AR858=0,0,(AR858-IF(6=D858,1,0))*VLOOKUP(INDEX('章节与怪物'!$E$31:$K$37,B858,6),'章节与怪物'!$A$41:$F$44,4,FALSE)+IF(6=D858,'难度参数'!$E$30,0))</x:f>
        <x:v>1540</x:v>
      </x:c>
      <x:c r="AV858" s="119" t="n">
        <x:f>IF(7&gt;D858,0,MAX(2,MIN('难度参数'!$E$12,ROUND(('难度参数'!$E$18*POWER(A858,'难度参数'!$E$19)/D858*(0.85+0.3*(7-1)/MAX(1,D858-1))),0)+F858)))</x:f>
        <x:v>58</x:v>
      </x:c>
      <x:c r="AW858" s="119" t="n">
        <x:f>IF(7&gt;D858,0,ROUND(('难度参数'!$E$13*POWER(A858,'难度参数'!$E$20)*MIN('难度参数'!$E$23,1+MAX(0,A858-'难度参数'!$E$21)*'难度参数'!$E$22))*(36+7*7)/(36+7*(D858+1)/2)*E858,0))</x:f>
        <x:v>23093</x:v>
      </x:c>
      <x:c r="AX858" s="119" t="n">
        <x:f>IF(AV858=0,0,(AV858-IF(7=D858,1,0))*ROUND(AW858*VLOOKUP(INDEX('章节与怪物'!$E$31:$K$37,B858,7),'章节与怪物'!$A$41:$F$44,2,FALSE),0)+IF(7=D858,ROUND(AW858*'难度参数'!$E$28*'章节与怪物'!$E$17,0),0))</x:f>
        <x:v>1934064</x:v>
      </x:c>
      <x:c r="AY858" s="119" t="n">
        <x:f>IF(AV858=0,0,(AV858-IF(7=D858,1,0))*VLOOKUP(INDEX('章节与怪物'!$E$31:$K$37,B858,7),'章节与怪物'!$A$41:$F$44,4,FALSE)+IF(7=D858,'难度参数'!$E$30,0))</x:f>
        <x:v>2138</x:v>
      </x:c>
    </x:row>
    <x:row r="859" ht="23" customHeight="1">
      <x:c r="A859" s="119" t="n">
        <x:v>853</x:v>
      </x:c>
      <x:c r="B859" s="119" t="n">
        <x:f>MOD(INT((A859-1)/5),7)+1</x:f>
        <x:v>3</x:v>
      </x:c>
      <x:c r="C859" s="62" t="str">
        <x:f>INDEX('章节与怪物'!$B$31:$B$37,B859)</x:f>
        <x:v>腐沼秘林</x:v>
      </x:c>
      <x:c r="D859" s="119" t="n">
        <x:f>MIN('难度参数'!$E$8,MAX('难度参数'!$E$7,A859))</x:f>
        <x:v>7</x:v>
      </x:c>
      <x:c r="E859" s="106" t="n">
        <x:v>1</x:v>
      </x:c>
      <x:c r="F859" s="106" t="n">
        <x:v>0</x:v>
      </x:c>
      <x:c r="G859" s="106" t="n">
        <x:v>1</x:v>
      </x:c>
      <x:c r="H859" s="119" t="n">
        <x:f>SUM(X859,AB859,AF859,AJ859,AN859,AR859,AV859)</x:f>
        <x:v>352</x:v>
      </x:c>
      <x:c r="I859" s="119" t="n">
        <x:f>SUM(Z859,AD859,AH859,AL859,AP859,AT859,AX859)</x:f>
        <x:v>8038239</x:v>
      </x:c>
      <x:c r="J859" s="119" t="n">
        <x:f>ROUND(INDEX(X859:AY859,1,(D859-1)*4+2)*'难度参数'!$E$28*'章节与怪物'!$E$17,0)</x:f>
        <x:v>157168</x:v>
      </x:c>
      <x:c r="K859" s="119" t="n">
        <x:f>SUM(AA859,AE859,AI859,AM859,AQ859,AU859,AY859)</x:f>
        <x:v>9456</x:v>
      </x:c>
      <x:c r="L859" s="62" t="n">
        <x:f>H859*(ROUNDUP('难度参数'!$E$24/('难度参数'!$E$26*'难度参数'!$E$27),0)*'难度参数'!$E$26)/60</x:f>
        <x:v>4.693333333333333</x:v>
      </x:c>
      <x:c r="M859" s="62" t="n">
        <x:f>L859+D859*('难度参数'!$E$49+'难度参数'!$E$50)/60</x:f>
        <x:v>5.86</x:v>
      </x:c>
      <x:c r="N859" s="119" t="n">
        <x:f>ROUNDDOWN(('经济参数'!$E$20+A859*'经济参数'!$E$21)*G859,0)</x:f>
        <x:v>17240</x:v>
      </x:c>
      <x:c r="O859" s="119" t="n">
        <x:f>ROUNDDOWN(MIN('经济参数'!$E$24,'经济参数'!$E$22+A859*'经济参数'!$E$23)*G859,0)</x:f>
        <x:v>0</x:v>
      </x:c>
      <x:c r="P859" s="119" t="n">
        <x:f>ROUNDDOWN((IF(A859&gt;='材料与任务'!$E$31,'材料与任务'!$E$32,IF(A859&gt;='材料与任务'!$E$25,'材料与任务'!$E$26,IF(A859&gt;='材料与任务'!$E$19,'材料与任务'!$E$20,IF(A859&gt;='材料与任务'!$E$13,'材料与任务'!$E$14,'材料与任务'!$E$8)))))*G859,0)</x:f>
        <x:v>6</x:v>
      </x:c>
      <x:c r="Q859" s="119" t="n">
        <x:f>ROUNDDOWN((IF(A859&gt;='材料与任务'!$E$31,'材料与任务'!$E$33,IF(A859&gt;='材料与任务'!$E$25,'材料与任务'!$E$27,IF(A859&gt;='材料与任务'!$E$19,'材料与任务'!$E$21,IF(A859&gt;='材料与任务'!$E$13,'材料与任务'!$E$15,'材料与任务'!$E$9)))))*G859,0)</x:f>
        <x:v>3</x:v>
      </x:c>
      <x:c r="R859" s="110" t="n">
        <x:f>'装备掉落'!$B$38</x:f>
        <x:v>0.6872058758851213</x:v>
      </x:c>
      <x:c r="S859" s="119" t="n">
        <x:f>MAX(IF(VLOOKUP(A859,'装备掉落'!$A$29:$H$34,2,TRUE)&gt;0,1,0),IF(VLOOKUP(A859,'装备掉落'!$A$29:$H$34,3,TRUE)&gt;0,2,0),IF(VLOOKUP(A859,'装备掉落'!$A$29:$H$34,4,TRUE)&gt;0,3,0),IF(VLOOKUP(A859,'装备掉落'!$A$29:$H$34,5,TRUE)&gt;0,4,0),IF(VLOOKUP(A859,'装备掉落'!$A$29:$H$34,6,TRUE)&gt;0,5,0),IF(VLOOKUP(A859,'装备掉落'!$A$29:$H$34,7,TRUE)&gt;0,6,0),IF(VLOOKUP(A859,'装备掉落'!$A$29:$H$34,8,TRUE)&gt;0,7,0))</x:f>
        <x:v>7</x:v>
      </x:c>
      <x:c r="T859" s="119" t="n">
        <x:f>MIN(7,S859+'经济参数'!$E$70)</x:f>
        <x:v>7</x:v>
      </x:c>
      <x:c r="U859" s="119" t="n">
        <x:f>MIN(7,S859+'经济参数'!$E$71)</x:f>
        <x:v>7</x:v>
      </x:c>
      <x:c r="V859" s="119" t="n">
        <x:f>IF(H859&gt;=('难度参数'!$E$52),1,0)+IF(H859&gt;=('难度参数'!$E$52+'难度参数'!$E$53),1,0)+IF(H859&gt;=('难度参数'!$E$52+'难度参数'!$E$53+'难度参数'!$E$54),1,0)+IF(H859&gt;=('难度参数'!$E$52+'难度参数'!$E$53+'难度参数'!$E$54+'难度参数'!$E$55),1,0)+IF(H859&gt;=('难度参数'!$E$52+'难度参数'!$E$53+'难度参数'!$E$54+'难度参数'!$E$55+'难度参数'!$E$56),1,0)+IF(H859&gt;=('难度参数'!$E$52+'难度参数'!$E$53+'难度参数'!$E$54+'难度参数'!$E$55+'难度参数'!$E$56+'难度参数'!$E$57),1,0)</x:f>
        <x:v>6</x:v>
      </x:c>
      <x:c r="W859" s="62" t="str">
        <x:f>IF(L859&gt;'难度参数'!$E$51,"仅出怪已超目标","还需实测")</x:f>
        <x:v>仅出怪已超目标</x:v>
      </x:c>
      <x:c r="X859" s="119" t="n">
        <x:f>IF(1&gt;D859,0,MAX(2,MIN('难度参数'!$E$12,ROUND(('难度参数'!$E$18*POWER(A859,'难度参数'!$E$19)/D859*(0.85+0.3*(1-1)/MAX(1,D859-1))),0)+F859)))</x:f>
        <x:v>43</x:v>
      </x:c>
      <x:c r="Y859" s="119" t="n">
        <x:f>IF(1&gt;D859,0,ROUND(('难度参数'!$E$13*POWER(A859,'难度参数'!$E$20)*MIN('难度参数'!$E$23,1+MAX(0,A859-'难度参数'!$E$21)*'难度参数'!$E$22))*(36+1*7)/(36+7*(D859+1)/2)*E859,0))</x:f>
        <x:v>11692</x:v>
      </x:c>
      <x:c r="Z859" s="119" t="n">
        <x:f>IF(X859=0,0,(X859-IF(1=D859,1,0))*ROUND(Y859*VLOOKUP(INDEX('章节与怪物'!$E$31:$K$37,B859,1),'章节与怪物'!$A$41:$F$44,2,FALSE),0)+IF(1=D859,ROUND(Y859*'难度参数'!$E$28*'章节与怪物'!$E$17,0),0))</x:f>
        <x:v>502756</x:v>
      </x:c>
      <x:c r="AA859" s="119" t="n">
        <x:f>IF(X859=0,0,(X859-IF(1=D859,1,0))*VLOOKUP(INDEX('章节与怪物'!$E$31:$K$37,B859,1),'章节与怪物'!$A$41:$F$44,4,FALSE)+IF(1=D859,'难度参数'!$E$30,0))</x:f>
        <x:v>774</x:v>
      </x:c>
      <x:c r="AB859" s="119" t="n">
        <x:f>IF(2&gt;D859,0,MAX(2,MIN('难度参数'!$E$12,ROUND(('难度参数'!$E$18*POWER(A859,'难度参数'!$E$19)/D859*(0.85+0.3*(2-1)/MAX(1,D859-1))),0)+F859)))</x:f>
        <x:v>45</x:v>
      </x:c>
      <x:c r="AC859" s="119" t="n">
        <x:f>IF(2&gt;D859,0,ROUND(('难度参数'!$E$13*POWER(A859,'难度参数'!$E$20)*MIN('难度参数'!$E$23,1+MAX(0,A859-'难度参数'!$E$21)*'难度参数'!$E$22))*(36+2*7)/(36+7*(D859+1)/2)*E859,0))</x:f>
        <x:v>13596</x:v>
      </x:c>
      <x:c r="AD859" s="119" t="n">
        <x:f>IF(AB859=0,0,(AB859-IF(2=D859,1,0))*ROUND(AC859*VLOOKUP(INDEX('章节与怪物'!$E$31:$K$37,B859,2),'章节与怪物'!$A$41:$F$44,2,FALSE),0)+IF(2=D859,ROUND(AC859*'难度参数'!$E$28*'章节与怪物'!$E$17,0),0))</x:f>
        <x:v>440505</x:v>
      </x:c>
      <x:c r="AE859" s="119" t="n">
        <x:f>IF(AB859=0,0,(AB859-IF(2=D859,1,0))*VLOOKUP(INDEX('章节与怪物'!$E$31:$K$37,B859,2),'章节与怪物'!$A$41:$F$44,4,FALSE)+IF(2=D859,'难度参数'!$E$30,0))</x:f>
        <x:v>900</x:v>
      </x:c>
      <x:c r="AF859" s="119" t="n">
        <x:f>IF(3&gt;D859,0,MAX(2,MIN('难度参数'!$E$12,ROUND(('难度参数'!$E$18*POWER(A859,'难度参数'!$E$19)/D859*(0.85+0.3*(3-1)/MAX(1,D859-1))),0)+F859)))</x:f>
        <x:v>48</x:v>
      </x:c>
      <x:c r="AG859" s="119" t="n">
        <x:f>IF(3&gt;D859,0,ROUND(('难度参数'!$E$13*POWER(A859,'难度参数'!$E$20)*MIN('难度参数'!$E$23,1+MAX(0,A859-'难度参数'!$E$21)*'难度参数'!$E$22))*(36+3*7)/(36+7*(D859+1)/2)*E859,0))</x:f>
        <x:v>15499</x:v>
      </x:c>
      <x:c r="AH859" s="119" t="n">
        <x:f>IF(AF859=0,0,(AF859-IF(3=D859,1,0))*ROUND(AG859*VLOOKUP(INDEX('章节与怪物'!$E$31:$K$37,B859,3),'章节与怪物'!$A$41:$F$44,2,FALSE),0)+IF(3=D859,ROUND(AG859*'难度参数'!$E$28*'章节与怪物'!$E$17,0),0))</x:f>
        <x:v>1264704</x:v>
      </x:c>
      <x:c r="AI859" s="119" t="n">
        <x:f>IF(AF859=0,0,(AF859-IF(3=D859,1,0))*VLOOKUP(INDEX('章节与怪物'!$E$31:$K$37,B859,3),'章节与怪物'!$A$41:$F$44,4,FALSE)+IF(3=D859,'难度参数'!$E$30,0))</x:f>
        <x:v>1344</x:v>
      </x:c>
      <x:c r="AJ859" s="119" t="n">
        <x:f>IF(4&gt;D859,0,MAX(2,MIN('难度参数'!$E$12,ROUND(('难度参数'!$E$18*POWER(A859,'难度参数'!$E$19)/D859*(0.85+0.3*(4-1)/MAX(1,D859-1))),0)+F859)))</x:f>
        <x:v>50</x:v>
      </x:c>
      <x:c r="AK859" s="119" t="n">
        <x:f>IF(4&gt;D859,0,ROUND(('难度参数'!$E$13*POWER(A859,'难度参数'!$E$20)*MIN('难度参数'!$E$23,1+MAX(0,A859-'难度参数'!$E$21)*'难度参数'!$E$22))*(36+4*7)/(36+7*(D859+1)/2)*E859,0))</x:f>
        <x:v>17403</x:v>
      </x:c>
      <x:c r="AL859" s="119" t="n">
        <x:f>IF(AJ859=0,0,(AJ859-IF(4=D859,1,0))*ROUND(AK859*VLOOKUP(INDEX('章节与怪物'!$E$31:$K$37,B859,4),'章节与怪物'!$A$41:$F$44,2,FALSE),0)+IF(4=D859,ROUND(AK859*'难度参数'!$E$28*'章节与怪物'!$E$17,0),0))</x:f>
        <x:v>1174700</x:v>
      </x:c>
      <x:c r="AM859" s="119" t="n">
        <x:f>IF(AJ859=0,0,(AJ859-IF(4=D859,1,0))*VLOOKUP(INDEX('章节与怪物'!$E$31:$K$37,B859,4),'章节与怪物'!$A$41:$F$44,4,FALSE)+IF(4=D859,'难度参数'!$E$30,0))</x:f>
        <x:v>1700</x:v>
      </x:c>
      <x:c r="AN859" s="119" t="n">
        <x:f>IF(5&gt;D859,0,MAX(2,MIN('难度参数'!$E$12,ROUND(('难度参数'!$E$18*POWER(A859,'难度参数'!$E$19)/D859*(0.85+0.3*(5-1)/MAX(1,D859-1))),0)+F859)))</x:f>
        <x:v>53</x:v>
      </x:c>
      <x:c r="AO859" s="119" t="n">
        <x:f>IF(5&gt;D859,0,ROUND(('难度参数'!$E$13*POWER(A859,'难度参数'!$E$20)*MIN('难度参数'!$E$23,1+MAX(0,A859-'难度参数'!$E$21)*'难度参数'!$E$22))*(36+5*7)/(36+7*(D859+1)/2)*E859,0))</x:f>
        <x:v>19306</x:v>
      </x:c>
      <x:c r="AP859" s="119" t="n">
        <x:f>IF(AN859=0,0,(AN859-IF(5=D859,1,0))*ROUND(AO859*VLOOKUP(INDEX('章节与怪物'!$E$31:$K$37,B859,5),'章节与怪物'!$A$41:$F$44,2,FALSE),0)+IF(5=D859,ROUND(AO859*'难度参数'!$E$28*'章节与怪物'!$E$17,0),0))</x:f>
        <x:v>736700</x:v>
      </x:c>
      <x:c r="AQ859" s="119" t="n">
        <x:f>IF(AN859=0,0,(AN859-IF(5=D859,1,0))*VLOOKUP(INDEX('章节与怪物'!$E$31:$K$37,B859,5),'章节与怪物'!$A$41:$F$44,4,FALSE)+IF(5=D859,'难度参数'!$E$30,0))</x:f>
        <x:v>1060</x:v>
      </x:c>
      <x:c r="AR859" s="119" t="n">
        <x:f>IF(6&gt;D859,0,MAX(2,MIN('难度参数'!$E$12,ROUND(('难度参数'!$E$18*POWER(A859,'难度参数'!$E$19)/D859*(0.85+0.3*(6-1)/MAX(1,D859-1))),0)+F859)))</x:f>
        <x:v>55</x:v>
      </x:c>
      <x:c r="AS859" s="119" t="n">
        <x:f>IF(6&gt;D859,0,ROUND(('难度参数'!$E$13*POWER(A859,'难度参数'!$E$20)*MIN('难度参数'!$E$23,1+MAX(0,A859-'难度参数'!$E$21)*'难度参数'!$E$22))*(36+6*7)/(36+7*(D859+1)/2)*E859,0))</x:f>
        <x:v>21210</x:v>
      </x:c>
      <x:c r="AT859" s="119" t="n">
        <x:f>IF(AR859=0,0,(AR859-IF(6=D859,1,0))*ROUND(AS859*VLOOKUP(INDEX('章节与怪物'!$E$31:$K$37,B859,6),'章节与怪物'!$A$41:$F$44,2,FALSE),0)+IF(6=D859,ROUND(AS859*'难度参数'!$E$28*'章节与怪物'!$E$17,0),0))</x:f>
        <x:v>1983135</x:v>
      </x:c>
      <x:c r="AU859" s="119" t="n">
        <x:f>IF(AR859=0,0,(AR859-IF(6=D859,1,0))*VLOOKUP(INDEX('章节与怪物'!$E$31:$K$37,B859,6),'章节与怪物'!$A$41:$F$44,4,FALSE)+IF(6=D859,'难度参数'!$E$30,0))</x:f>
        <x:v>1540</x:v>
      </x:c>
      <x:c r="AV859" s="119" t="n">
        <x:f>IF(7&gt;D859,0,MAX(2,MIN('难度参数'!$E$12,ROUND(('难度参数'!$E$18*POWER(A859,'难度参数'!$E$19)/D859*(0.85+0.3*(7-1)/MAX(1,D859-1))),0)+F859)))</x:f>
        <x:v>58</x:v>
      </x:c>
      <x:c r="AW859" s="119" t="n">
        <x:f>IF(7&gt;D859,0,ROUND(('难度参数'!$E$13*POWER(A859,'难度参数'!$E$20)*MIN('难度参数'!$E$23,1+MAX(0,A859-'难度参数'!$E$21)*'难度参数'!$E$22))*(36+7*7)/(36+7*(D859+1)/2)*E859,0))</x:f>
        <x:v>23113</x:v>
      </x:c>
      <x:c r="AX859" s="119" t="n">
        <x:f>IF(AV859=0,0,(AV859-IF(7=D859,1,0))*ROUND(AW859*VLOOKUP(INDEX('章节与怪物'!$E$31:$K$37,B859,7),'章节与怪物'!$A$41:$F$44,2,FALSE),0)+IF(7=D859,ROUND(AW859*'难度参数'!$E$28*'章节与怪物'!$E$17,0),0))</x:f>
        <x:v>1935739</x:v>
      </x:c>
      <x:c r="AY859" s="119" t="n">
        <x:f>IF(AV859=0,0,(AV859-IF(7=D859,1,0))*VLOOKUP(INDEX('章节与怪物'!$E$31:$K$37,B859,7),'章节与怪物'!$A$41:$F$44,4,FALSE)+IF(7=D859,'难度参数'!$E$30,0))</x:f>
        <x:v>2138</x:v>
      </x:c>
    </x:row>
    <x:row r="860" ht="23" customHeight="1">
      <x:c r="A860" s="119" t="n">
        <x:v>854</x:v>
      </x:c>
      <x:c r="B860" s="119" t="n">
        <x:f>MOD(INT((A860-1)/5),7)+1</x:f>
        <x:v>3</x:v>
      </x:c>
      <x:c r="C860" s="62" t="str">
        <x:f>INDEX('章节与怪物'!$B$31:$B$37,B860)</x:f>
        <x:v>腐沼秘林</x:v>
      </x:c>
      <x:c r="D860" s="119" t="n">
        <x:f>MIN('难度参数'!$E$8,MAX('难度参数'!$E$7,A860))</x:f>
        <x:v>7</x:v>
      </x:c>
      <x:c r="E860" s="106" t="n">
        <x:v>1</x:v>
      </x:c>
      <x:c r="F860" s="106" t="n">
        <x:v>0</x:v>
      </x:c>
      <x:c r="G860" s="106" t="n">
        <x:v>1</x:v>
      </x:c>
      <x:c r="H860" s="119" t="n">
        <x:f>SUM(X860,AB860,AF860,AJ860,AN860,AR860,AV860)</x:f>
        <x:v>352</x:v>
      </x:c>
      <x:c r="I860" s="119" t="n">
        <x:f>SUM(Z860,AD860,AH860,AL860,AP860,AT860,AX860)</x:f>
        <x:v>8044821</x:v>
      </x:c>
      <x:c r="J860" s="119" t="n">
        <x:f>ROUND(INDEX(X860:AY860,1,(D860-1)*4+2)*'难度参数'!$E$28*'章节与怪物'!$E$17,0)</x:f>
        <x:v>157298</x:v>
      </x:c>
      <x:c r="K860" s="119" t="n">
        <x:f>SUM(AA860,AE860,AI860,AM860,AQ860,AU860,AY860)</x:f>
        <x:v>9456</x:v>
      </x:c>
      <x:c r="L860" s="62" t="n">
        <x:f>H860*(ROUNDUP('难度参数'!$E$24/('难度参数'!$E$26*'难度参数'!$E$27),0)*'难度参数'!$E$26)/60</x:f>
        <x:v>4.693333333333333</x:v>
      </x:c>
      <x:c r="M860" s="62" t="n">
        <x:f>L860+D860*('难度参数'!$E$49+'难度参数'!$E$50)/60</x:f>
        <x:v>5.86</x:v>
      </x:c>
      <x:c r="N860" s="119" t="n">
        <x:f>ROUNDDOWN(('经济参数'!$E$20+A860*'经济参数'!$E$21)*G860,0)</x:f>
        <x:v>17260</x:v>
      </x:c>
      <x:c r="O860" s="119" t="n">
        <x:f>ROUNDDOWN(MIN('经济参数'!$E$24,'经济参数'!$E$22+A860*'经济参数'!$E$23)*G860,0)</x:f>
        <x:v>0</x:v>
      </x:c>
      <x:c r="P860" s="119" t="n">
        <x:f>ROUNDDOWN((IF(A860&gt;='材料与任务'!$E$31,'材料与任务'!$E$32,IF(A860&gt;='材料与任务'!$E$25,'材料与任务'!$E$26,IF(A860&gt;='材料与任务'!$E$19,'材料与任务'!$E$20,IF(A860&gt;='材料与任务'!$E$13,'材料与任务'!$E$14,'材料与任务'!$E$8)))))*G860,0)</x:f>
        <x:v>6</x:v>
      </x:c>
      <x:c r="Q860" s="119" t="n">
        <x:f>ROUNDDOWN((IF(A860&gt;='材料与任务'!$E$31,'材料与任务'!$E$33,IF(A860&gt;='材料与任务'!$E$25,'材料与任务'!$E$27,IF(A860&gt;='材料与任务'!$E$19,'材料与任务'!$E$21,IF(A860&gt;='材料与任务'!$E$13,'材料与任务'!$E$15,'材料与任务'!$E$9)))))*G860,0)</x:f>
        <x:v>3</x:v>
      </x:c>
      <x:c r="R860" s="110" t="n">
        <x:f>'装备掉落'!$B$38</x:f>
        <x:v>0.6872058758851213</x:v>
      </x:c>
      <x:c r="S860" s="119" t="n">
        <x:f>MAX(IF(VLOOKUP(A860,'装备掉落'!$A$29:$H$34,2,TRUE)&gt;0,1,0),IF(VLOOKUP(A860,'装备掉落'!$A$29:$H$34,3,TRUE)&gt;0,2,0),IF(VLOOKUP(A860,'装备掉落'!$A$29:$H$34,4,TRUE)&gt;0,3,0),IF(VLOOKUP(A860,'装备掉落'!$A$29:$H$34,5,TRUE)&gt;0,4,0),IF(VLOOKUP(A860,'装备掉落'!$A$29:$H$34,6,TRUE)&gt;0,5,0),IF(VLOOKUP(A860,'装备掉落'!$A$29:$H$34,7,TRUE)&gt;0,6,0),IF(VLOOKUP(A860,'装备掉落'!$A$29:$H$34,8,TRUE)&gt;0,7,0))</x:f>
        <x:v>7</x:v>
      </x:c>
      <x:c r="T860" s="119" t="n">
        <x:f>MIN(7,S860+'经济参数'!$E$70)</x:f>
        <x:v>7</x:v>
      </x:c>
      <x:c r="U860" s="119" t="n">
        <x:f>MIN(7,S860+'经济参数'!$E$71)</x:f>
        <x:v>7</x:v>
      </x:c>
      <x:c r="V860" s="119" t="n">
        <x:f>IF(H860&gt;=('难度参数'!$E$52),1,0)+IF(H860&gt;=('难度参数'!$E$52+'难度参数'!$E$53),1,0)+IF(H860&gt;=('难度参数'!$E$52+'难度参数'!$E$53+'难度参数'!$E$54),1,0)+IF(H860&gt;=('难度参数'!$E$52+'难度参数'!$E$53+'难度参数'!$E$54+'难度参数'!$E$55),1,0)+IF(H860&gt;=('难度参数'!$E$52+'难度参数'!$E$53+'难度参数'!$E$54+'难度参数'!$E$55+'难度参数'!$E$56),1,0)+IF(H860&gt;=('难度参数'!$E$52+'难度参数'!$E$53+'难度参数'!$E$54+'难度参数'!$E$55+'难度参数'!$E$56+'难度参数'!$E$57),1,0)</x:f>
        <x:v>6</x:v>
      </x:c>
      <x:c r="W860" s="62" t="str">
        <x:f>IF(L860&gt;'难度参数'!$E$51,"仅出怪已超目标","还需实测")</x:f>
        <x:v>仅出怪已超目标</x:v>
      </x:c>
      <x:c r="X860" s="119" t="n">
        <x:f>IF(1&gt;D860,0,MAX(2,MIN('难度参数'!$E$12,ROUND(('难度参数'!$E$18*POWER(A860,'难度参数'!$E$19)/D860*(0.85+0.3*(1-1)/MAX(1,D860-1))),0)+F860)))</x:f>
        <x:v>43</x:v>
      </x:c>
      <x:c r="Y860" s="119" t="n">
        <x:f>IF(1&gt;D860,0,ROUND(('难度参数'!$E$13*POWER(A860,'难度参数'!$E$20)*MIN('难度参数'!$E$23,1+MAX(0,A860-'难度参数'!$E$21)*'难度参数'!$E$22))*(36+1*7)/(36+7*(D860+1)/2)*E860,0))</x:f>
        <x:v>11702</x:v>
      </x:c>
      <x:c r="Z860" s="119" t="n">
        <x:f>IF(X860=0,0,(X860-IF(1=D860,1,0))*ROUND(Y860*VLOOKUP(INDEX('章节与怪物'!$E$31:$K$37,B860,1),'章节与怪物'!$A$41:$F$44,2,FALSE),0)+IF(1=D860,ROUND(Y860*'难度参数'!$E$28*'章节与怪物'!$E$17,0),0))</x:f>
        <x:v>503186</x:v>
      </x:c>
      <x:c r="AA860" s="119" t="n">
        <x:f>IF(X860=0,0,(X860-IF(1=D860,1,0))*VLOOKUP(INDEX('章节与怪物'!$E$31:$K$37,B860,1),'章节与怪物'!$A$41:$F$44,4,FALSE)+IF(1=D860,'难度参数'!$E$30,0))</x:f>
        <x:v>774</x:v>
      </x:c>
      <x:c r="AB860" s="119" t="n">
        <x:f>IF(2&gt;D860,0,MAX(2,MIN('难度参数'!$E$12,ROUND(('难度参数'!$E$18*POWER(A860,'难度参数'!$E$19)/D860*(0.85+0.3*(2-1)/MAX(1,D860-1))),0)+F860)))</x:f>
        <x:v>45</x:v>
      </x:c>
      <x:c r="AC860" s="119" t="n">
        <x:f>IF(2&gt;D860,0,ROUND(('难度参数'!$E$13*POWER(A860,'难度参数'!$E$20)*MIN('难度参数'!$E$23,1+MAX(0,A860-'难度参数'!$E$21)*'难度参数'!$E$22))*(36+2*7)/(36+7*(D860+1)/2)*E860,0))</x:f>
        <x:v>13607</x:v>
      </x:c>
      <x:c r="AD860" s="119" t="n">
        <x:f>IF(AB860=0,0,(AB860-IF(2=D860,1,0))*ROUND(AC860*VLOOKUP(INDEX('章节与怪物'!$E$31:$K$37,B860,2),'章节与怪物'!$A$41:$F$44,2,FALSE),0)+IF(2=D860,ROUND(AC860*'难度参数'!$E$28*'章节与怪物'!$E$17,0),0))</x:f>
        <x:v>440865</x:v>
      </x:c>
      <x:c r="AE860" s="119" t="n">
        <x:f>IF(AB860=0,0,(AB860-IF(2=D860,1,0))*VLOOKUP(INDEX('章节与怪物'!$E$31:$K$37,B860,2),'章节与怪物'!$A$41:$F$44,4,FALSE)+IF(2=D860,'难度参数'!$E$30,0))</x:f>
        <x:v>900</x:v>
      </x:c>
      <x:c r="AF860" s="119" t="n">
        <x:f>IF(3&gt;D860,0,MAX(2,MIN('难度参数'!$E$12,ROUND(('难度参数'!$E$18*POWER(A860,'难度参数'!$E$19)/D860*(0.85+0.3*(3-1)/MAX(1,D860-1))),0)+F860)))</x:f>
        <x:v>48</x:v>
      </x:c>
      <x:c r="AG860" s="119" t="n">
        <x:f>IF(3&gt;D860,0,ROUND(('难度参数'!$E$13*POWER(A860,'难度参数'!$E$20)*MIN('难度参数'!$E$23,1+MAX(0,A860-'难度参数'!$E$21)*'难度参数'!$E$22))*(36+3*7)/(36+7*(D860+1)/2)*E860,0))</x:f>
        <x:v>15512</x:v>
      </x:c>
      <x:c r="AH860" s="119" t="n">
        <x:f>IF(AF860=0,0,(AF860-IF(3=D860,1,0))*ROUND(AG860*VLOOKUP(INDEX('章节与怪物'!$E$31:$K$37,B860,3),'章节与怪物'!$A$41:$F$44,2,FALSE),0)+IF(3=D860,ROUND(AG860*'难度参数'!$E$28*'章节与怪物'!$E$17,0),0))</x:f>
        <x:v>1265760</x:v>
      </x:c>
      <x:c r="AI860" s="119" t="n">
        <x:f>IF(AF860=0,0,(AF860-IF(3=D860,1,0))*VLOOKUP(INDEX('章节与怪物'!$E$31:$K$37,B860,3),'章节与怪物'!$A$41:$F$44,4,FALSE)+IF(3=D860,'难度参数'!$E$30,0))</x:f>
        <x:v>1344</x:v>
      </x:c>
      <x:c r="AJ860" s="119" t="n">
        <x:f>IF(4&gt;D860,0,MAX(2,MIN('难度参数'!$E$12,ROUND(('难度参数'!$E$18*POWER(A860,'难度参数'!$E$19)/D860*(0.85+0.3*(4-1)/MAX(1,D860-1))),0)+F860)))</x:f>
        <x:v>50</x:v>
      </x:c>
      <x:c r="AK860" s="119" t="n">
        <x:f>IF(4&gt;D860,0,ROUND(('难度参数'!$E$13*POWER(A860,'难度参数'!$E$20)*MIN('难度参数'!$E$23,1+MAX(0,A860-'难度参数'!$E$21)*'难度参数'!$E$22))*(36+4*7)/(36+7*(D860+1)/2)*E860,0))</x:f>
        <x:v>17417</x:v>
      </x:c>
      <x:c r="AL860" s="119" t="n">
        <x:f>IF(AJ860=0,0,(AJ860-IF(4=D860,1,0))*ROUND(AK860*VLOOKUP(INDEX('章节与怪物'!$E$31:$K$37,B860,4),'章节与怪物'!$A$41:$F$44,2,FALSE),0)+IF(4=D860,ROUND(AK860*'难度参数'!$E$28*'章节与怪物'!$E$17,0),0))</x:f>
        <x:v>1175650</x:v>
      </x:c>
      <x:c r="AM860" s="119" t="n">
        <x:f>IF(AJ860=0,0,(AJ860-IF(4=D860,1,0))*VLOOKUP(INDEX('章节与怪物'!$E$31:$K$37,B860,4),'章节与怪物'!$A$41:$F$44,4,FALSE)+IF(4=D860,'难度参数'!$E$30,0))</x:f>
        <x:v>1700</x:v>
      </x:c>
      <x:c r="AN860" s="119" t="n">
        <x:f>IF(5&gt;D860,0,MAX(2,MIN('难度参数'!$E$12,ROUND(('难度参数'!$E$18*POWER(A860,'难度参数'!$E$19)/D860*(0.85+0.3*(5-1)/MAX(1,D860-1))),0)+F860)))</x:f>
        <x:v>53</x:v>
      </x:c>
      <x:c r="AO860" s="119" t="n">
        <x:f>IF(5&gt;D860,0,ROUND(('难度参数'!$E$13*POWER(A860,'难度参数'!$E$20)*MIN('难度参数'!$E$23,1+MAX(0,A860-'难度参数'!$E$21)*'难度参数'!$E$22))*(36+5*7)/(36+7*(D860+1)/2)*E860,0))</x:f>
        <x:v>19322</x:v>
      </x:c>
      <x:c r="AP860" s="119" t="n">
        <x:f>IF(AN860=0,0,(AN860-IF(5=D860,1,0))*ROUND(AO860*VLOOKUP(INDEX('章节与怪物'!$E$31:$K$37,B860,5),'章节与怪物'!$A$41:$F$44,2,FALSE),0)+IF(5=D860,ROUND(AO860*'难度参数'!$E$28*'章节与怪物'!$E$17,0),0))</x:f>
        <x:v>737336</x:v>
      </x:c>
      <x:c r="AQ860" s="119" t="n">
        <x:f>IF(AN860=0,0,(AN860-IF(5=D860,1,0))*VLOOKUP(INDEX('章节与怪物'!$E$31:$K$37,B860,5),'章节与怪物'!$A$41:$F$44,4,FALSE)+IF(5=D860,'难度参数'!$E$30,0))</x:f>
        <x:v>1060</x:v>
      </x:c>
      <x:c r="AR860" s="119" t="n">
        <x:f>IF(6&gt;D860,0,MAX(2,MIN('难度参数'!$E$12,ROUND(('难度参数'!$E$18*POWER(A860,'难度参数'!$E$19)/D860*(0.85+0.3*(6-1)/MAX(1,D860-1))),0)+F860)))</x:f>
        <x:v>55</x:v>
      </x:c>
      <x:c r="AS860" s="119" t="n">
        <x:f>IF(6&gt;D860,0,ROUND(('难度参数'!$E$13*POWER(A860,'难度参数'!$E$20)*MIN('难度参数'!$E$23,1+MAX(0,A860-'难度参数'!$E$21)*'难度参数'!$E$22))*(36+6*7)/(36+7*(D860+1)/2)*E860,0))</x:f>
        <x:v>21227</x:v>
      </x:c>
      <x:c r="AT860" s="119" t="n">
        <x:f>IF(AR860=0,0,(AR860-IF(6=D860,1,0))*ROUND(AS860*VLOOKUP(INDEX('章节与怪物'!$E$31:$K$37,B860,6),'章节与怪物'!$A$41:$F$44,2,FALSE),0)+IF(6=D860,ROUND(AS860*'难度参数'!$E$28*'章节与怪物'!$E$17,0),0))</x:f>
        <x:v>1984730</x:v>
      </x:c>
      <x:c r="AU860" s="119" t="n">
        <x:f>IF(AR860=0,0,(AR860-IF(6=D860,1,0))*VLOOKUP(INDEX('章节与怪物'!$E$31:$K$37,B860,6),'章节与怪物'!$A$41:$F$44,4,FALSE)+IF(6=D860,'难度参数'!$E$30,0))</x:f>
        <x:v>1540</x:v>
      </x:c>
      <x:c r="AV860" s="119" t="n">
        <x:f>IF(7&gt;D860,0,MAX(2,MIN('难度参数'!$E$12,ROUND(('难度参数'!$E$18*POWER(A860,'难度参数'!$E$19)/D860*(0.85+0.3*(7-1)/MAX(1,D860-1))),0)+F860)))</x:f>
        <x:v>58</x:v>
      </x:c>
      <x:c r="AW860" s="119" t="n">
        <x:f>IF(7&gt;D860,0,ROUND(('难度参数'!$E$13*POWER(A860,'难度参数'!$E$20)*MIN('难度参数'!$E$23,1+MAX(0,A860-'难度参数'!$E$21)*'难度参数'!$E$22))*(36+7*7)/(36+7*(D860+1)/2)*E860,0))</x:f>
        <x:v>23132</x:v>
      </x:c>
      <x:c r="AX860" s="119" t="n">
        <x:f>IF(AV860=0,0,(AV860-IF(7=D860,1,0))*ROUND(AW860*VLOOKUP(INDEX('章节与怪物'!$E$31:$K$37,B860,7),'章节与怪物'!$A$41:$F$44,2,FALSE),0)+IF(7=D860,ROUND(AW860*'难度参数'!$E$28*'章节与怪物'!$E$17,0),0))</x:f>
        <x:v>1937294</x:v>
      </x:c>
      <x:c r="AY860" s="119" t="n">
        <x:f>IF(AV860=0,0,(AV860-IF(7=D860,1,0))*VLOOKUP(INDEX('章节与怪物'!$E$31:$K$37,B860,7),'章节与怪物'!$A$41:$F$44,4,FALSE)+IF(7=D860,'难度参数'!$E$30,0))</x:f>
        <x:v>2138</x:v>
      </x:c>
    </x:row>
    <x:row r="861" ht="23" customHeight="1">
      <x:c r="A861" s="119" t="n">
        <x:v>855</x:v>
      </x:c>
      <x:c r="B861" s="119" t="n">
        <x:f>MOD(INT((A861-1)/5),7)+1</x:f>
        <x:v>3</x:v>
      </x:c>
      <x:c r="C861" s="62" t="str">
        <x:f>INDEX('章节与怪物'!$B$31:$B$37,B861)</x:f>
        <x:v>腐沼秘林</x:v>
      </x:c>
      <x:c r="D861" s="119" t="n">
        <x:f>MIN('难度参数'!$E$8,MAX('难度参数'!$E$7,A861))</x:f>
        <x:v>7</x:v>
      </x:c>
      <x:c r="E861" s="106" t="n">
        <x:v>1</x:v>
      </x:c>
      <x:c r="F861" s="106" t="n">
        <x:v>0</x:v>
      </x:c>
      <x:c r="G861" s="106" t="n">
        <x:v>1</x:v>
      </x:c>
      <x:c r="H861" s="119" t="n">
        <x:f>SUM(X861,AB861,AF861,AJ861,AN861,AR861,AV861)</x:f>
        <x:v>352</x:v>
      </x:c>
      <x:c r="I861" s="119" t="n">
        <x:f>SUM(Z861,AD861,AH861,AL861,AP861,AT861,AX861)</x:f>
        <x:v>8051776</x:v>
      </x:c>
      <x:c r="J861" s="119" t="n">
        <x:f>ROUND(INDEX(X861:AY861,1,(D861-1)*4+2)*'难度参数'!$E$28*'章节与怪物'!$E$17,0)</x:f>
        <x:v>157434</x:v>
      </x:c>
      <x:c r="K861" s="119" t="n">
        <x:f>SUM(AA861,AE861,AI861,AM861,AQ861,AU861,AY861)</x:f>
        <x:v>9456</x:v>
      </x:c>
      <x:c r="L861" s="62" t="n">
        <x:f>H861*(ROUNDUP('难度参数'!$E$24/('难度参数'!$E$26*'难度参数'!$E$27),0)*'难度参数'!$E$26)/60</x:f>
        <x:v>4.693333333333333</x:v>
      </x:c>
      <x:c r="M861" s="62" t="n">
        <x:f>L861+D861*('难度参数'!$E$49+'难度参数'!$E$50)/60</x:f>
        <x:v>5.86</x:v>
      </x:c>
      <x:c r="N861" s="119" t="n">
        <x:f>ROUNDDOWN(('经济参数'!$E$20+A861*'经济参数'!$E$21)*G861,0)</x:f>
        <x:v>17280</x:v>
      </x:c>
      <x:c r="O861" s="119" t="n">
        <x:f>ROUNDDOWN(MIN('经济参数'!$E$24,'经济参数'!$E$22+A861*'经济参数'!$E$23)*G861,0)</x:f>
        <x:v>0</x:v>
      </x:c>
      <x:c r="P861" s="119" t="n">
        <x:f>ROUNDDOWN((IF(A861&gt;='材料与任务'!$E$31,'材料与任务'!$E$32,IF(A861&gt;='材料与任务'!$E$25,'材料与任务'!$E$26,IF(A861&gt;='材料与任务'!$E$19,'材料与任务'!$E$20,IF(A861&gt;='材料与任务'!$E$13,'材料与任务'!$E$14,'材料与任务'!$E$8)))))*G861,0)</x:f>
        <x:v>6</x:v>
      </x:c>
      <x:c r="Q861" s="119" t="n">
        <x:f>ROUNDDOWN((IF(A861&gt;='材料与任务'!$E$31,'材料与任务'!$E$33,IF(A861&gt;='材料与任务'!$E$25,'材料与任务'!$E$27,IF(A861&gt;='材料与任务'!$E$19,'材料与任务'!$E$21,IF(A861&gt;='材料与任务'!$E$13,'材料与任务'!$E$15,'材料与任务'!$E$9)))))*G861,0)</x:f>
        <x:v>3</x:v>
      </x:c>
      <x:c r="R861" s="110" t="n">
        <x:f>'装备掉落'!$B$38</x:f>
        <x:v>0.6872058758851213</x:v>
      </x:c>
      <x:c r="S861" s="119" t="n">
        <x:f>MAX(IF(VLOOKUP(A861,'装备掉落'!$A$29:$H$34,2,TRUE)&gt;0,1,0),IF(VLOOKUP(A861,'装备掉落'!$A$29:$H$34,3,TRUE)&gt;0,2,0),IF(VLOOKUP(A861,'装备掉落'!$A$29:$H$34,4,TRUE)&gt;0,3,0),IF(VLOOKUP(A861,'装备掉落'!$A$29:$H$34,5,TRUE)&gt;0,4,0),IF(VLOOKUP(A861,'装备掉落'!$A$29:$H$34,6,TRUE)&gt;0,5,0),IF(VLOOKUP(A861,'装备掉落'!$A$29:$H$34,7,TRUE)&gt;0,6,0),IF(VLOOKUP(A861,'装备掉落'!$A$29:$H$34,8,TRUE)&gt;0,7,0))</x:f>
        <x:v>7</x:v>
      </x:c>
      <x:c r="T861" s="119" t="n">
        <x:f>MIN(7,S861+'经济参数'!$E$70)</x:f>
        <x:v>7</x:v>
      </x:c>
      <x:c r="U861" s="119" t="n">
        <x:f>MIN(7,S861+'经济参数'!$E$71)</x:f>
        <x:v>7</x:v>
      </x:c>
      <x:c r="V861" s="119" t="n">
        <x:f>IF(H861&gt;=('难度参数'!$E$52),1,0)+IF(H861&gt;=('难度参数'!$E$52+'难度参数'!$E$53),1,0)+IF(H861&gt;=('难度参数'!$E$52+'难度参数'!$E$53+'难度参数'!$E$54),1,0)+IF(H861&gt;=('难度参数'!$E$52+'难度参数'!$E$53+'难度参数'!$E$54+'难度参数'!$E$55),1,0)+IF(H861&gt;=('难度参数'!$E$52+'难度参数'!$E$53+'难度参数'!$E$54+'难度参数'!$E$55+'难度参数'!$E$56),1,0)+IF(H861&gt;=('难度参数'!$E$52+'难度参数'!$E$53+'难度参数'!$E$54+'难度参数'!$E$55+'难度参数'!$E$56+'难度参数'!$E$57),1,0)</x:f>
        <x:v>6</x:v>
      </x:c>
      <x:c r="W861" s="62" t="str">
        <x:f>IF(L861&gt;'难度参数'!$E$51,"仅出怪已超目标","还需实测")</x:f>
        <x:v>仅出怪已超目标</x:v>
      </x:c>
      <x:c r="X861" s="119" t="n">
        <x:f>IF(1&gt;D861,0,MAX(2,MIN('难度参数'!$E$12,ROUND(('难度参数'!$E$18*POWER(A861,'难度参数'!$E$19)/D861*(0.85+0.3*(1-1)/MAX(1,D861-1))),0)+F861)))</x:f>
        <x:v>43</x:v>
      </x:c>
      <x:c r="Y861" s="119" t="n">
        <x:f>IF(1&gt;D861,0,ROUND(('难度参数'!$E$13*POWER(A861,'难度参数'!$E$20)*MIN('难度参数'!$E$23,1+MAX(0,A861-'难度参数'!$E$21)*'难度参数'!$E$22))*(36+1*7)/(36+7*(D861+1)/2)*E861,0))</x:f>
        <x:v>11712</x:v>
      </x:c>
      <x:c r="Z861" s="119" t="n">
        <x:f>IF(X861=0,0,(X861-IF(1=D861,1,0))*ROUND(Y861*VLOOKUP(INDEX('章节与怪物'!$E$31:$K$37,B861,1),'章节与怪物'!$A$41:$F$44,2,FALSE),0)+IF(1=D861,ROUND(Y861*'难度参数'!$E$28*'章节与怪物'!$E$17,0),0))</x:f>
        <x:v>503616</x:v>
      </x:c>
      <x:c r="AA861" s="119" t="n">
        <x:f>IF(X861=0,0,(X861-IF(1=D861,1,0))*VLOOKUP(INDEX('章节与怪物'!$E$31:$K$37,B861,1),'章节与怪物'!$A$41:$F$44,4,FALSE)+IF(1=D861,'难度参数'!$E$30,0))</x:f>
        <x:v>774</x:v>
      </x:c>
      <x:c r="AB861" s="119" t="n">
        <x:f>IF(2&gt;D861,0,MAX(2,MIN('难度参数'!$E$12,ROUND(('难度参数'!$E$18*POWER(A861,'难度参数'!$E$19)/D861*(0.85+0.3*(2-1)/MAX(1,D861-1))),0)+F861)))</x:f>
        <x:v>45</x:v>
      </x:c>
      <x:c r="AC861" s="119" t="n">
        <x:f>IF(2&gt;D861,0,ROUND(('难度参数'!$E$13*POWER(A861,'难度参数'!$E$20)*MIN('难度参数'!$E$23,1+MAX(0,A861-'难度参数'!$E$21)*'难度参数'!$E$22))*(36+2*7)/(36+7*(D861+1)/2)*E861,0))</x:f>
        <x:v>13619</x:v>
      </x:c>
      <x:c r="AD861" s="119" t="n">
        <x:f>IF(AB861=0,0,(AB861-IF(2=D861,1,0))*ROUND(AC861*VLOOKUP(INDEX('章节与怪物'!$E$31:$K$37,B861,2),'章节与怪物'!$A$41:$F$44,2,FALSE),0)+IF(2=D861,ROUND(AC861*'难度参数'!$E$28*'章节与怪物'!$E$17,0),0))</x:f>
        <x:v>441270</x:v>
      </x:c>
      <x:c r="AE861" s="119" t="n">
        <x:f>IF(AB861=0,0,(AB861-IF(2=D861,1,0))*VLOOKUP(INDEX('章节与怪物'!$E$31:$K$37,B861,2),'章节与怪物'!$A$41:$F$44,4,FALSE)+IF(2=D861,'难度参数'!$E$30,0))</x:f>
        <x:v>900</x:v>
      </x:c>
      <x:c r="AF861" s="119" t="n">
        <x:f>IF(3&gt;D861,0,MAX(2,MIN('难度参数'!$E$12,ROUND(('难度参数'!$E$18*POWER(A861,'难度参数'!$E$19)/D861*(0.85+0.3*(3-1)/MAX(1,D861-1))),0)+F861)))</x:f>
        <x:v>48</x:v>
      </x:c>
      <x:c r="AG861" s="119" t="n">
        <x:f>IF(3&gt;D861,0,ROUND(('难度参数'!$E$13*POWER(A861,'难度参数'!$E$20)*MIN('难度参数'!$E$23,1+MAX(0,A861-'难度参数'!$E$21)*'难度参数'!$E$22))*(36+3*7)/(36+7*(D861+1)/2)*E861,0))</x:f>
        <x:v>15525</x:v>
      </x:c>
      <x:c r="AH861" s="119" t="n">
        <x:f>IF(AF861=0,0,(AF861-IF(3=D861,1,0))*ROUND(AG861*VLOOKUP(INDEX('章节与怪物'!$E$31:$K$37,B861,3),'章节与怪物'!$A$41:$F$44,2,FALSE),0)+IF(3=D861,ROUND(AG861*'难度参数'!$E$28*'章节与怪物'!$E$17,0),0))</x:f>
        <x:v>1266864</x:v>
      </x:c>
      <x:c r="AI861" s="119" t="n">
        <x:f>IF(AF861=0,0,(AF861-IF(3=D861,1,0))*VLOOKUP(INDEX('章节与怪物'!$E$31:$K$37,B861,3),'章节与怪物'!$A$41:$F$44,4,FALSE)+IF(3=D861,'难度参数'!$E$30,0))</x:f>
        <x:v>1344</x:v>
      </x:c>
      <x:c r="AJ861" s="119" t="n">
        <x:f>IF(4&gt;D861,0,MAX(2,MIN('难度参数'!$E$12,ROUND(('难度参数'!$E$18*POWER(A861,'难度参数'!$E$19)/D861*(0.85+0.3*(4-1)/MAX(1,D861-1))),0)+F861)))</x:f>
        <x:v>50</x:v>
      </x:c>
      <x:c r="AK861" s="119" t="n">
        <x:f>IF(4&gt;D861,0,ROUND(('难度参数'!$E$13*POWER(A861,'难度参数'!$E$20)*MIN('难度参数'!$E$23,1+MAX(0,A861-'难度参数'!$E$21)*'难度参数'!$E$22))*(36+4*7)/(36+7*(D861+1)/2)*E861,0))</x:f>
        <x:v>17432</x:v>
      </x:c>
      <x:c r="AL861" s="119" t="n">
        <x:f>IF(AJ861=0,0,(AJ861-IF(4=D861,1,0))*ROUND(AK861*VLOOKUP(INDEX('章节与怪物'!$E$31:$K$37,B861,4),'章节与怪物'!$A$41:$F$44,2,FALSE),0)+IF(4=D861,ROUND(AK861*'难度参数'!$E$28*'章节与怪物'!$E$17,0),0))</x:f>
        <x:v>1176650</x:v>
      </x:c>
      <x:c r="AM861" s="119" t="n">
        <x:f>IF(AJ861=0,0,(AJ861-IF(4=D861,1,0))*VLOOKUP(INDEX('章节与怪物'!$E$31:$K$37,B861,4),'章节与怪物'!$A$41:$F$44,4,FALSE)+IF(4=D861,'难度参数'!$E$30,0))</x:f>
        <x:v>1700</x:v>
      </x:c>
      <x:c r="AN861" s="119" t="n">
        <x:f>IF(5&gt;D861,0,MAX(2,MIN('难度参数'!$E$12,ROUND(('难度参数'!$E$18*POWER(A861,'难度参数'!$E$19)/D861*(0.85+0.3*(5-1)/MAX(1,D861-1))),0)+F861)))</x:f>
        <x:v>53</x:v>
      </x:c>
      <x:c r="AO861" s="119" t="n">
        <x:f>IF(5&gt;D861,0,ROUND(('难度参数'!$E$13*POWER(A861,'难度参数'!$E$20)*MIN('难度参数'!$E$23,1+MAX(0,A861-'难度参数'!$E$21)*'难度参数'!$E$22))*(36+5*7)/(36+7*(D861+1)/2)*E861,0))</x:f>
        <x:v>19339</x:v>
      </x:c>
      <x:c r="AP861" s="119" t="n">
        <x:f>IF(AN861=0,0,(AN861-IF(5=D861,1,0))*ROUND(AO861*VLOOKUP(INDEX('章节与怪物'!$E$31:$K$37,B861,5),'章节与怪物'!$A$41:$F$44,2,FALSE),0)+IF(5=D861,ROUND(AO861*'难度参数'!$E$28*'章节与怪物'!$E$17,0),0))</x:f>
        <x:v>737972</x:v>
      </x:c>
      <x:c r="AQ861" s="119" t="n">
        <x:f>IF(AN861=0,0,(AN861-IF(5=D861,1,0))*VLOOKUP(INDEX('章节与怪物'!$E$31:$K$37,B861,5),'章节与怪物'!$A$41:$F$44,4,FALSE)+IF(5=D861,'难度参数'!$E$30,0))</x:f>
        <x:v>1060</x:v>
      </x:c>
      <x:c r="AR861" s="119" t="n">
        <x:f>IF(6&gt;D861,0,MAX(2,MIN('难度参数'!$E$12,ROUND(('难度参数'!$E$18*POWER(A861,'难度参数'!$E$19)/D861*(0.85+0.3*(6-1)/MAX(1,D861-1))),0)+F861)))</x:f>
        <x:v>55</x:v>
      </x:c>
      <x:c r="AS861" s="119" t="n">
        <x:f>IF(6&gt;D861,0,ROUND(('难度参数'!$E$13*POWER(A861,'难度参数'!$E$20)*MIN('难度参数'!$E$23,1+MAX(0,A861-'难度参数'!$E$21)*'难度参数'!$E$22))*(36+6*7)/(36+7*(D861+1)/2)*E861,0))</x:f>
        <x:v>21245</x:v>
      </x:c>
      <x:c r="AT861" s="119" t="n">
        <x:f>IF(AR861=0,0,(AR861-IF(6=D861,1,0))*ROUND(AS861*VLOOKUP(INDEX('章节与怪物'!$E$31:$K$37,B861,6),'章节与怪物'!$A$41:$F$44,2,FALSE),0)+IF(6=D861,ROUND(AS861*'难度参数'!$E$28*'章节与怪物'!$E$17,0),0))</x:f>
        <x:v>1986435</x:v>
      </x:c>
      <x:c r="AU861" s="119" t="n">
        <x:f>IF(AR861=0,0,(AR861-IF(6=D861,1,0))*VLOOKUP(INDEX('章节与怪物'!$E$31:$K$37,B861,6),'章节与怪物'!$A$41:$F$44,4,FALSE)+IF(6=D861,'难度参数'!$E$30,0))</x:f>
        <x:v>1540</x:v>
      </x:c>
      <x:c r="AV861" s="119" t="n">
        <x:f>IF(7&gt;D861,0,MAX(2,MIN('难度参数'!$E$12,ROUND(('难度参数'!$E$18*POWER(A861,'难度参数'!$E$19)/D861*(0.85+0.3*(7-1)/MAX(1,D861-1))),0)+F861)))</x:f>
        <x:v>58</x:v>
      </x:c>
      <x:c r="AW861" s="119" t="n">
        <x:f>IF(7&gt;D861,0,ROUND(('难度参数'!$E$13*POWER(A861,'难度参数'!$E$20)*MIN('难度参数'!$E$23,1+MAX(0,A861-'难度参数'!$E$21)*'难度参数'!$E$22))*(36+7*7)/(36+7*(D861+1)/2)*E861,0))</x:f>
        <x:v>23152</x:v>
      </x:c>
      <x:c r="AX861" s="119" t="n">
        <x:f>IF(AV861=0,0,(AV861-IF(7=D861,1,0))*ROUND(AW861*VLOOKUP(INDEX('章节与怪物'!$E$31:$K$37,B861,7),'章节与怪物'!$A$41:$F$44,2,FALSE),0)+IF(7=D861,ROUND(AW861*'难度参数'!$E$28*'章节与怪物'!$E$17,0),0))</x:f>
        <x:v>1938969</x:v>
      </x:c>
      <x:c r="AY861" s="119" t="n">
        <x:f>IF(AV861=0,0,(AV861-IF(7=D861,1,0))*VLOOKUP(INDEX('章节与怪物'!$E$31:$K$37,B861,7),'章节与怪物'!$A$41:$F$44,4,FALSE)+IF(7=D861,'难度参数'!$E$30,0))</x:f>
        <x:v>2138</x:v>
      </x:c>
    </x:row>
    <x:row r="862" ht="23" customHeight="1">
      <x:c r="A862" s="119" t="n">
        <x:v>856</x:v>
      </x:c>
      <x:c r="B862" s="119" t="n">
        <x:f>MOD(INT((A862-1)/5),7)+1</x:f>
        <x:v>4</x:v>
      </x:c>
      <x:c r="C862" s="62" t="str">
        <x:f>INDEX('章节与怪物'!$B$31:$B$37,B862)</x:f>
        <x:v>翠野边城</x:v>
      </x:c>
      <x:c r="D862" s="119" t="n">
        <x:f>MIN('难度参数'!$E$8,MAX('难度参数'!$E$7,A862))</x:f>
        <x:v>7</x:v>
      </x:c>
      <x:c r="E862" s="106" t="n">
        <x:v>1</x:v>
      </x:c>
      <x:c r="F862" s="106" t="n">
        <x:v>0</x:v>
      </x:c>
      <x:c r="G862" s="106" t="n">
        <x:v>1</x:v>
      </x:c>
      <x:c r="H862" s="119" t="n">
        <x:f>SUM(X862,AB862,AF862,AJ862,AN862,AR862,AV862)</x:f>
        <x:v>352</x:v>
      </x:c>
      <x:c r="I862" s="119" t="n">
        <x:f>SUM(Z862,AD862,AH862,AL862,AP862,AT862,AX862)</x:f>
        <x:v>7230278</x:v>
      </x:c>
      <x:c r="J862" s="119" t="n">
        <x:f>ROUND(INDEX(X862:AY862,1,(D862-1)*4+2)*'难度参数'!$E$28*'章节与怪物'!$E$17,0)</x:f>
        <x:v>157563</x:v>
      </x:c>
      <x:c r="K862" s="119" t="n">
        <x:f>SUM(AA862,AE862,AI862,AM862,AQ862,AU862,AY862)</x:f>
        <x:v>8906</x:v>
      </x:c>
      <x:c r="L862" s="62" t="n">
        <x:f>H862*(ROUNDUP('难度参数'!$E$24/('难度参数'!$E$26*'难度参数'!$E$27),0)*'难度参数'!$E$26)/60</x:f>
        <x:v>4.693333333333333</x:v>
      </x:c>
      <x:c r="M862" s="62" t="n">
        <x:f>L862+D862*('难度参数'!$E$49+'难度参数'!$E$50)/60</x:f>
        <x:v>5.86</x:v>
      </x:c>
      <x:c r="N862" s="119" t="n">
        <x:f>ROUNDDOWN(('经济参数'!$E$20+A862*'经济参数'!$E$21)*G862,0)</x:f>
        <x:v>17300</x:v>
      </x:c>
      <x:c r="O862" s="119" t="n">
        <x:f>ROUNDDOWN(MIN('经济参数'!$E$24,'经济参数'!$E$22+A862*'经济参数'!$E$23)*G862,0)</x:f>
        <x:v>0</x:v>
      </x:c>
      <x:c r="P862" s="119" t="n">
        <x:f>ROUNDDOWN((IF(A862&gt;='材料与任务'!$E$31,'材料与任务'!$E$32,IF(A862&gt;='材料与任务'!$E$25,'材料与任务'!$E$26,IF(A862&gt;='材料与任务'!$E$19,'材料与任务'!$E$20,IF(A862&gt;='材料与任务'!$E$13,'材料与任务'!$E$14,'材料与任务'!$E$8)))))*G862,0)</x:f>
        <x:v>6</x:v>
      </x:c>
      <x:c r="Q862" s="119" t="n">
        <x:f>ROUNDDOWN((IF(A862&gt;='材料与任务'!$E$31,'材料与任务'!$E$33,IF(A862&gt;='材料与任务'!$E$25,'材料与任务'!$E$27,IF(A862&gt;='材料与任务'!$E$19,'材料与任务'!$E$21,IF(A862&gt;='材料与任务'!$E$13,'材料与任务'!$E$15,'材料与任务'!$E$9)))))*G862,0)</x:f>
        <x:v>3</x:v>
      </x:c>
      <x:c r="R862" s="110" t="n">
        <x:f>'装备掉落'!$B$38</x:f>
        <x:v>0.6872058758851213</x:v>
      </x:c>
      <x:c r="S862" s="119" t="n">
        <x:f>MAX(IF(VLOOKUP(A862,'装备掉落'!$A$29:$H$34,2,TRUE)&gt;0,1,0),IF(VLOOKUP(A862,'装备掉落'!$A$29:$H$34,3,TRUE)&gt;0,2,0),IF(VLOOKUP(A862,'装备掉落'!$A$29:$H$34,4,TRUE)&gt;0,3,0),IF(VLOOKUP(A862,'装备掉落'!$A$29:$H$34,5,TRUE)&gt;0,4,0),IF(VLOOKUP(A862,'装备掉落'!$A$29:$H$34,6,TRUE)&gt;0,5,0),IF(VLOOKUP(A862,'装备掉落'!$A$29:$H$34,7,TRUE)&gt;0,6,0),IF(VLOOKUP(A862,'装备掉落'!$A$29:$H$34,8,TRUE)&gt;0,7,0))</x:f>
        <x:v>7</x:v>
      </x:c>
      <x:c r="T862" s="119" t="n">
        <x:f>MIN(7,S862+'经济参数'!$E$70)</x:f>
        <x:v>7</x:v>
      </x:c>
      <x:c r="U862" s="119" t="n">
        <x:f>MIN(7,S862+'经济参数'!$E$71)</x:f>
        <x:v>7</x:v>
      </x:c>
      <x:c r="V862" s="119" t="n">
        <x:f>IF(H862&gt;=('难度参数'!$E$52),1,0)+IF(H862&gt;=('难度参数'!$E$52+'难度参数'!$E$53),1,0)+IF(H862&gt;=('难度参数'!$E$52+'难度参数'!$E$53+'难度参数'!$E$54),1,0)+IF(H862&gt;=('难度参数'!$E$52+'难度参数'!$E$53+'难度参数'!$E$54+'难度参数'!$E$55),1,0)+IF(H862&gt;=('难度参数'!$E$52+'难度参数'!$E$53+'难度参数'!$E$54+'难度参数'!$E$55+'难度参数'!$E$56),1,0)+IF(H862&gt;=('难度参数'!$E$52+'难度参数'!$E$53+'难度参数'!$E$54+'难度参数'!$E$55+'难度参数'!$E$56+'难度参数'!$E$57),1,0)</x:f>
        <x:v>6</x:v>
      </x:c>
      <x:c r="W862" s="62" t="str">
        <x:f>IF(L862&gt;'难度参数'!$E$51,"仅出怪已超目标","还需实测")</x:f>
        <x:v>仅出怪已超目标</x:v>
      </x:c>
      <x:c r="X862" s="119" t="n">
        <x:f>IF(1&gt;D862,0,MAX(2,MIN('难度参数'!$E$12,ROUND(('难度参数'!$E$18*POWER(A862,'难度参数'!$E$19)/D862*(0.85+0.3*(1-1)/MAX(1,D862-1))),0)+F862)))</x:f>
        <x:v>43</x:v>
      </x:c>
      <x:c r="Y862" s="119" t="n">
        <x:f>IF(1&gt;D862,0,ROUND(('难度参数'!$E$13*POWER(A862,'难度参数'!$E$20)*MIN('难度参数'!$E$23,1+MAX(0,A862-'难度参数'!$E$21)*'难度参数'!$E$22))*(36+1*7)/(36+7*(D862+1)/2)*E862,0))</x:f>
        <x:v>11722</x:v>
      </x:c>
      <x:c r="Z862" s="119" t="n">
        <x:f>IF(X862=0,0,(X862-IF(1=D862,1,0))*ROUND(Y862*VLOOKUP(INDEX('章节与怪物'!$E$31:$K$37,B862,1),'章节与怪物'!$A$41:$F$44,2,FALSE),0)+IF(1=D862,ROUND(Y862*'难度参数'!$E$28*'章节与怪物'!$E$17,0),0))</x:f>
        <x:v>362920</x:v>
      </x:c>
      <x:c r="AA862" s="119" t="n">
        <x:f>IF(X862=0,0,(X862-IF(1=D862,1,0))*VLOOKUP(INDEX('章节与怪物'!$E$31:$K$37,B862,1),'章节与怪物'!$A$41:$F$44,4,FALSE)+IF(1=D862,'难度参数'!$E$30,0))</x:f>
        <x:v>860</x:v>
      </x:c>
      <x:c r="AB862" s="119" t="n">
        <x:f>IF(2&gt;D862,0,MAX(2,MIN('难度参数'!$E$12,ROUND(('难度参数'!$E$18*POWER(A862,'难度参数'!$E$19)/D862*(0.85+0.3*(2-1)/MAX(1,D862-1))),0)+F862)))</x:f>
        <x:v>45</x:v>
      </x:c>
      <x:c r="AC862" s="119" t="n">
        <x:f>IF(2&gt;D862,0,ROUND(('难度参数'!$E$13*POWER(A862,'难度参数'!$E$20)*MIN('难度参数'!$E$23,1+MAX(0,A862-'难度参数'!$E$21)*'难度参数'!$E$22))*(36+2*7)/(36+7*(D862+1)/2)*E862,0))</x:f>
        <x:v>13630</x:v>
      </x:c>
      <x:c r="AD862" s="119" t="n">
        <x:f>IF(AB862=0,0,(AB862-IF(2=D862,1,0))*ROUND(AC862*VLOOKUP(INDEX('章节与怪物'!$E$31:$K$37,B862,2),'章节与怪物'!$A$41:$F$44,2,FALSE),0)+IF(2=D862,ROUND(AC862*'难度参数'!$E$28*'章节与怪物'!$E$17,0),0))</x:f>
        <x:v>613350</x:v>
      </x:c>
      <x:c r="AE862" s="119" t="n">
        <x:f>IF(AB862=0,0,(AB862-IF(2=D862,1,0))*VLOOKUP(INDEX('章节与怪物'!$E$31:$K$37,B862,2),'章节与怪物'!$A$41:$F$44,4,FALSE)+IF(2=D862,'难度参数'!$E$30,0))</x:f>
        <x:v>810</x:v>
      </x:c>
      <x:c r="AF862" s="119" t="n">
        <x:f>IF(3&gt;D862,0,MAX(2,MIN('难度参数'!$E$12,ROUND(('难度参数'!$E$18*POWER(A862,'难度参数'!$E$19)/D862*(0.85+0.3*(3-1)/MAX(1,D862-1))),0)+F862)))</x:f>
        <x:v>48</x:v>
      </x:c>
      <x:c r="AG862" s="119" t="n">
        <x:f>IF(3&gt;D862,0,ROUND(('难度参数'!$E$13*POWER(A862,'难度参数'!$E$20)*MIN('难度参数'!$E$23,1+MAX(0,A862-'难度参数'!$E$21)*'难度参数'!$E$22))*(36+3*7)/(36+7*(D862+1)/2)*E862,0))</x:f>
        <x:v>15539</x:v>
      </x:c>
      <x:c r="AH862" s="119" t="n">
        <x:f>IF(AF862=0,0,(AF862-IF(3=D862,1,0))*ROUND(AG862*VLOOKUP(INDEX('章节与怪物'!$E$31:$K$37,B862,3),'章节与怪物'!$A$41:$F$44,2,FALSE),0)+IF(3=D862,ROUND(AG862*'难度参数'!$E$28*'章节与怪物'!$E$17,0),0))</x:f>
        <x:v>1267968</x:v>
      </x:c>
      <x:c r="AI862" s="119" t="n">
        <x:f>IF(AF862=0,0,(AF862-IF(3=D862,1,0))*VLOOKUP(INDEX('章节与怪物'!$E$31:$K$37,B862,3),'章节与怪物'!$A$41:$F$44,4,FALSE)+IF(3=D862,'难度参数'!$E$30,0))</x:f>
        <x:v>1344</x:v>
      </x:c>
      <x:c r="AJ862" s="119" t="n">
        <x:f>IF(4&gt;D862,0,MAX(2,MIN('难度参数'!$E$12,ROUND(('难度参数'!$E$18*POWER(A862,'难度参数'!$E$19)/D862*(0.85+0.3*(4-1)/MAX(1,D862-1))),0)+F862)))</x:f>
        <x:v>50</x:v>
      </x:c>
      <x:c r="AK862" s="119" t="n">
        <x:f>IF(4&gt;D862,0,ROUND(('难度参数'!$E$13*POWER(A862,'难度参数'!$E$20)*MIN('难度参数'!$E$23,1+MAX(0,A862-'难度参数'!$E$21)*'难度参数'!$E$22))*(36+4*7)/(36+7*(D862+1)/2)*E862,0))</x:f>
        <x:v>17447</x:v>
      </x:c>
      <x:c r="AL862" s="119" t="n">
        <x:f>IF(AJ862=0,0,(AJ862-IF(4=D862,1,0))*ROUND(AK862*VLOOKUP(INDEX('章节与怪物'!$E$31:$K$37,B862,4),'章节与怪物'!$A$41:$F$44,2,FALSE),0)+IF(4=D862,ROUND(AK862*'难度参数'!$E$28*'章节与怪物'!$E$17,0),0))</x:f>
        <x:v>1177650</x:v>
      </x:c>
      <x:c r="AM862" s="119" t="n">
        <x:f>IF(AJ862=0,0,(AJ862-IF(4=D862,1,0))*VLOOKUP(INDEX('章节与怪物'!$E$31:$K$37,B862,4),'章节与怪物'!$A$41:$F$44,4,FALSE)+IF(4=D862,'难度参数'!$E$30,0))</x:f>
        <x:v>1700</x:v>
      </x:c>
      <x:c r="AN862" s="119" t="n">
        <x:f>IF(5&gt;D862,0,MAX(2,MIN('难度参数'!$E$12,ROUND(('难度参数'!$E$18*POWER(A862,'难度参数'!$E$19)/D862*(0.85+0.3*(5-1)/MAX(1,D862-1))),0)+F862)))</x:f>
        <x:v>53</x:v>
      </x:c>
      <x:c r="AO862" s="119" t="n">
        <x:f>IF(5&gt;D862,0,ROUND(('难度参数'!$E$13*POWER(A862,'难度参数'!$E$20)*MIN('难度参数'!$E$23,1+MAX(0,A862-'难度参数'!$E$21)*'难度参数'!$E$22))*(36+5*7)/(36+7*(D862+1)/2)*E862,0))</x:f>
        <x:v>19355</x:v>
      </x:c>
      <x:c r="AP862" s="119" t="n">
        <x:f>IF(AN862=0,0,(AN862-IF(5=D862,1,0))*ROUND(AO862*VLOOKUP(INDEX('章节与怪物'!$E$31:$K$37,B862,5),'章节与怪物'!$A$41:$F$44,2,FALSE),0)+IF(5=D862,ROUND(AO862*'难度参数'!$E$28*'章节与怪物'!$E$17,0),0))</x:f>
        <x:v>1025815</x:v>
      </x:c>
      <x:c r="AQ862" s="119" t="n">
        <x:f>IF(AN862=0,0,(AN862-IF(5=D862,1,0))*VLOOKUP(INDEX('章节与怪物'!$E$31:$K$37,B862,5),'章节与怪物'!$A$41:$F$44,4,FALSE)+IF(5=D862,'难度参数'!$E$30,0))</x:f>
        <x:v>954</x:v>
      </x:c>
      <x:c r="AR862" s="119" t="n">
        <x:f>IF(6&gt;D862,0,MAX(2,MIN('难度参数'!$E$12,ROUND(('难度参数'!$E$18*POWER(A862,'难度参数'!$E$19)/D862*(0.85+0.3*(6-1)/MAX(1,D862-1))),0)+F862)))</x:f>
        <x:v>55</x:v>
      </x:c>
      <x:c r="AS862" s="119" t="n">
        <x:f>IF(6&gt;D862,0,ROUND(('难度参数'!$E$13*POWER(A862,'难度参数'!$E$20)*MIN('难度参数'!$E$23,1+MAX(0,A862-'难度参数'!$E$21)*'难度参数'!$E$22))*(36+6*7)/(36+7*(D862+1)/2)*E862,0))</x:f>
        <x:v>21263</x:v>
      </x:c>
      <x:c r="AT862" s="119" t="n">
        <x:f>IF(AR862=0,0,(AR862-IF(6=D862,1,0))*ROUND(AS862*VLOOKUP(INDEX('章节与怪物'!$E$31:$K$37,B862,6),'章节与怪物'!$A$41:$F$44,2,FALSE),0)+IF(6=D862,ROUND(AS862*'难度参数'!$E$28*'章节与怪物'!$E$17,0),0))</x:f>
        <x:v>841995</x:v>
      </x:c>
      <x:c r="AU862" s="119" t="n">
        <x:f>IF(AR862=0,0,(AR862-IF(6=D862,1,0))*VLOOKUP(INDEX('章节与怪物'!$E$31:$K$37,B862,6),'章节与怪物'!$A$41:$F$44,4,FALSE)+IF(6=D862,'难度参数'!$E$30,0))</x:f>
        <x:v>1100</x:v>
      </x:c>
      <x:c r="AV862" s="119" t="n">
        <x:f>IF(7&gt;D862,0,MAX(2,MIN('难度参数'!$E$12,ROUND(('难度参数'!$E$18*POWER(A862,'难度参数'!$E$19)/D862*(0.85+0.3*(7-1)/MAX(1,D862-1))),0)+F862)))</x:f>
        <x:v>58</x:v>
      </x:c>
      <x:c r="AW862" s="119" t="n">
        <x:f>IF(7&gt;D862,0,ROUND(('难度参数'!$E$13*POWER(A862,'难度参数'!$E$20)*MIN('难度参数'!$E$23,1+MAX(0,A862-'难度参数'!$E$21)*'难度参数'!$E$22))*(36+7*7)/(36+7*(D862+1)/2)*E862,0))</x:f>
        <x:v>23171</x:v>
      </x:c>
      <x:c r="AX862" s="119" t="n">
        <x:f>IF(AV862=0,0,(AV862-IF(7=D862,1,0))*ROUND(AW862*VLOOKUP(INDEX('章节与怪物'!$E$31:$K$37,B862,7),'章节与怪物'!$A$41:$F$44,2,FALSE),0)+IF(7=D862,ROUND(AW862*'难度参数'!$E$28*'章节与怪物'!$E$17,0),0))</x:f>
        <x:v>1940580</x:v>
      </x:c>
      <x:c r="AY862" s="119" t="n">
        <x:f>IF(AV862=0,0,(AV862-IF(7=D862,1,0))*VLOOKUP(INDEX('章节与怪物'!$E$31:$K$37,B862,7),'章节与怪物'!$A$41:$F$44,4,FALSE)+IF(7=D862,'难度参数'!$E$30,0))</x:f>
        <x:v>2138</x:v>
      </x:c>
    </x:row>
    <x:row r="863" ht="23" customHeight="1">
      <x:c r="A863" s="119" t="n">
        <x:v>857</x:v>
      </x:c>
      <x:c r="B863" s="119" t="n">
        <x:f>MOD(INT((A863-1)/5),7)+1</x:f>
        <x:v>4</x:v>
      </x:c>
      <x:c r="C863" s="62" t="str">
        <x:f>INDEX('章节与怪物'!$B$31:$B$37,B863)</x:f>
        <x:v>翠野边城</x:v>
      </x:c>
      <x:c r="D863" s="119" t="n">
        <x:f>MIN('难度参数'!$E$8,MAX('难度参数'!$E$7,A863))</x:f>
        <x:v>7</x:v>
      </x:c>
      <x:c r="E863" s="106" t="n">
        <x:v>1</x:v>
      </x:c>
      <x:c r="F863" s="106" t="n">
        <x:v>0</x:v>
      </x:c>
      <x:c r="G863" s="106" t="n">
        <x:v>1</x:v>
      </x:c>
      <x:c r="H863" s="119" t="n">
        <x:f>SUM(X863,AB863,AF863,AJ863,AN863,AR863,AV863)</x:f>
        <x:v>352</x:v>
      </x:c>
      <x:c r="I863" s="119" t="n">
        <x:f>SUM(Z863,AD863,AH863,AL863,AP863,AT863,AX863)</x:f>
        <x:v>7236363</x:v>
      </x:c>
      <x:c r="J863" s="119" t="n">
        <x:f>ROUND(INDEX(X863:AY863,1,(D863-1)*4+2)*'难度参数'!$E$28*'章节与怪物'!$E$17,0)</x:f>
        <x:v>157699</x:v>
      </x:c>
      <x:c r="K863" s="119" t="n">
        <x:f>SUM(AA863,AE863,AI863,AM863,AQ863,AU863,AY863)</x:f>
        <x:v>8906</x:v>
      </x:c>
      <x:c r="L863" s="62" t="n">
        <x:f>H863*(ROUNDUP('难度参数'!$E$24/('难度参数'!$E$26*'难度参数'!$E$27),0)*'难度参数'!$E$26)/60</x:f>
        <x:v>4.693333333333333</x:v>
      </x:c>
      <x:c r="M863" s="62" t="n">
        <x:f>L863+D863*('难度参数'!$E$49+'难度参数'!$E$50)/60</x:f>
        <x:v>5.86</x:v>
      </x:c>
      <x:c r="N863" s="119" t="n">
        <x:f>ROUNDDOWN(('经济参数'!$E$20+A863*'经济参数'!$E$21)*G863,0)</x:f>
        <x:v>17320</x:v>
      </x:c>
      <x:c r="O863" s="119" t="n">
        <x:f>ROUNDDOWN(MIN('经济参数'!$E$24,'经济参数'!$E$22+A863*'经济参数'!$E$23)*G863,0)</x:f>
        <x:v>0</x:v>
      </x:c>
      <x:c r="P863" s="119" t="n">
        <x:f>ROUNDDOWN((IF(A863&gt;='材料与任务'!$E$31,'材料与任务'!$E$32,IF(A863&gt;='材料与任务'!$E$25,'材料与任务'!$E$26,IF(A863&gt;='材料与任务'!$E$19,'材料与任务'!$E$20,IF(A863&gt;='材料与任务'!$E$13,'材料与任务'!$E$14,'材料与任务'!$E$8)))))*G863,0)</x:f>
        <x:v>6</x:v>
      </x:c>
      <x:c r="Q863" s="119" t="n">
        <x:f>ROUNDDOWN((IF(A863&gt;='材料与任务'!$E$31,'材料与任务'!$E$33,IF(A863&gt;='材料与任务'!$E$25,'材料与任务'!$E$27,IF(A863&gt;='材料与任务'!$E$19,'材料与任务'!$E$21,IF(A863&gt;='材料与任务'!$E$13,'材料与任务'!$E$15,'材料与任务'!$E$9)))))*G863,0)</x:f>
        <x:v>3</x:v>
      </x:c>
      <x:c r="R863" s="110" t="n">
        <x:f>'装备掉落'!$B$38</x:f>
        <x:v>0.6872058758851213</x:v>
      </x:c>
      <x:c r="S863" s="119" t="n">
        <x:f>MAX(IF(VLOOKUP(A863,'装备掉落'!$A$29:$H$34,2,TRUE)&gt;0,1,0),IF(VLOOKUP(A863,'装备掉落'!$A$29:$H$34,3,TRUE)&gt;0,2,0),IF(VLOOKUP(A863,'装备掉落'!$A$29:$H$34,4,TRUE)&gt;0,3,0),IF(VLOOKUP(A863,'装备掉落'!$A$29:$H$34,5,TRUE)&gt;0,4,0),IF(VLOOKUP(A863,'装备掉落'!$A$29:$H$34,6,TRUE)&gt;0,5,0),IF(VLOOKUP(A863,'装备掉落'!$A$29:$H$34,7,TRUE)&gt;0,6,0),IF(VLOOKUP(A863,'装备掉落'!$A$29:$H$34,8,TRUE)&gt;0,7,0))</x:f>
        <x:v>7</x:v>
      </x:c>
      <x:c r="T863" s="119" t="n">
        <x:f>MIN(7,S863+'经济参数'!$E$70)</x:f>
        <x:v>7</x:v>
      </x:c>
      <x:c r="U863" s="119" t="n">
        <x:f>MIN(7,S863+'经济参数'!$E$71)</x:f>
        <x:v>7</x:v>
      </x:c>
      <x:c r="V863" s="119" t="n">
        <x:f>IF(H863&gt;=('难度参数'!$E$52),1,0)+IF(H863&gt;=('难度参数'!$E$52+'难度参数'!$E$53),1,0)+IF(H863&gt;=('难度参数'!$E$52+'难度参数'!$E$53+'难度参数'!$E$54),1,0)+IF(H863&gt;=('难度参数'!$E$52+'难度参数'!$E$53+'难度参数'!$E$54+'难度参数'!$E$55),1,0)+IF(H863&gt;=('难度参数'!$E$52+'难度参数'!$E$53+'难度参数'!$E$54+'难度参数'!$E$55+'难度参数'!$E$56),1,0)+IF(H863&gt;=('难度参数'!$E$52+'难度参数'!$E$53+'难度参数'!$E$54+'难度参数'!$E$55+'难度参数'!$E$56+'难度参数'!$E$57),1,0)</x:f>
        <x:v>6</x:v>
      </x:c>
      <x:c r="W863" s="62" t="str">
        <x:f>IF(L863&gt;'难度参数'!$E$51,"仅出怪已超目标","还需实测")</x:f>
        <x:v>仅出怪已超目标</x:v>
      </x:c>
      <x:c r="X863" s="119" t="n">
        <x:f>IF(1&gt;D863,0,MAX(2,MIN('难度参数'!$E$12,ROUND(('难度参数'!$E$18*POWER(A863,'难度参数'!$E$19)/D863*(0.85+0.3*(1-1)/MAX(1,D863-1))),0)+F863)))</x:f>
        <x:v>43</x:v>
      </x:c>
      <x:c r="Y863" s="119" t="n">
        <x:f>IF(1&gt;D863,0,ROUND(('难度参数'!$E$13*POWER(A863,'难度参数'!$E$20)*MIN('难度参数'!$E$23,1+MAX(0,A863-'难度参数'!$E$21)*'难度参数'!$E$22))*(36+1*7)/(36+7*(D863+1)/2)*E863,0))</x:f>
        <x:v>11732</x:v>
      </x:c>
      <x:c r="Z863" s="119" t="n">
        <x:f>IF(X863=0,0,(X863-IF(1=D863,1,0))*ROUND(Y863*VLOOKUP(INDEX('章节与怪物'!$E$31:$K$37,B863,1),'章节与怪物'!$A$41:$F$44,2,FALSE),0)+IF(1=D863,ROUND(Y863*'难度参数'!$E$28*'章节与怪物'!$E$17,0),0))</x:f>
        <x:v>363221</x:v>
      </x:c>
      <x:c r="AA863" s="119" t="n">
        <x:f>IF(X863=0,0,(X863-IF(1=D863,1,0))*VLOOKUP(INDEX('章节与怪物'!$E$31:$K$37,B863,1),'章节与怪物'!$A$41:$F$44,4,FALSE)+IF(1=D863,'难度参数'!$E$30,0))</x:f>
        <x:v>860</x:v>
      </x:c>
      <x:c r="AB863" s="119" t="n">
        <x:f>IF(2&gt;D863,0,MAX(2,MIN('难度参数'!$E$12,ROUND(('难度参数'!$E$18*POWER(A863,'难度参数'!$E$19)/D863*(0.85+0.3*(2-1)/MAX(1,D863-1))),0)+F863)))</x:f>
        <x:v>45</x:v>
      </x:c>
      <x:c r="AC863" s="119" t="n">
        <x:f>IF(2&gt;D863,0,ROUND(('难度参数'!$E$13*POWER(A863,'难度参数'!$E$20)*MIN('难度参数'!$E$23,1+MAX(0,A863-'难度参数'!$E$21)*'难度参数'!$E$22))*(36+2*7)/(36+7*(D863+1)/2)*E863,0))</x:f>
        <x:v>13642</x:v>
      </x:c>
      <x:c r="AD863" s="119" t="n">
        <x:f>IF(AB863=0,0,(AB863-IF(2=D863,1,0))*ROUND(AC863*VLOOKUP(INDEX('章节与怪物'!$E$31:$K$37,B863,2),'章节与怪物'!$A$41:$F$44,2,FALSE),0)+IF(2=D863,ROUND(AC863*'难度参数'!$E$28*'章节与怪物'!$E$17,0),0))</x:f>
        <x:v>613890</x:v>
      </x:c>
      <x:c r="AE863" s="119" t="n">
        <x:f>IF(AB863=0,0,(AB863-IF(2=D863,1,0))*VLOOKUP(INDEX('章节与怪物'!$E$31:$K$37,B863,2),'章节与怪物'!$A$41:$F$44,4,FALSE)+IF(2=D863,'难度参数'!$E$30,0))</x:f>
        <x:v>810</x:v>
      </x:c>
      <x:c r="AF863" s="119" t="n">
        <x:f>IF(3&gt;D863,0,MAX(2,MIN('难度参数'!$E$12,ROUND(('难度参数'!$E$18*POWER(A863,'难度参数'!$E$19)/D863*(0.85+0.3*(3-1)/MAX(1,D863-1))),0)+F863)))</x:f>
        <x:v>48</x:v>
      </x:c>
      <x:c r="AG863" s="119" t="n">
        <x:f>IF(3&gt;D863,0,ROUND(('难度参数'!$E$13*POWER(A863,'难度参数'!$E$20)*MIN('难度参数'!$E$23,1+MAX(0,A863-'难度参数'!$E$21)*'难度参数'!$E$22))*(36+3*7)/(36+7*(D863+1)/2)*E863,0))</x:f>
        <x:v>15552</x:v>
      </x:c>
      <x:c r="AH863" s="119" t="n">
        <x:f>IF(AF863=0,0,(AF863-IF(3=D863,1,0))*ROUND(AG863*VLOOKUP(INDEX('章节与怪物'!$E$31:$K$37,B863,3),'章节与怪物'!$A$41:$F$44,2,FALSE),0)+IF(3=D863,ROUND(AG863*'难度参数'!$E$28*'章节与怪物'!$E$17,0),0))</x:f>
        <x:v>1269024</x:v>
      </x:c>
      <x:c r="AI863" s="119" t="n">
        <x:f>IF(AF863=0,0,(AF863-IF(3=D863,1,0))*VLOOKUP(INDEX('章节与怪物'!$E$31:$K$37,B863,3),'章节与怪物'!$A$41:$F$44,4,FALSE)+IF(3=D863,'难度参数'!$E$30,0))</x:f>
        <x:v>1344</x:v>
      </x:c>
      <x:c r="AJ863" s="119" t="n">
        <x:f>IF(4&gt;D863,0,MAX(2,MIN('难度参数'!$E$12,ROUND(('难度参数'!$E$18*POWER(A863,'难度参数'!$E$19)/D863*(0.85+0.3*(4-1)/MAX(1,D863-1))),0)+F863)))</x:f>
        <x:v>50</x:v>
      </x:c>
      <x:c r="AK863" s="119" t="n">
        <x:f>IF(4&gt;D863,0,ROUND(('难度参数'!$E$13*POWER(A863,'难度参数'!$E$20)*MIN('难度参数'!$E$23,1+MAX(0,A863-'难度参数'!$E$21)*'难度参数'!$E$22))*(36+4*7)/(36+7*(D863+1)/2)*E863,0))</x:f>
        <x:v>17461</x:v>
      </x:c>
      <x:c r="AL863" s="119" t="n">
        <x:f>IF(AJ863=0,0,(AJ863-IF(4=D863,1,0))*ROUND(AK863*VLOOKUP(INDEX('章节与怪物'!$E$31:$K$37,B863,4),'章节与怪物'!$A$41:$F$44,2,FALSE),0)+IF(4=D863,ROUND(AK863*'难度参数'!$E$28*'章节与怪物'!$E$17,0),0))</x:f>
        <x:v>1178600</x:v>
      </x:c>
      <x:c r="AM863" s="119" t="n">
        <x:f>IF(AJ863=0,0,(AJ863-IF(4=D863,1,0))*VLOOKUP(INDEX('章节与怪物'!$E$31:$K$37,B863,4),'章节与怪物'!$A$41:$F$44,4,FALSE)+IF(4=D863,'难度参数'!$E$30,0))</x:f>
        <x:v>1700</x:v>
      </x:c>
      <x:c r="AN863" s="119" t="n">
        <x:f>IF(5&gt;D863,0,MAX(2,MIN('难度参数'!$E$12,ROUND(('难度参数'!$E$18*POWER(A863,'难度参数'!$E$19)/D863*(0.85+0.3*(5-1)/MAX(1,D863-1))),0)+F863)))</x:f>
        <x:v>53</x:v>
      </x:c>
      <x:c r="AO863" s="119" t="n">
        <x:f>IF(5&gt;D863,0,ROUND(('难度参数'!$E$13*POWER(A863,'难度参数'!$E$20)*MIN('难度参数'!$E$23,1+MAX(0,A863-'难度参数'!$E$21)*'难度参数'!$E$22))*(36+5*7)/(36+7*(D863+1)/2)*E863,0))</x:f>
        <x:v>19371</x:v>
      </x:c>
      <x:c r="AP863" s="119" t="n">
        <x:f>IF(AN863=0,0,(AN863-IF(5=D863,1,0))*ROUND(AO863*VLOOKUP(INDEX('章节与怪物'!$E$31:$K$37,B863,5),'章节与怪物'!$A$41:$F$44,2,FALSE),0)+IF(5=D863,ROUND(AO863*'难度参数'!$E$28*'章节与怪物'!$E$17,0),0))</x:f>
        <x:v>1026663</x:v>
      </x:c>
      <x:c r="AQ863" s="119" t="n">
        <x:f>IF(AN863=0,0,(AN863-IF(5=D863,1,0))*VLOOKUP(INDEX('章节与怪物'!$E$31:$K$37,B863,5),'章节与怪物'!$A$41:$F$44,4,FALSE)+IF(5=D863,'难度参数'!$E$30,0))</x:f>
        <x:v>954</x:v>
      </x:c>
      <x:c r="AR863" s="119" t="n">
        <x:f>IF(6&gt;D863,0,MAX(2,MIN('难度参数'!$E$12,ROUND(('难度参数'!$E$18*POWER(A863,'难度参数'!$E$19)/D863*(0.85+0.3*(6-1)/MAX(1,D863-1))),0)+F863)))</x:f>
        <x:v>55</x:v>
      </x:c>
      <x:c r="AS863" s="119" t="n">
        <x:f>IF(6&gt;D863,0,ROUND(('难度参数'!$E$13*POWER(A863,'难度参数'!$E$20)*MIN('难度参数'!$E$23,1+MAX(0,A863-'难度参数'!$E$21)*'难度参数'!$E$22))*(36+6*7)/(36+7*(D863+1)/2)*E863,0))</x:f>
        <x:v>21281</x:v>
      </x:c>
      <x:c r="AT863" s="119" t="n">
        <x:f>IF(AR863=0,0,(AR863-IF(6=D863,1,0))*ROUND(AS863*VLOOKUP(INDEX('章节与怪物'!$E$31:$K$37,B863,6),'章节与怪物'!$A$41:$F$44,2,FALSE),0)+IF(6=D863,ROUND(AS863*'难度参数'!$E$28*'章节与怪物'!$E$17,0),0))</x:f>
        <x:v>842710</x:v>
      </x:c>
      <x:c r="AU863" s="119" t="n">
        <x:f>IF(AR863=0,0,(AR863-IF(6=D863,1,0))*VLOOKUP(INDEX('章节与怪物'!$E$31:$K$37,B863,6),'章节与怪物'!$A$41:$F$44,4,FALSE)+IF(6=D863,'难度参数'!$E$30,0))</x:f>
        <x:v>1100</x:v>
      </x:c>
      <x:c r="AV863" s="119" t="n">
        <x:f>IF(7&gt;D863,0,MAX(2,MIN('难度参数'!$E$12,ROUND(('难度参数'!$E$18*POWER(A863,'难度参数'!$E$19)/D863*(0.85+0.3*(7-1)/MAX(1,D863-1))),0)+F863)))</x:f>
        <x:v>58</x:v>
      </x:c>
      <x:c r="AW863" s="119" t="n">
        <x:f>IF(7&gt;D863,0,ROUND(('难度参数'!$E$13*POWER(A863,'难度参数'!$E$20)*MIN('难度参数'!$E$23,1+MAX(0,A863-'难度参数'!$E$21)*'难度参数'!$E$22))*(36+7*7)/(36+7*(D863+1)/2)*E863,0))</x:f>
        <x:v>23191</x:v>
      </x:c>
      <x:c r="AX863" s="119" t="n">
        <x:f>IF(AV863=0,0,(AV863-IF(7=D863,1,0))*ROUND(AW863*VLOOKUP(INDEX('章节与怪物'!$E$31:$K$37,B863,7),'章节与怪物'!$A$41:$F$44,2,FALSE),0)+IF(7=D863,ROUND(AW863*'难度参数'!$E$28*'章节与怪物'!$E$17,0),0))</x:f>
        <x:v>1942255</x:v>
      </x:c>
      <x:c r="AY863" s="119" t="n">
        <x:f>IF(AV863=0,0,(AV863-IF(7=D863,1,0))*VLOOKUP(INDEX('章节与怪物'!$E$31:$K$37,B863,7),'章节与怪物'!$A$41:$F$44,4,FALSE)+IF(7=D863,'难度参数'!$E$30,0))</x:f>
        <x:v>2138</x:v>
      </x:c>
    </x:row>
    <x:row r="864" ht="23" customHeight="1">
      <x:c r="A864" s="119" t="n">
        <x:v>858</x:v>
      </x:c>
      <x:c r="B864" s="119" t="n">
        <x:f>MOD(INT((A864-1)/5),7)+1</x:f>
        <x:v>4</x:v>
      </x:c>
      <x:c r="C864" s="62" t="str">
        <x:f>INDEX('章节与怪物'!$B$31:$B$37,B864)</x:f>
        <x:v>翠野边城</x:v>
      </x:c>
      <x:c r="D864" s="119" t="n">
        <x:f>MIN('难度参数'!$E$8,MAX('难度参数'!$E$7,A864))</x:f>
        <x:v>7</x:v>
      </x:c>
      <x:c r="E864" s="106" t="n">
        <x:v>1</x:v>
      </x:c>
      <x:c r="F864" s="106" t="n">
        <x:v>0</x:v>
      </x:c>
      <x:c r="G864" s="106" t="n">
        <x:v>1</x:v>
      </x:c>
      <x:c r="H864" s="119" t="n">
        <x:f>SUM(X864,AB864,AF864,AJ864,AN864,AR864,AV864)</x:f>
        <x:v>352</x:v>
      </x:c>
      <x:c r="I864" s="119" t="n">
        <x:f>SUM(Z864,AD864,AH864,AL864,AP864,AT864,AX864)</x:f>
        <x:v>7242540</x:v>
      </x:c>
      <x:c r="J864" s="119" t="n">
        <x:f>ROUND(INDEX(X864:AY864,1,(D864-1)*4+2)*'难度参数'!$E$28*'章节与怪物'!$E$17,0)</x:f>
        <x:v>157828</x:v>
      </x:c>
      <x:c r="K864" s="119" t="n">
        <x:f>SUM(AA864,AE864,AI864,AM864,AQ864,AU864,AY864)</x:f>
        <x:v>8906</x:v>
      </x:c>
      <x:c r="L864" s="62" t="n">
        <x:f>H864*(ROUNDUP('难度参数'!$E$24/('难度参数'!$E$26*'难度参数'!$E$27),0)*'难度参数'!$E$26)/60</x:f>
        <x:v>4.693333333333333</x:v>
      </x:c>
      <x:c r="M864" s="62" t="n">
        <x:f>L864+D864*('难度参数'!$E$49+'难度参数'!$E$50)/60</x:f>
        <x:v>5.86</x:v>
      </x:c>
      <x:c r="N864" s="119" t="n">
        <x:f>ROUNDDOWN(('经济参数'!$E$20+A864*'经济参数'!$E$21)*G864,0)</x:f>
        <x:v>17340</x:v>
      </x:c>
      <x:c r="O864" s="119" t="n">
        <x:f>ROUNDDOWN(MIN('经济参数'!$E$24,'经济参数'!$E$22+A864*'经济参数'!$E$23)*G864,0)</x:f>
        <x:v>0</x:v>
      </x:c>
      <x:c r="P864" s="119" t="n">
        <x:f>ROUNDDOWN((IF(A864&gt;='材料与任务'!$E$31,'材料与任务'!$E$32,IF(A864&gt;='材料与任务'!$E$25,'材料与任务'!$E$26,IF(A864&gt;='材料与任务'!$E$19,'材料与任务'!$E$20,IF(A864&gt;='材料与任务'!$E$13,'材料与任务'!$E$14,'材料与任务'!$E$8)))))*G864,0)</x:f>
        <x:v>6</x:v>
      </x:c>
      <x:c r="Q864" s="119" t="n">
        <x:f>ROUNDDOWN((IF(A864&gt;='材料与任务'!$E$31,'材料与任务'!$E$33,IF(A864&gt;='材料与任务'!$E$25,'材料与任务'!$E$27,IF(A864&gt;='材料与任务'!$E$19,'材料与任务'!$E$21,IF(A864&gt;='材料与任务'!$E$13,'材料与任务'!$E$15,'材料与任务'!$E$9)))))*G864,0)</x:f>
        <x:v>3</x:v>
      </x:c>
      <x:c r="R864" s="110" t="n">
        <x:f>'装备掉落'!$B$38</x:f>
        <x:v>0.6872058758851213</x:v>
      </x:c>
      <x:c r="S864" s="119" t="n">
        <x:f>MAX(IF(VLOOKUP(A864,'装备掉落'!$A$29:$H$34,2,TRUE)&gt;0,1,0),IF(VLOOKUP(A864,'装备掉落'!$A$29:$H$34,3,TRUE)&gt;0,2,0),IF(VLOOKUP(A864,'装备掉落'!$A$29:$H$34,4,TRUE)&gt;0,3,0),IF(VLOOKUP(A864,'装备掉落'!$A$29:$H$34,5,TRUE)&gt;0,4,0),IF(VLOOKUP(A864,'装备掉落'!$A$29:$H$34,6,TRUE)&gt;0,5,0),IF(VLOOKUP(A864,'装备掉落'!$A$29:$H$34,7,TRUE)&gt;0,6,0),IF(VLOOKUP(A864,'装备掉落'!$A$29:$H$34,8,TRUE)&gt;0,7,0))</x:f>
        <x:v>7</x:v>
      </x:c>
      <x:c r="T864" s="119" t="n">
        <x:f>MIN(7,S864+'经济参数'!$E$70)</x:f>
        <x:v>7</x:v>
      </x:c>
      <x:c r="U864" s="119" t="n">
        <x:f>MIN(7,S864+'经济参数'!$E$71)</x:f>
        <x:v>7</x:v>
      </x:c>
      <x:c r="V864" s="119" t="n">
        <x:f>IF(H864&gt;=('难度参数'!$E$52),1,0)+IF(H864&gt;=('难度参数'!$E$52+'难度参数'!$E$53),1,0)+IF(H864&gt;=('难度参数'!$E$52+'难度参数'!$E$53+'难度参数'!$E$54),1,0)+IF(H864&gt;=('难度参数'!$E$52+'难度参数'!$E$53+'难度参数'!$E$54+'难度参数'!$E$55),1,0)+IF(H864&gt;=('难度参数'!$E$52+'难度参数'!$E$53+'难度参数'!$E$54+'难度参数'!$E$55+'难度参数'!$E$56),1,0)+IF(H864&gt;=('难度参数'!$E$52+'难度参数'!$E$53+'难度参数'!$E$54+'难度参数'!$E$55+'难度参数'!$E$56+'难度参数'!$E$57),1,0)</x:f>
        <x:v>6</x:v>
      </x:c>
      <x:c r="W864" s="62" t="str">
        <x:f>IF(L864&gt;'难度参数'!$E$51,"仅出怪已超目标","还需实测")</x:f>
        <x:v>仅出怪已超目标</x:v>
      </x:c>
      <x:c r="X864" s="119" t="n">
        <x:f>IF(1&gt;D864,0,MAX(2,MIN('难度参数'!$E$12,ROUND(('难度参数'!$E$18*POWER(A864,'难度参数'!$E$19)/D864*(0.85+0.3*(1-1)/MAX(1,D864-1))),0)+F864)))</x:f>
        <x:v>43</x:v>
      </x:c>
      <x:c r="Y864" s="119" t="n">
        <x:f>IF(1&gt;D864,0,ROUND(('难度参数'!$E$13*POWER(A864,'难度参数'!$E$20)*MIN('难度参数'!$E$23,1+MAX(0,A864-'难度参数'!$E$21)*'难度参数'!$E$22))*(36+1*7)/(36+7*(D864+1)/2)*E864,0))</x:f>
        <x:v>11742</x:v>
      </x:c>
      <x:c r="Z864" s="119" t="n">
        <x:f>IF(X864=0,0,(X864-IF(1=D864,1,0))*ROUND(Y864*VLOOKUP(INDEX('章节与怪物'!$E$31:$K$37,B864,1),'章节与怪物'!$A$41:$F$44,2,FALSE),0)+IF(1=D864,ROUND(Y864*'难度参数'!$E$28*'章节与怪物'!$E$17,0),0))</x:f>
        <x:v>363522</x:v>
      </x:c>
      <x:c r="AA864" s="119" t="n">
        <x:f>IF(X864=0,0,(X864-IF(1=D864,1,0))*VLOOKUP(INDEX('章节与怪物'!$E$31:$K$37,B864,1),'章节与怪物'!$A$41:$F$44,4,FALSE)+IF(1=D864,'难度参数'!$E$30,0))</x:f>
        <x:v>860</x:v>
      </x:c>
      <x:c r="AB864" s="119" t="n">
        <x:f>IF(2&gt;D864,0,MAX(2,MIN('难度参数'!$E$12,ROUND(('难度参数'!$E$18*POWER(A864,'难度参数'!$E$19)/D864*(0.85+0.3*(2-1)/MAX(1,D864-1))),0)+F864)))</x:f>
        <x:v>45</x:v>
      </x:c>
      <x:c r="AC864" s="119" t="n">
        <x:f>IF(2&gt;D864,0,ROUND(('难度参数'!$E$13*POWER(A864,'难度参数'!$E$20)*MIN('难度参数'!$E$23,1+MAX(0,A864-'难度参数'!$E$21)*'难度参数'!$E$22))*(36+2*7)/(36+7*(D864+1)/2)*E864,0))</x:f>
        <x:v>13653</x:v>
      </x:c>
      <x:c r="AD864" s="119" t="n">
        <x:f>IF(AB864=0,0,(AB864-IF(2=D864,1,0))*ROUND(AC864*VLOOKUP(INDEX('章节与怪物'!$E$31:$K$37,B864,2),'章节与怪物'!$A$41:$F$44,2,FALSE),0)+IF(2=D864,ROUND(AC864*'难度参数'!$E$28*'章节与怪物'!$E$17,0),0))</x:f>
        <x:v>614385</x:v>
      </x:c>
      <x:c r="AE864" s="119" t="n">
        <x:f>IF(AB864=0,0,(AB864-IF(2=D864,1,0))*VLOOKUP(INDEX('章节与怪物'!$E$31:$K$37,B864,2),'章节与怪物'!$A$41:$F$44,4,FALSE)+IF(2=D864,'难度参数'!$E$30,0))</x:f>
        <x:v>810</x:v>
      </x:c>
      <x:c r="AF864" s="119" t="n">
        <x:f>IF(3&gt;D864,0,MAX(2,MIN('难度参数'!$E$12,ROUND(('难度参数'!$E$18*POWER(A864,'难度参数'!$E$19)/D864*(0.85+0.3*(3-1)/MAX(1,D864-1))),0)+F864)))</x:f>
        <x:v>48</x:v>
      </x:c>
      <x:c r="AG864" s="119" t="n">
        <x:f>IF(3&gt;D864,0,ROUND(('难度参数'!$E$13*POWER(A864,'难度参数'!$E$20)*MIN('难度参数'!$E$23,1+MAX(0,A864-'难度参数'!$E$21)*'难度参数'!$E$22))*(36+3*7)/(36+7*(D864+1)/2)*E864,0))</x:f>
        <x:v>15565</x:v>
      </x:c>
      <x:c r="AH864" s="119" t="n">
        <x:f>IF(AF864=0,0,(AF864-IF(3=D864,1,0))*ROUND(AG864*VLOOKUP(INDEX('章节与怪物'!$E$31:$K$37,B864,3),'章节与怪物'!$A$41:$F$44,2,FALSE),0)+IF(3=D864,ROUND(AG864*'难度参数'!$E$28*'章节与怪物'!$E$17,0),0))</x:f>
        <x:v>1270128</x:v>
      </x:c>
      <x:c r="AI864" s="119" t="n">
        <x:f>IF(AF864=0,0,(AF864-IF(3=D864,1,0))*VLOOKUP(INDEX('章节与怪物'!$E$31:$K$37,B864,3),'章节与怪物'!$A$41:$F$44,4,FALSE)+IF(3=D864,'难度参数'!$E$30,0))</x:f>
        <x:v>1344</x:v>
      </x:c>
      <x:c r="AJ864" s="119" t="n">
        <x:f>IF(4&gt;D864,0,MAX(2,MIN('难度参数'!$E$12,ROUND(('难度参数'!$E$18*POWER(A864,'难度参数'!$E$19)/D864*(0.85+0.3*(4-1)/MAX(1,D864-1))),0)+F864)))</x:f>
        <x:v>50</x:v>
      </x:c>
      <x:c r="AK864" s="119" t="n">
        <x:f>IF(4&gt;D864,0,ROUND(('难度参数'!$E$13*POWER(A864,'难度参数'!$E$20)*MIN('难度参数'!$E$23,1+MAX(0,A864-'难度参数'!$E$21)*'难度参数'!$E$22))*(36+4*7)/(36+7*(D864+1)/2)*E864,0))</x:f>
        <x:v>17476</x:v>
      </x:c>
      <x:c r="AL864" s="119" t="n">
        <x:f>IF(AJ864=0,0,(AJ864-IF(4=D864,1,0))*ROUND(AK864*VLOOKUP(INDEX('章节与怪物'!$E$31:$K$37,B864,4),'章节与怪物'!$A$41:$F$44,2,FALSE),0)+IF(4=D864,ROUND(AK864*'难度参数'!$E$28*'章节与怪物'!$E$17,0),0))</x:f>
        <x:v>1179650</x:v>
      </x:c>
      <x:c r="AM864" s="119" t="n">
        <x:f>IF(AJ864=0,0,(AJ864-IF(4=D864,1,0))*VLOOKUP(INDEX('章节与怪物'!$E$31:$K$37,B864,4),'章节与怪物'!$A$41:$F$44,4,FALSE)+IF(4=D864,'难度参数'!$E$30,0))</x:f>
        <x:v>1700</x:v>
      </x:c>
      <x:c r="AN864" s="119" t="n">
        <x:f>IF(5&gt;D864,0,MAX(2,MIN('难度参数'!$E$12,ROUND(('难度参数'!$E$18*POWER(A864,'难度参数'!$E$19)/D864*(0.85+0.3*(5-1)/MAX(1,D864-1))),0)+F864)))</x:f>
        <x:v>53</x:v>
      </x:c>
      <x:c r="AO864" s="119" t="n">
        <x:f>IF(5&gt;D864,0,ROUND(('难度参数'!$E$13*POWER(A864,'难度参数'!$E$20)*MIN('难度参数'!$E$23,1+MAX(0,A864-'难度参数'!$E$21)*'难度参数'!$E$22))*(36+5*7)/(36+7*(D864+1)/2)*E864,0))</x:f>
        <x:v>19388</x:v>
      </x:c>
      <x:c r="AP864" s="119" t="n">
        <x:f>IF(AN864=0,0,(AN864-IF(5=D864,1,0))*ROUND(AO864*VLOOKUP(INDEX('章节与怪物'!$E$31:$K$37,B864,5),'章节与怪物'!$A$41:$F$44,2,FALSE),0)+IF(5=D864,ROUND(AO864*'难度参数'!$E$28*'章节与怪物'!$E$17,0),0))</x:f>
        <x:v>1027564</x:v>
      </x:c>
      <x:c r="AQ864" s="119" t="n">
        <x:f>IF(AN864=0,0,(AN864-IF(5=D864,1,0))*VLOOKUP(INDEX('章节与怪物'!$E$31:$K$37,B864,5),'章节与怪物'!$A$41:$F$44,4,FALSE)+IF(5=D864,'难度参数'!$E$30,0))</x:f>
        <x:v>954</x:v>
      </x:c>
      <x:c r="AR864" s="119" t="n">
        <x:f>IF(6&gt;D864,0,MAX(2,MIN('难度参数'!$E$12,ROUND(('难度参数'!$E$18*POWER(A864,'难度参数'!$E$19)/D864*(0.85+0.3*(6-1)/MAX(1,D864-1))),0)+F864)))</x:f>
        <x:v>55</x:v>
      </x:c>
      <x:c r="AS864" s="119" t="n">
        <x:f>IF(6&gt;D864,0,ROUND(('难度参数'!$E$13*POWER(A864,'难度参数'!$E$20)*MIN('难度参数'!$E$23,1+MAX(0,A864-'难度参数'!$E$21)*'难度参数'!$E$22))*(36+6*7)/(36+7*(D864+1)/2)*E864,0))</x:f>
        <x:v>21299</x:v>
      </x:c>
      <x:c r="AT864" s="119" t="n">
        <x:f>IF(AR864=0,0,(AR864-IF(6=D864,1,0))*ROUND(AS864*VLOOKUP(INDEX('章节与怪物'!$E$31:$K$37,B864,6),'章节与怪物'!$A$41:$F$44,2,FALSE),0)+IF(6=D864,ROUND(AS864*'难度参数'!$E$28*'章节与怪物'!$E$17,0),0))</x:f>
        <x:v>843425</x:v>
      </x:c>
      <x:c r="AU864" s="119" t="n">
        <x:f>IF(AR864=0,0,(AR864-IF(6=D864,1,0))*VLOOKUP(INDEX('章节与怪物'!$E$31:$K$37,B864,6),'章节与怪物'!$A$41:$F$44,4,FALSE)+IF(6=D864,'难度参数'!$E$30,0))</x:f>
        <x:v>1100</x:v>
      </x:c>
      <x:c r="AV864" s="119" t="n">
        <x:f>IF(7&gt;D864,0,MAX(2,MIN('难度参数'!$E$12,ROUND(('难度参数'!$E$18*POWER(A864,'难度参数'!$E$19)/D864*(0.85+0.3*(7-1)/MAX(1,D864-1))),0)+F864)))</x:f>
        <x:v>58</x:v>
      </x:c>
      <x:c r="AW864" s="119" t="n">
        <x:f>IF(7&gt;D864,0,ROUND(('难度参数'!$E$13*POWER(A864,'难度参数'!$E$20)*MIN('难度参数'!$E$23,1+MAX(0,A864-'难度参数'!$E$21)*'难度参数'!$E$22))*(36+7*7)/(36+7*(D864+1)/2)*E864,0))</x:f>
        <x:v>23210</x:v>
      </x:c>
      <x:c r="AX864" s="119" t="n">
        <x:f>IF(AV864=0,0,(AV864-IF(7=D864,1,0))*ROUND(AW864*VLOOKUP(INDEX('章节与怪物'!$E$31:$K$37,B864,7),'章节与怪物'!$A$41:$F$44,2,FALSE),0)+IF(7=D864,ROUND(AW864*'难度参数'!$E$28*'章节与怪物'!$E$17,0),0))</x:f>
        <x:v>1943866</x:v>
      </x:c>
      <x:c r="AY864" s="119" t="n">
        <x:f>IF(AV864=0,0,(AV864-IF(7=D864,1,0))*VLOOKUP(INDEX('章节与怪物'!$E$31:$K$37,B864,7),'章节与怪物'!$A$41:$F$44,4,FALSE)+IF(7=D864,'难度参数'!$E$30,0))</x:f>
        <x:v>2138</x:v>
      </x:c>
    </x:row>
    <x:row r="865" ht="23" customHeight="1">
      <x:c r="A865" s="119" t="n">
        <x:v>859</x:v>
      </x:c>
      <x:c r="B865" s="119" t="n">
        <x:f>MOD(INT((A865-1)/5),7)+1</x:f>
        <x:v>4</x:v>
      </x:c>
      <x:c r="C865" s="62" t="str">
        <x:f>INDEX('章节与怪物'!$B$31:$B$37,B865)</x:f>
        <x:v>翠野边城</x:v>
      </x:c>
      <x:c r="D865" s="119" t="n">
        <x:f>MIN('难度参数'!$E$8,MAX('难度参数'!$E$7,A865))</x:f>
        <x:v>7</x:v>
      </x:c>
      <x:c r="E865" s="106" t="n">
        <x:v>1</x:v>
      </x:c>
      <x:c r="F865" s="106" t="n">
        <x:v>0</x:v>
      </x:c>
      <x:c r="G865" s="106" t="n">
        <x:v>1</x:v>
      </x:c>
      <x:c r="H865" s="119" t="n">
        <x:f>SUM(X865,AB865,AF865,AJ865,AN865,AR865,AV865)</x:f>
        <x:v>352</x:v>
      </x:c>
      <x:c r="I865" s="119" t="n">
        <x:f>SUM(Z865,AD865,AH865,AL865,AP865,AT865,AX865)</x:f>
        <x:v>7248675</x:v>
      </x:c>
      <x:c r="J865" s="119" t="n">
        <x:f>ROUND(INDEX(X865:AY865,1,(D865-1)*4+2)*'难度参数'!$E$28*'章节与怪物'!$E$17,0)</x:f>
        <x:v>157964</x:v>
      </x:c>
      <x:c r="K865" s="119" t="n">
        <x:f>SUM(AA865,AE865,AI865,AM865,AQ865,AU865,AY865)</x:f>
        <x:v>8906</x:v>
      </x:c>
      <x:c r="L865" s="62" t="n">
        <x:f>H865*(ROUNDUP('难度参数'!$E$24/('难度参数'!$E$26*'难度参数'!$E$27),0)*'难度参数'!$E$26)/60</x:f>
        <x:v>4.693333333333333</x:v>
      </x:c>
      <x:c r="M865" s="62" t="n">
        <x:f>L865+D865*('难度参数'!$E$49+'难度参数'!$E$50)/60</x:f>
        <x:v>5.86</x:v>
      </x:c>
      <x:c r="N865" s="119" t="n">
        <x:f>ROUNDDOWN(('经济参数'!$E$20+A865*'经济参数'!$E$21)*G865,0)</x:f>
        <x:v>17360</x:v>
      </x:c>
      <x:c r="O865" s="119" t="n">
        <x:f>ROUNDDOWN(MIN('经济参数'!$E$24,'经济参数'!$E$22+A865*'经济参数'!$E$23)*G865,0)</x:f>
        <x:v>0</x:v>
      </x:c>
      <x:c r="P865" s="119" t="n">
        <x:f>ROUNDDOWN((IF(A865&gt;='材料与任务'!$E$31,'材料与任务'!$E$32,IF(A865&gt;='材料与任务'!$E$25,'材料与任务'!$E$26,IF(A865&gt;='材料与任务'!$E$19,'材料与任务'!$E$20,IF(A865&gt;='材料与任务'!$E$13,'材料与任务'!$E$14,'材料与任务'!$E$8)))))*G865,0)</x:f>
        <x:v>6</x:v>
      </x:c>
      <x:c r="Q865" s="119" t="n">
        <x:f>ROUNDDOWN((IF(A865&gt;='材料与任务'!$E$31,'材料与任务'!$E$33,IF(A865&gt;='材料与任务'!$E$25,'材料与任务'!$E$27,IF(A865&gt;='材料与任务'!$E$19,'材料与任务'!$E$21,IF(A865&gt;='材料与任务'!$E$13,'材料与任务'!$E$15,'材料与任务'!$E$9)))))*G865,0)</x:f>
        <x:v>3</x:v>
      </x:c>
      <x:c r="R865" s="110" t="n">
        <x:f>'装备掉落'!$B$38</x:f>
        <x:v>0.6872058758851213</x:v>
      </x:c>
      <x:c r="S865" s="119" t="n">
        <x:f>MAX(IF(VLOOKUP(A865,'装备掉落'!$A$29:$H$34,2,TRUE)&gt;0,1,0),IF(VLOOKUP(A865,'装备掉落'!$A$29:$H$34,3,TRUE)&gt;0,2,0),IF(VLOOKUP(A865,'装备掉落'!$A$29:$H$34,4,TRUE)&gt;0,3,0),IF(VLOOKUP(A865,'装备掉落'!$A$29:$H$34,5,TRUE)&gt;0,4,0),IF(VLOOKUP(A865,'装备掉落'!$A$29:$H$34,6,TRUE)&gt;0,5,0),IF(VLOOKUP(A865,'装备掉落'!$A$29:$H$34,7,TRUE)&gt;0,6,0),IF(VLOOKUP(A865,'装备掉落'!$A$29:$H$34,8,TRUE)&gt;0,7,0))</x:f>
        <x:v>7</x:v>
      </x:c>
      <x:c r="T865" s="119" t="n">
        <x:f>MIN(7,S865+'经济参数'!$E$70)</x:f>
        <x:v>7</x:v>
      </x:c>
      <x:c r="U865" s="119" t="n">
        <x:f>MIN(7,S865+'经济参数'!$E$71)</x:f>
        <x:v>7</x:v>
      </x:c>
      <x:c r="V865" s="119" t="n">
        <x:f>IF(H865&gt;=('难度参数'!$E$52),1,0)+IF(H865&gt;=('难度参数'!$E$52+'难度参数'!$E$53),1,0)+IF(H865&gt;=('难度参数'!$E$52+'难度参数'!$E$53+'难度参数'!$E$54),1,0)+IF(H865&gt;=('难度参数'!$E$52+'难度参数'!$E$53+'难度参数'!$E$54+'难度参数'!$E$55),1,0)+IF(H865&gt;=('难度参数'!$E$52+'难度参数'!$E$53+'难度参数'!$E$54+'难度参数'!$E$55+'难度参数'!$E$56),1,0)+IF(H865&gt;=('难度参数'!$E$52+'难度参数'!$E$53+'难度参数'!$E$54+'难度参数'!$E$55+'难度参数'!$E$56+'难度参数'!$E$57),1,0)</x:f>
        <x:v>6</x:v>
      </x:c>
      <x:c r="W865" s="62" t="str">
        <x:f>IF(L865&gt;'难度参数'!$E$51,"仅出怪已超目标","还需实测")</x:f>
        <x:v>仅出怪已超目标</x:v>
      </x:c>
      <x:c r="X865" s="119" t="n">
        <x:f>IF(1&gt;D865,0,MAX(2,MIN('难度参数'!$E$12,ROUND(('难度参数'!$E$18*POWER(A865,'难度参数'!$E$19)/D865*(0.85+0.3*(1-1)/MAX(1,D865-1))),0)+F865)))</x:f>
        <x:v>43</x:v>
      </x:c>
      <x:c r="Y865" s="119" t="n">
        <x:f>IF(1&gt;D865,0,ROUND(('难度参数'!$E$13*POWER(A865,'难度参数'!$E$20)*MIN('难度参数'!$E$23,1+MAX(0,A865-'难度参数'!$E$21)*'难度参数'!$E$22))*(36+1*7)/(36+7*(D865+1)/2)*E865,0))</x:f>
        <x:v>11752</x:v>
      </x:c>
      <x:c r="Z865" s="119" t="n">
        <x:f>IF(X865=0,0,(X865-IF(1=D865,1,0))*ROUND(Y865*VLOOKUP(INDEX('章节与怪物'!$E$31:$K$37,B865,1),'章节与怪物'!$A$41:$F$44,2,FALSE),0)+IF(1=D865,ROUND(Y865*'难度参数'!$E$28*'章节与怪物'!$E$17,0),0))</x:f>
        <x:v>363823</x:v>
      </x:c>
      <x:c r="AA865" s="119" t="n">
        <x:f>IF(X865=0,0,(X865-IF(1=D865,1,0))*VLOOKUP(INDEX('章节与怪物'!$E$31:$K$37,B865,1),'章节与怪物'!$A$41:$F$44,4,FALSE)+IF(1=D865,'难度参数'!$E$30,0))</x:f>
        <x:v>860</x:v>
      </x:c>
      <x:c r="AB865" s="119" t="n">
        <x:f>IF(2&gt;D865,0,MAX(2,MIN('难度参数'!$E$12,ROUND(('难度参数'!$E$18*POWER(A865,'难度参数'!$E$19)/D865*(0.85+0.3*(2-1)/MAX(1,D865-1))),0)+F865)))</x:f>
        <x:v>45</x:v>
      </x:c>
      <x:c r="AC865" s="119" t="n">
        <x:f>IF(2&gt;D865,0,ROUND(('难度参数'!$E$13*POWER(A865,'难度参数'!$E$20)*MIN('难度参数'!$E$23,1+MAX(0,A865-'难度参数'!$E$21)*'难度参数'!$E$22))*(36+2*7)/(36+7*(D865+1)/2)*E865,0))</x:f>
        <x:v>13665</x:v>
      </x:c>
      <x:c r="AD865" s="119" t="n">
        <x:f>IF(AB865=0,0,(AB865-IF(2=D865,1,0))*ROUND(AC865*VLOOKUP(INDEX('章节与怪物'!$E$31:$K$37,B865,2),'章节与怪物'!$A$41:$F$44,2,FALSE),0)+IF(2=D865,ROUND(AC865*'难度参数'!$E$28*'章节与怪物'!$E$17,0),0))</x:f>
        <x:v>614925</x:v>
      </x:c>
      <x:c r="AE865" s="119" t="n">
        <x:f>IF(AB865=0,0,(AB865-IF(2=D865,1,0))*VLOOKUP(INDEX('章节与怪物'!$E$31:$K$37,B865,2),'章节与怪物'!$A$41:$F$44,4,FALSE)+IF(2=D865,'难度参数'!$E$30,0))</x:f>
        <x:v>810</x:v>
      </x:c>
      <x:c r="AF865" s="119" t="n">
        <x:f>IF(3&gt;D865,0,MAX(2,MIN('难度参数'!$E$12,ROUND(('难度参数'!$E$18*POWER(A865,'难度参数'!$E$19)/D865*(0.85+0.3*(3-1)/MAX(1,D865-1))),0)+F865)))</x:f>
        <x:v>48</x:v>
      </x:c>
      <x:c r="AG865" s="119" t="n">
        <x:f>IF(3&gt;D865,0,ROUND(('难度参数'!$E$13*POWER(A865,'难度参数'!$E$20)*MIN('难度参数'!$E$23,1+MAX(0,A865-'难度参数'!$E$21)*'难度参数'!$E$22))*(36+3*7)/(36+7*(D865+1)/2)*E865,0))</x:f>
        <x:v>15578</x:v>
      </x:c>
      <x:c r="AH865" s="119" t="n">
        <x:f>IF(AF865=0,0,(AF865-IF(3=D865,1,0))*ROUND(AG865*VLOOKUP(INDEX('章节与怪物'!$E$31:$K$37,B865,3),'章节与怪物'!$A$41:$F$44,2,FALSE),0)+IF(3=D865,ROUND(AG865*'难度参数'!$E$28*'章节与怪物'!$E$17,0),0))</x:f>
        <x:v>1271184</x:v>
      </x:c>
      <x:c r="AI865" s="119" t="n">
        <x:f>IF(AF865=0,0,(AF865-IF(3=D865,1,0))*VLOOKUP(INDEX('章节与怪物'!$E$31:$K$37,B865,3),'章节与怪物'!$A$41:$F$44,4,FALSE)+IF(3=D865,'难度参数'!$E$30,0))</x:f>
        <x:v>1344</x:v>
      </x:c>
      <x:c r="AJ865" s="119" t="n">
        <x:f>IF(4&gt;D865,0,MAX(2,MIN('难度参数'!$E$12,ROUND(('难度参数'!$E$18*POWER(A865,'难度参数'!$E$19)/D865*(0.85+0.3*(4-1)/MAX(1,D865-1))),0)+F865)))</x:f>
        <x:v>50</x:v>
      </x:c>
      <x:c r="AK865" s="119" t="n">
        <x:f>IF(4&gt;D865,0,ROUND(('难度参数'!$E$13*POWER(A865,'难度参数'!$E$20)*MIN('难度参数'!$E$23,1+MAX(0,A865-'难度参数'!$E$21)*'难度参数'!$E$22))*(36+4*7)/(36+7*(D865+1)/2)*E865,0))</x:f>
        <x:v>17491</x:v>
      </x:c>
      <x:c r="AL865" s="119" t="n">
        <x:f>IF(AJ865=0,0,(AJ865-IF(4=D865,1,0))*ROUND(AK865*VLOOKUP(INDEX('章节与怪物'!$E$31:$K$37,B865,4),'章节与怪物'!$A$41:$F$44,2,FALSE),0)+IF(4=D865,ROUND(AK865*'难度参数'!$E$28*'章节与怪物'!$E$17,0),0))</x:f>
        <x:v>1180650</x:v>
      </x:c>
      <x:c r="AM865" s="119" t="n">
        <x:f>IF(AJ865=0,0,(AJ865-IF(4=D865,1,0))*VLOOKUP(INDEX('章节与怪物'!$E$31:$K$37,B865,4),'章节与怪物'!$A$41:$F$44,4,FALSE)+IF(4=D865,'难度参数'!$E$30,0))</x:f>
        <x:v>1700</x:v>
      </x:c>
      <x:c r="AN865" s="119" t="n">
        <x:f>IF(5&gt;D865,0,MAX(2,MIN('难度参数'!$E$12,ROUND(('难度参数'!$E$18*POWER(A865,'难度参数'!$E$19)/D865*(0.85+0.3*(5-1)/MAX(1,D865-1))),0)+F865)))</x:f>
        <x:v>53</x:v>
      </x:c>
      <x:c r="AO865" s="119" t="n">
        <x:f>IF(5&gt;D865,0,ROUND(('难度参数'!$E$13*POWER(A865,'难度参数'!$E$20)*MIN('难度参数'!$E$23,1+MAX(0,A865-'难度参数'!$E$21)*'难度参数'!$E$22))*(36+5*7)/(36+7*(D865+1)/2)*E865,0))</x:f>
        <x:v>19404</x:v>
      </x:c>
      <x:c r="AP865" s="119" t="n">
        <x:f>IF(AN865=0,0,(AN865-IF(5=D865,1,0))*ROUND(AO865*VLOOKUP(INDEX('章节与怪物'!$E$31:$K$37,B865,5),'章节与怪物'!$A$41:$F$44,2,FALSE),0)+IF(5=D865,ROUND(AO865*'难度参数'!$E$28*'章节与怪物'!$E$17,0),0))</x:f>
        <x:v>1028412</x:v>
      </x:c>
      <x:c r="AQ865" s="119" t="n">
        <x:f>IF(AN865=0,0,(AN865-IF(5=D865,1,0))*VLOOKUP(INDEX('章节与怪物'!$E$31:$K$37,B865,5),'章节与怪物'!$A$41:$F$44,4,FALSE)+IF(5=D865,'难度参数'!$E$30,0))</x:f>
        <x:v>954</x:v>
      </x:c>
      <x:c r="AR865" s="119" t="n">
        <x:f>IF(6&gt;D865,0,MAX(2,MIN('难度参数'!$E$12,ROUND(('难度参数'!$E$18*POWER(A865,'难度参数'!$E$19)/D865*(0.85+0.3*(6-1)/MAX(1,D865-1))),0)+F865)))</x:f>
        <x:v>55</x:v>
      </x:c>
      <x:c r="AS865" s="119" t="n">
        <x:f>IF(6&gt;D865,0,ROUND(('难度参数'!$E$13*POWER(A865,'难度参数'!$E$20)*MIN('难度参数'!$E$23,1+MAX(0,A865-'难度参数'!$E$21)*'难度参数'!$E$22))*(36+6*7)/(36+7*(D865+1)/2)*E865,0))</x:f>
        <x:v>21317</x:v>
      </x:c>
      <x:c r="AT865" s="119" t="n">
        <x:f>IF(AR865=0,0,(AR865-IF(6=D865,1,0))*ROUND(AS865*VLOOKUP(INDEX('章节与怪物'!$E$31:$K$37,B865,6),'章节与怪物'!$A$41:$F$44,2,FALSE),0)+IF(6=D865,ROUND(AS865*'难度参数'!$E$28*'章节与怪物'!$E$17,0),0))</x:f>
        <x:v>844140</x:v>
      </x:c>
      <x:c r="AU865" s="119" t="n">
        <x:f>IF(AR865=0,0,(AR865-IF(6=D865,1,0))*VLOOKUP(INDEX('章节与怪物'!$E$31:$K$37,B865,6),'章节与怪物'!$A$41:$F$44,4,FALSE)+IF(6=D865,'难度参数'!$E$30,0))</x:f>
        <x:v>1100</x:v>
      </x:c>
      <x:c r="AV865" s="119" t="n">
        <x:f>IF(7&gt;D865,0,MAX(2,MIN('难度参数'!$E$12,ROUND(('难度参数'!$E$18*POWER(A865,'难度参数'!$E$19)/D865*(0.85+0.3*(7-1)/MAX(1,D865-1))),0)+F865)))</x:f>
        <x:v>58</x:v>
      </x:c>
      <x:c r="AW865" s="119" t="n">
        <x:f>IF(7&gt;D865,0,ROUND(('难度参数'!$E$13*POWER(A865,'难度参数'!$E$20)*MIN('难度参数'!$E$23,1+MAX(0,A865-'难度参数'!$E$21)*'难度参数'!$E$22))*(36+7*7)/(36+7*(D865+1)/2)*E865,0))</x:f>
        <x:v>23230</x:v>
      </x:c>
      <x:c r="AX865" s="119" t="n">
        <x:f>IF(AV865=0,0,(AV865-IF(7=D865,1,0))*ROUND(AW865*VLOOKUP(INDEX('章节与怪物'!$E$31:$K$37,B865,7),'章节与怪物'!$A$41:$F$44,2,FALSE),0)+IF(7=D865,ROUND(AW865*'难度参数'!$E$28*'章节与怪物'!$E$17,0),0))</x:f>
        <x:v>1945541</x:v>
      </x:c>
      <x:c r="AY865" s="119" t="n">
        <x:f>IF(AV865=0,0,(AV865-IF(7=D865,1,0))*VLOOKUP(INDEX('章节与怪物'!$E$31:$K$37,B865,7),'章节与怪物'!$A$41:$F$44,4,FALSE)+IF(7=D865,'难度参数'!$E$30,0))</x:f>
        <x:v>2138</x:v>
      </x:c>
    </x:row>
    <x:row r="866" ht="23" customHeight="1">
      <x:c r="A866" s="119" t="n">
        <x:v>860</x:v>
      </x:c>
      <x:c r="B866" s="119" t="n">
        <x:f>MOD(INT((A866-1)/5),7)+1</x:f>
        <x:v>4</x:v>
      </x:c>
      <x:c r="C866" s="62" t="str">
        <x:f>INDEX('章节与怪物'!$B$31:$B$37,B866)</x:f>
        <x:v>翠野边城</x:v>
      </x:c>
      <x:c r="D866" s="119" t="n">
        <x:f>MIN('难度参数'!$E$8,MAX('难度参数'!$E$7,A866))</x:f>
        <x:v>7</x:v>
      </x:c>
      <x:c r="E866" s="106" t="n">
        <x:v>1</x:v>
      </x:c>
      <x:c r="F866" s="106" t="n">
        <x:v>0</x:v>
      </x:c>
      <x:c r="G866" s="106" t="n">
        <x:v>1</x:v>
      </x:c>
      <x:c r="H866" s="119" t="n">
        <x:f>SUM(X866,AB866,AF866,AJ866,AN866,AR866,AV866)</x:f>
        <x:v>352</x:v>
      </x:c>
      <x:c r="I866" s="119" t="n">
        <x:f>SUM(Z866,AD866,AH866,AL866,AP866,AT866,AX866)</x:f>
        <x:v>7254594</x:v>
      </x:c>
      <x:c r="J866" s="119" t="n">
        <x:f>ROUND(INDEX(X866:AY866,1,(D866-1)*4+2)*'难度参数'!$E$28*'章节与怪物'!$E$17,0)</x:f>
        <x:v>158093</x:v>
      </x:c>
      <x:c r="K866" s="119" t="n">
        <x:f>SUM(AA866,AE866,AI866,AM866,AQ866,AU866,AY866)</x:f>
        <x:v>8906</x:v>
      </x:c>
      <x:c r="L866" s="62" t="n">
        <x:f>H866*(ROUNDUP('难度参数'!$E$24/('难度参数'!$E$26*'难度参数'!$E$27),0)*'难度参数'!$E$26)/60</x:f>
        <x:v>4.693333333333333</x:v>
      </x:c>
      <x:c r="M866" s="62" t="n">
        <x:f>L866+D866*('难度参数'!$E$49+'难度参数'!$E$50)/60</x:f>
        <x:v>5.86</x:v>
      </x:c>
      <x:c r="N866" s="119" t="n">
        <x:f>ROUNDDOWN(('经济参数'!$E$20+A866*'经济参数'!$E$21)*G866,0)</x:f>
        <x:v>17380</x:v>
      </x:c>
      <x:c r="O866" s="119" t="n">
        <x:f>ROUNDDOWN(MIN('经济参数'!$E$24,'经济参数'!$E$22+A866*'经济参数'!$E$23)*G866,0)</x:f>
        <x:v>0</x:v>
      </x:c>
      <x:c r="P866" s="119" t="n">
        <x:f>ROUNDDOWN((IF(A866&gt;='材料与任务'!$E$31,'材料与任务'!$E$32,IF(A866&gt;='材料与任务'!$E$25,'材料与任务'!$E$26,IF(A866&gt;='材料与任务'!$E$19,'材料与任务'!$E$20,IF(A866&gt;='材料与任务'!$E$13,'材料与任务'!$E$14,'材料与任务'!$E$8)))))*G866,0)</x:f>
        <x:v>6</x:v>
      </x:c>
      <x:c r="Q866" s="119" t="n">
        <x:f>ROUNDDOWN((IF(A866&gt;='材料与任务'!$E$31,'材料与任务'!$E$33,IF(A866&gt;='材料与任务'!$E$25,'材料与任务'!$E$27,IF(A866&gt;='材料与任务'!$E$19,'材料与任务'!$E$21,IF(A866&gt;='材料与任务'!$E$13,'材料与任务'!$E$15,'材料与任务'!$E$9)))))*G866,0)</x:f>
        <x:v>3</x:v>
      </x:c>
      <x:c r="R866" s="110" t="n">
        <x:f>'装备掉落'!$B$38</x:f>
        <x:v>0.6872058758851213</x:v>
      </x:c>
      <x:c r="S866" s="119" t="n">
        <x:f>MAX(IF(VLOOKUP(A866,'装备掉落'!$A$29:$H$34,2,TRUE)&gt;0,1,0),IF(VLOOKUP(A866,'装备掉落'!$A$29:$H$34,3,TRUE)&gt;0,2,0),IF(VLOOKUP(A866,'装备掉落'!$A$29:$H$34,4,TRUE)&gt;0,3,0),IF(VLOOKUP(A866,'装备掉落'!$A$29:$H$34,5,TRUE)&gt;0,4,0),IF(VLOOKUP(A866,'装备掉落'!$A$29:$H$34,6,TRUE)&gt;0,5,0),IF(VLOOKUP(A866,'装备掉落'!$A$29:$H$34,7,TRUE)&gt;0,6,0),IF(VLOOKUP(A866,'装备掉落'!$A$29:$H$34,8,TRUE)&gt;0,7,0))</x:f>
        <x:v>7</x:v>
      </x:c>
      <x:c r="T866" s="119" t="n">
        <x:f>MIN(7,S866+'经济参数'!$E$70)</x:f>
        <x:v>7</x:v>
      </x:c>
      <x:c r="U866" s="119" t="n">
        <x:f>MIN(7,S866+'经济参数'!$E$71)</x:f>
        <x:v>7</x:v>
      </x:c>
      <x:c r="V866" s="119" t="n">
        <x:f>IF(H866&gt;=('难度参数'!$E$52),1,0)+IF(H866&gt;=('难度参数'!$E$52+'难度参数'!$E$53),1,0)+IF(H866&gt;=('难度参数'!$E$52+'难度参数'!$E$53+'难度参数'!$E$54),1,0)+IF(H866&gt;=('难度参数'!$E$52+'难度参数'!$E$53+'难度参数'!$E$54+'难度参数'!$E$55),1,0)+IF(H866&gt;=('难度参数'!$E$52+'难度参数'!$E$53+'难度参数'!$E$54+'难度参数'!$E$55+'难度参数'!$E$56),1,0)+IF(H866&gt;=('难度参数'!$E$52+'难度参数'!$E$53+'难度参数'!$E$54+'难度参数'!$E$55+'难度参数'!$E$56+'难度参数'!$E$57),1,0)</x:f>
        <x:v>6</x:v>
      </x:c>
      <x:c r="W866" s="62" t="str">
        <x:f>IF(L866&gt;'难度参数'!$E$51,"仅出怪已超目标","还需实测")</x:f>
        <x:v>仅出怪已超目标</x:v>
      </x:c>
      <x:c r="X866" s="119" t="n">
        <x:f>IF(1&gt;D866,0,MAX(2,MIN('难度参数'!$E$12,ROUND(('难度参数'!$E$18*POWER(A866,'难度参数'!$E$19)/D866*(0.85+0.3*(1-1)/MAX(1,D866-1))),0)+F866)))</x:f>
        <x:v>43</x:v>
      </x:c>
      <x:c r="Y866" s="119" t="n">
        <x:f>IF(1&gt;D866,0,ROUND(('难度参数'!$E$13*POWER(A866,'难度参数'!$E$20)*MIN('难度参数'!$E$23,1+MAX(0,A866-'难度参数'!$E$21)*'难度参数'!$E$22))*(36+1*7)/(36+7*(D866+1)/2)*E866,0))</x:f>
        <x:v>11761</x:v>
      </x:c>
      <x:c r="Z866" s="119" t="n">
        <x:f>IF(X866=0,0,(X866-IF(1=D866,1,0))*ROUND(Y866*VLOOKUP(INDEX('章节与怪物'!$E$31:$K$37,B866,1),'章节与怪物'!$A$41:$F$44,2,FALSE),0)+IF(1=D866,ROUND(Y866*'难度参数'!$E$28*'章节与怪物'!$E$17,0),0))</x:f>
        <x:v>364124</x:v>
      </x:c>
      <x:c r="AA866" s="119" t="n">
        <x:f>IF(X866=0,0,(X866-IF(1=D866,1,0))*VLOOKUP(INDEX('章节与怪物'!$E$31:$K$37,B866,1),'章节与怪物'!$A$41:$F$44,4,FALSE)+IF(1=D866,'难度参数'!$E$30,0))</x:f>
        <x:v>860</x:v>
      </x:c>
      <x:c r="AB866" s="119" t="n">
        <x:f>IF(2&gt;D866,0,MAX(2,MIN('难度参数'!$E$12,ROUND(('难度参数'!$E$18*POWER(A866,'难度参数'!$E$19)/D866*(0.85+0.3*(2-1)/MAX(1,D866-1))),0)+F866)))</x:f>
        <x:v>45</x:v>
      </x:c>
      <x:c r="AC866" s="119" t="n">
        <x:f>IF(2&gt;D866,0,ROUND(('难度参数'!$E$13*POWER(A866,'难度参数'!$E$20)*MIN('难度参数'!$E$23,1+MAX(0,A866-'难度参数'!$E$21)*'难度参数'!$E$22))*(36+2*7)/(36+7*(D866+1)/2)*E866,0))</x:f>
        <x:v>13676</x:v>
      </x:c>
      <x:c r="AD866" s="119" t="n">
        <x:f>IF(AB866=0,0,(AB866-IF(2=D866,1,0))*ROUND(AC866*VLOOKUP(INDEX('章节与怪物'!$E$31:$K$37,B866,2),'章节与怪物'!$A$41:$F$44,2,FALSE),0)+IF(2=D866,ROUND(AC866*'难度参数'!$E$28*'章节与怪物'!$E$17,0),0))</x:f>
        <x:v>615420</x:v>
      </x:c>
      <x:c r="AE866" s="119" t="n">
        <x:f>IF(AB866=0,0,(AB866-IF(2=D866,1,0))*VLOOKUP(INDEX('章节与怪物'!$E$31:$K$37,B866,2),'章节与怪物'!$A$41:$F$44,4,FALSE)+IF(2=D866,'难度参数'!$E$30,0))</x:f>
        <x:v>810</x:v>
      </x:c>
      <x:c r="AF866" s="119" t="n">
        <x:f>IF(3&gt;D866,0,MAX(2,MIN('难度参数'!$E$12,ROUND(('难度参数'!$E$18*POWER(A866,'难度参数'!$E$19)/D866*(0.85+0.3*(3-1)/MAX(1,D866-1))),0)+F866)))</x:f>
        <x:v>48</x:v>
      </x:c>
      <x:c r="AG866" s="119" t="n">
        <x:f>IF(3&gt;D866,0,ROUND(('难度参数'!$E$13*POWER(A866,'难度参数'!$E$20)*MIN('难度参数'!$E$23,1+MAX(0,A866-'难度参数'!$E$21)*'难度参数'!$E$22))*(36+3*7)/(36+7*(D866+1)/2)*E866,0))</x:f>
        <x:v>15591</x:v>
      </x:c>
      <x:c r="AH866" s="119" t="n">
        <x:f>IF(AF866=0,0,(AF866-IF(3=D866,1,0))*ROUND(AG866*VLOOKUP(INDEX('章节与怪物'!$E$31:$K$37,B866,3),'章节与怪物'!$A$41:$F$44,2,FALSE),0)+IF(3=D866,ROUND(AG866*'难度参数'!$E$28*'章节与怪物'!$E$17,0),0))</x:f>
        <x:v>1272240</x:v>
      </x:c>
      <x:c r="AI866" s="119" t="n">
        <x:f>IF(AF866=0,0,(AF866-IF(3=D866,1,0))*VLOOKUP(INDEX('章节与怪物'!$E$31:$K$37,B866,3),'章节与怪物'!$A$41:$F$44,4,FALSE)+IF(3=D866,'难度参数'!$E$30,0))</x:f>
        <x:v>1344</x:v>
      </x:c>
      <x:c r="AJ866" s="119" t="n">
        <x:f>IF(4&gt;D866,0,MAX(2,MIN('难度参数'!$E$12,ROUND(('难度参数'!$E$18*POWER(A866,'难度参数'!$E$19)/D866*(0.85+0.3*(4-1)/MAX(1,D866-1))),0)+F866)))</x:f>
        <x:v>50</x:v>
      </x:c>
      <x:c r="AK866" s="119" t="n">
        <x:f>IF(4&gt;D866,0,ROUND(('难度参数'!$E$13*POWER(A866,'难度参数'!$E$20)*MIN('难度参数'!$E$23,1+MAX(0,A866-'难度参数'!$E$21)*'难度参数'!$E$22))*(36+4*7)/(36+7*(D866+1)/2)*E866,0))</x:f>
        <x:v>17505</x:v>
      </x:c>
      <x:c r="AL866" s="119" t="n">
        <x:f>IF(AJ866=0,0,(AJ866-IF(4=D866,1,0))*ROUND(AK866*VLOOKUP(INDEX('章节与怪物'!$E$31:$K$37,B866,4),'章节与怪物'!$A$41:$F$44,2,FALSE),0)+IF(4=D866,ROUND(AK866*'难度参数'!$E$28*'章节与怪物'!$E$17,0),0))</x:f>
        <x:v>1181600</x:v>
      </x:c>
      <x:c r="AM866" s="119" t="n">
        <x:f>IF(AJ866=0,0,(AJ866-IF(4=D866,1,0))*VLOOKUP(INDEX('章节与怪物'!$E$31:$K$37,B866,4),'章节与怪物'!$A$41:$F$44,4,FALSE)+IF(4=D866,'难度参数'!$E$30,0))</x:f>
        <x:v>1700</x:v>
      </x:c>
      <x:c r="AN866" s="119" t="n">
        <x:f>IF(5&gt;D866,0,MAX(2,MIN('难度参数'!$E$12,ROUND(('难度参数'!$E$18*POWER(A866,'难度参数'!$E$19)/D866*(0.85+0.3*(5-1)/MAX(1,D866-1))),0)+F866)))</x:f>
        <x:v>53</x:v>
      </x:c>
      <x:c r="AO866" s="119" t="n">
        <x:f>IF(5&gt;D866,0,ROUND(('难度参数'!$E$13*POWER(A866,'难度参数'!$E$20)*MIN('难度参数'!$E$23,1+MAX(0,A866-'难度参数'!$E$21)*'难度参数'!$E$22))*(36+5*7)/(36+7*(D866+1)/2)*E866,0))</x:f>
        <x:v>19420</x:v>
      </x:c>
      <x:c r="AP866" s="119" t="n">
        <x:f>IF(AN866=0,0,(AN866-IF(5=D866,1,0))*ROUND(AO866*VLOOKUP(INDEX('章节与怪物'!$E$31:$K$37,B866,5),'章节与怪物'!$A$41:$F$44,2,FALSE),0)+IF(5=D866,ROUND(AO866*'难度参数'!$E$28*'章节与怪物'!$E$17,0),0))</x:f>
        <x:v>1029260</x:v>
      </x:c>
      <x:c r="AQ866" s="119" t="n">
        <x:f>IF(AN866=0,0,(AN866-IF(5=D866,1,0))*VLOOKUP(INDEX('章节与怪物'!$E$31:$K$37,B866,5),'章节与怪物'!$A$41:$F$44,4,FALSE)+IF(5=D866,'难度参数'!$E$30,0))</x:f>
        <x:v>954</x:v>
      </x:c>
      <x:c r="AR866" s="119" t="n">
        <x:f>IF(6&gt;D866,0,MAX(2,MIN('难度参数'!$E$12,ROUND(('难度参数'!$E$18*POWER(A866,'难度参数'!$E$19)/D866*(0.85+0.3*(6-1)/MAX(1,D866-1))),0)+F866)))</x:f>
        <x:v>55</x:v>
      </x:c>
      <x:c r="AS866" s="119" t="n">
        <x:f>IF(6&gt;D866,0,ROUND(('难度参数'!$E$13*POWER(A866,'难度参数'!$E$20)*MIN('难度参数'!$E$23,1+MAX(0,A866-'难度参数'!$E$21)*'难度参数'!$E$22))*(36+6*7)/(36+7*(D866+1)/2)*E866,0))</x:f>
        <x:v>21335</x:v>
      </x:c>
      <x:c r="AT866" s="119" t="n">
        <x:f>IF(AR866=0,0,(AR866-IF(6=D866,1,0))*ROUND(AS866*VLOOKUP(INDEX('章节与怪物'!$E$31:$K$37,B866,6),'章节与怪物'!$A$41:$F$44,2,FALSE),0)+IF(6=D866,ROUND(AS866*'难度参数'!$E$28*'章节与怪物'!$E$17,0),0))</x:f>
        <x:v>844855</x:v>
      </x:c>
      <x:c r="AU866" s="119" t="n">
        <x:f>IF(AR866=0,0,(AR866-IF(6=D866,1,0))*VLOOKUP(INDEX('章节与怪物'!$E$31:$K$37,B866,6),'章节与怪物'!$A$41:$F$44,4,FALSE)+IF(6=D866,'难度参数'!$E$30,0))</x:f>
        <x:v>1100</x:v>
      </x:c>
      <x:c r="AV866" s="119" t="n">
        <x:f>IF(7&gt;D866,0,MAX(2,MIN('难度参数'!$E$12,ROUND(('难度参数'!$E$18*POWER(A866,'难度参数'!$E$19)/D866*(0.85+0.3*(7-1)/MAX(1,D866-1))),0)+F866)))</x:f>
        <x:v>58</x:v>
      </x:c>
      <x:c r="AW866" s="119" t="n">
        <x:f>IF(7&gt;D866,0,ROUND(('难度参数'!$E$13*POWER(A866,'难度参数'!$E$20)*MIN('难度参数'!$E$23,1+MAX(0,A866-'难度参数'!$E$21)*'难度参数'!$E$22))*(36+7*7)/(36+7*(D866+1)/2)*E866,0))</x:f>
        <x:v>23249</x:v>
      </x:c>
      <x:c r="AX866" s="119" t="n">
        <x:f>IF(AV866=0,0,(AV866-IF(7=D866,1,0))*ROUND(AW866*VLOOKUP(INDEX('章节与怪物'!$E$31:$K$37,B866,7),'章节与怪物'!$A$41:$F$44,2,FALSE),0)+IF(7=D866,ROUND(AW866*'难度参数'!$E$28*'章节与怪物'!$E$17,0),0))</x:f>
        <x:v>1947095</x:v>
      </x:c>
      <x:c r="AY866" s="119" t="n">
        <x:f>IF(AV866=0,0,(AV866-IF(7=D866,1,0))*VLOOKUP(INDEX('章节与怪物'!$E$31:$K$37,B866,7),'章节与怪物'!$A$41:$F$44,4,FALSE)+IF(7=D866,'难度参数'!$E$30,0))</x:f>
        <x:v>2138</x:v>
      </x:c>
    </x:row>
    <x:row r="867" ht="23" customHeight="1">
      <x:c r="A867" s="119" t="n">
        <x:v>861</x:v>
      </x:c>
      <x:c r="B867" s="119" t="n">
        <x:f>MOD(INT((A867-1)/5),7)+1</x:f>
        <x:v>5</x:v>
      </x:c>
      <x:c r="C867" s="62" t="str">
        <x:f>INDEX('章节与怪物'!$B$31:$B$37,B867)</x:f>
        <x:v>雨林遗迹</x:v>
      </x:c>
      <x:c r="D867" s="119" t="n">
        <x:f>MIN('难度参数'!$E$8,MAX('难度参数'!$E$7,A867))</x:f>
        <x:v>7</x:v>
      </x:c>
      <x:c r="E867" s="106" t="n">
        <x:v>1</x:v>
      </x:c>
      <x:c r="F867" s="106" t="n">
        <x:v>0</x:v>
      </x:c>
      <x:c r="G867" s="106" t="n">
        <x:v>1</x:v>
      </x:c>
      <x:c r="H867" s="119" t="n">
        <x:f>SUM(X867,AB867,AF867,AJ867,AN867,AR867,AV867)</x:f>
        <x:v>352</x:v>
      </x:c>
      <x:c r="I867" s="119" t="n">
        <x:f>SUM(Z867,AD867,AH867,AL867,AP867,AT867,AX867)</x:f>
        <x:v>8092476</x:v>
      </x:c>
      <x:c r="J867" s="119" t="n">
        <x:f>ROUND(INDEX(X867:AY867,1,(D867-1)*4+2)*'难度参数'!$E$28*'章节与怪物'!$E$17,0)</x:f>
        <x:v>158229</x:v>
      </x:c>
      <x:c r="K867" s="119" t="n">
        <x:f>SUM(AA867,AE867,AI867,AM867,AQ867,AU867,AY867)</x:f>
        <x:v>9456</x:v>
      </x:c>
      <x:c r="L867" s="62" t="n">
        <x:f>H867*(ROUNDUP('难度参数'!$E$24/('难度参数'!$E$26*'难度参数'!$E$27),0)*'难度参数'!$E$26)/60</x:f>
        <x:v>4.693333333333333</x:v>
      </x:c>
      <x:c r="M867" s="62" t="n">
        <x:f>L867+D867*('难度参数'!$E$49+'难度参数'!$E$50)/60</x:f>
        <x:v>5.86</x:v>
      </x:c>
      <x:c r="N867" s="119" t="n">
        <x:f>ROUNDDOWN(('经济参数'!$E$20+A867*'经济参数'!$E$21)*G867,0)</x:f>
        <x:v>17400</x:v>
      </x:c>
      <x:c r="O867" s="119" t="n">
        <x:f>ROUNDDOWN(MIN('经济参数'!$E$24,'经济参数'!$E$22+A867*'经济参数'!$E$23)*G867,0)</x:f>
        <x:v>0</x:v>
      </x:c>
      <x:c r="P867" s="119" t="n">
        <x:f>ROUNDDOWN((IF(A867&gt;='材料与任务'!$E$31,'材料与任务'!$E$32,IF(A867&gt;='材料与任务'!$E$25,'材料与任务'!$E$26,IF(A867&gt;='材料与任务'!$E$19,'材料与任务'!$E$20,IF(A867&gt;='材料与任务'!$E$13,'材料与任务'!$E$14,'材料与任务'!$E$8)))))*G867,0)</x:f>
        <x:v>6</x:v>
      </x:c>
      <x:c r="Q867" s="119" t="n">
        <x:f>ROUNDDOWN((IF(A867&gt;='材料与任务'!$E$31,'材料与任务'!$E$33,IF(A867&gt;='材料与任务'!$E$25,'材料与任务'!$E$27,IF(A867&gt;='材料与任务'!$E$19,'材料与任务'!$E$21,IF(A867&gt;='材料与任务'!$E$13,'材料与任务'!$E$15,'材料与任务'!$E$9)))))*G867,0)</x:f>
        <x:v>3</x:v>
      </x:c>
      <x:c r="R867" s="110" t="n">
        <x:f>'装备掉落'!$B$38</x:f>
        <x:v>0.6872058758851213</x:v>
      </x:c>
      <x:c r="S867" s="119" t="n">
        <x:f>MAX(IF(VLOOKUP(A867,'装备掉落'!$A$29:$H$34,2,TRUE)&gt;0,1,0),IF(VLOOKUP(A867,'装备掉落'!$A$29:$H$34,3,TRUE)&gt;0,2,0),IF(VLOOKUP(A867,'装备掉落'!$A$29:$H$34,4,TRUE)&gt;0,3,0),IF(VLOOKUP(A867,'装备掉落'!$A$29:$H$34,5,TRUE)&gt;0,4,0),IF(VLOOKUP(A867,'装备掉落'!$A$29:$H$34,6,TRUE)&gt;0,5,0),IF(VLOOKUP(A867,'装备掉落'!$A$29:$H$34,7,TRUE)&gt;0,6,0),IF(VLOOKUP(A867,'装备掉落'!$A$29:$H$34,8,TRUE)&gt;0,7,0))</x:f>
        <x:v>7</x:v>
      </x:c>
      <x:c r="T867" s="119" t="n">
        <x:f>MIN(7,S867+'经济参数'!$E$70)</x:f>
        <x:v>7</x:v>
      </x:c>
      <x:c r="U867" s="119" t="n">
        <x:f>MIN(7,S867+'经济参数'!$E$71)</x:f>
        <x:v>7</x:v>
      </x:c>
      <x:c r="V867" s="119" t="n">
        <x:f>IF(H867&gt;=('难度参数'!$E$52),1,0)+IF(H867&gt;=('难度参数'!$E$52+'难度参数'!$E$53),1,0)+IF(H867&gt;=('难度参数'!$E$52+'难度参数'!$E$53+'难度参数'!$E$54),1,0)+IF(H867&gt;=('难度参数'!$E$52+'难度参数'!$E$53+'难度参数'!$E$54+'难度参数'!$E$55),1,0)+IF(H867&gt;=('难度参数'!$E$52+'难度参数'!$E$53+'难度参数'!$E$54+'难度参数'!$E$55+'难度参数'!$E$56),1,0)+IF(H867&gt;=('难度参数'!$E$52+'难度参数'!$E$53+'难度参数'!$E$54+'难度参数'!$E$55+'难度参数'!$E$56+'难度参数'!$E$57),1,0)</x:f>
        <x:v>6</x:v>
      </x:c>
      <x:c r="W867" s="62" t="str">
        <x:f>IF(L867&gt;'难度参数'!$E$51,"仅出怪已超目标","还需实测")</x:f>
        <x:v>仅出怪已超目标</x:v>
      </x:c>
      <x:c r="X867" s="119" t="n">
        <x:f>IF(1&gt;D867,0,MAX(2,MIN('难度参数'!$E$12,ROUND(('难度参数'!$E$18*POWER(A867,'难度参数'!$E$19)/D867*(0.85+0.3*(1-1)/MAX(1,D867-1))),0)+F867)))</x:f>
        <x:v>43</x:v>
      </x:c>
      <x:c r="Y867" s="119" t="n">
        <x:f>IF(1&gt;D867,0,ROUND(('难度参数'!$E$13*POWER(A867,'难度参数'!$E$20)*MIN('难度参数'!$E$23,1+MAX(0,A867-'难度参数'!$E$21)*'难度参数'!$E$22))*(36+1*7)/(36+7*(D867+1)/2)*E867,0))</x:f>
        <x:v>11771</x:v>
      </x:c>
      <x:c r="Z867" s="119" t="n">
        <x:f>IF(X867=0,0,(X867-IF(1=D867,1,0))*ROUND(Y867*VLOOKUP(INDEX('章节与怪物'!$E$31:$K$37,B867,1),'章节与怪物'!$A$41:$F$44,2,FALSE),0)+IF(1=D867,ROUND(Y867*'难度参数'!$E$28*'章节与怪物'!$E$17,0),0))</x:f>
        <x:v>506153</x:v>
      </x:c>
      <x:c r="AA867" s="119" t="n">
        <x:f>IF(X867=0,0,(X867-IF(1=D867,1,0))*VLOOKUP(INDEX('章节与怪物'!$E$31:$K$37,B867,1),'章节与怪物'!$A$41:$F$44,4,FALSE)+IF(1=D867,'难度参数'!$E$30,0))</x:f>
        <x:v>774</x:v>
      </x:c>
      <x:c r="AB867" s="119" t="n">
        <x:f>IF(2&gt;D867,0,MAX(2,MIN('难度参数'!$E$12,ROUND(('难度参数'!$E$18*POWER(A867,'难度参数'!$E$19)/D867*(0.85+0.3*(2-1)/MAX(1,D867-1))),0)+F867)))</x:f>
        <x:v>45</x:v>
      </x:c>
      <x:c r="AC867" s="119" t="n">
        <x:f>IF(2&gt;D867,0,ROUND(('难度参数'!$E$13*POWER(A867,'难度参数'!$E$20)*MIN('难度参数'!$E$23,1+MAX(0,A867-'难度参数'!$E$21)*'难度参数'!$E$22))*(36+2*7)/(36+7*(D867+1)/2)*E867,0))</x:f>
        <x:v>13688</x:v>
      </x:c>
      <x:c r="AD867" s="119" t="n">
        <x:f>IF(AB867=0,0,(AB867-IF(2=D867,1,0))*ROUND(AC867*VLOOKUP(INDEX('章节与怪物'!$E$31:$K$37,B867,2),'章节与怪物'!$A$41:$F$44,2,FALSE),0)+IF(2=D867,ROUND(AC867*'难度参数'!$E$28*'章节与怪物'!$E$17,0),0))</x:f>
        <x:v>443475</x:v>
      </x:c>
      <x:c r="AE867" s="119" t="n">
        <x:f>IF(AB867=0,0,(AB867-IF(2=D867,1,0))*VLOOKUP(INDEX('章节与怪物'!$E$31:$K$37,B867,2),'章节与怪物'!$A$41:$F$44,4,FALSE)+IF(2=D867,'难度参数'!$E$30,0))</x:f>
        <x:v>900</x:v>
      </x:c>
      <x:c r="AF867" s="119" t="n">
        <x:f>IF(3&gt;D867,0,MAX(2,MIN('难度参数'!$E$12,ROUND(('难度参数'!$E$18*POWER(A867,'难度参数'!$E$19)/D867*(0.85+0.3*(3-1)/MAX(1,D867-1))),0)+F867)))</x:f>
        <x:v>48</x:v>
      </x:c>
      <x:c r="AG867" s="119" t="n">
        <x:f>IF(3&gt;D867,0,ROUND(('难度参数'!$E$13*POWER(A867,'难度参数'!$E$20)*MIN('难度参数'!$E$23,1+MAX(0,A867-'难度参数'!$E$21)*'难度参数'!$E$22))*(36+3*7)/(36+7*(D867+1)/2)*E867,0))</x:f>
        <x:v>15604</x:v>
      </x:c>
      <x:c r="AH867" s="119" t="n">
        <x:f>IF(AF867=0,0,(AF867-IF(3=D867,1,0))*ROUND(AG867*VLOOKUP(INDEX('章节与怪物'!$E$31:$K$37,B867,3),'章节与怪物'!$A$41:$F$44,2,FALSE),0)+IF(3=D867,ROUND(AG867*'难度参数'!$E$28*'章节与怪物'!$E$17,0),0))</x:f>
        <x:v>1273296</x:v>
      </x:c>
      <x:c r="AI867" s="119" t="n">
        <x:f>IF(AF867=0,0,(AF867-IF(3=D867,1,0))*VLOOKUP(INDEX('章节与怪物'!$E$31:$K$37,B867,3),'章节与怪物'!$A$41:$F$44,4,FALSE)+IF(3=D867,'难度参数'!$E$30,0))</x:f>
        <x:v>1344</x:v>
      </x:c>
      <x:c r="AJ867" s="119" t="n">
        <x:f>IF(4&gt;D867,0,MAX(2,MIN('难度参数'!$E$12,ROUND(('难度参数'!$E$18*POWER(A867,'难度参数'!$E$19)/D867*(0.85+0.3*(4-1)/MAX(1,D867-1))),0)+F867)))</x:f>
        <x:v>50</x:v>
      </x:c>
      <x:c r="AK867" s="119" t="n">
        <x:f>IF(4&gt;D867,0,ROUND(('难度参数'!$E$13*POWER(A867,'难度参数'!$E$20)*MIN('难度参数'!$E$23,1+MAX(0,A867-'难度参数'!$E$21)*'难度参数'!$E$22))*(36+4*7)/(36+7*(D867+1)/2)*E867,0))</x:f>
        <x:v>17520</x:v>
      </x:c>
      <x:c r="AL867" s="119" t="n">
        <x:f>IF(AJ867=0,0,(AJ867-IF(4=D867,1,0))*ROUND(AK867*VLOOKUP(INDEX('章节与怪物'!$E$31:$K$37,B867,4),'章节与怪物'!$A$41:$F$44,2,FALSE),0)+IF(4=D867,ROUND(AK867*'难度参数'!$E$28*'章节与怪物'!$E$17,0),0))</x:f>
        <x:v>1182600</x:v>
      </x:c>
      <x:c r="AM867" s="119" t="n">
        <x:f>IF(AJ867=0,0,(AJ867-IF(4=D867,1,0))*VLOOKUP(INDEX('章节与怪物'!$E$31:$K$37,B867,4),'章节与怪物'!$A$41:$F$44,4,FALSE)+IF(4=D867,'难度参数'!$E$30,0))</x:f>
        <x:v>1700</x:v>
      </x:c>
      <x:c r="AN867" s="119" t="n">
        <x:f>IF(5&gt;D867,0,MAX(2,MIN('难度参数'!$E$12,ROUND(('难度参数'!$E$18*POWER(A867,'难度参数'!$E$19)/D867*(0.85+0.3*(5-1)/MAX(1,D867-1))),0)+F867)))</x:f>
        <x:v>53</x:v>
      </x:c>
      <x:c r="AO867" s="119" t="n">
        <x:f>IF(5&gt;D867,0,ROUND(('难度参数'!$E$13*POWER(A867,'难度参数'!$E$20)*MIN('难度参数'!$E$23,1+MAX(0,A867-'难度参数'!$E$21)*'难度参数'!$E$22))*(36+5*7)/(36+7*(D867+1)/2)*E867,0))</x:f>
        <x:v>19436</x:v>
      </x:c>
      <x:c r="AP867" s="119" t="n">
        <x:f>IF(AN867=0,0,(AN867-IF(5=D867,1,0))*ROUND(AO867*VLOOKUP(INDEX('章节与怪物'!$E$31:$K$37,B867,5),'章节与怪物'!$A$41:$F$44,2,FALSE),0)+IF(5=D867,ROUND(AO867*'难度参数'!$E$28*'章节与怪物'!$E$17,0),0))</x:f>
        <x:v>741682</x:v>
      </x:c>
      <x:c r="AQ867" s="119" t="n">
        <x:f>IF(AN867=0,0,(AN867-IF(5=D867,1,0))*VLOOKUP(INDEX('章节与怪物'!$E$31:$K$37,B867,5),'章节与怪物'!$A$41:$F$44,4,FALSE)+IF(5=D867,'难度参数'!$E$30,0))</x:f>
        <x:v>1060</x:v>
      </x:c>
      <x:c r="AR867" s="119" t="n">
        <x:f>IF(6&gt;D867,0,MAX(2,MIN('难度参数'!$E$12,ROUND(('难度参数'!$E$18*POWER(A867,'难度参数'!$E$19)/D867*(0.85+0.3*(6-1)/MAX(1,D867-1))),0)+F867)))</x:f>
        <x:v>55</x:v>
      </x:c>
      <x:c r="AS867" s="119" t="n">
        <x:f>IF(6&gt;D867,0,ROUND(('难度参数'!$E$13*POWER(A867,'难度参数'!$E$20)*MIN('难度参数'!$E$23,1+MAX(0,A867-'难度参数'!$E$21)*'难度参数'!$E$22))*(36+6*7)/(36+7*(D867+1)/2)*E867,0))</x:f>
        <x:v>21353</x:v>
      </x:c>
      <x:c r="AT867" s="119" t="n">
        <x:f>IF(AR867=0,0,(AR867-IF(6=D867,1,0))*ROUND(AS867*VLOOKUP(INDEX('章节与怪物'!$E$31:$K$37,B867,6),'章节与怪物'!$A$41:$F$44,2,FALSE),0)+IF(6=D867,ROUND(AS867*'难度参数'!$E$28*'章节与怪物'!$E$17,0),0))</x:f>
        <x:v>1996500</x:v>
      </x:c>
      <x:c r="AU867" s="119" t="n">
        <x:f>IF(AR867=0,0,(AR867-IF(6=D867,1,0))*VLOOKUP(INDEX('章节与怪物'!$E$31:$K$37,B867,6),'章节与怪物'!$A$41:$F$44,4,FALSE)+IF(6=D867,'难度参数'!$E$30,0))</x:f>
        <x:v>1540</x:v>
      </x:c>
      <x:c r="AV867" s="119" t="n">
        <x:f>IF(7&gt;D867,0,MAX(2,MIN('难度参数'!$E$12,ROUND(('难度参数'!$E$18*POWER(A867,'难度参数'!$E$19)/D867*(0.85+0.3*(7-1)/MAX(1,D867-1))),0)+F867)))</x:f>
        <x:v>58</x:v>
      </x:c>
      <x:c r="AW867" s="119" t="n">
        <x:f>IF(7&gt;D867,0,ROUND(('难度参数'!$E$13*POWER(A867,'难度参数'!$E$20)*MIN('难度参数'!$E$23,1+MAX(0,A867-'难度参数'!$E$21)*'难度参数'!$E$22))*(36+7*7)/(36+7*(D867+1)/2)*E867,0))</x:f>
        <x:v>23269</x:v>
      </x:c>
      <x:c r="AX867" s="119" t="n">
        <x:f>IF(AV867=0,0,(AV867-IF(7=D867,1,0))*ROUND(AW867*VLOOKUP(INDEX('章节与怪物'!$E$31:$K$37,B867,7),'章节与怪物'!$A$41:$F$44,2,FALSE),0)+IF(7=D867,ROUND(AW867*'难度参数'!$E$28*'章节与怪物'!$E$17,0),0))</x:f>
        <x:v>1948770</x:v>
      </x:c>
      <x:c r="AY867" s="119" t="n">
        <x:f>IF(AV867=0,0,(AV867-IF(7=D867,1,0))*VLOOKUP(INDEX('章节与怪物'!$E$31:$K$37,B867,7),'章节与怪物'!$A$41:$F$44,4,FALSE)+IF(7=D867,'难度参数'!$E$30,0))</x:f>
        <x:v>2138</x:v>
      </x:c>
    </x:row>
    <x:row r="868" ht="23" customHeight="1">
      <x:c r="A868" s="119" t="n">
        <x:v>862</x:v>
      </x:c>
      <x:c r="B868" s="119" t="n">
        <x:f>MOD(INT((A868-1)/5),7)+1</x:f>
        <x:v>5</x:v>
      </x:c>
      <x:c r="C868" s="62" t="str">
        <x:f>INDEX('章节与怪物'!$B$31:$B$37,B868)</x:f>
        <x:v>雨林遗迹</x:v>
      </x:c>
      <x:c r="D868" s="119" t="n">
        <x:f>MIN('难度参数'!$E$8,MAX('难度参数'!$E$7,A868))</x:f>
        <x:v>7</x:v>
      </x:c>
      <x:c r="E868" s="106" t="n">
        <x:v>1</x:v>
      </x:c>
      <x:c r="F868" s="106" t="n">
        <x:v>0</x:v>
      </x:c>
      <x:c r="G868" s="106" t="n">
        <x:v>1</x:v>
      </x:c>
      <x:c r="H868" s="119" t="n">
        <x:f>SUM(X868,AB868,AF868,AJ868,AN868,AR868,AV868)</x:f>
        <x:v>352</x:v>
      </x:c>
      <x:c r="I868" s="119" t="n">
        <x:f>SUM(Z868,AD868,AH868,AL868,AP868,AT868,AX868)</x:f>
        <x:v>8099164</x:v>
      </x:c>
      <x:c r="J868" s="119" t="n">
        <x:f>ROUND(INDEX(X868:AY868,1,(D868-1)*4+2)*'难度参数'!$E$28*'章节与怪物'!$E$17,0)</x:f>
        <x:v>158358</x:v>
      </x:c>
      <x:c r="K868" s="119" t="n">
        <x:f>SUM(AA868,AE868,AI868,AM868,AQ868,AU868,AY868)</x:f>
        <x:v>9456</x:v>
      </x:c>
      <x:c r="L868" s="62" t="n">
        <x:f>H868*(ROUNDUP('难度参数'!$E$24/('难度参数'!$E$26*'难度参数'!$E$27),0)*'难度参数'!$E$26)/60</x:f>
        <x:v>4.693333333333333</x:v>
      </x:c>
      <x:c r="M868" s="62" t="n">
        <x:f>L868+D868*('难度参数'!$E$49+'难度参数'!$E$50)/60</x:f>
        <x:v>5.86</x:v>
      </x:c>
      <x:c r="N868" s="119" t="n">
        <x:f>ROUNDDOWN(('经济参数'!$E$20+A868*'经济参数'!$E$21)*G868,0)</x:f>
        <x:v>17420</x:v>
      </x:c>
      <x:c r="O868" s="119" t="n">
        <x:f>ROUNDDOWN(MIN('经济参数'!$E$24,'经济参数'!$E$22+A868*'经济参数'!$E$23)*G868,0)</x:f>
        <x:v>0</x:v>
      </x:c>
      <x:c r="P868" s="119" t="n">
        <x:f>ROUNDDOWN((IF(A868&gt;='材料与任务'!$E$31,'材料与任务'!$E$32,IF(A868&gt;='材料与任务'!$E$25,'材料与任务'!$E$26,IF(A868&gt;='材料与任务'!$E$19,'材料与任务'!$E$20,IF(A868&gt;='材料与任务'!$E$13,'材料与任务'!$E$14,'材料与任务'!$E$8)))))*G868,0)</x:f>
        <x:v>6</x:v>
      </x:c>
      <x:c r="Q868" s="119" t="n">
        <x:f>ROUNDDOWN((IF(A868&gt;='材料与任务'!$E$31,'材料与任务'!$E$33,IF(A868&gt;='材料与任务'!$E$25,'材料与任务'!$E$27,IF(A868&gt;='材料与任务'!$E$19,'材料与任务'!$E$21,IF(A868&gt;='材料与任务'!$E$13,'材料与任务'!$E$15,'材料与任务'!$E$9)))))*G868,0)</x:f>
        <x:v>3</x:v>
      </x:c>
      <x:c r="R868" s="110" t="n">
        <x:f>'装备掉落'!$B$38</x:f>
        <x:v>0.6872058758851213</x:v>
      </x:c>
      <x:c r="S868" s="119" t="n">
        <x:f>MAX(IF(VLOOKUP(A868,'装备掉落'!$A$29:$H$34,2,TRUE)&gt;0,1,0),IF(VLOOKUP(A868,'装备掉落'!$A$29:$H$34,3,TRUE)&gt;0,2,0),IF(VLOOKUP(A868,'装备掉落'!$A$29:$H$34,4,TRUE)&gt;0,3,0),IF(VLOOKUP(A868,'装备掉落'!$A$29:$H$34,5,TRUE)&gt;0,4,0),IF(VLOOKUP(A868,'装备掉落'!$A$29:$H$34,6,TRUE)&gt;0,5,0),IF(VLOOKUP(A868,'装备掉落'!$A$29:$H$34,7,TRUE)&gt;0,6,0),IF(VLOOKUP(A868,'装备掉落'!$A$29:$H$34,8,TRUE)&gt;0,7,0))</x:f>
        <x:v>7</x:v>
      </x:c>
      <x:c r="T868" s="119" t="n">
        <x:f>MIN(7,S868+'经济参数'!$E$70)</x:f>
        <x:v>7</x:v>
      </x:c>
      <x:c r="U868" s="119" t="n">
        <x:f>MIN(7,S868+'经济参数'!$E$71)</x:f>
        <x:v>7</x:v>
      </x:c>
      <x:c r="V868" s="119" t="n">
        <x:f>IF(H868&gt;=('难度参数'!$E$52),1,0)+IF(H868&gt;=('难度参数'!$E$52+'难度参数'!$E$53),1,0)+IF(H868&gt;=('难度参数'!$E$52+'难度参数'!$E$53+'难度参数'!$E$54),1,0)+IF(H868&gt;=('难度参数'!$E$52+'难度参数'!$E$53+'难度参数'!$E$54+'难度参数'!$E$55),1,0)+IF(H868&gt;=('难度参数'!$E$52+'难度参数'!$E$53+'难度参数'!$E$54+'难度参数'!$E$55+'难度参数'!$E$56),1,0)+IF(H868&gt;=('难度参数'!$E$52+'难度参数'!$E$53+'难度参数'!$E$54+'难度参数'!$E$55+'难度参数'!$E$56+'难度参数'!$E$57),1,0)</x:f>
        <x:v>6</x:v>
      </x:c>
      <x:c r="W868" s="62" t="str">
        <x:f>IF(L868&gt;'难度参数'!$E$51,"仅出怪已超目标","还需实测")</x:f>
        <x:v>仅出怪已超目标</x:v>
      </x:c>
      <x:c r="X868" s="119" t="n">
        <x:f>IF(1&gt;D868,0,MAX(2,MIN('难度参数'!$E$12,ROUND(('难度参数'!$E$18*POWER(A868,'难度参数'!$E$19)/D868*(0.85+0.3*(1-1)/MAX(1,D868-1))),0)+F868)))</x:f>
        <x:v>43</x:v>
      </x:c>
      <x:c r="Y868" s="119" t="n">
        <x:f>IF(1&gt;D868,0,ROUND(('难度参数'!$E$13*POWER(A868,'难度参数'!$E$20)*MIN('难度参数'!$E$23,1+MAX(0,A868-'难度参数'!$E$21)*'难度参数'!$E$22))*(36+1*7)/(36+7*(D868+1)/2)*E868,0))</x:f>
        <x:v>11781</x:v>
      </x:c>
      <x:c r="Z868" s="119" t="n">
        <x:f>IF(X868=0,0,(X868-IF(1=D868,1,0))*ROUND(Y868*VLOOKUP(INDEX('章节与怪物'!$E$31:$K$37,B868,1),'章节与怪物'!$A$41:$F$44,2,FALSE),0)+IF(1=D868,ROUND(Y868*'难度参数'!$E$28*'章节与怪物'!$E$17,0),0))</x:f>
        <x:v>506583</x:v>
      </x:c>
      <x:c r="AA868" s="119" t="n">
        <x:f>IF(X868=0,0,(X868-IF(1=D868,1,0))*VLOOKUP(INDEX('章节与怪物'!$E$31:$K$37,B868,1),'章节与怪物'!$A$41:$F$44,4,FALSE)+IF(1=D868,'难度参数'!$E$30,0))</x:f>
        <x:v>774</x:v>
      </x:c>
      <x:c r="AB868" s="119" t="n">
        <x:f>IF(2&gt;D868,0,MAX(2,MIN('难度参数'!$E$12,ROUND(('难度参数'!$E$18*POWER(A868,'难度参数'!$E$19)/D868*(0.85+0.3*(2-1)/MAX(1,D868-1))),0)+F868)))</x:f>
        <x:v>45</x:v>
      </x:c>
      <x:c r="AC868" s="119" t="n">
        <x:f>IF(2&gt;D868,0,ROUND(('难度参数'!$E$13*POWER(A868,'难度参数'!$E$20)*MIN('难度参数'!$E$23,1+MAX(0,A868-'难度参数'!$E$21)*'难度参数'!$E$22))*(36+2*7)/(36+7*(D868+1)/2)*E868,0))</x:f>
        <x:v>13699</x:v>
      </x:c>
      <x:c r="AD868" s="119" t="n">
        <x:f>IF(AB868=0,0,(AB868-IF(2=D868,1,0))*ROUND(AC868*VLOOKUP(INDEX('章节与怪物'!$E$31:$K$37,B868,2),'章节与怪物'!$A$41:$F$44,2,FALSE),0)+IF(2=D868,ROUND(AC868*'难度参数'!$E$28*'章节与怪物'!$E$17,0),0))</x:f>
        <x:v>443835</x:v>
      </x:c>
      <x:c r="AE868" s="119" t="n">
        <x:f>IF(AB868=0,0,(AB868-IF(2=D868,1,0))*VLOOKUP(INDEX('章节与怪物'!$E$31:$K$37,B868,2),'章节与怪物'!$A$41:$F$44,4,FALSE)+IF(2=D868,'难度参数'!$E$30,0))</x:f>
        <x:v>900</x:v>
      </x:c>
      <x:c r="AF868" s="119" t="n">
        <x:f>IF(3&gt;D868,0,MAX(2,MIN('难度参数'!$E$12,ROUND(('难度参数'!$E$18*POWER(A868,'难度参数'!$E$19)/D868*(0.85+0.3*(3-1)/MAX(1,D868-1))),0)+F868)))</x:f>
        <x:v>48</x:v>
      </x:c>
      <x:c r="AG868" s="119" t="n">
        <x:f>IF(3&gt;D868,0,ROUND(('难度参数'!$E$13*POWER(A868,'难度参数'!$E$20)*MIN('难度参数'!$E$23,1+MAX(0,A868-'难度参数'!$E$21)*'难度参数'!$E$22))*(36+3*7)/(36+7*(D868+1)/2)*E868,0))</x:f>
        <x:v>15617</x:v>
      </x:c>
      <x:c r="AH868" s="119" t="n">
        <x:f>IF(AF868=0,0,(AF868-IF(3=D868,1,0))*ROUND(AG868*VLOOKUP(INDEX('章节与怪物'!$E$31:$K$37,B868,3),'章节与怪物'!$A$41:$F$44,2,FALSE),0)+IF(3=D868,ROUND(AG868*'难度参数'!$E$28*'章节与怪物'!$E$17,0),0))</x:f>
        <x:v>1274352</x:v>
      </x:c>
      <x:c r="AI868" s="119" t="n">
        <x:f>IF(AF868=0,0,(AF868-IF(3=D868,1,0))*VLOOKUP(INDEX('章节与怪物'!$E$31:$K$37,B868,3),'章节与怪物'!$A$41:$F$44,4,FALSE)+IF(3=D868,'难度参数'!$E$30,0))</x:f>
        <x:v>1344</x:v>
      </x:c>
      <x:c r="AJ868" s="119" t="n">
        <x:f>IF(4&gt;D868,0,MAX(2,MIN('难度参数'!$E$12,ROUND(('难度参数'!$E$18*POWER(A868,'难度参数'!$E$19)/D868*(0.85+0.3*(4-1)/MAX(1,D868-1))),0)+F868)))</x:f>
        <x:v>50</x:v>
      </x:c>
      <x:c r="AK868" s="119" t="n">
        <x:f>IF(4&gt;D868,0,ROUND(('难度参数'!$E$13*POWER(A868,'难度参数'!$E$20)*MIN('难度参数'!$E$23,1+MAX(0,A868-'难度参数'!$E$21)*'难度参数'!$E$22))*(36+4*7)/(36+7*(D868+1)/2)*E868,0))</x:f>
        <x:v>17535</x:v>
      </x:c>
      <x:c r="AL868" s="119" t="n">
        <x:f>IF(AJ868=0,0,(AJ868-IF(4=D868,1,0))*ROUND(AK868*VLOOKUP(INDEX('章节与怪物'!$E$31:$K$37,B868,4),'章节与怪物'!$A$41:$F$44,2,FALSE),0)+IF(4=D868,ROUND(AK868*'难度参数'!$E$28*'章节与怪物'!$E$17,0),0))</x:f>
        <x:v>1183600</x:v>
      </x:c>
      <x:c r="AM868" s="119" t="n">
        <x:f>IF(AJ868=0,0,(AJ868-IF(4=D868,1,0))*VLOOKUP(INDEX('章节与怪物'!$E$31:$K$37,B868,4),'章节与怪物'!$A$41:$F$44,4,FALSE)+IF(4=D868,'难度参数'!$E$30,0))</x:f>
        <x:v>1700</x:v>
      </x:c>
      <x:c r="AN868" s="119" t="n">
        <x:f>IF(5&gt;D868,0,MAX(2,MIN('难度参数'!$E$12,ROUND(('难度参数'!$E$18*POWER(A868,'难度参数'!$E$19)/D868*(0.85+0.3*(5-1)/MAX(1,D868-1))),0)+F868)))</x:f>
        <x:v>53</x:v>
      </x:c>
      <x:c r="AO868" s="119" t="n">
        <x:f>IF(5&gt;D868,0,ROUND(('难度参数'!$E$13*POWER(A868,'难度参数'!$E$20)*MIN('难度参数'!$E$23,1+MAX(0,A868-'难度参数'!$E$21)*'难度参数'!$E$22))*(36+5*7)/(36+7*(D868+1)/2)*E868,0))</x:f>
        <x:v>19453</x:v>
      </x:c>
      <x:c r="AP868" s="119" t="n">
        <x:f>IF(AN868=0,0,(AN868-IF(5=D868,1,0))*ROUND(AO868*VLOOKUP(INDEX('章节与怪物'!$E$31:$K$37,B868,5),'章节与怪物'!$A$41:$F$44,2,FALSE),0)+IF(5=D868,ROUND(AO868*'难度参数'!$E$28*'章节与怪物'!$E$17,0),0))</x:f>
        <x:v>742318</x:v>
      </x:c>
      <x:c r="AQ868" s="119" t="n">
        <x:f>IF(AN868=0,0,(AN868-IF(5=D868,1,0))*VLOOKUP(INDEX('章节与怪物'!$E$31:$K$37,B868,5),'章节与怪物'!$A$41:$F$44,4,FALSE)+IF(5=D868,'难度参数'!$E$30,0))</x:f>
        <x:v>1060</x:v>
      </x:c>
      <x:c r="AR868" s="119" t="n">
        <x:f>IF(6&gt;D868,0,MAX(2,MIN('难度参数'!$E$12,ROUND(('难度参数'!$E$18*POWER(A868,'难度参数'!$E$19)/D868*(0.85+0.3*(6-1)/MAX(1,D868-1))),0)+F868)))</x:f>
        <x:v>55</x:v>
      </x:c>
      <x:c r="AS868" s="119" t="n">
        <x:f>IF(6&gt;D868,0,ROUND(('难度参数'!$E$13*POWER(A868,'难度参数'!$E$20)*MIN('难度参数'!$E$23,1+MAX(0,A868-'难度参数'!$E$21)*'难度参数'!$E$22))*(36+6*7)/(36+7*(D868+1)/2)*E868,0))</x:f>
        <x:v>21370</x:v>
      </x:c>
      <x:c r="AT868" s="119" t="n">
        <x:f>IF(AR868=0,0,(AR868-IF(6=D868,1,0))*ROUND(AS868*VLOOKUP(INDEX('章节与怪物'!$E$31:$K$37,B868,6),'章节与怪物'!$A$41:$F$44,2,FALSE),0)+IF(6=D868,ROUND(AS868*'难度参数'!$E$28*'章节与怪物'!$E$17,0),0))</x:f>
        <x:v>1998095</x:v>
      </x:c>
      <x:c r="AU868" s="119" t="n">
        <x:f>IF(AR868=0,0,(AR868-IF(6=D868,1,0))*VLOOKUP(INDEX('章节与怪物'!$E$31:$K$37,B868,6),'章节与怪物'!$A$41:$F$44,4,FALSE)+IF(6=D868,'难度参数'!$E$30,0))</x:f>
        <x:v>1540</x:v>
      </x:c>
      <x:c r="AV868" s="119" t="n">
        <x:f>IF(7&gt;D868,0,MAX(2,MIN('难度参数'!$E$12,ROUND(('难度参数'!$E$18*POWER(A868,'难度参数'!$E$19)/D868*(0.85+0.3*(7-1)/MAX(1,D868-1))),0)+F868)))</x:f>
        <x:v>58</x:v>
      </x:c>
      <x:c r="AW868" s="119" t="n">
        <x:f>IF(7&gt;D868,0,ROUND(('难度参数'!$E$13*POWER(A868,'难度参数'!$E$20)*MIN('难度参数'!$E$23,1+MAX(0,A868-'难度参数'!$E$21)*'难度参数'!$E$22))*(36+7*7)/(36+7*(D868+1)/2)*E868,0))</x:f>
        <x:v>23288</x:v>
      </x:c>
      <x:c r="AX868" s="119" t="n">
        <x:f>IF(AV868=0,0,(AV868-IF(7=D868,1,0))*ROUND(AW868*VLOOKUP(INDEX('章节与怪物'!$E$31:$K$37,B868,7),'章节与怪物'!$A$41:$F$44,2,FALSE),0)+IF(7=D868,ROUND(AW868*'难度参数'!$E$28*'章节与怪物'!$E$17,0),0))</x:f>
        <x:v>1950381</x:v>
      </x:c>
      <x:c r="AY868" s="119" t="n">
        <x:f>IF(AV868=0,0,(AV868-IF(7=D868,1,0))*VLOOKUP(INDEX('章节与怪物'!$E$31:$K$37,B868,7),'章节与怪物'!$A$41:$F$44,4,FALSE)+IF(7=D868,'难度参数'!$E$30,0))</x:f>
        <x:v>2138</x:v>
      </x:c>
    </x:row>
    <x:row r="869" ht="23" customHeight="1">
      <x:c r="A869" s="119" t="n">
        <x:v>863</x:v>
      </x:c>
      <x:c r="B869" s="119" t="n">
        <x:f>MOD(INT((A869-1)/5),7)+1</x:f>
        <x:v>5</x:v>
      </x:c>
      <x:c r="C869" s="62" t="str">
        <x:f>INDEX('章节与怪物'!$B$31:$B$37,B869)</x:f>
        <x:v>雨林遗迹</x:v>
      </x:c>
      <x:c r="D869" s="119" t="n">
        <x:f>MIN('难度参数'!$E$8,MAX('难度参数'!$E$7,A869))</x:f>
        <x:v>7</x:v>
      </x:c>
      <x:c r="E869" s="106" t="n">
        <x:v>1</x:v>
      </x:c>
      <x:c r="F869" s="106" t="n">
        <x:v>0</x:v>
      </x:c>
      <x:c r="G869" s="106" t="n">
        <x:v>1</x:v>
      </x:c>
      <x:c r="H869" s="119" t="n">
        <x:f>SUM(X869,AB869,AF869,AJ869,AN869,AR869,AV869)</x:f>
        <x:v>352</x:v>
      </x:c>
      <x:c r="I869" s="119" t="n">
        <x:f>SUM(Z869,AD869,AH869,AL869,AP869,AT869,AX869)</x:f>
        <x:v>8105976</x:v>
      </x:c>
      <x:c r="J869" s="119" t="n">
        <x:f>ROUND(INDEX(X869:AY869,1,(D869-1)*4+2)*'难度参数'!$E$28*'章节与怪物'!$E$17,0)</x:f>
        <x:v>158494</x:v>
      </x:c>
      <x:c r="K869" s="119" t="n">
        <x:f>SUM(AA869,AE869,AI869,AM869,AQ869,AU869,AY869)</x:f>
        <x:v>9456</x:v>
      </x:c>
      <x:c r="L869" s="62" t="n">
        <x:f>H869*(ROUNDUP('难度参数'!$E$24/('难度参数'!$E$26*'难度参数'!$E$27),0)*'难度参数'!$E$26)/60</x:f>
        <x:v>4.693333333333333</x:v>
      </x:c>
      <x:c r="M869" s="62" t="n">
        <x:f>L869+D869*('难度参数'!$E$49+'难度参数'!$E$50)/60</x:f>
        <x:v>5.86</x:v>
      </x:c>
      <x:c r="N869" s="119" t="n">
        <x:f>ROUNDDOWN(('经济参数'!$E$20+A869*'经济参数'!$E$21)*G869,0)</x:f>
        <x:v>17440</x:v>
      </x:c>
      <x:c r="O869" s="119" t="n">
        <x:f>ROUNDDOWN(MIN('经济参数'!$E$24,'经济参数'!$E$22+A869*'经济参数'!$E$23)*G869,0)</x:f>
        <x:v>0</x:v>
      </x:c>
      <x:c r="P869" s="119" t="n">
        <x:f>ROUNDDOWN((IF(A869&gt;='材料与任务'!$E$31,'材料与任务'!$E$32,IF(A869&gt;='材料与任务'!$E$25,'材料与任务'!$E$26,IF(A869&gt;='材料与任务'!$E$19,'材料与任务'!$E$20,IF(A869&gt;='材料与任务'!$E$13,'材料与任务'!$E$14,'材料与任务'!$E$8)))))*G869,0)</x:f>
        <x:v>6</x:v>
      </x:c>
      <x:c r="Q869" s="119" t="n">
        <x:f>ROUNDDOWN((IF(A869&gt;='材料与任务'!$E$31,'材料与任务'!$E$33,IF(A869&gt;='材料与任务'!$E$25,'材料与任务'!$E$27,IF(A869&gt;='材料与任务'!$E$19,'材料与任务'!$E$21,IF(A869&gt;='材料与任务'!$E$13,'材料与任务'!$E$15,'材料与任务'!$E$9)))))*G869,0)</x:f>
        <x:v>3</x:v>
      </x:c>
      <x:c r="R869" s="110" t="n">
        <x:f>'装备掉落'!$B$38</x:f>
        <x:v>0.6872058758851213</x:v>
      </x:c>
      <x:c r="S869" s="119" t="n">
        <x:f>MAX(IF(VLOOKUP(A869,'装备掉落'!$A$29:$H$34,2,TRUE)&gt;0,1,0),IF(VLOOKUP(A869,'装备掉落'!$A$29:$H$34,3,TRUE)&gt;0,2,0),IF(VLOOKUP(A869,'装备掉落'!$A$29:$H$34,4,TRUE)&gt;0,3,0),IF(VLOOKUP(A869,'装备掉落'!$A$29:$H$34,5,TRUE)&gt;0,4,0),IF(VLOOKUP(A869,'装备掉落'!$A$29:$H$34,6,TRUE)&gt;0,5,0),IF(VLOOKUP(A869,'装备掉落'!$A$29:$H$34,7,TRUE)&gt;0,6,0),IF(VLOOKUP(A869,'装备掉落'!$A$29:$H$34,8,TRUE)&gt;0,7,0))</x:f>
        <x:v>7</x:v>
      </x:c>
      <x:c r="T869" s="119" t="n">
        <x:f>MIN(7,S869+'经济参数'!$E$70)</x:f>
        <x:v>7</x:v>
      </x:c>
      <x:c r="U869" s="119" t="n">
        <x:f>MIN(7,S869+'经济参数'!$E$71)</x:f>
        <x:v>7</x:v>
      </x:c>
      <x:c r="V869" s="119" t="n">
        <x:f>IF(H869&gt;=('难度参数'!$E$52),1,0)+IF(H869&gt;=('难度参数'!$E$52+'难度参数'!$E$53),1,0)+IF(H869&gt;=('难度参数'!$E$52+'难度参数'!$E$53+'难度参数'!$E$54),1,0)+IF(H869&gt;=('难度参数'!$E$52+'难度参数'!$E$53+'难度参数'!$E$54+'难度参数'!$E$55),1,0)+IF(H869&gt;=('难度参数'!$E$52+'难度参数'!$E$53+'难度参数'!$E$54+'难度参数'!$E$55+'难度参数'!$E$56),1,0)+IF(H869&gt;=('难度参数'!$E$52+'难度参数'!$E$53+'难度参数'!$E$54+'难度参数'!$E$55+'难度参数'!$E$56+'难度参数'!$E$57),1,0)</x:f>
        <x:v>6</x:v>
      </x:c>
      <x:c r="W869" s="62" t="str">
        <x:f>IF(L869&gt;'难度参数'!$E$51,"仅出怪已超目标","还需实测")</x:f>
        <x:v>仅出怪已超目标</x:v>
      </x:c>
      <x:c r="X869" s="119" t="n">
        <x:f>IF(1&gt;D869,0,MAX(2,MIN('难度参数'!$E$12,ROUND(('难度参数'!$E$18*POWER(A869,'难度参数'!$E$19)/D869*(0.85+0.3*(1-1)/MAX(1,D869-1))),0)+F869)))</x:f>
        <x:v>43</x:v>
      </x:c>
      <x:c r="Y869" s="119" t="n">
        <x:f>IF(1&gt;D869,0,ROUND(('难度参数'!$E$13*POWER(A869,'难度参数'!$E$20)*MIN('难度参数'!$E$23,1+MAX(0,A869-'难度参数'!$E$21)*'难度参数'!$E$22))*(36+1*7)/(36+7*(D869+1)/2)*E869,0))</x:f>
        <x:v>11791</x:v>
      </x:c>
      <x:c r="Z869" s="119" t="n">
        <x:f>IF(X869=0,0,(X869-IF(1=D869,1,0))*ROUND(Y869*VLOOKUP(INDEX('章节与怪物'!$E$31:$K$37,B869,1),'章节与怪物'!$A$41:$F$44,2,FALSE),0)+IF(1=D869,ROUND(Y869*'难度参数'!$E$28*'章节与怪物'!$E$17,0),0))</x:f>
        <x:v>507013</x:v>
      </x:c>
      <x:c r="AA869" s="119" t="n">
        <x:f>IF(X869=0,0,(X869-IF(1=D869,1,0))*VLOOKUP(INDEX('章节与怪物'!$E$31:$K$37,B869,1),'章节与怪物'!$A$41:$F$44,4,FALSE)+IF(1=D869,'难度参数'!$E$30,0))</x:f>
        <x:v>774</x:v>
      </x:c>
      <x:c r="AB869" s="119" t="n">
        <x:f>IF(2&gt;D869,0,MAX(2,MIN('难度参数'!$E$12,ROUND(('难度参数'!$E$18*POWER(A869,'难度参数'!$E$19)/D869*(0.85+0.3*(2-1)/MAX(1,D869-1))),0)+F869)))</x:f>
        <x:v>45</x:v>
      </x:c>
      <x:c r="AC869" s="119" t="n">
        <x:f>IF(2&gt;D869,0,ROUND(('难度参数'!$E$13*POWER(A869,'难度参数'!$E$20)*MIN('难度参数'!$E$23,1+MAX(0,A869-'难度参数'!$E$21)*'难度参数'!$E$22))*(36+2*7)/(36+7*(D869+1)/2)*E869,0))</x:f>
        <x:v>13710</x:v>
      </x:c>
      <x:c r="AD869" s="119" t="n">
        <x:f>IF(AB869=0,0,(AB869-IF(2=D869,1,0))*ROUND(AC869*VLOOKUP(INDEX('章节与怪物'!$E$31:$K$37,B869,2),'章节与怪物'!$A$41:$F$44,2,FALSE),0)+IF(2=D869,ROUND(AC869*'难度参数'!$E$28*'章节与怪物'!$E$17,0),0))</x:f>
        <x:v>444195</x:v>
      </x:c>
      <x:c r="AE869" s="119" t="n">
        <x:f>IF(AB869=0,0,(AB869-IF(2=D869,1,0))*VLOOKUP(INDEX('章节与怪物'!$E$31:$K$37,B869,2),'章节与怪物'!$A$41:$F$44,4,FALSE)+IF(2=D869,'难度参数'!$E$30,0))</x:f>
        <x:v>900</x:v>
      </x:c>
      <x:c r="AF869" s="119" t="n">
        <x:f>IF(3&gt;D869,0,MAX(2,MIN('难度参数'!$E$12,ROUND(('难度参数'!$E$18*POWER(A869,'难度参数'!$E$19)/D869*(0.85+0.3*(3-1)/MAX(1,D869-1))),0)+F869)))</x:f>
        <x:v>48</x:v>
      </x:c>
      <x:c r="AG869" s="119" t="n">
        <x:f>IF(3&gt;D869,0,ROUND(('难度参数'!$E$13*POWER(A869,'难度参数'!$E$20)*MIN('难度参数'!$E$23,1+MAX(0,A869-'难度参数'!$E$21)*'难度参数'!$E$22))*(36+3*7)/(36+7*(D869+1)/2)*E869,0))</x:f>
        <x:v>15630</x:v>
      </x:c>
      <x:c r="AH869" s="119" t="n">
        <x:f>IF(AF869=0,0,(AF869-IF(3=D869,1,0))*ROUND(AG869*VLOOKUP(INDEX('章节与怪物'!$E$31:$K$37,B869,3),'章节与怪物'!$A$41:$F$44,2,FALSE),0)+IF(3=D869,ROUND(AG869*'难度参数'!$E$28*'章节与怪物'!$E$17,0),0))</x:f>
        <x:v>1275408</x:v>
      </x:c>
      <x:c r="AI869" s="119" t="n">
        <x:f>IF(AF869=0,0,(AF869-IF(3=D869,1,0))*VLOOKUP(INDEX('章节与怪物'!$E$31:$K$37,B869,3),'章节与怪物'!$A$41:$F$44,4,FALSE)+IF(3=D869,'难度参数'!$E$30,0))</x:f>
        <x:v>1344</x:v>
      </x:c>
      <x:c r="AJ869" s="119" t="n">
        <x:f>IF(4&gt;D869,0,MAX(2,MIN('难度参数'!$E$12,ROUND(('难度参数'!$E$18*POWER(A869,'难度参数'!$E$19)/D869*(0.85+0.3*(4-1)/MAX(1,D869-1))),0)+F869)))</x:f>
        <x:v>50</x:v>
      </x:c>
      <x:c r="AK869" s="119" t="n">
        <x:f>IF(4&gt;D869,0,ROUND(('难度参数'!$E$13*POWER(A869,'难度参数'!$E$20)*MIN('难度参数'!$E$23,1+MAX(0,A869-'难度参数'!$E$21)*'难度参数'!$E$22))*(36+4*7)/(36+7*(D869+1)/2)*E869,0))</x:f>
        <x:v>17549</x:v>
      </x:c>
      <x:c r="AL869" s="119" t="n">
        <x:f>IF(AJ869=0,0,(AJ869-IF(4=D869,1,0))*ROUND(AK869*VLOOKUP(INDEX('章节与怪物'!$E$31:$K$37,B869,4),'章节与怪物'!$A$41:$F$44,2,FALSE),0)+IF(4=D869,ROUND(AK869*'难度参数'!$E$28*'章节与怪物'!$E$17,0),0))</x:f>
        <x:v>1184550</x:v>
      </x:c>
      <x:c r="AM869" s="119" t="n">
        <x:f>IF(AJ869=0,0,(AJ869-IF(4=D869,1,0))*VLOOKUP(INDEX('章节与怪物'!$E$31:$K$37,B869,4),'章节与怪物'!$A$41:$F$44,4,FALSE)+IF(4=D869,'难度参数'!$E$30,0))</x:f>
        <x:v>1700</x:v>
      </x:c>
      <x:c r="AN869" s="119" t="n">
        <x:f>IF(5&gt;D869,0,MAX(2,MIN('难度参数'!$E$12,ROUND(('难度参数'!$E$18*POWER(A869,'难度参数'!$E$19)/D869*(0.85+0.3*(5-1)/MAX(1,D869-1))),0)+F869)))</x:f>
        <x:v>53</x:v>
      </x:c>
      <x:c r="AO869" s="119" t="n">
        <x:f>IF(5&gt;D869,0,ROUND(('难度参数'!$E$13*POWER(A869,'难度参数'!$E$20)*MIN('难度参数'!$E$23,1+MAX(0,A869-'难度参数'!$E$21)*'难度参数'!$E$22))*(36+5*7)/(36+7*(D869+1)/2)*E869,0))</x:f>
        <x:v>19469</x:v>
      </x:c>
      <x:c r="AP869" s="119" t="n">
        <x:f>IF(AN869=0,0,(AN869-IF(5=D869,1,0))*ROUND(AO869*VLOOKUP(INDEX('章节与怪物'!$E$31:$K$37,B869,5),'章节与怪物'!$A$41:$F$44,2,FALSE),0)+IF(5=D869,ROUND(AO869*'难度参数'!$E$28*'章节与怪物'!$E$17,0),0))</x:f>
        <x:v>742954</x:v>
      </x:c>
      <x:c r="AQ869" s="119" t="n">
        <x:f>IF(AN869=0,0,(AN869-IF(5=D869,1,0))*VLOOKUP(INDEX('章节与怪物'!$E$31:$K$37,B869,5),'章节与怪物'!$A$41:$F$44,4,FALSE)+IF(5=D869,'难度参数'!$E$30,0))</x:f>
        <x:v>1060</x:v>
      </x:c>
      <x:c r="AR869" s="119" t="n">
        <x:f>IF(6&gt;D869,0,MAX(2,MIN('难度参数'!$E$12,ROUND(('难度参数'!$E$18*POWER(A869,'难度参数'!$E$19)/D869*(0.85+0.3*(6-1)/MAX(1,D869-1))),0)+F869)))</x:f>
        <x:v>55</x:v>
      </x:c>
      <x:c r="AS869" s="119" t="n">
        <x:f>IF(6&gt;D869,0,ROUND(('难度参数'!$E$13*POWER(A869,'难度参数'!$E$20)*MIN('难度参数'!$E$23,1+MAX(0,A869-'难度参数'!$E$21)*'难度参数'!$E$22))*(36+6*7)/(36+7*(D869+1)/2)*E869,0))</x:f>
        <x:v>21388</x:v>
      </x:c>
      <x:c r="AT869" s="119" t="n">
        <x:f>IF(AR869=0,0,(AR869-IF(6=D869,1,0))*ROUND(AS869*VLOOKUP(INDEX('章节与怪物'!$E$31:$K$37,B869,6),'章节与怪物'!$A$41:$F$44,2,FALSE),0)+IF(6=D869,ROUND(AS869*'难度参数'!$E$28*'章节与怪物'!$E$17,0),0))</x:f>
        <x:v>1999800</x:v>
      </x:c>
      <x:c r="AU869" s="119" t="n">
        <x:f>IF(AR869=0,0,(AR869-IF(6=D869,1,0))*VLOOKUP(INDEX('章节与怪物'!$E$31:$K$37,B869,6),'章节与怪物'!$A$41:$F$44,4,FALSE)+IF(6=D869,'难度参数'!$E$30,0))</x:f>
        <x:v>1540</x:v>
      </x:c>
      <x:c r="AV869" s="119" t="n">
        <x:f>IF(7&gt;D869,0,MAX(2,MIN('难度参数'!$E$12,ROUND(('难度参数'!$E$18*POWER(A869,'难度参数'!$E$19)/D869*(0.85+0.3*(7-1)/MAX(1,D869-1))),0)+F869)))</x:f>
        <x:v>58</x:v>
      </x:c>
      <x:c r="AW869" s="119" t="n">
        <x:f>IF(7&gt;D869,0,ROUND(('难度参数'!$E$13*POWER(A869,'难度参数'!$E$20)*MIN('难度参数'!$E$23,1+MAX(0,A869-'难度参数'!$E$21)*'难度参数'!$E$22))*(36+7*7)/(36+7*(D869+1)/2)*E869,0))</x:f>
        <x:v>23308</x:v>
      </x:c>
      <x:c r="AX869" s="119" t="n">
        <x:f>IF(AV869=0,0,(AV869-IF(7=D869,1,0))*ROUND(AW869*VLOOKUP(INDEX('章节与怪物'!$E$31:$K$37,B869,7),'章节与怪物'!$A$41:$F$44,2,FALSE),0)+IF(7=D869,ROUND(AW869*'难度参数'!$E$28*'章节与怪物'!$E$17,0),0))</x:f>
        <x:v>1952056</x:v>
      </x:c>
      <x:c r="AY869" s="119" t="n">
        <x:f>IF(AV869=0,0,(AV869-IF(7=D869,1,0))*VLOOKUP(INDEX('章节与怪物'!$E$31:$K$37,B869,7),'章节与怪物'!$A$41:$F$44,4,FALSE)+IF(7=D869,'难度参数'!$E$30,0))</x:f>
        <x:v>2138</x:v>
      </x:c>
    </x:row>
    <x:row r="870" ht="23" customHeight="1">
      <x:c r="A870" s="119" t="n">
        <x:v>864</x:v>
      </x:c>
      <x:c r="B870" s="119" t="n">
        <x:f>MOD(INT((A870-1)/5),7)+1</x:f>
        <x:v>5</x:v>
      </x:c>
      <x:c r="C870" s="62" t="str">
        <x:f>INDEX('章节与怪物'!$B$31:$B$37,B870)</x:f>
        <x:v>雨林遗迹</x:v>
      </x:c>
      <x:c r="D870" s="119" t="n">
        <x:f>MIN('难度参数'!$E$8,MAX('难度参数'!$E$7,A870))</x:f>
        <x:v>7</x:v>
      </x:c>
      <x:c r="E870" s="106" t="n">
        <x:v>1</x:v>
      </x:c>
      <x:c r="F870" s="106" t="n">
        <x:v>0</x:v>
      </x:c>
      <x:c r="G870" s="106" t="n">
        <x:v>1</x:v>
      </x:c>
      <x:c r="H870" s="119" t="n">
        <x:f>SUM(X870,AB870,AF870,AJ870,AN870,AR870,AV870)</x:f>
        <x:v>352</x:v>
      </x:c>
      <x:c r="I870" s="119" t="n">
        <x:f>SUM(Z870,AD870,AH870,AL870,AP870,AT870,AX870)</x:f>
        <x:v>8112655</x:v>
      </x:c>
      <x:c r="J870" s="119" t="n">
        <x:f>ROUND(INDEX(X870:AY870,1,(D870-1)*4+2)*'难度参数'!$E$28*'章节与怪物'!$E$17,0)</x:f>
        <x:v>158624</x:v>
      </x:c>
      <x:c r="K870" s="119" t="n">
        <x:f>SUM(AA870,AE870,AI870,AM870,AQ870,AU870,AY870)</x:f>
        <x:v>9456</x:v>
      </x:c>
      <x:c r="L870" s="62" t="n">
        <x:f>H870*(ROUNDUP('难度参数'!$E$24/('难度参数'!$E$26*'难度参数'!$E$27),0)*'难度参数'!$E$26)/60</x:f>
        <x:v>4.693333333333333</x:v>
      </x:c>
      <x:c r="M870" s="62" t="n">
        <x:f>L870+D870*('难度参数'!$E$49+'难度参数'!$E$50)/60</x:f>
        <x:v>5.86</x:v>
      </x:c>
      <x:c r="N870" s="119" t="n">
        <x:f>ROUNDDOWN(('经济参数'!$E$20+A870*'经济参数'!$E$21)*G870,0)</x:f>
        <x:v>17460</x:v>
      </x:c>
      <x:c r="O870" s="119" t="n">
        <x:f>ROUNDDOWN(MIN('经济参数'!$E$24,'经济参数'!$E$22+A870*'经济参数'!$E$23)*G870,0)</x:f>
        <x:v>0</x:v>
      </x:c>
      <x:c r="P870" s="119" t="n">
        <x:f>ROUNDDOWN((IF(A870&gt;='材料与任务'!$E$31,'材料与任务'!$E$32,IF(A870&gt;='材料与任务'!$E$25,'材料与任务'!$E$26,IF(A870&gt;='材料与任务'!$E$19,'材料与任务'!$E$20,IF(A870&gt;='材料与任务'!$E$13,'材料与任务'!$E$14,'材料与任务'!$E$8)))))*G870,0)</x:f>
        <x:v>6</x:v>
      </x:c>
      <x:c r="Q870" s="119" t="n">
        <x:f>ROUNDDOWN((IF(A870&gt;='材料与任务'!$E$31,'材料与任务'!$E$33,IF(A870&gt;='材料与任务'!$E$25,'材料与任务'!$E$27,IF(A870&gt;='材料与任务'!$E$19,'材料与任务'!$E$21,IF(A870&gt;='材料与任务'!$E$13,'材料与任务'!$E$15,'材料与任务'!$E$9)))))*G870,0)</x:f>
        <x:v>3</x:v>
      </x:c>
      <x:c r="R870" s="110" t="n">
        <x:f>'装备掉落'!$B$38</x:f>
        <x:v>0.6872058758851213</x:v>
      </x:c>
      <x:c r="S870" s="119" t="n">
        <x:f>MAX(IF(VLOOKUP(A870,'装备掉落'!$A$29:$H$34,2,TRUE)&gt;0,1,0),IF(VLOOKUP(A870,'装备掉落'!$A$29:$H$34,3,TRUE)&gt;0,2,0),IF(VLOOKUP(A870,'装备掉落'!$A$29:$H$34,4,TRUE)&gt;0,3,0),IF(VLOOKUP(A870,'装备掉落'!$A$29:$H$34,5,TRUE)&gt;0,4,0),IF(VLOOKUP(A870,'装备掉落'!$A$29:$H$34,6,TRUE)&gt;0,5,0),IF(VLOOKUP(A870,'装备掉落'!$A$29:$H$34,7,TRUE)&gt;0,6,0),IF(VLOOKUP(A870,'装备掉落'!$A$29:$H$34,8,TRUE)&gt;0,7,0))</x:f>
        <x:v>7</x:v>
      </x:c>
      <x:c r="T870" s="119" t="n">
        <x:f>MIN(7,S870+'经济参数'!$E$70)</x:f>
        <x:v>7</x:v>
      </x:c>
      <x:c r="U870" s="119" t="n">
        <x:f>MIN(7,S870+'经济参数'!$E$71)</x:f>
        <x:v>7</x:v>
      </x:c>
      <x:c r="V870" s="119" t="n">
        <x:f>IF(H870&gt;=('难度参数'!$E$52),1,0)+IF(H870&gt;=('难度参数'!$E$52+'难度参数'!$E$53),1,0)+IF(H870&gt;=('难度参数'!$E$52+'难度参数'!$E$53+'难度参数'!$E$54),1,0)+IF(H870&gt;=('难度参数'!$E$52+'难度参数'!$E$53+'难度参数'!$E$54+'难度参数'!$E$55),1,0)+IF(H870&gt;=('难度参数'!$E$52+'难度参数'!$E$53+'难度参数'!$E$54+'难度参数'!$E$55+'难度参数'!$E$56),1,0)+IF(H870&gt;=('难度参数'!$E$52+'难度参数'!$E$53+'难度参数'!$E$54+'难度参数'!$E$55+'难度参数'!$E$56+'难度参数'!$E$57),1,0)</x:f>
        <x:v>6</x:v>
      </x:c>
      <x:c r="W870" s="62" t="str">
        <x:f>IF(L870&gt;'难度参数'!$E$51,"仅出怪已超目标","还需实测")</x:f>
        <x:v>仅出怪已超目标</x:v>
      </x:c>
      <x:c r="X870" s="119" t="n">
        <x:f>IF(1&gt;D870,0,MAX(2,MIN('难度参数'!$E$12,ROUND(('难度参数'!$E$18*POWER(A870,'难度参数'!$E$19)/D870*(0.85+0.3*(1-1)/MAX(1,D870-1))),0)+F870)))</x:f>
        <x:v>43</x:v>
      </x:c>
      <x:c r="Y870" s="119" t="n">
        <x:f>IF(1&gt;D870,0,ROUND(('难度参数'!$E$13*POWER(A870,'难度参数'!$E$20)*MIN('难度参数'!$E$23,1+MAX(0,A870-'难度参数'!$E$21)*'难度参数'!$E$22))*(36+1*7)/(36+7*(D870+1)/2)*E870,0))</x:f>
        <x:v>11801</x:v>
      </x:c>
      <x:c r="Z870" s="119" t="n">
        <x:f>IF(X870=0,0,(X870-IF(1=D870,1,0))*ROUND(Y870*VLOOKUP(INDEX('章节与怪物'!$E$31:$K$37,B870,1),'章节与怪物'!$A$41:$F$44,2,FALSE),0)+IF(1=D870,ROUND(Y870*'难度参数'!$E$28*'章节与怪物'!$E$17,0),0))</x:f>
        <x:v>507443</x:v>
      </x:c>
      <x:c r="AA870" s="119" t="n">
        <x:f>IF(X870=0,0,(X870-IF(1=D870,1,0))*VLOOKUP(INDEX('章节与怪物'!$E$31:$K$37,B870,1),'章节与怪物'!$A$41:$F$44,4,FALSE)+IF(1=D870,'难度参数'!$E$30,0))</x:f>
        <x:v>774</x:v>
      </x:c>
      <x:c r="AB870" s="119" t="n">
        <x:f>IF(2&gt;D870,0,MAX(2,MIN('难度参数'!$E$12,ROUND(('难度参数'!$E$18*POWER(A870,'难度参数'!$E$19)/D870*(0.85+0.3*(2-1)/MAX(1,D870-1))),0)+F870)))</x:f>
        <x:v>45</x:v>
      </x:c>
      <x:c r="AC870" s="119" t="n">
        <x:f>IF(2&gt;D870,0,ROUND(('难度参数'!$E$13*POWER(A870,'难度参数'!$E$20)*MIN('难度参数'!$E$23,1+MAX(0,A870-'难度参数'!$E$21)*'难度参数'!$E$22))*(36+2*7)/(36+7*(D870+1)/2)*E870,0))</x:f>
        <x:v>13722</x:v>
      </x:c>
      <x:c r="AD870" s="119" t="n">
        <x:f>IF(AB870=0,0,(AB870-IF(2=D870,1,0))*ROUND(AC870*VLOOKUP(INDEX('章节与怪物'!$E$31:$K$37,B870,2),'章节与怪物'!$A$41:$F$44,2,FALSE),0)+IF(2=D870,ROUND(AC870*'难度参数'!$E$28*'章节与怪物'!$E$17,0),0))</x:f>
        <x:v>444600</x:v>
      </x:c>
      <x:c r="AE870" s="119" t="n">
        <x:f>IF(AB870=0,0,(AB870-IF(2=D870,1,0))*VLOOKUP(INDEX('章节与怪物'!$E$31:$K$37,B870,2),'章节与怪物'!$A$41:$F$44,4,FALSE)+IF(2=D870,'难度参数'!$E$30,0))</x:f>
        <x:v>900</x:v>
      </x:c>
      <x:c r="AF870" s="119" t="n">
        <x:f>IF(3&gt;D870,0,MAX(2,MIN('难度参数'!$E$12,ROUND(('难度参数'!$E$18*POWER(A870,'难度参数'!$E$19)/D870*(0.85+0.3*(3-1)/MAX(1,D870-1))),0)+F870)))</x:f>
        <x:v>48</x:v>
      </x:c>
      <x:c r="AG870" s="119" t="n">
        <x:f>IF(3&gt;D870,0,ROUND(('难度参数'!$E$13*POWER(A870,'难度参数'!$E$20)*MIN('难度参数'!$E$23,1+MAX(0,A870-'难度参数'!$E$21)*'难度参数'!$E$22))*(36+3*7)/(36+7*(D870+1)/2)*E870,0))</x:f>
        <x:v>15643</x:v>
      </x:c>
      <x:c r="AH870" s="119" t="n">
        <x:f>IF(AF870=0,0,(AF870-IF(3=D870,1,0))*ROUND(AG870*VLOOKUP(INDEX('章节与怪物'!$E$31:$K$37,B870,3),'章节与怪物'!$A$41:$F$44,2,FALSE),0)+IF(3=D870,ROUND(AG870*'难度参数'!$E$28*'章节与怪物'!$E$17,0),0))</x:f>
        <x:v>1276464</x:v>
      </x:c>
      <x:c r="AI870" s="119" t="n">
        <x:f>IF(AF870=0,0,(AF870-IF(3=D870,1,0))*VLOOKUP(INDEX('章节与怪物'!$E$31:$K$37,B870,3),'章节与怪物'!$A$41:$F$44,4,FALSE)+IF(3=D870,'难度参数'!$E$30,0))</x:f>
        <x:v>1344</x:v>
      </x:c>
      <x:c r="AJ870" s="119" t="n">
        <x:f>IF(4&gt;D870,0,MAX(2,MIN('难度参数'!$E$12,ROUND(('难度参数'!$E$18*POWER(A870,'难度参数'!$E$19)/D870*(0.85+0.3*(4-1)/MAX(1,D870-1))),0)+F870)))</x:f>
        <x:v>50</x:v>
      </x:c>
      <x:c r="AK870" s="119" t="n">
        <x:f>IF(4&gt;D870,0,ROUND(('难度参数'!$E$13*POWER(A870,'难度参数'!$E$20)*MIN('难度参数'!$E$23,1+MAX(0,A870-'难度参数'!$E$21)*'难度参数'!$E$22))*(36+4*7)/(36+7*(D870+1)/2)*E870,0))</x:f>
        <x:v>17564</x:v>
      </x:c>
      <x:c r="AL870" s="119" t="n">
        <x:f>IF(AJ870=0,0,(AJ870-IF(4=D870,1,0))*ROUND(AK870*VLOOKUP(INDEX('章节与怪物'!$E$31:$K$37,B870,4),'章节与怪物'!$A$41:$F$44,2,FALSE),0)+IF(4=D870,ROUND(AK870*'难度参数'!$E$28*'章节与怪物'!$E$17,0),0))</x:f>
        <x:v>1185550</x:v>
      </x:c>
      <x:c r="AM870" s="119" t="n">
        <x:f>IF(AJ870=0,0,(AJ870-IF(4=D870,1,0))*VLOOKUP(INDEX('章节与怪物'!$E$31:$K$37,B870,4),'章节与怪物'!$A$41:$F$44,4,FALSE)+IF(4=D870,'难度参数'!$E$30,0))</x:f>
        <x:v>1700</x:v>
      </x:c>
      <x:c r="AN870" s="119" t="n">
        <x:f>IF(5&gt;D870,0,MAX(2,MIN('难度参数'!$E$12,ROUND(('难度参数'!$E$18*POWER(A870,'难度参数'!$E$19)/D870*(0.85+0.3*(5-1)/MAX(1,D870-1))),0)+F870)))</x:f>
        <x:v>53</x:v>
      </x:c>
      <x:c r="AO870" s="119" t="n">
        <x:f>IF(5&gt;D870,0,ROUND(('难度参数'!$E$13*POWER(A870,'难度参数'!$E$20)*MIN('难度参数'!$E$23,1+MAX(0,A870-'难度参数'!$E$21)*'难度参数'!$E$22))*(36+5*7)/(36+7*(D870+1)/2)*E870,0))</x:f>
        <x:v>19485</x:v>
      </x:c>
      <x:c r="AP870" s="119" t="n">
        <x:f>IF(AN870=0,0,(AN870-IF(5=D870,1,0))*ROUND(AO870*VLOOKUP(INDEX('章节与怪物'!$E$31:$K$37,B870,5),'章节与怪物'!$A$41:$F$44,2,FALSE),0)+IF(5=D870,ROUND(AO870*'难度参数'!$E$28*'章节与怪物'!$E$17,0),0))</x:f>
        <x:v>743537</x:v>
      </x:c>
      <x:c r="AQ870" s="119" t="n">
        <x:f>IF(AN870=0,0,(AN870-IF(5=D870,1,0))*VLOOKUP(INDEX('章节与怪物'!$E$31:$K$37,B870,5),'章节与怪物'!$A$41:$F$44,4,FALSE)+IF(5=D870,'难度参数'!$E$30,0))</x:f>
        <x:v>1060</x:v>
      </x:c>
      <x:c r="AR870" s="119" t="n">
        <x:f>IF(6&gt;D870,0,MAX(2,MIN('难度参数'!$E$12,ROUND(('难度参数'!$E$18*POWER(A870,'难度参数'!$E$19)/D870*(0.85+0.3*(6-1)/MAX(1,D870-1))),0)+F870)))</x:f>
        <x:v>55</x:v>
      </x:c>
      <x:c r="AS870" s="119" t="n">
        <x:f>IF(6&gt;D870,0,ROUND(('难度参数'!$E$13*POWER(A870,'难度参数'!$E$20)*MIN('难度参数'!$E$23,1+MAX(0,A870-'难度参数'!$E$21)*'难度参数'!$E$22))*(36+6*7)/(36+7*(D870+1)/2)*E870,0))</x:f>
        <x:v>21406</x:v>
      </x:c>
      <x:c r="AT870" s="119" t="n">
        <x:f>IF(AR870=0,0,(AR870-IF(6=D870,1,0))*ROUND(AS870*VLOOKUP(INDEX('章节与怪物'!$E$31:$K$37,B870,6),'章节与怪物'!$A$41:$F$44,2,FALSE),0)+IF(6=D870,ROUND(AS870*'难度参数'!$E$28*'章节与怪物'!$E$17,0),0))</x:f>
        <x:v>2001450</x:v>
      </x:c>
      <x:c r="AU870" s="119" t="n">
        <x:f>IF(AR870=0,0,(AR870-IF(6=D870,1,0))*VLOOKUP(INDEX('章节与怪物'!$E$31:$K$37,B870,6),'章节与怪物'!$A$41:$F$44,4,FALSE)+IF(6=D870,'难度参数'!$E$30,0))</x:f>
        <x:v>1540</x:v>
      </x:c>
      <x:c r="AV870" s="119" t="n">
        <x:f>IF(7&gt;D870,0,MAX(2,MIN('难度参数'!$E$12,ROUND(('难度参数'!$E$18*POWER(A870,'难度参数'!$E$19)/D870*(0.85+0.3*(7-1)/MAX(1,D870-1))),0)+F870)))</x:f>
        <x:v>58</x:v>
      </x:c>
      <x:c r="AW870" s="119" t="n">
        <x:f>IF(7&gt;D870,0,ROUND(('难度参数'!$E$13*POWER(A870,'难度参数'!$E$20)*MIN('难度参数'!$E$23,1+MAX(0,A870-'难度参数'!$E$21)*'难度参数'!$E$22))*(36+7*7)/(36+7*(D870+1)/2)*E870,0))</x:f>
        <x:v>23327</x:v>
      </x:c>
      <x:c r="AX870" s="119" t="n">
        <x:f>IF(AV870=0,0,(AV870-IF(7=D870,1,0))*ROUND(AW870*VLOOKUP(INDEX('章节与怪物'!$E$31:$K$37,B870,7),'章节与怪物'!$A$41:$F$44,2,FALSE),0)+IF(7=D870,ROUND(AW870*'难度参数'!$E$28*'章节与怪物'!$E$17,0),0))</x:f>
        <x:v>1953611</x:v>
      </x:c>
      <x:c r="AY870" s="119" t="n">
        <x:f>IF(AV870=0,0,(AV870-IF(7=D870,1,0))*VLOOKUP(INDEX('章节与怪物'!$E$31:$K$37,B870,7),'章节与怪物'!$A$41:$F$44,4,FALSE)+IF(7=D870,'难度参数'!$E$30,0))</x:f>
        <x:v>2138</x:v>
      </x:c>
    </x:row>
    <x:row r="871" ht="23" customHeight="1">
      <x:c r="A871" s="119" t="n">
        <x:v>865</x:v>
      </x:c>
      <x:c r="B871" s="119" t="n">
        <x:f>MOD(INT((A871-1)/5),7)+1</x:f>
        <x:v>5</x:v>
      </x:c>
      <x:c r="C871" s="62" t="str">
        <x:f>INDEX('章节与怪物'!$B$31:$B$37,B871)</x:f>
        <x:v>雨林遗迹</x:v>
      </x:c>
      <x:c r="D871" s="119" t="n">
        <x:f>MIN('难度参数'!$E$8,MAX('难度参数'!$E$7,A871))</x:f>
        <x:v>7</x:v>
      </x:c>
      <x:c r="E871" s="106" t="n">
        <x:v>1</x:v>
      </x:c>
      <x:c r="F871" s="106" t="n">
        <x:v>0</x:v>
      </x:c>
      <x:c r="G871" s="106" t="n">
        <x:v>1</x:v>
      </x:c>
      <x:c r="H871" s="119" t="n">
        <x:f>SUM(X871,AB871,AF871,AJ871,AN871,AR871,AV871)</x:f>
        <x:v>352</x:v>
      </x:c>
      <x:c r="I871" s="119" t="n">
        <x:f>SUM(Z871,AD871,AH871,AL871,AP871,AT871,AX871)</x:f>
        <x:v>8119567</x:v>
      </x:c>
      <x:c r="J871" s="119" t="n">
        <x:f>ROUND(INDEX(X871:AY871,1,(D871-1)*4+2)*'难度参数'!$E$28*'章节与怪物'!$E$17,0)</x:f>
        <x:v>158760</x:v>
      </x:c>
      <x:c r="K871" s="119" t="n">
        <x:f>SUM(AA871,AE871,AI871,AM871,AQ871,AU871,AY871)</x:f>
        <x:v>9456</x:v>
      </x:c>
      <x:c r="L871" s="62" t="n">
        <x:f>H871*(ROUNDUP('难度参数'!$E$24/('难度参数'!$E$26*'难度参数'!$E$27),0)*'难度参数'!$E$26)/60</x:f>
        <x:v>4.693333333333333</x:v>
      </x:c>
      <x:c r="M871" s="62" t="n">
        <x:f>L871+D871*('难度参数'!$E$49+'难度参数'!$E$50)/60</x:f>
        <x:v>5.86</x:v>
      </x:c>
      <x:c r="N871" s="119" t="n">
        <x:f>ROUNDDOWN(('经济参数'!$E$20+A871*'经济参数'!$E$21)*G871,0)</x:f>
        <x:v>17480</x:v>
      </x:c>
      <x:c r="O871" s="119" t="n">
        <x:f>ROUNDDOWN(MIN('经济参数'!$E$24,'经济参数'!$E$22+A871*'经济参数'!$E$23)*G871,0)</x:f>
        <x:v>0</x:v>
      </x:c>
      <x:c r="P871" s="119" t="n">
        <x:f>ROUNDDOWN((IF(A871&gt;='材料与任务'!$E$31,'材料与任务'!$E$32,IF(A871&gt;='材料与任务'!$E$25,'材料与任务'!$E$26,IF(A871&gt;='材料与任务'!$E$19,'材料与任务'!$E$20,IF(A871&gt;='材料与任务'!$E$13,'材料与任务'!$E$14,'材料与任务'!$E$8)))))*G871,0)</x:f>
        <x:v>6</x:v>
      </x:c>
      <x:c r="Q871" s="119" t="n">
        <x:f>ROUNDDOWN((IF(A871&gt;='材料与任务'!$E$31,'材料与任务'!$E$33,IF(A871&gt;='材料与任务'!$E$25,'材料与任务'!$E$27,IF(A871&gt;='材料与任务'!$E$19,'材料与任务'!$E$21,IF(A871&gt;='材料与任务'!$E$13,'材料与任务'!$E$15,'材料与任务'!$E$9)))))*G871,0)</x:f>
        <x:v>3</x:v>
      </x:c>
      <x:c r="R871" s="110" t="n">
        <x:f>'装备掉落'!$B$38</x:f>
        <x:v>0.6872058758851213</x:v>
      </x:c>
      <x:c r="S871" s="119" t="n">
        <x:f>MAX(IF(VLOOKUP(A871,'装备掉落'!$A$29:$H$34,2,TRUE)&gt;0,1,0),IF(VLOOKUP(A871,'装备掉落'!$A$29:$H$34,3,TRUE)&gt;0,2,0),IF(VLOOKUP(A871,'装备掉落'!$A$29:$H$34,4,TRUE)&gt;0,3,0),IF(VLOOKUP(A871,'装备掉落'!$A$29:$H$34,5,TRUE)&gt;0,4,0),IF(VLOOKUP(A871,'装备掉落'!$A$29:$H$34,6,TRUE)&gt;0,5,0),IF(VLOOKUP(A871,'装备掉落'!$A$29:$H$34,7,TRUE)&gt;0,6,0),IF(VLOOKUP(A871,'装备掉落'!$A$29:$H$34,8,TRUE)&gt;0,7,0))</x:f>
        <x:v>7</x:v>
      </x:c>
      <x:c r="T871" s="119" t="n">
        <x:f>MIN(7,S871+'经济参数'!$E$70)</x:f>
        <x:v>7</x:v>
      </x:c>
      <x:c r="U871" s="119" t="n">
        <x:f>MIN(7,S871+'经济参数'!$E$71)</x:f>
        <x:v>7</x:v>
      </x:c>
      <x:c r="V871" s="119" t="n">
        <x:f>IF(H871&gt;=('难度参数'!$E$52),1,0)+IF(H871&gt;=('难度参数'!$E$52+'难度参数'!$E$53),1,0)+IF(H871&gt;=('难度参数'!$E$52+'难度参数'!$E$53+'难度参数'!$E$54),1,0)+IF(H871&gt;=('难度参数'!$E$52+'难度参数'!$E$53+'难度参数'!$E$54+'难度参数'!$E$55),1,0)+IF(H871&gt;=('难度参数'!$E$52+'难度参数'!$E$53+'难度参数'!$E$54+'难度参数'!$E$55+'难度参数'!$E$56),1,0)+IF(H871&gt;=('难度参数'!$E$52+'难度参数'!$E$53+'难度参数'!$E$54+'难度参数'!$E$55+'难度参数'!$E$56+'难度参数'!$E$57),1,0)</x:f>
        <x:v>6</x:v>
      </x:c>
      <x:c r="W871" s="62" t="str">
        <x:f>IF(L871&gt;'难度参数'!$E$51,"仅出怪已超目标","还需实测")</x:f>
        <x:v>仅出怪已超目标</x:v>
      </x:c>
      <x:c r="X871" s="119" t="n">
        <x:f>IF(1&gt;D871,0,MAX(2,MIN('难度参数'!$E$12,ROUND(('难度参数'!$E$18*POWER(A871,'难度参数'!$E$19)/D871*(0.85+0.3*(1-1)/MAX(1,D871-1))),0)+F871)))</x:f>
        <x:v>43</x:v>
      </x:c>
      <x:c r="Y871" s="119" t="n">
        <x:f>IF(1&gt;D871,0,ROUND(('难度参数'!$E$13*POWER(A871,'难度参数'!$E$20)*MIN('难度参数'!$E$23,1+MAX(0,A871-'难度参数'!$E$21)*'难度参数'!$E$22))*(36+1*7)/(36+7*(D871+1)/2)*E871,0))</x:f>
        <x:v>11811</x:v>
      </x:c>
      <x:c r="Z871" s="119" t="n">
        <x:f>IF(X871=0,0,(X871-IF(1=D871,1,0))*ROUND(Y871*VLOOKUP(INDEX('章节与怪物'!$E$31:$K$37,B871,1),'章节与怪物'!$A$41:$F$44,2,FALSE),0)+IF(1=D871,ROUND(Y871*'难度参数'!$E$28*'章节与怪物'!$E$17,0),0))</x:f>
        <x:v>507873</x:v>
      </x:c>
      <x:c r="AA871" s="119" t="n">
        <x:f>IF(X871=0,0,(X871-IF(1=D871,1,0))*VLOOKUP(INDEX('章节与怪物'!$E$31:$K$37,B871,1),'章节与怪物'!$A$41:$F$44,4,FALSE)+IF(1=D871,'难度参数'!$E$30,0))</x:f>
        <x:v>774</x:v>
      </x:c>
      <x:c r="AB871" s="119" t="n">
        <x:f>IF(2&gt;D871,0,MAX(2,MIN('难度参数'!$E$12,ROUND(('难度参数'!$E$18*POWER(A871,'难度参数'!$E$19)/D871*(0.85+0.3*(2-1)/MAX(1,D871-1))),0)+F871)))</x:f>
        <x:v>45</x:v>
      </x:c>
      <x:c r="AC871" s="119" t="n">
        <x:f>IF(2&gt;D871,0,ROUND(('难度参数'!$E$13*POWER(A871,'难度参数'!$E$20)*MIN('难度参数'!$E$23,1+MAX(0,A871-'难度参数'!$E$21)*'难度参数'!$E$22))*(36+2*7)/(36+7*(D871+1)/2)*E871,0))</x:f>
        <x:v>13733</x:v>
      </x:c>
      <x:c r="AD871" s="119" t="n">
        <x:f>IF(AB871=0,0,(AB871-IF(2=D871,1,0))*ROUND(AC871*VLOOKUP(INDEX('章节与怪物'!$E$31:$K$37,B871,2),'章节与怪物'!$A$41:$F$44,2,FALSE),0)+IF(2=D871,ROUND(AC871*'难度参数'!$E$28*'章节与怪物'!$E$17,0),0))</x:f>
        <x:v>444960</x:v>
      </x:c>
      <x:c r="AE871" s="119" t="n">
        <x:f>IF(AB871=0,0,(AB871-IF(2=D871,1,0))*VLOOKUP(INDEX('章节与怪物'!$E$31:$K$37,B871,2),'章节与怪物'!$A$41:$F$44,4,FALSE)+IF(2=D871,'难度参数'!$E$30,0))</x:f>
        <x:v>900</x:v>
      </x:c>
      <x:c r="AF871" s="119" t="n">
        <x:f>IF(3&gt;D871,0,MAX(2,MIN('难度参数'!$E$12,ROUND(('难度参数'!$E$18*POWER(A871,'难度参数'!$E$19)/D871*(0.85+0.3*(3-1)/MAX(1,D871-1))),0)+F871)))</x:f>
        <x:v>48</x:v>
      </x:c>
      <x:c r="AG871" s="119" t="n">
        <x:f>IF(3&gt;D871,0,ROUND(('难度参数'!$E$13*POWER(A871,'难度参数'!$E$20)*MIN('难度参数'!$E$23,1+MAX(0,A871-'难度参数'!$E$21)*'难度参数'!$E$22))*(36+3*7)/(36+7*(D871+1)/2)*E871,0))</x:f>
        <x:v>15656</x:v>
      </x:c>
      <x:c r="AH871" s="119" t="n">
        <x:f>IF(AF871=0,0,(AF871-IF(3=D871,1,0))*ROUND(AG871*VLOOKUP(INDEX('章节与怪物'!$E$31:$K$37,B871,3),'章节与怪物'!$A$41:$F$44,2,FALSE),0)+IF(3=D871,ROUND(AG871*'难度参数'!$E$28*'章节与怪物'!$E$17,0),0))</x:f>
        <x:v>1277520</x:v>
      </x:c>
      <x:c r="AI871" s="119" t="n">
        <x:f>IF(AF871=0,0,(AF871-IF(3=D871,1,0))*VLOOKUP(INDEX('章节与怪物'!$E$31:$K$37,B871,3),'章节与怪物'!$A$41:$F$44,4,FALSE)+IF(3=D871,'难度参数'!$E$30,0))</x:f>
        <x:v>1344</x:v>
      </x:c>
      <x:c r="AJ871" s="119" t="n">
        <x:f>IF(4&gt;D871,0,MAX(2,MIN('难度参数'!$E$12,ROUND(('难度参数'!$E$18*POWER(A871,'难度参数'!$E$19)/D871*(0.85+0.3*(4-1)/MAX(1,D871-1))),0)+F871)))</x:f>
        <x:v>50</x:v>
      </x:c>
      <x:c r="AK871" s="119" t="n">
        <x:f>IF(4&gt;D871,0,ROUND(('难度参数'!$E$13*POWER(A871,'难度参数'!$E$20)*MIN('难度参数'!$E$23,1+MAX(0,A871-'难度参数'!$E$21)*'难度参数'!$E$22))*(36+4*7)/(36+7*(D871+1)/2)*E871,0))</x:f>
        <x:v>17579</x:v>
      </x:c>
      <x:c r="AL871" s="119" t="n">
        <x:f>IF(AJ871=0,0,(AJ871-IF(4=D871,1,0))*ROUND(AK871*VLOOKUP(INDEX('章节与怪物'!$E$31:$K$37,B871,4),'章节与怪物'!$A$41:$F$44,2,FALSE),0)+IF(4=D871,ROUND(AK871*'难度参数'!$E$28*'章节与怪物'!$E$17,0),0))</x:f>
        <x:v>1186600</x:v>
      </x:c>
      <x:c r="AM871" s="119" t="n">
        <x:f>IF(AJ871=0,0,(AJ871-IF(4=D871,1,0))*VLOOKUP(INDEX('章节与怪物'!$E$31:$K$37,B871,4),'章节与怪物'!$A$41:$F$44,4,FALSE)+IF(4=D871,'难度参数'!$E$30,0))</x:f>
        <x:v>1700</x:v>
      </x:c>
      <x:c r="AN871" s="119" t="n">
        <x:f>IF(5&gt;D871,0,MAX(2,MIN('难度参数'!$E$12,ROUND(('难度参数'!$E$18*POWER(A871,'难度参数'!$E$19)/D871*(0.85+0.3*(5-1)/MAX(1,D871-1))),0)+F871)))</x:f>
        <x:v>53</x:v>
      </x:c>
      <x:c r="AO871" s="119" t="n">
        <x:f>IF(5&gt;D871,0,ROUND(('难度参数'!$E$13*POWER(A871,'难度参数'!$E$20)*MIN('难度参数'!$E$23,1+MAX(0,A871-'难度参数'!$E$21)*'难度参数'!$E$22))*(36+5*7)/(36+7*(D871+1)/2)*E871,0))</x:f>
        <x:v>19501</x:v>
      </x:c>
      <x:c r="AP871" s="119" t="n">
        <x:f>IF(AN871=0,0,(AN871-IF(5=D871,1,0))*ROUND(AO871*VLOOKUP(INDEX('章节与怪物'!$E$31:$K$37,B871,5),'章节与怪物'!$A$41:$F$44,2,FALSE),0)+IF(5=D871,ROUND(AO871*'难度参数'!$E$28*'章节与怪物'!$E$17,0),0))</x:f>
        <x:v>744173</x:v>
      </x:c>
      <x:c r="AQ871" s="119" t="n">
        <x:f>IF(AN871=0,0,(AN871-IF(5=D871,1,0))*VLOOKUP(INDEX('章节与怪物'!$E$31:$K$37,B871,5),'章节与怪物'!$A$41:$F$44,4,FALSE)+IF(5=D871,'难度参数'!$E$30,0))</x:f>
        <x:v>1060</x:v>
      </x:c>
      <x:c r="AR871" s="119" t="n">
        <x:f>IF(6&gt;D871,0,MAX(2,MIN('难度参数'!$E$12,ROUND(('难度参数'!$E$18*POWER(A871,'难度参数'!$E$19)/D871*(0.85+0.3*(6-1)/MAX(1,D871-1))),0)+F871)))</x:f>
        <x:v>55</x:v>
      </x:c>
      <x:c r="AS871" s="119" t="n">
        <x:f>IF(6&gt;D871,0,ROUND(('难度参数'!$E$13*POWER(A871,'难度参数'!$E$20)*MIN('难度参数'!$E$23,1+MAX(0,A871-'难度参数'!$E$21)*'难度参数'!$E$22))*(36+6*7)/(36+7*(D871+1)/2)*E871,0))</x:f>
        <x:v>21424</x:v>
      </x:c>
      <x:c r="AT871" s="119" t="n">
        <x:f>IF(AR871=0,0,(AR871-IF(6=D871,1,0))*ROUND(AS871*VLOOKUP(INDEX('章节与怪物'!$E$31:$K$37,B871,6),'章节与怪物'!$A$41:$F$44,2,FALSE),0)+IF(6=D871,ROUND(AS871*'难度参数'!$E$28*'章节与怪物'!$E$17,0),0))</x:f>
        <x:v>2003155</x:v>
      </x:c>
      <x:c r="AU871" s="119" t="n">
        <x:f>IF(AR871=0,0,(AR871-IF(6=D871,1,0))*VLOOKUP(INDEX('章节与怪物'!$E$31:$K$37,B871,6),'章节与怪物'!$A$41:$F$44,4,FALSE)+IF(6=D871,'难度参数'!$E$30,0))</x:f>
        <x:v>1540</x:v>
      </x:c>
      <x:c r="AV871" s="119" t="n">
        <x:f>IF(7&gt;D871,0,MAX(2,MIN('难度参数'!$E$12,ROUND(('难度参数'!$E$18*POWER(A871,'难度参数'!$E$19)/D871*(0.85+0.3*(7-1)/MAX(1,D871-1))),0)+F871)))</x:f>
        <x:v>58</x:v>
      </x:c>
      <x:c r="AW871" s="119" t="n">
        <x:f>IF(7&gt;D871,0,ROUND(('难度参数'!$E$13*POWER(A871,'难度参数'!$E$20)*MIN('难度参数'!$E$23,1+MAX(0,A871-'难度参数'!$E$21)*'难度参数'!$E$22))*(36+7*7)/(36+7*(D871+1)/2)*E871,0))</x:f>
        <x:v>23347</x:v>
      </x:c>
      <x:c r="AX871" s="119" t="n">
        <x:f>IF(AV871=0,0,(AV871-IF(7=D871,1,0))*ROUND(AW871*VLOOKUP(INDEX('章节与怪物'!$E$31:$K$37,B871,7),'章节与怪物'!$A$41:$F$44,2,FALSE),0)+IF(7=D871,ROUND(AW871*'难度参数'!$E$28*'章节与怪物'!$E$17,0),0))</x:f>
        <x:v>1955286</x:v>
      </x:c>
      <x:c r="AY871" s="119" t="n">
        <x:f>IF(AV871=0,0,(AV871-IF(7=D871,1,0))*VLOOKUP(INDEX('章节与怪物'!$E$31:$K$37,B871,7),'章节与怪物'!$A$41:$F$44,4,FALSE)+IF(7=D871,'难度参数'!$E$30,0))</x:f>
        <x:v>2138</x:v>
      </x:c>
    </x:row>
    <x:row r="872" ht="23" customHeight="1">
      <x:c r="A872" s="119" t="n">
        <x:v>866</x:v>
      </x:c>
      <x:c r="B872" s="119" t="n">
        <x:f>MOD(INT((A872-1)/5),7)+1</x:f>
        <x:v>6</x:v>
      </x:c>
      <x:c r="C872" s="62" t="str">
        <x:f>INDEX('章节与怪物'!$B$31:$B$37,B872)</x:f>
        <x:v>熔岩山脉</x:v>
      </x:c>
      <x:c r="D872" s="119" t="n">
        <x:f>MIN('难度参数'!$E$8,MAX('难度参数'!$E$7,A872))</x:f>
        <x:v>7</x:v>
      </x:c>
      <x:c r="E872" s="106" t="n">
        <x:v>1</x:v>
      </x:c>
      <x:c r="F872" s="106" t="n">
        <x:v>0</x:v>
      </x:c>
      <x:c r="G872" s="106" t="n">
        <x:v>1</x:v>
      </x:c>
      <x:c r="H872" s="119" t="n">
        <x:f>SUM(X872,AB872,AF872,AJ872,AN872,AR872,AV872)</x:f>
        <x:v>352</x:v>
      </x:c>
      <x:c r="I872" s="119" t="n">
        <x:f>SUM(Z872,AD872,AH872,AL872,AP872,AT872,AX872)</x:f>
        <x:v>8446737</x:v>
      </x:c>
      <x:c r="J872" s="119" t="n">
        <x:f>ROUND(INDEX(X872:AY872,1,(D872-1)*4+2)*'难度参数'!$E$28*'章节与怪物'!$E$17,0)</x:f>
        <x:v>158889</x:v>
      </x:c>
      <x:c r="K872" s="119" t="n">
        <x:f>SUM(AA872,AE872,AI872,AM872,AQ872,AU872,AY872)</x:f>
        <x:v>9346</x:v>
      </x:c>
      <x:c r="L872" s="62" t="n">
        <x:f>H872*(ROUNDUP('难度参数'!$E$24/('难度参数'!$E$26*'难度参数'!$E$27),0)*'难度参数'!$E$26)/60</x:f>
        <x:v>4.693333333333333</x:v>
      </x:c>
      <x:c r="M872" s="62" t="n">
        <x:f>L872+D872*('难度参数'!$E$49+'难度参数'!$E$50)/60</x:f>
        <x:v>5.86</x:v>
      </x:c>
      <x:c r="N872" s="119" t="n">
        <x:f>ROUNDDOWN(('经济参数'!$E$20+A872*'经济参数'!$E$21)*G872,0)</x:f>
        <x:v>17500</x:v>
      </x:c>
      <x:c r="O872" s="119" t="n">
        <x:f>ROUNDDOWN(MIN('经济参数'!$E$24,'经济参数'!$E$22+A872*'经济参数'!$E$23)*G872,0)</x:f>
        <x:v>0</x:v>
      </x:c>
      <x:c r="P872" s="119" t="n">
        <x:f>ROUNDDOWN((IF(A872&gt;='材料与任务'!$E$31,'材料与任务'!$E$32,IF(A872&gt;='材料与任务'!$E$25,'材料与任务'!$E$26,IF(A872&gt;='材料与任务'!$E$19,'材料与任务'!$E$20,IF(A872&gt;='材料与任务'!$E$13,'材料与任务'!$E$14,'材料与任务'!$E$8)))))*G872,0)</x:f>
        <x:v>6</x:v>
      </x:c>
      <x:c r="Q872" s="119" t="n">
        <x:f>ROUNDDOWN((IF(A872&gt;='材料与任务'!$E$31,'材料与任务'!$E$33,IF(A872&gt;='材料与任务'!$E$25,'材料与任务'!$E$27,IF(A872&gt;='材料与任务'!$E$19,'材料与任务'!$E$21,IF(A872&gt;='材料与任务'!$E$13,'材料与任务'!$E$15,'材料与任务'!$E$9)))))*G872,0)</x:f>
        <x:v>3</x:v>
      </x:c>
      <x:c r="R872" s="110" t="n">
        <x:f>'装备掉落'!$B$38</x:f>
        <x:v>0.6872058758851213</x:v>
      </x:c>
      <x:c r="S872" s="119" t="n">
        <x:f>MAX(IF(VLOOKUP(A872,'装备掉落'!$A$29:$H$34,2,TRUE)&gt;0,1,0),IF(VLOOKUP(A872,'装备掉落'!$A$29:$H$34,3,TRUE)&gt;0,2,0),IF(VLOOKUP(A872,'装备掉落'!$A$29:$H$34,4,TRUE)&gt;0,3,0),IF(VLOOKUP(A872,'装备掉落'!$A$29:$H$34,5,TRUE)&gt;0,4,0),IF(VLOOKUP(A872,'装备掉落'!$A$29:$H$34,6,TRUE)&gt;0,5,0),IF(VLOOKUP(A872,'装备掉落'!$A$29:$H$34,7,TRUE)&gt;0,6,0),IF(VLOOKUP(A872,'装备掉落'!$A$29:$H$34,8,TRUE)&gt;0,7,0))</x:f>
        <x:v>7</x:v>
      </x:c>
      <x:c r="T872" s="119" t="n">
        <x:f>MIN(7,S872+'经济参数'!$E$70)</x:f>
        <x:v>7</x:v>
      </x:c>
      <x:c r="U872" s="119" t="n">
        <x:f>MIN(7,S872+'经济参数'!$E$71)</x:f>
        <x:v>7</x:v>
      </x:c>
      <x:c r="V872" s="119" t="n">
        <x:f>IF(H872&gt;=('难度参数'!$E$52),1,0)+IF(H872&gt;=('难度参数'!$E$52+'难度参数'!$E$53),1,0)+IF(H872&gt;=('难度参数'!$E$52+'难度参数'!$E$53+'难度参数'!$E$54),1,0)+IF(H872&gt;=('难度参数'!$E$52+'难度参数'!$E$53+'难度参数'!$E$54+'难度参数'!$E$55),1,0)+IF(H872&gt;=('难度参数'!$E$52+'难度参数'!$E$53+'难度参数'!$E$54+'难度参数'!$E$55+'难度参数'!$E$56),1,0)+IF(H872&gt;=('难度参数'!$E$52+'难度参数'!$E$53+'难度参数'!$E$54+'难度参数'!$E$55+'难度参数'!$E$56+'难度参数'!$E$57),1,0)</x:f>
        <x:v>6</x:v>
      </x:c>
      <x:c r="W872" s="62" t="str">
        <x:f>IF(L872&gt;'难度参数'!$E$51,"仅出怪已超目标","还需实测")</x:f>
        <x:v>仅出怪已超目标</x:v>
      </x:c>
      <x:c r="X872" s="119" t="n">
        <x:f>IF(1&gt;D872,0,MAX(2,MIN('难度参数'!$E$12,ROUND(('难度参数'!$E$18*POWER(A872,'难度参数'!$E$19)/D872*(0.85+0.3*(1-1)/MAX(1,D872-1))),0)+F872)))</x:f>
        <x:v>43</x:v>
      </x:c>
      <x:c r="Y872" s="119" t="n">
        <x:f>IF(1&gt;D872,0,ROUND(('难度参数'!$E$13*POWER(A872,'难度参数'!$E$20)*MIN('难度参数'!$E$23,1+MAX(0,A872-'难度参数'!$E$21)*'难度参数'!$E$22))*(36+1*7)/(36+7*(D872+1)/2)*E872,0))</x:f>
        <x:v>11820</x:v>
      </x:c>
      <x:c r="Z872" s="119" t="n">
        <x:f>IF(X872=0,0,(X872-IF(1=D872,1,0))*ROUND(Y872*VLOOKUP(INDEX('章节与怪物'!$E$31:$K$37,B872,1),'章节与怪物'!$A$41:$F$44,2,FALSE),0)+IF(1=D872,ROUND(Y872*'难度参数'!$E$28*'章节与怪物'!$E$17,0),0))</x:f>
        <x:v>365930</x:v>
      </x:c>
      <x:c r="AA872" s="119" t="n">
        <x:f>IF(X872=0,0,(X872-IF(1=D872,1,0))*VLOOKUP(INDEX('章节与怪物'!$E$31:$K$37,B872,1),'章节与怪物'!$A$41:$F$44,4,FALSE)+IF(1=D872,'难度参数'!$E$30,0))</x:f>
        <x:v>860</x:v>
      </x:c>
      <x:c r="AB872" s="119" t="n">
        <x:f>IF(2&gt;D872,0,MAX(2,MIN('难度参数'!$E$12,ROUND(('难度参数'!$E$18*POWER(A872,'难度参数'!$E$19)/D872*(0.85+0.3*(2-1)/MAX(1,D872-1))),0)+F872)))</x:f>
        <x:v>45</x:v>
      </x:c>
      <x:c r="AC872" s="119" t="n">
        <x:f>IF(2&gt;D872,0,ROUND(('难度参数'!$E$13*POWER(A872,'难度参数'!$E$20)*MIN('难度参数'!$E$23,1+MAX(0,A872-'难度参数'!$E$21)*'难度参数'!$E$22))*(36+2*7)/(36+7*(D872+1)/2)*E872,0))</x:f>
        <x:v>13745</x:v>
      </x:c>
      <x:c r="AD872" s="119" t="n">
        <x:f>IF(AB872=0,0,(AB872-IF(2=D872,1,0))*ROUND(AC872*VLOOKUP(INDEX('章节与怪物'!$E$31:$K$37,B872,2),'章节与怪物'!$A$41:$F$44,2,FALSE),0)+IF(2=D872,ROUND(AC872*'难度参数'!$E$28*'章节与怪物'!$E$17,0),0))</x:f>
        <x:v>618525</x:v>
      </x:c>
      <x:c r="AE872" s="119" t="n">
        <x:f>IF(AB872=0,0,(AB872-IF(2=D872,1,0))*VLOOKUP(INDEX('章节与怪物'!$E$31:$K$37,B872,2),'章节与怪物'!$A$41:$F$44,4,FALSE)+IF(2=D872,'难度参数'!$E$30,0))</x:f>
        <x:v>810</x:v>
      </x:c>
      <x:c r="AF872" s="119" t="n">
        <x:f>IF(3&gt;D872,0,MAX(2,MIN('难度参数'!$E$12,ROUND(('难度参数'!$E$18*POWER(A872,'难度参数'!$E$19)/D872*(0.85+0.3*(3-1)/MAX(1,D872-1))),0)+F872)))</x:f>
        <x:v>48</x:v>
      </x:c>
      <x:c r="AG872" s="119" t="n">
        <x:f>IF(3&gt;D872,0,ROUND(('难度参数'!$E$13*POWER(A872,'难度参数'!$E$20)*MIN('难度参数'!$E$23,1+MAX(0,A872-'难度参数'!$E$21)*'难度参数'!$E$22))*(36+3*7)/(36+7*(D872+1)/2)*E872,0))</x:f>
        <x:v>15669</x:v>
      </x:c>
      <x:c r="AH872" s="119" t="n">
        <x:f>IF(AF872=0,0,(AF872-IF(3=D872,1,0))*ROUND(AG872*VLOOKUP(INDEX('章节与怪物'!$E$31:$K$37,B872,3),'章节与怪物'!$A$41:$F$44,2,FALSE),0)+IF(3=D872,ROUND(AG872*'难度参数'!$E$28*'章节与怪物'!$E$17,0),0))</x:f>
        <x:v>1278576</x:v>
      </x:c>
      <x:c r="AI872" s="119" t="n">
        <x:f>IF(AF872=0,0,(AF872-IF(3=D872,1,0))*VLOOKUP(INDEX('章节与怪物'!$E$31:$K$37,B872,3),'章节与怪物'!$A$41:$F$44,4,FALSE)+IF(3=D872,'难度参数'!$E$30,0))</x:f>
        <x:v>1344</x:v>
      </x:c>
      <x:c r="AJ872" s="119" t="n">
        <x:f>IF(4&gt;D872,0,MAX(2,MIN('难度参数'!$E$12,ROUND(('难度参数'!$E$18*POWER(A872,'难度参数'!$E$19)/D872*(0.85+0.3*(4-1)/MAX(1,D872-1))),0)+F872)))</x:f>
        <x:v>50</x:v>
      </x:c>
      <x:c r="AK872" s="119" t="n">
        <x:f>IF(4&gt;D872,0,ROUND(('难度参数'!$E$13*POWER(A872,'难度参数'!$E$20)*MIN('难度参数'!$E$23,1+MAX(0,A872-'难度参数'!$E$21)*'难度参数'!$E$22))*(36+4*7)/(36+7*(D872+1)/2)*E872,0))</x:f>
        <x:v>17593</x:v>
      </x:c>
      <x:c r="AL872" s="119" t="n">
        <x:f>IF(AJ872=0,0,(AJ872-IF(4=D872,1,0))*ROUND(AK872*VLOOKUP(INDEX('章节与怪物'!$E$31:$K$37,B872,4),'章节与怪物'!$A$41:$F$44,2,FALSE),0)+IF(4=D872,ROUND(AK872*'难度参数'!$E$28*'章节与怪物'!$E$17,0),0))</x:f>
        <x:v>1187550</x:v>
      </x:c>
      <x:c r="AM872" s="119" t="n">
        <x:f>IF(AJ872=0,0,(AJ872-IF(4=D872,1,0))*VLOOKUP(INDEX('章节与怪物'!$E$31:$K$37,B872,4),'章节与怪物'!$A$41:$F$44,4,FALSE)+IF(4=D872,'难度参数'!$E$30,0))</x:f>
        <x:v>1700</x:v>
      </x:c>
      <x:c r="AN872" s="119" t="n">
        <x:f>IF(5&gt;D872,0,MAX(2,MIN('难度参数'!$E$12,ROUND(('难度参数'!$E$18*POWER(A872,'难度参数'!$E$19)/D872*(0.85+0.3*(5-1)/MAX(1,D872-1))),0)+F872)))</x:f>
        <x:v>53</x:v>
      </x:c>
      <x:c r="AO872" s="119" t="n">
        <x:f>IF(5&gt;D872,0,ROUND(('难度参数'!$E$13*POWER(A872,'难度参数'!$E$20)*MIN('难度参数'!$E$23,1+MAX(0,A872-'难度参数'!$E$21)*'难度参数'!$E$22))*(36+5*7)/(36+7*(D872+1)/2)*E872,0))</x:f>
        <x:v>19518</x:v>
      </x:c>
      <x:c r="AP872" s="119" t="n">
        <x:f>IF(AN872=0,0,(AN872-IF(5=D872,1,0))*ROUND(AO872*VLOOKUP(INDEX('章节与怪物'!$E$31:$K$37,B872,5),'章节与怪物'!$A$41:$F$44,2,FALSE),0)+IF(5=D872,ROUND(AO872*'难度参数'!$E$28*'章节与怪物'!$E$17,0),0))</x:f>
        <x:v>1034454</x:v>
      </x:c>
      <x:c r="AQ872" s="119" t="n">
        <x:f>IF(AN872=0,0,(AN872-IF(5=D872,1,0))*VLOOKUP(INDEX('章节与怪物'!$E$31:$K$37,B872,5),'章节与怪物'!$A$41:$F$44,4,FALSE)+IF(5=D872,'难度参数'!$E$30,0))</x:f>
        <x:v>954</x:v>
      </x:c>
      <x:c r="AR872" s="119" t="n">
        <x:f>IF(6&gt;D872,0,MAX(2,MIN('难度参数'!$E$12,ROUND(('难度参数'!$E$18*POWER(A872,'难度参数'!$E$19)/D872*(0.85+0.3*(6-1)/MAX(1,D872-1))),0)+F872)))</x:f>
        <x:v>55</x:v>
      </x:c>
      <x:c r="AS872" s="119" t="n">
        <x:f>IF(6&gt;D872,0,ROUND(('难度参数'!$E$13*POWER(A872,'难度参数'!$E$20)*MIN('难度参数'!$E$23,1+MAX(0,A872-'难度参数'!$E$21)*'难度参数'!$E$22))*(36+6*7)/(36+7*(D872+1)/2)*E872,0))</x:f>
        <x:v>21442</x:v>
      </x:c>
      <x:c r="AT872" s="119" t="n">
        <x:f>IF(AR872=0,0,(AR872-IF(6=D872,1,0))*ROUND(AS872*VLOOKUP(INDEX('章节与怪物'!$E$31:$K$37,B872,6),'章节与怪物'!$A$41:$F$44,2,FALSE),0)+IF(6=D872,ROUND(AS872*'难度参数'!$E$28*'章节与怪物'!$E$17,0),0))</x:f>
        <x:v>2004805</x:v>
      </x:c>
      <x:c r="AU872" s="119" t="n">
        <x:f>IF(AR872=0,0,(AR872-IF(6=D872,1,0))*VLOOKUP(INDEX('章节与怪物'!$E$31:$K$37,B872,6),'章节与怪物'!$A$41:$F$44,4,FALSE)+IF(6=D872,'难度参数'!$E$30,0))</x:f>
        <x:v>1540</x:v>
      </x:c>
      <x:c r="AV872" s="119" t="n">
        <x:f>IF(7&gt;D872,0,MAX(2,MIN('难度参数'!$E$12,ROUND(('难度参数'!$E$18*POWER(A872,'难度参数'!$E$19)/D872*(0.85+0.3*(7-1)/MAX(1,D872-1))),0)+F872)))</x:f>
        <x:v>58</x:v>
      </x:c>
      <x:c r="AW872" s="119" t="n">
        <x:f>IF(7&gt;D872,0,ROUND(('难度参数'!$E$13*POWER(A872,'难度参数'!$E$20)*MIN('难度参数'!$E$23,1+MAX(0,A872-'难度参数'!$E$21)*'难度参数'!$E$22))*(36+7*7)/(36+7*(D872+1)/2)*E872,0))</x:f>
        <x:v>23366</x:v>
      </x:c>
      <x:c r="AX872" s="119" t="n">
        <x:f>IF(AV872=0,0,(AV872-IF(7=D872,1,0))*ROUND(AW872*VLOOKUP(INDEX('章节与怪物'!$E$31:$K$37,B872,7),'章节与怪物'!$A$41:$F$44,2,FALSE),0)+IF(7=D872,ROUND(AW872*'难度参数'!$E$28*'章节与怪物'!$E$17,0),0))</x:f>
        <x:v>1956897</x:v>
      </x:c>
      <x:c r="AY872" s="119" t="n">
        <x:f>IF(AV872=0,0,(AV872-IF(7=D872,1,0))*VLOOKUP(INDEX('章节与怪物'!$E$31:$K$37,B872,7),'章节与怪物'!$A$41:$F$44,4,FALSE)+IF(7=D872,'难度参数'!$E$30,0))</x:f>
        <x:v>2138</x:v>
      </x:c>
    </x:row>
    <x:row r="873" ht="23" customHeight="1">
      <x:c r="A873" s="119" t="n">
        <x:v>867</x:v>
      </x:c>
      <x:c r="B873" s="119" t="n">
        <x:f>MOD(INT((A873-1)/5),7)+1</x:f>
        <x:v>6</x:v>
      </x:c>
      <x:c r="C873" s="62" t="str">
        <x:f>INDEX('章节与怪物'!$B$31:$B$37,B873)</x:f>
        <x:v>熔岩山脉</x:v>
      </x:c>
      <x:c r="D873" s="119" t="n">
        <x:f>MIN('难度参数'!$E$8,MAX('难度参数'!$E$7,A873))</x:f>
        <x:v>7</x:v>
      </x:c>
      <x:c r="E873" s="106" t="n">
        <x:v>1</x:v>
      </x:c>
      <x:c r="F873" s="106" t="n">
        <x:v>0</x:v>
      </x:c>
      <x:c r="G873" s="106" t="n">
        <x:v>1</x:v>
      </x:c>
      <x:c r="H873" s="119" t="n">
        <x:f>SUM(X873,AB873,AF873,AJ873,AN873,AR873,AV873)</x:f>
        <x:v>352</x:v>
      </x:c>
      <x:c r="I873" s="119" t="n">
        <x:f>SUM(Z873,AD873,AH873,AL873,AP873,AT873,AX873)</x:f>
        <x:v>8453796</x:v>
      </x:c>
      <x:c r="J873" s="119" t="n">
        <x:f>ROUND(INDEX(X873:AY873,1,(D873-1)*4+2)*'难度参数'!$E$28*'章节与怪物'!$E$17,0)</x:f>
        <x:v>159018</x:v>
      </x:c>
      <x:c r="K873" s="119" t="n">
        <x:f>SUM(AA873,AE873,AI873,AM873,AQ873,AU873,AY873)</x:f>
        <x:v>9346</x:v>
      </x:c>
      <x:c r="L873" s="62" t="n">
        <x:f>H873*(ROUNDUP('难度参数'!$E$24/('难度参数'!$E$26*'难度参数'!$E$27),0)*'难度参数'!$E$26)/60</x:f>
        <x:v>4.693333333333333</x:v>
      </x:c>
      <x:c r="M873" s="62" t="n">
        <x:f>L873+D873*('难度参数'!$E$49+'难度参数'!$E$50)/60</x:f>
        <x:v>5.86</x:v>
      </x:c>
      <x:c r="N873" s="119" t="n">
        <x:f>ROUNDDOWN(('经济参数'!$E$20+A873*'经济参数'!$E$21)*G873,0)</x:f>
        <x:v>17520</x:v>
      </x:c>
      <x:c r="O873" s="119" t="n">
        <x:f>ROUNDDOWN(MIN('经济参数'!$E$24,'经济参数'!$E$22+A873*'经济参数'!$E$23)*G873,0)</x:f>
        <x:v>0</x:v>
      </x:c>
      <x:c r="P873" s="119" t="n">
        <x:f>ROUNDDOWN((IF(A873&gt;='材料与任务'!$E$31,'材料与任务'!$E$32,IF(A873&gt;='材料与任务'!$E$25,'材料与任务'!$E$26,IF(A873&gt;='材料与任务'!$E$19,'材料与任务'!$E$20,IF(A873&gt;='材料与任务'!$E$13,'材料与任务'!$E$14,'材料与任务'!$E$8)))))*G873,0)</x:f>
        <x:v>6</x:v>
      </x:c>
      <x:c r="Q873" s="119" t="n">
        <x:f>ROUNDDOWN((IF(A873&gt;='材料与任务'!$E$31,'材料与任务'!$E$33,IF(A873&gt;='材料与任务'!$E$25,'材料与任务'!$E$27,IF(A873&gt;='材料与任务'!$E$19,'材料与任务'!$E$21,IF(A873&gt;='材料与任务'!$E$13,'材料与任务'!$E$15,'材料与任务'!$E$9)))))*G873,0)</x:f>
        <x:v>3</x:v>
      </x:c>
      <x:c r="R873" s="110" t="n">
        <x:f>'装备掉落'!$B$38</x:f>
        <x:v>0.6872058758851213</x:v>
      </x:c>
      <x:c r="S873" s="119" t="n">
        <x:f>MAX(IF(VLOOKUP(A873,'装备掉落'!$A$29:$H$34,2,TRUE)&gt;0,1,0),IF(VLOOKUP(A873,'装备掉落'!$A$29:$H$34,3,TRUE)&gt;0,2,0),IF(VLOOKUP(A873,'装备掉落'!$A$29:$H$34,4,TRUE)&gt;0,3,0),IF(VLOOKUP(A873,'装备掉落'!$A$29:$H$34,5,TRUE)&gt;0,4,0),IF(VLOOKUP(A873,'装备掉落'!$A$29:$H$34,6,TRUE)&gt;0,5,0),IF(VLOOKUP(A873,'装备掉落'!$A$29:$H$34,7,TRUE)&gt;0,6,0),IF(VLOOKUP(A873,'装备掉落'!$A$29:$H$34,8,TRUE)&gt;0,7,0))</x:f>
        <x:v>7</x:v>
      </x:c>
      <x:c r="T873" s="119" t="n">
        <x:f>MIN(7,S873+'经济参数'!$E$70)</x:f>
        <x:v>7</x:v>
      </x:c>
      <x:c r="U873" s="119" t="n">
        <x:f>MIN(7,S873+'经济参数'!$E$71)</x:f>
        <x:v>7</x:v>
      </x:c>
      <x:c r="V873" s="119" t="n">
        <x:f>IF(H873&gt;=('难度参数'!$E$52),1,0)+IF(H873&gt;=('难度参数'!$E$52+'难度参数'!$E$53),1,0)+IF(H873&gt;=('难度参数'!$E$52+'难度参数'!$E$53+'难度参数'!$E$54),1,0)+IF(H873&gt;=('难度参数'!$E$52+'难度参数'!$E$53+'难度参数'!$E$54+'难度参数'!$E$55),1,0)+IF(H873&gt;=('难度参数'!$E$52+'难度参数'!$E$53+'难度参数'!$E$54+'难度参数'!$E$55+'难度参数'!$E$56),1,0)+IF(H873&gt;=('难度参数'!$E$52+'难度参数'!$E$53+'难度参数'!$E$54+'难度参数'!$E$55+'难度参数'!$E$56+'难度参数'!$E$57),1,0)</x:f>
        <x:v>6</x:v>
      </x:c>
      <x:c r="W873" s="62" t="str">
        <x:f>IF(L873&gt;'难度参数'!$E$51,"仅出怪已超目标","还需实测")</x:f>
        <x:v>仅出怪已超目标</x:v>
      </x:c>
      <x:c r="X873" s="119" t="n">
        <x:f>IF(1&gt;D873,0,MAX(2,MIN('难度参数'!$E$12,ROUND(('难度参数'!$E$18*POWER(A873,'难度参数'!$E$19)/D873*(0.85+0.3*(1-1)/MAX(1,D873-1))),0)+F873)))</x:f>
        <x:v>43</x:v>
      </x:c>
      <x:c r="Y873" s="119" t="n">
        <x:f>IF(1&gt;D873,0,ROUND(('难度参数'!$E$13*POWER(A873,'难度参数'!$E$20)*MIN('难度参数'!$E$23,1+MAX(0,A873-'难度参数'!$E$21)*'难度参数'!$E$22))*(36+1*7)/(36+7*(D873+1)/2)*E873,0))</x:f>
        <x:v>11830</x:v>
      </x:c>
      <x:c r="Z873" s="119" t="n">
        <x:f>IF(X873=0,0,(X873-IF(1=D873,1,0))*ROUND(Y873*VLOOKUP(INDEX('章节与怪物'!$E$31:$K$37,B873,1),'章节与怪物'!$A$41:$F$44,2,FALSE),0)+IF(1=D873,ROUND(Y873*'难度参数'!$E$28*'章节与怪物'!$E$17,0),0))</x:f>
        <x:v>366274</x:v>
      </x:c>
      <x:c r="AA873" s="119" t="n">
        <x:f>IF(X873=0,0,(X873-IF(1=D873,1,0))*VLOOKUP(INDEX('章节与怪物'!$E$31:$K$37,B873,1),'章节与怪物'!$A$41:$F$44,4,FALSE)+IF(1=D873,'难度参数'!$E$30,0))</x:f>
        <x:v>860</x:v>
      </x:c>
      <x:c r="AB873" s="119" t="n">
        <x:f>IF(2&gt;D873,0,MAX(2,MIN('难度参数'!$E$12,ROUND(('难度参数'!$E$18*POWER(A873,'难度参数'!$E$19)/D873*(0.85+0.3*(2-1)/MAX(1,D873-1))),0)+F873)))</x:f>
        <x:v>45</x:v>
      </x:c>
      <x:c r="AC873" s="119" t="n">
        <x:f>IF(2&gt;D873,0,ROUND(('难度参数'!$E$13*POWER(A873,'难度参数'!$E$20)*MIN('难度参数'!$E$23,1+MAX(0,A873-'难度参数'!$E$21)*'难度参数'!$E$22))*(36+2*7)/(36+7*(D873+1)/2)*E873,0))</x:f>
        <x:v>13756</x:v>
      </x:c>
      <x:c r="AD873" s="119" t="n">
        <x:f>IF(AB873=0,0,(AB873-IF(2=D873,1,0))*ROUND(AC873*VLOOKUP(INDEX('章节与怪物'!$E$31:$K$37,B873,2),'章节与怪物'!$A$41:$F$44,2,FALSE),0)+IF(2=D873,ROUND(AC873*'难度参数'!$E$28*'章节与怪物'!$E$17,0),0))</x:f>
        <x:v>619020</x:v>
      </x:c>
      <x:c r="AE873" s="119" t="n">
        <x:f>IF(AB873=0,0,(AB873-IF(2=D873,1,0))*VLOOKUP(INDEX('章节与怪物'!$E$31:$K$37,B873,2),'章节与怪物'!$A$41:$F$44,4,FALSE)+IF(2=D873,'难度参数'!$E$30,0))</x:f>
        <x:v>810</x:v>
      </x:c>
      <x:c r="AF873" s="119" t="n">
        <x:f>IF(3&gt;D873,0,MAX(2,MIN('难度参数'!$E$12,ROUND(('难度参数'!$E$18*POWER(A873,'难度参数'!$E$19)/D873*(0.85+0.3*(3-1)/MAX(1,D873-1))),0)+F873)))</x:f>
        <x:v>48</x:v>
      </x:c>
      <x:c r="AG873" s="119" t="n">
        <x:f>IF(3&gt;D873,0,ROUND(('难度参数'!$E$13*POWER(A873,'难度参数'!$E$20)*MIN('难度参数'!$E$23,1+MAX(0,A873-'难度参数'!$E$21)*'难度参数'!$E$22))*(36+3*7)/(36+7*(D873+1)/2)*E873,0))</x:f>
        <x:v>15682</x:v>
      </x:c>
      <x:c r="AH873" s="119" t="n">
        <x:f>IF(AF873=0,0,(AF873-IF(3=D873,1,0))*ROUND(AG873*VLOOKUP(INDEX('章节与怪物'!$E$31:$K$37,B873,3),'章节与怪物'!$A$41:$F$44,2,FALSE),0)+IF(3=D873,ROUND(AG873*'难度参数'!$E$28*'章节与怪物'!$E$17,0),0))</x:f>
        <x:v>1279632</x:v>
      </x:c>
      <x:c r="AI873" s="119" t="n">
        <x:f>IF(AF873=0,0,(AF873-IF(3=D873,1,0))*VLOOKUP(INDEX('章节与怪物'!$E$31:$K$37,B873,3),'章节与怪物'!$A$41:$F$44,4,FALSE)+IF(3=D873,'难度参数'!$E$30,0))</x:f>
        <x:v>1344</x:v>
      </x:c>
      <x:c r="AJ873" s="119" t="n">
        <x:f>IF(4&gt;D873,0,MAX(2,MIN('难度参数'!$E$12,ROUND(('难度参数'!$E$18*POWER(A873,'难度参数'!$E$19)/D873*(0.85+0.3*(4-1)/MAX(1,D873-1))),0)+F873)))</x:f>
        <x:v>50</x:v>
      </x:c>
      <x:c r="AK873" s="119" t="n">
        <x:f>IF(4&gt;D873,0,ROUND(('难度参数'!$E$13*POWER(A873,'难度参数'!$E$20)*MIN('难度参数'!$E$23,1+MAX(0,A873-'难度参数'!$E$21)*'难度参数'!$E$22))*(36+4*7)/(36+7*(D873+1)/2)*E873,0))</x:f>
        <x:v>17608</x:v>
      </x:c>
      <x:c r="AL873" s="119" t="n">
        <x:f>IF(AJ873=0,0,(AJ873-IF(4=D873,1,0))*ROUND(AK873*VLOOKUP(INDEX('章节与怪物'!$E$31:$K$37,B873,4),'章节与怪物'!$A$41:$F$44,2,FALSE),0)+IF(4=D873,ROUND(AK873*'难度参数'!$E$28*'章节与怪物'!$E$17,0),0))</x:f>
        <x:v>1188550</x:v>
      </x:c>
      <x:c r="AM873" s="119" t="n">
        <x:f>IF(AJ873=0,0,(AJ873-IF(4=D873,1,0))*VLOOKUP(INDEX('章节与怪物'!$E$31:$K$37,B873,4),'章节与怪物'!$A$41:$F$44,4,FALSE)+IF(4=D873,'难度参数'!$E$30,0))</x:f>
        <x:v>1700</x:v>
      </x:c>
      <x:c r="AN873" s="119" t="n">
        <x:f>IF(5&gt;D873,0,MAX(2,MIN('难度参数'!$E$12,ROUND(('难度参数'!$E$18*POWER(A873,'难度参数'!$E$19)/D873*(0.85+0.3*(5-1)/MAX(1,D873-1))),0)+F873)))</x:f>
        <x:v>53</x:v>
      </x:c>
      <x:c r="AO873" s="119" t="n">
        <x:f>IF(5&gt;D873,0,ROUND(('难度参数'!$E$13*POWER(A873,'难度参数'!$E$20)*MIN('难度参数'!$E$23,1+MAX(0,A873-'难度参数'!$E$21)*'难度参数'!$E$22))*(36+5*7)/(36+7*(D873+1)/2)*E873,0))</x:f>
        <x:v>19534</x:v>
      </x:c>
      <x:c r="AP873" s="119" t="n">
        <x:f>IF(AN873=0,0,(AN873-IF(5=D873,1,0))*ROUND(AO873*VLOOKUP(INDEX('章节与怪物'!$E$31:$K$37,B873,5),'章节与怪物'!$A$41:$F$44,2,FALSE),0)+IF(5=D873,ROUND(AO873*'难度参数'!$E$28*'章节与怪物'!$E$17,0),0))</x:f>
        <x:v>1035302</x:v>
      </x:c>
      <x:c r="AQ873" s="119" t="n">
        <x:f>IF(AN873=0,0,(AN873-IF(5=D873,1,0))*VLOOKUP(INDEX('章节与怪物'!$E$31:$K$37,B873,5),'章节与怪物'!$A$41:$F$44,4,FALSE)+IF(5=D873,'难度参数'!$E$30,0))</x:f>
        <x:v>954</x:v>
      </x:c>
      <x:c r="AR873" s="119" t="n">
        <x:f>IF(6&gt;D873,0,MAX(2,MIN('难度参数'!$E$12,ROUND(('难度参数'!$E$18*POWER(A873,'难度参数'!$E$19)/D873*(0.85+0.3*(6-1)/MAX(1,D873-1))),0)+F873)))</x:f>
        <x:v>55</x:v>
      </x:c>
      <x:c r="AS873" s="119" t="n">
        <x:f>IF(6&gt;D873,0,ROUND(('难度参数'!$E$13*POWER(A873,'难度参数'!$E$20)*MIN('难度参数'!$E$23,1+MAX(0,A873-'难度参数'!$E$21)*'难度参数'!$E$22))*(36+6*7)/(36+7*(D873+1)/2)*E873,0))</x:f>
        <x:v>21460</x:v>
      </x:c>
      <x:c r="AT873" s="119" t="n">
        <x:f>IF(AR873=0,0,(AR873-IF(6=D873,1,0))*ROUND(AS873*VLOOKUP(INDEX('章节与怪物'!$E$31:$K$37,B873,6),'章节与怪物'!$A$41:$F$44,2,FALSE),0)+IF(6=D873,ROUND(AS873*'难度参数'!$E$28*'章节与怪物'!$E$17,0),0))</x:f>
        <x:v>2006510</x:v>
      </x:c>
      <x:c r="AU873" s="119" t="n">
        <x:f>IF(AR873=0,0,(AR873-IF(6=D873,1,0))*VLOOKUP(INDEX('章节与怪物'!$E$31:$K$37,B873,6),'章节与怪物'!$A$41:$F$44,4,FALSE)+IF(6=D873,'难度参数'!$E$30,0))</x:f>
        <x:v>1540</x:v>
      </x:c>
      <x:c r="AV873" s="119" t="n">
        <x:f>IF(7&gt;D873,0,MAX(2,MIN('难度参数'!$E$12,ROUND(('难度参数'!$E$18*POWER(A873,'难度参数'!$E$19)/D873*(0.85+0.3*(7-1)/MAX(1,D873-1))),0)+F873)))</x:f>
        <x:v>58</x:v>
      </x:c>
      <x:c r="AW873" s="119" t="n">
        <x:f>IF(7&gt;D873,0,ROUND(('难度参数'!$E$13*POWER(A873,'难度参数'!$E$20)*MIN('难度参数'!$E$23,1+MAX(0,A873-'难度参数'!$E$21)*'难度参数'!$E$22))*(36+7*7)/(36+7*(D873+1)/2)*E873,0))</x:f>
        <x:v>23385</x:v>
      </x:c>
      <x:c r="AX873" s="119" t="n">
        <x:f>IF(AV873=0,0,(AV873-IF(7=D873,1,0))*ROUND(AW873*VLOOKUP(INDEX('章节与怪物'!$E$31:$K$37,B873,7),'章节与怪物'!$A$41:$F$44,2,FALSE),0)+IF(7=D873,ROUND(AW873*'难度参数'!$E$28*'章节与怪物'!$E$17,0),0))</x:f>
        <x:v>1958508</x:v>
      </x:c>
      <x:c r="AY873" s="119" t="n">
        <x:f>IF(AV873=0,0,(AV873-IF(7=D873,1,0))*VLOOKUP(INDEX('章节与怪物'!$E$31:$K$37,B873,7),'章节与怪物'!$A$41:$F$44,4,FALSE)+IF(7=D873,'难度参数'!$E$30,0))</x:f>
        <x:v>2138</x:v>
      </x:c>
    </x:row>
    <x:row r="874" ht="23" customHeight="1">
      <x:c r="A874" s="119" t="n">
        <x:v>868</x:v>
      </x:c>
      <x:c r="B874" s="119" t="n">
        <x:f>MOD(INT((A874-1)/5),7)+1</x:f>
        <x:v>6</x:v>
      </x:c>
      <x:c r="C874" s="62" t="str">
        <x:f>INDEX('章节与怪物'!$B$31:$B$37,B874)</x:f>
        <x:v>熔岩山脉</x:v>
      </x:c>
      <x:c r="D874" s="119" t="n">
        <x:f>MIN('难度参数'!$E$8,MAX('难度参数'!$E$7,A874))</x:f>
        <x:v>7</x:v>
      </x:c>
      <x:c r="E874" s="106" t="n">
        <x:v>1</x:v>
      </x:c>
      <x:c r="F874" s="106" t="n">
        <x:v>0</x:v>
      </x:c>
      <x:c r="G874" s="106" t="n">
        <x:v>1</x:v>
      </x:c>
      <x:c r="H874" s="119" t="n">
        <x:f>SUM(X874,AB874,AF874,AJ874,AN874,AR874,AV874)</x:f>
        <x:v>352</x:v>
      </x:c>
      <x:c r="I874" s="119" t="n">
        <x:f>SUM(Z874,AD874,AH874,AL874,AP874,AT874,AX874)</x:f>
        <x:v>8460859</x:v>
      </x:c>
      <x:c r="J874" s="119" t="n">
        <x:f>ROUND(INDEX(X874:AY874,1,(D874-1)*4+2)*'难度参数'!$E$28*'章节与怪物'!$E$17,0)</x:f>
        <x:v>159154</x:v>
      </x:c>
      <x:c r="K874" s="119" t="n">
        <x:f>SUM(AA874,AE874,AI874,AM874,AQ874,AU874,AY874)</x:f>
        <x:v>9346</x:v>
      </x:c>
      <x:c r="L874" s="62" t="n">
        <x:f>H874*(ROUNDUP('难度参数'!$E$24/('难度参数'!$E$26*'难度参数'!$E$27),0)*'难度参数'!$E$26)/60</x:f>
        <x:v>4.693333333333333</x:v>
      </x:c>
      <x:c r="M874" s="62" t="n">
        <x:f>L874+D874*('难度参数'!$E$49+'难度参数'!$E$50)/60</x:f>
        <x:v>5.86</x:v>
      </x:c>
      <x:c r="N874" s="119" t="n">
        <x:f>ROUNDDOWN(('经济参数'!$E$20+A874*'经济参数'!$E$21)*G874,0)</x:f>
        <x:v>17540</x:v>
      </x:c>
      <x:c r="O874" s="119" t="n">
        <x:f>ROUNDDOWN(MIN('经济参数'!$E$24,'经济参数'!$E$22+A874*'经济参数'!$E$23)*G874,0)</x:f>
        <x:v>0</x:v>
      </x:c>
      <x:c r="P874" s="119" t="n">
        <x:f>ROUNDDOWN((IF(A874&gt;='材料与任务'!$E$31,'材料与任务'!$E$32,IF(A874&gt;='材料与任务'!$E$25,'材料与任务'!$E$26,IF(A874&gt;='材料与任务'!$E$19,'材料与任务'!$E$20,IF(A874&gt;='材料与任务'!$E$13,'材料与任务'!$E$14,'材料与任务'!$E$8)))))*G874,0)</x:f>
        <x:v>6</x:v>
      </x:c>
      <x:c r="Q874" s="119" t="n">
        <x:f>ROUNDDOWN((IF(A874&gt;='材料与任务'!$E$31,'材料与任务'!$E$33,IF(A874&gt;='材料与任务'!$E$25,'材料与任务'!$E$27,IF(A874&gt;='材料与任务'!$E$19,'材料与任务'!$E$21,IF(A874&gt;='材料与任务'!$E$13,'材料与任务'!$E$15,'材料与任务'!$E$9)))))*G874,0)</x:f>
        <x:v>3</x:v>
      </x:c>
      <x:c r="R874" s="110" t="n">
        <x:f>'装备掉落'!$B$38</x:f>
        <x:v>0.6872058758851213</x:v>
      </x:c>
      <x:c r="S874" s="119" t="n">
        <x:f>MAX(IF(VLOOKUP(A874,'装备掉落'!$A$29:$H$34,2,TRUE)&gt;0,1,0),IF(VLOOKUP(A874,'装备掉落'!$A$29:$H$34,3,TRUE)&gt;0,2,0),IF(VLOOKUP(A874,'装备掉落'!$A$29:$H$34,4,TRUE)&gt;0,3,0),IF(VLOOKUP(A874,'装备掉落'!$A$29:$H$34,5,TRUE)&gt;0,4,0),IF(VLOOKUP(A874,'装备掉落'!$A$29:$H$34,6,TRUE)&gt;0,5,0),IF(VLOOKUP(A874,'装备掉落'!$A$29:$H$34,7,TRUE)&gt;0,6,0),IF(VLOOKUP(A874,'装备掉落'!$A$29:$H$34,8,TRUE)&gt;0,7,0))</x:f>
        <x:v>7</x:v>
      </x:c>
      <x:c r="T874" s="119" t="n">
        <x:f>MIN(7,S874+'经济参数'!$E$70)</x:f>
        <x:v>7</x:v>
      </x:c>
      <x:c r="U874" s="119" t="n">
        <x:f>MIN(7,S874+'经济参数'!$E$71)</x:f>
        <x:v>7</x:v>
      </x:c>
      <x:c r="V874" s="119" t="n">
        <x:f>IF(H874&gt;=('难度参数'!$E$52),1,0)+IF(H874&gt;=('难度参数'!$E$52+'难度参数'!$E$53),1,0)+IF(H874&gt;=('难度参数'!$E$52+'难度参数'!$E$53+'难度参数'!$E$54),1,0)+IF(H874&gt;=('难度参数'!$E$52+'难度参数'!$E$53+'难度参数'!$E$54+'难度参数'!$E$55),1,0)+IF(H874&gt;=('难度参数'!$E$52+'难度参数'!$E$53+'难度参数'!$E$54+'难度参数'!$E$55+'难度参数'!$E$56),1,0)+IF(H874&gt;=('难度参数'!$E$52+'难度参数'!$E$53+'难度参数'!$E$54+'难度参数'!$E$55+'难度参数'!$E$56+'难度参数'!$E$57),1,0)</x:f>
        <x:v>6</x:v>
      </x:c>
      <x:c r="W874" s="62" t="str">
        <x:f>IF(L874&gt;'难度参数'!$E$51,"仅出怪已超目标","还需实测")</x:f>
        <x:v>仅出怪已超目标</x:v>
      </x:c>
      <x:c r="X874" s="119" t="n">
        <x:f>IF(1&gt;D874,0,MAX(2,MIN('难度参数'!$E$12,ROUND(('难度参数'!$E$18*POWER(A874,'难度参数'!$E$19)/D874*(0.85+0.3*(1-1)/MAX(1,D874-1))),0)+F874)))</x:f>
        <x:v>43</x:v>
      </x:c>
      <x:c r="Y874" s="119" t="n">
        <x:f>IF(1&gt;D874,0,ROUND(('难度参数'!$E$13*POWER(A874,'难度参数'!$E$20)*MIN('难度参数'!$E$23,1+MAX(0,A874-'难度参数'!$E$21)*'难度参数'!$E$22))*(36+1*7)/(36+7*(D874+1)/2)*E874,0))</x:f>
        <x:v>11840</x:v>
      </x:c>
      <x:c r="Z874" s="119" t="n">
        <x:f>IF(X874=0,0,(X874-IF(1=D874,1,0))*ROUND(Y874*VLOOKUP(INDEX('章节与怪物'!$E$31:$K$37,B874,1),'章节与怪物'!$A$41:$F$44,2,FALSE),0)+IF(1=D874,ROUND(Y874*'难度参数'!$E$28*'章节与怪物'!$E$17,0),0))</x:f>
        <x:v>366575</x:v>
      </x:c>
      <x:c r="AA874" s="119" t="n">
        <x:f>IF(X874=0,0,(X874-IF(1=D874,1,0))*VLOOKUP(INDEX('章节与怪物'!$E$31:$K$37,B874,1),'章节与怪物'!$A$41:$F$44,4,FALSE)+IF(1=D874,'难度参数'!$E$30,0))</x:f>
        <x:v>860</x:v>
      </x:c>
      <x:c r="AB874" s="119" t="n">
        <x:f>IF(2&gt;D874,0,MAX(2,MIN('难度参数'!$E$12,ROUND(('难度参数'!$E$18*POWER(A874,'难度参数'!$E$19)/D874*(0.85+0.3*(2-1)/MAX(1,D874-1))),0)+F874)))</x:f>
        <x:v>45</x:v>
      </x:c>
      <x:c r="AC874" s="119" t="n">
        <x:f>IF(2&gt;D874,0,ROUND(('难度参数'!$E$13*POWER(A874,'难度参数'!$E$20)*MIN('难度参数'!$E$23,1+MAX(0,A874-'难度参数'!$E$21)*'难度参数'!$E$22))*(36+2*7)/(36+7*(D874+1)/2)*E874,0))</x:f>
        <x:v>13768</x:v>
      </x:c>
      <x:c r="AD874" s="119" t="n">
        <x:f>IF(AB874=0,0,(AB874-IF(2=D874,1,0))*ROUND(AC874*VLOOKUP(INDEX('章节与怪物'!$E$31:$K$37,B874,2),'章节与怪物'!$A$41:$F$44,2,FALSE),0)+IF(2=D874,ROUND(AC874*'难度参数'!$E$28*'章节与怪物'!$E$17,0),0))</x:f>
        <x:v>619560</x:v>
      </x:c>
      <x:c r="AE874" s="119" t="n">
        <x:f>IF(AB874=0,0,(AB874-IF(2=D874,1,0))*VLOOKUP(INDEX('章节与怪物'!$E$31:$K$37,B874,2),'章节与怪物'!$A$41:$F$44,4,FALSE)+IF(2=D874,'难度参数'!$E$30,0))</x:f>
        <x:v>810</x:v>
      </x:c>
      <x:c r="AF874" s="119" t="n">
        <x:f>IF(3&gt;D874,0,MAX(2,MIN('难度参数'!$E$12,ROUND(('难度参数'!$E$18*POWER(A874,'难度参数'!$E$19)/D874*(0.85+0.3*(3-1)/MAX(1,D874-1))),0)+F874)))</x:f>
        <x:v>48</x:v>
      </x:c>
      <x:c r="AG874" s="119" t="n">
        <x:f>IF(3&gt;D874,0,ROUND(('难度参数'!$E$13*POWER(A874,'难度参数'!$E$20)*MIN('难度参数'!$E$23,1+MAX(0,A874-'难度参数'!$E$21)*'难度参数'!$E$22))*(36+3*7)/(36+7*(D874+1)/2)*E874,0))</x:f>
        <x:v>15695</x:v>
      </x:c>
      <x:c r="AH874" s="119" t="n">
        <x:f>IF(AF874=0,0,(AF874-IF(3=D874,1,0))*ROUND(AG874*VLOOKUP(INDEX('章节与怪物'!$E$31:$K$37,B874,3),'章节与怪物'!$A$41:$F$44,2,FALSE),0)+IF(3=D874,ROUND(AG874*'难度参数'!$E$28*'章节与怪物'!$E$17,0),0))</x:f>
        <x:v>1280736</x:v>
      </x:c>
      <x:c r="AI874" s="119" t="n">
        <x:f>IF(AF874=0,0,(AF874-IF(3=D874,1,0))*VLOOKUP(INDEX('章节与怪物'!$E$31:$K$37,B874,3),'章节与怪物'!$A$41:$F$44,4,FALSE)+IF(3=D874,'难度参数'!$E$30,0))</x:f>
        <x:v>1344</x:v>
      </x:c>
      <x:c r="AJ874" s="119" t="n">
        <x:f>IF(4&gt;D874,0,MAX(2,MIN('难度参数'!$E$12,ROUND(('难度参数'!$E$18*POWER(A874,'难度参数'!$E$19)/D874*(0.85+0.3*(4-1)/MAX(1,D874-1))),0)+F874)))</x:f>
        <x:v>50</x:v>
      </x:c>
      <x:c r="AK874" s="119" t="n">
        <x:f>IF(4&gt;D874,0,ROUND(('难度参数'!$E$13*POWER(A874,'难度参数'!$E$20)*MIN('难度参数'!$E$23,1+MAX(0,A874-'难度参数'!$E$21)*'难度参数'!$E$22))*(36+4*7)/(36+7*(D874+1)/2)*E874,0))</x:f>
        <x:v>17623</x:v>
      </x:c>
      <x:c r="AL874" s="119" t="n">
        <x:f>IF(AJ874=0,0,(AJ874-IF(4=D874,1,0))*ROUND(AK874*VLOOKUP(INDEX('章节与怪物'!$E$31:$K$37,B874,4),'章节与怪物'!$A$41:$F$44,2,FALSE),0)+IF(4=D874,ROUND(AK874*'难度参数'!$E$28*'章节与怪物'!$E$17,0),0))</x:f>
        <x:v>1189550</x:v>
      </x:c>
      <x:c r="AM874" s="119" t="n">
        <x:f>IF(AJ874=0,0,(AJ874-IF(4=D874,1,0))*VLOOKUP(INDEX('章节与怪物'!$E$31:$K$37,B874,4),'章节与怪物'!$A$41:$F$44,4,FALSE)+IF(4=D874,'难度参数'!$E$30,0))</x:f>
        <x:v>1700</x:v>
      </x:c>
      <x:c r="AN874" s="119" t="n">
        <x:f>IF(5&gt;D874,0,MAX(2,MIN('难度参数'!$E$12,ROUND(('难度参数'!$E$18*POWER(A874,'难度参数'!$E$19)/D874*(0.85+0.3*(5-1)/MAX(1,D874-1))),0)+F874)))</x:f>
        <x:v>53</x:v>
      </x:c>
      <x:c r="AO874" s="119" t="n">
        <x:f>IF(5&gt;D874,0,ROUND(('难度参数'!$E$13*POWER(A874,'难度参数'!$E$20)*MIN('难度参数'!$E$23,1+MAX(0,A874-'难度参数'!$E$21)*'难度参数'!$E$22))*(36+5*7)/(36+7*(D874+1)/2)*E874,0))</x:f>
        <x:v>19550</x:v>
      </x:c>
      <x:c r="AP874" s="119" t="n">
        <x:f>IF(AN874=0,0,(AN874-IF(5=D874,1,0))*ROUND(AO874*VLOOKUP(INDEX('章节与怪物'!$E$31:$K$37,B874,5),'章节与怪物'!$A$41:$F$44,2,FALSE),0)+IF(5=D874,ROUND(AO874*'难度参数'!$E$28*'章节与怪物'!$E$17,0),0))</x:f>
        <x:v>1036150</x:v>
      </x:c>
      <x:c r="AQ874" s="119" t="n">
        <x:f>IF(AN874=0,0,(AN874-IF(5=D874,1,0))*VLOOKUP(INDEX('章节与怪物'!$E$31:$K$37,B874,5),'章节与怪物'!$A$41:$F$44,4,FALSE)+IF(5=D874,'难度参数'!$E$30,0))</x:f>
        <x:v>954</x:v>
      </x:c>
      <x:c r="AR874" s="119" t="n">
        <x:f>IF(6&gt;D874,0,MAX(2,MIN('难度参数'!$E$12,ROUND(('难度参数'!$E$18*POWER(A874,'难度参数'!$E$19)/D874*(0.85+0.3*(6-1)/MAX(1,D874-1))),0)+F874)))</x:f>
        <x:v>55</x:v>
      </x:c>
      <x:c r="AS874" s="119" t="n">
        <x:f>IF(6&gt;D874,0,ROUND(('难度参数'!$E$13*POWER(A874,'难度参数'!$E$20)*MIN('难度参数'!$E$23,1+MAX(0,A874-'难度参数'!$E$21)*'难度参数'!$E$22))*(36+6*7)/(36+7*(D874+1)/2)*E874,0))</x:f>
        <x:v>21477</x:v>
      </x:c>
      <x:c r="AT874" s="119" t="n">
        <x:f>IF(AR874=0,0,(AR874-IF(6=D874,1,0))*ROUND(AS874*VLOOKUP(INDEX('章节与怪物'!$E$31:$K$37,B874,6),'章节与怪物'!$A$41:$F$44,2,FALSE),0)+IF(6=D874,ROUND(AS874*'难度参数'!$E$28*'章节与怪物'!$E$17,0),0))</x:f>
        <x:v>2008105</x:v>
      </x:c>
      <x:c r="AU874" s="119" t="n">
        <x:f>IF(AR874=0,0,(AR874-IF(6=D874,1,0))*VLOOKUP(INDEX('章节与怪物'!$E$31:$K$37,B874,6),'章节与怪物'!$A$41:$F$44,4,FALSE)+IF(6=D874,'难度参数'!$E$30,0))</x:f>
        <x:v>1540</x:v>
      </x:c>
      <x:c r="AV874" s="119" t="n">
        <x:f>IF(7&gt;D874,0,MAX(2,MIN('难度参数'!$E$12,ROUND(('难度参数'!$E$18*POWER(A874,'难度参数'!$E$19)/D874*(0.85+0.3*(7-1)/MAX(1,D874-1))),0)+F874)))</x:f>
        <x:v>58</x:v>
      </x:c>
      <x:c r="AW874" s="119" t="n">
        <x:f>IF(7&gt;D874,0,ROUND(('难度参数'!$E$13*POWER(A874,'难度参数'!$E$20)*MIN('难度参数'!$E$23,1+MAX(0,A874-'难度参数'!$E$21)*'难度参数'!$E$22))*(36+7*7)/(36+7*(D874+1)/2)*E874,0))</x:f>
        <x:v>23405</x:v>
      </x:c>
      <x:c r="AX874" s="119" t="n">
        <x:f>IF(AV874=0,0,(AV874-IF(7=D874,1,0))*ROUND(AW874*VLOOKUP(INDEX('章节与怪物'!$E$31:$K$37,B874,7),'章节与怪物'!$A$41:$F$44,2,FALSE),0)+IF(7=D874,ROUND(AW874*'难度参数'!$E$28*'章节与怪物'!$E$17,0),0))</x:f>
        <x:v>1960183</x:v>
      </x:c>
      <x:c r="AY874" s="119" t="n">
        <x:f>IF(AV874=0,0,(AV874-IF(7=D874,1,0))*VLOOKUP(INDEX('章节与怪物'!$E$31:$K$37,B874,7),'章节与怪物'!$A$41:$F$44,4,FALSE)+IF(7=D874,'难度参数'!$E$30,0))</x:f>
        <x:v>2138</x:v>
      </x:c>
    </x:row>
    <x:row r="875" ht="23" customHeight="1">
      <x:c r="A875" s="119" t="n">
        <x:v>869</x:v>
      </x:c>
      <x:c r="B875" s="119" t="n">
        <x:f>MOD(INT((A875-1)/5),7)+1</x:f>
        <x:v>6</x:v>
      </x:c>
      <x:c r="C875" s="62" t="str">
        <x:f>INDEX('章节与怪物'!$B$31:$B$37,B875)</x:f>
        <x:v>熔岩山脉</x:v>
      </x:c>
      <x:c r="D875" s="119" t="n">
        <x:f>MIN('难度参数'!$E$8,MAX('难度参数'!$E$7,A875))</x:f>
        <x:v>7</x:v>
      </x:c>
      <x:c r="E875" s="106" t="n">
        <x:v>1</x:v>
      </x:c>
      <x:c r="F875" s="106" t="n">
        <x:v>0</x:v>
      </x:c>
      <x:c r="G875" s="106" t="n">
        <x:v>1</x:v>
      </x:c>
      <x:c r="H875" s="119" t="n">
        <x:f>SUM(X875,AB875,AF875,AJ875,AN875,AR875,AV875)</x:f>
        <x:v>352</x:v>
      </x:c>
      <x:c r="I875" s="119" t="n">
        <x:f>SUM(Z875,AD875,AH875,AL875,AP875,AT875,AX875)</x:f>
        <x:v>8467768</x:v>
      </x:c>
      <x:c r="J875" s="119" t="n">
        <x:f>ROUND(INDEX(X875:AY875,1,(D875-1)*4+2)*'难度参数'!$E$28*'章节与怪物'!$E$17,0)</x:f>
        <x:v>159283</x:v>
      </x:c>
      <x:c r="K875" s="119" t="n">
        <x:f>SUM(AA875,AE875,AI875,AM875,AQ875,AU875,AY875)</x:f>
        <x:v>9346</x:v>
      </x:c>
      <x:c r="L875" s="62" t="n">
        <x:f>H875*(ROUNDUP('难度参数'!$E$24/('难度参数'!$E$26*'难度参数'!$E$27),0)*'难度参数'!$E$26)/60</x:f>
        <x:v>4.693333333333333</x:v>
      </x:c>
      <x:c r="M875" s="62" t="n">
        <x:f>L875+D875*('难度参数'!$E$49+'难度参数'!$E$50)/60</x:f>
        <x:v>5.86</x:v>
      </x:c>
      <x:c r="N875" s="119" t="n">
        <x:f>ROUNDDOWN(('经济参数'!$E$20+A875*'经济参数'!$E$21)*G875,0)</x:f>
        <x:v>17560</x:v>
      </x:c>
      <x:c r="O875" s="119" t="n">
        <x:f>ROUNDDOWN(MIN('经济参数'!$E$24,'经济参数'!$E$22+A875*'经济参数'!$E$23)*G875,0)</x:f>
        <x:v>0</x:v>
      </x:c>
      <x:c r="P875" s="119" t="n">
        <x:f>ROUNDDOWN((IF(A875&gt;='材料与任务'!$E$31,'材料与任务'!$E$32,IF(A875&gt;='材料与任务'!$E$25,'材料与任务'!$E$26,IF(A875&gt;='材料与任务'!$E$19,'材料与任务'!$E$20,IF(A875&gt;='材料与任务'!$E$13,'材料与任务'!$E$14,'材料与任务'!$E$8)))))*G875,0)</x:f>
        <x:v>6</x:v>
      </x:c>
      <x:c r="Q875" s="119" t="n">
        <x:f>ROUNDDOWN((IF(A875&gt;='材料与任务'!$E$31,'材料与任务'!$E$33,IF(A875&gt;='材料与任务'!$E$25,'材料与任务'!$E$27,IF(A875&gt;='材料与任务'!$E$19,'材料与任务'!$E$21,IF(A875&gt;='材料与任务'!$E$13,'材料与任务'!$E$15,'材料与任务'!$E$9)))))*G875,0)</x:f>
        <x:v>3</x:v>
      </x:c>
      <x:c r="R875" s="110" t="n">
        <x:f>'装备掉落'!$B$38</x:f>
        <x:v>0.6872058758851213</x:v>
      </x:c>
      <x:c r="S875" s="119" t="n">
        <x:f>MAX(IF(VLOOKUP(A875,'装备掉落'!$A$29:$H$34,2,TRUE)&gt;0,1,0),IF(VLOOKUP(A875,'装备掉落'!$A$29:$H$34,3,TRUE)&gt;0,2,0),IF(VLOOKUP(A875,'装备掉落'!$A$29:$H$34,4,TRUE)&gt;0,3,0),IF(VLOOKUP(A875,'装备掉落'!$A$29:$H$34,5,TRUE)&gt;0,4,0),IF(VLOOKUP(A875,'装备掉落'!$A$29:$H$34,6,TRUE)&gt;0,5,0),IF(VLOOKUP(A875,'装备掉落'!$A$29:$H$34,7,TRUE)&gt;0,6,0),IF(VLOOKUP(A875,'装备掉落'!$A$29:$H$34,8,TRUE)&gt;0,7,0))</x:f>
        <x:v>7</x:v>
      </x:c>
      <x:c r="T875" s="119" t="n">
        <x:f>MIN(7,S875+'经济参数'!$E$70)</x:f>
        <x:v>7</x:v>
      </x:c>
      <x:c r="U875" s="119" t="n">
        <x:f>MIN(7,S875+'经济参数'!$E$71)</x:f>
        <x:v>7</x:v>
      </x:c>
      <x:c r="V875" s="119" t="n">
        <x:f>IF(H875&gt;=('难度参数'!$E$52),1,0)+IF(H875&gt;=('难度参数'!$E$52+'难度参数'!$E$53),1,0)+IF(H875&gt;=('难度参数'!$E$52+'难度参数'!$E$53+'难度参数'!$E$54),1,0)+IF(H875&gt;=('难度参数'!$E$52+'难度参数'!$E$53+'难度参数'!$E$54+'难度参数'!$E$55),1,0)+IF(H875&gt;=('难度参数'!$E$52+'难度参数'!$E$53+'难度参数'!$E$54+'难度参数'!$E$55+'难度参数'!$E$56),1,0)+IF(H875&gt;=('难度参数'!$E$52+'难度参数'!$E$53+'难度参数'!$E$54+'难度参数'!$E$55+'难度参数'!$E$56+'难度参数'!$E$57),1,0)</x:f>
        <x:v>6</x:v>
      </x:c>
      <x:c r="W875" s="62" t="str">
        <x:f>IF(L875&gt;'难度参数'!$E$51,"仅出怪已超目标","还需实测")</x:f>
        <x:v>仅出怪已超目标</x:v>
      </x:c>
      <x:c r="X875" s="119" t="n">
        <x:f>IF(1&gt;D875,0,MAX(2,MIN('难度参数'!$E$12,ROUND(('难度参数'!$E$18*POWER(A875,'难度参数'!$E$19)/D875*(0.85+0.3*(1-1)/MAX(1,D875-1))),0)+F875)))</x:f>
        <x:v>43</x:v>
      </x:c>
      <x:c r="Y875" s="119" t="n">
        <x:f>IF(1&gt;D875,0,ROUND(('难度参数'!$E$13*POWER(A875,'难度参数'!$E$20)*MIN('难度参数'!$E$23,1+MAX(0,A875-'难度参数'!$E$21)*'难度参数'!$E$22))*(36+1*7)/(36+7*(D875+1)/2)*E875,0))</x:f>
        <x:v>11850</x:v>
      </x:c>
      <x:c r="Z875" s="119" t="n">
        <x:f>IF(X875=0,0,(X875-IF(1=D875,1,0))*ROUND(Y875*VLOOKUP(INDEX('章节与怪物'!$E$31:$K$37,B875,1),'章节与怪物'!$A$41:$F$44,2,FALSE),0)+IF(1=D875,ROUND(Y875*'难度参数'!$E$28*'章节与怪物'!$E$17,0),0))</x:f>
        <x:v>366876</x:v>
      </x:c>
      <x:c r="AA875" s="119" t="n">
        <x:f>IF(X875=0,0,(X875-IF(1=D875,1,0))*VLOOKUP(INDEX('章节与怪物'!$E$31:$K$37,B875,1),'章节与怪物'!$A$41:$F$44,4,FALSE)+IF(1=D875,'难度参数'!$E$30,0))</x:f>
        <x:v>860</x:v>
      </x:c>
      <x:c r="AB875" s="119" t="n">
        <x:f>IF(2&gt;D875,0,MAX(2,MIN('难度参数'!$E$12,ROUND(('难度参数'!$E$18*POWER(A875,'难度参数'!$E$19)/D875*(0.85+0.3*(2-1)/MAX(1,D875-1))),0)+F875)))</x:f>
        <x:v>45</x:v>
      </x:c>
      <x:c r="AC875" s="119" t="n">
        <x:f>IF(2&gt;D875,0,ROUND(('难度参数'!$E$13*POWER(A875,'难度参数'!$E$20)*MIN('难度参数'!$E$23,1+MAX(0,A875-'难度参数'!$E$21)*'难度参数'!$E$22))*(36+2*7)/(36+7*(D875+1)/2)*E875,0))</x:f>
        <x:v>13779</x:v>
      </x:c>
      <x:c r="AD875" s="119" t="n">
        <x:f>IF(AB875=0,0,(AB875-IF(2=D875,1,0))*ROUND(AC875*VLOOKUP(INDEX('章节与怪物'!$E$31:$K$37,B875,2),'章节与怪物'!$A$41:$F$44,2,FALSE),0)+IF(2=D875,ROUND(AC875*'难度参数'!$E$28*'章节与怪物'!$E$17,0),0))</x:f>
        <x:v>620055</x:v>
      </x:c>
      <x:c r="AE875" s="119" t="n">
        <x:f>IF(AB875=0,0,(AB875-IF(2=D875,1,0))*VLOOKUP(INDEX('章节与怪物'!$E$31:$K$37,B875,2),'章节与怪物'!$A$41:$F$44,4,FALSE)+IF(2=D875,'难度参数'!$E$30,0))</x:f>
        <x:v>810</x:v>
      </x:c>
      <x:c r="AF875" s="119" t="n">
        <x:f>IF(3&gt;D875,0,MAX(2,MIN('难度参数'!$E$12,ROUND(('难度参数'!$E$18*POWER(A875,'难度参数'!$E$19)/D875*(0.85+0.3*(3-1)/MAX(1,D875-1))),0)+F875)))</x:f>
        <x:v>48</x:v>
      </x:c>
      <x:c r="AG875" s="119" t="n">
        <x:f>IF(3&gt;D875,0,ROUND(('难度参数'!$E$13*POWER(A875,'难度参数'!$E$20)*MIN('难度参数'!$E$23,1+MAX(0,A875-'难度参数'!$E$21)*'难度参数'!$E$22))*(36+3*7)/(36+7*(D875+1)/2)*E875,0))</x:f>
        <x:v>15708</x:v>
      </x:c>
      <x:c r="AH875" s="119" t="n">
        <x:f>IF(AF875=0,0,(AF875-IF(3=D875,1,0))*ROUND(AG875*VLOOKUP(INDEX('章节与怪物'!$E$31:$K$37,B875,3),'章节与怪物'!$A$41:$F$44,2,FALSE),0)+IF(3=D875,ROUND(AG875*'难度参数'!$E$28*'章节与怪物'!$E$17,0),0))</x:f>
        <x:v>1281792</x:v>
      </x:c>
      <x:c r="AI875" s="119" t="n">
        <x:f>IF(AF875=0,0,(AF875-IF(3=D875,1,0))*VLOOKUP(INDEX('章节与怪物'!$E$31:$K$37,B875,3),'章节与怪物'!$A$41:$F$44,4,FALSE)+IF(3=D875,'难度参数'!$E$30,0))</x:f>
        <x:v>1344</x:v>
      </x:c>
      <x:c r="AJ875" s="119" t="n">
        <x:f>IF(4&gt;D875,0,MAX(2,MIN('难度参数'!$E$12,ROUND(('难度参数'!$E$18*POWER(A875,'难度参数'!$E$19)/D875*(0.85+0.3*(4-1)/MAX(1,D875-1))),0)+F875)))</x:f>
        <x:v>50</x:v>
      </x:c>
      <x:c r="AK875" s="119" t="n">
        <x:f>IF(4&gt;D875,0,ROUND(('难度参数'!$E$13*POWER(A875,'难度参数'!$E$20)*MIN('难度参数'!$E$23,1+MAX(0,A875-'难度参数'!$E$21)*'难度参数'!$E$22))*(36+4*7)/(36+7*(D875+1)/2)*E875,0))</x:f>
        <x:v>17637</x:v>
      </x:c>
      <x:c r="AL875" s="119" t="n">
        <x:f>IF(AJ875=0,0,(AJ875-IF(4=D875,1,0))*ROUND(AK875*VLOOKUP(INDEX('章节与怪物'!$E$31:$K$37,B875,4),'章节与怪物'!$A$41:$F$44,2,FALSE),0)+IF(4=D875,ROUND(AK875*'难度参数'!$E$28*'章节与怪物'!$E$17,0),0))</x:f>
        <x:v>1190500</x:v>
      </x:c>
      <x:c r="AM875" s="119" t="n">
        <x:f>IF(AJ875=0,0,(AJ875-IF(4=D875,1,0))*VLOOKUP(INDEX('章节与怪物'!$E$31:$K$37,B875,4),'章节与怪物'!$A$41:$F$44,4,FALSE)+IF(4=D875,'难度参数'!$E$30,0))</x:f>
        <x:v>1700</x:v>
      </x:c>
      <x:c r="AN875" s="119" t="n">
        <x:f>IF(5&gt;D875,0,MAX(2,MIN('难度参数'!$E$12,ROUND(('难度参数'!$E$18*POWER(A875,'难度参数'!$E$19)/D875*(0.85+0.3*(5-1)/MAX(1,D875-1))),0)+F875)))</x:f>
        <x:v>53</x:v>
      </x:c>
      <x:c r="AO875" s="119" t="n">
        <x:f>IF(5&gt;D875,0,ROUND(('难度参数'!$E$13*POWER(A875,'难度参数'!$E$20)*MIN('难度参数'!$E$23,1+MAX(0,A875-'难度参数'!$E$21)*'难度参数'!$E$22))*(36+5*7)/(36+7*(D875+1)/2)*E875,0))</x:f>
        <x:v>19566</x:v>
      </x:c>
      <x:c r="AP875" s="119" t="n">
        <x:f>IF(AN875=0,0,(AN875-IF(5=D875,1,0))*ROUND(AO875*VLOOKUP(INDEX('章节与怪物'!$E$31:$K$37,B875,5),'章节与怪物'!$A$41:$F$44,2,FALSE),0)+IF(5=D875,ROUND(AO875*'难度参数'!$E$28*'章节与怪物'!$E$17,0),0))</x:f>
        <x:v>1036998</x:v>
      </x:c>
      <x:c r="AQ875" s="119" t="n">
        <x:f>IF(AN875=0,0,(AN875-IF(5=D875,1,0))*VLOOKUP(INDEX('章节与怪物'!$E$31:$K$37,B875,5),'章节与怪物'!$A$41:$F$44,4,FALSE)+IF(5=D875,'难度参数'!$E$30,0))</x:f>
        <x:v>954</x:v>
      </x:c>
      <x:c r="AR875" s="119" t="n">
        <x:f>IF(6&gt;D875,0,MAX(2,MIN('难度参数'!$E$12,ROUND(('难度参数'!$E$18*POWER(A875,'难度参数'!$E$19)/D875*(0.85+0.3*(6-1)/MAX(1,D875-1))),0)+F875)))</x:f>
        <x:v>55</x:v>
      </x:c>
      <x:c r="AS875" s="119" t="n">
        <x:f>IF(6&gt;D875,0,ROUND(('难度参数'!$E$13*POWER(A875,'难度参数'!$E$20)*MIN('难度参数'!$E$23,1+MAX(0,A875-'难度参数'!$E$21)*'难度参数'!$E$22))*(36+6*7)/(36+7*(D875+1)/2)*E875,0))</x:f>
        <x:v>21495</x:v>
      </x:c>
      <x:c r="AT875" s="119" t="n">
        <x:f>IF(AR875=0,0,(AR875-IF(6=D875,1,0))*ROUND(AS875*VLOOKUP(INDEX('章节与怪物'!$E$31:$K$37,B875,6),'章节与怪物'!$A$41:$F$44,2,FALSE),0)+IF(6=D875,ROUND(AS875*'难度参数'!$E$28*'章节与怪物'!$E$17,0),0))</x:f>
        <x:v>2009810</x:v>
      </x:c>
      <x:c r="AU875" s="119" t="n">
        <x:f>IF(AR875=0,0,(AR875-IF(6=D875,1,0))*VLOOKUP(INDEX('章节与怪物'!$E$31:$K$37,B875,6),'章节与怪物'!$A$41:$F$44,4,FALSE)+IF(6=D875,'难度参数'!$E$30,0))</x:f>
        <x:v>1540</x:v>
      </x:c>
      <x:c r="AV875" s="119" t="n">
        <x:f>IF(7&gt;D875,0,MAX(2,MIN('难度参数'!$E$12,ROUND(('难度参数'!$E$18*POWER(A875,'难度参数'!$E$19)/D875*(0.85+0.3*(7-1)/MAX(1,D875-1))),0)+F875)))</x:f>
        <x:v>58</x:v>
      </x:c>
      <x:c r="AW875" s="119" t="n">
        <x:f>IF(7&gt;D875,0,ROUND(('难度参数'!$E$13*POWER(A875,'难度参数'!$E$20)*MIN('难度参数'!$E$23,1+MAX(0,A875-'难度参数'!$E$21)*'难度参数'!$E$22))*(36+7*7)/(36+7*(D875+1)/2)*E875,0))</x:f>
        <x:v>23424</x:v>
      </x:c>
      <x:c r="AX875" s="119" t="n">
        <x:f>IF(AV875=0,0,(AV875-IF(7=D875,1,0))*ROUND(AW875*VLOOKUP(INDEX('章节与怪物'!$E$31:$K$37,B875,7),'章节与怪物'!$A$41:$F$44,2,FALSE),0)+IF(7=D875,ROUND(AW875*'难度参数'!$E$28*'章节与怪物'!$E$17,0),0))</x:f>
        <x:v>1961737</x:v>
      </x:c>
      <x:c r="AY875" s="119" t="n">
        <x:f>IF(AV875=0,0,(AV875-IF(7=D875,1,0))*VLOOKUP(INDEX('章节与怪物'!$E$31:$K$37,B875,7),'章节与怪物'!$A$41:$F$44,4,FALSE)+IF(7=D875,'难度参数'!$E$30,0))</x:f>
        <x:v>2138</x:v>
      </x:c>
    </x:row>
    <x:row r="876" ht="23" customHeight="1">
      <x:c r="A876" s="119" t="n">
        <x:v>870</x:v>
      </x:c>
      <x:c r="B876" s="119" t="n">
        <x:f>MOD(INT((A876-1)/5),7)+1</x:f>
        <x:v>6</x:v>
      </x:c>
      <x:c r="C876" s="62" t="str">
        <x:f>INDEX('章节与怪物'!$B$31:$B$37,B876)</x:f>
        <x:v>熔岩山脉</x:v>
      </x:c>
      <x:c r="D876" s="119" t="n">
        <x:f>MIN('难度参数'!$E$8,MAX('难度参数'!$E$7,A876))</x:f>
        <x:v>7</x:v>
      </x:c>
      <x:c r="E876" s="106" t="n">
        <x:v>1</x:v>
      </x:c>
      <x:c r="F876" s="106" t="n">
        <x:v>0</x:v>
      </x:c>
      <x:c r="G876" s="106" t="n">
        <x:v>1</x:v>
      </x:c>
      <x:c r="H876" s="119" t="n">
        <x:f>SUM(X876,AB876,AF876,AJ876,AN876,AR876,AV876)</x:f>
        <x:v>352</x:v>
      </x:c>
      <x:c r="I876" s="119" t="n">
        <x:f>SUM(Z876,AD876,AH876,AL876,AP876,AT876,AX876)</x:f>
        <x:v>8474793</x:v>
      </x:c>
      <x:c r="J876" s="119" t="n">
        <x:f>ROUND(INDEX(X876:AY876,1,(D876-1)*4+2)*'难度参数'!$E$28*'章节与怪物'!$E$17,0)</x:f>
        <x:v>159419</x:v>
      </x:c>
      <x:c r="K876" s="119" t="n">
        <x:f>SUM(AA876,AE876,AI876,AM876,AQ876,AU876,AY876)</x:f>
        <x:v>9346</x:v>
      </x:c>
      <x:c r="L876" s="62" t="n">
        <x:f>H876*(ROUNDUP('难度参数'!$E$24/('难度参数'!$E$26*'难度参数'!$E$27),0)*'难度参数'!$E$26)/60</x:f>
        <x:v>4.693333333333333</x:v>
      </x:c>
      <x:c r="M876" s="62" t="n">
        <x:f>L876+D876*('难度参数'!$E$49+'难度参数'!$E$50)/60</x:f>
        <x:v>5.86</x:v>
      </x:c>
      <x:c r="N876" s="119" t="n">
        <x:f>ROUNDDOWN(('经济参数'!$E$20+A876*'经济参数'!$E$21)*G876,0)</x:f>
        <x:v>17580</x:v>
      </x:c>
      <x:c r="O876" s="119" t="n">
        <x:f>ROUNDDOWN(MIN('经济参数'!$E$24,'经济参数'!$E$22+A876*'经济参数'!$E$23)*G876,0)</x:f>
        <x:v>0</x:v>
      </x:c>
      <x:c r="P876" s="119" t="n">
        <x:f>ROUNDDOWN((IF(A876&gt;='材料与任务'!$E$31,'材料与任务'!$E$32,IF(A876&gt;='材料与任务'!$E$25,'材料与任务'!$E$26,IF(A876&gt;='材料与任务'!$E$19,'材料与任务'!$E$20,IF(A876&gt;='材料与任务'!$E$13,'材料与任务'!$E$14,'材料与任务'!$E$8)))))*G876,0)</x:f>
        <x:v>6</x:v>
      </x:c>
      <x:c r="Q876" s="119" t="n">
        <x:f>ROUNDDOWN((IF(A876&gt;='材料与任务'!$E$31,'材料与任务'!$E$33,IF(A876&gt;='材料与任务'!$E$25,'材料与任务'!$E$27,IF(A876&gt;='材料与任务'!$E$19,'材料与任务'!$E$21,IF(A876&gt;='材料与任务'!$E$13,'材料与任务'!$E$15,'材料与任务'!$E$9)))))*G876,0)</x:f>
        <x:v>3</x:v>
      </x:c>
      <x:c r="R876" s="110" t="n">
        <x:f>'装备掉落'!$B$38</x:f>
        <x:v>0.6872058758851213</x:v>
      </x:c>
      <x:c r="S876" s="119" t="n">
        <x:f>MAX(IF(VLOOKUP(A876,'装备掉落'!$A$29:$H$34,2,TRUE)&gt;0,1,0),IF(VLOOKUP(A876,'装备掉落'!$A$29:$H$34,3,TRUE)&gt;0,2,0),IF(VLOOKUP(A876,'装备掉落'!$A$29:$H$34,4,TRUE)&gt;0,3,0),IF(VLOOKUP(A876,'装备掉落'!$A$29:$H$34,5,TRUE)&gt;0,4,0),IF(VLOOKUP(A876,'装备掉落'!$A$29:$H$34,6,TRUE)&gt;0,5,0),IF(VLOOKUP(A876,'装备掉落'!$A$29:$H$34,7,TRUE)&gt;0,6,0),IF(VLOOKUP(A876,'装备掉落'!$A$29:$H$34,8,TRUE)&gt;0,7,0))</x:f>
        <x:v>7</x:v>
      </x:c>
      <x:c r="T876" s="119" t="n">
        <x:f>MIN(7,S876+'经济参数'!$E$70)</x:f>
        <x:v>7</x:v>
      </x:c>
      <x:c r="U876" s="119" t="n">
        <x:f>MIN(7,S876+'经济参数'!$E$71)</x:f>
        <x:v>7</x:v>
      </x:c>
      <x:c r="V876" s="119" t="n">
        <x:f>IF(H876&gt;=('难度参数'!$E$52),1,0)+IF(H876&gt;=('难度参数'!$E$52+'难度参数'!$E$53),1,0)+IF(H876&gt;=('难度参数'!$E$52+'难度参数'!$E$53+'难度参数'!$E$54),1,0)+IF(H876&gt;=('难度参数'!$E$52+'难度参数'!$E$53+'难度参数'!$E$54+'难度参数'!$E$55),1,0)+IF(H876&gt;=('难度参数'!$E$52+'难度参数'!$E$53+'难度参数'!$E$54+'难度参数'!$E$55+'难度参数'!$E$56),1,0)+IF(H876&gt;=('难度参数'!$E$52+'难度参数'!$E$53+'难度参数'!$E$54+'难度参数'!$E$55+'难度参数'!$E$56+'难度参数'!$E$57),1,0)</x:f>
        <x:v>6</x:v>
      </x:c>
      <x:c r="W876" s="62" t="str">
        <x:f>IF(L876&gt;'难度参数'!$E$51,"仅出怪已超目标","还需实测")</x:f>
        <x:v>仅出怪已超目标</x:v>
      </x:c>
      <x:c r="X876" s="119" t="n">
        <x:f>IF(1&gt;D876,0,MAX(2,MIN('难度参数'!$E$12,ROUND(('难度参数'!$E$18*POWER(A876,'难度参数'!$E$19)/D876*(0.85+0.3*(1-1)/MAX(1,D876-1))),0)+F876)))</x:f>
        <x:v>43</x:v>
      </x:c>
      <x:c r="Y876" s="119" t="n">
        <x:f>IF(1&gt;D876,0,ROUND(('难度参数'!$E$13*POWER(A876,'难度参数'!$E$20)*MIN('难度参数'!$E$23,1+MAX(0,A876-'难度参数'!$E$21)*'难度参数'!$E$22))*(36+1*7)/(36+7*(D876+1)/2)*E876,0))</x:f>
        <x:v>11860</x:v>
      </x:c>
      <x:c r="Z876" s="119" t="n">
        <x:f>IF(X876=0,0,(X876-IF(1=D876,1,0))*ROUND(Y876*VLOOKUP(INDEX('章节与怪物'!$E$31:$K$37,B876,1),'章节与怪物'!$A$41:$F$44,2,FALSE),0)+IF(1=D876,ROUND(Y876*'难度参数'!$E$28*'章节与怪物'!$E$17,0),0))</x:f>
        <x:v>367177</x:v>
      </x:c>
      <x:c r="AA876" s="119" t="n">
        <x:f>IF(X876=0,0,(X876-IF(1=D876,1,0))*VLOOKUP(INDEX('章节与怪物'!$E$31:$K$37,B876,1),'章节与怪物'!$A$41:$F$44,4,FALSE)+IF(1=D876,'难度参数'!$E$30,0))</x:f>
        <x:v>860</x:v>
      </x:c>
      <x:c r="AB876" s="119" t="n">
        <x:f>IF(2&gt;D876,0,MAX(2,MIN('难度参数'!$E$12,ROUND(('难度参数'!$E$18*POWER(A876,'难度参数'!$E$19)/D876*(0.85+0.3*(2-1)/MAX(1,D876-1))),0)+F876)))</x:f>
        <x:v>45</x:v>
      </x:c>
      <x:c r="AC876" s="119" t="n">
        <x:f>IF(2&gt;D876,0,ROUND(('难度参数'!$E$13*POWER(A876,'难度参数'!$E$20)*MIN('难度参数'!$E$23,1+MAX(0,A876-'难度参数'!$E$21)*'难度参数'!$E$22))*(36+2*7)/(36+7*(D876+1)/2)*E876,0))</x:f>
        <x:v>13790</x:v>
      </x:c>
      <x:c r="AD876" s="119" t="n">
        <x:f>IF(AB876=0,0,(AB876-IF(2=D876,1,0))*ROUND(AC876*VLOOKUP(INDEX('章节与怪物'!$E$31:$K$37,B876,2),'章节与怪物'!$A$41:$F$44,2,FALSE),0)+IF(2=D876,ROUND(AC876*'难度参数'!$E$28*'章节与怪物'!$E$17,0),0))</x:f>
        <x:v>620550</x:v>
      </x:c>
      <x:c r="AE876" s="119" t="n">
        <x:f>IF(AB876=0,0,(AB876-IF(2=D876,1,0))*VLOOKUP(INDEX('章节与怪物'!$E$31:$K$37,B876,2),'章节与怪物'!$A$41:$F$44,4,FALSE)+IF(2=D876,'难度参数'!$E$30,0))</x:f>
        <x:v>810</x:v>
      </x:c>
      <x:c r="AF876" s="119" t="n">
        <x:f>IF(3&gt;D876,0,MAX(2,MIN('难度参数'!$E$12,ROUND(('难度参数'!$E$18*POWER(A876,'难度参数'!$E$19)/D876*(0.85+0.3*(3-1)/MAX(1,D876-1))),0)+F876)))</x:f>
        <x:v>48</x:v>
      </x:c>
      <x:c r="AG876" s="119" t="n">
        <x:f>IF(3&gt;D876,0,ROUND(('难度参数'!$E$13*POWER(A876,'难度参数'!$E$20)*MIN('难度参数'!$E$23,1+MAX(0,A876-'难度参数'!$E$21)*'难度参数'!$E$22))*(36+3*7)/(36+7*(D876+1)/2)*E876,0))</x:f>
        <x:v>15721</x:v>
      </x:c>
      <x:c r="AH876" s="119" t="n">
        <x:f>IF(AF876=0,0,(AF876-IF(3=D876,1,0))*ROUND(AG876*VLOOKUP(INDEX('章节与怪物'!$E$31:$K$37,B876,3),'章节与怪物'!$A$41:$F$44,2,FALSE),0)+IF(3=D876,ROUND(AG876*'难度参数'!$E$28*'章节与怪物'!$E$17,0),0))</x:f>
        <x:v>1282848</x:v>
      </x:c>
      <x:c r="AI876" s="119" t="n">
        <x:f>IF(AF876=0,0,(AF876-IF(3=D876,1,0))*VLOOKUP(INDEX('章节与怪物'!$E$31:$K$37,B876,3),'章节与怪物'!$A$41:$F$44,4,FALSE)+IF(3=D876,'难度参数'!$E$30,0))</x:f>
        <x:v>1344</x:v>
      </x:c>
      <x:c r="AJ876" s="119" t="n">
        <x:f>IF(4&gt;D876,0,MAX(2,MIN('难度参数'!$E$12,ROUND(('难度参数'!$E$18*POWER(A876,'难度参数'!$E$19)/D876*(0.85+0.3*(4-1)/MAX(1,D876-1))),0)+F876)))</x:f>
        <x:v>50</x:v>
      </x:c>
      <x:c r="AK876" s="119" t="n">
        <x:f>IF(4&gt;D876,0,ROUND(('难度参数'!$E$13*POWER(A876,'难度参数'!$E$20)*MIN('难度参数'!$E$23,1+MAX(0,A876-'难度参数'!$E$21)*'难度参数'!$E$22))*(36+4*7)/(36+7*(D876+1)/2)*E876,0))</x:f>
        <x:v>17652</x:v>
      </x:c>
      <x:c r="AL876" s="119" t="n">
        <x:f>IF(AJ876=0,0,(AJ876-IF(4=D876,1,0))*ROUND(AK876*VLOOKUP(INDEX('章节与怪物'!$E$31:$K$37,B876,4),'章节与怪物'!$A$41:$F$44,2,FALSE),0)+IF(4=D876,ROUND(AK876*'难度参数'!$E$28*'章节与怪物'!$E$17,0),0))</x:f>
        <x:v>1191500</x:v>
      </x:c>
      <x:c r="AM876" s="119" t="n">
        <x:f>IF(AJ876=0,0,(AJ876-IF(4=D876,1,0))*VLOOKUP(INDEX('章节与怪物'!$E$31:$K$37,B876,4),'章节与怪物'!$A$41:$F$44,4,FALSE)+IF(4=D876,'难度参数'!$E$30,0))</x:f>
        <x:v>1700</x:v>
      </x:c>
      <x:c r="AN876" s="119" t="n">
        <x:f>IF(5&gt;D876,0,MAX(2,MIN('难度参数'!$E$12,ROUND(('难度参数'!$E$18*POWER(A876,'难度参数'!$E$19)/D876*(0.85+0.3*(5-1)/MAX(1,D876-1))),0)+F876)))</x:f>
        <x:v>53</x:v>
      </x:c>
      <x:c r="AO876" s="119" t="n">
        <x:f>IF(5&gt;D876,0,ROUND(('难度参数'!$E$13*POWER(A876,'难度参数'!$E$20)*MIN('难度参数'!$E$23,1+MAX(0,A876-'难度参数'!$E$21)*'难度参数'!$E$22))*(36+5*7)/(36+7*(D876+1)/2)*E876,0))</x:f>
        <x:v>19582</x:v>
      </x:c>
      <x:c r="AP876" s="119" t="n">
        <x:f>IF(AN876=0,0,(AN876-IF(5=D876,1,0))*ROUND(AO876*VLOOKUP(INDEX('章节与怪物'!$E$31:$K$37,B876,5),'章节与怪物'!$A$41:$F$44,2,FALSE),0)+IF(5=D876,ROUND(AO876*'难度参数'!$E$28*'章节与怪物'!$E$17,0),0))</x:f>
        <x:v>1037846</x:v>
      </x:c>
      <x:c r="AQ876" s="119" t="n">
        <x:f>IF(AN876=0,0,(AN876-IF(5=D876,1,0))*VLOOKUP(INDEX('章节与怪物'!$E$31:$K$37,B876,5),'章节与怪物'!$A$41:$F$44,4,FALSE)+IF(5=D876,'难度参数'!$E$30,0))</x:f>
        <x:v>954</x:v>
      </x:c>
      <x:c r="AR876" s="119" t="n">
        <x:f>IF(6&gt;D876,0,MAX(2,MIN('难度参数'!$E$12,ROUND(('难度参数'!$E$18*POWER(A876,'难度参数'!$E$19)/D876*(0.85+0.3*(6-1)/MAX(1,D876-1))),0)+F876)))</x:f>
        <x:v>55</x:v>
      </x:c>
      <x:c r="AS876" s="119" t="n">
        <x:f>IF(6&gt;D876,0,ROUND(('难度参数'!$E$13*POWER(A876,'难度参数'!$E$20)*MIN('难度参数'!$E$23,1+MAX(0,A876-'难度参数'!$E$21)*'难度参数'!$E$22))*(36+6*7)/(36+7*(D876+1)/2)*E876,0))</x:f>
        <x:v>21513</x:v>
      </x:c>
      <x:c r="AT876" s="119" t="n">
        <x:f>IF(AR876=0,0,(AR876-IF(6=D876,1,0))*ROUND(AS876*VLOOKUP(INDEX('章节与怪物'!$E$31:$K$37,B876,6),'章节与怪物'!$A$41:$F$44,2,FALSE),0)+IF(6=D876,ROUND(AS876*'难度参数'!$E$28*'章节与怪物'!$E$17,0),0))</x:f>
        <x:v>2011460</x:v>
      </x:c>
      <x:c r="AU876" s="119" t="n">
        <x:f>IF(AR876=0,0,(AR876-IF(6=D876,1,0))*VLOOKUP(INDEX('章节与怪物'!$E$31:$K$37,B876,6),'章节与怪物'!$A$41:$F$44,4,FALSE)+IF(6=D876,'难度参数'!$E$30,0))</x:f>
        <x:v>1540</x:v>
      </x:c>
      <x:c r="AV876" s="119" t="n">
        <x:f>IF(7&gt;D876,0,MAX(2,MIN('难度参数'!$E$12,ROUND(('难度参数'!$E$18*POWER(A876,'难度参数'!$E$19)/D876*(0.85+0.3*(7-1)/MAX(1,D876-1))),0)+F876)))</x:f>
        <x:v>58</x:v>
      </x:c>
      <x:c r="AW876" s="119" t="n">
        <x:f>IF(7&gt;D876,0,ROUND(('难度参数'!$E$13*POWER(A876,'难度参数'!$E$20)*MIN('难度参数'!$E$23,1+MAX(0,A876-'难度参数'!$E$21)*'难度参数'!$E$22))*(36+7*7)/(36+7*(D876+1)/2)*E876,0))</x:f>
        <x:v>23444</x:v>
      </x:c>
      <x:c r="AX876" s="119" t="n">
        <x:f>IF(AV876=0,0,(AV876-IF(7=D876,1,0))*ROUND(AW876*VLOOKUP(INDEX('章节与怪物'!$E$31:$K$37,B876,7),'章节与怪物'!$A$41:$F$44,2,FALSE),0)+IF(7=D876,ROUND(AW876*'难度参数'!$E$28*'章节与怪物'!$E$17,0),0))</x:f>
        <x:v>1963412</x:v>
      </x:c>
      <x:c r="AY876" s="119" t="n">
        <x:f>IF(AV876=0,0,(AV876-IF(7=D876,1,0))*VLOOKUP(INDEX('章节与怪物'!$E$31:$K$37,B876,7),'章节与怪物'!$A$41:$F$44,4,FALSE)+IF(7=D876,'难度参数'!$E$30,0))</x:f>
        <x:v>2138</x:v>
      </x:c>
    </x:row>
    <x:row r="877" ht="23" customHeight="1">
      <x:c r="A877" s="119" t="n">
        <x:v>871</x:v>
      </x:c>
      <x:c r="B877" s="119" t="n">
        <x:f>MOD(INT((A877-1)/5),7)+1</x:f>
        <x:v>7</x:v>
      </x:c>
      <x:c r="C877" s="62" t="str">
        <x:f>INDEX('章节与怪物'!$B$31:$B$37,B877)</x:f>
        <x:v>魔法山脊</x:v>
      </x:c>
      <x:c r="D877" s="119" t="n">
        <x:f>MIN('难度参数'!$E$8,MAX('难度参数'!$E$7,A877))</x:f>
        <x:v>7</x:v>
      </x:c>
      <x:c r="E877" s="106" t="n">
        <x:v>1</x:v>
      </x:c>
      <x:c r="F877" s="106" t="n">
        <x:v>0</x:v>
      </x:c>
      <x:c r="G877" s="106" t="n">
        <x:v>1</x:v>
      </x:c>
      <x:c r="H877" s="119" t="n">
        <x:f>SUM(X877,AB877,AF877,AJ877,AN877,AR877,AV877)</x:f>
        <x:v>352</x:v>
      </x:c>
      <x:c r="I877" s="119" t="n">
        <x:f>SUM(Z877,AD877,AH877,AL877,AP877,AT877,AX877)</x:f>
        <x:v>8160000</x:v>
      </x:c>
      <x:c r="J877" s="119" t="n">
        <x:f>ROUND(INDEX(X877:AY877,1,(D877-1)*4+2)*'难度参数'!$E$28*'章节与怪物'!$E$17,0)</x:f>
        <x:v>159548</x:v>
      </x:c>
      <x:c r="K877" s="119" t="n">
        <x:f>SUM(AA877,AE877,AI877,AM877,AQ877,AU877,AY877)</x:f>
        <x:v>9456</x:v>
      </x:c>
      <x:c r="L877" s="62" t="n">
        <x:f>H877*(ROUNDUP('难度参数'!$E$24/('难度参数'!$E$26*'难度参数'!$E$27),0)*'难度参数'!$E$26)/60</x:f>
        <x:v>4.693333333333333</x:v>
      </x:c>
      <x:c r="M877" s="62" t="n">
        <x:f>L877+D877*('难度参数'!$E$49+'难度参数'!$E$50)/60</x:f>
        <x:v>5.86</x:v>
      </x:c>
      <x:c r="N877" s="119" t="n">
        <x:f>ROUNDDOWN(('经济参数'!$E$20+A877*'经济参数'!$E$21)*G877,0)</x:f>
        <x:v>17600</x:v>
      </x:c>
      <x:c r="O877" s="119" t="n">
        <x:f>ROUNDDOWN(MIN('经济参数'!$E$24,'经济参数'!$E$22+A877*'经济参数'!$E$23)*G877,0)</x:f>
        <x:v>0</x:v>
      </x:c>
      <x:c r="P877" s="119" t="n">
        <x:f>ROUNDDOWN((IF(A877&gt;='材料与任务'!$E$31,'材料与任务'!$E$32,IF(A877&gt;='材料与任务'!$E$25,'材料与任务'!$E$26,IF(A877&gt;='材料与任务'!$E$19,'材料与任务'!$E$20,IF(A877&gt;='材料与任务'!$E$13,'材料与任务'!$E$14,'材料与任务'!$E$8)))))*G877,0)</x:f>
        <x:v>6</x:v>
      </x:c>
      <x:c r="Q877" s="119" t="n">
        <x:f>ROUNDDOWN((IF(A877&gt;='材料与任务'!$E$31,'材料与任务'!$E$33,IF(A877&gt;='材料与任务'!$E$25,'材料与任务'!$E$27,IF(A877&gt;='材料与任务'!$E$19,'材料与任务'!$E$21,IF(A877&gt;='材料与任务'!$E$13,'材料与任务'!$E$15,'材料与任务'!$E$9)))))*G877,0)</x:f>
        <x:v>3</x:v>
      </x:c>
      <x:c r="R877" s="110" t="n">
        <x:f>'装备掉落'!$B$38</x:f>
        <x:v>0.6872058758851213</x:v>
      </x:c>
      <x:c r="S877" s="119" t="n">
        <x:f>MAX(IF(VLOOKUP(A877,'装备掉落'!$A$29:$H$34,2,TRUE)&gt;0,1,0),IF(VLOOKUP(A877,'装备掉落'!$A$29:$H$34,3,TRUE)&gt;0,2,0),IF(VLOOKUP(A877,'装备掉落'!$A$29:$H$34,4,TRUE)&gt;0,3,0),IF(VLOOKUP(A877,'装备掉落'!$A$29:$H$34,5,TRUE)&gt;0,4,0),IF(VLOOKUP(A877,'装备掉落'!$A$29:$H$34,6,TRUE)&gt;0,5,0),IF(VLOOKUP(A877,'装备掉落'!$A$29:$H$34,7,TRUE)&gt;0,6,0),IF(VLOOKUP(A877,'装备掉落'!$A$29:$H$34,8,TRUE)&gt;0,7,0))</x:f>
        <x:v>7</x:v>
      </x:c>
      <x:c r="T877" s="119" t="n">
        <x:f>MIN(7,S877+'经济参数'!$E$70)</x:f>
        <x:v>7</x:v>
      </x:c>
      <x:c r="U877" s="119" t="n">
        <x:f>MIN(7,S877+'经济参数'!$E$71)</x:f>
        <x:v>7</x:v>
      </x:c>
      <x:c r="V877" s="119" t="n">
        <x:f>IF(H877&gt;=('难度参数'!$E$52),1,0)+IF(H877&gt;=('难度参数'!$E$52+'难度参数'!$E$53),1,0)+IF(H877&gt;=('难度参数'!$E$52+'难度参数'!$E$53+'难度参数'!$E$54),1,0)+IF(H877&gt;=('难度参数'!$E$52+'难度参数'!$E$53+'难度参数'!$E$54+'难度参数'!$E$55),1,0)+IF(H877&gt;=('难度参数'!$E$52+'难度参数'!$E$53+'难度参数'!$E$54+'难度参数'!$E$55+'难度参数'!$E$56),1,0)+IF(H877&gt;=('难度参数'!$E$52+'难度参数'!$E$53+'难度参数'!$E$54+'难度参数'!$E$55+'难度参数'!$E$56+'难度参数'!$E$57),1,0)</x:f>
        <x:v>6</x:v>
      </x:c>
      <x:c r="W877" s="62" t="str">
        <x:f>IF(L877&gt;'难度参数'!$E$51,"仅出怪已超目标","还需实测")</x:f>
        <x:v>仅出怪已超目标</x:v>
      </x:c>
      <x:c r="X877" s="119" t="n">
        <x:f>IF(1&gt;D877,0,MAX(2,MIN('难度参数'!$E$12,ROUND(('难度参数'!$E$18*POWER(A877,'难度参数'!$E$19)/D877*(0.85+0.3*(1-1)/MAX(1,D877-1))),0)+F877)))</x:f>
        <x:v>43</x:v>
      </x:c>
      <x:c r="Y877" s="119" t="n">
        <x:f>IF(1&gt;D877,0,ROUND(('难度参数'!$E$13*POWER(A877,'难度参数'!$E$20)*MIN('难度参数'!$E$23,1+MAX(0,A877-'难度参数'!$E$21)*'难度参数'!$E$22))*(36+1*7)/(36+7*(D877+1)/2)*E877,0))</x:f>
        <x:v>11870</x:v>
      </x:c>
      <x:c r="Z877" s="119" t="n">
        <x:f>IF(X877=0,0,(X877-IF(1=D877,1,0))*ROUND(Y877*VLOOKUP(INDEX('章节与怪物'!$E$31:$K$37,B877,1),'章节与怪物'!$A$41:$F$44,2,FALSE),0)+IF(1=D877,ROUND(Y877*'难度参数'!$E$28*'章节与怪物'!$E$17,0),0))</x:f>
        <x:v>510410</x:v>
      </x:c>
      <x:c r="AA877" s="119" t="n">
        <x:f>IF(X877=0,0,(X877-IF(1=D877,1,0))*VLOOKUP(INDEX('章节与怪物'!$E$31:$K$37,B877,1),'章节与怪物'!$A$41:$F$44,4,FALSE)+IF(1=D877,'难度参数'!$E$30,0))</x:f>
        <x:v>774</x:v>
      </x:c>
      <x:c r="AB877" s="119" t="n">
        <x:f>IF(2&gt;D877,0,MAX(2,MIN('难度参数'!$E$12,ROUND(('难度参数'!$E$18*POWER(A877,'难度参数'!$E$19)/D877*(0.85+0.3*(2-1)/MAX(1,D877-1))),0)+F877)))</x:f>
        <x:v>45</x:v>
      </x:c>
      <x:c r="AC877" s="119" t="n">
        <x:f>IF(2&gt;D877,0,ROUND(('难度参数'!$E$13*POWER(A877,'难度参数'!$E$20)*MIN('难度参数'!$E$23,1+MAX(0,A877-'难度参数'!$E$21)*'难度参数'!$E$22))*(36+2*7)/(36+7*(D877+1)/2)*E877,0))</x:f>
        <x:v>13802</x:v>
      </x:c>
      <x:c r="AD877" s="119" t="n">
        <x:f>IF(AB877=0,0,(AB877-IF(2=D877,1,0))*ROUND(AC877*VLOOKUP(INDEX('章节与怪物'!$E$31:$K$37,B877,2),'章节与怪物'!$A$41:$F$44,2,FALSE),0)+IF(2=D877,ROUND(AC877*'难度参数'!$E$28*'章节与怪物'!$E$17,0),0))</x:f>
        <x:v>447165</x:v>
      </x:c>
      <x:c r="AE877" s="119" t="n">
        <x:f>IF(AB877=0,0,(AB877-IF(2=D877,1,0))*VLOOKUP(INDEX('章节与怪物'!$E$31:$K$37,B877,2),'章节与怪物'!$A$41:$F$44,4,FALSE)+IF(2=D877,'难度参数'!$E$30,0))</x:f>
        <x:v>900</x:v>
      </x:c>
      <x:c r="AF877" s="119" t="n">
        <x:f>IF(3&gt;D877,0,MAX(2,MIN('难度参数'!$E$12,ROUND(('难度参数'!$E$18*POWER(A877,'难度参数'!$E$19)/D877*(0.85+0.3*(3-1)/MAX(1,D877-1))),0)+F877)))</x:f>
        <x:v>48</x:v>
      </x:c>
      <x:c r="AG877" s="119" t="n">
        <x:f>IF(3&gt;D877,0,ROUND(('难度参数'!$E$13*POWER(A877,'难度参数'!$E$20)*MIN('难度参数'!$E$23,1+MAX(0,A877-'难度参数'!$E$21)*'难度参数'!$E$22))*(36+3*7)/(36+7*(D877+1)/2)*E877,0))</x:f>
        <x:v>15734</x:v>
      </x:c>
      <x:c r="AH877" s="119" t="n">
        <x:f>IF(AF877=0,0,(AF877-IF(3=D877,1,0))*ROUND(AG877*VLOOKUP(INDEX('章节与怪物'!$E$31:$K$37,B877,3),'章节与怪物'!$A$41:$F$44,2,FALSE),0)+IF(3=D877,ROUND(AG877*'难度参数'!$E$28*'章节与怪物'!$E$17,0),0))</x:f>
        <x:v>1283904</x:v>
      </x:c>
      <x:c r="AI877" s="119" t="n">
        <x:f>IF(AF877=0,0,(AF877-IF(3=D877,1,0))*VLOOKUP(INDEX('章节与怪物'!$E$31:$K$37,B877,3),'章节与怪物'!$A$41:$F$44,4,FALSE)+IF(3=D877,'难度参数'!$E$30,0))</x:f>
        <x:v>1344</x:v>
      </x:c>
      <x:c r="AJ877" s="119" t="n">
        <x:f>IF(4&gt;D877,0,MAX(2,MIN('难度参数'!$E$12,ROUND(('难度参数'!$E$18*POWER(A877,'难度参数'!$E$19)/D877*(0.85+0.3*(4-1)/MAX(1,D877-1))),0)+F877)))</x:f>
        <x:v>50</x:v>
      </x:c>
      <x:c r="AK877" s="119" t="n">
        <x:f>IF(4&gt;D877,0,ROUND(('难度参数'!$E$13*POWER(A877,'难度参数'!$E$20)*MIN('难度参数'!$E$23,1+MAX(0,A877-'难度参数'!$E$21)*'难度参数'!$E$22))*(36+4*7)/(36+7*(D877+1)/2)*E877,0))</x:f>
        <x:v>17666</x:v>
      </x:c>
      <x:c r="AL877" s="119" t="n">
        <x:f>IF(AJ877=0,0,(AJ877-IF(4=D877,1,0))*ROUND(AK877*VLOOKUP(INDEX('章节与怪物'!$E$31:$K$37,B877,4),'章节与怪物'!$A$41:$F$44,2,FALSE),0)+IF(4=D877,ROUND(AK877*'难度参数'!$E$28*'章节与怪物'!$E$17,0),0))</x:f>
        <x:v>1192450</x:v>
      </x:c>
      <x:c r="AM877" s="119" t="n">
        <x:f>IF(AJ877=0,0,(AJ877-IF(4=D877,1,0))*VLOOKUP(INDEX('章节与怪物'!$E$31:$K$37,B877,4),'章节与怪物'!$A$41:$F$44,4,FALSE)+IF(4=D877,'难度参数'!$E$30,0))</x:f>
        <x:v>1700</x:v>
      </x:c>
      <x:c r="AN877" s="119" t="n">
        <x:f>IF(5&gt;D877,0,MAX(2,MIN('难度参数'!$E$12,ROUND(('难度参数'!$E$18*POWER(A877,'难度参数'!$E$19)/D877*(0.85+0.3*(5-1)/MAX(1,D877-1))),0)+F877)))</x:f>
        <x:v>53</x:v>
      </x:c>
      <x:c r="AO877" s="119" t="n">
        <x:f>IF(5&gt;D877,0,ROUND(('难度参数'!$E$13*POWER(A877,'难度参数'!$E$20)*MIN('难度参数'!$E$23,1+MAX(0,A877-'难度参数'!$E$21)*'难度参数'!$E$22))*(36+5*7)/(36+7*(D877+1)/2)*E877,0))</x:f>
        <x:v>19599</x:v>
      </x:c>
      <x:c r="AP877" s="119" t="n">
        <x:f>IF(AN877=0,0,(AN877-IF(5=D877,1,0))*ROUND(AO877*VLOOKUP(INDEX('章节与怪物'!$E$31:$K$37,B877,5),'章节与怪物'!$A$41:$F$44,2,FALSE),0)+IF(5=D877,ROUND(AO877*'难度参数'!$E$28*'章节与怪物'!$E$17,0),0))</x:f>
        <x:v>747883</x:v>
      </x:c>
      <x:c r="AQ877" s="119" t="n">
        <x:f>IF(AN877=0,0,(AN877-IF(5=D877,1,0))*VLOOKUP(INDEX('章节与怪物'!$E$31:$K$37,B877,5),'章节与怪物'!$A$41:$F$44,4,FALSE)+IF(5=D877,'难度参数'!$E$30,0))</x:f>
        <x:v>1060</x:v>
      </x:c>
      <x:c r="AR877" s="119" t="n">
        <x:f>IF(6&gt;D877,0,MAX(2,MIN('难度参数'!$E$12,ROUND(('难度参数'!$E$18*POWER(A877,'难度参数'!$E$19)/D877*(0.85+0.3*(6-1)/MAX(1,D877-1))),0)+F877)))</x:f>
        <x:v>55</x:v>
      </x:c>
      <x:c r="AS877" s="119" t="n">
        <x:f>IF(6&gt;D877,0,ROUND(('难度参数'!$E$13*POWER(A877,'难度参数'!$E$20)*MIN('难度参数'!$E$23,1+MAX(0,A877-'难度参数'!$E$21)*'难度参数'!$E$22))*(36+6*7)/(36+7*(D877+1)/2)*E877,0))</x:f>
        <x:v>21531</x:v>
      </x:c>
      <x:c r="AT877" s="119" t="n">
        <x:f>IF(AR877=0,0,(AR877-IF(6=D877,1,0))*ROUND(AS877*VLOOKUP(INDEX('章节与怪物'!$E$31:$K$37,B877,6),'章节与怪物'!$A$41:$F$44,2,FALSE),0)+IF(6=D877,ROUND(AS877*'难度参数'!$E$28*'章节与怪物'!$E$17,0),0))</x:f>
        <x:v>2013165</x:v>
      </x:c>
      <x:c r="AU877" s="119" t="n">
        <x:f>IF(AR877=0,0,(AR877-IF(6=D877,1,0))*VLOOKUP(INDEX('章节与怪物'!$E$31:$K$37,B877,6),'章节与怪物'!$A$41:$F$44,4,FALSE)+IF(6=D877,'难度参数'!$E$30,0))</x:f>
        <x:v>1540</x:v>
      </x:c>
      <x:c r="AV877" s="119" t="n">
        <x:f>IF(7&gt;D877,0,MAX(2,MIN('难度参数'!$E$12,ROUND(('难度参数'!$E$18*POWER(A877,'难度参数'!$E$19)/D877*(0.85+0.3*(7-1)/MAX(1,D877-1))),0)+F877)))</x:f>
        <x:v>58</x:v>
      </x:c>
      <x:c r="AW877" s="119" t="n">
        <x:f>IF(7&gt;D877,0,ROUND(('难度参数'!$E$13*POWER(A877,'难度参数'!$E$20)*MIN('难度参数'!$E$23,1+MAX(0,A877-'难度参数'!$E$21)*'难度参数'!$E$22))*(36+7*7)/(36+7*(D877+1)/2)*E877,0))</x:f>
        <x:v>23463</x:v>
      </x:c>
      <x:c r="AX877" s="119" t="n">
        <x:f>IF(AV877=0,0,(AV877-IF(7=D877,1,0))*ROUND(AW877*VLOOKUP(INDEX('章节与怪物'!$E$31:$K$37,B877,7),'章节与怪物'!$A$41:$F$44,2,FALSE),0)+IF(7=D877,ROUND(AW877*'难度参数'!$E$28*'章节与怪物'!$E$17,0),0))</x:f>
        <x:v>1965023</x:v>
      </x:c>
      <x:c r="AY877" s="119" t="n">
        <x:f>IF(AV877=0,0,(AV877-IF(7=D877,1,0))*VLOOKUP(INDEX('章节与怪物'!$E$31:$K$37,B877,7),'章节与怪物'!$A$41:$F$44,4,FALSE)+IF(7=D877,'难度参数'!$E$30,0))</x:f>
        <x:v>2138</x:v>
      </x:c>
    </x:row>
    <x:row r="878" ht="23" customHeight="1">
      <x:c r="A878" s="119" t="n">
        <x:v>872</x:v>
      </x:c>
      <x:c r="B878" s="119" t="n">
        <x:f>MOD(INT((A878-1)/5),7)+1</x:f>
        <x:v>7</x:v>
      </x:c>
      <x:c r="C878" s="62" t="str">
        <x:f>INDEX('章节与怪物'!$B$31:$B$37,B878)</x:f>
        <x:v>魔法山脊</x:v>
      </x:c>
      <x:c r="D878" s="119" t="n">
        <x:f>MIN('难度参数'!$E$8,MAX('难度参数'!$E$7,A878))</x:f>
        <x:v>7</x:v>
      </x:c>
      <x:c r="E878" s="106" t="n">
        <x:v>1</x:v>
      </x:c>
      <x:c r="F878" s="106" t="n">
        <x:v>0</x:v>
      </x:c>
      <x:c r="G878" s="106" t="n">
        <x:v>1</x:v>
      </x:c>
      <x:c r="H878" s="119" t="n">
        <x:f>SUM(X878,AB878,AF878,AJ878,AN878,AR878,AV878)</x:f>
        <x:v>352</x:v>
      </x:c>
      <x:c r="I878" s="119" t="n">
        <x:f>SUM(Z878,AD878,AH878,AL878,AP878,AT878,AX878)</x:f>
        <x:v>8166764</x:v>
      </x:c>
      <x:c r="J878" s="119" t="n">
        <x:f>ROUND(INDEX(X878:AY878,1,(D878-1)*4+2)*'难度参数'!$E$28*'章节与怪物'!$E$17,0)</x:f>
        <x:v>159684</x:v>
      </x:c>
      <x:c r="K878" s="119" t="n">
        <x:f>SUM(AA878,AE878,AI878,AM878,AQ878,AU878,AY878)</x:f>
        <x:v>9456</x:v>
      </x:c>
      <x:c r="L878" s="62" t="n">
        <x:f>H878*(ROUNDUP('难度参数'!$E$24/('难度参数'!$E$26*'难度参数'!$E$27),0)*'难度参数'!$E$26)/60</x:f>
        <x:v>4.693333333333333</x:v>
      </x:c>
      <x:c r="M878" s="62" t="n">
        <x:f>L878+D878*('难度参数'!$E$49+'难度参数'!$E$50)/60</x:f>
        <x:v>5.86</x:v>
      </x:c>
      <x:c r="N878" s="119" t="n">
        <x:f>ROUNDDOWN(('经济参数'!$E$20+A878*'经济参数'!$E$21)*G878,0)</x:f>
        <x:v>17620</x:v>
      </x:c>
      <x:c r="O878" s="119" t="n">
        <x:f>ROUNDDOWN(MIN('经济参数'!$E$24,'经济参数'!$E$22+A878*'经济参数'!$E$23)*G878,0)</x:f>
        <x:v>0</x:v>
      </x:c>
      <x:c r="P878" s="119" t="n">
        <x:f>ROUNDDOWN((IF(A878&gt;='材料与任务'!$E$31,'材料与任务'!$E$32,IF(A878&gt;='材料与任务'!$E$25,'材料与任务'!$E$26,IF(A878&gt;='材料与任务'!$E$19,'材料与任务'!$E$20,IF(A878&gt;='材料与任务'!$E$13,'材料与任务'!$E$14,'材料与任务'!$E$8)))))*G878,0)</x:f>
        <x:v>6</x:v>
      </x:c>
      <x:c r="Q878" s="119" t="n">
        <x:f>ROUNDDOWN((IF(A878&gt;='材料与任务'!$E$31,'材料与任务'!$E$33,IF(A878&gt;='材料与任务'!$E$25,'材料与任务'!$E$27,IF(A878&gt;='材料与任务'!$E$19,'材料与任务'!$E$21,IF(A878&gt;='材料与任务'!$E$13,'材料与任务'!$E$15,'材料与任务'!$E$9)))))*G878,0)</x:f>
        <x:v>3</x:v>
      </x:c>
      <x:c r="R878" s="110" t="n">
        <x:f>'装备掉落'!$B$38</x:f>
        <x:v>0.6872058758851213</x:v>
      </x:c>
      <x:c r="S878" s="119" t="n">
        <x:f>MAX(IF(VLOOKUP(A878,'装备掉落'!$A$29:$H$34,2,TRUE)&gt;0,1,0),IF(VLOOKUP(A878,'装备掉落'!$A$29:$H$34,3,TRUE)&gt;0,2,0),IF(VLOOKUP(A878,'装备掉落'!$A$29:$H$34,4,TRUE)&gt;0,3,0),IF(VLOOKUP(A878,'装备掉落'!$A$29:$H$34,5,TRUE)&gt;0,4,0),IF(VLOOKUP(A878,'装备掉落'!$A$29:$H$34,6,TRUE)&gt;0,5,0),IF(VLOOKUP(A878,'装备掉落'!$A$29:$H$34,7,TRUE)&gt;0,6,0),IF(VLOOKUP(A878,'装备掉落'!$A$29:$H$34,8,TRUE)&gt;0,7,0))</x:f>
        <x:v>7</x:v>
      </x:c>
      <x:c r="T878" s="119" t="n">
        <x:f>MIN(7,S878+'经济参数'!$E$70)</x:f>
        <x:v>7</x:v>
      </x:c>
      <x:c r="U878" s="119" t="n">
        <x:f>MIN(7,S878+'经济参数'!$E$71)</x:f>
        <x:v>7</x:v>
      </x:c>
      <x:c r="V878" s="119" t="n">
        <x:f>IF(H878&gt;=('难度参数'!$E$52),1,0)+IF(H878&gt;=('难度参数'!$E$52+'难度参数'!$E$53),1,0)+IF(H878&gt;=('难度参数'!$E$52+'难度参数'!$E$53+'难度参数'!$E$54),1,0)+IF(H878&gt;=('难度参数'!$E$52+'难度参数'!$E$53+'难度参数'!$E$54+'难度参数'!$E$55),1,0)+IF(H878&gt;=('难度参数'!$E$52+'难度参数'!$E$53+'难度参数'!$E$54+'难度参数'!$E$55+'难度参数'!$E$56),1,0)+IF(H878&gt;=('难度参数'!$E$52+'难度参数'!$E$53+'难度参数'!$E$54+'难度参数'!$E$55+'难度参数'!$E$56+'难度参数'!$E$57),1,0)</x:f>
        <x:v>6</x:v>
      </x:c>
      <x:c r="W878" s="62" t="str">
        <x:f>IF(L878&gt;'难度参数'!$E$51,"仅出怪已超目标","还需实测")</x:f>
        <x:v>仅出怪已超目标</x:v>
      </x:c>
      <x:c r="X878" s="119" t="n">
        <x:f>IF(1&gt;D878,0,MAX(2,MIN('难度参数'!$E$12,ROUND(('难度参数'!$E$18*POWER(A878,'难度参数'!$E$19)/D878*(0.85+0.3*(1-1)/MAX(1,D878-1))),0)+F878)))</x:f>
        <x:v>43</x:v>
      </x:c>
      <x:c r="Y878" s="119" t="n">
        <x:f>IF(1&gt;D878,0,ROUND(('难度参数'!$E$13*POWER(A878,'难度参数'!$E$20)*MIN('难度参数'!$E$23,1+MAX(0,A878-'难度参数'!$E$21)*'难度参数'!$E$22))*(36+1*7)/(36+7*(D878+1)/2)*E878,0))</x:f>
        <x:v>11879</x:v>
      </x:c>
      <x:c r="Z878" s="119" t="n">
        <x:f>IF(X878=0,0,(X878-IF(1=D878,1,0))*ROUND(Y878*VLOOKUP(INDEX('章节与怪物'!$E$31:$K$37,B878,1),'章节与怪物'!$A$41:$F$44,2,FALSE),0)+IF(1=D878,ROUND(Y878*'难度参数'!$E$28*'章节与怪物'!$E$17,0),0))</x:f>
        <x:v>510797</x:v>
      </x:c>
      <x:c r="AA878" s="119" t="n">
        <x:f>IF(X878=0,0,(X878-IF(1=D878,1,0))*VLOOKUP(INDEX('章节与怪物'!$E$31:$K$37,B878,1),'章节与怪物'!$A$41:$F$44,4,FALSE)+IF(1=D878,'难度参数'!$E$30,0))</x:f>
        <x:v>774</x:v>
      </x:c>
      <x:c r="AB878" s="119" t="n">
        <x:f>IF(2&gt;D878,0,MAX(2,MIN('难度参数'!$E$12,ROUND(('难度参数'!$E$18*POWER(A878,'难度参数'!$E$19)/D878*(0.85+0.3*(2-1)/MAX(1,D878-1))),0)+F878)))</x:f>
        <x:v>45</x:v>
      </x:c>
      <x:c r="AC878" s="119" t="n">
        <x:f>IF(2&gt;D878,0,ROUND(('难度参数'!$E$13*POWER(A878,'难度参数'!$E$20)*MIN('难度参数'!$E$23,1+MAX(0,A878-'难度参数'!$E$21)*'难度参数'!$E$22))*(36+2*7)/(36+7*(D878+1)/2)*E878,0))</x:f>
        <x:v>13813</x:v>
      </x:c>
      <x:c r="AD878" s="119" t="n">
        <x:f>IF(AB878=0,0,(AB878-IF(2=D878,1,0))*ROUND(AC878*VLOOKUP(INDEX('章节与怪物'!$E$31:$K$37,B878,2),'章节与怪物'!$A$41:$F$44,2,FALSE),0)+IF(2=D878,ROUND(AC878*'难度参数'!$E$28*'章节与怪物'!$E$17,0),0))</x:f>
        <x:v>447525</x:v>
      </x:c>
      <x:c r="AE878" s="119" t="n">
        <x:f>IF(AB878=0,0,(AB878-IF(2=D878,1,0))*VLOOKUP(INDEX('章节与怪物'!$E$31:$K$37,B878,2),'章节与怪物'!$A$41:$F$44,4,FALSE)+IF(2=D878,'难度参数'!$E$30,0))</x:f>
        <x:v>900</x:v>
      </x:c>
      <x:c r="AF878" s="119" t="n">
        <x:f>IF(3&gt;D878,0,MAX(2,MIN('难度参数'!$E$12,ROUND(('难度参数'!$E$18*POWER(A878,'难度参数'!$E$19)/D878*(0.85+0.3*(3-1)/MAX(1,D878-1))),0)+F878)))</x:f>
        <x:v>48</x:v>
      </x:c>
      <x:c r="AG878" s="119" t="n">
        <x:f>IF(3&gt;D878,0,ROUND(('难度参数'!$E$13*POWER(A878,'难度参数'!$E$20)*MIN('难度参数'!$E$23,1+MAX(0,A878-'难度参数'!$E$21)*'难度参数'!$E$22))*(36+3*7)/(36+7*(D878+1)/2)*E878,0))</x:f>
        <x:v>15747</x:v>
      </x:c>
      <x:c r="AH878" s="119" t="n">
        <x:f>IF(AF878=0,0,(AF878-IF(3=D878,1,0))*ROUND(AG878*VLOOKUP(INDEX('章节与怪物'!$E$31:$K$37,B878,3),'章节与怪物'!$A$41:$F$44,2,FALSE),0)+IF(3=D878,ROUND(AG878*'难度参数'!$E$28*'章节与怪物'!$E$17,0),0))</x:f>
        <x:v>1284960</x:v>
      </x:c>
      <x:c r="AI878" s="119" t="n">
        <x:f>IF(AF878=0,0,(AF878-IF(3=D878,1,0))*VLOOKUP(INDEX('章节与怪物'!$E$31:$K$37,B878,3),'章节与怪物'!$A$41:$F$44,4,FALSE)+IF(3=D878,'难度参数'!$E$30,0))</x:f>
        <x:v>1344</x:v>
      </x:c>
      <x:c r="AJ878" s="119" t="n">
        <x:f>IF(4&gt;D878,0,MAX(2,MIN('难度参数'!$E$12,ROUND(('难度参数'!$E$18*POWER(A878,'难度参数'!$E$19)/D878*(0.85+0.3*(4-1)/MAX(1,D878-1))),0)+F878)))</x:f>
        <x:v>50</x:v>
      </x:c>
      <x:c r="AK878" s="119" t="n">
        <x:f>IF(4&gt;D878,0,ROUND(('难度参数'!$E$13*POWER(A878,'难度参数'!$E$20)*MIN('难度参数'!$E$23,1+MAX(0,A878-'难度参数'!$E$21)*'难度参数'!$E$22))*(36+4*7)/(36+7*(D878+1)/2)*E878,0))</x:f>
        <x:v>17681</x:v>
      </x:c>
      <x:c r="AL878" s="119" t="n">
        <x:f>IF(AJ878=0,0,(AJ878-IF(4=D878,1,0))*ROUND(AK878*VLOOKUP(INDEX('章节与怪物'!$E$31:$K$37,B878,4),'章节与怪物'!$A$41:$F$44,2,FALSE),0)+IF(4=D878,ROUND(AK878*'难度参数'!$E$28*'章节与怪物'!$E$17,0),0))</x:f>
        <x:v>1193450</x:v>
      </x:c>
      <x:c r="AM878" s="119" t="n">
        <x:f>IF(AJ878=0,0,(AJ878-IF(4=D878,1,0))*VLOOKUP(INDEX('章节与怪物'!$E$31:$K$37,B878,4),'章节与怪物'!$A$41:$F$44,4,FALSE)+IF(4=D878,'难度参数'!$E$30,0))</x:f>
        <x:v>1700</x:v>
      </x:c>
      <x:c r="AN878" s="119" t="n">
        <x:f>IF(5&gt;D878,0,MAX(2,MIN('难度参数'!$E$12,ROUND(('难度参数'!$E$18*POWER(A878,'难度参数'!$E$19)/D878*(0.85+0.3*(5-1)/MAX(1,D878-1))),0)+F878)))</x:f>
        <x:v>53</x:v>
      </x:c>
      <x:c r="AO878" s="119" t="n">
        <x:f>IF(5&gt;D878,0,ROUND(('难度参数'!$E$13*POWER(A878,'难度参数'!$E$20)*MIN('难度参数'!$E$23,1+MAX(0,A878-'难度参数'!$E$21)*'难度参数'!$E$22))*(36+5*7)/(36+7*(D878+1)/2)*E878,0))</x:f>
        <x:v>19615</x:v>
      </x:c>
      <x:c r="AP878" s="119" t="n">
        <x:f>IF(AN878=0,0,(AN878-IF(5=D878,1,0))*ROUND(AO878*VLOOKUP(INDEX('章节与怪物'!$E$31:$K$37,B878,5),'章节与怪物'!$A$41:$F$44,2,FALSE),0)+IF(5=D878,ROUND(AO878*'难度参数'!$E$28*'章节与怪物'!$E$17,0),0))</x:f>
        <x:v>748519</x:v>
      </x:c>
      <x:c r="AQ878" s="119" t="n">
        <x:f>IF(AN878=0,0,(AN878-IF(5=D878,1,0))*VLOOKUP(INDEX('章节与怪物'!$E$31:$K$37,B878,5),'章节与怪物'!$A$41:$F$44,4,FALSE)+IF(5=D878,'难度参数'!$E$30,0))</x:f>
        <x:v>1060</x:v>
      </x:c>
      <x:c r="AR878" s="119" t="n">
        <x:f>IF(6&gt;D878,0,MAX(2,MIN('难度参数'!$E$12,ROUND(('难度参数'!$E$18*POWER(A878,'难度参数'!$E$19)/D878*(0.85+0.3*(6-1)/MAX(1,D878-1))),0)+F878)))</x:f>
        <x:v>55</x:v>
      </x:c>
      <x:c r="AS878" s="119" t="n">
        <x:f>IF(6&gt;D878,0,ROUND(('难度参数'!$E$13*POWER(A878,'难度参数'!$E$20)*MIN('难度参数'!$E$23,1+MAX(0,A878-'难度参数'!$E$21)*'难度参数'!$E$22))*(36+6*7)/(36+7*(D878+1)/2)*E878,0))</x:f>
        <x:v>21549</x:v>
      </x:c>
      <x:c r="AT878" s="119" t="n">
        <x:f>IF(AR878=0,0,(AR878-IF(6=D878,1,0))*ROUND(AS878*VLOOKUP(INDEX('章节与怪物'!$E$31:$K$37,B878,6),'章节与怪物'!$A$41:$F$44,2,FALSE),0)+IF(6=D878,ROUND(AS878*'难度参数'!$E$28*'章节与怪物'!$E$17,0),0))</x:f>
        <x:v>2014815</x:v>
      </x:c>
      <x:c r="AU878" s="119" t="n">
        <x:f>IF(AR878=0,0,(AR878-IF(6=D878,1,0))*VLOOKUP(INDEX('章节与怪物'!$E$31:$K$37,B878,6),'章节与怪物'!$A$41:$F$44,4,FALSE)+IF(6=D878,'难度参数'!$E$30,0))</x:f>
        <x:v>1540</x:v>
      </x:c>
      <x:c r="AV878" s="119" t="n">
        <x:f>IF(7&gt;D878,0,MAX(2,MIN('难度参数'!$E$12,ROUND(('难度参数'!$E$18*POWER(A878,'难度参数'!$E$19)/D878*(0.85+0.3*(7-1)/MAX(1,D878-1))),0)+F878)))</x:f>
        <x:v>58</x:v>
      </x:c>
      <x:c r="AW878" s="119" t="n">
        <x:f>IF(7&gt;D878,0,ROUND(('难度参数'!$E$13*POWER(A878,'难度参数'!$E$20)*MIN('难度参数'!$E$23,1+MAX(0,A878-'难度参数'!$E$21)*'难度参数'!$E$22))*(36+7*7)/(36+7*(D878+1)/2)*E878,0))</x:f>
        <x:v>23483</x:v>
      </x:c>
      <x:c r="AX878" s="119" t="n">
        <x:f>IF(AV878=0,0,(AV878-IF(7=D878,1,0))*ROUND(AW878*VLOOKUP(INDEX('章节与怪物'!$E$31:$K$37,B878,7),'章节与怪物'!$A$41:$F$44,2,FALSE),0)+IF(7=D878,ROUND(AW878*'难度参数'!$E$28*'章节与怪物'!$E$17,0),0))</x:f>
        <x:v>1966698</x:v>
      </x:c>
      <x:c r="AY878" s="119" t="n">
        <x:f>IF(AV878=0,0,(AV878-IF(7=D878,1,0))*VLOOKUP(INDEX('章节与怪物'!$E$31:$K$37,B878,7),'章节与怪物'!$A$41:$F$44,4,FALSE)+IF(7=D878,'难度参数'!$E$30,0))</x:f>
        <x:v>2138</x:v>
      </x:c>
    </x:row>
    <x:row r="879" ht="23" customHeight="1">
      <x:c r="A879" s="119" t="n">
        <x:v>873</x:v>
      </x:c>
      <x:c r="B879" s="119" t="n">
        <x:f>MOD(INT((A879-1)/5),7)+1</x:f>
        <x:v>7</x:v>
      </x:c>
      <x:c r="C879" s="62" t="str">
        <x:f>INDEX('章节与怪物'!$B$31:$B$37,B879)</x:f>
        <x:v>魔法山脊</x:v>
      </x:c>
      <x:c r="D879" s="119" t="n">
        <x:f>MIN('难度参数'!$E$8,MAX('难度参数'!$E$7,A879))</x:f>
        <x:v>7</x:v>
      </x:c>
      <x:c r="E879" s="106" t="n">
        <x:v>1</x:v>
      </x:c>
      <x:c r="F879" s="106" t="n">
        <x:v>0</x:v>
      </x:c>
      <x:c r="G879" s="106" t="n">
        <x:v>1</x:v>
      </x:c>
      <x:c r="H879" s="119" t="n">
        <x:f>SUM(X879,AB879,AF879,AJ879,AN879,AR879,AV879)</x:f>
        <x:v>352</x:v>
      </x:c>
      <x:c r="I879" s="119" t="n">
        <x:f>SUM(Z879,AD879,AH879,AL879,AP879,AT879,AX879)</x:f>
        <x:v>8173495</x:v>
      </x:c>
      <x:c r="J879" s="119" t="n">
        <x:f>ROUND(INDEX(X879:AY879,1,(D879-1)*4+2)*'难度参数'!$E$28*'章节与怪物'!$E$17,0)</x:f>
        <x:v>159814</x:v>
      </x:c>
      <x:c r="K879" s="119" t="n">
        <x:f>SUM(AA879,AE879,AI879,AM879,AQ879,AU879,AY879)</x:f>
        <x:v>9456</x:v>
      </x:c>
      <x:c r="L879" s="62" t="n">
        <x:f>H879*(ROUNDUP('难度参数'!$E$24/('难度参数'!$E$26*'难度参数'!$E$27),0)*'难度参数'!$E$26)/60</x:f>
        <x:v>4.693333333333333</x:v>
      </x:c>
      <x:c r="M879" s="62" t="n">
        <x:f>L879+D879*('难度参数'!$E$49+'难度参数'!$E$50)/60</x:f>
        <x:v>5.86</x:v>
      </x:c>
      <x:c r="N879" s="119" t="n">
        <x:f>ROUNDDOWN(('经济参数'!$E$20+A879*'经济参数'!$E$21)*G879,0)</x:f>
        <x:v>17640</x:v>
      </x:c>
      <x:c r="O879" s="119" t="n">
        <x:f>ROUNDDOWN(MIN('经济参数'!$E$24,'经济参数'!$E$22+A879*'经济参数'!$E$23)*G879,0)</x:f>
        <x:v>0</x:v>
      </x:c>
      <x:c r="P879" s="119" t="n">
        <x:f>ROUNDDOWN((IF(A879&gt;='材料与任务'!$E$31,'材料与任务'!$E$32,IF(A879&gt;='材料与任务'!$E$25,'材料与任务'!$E$26,IF(A879&gt;='材料与任务'!$E$19,'材料与任务'!$E$20,IF(A879&gt;='材料与任务'!$E$13,'材料与任务'!$E$14,'材料与任务'!$E$8)))))*G879,0)</x:f>
        <x:v>6</x:v>
      </x:c>
      <x:c r="Q879" s="119" t="n">
        <x:f>ROUNDDOWN((IF(A879&gt;='材料与任务'!$E$31,'材料与任务'!$E$33,IF(A879&gt;='材料与任务'!$E$25,'材料与任务'!$E$27,IF(A879&gt;='材料与任务'!$E$19,'材料与任务'!$E$21,IF(A879&gt;='材料与任务'!$E$13,'材料与任务'!$E$15,'材料与任务'!$E$9)))))*G879,0)</x:f>
        <x:v>3</x:v>
      </x:c>
      <x:c r="R879" s="110" t="n">
        <x:f>'装备掉落'!$B$38</x:f>
        <x:v>0.6872058758851213</x:v>
      </x:c>
      <x:c r="S879" s="119" t="n">
        <x:f>MAX(IF(VLOOKUP(A879,'装备掉落'!$A$29:$H$34,2,TRUE)&gt;0,1,0),IF(VLOOKUP(A879,'装备掉落'!$A$29:$H$34,3,TRUE)&gt;0,2,0),IF(VLOOKUP(A879,'装备掉落'!$A$29:$H$34,4,TRUE)&gt;0,3,0),IF(VLOOKUP(A879,'装备掉落'!$A$29:$H$34,5,TRUE)&gt;0,4,0),IF(VLOOKUP(A879,'装备掉落'!$A$29:$H$34,6,TRUE)&gt;0,5,0),IF(VLOOKUP(A879,'装备掉落'!$A$29:$H$34,7,TRUE)&gt;0,6,0),IF(VLOOKUP(A879,'装备掉落'!$A$29:$H$34,8,TRUE)&gt;0,7,0))</x:f>
        <x:v>7</x:v>
      </x:c>
      <x:c r="T879" s="119" t="n">
        <x:f>MIN(7,S879+'经济参数'!$E$70)</x:f>
        <x:v>7</x:v>
      </x:c>
      <x:c r="U879" s="119" t="n">
        <x:f>MIN(7,S879+'经济参数'!$E$71)</x:f>
        <x:v>7</x:v>
      </x:c>
      <x:c r="V879" s="119" t="n">
        <x:f>IF(H879&gt;=('难度参数'!$E$52),1,0)+IF(H879&gt;=('难度参数'!$E$52+'难度参数'!$E$53),1,0)+IF(H879&gt;=('难度参数'!$E$52+'难度参数'!$E$53+'难度参数'!$E$54),1,0)+IF(H879&gt;=('难度参数'!$E$52+'难度参数'!$E$53+'难度参数'!$E$54+'难度参数'!$E$55),1,0)+IF(H879&gt;=('难度参数'!$E$52+'难度参数'!$E$53+'难度参数'!$E$54+'难度参数'!$E$55+'难度参数'!$E$56),1,0)+IF(H879&gt;=('难度参数'!$E$52+'难度参数'!$E$53+'难度参数'!$E$54+'难度参数'!$E$55+'难度参数'!$E$56+'难度参数'!$E$57),1,0)</x:f>
        <x:v>6</x:v>
      </x:c>
      <x:c r="W879" s="62" t="str">
        <x:f>IF(L879&gt;'难度参数'!$E$51,"仅出怪已超目标","还需实测")</x:f>
        <x:v>仅出怪已超目标</x:v>
      </x:c>
      <x:c r="X879" s="119" t="n">
        <x:f>IF(1&gt;D879,0,MAX(2,MIN('难度参数'!$E$12,ROUND(('难度参数'!$E$18*POWER(A879,'难度参数'!$E$19)/D879*(0.85+0.3*(1-1)/MAX(1,D879-1))),0)+F879)))</x:f>
        <x:v>43</x:v>
      </x:c>
      <x:c r="Y879" s="119" t="n">
        <x:f>IF(1&gt;D879,0,ROUND(('难度参数'!$E$13*POWER(A879,'难度参数'!$E$20)*MIN('难度参数'!$E$23,1+MAX(0,A879-'难度参数'!$E$21)*'难度参数'!$E$22))*(36+1*7)/(36+7*(D879+1)/2)*E879,0))</x:f>
        <x:v>11889</x:v>
      </x:c>
      <x:c r="Z879" s="119" t="n">
        <x:f>IF(X879=0,0,(X879-IF(1=D879,1,0))*ROUND(Y879*VLOOKUP(INDEX('章节与怪物'!$E$31:$K$37,B879,1),'章节与怪物'!$A$41:$F$44,2,FALSE),0)+IF(1=D879,ROUND(Y879*'难度参数'!$E$28*'章节与怪物'!$E$17,0),0))</x:f>
        <x:v>511227</x:v>
      </x:c>
      <x:c r="AA879" s="119" t="n">
        <x:f>IF(X879=0,0,(X879-IF(1=D879,1,0))*VLOOKUP(INDEX('章节与怪物'!$E$31:$K$37,B879,1),'章节与怪物'!$A$41:$F$44,4,FALSE)+IF(1=D879,'难度参数'!$E$30,0))</x:f>
        <x:v>774</x:v>
      </x:c>
      <x:c r="AB879" s="119" t="n">
        <x:f>IF(2&gt;D879,0,MAX(2,MIN('难度参数'!$E$12,ROUND(('难度参数'!$E$18*POWER(A879,'难度参数'!$E$19)/D879*(0.85+0.3*(2-1)/MAX(1,D879-1))),0)+F879)))</x:f>
        <x:v>45</x:v>
      </x:c>
      <x:c r="AC879" s="119" t="n">
        <x:f>IF(2&gt;D879,0,ROUND(('难度参数'!$E$13*POWER(A879,'难度参数'!$E$20)*MIN('难度参数'!$E$23,1+MAX(0,A879-'难度参数'!$E$21)*'难度参数'!$E$22))*(36+2*7)/(36+7*(D879+1)/2)*E879,0))</x:f>
        <x:v>13825</x:v>
      </x:c>
      <x:c r="AD879" s="119" t="n">
        <x:f>IF(AB879=0,0,(AB879-IF(2=D879,1,0))*ROUND(AC879*VLOOKUP(INDEX('章节与怪物'!$E$31:$K$37,B879,2),'章节与怪物'!$A$41:$F$44,2,FALSE),0)+IF(2=D879,ROUND(AC879*'难度参数'!$E$28*'章节与怪物'!$E$17,0),0))</x:f>
        <x:v>447930</x:v>
      </x:c>
      <x:c r="AE879" s="119" t="n">
        <x:f>IF(AB879=0,0,(AB879-IF(2=D879,1,0))*VLOOKUP(INDEX('章节与怪物'!$E$31:$K$37,B879,2),'章节与怪物'!$A$41:$F$44,4,FALSE)+IF(2=D879,'难度参数'!$E$30,0))</x:f>
        <x:v>900</x:v>
      </x:c>
      <x:c r="AF879" s="119" t="n">
        <x:f>IF(3&gt;D879,0,MAX(2,MIN('难度参数'!$E$12,ROUND(('难度参数'!$E$18*POWER(A879,'难度参数'!$E$19)/D879*(0.85+0.3*(3-1)/MAX(1,D879-1))),0)+F879)))</x:f>
        <x:v>48</x:v>
      </x:c>
      <x:c r="AG879" s="119" t="n">
        <x:f>IF(3&gt;D879,0,ROUND(('难度参数'!$E$13*POWER(A879,'难度参数'!$E$20)*MIN('难度参数'!$E$23,1+MAX(0,A879-'难度参数'!$E$21)*'难度参数'!$E$22))*(36+3*7)/(36+7*(D879+1)/2)*E879,0))</x:f>
        <x:v>15760</x:v>
      </x:c>
      <x:c r="AH879" s="119" t="n">
        <x:f>IF(AF879=0,0,(AF879-IF(3=D879,1,0))*ROUND(AG879*VLOOKUP(INDEX('章节与怪物'!$E$31:$K$37,B879,3),'章节与怪物'!$A$41:$F$44,2,FALSE),0)+IF(3=D879,ROUND(AG879*'难度参数'!$E$28*'章节与怪物'!$E$17,0),0))</x:f>
        <x:v>1286016</x:v>
      </x:c>
      <x:c r="AI879" s="119" t="n">
        <x:f>IF(AF879=0,0,(AF879-IF(3=D879,1,0))*VLOOKUP(INDEX('章节与怪物'!$E$31:$K$37,B879,3),'章节与怪物'!$A$41:$F$44,4,FALSE)+IF(3=D879,'难度参数'!$E$30,0))</x:f>
        <x:v>1344</x:v>
      </x:c>
      <x:c r="AJ879" s="119" t="n">
        <x:f>IF(4&gt;D879,0,MAX(2,MIN('难度参数'!$E$12,ROUND(('难度参数'!$E$18*POWER(A879,'难度参数'!$E$19)/D879*(0.85+0.3*(4-1)/MAX(1,D879-1))),0)+F879)))</x:f>
        <x:v>50</x:v>
      </x:c>
      <x:c r="AK879" s="119" t="n">
        <x:f>IF(4&gt;D879,0,ROUND(('难度参数'!$E$13*POWER(A879,'难度参数'!$E$20)*MIN('难度参数'!$E$23,1+MAX(0,A879-'难度参数'!$E$21)*'难度参数'!$E$22))*(36+4*7)/(36+7*(D879+1)/2)*E879,0))</x:f>
        <x:v>17696</x:v>
      </x:c>
      <x:c r="AL879" s="119" t="n">
        <x:f>IF(AJ879=0,0,(AJ879-IF(4=D879,1,0))*ROUND(AK879*VLOOKUP(INDEX('章节与怪物'!$E$31:$K$37,B879,4),'章节与怪物'!$A$41:$F$44,2,FALSE),0)+IF(4=D879,ROUND(AK879*'难度参数'!$E$28*'章节与怪物'!$E$17,0),0))</x:f>
        <x:v>1194500</x:v>
      </x:c>
      <x:c r="AM879" s="119" t="n">
        <x:f>IF(AJ879=0,0,(AJ879-IF(4=D879,1,0))*VLOOKUP(INDEX('章节与怪物'!$E$31:$K$37,B879,4),'章节与怪物'!$A$41:$F$44,4,FALSE)+IF(4=D879,'难度参数'!$E$30,0))</x:f>
        <x:v>1700</x:v>
      </x:c>
      <x:c r="AN879" s="119" t="n">
        <x:f>IF(5&gt;D879,0,MAX(2,MIN('难度参数'!$E$12,ROUND(('难度参数'!$E$18*POWER(A879,'难度参数'!$E$19)/D879*(0.85+0.3*(5-1)/MAX(1,D879-1))),0)+F879)))</x:f>
        <x:v>53</x:v>
      </x:c>
      <x:c r="AO879" s="119" t="n">
        <x:f>IF(5&gt;D879,0,ROUND(('难度参数'!$E$13*POWER(A879,'难度参数'!$E$20)*MIN('难度参数'!$E$23,1+MAX(0,A879-'难度参数'!$E$21)*'难度参数'!$E$22))*(36+5*7)/(36+7*(D879+1)/2)*E879,0))</x:f>
        <x:v>19631</x:v>
      </x:c>
      <x:c r="AP879" s="119" t="n">
        <x:f>IF(AN879=0,0,(AN879-IF(5=D879,1,0))*ROUND(AO879*VLOOKUP(INDEX('章节与怪物'!$E$31:$K$37,B879,5),'章节与怪物'!$A$41:$F$44,2,FALSE),0)+IF(5=D879,ROUND(AO879*'难度参数'!$E$28*'章节与怪物'!$E$17,0),0))</x:f>
        <x:v>749102</x:v>
      </x:c>
      <x:c r="AQ879" s="119" t="n">
        <x:f>IF(AN879=0,0,(AN879-IF(5=D879,1,0))*VLOOKUP(INDEX('章节与怪物'!$E$31:$K$37,B879,5),'章节与怪物'!$A$41:$F$44,4,FALSE)+IF(5=D879,'难度参数'!$E$30,0))</x:f>
        <x:v>1060</x:v>
      </x:c>
      <x:c r="AR879" s="119" t="n">
        <x:f>IF(6&gt;D879,0,MAX(2,MIN('难度参数'!$E$12,ROUND(('难度参数'!$E$18*POWER(A879,'难度参数'!$E$19)/D879*(0.85+0.3*(6-1)/MAX(1,D879-1))),0)+F879)))</x:f>
        <x:v>55</x:v>
      </x:c>
      <x:c r="AS879" s="119" t="n">
        <x:f>IF(6&gt;D879,0,ROUND(('难度参数'!$E$13*POWER(A879,'难度参数'!$E$20)*MIN('难度参数'!$E$23,1+MAX(0,A879-'难度参数'!$E$21)*'难度参数'!$E$22))*(36+6*7)/(36+7*(D879+1)/2)*E879,0))</x:f>
        <x:v>21566</x:v>
      </x:c>
      <x:c r="AT879" s="119" t="n">
        <x:f>IF(AR879=0,0,(AR879-IF(6=D879,1,0))*ROUND(AS879*VLOOKUP(INDEX('章节与怪物'!$E$31:$K$37,B879,6),'章节与怪物'!$A$41:$F$44,2,FALSE),0)+IF(6=D879,ROUND(AS879*'难度参数'!$E$28*'章节与怪物'!$E$17,0),0))</x:f>
        <x:v>2016410</x:v>
      </x:c>
      <x:c r="AU879" s="119" t="n">
        <x:f>IF(AR879=0,0,(AR879-IF(6=D879,1,0))*VLOOKUP(INDEX('章节与怪物'!$E$31:$K$37,B879,6),'章节与怪物'!$A$41:$F$44,4,FALSE)+IF(6=D879,'难度参数'!$E$30,0))</x:f>
        <x:v>1540</x:v>
      </x:c>
      <x:c r="AV879" s="119" t="n">
        <x:f>IF(7&gt;D879,0,MAX(2,MIN('难度参数'!$E$12,ROUND(('难度参数'!$E$18*POWER(A879,'难度参数'!$E$19)/D879*(0.85+0.3*(7-1)/MAX(1,D879-1))),0)+F879)))</x:f>
        <x:v>58</x:v>
      </x:c>
      <x:c r="AW879" s="119" t="n">
        <x:f>IF(7&gt;D879,0,ROUND(('难度参数'!$E$13*POWER(A879,'难度参数'!$E$20)*MIN('难度参数'!$E$23,1+MAX(0,A879-'难度参数'!$E$21)*'难度参数'!$E$22))*(36+7*7)/(36+7*(D879+1)/2)*E879,0))</x:f>
        <x:v>23502</x:v>
      </x:c>
      <x:c r="AX879" s="119" t="n">
        <x:f>IF(AV879=0,0,(AV879-IF(7=D879,1,0))*ROUND(AW879*VLOOKUP(INDEX('章节与怪物'!$E$31:$K$37,B879,7),'章节与怪物'!$A$41:$F$44,2,FALSE),0)+IF(7=D879,ROUND(AW879*'难度参数'!$E$28*'章节与怪物'!$E$17,0),0))</x:f>
        <x:v>1968310</x:v>
      </x:c>
      <x:c r="AY879" s="119" t="n">
        <x:f>IF(AV879=0,0,(AV879-IF(7=D879,1,0))*VLOOKUP(INDEX('章节与怪物'!$E$31:$K$37,B879,7),'章节与怪物'!$A$41:$F$44,4,FALSE)+IF(7=D879,'难度参数'!$E$30,0))</x:f>
        <x:v>2138</x:v>
      </x:c>
    </x:row>
    <x:row r="880" ht="23" customHeight="1">
      <x:c r="A880" s="119" t="n">
        <x:v>874</x:v>
      </x:c>
      <x:c r="B880" s="119" t="n">
        <x:f>MOD(INT((A880-1)/5),7)+1</x:f>
        <x:v>7</x:v>
      </x:c>
      <x:c r="C880" s="62" t="str">
        <x:f>INDEX('章节与怪物'!$B$31:$B$37,B880)</x:f>
        <x:v>魔法山脊</x:v>
      </x:c>
      <x:c r="D880" s="119" t="n">
        <x:f>MIN('难度参数'!$E$8,MAX('难度参数'!$E$7,A880))</x:f>
        <x:v>7</x:v>
      </x:c>
      <x:c r="E880" s="106" t="n">
        <x:v>1</x:v>
      </x:c>
      <x:c r="F880" s="106" t="n">
        <x:v>0</x:v>
      </x:c>
      <x:c r="G880" s="106" t="n">
        <x:v>1</x:v>
      </x:c>
      <x:c r="H880" s="119" t="n">
        <x:f>SUM(X880,AB880,AF880,AJ880,AN880,AR880,AV880)</x:f>
        <x:v>353</x:v>
      </x:c>
      <x:c r="I880" s="119" t="n">
        <x:f>SUM(Z880,AD880,AH880,AL880,AP880,AT880,AX880)</x:f>
        <x:v>8216879</x:v>
      </x:c>
      <x:c r="J880" s="119" t="n">
        <x:f>ROUND(INDEX(X880:AY880,1,(D880-1)*4+2)*'难度参数'!$E$28*'章节与怪物'!$E$17,0)</x:f>
        <x:v>159943</x:v>
      </x:c>
      <x:c r="K880" s="119" t="n">
        <x:f>SUM(AA880,AE880,AI880,AM880,AQ880,AU880,AY880)</x:f>
        <x:v>9484</x:v>
      </x:c>
      <x:c r="L880" s="62" t="n">
        <x:f>H880*(ROUNDUP('难度参数'!$E$24/('难度参数'!$E$26*'难度参数'!$E$27),0)*'难度参数'!$E$26)/60</x:f>
        <x:v>4.706666666666667</x:v>
      </x:c>
      <x:c r="M880" s="62" t="n">
        <x:f>L880+D880*('难度参数'!$E$49+'难度参数'!$E$50)/60</x:f>
        <x:v>5.873333333333334</x:v>
      </x:c>
      <x:c r="N880" s="119" t="n">
        <x:f>ROUNDDOWN(('经济参数'!$E$20+A880*'经济参数'!$E$21)*G880,0)</x:f>
        <x:v>17660</x:v>
      </x:c>
      <x:c r="O880" s="119" t="n">
        <x:f>ROUNDDOWN(MIN('经济参数'!$E$24,'经济参数'!$E$22+A880*'经济参数'!$E$23)*G880,0)</x:f>
        <x:v>0</x:v>
      </x:c>
      <x:c r="P880" s="119" t="n">
        <x:f>ROUNDDOWN((IF(A880&gt;='材料与任务'!$E$31,'材料与任务'!$E$32,IF(A880&gt;='材料与任务'!$E$25,'材料与任务'!$E$26,IF(A880&gt;='材料与任务'!$E$19,'材料与任务'!$E$20,IF(A880&gt;='材料与任务'!$E$13,'材料与任务'!$E$14,'材料与任务'!$E$8)))))*G880,0)</x:f>
        <x:v>6</x:v>
      </x:c>
      <x:c r="Q880" s="119" t="n">
        <x:f>ROUNDDOWN((IF(A880&gt;='材料与任务'!$E$31,'材料与任务'!$E$33,IF(A880&gt;='材料与任务'!$E$25,'材料与任务'!$E$27,IF(A880&gt;='材料与任务'!$E$19,'材料与任务'!$E$21,IF(A880&gt;='材料与任务'!$E$13,'材料与任务'!$E$15,'材料与任务'!$E$9)))))*G880,0)</x:f>
        <x:v>3</x:v>
      </x:c>
      <x:c r="R880" s="110" t="n">
        <x:f>'装备掉落'!$B$38</x:f>
        <x:v>0.6872058758851213</x:v>
      </x:c>
      <x:c r="S880" s="119" t="n">
        <x:f>MAX(IF(VLOOKUP(A880,'装备掉落'!$A$29:$H$34,2,TRUE)&gt;0,1,0),IF(VLOOKUP(A880,'装备掉落'!$A$29:$H$34,3,TRUE)&gt;0,2,0),IF(VLOOKUP(A880,'装备掉落'!$A$29:$H$34,4,TRUE)&gt;0,3,0),IF(VLOOKUP(A880,'装备掉落'!$A$29:$H$34,5,TRUE)&gt;0,4,0),IF(VLOOKUP(A880,'装备掉落'!$A$29:$H$34,6,TRUE)&gt;0,5,0),IF(VLOOKUP(A880,'装备掉落'!$A$29:$H$34,7,TRUE)&gt;0,6,0),IF(VLOOKUP(A880,'装备掉落'!$A$29:$H$34,8,TRUE)&gt;0,7,0))</x:f>
        <x:v>7</x:v>
      </x:c>
      <x:c r="T880" s="119" t="n">
        <x:f>MIN(7,S880+'经济参数'!$E$70)</x:f>
        <x:v>7</x:v>
      </x:c>
      <x:c r="U880" s="119" t="n">
        <x:f>MIN(7,S880+'经济参数'!$E$71)</x:f>
        <x:v>7</x:v>
      </x:c>
      <x:c r="V880" s="119" t="n">
        <x:f>IF(H880&gt;=('难度参数'!$E$52),1,0)+IF(H880&gt;=('难度参数'!$E$52+'难度参数'!$E$53),1,0)+IF(H880&gt;=('难度参数'!$E$52+'难度参数'!$E$53+'难度参数'!$E$54),1,0)+IF(H880&gt;=('难度参数'!$E$52+'难度参数'!$E$53+'难度参数'!$E$54+'难度参数'!$E$55),1,0)+IF(H880&gt;=('难度参数'!$E$52+'难度参数'!$E$53+'难度参数'!$E$54+'难度参数'!$E$55+'难度参数'!$E$56),1,0)+IF(H880&gt;=('难度参数'!$E$52+'难度参数'!$E$53+'难度参数'!$E$54+'难度参数'!$E$55+'难度参数'!$E$56+'难度参数'!$E$57),1,0)</x:f>
        <x:v>6</x:v>
      </x:c>
      <x:c r="W880" s="62" t="str">
        <x:f>IF(L880&gt;'难度参数'!$E$51,"仅出怪已超目标","还需实测")</x:f>
        <x:v>仅出怪已超目标</x:v>
      </x:c>
      <x:c r="X880" s="119" t="n">
        <x:f>IF(1&gt;D880,0,MAX(2,MIN('难度参数'!$E$12,ROUND(('难度参数'!$E$18*POWER(A880,'难度参数'!$E$19)/D880*(0.85+0.3*(1-1)/MAX(1,D880-1))),0)+F880)))</x:f>
        <x:v>43</x:v>
      </x:c>
      <x:c r="Y880" s="119" t="n">
        <x:f>IF(1&gt;D880,0,ROUND(('难度参数'!$E$13*POWER(A880,'难度参数'!$E$20)*MIN('难度参数'!$E$23,1+MAX(0,A880-'难度参数'!$E$21)*'难度参数'!$E$22))*(36+1*7)/(36+7*(D880+1)/2)*E880,0))</x:f>
        <x:v>11899</x:v>
      </x:c>
      <x:c r="Z880" s="119" t="n">
        <x:f>IF(X880=0,0,(X880-IF(1=D880,1,0))*ROUND(Y880*VLOOKUP(INDEX('章节与怪物'!$E$31:$K$37,B880,1),'章节与怪物'!$A$41:$F$44,2,FALSE),0)+IF(1=D880,ROUND(Y880*'难度参数'!$E$28*'章节与怪物'!$E$17,0),0))</x:f>
        <x:v>511657</x:v>
      </x:c>
      <x:c r="AA880" s="119" t="n">
        <x:f>IF(X880=0,0,(X880-IF(1=D880,1,0))*VLOOKUP(INDEX('章节与怪物'!$E$31:$K$37,B880,1),'章节与怪物'!$A$41:$F$44,4,FALSE)+IF(1=D880,'难度参数'!$E$30,0))</x:f>
        <x:v>774</x:v>
      </x:c>
      <x:c r="AB880" s="119" t="n">
        <x:f>IF(2&gt;D880,0,MAX(2,MIN('难度参数'!$E$12,ROUND(('难度参数'!$E$18*POWER(A880,'难度参数'!$E$19)/D880*(0.85+0.3*(2-1)/MAX(1,D880-1))),0)+F880)))</x:f>
        <x:v>45</x:v>
      </x:c>
      <x:c r="AC880" s="119" t="n">
        <x:f>IF(2&gt;D880,0,ROUND(('难度参数'!$E$13*POWER(A880,'难度参数'!$E$20)*MIN('难度参数'!$E$23,1+MAX(0,A880-'难度参数'!$E$21)*'难度参数'!$E$22))*(36+2*7)/(36+7*(D880+1)/2)*E880,0))</x:f>
        <x:v>13836</x:v>
      </x:c>
      <x:c r="AD880" s="119" t="n">
        <x:f>IF(AB880=0,0,(AB880-IF(2=D880,1,0))*ROUND(AC880*VLOOKUP(INDEX('章节与怪物'!$E$31:$K$37,B880,2),'章节与怪物'!$A$41:$F$44,2,FALSE),0)+IF(2=D880,ROUND(AC880*'难度参数'!$E$28*'章节与怪物'!$E$17,0),0))</x:f>
        <x:v>448290</x:v>
      </x:c>
      <x:c r="AE880" s="119" t="n">
        <x:f>IF(AB880=0,0,(AB880-IF(2=D880,1,0))*VLOOKUP(INDEX('章节与怪物'!$E$31:$K$37,B880,2),'章节与怪物'!$A$41:$F$44,4,FALSE)+IF(2=D880,'难度参数'!$E$30,0))</x:f>
        <x:v>900</x:v>
      </x:c>
      <x:c r="AF880" s="119" t="n">
        <x:f>IF(3&gt;D880,0,MAX(2,MIN('难度参数'!$E$12,ROUND(('难度参数'!$E$18*POWER(A880,'难度参数'!$E$19)/D880*(0.85+0.3*(3-1)/MAX(1,D880-1))),0)+F880)))</x:f>
        <x:v>48</x:v>
      </x:c>
      <x:c r="AG880" s="119" t="n">
        <x:f>IF(3&gt;D880,0,ROUND(('难度参数'!$E$13*POWER(A880,'难度参数'!$E$20)*MIN('难度参数'!$E$23,1+MAX(0,A880-'难度参数'!$E$21)*'难度参数'!$E$22))*(36+3*7)/(36+7*(D880+1)/2)*E880,0))</x:f>
        <x:v>15773</x:v>
      </x:c>
      <x:c r="AH880" s="119" t="n">
        <x:f>IF(AF880=0,0,(AF880-IF(3=D880,1,0))*ROUND(AG880*VLOOKUP(INDEX('章节与怪物'!$E$31:$K$37,B880,3),'章节与怪物'!$A$41:$F$44,2,FALSE),0)+IF(3=D880,ROUND(AG880*'难度参数'!$E$28*'章节与怪物'!$E$17,0),0))</x:f>
        <x:v>1287072</x:v>
      </x:c>
      <x:c r="AI880" s="119" t="n">
        <x:f>IF(AF880=0,0,(AF880-IF(3=D880,1,0))*VLOOKUP(INDEX('章节与怪物'!$E$31:$K$37,B880,3),'章节与怪物'!$A$41:$F$44,4,FALSE)+IF(3=D880,'难度参数'!$E$30,0))</x:f>
        <x:v>1344</x:v>
      </x:c>
      <x:c r="AJ880" s="119" t="n">
        <x:f>IF(4&gt;D880,0,MAX(2,MIN('难度参数'!$E$12,ROUND(('难度参数'!$E$18*POWER(A880,'难度参数'!$E$19)/D880*(0.85+0.3*(4-1)/MAX(1,D880-1))),0)+F880)))</x:f>
        <x:v>50</x:v>
      </x:c>
      <x:c r="AK880" s="119" t="n">
        <x:f>IF(4&gt;D880,0,ROUND(('难度参数'!$E$13*POWER(A880,'难度参数'!$E$20)*MIN('难度参数'!$E$23,1+MAX(0,A880-'难度参数'!$E$21)*'难度参数'!$E$22))*(36+4*7)/(36+7*(D880+1)/2)*E880,0))</x:f>
        <x:v>17710</x:v>
      </x:c>
      <x:c r="AL880" s="119" t="n">
        <x:f>IF(AJ880=0,0,(AJ880-IF(4=D880,1,0))*ROUND(AK880*VLOOKUP(INDEX('章节与怪物'!$E$31:$K$37,B880,4),'章节与怪物'!$A$41:$F$44,2,FALSE),0)+IF(4=D880,ROUND(AK880*'难度参数'!$E$28*'章节与怪物'!$E$17,0),0))</x:f>
        <x:v>1195450</x:v>
      </x:c>
      <x:c r="AM880" s="119" t="n">
        <x:f>IF(AJ880=0,0,(AJ880-IF(4=D880,1,0))*VLOOKUP(INDEX('章节与怪物'!$E$31:$K$37,B880,4),'章节与怪物'!$A$41:$F$44,4,FALSE)+IF(4=D880,'难度参数'!$E$30,0))</x:f>
        <x:v>1700</x:v>
      </x:c>
      <x:c r="AN880" s="119" t="n">
        <x:f>IF(5&gt;D880,0,MAX(2,MIN('难度参数'!$E$12,ROUND(('难度参数'!$E$18*POWER(A880,'难度参数'!$E$19)/D880*(0.85+0.3*(5-1)/MAX(1,D880-1))),0)+F880)))</x:f>
        <x:v>53</x:v>
      </x:c>
      <x:c r="AO880" s="119" t="n">
        <x:f>IF(5&gt;D880,0,ROUND(('难度参数'!$E$13*POWER(A880,'难度参数'!$E$20)*MIN('难度参数'!$E$23,1+MAX(0,A880-'难度参数'!$E$21)*'难度参数'!$E$22))*(36+5*7)/(36+7*(D880+1)/2)*E880,0))</x:f>
        <x:v>19647</x:v>
      </x:c>
      <x:c r="AP880" s="119" t="n">
        <x:f>IF(AN880=0,0,(AN880-IF(5=D880,1,0))*ROUND(AO880*VLOOKUP(INDEX('章节与怪物'!$E$31:$K$37,B880,5),'章节与怪物'!$A$41:$F$44,2,FALSE),0)+IF(5=D880,ROUND(AO880*'难度参数'!$E$28*'章节与怪物'!$E$17,0),0))</x:f>
        <x:v>749738</x:v>
      </x:c>
      <x:c r="AQ880" s="119" t="n">
        <x:f>IF(AN880=0,0,(AN880-IF(5=D880,1,0))*VLOOKUP(INDEX('章节与怪物'!$E$31:$K$37,B880,5),'章节与怪物'!$A$41:$F$44,4,FALSE)+IF(5=D880,'难度参数'!$E$30,0))</x:f>
        <x:v>1060</x:v>
      </x:c>
      <x:c r="AR880" s="119" t="n">
        <x:f>IF(6&gt;D880,0,MAX(2,MIN('难度参数'!$E$12,ROUND(('难度参数'!$E$18*POWER(A880,'难度参数'!$E$19)/D880*(0.85+0.3*(6-1)/MAX(1,D880-1))),0)+F880)))</x:f>
        <x:v>56</x:v>
      </x:c>
      <x:c r="AS880" s="119" t="n">
        <x:f>IF(6&gt;D880,0,ROUND(('难度参数'!$E$13*POWER(A880,'难度参数'!$E$20)*MIN('难度参数'!$E$23,1+MAX(0,A880-'难度参数'!$E$21)*'难度参数'!$E$22))*(36+6*7)/(36+7*(D880+1)/2)*E880,0))</x:f>
        <x:v>21584</x:v>
      </x:c>
      <x:c r="AT880" s="119" t="n">
        <x:f>IF(AR880=0,0,(AR880-IF(6=D880,1,0))*ROUND(AS880*VLOOKUP(INDEX('章节与怪物'!$E$31:$K$37,B880,6),'章节与怪物'!$A$41:$F$44,2,FALSE),0)+IF(6=D880,ROUND(AS880*'难度参数'!$E$28*'章节与怪物'!$E$17,0),0))</x:f>
        <x:v>2054808</x:v>
      </x:c>
      <x:c r="AU880" s="119" t="n">
        <x:f>IF(AR880=0,0,(AR880-IF(6=D880,1,0))*VLOOKUP(INDEX('章节与怪物'!$E$31:$K$37,B880,6),'章节与怪物'!$A$41:$F$44,4,FALSE)+IF(6=D880,'难度参数'!$E$30,0))</x:f>
        <x:v>1568</x:v>
      </x:c>
      <x:c r="AV880" s="119" t="n">
        <x:f>IF(7&gt;D880,0,MAX(2,MIN('难度参数'!$E$12,ROUND(('难度参数'!$E$18*POWER(A880,'难度参数'!$E$19)/D880*(0.85+0.3*(7-1)/MAX(1,D880-1))),0)+F880)))</x:f>
        <x:v>58</x:v>
      </x:c>
      <x:c r="AW880" s="119" t="n">
        <x:f>IF(7&gt;D880,0,ROUND(('难度参数'!$E$13*POWER(A880,'难度参数'!$E$20)*MIN('难度参数'!$E$23,1+MAX(0,A880-'难度参数'!$E$21)*'难度参数'!$E$22))*(36+7*7)/(36+7*(D880+1)/2)*E880,0))</x:f>
        <x:v>23521</x:v>
      </x:c>
      <x:c r="AX880" s="119" t="n">
        <x:f>IF(AV880=0,0,(AV880-IF(7=D880,1,0))*ROUND(AW880*VLOOKUP(INDEX('章节与怪物'!$E$31:$K$37,B880,7),'章节与怪物'!$A$41:$F$44,2,FALSE),0)+IF(7=D880,ROUND(AW880*'难度参数'!$E$28*'章节与怪物'!$E$17,0),0))</x:f>
        <x:v>1969864</x:v>
      </x:c>
      <x:c r="AY880" s="119" t="n">
        <x:f>IF(AV880=0,0,(AV880-IF(7=D880,1,0))*VLOOKUP(INDEX('章节与怪物'!$E$31:$K$37,B880,7),'章节与怪物'!$A$41:$F$44,4,FALSE)+IF(7=D880,'难度参数'!$E$30,0))</x:f>
        <x:v>2138</x:v>
      </x:c>
    </x:row>
    <x:row r="881" ht="23" customHeight="1">
      <x:c r="A881" s="119" t="n">
        <x:v>875</x:v>
      </x:c>
      <x:c r="B881" s="119" t="n">
        <x:f>MOD(INT((A881-1)/5),7)+1</x:f>
        <x:v>7</x:v>
      </x:c>
      <x:c r="C881" s="62" t="str">
        <x:f>INDEX('章节与怪物'!$B$31:$B$37,B881)</x:f>
        <x:v>魔法山脊</x:v>
      </x:c>
      <x:c r="D881" s="119" t="n">
        <x:f>MIN('难度参数'!$E$8,MAX('难度参数'!$E$7,A881))</x:f>
        <x:v>7</x:v>
      </x:c>
      <x:c r="E881" s="106" t="n">
        <x:v>1</x:v>
      </x:c>
      <x:c r="F881" s="106" t="n">
        <x:v>0</x:v>
      </x:c>
      <x:c r="G881" s="106" t="n">
        <x:v>1</x:v>
      </x:c>
      <x:c r="H881" s="119" t="n">
        <x:f>SUM(X881,AB881,AF881,AJ881,AN881,AR881,AV881)</x:f>
        <x:v>353</x:v>
      </x:c>
      <x:c r="I881" s="119" t="n">
        <x:f>SUM(Z881,AD881,AH881,AL881,AP881,AT881,AX881)</x:f>
        <x:v>8223663</x:v>
      </x:c>
      <x:c r="J881" s="119" t="n">
        <x:f>ROUND(INDEX(X881:AY881,1,(D881-1)*4+2)*'难度参数'!$E$28*'章节与怪物'!$E$17,0)</x:f>
        <x:v>160079</x:v>
      </x:c>
      <x:c r="K881" s="119" t="n">
        <x:f>SUM(AA881,AE881,AI881,AM881,AQ881,AU881,AY881)</x:f>
        <x:v>9484</x:v>
      </x:c>
      <x:c r="L881" s="62" t="n">
        <x:f>H881*(ROUNDUP('难度参数'!$E$24/('难度参数'!$E$26*'难度参数'!$E$27),0)*'难度参数'!$E$26)/60</x:f>
        <x:v>4.706666666666667</x:v>
      </x:c>
      <x:c r="M881" s="62" t="n">
        <x:f>L881+D881*('难度参数'!$E$49+'难度参数'!$E$50)/60</x:f>
        <x:v>5.873333333333334</x:v>
      </x:c>
      <x:c r="N881" s="119" t="n">
        <x:f>ROUNDDOWN(('经济参数'!$E$20+A881*'经济参数'!$E$21)*G881,0)</x:f>
        <x:v>17680</x:v>
      </x:c>
      <x:c r="O881" s="119" t="n">
        <x:f>ROUNDDOWN(MIN('经济参数'!$E$24,'经济参数'!$E$22+A881*'经济参数'!$E$23)*G881,0)</x:f>
        <x:v>0</x:v>
      </x:c>
      <x:c r="P881" s="119" t="n">
        <x:f>ROUNDDOWN((IF(A881&gt;='材料与任务'!$E$31,'材料与任务'!$E$32,IF(A881&gt;='材料与任务'!$E$25,'材料与任务'!$E$26,IF(A881&gt;='材料与任务'!$E$19,'材料与任务'!$E$20,IF(A881&gt;='材料与任务'!$E$13,'材料与任务'!$E$14,'材料与任务'!$E$8)))))*G881,0)</x:f>
        <x:v>6</x:v>
      </x:c>
      <x:c r="Q881" s="119" t="n">
        <x:f>ROUNDDOWN((IF(A881&gt;='材料与任务'!$E$31,'材料与任务'!$E$33,IF(A881&gt;='材料与任务'!$E$25,'材料与任务'!$E$27,IF(A881&gt;='材料与任务'!$E$19,'材料与任务'!$E$21,IF(A881&gt;='材料与任务'!$E$13,'材料与任务'!$E$15,'材料与任务'!$E$9)))))*G881,0)</x:f>
        <x:v>3</x:v>
      </x:c>
      <x:c r="R881" s="110" t="n">
        <x:f>'装备掉落'!$B$38</x:f>
        <x:v>0.6872058758851213</x:v>
      </x:c>
      <x:c r="S881" s="119" t="n">
        <x:f>MAX(IF(VLOOKUP(A881,'装备掉落'!$A$29:$H$34,2,TRUE)&gt;0,1,0),IF(VLOOKUP(A881,'装备掉落'!$A$29:$H$34,3,TRUE)&gt;0,2,0),IF(VLOOKUP(A881,'装备掉落'!$A$29:$H$34,4,TRUE)&gt;0,3,0),IF(VLOOKUP(A881,'装备掉落'!$A$29:$H$34,5,TRUE)&gt;0,4,0),IF(VLOOKUP(A881,'装备掉落'!$A$29:$H$34,6,TRUE)&gt;0,5,0),IF(VLOOKUP(A881,'装备掉落'!$A$29:$H$34,7,TRUE)&gt;0,6,0),IF(VLOOKUP(A881,'装备掉落'!$A$29:$H$34,8,TRUE)&gt;0,7,0))</x:f>
        <x:v>7</x:v>
      </x:c>
      <x:c r="T881" s="119" t="n">
        <x:f>MIN(7,S881+'经济参数'!$E$70)</x:f>
        <x:v>7</x:v>
      </x:c>
      <x:c r="U881" s="119" t="n">
        <x:f>MIN(7,S881+'经济参数'!$E$71)</x:f>
        <x:v>7</x:v>
      </x:c>
      <x:c r="V881" s="119" t="n">
        <x:f>IF(H881&gt;=('难度参数'!$E$52),1,0)+IF(H881&gt;=('难度参数'!$E$52+'难度参数'!$E$53),1,0)+IF(H881&gt;=('难度参数'!$E$52+'难度参数'!$E$53+'难度参数'!$E$54),1,0)+IF(H881&gt;=('难度参数'!$E$52+'难度参数'!$E$53+'难度参数'!$E$54+'难度参数'!$E$55),1,0)+IF(H881&gt;=('难度参数'!$E$52+'难度参数'!$E$53+'难度参数'!$E$54+'难度参数'!$E$55+'难度参数'!$E$56),1,0)+IF(H881&gt;=('难度参数'!$E$52+'难度参数'!$E$53+'难度参数'!$E$54+'难度参数'!$E$55+'难度参数'!$E$56+'难度参数'!$E$57),1,0)</x:f>
        <x:v>6</x:v>
      </x:c>
      <x:c r="W881" s="62" t="str">
        <x:f>IF(L881&gt;'难度参数'!$E$51,"仅出怪已超目标","还需实测")</x:f>
        <x:v>仅出怪已超目标</x:v>
      </x:c>
      <x:c r="X881" s="119" t="n">
        <x:f>IF(1&gt;D881,0,MAX(2,MIN('难度参数'!$E$12,ROUND(('难度参数'!$E$18*POWER(A881,'难度参数'!$E$19)/D881*(0.85+0.3*(1-1)/MAX(1,D881-1))),0)+F881)))</x:f>
        <x:v>43</x:v>
      </x:c>
      <x:c r="Y881" s="119" t="n">
        <x:f>IF(1&gt;D881,0,ROUND(('难度参数'!$E$13*POWER(A881,'难度参数'!$E$20)*MIN('难度参数'!$E$23,1+MAX(0,A881-'难度参数'!$E$21)*'难度参数'!$E$22))*(36+1*7)/(36+7*(D881+1)/2)*E881,0))</x:f>
        <x:v>11909</x:v>
      </x:c>
      <x:c r="Z881" s="119" t="n">
        <x:f>IF(X881=0,0,(X881-IF(1=D881,1,0))*ROUND(Y881*VLOOKUP(INDEX('章节与怪物'!$E$31:$K$37,B881,1),'章节与怪物'!$A$41:$F$44,2,FALSE),0)+IF(1=D881,ROUND(Y881*'难度参数'!$E$28*'章节与怪物'!$E$17,0),0))</x:f>
        <x:v>512087</x:v>
      </x:c>
      <x:c r="AA881" s="119" t="n">
        <x:f>IF(X881=0,0,(X881-IF(1=D881,1,0))*VLOOKUP(INDEX('章节与怪物'!$E$31:$K$37,B881,1),'章节与怪物'!$A$41:$F$44,4,FALSE)+IF(1=D881,'难度参数'!$E$30,0))</x:f>
        <x:v>774</x:v>
      </x:c>
      <x:c r="AB881" s="119" t="n">
        <x:f>IF(2&gt;D881,0,MAX(2,MIN('难度参数'!$E$12,ROUND(('难度参数'!$E$18*POWER(A881,'难度参数'!$E$19)/D881*(0.85+0.3*(2-1)/MAX(1,D881-1))),0)+F881)))</x:f>
        <x:v>45</x:v>
      </x:c>
      <x:c r="AC881" s="119" t="n">
        <x:f>IF(2&gt;D881,0,ROUND(('难度参数'!$E$13*POWER(A881,'难度参数'!$E$20)*MIN('难度参数'!$E$23,1+MAX(0,A881-'难度参数'!$E$21)*'难度参数'!$E$22))*(36+2*7)/(36+7*(D881+1)/2)*E881,0))</x:f>
        <x:v>13847</x:v>
      </x:c>
      <x:c r="AD881" s="119" t="n">
        <x:f>IF(AB881=0,0,(AB881-IF(2=D881,1,0))*ROUND(AC881*VLOOKUP(INDEX('章节与怪物'!$E$31:$K$37,B881,2),'章节与怪物'!$A$41:$F$44,2,FALSE),0)+IF(2=D881,ROUND(AC881*'难度参数'!$E$28*'章节与怪物'!$E$17,0),0))</x:f>
        <x:v>448650</x:v>
      </x:c>
      <x:c r="AE881" s="119" t="n">
        <x:f>IF(AB881=0,0,(AB881-IF(2=D881,1,0))*VLOOKUP(INDEX('章节与怪物'!$E$31:$K$37,B881,2),'章节与怪物'!$A$41:$F$44,4,FALSE)+IF(2=D881,'难度参数'!$E$30,0))</x:f>
        <x:v>900</x:v>
      </x:c>
      <x:c r="AF881" s="119" t="n">
        <x:f>IF(3&gt;D881,0,MAX(2,MIN('难度参数'!$E$12,ROUND(('难度参数'!$E$18*POWER(A881,'难度参数'!$E$19)/D881*(0.85+0.3*(3-1)/MAX(1,D881-1))),0)+F881)))</x:f>
        <x:v>48</x:v>
      </x:c>
      <x:c r="AG881" s="119" t="n">
        <x:f>IF(3&gt;D881,0,ROUND(('难度参数'!$E$13*POWER(A881,'难度参数'!$E$20)*MIN('难度参数'!$E$23,1+MAX(0,A881-'难度参数'!$E$21)*'难度参数'!$E$22))*(36+3*7)/(36+7*(D881+1)/2)*E881,0))</x:f>
        <x:v>15786</x:v>
      </x:c>
      <x:c r="AH881" s="119" t="n">
        <x:f>IF(AF881=0,0,(AF881-IF(3=D881,1,0))*ROUND(AG881*VLOOKUP(INDEX('章节与怪物'!$E$31:$K$37,B881,3),'章节与怪物'!$A$41:$F$44,2,FALSE),0)+IF(3=D881,ROUND(AG881*'难度参数'!$E$28*'章节与怪物'!$E$17,0),0))</x:f>
        <x:v>1288128</x:v>
      </x:c>
      <x:c r="AI881" s="119" t="n">
        <x:f>IF(AF881=0,0,(AF881-IF(3=D881,1,0))*VLOOKUP(INDEX('章节与怪物'!$E$31:$K$37,B881,3),'章节与怪物'!$A$41:$F$44,4,FALSE)+IF(3=D881,'难度参数'!$E$30,0))</x:f>
        <x:v>1344</x:v>
      </x:c>
      <x:c r="AJ881" s="119" t="n">
        <x:f>IF(4&gt;D881,0,MAX(2,MIN('难度参数'!$E$12,ROUND(('难度参数'!$E$18*POWER(A881,'难度参数'!$E$19)/D881*(0.85+0.3*(4-1)/MAX(1,D881-1))),0)+F881)))</x:f>
        <x:v>50</x:v>
      </x:c>
      <x:c r="AK881" s="119" t="n">
        <x:f>IF(4&gt;D881,0,ROUND(('难度参数'!$E$13*POWER(A881,'难度参数'!$E$20)*MIN('难度参数'!$E$23,1+MAX(0,A881-'难度参数'!$E$21)*'难度参数'!$E$22))*(36+4*7)/(36+7*(D881+1)/2)*E881,0))</x:f>
        <x:v>17725</x:v>
      </x:c>
      <x:c r="AL881" s="119" t="n">
        <x:f>IF(AJ881=0,0,(AJ881-IF(4=D881,1,0))*ROUND(AK881*VLOOKUP(INDEX('章节与怪物'!$E$31:$K$37,B881,4),'章节与怪物'!$A$41:$F$44,2,FALSE),0)+IF(4=D881,ROUND(AK881*'难度参数'!$E$28*'章节与怪物'!$E$17,0),0))</x:f>
        <x:v>1196450</x:v>
      </x:c>
      <x:c r="AM881" s="119" t="n">
        <x:f>IF(AJ881=0,0,(AJ881-IF(4=D881,1,0))*VLOOKUP(INDEX('章节与怪物'!$E$31:$K$37,B881,4),'章节与怪物'!$A$41:$F$44,4,FALSE)+IF(4=D881,'难度参数'!$E$30,0))</x:f>
        <x:v>1700</x:v>
      </x:c>
      <x:c r="AN881" s="119" t="n">
        <x:f>IF(5&gt;D881,0,MAX(2,MIN('难度参数'!$E$12,ROUND(('难度参数'!$E$18*POWER(A881,'难度参数'!$E$19)/D881*(0.85+0.3*(5-1)/MAX(1,D881-1))),0)+F881)))</x:f>
        <x:v>53</x:v>
      </x:c>
      <x:c r="AO881" s="119" t="n">
        <x:f>IF(5&gt;D881,0,ROUND(('难度参数'!$E$13*POWER(A881,'难度参数'!$E$20)*MIN('难度参数'!$E$23,1+MAX(0,A881-'难度参数'!$E$21)*'难度参数'!$E$22))*(36+5*7)/(36+7*(D881+1)/2)*E881,0))</x:f>
        <x:v>19663</x:v>
      </x:c>
      <x:c r="AP881" s="119" t="n">
        <x:f>IF(AN881=0,0,(AN881-IF(5=D881,1,0))*ROUND(AO881*VLOOKUP(INDEX('章节与怪物'!$E$31:$K$37,B881,5),'章节与怪物'!$A$41:$F$44,2,FALSE),0)+IF(5=D881,ROUND(AO881*'难度参数'!$E$28*'章节与怪物'!$E$17,0),0))</x:f>
        <x:v>750321</x:v>
      </x:c>
      <x:c r="AQ881" s="119" t="n">
        <x:f>IF(AN881=0,0,(AN881-IF(5=D881,1,0))*VLOOKUP(INDEX('章节与怪物'!$E$31:$K$37,B881,5),'章节与怪物'!$A$41:$F$44,4,FALSE)+IF(5=D881,'难度参数'!$E$30,0))</x:f>
        <x:v>1060</x:v>
      </x:c>
      <x:c r="AR881" s="119" t="n">
        <x:f>IF(6&gt;D881,0,MAX(2,MIN('难度参数'!$E$12,ROUND(('难度参数'!$E$18*POWER(A881,'难度参数'!$E$19)/D881*(0.85+0.3*(6-1)/MAX(1,D881-1))),0)+F881)))</x:f>
        <x:v>56</x:v>
      </x:c>
      <x:c r="AS881" s="119" t="n">
        <x:f>IF(6&gt;D881,0,ROUND(('难度参数'!$E$13*POWER(A881,'难度参数'!$E$20)*MIN('难度参数'!$E$23,1+MAX(0,A881-'难度参数'!$E$21)*'难度参数'!$E$22))*(36+6*7)/(36+7*(D881+1)/2)*E881,0))</x:f>
        <x:v>21602</x:v>
      </x:c>
      <x:c r="AT881" s="119" t="n">
        <x:f>IF(AR881=0,0,(AR881-IF(6=D881,1,0))*ROUND(AS881*VLOOKUP(INDEX('章节与怪物'!$E$31:$K$37,B881,6),'章节与怪物'!$A$41:$F$44,2,FALSE),0)+IF(6=D881,ROUND(AS881*'难度参数'!$E$28*'章节与怪物'!$E$17,0),0))</x:f>
        <x:v>2056488</x:v>
      </x:c>
      <x:c r="AU881" s="119" t="n">
        <x:f>IF(AR881=0,0,(AR881-IF(6=D881,1,0))*VLOOKUP(INDEX('章节与怪物'!$E$31:$K$37,B881,6),'章节与怪物'!$A$41:$F$44,4,FALSE)+IF(6=D881,'难度参数'!$E$30,0))</x:f>
        <x:v>1568</x:v>
      </x:c>
      <x:c r="AV881" s="119" t="n">
        <x:f>IF(7&gt;D881,0,MAX(2,MIN('难度参数'!$E$12,ROUND(('难度参数'!$E$18*POWER(A881,'难度参数'!$E$19)/D881*(0.85+0.3*(7-1)/MAX(1,D881-1))),0)+F881)))</x:f>
        <x:v>58</x:v>
      </x:c>
      <x:c r="AW881" s="119" t="n">
        <x:f>IF(7&gt;D881,0,ROUND(('难度参数'!$E$13*POWER(A881,'难度参数'!$E$20)*MIN('难度参数'!$E$23,1+MAX(0,A881-'难度参数'!$E$21)*'难度参数'!$E$22))*(36+7*7)/(36+7*(D881+1)/2)*E881,0))</x:f>
        <x:v>23541</x:v>
      </x:c>
      <x:c r="AX881" s="119" t="n">
        <x:f>IF(AV881=0,0,(AV881-IF(7=D881,1,0))*ROUND(AW881*VLOOKUP(INDEX('章节与怪物'!$E$31:$K$37,B881,7),'章节与怪物'!$A$41:$F$44,2,FALSE),0)+IF(7=D881,ROUND(AW881*'难度参数'!$E$28*'章节与怪物'!$E$17,0),0))</x:f>
        <x:v>1971539</x:v>
      </x:c>
      <x:c r="AY881" s="119" t="n">
        <x:f>IF(AV881=0,0,(AV881-IF(7=D881,1,0))*VLOOKUP(INDEX('章节与怪物'!$E$31:$K$37,B881,7),'章节与怪物'!$A$41:$F$44,4,FALSE)+IF(7=D881,'难度参数'!$E$30,0))</x:f>
        <x:v>2138</x:v>
      </x:c>
    </x:row>
    <x:row r="882" ht="23" customHeight="1">
      <x:c r="A882" s="119" t="n">
        <x:v>876</x:v>
      </x:c>
      <x:c r="B882" s="119" t="n">
        <x:f>MOD(INT((A882-1)/5),7)+1</x:f>
        <x:v>1</x:v>
      </x:c>
      <x:c r="C882" s="62" t="str">
        <x:f>INDEX('章节与怪物'!$B$31:$B$37,B882)</x:f>
        <x:v>冰雪荒原</x:v>
      </x:c>
      <x:c r="D882" s="119" t="n">
        <x:f>MIN('难度参数'!$E$8,MAX('难度参数'!$E$7,A882))</x:f>
        <x:v>7</x:v>
      </x:c>
      <x:c r="E882" s="106" t="n">
        <x:v>1</x:v>
      </x:c>
      <x:c r="F882" s="106" t="n">
        <x:v>0</x:v>
      </x:c>
      <x:c r="G882" s="106" t="n">
        <x:v>1</x:v>
      </x:c>
      <x:c r="H882" s="119" t="n">
        <x:f>SUM(X882,AB882,AF882,AJ882,AN882,AR882,AV882)</x:f>
        <x:v>354</x:v>
      </x:c>
      <x:c r="I882" s="119" t="n">
        <x:f>SUM(Z882,AD882,AH882,AL882,AP882,AT882,AX882)</x:f>
        <x:v>7943100</x:v>
      </x:c>
      <x:c r="J882" s="119" t="n">
        <x:f>ROUND(INDEX(X882:AY882,1,(D882-1)*4+2)*'难度参数'!$E$28*'章节与怪物'!$E$17,0)</x:f>
        <x:v>160208</x:v>
      </x:c>
      <x:c r="K882" s="119" t="n">
        <x:f>SUM(AA882,AE882,AI882,AM882,AQ882,AU882,AY882)</x:f>
        <x:v>8690</x:v>
      </x:c>
      <x:c r="L882" s="62" t="n">
        <x:f>H882*(ROUNDUP('难度参数'!$E$24/('难度参数'!$E$26*'难度参数'!$E$27),0)*'难度参数'!$E$26)/60</x:f>
        <x:v>4.72</x:v>
      </x:c>
      <x:c r="M882" s="62" t="n">
        <x:f>L882+D882*('难度参数'!$E$49+'难度参数'!$E$50)/60</x:f>
        <x:v>5.886666666666667</x:v>
      </x:c>
      <x:c r="N882" s="119" t="n">
        <x:f>ROUNDDOWN(('经济参数'!$E$20+A882*'经济参数'!$E$21)*G882,0)</x:f>
        <x:v>17700</x:v>
      </x:c>
      <x:c r="O882" s="119" t="n">
        <x:f>ROUNDDOWN(MIN('经济参数'!$E$24,'经济参数'!$E$22+A882*'经济参数'!$E$23)*G882,0)</x:f>
        <x:v>0</x:v>
      </x:c>
      <x:c r="P882" s="119" t="n">
        <x:f>ROUNDDOWN((IF(A882&gt;='材料与任务'!$E$31,'材料与任务'!$E$32,IF(A882&gt;='材料与任务'!$E$25,'材料与任务'!$E$26,IF(A882&gt;='材料与任务'!$E$19,'材料与任务'!$E$20,IF(A882&gt;='材料与任务'!$E$13,'材料与任务'!$E$14,'材料与任务'!$E$8)))))*G882,0)</x:f>
        <x:v>6</x:v>
      </x:c>
      <x:c r="Q882" s="119" t="n">
        <x:f>ROUNDDOWN((IF(A882&gt;='材料与任务'!$E$31,'材料与任务'!$E$33,IF(A882&gt;='材料与任务'!$E$25,'材料与任务'!$E$27,IF(A882&gt;='材料与任务'!$E$19,'材料与任务'!$E$21,IF(A882&gt;='材料与任务'!$E$13,'材料与任务'!$E$15,'材料与任务'!$E$9)))))*G882,0)</x:f>
        <x:v>3</x:v>
      </x:c>
      <x:c r="R882" s="110" t="n">
        <x:f>'装备掉落'!$B$38</x:f>
        <x:v>0.6872058758851213</x:v>
      </x:c>
      <x:c r="S882" s="119" t="n">
        <x:f>MAX(IF(VLOOKUP(A882,'装备掉落'!$A$29:$H$34,2,TRUE)&gt;0,1,0),IF(VLOOKUP(A882,'装备掉落'!$A$29:$H$34,3,TRUE)&gt;0,2,0),IF(VLOOKUP(A882,'装备掉落'!$A$29:$H$34,4,TRUE)&gt;0,3,0),IF(VLOOKUP(A882,'装备掉落'!$A$29:$H$34,5,TRUE)&gt;0,4,0),IF(VLOOKUP(A882,'装备掉落'!$A$29:$H$34,6,TRUE)&gt;0,5,0),IF(VLOOKUP(A882,'装备掉落'!$A$29:$H$34,7,TRUE)&gt;0,6,0),IF(VLOOKUP(A882,'装备掉落'!$A$29:$H$34,8,TRUE)&gt;0,7,0))</x:f>
        <x:v>7</x:v>
      </x:c>
      <x:c r="T882" s="119" t="n">
        <x:f>MIN(7,S882+'经济参数'!$E$70)</x:f>
        <x:v>7</x:v>
      </x:c>
      <x:c r="U882" s="119" t="n">
        <x:f>MIN(7,S882+'经济参数'!$E$71)</x:f>
        <x:v>7</x:v>
      </x:c>
      <x:c r="V882" s="119" t="n">
        <x:f>IF(H882&gt;=('难度参数'!$E$52),1,0)+IF(H882&gt;=('难度参数'!$E$52+'难度参数'!$E$53),1,0)+IF(H882&gt;=('难度参数'!$E$52+'难度参数'!$E$53+'难度参数'!$E$54),1,0)+IF(H882&gt;=('难度参数'!$E$52+'难度参数'!$E$53+'难度参数'!$E$54+'难度参数'!$E$55),1,0)+IF(H882&gt;=('难度参数'!$E$52+'难度参数'!$E$53+'难度参数'!$E$54+'难度参数'!$E$55+'难度参数'!$E$56),1,0)+IF(H882&gt;=('难度参数'!$E$52+'难度参数'!$E$53+'难度参数'!$E$54+'难度参数'!$E$55+'难度参数'!$E$56+'难度参数'!$E$57),1,0)</x:f>
        <x:v>6</x:v>
      </x:c>
      <x:c r="W882" s="62" t="str">
        <x:f>IF(L882&gt;'难度参数'!$E$51,"仅出怪已超目标","还需实测")</x:f>
        <x:v>仅出怪已超目标</x:v>
      </x:c>
      <x:c r="X882" s="119" t="n">
        <x:f>IF(1&gt;D882,0,MAX(2,MIN('难度参数'!$E$12,ROUND(('难度参数'!$E$18*POWER(A882,'难度参数'!$E$19)/D882*(0.85+0.3*(1-1)/MAX(1,D882-1))),0)+F882)))</x:f>
        <x:v>43</x:v>
      </x:c>
      <x:c r="Y882" s="119" t="n">
        <x:f>IF(1&gt;D882,0,ROUND(('难度参数'!$E$13*POWER(A882,'难度参数'!$E$20)*MIN('难度参数'!$E$23,1+MAX(0,A882-'难度参数'!$E$21)*'难度参数'!$E$22))*(36+1*7)/(36+7*(D882+1)/2)*E882,0))</x:f>
        <x:v>11919</x:v>
      </x:c>
      <x:c r="Z882" s="119" t="n">
        <x:f>IF(X882=0,0,(X882-IF(1=D882,1,0))*ROUND(Y882*VLOOKUP(INDEX('章节与怪物'!$E$31:$K$37,B882,1),'章节与怪物'!$A$41:$F$44,2,FALSE),0)+IF(1=D882,ROUND(Y882*'难度参数'!$E$28*'章节与怪物'!$E$17,0),0))</x:f>
        <x:v>512517</x:v>
      </x:c>
      <x:c r="AA882" s="119" t="n">
        <x:f>IF(X882=0,0,(X882-IF(1=D882,1,0))*VLOOKUP(INDEX('章节与怪物'!$E$31:$K$37,B882,1),'章节与怪物'!$A$41:$F$44,4,FALSE)+IF(1=D882,'难度参数'!$E$30,0))</x:f>
        <x:v>774</x:v>
      </x:c>
      <x:c r="AB882" s="119" t="n">
        <x:f>IF(2&gt;D882,0,MAX(2,MIN('难度参数'!$E$12,ROUND(('难度参数'!$E$18*POWER(A882,'难度参数'!$E$19)/D882*(0.85+0.3*(2-1)/MAX(1,D882-1))),0)+F882)))</x:f>
        <x:v>45</x:v>
      </x:c>
      <x:c r="AC882" s="119" t="n">
        <x:f>IF(2&gt;D882,0,ROUND(('难度参数'!$E$13*POWER(A882,'难度参数'!$E$20)*MIN('难度参数'!$E$23,1+MAX(0,A882-'难度参数'!$E$21)*'难度参数'!$E$22))*(36+2*7)/(36+7*(D882+1)/2)*E882,0))</x:f>
        <x:v>13859</x:v>
      </x:c>
      <x:c r="AD882" s="119" t="n">
        <x:f>IF(AB882=0,0,(AB882-IF(2=D882,1,0))*ROUND(AC882*VLOOKUP(INDEX('章节与怪物'!$E$31:$K$37,B882,2),'章节与怪物'!$A$41:$F$44,2,FALSE),0)+IF(2=D882,ROUND(AC882*'难度参数'!$E$28*'章节与怪物'!$E$17,0),0))</x:f>
        <x:v>623655</x:v>
      </x:c>
      <x:c r="AE882" s="119" t="n">
        <x:f>IF(AB882=0,0,(AB882-IF(2=D882,1,0))*VLOOKUP(INDEX('章节与怪物'!$E$31:$K$37,B882,2),'章节与怪物'!$A$41:$F$44,4,FALSE)+IF(2=D882,'难度参数'!$E$30,0))</x:f>
        <x:v>810</x:v>
      </x:c>
      <x:c r="AF882" s="119" t="n">
        <x:f>IF(3&gt;D882,0,MAX(2,MIN('难度参数'!$E$12,ROUND(('难度参数'!$E$18*POWER(A882,'难度参数'!$E$19)/D882*(0.85+0.3*(3-1)/MAX(1,D882-1))),0)+F882)))</x:f>
        <x:v>48</x:v>
      </x:c>
      <x:c r="AG882" s="119" t="n">
        <x:f>IF(3&gt;D882,0,ROUND(('难度参数'!$E$13*POWER(A882,'难度参数'!$E$20)*MIN('难度参数'!$E$23,1+MAX(0,A882-'难度参数'!$E$21)*'难度参数'!$E$22))*(36+3*7)/(36+7*(D882+1)/2)*E882,0))</x:f>
        <x:v>15799</x:v>
      </x:c>
      <x:c r="AH882" s="119" t="n">
        <x:f>IF(AF882=0,0,(AF882-IF(3=D882,1,0))*ROUND(AG882*VLOOKUP(INDEX('章节与怪物'!$E$31:$K$37,B882,3),'章节与怪物'!$A$41:$F$44,2,FALSE),0)+IF(3=D882,ROUND(AG882*'难度参数'!$E$28*'章节与怪物'!$E$17,0),0))</x:f>
        <x:v>546000</x:v>
      </x:c>
      <x:c r="AI882" s="119" t="n">
        <x:f>IF(AF882=0,0,(AF882-IF(3=D882,1,0))*VLOOKUP(INDEX('章节与怪物'!$E$31:$K$37,B882,3),'章节与怪物'!$A$41:$F$44,4,FALSE)+IF(3=D882,'难度参数'!$E$30,0))</x:f>
        <x:v>960</x:v>
      </x:c>
      <x:c r="AJ882" s="119" t="n">
        <x:f>IF(4&gt;D882,0,MAX(2,MIN('难度参数'!$E$12,ROUND(('难度参数'!$E$18*POWER(A882,'难度参数'!$E$19)/D882*(0.85+0.3*(4-1)/MAX(1,D882-1))),0)+F882)))</x:f>
        <x:v>51</x:v>
      </x:c>
      <x:c r="AK882" s="119" t="n">
        <x:f>IF(4&gt;D882,0,ROUND(('难度参数'!$E$13*POWER(A882,'难度参数'!$E$20)*MIN('难度参数'!$E$23,1+MAX(0,A882-'难度参数'!$E$21)*'难度参数'!$E$22))*(36+4*7)/(36+7*(D882+1)/2)*E882,0))</x:f>
        <x:v>17739</x:v>
      </x:c>
      <x:c r="AL882" s="119" t="n">
        <x:f>IF(AJ882=0,0,(AJ882-IF(4=D882,1,0))*ROUND(AK882*VLOOKUP(INDEX('章节与怪物'!$E$31:$K$37,B882,4),'章节与怪物'!$A$41:$F$44,2,FALSE),0)+IF(4=D882,ROUND(AK882*'难度参数'!$E$28*'章节与怪物'!$E$17,0),0))</x:f>
        <x:v>1537956</x:v>
      </x:c>
      <x:c r="AM882" s="119" t="n">
        <x:f>IF(AJ882=0,0,(AJ882-IF(4=D882,1,0))*VLOOKUP(INDEX('章节与怪物'!$E$31:$K$37,B882,4),'章节与怪物'!$A$41:$F$44,4,FALSE)+IF(4=D882,'难度参数'!$E$30,0))</x:f>
        <x:v>1428</x:v>
      </x:c>
      <x:c r="AN882" s="119" t="n">
        <x:f>IF(5&gt;D882,0,MAX(2,MIN('难度参数'!$E$12,ROUND(('难度参数'!$E$18*POWER(A882,'难度参数'!$E$19)/D882*(0.85+0.3*(5-1)/MAX(1,D882-1))),0)+F882)))</x:f>
        <x:v>53</x:v>
      </x:c>
      <x:c r="AO882" s="119" t="n">
        <x:f>IF(5&gt;D882,0,ROUND(('难度参数'!$E$13*POWER(A882,'难度参数'!$E$20)*MIN('难度参数'!$E$23,1+MAX(0,A882-'难度参数'!$E$21)*'难度参数'!$E$22))*(36+5*7)/(36+7*(D882+1)/2)*E882,0))</x:f>
        <x:v>19680</x:v>
      </x:c>
      <x:c r="AP882" s="119" t="n">
        <x:f>IF(AN882=0,0,(AN882-IF(5=D882,1,0))*ROUND(AO882*VLOOKUP(INDEX('章节与怪物'!$E$31:$K$37,B882,5),'章节与怪物'!$A$41:$F$44,2,FALSE),0)+IF(5=D882,ROUND(AO882*'难度参数'!$E$28*'章节与怪物'!$E$17,0),0))</x:f>
        <x:v>1408104</x:v>
      </x:c>
      <x:c r="AQ882" s="119" t="n">
        <x:f>IF(AN882=0,0,(AN882-IF(5=D882,1,0))*VLOOKUP(INDEX('章节与怪物'!$E$31:$K$37,B882,5),'章节与怪物'!$A$41:$F$44,4,FALSE)+IF(5=D882,'难度参数'!$E$30,0))</x:f>
        <x:v>1802</x:v>
      </x:c>
      <x:c r="AR882" s="119" t="n">
        <x:f>IF(6&gt;D882,0,MAX(2,MIN('难度参数'!$E$12,ROUND(('难度参数'!$E$18*POWER(A882,'难度参数'!$E$19)/D882*(0.85+0.3*(6-1)/MAX(1,D882-1))),0)+F882)))</x:f>
        <x:v>56</x:v>
      </x:c>
      <x:c r="AS882" s="119" t="n">
        <x:f>IF(6&gt;D882,0,ROUND(('难度参数'!$E$13*POWER(A882,'难度参数'!$E$20)*MIN('难度参数'!$E$23,1+MAX(0,A882-'难度参数'!$E$21)*'难度参数'!$E$22))*(36+6*7)/(36+7*(D882+1)/2)*E882,0))</x:f>
        <x:v>21620</x:v>
      </x:c>
      <x:c r="AT882" s="119" t="n">
        <x:f>IF(AR882=0,0,(AR882-IF(6=D882,1,0))*ROUND(AS882*VLOOKUP(INDEX('章节与怪物'!$E$31:$K$37,B882,6),'章节与怪物'!$A$41:$F$44,2,FALSE),0)+IF(6=D882,ROUND(AS882*'难度参数'!$E$28*'章节与怪物'!$E$17,0),0))</x:f>
        <x:v>871696</x:v>
      </x:c>
      <x:c r="AU882" s="119" t="n">
        <x:f>IF(AR882=0,0,(AR882-IF(6=D882,1,0))*VLOOKUP(INDEX('章节与怪物'!$E$31:$K$37,B882,6),'章节与怪物'!$A$41:$F$44,4,FALSE)+IF(6=D882,'难度参数'!$E$30,0))</x:f>
        <x:v>1120</x:v>
      </x:c>
      <x:c r="AV882" s="119" t="n">
        <x:f>IF(7&gt;D882,0,MAX(2,MIN('难度参数'!$E$12,ROUND(('难度参数'!$E$18*POWER(A882,'难度参数'!$E$19)/D882*(0.85+0.3*(7-1)/MAX(1,D882-1))),0)+F882)))</x:f>
        <x:v>58</x:v>
      </x:c>
      <x:c r="AW882" s="119" t="n">
        <x:f>IF(7&gt;D882,0,ROUND(('难度参数'!$E$13*POWER(A882,'难度参数'!$E$20)*MIN('难度参数'!$E$23,1+MAX(0,A882-'难度参数'!$E$21)*'难度参数'!$E$22))*(36+7*7)/(36+7*(D882+1)/2)*E882,0))</x:f>
        <x:v>23560</x:v>
      </x:c>
      <x:c r="AX882" s="119" t="n">
        <x:f>IF(AV882=0,0,(AV882-IF(7=D882,1,0))*ROUND(AW882*VLOOKUP(INDEX('章节与怪物'!$E$31:$K$37,B882,7),'章节与怪物'!$A$41:$F$44,2,FALSE),0)+IF(7=D882,ROUND(AW882*'难度参数'!$E$28*'章节与怪物'!$E$17,0),0))</x:f>
        <x:v>2443172</x:v>
      </x:c>
      <x:c r="AY882" s="119" t="n">
        <x:f>IF(AV882=0,0,(AV882-IF(7=D882,1,0))*VLOOKUP(INDEX('章节与怪物'!$E$31:$K$37,B882,7),'章节与怪物'!$A$41:$F$44,4,FALSE)+IF(7=D882,'难度参数'!$E$30,0))</x:f>
        <x:v>1796</x:v>
      </x:c>
    </x:row>
    <x:row r="883" ht="23" customHeight="1">
      <x:c r="A883" s="119" t="n">
        <x:v>877</x:v>
      </x:c>
      <x:c r="B883" s="119" t="n">
        <x:f>MOD(INT((A883-1)/5),7)+1</x:f>
        <x:v>1</x:v>
      </x:c>
      <x:c r="C883" s="62" t="str">
        <x:f>INDEX('章节与怪物'!$B$31:$B$37,B883)</x:f>
        <x:v>冰雪荒原</x:v>
      </x:c>
      <x:c r="D883" s="119" t="n">
        <x:f>MIN('难度参数'!$E$8,MAX('难度参数'!$E$7,A883))</x:f>
        <x:v>7</x:v>
      </x:c>
      <x:c r="E883" s="106" t="n">
        <x:v>1</x:v>
      </x:c>
      <x:c r="F883" s="106" t="n">
        <x:v>0</x:v>
      </x:c>
      <x:c r="G883" s="106" t="n">
        <x:v>1</x:v>
      </x:c>
      <x:c r="H883" s="119" t="n">
        <x:f>SUM(X883,AB883,AF883,AJ883,AN883,AR883,AV883)</x:f>
        <x:v>354</x:v>
      </x:c>
      <x:c r="I883" s="119" t="n">
        <x:f>SUM(Z883,AD883,AH883,AL883,AP883,AT883,AX883)</x:f>
        <x:v>7949635</x:v>
      </x:c>
      <x:c r="J883" s="119" t="n">
        <x:f>ROUND(INDEX(X883:AY883,1,(D883-1)*4+2)*'难度参数'!$E$28*'章节与怪物'!$E$17,0)</x:f>
        <x:v>160337</x:v>
      </x:c>
      <x:c r="K883" s="119" t="n">
        <x:f>SUM(AA883,AE883,AI883,AM883,AQ883,AU883,AY883)</x:f>
        <x:v>8690</x:v>
      </x:c>
      <x:c r="L883" s="62" t="n">
        <x:f>H883*(ROUNDUP('难度参数'!$E$24/('难度参数'!$E$26*'难度参数'!$E$27),0)*'难度参数'!$E$26)/60</x:f>
        <x:v>4.72</x:v>
      </x:c>
      <x:c r="M883" s="62" t="n">
        <x:f>L883+D883*('难度参数'!$E$49+'难度参数'!$E$50)/60</x:f>
        <x:v>5.886666666666667</x:v>
      </x:c>
      <x:c r="N883" s="119" t="n">
        <x:f>ROUNDDOWN(('经济参数'!$E$20+A883*'经济参数'!$E$21)*G883,0)</x:f>
        <x:v>17720</x:v>
      </x:c>
      <x:c r="O883" s="119" t="n">
        <x:f>ROUNDDOWN(MIN('经济参数'!$E$24,'经济参数'!$E$22+A883*'经济参数'!$E$23)*G883,0)</x:f>
        <x:v>0</x:v>
      </x:c>
      <x:c r="P883" s="119" t="n">
        <x:f>ROUNDDOWN((IF(A883&gt;='材料与任务'!$E$31,'材料与任务'!$E$32,IF(A883&gt;='材料与任务'!$E$25,'材料与任务'!$E$26,IF(A883&gt;='材料与任务'!$E$19,'材料与任务'!$E$20,IF(A883&gt;='材料与任务'!$E$13,'材料与任务'!$E$14,'材料与任务'!$E$8)))))*G883,0)</x:f>
        <x:v>6</x:v>
      </x:c>
      <x:c r="Q883" s="119" t="n">
        <x:f>ROUNDDOWN((IF(A883&gt;='材料与任务'!$E$31,'材料与任务'!$E$33,IF(A883&gt;='材料与任务'!$E$25,'材料与任务'!$E$27,IF(A883&gt;='材料与任务'!$E$19,'材料与任务'!$E$21,IF(A883&gt;='材料与任务'!$E$13,'材料与任务'!$E$15,'材料与任务'!$E$9)))))*G883,0)</x:f>
        <x:v>3</x:v>
      </x:c>
      <x:c r="R883" s="110" t="n">
        <x:f>'装备掉落'!$B$38</x:f>
        <x:v>0.6872058758851213</x:v>
      </x:c>
      <x:c r="S883" s="119" t="n">
        <x:f>MAX(IF(VLOOKUP(A883,'装备掉落'!$A$29:$H$34,2,TRUE)&gt;0,1,0),IF(VLOOKUP(A883,'装备掉落'!$A$29:$H$34,3,TRUE)&gt;0,2,0),IF(VLOOKUP(A883,'装备掉落'!$A$29:$H$34,4,TRUE)&gt;0,3,0),IF(VLOOKUP(A883,'装备掉落'!$A$29:$H$34,5,TRUE)&gt;0,4,0),IF(VLOOKUP(A883,'装备掉落'!$A$29:$H$34,6,TRUE)&gt;0,5,0),IF(VLOOKUP(A883,'装备掉落'!$A$29:$H$34,7,TRUE)&gt;0,6,0),IF(VLOOKUP(A883,'装备掉落'!$A$29:$H$34,8,TRUE)&gt;0,7,0))</x:f>
        <x:v>7</x:v>
      </x:c>
      <x:c r="T883" s="119" t="n">
        <x:f>MIN(7,S883+'经济参数'!$E$70)</x:f>
        <x:v>7</x:v>
      </x:c>
      <x:c r="U883" s="119" t="n">
        <x:f>MIN(7,S883+'经济参数'!$E$71)</x:f>
        <x:v>7</x:v>
      </x:c>
      <x:c r="V883" s="119" t="n">
        <x:f>IF(H883&gt;=('难度参数'!$E$52),1,0)+IF(H883&gt;=('难度参数'!$E$52+'难度参数'!$E$53),1,0)+IF(H883&gt;=('难度参数'!$E$52+'难度参数'!$E$53+'难度参数'!$E$54),1,0)+IF(H883&gt;=('难度参数'!$E$52+'难度参数'!$E$53+'难度参数'!$E$54+'难度参数'!$E$55),1,0)+IF(H883&gt;=('难度参数'!$E$52+'难度参数'!$E$53+'难度参数'!$E$54+'难度参数'!$E$55+'难度参数'!$E$56),1,0)+IF(H883&gt;=('难度参数'!$E$52+'难度参数'!$E$53+'难度参数'!$E$54+'难度参数'!$E$55+'难度参数'!$E$56+'难度参数'!$E$57),1,0)</x:f>
        <x:v>6</x:v>
      </x:c>
      <x:c r="W883" s="62" t="str">
        <x:f>IF(L883&gt;'难度参数'!$E$51,"仅出怪已超目标","还需实测")</x:f>
        <x:v>仅出怪已超目标</x:v>
      </x:c>
      <x:c r="X883" s="119" t="n">
        <x:f>IF(1&gt;D883,0,MAX(2,MIN('难度参数'!$E$12,ROUND(('难度参数'!$E$18*POWER(A883,'难度参数'!$E$19)/D883*(0.85+0.3*(1-1)/MAX(1,D883-1))),0)+F883)))</x:f>
        <x:v>43</x:v>
      </x:c>
      <x:c r="Y883" s="119" t="n">
        <x:f>IF(1&gt;D883,0,ROUND(('难度参数'!$E$13*POWER(A883,'难度参数'!$E$20)*MIN('难度参数'!$E$23,1+MAX(0,A883-'难度参数'!$E$21)*'难度参数'!$E$22))*(36+1*7)/(36+7*(D883+1)/2)*E883,0))</x:f>
        <x:v>11928</x:v>
      </x:c>
      <x:c r="Z883" s="119" t="n">
        <x:f>IF(X883=0,0,(X883-IF(1=D883,1,0))*ROUND(Y883*VLOOKUP(INDEX('章节与怪物'!$E$31:$K$37,B883,1),'章节与怪物'!$A$41:$F$44,2,FALSE),0)+IF(1=D883,ROUND(Y883*'难度参数'!$E$28*'章节与怪物'!$E$17,0),0))</x:f>
        <x:v>512904</x:v>
      </x:c>
      <x:c r="AA883" s="119" t="n">
        <x:f>IF(X883=0,0,(X883-IF(1=D883,1,0))*VLOOKUP(INDEX('章节与怪物'!$E$31:$K$37,B883,1),'章节与怪物'!$A$41:$F$44,4,FALSE)+IF(1=D883,'难度参数'!$E$30,0))</x:f>
        <x:v>774</x:v>
      </x:c>
      <x:c r="AB883" s="119" t="n">
        <x:f>IF(2&gt;D883,0,MAX(2,MIN('难度参数'!$E$12,ROUND(('难度参数'!$E$18*POWER(A883,'难度参数'!$E$19)/D883*(0.85+0.3*(2-1)/MAX(1,D883-1))),0)+F883)))</x:f>
        <x:v>45</x:v>
      </x:c>
      <x:c r="AC883" s="119" t="n">
        <x:f>IF(2&gt;D883,0,ROUND(('难度参数'!$E$13*POWER(A883,'难度参数'!$E$20)*MIN('难度参数'!$E$23,1+MAX(0,A883-'难度参数'!$E$21)*'难度参数'!$E$22))*(36+2*7)/(36+7*(D883+1)/2)*E883,0))</x:f>
        <x:v>13870</x:v>
      </x:c>
      <x:c r="AD883" s="119" t="n">
        <x:f>IF(AB883=0,0,(AB883-IF(2=D883,1,0))*ROUND(AC883*VLOOKUP(INDEX('章节与怪物'!$E$31:$K$37,B883,2),'章节与怪物'!$A$41:$F$44,2,FALSE),0)+IF(2=D883,ROUND(AC883*'难度参数'!$E$28*'章节与怪物'!$E$17,0),0))</x:f>
        <x:v>624150</x:v>
      </x:c>
      <x:c r="AE883" s="119" t="n">
        <x:f>IF(AB883=0,0,(AB883-IF(2=D883,1,0))*VLOOKUP(INDEX('章节与怪物'!$E$31:$K$37,B883,2),'章节与怪物'!$A$41:$F$44,4,FALSE)+IF(2=D883,'难度参数'!$E$30,0))</x:f>
        <x:v>810</x:v>
      </x:c>
      <x:c r="AF883" s="119" t="n">
        <x:f>IF(3&gt;D883,0,MAX(2,MIN('难度参数'!$E$12,ROUND(('难度参数'!$E$18*POWER(A883,'难度参数'!$E$19)/D883*(0.85+0.3*(3-1)/MAX(1,D883-1))),0)+F883)))</x:f>
        <x:v>48</x:v>
      </x:c>
      <x:c r="AG883" s="119" t="n">
        <x:f>IF(3&gt;D883,0,ROUND(('难度参数'!$E$13*POWER(A883,'难度参数'!$E$20)*MIN('难度参数'!$E$23,1+MAX(0,A883-'难度参数'!$E$21)*'难度参数'!$E$22))*(36+3*7)/(36+7*(D883+1)/2)*E883,0))</x:f>
        <x:v>15812</x:v>
      </x:c>
      <x:c r="AH883" s="119" t="n">
        <x:f>IF(AF883=0,0,(AF883-IF(3=D883,1,0))*ROUND(AG883*VLOOKUP(INDEX('章节与怪物'!$E$31:$K$37,B883,3),'章节与怪物'!$A$41:$F$44,2,FALSE),0)+IF(3=D883,ROUND(AG883*'难度参数'!$E$28*'章节与怪物'!$E$17,0),0))</x:f>
        <x:v>546480</x:v>
      </x:c>
      <x:c r="AI883" s="119" t="n">
        <x:f>IF(AF883=0,0,(AF883-IF(3=D883,1,0))*VLOOKUP(INDEX('章节与怪物'!$E$31:$K$37,B883,3),'章节与怪物'!$A$41:$F$44,4,FALSE)+IF(3=D883,'难度参数'!$E$30,0))</x:f>
        <x:v>960</x:v>
      </x:c>
      <x:c r="AJ883" s="119" t="n">
        <x:f>IF(4&gt;D883,0,MAX(2,MIN('难度参数'!$E$12,ROUND(('难度参数'!$E$18*POWER(A883,'难度参数'!$E$19)/D883*(0.85+0.3*(4-1)/MAX(1,D883-1))),0)+F883)))</x:f>
        <x:v>51</x:v>
      </x:c>
      <x:c r="AK883" s="119" t="n">
        <x:f>IF(4&gt;D883,0,ROUND(('难度参数'!$E$13*POWER(A883,'难度参数'!$E$20)*MIN('难度参数'!$E$23,1+MAX(0,A883-'难度参数'!$E$21)*'难度参数'!$E$22))*(36+4*7)/(36+7*(D883+1)/2)*E883,0))</x:f>
        <x:v>17754</x:v>
      </x:c>
      <x:c r="AL883" s="119" t="n">
        <x:f>IF(AJ883=0,0,(AJ883-IF(4=D883,1,0))*ROUND(AK883*VLOOKUP(INDEX('章节与怪物'!$E$31:$K$37,B883,4),'章节与怪物'!$A$41:$F$44,2,FALSE),0)+IF(4=D883,ROUND(AK883*'难度参数'!$E$28*'章节与怪物'!$E$17,0),0))</x:f>
        <x:v>1539282</x:v>
      </x:c>
      <x:c r="AM883" s="119" t="n">
        <x:f>IF(AJ883=0,0,(AJ883-IF(4=D883,1,0))*VLOOKUP(INDEX('章节与怪物'!$E$31:$K$37,B883,4),'章节与怪物'!$A$41:$F$44,4,FALSE)+IF(4=D883,'难度参数'!$E$30,0))</x:f>
        <x:v>1428</x:v>
      </x:c>
      <x:c r="AN883" s="119" t="n">
        <x:f>IF(5&gt;D883,0,MAX(2,MIN('难度参数'!$E$12,ROUND(('难度参数'!$E$18*POWER(A883,'难度参数'!$E$19)/D883*(0.85+0.3*(5-1)/MAX(1,D883-1))),0)+F883)))</x:f>
        <x:v>53</x:v>
      </x:c>
      <x:c r="AO883" s="119" t="n">
        <x:f>IF(5&gt;D883,0,ROUND(('难度参数'!$E$13*POWER(A883,'难度参数'!$E$20)*MIN('难度参数'!$E$23,1+MAX(0,A883-'难度参数'!$E$21)*'难度参数'!$E$22))*(36+5*7)/(36+7*(D883+1)/2)*E883,0))</x:f>
        <x:v>19696</x:v>
      </x:c>
      <x:c r="AP883" s="119" t="n">
        <x:f>IF(AN883=0,0,(AN883-IF(5=D883,1,0))*ROUND(AO883*VLOOKUP(INDEX('章节与怪物'!$E$31:$K$37,B883,5),'章节与怪物'!$A$41:$F$44,2,FALSE),0)+IF(5=D883,ROUND(AO883*'难度参数'!$E$28*'章节与怪物'!$E$17,0),0))</x:f>
        <x:v>1409270</x:v>
      </x:c>
      <x:c r="AQ883" s="119" t="n">
        <x:f>IF(AN883=0,0,(AN883-IF(5=D883,1,0))*VLOOKUP(INDEX('章节与怪物'!$E$31:$K$37,B883,5),'章节与怪物'!$A$41:$F$44,4,FALSE)+IF(5=D883,'难度参数'!$E$30,0))</x:f>
        <x:v>1802</x:v>
      </x:c>
      <x:c r="AR883" s="119" t="n">
        <x:f>IF(6&gt;D883,0,MAX(2,MIN('难度参数'!$E$12,ROUND(('难度参数'!$E$18*POWER(A883,'难度参数'!$E$19)/D883*(0.85+0.3*(6-1)/MAX(1,D883-1))),0)+F883)))</x:f>
        <x:v>56</x:v>
      </x:c>
      <x:c r="AS883" s="119" t="n">
        <x:f>IF(6&gt;D883,0,ROUND(('难度参数'!$E$13*POWER(A883,'难度参数'!$E$20)*MIN('难度参数'!$E$23,1+MAX(0,A883-'难度参数'!$E$21)*'难度参数'!$E$22))*(36+6*7)/(36+7*(D883+1)/2)*E883,0))</x:f>
        <x:v>21638</x:v>
      </x:c>
      <x:c r="AT883" s="119" t="n">
        <x:f>IF(AR883=0,0,(AR883-IF(6=D883,1,0))*ROUND(AS883*VLOOKUP(INDEX('章节与怪物'!$E$31:$K$37,B883,6),'章节与怪物'!$A$41:$F$44,2,FALSE),0)+IF(6=D883,ROUND(AS883*'难度参数'!$E$28*'章节与怪物'!$E$17,0),0))</x:f>
        <x:v>872424</x:v>
      </x:c>
      <x:c r="AU883" s="119" t="n">
        <x:f>IF(AR883=0,0,(AR883-IF(6=D883,1,0))*VLOOKUP(INDEX('章节与怪物'!$E$31:$K$37,B883,6),'章节与怪物'!$A$41:$F$44,4,FALSE)+IF(6=D883,'难度参数'!$E$30,0))</x:f>
        <x:v>1120</x:v>
      </x:c>
      <x:c r="AV883" s="119" t="n">
        <x:f>IF(7&gt;D883,0,MAX(2,MIN('难度参数'!$E$12,ROUND(('难度参数'!$E$18*POWER(A883,'难度参数'!$E$19)/D883*(0.85+0.3*(7-1)/MAX(1,D883-1))),0)+F883)))</x:f>
        <x:v>58</x:v>
      </x:c>
      <x:c r="AW883" s="119" t="n">
        <x:f>IF(7&gt;D883,0,ROUND(('难度参数'!$E$13*POWER(A883,'难度参数'!$E$20)*MIN('难度参数'!$E$23,1+MAX(0,A883-'难度参数'!$E$21)*'难度参数'!$E$22))*(36+7*7)/(36+7*(D883+1)/2)*E883,0))</x:f>
        <x:v>23579</x:v>
      </x:c>
      <x:c r="AX883" s="119" t="n">
        <x:f>IF(AV883=0,0,(AV883-IF(7=D883,1,0))*ROUND(AW883*VLOOKUP(INDEX('章节与怪物'!$E$31:$K$37,B883,7),'章节与怪物'!$A$41:$F$44,2,FALSE),0)+IF(7=D883,ROUND(AW883*'难度参数'!$E$28*'章节与怪物'!$E$17,0),0))</x:f>
        <x:v>2445125</x:v>
      </x:c>
      <x:c r="AY883" s="119" t="n">
        <x:f>IF(AV883=0,0,(AV883-IF(7=D883,1,0))*VLOOKUP(INDEX('章节与怪物'!$E$31:$K$37,B883,7),'章节与怪物'!$A$41:$F$44,4,FALSE)+IF(7=D883,'难度参数'!$E$30,0))</x:f>
        <x:v>1796</x:v>
      </x:c>
    </x:row>
    <x:row r="884" ht="23" customHeight="1">
      <x:c r="A884" s="119" t="n">
        <x:v>878</x:v>
      </x:c>
      <x:c r="B884" s="119" t="n">
        <x:f>MOD(INT((A884-1)/5),7)+1</x:f>
        <x:v>1</x:v>
      </x:c>
      <x:c r="C884" s="62" t="str">
        <x:f>INDEX('章节与怪物'!$B$31:$B$37,B884)</x:f>
        <x:v>冰雪荒原</x:v>
      </x:c>
      <x:c r="D884" s="119" t="n">
        <x:f>MIN('难度参数'!$E$8,MAX('难度参数'!$E$7,A884))</x:f>
        <x:v>7</x:v>
      </x:c>
      <x:c r="E884" s="106" t="n">
        <x:v>1</x:v>
      </x:c>
      <x:c r="F884" s="106" t="n">
        <x:v>0</x:v>
      </x:c>
      <x:c r="G884" s="106" t="n">
        <x:v>1</x:v>
      </x:c>
      <x:c r="H884" s="119" t="n">
        <x:f>SUM(X884,AB884,AF884,AJ884,AN884,AR884,AV884)</x:f>
        <x:v>354</x:v>
      </x:c>
      <x:c r="I884" s="119" t="n">
        <x:f>SUM(Z884,AD884,AH884,AL884,AP884,AT884,AX884)</x:f>
        <x:v>7956176</x:v>
      </x:c>
      <x:c r="J884" s="119" t="n">
        <x:f>ROUND(INDEX(X884:AY884,1,(D884-1)*4+2)*'难度参数'!$E$28*'章节与怪物'!$E$17,0)</x:f>
        <x:v>160473</x:v>
      </x:c>
      <x:c r="K884" s="119" t="n">
        <x:f>SUM(AA884,AE884,AI884,AM884,AQ884,AU884,AY884)</x:f>
        <x:v>8690</x:v>
      </x:c>
      <x:c r="L884" s="62" t="n">
        <x:f>H884*(ROUNDUP('难度参数'!$E$24/('难度参数'!$E$26*'难度参数'!$E$27),0)*'难度参数'!$E$26)/60</x:f>
        <x:v>4.72</x:v>
      </x:c>
      <x:c r="M884" s="62" t="n">
        <x:f>L884+D884*('难度参数'!$E$49+'难度参数'!$E$50)/60</x:f>
        <x:v>5.886666666666667</x:v>
      </x:c>
      <x:c r="N884" s="119" t="n">
        <x:f>ROUNDDOWN(('经济参数'!$E$20+A884*'经济参数'!$E$21)*G884,0)</x:f>
        <x:v>17740</x:v>
      </x:c>
      <x:c r="O884" s="119" t="n">
        <x:f>ROUNDDOWN(MIN('经济参数'!$E$24,'经济参数'!$E$22+A884*'经济参数'!$E$23)*G884,0)</x:f>
        <x:v>0</x:v>
      </x:c>
      <x:c r="P884" s="119" t="n">
        <x:f>ROUNDDOWN((IF(A884&gt;='材料与任务'!$E$31,'材料与任务'!$E$32,IF(A884&gt;='材料与任务'!$E$25,'材料与任务'!$E$26,IF(A884&gt;='材料与任务'!$E$19,'材料与任务'!$E$20,IF(A884&gt;='材料与任务'!$E$13,'材料与任务'!$E$14,'材料与任务'!$E$8)))))*G884,0)</x:f>
        <x:v>6</x:v>
      </x:c>
      <x:c r="Q884" s="119" t="n">
        <x:f>ROUNDDOWN((IF(A884&gt;='材料与任务'!$E$31,'材料与任务'!$E$33,IF(A884&gt;='材料与任务'!$E$25,'材料与任务'!$E$27,IF(A884&gt;='材料与任务'!$E$19,'材料与任务'!$E$21,IF(A884&gt;='材料与任务'!$E$13,'材料与任务'!$E$15,'材料与任务'!$E$9)))))*G884,0)</x:f>
        <x:v>3</x:v>
      </x:c>
      <x:c r="R884" s="110" t="n">
        <x:f>'装备掉落'!$B$38</x:f>
        <x:v>0.6872058758851213</x:v>
      </x:c>
      <x:c r="S884" s="119" t="n">
        <x:f>MAX(IF(VLOOKUP(A884,'装备掉落'!$A$29:$H$34,2,TRUE)&gt;0,1,0),IF(VLOOKUP(A884,'装备掉落'!$A$29:$H$34,3,TRUE)&gt;0,2,0),IF(VLOOKUP(A884,'装备掉落'!$A$29:$H$34,4,TRUE)&gt;0,3,0),IF(VLOOKUP(A884,'装备掉落'!$A$29:$H$34,5,TRUE)&gt;0,4,0),IF(VLOOKUP(A884,'装备掉落'!$A$29:$H$34,6,TRUE)&gt;0,5,0),IF(VLOOKUP(A884,'装备掉落'!$A$29:$H$34,7,TRUE)&gt;0,6,0),IF(VLOOKUP(A884,'装备掉落'!$A$29:$H$34,8,TRUE)&gt;0,7,0))</x:f>
        <x:v>7</x:v>
      </x:c>
      <x:c r="T884" s="119" t="n">
        <x:f>MIN(7,S884+'经济参数'!$E$70)</x:f>
        <x:v>7</x:v>
      </x:c>
      <x:c r="U884" s="119" t="n">
        <x:f>MIN(7,S884+'经济参数'!$E$71)</x:f>
        <x:v>7</x:v>
      </x:c>
      <x:c r="V884" s="119" t="n">
        <x:f>IF(H884&gt;=('难度参数'!$E$52),1,0)+IF(H884&gt;=('难度参数'!$E$52+'难度参数'!$E$53),1,0)+IF(H884&gt;=('难度参数'!$E$52+'难度参数'!$E$53+'难度参数'!$E$54),1,0)+IF(H884&gt;=('难度参数'!$E$52+'难度参数'!$E$53+'难度参数'!$E$54+'难度参数'!$E$55),1,0)+IF(H884&gt;=('难度参数'!$E$52+'难度参数'!$E$53+'难度参数'!$E$54+'难度参数'!$E$55+'难度参数'!$E$56),1,0)+IF(H884&gt;=('难度参数'!$E$52+'难度参数'!$E$53+'难度参数'!$E$54+'难度参数'!$E$55+'难度参数'!$E$56+'难度参数'!$E$57),1,0)</x:f>
        <x:v>6</x:v>
      </x:c>
      <x:c r="W884" s="62" t="str">
        <x:f>IF(L884&gt;'难度参数'!$E$51,"仅出怪已超目标","还需实测")</x:f>
        <x:v>仅出怪已超目标</x:v>
      </x:c>
      <x:c r="X884" s="119" t="n">
        <x:f>IF(1&gt;D884,0,MAX(2,MIN('难度参数'!$E$12,ROUND(('难度参数'!$E$18*POWER(A884,'难度参数'!$E$19)/D884*(0.85+0.3*(1-1)/MAX(1,D884-1))),0)+F884)))</x:f>
        <x:v>43</x:v>
      </x:c>
      <x:c r="Y884" s="119" t="n">
        <x:f>IF(1&gt;D884,0,ROUND(('难度参数'!$E$13*POWER(A884,'难度参数'!$E$20)*MIN('难度参数'!$E$23,1+MAX(0,A884-'难度参数'!$E$21)*'难度参数'!$E$22))*(36+1*7)/(36+7*(D884+1)/2)*E884,0))</x:f>
        <x:v>11938</x:v>
      </x:c>
      <x:c r="Z884" s="119" t="n">
        <x:f>IF(X884=0,0,(X884-IF(1=D884,1,0))*ROUND(Y884*VLOOKUP(INDEX('章节与怪物'!$E$31:$K$37,B884,1),'章节与怪物'!$A$41:$F$44,2,FALSE),0)+IF(1=D884,ROUND(Y884*'难度参数'!$E$28*'章节与怪物'!$E$17,0),0))</x:f>
        <x:v>513334</x:v>
      </x:c>
      <x:c r="AA884" s="119" t="n">
        <x:f>IF(X884=0,0,(X884-IF(1=D884,1,0))*VLOOKUP(INDEX('章节与怪物'!$E$31:$K$37,B884,1),'章节与怪物'!$A$41:$F$44,4,FALSE)+IF(1=D884,'难度参数'!$E$30,0))</x:f>
        <x:v>774</x:v>
      </x:c>
      <x:c r="AB884" s="119" t="n">
        <x:f>IF(2&gt;D884,0,MAX(2,MIN('难度参数'!$E$12,ROUND(('难度参数'!$E$18*POWER(A884,'难度参数'!$E$19)/D884*(0.85+0.3*(2-1)/MAX(1,D884-1))),0)+F884)))</x:f>
        <x:v>45</x:v>
      </x:c>
      <x:c r="AC884" s="119" t="n">
        <x:f>IF(2&gt;D884,0,ROUND(('难度参数'!$E$13*POWER(A884,'难度参数'!$E$20)*MIN('难度参数'!$E$23,1+MAX(0,A884-'难度参数'!$E$21)*'难度参数'!$E$22))*(36+2*7)/(36+7*(D884+1)/2)*E884,0))</x:f>
        <x:v>13882</x:v>
      </x:c>
      <x:c r="AD884" s="119" t="n">
        <x:f>IF(AB884=0,0,(AB884-IF(2=D884,1,0))*ROUND(AC884*VLOOKUP(INDEX('章节与怪物'!$E$31:$K$37,B884,2),'章节与怪物'!$A$41:$F$44,2,FALSE),0)+IF(2=D884,ROUND(AC884*'难度参数'!$E$28*'章节与怪物'!$E$17,0),0))</x:f>
        <x:v>624690</x:v>
      </x:c>
      <x:c r="AE884" s="119" t="n">
        <x:f>IF(AB884=0,0,(AB884-IF(2=D884,1,0))*VLOOKUP(INDEX('章节与怪物'!$E$31:$K$37,B884,2),'章节与怪物'!$A$41:$F$44,4,FALSE)+IF(2=D884,'难度参数'!$E$30,0))</x:f>
        <x:v>810</x:v>
      </x:c>
      <x:c r="AF884" s="119" t="n">
        <x:f>IF(3&gt;D884,0,MAX(2,MIN('难度参数'!$E$12,ROUND(('难度参数'!$E$18*POWER(A884,'难度参数'!$E$19)/D884*(0.85+0.3*(3-1)/MAX(1,D884-1))),0)+F884)))</x:f>
        <x:v>48</x:v>
      </x:c>
      <x:c r="AG884" s="119" t="n">
        <x:f>IF(3&gt;D884,0,ROUND(('难度参数'!$E$13*POWER(A884,'难度参数'!$E$20)*MIN('难度参数'!$E$23,1+MAX(0,A884-'难度参数'!$E$21)*'难度参数'!$E$22))*(36+3*7)/(36+7*(D884+1)/2)*E884,0))</x:f>
        <x:v>15825</x:v>
      </x:c>
      <x:c r="AH884" s="119" t="n">
        <x:f>IF(AF884=0,0,(AF884-IF(3=D884,1,0))*ROUND(AG884*VLOOKUP(INDEX('章节与怪物'!$E$31:$K$37,B884,3),'章节与怪物'!$A$41:$F$44,2,FALSE),0)+IF(3=D884,ROUND(AG884*'难度参数'!$E$28*'章节与怪物'!$E$17,0),0))</x:f>
        <x:v>546912</x:v>
      </x:c>
      <x:c r="AI884" s="119" t="n">
        <x:f>IF(AF884=0,0,(AF884-IF(3=D884,1,0))*VLOOKUP(INDEX('章节与怪物'!$E$31:$K$37,B884,3),'章节与怪物'!$A$41:$F$44,4,FALSE)+IF(3=D884,'难度参数'!$E$30,0))</x:f>
        <x:v>960</x:v>
      </x:c>
      <x:c r="AJ884" s="119" t="n">
        <x:f>IF(4&gt;D884,0,MAX(2,MIN('难度参数'!$E$12,ROUND(('难度参数'!$E$18*POWER(A884,'难度参数'!$E$19)/D884*(0.85+0.3*(4-1)/MAX(1,D884-1))),0)+F884)))</x:f>
        <x:v>51</x:v>
      </x:c>
      <x:c r="AK884" s="119" t="n">
        <x:f>IF(4&gt;D884,0,ROUND(('难度参数'!$E$13*POWER(A884,'难度参数'!$E$20)*MIN('难度参数'!$E$23,1+MAX(0,A884-'难度参数'!$E$21)*'难度参数'!$E$22))*(36+4*7)/(36+7*(D884+1)/2)*E884,0))</x:f>
        <x:v>17768</x:v>
      </x:c>
      <x:c r="AL884" s="119" t="n">
        <x:f>IF(AJ884=0,0,(AJ884-IF(4=D884,1,0))*ROUND(AK884*VLOOKUP(INDEX('章节与怪物'!$E$31:$K$37,B884,4),'章节与怪物'!$A$41:$F$44,2,FALSE),0)+IF(4=D884,ROUND(AK884*'难度参数'!$E$28*'章节与怪物'!$E$17,0),0))</x:f>
        <x:v>1540506</x:v>
      </x:c>
      <x:c r="AM884" s="119" t="n">
        <x:f>IF(AJ884=0,0,(AJ884-IF(4=D884,1,0))*VLOOKUP(INDEX('章节与怪物'!$E$31:$K$37,B884,4),'章节与怪物'!$A$41:$F$44,4,FALSE)+IF(4=D884,'难度参数'!$E$30,0))</x:f>
        <x:v>1428</x:v>
      </x:c>
      <x:c r="AN884" s="119" t="n">
        <x:f>IF(5&gt;D884,0,MAX(2,MIN('难度参数'!$E$12,ROUND(('难度参数'!$E$18*POWER(A884,'难度参数'!$E$19)/D884*(0.85+0.3*(5-1)/MAX(1,D884-1))),0)+F884)))</x:f>
        <x:v>53</x:v>
      </x:c>
      <x:c r="AO884" s="119" t="n">
        <x:f>IF(5&gt;D884,0,ROUND(('难度参数'!$E$13*POWER(A884,'难度参数'!$E$20)*MIN('难度参数'!$E$23,1+MAX(0,A884-'难度参数'!$E$21)*'难度参数'!$E$22))*(36+5*7)/(36+7*(D884+1)/2)*E884,0))</x:f>
        <x:v>19712</x:v>
      </x:c>
      <x:c r="AP884" s="119" t="n">
        <x:f>IF(AN884=0,0,(AN884-IF(5=D884,1,0))*ROUND(AO884*VLOOKUP(INDEX('章节与怪物'!$E$31:$K$37,B884,5),'章节与怪物'!$A$41:$F$44,2,FALSE),0)+IF(5=D884,ROUND(AO884*'难度参数'!$E$28*'章节与怪物'!$E$17,0),0))</x:f>
        <x:v>1410383</x:v>
      </x:c>
      <x:c r="AQ884" s="119" t="n">
        <x:f>IF(AN884=0,0,(AN884-IF(5=D884,1,0))*VLOOKUP(INDEX('章节与怪物'!$E$31:$K$37,B884,5),'章节与怪物'!$A$41:$F$44,4,FALSE)+IF(5=D884,'难度参数'!$E$30,0))</x:f>
        <x:v>1802</x:v>
      </x:c>
      <x:c r="AR884" s="119" t="n">
        <x:f>IF(6&gt;D884,0,MAX(2,MIN('难度参数'!$E$12,ROUND(('难度参数'!$E$18*POWER(A884,'难度参数'!$E$19)/D884*(0.85+0.3*(6-1)/MAX(1,D884-1))),0)+F884)))</x:f>
        <x:v>56</x:v>
      </x:c>
      <x:c r="AS884" s="119" t="n">
        <x:f>IF(6&gt;D884,0,ROUND(('难度参数'!$E$13*POWER(A884,'难度参数'!$E$20)*MIN('难度参数'!$E$23,1+MAX(0,A884-'难度参数'!$E$21)*'难度参数'!$E$22))*(36+6*7)/(36+7*(D884+1)/2)*E884,0))</x:f>
        <x:v>21655</x:v>
      </x:c>
      <x:c r="AT884" s="119" t="n">
        <x:f>IF(AR884=0,0,(AR884-IF(6=D884,1,0))*ROUND(AS884*VLOOKUP(INDEX('章节与怪物'!$E$31:$K$37,B884,6),'章节与怪物'!$A$41:$F$44,2,FALSE),0)+IF(6=D884,ROUND(AS884*'难度参数'!$E$28*'章节与怪物'!$E$17,0),0))</x:f>
        <x:v>873152</x:v>
      </x:c>
      <x:c r="AU884" s="119" t="n">
        <x:f>IF(AR884=0,0,(AR884-IF(6=D884,1,0))*VLOOKUP(INDEX('章节与怪物'!$E$31:$K$37,B884,6),'章节与怪物'!$A$41:$F$44,4,FALSE)+IF(6=D884,'难度参数'!$E$30,0))</x:f>
        <x:v>1120</x:v>
      </x:c>
      <x:c r="AV884" s="119" t="n">
        <x:f>IF(7&gt;D884,0,MAX(2,MIN('难度参数'!$E$12,ROUND(('难度参数'!$E$18*POWER(A884,'难度参数'!$E$19)/D884*(0.85+0.3*(7-1)/MAX(1,D884-1))),0)+F884)))</x:f>
        <x:v>58</x:v>
      </x:c>
      <x:c r="AW884" s="119" t="n">
        <x:f>IF(7&gt;D884,0,ROUND(('难度参数'!$E$13*POWER(A884,'难度参数'!$E$20)*MIN('难度参数'!$E$23,1+MAX(0,A884-'难度参数'!$E$21)*'难度参数'!$E$22))*(36+7*7)/(36+7*(D884+1)/2)*E884,0))</x:f>
        <x:v>23599</x:v>
      </x:c>
      <x:c r="AX884" s="119" t="n">
        <x:f>IF(AV884=0,0,(AV884-IF(7=D884,1,0))*ROUND(AW884*VLOOKUP(INDEX('章节与怪物'!$E$31:$K$37,B884,7),'章节与怪物'!$A$41:$F$44,2,FALSE),0)+IF(7=D884,ROUND(AW884*'难度参数'!$E$28*'章节与怪物'!$E$17,0),0))</x:f>
        <x:v>2447199</x:v>
      </x:c>
      <x:c r="AY884" s="119" t="n">
        <x:f>IF(AV884=0,0,(AV884-IF(7=D884,1,0))*VLOOKUP(INDEX('章节与怪物'!$E$31:$K$37,B884,7),'章节与怪物'!$A$41:$F$44,4,FALSE)+IF(7=D884,'难度参数'!$E$30,0))</x:f>
        <x:v>1796</x:v>
      </x:c>
    </x:row>
    <x:row r="885" ht="23" customHeight="1">
      <x:c r="A885" s="119" t="n">
        <x:v>879</x:v>
      </x:c>
      <x:c r="B885" s="119" t="n">
        <x:f>MOD(INT((A885-1)/5),7)+1</x:f>
        <x:v>1</x:v>
      </x:c>
      <x:c r="C885" s="62" t="str">
        <x:f>INDEX('章节与怪物'!$B$31:$B$37,B885)</x:f>
        <x:v>冰雪荒原</x:v>
      </x:c>
      <x:c r="D885" s="119" t="n">
        <x:f>MIN('难度参数'!$E$8,MAX('难度参数'!$E$7,A885))</x:f>
        <x:v>7</x:v>
      </x:c>
      <x:c r="E885" s="106" t="n">
        <x:v>1</x:v>
      </x:c>
      <x:c r="F885" s="106" t="n">
        <x:v>0</x:v>
      </x:c>
      <x:c r="G885" s="106" t="n">
        <x:v>1</x:v>
      </x:c>
      <x:c r="H885" s="119" t="n">
        <x:f>SUM(X885,AB885,AF885,AJ885,AN885,AR885,AV885)</x:f>
        <x:v>355</x:v>
      </x:c>
      <x:c r="I885" s="119" t="n">
        <x:f>SUM(Z885,AD885,AH885,AL885,AP885,AT885,AX885)</x:f>
        <x:v>7976605</x:v>
      </x:c>
      <x:c r="J885" s="119" t="n">
        <x:f>ROUND(INDEX(X885:AY885,1,(D885-1)*4+2)*'难度参数'!$E$28*'章节与怪物'!$E$17,0)</x:f>
        <x:v>160602</x:v>
      </x:c>
      <x:c r="K885" s="119" t="n">
        <x:f>SUM(AA885,AE885,AI885,AM885,AQ885,AU885,AY885)</x:f>
        <x:v>8708</x:v>
      </x:c>
      <x:c r="L885" s="62" t="n">
        <x:f>H885*(ROUNDUP('难度参数'!$E$24/('难度参数'!$E$26*'难度参数'!$E$27),0)*'难度参数'!$E$26)/60</x:f>
        <x:v>4.733333333333333</x:v>
      </x:c>
      <x:c r="M885" s="62" t="n">
        <x:f>L885+D885*('难度参数'!$E$49+'难度参数'!$E$50)/60</x:f>
        <x:v>5.9</x:v>
      </x:c>
      <x:c r="N885" s="119" t="n">
        <x:f>ROUNDDOWN(('经济参数'!$E$20+A885*'经济参数'!$E$21)*G885,0)</x:f>
        <x:v>17760</x:v>
      </x:c>
      <x:c r="O885" s="119" t="n">
        <x:f>ROUNDDOWN(MIN('经济参数'!$E$24,'经济参数'!$E$22+A885*'经济参数'!$E$23)*G885,0)</x:f>
        <x:v>0</x:v>
      </x:c>
      <x:c r="P885" s="119" t="n">
        <x:f>ROUNDDOWN((IF(A885&gt;='材料与任务'!$E$31,'材料与任务'!$E$32,IF(A885&gt;='材料与任务'!$E$25,'材料与任务'!$E$26,IF(A885&gt;='材料与任务'!$E$19,'材料与任务'!$E$20,IF(A885&gt;='材料与任务'!$E$13,'材料与任务'!$E$14,'材料与任务'!$E$8)))))*G885,0)</x:f>
        <x:v>6</x:v>
      </x:c>
      <x:c r="Q885" s="119" t="n">
        <x:f>ROUNDDOWN((IF(A885&gt;='材料与任务'!$E$31,'材料与任务'!$E$33,IF(A885&gt;='材料与任务'!$E$25,'材料与任务'!$E$27,IF(A885&gt;='材料与任务'!$E$19,'材料与任务'!$E$21,IF(A885&gt;='材料与任务'!$E$13,'材料与任务'!$E$15,'材料与任务'!$E$9)))))*G885,0)</x:f>
        <x:v>3</x:v>
      </x:c>
      <x:c r="R885" s="110" t="n">
        <x:f>'装备掉落'!$B$38</x:f>
        <x:v>0.6872058758851213</x:v>
      </x:c>
      <x:c r="S885" s="119" t="n">
        <x:f>MAX(IF(VLOOKUP(A885,'装备掉落'!$A$29:$H$34,2,TRUE)&gt;0,1,0),IF(VLOOKUP(A885,'装备掉落'!$A$29:$H$34,3,TRUE)&gt;0,2,0),IF(VLOOKUP(A885,'装备掉落'!$A$29:$H$34,4,TRUE)&gt;0,3,0),IF(VLOOKUP(A885,'装备掉落'!$A$29:$H$34,5,TRUE)&gt;0,4,0),IF(VLOOKUP(A885,'装备掉落'!$A$29:$H$34,6,TRUE)&gt;0,5,0),IF(VLOOKUP(A885,'装备掉落'!$A$29:$H$34,7,TRUE)&gt;0,6,0),IF(VLOOKUP(A885,'装备掉落'!$A$29:$H$34,8,TRUE)&gt;0,7,0))</x:f>
        <x:v>7</x:v>
      </x:c>
      <x:c r="T885" s="119" t="n">
        <x:f>MIN(7,S885+'经济参数'!$E$70)</x:f>
        <x:v>7</x:v>
      </x:c>
      <x:c r="U885" s="119" t="n">
        <x:f>MIN(7,S885+'经济参数'!$E$71)</x:f>
        <x:v>7</x:v>
      </x:c>
      <x:c r="V885" s="119" t="n">
        <x:f>IF(H885&gt;=('难度参数'!$E$52),1,0)+IF(H885&gt;=('难度参数'!$E$52+'难度参数'!$E$53),1,0)+IF(H885&gt;=('难度参数'!$E$52+'难度参数'!$E$53+'难度参数'!$E$54),1,0)+IF(H885&gt;=('难度参数'!$E$52+'难度参数'!$E$53+'难度参数'!$E$54+'难度参数'!$E$55),1,0)+IF(H885&gt;=('难度参数'!$E$52+'难度参数'!$E$53+'难度参数'!$E$54+'难度参数'!$E$55+'难度参数'!$E$56),1,0)+IF(H885&gt;=('难度参数'!$E$52+'难度参数'!$E$53+'难度参数'!$E$54+'难度参数'!$E$55+'难度参数'!$E$56+'难度参数'!$E$57),1,0)</x:f>
        <x:v>6</x:v>
      </x:c>
      <x:c r="W885" s="62" t="str">
        <x:f>IF(L885&gt;'难度参数'!$E$51,"仅出怪已超目标","还需实测")</x:f>
        <x:v>仅出怪已超目标</x:v>
      </x:c>
      <x:c r="X885" s="119" t="n">
        <x:f>IF(1&gt;D885,0,MAX(2,MIN('难度参数'!$E$12,ROUND(('难度参数'!$E$18*POWER(A885,'难度参数'!$E$19)/D885*(0.85+0.3*(1-1)/MAX(1,D885-1))),0)+F885)))</x:f>
        <x:v>43</x:v>
      </x:c>
      <x:c r="Y885" s="119" t="n">
        <x:f>IF(1&gt;D885,0,ROUND(('难度参数'!$E$13*POWER(A885,'难度参数'!$E$20)*MIN('难度参数'!$E$23,1+MAX(0,A885-'难度参数'!$E$21)*'难度参数'!$E$22))*(36+1*7)/(36+7*(D885+1)/2)*E885,0))</x:f>
        <x:v>11948</x:v>
      </x:c>
      <x:c r="Z885" s="119" t="n">
        <x:f>IF(X885=0,0,(X885-IF(1=D885,1,0))*ROUND(Y885*VLOOKUP(INDEX('章节与怪物'!$E$31:$K$37,B885,1),'章节与怪物'!$A$41:$F$44,2,FALSE),0)+IF(1=D885,ROUND(Y885*'难度参数'!$E$28*'章节与怪物'!$E$17,0),0))</x:f>
        <x:v>513764</x:v>
      </x:c>
      <x:c r="AA885" s="119" t="n">
        <x:f>IF(X885=0,0,(X885-IF(1=D885,1,0))*VLOOKUP(INDEX('章节与怪物'!$E$31:$K$37,B885,1),'章节与怪物'!$A$41:$F$44,4,FALSE)+IF(1=D885,'难度参数'!$E$30,0))</x:f>
        <x:v>774</x:v>
      </x:c>
      <x:c r="AB885" s="119" t="n">
        <x:f>IF(2&gt;D885,0,MAX(2,MIN('难度参数'!$E$12,ROUND(('难度参数'!$E$18*POWER(A885,'难度参数'!$E$19)/D885*(0.85+0.3*(2-1)/MAX(1,D885-1))),0)+F885)))</x:f>
        <x:v>46</x:v>
      </x:c>
      <x:c r="AC885" s="119" t="n">
        <x:f>IF(2&gt;D885,0,ROUND(('难度参数'!$E$13*POWER(A885,'难度参数'!$E$20)*MIN('难度参数'!$E$23,1+MAX(0,A885-'难度参数'!$E$21)*'难度参数'!$E$22))*(36+2*7)/(36+7*(D885+1)/2)*E885,0))</x:f>
        <x:v>13893</x:v>
      </x:c>
      <x:c r="AD885" s="119" t="n">
        <x:f>IF(AB885=0,0,(AB885-IF(2=D885,1,0))*ROUND(AC885*VLOOKUP(INDEX('章节与怪物'!$E$31:$K$37,B885,2),'章节与怪物'!$A$41:$F$44,2,FALSE),0)+IF(2=D885,ROUND(AC885*'难度参数'!$E$28*'章节与怪物'!$E$17,0),0))</x:f>
        <x:v>639078</x:v>
      </x:c>
      <x:c r="AE885" s="119" t="n">
        <x:f>IF(AB885=0,0,(AB885-IF(2=D885,1,0))*VLOOKUP(INDEX('章节与怪物'!$E$31:$K$37,B885,2),'章节与怪物'!$A$41:$F$44,4,FALSE)+IF(2=D885,'难度参数'!$E$30,0))</x:f>
        <x:v>828</x:v>
      </x:c>
      <x:c r="AF885" s="119" t="n">
        <x:f>IF(3&gt;D885,0,MAX(2,MIN('难度参数'!$E$12,ROUND(('难度参数'!$E$18*POWER(A885,'难度参数'!$E$19)/D885*(0.85+0.3*(3-1)/MAX(1,D885-1))),0)+F885)))</x:f>
        <x:v>48</x:v>
      </x:c>
      <x:c r="AG885" s="119" t="n">
        <x:f>IF(3&gt;D885,0,ROUND(('难度参数'!$E$13*POWER(A885,'难度参数'!$E$20)*MIN('难度参数'!$E$23,1+MAX(0,A885-'难度参数'!$E$21)*'难度参数'!$E$22))*(36+3*7)/(36+7*(D885+1)/2)*E885,0))</x:f>
        <x:v>15838</x:v>
      </x:c>
      <x:c r="AH885" s="119" t="n">
        <x:f>IF(AF885=0,0,(AF885-IF(3=D885,1,0))*ROUND(AG885*VLOOKUP(INDEX('章节与怪物'!$E$31:$K$37,B885,3),'章节与怪物'!$A$41:$F$44,2,FALSE),0)+IF(3=D885,ROUND(AG885*'难度参数'!$E$28*'章节与怪物'!$E$17,0),0))</x:f>
        <x:v>547344</x:v>
      </x:c>
      <x:c r="AI885" s="119" t="n">
        <x:f>IF(AF885=0,0,(AF885-IF(3=D885,1,0))*VLOOKUP(INDEX('章节与怪物'!$E$31:$K$37,B885,3),'章节与怪物'!$A$41:$F$44,4,FALSE)+IF(3=D885,'难度参数'!$E$30,0))</x:f>
        <x:v>960</x:v>
      </x:c>
      <x:c r="AJ885" s="119" t="n">
        <x:f>IF(4&gt;D885,0,MAX(2,MIN('难度参数'!$E$12,ROUND(('难度参数'!$E$18*POWER(A885,'难度参数'!$E$19)/D885*(0.85+0.3*(4-1)/MAX(1,D885-1))),0)+F885)))</x:f>
        <x:v>51</x:v>
      </x:c>
      <x:c r="AK885" s="119" t="n">
        <x:f>IF(4&gt;D885,0,ROUND(('难度参数'!$E$13*POWER(A885,'难度参数'!$E$20)*MIN('难度参数'!$E$23,1+MAX(0,A885-'难度参数'!$E$21)*'难度参数'!$E$22))*(36+4*7)/(36+7*(D885+1)/2)*E885,0))</x:f>
        <x:v>17783</x:v>
      </x:c>
      <x:c r="AL885" s="119" t="n">
        <x:f>IF(AJ885=0,0,(AJ885-IF(4=D885,1,0))*ROUND(AK885*VLOOKUP(INDEX('章节与怪物'!$E$31:$K$37,B885,4),'章节与怪物'!$A$41:$F$44,2,FALSE),0)+IF(4=D885,ROUND(AK885*'难度参数'!$E$28*'章节与怪物'!$E$17,0),0))</x:f>
        <x:v>1541781</x:v>
      </x:c>
      <x:c r="AM885" s="119" t="n">
        <x:f>IF(AJ885=0,0,(AJ885-IF(4=D885,1,0))*VLOOKUP(INDEX('章节与怪物'!$E$31:$K$37,B885,4),'章节与怪物'!$A$41:$F$44,4,FALSE)+IF(4=D885,'难度参数'!$E$30,0))</x:f>
        <x:v>1428</x:v>
      </x:c>
      <x:c r="AN885" s="119" t="n">
        <x:f>IF(5&gt;D885,0,MAX(2,MIN('难度参数'!$E$12,ROUND(('难度参数'!$E$18*POWER(A885,'难度参数'!$E$19)/D885*(0.85+0.3*(5-1)/MAX(1,D885-1))),0)+F885)))</x:f>
        <x:v>53</x:v>
      </x:c>
      <x:c r="AO885" s="119" t="n">
        <x:f>IF(5&gt;D885,0,ROUND(('难度参数'!$E$13*POWER(A885,'难度参数'!$E$20)*MIN('难度参数'!$E$23,1+MAX(0,A885-'难度参数'!$E$21)*'难度参数'!$E$22))*(36+5*7)/(36+7*(D885+1)/2)*E885,0))</x:f>
        <x:v>19728</x:v>
      </x:c>
      <x:c r="AP885" s="119" t="n">
        <x:f>IF(AN885=0,0,(AN885-IF(5=D885,1,0))*ROUND(AO885*VLOOKUP(INDEX('章节与怪物'!$E$31:$K$37,B885,5),'章节与怪物'!$A$41:$F$44,2,FALSE),0)+IF(5=D885,ROUND(AO885*'难度参数'!$E$28*'章节与怪物'!$E$17,0),0))</x:f>
        <x:v>1411549</x:v>
      </x:c>
      <x:c r="AQ885" s="119" t="n">
        <x:f>IF(AN885=0,0,(AN885-IF(5=D885,1,0))*VLOOKUP(INDEX('章节与怪物'!$E$31:$K$37,B885,5),'章节与怪物'!$A$41:$F$44,4,FALSE)+IF(5=D885,'难度参数'!$E$30,0))</x:f>
        <x:v>1802</x:v>
      </x:c>
      <x:c r="AR885" s="119" t="n">
        <x:f>IF(6&gt;D885,0,MAX(2,MIN('难度参数'!$E$12,ROUND(('难度参数'!$E$18*POWER(A885,'难度参数'!$E$19)/D885*(0.85+0.3*(6-1)/MAX(1,D885-1))),0)+F885)))</x:f>
        <x:v>56</x:v>
      </x:c>
      <x:c r="AS885" s="119" t="n">
        <x:f>IF(6&gt;D885,0,ROUND(('难度参数'!$E$13*POWER(A885,'难度参数'!$E$20)*MIN('难度参数'!$E$23,1+MAX(0,A885-'难度参数'!$E$21)*'难度参数'!$E$22))*(36+6*7)/(36+7*(D885+1)/2)*E885,0))</x:f>
        <x:v>21673</x:v>
      </x:c>
      <x:c r="AT885" s="119" t="n">
        <x:f>IF(AR885=0,0,(AR885-IF(6=D885,1,0))*ROUND(AS885*VLOOKUP(INDEX('章节与怪物'!$E$31:$K$37,B885,6),'章节与怪物'!$A$41:$F$44,2,FALSE),0)+IF(6=D885,ROUND(AS885*'难度参数'!$E$28*'章节与怪物'!$E$17,0),0))</x:f>
        <x:v>873880</x:v>
      </x:c>
      <x:c r="AU885" s="119" t="n">
        <x:f>IF(AR885=0,0,(AR885-IF(6=D885,1,0))*VLOOKUP(INDEX('章节与怪物'!$E$31:$K$37,B885,6),'章节与怪物'!$A$41:$F$44,4,FALSE)+IF(6=D885,'难度参数'!$E$30,0))</x:f>
        <x:v>1120</x:v>
      </x:c>
      <x:c r="AV885" s="119" t="n">
        <x:f>IF(7&gt;D885,0,MAX(2,MIN('难度参数'!$E$12,ROUND(('难度参数'!$E$18*POWER(A885,'难度参数'!$E$19)/D885*(0.85+0.3*(7-1)/MAX(1,D885-1))),0)+F885)))</x:f>
        <x:v>58</x:v>
      </x:c>
      <x:c r="AW885" s="119" t="n">
        <x:f>IF(7&gt;D885,0,ROUND(('难度参数'!$E$13*POWER(A885,'难度参数'!$E$20)*MIN('难度参数'!$E$23,1+MAX(0,A885-'难度参数'!$E$21)*'难度参数'!$E$22))*(36+7*7)/(36+7*(D885+1)/2)*E885,0))</x:f>
        <x:v>23618</x:v>
      </x:c>
      <x:c r="AX885" s="119" t="n">
        <x:f>IF(AV885=0,0,(AV885-IF(7=D885,1,0))*ROUND(AW885*VLOOKUP(INDEX('章节与怪物'!$E$31:$K$37,B885,7),'章节与怪物'!$A$41:$F$44,2,FALSE),0)+IF(7=D885,ROUND(AW885*'难度参数'!$E$28*'章节与怪物'!$E$17,0),0))</x:f>
        <x:v>2449209</x:v>
      </x:c>
      <x:c r="AY885" s="119" t="n">
        <x:f>IF(AV885=0,0,(AV885-IF(7=D885,1,0))*VLOOKUP(INDEX('章节与怪物'!$E$31:$K$37,B885,7),'章节与怪物'!$A$41:$F$44,4,FALSE)+IF(7=D885,'难度参数'!$E$30,0))</x:f>
        <x:v>1796</x:v>
      </x:c>
    </x:row>
    <x:row r="886" ht="23" customHeight="1">
      <x:c r="A886" s="119" t="n">
        <x:v>880</x:v>
      </x:c>
      <x:c r="B886" s="119" t="n">
        <x:f>MOD(INT((A886-1)/5),7)+1</x:f>
        <x:v>1</x:v>
      </x:c>
      <x:c r="C886" s="62" t="str">
        <x:f>INDEX('章节与怪物'!$B$31:$B$37,B886)</x:f>
        <x:v>冰雪荒原</x:v>
      </x:c>
      <x:c r="D886" s="119" t="n">
        <x:f>MIN('难度参数'!$E$8,MAX('难度参数'!$E$7,A886))</x:f>
        <x:v>7</x:v>
      </x:c>
      <x:c r="E886" s="106" t="n">
        <x:v>1</x:v>
      </x:c>
      <x:c r="F886" s="106" t="n">
        <x:v>0</x:v>
      </x:c>
      <x:c r="G886" s="106" t="n">
        <x:v>1</x:v>
      </x:c>
      <x:c r="H886" s="119" t="n">
        <x:f>SUM(X886,AB886,AF886,AJ886,AN886,AR886,AV886)</x:f>
        <x:v>355</x:v>
      </x:c>
      <x:c r="I886" s="119" t="n">
        <x:f>SUM(Z886,AD886,AH886,AL886,AP886,AT886,AX886)</x:f>
        <x:v>7983142</x:v>
      </x:c>
      <x:c r="J886" s="119" t="n">
        <x:f>ROUND(INDEX(X886:AY886,1,(D886-1)*4+2)*'难度参数'!$E$28*'章节与怪物'!$E$17,0)</x:f>
        <x:v>160732</x:v>
      </x:c>
      <x:c r="K886" s="119" t="n">
        <x:f>SUM(AA886,AE886,AI886,AM886,AQ886,AU886,AY886)</x:f>
        <x:v>8708</x:v>
      </x:c>
      <x:c r="L886" s="62" t="n">
        <x:f>H886*(ROUNDUP('难度参数'!$E$24/('难度参数'!$E$26*'难度参数'!$E$27),0)*'难度参数'!$E$26)/60</x:f>
        <x:v>4.733333333333333</x:v>
      </x:c>
      <x:c r="M886" s="62" t="n">
        <x:f>L886+D886*('难度参数'!$E$49+'难度参数'!$E$50)/60</x:f>
        <x:v>5.9</x:v>
      </x:c>
      <x:c r="N886" s="119" t="n">
        <x:f>ROUNDDOWN(('经济参数'!$E$20+A886*'经济参数'!$E$21)*G886,0)</x:f>
        <x:v>17780</x:v>
      </x:c>
      <x:c r="O886" s="119" t="n">
        <x:f>ROUNDDOWN(MIN('经济参数'!$E$24,'经济参数'!$E$22+A886*'经济参数'!$E$23)*G886,0)</x:f>
        <x:v>0</x:v>
      </x:c>
      <x:c r="P886" s="119" t="n">
        <x:f>ROUNDDOWN((IF(A886&gt;='材料与任务'!$E$31,'材料与任务'!$E$32,IF(A886&gt;='材料与任务'!$E$25,'材料与任务'!$E$26,IF(A886&gt;='材料与任务'!$E$19,'材料与任务'!$E$20,IF(A886&gt;='材料与任务'!$E$13,'材料与任务'!$E$14,'材料与任务'!$E$8)))))*G886,0)</x:f>
        <x:v>6</x:v>
      </x:c>
      <x:c r="Q886" s="119" t="n">
        <x:f>ROUNDDOWN((IF(A886&gt;='材料与任务'!$E$31,'材料与任务'!$E$33,IF(A886&gt;='材料与任务'!$E$25,'材料与任务'!$E$27,IF(A886&gt;='材料与任务'!$E$19,'材料与任务'!$E$21,IF(A886&gt;='材料与任务'!$E$13,'材料与任务'!$E$15,'材料与任务'!$E$9)))))*G886,0)</x:f>
        <x:v>3</x:v>
      </x:c>
      <x:c r="R886" s="110" t="n">
        <x:f>'装备掉落'!$B$38</x:f>
        <x:v>0.6872058758851213</x:v>
      </x:c>
      <x:c r="S886" s="119" t="n">
        <x:f>MAX(IF(VLOOKUP(A886,'装备掉落'!$A$29:$H$34,2,TRUE)&gt;0,1,0),IF(VLOOKUP(A886,'装备掉落'!$A$29:$H$34,3,TRUE)&gt;0,2,0),IF(VLOOKUP(A886,'装备掉落'!$A$29:$H$34,4,TRUE)&gt;0,3,0),IF(VLOOKUP(A886,'装备掉落'!$A$29:$H$34,5,TRUE)&gt;0,4,0),IF(VLOOKUP(A886,'装备掉落'!$A$29:$H$34,6,TRUE)&gt;0,5,0),IF(VLOOKUP(A886,'装备掉落'!$A$29:$H$34,7,TRUE)&gt;0,6,0),IF(VLOOKUP(A886,'装备掉落'!$A$29:$H$34,8,TRUE)&gt;0,7,0))</x:f>
        <x:v>7</x:v>
      </x:c>
      <x:c r="T886" s="119" t="n">
        <x:f>MIN(7,S886+'经济参数'!$E$70)</x:f>
        <x:v>7</x:v>
      </x:c>
      <x:c r="U886" s="119" t="n">
        <x:f>MIN(7,S886+'经济参数'!$E$71)</x:f>
        <x:v>7</x:v>
      </x:c>
      <x:c r="V886" s="119" t="n">
        <x:f>IF(H886&gt;=('难度参数'!$E$52),1,0)+IF(H886&gt;=('难度参数'!$E$52+'难度参数'!$E$53),1,0)+IF(H886&gt;=('难度参数'!$E$52+'难度参数'!$E$53+'难度参数'!$E$54),1,0)+IF(H886&gt;=('难度参数'!$E$52+'难度参数'!$E$53+'难度参数'!$E$54+'难度参数'!$E$55),1,0)+IF(H886&gt;=('难度参数'!$E$52+'难度参数'!$E$53+'难度参数'!$E$54+'难度参数'!$E$55+'难度参数'!$E$56),1,0)+IF(H886&gt;=('难度参数'!$E$52+'难度参数'!$E$53+'难度参数'!$E$54+'难度参数'!$E$55+'难度参数'!$E$56+'难度参数'!$E$57),1,0)</x:f>
        <x:v>6</x:v>
      </x:c>
      <x:c r="W886" s="62" t="str">
        <x:f>IF(L886&gt;'难度参数'!$E$51,"仅出怪已超目标","还需实测")</x:f>
        <x:v>仅出怪已超目标</x:v>
      </x:c>
      <x:c r="X886" s="119" t="n">
        <x:f>IF(1&gt;D886,0,MAX(2,MIN('难度参数'!$E$12,ROUND(('难度参数'!$E$18*POWER(A886,'难度参数'!$E$19)/D886*(0.85+0.3*(1-1)/MAX(1,D886-1))),0)+F886)))</x:f>
        <x:v>43</x:v>
      </x:c>
      <x:c r="Y886" s="119" t="n">
        <x:f>IF(1&gt;D886,0,ROUND(('难度参数'!$E$13*POWER(A886,'难度参数'!$E$20)*MIN('难度参数'!$E$23,1+MAX(0,A886-'难度参数'!$E$21)*'难度参数'!$E$22))*(36+1*7)/(36+7*(D886+1)/2)*E886,0))</x:f>
        <x:v>11958</x:v>
      </x:c>
      <x:c r="Z886" s="119" t="n">
        <x:f>IF(X886=0,0,(X886-IF(1=D886,1,0))*ROUND(Y886*VLOOKUP(INDEX('章节与怪物'!$E$31:$K$37,B886,1),'章节与怪物'!$A$41:$F$44,2,FALSE),0)+IF(1=D886,ROUND(Y886*'难度参数'!$E$28*'章节与怪物'!$E$17,0),0))</x:f>
        <x:v>514194</x:v>
      </x:c>
      <x:c r="AA886" s="119" t="n">
        <x:f>IF(X886=0,0,(X886-IF(1=D886,1,0))*VLOOKUP(INDEX('章节与怪物'!$E$31:$K$37,B886,1),'章节与怪物'!$A$41:$F$44,4,FALSE)+IF(1=D886,'难度参数'!$E$30,0))</x:f>
        <x:v>774</x:v>
      </x:c>
      <x:c r="AB886" s="119" t="n">
        <x:f>IF(2&gt;D886,0,MAX(2,MIN('难度参数'!$E$12,ROUND(('难度参数'!$E$18*POWER(A886,'难度参数'!$E$19)/D886*(0.85+0.3*(2-1)/MAX(1,D886-1))),0)+F886)))</x:f>
        <x:v>46</x:v>
      </x:c>
      <x:c r="AC886" s="119" t="n">
        <x:f>IF(2&gt;D886,0,ROUND(('难度参数'!$E$13*POWER(A886,'难度参数'!$E$20)*MIN('难度参数'!$E$23,1+MAX(0,A886-'难度参数'!$E$21)*'难度参数'!$E$22))*(36+2*7)/(36+7*(D886+1)/2)*E886,0))</x:f>
        <x:v>13904</x:v>
      </x:c>
      <x:c r="AD886" s="119" t="n">
        <x:f>IF(AB886=0,0,(AB886-IF(2=D886,1,0))*ROUND(AC886*VLOOKUP(INDEX('章节与怪物'!$E$31:$K$37,B886,2),'章节与怪物'!$A$41:$F$44,2,FALSE),0)+IF(2=D886,ROUND(AC886*'难度参数'!$E$28*'章节与怪物'!$E$17,0),0))</x:f>
        <x:v>639584</x:v>
      </x:c>
      <x:c r="AE886" s="119" t="n">
        <x:f>IF(AB886=0,0,(AB886-IF(2=D886,1,0))*VLOOKUP(INDEX('章节与怪物'!$E$31:$K$37,B886,2),'章节与怪物'!$A$41:$F$44,4,FALSE)+IF(2=D886,'难度参数'!$E$30,0))</x:f>
        <x:v>828</x:v>
      </x:c>
      <x:c r="AF886" s="119" t="n">
        <x:f>IF(3&gt;D886,0,MAX(2,MIN('难度参数'!$E$12,ROUND(('难度参数'!$E$18*POWER(A886,'难度参数'!$E$19)/D886*(0.85+0.3*(3-1)/MAX(1,D886-1))),0)+F886)))</x:f>
        <x:v>48</x:v>
      </x:c>
      <x:c r="AG886" s="119" t="n">
        <x:f>IF(3&gt;D886,0,ROUND(('难度参数'!$E$13*POWER(A886,'难度参数'!$E$20)*MIN('难度参数'!$E$23,1+MAX(0,A886-'难度参数'!$E$21)*'难度参数'!$E$22))*(36+3*7)/(36+7*(D886+1)/2)*E886,0))</x:f>
        <x:v>15851</x:v>
      </x:c>
      <x:c r="AH886" s="119" t="n">
        <x:f>IF(AF886=0,0,(AF886-IF(3=D886,1,0))*ROUND(AG886*VLOOKUP(INDEX('章节与怪物'!$E$31:$K$37,B886,3),'章节与怪物'!$A$41:$F$44,2,FALSE),0)+IF(3=D886,ROUND(AG886*'难度参数'!$E$28*'章节与怪物'!$E$17,0),0))</x:f>
        <x:v>547824</x:v>
      </x:c>
      <x:c r="AI886" s="119" t="n">
        <x:f>IF(AF886=0,0,(AF886-IF(3=D886,1,0))*VLOOKUP(INDEX('章节与怪物'!$E$31:$K$37,B886,3),'章节与怪物'!$A$41:$F$44,4,FALSE)+IF(3=D886,'难度参数'!$E$30,0))</x:f>
        <x:v>960</x:v>
      </x:c>
      <x:c r="AJ886" s="119" t="n">
        <x:f>IF(4&gt;D886,0,MAX(2,MIN('难度参数'!$E$12,ROUND(('难度参数'!$E$18*POWER(A886,'难度参数'!$E$19)/D886*(0.85+0.3*(4-1)/MAX(1,D886-1))),0)+F886)))</x:f>
        <x:v>51</x:v>
      </x:c>
      <x:c r="AK886" s="119" t="n">
        <x:f>IF(4&gt;D886,0,ROUND(('难度参数'!$E$13*POWER(A886,'难度参数'!$E$20)*MIN('难度参数'!$E$23,1+MAX(0,A886-'难度参数'!$E$21)*'难度参数'!$E$22))*(36+4*7)/(36+7*(D886+1)/2)*E886,0))</x:f>
        <x:v>17798</x:v>
      </x:c>
      <x:c r="AL886" s="119" t="n">
        <x:f>IF(AJ886=0,0,(AJ886-IF(4=D886,1,0))*ROUND(AK886*VLOOKUP(INDEX('章节与怪物'!$E$31:$K$37,B886,4),'章节与怪物'!$A$41:$F$44,2,FALSE),0)+IF(4=D886,ROUND(AK886*'难度参数'!$E$28*'章节与怪物'!$E$17,0),0))</x:f>
        <x:v>1543107</x:v>
      </x:c>
      <x:c r="AM886" s="119" t="n">
        <x:f>IF(AJ886=0,0,(AJ886-IF(4=D886,1,0))*VLOOKUP(INDEX('章节与怪物'!$E$31:$K$37,B886,4),'章节与怪物'!$A$41:$F$44,4,FALSE)+IF(4=D886,'难度参数'!$E$30,0))</x:f>
        <x:v>1428</x:v>
      </x:c>
      <x:c r="AN886" s="119" t="n">
        <x:f>IF(5&gt;D886,0,MAX(2,MIN('难度参数'!$E$12,ROUND(('难度参数'!$E$18*POWER(A886,'难度参数'!$E$19)/D886*(0.85+0.3*(5-1)/MAX(1,D886-1))),0)+F886)))</x:f>
        <x:v>53</x:v>
      </x:c>
      <x:c r="AO886" s="119" t="n">
        <x:f>IF(5&gt;D886,0,ROUND(('难度参数'!$E$13*POWER(A886,'难度参数'!$E$20)*MIN('难度参数'!$E$23,1+MAX(0,A886-'难度参数'!$E$21)*'难度参数'!$E$22))*(36+5*7)/(36+7*(D886+1)/2)*E886,0))</x:f>
        <x:v>19744</x:v>
      </x:c>
      <x:c r="AP886" s="119" t="n">
        <x:f>IF(AN886=0,0,(AN886-IF(5=D886,1,0))*ROUND(AO886*VLOOKUP(INDEX('章节与怪物'!$E$31:$K$37,B886,5),'章节与怪物'!$A$41:$F$44,2,FALSE),0)+IF(5=D886,ROUND(AO886*'难度参数'!$E$28*'章节与怪物'!$E$17,0),0))</x:f>
        <x:v>1412662</x:v>
      </x:c>
      <x:c r="AQ886" s="119" t="n">
        <x:f>IF(AN886=0,0,(AN886-IF(5=D886,1,0))*VLOOKUP(INDEX('章节与怪物'!$E$31:$K$37,B886,5),'章节与怪物'!$A$41:$F$44,4,FALSE)+IF(5=D886,'难度参数'!$E$30,0))</x:f>
        <x:v>1802</x:v>
      </x:c>
      <x:c r="AR886" s="119" t="n">
        <x:f>IF(6&gt;D886,0,MAX(2,MIN('难度参数'!$E$12,ROUND(('难度参数'!$E$18*POWER(A886,'难度参数'!$E$19)/D886*(0.85+0.3*(6-1)/MAX(1,D886-1))),0)+F886)))</x:f>
        <x:v>56</x:v>
      </x:c>
      <x:c r="AS886" s="119" t="n">
        <x:f>IF(6&gt;D886,0,ROUND(('难度参数'!$E$13*POWER(A886,'难度参数'!$E$20)*MIN('难度参数'!$E$23,1+MAX(0,A886-'难度参数'!$E$21)*'难度参数'!$E$22))*(36+6*7)/(36+7*(D886+1)/2)*E886,0))</x:f>
        <x:v>21691</x:v>
      </x:c>
      <x:c r="AT886" s="119" t="n">
        <x:f>IF(AR886=0,0,(AR886-IF(6=D886,1,0))*ROUND(AS886*VLOOKUP(INDEX('章节与怪物'!$E$31:$K$37,B886,6),'章节与怪物'!$A$41:$F$44,2,FALSE),0)+IF(6=D886,ROUND(AS886*'难度参数'!$E$28*'章节与怪物'!$E$17,0),0))</x:f>
        <x:v>874608</x:v>
      </x:c>
      <x:c r="AU886" s="119" t="n">
        <x:f>IF(AR886=0,0,(AR886-IF(6=D886,1,0))*VLOOKUP(INDEX('章节与怪物'!$E$31:$K$37,B886,6),'章节与怪物'!$A$41:$F$44,4,FALSE)+IF(6=D886,'难度参数'!$E$30,0))</x:f>
        <x:v>1120</x:v>
      </x:c>
      <x:c r="AV886" s="119" t="n">
        <x:f>IF(7&gt;D886,0,MAX(2,MIN('难度参数'!$E$12,ROUND(('难度参数'!$E$18*POWER(A886,'难度参数'!$E$19)/D886*(0.85+0.3*(7-1)/MAX(1,D886-1))),0)+F886)))</x:f>
        <x:v>58</x:v>
      </x:c>
      <x:c r="AW886" s="119" t="n">
        <x:f>IF(7&gt;D886,0,ROUND(('难度参数'!$E$13*POWER(A886,'难度参数'!$E$20)*MIN('难度参数'!$E$23,1+MAX(0,A886-'难度参数'!$E$21)*'难度参数'!$E$22))*(36+7*7)/(36+7*(D886+1)/2)*E886,0))</x:f>
        <x:v>23637</x:v>
      </x:c>
      <x:c r="AX886" s="119" t="n">
        <x:f>IF(AV886=0,0,(AV886-IF(7=D886,1,0))*ROUND(AW886*VLOOKUP(INDEX('章节与怪物'!$E$31:$K$37,B886,7),'章节与怪物'!$A$41:$F$44,2,FALSE),0)+IF(7=D886,ROUND(AW886*'难度参数'!$E$28*'章节与怪物'!$E$17,0),0))</x:f>
        <x:v>2451163</x:v>
      </x:c>
      <x:c r="AY886" s="119" t="n">
        <x:f>IF(AV886=0,0,(AV886-IF(7=D886,1,0))*VLOOKUP(INDEX('章节与怪物'!$E$31:$K$37,B886,7),'章节与怪物'!$A$41:$F$44,4,FALSE)+IF(7=D886,'难度参数'!$E$30,0))</x:f>
        <x:v>1796</x:v>
      </x:c>
    </x:row>
    <x:row r="887" ht="23" customHeight="1">
      <x:c r="A887" s="119" t="n">
        <x:v>881</x:v>
      </x:c>
      <x:c r="B887" s="119" t="n">
        <x:f>MOD(INT((A887-1)/5),7)+1</x:f>
        <x:v>2</x:v>
      </x:c>
      <x:c r="C887" s="62" t="str">
        <x:f>INDEX('章节与怪物'!$B$31:$B$37,B887)</x:f>
        <x:v>黄沙要塞</x:v>
      </x:c>
      <x:c r="D887" s="119" t="n">
        <x:f>MIN('难度参数'!$E$8,MAX('难度参数'!$E$7,A887))</x:f>
        <x:v>7</x:v>
      </x:c>
      <x:c r="E887" s="106" t="n">
        <x:v>1</x:v>
      </x:c>
      <x:c r="F887" s="106" t="n">
        <x:v>0</x:v>
      </x:c>
      <x:c r="G887" s="106" t="n">
        <x:v>1</x:v>
      </x:c>
      <x:c r="H887" s="119" t="n">
        <x:f>SUM(X887,AB887,AF887,AJ887,AN887,AR887,AV887)</x:f>
        <x:v>355</x:v>
      </x:c>
      <x:c r="I887" s="119" t="n">
        <x:f>SUM(Z887,AD887,AH887,AL887,AP887,AT887,AX887)</x:f>
        <x:v>8626762</x:v>
      </x:c>
      <x:c r="J887" s="119" t="n">
        <x:f>ROUND(INDEX(X887:AY887,1,(D887-1)*4+2)*'难度参数'!$E$28*'章节与怪物'!$E$17,0)</x:f>
        <x:v>160868</x:v>
      </x:c>
      <x:c r="K887" s="119" t="n">
        <x:f>SUM(AA887,AE887,AI887,AM887,AQ887,AU887,AY887)</x:f>
        <x:v>9426</x:v>
      </x:c>
      <x:c r="L887" s="62" t="n">
        <x:f>H887*(ROUNDUP('难度参数'!$E$24/('难度参数'!$E$26*'难度参数'!$E$27),0)*'难度参数'!$E$26)/60</x:f>
        <x:v>4.733333333333333</x:v>
      </x:c>
      <x:c r="M887" s="62" t="n">
        <x:f>L887+D887*('难度参数'!$E$49+'难度参数'!$E$50)/60</x:f>
        <x:v>5.9</x:v>
      </x:c>
      <x:c r="N887" s="119" t="n">
        <x:f>ROUNDDOWN(('经济参数'!$E$20+A887*'经济参数'!$E$21)*G887,0)</x:f>
        <x:v>17800</x:v>
      </x:c>
      <x:c r="O887" s="119" t="n">
        <x:f>ROUNDDOWN(MIN('经济参数'!$E$24,'经济参数'!$E$22+A887*'经济参数'!$E$23)*G887,0)</x:f>
        <x:v>0</x:v>
      </x:c>
      <x:c r="P887" s="119" t="n">
        <x:f>ROUNDDOWN((IF(A887&gt;='材料与任务'!$E$31,'材料与任务'!$E$32,IF(A887&gt;='材料与任务'!$E$25,'材料与任务'!$E$26,IF(A887&gt;='材料与任务'!$E$19,'材料与任务'!$E$20,IF(A887&gt;='材料与任务'!$E$13,'材料与任务'!$E$14,'材料与任务'!$E$8)))))*G887,0)</x:f>
        <x:v>6</x:v>
      </x:c>
      <x:c r="Q887" s="119" t="n">
        <x:f>ROUNDDOWN((IF(A887&gt;='材料与任务'!$E$31,'材料与任务'!$E$33,IF(A887&gt;='材料与任务'!$E$25,'材料与任务'!$E$27,IF(A887&gt;='材料与任务'!$E$19,'材料与任务'!$E$21,IF(A887&gt;='材料与任务'!$E$13,'材料与任务'!$E$15,'材料与任务'!$E$9)))))*G887,0)</x:f>
        <x:v>3</x:v>
      </x:c>
      <x:c r="R887" s="110" t="n">
        <x:f>'装备掉落'!$B$38</x:f>
        <x:v>0.6872058758851213</x:v>
      </x:c>
      <x:c r="S887" s="119" t="n">
        <x:f>MAX(IF(VLOOKUP(A887,'装备掉落'!$A$29:$H$34,2,TRUE)&gt;0,1,0),IF(VLOOKUP(A887,'装备掉落'!$A$29:$H$34,3,TRUE)&gt;0,2,0),IF(VLOOKUP(A887,'装备掉落'!$A$29:$H$34,4,TRUE)&gt;0,3,0),IF(VLOOKUP(A887,'装备掉落'!$A$29:$H$34,5,TRUE)&gt;0,4,0),IF(VLOOKUP(A887,'装备掉落'!$A$29:$H$34,6,TRUE)&gt;0,5,0),IF(VLOOKUP(A887,'装备掉落'!$A$29:$H$34,7,TRUE)&gt;0,6,0),IF(VLOOKUP(A887,'装备掉落'!$A$29:$H$34,8,TRUE)&gt;0,7,0))</x:f>
        <x:v>7</x:v>
      </x:c>
      <x:c r="T887" s="119" t="n">
        <x:f>MIN(7,S887+'经济参数'!$E$70)</x:f>
        <x:v>7</x:v>
      </x:c>
      <x:c r="U887" s="119" t="n">
        <x:f>MIN(7,S887+'经济参数'!$E$71)</x:f>
        <x:v>7</x:v>
      </x:c>
      <x:c r="V887" s="119" t="n">
        <x:f>IF(H887&gt;=('难度参数'!$E$52),1,0)+IF(H887&gt;=('难度参数'!$E$52+'难度参数'!$E$53),1,0)+IF(H887&gt;=('难度参数'!$E$52+'难度参数'!$E$53+'难度参数'!$E$54),1,0)+IF(H887&gt;=('难度参数'!$E$52+'难度参数'!$E$53+'难度参数'!$E$54+'难度参数'!$E$55),1,0)+IF(H887&gt;=('难度参数'!$E$52+'难度参数'!$E$53+'难度参数'!$E$54+'难度参数'!$E$55+'难度参数'!$E$56),1,0)+IF(H887&gt;=('难度参数'!$E$52+'难度参数'!$E$53+'难度参数'!$E$54+'难度参数'!$E$55+'难度参数'!$E$56+'难度参数'!$E$57),1,0)</x:f>
        <x:v>6</x:v>
      </x:c>
      <x:c r="W887" s="62" t="str">
        <x:f>IF(L887&gt;'难度参数'!$E$51,"仅出怪已超目标","还需实测")</x:f>
        <x:v>仅出怪已超目标</x:v>
      </x:c>
      <x:c r="X887" s="119" t="n">
        <x:f>IF(1&gt;D887,0,MAX(2,MIN('难度参数'!$E$12,ROUND(('难度参数'!$E$18*POWER(A887,'难度参数'!$E$19)/D887*(0.85+0.3*(1-1)/MAX(1,D887-1))),0)+F887)))</x:f>
        <x:v>43</x:v>
      </x:c>
      <x:c r="Y887" s="119" t="n">
        <x:f>IF(1&gt;D887,0,ROUND(('难度参数'!$E$13*POWER(A887,'难度参数'!$E$20)*MIN('难度参数'!$E$23,1+MAX(0,A887-'难度参数'!$E$21)*'难度参数'!$E$22))*(36+1*7)/(36+7*(D887+1)/2)*E887,0))</x:f>
        <x:v>11968</x:v>
      </x:c>
      <x:c r="Z887" s="119" t="n">
        <x:f>IF(X887=0,0,(X887-IF(1=D887,1,0))*ROUND(Y887*VLOOKUP(INDEX('章节与怪物'!$E$31:$K$37,B887,1),'章节与怪物'!$A$41:$F$44,2,FALSE),0)+IF(1=D887,ROUND(Y887*'难度参数'!$E$28*'章节与怪物'!$E$17,0),0))</x:f>
        <x:v>370531</x:v>
      </x:c>
      <x:c r="AA887" s="119" t="n">
        <x:f>IF(X887=0,0,(X887-IF(1=D887,1,0))*VLOOKUP(INDEX('章节与怪物'!$E$31:$K$37,B887,1),'章节与怪物'!$A$41:$F$44,4,FALSE)+IF(1=D887,'难度参数'!$E$30,0))</x:f>
        <x:v>860</x:v>
      </x:c>
      <x:c r="AB887" s="119" t="n">
        <x:f>IF(2&gt;D887,0,MAX(2,MIN('难度参数'!$E$12,ROUND(('难度参数'!$E$18*POWER(A887,'难度参数'!$E$19)/D887*(0.85+0.3*(2-1)/MAX(1,D887-1))),0)+F887)))</x:f>
        <x:v>46</x:v>
      </x:c>
      <x:c r="AC887" s="119" t="n">
        <x:f>IF(2&gt;D887,0,ROUND(('难度参数'!$E$13*POWER(A887,'难度参数'!$E$20)*MIN('难度参数'!$E$23,1+MAX(0,A887-'难度参数'!$E$21)*'难度参数'!$E$22))*(36+2*7)/(36+7*(D887+1)/2)*E887,0))</x:f>
        <x:v>13916</x:v>
      </x:c>
      <x:c r="AD887" s="119" t="n">
        <x:f>IF(AB887=0,0,(AB887-IF(2=D887,1,0))*ROUND(AC887*VLOOKUP(INDEX('章节与怪物'!$E$31:$K$37,B887,2),'章节与怪物'!$A$41:$F$44,2,FALSE),0)+IF(2=D887,ROUND(AC887*'难度参数'!$E$28*'章节与怪物'!$E$17,0),0))</x:f>
        <x:v>640136</x:v>
      </x:c>
      <x:c r="AE887" s="119" t="n">
        <x:f>IF(AB887=0,0,(AB887-IF(2=D887,1,0))*VLOOKUP(INDEX('章节与怪物'!$E$31:$K$37,B887,2),'章节与怪物'!$A$41:$F$44,4,FALSE)+IF(2=D887,'难度参数'!$E$30,0))</x:f>
        <x:v>828</x:v>
      </x:c>
      <x:c r="AF887" s="119" t="n">
        <x:f>IF(3&gt;D887,0,MAX(2,MIN('难度参数'!$E$12,ROUND(('难度参数'!$E$18*POWER(A887,'难度参数'!$E$19)/D887*(0.85+0.3*(3-1)/MAX(1,D887-1))),0)+F887)))</x:f>
        <x:v>48</x:v>
      </x:c>
      <x:c r="AG887" s="119" t="n">
        <x:f>IF(3&gt;D887,0,ROUND(('难度参数'!$E$13*POWER(A887,'难度参数'!$E$20)*MIN('难度参数'!$E$23,1+MAX(0,A887-'难度参数'!$E$21)*'难度参数'!$E$22))*(36+3*7)/(36+7*(D887+1)/2)*E887,0))</x:f>
        <x:v>15864</x:v>
      </x:c>
      <x:c r="AH887" s="119" t="n">
        <x:f>IF(AF887=0,0,(AF887-IF(3=D887,1,0))*ROUND(AG887*VLOOKUP(INDEX('章节与怪物'!$E$31:$K$37,B887,3),'章节与怪物'!$A$41:$F$44,2,FALSE),0)+IF(3=D887,ROUND(AG887*'难度参数'!$E$28*'章节与怪物'!$E$17,0),0))</x:f>
        <x:v>1294512</x:v>
      </x:c>
      <x:c r="AI887" s="119" t="n">
        <x:f>IF(AF887=0,0,(AF887-IF(3=D887,1,0))*VLOOKUP(INDEX('章节与怪物'!$E$31:$K$37,B887,3),'章节与怪物'!$A$41:$F$44,4,FALSE)+IF(3=D887,'难度参数'!$E$30,0))</x:f>
        <x:v>1344</x:v>
      </x:c>
      <x:c r="AJ887" s="119" t="n">
        <x:f>IF(4&gt;D887,0,MAX(2,MIN('难度参数'!$E$12,ROUND(('难度参数'!$E$18*POWER(A887,'难度参数'!$E$19)/D887*(0.85+0.3*(4-1)/MAX(1,D887-1))),0)+F887)))</x:f>
        <x:v>51</x:v>
      </x:c>
      <x:c r="AK887" s="119" t="n">
        <x:f>IF(4&gt;D887,0,ROUND(('难度参数'!$E$13*POWER(A887,'难度参数'!$E$20)*MIN('难度参数'!$E$23,1+MAX(0,A887-'难度参数'!$E$21)*'难度参数'!$E$22))*(36+4*7)/(36+7*(D887+1)/2)*E887,0))</x:f>
        <x:v>17812</x:v>
      </x:c>
      <x:c r="AL887" s="119" t="n">
        <x:f>IF(AJ887=0,0,(AJ887-IF(4=D887,1,0))*ROUND(AK887*VLOOKUP(INDEX('章节与怪物'!$E$31:$K$37,B887,4),'章节与怪物'!$A$41:$F$44,2,FALSE),0)+IF(4=D887,ROUND(AK887*'难度参数'!$E$28*'章节与怪物'!$E$17,0),0))</x:f>
        <x:v>1226346</x:v>
      </x:c>
      <x:c r="AM887" s="119" t="n">
        <x:f>IF(AJ887=0,0,(AJ887-IF(4=D887,1,0))*VLOOKUP(INDEX('章节与怪物'!$E$31:$K$37,B887,4),'章节与怪物'!$A$41:$F$44,4,FALSE)+IF(4=D887,'难度参数'!$E$30,0))</x:f>
        <x:v>1734</x:v>
      </x:c>
      <x:c r="AN887" s="119" t="n">
        <x:f>IF(5&gt;D887,0,MAX(2,MIN('难度参数'!$E$12,ROUND(('难度参数'!$E$18*POWER(A887,'难度参数'!$E$19)/D887*(0.85+0.3*(5-1)/MAX(1,D887-1))),0)+F887)))</x:f>
        <x:v>53</x:v>
      </x:c>
      <x:c r="AO887" s="119" t="n">
        <x:f>IF(5&gt;D887,0,ROUND(('难度参数'!$E$13*POWER(A887,'难度参数'!$E$20)*MIN('难度参数'!$E$23,1+MAX(0,A887-'难度参数'!$E$21)*'难度参数'!$E$22))*(36+5*7)/(36+7*(D887+1)/2)*E887,0))</x:f>
        <x:v>19760</x:v>
      </x:c>
      <x:c r="AP887" s="119" t="n">
        <x:f>IF(AN887=0,0,(AN887-IF(5=D887,1,0))*ROUND(AO887*VLOOKUP(INDEX('章节与怪物'!$E$31:$K$37,B887,5),'章节与怪物'!$A$41:$F$44,2,FALSE),0)+IF(5=D887,ROUND(AO887*'难度参数'!$E$28*'章节与怪物'!$E$17,0),0))</x:f>
        <x:v>1047280</x:v>
      </x:c>
      <x:c r="AQ887" s="119" t="n">
        <x:f>IF(AN887=0,0,(AN887-IF(5=D887,1,0))*VLOOKUP(INDEX('章节与怪物'!$E$31:$K$37,B887,5),'章节与怪物'!$A$41:$F$44,4,FALSE)+IF(5=D887,'难度参数'!$E$30,0))</x:f>
        <x:v>954</x:v>
      </x:c>
      <x:c r="AR887" s="119" t="n">
        <x:f>IF(6&gt;D887,0,MAX(2,MIN('难度参数'!$E$12,ROUND(('难度参数'!$E$18*POWER(A887,'难度参数'!$E$19)/D887*(0.85+0.3*(6-1)/MAX(1,D887-1))),0)+F887)))</x:f>
        <x:v>56</x:v>
      </x:c>
      <x:c r="AS887" s="119" t="n">
        <x:f>IF(6&gt;D887,0,ROUND(('难度参数'!$E$13*POWER(A887,'难度参数'!$E$20)*MIN('难度参数'!$E$23,1+MAX(0,A887-'难度参数'!$E$21)*'难度参数'!$E$22))*(36+6*7)/(36+7*(D887+1)/2)*E887,0))</x:f>
        <x:v>21709</x:v>
      </x:c>
      <x:c r="AT887" s="119" t="n">
        <x:f>IF(AR887=0,0,(AR887-IF(6=D887,1,0))*ROUND(AS887*VLOOKUP(INDEX('章节与怪物'!$E$31:$K$37,B887,6),'章节与怪物'!$A$41:$F$44,2,FALSE),0)+IF(6=D887,ROUND(AS887*'难度参数'!$E$28*'章节与怪物'!$E$17,0),0))</x:f>
        <x:v>2066680</x:v>
      </x:c>
      <x:c r="AU887" s="119" t="n">
        <x:f>IF(AR887=0,0,(AR887-IF(6=D887,1,0))*VLOOKUP(INDEX('章节与怪物'!$E$31:$K$37,B887,6),'章节与怪物'!$A$41:$F$44,4,FALSE)+IF(6=D887,'难度参数'!$E$30,0))</x:f>
        <x:v>1568</x:v>
      </x:c>
      <x:c r="AV887" s="119" t="n">
        <x:f>IF(7&gt;D887,0,MAX(2,MIN('难度参数'!$E$12,ROUND(('难度参数'!$E$18*POWER(A887,'难度参数'!$E$19)/D887*(0.85+0.3*(7-1)/MAX(1,D887-1))),0)+F887)))</x:f>
        <x:v>58</x:v>
      </x:c>
      <x:c r="AW887" s="119" t="n">
        <x:f>IF(7&gt;D887,0,ROUND(('难度参数'!$E$13*POWER(A887,'难度参数'!$E$20)*MIN('难度参数'!$E$23,1+MAX(0,A887-'难度参数'!$E$21)*'难度参数'!$E$22))*(36+7*7)/(36+7*(D887+1)/2)*E887,0))</x:f>
        <x:v>23657</x:v>
      </x:c>
      <x:c r="AX887" s="119" t="n">
        <x:f>IF(AV887=0,0,(AV887-IF(7=D887,1,0))*ROUND(AW887*VLOOKUP(INDEX('章节与怪物'!$E$31:$K$37,B887,7),'章节与怪物'!$A$41:$F$44,2,FALSE),0)+IF(7=D887,ROUND(AW887*'难度参数'!$E$28*'章节与怪物'!$E$17,0),0))</x:f>
        <x:v>1981277</x:v>
      </x:c>
      <x:c r="AY887" s="119" t="n">
        <x:f>IF(AV887=0,0,(AV887-IF(7=D887,1,0))*VLOOKUP(INDEX('章节与怪物'!$E$31:$K$37,B887,7),'章节与怪物'!$A$41:$F$44,4,FALSE)+IF(7=D887,'难度参数'!$E$30,0))</x:f>
        <x:v>2138</x:v>
      </x:c>
    </x:row>
    <x:row r="888" ht="23" customHeight="1">
      <x:c r="A888" s="119" t="n">
        <x:v>882</x:v>
      </x:c>
      <x:c r="B888" s="119" t="n">
        <x:f>MOD(INT((A888-1)/5),7)+1</x:f>
        <x:v>2</x:v>
      </x:c>
      <x:c r="C888" s="62" t="str">
        <x:f>INDEX('章节与怪物'!$B$31:$B$37,B888)</x:f>
        <x:v>黄沙要塞</x:v>
      </x:c>
      <x:c r="D888" s="119" t="n">
        <x:f>MIN('难度参数'!$E$8,MAX('难度参数'!$E$7,A888))</x:f>
        <x:v>7</x:v>
      </x:c>
      <x:c r="E888" s="106" t="n">
        <x:v>1</x:v>
      </x:c>
      <x:c r="F888" s="106" t="n">
        <x:v>0</x:v>
      </x:c>
      <x:c r="G888" s="106" t="n">
        <x:v>1</x:v>
      </x:c>
      <x:c r="H888" s="119" t="n">
        <x:f>SUM(X888,AB888,AF888,AJ888,AN888,AR888,AV888)</x:f>
        <x:v>355</x:v>
      </x:c>
      <x:c r="I888" s="119" t="n">
        <x:f>SUM(Z888,AD888,AH888,AL888,AP888,AT888,AX888)</x:f>
        <x:v>8633738</x:v>
      </x:c>
      <x:c r="J888" s="119" t="n">
        <x:f>ROUND(INDEX(X888:AY888,1,(D888-1)*4+2)*'难度参数'!$E$28*'章节与怪物'!$E$17,0)</x:f>
        <x:v>160997</x:v>
      </x:c>
      <x:c r="K888" s="119" t="n">
        <x:f>SUM(AA888,AE888,AI888,AM888,AQ888,AU888,AY888)</x:f>
        <x:v>9426</x:v>
      </x:c>
      <x:c r="L888" s="62" t="n">
        <x:f>H888*(ROUNDUP('难度参数'!$E$24/('难度参数'!$E$26*'难度参数'!$E$27),0)*'难度参数'!$E$26)/60</x:f>
        <x:v>4.733333333333333</x:v>
      </x:c>
      <x:c r="M888" s="62" t="n">
        <x:f>L888+D888*('难度参数'!$E$49+'难度参数'!$E$50)/60</x:f>
        <x:v>5.9</x:v>
      </x:c>
      <x:c r="N888" s="119" t="n">
        <x:f>ROUNDDOWN(('经济参数'!$E$20+A888*'经济参数'!$E$21)*G888,0)</x:f>
        <x:v>17820</x:v>
      </x:c>
      <x:c r="O888" s="119" t="n">
        <x:f>ROUNDDOWN(MIN('经济参数'!$E$24,'经济参数'!$E$22+A888*'经济参数'!$E$23)*G888,0)</x:f>
        <x:v>0</x:v>
      </x:c>
      <x:c r="P888" s="119" t="n">
        <x:f>ROUNDDOWN((IF(A888&gt;='材料与任务'!$E$31,'材料与任务'!$E$32,IF(A888&gt;='材料与任务'!$E$25,'材料与任务'!$E$26,IF(A888&gt;='材料与任务'!$E$19,'材料与任务'!$E$20,IF(A888&gt;='材料与任务'!$E$13,'材料与任务'!$E$14,'材料与任务'!$E$8)))))*G888,0)</x:f>
        <x:v>6</x:v>
      </x:c>
      <x:c r="Q888" s="119" t="n">
        <x:f>ROUNDDOWN((IF(A888&gt;='材料与任务'!$E$31,'材料与任务'!$E$33,IF(A888&gt;='材料与任务'!$E$25,'材料与任务'!$E$27,IF(A888&gt;='材料与任务'!$E$19,'材料与任务'!$E$21,IF(A888&gt;='材料与任务'!$E$13,'材料与任务'!$E$15,'材料与任务'!$E$9)))))*G888,0)</x:f>
        <x:v>3</x:v>
      </x:c>
      <x:c r="R888" s="110" t="n">
        <x:f>'装备掉落'!$B$38</x:f>
        <x:v>0.6872058758851213</x:v>
      </x:c>
      <x:c r="S888" s="119" t="n">
        <x:f>MAX(IF(VLOOKUP(A888,'装备掉落'!$A$29:$H$34,2,TRUE)&gt;0,1,0),IF(VLOOKUP(A888,'装备掉落'!$A$29:$H$34,3,TRUE)&gt;0,2,0),IF(VLOOKUP(A888,'装备掉落'!$A$29:$H$34,4,TRUE)&gt;0,3,0),IF(VLOOKUP(A888,'装备掉落'!$A$29:$H$34,5,TRUE)&gt;0,4,0),IF(VLOOKUP(A888,'装备掉落'!$A$29:$H$34,6,TRUE)&gt;0,5,0),IF(VLOOKUP(A888,'装备掉落'!$A$29:$H$34,7,TRUE)&gt;0,6,0),IF(VLOOKUP(A888,'装备掉落'!$A$29:$H$34,8,TRUE)&gt;0,7,0))</x:f>
        <x:v>7</x:v>
      </x:c>
      <x:c r="T888" s="119" t="n">
        <x:f>MIN(7,S888+'经济参数'!$E$70)</x:f>
        <x:v>7</x:v>
      </x:c>
      <x:c r="U888" s="119" t="n">
        <x:f>MIN(7,S888+'经济参数'!$E$71)</x:f>
        <x:v>7</x:v>
      </x:c>
      <x:c r="V888" s="119" t="n">
        <x:f>IF(H888&gt;=('难度参数'!$E$52),1,0)+IF(H888&gt;=('难度参数'!$E$52+'难度参数'!$E$53),1,0)+IF(H888&gt;=('难度参数'!$E$52+'难度参数'!$E$53+'难度参数'!$E$54),1,0)+IF(H888&gt;=('难度参数'!$E$52+'难度参数'!$E$53+'难度参数'!$E$54+'难度参数'!$E$55),1,0)+IF(H888&gt;=('难度参数'!$E$52+'难度参数'!$E$53+'难度参数'!$E$54+'难度参数'!$E$55+'难度参数'!$E$56),1,0)+IF(H888&gt;=('难度参数'!$E$52+'难度参数'!$E$53+'难度参数'!$E$54+'难度参数'!$E$55+'难度参数'!$E$56+'难度参数'!$E$57),1,0)</x:f>
        <x:v>6</x:v>
      </x:c>
      <x:c r="W888" s="62" t="str">
        <x:f>IF(L888&gt;'难度参数'!$E$51,"仅出怪已超目标","还需实测")</x:f>
        <x:v>仅出怪已超目标</x:v>
      </x:c>
      <x:c r="X888" s="119" t="n">
        <x:f>IF(1&gt;D888,0,MAX(2,MIN('难度参数'!$E$12,ROUND(('难度参数'!$E$18*POWER(A888,'难度参数'!$E$19)/D888*(0.85+0.3*(1-1)/MAX(1,D888-1))),0)+F888)))</x:f>
        <x:v>43</x:v>
      </x:c>
      <x:c r="Y888" s="119" t="n">
        <x:f>IF(1&gt;D888,0,ROUND(('难度参数'!$E$13*POWER(A888,'难度参数'!$E$20)*MIN('难度参数'!$E$23,1+MAX(0,A888-'难度参数'!$E$21)*'难度参数'!$E$22))*(36+1*7)/(36+7*(D888+1)/2)*E888,0))</x:f>
        <x:v>11977</x:v>
      </x:c>
      <x:c r="Z888" s="119" t="n">
        <x:f>IF(X888=0,0,(X888-IF(1=D888,1,0))*ROUND(Y888*VLOOKUP(INDEX('章节与怪物'!$E$31:$K$37,B888,1),'章节与怪物'!$A$41:$F$44,2,FALSE),0)+IF(1=D888,ROUND(Y888*'难度参数'!$E$28*'章节与怪物'!$E$17,0),0))</x:f>
        <x:v>370789</x:v>
      </x:c>
      <x:c r="AA888" s="119" t="n">
        <x:f>IF(X888=0,0,(X888-IF(1=D888,1,0))*VLOOKUP(INDEX('章节与怪物'!$E$31:$K$37,B888,1),'章节与怪物'!$A$41:$F$44,4,FALSE)+IF(1=D888,'难度参数'!$E$30,0))</x:f>
        <x:v>860</x:v>
      </x:c>
      <x:c r="AB888" s="119" t="n">
        <x:f>IF(2&gt;D888,0,MAX(2,MIN('难度参数'!$E$12,ROUND(('难度参数'!$E$18*POWER(A888,'难度参数'!$E$19)/D888*(0.85+0.3*(2-1)/MAX(1,D888-1))),0)+F888)))</x:f>
        <x:v>46</x:v>
      </x:c>
      <x:c r="AC888" s="119" t="n">
        <x:f>IF(2&gt;D888,0,ROUND(('难度参数'!$E$13*POWER(A888,'难度参数'!$E$20)*MIN('难度参数'!$E$23,1+MAX(0,A888-'难度参数'!$E$21)*'难度参数'!$E$22))*(36+2*7)/(36+7*(D888+1)/2)*E888,0))</x:f>
        <x:v>13927</x:v>
      </x:c>
      <x:c r="AD888" s="119" t="n">
        <x:f>IF(AB888=0,0,(AB888-IF(2=D888,1,0))*ROUND(AC888*VLOOKUP(INDEX('章节与怪物'!$E$31:$K$37,B888,2),'章节与怪物'!$A$41:$F$44,2,FALSE),0)+IF(2=D888,ROUND(AC888*'难度参数'!$E$28*'章节与怪物'!$E$17,0),0))</x:f>
        <x:v>640642</x:v>
      </x:c>
      <x:c r="AE888" s="119" t="n">
        <x:f>IF(AB888=0,0,(AB888-IF(2=D888,1,0))*VLOOKUP(INDEX('章节与怪物'!$E$31:$K$37,B888,2),'章节与怪物'!$A$41:$F$44,4,FALSE)+IF(2=D888,'难度参数'!$E$30,0))</x:f>
        <x:v>828</x:v>
      </x:c>
      <x:c r="AF888" s="119" t="n">
        <x:f>IF(3&gt;D888,0,MAX(2,MIN('难度参数'!$E$12,ROUND(('难度参数'!$E$18*POWER(A888,'难度参数'!$E$19)/D888*(0.85+0.3*(3-1)/MAX(1,D888-1))),0)+F888)))</x:f>
        <x:v>48</x:v>
      </x:c>
      <x:c r="AG888" s="119" t="n">
        <x:f>IF(3&gt;D888,0,ROUND(('难度参数'!$E$13*POWER(A888,'难度参数'!$E$20)*MIN('难度参数'!$E$23,1+MAX(0,A888-'难度参数'!$E$21)*'难度参数'!$E$22))*(36+3*7)/(36+7*(D888+1)/2)*E888,0))</x:f>
        <x:v>15877</x:v>
      </x:c>
      <x:c r="AH888" s="119" t="n">
        <x:f>IF(AF888=0,0,(AF888-IF(3=D888,1,0))*ROUND(AG888*VLOOKUP(INDEX('章节与怪物'!$E$31:$K$37,B888,3),'章节与怪物'!$A$41:$F$44,2,FALSE),0)+IF(3=D888,ROUND(AG888*'难度参数'!$E$28*'章节与怪物'!$E$17,0),0))</x:f>
        <x:v>1295568</x:v>
      </x:c>
      <x:c r="AI888" s="119" t="n">
        <x:f>IF(AF888=0,0,(AF888-IF(3=D888,1,0))*VLOOKUP(INDEX('章节与怪物'!$E$31:$K$37,B888,3),'章节与怪物'!$A$41:$F$44,4,FALSE)+IF(3=D888,'难度参数'!$E$30,0))</x:f>
        <x:v>1344</x:v>
      </x:c>
      <x:c r="AJ888" s="119" t="n">
        <x:f>IF(4&gt;D888,0,MAX(2,MIN('难度参数'!$E$12,ROUND(('难度参数'!$E$18*POWER(A888,'难度参数'!$E$19)/D888*(0.85+0.3*(4-1)/MAX(1,D888-1))),0)+F888)))</x:f>
        <x:v>51</x:v>
      </x:c>
      <x:c r="AK888" s="119" t="n">
        <x:f>IF(4&gt;D888,0,ROUND(('难度参数'!$E$13*POWER(A888,'难度参数'!$E$20)*MIN('难度参数'!$E$23,1+MAX(0,A888-'难度参数'!$E$21)*'难度参数'!$E$22))*(36+4*7)/(36+7*(D888+1)/2)*E888,0))</x:f>
        <x:v>17827</x:v>
      </x:c>
      <x:c r="AL888" s="119" t="n">
        <x:f>IF(AJ888=0,0,(AJ888-IF(4=D888,1,0))*ROUND(AK888*VLOOKUP(INDEX('章节与怪物'!$E$31:$K$37,B888,4),'章节与怪物'!$A$41:$F$44,2,FALSE),0)+IF(4=D888,ROUND(AK888*'难度参数'!$E$28*'章节与怪物'!$E$17,0),0))</x:f>
        <x:v>1227366</x:v>
      </x:c>
      <x:c r="AM888" s="119" t="n">
        <x:f>IF(AJ888=0,0,(AJ888-IF(4=D888,1,0))*VLOOKUP(INDEX('章节与怪物'!$E$31:$K$37,B888,4),'章节与怪物'!$A$41:$F$44,4,FALSE)+IF(4=D888,'难度参数'!$E$30,0))</x:f>
        <x:v>1734</x:v>
      </x:c>
      <x:c r="AN888" s="119" t="n">
        <x:f>IF(5&gt;D888,0,MAX(2,MIN('难度参数'!$E$12,ROUND(('难度参数'!$E$18*POWER(A888,'难度参数'!$E$19)/D888*(0.85+0.3*(5-1)/MAX(1,D888-1))),0)+F888)))</x:f>
        <x:v>53</x:v>
      </x:c>
      <x:c r="AO888" s="119" t="n">
        <x:f>IF(5&gt;D888,0,ROUND(('难度参数'!$E$13*POWER(A888,'难度参数'!$E$20)*MIN('难度参数'!$E$23,1+MAX(0,A888-'难度参数'!$E$21)*'难度参数'!$E$22))*(36+5*7)/(36+7*(D888+1)/2)*E888,0))</x:f>
        <x:v>19777</x:v>
      </x:c>
      <x:c r="AP888" s="119" t="n">
        <x:f>IF(AN888=0,0,(AN888-IF(5=D888,1,0))*ROUND(AO888*VLOOKUP(INDEX('章节与怪物'!$E$31:$K$37,B888,5),'章节与怪物'!$A$41:$F$44,2,FALSE),0)+IF(5=D888,ROUND(AO888*'难度参数'!$E$28*'章节与怪物'!$E$17,0),0))</x:f>
        <x:v>1048181</x:v>
      </x:c>
      <x:c r="AQ888" s="119" t="n">
        <x:f>IF(AN888=0,0,(AN888-IF(5=D888,1,0))*VLOOKUP(INDEX('章节与怪物'!$E$31:$K$37,B888,5),'章节与怪物'!$A$41:$F$44,4,FALSE)+IF(5=D888,'难度参数'!$E$30,0))</x:f>
        <x:v>954</x:v>
      </x:c>
      <x:c r="AR888" s="119" t="n">
        <x:f>IF(6&gt;D888,0,MAX(2,MIN('难度参数'!$E$12,ROUND(('难度参数'!$E$18*POWER(A888,'难度参数'!$E$19)/D888*(0.85+0.3*(6-1)/MAX(1,D888-1))),0)+F888)))</x:f>
        <x:v>56</x:v>
      </x:c>
      <x:c r="AS888" s="119" t="n">
        <x:f>IF(6&gt;D888,0,ROUND(('难度参数'!$E$13*POWER(A888,'难度参数'!$E$20)*MIN('难度参数'!$E$23,1+MAX(0,A888-'难度参数'!$E$21)*'难度参数'!$E$22))*(36+6*7)/(36+7*(D888+1)/2)*E888,0))</x:f>
        <x:v>21726</x:v>
      </x:c>
      <x:c r="AT888" s="119" t="n">
        <x:f>IF(AR888=0,0,(AR888-IF(6=D888,1,0))*ROUND(AS888*VLOOKUP(INDEX('章节与怪物'!$E$31:$K$37,B888,6),'章节与怪物'!$A$41:$F$44,2,FALSE),0)+IF(6=D888,ROUND(AS888*'难度参数'!$E$28*'章节与怪物'!$E$17,0),0))</x:f>
        <x:v>2068304</x:v>
      </x:c>
      <x:c r="AU888" s="119" t="n">
        <x:f>IF(AR888=0,0,(AR888-IF(6=D888,1,0))*VLOOKUP(INDEX('章节与怪物'!$E$31:$K$37,B888,6),'章节与怪物'!$A$41:$F$44,4,FALSE)+IF(6=D888,'难度参数'!$E$30,0))</x:f>
        <x:v>1568</x:v>
      </x:c>
      <x:c r="AV888" s="119" t="n">
        <x:f>IF(7&gt;D888,0,MAX(2,MIN('难度参数'!$E$12,ROUND(('难度参数'!$E$18*POWER(A888,'难度参数'!$E$19)/D888*(0.85+0.3*(7-1)/MAX(1,D888-1))),0)+F888)))</x:f>
        <x:v>58</x:v>
      </x:c>
      <x:c r="AW888" s="119" t="n">
        <x:f>IF(7&gt;D888,0,ROUND(('难度参数'!$E$13*POWER(A888,'难度参数'!$E$20)*MIN('难度参数'!$E$23,1+MAX(0,A888-'难度参数'!$E$21)*'难度参数'!$E$22))*(36+7*7)/(36+7*(D888+1)/2)*E888,0))</x:f>
        <x:v>23676</x:v>
      </x:c>
      <x:c r="AX888" s="119" t="n">
        <x:f>IF(AV888=0,0,(AV888-IF(7=D888,1,0))*ROUND(AW888*VLOOKUP(INDEX('章节与怪物'!$E$31:$K$37,B888,7),'章节与怪物'!$A$41:$F$44,2,FALSE),0)+IF(7=D888,ROUND(AW888*'难度参数'!$E$28*'章节与怪物'!$E$17,0),0))</x:f>
        <x:v>1982888</x:v>
      </x:c>
      <x:c r="AY888" s="119" t="n">
        <x:f>IF(AV888=0,0,(AV888-IF(7=D888,1,0))*VLOOKUP(INDEX('章节与怪物'!$E$31:$K$37,B888,7),'章节与怪物'!$A$41:$F$44,4,FALSE)+IF(7=D888,'难度参数'!$E$30,0))</x:f>
        <x:v>2138</x:v>
      </x:c>
    </x:row>
    <x:row r="889" ht="23" customHeight="1">
      <x:c r="A889" s="119" t="n">
        <x:v>883</x:v>
      </x:c>
      <x:c r="B889" s="119" t="n">
        <x:f>MOD(INT((A889-1)/5),7)+1</x:f>
        <x:v>2</x:v>
      </x:c>
      <x:c r="C889" s="62" t="str">
        <x:f>INDEX('章节与怪物'!$B$31:$B$37,B889)</x:f>
        <x:v>黄沙要塞</x:v>
      </x:c>
      <x:c r="D889" s="119" t="n">
        <x:f>MIN('难度参数'!$E$8,MAX('难度参数'!$E$7,A889))</x:f>
        <x:v>7</x:v>
      </x:c>
      <x:c r="E889" s="106" t="n">
        <x:v>1</x:v>
      </x:c>
      <x:c r="F889" s="106" t="n">
        <x:v>0</x:v>
      </x:c>
      <x:c r="G889" s="106" t="n">
        <x:v>1</x:v>
      </x:c>
      <x:c r="H889" s="119" t="n">
        <x:f>SUM(X889,AB889,AF889,AJ889,AN889,AR889,AV889)</x:f>
        <x:v>355</x:v>
      </x:c>
      <x:c r="I889" s="119" t="n">
        <x:f>SUM(Z889,AD889,AH889,AL889,AP889,AT889,AX889)</x:f>
        <x:v>8640751</x:v>
      </x:c>
      <x:c r="J889" s="119" t="n">
        <x:f>ROUND(INDEX(X889:AY889,1,(D889-1)*4+2)*'难度参数'!$E$28*'章节与怪物'!$E$17,0)</x:f>
        <x:v>161126</x:v>
      </x:c>
      <x:c r="K889" s="119" t="n">
        <x:f>SUM(AA889,AE889,AI889,AM889,AQ889,AU889,AY889)</x:f>
        <x:v>9426</x:v>
      </x:c>
      <x:c r="L889" s="62" t="n">
        <x:f>H889*(ROUNDUP('难度参数'!$E$24/('难度参数'!$E$26*'难度参数'!$E$27),0)*'难度参数'!$E$26)/60</x:f>
        <x:v>4.733333333333333</x:v>
      </x:c>
      <x:c r="M889" s="62" t="n">
        <x:f>L889+D889*('难度参数'!$E$49+'难度参数'!$E$50)/60</x:f>
        <x:v>5.9</x:v>
      </x:c>
      <x:c r="N889" s="119" t="n">
        <x:f>ROUNDDOWN(('经济参数'!$E$20+A889*'经济参数'!$E$21)*G889,0)</x:f>
        <x:v>17840</x:v>
      </x:c>
      <x:c r="O889" s="119" t="n">
        <x:f>ROUNDDOWN(MIN('经济参数'!$E$24,'经济参数'!$E$22+A889*'经济参数'!$E$23)*G889,0)</x:f>
        <x:v>0</x:v>
      </x:c>
      <x:c r="P889" s="119" t="n">
        <x:f>ROUNDDOWN((IF(A889&gt;='材料与任务'!$E$31,'材料与任务'!$E$32,IF(A889&gt;='材料与任务'!$E$25,'材料与任务'!$E$26,IF(A889&gt;='材料与任务'!$E$19,'材料与任务'!$E$20,IF(A889&gt;='材料与任务'!$E$13,'材料与任务'!$E$14,'材料与任务'!$E$8)))))*G889,0)</x:f>
        <x:v>6</x:v>
      </x:c>
      <x:c r="Q889" s="119" t="n">
        <x:f>ROUNDDOWN((IF(A889&gt;='材料与任务'!$E$31,'材料与任务'!$E$33,IF(A889&gt;='材料与任务'!$E$25,'材料与任务'!$E$27,IF(A889&gt;='材料与任务'!$E$19,'材料与任务'!$E$21,IF(A889&gt;='材料与任务'!$E$13,'材料与任务'!$E$15,'材料与任务'!$E$9)))))*G889,0)</x:f>
        <x:v>3</x:v>
      </x:c>
      <x:c r="R889" s="110" t="n">
        <x:f>'装备掉落'!$B$38</x:f>
        <x:v>0.6872058758851213</x:v>
      </x:c>
      <x:c r="S889" s="119" t="n">
        <x:f>MAX(IF(VLOOKUP(A889,'装备掉落'!$A$29:$H$34,2,TRUE)&gt;0,1,0),IF(VLOOKUP(A889,'装备掉落'!$A$29:$H$34,3,TRUE)&gt;0,2,0),IF(VLOOKUP(A889,'装备掉落'!$A$29:$H$34,4,TRUE)&gt;0,3,0),IF(VLOOKUP(A889,'装备掉落'!$A$29:$H$34,5,TRUE)&gt;0,4,0),IF(VLOOKUP(A889,'装备掉落'!$A$29:$H$34,6,TRUE)&gt;0,5,0),IF(VLOOKUP(A889,'装备掉落'!$A$29:$H$34,7,TRUE)&gt;0,6,0),IF(VLOOKUP(A889,'装备掉落'!$A$29:$H$34,8,TRUE)&gt;0,7,0))</x:f>
        <x:v>7</x:v>
      </x:c>
      <x:c r="T889" s="119" t="n">
        <x:f>MIN(7,S889+'经济参数'!$E$70)</x:f>
        <x:v>7</x:v>
      </x:c>
      <x:c r="U889" s="119" t="n">
        <x:f>MIN(7,S889+'经济参数'!$E$71)</x:f>
        <x:v>7</x:v>
      </x:c>
      <x:c r="V889" s="119" t="n">
        <x:f>IF(H889&gt;=('难度参数'!$E$52),1,0)+IF(H889&gt;=('难度参数'!$E$52+'难度参数'!$E$53),1,0)+IF(H889&gt;=('难度参数'!$E$52+'难度参数'!$E$53+'难度参数'!$E$54),1,0)+IF(H889&gt;=('难度参数'!$E$52+'难度参数'!$E$53+'难度参数'!$E$54+'难度参数'!$E$55),1,0)+IF(H889&gt;=('难度参数'!$E$52+'难度参数'!$E$53+'难度参数'!$E$54+'难度参数'!$E$55+'难度参数'!$E$56),1,0)+IF(H889&gt;=('难度参数'!$E$52+'难度参数'!$E$53+'难度参数'!$E$54+'难度参数'!$E$55+'难度参数'!$E$56+'难度参数'!$E$57),1,0)</x:f>
        <x:v>6</x:v>
      </x:c>
      <x:c r="W889" s="62" t="str">
        <x:f>IF(L889&gt;'难度参数'!$E$51,"仅出怪已超目标","还需实测")</x:f>
        <x:v>仅出怪已超目标</x:v>
      </x:c>
      <x:c r="X889" s="119" t="n">
        <x:f>IF(1&gt;D889,0,MAX(2,MIN('难度参数'!$E$12,ROUND(('难度参数'!$E$18*POWER(A889,'难度参数'!$E$19)/D889*(0.85+0.3*(1-1)/MAX(1,D889-1))),0)+F889)))</x:f>
        <x:v>43</x:v>
      </x:c>
      <x:c r="Y889" s="119" t="n">
        <x:f>IF(1&gt;D889,0,ROUND(('难度参数'!$E$13*POWER(A889,'难度参数'!$E$20)*MIN('难度参数'!$E$23,1+MAX(0,A889-'难度参数'!$E$21)*'难度参数'!$E$22))*(36+1*7)/(36+7*(D889+1)/2)*E889,0))</x:f>
        <x:v>11987</x:v>
      </x:c>
      <x:c r="Z889" s="119" t="n">
        <x:f>IF(X889=0,0,(X889-IF(1=D889,1,0))*ROUND(Y889*VLOOKUP(INDEX('章节与怪物'!$E$31:$K$37,B889,1),'章节与怪物'!$A$41:$F$44,2,FALSE),0)+IF(1=D889,ROUND(Y889*'难度参数'!$E$28*'章节与怪物'!$E$17,0),0))</x:f>
        <x:v>371133</x:v>
      </x:c>
      <x:c r="AA889" s="119" t="n">
        <x:f>IF(X889=0,0,(X889-IF(1=D889,1,0))*VLOOKUP(INDEX('章节与怪物'!$E$31:$K$37,B889,1),'章节与怪物'!$A$41:$F$44,4,FALSE)+IF(1=D889,'难度参数'!$E$30,0))</x:f>
        <x:v>860</x:v>
      </x:c>
      <x:c r="AB889" s="119" t="n">
        <x:f>IF(2&gt;D889,0,MAX(2,MIN('难度参数'!$E$12,ROUND(('难度参数'!$E$18*POWER(A889,'难度参数'!$E$19)/D889*(0.85+0.3*(2-1)/MAX(1,D889-1))),0)+F889)))</x:f>
        <x:v>46</x:v>
      </x:c>
      <x:c r="AC889" s="119" t="n">
        <x:f>IF(2&gt;D889,0,ROUND(('难度参数'!$E$13*POWER(A889,'难度参数'!$E$20)*MIN('难度参数'!$E$23,1+MAX(0,A889-'难度参数'!$E$21)*'难度参数'!$E$22))*(36+2*7)/(36+7*(D889+1)/2)*E889,0))</x:f>
        <x:v>13938</x:v>
      </x:c>
      <x:c r="AD889" s="119" t="n">
        <x:f>IF(AB889=0,0,(AB889-IF(2=D889,1,0))*ROUND(AC889*VLOOKUP(INDEX('章节与怪物'!$E$31:$K$37,B889,2),'章节与怪物'!$A$41:$F$44,2,FALSE),0)+IF(2=D889,ROUND(AC889*'难度参数'!$E$28*'章节与怪物'!$E$17,0),0))</x:f>
        <x:v>641148</x:v>
      </x:c>
      <x:c r="AE889" s="119" t="n">
        <x:f>IF(AB889=0,0,(AB889-IF(2=D889,1,0))*VLOOKUP(INDEX('章节与怪物'!$E$31:$K$37,B889,2),'章节与怪物'!$A$41:$F$44,4,FALSE)+IF(2=D889,'难度参数'!$E$30,0))</x:f>
        <x:v>828</x:v>
      </x:c>
      <x:c r="AF889" s="119" t="n">
        <x:f>IF(3&gt;D889,0,MAX(2,MIN('难度参数'!$E$12,ROUND(('难度参数'!$E$18*POWER(A889,'难度参数'!$E$19)/D889*(0.85+0.3*(3-1)/MAX(1,D889-1))),0)+F889)))</x:f>
        <x:v>48</x:v>
      </x:c>
      <x:c r="AG889" s="119" t="n">
        <x:f>IF(3&gt;D889,0,ROUND(('难度参数'!$E$13*POWER(A889,'难度参数'!$E$20)*MIN('难度参数'!$E$23,1+MAX(0,A889-'难度参数'!$E$21)*'难度参数'!$E$22))*(36+3*7)/(36+7*(D889+1)/2)*E889,0))</x:f>
        <x:v>15890</x:v>
      </x:c>
      <x:c r="AH889" s="119" t="n">
        <x:f>IF(AF889=0,0,(AF889-IF(3=D889,1,0))*ROUND(AG889*VLOOKUP(INDEX('章节与怪物'!$E$31:$K$37,B889,3),'章节与怪物'!$A$41:$F$44,2,FALSE),0)+IF(3=D889,ROUND(AG889*'难度参数'!$E$28*'章节与怪物'!$E$17,0),0))</x:f>
        <x:v>1296624</x:v>
      </x:c>
      <x:c r="AI889" s="119" t="n">
        <x:f>IF(AF889=0,0,(AF889-IF(3=D889,1,0))*VLOOKUP(INDEX('章节与怪物'!$E$31:$K$37,B889,3),'章节与怪物'!$A$41:$F$44,4,FALSE)+IF(3=D889,'难度参数'!$E$30,0))</x:f>
        <x:v>1344</x:v>
      </x:c>
      <x:c r="AJ889" s="119" t="n">
        <x:f>IF(4&gt;D889,0,MAX(2,MIN('难度参数'!$E$12,ROUND(('难度参数'!$E$18*POWER(A889,'难度参数'!$E$19)/D889*(0.85+0.3*(4-1)/MAX(1,D889-1))),0)+F889)))</x:f>
        <x:v>51</x:v>
      </x:c>
      <x:c r="AK889" s="119" t="n">
        <x:f>IF(4&gt;D889,0,ROUND(('难度参数'!$E$13*POWER(A889,'难度参数'!$E$20)*MIN('难度参数'!$E$23,1+MAX(0,A889-'难度参数'!$E$21)*'难度参数'!$E$22))*(36+4*7)/(36+7*(D889+1)/2)*E889,0))</x:f>
        <x:v>17841</x:v>
      </x:c>
      <x:c r="AL889" s="119" t="n">
        <x:f>IF(AJ889=0,0,(AJ889-IF(4=D889,1,0))*ROUND(AK889*VLOOKUP(INDEX('章节与怪物'!$E$31:$K$37,B889,4),'章节与怪物'!$A$41:$F$44,2,FALSE),0)+IF(4=D889,ROUND(AK889*'难度参数'!$E$28*'章节与怪物'!$E$17,0),0))</x:f>
        <x:v>1228335</x:v>
      </x:c>
      <x:c r="AM889" s="119" t="n">
        <x:f>IF(AJ889=0,0,(AJ889-IF(4=D889,1,0))*VLOOKUP(INDEX('章节与怪物'!$E$31:$K$37,B889,4),'章节与怪物'!$A$41:$F$44,4,FALSE)+IF(4=D889,'难度参数'!$E$30,0))</x:f>
        <x:v>1734</x:v>
      </x:c>
      <x:c r="AN889" s="119" t="n">
        <x:f>IF(5&gt;D889,0,MAX(2,MIN('难度参数'!$E$12,ROUND(('难度参数'!$E$18*POWER(A889,'难度参数'!$E$19)/D889*(0.85+0.3*(5-1)/MAX(1,D889-1))),0)+F889)))</x:f>
        <x:v>53</x:v>
      </x:c>
      <x:c r="AO889" s="119" t="n">
        <x:f>IF(5&gt;D889,0,ROUND(('难度参数'!$E$13*POWER(A889,'难度参数'!$E$20)*MIN('难度参数'!$E$23,1+MAX(0,A889-'难度参数'!$E$21)*'难度参数'!$E$22))*(36+5*7)/(36+7*(D889+1)/2)*E889,0))</x:f>
        <x:v>19793</x:v>
      </x:c>
      <x:c r="AP889" s="119" t="n">
        <x:f>IF(AN889=0,0,(AN889-IF(5=D889,1,0))*ROUND(AO889*VLOOKUP(INDEX('章节与怪物'!$E$31:$K$37,B889,5),'章节与怪物'!$A$41:$F$44,2,FALSE),0)+IF(5=D889,ROUND(AO889*'难度参数'!$E$28*'章节与怪物'!$E$17,0),0))</x:f>
        <x:v>1049029</x:v>
      </x:c>
      <x:c r="AQ889" s="119" t="n">
        <x:f>IF(AN889=0,0,(AN889-IF(5=D889,1,0))*VLOOKUP(INDEX('章节与怪物'!$E$31:$K$37,B889,5),'章节与怪物'!$A$41:$F$44,4,FALSE)+IF(5=D889,'难度参数'!$E$30,0))</x:f>
        <x:v>954</x:v>
      </x:c>
      <x:c r="AR889" s="119" t="n">
        <x:f>IF(6&gt;D889,0,MAX(2,MIN('难度参数'!$E$12,ROUND(('难度参数'!$E$18*POWER(A889,'难度参数'!$E$19)/D889*(0.85+0.3*(6-1)/MAX(1,D889-1))),0)+F889)))</x:f>
        <x:v>56</x:v>
      </x:c>
      <x:c r="AS889" s="119" t="n">
        <x:f>IF(6&gt;D889,0,ROUND(('难度参数'!$E$13*POWER(A889,'难度参数'!$E$20)*MIN('难度参数'!$E$23,1+MAX(0,A889-'难度参数'!$E$21)*'难度参数'!$E$22))*(36+6*7)/(36+7*(D889+1)/2)*E889,0))</x:f>
        <x:v>21744</x:v>
      </x:c>
      <x:c r="AT889" s="119" t="n">
        <x:f>IF(AR889=0,0,(AR889-IF(6=D889,1,0))*ROUND(AS889*VLOOKUP(INDEX('章节与怪物'!$E$31:$K$37,B889,6),'章节与怪物'!$A$41:$F$44,2,FALSE),0)+IF(6=D889,ROUND(AS889*'难度参数'!$E$28*'章节与怪物'!$E$17,0),0))</x:f>
        <x:v>2070040</x:v>
      </x:c>
      <x:c r="AU889" s="119" t="n">
        <x:f>IF(AR889=0,0,(AR889-IF(6=D889,1,0))*VLOOKUP(INDEX('章节与怪物'!$E$31:$K$37,B889,6),'章节与怪物'!$A$41:$F$44,4,FALSE)+IF(6=D889,'难度参数'!$E$30,0))</x:f>
        <x:v>1568</x:v>
      </x:c>
      <x:c r="AV889" s="119" t="n">
        <x:f>IF(7&gt;D889,0,MAX(2,MIN('难度参数'!$E$12,ROUND(('难度参数'!$E$18*POWER(A889,'难度参数'!$E$19)/D889*(0.85+0.3*(7-1)/MAX(1,D889-1))),0)+F889)))</x:f>
        <x:v>58</x:v>
      </x:c>
      <x:c r="AW889" s="119" t="n">
        <x:f>IF(7&gt;D889,0,ROUND(('难度参数'!$E$13*POWER(A889,'难度参数'!$E$20)*MIN('难度参数'!$E$23,1+MAX(0,A889-'难度参数'!$E$21)*'难度参数'!$E$22))*(36+7*7)/(36+7*(D889+1)/2)*E889,0))</x:f>
        <x:v>23695</x:v>
      </x:c>
      <x:c r="AX889" s="119" t="n">
        <x:f>IF(AV889=0,0,(AV889-IF(7=D889,1,0))*ROUND(AW889*VLOOKUP(INDEX('章节与怪物'!$E$31:$K$37,B889,7),'章节与怪物'!$A$41:$F$44,2,FALSE),0)+IF(7=D889,ROUND(AW889*'难度参数'!$E$28*'章节与怪物'!$E$17,0),0))</x:f>
        <x:v>1984442</x:v>
      </x:c>
      <x:c r="AY889" s="119" t="n">
        <x:f>IF(AV889=0,0,(AV889-IF(7=D889,1,0))*VLOOKUP(INDEX('章节与怪物'!$E$31:$K$37,B889,7),'章节与怪物'!$A$41:$F$44,4,FALSE)+IF(7=D889,'难度参数'!$E$30,0))</x:f>
        <x:v>2138</x:v>
      </x:c>
    </x:row>
    <x:row r="890" ht="23" customHeight="1">
      <x:c r="A890" s="119" t="n">
        <x:v>884</x:v>
      </x:c>
      <x:c r="B890" s="119" t="n">
        <x:f>MOD(INT((A890-1)/5),7)+1</x:f>
        <x:v>2</x:v>
      </x:c>
      <x:c r="C890" s="62" t="str">
        <x:f>INDEX('章节与怪物'!$B$31:$B$37,B890)</x:f>
        <x:v>黄沙要塞</x:v>
      </x:c>
      <x:c r="D890" s="119" t="n">
        <x:f>MIN('难度参数'!$E$8,MAX('难度参数'!$E$7,A890))</x:f>
        <x:v>7</x:v>
      </x:c>
      <x:c r="E890" s="106" t="n">
        <x:v>1</x:v>
      </x:c>
      <x:c r="F890" s="106" t="n">
        <x:v>0</x:v>
      </x:c>
      <x:c r="G890" s="106" t="n">
        <x:v>1</x:v>
      </x:c>
      <x:c r="H890" s="119" t="n">
        <x:f>SUM(X890,AB890,AF890,AJ890,AN890,AR890,AV890)</x:f>
        <x:v>355</x:v>
      </x:c>
      <x:c r="I890" s="119" t="n">
        <x:f>SUM(Z890,AD890,AH890,AL890,AP890,AT890,AX890)</x:f>
        <x:v>8647934</x:v>
      </x:c>
      <x:c r="J890" s="119" t="n">
        <x:f>ROUND(INDEX(X890:AY890,1,(D890-1)*4+2)*'难度参数'!$E$28*'章节与怪物'!$E$17,0)</x:f>
        <x:v>161262</x:v>
      </x:c>
      <x:c r="K890" s="119" t="n">
        <x:f>SUM(AA890,AE890,AI890,AM890,AQ890,AU890,AY890)</x:f>
        <x:v>9426</x:v>
      </x:c>
      <x:c r="L890" s="62" t="n">
        <x:f>H890*(ROUNDUP('难度参数'!$E$24/('难度参数'!$E$26*'难度参数'!$E$27),0)*'难度参数'!$E$26)/60</x:f>
        <x:v>4.733333333333333</x:v>
      </x:c>
      <x:c r="M890" s="62" t="n">
        <x:f>L890+D890*('难度参数'!$E$49+'难度参数'!$E$50)/60</x:f>
        <x:v>5.9</x:v>
      </x:c>
      <x:c r="N890" s="119" t="n">
        <x:f>ROUNDDOWN(('经济参数'!$E$20+A890*'经济参数'!$E$21)*G890,0)</x:f>
        <x:v>17860</x:v>
      </x:c>
      <x:c r="O890" s="119" t="n">
        <x:f>ROUNDDOWN(MIN('经济参数'!$E$24,'经济参数'!$E$22+A890*'经济参数'!$E$23)*G890,0)</x:f>
        <x:v>0</x:v>
      </x:c>
      <x:c r="P890" s="119" t="n">
        <x:f>ROUNDDOWN((IF(A890&gt;='材料与任务'!$E$31,'材料与任务'!$E$32,IF(A890&gt;='材料与任务'!$E$25,'材料与任务'!$E$26,IF(A890&gt;='材料与任务'!$E$19,'材料与任务'!$E$20,IF(A890&gt;='材料与任务'!$E$13,'材料与任务'!$E$14,'材料与任务'!$E$8)))))*G890,0)</x:f>
        <x:v>6</x:v>
      </x:c>
      <x:c r="Q890" s="119" t="n">
        <x:f>ROUNDDOWN((IF(A890&gt;='材料与任务'!$E$31,'材料与任务'!$E$33,IF(A890&gt;='材料与任务'!$E$25,'材料与任务'!$E$27,IF(A890&gt;='材料与任务'!$E$19,'材料与任务'!$E$21,IF(A890&gt;='材料与任务'!$E$13,'材料与任务'!$E$15,'材料与任务'!$E$9)))))*G890,0)</x:f>
        <x:v>3</x:v>
      </x:c>
      <x:c r="R890" s="110" t="n">
        <x:f>'装备掉落'!$B$38</x:f>
        <x:v>0.6872058758851213</x:v>
      </x:c>
      <x:c r="S890" s="119" t="n">
        <x:f>MAX(IF(VLOOKUP(A890,'装备掉落'!$A$29:$H$34,2,TRUE)&gt;0,1,0),IF(VLOOKUP(A890,'装备掉落'!$A$29:$H$34,3,TRUE)&gt;0,2,0),IF(VLOOKUP(A890,'装备掉落'!$A$29:$H$34,4,TRUE)&gt;0,3,0),IF(VLOOKUP(A890,'装备掉落'!$A$29:$H$34,5,TRUE)&gt;0,4,0),IF(VLOOKUP(A890,'装备掉落'!$A$29:$H$34,6,TRUE)&gt;0,5,0),IF(VLOOKUP(A890,'装备掉落'!$A$29:$H$34,7,TRUE)&gt;0,6,0),IF(VLOOKUP(A890,'装备掉落'!$A$29:$H$34,8,TRUE)&gt;0,7,0))</x:f>
        <x:v>7</x:v>
      </x:c>
      <x:c r="T890" s="119" t="n">
        <x:f>MIN(7,S890+'经济参数'!$E$70)</x:f>
        <x:v>7</x:v>
      </x:c>
      <x:c r="U890" s="119" t="n">
        <x:f>MIN(7,S890+'经济参数'!$E$71)</x:f>
        <x:v>7</x:v>
      </x:c>
      <x:c r="V890" s="119" t="n">
        <x:f>IF(H890&gt;=('难度参数'!$E$52),1,0)+IF(H890&gt;=('难度参数'!$E$52+'难度参数'!$E$53),1,0)+IF(H890&gt;=('难度参数'!$E$52+'难度参数'!$E$53+'难度参数'!$E$54),1,0)+IF(H890&gt;=('难度参数'!$E$52+'难度参数'!$E$53+'难度参数'!$E$54+'难度参数'!$E$55),1,0)+IF(H890&gt;=('难度参数'!$E$52+'难度参数'!$E$53+'难度参数'!$E$54+'难度参数'!$E$55+'难度参数'!$E$56),1,0)+IF(H890&gt;=('难度参数'!$E$52+'难度参数'!$E$53+'难度参数'!$E$54+'难度参数'!$E$55+'难度参数'!$E$56+'难度参数'!$E$57),1,0)</x:f>
        <x:v>6</x:v>
      </x:c>
      <x:c r="W890" s="62" t="str">
        <x:f>IF(L890&gt;'难度参数'!$E$51,"仅出怪已超目标","还需实测")</x:f>
        <x:v>仅出怪已超目标</x:v>
      </x:c>
      <x:c r="X890" s="119" t="n">
        <x:f>IF(1&gt;D890,0,MAX(2,MIN('难度参数'!$E$12,ROUND(('难度参数'!$E$18*POWER(A890,'难度参数'!$E$19)/D890*(0.85+0.3*(1-1)/MAX(1,D890-1))),0)+F890)))</x:f>
        <x:v>43</x:v>
      </x:c>
      <x:c r="Y890" s="119" t="n">
        <x:f>IF(1&gt;D890,0,ROUND(('难度参数'!$E$13*POWER(A890,'难度参数'!$E$20)*MIN('难度参数'!$E$23,1+MAX(0,A890-'难度参数'!$E$21)*'难度参数'!$E$22))*(36+1*7)/(36+7*(D890+1)/2)*E890,0))</x:f>
        <x:v>11997</x:v>
      </x:c>
      <x:c r="Z890" s="119" t="n">
        <x:f>IF(X890=0,0,(X890-IF(1=D890,1,0))*ROUND(Y890*VLOOKUP(INDEX('章节与怪物'!$E$31:$K$37,B890,1),'章节与怪物'!$A$41:$F$44,2,FALSE),0)+IF(1=D890,ROUND(Y890*'难度参数'!$E$28*'章节与怪物'!$E$17,0),0))</x:f>
        <x:v>371434</x:v>
      </x:c>
      <x:c r="AA890" s="119" t="n">
        <x:f>IF(X890=0,0,(X890-IF(1=D890,1,0))*VLOOKUP(INDEX('章节与怪物'!$E$31:$K$37,B890,1),'章节与怪物'!$A$41:$F$44,4,FALSE)+IF(1=D890,'难度参数'!$E$30,0))</x:f>
        <x:v>860</x:v>
      </x:c>
      <x:c r="AB890" s="119" t="n">
        <x:f>IF(2&gt;D890,0,MAX(2,MIN('难度参数'!$E$12,ROUND(('难度参数'!$E$18*POWER(A890,'难度参数'!$E$19)/D890*(0.85+0.3*(2-1)/MAX(1,D890-1))),0)+F890)))</x:f>
        <x:v>46</x:v>
      </x:c>
      <x:c r="AC890" s="119" t="n">
        <x:f>IF(2&gt;D890,0,ROUND(('难度参数'!$E$13*POWER(A890,'难度参数'!$E$20)*MIN('难度参数'!$E$23,1+MAX(0,A890-'难度参数'!$E$21)*'难度参数'!$E$22))*(36+2*7)/(36+7*(D890+1)/2)*E890,0))</x:f>
        <x:v>13950</x:v>
      </x:c>
      <x:c r="AD890" s="119" t="n">
        <x:f>IF(AB890=0,0,(AB890-IF(2=D890,1,0))*ROUND(AC890*VLOOKUP(INDEX('章节与怪物'!$E$31:$K$37,B890,2),'章节与怪物'!$A$41:$F$44,2,FALSE),0)+IF(2=D890,ROUND(AC890*'难度参数'!$E$28*'章节与怪物'!$E$17,0),0))</x:f>
        <x:v>641700</x:v>
      </x:c>
      <x:c r="AE890" s="119" t="n">
        <x:f>IF(AB890=0,0,(AB890-IF(2=D890,1,0))*VLOOKUP(INDEX('章节与怪物'!$E$31:$K$37,B890,2),'章节与怪物'!$A$41:$F$44,4,FALSE)+IF(2=D890,'难度参数'!$E$30,0))</x:f>
        <x:v>828</x:v>
      </x:c>
      <x:c r="AF890" s="119" t="n">
        <x:f>IF(3&gt;D890,0,MAX(2,MIN('难度参数'!$E$12,ROUND(('难度参数'!$E$18*POWER(A890,'难度参数'!$E$19)/D890*(0.85+0.3*(3-1)/MAX(1,D890-1))),0)+F890)))</x:f>
        <x:v>48</x:v>
      </x:c>
      <x:c r="AG890" s="119" t="n">
        <x:f>IF(3&gt;D890,0,ROUND(('难度参数'!$E$13*POWER(A890,'难度参数'!$E$20)*MIN('难度参数'!$E$23,1+MAX(0,A890-'难度参数'!$E$21)*'难度参数'!$E$22))*(36+3*7)/(36+7*(D890+1)/2)*E890,0))</x:f>
        <x:v>15903</x:v>
      </x:c>
      <x:c r="AH890" s="119" t="n">
        <x:f>IF(AF890=0,0,(AF890-IF(3=D890,1,0))*ROUND(AG890*VLOOKUP(INDEX('章节与怪物'!$E$31:$K$37,B890,3),'章节与怪物'!$A$41:$F$44,2,FALSE),0)+IF(3=D890,ROUND(AG890*'难度参数'!$E$28*'章节与怪物'!$E$17,0),0))</x:f>
        <x:v>1297680</x:v>
      </x:c>
      <x:c r="AI890" s="119" t="n">
        <x:f>IF(AF890=0,0,(AF890-IF(3=D890,1,0))*VLOOKUP(INDEX('章节与怪物'!$E$31:$K$37,B890,3),'章节与怪物'!$A$41:$F$44,4,FALSE)+IF(3=D890,'难度参数'!$E$30,0))</x:f>
        <x:v>1344</x:v>
      </x:c>
      <x:c r="AJ890" s="119" t="n">
        <x:f>IF(4&gt;D890,0,MAX(2,MIN('难度参数'!$E$12,ROUND(('难度参数'!$E$18*POWER(A890,'难度参数'!$E$19)/D890*(0.85+0.3*(4-1)/MAX(1,D890-1))),0)+F890)))</x:f>
        <x:v>51</x:v>
      </x:c>
      <x:c r="AK890" s="119" t="n">
        <x:f>IF(4&gt;D890,0,ROUND(('难度参数'!$E$13*POWER(A890,'难度参数'!$E$20)*MIN('难度参数'!$E$23,1+MAX(0,A890-'难度参数'!$E$21)*'难度参数'!$E$22))*(36+4*7)/(36+7*(D890+1)/2)*E890,0))</x:f>
        <x:v>17856</x:v>
      </x:c>
      <x:c r="AL890" s="119" t="n">
        <x:f>IF(AJ890=0,0,(AJ890-IF(4=D890,1,0))*ROUND(AK890*VLOOKUP(INDEX('章节与怪物'!$E$31:$K$37,B890,4),'章节与怪物'!$A$41:$F$44,2,FALSE),0)+IF(4=D890,ROUND(AK890*'难度参数'!$E$28*'章节与怪物'!$E$17,0),0))</x:f>
        <x:v>1229406</x:v>
      </x:c>
      <x:c r="AM890" s="119" t="n">
        <x:f>IF(AJ890=0,0,(AJ890-IF(4=D890,1,0))*VLOOKUP(INDEX('章节与怪物'!$E$31:$K$37,B890,4),'章节与怪物'!$A$41:$F$44,4,FALSE)+IF(4=D890,'难度参数'!$E$30,0))</x:f>
        <x:v>1734</x:v>
      </x:c>
      <x:c r="AN890" s="119" t="n">
        <x:f>IF(5&gt;D890,0,MAX(2,MIN('难度参数'!$E$12,ROUND(('难度参数'!$E$18*POWER(A890,'难度参数'!$E$19)/D890*(0.85+0.3*(5-1)/MAX(1,D890-1))),0)+F890)))</x:f>
        <x:v>53</x:v>
      </x:c>
      <x:c r="AO890" s="119" t="n">
        <x:f>IF(5&gt;D890,0,ROUND(('难度参数'!$E$13*POWER(A890,'难度参数'!$E$20)*MIN('难度参数'!$E$23,1+MAX(0,A890-'难度参数'!$E$21)*'难度参数'!$E$22))*(36+5*7)/(36+7*(D890+1)/2)*E890,0))</x:f>
        <x:v>19809</x:v>
      </x:c>
      <x:c r="AP890" s="119" t="n">
        <x:f>IF(AN890=0,0,(AN890-IF(5=D890,1,0))*ROUND(AO890*VLOOKUP(INDEX('章节与怪物'!$E$31:$K$37,B890,5),'章节与怪物'!$A$41:$F$44,2,FALSE),0)+IF(5=D890,ROUND(AO890*'难度参数'!$E$28*'章节与怪物'!$E$17,0),0))</x:f>
        <x:v>1049877</x:v>
      </x:c>
      <x:c r="AQ890" s="119" t="n">
        <x:f>IF(AN890=0,0,(AN890-IF(5=D890,1,0))*VLOOKUP(INDEX('章节与怪物'!$E$31:$K$37,B890,5),'章节与怪物'!$A$41:$F$44,4,FALSE)+IF(5=D890,'难度参数'!$E$30,0))</x:f>
        <x:v>954</x:v>
      </x:c>
      <x:c r="AR890" s="119" t="n">
        <x:f>IF(6&gt;D890,0,MAX(2,MIN('难度参数'!$E$12,ROUND(('难度参数'!$E$18*POWER(A890,'难度参数'!$E$19)/D890*(0.85+0.3*(6-1)/MAX(1,D890-1))),0)+F890)))</x:f>
        <x:v>56</x:v>
      </x:c>
      <x:c r="AS890" s="119" t="n">
        <x:f>IF(6&gt;D890,0,ROUND(('难度参数'!$E$13*POWER(A890,'难度参数'!$E$20)*MIN('难度参数'!$E$23,1+MAX(0,A890-'难度参数'!$E$21)*'难度参数'!$E$22))*(36+6*7)/(36+7*(D890+1)/2)*E890,0))</x:f>
        <x:v>21762</x:v>
      </x:c>
      <x:c r="AT890" s="119" t="n">
        <x:f>IF(AR890=0,0,(AR890-IF(6=D890,1,0))*ROUND(AS890*VLOOKUP(INDEX('章节与怪物'!$E$31:$K$37,B890,6),'章节与怪物'!$A$41:$F$44,2,FALSE),0)+IF(6=D890,ROUND(AS890*'难度参数'!$E$28*'章节与怪物'!$E$17,0),0))</x:f>
        <x:v>2071720</x:v>
      </x:c>
      <x:c r="AU890" s="119" t="n">
        <x:f>IF(AR890=0,0,(AR890-IF(6=D890,1,0))*VLOOKUP(INDEX('章节与怪物'!$E$31:$K$37,B890,6),'章节与怪物'!$A$41:$F$44,4,FALSE)+IF(6=D890,'难度参数'!$E$30,0))</x:f>
        <x:v>1568</x:v>
      </x:c>
      <x:c r="AV890" s="119" t="n">
        <x:f>IF(7&gt;D890,0,MAX(2,MIN('难度参数'!$E$12,ROUND(('难度参数'!$E$18*POWER(A890,'难度参数'!$E$19)/D890*(0.85+0.3*(7-1)/MAX(1,D890-1))),0)+F890)))</x:f>
        <x:v>58</x:v>
      </x:c>
      <x:c r="AW890" s="119" t="n">
        <x:f>IF(7&gt;D890,0,ROUND(('难度参数'!$E$13*POWER(A890,'难度参数'!$E$20)*MIN('难度参数'!$E$23,1+MAX(0,A890-'难度参数'!$E$21)*'难度参数'!$E$22))*(36+7*7)/(36+7*(D890+1)/2)*E890,0))</x:f>
        <x:v>23715</x:v>
      </x:c>
      <x:c r="AX890" s="119" t="n">
        <x:f>IF(AV890=0,0,(AV890-IF(7=D890,1,0))*ROUND(AW890*VLOOKUP(INDEX('章节与怪物'!$E$31:$K$37,B890,7),'章节与怪物'!$A$41:$F$44,2,FALSE),0)+IF(7=D890,ROUND(AW890*'难度参数'!$E$28*'章节与怪物'!$E$17,0),0))</x:f>
        <x:v>1986117</x:v>
      </x:c>
      <x:c r="AY890" s="119" t="n">
        <x:f>IF(AV890=0,0,(AV890-IF(7=D890,1,0))*VLOOKUP(INDEX('章节与怪物'!$E$31:$K$37,B890,7),'章节与怪物'!$A$41:$F$44,4,FALSE)+IF(7=D890,'难度参数'!$E$30,0))</x:f>
        <x:v>2138</x:v>
      </x:c>
    </x:row>
    <x:row r="891" ht="23" customHeight="1">
      <x:c r="A891" s="119" t="n">
        <x:v>885</x:v>
      </x:c>
      <x:c r="B891" s="119" t="n">
        <x:f>MOD(INT((A891-1)/5),7)+1</x:f>
        <x:v>2</x:v>
      </x:c>
      <x:c r="C891" s="62" t="str">
        <x:f>INDEX('章节与怪物'!$B$31:$B$37,B891)</x:f>
        <x:v>黄沙要塞</x:v>
      </x:c>
      <x:c r="D891" s="119" t="n">
        <x:f>MIN('难度参数'!$E$8,MAX('难度参数'!$E$7,A891))</x:f>
        <x:v>7</x:v>
      </x:c>
      <x:c r="E891" s="106" t="n">
        <x:v>1</x:v>
      </x:c>
      <x:c r="F891" s="106" t="n">
        <x:v>0</x:v>
      </x:c>
      <x:c r="G891" s="106" t="n">
        <x:v>1</x:v>
      </x:c>
      <x:c r="H891" s="119" t="n">
        <x:f>SUM(X891,AB891,AF891,AJ891,AN891,AR891,AV891)</x:f>
        <x:v>355</x:v>
      </x:c>
      <x:c r="I891" s="119" t="n">
        <x:f>SUM(Z891,AD891,AH891,AL891,AP891,AT891,AX891)</x:f>
        <x:v>8654849</x:v>
      </x:c>
      <x:c r="J891" s="119" t="n">
        <x:f>ROUND(INDEX(X891:AY891,1,(D891-1)*4+2)*'难度参数'!$E$28*'章节与怪物'!$E$17,0)</x:f>
        <x:v>161391</x:v>
      </x:c>
      <x:c r="K891" s="119" t="n">
        <x:f>SUM(AA891,AE891,AI891,AM891,AQ891,AU891,AY891)</x:f>
        <x:v>9426</x:v>
      </x:c>
      <x:c r="L891" s="62" t="n">
        <x:f>H891*(ROUNDUP('难度参数'!$E$24/('难度参数'!$E$26*'难度参数'!$E$27),0)*'难度参数'!$E$26)/60</x:f>
        <x:v>4.733333333333333</x:v>
      </x:c>
      <x:c r="M891" s="62" t="n">
        <x:f>L891+D891*('难度参数'!$E$49+'难度参数'!$E$50)/60</x:f>
        <x:v>5.9</x:v>
      </x:c>
      <x:c r="N891" s="119" t="n">
        <x:f>ROUNDDOWN(('经济参数'!$E$20+A891*'经济参数'!$E$21)*G891,0)</x:f>
        <x:v>17880</x:v>
      </x:c>
      <x:c r="O891" s="119" t="n">
        <x:f>ROUNDDOWN(MIN('经济参数'!$E$24,'经济参数'!$E$22+A891*'经济参数'!$E$23)*G891,0)</x:f>
        <x:v>0</x:v>
      </x:c>
      <x:c r="P891" s="119" t="n">
        <x:f>ROUNDDOWN((IF(A891&gt;='材料与任务'!$E$31,'材料与任务'!$E$32,IF(A891&gt;='材料与任务'!$E$25,'材料与任务'!$E$26,IF(A891&gt;='材料与任务'!$E$19,'材料与任务'!$E$20,IF(A891&gt;='材料与任务'!$E$13,'材料与任务'!$E$14,'材料与任务'!$E$8)))))*G891,0)</x:f>
        <x:v>6</x:v>
      </x:c>
      <x:c r="Q891" s="119" t="n">
        <x:f>ROUNDDOWN((IF(A891&gt;='材料与任务'!$E$31,'材料与任务'!$E$33,IF(A891&gt;='材料与任务'!$E$25,'材料与任务'!$E$27,IF(A891&gt;='材料与任务'!$E$19,'材料与任务'!$E$21,IF(A891&gt;='材料与任务'!$E$13,'材料与任务'!$E$15,'材料与任务'!$E$9)))))*G891,0)</x:f>
        <x:v>3</x:v>
      </x:c>
      <x:c r="R891" s="110" t="n">
        <x:f>'装备掉落'!$B$38</x:f>
        <x:v>0.6872058758851213</x:v>
      </x:c>
      <x:c r="S891" s="119" t="n">
        <x:f>MAX(IF(VLOOKUP(A891,'装备掉落'!$A$29:$H$34,2,TRUE)&gt;0,1,0),IF(VLOOKUP(A891,'装备掉落'!$A$29:$H$34,3,TRUE)&gt;0,2,0),IF(VLOOKUP(A891,'装备掉落'!$A$29:$H$34,4,TRUE)&gt;0,3,0),IF(VLOOKUP(A891,'装备掉落'!$A$29:$H$34,5,TRUE)&gt;0,4,0),IF(VLOOKUP(A891,'装备掉落'!$A$29:$H$34,6,TRUE)&gt;0,5,0),IF(VLOOKUP(A891,'装备掉落'!$A$29:$H$34,7,TRUE)&gt;0,6,0),IF(VLOOKUP(A891,'装备掉落'!$A$29:$H$34,8,TRUE)&gt;0,7,0))</x:f>
        <x:v>7</x:v>
      </x:c>
      <x:c r="T891" s="119" t="n">
        <x:f>MIN(7,S891+'经济参数'!$E$70)</x:f>
        <x:v>7</x:v>
      </x:c>
      <x:c r="U891" s="119" t="n">
        <x:f>MIN(7,S891+'经济参数'!$E$71)</x:f>
        <x:v>7</x:v>
      </x:c>
      <x:c r="V891" s="119" t="n">
        <x:f>IF(H891&gt;=('难度参数'!$E$52),1,0)+IF(H891&gt;=('难度参数'!$E$52+'难度参数'!$E$53),1,0)+IF(H891&gt;=('难度参数'!$E$52+'难度参数'!$E$53+'难度参数'!$E$54),1,0)+IF(H891&gt;=('难度参数'!$E$52+'难度参数'!$E$53+'难度参数'!$E$54+'难度参数'!$E$55),1,0)+IF(H891&gt;=('难度参数'!$E$52+'难度参数'!$E$53+'难度参数'!$E$54+'难度参数'!$E$55+'难度参数'!$E$56),1,0)+IF(H891&gt;=('难度参数'!$E$52+'难度参数'!$E$53+'难度参数'!$E$54+'难度参数'!$E$55+'难度参数'!$E$56+'难度参数'!$E$57),1,0)</x:f>
        <x:v>6</x:v>
      </x:c>
      <x:c r="W891" s="62" t="str">
        <x:f>IF(L891&gt;'难度参数'!$E$51,"仅出怪已超目标","还需实测")</x:f>
        <x:v>仅出怪已超目标</x:v>
      </x:c>
      <x:c r="X891" s="119" t="n">
        <x:f>IF(1&gt;D891,0,MAX(2,MIN('难度参数'!$E$12,ROUND(('难度参数'!$E$18*POWER(A891,'难度参数'!$E$19)/D891*(0.85+0.3*(1-1)/MAX(1,D891-1))),0)+F891)))</x:f>
        <x:v>43</x:v>
      </x:c>
      <x:c r="Y891" s="119" t="n">
        <x:f>IF(1&gt;D891,0,ROUND(('难度参数'!$E$13*POWER(A891,'难度参数'!$E$20)*MIN('难度参数'!$E$23,1+MAX(0,A891-'难度参数'!$E$21)*'难度参数'!$E$22))*(36+1*7)/(36+7*(D891+1)/2)*E891,0))</x:f>
        <x:v>12007</x:v>
      </x:c>
      <x:c r="Z891" s="119" t="n">
        <x:f>IF(X891=0,0,(X891-IF(1=D891,1,0))*ROUND(Y891*VLOOKUP(INDEX('章节与怪物'!$E$31:$K$37,B891,1),'章节与怪物'!$A$41:$F$44,2,FALSE),0)+IF(1=D891,ROUND(Y891*'难度参数'!$E$28*'章节与怪物'!$E$17,0),0))</x:f>
        <x:v>371735</x:v>
      </x:c>
      <x:c r="AA891" s="119" t="n">
        <x:f>IF(X891=0,0,(X891-IF(1=D891,1,0))*VLOOKUP(INDEX('章节与怪物'!$E$31:$K$37,B891,1),'章节与怪物'!$A$41:$F$44,4,FALSE)+IF(1=D891,'难度参数'!$E$30,0))</x:f>
        <x:v>860</x:v>
      </x:c>
      <x:c r="AB891" s="119" t="n">
        <x:f>IF(2&gt;D891,0,MAX(2,MIN('难度参数'!$E$12,ROUND(('难度参数'!$E$18*POWER(A891,'难度参数'!$E$19)/D891*(0.85+0.3*(2-1)/MAX(1,D891-1))),0)+F891)))</x:f>
        <x:v>46</x:v>
      </x:c>
      <x:c r="AC891" s="119" t="n">
        <x:f>IF(2&gt;D891,0,ROUND(('难度参数'!$E$13*POWER(A891,'难度参数'!$E$20)*MIN('难度参数'!$E$23,1+MAX(0,A891-'难度参数'!$E$21)*'难度参数'!$E$22))*(36+2*7)/(36+7*(D891+1)/2)*E891,0))</x:f>
        <x:v>13961</x:v>
      </x:c>
      <x:c r="AD891" s="119" t="n">
        <x:f>IF(AB891=0,0,(AB891-IF(2=D891,1,0))*ROUND(AC891*VLOOKUP(INDEX('章节与怪物'!$E$31:$K$37,B891,2),'章节与怪物'!$A$41:$F$44,2,FALSE),0)+IF(2=D891,ROUND(AC891*'难度参数'!$E$28*'章节与怪物'!$E$17,0),0))</x:f>
        <x:v>642206</x:v>
      </x:c>
      <x:c r="AE891" s="119" t="n">
        <x:f>IF(AB891=0,0,(AB891-IF(2=D891,1,0))*VLOOKUP(INDEX('章节与怪物'!$E$31:$K$37,B891,2),'章节与怪物'!$A$41:$F$44,4,FALSE)+IF(2=D891,'难度参数'!$E$30,0))</x:f>
        <x:v>828</x:v>
      </x:c>
      <x:c r="AF891" s="119" t="n">
        <x:f>IF(3&gt;D891,0,MAX(2,MIN('难度参数'!$E$12,ROUND(('难度参数'!$E$18*POWER(A891,'难度参数'!$E$19)/D891*(0.85+0.3*(3-1)/MAX(1,D891-1))),0)+F891)))</x:f>
        <x:v>48</x:v>
      </x:c>
      <x:c r="AG891" s="119" t="n">
        <x:f>IF(3&gt;D891,0,ROUND(('难度参数'!$E$13*POWER(A891,'难度参数'!$E$20)*MIN('难度参数'!$E$23,1+MAX(0,A891-'难度参数'!$E$21)*'难度参数'!$E$22))*(36+3*7)/(36+7*(D891+1)/2)*E891,0))</x:f>
        <x:v>15916</x:v>
      </x:c>
      <x:c r="AH891" s="119" t="n">
        <x:f>IF(AF891=0,0,(AF891-IF(3=D891,1,0))*ROUND(AG891*VLOOKUP(INDEX('章节与怪物'!$E$31:$K$37,B891,3),'章节与怪物'!$A$41:$F$44,2,FALSE),0)+IF(3=D891,ROUND(AG891*'难度参数'!$E$28*'章节与怪物'!$E$17,0),0))</x:f>
        <x:v>1298736</x:v>
      </x:c>
      <x:c r="AI891" s="119" t="n">
        <x:f>IF(AF891=0,0,(AF891-IF(3=D891,1,0))*VLOOKUP(INDEX('章节与怪物'!$E$31:$K$37,B891,3),'章节与怪物'!$A$41:$F$44,4,FALSE)+IF(3=D891,'难度参数'!$E$30,0))</x:f>
        <x:v>1344</x:v>
      </x:c>
      <x:c r="AJ891" s="119" t="n">
        <x:f>IF(4&gt;D891,0,MAX(2,MIN('难度参数'!$E$12,ROUND(('难度参数'!$E$18*POWER(A891,'难度参数'!$E$19)/D891*(0.85+0.3*(4-1)/MAX(1,D891-1))),0)+F891)))</x:f>
        <x:v>51</x:v>
      </x:c>
      <x:c r="AK891" s="119" t="n">
        <x:f>IF(4&gt;D891,0,ROUND(('难度参数'!$E$13*POWER(A891,'难度参数'!$E$20)*MIN('难度参数'!$E$23,1+MAX(0,A891-'难度参数'!$E$21)*'难度参数'!$E$22))*(36+4*7)/(36+7*(D891+1)/2)*E891,0))</x:f>
        <x:v>17870</x:v>
      </x:c>
      <x:c r="AL891" s="119" t="n">
        <x:f>IF(AJ891=0,0,(AJ891-IF(4=D891,1,0))*ROUND(AK891*VLOOKUP(INDEX('章节与怪物'!$E$31:$K$37,B891,4),'章节与怪物'!$A$41:$F$44,2,FALSE),0)+IF(4=D891,ROUND(AK891*'难度参数'!$E$28*'章节与怪物'!$E$17,0),0))</x:f>
        <x:v>1230375</x:v>
      </x:c>
      <x:c r="AM891" s="119" t="n">
        <x:f>IF(AJ891=0,0,(AJ891-IF(4=D891,1,0))*VLOOKUP(INDEX('章节与怪物'!$E$31:$K$37,B891,4),'章节与怪物'!$A$41:$F$44,4,FALSE)+IF(4=D891,'难度参数'!$E$30,0))</x:f>
        <x:v>1734</x:v>
      </x:c>
      <x:c r="AN891" s="119" t="n">
        <x:f>IF(5&gt;D891,0,MAX(2,MIN('难度参数'!$E$12,ROUND(('难度参数'!$E$18*POWER(A891,'难度参数'!$E$19)/D891*(0.85+0.3*(5-1)/MAX(1,D891-1))),0)+F891)))</x:f>
        <x:v>53</x:v>
      </x:c>
      <x:c r="AO891" s="119" t="n">
        <x:f>IF(5&gt;D891,0,ROUND(('难度参数'!$E$13*POWER(A891,'难度参数'!$E$20)*MIN('难度参数'!$E$23,1+MAX(0,A891-'难度参数'!$E$21)*'难度参数'!$E$22))*(36+5*7)/(36+7*(D891+1)/2)*E891,0))</x:f>
        <x:v>19825</x:v>
      </x:c>
      <x:c r="AP891" s="119" t="n">
        <x:f>IF(AN891=0,0,(AN891-IF(5=D891,1,0))*ROUND(AO891*VLOOKUP(INDEX('章节与怪物'!$E$31:$K$37,B891,5),'章节与怪物'!$A$41:$F$44,2,FALSE),0)+IF(5=D891,ROUND(AO891*'难度参数'!$E$28*'章节与怪物'!$E$17,0),0))</x:f>
        <x:v>1050725</x:v>
      </x:c>
      <x:c r="AQ891" s="119" t="n">
        <x:f>IF(AN891=0,0,(AN891-IF(5=D891,1,0))*VLOOKUP(INDEX('章节与怪物'!$E$31:$K$37,B891,5),'章节与怪物'!$A$41:$F$44,4,FALSE)+IF(5=D891,'难度参数'!$E$30,0))</x:f>
        <x:v>954</x:v>
      </x:c>
      <x:c r="AR891" s="119" t="n">
        <x:f>IF(6&gt;D891,0,MAX(2,MIN('难度参数'!$E$12,ROUND(('难度参数'!$E$18*POWER(A891,'难度参数'!$E$19)/D891*(0.85+0.3*(6-1)/MAX(1,D891-1))),0)+F891)))</x:f>
        <x:v>56</x:v>
      </x:c>
      <x:c r="AS891" s="119" t="n">
        <x:f>IF(6&gt;D891,0,ROUND(('难度参数'!$E$13*POWER(A891,'难度参数'!$E$20)*MIN('难度参数'!$E$23,1+MAX(0,A891-'难度参数'!$E$21)*'难度参数'!$E$22))*(36+6*7)/(36+7*(D891+1)/2)*E891,0))</x:f>
        <x:v>21779</x:v>
      </x:c>
      <x:c r="AT891" s="119" t="n">
        <x:f>IF(AR891=0,0,(AR891-IF(6=D891,1,0))*ROUND(AS891*VLOOKUP(INDEX('章节与怪物'!$E$31:$K$37,B891,6),'章节与怪物'!$A$41:$F$44,2,FALSE),0)+IF(6=D891,ROUND(AS891*'难度参数'!$E$28*'章节与怪物'!$E$17,0),0))</x:f>
        <x:v>2073344</x:v>
      </x:c>
      <x:c r="AU891" s="119" t="n">
        <x:f>IF(AR891=0,0,(AR891-IF(6=D891,1,0))*VLOOKUP(INDEX('章节与怪物'!$E$31:$K$37,B891,6),'章节与怪物'!$A$41:$F$44,4,FALSE)+IF(6=D891,'难度参数'!$E$30,0))</x:f>
        <x:v>1568</x:v>
      </x:c>
      <x:c r="AV891" s="119" t="n">
        <x:f>IF(7&gt;D891,0,MAX(2,MIN('难度参数'!$E$12,ROUND(('难度参数'!$E$18*POWER(A891,'难度参数'!$E$19)/D891*(0.85+0.3*(7-1)/MAX(1,D891-1))),0)+F891)))</x:f>
        <x:v>58</x:v>
      </x:c>
      <x:c r="AW891" s="119" t="n">
        <x:f>IF(7&gt;D891,0,ROUND(('难度参数'!$E$13*POWER(A891,'难度参数'!$E$20)*MIN('难度参数'!$E$23,1+MAX(0,A891-'难度参数'!$E$21)*'难度参数'!$E$22))*(36+7*7)/(36+7*(D891+1)/2)*E891,0))</x:f>
        <x:v>23734</x:v>
      </x:c>
      <x:c r="AX891" s="119" t="n">
        <x:f>IF(AV891=0,0,(AV891-IF(7=D891,1,0))*ROUND(AW891*VLOOKUP(INDEX('章节与怪物'!$E$31:$K$37,B891,7),'章节与怪物'!$A$41:$F$44,2,FALSE),0)+IF(7=D891,ROUND(AW891*'难度参数'!$E$28*'章节与怪物'!$E$17,0),0))</x:f>
        <x:v>1987728</x:v>
      </x:c>
      <x:c r="AY891" s="119" t="n">
        <x:f>IF(AV891=0,0,(AV891-IF(7=D891,1,0))*VLOOKUP(INDEX('章节与怪物'!$E$31:$K$37,B891,7),'章节与怪物'!$A$41:$F$44,4,FALSE)+IF(7=D891,'难度参数'!$E$30,0))</x:f>
        <x:v>2138</x:v>
      </x:c>
    </x:row>
    <x:row r="892" ht="23" customHeight="1">
      <x:c r="A892" s="119" t="n">
        <x:v>886</x:v>
      </x:c>
      <x:c r="B892" s="119" t="n">
        <x:f>MOD(INT((A892-1)/5),7)+1</x:f>
        <x:v>3</x:v>
      </x:c>
      <x:c r="C892" s="62" t="str">
        <x:f>INDEX('章节与怪物'!$B$31:$B$37,B892)</x:f>
        <x:v>腐沼秘林</x:v>
      </x:c>
      <x:c r="D892" s="119" t="n">
        <x:f>MIN('难度参数'!$E$8,MAX('难度参数'!$E$7,A892))</x:f>
        <x:v>7</x:v>
      </x:c>
      <x:c r="E892" s="106" t="n">
        <x:v>1</x:v>
      </x:c>
      <x:c r="F892" s="106" t="n">
        <x:v>0</x:v>
      </x:c>
      <x:c r="G892" s="106" t="n">
        <x:v>1</x:v>
      </x:c>
      <x:c r="H892" s="119" t="n">
        <x:f>SUM(X892,AB892,AF892,AJ892,AN892,AR892,AV892)</x:f>
        <x:v>355</x:v>
      </x:c>
      <x:c r="I892" s="119" t="n">
        <x:f>SUM(Z892,AD892,AH892,AL892,AP892,AT892,AX892)</x:f>
        <x:v>8332258</x:v>
      </x:c>
      <x:c r="J892" s="119" t="n">
        <x:f>ROUND(INDEX(X892:AY892,1,(D892-1)*4+2)*'难度参数'!$E$28*'章节与怪物'!$E$17,0)</x:f>
        <x:v>161520</x:v>
      </x:c>
      <x:c r="K892" s="119" t="n">
        <x:f>SUM(AA892,AE892,AI892,AM892,AQ892,AU892,AY892)</x:f>
        <x:v>9538</x:v>
      </x:c>
      <x:c r="L892" s="62" t="n">
        <x:f>H892*(ROUNDUP('难度参数'!$E$24/('难度参数'!$E$26*'难度参数'!$E$27),0)*'难度参数'!$E$26)/60</x:f>
        <x:v>4.733333333333333</x:v>
      </x:c>
      <x:c r="M892" s="62" t="n">
        <x:f>L892+D892*('难度参数'!$E$49+'难度参数'!$E$50)/60</x:f>
        <x:v>5.9</x:v>
      </x:c>
      <x:c r="N892" s="119" t="n">
        <x:f>ROUNDDOWN(('经济参数'!$E$20+A892*'经济参数'!$E$21)*G892,0)</x:f>
        <x:v>17900</x:v>
      </x:c>
      <x:c r="O892" s="119" t="n">
        <x:f>ROUNDDOWN(MIN('经济参数'!$E$24,'经济参数'!$E$22+A892*'经济参数'!$E$23)*G892,0)</x:f>
        <x:v>0</x:v>
      </x:c>
      <x:c r="P892" s="119" t="n">
        <x:f>ROUNDDOWN((IF(A892&gt;='材料与任务'!$E$31,'材料与任务'!$E$32,IF(A892&gt;='材料与任务'!$E$25,'材料与任务'!$E$26,IF(A892&gt;='材料与任务'!$E$19,'材料与任务'!$E$20,IF(A892&gt;='材料与任务'!$E$13,'材料与任务'!$E$14,'材料与任务'!$E$8)))))*G892,0)</x:f>
        <x:v>6</x:v>
      </x:c>
      <x:c r="Q892" s="119" t="n">
        <x:f>ROUNDDOWN((IF(A892&gt;='材料与任务'!$E$31,'材料与任务'!$E$33,IF(A892&gt;='材料与任务'!$E$25,'材料与任务'!$E$27,IF(A892&gt;='材料与任务'!$E$19,'材料与任务'!$E$21,IF(A892&gt;='材料与任务'!$E$13,'材料与任务'!$E$15,'材料与任务'!$E$9)))))*G892,0)</x:f>
        <x:v>3</x:v>
      </x:c>
      <x:c r="R892" s="110" t="n">
        <x:f>'装备掉落'!$B$38</x:f>
        <x:v>0.6872058758851213</x:v>
      </x:c>
      <x:c r="S892" s="119" t="n">
        <x:f>MAX(IF(VLOOKUP(A892,'装备掉落'!$A$29:$H$34,2,TRUE)&gt;0,1,0),IF(VLOOKUP(A892,'装备掉落'!$A$29:$H$34,3,TRUE)&gt;0,2,0),IF(VLOOKUP(A892,'装备掉落'!$A$29:$H$34,4,TRUE)&gt;0,3,0),IF(VLOOKUP(A892,'装备掉落'!$A$29:$H$34,5,TRUE)&gt;0,4,0),IF(VLOOKUP(A892,'装备掉落'!$A$29:$H$34,6,TRUE)&gt;0,5,0),IF(VLOOKUP(A892,'装备掉落'!$A$29:$H$34,7,TRUE)&gt;0,6,0),IF(VLOOKUP(A892,'装备掉落'!$A$29:$H$34,8,TRUE)&gt;0,7,0))</x:f>
        <x:v>7</x:v>
      </x:c>
      <x:c r="T892" s="119" t="n">
        <x:f>MIN(7,S892+'经济参数'!$E$70)</x:f>
        <x:v>7</x:v>
      </x:c>
      <x:c r="U892" s="119" t="n">
        <x:f>MIN(7,S892+'经济参数'!$E$71)</x:f>
        <x:v>7</x:v>
      </x:c>
      <x:c r="V892" s="119" t="n">
        <x:f>IF(H892&gt;=('难度参数'!$E$52),1,0)+IF(H892&gt;=('难度参数'!$E$52+'难度参数'!$E$53),1,0)+IF(H892&gt;=('难度参数'!$E$52+'难度参数'!$E$53+'难度参数'!$E$54),1,0)+IF(H892&gt;=('难度参数'!$E$52+'难度参数'!$E$53+'难度参数'!$E$54+'难度参数'!$E$55),1,0)+IF(H892&gt;=('难度参数'!$E$52+'难度参数'!$E$53+'难度参数'!$E$54+'难度参数'!$E$55+'难度参数'!$E$56),1,0)+IF(H892&gt;=('难度参数'!$E$52+'难度参数'!$E$53+'难度参数'!$E$54+'难度参数'!$E$55+'难度参数'!$E$56+'难度参数'!$E$57),1,0)</x:f>
        <x:v>6</x:v>
      </x:c>
      <x:c r="W892" s="62" t="str">
        <x:f>IF(L892&gt;'难度参数'!$E$51,"仅出怪已超目标","还需实测")</x:f>
        <x:v>仅出怪已超目标</x:v>
      </x:c>
      <x:c r="X892" s="119" t="n">
        <x:f>IF(1&gt;D892,0,MAX(2,MIN('难度参数'!$E$12,ROUND(('难度参数'!$E$18*POWER(A892,'难度参数'!$E$19)/D892*(0.85+0.3*(1-1)/MAX(1,D892-1))),0)+F892)))</x:f>
        <x:v>43</x:v>
      </x:c>
      <x:c r="Y892" s="119" t="n">
        <x:f>IF(1&gt;D892,0,ROUND(('难度参数'!$E$13*POWER(A892,'难度参数'!$E$20)*MIN('难度参数'!$E$23,1+MAX(0,A892-'难度参数'!$E$21)*'难度参数'!$E$22))*(36+1*7)/(36+7*(D892+1)/2)*E892,0))</x:f>
        <x:v>12016</x:v>
      </x:c>
      <x:c r="Z892" s="119" t="n">
        <x:f>IF(X892=0,0,(X892-IF(1=D892,1,0))*ROUND(Y892*VLOOKUP(INDEX('章节与怪物'!$E$31:$K$37,B892,1),'章节与怪物'!$A$41:$F$44,2,FALSE),0)+IF(1=D892,ROUND(Y892*'难度参数'!$E$28*'章节与怪物'!$E$17,0),0))</x:f>
        <x:v>516688</x:v>
      </x:c>
      <x:c r="AA892" s="119" t="n">
        <x:f>IF(X892=0,0,(X892-IF(1=D892,1,0))*VLOOKUP(INDEX('章节与怪物'!$E$31:$K$37,B892,1),'章节与怪物'!$A$41:$F$44,4,FALSE)+IF(1=D892,'难度参数'!$E$30,0))</x:f>
        <x:v>774</x:v>
      </x:c>
      <x:c r="AB892" s="119" t="n">
        <x:f>IF(2&gt;D892,0,MAX(2,MIN('难度参数'!$E$12,ROUND(('难度参数'!$E$18*POWER(A892,'难度参数'!$E$19)/D892*(0.85+0.3*(2-1)/MAX(1,D892-1))),0)+F892)))</x:f>
        <x:v>46</x:v>
      </x:c>
      <x:c r="AC892" s="119" t="n">
        <x:f>IF(2&gt;D892,0,ROUND(('难度参数'!$E$13*POWER(A892,'难度参数'!$E$20)*MIN('难度参数'!$E$23,1+MAX(0,A892-'难度参数'!$E$21)*'难度参数'!$E$22))*(36+2*7)/(36+7*(D892+1)/2)*E892,0))</x:f>
        <x:v>13973</x:v>
      </x:c>
      <x:c r="AD892" s="119" t="n">
        <x:f>IF(AB892=0,0,(AB892-IF(2=D892,1,0))*ROUND(AC892*VLOOKUP(INDEX('章节与怪物'!$E$31:$K$37,B892,2),'章节与怪物'!$A$41:$F$44,2,FALSE),0)+IF(2=D892,ROUND(AC892*'难度参数'!$E$28*'章节与怪物'!$E$17,0),0))</x:f>
        <x:v>462806</x:v>
      </x:c>
      <x:c r="AE892" s="119" t="n">
        <x:f>IF(AB892=0,0,(AB892-IF(2=D892,1,0))*VLOOKUP(INDEX('章节与怪物'!$E$31:$K$37,B892,2),'章节与怪物'!$A$41:$F$44,4,FALSE)+IF(2=D892,'难度参数'!$E$30,0))</x:f>
        <x:v>920</x:v>
      </x:c>
      <x:c r="AF892" s="119" t="n">
        <x:f>IF(3&gt;D892,0,MAX(2,MIN('难度参数'!$E$12,ROUND(('难度参数'!$E$18*POWER(A892,'难度参数'!$E$19)/D892*(0.85+0.3*(3-1)/MAX(1,D892-1))),0)+F892)))</x:f>
        <x:v>48</x:v>
      </x:c>
      <x:c r="AG892" s="119" t="n">
        <x:f>IF(3&gt;D892,0,ROUND(('难度参数'!$E$13*POWER(A892,'难度参数'!$E$20)*MIN('难度参数'!$E$23,1+MAX(0,A892-'难度参数'!$E$21)*'难度参数'!$E$22))*(36+3*7)/(36+7*(D892+1)/2)*E892,0))</x:f>
        <x:v>15929</x:v>
      </x:c>
      <x:c r="AH892" s="119" t="n">
        <x:f>IF(AF892=0,0,(AF892-IF(3=D892,1,0))*ROUND(AG892*VLOOKUP(INDEX('章节与怪物'!$E$31:$K$37,B892,3),'章节与怪物'!$A$41:$F$44,2,FALSE),0)+IF(3=D892,ROUND(AG892*'难度参数'!$E$28*'章节与怪物'!$E$17,0),0))</x:f>
        <x:v>1299792</x:v>
      </x:c>
      <x:c r="AI892" s="119" t="n">
        <x:f>IF(AF892=0,0,(AF892-IF(3=D892,1,0))*VLOOKUP(INDEX('章节与怪物'!$E$31:$K$37,B892,3),'章节与怪物'!$A$41:$F$44,4,FALSE)+IF(3=D892,'难度参数'!$E$30,0))</x:f>
        <x:v>1344</x:v>
      </x:c>
      <x:c r="AJ892" s="119" t="n">
        <x:f>IF(4&gt;D892,0,MAX(2,MIN('难度参数'!$E$12,ROUND(('难度参数'!$E$18*POWER(A892,'难度参数'!$E$19)/D892*(0.85+0.3*(4-1)/MAX(1,D892-1))),0)+F892)))</x:f>
        <x:v>51</x:v>
      </x:c>
      <x:c r="AK892" s="119" t="n">
        <x:f>IF(4&gt;D892,0,ROUND(('难度参数'!$E$13*POWER(A892,'难度参数'!$E$20)*MIN('难度参数'!$E$23,1+MAX(0,A892-'难度参数'!$E$21)*'难度参数'!$E$22))*(36+4*7)/(36+7*(D892+1)/2)*E892,0))</x:f>
        <x:v>17885</x:v>
      </x:c>
      <x:c r="AL892" s="119" t="n">
        <x:f>IF(AJ892=0,0,(AJ892-IF(4=D892,1,0))*ROUND(AK892*VLOOKUP(INDEX('章节与怪物'!$E$31:$K$37,B892,4),'章节与怪物'!$A$41:$F$44,2,FALSE),0)+IF(4=D892,ROUND(AK892*'难度参数'!$E$28*'章节与怪物'!$E$17,0),0))</x:f>
        <x:v>1231395</x:v>
      </x:c>
      <x:c r="AM892" s="119" t="n">
        <x:f>IF(AJ892=0,0,(AJ892-IF(4=D892,1,0))*VLOOKUP(INDEX('章节与怪物'!$E$31:$K$37,B892,4),'章节与怪物'!$A$41:$F$44,4,FALSE)+IF(4=D892,'难度参数'!$E$30,0))</x:f>
        <x:v>1734</x:v>
      </x:c>
      <x:c r="AN892" s="119" t="n">
        <x:f>IF(5&gt;D892,0,MAX(2,MIN('难度参数'!$E$12,ROUND(('难度参数'!$E$18*POWER(A892,'难度参数'!$E$19)/D892*(0.85+0.3*(5-1)/MAX(1,D892-1))),0)+F892)))</x:f>
        <x:v>53</x:v>
      </x:c>
      <x:c r="AO892" s="119" t="n">
        <x:f>IF(5&gt;D892,0,ROUND(('难度参数'!$E$13*POWER(A892,'难度参数'!$E$20)*MIN('难度参数'!$E$23,1+MAX(0,A892-'难度参数'!$E$21)*'难度参数'!$E$22))*(36+5*7)/(36+7*(D892+1)/2)*E892,0))</x:f>
        <x:v>19841</x:v>
      </x:c>
      <x:c r="AP892" s="119" t="n">
        <x:f>IF(AN892=0,0,(AN892-IF(5=D892,1,0))*ROUND(AO892*VLOOKUP(INDEX('章节与怪物'!$E$31:$K$37,B892,5),'章节与怪物'!$A$41:$F$44,2,FALSE),0)+IF(5=D892,ROUND(AO892*'难度参数'!$E$28*'章节与怪物'!$E$17,0),0))</x:f>
        <x:v>757158</x:v>
      </x:c>
      <x:c r="AQ892" s="119" t="n">
        <x:f>IF(AN892=0,0,(AN892-IF(5=D892,1,0))*VLOOKUP(INDEX('章节与怪物'!$E$31:$K$37,B892,5),'章节与怪物'!$A$41:$F$44,4,FALSE)+IF(5=D892,'难度参数'!$E$30,0))</x:f>
        <x:v>1060</x:v>
      </x:c>
      <x:c r="AR892" s="119" t="n">
        <x:f>IF(6&gt;D892,0,MAX(2,MIN('难度参数'!$E$12,ROUND(('难度参数'!$E$18*POWER(A892,'难度参数'!$E$19)/D892*(0.85+0.3*(6-1)/MAX(1,D892-1))),0)+F892)))</x:f>
        <x:v>56</x:v>
      </x:c>
      <x:c r="AS892" s="119" t="n">
        <x:f>IF(6&gt;D892,0,ROUND(('难度参数'!$E$13*POWER(A892,'难度参数'!$E$20)*MIN('难度参数'!$E$23,1+MAX(0,A892-'难度参数'!$E$21)*'难度参数'!$E$22))*(36+6*7)/(36+7*(D892+1)/2)*E892,0))</x:f>
        <x:v>21797</x:v>
      </x:c>
      <x:c r="AT892" s="119" t="n">
        <x:f>IF(AR892=0,0,(AR892-IF(6=D892,1,0))*ROUND(AS892*VLOOKUP(INDEX('章节与怪物'!$E$31:$K$37,B892,6),'章节与怪物'!$A$41:$F$44,2,FALSE),0)+IF(6=D892,ROUND(AS892*'难度参数'!$E$28*'章节与怪物'!$E$17,0),0))</x:f>
        <x:v>2075080</x:v>
      </x:c>
      <x:c r="AU892" s="119" t="n">
        <x:f>IF(AR892=0,0,(AR892-IF(6=D892,1,0))*VLOOKUP(INDEX('章节与怪物'!$E$31:$K$37,B892,6),'章节与怪物'!$A$41:$F$44,4,FALSE)+IF(6=D892,'难度参数'!$E$30,0))</x:f>
        <x:v>1568</x:v>
      </x:c>
      <x:c r="AV892" s="119" t="n">
        <x:f>IF(7&gt;D892,0,MAX(2,MIN('难度参数'!$E$12,ROUND(('难度参数'!$E$18*POWER(A892,'难度参数'!$E$19)/D892*(0.85+0.3*(7-1)/MAX(1,D892-1))),0)+F892)))</x:f>
        <x:v>58</x:v>
      </x:c>
      <x:c r="AW892" s="119" t="n">
        <x:f>IF(7&gt;D892,0,ROUND(('难度参数'!$E$13*POWER(A892,'难度参数'!$E$20)*MIN('难度参数'!$E$23,1+MAX(0,A892-'难度参数'!$E$21)*'难度参数'!$E$22))*(36+7*7)/(36+7*(D892+1)/2)*E892,0))</x:f>
        <x:v>23753</x:v>
      </x:c>
      <x:c r="AX892" s="119" t="n">
        <x:f>IF(AV892=0,0,(AV892-IF(7=D892,1,0))*ROUND(AW892*VLOOKUP(INDEX('章节与怪物'!$E$31:$K$37,B892,7),'章节与怪物'!$A$41:$F$44,2,FALSE),0)+IF(7=D892,ROUND(AW892*'难度参数'!$E$28*'章节与怪物'!$E$17,0),0))</x:f>
        <x:v>1989339</x:v>
      </x:c>
      <x:c r="AY892" s="119" t="n">
        <x:f>IF(AV892=0,0,(AV892-IF(7=D892,1,0))*VLOOKUP(INDEX('章节与怪物'!$E$31:$K$37,B892,7),'章节与怪物'!$A$41:$F$44,4,FALSE)+IF(7=D892,'难度参数'!$E$30,0))</x:f>
        <x:v>2138</x:v>
      </x:c>
    </x:row>
    <x:row r="893" ht="23" customHeight="1">
      <x:c r="A893" s="119" t="n">
        <x:v>887</x:v>
      </x:c>
      <x:c r="B893" s="119" t="n">
        <x:f>MOD(INT((A893-1)/5),7)+1</x:f>
        <x:v>3</x:v>
      </x:c>
      <x:c r="C893" s="62" t="str">
        <x:f>INDEX('章节与怪物'!$B$31:$B$37,B893)</x:f>
        <x:v>腐沼秘林</x:v>
      </x:c>
      <x:c r="D893" s="119" t="n">
        <x:f>MIN('难度参数'!$E$8,MAX('难度参数'!$E$7,A893))</x:f>
        <x:v>7</x:v>
      </x:c>
      <x:c r="E893" s="106" t="n">
        <x:v>1</x:v>
      </x:c>
      <x:c r="F893" s="106" t="n">
        <x:v>0</x:v>
      </x:c>
      <x:c r="G893" s="106" t="n">
        <x:v>1</x:v>
      </x:c>
      <x:c r="H893" s="119" t="n">
        <x:f>SUM(X893,AB893,AF893,AJ893,AN893,AR893,AV893)</x:f>
        <x:v>355</x:v>
      </x:c>
      <x:c r="I893" s="119" t="n">
        <x:f>SUM(Z893,AD893,AH893,AL893,AP893,AT893,AX893)</x:f>
        <x:v>8339029</x:v>
      </x:c>
      <x:c r="J893" s="119" t="n">
        <x:f>ROUND(INDEX(X893:AY893,1,(D893-1)*4+2)*'难度参数'!$E$28*'章节与怪物'!$E$17,0)</x:f>
        <x:v>161656</x:v>
      </x:c>
      <x:c r="K893" s="119" t="n">
        <x:f>SUM(AA893,AE893,AI893,AM893,AQ893,AU893,AY893)</x:f>
        <x:v>9538</x:v>
      </x:c>
      <x:c r="L893" s="62" t="n">
        <x:f>H893*(ROUNDUP('难度参数'!$E$24/('难度参数'!$E$26*'难度参数'!$E$27),0)*'难度参数'!$E$26)/60</x:f>
        <x:v>4.733333333333333</x:v>
      </x:c>
      <x:c r="M893" s="62" t="n">
        <x:f>L893+D893*('难度参数'!$E$49+'难度参数'!$E$50)/60</x:f>
        <x:v>5.9</x:v>
      </x:c>
      <x:c r="N893" s="119" t="n">
        <x:f>ROUNDDOWN(('经济参数'!$E$20+A893*'经济参数'!$E$21)*G893,0)</x:f>
        <x:v>17920</x:v>
      </x:c>
      <x:c r="O893" s="119" t="n">
        <x:f>ROUNDDOWN(MIN('经济参数'!$E$24,'经济参数'!$E$22+A893*'经济参数'!$E$23)*G893,0)</x:f>
        <x:v>0</x:v>
      </x:c>
      <x:c r="P893" s="119" t="n">
        <x:f>ROUNDDOWN((IF(A893&gt;='材料与任务'!$E$31,'材料与任务'!$E$32,IF(A893&gt;='材料与任务'!$E$25,'材料与任务'!$E$26,IF(A893&gt;='材料与任务'!$E$19,'材料与任务'!$E$20,IF(A893&gt;='材料与任务'!$E$13,'材料与任务'!$E$14,'材料与任务'!$E$8)))))*G893,0)</x:f>
        <x:v>6</x:v>
      </x:c>
      <x:c r="Q893" s="119" t="n">
        <x:f>ROUNDDOWN((IF(A893&gt;='材料与任务'!$E$31,'材料与任务'!$E$33,IF(A893&gt;='材料与任务'!$E$25,'材料与任务'!$E$27,IF(A893&gt;='材料与任务'!$E$19,'材料与任务'!$E$21,IF(A893&gt;='材料与任务'!$E$13,'材料与任务'!$E$15,'材料与任务'!$E$9)))))*G893,0)</x:f>
        <x:v>3</x:v>
      </x:c>
      <x:c r="R893" s="110" t="n">
        <x:f>'装备掉落'!$B$38</x:f>
        <x:v>0.6872058758851213</x:v>
      </x:c>
      <x:c r="S893" s="119" t="n">
        <x:f>MAX(IF(VLOOKUP(A893,'装备掉落'!$A$29:$H$34,2,TRUE)&gt;0,1,0),IF(VLOOKUP(A893,'装备掉落'!$A$29:$H$34,3,TRUE)&gt;0,2,0),IF(VLOOKUP(A893,'装备掉落'!$A$29:$H$34,4,TRUE)&gt;0,3,0),IF(VLOOKUP(A893,'装备掉落'!$A$29:$H$34,5,TRUE)&gt;0,4,0),IF(VLOOKUP(A893,'装备掉落'!$A$29:$H$34,6,TRUE)&gt;0,5,0),IF(VLOOKUP(A893,'装备掉落'!$A$29:$H$34,7,TRUE)&gt;0,6,0),IF(VLOOKUP(A893,'装备掉落'!$A$29:$H$34,8,TRUE)&gt;0,7,0))</x:f>
        <x:v>7</x:v>
      </x:c>
      <x:c r="T893" s="119" t="n">
        <x:f>MIN(7,S893+'经济参数'!$E$70)</x:f>
        <x:v>7</x:v>
      </x:c>
      <x:c r="U893" s="119" t="n">
        <x:f>MIN(7,S893+'经济参数'!$E$71)</x:f>
        <x:v>7</x:v>
      </x:c>
      <x:c r="V893" s="119" t="n">
        <x:f>IF(H893&gt;=('难度参数'!$E$52),1,0)+IF(H893&gt;=('难度参数'!$E$52+'难度参数'!$E$53),1,0)+IF(H893&gt;=('难度参数'!$E$52+'难度参数'!$E$53+'难度参数'!$E$54),1,0)+IF(H893&gt;=('难度参数'!$E$52+'难度参数'!$E$53+'难度参数'!$E$54+'难度参数'!$E$55),1,0)+IF(H893&gt;=('难度参数'!$E$52+'难度参数'!$E$53+'难度参数'!$E$54+'难度参数'!$E$55+'难度参数'!$E$56),1,0)+IF(H893&gt;=('难度参数'!$E$52+'难度参数'!$E$53+'难度参数'!$E$54+'难度参数'!$E$55+'难度参数'!$E$56+'难度参数'!$E$57),1,0)</x:f>
        <x:v>6</x:v>
      </x:c>
      <x:c r="W893" s="62" t="str">
        <x:f>IF(L893&gt;'难度参数'!$E$51,"仅出怪已超目标","还需实测")</x:f>
        <x:v>仅出怪已超目标</x:v>
      </x:c>
      <x:c r="X893" s="119" t="n">
        <x:f>IF(1&gt;D893,0,MAX(2,MIN('难度参数'!$E$12,ROUND(('难度参数'!$E$18*POWER(A893,'难度参数'!$E$19)/D893*(0.85+0.3*(1-1)/MAX(1,D893-1))),0)+F893)))</x:f>
        <x:v>43</x:v>
      </x:c>
      <x:c r="Y893" s="119" t="n">
        <x:f>IF(1&gt;D893,0,ROUND(('难度参数'!$E$13*POWER(A893,'难度参数'!$E$20)*MIN('难度参数'!$E$23,1+MAX(0,A893-'难度参数'!$E$21)*'难度参数'!$E$22))*(36+1*7)/(36+7*(D893+1)/2)*E893,0))</x:f>
        <x:v>12026</x:v>
      </x:c>
      <x:c r="Z893" s="119" t="n">
        <x:f>IF(X893=0,0,(X893-IF(1=D893,1,0))*ROUND(Y893*VLOOKUP(INDEX('章节与怪物'!$E$31:$K$37,B893,1),'章节与怪物'!$A$41:$F$44,2,FALSE),0)+IF(1=D893,ROUND(Y893*'难度参数'!$E$28*'章节与怪物'!$E$17,0),0))</x:f>
        <x:v>517118</x:v>
      </x:c>
      <x:c r="AA893" s="119" t="n">
        <x:f>IF(X893=0,0,(X893-IF(1=D893,1,0))*VLOOKUP(INDEX('章节与怪物'!$E$31:$K$37,B893,1),'章节与怪物'!$A$41:$F$44,4,FALSE)+IF(1=D893,'难度参数'!$E$30,0))</x:f>
        <x:v>774</x:v>
      </x:c>
      <x:c r="AB893" s="119" t="n">
        <x:f>IF(2&gt;D893,0,MAX(2,MIN('难度参数'!$E$12,ROUND(('难度参数'!$E$18*POWER(A893,'难度参数'!$E$19)/D893*(0.85+0.3*(2-1)/MAX(1,D893-1))),0)+F893)))</x:f>
        <x:v>46</x:v>
      </x:c>
      <x:c r="AC893" s="119" t="n">
        <x:f>IF(2&gt;D893,0,ROUND(('难度参数'!$E$13*POWER(A893,'难度参数'!$E$20)*MIN('难度参数'!$E$23,1+MAX(0,A893-'难度参数'!$E$21)*'难度参数'!$E$22))*(36+2*7)/(36+7*(D893+1)/2)*E893,0))</x:f>
        <x:v>13984</x:v>
      </x:c>
      <x:c r="AD893" s="119" t="n">
        <x:f>IF(AB893=0,0,(AB893-IF(2=D893,1,0))*ROUND(AC893*VLOOKUP(INDEX('章节与怪物'!$E$31:$K$37,B893,2),'章节与怪物'!$A$41:$F$44,2,FALSE),0)+IF(2=D893,ROUND(AC893*'难度参数'!$E$28*'章节与怪物'!$E$17,0),0))</x:f>
        <x:v>463128</x:v>
      </x:c>
      <x:c r="AE893" s="119" t="n">
        <x:f>IF(AB893=0,0,(AB893-IF(2=D893,1,0))*VLOOKUP(INDEX('章节与怪物'!$E$31:$K$37,B893,2),'章节与怪物'!$A$41:$F$44,4,FALSE)+IF(2=D893,'难度参数'!$E$30,0))</x:f>
        <x:v>920</x:v>
      </x:c>
      <x:c r="AF893" s="119" t="n">
        <x:f>IF(3&gt;D893,0,MAX(2,MIN('难度参数'!$E$12,ROUND(('难度参数'!$E$18*POWER(A893,'难度参数'!$E$19)/D893*(0.85+0.3*(3-1)/MAX(1,D893-1))),0)+F893)))</x:f>
        <x:v>48</x:v>
      </x:c>
      <x:c r="AG893" s="119" t="n">
        <x:f>IF(3&gt;D893,0,ROUND(('难度参数'!$E$13*POWER(A893,'难度参数'!$E$20)*MIN('难度参数'!$E$23,1+MAX(0,A893-'难度参数'!$E$21)*'难度参数'!$E$22))*(36+3*7)/(36+7*(D893+1)/2)*E893,0))</x:f>
        <x:v>15942</x:v>
      </x:c>
      <x:c r="AH893" s="119" t="n">
        <x:f>IF(AF893=0,0,(AF893-IF(3=D893,1,0))*ROUND(AG893*VLOOKUP(INDEX('章节与怪物'!$E$31:$K$37,B893,3),'章节与怪物'!$A$41:$F$44,2,FALSE),0)+IF(3=D893,ROUND(AG893*'难度参数'!$E$28*'章节与怪物'!$E$17,0),0))</x:f>
        <x:v>1300848</x:v>
      </x:c>
      <x:c r="AI893" s="119" t="n">
        <x:f>IF(AF893=0,0,(AF893-IF(3=D893,1,0))*VLOOKUP(INDEX('章节与怪物'!$E$31:$K$37,B893,3),'章节与怪物'!$A$41:$F$44,4,FALSE)+IF(3=D893,'难度参数'!$E$30,0))</x:f>
        <x:v>1344</x:v>
      </x:c>
      <x:c r="AJ893" s="119" t="n">
        <x:f>IF(4&gt;D893,0,MAX(2,MIN('难度参数'!$E$12,ROUND(('难度参数'!$E$18*POWER(A893,'难度参数'!$E$19)/D893*(0.85+0.3*(4-1)/MAX(1,D893-1))),0)+F893)))</x:f>
        <x:v>51</x:v>
      </x:c>
      <x:c r="AK893" s="119" t="n">
        <x:f>IF(4&gt;D893,0,ROUND(('难度参数'!$E$13*POWER(A893,'难度参数'!$E$20)*MIN('难度参数'!$E$23,1+MAX(0,A893-'难度参数'!$E$21)*'难度参数'!$E$22))*(36+4*7)/(36+7*(D893+1)/2)*E893,0))</x:f>
        <x:v>17899</x:v>
      </x:c>
      <x:c r="AL893" s="119" t="n">
        <x:f>IF(AJ893=0,0,(AJ893-IF(4=D893,1,0))*ROUND(AK893*VLOOKUP(INDEX('章节与怪物'!$E$31:$K$37,B893,4),'章节与怪物'!$A$41:$F$44,2,FALSE),0)+IF(4=D893,ROUND(AK893*'难度参数'!$E$28*'章节与怪物'!$E$17,0),0))</x:f>
        <x:v>1232364</x:v>
      </x:c>
      <x:c r="AM893" s="119" t="n">
        <x:f>IF(AJ893=0,0,(AJ893-IF(4=D893,1,0))*VLOOKUP(INDEX('章节与怪物'!$E$31:$K$37,B893,4),'章节与怪物'!$A$41:$F$44,4,FALSE)+IF(4=D893,'难度参数'!$E$30,0))</x:f>
        <x:v>1734</x:v>
      </x:c>
      <x:c r="AN893" s="119" t="n">
        <x:f>IF(5&gt;D893,0,MAX(2,MIN('难度参数'!$E$12,ROUND(('难度参数'!$E$18*POWER(A893,'难度参数'!$E$19)/D893*(0.85+0.3*(5-1)/MAX(1,D893-1))),0)+F893)))</x:f>
        <x:v>53</x:v>
      </x:c>
      <x:c r="AO893" s="119" t="n">
        <x:f>IF(5&gt;D893,0,ROUND(('难度参数'!$E$13*POWER(A893,'难度参数'!$E$20)*MIN('难度参数'!$E$23,1+MAX(0,A893-'难度参数'!$E$21)*'难度参数'!$E$22))*(36+5*7)/(36+7*(D893+1)/2)*E893,0))</x:f>
        <x:v>19857</x:v>
      </x:c>
      <x:c r="AP893" s="119" t="n">
        <x:f>IF(AN893=0,0,(AN893-IF(5=D893,1,0))*ROUND(AO893*VLOOKUP(INDEX('章节与怪物'!$E$31:$K$37,B893,5),'章节与怪物'!$A$41:$F$44,2,FALSE),0)+IF(5=D893,ROUND(AO893*'难度参数'!$E$28*'章节与怪物'!$E$17,0),0))</x:f>
        <x:v>757741</x:v>
      </x:c>
      <x:c r="AQ893" s="119" t="n">
        <x:f>IF(AN893=0,0,(AN893-IF(5=D893,1,0))*VLOOKUP(INDEX('章节与怪物'!$E$31:$K$37,B893,5),'章节与怪物'!$A$41:$F$44,4,FALSE)+IF(5=D893,'难度参数'!$E$30,0))</x:f>
        <x:v>1060</x:v>
      </x:c>
      <x:c r="AR893" s="119" t="n">
        <x:f>IF(6&gt;D893,0,MAX(2,MIN('难度参数'!$E$12,ROUND(('难度参数'!$E$18*POWER(A893,'难度参数'!$E$19)/D893*(0.85+0.3*(6-1)/MAX(1,D893-1))),0)+F893)))</x:f>
        <x:v>56</x:v>
      </x:c>
      <x:c r="AS893" s="119" t="n">
        <x:f>IF(6&gt;D893,0,ROUND(('难度参数'!$E$13*POWER(A893,'难度参数'!$E$20)*MIN('难度参数'!$E$23,1+MAX(0,A893-'难度参数'!$E$21)*'难度参数'!$E$22))*(36+6*7)/(36+7*(D893+1)/2)*E893,0))</x:f>
        <x:v>21815</x:v>
      </x:c>
      <x:c r="AT893" s="119" t="n">
        <x:f>IF(AR893=0,0,(AR893-IF(6=D893,1,0))*ROUND(AS893*VLOOKUP(INDEX('章节与怪物'!$E$31:$K$37,B893,6),'章节与怪物'!$A$41:$F$44,2,FALSE),0)+IF(6=D893,ROUND(AS893*'难度参数'!$E$28*'章节与怪物'!$E$17,0),0))</x:f>
        <x:v>2076816</x:v>
      </x:c>
      <x:c r="AU893" s="119" t="n">
        <x:f>IF(AR893=0,0,(AR893-IF(6=D893,1,0))*VLOOKUP(INDEX('章节与怪物'!$E$31:$K$37,B893,6),'章节与怪物'!$A$41:$F$44,4,FALSE)+IF(6=D893,'难度参数'!$E$30,0))</x:f>
        <x:v>1568</x:v>
      </x:c>
      <x:c r="AV893" s="119" t="n">
        <x:f>IF(7&gt;D893,0,MAX(2,MIN('难度参数'!$E$12,ROUND(('难度参数'!$E$18*POWER(A893,'难度参数'!$E$19)/D893*(0.85+0.3*(7-1)/MAX(1,D893-1))),0)+F893)))</x:f>
        <x:v>58</x:v>
      </x:c>
      <x:c r="AW893" s="119" t="n">
        <x:f>IF(7&gt;D893,0,ROUND(('难度参数'!$E$13*POWER(A893,'难度参数'!$E$20)*MIN('难度参数'!$E$23,1+MAX(0,A893-'难度参数'!$E$21)*'难度参数'!$E$22))*(36+7*7)/(36+7*(D893+1)/2)*E893,0))</x:f>
        <x:v>23773</x:v>
      </x:c>
      <x:c r="AX893" s="119" t="n">
        <x:f>IF(AV893=0,0,(AV893-IF(7=D893,1,0))*ROUND(AW893*VLOOKUP(INDEX('章节与怪物'!$E$31:$K$37,B893,7),'章节与怪物'!$A$41:$F$44,2,FALSE),0)+IF(7=D893,ROUND(AW893*'难度参数'!$E$28*'章节与怪物'!$E$17,0),0))</x:f>
        <x:v>1991014</x:v>
      </x:c>
      <x:c r="AY893" s="119" t="n">
        <x:f>IF(AV893=0,0,(AV893-IF(7=D893,1,0))*VLOOKUP(INDEX('章节与怪物'!$E$31:$K$37,B893,7),'章节与怪物'!$A$41:$F$44,4,FALSE)+IF(7=D893,'难度参数'!$E$30,0))</x:f>
        <x:v>2138</x:v>
      </x:c>
    </x:row>
    <x:row r="894" ht="23" customHeight="1">
      <x:c r="A894" s="119" t="n">
        <x:v>888</x:v>
      </x:c>
      <x:c r="B894" s="119" t="n">
        <x:f>MOD(INT((A894-1)/5),7)+1</x:f>
        <x:v>3</x:v>
      </x:c>
      <x:c r="C894" s="62" t="str">
        <x:f>INDEX('章节与怪物'!$B$31:$B$37,B894)</x:f>
        <x:v>腐沼秘林</x:v>
      </x:c>
      <x:c r="D894" s="119" t="n">
        <x:f>MIN('难度参数'!$E$8,MAX('难度参数'!$E$7,A894))</x:f>
        <x:v>7</x:v>
      </x:c>
      <x:c r="E894" s="106" t="n">
        <x:v>1</x:v>
      </x:c>
      <x:c r="F894" s="106" t="n">
        <x:v>0</x:v>
      </x:c>
      <x:c r="G894" s="106" t="n">
        <x:v>1</x:v>
      </x:c>
      <x:c r="H894" s="119" t="n">
        <x:f>SUM(X894,AB894,AF894,AJ894,AN894,AR894,AV894)</x:f>
        <x:v>355</x:v>
      </x:c>
      <x:c r="I894" s="119" t="n">
        <x:f>SUM(Z894,AD894,AH894,AL894,AP894,AT894,AX894)</x:f>
        <x:v>8345822</x:v>
      </x:c>
      <x:c r="J894" s="119" t="n">
        <x:f>ROUND(INDEX(X894:AY894,1,(D894-1)*4+2)*'难度参数'!$E$28*'章节与怪物'!$E$17,0)</x:f>
        <x:v>161786</x:v>
      </x:c>
      <x:c r="K894" s="119" t="n">
        <x:f>SUM(AA894,AE894,AI894,AM894,AQ894,AU894,AY894)</x:f>
        <x:v>9538</x:v>
      </x:c>
      <x:c r="L894" s="62" t="n">
        <x:f>H894*(ROUNDUP('难度参数'!$E$24/('难度参数'!$E$26*'难度参数'!$E$27),0)*'难度参数'!$E$26)/60</x:f>
        <x:v>4.733333333333333</x:v>
      </x:c>
      <x:c r="M894" s="62" t="n">
        <x:f>L894+D894*('难度参数'!$E$49+'难度参数'!$E$50)/60</x:f>
        <x:v>5.9</x:v>
      </x:c>
      <x:c r="N894" s="119" t="n">
        <x:f>ROUNDDOWN(('经济参数'!$E$20+A894*'经济参数'!$E$21)*G894,0)</x:f>
        <x:v>17940</x:v>
      </x:c>
      <x:c r="O894" s="119" t="n">
        <x:f>ROUNDDOWN(MIN('经济参数'!$E$24,'经济参数'!$E$22+A894*'经济参数'!$E$23)*G894,0)</x:f>
        <x:v>0</x:v>
      </x:c>
      <x:c r="P894" s="119" t="n">
        <x:f>ROUNDDOWN((IF(A894&gt;='材料与任务'!$E$31,'材料与任务'!$E$32,IF(A894&gt;='材料与任务'!$E$25,'材料与任务'!$E$26,IF(A894&gt;='材料与任务'!$E$19,'材料与任务'!$E$20,IF(A894&gt;='材料与任务'!$E$13,'材料与任务'!$E$14,'材料与任务'!$E$8)))))*G894,0)</x:f>
        <x:v>6</x:v>
      </x:c>
      <x:c r="Q894" s="119" t="n">
        <x:f>ROUNDDOWN((IF(A894&gt;='材料与任务'!$E$31,'材料与任务'!$E$33,IF(A894&gt;='材料与任务'!$E$25,'材料与任务'!$E$27,IF(A894&gt;='材料与任务'!$E$19,'材料与任务'!$E$21,IF(A894&gt;='材料与任务'!$E$13,'材料与任务'!$E$15,'材料与任务'!$E$9)))))*G894,0)</x:f>
        <x:v>3</x:v>
      </x:c>
      <x:c r="R894" s="110" t="n">
        <x:f>'装备掉落'!$B$38</x:f>
        <x:v>0.6872058758851213</x:v>
      </x:c>
      <x:c r="S894" s="119" t="n">
        <x:f>MAX(IF(VLOOKUP(A894,'装备掉落'!$A$29:$H$34,2,TRUE)&gt;0,1,0),IF(VLOOKUP(A894,'装备掉落'!$A$29:$H$34,3,TRUE)&gt;0,2,0),IF(VLOOKUP(A894,'装备掉落'!$A$29:$H$34,4,TRUE)&gt;0,3,0),IF(VLOOKUP(A894,'装备掉落'!$A$29:$H$34,5,TRUE)&gt;0,4,0),IF(VLOOKUP(A894,'装备掉落'!$A$29:$H$34,6,TRUE)&gt;0,5,0),IF(VLOOKUP(A894,'装备掉落'!$A$29:$H$34,7,TRUE)&gt;0,6,0),IF(VLOOKUP(A894,'装备掉落'!$A$29:$H$34,8,TRUE)&gt;0,7,0))</x:f>
        <x:v>7</x:v>
      </x:c>
      <x:c r="T894" s="119" t="n">
        <x:f>MIN(7,S894+'经济参数'!$E$70)</x:f>
        <x:v>7</x:v>
      </x:c>
      <x:c r="U894" s="119" t="n">
        <x:f>MIN(7,S894+'经济参数'!$E$71)</x:f>
        <x:v>7</x:v>
      </x:c>
      <x:c r="V894" s="119" t="n">
        <x:f>IF(H894&gt;=('难度参数'!$E$52),1,0)+IF(H894&gt;=('难度参数'!$E$52+'难度参数'!$E$53),1,0)+IF(H894&gt;=('难度参数'!$E$52+'难度参数'!$E$53+'难度参数'!$E$54),1,0)+IF(H894&gt;=('难度参数'!$E$52+'难度参数'!$E$53+'难度参数'!$E$54+'难度参数'!$E$55),1,0)+IF(H894&gt;=('难度参数'!$E$52+'难度参数'!$E$53+'难度参数'!$E$54+'难度参数'!$E$55+'难度参数'!$E$56),1,0)+IF(H894&gt;=('难度参数'!$E$52+'难度参数'!$E$53+'难度参数'!$E$54+'难度参数'!$E$55+'难度参数'!$E$56+'难度参数'!$E$57),1,0)</x:f>
        <x:v>6</x:v>
      </x:c>
      <x:c r="W894" s="62" t="str">
        <x:f>IF(L894&gt;'难度参数'!$E$51,"仅出怪已超目标","还需实测")</x:f>
        <x:v>仅出怪已超目标</x:v>
      </x:c>
      <x:c r="X894" s="119" t="n">
        <x:f>IF(1&gt;D894,0,MAX(2,MIN('难度参数'!$E$12,ROUND(('难度参数'!$E$18*POWER(A894,'难度参数'!$E$19)/D894*(0.85+0.3*(1-1)/MAX(1,D894-1))),0)+F894)))</x:f>
        <x:v>43</x:v>
      </x:c>
      <x:c r="Y894" s="119" t="n">
        <x:f>IF(1&gt;D894,0,ROUND(('难度参数'!$E$13*POWER(A894,'难度参数'!$E$20)*MIN('难度参数'!$E$23,1+MAX(0,A894-'难度参数'!$E$21)*'难度参数'!$E$22))*(36+1*7)/(36+7*(D894+1)/2)*E894,0))</x:f>
        <x:v>12036</x:v>
      </x:c>
      <x:c r="Z894" s="119" t="n">
        <x:f>IF(X894=0,0,(X894-IF(1=D894,1,0))*ROUND(Y894*VLOOKUP(INDEX('章节与怪物'!$E$31:$K$37,B894,1),'章节与怪物'!$A$41:$F$44,2,FALSE),0)+IF(1=D894,ROUND(Y894*'难度参数'!$E$28*'章节与怪物'!$E$17,0),0))</x:f>
        <x:v>517548</x:v>
      </x:c>
      <x:c r="AA894" s="119" t="n">
        <x:f>IF(X894=0,0,(X894-IF(1=D894,1,0))*VLOOKUP(INDEX('章节与怪物'!$E$31:$K$37,B894,1),'章节与怪物'!$A$41:$F$44,4,FALSE)+IF(1=D894,'难度参数'!$E$30,0))</x:f>
        <x:v>774</x:v>
      </x:c>
      <x:c r="AB894" s="119" t="n">
        <x:f>IF(2&gt;D894,0,MAX(2,MIN('难度参数'!$E$12,ROUND(('难度参数'!$E$18*POWER(A894,'难度参数'!$E$19)/D894*(0.85+0.3*(2-1)/MAX(1,D894-1))),0)+F894)))</x:f>
        <x:v>46</x:v>
      </x:c>
      <x:c r="AC894" s="119" t="n">
        <x:f>IF(2&gt;D894,0,ROUND(('难度参数'!$E$13*POWER(A894,'难度参数'!$E$20)*MIN('难度参数'!$E$23,1+MAX(0,A894-'难度参数'!$E$21)*'难度参数'!$E$22))*(36+2*7)/(36+7*(D894+1)/2)*E894,0))</x:f>
        <x:v>13995</x:v>
      </x:c>
      <x:c r="AD894" s="119" t="n">
        <x:f>IF(AB894=0,0,(AB894-IF(2=D894,1,0))*ROUND(AC894*VLOOKUP(INDEX('章节与怪物'!$E$31:$K$37,B894,2),'章节与怪物'!$A$41:$F$44,2,FALSE),0)+IF(2=D894,ROUND(AC894*'难度参数'!$E$28*'章节与怪物'!$E$17,0),0))</x:f>
        <x:v>463496</x:v>
      </x:c>
      <x:c r="AE894" s="119" t="n">
        <x:f>IF(AB894=0,0,(AB894-IF(2=D894,1,0))*VLOOKUP(INDEX('章节与怪物'!$E$31:$K$37,B894,2),'章节与怪物'!$A$41:$F$44,4,FALSE)+IF(2=D894,'难度参数'!$E$30,0))</x:f>
        <x:v>920</x:v>
      </x:c>
      <x:c r="AF894" s="119" t="n">
        <x:f>IF(3&gt;D894,0,MAX(2,MIN('难度参数'!$E$12,ROUND(('难度参数'!$E$18*POWER(A894,'难度参数'!$E$19)/D894*(0.85+0.3*(3-1)/MAX(1,D894-1))),0)+F894)))</x:f>
        <x:v>48</x:v>
      </x:c>
      <x:c r="AG894" s="119" t="n">
        <x:f>IF(3&gt;D894,0,ROUND(('难度参数'!$E$13*POWER(A894,'难度参数'!$E$20)*MIN('难度参数'!$E$23,1+MAX(0,A894-'难度参数'!$E$21)*'难度参数'!$E$22))*(36+3*7)/(36+7*(D894+1)/2)*E894,0))</x:f>
        <x:v>15955</x:v>
      </x:c>
      <x:c r="AH894" s="119" t="n">
        <x:f>IF(AF894=0,0,(AF894-IF(3=D894,1,0))*ROUND(AG894*VLOOKUP(INDEX('章节与怪物'!$E$31:$K$37,B894,3),'章节与怪物'!$A$41:$F$44,2,FALSE),0)+IF(3=D894,ROUND(AG894*'难度参数'!$E$28*'章节与怪物'!$E$17,0),0))</x:f>
        <x:v>1301952</x:v>
      </x:c>
      <x:c r="AI894" s="119" t="n">
        <x:f>IF(AF894=0,0,(AF894-IF(3=D894,1,0))*VLOOKUP(INDEX('章节与怪物'!$E$31:$K$37,B894,3),'章节与怪物'!$A$41:$F$44,4,FALSE)+IF(3=D894,'难度参数'!$E$30,0))</x:f>
        <x:v>1344</x:v>
      </x:c>
      <x:c r="AJ894" s="119" t="n">
        <x:f>IF(4&gt;D894,0,MAX(2,MIN('难度参数'!$E$12,ROUND(('难度参数'!$E$18*POWER(A894,'难度参数'!$E$19)/D894*(0.85+0.3*(4-1)/MAX(1,D894-1))),0)+F894)))</x:f>
        <x:v>51</x:v>
      </x:c>
      <x:c r="AK894" s="119" t="n">
        <x:f>IF(4&gt;D894,0,ROUND(('难度参数'!$E$13*POWER(A894,'难度参数'!$E$20)*MIN('难度参数'!$E$23,1+MAX(0,A894-'难度参数'!$E$21)*'难度参数'!$E$22))*(36+4*7)/(36+7*(D894+1)/2)*E894,0))</x:f>
        <x:v>17914</x:v>
      </x:c>
      <x:c r="AL894" s="119" t="n">
        <x:f>IF(AJ894=0,0,(AJ894-IF(4=D894,1,0))*ROUND(AK894*VLOOKUP(INDEX('章节与怪物'!$E$31:$K$37,B894,4),'章节与怪物'!$A$41:$F$44,2,FALSE),0)+IF(4=D894,ROUND(AK894*'难度参数'!$E$28*'章节与怪物'!$E$17,0),0))</x:f>
        <x:v>1233384</x:v>
      </x:c>
      <x:c r="AM894" s="119" t="n">
        <x:f>IF(AJ894=0,0,(AJ894-IF(4=D894,1,0))*VLOOKUP(INDEX('章节与怪物'!$E$31:$K$37,B894,4),'章节与怪物'!$A$41:$F$44,4,FALSE)+IF(4=D894,'难度参数'!$E$30,0))</x:f>
        <x:v>1734</x:v>
      </x:c>
      <x:c r="AN894" s="119" t="n">
        <x:f>IF(5&gt;D894,0,MAX(2,MIN('难度参数'!$E$12,ROUND(('难度参数'!$E$18*POWER(A894,'难度参数'!$E$19)/D894*(0.85+0.3*(5-1)/MAX(1,D894-1))),0)+F894)))</x:f>
        <x:v>53</x:v>
      </x:c>
      <x:c r="AO894" s="119" t="n">
        <x:f>IF(5&gt;D894,0,ROUND(('难度参数'!$E$13*POWER(A894,'难度参数'!$E$20)*MIN('难度参数'!$E$23,1+MAX(0,A894-'难度参数'!$E$21)*'难度参数'!$E$22))*(36+5*7)/(36+7*(D894+1)/2)*E894,0))</x:f>
        <x:v>19873</x:v>
      </x:c>
      <x:c r="AP894" s="119" t="n">
        <x:f>IF(AN894=0,0,(AN894-IF(5=D894,1,0))*ROUND(AO894*VLOOKUP(INDEX('章节与怪物'!$E$31:$K$37,B894,5),'章节与怪物'!$A$41:$F$44,2,FALSE),0)+IF(5=D894,ROUND(AO894*'难度参数'!$E$28*'章节与怪物'!$E$17,0),0))</x:f>
        <x:v>758377</x:v>
      </x:c>
      <x:c r="AQ894" s="119" t="n">
        <x:f>IF(AN894=0,0,(AN894-IF(5=D894,1,0))*VLOOKUP(INDEX('章节与怪物'!$E$31:$K$37,B894,5),'章节与怪物'!$A$41:$F$44,4,FALSE)+IF(5=D894,'难度参数'!$E$30,0))</x:f>
        <x:v>1060</x:v>
      </x:c>
      <x:c r="AR894" s="119" t="n">
        <x:f>IF(6&gt;D894,0,MAX(2,MIN('难度参数'!$E$12,ROUND(('难度参数'!$E$18*POWER(A894,'难度参数'!$E$19)/D894*(0.85+0.3*(6-1)/MAX(1,D894-1))),0)+F894)))</x:f>
        <x:v>56</x:v>
      </x:c>
      <x:c r="AS894" s="119" t="n">
        <x:f>IF(6&gt;D894,0,ROUND(('难度参数'!$E$13*POWER(A894,'难度参数'!$E$20)*MIN('难度参数'!$E$23,1+MAX(0,A894-'难度参数'!$E$21)*'难度参数'!$E$22))*(36+6*7)/(36+7*(D894+1)/2)*E894,0))</x:f>
        <x:v>21833</x:v>
      </x:c>
      <x:c r="AT894" s="119" t="n">
        <x:f>IF(AR894=0,0,(AR894-IF(6=D894,1,0))*ROUND(AS894*VLOOKUP(INDEX('章节与怪物'!$E$31:$K$37,B894,6),'章节与怪物'!$A$41:$F$44,2,FALSE),0)+IF(6=D894,ROUND(AS894*'难度参数'!$E$28*'章节与怪物'!$E$17,0),0))</x:f>
        <x:v>2078496</x:v>
      </x:c>
      <x:c r="AU894" s="119" t="n">
        <x:f>IF(AR894=0,0,(AR894-IF(6=D894,1,0))*VLOOKUP(INDEX('章节与怪物'!$E$31:$K$37,B894,6),'章节与怪物'!$A$41:$F$44,4,FALSE)+IF(6=D894,'难度参数'!$E$30,0))</x:f>
        <x:v>1568</x:v>
      </x:c>
      <x:c r="AV894" s="119" t="n">
        <x:f>IF(7&gt;D894,0,MAX(2,MIN('难度参数'!$E$12,ROUND(('难度参数'!$E$18*POWER(A894,'难度参数'!$E$19)/D894*(0.85+0.3*(7-1)/MAX(1,D894-1))),0)+F894)))</x:f>
        <x:v>58</x:v>
      </x:c>
      <x:c r="AW894" s="119" t="n">
        <x:f>IF(7&gt;D894,0,ROUND(('难度参数'!$E$13*POWER(A894,'难度参数'!$E$20)*MIN('难度参数'!$E$23,1+MAX(0,A894-'难度参数'!$E$21)*'难度参数'!$E$22))*(36+7*7)/(36+7*(D894+1)/2)*E894,0))</x:f>
        <x:v>23792</x:v>
      </x:c>
      <x:c r="AX894" s="119" t="n">
        <x:f>IF(AV894=0,0,(AV894-IF(7=D894,1,0))*ROUND(AW894*VLOOKUP(INDEX('章节与怪物'!$E$31:$K$37,B894,7),'章节与怪物'!$A$41:$F$44,2,FALSE),0)+IF(7=D894,ROUND(AW894*'难度参数'!$E$28*'章节与怪物'!$E$17,0),0))</x:f>
        <x:v>1992569</x:v>
      </x:c>
      <x:c r="AY894" s="119" t="n">
        <x:f>IF(AV894=0,0,(AV894-IF(7=D894,1,0))*VLOOKUP(INDEX('章节与怪物'!$E$31:$K$37,B894,7),'章节与怪物'!$A$41:$F$44,4,FALSE)+IF(7=D894,'难度参数'!$E$30,0))</x:f>
        <x:v>2138</x:v>
      </x:c>
    </x:row>
    <x:row r="895" ht="23" customHeight="1">
      <x:c r="A895" s="119" t="n">
        <x:v>889</x:v>
      </x:c>
      <x:c r="B895" s="119" t="n">
        <x:f>MOD(INT((A895-1)/5),7)+1</x:f>
        <x:v>3</x:v>
      </x:c>
      <x:c r="C895" s="62" t="str">
        <x:f>INDEX('章节与怪物'!$B$31:$B$37,B895)</x:f>
        <x:v>腐沼秘林</x:v>
      </x:c>
      <x:c r="D895" s="119" t="n">
        <x:f>MIN('难度参数'!$E$8,MAX('难度参数'!$E$7,A895))</x:f>
        <x:v>7</x:v>
      </x:c>
      <x:c r="E895" s="106" t="n">
        <x:v>1</x:v>
      </x:c>
      <x:c r="F895" s="106" t="n">
        <x:v>0</x:v>
      </x:c>
      <x:c r="G895" s="106" t="n">
        <x:v>1</x:v>
      </x:c>
      <x:c r="H895" s="119" t="n">
        <x:f>SUM(X895,AB895,AF895,AJ895,AN895,AR895,AV895)</x:f>
        <x:v>355</x:v>
      </x:c>
      <x:c r="I895" s="119" t="n">
        <x:f>SUM(Z895,AD895,AH895,AL895,AP895,AT895,AX895)</x:f>
        <x:v>8352509</x:v>
      </x:c>
      <x:c r="J895" s="119" t="n">
        <x:f>ROUND(INDEX(X895:AY895,1,(D895-1)*4+2)*'难度参数'!$E$28*'章节与怪物'!$E$17,0)</x:f>
        <x:v>161915</x:v>
      </x:c>
      <x:c r="K895" s="119" t="n">
        <x:f>SUM(AA895,AE895,AI895,AM895,AQ895,AU895,AY895)</x:f>
        <x:v>9538</x:v>
      </x:c>
      <x:c r="L895" s="62" t="n">
        <x:f>H895*(ROUNDUP('难度参数'!$E$24/('难度参数'!$E$26*'难度参数'!$E$27),0)*'难度参数'!$E$26)/60</x:f>
        <x:v>4.733333333333333</x:v>
      </x:c>
      <x:c r="M895" s="62" t="n">
        <x:f>L895+D895*('难度参数'!$E$49+'难度参数'!$E$50)/60</x:f>
        <x:v>5.9</x:v>
      </x:c>
      <x:c r="N895" s="119" t="n">
        <x:f>ROUNDDOWN(('经济参数'!$E$20+A895*'经济参数'!$E$21)*G895,0)</x:f>
        <x:v>17960</x:v>
      </x:c>
      <x:c r="O895" s="119" t="n">
        <x:f>ROUNDDOWN(MIN('经济参数'!$E$24,'经济参数'!$E$22+A895*'经济参数'!$E$23)*G895,0)</x:f>
        <x:v>0</x:v>
      </x:c>
      <x:c r="P895" s="119" t="n">
        <x:f>ROUNDDOWN((IF(A895&gt;='材料与任务'!$E$31,'材料与任务'!$E$32,IF(A895&gt;='材料与任务'!$E$25,'材料与任务'!$E$26,IF(A895&gt;='材料与任务'!$E$19,'材料与任务'!$E$20,IF(A895&gt;='材料与任务'!$E$13,'材料与任务'!$E$14,'材料与任务'!$E$8)))))*G895,0)</x:f>
        <x:v>6</x:v>
      </x:c>
      <x:c r="Q895" s="119" t="n">
        <x:f>ROUNDDOWN((IF(A895&gt;='材料与任务'!$E$31,'材料与任务'!$E$33,IF(A895&gt;='材料与任务'!$E$25,'材料与任务'!$E$27,IF(A895&gt;='材料与任务'!$E$19,'材料与任务'!$E$21,IF(A895&gt;='材料与任务'!$E$13,'材料与任务'!$E$15,'材料与任务'!$E$9)))))*G895,0)</x:f>
        <x:v>3</x:v>
      </x:c>
      <x:c r="R895" s="110" t="n">
        <x:f>'装备掉落'!$B$38</x:f>
        <x:v>0.6872058758851213</x:v>
      </x:c>
      <x:c r="S895" s="119" t="n">
        <x:f>MAX(IF(VLOOKUP(A895,'装备掉落'!$A$29:$H$34,2,TRUE)&gt;0,1,0),IF(VLOOKUP(A895,'装备掉落'!$A$29:$H$34,3,TRUE)&gt;0,2,0),IF(VLOOKUP(A895,'装备掉落'!$A$29:$H$34,4,TRUE)&gt;0,3,0),IF(VLOOKUP(A895,'装备掉落'!$A$29:$H$34,5,TRUE)&gt;0,4,0),IF(VLOOKUP(A895,'装备掉落'!$A$29:$H$34,6,TRUE)&gt;0,5,0),IF(VLOOKUP(A895,'装备掉落'!$A$29:$H$34,7,TRUE)&gt;0,6,0),IF(VLOOKUP(A895,'装备掉落'!$A$29:$H$34,8,TRUE)&gt;0,7,0))</x:f>
        <x:v>7</x:v>
      </x:c>
      <x:c r="T895" s="119" t="n">
        <x:f>MIN(7,S895+'经济参数'!$E$70)</x:f>
        <x:v>7</x:v>
      </x:c>
      <x:c r="U895" s="119" t="n">
        <x:f>MIN(7,S895+'经济参数'!$E$71)</x:f>
        <x:v>7</x:v>
      </x:c>
      <x:c r="V895" s="119" t="n">
        <x:f>IF(H895&gt;=('难度参数'!$E$52),1,0)+IF(H895&gt;=('难度参数'!$E$52+'难度参数'!$E$53),1,0)+IF(H895&gt;=('难度参数'!$E$52+'难度参数'!$E$53+'难度参数'!$E$54),1,0)+IF(H895&gt;=('难度参数'!$E$52+'难度参数'!$E$53+'难度参数'!$E$54+'难度参数'!$E$55),1,0)+IF(H895&gt;=('难度参数'!$E$52+'难度参数'!$E$53+'难度参数'!$E$54+'难度参数'!$E$55+'难度参数'!$E$56),1,0)+IF(H895&gt;=('难度参数'!$E$52+'难度参数'!$E$53+'难度参数'!$E$54+'难度参数'!$E$55+'难度参数'!$E$56+'难度参数'!$E$57),1,0)</x:f>
        <x:v>6</x:v>
      </x:c>
      <x:c r="W895" s="62" t="str">
        <x:f>IF(L895&gt;'难度参数'!$E$51,"仅出怪已超目标","还需实测")</x:f>
        <x:v>仅出怪已超目标</x:v>
      </x:c>
      <x:c r="X895" s="119" t="n">
        <x:f>IF(1&gt;D895,0,MAX(2,MIN('难度参数'!$E$12,ROUND(('难度参数'!$E$18*POWER(A895,'难度参数'!$E$19)/D895*(0.85+0.3*(1-1)/MAX(1,D895-1))),0)+F895)))</x:f>
        <x:v>43</x:v>
      </x:c>
      <x:c r="Y895" s="119" t="n">
        <x:f>IF(1&gt;D895,0,ROUND(('难度参数'!$E$13*POWER(A895,'难度参数'!$E$20)*MIN('难度参数'!$E$23,1+MAX(0,A895-'难度参数'!$E$21)*'难度参数'!$E$22))*(36+1*7)/(36+7*(D895+1)/2)*E895,0))</x:f>
        <x:v>12046</x:v>
      </x:c>
      <x:c r="Z895" s="119" t="n">
        <x:f>IF(X895=0,0,(X895-IF(1=D895,1,0))*ROUND(Y895*VLOOKUP(INDEX('章节与怪物'!$E$31:$K$37,B895,1),'章节与怪物'!$A$41:$F$44,2,FALSE),0)+IF(1=D895,ROUND(Y895*'难度参数'!$E$28*'章节与怪物'!$E$17,0),0))</x:f>
        <x:v>517978</x:v>
      </x:c>
      <x:c r="AA895" s="119" t="n">
        <x:f>IF(X895=0,0,(X895-IF(1=D895,1,0))*VLOOKUP(INDEX('章节与怪物'!$E$31:$K$37,B895,1),'章节与怪物'!$A$41:$F$44,4,FALSE)+IF(1=D895,'难度参数'!$E$30,0))</x:f>
        <x:v>774</x:v>
      </x:c>
      <x:c r="AB895" s="119" t="n">
        <x:f>IF(2&gt;D895,0,MAX(2,MIN('难度参数'!$E$12,ROUND(('难度参数'!$E$18*POWER(A895,'难度参数'!$E$19)/D895*(0.85+0.3*(2-1)/MAX(1,D895-1))),0)+F895)))</x:f>
        <x:v>46</x:v>
      </x:c>
      <x:c r="AC895" s="119" t="n">
        <x:f>IF(2&gt;D895,0,ROUND(('难度参数'!$E$13*POWER(A895,'难度参数'!$E$20)*MIN('难度参数'!$E$23,1+MAX(0,A895-'难度参数'!$E$21)*'难度参数'!$E$22))*(36+2*7)/(36+7*(D895+1)/2)*E895,0))</x:f>
        <x:v>14007</x:v>
      </x:c>
      <x:c r="AD895" s="119" t="n">
        <x:f>IF(AB895=0,0,(AB895-IF(2=D895,1,0))*ROUND(AC895*VLOOKUP(INDEX('章节与怪物'!$E$31:$K$37,B895,2),'章节与怪物'!$A$41:$F$44,2,FALSE),0)+IF(2=D895,ROUND(AC895*'难度参数'!$E$28*'章节与怪物'!$E$17,0),0))</x:f>
        <x:v>463910</x:v>
      </x:c>
      <x:c r="AE895" s="119" t="n">
        <x:f>IF(AB895=0,0,(AB895-IF(2=D895,1,0))*VLOOKUP(INDEX('章节与怪物'!$E$31:$K$37,B895,2),'章节与怪物'!$A$41:$F$44,4,FALSE)+IF(2=D895,'难度参数'!$E$30,0))</x:f>
        <x:v>920</x:v>
      </x:c>
      <x:c r="AF895" s="119" t="n">
        <x:f>IF(3&gt;D895,0,MAX(2,MIN('难度参数'!$E$12,ROUND(('难度参数'!$E$18*POWER(A895,'难度参数'!$E$19)/D895*(0.85+0.3*(3-1)/MAX(1,D895-1))),0)+F895)))</x:f>
        <x:v>48</x:v>
      </x:c>
      <x:c r="AG895" s="119" t="n">
        <x:f>IF(3&gt;D895,0,ROUND(('难度参数'!$E$13*POWER(A895,'难度参数'!$E$20)*MIN('难度参数'!$E$23,1+MAX(0,A895-'难度参数'!$E$21)*'难度参数'!$E$22))*(36+3*7)/(36+7*(D895+1)/2)*E895,0))</x:f>
        <x:v>15968</x:v>
      </x:c>
      <x:c r="AH895" s="119" t="n">
        <x:f>IF(AF895=0,0,(AF895-IF(3=D895,1,0))*ROUND(AG895*VLOOKUP(INDEX('章节与怪物'!$E$31:$K$37,B895,3),'章节与怪物'!$A$41:$F$44,2,FALSE),0)+IF(3=D895,ROUND(AG895*'难度参数'!$E$28*'章节与怪物'!$E$17,0),0))</x:f>
        <x:v>1303008</x:v>
      </x:c>
      <x:c r="AI895" s="119" t="n">
        <x:f>IF(AF895=0,0,(AF895-IF(3=D895,1,0))*VLOOKUP(INDEX('章节与怪物'!$E$31:$K$37,B895,3),'章节与怪物'!$A$41:$F$44,4,FALSE)+IF(3=D895,'难度参数'!$E$30,0))</x:f>
        <x:v>1344</x:v>
      </x:c>
      <x:c r="AJ895" s="119" t="n">
        <x:f>IF(4&gt;D895,0,MAX(2,MIN('难度参数'!$E$12,ROUND(('难度参数'!$E$18*POWER(A895,'难度参数'!$E$19)/D895*(0.85+0.3*(4-1)/MAX(1,D895-1))),0)+F895)))</x:f>
        <x:v>51</x:v>
      </x:c>
      <x:c r="AK895" s="119" t="n">
        <x:f>IF(4&gt;D895,0,ROUND(('难度参数'!$E$13*POWER(A895,'难度参数'!$E$20)*MIN('难度参数'!$E$23,1+MAX(0,A895-'难度参数'!$E$21)*'难度参数'!$E$22))*(36+4*7)/(36+7*(D895+1)/2)*E895,0))</x:f>
        <x:v>17928</x:v>
      </x:c>
      <x:c r="AL895" s="119" t="n">
        <x:f>IF(AJ895=0,0,(AJ895-IF(4=D895,1,0))*ROUND(AK895*VLOOKUP(INDEX('章节与怪物'!$E$31:$K$37,B895,4),'章节与怪物'!$A$41:$F$44,2,FALSE),0)+IF(4=D895,ROUND(AK895*'难度参数'!$E$28*'章节与怪物'!$E$17,0),0))</x:f>
        <x:v>1234353</x:v>
      </x:c>
      <x:c r="AM895" s="119" t="n">
        <x:f>IF(AJ895=0,0,(AJ895-IF(4=D895,1,0))*VLOOKUP(INDEX('章节与怪物'!$E$31:$K$37,B895,4),'章节与怪物'!$A$41:$F$44,4,FALSE)+IF(4=D895,'难度参数'!$E$30,0))</x:f>
        <x:v>1734</x:v>
      </x:c>
      <x:c r="AN895" s="119" t="n">
        <x:f>IF(5&gt;D895,0,MAX(2,MIN('难度参数'!$E$12,ROUND(('难度参数'!$E$18*POWER(A895,'难度参数'!$E$19)/D895*(0.85+0.3*(5-1)/MAX(1,D895-1))),0)+F895)))</x:f>
        <x:v>53</x:v>
      </x:c>
      <x:c r="AO895" s="119" t="n">
        <x:f>IF(5&gt;D895,0,ROUND(('难度参数'!$E$13*POWER(A895,'难度参数'!$E$20)*MIN('难度参数'!$E$23,1+MAX(0,A895-'难度参数'!$E$21)*'难度参数'!$E$22))*(36+5*7)/(36+7*(D895+1)/2)*E895,0))</x:f>
        <x:v>19889</x:v>
      </x:c>
      <x:c r="AP895" s="119" t="n">
        <x:f>IF(AN895=0,0,(AN895-IF(5=D895,1,0))*ROUND(AO895*VLOOKUP(INDEX('章节与怪物'!$E$31:$K$37,B895,5),'章节与怪物'!$A$41:$F$44,2,FALSE),0)+IF(5=D895,ROUND(AO895*'难度参数'!$E$28*'章节与怪物'!$E$17,0),0))</x:f>
        <x:v>758960</x:v>
      </x:c>
      <x:c r="AQ895" s="119" t="n">
        <x:f>IF(AN895=0,0,(AN895-IF(5=D895,1,0))*VLOOKUP(INDEX('章节与怪物'!$E$31:$K$37,B895,5),'章节与怪物'!$A$41:$F$44,4,FALSE)+IF(5=D895,'难度参数'!$E$30,0))</x:f>
        <x:v>1060</x:v>
      </x:c>
      <x:c r="AR895" s="119" t="n">
        <x:f>IF(6&gt;D895,0,MAX(2,MIN('难度参数'!$E$12,ROUND(('难度参数'!$E$18*POWER(A895,'难度参数'!$E$19)/D895*(0.85+0.3*(6-1)/MAX(1,D895-1))),0)+F895)))</x:f>
        <x:v>56</x:v>
      </x:c>
      <x:c r="AS895" s="119" t="n">
        <x:f>IF(6&gt;D895,0,ROUND(('难度参数'!$E$13*POWER(A895,'难度参数'!$E$20)*MIN('难度参数'!$E$23,1+MAX(0,A895-'难度参数'!$E$21)*'难度参数'!$E$22))*(36+6*7)/(36+7*(D895+1)/2)*E895,0))</x:f>
        <x:v>21850</x:v>
      </x:c>
      <x:c r="AT895" s="119" t="n">
        <x:f>IF(AR895=0,0,(AR895-IF(6=D895,1,0))*ROUND(AS895*VLOOKUP(INDEX('章节与怪物'!$E$31:$K$37,B895,6),'章节与怪物'!$A$41:$F$44,2,FALSE),0)+IF(6=D895,ROUND(AS895*'难度参数'!$E$28*'章节与怪物'!$E$17,0),0))</x:f>
        <x:v>2080120</x:v>
      </x:c>
      <x:c r="AU895" s="119" t="n">
        <x:f>IF(AR895=0,0,(AR895-IF(6=D895,1,0))*VLOOKUP(INDEX('章节与怪物'!$E$31:$K$37,B895,6),'章节与怪物'!$A$41:$F$44,4,FALSE)+IF(6=D895,'难度参数'!$E$30,0))</x:f>
        <x:v>1568</x:v>
      </x:c>
      <x:c r="AV895" s="119" t="n">
        <x:f>IF(7&gt;D895,0,MAX(2,MIN('难度参数'!$E$12,ROUND(('难度参数'!$E$18*POWER(A895,'难度参数'!$E$19)/D895*(0.85+0.3*(7-1)/MAX(1,D895-1))),0)+F895)))</x:f>
        <x:v>58</x:v>
      </x:c>
      <x:c r="AW895" s="119" t="n">
        <x:f>IF(7&gt;D895,0,ROUND(('难度参数'!$E$13*POWER(A895,'难度参数'!$E$20)*MIN('难度参数'!$E$23,1+MAX(0,A895-'难度参数'!$E$21)*'难度参数'!$E$22))*(36+7*7)/(36+7*(D895+1)/2)*E895,0))</x:f>
        <x:v>23811</x:v>
      </x:c>
      <x:c r="AX895" s="119" t="n">
        <x:f>IF(AV895=0,0,(AV895-IF(7=D895,1,0))*ROUND(AW895*VLOOKUP(INDEX('章节与怪物'!$E$31:$K$37,B895,7),'章节与怪物'!$A$41:$F$44,2,FALSE),0)+IF(7=D895,ROUND(AW895*'难度参数'!$E$28*'章节与怪物'!$E$17,0),0))</x:f>
        <x:v>1994180</x:v>
      </x:c>
      <x:c r="AY895" s="119" t="n">
        <x:f>IF(AV895=0,0,(AV895-IF(7=D895,1,0))*VLOOKUP(INDEX('章节与怪物'!$E$31:$K$37,B895,7),'章节与怪物'!$A$41:$F$44,4,FALSE)+IF(7=D895,'难度参数'!$E$30,0))</x:f>
        <x:v>2138</x:v>
      </x:c>
    </x:row>
    <x:row r="896" ht="23" customHeight="1">
      <x:c r="A896" s="119" t="n">
        <x:v>890</x:v>
      </x:c>
      <x:c r="B896" s="119" t="n">
        <x:f>MOD(INT((A896-1)/5),7)+1</x:f>
        <x:v>3</x:v>
      </x:c>
      <x:c r="C896" s="62" t="str">
        <x:f>INDEX('章节与怪物'!$B$31:$B$37,B896)</x:f>
        <x:v>腐沼秘林</x:v>
      </x:c>
      <x:c r="D896" s="119" t="n">
        <x:f>MIN('难度参数'!$E$8,MAX('难度参数'!$E$7,A896))</x:f>
        <x:v>7</x:v>
      </x:c>
      <x:c r="E896" s="106" t="n">
        <x:v>1</x:v>
      </x:c>
      <x:c r="F896" s="106" t="n">
        <x:v>0</x:v>
      </x:c>
      <x:c r="G896" s="106" t="n">
        <x:v>1</x:v>
      </x:c>
      <x:c r="H896" s="119" t="n">
        <x:f>SUM(X896,AB896,AF896,AJ896,AN896,AR896,AV896)</x:f>
        <x:v>355</x:v>
      </x:c>
      <x:c r="I896" s="119" t="n">
        <x:f>SUM(Z896,AD896,AH896,AL896,AP896,AT896,AX896)</x:f>
        <x:v>8359291</x:v>
      </x:c>
      <x:c r="J896" s="119" t="n">
        <x:f>ROUND(INDEX(X896:AY896,1,(D896-1)*4+2)*'难度参数'!$E$28*'章节与怪物'!$E$17,0)</x:f>
        <x:v>162051</x:v>
      </x:c>
      <x:c r="K896" s="119" t="n">
        <x:f>SUM(AA896,AE896,AI896,AM896,AQ896,AU896,AY896)</x:f>
        <x:v>9538</x:v>
      </x:c>
      <x:c r="L896" s="62" t="n">
        <x:f>H896*(ROUNDUP('难度参数'!$E$24/('难度参数'!$E$26*'难度参数'!$E$27),0)*'难度参数'!$E$26)/60</x:f>
        <x:v>4.733333333333333</x:v>
      </x:c>
      <x:c r="M896" s="62" t="n">
        <x:f>L896+D896*('难度参数'!$E$49+'难度参数'!$E$50)/60</x:f>
        <x:v>5.9</x:v>
      </x:c>
      <x:c r="N896" s="119" t="n">
        <x:f>ROUNDDOWN(('经济参数'!$E$20+A896*'经济参数'!$E$21)*G896,0)</x:f>
        <x:v>17980</x:v>
      </x:c>
      <x:c r="O896" s="119" t="n">
        <x:f>ROUNDDOWN(MIN('经济参数'!$E$24,'经济参数'!$E$22+A896*'经济参数'!$E$23)*G896,0)</x:f>
        <x:v>0</x:v>
      </x:c>
      <x:c r="P896" s="119" t="n">
        <x:f>ROUNDDOWN((IF(A896&gt;='材料与任务'!$E$31,'材料与任务'!$E$32,IF(A896&gt;='材料与任务'!$E$25,'材料与任务'!$E$26,IF(A896&gt;='材料与任务'!$E$19,'材料与任务'!$E$20,IF(A896&gt;='材料与任务'!$E$13,'材料与任务'!$E$14,'材料与任务'!$E$8)))))*G896,0)</x:f>
        <x:v>6</x:v>
      </x:c>
      <x:c r="Q896" s="119" t="n">
        <x:f>ROUNDDOWN((IF(A896&gt;='材料与任务'!$E$31,'材料与任务'!$E$33,IF(A896&gt;='材料与任务'!$E$25,'材料与任务'!$E$27,IF(A896&gt;='材料与任务'!$E$19,'材料与任务'!$E$21,IF(A896&gt;='材料与任务'!$E$13,'材料与任务'!$E$15,'材料与任务'!$E$9)))))*G896,0)</x:f>
        <x:v>3</x:v>
      </x:c>
      <x:c r="R896" s="110" t="n">
        <x:f>'装备掉落'!$B$38</x:f>
        <x:v>0.6872058758851213</x:v>
      </x:c>
      <x:c r="S896" s="119" t="n">
        <x:f>MAX(IF(VLOOKUP(A896,'装备掉落'!$A$29:$H$34,2,TRUE)&gt;0,1,0),IF(VLOOKUP(A896,'装备掉落'!$A$29:$H$34,3,TRUE)&gt;0,2,0),IF(VLOOKUP(A896,'装备掉落'!$A$29:$H$34,4,TRUE)&gt;0,3,0),IF(VLOOKUP(A896,'装备掉落'!$A$29:$H$34,5,TRUE)&gt;0,4,0),IF(VLOOKUP(A896,'装备掉落'!$A$29:$H$34,6,TRUE)&gt;0,5,0),IF(VLOOKUP(A896,'装备掉落'!$A$29:$H$34,7,TRUE)&gt;0,6,0),IF(VLOOKUP(A896,'装备掉落'!$A$29:$H$34,8,TRUE)&gt;0,7,0))</x:f>
        <x:v>7</x:v>
      </x:c>
      <x:c r="T896" s="119" t="n">
        <x:f>MIN(7,S896+'经济参数'!$E$70)</x:f>
        <x:v>7</x:v>
      </x:c>
      <x:c r="U896" s="119" t="n">
        <x:f>MIN(7,S896+'经济参数'!$E$71)</x:f>
        <x:v>7</x:v>
      </x:c>
      <x:c r="V896" s="119" t="n">
        <x:f>IF(H896&gt;=('难度参数'!$E$52),1,0)+IF(H896&gt;=('难度参数'!$E$52+'难度参数'!$E$53),1,0)+IF(H896&gt;=('难度参数'!$E$52+'难度参数'!$E$53+'难度参数'!$E$54),1,0)+IF(H896&gt;=('难度参数'!$E$52+'难度参数'!$E$53+'难度参数'!$E$54+'难度参数'!$E$55),1,0)+IF(H896&gt;=('难度参数'!$E$52+'难度参数'!$E$53+'难度参数'!$E$54+'难度参数'!$E$55+'难度参数'!$E$56),1,0)+IF(H896&gt;=('难度参数'!$E$52+'难度参数'!$E$53+'难度参数'!$E$54+'难度参数'!$E$55+'难度参数'!$E$56+'难度参数'!$E$57),1,0)</x:f>
        <x:v>6</x:v>
      </x:c>
      <x:c r="W896" s="62" t="str">
        <x:f>IF(L896&gt;'难度参数'!$E$51,"仅出怪已超目标","还需实测")</x:f>
        <x:v>仅出怪已超目标</x:v>
      </x:c>
      <x:c r="X896" s="119" t="n">
        <x:f>IF(1&gt;D896,0,MAX(2,MIN('难度参数'!$E$12,ROUND(('难度参数'!$E$18*POWER(A896,'难度参数'!$E$19)/D896*(0.85+0.3*(1-1)/MAX(1,D896-1))),0)+F896)))</x:f>
        <x:v>43</x:v>
      </x:c>
      <x:c r="Y896" s="119" t="n">
        <x:f>IF(1&gt;D896,0,ROUND(('难度参数'!$E$13*POWER(A896,'难度参数'!$E$20)*MIN('难度参数'!$E$23,1+MAX(0,A896-'难度参数'!$E$21)*'难度参数'!$E$22))*(36+1*7)/(36+7*(D896+1)/2)*E896,0))</x:f>
        <x:v>12055</x:v>
      </x:c>
      <x:c r="Z896" s="119" t="n">
        <x:f>IF(X896=0,0,(X896-IF(1=D896,1,0))*ROUND(Y896*VLOOKUP(INDEX('章节与怪物'!$E$31:$K$37,B896,1),'章节与怪物'!$A$41:$F$44,2,FALSE),0)+IF(1=D896,ROUND(Y896*'难度参数'!$E$28*'章节与怪物'!$E$17,0),0))</x:f>
        <x:v>518365</x:v>
      </x:c>
      <x:c r="AA896" s="119" t="n">
        <x:f>IF(X896=0,0,(X896-IF(1=D896,1,0))*VLOOKUP(INDEX('章节与怪物'!$E$31:$K$37,B896,1),'章节与怪物'!$A$41:$F$44,4,FALSE)+IF(1=D896,'难度参数'!$E$30,0))</x:f>
        <x:v>774</x:v>
      </x:c>
      <x:c r="AB896" s="119" t="n">
        <x:f>IF(2&gt;D896,0,MAX(2,MIN('难度参数'!$E$12,ROUND(('难度参数'!$E$18*POWER(A896,'难度参数'!$E$19)/D896*(0.85+0.3*(2-1)/MAX(1,D896-1))),0)+F896)))</x:f>
        <x:v>46</x:v>
      </x:c>
      <x:c r="AC896" s="119" t="n">
        <x:f>IF(2&gt;D896,0,ROUND(('难度参数'!$E$13*POWER(A896,'难度参数'!$E$20)*MIN('难度参数'!$E$23,1+MAX(0,A896-'难度参数'!$E$21)*'难度参数'!$E$22))*(36+2*7)/(36+7*(D896+1)/2)*E896,0))</x:f>
        <x:v>14018</x:v>
      </x:c>
      <x:c r="AD896" s="119" t="n">
        <x:f>IF(AB896=0,0,(AB896-IF(2=D896,1,0))*ROUND(AC896*VLOOKUP(INDEX('章节与怪物'!$E$31:$K$37,B896,2),'章节与怪物'!$A$41:$F$44,2,FALSE),0)+IF(2=D896,ROUND(AC896*'难度参数'!$E$28*'章节与怪物'!$E$17,0),0))</x:f>
        <x:v>464278</x:v>
      </x:c>
      <x:c r="AE896" s="119" t="n">
        <x:f>IF(AB896=0,0,(AB896-IF(2=D896,1,0))*VLOOKUP(INDEX('章节与怪物'!$E$31:$K$37,B896,2),'章节与怪物'!$A$41:$F$44,4,FALSE)+IF(2=D896,'难度参数'!$E$30,0))</x:f>
        <x:v>920</x:v>
      </x:c>
      <x:c r="AF896" s="119" t="n">
        <x:f>IF(3&gt;D896,0,MAX(2,MIN('难度参数'!$E$12,ROUND(('难度参数'!$E$18*POWER(A896,'难度参数'!$E$19)/D896*(0.85+0.3*(3-1)/MAX(1,D896-1))),0)+F896)))</x:f>
        <x:v>48</x:v>
      </x:c>
      <x:c r="AG896" s="119" t="n">
        <x:f>IF(3&gt;D896,0,ROUND(('难度参数'!$E$13*POWER(A896,'难度参数'!$E$20)*MIN('难度参数'!$E$23,1+MAX(0,A896-'难度参数'!$E$21)*'难度参数'!$E$22))*(36+3*7)/(36+7*(D896+1)/2)*E896,0))</x:f>
        <x:v>15980</x:v>
      </x:c>
      <x:c r="AH896" s="119" t="n">
        <x:f>IF(AF896=0,0,(AF896-IF(3=D896,1,0))*ROUND(AG896*VLOOKUP(INDEX('章节与怪物'!$E$31:$K$37,B896,3),'章节与怪物'!$A$41:$F$44,2,FALSE),0)+IF(3=D896,ROUND(AG896*'难度参数'!$E$28*'章节与怪物'!$E$17,0),0))</x:f>
        <x:v>1303968</x:v>
      </x:c>
      <x:c r="AI896" s="119" t="n">
        <x:f>IF(AF896=0,0,(AF896-IF(3=D896,1,0))*VLOOKUP(INDEX('章节与怪物'!$E$31:$K$37,B896,3),'章节与怪物'!$A$41:$F$44,4,FALSE)+IF(3=D896,'难度参数'!$E$30,0))</x:f>
        <x:v>1344</x:v>
      </x:c>
      <x:c r="AJ896" s="119" t="n">
        <x:f>IF(4&gt;D896,0,MAX(2,MIN('难度参数'!$E$12,ROUND(('难度参数'!$E$18*POWER(A896,'难度参数'!$E$19)/D896*(0.85+0.3*(4-1)/MAX(1,D896-1))),0)+F896)))</x:f>
        <x:v>51</x:v>
      </x:c>
      <x:c r="AK896" s="119" t="n">
        <x:f>IF(4&gt;D896,0,ROUND(('难度参数'!$E$13*POWER(A896,'难度参数'!$E$20)*MIN('难度参数'!$E$23,1+MAX(0,A896-'难度参数'!$E$21)*'难度参数'!$E$22))*(36+4*7)/(36+7*(D896+1)/2)*E896,0))</x:f>
        <x:v>17943</x:v>
      </x:c>
      <x:c r="AL896" s="119" t="n">
        <x:f>IF(AJ896=0,0,(AJ896-IF(4=D896,1,0))*ROUND(AK896*VLOOKUP(INDEX('章节与怪物'!$E$31:$K$37,B896,4),'章节与怪物'!$A$41:$F$44,2,FALSE),0)+IF(4=D896,ROUND(AK896*'难度参数'!$E$28*'章节与怪物'!$E$17,0),0))</x:f>
        <x:v>1235373</x:v>
      </x:c>
      <x:c r="AM896" s="119" t="n">
        <x:f>IF(AJ896=0,0,(AJ896-IF(4=D896,1,0))*VLOOKUP(INDEX('章节与怪物'!$E$31:$K$37,B896,4),'章节与怪物'!$A$41:$F$44,4,FALSE)+IF(4=D896,'难度参数'!$E$30,0))</x:f>
        <x:v>1734</x:v>
      </x:c>
      <x:c r="AN896" s="119" t="n">
        <x:f>IF(5&gt;D896,0,MAX(2,MIN('难度参数'!$E$12,ROUND(('难度参数'!$E$18*POWER(A896,'难度参数'!$E$19)/D896*(0.85+0.3*(5-1)/MAX(1,D896-1))),0)+F896)))</x:f>
        <x:v>53</x:v>
      </x:c>
      <x:c r="AO896" s="119" t="n">
        <x:f>IF(5&gt;D896,0,ROUND(('难度参数'!$E$13*POWER(A896,'难度参数'!$E$20)*MIN('难度参数'!$E$23,1+MAX(0,A896-'难度参数'!$E$21)*'难度参数'!$E$22))*(36+5*7)/(36+7*(D896+1)/2)*E896,0))</x:f>
        <x:v>19905</x:v>
      </x:c>
      <x:c r="AP896" s="119" t="n">
        <x:f>IF(AN896=0,0,(AN896-IF(5=D896,1,0))*ROUND(AO896*VLOOKUP(INDEX('章节与怪物'!$E$31:$K$37,B896,5),'章节与怪物'!$A$41:$F$44,2,FALSE),0)+IF(5=D896,ROUND(AO896*'难度参数'!$E$28*'章节与怪物'!$E$17,0),0))</x:f>
        <x:v>759596</x:v>
      </x:c>
      <x:c r="AQ896" s="119" t="n">
        <x:f>IF(AN896=0,0,(AN896-IF(5=D896,1,0))*VLOOKUP(INDEX('章节与怪物'!$E$31:$K$37,B896,5),'章节与怪物'!$A$41:$F$44,4,FALSE)+IF(5=D896,'难度参数'!$E$30,0))</x:f>
        <x:v>1060</x:v>
      </x:c>
      <x:c r="AR896" s="119" t="n">
        <x:f>IF(6&gt;D896,0,MAX(2,MIN('难度参数'!$E$12,ROUND(('难度参数'!$E$18*POWER(A896,'难度参数'!$E$19)/D896*(0.85+0.3*(6-1)/MAX(1,D896-1))),0)+F896)))</x:f>
        <x:v>56</x:v>
      </x:c>
      <x:c r="AS896" s="119" t="n">
        <x:f>IF(6&gt;D896,0,ROUND(('难度参数'!$E$13*POWER(A896,'难度参数'!$E$20)*MIN('难度参数'!$E$23,1+MAX(0,A896-'难度参数'!$E$21)*'难度参数'!$E$22))*(36+6*7)/(36+7*(D896+1)/2)*E896,0))</x:f>
        <x:v>21868</x:v>
      </x:c>
      <x:c r="AT896" s="119" t="n">
        <x:f>IF(AR896=0,0,(AR896-IF(6=D896,1,0))*ROUND(AS896*VLOOKUP(INDEX('章节与怪物'!$E$31:$K$37,B896,6),'章节与怪物'!$A$41:$F$44,2,FALSE),0)+IF(6=D896,ROUND(AS896*'难度参数'!$E$28*'章节与怪物'!$E$17,0),0))</x:f>
        <x:v>2081856</x:v>
      </x:c>
      <x:c r="AU896" s="119" t="n">
        <x:f>IF(AR896=0,0,(AR896-IF(6=D896,1,0))*VLOOKUP(INDEX('章节与怪物'!$E$31:$K$37,B896,6),'章节与怪物'!$A$41:$F$44,4,FALSE)+IF(6=D896,'难度参数'!$E$30,0))</x:f>
        <x:v>1568</x:v>
      </x:c>
      <x:c r="AV896" s="119" t="n">
        <x:f>IF(7&gt;D896,0,MAX(2,MIN('难度参数'!$E$12,ROUND(('难度参数'!$E$18*POWER(A896,'难度参数'!$E$19)/D896*(0.85+0.3*(7-1)/MAX(1,D896-1))),0)+F896)))</x:f>
        <x:v>58</x:v>
      </x:c>
      <x:c r="AW896" s="119" t="n">
        <x:f>IF(7&gt;D896,0,ROUND(('难度参数'!$E$13*POWER(A896,'难度参数'!$E$20)*MIN('难度参数'!$E$23,1+MAX(0,A896-'难度参数'!$E$21)*'难度参数'!$E$22))*(36+7*7)/(36+7*(D896+1)/2)*E896,0))</x:f>
        <x:v>23831</x:v>
      </x:c>
      <x:c r="AX896" s="119" t="n">
        <x:f>IF(AV896=0,0,(AV896-IF(7=D896,1,0))*ROUND(AW896*VLOOKUP(INDEX('章节与怪物'!$E$31:$K$37,B896,7),'章节与怪物'!$A$41:$F$44,2,FALSE),0)+IF(7=D896,ROUND(AW896*'难度参数'!$E$28*'章节与怪物'!$E$17,0),0))</x:f>
        <x:v>1995855</x:v>
      </x:c>
      <x:c r="AY896" s="119" t="n">
        <x:f>IF(AV896=0,0,(AV896-IF(7=D896,1,0))*VLOOKUP(INDEX('章节与怪物'!$E$31:$K$37,B896,7),'章节与怪物'!$A$41:$F$44,4,FALSE)+IF(7=D896,'难度参数'!$E$30,0))</x:f>
        <x:v>2138</x:v>
      </x:c>
    </x:row>
    <x:row r="897" ht="23" customHeight="1">
      <x:c r="A897" s="119" t="n">
        <x:v>891</x:v>
      </x:c>
      <x:c r="B897" s="119" t="n">
        <x:f>MOD(INT((A897-1)/5),7)+1</x:f>
        <x:v>4</x:v>
      </x:c>
      <x:c r="C897" s="62" t="str">
        <x:f>INDEX('章节与怪物'!$B$31:$B$37,B897)</x:f>
        <x:v>翠野边城</x:v>
      </x:c>
      <x:c r="D897" s="119" t="n">
        <x:f>MIN('难度参数'!$E$8,MAX('难度参数'!$E$7,A897))</x:f>
        <x:v>7</x:v>
      </x:c>
      <x:c r="E897" s="106" t="n">
        <x:v>1</x:v>
      </x:c>
      <x:c r="F897" s="106" t="n">
        <x:v>0</x:v>
      </x:c>
      <x:c r="G897" s="106" t="n">
        <x:v>1</x:v>
      </x:c>
      <x:c r="H897" s="119" t="n">
        <x:f>SUM(X897,AB897,AF897,AJ897,AN897,AR897,AV897)</x:f>
        <x:v>355</x:v>
      </x:c>
      <x:c r="I897" s="119" t="n">
        <x:f>SUM(Z897,AD897,AH897,AL897,AP897,AT897,AX897)</x:f>
        <x:v>7496021</x:v>
      </x:c>
      <x:c r="J897" s="119" t="n">
        <x:f>ROUND(INDEX(X897:AY897,1,(D897-1)*4+2)*'难度参数'!$E$28*'章节与怪物'!$E$17,0)</x:f>
        <x:v>162180</x:v>
      </x:c>
      <x:c r="K897" s="119" t="n">
        <x:f>SUM(AA897,AE897,AI897,AM897,AQ897,AU897,AY897)</x:f>
        <x:v>8978</x:v>
      </x:c>
      <x:c r="L897" s="62" t="n">
        <x:f>H897*(ROUNDUP('难度参数'!$E$24/('难度参数'!$E$26*'难度参数'!$E$27),0)*'难度参数'!$E$26)/60</x:f>
        <x:v>4.733333333333333</x:v>
      </x:c>
      <x:c r="M897" s="62" t="n">
        <x:f>L897+D897*('难度参数'!$E$49+'难度参数'!$E$50)/60</x:f>
        <x:v>5.9</x:v>
      </x:c>
      <x:c r="N897" s="119" t="n">
        <x:f>ROUNDDOWN(('经济参数'!$E$20+A897*'经济参数'!$E$21)*G897,0)</x:f>
        <x:v>18000</x:v>
      </x:c>
      <x:c r="O897" s="119" t="n">
        <x:f>ROUNDDOWN(MIN('经济参数'!$E$24,'经济参数'!$E$22+A897*'经济参数'!$E$23)*G897,0)</x:f>
        <x:v>0</x:v>
      </x:c>
      <x:c r="P897" s="119" t="n">
        <x:f>ROUNDDOWN((IF(A897&gt;='材料与任务'!$E$31,'材料与任务'!$E$32,IF(A897&gt;='材料与任务'!$E$25,'材料与任务'!$E$26,IF(A897&gt;='材料与任务'!$E$19,'材料与任务'!$E$20,IF(A897&gt;='材料与任务'!$E$13,'材料与任务'!$E$14,'材料与任务'!$E$8)))))*G897,0)</x:f>
        <x:v>6</x:v>
      </x:c>
      <x:c r="Q897" s="119" t="n">
        <x:f>ROUNDDOWN((IF(A897&gt;='材料与任务'!$E$31,'材料与任务'!$E$33,IF(A897&gt;='材料与任务'!$E$25,'材料与任务'!$E$27,IF(A897&gt;='材料与任务'!$E$19,'材料与任务'!$E$21,IF(A897&gt;='材料与任务'!$E$13,'材料与任务'!$E$15,'材料与任务'!$E$9)))))*G897,0)</x:f>
        <x:v>3</x:v>
      </x:c>
      <x:c r="R897" s="110" t="n">
        <x:f>'装备掉落'!$B$38</x:f>
        <x:v>0.6872058758851213</x:v>
      </x:c>
      <x:c r="S897" s="119" t="n">
        <x:f>MAX(IF(VLOOKUP(A897,'装备掉落'!$A$29:$H$34,2,TRUE)&gt;0,1,0),IF(VLOOKUP(A897,'装备掉落'!$A$29:$H$34,3,TRUE)&gt;0,2,0),IF(VLOOKUP(A897,'装备掉落'!$A$29:$H$34,4,TRUE)&gt;0,3,0),IF(VLOOKUP(A897,'装备掉落'!$A$29:$H$34,5,TRUE)&gt;0,4,0),IF(VLOOKUP(A897,'装备掉落'!$A$29:$H$34,6,TRUE)&gt;0,5,0),IF(VLOOKUP(A897,'装备掉落'!$A$29:$H$34,7,TRUE)&gt;0,6,0),IF(VLOOKUP(A897,'装备掉落'!$A$29:$H$34,8,TRUE)&gt;0,7,0))</x:f>
        <x:v>7</x:v>
      </x:c>
      <x:c r="T897" s="119" t="n">
        <x:f>MIN(7,S897+'经济参数'!$E$70)</x:f>
        <x:v>7</x:v>
      </x:c>
      <x:c r="U897" s="119" t="n">
        <x:f>MIN(7,S897+'经济参数'!$E$71)</x:f>
        <x:v>7</x:v>
      </x:c>
      <x:c r="V897" s="119" t="n">
        <x:f>IF(H897&gt;=('难度参数'!$E$52),1,0)+IF(H897&gt;=('难度参数'!$E$52+'难度参数'!$E$53),1,0)+IF(H897&gt;=('难度参数'!$E$52+'难度参数'!$E$53+'难度参数'!$E$54),1,0)+IF(H897&gt;=('难度参数'!$E$52+'难度参数'!$E$53+'难度参数'!$E$54+'难度参数'!$E$55),1,0)+IF(H897&gt;=('难度参数'!$E$52+'难度参数'!$E$53+'难度参数'!$E$54+'难度参数'!$E$55+'难度参数'!$E$56),1,0)+IF(H897&gt;=('难度参数'!$E$52+'难度参数'!$E$53+'难度参数'!$E$54+'难度参数'!$E$55+'难度参数'!$E$56+'难度参数'!$E$57),1,0)</x:f>
        <x:v>6</x:v>
      </x:c>
      <x:c r="W897" s="62" t="str">
        <x:f>IF(L897&gt;'难度参数'!$E$51,"仅出怪已超目标","还需实测")</x:f>
        <x:v>仅出怪已超目标</x:v>
      </x:c>
      <x:c r="X897" s="119" t="n">
        <x:f>IF(1&gt;D897,0,MAX(2,MIN('难度参数'!$E$12,ROUND(('难度参数'!$E$18*POWER(A897,'难度参数'!$E$19)/D897*(0.85+0.3*(1-1)/MAX(1,D897-1))),0)+F897)))</x:f>
        <x:v>43</x:v>
      </x:c>
      <x:c r="Y897" s="119" t="n">
        <x:f>IF(1&gt;D897,0,ROUND(('难度参数'!$E$13*POWER(A897,'难度参数'!$E$20)*MIN('难度参数'!$E$23,1+MAX(0,A897-'难度参数'!$E$21)*'难度参数'!$E$22))*(36+1*7)/(36+7*(D897+1)/2)*E897,0))</x:f>
        <x:v>12065</x:v>
      </x:c>
      <x:c r="Z897" s="119" t="n">
        <x:f>IF(X897=0,0,(X897-IF(1=D897,1,0))*ROUND(Y897*VLOOKUP(INDEX('章节与怪物'!$E$31:$K$37,B897,1),'章节与怪物'!$A$41:$F$44,2,FALSE),0)+IF(1=D897,ROUND(Y897*'难度参数'!$E$28*'章节与怪物'!$E$17,0),0))</x:f>
        <x:v>373541</x:v>
      </x:c>
      <x:c r="AA897" s="119" t="n">
        <x:f>IF(X897=0,0,(X897-IF(1=D897,1,0))*VLOOKUP(INDEX('章节与怪物'!$E$31:$K$37,B897,1),'章节与怪物'!$A$41:$F$44,4,FALSE)+IF(1=D897,'难度参数'!$E$30,0))</x:f>
        <x:v>860</x:v>
      </x:c>
      <x:c r="AB897" s="119" t="n">
        <x:f>IF(2&gt;D897,0,MAX(2,MIN('难度参数'!$E$12,ROUND(('难度参数'!$E$18*POWER(A897,'难度参数'!$E$19)/D897*(0.85+0.3*(2-1)/MAX(1,D897-1))),0)+F897)))</x:f>
        <x:v>46</x:v>
      </x:c>
      <x:c r="AC897" s="119" t="n">
        <x:f>IF(2&gt;D897,0,ROUND(('难度参数'!$E$13*POWER(A897,'难度参数'!$E$20)*MIN('难度参数'!$E$23,1+MAX(0,A897-'难度参数'!$E$21)*'难度参数'!$E$22))*(36+2*7)/(36+7*(D897+1)/2)*E897,0))</x:f>
        <x:v>14029</x:v>
      </x:c>
      <x:c r="AD897" s="119" t="n">
        <x:f>IF(AB897=0,0,(AB897-IF(2=D897,1,0))*ROUND(AC897*VLOOKUP(INDEX('章节与怪物'!$E$31:$K$37,B897,2),'章节与怪物'!$A$41:$F$44,2,FALSE),0)+IF(2=D897,ROUND(AC897*'难度参数'!$E$28*'章节与怪物'!$E$17,0),0))</x:f>
        <x:v>645334</x:v>
      </x:c>
      <x:c r="AE897" s="119" t="n">
        <x:f>IF(AB897=0,0,(AB897-IF(2=D897,1,0))*VLOOKUP(INDEX('章节与怪物'!$E$31:$K$37,B897,2),'章节与怪物'!$A$41:$F$44,4,FALSE)+IF(2=D897,'难度参数'!$E$30,0))</x:f>
        <x:v>828</x:v>
      </x:c>
      <x:c r="AF897" s="119" t="n">
        <x:f>IF(3&gt;D897,0,MAX(2,MIN('难度参数'!$E$12,ROUND(('难度参数'!$E$18*POWER(A897,'难度参数'!$E$19)/D897*(0.85+0.3*(3-1)/MAX(1,D897-1))),0)+F897)))</x:f>
        <x:v>48</x:v>
      </x:c>
      <x:c r="AG897" s="119" t="n">
        <x:f>IF(3&gt;D897,0,ROUND(('难度参数'!$E$13*POWER(A897,'难度参数'!$E$20)*MIN('难度参数'!$E$23,1+MAX(0,A897-'难度参数'!$E$21)*'难度参数'!$E$22))*(36+3*7)/(36+7*(D897+1)/2)*E897,0))</x:f>
        <x:v>15993</x:v>
      </x:c>
      <x:c r="AH897" s="119" t="n">
        <x:f>IF(AF897=0,0,(AF897-IF(3=D897,1,0))*ROUND(AG897*VLOOKUP(INDEX('章节与怪物'!$E$31:$K$37,B897,3),'章节与怪物'!$A$41:$F$44,2,FALSE),0)+IF(3=D897,ROUND(AG897*'难度参数'!$E$28*'章节与怪物'!$E$17,0),0))</x:f>
        <x:v>1305024</x:v>
      </x:c>
      <x:c r="AI897" s="119" t="n">
        <x:f>IF(AF897=0,0,(AF897-IF(3=D897,1,0))*VLOOKUP(INDEX('章节与怪物'!$E$31:$K$37,B897,3),'章节与怪物'!$A$41:$F$44,4,FALSE)+IF(3=D897,'难度参数'!$E$30,0))</x:f>
        <x:v>1344</x:v>
      </x:c>
      <x:c r="AJ897" s="119" t="n">
        <x:f>IF(4&gt;D897,0,MAX(2,MIN('难度参数'!$E$12,ROUND(('难度参数'!$E$18*POWER(A897,'难度参数'!$E$19)/D897*(0.85+0.3*(4-1)/MAX(1,D897-1))),0)+F897)))</x:f>
        <x:v>51</x:v>
      </x:c>
      <x:c r="AK897" s="119" t="n">
        <x:f>IF(4&gt;D897,0,ROUND(('难度参数'!$E$13*POWER(A897,'难度参数'!$E$20)*MIN('难度参数'!$E$23,1+MAX(0,A897-'难度参数'!$E$21)*'难度参数'!$E$22))*(36+4*7)/(36+7*(D897+1)/2)*E897,0))</x:f>
        <x:v>17957</x:v>
      </x:c>
      <x:c r="AL897" s="119" t="n">
        <x:f>IF(AJ897=0,0,(AJ897-IF(4=D897,1,0))*ROUND(AK897*VLOOKUP(INDEX('章节与怪物'!$E$31:$K$37,B897,4),'章节与怪物'!$A$41:$F$44,2,FALSE),0)+IF(4=D897,ROUND(AK897*'难度参数'!$E$28*'章节与怪物'!$E$17,0),0))</x:f>
        <x:v>1236342</x:v>
      </x:c>
      <x:c r="AM897" s="119" t="n">
        <x:f>IF(AJ897=0,0,(AJ897-IF(4=D897,1,0))*VLOOKUP(INDEX('章节与怪物'!$E$31:$K$37,B897,4),'章节与怪物'!$A$41:$F$44,4,FALSE)+IF(4=D897,'难度参数'!$E$30,0))</x:f>
        <x:v>1734</x:v>
      </x:c>
      <x:c r="AN897" s="119" t="n">
        <x:f>IF(5&gt;D897,0,MAX(2,MIN('难度参数'!$E$12,ROUND(('难度参数'!$E$18*POWER(A897,'难度参数'!$E$19)/D897*(0.85+0.3*(5-1)/MAX(1,D897-1))),0)+F897)))</x:f>
        <x:v>53</x:v>
      </x:c>
      <x:c r="AO897" s="119" t="n">
        <x:f>IF(5&gt;D897,0,ROUND(('难度参数'!$E$13*POWER(A897,'难度参数'!$E$20)*MIN('难度参数'!$E$23,1+MAX(0,A897-'难度参数'!$E$21)*'难度参数'!$E$22))*(36+5*7)/(36+7*(D897+1)/2)*E897,0))</x:f>
        <x:v>19922</x:v>
      </x:c>
      <x:c r="AP897" s="119" t="n">
        <x:f>IF(AN897=0,0,(AN897-IF(5=D897,1,0))*ROUND(AO897*VLOOKUP(INDEX('章节与怪物'!$E$31:$K$37,B897,5),'章节与怪物'!$A$41:$F$44,2,FALSE),0)+IF(5=D897,ROUND(AO897*'难度参数'!$E$28*'章节与怪物'!$E$17,0),0))</x:f>
        <x:v>1055866</x:v>
      </x:c>
      <x:c r="AQ897" s="119" t="n">
        <x:f>IF(AN897=0,0,(AN897-IF(5=D897,1,0))*VLOOKUP(INDEX('章节与怪物'!$E$31:$K$37,B897,5),'章节与怪物'!$A$41:$F$44,4,FALSE)+IF(5=D897,'难度参数'!$E$30,0))</x:f>
        <x:v>954</x:v>
      </x:c>
      <x:c r="AR897" s="119" t="n">
        <x:f>IF(6&gt;D897,0,MAX(2,MIN('难度参数'!$E$12,ROUND(('难度参数'!$E$18*POWER(A897,'难度参数'!$E$19)/D897*(0.85+0.3*(6-1)/MAX(1,D897-1))),0)+F897)))</x:f>
        <x:v>56</x:v>
      </x:c>
      <x:c r="AS897" s="119" t="n">
        <x:f>IF(6&gt;D897,0,ROUND(('难度参数'!$E$13*POWER(A897,'难度参数'!$E$20)*MIN('难度参数'!$E$23,1+MAX(0,A897-'难度参数'!$E$21)*'难度参数'!$E$22))*(36+6*7)/(36+7*(D897+1)/2)*E897,0))</x:f>
        <x:v>21886</x:v>
      </x:c>
      <x:c r="AT897" s="119" t="n">
        <x:f>IF(AR897=0,0,(AR897-IF(6=D897,1,0))*ROUND(AS897*VLOOKUP(INDEX('章节与怪物'!$E$31:$K$37,B897,6),'章节与怪物'!$A$41:$F$44,2,FALSE),0)+IF(6=D897,ROUND(AS897*'难度参数'!$E$28*'章节与怪物'!$E$17,0),0))</x:f>
        <x:v>882448</x:v>
      </x:c>
      <x:c r="AU897" s="119" t="n">
        <x:f>IF(AR897=0,0,(AR897-IF(6=D897,1,0))*VLOOKUP(INDEX('章节与怪物'!$E$31:$K$37,B897,6),'章节与怪物'!$A$41:$F$44,4,FALSE)+IF(6=D897,'难度参数'!$E$30,0))</x:f>
        <x:v>1120</x:v>
      </x:c>
      <x:c r="AV897" s="119" t="n">
        <x:f>IF(7&gt;D897,0,MAX(2,MIN('难度参数'!$E$12,ROUND(('难度参数'!$E$18*POWER(A897,'难度参数'!$E$19)/D897*(0.85+0.3*(7-1)/MAX(1,D897-1))),0)+F897)))</x:f>
        <x:v>58</x:v>
      </x:c>
      <x:c r="AW897" s="119" t="n">
        <x:f>IF(7&gt;D897,0,ROUND(('难度参数'!$E$13*POWER(A897,'难度参数'!$E$20)*MIN('难度参数'!$E$23,1+MAX(0,A897-'难度参数'!$E$21)*'难度参数'!$E$22))*(36+7*7)/(36+7*(D897+1)/2)*E897,0))</x:f>
        <x:v>23850</x:v>
      </x:c>
      <x:c r="AX897" s="119" t="n">
        <x:f>IF(AV897=0,0,(AV897-IF(7=D897,1,0))*ROUND(AW897*VLOOKUP(INDEX('章节与怪物'!$E$31:$K$37,B897,7),'章节与怪物'!$A$41:$F$44,2,FALSE),0)+IF(7=D897,ROUND(AW897*'难度参数'!$E$28*'章节与怪物'!$E$17,0),0))</x:f>
        <x:v>1997466</x:v>
      </x:c>
      <x:c r="AY897" s="119" t="n">
        <x:f>IF(AV897=0,0,(AV897-IF(7=D897,1,0))*VLOOKUP(INDEX('章节与怪物'!$E$31:$K$37,B897,7),'章节与怪物'!$A$41:$F$44,4,FALSE)+IF(7=D897,'难度参数'!$E$30,0))</x:f>
        <x:v>2138</x:v>
      </x:c>
    </x:row>
    <x:row r="898" ht="23" customHeight="1">
      <x:c r="A898" s="119" t="n">
        <x:v>892</x:v>
      </x:c>
      <x:c r="B898" s="119" t="n">
        <x:f>MOD(INT((A898-1)/5),7)+1</x:f>
        <x:v>4</x:v>
      </x:c>
      <x:c r="C898" s="62" t="str">
        <x:f>INDEX('章节与怪物'!$B$31:$B$37,B898)</x:f>
        <x:v>翠野边城</x:v>
      </x:c>
      <x:c r="D898" s="119" t="n">
        <x:f>MIN('难度参数'!$E$8,MAX('难度参数'!$E$7,A898))</x:f>
        <x:v>7</x:v>
      </x:c>
      <x:c r="E898" s="106" t="n">
        <x:v>1</x:v>
      </x:c>
      <x:c r="F898" s="106" t="n">
        <x:v>0</x:v>
      </x:c>
      <x:c r="G898" s="106" t="n">
        <x:v>1</x:v>
      </x:c>
      <x:c r="H898" s="119" t="n">
        <x:f>SUM(X898,AB898,AF898,AJ898,AN898,AR898,AV898)</x:f>
        <x:v>355</x:v>
      </x:c>
      <x:c r="I898" s="119" t="n">
        <x:f>SUM(Z898,AD898,AH898,AL898,AP898,AT898,AX898)</x:f>
        <x:v>7502024</x:v>
      </x:c>
      <x:c r="J898" s="119" t="n">
        <x:f>ROUND(INDEX(X898:AY898,1,(D898-1)*4+2)*'难度参数'!$E$28*'章节与怪物'!$E$17,0)</x:f>
        <x:v>162309</x:v>
      </x:c>
      <x:c r="K898" s="119" t="n">
        <x:f>SUM(AA898,AE898,AI898,AM898,AQ898,AU898,AY898)</x:f>
        <x:v>8978</x:v>
      </x:c>
      <x:c r="L898" s="62" t="n">
        <x:f>H898*(ROUNDUP('难度参数'!$E$24/('难度参数'!$E$26*'难度参数'!$E$27),0)*'难度参数'!$E$26)/60</x:f>
        <x:v>4.733333333333333</x:v>
      </x:c>
      <x:c r="M898" s="62" t="n">
        <x:f>L898+D898*('难度参数'!$E$49+'难度参数'!$E$50)/60</x:f>
        <x:v>5.9</x:v>
      </x:c>
      <x:c r="N898" s="119" t="n">
        <x:f>ROUNDDOWN(('经济参数'!$E$20+A898*'经济参数'!$E$21)*G898,0)</x:f>
        <x:v>18020</x:v>
      </x:c>
      <x:c r="O898" s="119" t="n">
        <x:f>ROUNDDOWN(MIN('经济参数'!$E$24,'经济参数'!$E$22+A898*'经济参数'!$E$23)*G898,0)</x:f>
        <x:v>0</x:v>
      </x:c>
      <x:c r="P898" s="119" t="n">
        <x:f>ROUNDDOWN((IF(A898&gt;='材料与任务'!$E$31,'材料与任务'!$E$32,IF(A898&gt;='材料与任务'!$E$25,'材料与任务'!$E$26,IF(A898&gt;='材料与任务'!$E$19,'材料与任务'!$E$20,IF(A898&gt;='材料与任务'!$E$13,'材料与任务'!$E$14,'材料与任务'!$E$8)))))*G898,0)</x:f>
        <x:v>6</x:v>
      </x:c>
      <x:c r="Q898" s="119" t="n">
        <x:f>ROUNDDOWN((IF(A898&gt;='材料与任务'!$E$31,'材料与任务'!$E$33,IF(A898&gt;='材料与任务'!$E$25,'材料与任务'!$E$27,IF(A898&gt;='材料与任务'!$E$19,'材料与任务'!$E$21,IF(A898&gt;='材料与任务'!$E$13,'材料与任务'!$E$15,'材料与任务'!$E$9)))))*G898,0)</x:f>
        <x:v>3</x:v>
      </x:c>
      <x:c r="R898" s="110" t="n">
        <x:f>'装备掉落'!$B$38</x:f>
        <x:v>0.6872058758851213</x:v>
      </x:c>
      <x:c r="S898" s="119" t="n">
        <x:f>MAX(IF(VLOOKUP(A898,'装备掉落'!$A$29:$H$34,2,TRUE)&gt;0,1,0),IF(VLOOKUP(A898,'装备掉落'!$A$29:$H$34,3,TRUE)&gt;0,2,0),IF(VLOOKUP(A898,'装备掉落'!$A$29:$H$34,4,TRUE)&gt;0,3,0),IF(VLOOKUP(A898,'装备掉落'!$A$29:$H$34,5,TRUE)&gt;0,4,0),IF(VLOOKUP(A898,'装备掉落'!$A$29:$H$34,6,TRUE)&gt;0,5,0),IF(VLOOKUP(A898,'装备掉落'!$A$29:$H$34,7,TRUE)&gt;0,6,0),IF(VLOOKUP(A898,'装备掉落'!$A$29:$H$34,8,TRUE)&gt;0,7,0))</x:f>
        <x:v>7</x:v>
      </x:c>
      <x:c r="T898" s="119" t="n">
        <x:f>MIN(7,S898+'经济参数'!$E$70)</x:f>
        <x:v>7</x:v>
      </x:c>
      <x:c r="U898" s="119" t="n">
        <x:f>MIN(7,S898+'经济参数'!$E$71)</x:f>
        <x:v>7</x:v>
      </x:c>
      <x:c r="V898" s="119" t="n">
        <x:f>IF(H898&gt;=('难度参数'!$E$52),1,0)+IF(H898&gt;=('难度参数'!$E$52+'难度参数'!$E$53),1,0)+IF(H898&gt;=('难度参数'!$E$52+'难度参数'!$E$53+'难度参数'!$E$54),1,0)+IF(H898&gt;=('难度参数'!$E$52+'难度参数'!$E$53+'难度参数'!$E$54+'难度参数'!$E$55),1,0)+IF(H898&gt;=('难度参数'!$E$52+'难度参数'!$E$53+'难度参数'!$E$54+'难度参数'!$E$55+'难度参数'!$E$56),1,0)+IF(H898&gt;=('难度参数'!$E$52+'难度参数'!$E$53+'难度参数'!$E$54+'难度参数'!$E$55+'难度参数'!$E$56+'难度参数'!$E$57),1,0)</x:f>
        <x:v>6</x:v>
      </x:c>
      <x:c r="W898" s="62" t="str">
        <x:f>IF(L898&gt;'难度参数'!$E$51,"仅出怪已超目标","还需实测")</x:f>
        <x:v>仅出怪已超目标</x:v>
      </x:c>
      <x:c r="X898" s="119" t="n">
        <x:f>IF(1&gt;D898,0,MAX(2,MIN('难度参数'!$E$12,ROUND(('难度参数'!$E$18*POWER(A898,'难度参数'!$E$19)/D898*(0.85+0.3*(1-1)/MAX(1,D898-1))),0)+F898)))</x:f>
        <x:v>43</x:v>
      </x:c>
      <x:c r="Y898" s="119" t="n">
        <x:f>IF(1&gt;D898,0,ROUND(('难度参数'!$E$13*POWER(A898,'难度参数'!$E$20)*MIN('难度参数'!$E$23,1+MAX(0,A898-'难度参数'!$E$21)*'难度参数'!$E$22))*(36+1*7)/(36+7*(D898+1)/2)*E898,0))</x:f>
        <x:v>12075</x:v>
      </x:c>
      <x:c r="Z898" s="119" t="n">
        <x:f>IF(X898=0,0,(X898-IF(1=D898,1,0))*ROUND(Y898*VLOOKUP(INDEX('章节与怪物'!$E$31:$K$37,B898,1),'章节与怪物'!$A$41:$F$44,2,FALSE),0)+IF(1=D898,ROUND(Y898*'难度参数'!$E$28*'章节与怪物'!$E$17,0),0))</x:f>
        <x:v>373842</x:v>
      </x:c>
      <x:c r="AA898" s="119" t="n">
        <x:f>IF(X898=0,0,(X898-IF(1=D898,1,0))*VLOOKUP(INDEX('章节与怪物'!$E$31:$K$37,B898,1),'章节与怪物'!$A$41:$F$44,4,FALSE)+IF(1=D898,'难度参数'!$E$30,0))</x:f>
        <x:v>860</x:v>
      </x:c>
      <x:c r="AB898" s="119" t="n">
        <x:f>IF(2&gt;D898,0,MAX(2,MIN('难度参数'!$E$12,ROUND(('难度参数'!$E$18*POWER(A898,'难度参数'!$E$19)/D898*(0.85+0.3*(2-1)/MAX(1,D898-1))),0)+F898)))</x:f>
        <x:v>46</x:v>
      </x:c>
      <x:c r="AC898" s="119" t="n">
        <x:f>IF(2&gt;D898,0,ROUND(('难度参数'!$E$13*POWER(A898,'难度参数'!$E$20)*MIN('难度参数'!$E$23,1+MAX(0,A898-'难度参数'!$E$21)*'难度参数'!$E$22))*(36+2*7)/(36+7*(D898+1)/2)*E898,0))</x:f>
        <x:v>14041</x:v>
      </x:c>
      <x:c r="AD898" s="119" t="n">
        <x:f>IF(AB898=0,0,(AB898-IF(2=D898,1,0))*ROUND(AC898*VLOOKUP(INDEX('章节与怪物'!$E$31:$K$37,B898,2),'章节与怪物'!$A$41:$F$44,2,FALSE),0)+IF(2=D898,ROUND(AC898*'难度参数'!$E$28*'章节与怪物'!$E$17,0),0))</x:f>
        <x:v>645886</x:v>
      </x:c>
      <x:c r="AE898" s="119" t="n">
        <x:f>IF(AB898=0,0,(AB898-IF(2=D898,1,0))*VLOOKUP(INDEX('章节与怪物'!$E$31:$K$37,B898,2),'章节与怪物'!$A$41:$F$44,4,FALSE)+IF(2=D898,'难度参数'!$E$30,0))</x:f>
        <x:v>828</x:v>
      </x:c>
      <x:c r="AF898" s="119" t="n">
        <x:f>IF(3&gt;D898,0,MAX(2,MIN('难度参数'!$E$12,ROUND(('难度参数'!$E$18*POWER(A898,'难度参数'!$E$19)/D898*(0.85+0.3*(3-1)/MAX(1,D898-1))),0)+F898)))</x:f>
        <x:v>48</x:v>
      </x:c>
      <x:c r="AG898" s="119" t="n">
        <x:f>IF(3&gt;D898,0,ROUND(('难度参数'!$E$13*POWER(A898,'难度参数'!$E$20)*MIN('难度参数'!$E$23,1+MAX(0,A898-'难度参数'!$E$21)*'难度参数'!$E$22))*(36+3*7)/(36+7*(D898+1)/2)*E898,0))</x:f>
        <x:v>16006</x:v>
      </x:c>
      <x:c r="AH898" s="119" t="n">
        <x:f>IF(AF898=0,0,(AF898-IF(3=D898,1,0))*ROUND(AG898*VLOOKUP(INDEX('章节与怪物'!$E$31:$K$37,B898,3),'章节与怪物'!$A$41:$F$44,2,FALSE),0)+IF(3=D898,ROUND(AG898*'难度参数'!$E$28*'章节与怪物'!$E$17,0),0))</x:f>
        <x:v>1306080</x:v>
      </x:c>
      <x:c r="AI898" s="119" t="n">
        <x:f>IF(AF898=0,0,(AF898-IF(3=D898,1,0))*VLOOKUP(INDEX('章节与怪物'!$E$31:$K$37,B898,3),'章节与怪物'!$A$41:$F$44,4,FALSE)+IF(3=D898,'难度参数'!$E$30,0))</x:f>
        <x:v>1344</x:v>
      </x:c>
      <x:c r="AJ898" s="119" t="n">
        <x:f>IF(4&gt;D898,0,MAX(2,MIN('难度参数'!$E$12,ROUND(('难度参数'!$E$18*POWER(A898,'难度参数'!$E$19)/D898*(0.85+0.3*(4-1)/MAX(1,D898-1))),0)+F898)))</x:f>
        <x:v>51</x:v>
      </x:c>
      <x:c r="AK898" s="119" t="n">
        <x:f>IF(4&gt;D898,0,ROUND(('难度参数'!$E$13*POWER(A898,'难度参数'!$E$20)*MIN('难度参数'!$E$23,1+MAX(0,A898-'难度参数'!$E$21)*'难度参数'!$E$22))*(36+4*7)/(36+7*(D898+1)/2)*E898,0))</x:f>
        <x:v>17972</x:v>
      </x:c>
      <x:c r="AL898" s="119" t="n">
        <x:f>IF(AJ898=0,0,(AJ898-IF(4=D898,1,0))*ROUND(AK898*VLOOKUP(INDEX('章节与怪物'!$E$31:$K$37,B898,4),'章节与怪物'!$A$41:$F$44,2,FALSE),0)+IF(4=D898,ROUND(AK898*'难度参数'!$E$28*'章节与怪物'!$E$17,0),0))</x:f>
        <x:v>1237362</x:v>
      </x:c>
      <x:c r="AM898" s="119" t="n">
        <x:f>IF(AJ898=0,0,(AJ898-IF(4=D898,1,0))*VLOOKUP(INDEX('章节与怪物'!$E$31:$K$37,B898,4),'章节与怪物'!$A$41:$F$44,4,FALSE)+IF(4=D898,'难度参数'!$E$30,0))</x:f>
        <x:v>1734</x:v>
      </x:c>
      <x:c r="AN898" s="119" t="n">
        <x:f>IF(5&gt;D898,0,MAX(2,MIN('难度参数'!$E$12,ROUND(('难度参数'!$E$18*POWER(A898,'难度参数'!$E$19)/D898*(0.85+0.3*(5-1)/MAX(1,D898-1))),0)+F898)))</x:f>
        <x:v>53</x:v>
      </x:c>
      <x:c r="AO898" s="119" t="n">
        <x:f>IF(5&gt;D898,0,ROUND(('难度参数'!$E$13*POWER(A898,'难度参数'!$E$20)*MIN('难度参数'!$E$23,1+MAX(0,A898-'难度参数'!$E$21)*'难度参数'!$E$22))*(36+5*7)/(36+7*(D898+1)/2)*E898,0))</x:f>
        <x:v>19938</x:v>
      </x:c>
      <x:c r="AP898" s="119" t="n">
        <x:f>IF(AN898=0,0,(AN898-IF(5=D898,1,0))*ROUND(AO898*VLOOKUP(INDEX('章节与怪物'!$E$31:$K$37,B898,5),'章节与怪物'!$A$41:$F$44,2,FALSE),0)+IF(5=D898,ROUND(AO898*'难度参数'!$E$28*'章节与怪物'!$E$17,0),0))</x:f>
        <x:v>1056714</x:v>
      </x:c>
      <x:c r="AQ898" s="119" t="n">
        <x:f>IF(AN898=0,0,(AN898-IF(5=D898,1,0))*VLOOKUP(INDEX('章节与怪物'!$E$31:$K$37,B898,5),'章节与怪物'!$A$41:$F$44,4,FALSE)+IF(5=D898,'难度参数'!$E$30,0))</x:f>
        <x:v>954</x:v>
      </x:c>
      <x:c r="AR898" s="119" t="n">
        <x:f>IF(6&gt;D898,0,MAX(2,MIN('难度参数'!$E$12,ROUND(('难度参数'!$E$18*POWER(A898,'难度参数'!$E$19)/D898*(0.85+0.3*(6-1)/MAX(1,D898-1))),0)+F898)))</x:f>
        <x:v>56</x:v>
      </x:c>
      <x:c r="AS898" s="119" t="n">
        <x:f>IF(6&gt;D898,0,ROUND(('难度参数'!$E$13*POWER(A898,'难度参数'!$E$20)*MIN('难度参数'!$E$23,1+MAX(0,A898-'难度参数'!$E$21)*'难度参数'!$E$22))*(36+6*7)/(36+7*(D898+1)/2)*E898,0))</x:f>
        <x:v>21903</x:v>
      </x:c>
      <x:c r="AT898" s="119" t="n">
        <x:f>IF(AR898=0,0,(AR898-IF(6=D898,1,0))*ROUND(AS898*VLOOKUP(INDEX('章节与怪物'!$E$31:$K$37,B898,6),'章节与怪物'!$A$41:$F$44,2,FALSE),0)+IF(6=D898,ROUND(AS898*'难度参数'!$E$28*'章节与怪物'!$E$17,0),0))</x:f>
        <x:v>883120</x:v>
      </x:c>
      <x:c r="AU898" s="119" t="n">
        <x:f>IF(AR898=0,0,(AR898-IF(6=D898,1,0))*VLOOKUP(INDEX('章节与怪物'!$E$31:$K$37,B898,6),'章节与怪物'!$A$41:$F$44,4,FALSE)+IF(6=D898,'难度参数'!$E$30,0))</x:f>
        <x:v>1120</x:v>
      </x:c>
      <x:c r="AV898" s="119" t="n">
        <x:f>IF(7&gt;D898,0,MAX(2,MIN('难度参数'!$E$12,ROUND(('难度参数'!$E$18*POWER(A898,'难度参数'!$E$19)/D898*(0.85+0.3*(7-1)/MAX(1,D898-1))),0)+F898)))</x:f>
        <x:v>58</x:v>
      </x:c>
      <x:c r="AW898" s="119" t="n">
        <x:f>IF(7&gt;D898,0,ROUND(('难度参数'!$E$13*POWER(A898,'难度参数'!$E$20)*MIN('难度参数'!$E$23,1+MAX(0,A898-'难度参数'!$E$21)*'难度参数'!$E$22))*(36+7*7)/(36+7*(D898+1)/2)*E898,0))</x:f>
        <x:v>23869</x:v>
      </x:c>
      <x:c r="AX898" s="119" t="n">
        <x:f>IF(AV898=0,0,(AV898-IF(7=D898,1,0))*ROUND(AW898*VLOOKUP(INDEX('章节与怪物'!$E$31:$K$37,B898,7),'章节与怪物'!$A$41:$F$44,2,FALSE),0)+IF(7=D898,ROUND(AW898*'难度参数'!$E$28*'章节与怪物'!$E$17,0),0))</x:f>
        <x:v>1999020</x:v>
      </x:c>
      <x:c r="AY898" s="119" t="n">
        <x:f>IF(AV898=0,0,(AV898-IF(7=D898,1,0))*VLOOKUP(INDEX('章节与怪物'!$E$31:$K$37,B898,7),'章节与怪物'!$A$41:$F$44,4,FALSE)+IF(7=D898,'难度参数'!$E$30,0))</x:f>
        <x:v>2138</x:v>
      </x:c>
    </x:row>
    <x:row r="899" ht="23" customHeight="1">
      <x:c r="A899" s="119" t="n">
        <x:v>893</x:v>
      </x:c>
      <x:c r="B899" s="119" t="n">
        <x:f>MOD(INT((A899-1)/5),7)+1</x:f>
        <x:v>4</x:v>
      </x:c>
      <x:c r="C899" s="62" t="str">
        <x:f>INDEX('章节与怪物'!$B$31:$B$37,B899)</x:f>
        <x:v>翠野边城</x:v>
      </x:c>
      <x:c r="D899" s="119" t="n">
        <x:f>MIN('难度参数'!$E$8,MAX('难度参数'!$E$7,A899))</x:f>
        <x:v>7</x:v>
      </x:c>
      <x:c r="E899" s="106" t="n">
        <x:v>1</x:v>
      </x:c>
      <x:c r="F899" s="106" t="n">
        <x:v>0</x:v>
      </x:c>
      <x:c r="G899" s="106" t="n">
        <x:v>1</x:v>
      </x:c>
      <x:c r="H899" s="119" t="n">
        <x:f>SUM(X899,AB899,AF899,AJ899,AN899,AR899,AV899)</x:f>
        <x:v>355</x:v>
      </x:c>
      <x:c r="I899" s="119" t="n">
        <x:f>SUM(Z899,AD899,AH899,AL899,AP899,AT899,AX899)</x:f>
        <x:v>7508094</x:v>
      </x:c>
      <x:c r="J899" s="119" t="n">
        <x:f>ROUND(INDEX(X899:AY899,1,(D899-1)*4+2)*'难度参数'!$E$28*'章节与怪物'!$E$17,0)</x:f>
        <x:v>162438</x:v>
      </x:c>
      <x:c r="K899" s="119" t="n">
        <x:f>SUM(AA899,AE899,AI899,AM899,AQ899,AU899,AY899)</x:f>
        <x:v>8978</x:v>
      </x:c>
      <x:c r="L899" s="62" t="n">
        <x:f>H899*(ROUNDUP('难度参数'!$E$24/('难度参数'!$E$26*'难度参数'!$E$27),0)*'难度参数'!$E$26)/60</x:f>
        <x:v>4.733333333333333</x:v>
      </x:c>
      <x:c r="M899" s="62" t="n">
        <x:f>L899+D899*('难度参数'!$E$49+'难度参数'!$E$50)/60</x:f>
        <x:v>5.9</x:v>
      </x:c>
      <x:c r="N899" s="119" t="n">
        <x:f>ROUNDDOWN(('经济参数'!$E$20+A899*'经济参数'!$E$21)*G899,0)</x:f>
        <x:v>18040</x:v>
      </x:c>
      <x:c r="O899" s="119" t="n">
        <x:f>ROUNDDOWN(MIN('经济参数'!$E$24,'经济参数'!$E$22+A899*'经济参数'!$E$23)*G899,0)</x:f>
        <x:v>0</x:v>
      </x:c>
      <x:c r="P899" s="119" t="n">
        <x:f>ROUNDDOWN((IF(A899&gt;='材料与任务'!$E$31,'材料与任务'!$E$32,IF(A899&gt;='材料与任务'!$E$25,'材料与任务'!$E$26,IF(A899&gt;='材料与任务'!$E$19,'材料与任务'!$E$20,IF(A899&gt;='材料与任务'!$E$13,'材料与任务'!$E$14,'材料与任务'!$E$8)))))*G899,0)</x:f>
        <x:v>6</x:v>
      </x:c>
      <x:c r="Q899" s="119" t="n">
        <x:f>ROUNDDOWN((IF(A899&gt;='材料与任务'!$E$31,'材料与任务'!$E$33,IF(A899&gt;='材料与任务'!$E$25,'材料与任务'!$E$27,IF(A899&gt;='材料与任务'!$E$19,'材料与任务'!$E$21,IF(A899&gt;='材料与任务'!$E$13,'材料与任务'!$E$15,'材料与任务'!$E$9)))))*G899,0)</x:f>
        <x:v>3</x:v>
      </x:c>
      <x:c r="R899" s="110" t="n">
        <x:f>'装备掉落'!$B$38</x:f>
        <x:v>0.6872058758851213</x:v>
      </x:c>
      <x:c r="S899" s="119" t="n">
        <x:f>MAX(IF(VLOOKUP(A899,'装备掉落'!$A$29:$H$34,2,TRUE)&gt;0,1,0),IF(VLOOKUP(A899,'装备掉落'!$A$29:$H$34,3,TRUE)&gt;0,2,0),IF(VLOOKUP(A899,'装备掉落'!$A$29:$H$34,4,TRUE)&gt;0,3,0),IF(VLOOKUP(A899,'装备掉落'!$A$29:$H$34,5,TRUE)&gt;0,4,0),IF(VLOOKUP(A899,'装备掉落'!$A$29:$H$34,6,TRUE)&gt;0,5,0),IF(VLOOKUP(A899,'装备掉落'!$A$29:$H$34,7,TRUE)&gt;0,6,0),IF(VLOOKUP(A899,'装备掉落'!$A$29:$H$34,8,TRUE)&gt;0,7,0))</x:f>
        <x:v>7</x:v>
      </x:c>
      <x:c r="T899" s="119" t="n">
        <x:f>MIN(7,S899+'经济参数'!$E$70)</x:f>
        <x:v>7</x:v>
      </x:c>
      <x:c r="U899" s="119" t="n">
        <x:f>MIN(7,S899+'经济参数'!$E$71)</x:f>
        <x:v>7</x:v>
      </x:c>
      <x:c r="V899" s="119" t="n">
        <x:f>IF(H899&gt;=('难度参数'!$E$52),1,0)+IF(H899&gt;=('难度参数'!$E$52+'难度参数'!$E$53),1,0)+IF(H899&gt;=('难度参数'!$E$52+'难度参数'!$E$53+'难度参数'!$E$54),1,0)+IF(H899&gt;=('难度参数'!$E$52+'难度参数'!$E$53+'难度参数'!$E$54+'难度参数'!$E$55),1,0)+IF(H899&gt;=('难度参数'!$E$52+'难度参数'!$E$53+'难度参数'!$E$54+'难度参数'!$E$55+'难度参数'!$E$56),1,0)+IF(H899&gt;=('难度参数'!$E$52+'难度参数'!$E$53+'难度参数'!$E$54+'难度参数'!$E$55+'难度参数'!$E$56+'难度参数'!$E$57),1,0)</x:f>
        <x:v>6</x:v>
      </x:c>
      <x:c r="W899" s="62" t="str">
        <x:f>IF(L899&gt;'难度参数'!$E$51,"仅出怪已超目标","还需实测")</x:f>
        <x:v>仅出怪已超目标</x:v>
      </x:c>
      <x:c r="X899" s="119" t="n">
        <x:f>IF(1&gt;D899,0,MAX(2,MIN('难度参数'!$E$12,ROUND(('难度参数'!$E$18*POWER(A899,'难度参数'!$E$19)/D899*(0.85+0.3*(1-1)/MAX(1,D899-1))),0)+F899)))</x:f>
        <x:v>43</x:v>
      </x:c>
      <x:c r="Y899" s="119" t="n">
        <x:f>IF(1&gt;D899,0,ROUND(('难度参数'!$E$13*POWER(A899,'难度参数'!$E$20)*MIN('难度参数'!$E$23,1+MAX(0,A899-'难度参数'!$E$21)*'难度参数'!$E$22))*(36+1*7)/(36+7*(D899+1)/2)*E899,0))</x:f>
        <x:v>12085</x:v>
      </x:c>
      <x:c r="Z899" s="119" t="n">
        <x:f>IF(X899=0,0,(X899-IF(1=D899,1,0))*ROUND(Y899*VLOOKUP(INDEX('章节与怪物'!$E$31:$K$37,B899,1),'章节与怪物'!$A$41:$F$44,2,FALSE),0)+IF(1=D899,ROUND(Y899*'难度参数'!$E$28*'章节与怪物'!$E$17,0),0))</x:f>
        <x:v>374143</x:v>
      </x:c>
      <x:c r="AA899" s="119" t="n">
        <x:f>IF(X899=0,0,(X899-IF(1=D899,1,0))*VLOOKUP(INDEX('章节与怪物'!$E$31:$K$37,B899,1),'章节与怪物'!$A$41:$F$44,4,FALSE)+IF(1=D899,'难度参数'!$E$30,0))</x:f>
        <x:v>860</x:v>
      </x:c>
      <x:c r="AB899" s="119" t="n">
        <x:f>IF(2&gt;D899,0,MAX(2,MIN('难度参数'!$E$12,ROUND(('难度参数'!$E$18*POWER(A899,'难度参数'!$E$19)/D899*(0.85+0.3*(2-1)/MAX(1,D899-1))),0)+F899)))</x:f>
        <x:v>46</x:v>
      </x:c>
      <x:c r="AC899" s="119" t="n">
        <x:f>IF(2&gt;D899,0,ROUND(('难度参数'!$E$13*POWER(A899,'难度参数'!$E$20)*MIN('难度参数'!$E$23,1+MAX(0,A899-'难度参数'!$E$21)*'难度参数'!$E$22))*(36+2*7)/(36+7*(D899+1)/2)*E899,0))</x:f>
        <x:v>14052</x:v>
      </x:c>
      <x:c r="AD899" s="119" t="n">
        <x:f>IF(AB899=0,0,(AB899-IF(2=D899,1,0))*ROUND(AC899*VLOOKUP(INDEX('章节与怪物'!$E$31:$K$37,B899,2),'章节与怪物'!$A$41:$F$44,2,FALSE),0)+IF(2=D899,ROUND(AC899*'难度参数'!$E$28*'章节与怪物'!$E$17,0),0))</x:f>
        <x:v>646392</x:v>
      </x:c>
      <x:c r="AE899" s="119" t="n">
        <x:f>IF(AB899=0,0,(AB899-IF(2=D899,1,0))*VLOOKUP(INDEX('章节与怪物'!$E$31:$K$37,B899,2),'章节与怪物'!$A$41:$F$44,4,FALSE)+IF(2=D899,'难度参数'!$E$30,0))</x:f>
        <x:v>828</x:v>
      </x:c>
      <x:c r="AF899" s="119" t="n">
        <x:f>IF(3&gt;D899,0,MAX(2,MIN('难度参数'!$E$12,ROUND(('难度参数'!$E$18*POWER(A899,'难度参数'!$E$19)/D899*(0.85+0.3*(3-1)/MAX(1,D899-1))),0)+F899)))</x:f>
        <x:v>48</x:v>
      </x:c>
      <x:c r="AG899" s="119" t="n">
        <x:f>IF(3&gt;D899,0,ROUND(('难度参数'!$E$13*POWER(A899,'难度参数'!$E$20)*MIN('难度参数'!$E$23,1+MAX(0,A899-'难度参数'!$E$21)*'难度参数'!$E$22))*(36+3*7)/(36+7*(D899+1)/2)*E899,0))</x:f>
        <x:v>16019</x:v>
      </x:c>
      <x:c r="AH899" s="119" t="n">
        <x:f>IF(AF899=0,0,(AF899-IF(3=D899,1,0))*ROUND(AG899*VLOOKUP(INDEX('章节与怪物'!$E$31:$K$37,B899,3),'章节与怪物'!$A$41:$F$44,2,FALSE),0)+IF(3=D899,ROUND(AG899*'难度参数'!$E$28*'章节与怪物'!$E$17,0),0))</x:f>
        <x:v>1307136</x:v>
      </x:c>
      <x:c r="AI899" s="119" t="n">
        <x:f>IF(AF899=0,0,(AF899-IF(3=D899,1,0))*VLOOKUP(INDEX('章节与怪物'!$E$31:$K$37,B899,3),'章节与怪物'!$A$41:$F$44,4,FALSE)+IF(3=D899,'难度参数'!$E$30,0))</x:f>
        <x:v>1344</x:v>
      </x:c>
      <x:c r="AJ899" s="119" t="n">
        <x:f>IF(4&gt;D899,0,MAX(2,MIN('难度参数'!$E$12,ROUND(('难度参数'!$E$18*POWER(A899,'难度参数'!$E$19)/D899*(0.85+0.3*(4-1)/MAX(1,D899-1))),0)+F899)))</x:f>
        <x:v>51</x:v>
      </x:c>
      <x:c r="AK899" s="119" t="n">
        <x:f>IF(4&gt;D899,0,ROUND(('难度参数'!$E$13*POWER(A899,'难度参数'!$E$20)*MIN('难度参数'!$E$23,1+MAX(0,A899-'难度参数'!$E$21)*'难度参数'!$E$22))*(36+4*7)/(36+7*(D899+1)/2)*E899,0))</x:f>
        <x:v>17987</x:v>
      </x:c>
      <x:c r="AL899" s="119" t="n">
        <x:f>IF(AJ899=0,0,(AJ899-IF(4=D899,1,0))*ROUND(AK899*VLOOKUP(INDEX('章节与怪物'!$E$31:$K$37,B899,4),'章节与怪物'!$A$41:$F$44,2,FALSE),0)+IF(4=D899,ROUND(AK899*'难度参数'!$E$28*'章节与怪物'!$E$17,0),0))</x:f>
        <x:v>1238382</x:v>
      </x:c>
      <x:c r="AM899" s="119" t="n">
        <x:f>IF(AJ899=0,0,(AJ899-IF(4=D899,1,0))*VLOOKUP(INDEX('章节与怪物'!$E$31:$K$37,B899,4),'章节与怪物'!$A$41:$F$44,4,FALSE)+IF(4=D899,'难度参数'!$E$30,0))</x:f>
        <x:v>1734</x:v>
      </x:c>
      <x:c r="AN899" s="119" t="n">
        <x:f>IF(5&gt;D899,0,MAX(2,MIN('难度参数'!$E$12,ROUND(('难度参数'!$E$18*POWER(A899,'难度参数'!$E$19)/D899*(0.85+0.3*(5-1)/MAX(1,D899-1))),0)+F899)))</x:f>
        <x:v>53</x:v>
      </x:c>
      <x:c r="AO899" s="119" t="n">
        <x:f>IF(5&gt;D899,0,ROUND(('难度参数'!$E$13*POWER(A899,'难度参数'!$E$20)*MIN('难度参数'!$E$23,1+MAX(0,A899-'难度参数'!$E$21)*'难度参数'!$E$22))*(36+5*7)/(36+7*(D899+1)/2)*E899,0))</x:f>
        <x:v>19954</x:v>
      </x:c>
      <x:c r="AP899" s="119" t="n">
        <x:f>IF(AN899=0,0,(AN899-IF(5=D899,1,0))*ROUND(AO899*VLOOKUP(INDEX('章节与怪物'!$E$31:$K$37,B899,5),'章节与怪物'!$A$41:$F$44,2,FALSE),0)+IF(5=D899,ROUND(AO899*'难度参数'!$E$28*'章节与怪物'!$E$17,0),0))</x:f>
        <x:v>1057562</x:v>
      </x:c>
      <x:c r="AQ899" s="119" t="n">
        <x:f>IF(AN899=0,0,(AN899-IF(5=D899,1,0))*VLOOKUP(INDEX('章节与怪物'!$E$31:$K$37,B899,5),'章节与怪物'!$A$41:$F$44,4,FALSE)+IF(5=D899,'难度参数'!$E$30,0))</x:f>
        <x:v>954</x:v>
      </x:c>
      <x:c r="AR899" s="119" t="n">
        <x:f>IF(6&gt;D899,0,MAX(2,MIN('难度参数'!$E$12,ROUND(('难度参数'!$E$18*POWER(A899,'难度参数'!$E$19)/D899*(0.85+0.3*(6-1)/MAX(1,D899-1))),0)+F899)))</x:f>
        <x:v>56</x:v>
      </x:c>
      <x:c r="AS899" s="119" t="n">
        <x:f>IF(6&gt;D899,0,ROUND(('难度参数'!$E$13*POWER(A899,'难度参数'!$E$20)*MIN('难度参数'!$E$23,1+MAX(0,A899-'难度参数'!$E$21)*'难度参数'!$E$22))*(36+6*7)/(36+7*(D899+1)/2)*E899,0))</x:f>
        <x:v>21921</x:v>
      </x:c>
      <x:c r="AT899" s="119" t="n">
        <x:f>IF(AR899=0,0,(AR899-IF(6=D899,1,0))*ROUND(AS899*VLOOKUP(INDEX('章节与怪物'!$E$31:$K$37,B899,6),'章节与怪物'!$A$41:$F$44,2,FALSE),0)+IF(6=D899,ROUND(AS899*'难度参数'!$E$28*'章节与怪物'!$E$17,0),0))</x:f>
        <x:v>883848</x:v>
      </x:c>
      <x:c r="AU899" s="119" t="n">
        <x:f>IF(AR899=0,0,(AR899-IF(6=D899,1,0))*VLOOKUP(INDEX('章节与怪物'!$E$31:$K$37,B899,6),'章节与怪物'!$A$41:$F$44,4,FALSE)+IF(6=D899,'难度参数'!$E$30,0))</x:f>
        <x:v>1120</x:v>
      </x:c>
      <x:c r="AV899" s="119" t="n">
        <x:f>IF(7&gt;D899,0,MAX(2,MIN('难度参数'!$E$12,ROUND(('难度参数'!$E$18*POWER(A899,'难度参数'!$E$19)/D899*(0.85+0.3*(7-1)/MAX(1,D899-1))),0)+F899)))</x:f>
        <x:v>58</x:v>
      </x:c>
      <x:c r="AW899" s="119" t="n">
        <x:f>IF(7&gt;D899,0,ROUND(('难度参数'!$E$13*POWER(A899,'难度参数'!$E$20)*MIN('难度参数'!$E$23,1+MAX(0,A899-'难度参数'!$E$21)*'难度参数'!$E$22))*(36+7*7)/(36+7*(D899+1)/2)*E899,0))</x:f>
        <x:v>23888</x:v>
      </x:c>
      <x:c r="AX899" s="119" t="n">
        <x:f>IF(AV899=0,0,(AV899-IF(7=D899,1,0))*ROUND(AW899*VLOOKUP(INDEX('章节与怪物'!$E$31:$K$37,B899,7),'章节与怪物'!$A$41:$F$44,2,FALSE),0)+IF(7=D899,ROUND(AW899*'难度参数'!$E$28*'章节与怪物'!$E$17,0),0))</x:f>
        <x:v>2000631</x:v>
      </x:c>
      <x:c r="AY899" s="119" t="n">
        <x:f>IF(AV899=0,0,(AV899-IF(7=D899,1,0))*VLOOKUP(INDEX('章节与怪物'!$E$31:$K$37,B899,7),'章节与怪物'!$A$41:$F$44,4,FALSE)+IF(7=D899,'难度参数'!$E$30,0))</x:f>
        <x:v>2138</x:v>
      </x:c>
    </x:row>
    <x:row r="900" ht="23" customHeight="1">
      <x:c r="A900" s="119" t="n">
        <x:v>894</x:v>
      </x:c>
      <x:c r="B900" s="119" t="n">
        <x:f>MOD(INT((A900-1)/5),7)+1</x:f>
        <x:v>4</x:v>
      </x:c>
      <x:c r="C900" s="62" t="str">
        <x:f>INDEX('章节与怪物'!$B$31:$B$37,B900)</x:f>
        <x:v>翠野边城</x:v>
      </x:c>
      <x:c r="D900" s="119" t="n">
        <x:f>MIN('难度参数'!$E$8,MAX('难度参数'!$E$7,A900))</x:f>
        <x:v>7</x:v>
      </x:c>
      <x:c r="E900" s="106" t="n">
        <x:v>1</x:v>
      </x:c>
      <x:c r="F900" s="106" t="n">
        <x:v>0</x:v>
      </x:c>
      <x:c r="G900" s="106" t="n">
        <x:v>1</x:v>
      </x:c>
      <x:c r="H900" s="119" t="n">
        <x:f>SUM(X900,AB900,AF900,AJ900,AN900,AR900,AV900)</x:f>
        <x:v>355</x:v>
      </x:c>
      <x:c r="I900" s="119" t="n">
        <x:f>SUM(Z900,AD900,AH900,AL900,AP900,AT900,AX900)</x:f>
        <x:v>7514177</x:v>
      </x:c>
      <x:c r="J900" s="119" t="n">
        <x:f>ROUND(INDEX(X900:AY900,1,(D900-1)*4+2)*'难度参数'!$E$28*'章节与怪物'!$E$17,0)</x:f>
        <x:v>162574</x:v>
      </x:c>
      <x:c r="K900" s="119" t="n">
        <x:f>SUM(AA900,AE900,AI900,AM900,AQ900,AU900,AY900)</x:f>
        <x:v>8978</x:v>
      </x:c>
      <x:c r="L900" s="62" t="n">
        <x:f>H900*(ROUNDUP('难度参数'!$E$24/('难度参数'!$E$26*'难度参数'!$E$27),0)*'难度参数'!$E$26)/60</x:f>
        <x:v>4.733333333333333</x:v>
      </x:c>
      <x:c r="M900" s="62" t="n">
        <x:f>L900+D900*('难度参数'!$E$49+'难度参数'!$E$50)/60</x:f>
        <x:v>5.9</x:v>
      </x:c>
      <x:c r="N900" s="119" t="n">
        <x:f>ROUNDDOWN(('经济参数'!$E$20+A900*'经济参数'!$E$21)*G900,0)</x:f>
        <x:v>18060</x:v>
      </x:c>
      <x:c r="O900" s="119" t="n">
        <x:f>ROUNDDOWN(MIN('经济参数'!$E$24,'经济参数'!$E$22+A900*'经济参数'!$E$23)*G900,0)</x:f>
        <x:v>0</x:v>
      </x:c>
      <x:c r="P900" s="119" t="n">
        <x:f>ROUNDDOWN((IF(A900&gt;='材料与任务'!$E$31,'材料与任务'!$E$32,IF(A900&gt;='材料与任务'!$E$25,'材料与任务'!$E$26,IF(A900&gt;='材料与任务'!$E$19,'材料与任务'!$E$20,IF(A900&gt;='材料与任务'!$E$13,'材料与任务'!$E$14,'材料与任务'!$E$8)))))*G900,0)</x:f>
        <x:v>6</x:v>
      </x:c>
      <x:c r="Q900" s="119" t="n">
        <x:f>ROUNDDOWN((IF(A900&gt;='材料与任务'!$E$31,'材料与任务'!$E$33,IF(A900&gt;='材料与任务'!$E$25,'材料与任务'!$E$27,IF(A900&gt;='材料与任务'!$E$19,'材料与任务'!$E$21,IF(A900&gt;='材料与任务'!$E$13,'材料与任务'!$E$15,'材料与任务'!$E$9)))))*G900,0)</x:f>
        <x:v>3</x:v>
      </x:c>
      <x:c r="R900" s="110" t="n">
        <x:f>'装备掉落'!$B$38</x:f>
        <x:v>0.6872058758851213</x:v>
      </x:c>
      <x:c r="S900" s="119" t="n">
        <x:f>MAX(IF(VLOOKUP(A900,'装备掉落'!$A$29:$H$34,2,TRUE)&gt;0,1,0),IF(VLOOKUP(A900,'装备掉落'!$A$29:$H$34,3,TRUE)&gt;0,2,0),IF(VLOOKUP(A900,'装备掉落'!$A$29:$H$34,4,TRUE)&gt;0,3,0),IF(VLOOKUP(A900,'装备掉落'!$A$29:$H$34,5,TRUE)&gt;0,4,0),IF(VLOOKUP(A900,'装备掉落'!$A$29:$H$34,6,TRUE)&gt;0,5,0),IF(VLOOKUP(A900,'装备掉落'!$A$29:$H$34,7,TRUE)&gt;0,6,0),IF(VLOOKUP(A900,'装备掉落'!$A$29:$H$34,8,TRUE)&gt;0,7,0))</x:f>
        <x:v>7</x:v>
      </x:c>
      <x:c r="T900" s="119" t="n">
        <x:f>MIN(7,S900+'经济参数'!$E$70)</x:f>
        <x:v>7</x:v>
      </x:c>
      <x:c r="U900" s="119" t="n">
        <x:f>MIN(7,S900+'经济参数'!$E$71)</x:f>
        <x:v>7</x:v>
      </x:c>
      <x:c r="V900" s="119" t="n">
        <x:f>IF(H900&gt;=('难度参数'!$E$52),1,0)+IF(H900&gt;=('难度参数'!$E$52+'难度参数'!$E$53),1,0)+IF(H900&gt;=('难度参数'!$E$52+'难度参数'!$E$53+'难度参数'!$E$54),1,0)+IF(H900&gt;=('难度参数'!$E$52+'难度参数'!$E$53+'难度参数'!$E$54+'难度参数'!$E$55),1,0)+IF(H900&gt;=('难度参数'!$E$52+'难度参数'!$E$53+'难度参数'!$E$54+'难度参数'!$E$55+'难度参数'!$E$56),1,0)+IF(H900&gt;=('难度参数'!$E$52+'难度参数'!$E$53+'难度参数'!$E$54+'难度参数'!$E$55+'难度参数'!$E$56+'难度参数'!$E$57),1,0)</x:f>
        <x:v>6</x:v>
      </x:c>
      <x:c r="W900" s="62" t="str">
        <x:f>IF(L900&gt;'难度参数'!$E$51,"仅出怪已超目标","还需实测")</x:f>
        <x:v>仅出怪已超目标</x:v>
      </x:c>
      <x:c r="X900" s="119" t="n">
        <x:f>IF(1&gt;D900,0,MAX(2,MIN('难度参数'!$E$12,ROUND(('难度参数'!$E$18*POWER(A900,'难度参数'!$E$19)/D900*(0.85+0.3*(1-1)/MAX(1,D900-1))),0)+F900)))</x:f>
        <x:v>43</x:v>
      </x:c>
      <x:c r="Y900" s="119" t="n">
        <x:f>IF(1&gt;D900,0,ROUND(('难度参数'!$E$13*POWER(A900,'难度参数'!$E$20)*MIN('难度参数'!$E$23,1+MAX(0,A900-'难度参数'!$E$21)*'难度参数'!$E$22))*(36+1*7)/(36+7*(D900+1)/2)*E900,0))</x:f>
        <x:v>12094</x:v>
      </x:c>
      <x:c r="Z900" s="119" t="n">
        <x:f>IF(X900=0,0,(X900-IF(1=D900,1,0))*ROUND(Y900*VLOOKUP(INDEX('章节与怪物'!$E$31:$K$37,B900,1),'章节与怪物'!$A$41:$F$44,2,FALSE),0)+IF(1=D900,ROUND(Y900*'难度参数'!$E$28*'章节与怪物'!$E$17,0),0))</x:f>
        <x:v>374444</x:v>
      </x:c>
      <x:c r="AA900" s="119" t="n">
        <x:f>IF(X900=0,0,(X900-IF(1=D900,1,0))*VLOOKUP(INDEX('章节与怪物'!$E$31:$K$37,B900,1),'章节与怪物'!$A$41:$F$44,4,FALSE)+IF(1=D900,'难度参数'!$E$30,0))</x:f>
        <x:v>860</x:v>
      </x:c>
      <x:c r="AB900" s="119" t="n">
        <x:f>IF(2&gt;D900,0,MAX(2,MIN('难度参数'!$E$12,ROUND(('难度参数'!$E$18*POWER(A900,'难度参数'!$E$19)/D900*(0.85+0.3*(2-1)/MAX(1,D900-1))),0)+F900)))</x:f>
        <x:v>46</x:v>
      </x:c>
      <x:c r="AC900" s="119" t="n">
        <x:f>IF(2&gt;D900,0,ROUND(('难度参数'!$E$13*POWER(A900,'难度参数'!$E$20)*MIN('难度参数'!$E$23,1+MAX(0,A900-'难度参数'!$E$21)*'难度参数'!$E$22))*(36+2*7)/(36+7*(D900+1)/2)*E900,0))</x:f>
        <x:v>14063</x:v>
      </x:c>
      <x:c r="AD900" s="119" t="n">
        <x:f>IF(AB900=0,0,(AB900-IF(2=D900,1,0))*ROUND(AC900*VLOOKUP(INDEX('章节与怪物'!$E$31:$K$37,B900,2),'章节与怪物'!$A$41:$F$44,2,FALSE),0)+IF(2=D900,ROUND(AC900*'难度参数'!$E$28*'章节与怪物'!$E$17,0),0))</x:f>
        <x:v>646898</x:v>
      </x:c>
      <x:c r="AE900" s="119" t="n">
        <x:f>IF(AB900=0,0,(AB900-IF(2=D900,1,0))*VLOOKUP(INDEX('章节与怪物'!$E$31:$K$37,B900,2),'章节与怪物'!$A$41:$F$44,4,FALSE)+IF(2=D900,'难度参数'!$E$30,0))</x:f>
        <x:v>828</x:v>
      </x:c>
      <x:c r="AF900" s="119" t="n">
        <x:f>IF(3&gt;D900,0,MAX(2,MIN('难度参数'!$E$12,ROUND(('难度参数'!$E$18*POWER(A900,'难度参数'!$E$19)/D900*(0.85+0.3*(3-1)/MAX(1,D900-1))),0)+F900)))</x:f>
        <x:v>48</x:v>
      </x:c>
      <x:c r="AG900" s="119" t="n">
        <x:f>IF(3&gt;D900,0,ROUND(('难度参数'!$E$13*POWER(A900,'难度参数'!$E$20)*MIN('难度参数'!$E$23,1+MAX(0,A900-'难度参数'!$E$21)*'难度参数'!$E$22))*(36+3*7)/(36+7*(D900+1)/2)*E900,0))</x:f>
        <x:v>16032</x:v>
      </x:c>
      <x:c r="AH900" s="119" t="n">
        <x:f>IF(AF900=0,0,(AF900-IF(3=D900,1,0))*ROUND(AG900*VLOOKUP(INDEX('章节与怪物'!$E$31:$K$37,B900,3),'章节与怪物'!$A$41:$F$44,2,FALSE),0)+IF(3=D900,ROUND(AG900*'难度参数'!$E$28*'章节与怪物'!$E$17,0),0))</x:f>
        <x:v>1308192</x:v>
      </x:c>
      <x:c r="AI900" s="119" t="n">
        <x:f>IF(AF900=0,0,(AF900-IF(3=D900,1,0))*VLOOKUP(INDEX('章节与怪物'!$E$31:$K$37,B900,3),'章节与怪物'!$A$41:$F$44,4,FALSE)+IF(3=D900,'难度参数'!$E$30,0))</x:f>
        <x:v>1344</x:v>
      </x:c>
      <x:c r="AJ900" s="119" t="n">
        <x:f>IF(4&gt;D900,0,MAX(2,MIN('难度参数'!$E$12,ROUND(('难度参数'!$E$18*POWER(A900,'难度参数'!$E$19)/D900*(0.85+0.3*(4-1)/MAX(1,D900-1))),0)+F900)))</x:f>
        <x:v>51</x:v>
      </x:c>
      <x:c r="AK900" s="119" t="n">
        <x:f>IF(4&gt;D900,0,ROUND(('难度参数'!$E$13*POWER(A900,'难度参数'!$E$20)*MIN('难度参数'!$E$23,1+MAX(0,A900-'难度参数'!$E$21)*'难度参数'!$E$22))*(36+4*7)/(36+7*(D900+1)/2)*E900,0))</x:f>
        <x:v>18001</x:v>
      </x:c>
      <x:c r="AL900" s="119" t="n">
        <x:f>IF(AJ900=0,0,(AJ900-IF(4=D900,1,0))*ROUND(AK900*VLOOKUP(INDEX('章节与怪物'!$E$31:$K$37,B900,4),'章节与怪物'!$A$41:$F$44,2,FALSE),0)+IF(4=D900,ROUND(AK900*'难度参数'!$E$28*'章节与怪物'!$E$17,0),0))</x:f>
        <x:v>1239351</x:v>
      </x:c>
      <x:c r="AM900" s="119" t="n">
        <x:f>IF(AJ900=0,0,(AJ900-IF(4=D900,1,0))*VLOOKUP(INDEX('章节与怪物'!$E$31:$K$37,B900,4),'章节与怪物'!$A$41:$F$44,4,FALSE)+IF(4=D900,'难度参数'!$E$30,0))</x:f>
        <x:v>1734</x:v>
      </x:c>
      <x:c r="AN900" s="119" t="n">
        <x:f>IF(5&gt;D900,0,MAX(2,MIN('难度参数'!$E$12,ROUND(('难度参数'!$E$18*POWER(A900,'难度参数'!$E$19)/D900*(0.85+0.3*(5-1)/MAX(1,D900-1))),0)+F900)))</x:f>
        <x:v>53</x:v>
      </x:c>
      <x:c r="AO900" s="119" t="n">
        <x:f>IF(5&gt;D900,0,ROUND(('难度参数'!$E$13*POWER(A900,'难度参数'!$E$20)*MIN('难度参数'!$E$23,1+MAX(0,A900-'难度参数'!$E$21)*'难度参数'!$E$22))*(36+5*7)/(36+7*(D900+1)/2)*E900,0))</x:f>
        <x:v>19970</x:v>
      </x:c>
      <x:c r="AP900" s="119" t="n">
        <x:f>IF(AN900=0,0,(AN900-IF(5=D900,1,0))*ROUND(AO900*VLOOKUP(INDEX('章节与怪物'!$E$31:$K$37,B900,5),'章节与怪物'!$A$41:$F$44,2,FALSE),0)+IF(5=D900,ROUND(AO900*'难度参数'!$E$28*'章节与怪物'!$E$17,0),0))</x:f>
        <x:v>1058410</x:v>
      </x:c>
      <x:c r="AQ900" s="119" t="n">
        <x:f>IF(AN900=0,0,(AN900-IF(5=D900,1,0))*VLOOKUP(INDEX('章节与怪物'!$E$31:$K$37,B900,5),'章节与怪物'!$A$41:$F$44,4,FALSE)+IF(5=D900,'难度参数'!$E$30,0))</x:f>
        <x:v>954</x:v>
      </x:c>
      <x:c r="AR900" s="119" t="n">
        <x:f>IF(6&gt;D900,0,MAX(2,MIN('难度参数'!$E$12,ROUND(('难度参数'!$E$18*POWER(A900,'难度参数'!$E$19)/D900*(0.85+0.3*(6-1)/MAX(1,D900-1))),0)+F900)))</x:f>
        <x:v>56</x:v>
      </x:c>
      <x:c r="AS900" s="119" t="n">
        <x:f>IF(6&gt;D900,0,ROUND(('难度参数'!$E$13*POWER(A900,'难度参数'!$E$20)*MIN('难度参数'!$E$23,1+MAX(0,A900-'难度参数'!$E$21)*'难度参数'!$E$22))*(36+6*7)/(36+7*(D900+1)/2)*E900,0))</x:f>
        <x:v>21939</x:v>
      </x:c>
      <x:c r="AT900" s="119" t="n">
        <x:f>IF(AR900=0,0,(AR900-IF(6=D900,1,0))*ROUND(AS900*VLOOKUP(INDEX('章节与怪物'!$E$31:$K$37,B900,6),'章节与怪物'!$A$41:$F$44,2,FALSE),0)+IF(6=D900,ROUND(AS900*'难度参数'!$E$28*'章节与怪物'!$E$17,0),0))</x:f>
        <x:v>884576</x:v>
      </x:c>
      <x:c r="AU900" s="119" t="n">
        <x:f>IF(AR900=0,0,(AR900-IF(6=D900,1,0))*VLOOKUP(INDEX('章节与怪物'!$E$31:$K$37,B900,6),'章节与怪物'!$A$41:$F$44,4,FALSE)+IF(6=D900,'难度参数'!$E$30,0))</x:f>
        <x:v>1120</x:v>
      </x:c>
      <x:c r="AV900" s="119" t="n">
        <x:f>IF(7&gt;D900,0,MAX(2,MIN('难度参数'!$E$12,ROUND(('难度参数'!$E$18*POWER(A900,'难度参数'!$E$19)/D900*(0.85+0.3*(7-1)/MAX(1,D900-1))),0)+F900)))</x:f>
        <x:v>58</x:v>
      </x:c>
      <x:c r="AW900" s="119" t="n">
        <x:f>IF(7&gt;D900,0,ROUND(('难度参数'!$E$13*POWER(A900,'难度参数'!$E$20)*MIN('难度参数'!$E$23,1+MAX(0,A900-'难度参数'!$E$21)*'难度参数'!$E$22))*(36+7*7)/(36+7*(D900+1)/2)*E900,0))</x:f>
        <x:v>23908</x:v>
      </x:c>
      <x:c r="AX900" s="119" t="n">
        <x:f>IF(AV900=0,0,(AV900-IF(7=D900,1,0))*ROUND(AW900*VLOOKUP(INDEX('章节与怪物'!$E$31:$K$37,B900,7),'章节与怪物'!$A$41:$F$44,2,FALSE),0)+IF(7=D900,ROUND(AW900*'难度参数'!$E$28*'章节与怪物'!$E$17,0),0))</x:f>
        <x:v>2002306</x:v>
      </x:c>
      <x:c r="AY900" s="119" t="n">
        <x:f>IF(AV900=0,0,(AV900-IF(7=D900,1,0))*VLOOKUP(INDEX('章节与怪物'!$E$31:$K$37,B900,7),'章节与怪物'!$A$41:$F$44,4,FALSE)+IF(7=D900,'难度参数'!$E$30,0))</x:f>
        <x:v>2138</x:v>
      </x:c>
    </x:row>
    <x:row r="901" ht="23" customHeight="1">
      <x:c r="A901" s="119" t="n">
        <x:v>895</x:v>
      </x:c>
      <x:c r="B901" s="119" t="n">
        <x:f>MOD(INT((A901-1)/5),7)+1</x:f>
        <x:v>4</x:v>
      </x:c>
      <x:c r="C901" s="62" t="str">
        <x:f>INDEX('章节与怪物'!$B$31:$B$37,B901)</x:f>
        <x:v>翠野边城</x:v>
      </x:c>
      <x:c r="D901" s="119" t="n">
        <x:f>MIN('难度参数'!$E$8,MAX('难度参数'!$E$7,A901))</x:f>
        <x:v>7</x:v>
      </x:c>
      <x:c r="E901" s="106" t="n">
        <x:v>1</x:v>
      </x:c>
      <x:c r="F901" s="106" t="n">
        <x:v>0</x:v>
      </x:c>
      <x:c r="G901" s="106" t="n">
        <x:v>1</x:v>
      </x:c>
      <x:c r="H901" s="119" t="n">
        <x:f>SUM(X901,AB901,AF901,AJ901,AN901,AR901,AV901)</x:f>
        <x:v>356</x:v>
      </x:c>
      <x:c r="I901" s="119" t="n">
        <x:f>SUM(Z901,AD901,AH901,AL901,AP901,AT901,AX901)</x:f>
        <x:v>7552581</x:v>
      </x:c>
      <x:c r="J901" s="119" t="n">
        <x:f>ROUND(INDEX(X901:AY901,1,(D901-1)*4+2)*'难度参数'!$E$28*'章节与怪物'!$E$17,0)</x:f>
        <x:v>162704</x:v>
      </x:c>
      <x:c r="K901" s="119" t="n">
        <x:f>SUM(AA901,AE901,AI901,AM901,AQ901,AU901,AY901)</x:f>
        <x:v>9012</x:v>
      </x:c>
      <x:c r="L901" s="62" t="n">
        <x:f>H901*(ROUNDUP('难度参数'!$E$24/('难度参数'!$E$26*'难度参数'!$E$27),0)*'难度参数'!$E$26)/60</x:f>
        <x:v>4.746666666666667</x:v>
      </x:c>
      <x:c r="M901" s="62" t="n">
        <x:f>L901+D901*('难度参数'!$E$49+'难度参数'!$E$50)/60</x:f>
        <x:v>5.913333333333334</x:v>
      </x:c>
      <x:c r="N901" s="119" t="n">
        <x:f>ROUNDDOWN(('经济参数'!$E$20+A901*'经济参数'!$E$21)*G901,0)</x:f>
        <x:v>18080</x:v>
      </x:c>
      <x:c r="O901" s="119" t="n">
        <x:f>ROUNDDOWN(MIN('经济参数'!$E$24,'经济参数'!$E$22+A901*'经济参数'!$E$23)*G901,0)</x:f>
        <x:v>0</x:v>
      </x:c>
      <x:c r="P901" s="119" t="n">
        <x:f>ROUNDDOWN((IF(A901&gt;='材料与任务'!$E$31,'材料与任务'!$E$32,IF(A901&gt;='材料与任务'!$E$25,'材料与任务'!$E$26,IF(A901&gt;='材料与任务'!$E$19,'材料与任务'!$E$20,IF(A901&gt;='材料与任务'!$E$13,'材料与任务'!$E$14,'材料与任务'!$E$8)))))*G901,0)</x:f>
        <x:v>6</x:v>
      </x:c>
      <x:c r="Q901" s="119" t="n">
        <x:f>ROUNDDOWN((IF(A901&gt;='材料与任务'!$E$31,'材料与任务'!$E$33,IF(A901&gt;='材料与任务'!$E$25,'材料与任务'!$E$27,IF(A901&gt;='材料与任务'!$E$19,'材料与任务'!$E$21,IF(A901&gt;='材料与任务'!$E$13,'材料与任务'!$E$15,'材料与任务'!$E$9)))))*G901,0)</x:f>
        <x:v>3</x:v>
      </x:c>
      <x:c r="R901" s="110" t="n">
        <x:f>'装备掉落'!$B$38</x:f>
        <x:v>0.6872058758851213</x:v>
      </x:c>
      <x:c r="S901" s="119" t="n">
        <x:f>MAX(IF(VLOOKUP(A901,'装备掉落'!$A$29:$H$34,2,TRUE)&gt;0,1,0),IF(VLOOKUP(A901,'装备掉落'!$A$29:$H$34,3,TRUE)&gt;0,2,0),IF(VLOOKUP(A901,'装备掉落'!$A$29:$H$34,4,TRUE)&gt;0,3,0),IF(VLOOKUP(A901,'装备掉落'!$A$29:$H$34,5,TRUE)&gt;0,4,0),IF(VLOOKUP(A901,'装备掉落'!$A$29:$H$34,6,TRUE)&gt;0,5,0),IF(VLOOKUP(A901,'装备掉落'!$A$29:$H$34,7,TRUE)&gt;0,6,0),IF(VLOOKUP(A901,'装备掉落'!$A$29:$H$34,8,TRUE)&gt;0,7,0))</x:f>
        <x:v>7</x:v>
      </x:c>
      <x:c r="T901" s="119" t="n">
        <x:f>MIN(7,S901+'经济参数'!$E$70)</x:f>
        <x:v>7</x:v>
      </x:c>
      <x:c r="U901" s="119" t="n">
        <x:f>MIN(7,S901+'经济参数'!$E$71)</x:f>
        <x:v>7</x:v>
      </x:c>
      <x:c r="V901" s="119" t="n">
        <x:f>IF(H901&gt;=('难度参数'!$E$52),1,0)+IF(H901&gt;=('难度参数'!$E$52+'难度参数'!$E$53),1,0)+IF(H901&gt;=('难度参数'!$E$52+'难度参数'!$E$53+'难度参数'!$E$54),1,0)+IF(H901&gt;=('难度参数'!$E$52+'难度参数'!$E$53+'难度参数'!$E$54+'难度参数'!$E$55),1,0)+IF(H901&gt;=('难度参数'!$E$52+'难度参数'!$E$53+'难度参数'!$E$54+'难度参数'!$E$55+'难度参数'!$E$56),1,0)+IF(H901&gt;=('难度参数'!$E$52+'难度参数'!$E$53+'难度参数'!$E$54+'难度参数'!$E$55+'难度参数'!$E$56+'难度参数'!$E$57),1,0)</x:f>
        <x:v>6</x:v>
      </x:c>
      <x:c r="W901" s="62" t="str">
        <x:f>IF(L901&gt;'难度参数'!$E$51,"仅出怪已超目标","还需实测")</x:f>
        <x:v>仅出怪已超目标</x:v>
      </x:c>
      <x:c r="X901" s="119" t="n">
        <x:f>IF(1&gt;D901,0,MAX(2,MIN('难度参数'!$E$12,ROUND(('难度参数'!$E$18*POWER(A901,'难度参数'!$E$19)/D901*(0.85+0.3*(1-1)/MAX(1,D901-1))),0)+F901)))</x:f>
        <x:v>43</x:v>
      </x:c>
      <x:c r="Y901" s="119" t="n">
        <x:f>IF(1&gt;D901,0,ROUND(('难度参数'!$E$13*POWER(A901,'难度参数'!$E$20)*MIN('难度参数'!$E$23,1+MAX(0,A901-'难度参数'!$E$21)*'难度参数'!$E$22))*(36+1*7)/(36+7*(D901+1)/2)*E901,0))</x:f>
        <x:v>12104</x:v>
      </x:c>
      <x:c r="Z901" s="119" t="n">
        <x:f>IF(X901=0,0,(X901-IF(1=D901,1,0))*ROUND(Y901*VLOOKUP(INDEX('章节与怪物'!$E$31:$K$37,B901,1),'章节与怪物'!$A$41:$F$44,2,FALSE),0)+IF(1=D901,ROUND(Y901*'难度参数'!$E$28*'章节与怪物'!$E$17,0),0))</x:f>
        <x:v>374745</x:v>
      </x:c>
      <x:c r="AA901" s="119" t="n">
        <x:f>IF(X901=0,0,(X901-IF(1=D901,1,0))*VLOOKUP(INDEX('章节与怪物'!$E$31:$K$37,B901,1),'章节与怪物'!$A$41:$F$44,4,FALSE)+IF(1=D901,'难度参数'!$E$30,0))</x:f>
        <x:v>860</x:v>
      </x:c>
      <x:c r="AB901" s="119" t="n">
        <x:f>IF(2&gt;D901,0,MAX(2,MIN('难度参数'!$E$12,ROUND(('难度参数'!$E$18*POWER(A901,'难度参数'!$E$19)/D901*(0.85+0.3*(2-1)/MAX(1,D901-1))),0)+F901)))</x:f>
        <x:v>46</x:v>
      </x:c>
      <x:c r="AC901" s="119" t="n">
        <x:f>IF(2&gt;D901,0,ROUND(('难度参数'!$E$13*POWER(A901,'难度参数'!$E$20)*MIN('难度参数'!$E$23,1+MAX(0,A901-'难度参数'!$E$21)*'难度参数'!$E$22))*(36+2*7)/(36+7*(D901+1)/2)*E901,0))</x:f>
        <x:v>14075</x:v>
      </x:c>
      <x:c r="AD901" s="119" t="n">
        <x:f>IF(AB901=0,0,(AB901-IF(2=D901,1,0))*ROUND(AC901*VLOOKUP(INDEX('章节与怪物'!$E$31:$K$37,B901,2),'章节与怪物'!$A$41:$F$44,2,FALSE),0)+IF(2=D901,ROUND(AC901*'难度参数'!$E$28*'章节与怪物'!$E$17,0),0))</x:f>
        <x:v>647450</x:v>
      </x:c>
      <x:c r="AE901" s="119" t="n">
        <x:f>IF(AB901=0,0,(AB901-IF(2=D901,1,0))*VLOOKUP(INDEX('章节与怪物'!$E$31:$K$37,B901,2),'章节与怪物'!$A$41:$F$44,4,FALSE)+IF(2=D901,'难度参数'!$E$30,0))</x:f>
        <x:v>828</x:v>
      </x:c>
      <x:c r="AF901" s="119" t="n">
        <x:f>IF(3&gt;D901,0,MAX(2,MIN('难度参数'!$E$12,ROUND(('难度参数'!$E$18*POWER(A901,'难度参数'!$E$19)/D901*(0.85+0.3*(3-1)/MAX(1,D901-1))),0)+F901)))</x:f>
        <x:v>48</x:v>
      </x:c>
      <x:c r="AG901" s="119" t="n">
        <x:f>IF(3&gt;D901,0,ROUND(('难度参数'!$E$13*POWER(A901,'难度参数'!$E$20)*MIN('难度参数'!$E$23,1+MAX(0,A901-'难度参数'!$E$21)*'难度参数'!$E$22))*(36+3*7)/(36+7*(D901+1)/2)*E901,0))</x:f>
        <x:v>16045</x:v>
      </x:c>
      <x:c r="AH901" s="119" t="n">
        <x:f>IF(AF901=0,0,(AF901-IF(3=D901,1,0))*ROUND(AG901*VLOOKUP(INDEX('章节与怪物'!$E$31:$K$37,B901,3),'章节与怪物'!$A$41:$F$44,2,FALSE),0)+IF(3=D901,ROUND(AG901*'难度参数'!$E$28*'章节与怪物'!$E$17,0),0))</x:f>
        <x:v>1309296</x:v>
      </x:c>
      <x:c r="AI901" s="119" t="n">
        <x:f>IF(AF901=0,0,(AF901-IF(3=D901,1,0))*VLOOKUP(INDEX('章节与怪物'!$E$31:$K$37,B901,3),'章节与怪物'!$A$41:$F$44,4,FALSE)+IF(3=D901,'难度参数'!$E$30,0))</x:f>
        <x:v>1344</x:v>
      </x:c>
      <x:c r="AJ901" s="119" t="n">
        <x:f>IF(4&gt;D901,0,MAX(2,MIN('难度参数'!$E$12,ROUND(('难度参数'!$E$18*POWER(A901,'难度参数'!$E$19)/D901*(0.85+0.3*(4-1)/MAX(1,D901-1))),0)+F901)))</x:f>
        <x:v>51</x:v>
      </x:c>
      <x:c r="AK901" s="119" t="n">
        <x:f>IF(4&gt;D901,0,ROUND(('难度参数'!$E$13*POWER(A901,'难度参数'!$E$20)*MIN('难度参数'!$E$23,1+MAX(0,A901-'难度参数'!$E$21)*'难度参数'!$E$22))*(36+4*7)/(36+7*(D901+1)/2)*E901,0))</x:f>
        <x:v>18016</x:v>
      </x:c>
      <x:c r="AL901" s="119" t="n">
        <x:f>IF(AJ901=0,0,(AJ901-IF(4=D901,1,0))*ROUND(AK901*VLOOKUP(INDEX('章节与怪物'!$E$31:$K$37,B901,4),'章节与怪物'!$A$41:$F$44,2,FALSE),0)+IF(4=D901,ROUND(AK901*'难度参数'!$E$28*'章节与怪物'!$E$17,0),0))</x:f>
        <x:v>1240422</x:v>
      </x:c>
      <x:c r="AM901" s="119" t="n">
        <x:f>IF(AJ901=0,0,(AJ901-IF(4=D901,1,0))*VLOOKUP(INDEX('章节与怪物'!$E$31:$K$37,B901,4),'章节与怪物'!$A$41:$F$44,4,FALSE)+IF(4=D901,'难度参数'!$E$30,0))</x:f>
        <x:v>1734</x:v>
      </x:c>
      <x:c r="AN901" s="119" t="n">
        <x:f>IF(5&gt;D901,0,MAX(2,MIN('难度参数'!$E$12,ROUND(('难度参数'!$E$18*POWER(A901,'难度参数'!$E$19)/D901*(0.85+0.3*(5-1)/MAX(1,D901-1))),0)+F901)))</x:f>
        <x:v>53</x:v>
      </x:c>
      <x:c r="AO901" s="119" t="n">
        <x:f>IF(5&gt;D901,0,ROUND(('难度参数'!$E$13*POWER(A901,'难度参数'!$E$20)*MIN('难度参数'!$E$23,1+MAX(0,A901-'难度参数'!$E$21)*'难度参数'!$E$22))*(36+5*7)/(36+7*(D901+1)/2)*E901,0))</x:f>
        <x:v>19986</x:v>
      </x:c>
      <x:c r="AP901" s="119" t="n">
        <x:f>IF(AN901=0,0,(AN901-IF(5=D901,1,0))*ROUND(AO901*VLOOKUP(INDEX('章节与怪物'!$E$31:$K$37,B901,5),'章节与怪物'!$A$41:$F$44,2,FALSE),0)+IF(5=D901,ROUND(AO901*'难度参数'!$E$28*'章节与怪物'!$E$17,0),0))</x:f>
        <x:v>1059258</x:v>
      </x:c>
      <x:c r="AQ901" s="119" t="n">
        <x:f>IF(AN901=0,0,(AN901-IF(5=D901,1,0))*VLOOKUP(INDEX('章节与怪物'!$E$31:$K$37,B901,5),'章节与怪物'!$A$41:$F$44,4,FALSE)+IF(5=D901,'难度参数'!$E$30,0))</x:f>
        <x:v>954</x:v>
      </x:c>
      <x:c r="AR901" s="119" t="n">
        <x:f>IF(6&gt;D901,0,MAX(2,MIN('难度参数'!$E$12,ROUND(('难度参数'!$E$18*POWER(A901,'难度参数'!$E$19)/D901*(0.85+0.3*(6-1)/MAX(1,D901-1))),0)+F901)))</x:f>
        <x:v>56</x:v>
      </x:c>
      <x:c r="AS901" s="119" t="n">
        <x:f>IF(6&gt;D901,0,ROUND(('难度参数'!$E$13*POWER(A901,'难度参数'!$E$20)*MIN('难度参数'!$E$23,1+MAX(0,A901-'难度参数'!$E$21)*'难度参数'!$E$22))*(36+6*7)/(36+7*(D901+1)/2)*E901,0))</x:f>
        <x:v>21956</x:v>
      </x:c>
      <x:c r="AT901" s="119" t="n">
        <x:f>IF(AR901=0,0,(AR901-IF(6=D901,1,0))*ROUND(AS901*VLOOKUP(INDEX('章节与怪物'!$E$31:$K$37,B901,6),'章节与怪物'!$A$41:$F$44,2,FALSE),0)+IF(6=D901,ROUND(AS901*'难度参数'!$E$28*'章节与怪物'!$E$17,0),0))</x:f>
        <x:v>885248</x:v>
      </x:c>
      <x:c r="AU901" s="119" t="n">
        <x:f>IF(AR901=0,0,(AR901-IF(6=D901,1,0))*VLOOKUP(INDEX('章节与怪物'!$E$31:$K$37,B901,6),'章节与怪物'!$A$41:$F$44,4,FALSE)+IF(6=D901,'难度参数'!$E$30,0))</x:f>
        <x:v>1120</x:v>
      </x:c>
      <x:c r="AV901" s="119" t="n">
        <x:f>IF(7&gt;D901,0,MAX(2,MIN('难度参数'!$E$12,ROUND(('难度参数'!$E$18*POWER(A901,'难度参数'!$E$19)/D901*(0.85+0.3*(7-1)/MAX(1,D901-1))),0)+F901)))</x:f>
        <x:v>59</x:v>
      </x:c>
      <x:c r="AW901" s="119" t="n">
        <x:f>IF(7&gt;D901,0,ROUND(('难度参数'!$E$13*POWER(A901,'难度参数'!$E$20)*MIN('难度参数'!$E$23,1+MAX(0,A901-'难度参数'!$E$21)*'难度参数'!$E$22))*(36+7*7)/(36+7*(D901+1)/2)*E901,0))</x:f>
        <x:v>23927</x:v>
      </x:c>
      <x:c r="AX901" s="119" t="n">
        <x:f>IF(AV901=0,0,(AV901-IF(7=D901,1,0))*ROUND(AW901*VLOOKUP(INDEX('章节与怪物'!$E$31:$K$37,B901,7),'章节与怪物'!$A$41:$F$44,2,FALSE),0)+IF(7=D901,ROUND(AW901*'难度参数'!$E$28*'章节与怪物'!$E$17,0),0))</x:f>
        <x:v>2036162</x:v>
      </x:c>
      <x:c r="AY901" s="119" t="n">
        <x:f>IF(AV901=0,0,(AV901-IF(7=D901,1,0))*VLOOKUP(INDEX('章节与怪物'!$E$31:$K$37,B901,7),'章节与怪物'!$A$41:$F$44,4,FALSE)+IF(7=D901,'难度参数'!$E$30,0))</x:f>
        <x:v>2172</x:v>
      </x:c>
    </x:row>
    <x:row r="902" ht="23" customHeight="1">
      <x:c r="A902" s="119" t="n">
        <x:v>896</x:v>
      </x:c>
      <x:c r="B902" s="119" t="n">
        <x:f>MOD(INT((A902-1)/5),7)+1</x:f>
        <x:v>5</x:v>
      </x:c>
      <x:c r="C902" s="62" t="str">
        <x:f>INDEX('章节与怪物'!$B$31:$B$37,B902)</x:f>
        <x:v>雨林遗迹</x:v>
      </x:c>
      <x:c r="D902" s="119" t="n">
        <x:f>MIN('难度参数'!$E$8,MAX('难度参数'!$E$7,A902))</x:f>
        <x:v>7</x:v>
      </x:c>
      <x:c r="E902" s="106" t="n">
        <x:v>1</x:v>
      </x:c>
      <x:c r="F902" s="106" t="n">
        <x:v>0</x:v>
      </x:c>
      <x:c r="G902" s="106" t="n">
        <x:v>1</x:v>
      </x:c>
      <x:c r="H902" s="119" t="n">
        <x:f>SUM(X902,AB902,AF902,AJ902,AN902,AR902,AV902)</x:f>
        <x:v>356</x:v>
      </x:c>
      <x:c r="I902" s="119" t="n">
        <x:f>SUM(Z902,AD902,AH902,AL902,AP902,AT902,AX902)</x:f>
        <x:v>8432165</x:v>
      </x:c>
      <x:c r="J902" s="119" t="n">
        <x:f>ROUND(INDEX(X902:AY902,1,(D902-1)*4+2)*'难度参数'!$E$28*'章节与怪物'!$E$17,0)</x:f>
        <x:v>162833</x:v>
      </x:c>
      <x:c r="K902" s="119" t="n">
        <x:f>SUM(AA902,AE902,AI902,AM902,AQ902,AU902,AY902)</x:f>
        <x:v>9572</x:v>
      </x:c>
      <x:c r="L902" s="62" t="n">
        <x:f>H902*(ROUNDUP('难度参数'!$E$24/('难度参数'!$E$26*'难度参数'!$E$27),0)*'难度参数'!$E$26)/60</x:f>
        <x:v>4.746666666666667</x:v>
      </x:c>
      <x:c r="M902" s="62" t="n">
        <x:f>L902+D902*('难度参数'!$E$49+'难度参数'!$E$50)/60</x:f>
        <x:v>5.913333333333334</x:v>
      </x:c>
      <x:c r="N902" s="119" t="n">
        <x:f>ROUNDDOWN(('经济参数'!$E$20+A902*'经济参数'!$E$21)*G902,0)</x:f>
        <x:v>18100</x:v>
      </x:c>
      <x:c r="O902" s="119" t="n">
        <x:f>ROUNDDOWN(MIN('经济参数'!$E$24,'经济参数'!$E$22+A902*'经济参数'!$E$23)*G902,0)</x:f>
        <x:v>0</x:v>
      </x:c>
      <x:c r="P902" s="119" t="n">
        <x:f>ROUNDDOWN((IF(A902&gt;='材料与任务'!$E$31,'材料与任务'!$E$32,IF(A902&gt;='材料与任务'!$E$25,'材料与任务'!$E$26,IF(A902&gt;='材料与任务'!$E$19,'材料与任务'!$E$20,IF(A902&gt;='材料与任务'!$E$13,'材料与任务'!$E$14,'材料与任务'!$E$8)))))*G902,0)</x:f>
        <x:v>6</x:v>
      </x:c>
      <x:c r="Q902" s="119" t="n">
        <x:f>ROUNDDOWN((IF(A902&gt;='材料与任务'!$E$31,'材料与任务'!$E$33,IF(A902&gt;='材料与任务'!$E$25,'材料与任务'!$E$27,IF(A902&gt;='材料与任务'!$E$19,'材料与任务'!$E$21,IF(A902&gt;='材料与任务'!$E$13,'材料与任务'!$E$15,'材料与任务'!$E$9)))))*G902,0)</x:f>
        <x:v>3</x:v>
      </x:c>
      <x:c r="R902" s="110" t="n">
        <x:f>'装备掉落'!$B$38</x:f>
        <x:v>0.6872058758851213</x:v>
      </x:c>
      <x:c r="S902" s="119" t="n">
        <x:f>MAX(IF(VLOOKUP(A902,'装备掉落'!$A$29:$H$34,2,TRUE)&gt;0,1,0),IF(VLOOKUP(A902,'装备掉落'!$A$29:$H$34,3,TRUE)&gt;0,2,0),IF(VLOOKUP(A902,'装备掉落'!$A$29:$H$34,4,TRUE)&gt;0,3,0),IF(VLOOKUP(A902,'装备掉落'!$A$29:$H$34,5,TRUE)&gt;0,4,0),IF(VLOOKUP(A902,'装备掉落'!$A$29:$H$34,6,TRUE)&gt;0,5,0),IF(VLOOKUP(A902,'装备掉落'!$A$29:$H$34,7,TRUE)&gt;0,6,0),IF(VLOOKUP(A902,'装备掉落'!$A$29:$H$34,8,TRUE)&gt;0,7,0))</x:f>
        <x:v>7</x:v>
      </x:c>
      <x:c r="T902" s="119" t="n">
        <x:f>MIN(7,S902+'经济参数'!$E$70)</x:f>
        <x:v>7</x:v>
      </x:c>
      <x:c r="U902" s="119" t="n">
        <x:f>MIN(7,S902+'经济参数'!$E$71)</x:f>
        <x:v>7</x:v>
      </x:c>
      <x:c r="V902" s="119" t="n">
        <x:f>IF(H902&gt;=('难度参数'!$E$52),1,0)+IF(H902&gt;=('难度参数'!$E$52+'难度参数'!$E$53),1,0)+IF(H902&gt;=('难度参数'!$E$52+'难度参数'!$E$53+'难度参数'!$E$54),1,0)+IF(H902&gt;=('难度参数'!$E$52+'难度参数'!$E$53+'难度参数'!$E$54+'难度参数'!$E$55),1,0)+IF(H902&gt;=('难度参数'!$E$52+'难度参数'!$E$53+'难度参数'!$E$54+'难度参数'!$E$55+'难度参数'!$E$56),1,0)+IF(H902&gt;=('难度参数'!$E$52+'难度参数'!$E$53+'难度参数'!$E$54+'难度参数'!$E$55+'难度参数'!$E$56+'难度参数'!$E$57),1,0)</x:f>
        <x:v>6</x:v>
      </x:c>
      <x:c r="W902" s="62" t="str">
        <x:f>IF(L902&gt;'难度参数'!$E$51,"仅出怪已超目标","还需实测")</x:f>
        <x:v>仅出怪已超目标</x:v>
      </x:c>
      <x:c r="X902" s="119" t="n">
        <x:f>IF(1&gt;D902,0,MAX(2,MIN('难度参数'!$E$12,ROUND(('难度参数'!$E$18*POWER(A902,'难度参数'!$E$19)/D902*(0.85+0.3*(1-1)/MAX(1,D902-1))),0)+F902)))</x:f>
        <x:v>43</x:v>
      </x:c>
      <x:c r="Y902" s="119" t="n">
        <x:f>IF(1&gt;D902,0,ROUND(('难度参数'!$E$13*POWER(A902,'难度参数'!$E$20)*MIN('难度参数'!$E$23,1+MAX(0,A902-'难度参数'!$E$21)*'难度参数'!$E$22))*(36+1*7)/(36+7*(D902+1)/2)*E902,0))</x:f>
        <x:v>12114</x:v>
      </x:c>
      <x:c r="Z902" s="119" t="n">
        <x:f>IF(X902=0,0,(X902-IF(1=D902,1,0))*ROUND(Y902*VLOOKUP(INDEX('章节与怪物'!$E$31:$K$37,B902,1),'章节与怪物'!$A$41:$F$44,2,FALSE),0)+IF(1=D902,ROUND(Y902*'难度参数'!$E$28*'章节与怪物'!$E$17,0),0))</x:f>
        <x:v>520902</x:v>
      </x:c>
      <x:c r="AA902" s="119" t="n">
        <x:f>IF(X902=0,0,(X902-IF(1=D902,1,0))*VLOOKUP(INDEX('章节与怪物'!$E$31:$K$37,B902,1),'章节与怪物'!$A$41:$F$44,4,FALSE)+IF(1=D902,'难度参数'!$E$30,0))</x:f>
        <x:v>774</x:v>
      </x:c>
      <x:c r="AB902" s="119" t="n">
        <x:f>IF(2&gt;D902,0,MAX(2,MIN('难度参数'!$E$12,ROUND(('难度参数'!$E$18*POWER(A902,'难度参数'!$E$19)/D902*(0.85+0.3*(2-1)/MAX(1,D902-1))),0)+F902)))</x:f>
        <x:v>46</x:v>
      </x:c>
      <x:c r="AC902" s="119" t="n">
        <x:f>IF(2&gt;D902,0,ROUND(('难度参数'!$E$13*POWER(A902,'难度参数'!$E$20)*MIN('难度参数'!$E$23,1+MAX(0,A902-'难度参数'!$E$21)*'难度参数'!$E$22))*(36+2*7)/(36+7*(D902+1)/2)*E902,0))</x:f>
        <x:v>14086</x:v>
      </x:c>
      <x:c r="AD902" s="119" t="n">
        <x:f>IF(AB902=0,0,(AB902-IF(2=D902,1,0))*ROUND(AC902*VLOOKUP(INDEX('章节与怪物'!$E$31:$K$37,B902,2),'章节与怪物'!$A$41:$F$44,2,FALSE),0)+IF(2=D902,ROUND(AC902*'难度参数'!$E$28*'章节与怪物'!$E$17,0),0))</x:f>
        <x:v>466532</x:v>
      </x:c>
      <x:c r="AE902" s="119" t="n">
        <x:f>IF(AB902=0,0,(AB902-IF(2=D902,1,0))*VLOOKUP(INDEX('章节与怪物'!$E$31:$K$37,B902,2),'章节与怪物'!$A$41:$F$44,4,FALSE)+IF(2=D902,'难度参数'!$E$30,0))</x:f>
        <x:v>920</x:v>
      </x:c>
      <x:c r="AF902" s="119" t="n">
        <x:f>IF(3&gt;D902,0,MAX(2,MIN('难度参数'!$E$12,ROUND(('难度参数'!$E$18*POWER(A902,'难度参数'!$E$19)/D902*(0.85+0.3*(3-1)/MAX(1,D902-1))),0)+F902)))</x:f>
        <x:v>48</x:v>
      </x:c>
      <x:c r="AG902" s="119" t="n">
        <x:f>IF(3&gt;D902,0,ROUND(('难度参数'!$E$13*POWER(A902,'难度参数'!$E$20)*MIN('难度参数'!$E$23,1+MAX(0,A902-'难度参数'!$E$21)*'难度参数'!$E$22))*(36+3*7)/(36+7*(D902+1)/2)*E902,0))</x:f>
        <x:v>16058</x:v>
      </x:c>
      <x:c r="AH902" s="119" t="n">
        <x:f>IF(AF902=0,0,(AF902-IF(3=D902,1,0))*ROUND(AG902*VLOOKUP(INDEX('章节与怪物'!$E$31:$K$37,B902,3),'章节与怪物'!$A$41:$F$44,2,FALSE),0)+IF(3=D902,ROUND(AG902*'难度参数'!$E$28*'章节与怪物'!$E$17,0),0))</x:f>
        <x:v>1310352</x:v>
      </x:c>
      <x:c r="AI902" s="119" t="n">
        <x:f>IF(AF902=0,0,(AF902-IF(3=D902,1,0))*VLOOKUP(INDEX('章节与怪物'!$E$31:$K$37,B902,3),'章节与怪物'!$A$41:$F$44,4,FALSE)+IF(3=D902,'难度参数'!$E$30,0))</x:f>
        <x:v>1344</x:v>
      </x:c>
      <x:c r="AJ902" s="119" t="n">
        <x:f>IF(4&gt;D902,0,MAX(2,MIN('难度参数'!$E$12,ROUND(('难度参数'!$E$18*POWER(A902,'难度参数'!$E$19)/D902*(0.85+0.3*(4-1)/MAX(1,D902-1))),0)+F902)))</x:f>
        <x:v>51</x:v>
      </x:c>
      <x:c r="AK902" s="119" t="n">
        <x:f>IF(4&gt;D902,0,ROUND(('难度参数'!$E$13*POWER(A902,'难度参数'!$E$20)*MIN('难度参数'!$E$23,1+MAX(0,A902-'难度参数'!$E$21)*'难度参数'!$E$22))*(36+4*7)/(36+7*(D902+1)/2)*E902,0))</x:f>
        <x:v>18030</x:v>
      </x:c>
      <x:c r="AL902" s="119" t="n">
        <x:f>IF(AJ902=0,0,(AJ902-IF(4=D902,1,0))*ROUND(AK902*VLOOKUP(INDEX('章节与怪物'!$E$31:$K$37,B902,4),'章节与怪物'!$A$41:$F$44,2,FALSE),0)+IF(4=D902,ROUND(AK902*'难度参数'!$E$28*'章节与怪物'!$E$17,0),0))</x:f>
        <x:v>1241391</x:v>
      </x:c>
      <x:c r="AM902" s="119" t="n">
        <x:f>IF(AJ902=0,0,(AJ902-IF(4=D902,1,0))*VLOOKUP(INDEX('章节与怪物'!$E$31:$K$37,B902,4),'章节与怪物'!$A$41:$F$44,4,FALSE)+IF(4=D902,'难度参数'!$E$30,0))</x:f>
        <x:v>1734</x:v>
      </x:c>
      <x:c r="AN902" s="119" t="n">
        <x:f>IF(5&gt;D902,0,MAX(2,MIN('难度参数'!$E$12,ROUND(('难度参数'!$E$18*POWER(A902,'难度参数'!$E$19)/D902*(0.85+0.3*(5-1)/MAX(1,D902-1))),0)+F902)))</x:f>
        <x:v>53</x:v>
      </x:c>
      <x:c r="AO902" s="119" t="n">
        <x:f>IF(5&gt;D902,0,ROUND(('难度参数'!$E$13*POWER(A902,'难度参数'!$E$20)*MIN('难度参数'!$E$23,1+MAX(0,A902-'难度参数'!$E$21)*'难度参数'!$E$22))*(36+5*7)/(36+7*(D902+1)/2)*E902,0))</x:f>
        <x:v>20002</x:v>
      </x:c>
      <x:c r="AP902" s="119" t="n">
        <x:f>IF(AN902=0,0,(AN902-IF(5=D902,1,0))*ROUND(AO902*VLOOKUP(INDEX('章节与怪物'!$E$31:$K$37,B902,5),'章节与怪物'!$A$41:$F$44,2,FALSE),0)+IF(5=D902,ROUND(AO902*'难度参数'!$E$28*'章节与怪物'!$E$17,0),0))</x:f>
        <x:v>763253</x:v>
      </x:c>
      <x:c r="AQ902" s="119" t="n">
        <x:f>IF(AN902=0,0,(AN902-IF(5=D902,1,0))*VLOOKUP(INDEX('章节与怪物'!$E$31:$K$37,B902,5),'章节与怪物'!$A$41:$F$44,4,FALSE)+IF(5=D902,'难度参数'!$E$30,0))</x:f>
        <x:v>1060</x:v>
      </x:c>
      <x:c r="AR902" s="119" t="n">
        <x:f>IF(6&gt;D902,0,MAX(2,MIN('难度参数'!$E$12,ROUND(('难度参数'!$E$18*POWER(A902,'难度参数'!$E$19)/D902*(0.85+0.3*(6-1)/MAX(1,D902-1))),0)+F902)))</x:f>
        <x:v>56</x:v>
      </x:c>
      <x:c r="AS902" s="119" t="n">
        <x:f>IF(6&gt;D902,0,ROUND(('难度参数'!$E$13*POWER(A902,'难度参数'!$E$20)*MIN('难度参数'!$E$23,1+MAX(0,A902-'难度参数'!$E$21)*'难度参数'!$E$22))*(36+6*7)/(36+7*(D902+1)/2)*E902,0))</x:f>
        <x:v>21974</x:v>
      </x:c>
      <x:c r="AT902" s="119" t="n">
        <x:f>IF(AR902=0,0,(AR902-IF(6=D902,1,0))*ROUND(AS902*VLOOKUP(INDEX('章节与怪物'!$E$31:$K$37,B902,6),'章节与怪物'!$A$41:$F$44,2,FALSE),0)+IF(6=D902,ROUND(AS902*'难度参数'!$E$28*'章节与怪物'!$E$17,0),0))</x:f>
        <x:v>2091936</x:v>
      </x:c>
      <x:c r="AU902" s="119" t="n">
        <x:f>IF(AR902=0,0,(AR902-IF(6=D902,1,0))*VLOOKUP(INDEX('章节与怪物'!$E$31:$K$37,B902,6),'章节与怪物'!$A$41:$F$44,4,FALSE)+IF(6=D902,'难度参数'!$E$30,0))</x:f>
        <x:v>1568</x:v>
      </x:c>
      <x:c r="AV902" s="119" t="n">
        <x:f>IF(7&gt;D902,0,MAX(2,MIN('难度参数'!$E$12,ROUND(('难度参数'!$E$18*POWER(A902,'难度参数'!$E$19)/D902*(0.85+0.3*(7-1)/MAX(1,D902-1))),0)+F902)))</x:f>
        <x:v>59</x:v>
      </x:c>
      <x:c r="AW902" s="119" t="n">
        <x:f>IF(7&gt;D902,0,ROUND(('难度参数'!$E$13*POWER(A902,'难度参数'!$E$20)*MIN('难度参数'!$E$23,1+MAX(0,A902-'难度参数'!$E$21)*'难度参数'!$E$22))*(36+7*7)/(36+7*(D902+1)/2)*E902,0))</x:f>
        <x:v>23946</x:v>
      </x:c>
      <x:c r="AX902" s="119" t="n">
        <x:f>IF(AV902=0,0,(AV902-IF(7=D902,1,0))*ROUND(AW902*VLOOKUP(INDEX('章节与怪物'!$E$31:$K$37,B902,7),'章节与怪物'!$A$41:$F$44,2,FALSE),0)+IF(7=D902,ROUND(AW902*'难度参数'!$E$28*'章节与怪物'!$E$17,0),0))</x:f>
        <x:v>2037799</x:v>
      </x:c>
      <x:c r="AY902" s="119" t="n">
        <x:f>IF(AV902=0,0,(AV902-IF(7=D902,1,0))*VLOOKUP(INDEX('章节与怪物'!$E$31:$K$37,B902,7),'章节与怪物'!$A$41:$F$44,4,FALSE)+IF(7=D902,'难度参数'!$E$30,0))</x:f>
        <x:v>2172</x:v>
      </x:c>
    </x:row>
    <x:row r="903" ht="23" customHeight="1">
      <x:c r="A903" s="119" t="n">
        <x:v>897</x:v>
      </x:c>
      <x:c r="B903" s="119" t="n">
        <x:f>MOD(INT((A903-1)/5),7)+1</x:f>
        <x:v>5</x:v>
      </x:c>
      <x:c r="C903" s="62" t="str">
        <x:f>INDEX('章节与怪物'!$B$31:$B$37,B903)</x:f>
        <x:v>雨林遗迹</x:v>
      </x:c>
      <x:c r="D903" s="119" t="n">
        <x:f>MIN('难度参数'!$E$8,MAX('难度参数'!$E$7,A903))</x:f>
        <x:v>7</x:v>
      </x:c>
      <x:c r="E903" s="106" t="n">
        <x:v>1</x:v>
      </x:c>
      <x:c r="F903" s="106" t="n">
        <x:v>0</x:v>
      </x:c>
      <x:c r="G903" s="106" t="n">
        <x:v>1</x:v>
      </x:c>
      <x:c r="H903" s="119" t="n">
        <x:f>SUM(X903,AB903,AF903,AJ903,AN903,AR903,AV903)</x:f>
        <x:v>356</x:v>
      </x:c>
      <x:c r="I903" s="119" t="n">
        <x:f>SUM(Z903,AD903,AH903,AL903,AP903,AT903,AX903)</x:f>
        <x:v>8438890</x:v>
      </x:c>
      <x:c r="J903" s="119" t="n">
        <x:f>ROUND(INDEX(X903:AY903,1,(D903-1)*4+2)*'难度参数'!$E$28*'章节与怪物'!$E$17,0)</x:f>
        <x:v>162962</x:v>
      </x:c>
      <x:c r="K903" s="119" t="n">
        <x:f>SUM(AA903,AE903,AI903,AM903,AQ903,AU903,AY903)</x:f>
        <x:v>9572</x:v>
      </x:c>
      <x:c r="L903" s="62" t="n">
        <x:f>H903*(ROUNDUP('难度参数'!$E$24/('难度参数'!$E$26*'难度参数'!$E$27),0)*'难度参数'!$E$26)/60</x:f>
        <x:v>4.746666666666667</x:v>
      </x:c>
      <x:c r="M903" s="62" t="n">
        <x:f>L903+D903*('难度参数'!$E$49+'难度参数'!$E$50)/60</x:f>
        <x:v>5.913333333333334</x:v>
      </x:c>
      <x:c r="N903" s="119" t="n">
        <x:f>ROUNDDOWN(('经济参数'!$E$20+A903*'经济参数'!$E$21)*G903,0)</x:f>
        <x:v>18120</x:v>
      </x:c>
      <x:c r="O903" s="119" t="n">
        <x:f>ROUNDDOWN(MIN('经济参数'!$E$24,'经济参数'!$E$22+A903*'经济参数'!$E$23)*G903,0)</x:f>
        <x:v>0</x:v>
      </x:c>
      <x:c r="P903" s="119" t="n">
        <x:f>ROUNDDOWN((IF(A903&gt;='材料与任务'!$E$31,'材料与任务'!$E$32,IF(A903&gt;='材料与任务'!$E$25,'材料与任务'!$E$26,IF(A903&gt;='材料与任务'!$E$19,'材料与任务'!$E$20,IF(A903&gt;='材料与任务'!$E$13,'材料与任务'!$E$14,'材料与任务'!$E$8)))))*G903,0)</x:f>
        <x:v>6</x:v>
      </x:c>
      <x:c r="Q903" s="119" t="n">
        <x:f>ROUNDDOWN((IF(A903&gt;='材料与任务'!$E$31,'材料与任务'!$E$33,IF(A903&gt;='材料与任务'!$E$25,'材料与任务'!$E$27,IF(A903&gt;='材料与任务'!$E$19,'材料与任务'!$E$21,IF(A903&gt;='材料与任务'!$E$13,'材料与任务'!$E$15,'材料与任务'!$E$9)))))*G903,0)</x:f>
        <x:v>3</x:v>
      </x:c>
      <x:c r="R903" s="110" t="n">
        <x:f>'装备掉落'!$B$38</x:f>
        <x:v>0.6872058758851213</x:v>
      </x:c>
      <x:c r="S903" s="119" t="n">
        <x:f>MAX(IF(VLOOKUP(A903,'装备掉落'!$A$29:$H$34,2,TRUE)&gt;0,1,0),IF(VLOOKUP(A903,'装备掉落'!$A$29:$H$34,3,TRUE)&gt;0,2,0),IF(VLOOKUP(A903,'装备掉落'!$A$29:$H$34,4,TRUE)&gt;0,3,0),IF(VLOOKUP(A903,'装备掉落'!$A$29:$H$34,5,TRUE)&gt;0,4,0),IF(VLOOKUP(A903,'装备掉落'!$A$29:$H$34,6,TRUE)&gt;0,5,0),IF(VLOOKUP(A903,'装备掉落'!$A$29:$H$34,7,TRUE)&gt;0,6,0),IF(VLOOKUP(A903,'装备掉落'!$A$29:$H$34,8,TRUE)&gt;0,7,0))</x:f>
        <x:v>7</x:v>
      </x:c>
      <x:c r="T903" s="119" t="n">
        <x:f>MIN(7,S903+'经济参数'!$E$70)</x:f>
        <x:v>7</x:v>
      </x:c>
      <x:c r="U903" s="119" t="n">
        <x:f>MIN(7,S903+'经济参数'!$E$71)</x:f>
        <x:v>7</x:v>
      </x:c>
      <x:c r="V903" s="119" t="n">
        <x:f>IF(H903&gt;=('难度参数'!$E$52),1,0)+IF(H903&gt;=('难度参数'!$E$52+'难度参数'!$E$53),1,0)+IF(H903&gt;=('难度参数'!$E$52+'难度参数'!$E$53+'难度参数'!$E$54),1,0)+IF(H903&gt;=('难度参数'!$E$52+'难度参数'!$E$53+'难度参数'!$E$54+'难度参数'!$E$55),1,0)+IF(H903&gt;=('难度参数'!$E$52+'难度参数'!$E$53+'难度参数'!$E$54+'难度参数'!$E$55+'难度参数'!$E$56),1,0)+IF(H903&gt;=('难度参数'!$E$52+'难度参数'!$E$53+'难度参数'!$E$54+'难度参数'!$E$55+'难度参数'!$E$56+'难度参数'!$E$57),1,0)</x:f>
        <x:v>6</x:v>
      </x:c>
      <x:c r="W903" s="62" t="str">
        <x:f>IF(L903&gt;'难度参数'!$E$51,"仅出怪已超目标","还需实测")</x:f>
        <x:v>仅出怪已超目标</x:v>
      </x:c>
      <x:c r="X903" s="119" t="n">
        <x:f>IF(1&gt;D903,0,MAX(2,MIN('难度参数'!$E$12,ROUND(('难度参数'!$E$18*POWER(A903,'难度参数'!$E$19)/D903*(0.85+0.3*(1-1)/MAX(1,D903-1))),0)+F903)))</x:f>
        <x:v>43</x:v>
      </x:c>
      <x:c r="Y903" s="119" t="n">
        <x:f>IF(1&gt;D903,0,ROUND(('难度参数'!$E$13*POWER(A903,'难度参数'!$E$20)*MIN('难度参数'!$E$23,1+MAX(0,A903-'难度参数'!$E$21)*'难度参数'!$E$22))*(36+1*7)/(36+7*(D903+1)/2)*E903,0))</x:f>
        <x:v>12124</x:v>
      </x:c>
      <x:c r="Z903" s="119" t="n">
        <x:f>IF(X903=0,0,(X903-IF(1=D903,1,0))*ROUND(Y903*VLOOKUP(INDEX('章节与怪物'!$E$31:$K$37,B903,1),'章节与怪物'!$A$41:$F$44,2,FALSE),0)+IF(1=D903,ROUND(Y903*'难度参数'!$E$28*'章节与怪物'!$E$17,0),0))</x:f>
        <x:v>521332</x:v>
      </x:c>
      <x:c r="AA903" s="119" t="n">
        <x:f>IF(X903=0,0,(X903-IF(1=D903,1,0))*VLOOKUP(INDEX('章节与怪物'!$E$31:$K$37,B903,1),'章节与怪物'!$A$41:$F$44,4,FALSE)+IF(1=D903,'难度参数'!$E$30,0))</x:f>
        <x:v>774</x:v>
      </x:c>
      <x:c r="AB903" s="119" t="n">
        <x:f>IF(2&gt;D903,0,MAX(2,MIN('难度参数'!$E$12,ROUND(('难度参数'!$E$18*POWER(A903,'难度参数'!$E$19)/D903*(0.85+0.3*(2-1)/MAX(1,D903-1))),0)+F903)))</x:f>
        <x:v>46</x:v>
      </x:c>
      <x:c r="AC903" s="119" t="n">
        <x:f>IF(2&gt;D903,0,ROUND(('难度参数'!$E$13*POWER(A903,'难度参数'!$E$20)*MIN('难度参数'!$E$23,1+MAX(0,A903-'难度参数'!$E$21)*'难度参数'!$E$22))*(36+2*7)/(36+7*(D903+1)/2)*E903,0))</x:f>
        <x:v>14097</x:v>
      </x:c>
      <x:c r="AD903" s="119" t="n">
        <x:f>IF(AB903=0,0,(AB903-IF(2=D903,1,0))*ROUND(AC903*VLOOKUP(INDEX('章节与怪物'!$E$31:$K$37,B903,2),'章节与怪物'!$A$41:$F$44,2,FALSE),0)+IF(2=D903,ROUND(AC903*'难度参数'!$E$28*'章节与怪物'!$E$17,0),0))</x:f>
        <x:v>466900</x:v>
      </x:c>
      <x:c r="AE903" s="119" t="n">
        <x:f>IF(AB903=0,0,(AB903-IF(2=D903,1,0))*VLOOKUP(INDEX('章节与怪物'!$E$31:$K$37,B903,2),'章节与怪物'!$A$41:$F$44,4,FALSE)+IF(2=D903,'难度参数'!$E$30,0))</x:f>
        <x:v>920</x:v>
      </x:c>
      <x:c r="AF903" s="119" t="n">
        <x:f>IF(3&gt;D903,0,MAX(2,MIN('难度参数'!$E$12,ROUND(('难度参数'!$E$18*POWER(A903,'难度参数'!$E$19)/D903*(0.85+0.3*(3-1)/MAX(1,D903-1))),0)+F903)))</x:f>
        <x:v>48</x:v>
      </x:c>
      <x:c r="AG903" s="119" t="n">
        <x:f>IF(3&gt;D903,0,ROUND(('难度参数'!$E$13*POWER(A903,'难度参数'!$E$20)*MIN('难度参数'!$E$23,1+MAX(0,A903-'难度参数'!$E$21)*'难度参数'!$E$22))*(36+3*7)/(36+7*(D903+1)/2)*E903,0))</x:f>
        <x:v>16071</x:v>
      </x:c>
      <x:c r="AH903" s="119" t="n">
        <x:f>IF(AF903=0,0,(AF903-IF(3=D903,1,0))*ROUND(AG903*VLOOKUP(INDEX('章节与怪物'!$E$31:$K$37,B903,3),'章节与怪物'!$A$41:$F$44,2,FALSE),0)+IF(3=D903,ROUND(AG903*'难度参数'!$E$28*'章节与怪物'!$E$17,0),0))</x:f>
        <x:v>1311408</x:v>
      </x:c>
      <x:c r="AI903" s="119" t="n">
        <x:f>IF(AF903=0,0,(AF903-IF(3=D903,1,0))*VLOOKUP(INDEX('章节与怪物'!$E$31:$K$37,B903,3),'章节与怪物'!$A$41:$F$44,4,FALSE)+IF(3=D903,'难度参数'!$E$30,0))</x:f>
        <x:v>1344</x:v>
      </x:c>
      <x:c r="AJ903" s="119" t="n">
        <x:f>IF(4&gt;D903,0,MAX(2,MIN('难度参数'!$E$12,ROUND(('难度参数'!$E$18*POWER(A903,'难度参数'!$E$19)/D903*(0.85+0.3*(4-1)/MAX(1,D903-1))),0)+F903)))</x:f>
        <x:v>51</x:v>
      </x:c>
      <x:c r="AK903" s="119" t="n">
        <x:f>IF(4&gt;D903,0,ROUND(('难度参数'!$E$13*POWER(A903,'难度参数'!$E$20)*MIN('难度参数'!$E$23,1+MAX(0,A903-'难度参数'!$E$21)*'难度参数'!$E$22))*(36+4*7)/(36+7*(D903+1)/2)*E903,0))</x:f>
        <x:v>18044</x:v>
      </x:c>
      <x:c r="AL903" s="119" t="n">
        <x:f>IF(AJ903=0,0,(AJ903-IF(4=D903,1,0))*ROUND(AK903*VLOOKUP(INDEX('章节与怪物'!$E$31:$K$37,B903,4),'章节与怪物'!$A$41:$F$44,2,FALSE),0)+IF(4=D903,ROUND(AK903*'难度参数'!$E$28*'章节与怪物'!$E$17,0),0))</x:f>
        <x:v>1242309</x:v>
      </x:c>
      <x:c r="AM903" s="119" t="n">
        <x:f>IF(AJ903=0,0,(AJ903-IF(4=D903,1,0))*VLOOKUP(INDEX('章节与怪物'!$E$31:$K$37,B903,4),'章节与怪物'!$A$41:$F$44,4,FALSE)+IF(4=D903,'难度参数'!$E$30,0))</x:f>
        <x:v>1734</x:v>
      </x:c>
      <x:c r="AN903" s="119" t="n">
        <x:f>IF(5&gt;D903,0,MAX(2,MIN('难度参数'!$E$12,ROUND(('难度参数'!$E$18*POWER(A903,'难度参数'!$E$19)/D903*(0.85+0.3*(5-1)/MAX(1,D903-1))),0)+F903)))</x:f>
        <x:v>53</x:v>
      </x:c>
      <x:c r="AO903" s="119" t="n">
        <x:f>IF(5&gt;D903,0,ROUND(('难度参数'!$E$13*POWER(A903,'难度参数'!$E$20)*MIN('难度参数'!$E$23,1+MAX(0,A903-'难度参数'!$E$21)*'难度参数'!$E$22))*(36+5*7)/(36+7*(D903+1)/2)*E903,0))</x:f>
        <x:v>20018</x:v>
      </x:c>
      <x:c r="AP903" s="119" t="n">
        <x:f>IF(AN903=0,0,(AN903-IF(5=D903,1,0))*ROUND(AO903*VLOOKUP(INDEX('章节与怪物'!$E$31:$K$37,B903,5),'章节与怪物'!$A$41:$F$44,2,FALSE),0)+IF(5=D903,ROUND(AO903*'难度参数'!$E$28*'章节与怪物'!$E$17,0),0))</x:f>
        <x:v>763889</x:v>
      </x:c>
      <x:c r="AQ903" s="119" t="n">
        <x:f>IF(AN903=0,0,(AN903-IF(5=D903,1,0))*VLOOKUP(INDEX('章节与怪物'!$E$31:$K$37,B903,5),'章节与怪物'!$A$41:$F$44,4,FALSE)+IF(5=D903,'难度参数'!$E$30,0))</x:f>
        <x:v>1060</x:v>
      </x:c>
      <x:c r="AR903" s="119" t="n">
        <x:f>IF(6&gt;D903,0,MAX(2,MIN('难度参数'!$E$12,ROUND(('难度参数'!$E$18*POWER(A903,'难度参数'!$E$19)/D903*(0.85+0.3*(6-1)/MAX(1,D903-1))),0)+F903)))</x:f>
        <x:v>56</x:v>
      </x:c>
      <x:c r="AS903" s="119" t="n">
        <x:f>IF(6&gt;D903,0,ROUND(('难度参数'!$E$13*POWER(A903,'难度参数'!$E$20)*MIN('难度参数'!$E$23,1+MAX(0,A903-'难度参数'!$E$21)*'难度参数'!$E$22))*(36+6*7)/(36+7*(D903+1)/2)*E903,0))</x:f>
        <x:v>21992</x:v>
      </x:c>
      <x:c r="AT903" s="119" t="n">
        <x:f>IF(AR903=0,0,(AR903-IF(6=D903,1,0))*ROUND(AS903*VLOOKUP(INDEX('章节与怪物'!$E$31:$K$37,B903,6),'章节与怪物'!$A$41:$F$44,2,FALSE),0)+IF(6=D903,ROUND(AS903*'难度参数'!$E$28*'章节与怪物'!$E$17,0),0))</x:f>
        <x:v>2093616</x:v>
      </x:c>
      <x:c r="AU903" s="119" t="n">
        <x:f>IF(AR903=0,0,(AR903-IF(6=D903,1,0))*VLOOKUP(INDEX('章节与怪物'!$E$31:$K$37,B903,6),'章节与怪物'!$A$41:$F$44,4,FALSE)+IF(6=D903,'难度参数'!$E$30,0))</x:f>
        <x:v>1568</x:v>
      </x:c>
      <x:c r="AV903" s="119" t="n">
        <x:f>IF(7&gt;D903,0,MAX(2,MIN('难度参数'!$E$12,ROUND(('难度参数'!$E$18*POWER(A903,'难度参数'!$E$19)/D903*(0.85+0.3*(7-1)/MAX(1,D903-1))),0)+F903)))</x:f>
        <x:v>59</x:v>
      </x:c>
      <x:c r="AW903" s="119" t="n">
        <x:f>IF(7&gt;D903,0,ROUND(('难度参数'!$E$13*POWER(A903,'难度参数'!$E$20)*MIN('难度参数'!$E$23,1+MAX(0,A903-'难度参数'!$E$21)*'难度参数'!$E$22))*(36+7*7)/(36+7*(D903+1)/2)*E903,0))</x:f>
        <x:v>23965</x:v>
      </x:c>
      <x:c r="AX903" s="119" t="n">
        <x:f>IF(AV903=0,0,(AV903-IF(7=D903,1,0))*ROUND(AW903*VLOOKUP(INDEX('章节与怪物'!$E$31:$K$37,B903,7),'章节与怪物'!$A$41:$F$44,2,FALSE),0)+IF(7=D903,ROUND(AW903*'难度参数'!$E$28*'章节与怪物'!$E$17,0),0))</x:f>
        <x:v>2039436</x:v>
      </x:c>
      <x:c r="AY903" s="119" t="n">
        <x:f>IF(AV903=0,0,(AV903-IF(7=D903,1,0))*VLOOKUP(INDEX('章节与怪物'!$E$31:$K$37,B903,7),'章节与怪物'!$A$41:$F$44,4,FALSE)+IF(7=D903,'难度参数'!$E$30,0))</x:f>
        <x:v>2172</x:v>
      </x:c>
    </x:row>
    <x:row r="904" ht="23" customHeight="1">
      <x:c r="A904" s="119" t="n">
        <x:v>898</x:v>
      </x:c>
      <x:c r="B904" s="119" t="n">
        <x:f>MOD(INT((A904-1)/5),7)+1</x:f>
        <x:v>5</x:v>
      </x:c>
      <x:c r="C904" s="62" t="str">
        <x:f>INDEX('章节与怪物'!$B$31:$B$37,B904)</x:f>
        <x:v>雨林遗迹</x:v>
      </x:c>
      <x:c r="D904" s="119" t="n">
        <x:f>MIN('难度参数'!$E$8,MAX('难度参数'!$E$7,A904))</x:f>
        <x:v>7</x:v>
      </x:c>
      <x:c r="E904" s="106" t="n">
        <x:v>1</x:v>
      </x:c>
      <x:c r="F904" s="106" t="n">
        <x:v>0</x:v>
      </x:c>
      <x:c r="G904" s="106" t="n">
        <x:v>1</x:v>
      </x:c>
      <x:c r="H904" s="119" t="n">
        <x:f>SUM(X904,AB904,AF904,AJ904,AN904,AR904,AV904)</x:f>
        <x:v>356</x:v>
      </x:c>
      <x:c r="I904" s="119" t="n">
        <x:f>SUM(Z904,AD904,AH904,AL904,AP904,AT904,AX904)</x:f>
        <x:v>8445681</x:v>
      </x:c>
      <x:c r="J904" s="119" t="n">
        <x:f>ROUND(INDEX(X904:AY904,1,(D904-1)*4+2)*'难度参数'!$E$28*'章节与怪物'!$E$17,0)</x:f>
        <x:v>163098</x:v>
      </x:c>
      <x:c r="K904" s="119" t="n">
        <x:f>SUM(AA904,AE904,AI904,AM904,AQ904,AU904,AY904)</x:f>
        <x:v>9572</x:v>
      </x:c>
      <x:c r="L904" s="62" t="n">
        <x:f>H904*(ROUNDUP('难度参数'!$E$24/('难度参数'!$E$26*'难度参数'!$E$27),0)*'难度参数'!$E$26)/60</x:f>
        <x:v>4.746666666666667</x:v>
      </x:c>
      <x:c r="M904" s="62" t="n">
        <x:f>L904+D904*('难度参数'!$E$49+'难度参数'!$E$50)/60</x:f>
        <x:v>5.913333333333334</x:v>
      </x:c>
      <x:c r="N904" s="119" t="n">
        <x:f>ROUNDDOWN(('经济参数'!$E$20+A904*'经济参数'!$E$21)*G904,0)</x:f>
        <x:v>18140</x:v>
      </x:c>
      <x:c r="O904" s="119" t="n">
        <x:f>ROUNDDOWN(MIN('经济参数'!$E$24,'经济参数'!$E$22+A904*'经济参数'!$E$23)*G904,0)</x:f>
        <x:v>0</x:v>
      </x:c>
      <x:c r="P904" s="119" t="n">
        <x:f>ROUNDDOWN((IF(A904&gt;='材料与任务'!$E$31,'材料与任务'!$E$32,IF(A904&gt;='材料与任务'!$E$25,'材料与任务'!$E$26,IF(A904&gt;='材料与任务'!$E$19,'材料与任务'!$E$20,IF(A904&gt;='材料与任务'!$E$13,'材料与任务'!$E$14,'材料与任务'!$E$8)))))*G904,0)</x:f>
        <x:v>6</x:v>
      </x:c>
      <x:c r="Q904" s="119" t="n">
        <x:f>ROUNDDOWN((IF(A904&gt;='材料与任务'!$E$31,'材料与任务'!$E$33,IF(A904&gt;='材料与任务'!$E$25,'材料与任务'!$E$27,IF(A904&gt;='材料与任务'!$E$19,'材料与任务'!$E$21,IF(A904&gt;='材料与任务'!$E$13,'材料与任务'!$E$15,'材料与任务'!$E$9)))))*G904,0)</x:f>
        <x:v>3</x:v>
      </x:c>
      <x:c r="R904" s="110" t="n">
        <x:f>'装备掉落'!$B$38</x:f>
        <x:v>0.6872058758851213</x:v>
      </x:c>
      <x:c r="S904" s="119" t="n">
        <x:f>MAX(IF(VLOOKUP(A904,'装备掉落'!$A$29:$H$34,2,TRUE)&gt;0,1,0),IF(VLOOKUP(A904,'装备掉落'!$A$29:$H$34,3,TRUE)&gt;0,2,0),IF(VLOOKUP(A904,'装备掉落'!$A$29:$H$34,4,TRUE)&gt;0,3,0),IF(VLOOKUP(A904,'装备掉落'!$A$29:$H$34,5,TRUE)&gt;0,4,0),IF(VLOOKUP(A904,'装备掉落'!$A$29:$H$34,6,TRUE)&gt;0,5,0),IF(VLOOKUP(A904,'装备掉落'!$A$29:$H$34,7,TRUE)&gt;0,6,0),IF(VLOOKUP(A904,'装备掉落'!$A$29:$H$34,8,TRUE)&gt;0,7,0))</x:f>
        <x:v>7</x:v>
      </x:c>
      <x:c r="T904" s="119" t="n">
        <x:f>MIN(7,S904+'经济参数'!$E$70)</x:f>
        <x:v>7</x:v>
      </x:c>
      <x:c r="U904" s="119" t="n">
        <x:f>MIN(7,S904+'经济参数'!$E$71)</x:f>
        <x:v>7</x:v>
      </x:c>
      <x:c r="V904" s="119" t="n">
        <x:f>IF(H904&gt;=('难度参数'!$E$52),1,0)+IF(H904&gt;=('难度参数'!$E$52+'难度参数'!$E$53),1,0)+IF(H904&gt;=('难度参数'!$E$52+'难度参数'!$E$53+'难度参数'!$E$54),1,0)+IF(H904&gt;=('难度参数'!$E$52+'难度参数'!$E$53+'难度参数'!$E$54+'难度参数'!$E$55),1,0)+IF(H904&gt;=('难度参数'!$E$52+'难度参数'!$E$53+'难度参数'!$E$54+'难度参数'!$E$55+'难度参数'!$E$56),1,0)+IF(H904&gt;=('难度参数'!$E$52+'难度参数'!$E$53+'难度参数'!$E$54+'难度参数'!$E$55+'难度参数'!$E$56+'难度参数'!$E$57),1,0)</x:f>
        <x:v>6</x:v>
      </x:c>
      <x:c r="W904" s="62" t="str">
        <x:f>IF(L904&gt;'难度参数'!$E$51,"仅出怪已超目标","还需实测")</x:f>
        <x:v>仅出怪已超目标</x:v>
      </x:c>
      <x:c r="X904" s="119" t="n">
        <x:f>IF(1&gt;D904,0,MAX(2,MIN('难度参数'!$E$12,ROUND(('难度参数'!$E$18*POWER(A904,'难度参数'!$E$19)/D904*(0.85+0.3*(1-1)/MAX(1,D904-1))),0)+F904)))</x:f>
        <x:v>43</x:v>
      </x:c>
      <x:c r="Y904" s="119" t="n">
        <x:f>IF(1&gt;D904,0,ROUND(('难度参数'!$E$13*POWER(A904,'难度参数'!$E$20)*MIN('难度参数'!$E$23,1+MAX(0,A904-'难度参数'!$E$21)*'难度参数'!$E$22))*(36+1*7)/(36+7*(D904+1)/2)*E904,0))</x:f>
        <x:v>12133</x:v>
      </x:c>
      <x:c r="Z904" s="119" t="n">
        <x:f>IF(X904=0,0,(X904-IF(1=D904,1,0))*ROUND(Y904*VLOOKUP(INDEX('章节与怪物'!$E$31:$K$37,B904,1),'章节与怪物'!$A$41:$F$44,2,FALSE),0)+IF(1=D904,ROUND(Y904*'难度参数'!$E$28*'章节与怪物'!$E$17,0),0))</x:f>
        <x:v>521719</x:v>
      </x:c>
      <x:c r="AA904" s="119" t="n">
        <x:f>IF(X904=0,0,(X904-IF(1=D904,1,0))*VLOOKUP(INDEX('章节与怪物'!$E$31:$K$37,B904,1),'章节与怪物'!$A$41:$F$44,4,FALSE)+IF(1=D904,'难度参数'!$E$30,0))</x:f>
        <x:v>774</x:v>
      </x:c>
      <x:c r="AB904" s="119" t="n">
        <x:f>IF(2&gt;D904,0,MAX(2,MIN('难度参数'!$E$12,ROUND(('难度参数'!$E$18*POWER(A904,'难度参数'!$E$19)/D904*(0.85+0.3*(2-1)/MAX(1,D904-1))),0)+F904)))</x:f>
        <x:v>46</x:v>
      </x:c>
      <x:c r="AC904" s="119" t="n">
        <x:f>IF(2&gt;D904,0,ROUND(('难度参数'!$E$13*POWER(A904,'难度参数'!$E$20)*MIN('难度参数'!$E$23,1+MAX(0,A904-'难度参数'!$E$21)*'难度参数'!$E$22))*(36+2*7)/(36+7*(D904+1)/2)*E904,0))</x:f>
        <x:v>14109</x:v>
      </x:c>
      <x:c r="AD904" s="119" t="n">
        <x:f>IF(AB904=0,0,(AB904-IF(2=D904,1,0))*ROUND(AC904*VLOOKUP(INDEX('章节与怪物'!$E$31:$K$37,B904,2),'章节与怪物'!$A$41:$F$44,2,FALSE),0)+IF(2=D904,ROUND(AC904*'难度参数'!$E$28*'章节与怪物'!$E$17,0),0))</x:f>
        <x:v>467268</x:v>
      </x:c>
      <x:c r="AE904" s="119" t="n">
        <x:f>IF(AB904=0,0,(AB904-IF(2=D904,1,0))*VLOOKUP(INDEX('章节与怪物'!$E$31:$K$37,B904,2),'章节与怪物'!$A$41:$F$44,4,FALSE)+IF(2=D904,'难度参数'!$E$30,0))</x:f>
        <x:v>920</x:v>
      </x:c>
      <x:c r="AF904" s="119" t="n">
        <x:f>IF(3&gt;D904,0,MAX(2,MIN('难度参数'!$E$12,ROUND(('难度参数'!$E$18*POWER(A904,'难度参数'!$E$19)/D904*(0.85+0.3*(3-1)/MAX(1,D904-1))),0)+F904)))</x:f>
        <x:v>48</x:v>
      </x:c>
      <x:c r="AG904" s="119" t="n">
        <x:f>IF(3&gt;D904,0,ROUND(('难度参数'!$E$13*POWER(A904,'难度参数'!$E$20)*MIN('难度参数'!$E$23,1+MAX(0,A904-'难度参数'!$E$21)*'难度参数'!$E$22))*(36+3*7)/(36+7*(D904+1)/2)*E904,0))</x:f>
        <x:v>16084</x:v>
      </x:c>
      <x:c r="AH904" s="119" t="n">
        <x:f>IF(AF904=0,0,(AF904-IF(3=D904,1,0))*ROUND(AG904*VLOOKUP(INDEX('章节与怪物'!$E$31:$K$37,B904,3),'章节与怪物'!$A$41:$F$44,2,FALSE),0)+IF(3=D904,ROUND(AG904*'难度参数'!$E$28*'章节与怪物'!$E$17,0),0))</x:f>
        <x:v>1312464</x:v>
      </x:c>
      <x:c r="AI904" s="119" t="n">
        <x:f>IF(AF904=0,0,(AF904-IF(3=D904,1,0))*VLOOKUP(INDEX('章节与怪物'!$E$31:$K$37,B904,3),'章节与怪物'!$A$41:$F$44,4,FALSE)+IF(3=D904,'难度参数'!$E$30,0))</x:f>
        <x:v>1344</x:v>
      </x:c>
      <x:c r="AJ904" s="119" t="n">
        <x:f>IF(4&gt;D904,0,MAX(2,MIN('难度参数'!$E$12,ROUND(('难度参数'!$E$18*POWER(A904,'难度参数'!$E$19)/D904*(0.85+0.3*(4-1)/MAX(1,D904-1))),0)+F904)))</x:f>
        <x:v>51</x:v>
      </x:c>
      <x:c r="AK904" s="119" t="n">
        <x:f>IF(4&gt;D904,0,ROUND(('难度参数'!$E$13*POWER(A904,'难度参数'!$E$20)*MIN('难度参数'!$E$23,1+MAX(0,A904-'难度参数'!$E$21)*'难度参数'!$E$22))*(36+4*7)/(36+7*(D904+1)/2)*E904,0))</x:f>
        <x:v>18059</x:v>
      </x:c>
      <x:c r="AL904" s="119" t="n">
        <x:f>IF(AJ904=0,0,(AJ904-IF(4=D904,1,0))*ROUND(AK904*VLOOKUP(INDEX('章节与怪物'!$E$31:$K$37,B904,4),'章节与怪物'!$A$41:$F$44,2,FALSE),0)+IF(4=D904,ROUND(AK904*'难度参数'!$E$28*'章节与怪物'!$E$17,0),0))</x:f>
        <x:v>1243380</x:v>
      </x:c>
      <x:c r="AM904" s="119" t="n">
        <x:f>IF(AJ904=0,0,(AJ904-IF(4=D904,1,0))*VLOOKUP(INDEX('章节与怪物'!$E$31:$K$37,B904,4),'章节与怪物'!$A$41:$F$44,4,FALSE)+IF(4=D904,'难度参数'!$E$30,0))</x:f>
        <x:v>1734</x:v>
      </x:c>
      <x:c r="AN904" s="119" t="n">
        <x:f>IF(5&gt;D904,0,MAX(2,MIN('难度参数'!$E$12,ROUND(('难度参数'!$E$18*POWER(A904,'难度参数'!$E$19)/D904*(0.85+0.3*(5-1)/MAX(1,D904-1))),0)+F904)))</x:f>
        <x:v>53</x:v>
      </x:c>
      <x:c r="AO904" s="119" t="n">
        <x:f>IF(5&gt;D904,0,ROUND(('难度参数'!$E$13*POWER(A904,'难度参数'!$E$20)*MIN('难度参数'!$E$23,1+MAX(0,A904-'难度参数'!$E$21)*'难度参数'!$E$22))*(36+5*7)/(36+7*(D904+1)/2)*E904,0))</x:f>
        <x:v>20034</x:v>
      </x:c>
      <x:c r="AP904" s="119" t="n">
        <x:f>IF(AN904=0,0,(AN904-IF(5=D904,1,0))*ROUND(AO904*VLOOKUP(INDEX('章节与怪物'!$E$31:$K$37,B904,5),'章节与怪物'!$A$41:$F$44,2,FALSE),0)+IF(5=D904,ROUND(AO904*'难度参数'!$E$28*'章节与怪物'!$E$17,0),0))</x:f>
        <x:v>764472</x:v>
      </x:c>
      <x:c r="AQ904" s="119" t="n">
        <x:f>IF(AN904=0,0,(AN904-IF(5=D904,1,0))*VLOOKUP(INDEX('章节与怪物'!$E$31:$K$37,B904,5),'章节与怪物'!$A$41:$F$44,4,FALSE)+IF(5=D904,'难度参数'!$E$30,0))</x:f>
        <x:v>1060</x:v>
      </x:c>
      <x:c r="AR904" s="119" t="n">
        <x:f>IF(6&gt;D904,0,MAX(2,MIN('难度参数'!$E$12,ROUND(('难度参数'!$E$18*POWER(A904,'难度参数'!$E$19)/D904*(0.85+0.3*(6-1)/MAX(1,D904-1))),0)+F904)))</x:f>
        <x:v>56</x:v>
      </x:c>
      <x:c r="AS904" s="119" t="n">
        <x:f>IF(6&gt;D904,0,ROUND(('难度参数'!$E$13*POWER(A904,'难度参数'!$E$20)*MIN('难度参数'!$E$23,1+MAX(0,A904-'难度参数'!$E$21)*'难度参数'!$E$22))*(36+6*7)/(36+7*(D904+1)/2)*E904,0))</x:f>
        <x:v>22009</x:v>
      </x:c>
      <x:c r="AT904" s="119" t="n">
        <x:f>IF(AR904=0,0,(AR904-IF(6=D904,1,0))*ROUND(AS904*VLOOKUP(INDEX('章节与怪物'!$E$31:$K$37,B904,6),'章节与怪物'!$A$41:$F$44,2,FALSE),0)+IF(6=D904,ROUND(AS904*'难度参数'!$E$28*'章节与怪物'!$E$17,0),0))</x:f>
        <x:v>2095240</x:v>
      </x:c>
      <x:c r="AU904" s="119" t="n">
        <x:f>IF(AR904=0,0,(AR904-IF(6=D904,1,0))*VLOOKUP(INDEX('章节与怪物'!$E$31:$K$37,B904,6),'章节与怪物'!$A$41:$F$44,4,FALSE)+IF(6=D904,'难度参数'!$E$30,0))</x:f>
        <x:v>1568</x:v>
      </x:c>
      <x:c r="AV904" s="119" t="n">
        <x:f>IF(7&gt;D904,0,MAX(2,MIN('难度参数'!$E$12,ROUND(('难度参数'!$E$18*POWER(A904,'难度参数'!$E$19)/D904*(0.85+0.3*(7-1)/MAX(1,D904-1))),0)+F904)))</x:f>
        <x:v>59</x:v>
      </x:c>
      <x:c r="AW904" s="119" t="n">
        <x:f>IF(7&gt;D904,0,ROUND(('难度参数'!$E$13*POWER(A904,'难度参数'!$E$20)*MIN('难度参数'!$E$23,1+MAX(0,A904-'难度参数'!$E$21)*'难度参数'!$E$22))*(36+7*7)/(36+7*(D904+1)/2)*E904,0))</x:f>
        <x:v>23985</x:v>
      </x:c>
      <x:c r="AX904" s="119" t="n">
        <x:f>IF(AV904=0,0,(AV904-IF(7=D904,1,0))*ROUND(AW904*VLOOKUP(INDEX('章节与怪物'!$E$31:$K$37,B904,7),'章节与怪物'!$A$41:$F$44,2,FALSE),0)+IF(7=D904,ROUND(AW904*'难度参数'!$E$28*'章节与怪物'!$E$17,0),0))</x:f>
        <x:v>2041138</x:v>
      </x:c>
      <x:c r="AY904" s="119" t="n">
        <x:f>IF(AV904=0,0,(AV904-IF(7=D904,1,0))*VLOOKUP(INDEX('章节与怪物'!$E$31:$K$37,B904,7),'章节与怪物'!$A$41:$F$44,4,FALSE)+IF(7=D904,'难度参数'!$E$30,0))</x:f>
        <x:v>2172</x:v>
      </x:c>
    </x:row>
    <x:row r="905" ht="23" customHeight="1">
      <x:c r="A905" s="119" t="n">
        <x:v>899</x:v>
      </x:c>
      <x:c r="B905" s="119" t="n">
        <x:f>MOD(INT((A905-1)/5),7)+1</x:f>
        <x:v>5</x:v>
      </x:c>
      <x:c r="C905" s="62" t="str">
        <x:f>INDEX('章节与怪物'!$B$31:$B$37,B905)</x:f>
        <x:v>雨林遗迹</x:v>
      </x:c>
      <x:c r="D905" s="119" t="n">
        <x:f>MIN('难度参数'!$E$8,MAX('难度参数'!$E$7,A905))</x:f>
        <x:v>7</x:v>
      </x:c>
      <x:c r="E905" s="106" t="n">
        <x:v>1</x:v>
      </x:c>
      <x:c r="F905" s="106" t="n">
        <x:v>0</x:v>
      </x:c>
      <x:c r="G905" s="106" t="n">
        <x:v>1</x:v>
      </x:c>
      <x:c r="H905" s="119" t="n">
        <x:f>SUM(X905,AB905,AF905,AJ905,AN905,AR905,AV905)</x:f>
        <x:v>357</x:v>
      </x:c>
      <x:c r="I905" s="119" t="n">
        <x:f>SUM(Z905,AD905,AH905,AL905,AP905,AT905,AX905)</x:f>
        <x:v>8466891</x:v>
      </x:c>
      <x:c r="J905" s="119" t="n">
        <x:f>ROUND(INDEX(X905:AY905,1,(D905-1)*4+2)*'难度参数'!$E$28*'章节与怪物'!$E$17,0)</x:f>
        <x:v>163227</x:v>
      </x:c>
      <x:c r="K905" s="119" t="n">
        <x:f>SUM(AA905,AE905,AI905,AM905,AQ905,AU905,AY905)</x:f>
        <x:v>9592</x:v>
      </x:c>
      <x:c r="L905" s="62" t="n">
        <x:f>H905*(ROUNDUP('难度参数'!$E$24/('难度参数'!$E$26*'难度参数'!$E$27),0)*'难度参数'!$E$26)/60</x:f>
        <x:v>4.760000000000001</x:v>
      </x:c>
      <x:c r="M905" s="62" t="n">
        <x:f>L905+D905*('难度参数'!$E$49+'难度参数'!$E$50)/60</x:f>
        <x:v>5.926666666666668</x:v>
      </x:c>
      <x:c r="N905" s="119" t="n">
        <x:f>ROUNDDOWN(('经济参数'!$E$20+A905*'经济参数'!$E$21)*G905,0)</x:f>
        <x:v>18160</x:v>
      </x:c>
      <x:c r="O905" s="119" t="n">
        <x:f>ROUNDDOWN(MIN('经济参数'!$E$24,'经济参数'!$E$22+A905*'经济参数'!$E$23)*G905,0)</x:f>
        <x:v>0</x:v>
      </x:c>
      <x:c r="P905" s="119" t="n">
        <x:f>ROUNDDOWN((IF(A905&gt;='材料与任务'!$E$31,'材料与任务'!$E$32,IF(A905&gt;='材料与任务'!$E$25,'材料与任务'!$E$26,IF(A905&gt;='材料与任务'!$E$19,'材料与任务'!$E$20,IF(A905&gt;='材料与任务'!$E$13,'材料与任务'!$E$14,'材料与任务'!$E$8)))))*G905,0)</x:f>
        <x:v>6</x:v>
      </x:c>
      <x:c r="Q905" s="119" t="n">
        <x:f>ROUNDDOWN((IF(A905&gt;='材料与任务'!$E$31,'材料与任务'!$E$33,IF(A905&gt;='材料与任务'!$E$25,'材料与任务'!$E$27,IF(A905&gt;='材料与任务'!$E$19,'材料与任务'!$E$21,IF(A905&gt;='材料与任务'!$E$13,'材料与任务'!$E$15,'材料与任务'!$E$9)))))*G905,0)</x:f>
        <x:v>3</x:v>
      </x:c>
      <x:c r="R905" s="110" t="n">
        <x:f>'装备掉落'!$B$38</x:f>
        <x:v>0.6872058758851213</x:v>
      </x:c>
      <x:c r="S905" s="119" t="n">
        <x:f>MAX(IF(VLOOKUP(A905,'装备掉落'!$A$29:$H$34,2,TRUE)&gt;0,1,0),IF(VLOOKUP(A905,'装备掉落'!$A$29:$H$34,3,TRUE)&gt;0,2,0),IF(VLOOKUP(A905,'装备掉落'!$A$29:$H$34,4,TRUE)&gt;0,3,0),IF(VLOOKUP(A905,'装备掉落'!$A$29:$H$34,5,TRUE)&gt;0,4,0),IF(VLOOKUP(A905,'装备掉落'!$A$29:$H$34,6,TRUE)&gt;0,5,0),IF(VLOOKUP(A905,'装备掉落'!$A$29:$H$34,7,TRUE)&gt;0,6,0),IF(VLOOKUP(A905,'装备掉落'!$A$29:$H$34,8,TRUE)&gt;0,7,0))</x:f>
        <x:v>7</x:v>
      </x:c>
      <x:c r="T905" s="119" t="n">
        <x:f>MIN(7,S905+'经济参数'!$E$70)</x:f>
        <x:v>7</x:v>
      </x:c>
      <x:c r="U905" s="119" t="n">
        <x:f>MIN(7,S905+'经济参数'!$E$71)</x:f>
        <x:v>7</x:v>
      </x:c>
      <x:c r="V905" s="119" t="n">
        <x:f>IF(H905&gt;=('难度参数'!$E$52),1,0)+IF(H905&gt;=('难度参数'!$E$52+'难度参数'!$E$53),1,0)+IF(H905&gt;=('难度参数'!$E$52+'难度参数'!$E$53+'难度参数'!$E$54),1,0)+IF(H905&gt;=('难度参数'!$E$52+'难度参数'!$E$53+'难度参数'!$E$54+'难度参数'!$E$55),1,0)+IF(H905&gt;=('难度参数'!$E$52+'难度参数'!$E$53+'难度参数'!$E$54+'难度参数'!$E$55+'难度参数'!$E$56),1,0)+IF(H905&gt;=('难度参数'!$E$52+'难度参数'!$E$53+'难度参数'!$E$54+'难度参数'!$E$55+'难度参数'!$E$56+'难度参数'!$E$57),1,0)</x:f>
        <x:v>6</x:v>
      </x:c>
      <x:c r="W905" s="62" t="str">
        <x:f>IF(L905&gt;'难度参数'!$E$51,"仅出怪已超目标","还需实测")</x:f>
        <x:v>仅出怪已超目标</x:v>
      </x:c>
      <x:c r="X905" s="119" t="n">
        <x:f>IF(1&gt;D905,0,MAX(2,MIN('难度参数'!$E$12,ROUND(('难度参数'!$E$18*POWER(A905,'难度参数'!$E$19)/D905*(0.85+0.3*(1-1)/MAX(1,D905-1))),0)+F905)))</x:f>
        <x:v>43</x:v>
      </x:c>
      <x:c r="Y905" s="119" t="n">
        <x:f>IF(1&gt;D905,0,ROUND(('难度参数'!$E$13*POWER(A905,'难度参数'!$E$20)*MIN('难度参数'!$E$23,1+MAX(0,A905-'难度参数'!$E$21)*'难度参数'!$E$22))*(36+1*7)/(36+7*(D905+1)/2)*E905,0))</x:f>
        <x:v>12143</x:v>
      </x:c>
      <x:c r="Z905" s="119" t="n">
        <x:f>IF(X905=0,0,(X905-IF(1=D905,1,0))*ROUND(Y905*VLOOKUP(INDEX('章节与怪物'!$E$31:$K$37,B905,1),'章节与怪物'!$A$41:$F$44,2,FALSE),0)+IF(1=D905,ROUND(Y905*'难度参数'!$E$28*'章节与怪物'!$E$17,0),0))</x:f>
        <x:v>522149</x:v>
      </x:c>
      <x:c r="AA905" s="119" t="n">
        <x:f>IF(X905=0,0,(X905-IF(1=D905,1,0))*VLOOKUP(INDEX('章节与怪物'!$E$31:$K$37,B905,1),'章节与怪物'!$A$41:$F$44,4,FALSE)+IF(1=D905,'难度参数'!$E$30,0))</x:f>
        <x:v>774</x:v>
      </x:c>
      <x:c r="AB905" s="119" t="n">
        <x:f>IF(2&gt;D905,0,MAX(2,MIN('难度参数'!$E$12,ROUND(('难度参数'!$E$18*POWER(A905,'难度参数'!$E$19)/D905*(0.85+0.3*(2-1)/MAX(1,D905-1))),0)+F905)))</x:f>
        <x:v>46</x:v>
      </x:c>
      <x:c r="AC905" s="119" t="n">
        <x:f>IF(2&gt;D905,0,ROUND(('难度参数'!$E$13*POWER(A905,'难度参数'!$E$20)*MIN('难度参数'!$E$23,1+MAX(0,A905-'难度参数'!$E$21)*'难度参数'!$E$22))*(36+2*7)/(36+7*(D905+1)/2)*E905,0))</x:f>
        <x:v>14120</x:v>
      </x:c>
      <x:c r="AD905" s="119" t="n">
        <x:f>IF(AB905=0,0,(AB905-IF(2=D905,1,0))*ROUND(AC905*VLOOKUP(INDEX('章节与怪物'!$E$31:$K$37,B905,2),'章节与怪物'!$A$41:$F$44,2,FALSE),0)+IF(2=D905,ROUND(AC905*'难度参数'!$E$28*'章节与怪物'!$E$17,0),0))</x:f>
        <x:v>467636</x:v>
      </x:c>
      <x:c r="AE905" s="119" t="n">
        <x:f>IF(AB905=0,0,(AB905-IF(2=D905,1,0))*VLOOKUP(INDEX('章节与怪物'!$E$31:$K$37,B905,2),'章节与怪物'!$A$41:$F$44,4,FALSE)+IF(2=D905,'难度参数'!$E$30,0))</x:f>
        <x:v>920</x:v>
      </x:c>
      <x:c r="AF905" s="119" t="n">
        <x:f>IF(3&gt;D905,0,MAX(2,MIN('难度参数'!$E$12,ROUND(('难度参数'!$E$18*POWER(A905,'难度参数'!$E$19)/D905*(0.85+0.3*(3-1)/MAX(1,D905-1))),0)+F905)))</x:f>
        <x:v>48</x:v>
      </x:c>
      <x:c r="AG905" s="119" t="n">
        <x:f>IF(3&gt;D905,0,ROUND(('难度参数'!$E$13*POWER(A905,'难度参数'!$E$20)*MIN('难度参数'!$E$23,1+MAX(0,A905-'难度参数'!$E$21)*'难度参数'!$E$22))*(36+3*7)/(36+7*(D905+1)/2)*E905,0))</x:f>
        <x:v>16097</x:v>
      </x:c>
      <x:c r="AH905" s="119" t="n">
        <x:f>IF(AF905=0,0,(AF905-IF(3=D905,1,0))*ROUND(AG905*VLOOKUP(INDEX('章节与怪物'!$E$31:$K$37,B905,3),'章节与怪物'!$A$41:$F$44,2,FALSE),0)+IF(3=D905,ROUND(AG905*'难度参数'!$E$28*'章节与怪物'!$E$17,0),0))</x:f>
        <x:v>1313520</x:v>
      </x:c>
      <x:c r="AI905" s="119" t="n">
        <x:f>IF(AF905=0,0,(AF905-IF(3=D905,1,0))*VLOOKUP(INDEX('章节与怪物'!$E$31:$K$37,B905,3),'章节与怪物'!$A$41:$F$44,4,FALSE)+IF(3=D905,'难度参数'!$E$30,0))</x:f>
        <x:v>1344</x:v>
      </x:c>
      <x:c r="AJ905" s="119" t="n">
        <x:f>IF(4&gt;D905,0,MAX(2,MIN('难度参数'!$E$12,ROUND(('难度参数'!$E$18*POWER(A905,'难度参数'!$E$19)/D905*(0.85+0.3*(4-1)/MAX(1,D905-1))),0)+F905)))</x:f>
        <x:v>51</x:v>
      </x:c>
      <x:c r="AK905" s="119" t="n">
        <x:f>IF(4&gt;D905,0,ROUND(('难度参数'!$E$13*POWER(A905,'难度参数'!$E$20)*MIN('难度参数'!$E$23,1+MAX(0,A905-'难度参数'!$E$21)*'难度参数'!$E$22))*(36+4*7)/(36+7*(D905+1)/2)*E905,0))</x:f>
        <x:v>18073</x:v>
      </x:c>
      <x:c r="AL905" s="119" t="n">
        <x:f>IF(AJ905=0,0,(AJ905-IF(4=D905,1,0))*ROUND(AK905*VLOOKUP(INDEX('章节与怪物'!$E$31:$K$37,B905,4),'章节与怪物'!$A$41:$F$44,2,FALSE),0)+IF(4=D905,ROUND(AK905*'难度参数'!$E$28*'章节与怪物'!$E$17,0),0))</x:f>
        <x:v>1244349</x:v>
      </x:c>
      <x:c r="AM905" s="119" t="n">
        <x:f>IF(AJ905=0,0,(AJ905-IF(4=D905,1,0))*VLOOKUP(INDEX('章节与怪物'!$E$31:$K$37,B905,4),'章节与怪物'!$A$41:$F$44,4,FALSE)+IF(4=D905,'难度参数'!$E$30,0))</x:f>
        <x:v>1734</x:v>
      </x:c>
      <x:c r="AN905" s="119" t="n">
        <x:f>IF(5&gt;D905,0,MAX(2,MIN('难度参数'!$E$12,ROUND(('难度参数'!$E$18*POWER(A905,'难度参数'!$E$19)/D905*(0.85+0.3*(5-1)/MAX(1,D905-1))),0)+F905)))</x:f>
        <x:v>54</x:v>
      </x:c>
      <x:c r="AO905" s="119" t="n">
        <x:f>IF(5&gt;D905,0,ROUND(('难度参数'!$E$13*POWER(A905,'难度参数'!$E$20)*MIN('难度参数'!$E$23,1+MAX(0,A905-'难度参数'!$E$21)*'难度参数'!$E$22))*(36+5*7)/(36+7*(D905+1)/2)*E905,0))</x:f>
        <x:v>20050</x:v>
      </x:c>
      <x:c r="AP905" s="119" t="n">
        <x:f>IF(AN905=0,0,(AN905-IF(5=D905,1,0))*ROUND(AO905*VLOOKUP(INDEX('章节与怪物'!$E$31:$K$37,B905,5),'章节与怪物'!$A$41:$F$44,2,FALSE),0)+IF(5=D905,ROUND(AO905*'难度参数'!$E$28*'章节与怪物'!$E$17,0),0))</x:f>
        <x:v>779544</x:v>
      </x:c>
      <x:c r="AQ905" s="119" t="n">
        <x:f>IF(AN905=0,0,(AN905-IF(5=D905,1,0))*VLOOKUP(INDEX('章节与怪物'!$E$31:$K$37,B905,5),'章节与怪物'!$A$41:$F$44,4,FALSE)+IF(5=D905,'难度参数'!$E$30,0))</x:f>
        <x:v>1080</x:v>
      </x:c>
      <x:c r="AR905" s="119" t="n">
        <x:f>IF(6&gt;D905,0,MAX(2,MIN('难度参数'!$E$12,ROUND(('难度参数'!$E$18*POWER(A905,'难度参数'!$E$19)/D905*(0.85+0.3*(6-1)/MAX(1,D905-1))),0)+F905)))</x:f>
        <x:v>56</x:v>
      </x:c>
      <x:c r="AS905" s="119" t="n">
        <x:f>IF(6&gt;D905,0,ROUND(('难度参数'!$E$13*POWER(A905,'难度参数'!$E$20)*MIN('难度参数'!$E$23,1+MAX(0,A905-'难度参数'!$E$21)*'难度参数'!$E$22))*(36+6*7)/(36+7*(D905+1)/2)*E905,0))</x:f>
        <x:v>22027</x:v>
      </x:c>
      <x:c r="AT905" s="119" t="n">
        <x:f>IF(AR905=0,0,(AR905-IF(6=D905,1,0))*ROUND(AS905*VLOOKUP(INDEX('章节与怪物'!$E$31:$K$37,B905,6),'章节与怪物'!$A$41:$F$44,2,FALSE),0)+IF(6=D905,ROUND(AS905*'难度参数'!$E$28*'章节与怪物'!$E$17,0),0))</x:f>
        <x:v>2096976</x:v>
      </x:c>
      <x:c r="AU905" s="119" t="n">
        <x:f>IF(AR905=0,0,(AR905-IF(6=D905,1,0))*VLOOKUP(INDEX('章节与怪物'!$E$31:$K$37,B905,6),'章节与怪物'!$A$41:$F$44,4,FALSE)+IF(6=D905,'难度参数'!$E$30,0))</x:f>
        <x:v>1568</x:v>
      </x:c>
      <x:c r="AV905" s="119" t="n">
        <x:f>IF(7&gt;D905,0,MAX(2,MIN('难度参数'!$E$12,ROUND(('难度参数'!$E$18*POWER(A905,'难度参数'!$E$19)/D905*(0.85+0.3*(7-1)/MAX(1,D905-1))),0)+F905)))</x:f>
        <x:v>59</x:v>
      </x:c>
      <x:c r="AW905" s="119" t="n">
        <x:f>IF(7&gt;D905,0,ROUND(('难度参数'!$E$13*POWER(A905,'难度参数'!$E$20)*MIN('难度参数'!$E$23,1+MAX(0,A905-'难度参数'!$E$21)*'难度参数'!$E$22))*(36+7*7)/(36+7*(D905+1)/2)*E905,0))</x:f>
        <x:v>24004</x:v>
      </x:c>
      <x:c r="AX905" s="119" t="n">
        <x:f>IF(AV905=0,0,(AV905-IF(7=D905,1,0))*ROUND(AW905*VLOOKUP(INDEX('章节与怪物'!$E$31:$K$37,B905,7),'章节与怪物'!$A$41:$F$44,2,FALSE),0)+IF(7=D905,ROUND(AW905*'难度参数'!$E$28*'章节与怪物'!$E$17,0),0))</x:f>
        <x:v>2042717</x:v>
      </x:c>
      <x:c r="AY905" s="119" t="n">
        <x:f>IF(AV905=0,0,(AV905-IF(7=D905,1,0))*VLOOKUP(INDEX('章节与怪物'!$E$31:$K$37,B905,7),'章节与怪物'!$A$41:$F$44,4,FALSE)+IF(7=D905,'难度参数'!$E$30,0))</x:f>
        <x:v>2172</x:v>
      </x:c>
    </x:row>
    <x:row r="906" ht="23" customHeight="1">
      <x:c r="A906" s="119" t="n">
        <x:v>900</x:v>
      </x:c>
      <x:c r="B906" s="119" t="n">
        <x:f>MOD(INT((A906-1)/5),7)+1</x:f>
        <x:v>5</x:v>
      </x:c>
      <x:c r="C906" s="62" t="str">
        <x:f>INDEX('章节与怪物'!$B$31:$B$37,B906)</x:f>
        <x:v>雨林遗迹</x:v>
      </x:c>
      <x:c r="D906" s="119" t="n">
        <x:f>MIN('难度参数'!$E$8,MAX('难度参数'!$E$7,A906))</x:f>
        <x:v>7</x:v>
      </x:c>
      <x:c r="E906" s="106" t="n">
        <x:v>1</x:v>
      </x:c>
      <x:c r="F906" s="106" t="n">
        <x:v>0</x:v>
      </x:c>
      <x:c r="G906" s="106" t="n">
        <x:v>1</x:v>
      </x:c>
      <x:c r="H906" s="119" t="n">
        <x:f>SUM(X906,AB906,AF906,AJ906,AN906,AR906,AV906)</x:f>
        <x:v>357</x:v>
      </x:c>
      <x:c r="I906" s="119" t="n">
        <x:f>SUM(Z906,AD906,AH906,AL906,AP906,AT906,AX906)</x:f>
        <x:v>8473786</x:v>
      </x:c>
      <x:c r="J906" s="119" t="n">
        <x:f>ROUND(INDEX(X906:AY906,1,(D906-1)*4+2)*'难度参数'!$E$28*'章节与怪物'!$E$17,0)</x:f>
        <x:v>163356</x:v>
      </x:c>
      <x:c r="K906" s="119" t="n">
        <x:f>SUM(AA906,AE906,AI906,AM906,AQ906,AU906,AY906)</x:f>
        <x:v>9592</x:v>
      </x:c>
      <x:c r="L906" s="62" t="n">
        <x:f>H906*(ROUNDUP('难度参数'!$E$24/('难度参数'!$E$26*'难度参数'!$E$27),0)*'难度参数'!$E$26)/60</x:f>
        <x:v>4.760000000000001</x:v>
      </x:c>
      <x:c r="M906" s="62" t="n">
        <x:f>L906+D906*('难度参数'!$E$49+'难度参数'!$E$50)/60</x:f>
        <x:v>5.926666666666668</x:v>
      </x:c>
      <x:c r="N906" s="119" t="n">
        <x:f>ROUNDDOWN(('经济参数'!$E$20+A906*'经济参数'!$E$21)*G906,0)</x:f>
        <x:v>18180</x:v>
      </x:c>
      <x:c r="O906" s="119" t="n">
        <x:f>ROUNDDOWN(MIN('经济参数'!$E$24,'经济参数'!$E$22+A906*'经济参数'!$E$23)*G906,0)</x:f>
        <x:v>0</x:v>
      </x:c>
      <x:c r="P906" s="119" t="n">
        <x:f>ROUNDDOWN((IF(A906&gt;='材料与任务'!$E$31,'材料与任务'!$E$32,IF(A906&gt;='材料与任务'!$E$25,'材料与任务'!$E$26,IF(A906&gt;='材料与任务'!$E$19,'材料与任务'!$E$20,IF(A906&gt;='材料与任务'!$E$13,'材料与任务'!$E$14,'材料与任务'!$E$8)))))*G906,0)</x:f>
        <x:v>6</x:v>
      </x:c>
      <x:c r="Q906" s="119" t="n">
        <x:f>ROUNDDOWN((IF(A906&gt;='材料与任务'!$E$31,'材料与任务'!$E$33,IF(A906&gt;='材料与任务'!$E$25,'材料与任务'!$E$27,IF(A906&gt;='材料与任务'!$E$19,'材料与任务'!$E$21,IF(A906&gt;='材料与任务'!$E$13,'材料与任务'!$E$15,'材料与任务'!$E$9)))))*G906,0)</x:f>
        <x:v>3</x:v>
      </x:c>
      <x:c r="R906" s="110" t="n">
        <x:f>'装备掉落'!$B$38</x:f>
        <x:v>0.6872058758851213</x:v>
      </x:c>
      <x:c r="S906" s="119" t="n">
        <x:f>MAX(IF(VLOOKUP(A906,'装备掉落'!$A$29:$H$34,2,TRUE)&gt;0,1,0),IF(VLOOKUP(A906,'装备掉落'!$A$29:$H$34,3,TRUE)&gt;0,2,0),IF(VLOOKUP(A906,'装备掉落'!$A$29:$H$34,4,TRUE)&gt;0,3,0),IF(VLOOKUP(A906,'装备掉落'!$A$29:$H$34,5,TRUE)&gt;0,4,0),IF(VLOOKUP(A906,'装备掉落'!$A$29:$H$34,6,TRUE)&gt;0,5,0),IF(VLOOKUP(A906,'装备掉落'!$A$29:$H$34,7,TRUE)&gt;0,6,0),IF(VLOOKUP(A906,'装备掉落'!$A$29:$H$34,8,TRUE)&gt;0,7,0))</x:f>
        <x:v>7</x:v>
      </x:c>
      <x:c r="T906" s="119" t="n">
        <x:f>MIN(7,S906+'经济参数'!$E$70)</x:f>
        <x:v>7</x:v>
      </x:c>
      <x:c r="U906" s="119" t="n">
        <x:f>MIN(7,S906+'经济参数'!$E$71)</x:f>
        <x:v>7</x:v>
      </x:c>
      <x:c r="V906" s="119" t="n">
        <x:f>IF(H906&gt;=('难度参数'!$E$52),1,0)+IF(H906&gt;=('难度参数'!$E$52+'难度参数'!$E$53),1,0)+IF(H906&gt;=('难度参数'!$E$52+'难度参数'!$E$53+'难度参数'!$E$54),1,0)+IF(H906&gt;=('难度参数'!$E$52+'难度参数'!$E$53+'难度参数'!$E$54+'难度参数'!$E$55),1,0)+IF(H906&gt;=('难度参数'!$E$52+'难度参数'!$E$53+'难度参数'!$E$54+'难度参数'!$E$55+'难度参数'!$E$56),1,0)+IF(H906&gt;=('难度参数'!$E$52+'难度参数'!$E$53+'难度参数'!$E$54+'难度参数'!$E$55+'难度参数'!$E$56+'难度参数'!$E$57),1,0)</x:f>
        <x:v>6</x:v>
      </x:c>
      <x:c r="W906" s="62" t="str">
        <x:f>IF(L906&gt;'难度参数'!$E$51,"仅出怪已超目标","还需实测")</x:f>
        <x:v>仅出怪已超目标</x:v>
      </x:c>
      <x:c r="X906" s="119" t="n">
        <x:f>IF(1&gt;D906,0,MAX(2,MIN('难度参数'!$E$12,ROUND(('难度参数'!$E$18*POWER(A906,'难度参数'!$E$19)/D906*(0.85+0.3*(1-1)/MAX(1,D906-1))),0)+F906)))</x:f>
        <x:v>43</x:v>
      </x:c>
      <x:c r="Y906" s="119" t="n">
        <x:f>IF(1&gt;D906,0,ROUND(('难度参数'!$E$13*POWER(A906,'难度参数'!$E$20)*MIN('难度参数'!$E$23,1+MAX(0,A906-'难度参数'!$E$21)*'难度参数'!$E$22))*(36+1*7)/(36+7*(D906+1)/2)*E906,0))</x:f>
        <x:v>12153</x:v>
      </x:c>
      <x:c r="Z906" s="119" t="n">
        <x:f>IF(X906=0,0,(X906-IF(1=D906,1,0))*ROUND(Y906*VLOOKUP(INDEX('章节与怪物'!$E$31:$K$37,B906,1),'章节与怪物'!$A$41:$F$44,2,FALSE),0)+IF(1=D906,ROUND(Y906*'难度参数'!$E$28*'章节与怪物'!$E$17,0),0))</x:f>
        <x:v>522579</x:v>
      </x:c>
      <x:c r="AA906" s="119" t="n">
        <x:f>IF(X906=0,0,(X906-IF(1=D906,1,0))*VLOOKUP(INDEX('章节与怪物'!$E$31:$K$37,B906,1),'章节与怪物'!$A$41:$F$44,4,FALSE)+IF(1=D906,'难度参数'!$E$30,0))</x:f>
        <x:v>774</x:v>
      </x:c>
      <x:c r="AB906" s="119" t="n">
        <x:f>IF(2&gt;D906,0,MAX(2,MIN('难度参数'!$E$12,ROUND(('难度参数'!$E$18*POWER(A906,'难度参数'!$E$19)/D906*(0.85+0.3*(2-1)/MAX(1,D906-1))),0)+F906)))</x:f>
        <x:v>46</x:v>
      </x:c>
      <x:c r="AC906" s="119" t="n">
        <x:f>IF(2&gt;D906,0,ROUND(('难度参数'!$E$13*POWER(A906,'难度参数'!$E$20)*MIN('难度参数'!$E$23,1+MAX(0,A906-'难度参数'!$E$21)*'难度参数'!$E$22))*(36+2*7)/(36+7*(D906+1)/2)*E906,0))</x:f>
        <x:v>14131</x:v>
      </x:c>
      <x:c r="AD906" s="119" t="n">
        <x:f>IF(AB906=0,0,(AB906-IF(2=D906,1,0))*ROUND(AC906*VLOOKUP(INDEX('章节与怪物'!$E$31:$K$37,B906,2),'章节与怪物'!$A$41:$F$44,2,FALSE),0)+IF(2=D906,ROUND(AC906*'难度参数'!$E$28*'章节与怪物'!$E$17,0),0))</x:f>
        <x:v>468004</x:v>
      </x:c>
      <x:c r="AE906" s="119" t="n">
        <x:f>IF(AB906=0,0,(AB906-IF(2=D906,1,0))*VLOOKUP(INDEX('章节与怪物'!$E$31:$K$37,B906,2),'章节与怪物'!$A$41:$F$44,4,FALSE)+IF(2=D906,'难度参数'!$E$30,0))</x:f>
        <x:v>920</x:v>
      </x:c>
      <x:c r="AF906" s="119" t="n">
        <x:f>IF(3&gt;D906,0,MAX(2,MIN('难度参数'!$E$12,ROUND(('难度参数'!$E$18*POWER(A906,'难度参数'!$E$19)/D906*(0.85+0.3*(3-1)/MAX(1,D906-1))),0)+F906)))</x:f>
        <x:v>48</x:v>
      </x:c>
      <x:c r="AG906" s="119" t="n">
        <x:f>IF(3&gt;D906,0,ROUND(('难度参数'!$E$13*POWER(A906,'难度参数'!$E$20)*MIN('难度参数'!$E$23,1+MAX(0,A906-'难度参数'!$E$21)*'难度参数'!$E$22))*(36+3*7)/(36+7*(D906+1)/2)*E906,0))</x:f>
        <x:v>16110</x:v>
      </x:c>
      <x:c r="AH906" s="119" t="n">
        <x:f>IF(AF906=0,0,(AF906-IF(3=D906,1,0))*ROUND(AG906*VLOOKUP(INDEX('章节与怪物'!$E$31:$K$37,B906,3),'章节与怪物'!$A$41:$F$44,2,FALSE),0)+IF(3=D906,ROUND(AG906*'难度参数'!$E$28*'章节与怪物'!$E$17,0),0))</x:f>
        <x:v>1314576</x:v>
      </x:c>
      <x:c r="AI906" s="119" t="n">
        <x:f>IF(AF906=0,0,(AF906-IF(3=D906,1,0))*VLOOKUP(INDEX('章节与怪物'!$E$31:$K$37,B906,3),'章节与怪物'!$A$41:$F$44,4,FALSE)+IF(3=D906,'难度参数'!$E$30,0))</x:f>
        <x:v>1344</x:v>
      </x:c>
      <x:c r="AJ906" s="119" t="n">
        <x:f>IF(4&gt;D906,0,MAX(2,MIN('难度参数'!$E$12,ROUND(('难度参数'!$E$18*POWER(A906,'难度参数'!$E$19)/D906*(0.85+0.3*(4-1)/MAX(1,D906-1))),0)+F906)))</x:f>
        <x:v>51</x:v>
      </x:c>
      <x:c r="AK906" s="119" t="n">
        <x:f>IF(4&gt;D906,0,ROUND(('难度参数'!$E$13*POWER(A906,'难度参数'!$E$20)*MIN('难度参数'!$E$23,1+MAX(0,A906-'难度参数'!$E$21)*'难度参数'!$E$22))*(36+4*7)/(36+7*(D906+1)/2)*E906,0))</x:f>
        <x:v>18088</x:v>
      </x:c>
      <x:c r="AL906" s="119" t="n">
        <x:f>IF(AJ906=0,0,(AJ906-IF(4=D906,1,0))*ROUND(AK906*VLOOKUP(INDEX('章节与怪物'!$E$31:$K$37,B906,4),'章节与怪物'!$A$41:$F$44,2,FALSE),0)+IF(4=D906,ROUND(AK906*'难度参数'!$E$28*'章节与怪物'!$E$17,0),0))</x:f>
        <x:v>1245369</x:v>
      </x:c>
      <x:c r="AM906" s="119" t="n">
        <x:f>IF(AJ906=0,0,(AJ906-IF(4=D906,1,0))*VLOOKUP(INDEX('章节与怪物'!$E$31:$K$37,B906,4),'章节与怪物'!$A$41:$F$44,4,FALSE)+IF(4=D906,'难度参数'!$E$30,0))</x:f>
        <x:v>1734</x:v>
      </x:c>
      <x:c r="AN906" s="119" t="n">
        <x:f>IF(5&gt;D906,0,MAX(2,MIN('难度参数'!$E$12,ROUND(('难度参数'!$E$18*POWER(A906,'难度参数'!$E$19)/D906*(0.85+0.3*(5-1)/MAX(1,D906-1))),0)+F906)))</x:f>
        <x:v>54</x:v>
      </x:c>
      <x:c r="AO906" s="119" t="n">
        <x:f>IF(5&gt;D906,0,ROUND(('难度参数'!$E$13*POWER(A906,'难度参数'!$E$20)*MIN('难度参数'!$E$23,1+MAX(0,A906-'难度参数'!$E$21)*'难度参数'!$E$22))*(36+5*7)/(36+7*(D906+1)/2)*E906,0))</x:f>
        <x:v>20066</x:v>
      </x:c>
      <x:c r="AP906" s="119" t="n">
        <x:f>IF(AN906=0,0,(AN906-IF(5=D906,1,0))*ROUND(AO906*VLOOKUP(INDEX('章节与怪物'!$E$31:$K$37,B906,5),'章节与怪物'!$A$41:$F$44,2,FALSE),0)+IF(5=D906,ROUND(AO906*'难度参数'!$E$28*'章节与怪物'!$E$17,0),0))</x:f>
        <x:v>780192</x:v>
      </x:c>
      <x:c r="AQ906" s="119" t="n">
        <x:f>IF(AN906=0,0,(AN906-IF(5=D906,1,0))*VLOOKUP(INDEX('章节与怪物'!$E$31:$K$37,B906,5),'章节与怪物'!$A$41:$F$44,4,FALSE)+IF(5=D906,'难度参数'!$E$30,0))</x:f>
        <x:v>1080</x:v>
      </x:c>
      <x:c r="AR906" s="119" t="n">
        <x:f>IF(6&gt;D906,0,MAX(2,MIN('难度参数'!$E$12,ROUND(('难度参数'!$E$18*POWER(A906,'难度参数'!$E$19)/D906*(0.85+0.3*(6-1)/MAX(1,D906-1))),0)+F906)))</x:f>
        <x:v>56</x:v>
      </x:c>
      <x:c r="AS906" s="119" t="n">
        <x:f>IF(6&gt;D906,0,ROUND(('难度参数'!$E$13*POWER(A906,'难度参数'!$E$20)*MIN('难度参数'!$E$23,1+MAX(0,A906-'难度参数'!$E$21)*'难度参数'!$E$22))*(36+6*7)/(36+7*(D906+1)/2)*E906,0))</x:f>
        <x:v>22045</x:v>
      </x:c>
      <x:c r="AT906" s="119" t="n">
        <x:f>IF(AR906=0,0,(AR906-IF(6=D906,1,0))*ROUND(AS906*VLOOKUP(INDEX('章节与怪物'!$E$31:$K$37,B906,6),'章节与怪物'!$A$41:$F$44,2,FALSE),0)+IF(6=D906,ROUND(AS906*'难度参数'!$E$28*'章节与怪物'!$E$17,0),0))</x:f>
        <x:v>2098712</x:v>
      </x:c>
      <x:c r="AU906" s="119" t="n">
        <x:f>IF(AR906=0,0,(AR906-IF(6=D906,1,0))*VLOOKUP(INDEX('章节与怪物'!$E$31:$K$37,B906,6),'章节与怪物'!$A$41:$F$44,4,FALSE)+IF(6=D906,'难度参数'!$E$30,0))</x:f>
        <x:v>1568</x:v>
      </x:c>
      <x:c r="AV906" s="119" t="n">
        <x:f>IF(7&gt;D906,0,MAX(2,MIN('难度参数'!$E$12,ROUND(('难度参数'!$E$18*POWER(A906,'难度参数'!$E$19)/D906*(0.85+0.3*(7-1)/MAX(1,D906-1))),0)+F906)))</x:f>
        <x:v>59</x:v>
      </x:c>
      <x:c r="AW906" s="119" t="n">
        <x:f>IF(7&gt;D906,0,ROUND(('难度参数'!$E$13*POWER(A906,'难度参数'!$E$20)*MIN('难度参数'!$E$23,1+MAX(0,A906-'难度参数'!$E$21)*'难度参数'!$E$22))*(36+7*7)/(36+7*(D906+1)/2)*E906,0))</x:f>
        <x:v>24023</x:v>
      </x:c>
      <x:c r="AX906" s="119" t="n">
        <x:f>IF(AV906=0,0,(AV906-IF(7=D906,1,0))*ROUND(AW906*VLOOKUP(INDEX('章节与怪物'!$E$31:$K$37,B906,7),'章节与怪物'!$A$41:$F$44,2,FALSE),0)+IF(7=D906,ROUND(AW906*'难度参数'!$E$28*'章节与怪物'!$E$17,0),0))</x:f>
        <x:v>2044354</x:v>
      </x:c>
      <x:c r="AY906" s="119" t="n">
        <x:f>IF(AV906=0,0,(AV906-IF(7=D906,1,0))*VLOOKUP(INDEX('章节与怪物'!$E$31:$K$37,B906,7),'章节与怪物'!$A$41:$F$44,4,FALSE)+IF(7=D906,'难度参数'!$E$30,0))</x:f>
        <x:v>2172</x:v>
      </x:c>
    </x:row>
  </x:sheetData>
  <x:mergeCells>
    <x:mergeCell ref="A1:J2"/>
    <x:mergeCell ref="A3:J3"/>
    <x:mergeCell ref="B4:D4"/>
  </x:mergeCells>
  <x:dataValidations count="3">
    <x:dataValidation type="decimal" operator="between" sqref="E7:E906">
      <x:formula1>0.01</x:formula1>
      <x:formula2>100</x:formula2>
    </x:dataValidation>
    <x:dataValidation type="whole" operator="between" sqref="F7:F906">
      <x:formula1>-10000</x:formula1>
      <x:formula2>10000</x:formula2>
    </x:dataValidation>
    <x:dataValidation type="decimal" operator="between" sqref="G7:G906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a6fa545087b44c5"/>
  </x:tableParts>
</x:worksheet>
</file>

<file path=xl/worksheets/sheet13.xml><?xml version="1.0" encoding="utf-8"?>
<x:worksheet xmlns:x="http://schemas.openxmlformats.org/spreadsheetml/2006/main">
  <x:sheetPr>
    <x:tabColor rgb="FF8B9C9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0" hidden="0" customWidth="1"/>
    <x:col min="3" max="3" width="20" hidden="0" customWidth="1"/>
    <x:col min="4" max="4" width="15" hidden="0" customWidth="1"/>
    <x:col min="5" max="5" width="18" hidden="0" customWidth="1"/>
    <x:col min="6" max="6" width="18" hidden="0" customWidth="1"/>
    <x:col min="7" max="7" width="15" hidden="0" customWidth="1"/>
    <x:col min="8" max="8" width="20" hidden="0" customWidth="1"/>
    <x:col min="9" max="9" width="16" hidden="0" customWidth="1"/>
    <x:col min="10" max="10" width="21" hidden="0" customWidth="1"/>
    <x:col min="11" max="11" width="14" hidden="0" customWidth="1"/>
    <x:col min="12" max="12" width="14" hidden="0" customWidth="1"/>
    <x:col min="13" max="13" width="20" hidden="0" customWidth="1"/>
    <x:col min="14" max="14" width="18" hidden="0" customWidth="1"/>
    <x:col min="15" max="15" width="23" hidden="0" customWidth="1"/>
  </x:cols>
  <x:sheetData>
    <x:row r="1" ht="23" customHeight="1">
      <x:c r="A1" s="59" t="str">
        <x:v>11｜所选关卡逐波怪物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2"/>
      <x:c r="L1" s="62"/>
      <x:c r="M1" s="62"/>
      <x:c r="N1" s="62"/>
      <x:c r="O1" s="62"/>
    </x:row>
    <x:row r="2" ht="23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2"/>
      <x:c r="L2" s="62"/>
      <x:c r="M2" s="62"/>
      <x:c r="N2" s="62"/>
      <x:c r="O2" s="62"/>
    </x:row>
    <x:row r="3" ht="44" customHeight="1">
      <x:c r="A3" s="61" t="str">
        <x:v>使用说明B5选择关卡。Boss替代本波最后一只；下方另列军报10波。通行时间未计禁锢、减速、Boss狂暴和攻击击退。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2"/>
      <x:c r="L3" s="62"/>
      <x:c r="M3" s="62"/>
      <x:c r="N3" s="62"/>
      <x:c r="O3" s="62"/>
    </x:row>
    <x:row r="4" ht="23" customHeight="1">
      <x:c r="A4" s="62" t="str">
        <x:v>采用方案</x:v>
      </x:c>
      <x:c r="B4" s="62" t="str">
        <x:f>IF('使用说明'!$B$4=0,"工程当前","调优试算")</x:f>
        <x:v>工程当前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</x:row>
    <x:row r="5" ht="23" customHeight="1">
      <x:c r="A5" s="62"/>
      <x:c r="B5" s="62"/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</x:row>
    <x:row r="6" ht="36" customHeight="1">
      <x:c r="A6" s="64" t="str">
        <x:v>模式</x:v>
      </x:c>
      <x:c r="B6" s="64" t="str">
        <x:v>波次</x:v>
      </x:c>
      <x:c r="C6" s="64" t="str">
        <x:v>普通怪模板</x:v>
      </x:c>
      <x:c r="D6" s="64" t="str">
        <x:v>总数量</x:v>
      </x:c>
      <x:c r="E6" s="64" t="str">
        <x:v>基础HP</x:v>
      </x:c>
      <x:c r="F6" s="64" t="str">
        <x:v>普通单只HP</x:v>
      </x:c>
      <x:c r="G6" s="64" t="str">
        <x:v>Boss数量</x:v>
      </x:c>
      <x:c r="H6" s="64" t="str">
        <x:v>Boss单只HP</x:v>
      </x:c>
      <x:c r="I6" s="64" t="str">
        <x:v>移动/步</x:v>
      </x:c>
      <x:c r="J6" s="64" t="str">
        <x:v>无控制通行秒</x:v>
      </x:c>
      <x:c r="K6" s="64" t="str">
        <x:v>闪避</x:v>
      </x:c>
      <x:c r="L6" s="64" t="str">
        <x:v>韧性</x:v>
      </x:c>
      <x:c r="M6" s="64" t="str">
        <x:v>全杀金币</x:v>
      </x:c>
      <x:c r="N6" s="64" t="str">
        <x:v>出怪秒</x:v>
      </x:c>
      <x:c r="O6" s="64" t="str">
        <x:v>怪物总HP</x:v>
      </x:c>
    </x:row>
    <x:row r="7" ht="23" customHeight="1">
      <x:c r="A7" s="62" t="str">
        <x:v>主线</x:v>
      </x:c>
      <x:c r="B7" s="119" t="n">
        <x:v>1</x:v>
      </x:c>
      <x:c r="C7" s="119" t="str">
        <x:f>INDEX('章节与怪物'!$E$31:$K$37,MOD(INT(('使用说明'!$B$5-1)/5),7)+1,1)</x:f>
        <x:v>normal</x:v>
      </x:c>
      <x:c r="D7" s="119" t="n">
        <x:f>IF(1&lt;=MIN('难度参数'!$E$8,MAX('难度参数'!$E$7,'使用说明'!$B$5)),MAX(2,MIN('难度参数'!$E$12,ROUND('难度参数'!$E$18*POWER('使用说明'!$B$5,'难度参数'!$E$19)/'难度参数'!$E$8*(0.85+0.3*(B7-1)/MAX(1,'难度参数'!$E$8-1)),0)+VLOOKUP('使用说明'!$B$5,'关卡总表'!$A$7:$AY$906,6,FALSE))),0)</x:f>
        <x:v>4</x:v>
      </x:c>
      <x:c r="E7" s="119" t="n">
        <x:f>ROUND('难度参数'!$E$13*POWER('使用说明'!$B$5,'难度参数'!$E$20)*MIN('难度参数'!$E$23,1+MAX(0,'使用说明'!$B$5-'难度参数'!$E$21)*'难度参数'!$E$22)*((36+B7*7)/(36+7*('难度参数'!$E$8+1)/2))*(1*VLOOKUP('使用说明'!$B$5,'关卡总表'!$A$7:$AY$906,5,FALSE)),0)</x:f>
        <x:v>67</x:v>
      </x:c>
      <x:c r="F7" s="119" t="n">
        <x:f>IF(D7&gt;0,ROUND(E7*VLOOKUP(C7,'章节与怪物'!$A$41:$F$44,2,FALSE),0),0)</x:f>
        <x:v>67</x:v>
      </x:c>
      <x:c r="G7" s="119" t="n">
        <x:f>IF(D7&gt;0,IF(B7=MIN('难度参数'!$E$8,MAX('难度参数'!$E$7,'使用说明'!$B$5)),1,0),0)</x:f>
        <x:v>0</x:v>
      </x:c>
      <x:c r="H7" s="119" t="n">
        <x:f>IF(G7&gt;0,ROUND(E7*'难度参数'!$E$28*'章节与怪物'!$E$17,0),0)</x:f>
        <x:v>0</x:v>
      </x:c>
      <x:c r="I7" s="62" t="n">
        <x:f>VLOOKUP(C7,'章节与怪物'!$A$41:$F$44,3,FALSE)</x:f>
        <x:v>1</x:v>
      </x:c>
      <x:c r="J7" s="62" t="n">
        <x:f>ROUNDUP(('难度参数'!$E$42-'难度参数'!$E$41)/I7,0)*ROUNDUP('难度参数'!$E$25/('难度参数'!$E$26*'难度参数'!$E$27),0)*'难度参数'!$E$26</x:f>
        <x:v>15.600000000000001</x:v>
      </x:c>
      <x:c r="K7" s="119" t="n">
        <x:f>VLOOKUP(C7,'章节与怪物'!$A$41:$F$44,5,FALSE)</x:f>
        <x:v>100</x:v>
      </x:c>
      <x:c r="L7" s="119" t="n">
        <x:f>VLOOKUP(C7,'章节与怪物'!$A$41:$F$44,6,FALSE)</x:f>
        <x:v>0</x:v>
      </x:c>
      <x:c r="M7" s="119" t="n">
        <x:f>(D7-G7)*VLOOKUP(C7,'章节与怪物'!$A$41:$F$44,4,FALSE)+G7*'难度参数'!$E$30</x:f>
        <x:v>72</x:v>
      </x:c>
      <x:c r="N7" s="62" t="n">
        <x:f>D7*(ROUNDUP('难度参数'!$E$24/('难度参数'!$E$26*'难度参数'!$E$27),0)*'难度参数'!$E$26)</x:f>
        <x:v>3.2</x:v>
      </x:c>
      <x:c r="O7" s="119" t="n">
        <x:f>(D7-G7)*F7+G7*H7</x:f>
        <x:v>268</x:v>
      </x:c>
    </x:row>
    <x:row r="8" ht="23" customHeight="1">
      <x:c r="A8" s="62" t="str">
        <x:v>主线</x:v>
      </x:c>
      <x:c r="B8" s="119" t="n">
        <x:v>2</x:v>
      </x:c>
      <x:c r="C8" s="119" t="str">
        <x:f>INDEX('章节与怪物'!$E$31:$K$37,MOD(INT(('使用说明'!$B$5-1)/5),7)+1,2)</x:f>
        <x:v>normal</x:v>
      </x:c>
      <x:c r="D8" s="119" t="n">
        <x:f>IF(2&lt;=MIN('难度参数'!$E$8,MAX('难度参数'!$E$7,'使用说明'!$B$5)),MAX(2,MIN('难度参数'!$E$12,ROUND('难度参数'!$E$18*POWER('使用说明'!$B$5,'难度参数'!$E$19)/'难度参数'!$E$8*(0.85+0.3*(B8-1)/MAX(1,'难度参数'!$E$8-1)),0)+VLOOKUP('使用说明'!$B$5,'关卡总表'!$A$7:$AY$906,6,FALSE))),0)</x:f>
        <x:v>4</x:v>
      </x:c>
      <x:c r="E8" s="119" t="n">
        <x:f>ROUND('难度参数'!$E$13*POWER('使用说明'!$B$5,'难度参数'!$E$20)*MIN('难度参数'!$E$23,1+MAX(0,'使用说明'!$B$5-'难度参数'!$E$21)*'难度参数'!$E$22)*((36+B8*7)/(36+7*('难度参数'!$E$8+1)/2))*(1*VLOOKUP('使用说明'!$B$5,'关卡总表'!$A$7:$AY$906,5,FALSE)),0)</x:f>
        <x:v>78</x:v>
      </x:c>
      <x:c r="F8" s="119" t="n">
        <x:f>IF(D8&gt;0,ROUND(E8*VLOOKUP(C8,'章节与怪物'!$A$41:$F$44,2,FALSE),0),0)</x:f>
        <x:v>78</x:v>
      </x:c>
      <x:c r="G8" s="119" t="n">
        <x:f>IF(D8&gt;0,IF(B8=MIN('难度参数'!$E$8,MAX('难度参数'!$E$7,'使用说明'!$B$5)),1,0),0)</x:f>
        <x:v>0</x:v>
      </x:c>
      <x:c r="H8" s="119" t="n">
        <x:f>IF(G8&gt;0,ROUND(E8*'难度参数'!$E$28*'章节与怪物'!$E$17,0),0)</x:f>
        <x:v>0</x:v>
      </x:c>
      <x:c r="I8" s="62" t="n">
        <x:f>VLOOKUP(C8,'章节与怪物'!$A$41:$F$44,3,FALSE)</x:f>
        <x:v>1</x:v>
      </x:c>
      <x:c r="J8" s="62" t="n">
        <x:f>ROUNDUP(('难度参数'!$E$42-'难度参数'!$E$41)/I8,0)*ROUNDUP('难度参数'!$E$25/('难度参数'!$E$26*'难度参数'!$E$27),0)*'难度参数'!$E$26</x:f>
        <x:v>15.600000000000001</x:v>
      </x:c>
      <x:c r="K8" s="119" t="n">
        <x:f>VLOOKUP(C8,'章节与怪物'!$A$41:$F$44,5,FALSE)</x:f>
        <x:v>100</x:v>
      </x:c>
      <x:c r="L8" s="119" t="n">
        <x:f>VLOOKUP(C8,'章节与怪物'!$A$41:$F$44,6,FALSE)</x:f>
        <x:v>0</x:v>
      </x:c>
      <x:c r="M8" s="119" t="n">
        <x:f>(D8-G8)*VLOOKUP(C8,'章节与怪物'!$A$41:$F$44,4,FALSE)+G8*'难度参数'!$E$30</x:f>
        <x:v>72</x:v>
      </x:c>
      <x:c r="N8" s="62" t="n">
        <x:f>D8*(ROUNDUP('难度参数'!$E$24/('难度参数'!$E$26*'难度参数'!$E$27),0)*'难度参数'!$E$26)</x:f>
        <x:v>3.2</x:v>
      </x:c>
      <x:c r="O8" s="119" t="n">
        <x:f>(D8-G8)*F8+G8*H8</x:f>
        <x:v>312</x:v>
      </x:c>
    </x:row>
    <x:row r="9" ht="23" customHeight="1">
      <x:c r="A9" s="62" t="str">
        <x:v>主线</x:v>
      </x:c>
      <x:c r="B9" s="119" t="n">
        <x:v>3</x:v>
      </x:c>
      <x:c r="C9" s="119" t="str">
        <x:f>INDEX('章节与怪物'!$E$31:$K$37,MOD(INT(('使用说明'!$B$5-1)/5),7)+1,3)</x:f>
        <x:v>runner</x:v>
      </x:c>
      <x:c r="D9" s="119" t="n">
        <x:f>IF(3&lt;=MIN('难度参数'!$E$8,MAX('难度参数'!$E$7,'使用说明'!$B$5)),MAX(2,MIN('难度参数'!$E$12,ROUND('难度参数'!$E$18*POWER('使用说明'!$B$5,'难度参数'!$E$19)/'难度参数'!$E$8*(0.85+0.3*(B9-1)/MAX(1,'难度参数'!$E$8-1)),0)+VLOOKUP('使用说明'!$B$5,'关卡总表'!$A$7:$AY$906,6,FALSE))),0)</x:f>
        <x:v>4</x:v>
      </x:c>
      <x:c r="E9" s="119" t="n">
        <x:f>ROUND('难度参数'!$E$13*POWER('使用说明'!$B$5,'难度参数'!$E$20)*MIN('难度参数'!$E$23,1+MAX(0,'使用说明'!$B$5-'难度参数'!$E$21)*'难度参数'!$E$22)*((36+B9*7)/(36+7*('难度参数'!$E$8+1)/2))*(1*VLOOKUP('使用说明'!$B$5,'关卡总表'!$A$7:$AY$906,5,FALSE)),0)</x:f>
        <x:v>89</x:v>
      </x:c>
      <x:c r="F9" s="119" t="n">
        <x:f>IF(D9&gt;0,ROUND(E9*VLOOKUP(C9,'章节与怪物'!$A$41:$F$44,2,FALSE),0),0)</x:f>
        <x:v>64</x:v>
      </x:c>
      <x:c r="G9" s="119" t="n">
        <x:f>IF(D9&gt;0,IF(B9=MIN('难度参数'!$E$8,MAX('难度参数'!$E$7,'使用说明'!$B$5)),1,0),0)</x:f>
        <x:v>1</x:v>
      </x:c>
      <x:c r="H9" s="119" t="n">
        <x:f>IF(G9&gt;0,ROUND(E9*'难度参数'!$E$28*'章节与怪物'!$E$17,0),0)</x:f>
        <x:v>605</x:v>
      </x:c>
      <x:c r="I9" s="62" t="n">
        <x:f>VLOOKUP(C9,'章节与怪物'!$A$41:$F$44,3,FALSE)</x:f>
        <x:v>1.2</x:v>
      </x:c>
      <x:c r="J9" s="62" t="n">
        <x:f>ROUNDUP(('难度参数'!$E$42-'难度参数'!$E$41)/I9,0)*ROUNDUP('难度参数'!$E$25/('难度参数'!$E$26*'难度参数'!$E$27),0)*'难度参数'!$E$26</x:f>
        <x:v>13</x:v>
      </x:c>
      <x:c r="K9" s="119" t="n">
        <x:f>VLOOKUP(C9,'章节与怪物'!$A$41:$F$44,5,FALSE)</x:f>
        <x:v>100</x:v>
      </x:c>
      <x:c r="L9" s="119" t="n">
        <x:f>VLOOKUP(C9,'章节与怪物'!$A$41:$F$44,6,FALSE)</x:f>
        <x:v>0</x:v>
      </x:c>
      <x:c r="M9" s="119" t="n">
        <x:f>(D9-G9)*VLOOKUP(C9,'章节与怪物'!$A$41:$F$44,4,FALSE)+G9*'难度参数'!$E$30</x:f>
        <x:v>260</x:v>
      </x:c>
      <x:c r="N9" s="62" t="n">
        <x:f>D9*(ROUNDUP('难度参数'!$E$24/('难度参数'!$E$26*'难度参数'!$E$27),0)*'难度参数'!$E$26)</x:f>
        <x:v>3.2</x:v>
      </x:c>
      <x:c r="O9" s="119" t="n">
        <x:f>(D9-G9)*F9+G9*H9</x:f>
        <x:v>797</x:v>
      </x:c>
    </x:row>
    <x:row r="10" ht="23" customHeight="1">
      <x:c r="A10" s="62" t="str">
        <x:v>主线</x:v>
      </x:c>
      <x:c r="B10" s="119" t="n">
        <x:v>4</x:v>
      </x:c>
      <x:c r="C10" s="119" t="str">
        <x:f>INDEX('章节与怪物'!$E$31:$K$37,MOD(INT(('使用说明'!$B$5-1)/5),7)+1,4)</x:f>
        <x:v>brute</x:v>
      </x:c>
      <x:c r="D10" s="119" t="n">
        <x:f>IF(4&lt;=MIN('难度参数'!$E$8,MAX('难度参数'!$E$7,'使用说明'!$B$5)),MAX(2,MIN('难度参数'!$E$12,ROUND('难度参数'!$E$18*POWER('使用说明'!$B$5,'难度参数'!$E$19)/'难度参数'!$E$8*(0.85+0.3*(B10-1)/MAX(1,'难度参数'!$E$8-1)),0)+VLOOKUP('使用说明'!$B$5,'关卡总表'!$A$7:$AY$906,6,FALSE))),0)</x:f>
        <x:v>0</x:v>
      </x:c>
      <x:c r="E10" s="119" t="n">
        <x:f>ROUND('难度参数'!$E$13*POWER('使用说明'!$B$5,'难度参数'!$E$20)*MIN('难度参数'!$E$23,1+MAX(0,'使用说明'!$B$5-'难度参数'!$E$21)*'难度参数'!$E$22)*((36+B10*7)/(36+7*('难度参数'!$E$8+1)/2))*(1*VLOOKUP('使用说明'!$B$5,'关卡总表'!$A$7:$AY$906,5,FALSE)),0)</x:f>
        <x:v>100</x:v>
      </x:c>
      <x:c r="F10" s="119" t="n">
        <x:f>IF(D10&gt;0,ROUND(E10*VLOOKUP(C10,'章节与怪物'!$A$41:$F$44,2,FALSE),0),0)</x:f>
        <x:v>0</x:v>
      </x:c>
      <x:c r="G10" s="119" t="n">
        <x:f>IF(D10&gt;0,IF(B10=MIN('难度参数'!$E$8,MAX('难度参数'!$E$7,'使用说明'!$B$5)),1,0),0)</x:f>
        <x:v>0</x:v>
      </x:c>
      <x:c r="H10" s="119" t="n">
        <x:f>IF(G10&gt;0,ROUND(E10*'难度参数'!$E$28*'章节与怪物'!$E$17,0),0)</x:f>
        <x:v>0</x:v>
      </x:c>
      <x:c r="I10" s="62" t="n">
        <x:f>VLOOKUP(C10,'章节与怪物'!$A$41:$F$44,3,FALSE)</x:f>
        <x:v>0.78</x:v>
      </x:c>
      <x:c r="J10" s="62" t="n">
        <x:f>ROUNDUP(('难度参数'!$E$42-'难度参数'!$E$41)/I10,0)*ROUNDUP('难度参数'!$E$25/('难度参数'!$E$26*'难度参数'!$E$27),0)*'难度参数'!$E$26</x:f>
        <x:v>19.5</x:v>
      </x:c>
      <x:c r="K10" s="119" t="n">
        <x:f>VLOOKUP(C10,'章节与怪物'!$A$41:$F$44,5,FALSE)</x:f>
        <x:v>100</x:v>
      </x:c>
      <x:c r="L10" s="119" t="n">
        <x:f>VLOOKUP(C10,'章节与怪物'!$A$41:$F$44,6,FALSE)</x:f>
        <x:v>0</x:v>
      </x:c>
      <x:c r="M10" s="119" t="n">
        <x:f>(D10-G10)*VLOOKUP(C10,'章节与怪物'!$A$41:$F$44,4,FALSE)+G10*'难度参数'!$E$30</x:f>
        <x:v>0</x:v>
      </x:c>
      <x:c r="N10" s="62" t="n">
        <x:f>D10*(ROUNDUP('难度参数'!$E$24/('难度参数'!$E$26*'难度参数'!$E$27),0)*'难度参数'!$E$26)</x:f>
        <x:v>0</x:v>
      </x:c>
      <x:c r="O10" s="119" t="n">
        <x:f>(D10-G10)*F10+G10*H10</x:f>
        <x:v>0</x:v>
      </x:c>
    </x:row>
    <x:row r="11" ht="23" customHeight="1">
      <x:c r="A11" s="62" t="str">
        <x:v>主线</x:v>
      </x:c>
      <x:c r="B11" s="119" t="n">
        <x:v>5</x:v>
      </x:c>
      <x:c r="C11" s="119" t="str">
        <x:f>INDEX('章节与怪物'!$E$31:$K$37,MOD(INT(('使用说明'!$B$5-1)/5),7)+1,5)</x:f>
        <x:v>elite</x:v>
      </x:c>
      <x:c r="D11" s="119" t="n">
        <x:f>IF(5&lt;=MIN('难度参数'!$E$8,MAX('难度参数'!$E$7,'使用说明'!$B$5)),MAX(2,MIN('难度参数'!$E$12,ROUND('难度参数'!$E$18*POWER('使用说明'!$B$5,'难度参数'!$E$19)/'难度参数'!$E$8*(0.85+0.3*(B11-1)/MAX(1,'难度参数'!$E$8-1)),0)+VLOOKUP('使用说明'!$B$5,'关卡总表'!$A$7:$AY$906,6,FALSE))),0)</x:f>
        <x:v>0</x:v>
      </x:c>
      <x:c r="E11" s="119" t="n">
        <x:f>ROUND('难度参数'!$E$13*POWER('使用说明'!$B$5,'难度参数'!$E$20)*MIN('难度参数'!$E$23,1+MAX(0,'使用说明'!$B$5-'难度参数'!$E$21)*'难度参数'!$E$22)*((36+B11*7)/(36+7*('难度参数'!$E$8+1)/2))*(1*VLOOKUP('使用说明'!$B$5,'关卡总表'!$A$7:$AY$906,5,FALSE)),0)</x:f>
        <x:v>111</x:v>
      </x:c>
      <x:c r="F11" s="119" t="n">
        <x:f>IF(D11&gt;0,ROUND(E11*VLOOKUP(C11,'章节与怪物'!$A$41:$F$44,2,FALSE),0),0)</x:f>
        <x:v>0</x:v>
      </x:c>
      <x:c r="G11" s="119" t="n">
        <x:f>IF(D11&gt;0,IF(B11=MIN('难度参数'!$E$8,MAX('难度参数'!$E$7,'使用说明'!$B$5)),1,0),0)</x:f>
        <x:v>0</x:v>
      </x:c>
      <x:c r="H11" s="119" t="n">
        <x:f>IF(G11&gt;0,ROUND(E11*'难度参数'!$E$28*'章节与怪物'!$E$17,0),0)</x:f>
        <x:v>0</x:v>
      </x:c>
      <x:c r="I11" s="62" t="n">
        <x:f>VLOOKUP(C11,'章节与怪物'!$A$41:$F$44,3,FALSE)</x:f>
        <x:v>0.92</x:v>
      </x:c>
      <x:c r="J11" s="62" t="n">
        <x:f>ROUNDUP(('难度参数'!$E$42-'难度参数'!$E$41)/I11,0)*ROUNDUP('难度参数'!$E$25/('难度参数'!$E$26*'难度参数'!$E$27),0)*'难度参数'!$E$26</x:f>
        <x:v>16.900000000000002</x:v>
      </x:c>
      <x:c r="K11" s="119" t="n">
        <x:f>VLOOKUP(C11,'章节与怪物'!$A$41:$F$44,5,FALSE)</x:f>
        <x:v>100</x:v>
      </x:c>
      <x:c r="L11" s="119" t="n">
        <x:f>VLOOKUP(C11,'章节与怪物'!$A$41:$F$44,6,FALSE)</x:f>
        <x:v>0</x:v>
      </x:c>
      <x:c r="M11" s="119" t="n">
        <x:f>(D11-G11)*VLOOKUP(C11,'章节与怪物'!$A$41:$F$44,4,FALSE)+G11*'难度参数'!$E$30</x:f>
        <x:v>0</x:v>
      </x:c>
      <x:c r="N11" s="62" t="n">
        <x:f>D11*(ROUNDUP('难度参数'!$E$24/('难度参数'!$E$26*'难度参数'!$E$27),0)*'难度参数'!$E$26)</x:f>
        <x:v>0</x:v>
      </x:c>
      <x:c r="O11" s="119" t="n">
        <x:f>(D11-G11)*F11+G11*H11</x:f>
        <x:v>0</x:v>
      </x:c>
    </x:row>
    <x:row r="12" ht="23" customHeight="1">
      <x:c r="A12" s="62" t="str">
        <x:v>主线</x:v>
      </x:c>
      <x:c r="B12" s="119" t="n">
        <x:v>6</x:v>
      </x:c>
      <x:c r="C12" s="119" t="str">
        <x:f>INDEX('章节与怪物'!$E$31:$K$37,MOD(INT(('使用说明'!$B$5-1)/5),7)+1,6)</x:f>
        <x:v>runner</x:v>
      </x:c>
      <x:c r="D12" s="119" t="n">
        <x:f>IF(6&lt;=MIN('难度参数'!$E$8,MAX('难度参数'!$E$7,'使用说明'!$B$5)),MAX(2,MIN('难度参数'!$E$12,ROUND('难度参数'!$E$18*POWER('使用说明'!$B$5,'难度参数'!$E$19)/'难度参数'!$E$8*(0.85+0.3*(B12-1)/MAX(1,'难度参数'!$E$8-1)),0)+VLOOKUP('使用说明'!$B$5,'关卡总表'!$A$7:$AY$906,6,FALSE))),0)</x:f>
        <x:v>0</x:v>
      </x:c>
      <x:c r="E12" s="119" t="n">
        <x:f>ROUND('难度参数'!$E$13*POWER('使用说明'!$B$5,'难度参数'!$E$20)*MIN('难度参数'!$E$23,1+MAX(0,'使用说明'!$B$5-'难度参数'!$E$21)*'难度参数'!$E$22)*((36+B12*7)/(36+7*('难度参数'!$E$8+1)/2))*(1*VLOOKUP('使用说明'!$B$5,'关卡总表'!$A$7:$AY$906,5,FALSE)),0)</x:f>
        <x:v>122</x:v>
      </x:c>
      <x:c r="F12" s="119" t="n">
        <x:f>IF(D12&gt;0,ROUND(E12*VLOOKUP(C12,'章节与怪物'!$A$41:$F$44,2,FALSE),0),0)</x:f>
        <x:v>0</x:v>
      </x:c>
      <x:c r="G12" s="119" t="n">
        <x:f>IF(D12&gt;0,IF(B12=MIN('难度参数'!$E$8,MAX('难度参数'!$E$7,'使用说明'!$B$5)),1,0),0)</x:f>
        <x:v>0</x:v>
      </x:c>
      <x:c r="H12" s="119" t="n">
        <x:f>IF(G12&gt;0,ROUND(E12*'难度参数'!$E$28*'章节与怪物'!$E$17,0),0)</x:f>
        <x:v>0</x:v>
      </x:c>
      <x:c r="I12" s="62" t="n">
        <x:f>VLOOKUP(C12,'章节与怪物'!$A$41:$F$44,3,FALSE)</x:f>
        <x:v>1.2</x:v>
      </x:c>
      <x:c r="J12" s="62" t="n">
        <x:f>ROUNDUP(('难度参数'!$E$42-'难度参数'!$E$41)/I12,0)*ROUNDUP('难度参数'!$E$25/('难度参数'!$E$26*'难度参数'!$E$27),0)*'难度参数'!$E$26</x:f>
        <x:v>13</x:v>
      </x:c>
      <x:c r="K12" s="119" t="n">
        <x:f>VLOOKUP(C12,'章节与怪物'!$A$41:$F$44,5,FALSE)</x:f>
        <x:v>100</x:v>
      </x:c>
      <x:c r="L12" s="119" t="n">
        <x:f>VLOOKUP(C12,'章节与怪物'!$A$41:$F$44,6,FALSE)</x:f>
        <x:v>0</x:v>
      </x:c>
      <x:c r="M12" s="119" t="n">
        <x:f>(D12-G12)*VLOOKUP(C12,'章节与怪物'!$A$41:$F$44,4,FALSE)+G12*'难度参数'!$E$30</x:f>
        <x:v>0</x:v>
      </x:c>
      <x:c r="N12" s="62" t="n">
        <x:f>D12*(ROUNDUP('难度参数'!$E$24/('难度参数'!$E$26*'难度参数'!$E$27),0)*'难度参数'!$E$26)</x:f>
        <x:v>0</x:v>
      </x:c>
      <x:c r="O12" s="119" t="n">
        <x:f>(D12-G12)*F12+G12*H12</x:f>
        <x:v>0</x:v>
      </x:c>
    </x:row>
    <x:row r="13" ht="23" customHeight="1">
      <x:c r="A13" s="62" t="str">
        <x:v>主线</x:v>
      </x:c>
      <x:c r="B13" s="119" t="n">
        <x:v>7</x:v>
      </x:c>
      <x:c r="C13" s="119" t="str">
        <x:f>INDEX('章节与怪物'!$E$31:$K$37,MOD(INT(('使用说明'!$B$5-1)/5),7)+1,7)</x:f>
        <x:v>brute</x:v>
      </x:c>
      <x:c r="D13" s="119" t="n">
        <x:f>IF(7&lt;=MIN('难度参数'!$E$8,MAX('难度参数'!$E$7,'使用说明'!$B$5)),MAX(2,MIN('难度参数'!$E$12,ROUND('难度参数'!$E$18*POWER('使用说明'!$B$5,'难度参数'!$E$19)/'难度参数'!$E$8*(0.85+0.3*(B13-1)/MAX(1,'难度参数'!$E$8-1)),0)+VLOOKUP('使用说明'!$B$5,'关卡总表'!$A$7:$AY$906,6,FALSE))),0)</x:f>
        <x:v>0</x:v>
      </x:c>
      <x:c r="E13" s="119" t="n">
        <x:f>ROUND('难度参数'!$E$13*POWER('使用说明'!$B$5,'难度参数'!$E$20)*MIN('难度参数'!$E$23,1+MAX(0,'使用说明'!$B$5-'难度参数'!$E$21)*'难度参数'!$E$22)*((36+B13*7)/(36+7*('难度参数'!$E$8+1)/2))*(1*VLOOKUP('使用说明'!$B$5,'关卡总表'!$A$7:$AY$906,5,FALSE)),0)</x:f>
        <x:v>133</x:v>
      </x:c>
      <x:c r="F13" s="119" t="n">
        <x:f>IF(D13&gt;0,ROUND(E13*VLOOKUP(C13,'章节与怪物'!$A$41:$F$44,2,FALSE),0),0)</x:f>
        <x:v>0</x:v>
      </x:c>
      <x:c r="G13" s="119" t="n">
        <x:f>IF(D13&gt;0,IF(B13=MIN('难度参数'!$E$8,MAX('难度参数'!$E$7,'使用说明'!$B$5)),1,0),0)</x:f>
        <x:v>0</x:v>
      </x:c>
      <x:c r="H13" s="119" t="n">
        <x:f>IF(G13&gt;0,ROUND(E13*'难度参数'!$E$28*'章节与怪物'!$E$17,0),0)</x:f>
        <x:v>0</x:v>
      </x:c>
      <x:c r="I13" s="62" t="n">
        <x:f>VLOOKUP(C13,'章节与怪物'!$A$41:$F$44,3,FALSE)</x:f>
        <x:v>0.78</x:v>
      </x:c>
      <x:c r="J13" s="62" t="n">
        <x:f>ROUNDUP(('难度参数'!$E$42-'难度参数'!$E$41)/I13,0)*ROUNDUP('难度参数'!$E$25/('难度参数'!$E$26*'难度参数'!$E$27),0)*'难度参数'!$E$26</x:f>
        <x:v>19.5</x:v>
      </x:c>
      <x:c r="K13" s="119" t="n">
        <x:f>VLOOKUP(C13,'章节与怪物'!$A$41:$F$44,5,FALSE)</x:f>
        <x:v>100</x:v>
      </x:c>
      <x:c r="L13" s="119" t="n">
        <x:f>VLOOKUP(C13,'章节与怪物'!$A$41:$F$44,6,FALSE)</x:f>
        <x:v>0</x:v>
      </x:c>
      <x:c r="M13" s="119" t="n">
        <x:f>(D13-G13)*VLOOKUP(C13,'章节与怪物'!$A$41:$F$44,4,FALSE)+G13*'难度参数'!$E$30</x:f>
        <x:v>0</x:v>
      </x:c>
      <x:c r="N13" s="62" t="n">
        <x:f>D13*(ROUNDUP('难度参数'!$E$24/('难度参数'!$E$26*'难度参数'!$E$27),0)*'难度参数'!$E$26)</x:f>
        <x:v>0</x:v>
      </x:c>
      <x:c r="O13" s="119" t="n">
        <x:f>(D13-G13)*F13+G13*H13</x:f>
        <x:v>0</x:v>
      </x:c>
    </x:row>
    <x:row r="14" ht="23" customHeight="1">
      <x:c r="A14" s="62" t="str">
        <x:v>军报</x:v>
      </x:c>
      <x:c r="B14" s="119" t="n">
        <x:v>1</x:v>
      </x:c>
      <x:c r="C14" s="119" t="str">
        <x:f>INDEX('章节与怪物'!$E$31:$K$37,MOD(INT(('使用说明'!$B$5-1)/5),7)+1,1)</x:f>
        <x:v>normal</x:v>
      </x:c>
      <x:c r="D14" s="119" t="n">
        <x:f>IF(1&lt;='难度参数'!$E$37,MAX(2,MIN('难度参数'!$E$12,ROUND('难度参数'!$E$18*POWER('使用说明'!$B$5,'难度参数'!$E$19)/'难度参数'!$E$8*(0.85+0.3*(B14-1)/MAX(1,'难度参数'!$E$8-1)),0)+0)),0)</x:f>
        <x:v>4</x:v>
      </x:c>
      <x:c r="E14" s="119" t="n">
        <x:f>ROUND('难度参数'!$E$13*POWER('使用说明'!$B$5,'难度参数'!$E$20)*MIN('难度参数'!$E$23,1+MAX(0,'使用说明'!$B$5-'难度参数'!$E$21)*'难度参数'!$E$22)*((36+B14*7)/(36+7*('难度参数'!$E$8+1)/2))*('难度参数'!$E$40*1),0)</x:f>
        <x:v>75</x:v>
      </x:c>
      <x:c r="F14" s="119" t="n">
        <x:f>IF(D14&gt;0,ROUND(E14*VLOOKUP(C14,'章节与怪物'!$A$41:$F$44,2,FALSE),0),0)</x:f>
        <x:v>75</x:v>
      </x:c>
      <x:c r="G14" s="119" t="n">
        <x:f>IF(D14&gt;0,IF(MOD(B14,'难度参数'!$E$38)=0,1,0),0)</x:f>
        <x:v>0</x:v>
      </x:c>
      <x:c r="H14" s="119" t="n">
        <x:f>IF(G14&gt;0,ROUND(E14*'难度参数'!$E$28*'章节与怪物'!$E$17,0),0)</x:f>
        <x:v>0</x:v>
      </x:c>
      <x:c r="I14" s="62" t="n">
        <x:f>VLOOKUP(C14,'章节与怪物'!$A$41:$F$44,3,FALSE)</x:f>
        <x:v>1</x:v>
      </x:c>
      <x:c r="J14" s="62" t="n">
        <x:f>ROUNDUP(('难度参数'!$E$42-'难度参数'!$E$41)/I14,0)*ROUNDUP('难度参数'!$E$25/('难度参数'!$E$26*'难度参数'!$E$27),0)*'难度参数'!$E$26</x:f>
        <x:v>15.600000000000001</x:v>
      </x:c>
      <x:c r="K14" s="119" t="n">
        <x:f>VLOOKUP(C14,'章节与怪物'!$A$41:$F$44,5,FALSE)</x:f>
        <x:v>100</x:v>
      </x:c>
      <x:c r="L14" s="119" t="n">
        <x:f>VLOOKUP(C14,'章节与怪物'!$A$41:$F$44,6,FALSE)</x:f>
        <x:v>0</x:v>
      </x:c>
      <x:c r="M14" s="119" t="n">
        <x:f>(D14-G14)*VLOOKUP(C14,'章节与怪物'!$A$41:$F$44,4,FALSE)+G14*'难度参数'!$E$30</x:f>
        <x:v>72</x:v>
      </x:c>
      <x:c r="N14" s="62" t="n">
        <x:f>D14*(ROUNDUP('难度参数'!$E$24/('难度参数'!$E$26*'难度参数'!$E$27),0)*'难度参数'!$E$26)</x:f>
        <x:v>3.2</x:v>
      </x:c>
      <x:c r="O14" s="119" t="n">
        <x:f>(D14-G14)*F14+G14*H14</x:f>
        <x:v>300</x:v>
      </x:c>
    </x:row>
    <x:row r="15" ht="23" customHeight="1">
      <x:c r="A15" s="62" t="str">
        <x:v>军报</x:v>
      </x:c>
      <x:c r="B15" s="119" t="n">
        <x:v>2</x:v>
      </x:c>
      <x:c r="C15" s="119" t="str">
        <x:f>INDEX('章节与怪物'!$E$31:$K$37,MOD(INT(('使用说明'!$B$5-1)/5),7)+1,2)</x:f>
        <x:v>normal</x:v>
      </x:c>
      <x:c r="D15" s="119" t="n">
        <x:f>IF(2&lt;='难度参数'!$E$37,MAX(2,MIN('难度参数'!$E$12,ROUND('难度参数'!$E$18*POWER('使用说明'!$B$5,'难度参数'!$E$19)/'难度参数'!$E$8*(0.85+0.3*(B15-1)/MAX(1,'难度参数'!$E$8-1)),0)+0)),0)</x:f>
        <x:v>4</x:v>
      </x:c>
      <x:c r="E15" s="119" t="n">
        <x:f>ROUND('难度参数'!$E$13*POWER('使用说明'!$B$5,'难度参数'!$E$20)*MIN('难度参数'!$E$23,1+MAX(0,'使用说明'!$B$5-'难度参数'!$E$21)*'难度参数'!$E$22)*((36+B15*7)/(36+7*('难度参数'!$E$8+1)/2))*('难度参数'!$E$40*1),0)</x:f>
        <x:v>88</x:v>
      </x:c>
      <x:c r="F15" s="119" t="n">
        <x:f>IF(D15&gt;0,ROUND(E15*VLOOKUP(C15,'章节与怪物'!$A$41:$F$44,2,FALSE),0),0)</x:f>
        <x:v>88</x:v>
      </x:c>
      <x:c r="G15" s="119" t="n">
        <x:f>IF(D15&gt;0,IF(MOD(B15,'难度参数'!$E$38)=0,1,0),0)</x:f>
        <x:v>0</x:v>
      </x:c>
      <x:c r="H15" s="119" t="n">
        <x:f>IF(G15&gt;0,ROUND(E15*'难度参数'!$E$28*'章节与怪物'!$E$17,0),0)</x:f>
        <x:v>0</x:v>
      </x:c>
      <x:c r="I15" s="62" t="n">
        <x:f>VLOOKUP(C15,'章节与怪物'!$A$41:$F$44,3,FALSE)</x:f>
        <x:v>1</x:v>
      </x:c>
      <x:c r="J15" s="62" t="n">
        <x:f>ROUNDUP(('难度参数'!$E$42-'难度参数'!$E$41)/I15,0)*ROUNDUP('难度参数'!$E$25/('难度参数'!$E$26*'难度参数'!$E$27),0)*'难度参数'!$E$26</x:f>
        <x:v>15.600000000000001</x:v>
      </x:c>
      <x:c r="K15" s="119" t="n">
        <x:f>VLOOKUP(C15,'章节与怪物'!$A$41:$F$44,5,FALSE)</x:f>
        <x:v>100</x:v>
      </x:c>
      <x:c r="L15" s="119" t="n">
        <x:f>VLOOKUP(C15,'章节与怪物'!$A$41:$F$44,6,FALSE)</x:f>
        <x:v>0</x:v>
      </x:c>
      <x:c r="M15" s="119" t="n">
        <x:f>(D15-G15)*VLOOKUP(C15,'章节与怪物'!$A$41:$F$44,4,FALSE)+G15*'难度参数'!$E$30</x:f>
        <x:v>72</x:v>
      </x:c>
      <x:c r="N15" s="62" t="n">
        <x:f>D15*(ROUNDUP('难度参数'!$E$24/('难度参数'!$E$26*'难度参数'!$E$27),0)*'难度参数'!$E$26)</x:f>
        <x:v>3.2</x:v>
      </x:c>
      <x:c r="O15" s="119" t="n">
        <x:f>(D15-G15)*F15+G15*H15</x:f>
        <x:v>352</x:v>
      </x:c>
    </x:row>
    <x:row r="16" ht="23" customHeight="1">
      <x:c r="A16" s="62" t="str">
        <x:v>军报</x:v>
      </x:c>
      <x:c r="B16" s="119" t="n">
        <x:v>3</x:v>
      </x:c>
      <x:c r="C16" s="119" t="str">
        <x:f>INDEX('章节与怪物'!$E$31:$K$37,MOD(INT(('使用说明'!$B$5-1)/5),7)+1,3)</x:f>
        <x:v>runner</x:v>
      </x:c>
      <x:c r="D16" s="119" t="n">
        <x:f>IF(3&lt;='难度参数'!$E$37,MAX(2,MIN('难度参数'!$E$12,ROUND('难度参数'!$E$18*POWER('使用说明'!$B$5,'难度参数'!$E$19)/'难度参数'!$E$8*(0.85+0.3*(B16-1)/MAX(1,'难度参数'!$E$8-1)),0)+0)),0)</x:f>
        <x:v>4</x:v>
      </x:c>
      <x:c r="E16" s="119" t="n">
        <x:f>ROUND('难度参数'!$E$13*POWER('使用说明'!$B$5,'难度参数'!$E$20)*MIN('难度参数'!$E$23,1+MAX(0,'使用说明'!$B$5-'难度参数'!$E$21)*'难度参数'!$E$22)*((36+B16*7)/(36+7*('难度参数'!$E$8+1)/2))*('难度参数'!$E$40*1),0)</x:f>
        <x:v>100</x:v>
      </x:c>
      <x:c r="F16" s="119" t="n">
        <x:f>IF(D16&gt;0,ROUND(E16*VLOOKUP(C16,'章节与怪物'!$A$41:$F$44,2,FALSE),0),0)</x:f>
        <x:v>72</x:v>
      </x:c>
      <x:c r="G16" s="119" t="n">
        <x:f>IF(D16&gt;0,IF(MOD(B16,'难度参数'!$E$38)=0,1,0),0)</x:f>
        <x:v>0</x:v>
      </x:c>
      <x:c r="H16" s="119" t="n">
        <x:f>IF(G16&gt;0,ROUND(E16*'难度参数'!$E$28*'章节与怪物'!$E$17,0),0)</x:f>
        <x:v>0</x:v>
      </x:c>
      <x:c r="I16" s="62" t="n">
        <x:f>VLOOKUP(C16,'章节与怪物'!$A$41:$F$44,3,FALSE)</x:f>
        <x:v>1.2</x:v>
      </x:c>
      <x:c r="J16" s="62" t="n">
        <x:f>ROUNDUP(('难度参数'!$E$42-'难度参数'!$E$41)/I16,0)*ROUNDUP('难度参数'!$E$25/('难度参数'!$E$26*'难度参数'!$E$27),0)*'难度参数'!$E$26</x:f>
        <x:v>13</x:v>
      </x:c>
      <x:c r="K16" s="119" t="n">
        <x:f>VLOOKUP(C16,'章节与怪物'!$A$41:$F$44,5,FALSE)</x:f>
        <x:v>100</x:v>
      </x:c>
      <x:c r="L16" s="119" t="n">
        <x:f>VLOOKUP(C16,'章节与怪物'!$A$41:$F$44,6,FALSE)</x:f>
        <x:v>0</x:v>
      </x:c>
      <x:c r="M16" s="119" t="n">
        <x:f>(D16-G16)*VLOOKUP(C16,'章节与怪物'!$A$41:$F$44,4,FALSE)+G16*'难度参数'!$E$30</x:f>
        <x:v>80</x:v>
      </x:c>
      <x:c r="N16" s="62" t="n">
        <x:f>D16*(ROUNDUP('难度参数'!$E$24/('难度参数'!$E$26*'难度参数'!$E$27),0)*'难度参数'!$E$26)</x:f>
        <x:v>3.2</x:v>
      </x:c>
      <x:c r="O16" s="119" t="n">
        <x:f>(D16-G16)*F16+G16*H16</x:f>
        <x:v>288</x:v>
      </x:c>
    </x:row>
    <x:row r="17" ht="23" customHeight="1">
      <x:c r="A17" s="62" t="str">
        <x:v>军报</x:v>
      </x:c>
      <x:c r="B17" s="119" t="n">
        <x:v>4</x:v>
      </x:c>
      <x:c r="C17" s="119" t="str">
        <x:f>INDEX('章节与怪物'!$E$31:$K$37,MOD(INT(('使用说明'!$B$5-1)/5),7)+1,4)</x:f>
        <x:v>brute</x:v>
      </x:c>
      <x:c r="D17" s="119" t="n">
        <x:f>IF(4&lt;='难度参数'!$E$37,MAX(2,MIN('难度参数'!$E$12,ROUND('难度参数'!$E$18*POWER('使用说明'!$B$5,'难度参数'!$E$19)/'难度参数'!$E$8*(0.85+0.3*(B17-1)/MAX(1,'难度参数'!$E$8-1)),0)+0)),0)</x:f>
        <x:v>5</x:v>
      </x:c>
      <x:c r="E17" s="119" t="n">
        <x:f>ROUND('难度参数'!$E$13*POWER('使用说明'!$B$5,'难度参数'!$E$20)*MIN('难度参数'!$E$23,1+MAX(0,'使用说明'!$B$5-'难度参数'!$E$21)*'难度参数'!$E$22)*((36+B17*7)/(36+7*('难度参数'!$E$8+1)/2))*('难度参数'!$E$40*1),0)</x:f>
        <x:v>112</x:v>
      </x:c>
      <x:c r="F17" s="119" t="n">
        <x:f>IF(D17&gt;0,ROUND(E17*VLOOKUP(C17,'章节与怪物'!$A$41:$F$44,2,FALSE),0),0)</x:f>
        <x:v>190</x:v>
      </x:c>
      <x:c r="G17" s="119" t="n">
        <x:f>IF(D17&gt;0,IF(MOD(B17,'难度参数'!$E$38)=0,1,0),0)</x:f>
        <x:v>0</x:v>
      </x:c>
      <x:c r="H17" s="119" t="n">
        <x:f>IF(G17&gt;0,ROUND(E17*'难度参数'!$E$28*'章节与怪物'!$E$17,0),0)</x:f>
        <x:v>0</x:v>
      </x:c>
      <x:c r="I17" s="62" t="n">
        <x:f>VLOOKUP(C17,'章节与怪物'!$A$41:$F$44,3,FALSE)</x:f>
        <x:v>0.78</x:v>
      </x:c>
      <x:c r="J17" s="62" t="n">
        <x:f>ROUNDUP(('难度参数'!$E$42-'难度参数'!$E$41)/I17,0)*ROUNDUP('难度参数'!$E$25/('难度参数'!$E$26*'难度参数'!$E$27),0)*'难度参数'!$E$26</x:f>
        <x:v>19.5</x:v>
      </x:c>
      <x:c r="K17" s="119" t="n">
        <x:f>VLOOKUP(C17,'章节与怪物'!$A$41:$F$44,5,FALSE)</x:f>
        <x:v>100</x:v>
      </x:c>
      <x:c r="L17" s="119" t="n">
        <x:f>VLOOKUP(C17,'章节与怪物'!$A$41:$F$44,6,FALSE)</x:f>
        <x:v>0</x:v>
      </x:c>
      <x:c r="M17" s="119" t="n">
        <x:f>(D17-G17)*VLOOKUP(C17,'章节与怪物'!$A$41:$F$44,4,FALSE)+G17*'难度参数'!$E$30</x:f>
        <x:v>140</x:v>
      </x:c>
      <x:c r="N17" s="62" t="n">
        <x:f>D17*(ROUNDUP('难度参数'!$E$24/('难度参数'!$E$26*'难度参数'!$E$27),0)*'难度参数'!$E$26)</x:f>
        <x:v>4</x:v>
      </x:c>
      <x:c r="O17" s="119" t="n">
        <x:f>(D17-G17)*F17+G17*H17</x:f>
        <x:v>950</x:v>
      </x:c>
    </x:row>
    <x:row r="18" ht="23" customHeight="1">
      <x:c r="A18" s="62" t="str">
        <x:v>军报</x:v>
      </x:c>
      <x:c r="B18" s="119" t="n">
        <x:v>5</x:v>
      </x:c>
      <x:c r="C18" s="119" t="str">
        <x:f>INDEX('章节与怪物'!$E$31:$K$37,MOD(INT(('使用说明'!$B$5-1)/5),7)+1,5)</x:f>
        <x:v>elite</x:v>
      </x:c>
      <x:c r="D18" s="119" t="n">
        <x:f>IF(5&lt;='难度参数'!$E$37,MAX(2,MIN('难度参数'!$E$12,ROUND('难度参数'!$E$18*POWER('使用说明'!$B$5,'难度参数'!$E$19)/'难度参数'!$E$8*(0.85+0.3*(B18-1)/MAX(1,'难度参数'!$E$8-1)),0)+0)),0)</x:f>
        <x:v>5</x:v>
      </x:c>
      <x:c r="E18" s="119" t="n">
        <x:f>ROUND('难度参数'!$E$13*POWER('使用说明'!$B$5,'难度参数'!$E$20)*MIN('难度参数'!$E$23,1+MAX(0,'使用说明'!$B$5-'难度参数'!$E$21)*'难度参数'!$E$22)*((36+B18*7)/(36+7*('难度参数'!$E$8+1)/2))*('难度参数'!$E$40*1),0)</x:f>
        <x:v>124</x:v>
      </x:c>
      <x:c r="F18" s="119" t="n">
        <x:f>IF(D18&gt;0,ROUND(E18*VLOOKUP(C18,'章节与怪物'!$A$41:$F$44,2,FALSE),0),0)</x:f>
        <x:v>167</x:v>
      </x:c>
      <x:c r="G18" s="119" t="n">
        <x:f>IF(D18&gt;0,IF(MOD(B18,'难度参数'!$E$38)=0,1,0),0)</x:f>
        <x:v>1</x:v>
      </x:c>
      <x:c r="H18" s="119" t="n">
        <x:f>IF(G18&gt;0,ROUND(E18*'难度参数'!$E$28*'章节与怪物'!$E$17,0),0)</x:f>
        <x:v>843</x:v>
      </x:c>
      <x:c r="I18" s="62" t="n">
        <x:f>VLOOKUP(C18,'章节与怪物'!$A$41:$F$44,3,FALSE)</x:f>
        <x:v>0.92</x:v>
      </x:c>
      <x:c r="J18" s="62" t="n">
        <x:f>ROUNDUP(('难度参数'!$E$42-'难度参数'!$E$41)/I18,0)*ROUNDUP('难度参数'!$E$25/('难度参数'!$E$26*'难度参数'!$E$27),0)*'难度参数'!$E$26</x:f>
        <x:v>16.900000000000002</x:v>
      </x:c>
      <x:c r="K18" s="119" t="n">
        <x:f>VLOOKUP(C18,'章节与怪物'!$A$41:$F$44,5,FALSE)</x:f>
        <x:v>100</x:v>
      </x:c>
      <x:c r="L18" s="119" t="n">
        <x:f>VLOOKUP(C18,'章节与怪物'!$A$41:$F$44,6,FALSE)</x:f>
        <x:v>0</x:v>
      </x:c>
      <x:c r="M18" s="119" t="n">
        <x:f>(D18-G18)*VLOOKUP(C18,'章节与怪物'!$A$41:$F$44,4,FALSE)+G18*'难度参数'!$E$30</x:f>
        <x:v>336</x:v>
      </x:c>
      <x:c r="N18" s="62" t="n">
        <x:f>D18*(ROUNDUP('难度参数'!$E$24/('难度参数'!$E$26*'难度参数'!$E$27),0)*'难度参数'!$E$26)</x:f>
        <x:v>4</x:v>
      </x:c>
      <x:c r="O18" s="119" t="n">
        <x:f>(D18-G18)*F18+G18*H18</x:f>
        <x:v>1511</x:v>
      </x:c>
    </x:row>
    <x:row r="19" ht="23" customHeight="1">
      <x:c r="A19" s="62" t="str">
        <x:v>军报</x:v>
      </x:c>
      <x:c r="B19" s="119" t="n">
        <x:v>6</x:v>
      </x:c>
      <x:c r="C19" s="119" t="str">
        <x:f>INDEX('章节与怪物'!$E$31:$K$37,MOD(INT(('使用说明'!$B$5-1)/5),7)+1,6)</x:f>
        <x:v>runner</x:v>
      </x:c>
      <x:c r="D19" s="119" t="n">
        <x:f>IF(6&lt;='难度参数'!$E$37,MAX(2,MIN('难度参数'!$E$12,ROUND('难度参数'!$E$18*POWER('使用说明'!$B$5,'难度参数'!$E$19)/'难度参数'!$E$8*(0.85+0.3*(B19-1)/MAX(1,'难度参数'!$E$8-1)),0)+0)),0)</x:f>
        <x:v>5</x:v>
      </x:c>
      <x:c r="E19" s="119" t="n">
        <x:f>ROUND('难度参数'!$E$13*POWER('使用说明'!$B$5,'难度参数'!$E$20)*MIN('难度参数'!$E$23,1+MAX(0,'使用说明'!$B$5-'难度参数'!$E$21)*'难度参数'!$E$22)*((36+B19*7)/(36+7*('难度参数'!$E$8+1)/2))*('难度参数'!$E$40*1),0)</x:f>
        <x:v>137</x:v>
      </x:c>
      <x:c r="F19" s="119" t="n">
        <x:f>IF(D19&gt;0,ROUND(E19*VLOOKUP(C19,'章节与怪物'!$A$41:$F$44,2,FALSE),0),0)</x:f>
        <x:v>99</x:v>
      </x:c>
      <x:c r="G19" s="119" t="n">
        <x:f>IF(D19&gt;0,IF(MOD(B19,'难度参数'!$E$38)=0,1,0),0)</x:f>
        <x:v>0</x:v>
      </x:c>
      <x:c r="H19" s="119" t="n">
        <x:f>IF(G19&gt;0,ROUND(E19*'难度参数'!$E$28*'章节与怪物'!$E$17,0),0)</x:f>
        <x:v>0</x:v>
      </x:c>
      <x:c r="I19" s="62" t="n">
        <x:f>VLOOKUP(C19,'章节与怪物'!$A$41:$F$44,3,FALSE)</x:f>
        <x:v>1.2</x:v>
      </x:c>
      <x:c r="J19" s="62" t="n">
        <x:f>ROUNDUP(('难度参数'!$E$42-'难度参数'!$E$41)/I19,0)*ROUNDUP('难度参数'!$E$25/('难度参数'!$E$26*'难度参数'!$E$27),0)*'难度参数'!$E$26</x:f>
        <x:v>13</x:v>
      </x:c>
      <x:c r="K19" s="119" t="n">
        <x:f>VLOOKUP(C19,'章节与怪物'!$A$41:$F$44,5,FALSE)</x:f>
        <x:v>100</x:v>
      </x:c>
      <x:c r="L19" s="119" t="n">
        <x:f>VLOOKUP(C19,'章节与怪物'!$A$41:$F$44,6,FALSE)</x:f>
        <x:v>0</x:v>
      </x:c>
      <x:c r="M19" s="119" t="n">
        <x:f>(D19-G19)*VLOOKUP(C19,'章节与怪物'!$A$41:$F$44,4,FALSE)+G19*'难度参数'!$E$30</x:f>
        <x:v>100</x:v>
      </x:c>
      <x:c r="N19" s="62" t="n">
        <x:f>D19*(ROUNDUP('难度参数'!$E$24/('难度参数'!$E$26*'难度参数'!$E$27),0)*'难度参数'!$E$26)</x:f>
        <x:v>4</x:v>
      </x:c>
      <x:c r="O19" s="119" t="n">
        <x:f>(D19-G19)*F19+G19*H19</x:f>
        <x:v>495</x:v>
      </x:c>
    </x:row>
    <x:row r="20" ht="23" customHeight="1">
      <x:c r="A20" s="62" t="str">
        <x:v>军报</x:v>
      </x:c>
      <x:c r="B20" s="119" t="n">
        <x:v>7</x:v>
      </x:c>
      <x:c r="C20" s="119" t="str">
        <x:f>INDEX('章节与怪物'!$E$31:$K$37,MOD(INT(('使用说明'!$B$5-1)/5),7)+1,7)</x:f>
        <x:v>brute</x:v>
      </x:c>
      <x:c r="D20" s="119" t="n">
        <x:f>IF(7&lt;='难度参数'!$E$37,MAX(2,MIN('难度参数'!$E$12,ROUND('难度参数'!$E$18*POWER('使用说明'!$B$5,'难度参数'!$E$19)/'难度参数'!$E$8*(0.85+0.3*(B20-1)/MAX(1,'难度参数'!$E$8-1)),0)+0)),0)</x:f>
        <x:v>5</x:v>
      </x:c>
      <x:c r="E20" s="119" t="n">
        <x:f>ROUND('难度参数'!$E$13*POWER('使用说明'!$B$5,'难度参数'!$E$20)*MIN('难度参数'!$E$23,1+MAX(0,'使用说明'!$B$5-'难度参数'!$E$21)*'难度参数'!$E$22)*((36+B20*7)/(36+7*('难度参数'!$E$8+1)/2))*('难度参数'!$E$40*1),0)</x:f>
        <x:v>149</x:v>
      </x:c>
      <x:c r="F20" s="119" t="n">
        <x:f>IF(D20&gt;0,ROUND(E20*VLOOKUP(C20,'章节与怪物'!$A$41:$F$44,2,FALSE),0),0)</x:f>
        <x:v>253</x:v>
      </x:c>
      <x:c r="G20" s="119" t="n">
        <x:f>IF(D20&gt;0,IF(MOD(B20,'难度参数'!$E$38)=0,1,0),0)</x:f>
        <x:v>0</x:v>
      </x:c>
      <x:c r="H20" s="119" t="n">
        <x:f>IF(G20&gt;0,ROUND(E20*'难度参数'!$E$28*'章节与怪物'!$E$17,0),0)</x:f>
        <x:v>0</x:v>
      </x:c>
      <x:c r="I20" s="62" t="n">
        <x:f>VLOOKUP(C20,'章节与怪物'!$A$41:$F$44,3,FALSE)</x:f>
        <x:v>0.78</x:v>
      </x:c>
      <x:c r="J20" s="62" t="n">
        <x:f>ROUNDUP(('难度参数'!$E$42-'难度参数'!$E$41)/I20,0)*ROUNDUP('难度参数'!$E$25/('难度参数'!$E$26*'难度参数'!$E$27),0)*'难度参数'!$E$26</x:f>
        <x:v>19.5</x:v>
      </x:c>
      <x:c r="K20" s="119" t="n">
        <x:f>VLOOKUP(C20,'章节与怪物'!$A$41:$F$44,5,FALSE)</x:f>
        <x:v>100</x:v>
      </x:c>
      <x:c r="L20" s="119" t="n">
        <x:f>VLOOKUP(C20,'章节与怪物'!$A$41:$F$44,6,FALSE)</x:f>
        <x:v>0</x:v>
      </x:c>
      <x:c r="M20" s="119" t="n">
        <x:f>(D20-G20)*VLOOKUP(C20,'章节与怪物'!$A$41:$F$44,4,FALSE)+G20*'难度参数'!$E$30</x:f>
        <x:v>140</x:v>
      </x:c>
      <x:c r="N20" s="62" t="n">
        <x:f>D20*(ROUNDUP('难度参数'!$E$24/('难度参数'!$E$26*'难度参数'!$E$27),0)*'难度参数'!$E$26)</x:f>
        <x:v>4</x:v>
      </x:c>
      <x:c r="O20" s="119" t="n">
        <x:f>(D20-G20)*F20+G20*H20</x:f>
        <x:v>1265</x:v>
      </x:c>
    </x:row>
    <x:row r="21" ht="23" customHeight="1">
      <x:c r="A21" s="62" t="str">
        <x:v>军报</x:v>
      </x:c>
      <x:c r="B21" s="119" t="n">
        <x:v>8</x:v>
      </x:c>
      <x:c r="C21" s="119" t="str">
        <x:f>INDEX('章节与怪物'!$E$31:$K$37,MOD(INT(('使用说明'!$B$5-1)/5),7)+1,7)</x:f>
        <x:v>brute</x:v>
      </x:c>
      <x:c r="D21" s="119" t="n">
        <x:f>IF(8&lt;='难度参数'!$E$37,MAX(2,MIN('难度参数'!$E$12,ROUND('难度参数'!$E$18*POWER('使用说明'!$B$5,'难度参数'!$E$19)/'难度参数'!$E$8*(0.85+0.3*(B21-1)/MAX(1,'难度参数'!$E$8-1)),0)+0)),0)</x:f>
        <x:v>6</x:v>
      </x:c>
      <x:c r="E21" s="119" t="n">
        <x:f>ROUND('难度参数'!$E$13*POWER('使用说明'!$B$5,'难度参数'!$E$20)*MIN('难度参数'!$E$23,1+MAX(0,'使用说明'!$B$5-'难度参数'!$E$21)*'难度参数'!$E$22)*((36+B21*7)/(36+7*('难度参数'!$E$8+1)/2))*('难度参数'!$E$40*1),0)</x:f>
        <x:v>161</x:v>
      </x:c>
      <x:c r="F21" s="119" t="n">
        <x:f>IF(D21&gt;0,ROUND(E21*VLOOKUP(C21,'章节与怪物'!$A$41:$F$44,2,FALSE),0),0)</x:f>
        <x:v>274</x:v>
      </x:c>
      <x:c r="G21" s="119" t="n">
        <x:f>IF(D21&gt;0,IF(MOD(B21,'难度参数'!$E$38)=0,1,0),0)</x:f>
        <x:v>0</x:v>
      </x:c>
      <x:c r="H21" s="119" t="n">
        <x:f>IF(G21&gt;0,ROUND(E21*'难度参数'!$E$28*'章节与怪物'!$E$17,0),0)</x:f>
        <x:v>0</x:v>
      </x:c>
      <x:c r="I21" s="62" t="n">
        <x:f>VLOOKUP(C21,'章节与怪物'!$A$41:$F$44,3,FALSE)</x:f>
        <x:v>0.78</x:v>
      </x:c>
      <x:c r="J21" s="62" t="n">
        <x:f>ROUNDUP(('难度参数'!$E$42-'难度参数'!$E$41)/I21,0)*ROUNDUP('难度参数'!$E$25/('难度参数'!$E$26*'难度参数'!$E$27),0)*'难度参数'!$E$26</x:f>
        <x:v>19.5</x:v>
      </x:c>
      <x:c r="K21" s="119" t="n">
        <x:f>VLOOKUP(C21,'章节与怪物'!$A$41:$F$44,5,FALSE)</x:f>
        <x:v>100</x:v>
      </x:c>
      <x:c r="L21" s="119" t="n">
        <x:f>VLOOKUP(C21,'章节与怪物'!$A$41:$F$44,6,FALSE)</x:f>
        <x:v>0</x:v>
      </x:c>
      <x:c r="M21" s="119" t="n">
        <x:f>(D21-G21)*VLOOKUP(C21,'章节与怪物'!$A$41:$F$44,4,FALSE)+G21*'难度参数'!$E$30</x:f>
        <x:v>168</x:v>
      </x:c>
      <x:c r="N21" s="62" t="n">
        <x:f>D21*(ROUNDUP('难度参数'!$E$24/('难度参数'!$E$26*'难度参数'!$E$27),0)*'难度参数'!$E$26)</x:f>
        <x:v>4.800000000000001</x:v>
      </x:c>
      <x:c r="O21" s="119" t="n">
        <x:f>(D21-G21)*F21+G21*H21</x:f>
        <x:v>1644</x:v>
      </x:c>
    </x:row>
    <x:row r="22" ht="23" customHeight="1">
      <x:c r="A22" s="62" t="str">
        <x:v>军报</x:v>
      </x:c>
      <x:c r="B22" s="119" t="n">
        <x:v>9</x:v>
      </x:c>
      <x:c r="C22" s="119" t="str">
        <x:f>INDEX('章节与怪物'!$E$31:$K$37,MOD(INT(('使用说明'!$B$5-1)/5),7)+1,7)</x:f>
        <x:v>brute</x:v>
      </x:c>
      <x:c r="D22" s="119" t="n">
        <x:f>IF(9&lt;='难度参数'!$E$37,MAX(2,MIN('难度参数'!$E$12,ROUND('难度参数'!$E$18*POWER('使用说明'!$B$5,'难度参数'!$E$19)/'难度参数'!$E$8*(0.85+0.3*(B22-1)/MAX(1,'难度参数'!$E$8-1)),0)+0)),0)</x:f>
        <x:v>6</x:v>
      </x:c>
      <x:c r="E22" s="119" t="n">
        <x:f>ROUND('难度参数'!$E$13*POWER('使用说明'!$B$5,'难度参数'!$E$20)*MIN('难度参数'!$E$23,1+MAX(0,'使用说明'!$B$5-'难度参数'!$E$21)*'难度参数'!$E$22)*((36+B22*7)/(36+7*('难度参数'!$E$8+1)/2))*('难度参数'!$E$40*1),0)</x:f>
        <x:v>173</x:v>
      </x:c>
      <x:c r="F22" s="119" t="n">
        <x:f>IF(D22&gt;0,ROUND(E22*VLOOKUP(C22,'章节与怪物'!$A$41:$F$44,2,FALSE),0),0)</x:f>
        <x:v>294</x:v>
      </x:c>
      <x:c r="G22" s="119" t="n">
        <x:f>IF(D22&gt;0,IF(MOD(B22,'难度参数'!$E$38)=0,1,0),0)</x:f>
        <x:v>0</x:v>
      </x:c>
      <x:c r="H22" s="119" t="n">
        <x:f>IF(G22&gt;0,ROUND(E22*'难度参数'!$E$28*'章节与怪物'!$E$17,0),0)</x:f>
        <x:v>0</x:v>
      </x:c>
      <x:c r="I22" s="62" t="n">
        <x:f>VLOOKUP(C22,'章节与怪物'!$A$41:$F$44,3,FALSE)</x:f>
        <x:v>0.78</x:v>
      </x:c>
      <x:c r="J22" s="62" t="n">
        <x:f>ROUNDUP(('难度参数'!$E$42-'难度参数'!$E$41)/I22,0)*ROUNDUP('难度参数'!$E$25/('难度参数'!$E$26*'难度参数'!$E$27),0)*'难度参数'!$E$26</x:f>
        <x:v>19.5</x:v>
      </x:c>
      <x:c r="K22" s="119" t="n">
        <x:f>VLOOKUP(C22,'章节与怪物'!$A$41:$F$44,5,FALSE)</x:f>
        <x:v>100</x:v>
      </x:c>
      <x:c r="L22" s="119" t="n">
        <x:f>VLOOKUP(C22,'章节与怪物'!$A$41:$F$44,6,FALSE)</x:f>
        <x:v>0</x:v>
      </x:c>
      <x:c r="M22" s="119" t="n">
        <x:f>(D22-G22)*VLOOKUP(C22,'章节与怪物'!$A$41:$F$44,4,FALSE)+G22*'难度参数'!$E$30</x:f>
        <x:v>168</x:v>
      </x:c>
      <x:c r="N22" s="62" t="n">
        <x:f>D22*(ROUNDUP('难度参数'!$E$24/('难度参数'!$E$26*'难度参数'!$E$27),0)*'难度参数'!$E$26)</x:f>
        <x:v>4.800000000000001</x:v>
      </x:c>
      <x:c r="O22" s="119" t="n">
        <x:f>(D22-G22)*F22+G22*H22</x:f>
        <x:v>1764</x:v>
      </x:c>
    </x:row>
    <x:row r="23" ht="23" customHeight="1">
      <x:c r="A23" s="62" t="str">
        <x:v>军报</x:v>
      </x:c>
      <x:c r="B23" s="119" t="n">
        <x:v>10</x:v>
      </x:c>
      <x:c r="C23" s="119" t="str">
        <x:f>INDEX('章节与怪物'!$E$31:$K$37,MOD(INT(('使用说明'!$B$5-1)/5),7)+1,7)</x:f>
        <x:v>brute</x:v>
      </x:c>
      <x:c r="D23" s="119" t="n">
        <x:f>IF(10&lt;='难度参数'!$E$37,MAX(2,MIN('难度参数'!$E$12,ROUND('难度参数'!$E$18*POWER('使用说明'!$B$5,'难度参数'!$E$19)/'难度参数'!$E$8*(0.85+0.3*(B23-1)/MAX(1,'难度参数'!$E$8-1)),0)+0)),0)</x:f>
        <x:v>6</x:v>
      </x:c>
      <x:c r="E23" s="119" t="n">
        <x:f>ROUND('难度参数'!$E$13*POWER('使用说明'!$B$5,'难度参数'!$E$20)*MIN('难度参数'!$E$23,1+MAX(0,'使用说明'!$B$5-'难度参数'!$E$21)*'难度参数'!$E$22)*((36+B23*7)/(36+7*('难度参数'!$E$8+1)/2))*('难度参数'!$E$40*1),0)</x:f>
        <x:v>186</x:v>
      </x:c>
      <x:c r="F23" s="119" t="n">
        <x:f>IF(D23&gt;0,ROUND(E23*VLOOKUP(C23,'章节与怪物'!$A$41:$F$44,2,FALSE),0),0)</x:f>
        <x:v>316</x:v>
      </x:c>
      <x:c r="G23" s="119" t="n">
        <x:f>IF(D23&gt;0,IF(MOD(B23,'难度参数'!$E$38)=0,1,0),0)</x:f>
        <x:v>1</x:v>
      </x:c>
      <x:c r="H23" s="119" t="n">
        <x:f>IF(G23&gt;0,ROUND(E23*'难度参数'!$E$28*'章节与怪物'!$E$17,0),0)</x:f>
        <x:v>1265</x:v>
      </x:c>
      <x:c r="I23" s="62" t="n">
        <x:f>VLOOKUP(C23,'章节与怪物'!$A$41:$F$44,3,FALSE)</x:f>
        <x:v>0.78</x:v>
      </x:c>
      <x:c r="J23" s="62" t="n">
        <x:f>ROUNDUP(('难度参数'!$E$42-'难度参数'!$E$41)/I23,0)*ROUNDUP('难度参数'!$E$25/('难度参数'!$E$26*'难度参数'!$E$27),0)*'难度参数'!$E$26</x:f>
        <x:v>19.5</x:v>
      </x:c>
      <x:c r="K23" s="119" t="n">
        <x:f>VLOOKUP(C23,'章节与怪物'!$A$41:$F$44,5,FALSE)</x:f>
        <x:v>100</x:v>
      </x:c>
      <x:c r="L23" s="119" t="n">
        <x:f>VLOOKUP(C23,'章节与怪物'!$A$41:$F$44,6,FALSE)</x:f>
        <x:v>0</x:v>
      </x:c>
      <x:c r="M23" s="119" t="n">
        <x:f>(D23-G23)*VLOOKUP(C23,'章节与怪物'!$A$41:$F$44,4,FALSE)+G23*'难度参数'!$E$30</x:f>
        <x:v>340</x:v>
      </x:c>
      <x:c r="N23" s="62" t="n">
        <x:f>D23*(ROUNDUP('难度参数'!$E$24/('难度参数'!$E$26*'难度参数'!$E$27),0)*'难度参数'!$E$26)</x:f>
        <x:v>4.800000000000001</x:v>
      </x:c>
      <x:c r="O23" s="119" t="n">
        <x:f>(D23-G23)*F23+G23*H23</x:f>
        <x:v>2845</x:v>
      </x:c>
    </x:row>
    <x:row r="24" ht="23" customHeight="1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</x:row>
    <x:row r="25" ht="23" customHeight="1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</x:row>
    <x:row r="26" ht="23" customHeight="1">
      <x:c r="A26" s="62" t="str">
        <x:v>Boss闪避</x:v>
      </x:c>
      <x:c r="B26" s="62" t="n">
        <x:f>'难度参数'!$E$35</x:f>
        <x:v>100</x:v>
      </x:c>
      <x:c r="C26" s="62" t="str">
        <x:v>Boss韧性</x:v>
      </x:c>
      <x:c r="D26" s="62" t="n">
        <x:f>'难度参数'!$E$36</x:f>
        <x:v>0</x:v>
      </x:c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</x:row>
    <x:row r="27" ht="23" customHeight="1">
      <x:c r="A27" s="62" t="str">
        <x:v>Boss无狂暴通行秒</x:v>
      </x:c>
      <x:c r="B27" s="62" t="n">
        <x:f>ROUNDUP(('难度参数'!$E$42-'难度参数'!$E$41)/'章节与怪物'!$E$18,0)*ROUNDUP('难度参数'!$E$25/('难度参数'!$E$26*'难度参数'!$E$27),0)*'难度参数'!$E$26</x:f>
        <x:v>19.5</x:v>
      </x:c>
      <x:c r="C27" s="62" t="str">
        <x:v>Boss技能CD</x:v>
      </x:c>
      <x:c r="D27" s="62" t="n">
        <x:f>'难度参数'!$E$31</x:f>
        <x:v>7</x:v>
      </x:c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</x:row>
    <x:row r="28" ht="23" customHeight="1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</x:row>
    <x:row r="29" ht="23" customHeight="1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</x:row>
  </x:sheetData>
  <x:mergeCells>
    <x:mergeCell ref="A1:J2"/>
    <x:mergeCell ref="A3:J3"/>
    <x:mergeCell ref="B4:D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176E7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16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23" hidden="0" customWidth="1"/>
    <x:col min="10" max="10" width="19" hidden="0" customWidth="1"/>
    <x:col min="11" max="11" width="15" hidden="0" customWidth="1"/>
    <x:col min="12" max="12" width="15" hidden="0" customWidth="1"/>
    <x:col min="13" max="13" width="23" hidden="0" customWidth="1"/>
    <x:col min="14" max="14" width="21" hidden="0" customWidth="1"/>
    <x:col min="15" max="15" width="21" hidden="0" customWidth="1"/>
    <x:col min="16" max="16" width="24" hidden="0" customWidth="1"/>
  </x:cols>
  <x:sheetData>
    <x:row r="1" ht="23" customHeight="1">
      <x:c r="A1" s="59" t="str">
        <x:v>12｜武将输出与怪物压力试算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2"/>
      <x:c r="L1" s="62"/>
      <x:c r="M1" s="62"/>
      <x:c r="N1" s="62"/>
      <x:c r="O1" s="62"/>
      <x:c r="P1" s="62"/>
    </x:row>
    <x:row r="2" ht="23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2"/>
      <x:c r="L2" s="62"/>
      <x:c r="M2" s="62"/>
      <x:c r="N2" s="62"/>
      <x:c r="O2" s="62"/>
      <x:c r="P2" s="62"/>
    </x:row>
    <x:row r="3" ht="44" customHeight="1">
      <x:c r="A3" s="61" t="str">
        <x:v>仅估计静态输出，不预测胜率。棋盘站位、技能、卡牌、装置、敌人分路都会改变覆盖率；黄色项为人工输入的实战假设。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2"/>
      <x:c r="L3" s="62"/>
      <x:c r="M3" s="62"/>
      <x:c r="N3" s="62"/>
      <x:c r="O3" s="62"/>
      <x:c r="P3" s="62"/>
    </x:row>
    <x:row r="4" ht="23" customHeight="1">
      <x:c r="A4" s="62" t="str">
        <x:v>采用方案</x:v>
      </x:c>
      <x:c r="B4" s="62" t="str">
        <x:f>IF('使用说明'!$B$4=0,"工程当前","调优试算")</x:f>
        <x:v>工程当前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</x:row>
    <x:row r="5" ht="23" customHeight="1">
      <x:c r="A5" s="62"/>
      <x:c r="B5" s="62"/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</x:row>
    <x:row r="6" ht="36" customHeight="1">
      <x:c r="A6" s="64" t="str">
        <x:v>武将</x:v>
      </x:c>
      <x:c r="B6" s="64" t="str">
        <x:v>在场棋子数</x:v>
      </x:c>
      <x:c r="C6" s="64" t="str">
        <x:v>局内等级</x:v>
      </x:c>
      <x:c r="D6" s="64" t="str">
        <x:v>装备永久攻击</x:v>
      </x:c>
      <x:c r="E6" s="64" t="str">
        <x:v>额外暴击值</x:v>
      </x:c>
      <x:c r="F6" s="64" t="str">
        <x:v>额外命中值</x:v>
      </x:c>
      <x:c r="G6" s="64" t="str">
        <x:v>攻速加成%</x:v>
      </x:c>
      <x:c r="H6" s="64" t="str">
        <x:v>每次平均目标</x:v>
      </x:c>
      <x:c r="I6" s="64" t="str">
        <x:v>有效输出时间占比</x:v>
      </x:c>
      <x:c r="J6" s="64" t="str">
        <x:v>攻击间隔秒</x:v>
      </x:c>
      <x:c r="K6" s="64" t="str">
        <x:v>命中率</x:v>
      </x:c>
      <x:c r="L6" s="64" t="str">
        <x:v>暴击率</x:v>
      </x:c>
      <x:c r="M6" s="64" t="str">
        <x:v>单次期望伤害</x:v>
      </x:c>
      <x:c r="N6" s="64" t="str">
        <x:v>有效总DPS</x:v>
      </x:c>
      <x:c r="O6" s="64" t="str">
        <x:v>基础单击伤害</x:v>
      </x:c>
      <x:c r="P6" s="64" t="str">
        <x:v>攻击范围/半径</x:v>
      </x:c>
    </x:row>
    <x:row r="7" ht="23" customHeight="1">
      <x:c r="A7" s="62" t="str">
        <x:v>男法师</x:v>
      </x:c>
      <x:c r="B7" s="106" t="n">
        <x:v>6</x:v>
      </x:c>
      <x:c r="C7" s="106" t="n">
        <x:v>1</x:v>
      </x:c>
      <x:c r="D7" s="106" t="n">
        <x:v>0</x:v>
      </x:c>
      <x:c r="E7" s="106" t="n">
        <x:v>0</x:v>
      </x:c>
      <x:c r="F7" s="106" t="n">
        <x:v>0</x:v>
      </x:c>
      <x:c r="G7" s="106" t="n">
        <x:v>0</x:v>
      </x:c>
      <x:c r="H7" s="106" t="n">
        <x:v>1</x:v>
      </x:c>
      <x:c r="I7" s="113" t="n">
        <x:v>0.55</x:v>
      </x:c>
      <x:c r="J7" s="62" t="n">
        <x:f>CHOOSE(C7,0.8,0.62,0.46,0.34)/(1+G7/100)</x:f>
        <x:v>0.8</x:v>
      </x:c>
      <x:c r="K7" s="110" t="n">
        <x:f>IF('难度参数'!$E$43+F7&gt;=B14,1,('难度参数'!$E$43+F7)/MAX(0.000001,B14))</x:f>
        <x:v>1</x:v>
      </x:c>
      <x:c r="L7" s="110" t="n">
        <x:f>MAX(0,MIN(1,(MAX(0,'难度参数'!$E$44+E7-B15)*'难度参数'!$E$45+'难度参数'!$E$46)/100))</x:f>
        <x:v>0.04</x:v>
      </x:c>
      <x:c r="M7" s="62" t="n">
        <x:f>(O7*'难度参数'!$E$48^(C7-1)+D7)*K7*(1+L7*('难度参数'!$E$47-1))</x:f>
        <x:v>10.2</x:v>
      </x:c>
      <x:c r="N7" s="62" t="n">
        <x:f>B7*M7/J7*H7*I7</x:f>
        <x:v>42.074999999999996</x:v>
      </x:c>
      <x:c r="O7" s="62" t="n">
        <x:v>10</x:v>
      </x:c>
      <x:c r="P7" s="62" t="n">
        <x:f>CHOOSE(C7,3,4,5,6)</x:f>
        <x:v>3</x:v>
      </x:c>
    </x:row>
    <x:row r="8" ht="23" customHeight="1">
      <x:c r="A8" s="62" t="str">
        <x:v>男战士</x:v>
      </x:c>
      <x:c r="B8" s="106" t="n">
        <x:v>6</x:v>
      </x:c>
      <x:c r="C8" s="106" t="n">
        <x:v>1</x:v>
      </x:c>
      <x:c r="D8" s="106" t="n">
        <x:v>0</x:v>
      </x:c>
      <x:c r="E8" s="106" t="n">
        <x:v>0</x:v>
      </x:c>
      <x:c r="F8" s="106" t="n">
        <x:v>0</x:v>
      </x:c>
      <x:c r="G8" s="106" t="n">
        <x:v>0</x:v>
      </x:c>
      <x:c r="H8" s="106" t="n">
        <x:v>1</x:v>
      </x:c>
      <x:c r="I8" s="113" t="n">
        <x:v>0.55</x:v>
      </x:c>
      <x:c r="J8" s="62" t="n">
        <x:f>CHOOSE(C8,0.8,0.62,0.46,0.34)/(1+G8/100)</x:f>
        <x:v>0.8</x:v>
      </x:c>
      <x:c r="K8" s="110" t="n">
        <x:f>IF('难度参数'!$E$43+F8&gt;=B14,1,('难度参数'!$E$43+F8)/MAX(0.000001,B14))</x:f>
        <x:v>1</x:v>
      </x:c>
      <x:c r="L8" s="110" t="n">
        <x:f>MAX(0,MIN(1,(MAX(0,'难度参数'!$E$44+E8-B15)*'难度参数'!$E$45+'难度参数'!$E$46)/100))</x:f>
        <x:v>0.04</x:v>
      </x:c>
      <x:c r="M8" s="62" t="n">
        <x:f>(O8*'难度参数'!$E$48^(C8-1)+D8)*K8*(1+L8*('难度参数'!$E$47-1))</x:f>
        <x:v>8.16</x:v>
      </x:c>
      <x:c r="N8" s="62" t="n">
        <x:f>B8*M8/J8*H8*I8</x:f>
        <x:v>33.660000000000004</x:v>
      </x:c>
      <x:c r="O8" s="62" t="n">
        <x:v>8</x:v>
      </x:c>
      <x:c r="P8" s="62" t="n">
        <x:f>CHOOSE(C8,3,4,5,6)</x:f>
        <x:v>3</x:v>
      </x:c>
    </x:row>
    <x:row r="9" ht="23" customHeight="1">
      <x:c r="A9" s="62" t="str">
        <x:v>女祭司</x:v>
      </x:c>
      <x:c r="B9" s="106" t="n">
        <x:v>6</x:v>
      </x:c>
      <x:c r="C9" s="106" t="n">
        <x:v>1</x:v>
      </x:c>
      <x:c r="D9" s="106" t="n">
        <x:v>0</x:v>
      </x:c>
      <x:c r="E9" s="106" t="n">
        <x:v>0</x:v>
      </x:c>
      <x:c r="F9" s="106" t="n">
        <x:v>0</x:v>
      </x:c>
      <x:c r="G9" s="106" t="n">
        <x:v>0</x:v>
      </x:c>
      <x:c r="H9" s="106" t="n">
        <x:v>1</x:v>
      </x:c>
      <x:c r="I9" s="113" t="n">
        <x:v>0.55</x:v>
      </x:c>
      <x:c r="J9" s="62" t="n">
        <x:f>CHOOSE(C9,0.8,0.62,0.46,0.34)/(1+G9/100)</x:f>
        <x:v>0.8</x:v>
      </x:c>
      <x:c r="K9" s="110" t="n">
        <x:f>IF('难度参数'!$E$43+F9&gt;=B14,1,('难度参数'!$E$43+F9)/MAX(0.000001,B14))</x:f>
        <x:v>1</x:v>
      </x:c>
      <x:c r="L9" s="110" t="n">
        <x:f>MAX(0,MIN(1,(MAX(0,'难度参数'!$E$44+E9-B15)*'难度参数'!$E$45+'难度参数'!$E$46)/100))</x:f>
        <x:v>0.04</x:v>
      </x:c>
      <x:c r="M9" s="62" t="n">
        <x:f>(O9*'难度参数'!$E$48^(C9-1)+D9)*K9*(1+L9*('难度参数'!$E$47-1))</x:f>
        <x:v>7.140000000000001</x:v>
      </x:c>
      <x:c r="N9" s="62" t="n">
        <x:f>B9*M9/J9*H9*I9</x:f>
        <x:v>29.452500000000004</x:v>
      </x:c>
      <x:c r="O9" s="62" t="n">
        <x:v>7</x:v>
      </x:c>
      <x:c r="P9" s="62" t="n">
        <x:f>CHOOSE(C9,0.5,1,1.5,2)</x:f>
        <x:v>0.5</x:v>
      </x:c>
    </x:row>
    <x:row r="10" ht="23" customHeight="1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</x:row>
    <x:row r="11" ht="23" customHeight="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</x:row>
    <x:row r="12" ht="23" customHeight="1">
      <x:c r="A12" s="62" t="str">
        <x:v>选中关卡</x:v>
      </x:c>
      <x:c r="B12" s="62" t="n">
        <x:f>'使用说明'!B5</x:f>
        <x:v>1</x:v>
      </x:c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</x:row>
    <x:row r="13" ht="23" customHeight="1">
      <x:c r="A13" s="62" t="str">
        <x:v>对抗对象</x:v>
      </x:c>
      <x:c r="B13" s="106" t="str">
        <x:v>normal</x:v>
      </x:c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</x:row>
    <x:row r="14" ht="23" customHeight="1">
      <x:c r="A14" s="62" t="str">
        <x:v>目标闪避</x:v>
      </x:c>
      <x:c r="B14" s="62" t="n">
        <x:f>IF(B13="boss",'难度参数'!$E$35,VLOOKUP(B13,'章节与怪物'!$A$41:$F$44,5,FALSE))</x:f>
        <x:v>100</x:v>
      </x:c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</x:row>
    <x:row r="15" ht="23" customHeight="1">
      <x:c r="A15" s="62" t="str">
        <x:v>目标韧性</x:v>
      </x:c>
      <x:c r="B15" s="62" t="n">
        <x:f>IF(B13="boss",'难度参数'!$E$36,VLOOKUP(B13,'章节与怪物'!$A$41:$F$44,6,FALSE))</x:f>
        <x:v>0</x:v>
      </x:c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</x:row>
    <x:row r="16" ht="23" customHeight="1">
      <x:c r="A16" s="62" t="str">
        <x:v>全场有效DPS</x:v>
      </x:c>
      <x:c r="B16" s="62" t="n">
        <x:f>SUM(N7:N9)</x:f>
        <x:v>105.1875</x:v>
      </x:c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</x:row>
    <x:row r="17" ht="23" customHeight="1">
      <x:c r="A17" s="62" t="str">
        <x:v>每秒新增HP压力</x:v>
      </x:c>
      <x:c r="B17" s="62" t="n">
        <x:f>VLOOKUP(B12,'关卡总表'!$A$7:$AY$906,9,FALSE)/(VLOOKUP(B12,'关卡总表'!$A$7:$AY$906,12,FALSE)*60)</x:f>
        <x:v>137.61363636363635</x:v>
      </x:c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</x:row>
    <x:row r="18" ht="23" customHeight="1">
      <x:c r="A18" s="62" t="str">
        <x:v>DPS/新增HP压力</x:v>
      </x:c>
      <x:c r="B18" s="110" t="n">
        <x:f>IFERROR(B16/B17,0)</x:f>
        <x:v>0.7643682906688688</x:v>
      </x:c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</x:row>
    <x:row r="19" ht="23" customHeight="1">
      <x:c r="A19" s="62" t="str">
        <x:v>最终Boss静态击杀秒</x:v>
      </x:c>
      <x:c r="B19" s="62" t="n">
        <x:f>IF(B16=0,0,VLOOKUP(B12,'关卡总表'!$A$7:$AY$906,10,FALSE)/B16)</x:f>
        <x:v>7.3677956030897205</x:v>
      </x:c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</x:row>
    <x:row r="20" ht="23" customHeight="1">
      <x:c r="A20" s="62" t="str">
        <x:v>压力口径</x:v>
      </x:c>
      <x:c r="B20" s="62" t="str">
        <x:v>比值&lt;1提示长期堆怪风险；&gt;1也不保证所有分路均守住。</x:v>
      </x:c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</x:row>
    <x:row r="21" ht="23" customHeight="1">
      <x:c r="A21" s="62" t="str">
        <x:v>Boss时间口径</x:v>
      </x:c>
      <x:c r="B21" s="62" t="str">
        <x:v>假定全场DPS都打Boss；忽略技能时为乐观估计，0表示无输出。</x:v>
      </x:c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</x:row>
    <x:row r="22" ht="23" customHeight="1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</x:row>
    <x:row r="23" ht="23" customHeight="1">
      <x:c r="A23" s="62" t="str">
        <x:v>棋盘数量校验</x:v>
      </x:c>
      <x:c r="B23" s="62" t="str">
        <x:f>IF(SUM(B7:B9)&gt;36,"超过棋盘36格","数量有效")</x:f>
        <x:v>数量有效</x:v>
      </x:c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</x:row>
    <x:row r="24" ht="23" customHeight="1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</x:row>
    <x:row r="25" ht="23" customHeight="1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</x:row>
    <x:row r="26" ht="23" customHeight="1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</x:row>
    <x:row r="27" ht="23" customHeight="1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</x:row>
    <x:row r="28" ht="23" customHeight="1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</x:row>
    <x:row r="29" ht="23" customHeight="1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</x:row>
  </x:sheetData>
  <x:mergeCells>
    <x:mergeCell ref="A1:J2"/>
    <x:mergeCell ref="A3:J3"/>
    <x:mergeCell ref="B20:P20"/>
    <x:mergeCell ref="B21:P21"/>
    <x:mergeCell ref="B4:D4"/>
    <x:mergeCell ref="B23:D23"/>
  </x:mergeCells>
  <x:dataValidations count="6">
    <x:dataValidation type="whole" operator="between" sqref="B7:B9">
      <x:formula1>0</x:formula1>
      <x:formula2>36</x:formula2>
    </x:dataValidation>
    <x:dataValidation type="whole" operator="between" sqref="C7:C9">
      <x:formula1>1</x:formula1>
      <x:formula2>4</x:formula2>
    </x:dataValidation>
    <x:dataValidation type="decimal" operator="between" sqref="D7:G9">
      <x:formula1>0</x:formula1>
      <x:formula2>100000</x:formula2>
    </x:dataValidation>
    <x:dataValidation type="decimal" operator="between" sqref="H7:H9">
      <x:formula1>0</x:formula1>
      <x:formula2>30</x:formula2>
    </x:dataValidation>
    <x:dataValidation type="decimal" operator="between" sqref="I7:I9">
      <x:formula1>0</x:formula1>
      <x:formula2>1</x:formula2>
    </x:dataValidation>
    <x:dataValidation type="list" sqref="B13">
      <x:formula1>"normal,runner,brute,elite,boss"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8B9C9F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76" hidden="0" customWidth="1"/>
  </x:cols>
  <x:sheetData>
    <x:row r="1" ht="23" customHeight="1">
      <x:c r="A1" s="59" t="str">
        <x:v>13｜30天玩家行为与养成目标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  <x:c r="AA1" s="62"/>
      <x:c r="AB1" s="62"/>
      <x:c r="AC1" s="62"/>
      <x:c r="AD1" s="62"/>
      <x:c r="AE1" s="62"/>
      <x:c r="AF1" s="62"/>
    </x:row>
    <x:row r="2" ht="23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  <x:c r="AA2" s="62"/>
      <x:c r="AB2" s="62"/>
      <x:c r="AC2" s="62"/>
      <x:c r="AD2" s="62"/>
      <x:c r="AE2" s="62"/>
      <x:c r="AF2" s="62"/>
    </x:row>
    <x:row r="3" ht="44" customHeight="1">
      <x:c r="A3" s="61" t="str">
        <x:v>玩家行为是假设，不是留存或胜率预测。每天按一个代表关卡计算，首日仅计90分钟恢复。次数可为群体均值；目标消耗允许出现缺口，不会假装已经买得起。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  <x:c r="AA3" s="62"/>
      <x:c r="AB3" s="62"/>
      <x:c r="AC3" s="62"/>
      <x:c r="AD3" s="62"/>
      <x:c r="AE3" s="62"/>
      <x:c r="AF3" s="62"/>
    </x:row>
    <x:row r="4" ht="23" customHeight="1">
      <x:c r="A4" s="62" t="str">
        <x:v>采用方案</x:v>
      </x:c>
      <x:c r="B4" s="62" t="str">
        <x:f>IF('使用说明'!$B$4=0,"工程当前","调优试算")</x:f>
        <x:v>工程当前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  <x:c r="AA4" s="62"/>
      <x:c r="AB4" s="62"/>
      <x:c r="AC4" s="62"/>
      <x:c r="AD4" s="62"/>
      <x:c r="AE4" s="62"/>
      <x:c r="AF4" s="62"/>
    </x:row>
    <x:row r="5" ht="23" customHeight="1">
      <x:c r="A5" s="62"/>
      <x:c r="B5" s="62"/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  <x:c r="AA5" s="62"/>
      <x:c r="AB5" s="62"/>
      <x:c r="AC5" s="62"/>
      <x:c r="AD5" s="62"/>
      <x:c r="AE5" s="62"/>
      <x:c r="AF5" s="62"/>
    </x:row>
    <x:row r="6" ht="36" customHeight="1">
      <x:c r="A6" s="64" t="str">
        <x:v>可调项目</x:v>
      </x:c>
      <x:c r="B6" s="64" t="str">
        <x:v>第1天</x:v>
      </x:c>
      <x:c r="C6" s="64" t="str">
        <x:v>第2天</x:v>
      </x:c>
      <x:c r="D6" s="64" t="str">
        <x:v>第3天</x:v>
      </x:c>
      <x:c r="E6" s="64" t="str">
        <x:v>第4天</x:v>
      </x:c>
      <x:c r="F6" s="64" t="str">
        <x:v>第5天</x:v>
      </x:c>
      <x:c r="G6" s="64" t="str">
        <x:v>第6天</x:v>
      </x:c>
      <x:c r="H6" s="64" t="str">
        <x:v>第7天</x:v>
      </x:c>
      <x:c r="I6" s="64" t="str">
        <x:v>第8天</x:v>
      </x:c>
      <x:c r="J6" s="64" t="str">
        <x:v>第9天</x:v>
      </x:c>
      <x:c r="K6" s="64" t="str">
        <x:v>第10天</x:v>
      </x:c>
      <x:c r="L6" s="64" t="str">
        <x:v>第11天</x:v>
      </x:c>
      <x:c r="M6" s="64" t="str">
        <x:v>第12天</x:v>
      </x:c>
      <x:c r="N6" s="64" t="str">
        <x:v>第13天</x:v>
      </x:c>
      <x:c r="O6" s="64" t="str">
        <x:v>第14天</x:v>
      </x:c>
      <x:c r="P6" s="64" t="str">
        <x:v>第15天</x:v>
      </x:c>
      <x:c r="Q6" s="64" t="str">
        <x:v>第16天</x:v>
      </x:c>
      <x:c r="R6" s="64" t="str">
        <x:v>第17天</x:v>
      </x:c>
      <x:c r="S6" s="64" t="str">
        <x:v>第18天</x:v>
      </x:c>
      <x:c r="T6" s="64" t="str">
        <x:v>第19天</x:v>
      </x:c>
      <x:c r="U6" s="64" t="str">
        <x:v>第20天</x:v>
      </x:c>
      <x:c r="V6" s="64" t="str">
        <x:v>第21天</x:v>
      </x:c>
      <x:c r="W6" s="64" t="str">
        <x:v>第22天</x:v>
      </x:c>
      <x:c r="X6" s="64" t="str">
        <x:v>第23天</x:v>
      </x:c>
      <x:c r="Y6" s="64" t="str">
        <x:v>第24天</x:v>
      </x:c>
      <x:c r="Z6" s="64" t="str">
        <x:v>第25天</x:v>
      </x:c>
      <x:c r="AA6" s="64" t="str">
        <x:v>第26天</x:v>
      </x:c>
      <x:c r="AB6" s="64" t="str">
        <x:v>第27天</x:v>
      </x:c>
      <x:c r="AC6" s="64" t="str">
        <x:v>第28天</x:v>
      </x:c>
      <x:c r="AD6" s="64" t="str">
        <x:v>第29天</x:v>
      </x:c>
      <x:c r="AE6" s="64" t="str">
        <x:v>第30天</x:v>
      </x:c>
      <x:c r="AF6" s="64" t="str">
        <x:v>口径</x:v>
      </x:c>
    </x:row>
    <x:row r="7" ht="40" customHeight="1">
      <x:c r="A7" s="62" t="str">
        <x:v>在线时间（分钟）</x:v>
      </x:c>
      <x:c r="B7" s="106" t="n">
        <x:v>90</x:v>
      </x:c>
      <x:c r="C7" s="106" t="n">
        <x:v>90</x:v>
      </x:c>
      <x:c r="D7" s="106" t="n">
        <x:v>90</x:v>
      </x:c>
      <x:c r="E7" s="106" t="n">
        <x:v>90</x:v>
      </x:c>
      <x:c r="F7" s="106" t="n">
        <x:v>90</x:v>
      </x:c>
      <x:c r="G7" s="106" t="n">
        <x:v>90</x:v>
      </x:c>
      <x:c r="H7" s="106" t="n">
        <x:v>90</x:v>
      </x:c>
      <x:c r="I7" s="106" t="n">
        <x:v>90</x:v>
      </x:c>
      <x:c r="J7" s="106" t="n">
        <x:v>90</x:v>
      </x:c>
      <x:c r="K7" s="106" t="n">
        <x:v>90</x:v>
      </x:c>
      <x:c r="L7" s="106" t="n">
        <x:v>90</x:v>
      </x:c>
      <x:c r="M7" s="106" t="n">
        <x:v>90</x:v>
      </x:c>
      <x:c r="N7" s="106" t="n">
        <x:v>90</x:v>
      </x:c>
      <x:c r="O7" s="106" t="n">
        <x:v>90</x:v>
      </x:c>
      <x:c r="P7" s="106" t="n">
        <x:v>90</x:v>
      </x:c>
      <x:c r="Q7" s="106" t="n">
        <x:v>90</x:v>
      </x:c>
      <x:c r="R7" s="106" t="n">
        <x:v>90</x:v>
      </x:c>
      <x:c r="S7" s="106" t="n">
        <x:v>90</x:v>
      </x:c>
      <x:c r="T7" s="106" t="n">
        <x:v>90</x:v>
      </x:c>
      <x:c r="U7" s="106" t="n">
        <x:v>90</x:v>
      </x:c>
      <x:c r="V7" s="106" t="n">
        <x:v>90</x:v>
      </x:c>
      <x:c r="W7" s="106" t="n">
        <x:v>90</x:v>
      </x:c>
      <x:c r="X7" s="106" t="n">
        <x:v>90</x:v>
      </x:c>
      <x:c r="Y7" s="106" t="n">
        <x:v>90</x:v>
      </x:c>
      <x:c r="Z7" s="106" t="n">
        <x:v>90</x:v>
      </x:c>
      <x:c r="AA7" s="106" t="n">
        <x:v>90</x:v>
      </x:c>
      <x:c r="AB7" s="106" t="n">
        <x:v>90</x:v>
      </x:c>
      <x:c r="AC7" s="106" t="n">
        <x:v>90</x:v>
      </x:c>
      <x:c r="AD7" s="106" t="n">
        <x:v>90</x:v>
      </x:c>
      <x:c r="AE7" s="106" t="n">
        <x:v>90</x:v>
      </x:c>
      <x:c r="AF7" s="65" t="str">
        <x:v>含军报、广告、主线；不含离线时间</x:v>
      </x:c>
    </x:row>
    <x:row r="8" ht="40" customHeight="1">
      <x:c r="A8" s="62" t="str">
        <x:v>主线单局预留（分钟）</x:v>
      </x:c>
      <x:c r="B8" s="106" t="n">
        <x:v>3</x:v>
      </x:c>
      <x:c r="C8" s="106" t="n">
        <x:v>3</x:v>
      </x:c>
      <x:c r="D8" s="106" t="n">
        <x:v>3</x:v>
      </x:c>
      <x:c r="E8" s="106" t="n">
        <x:v>3</x:v>
      </x:c>
      <x:c r="F8" s="106" t="n">
        <x:v>3</x:v>
      </x:c>
      <x:c r="G8" s="106" t="n">
        <x:v>3</x:v>
      </x:c>
      <x:c r="H8" s="106" t="n">
        <x:v>3</x:v>
      </x:c>
      <x:c r="I8" s="106" t="n">
        <x:v>3</x:v>
      </x:c>
      <x:c r="J8" s="106" t="n">
        <x:v>3</x:v>
      </x:c>
      <x:c r="K8" s="106" t="n">
        <x:v>3</x:v>
      </x:c>
      <x:c r="L8" s="106" t="n">
        <x:v>3</x:v>
      </x:c>
      <x:c r="M8" s="106" t="n">
        <x:v>3</x:v>
      </x:c>
      <x:c r="N8" s="106" t="n">
        <x:v>3</x:v>
      </x:c>
      <x:c r="O8" s="106" t="n">
        <x:v>3</x:v>
      </x:c>
      <x:c r="P8" s="106" t="n">
        <x:v>3</x:v>
      </x:c>
      <x:c r="Q8" s="106" t="n">
        <x:v>3</x:v>
      </x:c>
      <x:c r="R8" s="106" t="n">
        <x:v>3</x:v>
      </x:c>
      <x:c r="S8" s="106" t="n">
        <x:v>3</x:v>
      </x:c>
      <x:c r="T8" s="106" t="n">
        <x:v>3</x:v>
      </x:c>
      <x:c r="U8" s="106" t="n">
        <x:v>3</x:v>
      </x:c>
      <x:c r="V8" s="106" t="n">
        <x:v>3</x:v>
      </x:c>
      <x:c r="W8" s="106" t="n">
        <x:v>3</x:v>
      </x:c>
      <x:c r="X8" s="106" t="n">
        <x:v>3</x:v>
      </x:c>
      <x:c r="Y8" s="106" t="n">
        <x:v>3</x:v>
      </x:c>
      <x:c r="Z8" s="106" t="n">
        <x:v>3</x:v>
      </x:c>
      <x:c r="AA8" s="106" t="n">
        <x:v>3</x:v>
      </x:c>
      <x:c r="AB8" s="106" t="n">
        <x:v>3</x:v>
      </x:c>
      <x:c r="AC8" s="106" t="n">
        <x:v>3</x:v>
      </x:c>
      <x:c r="AD8" s="106" t="n">
        <x:v>3</x:v>
      </x:c>
      <x:c r="AE8" s="106" t="n">
        <x:v>3</x:v>
      </x:c>
      <x:c r="AF8" s="65" t="str">
        <x:v>实际采用max(本项,关卡出怪+操作+尾怪)</x:v>
      </x:c>
    </x:row>
    <x:row r="9" ht="40" customHeight="1">
      <x:c r="A9" s="62" t="str">
        <x:v>最终胜率</x:v>
      </x:c>
      <x:c r="B9" s="113" t="n">
        <x:v>0.8</x:v>
      </x:c>
      <x:c r="C9" s="113" t="n">
        <x:v>0.8</x:v>
      </x:c>
      <x:c r="D9" s="113" t="n">
        <x:v>0.8</x:v>
      </x:c>
      <x:c r="E9" s="113" t="n">
        <x:v>0.8</x:v>
      </x:c>
      <x:c r="F9" s="113" t="n">
        <x:v>0.8</x:v>
      </x:c>
      <x:c r="G9" s="113" t="n">
        <x:v>0.8</x:v>
      </x:c>
      <x:c r="H9" s="113" t="n">
        <x:v>0.8</x:v>
      </x:c>
      <x:c r="I9" s="113" t="n">
        <x:v>0.8</x:v>
      </x:c>
      <x:c r="J9" s="113" t="n">
        <x:v>0.8</x:v>
      </x:c>
      <x:c r="K9" s="113" t="n">
        <x:v>0.8</x:v>
      </x:c>
      <x:c r="L9" s="113" t="n">
        <x:v>0.8</x:v>
      </x:c>
      <x:c r="M9" s="113" t="n">
        <x:v>0.8</x:v>
      </x:c>
      <x:c r="N9" s="113" t="n">
        <x:v>0.8</x:v>
      </x:c>
      <x:c r="O9" s="113" t="n">
        <x:v>0.8</x:v>
      </x:c>
      <x:c r="P9" s="113" t="n">
        <x:v>0.8</x:v>
      </x:c>
      <x:c r="Q9" s="113" t="n">
        <x:v>0.8</x:v>
      </x:c>
      <x:c r="R9" s="113" t="n">
        <x:v>0.8</x:v>
      </x:c>
      <x:c r="S9" s="113" t="n">
        <x:v>0.8</x:v>
      </x:c>
      <x:c r="T9" s="113" t="n">
        <x:v>0.8</x:v>
      </x:c>
      <x:c r="U9" s="113" t="n">
        <x:v>0.8</x:v>
      </x:c>
      <x:c r="V9" s="113" t="n">
        <x:v>0.8</x:v>
      </x:c>
      <x:c r="W9" s="113" t="n">
        <x:v>0.8</x:v>
      </x:c>
      <x:c r="X9" s="113" t="n">
        <x:v>0.8</x:v>
      </x:c>
      <x:c r="Y9" s="113" t="n">
        <x:v>0.8</x:v>
      </x:c>
      <x:c r="Z9" s="113" t="n">
        <x:v>0.8</x:v>
      </x:c>
      <x:c r="AA9" s="113" t="n">
        <x:v>0.8</x:v>
      </x:c>
      <x:c r="AB9" s="113" t="n">
        <x:v>0.8</x:v>
      </x:c>
      <x:c r="AC9" s="113" t="n">
        <x:v>0.8</x:v>
      </x:c>
      <x:c r="AD9" s="113" t="n">
        <x:v>0.8</x:v>
      </x:c>
      <x:c r="AE9" s="113" t="n">
        <x:v>0.8</x:v>
      </x:c>
      <x:c r="AF9" s="65" t="str">
        <x:v>已含复活结果；不是由战斗力自动推导</x:v>
      </x:c>
    </x:row>
    <x:row r="10" ht="40" customHeight="1">
      <x:c r="A10" s="62" t="str">
        <x:v>胜局中新关占比</x:v>
      </x:c>
      <x:c r="B10" s="113" t="n">
        <x:v>0.65</x:v>
      </x:c>
      <x:c r="C10" s="113" t="n">
        <x:v>0.65</x:v>
      </x:c>
      <x:c r="D10" s="113" t="n">
        <x:v>0.65</x:v>
      </x:c>
      <x:c r="E10" s="113" t="n">
        <x:v>0.65</x:v>
      </x:c>
      <x:c r="F10" s="113" t="n">
        <x:v>0.65</x:v>
      </x:c>
      <x:c r="G10" s="113" t="n">
        <x:v>0.65</x:v>
      </x:c>
      <x:c r="H10" s="113" t="n">
        <x:v>0.65</x:v>
      </x:c>
      <x:c r="I10" s="113" t="n">
        <x:v>0.65</x:v>
      </x:c>
      <x:c r="J10" s="113" t="n">
        <x:v>0.65</x:v>
      </x:c>
      <x:c r="K10" s="113" t="n">
        <x:v>0.65</x:v>
      </x:c>
      <x:c r="L10" s="113" t="n">
        <x:v>0.65</x:v>
      </x:c>
      <x:c r="M10" s="113" t="n">
        <x:v>0.65</x:v>
      </x:c>
      <x:c r="N10" s="113" t="n">
        <x:v>0.65</x:v>
      </x:c>
      <x:c r="O10" s="113" t="n">
        <x:v>0.65</x:v>
      </x:c>
      <x:c r="P10" s="113" t="n">
        <x:v>0.65</x:v>
      </x:c>
      <x:c r="Q10" s="113" t="n">
        <x:v>0.65</x:v>
      </x:c>
      <x:c r="R10" s="113" t="n">
        <x:v>0.65</x:v>
      </x:c>
      <x:c r="S10" s="113" t="n">
        <x:v>0.65</x:v>
      </x:c>
      <x:c r="T10" s="113" t="n">
        <x:v>0.65</x:v>
      </x:c>
      <x:c r="U10" s="113" t="n">
        <x:v>0.65</x:v>
      </x:c>
      <x:c r="V10" s="113" t="n">
        <x:v>0.65</x:v>
      </x:c>
      <x:c r="W10" s="113" t="n">
        <x:v>0.65</x:v>
      </x:c>
      <x:c r="X10" s="113" t="n">
        <x:v>0.65</x:v>
      </x:c>
      <x:c r="Y10" s="113" t="n">
        <x:v>0.65</x:v>
      </x:c>
      <x:c r="Z10" s="113" t="n">
        <x:v>0.65</x:v>
      </x:c>
      <x:c r="AA10" s="113" t="n">
        <x:v>0.65</x:v>
      </x:c>
      <x:c r="AB10" s="113" t="n">
        <x:v>0.65</x:v>
      </x:c>
      <x:c r="AC10" s="113" t="n">
        <x:v>0.65</x:v>
      </x:c>
      <x:c r="AD10" s="113" t="n">
        <x:v>0.65</x:v>
      </x:c>
      <x:c r="AE10" s="113" t="n">
        <x:v>0.65</x:v>
      </x:c>
      <x:c r="AF10" s="65" t="str">
        <x:v>其余为重打；不重复发已领宝箱</x:v>
      </x:c>
    </x:row>
    <x:row r="11" ht="40" customHeight="1">
      <x:c r="A11" s="62" t="str">
        <x:v>失败到达波次比例</x:v>
      </x:c>
      <x:c r="B11" s="113" t="n">
        <x:v>0.65</x:v>
      </x:c>
      <x:c r="C11" s="113" t="n">
        <x:v>0.65</x:v>
      </x:c>
      <x:c r="D11" s="113" t="n">
        <x:v>0.65</x:v>
      </x:c>
      <x:c r="E11" s="113" t="n">
        <x:v>0.65</x:v>
      </x:c>
      <x:c r="F11" s="113" t="n">
        <x:v>0.65</x:v>
      </x:c>
      <x:c r="G11" s="113" t="n">
        <x:v>0.65</x:v>
      </x:c>
      <x:c r="H11" s="113" t="n">
        <x:v>0.65</x:v>
      </x:c>
      <x:c r="I11" s="113" t="n">
        <x:v>0.65</x:v>
      </x:c>
      <x:c r="J11" s="113" t="n">
        <x:v>0.65</x:v>
      </x:c>
      <x:c r="K11" s="113" t="n">
        <x:v>0.65</x:v>
      </x:c>
      <x:c r="L11" s="113" t="n">
        <x:v>0.65</x:v>
      </x:c>
      <x:c r="M11" s="113" t="n">
        <x:v>0.65</x:v>
      </x:c>
      <x:c r="N11" s="113" t="n">
        <x:v>0.65</x:v>
      </x:c>
      <x:c r="O11" s="113" t="n">
        <x:v>0.65</x:v>
      </x:c>
      <x:c r="P11" s="113" t="n">
        <x:v>0.65</x:v>
      </x:c>
      <x:c r="Q11" s="113" t="n">
        <x:v>0.65</x:v>
      </x:c>
      <x:c r="R11" s="113" t="n">
        <x:v>0.65</x:v>
      </x:c>
      <x:c r="S11" s="113" t="n">
        <x:v>0.65</x:v>
      </x:c>
      <x:c r="T11" s="113" t="n">
        <x:v>0.65</x:v>
      </x:c>
      <x:c r="U11" s="113" t="n">
        <x:v>0.65</x:v>
      </x:c>
      <x:c r="V11" s="113" t="n">
        <x:v>0.65</x:v>
      </x:c>
      <x:c r="W11" s="113" t="n">
        <x:v>0.65</x:v>
      </x:c>
      <x:c r="X11" s="113" t="n">
        <x:v>0.65</x:v>
      </x:c>
      <x:c r="Y11" s="113" t="n">
        <x:v>0.65</x:v>
      </x:c>
      <x:c r="Z11" s="113" t="n">
        <x:v>0.65</x:v>
      </x:c>
      <x:c r="AA11" s="113" t="n">
        <x:v>0.65</x:v>
      </x:c>
      <x:c r="AB11" s="113" t="n">
        <x:v>0.65</x:v>
      </x:c>
      <x:c r="AC11" s="113" t="n">
        <x:v>0.65</x:v>
      </x:c>
      <x:c r="AD11" s="113" t="n">
        <x:v>0.65</x:v>
      </x:c>
      <x:c r="AE11" s="113" t="n">
        <x:v>0.65</x:v>
      </x:c>
      <x:c r="AF11" s="65" t="str">
        <x:v>向上取整到实际波次，再按游戏floor结算</x:v>
      </x:c>
    </x:row>
    <x:row r="12" ht="40" customHeight="1">
      <x:c r="A12" s="62" t="str">
        <x:v>胜局击杀完成比例</x:v>
      </x:c>
      <x:c r="B12" s="113" t="n">
        <x:v>1</x:v>
      </x:c>
      <x:c r="C12" s="113" t="n">
        <x:v>1</x:v>
      </x:c>
      <x:c r="D12" s="113" t="n">
        <x:v>1</x:v>
      </x:c>
      <x:c r="E12" s="113" t="n">
        <x:v>1</x:v>
      </x:c>
      <x:c r="F12" s="113" t="n">
        <x:v>1</x:v>
      </x:c>
      <x:c r="G12" s="113" t="n">
        <x:v>1</x:v>
      </x:c>
      <x:c r="H12" s="113" t="n">
        <x:v>1</x:v>
      </x:c>
      <x:c r="I12" s="113" t="n">
        <x:v>1</x:v>
      </x:c>
      <x:c r="J12" s="113" t="n">
        <x:v>1</x:v>
      </x:c>
      <x:c r="K12" s="113" t="n">
        <x:v>1</x:v>
      </x:c>
      <x:c r="L12" s="113" t="n">
        <x:v>1</x:v>
      </x:c>
      <x:c r="M12" s="113" t="n">
        <x:v>1</x:v>
      </x:c>
      <x:c r="N12" s="113" t="n">
        <x:v>1</x:v>
      </x:c>
      <x:c r="O12" s="113" t="n">
        <x:v>1</x:v>
      </x:c>
      <x:c r="P12" s="113" t="n">
        <x:v>1</x:v>
      </x:c>
      <x:c r="Q12" s="113" t="n">
        <x:v>1</x:v>
      </x:c>
      <x:c r="R12" s="113" t="n">
        <x:v>1</x:v>
      </x:c>
      <x:c r="S12" s="113" t="n">
        <x:v>1</x:v>
      </x:c>
      <x:c r="T12" s="113" t="n">
        <x:v>1</x:v>
      </x:c>
      <x:c r="U12" s="113" t="n">
        <x:v>1</x:v>
      </x:c>
      <x:c r="V12" s="113" t="n">
        <x:v>1</x:v>
      </x:c>
      <x:c r="W12" s="113" t="n">
        <x:v>1</x:v>
      </x:c>
      <x:c r="X12" s="113" t="n">
        <x:v>1</x:v>
      </x:c>
      <x:c r="Y12" s="113" t="n">
        <x:v>1</x:v>
      </x:c>
      <x:c r="Z12" s="113" t="n">
        <x:v>1</x:v>
      </x:c>
      <x:c r="AA12" s="113" t="n">
        <x:v>1</x:v>
      </x:c>
      <x:c r="AB12" s="113" t="n">
        <x:v>1</x:v>
      </x:c>
      <x:c r="AC12" s="113" t="n">
        <x:v>1</x:v>
      </x:c>
      <x:c r="AD12" s="113" t="n">
        <x:v>1</x:v>
      </x:c>
      <x:c r="AE12" s="113" t="n">
        <x:v>1</x:v>
      </x:c>
      <x:c r="AF12" s="65" t="str">
        <x:v>可能漏怪仍获胜，可下调</x:v>
      </x:c>
    </x:row>
    <x:row r="13" ht="40" customHeight="1">
      <x:c r="A13" s="62" t="str">
        <x:v>败局击杀完成比例</x:v>
      </x:c>
      <x:c r="B13" s="113" t="n">
        <x:v>0.45</x:v>
      </x:c>
      <x:c r="C13" s="113" t="n">
        <x:v>0.45</x:v>
      </x:c>
      <x:c r="D13" s="113" t="n">
        <x:v>0.45</x:v>
      </x:c>
      <x:c r="E13" s="113" t="n">
        <x:v>0.45</x:v>
      </x:c>
      <x:c r="F13" s="113" t="n">
        <x:v>0.45</x:v>
      </x:c>
      <x:c r="G13" s="113" t="n">
        <x:v>0.45</x:v>
      </x:c>
      <x:c r="H13" s="113" t="n">
        <x:v>0.45</x:v>
      </x:c>
      <x:c r="I13" s="113" t="n">
        <x:v>0.45</x:v>
      </x:c>
      <x:c r="J13" s="113" t="n">
        <x:v>0.45</x:v>
      </x:c>
      <x:c r="K13" s="113" t="n">
        <x:v>0.45</x:v>
      </x:c>
      <x:c r="L13" s="113" t="n">
        <x:v>0.45</x:v>
      </x:c>
      <x:c r="M13" s="113" t="n">
        <x:v>0.45</x:v>
      </x:c>
      <x:c r="N13" s="113" t="n">
        <x:v>0.45</x:v>
      </x:c>
      <x:c r="O13" s="113" t="n">
        <x:v>0.45</x:v>
      </x:c>
      <x:c r="P13" s="113" t="n">
        <x:v>0.45</x:v>
      </x:c>
      <x:c r="Q13" s="113" t="n">
        <x:v>0.45</x:v>
      </x:c>
      <x:c r="R13" s="113" t="n">
        <x:v>0.45</x:v>
      </x:c>
      <x:c r="S13" s="113" t="n">
        <x:v>0.45</x:v>
      </x:c>
      <x:c r="T13" s="113" t="n">
        <x:v>0.45</x:v>
      </x:c>
      <x:c r="U13" s="113" t="n">
        <x:v>0.45</x:v>
      </x:c>
      <x:c r="V13" s="113" t="n">
        <x:v>0.45</x:v>
      </x:c>
      <x:c r="W13" s="113" t="n">
        <x:v>0.45</x:v>
      </x:c>
      <x:c r="X13" s="113" t="n">
        <x:v>0.45</x:v>
      </x:c>
      <x:c r="Y13" s="113" t="n">
        <x:v>0.45</x:v>
      </x:c>
      <x:c r="Z13" s="113" t="n">
        <x:v>0.45</x:v>
      </x:c>
      <x:c r="AA13" s="113" t="n">
        <x:v>0.45</x:v>
      </x:c>
      <x:c r="AB13" s="113" t="n">
        <x:v>0.45</x:v>
      </x:c>
      <x:c r="AC13" s="113" t="n">
        <x:v>0.45</x:v>
      </x:c>
      <x:c r="AD13" s="113" t="n">
        <x:v>0.45</x:v>
      </x:c>
      <x:c r="AE13" s="113" t="n">
        <x:v>0.45</x:v>
      </x:c>
      <x:c r="AF13" s="65" t="str">
        <x:v>总关怪物的比例，不等于到达波次</x:v>
      </x:c>
    </x:row>
    <x:row r="14" ht="40" customHeight="1">
      <x:c r="A14" s="62" t="str">
        <x:v>结算翻倍广告占比</x:v>
      </x:c>
      <x:c r="B14" s="113" t="n">
        <x:v>0.25</x:v>
      </x:c>
      <x:c r="C14" s="113" t="n">
        <x:v>0.25</x:v>
      </x:c>
      <x:c r="D14" s="113" t="n">
        <x:v>0.25</x:v>
      </x:c>
      <x:c r="E14" s="113" t="n">
        <x:v>0.25</x:v>
      </x:c>
      <x:c r="F14" s="113" t="n">
        <x:v>0.25</x:v>
      </x:c>
      <x:c r="G14" s="113" t="n">
        <x:v>0.25</x:v>
      </x:c>
      <x:c r="H14" s="113" t="n">
        <x:v>0.25</x:v>
      </x:c>
      <x:c r="I14" s="113" t="n">
        <x:v>0.25</x:v>
      </x:c>
      <x:c r="J14" s="113" t="n">
        <x:v>0.25</x:v>
      </x:c>
      <x:c r="K14" s="113" t="n">
        <x:v>0.25</x:v>
      </x:c>
      <x:c r="L14" s="113" t="n">
        <x:v>0.25</x:v>
      </x:c>
      <x:c r="M14" s="113" t="n">
        <x:v>0.25</x:v>
      </x:c>
      <x:c r="N14" s="113" t="n">
        <x:v>0.25</x:v>
      </x:c>
      <x:c r="O14" s="113" t="n">
        <x:v>0.25</x:v>
      </x:c>
      <x:c r="P14" s="113" t="n">
        <x:v>0.25</x:v>
      </x:c>
      <x:c r="Q14" s="113" t="n">
        <x:v>0.25</x:v>
      </x:c>
      <x:c r="R14" s="113" t="n">
        <x:v>0.25</x:v>
      </x:c>
      <x:c r="S14" s="113" t="n">
        <x:v>0.25</x:v>
      </x:c>
      <x:c r="T14" s="113" t="n">
        <x:v>0.25</x:v>
      </x:c>
      <x:c r="U14" s="113" t="n">
        <x:v>0.25</x:v>
      </x:c>
      <x:c r="V14" s="113" t="n">
        <x:v>0.25</x:v>
      </x:c>
      <x:c r="W14" s="113" t="n">
        <x:v>0.25</x:v>
      </x:c>
      <x:c r="X14" s="113" t="n">
        <x:v>0.25</x:v>
      </x:c>
      <x:c r="Y14" s="113" t="n">
        <x:v>0.25</x:v>
      </x:c>
      <x:c r="Z14" s="113" t="n">
        <x:v>0.25</x:v>
      </x:c>
      <x:c r="AA14" s="113" t="n">
        <x:v>0.25</x:v>
      </x:c>
      <x:c r="AB14" s="113" t="n">
        <x:v>0.25</x:v>
      </x:c>
      <x:c r="AC14" s="113" t="n">
        <x:v>0.25</x:v>
      </x:c>
      <x:c r="AD14" s="113" t="n">
        <x:v>0.25</x:v>
      </x:c>
      <x:c r="AE14" s="113" t="n">
        <x:v>0.25</x:v>
      </x:c>
      <x:c r="AF14" s="65" t="str">
        <x:v>每局最多一次；主线模拟，不给军报奖励翻倍</x:v>
      </x:c>
    </x:row>
    <x:row r="15" ht="40" customHeight="1">
      <x:c r="A15" s="62" t="str">
        <x:v>军报参与次数</x:v>
      </x:c>
      <x:c r="B15" s="106" t="n">
        <x:v>1</x:v>
      </x:c>
      <x:c r="C15" s="106" t="n">
        <x:v>1</x:v>
      </x:c>
      <x:c r="D15" s="106" t="n">
        <x:v>1</x:v>
      </x:c>
      <x:c r="E15" s="106" t="n">
        <x:v>1</x:v>
      </x:c>
      <x:c r="F15" s="106" t="n">
        <x:v>1</x:v>
      </x:c>
      <x:c r="G15" s="106" t="n">
        <x:v>1</x:v>
      </x:c>
      <x:c r="H15" s="106" t="n">
        <x:v>1</x:v>
      </x:c>
      <x:c r="I15" s="106" t="n">
        <x:v>1</x:v>
      </x:c>
      <x:c r="J15" s="106" t="n">
        <x:v>1</x:v>
      </x:c>
      <x:c r="K15" s="106" t="n">
        <x:v>1</x:v>
      </x:c>
      <x:c r="L15" s="106" t="n">
        <x:v>1</x:v>
      </x:c>
      <x:c r="M15" s="106" t="n">
        <x:v>1</x:v>
      </x:c>
      <x:c r="N15" s="106" t="n">
        <x:v>1</x:v>
      </x:c>
      <x:c r="O15" s="106" t="n">
        <x:v>1</x:v>
      </x:c>
      <x:c r="P15" s="106" t="n">
        <x:v>1</x:v>
      </x:c>
      <x:c r="Q15" s="106" t="n">
        <x:v>1</x:v>
      </x:c>
      <x:c r="R15" s="106" t="n">
        <x:v>1</x:v>
      </x:c>
      <x:c r="S15" s="106" t="n">
        <x:v>1</x:v>
      </x:c>
      <x:c r="T15" s="106" t="n">
        <x:v>1</x:v>
      </x:c>
      <x:c r="U15" s="106" t="n">
        <x:v>1</x:v>
      </x:c>
      <x:c r="V15" s="106" t="n">
        <x:v>1</x:v>
      </x:c>
      <x:c r="W15" s="106" t="n">
        <x:v>1</x:v>
      </x:c>
      <x:c r="X15" s="106" t="n">
        <x:v>1</x:v>
      </x:c>
      <x:c r="Y15" s="106" t="n">
        <x:v>1</x:v>
      </x:c>
      <x:c r="Z15" s="106" t="n">
        <x:v>1</x:v>
      </x:c>
      <x:c r="AA15" s="106" t="n">
        <x:v>1</x:v>
      </x:c>
      <x:c r="AB15" s="106" t="n">
        <x:v>1</x:v>
      </x:c>
      <x:c r="AC15" s="106" t="n">
        <x:v>1</x:v>
      </x:c>
      <x:c r="AD15" s="106" t="n">
        <x:v>1</x:v>
      </x:c>
      <x:c r="AE15" s="106" t="n">
        <x:v>1</x:v>
      </x:c>
      <x:c r="AF15" s="65" t="str">
        <x:v>人工假设；随机在线军报不保证每日恰好一次</x:v>
      </x:c>
    </x:row>
    <x:row r="16" ht="40" customHeight="1">
      <x:c r="A16" s="62" t="str">
        <x:v>军报胜率</x:v>
      </x:c>
      <x:c r="B16" s="113" t="n">
        <x:v>0.7</x:v>
      </x:c>
      <x:c r="C16" s="113" t="n">
        <x:v>0.7</x:v>
      </x:c>
      <x:c r="D16" s="113" t="n">
        <x:v>0.7</x:v>
      </x:c>
      <x:c r="E16" s="113" t="n">
        <x:v>0.7</x:v>
      </x:c>
      <x:c r="F16" s="113" t="n">
        <x:v>0.7</x:v>
      </x:c>
      <x:c r="G16" s="113" t="n">
        <x:v>0.7</x:v>
      </x:c>
      <x:c r="H16" s="113" t="n">
        <x:v>0.7</x:v>
      </x:c>
      <x:c r="I16" s="113" t="n">
        <x:v>0.7</x:v>
      </x:c>
      <x:c r="J16" s="113" t="n">
        <x:v>0.7</x:v>
      </x:c>
      <x:c r="K16" s="113" t="n">
        <x:v>0.7</x:v>
      </x:c>
      <x:c r="L16" s="113" t="n">
        <x:v>0.7</x:v>
      </x:c>
      <x:c r="M16" s="113" t="n">
        <x:v>0.7</x:v>
      </x:c>
      <x:c r="N16" s="113" t="n">
        <x:v>0.7</x:v>
      </x:c>
      <x:c r="O16" s="113" t="n">
        <x:v>0.7</x:v>
      </x:c>
      <x:c r="P16" s="113" t="n">
        <x:v>0.7</x:v>
      </x:c>
      <x:c r="Q16" s="113" t="n">
        <x:v>0.7</x:v>
      </x:c>
      <x:c r="R16" s="113" t="n">
        <x:v>0.7</x:v>
      </x:c>
      <x:c r="S16" s="113" t="n">
        <x:v>0.7</x:v>
      </x:c>
      <x:c r="T16" s="113" t="n">
        <x:v>0.7</x:v>
      </x:c>
      <x:c r="U16" s="113" t="n">
        <x:v>0.7</x:v>
      </x:c>
      <x:c r="V16" s="113" t="n">
        <x:v>0.7</x:v>
      </x:c>
      <x:c r="W16" s="113" t="n">
        <x:v>0.7</x:v>
      </x:c>
      <x:c r="X16" s="113" t="n">
        <x:v>0.7</x:v>
      </x:c>
      <x:c r="Y16" s="113" t="n">
        <x:v>0.7</x:v>
      </x:c>
      <x:c r="Z16" s="113" t="n">
        <x:v>0.7</x:v>
      </x:c>
      <x:c r="AA16" s="113" t="n">
        <x:v>0.7</x:v>
      </x:c>
      <x:c r="AB16" s="113" t="n">
        <x:v>0.7</x:v>
      </x:c>
      <x:c r="AC16" s="113" t="n">
        <x:v>0.7</x:v>
      </x:c>
      <x:c r="AD16" s="113" t="n">
        <x:v>0.7</x:v>
      </x:c>
      <x:c r="AE16" s="113" t="n">
        <x:v>0.7</x:v>
      </x:c>
      <x:c r="AF16" s="65" t="str">
        <x:v>败局仍有最低金币/元宝/装备</x:v>
      </x:c>
    </x:row>
    <x:row r="17" ht="40" customHeight="1">
      <x:c r="A17" s="62" t="str">
        <x:v>军报预留耗时（分钟）</x:v>
      </x:c>
      <x:c r="B17" s="106" t="n">
        <x:v>5</x:v>
      </x:c>
      <x:c r="C17" s="106" t="n">
        <x:v>5</x:v>
      </x:c>
      <x:c r="D17" s="106" t="n">
        <x:v>5</x:v>
      </x:c>
      <x:c r="E17" s="106" t="n">
        <x:v>5</x:v>
      </x:c>
      <x:c r="F17" s="106" t="n">
        <x:v>5</x:v>
      </x:c>
      <x:c r="G17" s="106" t="n">
        <x:v>5</x:v>
      </x:c>
      <x:c r="H17" s="106" t="n">
        <x:v>5</x:v>
      </x:c>
      <x:c r="I17" s="106" t="n">
        <x:v>5</x:v>
      </x:c>
      <x:c r="J17" s="106" t="n">
        <x:v>5</x:v>
      </x:c>
      <x:c r="K17" s="106" t="n">
        <x:v>5</x:v>
      </x:c>
      <x:c r="L17" s="106" t="n">
        <x:v>5</x:v>
      </x:c>
      <x:c r="M17" s="106" t="n">
        <x:v>5</x:v>
      </x:c>
      <x:c r="N17" s="106" t="n">
        <x:v>5</x:v>
      </x:c>
      <x:c r="O17" s="106" t="n">
        <x:v>5</x:v>
      </x:c>
      <x:c r="P17" s="106" t="n">
        <x:v>5</x:v>
      </x:c>
      <x:c r="Q17" s="106" t="n">
        <x:v>5</x:v>
      </x:c>
      <x:c r="R17" s="106" t="n">
        <x:v>5</x:v>
      </x:c>
      <x:c r="S17" s="106" t="n">
        <x:v>5</x:v>
      </x:c>
      <x:c r="T17" s="106" t="n">
        <x:v>5</x:v>
      </x:c>
      <x:c r="U17" s="106" t="n">
        <x:v>5</x:v>
      </x:c>
      <x:c r="V17" s="106" t="n">
        <x:v>5</x:v>
      </x:c>
      <x:c r="W17" s="106" t="n">
        <x:v>5</x:v>
      </x:c>
      <x:c r="X17" s="106" t="n">
        <x:v>5</x:v>
      </x:c>
      <x:c r="Y17" s="106" t="n">
        <x:v>5</x:v>
      </x:c>
      <x:c r="Z17" s="106" t="n">
        <x:v>5</x:v>
      </x:c>
      <x:c r="AA17" s="106" t="n">
        <x:v>5</x:v>
      </x:c>
      <x:c r="AB17" s="106" t="n">
        <x:v>5</x:v>
      </x:c>
      <x:c r="AC17" s="106" t="n">
        <x:v>5</x:v>
      </x:c>
      <x:c r="AD17" s="106" t="n">
        <x:v>5</x:v>
      </x:c>
      <x:c r="AE17" s="106" t="n">
        <x:v>5</x:v>
      </x:c>
      <x:c r="AF17" s="65" t="str">
        <x:v>实际取max(本项,10波出怪+操作+尾怪估计)，不低估后期大量出怪</x:v>
      </x:c>
    </x:row>
    <x:row r="18" ht="40" customHeight="1">
      <x:c r="A18" s="62" t="str">
        <x:v>单条广告耗时（秒）</x:v>
      </x:c>
      <x:c r="B18" s="106" t="n">
        <x:v>30</x:v>
      </x:c>
      <x:c r="C18" s="106" t="n">
        <x:v>30</x:v>
      </x:c>
      <x:c r="D18" s="106" t="n">
        <x:v>30</x:v>
      </x:c>
      <x:c r="E18" s="106" t="n">
        <x:v>30</x:v>
      </x:c>
      <x:c r="F18" s="106" t="n">
        <x:v>30</x:v>
      </x:c>
      <x:c r="G18" s="106" t="n">
        <x:v>30</x:v>
      </x:c>
      <x:c r="H18" s="106" t="n">
        <x:v>30</x:v>
      </x:c>
      <x:c r="I18" s="106" t="n">
        <x:v>30</x:v>
      </x:c>
      <x:c r="J18" s="106" t="n">
        <x:v>30</x:v>
      </x:c>
      <x:c r="K18" s="106" t="n">
        <x:v>30</x:v>
      </x:c>
      <x:c r="L18" s="106" t="n">
        <x:v>30</x:v>
      </x:c>
      <x:c r="M18" s="106" t="n">
        <x:v>30</x:v>
      </x:c>
      <x:c r="N18" s="106" t="n">
        <x:v>30</x:v>
      </x:c>
      <x:c r="O18" s="106" t="n">
        <x:v>30</x:v>
      </x:c>
      <x:c r="P18" s="106" t="n">
        <x:v>30</x:v>
      </x:c>
      <x:c r="Q18" s="106" t="n">
        <x:v>30</x:v>
      </x:c>
      <x:c r="R18" s="106" t="n">
        <x:v>30</x:v>
      </x:c>
      <x:c r="S18" s="106" t="n">
        <x:v>30</x:v>
      </x:c>
      <x:c r="T18" s="106" t="n">
        <x:v>30</x:v>
      </x:c>
      <x:c r="U18" s="106" t="n">
        <x:v>30</x:v>
      </x:c>
      <x:c r="V18" s="106" t="n">
        <x:v>30</x:v>
      </x:c>
      <x:c r="W18" s="106" t="n">
        <x:v>30</x:v>
      </x:c>
      <x:c r="X18" s="106" t="n">
        <x:v>30</x:v>
      </x:c>
      <x:c r="Y18" s="106" t="n">
        <x:v>30</x:v>
      </x:c>
      <x:c r="Z18" s="106" t="n">
        <x:v>30</x:v>
      </x:c>
      <x:c r="AA18" s="106" t="n">
        <x:v>30</x:v>
      </x:c>
      <x:c r="AB18" s="106" t="n">
        <x:v>30</x:v>
      </x:c>
      <x:c r="AC18" s="106" t="n">
        <x:v>30</x:v>
      </x:c>
      <x:c r="AD18" s="106" t="n">
        <x:v>30</x:v>
      </x:c>
      <x:c r="AE18" s="106" t="n">
        <x:v>30</x:v>
      </x:c>
      <x:c r="AF18" s="65" t="str">
        <x:v>真实平台假设；Demo模拟广告只有数秒</x:v>
      </x:c>
    </x:row>
    <x:row r="19" ht="40" customHeight="1">
      <x:c r="A19" s="62" t="str">
        <x:v>每主线额外广告数</x:v>
      </x:c>
      <x:c r="B19" s="106" t="n">
        <x:v>0.2</x:v>
      </x:c>
      <x:c r="C19" s="106" t="n">
        <x:v>0.2</x:v>
      </x:c>
      <x:c r="D19" s="106" t="n">
        <x:v>0.2</x:v>
      </x:c>
      <x:c r="E19" s="106" t="n">
        <x:v>0.2</x:v>
      </x:c>
      <x:c r="F19" s="106" t="n">
        <x:v>0.2</x:v>
      </x:c>
      <x:c r="G19" s="106" t="n">
        <x:v>0.2</x:v>
      </x:c>
      <x:c r="H19" s="106" t="n">
        <x:v>0.2</x:v>
      </x:c>
      <x:c r="I19" s="106" t="n">
        <x:v>0.2</x:v>
      </x:c>
      <x:c r="J19" s="106" t="n">
        <x:v>0.2</x:v>
      </x:c>
      <x:c r="K19" s="106" t="n">
        <x:v>0.2</x:v>
      </x:c>
      <x:c r="L19" s="106" t="n">
        <x:v>0.2</x:v>
      </x:c>
      <x:c r="M19" s="106" t="n">
        <x:v>0.2</x:v>
      </x:c>
      <x:c r="N19" s="106" t="n">
        <x:v>0.2</x:v>
      </x:c>
      <x:c r="O19" s="106" t="n">
        <x:v>0.2</x:v>
      </x:c>
      <x:c r="P19" s="106" t="n">
        <x:v>0.2</x:v>
      </x:c>
      <x:c r="Q19" s="106" t="n">
        <x:v>0.2</x:v>
      </x:c>
      <x:c r="R19" s="106" t="n">
        <x:v>0.2</x:v>
      </x:c>
      <x:c r="S19" s="106" t="n">
        <x:v>0.2</x:v>
      </x:c>
      <x:c r="T19" s="106" t="n">
        <x:v>0.2</x:v>
      </x:c>
      <x:c r="U19" s="106" t="n">
        <x:v>0.2</x:v>
      </x:c>
      <x:c r="V19" s="106" t="n">
        <x:v>0.2</x:v>
      </x:c>
      <x:c r="W19" s="106" t="n">
        <x:v>0.2</x:v>
      </x:c>
      <x:c r="X19" s="106" t="n">
        <x:v>0.2</x:v>
      </x:c>
      <x:c r="Y19" s="106" t="n">
        <x:v>0.2</x:v>
      </x:c>
      <x:c r="Z19" s="106" t="n">
        <x:v>0.2</x:v>
      </x:c>
      <x:c r="AA19" s="106" t="n">
        <x:v>0.2</x:v>
      </x:c>
      <x:c r="AB19" s="106" t="n">
        <x:v>0.2</x:v>
      </x:c>
      <x:c r="AC19" s="106" t="n">
        <x:v>0.2</x:v>
      </x:c>
      <x:c r="AD19" s="106" t="n">
        <x:v>0.2</x:v>
      </x:c>
      <x:c r="AE19" s="106" t="n">
        <x:v>0.2</x:v>
      </x:c>
      <x:c r="AF19" s="65" t="str">
        <x:v>提示/洗牌/加步/复活合计，不含结算翻倍</x:v>
      </x:c>
    </x:row>
    <x:row r="20" ht="40" customHeight="1">
      <x:c r="A20" s="62" t="str">
        <x:v>元宝补体力次数</x:v>
      </x:c>
      <x:c r="B20" s="106" t="n">
        <x:v>1</x:v>
      </x:c>
      <x:c r="C20" s="106" t="n">
        <x:v>1</x:v>
      </x:c>
      <x:c r="D20" s="106" t="n">
        <x:v>1</x:v>
      </x:c>
      <x:c r="E20" s="106" t="n">
        <x:v>1</x:v>
      </x:c>
      <x:c r="F20" s="106" t="n">
        <x:v>1</x:v>
      </x:c>
      <x:c r="G20" s="106" t="n">
        <x:v>1</x:v>
      </x:c>
      <x:c r="H20" s="106" t="n">
        <x:v>1</x:v>
      </x:c>
      <x:c r="I20" s="106" t="n">
        <x:v>1</x:v>
      </x:c>
      <x:c r="J20" s="106" t="n">
        <x:v>1</x:v>
      </x:c>
      <x:c r="K20" s="106" t="n">
        <x:v>1</x:v>
      </x:c>
      <x:c r="L20" s="106" t="n">
        <x:v>1</x:v>
      </x:c>
      <x:c r="M20" s="106" t="n">
        <x:v>1</x:v>
      </x:c>
      <x:c r="N20" s="106" t="n">
        <x:v>1</x:v>
      </x:c>
      <x:c r="O20" s="106" t="n">
        <x:v>1</x:v>
      </x:c>
      <x:c r="P20" s="106" t="n">
        <x:v>1</x:v>
      </x:c>
      <x:c r="Q20" s="106" t="n">
        <x:v>1</x:v>
      </x:c>
      <x:c r="R20" s="106" t="n">
        <x:v>1</x:v>
      </x:c>
      <x:c r="S20" s="106" t="n">
        <x:v>1</x:v>
      </x:c>
      <x:c r="T20" s="106" t="n">
        <x:v>1</x:v>
      </x:c>
      <x:c r="U20" s="106" t="n">
        <x:v>1</x:v>
      </x:c>
      <x:c r="V20" s="106" t="n">
        <x:v>1</x:v>
      </x:c>
      <x:c r="W20" s="106" t="n">
        <x:v>1</x:v>
      </x:c>
      <x:c r="X20" s="106" t="n">
        <x:v>1</x:v>
      </x:c>
      <x:c r="Y20" s="106" t="n">
        <x:v>1</x:v>
      </x:c>
      <x:c r="Z20" s="106" t="n">
        <x:v>1</x:v>
      </x:c>
      <x:c r="AA20" s="106" t="n">
        <x:v>1</x:v>
      </x:c>
      <x:c r="AB20" s="106" t="n">
        <x:v>1</x:v>
      </x:c>
      <x:c r="AC20" s="106" t="n">
        <x:v>1</x:v>
      </x:c>
      <x:c r="AD20" s="106" t="n">
        <x:v>1</x:v>
      </x:c>
      <x:c r="AE20" s="106" t="n">
        <x:v>1</x:v>
      </x:c>
      <x:c r="AF20" s="65" t="str">
        <x:v>日限1；同日先挣元宝再购买，现金不足会警示</x:v>
      </x:c>
    </x:row>
    <x:row r="21" ht="40" customHeight="1">
      <x:c r="A21" s="62" t="str">
        <x:v>广告补体力次数</x:v>
      </x:c>
      <x:c r="B21" s="106" t="n">
        <x:v>1</x:v>
      </x:c>
      <x:c r="C21" s="106" t="n">
        <x:v>1</x:v>
      </x:c>
      <x:c r="D21" s="106" t="n">
        <x:v>1</x:v>
      </x:c>
      <x:c r="E21" s="106" t="n">
        <x:v>1</x:v>
      </x:c>
      <x:c r="F21" s="106" t="n">
        <x:v>1</x:v>
      </x:c>
      <x:c r="G21" s="106" t="n">
        <x:v>1</x:v>
      </x:c>
      <x:c r="H21" s="106" t="n">
        <x:v>1</x:v>
      </x:c>
      <x:c r="I21" s="106" t="n">
        <x:v>1</x:v>
      </x:c>
      <x:c r="J21" s="106" t="n">
        <x:v>1</x:v>
      </x:c>
      <x:c r="K21" s="106" t="n">
        <x:v>1</x:v>
      </x:c>
      <x:c r="L21" s="106" t="n">
        <x:v>1</x:v>
      </x:c>
      <x:c r="M21" s="106" t="n">
        <x:v>1</x:v>
      </x:c>
      <x:c r="N21" s="106" t="n">
        <x:v>1</x:v>
      </x:c>
      <x:c r="O21" s="106" t="n">
        <x:v>1</x:v>
      </x:c>
      <x:c r="P21" s="106" t="n">
        <x:v>1</x:v>
      </x:c>
      <x:c r="Q21" s="106" t="n">
        <x:v>1</x:v>
      </x:c>
      <x:c r="R21" s="106" t="n">
        <x:v>1</x:v>
      </x:c>
      <x:c r="S21" s="106" t="n">
        <x:v>1</x:v>
      </x:c>
      <x:c r="T21" s="106" t="n">
        <x:v>1</x:v>
      </x:c>
      <x:c r="U21" s="106" t="n">
        <x:v>1</x:v>
      </x:c>
      <x:c r="V21" s="106" t="n">
        <x:v>1</x:v>
      </x:c>
      <x:c r="W21" s="106" t="n">
        <x:v>1</x:v>
      </x:c>
      <x:c r="X21" s="106" t="n">
        <x:v>1</x:v>
      </x:c>
      <x:c r="Y21" s="106" t="n">
        <x:v>1</x:v>
      </x:c>
      <x:c r="Z21" s="106" t="n">
        <x:v>1</x:v>
      </x:c>
      <x:c r="AA21" s="106" t="n">
        <x:v>1</x:v>
      </x:c>
      <x:c r="AB21" s="106" t="n">
        <x:v>1</x:v>
      </x:c>
      <x:c r="AC21" s="106" t="n">
        <x:v>1</x:v>
      </x:c>
      <x:c r="AD21" s="106" t="n">
        <x:v>1</x:v>
      </x:c>
      <x:c r="AE21" s="106" t="n">
        <x:v>1</x:v>
      </x:c>
      <x:c r="AF21" s="65" t="str">
        <x:v>日限1；与元宝入口独立</x:v>
      </x:c>
    </x:row>
    <x:row r="22" ht="40" customHeight="1">
      <x:c r="A22" s="62" t="str">
        <x:v>商店领元宝广告数</x:v>
      </x:c>
      <x:c r="B22" s="106" t="n">
        <x:v>3</x:v>
      </x:c>
      <x:c r="C22" s="106" t="n">
        <x:v>3</x:v>
      </x:c>
      <x:c r="D22" s="106" t="n">
        <x:v>3</x:v>
      </x:c>
      <x:c r="E22" s="106" t="n">
        <x:v>3</x:v>
      </x:c>
      <x:c r="F22" s="106" t="n">
        <x:v>3</x:v>
      </x:c>
      <x:c r="G22" s="106" t="n">
        <x:v>3</x:v>
      </x:c>
      <x:c r="H22" s="106" t="n">
        <x:v>3</x:v>
      </x:c>
      <x:c r="I22" s="106" t="n">
        <x:v>3</x:v>
      </x:c>
      <x:c r="J22" s="106" t="n">
        <x:v>3</x:v>
      </x:c>
      <x:c r="K22" s="106" t="n">
        <x:v>3</x:v>
      </x:c>
      <x:c r="L22" s="106" t="n">
        <x:v>3</x:v>
      </x:c>
      <x:c r="M22" s="106" t="n">
        <x:v>3</x:v>
      </x:c>
      <x:c r="N22" s="106" t="n">
        <x:v>3</x:v>
      </x:c>
      <x:c r="O22" s="106" t="n">
        <x:v>3</x:v>
      </x:c>
      <x:c r="P22" s="106" t="n">
        <x:v>3</x:v>
      </x:c>
      <x:c r="Q22" s="106" t="n">
        <x:v>3</x:v>
      </x:c>
      <x:c r="R22" s="106" t="n">
        <x:v>3</x:v>
      </x:c>
      <x:c r="S22" s="106" t="n">
        <x:v>3</x:v>
      </x:c>
      <x:c r="T22" s="106" t="n">
        <x:v>3</x:v>
      </x:c>
      <x:c r="U22" s="106" t="n">
        <x:v>3</x:v>
      </x:c>
      <x:c r="V22" s="106" t="n">
        <x:v>3</x:v>
      </x:c>
      <x:c r="W22" s="106" t="n">
        <x:v>3</x:v>
      </x:c>
      <x:c r="X22" s="106" t="n">
        <x:v>3</x:v>
      </x:c>
      <x:c r="Y22" s="106" t="n">
        <x:v>3</x:v>
      </x:c>
      <x:c r="Z22" s="106" t="n">
        <x:v>3</x:v>
      </x:c>
      <x:c r="AA22" s="106" t="n">
        <x:v>3</x:v>
      </x:c>
      <x:c r="AB22" s="106" t="n">
        <x:v>3</x:v>
      </x:c>
      <x:c r="AC22" s="106" t="n">
        <x:v>3</x:v>
      </x:c>
      <x:c r="AD22" s="106" t="n">
        <x:v>3</x:v>
      </x:c>
      <x:c r="AE22" s="106" t="n">
        <x:v>3</x:v>
      </x:c>
      <x:c r="AF22" s="65" t="str">
        <x:v>当前日限5</x:v>
      </x:c>
    </x:row>
    <x:row r="23" ht="40" customHeight="1">
      <x:c r="A23" s="62" t="str">
        <x:v>可自然恢复小时</x:v>
      </x:c>
      <x:c r="B23" s="106" t="n">
        <x:v>1.5</x:v>
      </x:c>
      <x:c r="C23" s="106" t="n">
        <x:v>24</x:v>
      </x:c>
      <x:c r="D23" s="106" t="n">
        <x:v>24</x:v>
      </x:c>
      <x:c r="E23" s="106" t="n">
        <x:v>24</x:v>
      </x:c>
      <x:c r="F23" s="106" t="n">
        <x:v>24</x:v>
      </x:c>
      <x:c r="G23" s="106" t="n">
        <x:v>24</x:v>
      </x:c>
      <x:c r="H23" s="106" t="n">
        <x:v>24</x:v>
      </x:c>
      <x:c r="I23" s="106" t="n">
        <x:v>24</x:v>
      </x:c>
      <x:c r="J23" s="106" t="n">
        <x:v>24</x:v>
      </x:c>
      <x:c r="K23" s="106" t="n">
        <x:v>24</x:v>
      </x:c>
      <x:c r="L23" s="106" t="n">
        <x:v>24</x:v>
      </x:c>
      <x:c r="M23" s="106" t="n">
        <x:v>24</x:v>
      </x:c>
      <x:c r="N23" s="106" t="n">
        <x:v>24</x:v>
      </x:c>
      <x:c r="O23" s="106" t="n">
        <x:v>24</x:v>
      </x:c>
      <x:c r="P23" s="106" t="n">
        <x:v>24</x:v>
      </x:c>
      <x:c r="Q23" s="106" t="n">
        <x:v>24</x:v>
      </x:c>
      <x:c r="R23" s="106" t="n">
        <x:v>24</x:v>
      </x:c>
      <x:c r="S23" s="106" t="n">
        <x:v>24</x:v>
      </x:c>
      <x:c r="T23" s="106" t="n">
        <x:v>24</x:v>
      </x:c>
      <x:c r="U23" s="106" t="n">
        <x:v>24</x:v>
      </x:c>
      <x:c r="V23" s="106" t="n">
        <x:v>24</x:v>
      </x:c>
      <x:c r="W23" s="106" t="n">
        <x:v>24</x:v>
      </x:c>
      <x:c r="X23" s="106" t="n">
        <x:v>24</x:v>
      </x:c>
      <x:c r="Y23" s="106" t="n">
        <x:v>24</x:v>
      </x:c>
      <x:c r="Z23" s="106" t="n">
        <x:v>24</x:v>
      </x:c>
      <x:c r="AA23" s="106" t="n">
        <x:v>24</x:v>
      </x:c>
      <x:c r="AB23" s="106" t="n">
        <x:v>24</x:v>
      </x:c>
      <x:c r="AC23" s="106" t="n">
        <x:v>24</x:v>
      </x:c>
      <x:c r="AD23" s="106" t="n">
        <x:v>24</x:v>
      </x:c>
      <x:c r="AE23" s="106" t="n">
        <x:v>24</x:v>
      </x:c>
      <x:c r="AF23" s="65" t="str">
        <x:v>首日仅在线90分钟，后续完整24小时；上限损耗按先恢复后消费估算</x:v>
      </x:c>
    </x:row>
    <x:row r="24" ht="40" customHeight="1">
      <x:c r="A24" s="62" t="str">
        <x:v>每日任务领取比例</x:v>
      </x:c>
      <x:c r="B24" s="113" t="n">
        <x:v>1</x:v>
      </x:c>
      <x:c r="C24" s="113" t="n">
        <x:v>1</x:v>
      </x:c>
      <x:c r="D24" s="113" t="n">
        <x:v>1</x:v>
      </x:c>
      <x:c r="E24" s="113" t="n">
        <x:v>1</x:v>
      </x:c>
      <x:c r="F24" s="113" t="n">
        <x:v>1</x:v>
      </x:c>
      <x:c r="G24" s="113" t="n">
        <x:v>1</x:v>
      </x:c>
      <x:c r="H24" s="113" t="n">
        <x:v>1</x:v>
      </x:c>
      <x:c r="I24" s="113" t="n">
        <x:v>1</x:v>
      </x:c>
      <x:c r="J24" s="113" t="n">
        <x:v>1</x:v>
      </x:c>
      <x:c r="K24" s="113" t="n">
        <x:v>1</x:v>
      </x:c>
      <x:c r="L24" s="113" t="n">
        <x:v>1</x:v>
      </x:c>
      <x:c r="M24" s="113" t="n">
        <x:v>1</x:v>
      </x:c>
      <x:c r="N24" s="113" t="n">
        <x:v>1</x:v>
      </x:c>
      <x:c r="O24" s="113" t="n">
        <x:v>1</x:v>
      </x:c>
      <x:c r="P24" s="113" t="n">
        <x:v>1</x:v>
      </x:c>
      <x:c r="Q24" s="113" t="n">
        <x:v>1</x:v>
      </x:c>
      <x:c r="R24" s="113" t="n">
        <x:v>1</x:v>
      </x:c>
      <x:c r="S24" s="113" t="n">
        <x:v>1</x:v>
      </x:c>
      <x:c r="T24" s="113" t="n">
        <x:v>1</x:v>
      </x:c>
      <x:c r="U24" s="113" t="n">
        <x:v>1</x:v>
      </x:c>
      <x:c r="V24" s="113" t="n">
        <x:v>1</x:v>
      </x:c>
      <x:c r="W24" s="113" t="n">
        <x:v>1</x:v>
      </x:c>
      <x:c r="X24" s="113" t="n">
        <x:v>1</x:v>
      </x:c>
      <x:c r="Y24" s="113" t="n">
        <x:v>1</x:v>
      </x:c>
      <x:c r="Z24" s="113" t="n">
        <x:v>1</x:v>
      </x:c>
      <x:c r="AA24" s="113" t="n">
        <x:v>1</x:v>
      </x:c>
      <x:c r="AB24" s="113" t="n">
        <x:v>1</x:v>
      </x:c>
      <x:c r="AC24" s="113" t="n">
        <x:v>1</x:v>
      </x:c>
      <x:c r="AD24" s="113" t="n">
        <x:v>1</x:v>
      </x:c>
      <x:c r="AE24" s="113" t="n">
        <x:v>1</x:v>
      </x:c>
      <x:c r="AF24" s="65" t="str">
        <x:v>完成并手动领取的比例；无参与/无打造不发对应任务</x:v>
      </x:c>
    </x:row>
    <x:row r="25" ht="40" customHeight="1">
      <x:c r="A25" s="62" t="str">
        <x:v>新关剩余血量&gt;50%占比</x:v>
      </x:c>
      <x:c r="B25" s="113" t="n">
        <x:v>0.75</x:v>
      </x:c>
      <x:c r="C25" s="113" t="n">
        <x:v>0.75</x:v>
      </x:c>
      <x:c r="D25" s="113" t="n">
        <x:v>0.75</x:v>
      </x:c>
      <x:c r="E25" s="113" t="n">
        <x:v>0.75</x:v>
      </x:c>
      <x:c r="F25" s="113" t="n">
        <x:v>0.75</x:v>
      </x:c>
      <x:c r="G25" s="113" t="n">
        <x:v>0.75</x:v>
      </x:c>
      <x:c r="H25" s="113" t="n">
        <x:v>0.75</x:v>
      </x:c>
      <x:c r="I25" s="113" t="n">
        <x:v>0.75</x:v>
      </x:c>
      <x:c r="J25" s="113" t="n">
        <x:v>0.75</x:v>
      </x:c>
      <x:c r="K25" s="113" t="n">
        <x:v>0.75</x:v>
      </x:c>
      <x:c r="L25" s="113" t="n">
        <x:v>0.75</x:v>
      </x:c>
      <x:c r="M25" s="113" t="n">
        <x:v>0.75</x:v>
      </x:c>
      <x:c r="N25" s="113" t="n">
        <x:v>0.75</x:v>
      </x:c>
      <x:c r="O25" s="113" t="n">
        <x:v>0.75</x:v>
      </x:c>
      <x:c r="P25" s="113" t="n">
        <x:v>0.75</x:v>
      </x:c>
      <x:c r="Q25" s="113" t="n">
        <x:v>0.75</x:v>
      </x:c>
      <x:c r="R25" s="113" t="n">
        <x:v>0.75</x:v>
      </x:c>
      <x:c r="S25" s="113" t="n">
        <x:v>0.75</x:v>
      </x:c>
      <x:c r="T25" s="113" t="n">
        <x:v>0.75</x:v>
      </x:c>
      <x:c r="U25" s="113" t="n">
        <x:v>0.75</x:v>
      </x:c>
      <x:c r="V25" s="113" t="n">
        <x:v>0.75</x:v>
      </x:c>
      <x:c r="W25" s="113" t="n">
        <x:v>0.75</x:v>
      </x:c>
      <x:c r="X25" s="113" t="n">
        <x:v>0.75</x:v>
      </x:c>
      <x:c r="Y25" s="113" t="n">
        <x:v>0.75</x:v>
      </x:c>
      <x:c r="Z25" s="113" t="n">
        <x:v>0.75</x:v>
      </x:c>
      <x:c r="AA25" s="113" t="n">
        <x:v>0.75</x:v>
      </x:c>
      <x:c r="AB25" s="113" t="n">
        <x:v>0.75</x:v>
      </x:c>
      <x:c r="AC25" s="113" t="n">
        <x:v>0.75</x:v>
      </x:c>
      <x:c r="AD25" s="113" t="n">
        <x:v>0.75</x:v>
      </x:c>
      <x:c r="AE25" s="113" t="n">
        <x:v>0.75</x:v>
      </x:c>
      <x:c r="AF25" s="65" t="str">
        <x:v>对应第二档宝箱；已含完美通关</x:v>
      </x:c>
    </x:row>
    <x:row r="26" ht="40" customHeight="1">
      <x:c r="A26" s="62" t="str">
        <x:v>新关满血通关占比</x:v>
      </x:c>
      <x:c r="B26" s="113" t="n">
        <x:v>0.35</x:v>
      </x:c>
      <x:c r="C26" s="113" t="n">
        <x:v>0.35</x:v>
      </x:c>
      <x:c r="D26" s="113" t="n">
        <x:v>0.35</x:v>
      </x:c>
      <x:c r="E26" s="113" t="n">
        <x:v>0.35</x:v>
      </x:c>
      <x:c r="F26" s="113" t="n">
        <x:v>0.35</x:v>
      </x:c>
      <x:c r="G26" s="113" t="n">
        <x:v>0.35</x:v>
      </x:c>
      <x:c r="H26" s="113" t="n">
        <x:v>0.35</x:v>
      </x:c>
      <x:c r="I26" s="113" t="n">
        <x:v>0.35</x:v>
      </x:c>
      <x:c r="J26" s="113" t="n">
        <x:v>0.35</x:v>
      </x:c>
      <x:c r="K26" s="113" t="n">
        <x:v>0.35</x:v>
      </x:c>
      <x:c r="L26" s="113" t="n">
        <x:v>0.35</x:v>
      </x:c>
      <x:c r="M26" s="113" t="n">
        <x:v>0.35</x:v>
      </x:c>
      <x:c r="N26" s="113" t="n">
        <x:v>0.35</x:v>
      </x:c>
      <x:c r="O26" s="113" t="n">
        <x:v>0.35</x:v>
      </x:c>
      <x:c r="P26" s="113" t="n">
        <x:v>0.35</x:v>
      </x:c>
      <x:c r="Q26" s="113" t="n">
        <x:v>0.35</x:v>
      </x:c>
      <x:c r="R26" s="113" t="n">
        <x:v>0.35</x:v>
      </x:c>
      <x:c r="S26" s="113" t="n">
        <x:v>0.35</x:v>
      </x:c>
      <x:c r="T26" s="113" t="n">
        <x:v>0.35</x:v>
      </x:c>
      <x:c r="U26" s="113" t="n">
        <x:v>0.35</x:v>
      </x:c>
      <x:c r="V26" s="113" t="n">
        <x:v>0.35</x:v>
      </x:c>
      <x:c r="W26" s="113" t="n">
        <x:v>0.35</x:v>
      </x:c>
      <x:c r="X26" s="113" t="n">
        <x:v>0.35</x:v>
      </x:c>
      <x:c r="Y26" s="113" t="n">
        <x:v>0.35</x:v>
      </x:c>
      <x:c r="Z26" s="113" t="n">
        <x:v>0.35</x:v>
      </x:c>
      <x:c r="AA26" s="113" t="n">
        <x:v>0.35</x:v>
      </x:c>
      <x:c r="AB26" s="113" t="n">
        <x:v>0.35</x:v>
      </x:c>
      <x:c r="AC26" s="113" t="n">
        <x:v>0.35</x:v>
      </x:c>
      <x:c r="AD26" s="113" t="n">
        <x:v>0.35</x:v>
      </x:c>
      <x:c r="AE26" s="113" t="n">
        <x:v>0.35</x:v>
      </x:c>
      <x:c r="AF26" s="65" t="str">
        <x:v>不得高于上一行；三档奖励叠加</x:v>
      </x:c>
    </x:row>
    <x:row r="27" ht="40" customHeight="1">
      <x:c r="A27" s="62" t="str">
        <x:v>每主线铜钱3消次数</x:v>
      </x:c>
      <x:c r="B27" s="106" t="n">
        <x:v>0.8</x:v>
      </x:c>
      <x:c r="C27" s="106" t="n">
        <x:v>0.8</x:v>
      </x:c>
      <x:c r="D27" s="106" t="n">
        <x:v>0.8</x:v>
      </x:c>
      <x:c r="E27" s="106" t="n">
        <x:v>0.8</x:v>
      </x:c>
      <x:c r="F27" s="106" t="n">
        <x:v>0.8</x:v>
      </x:c>
      <x:c r="G27" s="106" t="n">
        <x:v>0.8</x:v>
      </x:c>
      <x:c r="H27" s="106" t="n">
        <x:v>0.8</x:v>
      </x:c>
      <x:c r="I27" s="106" t="n">
        <x:v>0.8</x:v>
      </x:c>
      <x:c r="J27" s="106" t="n">
        <x:v>0.8</x:v>
      </x:c>
      <x:c r="K27" s="106" t="n">
        <x:v>0.8</x:v>
      </x:c>
      <x:c r="L27" s="106" t="n">
        <x:v>0.8</x:v>
      </x:c>
      <x:c r="M27" s="106" t="n">
        <x:v>0.8</x:v>
      </x:c>
      <x:c r="N27" s="106" t="n">
        <x:v>0.8</x:v>
      </x:c>
      <x:c r="O27" s="106" t="n">
        <x:v>0.8</x:v>
      </x:c>
      <x:c r="P27" s="106" t="n">
        <x:v>0.8</x:v>
      </x:c>
      <x:c r="Q27" s="106" t="n">
        <x:v>0.8</x:v>
      </x:c>
      <x:c r="R27" s="106" t="n">
        <x:v>0.8</x:v>
      </x:c>
      <x:c r="S27" s="106" t="n">
        <x:v>0.8</x:v>
      </x:c>
      <x:c r="T27" s="106" t="n">
        <x:v>0.8</x:v>
      </x:c>
      <x:c r="U27" s="106" t="n">
        <x:v>0.8</x:v>
      </x:c>
      <x:c r="V27" s="106" t="n">
        <x:v>0.8</x:v>
      </x:c>
      <x:c r="W27" s="106" t="n">
        <x:v>0.8</x:v>
      </x:c>
      <x:c r="X27" s="106" t="n">
        <x:v>0.8</x:v>
      </x:c>
      <x:c r="Y27" s="106" t="n">
        <x:v>0.8</x:v>
      </x:c>
      <x:c r="Z27" s="106" t="n">
        <x:v>0.8</x:v>
      </x:c>
      <x:c r="AA27" s="106" t="n">
        <x:v>0.8</x:v>
      </x:c>
      <x:c r="AB27" s="106" t="n">
        <x:v>0.8</x:v>
      </x:c>
      <x:c r="AC27" s="106" t="n">
        <x:v>0.8</x:v>
      </x:c>
      <x:c r="AD27" s="106" t="n">
        <x:v>0.8</x:v>
      </x:c>
      <x:c r="AE27" s="106" t="n">
        <x:v>0.8</x:v>
      </x:c>
      <x:c r="AF27" s="65" t="str">
        <x:v>局内行为估计，保留小数代表群体平均</x:v>
      </x:c>
    </x:row>
    <x:row r="28" ht="40" customHeight="1">
      <x:c r="A28" s="62" t="str">
        <x:v>每主线铜钱4消次数</x:v>
      </x:c>
      <x:c r="B28" s="106" t="n">
        <x:v>0.15</x:v>
      </x:c>
      <x:c r="C28" s="106" t="n">
        <x:v>0.15</x:v>
      </x:c>
      <x:c r="D28" s="106" t="n">
        <x:v>0.15</x:v>
      </x:c>
      <x:c r="E28" s="106" t="n">
        <x:v>0.15</x:v>
      </x:c>
      <x:c r="F28" s="106" t="n">
        <x:v>0.15</x:v>
      </x:c>
      <x:c r="G28" s="106" t="n">
        <x:v>0.15</x:v>
      </x:c>
      <x:c r="H28" s="106" t="n">
        <x:v>0.15</x:v>
      </x:c>
      <x:c r="I28" s="106" t="n">
        <x:v>0.15</x:v>
      </x:c>
      <x:c r="J28" s="106" t="n">
        <x:v>0.15</x:v>
      </x:c>
      <x:c r="K28" s="106" t="n">
        <x:v>0.15</x:v>
      </x:c>
      <x:c r="L28" s="106" t="n">
        <x:v>0.15</x:v>
      </x:c>
      <x:c r="M28" s="106" t="n">
        <x:v>0.15</x:v>
      </x:c>
      <x:c r="N28" s="106" t="n">
        <x:v>0.15</x:v>
      </x:c>
      <x:c r="O28" s="106" t="n">
        <x:v>0.15</x:v>
      </x:c>
      <x:c r="P28" s="106" t="n">
        <x:v>0.15</x:v>
      </x:c>
      <x:c r="Q28" s="106" t="n">
        <x:v>0.15</x:v>
      </x:c>
      <x:c r="R28" s="106" t="n">
        <x:v>0.15</x:v>
      </x:c>
      <x:c r="S28" s="106" t="n">
        <x:v>0.15</x:v>
      </x:c>
      <x:c r="T28" s="106" t="n">
        <x:v>0.15</x:v>
      </x:c>
      <x:c r="U28" s="106" t="n">
        <x:v>0.15</x:v>
      </x:c>
      <x:c r="V28" s="106" t="n">
        <x:v>0.15</x:v>
      </x:c>
      <x:c r="W28" s="106" t="n">
        <x:v>0.15</x:v>
      </x:c>
      <x:c r="X28" s="106" t="n">
        <x:v>0.15</x:v>
      </x:c>
      <x:c r="Y28" s="106" t="n">
        <x:v>0.15</x:v>
      </x:c>
      <x:c r="Z28" s="106" t="n">
        <x:v>0.15</x:v>
      </x:c>
      <x:c r="AA28" s="106" t="n">
        <x:v>0.15</x:v>
      </x:c>
      <x:c r="AB28" s="106" t="n">
        <x:v>0.15</x:v>
      </x:c>
      <x:c r="AC28" s="106" t="n">
        <x:v>0.15</x:v>
      </x:c>
      <x:c r="AD28" s="106" t="n">
        <x:v>0.15</x:v>
      </x:c>
      <x:c r="AE28" s="106" t="n">
        <x:v>0.15</x:v>
      </x:c>
      <x:c r="AF28" s="65" t="str">
        <x:v>同上</x:v>
      </x:c>
    </x:row>
    <x:row r="29" ht="40" customHeight="1">
      <x:c r="A29" s="62" t="str">
        <x:v>每主线铜钱5消次数</x:v>
      </x:c>
      <x:c r="B29" s="106" t="n">
        <x:v>0.02</x:v>
      </x:c>
      <x:c r="C29" s="106" t="n">
        <x:v>0.02</x:v>
      </x:c>
      <x:c r="D29" s="106" t="n">
        <x:v>0.02</x:v>
      </x:c>
      <x:c r="E29" s="106" t="n">
        <x:v>0.02</x:v>
      </x:c>
      <x:c r="F29" s="106" t="n">
        <x:v>0.02</x:v>
      </x:c>
      <x:c r="G29" s="106" t="n">
        <x:v>0.02</x:v>
      </x:c>
      <x:c r="H29" s="106" t="n">
        <x:v>0.02</x:v>
      </x:c>
      <x:c r="I29" s="106" t="n">
        <x:v>0.02</x:v>
      </x:c>
      <x:c r="J29" s="106" t="n">
        <x:v>0.02</x:v>
      </x:c>
      <x:c r="K29" s="106" t="n">
        <x:v>0.02</x:v>
      </x:c>
      <x:c r="L29" s="106" t="n">
        <x:v>0.02</x:v>
      </x:c>
      <x:c r="M29" s="106" t="n">
        <x:v>0.02</x:v>
      </x:c>
      <x:c r="N29" s="106" t="n">
        <x:v>0.02</x:v>
      </x:c>
      <x:c r="O29" s="106" t="n">
        <x:v>0.02</x:v>
      </x:c>
      <x:c r="P29" s="106" t="n">
        <x:v>0.02</x:v>
      </x:c>
      <x:c r="Q29" s="106" t="n">
        <x:v>0.02</x:v>
      </x:c>
      <x:c r="R29" s="106" t="n">
        <x:v>0.02</x:v>
      </x:c>
      <x:c r="S29" s="106" t="n">
        <x:v>0.02</x:v>
      </x:c>
      <x:c r="T29" s="106" t="n">
        <x:v>0.02</x:v>
      </x:c>
      <x:c r="U29" s="106" t="n">
        <x:v>0.02</x:v>
      </x:c>
      <x:c r="V29" s="106" t="n">
        <x:v>0.02</x:v>
      </x:c>
      <x:c r="W29" s="106" t="n">
        <x:v>0.02</x:v>
      </x:c>
      <x:c r="X29" s="106" t="n">
        <x:v>0.02</x:v>
      </x:c>
      <x:c r="Y29" s="106" t="n">
        <x:v>0.02</x:v>
      </x:c>
      <x:c r="Z29" s="106" t="n">
        <x:v>0.02</x:v>
      </x:c>
      <x:c r="AA29" s="106" t="n">
        <x:v>0.02</x:v>
      </x:c>
      <x:c r="AB29" s="106" t="n">
        <x:v>0.02</x:v>
      </x:c>
      <x:c r="AC29" s="106" t="n">
        <x:v>0.02</x:v>
      </x:c>
      <x:c r="AD29" s="106" t="n">
        <x:v>0.02</x:v>
      </x:c>
      <x:c r="AE29" s="106" t="n">
        <x:v>0.02</x:v>
      </x:c>
      <x:c r="AF29" s="65" t="str">
        <x:v>同上</x:v>
      </x:c>
    </x:row>
    <x:row r="30" ht="40" customHeight="1">
      <x:c r="A30" s="62" t="str">
        <x:v>每主线铜钱6+消次数</x:v>
      </x:c>
      <x:c r="B30" s="106" t="n">
        <x:v>0</x:v>
      </x:c>
      <x:c r="C30" s="106" t="n">
        <x:v>0</x:v>
      </x:c>
      <x:c r="D30" s="106" t="n">
        <x:v>0</x:v>
      </x:c>
      <x:c r="E30" s="106" t="n">
        <x:v>0</x:v>
      </x:c>
      <x:c r="F30" s="106" t="n">
        <x:v>0</x:v>
      </x:c>
      <x:c r="G30" s="106" t="n">
        <x:v>0</x:v>
      </x:c>
      <x:c r="H30" s="106" t="n">
        <x:v>0</x:v>
      </x:c>
      <x:c r="I30" s="106" t="n">
        <x:v>0</x:v>
      </x:c>
      <x:c r="J30" s="106" t="n">
        <x:v>0</x:v>
      </x:c>
      <x:c r="K30" s="106" t="n">
        <x:v>0</x:v>
      </x:c>
      <x:c r="L30" s="106" t="n">
        <x:v>0</x:v>
      </x:c>
      <x:c r="M30" s="106" t="n">
        <x:v>0</x:v>
      </x:c>
      <x:c r="N30" s="106" t="n">
        <x:v>0</x:v>
      </x:c>
      <x:c r="O30" s="106" t="n">
        <x:v>0</x:v>
      </x:c>
      <x:c r="P30" s="106" t="n">
        <x:v>0</x:v>
      </x:c>
      <x:c r="Q30" s="106" t="n">
        <x:v>0</x:v>
      </x:c>
      <x:c r="R30" s="106" t="n">
        <x:v>0</x:v>
      </x:c>
      <x:c r="S30" s="106" t="n">
        <x:v>0</x:v>
      </x:c>
      <x:c r="T30" s="106" t="n">
        <x:v>0</x:v>
      </x:c>
      <x:c r="U30" s="106" t="n">
        <x:v>0</x:v>
      </x:c>
      <x:c r="V30" s="106" t="n">
        <x:v>0</x:v>
      </x:c>
      <x:c r="W30" s="106" t="n">
        <x:v>0</x:v>
      </x:c>
      <x:c r="X30" s="106" t="n">
        <x:v>0</x:v>
      </x:c>
      <x:c r="Y30" s="106" t="n">
        <x:v>0</x:v>
      </x:c>
      <x:c r="Z30" s="106" t="n">
        <x:v>0</x:v>
      </x:c>
      <x:c r="AA30" s="106" t="n">
        <x:v>0</x:v>
      </x:c>
      <x:c r="AB30" s="106" t="n">
        <x:v>0</x:v>
      </x:c>
      <x:c r="AC30" s="106" t="n">
        <x:v>0</x:v>
      </x:c>
      <x:c r="AD30" s="106" t="n">
        <x:v>0</x:v>
      </x:c>
      <x:c r="AE30" s="106" t="n">
        <x:v>0</x:v>
      </x:c>
      <x:c r="AF30" s="65" t="str">
        <x:v>同上</x:v>
      </x:c>
    </x:row>
    <x:row r="31" ht="40" customHeight="1">
      <x:c r="A31" s="62" t="str">
        <x:v>主线掉装出售比例</x:v>
      </x:c>
      <x:c r="B31" s="113" t="n">
        <x:v>0.1</x:v>
      </x:c>
      <x:c r="C31" s="113" t="n">
        <x:v>0.1</x:v>
      </x:c>
      <x:c r="D31" s="113" t="n">
        <x:v>0.1</x:v>
      </x:c>
      <x:c r="E31" s="113" t="n">
        <x:v>0.1</x:v>
      </x:c>
      <x:c r="F31" s="113" t="n">
        <x:v>0.1</x:v>
      </x:c>
      <x:c r="G31" s="113" t="n">
        <x:v>0.1</x:v>
      </x:c>
      <x:c r="H31" s="113" t="n">
        <x:v>0.1</x:v>
      </x:c>
      <x:c r="I31" s="113" t="n">
        <x:v>0.1</x:v>
      </x:c>
      <x:c r="J31" s="113" t="n">
        <x:v>0.1</x:v>
      </x:c>
      <x:c r="K31" s="113" t="n">
        <x:v>0.1</x:v>
      </x:c>
      <x:c r="L31" s="113" t="n">
        <x:v>0.1</x:v>
      </x:c>
      <x:c r="M31" s="113" t="n">
        <x:v>0.1</x:v>
      </x:c>
      <x:c r="N31" s="113" t="n">
        <x:v>0.1</x:v>
      </x:c>
      <x:c r="O31" s="113" t="n">
        <x:v>0.1</x:v>
      </x:c>
      <x:c r="P31" s="113" t="n">
        <x:v>0.1</x:v>
      </x:c>
      <x:c r="Q31" s="113" t="n">
        <x:v>0.1</x:v>
      </x:c>
      <x:c r="R31" s="113" t="n">
        <x:v>0.1</x:v>
      </x:c>
      <x:c r="S31" s="113" t="n">
        <x:v>0.1</x:v>
      </x:c>
      <x:c r="T31" s="113" t="n">
        <x:v>0.1</x:v>
      </x:c>
      <x:c r="U31" s="113" t="n">
        <x:v>0.1</x:v>
      </x:c>
      <x:c r="V31" s="113" t="n">
        <x:v>0.1</x:v>
      </x:c>
      <x:c r="W31" s="113" t="n">
        <x:v>0.1</x:v>
      </x:c>
      <x:c r="X31" s="113" t="n">
        <x:v>0.1</x:v>
      </x:c>
      <x:c r="Y31" s="113" t="n">
        <x:v>0.1</x:v>
      </x:c>
      <x:c r="Z31" s="113" t="n">
        <x:v>0.1</x:v>
      </x:c>
      <x:c r="AA31" s="113" t="n">
        <x:v>0.1</x:v>
      </x:c>
      <x:c r="AB31" s="113" t="n">
        <x:v>0.1</x:v>
      </x:c>
      <x:c r="AC31" s="113" t="n">
        <x:v>0.1</x:v>
      </x:c>
      <x:c r="AD31" s="113" t="n">
        <x:v>0.1</x:v>
      </x:c>
      <x:c r="AE31" s="113" t="n">
        <x:v>0.1</x:v>
      </x:c>
      <x:c r="AF31" s="65" t="str">
        <x:v>军报高品质装备默认保留；出售与留存不重复计件</x:v>
      </x:c>
    </x:row>
    <x:row r="32" ht="40" customHeight="1">
      <x:c r="A32" s="62" t="str">
        <x:v>统一养成槽位数</x:v>
      </x:c>
      <x:c r="B32" s="106" t="n">
        <x:v>18</x:v>
      </x:c>
      <x:c r="C32" s="122" t="n">
        <x:f>$B$32</x:f>
        <x:v>18</x:v>
      </x:c>
      <x:c r="D32" s="122" t="n">
        <x:f>$B$32</x:f>
        <x:v>18</x:v>
      </x:c>
      <x:c r="E32" s="122" t="n">
        <x:f>$B$32</x:f>
        <x:v>18</x:v>
      </x:c>
      <x:c r="F32" s="122" t="n">
        <x:f>$B$32</x:f>
        <x:v>18</x:v>
      </x:c>
      <x:c r="G32" s="122" t="n">
        <x:f>$B$32</x:f>
        <x:v>18</x:v>
      </x:c>
      <x:c r="H32" s="122" t="n">
        <x:f>$B$32</x:f>
        <x:v>18</x:v>
      </x:c>
      <x:c r="I32" s="122" t="n">
        <x:f>$B$32</x:f>
        <x:v>18</x:v>
      </x:c>
      <x:c r="J32" s="122" t="n">
        <x:f>$B$32</x:f>
        <x:v>18</x:v>
      </x:c>
      <x:c r="K32" s="122" t="n">
        <x:f>$B$32</x:f>
        <x:v>18</x:v>
      </x:c>
      <x:c r="L32" s="122" t="n">
        <x:f>$B$32</x:f>
        <x:v>18</x:v>
      </x:c>
      <x:c r="M32" s="122" t="n">
        <x:f>$B$32</x:f>
        <x:v>18</x:v>
      </x:c>
      <x:c r="N32" s="122" t="n">
        <x:f>$B$32</x:f>
        <x:v>18</x:v>
      </x:c>
      <x:c r="O32" s="122" t="n">
        <x:f>$B$32</x:f>
        <x:v>18</x:v>
      </x:c>
      <x:c r="P32" s="122" t="n">
        <x:f>$B$32</x:f>
        <x:v>18</x:v>
      </x:c>
      <x:c r="Q32" s="122" t="n">
        <x:f>$B$32</x:f>
        <x:v>18</x:v>
      </x:c>
      <x:c r="R32" s="122" t="n">
        <x:f>$B$32</x:f>
        <x:v>18</x:v>
      </x:c>
      <x:c r="S32" s="122" t="n">
        <x:f>$B$32</x:f>
        <x:v>18</x:v>
      </x:c>
      <x:c r="T32" s="122" t="n">
        <x:f>$B$32</x:f>
        <x:v>18</x:v>
      </x:c>
      <x:c r="U32" s="122" t="n">
        <x:f>$B$32</x:f>
        <x:v>18</x:v>
      </x:c>
      <x:c r="V32" s="122" t="n">
        <x:f>$B$32</x:f>
        <x:v>18</x:v>
      </x:c>
      <x:c r="W32" s="122" t="n">
        <x:f>$B$32</x:f>
        <x:v>18</x:v>
      </x:c>
      <x:c r="X32" s="122" t="n">
        <x:f>$B$32</x:f>
        <x:v>18</x:v>
      </x:c>
      <x:c r="Y32" s="122" t="n">
        <x:f>$B$32</x:f>
        <x:v>18</x:v>
      </x:c>
      <x:c r="Z32" s="122" t="n">
        <x:f>$B$32</x:f>
        <x:v>18</x:v>
      </x:c>
      <x:c r="AA32" s="122" t="n">
        <x:f>$B$32</x:f>
        <x:v>18</x:v>
      </x:c>
      <x:c r="AB32" s="122" t="n">
        <x:f>$B$32</x:f>
        <x:v>18</x:v>
      </x:c>
      <x:c r="AC32" s="122" t="n">
        <x:f>$B$32</x:f>
        <x:v>18</x:v>
      </x:c>
      <x:c r="AD32" s="122" t="n">
        <x:f>$B$32</x:f>
        <x:v>18</x:v>
      </x:c>
      <x:c r="AE32" s="122" t="n">
        <x:f>$B$32</x:f>
        <x:v>18</x:v>
      </x:c>
      <x:c r="AF32" s="65" t="str">
        <x:v>只改B32；后续引用同一批槽位。不代表已穿满18件装备</x:v>
      </x:c>
    </x:row>
    <x:row r="33" ht="40" customHeight="1">
      <x:c r="A33" s="62" t="str">
        <x:v>当日强化目标/槽</x:v>
      </x:c>
      <x:c r="B33" s="106" t="n">
        <x:v>1</x:v>
      </x:c>
      <x:c r="C33" s="106" t="n">
        <x:v>2</x:v>
      </x:c>
      <x:c r="D33" s="106" t="n">
        <x:v>4</x:v>
      </x:c>
      <x:c r="E33" s="106" t="n">
        <x:v>6</x:v>
      </x:c>
      <x:c r="F33" s="106" t="n">
        <x:v>8</x:v>
      </x:c>
      <x:c r="G33" s="106" t="n">
        <x:v>10</x:v>
      </x:c>
      <x:c r="H33" s="106" t="n">
        <x:v>12</x:v>
      </x:c>
      <x:c r="I33" s="106" t="n">
        <x:v>14</x:v>
      </x:c>
      <x:c r="J33" s="106" t="n">
        <x:v>15</x:v>
      </x:c>
      <x:c r="K33" s="106" t="n">
        <x:v>16</x:v>
      </x:c>
      <x:c r="L33" s="106" t="n">
        <x:v>17</x:v>
      </x:c>
      <x:c r="M33" s="106" t="n">
        <x:v>18</x:v>
      </x:c>
      <x:c r="N33" s="106" t="n">
        <x:v>19</x:v>
      </x:c>
      <x:c r="O33" s="106" t="n">
        <x:v>20</x:v>
      </x:c>
      <x:c r="P33" s="106" t="n">
        <x:v>22</x:v>
      </x:c>
      <x:c r="Q33" s="106" t="n">
        <x:v>23</x:v>
      </x:c>
      <x:c r="R33" s="106" t="n">
        <x:v>25</x:v>
      </x:c>
      <x:c r="S33" s="106" t="n">
        <x:v>26</x:v>
      </x:c>
      <x:c r="T33" s="106" t="n">
        <x:v>28</x:v>
      </x:c>
      <x:c r="U33" s="106" t="n">
        <x:v>29</x:v>
      </x:c>
      <x:c r="V33" s="106" t="n">
        <x:v>30</x:v>
      </x:c>
      <x:c r="W33" s="106" t="n">
        <x:v>32</x:v>
      </x:c>
      <x:c r="X33" s="106" t="n">
        <x:v>33</x:v>
      </x:c>
      <x:c r="Y33" s="106" t="n">
        <x:v>34</x:v>
      </x:c>
      <x:c r="Z33" s="106" t="n">
        <x:v>35</x:v>
      </x:c>
      <x:c r="AA33" s="106" t="n">
        <x:v>36</x:v>
      </x:c>
      <x:c r="AB33" s="106" t="n">
        <x:v>37</x:v>
      </x:c>
      <x:c r="AC33" s="106" t="n">
        <x:v>38</x:v>
      </x:c>
      <x:c r="AD33" s="106" t="n">
        <x:v>39</x:v>
      </x:c>
      <x:c r="AE33" s="106" t="n">
        <x:v>40</x:v>
      </x:c>
      <x:c r="AF33" s="65" t="str">
        <x:v>前2天低消耗，首周到+12、两周到+20、30天到+40；全队同步培养会出现适度缺口</x:v>
      </x:c>
    </x:row>
    <x:row r="34" ht="40" customHeight="1">
      <x:c r="A34" s="62" t="str">
        <x:v>当日升星目标/槽</x:v>
      </x:c>
      <x:c r="B34" s="106" t="n">
        <x:v>0</x:v>
      </x:c>
      <x:c r="C34" s="106" t="n">
        <x:v>1</x:v>
      </x:c>
      <x:c r="D34" s="106" t="n">
        <x:v>1</x:v>
      </x:c>
      <x:c r="E34" s="106" t="n">
        <x:v>2</x:v>
      </x:c>
      <x:c r="F34" s="106" t="n">
        <x:v>2</x:v>
      </x:c>
      <x:c r="G34" s="106" t="n">
        <x:v>3</x:v>
      </x:c>
      <x:c r="H34" s="106" t="n">
        <x:v>3</x:v>
      </x:c>
      <x:c r="I34" s="106" t="n">
        <x:v>4</x:v>
      </x:c>
      <x:c r="J34" s="106" t="n">
        <x:v>4</x:v>
      </x:c>
      <x:c r="K34" s="106" t="n">
        <x:v>5</x:v>
      </x:c>
      <x:c r="L34" s="106" t="n">
        <x:v>5</x:v>
      </x:c>
      <x:c r="M34" s="106" t="n">
        <x:v>6</x:v>
      </x:c>
      <x:c r="N34" s="106" t="n">
        <x:v>6</x:v>
      </x:c>
      <x:c r="O34" s="106" t="n">
        <x:v>6</x:v>
      </x:c>
      <x:c r="P34" s="106" t="n">
        <x:v>7</x:v>
      </x:c>
      <x:c r="Q34" s="106" t="n">
        <x:v>7</x:v>
      </x:c>
      <x:c r="R34" s="106" t="n">
        <x:v>7</x:v>
      </x:c>
      <x:c r="S34" s="106" t="n">
        <x:v>8</x:v>
      </x:c>
      <x:c r="T34" s="106" t="n">
        <x:v>8</x:v>
      </x:c>
      <x:c r="U34" s="106" t="n">
        <x:v>8</x:v>
      </x:c>
      <x:c r="V34" s="106" t="n">
        <x:v>8</x:v>
      </x:c>
      <x:c r="W34" s="106" t="n">
        <x:v>9</x:v>
      </x:c>
      <x:c r="X34" s="106" t="n">
        <x:v>9</x:v>
      </x:c>
      <x:c r="Y34" s="106" t="n">
        <x:v>9</x:v>
      </x:c>
      <x:c r="Z34" s="106" t="n">
        <x:v>10</x:v>
      </x:c>
      <x:c r="AA34" s="106" t="n">
        <x:v>10</x:v>
      </x:c>
      <x:c r="AB34" s="106" t="n">
        <x:v>10</x:v>
      </x:c>
      <x:c r="AC34" s="106" t="n">
        <x:v>11</x:v>
      </x:c>
      <x:c r="AD34" s="106" t="n">
        <x:v>11</x:v>
      </x:c>
      <x:c r="AE34" s="106" t="n">
        <x:v>11</x:v>
      </x:c>
      <x:c r="AF34" s="65" t="str">
        <x:v>前2天体验1星，首周3星、两周6星、30天11星；失败消耗按期望计入</x:v>
      </x:c>
    </x:row>
    <x:row r="35" ht="40" customHeight="1">
      <x:c r="A35" s="62" t="str">
        <x:v>装备合成尝试次数</x:v>
      </x:c>
      <x:c r="B35" s="106" t="n">
        <x:v>0</x:v>
      </x:c>
      <x:c r="C35" s="106" t="n">
        <x:v>0</x:v>
      </x:c>
      <x:c r="D35" s="106" t="n">
        <x:v>0</x:v>
      </x:c>
      <x:c r="E35" s="106" t="n">
        <x:v>0</x:v>
      </x:c>
      <x:c r="F35" s="106" t="n">
        <x:v>0</x:v>
      </x:c>
      <x:c r="G35" s="106" t="n">
        <x:v>0</x:v>
      </x:c>
      <x:c r="H35" s="106" t="n">
        <x:v>0</x:v>
      </x:c>
      <x:c r="I35" s="106" t="n">
        <x:v>0</x:v>
      </x:c>
      <x:c r="J35" s="106" t="n">
        <x:v>0</x:v>
      </x:c>
      <x:c r="K35" s="106" t="n">
        <x:v>0</x:v>
      </x:c>
      <x:c r="L35" s="106" t="n">
        <x:v>0</x:v>
      </x:c>
      <x:c r="M35" s="106" t="n">
        <x:v>0</x:v>
      </x:c>
      <x:c r="N35" s="106" t="n">
        <x:v>0</x:v>
      </x:c>
      <x:c r="O35" s="106" t="n">
        <x:v>0</x:v>
      </x:c>
      <x:c r="P35" s="106" t="n">
        <x:v>0</x:v>
      </x:c>
      <x:c r="Q35" s="106" t="n">
        <x:v>0</x:v>
      </x:c>
      <x:c r="R35" s="106" t="n">
        <x:v>0</x:v>
      </x:c>
      <x:c r="S35" s="106" t="n">
        <x:v>0</x:v>
      </x:c>
      <x:c r="T35" s="106" t="n">
        <x:v>0</x:v>
      </x:c>
      <x:c r="U35" s="106" t="n">
        <x:v>0</x:v>
      </x:c>
      <x:c r="V35" s="106" t="n">
        <x:v>0</x:v>
      </x:c>
      <x:c r="W35" s="106" t="n">
        <x:v>0</x:v>
      </x:c>
      <x:c r="X35" s="106" t="n">
        <x:v>0</x:v>
      </x:c>
      <x:c r="Y35" s="106" t="n">
        <x:v>0</x:v>
      </x:c>
      <x:c r="Z35" s="106" t="n">
        <x:v>0</x:v>
      </x:c>
      <x:c r="AA35" s="106" t="n">
        <x:v>0</x:v>
      </x:c>
      <x:c r="AB35" s="106" t="n">
        <x:v>0</x:v>
      </x:c>
      <x:c r="AC35" s="106" t="n">
        <x:v>0</x:v>
      </x:c>
      <x:c r="AD35" s="106" t="n">
        <x:v>0</x:v>
      </x:c>
      <x:c r="AE35" s="106" t="n">
        <x:v>0</x:v>
      </x:c>
      <x:c r="AF35" s="65" t="str">
        <x:v>默认关闭；开启需有同品质5件库存，另校验可用部位</x:v>
      </x:c>
    </x:row>
    <x:row r="36" ht="40" customHeight="1">
      <x:c r="A36" s="62" t="str">
        <x:v>合成材料品质1～6</x:v>
      </x:c>
      <x:c r="B36" s="106" t="n">
        <x:v>1</x:v>
      </x:c>
      <x:c r="C36" s="106" t="n">
        <x:v>1</x:v>
      </x:c>
      <x:c r="D36" s="106" t="n">
        <x:v>1</x:v>
      </x:c>
      <x:c r="E36" s="106" t="n">
        <x:v>1</x:v>
      </x:c>
      <x:c r="F36" s="106" t="n">
        <x:v>1</x:v>
      </x:c>
      <x:c r="G36" s="106" t="n">
        <x:v>1</x:v>
      </x:c>
      <x:c r="H36" s="106" t="n">
        <x:v>1</x:v>
      </x:c>
      <x:c r="I36" s="106" t="n">
        <x:v>1</x:v>
      </x:c>
      <x:c r="J36" s="106" t="n">
        <x:v>1</x:v>
      </x:c>
      <x:c r="K36" s="106" t="n">
        <x:v>1</x:v>
      </x:c>
      <x:c r="L36" s="106" t="n">
        <x:v>1</x:v>
      </x:c>
      <x:c r="M36" s="106" t="n">
        <x:v>1</x:v>
      </x:c>
      <x:c r="N36" s="106" t="n">
        <x:v>1</x:v>
      </x:c>
      <x:c r="O36" s="106" t="n">
        <x:v>1</x:v>
      </x:c>
      <x:c r="P36" s="106" t="n">
        <x:v>1</x:v>
      </x:c>
      <x:c r="Q36" s="106" t="n">
        <x:v>1</x:v>
      </x:c>
      <x:c r="R36" s="106" t="n">
        <x:v>1</x:v>
      </x:c>
      <x:c r="S36" s="106" t="n">
        <x:v>1</x:v>
      </x:c>
      <x:c r="T36" s="106" t="n">
        <x:v>1</x:v>
      </x:c>
      <x:c r="U36" s="106" t="n">
        <x:v>1</x:v>
      </x:c>
      <x:c r="V36" s="106" t="n">
        <x:v>1</x:v>
      </x:c>
      <x:c r="W36" s="106" t="n">
        <x:v>1</x:v>
      </x:c>
      <x:c r="X36" s="106" t="n">
        <x:v>1</x:v>
      </x:c>
      <x:c r="Y36" s="106" t="n">
        <x:v>1</x:v>
      </x:c>
      <x:c r="Z36" s="106" t="n">
        <x:v>1</x:v>
      </x:c>
      <x:c r="AA36" s="106" t="n">
        <x:v>1</x:v>
      </x:c>
      <x:c r="AB36" s="106" t="n">
        <x:v>1</x:v>
      </x:c>
      <x:c r="AC36" s="106" t="n">
        <x:v>1</x:v>
      </x:c>
      <x:c r="AD36" s="106" t="n">
        <x:v>1</x:v>
      </x:c>
      <x:c r="AE36" s="106" t="n">
        <x:v>1</x:v>
      </x:c>
      <x:c r="AF36" s="65" t="str">
        <x:v>每次消耗同档5件</x:v>
      </x:c>
    </x:row>
    <x:row r="37" ht="40" customHeight="1">
      <x:c r="A37" s="62" t="str">
        <x:v>武将突破次数</x:v>
      </x:c>
      <x:c r="B37" s="106" t="n">
        <x:v>0</x:v>
      </x:c>
      <x:c r="C37" s="106" t="n">
        <x:v>0</x:v>
      </x:c>
      <x:c r="D37" s="106" t="n">
        <x:v>1</x:v>
      </x:c>
      <x:c r="E37" s="106" t="n">
        <x:v>0</x:v>
      </x:c>
      <x:c r="F37" s="106" t="n">
        <x:v>0</x:v>
      </x:c>
      <x:c r="G37" s="106" t="n">
        <x:v>0</x:v>
      </x:c>
      <x:c r="H37" s="106" t="n">
        <x:v>1</x:v>
      </x:c>
      <x:c r="I37" s="106" t="n">
        <x:v>0</x:v>
      </x:c>
      <x:c r="J37" s="106" t="n">
        <x:v>0</x:v>
      </x:c>
      <x:c r="K37" s="106" t="n">
        <x:v>0</x:v>
      </x:c>
      <x:c r="L37" s="106" t="n">
        <x:v>0</x:v>
      </x:c>
      <x:c r="M37" s="106" t="n">
        <x:v>0</x:v>
      </x:c>
      <x:c r="N37" s="106" t="n">
        <x:v>0</x:v>
      </x:c>
      <x:c r="O37" s="106" t="n">
        <x:v>1</x:v>
      </x:c>
      <x:c r="P37" s="106" t="n">
        <x:v>0</x:v>
      </x:c>
      <x:c r="Q37" s="106" t="n">
        <x:v>0</x:v>
      </x:c>
      <x:c r="R37" s="106" t="n">
        <x:v>0</x:v>
      </x:c>
      <x:c r="S37" s="106" t="n">
        <x:v>0</x:v>
      </x:c>
      <x:c r="T37" s="106" t="n">
        <x:v>0</x:v>
      </x:c>
      <x:c r="U37" s="106" t="n">
        <x:v>0</x:v>
      </x:c>
      <x:c r="V37" s="106" t="n">
        <x:v>1</x:v>
      </x:c>
      <x:c r="W37" s="106" t="n">
        <x:v>0</x:v>
      </x:c>
      <x:c r="X37" s="106" t="n">
        <x:v>0</x:v>
      </x:c>
      <x:c r="Y37" s="106" t="n">
        <x:v>0</x:v>
      </x:c>
      <x:c r="Z37" s="106" t="n">
        <x:v>0</x:v>
      </x:c>
      <x:c r="AA37" s="106" t="n">
        <x:v>0</x:v>
      </x:c>
      <x:c r="AB37" s="106" t="n">
        <x:v>0</x:v>
      </x:c>
      <x:c r="AC37" s="106" t="n">
        <x:v>0</x:v>
      </x:c>
      <x:c r="AD37" s="106" t="n">
        <x:v>0</x:v>
      </x:c>
      <x:c r="AE37" s="106" t="n">
        <x:v>1</x:v>
      </x:c>
      <x:c r="AF37" s="65" t="str">
        <x:v>按单武将阶段性成套估算；实际仍受同品质6部位约束</x:v>
      </x:c>
    </x:row>
    <x:row r="38" ht="40" customHeight="1">
      <x:c r="A38" s="62" t="str">
        <x:v>武将突破前品质1～6</x:v>
      </x:c>
      <x:c r="B38" s="106" t="n">
        <x:v>1</x:v>
      </x:c>
      <x:c r="C38" s="106" t="n">
        <x:v>1</x:v>
      </x:c>
      <x:c r="D38" s="106" t="n">
        <x:v>1</x:v>
      </x:c>
      <x:c r="E38" s="106" t="n">
        <x:v>1</x:v>
      </x:c>
      <x:c r="F38" s="106" t="n">
        <x:v>1</x:v>
      </x:c>
      <x:c r="G38" s="106" t="n">
        <x:v>1</x:v>
      </x:c>
      <x:c r="H38" s="106" t="n">
        <x:v>1</x:v>
      </x:c>
      <x:c r="I38" s="106" t="n">
        <x:v>1</x:v>
      </x:c>
      <x:c r="J38" s="106" t="n">
        <x:v>1</x:v>
      </x:c>
      <x:c r="K38" s="106" t="n">
        <x:v>1</x:v>
      </x:c>
      <x:c r="L38" s="106" t="n">
        <x:v>1</x:v>
      </x:c>
      <x:c r="M38" s="106" t="n">
        <x:v>1</x:v>
      </x:c>
      <x:c r="N38" s="106" t="n">
        <x:v>1</x:v>
      </x:c>
      <x:c r="O38" s="106" t="n">
        <x:v>1</x:v>
      </x:c>
      <x:c r="P38" s="106" t="n">
        <x:v>1</x:v>
      </x:c>
      <x:c r="Q38" s="106" t="n">
        <x:v>1</x:v>
      </x:c>
      <x:c r="R38" s="106" t="n">
        <x:v>1</x:v>
      </x:c>
      <x:c r="S38" s="106" t="n">
        <x:v>1</x:v>
      </x:c>
      <x:c r="T38" s="106" t="n">
        <x:v>1</x:v>
      </x:c>
      <x:c r="U38" s="106" t="n">
        <x:v>1</x:v>
      </x:c>
      <x:c r="V38" s="106" t="n">
        <x:v>1</x:v>
      </x:c>
      <x:c r="W38" s="106" t="n">
        <x:v>1</x:v>
      </x:c>
      <x:c r="X38" s="106" t="n">
        <x:v>1</x:v>
      </x:c>
      <x:c r="Y38" s="106" t="n">
        <x:v>1</x:v>
      </x:c>
      <x:c r="Z38" s="106" t="n">
        <x:v>1</x:v>
      </x:c>
      <x:c r="AA38" s="106" t="n">
        <x:v>1</x:v>
      </x:c>
      <x:c r="AB38" s="106" t="n">
        <x:v>1</x:v>
      </x:c>
      <x:c r="AC38" s="106" t="n">
        <x:v>1</x:v>
      </x:c>
      <x:c r="AD38" s="106" t="n">
        <x:v>1</x:v>
      </x:c>
      <x:c r="AE38" s="106" t="n">
        <x:v>1</x:v>
      </x:c>
      <x:c r="AF38" s="65" t="str">
        <x:v>每次扣6件装备并花元宝</x:v>
      </x:c>
    </x:row>
    <x:row r="39" ht="40" customHeight="1">
      <x:c r="A39" s="62" t="str">
        <x:v>主角突破次数</x:v>
      </x:c>
      <x:c r="B39" s="106" t="n">
        <x:v>0</x:v>
      </x:c>
      <x:c r="C39" s="106" t="n">
        <x:v>0</x:v>
      </x:c>
      <x:c r="D39" s="106" t="n">
        <x:v>0</x:v>
      </x:c>
      <x:c r="E39" s="106" t="n">
        <x:v>0</x:v>
      </x:c>
      <x:c r="F39" s="106" t="n">
        <x:v>1</x:v>
      </x:c>
      <x:c r="G39" s="106" t="n">
        <x:v>0</x:v>
      </x:c>
      <x:c r="H39" s="106" t="n">
        <x:v>0</x:v>
      </x:c>
      <x:c r="I39" s="106" t="n">
        <x:v>0</x:v>
      </x:c>
      <x:c r="J39" s="106" t="n">
        <x:v>0</x:v>
      </x:c>
      <x:c r="K39" s="106" t="n">
        <x:v>1</x:v>
      </x:c>
      <x:c r="L39" s="106" t="n">
        <x:v>0</x:v>
      </x:c>
      <x:c r="M39" s="106" t="n">
        <x:v>0</x:v>
      </x:c>
      <x:c r="N39" s="106" t="n">
        <x:v>0</x:v>
      </x:c>
      <x:c r="O39" s="106" t="n">
        <x:v>0</x:v>
      </x:c>
      <x:c r="P39" s="106" t="n">
        <x:v>0</x:v>
      </x:c>
      <x:c r="Q39" s="106" t="n">
        <x:v>1</x:v>
      </x:c>
      <x:c r="R39" s="106" t="n">
        <x:v>0</x:v>
      </x:c>
      <x:c r="S39" s="106" t="n">
        <x:v>0</x:v>
      </x:c>
      <x:c r="T39" s="106" t="n">
        <x:v>0</x:v>
      </x:c>
      <x:c r="U39" s="106" t="n">
        <x:v>0</x:v>
      </x:c>
      <x:c r="V39" s="106" t="n">
        <x:v>0</x:v>
      </x:c>
      <x:c r="W39" s="106" t="n">
        <x:v>0</x:v>
      </x:c>
      <x:c r="X39" s="106" t="n">
        <x:v>1</x:v>
      </x:c>
      <x:c r="Y39" s="106" t="n">
        <x:v>0</x:v>
      </x:c>
      <x:c r="Z39" s="106" t="n">
        <x:v>0</x:v>
      </x:c>
      <x:c r="AA39" s="106" t="n">
        <x:v>0</x:v>
      </x:c>
      <x:c r="AB39" s="106" t="n">
        <x:v>0</x:v>
      </x:c>
      <x:c r="AC39" s="106" t="n">
        <x:v>0</x:v>
      </x:c>
      <x:c r="AD39" s="106" t="n">
        <x:v>0</x:v>
      </x:c>
      <x:c r="AE39" s="106" t="n">
        <x:v>1</x:v>
      </x:c>
      <x:c r="AF39" s="65" t="str">
        <x:v>按阶段成长安排元宝消耗；实际需达到对应10级里程碑</x:v>
      </x:c>
    </x:row>
    <x:row r="40" ht="40" customHeight="1">
      <x:c r="A40" s="62" t="str">
        <x:v>主角当日突破起始阶</x:v>
      </x:c>
      <x:c r="B40" s="106" t="n">
        <x:v>0</x:v>
      </x:c>
      <x:c r="C40" s="106" t="n">
        <x:v>0</x:v>
      </x:c>
      <x:c r="D40" s="106" t="n">
        <x:v>0</x:v>
      </x:c>
      <x:c r="E40" s="106" t="n">
        <x:v>0</x:v>
      </x:c>
      <x:c r="F40" s="106" t="n">
        <x:v>0</x:v>
      </x:c>
      <x:c r="G40" s="106" t="n">
        <x:v>1</x:v>
      </x:c>
      <x:c r="H40" s="106" t="n">
        <x:v>1</x:v>
      </x:c>
      <x:c r="I40" s="106" t="n">
        <x:v>1</x:v>
      </x:c>
      <x:c r="J40" s="106" t="n">
        <x:v>1</x:v>
      </x:c>
      <x:c r="K40" s="106" t="n">
        <x:v>1</x:v>
      </x:c>
      <x:c r="L40" s="106" t="n">
        <x:v>2</x:v>
      </x:c>
      <x:c r="M40" s="106" t="n">
        <x:v>2</x:v>
      </x:c>
      <x:c r="N40" s="106" t="n">
        <x:v>2</x:v>
      </x:c>
      <x:c r="O40" s="106" t="n">
        <x:v>2</x:v>
      </x:c>
      <x:c r="P40" s="106" t="n">
        <x:v>2</x:v>
      </x:c>
      <x:c r="Q40" s="106" t="n">
        <x:v>2</x:v>
      </x:c>
      <x:c r="R40" s="106" t="n">
        <x:v>3</x:v>
      </x:c>
      <x:c r="S40" s="106" t="n">
        <x:v>3</x:v>
      </x:c>
      <x:c r="T40" s="106" t="n">
        <x:v>3</x:v>
      </x:c>
      <x:c r="U40" s="106" t="n">
        <x:v>3</x:v>
      </x:c>
      <x:c r="V40" s="106" t="n">
        <x:v>3</x:v>
      </x:c>
      <x:c r="W40" s="106" t="n">
        <x:v>3</x:v>
      </x:c>
      <x:c r="X40" s="106" t="n">
        <x:v>3</x:v>
      </x:c>
      <x:c r="Y40" s="106" t="n">
        <x:v>4</x:v>
      </x:c>
      <x:c r="Z40" s="106" t="n">
        <x:v>4</x:v>
      </x:c>
      <x:c r="AA40" s="106" t="n">
        <x:v>4</x:v>
      </x:c>
      <x:c r="AB40" s="106" t="n">
        <x:v>4</x:v>
      </x:c>
      <x:c r="AC40" s="106" t="n">
        <x:v>4</x:v>
      </x:c>
      <x:c r="AD40" s="106" t="n">
        <x:v>4</x:v>
      </x:c>
      <x:c r="AE40" s="106" t="n">
        <x:v>4</x:v>
      </x:c>
      <x:c r="AF40" s="65" t="str">
        <x:v>与上方突破日联动，成本每阶增加100元宝</x:v>
      </x:c>
    </x:row>
    <x:row r="41" ht="40" customHeight="1">
      <x:c r="A41" s="62" t="str">
        <x:v>商店购金币预算（元宝）</x:v>
      </x:c>
      <x:c r="B41" s="106" t="n">
        <x:v>0</x:v>
      </x:c>
      <x:c r="C41" s="106" t="n">
        <x:v>0</x:v>
      </x:c>
      <x:c r="D41" s="106" t="n">
        <x:v>0</x:v>
      </x:c>
      <x:c r="E41" s="106" t="n">
        <x:v>0</x:v>
      </x:c>
      <x:c r="F41" s="106" t="n">
        <x:v>0</x:v>
      </x:c>
      <x:c r="G41" s="106" t="n">
        <x:v>0</x:v>
      </x:c>
      <x:c r="H41" s="106" t="n">
        <x:v>0</x:v>
      </x:c>
      <x:c r="I41" s="106" t="n">
        <x:v>0</x:v>
      </x:c>
      <x:c r="J41" s="106" t="n">
        <x:v>0</x:v>
      </x:c>
      <x:c r="K41" s="106" t="n">
        <x:v>0</x:v>
      </x:c>
      <x:c r="L41" s="106" t="n">
        <x:v>0</x:v>
      </x:c>
      <x:c r="M41" s="106" t="n">
        <x:v>0</x:v>
      </x:c>
      <x:c r="N41" s="106" t="n">
        <x:v>0</x:v>
      </x:c>
      <x:c r="O41" s="106" t="n">
        <x:v>0</x:v>
      </x:c>
      <x:c r="P41" s="106" t="n">
        <x:v>0</x:v>
      </x:c>
      <x:c r="Q41" s="106" t="n">
        <x:v>0</x:v>
      </x:c>
      <x:c r="R41" s="106" t="n">
        <x:v>0</x:v>
      </x:c>
      <x:c r="S41" s="106" t="n">
        <x:v>0</x:v>
      </x:c>
      <x:c r="T41" s="106" t="n">
        <x:v>0</x:v>
      </x:c>
      <x:c r="U41" s="106" t="n">
        <x:v>0</x:v>
      </x:c>
      <x:c r="V41" s="106" t="n">
        <x:v>0</x:v>
      </x:c>
      <x:c r="W41" s="106" t="n">
        <x:v>0</x:v>
      </x:c>
      <x:c r="X41" s="106" t="n">
        <x:v>0</x:v>
      </x:c>
      <x:c r="Y41" s="106" t="n">
        <x:v>0</x:v>
      </x:c>
      <x:c r="Z41" s="106" t="n">
        <x:v>0</x:v>
      </x:c>
      <x:c r="AA41" s="106" t="n">
        <x:v>0</x:v>
      </x:c>
      <x:c r="AB41" s="106" t="n">
        <x:v>0</x:v>
      </x:c>
      <x:c r="AC41" s="106" t="n">
        <x:v>0</x:v>
      </x:c>
      <x:c r="AD41" s="106" t="n">
        <x:v>0</x:v>
      </x:c>
      <x:c r="AE41" s="106" t="n">
        <x:v>0</x:v>
      </x:c>
      <x:c r="AF41" s="65" t="str">
        <x:v>按最小商品包向下取整，多余预算不扣</x:v>
      </x:c>
    </x:row>
    <x:row r="42" ht="40" customHeight="1">
      <x:c r="A42" s="62" t="str">
        <x:v>商店购强化石预算（元宝）</x:v>
      </x:c>
      <x:c r="B42" s="106" t="n">
        <x:v>0</x:v>
      </x:c>
      <x:c r="C42" s="106" t="n">
        <x:v>0</x:v>
      </x:c>
      <x:c r="D42" s="106" t="n">
        <x:v>0</x:v>
      </x:c>
      <x:c r="E42" s="106" t="n">
        <x:v>0</x:v>
      </x:c>
      <x:c r="F42" s="106" t="n">
        <x:v>0</x:v>
      </x:c>
      <x:c r="G42" s="106" t="n">
        <x:v>0</x:v>
      </x:c>
      <x:c r="H42" s="106" t="n">
        <x:v>20</x:v>
      </x:c>
      <x:c r="I42" s="106" t="n">
        <x:v>20</x:v>
      </x:c>
      <x:c r="J42" s="106" t="n">
        <x:v>20</x:v>
      </x:c>
      <x:c r="K42" s="106" t="n">
        <x:v>20</x:v>
      </x:c>
      <x:c r="L42" s="106" t="n">
        <x:v>20</x:v>
      </x:c>
      <x:c r="M42" s="106" t="n">
        <x:v>20</x:v>
      </x:c>
      <x:c r="N42" s="106" t="n">
        <x:v>20</x:v>
      </x:c>
      <x:c r="O42" s="106" t="n">
        <x:v>20</x:v>
      </x:c>
      <x:c r="P42" s="106" t="n">
        <x:v>20</x:v>
      </x:c>
      <x:c r="Q42" s="106" t="n">
        <x:v>20</x:v>
      </x:c>
      <x:c r="R42" s="106" t="n">
        <x:v>20</x:v>
      </x:c>
      <x:c r="S42" s="106" t="n">
        <x:v>20</x:v>
      </x:c>
      <x:c r="T42" s="106" t="n">
        <x:v>20</x:v>
      </x:c>
      <x:c r="U42" s="106" t="n">
        <x:v>20</x:v>
      </x:c>
      <x:c r="V42" s="106" t="n">
        <x:v>20</x:v>
      </x:c>
      <x:c r="W42" s="106" t="n">
        <x:v>20</x:v>
      </x:c>
      <x:c r="X42" s="106" t="n">
        <x:v>20</x:v>
      </x:c>
      <x:c r="Y42" s="106" t="n">
        <x:v>20</x:v>
      </x:c>
      <x:c r="Z42" s="106" t="n">
        <x:v>20</x:v>
      </x:c>
      <x:c r="AA42" s="106" t="n">
        <x:v>20</x:v>
      </x:c>
      <x:c r="AB42" s="106" t="n">
        <x:v>20</x:v>
      </x:c>
      <x:c r="AC42" s="106" t="n">
        <x:v>20</x:v>
      </x:c>
      <x:c r="AD42" s="106" t="n">
        <x:v>20</x:v>
      </x:c>
      <x:c r="AE42" s="106" t="n">
        <x:v>20</x:v>
      </x:c>
      <x:c r="AF42" s="65" t="str">
        <x:v>第7天后每天预留20元宝补强化缺口，体现首通元宝的长期去向</x:v>
      </x:c>
    </x:row>
    <x:row r="43" ht="40" customHeight="1">
      <x:c r="A43" s="62" t="str">
        <x:v>商店购升星石预算（元宝）</x:v>
      </x:c>
      <x:c r="B43" s="106" t="n">
        <x:v>0</x:v>
      </x:c>
      <x:c r="C43" s="106" t="n">
        <x:v>0</x:v>
      </x:c>
      <x:c r="D43" s="106" t="n">
        <x:v>0</x:v>
      </x:c>
      <x:c r="E43" s="106" t="n">
        <x:v>0</x:v>
      </x:c>
      <x:c r="F43" s="106" t="n">
        <x:v>0</x:v>
      </x:c>
      <x:c r="G43" s="106" t="n">
        <x:v>0</x:v>
      </x:c>
      <x:c r="H43" s="106" t="n">
        <x:v>0</x:v>
      </x:c>
      <x:c r="I43" s="106" t="n">
        <x:v>0</x:v>
      </x:c>
      <x:c r="J43" s="106" t="n">
        <x:v>0</x:v>
      </x:c>
      <x:c r="K43" s="106" t="n">
        <x:v>20</x:v>
      </x:c>
      <x:c r="L43" s="106" t="n">
        <x:v>20</x:v>
      </x:c>
      <x:c r="M43" s="106" t="n">
        <x:v>20</x:v>
      </x:c>
      <x:c r="N43" s="106" t="n">
        <x:v>20</x:v>
      </x:c>
      <x:c r="O43" s="106" t="n">
        <x:v>20</x:v>
      </x:c>
      <x:c r="P43" s="106" t="n">
        <x:v>20</x:v>
      </x:c>
      <x:c r="Q43" s="106" t="n">
        <x:v>20</x:v>
      </x:c>
      <x:c r="R43" s="106" t="n">
        <x:v>20</x:v>
      </x:c>
      <x:c r="S43" s="106" t="n">
        <x:v>20</x:v>
      </x:c>
      <x:c r="T43" s="106" t="n">
        <x:v>20</x:v>
      </x:c>
      <x:c r="U43" s="106" t="n">
        <x:v>20</x:v>
      </x:c>
      <x:c r="V43" s="106" t="n">
        <x:v>20</x:v>
      </x:c>
      <x:c r="W43" s="106" t="n">
        <x:v>20</x:v>
      </x:c>
      <x:c r="X43" s="106" t="n">
        <x:v>20</x:v>
      </x:c>
      <x:c r="Y43" s="106" t="n">
        <x:v>20</x:v>
      </x:c>
      <x:c r="Z43" s="106" t="n">
        <x:v>20</x:v>
      </x:c>
      <x:c r="AA43" s="106" t="n">
        <x:v>20</x:v>
      </x:c>
      <x:c r="AB43" s="106" t="n">
        <x:v>20</x:v>
      </x:c>
      <x:c r="AC43" s="106" t="n">
        <x:v>20</x:v>
      </x:c>
      <x:c r="AD43" s="106" t="n">
        <x:v>20</x:v>
      </x:c>
      <x:c r="AE43" s="106" t="n">
        <x:v>20</x:v>
      </x:c>
      <x:c r="AF43" s="65" t="str">
        <x:v>第10天后每天预留20元宝补升星缺口</x:v>
      </x:c>
    </x:row>
    <x:row r="44" ht="40" customHeight="1">
      <x:c r="A44" s="62" t="str">
        <x:v>打造购强化石预算（元宝）</x:v>
      </x:c>
      <x:c r="B44" s="106" t="n">
        <x:v>0</x:v>
      </x:c>
      <x:c r="C44" s="106" t="n">
        <x:v>0</x:v>
      </x:c>
      <x:c r="D44" s="106" t="n">
        <x:v>0</x:v>
      </x:c>
      <x:c r="E44" s="106" t="n">
        <x:v>0</x:v>
      </x:c>
      <x:c r="F44" s="106" t="n">
        <x:v>0</x:v>
      </x:c>
      <x:c r="G44" s="106" t="n">
        <x:v>0</x:v>
      </x:c>
      <x:c r="H44" s="106" t="n">
        <x:v>0</x:v>
      </x:c>
      <x:c r="I44" s="106" t="n">
        <x:v>0</x:v>
      </x:c>
      <x:c r="J44" s="106" t="n">
        <x:v>0</x:v>
      </x:c>
      <x:c r="K44" s="106" t="n">
        <x:v>0</x:v>
      </x:c>
      <x:c r="L44" s="106" t="n">
        <x:v>0</x:v>
      </x:c>
      <x:c r="M44" s="106" t="n">
        <x:v>0</x:v>
      </x:c>
      <x:c r="N44" s="106" t="n">
        <x:v>0</x:v>
      </x:c>
      <x:c r="O44" s="106" t="n">
        <x:v>0</x:v>
      </x:c>
      <x:c r="P44" s="106" t="n">
        <x:v>0</x:v>
      </x:c>
      <x:c r="Q44" s="106" t="n">
        <x:v>0</x:v>
      </x:c>
      <x:c r="R44" s="106" t="n">
        <x:v>0</x:v>
      </x:c>
      <x:c r="S44" s="106" t="n">
        <x:v>0</x:v>
      </x:c>
      <x:c r="T44" s="106" t="n">
        <x:v>0</x:v>
      </x:c>
      <x:c r="U44" s="106" t="n">
        <x:v>0</x:v>
      </x:c>
      <x:c r="V44" s="106" t="n">
        <x:v>0</x:v>
      </x:c>
      <x:c r="W44" s="106" t="n">
        <x:v>0</x:v>
      </x:c>
      <x:c r="X44" s="106" t="n">
        <x:v>0</x:v>
      </x:c>
      <x:c r="Y44" s="106" t="n">
        <x:v>0</x:v>
      </x:c>
      <x:c r="Z44" s="106" t="n">
        <x:v>0</x:v>
      </x:c>
      <x:c r="AA44" s="106" t="n">
        <x:v>0</x:v>
      </x:c>
      <x:c r="AB44" s="106" t="n">
        <x:v>0</x:v>
      </x:c>
      <x:c r="AC44" s="106" t="n">
        <x:v>0</x:v>
      </x:c>
      <x:c r="AD44" s="106" t="n">
        <x:v>0</x:v>
      </x:c>
      <x:c r="AE44" s="106" t="n">
        <x:v>0</x:v>
      </x:c>
      <x:c r="AF44" s="65" t="str">
        <x:v>此入口单价与商店不同</x:v>
      </x:c>
    </x:row>
    <x:row r="45" ht="40" customHeight="1">
      <x:c r="A45" s="62" t="str">
        <x:v>打造购升星石预算（元宝）</x:v>
      </x:c>
      <x:c r="B45" s="106" t="n">
        <x:v>0</x:v>
      </x:c>
      <x:c r="C45" s="106" t="n">
        <x:v>0</x:v>
      </x:c>
      <x:c r="D45" s="106" t="n">
        <x:v>0</x:v>
      </x:c>
      <x:c r="E45" s="106" t="n">
        <x:v>0</x:v>
      </x:c>
      <x:c r="F45" s="106" t="n">
        <x:v>0</x:v>
      </x:c>
      <x:c r="G45" s="106" t="n">
        <x:v>0</x:v>
      </x:c>
      <x:c r="H45" s="106" t="n">
        <x:v>0</x:v>
      </x:c>
      <x:c r="I45" s="106" t="n">
        <x:v>0</x:v>
      </x:c>
      <x:c r="J45" s="106" t="n">
        <x:v>0</x:v>
      </x:c>
      <x:c r="K45" s="106" t="n">
        <x:v>0</x:v>
      </x:c>
      <x:c r="L45" s="106" t="n">
        <x:v>0</x:v>
      </x:c>
      <x:c r="M45" s="106" t="n">
        <x:v>0</x:v>
      </x:c>
      <x:c r="N45" s="106" t="n">
        <x:v>0</x:v>
      </x:c>
      <x:c r="O45" s="106" t="n">
        <x:v>0</x:v>
      </x:c>
      <x:c r="P45" s="106" t="n">
        <x:v>0</x:v>
      </x:c>
      <x:c r="Q45" s="106" t="n">
        <x:v>0</x:v>
      </x:c>
      <x:c r="R45" s="106" t="n">
        <x:v>0</x:v>
      </x:c>
      <x:c r="S45" s="106" t="n">
        <x:v>0</x:v>
      </x:c>
      <x:c r="T45" s="106" t="n">
        <x:v>0</x:v>
      </x:c>
      <x:c r="U45" s="106" t="n">
        <x:v>0</x:v>
      </x:c>
      <x:c r="V45" s="106" t="n">
        <x:v>0</x:v>
      </x:c>
      <x:c r="W45" s="106" t="n">
        <x:v>0</x:v>
      </x:c>
      <x:c r="X45" s="106" t="n">
        <x:v>0</x:v>
      </x:c>
      <x:c r="Y45" s="106" t="n">
        <x:v>0</x:v>
      </x:c>
      <x:c r="Z45" s="106" t="n">
        <x:v>0</x:v>
      </x:c>
      <x:c r="AA45" s="106" t="n">
        <x:v>0</x:v>
      </x:c>
      <x:c r="AB45" s="106" t="n">
        <x:v>0</x:v>
      </x:c>
      <x:c r="AC45" s="106" t="n">
        <x:v>0</x:v>
      </x:c>
      <x:c r="AD45" s="106" t="n">
        <x:v>0</x:v>
      </x:c>
      <x:c r="AE45" s="106" t="n">
        <x:v>0</x:v>
      </x:c>
      <x:c r="AF45" s="65" t="str">
        <x:v>按最小商品包向下取整</x:v>
      </x:c>
    </x:row>
    <x:row r="46" ht="40" customHeight="1">
      <x:c r="A46" s="62" t="str">
        <x:v>军报每次击杀金币估计</x:v>
      </x:c>
      <x:c r="B46" s="106" t="n">
        <x:v>600</x:v>
      </x:c>
      <x:c r="C46" s="106" t="n">
        <x:v>600</x:v>
      </x:c>
      <x:c r="D46" s="106" t="n">
        <x:v>600</x:v>
      </x:c>
      <x:c r="E46" s="106" t="n">
        <x:v>600</x:v>
      </x:c>
      <x:c r="F46" s="106" t="n">
        <x:v>600</x:v>
      </x:c>
      <x:c r="G46" s="106" t="n">
        <x:v>600</x:v>
      </x:c>
      <x:c r="H46" s="106" t="n">
        <x:v>600</x:v>
      </x:c>
      <x:c r="I46" s="106" t="n">
        <x:v>600</x:v>
      </x:c>
      <x:c r="J46" s="106" t="n">
        <x:v>600</x:v>
      </x:c>
      <x:c r="K46" s="106" t="n">
        <x:v>600</x:v>
      </x:c>
      <x:c r="L46" s="106" t="n">
        <x:v>600</x:v>
      </x:c>
      <x:c r="M46" s="106" t="n">
        <x:v>600</x:v>
      </x:c>
      <x:c r="N46" s="106" t="n">
        <x:v>600</x:v>
      </x:c>
      <x:c r="O46" s="106" t="n">
        <x:v>600</x:v>
      </x:c>
      <x:c r="P46" s="106" t="n">
        <x:v>600</x:v>
      </x:c>
      <x:c r="Q46" s="106" t="n">
        <x:v>600</x:v>
      </x:c>
      <x:c r="R46" s="106" t="n">
        <x:v>600</x:v>
      </x:c>
      <x:c r="S46" s="106" t="n">
        <x:v>600</x:v>
      </x:c>
      <x:c r="T46" s="106" t="n">
        <x:v>600</x:v>
      </x:c>
      <x:c r="U46" s="106" t="n">
        <x:v>600</x:v>
      </x:c>
      <x:c r="V46" s="106" t="n">
        <x:v>600</x:v>
      </x:c>
      <x:c r="W46" s="106" t="n">
        <x:v>600</x:v>
      </x:c>
      <x:c r="X46" s="106" t="n">
        <x:v>600</x:v>
      </x:c>
      <x:c r="Y46" s="106" t="n">
        <x:v>600</x:v>
      </x:c>
      <x:c r="Z46" s="106" t="n">
        <x:v>600</x:v>
      </x:c>
      <x:c r="AA46" s="106" t="n">
        <x:v>600</x:v>
      </x:c>
      <x:c r="AB46" s="106" t="n">
        <x:v>600</x:v>
      </x:c>
      <x:c r="AC46" s="106" t="n">
        <x:v>600</x:v>
      </x:c>
      <x:c r="AD46" s="106" t="n">
        <x:v>600</x:v>
      </x:c>
      <x:c r="AE46" s="106" t="n">
        <x:v>600</x:v>
      </x:c>
      <x:c r="AF46" s="65" t="str">
        <x:v>额外人工假设，未按军报每波重算；失败/胜利的加权平均</x:v>
      </x:c>
    </x:row>
    <x:row r="47" ht="40" customHeight="1">
      <x:c r="A47" s="62" t="str">
        <x:v>军报每次铜钱金币估计</x:v>
      </x:c>
      <x:c r="B47" s="106" t="n">
        <x:v>0</x:v>
      </x:c>
      <x:c r="C47" s="106" t="n">
        <x:v>0</x:v>
      </x:c>
      <x:c r="D47" s="106" t="n">
        <x:v>0</x:v>
      </x:c>
      <x:c r="E47" s="106" t="n">
        <x:v>0</x:v>
      </x:c>
      <x:c r="F47" s="106" t="n">
        <x:v>0</x:v>
      </x:c>
      <x:c r="G47" s="106" t="n">
        <x:v>0</x:v>
      </x:c>
      <x:c r="H47" s="106" t="n">
        <x:v>0</x:v>
      </x:c>
      <x:c r="I47" s="106" t="n">
        <x:v>0</x:v>
      </x:c>
      <x:c r="J47" s="106" t="n">
        <x:v>0</x:v>
      </x:c>
      <x:c r="K47" s="106" t="n">
        <x:v>0</x:v>
      </x:c>
      <x:c r="L47" s="106" t="n">
        <x:v>0</x:v>
      </x:c>
      <x:c r="M47" s="106" t="n">
        <x:v>0</x:v>
      </x:c>
      <x:c r="N47" s="106" t="n">
        <x:v>0</x:v>
      </x:c>
      <x:c r="O47" s="106" t="n">
        <x:v>0</x:v>
      </x:c>
      <x:c r="P47" s="106" t="n">
        <x:v>0</x:v>
      </x:c>
      <x:c r="Q47" s="106" t="n">
        <x:v>0</x:v>
      </x:c>
      <x:c r="R47" s="106" t="n">
        <x:v>0</x:v>
      </x:c>
      <x:c r="S47" s="106" t="n">
        <x:v>0</x:v>
      </x:c>
      <x:c r="T47" s="106" t="n">
        <x:v>0</x:v>
      </x:c>
      <x:c r="U47" s="106" t="n">
        <x:v>0</x:v>
      </x:c>
      <x:c r="V47" s="106" t="n">
        <x:v>0</x:v>
      </x:c>
      <x:c r="W47" s="106" t="n">
        <x:v>0</x:v>
      </x:c>
      <x:c r="X47" s="106" t="n">
        <x:v>0</x:v>
      </x:c>
      <x:c r="Y47" s="106" t="n">
        <x:v>0</x:v>
      </x:c>
      <x:c r="Z47" s="106" t="n">
        <x:v>0</x:v>
      </x:c>
      <x:c r="AA47" s="106" t="n">
        <x:v>0</x:v>
      </x:c>
      <x:c r="AB47" s="106" t="n">
        <x:v>0</x:v>
      </x:c>
      <x:c r="AC47" s="106" t="n">
        <x:v>0</x:v>
      </x:c>
      <x:c r="AD47" s="106" t="n">
        <x:v>0</x:v>
      </x:c>
      <x:c r="AE47" s="106" t="n">
        <x:v>0</x:v>
      </x:c>
      <x:c r="AF47" s="65" t="str">
        <x:v>未观测默认0，可填实测均值</x:v>
      </x:c>
    </x:row>
    <x:row r="48" ht="23" customHeight="1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  <x:c r="AA48" s="62"/>
      <x:c r="AB48" s="62"/>
      <x:c r="AC48" s="62"/>
      <x:c r="AD48" s="62"/>
      <x:c r="AE48" s="62"/>
      <x:c r="AF48" s="62"/>
    </x:row>
    <x:row r="49" ht="23" customHeight="1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  <x:c r="AA49" s="62"/>
      <x:c r="AB49" s="62"/>
      <x:c r="AC49" s="62"/>
      <x:c r="AD49" s="62"/>
      <x:c r="AE49" s="62"/>
      <x:c r="AF49" s="62"/>
    </x:row>
  </x:sheetData>
  <x:mergeCells>
    <x:mergeCell ref="A1:J2"/>
    <x:mergeCell ref="A3:J3"/>
    <x:mergeCell ref="B4:D4"/>
  </x:mergeCells>
  <x:dataValidations count="20">
    <x:dataValidation type="decimal" operator="between" sqref="B7:AE47">
      <x:formula1>0</x:formula1>
      <x:formula2>1000000</x:formula2>
    </x:dataValidation>
    <x:dataValidation type="decimal" operator="between" sqref="B9:AE9">
      <x:formula1>0</x:formula1>
      <x:formula2>1</x:formula2>
    </x:dataValidation>
    <x:dataValidation type="decimal" operator="between" sqref="B10:AE10">
      <x:formula1>0</x:formula1>
      <x:formula2>1</x:formula2>
    </x:dataValidation>
    <x:dataValidation type="decimal" operator="between" sqref="B11:AE11">
      <x:formula1>0</x:formula1>
      <x:formula2>1</x:formula2>
    </x:dataValidation>
    <x:dataValidation type="decimal" operator="between" sqref="B12:AE12">
      <x:formula1>0</x:formula1>
      <x:formula2>1</x:formula2>
    </x:dataValidation>
    <x:dataValidation type="decimal" operator="between" sqref="B13:AE13">
      <x:formula1>0</x:formula1>
      <x:formula2>1</x:formula2>
    </x:dataValidation>
    <x:dataValidation type="decimal" operator="between" sqref="B14:AE14">
      <x:formula1>0</x:formula1>
      <x:formula2>1</x:formula2>
    </x:dataValidation>
    <x:dataValidation type="decimal" operator="between" sqref="B16:AE16">
      <x:formula1>0</x:formula1>
      <x:formula2>1</x:formula2>
    </x:dataValidation>
    <x:dataValidation type="decimal" operator="between" sqref="B24:AE24">
      <x:formula1>0</x:formula1>
      <x:formula2>1</x:formula2>
    </x:dataValidation>
    <x:dataValidation type="decimal" operator="between" sqref="B25:AE25">
      <x:formula1>0</x:formula1>
      <x:formula2>1</x:formula2>
    </x:dataValidation>
    <x:dataValidation type="decimal" operator="between" sqref="B26:AE26">
      <x:formula1>0</x:formula1>
      <x:formula2>1</x:formula2>
    </x:dataValidation>
    <x:dataValidation type="decimal" operator="between" sqref="B31:AE31">
      <x:formula1>0</x:formula1>
      <x:formula2>1</x:formula2>
    </x:dataValidation>
    <x:dataValidation type="whole" operator="between" sqref="B20:AE20">
      <x:formula1>0</x:formula1>
      <x:formula2>1</x:formula2>
    </x:dataValidation>
    <x:dataValidation type="whole" operator="between" sqref="B21:AE21">
      <x:formula1>0</x:formula1>
      <x:formula2>1</x:formula2>
    </x:dataValidation>
    <x:dataValidation type="whole" operator="between" sqref="B22:AE22">
      <x:formula1>0</x:formula1>
      <x:formula2>5</x:formula2>
    </x:dataValidation>
    <x:dataValidation type="whole" operator="between" sqref="B32">
      <x:formula1>1</x:formula1>
      <x:formula2>18</x:formula2>
    </x:dataValidation>
    <x:dataValidation type="whole" operator="between" sqref="B33:AE33">
      <x:formula1>0</x:formula1>
      <x:formula2>300</x:formula2>
    </x:dataValidation>
    <x:dataValidation type="whole" operator="between" sqref="B34:AE34">
      <x:formula1>0</x:formula1>
      <x:formula2>30</x:formula2>
    </x:dataValidation>
    <x:dataValidation type="whole" operator="between" sqref="B36:AE36">
      <x:formula1>1</x:formula1>
      <x:formula2>6</x:formula2>
    </x:dataValidation>
    <x:dataValidation type="whole" operator="between" sqref="B38:AE38">
      <x:formula1>1</x:formula1>
      <x:formula2>6</x:formula2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176E73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72" hidden="0" customWidth="1"/>
  </x:cols>
  <x:sheetData>
    <x:row r="1" ht="23" customHeight="1">
      <x:c r="A1" s="59" t="str">
        <x:v>14｜30天产销与库存需求预测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  <x:c r="AA1" s="62"/>
      <x:c r="AB1" s="62"/>
      <x:c r="AC1" s="62"/>
      <x:c r="AD1" s="62"/>
      <x:c r="AE1" s="62"/>
      <x:c r="AF1" s="62"/>
    </x:row>
    <x:row r="2" ht="23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  <x:c r="AA2" s="62"/>
      <x:c r="AB2" s="62"/>
      <x:c r="AC2" s="62"/>
      <x:c r="AD2" s="62"/>
      <x:c r="AE2" s="62"/>
      <x:c r="AF2" s="62"/>
    </x:row>
    <x:row r="3" ht="44" customHeight="1">
      <x:c r="A3" s="61" t="str">
        <x:v>从每日计划联动：先限制时间和体力，再算收入、养成需求、库存。负数表示计划缺口，不是实际允许透支；不模拟同日现金顺序、装备部位与品质可用性。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  <x:c r="AA3" s="62"/>
      <x:c r="AB3" s="62"/>
      <x:c r="AC3" s="62"/>
      <x:c r="AD3" s="62"/>
      <x:c r="AE3" s="62"/>
      <x:c r="AF3" s="62"/>
    </x:row>
    <x:row r="4" ht="23" customHeight="1">
      <x:c r="A4" s="62" t="str">
        <x:v>采用方案</x:v>
      </x:c>
      <x:c r="B4" s="62" t="str">
        <x:f>IF('使用说明'!$B$4=0,"工程当前","调优试算")</x:f>
        <x:v>工程当前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  <x:c r="AA4" s="62"/>
      <x:c r="AB4" s="62"/>
      <x:c r="AC4" s="62"/>
      <x:c r="AD4" s="62"/>
      <x:c r="AE4" s="62"/>
      <x:c r="AF4" s="62"/>
    </x:row>
    <x:row r="5" ht="23" customHeight="1">
      <x:c r="A5" s="62"/>
      <x:c r="B5" s="62"/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  <x:c r="AA5" s="62"/>
      <x:c r="AB5" s="62"/>
      <x:c r="AC5" s="62"/>
      <x:c r="AD5" s="62"/>
      <x:c r="AE5" s="62"/>
      <x:c r="AF5" s="62"/>
    </x:row>
    <x:row r="6" ht="36" customHeight="1">
      <x:c r="A6" s="64" t="str">
        <x:v>项目</x:v>
      </x:c>
      <x:c r="B6" s="64" t="str">
        <x:v>第1天</x:v>
      </x:c>
      <x:c r="C6" s="64" t="str">
        <x:v>第2天</x:v>
      </x:c>
      <x:c r="D6" s="64" t="str">
        <x:v>第3天</x:v>
      </x:c>
      <x:c r="E6" s="64" t="str">
        <x:v>第4天</x:v>
      </x:c>
      <x:c r="F6" s="64" t="str">
        <x:v>第5天</x:v>
      </x:c>
      <x:c r="G6" s="64" t="str">
        <x:v>第6天</x:v>
      </x:c>
      <x:c r="H6" s="64" t="str">
        <x:v>第7天</x:v>
      </x:c>
      <x:c r="I6" s="64" t="str">
        <x:v>第8天</x:v>
      </x:c>
      <x:c r="J6" s="64" t="str">
        <x:v>第9天</x:v>
      </x:c>
      <x:c r="K6" s="64" t="str">
        <x:v>第10天</x:v>
      </x:c>
      <x:c r="L6" s="64" t="str">
        <x:v>第11天</x:v>
      </x:c>
      <x:c r="M6" s="64" t="str">
        <x:v>第12天</x:v>
      </x:c>
      <x:c r="N6" s="64" t="str">
        <x:v>第13天</x:v>
      </x:c>
      <x:c r="O6" s="64" t="str">
        <x:v>第14天</x:v>
      </x:c>
      <x:c r="P6" s="64" t="str">
        <x:v>第15天</x:v>
      </x:c>
      <x:c r="Q6" s="64" t="str">
        <x:v>第16天</x:v>
      </x:c>
      <x:c r="R6" s="64" t="str">
        <x:v>第17天</x:v>
      </x:c>
      <x:c r="S6" s="64" t="str">
        <x:v>第18天</x:v>
      </x:c>
      <x:c r="T6" s="64" t="str">
        <x:v>第19天</x:v>
      </x:c>
      <x:c r="U6" s="64" t="str">
        <x:v>第20天</x:v>
      </x:c>
      <x:c r="V6" s="64" t="str">
        <x:v>第21天</x:v>
      </x:c>
      <x:c r="W6" s="64" t="str">
        <x:v>第22天</x:v>
      </x:c>
      <x:c r="X6" s="64" t="str">
        <x:v>第23天</x:v>
      </x:c>
      <x:c r="Y6" s="64" t="str">
        <x:v>第24天</x:v>
      </x:c>
      <x:c r="Z6" s="64" t="str">
        <x:v>第25天</x:v>
      </x:c>
      <x:c r="AA6" s="64" t="str">
        <x:v>第26天</x:v>
      </x:c>
      <x:c r="AB6" s="64" t="str">
        <x:v>第27天</x:v>
      </x:c>
      <x:c r="AC6" s="64" t="str">
        <x:v>第28天</x:v>
      </x:c>
      <x:c r="AD6" s="64" t="str">
        <x:v>第29天</x:v>
      </x:c>
      <x:c r="AE6" s="64" t="str">
        <x:v>第30天</x:v>
      </x:c>
      <x:c r="AF6" s="64" t="str">
        <x:v>口径</x:v>
      </x:c>
    </x:row>
    <x:row r="7" ht="28" customHeight="1">
      <x:c r="A7" s="62" t="str">
        <x:v>代表关卡</x:v>
      </x:c>
      <x:c r="B7" s="62" t="n">
        <x:f>1</x:f>
        <x:v>1</x:v>
      </x:c>
      <x:c r="C7" s="62" t="n">
        <x:f>MIN(900,MAX(1,ROUNDDOWN(B25,0)))</x:f>
        <x:v>10</x:v>
      </x:c>
      <x:c r="D7" s="62" t="n">
        <x:f>MIN(900,MAX(1,ROUNDDOWN(C25,0)))</x:f>
        <x:v>20</x:v>
      </x:c>
      <x:c r="E7" s="62" t="n">
        <x:f>MIN(900,MAX(1,ROUNDDOWN(D25,0)))</x:f>
        <x:v>31</x:v>
      </x:c>
      <x:c r="F7" s="62" t="n">
        <x:f>MIN(900,MAX(1,ROUNDDOWN(E25,0)))</x:f>
        <x:v>41</x:v>
      </x:c>
      <x:c r="G7" s="62" t="n">
        <x:f>MIN(900,MAX(1,ROUNDDOWN(F25,0)))</x:f>
        <x:v>51</x:v>
      </x:c>
      <x:c r="H7" s="62" t="n">
        <x:f>MIN(900,MAX(1,ROUNDDOWN(G25,0)))</x:f>
        <x:v>62</x:v>
      </x:c>
      <x:c r="I7" s="62" t="n">
        <x:f>MIN(900,MAX(1,ROUNDDOWN(H25,0)))</x:f>
        <x:v>72</x:v>
      </x:c>
      <x:c r="J7" s="62" t="n">
        <x:f>MIN(900,MAX(1,ROUNDDOWN(I25,0)))</x:f>
        <x:v>83</x:v>
      </x:c>
      <x:c r="K7" s="62" t="n">
        <x:f>MIN(900,MAX(1,ROUNDDOWN(J25,0)))</x:f>
        <x:v>93</x:v>
      </x:c>
      <x:c r="L7" s="62" t="n">
        <x:f>MIN(900,MAX(1,ROUNDDOWN(K25,0)))</x:f>
        <x:v>103</x:v>
      </x:c>
      <x:c r="M7" s="62" t="n">
        <x:f>MIN(900,MAX(1,ROUNDDOWN(L25,0)))</x:f>
        <x:v>112</x:v>
      </x:c>
      <x:c r="N7" s="62" t="n">
        <x:f>MIN(900,MAX(1,ROUNDDOWN(M25,0)))</x:f>
        <x:v>122</x:v>
      </x:c>
      <x:c r="O7" s="62" t="n">
        <x:f>MIN(900,MAX(1,ROUNDDOWN(N25,0)))</x:f>
        <x:v>131</x:v>
      </x:c>
      <x:c r="P7" s="62" t="n">
        <x:f>MIN(900,MAX(1,ROUNDDOWN(O25,0)))</x:f>
        <x:v>139</x:v>
      </x:c>
      <x:c r="Q7" s="62" t="n">
        <x:f>MIN(900,MAX(1,ROUNDDOWN(P25,0)))</x:f>
        <x:v>147</x:v>
      </x:c>
      <x:c r="R7" s="62" t="n">
        <x:f>MIN(900,MAX(1,ROUNDDOWN(Q25,0)))</x:f>
        <x:v>155</x:v>
      </x:c>
      <x:c r="S7" s="62" t="n">
        <x:f>MIN(900,MAX(1,ROUNDDOWN(R25,0)))</x:f>
        <x:v>163</x:v>
      </x:c>
      <x:c r="T7" s="62" t="n">
        <x:f>MIN(900,MAX(1,ROUNDDOWN(S25,0)))</x:f>
        <x:v>170</x:v>
      </x:c>
      <x:c r="U7" s="62" t="n">
        <x:f>MIN(900,MAX(1,ROUNDDOWN(T25,0)))</x:f>
        <x:v>177</x:v>
      </x:c>
      <x:c r="V7" s="62" t="n">
        <x:f>MIN(900,MAX(1,ROUNDDOWN(U25,0)))</x:f>
        <x:v>184</x:v>
      </x:c>
      <x:c r="W7" s="62" t="n">
        <x:f>MIN(900,MAX(1,ROUNDDOWN(V25,0)))</x:f>
        <x:v>191</x:v>
      </x:c>
      <x:c r="X7" s="62" t="n">
        <x:f>MIN(900,MAX(1,ROUNDDOWN(W25,0)))</x:f>
        <x:v>198</x:v>
      </x:c>
      <x:c r="Y7" s="62" t="n">
        <x:f>MIN(900,MAX(1,ROUNDDOWN(X25,0)))</x:f>
        <x:v>204</x:v>
      </x:c>
      <x:c r="Z7" s="62" t="n">
        <x:f>MIN(900,MAX(1,ROUNDDOWN(Y25,0)))</x:f>
        <x:v>210</x:v>
      </x:c>
      <x:c r="AA7" s="62" t="n">
        <x:f>MIN(900,MAX(1,ROUNDDOWN(Z25,0)))</x:f>
        <x:v>216</x:v>
      </x:c>
      <x:c r="AB7" s="62" t="n">
        <x:f>MIN(900,MAX(1,ROUNDDOWN(AA25,0)))</x:f>
        <x:v>222</x:v>
      </x:c>
      <x:c r="AC7" s="62" t="n">
        <x:f>MIN(900,MAX(1,ROUNDDOWN(AB25,0)))</x:f>
        <x:v>228</x:v>
      </x:c>
      <x:c r="AD7" s="62" t="n">
        <x:f>MIN(900,MAX(1,ROUNDDOWN(AC25,0)))</x:f>
        <x:v>233</x:v>
      </x:c>
      <x:c r="AE7" s="62" t="n">
        <x:f>MIN(900,MAX(1,ROUNDDOWN(AD25,0)))</x:f>
        <x:v>239</x:v>
      </x:c>
      <x:c r="AF7" s="65"/>
    </x:row>
    <x:row r="8" ht="28" customHeight="1">
      <x:c r="A8" s="62" t="str">
        <x:v>主线波数</x:v>
      </x:c>
      <x:c r="B8" s="62" t="n">
        <x:f>VLOOKUP(B7,'关卡总表'!$A$7:$AY$906,4,FALSE)</x:f>
        <x:v>3</x:v>
      </x:c>
      <x:c r="C8" s="62" t="n">
        <x:f>VLOOKUP(C7,'关卡总表'!$A$7:$AY$906,4,FALSE)</x:f>
        <x:v>7</x:v>
      </x:c>
      <x:c r="D8" s="62" t="n">
        <x:f>VLOOKUP(D7,'关卡总表'!$A$7:$AY$906,4,FALSE)</x:f>
        <x:v>7</x:v>
      </x:c>
      <x:c r="E8" s="62" t="n">
        <x:f>VLOOKUP(E7,'关卡总表'!$A$7:$AY$906,4,FALSE)</x:f>
        <x:v>7</x:v>
      </x:c>
      <x:c r="F8" s="62" t="n">
        <x:f>VLOOKUP(F7,'关卡总表'!$A$7:$AY$906,4,FALSE)</x:f>
        <x:v>7</x:v>
      </x:c>
      <x:c r="G8" s="62" t="n">
        <x:f>VLOOKUP(G7,'关卡总表'!$A$7:$AY$906,4,FALSE)</x:f>
        <x:v>7</x:v>
      </x:c>
      <x:c r="H8" s="62" t="n">
        <x:f>VLOOKUP(H7,'关卡总表'!$A$7:$AY$906,4,FALSE)</x:f>
        <x:v>7</x:v>
      </x:c>
      <x:c r="I8" s="62" t="n">
        <x:f>VLOOKUP(I7,'关卡总表'!$A$7:$AY$906,4,FALSE)</x:f>
        <x:v>7</x:v>
      </x:c>
      <x:c r="J8" s="62" t="n">
        <x:f>VLOOKUP(J7,'关卡总表'!$A$7:$AY$906,4,FALSE)</x:f>
        <x:v>7</x:v>
      </x:c>
      <x:c r="K8" s="62" t="n">
        <x:f>VLOOKUP(K7,'关卡总表'!$A$7:$AY$906,4,FALSE)</x:f>
        <x:v>7</x:v>
      </x:c>
      <x:c r="L8" s="62" t="n">
        <x:f>VLOOKUP(L7,'关卡总表'!$A$7:$AY$906,4,FALSE)</x:f>
        <x:v>7</x:v>
      </x:c>
      <x:c r="M8" s="62" t="n">
        <x:f>VLOOKUP(M7,'关卡总表'!$A$7:$AY$906,4,FALSE)</x:f>
        <x:v>7</x:v>
      </x:c>
      <x:c r="N8" s="62" t="n">
        <x:f>VLOOKUP(N7,'关卡总表'!$A$7:$AY$906,4,FALSE)</x:f>
        <x:v>7</x:v>
      </x:c>
      <x:c r="O8" s="62" t="n">
        <x:f>VLOOKUP(O7,'关卡总表'!$A$7:$AY$906,4,FALSE)</x:f>
        <x:v>7</x:v>
      </x:c>
      <x:c r="P8" s="62" t="n">
        <x:f>VLOOKUP(P7,'关卡总表'!$A$7:$AY$906,4,FALSE)</x:f>
        <x:v>7</x:v>
      </x:c>
      <x:c r="Q8" s="62" t="n">
        <x:f>VLOOKUP(Q7,'关卡总表'!$A$7:$AY$906,4,FALSE)</x:f>
        <x:v>7</x:v>
      </x:c>
      <x:c r="R8" s="62" t="n">
        <x:f>VLOOKUP(R7,'关卡总表'!$A$7:$AY$906,4,FALSE)</x:f>
        <x:v>7</x:v>
      </x:c>
      <x:c r="S8" s="62" t="n">
        <x:f>VLOOKUP(S7,'关卡总表'!$A$7:$AY$906,4,FALSE)</x:f>
        <x:v>7</x:v>
      </x:c>
      <x:c r="T8" s="62" t="n">
        <x:f>VLOOKUP(T7,'关卡总表'!$A$7:$AY$906,4,FALSE)</x:f>
        <x:v>7</x:v>
      </x:c>
      <x:c r="U8" s="62" t="n">
        <x:f>VLOOKUP(U7,'关卡总表'!$A$7:$AY$906,4,FALSE)</x:f>
        <x:v>7</x:v>
      </x:c>
      <x:c r="V8" s="62" t="n">
        <x:f>VLOOKUP(V7,'关卡总表'!$A$7:$AY$906,4,FALSE)</x:f>
        <x:v>7</x:v>
      </x:c>
      <x:c r="W8" s="62" t="n">
        <x:f>VLOOKUP(W7,'关卡总表'!$A$7:$AY$906,4,FALSE)</x:f>
        <x:v>7</x:v>
      </x:c>
      <x:c r="X8" s="62" t="n">
        <x:f>VLOOKUP(X7,'关卡总表'!$A$7:$AY$906,4,FALSE)</x:f>
        <x:v>7</x:v>
      </x:c>
      <x:c r="Y8" s="62" t="n">
        <x:f>VLOOKUP(Y7,'关卡总表'!$A$7:$AY$906,4,FALSE)</x:f>
        <x:v>7</x:v>
      </x:c>
      <x:c r="Z8" s="62" t="n">
        <x:f>VLOOKUP(Z7,'关卡总表'!$A$7:$AY$906,4,FALSE)</x:f>
        <x:v>7</x:v>
      </x:c>
      <x:c r="AA8" s="62" t="n">
        <x:f>VLOOKUP(AA7,'关卡总表'!$A$7:$AY$906,4,FALSE)</x:f>
        <x:v>7</x:v>
      </x:c>
      <x:c r="AB8" s="62" t="n">
        <x:f>VLOOKUP(AB7,'关卡总表'!$A$7:$AY$906,4,FALSE)</x:f>
        <x:v>7</x:v>
      </x:c>
      <x:c r="AC8" s="62" t="n">
        <x:f>VLOOKUP(AC7,'关卡总表'!$A$7:$AY$906,4,FALSE)</x:f>
        <x:v>7</x:v>
      </x:c>
      <x:c r="AD8" s="62" t="n">
        <x:f>VLOOKUP(AD7,'关卡总表'!$A$7:$AY$906,4,FALSE)</x:f>
        <x:v>7</x:v>
      </x:c>
      <x:c r="AE8" s="62" t="n">
        <x:f>VLOOKUP(AE7,'关卡总表'!$A$7:$AY$906,4,FALSE)</x:f>
        <x:v>7</x:v>
      </x:c>
      <x:c r="AF8" s="65"/>
    </x:row>
    <x:row r="9" ht="28" customHeight="1">
      <x:c r="A9" s="62" t="str">
        <x:v>采用胜率</x:v>
      </x:c>
      <x:c r="B9" s="110" t="n">
        <x:f>'每日计划'!B9</x:f>
        <x:v>0.8</x:v>
      </x:c>
      <x:c r="C9" s="110" t="n">
        <x:f>'每日计划'!C9</x:f>
        <x:v>0.8</x:v>
      </x:c>
      <x:c r="D9" s="110" t="n">
        <x:f>'每日计划'!D9</x:f>
        <x:v>0.8</x:v>
      </x:c>
      <x:c r="E9" s="110" t="n">
        <x:f>'每日计划'!E9</x:f>
        <x:v>0.8</x:v>
      </x:c>
      <x:c r="F9" s="110" t="n">
        <x:f>'每日计划'!F9</x:f>
        <x:v>0.8</x:v>
      </x:c>
      <x:c r="G9" s="110" t="n">
        <x:f>'每日计划'!G9</x:f>
        <x:v>0.8</x:v>
      </x:c>
      <x:c r="H9" s="110" t="n">
        <x:f>'每日计划'!H9</x:f>
        <x:v>0.8</x:v>
      </x:c>
      <x:c r="I9" s="110" t="n">
        <x:f>'每日计划'!I9</x:f>
        <x:v>0.8</x:v>
      </x:c>
      <x:c r="J9" s="110" t="n">
        <x:f>'每日计划'!J9</x:f>
        <x:v>0.8</x:v>
      </x:c>
      <x:c r="K9" s="110" t="n">
        <x:f>'每日计划'!K9</x:f>
        <x:v>0.8</x:v>
      </x:c>
      <x:c r="L9" s="110" t="n">
        <x:f>'每日计划'!L9</x:f>
        <x:v>0.8</x:v>
      </x:c>
      <x:c r="M9" s="110" t="n">
        <x:f>'每日计划'!M9</x:f>
        <x:v>0.8</x:v>
      </x:c>
      <x:c r="N9" s="110" t="n">
        <x:f>'每日计划'!N9</x:f>
        <x:v>0.8</x:v>
      </x:c>
      <x:c r="O9" s="110" t="n">
        <x:f>'每日计划'!O9</x:f>
        <x:v>0.8</x:v>
      </x:c>
      <x:c r="P9" s="110" t="n">
        <x:f>'每日计划'!P9</x:f>
        <x:v>0.8</x:v>
      </x:c>
      <x:c r="Q9" s="110" t="n">
        <x:f>'每日计划'!Q9</x:f>
        <x:v>0.8</x:v>
      </x:c>
      <x:c r="R9" s="110" t="n">
        <x:f>'每日计划'!R9</x:f>
        <x:v>0.8</x:v>
      </x:c>
      <x:c r="S9" s="110" t="n">
        <x:f>'每日计划'!S9</x:f>
        <x:v>0.8</x:v>
      </x:c>
      <x:c r="T9" s="110" t="n">
        <x:f>'每日计划'!T9</x:f>
        <x:v>0.8</x:v>
      </x:c>
      <x:c r="U9" s="110" t="n">
        <x:f>'每日计划'!U9</x:f>
        <x:v>0.8</x:v>
      </x:c>
      <x:c r="V9" s="110" t="n">
        <x:f>'每日计划'!V9</x:f>
        <x:v>0.8</x:v>
      </x:c>
      <x:c r="W9" s="110" t="n">
        <x:f>'每日计划'!W9</x:f>
        <x:v>0.8</x:v>
      </x:c>
      <x:c r="X9" s="110" t="n">
        <x:f>'每日计划'!X9</x:f>
        <x:v>0.8</x:v>
      </x:c>
      <x:c r="Y9" s="110" t="n">
        <x:f>'每日计划'!Y9</x:f>
        <x:v>0.8</x:v>
      </x:c>
      <x:c r="Z9" s="110" t="n">
        <x:f>'每日计划'!Z9</x:f>
        <x:v>0.8</x:v>
      </x:c>
      <x:c r="AA9" s="110" t="n">
        <x:f>'每日计划'!AA9</x:f>
        <x:v>0.8</x:v>
      </x:c>
      <x:c r="AB9" s="110" t="n">
        <x:f>'每日计划'!AB9</x:f>
        <x:v>0.8</x:v>
      </x:c>
      <x:c r="AC9" s="110" t="n">
        <x:f>'每日计划'!AC9</x:f>
        <x:v>0.8</x:v>
      </x:c>
      <x:c r="AD9" s="110" t="n">
        <x:f>'每日计划'!AD9</x:f>
        <x:v>0.8</x:v>
      </x:c>
      <x:c r="AE9" s="110" t="n">
        <x:f>'每日计划'!AE9</x:f>
        <x:v>0.8</x:v>
      </x:c>
      <x:c r="AF9" s="65"/>
    </x:row>
    <x:row r="10" ht="28" customHeight="1">
      <x:c r="A10" s="62" t="str">
        <x:v>无广告每局分钟</x:v>
      </x:c>
      <x:c r="B10" s="62" t="n">
        <x:f>MAX('每日计划'!B8,VLOOKUP(B7,'关卡总表'!$A$7:$AY$906,13,FALSE))</x:f>
        <x:v>3</x:v>
      </x:c>
      <x:c r="C10" s="62" t="n">
        <x:f>MAX('每日计划'!C8,VLOOKUP(C7,'关卡总表'!$A$7:$AY$906,13,FALSE))</x:f>
        <x:v>3</x:v>
      </x:c>
      <x:c r="D10" s="62" t="n">
        <x:f>MAX('每日计划'!D8,VLOOKUP(D7,'关卡总表'!$A$7:$AY$906,13,FALSE))</x:f>
        <x:v>3</x:v>
      </x:c>
      <x:c r="E10" s="62" t="n">
        <x:f>MAX('每日计划'!E8,VLOOKUP(E7,'关卡总表'!$A$7:$AY$906,13,FALSE))</x:f>
        <x:v>3</x:v>
      </x:c>
      <x:c r="F10" s="62" t="n">
        <x:f>MAX('每日计划'!F8,VLOOKUP(F7,'关卡总表'!$A$7:$AY$906,13,FALSE))</x:f>
        <x:v>3</x:v>
      </x:c>
      <x:c r="G10" s="62" t="n">
        <x:f>MAX('每日计划'!G8,VLOOKUP(G7,'关卡总表'!$A$7:$AY$906,13,FALSE))</x:f>
        <x:v>3</x:v>
      </x:c>
      <x:c r="H10" s="62" t="n">
        <x:f>MAX('每日计划'!H8,VLOOKUP(H7,'关卡总表'!$A$7:$AY$906,13,FALSE))</x:f>
        <x:v>3.033333333333333</x:v>
      </x:c>
      <x:c r="I10" s="62" t="n">
        <x:f>MAX('每日计划'!I8,VLOOKUP(I7,'关卡总表'!$A$7:$AY$906,13,FALSE))</x:f>
        <x:v>3.126666666666667</x:v>
      </x:c>
      <x:c r="J10" s="62" t="n">
        <x:f>MAX('每日计划'!J8,VLOOKUP(J7,'关卡总表'!$A$7:$AY$906,13,FALSE))</x:f>
        <x:v>3.2199999999999998</x:v>
      </x:c>
      <x:c r="K10" s="62" t="n">
        <x:f>MAX('每日计划'!K8,VLOOKUP(K7,'关卡总表'!$A$7:$AY$906,13,FALSE))</x:f>
        <x:v>3.3133333333333335</x:v>
      </x:c>
      <x:c r="L10" s="62" t="n">
        <x:f>MAX('每日计划'!L8,VLOOKUP(L7,'关卡总表'!$A$7:$AY$906,13,FALSE))</x:f>
        <x:v>3.38</x:v>
      </x:c>
      <x:c r="M10" s="62" t="n">
        <x:f>MAX('每日计划'!M8,VLOOKUP(M7,'关卡总表'!$A$7:$AY$906,13,FALSE))</x:f>
        <x:v>3.46</x:v>
      </x:c>
      <x:c r="N10" s="62" t="n">
        <x:f>MAX('每日计划'!N8,VLOOKUP(N7,'关卡总表'!$A$7:$AY$906,13,FALSE))</x:f>
        <x:v>3.54</x:v>
      </x:c>
      <x:c r="O10" s="62" t="n">
        <x:f>MAX('每日计划'!O8,VLOOKUP(O7,'关卡总表'!$A$7:$AY$906,13,FALSE))</x:f>
        <x:v>3.5933333333333337</x:v>
      </x:c>
      <x:c r="P10" s="62" t="n">
        <x:f>MAX('每日计划'!P8,VLOOKUP(P7,'关卡总表'!$A$7:$AY$906,13,FALSE))</x:f>
        <x:v>3.6466666666666665</x:v>
      </x:c>
      <x:c r="Q10" s="62" t="n">
        <x:f>MAX('每日计划'!Q8,VLOOKUP(Q7,'关卡总表'!$A$7:$AY$906,13,FALSE))</x:f>
        <x:v>3.6866666666666674</x:v>
      </x:c>
      <x:c r="R10" s="62" t="n">
        <x:f>MAX('每日计划'!R8,VLOOKUP(R7,'关卡总表'!$A$7:$AY$906,13,FALSE))</x:f>
        <x:v>3.74</x:v>
      </x:c>
      <x:c r="S10" s="62" t="n">
        <x:f>MAX('每日计划'!S8,VLOOKUP(S7,'关卡总表'!$A$7:$AY$906,13,FALSE))</x:f>
        <x:v>3.7800000000000002</x:v>
      </x:c>
      <x:c r="T10" s="62" t="n">
        <x:f>MAX('每日计划'!T8,VLOOKUP(T7,'关卡总表'!$A$7:$AY$906,13,FALSE))</x:f>
        <x:v>3.8200000000000003</x:v>
      </x:c>
      <x:c r="U10" s="62" t="n">
        <x:f>MAX('每日计划'!U8,VLOOKUP(U7,'关卡总表'!$A$7:$AY$906,13,FALSE))</x:f>
        <x:v>3.8600000000000003</x:v>
      </x:c>
      <x:c r="V10" s="62" t="n">
        <x:f>MAX('每日计划'!V8,VLOOKUP(V7,'关卡总表'!$A$7:$AY$906,13,FALSE))</x:f>
        <x:v>3.9000000000000004</x:v>
      </x:c>
      <x:c r="W10" s="62" t="n">
        <x:f>MAX('每日计划'!W8,VLOOKUP(W7,'关卡总表'!$A$7:$AY$906,13,FALSE))</x:f>
        <x:v>3.9400000000000004</x:v>
      </x:c>
      <x:c r="X10" s="62" t="n">
        <x:f>MAX('每日计划'!X8,VLOOKUP(X7,'关卡总表'!$A$7:$AY$906,13,FALSE))</x:f>
        <x:v>3.993333333333334</x:v>
      </x:c>
      <x:c r="Y10" s="62" t="n">
        <x:f>MAX('每日计划'!Y8,VLOOKUP(Y7,'关卡总表'!$A$7:$AY$906,13,FALSE))</x:f>
        <x:v>3.993333333333334</x:v>
      </x:c>
      <x:c r="Z10" s="62" t="n">
        <x:f>MAX('每日计划'!Z8,VLOOKUP(Z7,'关卡总表'!$A$7:$AY$906,13,FALSE))</x:f>
        <x:v>4.033333333333333</x:v>
      </x:c>
      <x:c r="AA10" s="62" t="n">
        <x:f>MAX('每日计划'!AA8,VLOOKUP(AA7,'关卡总表'!$A$7:$AY$906,13,FALSE))</x:f>
        <x:v>4.046666666666667</x:v>
      </x:c>
      <x:c r="AB10" s="62" t="n">
        <x:f>MAX('每日计划'!AB8,VLOOKUP(AB7,'关卡总表'!$A$7:$AY$906,13,FALSE))</x:f>
        <x:v>4.086666666666667</x:v>
      </x:c>
      <x:c r="AC10" s="62" t="n">
        <x:f>MAX('每日计划'!AC8,VLOOKUP(AC7,'关卡总表'!$A$7:$AY$906,13,FALSE))</x:f>
        <x:v>4.113333333333333</x:v>
      </x:c>
      <x:c r="AD10" s="62" t="n">
        <x:f>MAX('每日计划'!AD8,VLOOKUP(AD7,'关卡总表'!$A$7:$AY$906,13,FALSE))</x:f>
        <x:v>4.140000000000001</x:v>
      </x:c>
      <x:c r="AE10" s="62" t="n">
        <x:f>MAX('每日计划'!AE8,VLOOKUP(AE7,'关卡总表'!$A$7:$AY$906,13,FALSE))</x:f>
        <x:v>4.153333333333333</x:v>
      </x:c>
      <x:c r="AF10" s="65"/>
    </x:row>
    <x:row r="11" ht="28" customHeight="1">
      <x:c r="A11" s="62" t="str">
        <x:v>军报参与次数</x:v>
      </x:c>
      <x:c r="B11" s="62" t="n">
        <x:f>MIN('每日计划'!B15,ROUNDDOWN(MAX(0,'每日计划'!B7-B12)/MAX(0.01,B114),0))</x:f>
        <x:v>1</x:v>
      </x:c>
      <x:c r="C11" s="62" t="n">
        <x:f>MIN('每日计划'!C15,ROUNDDOWN(MAX(0,'每日计划'!C7-C12)/MAX(0.01,C114),0))</x:f>
        <x:v>1</x:v>
      </x:c>
      <x:c r="D11" s="62" t="n">
        <x:f>MIN('每日计划'!D15,ROUNDDOWN(MAX(0,'每日计划'!D7-D12)/MAX(0.01,D114),0))</x:f>
        <x:v>1</x:v>
      </x:c>
      <x:c r="E11" s="62" t="n">
        <x:f>MIN('每日计划'!E15,ROUNDDOWN(MAX(0,'每日计划'!E7-E12)/MAX(0.01,E114),0))</x:f>
        <x:v>1</x:v>
      </x:c>
      <x:c r="F11" s="62" t="n">
        <x:f>MIN('每日计划'!F15,ROUNDDOWN(MAX(0,'每日计划'!F7-F12)/MAX(0.01,F114),0))</x:f>
        <x:v>1</x:v>
      </x:c>
      <x:c r="G11" s="62" t="n">
        <x:f>MIN('每日计划'!G15,ROUNDDOWN(MAX(0,'每日计划'!G7-G12)/MAX(0.01,G114),0))</x:f>
        <x:v>1</x:v>
      </x:c>
      <x:c r="H11" s="62" t="n">
        <x:f>MIN('每日计划'!H15,ROUNDDOWN(MAX(0,'每日计划'!H7-H12)/MAX(0.01,H114),0))</x:f>
        <x:v>1</x:v>
      </x:c>
      <x:c r="I11" s="62" t="n">
        <x:f>MIN('每日计划'!I15,ROUNDDOWN(MAX(0,'每日计划'!I7-I12)/MAX(0.01,I114),0))</x:f>
        <x:v>1</x:v>
      </x:c>
      <x:c r="J11" s="62" t="n">
        <x:f>MIN('每日计划'!J15,ROUNDDOWN(MAX(0,'每日计划'!J7-J12)/MAX(0.01,J114),0))</x:f>
        <x:v>1</x:v>
      </x:c>
      <x:c r="K11" s="62" t="n">
        <x:f>MIN('每日计划'!K15,ROUNDDOWN(MAX(0,'每日计划'!K7-K12)/MAX(0.01,K114),0))</x:f>
        <x:v>1</x:v>
      </x:c>
      <x:c r="L11" s="62" t="n">
        <x:f>MIN('每日计划'!L15,ROUNDDOWN(MAX(0,'每日计划'!L7-L12)/MAX(0.01,L114),0))</x:f>
        <x:v>1</x:v>
      </x:c>
      <x:c r="M11" s="62" t="n">
        <x:f>MIN('每日计划'!M15,ROUNDDOWN(MAX(0,'每日计划'!M7-M12)/MAX(0.01,M114),0))</x:f>
        <x:v>1</x:v>
      </x:c>
      <x:c r="N11" s="62" t="n">
        <x:f>MIN('每日计划'!N15,ROUNDDOWN(MAX(0,'每日计划'!N7-N12)/MAX(0.01,N114),0))</x:f>
        <x:v>1</x:v>
      </x:c>
      <x:c r="O11" s="62" t="n">
        <x:f>MIN('每日计划'!O15,ROUNDDOWN(MAX(0,'每日计划'!O7-O12)/MAX(0.01,O114),0))</x:f>
        <x:v>1</x:v>
      </x:c>
      <x:c r="P11" s="62" t="n">
        <x:f>MIN('每日计划'!P15,ROUNDDOWN(MAX(0,'每日计划'!P7-P12)/MAX(0.01,P114),0))</x:f>
        <x:v>1</x:v>
      </x:c>
      <x:c r="Q11" s="62" t="n">
        <x:f>MIN('每日计划'!Q15,ROUNDDOWN(MAX(0,'每日计划'!Q7-Q12)/MAX(0.01,Q114),0))</x:f>
        <x:v>1</x:v>
      </x:c>
      <x:c r="R11" s="62" t="n">
        <x:f>MIN('每日计划'!R15,ROUNDDOWN(MAX(0,'每日计划'!R7-R12)/MAX(0.01,R114),0))</x:f>
        <x:v>1</x:v>
      </x:c>
      <x:c r="S11" s="62" t="n">
        <x:f>MIN('每日计划'!S15,ROUNDDOWN(MAX(0,'每日计划'!S7-S12)/MAX(0.01,S114),0))</x:f>
        <x:v>1</x:v>
      </x:c>
      <x:c r="T11" s="62" t="n">
        <x:f>MIN('每日计划'!T15,ROUNDDOWN(MAX(0,'每日计划'!T7-T12)/MAX(0.01,T114),0))</x:f>
        <x:v>1</x:v>
      </x:c>
      <x:c r="U11" s="62" t="n">
        <x:f>MIN('每日计划'!U15,ROUNDDOWN(MAX(0,'每日计划'!U7-U12)/MAX(0.01,U114),0))</x:f>
        <x:v>1</x:v>
      </x:c>
      <x:c r="V11" s="62" t="n">
        <x:f>MIN('每日计划'!V15,ROUNDDOWN(MAX(0,'每日计划'!V7-V12)/MAX(0.01,V114),0))</x:f>
        <x:v>1</x:v>
      </x:c>
      <x:c r="W11" s="62" t="n">
        <x:f>MIN('每日计划'!W15,ROUNDDOWN(MAX(0,'每日计划'!W7-W12)/MAX(0.01,W114),0))</x:f>
        <x:v>1</x:v>
      </x:c>
      <x:c r="X11" s="62" t="n">
        <x:f>MIN('每日计划'!X15,ROUNDDOWN(MAX(0,'每日计划'!X7-X12)/MAX(0.01,X114),0))</x:f>
        <x:v>1</x:v>
      </x:c>
      <x:c r="Y11" s="62" t="n">
        <x:f>MIN('每日计划'!Y15,ROUNDDOWN(MAX(0,'每日计划'!Y7-Y12)/MAX(0.01,Y114),0))</x:f>
        <x:v>1</x:v>
      </x:c>
      <x:c r="Z11" s="62" t="n">
        <x:f>MIN('每日计划'!Z15,ROUNDDOWN(MAX(0,'每日计划'!Z7-Z12)/MAX(0.01,Z114),0))</x:f>
        <x:v>1</x:v>
      </x:c>
      <x:c r="AA11" s="62" t="n">
        <x:f>MIN('每日计划'!AA15,ROUNDDOWN(MAX(0,'每日计划'!AA7-AA12)/MAX(0.01,AA114),0))</x:f>
        <x:v>1</x:v>
      </x:c>
      <x:c r="AB11" s="62" t="n">
        <x:f>MIN('每日计划'!AB15,ROUNDDOWN(MAX(0,'每日计划'!AB7-AB12)/MAX(0.01,AB114),0))</x:f>
        <x:v>1</x:v>
      </x:c>
      <x:c r="AC11" s="62" t="n">
        <x:f>MIN('每日计划'!AC15,ROUNDDOWN(MAX(0,'每日计划'!AC7-AC12)/MAX(0.01,AC114),0))</x:f>
        <x:v>1</x:v>
      </x:c>
      <x:c r="AD11" s="62" t="n">
        <x:f>MIN('每日计划'!AD15,ROUNDDOWN(MAX(0,'每日计划'!AD7-AD12)/MAX(0.01,AD114),0))</x:f>
        <x:v>1</x:v>
      </x:c>
      <x:c r="AE11" s="62" t="n">
        <x:f>MIN('每日计划'!AE15,ROUNDDOWN(MAX(0,'每日计划'!AE7-AE12)/MAX(0.01,AE114),0))</x:f>
        <x:v>1</x:v>
      </x:c>
      <x:c r="AF11" s="65"/>
    </x:row>
    <x:row r="12" ht="28" customHeight="1">
      <x:c r="A12" s="62" t="str">
        <x:v>固定广告分钟</x:v>
      </x:c>
      <x:c r="B12" s="62" t="n">
        <x:f>(MIN('每日计划'!B22,'经济参数'!$E$37)+MIN('每日计划'!B21,'经济参数'!$E$15))*'每日计划'!B18/60</x:f>
        <x:v>2</x:v>
      </x:c>
      <x:c r="C12" s="62" t="n">
        <x:f>(MIN('每日计划'!C22,'经济参数'!$E$37)+MIN('每日计划'!C21,'经济参数'!$E$15))*'每日计划'!C18/60</x:f>
        <x:v>2</x:v>
      </x:c>
      <x:c r="D12" s="62" t="n">
        <x:f>(MIN('每日计划'!D22,'经济参数'!$E$37)+MIN('每日计划'!D21,'经济参数'!$E$15))*'每日计划'!D18/60</x:f>
        <x:v>2</x:v>
      </x:c>
      <x:c r="E12" s="62" t="n">
        <x:f>(MIN('每日计划'!E22,'经济参数'!$E$37)+MIN('每日计划'!E21,'经济参数'!$E$15))*'每日计划'!E18/60</x:f>
        <x:v>2</x:v>
      </x:c>
      <x:c r="F12" s="62" t="n">
        <x:f>(MIN('每日计划'!F22,'经济参数'!$E$37)+MIN('每日计划'!F21,'经济参数'!$E$15))*'每日计划'!F18/60</x:f>
        <x:v>2</x:v>
      </x:c>
      <x:c r="G12" s="62" t="n">
        <x:f>(MIN('每日计划'!G22,'经济参数'!$E$37)+MIN('每日计划'!G21,'经济参数'!$E$15))*'每日计划'!G18/60</x:f>
        <x:v>2</x:v>
      </x:c>
      <x:c r="H12" s="62" t="n">
        <x:f>(MIN('每日计划'!H22,'经济参数'!$E$37)+MIN('每日计划'!H21,'经济参数'!$E$15))*'每日计划'!H18/60</x:f>
        <x:v>2</x:v>
      </x:c>
      <x:c r="I12" s="62" t="n">
        <x:f>(MIN('每日计划'!I22,'经济参数'!$E$37)+MIN('每日计划'!I21,'经济参数'!$E$15))*'每日计划'!I18/60</x:f>
        <x:v>2</x:v>
      </x:c>
      <x:c r="J12" s="62" t="n">
        <x:f>(MIN('每日计划'!J22,'经济参数'!$E$37)+MIN('每日计划'!J21,'经济参数'!$E$15))*'每日计划'!J18/60</x:f>
        <x:v>2</x:v>
      </x:c>
      <x:c r="K12" s="62" t="n">
        <x:f>(MIN('每日计划'!K22,'经济参数'!$E$37)+MIN('每日计划'!K21,'经济参数'!$E$15))*'每日计划'!K18/60</x:f>
        <x:v>2</x:v>
      </x:c>
      <x:c r="L12" s="62" t="n">
        <x:f>(MIN('每日计划'!L22,'经济参数'!$E$37)+MIN('每日计划'!L21,'经济参数'!$E$15))*'每日计划'!L18/60</x:f>
        <x:v>2</x:v>
      </x:c>
      <x:c r="M12" s="62" t="n">
        <x:f>(MIN('每日计划'!M22,'经济参数'!$E$37)+MIN('每日计划'!M21,'经济参数'!$E$15))*'每日计划'!M18/60</x:f>
        <x:v>2</x:v>
      </x:c>
      <x:c r="N12" s="62" t="n">
        <x:f>(MIN('每日计划'!N22,'经济参数'!$E$37)+MIN('每日计划'!N21,'经济参数'!$E$15))*'每日计划'!N18/60</x:f>
        <x:v>2</x:v>
      </x:c>
      <x:c r="O12" s="62" t="n">
        <x:f>(MIN('每日计划'!O22,'经济参数'!$E$37)+MIN('每日计划'!O21,'经济参数'!$E$15))*'每日计划'!O18/60</x:f>
        <x:v>2</x:v>
      </x:c>
      <x:c r="P12" s="62" t="n">
        <x:f>(MIN('每日计划'!P22,'经济参数'!$E$37)+MIN('每日计划'!P21,'经济参数'!$E$15))*'每日计划'!P18/60</x:f>
        <x:v>2</x:v>
      </x:c>
      <x:c r="Q12" s="62" t="n">
        <x:f>(MIN('每日计划'!Q22,'经济参数'!$E$37)+MIN('每日计划'!Q21,'经济参数'!$E$15))*'每日计划'!Q18/60</x:f>
        <x:v>2</x:v>
      </x:c>
      <x:c r="R12" s="62" t="n">
        <x:f>(MIN('每日计划'!R22,'经济参数'!$E$37)+MIN('每日计划'!R21,'经济参数'!$E$15))*'每日计划'!R18/60</x:f>
        <x:v>2</x:v>
      </x:c>
      <x:c r="S12" s="62" t="n">
        <x:f>(MIN('每日计划'!S22,'经济参数'!$E$37)+MIN('每日计划'!S21,'经济参数'!$E$15))*'每日计划'!S18/60</x:f>
        <x:v>2</x:v>
      </x:c>
      <x:c r="T12" s="62" t="n">
        <x:f>(MIN('每日计划'!T22,'经济参数'!$E$37)+MIN('每日计划'!T21,'经济参数'!$E$15))*'每日计划'!T18/60</x:f>
        <x:v>2</x:v>
      </x:c>
      <x:c r="U12" s="62" t="n">
        <x:f>(MIN('每日计划'!U22,'经济参数'!$E$37)+MIN('每日计划'!U21,'经济参数'!$E$15))*'每日计划'!U18/60</x:f>
        <x:v>2</x:v>
      </x:c>
      <x:c r="V12" s="62" t="n">
        <x:f>(MIN('每日计划'!V22,'经济参数'!$E$37)+MIN('每日计划'!V21,'经济参数'!$E$15))*'每日计划'!V18/60</x:f>
        <x:v>2</x:v>
      </x:c>
      <x:c r="W12" s="62" t="n">
        <x:f>(MIN('每日计划'!W22,'经济参数'!$E$37)+MIN('每日计划'!W21,'经济参数'!$E$15))*'每日计划'!W18/60</x:f>
        <x:v>2</x:v>
      </x:c>
      <x:c r="X12" s="62" t="n">
        <x:f>(MIN('每日计划'!X22,'经济参数'!$E$37)+MIN('每日计划'!X21,'经济参数'!$E$15))*'每日计划'!X18/60</x:f>
        <x:v>2</x:v>
      </x:c>
      <x:c r="Y12" s="62" t="n">
        <x:f>(MIN('每日计划'!Y22,'经济参数'!$E$37)+MIN('每日计划'!Y21,'经济参数'!$E$15))*'每日计划'!Y18/60</x:f>
        <x:v>2</x:v>
      </x:c>
      <x:c r="Z12" s="62" t="n">
        <x:f>(MIN('每日计划'!Z22,'经济参数'!$E$37)+MIN('每日计划'!Z21,'经济参数'!$E$15))*'每日计划'!Z18/60</x:f>
        <x:v>2</x:v>
      </x:c>
      <x:c r="AA12" s="62" t="n">
        <x:f>(MIN('每日计划'!AA22,'经济参数'!$E$37)+MIN('每日计划'!AA21,'经济参数'!$E$15))*'每日计划'!AA18/60</x:f>
        <x:v>2</x:v>
      </x:c>
      <x:c r="AB12" s="62" t="n">
        <x:f>(MIN('每日计划'!AB22,'经济参数'!$E$37)+MIN('每日计划'!AB21,'经济参数'!$E$15))*'每日计划'!AB18/60</x:f>
        <x:v>2</x:v>
      </x:c>
      <x:c r="AC12" s="62" t="n">
        <x:f>(MIN('每日计划'!AC22,'经济参数'!$E$37)+MIN('每日计划'!AC21,'经济参数'!$E$15))*'每日计划'!AC18/60</x:f>
        <x:v>2</x:v>
      </x:c>
      <x:c r="AD12" s="62" t="n">
        <x:f>(MIN('每日计划'!AD22,'经济参数'!$E$37)+MIN('每日计划'!AD21,'经济参数'!$E$15))*'每日计划'!AD18/60</x:f>
        <x:v>2</x:v>
      </x:c>
      <x:c r="AE12" s="62" t="n">
        <x:f>(MIN('每日计划'!AE22,'经济参数'!$E$37)+MIN('每日计划'!AE21,'经济参数'!$E$15))*'每日计划'!AE18/60</x:f>
        <x:v>2</x:v>
      </x:c>
      <x:c r="AF12" s="65"/>
    </x:row>
    <x:row r="13" ht="28" customHeight="1">
      <x:c r="A13" s="62" t="str">
        <x:v>含广告主线每局分钟</x:v>
      </x:c>
      <x:c r="B13" s="62" t="n">
        <x:f>B10+('每日计划'!B14+'每日计划'!B19)*'每日计划'!B18/60</x:f>
        <x:v>3.225</x:v>
      </x:c>
      <x:c r="C13" s="62" t="n">
        <x:f>C10+('每日计划'!C14+'每日计划'!C19)*'每日计划'!C18/60</x:f>
        <x:v>3.225</x:v>
      </x:c>
      <x:c r="D13" s="62" t="n">
        <x:f>D10+('每日计划'!D14+'每日计划'!D19)*'每日计划'!D18/60</x:f>
        <x:v>3.225</x:v>
      </x:c>
      <x:c r="E13" s="62" t="n">
        <x:f>E10+('每日计划'!E14+'每日计划'!E19)*'每日计划'!E18/60</x:f>
        <x:v>3.225</x:v>
      </x:c>
      <x:c r="F13" s="62" t="n">
        <x:f>F10+('每日计划'!F14+'每日计划'!F19)*'每日计划'!F18/60</x:f>
        <x:v>3.225</x:v>
      </x:c>
      <x:c r="G13" s="62" t="n">
        <x:f>G10+('每日计划'!G14+'每日计划'!G19)*'每日计划'!G18/60</x:f>
        <x:v>3.225</x:v>
      </x:c>
      <x:c r="H13" s="62" t="n">
        <x:f>H10+('每日计划'!H14+'每日计划'!H19)*'每日计划'!H18/60</x:f>
        <x:v>3.2583333333333333</x:v>
      </x:c>
      <x:c r="I13" s="62" t="n">
        <x:f>I10+('每日计划'!I14+'每日计划'!I19)*'每日计划'!I18/60</x:f>
        <x:v>3.351666666666667</x:v>
      </x:c>
      <x:c r="J13" s="62" t="n">
        <x:f>J10+('每日计划'!J14+'每日计划'!J19)*'每日计划'!J18/60</x:f>
        <x:v>3.445</x:v>
      </x:c>
      <x:c r="K13" s="62" t="n">
        <x:f>K10+('每日计划'!K14+'每日计划'!K19)*'每日计划'!K18/60</x:f>
        <x:v>3.5383333333333336</x:v>
      </x:c>
      <x:c r="L13" s="62" t="n">
        <x:f>L10+('每日计划'!L14+'每日计划'!L19)*'每日计划'!L18/60</x:f>
        <x:v>3.605</x:v>
      </x:c>
      <x:c r="M13" s="62" t="n">
        <x:f>M10+('每日计划'!M14+'每日计划'!M19)*'每日计划'!M18/60</x:f>
        <x:v>3.685</x:v>
      </x:c>
      <x:c r="N13" s="62" t="n">
        <x:f>N10+('每日计划'!N14+'每日计划'!N19)*'每日计划'!N18/60</x:f>
        <x:v>3.765</x:v>
      </x:c>
      <x:c r="O13" s="62" t="n">
        <x:f>O10+('每日计划'!O14+'每日计划'!O19)*'每日计划'!O18/60</x:f>
        <x:v>3.818333333333334</x:v>
      </x:c>
      <x:c r="P13" s="62" t="n">
        <x:f>P10+('每日计划'!P14+'每日计划'!P19)*'每日计划'!P18/60</x:f>
        <x:v>3.8716666666666666</x:v>
      </x:c>
      <x:c r="Q13" s="62" t="n">
        <x:f>Q10+('每日计划'!Q14+'每日计划'!Q19)*'每日计划'!Q18/60</x:f>
        <x:v>3.9116666666666675</x:v>
      </x:c>
      <x:c r="R13" s="62" t="n">
        <x:f>R10+('每日计划'!R14+'每日计划'!R19)*'每日计划'!R18/60</x:f>
        <x:v>3.9650000000000003</x:v>
      </x:c>
      <x:c r="S13" s="62" t="n">
        <x:f>S10+('每日计划'!S14+'每日计划'!S19)*'每日计划'!S18/60</x:f>
        <x:v>4.005</x:v>
      </x:c>
      <x:c r="T13" s="62" t="n">
        <x:f>T10+('每日计划'!T14+'每日计划'!T19)*'每日计划'!T18/60</x:f>
        <x:v>4.045</x:v>
      </x:c>
      <x:c r="U13" s="62" t="n">
        <x:f>U10+('每日计划'!U14+'每日计划'!U19)*'每日计划'!U18/60</x:f>
        <x:v>4.085</x:v>
      </x:c>
      <x:c r="V13" s="62" t="n">
        <x:f>V10+('每日计划'!V14+'每日计划'!V19)*'每日计划'!V18/60</x:f>
        <x:v>4.125</x:v>
      </x:c>
      <x:c r="W13" s="62" t="n">
        <x:f>W10+('每日计划'!W14+'每日计划'!W19)*'每日计划'!W18/60</x:f>
        <x:v>4.165</x:v>
      </x:c>
      <x:c r="X13" s="62" t="n">
        <x:f>X10+('每日计划'!X14+'每日计划'!X19)*'每日计划'!X18/60</x:f>
        <x:v>4.218333333333334</x:v>
      </x:c>
      <x:c r="Y13" s="62" t="n">
        <x:f>Y10+('每日计划'!Y14+'每日计划'!Y19)*'每日计划'!Y18/60</x:f>
        <x:v>4.218333333333334</x:v>
      </x:c>
      <x:c r="Z13" s="62" t="n">
        <x:f>Z10+('每日计划'!Z14+'每日计划'!Z19)*'每日计划'!Z18/60</x:f>
        <x:v>4.258333333333333</x:v>
      </x:c>
      <x:c r="AA13" s="62" t="n">
        <x:f>AA10+('每日计划'!AA14+'每日计划'!AA19)*'每日计划'!AA18/60</x:f>
        <x:v>4.2716666666666665</x:v>
      </x:c>
      <x:c r="AB13" s="62" t="n">
        <x:f>AB10+('每日计划'!AB14+'每日计划'!AB19)*'每日计划'!AB18/60</x:f>
        <x:v>4.3116666666666665</x:v>
      </x:c>
      <x:c r="AC13" s="62" t="n">
        <x:f>AC10+('每日计划'!AC14+'每日计划'!AC19)*'每日计划'!AC18/60</x:f>
        <x:v>4.338333333333333</x:v>
      </x:c>
      <x:c r="AD13" s="62" t="n">
        <x:f>AD10+('每日计划'!AD14+'每日计划'!AD19)*'每日计划'!AD18/60</x:f>
        <x:v>4.365</x:v>
      </x:c>
      <x:c r="AE13" s="62" t="n">
        <x:f>AE10+('每日计划'!AE14+'每日计划'!AE19)*'每日计划'!AE18/60</x:f>
        <x:v>4.378333333333333</x:v>
      </x:c>
      <x:c r="AF13" s="65"/>
    </x:row>
    <x:row r="14" ht="28" customHeight="1">
      <x:c r="A14" s="62" t="str">
        <x:v>时间可支持主线局数</x:v>
      </x:c>
      <x:c r="B14" s="62" t="n">
        <x:f>MAX(0,ROUNDDOWN(('每日计划'!B7-B11*B114-B12)/MAX(0.01,B13),0))</x:f>
        <x:v>25</x:v>
      </x:c>
      <x:c r="C14" s="62" t="n">
        <x:f>MAX(0,ROUNDDOWN(('每日计划'!C7-C11*C114-C12)/MAX(0.01,C13),0))</x:f>
        <x:v>25</x:v>
      </x:c>
      <x:c r="D14" s="62" t="n">
        <x:f>MAX(0,ROUNDDOWN(('每日计划'!D7-D11*D114-D12)/MAX(0.01,D13),0))</x:f>
        <x:v>25</x:v>
      </x:c>
      <x:c r="E14" s="62" t="n">
        <x:f>MAX(0,ROUNDDOWN(('每日计划'!E7-E11*E114-E12)/MAX(0.01,E13),0))</x:f>
        <x:v>24</x:v>
      </x:c>
      <x:c r="F14" s="62" t="n">
        <x:f>MAX(0,ROUNDDOWN(('每日计划'!F7-F11*F114-F12)/MAX(0.01,F13),0))</x:f>
        <x:v>24</x:v>
      </x:c>
      <x:c r="G14" s="62" t="n">
        <x:f>MAX(0,ROUNDDOWN(('每日计划'!G7-G11*G114-G12)/MAX(0.01,G13),0))</x:f>
        <x:v>23</x:v>
      </x:c>
      <x:c r="H14" s="62" t="n">
        <x:f>MAX(0,ROUNDDOWN(('每日计划'!H7-H11*H114-H12)/MAX(0.01,H13),0))</x:f>
        <x:v>22</x:v>
      </x:c>
      <x:c r="I14" s="62" t="n">
        <x:f>MAX(0,ROUNDDOWN(('每日计划'!I7-I11*I114-I12)/MAX(0.01,I13),0))</x:f>
        <x:v>21</x:v>
      </x:c>
      <x:c r="J14" s="62" t="n">
        <x:f>MAX(0,ROUNDDOWN(('每日计划'!J7-J11*J114-J12)/MAX(0.01,J13),0))</x:f>
        <x:v>20</x:v>
      </x:c>
      <x:c r="K14" s="62" t="n">
        <x:f>MAX(0,ROUNDDOWN(('每日计划'!K7-K11*K114-K12)/MAX(0.01,K13),0))</x:f>
        <x:v>19</x:v>
      </x:c>
      <x:c r="L14" s="62" t="n">
        <x:f>MAX(0,ROUNDDOWN(('每日计划'!L7-L11*L114-L12)/MAX(0.01,L13),0))</x:f>
        <x:v>18</x:v>
      </x:c>
      <x:c r="M14" s="62" t="n">
        <x:f>MAX(0,ROUNDDOWN(('每日计划'!M7-M11*M114-M12)/MAX(0.01,M13),0))</x:f>
        <x:v>18</x:v>
      </x:c>
      <x:c r="N14" s="62" t="n">
        <x:f>MAX(0,ROUNDDOWN(('每日计划'!N7-N11*N114-N12)/MAX(0.01,N13),0))</x:f>
        <x:v>17</x:v>
      </x:c>
      <x:c r="O14" s="62" t="n">
        <x:f>MAX(0,ROUNDDOWN(('每日计划'!O7-O11*O114-O12)/MAX(0.01,O13),0))</x:f>
        <x:v>16</x:v>
      </x:c>
      <x:c r="P14" s="62" t="n">
        <x:f>MAX(0,ROUNDDOWN(('每日计划'!P7-P11*P114-P12)/MAX(0.01,P13),0))</x:f>
        <x:v>16</x:v>
      </x:c>
      <x:c r="Q14" s="62" t="n">
        <x:f>MAX(0,ROUNDDOWN(('每日计划'!Q7-Q11*Q114-Q12)/MAX(0.01,Q13),0))</x:f>
        <x:v>15</x:v>
      </x:c>
      <x:c r="R14" s="62" t="n">
        <x:f>MAX(0,ROUNDDOWN(('每日计划'!R7-R11*R114-R12)/MAX(0.01,R13),0))</x:f>
        <x:v>15</x:v>
      </x:c>
      <x:c r="S14" s="62" t="n">
        <x:f>MAX(0,ROUNDDOWN(('每日计划'!S7-S11*S114-S12)/MAX(0.01,S13),0))</x:f>
        <x:v>14</x:v>
      </x:c>
      <x:c r="T14" s="62" t="n">
        <x:f>MAX(0,ROUNDDOWN(('每日计划'!T7-T11*T114-T12)/MAX(0.01,T13),0))</x:f>
        <x:v>14</x:v>
      </x:c>
      <x:c r="U14" s="62" t="n">
        <x:f>MAX(0,ROUNDDOWN(('每日计划'!U7-U11*U114-U12)/MAX(0.01,U13),0))</x:f>
        <x:v>13</x:v>
      </x:c>
      <x:c r="V14" s="62" t="n">
        <x:f>MAX(0,ROUNDDOWN(('每日计划'!V7-V11*V114-V12)/MAX(0.01,V13),0))</x:f>
        <x:v>13</x:v>
      </x:c>
      <x:c r="W14" s="62" t="n">
        <x:f>MAX(0,ROUNDDOWN(('每日计划'!W7-W11*W114-W12)/MAX(0.01,W13),0))</x:f>
        <x:v>13</x:v>
      </x:c>
      <x:c r="X14" s="62" t="n">
        <x:f>MAX(0,ROUNDDOWN(('每日计划'!X7-X11*X114-X12)/MAX(0.01,X13),0))</x:f>
        <x:v>12</x:v>
      </x:c>
      <x:c r="Y14" s="62" t="n">
        <x:f>MAX(0,ROUNDDOWN(('每日计划'!Y7-Y11*Y114-Y12)/MAX(0.01,Y13),0))</x:f>
        <x:v>12</x:v>
      </x:c>
      <x:c r="Z14" s="62" t="n">
        <x:f>MAX(0,ROUNDDOWN(('每日计划'!Z7-Z11*Z114-Z12)/MAX(0.01,Z13),0))</x:f>
        <x:v>12</x:v>
      </x:c>
      <x:c r="AA14" s="62" t="n">
        <x:f>MAX(0,ROUNDDOWN(('每日计划'!AA7-AA11*AA114-AA12)/MAX(0.01,AA13),0))</x:f>
        <x:v>11</x:v>
      </x:c>
      <x:c r="AB14" s="62" t="n">
        <x:f>MAX(0,ROUNDDOWN(('每日计划'!AB7-AB11*AB114-AB12)/MAX(0.01,AB13),0))</x:f>
        <x:v>11</x:v>
      </x:c>
      <x:c r="AC14" s="62" t="n">
        <x:f>MAX(0,ROUNDDOWN(('每日计划'!AC7-AC11*AC114-AC12)/MAX(0.01,AC13),0))</x:f>
        <x:v>11</x:v>
      </x:c>
      <x:c r="AD14" s="62" t="n">
        <x:f>MAX(0,ROUNDDOWN(('每日计划'!AD7-AD11*AD114-AD12)/MAX(0.01,AD13),0))</x:f>
        <x:v>11</x:v>
      </x:c>
      <x:c r="AE14" s="62" t="n">
        <x:f>MAX(0,ROUNDDOWN(('每日计划'!AE7-AE11*AE114-AE12)/MAX(0.01,AE13),0))</x:f>
        <x:v>10</x:v>
      </x:c>
      <x:c r="AF14" s="65"/>
    </x:row>
    <x:row r="15" ht="28" customHeight="1">
      <x:c r="A15" s="125" t="str">
        <x:v>期初体力</x:v>
      </x:c>
      <x:c r="B15" s="125" t="n">
        <x:f>'经济参数'!$E$7</x:f>
        <x:v>60</x:v>
      </x:c>
      <x:c r="C15" s="125" t="n">
        <x:f>B27</x:f>
        <x:v>5</x:v>
      </x:c>
      <x:c r="D15" s="125" t="n">
        <x:f>C27</x:f>
        <x:v>5</x:v>
      </x:c>
      <x:c r="E15" s="125" t="n">
        <x:f>D27</x:f>
        <x:v>5</x:v>
      </x:c>
      <x:c r="F15" s="125" t="n">
        <x:f>E27</x:f>
        <x:v>5</x:v>
      </x:c>
      <x:c r="G15" s="125" t="n">
        <x:f>F27</x:f>
        <x:v>5</x:v>
      </x:c>
      <x:c r="H15" s="125" t="n">
        <x:f>G27</x:f>
        <x:v>5</x:v>
      </x:c>
      <x:c r="I15" s="125" t="n">
        <x:f>H27</x:f>
        <x:v>5</x:v>
      </x:c>
      <x:c r="J15" s="125" t="n">
        <x:f>I27</x:f>
        <x:v>5</x:v>
      </x:c>
      <x:c r="K15" s="125" t="n">
        <x:f>J27</x:f>
        <x:v>5</x:v>
      </x:c>
      <x:c r="L15" s="125" t="n">
        <x:f>K27</x:f>
        <x:v>15</x:v>
      </x:c>
      <x:c r="M15" s="125" t="n">
        <x:f>L27</x:f>
        <x:v>35</x:v>
      </x:c>
      <x:c r="N15" s="125" t="n">
        <x:f>M27</x:f>
        <x:v>55</x:v>
      </x:c>
      <x:c r="O15" s="125" t="n">
        <x:f>N27</x:f>
        <x:v>85</x:v>
      </x:c>
      <x:c r="P15" s="125" t="n">
        <x:f>O27</x:f>
        <x:v>125</x:v>
      </x:c>
      <x:c r="Q15" s="125" t="n">
        <x:f>P27</x:f>
        <x:v>165</x:v>
      </x:c>
      <x:c r="R15" s="125" t="n">
        <x:f>Q27</x:f>
        <x:v>215</x:v>
      </x:c>
      <x:c r="S15" s="125" t="n">
        <x:f>R27</x:f>
        <x:v>265</x:v>
      </x:c>
      <x:c r="T15" s="125" t="n">
        <x:f>S27</x:f>
        <x:v>325</x:v>
      </x:c>
      <x:c r="U15" s="125" t="n">
        <x:f>T27</x:f>
        <x:v>360</x:v>
      </x:c>
      <x:c r="V15" s="125" t="n">
        <x:f>U27</x:f>
        <x:v>370</x:v>
      </x:c>
      <x:c r="W15" s="125" t="n">
        <x:f>V27</x:f>
        <x:v>370</x:v>
      </x:c>
      <x:c r="X15" s="125" t="n">
        <x:f>W27</x:f>
        <x:v>370</x:v>
      </x:c>
      <x:c r="Y15" s="125" t="n">
        <x:f>X27</x:f>
        <x:v>380</x:v>
      </x:c>
      <x:c r="Z15" s="125" t="n">
        <x:f>Y27</x:f>
        <x:v>380</x:v>
      </x:c>
      <x:c r="AA15" s="125" t="n">
        <x:f>Z27</x:f>
        <x:v>380</x:v>
      </x:c>
      <x:c r="AB15" s="125" t="n">
        <x:f>AA27</x:f>
        <x:v>390</x:v>
      </x:c>
      <x:c r="AC15" s="125" t="n">
        <x:f>AB27</x:f>
        <x:v>390</x:v>
      </x:c>
      <x:c r="AD15" s="125" t="n">
        <x:f>AC27</x:f>
        <x:v>390</x:v>
      </x:c>
      <x:c r="AE15" s="125" t="n">
        <x:f>AD27</x:f>
        <x:v>390</x:v>
      </x:c>
      <x:c r="AF15" s="65"/>
    </x:row>
    <x:row r="16" ht="28" customHeight="1">
      <x:c r="A16" s="62" t="str">
        <x:v>自然恢复体力</x:v>
      </x:c>
      <x:c r="B16" s="62" t="n">
        <x:f>MAX(0,MIN('经济参数'!$E$9-B15,ROUNDDOWN('每日计划'!B23*60/'经济参数'!$E$10,0)))</x:f>
        <x:v>5</x:v>
      </x:c>
      <x:c r="C16" s="62" t="n">
        <x:f>MAX(0,MIN('经济参数'!$E$9-C15,ROUNDDOWN('每日计划'!C23*60/'经济参数'!$E$10,0)))</x:f>
        <x:v>80</x:v>
      </x:c>
      <x:c r="D16" s="62" t="n">
        <x:f>MAX(0,MIN('经济参数'!$E$9-D15,ROUNDDOWN('每日计划'!D23*60/'经济参数'!$E$10,0)))</x:f>
        <x:v>80</x:v>
      </x:c>
      <x:c r="E16" s="62" t="n">
        <x:f>MAX(0,MIN('经济参数'!$E$9-E15,ROUNDDOWN('每日计划'!E23*60/'经济参数'!$E$10,0)))</x:f>
        <x:v>80</x:v>
      </x:c>
      <x:c r="F16" s="62" t="n">
        <x:f>MAX(0,MIN('经济参数'!$E$9-F15,ROUNDDOWN('每日计划'!F23*60/'经济参数'!$E$10,0)))</x:f>
        <x:v>80</x:v>
      </x:c>
      <x:c r="G16" s="62" t="n">
        <x:f>MAX(0,MIN('经济参数'!$E$9-G15,ROUNDDOWN('每日计划'!G23*60/'经济参数'!$E$10,0)))</x:f>
        <x:v>80</x:v>
      </x:c>
      <x:c r="H16" s="62" t="n">
        <x:f>MAX(0,MIN('经济参数'!$E$9-H15,ROUNDDOWN('每日计划'!H23*60/'经济参数'!$E$10,0)))</x:f>
        <x:v>80</x:v>
      </x:c>
      <x:c r="I16" s="62" t="n">
        <x:f>MAX(0,MIN('经济参数'!$E$9-I15,ROUNDDOWN('每日计划'!I23*60/'经济参数'!$E$10,0)))</x:f>
        <x:v>80</x:v>
      </x:c>
      <x:c r="J16" s="62" t="n">
        <x:f>MAX(0,MIN('经济参数'!$E$9-J15,ROUNDDOWN('每日计划'!J23*60/'经济参数'!$E$10,0)))</x:f>
        <x:v>80</x:v>
      </x:c>
      <x:c r="K16" s="62" t="n">
        <x:f>MAX(0,MIN('经济参数'!$E$9-K15,ROUNDDOWN('每日计划'!K23*60/'经济参数'!$E$10,0)))</x:f>
        <x:v>80</x:v>
      </x:c>
      <x:c r="L16" s="62" t="n">
        <x:f>MAX(0,MIN('经济参数'!$E$9-L15,ROUNDDOWN('每日计划'!L23*60/'经济参数'!$E$10,0)))</x:f>
        <x:v>80</x:v>
      </x:c>
      <x:c r="M16" s="62" t="n">
        <x:f>MAX(0,MIN('经济参数'!$E$9-M15,ROUNDDOWN('每日计划'!M23*60/'经济参数'!$E$10,0)))</x:f>
        <x:v>80</x:v>
      </x:c>
      <x:c r="N16" s="62" t="n">
        <x:f>MAX(0,MIN('经济参数'!$E$9-N15,ROUNDDOWN('每日计划'!N23*60/'经济参数'!$E$10,0)))</x:f>
        <x:v>80</x:v>
      </x:c>
      <x:c r="O16" s="62" t="n">
        <x:f>MAX(0,MIN('经济参数'!$E$9-O15,ROUNDDOWN('每日计划'!O23*60/'经济参数'!$E$10,0)))</x:f>
        <x:v>80</x:v>
      </x:c>
      <x:c r="P16" s="62" t="n">
        <x:f>MAX(0,MIN('经济参数'!$E$9-P15,ROUNDDOWN('每日计划'!P23*60/'经济参数'!$E$10,0)))</x:f>
        <x:v>80</x:v>
      </x:c>
      <x:c r="Q16" s="62" t="n">
        <x:f>MAX(0,MIN('经济参数'!$E$9-Q15,ROUNDDOWN('每日计划'!Q23*60/'经济参数'!$E$10,0)))</x:f>
        <x:v>80</x:v>
      </x:c>
      <x:c r="R16" s="62" t="n">
        <x:f>MAX(0,MIN('经济参数'!$E$9-R15,ROUNDDOWN('每日计划'!R23*60/'经济参数'!$E$10,0)))</x:f>
        <x:v>80</x:v>
      </x:c>
      <x:c r="S16" s="62" t="n">
        <x:f>MAX(0,MIN('经济参数'!$E$9-S15,ROUNDDOWN('每日计划'!S23*60/'经济参数'!$E$10,0)))</x:f>
        <x:v>80</x:v>
      </x:c>
      <x:c r="T16" s="62" t="n">
        <x:f>MAX(0,MIN('经济参数'!$E$9-T15,ROUNDDOWN('每日计划'!T23*60/'经济参数'!$E$10,0)))</x:f>
        <x:v>80</x:v>
      </x:c>
      <x:c r="U16" s="62" t="n">
        <x:f>MAX(0,MIN('经济参数'!$E$9-U15,ROUNDDOWN('每日计划'!U23*60/'经济参数'!$E$10,0)))</x:f>
        <x:v>80</x:v>
      </x:c>
      <x:c r="V16" s="62" t="n">
        <x:f>MAX(0,MIN('经济参数'!$E$9-V15,ROUNDDOWN('每日计划'!V23*60/'经济参数'!$E$10,0)))</x:f>
        <x:v>80</x:v>
      </x:c>
      <x:c r="W16" s="62" t="n">
        <x:f>MAX(0,MIN('经济参数'!$E$9-W15,ROUNDDOWN('每日计划'!W23*60/'经济参数'!$E$10,0)))</x:f>
        <x:v>80</x:v>
      </x:c>
      <x:c r="X16" s="62" t="n">
        <x:f>MAX(0,MIN('经济参数'!$E$9-X15,ROUNDDOWN('每日计划'!X23*60/'经济参数'!$E$10,0)))</x:f>
        <x:v>80</x:v>
      </x:c>
      <x:c r="Y16" s="62" t="n">
        <x:f>MAX(0,MIN('经济参数'!$E$9-Y15,ROUNDDOWN('每日计划'!Y23*60/'经济参数'!$E$10,0)))</x:f>
        <x:v>80</x:v>
      </x:c>
      <x:c r="Z16" s="62" t="n">
        <x:f>MAX(0,MIN('经济参数'!$E$9-Z15,ROUNDDOWN('每日计划'!Z23*60/'经济参数'!$E$10,0)))</x:f>
        <x:v>80</x:v>
      </x:c>
      <x:c r="AA16" s="62" t="n">
        <x:f>MAX(0,MIN('经济参数'!$E$9-AA15,ROUNDDOWN('每日计划'!AA23*60/'经济参数'!$E$10,0)))</x:f>
        <x:v>80</x:v>
      </x:c>
      <x:c r="AB16" s="62" t="n">
        <x:f>MAX(0,MIN('经济参数'!$E$9-AB15,ROUNDDOWN('每日计划'!AB23*60/'经济参数'!$E$10,0)))</x:f>
        <x:v>80</x:v>
      </x:c>
      <x:c r="AC16" s="62" t="n">
        <x:f>MAX(0,MIN('经济参数'!$E$9-AC15,ROUNDDOWN('每日计划'!AC23*60/'经济参数'!$E$10,0)))</x:f>
        <x:v>80</x:v>
      </x:c>
      <x:c r="AD16" s="62" t="n">
        <x:f>MAX(0,MIN('经济参数'!$E$9-AD15,ROUNDDOWN('每日计划'!AD23*60/'经济参数'!$E$10,0)))</x:f>
        <x:v>80</x:v>
      </x:c>
      <x:c r="AE16" s="62" t="n">
        <x:f>MAX(0,MIN('经济参数'!$E$9-AE15,ROUNDDOWN('每日计划'!AE23*60/'经济参数'!$E$10,0)))</x:f>
        <x:v>80</x:v>
      </x:c>
      <x:c r="AF16" s="65"/>
    </x:row>
    <x:row r="17" ht="28" customHeight="1">
      <x:c r="A17" s="62" t="str">
        <x:v>元宝补充体力</x:v>
      </x:c>
      <x:c r="B17" s="62" t="n">
        <x:f>MIN('每日计划'!B20,'经济参数'!$E$14)*'经济参数'!$E$12</x:f>
        <x:v>60</x:v>
      </x:c>
      <x:c r="C17" s="62" t="n">
        <x:f>MIN('每日计划'!C20,'经济参数'!$E$14)*'经济参数'!$E$12</x:f>
        <x:v>60</x:v>
      </x:c>
      <x:c r="D17" s="62" t="n">
        <x:f>MIN('每日计划'!D20,'经济参数'!$E$14)*'经济参数'!$E$12</x:f>
        <x:v>60</x:v>
      </x:c>
      <x:c r="E17" s="62" t="n">
        <x:f>MIN('每日计划'!E20,'经济参数'!$E$14)*'经济参数'!$E$12</x:f>
        <x:v>60</x:v>
      </x:c>
      <x:c r="F17" s="62" t="n">
        <x:f>MIN('每日计划'!F20,'经济参数'!$E$14)*'经济参数'!$E$12</x:f>
        <x:v>60</x:v>
      </x:c>
      <x:c r="G17" s="62" t="n">
        <x:f>MIN('每日计划'!G20,'经济参数'!$E$14)*'经济参数'!$E$12</x:f>
        <x:v>60</x:v>
      </x:c>
      <x:c r="H17" s="62" t="n">
        <x:f>MIN('每日计划'!H20,'经济参数'!$E$14)*'经济参数'!$E$12</x:f>
        <x:v>60</x:v>
      </x:c>
      <x:c r="I17" s="62" t="n">
        <x:f>MIN('每日计划'!I20,'经济参数'!$E$14)*'经济参数'!$E$12</x:f>
        <x:v>60</x:v>
      </x:c>
      <x:c r="J17" s="62" t="n">
        <x:f>MIN('每日计划'!J20,'经济参数'!$E$14)*'经济参数'!$E$12</x:f>
        <x:v>60</x:v>
      </x:c>
      <x:c r="K17" s="62" t="n">
        <x:f>MIN('每日计划'!K20,'经济参数'!$E$14)*'经济参数'!$E$12</x:f>
        <x:v>60</x:v>
      </x:c>
      <x:c r="L17" s="62" t="n">
        <x:f>MIN('每日计划'!L20,'经济参数'!$E$14)*'经济参数'!$E$12</x:f>
        <x:v>60</x:v>
      </x:c>
      <x:c r="M17" s="62" t="n">
        <x:f>MIN('每日计划'!M20,'经济参数'!$E$14)*'经济参数'!$E$12</x:f>
        <x:v>60</x:v>
      </x:c>
      <x:c r="N17" s="62" t="n">
        <x:f>MIN('每日计划'!N20,'经济参数'!$E$14)*'经济参数'!$E$12</x:f>
        <x:v>60</x:v>
      </x:c>
      <x:c r="O17" s="62" t="n">
        <x:f>MIN('每日计划'!O20,'经济参数'!$E$14)*'经济参数'!$E$12</x:f>
        <x:v>60</x:v>
      </x:c>
      <x:c r="P17" s="62" t="n">
        <x:f>MIN('每日计划'!P20,'经济参数'!$E$14)*'经济参数'!$E$12</x:f>
        <x:v>60</x:v>
      </x:c>
      <x:c r="Q17" s="62" t="n">
        <x:f>MIN('每日计划'!Q20,'经济参数'!$E$14)*'经济参数'!$E$12</x:f>
        <x:v>60</x:v>
      </x:c>
      <x:c r="R17" s="62" t="n">
        <x:f>MIN('每日计划'!R20,'经济参数'!$E$14)*'经济参数'!$E$12</x:f>
        <x:v>60</x:v>
      </x:c>
      <x:c r="S17" s="62" t="n">
        <x:f>MIN('每日计划'!S20,'经济参数'!$E$14)*'经济参数'!$E$12</x:f>
        <x:v>60</x:v>
      </x:c>
      <x:c r="T17" s="62" t="n">
        <x:f>MIN('每日计划'!T20,'经济参数'!$E$14)*'经济参数'!$E$12</x:f>
        <x:v>60</x:v>
      </x:c>
      <x:c r="U17" s="62" t="n">
        <x:f>MIN('每日计划'!U20,'经济参数'!$E$14)*'经济参数'!$E$12</x:f>
        <x:v>60</x:v>
      </x:c>
      <x:c r="V17" s="62" t="n">
        <x:f>MIN('每日计划'!V20,'经济参数'!$E$14)*'经济参数'!$E$12</x:f>
        <x:v>60</x:v>
      </x:c>
      <x:c r="W17" s="62" t="n">
        <x:f>MIN('每日计划'!W20,'经济参数'!$E$14)*'经济参数'!$E$12</x:f>
        <x:v>60</x:v>
      </x:c>
      <x:c r="X17" s="62" t="n">
        <x:f>MIN('每日计划'!X20,'经济参数'!$E$14)*'经济参数'!$E$12</x:f>
        <x:v>60</x:v>
      </x:c>
      <x:c r="Y17" s="62" t="n">
        <x:f>MIN('每日计划'!Y20,'经济参数'!$E$14)*'经济参数'!$E$12</x:f>
        <x:v>60</x:v>
      </x:c>
      <x:c r="Z17" s="62" t="n">
        <x:f>MIN('每日计划'!Z20,'经济参数'!$E$14)*'经济参数'!$E$12</x:f>
        <x:v>60</x:v>
      </x:c>
      <x:c r="AA17" s="62" t="n">
        <x:f>MIN('每日计划'!AA20,'经济参数'!$E$14)*'经济参数'!$E$12</x:f>
        <x:v>60</x:v>
      </x:c>
      <x:c r="AB17" s="62" t="n">
        <x:f>MIN('每日计划'!AB20,'经济参数'!$E$14)*'经济参数'!$E$12</x:f>
        <x:v>60</x:v>
      </x:c>
      <x:c r="AC17" s="62" t="n">
        <x:f>MIN('每日计划'!AC20,'经济参数'!$E$14)*'经济参数'!$E$12</x:f>
        <x:v>60</x:v>
      </x:c>
      <x:c r="AD17" s="62" t="n">
        <x:f>MIN('每日计划'!AD20,'经济参数'!$E$14)*'经济参数'!$E$12</x:f>
        <x:v>60</x:v>
      </x:c>
      <x:c r="AE17" s="62" t="n">
        <x:f>MIN('每日计划'!AE20,'经济参数'!$E$14)*'经济参数'!$E$12</x:f>
        <x:v>60</x:v>
      </x:c>
      <x:c r="AF17" s="65"/>
    </x:row>
    <x:row r="18" ht="28" customHeight="1">
      <x:c r="A18" s="62" t="str">
        <x:v>广告补充体力</x:v>
      </x:c>
      <x:c r="B18" s="62" t="n">
        <x:f>MIN('每日计划'!B21,'经济参数'!$E$15)*'经济参数'!$E$12</x:f>
        <x:v>60</x:v>
      </x:c>
      <x:c r="C18" s="62" t="n">
        <x:f>MIN('每日计划'!C21,'经济参数'!$E$15)*'经济参数'!$E$12</x:f>
        <x:v>60</x:v>
      </x:c>
      <x:c r="D18" s="62" t="n">
        <x:f>MIN('每日计划'!D21,'经济参数'!$E$15)*'经济参数'!$E$12</x:f>
        <x:v>60</x:v>
      </x:c>
      <x:c r="E18" s="62" t="n">
        <x:f>MIN('每日计划'!E21,'经济参数'!$E$15)*'经济参数'!$E$12</x:f>
        <x:v>60</x:v>
      </x:c>
      <x:c r="F18" s="62" t="n">
        <x:f>MIN('每日计划'!F21,'经济参数'!$E$15)*'经济参数'!$E$12</x:f>
        <x:v>60</x:v>
      </x:c>
      <x:c r="G18" s="62" t="n">
        <x:f>MIN('每日计划'!G21,'经济参数'!$E$15)*'经济参数'!$E$12</x:f>
        <x:v>60</x:v>
      </x:c>
      <x:c r="H18" s="62" t="n">
        <x:f>MIN('每日计划'!H21,'经济参数'!$E$15)*'经济参数'!$E$12</x:f>
        <x:v>60</x:v>
      </x:c>
      <x:c r="I18" s="62" t="n">
        <x:f>MIN('每日计划'!I21,'经济参数'!$E$15)*'经济参数'!$E$12</x:f>
        <x:v>60</x:v>
      </x:c>
      <x:c r="J18" s="62" t="n">
        <x:f>MIN('每日计划'!J21,'经济参数'!$E$15)*'经济参数'!$E$12</x:f>
        <x:v>60</x:v>
      </x:c>
      <x:c r="K18" s="62" t="n">
        <x:f>MIN('每日计划'!K21,'经济参数'!$E$15)*'经济参数'!$E$12</x:f>
        <x:v>60</x:v>
      </x:c>
      <x:c r="L18" s="62" t="n">
        <x:f>MIN('每日计划'!L21,'经济参数'!$E$15)*'经济参数'!$E$12</x:f>
        <x:v>60</x:v>
      </x:c>
      <x:c r="M18" s="62" t="n">
        <x:f>MIN('每日计划'!M21,'经济参数'!$E$15)*'经济参数'!$E$12</x:f>
        <x:v>60</x:v>
      </x:c>
      <x:c r="N18" s="62" t="n">
        <x:f>MIN('每日计划'!N21,'经济参数'!$E$15)*'经济参数'!$E$12</x:f>
        <x:v>60</x:v>
      </x:c>
      <x:c r="O18" s="62" t="n">
        <x:f>MIN('每日计划'!O21,'经济参数'!$E$15)*'经济参数'!$E$12</x:f>
        <x:v>60</x:v>
      </x:c>
      <x:c r="P18" s="62" t="n">
        <x:f>MIN('每日计划'!P21,'经济参数'!$E$15)*'经济参数'!$E$12</x:f>
        <x:v>60</x:v>
      </x:c>
      <x:c r="Q18" s="62" t="n">
        <x:f>MIN('每日计划'!Q21,'经济参数'!$E$15)*'经济参数'!$E$12</x:f>
        <x:v>60</x:v>
      </x:c>
      <x:c r="R18" s="62" t="n">
        <x:f>MIN('每日计划'!R21,'经济参数'!$E$15)*'经济参数'!$E$12</x:f>
        <x:v>60</x:v>
      </x:c>
      <x:c r="S18" s="62" t="n">
        <x:f>MIN('每日计划'!S21,'经济参数'!$E$15)*'经济参数'!$E$12</x:f>
        <x:v>60</x:v>
      </x:c>
      <x:c r="T18" s="62" t="n">
        <x:f>MIN('每日计划'!T21,'经济参数'!$E$15)*'经济参数'!$E$12</x:f>
        <x:v>60</x:v>
      </x:c>
      <x:c r="U18" s="62" t="n">
        <x:f>MIN('每日计划'!U21,'经济参数'!$E$15)*'经济参数'!$E$12</x:f>
        <x:v>60</x:v>
      </x:c>
      <x:c r="V18" s="62" t="n">
        <x:f>MIN('每日计划'!V21,'经济参数'!$E$15)*'经济参数'!$E$12</x:f>
        <x:v>60</x:v>
      </x:c>
      <x:c r="W18" s="62" t="n">
        <x:f>MIN('每日计划'!W21,'经济参数'!$E$15)*'经济参数'!$E$12</x:f>
        <x:v>60</x:v>
      </x:c>
      <x:c r="X18" s="62" t="n">
        <x:f>MIN('每日计划'!X21,'经济参数'!$E$15)*'经济参数'!$E$12</x:f>
        <x:v>60</x:v>
      </x:c>
      <x:c r="Y18" s="62" t="n">
        <x:f>MIN('每日计划'!Y21,'经济参数'!$E$15)*'经济参数'!$E$12</x:f>
        <x:v>60</x:v>
      </x:c>
      <x:c r="Z18" s="62" t="n">
        <x:f>MIN('每日计划'!Z21,'经济参数'!$E$15)*'经济参数'!$E$12</x:f>
        <x:v>60</x:v>
      </x:c>
      <x:c r="AA18" s="62" t="n">
        <x:f>MIN('每日计划'!AA21,'经济参数'!$E$15)*'经济参数'!$E$12</x:f>
        <x:v>60</x:v>
      </x:c>
      <x:c r="AB18" s="62" t="n">
        <x:f>MIN('每日计划'!AB21,'经济参数'!$E$15)*'经济参数'!$E$12</x:f>
        <x:v>60</x:v>
      </x:c>
      <x:c r="AC18" s="62" t="n">
        <x:f>MIN('每日计划'!AC21,'经济参数'!$E$15)*'经济参数'!$E$12</x:f>
        <x:v>60</x:v>
      </x:c>
      <x:c r="AD18" s="62" t="n">
        <x:f>MIN('每日计划'!AD21,'经济参数'!$E$15)*'经济参数'!$E$12</x:f>
        <x:v>60</x:v>
      </x:c>
      <x:c r="AE18" s="62" t="n">
        <x:f>MIN('每日计划'!AE21,'经济参数'!$E$15)*'经济参数'!$E$12</x:f>
        <x:v>60</x:v>
      </x:c>
      <x:c r="AF18" s="65"/>
    </x:row>
    <x:row r="19" ht="28" customHeight="1">
      <x:c r="A19" s="62" t="str">
        <x:v>可用体力（封顶）</x:v>
      </x:c>
      <x:c r="B19" s="62" t="n">
        <x:f>MIN('经济参数'!$E$9,SUM(B15:B18))</x:f>
        <x:v>185</x:v>
      </x:c>
      <x:c r="C19" s="62" t="n">
        <x:f>MIN('经济参数'!$E$9,SUM(C15:C18))</x:f>
        <x:v>205</x:v>
      </x:c>
      <x:c r="D19" s="62" t="n">
        <x:f>MIN('经济参数'!$E$9,SUM(D15:D18))</x:f>
        <x:v>205</x:v>
      </x:c>
      <x:c r="E19" s="62" t="n">
        <x:f>MIN('经济参数'!$E$9,SUM(E15:E18))</x:f>
        <x:v>205</x:v>
      </x:c>
      <x:c r="F19" s="62" t="n">
        <x:f>MIN('经济参数'!$E$9,SUM(F15:F18))</x:f>
        <x:v>205</x:v>
      </x:c>
      <x:c r="G19" s="62" t="n">
        <x:f>MIN('经济参数'!$E$9,SUM(G15:G18))</x:f>
        <x:v>205</x:v>
      </x:c>
      <x:c r="H19" s="62" t="n">
        <x:f>MIN('经济参数'!$E$9,SUM(H15:H18))</x:f>
        <x:v>205</x:v>
      </x:c>
      <x:c r="I19" s="62" t="n">
        <x:f>MIN('经济参数'!$E$9,SUM(I15:I18))</x:f>
        <x:v>205</x:v>
      </x:c>
      <x:c r="J19" s="62" t="n">
        <x:f>MIN('经济参数'!$E$9,SUM(J15:J18))</x:f>
        <x:v>205</x:v>
      </x:c>
      <x:c r="K19" s="62" t="n">
        <x:f>MIN('经济参数'!$E$9,SUM(K15:K18))</x:f>
        <x:v>205</x:v>
      </x:c>
      <x:c r="L19" s="62" t="n">
        <x:f>MIN('经济参数'!$E$9,SUM(L15:L18))</x:f>
        <x:v>215</x:v>
      </x:c>
      <x:c r="M19" s="62" t="n">
        <x:f>MIN('经济参数'!$E$9,SUM(M15:M18))</x:f>
        <x:v>235</x:v>
      </x:c>
      <x:c r="N19" s="62" t="n">
        <x:f>MIN('经济参数'!$E$9,SUM(N15:N18))</x:f>
        <x:v>255</x:v>
      </x:c>
      <x:c r="O19" s="62" t="n">
        <x:f>MIN('经济参数'!$E$9,SUM(O15:O18))</x:f>
        <x:v>285</x:v>
      </x:c>
      <x:c r="P19" s="62" t="n">
        <x:f>MIN('经济参数'!$E$9,SUM(P15:P18))</x:f>
        <x:v>325</x:v>
      </x:c>
      <x:c r="Q19" s="62" t="n">
        <x:f>MIN('经济参数'!$E$9,SUM(Q15:Q18))</x:f>
        <x:v>365</x:v>
      </x:c>
      <x:c r="R19" s="62" t="n">
        <x:f>MIN('经济参数'!$E$9,SUM(R15:R18))</x:f>
        <x:v>415</x:v>
      </x:c>
      <x:c r="S19" s="62" t="n">
        <x:f>MIN('经济参数'!$E$9,SUM(S15:S18))</x:f>
        <x:v>465</x:v>
      </x:c>
      <x:c r="T19" s="62" t="n">
        <x:f>MIN('经济参数'!$E$9,SUM(T15:T18))</x:f>
        <x:v>500</x:v>
      </x:c>
      <x:c r="U19" s="62" t="n">
        <x:f>MIN('经济参数'!$E$9,SUM(U15:U18))</x:f>
        <x:v>500</x:v>
      </x:c>
      <x:c r="V19" s="62" t="n">
        <x:f>MIN('经济参数'!$E$9,SUM(V15:V18))</x:f>
        <x:v>500</x:v>
      </x:c>
      <x:c r="W19" s="62" t="n">
        <x:f>MIN('经济参数'!$E$9,SUM(W15:W18))</x:f>
        <x:v>500</x:v>
      </x:c>
      <x:c r="X19" s="62" t="n">
        <x:f>MIN('经济参数'!$E$9,SUM(X15:X18))</x:f>
        <x:v>500</x:v>
      </x:c>
      <x:c r="Y19" s="62" t="n">
        <x:f>MIN('经济参数'!$E$9,SUM(Y15:Y18))</x:f>
        <x:v>500</x:v>
      </x:c>
      <x:c r="Z19" s="62" t="n">
        <x:f>MIN('经济参数'!$E$9,SUM(Z15:Z18))</x:f>
        <x:v>500</x:v>
      </x:c>
      <x:c r="AA19" s="62" t="n">
        <x:f>MIN('经济参数'!$E$9,SUM(AA15:AA18))</x:f>
        <x:v>500</x:v>
      </x:c>
      <x:c r="AB19" s="62" t="n">
        <x:f>MIN('经济参数'!$E$9,SUM(AB15:AB18))</x:f>
        <x:v>500</x:v>
      </x:c>
      <x:c r="AC19" s="62" t="n">
        <x:f>MIN('经济参数'!$E$9,SUM(AC15:AC18))</x:f>
        <x:v>500</x:v>
      </x:c>
      <x:c r="AD19" s="62" t="n">
        <x:f>MIN('经济参数'!$E$9,SUM(AD15:AD18))</x:f>
        <x:v>500</x:v>
      </x:c>
      <x:c r="AE19" s="62" t="n">
        <x:f>MIN('经济参数'!$E$9,SUM(AE15:AE18))</x:f>
        <x:v>500</x:v>
      </x:c>
      <x:c r="AF19" s="65"/>
    </x:row>
    <x:row r="20" ht="28" customHeight="1">
      <x:c r="A20" s="62" t="str">
        <x:v>体力可支持局数</x:v>
      </x:c>
      <x:c r="B20" s="62" t="n">
        <x:f>ROUNDDOWN(B19/'经济参数'!$E$11,0)</x:f>
        <x:v>18</x:v>
      </x:c>
      <x:c r="C20" s="62" t="n">
        <x:f>ROUNDDOWN(C19/'经济参数'!$E$11,0)</x:f>
        <x:v>20</x:v>
      </x:c>
      <x:c r="D20" s="62" t="n">
        <x:f>ROUNDDOWN(D19/'经济参数'!$E$11,0)</x:f>
        <x:v>20</x:v>
      </x:c>
      <x:c r="E20" s="62" t="n">
        <x:f>ROUNDDOWN(E19/'经济参数'!$E$11,0)</x:f>
        <x:v>20</x:v>
      </x:c>
      <x:c r="F20" s="62" t="n">
        <x:f>ROUNDDOWN(F19/'经济参数'!$E$11,0)</x:f>
        <x:v>20</x:v>
      </x:c>
      <x:c r="G20" s="62" t="n">
        <x:f>ROUNDDOWN(G19/'经济参数'!$E$11,0)</x:f>
        <x:v>20</x:v>
      </x:c>
      <x:c r="H20" s="62" t="n">
        <x:f>ROUNDDOWN(H19/'经济参数'!$E$11,0)</x:f>
        <x:v>20</x:v>
      </x:c>
      <x:c r="I20" s="62" t="n">
        <x:f>ROUNDDOWN(I19/'经济参数'!$E$11,0)</x:f>
        <x:v>20</x:v>
      </x:c>
      <x:c r="J20" s="62" t="n">
        <x:f>ROUNDDOWN(J19/'经济参数'!$E$11,0)</x:f>
        <x:v>20</x:v>
      </x:c>
      <x:c r="K20" s="62" t="n">
        <x:f>ROUNDDOWN(K19/'经济参数'!$E$11,0)</x:f>
        <x:v>20</x:v>
      </x:c>
      <x:c r="L20" s="62" t="n">
        <x:f>ROUNDDOWN(L19/'经济参数'!$E$11,0)</x:f>
        <x:v>21</x:v>
      </x:c>
      <x:c r="M20" s="62" t="n">
        <x:f>ROUNDDOWN(M19/'经济参数'!$E$11,0)</x:f>
        <x:v>23</x:v>
      </x:c>
      <x:c r="N20" s="62" t="n">
        <x:f>ROUNDDOWN(N19/'经济参数'!$E$11,0)</x:f>
        <x:v>25</x:v>
      </x:c>
      <x:c r="O20" s="62" t="n">
        <x:f>ROUNDDOWN(O19/'经济参数'!$E$11,0)</x:f>
        <x:v>28</x:v>
      </x:c>
      <x:c r="P20" s="62" t="n">
        <x:f>ROUNDDOWN(P19/'经济参数'!$E$11,0)</x:f>
        <x:v>32</x:v>
      </x:c>
      <x:c r="Q20" s="62" t="n">
        <x:f>ROUNDDOWN(Q19/'经济参数'!$E$11,0)</x:f>
        <x:v>36</x:v>
      </x:c>
      <x:c r="R20" s="62" t="n">
        <x:f>ROUNDDOWN(R19/'经济参数'!$E$11,0)</x:f>
        <x:v>41</x:v>
      </x:c>
      <x:c r="S20" s="62" t="n">
        <x:f>ROUNDDOWN(S19/'经济参数'!$E$11,0)</x:f>
        <x:v>46</x:v>
      </x:c>
      <x:c r="T20" s="62" t="n">
        <x:f>ROUNDDOWN(T19/'经济参数'!$E$11,0)</x:f>
        <x:v>50</x:v>
      </x:c>
      <x:c r="U20" s="62" t="n">
        <x:f>ROUNDDOWN(U19/'经济参数'!$E$11,0)</x:f>
        <x:v>50</x:v>
      </x:c>
      <x:c r="V20" s="62" t="n">
        <x:f>ROUNDDOWN(V19/'经济参数'!$E$11,0)</x:f>
        <x:v>50</x:v>
      </x:c>
      <x:c r="W20" s="62" t="n">
        <x:f>ROUNDDOWN(W19/'经济参数'!$E$11,0)</x:f>
        <x:v>50</x:v>
      </x:c>
      <x:c r="X20" s="62" t="n">
        <x:f>ROUNDDOWN(X19/'经济参数'!$E$11,0)</x:f>
        <x:v>50</x:v>
      </x:c>
      <x:c r="Y20" s="62" t="n">
        <x:f>ROUNDDOWN(Y19/'经济参数'!$E$11,0)</x:f>
        <x:v>50</x:v>
      </x:c>
      <x:c r="Z20" s="62" t="n">
        <x:f>ROUNDDOWN(Z19/'经济参数'!$E$11,0)</x:f>
        <x:v>50</x:v>
      </x:c>
      <x:c r="AA20" s="62" t="n">
        <x:f>ROUNDDOWN(AA19/'经济参数'!$E$11,0)</x:f>
        <x:v>50</x:v>
      </x:c>
      <x:c r="AB20" s="62" t="n">
        <x:f>ROUNDDOWN(AB19/'经济参数'!$E$11,0)</x:f>
        <x:v>50</x:v>
      </x:c>
      <x:c r="AC20" s="62" t="n">
        <x:f>ROUNDDOWN(AC19/'经济参数'!$E$11,0)</x:f>
        <x:v>50</x:v>
      </x:c>
      <x:c r="AD20" s="62" t="n">
        <x:f>ROUNDDOWN(AD19/'经济参数'!$E$11,0)</x:f>
        <x:v>50</x:v>
      </x:c>
      <x:c r="AE20" s="62" t="n">
        <x:f>ROUNDDOWN(AE19/'经济参数'!$E$11,0)</x:f>
        <x:v>50</x:v>
      </x:c>
      <x:c r="AF20" s="65"/>
    </x:row>
    <x:row r="21" ht="28" customHeight="1">
      <x:c r="A21" s="125" t="str">
        <x:v>实际计划主线局数</x:v>
      </x:c>
      <x:c r="B21" s="125" t="n">
        <x:f>MIN(B14,B20)</x:f>
        <x:v>18</x:v>
      </x:c>
      <x:c r="C21" s="125" t="n">
        <x:f>MIN(C14,C20)</x:f>
        <x:v>20</x:v>
      </x:c>
      <x:c r="D21" s="125" t="n">
        <x:f>MIN(D14,D20)</x:f>
        <x:v>20</x:v>
      </x:c>
      <x:c r="E21" s="125" t="n">
        <x:f>MIN(E14,E20)</x:f>
        <x:v>20</x:v>
      </x:c>
      <x:c r="F21" s="125" t="n">
        <x:f>MIN(F14,F20)</x:f>
        <x:v>20</x:v>
      </x:c>
      <x:c r="G21" s="125" t="n">
        <x:f>MIN(G14,G20)</x:f>
        <x:v>20</x:v>
      </x:c>
      <x:c r="H21" s="125" t="n">
        <x:f>MIN(H14,H20)</x:f>
        <x:v>20</x:v>
      </x:c>
      <x:c r="I21" s="125" t="n">
        <x:f>MIN(I14,I20)</x:f>
        <x:v>20</x:v>
      </x:c>
      <x:c r="J21" s="125" t="n">
        <x:f>MIN(J14,J20)</x:f>
        <x:v>20</x:v>
      </x:c>
      <x:c r="K21" s="125" t="n">
        <x:f>MIN(K14,K20)</x:f>
        <x:v>19</x:v>
      </x:c>
      <x:c r="L21" s="125" t="n">
        <x:f>MIN(L14,L20)</x:f>
        <x:v>18</x:v>
      </x:c>
      <x:c r="M21" s="125" t="n">
        <x:f>MIN(M14,M20)</x:f>
        <x:v>18</x:v>
      </x:c>
      <x:c r="N21" s="125" t="n">
        <x:f>MIN(N14,N20)</x:f>
        <x:v>17</x:v>
      </x:c>
      <x:c r="O21" s="125" t="n">
        <x:f>MIN(O14,O20)</x:f>
        <x:v>16</x:v>
      </x:c>
      <x:c r="P21" s="125" t="n">
        <x:f>MIN(P14,P20)</x:f>
        <x:v>16</x:v>
      </x:c>
      <x:c r="Q21" s="125" t="n">
        <x:f>MIN(Q14,Q20)</x:f>
        <x:v>15</x:v>
      </x:c>
      <x:c r="R21" s="125" t="n">
        <x:f>MIN(R14,R20)</x:f>
        <x:v>15</x:v>
      </x:c>
      <x:c r="S21" s="125" t="n">
        <x:f>MIN(S14,S20)</x:f>
        <x:v>14</x:v>
      </x:c>
      <x:c r="T21" s="125" t="n">
        <x:f>MIN(T14,T20)</x:f>
        <x:v>14</x:v>
      </x:c>
      <x:c r="U21" s="125" t="n">
        <x:f>MIN(U14,U20)</x:f>
        <x:v>13</x:v>
      </x:c>
      <x:c r="V21" s="125" t="n">
        <x:f>MIN(V14,V20)</x:f>
        <x:v>13</x:v>
      </x:c>
      <x:c r="W21" s="125" t="n">
        <x:f>MIN(W14,W20)</x:f>
        <x:v>13</x:v>
      </x:c>
      <x:c r="X21" s="125" t="n">
        <x:f>MIN(X14,X20)</x:f>
        <x:v>12</x:v>
      </x:c>
      <x:c r="Y21" s="125" t="n">
        <x:f>MIN(Y14,Y20)</x:f>
        <x:v>12</x:v>
      </x:c>
      <x:c r="Z21" s="125" t="n">
        <x:f>MIN(Z14,Z20)</x:f>
        <x:v>12</x:v>
      </x:c>
      <x:c r="AA21" s="125" t="n">
        <x:f>MIN(AA14,AA20)</x:f>
        <x:v>11</x:v>
      </x:c>
      <x:c r="AB21" s="125" t="n">
        <x:f>MIN(AB14,AB20)</x:f>
        <x:v>11</x:v>
      </x:c>
      <x:c r="AC21" s="125" t="n">
        <x:f>MIN(AC14,AC20)</x:f>
        <x:v>11</x:v>
      </x:c>
      <x:c r="AD21" s="125" t="n">
        <x:f>MIN(AD14,AD20)</x:f>
        <x:v>11</x:v>
      </x:c>
      <x:c r="AE21" s="125" t="n">
        <x:f>MIN(AE14,AE20)</x:f>
        <x:v>10</x:v>
      </x:c>
      <x:c r="AF21" s="65"/>
    </x:row>
    <x:row r="22" ht="28" customHeight="1">
      <x:c r="A22" s="62" t="str">
        <x:v>胜利局数期望</x:v>
      </x:c>
      <x:c r="B22" s="62" t="n">
        <x:f>B21*B9</x:f>
        <x:v>14.4</x:v>
      </x:c>
      <x:c r="C22" s="62" t="n">
        <x:f>C21*C9</x:f>
        <x:v>16</x:v>
      </x:c>
      <x:c r="D22" s="62" t="n">
        <x:f>D21*D9</x:f>
        <x:v>16</x:v>
      </x:c>
      <x:c r="E22" s="62" t="n">
        <x:f>E21*E9</x:f>
        <x:v>16</x:v>
      </x:c>
      <x:c r="F22" s="62" t="n">
        <x:f>F21*F9</x:f>
        <x:v>16</x:v>
      </x:c>
      <x:c r="G22" s="62" t="n">
        <x:f>G21*G9</x:f>
        <x:v>16</x:v>
      </x:c>
      <x:c r="H22" s="62" t="n">
        <x:f>H21*H9</x:f>
        <x:v>16</x:v>
      </x:c>
      <x:c r="I22" s="62" t="n">
        <x:f>I21*I9</x:f>
        <x:v>16</x:v>
      </x:c>
      <x:c r="J22" s="62" t="n">
        <x:f>J21*J9</x:f>
        <x:v>16</x:v>
      </x:c>
      <x:c r="K22" s="62" t="n">
        <x:f>K21*K9</x:f>
        <x:v>15.200000000000001</x:v>
      </x:c>
      <x:c r="L22" s="62" t="n">
        <x:f>L21*L9</x:f>
        <x:v>14.4</x:v>
      </x:c>
      <x:c r="M22" s="62" t="n">
        <x:f>M21*M9</x:f>
        <x:v>14.4</x:v>
      </x:c>
      <x:c r="N22" s="62" t="n">
        <x:f>N21*N9</x:f>
        <x:v>13.600000000000001</x:v>
      </x:c>
      <x:c r="O22" s="62" t="n">
        <x:f>O21*O9</x:f>
        <x:v>12.8</x:v>
      </x:c>
      <x:c r="P22" s="62" t="n">
        <x:f>P21*P9</x:f>
        <x:v>12.8</x:v>
      </x:c>
      <x:c r="Q22" s="62" t="n">
        <x:f>Q21*Q9</x:f>
        <x:v>12</x:v>
      </x:c>
      <x:c r="R22" s="62" t="n">
        <x:f>R21*R9</x:f>
        <x:v>12</x:v>
      </x:c>
      <x:c r="S22" s="62" t="n">
        <x:f>S21*S9</x:f>
        <x:v>11.200000000000001</x:v>
      </x:c>
      <x:c r="T22" s="62" t="n">
        <x:f>T21*T9</x:f>
        <x:v>11.200000000000001</x:v>
      </x:c>
      <x:c r="U22" s="62" t="n">
        <x:f>U21*U9</x:f>
        <x:v>10.4</x:v>
      </x:c>
      <x:c r="V22" s="62" t="n">
        <x:f>V21*V9</x:f>
        <x:v>10.4</x:v>
      </x:c>
      <x:c r="W22" s="62" t="n">
        <x:f>W21*W9</x:f>
        <x:v>10.4</x:v>
      </x:c>
      <x:c r="X22" s="62" t="n">
        <x:f>X21*X9</x:f>
        <x:v>9.600000000000001</x:v>
      </x:c>
      <x:c r="Y22" s="62" t="n">
        <x:f>Y21*Y9</x:f>
        <x:v>9.600000000000001</x:v>
      </x:c>
      <x:c r="Z22" s="62" t="n">
        <x:f>Z21*Z9</x:f>
        <x:v>9.600000000000001</x:v>
      </x:c>
      <x:c r="AA22" s="62" t="n">
        <x:f>AA21*AA9</x:f>
        <x:v>8.8</x:v>
      </x:c>
      <x:c r="AB22" s="62" t="n">
        <x:f>AB21*AB9</x:f>
        <x:v>8.8</x:v>
      </x:c>
      <x:c r="AC22" s="62" t="n">
        <x:f>AC21*AC9</x:f>
        <x:v>8.8</x:v>
      </x:c>
      <x:c r="AD22" s="62" t="n">
        <x:f>AD21*AD9</x:f>
        <x:v>8.8</x:v>
      </x:c>
      <x:c r="AE22" s="62" t="n">
        <x:f>AE21*AE9</x:f>
        <x:v>8</x:v>
      </x:c>
      <x:c r="AF22" s="65"/>
    </x:row>
    <x:row r="23" ht="28" customHeight="1">
      <x:c r="A23" s="62" t="str">
        <x:v>失败局数期望</x:v>
      </x:c>
      <x:c r="B23" s="62" t="n">
        <x:f>B21-B22</x:f>
        <x:v>3.5999999999999996</x:v>
      </x:c>
      <x:c r="C23" s="62" t="n">
        <x:f>C21-C22</x:f>
        <x:v>4</x:v>
      </x:c>
      <x:c r="D23" s="62" t="n">
        <x:f>D21-D22</x:f>
        <x:v>4</x:v>
      </x:c>
      <x:c r="E23" s="62" t="n">
        <x:f>E21-E22</x:f>
        <x:v>4</x:v>
      </x:c>
      <x:c r="F23" s="62" t="n">
        <x:f>F21-F22</x:f>
        <x:v>4</x:v>
      </x:c>
      <x:c r="G23" s="62" t="n">
        <x:f>G21-G22</x:f>
        <x:v>4</x:v>
      </x:c>
      <x:c r="H23" s="62" t="n">
        <x:f>H21-H22</x:f>
        <x:v>4</x:v>
      </x:c>
      <x:c r="I23" s="62" t="n">
        <x:f>I21-I22</x:f>
        <x:v>4</x:v>
      </x:c>
      <x:c r="J23" s="62" t="n">
        <x:f>J21-J22</x:f>
        <x:v>4</x:v>
      </x:c>
      <x:c r="K23" s="62" t="n">
        <x:f>K21-K22</x:f>
        <x:v>3.799999999999999</x:v>
      </x:c>
      <x:c r="L23" s="62" t="n">
        <x:f>L21-L22</x:f>
        <x:v>3.5999999999999996</x:v>
      </x:c>
      <x:c r="M23" s="62" t="n">
        <x:f>M21-M22</x:f>
        <x:v>3.5999999999999996</x:v>
      </x:c>
      <x:c r="N23" s="62" t="n">
        <x:f>N21-N22</x:f>
        <x:v>3.3999999999999986</x:v>
      </x:c>
      <x:c r="O23" s="62" t="n">
        <x:f>O21-O22</x:f>
        <x:v>3.1999999999999993</x:v>
      </x:c>
      <x:c r="P23" s="62" t="n">
        <x:f>P21-P22</x:f>
        <x:v>3.1999999999999993</x:v>
      </x:c>
      <x:c r="Q23" s="62" t="n">
        <x:f>Q21-Q22</x:f>
        <x:v>3</x:v>
      </x:c>
      <x:c r="R23" s="62" t="n">
        <x:f>R21-R22</x:f>
        <x:v>3</x:v>
      </x:c>
      <x:c r="S23" s="62" t="n">
        <x:f>S21-S22</x:f>
        <x:v>2.799999999999999</x:v>
      </x:c>
      <x:c r="T23" s="62" t="n">
        <x:f>T21-T22</x:f>
        <x:v>2.799999999999999</x:v>
      </x:c>
      <x:c r="U23" s="62" t="n">
        <x:f>U21-U22</x:f>
        <x:v>2.5999999999999996</x:v>
      </x:c>
      <x:c r="V23" s="62" t="n">
        <x:f>V21-V22</x:f>
        <x:v>2.5999999999999996</x:v>
      </x:c>
      <x:c r="W23" s="62" t="n">
        <x:f>W21-W22</x:f>
        <x:v>2.5999999999999996</x:v>
      </x:c>
      <x:c r="X23" s="62" t="n">
        <x:f>X21-X22</x:f>
        <x:v>2.3999999999999986</x:v>
      </x:c>
      <x:c r="Y23" s="62" t="n">
        <x:f>Y21-Y22</x:f>
        <x:v>2.3999999999999986</x:v>
      </x:c>
      <x:c r="Z23" s="62" t="n">
        <x:f>Z21-Z22</x:f>
        <x:v>2.3999999999999986</x:v>
      </x:c>
      <x:c r="AA23" s="62" t="n">
        <x:f>AA21-AA22</x:f>
        <x:v>2.1999999999999993</x:v>
      </x:c>
      <x:c r="AB23" s="62" t="n">
        <x:f>AB21-AB22</x:f>
        <x:v>2.1999999999999993</x:v>
      </x:c>
      <x:c r="AC23" s="62" t="n">
        <x:f>AC21-AC22</x:f>
        <x:v>2.1999999999999993</x:v>
      </x:c>
      <x:c r="AD23" s="62" t="n">
        <x:f>AD21-AD22</x:f>
        <x:v>2.1999999999999993</x:v>
      </x:c>
      <x:c r="AE23" s="62" t="n">
        <x:f>AE21-AE22</x:f>
        <x:v>2</x:v>
      </x:c>
      <x:c r="AF23" s="65"/>
    </x:row>
    <x:row r="24" ht="28" customHeight="1">
      <x:c r="A24" s="62" t="str">
        <x:v>新关胜利期望</x:v>
      </x:c>
      <x:c r="B24" s="62" t="n">
        <x:f>MIN(B22*'每日计划'!B10,MAX(0,900-0))</x:f>
        <x:v>9.360000000000001</x:v>
      </x:c>
      <x:c r="C24" s="62" t="n">
        <x:f>MIN(C22*'每日计划'!C10,MAX(0,900-SUM($B24:B24)))</x:f>
        <x:v>10.4</x:v>
      </x:c>
      <x:c r="D24" s="62" t="n">
        <x:f>MIN(D22*'每日计划'!D10,MAX(0,900-SUM($B24:C24)))</x:f>
        <x:v>10.4</x:v>
      </x:c>
      <x:c r="E24" s="62" t="n">
        <x:f>MIN(E22*'每日计划'!E10,MAX(0,900-SUM($B24:D24)))</x:f>
        <x:v>10.4</x:v>
      </x:c>
      <x:c r="F24" s="62" t="n">
        <x:f>MIN(F22*'每日计划'!F10,MAX(0,900-SUM($B24:E24)))</x:f>
        <x:v>10.4</x:v>
      </x:c>
      <x:c r="G24" s="62" t="n">
        <x:f>MIN(G22*'每日计划'!G10,MAX(0,900-SUM($B24:F24)))</x:f>
        <x:v>10.4</x:v>
      </x:c>
      <x:c r="H24" s="62" t="n">
        <x:f>MIN(H22*'每日计划'!H10,MAX(0,900-SUM($B24:G24)))</x:f>
        <x:v>10.4</x:v>
      </x:c>
      <x:c r="I24" s="62" t="n">
        <x:f>MIN(I22*'每日计划'!I10,MAX(0,900-SUM($B24:H24)))</x:f>
        <x:v>10.4</x:v>
      </x:c>
      <x:c r="J24" s="62" t="n">
        <x:f>MIN(J22*'每日计划'!J10,MAX(0,900-SUM($B24:I24)))</x:f>
        <x:v>10.4</x:v>
      </x:c>
      <x:c r="K24" s="62" t="n">
        <x:f>MIN(K22*'每日计划'!K10,MAX(0,900-SUM($B24:J24)))</x:f>
        <x:v>9.88</x:v>
      </x:c>
      <x:c r="L24" s="62" t="n">
        <x:f>MIN(L22*'每日计划'!L10,MAX(0,900-SUM($B24:K24)))</x:f>
        <x:v>9.360000000000001</x:v>
      </x:c>
      <x:c r="M24" s="62" t="n">
        <x:f>MIN(M22*'每日计划'!M10,MAX(0,900-SUM($B24:L24)))</x:f>
        <x:v>9.360000000000001</x:v>
      </x:c>
      <x:c r="N24" s="62" t="n">
        <x:f>MIN(N22*'每日计划'!N10,MAX(0,900-SUM($B24:M24)))</x:f>
        <x:v>8.840000000000002</x:v>
      </x:c>
      <x:c r="O24" s="62" t="n">
        <x:f>MIN(O22*'每日计划'!O10,MAX(0,900-SUM($B24:N24)))</x:f>
        <x:v>8.32</x:v>
      </x:c>
      <x:c r="P24" s="62" t="n">
        <x:f>MIN(P22*'每日计划'!P10,MAX(0,900-SUM($B24:O24)))</x:f>
        <x:v>8.32</x:v>
      </x:c>
      <x:c r="Q24" s="62" t="n">
        <x:f>MIN(Q22*'每日计划'!Q10,MAX(0,900-SUM($B24:P24)))</x:f>
        <x:v>7.800000000000001</x:v>
      </x:c>
      <x:c r="R24" s="62" t="n">
        <x:f>MIN(R22*'每日计划'!R10,MAX(0,900-SUM($B24:Q24)))</x:f>
        <x:v>7.800000000000001</x:v>
      </x:c>
      <x:c r="S24" s="62" t="n">
        <x:f>MIN(S22*'每日计划'!S10,MAX(0,900-SUM($B24:R24)))</x:f>
        <x:v>7.280000000000001</x:v>
      </x:c>
      <x:c r="T24" s="62" t="n">
        <x:f>MIN(T22*'每日计划'!T10,MAX(0,900-SUM($B24:S24)))</x:f>
        <x:v>7.280000000000001</x:v>
      </x:c>
      <x:c r="U24" s="62" t="n">
        <x:f>MIN(U22*'每日计划'!U10,MAX(0,900-SUM($B24:T24)))</x:f>
        <x:v>6.760000000000001</x:v>
      </x:c>
      <x:c r="V24" s="62" t="n">
        <x:f>MIN(V22*'每日计划'!V10,MAX(0,900-SUM($B24:U24)))</x:f>
        <x:v>6.760000000000001</x:v>
      </x:c>
      <x:c r="W24" s="62" t="n">
        <x:f>MIN(W22*'每日计划'!W10,MAX(0,900-SUM($B24:V24)))</x:f>
        <x:v>6.760000000000001</x:v>
      </x:c>
      <x:c r="X24" s="62" t="n">
        <x:f>MIN(X22*'每日计划'!X10,MAX(0,900-SUM($B24:W24)))</x:f>
        <x:v>6.240000000000001</x:v>
      </x:c>
      <x:c r="Y24" s="62" t="n">
        <x:f>MIN(Y22*'每日计划'!Y10,MAX(0,900-SUM($B24:X24)))</x:f>
        <x:v>6.240000000000001</x:v>
      </x:c>
      <x:c r="Z24" s="62" t="n">
        <x:f>MIN(Z22*'每日计划'!Z10,MAX(0,900-SUM($B24:Y24)))</x:f>
        <x:v>6.240000000000001</x:v>
      </x:c>
      <x:c r="AA24" s="62" t="n">
        <x:f>MIN(AA22*'每日计划'!AA10,MAX(0,900-SUM($B24:Z24)))</x:f>
        <x:v>5.720000000000001</x:v>
      </x:c>
      <x:c r="AB24" s="62" t="n">
        <x:f>MIN(AB22*'每日计划'!AB10,MAX(0,900-SUM($B24:AA24)))</x:f>
        <x:v>5.720000000000001</x:v>
      </x:c>
      <x:c r="AC24" s="62" t="n">
        <x:f>MIN(AC22*'每日计划'!AC10,MAX(0,900-SUM($B24:AB24)))</x:f>
        <x:v>5.720000000000001</x:v>
      </x:c>
      <x:c r="AD24" s="62" t="n">
        <x:f>MIN(AD22*'每日计划'!AD10,MAX(0,900-SUM($B24:AC24)))</x:f>
        <x:v>5.720000000000001</x:v>
      </x:c>
      <x:c r="AE24" s="62" t="n">
        <x:f>MIN(AE22*'每日计划'!AE10,MAX(0,900-SUM($B24:AD24)))</x:f>
        <x:v>5.2</x:v>
      </x:c>
      <x:c r="AF24" s="65" t="str">
        <x:v>新关累计最多900关；重复挑战不再发新关宝箱，代表关卡按期初进度取整</x:v>
      </x:c>
    </x:row>
    <x:row r="25" ht="28" customHeight="1">
      <x:c r="A25" s="62" t="str">
        <x:v>期末解锁关卡期望</x:v>
      </x:c>
      <x:c r="B25" s="62" t="n">
        <x:f>MIN(900,1+SUM($B24:B24))</x:f>
        <x:v>10.360000000000001</x:v>
      </x:c>
      <x:c r="C25" s="62" t="n">
        <x:f>MIN(900,1+SUM($B24:C24))</x:f>
        <x:v>20.76</x:v>
      </x:c>
      <x:c r="D25" s="62" t="n">
        <x:f>MIN(900,1+SUM($B24:D24))</x:f>
        <x:v>31.160000000000004</x:v>
      </x:c>
      <x:c r="E25" s="62" t="n">
        <x:f>MIN(900,1+SUM($B24:E24))</x:f>
        <x:v>41.56</x:v>
      </x:c>
      <x:c r="F25" s="62" t="n">
        <x:f>MIN(900,1+SUM($B24:F24))</x:f>
        <x:v>51.96</x:v>
      </x:c>
      <x:c r="G25" s="62" t="n">
        <x:f>MIN(900,1+SUM($B24:G24))</x:f>
        <x:v>62.36</x:v>
      </x:c>
      <x:c r="H25" s="62" t="n">
        <x:f>MIN(900,1+SUM($B24:H24))</x:f>
        <x:v>72.76</x:v>
      </x:c>
      <x:c r="I25" s="62" t="n">
        <x:f>MIN(900,1+SUM($B24:I24))</x:f>
        <x:v>83.16000000000001</x:v>
      </x:c>
      <x:c r="J25" s="62" t="n">
        <x:f>MIN(900,1+SUM($B24:J24))</x:f>
        <x:v>93.56000000000002</x:v>
      </x:c>
      <x:c r="K25" s="62" t="n">
        <x:f>MIN(900,1+SUM($B24:K24))</x:f>
        <x:v>103.44000000000001</x:v>
      </x:c>
      <x:c r="L25" s="62" t="n">
        <x:f>MIN(900,1+SUM($B24:L24))</x:f>
        <x:v>112.80000000000001</x:v>
      </x:c>
      <x:c r="M25" s="62" t="n">
        <x:f>MIN(900,1+SUM($B24:M24))</x:f>
        <x:v>122.16000000000001</x:v>
      </x:c>
      <x:c r="N25" s="62" t="n">
        <x:f>MIN(900,1+SUM($B24:N24))</x:f>
        <x:v>131</x:v>
      </x:c>
      <x:c r="O25" s="62" t="n">
        <x:f>MIN(900,1+SUM($B24:O24))</x:f>
        <x:v>139.32</x:v>
      </x:c>
      <x:c r="P25" s="62" t="n">
        <x:f>MIN(900,1+SUM($B24:P24))</x:f>
        <x:v>147.64</x:v>
      </x:c>
      <x:c r="Q25" s="62" t="n">
        <x:f>MIN(900,1+SUM($B24:Q24))</x:f>
        <x:v>155.44</x:v>
      </x:c>
      <x:c r="R25" s="62" t="n">
        <x:f>MIN(900,1+SUM($B24:R24))</x:f>
        <x:v>163.24</x:v>
      </x:c>
      <x:c r="S25" s="62" t="n">
        <x:f>MIN(900,1+SUM($B24:S24))</x:f>
        <x:v>170.52</x:v>
      </x:c>
      <x:c r="T25" s="62" t="n">
        <x:f>MIN(900,1+SUM($B24:T24))</x:f>
        <x:v>177.8</x:v>
      </x:c>
      <x:c r="U25" s="62" t="n">
        <x:f>MIN(900,1+SUM($B24:U24))</x:f>
        <x:v>184.56</x:v>
      </x:c>
      <x:c r="V25" s="62" t="n">
        <x:f>MIN(900,1+SUM($B24:V24))</x:f>
        <x:v>191.32</x:v>
      </x:c>
      <x:c r="W25" s="62" t="n">
        <x:f>MIN(900,1+SUM($B24:W24))</x:f>
        <x:v>198.07999999999998</x:v>
      </x:c>
      <x:c r="X25" s="62" t="n">
        <x:f>MIN(900,1+SUM($B24:X24))</x:f>
        <x:v>204.32</x:v>
      </x:c>
      <x:c r="Y25" s="62" t="n">
        <x:f>MIN(900,1+SUM($B24:Y24))</x:f>
        <x:v>210.56</x:v>
      </x:c>
      <x:c r="Z25" s="62" t="n">
        <x:f>MIN(900,1+SUM($B24:Z24))</x:f>
        <x:v>216.8</x:v>
      </x:c>
      <x:c r="AA25" s="62" t="n">
        <x:f>MIN(900,1+SUM($B24:AA24))</x:f>
        <x:v>222.52</x:v>
      </x:c>
      <x:c r="AB25" s="62" t="n">
        <x:f>MIN(900,1+SUM($B24:AB24))</x:f>
        <x:v>228.24</x:v>
      </x:c>
      <x:c r="AC25" s="62" t="n">
        <x:f>MIN(900,1+SUM($B24:AC24))</x:f>
        <x:v>233.96</x:v>
      </x:c>
      <x:c r="AD25" s="62" t="n">
        <x:f>MIN(900,1+SUM($B24:AD24))</x:f>
        <x:v>239.68</x:v>
      </x:c>
      <x:c r="AE25" s="62" t="n">
        <x:f>MIN(900,1+SUM($B24:AE24))</x:f>
        <x:v>244.88</x:v>
      </x:c>
      <x:c r="AF25" s="65"/>
    </x:row>
    <x:row r="26" ht="28" customHeight="1">
      <x:c r="A26" s="62" t="str">
        <x:v>主线体力消耗</x:v>
      </x:c>
      <x:c r="B26" s="62" t="n">
        <x:f>B21*'经济参数'!$E$11</x:f>
        <x:v>180</x:v>
      </x:c>
      <x:c r="C26" s="62" t="n">
        <x:f>C21*'经济参数'!$E$11</x:f>
        <x:v>200</x:v>
      </x:c>
      <x:c r="D26" s="62" t="n">
        <x:f>D21*'经济参数'!$E$11</x:f>
        <x:v>200</x:v>
      </x:c>
      <x:c r="E26" s="62" t="n">
        <x:f>E21*'经济参数'!$E$11</x:f>
        <x:v>200</x:v>
      </x:c>
      <x:c r="F26" s="62" t="n">
        <x:f>F21*'经济参数'!$E$11</x:f>
        <x:v>200</x:v>
      </x:c>
      <x:c r="G26" s="62" t="n">
        <x:f>G21*'经济参数'!$E$11</x:f>
        <x:v>200</x:v>
      </x:c>
      <x:c r="H26" s="62" t="n">
        <x:f>H21*'经济参数'!$E$11</x:f>
        <x:v>200</x:v>
      </x:c>
      <x:c r="I26" s="62" t="n">
        <x:f>I21*'经济参数'!$E$11</x:f>
        <x:v>200</x:v>
      </x:c>
      <x:c r="J26" s="62" t="n">
        <x:f>J21*'经济参数'!$E$11</x:f>
        <x:v>200</x:v>
      </x:c>
      <x:c r="K26" s="62" t="n">
        <x:f>K21*'经济参数'!$E$11</x:f>
        <x:v>190</x:v>
      </x:c>
      <x:c r="L26" s="62" t="n">
        <x:f>L21*'经济参数'!$E$11</x:f>
        <x:v>180</x:v>
      </x:c>
      <x:c r="M26" s="62" t="n">
        <x:f>M21*'经济参数'!$E$11</x:f>
        <x:v>180</x:v>
      </x:c>
      <x:c r="N26" s="62" t="n">
        <x:f>N21*'经济参数'!$E$11</x:f>
        <x:v>170</x:v>
      </x:c>
      <x:c r="O26" s="62" t="n">
        <x:f>O21*'经济参数'!$E$11</x:f>
        <x:v>160</x:v>
      </x:c>
      <x:c r="P26" s="62" t="n">
        <x:f>P21*'经济参数'!$E$11</x:f>
        <x:v>160</x:v>
      </x:c>
      <x:c r="Q26" s="62" t="n">
        <x:f>Q21*'经济参数'!$E$11</x:f>
        <x:v>150</x:v>
      </x:c>
      <x:c r="R26" s="62" t="n">
        <x:f>R21*'经济参数'!$E$11</x:f>
        <x:v>150</x:v>
      </x:c>
      <x:c r="S26" s="62" t="n">
        <x:f>S21*'经济参数'!$E$11</x:f>
        <x:v>140</x:v>
      </x:c>
      <x:c r="T26" s="62" t="n">
        <x:f>T21*'经济参数'!$E$11</x:f>
        <x:v>140</x:v>
      </x:c>
      <x:c r="U26" s="62" t="n">
        <x:f>U21*'经济参数'!$E$11</x:f>
        <x:v>130</x:v>
      </x:c>
      <x:c r="V26" s="62" t="n">
        <x:f>V21*'经济参数'!$E$11</x:f>
        <x:v>130</x:v>
      </x:c>
      <x:c r="W26" s="62" t="n">
        <x:f>W21*'经济参数'!$E$11</x:f>
        <x:v>130</x:v>
      </x:c>
      <x:c r="X26" s="62" t="n">
        <x:f>X21*'经济参数'!$E$11</x:f>
        <x:v>120</x:v>
      </x:c>
      <x:c r="Y26" s="62" t="n">
        <x:f>Y21*'经济参数'!$E$11</x:f>
        <x:v>120</x:v>
      </x:c>
      <x:c r="Z26" s="62" t="n">
        <x:f>Z21*'经济参数'!$E$11</x:f>
        <x:v>120</x:v>
      </x:c>
      <x:c r="AA26" s="62" t="n">
        <x:f>AA21*'经济参数'!$E$11</x:f>
        <x:v>110</x:v>
      </x:c>
      <x:c r="AB26" s="62" t="n">
        <x:f>AB21*'经济参数'!$E$11</x:f>
        <x:v>110</x:v>
      </x:c>
      <x:c r="AC26" s="62" t="n">
        <x:f>AC21*'经济参数'!$E$11</x:f>
        <x:v>110</x:v>
      </x:c>
      <x:c r="AD26" s="62" t="n">
        <x:f>AD21*'经济参数'!$E$11</x:f>
        <x:v>110</x:v>
      </x:c>
      <x:c r="AE26" s="62" t="n">
        <x:f>AE21*'经济参数'!$E$11</x:f>
        <x:v>100</x:v>
      </x:c>
      <x:c r="AF26" s="65"/>
    </x:row>
    <x:row r="27" ht="28" customHeight="1">
      <x:c r="A27" s="125" t="str">
        <x:v>期末体力</x:v>
      </x:c>
      <x:c r="B27" s="125" t="n">
        <x:f>B19-B26</x:f>
        <x:v>5</x:v>
      </x:c>
      <x:c r="C27" s="125" t="n">
        <x:f>C19-C26</x:f>
        <x:v>5</x:v>
      </x:c>
      <x:c r="D27" s="125" t="n">
        <x:f>D19-D26</x:f>
        <x:v>5</x:v>
      </x:c>
      <x:c r="E27" s="125" t="n">
        <x:f>E19-E26</x:f>
        <x:v>5</x:v>
      </x:c>
      <x:c r="F27" s="125" t="n">
        <x:f>F19-F26</x:f>
        <x:v>5</x:v>
      </x:c>
      <x:c r="G27" s="125" t="n">
        <x:f>G19-G26</x:f>
        <x:v>5</x:v>
      </x:c>
      <x:c r="H27" s="125" t="n">
        <x:f>H19-H26</x:f>
        <x:v>5</x:v>
      </x:c>
      <x:c r="I27" s="125" t="n">
        <x:f>I19-I26</x:f>
        <x:v>5</x:v>
      </x:c>
      <x:c r="J27" s="125" t="n">
        <x:f>J19-J26</x:f>
        <x:v>5</x:v>
      </x:c>
      <x:c r="K27" s="125" t="n">
        <x:f>K19-K26</x:f>
        <x:v>15</x:v>
      </x:c>
      <x:c r="L27" s="125" t="n">
        <x:f>L19-L26</x:f>
        <x:v>35</x:v>
      </x:c>
      <x:c r="M27" s="125" t="n">
        <x:f>M19-M26</x:f>
        <x:v>55</x:v>
      </x:c>
      <x:c r="N27" s="125" t="n">
        <x:f>N19-N26</x:f>
        <x:v>85</x:v>
      </x:c>
      <x:c r="O27" s="125" t="n">
        <x:f>O19-O26</x:f>
        <x:v>125</x:v>
      </x:c>
      <x:c r="P27" s="125" t="n">
        <x:f>P19-P26</x:f>
        <x:v>165</x:v>
      </x:c>
      <x:c r="Q27" s="125" t="n">
        <x:f>Q19-Q26</x:f>
        <x:v>215</x:v>
      </x:c>
      <x:c r="R27" s="125" t="n">
        <x:f>R19-R26</x:f>
        <x:v>265</x:v>
      </x:c>
      <x:c r="S27" s="125" t="n">
        <x:f>S19-S26</x:f>
        <x:v>325</x:v>
      </x:c>
      <x:c r="T27" s="125" t="n">
        <x:f>T19-T26</x:f>
        <x:v>360</x:v>
      </x:c>
      <x:c r="U27" s="125" t="n">
        <x:f>U19-U26</x:f>
        <x:v>370</x:v>
      </x:c>
      <x:c r="V27" s="125" t="n">
        <x:f>V19-V26</x:f>
        <x:v>370</x:v>
      </x:c>
      <x:c r="W27" s="125" t="n">
        <x:f>W19-W26</x:f>
        <x:v>370</x:v>
      </x:c>
      <x:c r="X27" s="125" t="n">
        <x:f>X19-X26</x:f>
        <x:v>380</x:v>
      </x:c>
      <x:c r="Y27" s="125" t="n">
        <x:f>Y19-Y26</x:f>
        <x:v>380</x:v>
      </x:c>
      <x:c r="Z27" s="125" t="n">
        <x:f>Z19-Z26</x:f>
        <x:v>380</x:v>
      </x:c>
      <x:c r="AA27" s="125" t="n">
        <x:f>AA19-AA26</x:f>
        <x:v>390</x:v>
      </x:c>
      <x:c r="AB27" s="125" t="n">
        <x:f>AB19-AB26</x:f>
        <x:v>390</x:v>
      </x:c>
      <x:c r="AC27" s="125" t="n">
        <x:f>AC19-AC26</x:f>
        <x:v>390</x:v>
      </x:c>
      <x:c r="AD27" s="125" t="n">
        <x:f>AD19-AD26</x:f>
        <x:v>390</x:v>
      </x:c>
      <x:c r="AE27" s="125" t="n">
        <x:f>AE19-AE26</x:f>
        <x:v>400</x:v>
      </x:c>
      <x:c r="AF27" s="65"/>
    </x:row>
    <x:row r="28" ht="28" customHeight="1">
      <x:c r="A28" s="62" t="str">
        <x:v>实际计划在线分钟</x:v>
      </x:c>
      <x:c r="B28" s="62" t="n">
        <x:f>B21*B13+B11*B114+B12</x:f>
        <x:v>65.05000000000001</x:v>
      </x:c>
      <x:c r="C28" s="62" t="n">
        <x:f>C21*C13+C11*C114+C12</x:f>
        <x:v>72.03333333333333</x:v>
      </x:c>
      <x:c r="D28" s="62" t="n">
        <x:f>D21*D13+D11*D114+D12</x:f>
        <x:v>73.5</x:v>
      </x:c>
      <x:c r="E28" s="62" t="n">
        <x:f>E21*E13+E11*E114+E12</x:f>
        <x:v>75.23333333333333</x:v>
      </x:c>
      <x:c r="F28" s="62" t="n">
        <x:f>F21*F13+F11*F114+F12</x:f>
        <x:v>76.83333333333333</x:v>
      </x:c>
      <x:c r="G28" s="62" t="n">
        <x:f>G21*G13+G11*G114+G12</x:f>
        <x:v>78.3</x:v>
      </x:c>
      <x:c r="H28" s="62" t="n">
        <x:f>H21*H13+H11*H114+H12</x:f>
        <x:v>80.7</x:v>
      </x:c>
      <x:c r="I28" s="62" t="n">
        <x:f>I21*I13+I11*I114+I12</x:f>
        <x:v>84.03333333333335</x:v>
      </x:c>
      <x:c r="J28" s="62" t="n">
        <x:f>J21*J13+J11*J114+J12</x:f>
        <x:v>87.63333333333333</x:v>
      </x:c>
      <x:c r="K28" s="62" t="n">
        <x:f>K21*K13+K11*K114+K12</x:f>
        <x:v>87.42833333333334</x:v>
      </x:c>
      <x:c r="L28" s="62" t="n">
        <x:f>L21*L13+L11*L114+L12</x:f>
        <x:v>86.69</x:v>
      </x:c>
      <x:c r="M28" s="62" t="n">
        <x:f>M21*M13+M11*M114+M12</x:f>
        <x:v>89.46333333333334</x:v>
      </x:c>
      <x:c r="N28" s="62" t="n">
        <x:f>N21*N13+N11*N114+N12</x:f>
        <x:v>88.73833333333333</x:v>
      </x:c>
      <x:c r="O28" s="62" t="n">
        <x:f>O21*O13+O11*O114+O12</x:f>
        <x:v>87.16000000000001</x:v>
      </x:c>
      <x:c r="P28" s="62" t="n">
        <x:f>P21*P13+P11*P114+P12</x:f>
        <x:v>89.21333333333334</x:v>
      </x:c>
      <x:c r="Q28" s="62" t="n">
        <x:f>Q21*Q13+Q11*Q114+Q12</x:f>
        <x:v>87.275</x:v>
      </x:c>
      <x:c r="R28" s="62" t="n">
        <x:f>R21*R13+R11*R114+R12</x:f>
        <x:v>89.275</x:v>
      </x:c>
      <x:c r="S28" s="62" t="n">
        <x:f>S21*S13+S11*S114+S12</x:f>
        <x:v>87.07</x:v>
      </x:c>
      <x:c r="T28" s="62" t="n">
        <x:f>T21*T13+T11*T114+T12</x:f>
        <x:v>88.69666666666666</x:v>
      </x:c>
      <x:c r="U28" s="62" t="n">
        <x:f>U21*U13+U11*U114+U12</x:f>
        <x:v>86.23833333333333</x:v>
      </x:c>
      <x:c r="V28" s="62" t="n">
        <x:f>V21*V13+V11*V114+V12</x:f>
        <x:v>87.825</x:v>
      </x:c>
      <x:c r="W28" s="62" t="n">
        <x:f>W21*W13+W11*W114+W12</x:f>
        <x:v>89.41166666666666</x:v>
      </x:c>
      <x:c r="X28" s="62" t="n">
        <x:f>X21*X13+X11*X114+X12</x:f>
        <x:v>86.95333333333333</x:v>
      </x:c>
      <x:c r="Y28" s="62" t="n">
        <x:f>Y21*Y13+Y11*Y114+Y12</x:f>
        <x:v>87.88666666666667</x:v>
      </x:c>
      <x:c r="Z28" s="62" t="n">
        <x:f>Z21*Z13+Z11*Z114+Z12</x:f>
        <x:v>89.29999999999998</x:v>
      </x:c>
      <x:c r="AA28" s="62" t="n">
        <x:f>AA21*AA13+AA11*AA114+AA12</x:f>
        <x:v>86.12166666666667</x:v>
      </x:c>
      <x:c r="AB28" s="62" t="n">
        <x:f>AB21*AB13+AB11*AB114+AB12</x:f>
        <x:v>87.495</x:v>
      </x:c>
      <x:c r="AC28" s="62" t="n">
        <x:f>AC21*AC13+AC11*AC114+AC12</x:f>
        <x:v>88.72166666666666</x:v>
      </x:c>
      <x:c r="AD28" s="62" t="n">
        <x:f>AD21*AD13+AD11*AD114+AD12</x:f>
        <x:v>89.68166666666667</x:v>
      </x:c>
      <x:c r="AE28" s="62" t="n">
        <x:f>AE21*AE13+AE11*AE114+AE12</x:f>
        <x:v>86.38333333333333</x:v>
      </x:c>
      <x:c r="AF28" s="65"/>
    </x:row>
    <x:row r="29" ht="28" customHeight="1">
      <x:c r="A29" s="62" t="str">
        <x:v>失败到达波次</x:v>
      </x:c>
      <x:c r="B29" s="62" t="n">
        <x:f>MIN(B8,MAX(1,ROUNDUP(B8*'每日计划'!B11,0)))</x:f>
        <x:v>2</x:v>
      </x:c>
      <x:c r="C29" s="62" t="n">
        <x:f>MIN(C8,MAX(1,ROUNDUP(C8*'每日计划'!C11,0)))</x:f>
        <x:v>5</x:v>
      </x:c>
      <x:c r="D29" s="62" t="n">
        <x:f>MIN(D8,MAX(1,ROUNDUP(D8*'每日计划'!D11,0)))</x:f>
        <x:v>5</x:v>
      </x:c>
      <x:c r="E29" s="62" t="n">
        <x:f>MIN(E8,MAX(1,ROUNDUP(E8*'每日计划'!E11,0)))</x:f>
        <x:v>5</x:v>
      </x:c>
      <x:c r="F29" s="62" t="n">
        <x:f>MIN(F8,MAX(1,ROUNDUP(F8*'每日计划'!F11,0)))</x:f>
        <x:v>5</x:v>
      </x:c>
      <x:c r="G29" s="62" t="n">
        <x:f>MIN(G8,MAX(1,ROUNDUP(G8*'每日计划'!G11,0)))</x:f>
        <x:v>5</x:v>
      </x:c>
      <x:c r="H29" s="62" t="n">
        <x:f>MIN(H8,MAX(1,ROUNDUP(H8*'每日计划'!H11,0)))</x:f>
        <x:v>5</x:v>
      </x:c>
      <x:c r="I29" s="62" t="n">
        <x:f>MIN(I8,MAX(1,ROUNDUP(I8*'每日计划'!I11,0)))</x:f>
        <x:v>5</x:v>
      </x:c>
      <x:c r="J29" s="62" t="n">
        <x:f>MIN(J8,MAX(1,ROUNDUP(J8*'每日计划'!J11,0)))</x:f>
        <x:v>5</x:v>
      </x:c>
      <x:c r="K29" s="62" t="n">
        <x:f>MIN(K8,MAX(1,ROUNDUP(K8*'每日计划'!K11,0)))</x:f>
        <x:v>5</x:v>
      </x:c>
      <x:c r="L29" s="62" t="n">
        <x:f>MIN(L8,MAX(1,ROUNDUP(L8*'每日计划'!L11,0)))</x:f>
        <x:v>5</x:v>
      </x:c>
      <x:c r="M29" s="62" t="n">
        <x:f>MIN(M8,MAX(1,ROUNDUP(M8*'每日计划'!M11,0)))</x:f>
        <x:v>5</x:v>
      </x:c>
      <x:c r="N29" s="62" t="n">
        <x:f>MIN(N8,MAX(1,ROUNDUP(N8*'每日计划'!N11,0)))</x:f>
        <x:v>5</x:v>
      </x:c>
      <x:c r="O29" s="62" t="n">
        <x:f>MIN(O8,MAX(1,ROUNDUP(O8*'每日计划'!O11,0)))</x:f>
        <x:v>5</x:v>
      </x:c>
      <x:c r="P29" s="62" t="n">
        <x:f>MIN(P8,MAX(1,ROUNDUP(P8*'每日计划'!P11,0)))</x:f>
        <x:v>5</x:v>
      </x:c>
      <x:c r="Q29" s="62" t="n">
        <x:f>MIN(Q8,MAX(1,ROUNDUP(Q8*'每日计划'!Q11,0)))</x:f>
        <x:v>5</x:v>
      </x:c>
      <x:c r="R29" s="62" t="n">
        <x:f>MIN(R8,MAX(1,ROUNDUP(R8*'每日计划'!R11,0)))</x:f>
        <x:v>5</x:v>
      </x:c>
      <x:c r="S29" s="62" t="n">
        <x:f>MIN(S8,MAX(1,ROUNDUP(S8*'每日计划'!S11,0)))</x:f>
        <x:v>5</x:v>
      </x:c>
      <x:c r="T29" s="62" t="n">
        <x:f>MIN(T8,MAX(1,ROUNDUP(T8*'每日计划'!T11,0)))</x:f>
        <x:v>5</x:v>
      </x:c>
      <x:c r="U29" s="62" t="n">
        <x:f>MIN(U8,MAX(1,ROUNDUP(U8*'每日计划'!U11,0)))</x:f>
        <x:v>5</x:v>
      </x:c>
      <x:c r="V29" s="62" t="n">
        <x:f>MIN(V8,MAX(1,ROUNDUP(V8*'每日计划'!V11,0)))</x:f>
        <x:v>5</x:v>
      </x:c>
      <x:c r="W29" s="62" t="n">
        <x:f>MIN(W8,MAX(1,ROUNDUP(W8*'每日计划'!W11,0)))</x:f>
        <x:v>5</x:v>
      </x:c>
      <x:c r="X29" s="62" t="n">
        <x:f>MIN(X8,MAX(1,ROUNDUP(X8*'每日计划'!X11,0)))</x:f>
        <x:v>5</x:v>
      </x:c>
      <x:c r="Y29" s="62" t="n">
        <x:f>MIN(Y8,MAX(1,ROUNDUP(Y8*'每日计划'!Y11,0)))</x:f>
        <x:v>5</x:v>
      </x:c>
      <x:c r="Z29" s="62" t="n">
        <x:f>MIN(Z8,MAX(1,ROUNDUP(Z8*'每日计划'!Z11,0)))</x:f>
        <x:v>5</x:v>
      </x:c>
      <x:c r="AA29" s="62" t="n">
        <x:f>MIN(AA8,MAX(1,ROUNDUP(AA8*'每日计划'!AA11,0)))</x:f>
        <x:v>5</x:v>
      </x:c>
      <x:c r="AB29" s="62" t="n">
        <x:f>MIN(AB8,MAX(1,ROUNDUP(AB8*'每日计划'!AB11,0)))</x:f>
        <x:v>5</x:v>
      </x:c>
      <x:c r="AC29" s="62" t="n">
        <x:f>MIN(AC8,MAX(1,ROUNDUP(AC8*'每日计划'!AC11,0)))</x:f>
        <x:v>5</x:v>
      </x:c>
      <x:c r="AD29" s="62" t="n">
        <x:f>MIN(AD8,MAX(1,ROUNDUP(AD8*'每日计划'!AD11,0)))</x:f>
        <x:v>5</x:v>
      </x:c>
      <x:c r="AE29" s="62" t="n">
        <x:f>MIN(AE8,MAX(1,ROUNDUP(AE8*'每日计划'!AE11,0)))</x:f>
        <x:v>5</x:v>
      </x:c>
      <x:c r="AF29" s="65"/>
    </x:row>
    <x:row r="30" ht="28" customHeight="1">
      <x:c r="A30" s="62" t="str">
        <x:v>结算平均倍率</x:v>
      </x:c>
      <x:c r="B30" s="62" t="n">
        <x:f>1+'每日计划'!B14*('经济参数'!$E$26-1)</x:f>
        <x:v>1.25</x:v>
      </x:c>
      <x:c r="C30" s="62" t="n">
        <x:f>1+'每日计划'!C14*('经济参数'!$E$26-1)</x:f>
        <x:v>1.25</x:v>
      </x:c>
      <x:c r="D30" s="62" t="n">
        <x:f>1+'每日计划'!D14*('经济参数'!$E$26-1)</x:f>
        <x:v>1.25</x:v>
      </x:c>
      <x:c r="E30" s="62" t="n">
        <x:f>1+'每日计划'!E14*('经济参数'!$E$26-1)</x:f>
        <x:v>1.25</x:v>
      </x:c>
      <x:c r="F30" s="62" t="n">
        <x:f>1+'每日计划'!F14*('经济参数'!$E$26-1)</x:f>
        <x:v>1.25</x:v>
      </x:c>
      <x:c r="G30" s="62" t="n">
        <x:f>1+'每日计划'!G14*('经济参数'!$E$26-1)</x:f>
        <x:v>1.25</x:v>
      </x:c>
      <x:c r="H30" s="62" t="n">
        <x:f>1+'每日计划'!H14*('经济参数'!$E$26-1)</x:f>
        <x:v>1.25</x:v>
      </x:c>
      <x:c r="I30" s="62" t="n">
        <x:f>1+'每日计划'!I14*('经济参数'!$E$26-1)</x:f>
        <x:v>1.25</x:v>
      </x:c>
      <x:c r="J30" s="62" t="n">
        <x:f>1+'每日计划'!J14*('经济参数'!$E$26-1)</x:f>
        <x:v>1.25</x:v>
      </x:c>
      <x:c r="K30" s="62" t="n">
        <x:f>1+'每日计划'!K14*('经济参数'!$E$26-1)</x:f>
        <x:v>1.25</x:v>
      </x:c>
      <x:c r="L30" s="62" t="n">
        <x:f>1+'每日计划'!L14*('经济参数'!$E$26-1)</x:f>
        <x:v>1.25</x:v>
      </x:c>
      <x:c r="M30" s="62" t="n">
        <x:f>1+'每日计划'!M14*('经济参数'!$E$26-1)</x:f>
        <x:v>1.25</x:v>
      </x:c>
      <x:c r="N30" s="62" t="n">
        <x:f>1+'每日计划'!N14*('经济参数'!$E$26-1)</x:f>
        <x:v>1.25</x:v>
      </x:c>
      <x:c r="O30" s="62" t="n">
        <x:f>1+'每日计划'!O14*('经济参数'!$E$26-1)</x:f>
        <x:v>1.25</x:v>
      </x:c>
      <x:c r="P30" s="62" t="n">
        <x:f>1+'每日计划'!P14*('经济参数'!$E$26-1)</x:f>
        <x:v>1.25</x:v>
      </x:c>
      <x:c r="Q30" s="62" t="n">
        <x:f>1+'每日计划'!Q14*('经济参数'!$E$26-1)</x:f>
        <x:v>1.25</x:v>
      </x:c>
      <x:c r="R30" s="62" t="n">
        <x:f>1+'每日计划'!R14*('经济参数'!$E$26-1)</x:f>
        <x:v>1.25</x:v>
      </x:c>
      <x:c r="S30" s="62" t="n">
        <x:f>1+'每日计划'!S14*('经济参数'!$E$26-1)</x:f>
        <x:v>1.25</x:v>
      </x:c>
      <x:c r="T30" s="62" t="n">
        <x:f>1+'每日计划'!T14*('经济参数'!$E$26-1)</x:f>
        <x:v>1.25</x:v>
      </x:c>
      <x:c r="U30" s="62" t="n">
        <x:f>1+'每日计划'!U14*('经济参数'!$E$26-1)</x:f>
        <x:v>1.25</x:v>
      </x:c>
      <x:c r="V30" s="62" t="n">
        <x:f>1+'每日计划'!V14*('经济参数'!$E$26-1)</x:f>
        <x:v>1.25</x:v>
      </x:c>
      <x:c r="W30" s="62" t="n">
        <x:f>1+'每日计划'!W14*('经济参数'!$E$26-1)</x:f>
        <x:v>1.25</x:v>
      </x:c>
      <x:c r="X30" s="62" t="n">
        <x:f>1+'每日计划'!X14*('经济参数'!$E$26-1)</x:f>
        <x:v>1.25</x:v>
      </x:c>
      <x:c r="Y30" s="62" t="n">
        <x:f>1+'每日计划'!Y14*('经济参数'!$E$26-1)</x:f>
        <x:v>1.25</x:v>
      </x:c>
      <x:c r="Z30" s="62" t="n">
        <x:f>1+'每日计划'!Z14*('经济参数'!$E$26-1)</x:f>
        <x:v>1.25</x:v>
      </x:c>
      <x:c r="AA30" s="62" t="n">
        <x:f>1+'每日计划'!AA14*('经济参数'!$E$26-1)</x:f>
        <x:v>1.25</x:v>
      </x:c>
      <x:c r="AB30" s="62" t="n">
        <x:f>1+'每日计划'!AB14*('经济参数'!$E$26-1)</x:f>
        <x:v>1.25</x:v>
      </x:c>
      <x:c r="AC30" s="62" t="n">
        <x:f>1+'每日计划'!AC14*('经济参数'!$E$26-1)</x:f>
        <x:v>1.25</x:v>
      </x:c>
      <x:c r="AD30" s="62" t="n">
        <x:f>1+'每日计划'!AD14*('经济参数'!$E$26-1)</x:f>
        <x:v>1.25</x:v>
      </x:c>
      <x:c r="AE30" s="62" t="n">
        <x:f>1+'每日计划'!AE14*('经济参数'!$E$26-1)</x:f>
        <x:v>1.25</x:v>
      </x:c>
      <x:c r="AF30" s="65"/>
    </x:row>
    <x:row r="31" ht="28" customHeight="1">
      <x:c r="A31" s="62" t="str">
        <x:v>日常领取比例</x:v>
      </x:c>
      <x:c r="B31" s="110" t="n">
        <x:f>IF(B21+B11&gt;0,'每日计划'!B24,0)</x:f>
        <x:v>1</x:v>
      </x:c>
      <x:c r="C31" s="110" t="n">
        <x:f>IF(C21+C11&gt;0,'每日计划'!C24,0)</x:f>
        <x:v>1</x:v>
      </x:c>
      <x:c r="D31" s="110" t="n">
        <x:f>IF(D21+D11&gt;0,'每日计划'!D24,0)</x:f>
        <x:v>1</x:v>
      </x:c>
      <x:c r="E31" s="110" t="n">
        <x:f>IF(E21+E11&gt;0,'每日计划'!E24,0)</x:f>
        <x:v>1</x:v>
      </x:c>
      <x:c r="F31" s="110" t="n">
        <x:f>IF(F21+F11&gt;0,'每日计划'!F24,0)</x:f>
        <x:v>1</x:v>
      </x:c>
      <x:c r="G31" s="110" t="n">
        <x:f>IF(G21+G11&gt;0,'每日计划'!G24,0)</x:f>
        <x:v>1</x:v>
      </x:c>
      <x:c r="H31" s="110" t="n">
        <x:f>IF(H21+H11&gt;0,'每日计划'!H24,0)</x:f>
        <x:v>1</x:v>
      </x:c>
      <x:c r="I31" s="110" t="n">
        <x:f>IF(I21+I11&gt;0,'每日计划'!I24,0)</x:f>
        <x:v>1</x:v>
      </x:c>
      <x:c r="J31" s="110" t="n">
        <x:f>IF(J21+J11&gt;0,'每日计划'!J24,0)</x:f>
        <x:v>1</x:v>
      </x:c>
      <x:c r="K31" s="110" t="n">
        <x:f>IF(K21+K11&gt;0,'每日计划'!K24,0)</x:f>
        <x:v>1</x:v>
      </x:c>
      <x:c r="L31" s="110" t="n">
        <x:f>IF(L21+L11&gt;0,'每日计划'!L24,0)</x:f>
        <x:v>1</x:v>
      </x:c>
      <x:c r="M31" s="110" t="n">
        <x:f>IF(M21+M11&gt;0,'每日计划'!M24,0)</x:f>
        <x:v>1</x:v>
      </x:c>
      <x:c r="N31" s="110" t="n">
        <x:f>IF(N21+N11&gt;0,'每日计划'!N24,0)</x:f>
        <x:v>1</x:v>
      </x:c>
      <x:c r="O31" s="110" t="n">
        <x:f>IF(O21+O11&gt;0,'每日计划'!O24,0)</x:f>
        <x:v>1</x:v>
      </x:c>
      <x:c r="P31" s="110" t="n">
        <x:f>IF(P21+P11&gt;0,'每日计划'!P24,0)</x:f>
        <x:v>1</x:v>
      </x:c>
      <x:c r="Q31" s="110" t="n">
        <x:f>IF(Q21+Q11&gt;0,'每日计划'!Q24,0)</x:f>
        <x:v>1</x:v>
      </x:c>
      <x:c r="R31" s="110" t="n">
        <x:f>IF(R21+R11&gt;0,'每日计划'!R24,0)</x:f>
        <x:v>1</x:v>
      </x:c>
      <x:c r="S31" s="110" t="n">
        <x:f>IF(S21+S11&gt;0,'每日计划'!S24,0)</x:f>
        <x:v>1</x:v>
      </x:c>
      <x:c r="T31" s="110" t="n">
        <x:f>IF(T21+T11&gt;0,'每日计划'!T24,0)</x:f>
        <x:v>1</x:v>
      </x:c>
      <x:c r="U31" s="110" t="n">
        <x:f>IF(U21+U11&gt;0,'每日计划'!U24,0)</x:f>
        <x:v>1</x:v>
      </x:c>
      <x:c r="V31" s="110" t="n">
        <x:f>IF(V21+V11&gt;0,'每日计划'!V24,0)</x:f>
        <x:v>1</x:v>
      </x:c>
      <x:c r="W31" s="110" t="n">
        <x:f>IF(W21+W11&gt;0,'每日计划'!W24,0)</x:f>
        <x:v>1</x:v>
      </x:c>
      <x:c r="X31" s="110" t="n">
        <x:f>IF(X21+X11&gt;0,'每日计划'!X24,0)</x:f>
        <x:v>1</x:v>
      </x:c>
      <x:c r="Y31" s="110" t="n">
        <x:f>IF(Y21+Y11&gt;0,'每日计划'!Y24,0)</x:f>
        <x:v>1</x:v>
      </x:c>
      <x:c r="Z31" s="110" t="n">
        <x:f>IF(Z21+Z11&gt;0,'每日计划'!Z24,0)</x:f>
        <x:v>1</x:v>
      </x:c>
      <x:c r="AA31" s="110" t="n">
        <x:f>IF(AA21+AA11&gt;0,'每日计划'!AA24,0)</x:f>
        <x:v>1</x:v>
      </x:c>
      <x:c r="AB31" s="110" t="n">
        <x:f>IF(AB21+AB11&gt;0,'每日计划'!AB24,0)</x:f>
        <x:v>1</x:v>
      </x:c>
      <x:c r="AC31" s="110" t="n">
        <x:f>IF(AC21+AC11&gt;0,'每日计划'!AC24,0)</x:f>
        <x:v>1</x:v>
      </x:c>
      <x:c r="AD31" s="110" t="n">
        <x:f>IF(AD21+AD11&gt;0,'每日计划'!AD24,0)</x:f>
        <x:v>1</x:v>
      </x:c>
      <x:c r="AE31" s="110" t="n">
        <x:f>IF(AE21+AE11&gt;0,'每日计划'!AE24,0)</x:f>
        <x:v>1</x:v>
      </x:c>
      <x:c r="AF31" s="65"/>
    </x:row>
    <x:row r="32" ht="28" customHeight="1">
      <x:c r="A32" s="62" t="str">
        <x:v>单关全额金币</x:v>
      </x:c>
      <x:c r="B32" s="62" t="n">
        <x:f>VLOOKUP(B7,'关卡总表'!$A$7:$AY$906,14,FALSE)</x:f>
        <x:v>200</x:v>
      </x:c>
      <x:c r="C32" s="62" t="n">
        <x:f>VLOOKUP(C7,'关卡总表'!$A$7:$AY$906,14,FALSE)</x:f>
        <x:v>380</x:v>
      </x:c>
      <x:c r="D32" s="62" t="n">
        <x:f>VLOOKUP(D7,'关卡总表'!$A$7:$AY$906,14,FALSE)</x:f>
        <x:v>580</x:v>
      </x:c>
      <x:c r="E32" s="62" t="n">
        <x:f>VLOOKUP(E7,'关卡总表'!$A$7:$AY$906,14,FALSE)</x:f>
        <x:v>800</x:v>
      </x:c>
      <x:c r="F32" s="62" t="n">
        <x:f>VLOOKUP(F7,'关卡总表'!$A$7:$AY$906,14,FALSE)</x:f>
        <x:v>1000</x:v>
      </x:c>
      <x:c r="G32" s="62" t="n">
        <x:f>VLOOKUP(G7,'关卡总表'!$A$7:$AY$906,14,FALSE)</x:f>
        <x:v>1200</x:v>
      </x:c>
      <x:c r="H32" s="62" t="n">
        <x:f>VLOOKUP(H7,'关卡总表'!$A$7:$AY$906,14,FALSE)</x:f>
        <x:v>1420</x:v>
      </x:c>
      <x:c r="I32" s="62" t="n">
        <x:f>VLOOKUP(I7,'关卡总表'!$A$7:$AY$906,14,FALSE)</x:f>
        <x:v>1620</x:v>
      </x:c>
      <x:c r="J32" s="62" t="n">
        <x:f>VLOOKUP(J7,'关卡总表'!$A$7:$AY$906,14,FALSE)</x:f>
        <x:v>1840</x:v>
      </x:c>
      <x:c r="K32" s="62" t="n">
        <x:f>VLOOKUP(K7,'关卡总表'!$A$7:$AY$906,14,FALSE)</x:f>
        <x:v>2040</x:v>
      </x:c>
      <x:c r="L32" s="62" t="n">
        <x:f>VLOOKUP(L7,'关卡总表'!$A$7:$AY$906,14,FALSE)</x:f>
        <x:v>2240</x:v>
      </x:c>
      <x:c r="M32" s="62" t="n">
        <x:f>VLOOKUP(M7,'关卡总表'!$A$7:$AY$906,14,FALSE)</x:f>
        <x:v>2420</x:v>
      </x:c>
      <x:c r="N32" s="62" t="n">
        <x:f>VLOOKUP(N7,'关卡总表'!$A$7:$AY$906,14,FALSE)</x:f>
        <x:v>2620</x:v>
      </x:c>
      <x:c r="O32" s="62" t="n">
        <x:f>VLOOKUP(O7,'关卡总表'!$A$7:$AY$906,14,FALSE)</x:f>
        <x:v>2800</x:v>
      </x:c>
      <x:c r="P32" s="62" t="n">
        <x:f>VLOOKUP(P7,'关卡总表'!$A$7:$AY$906,14,FALSE)</x:f>
        <x:v>2960</x:v>
      </x:c>
      <x:c r="Q32" s="62" t="n">
        <x:f>VLOOKUP(Q7,'关卡总表'!$A$7:$AY$906,14,FALSE)</x:f>
        <x:v>3120</x:v>
      </x:c>
      <x:c r="R32" s="62" t="n">
        <x:f>VLOOKUP(R7,'关卡总表'!$A$7:$AY$906,14,FALSE)</x:f>
        <x:v>3280</x:v>
      </x:c>
      <x:c r="S32" s="62" t="n">
        <x:f>VLOOKUP(S7,'关卡总表'!$A$7:$AY$906,14,FALSE)</x:f>
        <x:v>3440</x:v>
      </x:c>
      <x:c r="T32" s="62" t="n">
        <x:f>VLOOKUP(T7,'关卡总表'!$A$7:$AY$906,14,FALSE)</x:f>
        <x:v>3580</x:v>
      </x:c>
      <x:c r="U32" s="62" t="n">
        <x:f>VLOOKUP(U7,'关卡总表'!$A$7:$AY$906,14,FALSE)</x:f>
        <x:v>3720</x:v>
      </x:c>
      <x:c r="V32" s="62" t="n">
        <x:f>VLOOKUP(V7,'关卡总表'!$A$7:$AY$906,14,FALSE)</x:f>
        <x:v>3860</x:v>
      </x:c>
      <x:c r="W32" s="62" t="n">
        <x:f>VLOOKUP(W7,'关卡总表'!$A$7:$AY$906,14,FALSE)</x:f>
        <x:v>4000</x:v>
      </x:c>
      <x:c r="X32" s="62" t="n">
        <x:f>VLOOKUP(X7,'关卡总表'!$A$7:$AY$906,14,FALSE)</x:f>
        <x:v>4140</x:v>
      </x:c>
      <x:c r="Y32" s="62" t="n">
        <x:f>VLOOKUP(Y7,'关卡总表'!$A$7:$AY$906,14,FALSE)</x:f>
        <x:v>4260</x:v>
      </x:c>
      <x:c r="Z32" s="62" t="n">
        <x:f>VLOOKUP(Z7,'关卡总表'!$A$7:$AY$906,14,FALSE)</x:f>
        <x:v>4380</x:v>
      </x:c>
      <x:c r="AA32" s="62" t="n">
        <x:f>VLOOKUP(AA7,'关卡总表'!$A$7:$AY$906,14,FALSE)</x:f>
        <x:v>4500</x:v>
      </x:c>
      <x:c r="AB32" s="62" t="n">
        <x:f>VLOOKUP(AB7,'关卡总表'!$A$7:$AY$906,14,FALSE)</x:f>
        <x:v>4620</x:v>
      </x:c>
      <x:c r="AC32" s="62" t="n">
        <x:f>VLOOKUP(AC7,'关卡总表'!$A$7:$AY$906,14,FALSE)</x:f>
        <x:v>4740</x:v>
      </x:c>
      <x:c r="AD32" s="62" t="n">
        <x:f>VLOOKUP(AD7,'关卡总表'!$A$7:$AY$906,14,FALSE)</x:f>
        <x:v>4840</x:v>
      </x:c>
      <x:c r="AE32" s="62" t="n">
        <x:f>VLOOKUP(AE7,'关卡总表'!$A$7:$AY$906,14,FALSE)</x:f>
        <x:v>4960</x:v>
      </x:c>
      <x:c r="AF32" s="65"/>
    </x:row>
    <x:row r="33" ht="28" customHeight="1">
      <x:c r="A33" s="62" t="str">
        <x:v>单关全额元宝</x:v>
      </x:c>
      <x:c r="B33" s="62" t="n">
        <x:f>VLOOKUP(B7,'关卡总表'!$A$7:$AY$906,15,FALSE)</x:f>
        <x:v>0</x:v>
      </x:c>
      <x:c r="C33" s="62" t="n">
        <x:f>VLOOKUP(C7,'关卡总表'!$A$7:$AY$906,15,FALSE)</x:f>
        <x:v>0</x:v>
      </x:c>
      <x:c r="D33" s="62" t="n">
        <x:f>VLOOKUP(D7,'关卡总表'!$A$7:$AY$906,15,FALSE)</x:f>
        <x:v>0</x:v>
      </x:c>
      <x:c r="E33" s="62" t="n">
        <x:f>VLOOKUP(E7,'关卡总表'!$A$7:$AY$906,15,FALSE)</x:f>
        <x:v>0</x:v>
      </x:c>
      <x:c r="F33" s="62" t="n">
        <x:f>VLOOKUP(F7,'关卡总表'!$A$7:$AY$906,15,FALSE)</x:f>
        <x:v>0</x:v>
      </x:c>
      <x:c r="G33" s="62" t="n">
        <x:f>VLOOKUP(G7,'关卡总表'!$A$7:$AY$906,15,FALSE)</x:f>
        <x:v>0</x:v>
      </x:c>
      <x:c r="H33" s="62" t="n">
        <x:f>VLOOKUP(H7,'关卡总表'!$A$7:$AY$906,15,FALSE)</x:f>
        <x:v>0</x:v>
      </x:c>
      <x:c r="I33" s="62" t="n">
        <x:f>VLOOKUP(I7,'关卡总表'!$A$7:$AY$906,15,FALSE)</x:f>
        <x:v>0</x:v>
      </x:c>
      <x:c r="J33" s="62" t="n">
        <x:f>VLOOKUP(J7,'关卡总表'!$A$7:$AY$906,15,FALSE)</x:f>
        <x:v>0</x:v>
      </x:c>
      <x:c r="K33" s="62" t="n">
        <x:f>VLOOKUP(K7,'关卡总表'!$A$7:$AY$906,15,FALSE)</x:f>
        <x:v>0</x:v>
      </x:c>
      <x:c r="L33" s="62" t="n">
        <x:f>VLOOKUP(L7,'关卡总表'!$A$7:$AY$906,15,FALSE)</x:f>
        <x:v>0</x:v>
      </x:c>
      <x:c r="M33" s="62" t="n">
        <x:f>VLOOKUP(M7,'关卡总表'!$A$7:$AY$906,15,FALSE)</x:f>
        <x:v>0</x:v>
      </x:c>
      <x:c r="N33" s="62" t="n">
        <x:f>VLOOKUP(N7,'关卡总表'!$A$7:$AY$906,15,FALSE)</x:f>
        <x:v>0</x:v>
      </x:c>
      <x:c r="O33" s="62" t="n">
        <x:f>VLOOKUP(O7,'关卡总表'!$A$7:$AY$906,15,FALSE)</x:f>
        <x:v>0</x:v>
      </x:c>
      <x:c r="P33" s="62" t="n">
        <x:f>VLOOKUP(P7,'关卡总表'!$A$7:$AY$906,15,FALSE)</x:f>
        <x:v>0</x:v>
      </x:c>
      <x:c r="Q33" s="62" t="n">
        <x:f>VLOOKUP(Q7,'关卡总表'!$A$7:$AY$906,15,FALSE)</x:f>
        <x:v>0</x:v>
      </x:c>
      <x:c r="R33" s="62" t="n">
        <x:f>VLOOKUP(R7,'关卡总表'!$A$7:$AY$906,15,FALSE)</x:f>
        <x:v>0</x:v>
      </x:c>
      <x:c r="S33" s="62" t="n">
        <x:f>VLOOKUP(S7,'关卡总表'!$A$7:$AY$906,15,FALSE)</x:f>
        <x:v>0</x:v>
      </x:c>
      <x:c r="T33" s="62" t="n">
        <x:f>VLOOKUP(T7,'关卡总表'!$A$7:$AY$906,15,FALSE)</x:f>
        <x:v>0</x:v>
      </x:c>
      <x:c r="U33" s="62" t="n">
        <x:f>VLOOKUP(U7,'关卡总表'!$A$7:$AY$906,15,FALSE)</x:f>
        <x:v>0</x:v>
      </x:c>
      <x:c r="V33" s="62" t="n">
        <x:f>VLOOKUP(V7,'关卡总表'!$A$7:$AY$906,15,FALSE)</x:f>
        <x:v>0</x:v>
      </x:c>
      <x:c r="W33" s="62" t="n">
        <x:f>VLOOKUP(W7,'关卡总表'!$A$7:$AY$906,15,FALSE)</x:f>
        <x:v>0</x:v>
      </x:c>
      <x:c r="X33" s="62" t="n">
        <x:f>VLOOKUP(X7,'关卡总表'!$A$7:$AY$906,15,FALSE)</x:f>
        <x:v>0</x:v>
      </x:c>
      <x:c r="Y33" s="62" t="n">
        <x:f>VLOOKUP(Y7,'关卡总表'!$A$7:$AY$906,15,FALSE)</x:f>
        <x:v>0</x:v>
      </x:c>
      <x:c r="Z33" s="62" t="n">
        <x:f>VLOOKUP(Z7,'关卡总表'!$A$7:$AY$906,15,FALSE)</x:f>
        <x:v>0</x:v>
      </x:c>
      <x:c r="AA33" s="62" t="n">
        <x:f>VLOOKUP(AA7,'关卡总表'!$A$7:$AY$906,15,FALSE)</x:f>
        <x:v>0</x:v>
      </x:c>
      <x:c r="AB33" s="62" t="n">
        <x:f>VLOOKUP(AB7,'关卡总表'!$A$7:$AY$906,15,FALSE)</x:f>
        <x:v>0</x:v>
      </x:c>
      <x:c r="AC33" s="62" t="n">
        <x:f>VLOOKUP(AC7,'关卡总表'!$A$7:$AY$906,15,FALSE)</x:f>
        <x:v>0</x:v>
      </x:c>
      <x:c r="AD33" s="62" t="n">
        <x:f>VLOOKUP(AD7,'关卡总表'!$A$7:$AY$906,15,FALSE)</x:f>
        <x:v>0</x:v>
      </x:c>
      <x:c r="AE33" s="62" t="n">
        <x:f>VLOOKUP(AE7,'关卡总表'!$A$7:$AY$906,15,FALSE)</x:f>
        <x:v>0</x:v>
      </x:c>
      <x:c r="AF33" s="65"/>
    </x:row>
    <x:row r="34" ht="28" customHeight="1">
      <x:c r="A34" s="62" t="str">
        <x:v>单关全额强化石</x:v>
      </x:c>
      <x:c r="B34" s="62" t="n">
        <x:f>VLOOKUP(B7,'关卡总表'!$A$7:$AY$906,16,FALSE)</x:f>
        <x:v>2</x:v>
      </x:c>
      <x:c r="C34" s="62" t="n">
        <x:f>VLOOKUP(C7,'关卡总表'!$A$7:$AY$906,16,FALSE)</x:f>
        <x:v>2</x:v>
      </x:c>
      <x:c r="D34" s="62" t="n">
        <x:f>VLOOKUP(D7,'关卡总表'!$A$7:$AY$906,16,FALSE)</x:f>
        <x:v>3</x:v>
      </x:c>
      <x:c r="E34" s="62" t="n">
        <x:f>VLOOKUP(E7,'关卡总表'!$A$7:$AY$906,16,FALSE)</x:f>
        <x:v>3</x:v>
      </x:c>
      <x:c r="F34" s="62" t="n">
        <x:f>VLOOKUP(F7,'关卡总表'!$A$7:$AY$906,16,FALSE)</x:f>
        <x:v>4</x:v>
      </x:c>
      <x:c r="G34" s="62" t="n">
        <x:f>VLOOKUP(G7,'关卡总表'!$A$7:$AY$906,16,FALSE)</x:f>
        <x:v>4</x:v>
      </x:c>
      <x:c r="H34" s="62" t="n">
        <x:f>VLOOKUP(H7,'关卡总表'!$A$7:$AY$906,16,FALSE)</x:f>
        <x:v>4</x:v>
      </x:c>
      <x:c r="I34" s="62" t="n">
        <x:f>VLOOKUP(I7,'关卡总表'!$A$7:$AY$906,16,FALSE)</x:f>
        <x:v>5</x:v>
      </x:c>
      <x:c r="J34" s="62" t="n">
        <x:f>VLOOKUP(J7,'关卡总表'!$A$7:$AY$906,16,FALSE)</x:f>
        <x:v>5</x:v>
      </x:c>
      <x:c r="K34" s="62" t="n">
        <x:f>VLOOKUP(K7,'关卡总表'!$A$7:$AY$906,16,FALSE)</x:f>
        <x:v>5</x:v>
      </x:c>
      <x:c r="L34" s="62" t="n">
        <x:f>VLOOKUP(L7,'关卡总表'!$A$7:$AY$906,16,FALSE)</x:f>
        <x:v>5</x:v>
      </x:c>
      <x:c r="M34" s="62" t="n">
        <x:f>VLOOKUP(M7,'关卡总表'!$A$7:$AY$906,16,FALSE)</x:f>
        <x:v>5</x:v>
      </x:c>
      <x:c r="N34" s="62" t="n">
        <x:f>VLOOKUP(N7,'关卡总表'!$A$7:$AY$906,16,FALSE)</x:f>
        <x:v>6</x:v>
      </x:c>
      <x:c r="O34" s="62" t="n">
        <x:f>VLOOKUP(O7,'关卡总表'!$A$7:$AY$906,16,FALSE)</x:f>
        <x:v>6</x:v>
      </x:c>
      <x:c r="P34" s="62" t="n">
        <x:f>VLOOKUP(P7,'关卡总表'!$A$7:$AY$906,16,FALSE)</x:f>
        <x:v>6</x:v>
      </x:c>
      <x:c r="Q34" s="62" t="n">
        <x:f>VLOOKUP(Q7,'关卡总表'!$A$7:$AY$906,16,FALSE)</x:f>
        <x:v>6</x:v>
      </x:c>
      <x:c r="R34" s="62" t="n">
        <x:f>VLOOKUP(R7,'关卡总表'!$A$7:$AY$906,16,FALSE)</x:f>
        <x:v>6</x:v>
      </x:c>
      <x:c r="S34" s="62" t="n">
        <x:f>VLOOKUP(S7,'关卡总表'!$A$7:$AY$906,16,FALSE)</x:f>
        <x:v>6</x:v>
      </x:c>
      <x:c r="T34" s="62" t="n">
        <x:f>VLOOKUP(T7,'关卡总表'!$A$7:$AY$906,16,FALSE)</x:f>
        <x:v>6</x:v>
      </x:c>
      <x:c r="U34" s="62" t="n">
        <x:f>VLOOKUP(U7,'关卡总表'!$A$7:$AY$906,16,FALSE)</x:f>
        <x:v>6</x:v>
      </x:c>
      <x:c r="V34" s="62" t="n">
        <x:f>VLOOKUP(V7,'关卡总表'!$A$7:$AY$906,16,FALSE)</x:f>
        <x:v>6</x:v>
      </x:c>
      <x:c r="W34" s="62" t="n">
        <x:f>VLOOKUP(W7,'关卡总表'!$A$7:$AY$906,16,FALSE)</x:f>
        <x:v>6</x:v>
      </x:c>
      <x:c r="X34" s="62" t="n">
        <x:f>VLOOKUP(X7,'关卡总表'!$A$7:$AY$906,16,FALSE)</x:f>
        <x:v>6</x:v>
      </x:c>
      <x:c r="Y34" s="62" t="n">
        <x:f>VLOOKUP(Y7,'关卡总表'!$A$7:$AY$906,16,FALSE)</x:f>
        <x:v>6</x:v>
      </x:c>
      <x:c r="Z34" s="62" t="n">
        <x:f>VLOOKUP(Z7,'关卡总表'!$A$7:$AY$906,16,FALSE)</x:f>
        <x:v>6</x:v>
      </x:c>
      <x:c r="AA34" s="62" t="n">
        <x:f>VLOOKUP(AA7,'关卡总表'!$A$7:$AY$906,16,FALSE)</x:f>
        <x:v>6</x:v>
      </x:c>
      <x:c r="AB34" s="62" t="n">
        <x:f>VLOOKUP(AB7,'关卡总表'!$A$7:$AY$906,16,FALSE)</x:f>
        <x:v>6</x:v>
      </x:c>
      <x:c r="AC34" s="62" t="n">
        <x:f>VLOOKUP(AC7,'关卡总表'!$A$7:$AY$906,16,FALSE)</x:f>
        <x:v>6</x:v>
      </x:c>
      <x:c r="AD34" s="62" t="n">
        <x:f>VLOOKUP(AD7,'关卡总表'!$A$7:$AY$906,16,FALSE)</x:f>
        <x:v>6</x:v>
      </x:c>
      <x:c r="AE34" s="62" t="n">
        <x:f>VLOOKUP(AE7,'关卡总表'!$A$7:$AY$906,16,FALSE)</x:f>
        <x:v>6</x:v>
      </x:c>
      <x:c r="AF34" s="65"/>
    </x:row>
    <x:row r="35" ht="28" customHeight="1">
      <x:c r="A35" s="62" t="str">
        <x:v>单关全额升星石</x:v>
      </x:c>
      <x:c r="B35" s="62" t="n">
        <x:f>VLOOKUP(B7,'关卡总表'!$A$7:$AY$906,17,FALSE)</x:f>
        <x:v>1</x:v>
      </x:c>
      <x:c r="C35" s="62" t="n">
        <x:f>VLOOKUP(C7,'关卡总表'!$A$7:$AY$906,17,FALSE)</x:f>
        <x:v>1</x:v>
      </x:c>
      <x:c r="D35" s="62" t="n">
        <x:f>VLOOKUP(D7,'关卡总表'!$A$7:$AY$906,17,FALSE)</x:f>
        <x:v>1</x:v>
      </x:c>
      <x:c r="E35" s="62" t="n">
        <x:f>VLOOKUP(E7,'关卡总表'!$A$7:$AY$906,17,FALSE)</x:f>
        <x:v>1</x:v>
      </x:c>
      <x:c r="F35" s="62" t="n">
        <x:f>VLOOKUP(F7,'关卡总表'!$A$7:$AY$906,17,FALSE)</x:f>
        <x:v>2</x:v>
      </x:c>
      <x:c r="G35" s="62" t="n">
        <x:f>VLOOKUP(G7,'关卡总表'!$A$7:$AY$906,17,FALSE)</x:f>
        <x:v>2</x:v>
      </x:c>
      <x:c r="H35" s="62" t="n">
        <x:f>VLOOKUP(H7,'关卡总表'!$A$7:$AY$906,17,FALSE)</x:f>
        <x:v>2</x:v>
      </x:c>
      <x:c r="I35" s="62" t="n">
        <x:f>VLOOKUP(I7,'关卡总表'!$A$7:$AY$906,17,FALSE)</x:f>
        <x:v>2</x:v>
      </x:c>
      <x:c r="J35" s="62" t="n">
        <x:f>VLOOKUP(J7,'关卡总表'!$A$7:$AY$906,17,FALSE)</x:f>
        <x:v>2</x:v>
      </x:c>
      <x:c r="K35" s="62" t="n">
        <x:f>VLOOKUP(K7,'关卡总表'!$A$7:$AY$906,17,FALSE)</x:f>
        <x:v>2</x:v>
      </x:c>
      <x:c r="L35" s="62" t="n">
        <x:f>VLOOKUP(L7,'关卡总表'!$A$7:$AY$906,17,FALSE)</x:f>
        <x:v>2</x:v>
      </x:c>
      <x:c r="M35" s="62" t="n">
        <x:f>VLOOKUP(M7,'关卡总表'!$A$7:$AY$906,17,FALSE)</x:f>
        <x:v>2</x:v>
      </x:c>
      <x:c r="N35" s="62" t="n">
        <x:f>VLOOKUP(N7,'关卡总表'!$A$7:$AY$906,17,FALSE)</x:f>
        <x:v>3</x:v>
      </x:c>
      <x:c r="O35" s="62" t="n">
        <x:f>VLOOKUP(O7,'关卡总表'!$A$7:$AY$906,17,FALSE)</x:f>
        <x:v>3</x:v>
      </x:c>
      <x:c r="P35" s="62" t="n">
        <x:f>VLOOKUP(P7,'关卡总表'!$A$7:$AY$906,17,FALSE)</x:f>
        <x:v>3</x:v>
      </x:c>
      <x:c r="Q35" s="62" t="n">
        <x:f>VLOOKUP(Q7,'关卡总表'!$A$7:$AY$906,17,FALSE)</x:f>
        <x:v>3</x:v>
      </x:c>
      <x:c r="R35" s="62" t="n">
        <x:f>VLOOKUP(R7,'关卡总表'!$A$7:$AY$906,17,FALSE)</x:f>
        <x:v>3</x:v>
      </x:c>
      <x:c r="S35" s="62" t="n">
        <x:f>VLOOKUP(S7,'关卡总表'!$A$7:$AY$906,17,FALSE)</x:f>
        <x:v>3</x:v>
      </x:c>
      <x:c r="T35" s="62" t="n">
        <x:f>VLOOKUP(T7,'关卡总表'!$A$7:$AY$906,17,FALSE)</x:f>
        <x:v>3</x:v>
      </x:c>
      <x:c r="U35" s="62" t="n">
        <x:f>VLOOKUP(U7,'关卡总表'!$A$7:$AY$906,17,FALSE)</x:f>
        <x:v>3</x:v>
      </x:c>
      <x:c r="V35" s="62" t="n">
        <x:f>VLOOKUP(V7,'关卡总表'!$A$7:$AY$906,17,FALSE)</x:f>
        <x:v>3</x:v>
      </x:c>
      <x:c r="W35" s="62" t="n">
        <x:f>VLOOKUP(W7,'关卡总表'!$A$7:$AY$906,17,FALSE)</x:f>
        <x:v>3</x:v>
      </x:c>
      <x:c r="X35" s="62" t="n">
        <x:f>VLOOKUP(X7,'关卡总表'!$A$7:$AY$906,17,FALSE)</x:f>
        <x:v>3</x:v>
      </x:c>
      <x:c r="Y35" s="62" t="n">
        <x:f>VLOOKUP(Y7,'关卡总表'!$A$7:$AY$906,17,FALSE)</x:f>
        <x:v>3</x:v>
      </x:c>
      <x:c r="Z35" s="62" t="n">
        <x:f>VLOOKUP(Z7,'关卡总表'!$A$7:$AY$906,17,FALSE)</x:f>
        <x:v>3</x:v>
      </x:c>
      <x:c r="AA35" s="62" t="n">
        <x:f>VLOOKUP(AA7,'关卡总表'!$A$7:$AY$906,17,FALSE)</x:f>
        <x:v>3</x:v>
      </x:c>
      <x:c r="AB35" s="62" t="n">
        <x:f>VLOOKUP(AB7,'关卡总表'!$A$7:$AY$906,17,FALSE)</x:f>
        <x:v>3</x:v>
      </x:c>
      <x:c r="AC35" s="62" t="n">
        <x:f>VLOOKUP(AC7,'关卡总表'!$A$7:$AY$906,17,FALSE)</x:f>
        <x:v>3</x:v>
      </x:c>
      <x:c r="AD35" s="62" t="n">
        <x:f>VLOOKUP(AD7,'关卡总表'!$A$7:$AY$906,17,FALSE)</x:f>
        <x:v>3</x:v>
      </x:c>
      <x:c r="AE35" s="62" t="n">
        <x:f>VLOOKUP(AE7,'关卡总表'!$A$7:$AY$906,17,FALSE)</x:f>
        <x:v>3</x:v>
      </x:c>
      <x:c r="AF35" s="65"/>
    </x:row>
    <x:row r="36" ht="28" customHeight="1">
      <x:c r="A36" s="62" t="str">
        <x:v>日常材料取档关卡</x:v>
      </x:c>
      <x:c r="B36" s="62" t="n">
        <x:f>ROUNDDOWN(B25,0)</x:f>
        <x:v>10</x:v>
      </x:c>
      <x:c r="C36" s="62" t="n">
        <x:f>ROUNDDOWN(C25,0)</x:f>
        <x:v>20</x:v>
      </x:c>
      <x:c r="D36" s="62" t="n">
        <x:f>ROUNDDOWN(D25,0)</x:f>
        <x:v>31</x:v>
      </x:c>
      <x:c r="E36" s="62" t="n">
        <x:f>ROUNDDOWN(E25,0)</x:f>
        <x:v>41</x:v>
      </x:c>
      <x:c r="F36" s="62" t="n">
        <x:f>ROUNDDOWN(F25,0)</x:f>
        <x:v>51</x:v>
      </x:c>
      <x:c r="G36" s="62" t="n">
        <x:f>ROUNDDOWN(G25,0)</x:f>
        <x:v>62</x:v>
      </x:c>
      <x:c r="H36" s="62" t="n">
        <x:f>ROUNDDOWN(H25,0)</x:f>
        <x:v>72</x:v>
      </x:c>
      <x:c r="I36" s="62" t="n">
        <x:f>ROUNDDOWN(I25,0)</x:f>
        <x:v>83</x:v>
      </x:c>
      <x:c r="J36" s="62" t="n">
        <x:f>ROUNDDOWN(J25,0)</x:f>
        <x:v>93</x:v>
      </x:c>
      <x:c r="K36" s="62" t="n">
        <x:f>ROUNDDOWN(K25,0)</x:f>
        <x:v>103</x:v>
      </x:c>
      <x:c r="L36" s="62" t="n">
        <x:f>ROUNDDOWN(L25,0)</x:f>
        <x:v>112</x:v>
      </x:c>
      <x:c r="M36" s="62" t="n">
        <x:f>ROUNDDOWN(M25,0)</x:f>
        <x:v>122</x:v>
      </x:c>
      <x:c r="N36" s="62" t="n">
        <x:f>ROUNDDOWN(N25,0)</x:f>
        <x:v>131</x:v>
      </x:c>
      <x:c r="O36" s="62" t="n">
        <x:f>ROUNDDOWN(O25,0)</x:f>
        <x:v>139</x:v>
      </x:c>
      <x:c r="P36" s="62" t="n">
        <x:f>ROUNDDOWN(P25,0)</x:f>
        <x:v>147</x:v>
      </x:c>
      <x:c r="Q36" s="62" t="n">
        <x:f>ROUNDDOWN(Q25,0)</x:f>
        <x:v>155</x:v>
      </x:c>
      <x:c r="R36" s="62" t="n">
        <x:f>ROUNDDOWN(R25,0)</x:f>
        <x:v>163</x:v>
      </x:c>
      <x:c r="S36" s="62" t="n">
        <x:f>ROUNDDOWN(S25,0)</x:f>
        <x:v>170</x:v>
      </x:c>
      <x:c r="T36" s="62" t="n">
        <x:f>ROUNDDOWN(T25,0)</x:f>
        <x:v>177</x:v>
      </x:c>
      <x:c r="U36" s="62" t="n">
        <x:f>ROUNDDOWN(U25,0)</x:f>
        <x:v>184</x:v>
      </x:c>
      <x:c r="V36" s="62" t="n">
        <x:f>ROUNDDOWN(V25,0)</x:f>
        <x:v>191</x:v>
      </x:c>
      <x:c r="W36" s="62" t="n">
        <x:f>ROUNDDOWN(W25,0)</x:f>
        <x:v>198</x:v>
      </x:c>
      <x:c r="X36" s="62" t="n">
        <x:f>ROUNDDOWN(X25,0)</x:f>
        <x:v>204</x:v>
      </x:c>
      <x:c r="Y36" s="62" t="n">
        <x:f>ROUNDDOWN(Y25,0)</x:f>
        <x:v>210</x:v>
      </x:c>
      <x:c r="Z36" s="62" t="n">
        <x:f>ROUNDDOWN(Z25,0)</x:f>
        <x:v>216</x:v>
      </x:c>
      <x:c r="AA36" s="62" t="n">
        <x:f>ROUNDDOWN(AA25,0)</x:f>
        <x:v>222</x:v>
      </x:c>
      <x:c r="AB36" s="62" t="n">
        <x:f>ROUNDDOWN(AB25,0)</x:f>
        <x:v>228</x:v>
      </x:c>
      <x:c r="AC36" s="62" t="n">
        <x:f>ROUNDDOWN(AC25,0)</x:f>
        <x:v>233</x:v>
      </x:c>
      <x:c r="AD36" s="62" t="n">
        <x:f>ROUNDDOWN(AD25,0)</x:f>
        <x:v>239</x:v>
      </x:c>
      <x:c r="AE36" s="62" t="n">
        <x:f>ROUNDDOWN(AE25,0)</x:f>
        <x:v>244</x:v>
      </x:c>
      <x:c r="AF36" s="65"/>
    </x:row>
    <x:row r="37" ht="28" customHeight="1">
      <x:c r="A37" s="62" t="str">
        <x:v>主线装备掉落期望</x:v>
      </x:c>
      <x:c r="B37" s="62" t="n">
        <x:f>B22*'装备掉落'!$B$38</x:f>
        <x:v>9.895764612745747</x:v>
      </x:c>
      <x:c r="C37" s="62" t="n">
        <x:f>C22*'装备掉落'!$B$38</x:f>
        <x:v>10.99529401416194</x:v>
      </x:c>
      <x:c r="D37" s="62" t="n">
        <x:f>D22*'装备掉落'!$B$38</x:f>
        <x:v>10.99529401416194</x:v>
      </x:c>
      <x:c r="E37" s="62" t="n">
        <x:f>E22*'装备掉落'!$B$38</x:f>
        <x:v>10.99529401416194</x:v>
      </x:c>
      <x:c r="F37" s="62" t="n">
        <x:f>F22*'装备掉落'!$B$38</x:f>
        <x:v>10.99529401416194</x:v>
      </x:c>
      <x:c r="G37" s="62" t="n">
        <x:f>G22*'装备掉落'!$B$38</x:f>
        <x:v>10.99529401416194</x:v>
      </x:c>
      <x:c r="H37" s="62" t="n">
        <x:f>H22*'装备掉落'!$B$38</x:f>
        <x:v>10.99529401416194</x:v>
      </x:c>
      <x:c r="I37" s="62" t="n">
        <x:f>I22*'装备掉落'!$B$38</x:f>
        <x:v>10.99529401416194</x:v>
      </x:c>
      <x:c r="J37" s="62" t="n">
        <x:f>J22*'装备掉落'!$B$38</x:f>
        <x:v>10.99529401416194</x:v>
      </x:c>
      <x:c r="K37" s="62" t="n">
        <x:f>K22*'装备掉落'!$B$38</x:f>
        <x:v>10.445529313453845</x:v>
      </x:c>
      <x:c r="L37" s="62" t="n">
        <x:f>L22*'装备掉落'!$B$38</x:f>
        <x:v>9.895764612745747</x:v>
      </x:c>
      <x:c r="M37" s="62" t="n">
        <x:f>M22*'装备掉落'!$B$38</x:f>
        <x:v>9.895764612745747</x:v>
      </x:c>
      <x:c r="N37" s="62" t="n">
        <x:f>N22*'装备掉落'!$B$38</x:f>
        <x:v>9.34599991203765</x:v>
      </x:c>
      <x:c r="O37" s="62" t="n">
        <x:f>O22*'装备掉落'!$B$38</x:f>
        <x:v>8.796235211329552</x:v>
      </x:c>
      <x:c r="P37" s="62" t="n">
        <x:f>P22*'装备掉落'!$B$38</x:f>
        <x:v>8.796235211329552</x:v>
      </x:c>
      <x:c r="Q37" s="62" t="n">
        <x:f>Q22*'装备掉落'!$B$38</x:f>
        <x:v>8.246470510621455</x:v>
      </x:c>
      <x:c r="R37" s="62" t="n">
        <x:f>R22*'装备掉落'!$B$38</x:f>
        <x:v>8.246470510621455</x:v>
      </x:c>
      <x:c r="S37" s="62" t="n">
        <x:f>S22*'装备掉落'!$B$38</x:f>
        <x:v>7.696705809913359</x:v>
      </x:c>
      <x:c r="T37" s="62" t="n">
        <x:f>T22*'装备掉落'!$B$38</x:f>
        <x:v>7.696705809913359</x:v>
      </x:c>
      <x:c r="U37" s="62" t="n">
        <x:f>U22*'装备掉落'!$B$38</x:f>
        <x:v>7.146941109205262</x:v>
      </x:c>
      <x:c r="V37" s="62" t="n">
        <x:f>V22*'装备掉落'!$B$38</x:f>
        <x:v>7.146941109205262</x:v>
      </x:c>
      <x:c r="W37" s="62" t="n">
        <x:f>W22*'装备掉落'!$B$38</x:f>
        <x:v>7.146941109205262</x:v>
      </x:c>
      <x:c r="X37" s="62" t="n">
        <x:f>X22*'装备掉落'!$B$38</x:f>
        <x:v>6.597176408497165</x:v>
      </x:c>
      <x:c r="Y37" s="62" t="n">
        <x:f>Y22*'装备掉落'!$B$38</x:f>
        <x:v>6.597176408497165</x:v>
      </x:c>
      <x:c r="Z37" s="62" t="n">
        <x:f>Z22*'装备掉落'!$B$38</x:f>
        <x:v>6.597176408497165</x:v>
      </x:c>
      <x:c r="AA37" s="62" t="n">
        <x:f>AA22*'装备掉落'!$B$38</x:f>
        <x:v>6.047411707789068</x:v>
      </x:c>
      <x:c r="AB37" s="62" t="n">
        <x:f>AB22*'装备掉落'!$B$38</x:f>
        <x:v>6.047411707789068</x:v>
      </x:c>
      <x:c r="AC37" s="62" t="n">
        <x:f>AC22*'装备掉落'!$B$38</x:f>
        <x:v>6.047411707789068</x:v>
      </x:c>
      <x:c r="AD37" s="62" t="n">
        <x:f>AD22*'装备掉落'!$B$38</x:f>
        <x:v>6.047411707789068</x:v>
      </x:c>
      <x:c r="AE37" s="62" t="n">
        <x:f>AE22*'装备掉落'!$B$38</x:f>
        <x:v>5.49764700708097</x:v>
      </x:c>
      <x:c r="AF37" s="65" t="str">
        <x:v>使用含保底稳态概率，第一天有轻微起始偏差</x:v>
      </x:c>
    </x:row>
    <x:row r="38" ht="28" customHeight="1">
      <x:c r="A38" s="62" t="str">
        <x:v>军报装备数量</x:v>
      </x:c>
      <x:c r="B38" s="62" t="n">
        <x:f>B11</x:f>
        <x:v>1</x:v>
      </x:c>
      <x:c r="C38" s="62" t="n">
        <x:f>C11</x:f>
        <x:v>1</x:v>
      </x:c>
      <x:c r="D38" s="62" t="n">
        <x:f>D11</x:f>
        <x:v>1</x:v>
      </x:c>
      <x:c r="E38" s="62" t="n">
        <x:f>E11</x:f>
        <x:v>1</x:v>
      </x:c>
      <x:c r="F38" s="62" t="n">
        <x:f>F11</x:f>
        <x:v>1</x:v>
      </x:c>
      <x:c r="G38" s="62" t="n">
        <x:f>G11</x:f>
        <x:v>1</x:v>
      </x:c>
      <x:c r="H38" s="62" t="n">
        <x:f>H11</x:f>
        <x:v>1</x:v>
      </x:c>
      <x:c r="I38" s="62" t="n">
        <x:f>I11</x:f>
        <x:v>1</x:v>
      </x:c>
      <x:c r="J38" s="62" t="n">
        <x:f>J11</x:f>
        <x:v>1</x:v>
      </x:c>
      <x:c r="K38" s="62" t="n">
        <x:f>K11</x:f>
        <x:v>1</x:v>
      </x:c>
      <x:c r="L38" s="62" t="n">
        <x:f>L11</x:f>
        <x:v>1</x:v>
      </x:c>
      <x:c r="M38" s="62" t="n">
        <x:f>M11</x:f>
        <x:v>1</x:v>
      </x:c>
      <x:c r="N38" s="62" t="n">
        <x:f>N11</x:f>
        <x:v>1</x:v>
      </x:c>
      <x:c r="O38" s="62" t="n">
        <x:f>O11</x:f>
        <x:v>1</x:v>
      </x:c>
      <x:c r="P38" s="62" t="n">
        <x:f>P11</x:f>
        <x:v>1</x:v>
      </x:c>
      <x:c r="Q38" s="62" t="n">
        <x:f>Q11</x:f>
        <x:v>1</x:v>
      </x:c>
      <x:c r="R38" s="62" t="n">
        <x:f>R11</x:f>
        <x:v>1</x:v>
      </x:c>
      <x:c r="S38" s="62" t="n">
        <x:f>S11</x:f>
        <x:v>1</x:v>
      </x:c>
      <x:c r="T38" s="62" t="n">
        <x:f>T11</x:f>
        <x:v>1</x:v>
      </x:c>
      <x:c r="U38" s="62" t="n">
        <x:f>U11</x:f>
        <x:v>1</x:v>
      </x:c>
      <x:c r="V38" s="62" t="n">
        <x:f>V11</x:f>
        <x:v>1</x:v>
      </x:c>
      <x:c r="W38" s="62" t="n">
        <x:f>W11</x:f>
        <x:v>1</x:v>
      </x:c>
      <x:c r="X38" s="62" t="n">
        <x:f>X11</x:f>
        <x:v>1</x:v>
      </x:c>
      <x:c r="Y38" s="62" t="n">
        <x:f>Y11</x:f>
        <x:v>1</x:v>
      </x:c>
      <x:c r="Z38" s="62" t="n">
        <x:f>Z11</x:f>
        <x:v>1</x:v>
      </x:c>
      <x:c r="AA38" s="62" t="n">
        <x:f>AA11</x:f>
        <x:v>1</x:v>
      </x:c>
      <x:c r="AB38" s="62" t="n">
        <x:f>AB11</x:f>
        <x:v>1</x:v>
      </x:c>
      <x:c r="AC38" s="62" t="n">
        <x:f>AC11</x:f>
        <x:v>1</x:v>
      </x:c>
      <x:c r="AD38" s="62" t="n">
        <x:f>AD11</x:f>
        <x:v>1</x:v>
      </x:c>
      <x:c r="AE38" s="62" t="n">
        <x:f>AE11</x:f>
        <x:v>1</x:v>
      </x:c>
      <x:c r="AF38" s="65"/>
    </x:row>
    <x:row r="39" ht="28" customHeight="1">
      <x:c r="A39" s="62" t="str">
        <x:v>主线出售件数</x:v>
      </x:c>
      <x:c r="B39" s="62" t="n">
        <x:f>B37*'每日计划'!B31</x:f>
        <x:v>0.9895764612745748</x:v>
      </x:c>
      <x:c r="C39" s="62" t="n">
        <x:f>C37*'每日计划'!C31</x:f>
        <x:v>1.099529401416194</x:v>
      </x:c>
      <x:c r="D39" s="62" t="n">
        <x:f>D37*'每日计划'!D31</x:f>
        <x:v>1.099529401416194</x:v>
      </x:c>
      <x:c r="E39" s="62" t="n">
        <x:f>E37*'每日计划'!E31</x:f>
        <x:v>1.099529401416194</x:v>
      </x:c>
      <x:c r="F39" s="62" t="n">
        <x:f>F37*'每日计划'!F31</x:f>
        <x:v>1.099529401416194</x:v>
      </x:c>
      <x:c r="G39" s="62" t="n">
        <x:f>G37*'每日计划'!G31</x:f>
        <x:v>1.099529401416194</x:v>
      </x:c>
      <x:c r="H39" s="62" t="n">
        <x:f>H37*'每日计划'!H31</x:f>
        <x:v>1.099529401416194</x:v>
      </x:c>
      <x:c r="I39" s="62" t="n">
        <x:f>I37*'每日计划'!I31</x:f>
        <x:v>1.099529401416194</x:v>
      </x:c>
      <x:c r="J39" s="62" t="n">
        <x:f>J37*'每日计划'!J31</x:f>
        <x:v>1.099529401416194</x:v>
      </x:c>
      <x:c r="K39" s="62" t="n">
        <x:f>K37*'每日计划'!K31</x:f>
        <x:v>1.0445529313453845</x:v>
      </x:c>
      <x:c r="L39" s="62" t="n">
        <x:f>L37*'每日计划'!L31</x:f>
        <x:v>0.9895764612745748</x:v>
      </x:c>
      <x:c r="M39" s="62" t="n">
        <x:f>M37*'每日计划'!M31</x:f>
        <x:v>0.9895764612745748</x:v>
      </x:c>
      <x:c r="N39" s="62" t="n">
        <x:f>N37*'每日计划'!N31</x:f>
        <x:v>0.934599991203765</x:v>
      </x:c>
      <x:c r="O39" s="62" t="n">
        <x:f>O37*'每日计划'!O31</x:f>
        <x:v>0.8796235211329553</x:v>
      </x:c>
      <x:c r="P39" s="62" t="n">
        <x:f>P37*'每日计划'!P31</x:f>
        <x:v>0.8796235211329553</x:v>
      </x:c>
      <x:c r="Q39" s="62" t="n">
        <x:f>Q37*'每日计划'!Q31</x:f>
        <x:v>0.8246470510621455</x:v>
      </x:c>
      <x:c r="R39" s="62" t="n">
        <x:f>R37*'每日计划'!R31</x:f>
        <x:v>0.8246470510621455</x:v>
      </x:c>
      <x:c r="S39" s="62" t="n">
        <x:f>S37*'每日计划'!S31</x:f>
        <x:v>0.769670580991336</x:v>
      </x:c>
      <x:c r="T39" s="62" t="n">
        <x:f>T37*'每日计划'!T31</x:f>
        <x:v>0.769670580991336</x:v>
      </x:c>
      <x:c r="U39" s="62" t="n">
        <x:f>U37*'每日计划'!U31</x:f>
        <x:v>0.7146941109205263</x:v>
      </x:c>
      <x:c r="V39" s="62" t="n">
        <x:f>V37*'每日计划'!V31</x:f>
        <x:v>0.7146941109205263</x:v>
      </x:c>
      <x:c r="W39" s="62" t="n">
        <x:f>W37*'每日计划'!W31</x:f>
        <x:v>0.7146941109205263</x:v>
      </x:c>
      <x:c r="X39" s="62" t="n">
        <x:f>X37*'每日计划'!X31</x:f>
        <x:v>0.6597176408497165</x:v>
      </x:c>
      <x:c r="Y39" s="62" t="n">
        <x:f>Y37*'每日计划'!Y31</x:f>
        <x:v>0.6597176408497165</x:v>
      </x:c>
      <x:c r="Z39" s="62" t="n">
        <x:f>Z37*'每日计划'!Z31</x:f>
        <x:v>0.6597176408497165</x:v>
      </x:c>
      <x:c r="AA39" s="62" t="n">
        <x:f>AA37*'每日计划'!AA31</x:f>
        <x:v>0.6047411707789068</x:v>
      </x:c>
      <x:c r="AB39" s="62" t="n">
        <x:f>AB37*'每日计划'!AB31</x:f>
        <x:v>0.6047411707789068</x:v>
      </x:c>
      <x:c r="AC39" s="62" t="n">
        <x:f>AC37*'每日计划'!AC31</x:f>
        <x:v>0.6047411707789068</x:v>
      </x:c>
      <x:c r="AD39" s="62" t="n">
        <x:f>AD37*'每日计划'!AD31</x:f>
        <x:v>0.6047411707789068</x:v>
      </x:c>
      <x:c r="AE39" s="62" t="n">
        <x:f>AE37*'每日计划'!AE31</x:f>
        <x:v>0.549764700708097</x:v>
      </x:c>
      <x:c r="AF39" s="65"/>
    </x:row>
    <x:row r="40" ht="28" customHeight="1">
      <x:c r="A40" s="62" t="str">
        <x:v>装备净留存</x:v>
      </x:c>
      <x:c r="B40" s="62" t="n">
        <x:f>B37+B38-B39-'每日计划'!B35*('经济参数'!$E$48-CHOOSE('每日计划'!B36,'装备品质'!$E$9,'装备品质'!$E$13,'装备品质'!$E$17,'装备品质'!$E$21,'装备品质'!$E$25,'装备品质'!$E$29))-'每日计划'!B37*6</x:f>
        <x:v>9.906188151471172</x:v>
      </x:c>
      <x:c r="C40" s="62" t="n">
        <x:f>C37+C38-C39-'每日计划'!C35*('经济参数'!$E$48-CHOOSE('每日计划'!C36,'装备品质'!$E$9,'装备品质'!$E$13,'装备品质'!$E$17,'装备品质'!$E$21,'装备品质'!$E$25,'装备品质'!$E$29))-'每日计划'!C37*6</x:f>
        <x:v>10.895764612745747</x:v>
      </x:c>
      <x:c r="D40" s="62" t="n">
        <x:f>D37+D38-D39-'每日计划'!D35*('经济参数'!$E$48-CHOOSE('每日计划'!D36,'装备品质'!$E$9,'装备品质'!$E$13,'装备品质'!$E$17,'装备品质'!$E$21,'装备品质'!$E$25,'装备品质'!$E$29))-'每日计划'!D37*6</x:f>
        <x:v>4.895764612745747</x:v>
      </x:c>
      <x:c r="E40" s="62" t="n">
        <x:f>E37+E38-E39-'每日计划'!E35*('经济参数'!$E$48-CHOOSE('每日计划'!E36,'装备品质'!$E$9,'装备品质'!$E$13,'装备品质'!$E$17,'装备品质'!$E$21,'装备品质'!$E$25,'装备品质'!$E$29))-'每日计划'!E37*6</x:f>
        <x:v>10.895764612745747</x:v>
      </x:c>
      <x:c r="F40" s="62" t="n">
        <x:f>F37+F38-F39-'每日计划'!F35*('经济参数'!$E$48-CHOOSE('每日计划'!F36,'装备品质'!$E$9,'装备品质'!$E$13,'装备品质'!$E$17,'装备品质'!$E$21,'装备品质'!$E$25,'装备品质'!$E$29))-'每日计划'!F37*6</x:f>
        <x:v>10.895764612745747</x:v>
      </x:c>
      <x:c r="G40" s="62" t="n">
        <x:f>G37+G38-G39-'每日计划'!G35*('经济参数'!$E$48-CHOOSE('每日计划'!G36,'装备品质'!$E$9,'装备品质'!$E$13,'装备品质'!$E$17,'装备品质'!$E$21,'装备品质'!$E$25,'装备品质'!$E$29))-'每日计划'!G37*6</x:f>
        <x:v>10.895764612745747</x:v>
      </x:c>
      <x:c r="H40" s="62" t="n">
        <x:f>H37+H38-H39-'每日计划'!H35*('经济参数'!$E$48-CHOOSE('每日计划'!H36,'装备品质'!$E$9,'装备品质'!$E$13,'装备品质'!$E$17,'装备品质'!$E$21,'装备品质'!$E$25,'装备品质'!$E$29))-'每日计划'!H37*6</x:f>
        <x:v>4.895764612745747</x:v>
      </x:c>
      <x:c r="I40" s="62" t="n">
        <x:f>I37+I38-I39-'每日计划'!I35*('经济参数'!$E$48-CHOOSE('每日计划'!I36,'装备品质'!$E$9,'装备品质'!$E$13,'装备品质'!$E$17,'装备品质'!$E$21,'装备品质'!$E$25,'装备品质'!$E$29))-'每日计划'!I37*6</x:f>
        <x:v>10.895764612745747</x:v>
      </x:c>
      <x:c r="J40" s="62" t="n">
        <x:f>J37+J38-J39-'每日计划'!J35*('经济参数'!$E$48-CHOOSE('每日计划'!J36,'装备品质'!$E$9,'装备品质'!$E$13,'装备品质'!$E$17,'装备品质'!$E$21,'装备品质'!$E$25,'装备品质'!$E$29))-'每日计划'!J37*6</x:f>
        <x:v>10.895764612745747</x:v>
      </x:c>
      <x:c r="K40" s="62" t="n">
        <x:f>K37+K38-K39-'每日计划'!K35*('经济参数'!$E$48-CHOOSE('每日计划'!K36,'装备品质'!$E$9,'装备品质'!$E$13,'装备品质'!$E$17,'装备品质'!$E$21,'装备品质'!$E$25,'装备品质'!$E$29))-'每日计划'!K37*6</x:f>
        <x:v>10.40097638210846</x:v>
      </x:c>
      <x:c r="L40" s="62" t="n">
        <x:f>L37+L38-L39-'每日计划'!L35*('经济参数'!$E$48-CHOOSE('每日计划'!L36,'装备品质'!$E$9,'装备品质'!$E$13,'装备品质'!$E$17,'装备品质'!$E$21,'装备品质'!$E$25,'装备品质'!$E$29))-'每日计划'!L37*6</x:f>
        <x:v>9.906188151471172</x:v>
      </x:c>
      <x:c r="M40" s="62" t="n">
        <x:f>M37+M38-M39-'每日计划'!M35*('经济参数'!$E$48-CHOOSE('每日计划'!M36,'装备品质'!$E$9,'装备品质'!$E$13,'装备品质'!$E$17,'装备品质'!$E$21,'装备品质'!$E$25,'装备品质'!$E$29))-'每日计划'!M37*6</x:f>
        <x:v>9.906188151471172</x:v>
      </x:c>
      <x:c r="N40" s="62" t="n">
        <x:f>N37+N38-N39-'每日计划'!N35*('经济参数'!$E$48-CHOOSE('每日计划'!N36,'装备品质'!$E$9,'装备品质'!$E$13,'装备品质'!$E$17,'装备品质'!$E$21,'装备品质'!$E$25,'装备品质'!$E$29))-'每日计划'!N37*6</x:f>
        <x:v>9.411399920833885</x:v>
      </x:c>
      <x:c r="O40" s="62" t="n">
        <x:f>O37+O38-O39-'每日计划'!O35*('经济参数'!$E$48-CHOOSE('每日计划'!O36,'装备品质'!$E$9,'装备品质'!$E$13,'装备品质'!$E$17,'装备品质'!$E$21,'装备品质'!$E$25,'装备品质'!$E$29))-'每日计划'!O37*6</x:f>
        <x:v>2.9166116901965964</x:v>
      </x:c>
      <x:c r="P40" s="62" t="n">
        <x:f>P37+P38-P39-'每日计划'!P35*('经济参数'!$E$48-CHOOSE('每日计划'!P36,'装备品质'!$E$9,'装备品质'!$E$13,'装备品质'!$E$17,'装备品质'!$E$21,'装备品质'!$E$25,'装备品质'!$E$29))-'每日计划'!P37*6</x:f>
        <x:v>8.916611690196596</x:v>
      </x:c>
      <x:c r="Q40" s="62" t="n">
        <x:f>Q37+Q38-Q39-'每日计划'!Q35*('经济参数'!$E$48-CHOOSE('每日计划'!Q36,'装备品质'!$E$9,'装备品质'!$E$13,'装备品质'!$E$17,'装备品质'!$E$21,'装备品质'!$E$25,'装备品质'!$E$29))-'每日计划'!Q37*6</x:f>
        <x:v>8.42182345955931</x:v>
      </x:c>
      <x:c r="R40" s="62" t="n">
        <x:f>R37+R38-R39-'每日计划'!R35*('经济参数'!$E$48-CHOOSE('每日计划'!R36,'装备品质'!$E$9,'装备品质'!$E$13,'装备品质'!$E$17,'装备品质'!$E$21,'装备品质'!$E$25,'装备品质'!$E$29))-'每日计划'!R37*6</x:f>
        <x:v>8.42182345955931</x:v>
      </x:c>
      <x:c r="S40" s="62" t="n">
        <x:f>S37+S38-S39-'每日计划'!S35*('经济参数'!$E$48-CHOOSE('每日计划'!S36,'装备品质'!$E$9,'装备品质'!$E$13,'装备品质'!$E$17,'装备品质'!$E$21,'装备品质'!$E$25,'装备品质'!$E$29))-'每日计划'!S37*6</x:f>
        <x:v>7.927035228922023</x:v>
      </x:c>
      <x:c r="T40" s="62" t="n">
        <x:f>T37+T38-T39-'每日计划'!T35*('经济参数'!$E$48-CHOOSE('每日计划'!T36,'装备品质'!$E$9,'装备品质'!$E$13,'装备品质'!$E$17,'装备品质'!$E$21,'装备品质'!$E$25,'装备品质'!$E$29))-'每日计划'!T37*6</x:f>
        <x:v>7.927035228922023</x:v>
      </x:c>
      <x:c r="U40" s="62" t="n">
        <x:f>U37+U38-U39-'每日计划'!U35*('经济参数'!$E$48-CHOOSE('每日计划'!U36,'装备品质'!$E$9,'装备品质'!$E$13,'装备品质'!$E$17,'装备品质'!$E$21,'装备品质'!$E$25,'装备品质'!$E$29))-'每日计划'!U37*6</x:f>
        <x:v>7.432246998284736</x:v>
      </x:c>
      <x:c r="V40" s="62" t="n">
        <x:f>V37+V38-V39-'每日计划'!V35*('经济参数'!$E$48-CHOOSE('每日计划'!V36,'装备品质'!$E$9,'装备品质'!$E$13,'装备品质'!$E$17,'装备品质'!$E$21,'装备品质'!$E$25,'装备品质'!$E$29))-'每日计划'!V37*6</x:f>
        <x:v>1.432246998284736</x:v>
      </x:c>
      <x:c r="W40" s="62" t="n">
        <x:f>W37+W38-W39-'每日计划'!W35*('经济参数'!$E$48-CHOOSE('每日计划'!W36,'装备品质'!$E$9,'装备品质'!$E$13,'装备品质'!$E$17,'装备品质'!$E$21,'装备品质'!$E$25,'装备品质'!$E$29))-'每日计划'!W37*6</x:f>
        <x:v>7.432246998284736</x:v>
      </x:c>
      <x:c r="X40" s="62" t="n">
        <x:f>X37+X38-X39-'每日计划'!X35*('经济参数'!$E$48-CHOOSE('每日计划'!X36,'装备品质'!$E$9,'装备品质'!$E$13,'装备品质'!$E$17,'装备品质'!$E$21,'装备品质'!$E$25,'装备品质'!$E$29))-'每日计划'!X37*6</x:f>
        <x:v>6.937458767647449</x:v>
      </x:c>
      <x:c r="Y40" s="62" t="n">
        <x:f>Y37+Y38-Y39-'每日计划'!Y35*('经济参数'!$E$48-CHOOSE('每日计划'!Y36,'装备品质'!$E$9,'装备品质'!$E$13,'装备品质'!$E$17,'装备品质'!$E$21,'装备品质'!$E$25,'装备品质'!$E$29))-'每日计划'!Y37*6</x:f>
        <x:v>6.937458767647449</x:v>
      </x:c>
      <x:c r="Z40" s="62" t="n">
        <x:f>Z37+Z38-Z39-'每日计划'!Z35*('经济参数'!$E$48-CHOOSE('每日计划'!Z36,'装备品质'!$E$9,'装备品质'!$E$13,'装备品质'!$E$17,'装备品质'!$E$21,'装备品质'!$E$25,'装备品质'!$E$29))-'每日计划'!Z37*6</x:f>
        <x:v>6.937458767647449</x:v>
      </x:c>
      <x:c r="AA40" s="62" t="n">
        <x:f>AA37+AA38-AA39-'每日计划'!AA35*('经济参数'!$E$48-CHOOSE('每日计划'!AA36,'装备品质'!$E$9,'装备品质'!$E$13,'装备品质'!$E$17,'装备品质'!$E$21,'装备品质'!$E$25,'装备品质'!$E$29))-'每日计划'!AA37*6</x:f>
        <x:v>6.4426705370101605</x:v>
      </x:c>
      <x:c r="AB40" s="62" t="n">
        <x:f>AB37+AB38-AB39-'每日计划'!AB35*('经济参数'!$E$48-CHOOSE('每日计划'!AB36,'装备品质'!$E$9,'装备品质'!$E$13,'装备品质'!$E$17,'装备品质'!$E$21,'装备品质'!$E$25,'装备品质'!$E$29))-'每日计划'!AB37*6</x:f>
        <x:v>6.4426705370101605</x:v>
      </x:c>
      <x:c r="AC40" s="62" t="n">
        <x:f>AC37+AC38-AC39-'每日计划'!AC35*('经济参数'!$E$48-CHOOSE('每日计划'!AC36,'装备品质'!$E$9,'装备品质'!$E$13,'装备品质'!$E$17,'装备品质'!$E$21,'装备品质'!$E$25,'装备品质'!$E$29))-'每日计划'!AC37*6</x:f>
        <x:v>6.4426705370101605</x:v>
      </x:c>
      <x:c r="AD40" s="62" t="n">
        <x:f>AD37+AD38-AD39-'每日计划'!AD35*('经济参数'!$E$48-CHOOSE('每日计划'!AD36,'装备品质'!$E$9,'装备品质'!$E$13,'装备品质'!$E$17,'装备品质'!$E$21,'装备品质'!$E$25,'装备品质'!$E$29))-'每日计划'!AD37*6</x:f>
        <x:v>6.4426705370101605</x:v>
      </x:c>
      <x:c r="AE40" s="62" t="n">
        <x:f>AE37+AE38-AE39-'每日计划'!AE35*('经济参数'!$E$48-CHOOSE('每日计划'!AE36,'装备品质'!$E$9,'装备品质'!$E$13,'装备品质'!$E$17,'装备品质'!$E$21,'装备品质'!$E$25,'装备品质'!$E$29))-'每日计划'!AE37*6</x:f>
        <x:v>-0.05211769362712637</x:v>
      </x:c>
      <x:c r="AF40" s="65"/>
    </x:row>
    <x:row r="41" ht="28" customHeight="1">
      <x:c r="A41" s="62" t="str">
        <x:v>累计可支配装备件数</x:v>
      </x:c>
      <x:c r="B41" s="62" t="n">
        <x:f>0+B40</x:f>
        <x:v>9.906188151471172</x:v>
      </x:c>
      <x:c r="C41" s="62" t="n">
        <x:f>B41+C40</x:f>
        <x:v>20.80195276421692</x:v>
      </x:c>
      <x:c r="D41" s="62" t="n">
        <x:f>C41+D40</x:f>
        <x:v>25.697717376962668</x:v>
      </x:c>
      <x:c r="E41" s="62" t="n">
        <x:f>D41+E40</x:f>
        <x:v>36.593481989708415</x:v>
      </x:c>
      <x:c r="F41" s="62" t="n">
        <x:f>E41+F40</x:f>
        <x:v>47.48924660245416</x:v>
      </x:c>
      <x:c r="G41" s="62" t="n">
        <x:f>F41+G40</x:f>
        <x:v>58.38501121519991</x:v>
      </x:c>
      <x:c r="H41" s="62" t="n">
        <x:f>G41+H40</x:f>
        <x:v>63.28077582794566</x:v>
      </x:c>
      <x:c r="I41" s="62" t="n">
        <x:f>H41+I40</x:f>
        <x:v>74.17654044069141</x:v>
      </x:c>
      <x:c r="J41" s="62" t="n">
        <x:f>I41+J40</x:f>
        <x:v>85.07230505343716</x:v>
      </x:c>
      <x:c r="K41" s="62" t="n">
        <x:f>J41+K40</x:f>
        <x:v>95.47328143554563</x:v>
      </x:c>
      <x:c r="L41" s="62" t="n">
        <x:f>K41+L40</x:f>
        <x:v>105.3794695870168</x:v>
      </x:c>
      <x:c r="M41" s="62" t="n">
        <x:f>L41+M40</x:f>
        <x:v>115.28565773848797</x:v>
      </x:c>
      <x:c r="N41" s="62" t="n">
        <x:f>M41+N40</x:f>
        <x:v>124.69705765932186</x:v>
      </x:c>
      <x:c r="O41" s="62" t="n">
        <x:f>N41+O40</x:f>
        <x:v>127.61366934951846</x:v>
      </x:c>
      <x:c r="P41" s="62" t="n">
        <x:f>O41+P40</x:f>
        <x:v>136.53028103971505</x:v>
      </x:c>
      <x:c r="Q41" s="62" t="n">
        <x:f>P41+Q40</x:f>
        <x:v>144.95210449927436</x:v>
      </x:c>
      <x:c r="R41" s="62" t="n">
        <x:f>Q41+R40</x:f>
        <x:v>153.37392795883366</x:v>
      </x:c>
      <x:c r="S41" s="62" t="n">
        <x:f>R41+S40</x:f>
        <x:v>161.30096318775568</x:v>
      </x:c>
      <x:c r="T41" s="62" t="n">
        <x:f>S41+T40</x:f>
        <x:v>169.2279984166777</x:v>
      </x:c>
      <x:c r="U41" s="62" t="n">
        <x:f>T41+U40</x:f>
        <x:v>176.66024541496245</x:v>
      </x:c>
      <x:c r="V41" s="62" t="n">
        <x:f>U41+V40</x:f>
        <x:v>178.0924924132472</x:v>
      </x:c>
      <x:c r="W41" s="62" t="n">
        <x:f>V41+W40</x:f>
        <x:v>185.52473941153193</x:v>
      </x:c>
      <x:c r="X41" s="62" t="n">
        <x:f>W41+X40</x:f>
        <x:v>192.46219817917938</x:v>
      </x:c>
      <x:c r="Y41" s="62" t="n">
        <x:f>X41+Y40</x:f>
        <x:v>199.39965694682684</x:v>
      </x:c>
      <x:c r="Z41" s="62" t="n">
        <x:f>Y41+Z40</x:f>
        <x:v>206.3371157144743</x:v>
      </x:c>
      <x:c r="AA41" s="62" t="n">
        <x:f>Z41+AA40</x:f>
        <x:v>212.77978625148447</x:v>
      </x:c>
      <x:c r="AB41" s="62" t="n">
        <x:f>AA41+AB40</x:f>
        <x:v>219.22245678849464</x:v>
      </x:c>
      <x:c r="AC41" s="62" t="n">
        <x:f>AB41+AC40</x:f>
        <x:v>225.6651273255048</x:v>
      </x:c>
      <x:c r="AD41" s="62" t="n">
        <x:f>AC41+AD40</x:f>
        <x:v>232.10779786251499</x:v>
      </x:c>
      <x:c r="AE41" s="62" t="n">
        <x:f>AD41+AE40</x:f>
        <x:v>232.05568016888785</x:v>
      </x:c>
      <x:c r="AF41" s="65" t="str">
        <x:v>只检查数量，不能替代同品质与6部位可用性校验</x:v>
      </x:c>
    </x:row>
    <x:row r="42" ht="44" customHeight="1">
      <x:c r="A42" s="62" t="str">
        <x:v>装备计划提示</x:v>
      </x:c>
      <x:c r="B42" s="65" t="str">
        <x:f>IF(B41&lt;0,"装备总量不足","仍需检查同品质/部位")</x:f>
        <x:v>仍需检查同品质/部位</x:v>
      </x:c>
      <x:c r="C42" s="65" t="str">
        <x:f>IF(C41&lt;0,"装备总量不足","仍需检查同品质/部位")</x:f>
        <x:v>仍需检查同品质/部位</x:v>
      </x:c>
      <x:c r="D42" s="65" t="str">
        <x:f>IF(D41&lt;0,"装备总量不足","仍需检查同品质/部位")</x:f>
        <x:v>仍需检查同品质/部位</x:v>
      </x:c>
      <x:c r="E42" s="65" t="str">
        <x:f>IF(E41&lt;0,"装备总量不足","仍需检查同品质/部位")</x:f>
        <x:v>仍需检查同品质/部位</x:v>
      </x:c>
      <x:c r="F42" s="65" t="str">
        <x:f>IF(F41&lt;0,"装备总量不足","仍需检查同品质/部位")</x:f>
        <x:v>仍需检查同品质/部位</x:v>
      </x:c>
      <x:c r="G42" s="65" t="str">
        <x:f>IF(G41&lt;0,"装备总量不足","仍需检查同品质/部位")</x:f>
        <x:v>仍需检查同品质/部位</x:v>
      </x:c>
      <x:c r="H42" s="65" t="str">
        <x:f>IF(H41&lt;0,"装备总量不足","仍需检查同品质/部位")</x:f>
        <x:v>仍需检查同品质/部位</x:v>
      </x:c>
      <x:c r="I42" s="65" t="str">
        <x:f>IF(I41&lt;0,"装备总量不足","仍需检查同品质/部位")</x:f>
        <x:v>仍需检查同品质/部位</x:v>
      </x:c>
      <x:c r="J42" s="65" t="str">
        <x:f>IF(J41&lt;0,"装备总量不足","仍需检查同品质/部位")</x:f>
        <x:v>仍需检查同品质/部位</x:v>
      </x:c>
      <x:c r="K42" s="65" t="str">
        <x:f>IF(K41&lt;0,"装备总量不足","仍需检查同品质/部位")</x:f>
        <x:v>仍需检查同品质/部位</x:v>
      </x:c>
      <x:c r="L42" s="65" t="str">
        <x:f>IF(L41&lt;0,"装备总量不足","仍需检查同品质/部位")</x:f>
        <x:v>仍需检查同品质/部位</x:v>
      </x:c>
      <x:c r="M42" s="65" t="str">
        <x:f>IF(M41&lt;0,"装备总量不足","仍需检查同品质/部位")</x:f>
        <x:v>仍需检查同品质/部位</x:v>
      </x:c>
      <x:c r="N42" s="65" t="str">
        <x:f>IF(N41&lt;0,"装备总量不足","仍需检查同品质/部位")</x:f>
        <x:v>仍需检查同品质/部位</x:v>
      </x:c>
      <x:c r="O42" s="65" t="str">
        <x:f>IF(O41&lt;0,"装备总量不足","仍需检查同品质/部位")</x:f>
        <x:v>仍需检查同品质/部位</x:v>
      </x:c>
      <x:c r="P42" s="65" t="str">
        <x:f>IF(P41&lt;0,"装备总量不足","仍需检查同品质/部位")</x:f>
        <x:v>仍需检查同品质/部位</x:v>
      </x:c>
      <x:c r="Q42" s="65" t="str">
        <x:f>IF(Q41&lt;0,"装备总量不足","仍需检查同品质/部位")</x:f>
        <x:v>仍需检查同品质/部位</x:v>
      </x:c>
      <x:c r="R42" s="65" t="str">
        <x:f>IF(R41&lt;0,"装备总量不足","仍需检查同品质/部位")</x:f>
        <x:v>仍需检查同品质/部位</x:v>
      </x:c>
      <x:c r="S42" s="65" t="str">
        <x:f>IF(S41&lt;0,"装备总量不足","仍需检查同品质/部位")</x:f>
        <x:v>仍需检查同品质/部位</x:v>
      </x:c>
      <x:c r="T42" s="65" t="str">
        <x:f>IF(T41&lt;0,"装备总量不足","仍需检查同品质/部位")</x:f>
        <x:v>仍需检查同品质/部位</x:v>
      </x:c>
      <x:c r="U42" s="65" t="str">
        <x:f>IF(U41&lt;0,"装备总量不足","仍需检查同品质/部位")</x:f>
        <x:v>仍需检查同品质/部位</x:v>
      </x:c>
      <x:c r="V42" s="65" t="str">
        <x:f>IF(V41&lt;0,"装备总量不足","仍需检查同品质/部位")</x:f>
        <x:v>仍需检查同品质/部位</x:v>
      </x:c>
      <x:c r="W42" s="65" t="str">
        <x:f>IF(W41&lt;0,"装备总量不足","仍需检查同品质/部位")</x:f>
        <x:v>仍需检查同品质/部位</x:v>
      </x:c>
      <x:c r="X42" s="65" t="str">
        <x:f>IF(X41&lt;0,"装备总量不足","仍需检查同品质/部位")</x:f>
        <x:v>仍需检查同品质/部位</x:v>
      </x:c>
      <x:c r="Y42" s="65" t="str">
        <x:f>IF(Y41&lt;0,"装备总量不足","仍需检查同品质/部位")</x:f>
        <x:v>仍需检查同品质/部位</x:v>
      </x:c>
      <x:c r="Z42" s="65" t="str">
        <x:f>IF(Z41&lt;0,"装备总量不足","仍需检查同品质/部位")</x:f>
        <x:v>仍需检查同品质/部位</x:v>
      </x:c>
      <x:c r="AA42" s="65" t="str">
        <x:f>IF(AA41&lt;0,"装备总量不足","仍需检查同品质/部位")</x:f>
        <x:v>仍需检查同品质/部位</x:v>
      </x:c>
      <x:c r="AB42" s="65" t="str">
        <x:f>IF(AB41&lt;0,"装备总量不足","仍需检查同品质/部位")</x:f>
        <x:v>仍需检查同品质/部位</x:v>
      </x:c>
      <x:c r="AC42" s="65" t="str">
        <x:f>IF(AC41&lt;0,"装备总量不足","仍需检查同品质/部位")</x:f>
        <x:v>仍需检查同品质/部位</x:v>
      </x:c>
      <x:c r="AD42" s="65" t="str">
        <x:f>IF(AD41&lt;0,"装备总量不足","仍需检查同品质/部位")</x:f>
        <x:v>仍需检查同品质/部位</x:v>
      </x:c>
      <x:c r="AE42" s="65" t="str">
        <x:f>IF(AE41&lt;0,"装备总量不足","仍需检查同品质/部位")</x:f>
        <x:v>仍需检查同品质/部位</x:v>
      </x:c>
      <x:c r="AF42" s="65"/>
    </x:row>
    <x:row r="43" ht="28" customHeight="1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  <x:c r="AA43" s="62"/>
      <x:c r="AB43" s="62"/>
      <x:c r="AC43" s="62"/>
      <x:c r="AD43" s="62"/>
      <x:c r="AE43" s="62"/>
      <x:c r="AF43" s="65"/>
    </x:row>
    <x:row r="44" ht="28" customHeight="1">
      <x:c r="A44" s="125" t="str">
        <x:v>金币期初</x:v>
      </x:c>
      <x:c r="B44" s="125" t="n">
        <x:f>'经济参数'!$E$16</x:f>
        <x:v>0</x:v>
      </x:c>
      <x:c r="C44" s="125" t="n">
        <x:f>B60</x:f>
        <x:v>16020.888732022693</x:v>
      </x:c>
      <x:c r="D44" s="125" t="n">
        <x:f>C60</x:f>
        <x:v>52524.29843427014</x:v>
      </x:c>
      <x:c r="E44" s="125" t="n">
        <x:f>D60</x:f>
        <x:v>95462.50813651757</x:v>
      </x:c>
      <x:c r="F44" s="125" t="n">
        <x:f>E60</x:f>
        <x:v>133501.91708228877</x:v>
      </x:c>
      <x:c r="G44" s="125" t="n">
        <x:f>F60</x:f>
        <x:v>179509.19674099484</x:v>
      </x:c>
      <x:c r="H44" s="125" t="n">
        <x:f>G60</x:f>
        <x:v>209876.4763997009</x:v>
      </x:c>
      <x:c r="I44" s="125" t="n">
        <x:f>H60</x:f>
        <x:v>242389.34233628004</x:v>
      </x:c>
      <x:c r="J44" s="125" t="n">
        <x:f>I60</x:f>
        <x:v>243162.6082728592</x:v>
      </x:c>
      <x:c r="K44" s="125" t="n">
        <x:f>J60</x:f>
        <x:v>319728.1408673088</x:v>
      </x:c>
      <x:c r="L44" s="125" t="n">
        <x:f>K60</x:f>
        <x:v>368473.3168320359</x:v>
      </x:c>
      <x:c r="M44" s="125" t="n">
        <x:f>L60</x:f>
        <x:v>441682.41616704053</x:v>
      </x:c>
      <x:c r="N44" s="125" t="n">
        <x:f>M60</x:f>
        <x:v>467285.01550204516</x:v>
      </x:c>
      <x:c r="O44" s="125" t="n">
        <x:f>N60</x:f>
        <x:v>536492.3545019132</x:v>
      </x:c>
      <x:c r="P44" s="125" t="n">
        <x:f>O60</x:f>
        <x:v>604336.4288547302</x:v>
      </x:c>
      <x:c r="Q44" s="125" t="n">
        <x:f>P60</x:f>
        <x:v>510696.02320754726</x:v>
      </x:c>
      <x:c r="R44" s="125" t="n">
        <x:f>Q60</x:f>
        <x:v>550167.8429133132</x:v>
      </x:c>
      <x:c r="S44" s="125" t="n">
        <x:f>R60</x:f>
        <x:v>491318.7626190791</x:v>
      </x:c>
      <x:c r="T44" s="125" t="n">
        <x:f>S60</x:f>
        <x:v>456233.027677794</x:v>
      </x:c>
      <x:c r="U44" s="125" t="n">
        <x:f>T60</x:f>
        <x:v>372284.89273650886</x:v>
      </x:c>
      <x:c r="V44" s="125" t="n">
        <x:f>U60</x:f>
        <x:v>381895.7331481727</x:v>
      </x:c>
      <x:c r="W44" s="125" t="n">
        <x:f>V60</x:f>
        <x:v>395706.7335598365</x:v>
      </x:c>
      <x:c r="X44" s="125" t="n">
        <x:f>W60</x:f>
        <x:v>208454.85397150042</x:v>
      </x:c>
      <x:c r="Y44" s="125" t="n">
        <x:f>X60</x:f>
        <x:v>208557.74973611318</x:v>
      </x:c>
      <x:c r="Z44" s="125" t="n">
        <x:f>Y60</x:f>
        <x:v>206026.76550072595</x:v>
      </x:c>
      <x:c r="AA44" s="125" t="n">
        <x:f>Z60</x:f>
        <x:v>125950.4212653386</x:v>
      </x:c>
      <x:c r="AB44" s="125" t="n">
        <x:f>AA60</x:f>
        <x:v>74926.41238290031</x:v>
      </x:c>
      <x:c r="AC44" s="125" t="n">
        <x:f>AB60</x:f>
        <x:v>22183.263500461995</x:v>
      </x:c>
      <x:c r="AD44" s="125" t="n">
        <x:f>AC60</x:f>
        <x:v>-184313.57538197632</x:v>
      </x:c>
      <x:c r="AE44" s="125" t="n">
        <x:f>AD60</x:f>
        <x:v>-242291.58426441462</x:v>
      </x:c>
      <x:c r="AF44" s="65"/>
    </x:row>
    <x:row r="45" ht="28" customHeight="1">
      <x:c r="A45" s="62" t="str">
        <x:v>主线结算金币</x:v>
      </x:c>
      <x:c r="B45" s="62" t="n">
        <x:f>(B22*B32+B23*ROUNDDOWN(B32*B29/B8*'经济参数'!$E$25,0))*B30</x:f>
        <x:v>3960</x:v>
      </x:c>
      <x:c r="C45" s="62" t="n">
        <x:f>(C22*C32+C23*ROUNDDOWN(C32*C29/C8*'经济参数'!$E$25,0))*C30</x:f>
        <x:v>8410</x:v>
      </x:c>
      <x:c r="D45" s="62" t="n">
        <x:f>(D22*D32+D23*ROUNDDOWN(D32*D29/D8*'经济参数'!$E$25,0))*D30</x:f>
        <x:v>12840</x:v>
      </x:c>
      <x:c r="E45" s="62" t="n">
        <x:f>(E22*E32+E23*ROUNDDOWN(E32*E29/E8*'经济参数'!$E$25,0))*E30</x:f>
        <x:v>17710</x:v>
      </x:c>
      <x:c r="F45" s="62" t="n">
        <x:f>(F22*F32+F23*ROUNDDOWN(F32*F29/F8*'经济参数'!$E$25,0))*F30</x:f>
        <x:v>22140</x:v>
      </x:c>
      <x:c r="G45" s="62" t="n">
        <x:f>(G22*G32+G23*ROUNDDOWN(G32*G29/G8*'经济参数'!$E$25,0))*G30</x:f>
        <x:v>26570</x:v>
      </x:c>
      <x:c r="H45" s="62" t="n">
        <x:f>(H22*H32+H23*ROUNDDOWN(H32*H29/H8*'经济参数'!$E$25,0))*H30</x:f>
        <x:v>31440</x:v>
      </x:c>
      <x:c r="I45" s="62" t="n">
        <x:f>(I22*I32+I23*ROUNDDOWN(I32*I29/I8*'经济参数'!$E$25,0))*I30</x:f>
        <x:v>35870</x:v>
      </x:c>
      <x:c r="J45" s="62" t="n">
        <x:f>(J22*J32+J23*ROUNDDOWN(J32*J29/J8*'经济参数'!$E$25,0))*J30</x:f>
        <x:v>40740</x:v>
      </x:c>
      <x:c r="K45" s="62" t="n">
        <x:f>(K22*K32+K23*ROUNDDOWN(K32*K29/K8*'经济参数'!$E$25,0))*K30</x:f>
        <x:v>42911.50000000001</x:v>
      </x:c>
      <x:c r="L45" s="62" t="n">
        <x:f>(L22*L32+L23*ROUNDDOWN(L32*L29/L8*'经济参数'!$E$25,0))*L30</x:f>
        <x:v>44640</x:v>
      </x:c>
      <x:c r="M45" s="62" t="n">
        <x:f>(M22*M32+M23*ROUNDDOWN(M32*M29/M8*'经济参数'!$E$25,0))*M30</x:f>
        <x:v>48226.5</x:v>
      </x:c>
      <x:c r="N45" s="62" t="n">
        <x:f>(N22*N32+N23*ROUNDDOWN(N32*N29/N8*'经济参数'!$E$25,0))*N30</x:f>
        <x:v>49308.5</x:v>
      </x:c>
      <x:c r="O45" s="62" t="n">
        <x:f>(O22*O32+O23*ROUNDDOWN(O32*O29/O8*'经济参数'!$E$25,0))*O30</x:f>
        <x:v>49600</x:v>
      </x:c>
      <x:c r="P45" s="62" t="n">
        <x:f>(P22*P32+P23*ROUNDDOWN(P32*P29/P8*'经济参数'!$E$25,0))*P30</x:f>
        <x:v>52432</x:v>
      </x:c>
      <x:c r="Q45" s="62" t="n">
        <x:f>(Q22*Q32+Q23*ROUNDDOWN(Q32*Q29/Q8*'经济参数'!$E$25,0))*Q30</x:f>
        <x:v>51813.75</x:v>
      </x:c>
      <x:c r="R45" s="62" t="n">
        <x:f>(R22*R32+R23*ROUNDDOWN(R32*R29/R8*'经济参数'!$E$25,0))*R30</x:f>
        <x:v>54468.75</x:v>
      </x:c>
      <x:c r="S45" s="62" t="n">
        <x:f>(S22*S32+S23*ROUNDDOWN(S32*S29/S8*'经济参数'!$E$25,0))*S30</x:f>
        <x:v>53319.00000000001</x:v>
      </x:c>
      <x:c r="T45" s="62" t="n">
        <x:f>(T22*T32+T23*ROUNDDOWN(T32*T29/T8*'经济参数'!$E$25,0))*T30</x:f>
        <x:v>55489.00000000001</x:v>
      </x:c>
      <x:c r="U45" s="62" t="n">
        <x:f>(U22*U32+U23*ROUNDDOWN(U32*U29/U8*'经济参数'!$E$25,0))*U30</x:f>
        <x:v>53540.5</x:v>
      </x:c>
      <x:c r="V45" s="62" t="n">
        <x:f>(V22*V32+V23*ROUNDDOWN(V32*V29/V8*'经济参数'!$E$25,0))*V30</x:f>
        <x:v>55555.5</x:v>
      </x:c>
      <x:c r="W45" s="62" t="n">
        <x:f>(W22*W32+W23*ROUNDDOWN(W32*W29/W8*'经济参数'!$E$25,0))*W30</x:f>
        <x:v>57570.5</x:v>
      </x:c>
      <x:c r="X45" s="62" t="n">
        <x:f>(X22*X32+X23*ROUNDDOWN(X32*X29/X8*'经济参数'!$E$25,0))*X30</x:f>
        <x:v>55002.00000000001</x:v>
      </x:c>
      <x:c r="Y45" s="62" t="n">
        <x:f>(Y22*Y32+Y23*ROUNDDOWN(Y32*Y29/Y8*'经济参数'!$E$25,0))*Y30</x:f>
        <x:v>56595.00000000001</x:v>
      </x:c>
      <x:c r="Z45" s="62" t="n">
        <x:f>(Z22*Z32+Z23*ROUNDDOWN(Z32*Z29/Z8*'经济参数'!$E$25,0))*Z30</x:f>
        <x:v>58191</x:v>
      </x:c>
      <x:c r="AA45" s="62" t="n">
        <x:f>(AA22*AA32+AA23*ROUNDDOWN(AA32*AA29/AA8*'经济参数'!$E$25,0))*AA30</x:f>
        <x:v>54802</x:v>
      </x:c>
      <x:c r="AB45" s="62" t="n">
        <x:f>(AB22*AB32+AB23*ROUNDDOWN(AB32*AB29/AB8*'经济参数'!$E$25,0))*AB30</x:f>
        <x:v>56265</x:v>
      </x:c>
      <x:c r="AC45" s="62" t="n">
        <x:f>(AC22*AC32+AC23*ROUNDDOWN(AC32*AC29/AC8*'经济参数'!$E$25,0))*AC30</x:f>
        <x:v>57725.25</x:v>
      </x:c>
      <x:c r="AD45" s="62" t="n">
        <x:f>(AD22*AD32+AD23*ROUNDDOWN(AD32*AD29/AD8*'经济参数'!$E$25,0))*AD30</x:f>
        <x:v>58943.49999999999</x:v>
      </x:c>
      <x:c r="AE45" s="62" t="n">
        <x:f>(AE22*AE32+AE23*ROUNDDOWN(AE32*AE29/AE8*'经济参数'!$E$25,0))*AE30</x:f>
        <x:v>54912.5</x:v>
      </x:c>
      <x:c r="AF45" s="65"/>
    </x:row>
    <x:row r="46" ht="28" customHeight="1">
      <x:c r="A46" s="62" t="str">
        <x:v>主线击杀金币</x:v>
      </x:c>
      <x:c r="B46" s="62" t="n">
        <x:f>VLOOKUP(B7,'关卡总表'!$A$7:$AY$906,11,FALSE)*(B22*'每日计划'!B12+B23*'每日计划'!B13)</x:f>
        <x:v>12816</x:v>
      </x:c>
      <x:c r="C46" s="62" t="n">
        <x:f>VLOOKUP(C7,'关卡总表'!$A$7:$AY$906,11,FALSE)*(C22*'每日计划'!C12+C23*'每日计划'!C13)</x:f>
        <x:v>37451.200000000004</x:v>
      </x:c>
      <x:c r="D46" s="62" t="n">
        <x:f>VLOOKUP(D7,'关卡总表'!$A$7:$AY$906,11,FALSE)*(D22*'每日计划'!D12+D23*'每日计划'!D13)</x:f>
        <x:v>43966</x:v>
      </x:c>
      <x:c r="E46" s="62" t="n">
        <x:f>VLOOKUP(E7,'关卡总表'!$A$7:$AY$906,11,FALSE)*(E22*'每日计划'!E12+E23*'每日计划'!E13)</x:f>
        <x:v>54325.6</x:v>
      </x:c>
      <x:c r="F46" s="62" t="n">
        <x:f>VLOOKUP(F7,'关卡总表'!$A$7:$AY$906,11,FALSE)*(F22*'每日计划'!F12+F23*'每日计划'!F13)</x:f>
        <x:v>59024.8</x:v>
      </x:c>
      <x:c r="G46" s="62" t="n">
        <x:f>VLOOKUP(G7,'关卡总表'!$A$7:$AY$906,11,FALSE)*(G22*'每日计划'!G12+G23*'每日计划'!G13)</x:f>
        <x:v>61160.8</x:v>
      </x:c>
      <x:c r="H46" s="62" t="n">
        <x:f>VLOOKUP(H7,'关卡总表'!$A$7:$AY$906,11,FALSE)*(H22*'每日计划'!H12+H23*'每日计划'!H13)</x:f>
        <x:v>67960.40000000001</x:v>
      </x:c>
      <x:c r="I46" s="62" t="n">
        <x:f>VLOOKUP(I7,'关卡总表'!$A$7:$AY$906,11,FALSE)*(I22*'每日计划'!I12+I23*'每日计划'!I13)</x:f>
        <x:v>65966.8</x:v>
      </x:c>
      <x:c r="J46" s="62" t="n">
        <x:f>VLOOKUP(J7,'关卡总表'!$A$7:$AY$906,11,FALSE)*(J22*'每日计划'!J12+J23*'每日计划'!J13)</x:f>
        <x:v>75222.8</x:v>
      </x:c>
      <x:c r="K46" s="62" t="n">
        <x:f>VLOOKUP(K7,'关卡总表'!$A$7:$AY$906,11,FALSE)*(K22*'每日计划'!K12+K23*'每日计划'!K13)</x:f>
        <x:v>74539.28</x:v>
      </x:c>
      <x:c r="L46" s="62" t="n">
        <x:f>VLOOKUP(L7,'关卡总表'!$A$7:$AY$906,11,FALSE)*(L22*'每日计划'!L12+L23*'每日计划'!L13)</x:f>
        <x:v>72923.04</x:v>
      </x:c>
      <x:c r="M46" s="62" t="n">
        <x:f>VLOOKUP(M7,'关卡总表'!$A$7:$AY$906,11,FALSE)*(M22*'每日计划'!M12+M23*'每日计划'!M13)</x:f>
        <x:v>74525.04</x:v>
      </x:c>
      <x:c r="N46" s="62" t="n">
        <x:f>VLOOKUP(N7,'关卡总表'!$A$7:$AY$906,11,FALSE)*(N22*'每日计划'!N12+N23*'每日计划'!N13)</x:f>
        <x:v>69204.62000000001</x:v>
      </x:c>
      <x:c r="O46" s="62" t="n">
        <x:f>VLOOKUP(O7,'关卡总表'!$A$7:$AY$906,11,FALSE)*(O22*'每日计划'!O12+O23*'每日计划'!O13)</x:f>
        <x:v>70089.28</x:v>
      </x:c>
      <x:c r="P46" s="62" t="n">
        <x:f>VLOOKUP(P7,'关卡总表'!$A$7:$AY$906,11,FALSE)*(P22*'每日计划'!P12+P23*'每日计划'!P13)</x:f>
        <x:v>72196.8</x:v>
      </x:c>
      <x:c r="Q46" s="62" t="n">
        <x:f>VLOOKUP(Q7,'关卡总表'!$A$7:$AY$906,11,FALSE)*(Q22*'每日计划'!Q12+Q23*'每日计划'!Q13)</x:f>
        <x:v>68111.7</x:v>
      </x:c>
      <x:c r="R46" s="62" t="n">
        <x:f>VLOOKUP(R7,'关卡总表'!$A$7:$AY$906,11,FALSE)*(R22*'每日计划'!R12+R23*'每日计划'!R13)</x:f>
        <x:v>70327.8</x:v>
      </x:c>
      <x:c r="S46" s="62" t="n">
        <x:f>VLOOKUP(S7,'关卡总表'!$A$7:$AY$906,11,FALSE)*(S22*'每日计划'!S12+S23*'每日计划'!S13)</x:f>
        <x:v>66561.32</x:v>
      </x:c>
      <x:c r="T46" s="62" t="n">
        <x:f>VLOOKUP(T7,'关卡总表'!$A$7:$AY$906,11,FALSE)*(T22*'每日计划'!T12+T23*'每日计划'!T13)</x:f>
        <x:v>66685.92</x:v>
      </x:c>
      <x:c r="U46" s="62" t="n">
        <x:f>VLOOKUP(U7,'关卡总表'!$A$7:$AY$906,11,FALSE)*(U22*'每日计划'!U12+U23*'每日计划'!U13)</x:f>
        <x:v>58150.82</x:v>
      </x:c>
      <x:c r="V46" s="62" t="n">
        <x:f>VLOOKUP(V7,'关卡总表'!$A$7:$AY$906,11,FALSE)*(V22*'每日计划'!V12+V23*'每日计划'!V13)</x:f>
        <x:v>63796.98</x:v>
      </x:c>
      <x:c r="W46" s="62" t="n">
        <x:f>VLOOKUP(W7,'关卡总表'!$A$7:$AY$906,11,FALSE)*(W22*'每日计划'!W12+W23*'每日计划'!W13)</x:f>
        <x:v>61668.1</x:v>
      </x:c>
      <x:c r="X46" s="62" t="n">
        <x:f>VLOOKUP(X7,'关卡总表'!$A$7:$AY$906,11,FALSE)*(X22*'每日计划'!X12+X23*'每日计划'!X13)</x:f>
        <x:v>61516.80000000001</x:v>
      </x:c>
      <x:c r="Y46" s="62" t="n">
        <x:f>VLOOKUP(Y7,'关卡总表'!$A$7:$AY$906,11,FALSE)*(Y22*'每日计划'!Y12+Y23*'每日计划'!Y13)</x:f>
        <x:v>60811.920000000006</x:v>
      </x:c>
      <x:c r="Z46" s="62" t="n">
        <x:f>VLOOKUP(Z7,'关卡总表'!$A$7:$AY$906,11,FALSE)*(Z22*'每日计划'!Z12+Z23*'每日计划'!Z13)</x:f>
        <x:v>62392.56000000001</x:v>
      </x:c>
      <x:c r="AA46" s="62" t="n">
        <x:f>VLOOKUP(AA7,'关卡总表'!$A$7:$AY$906,11,FALSE)*(AA22*'每日计划'!AA12+AA23*'每日计划'!AA13)</x:f>
        <x:v>56860.32000000001</x:v>
      </x:c>
      <x:c r="AB46" s="62" t="n">
        <x:f>VLOOKUP(AB7,'关卡总表'!$A$7:$AY$906,11,FALSE)*(AB22*'每日计划'!AB12+AB23*'每日计划'!AB13)</x:f>
        <x:v>58172.18000000001</x:v>
      </x:c>
      <x:c r="AC46" s="62" t="n">
        <x:f>VLOOKUP(AC7,'关卡总表'!$A$7:$AY$906,11,FALSE)*(AC22*'每日计划'!AC12+AC23*'每日计划'!AC13)</x:f>
        <x:v>55372.240000000005</x:v>
      </x:c>
      <x:c r="AD46" s="62" t="n">
        <x:f>VLOOKUP(AD7,'关卡总表'!$A$7:$AY$906,11,FALSE)*(AD22*'每日计划'!AD12+AD23*'每日计划'!AD13)</x:f>
        <x:v>59307.82000000001</x:v>
      </x:c>
      <x:c r="AE46" s="62" t="n">
        <x:f>VLOOKUP(AE7,'关卡总表'!$A$7:$AY$906,11,FALSE)*(AE22*'每日计划'!AE12+AE23*'每日计划'!AE13)</x:f>
        <x:v>53453.4</x:v>
      </x:c>
      <x:c r="AF46" s="65"/>
    </x:row>
    <x:row r="47" ht="28" customHeight="1">
      <x:c r="A47" s="62" t="str">
        <x:v>主线铜钱消除金币</x:v>
      </x:c>
      <x:c r="B47" s="62" t="n">
        <x:f>B21*('每日计划'!B27*'经济参数'!$E$41+'每日计划'!B28*'经济参数'!$E$42+'每日计划'!B29*'经济参数'!$E$43+'每日计划'!B30*'经济参数'!$E$44)</x:f>
        <x:v>1144.8</x:v>
      </x:c>
      <x:c r="C47" s="62" t="n">
        <x:f>C21*('每日计划'!C27*'经济参数'!$E$41+'每日计划'!C28*'经济参数'!$E$42+'每日计划'!C29*'经济参数'!$E$43+'每日计划'!C30*'经济参数'!$E$44)</x:f>
        <x:v>1272</x:v>
      </x:c>
      <x:c r="D47" s="62" t="n">
        <x:f>D21*('每日计划'!D27*'经济参数'!$E$41+'每日计划'!D28*'经济参数'!$E$42+'每日计划'!D29*'经济参数'!$E$43+'每日计划'!D30*'经济参数'!$E$44)</x:f>
        <x:v>1272</x:v>
      </x:c>
      <x:c r="E47" s="62" t="n">
        <x:f>E21*('每日计划'!E27*'经济参数'!$E$41+'每日计划'!E28*'经济参数'!$E$42+'每日计划'!E29*'经济参数'!$E$43+'每日计划'!E30*'经济参数'!$E$44)</x:f>
        <x:v>1272</x:v>
      </x:c>
      <x:c r="F47" s="62" t="n">
        <x:f>F21*('每日计划'!F27*'经济参数'!$E$41+'每日计划'!F28*'经济参数'!$E$42+'每日计划'!F29*'经济参数'!$E$43+'每日计划'!F30*'经济参数'!$E$44)</x:f>
        <x:v>1272</x:v>
      </x:c>
      <x:c r="G47" s="62" t="n">
        <x:f>G21*('每日计划'!G27*'经济参数'!$E$41+'每日计划'!G28*'经济参数'!$E$42+'每日计划'!G29*'经济参数'!$E$43+'每日计划'!G30*'经济参数'!$E$44)</x:f>
        <x:v>1272</x:v>
      </x:c>
      <x:c r="H47" s="62" t="n">
        <x:f>H21*('每日计划'!H27*'经济参数'!$E$41+'每日计划'!H28*'经济参数'!$E$42+'每日计划'!H29*'经济参数'!$E$43+'每日计划'!H30*'经济参数'!$E$44)</x:f>
        <x:v>1272</x:v>
      </x:c>
      <x:c r="I47" s="62" t="n">
        <x:f>I21*('每日计划'!I27*'经济参数'!$E$41+'每日计划'!I28*'经济参数'!$E$42+'每日计划'!I29*'经济参数'!$E$43+'每日计划'!I30*'经济参数'!$E$44)</x:f>
        <x:v>1272</x:v>
      </x:c>
      <x:c r="J47" s="62" t="n">
        <x:f>J21*('每日计划'!J27*'经济参数'!$E$41+'每日计划'!J28*'经济参数'!$E$42+'每日计划'!J29*'经济参数'!$E$43+'每日计划'!J30*'经济参数'!$E$44)</x:f>
        <x:v>1272</x:v>
      </x:c>
      <x:c r="K47" s="62" t="n">
        <x:f>K21*('每日计划'!K27*'经济参数'!$E$41+'每日计划'!K28*'经济参数'!$E$42+'每日计划'!K29*'经济参数'!$E$43+'每日计划'!K30*'经济参数'!$E$44)</x:f>
        <x:v>1208.4</x:v>
      </x:c>
      <x:c r="L47" s="62" t="n">
        <x:f>L21*('每日计划'!L27*'经济参数'!$E$41+'每日计划'!L28*'经济参数'!$E$42+'每日计划'!L29*'经济参数'!$E$43+'每日计划'!L30*'经济参数'!$E$44)</x:f>
        <x:v>1144.8</x:v>
      </x:c>
      <x:c r="M47" s="62" t="n">
        <x:f>M21*('每日计划'!M27*'经济参数'!$E$41+'每日计划'!M28*'经济参数'!$E$42+'每日计划'!M29*'经济参数'!$E$43+'每日计划'!M30*'经济参数'!$E$44)</x:f>
        <x:v>1144.8</x:v>
      </x:c>
      <x:c r="N47" s="62" t="n">
        <x:f>N21*('每日计划'!N27*'经济参数'!$E$41+'每日计划'!N28*'经济参数'!$E$42+'每日计划'!N29*'经济参数'!$E$43+'每日计划'!N30*'经济参数'!$E$44)</x:f>
        <x:v>1081.2</x:v>
      </x:c>
      <x:c r="O47" s="62" t="n">
        <x:f>O21*('每日计划'!O27*'经济参数'!$E$41+'每日计划'!O28*'经济参数'!$E$42+'每日计划'!O29*'经济参数'!$E$43+'每日计划'!O30*'经济参数'!$E$44)</x:f>
        <x:v>1017.6</x:v>
      </x:c>
      <x:c r="P47" s="62" t="n">
        <x:f>P21*('每日计划'!P27*'经济参数'!$E$41+'每日计划'!P28*'经济参数'!$E$42+'每日计划'!P29*'经济参数'!$E$43+'每日计划'!P30*'经济参数'!$E$44)</x:f>
        <x:v>1017.6</x:v>
      </x:c>
      <x:c r="Q47" s="62" t="n">
        <x:f>Q21*('每日计划'!Q27*'经济参数'!$E$41+'每日计划'!Q28*'经济参数'!$E$42+'每日计划'!Q29*'经济参数'!$E$43+'每日计划'!Q30*'经济参数'!$E$44)</x:f>
        <x:v>954</x:v>
      </x:c>
      <x:c r="R47" s="62" t="n">
        <x:f>R21*('每日计划'!R27*'经济参数'!$E$41+'每日计划'!R28*'经济参数'!$E$42+'每日计划'!R29*'经济参数'!$E$43+'每日计划'!R30*'经济参数'!$E$44)</x:f>
        <x:v>954</x:v>
      </x:c>
      <x:c r="S47" s="62" t="n">
        <x:f>S21*('每日计划'!S27*'经济参数'!$E$41+'每日计划'!S28*'经济参数'!$E$42+'每日计划'!S29*'经济参数'!$E$43+'每日计划'!S30*'经济参数'!$E$44)</x:f>
        <x:v>890.4</x:v>
      </x:c>
      <x:c r="T47" s="62" t="n">
        <x:f>T21*('每日计划'!T27*'经济参数'!$E$41+'每日计划'!T28*'经济参数'!$E$42+'每日计划'!T29*'经济参数'!$E$43+'每日计划'!T30*'经济参数'!$E$44)</x:f>
        <x:v>890.4</x:v>
      </x:c>
      <x:c r="U47" s="62" t="n">
        <x:f>U21*('每日计划'!U27*'经济参数'!$E$41+'每日计划'!U28*'经济参数'!$E$42+'每日计划'!U29*'经济参数'!$E$43+'每日计划'!U30*'经济参数'!$E$44)</x:f>
        <x:v>826.8000000000001</x:v>
      </x:c>
      <x:c r="V47" s="62" t="n">
        <x:f>V21*('每日计划'!V27*'经济参数'!$E$41+'每日计划'!V28*'经济参数'!$E$42+'每日计划'!V29*'经济参数'!$E$43+'每日计划'!V30*'经济参数'!$E$44)</x:f>
        <x:v>826.8000000000001</x:v>
      </x:c>
      <x:c r="W47" s="62" t="n">
        <x:f>W21*('每日计划'!W27*'经济参数'!$E$41+'每日计划'!W28*'经济参数'!$E$42+'每日计划'!W29*'经济参数'!$E$43+'每日计划'!W30*'经济参数'!$E$44)</x:f>
        <x:v>826.8000000000001</x:v>
      </x:c>
      <x:c r="X47" s="62" t="n">
        <x:f>X21*('每日计划'!X27*'经济参数'!$E$41+'每日计划'!X28*'经济参数'!$E$42+'每日计划'!X29*'经济参数'!$E$43+'每日计划'!X30*'经济参数'!$E$44)</x:f>
        <x:v>763.2</x:v>
      </x:c>
      <x:c r="Y47" s="62" t="n">
        <x:f>Y21*('每日计划'!Y27*'经济参数'!$E$41+'每日计划'!Y28*'经济参数'!$E$42+'每日计划'!Y29*'经济参数'!$E$43+'每日计划'!Y30*'经济参数'!$E$44)</x:f>
        <x:v>763.2</x:v>
      </x:c>
      <x:c r="Z47" s="62" t="n">
        <x:f>Z21*('每日计划'!Z27*'经济参数'!$E$41+'每日计划'!Z28*'经济参数'!$E$42+'每日计划'!Z29*'经济参数'!$E$43+'每日计划'!Z30*'经济参数'!$E$44)</x:f>
        <x:v>763.2</x:v>
      </x:c>
      <x:c r="AA47" s="62" t="n">
        <x:f>AA21*('每日计划'!AA27*'经济参数'!$E$41+'每日计划'!AA28*'经济参数'!$E$42+'每日计划'!AA29*'经济参数'!$E$43+'每日计划'!AA30*'经济参数'!$E$44)</x:f>
        <x:v>699.6</x:v>
      </x:c>
      <x:c r="AB47" s="62" t="n">
        <x:f>AB21*('每日计划'!AB27*'经济参数'!$E$41+'每日计划'!AB28*'经济参数'!$E$42+'每日计划'!AB29*'经济参数'!$E$43+'每日计划'!AB30*'经济参数'!$E$44)</x:f>
        <x:v>699.6</x:v>
      </x:c>
      <x:c r="AC47" s="62" t="n">
        <x:f>AC21*('每日计划'!AC27*'经济参数'!$E$41+'每日计划'!AC28*'经济参数'!$E$42+'每日计划'!AC29*'经济参数'!$E$43+'每日计划'!AC30*'经济参数'!$E$44)</x:f>
        <x:v>699.6</x:v>
      </x:c>
      <x:c r="AD47" s="62" t="n">
        <x:f>AD21*('每日计划'!AD27*'经济参数'!$E$41+'每日计划'!AD28*'经济参数'!$E$42+'每日计划'!AD29*'经济参数'!$E$43+'每日计划'!AD30*'经济参数'!$E$44)</x:f>
        <x:v>699.6</x:v>
      </x:c>
      <x:c r="AE47" s="62" t="n">
        <x:f>AE21*('每日计划'!AE27*'经济参数'!$E$41+'每日计划'!AE28*'经济参数'!$E$42+'每日计划'!AE29*'经济参数'!$E$43+'每日计划'!AE30*'经济参数'!$E$44)</x:f>
        <x:v>636</x:v>
      </x:c>
      <x:c r="AF47" s="65"/>
    </x:row>
    <x:row r="48" ht="28" customHeight="1">
      <x:c r="A48" s="62" t="str">
        <x:v>登录金币</x:v>
      </x:c>
      <x:c r="B48" s="62" t="n">
        <x:f>IF('每日计划'!B7&gt;0,'经济参数'!$E$28,0)</x:f>
        <x:v>50</x:v>
      </x:c>
      <x:c r="C48" s="62" t="n">
        <x:f>IF('每日计划'!C7&gt;0,'经济参数'!$E$28,0)</x:f>
        <x:v>50</x:v>
      </x:c>
      <x:c r="D48" s="62" t="n">
        <x:f>IF('每日计划'!D7&gt;0,'经济参数'!$E$28,0)</x:f>
        <x:v>50</x:v>
      </x:c>
      <x:c r="E48" s="62" t="n">
        <x:f>IF('每日计划'!E7&gt;0,'经济参数'!$E$28,0)</x:f>
        <x:v>50</x:v>
      </x:c>
      <x:c r="F48" s="62" t="n">
        <x:f>IF('每日计划'!F7&gt;0,'经济参数'!$E$28,0)</x:f>
        <x:v>50</x:v>
      </x:c>
      <x:c r="G48" s="62" t="n">
        <x:f>IF('每日计划'!G7&gt;0,'经济参数'!$E$28,0)</x:f>
        <x:v>50</x:v>
      </x:c>
      <x:c r="H48" s="62" t="n">
        <x:f>IF('每日计划'!H7&gt;0,'经济参数'!$E$28,0)</x:f>
        <x:v>50</x:v>
      </x:c>
      <x:c r="I48" s="62" t="n">
        <x:f>IF('每日计划'!I7&gt;0,'经济参数'!$E$28,0)</x:f>
        <x:v>50</x:v>
      </x:c>
      <x:c r="J48" s="62" t="n">
        <x:f>IF('每日计划'!J7&gt;0,'经济参数'!$E$28,0)</x:f>
        <x:v>50</x:v>
      </x:c>
      <x:c r="K48" s="62" t="n">
        <x:f>IF('每日计划'!K7&gt;0,'经济参数'!$E$28,0)</x:f>
        <x:v>50</x:v>
      </x:c>
      <x:c r="L48" s="62" t="n">
        <x:f>IF('每日计划'!L7&gt;0,'经济参数'!$E$28,0)</x:f>
        <x:v>50</x:v>
      </x:c>
      <x:c r="M48" s="62" t="n">
        <x:f>IF('每日计划'!M7&gt;0,'经济参数'!$E$28,0)</x:f>
        <x:v>50</x:v>
      </x:c>
      <x:c r="N48" s="62" t="n">
        <x:f>IF('每日计划'!N7&gt;0,'经济参数'!$E$28,0)</x:f>
        <x:v>50</x:v>
      </x:c>
      <x:c r="O48" s="62" t="n">
        <x:f>IF('每日计划'!O7&gt;0,'经济参数'!$E$28,0)</x:f>
        <x:v>50</x:v>
      </x:c>
      <x:c r="P48" s="62" t="n">
        <x:f>IF('每日计划'!P7&gt;0,'经济参数'!$E$28,0)</x:f>
        <x:v>50</x:v>
      </x:c>
      <x:c r="Q48" s="62" t="n">
        <x:f>IF('每日计划'!Q7&gt;0,'经济参数'!$E$28,0)</x:f>
        <x:v>50</x:v>
      </x:c>
      <x:c r="R48" s="62" t="n">
        <x:f>IF('每日计划'!R7&gt;0,'经济参数'!$E$28,0)</x:f>
        <x:v>50</x:v>
      </x:c>
      <x:c r="S48" s="62" t="n">
        <x:f>IF('每日计划'!S7&gt;0,'经济参数'!$E$28,0)</x:f>
        <x:v>50</x:v>
      </x:c>
      <x:c r="T48" s="62" t="n">
        <x:f>IF('每日计划'!T7&gt;0,'经济参数'!$E$28,0)</x:f>
        <x:v>50</x:v>
      </x:c>
      <x:c r="U48" s="62" t="n">
        <x:f>IF('每日计划'!U7&gt;0,'经济参数'!$E$28,0)</x:f>
        <x:v>50</x:v>
      </x:c>
      <x:c r="V48" s="62" t="n">
        <x:f>IF('每日计划'!V7&gt;0,'经济参数'!$E$28,0)</x:f>
        <x:v>50</x:v>
      </x:c>
      <x:c r="W48" s="62" t="n">
        <x:f>IF('每日计划'!W7&gt;0,'经济参数'!$E$28,0)</x:f>
        <x:v>50</x:v>
      </x:c>
      <x:c r="X48" s="62" t="n">
        <x:f>IF('每日计划'!X7&gt;0,'经济参数'!$E$28,0)</x:f>
        <x:v>50</x:v>
      </x:c>
      <x:c r="Y48" s="62" t="n">
        <x:f>IF('每日计划'!Y7&gt;0,'经济参数'!$E$28,0)</x:f>
        <x:v>50</x:v>
      </x:c>
      <x:c r="Z48" s="62" t="n">
        <x:f>IF('每日计划'!Z7&gt;0,'经济参数'!$E$28,0)</x:f>
        <x:v>50</x:v>
      </x:c>
      <x:c r="AA48" s="62" t="n">
        <x:f>IF('每日计划'!AA7&gt;0,'经济参数'!$E$28,0)</x:f>
        <x:v>50</x:v>
      </x:c>
      <x:c r="AB48" s="62" t="n">
        <x:f>IF('每日计划'!AB7&gt;0,'经济参数'!$E$28,0)</x:f>
        <x:v>50</x:v>
      </x:c>
      <x:c r="AC48" s="62" t="n">
        <x:f>IF('每日计划'!AC7&gt;0,'经济参数'!$E$28,0)</x:f>
        <x:v>50</x:v>
      </x:c>
      <x:c r="AD48" s="62" t="n">
        <x:f>IF('每日计划'!AD7&gt;0,'经济参数'!$E$28,0)</x:f>
        <x:v>50</x:v>
      </x:c>
      <x:c r="AE48" s="62" t="n">
        <x:f>IF('每日计划'!AE7&gt;0,'经济参数'!$E$28,0)</x:f>
        <x:v>50</x:v>
      </x:c>
      <x:c r="AF48" s="65"/>
    </x:row>
    <x:row r="49" ht="28" customHeight="1">
      <x:c r="A49" s="62" t="str">
        <x:v>日常任务金币</x:v>
      </x:c>
      <x:c r="B49" s="62" t="n">
        <x:f>B31*(IF(B21&gt;0,'经济参数'!$E$29+'经济参数'!$E$30,0)+IF(B11&gt;0,'经济参数'!$E$32,0)+IF(B101&gt;0,'经济参数'!$E$34,0)+IF(B103&gt;0,'经济参数'!$E$35,0))</x:f>
        <x:v>430</x:v>
      </x:c>
      <x:c r="C49" s="62" t="n">
        <x:f>C31*(IF(C21&gt;0,'经济参数'!$E$29+'经济参数'!$E$30,0)+IF(C11&gt;0,'经济参数'!$E$32,0)+IF(C101&gt;0,'经济参数'!$E$34,0)+IF(C103&gt;0,'经济参数'!$E$35,0))</x:f>
        <x:v>510</x:v>
      </x:c>
      <x:c r="D49" s="62" t="n">
        <x:f>D31*(IF(D21&gt;0,'经济参数'!$E$29+'经济参数'!$E$30,0)+IF(D11&gt;0,'经济参数'!$E$32,0)+IF(D101&gt;0,'经济参数'!$E$34,0)+IF(D103&gt;0,'经济参数'!$E$35,0))</x:f>
        <x:v>430</x:v>
      </x:c>
      <x:c r="E49" s="62" t="n">
        <x:f>E31*(IF(E21&gt;0,'经济参数'!$E$29+'经济参数'!$E$30,0)+IF(E11&gt;0,'经济参数'!$E$32,0)+IF(E101&gt;0,'经济参数'!$E$34,0)+IF(E103&gt;0,'经济参数'!$E$35,0))</x:f>
        <x:v>510</x:v>
      </x:c>
      <x:c r="F49" s="62" t="n">
        <x:f>F31*(IF(F21&gt;0,'经济参数'!$E$29+'经济参数'!$E$30,0)+IF(F11&gt;0,'经济参数'!$E$32,0)+IF(F101&gt;0,'经济参数'!$E$34,0)+IF(F103&gt;0,'经济参数'!$E$35,0))</x:f>
        <x:v>430</x:v>
      </x:c>
      <x:c r="G49" s="62" t="n">
        <x:f>G31*(IF(G21&gt;0,'经济参数'!$E$29+'经济参数'!$E$30,0)+IF(G11&gt;0,'经济参数'!$E$32,0)+IF(G101&gt;0,'经济参数'!$E$34,0)+IF(G103&gt;0,'经济参数'!$E$35,0))</x:f>
        <x:v>510</x:v>
      </x:c>
      <x:c r="H49" s="62" t="n">
        <x:f>H31*(IF(H21&gt;0,'经济参数'!$E$29+'经济参数'!$E$30,0)+IF(H11&gt;0,'经济参数'!$E$32,0)+IF(H101&gt;0,'经济参数'!$E$34,0)+IF(H103&gt;0,'经济参数'!$E$35,0))</x:f>
        <x:v>430</x:v>
      </x:c>
      <x:c r="I49" s="62" t="n">
        <x:f>I31*(IF(I21&gt;0,'经济参数'!$E$29+'经济参数'!$E$30,0)+IF(I11&gt;0,'经济参数'!$E$32,0)+IF(I101&gt;0,'经济参数'!$E$34,0)+IF(I103&gt;0,'经济参数'!$E$35,0))</x:f>
        <x:v>510</x:v>
      </x:c>
      <x:c r="J49" s="62" t="n">
        <x:f>J31*(IF(J21&gt;0,'经济参数'!$E$29+'经济参数'!$E$30,0)+IF(J11&gt;0,'经济参数'!$E$32,0)+IF(J101&gt;0,'经济参数'!$E$34,0)+IF(J103&gt;0,'经济参数'!$E$35,0))</x:f>
        <x:v>430</x:v>
      </x:c>
      <x:c r="K49" s="62" t="n">
        <x:f>K31*(IF(K21&gt;0,'经济参数'!$E$29+'经济参数'!$E$30,0)+IF(K11&gt;0,'经济参数'!$E$32,0)+IF(K101&gt;0,'经济参数'!$E$34,0)+IF(K103&gt;0,'经济参数'!$E$35,0))</x:f>
        <x:v>510</x:v>
      </x:c>
      <x:c r="L49" s="62" t="n">
        <x:f>L31*(IF(L21&gt;0,'经济参数'!$E$29+'经济参数'!$E$30,0)+IF(L11&gt;0,'经济参数'!$E$32,0)+IF(L101&gt;0,'经济参数'!$E$34,0)+IF(L103&gt;0,'经济参数'!$E$35,0))</x:f>
        <x:v>430</x:v>
      </x:c>
      <x:c r="M49" s="62" t="n">
        <x:f>M31*(IF(M21&gt;0,'经济参数'!$E$29+'经济参数'!$E$30,0)+IF(M11&gt;0,'经济参数'!$E$32,0)+IF(M101&gt;0,'经济参数'!$E$34,0)+IF(M103&gt;0,'经济参数'!$E$35,0))</x:f>
        <x:v>510</x:v>
      </x:c>
      <x:c r="N49" s="62" t="n">
        <x:f>N31*(IF(N21&gt;0,'经济参数'!$E$29+'经济参数'!$E$30,0)+IF(N11&gt;0,'经济参数'!$E$32,0)+IF(N101&gt;0,'经济参数'!$E$34,0)+IF(N103&gt;0,'经济参数'!$E$35,0))</x:f>
        <x:v>430</x:v>
      </x:c>
      <x:c r="O49" s="62" t="n">
        <x:f>O31*(IF(O21&gt;0,'经济参数'!$E$29+'经济参数'!$E$30,0)+IF(O11&gt;0,'经济参数'!$E$32,0)+IF(O101&gt;0,'经济参数'!$E$34,0)+IF(O103&gt;0,'经济参数'!$E$35,0))</x:f>
        <x:v>430</x:v>
      </x:c>
      <x:c r="P49" s="62" t="n">
        <x:f>P31*(IF(P21&gt;0,'经济参数'!$E$29+'经济参数'!$E$30,0)+IF(P11&gt;0,'经济参数'!$E$32,0)+IF(P101&gt;0,'经济参数'!$E$34,0)+IF(P103&gt;0,'经济参数'!$E$35,0))</x:f>
        <x:v>510</x:v>
      </x:c>
      <x:c r="Q49" s="62" t="n">
        <x:f>Q31*(IF(Q21&gt;0,'经济参数'!$E$29+'经济参数'!$E$30,0)+IF(Q11&gt;0,'经济参数'!$E$32,0)+IF(Q101&gt;0,'经济参数'!$E$34,0)+IF(Q103&gt;0,'经济参数'!$E$35,0))</x:f>
        <x:v>430</x:v>
      </x:c>
      <x:c r="R49" s="62" t="n">
        <x:f>R31*(IF(R21&gt;0,'经济参数'!$E$29+'经济参数'!$E$30,0)+IF(R11&gt;0,'经济参数'!$E$32,0)+IF(R101&gt;0,'经济参数'!$E$34,0)+IF(R103&gt;0,'经济参数'!$E$35,0))</x:f>
        <x:v>430</x:v>
      </x:c>
      <x:c r="S49" s="62" t="n">
        <x:f>S31*(IF(S21&gt;0,'经济参数'!$E$29+'经济参数'!$E$30,0)+IF(S11&gt;0,'经济参数'!$E$32,0)+IF(S101&gt;0,'经济参数'!$E$34,0)+IF(S103&gt;0,'经济参数'!$E$35,0))</x:f>
        <x:v>510</x:v>
      </x:c>
      <x:c r="T49" s="62" t="n">
        <x:f>T31*(IF(T21&gt;0,'经济参数'!$E$29+'经济参数'!$E$30,0)+IF(T11&gt;0,'经济参数'!$E$32,0)+IF(T101&gt;0,'经济参数'!$E$34,0)+IF(T103&gt;0,'经济参数'!$E$35,0))</x:f>
        <x:v>430</x:v>
      </x:c>
      <x:c r="U49" s="62" t="n">
        <x:f>U31*(IF(U21&gt;0,'经济参数'!$E$29+'经济参数'!$E$30,0)+IF(U11&gt;0,'经济参数'!$E$32,0)+IF(U101&gt;0,'经济参数'!$E$34,0)+IF(U103&gt;0,'经济参数'!$E$35,0))</x:f>
        <x:v>430</x:v>
      </x:c>
      <x:c r="V49" s="62" t="n">
        <x:f>V31*(IF(V21&gt;0,'经济参数'!$E$29+'经济参数'!$E$30,0)+IF(V11&gt;0,'经济参数'!$E$32,0)+IF(V101&gt;0,'经济参数'!$E$34,0)+IF(V103&gt;0,'经济参数'!$E$35,0))</x:f>
        <x:v>430</x:v>
      </x:c>
      <x:c r="W49" s="62" t="n">
        <x:f>W31*(IF(W21&gt;0,'经济参数'!$E$29+'经济参数'!$E$30,0)+IF(W11&gt;0,'经济参数'!$E$32,0)+IF(W101&gt;0,'经济参数'!$E$34,0)+IF(W103&gt;0,'经济参数'!$E$35,0))</x:f>
        <x:v>510</x:v>
      </x:c>
      <x:c r="X49" s="62" t="n">
        <x:f>X31*(IF(X21&gt;0,'经济参数'!$E$29+'经济参数'!$E$30,0)+IF(X11&gt;0,'经济参数'!$E$32,0)+IF(X101&gt;0,'经济参数'!$E$34,0)+IF(X103&gt;0,'经济参数'!$E$35,0))</x:f>
        <x:v>430</x:v>
      </x:c>
      <x:c r="Y49" s="62" t="n">
        <x:f>Y31*(IF(Y21&gt;0,'经济参数'!$E$29+'经济参数'!$E$30,0)+IF(Y11&gt;0,'经济参数'!$E$32,0)+IF(Y101&gt;0,'经济参数'!$E$34,0)+IF(Y103&gt;0,'经济参数'!$E$35,0))</x:f>
        <x:v>430</x:v>
      </x:c>
      <x:c r="Z49" s="62" t="n">
        <x:f>Z31*(IF(Z21&gt;0,'经济参数'!$E$29+'经济参数'!$E$30,0)+IF(Z11&gt;0,'经济参数'!$E$32,0)+IF(Z101&gt;0,'经济参数'!$E$34,0)+IF(Z103&gt;0,'经济参数'!$E$35,0))</x:f>
        <x:v>510</x:v>
      </x:c>
      <x:c r="AA49" s="62" t="n">
        <x:f>AA31*(IF(AA21&gt;0,'经济参数'!$E$29+'经济参数'!$E$30,0)+IF(AA11&gt;0,'经济参数'!$E$32,0)+IF(AA101&gt;0,'经济参数'!$E$34,0)+IF(AA103&gt;0,'经济参数'!$E$35,0))</x:f>
        <x:v>430</x:v>
      </x:c>
      <x:c r="AB49" s="62" t="n">
        <x:f>AB31*(IF(AB21&gt;0,'经济参数'!$E$29+'经济参数'!$E$30,0)+IF(AB11&gt;0,'经济参数'!$E$32,0)+IF(AB101&gt;0,'经济参数'!$E$34,0)+IF(AB103&gt;0,'经济参数'!$E$35,0))</x:f>
        <x:v>430</x:v>
      </x:c>
      <x:c r="AC49" s="62" t="n">
        <x:f>AC31*(IF(AC21&gt;0,'经济参数'!$E$29+'经济参数'!$E$30,0)+IF(AC11&gt;0,'经济参数'!$E$32,0)+IF(AC101&gt;0,'经济参数'!$E$34,0)+IF(AC103&gt;0,'经济参数'!$E$35,0))</x:f>
        <x:v>510</x:v>
      </x:c>
      <x:c r="AD49" s="62" t="n">
        <x:f>AD31*(IF(AD21&gt;0,'经济参数'!$E$29+'经济参数'!$E$30,0)+IF(AD11&gt;0,'经济参数'!$E$32,0)+IF(AD101&gt;0,'经济参数'!$E$34,0)+IF(AD103&gt;0,'经济参数'!$E$35,0))</x:f>
        <x:v>430</x:v>
      </x:c>
      <x:c r="AE49" s="62" t="n">
        <x:f>AE31*(IF(AE21&gt;0,'经济参数'!$E$29+'经济参数'!$E$30,0)+IF(AE11&gt;0,'经济参数'!$E$32,0)+IF(AE101&gt;0,'经济参数'!$E$34,0)+IF(AE103&gt;0,'经济参数'!$E$35,0))</x:f>
        <x:v>430</x:v>
      </x:c>
      <x:c r="AF49" s="65" t="str">
        <x:v>假设有主线即完成消除/击杀任务；通过每日领取比例调整</x:v>
      </x:c>
    </x:row>
    <x:row r="50" ht="28" customHeight="1">
      <x:c r="A50" s="62" t="str">
        <x:v>军报结算金币</x:v>
      </x:c>
      <x:c r="B50" s="62" t="n">
        <x:f>B11*('经济参数'!$C$20+B7*'经济参数'!$C$21)*('每日计划'!B16*('经济参数'!$E$66+'经济参数'!$E$67)/2+(1-'每日计划'!B16)*'经济参数'!$E$66)</x:f>
        <x:v>610</x:v>
      </x:c>
      <x:c r="C50" s="62" t="n">
        <x:f>C11*('经济参数'!$C$20+C7*'经济参数'!$C$21)*('每日计划'!C16*('经济参数'!$E$66+'经济参数'!$E$67)/2+(1-'每日计划'!C16)*'经济参数'!$E$66)</x:f>
        <x:v>1159</x:v>
      </x:c>
      <x:c r="D50" s="62" t="n">
        <x:f>D11*('经济参数'!$C$20+D7*'经济参数'!$C$21)*('每日计划'!D16*('经济参数'!$E$66+'经济参数'!$E$67)/2+(1-'每日计划'!D16)*'经济参数'!$E$66)</x:f>
        <x:v>1769</x:v>
      </x:c>
      <x:c r="E50" s="62" t="n">
        <x:f>E11*('经济参数'!$C$20+E7*'经济参数'!$C$21)*('每日计划'!E16*('经济参数'!$E$66+'经济参数'!$E$67)/2+(1-'每日计划'!E16)*'经济参数'!$E$66)</x:f>
        <x:v>2440</x:v>
      </x:c>
      <x:c r="F50" s="62" t="n">
        <x:f>F11*('经济参数'!$C$20+F7*'经济参数'!$C$21)*('每日计划'!F16*('经济参数'!$E$66+'经济参数'!$E$67)/2+(1-'每日计划'!F16)*'经济参数'!$E$66)</x:f>
        <x:v>3050</x:v>
      </x:c>
      <x:c r="G50" s="62" t="n">
        <x:f>G11*('经济参数'!$C$20+G7*'经济参数'!$C$21)*('每日计划'!G16*('经济参数'!$E$66+'经济参数'!$E$67)/2+(1-'每日计划'!G16)*'经济参数'!$E$66)</x:f>
        <x:v>3660</x:v>
      </x:c>
      <x:c r="H50" s="62" t="n">
        <x:f>H11*('经济参数'!$C$20+H7*'经济参数'!$C$21)*('每日计划'!H16*('经济参数'!$E$66+'经济参数'!$E$67)/2+(1-'每日计划'!H16)*'经济参数'!$E$66)</x:f>
        <x:v>4331</x:v>
      </x:c>
      <x:c r="I50" s="62" t="n">
        <x:f>I11*('经济参数'!$C$20+I7*'经济参数'!$C$21)*('每日计划'!I16*('经济参数'!$E$66+'经济参数'!$E$67)/2+(1-'每日计划'!I16)*'经济参数'!$E$66)</x:f>
        <x:v>4941</x:v>
      </x:c>
      <x:c r="J50" s="62" t="n">
        <x:f>J11*('经济参数'!$C$20+J7*'经济参数'!$C$21)*('每日计划'!J16*('经济参数'!$E$66+'经济参数'!$E$67)/2+(1-'每日计划'!J16)*'经济参数'!$E$66)</x:f>
        <x:v>5612</x:v>
      </x:c>
      <x:c r="K50" s="62" t="n">
        <x:f>K11*('经济参数'!$C$20+K7*'经济参数'!$C$21)*('每日计划'!K16*('经济参数'!$E$66+'经济参数'!$E$67)/2+(1-'每日计划'!K16)*'经济参数'!$E$66)</x:f>
        <x:v>6222</x:v>
      </x:c>
      <x:c r="L50" s="62" t="n">
        <x:f>L11*('经济参数'!$C$20+L7*'经济参数'!$C$21)*('每日计划'!L16*('经济参数'!$E$66+'经济参数'!$E$67)/2+(1-'每日计划'!L16)*'经济参数'!$E$66)</x:f>
        <x:v>6832</x:v>
      </x:c>
      <x:c r="M50" s="62" t="n">
        <x:f>M11*('经济参数'!$C$20+M7*'经济参数'!$C$21)*('每日计划'!M16*('经济参数'!$E$66+'经济参数'!$E$67)/2+(1-'每日计划'!M16)*'经济参数'!$E$66)</x:f>
        <x:v>7381</x:v>
      </x:c>
      <x:c r="N50" s="62" t="n">
        <x:f>N11*('经济参数'!$C$20+N7*'经济参数'!$C$21)*('每日计划'!N16*('经济参数'!$E$66+'经济参数'!$E$67)/2+(1-'每日计划'!N16)*'经济参数'!$E$66)</x:f>
        <x:v>7990.999999999999</x:v>
      </x:c>
      <x:c r="O50" s="62" t="n">
        <x:f>O11*('经济参数'!$C$20+O7*'经济参数'!$C$21)*('每日计划'!O16*('经济参数'!$E$66+'经济参数'!$E$67)/2+(1-'每日计划'!O16)*'经济参数'!$E$66)</x:f>
        <x:v>8540</x:v>
      </x:c>
      <x:c r="P50" s="62" t="n">
        <x:f>P11*('经济参数'!$C$20+P7*'经济参数'!$C$21)*('每日计划'!P16*('经济参数'!$E$66+'经济参数'!$E$67)/2+(1-'每日计划'!P16)*'经济参数'!$E$66)</x:f>
        <x:v>9028</x:v>
      </x:c>
      <x:c r="Q50" s="62" t="n">
        <x:f>Q11*('经济参数'!$C$20+Q7*'经济参数'!$C$21)*('每日计划'!Q16*('经济参数'!$E$66+'经济参数'!$E$67)/2+(1-'每日计划'!Q16)*'经济参数'!$E$66)</x:f>
        <x:v>9516</x:v>
      </x:c>
      <x:c r="R50" s="62" t="n">
        <x:f>R11*('经济参数'!$C$20+R7*'经济参数'!$C$21)*('每日计划'!R16*('经济参数'!$E$66+'经济参数'!$E$67)/2+(1-'每日计划'!R16)*'经济参数'!$E$66)</x:f>
        <x:v>10004</x:v>
      </x:c>
      <x:c r="S50" s="62" t="n">
        <x:f>S11*('经济参数'!$C$20+S7*'经济参数'!$C$21)*('每日计划'!S16*('经济参数'!$E$66+'经济参数'!$E$67)/2+(1-'每日计划'!S16)*'经济参数'!$E$66)</x:f>
        <x:v>10492</x:v>
      </x:c>
      <x:c r="T50" s="62" t="n">
        <x:f>T11*('经济参数'!$C$20+T7*'经济参数'!$C$21)*('每日计划'!T16*('经济参数'!$E$66+'经济参数'!$E$67)/2+(1-'每日计划'!T16)*'经济参数'!$E$66)</x:f>
        <x:v>10919</x:v>
      </x:c>
      <x:c r="U50" s="62" t="n">
        <x:f>U11*('经济参数'!$C$20+U7*'经济参数'!$C$21)*('每日计划'!U16*('经济参数'!$E$66+'经济参数'!$E$67)/2+(1-'每日计划'!U16)*'经济参数'!$E$66)</x:f>
        <x:v>11346</x:v>
      </x:c>
      <x:c r="V50" s="62" t="n">
        <x:f>V11*('经济参数'!$C$20+V7*'经济参数'!$C$21)*('每日计划'!V16*('经济参数'!$E$66+'经济参数'!$E$67)/2+(1-'每日计划'!V16)*'经济参数'!$E$66)</x:f>
        <x:v>11773</x:v>
      </x:c>
      <x:c r="W50" s="62" t="n">
        <x:f>W11*('经济参数'!$C$20+W7*'经济参数'!$C$21)*('每日计划'!W16*('经济参数'!$E$66+'经济参数'!$E$67)/2+(1-'每日计划'!W16)*'经济参数'!$E$66)</x:f>
        <x:v>12200</x:v>
      </x:c>
      <x:c r="X50" s="62" t="n">
        <x:f>X11*('经济参数'!$C$20+X7*'经济参数'!$C$21)*('每日计划'!X16*('经济参数'!$E$66+'经济参数'!$E$67)/2+(1-'每日计划'!X16)*'经济参数'!$E$66)</x:f>
        <x:v>12627</x:v>
      </x:c>
      <x:c r="Y50" s="62" t="n">
        <x:f>Y11*('经济参数'!$C$20+Y7*'经济参数'!$C$21)*('每日计划'!Y16*('经济参数'!$E$66+'经济参数'!$E$67)/2+(1-'每日计划'!Y16)*'经济参数'!$E$66)</x:f>
        <x:v>12993</x:v>
      </x:c>
      <x:c r="Z50" s="62" t="n">
        <x:f>Z11*('经济参数'!$C$20+Z7*'经济参数'!$C$21)*('每日计划'!Z16*('经济参数'!$E$66+'经济参数'!$E$67)/2+(1-'每日计划'!Z16)*'经济参数'!$E$66)</x:f>
        <x:v>13359</x:v>
      </x:c>
      <x:c r="AA50" s="62" t="n">
        <x:f>AA11*('经济参数'!$C$20+AA7*'经济参数'!$C$21)*('每日计划'!AA16*('经济参数'!$E$66+'经济参数'!$E$67)/2+(1-'每日计划'!AA16)*'经济参数'!$E$66)</x:f>
        <x:v>13725</x:v>
      </x:c>
      <x:c r="AB50" s="62" t="n">
        <x:f>AB11*('经济参数'!$C$20+AB7*'经济参数'!$C$21)*('每日计划'!AB16*('经济参数'!$E$66+'经济参数'!$E$67)/2+(1-'每日计划'!AB16)*'经济参数'!$E$66)</x:f>
        <x:v>14091</x:v>
      </x:c>
      <x:c r="AC50" s="62" t="n">
        <x:f>AC11*('经济参数'!$C$20+AC7*'经济参数'!$C$21)*('每日计划'!AC16*('经济参数'!$E$66+'经济参数'!$E$67)/2+(1-'每日计划'!AC16)*'经济参数'!$E$66)</x:f>
        <x:v>14457</x:v>
      </x:c>
      <x:c r="AD50" s="62" t="n">
        <x:f>AD11*('经济参数'!$C$20+AD7*'经济参数'!$C$21)*('每日计划'!AD16*('经济参数'!$E$66+'经济参数'!$E$67)/2+(1-'每日计划'!AD16)*'经济参数'!$E$66)</x:f>
        <x:v>14762</x:v>
      </x:c>
      <x:c r="AE50" s="62" t="n">
        <x:f>AE11*('经济参数'!$C$20+AE7*'经济参数'!$C$21)*('每日计划'!AE16*('经济参数'!$E$66+'经济参数'!$E$67)/2+(1-'每日计划'!AE16)*'经济参数'!$E$66)</x:f>
        <x:v>15128</x:v>
      </x:c>
      <x:c r="AF50" s="65" t="str">
        <x:v>军报金币基数读取主线采用值，并按军报倍数放大</x:v>
      </x:c>
    </x:row>
    <x:row r="51" ht="28" customHeight="1">
      <x:c r="A51" s="62" t="str">
        <x:v>军报击杀/铜钱金币</x:v>
      </x:c>
      <x:c r="B51" s="62" t="n">
        <x:f>B11*('每日计划'!B46+'每日计划'!B47)</x:f>
        <x:v>600</x:v>
      </x:c>
      <x:c r="C51" s="62" t="n">
        <x:f>C11*('每日计划'!C46+'每日计划'!C47)</x:f>
        <x:v>600</x:v>
      </x:c>
      <x:c r="D51" s="62" t="n">
        <x:f>D11*('每日计划'!D46+'每日计划'!D47)</x:f>
        <x:v>600</x:v>
      </x:c>
      <x:c r="E51" s="62" t="n">
        <x:f>E11*('每日计划'!E46+'每日计划'!E47)</x:f>
        <x:v>600</x:v>
      </x:c>
      <x:c r="F51" s="62" t="n">
        <x:f>F11*('每日计划'!F46+'每日计划'!F47)</x:f>
        <x:v>600</x:v>
      </x:c>
      <x:c r="G51" s="62" t="n">
        <x:f>G11*('每日计划'!G46+'每日计划'!G47)</x:f>
        <x:v>600</x:v>
      </x:c>
      <x:c r="H51" s="62" t="n">
        <x:f>H11*('每日计划'!H46+'每日计划'!H47)</x:f>
        <x:v>600</x:v>
      </x:c>
      <x:c r="I51" s="62" t="n">
        <x:f>I11*('每日计划'!I46+'每日计划'!I47)</x:f>
        <x:v>600</x:v>
      </x:c>
      <x:c r="J51" s="62" t="n">
        <x:f>J11*('每日计划'!J46+'每日计划'!J47)</x:f>
        <x:v>600</x:v>
      </x:c>
      <x:c r="K51" s="62" t="n">
        <x:f>K11*('每日计划'!K46+'每日计划'!K47)</x:f>
        <x:v>600</x:v>
      </x:c>
      <x:c r="L51" s="62" t="n">
        <x:f>L11*('每日计划'!L46+'每日计划'!L47)</x:f>
        <x:v>600</x:v>
      </x:c>
      <x:c r="M51" s="62" t="n">
        <x:f>M11*('每日计划'!M46+'每日计划'!M47)</x:f>
        <x:v>600</x:v>
      </x:c>
      <x:c r="N51" s="62" t="n">
        <x:f>N11*('每日计划'!N46+'每日计划'!N47)</x:f>
        <x:v>600</x:v>
      </x:c>
      <x:c r="O51" s="62" t="n">
        <x:f>O11*('每日计划'!O46+'每日计划'!O47)</x:f>
        <x:v>600</x:v>
      </x:c>
      <x:c r="P51" s="62" t="n">
        <x:f>P11*('每日计划'!P46+'每日计划'!P47)</x:f>
        <x:v>600</x:v>
      </x:c>
      <x:c r="Q51" s="62" t="n">
        <x:f>Q11*('每日计划'!Q46+'每日计划'!Q47)</x:f>
        <x:v>600</x:v>
      </x:c>
      <x:c r="R51" s="62" t="n">
        <x:f>R11*('每日计划'!R46+'每日计划'!R47)</x:f>
        <x:v>600</x:v>
      </x:c>
      <x:c r="S51" s="62" t="n">
        <x:f>S11*('每日计划'!S46+'每日计划'!S47)</x:f>
        <x:v>600</x:v>
      </x:c>
      <x:c r="T51" s="62" t="n">
        <x:f>T11*('每日计划'!T46+'每日计划'!T47)</x:f>
        <x:v>600</x:v>
      </x:c>
      <x:c r="U51" s="62" t="n">
        <x:f>U11*('每日计划'!U46+'每日计划'!U47)</x:f>
        <x:v>600</x:v>
      </x:c>
      <x:c r="V51" s="62" t="n">
        <x:f>V11*('每日计划'!V46+'每日计划'!V47)</x:f>
        <x:v>600</x:v>
      </x:c>
      <x:c r="W51" s="62" t="n">
        <x:f>W11*('每日计划'!W46+'每日计划'!W47)</x:f>
        <x:v>600</x:v>
      </x:c>
      <x:c r="X51" s="62" t="n">
        <x:f>X11*('每日计划'!X46+'每日计划'!X47)</x:f>
        <x:v>600</x:v>
      </x:c>
      <x:c r="Y51" s="62" t="n">
        <x:f>Y11*('每日计划'!Y46+'每日计划'!Y47)</x:f>
        <x:v>600</x:v>
      </x:c>
      <x:c r="Z51" s="62" t="n">
        <x:f>Z11*('每日计划'!Z46+'每日计划'!Z47)</x:f>
        <x:v>600</x:v>
      </x:c>
      <x:c r="AA51" s="62" t="n">
        <x:f>AA11*('每日计划'!AA46+'每日计划'!AA47)</x:f>
        <x:v>600</x:v>
      </x:c>
      <x:c r="AB51" s="62" t="n">
        <x:f>AB11*('每日计划'!AB46+'每日计划'!AB47)</x:f>
        <x:v>600</x:v>
      </x:c>
      <x:c r="AC51" s="62" t="n">
        <x:f>AC11*('每日计划'!AC46+'每日计划'!AC47)</x:f>
        <x:v>600</x:v>
      </x:c>
      <x:c r="AD51" s="62" t="n">
        <x:f>AD11*('每日计划'!AD46+'每日计划'!AD47)</x:f>
        <x:v>600</x:v>
      </x:c>
      <x:c r="AE51" s="62" t="n">
        <x:f>AE11*('每日计划'!AE46+'每日计划'!AE47)</x:f>
        <x:v>600</x:v>
      </x:c>
      <x:c r="AF51" s="65"/>
    </x:row>
    <x:row r="52" ht="28" customHeight="1">
      <x:c r="A52" s="62" t="str">
        <x:v>出售装备金币</x:v>
      </x:c>
      <x:c r="B52" s="62" t="n">
        <x:f>B39*(VLOOKUP(B7,'装备掉落'!$A$29:$H$34,2,TRUE)*ROUND('经济参数'!$E$45*'装备品质'!$E$7,0)+VLOOKUP(B7,'装备掉落'!$A$29:$H$34,3,TRUE)*ROUND('经济参数'!$E$45*'装备品质'!$E$11,0)+VLOOKUP(B7,'装备掉落'!$A$29:$H$34,4,TRUE)*ROUND('经济参数'!$E$45*'装备品质'!$E$15,0)+VLOOKUP(B7,'装备掉落'!$A$29:$H$34,5,TRUE)*ROUND('经济参数'!$E$45*'装备品质'!$E$19,0)+VLOOKUP(B7,'装备掉落'!$A$29:$H$34,6,TRUE)*ROUND('经济参数'!$E$45*'装备品质'!$E$23,0)+VLOOKUP(B7,'装备掉落'!$A$29:$H$34,7,TRUE)*ROUND('经济参数'!$E$45*'装备品质'!$E$27,0)+VLOOKUP(B7,'装备掉落'!$A$29:$H$34,8,TRUE)*ROUND('经济参数'!$E$45*'装备品质'!$E$31,0))</x:f>
        <x:v>10.088732022694288</x:v>
      </x:c>
      <x:c r="C52" s="62" t="n">
        <x:f>C39*(VLOOKUP(C7,'装备掉落'!$A$29:$H$34,2,TRUE)*ROUND('经济参数'!$E$45*'装备品质'!$E$7,0)+VLOOKUP(C7,'装备掉落'!$A$29:$H$34,3,TRUE)*ROUND('经济参数'!$E$45*'装备品质'!$E$11,0)+VLOOKUP(C7,'装备掉落'!$A$29:$H$34,4,TRUE)*ROUND('经济参数'!$E$45*'装备品质'!$E$15,0)+VLOOKUP(C7,'装备掉落'!$A$29:$H$34,5,TRUE)*ROUND('经济参数'!$E$45*'装备品质'!$E$19,0)+VLOOKUP(C7,'装备掉落'!$A$29:$H$34,6,TRUE)*ROUND('经济参数'!$E$45*'装备品质'!$E$23,0)+VLOOKUP(C7,'装备掉落'!$A$29:$H$34,7,TRUE)*ROUND('经济参数'!$E$45*'装备品质'!$E$27,0)+VLOOKUP(C7,'装备掉落'!$A$29:$H$34,8,TRUE)*ROUND('经济参数'!$E$45*'装备品质'!$E$31,0))</x:f>
        <x:v>11.209702247438097</x:v>
      </x:c>
      <x:c r="D52" s="62" t="n">
        <x:f>D39*(VLOOKUP(D7,'装备掉落'!$A$29:$H$34,2,TRUE)*ROUND('经济参数'!$E$45*'装备品质'!$E$7,0)+VLOOKUP(D7,'装备掉落'!$A$29:$H$34,3,TRUE)*ROUND('经济参数'!$E$45*'装备品质'!$E$11,0)+VLOOKUP(D7,'装备掉落'!$A$29:$H$34,4,TRUE)*ROUND('经济参数'!$E$45*'装备品质'!$E$15,0)+VLOOKUP(D7,'装备掉落'!$A$29:$H$34,5,TRUE)*ROUND('经济参数'!$E$45*'装备品质'!$E$19,0)+VLOOKUP(D7,'装备掉落'!$A$29:$H$34,6,TRUE)*ROUND('经济参数'!$E$45*'装备品质'!$E$23,0)+VLOOKUP(D7,'装备掉落'!$A$29:$H$34,7,TRUE)*ROUND('经济参数'!$E$45*'装备品质'!$E$27,0)+VLOOKUP(D7,'装备掉落'!$A$29:$H$34,8,TRUE)*ROUND('经济参数'!$E$45*'装备品质'!$E$31,0))</x:f>
        <x:v>11.209702247438097</x:v>
      </x:c>
      <x:c r="E52" s="62" t="n">
        <x:f>E39*(VLOOKUP(E7,'装备掉落'!$A$29:$H$34,2,TRUE)*ROUND('经济参数'!$E$45*'装备品质'!$E$7,0)+VLOOKUP(E7,'装备掉落'!$A$29:$H$34,3,TRUE)*ROUND('经济参数'!$E$45*'装备品质'!$E$11,0)+VLOOKUP(E7,'装备掉落'!$A$29:$H$34,4,TRUE)*ROUND('经济参数'!$E$45*'装备品质'!$E$15,0)+VLOOKUP(E7,'装备掉落'!$A$29:$H$34,5,TRUE)*ROUND('经济参数'!$E$45*'装备品质'!$E$19,0)+VLOOKUP(E7,'装备掉落'!$A$29:$H$34,6,TRUE)*ROUND('经济参数'!$E$45*'装备品质'!$E$23,0)+VLOOKUP(E7,'装备掉落'!$A$29:$H$34,7,TRUE)*ROUND('经济参数'!$E$45*'装备品质'!$E$27,0)+VLOOKUP(E7,'装备掉落'!$A$29:$H$34,8,TRUE)*ROUND('经济参数'!$E$45*'装备品质'!$E$31,0))</x:f>
        <x:v>11.808945771209924</x:v>
      </x:c>
      <x:c r="F52" s="62" t="n">
        <x:f>F39*(VLOOKUP(F7,'装备掉落'!$A$29:$H$34,2,TRUE)*ROUND('经济参数'!$E$45*'装备品质'!$E$7,0)+VLOOKUP(F7,'装备掉落'!$A$29:$H$34,3,TRUE)*ROUND('经济参数'!$E$45*'装备品质'!$E$11,0)+VLOOKUP(F7,'装备掉落'!$A$29:$H$34,4,TRUE)*ROUND('经济参数'!$E$45*'装备品质'!$E$15,0)+VLOOKUP(F7,'装备掉落'!$A$29:$H$34,5,TRUE)*ROUND('经济参数'!$E$45*'装备品质'!$E$19,0)+VLOOKUP(F7,'装备掉落'!$A$29:$H$34,6,TRUE)*ROUND('经济参数'!$E$45*'装备品质'!$E$23,0)+VLOOKUP(F7,'装备掉落'!$A$29:$H$34,7,TRUE)*ROUND('经济参数'!$E$45*'装备品质'!$E$27,0)+VLOOKUP(F7,'装备掉落'!$A$29:$H$34,8,TRUE)*ROUND('经济参数'!$E$45*'装备品质'!$E$31,0))</x:f>
        <x:v>12.479658706073803</x:v>
      </x:c>
      <x:c r="G52" s="62" t="n">
        <x:f>G39*(VLOOKUP(G7,'装备掉落'!$A$29:$H$34,2,TRUE)*ROUND('经济参数'!$E$45*'装备品质'!$E$7,0)+VLOOKUP(G7,'装备掉落'!$A$29:$H$34,3,TRUE)*ROUND('经济参数'!$E$45*'装备品质'!$E$11,0)+VLOOKUP(G7,'装备掉落'!$A$29:$H$34,4,TRUE)*ROUND('经济参数'!$E$45*'装备品质'!$E$15,0)+VLOOKUP(G7,'装备掉落'!$A$29:$H$34,5,TRUE)*ROUND('经济参数'!$E$45*'装备品质'!$E$19,0)+VLOOKUP(G7,'装备掉落'!$A$29:$H$34,6,TRUE)*ROUND('经济参数'!$E$45*'装备品质'!$E$23,0)+VLOOKUP(G7,'装备掉落'!$A$29:$H$34,7,TRUE)*ROUND('经济参数'!$E$45*'装备品质'!$E$27,0)+VLOOKUP(G7,'装备掉落'!$A$29:$H$34,8,TRUE)*ROUND('经济参数'!$E$45*'装备品质'!$E$31,0))</x:f>
        <x:v>12.479658706073803</x:v>
      </x:c>
      <x:c r="H52" s="62" t="n">
        <x:f>H39*(VLOOKUP(H7,'装备掉落'!$A$29:$H$34,2,TRUE)*ROUND('经济参数'!$E$45*'装备品质'!$E$7,0)+VLOOKUP(H7,'装备掉落'!$A$29:$H$34,3,TRUE)*ROUND('经济参数'!$E$45*'装备品质'!$E$11,0)+VLOOKUP(H7,'装备掉落'!$A$29:$H$34,4,TRUE)*ROUND('经济参数'!$E$45*'装备品质'!$E$15,0)+VLOOKUP(H7,'装备掉落'!$A$29:$H$34,5,TRUE)*ROUND('经济参数'!$E$45*'装备品质'!$E$19,0)+VLOOKUP(H7,'装备掉落'!$A$29:$H$34,6,TRUE)*ROUND('经济参数'!$E$45*'装备品质'!$E$23,0)+VLOOKUP(H7,'装备掉落'!$A$29:$H$34,7,TRUE)*ROUND('经济参数'!$E$45*'装备品质'!$E$27,0)+VLOOKUP(H7,'装备掉落'!$A$29:$H$34,8,TRUE)*ROUND('经济参数'!$E$45*'装备品质'!$E$31,0))</x:f>
        <x:v>13.465936579144127</x:v>
      </x:c>
      <x:c r="I52" s="62" t="n">
        <x:f>I39*(VLOOKUP(I7,'装备掉落'!$A$29:$H$34,2,TRUE)*ROUND('经济参数'!$E$45*'装备品质'!$E$7,0)+VLOOKUP(I7,'装备掉落'!$A$29:$H$34,3,TRUE)*ROUND('经济参数'!$E$45*'装备品质'!$E$11,0)+VLOOKUP(I7,'装备掉落'!$A$29:$H$34,4,TRUE)*ROUND('经济参数'!$E$45*'装备品质'!$E$15,0)+VLOOKUP(I7,'装备掉落'!$A$29:$H$34,5,TRUE)*ROUND('经济参数'!$E$45*'装备品质'!$E$19,0)+VLOOKUP(I7,'装备掉落'!$A$29:$H$34,6,TRUE)*ROUND('经济参数'!$E$45*'装备品质'!$E$23,0)+VLOOKUP(I7,'装备掉落'!$A$29:$H$34,7,TRUE)*ROUND('经济参数'!$E$45*'装备品质'!$E$27,0)+VLOOKUP(I7,'装备掉落'!$A$29:$H$34,8,TRUE)*ROUND('经济参数'!$E$45*'装备品质'!$E$31,0))</x:f>
        <x:v>13.465936579144127</x:v>
      </x:c>
      <x:c r="J52" s="62" t="n">
        <x:f>J39*(VLOOKUP(J7,'装备掉落'!$A$29:$H$34,2,TRUE)*ROUND('经济参数'!$E$45*'装备品质'!$E$7,0)+VLOOKUP(J7,'装备掉落'!$A$29:$H$34,3,TRUE)*ROUND('经济参数'!$E$45*'装备品质'!$E$11,0)+VLOOKUP(J7,'装备掉落'!$A$29:$H$34,4,TRUE)*ROUND('经济参数'!$E$45*'装备品质'!$E$15,0)+VLOOKUP(J7,'装备掉落'!$A$29:$H$34,5,TRUE)*ROUND('经济参数'!$E$45*'装备品质'!$E$19,0)+VLOOKUP(J7,'装备掉落'!$A$29:$H$34,6,TRUE)*ROUND('经济参数'!$E$45*'装备品质'!$E$23,0)+VLOOKUP(J7,'装备掉落'!$A$29:$H$34,7,TRUE)*ROUND('经济参数'!$E$45*'装备品质'!$E$27,0)+VLOOKUP(J7,'装备掉落'!$A$29:$H$34,8,TRUE)*ROUND('经济参数'!$E$45*'装备品质'!$E$31,0))</x:f>
        <x:v>14.732594449575583</x:v>
      </x:c>
      <x:c r="K52" s="62" t="n">
        <x:f>K39*(VLOOKUP(K7,'装备掉落'!$A$29:$H$34,2,TRUE)*ROUND('经济参数'!$E$45*'装备品质'!$E$7,0)+VLOOKUP(K7,'装备掉落'!$A$29:$H$34,3,TRUE)*ROUND('经济参数'!$E$45*'装备品质'!$E$11,0)+VLOOKUP(K7,'装备掉落'!$A$29:$H$34,4,TRUE)*ROUND('经济参数'!$E$45*'装备品质'!$E$15,0)+VLOOKUP(K7,'装备掉落'!$A$29:$H$34,5,TRUE)*ROUND('经济参数'!$E$45*'装备品质'!$E$19,0)+VLOOKUP(K7,'装备掉落'!$A$29:$H$34,6,TRUE)*ROUND('经济参数'!$E$45*'装备品质'!$E$23,0)+VLOOKUP(K7,'装备掉落'!$A$29:$H$34,7,TRUE)*ROUND('经济参数'!$E$45*'装备品质'!$E$27,0)+VLOOKUP(K7,'装备掉落'!$A$29:$H$34,8,TRUE)*ROUND('经济参数'!$E$45*'装备品质'!$E$31,0))</x:f>
        <x:v>13.995964727096807</x:v>
      </x:c>
      <x:c r="L52" s="62" t="n">
        <x:f>L39*(VLOOKUP(L7,'装备掉落'!$A$29:$H$34,2,TRUE)*ROUND('经济参数'!$E$45*'装备品质'!$E$7,0)+VLOOKUP(L7,'装备掉落'!$A$29:$H$34,3,TRUE)*ROUND('经济参数'!$E$45*'装备品质'!$E$11,0)+VLOOKUP(L7,'装备掉落'!$A$29:$H$34,4,TRUE)*ROUND('经济参数'!$E$45*'装备品质'!$E$15,0)+VLOOKUP(L7,'装备掉落'!$A$29:$H$34,5,TRUE)*ROUND('经济参数'!$E$45*'装备品质'!$E$19,0)+VLOOKUP(L7,'装备掉落'!$A$29:$H$34,6,TRUE)*ROUND('经济参数'!$E$45*'装备品质'!$E$23,0)+VLOOKUP(L7,'装备掉落'!$A$29:$H$34,7,TRUE)*ROUND('经济参数'!$E$45*'装备品质'!$E$27,0)+VLOOKUP(L7,'装备掉落'!$A$29:$H$34,8,TRUE)*ROUND('经济参数'!$E$45*'装备品质'!$E$31,0))</x:f>
        <x:v>13.259335004618027</x:v>
      </x:c>
      <x:c r="M52" s="62" t="n">
        <x:f>M39*(VLOOKUP(M7,'装备掉落'!$A$29:$H$34,2,TRUE)*ROUND('经济参数'!$E$45*'装备品质'!$E$7,0)+VLOOKUP(M7,'装备掉落'!$A$29:$H$34,3,TRUE)*ROUND('经济参数'!$E$45*'装备品质'!$E$11,0)+VLOOKUP(M7,'装备掉落'!$A$29:$H$34,4,TRUE)*ROUND('经济参数'!$E$45*'装备品质'!$E$15,0)+VLOOKUP(M7,'装备掉落'!$A$29:$H$34,5,TRUE)*ROUND('经济参数'!$E$45*'装备品质'!$E$19,0)+VLOOKUP(M7,'装备掉落'!$A$29:$H$34,6,TRUE)*ROUND('经济参数'!$E$45*'装备品质'!$E$23,0)+VLOOKUP(M7,'装备掉落'!$A$29:$H$34,7,TRUE)*ROUND('经济参数'!$E$45*'装备品质'!$E$27,0)+VLOOKUP(M7,'装备掉落'!$A$29:$H$34,8,TRUE)*ROUND('经济参数'!$E$45*'装备品质'!$E$31,0))</x:f>
        <x:v>13.259335004618027</x:v>
      </x:c>
      <x:c r="N52" s="62" t="n">
        <x:f>N39*(VLOOKUP(N7,'装备掉落'!$A$29:$H$34,2,TRUE)*ROUND('经济参数'!$E$45*'装备品质'!$E$7,0)+VLOOKUP(N7,'装备掉落'!$A$29:$H$34,3,TRUE)*ROUND('经济参数'!$E$45*'装备品质'!$E$11,0)+VLOOKUP(N7,'装备掉落'!$A$29:$H$34,4,TRUE)*ROUND('经济参数'!$E$45*'装备品质'!$E$15,0)+VLOOKUP(N7,'装备掉落'!$A$29:$H$34,5,TRUE)*ROUND('经济参数'!$E$45*'装备品质'!$E$19,0)+VLOOKUP(N7,'装备掉落'!$A$29:$H$34,6,TRUE)*ROUND('经济参数'!$E$45*'装备品质'!$E$23,0)+VLOOKUP(N7,'装备掉落'!$A$29:$H$34,7,TRUE)*ROUND('经济参数'!$E$45*'装备品质'!$E$27,0)+VLOOKUP(N7,'装备掉落'!$A$29:$H$34,8,TRUE)*ROUND('经济参数'!$E$45*'装备品质'!$E$31,0))</x:f>
        <x:v>14.018999868056476</x:v>
      </x:c>
      <x:c r="O52" s="62" t="n">
        <x:f>O39*(VLOOKUP(O7,'装备掉落'!$A$29:$H$34,2,TRUE)*ROUND('经济参数'!$E$45*'装备品质'!$E$7,0)+VLOOKUP(O7,'装备掉落'!$A$29:$H$34,3,TRUE)*ROUND('经济参数'!$E$45*'装备品质'!$E$11,0)+VLOOKUP(O7,'装备掉落'!$A$29:$H$34,4,TRUE)*ROUND('经济参数'!$E$45*'装备品质'!$E$15,0)+VLOOKUP(O7,'装备掉落'!$A$29:$H$34,5,TRUE)*ROUND('经济参数'!$E$45*'装备品质'!$E$19,0)+VLOOKUP(O7,'装备掉落'!$A$29:$H$34,6,TRUE)*ROUND('经济参数'!$E$45*'装备品质'!$E$23,0)+VLOOKUP(O7,'装备掉落'!$A$29:$H$34,7,TRUE)*ROUND('经济参数'!$E$45*'装备品质'!$E$27,0)+VLOOKUP(O7,'装备掉落'!$A$29:$H$34,8,TRUE)*ROUND('经济参数'!$E$45*'装备品质'!$E$31,0))</x:f>
        <x:v>13.194352816994328</x:v>
      </x:c>
      <x:c r="P52" s="62" t="n">
        <x:f>P39*(VLOOKUP(P7,'装备掉落'!$A$29:$H$34,2,TRUE)*ROUND('经济参数'!$E$45*'装备品质'!$E$7,0)+VLOOKUP(P7,'装备掉落'!$A$29:$H$34,3,TRUE)*ROUND('经济参数'!$E$45*'装备品质'!$E$11,0)+VLOOKUP(P7,'装备掉落'!$A$29:$H$34,4,TRUE)*ROUND('经济参数'!$E$45*'装备品质'!$E$15,0)+VLOOKUP(P7,'装备掉落'!$A$29:$H$34,5,TRUE)*ROUND('经济参数'!$E$45*'装备品质'!$E$19,0)+VLOOKUP(P7,'装备掉落'!$A$29:$H$34,6,TRUE)*ROUND('经济参数'!$E$45*'装备品质'!$E$23,0)+VLOOKUP(P7,'装备掉落'!$A$29:$H$34,7,TRUE)*ROUND('经济参数'!$E$45*'装备品质'!$E$27,0)+VLOOKUP(P7,'装备掉落'!$A$29:$H$34,8,TRUE)*ROUND('经济参数'!$E$45*'装备品质'!$E$31,0))</x:f>
        <x:v>13.194352816994328</x:v>
      </x:c>
      <x:c r="Q52" s="62" t="n">
        <x:f>Q39*(VLOOKUP(Q7,'装备掉落'!$A$29:$H$34,2,TRUE)*ROUND('经济参数'!$E$45*'装备品质'!$E$7,0)+VLOOKUP(Q7,'装备掉落'!$A$29:$H$34,3,TRUE)*ROUND('经济参数'!$E$45*'装备品质'!$E$11,0)+VLOOKUP(Q7,'装备掉落'!$A$29:$H$34,4,TRUE)*ROUND('经济参数'!$E$45*'装备品质'!$E$15,0)+VLOOKUP(Q7,'装备掉落'!$A$29:$H$34,5,TRUE)*ROUND('经济参数'!$E$45*'装备品质'!$E$19,0)+VLOOKUP(Q7,'装备掉落'!$A$29:$H$34,6,TRUE)*ROUND('经济参数'!$E$45*'装备品质'!$E$23,0)+VLOOKUP(Q7,'装备掉落'!$A$29:$H$34,7,TRUE)*ROUND('经济参数'!$E$45*'装备品质'!$E$27,0)+VLOOKUP(Q7,'装备掉落'!$A$29:$H$34,8,TRUE)*ROUND('经济参数'!$E$45*'装备品质'!$E$31,0))</x:f>
        <x:v>12.369705765932183</x:v>
      </x:c>
      <x:c r="R52" s="62" t="n">
        <x:f>R39*(VLOOKUP(R7,'装备掉落'!$A$29:$H$34,2,TRUE)*ROUND('经济参数'!$E$45*'装备品质'!$E$7,0)+VLOOKUP(R7,'装备掉落'!$A$29:$H$34,3,TRUE)*ROUND('经济参数'!$E$45*'装备品质'!$E$11,0)+VLOOKUP(R7,'装备掉落'!$A$29:$H$34,4,TRUE)*ROUND('经济参数'!$E$45*'装备品质'!$E$15,0)+VLOOKUP(R7,'装备掉落'!$A$29:$H$34,5,TRUE)*ROUND('经济参数'!$E$45*'装备品质'!$E$19,0)+VLOOKUP(R7,'装备掉落'!$A$29:$H$34,6,TRUE)*ROUND('经济参数'!$E$45*'装备品质'!$E$23,0)+VLOOKUP(R7,'装备掉落'!$A$29:$H$34,7,TRUE)*ROUND('经济参数'!$E$45*'装备品质'!$E$27,0)+VLOOKUP(R7,'装备掉落'!$A$29:$H$34,8,TRUE)*ROUND('经济参数'!$E$45*'装备品质'!$E$31,0))</x:f>
        <x:v>12.369705765932183</x:v>
      </x:c>
      <x:c r="S52" s="62" t="n">
        <x:f>S39*(VLOOKUP(S7,'装备掉落'!$A$29:$H$34,2,TRUE)*ROUND('经济参数'!$E$45*'装备品质'!$E$7,0)+VLOOKUP(S7,'装备掉落'!$A$29:$H$34,3,TRUE)*ROUND('经济参数'!$E$45*'装备品质'!$E$11,0)+VLOOKUP(S7,'装备掉落'!$A$29:$H$34,4,TRUE)*ROUND('经济参数'!$E$45*'装备品质'!$E$15,0)+VLOOKUP(S7,'装备掉落'!$A$29:$H$34,5,TRUE)*ROUND('经济参数'!$E$45*'装备品质'!$E$19,0)+VLOOKUP(S7,'装备掉落'!$A$29:$H$34,6,TRUE)*ROUND('经济参数'!$E$45*'装备品质'!$E$23,0)+VLOOKUP(S7,'装备掉落'!$A$29:$H$34,7,TRUE)*ROUND('经济参数'!$E$45*'装备品质'!$E$27,0)+VLOOKUP(S7,'装备掉落'!$A$29:$H$34,8,TRUE)*ROUND('经济参数'!$E$45*'装备品质'!$E$31,0))</x:f>
        <x:v>11.54505871487004</x:v>
      </x:c>
      <x:c r="T52" s="62" t="n">
        <x:f>T39*(VLOOKUP(T7,'装备掉落'!$A$29:$H$34,2,TRUE)*ROUND('经济参数'!$E$45*'装备品质'!$E$7,0)+VLOOKUP(T7,'装备掉落'!$A$29:$H$34,3,TRUE)*ROUND('经济参数'!$E$45*'装备品质'!$E$11,0)+VLOOKUP(T7,'装备掉落'!$A$29:$H$34,4,TRUE)*ROUND('经济参数'!$E$45*'装备品质'!$E$15,0)+VLOOKUP(T7,'装备掉落'!$A$29:$H$34,5,TRUE)*ROUND('经济参数'!$E$45*'装备品质'!$E$19,0)+VLOOKUP(T7,'装备掉落'!$A$29:$H$34,6,TRUE)*ROUND('经济参数'!$E$45*'装备品质'!$E$23,0)+VLOOKUP(T7,'装备掉落'!$A$29:$H$34,7,TRUE)*ROUND('经济参数'!$E$45*'装备品质'!$E$27,0)+VLOOKUP(T7,'装备掉落'!$A$29:$H$34,8,TRUE)*ROUND('经济参数'!$E$45*'装备品质'!$E$31,0))</x:f>
        <x:v>11.54505871487004</x:v>
      </x:c>
      <x:c r="U52" s="62" t="n">
        <x:f>U39*(VLOOKUP(U7,'装备掉落'!$A$29:$H$34,2,TRUE)*ROUND('经济参数'!$E$45*'装备品质'!$E$7,0)+VLOOKUP(U7,'装备掉落'!$A$29:$H$34,3,TRUE)*ROUND('经济参数'!$E$45*'装备品质'!$E$11,0)+VLOOKUP(U7,'装备掉落'!$A$29:$H$34,4,TRUE)*ROUND('经济参数'!$E$45*'装备品质'!$E$15,0)+VLOOKUP(U7,'装备掉落'!$A$29:$H$34,5,TRUE)*ROUND('经济参数'!$E$45*'装备品质'!$E$19,0)+VLOOKUP(U7,'装备掉落'!$A$29:$H$34,6,TRUE)*ROUND('经济参数'!$E$45*'装备品质'!$E$23,0)+VLOOKUP(U7,'装备掉落'!$A$29:$H$34,7,TRUE)*ROUND('经济参数'!$E$45*'装备品质'!$E$27,0)+VLOOKUP(U7,'装备掉落'!$A$29:$H$34,8,TRUE)*ROUND('经济参数'!$E$45*'装备品质'!$E$31,0))</x:f>
        <x:v>10.720411663807894</x:v>
      </x:c>
      <x:c r="V52" s="62" t="n">
        <x:f>V39*(VLOOKUP(V7,'装备掉落'!$A$29:$H$34,2,TRUE)*ROUND('经济参数'!$E$45*'装备品质'!$E$7,0)+VLOOKUP(V7,'装备掉落'!$A$29:$H$34,3,TRUE)*ROUND('经济参数'!$E$45*'装备品质'!$E$11,0)+VLOOKUP(V7,'装备掉落'!$A$29:$H$34,4,TRUE)*ROUND('经济参数'!$E$45*'装备品质'!$E$15,0)+VLOOKUP(V7,'装备掉落'!$A$29:$H$34,5,TRUE)*ROUND('经济参数'!$E$45*'装备品质'!$E$19,0)+VLOOKUP(V7,'装备掉落'!$A$29:$H$34,6,TRUE)*ROUND('经济参数'!$E$45*'装备品质'!$E$23,0)+VLOOKUP(V7,'装备掉落'!$A$29:$H$34,7,TRUE)*ROUND('经济参数'!$E$45*'装备品质'!$E$27,0)+VLOOKUP(V7,'装备掉落'!$A$29:$H$34,8,TRUE)*ROUND('经济参数'!$E$45*'装备品质'!$E$31,0))</x:f>
        <x:v>10.720411663807894</x:v>
      </x:c>
      <x:c r="W52" s="62" t="n">
        <x:f>W39*(VLOOKUP(W7,'装备掉落'!$A$29:$H$34,2,TRUE)*ROUND('经济参数'!$E$45*'装备品质'!$E$7,0)+VLOOKUP(W7,'装备掉落'!$A$29:$H$34,3,TRUE)*ROUND('经济参数'!$E$45*'装备品质'!$E$11,0)+VLOOKUP(W7,'装备掉落'!$A$29:$H$34,4,TRUE)*ROUND('经济参数'!$E$45*'装备品质'!$E$15,0)+VLOOKUP(W7,'装备掉落'!$A$29:$H$34,5,TRUE)*ROUND('经济参数'!$E$45*'装备品质'!$E$19,0)+VLOOKUP(W7,'装备掉落'!$A$29:$H$34,6,TRUE)*ROUND('经济参数'!$E$45*'装备品质'!$E$23,0)+VLOOKUP(W7,'装备掉落'!$A$29:$H$34,7,TRUE)*ROUND('经济参数'!$E$45*'装备品质'!$E$27,0)+VLOOKUP(W7,'装备掉落'!$A$29:$H$34,8,TRUE)*ROUND('经济参数'!$E$45*'装备品质'!$E$31,0))</x:f>
        <x:v>10.720411663807894</x:v>
      </x:c>
      <x:c r="X52" s="62" t="n">
        <x:f>X39*(VLOOKUP(X7,'装备掉落'!$A$29:$H$34,2,TRUE)*ROUND('经济参数'!$E$45*'装备品质'!$E$7,0)+VLOOKUP(X7,'装备掉落'!$A$29:$H$34,3,TRUE)*ROUND('经济参数'!$E$45*'装备品质'!$E$11,0)+VLOOKUP(X7,'装备掉落'!$A$29:$H$34,4,TRUE)*ROUND('经济参数'!$E$45*'装备品质'!$E$15,0)+VLOOKUP(X7,'装备掉落'!$A$29:$H$34,5,TRUE)*ROUND('经济参数'!$E$45*'装备品质'!$E$19,0)+VLOOKUP(X7,'装备掉落'!$A$29:$H$34,6,TRUE)*ROUND('经济参数'!$E$45*'装备品质'!$E$23,0)+VLOOKUP(X7,'装备掉落'!$A$29:$H$34,7,TRUE)*ROUND('经济参数'!$E$45*'装备品质'!$E$27,0)+VLOOKUP(X7,'装备掉落'!$A$29:$H$34,8,TRUE)*ROUND('经济参数'!$E$45*'装备品质'!$E$31,0))</x:f>
        <x:v>9.895764612745747</x:v>
      </x:c>
      <x:c r="Y52" s="62" t="n">
        <x:f>Y39*(VLOOKUP(Y7,'装备掉落'!$A$29:$H$34,2,TRUE)*ROUND('经济参数'!$E$45*'装备品质'!$E$7,0)+VLOOKUP(Y7,'装备掉落'!$A$29:$H$34,3,TRUE)*ROUND('经济参数'!$E$45*'装备品质'!$E$11,0)+VLOOKUP(Y7,'装备掉落'!$A$29:$H$34,4,TRUE)*ROUND('经济参数'!$E$45*'装备品质'!$E$15,0)+VLOOKUP(Y7,'装备掉落'!$A$29:$H$34,5,TRUE)*ROUND('经济参数'!$E$45*'装备品质'!$E$19,0)+VLOOKUP(Y7,'装备掉落'!$A$29:$H$34,6,TRUE)*ROUND('经济参数'!$E$45*'装备品质'!$E$23,0)+VLOOKUP(Y7,'装备掉落'!$A$29:$H$34,7,TRUE)*ROUND('经济参数'!$E$45*'装备品质'!$E$27,0)+VLOOKUP(Y7,'装备掉落'!$A$29:$H$34,8,TRUE)*ROUND('经济参数'!$E$45*'装备品质'!$E$31,0))</x:f>
        <x:v>9.895764612745747</x:v>
      </x:c>
      <x:c r="Z52" s="62" t="n">
        <x:f>Z39*(VLOOKUP(Z7,'装备掉落'!$A$29:$H$34,2,TRUE)*ROUND('经济参数'!$E$45*'装备品质'!$E$7,0)+VLOOKUP(Z7,'装备掉落'!$A$29:$H$34,3,TRUE)*ROUND('经济参数'!$E$45*'装备品质'!$E$11,0)+VLOOKUP(Z7,'装备掉落'!$A$29:$H$34,4,TRUE)*ROUND('经济参数'!$E$45*'装备品质'!$E$15,0)+VLOOKUP(Z7,'装备掉落'!$A$29:$H$34,5,TRUE)*ROUND('经济参数'!$E$45*'装备品质'!$E$19,0)+VLOOKUP(Z7,'装备掉落'!$A$29:$H$34,6,TRUE)*ROUND('经济参数'!$E$45*'装备品质'!$E$23,0)+VLOOKUP(Z7,'装备掉落'!$A$29:$H$34,7,TRUE)*ROUND('经济参数'!$E$45*'装备品质'!$E$27,0)+VLOOKUP(Z7,'装备掉落'!$A$29:$H$34,8,TRUE)*ROUND('经济参数'!$E$45*'装备品质'!$E$31,0))</x:f>
        <x:v>9.895764612745747</x:v>
      </x:c>
      <x:c r="AA52" s="62" t="n">
        <x:f>AA39*(VLOOKUP(AA7,'装备掉落'!$A$29:$H$34,2,TRUE)*ROUND('经济参数'!$E$45*'装备品质'!$E$7,0)+VLOOKUP(AA7,'装备掉落'!$A$29:$H$34,3,TRUE)*ROUND('经济参数'!$E$45*'装备品质'!$E$11,0)+VLOOKUP(AA7,'装备掉落'!$A$29:$H$34,4,TRUE)*ROUND('经济参数'!$E$45*'装备品质'!$E$15,0)+VLOOKUP(AA7,'装备掉落'!$A$29:$H$34,5,TRUE)*ROUND('经济参数'!$E$45*'装备品质'!$E$19,0)+VLOOKUP(AA7,'装备掉落'!$A$29:$H$34,6,TRUE)*ROUND('经济参数'!$E$45*'装备品质'!$E$23,0)+VLOOKUP(AA7,'装备掉落'!$A$29:$H$34,7,TRUE)*ROUND('经济参数'!$E$45*'装备品质'!$E$27,0)+VLOOKUP(AA7,'装备掉落'!$A$29:$H$34,8,TRUE)*ROUND('经济参数'!$E$45*'装备品质'!$E$31,0))</x:f>
        <x:v>9.071117561683602</x:v>
      </x:c>
      <x:c r="AB52" s="62" t="n">
        <x:f>AB39*(VLOOKUP(AB7,'装备掉落'!$A$29:$H$34,2,TRUE)*ROUND('经济参数'!$E$45*'装备品质'!$E$7,0)+VLOOKUP(AB7,'装备掉落'!$A$29:$H$34,3,TRUE)*ROUND('经济参数'!$E$45*'装备品质'!$E$11,0)+VLOOKUP(AB7,'装备掉落'!$A$29:$H$34,4,TRUE)*ROUND('经济参数'!$E$45*'装备品质'!$E$15,0)+VLOOKUP(AB7,'装备掉落'!$A$29:$H$34,5,TRUE)*ROUND('经济参数'!$E$45*'装备品质'!$E$19,0)+VLOOKUP(AB7,'装备掉落'!$A$29:$H$34,6,TRUE)*ROUND('经济参数'!$E$45*'装备品质'!$E$23,0)+VLOOKUP(AB7,'装备掉落'!$A$29:$H$34,7,TRUE)*ROUND('经济参数'!$E$45*'装备品质'!$E$27,0)+VLOOKUP(AB7,'装备掉落'!$A$29:$H$34,8,TRUE)*ROUND('经济参数'!$E$45*'装备品质'!$E$31,0))</x:f>
        <x:v>9.071117561683602</x:v>
      </x:c>
      <x:c r="AC52" s="62" t="n">
        <x:f>AC39*(VLOOKUP(AC7,'装备掉落'!$A$29:$H$34,2,TRUE)*ROUND('经济参数'!$E$45*'装备品质'!$E$7,0)+VLOOKUP(AC7,'装备掉落'!$A$29:$H$34,3,TRUE)*ROUND('经济参数'!$E$45*'装备品质'!$E$11,0)+VLOOKUP(AC7,'装备掉落'!$A$29:$H$34,4,TRUE)*ROUND('经济参数'!$E$45*'装备品质'!$E$15,0)+VLOOKUP(AC7,'装备掉落'!$A$29:$H$34,5,TRUE)*ROUND('经济参数'!$E$45*'装备品质'!$E$19,0)+VLOOKUP(AC7,'装备掉落'!$A$29:$H$34,6,TRUE)*ROUND('经济参数'!$E$45*'装备品质'!$E$23,0)+VLOOKUP(AC7,'装备掉落'!$A$29:$H$34,7,TRUE)*ROUND('经济参数'!$E$45*'装备品质'!$E$27,0)+VLOOKUP(AC7,'装备掉落'!$A$29:$H$34,8,TRUE)*ROUND('经济参数'!$E$45*'装备品质'!$E$31,0))</x:f>
        <x:v>9.071117561683602</x:v>
      </x:c>
      <x:c r="AD52" s="62" t="n">
        <x:f>AD39*(VLOOKUP(AD7,'装备掉落'!$A$29:$H$34,2,TRUE)*ROUND('经济参数'!$E$45*'装备品质'!$E$7,0)+VLOOKUP(AD7,'装备掉落'!$A$29:$H$34,3,TRUE)*ROUND('经济参数'!$E$45*'装备品质'!$E$11,0)+VLOOKUP(AD7,'装备掉落'!$A$29:$H$34,4,TRUE)*ROUND('经济参数'!$E$45*'装备品质'!$E$15,0)+VLOOKUP(AD7,'装备掉落'!$A$29:$H$34,5,TRUE)*ROUND('经济参数'!$E$45*'装备品质'!$E$19,0)+VLOOKUP(AD7,'装备掉落'!$A$29:$H$34,6,TRUE)*ROUND('经济参数'!$E$45*'装备品质'!$E$23,0)+VLOOKUP(AD7,'装备掉落'!$A$29:$H$34,7,TRUE)*ROUND('经济参数'!$E$45*'装备品质'!$E$27,0)+VLOOKUP(AD7,'装备掉落'!$A$29:$H$34,8,TRUE)*ROUND('经济参数'!$E$45*'装备品质'!$E$31,0))</x:f>
        <x:v>9.071117561683602</x:v>
      </x:c>
      <x:c r="AE52" s="62" t="n">
        <x:f>AE39*(VLOOKUP(AE7,'装备掉落'!$A$29:$H$34,2,TRUE)*ROUND('经济参数'!$E$45*'装备品质'!$E$7,0)+VLOOKUP(AE7,'装备掉落'!$A$29:$H$34,3,TRUE)*ROUND('经济参数'!$E$45*'装备品质'!$E$11,0)+VLOOKUP(AE7,'装备掉落'!$A$29:$H$34,4,TRUE)*ROUND('经济参数'!$E$45*'装备品质'!$E$15,0)+VLOOKUP(AE7,'装备掉落'!$A$29:$H$34,5,TRUE)*ROUND('经济参数'!$E$45*'装备品质'!$E$19,0)+VLOOKUP(AE7,'装备掉落'!$A$29:$H$34,6,TRUE)*ROUND('经济参数'!$E$45*'装备品质'!$E$23,0)+VLOOKUP(AE7,'装备掉落'!$A$29:$H$34,7,TRUE)*ROUND('经济参数'!$E$45*'装备品质'!$E$27,0)+VLOOKUP(AE7,'装备掉落'!$A$29:$H$34,8,TRUE)*ROUND('经济参数'!$E$45*'装备品质'!$E$31,0))</x:f>
        <x:v>8.246470510621455</x:v>
      </x:c>
      <x:c r="AF52" s="65"/>
    </x:row>
    <x:row r="53" ht="28" customHeight="1">
      <x:c r="A53" s="62" t="str">
        <x:v>合成额外奖励金币</x:v>
      </x:c>
      <x:c r="B53" s="62" t="n">
        <x:f>'每日计划'!B35*CHOOSE('每日计划'!B36,'装备品质'!$E$9,'装备品质'!$E$13,'装备品质'!$E$17,'装备品质'!$E$21,'装备品质'!$E$25,'装备品质'!$E$29)*'经济参数'!$E$49*'经济参数'!$E$50*'经济参数'!$E$51*ROUND('经济参数'!$E$45*CHOOSE('每日计划'!B36,'装备品质'!$E$11,'装备品质'!$E$15,'装备品质'!$E$19,'装备品质'!$E$23,'装备品质'!$E$27,'装备品质'!$E$31),0)</x:f>
        <x:v>0</x:v>
      </x:c>
      <x:c r="C53" s="62" t="n">
        <x:f>'每日计划'!C35*CHOOSE('每日计划'!C36,'装备品质'!$E$9,'装备品质'!$E$13,'装备品质'!$E$17,'装备品质'!$E$21,'装备品质'!$E$25,'装备品质'!$E$29)*'经济参数'!$E$49*'经济参数'!$E$50*'经济参数'!$E$51*ROUND('经济参数'!$E$45*CHOOSE('每日计划'!C36,'装备品质'!$E$11,'装备品质'!$E$15,'装备品质'!$E$19,'装备品质'!$E$23,'装备品质'!$E$27,'装备品质'!$E$31),0)</x:f>
        <x:v>0</x:v>
      </x:c>
      <x:c r="D53" s="62" t="n">
        <x:f>'每日计划'!D35*CHOOSE('每日计划'!D36,'装备品质'!$E$9,'装备品质'!$E$13,'装备品质'!$E$17,'装备品质'!$E$21,'装备品质'!$E$25,'装备品质'!$E$29)*'经济参数'!$E$49*'经济参数'!$E$50*'经济参数'!$E$51*ROUND('经济参数'!$E$45*CHOOSE('每日计划'!D36,'装备品质'!$E$11,'装备品质'!$E$15,'装备品质'!$E$19,'装备品质'!$E$23,'装备品质'!$E$27,'装备品质'!$E$31),0)</x:f>
        <x:v>0</x:v>
      </x:c>
      <x:c r="E53" s="62" t="n">
        <x:f>'每日计划'!E35*CHOOSE('每日计划'!E36,'装备品质'!$E$9,'装备品质'!$E$13,'装备品质'!$E$17,'装备品质'!$E$21,'装备品质'!$E$25,'装备品质'!$E$29)*'经济参数'!$E$49*'经济参数'!$E$50*'经济参数'!$E$51*ROUND('经济参数'!$E$45*CHOOSE('每日计划'!E36,'装备品质'!$E$11,'装备品质'!$E$15,'装备品质'!$E$19,'装备品质'!$E$23,'装备品质'!$E$27,'装备品质'!$E$31),0)</x:f>
        <x:v>0</x:v>
      </x:c>
      <x:c r="F53" s="62" t="n">
        <x:f>'每日计划'!F35*CHOOSE('每日计划'!F36,'装备品质'!$E$9,'装备品质'!$E$13,'装备品质'!$E$17,'装备品质'!$E$21,'装备品质'!$E$25,'装备品质'!$E$29)*'经济参数'!$E$49*'经济参数'!$E$50*'经济参数'!$E$51*ROUND('经济参数'!$E$45*CHOOSE('每日计划'!F36,'装备品质'!$E$11,'装备品质'!$E$15,'装备品质'!$E$19,'装备品质'!$E$23,'装备品质'!$E$27,'装备品质'!$E$31),0)</x:f>
        <x:v>0</x:v>
      </x:c>
      <x:c r="G53" s="62" t="n">
        <x:f>'每日计划'!G35*CHOOSE('每日计划'!G36,'装备品质'!$E$9,'装备品质'!$E$13,'装备品质'!$E$17,'装备品质'!$E$21,'装备品质'!$E$25,'装备品质'!$E$29)*'经济参数'!$E$49*'经济参数'!$E$50*'经济参数'!$E$51*ROUND('经济参数'!$E$45*CHOOSE('每日计划'!G36,'装备品质'!$E$11,'装备品质'!$E$15,'装备品质'!$E$19,'装备品质'!$E$23,'装备品质'!$E$27,'装备品质'!$E$31),0)</x:f>
        <x:v>0</x:v>
      </x:c>
      <x:c r="H53" s="62" t="n">
        <x:f>'每日计划'!H35*CHOOSE('每日计划'!H36,'装备品质'!$E$9,'装备品质'!$E$13,'装备品质'!$E$17,'装备品质'!$E$21,'装备品质'!$E$25,'装备品质'!$E$29)*'经济参数'!$E$49*'经济参数'!$E$50*'经济参数'!$E$51*ROUND('经济参数'!$E$45*CHOOSE('每日计划'!H36,'装备品质'!$E$11,'装备品质'!$E$15,'装备品质'!$E$19,'装备品质'!$E$23,'装备品质'!$E$27,'装备品质'!$E$31),0)</x:f>
        <x:v>0</x:v>
      </x:c>
      <x:c r="I53" s="62" t="n">
        <x:f>'每日计划'!I35*CHOOSE('每日计划'!I36,'装备品质'!$E$9,'装备品质'!$E$13,'装备品质'!$E$17,'装备品质'!$E$21,'装备品质'!$E$25,'装备品质'!$E$29)*'经济参数'!$E$49*'经济参数'!$E$50*'经济参数'!$E$51*ROUND('经济参数'!$E$45*CHOOSE('每日计划'!I36,'装备品质'!$E$11,'装备品质'!$E$15,'装备品质'!$E$19,'装备品质'!$E$23,'装备品质'!$E$27,'装备品质'!$E$31),0)</x:f>
        <x:v>0</x:v>
      </x:c>
      <x:c r="J53" s="62" t="n">
        <x:f>'每日计划'!J35*CHOOSE('每日计划'!J36,'装备品质'!$E$9,'装备品质'!$E$13,'装备品质'!$E$17,'装备品质'!$E$21,'装备品质'!$E$25,'装备品质'!$E$29)*'经济参数'!$E$49*'经济参数'!$E$50*'经济参数'!$E$51*ROUND('经济参数'!$E$45*CHOOSE('每日计划'!J36,'装备品质'!$E$11,'装备品质'!$E$15,'装备品质'!$E$19,'装备品质'!$E$23,'装备品质'!$E$27,'装备品质'!$E$31),0)</x:f>
        <x:v>0</x:v>
      </x:c>
      <x:c r="K53" s="62" t="n">
        <x:f>'每日计划'!K35*CHOOSE('每日计划'!K36,'装备品质'!$E$9,'装备品质'!$E$13,'装备品质'!$E$17,'装备品质'!$E$21,'装备品质'!$E$25,'装备品质'!$E$29)*'经济参数'!$E$49*'经济参数'!$E$50*'经济参数'!$E$51*ROUND('经济参数'!$E$45*CHOOSE('每日计划'!K36,'装备品质'!$E$11,'装备品质'!$E$15,'装备品质'!$E$19,'装备品质'!$E$23,'装备品质'!$E$27,'装备品质'!$E$31),0)</x:f>
        <x:v>0</x:v>
      </x:c>
      <x:c r="L53" s="62" t="n">
        <x:f>'每日计划'!L35*CHOOSE('每日计划'!L36,'装备品质'!$E$9,'装备品质'!$E$13,'装备品质'!$E$17,'装备品质'!$E$21,'装备品质'!$E$25,'装备品质'!$E$29)*'经济参数'!$E$49*'经济参数'!$E$50*'经济参数'!$E$51*ROUND('经济参数'!$E$45*CHOOSE('每日计划'!L36,'装备品质'!$E$11,'装备品质'!$E$15,'装备品质'!$E$19,'装备品质'!$E$23,'装备品质'!$E$27,'装备品质'!$E$31),0)</x:f>
        <x:v>0</x:v>
      </x:c>
      <x:c r="M53" s="62" t="n">
        <x:f>'每日计划'!M35*CHOOSE('每日计划'!M36,'装备品质'!$E$9,'装备品质'!$E$13,'装备品质'!$E$17,'装备品质'!$E$21,'装备品质'!$E$25,'装备品质'!$E$29)*'经济参数'!$E$49*'经济参数'!$E$50*'经济参数'!$E$51*ROUND('经济参数'!$E$45*CHOOSE('每日计划'!M36,'装备品质'!$E$11,'装备品质'!$E$15,'装备品质'!$E$19,'装备品质'!$E$23,'装备品质'!$E$27,'装备品质'!$E$31),0)</x:f>
        <x:v>0</x:v>
      </x:c>
      <x:c r="N53" s="62" t="n">
        <x:f>'每日计划'!N35*CHOOSE('每日计划'!N36,'装备品质'!$E$9,'装备品质'!$E$13,'装备品质'!$E$17,'装备品质'!$E$21,'装备品质'!$E$25,'装备品质'!$E$29)*'经济参数'!$E$49*'经济参数'!$E$50*'经济参数'!$E$51*ROUND('经济参数'!$E$45*CHOOSE('每日计划'!N36,'装备品质'!$E$11,'装备品质'!$E$15,'装备品质'!$E$19,'装备品质'!$E$23,'装备品质'!$E$27,'装备品质'!$E$31),0)</x:f>
        <x:v>0</x:v>
      </x:c>
      <x:c r="O53" s="62" t="n">
        <x:f>'每日计划'!O35*CHOOSE('每日计划'!O36,'装备品质'!$E$9,'装备品质'!$E$13,'装备品质'!$E$17,'装备品质'!$E$21,'装备品质'!$E$25,'装备品质'!$E$29)*'经济参数'!$E$49*'经济参数'!$E$50*'经济参数'!$E$51*ROUND('经济参数'!$E$45*CHOOSE('每日计划'!O36,'装备品质'!$E$11,'装备品质'!$E$15,'装备品质'!$E$19,'装备品质'!$E$23,'装备品质'!$E$27,'装备品质'!$E$31),0)</x:f>
        <x:v>0</x:v>
      </x:c>
      <x:c r="P53" s="62" t="n">
        <x:f>'每日计划'!P35*CHOOSE('每日计划'!P36,'装备品质'!$E$9,'装备品质'!$E$13,'装备品质'!$E$17,'装备品质'!$E$21,'装备品质'!$E$25,'装备品质'!$E$29)*'经济参数'!$E$49*'经济参数'!$E$50*'经济参数'!$E$51*ROUND('经济参数'!$E$45*CHOOSE('每日计划'!P36,'装备品质'!$E$11,'装备品质'!$E$15,'装备品质'!$E$19,'装备品质'!$E$23,'装备品质'!$E$27,'装备品质'!$E$31),0)</x:f>
        <x:v>0</x:v>
      </x:c>
      <x:c r="Q53" s="62" t="n">
        <x:f>'每日计划'!Q35*CHOOSE('每日计划'!Q36,'装备品质'!$E$9,'装备品质'!$E$13,'装备品质'!$E$17,'装备品质'!$E$21,'装备品质'!$E$25,'装备品质'!$E$29)*'经济参数'!$E$49*'经济参数'!$E$50*'经济参数'!$E$51*ROUND('经济参数'!$E$45*CHOOSE('每日计划'!Q36,'装备品质'!$E$11,'装备品质'!$E$15,'装备品质'!$E$19,'装备品质'!$E$23,'装备品质'!$E$27,'装备品质'!$E$31),0)</x:f>
        <x:v>0</x:v>
      </x:c>
      <x:c r="R53" s="62" t="n">
        <x:f>'每日计划'!R35*CHOOSE('每日计划'!R36,'装备品质'!$E$9,'装备品质'!$E$13,'装备品质'!$E$17,'装备品质'!$E$21,'装备品质'!$E$25,'装备品质'!$E$29)*'经济参数'!$E$49*'经济参数'!$E$50*'经济参数'!$E$51*ROUND('经济参数'!$E$45*CHOOSE('每日计划'!R36,'装备品质'!$E$11,'装备品质'!$E$15,'装备品质'!$E$19,'装备品质'!$E$23,'装备品质'!$E$27,'装备品质'!$E$31),0)</x:f>
        <x:v>0</x:v>
      </x:c>
      <x:c r="S53" s="62" t="n">
        <x:f>'每日计划'!S35*CHOOSE('每日计划'!S36,'装备品质'!$E$9,'装备品质'!$E$13,'装备品质'!$E$17,'装备品质'!$E$21,'装备品质'!$E$25,'装备品质'!$E$29)*'经济参数'!$E$49*'经济参数'!$E$50*'经济参数'!$E$51*ROUND('经济参数'!$E$45*CHOOSE('每日计划'!S36,'装备品质'!$E$11,'装备品质'!$E$15,'装备品质'!$E$19,'装备品质'!$E$23,'装备品质'!$E$27,'装备品质'!$E$31),0)</x:f>
        <x:v>0</x:v>
      </x:c>
      <x:c r="T53" s="62" t="n">
        <x:f>'每日计划'!T35*CHOOSE('每日计划'!T36,'装备品质'!$E$9,'装备品质'!$E$13,'装备品质'!$E$17,'装备品质'!$E$21,'装备品质'!$E$25,'装备品质'!$E$29)*'经济参数'!$E$49*'经济参数'!$E$50*'经济参数'!$E$51*ROUND('经济参数'!$E$45*CHOOSE('每日计划'!T36,'装备品质'!$E$11,'装备品质'!$E$15,'装备品质'!$E$19,'装备品质'!$E$23,'装备品质'!$E$27,'装备品质'!$E$31),0)</x:f>
        <x:v>0</x:v>
      </x:c>
      <x:c r="U53" s="62" t="n">
        <x:f>'每日计划'!U35*CHOOSE('每日计划'!U36,'装备品质'!$E$9,'装备品质'!$E$13,'装备品质'!$E$17,'装备品质'!$E$21,'装备品质'!$E$25,'装备品质'!$E$29)*'经济参数'!$E$49*'经济参数'!$E$50*'经济参数'!$E$51*ROUND('经济参数'!$E$45*CHOOSE('每日计划'!U36,'装备品质'!$E$11,'装备品质'!$E$15,'装备品质'!$E$19,'装备品质'!$E$23,'装备品质'!$E$27,'装备品质'!$E$31),0)</x:f>
        <x:v>0</x:v>
      </x:c>
      <x:c r="V53" s="62" t="n">
        <x:f>'每日计划'!V35*CHOOSE('每日计划'!V36,'装备品质'!$E$9,'装备品质'!$E$13,'装备品质'!$E$17,'装备品质'!$E$21,'装备品质'!$E$25,'装备品质'!$E$29)*'经济参数'!$E$49*'经济参数'!$E$50*'经济参数'!$E$51*ROUND('经济参数'!$E$45*CHOOSE('每日计划'!V36,'装备品质'!$E$11,'装备品质'!$E$15,'装备品质'!$E$19,'装备品质'!$E$23,'装备品质'!$E$27,'装备品质'!$E$31),0)</x:f>
        <x:v>0</x:v>
      </x:c>
      <x:c r="W53" s="62" t="n">
        <x:f>'每日计划'!W35*CHOOSE('每日计划'!W36,'装备品质'!$E$9,'装备品质'!$E$13,'装备品质'!$E$17,'装备品质'!$E$21,'装备品质'!$E$25,'装备品质'!$E$29)*'经济参数'!$E$49*'经济参数'!$E$50*'经济参数'!$E$51*ROUND('经济参数'!$E$45*CHOOSE('每日计划'!W36,'装备品质'!$E$11,'装备品质'!$E$15,'装备品质'!$E$19,'装备品质'!$E$23,'装备品质'!$E$27,'装备品质'!$E$31),0)</x:f>
        <x:v>0</x:v>
      </x:c>
      <x:c r="X53" s="62" t="n">
        <x:f>'每日计划'!X35*CHOOSE('每日计划'!X36,'装备品质'!$E$9,'装备品质'!$E$13,'装备品质'!$E$17,'装备品质'!$E$21,'装备品质'!$E$25,'装备品质'!$E$29)*'经济参数'!$E$49*'经济参数'!$E$50*'经济参数'!$E$51*ROUND('经济参数'!$E$45*CHOOSE('每日计划'!X36,'装备品质'!$E$11,'装备品质'!$E$15,'装备品质'!$E$19,'装备品质'!$E$23,'装备品质'!$E$27,'装备品质'!$E$31),0)</x:f>
        <x:v>0</x:v>
      </x:c>
      <x:c r="Y53" s="62" t="n">
        <x:f>'每日计划'!Y35*CHOOSE('每日计划'!Y36,'装备品质'!$E$9,'装备品质'!$E$13,'装备品质'!$E$17,'装备品质'!$E$21,'装备品质'!$E$25,'装备品质'!$E$29)*'经济参数'!$E$49*'经济参数'!$E$50*'经济参数'!$E$51*ROUND('经济参数'!$E$45*CHOOSE('每日计划'!Y36,'装备品质'!$E$11,'装备品质'!$E$15,'装备品质'!$E$19,'装备品质'!$E$23,'装备品质'!$E$27,'装备品质'!$E$31),0)</x:f>
        <x:v>0</x:v>
      </x:c>
      <x:c r="Z53" s="62" t="n">
        <x:f>'每日计划'!Z35*CHOOSE('每日计划'!Z36,'装备品质'!$E$9,'装备品质'!$E$13,'装备品质'!$E$17,'装备品质'!$E$21,'装备品质'!$E$25,'装备品质'!$E$29)*'经济参数'!$E$49*'经济参数'!$E$50*'经济参数'!$E$51*ROUND('经济参数'!$E$45*CHOOSE('每日计划'!Z36,'装备品质'!$E$11,'装备品质'!$E$15,'装备品质'!$E$19,'装备品质'!$E$23,'装备品质'!$E$27,'装备品质'!$E$31),0)</x:f>
        <x:v>0</x:v>
      </x:c>
      <x:c r="AA53" s="62" t="n">
        <x:f>'每日计划'!AA35*CHOOSE('每日计划'!AA36,'装备品质'!$E$9,'装备品质'!$E$13,'装备品质'!$E$17,'装备品质'!$E$21,'装备品质'!$E$25,'装备品质'!$E$29)*'经济参数'!$E$49*'经济参数'!$E$50*'经济参数'!$E$51*ROUND('经济参数'!$E$45*CHOOSE('每日计划'!AA36,'装备品质'!$E$11,'装备品质'!$E$15,'装备品质'!$E$19,'装备品质'!$E$23,'装备品质'!$E$27,'装备品质'!$E$31),0)</x:f>
        <x:v>0</x:v>
      </x:c>
      <x:c r="AB53" s="62" t="n">
        <x:f>'每日计划'!AB35*CHOOSE('每日计划'!AB36,'装备品质'!$E$9,'装备品质'!$E$13,'装备品质'!$E$17,'装备品质'!$E$21,'装备品质'!$E$25,'装备品质'!$E$29)*'经济参数'!$E$49*'经济参数'!$E$50*'经济参数'!$E$51*ROUND('经济参数'!$E$45*CHOOSE('每日计划'!AB36,'装备品质'!$E$11,'装备品质'!$E$15,'装备品质'!$E$19,'装备品质'!$E$23,'装备品质'!$E$27,'装备品质'!$E$31),0)</x:f>
        <x:v>0</x:v>
      </x:c>
      <x:c r="AC53" s="62" t="n">
        <x:f>'每日计划'!AC35*CHOOSE('每日计划'!AC36,'装备品质'!$E$9,'装备品质'!$E$13,'装备品质'!$E$17,'装备品质'!$E$21,'装备品质'!$E$25,'装备品质'!$E$29)*'经济参数'!$E$49*'经济参数'!$E$50*'经济参数'!$E$51*ROUND('经济参数'!$E$45*CHOOSE('每日计划'!AC36,'装备品质'!$E$11,'装备品质'!$E$15,'装备品质'!$E$19,'装备品质'!$E$23,'装备品质'!$E$27,'装备品质'!$E$31),0)</x:f>
        <x:v>0</x:v>
      </x:c>
      <x:c r="AD53" s="62" t="n">
        <x:f>'每日计划'!AD35*CHOOSE('每日计划'!AD36,'装备品质'!$E$9,'装备品质'!$E$13,'装备品质'!$E$17,'装备品质'!$E$21,'装备品质'!$E$25,'装备品质'!$E$29)*'经济参数'!$E$49*'经济参数'!$E$50*'经济参数'!$E$51*ROUND('经济参数'!$E$45*CHOOSE('每日计划'!AD36,'装备品质'!$E$11,'装备品质'!$E$15,'装备品质'!$E$19,'装备品质'!$E$23,'装备品质'!$E$27,'装备品质'!$E$31),0)</x:f>
        <x:v>0</x:v>
      </x:c>
      <x:c r="AE53" s="62" t="n">
        <x:f>'每日计划'!AE35*CHOOSE('每日计划'!AE36,'装备品质'!$E$9,'装备品质'!$E$13,'装备品质'!$E$17,'装备品质'!$E$21,'装备品质'!$E$25,'装备品质'!$E$29)*'经济参数'!$E$49*'经济参数'!$E$50*'经济参数'!$E$51*ROUND('经济参数'!$E$45*CHOOSE('每日计划'!AE36,'装备品质'!$E$11,'装备品质'!$E$15,'装备品质'!$E$19,'装备品质'!$E$23,'装备品质'!$E$27,'装备品质'!$E$31),0)</x:f>
        <x:v>0</x:v>
      </x:c>
      <x:c r="AF53" s="65"/>
    </x:row>
    <x:row r="54" ht="28" customHeight="1">
      <x:c r="A54" s="62" t="str">
        <x:v>商店兑换金币</x:v>
      </x:c>
      <x:c r="B54" s="62" t="n">
        <x:f>ROUNDDOWN('每日计划'!B41/'商店与兑换'!$E$12,0)*'商店与兑换'!$E$11</x:f>
        <x:v>0</x:v>
      </x:c>
      <x:c r="C54" s="62" t="n">
        <x:f>ROUNDDOWN('每日计划'!C41/'商店与兑换'!$E$12,0)*'商店与兑换'!$E$11</x:f>
        <x:v>0</x:v>
      </x:c>
      <x:c r="D54" s="62" t="n">
        <x:f>ROUNDDOWN('每日计划'!D41/'商店与兑换'!$E$12,0)*'商店与兑换'!$E$11</x:f>
        <x:v>0</x:v>
      </x:c>
      <x:c r="E54" s="62" t="n">
        <x:f>ROUNDDOWN('每日计划'!E41/'商店与兑换'!$E$12,0)*'商店与兑换'!$E$11</x:f>
        <x:v>0</x:v>
      </x:c>
      <x:c r="F54" s="62" t="n">
        <x:f>ROUNDDOWN('每日计划'!F41/'商店与兑换'!$E$12,0)*'商店与兑换'!$E$11</x:f>
        <x:v>0</x:v>
      </x:c>
      <x:c r="G54" s="62" t="n">
        <x:f>ROUNDDOWN('每日计划'!G41/'商店与兑换'!$E$12,0)*'商店与兑换'!$E$11</x:f>
        <x:v>0</x:v>
      </x:c>
      <x:c r="H54" s="62" t="n">
        <x:f>ROUNDDOWN('每日计划'!H41/'商店与兑换'!$E$12,0)*'商店与兑换'!$E$11</x:f>
        <x:v>0</x:v>
      </x:c>
      <x:c r="I54" s="62" t="n">
        <x:f>ROUNDDOWN('每日计划'!I41/'商店与兑换'!$E$12,0)*'商店与兑换'!$E$11</x:f>
        <x:v>0</x:v>
      </x:c>
      <x:c r="J54" s="62" t="n">
        <x:f>ROUNDDOWN('每日计划'!J41/'商店与兑换'!$E$12,0)*'商店与兑换'!$E$11</x:f>
        <x:v>0</x:v>
      </x:c>
      <x:c r="K54" s="62" t="n">
        <x:f>ROUNDDOWN('每日计划'!K41/'商店与兑换'!$E$12,0)*'商店与兑换'!$E$11</x:f>
        <x:v>0</x:v>
      </x:c>
      <x:c r="L54" s="62" t="n">
        <x:f>ROUNDDOWN('每日计划'!L41/'商店与兑换'!$E$12,0)*'商店与兑换'!$E$11</x:f>
        <x:v>0</x:v>
      </x:c>
      <x:c r="M54" s="62" t="n">
        <x:f>ROUNDDOWN('每日计划'!M41/'商店与兑换'!$E$12,0)*'商店与兑换'!$E$11</x:f>
        <x:v>0</x:v>
      </x:c>
      <x:c r="N54" s="62" t="n">
        <x:f>ROUNDDOWN('每日计划'!N41/'商店与兑换'!$E$12,0)*'商店与兑换'!$E$11</x:f>
        <x:v>0</x:v>
      </x:c>
      <x:c r="O54" s="62" t="n">
        <x:f>ROUNDDOWN('每日计划'!O41/'商店与兑换'!$E$12,0)*'商店与兑换'!$E$11</x:f>
        <x:v>0</x:v>
      </x:c>
      <x:c r="P54" s="62" t="n">
        <x:f>ROUNDDOWN('每日计划'!P41/'商店与兑换'!$E$12,0)*'商店与兑换'!$E$11</x:f>
        <x:v>0</x:v>
      </x:c>
      <x:c r="Q54" s="62" t="n">
        <x:f>ROUNDDOWN('每日计划'!Q41/'商店与兑换'!$E$12,0)*'商店与兑换'!$E$11</x:f>
        <x:v>0</x:v>
      </x:c>
      <x:c r="R54" s="62" t="n">
        <x:f>ROUNDDOWN('每日计划'!R41/'商店与兑换'!$E$12,0)*'商店与兑换'!$E$11</x:f>
        <x:v>0</x:v>
      </x:c>
      <x:c r="S54" s="62" t="n">
        <x:f>ROUNDDOWN('每日计划'!S41/'商店与兑换'!$E$12,0)*'商店与兑换'!$E$11</x:f>
        <x:v>0</x:v>
      </x:c>
      <x:c r="T54" s="62" t="n">
        <x:f>ROUNDDOWN('每日计划'!T41/'商店与兑换'!$E$12,0)*'商店与兑换'!$E$11</x:f>
        <x:v>0</x:v>
      </x:c>
      <x:c r="U54" s="62" t="n">
        <x:f>ROUNDDOWN('每日计划'!U41/'商店与兑换'!$E$12,0)*'商店与兑换'!$E$11</x:f>
        <x:v>0</x:v>
      </x:c>
      <x:c r="V54" s="62" t="n">
        <x:f>ROUNDDOWN('每日计划'!V41/'商店与兑换'!$E$12,0)*'商店与兑换'!$E$11</x:f>
        <x:v>0</x:v>
      </x:c>
      <x:c r="W54" s="62" t="n">
        <x:f>ROUNDDOWN('每日计划'!W41/'商店与兑换'!$E$12,0)*'商店与兑换'!$E$11</x:f>
        <x:v>0</x:v>
      </x:c>
      <x:c r="X54" s="62" t="n">
        <x:f>ROUNDDOWN('每日计划'!X41/'商店与兑换'!$E$12,0)*'商店与兑换'!$E$11</x:f>
        <x:v>0</x:v>
      </x:c>
      <x:c r="Y54" s="62" t="n">
        <x:f>ROUNDDOWN('每日计划'!Y41/'商店与兑换'!$E$12,0)*'商店与兑换'!$E$11</x:f>
        <x:v>0</x:v>
      </x:c>
      <x:c r="Z54" s="62" t="n">
        <x:f>ROUNDDOWN('每日计划'!Z41/'商店与兑换'!$E$12,0)*'商店与兑换'!$E$11</x:f>
        <x:v>0</x:v>
      </x:c>
      <x:c r="AA54" s="62" t="n">
        <x:f>ROUNDDOWN('每日计划'!AA41/'商店与兑换'!$E$12,0)*'商店与兑换'!$E$11</x:f>
        <x:v>0</x:v>
      </x:c>
      <x:c r="AB54" s="62" t="n">
        <x:f>ROUNDDOWN('每日计划'!AB41/'商店与兑换'!$E$12,0)*'商店与兑换'!$E$11</x:f>
        <x:v>0</x:v>
      </x:c>
      <x:c r="AC54" s="62" t="n">
        <x:f>ROUNDDOWN('每日计划'!AC41/'商店与兑换'!$E$12,0)*'商店与兑换'!$E$11</x:f>
        <x:v>0</x:v>
      </x:c>
      <x:c r="AD54" s="62" t="n">
        <x:f>ROUNDDOWN('每日计划'!AD41/'商店与兑换'!$E$12,0)*'商店与兑换'!$E$11</x:f>
        <x:v>0</x:v>
      </x:c>
      <x:c r="AE54" s="62" t="n">
        <x:f>ROUNDDOWN('每日计划'!AE41/'商店与兑换'!$E$12,0)*'商店与兑换'!$E$11</x:f>
        <x:v>0</x:v>
      </x:c>
      <x:c r="AF54" s="65"/>
    </x:row>
    <x:row r="55" ht="28" customHeight="1">
      <x:c r="A55" s="125" t="str">
        <x:v>金币总产出</x:v>
      </x:c>
      <x:c r="B55" s="125" t="n">
        <x:f>SUM(B45:B54)</x:f>
        <x:v>19620.888732022693</x:v>
      </x:c>
      <x:c r="C55" s="125" t="n">
        <x:f>SUM(C45:C54)</x:f>
        <x:v>49463.409702247445</x:v>
      </x:c>
      <x:c r="D55" s="125" t="n">
        <x:f>SUM(D45:D54)</x:f>
        <x:v>60938.20970224744</x:v>
      </x:c>
      <x:c r="E55" s="125" t="n">
        <x:f>SUM(E45:E54)</x:f>
        <x:v>76919.40894577121</x:v>
      </x:c>
      <x:c r="F55" s="125" t="n">
        <x:f>SUM(F45:F54)</x:f>
        <x:v>86579.27965870607</x:v>
      </x:c>
      <x:c r="G55" s="125" t="n">
        <x:f>SUM(G45:G54)</x:f>
        <x:v>93835.27965870607</x:v>
      </x:c>
      <x:c r="H55" s="125" t="n">
        <x:f>SUM(H45:H54)</x:f>
        <x:v>106096.86593657915</x:v>
      </x:c>
      <x:c r="I55" s="125" t="n">
        <x:f>SUM(I45:I54)</x:f>
        <x:v>109223.26593657915</x:v>
      </x:c>
      <x:c r="J55" s="125" t="n">
        <x:f>SUM(J45:J54)</x:f>
        <x:v>123941.53259444959</x:v>
      </x:c>
      <x:c r="K55" s="125" t="n">
        <x:f>SUM(K45:K54)</x:f>
        <x:v>126055.1759647271</x:v>
      </x:c>
      <x:c r="L55" s="125" t="n">
        <x:f>SUM(L45:L54)</x:f>
        <x:v>126633.09933500462</x:v>
      </x:c>
      <x:c r="M55" s="125" t="n">
        <x:f>SUM(M45:M54)</x:f>
        <x:v>132450.5993350046</x:v>
      </x:c>
      <x:c r="N55" s="125" t="n">
        <x:f>SUM(N45:N54)</x:f>
        <x:v>128679.33899986807</x:v>
      </x:c>
      <x:c r="O55" s="125" t="n">
        <x:f>SUM(O45:O54)</x:f>
        <x:v>130340.074352817</x:v>
      </x:c>
      <x:c r="P55" s="125" t="n">
        <x:f>SUM(P45:P54)</x:f>
        <x:v>135847.59435281702</x:v>
      </x:c>
      <x:c r="Q55" s="125" t="n">
        <x:f>SUM(Q45:Q54)</x:f>
        <x:v>131487.81970576596</x:v>
      </x:c>
      <x:c r="R55" s="125" t="n">
        <x:f>SUM(R45:R54)</x:f>
        <x:v>136846.91970576593</x:v>
      </x:c>
      <x:c r="S55" s="125" t="n">
        <x:f>SUM(S45:S54)</x:f>
        <x:v>132434.26505871487</x:v>
      </x:c>
      <x:c r="T55" s="125" t="n">
        <x:f>SUM(T45:T54)</x:f>
        <x:v>135075.86505871487</x:v>
      </x:c>
      <x:c r="U55" s="125" t="n">
        <x:f>SUM(U45:U54)</x:f>
        <x:v>124954.84041166381</x:v>
      </x:c>
      <x:c r="V55" s="125" t="n">
        <x:f>SUM(V45:V54)</x:f>
        <x:v>133043.00041166384</x:v>
      </x:c>
      <x:c r="W55" s="125" t="n">
        <x:f>SUM(W45:W54)</x:f>
        <x:v>133436.12041166384</x:v>
      </x:c>
      <x:c r="X55" s="125" t="n">
        <x:f>SUM(X45:X54)</x:f>
        <x:v>130998.89576461277</x:v>
      </x:c>
      <x:c r="Y55" s="125" t="n">
        <x:f>SUM(Y45:Y54)</x:f>
        <x:v>132253.01576461273</x:v>
      </x:c>
      <x:c r="Z55" s="125" t="n">
        <x:f>SUM(Z45:Z54)</x:f>
        <x:v>135875.65576461275</x:v>
      </x:c>
      <x:c r="AA55" s="125" t="n">
        <x:f>SUM(AA45:AA54)</x:f>
        <x:v>127175.9911175617</x:v>
      </x:c>
      <x:c r="AB55" s="125" t="n">
        <x:f>SUM(AB45:AB54)</x:f>
        <x:v>130316.8511175617</x:v>
      </x:c>
      <x:c r="AC55" s="125" t="n">
        <x:f>SUM(AC45:AC54)</x:f>
        <x:v>129423.1611175617</x:v>
      </x:c>
      <x:c r="AD55" s="125" t="n">
        <x:f>SUM(AD45:AD54)</x:f>
        <x:v>134801.9911175617</x:v>
      </x:c>
      <x:c r="AE55" s="125" t="n">
        <x:f>SUM(AE45:AE54)</x:f>
        <x:v>125218.14647051062</x:v>
      </x:c>
      <x:c r="AF55" s="65"/>
    </x:row>
    <x:row r="56" ht="28" customHeight="1">
      <x:c r="A56" s="62" t="str">
        <x:v>强化金币需求</x:v>
      </x:c>
      <x:c r="B56" s="62" t="n">
        <x:f>B102</x:f>
        <x:v>3600</x:v>
      </x:c>
      <x:c r="C56" s="62" t="n">
        <x:f>C102</x:f>
        <x:v>5760</x:v>
      </x:c>
      <x:c r="D56" s="62" t="n">
        <x:f>D102</x:f>
        <x:v>18000</x:v>
      </x:c>
      <x:c r="E56" s="62" t="n">
        <x:f>E102</x:f>
        <x:v>28800</x:v>
      </x:c>
      <x:c r="F56" s="62" t="n">
        <x:f>F102</x:f>
        <x:v>40572</x:v>
      </x:c>
      <x:c r="G56" s="62" t="n">
        <x:f>G102</x:f>
        <x:v>50508</x:v>
      </x:c>
      <x:c r="H56" s="62" t="n">
        <x:f>H102</x:f>
        <x:v>73584</x:v>
      </x:c>
      <x:c r="I56" s="62" t="n">
        <x:f>I102</x:f>
        <x:v>85680</x:v>
      </x:c>
      <x:c r="J56" s="62" t="n">
        <x:f>J102</x:f>
        <x:v>47376</x:v>
      </x:c>
      <x:c r="K56" s="62" t="n">
        <x:f>K102</x:f>
        <x:v>50400</x:v>
      </x:c>
      <x:c r="L56" s="62" t="n">
        <x:f>L102</x:f>
        <x:v>53424</x:v>
      </x:c>
      <x:c r="M56" s="62" t="n">
        <x:f>M102</x:f>
        <x:v>56448</x:v>
      </x:c>
      <x:c r="N56" s="62" t="n">
        <x:f>N102</x:f>
        <x:v>59472</x:v>
      </x:c>
      <x:c r="O56" s="62" t="n">
        <x:f>O102</x:f>
        <x:v>62496</x:v>
      </x:c>
      <x:c r="P56" s="62" t="n">
        <x:f>P102</x:f>
        <x:v>172368</x:v>
      </x:c>
      <x:c r="Q56" s="62" t="n">
        <x:f>Q102</x:f>
        <x:v>92016</x:v>
      </x:c>
      <x:c r="R56" s="62" t="n">
        <x:f>R102</x:f>
        <x:v>195696</x:v>
      </x:c>
      <x:c r="S56" s="62" t="n">
        <x:f>S102</x:f>
        <x:v>103680</x:v>
      </x:c>
      <x:c r="T56" s="62" t="n">
        <x:f>T102</x:f>
        <x:v>219024</x:v>
      </x:c>
      <x:c r="U56" s="62" t="n">
        <x:f>U102</x:f>
        <x:v>115344</x:v>
      </x:c>
      <x:c r="V56" s="62" t="n">
        <x:f>V102</x:f>
        <x:v>119232</x:v>
      </x:c>
      <x:c r="W56" s="62" t="n">
        <x:f>W102</x:f>
        <x:v>250128</x:v>
      </x:c>
      <x:c r="X56" s="62" t="n">
        <x:f>X102</x:f>
        <x:v>130896</x:v>
      </x:c>
      <x:c r="Y56" s="62" t="n">
        <x:f>Y102</x:f>
        <x:v>134784</x:v>
      </x:c>
      <x:c r="Z56" s="62" t="n">
        <x:f>Z102</x:f>
        <x:v>138672</x:v>
      </x:c>
      <x:c r="AA56" s="62" t="n">
        <x:f>AA102</x:f>
        <x:v>178200</x:v>
      </x:c>
      <x:c r="AB56" s="62" t="n">
        <x:f>AB102</x:f>
        <x:v>183060</x:v>
      </x:c>
      <x:c r="AC56" s="62" t="n">
        <x:f>AC102</x:f>
        <x:v>187920</x:v>
      </x:c>
      <x:c r="AD56" s="62" t="n">
        <x:f>AD102</x:f>
        <x:v>192780</x:v>
      </x:c>
      <x:c r="AE56" s="62" t="n">
        <x:f>AE102</x:f>
        <x:v>197640</x:v>
      </x:c>
      <x:c r="AF56" s="65"/>
    </x:row>
    <x:row r="57" ht="28" customHeight="1">
      <x:c r="A57" s="62" t="str">
        <x:v>升星金币期望需求</x:v>
      </x:c>
      <x:c r="B57" s="62" t="n">
        <x:f>B104</x:f>
        <x:v>0</x:v>
      </x:c>
      <x:c r="C57" s="62" t="n">
        <x:f>C104</x:f>
        <x:v>7200</x:v>
      </x:c>
      <x:c r="D57" s="62" t="n">
        <x:f>D104</x:f>
        <x:v>0</x:v>
      </x:c>
      <x:c r="E57" s="62" t="n">
        <x:f>E104</x:f>
        <x:v>10080</x:v>
      </x:c>
      <x:c r="F57" s="62" t="n">
        <x:f>F104</x:f>
        <x:v>0</x:v>
      </x:c>
      <x:c r="G57" s="62" t="n">
        <x:f>G104</x:f>
        <x:v>12960</x:v>
      </x:c>
      <x:c r="H57" s="62" t="n">
        <x:f>H104</x:f>
        <x:v>0</x:v>
      </x:c>
      <x:c r="I57" s="62" t="n">
        <x:f>I104</x:f>
        <x:v>22770</x:v>
      </x:c>
      <x:c r="J57" s="62" t="n">
        <x:f>J104</x:f>
        <x:v>0</x:v>
      </x:c>
      <x:c r="K57" s="62" t="n">
        <x:f>K104</x:f>
        <x:v>26910</x:v>
      </x:c>
      <x:c r="L57" s="62" t="n">
        <x:f>L104</x:f>
        <x:v>0</x:v>
      </x:c>
      <x:c r="M57" s="62" t="n">
        <x:f>M104</x:f>
        <x:v>50400</x:v>
      </x:c>
      <x:c r="N57" s="62" t="n">
        <x:f>N104</x:f>
        <x:v>0</x:v>
      </x:c>
      <x:c r="O57" s="62" t="n">
        <x:f>O104</x:f>
        <x:v>0</x:v>
      </x:c>
      <x:c r="P57" s="62" t="n">
        <x:f>P104</x:f>
        <x:v>57120.000000000015</x:v>
      </x:c>
      <x:c r="Q57" s="62" t="n">
        <x:f>Q104</x:f>
        <x:v>0</x:v>
      </x:c>
      <x:c r="R57" s="62" t="n">
        <x:f>R104</x:f>
        <x:v>0</x:v>
      </x:c>
      <x:c r="S57" s="62" t="n">
        <x:f>S104</x:f>
        <x:v>63839.999999999985</x:v>
      </x:c>
      <x:c r="T57" s="62" t="n">
        <x:f>T104</x:f>
        <x:v>0</x:v>
      </x:c>
      <x:c r="U57" s="62" t="n">
        <x:f>U104</x:f>
        <x:v>0</x:v>
      </x:c>
      <x:c r="V57" s="62" t="n">
        <x:f>V104</x:f>
        <x:v>0</x:v>
      </x:c>
      <x:c r="W57" s="62" t="n">
        <x:f>W104</x:f>
        <x:v>70560</x:v>
      </x:c>
      <x:c r="X57" s="62" t="n">
        <x:f>X104</x:f>
        <x:v>0</x:v>
      </x:c>
      <x:c r="Y57" s="62" t="n">
        <x:f>Y104</x:f>
        <x:v>0</x:v>
      </x:c>
      <x:c r="Z57" s="62" t="n">
        <x:f>Z104</x:f>
        <x:v>77280.00000000004</x:v>
      </x:c>
      <x:c r="AA57" s="62" t="n">
        <x:f>AA104</x:f>
        <x:v>0</x:v>
      </x:c>
      <x:c r="AB57" s="62" t="n">
        <x:f>AB104</x:f>
        <x:v>0</x:v>
      </x:c>
      <x:c r="AC57" s="62" t="n">
        <x:f>AC104</x:f>
        <x:v>148000</x:v>
      </x:c>
      <x:c r="AD57" s="62" t="n">
        <x:f>AD104</x:f>
        <x:v>0</x:v>
      </x:c>
      <x:c r="AE57" s="62" t="n">
        <x:f>AE104</x:f>
        <x:v>0</x:v>
      </x:c>
      <x:c r="AF57" s="65"/>
    </x:row>
    <x:row r="58" ht="28" customHeight="1">
      <x:c r="A58" s="62" t="str">
        <x:v>装备合成金币需求</x:v>
      </x:c>
      <x:c r="B58" s="62" t="n">
        <x:f>'每日计划'!B35*CHOOSE('每日计划'!B36,'装备品质'!$E$8,'装备品质'!$E$12,'装备品质'!$E$16,'装备品质'!$E$20,'装备品质'!$E$24,'装备品质'!$E$28)</x:f>
        <x:v>0</x:v>
      </x:c>
      <x:c r="C58" s="62" t="n">
        <x:f>'每日计划'!C35*CHOOSE('每日计划'!C36,'装备品质'!$E$8,'装备品质'!$E$12,'装备品质'!$E$16,'装备品质'!$E$20,'装备品质'!$E$24,'装备品质'!$E$28)</x:f>
        <x:v>0</x:v>
      </x:c>
      <x:c r="D58" s="62" t="n">
        <x:f>'每日计划'!D35*CHOOSE('每日计划'!D36,'装备品质'!$E$8,'装备品质'!$E$12,'装备品质'!$E$16,'装备品质'!$E$20,'装备品质'!$E$24,'装备品质'!$E$28)</x:f>
        <x:v>0</x:v>
      </x:c>
      <x:c r="E58" s="62" t="n">
        <x:f>'每日计划'!E35*CHOOSE('每日计划'!E36,'装备品质'!$E$8,'装备品质'!$E$12,'装备品质'!$E$16,'装备品质'!$E$20,'装备品质'!$E$24,'装备品质'!$E$28)</x:f>
        <x:v>0</x:v>
      </x:c>
      <x:c r="F58" s="62" t="n">
        <x:f>'每日计划'!F35*CHOOSE('每日计划'!F36,'装备品质'!$E$8,'装备品质'!$E$12,'装备品质'!$E$16,'装备品质'!$E$20,'装备品质'!$E$24,'装备品质'!$E$28)</x:f>
        <x:v>0</x:v>
      </x:c>
      <x:c r="G58" s="62" t="n">
        <x:f>'每日计划'!G35*CHOOSE('每日计划'!G36,'装备品质'!$E$8,'装备品质'!$E$12,'装备品质'!$E$16,'装备品质'!$E$20,'装备品质'!$E$24,'装备品质'!$E$28)</x:f>
        <x:v>0</x:v>
      </x:c>
      <x:c r="H58" s="62" t="n">
        <x:f>'每日计划'!H35*CHOOSE('每日计划'!H36,'装备品质'!$E$8,'装备品质'!$E$12,'装备品质'!$E$16,'装备品质'!$E$20,'装备品质'!$E$24,'装备品质'!$E$28)</x:f>
        <x:v>0</x:v>
      </x:c>
      <x:c r="I58" s="62" t="n">
        <x:f>'每日计划'!I35*CHOOSE('每日计划'!I36,'装备品质'!$E$8,'装备品质'!$E$12,'装备品质'!$E$16,'装备品质'!$E$20,'装备品质'!$E$24,'装备品质'!$E$28)</x:f>
        <x:v>0</x:v>
      </x:c>
      <x:c r="J58" s="62" t="n">
        <x:f>'每日计划'!J35*CHOOSE('每日计划'!J36,'装备品质'!$E$8,'装备品质'!$E$12,'装备品质'!$E$16,'装备品质'!$E$20,'装备品质'!$E$24,'装备品质'!$E$28)</x:f>
        <x:v>0</x:v>
      </x:c>
      <x:c r="K58" s="62" t="n">
        <x:f>'每日计划'!K35*CHOOSE('每日计划'!K36,'装备品质'!$E$8,'装备品质'!$E$12,'装备品质'!$E$16,'装备品质'!$E$20,'装备品质'!$E$24,'装备品质'!$E$28)</x:f>
        <x:v>0</x:v>
      </x:c>
      <x:c r="L58" s="62" t="n">
        <x:f>'每日计划'!L35*CHOOSE('每日计划'!L36,'装备品质'!$E$8,'装备品质'!$E$12,'装备品质'!$E$16,'装备品质'!$E$20,'装备品质'!$E$24,'装备品质'!$E$28)</x:f>
        <x:v>0</x:v>
      </x:c>
      <x:c r="M58" s="62" t="n">
        <x:f>'每日计划'!M35*CHOOSE('每日计划'!M36,'装备品质'!$E$8,'装备品质'!$E$12,'装备品质'!$E$16,'装备品质'!$E$20,'装备品质'!$E$24,'装备品质'!$E$28)</x:f>
        <x:v>0</x:v>
      </x:c>
      <x:c r="N58" s="62" t="n">
        <x:f>'每日计划'!N35*CHOOSE('每日计划'!N36,'装备品质'!$E$8,'装备品质'!$E$12,'装备品质'!$E$16,'装备品质'!$E$20,'装备品质'!$E$24,'装备品质'!$E$28)</x:f>
        <x:v>0</x:v>
      </x:c>
      <x:c r="O58" s="62" t="n">
        <x:f>'每日计划'!O35*CHOOSE('每日计划'!O36,'装备品质'!$E$8,'装备品质'!$E$12,'装备品质'!$E$16,'装备品质'!$E$20,'装备品质'!$E$24,'装备品质'!$E$28)</x:f>
        <x:v>0</x:v>
      </x:c>
      <x:c r="P58" s="62" t="n">
        <x:f>'每日计划'!P35*CHOOSE('每日计划'!P36,'装备品质'!$E$8,'装备品质'!$E$12,'装备品质'!$E$16,'装备品质'!$E$20,'装备品质'!$E$24,'装备品质'!$E$28)</x:f>
        <x:v>0</x:v>
      </x:c>
      <x:c r="Q58" s="62" t="n">
        <x:f>'每日计划'!Q35*CHOOSE('每日计划'!Q36,'装备品质'!$E$8,'装备品质'!$E$12,'装备品质'!$E$16,'装备品质'!$E$20,'装备品质'!$E$24,'装备品质'!$E$28)</x:f>
        <x:v>0</x:v>
      </x:c>
      <x:c r="R58" s="62" t="n">
        <x:f>'每日计划'!R35*CHOOSE('每日计划'!R36,'装备品质'!$E$8,'装备品质'!$E$12,'装备品质'!$E$16,'装备品质'!$E$20,'装备品质'!$E$24,'装备品质'!$E$28)</x:f>
        <x:v>0</x:v>
      </x:c>
      <x:c r="S58" s="62" t="n">
        <x:f>'每日计划'!S35*CHOOSE('每日计划'!S36,'装备品质'!$E$8,'装备品质'!$E$12,'装备品质'!$E$16,'装备品质'!$E$20,'装备品质'!$E$24,'装备品质'!$E$28)</x:f>
        <x:v>0</x:v>
      </x:c>
      <x:c r="T58" s="62" t="n">
        <x:f>'每日计划'!T35*CHOOSE('每日计划'!T36,'装备品质'!$E$8,'装备品质'!$E$12,'装备品质'!$E$16,'装备品质'!$E$20,'装备品质'!$E$24,'装备品质'!$E$28)</x:f>
        <x:v>0</x:v>
      </x:c>
      <x:c r="U58" s="62" t="n">
        <x:f>'每日计划'!U35*CHOOSE('每日计划'!U36,'装备品质'!$E$8,'装备品质'!$E$12,'装备品质'!$E$16,'装备品质'!$E$20,'装备品质'!$E$24,'装备品质'!$E$28)</x:f>
        <x:v>0</x:v>
      </x:c>
      <x:c r="V58" s="62" t="n">
        <x:f>'每日计划'!V35*CHOOSE('每日计划'!V36,'装备品质'!$E$8,'装备品质'!$E$12,'装备品质'!$E$16,'装备品质'!$E$20,'装备品质'!$E$24,'装备品质'!$E$28)</x:f>
        <x:v>0</x:v>
      </x:c>
      <x:c r="W58" s="62" t="n">
        <x:f>'每日计划'!W35*CHOOSE('每日计划'!W36,'装备品质'!$E$8,'装备品质'!$E$12,'装备品质'!$E$16,'装备品质'!$E$20,'装备品质'!$E$24,'装备品质'!$E$28)</x:f>
        <x:v>0</x:v>
      </x:c>
      <x:c r="X58" s="62" t="n">
        <x:f>'每日计划'!X35*CHOOSE('每日计划'!X36,'装备品质'!$E$8,'装备品质'!$E$12,'装备品质'!$E$16,'装备品质'!$E$20,'装备品质'!$E$24,'装备品质'!$E$28)</x:f>
        <x:v>0</x:v>
      </x:c>
      <x:c r="Y58" s="62" t="n">
        <x:f>'每日计划'!Y35*CHOOSE('每日计划'!Y36,'装备品质'!$E$8,'装备品质'!$E$12,'装备品质'!$E$16,'装备品质'!$E$20,'装备品质'!$E$24,'装备品质'!$E$28)</x:f>
        <x:v>0</x:v>
      </x:c>
      <x:c r="Z58" s="62" t="n">
        <x:f>'每日计划'!Z35*CHOOSE('每日计划'!Z36,'装备品质'!$E$8,'装备品质'!$E$12,'装备品质'!$E$16,'装备品质'!$E$20,'装备品质'!$E$24,'装备品质'!$E$28)</x:f>
        <x:v>0</x:v>
      </x:c>
      <x:c r="AA58" s="62" t="n">
        <x:f>'每日计划'!AA35*CHOOSE('每日计划'!AA36,'装备品质'!$E$8,'装备品质'!$E$12,'装备品质'!$E$16,'装备品质'!$E$20,'装备品质'!$E$24,'装备品质'!$E$28)</x:f>
        <x:v>0</x:v>
      </x:c>
      <x:c r="AB58" s="62" t="n">
        <x:f>'每日计划'!AB35*CHOOSE('每日计划'!AB36,'装备品质'!$E$8,'装备品质'!$E$12,'装备品质'!$E$16,'装备品质'!$E$20,'装备品质'!$E$24,'装备品质'!$E$28)</x:f>
        <x:v>0</x:v>
      </x:c>
      <x:c r="AC58" s="62" t="n">
        <x:f>'每日计划'!AC35*CHOOSE('每日计划'!AC36,'装备品质'!$E$8,'装备品质'!$E$12,'装备品质'!$E$16,'装备品质'!$E$20,'装备品质'!$E$24,'装备品质'!$E$28)</x:f>
        <x:v>0</x:v>
      </x:c>
      <x:c r="AD58" s="62" t="n">
        <x:f>'每日计划'!AD35*CHOOSE('每日计划'!AD36,'装备品质'!$E$8,'装备品质'!$E$12,'装备品质'!$E$16,'装备品质'!$E$20,'装备品质'!$E$24,'装备品质'!$E$28)</x:f>
        <x:v>0</x:v>
      </x:c>
      <x:c r="AE58" s="62" t="n">
        <x:f>'每日计划'!AE35*CHOOSE('每日计划'!AE36,'装备品质'!$E$8,'装备品质'!$E$12,'装备品质'!$E$16,'装备品质'!$E$20,'装备品质'!$E$24,'装备品质'!$E$28)</x:f>
        <x:v>0</x:v>
      </x:c>
      <x:c r="AF58" s="65"/>
    </x:row>
    <x:row r="59" ht="28" customHeight="1">
      <x:c r="A59" s="125" t="str">
        <x:v>金币总消耗</x:v>
      </x:c>
      <x:c r="B59" s="125" t="n">
        <x:f>SUM(B56:B58)</x:f>
        <x:v>3600</x:v>
      </x:c>
      <x:c r="C59" s="125" t="n">
        <x:f>SUM(C56:C58)</x:f>
        <x:v>12960</x:v>
      </x:c>
      <x:c r="D59" s="125" t="n">
        <x:f>SUM(D56:D58)</x:f>
        <x:v>18000</x:v>
      </x:c>
      <x:c r="E59" s="125" t="n">
        <x:f>SUM(E56:E58)</x:f>
        <x:v>38880</x:v>
      </x:c>
      <x:c r="F59" s="125" t="n">
        <x:f>SUM(F56:F58)</x:f>
        <x:v>40572</x:v>
      </x:c>
      <x:c r="G59" s="125" t="n">
        <x:f>SUM(G56:G58)</x:f>
        <x:v>63468</x:v>
      </x:c>
      <x:c r="H59" s="125" t="n">
        <x:f>SUM(H56:H58)</x:f>
        <x:v>73584</x:v>
      </x:c>
      <x:c r="I59" s="125" t="n">
        <x:f>SUM(I56:I58)</x:f>
        <x:v>108450</x:v>
      </x:c>
      <x:c r="J59" s="125" t="n">
        <x:f>SUM(J56:J58)</x:f>
        <x:v>47376</x:v>
      </x:c>
      <x:c r="K59" s="125" t="n">
        <x:f>SUM(K56:K58)</x:f>
        <x:v>77310</x:v>
      </x:c>
      <x:c r="L59" s="125" t="n">
        <x:f>SUM(L56:L58)</x:f>
        <x:v>53424</x:v>
      </x:c>
      <x:c r="M59" s="125" t="n">
        <x:f>SUM(M56:M58)</x:f>
        <x:v>106848</x:v>
      </x:c>
      <x:c r="N59" s="125" t="n">
        <x:f>SUM(N56:N58)</x:f>
        <x:v>59472</x:v>
      </x:c>
      <x:c r="O59" s="125" t="n">
        <x:f>SUM(O56:O58)</x:f>
        <x:v>62496</x:v>
      </x:c>
      <x:c r="P59" s="125" t="n">
        <x:f>SUM(P56:P58)</x:f>
        <x:v>229488</x:v>
      </x:c>
      <x:c r="Q59" s="125" t="n">
        <x:f>SUM(Q56:Q58)</x:f>
        <x:v>92016</x:v>
      </x:c>
      <x:c r="R59" s="125" t="n">
        <x:f>SUM(R56:R58)</x:f>
        <x:v>195696</x:v>
      </x:c>
      <x:c r="S59" s="125" t="n">
        <x:f>SUM(S56:S58)</x:f>
        <x:v>167520</x:v>
      </x:c>
      <x:c r="T59" s="125" t="n">
        <x:f>SUM(T56:T58)</x:f>
        <x:v>219024</x:v>
      </x:c>
      <x:c r="U59" s="125" t="n">
        <x:f>SUM(U56:U58)</x:f>
        <x:v>115344</x:v>
      </x:c>
      <x:c r="V59" s="125" t="n">
        <x:f>SUM(V56:V58)</x:f>
        <x:v>119232</x:v>
      </x:c>
      <x:c r="W59" s="125" t="n">
        <x:f>SUM(W56:W58)</x:f>
        <x:v>320688</x:v>
      </x:c>
      <x:c r="X59" s="125" t="n">
        <x:f>SUM(X56:X58)</x:f>
        <x:v>130896</x:v>
      </x:c>
      <x:c r="Y59" s="125" t="n">
        <x:f>SUM(Y56:Y58)</x:f>
        <x:v>134784</x:v>
      </x:c>
      <x:c r="Z59" s="125" t="n">
        <x:f>SUM(Z56:Z58)</x:f>
        <x:v>215952.00000000006</x:v>
      </x:c>
      <x:c r="AA59" s="125" t="n">
        <x:f>SUM(AA56:AA58)</x:f>
        <x:v>178200</x:v>
      </x:c>
      <x:c r="AB59" s="125" t="n">
        <x:f>SUM(AB56:AB58)</x:f>
        <x:v>183060</x:v>
      </x:c>
      <x:c r="AC59" s="125" t="n">
        <x:f>SUM(AC56:AC58)</x:f>
        <x:v>335920</x:v>
      </x:c>
      <x:c r="AD59" s="125" t="n">
        <x:f>SUM(AD56:AD58)</x:f>
        <x:v>192780</x:v>
      </x:c>
      <x:c r="AE59" s="125" t="n">
        <x:f>SUM(AE56:AE58)</x:f>
        <x:v>197640</x:v>
      </x:c>
      <x:c r="AF59" s="65"/>
    </x:row>
    <x:row r="60" ht="28" customHeight="1">
      <x:c r="A60" s="125" t="str">
        <x:v>金币期末/资金缺口</x:v>
      </x:c>
      <x:c r="B60" s="125" t="n">
        <x:f>B44+B55-B59</x:f>
        <x:v>16020.888732022693</x:v>
      </x:c>
      <x:c r="C60" s="125" t="n">
        <x:f>C44+C55-C59</x:f>
        <x:v>52524.29843427014</x:v>
      </x:c>
      <x:c r="D60" s="125" t="n">
        <x:f>D44+D55-D59</x:f>
        <x:v>95462.50813651757</x:v>
      </x:c>
      <x:c r="E60" s="125" t="n">
        <x:f>E44+E55-E59</x:f>
        <x:v>133501.91708228877</x:v>
      </x:c>
      <x:c r="F60" s="125" t="n">
        <x:f>F44+F55-F59</x:f>
        <x:v>179509.19674099484</x:v>
      </x:c>
      <x:c r="G60" s="125" t="n">
        <x:f>G44+G55-G59</x:f>
        <x:v>209876.4763997009</x:v>
      </x:c>
      <x:c r="H60" s="125" t="n">
        <x:f>H44+H55-H59</x:f>
        <x:v>242389.34233628004</x:v>
      </x:c>
      <x:c r="I60" s="125" t="n">
        <x:f>I44+I55-I59</x:f>
        <x:v>243162.6082728592</x:v>
      </x:c>
      <x:c r="J60" s="125" t="n">
        <x:f>J44+J55-J59</x:f>
        <x:v>319728.1408673088</x:v>
      </x:c>
      <x:c r="K60" s="125" t="n">
        <x:f>K44+K55-K59</x:f>
        <x:v>368473.3168320359</x:v>
      </x:c>
      <x:c r="L60" s="125" t="n">
        <x:f>L44+L55-L59</x:f>
        <x:v>441682.41616704053</x:v>
      </x:c>
      <x:c r="M60" s="125" t="n">
        <x:f>M44+M55-M59</x:f>
        <x:v>467285.01550204516</x:v>
      </x:c>
      <x:c r="N60" s="125" t="n">
        <x:f>N44+N55-N59</x:f>
        <x:v>536492.3545019132</x:v>
      </x:c>
      <x:c r="O60" s="125" t="n">
        <x:f>O44+O55-O59</x:f>
        <x:v>604336.4288547302</x:v>
      </x:c>
      <x:c r="P60" s="125" t="n">
        <x:f>P44+P55-P59</x:f>
        <x:v>510696.02320754726</x:v>
      </x:c>
      <x:c r="Q60" s="125" t="n">
        <x:f>Q44+Q55-Q59</x:f>
        <x:v>550167.8429133132</x:v>
      </x:c>
      <x:c r="R60" s="125" t="n">
        <x:f>R44+R55-R59</x:f>
        <x:v>491318.7626190791</x:v>
      </x:c>
      <x:c r="S60" s="125" t="n">
        <x:f>S44+S55-S59</x:f>
        <x:v>456233.027677794</x:v>
      </x:c>
      <x:c r="T60" s="125" t="n">
        <x:f>T44+T55-T59</x:f>
        <x:v>372284.89273650886</x:v>
      </x:c>
      <x:c r="U60" s="125" t="n">
        <x:f>U44+U55-U59</x:f>
        <x:v>381895.7331481727</x:v>
      </x:c>
      <x:c r="V60" s="125" t="n">
        <x:f>V44+V55-V59</x:f>
        <x:v>395706.7335598365</x:v>
      </x:c>
      <x:c r="W60" s="125" t="n">
        <x:f>W44+W55-W59</x:f>
        <x:v>208454.85397150042</x:v>
      </x:c>
      <x:c r="X60" s="125" t="n">
        <x:f>X44+X55-X59</x:f>
        <x:v>208557.74973611318</x:v>
      </x:c>
      <x:c r="Y60" s="125" t="n">
        <x:f>Y44+Y55-Y59</x:f>
        <x:v>206026.76550072595</x:v>
      </x:c>
      <x:c r="Z60" s="125" t="n">
        <x:f>Z44+Z55-Z59</x:f>
        <x:v>125950.4212653386</x:v>
      </x:c>
      <x:c r="AA60" s="125" t="n">
        <x:f>AA44+AA55-AA59</x:f>
        <x:v>74926.41238290031</x:v>
      </x:c>
      <x:c r="AB60" s="125" t="n">
        <x:f>AB44+AB55-AB59</x:f>
        <x:v>22183.263500461995</x:v>
      </x:c>
      <x:c r="AC60" s="125" t="n">
        <x:f>AC44+AC55-AC59</x:f>
        <x:v>-184313.57538197632</x:v>
      </x:c>
      <x:c r="AD60" s="125" t="n">
        <x:f>AD44+AD55-AD59</x:f>
        <x:v>-242291.58426441462</x:v>
      </x:c>
      <x:c r="AE60" s="125" t="n">
        <x:f>AE44+AE55-AE59</x:f>
        <x:v>-314713.437793904</x:v>
      </x:c>
      <x:c r="AF60" s="65" t="str">
        <x:v>负数为累计金币缺口；养成计划未因缺钱停止</x:v>
      </x:c>
    </x:row>
    <x:row r="61" ht="28" customHeight="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  <x:c r="AA61" s="62"/>
      <x:c r="AB61" s="62"/>
      <x:c r="AC61" s="62"/>
      <x:c r="AD61" s="62"/>
      <x:c r="AE61" s="62"/>
      <x:c r="AF61" s="65"/>
    </x:row>
    <x:row r="62" ht="28" customHeight="1">
      <x:c r="A62" s="125" t="str">
        <x:v>元宝期初</x:v>
      </x:c>
      <x:c r="B62" s="125" t="n">
        <x:f>'经济参数'!$E$17</x:f>
        <x:v>0</x:v>
      </x:c>
      <x:c r="C62" s="125" t="n">
        <x:f>B74</x:f>
        <x:v>1695.1500000000003</x:v>
      </x:c>
      <x:c r="D62" s="125" t="n">
        <x:f>C74</x:f>
        <x:v>3574.9000000000005</x:v>
      </x:c>
      <x:c r="E62" s="125" t="n">
        <x:f>D74</x:f>
        <x:v>5354.650000000001</x:v>
      </x:c>
      <x:c r="F62" s="125" t="n">
        <x:f>E74</x:f>
        <x:v>7234.400000000001</x:v>
      </x:c>
      <x:c r="G62" s="125" t="n">
        <x:f>F74</x:f>
        <x:v>8964.150000000001</x:v>
      </x:c>
      <x:c r="H62" s="125" t="n">
        <x:f>G74</x:f>
        <x:v>10843.900000000001</x:v>
      </x:c>
      <x:c r="I62" s="125" t="n">
        <x:f>H74</x:f>
        <x:v>12603.650000000001</x:v>
      </x:c>
      <x:c r="J62" s="125" t="n">
        <x:f>I74</x:f>
        <x:v>14463.400000000001</x:v>
      </x:c>
      <x:c r="K62" s="125" t="n">
        <x:f>J74</x:f>
        <x:v>16323.150000000001</x:v>
      </x:c>
      <x:c r="L62" s="125" t="n">
        <x:f>K74</x:f>
        <x:v>17820.600000000002</x:v>
      </x:c>
      <x:c r="M62" s="125" t="n">
        <x:f>L74</x:f>
        <x:v>19475.750000000004</x:v>
      </x:c>
      <x:c r="N62" s="125" t="n">
        <x:f>M74</x:f>
        <x:v>21130.900000000005</x:v>
      </x:c>
      <x:c r="O62" s="125" t="n">
        <x:f>N74</x:f>
        <x:v>22693.750000000007</x:v>
      </x:c>
      <x:c r="P62" s="125" t="n">
        <x:f>O74</x:f>
        <x:v>24064.300000000007</x:v>
      </x:c>
      <x:c r="Q62" s="125" t="n">
        <x:f>P74</x:f>
        <x:v>25534.850000000006</x:v>
      </x:c>
      <x:c r="R62" s="125" t="n">
        <x:f>Q74</x:f>
        <x:v>26563.100000000006</x:v>
      </x:c>
      <x:c r="S62" s="125" t="n">
        <x:f>R74</x:f>
        <x:v>27941.350000000006</x:v>
      </x:c>
      <x:c r="T62" s="125" t="n">
        <x:f>S74</x:f>
        <x:v>29227.300000000007</x:v>
      </x:c>
      <x:c r="U62" s="125" t="n">
        <x:f>T74</x:f>
        <x:v>30513.250000000007</x:v>
      </x:c>
      <x:c r="V62" s="125" t="n">
        <x:f>U74</x:f>
        <x:v>31706.90000000001</x:v>
      </x:c>
      <x:c r="W62" s="125" t="n">
        <x:f>V74</x:f>
        <x:v>32800.55000000001</x:v>
      </x:c>
      <x:c r="X62" s="125" t="n">
        <x:f>W74</x:f>
        <x:v>33994.20000000001</x:v>
      </x:c>
      <x:c r="Y62" s="125" t="n">
        <x:f>X74</x:f>
        <x:v>34645.55000000001</x:v>
      </x:c>
      <x:c r="Z62" s="125" t="n">
        <x:f>Y74</x:f>
        <x:v>35746.90000000001</x:v>
      </x:c>
      <x:c r="AA62" s="125" t="n">
        <x:f>Z74</x:f>
        <x:v>36848.25000000001</x:v>
      </x:c>
      <x:c r="AB62" s="125" t="n">
        <x:f>AA74</x:f>
        <x:v>37857.30000000001</x:v>
      </x:c>
      <x:c r="AC62" s="125" t="n">
        <x:f>AB74</x:f>
        <x:v>38866.35000000001</x:v>
      </x:c>
      <x:c r="AD62" s="125" t="n">
        <x:f>AC74</x:f>
        <x:v>39875.400000000016</x:v>
      </x:c>
      <x:c r="AE62" s="125" t="n">
        <x:f>AD74</x:f>
        <x:v>40884.45000000002</x:v>
      </x:c>
      <x:c r="AF62" s="65"/>
    </x:row>
    <x:row r="63" ht="28" customHeight="1">
      <x:c r="A63" s="62" t="str">
        <x:v>主线结算元宝</x:v>
      </x:c>
      <x:c r="B63" s="62" t="n">
        <x:f>(B22*B33+B23*ROUNDDOWN(B33*B29/B8*'经济参数'!$E$25,0))*B30</x:f>
        <x:v>0</x:v>
      </x:c>
      <x:c r="C63" s="62" t="n">
        <x:f>(C22*C33+C23*ROUNDDOWN(C33*C29/C8*'经济参数'!$E$25,0))*C30</x:f>
        <x:v>0</x:v>
      </x:c>
      <x:c r="D63" s="62" t="n">
        <x:f>(D22*D33+D23*ROUNDDOWN(D33*D29/D8*'经济参数'!$E$25,0))*D30</x:f>
        <x:v>0</x:v>
      </x:c>
      <x:c r="E63" s="62" t="n">
        <x:f>(E22*E33+E23*ROUNDDOWN(E33*E29/E8*'经济参数'!$E$25,0))*E30</x:f>
        <x:v>0</x:v>
      </x:c>
      <x:c r="F63" s="62" t="n">
        <x:f>(F22*F33+F23*ROUNDDOWN(F33*F29/F8*'经济参数'!$E$25,0))*F30</x:f>
        <x:v>0</x:v>
      </x:c>
      <x:c r="G63" s="62" t="n">
        <x:f>(G22*G33+G23*ROUNDDOWN(G33*G29/G8*'经济参数'!$E$25,0))*G30</x:f>
        <x:v>0</x:v>
      </x:c>
      <x:c r="H63" s="62" t="n">
        <x:f>(H22*H33+H23*ROUNDDOWN(H33*H29/H8*'经济参数'!$E$25,0))*H30</x:f>
        <x:v>0</x:v>
      </x:c>
      <x:c r="I63" s="62" t="n">
        <x:f>(I22*I33+I23*ROUNDDOWN(I33*I29/I8*'经济参数'!$E$25,0))*I30</x:f>
        <x:v>0</x:v>
      </x:c>
      <x:c r="J63" s="62" t="n">
        <x:f>(J22*J33+J23*ROUNDDOWN(J33*J29/J8*'经济参数'!$E$25,0))*J30</x:f>
        <x:v>0</x:v>
      </x:c>
      <x:c r="K63" s="62" t="n">
        <x:f>(K22*K33+K23*ROUNDDOWN(K33*K29/K8*'经济参数'!$E$25,0))*K30</x:f>
        <x:v>0</x:v>
      </x:c>
      <x:c r="L63" s="62" t="n">
        <x:f>(L22*L33+L23*ROUNDDOWN(L33*L29/L8*'经济参数'!$E$25,0))*L30</x:f>
        <x:v>0</x:v>
      </x:c>
      <x:c r="M63" s="62" t="n">
        <x:f>(M22*M33+M23*ROUNDDOWN(M33*M29/M8*'经济参数'!$E$25,0))*M30</x:f>
        <x:v>0</x:v>
      </x:c>
      <x:c r="N63" s="62" t="n">
        <x:f>(N22*N33+N23*ROUNDDOWN(N33*N29/N8*'经济参数'!$E$25,0))*N30</x:f>
        <x:v>0</x:v>
      </x:c>
      <x:c r="O63" s="62" t="n">
        <x:f>(O22*O33+O23*ROUNDDOWN(O33*O29/O8*'经济参数'!$E$25,0))*O30</x:f>
        <x:v>0</x:v>
      </x:c>
      <x:c r="P63" s="62" t="n">
        <x:f>(P22*P33+P23*ROUNDDOWN(P33*P29/P8*'经济参数'!$E$25,0))*P30</x:f>
        <x:v>0</x:v>
      </x:c>
      <x:c r="Q63" s="62" t="n">
        <x:f>(Q22*Q33+Q23*ROUNDDOWN(Q33*Q29/Q8*'经济参数'!$E$25,0))*Q30</x:f>
        <x:v>0</x:v>
      </x:c>
      <x:c r="R63" s="62" t="n">
        <x:f>(R22*R33+R23*ROUNDDOWN(R33*R29/R8*'经济参数'!$E$25,0))*R30</x:f>
        <x:v>0</x:v>
      </x:c>
      <x:c r="S63" s="62" t="n">
        <x:f>(S22*S33+S23*ROUNDDOWN(S33*S29/S8*'经济参数'!$E$25,0))*S30</x:f>
        <x:v>0</x:v>
      </x:c>
      <x:c r="T63" s="62" t="n">
        <x:f>(T22*T33+T23*ROUNDDOWN(T33*T29/T8*'经济参数'!$E$25,0))*T30</x:f>
        <x:v>0</x:v>
      </x:c>
      <x:c r="U63" s="62" t="n">
        <x:f>(U22*U33+U23*ROUNDDOWN(U33*U29/U8*'经济参数'!$E$25,0))*U30</x:f>
        <x:v>0</x:v>
      </x:c>
      <x:c r="V63" s="62" t="n">
        <x:f>(V22*V33+V23*ROUNDDOWN(V33*V29/V8*'经济参数'!$E$25,0))*V30</x:f>
        <x:v>0</x:v>
      </x:c>
      <x:c r="W63" s="62" t="n">
        <x:f>(W22*W33+W23*ROUNDDOWN(W33*W29/W8*'经济参数'!$E$25,0))*W30</x:f>
        <x:v>0</x:v>
      </x:c>
      <x:c r="X63" s="62" t="n">
        <x:f>(X22*X33+X23*ROUNDDOWN(X33*X29/X8*'经济参数'!$E$25,0))*X30</x:f>
        <x:v>0</x:v>
      </x:c>
      <x:c r="Y63" s="62" t="n">
        <x:f>(Y22*Y33+Y23*ROUNDDOWN(Y33*Y29/Y8*'经济参数'!$E$25,0))*Y30</x:f>
        <x:v>0</x:v>
      </x:c>
      <x:c r="Z63" s="62" t="n">
        <x:f>(Z22*Z33+Z23*ROUNDDOWN(Z33*Z29/Z8*'经济参数'!$E$25,0))*Z30</x:f>
        <x:v>0</x:v>
      </x:c>
      <x:c r="AA63" s="62" t="n">
        <x:f>(AA22*AA33+AA23*ROUNDDOWN(AA33*AA29/AA8*'经济参数'!$E$25,0))*AA30</x:f>
        <x:v>0</x:v>
      </x:c>
      <x:c r="AB63" s="62" t="n">
        <x:f>(AB22*AB33+AB23*ROUNDDOWN(AB33*AB29/AB8*'经济参数'!$E$25,0))*AB30</x:f>
        <x:v>0</x:v>
      </x:c>
      <x:c r="AC63" s="62" t="n">
        <x:f>(AC22*AC33+AC23*ROUNDDOWN(AC33*AC29/AC8*'经济参数'!$E$25,0))*AC30</x:f>
        <x:v>0</x:v>
      </x:c>
      <x:c r="AD63" s="62" t="n">
        <x:f>(AD22*AD33+AD23*ROUNDDOWN(AD33*AD29/AD8*'经济参数'!$E$25,0))*AD30</x:f>
        <x:v>0</x:v>
      </x:c>
      <x:c r="AE63" s="62" t="n">
        <x:f>(AE22*AE33+AE23*ROUNDDOWN(AE33*AE29/AE8*'经济参数'!$E$25,0))*AE30</x:f>
        <x:v>0</x:v>
      </x:c>
      <x:c r="AF63" s="65"/>
    </x:row>
    <x:row r="64" ht="28" customHeight="1">
      <x:c r="A64" s="62" t="str">
        <x:v>新关三档宝箱元宝</x:v>
      </x:c>
      <x:c r="B64" s="62" t="n">
        <x:f>B24*('经济参数'!$E$38+'每日计划'!B25*'经济参数'!$E$39+MIN('每日计划'!B25,'每日计划'!B26)*'经济参数'!$E$40)</x:f>
        <x:v>1661.4000000000003</x:v>
      </x:c>
      <x:c r="C64" s="62" t="n">
        <x:f>C24*('经济参数'!$E$38+'每日计划'!C25*'经济参数'!$E$39+MIN('每日计划'!C25,'每日计划'!C26)*'经济参数'!$E$40)</x:f>
        <x:v>1846</x:v>
      </x:c>
      <x:c r="D64" s="62" t="n">
        <x:f>D24*('经济参数'!$E$38+'每日计划'!D25*'经济参数'!$E$39+MIN('每日计划'!D25,'每日计划'!D26)*'经济参数'!$E$40)</x:f>
        <x:v>1846</x:v>
      </x:c>
      <x:c r="E64" s="62" t="n">
        <x:f>E24*('经济参数'!$E$38+'每日计划'!E25*'经济参数'!$E$39+MIN('每日计划'!E25,'每日计划'!E26)*'经济参数'!$E$40)</x:f>
        <x:v>1846</x:v>
      </x:c>
      <x:c r="F64" s="62" t="n">
        <x:f>F24*('经济参数'!$E$38+'每日计划'!F25*'经济参数'!$E$39+MIN('每日计划'!F25,'每日计划'!F26)*'经济参数'!$E$40)</x:f>
        <x:v>1846</x:v>
      </x:c>
      <x:c r="G64" s="62" t="n">
        <x:f>G24*('经济参数'!$E$38+'每日计划'!G25*'经济参数'!$E$39+MIN('每日计划'!G25,'每日计划'!G26)*'经济参数'!$E$40)</x:f>
        <x:v>1846</x:v>
      </x:c>
      <x:c r="H64" s="62" t="n">
        <x:f>H24*('经济参数'!$E$38+'每日计划'!H25*'经济参数'!$E$39+MIN('每日计划'!H25,'每日计划'!H26)*'经济参数'!$E$40)</x:f>
        <x:v>1846</x:v>
      </x:c>
      <x:c r="I64" s="62" t="n">
        <x:f>I24*('经济参数'!$E$38+'每日计划'!I25*'经济参数'!$E$39+MIN('每日计划'!I25,'每日计划'!I26)*'经济参数'!$E$40)</x:f>
        <x:v>1846</x:v>
      </x:c>
      <x:c r="J64" s="62" t="n">
        <x:f>J24*('经济参数'!$E$38+'每日计划'!J25*'经济参数'!$E$39+MIN('每日计划'!J25,'每日计划'!J26)*'经济参数'!$E$40)</x:f>
        <x:v>1846</x:v>
      </x:c>
      <x:c r="K64" s="62" t="n">
        <x:f>K24*('经济参数'!$E$38+'每日计划'!K25*'经济参数'!$E$39+MIN('每日计划'!K25,'每日计划'!K26)*'经济参数'!$E$40)</x:f>
        <x:v>1753.7</x:v>
      </x:c>
      <x:c r="L64" s="62" t="n">
        <x:f>L24*('经济参数'!$E$38+'每日计划'!L25*'经济参数'!$E$39+MIN('每日计划'!L25,'每日计划'!L26)*'经济参数'!$E$40)</x:f>
        <x:v>1661.4000000000003</x:v>
      </x:c>
      <x:c r="M64" s="62" t="n">
        <x:f>M24*('经济参数'!$E$38+'每日计划'!M25*'经济参数'!$E$39+MIN('每日计划'!M25,'每日计划'!M26)*'经济参数'!$E$40)</x:f>
        <x:v>1661.4000000000003</x:v>
      </x:c>
      <x:c r="N64" s="62" t="n">
        <x:f>N24*('经济参数'!$E$38+'每日计划'!N25*'经济参数'!$E$39+MIN('每日计划'!N25,'每日计划'!N26)*'经济参数'!$E$40)</x:f>
        <x:v>1569.1000000000004</x:v>
      </x:c>
      <x:c r="O64" s="62" t="n">
        <x:f>O24*('经济参数'!$E$38+'每日计划'!O25*'经济参数'!$E$39+MIN('每日计划'!O25,'每日计划'!O26)*'经济参数'!$E$40)</x:f>
        <x:v>1476.8</x:v>
      </x:c>
      <x:c r="P64" s="62" t="n">
        <x:f>P24*('经济参数'!$E$38+'每日计划'!P25*'经济参数'!$E$39+MIN('每日计划'!P25,'每日计划'!P26)*'经济参数'!$E$40)</x:f>
        <x:v>1476.8</x:v>
      </x:c>
      <x:c r="Q64" s="62" t="n">
        <x:f>Q24*('经济参数'!$E$38+'每日计划'!Q25*'经济参数'!$E$39+MIN('每日计划'!Q25,'每日计划'!Q26)*'经济参数'!$E$40)</x:f>
        <x:v>1384.5000000000002</x:v>
      </x:c>
      <x:c r="R64" s="62" t="n">
        <x:f>R24*('经济参数'!$E$38+'每日计划'!R25*'经济参数'!$E$39+MIN('每日计划'!R25,'每日计划'!R26)*'经济参数'!$E$40)</x:f>
        <x:v>1384.5000000000002</x:v>
      </x:c>
      <x:c r="S64" s="62" t="n">
        <x:f>S24*('经济参数'!$E$38+'每日计划'!S25*'经济参数'!$E$39+MIN('每日计划'!S25,'每日计划'!S26)*'经济参数'!$E$40)</x:f>
        <x:v>1292.2000000000003</x:v>
      </x:c>
      <x:c r="T64" s="62" t="n">
        <x:f>T24*('经济参数'!$E$38+'每日计划'!T25*'经济参数'!$E$39+MIN('每日计划'!T25,'每日计划'!T26)*'经济参数'!$E$40)</x:f>
        <x:v>1292.2000000000003</x:v>
      </x:c>
      <x:c r="U64" s="62" t="n">
        <x:f>U24*('经济参数'!$E$38+'每日计划'!U25*'经济参数'!$E$39+MIN('每日计划'!U25,'每日计划'!U26)*'经济参数'!$E$40)</x:f>
        <x:v>1199.9</x:v>
      </x:c>
      <x:c r="V64" s="62" t="n">
        <x:f>V24*('经济参数'!$E$38+'每日计划'!V25*'经济参数'!$E$39+MIN('每日计划'!V25,'每日计划'!V26)*'经济参数'!$E$40)</x:f>
        <x:v>1199.9</x:v>
      </x:c>
      <x:c r="W64" s="62" t="n">
        <x:f>W24*('经济参数'!$E$38+'每日计划'!W25*'经济参数'!$E$39+MIN('每日计划'!W25,'每日计划'!W26)*'经济参数'!$E$40)</x:f>
        <x:v>1199.9</x:v>
      </x:c>
      <x:c r="X64" s="62" t="n">
        <x:f>X24*('经济参数'!$E$38+'每日计划'!X25*'经济参数'!$E$39+MIN('每日计划'!X25,'每日计划'!X26)*'经济参数'!$E$40)</x:f>
        <x:v>1107.6000000000001</x:v>
      </x:c>
      <x:c r="Y64" s="62" t="n">
        <x:f>Y24*('经济参数'!$E$38+'每日计划'!Y25*'经济参数'!$E$39+MIN('每日计划'!Y25,'每日计划'!Y26)*'经济参数'!$E$40)</x:f>
        <x:v>1107.6000000000001</x:v>
      </x:c>
      <x:c r="Z64" s="62" t="n">
        <x:f>Z24*('经济参数'!$E$38+'每日计划'!Z25*'经济参数'!$E$39+MIN('每日计划'!Z25,'每日计划'!Z26)*'经济参数'!$E$40)</x:f>
        <x:v>1107.6000000000001</x:v>
      </x:c>
      <x:c r="AA64" s="62" t="n">
        <x:f>AA24*('经济参数'!$E$38+'每日计划'!AA25*'经济参数'!$E$39+MIN('每日计划'!AA25,'每日计划'!AA26)*'经济参数'!$E$40)</x:f>
        <x:v>1015.3000000000001</x:v>
      </x:c>
      <x:c r="AB64" s="62" t="n">
        <x:f>AB24*('经济参数'!$E$38+'每日计划'!AB25*'经济参数'!$E$39+MIN('每日计划'!AB25,'每日计划'!AB26)*'经济参数'!$E$40)</x:f>
        <x:v>1015.3000000000001</x:v>
      </x:c>
      <x:c r="AC64" s="62" t="n">
        <x:f>AC24*('经济参数'!$E$38+'每日计划'!AC25*'经济参数'!$E$39+MIN('每日计划'!AC25,'每日计划'!AC26)*'经济参数'!$E$40)</x:f>
        <x:v>1015.3000000000001</x:v>
      </x:c>
      <x:c r="AD64" s="62" t="n">
        <x:f>AD24*('经济参数'!$E$38+'每日计划'!AD25*'经济参数'!$E$39+MIN('每日计划'!AD25,'每日计划'!AD26)*'经济参数'!$E$40)</x:f>
        <x:v>1015.3000000000001</x:v>
      </x:c>
      <x:c r="AE64" s="62" t="n">
        <x:f>AE24*('经济参数'!$E$38+'每日计划'!AE25*'经济参数'!$E$39+MIN('每日计划'!AE25,'每日计划'!AE26)*'经济参数'!$E$40)</x:f>
        <x:v>923</x:v>
      </x:c>
      <x:c r="AF64" s="65"/>
    </x:row>
    <x:row r="65" ht="28" customHeight="1">
      <x:c r="A65" s="62" t="str">
        <x:v>每日任务元宝</x:v>
      </x:c>
      <x:c r="B65" s="62" t="n">
        <x:f>B31*(IF(B21&gt;0,'经济参数'!$E$31,0)+IF(B11&gt;0,'经济参数'!$E$33,0))</x:f>
        <x:v>30</x:v>
      </x:c>
      <x:c r="C65" s="62" t="n">
        <x:f>C31*(IF(C21&gt;0,'经济参数'!$E$31,0)+IF(C11&gt;0,'经济参数'!$E$33,0))</x:f>
        <x:v>30</x:v>
      </x:c>
      <x:c r="D65" s="62" t="n">
        <x:f>D31*(IF(D21&gt;0,'经济参数'!$E$31,0)+IF(D11&gt;0,'经济参数'!$E$33,0))</x:f>
        <x:v>30</x:v>
      </x:c>
      <x:c r="E65" s="62" t="n">
        <x:f>E31*(IF(E21&gt;0,'经济参数'!$E$31,0)+IF(E11&gt;0,'经济参数'!$E$33,0))</x:f>
        <x:v>30</x:v>
      </x:c>
      <x:c r="F65" s="62" t="n">
        <x:f>F31*(IF(F21&gt;0,'经济参数'!$E$31,0)+IF(F11&gt;0,'经济参数'!$E$33,0))</x:f>
        <x:v>30</x:v>
      </x:c>
      <x:c r="G65" s="62" t="n">
        <x:f>G31*(IF(G21&gt;0,'经济参数'!$E$31,0)+IF(G11&gt;0,'经济参数'!$E$33,0))</x:f>
        <x:v>30</x:v>
      </x:c>
      <x:c r="H65" s="62" t="n">
        <x:f>H31*(IF(H21&gt;0,'经济参数'!$E$31,0)+IF(H11&gt;0,'经济参数'!$E$33,0))</x:f>
        <x:v>30</x:v>
      </x:c>
      <x:c r="I65" s="62" t="n">
        <x:f>I31*(IF(I21&gt;0,'经济参数'!$E$31,0)+IF(I11&gt;0,'经济参数'!$E$33,0))</x:f>
        <x:v>30</x:v>
      </x:c>
      <x:c r="J65" s="62" t="n">
        <x:f>J31*(IF(J21&gt;0,'经济参数'!$E$31,0)+IF(J11&gt;0,'经济参数'!$E$33,0))</x:f>
        <x:v>30</x:v>
      </x:c>
      <x:c r="K65" s="62" t="n">
        <x:f>K31*(IF(K21&gt;0,'经济参数'!$E$31,0)+IF(K11&gt;0,'经济参数'!$E$33,0))</x:f>
        <x:v>30</x:v>
      </x:c>
      <x:c r="L65" s="62" t="n">
        <x:f>L31*(IF(L21&gt;0,'经济参数'!$E$31,0)+IF(L11&gt;0,'经济参数'!$E$33,0))</x:f>
        <x:v>30</x:v>
      </x:c>
      <x:c r="M65" s="62" t="n">
        <x:f>M31*(IF(M21&gt;0,'经济参数'!$E$31,0)+IF(M11&gt;0,'经济参数'!$E$33,0))</x:f>
        <x:v>30</x:v>
      </x:c>
      <x:c r="N65" s="62" t="n">
        <x:f>N31*(IF(N21&gt;0,'经济参数'!$E$31,0)+IF(N11&gt;0,'经济参数'!$E$33,0))</x:f>
        <x:v>30</x:v>
      </x:c>
      <x:c r="O65" s="62" t="n">
        <x:f>O31*(IF(O21&gt;0,'经济参数'!$E$31,0)+IF(O11&gt;0,'经济参数'!$E$33,0))</x:f>
        <x:v>30</x:v>
      </x:c>
      <x:c r="P65" s="62" t="n">
        <x:f>P31*(IF(P21&gt;0,'经济参数'!$E$31,0)+IF(P11&gt;0,'经济参数'!$E$33,0))</x:f>
        <x:v>30</x:v>
      </x:c>
      <x:c r="Q65" s="62" t="n">
        <x:f>Q31*(IF(Q21&gt;0,'经济参数'!$E$31,0)+IF(Q11&gt;0,'经济参数'!$E$33,0))</x:f>
        <x:v>30</x:v>
      </x:c>
      <x:c r="R65" s="62" t="n">
        <x:f>R31*(IF(R21&gt;0,'经济参数'!$E$31,0)+IF(R11&gt;0,'经济参数'!$E$33,0))</x:f>
        <x:v>30</x:v>
      </x:c>
      <x:c r="S65" s="62" t="n">
        <x:f>S31*(IF(S21&gt;0,'经济参数'!$E$31,0)+IF(S11&gt;0,'经济参数'!$E$33,0))</x:f>
        <x:v>30</x:v>
      </x:c>
      <x:c r="T65" s="62" t="n">
        <x:f>T31*(IF(T21&gt;0,'经济参数'!$E$31,0)+IF(T11&gt;0,'经济参数'!$E$33,0))</x:f>
        <x:v>30</x:v>
      </x:c>
      <x:c r="U65" s="62" t="n">
        <x:f>U31*(IF(U21&gt;0,'经济参数'!$E$31,0)+IF(U11&gt;0,'经济参数'!$E$33,0))</x:f>
        <x:v>30</x:v>
      </x:c>
      <x:c r="V65" s="62" t="n">
        <x:f>V31*(IF(V21&gt;0,'经济参数'!$E$31,0)+IF(V11&gt;0,'经济参数'!$E$33,0))</x:f>
        <x:v>30</x:v>
      </x:c>
      <x:c r="W65" s="62" t="n">
        <x:f>W31*(IF(W21&gt;0,'经济参数'!$E$31,0)+IF(W11&gt;0,'经济参数'!$E$33,0))</x:f>
        <x:v>30</x:v>
      </x:c>
      <x:c r="X65" s="62" t="n">
        <x:f>X31*(IF(X21&gt;0,'经济参数'!$E$31,0)+IF(X11&gt;0,'经济参数'!$E$33,0))</x:f>
        <x:v>30</x:v>
      </x:c>
      <x:c r="Y65" s="62" t="n">
        <x:f>Y31*(IF(Y21&gt;0,'经济参数'!$E$31,0)+IF(Y11&gt;0,'经济参数'!$E$33,0))</x:f>
        <x:v>30</x:v>
      </x:c>
      <x:c r="Z65" s="62" t="n">
        <x:f>Z31*(IF(Z21&gt;0,'经济参数'!$E$31,0)+IF(Z11&gt;0,'经济参数'!$E$33,0))</x:f>
        <x:v>30</x:v>
      </x:c>
      <x:c r="AA65" s="62" t="n">
        <x:f>AA31*(IF(AA21&gt;0,'经济参数'!$E$31,0)+IF(AA11&gt;0,'经济参数'!$E$33,0))</x:f>
        <x:v>30</x:v>
      </x:c>
      <x:c r="AB65" s="62" t="n">
        <x:f>AB31*(IF(AB21&gt;0,'经济参数'!$E$31,0)+IF(AB11&gt;0,'经济参数'!$E$33,0))</x:f>
        <x:v>30</x:v>
      </x:c>
      <x:c r="AC65" s="62" t="n">
        <x:f>AC31*(IF(AC21&gt;0,'经济参数'!$E$31,0)+IF(AC11&gt;0,'经济参数'!$E$33,0))</x:f>
        <x:v>30</x:v>
      </x:c>
      <x:c r="AD65" s="62" t="n">
        <x:f>AD31*(IF(AD21&gt;0,'经济参数'!$E$31,0)+IF(AD11&gt;0,'经济参数'!$E$33,0))</x:f>
        <x:v>30</x:v>
      </x:c>
      <x:c r="AE65" s="62" t="n">
        <x:f>AE31*(IF(AE21&gt;0,'经济参数'!$E$31,0)+IF(AE11&gt;0,'经济参数'!$E$33,0))</x:f>
        <x:v>30</x:v>
      </x:c>
      <x:c r="AF65" s="65"/>
    </x:row>
    <x:row r="66" ht="28" customHeight="1">
      <x:c r="A66" s="62" t="str">
        <x:v>商店广告元宝</x:v>
      </x:c>
      <x:c r="B66" s="62" t="n">
        <x:f>MIN('每日计划'!B22,'经济参数'!$E$37)*'经济参数'!$E$36</x:f>
        <x:v>30</x:v>
      </x:c>
      <x:c r="C66" s="62" t="n">
        <x:f>MIN('每日计划'!C22,'经济参数'!$E$37)*'经济参数'!$E$36</x:f>
        <x:v>30</x:v>
      </x:c>
      <x:c r="D66" s="62" t="n">
        <x:f>MIN('每日计划'!D22,'经济参数'!$E$37)*'经济参数'!$E$36</x:f>
        <x:v>30</x:v>
      </x:c>
      <x:c r="E66" s="62" t="n">
        <x:f>MIN('每日计划'!E22,'经济参数'!$E$37)*'经济参数'!$E$36</x:f>
        <x:v>30</x:v>
      </x:c>
      <x:c r="F66" s="62" t="n">
        <x:f>MIN('每日计划'!F22,'经济参数'!$E$37)*'经济参数'!$E$36</x:f>
        <x:v>30</x:v>
      </x:c>
      <x:c r="G66" s="62" t="n">
        <x:f>MIN('每日计划'!G22,'经济参数'!$E$37)*'经济参数'!$E$36</x:f>
        <x:v>30</x:v>
      </x:c>
      <x:c r="H66" s="62" t="n">
        <x:f>MIN('每日计划'!H22,'经济参数'!$E$37)*'经济参数'!$E$36</x:f>
        <x:v>30</x:v>
      </x:c>
      <x:c r="I66" s="62" t="n">
        <x:f>MIN('每日计划'!I22,'经济参数'!$E$37)*'经济参数'!$E$36</x:f>
        <x:v>30</x:v>
      </x:c>
      <x:c r="J66" s="62" t="n">
        <x:f>MIN('每日计划'!J22,'经济参数'!$E$37)*'经济参数'!$E$36</x:f>
        <x:v>30</x:v>
      </x:c>
      <x:c r="K66" s="62" t="n">
        <x:f>MIN('每日计划'!K22,'经济参数'!$E$37)*'经济参数'!$E$36</x:f>
        <x:v>30</x:v>
      </x:c>
      <x:c r="L66" s="62" t="n">
        <x:f>MIN('每日计划'!L22,'经济参数'!$E$37)*'经济参数'!$E$36</x:f>
        <x:v>30</x:v>
      </x:c>
      <x:c r="M66" s="62" t="n">
        <x:f>MIN('每日计划'!M22,'经济参数'!$E$37)*'经济参数'!$E$36</x:f>
        <x:v>30</x:v>
      </x:c>
      <x:c r="N66" s="62" t="n">
        <x:f>MIN('每日计划'!N22,'经济参数'!$E$37)*'经济参数'!$E$36</x:f>
        <x:v>30</x:v>
      </x:c>
      <x:c r="O66" s="62" t="n">
        <x:f>MIN('每日计划'!O22,'经济参数'!$E$37)*'经济参数'!$E$36</x:f>
        <x:v>30</x:v>
      </x:c>
      <x:c r="P66" s="62" t="n">
        <x:f>MIN('每日计划'!P22,'经济参数'!$E$37)*'经济参数'!$E$36</x:f>
        <x:v>30</x:v>
      </x:c>
      <x:c r="Q66" s="62" t="n">
        <x:f>MIN('每日计划'!Q22,'经济参数'!$E$37)*'经济参数'!$E$36</x:f>
        <x:v>30</x:v>
      </x:c>
      <x:c r="R66" s="62" t="n">
        <x:f>MIN('每日计划'!R22,'经济参数'!$E$37)*'经济参数'!$E$36</x:f>
        <x:v>30</x:v>
      </x:c>
      <x:c r="S66" s="62" t="n">
        <x:f>MIN('每日计划'!S22,'经济参数'!$E$37)*'经济参数'!$E$36</x:f>
        <x:v>30</x:v>
      </x:c>
      <x:c r="T66" s="62" t="n">
        <x:f>MIN('每日计划'!T22,'经济参数'!$E$37)*'经济参数'!$E$36</x:f>
        <x:v>30</x:v>
      </x:c>
      <x:c r="U66" s="62" t="n">
        <x:f>MIN('每日计划'!U22,'经济参数'!$E$37)*'经济参数'!$E$36</x:f>
        <x:v>30</x:v>
      </x:c>
      <x:c r="V66" s="62" t="n">
        <x:f>MIN('每日计划'!V22,'经济参数'!$E$37)*'经济参数'!$E$36</x:f>
        <x:v>30</x:v>
      </x:c>
      <x:c r="W66" s="62" t="n">
        <x:f>MIN('每日计划'!W22,'经济参数'!$E$37)*'经济参数'!$E$36</x:f>
        <x:v>30</x:v>
      </x:c>
      <x:c r="X66" s="62" t="n">
        <x:f>MIN('每日计划'!X22,'经济参数'!$E$37)*'经济参数'!$E$36</x:f>
        <x:v>30</x:v>
      </x:c>
      <x:c r="Y66" s="62" t="n">
        <x:f>MIN('每日计划'!Y22,'经济参数'!$E$37)*'经济参数'!$E$36</x:f>
        <x:v>30</x:v>
      </x:c>
      <x:c r="Z66" s="62" t="n">
        <x:f>MIN('每日计划'!Z22,'经济参数'!$E$37)*'经济参数'!$E$36</x:f>
        <x:v>30</x:v>
      </x:c>
      <x:c r="AA66" s="62" t="n">
        <x:f>MIN('每日计划'!AA22,'经济参数'!$E$37)*'经济参数'!$E$36</x:f>
        <x:v>30</x:v>
      </x:c>
      <x:c r="AB66" s="62" t="n">
        <x:f>MIN('每日计划'!AB22,'经济参数'!$E$37)*'经济参数'!$E$36</x:f>
        <x:v>30</x:v>
      </x:c>
      <x:c r="AC66" s="62" t="n">
        <x:f>MIN('每日计划'!AC22,'经济参数'!$E$37)*'经济参数'!$E$36</x:f>
        <x:v>30</x:v>
      </x:c>
      <x:c r="AD66" s="62" t="n">
        <x:f>MIN('每日计划'!AD22,'经济参数'!$E$37)*'经济参数'!$E$36</x:f>
        <x:v>30</x:v>
      </x:c>
      <x:c r="AE66" s="62" t="n">
        <x:f>MIN('每日计划'!AE22,'经济参数'!$E$37)*'经济参数'!$E$36</x:f>
        <x:v>30</x:v>
      </x:c>
      <x:c r="AF66" s="65"/>
    </x:row>
    <x:row r="67" ht="28" customHeight="1">
      <x:c r="A67" s="62" t="str">
        <x:v>军报结算元宝</x:v>
      </x:c>
      <x:c r="B67" s="62" t="n">
        <x:f>B11*('每日计划'!B16*('经济参数'!$E$68+'经济参数'!$E$69)/2+(1-'每日计划'!B16)*'经济参数'!$E$68)</x:f>
        <x:v>23.75</x:v>
      </x:c>
      <x:c r="C67" s="62" t="n">
        <x:f>C11*('每日计划'!C16*('经济参数'!$E$68+'经济参数'!$E$69)/2+(1-'每日计划'!C16)*'经济参数'!$E$68)</x:f>
        <x:v>23.75</x:v>
      </x:c>
      <x:c r="D67" s="62" t="n">
        <x:f>D11*('每日计划'!D16*('经济参数'!$E$68+'经济参数'!$E$69)/2+(1-'每日计划'!D16)*'经济参数'!$E$68)</x:f>
        <x:v>23.75</x:v>
      </x:c>
      <x:c r="E67" s="62" t="n">
        <x:f>E11*('每日计划'!E16*('经济参数'!$E$68+'经济参数'!$E$69)/2+(1-'每日计划'!E16)*'经济参数'!$E$68)</x:f>
        <x:v>23.75</x:v>
      </x:c>
      <x:c r="F67" s="62" t="n">
        <x:f>F11*('每日计划'!F16*('经济参数'!$E$68+'经济参数'!$E$69)/2+(1-'每日计划'!F16)*'经济参数'!$E$68)</x:f>
        <x:v>23.75</x:v>
      </x:c>
      <x:c r="G67" s="62" t="n">
        <x:f>G11*('每日计划'!G16*('经济参数'!$E$68+'经济参数'!$E$69)/2+(1-'每日计划'!G16)*'经济参数'!$E$68)</x:f>
        <x:v>23.75</x:v>
      </x:c>
      <x:c r="H67" s="62" t="n">
        <x:f>H11*('每日计划'!H16*('经济参数'!$E$68+'经济参数'!$E$69)/2+(1-'每日计划'!H16)*'经济参数'!$E$68)</x:f>
        <x:v>23.75</x:v>
      </x:c>
      <x:c r="I67" s="62" t="n">
        <x:f>I11*('每日计划'!I16*('经济参数'!$E$68+'经济参数'!$E$69)/2+(1-'每日计划'!I16)*'经济参数'!$E$68)</x:f>
        <x:v>23.75</x:v>
      </x:c>
      <x:c r="J67" s="62" t="n">
        <x:f>J11*('每日计划'!J16*('经济参数'!$E$68+'经济参数'!$E$69)/2+(1-'每日计划'!J16)*'经济参数'!$E$68)</x:f>
        <x:v>23.75</x:v>
      </x:c>
      <x:c r="K67" s="62" t="n">
        <x:f>K11*('每日计划'!K16*('经济参数'!$E$68+'经济参数'!$E$69)/2+(1-'每日计划'!K16)*'经济参数'!$E$68)</x:f>
        <x:v>23.75</x:v>
      </x:c>
      <x:c r="L67" s="62" t="n">
        <x:f>L11*('每日计划'!L16*('经济参数'!$E$68+'经济参数'!$E$69)/2+(1-'每日计划'!L16)*'经济参数'!$E$68)</x:f>
        <x:v>23.75</x:v>
      </x:c>
      <x:c r="M67" s="62" t="n">
        <x:f>M11*('每日计划'!M16*('经济参数'!$E$68+'经济参数'!$E$69)/2+(1-'每日计划'!M16)*'经济参数'!$E$68)</x:f>
        <x:v>23.75</x:v>
      </x:c>
      <x:c r="N67" s="62" t="n">
        <x:f>N11*('每日计划'!N16*('经济参数'!$E$68+'经济参数'!$E$69)/2+(1-'每日计划'!N16)*'经济参数'!$E$68)</x:f>
        <x:v>23.75</x:v>
      </x:c>
      <x:c r="O67" s="62" t="n">
        <x:f>O11*('每日计划'!O16*('经济参数'!$E$68+'经济参数'!$E$69)/2+(1-'每日计划'!O16)*'经济参数'!$E$68)</x:f>
        <x:v>23.75</x:v>
      </x:c>
      <x:c r="P67" s="62" t="n">
        <x:f>P11*('每日计划'!P16*('经济参数'!$E$68+'经济参数'!$E$69)/2+(1-'每日计划'!P16)*'经济参数'!$E$68)</x:f>
        <x:v>23.75</x:v>
      </x:c>
      <x:c r="Q67" s="62" t="n">
        <x:f>Q11*('每日计划'!Q16*('经济参数'!$E$68+'经济参数'!$E$69)/2+(1-'每日计划'!Q16)*'经济参数'!$E$68)</x:f>
        <x:v>23.75</x:v>
      </x:c>
      <x:c r="R67" s="62" t="n">
        <x:f>R11*('每日计划'!R16*('经济参数'!$E$68+'经济参数'!$E$69)/2+(1-'每日计划'!R16)*'经济参数'!$E$68)</x:f>
        <x:v>23.75</x:v>
      </x:c>
      <x:c r="S67" s="62" t="n">
        <x:f>S11*('每日计划'!S16*('经济参数'!$E$68+'经济参数'!$E$69)/2+(1-'每日计划'!S16)*'经济参数'!$E$68)</x:f>
        <x:v>23.75</x:v>
      </x:c>
      <x:c r="T67" s="62" t="n">
        <x:f>T11*('每日计划'!T16*('经济参数'!$E$68+'经济参数'!$E$69)/2+(1-'每日计划'!T16)*'经济参数'!$E$68)</x:f>
        <x:v>23.75</x:v>
      </x:c>
      <x:c r="U67" s="62" t="n">
        <x:f>U11*('每日计划'!U16*('经济参数'!$E$68+'经济参数'!$E$69)/2+(1-'每日计划'!U16)*'经济参数'!$E$68)</x:f>
        <x:v>23.75</x:v>
      </x:c>
      <x:c r="V67" s="62" t="n">
        <x:f>V11*('每日计划'!V16*('经济参数'!$E$68+'经济参数'!$E$69)/2+(1-'每日计划'!V16)*'经济参数'!$E$68)</x:f>
        <x:v>23.75</x:v>
      </x:c>
      <x:c r="W67" s="62" t="n">
        <x:f>W11*('每日计划'!W16*('经济参数'!$E$68+'经济参数'!$E$69)/2+(1-'每日计划'!W16)*'经济参数'!$E$68)</x:f>
        <x:v>23.75</x:v>
      </x:c>
      <x:c r="X67" s="62" t="n">
        <x:f>X11*('每日计划'!X16*('经济参数'!$E$68+'经济参数'!$E$69)/2+(1-'每日计划'!X16)*'经济参数'!$E$68)</x:f>
        <x:v>23.75</x:v>
      </x:c>
      <x:c r="Y67" s="62" t="n">
        <x:f>Y11*('每日计划'!Y16*('经济参数'!$E$68+'经济参数'!$E$69)/2+(1-'每日计划'!Y16)*'经济参数'!$E$68)</x:f>
        <x:v>23.75</x:v>
      </x:c>
      <x:c r="Z67" s="62" t="n">
        <x:f>Z11*('每日计划'!Z16*('经济参数'!$E$68+'经济参数'!$E$69)/2+(1-'每日计划'!Z16)*'经济参数'!$E$68)</x:f>
        <x:v>23.75</x:v>
      </x:c>
      <x:c r="AA67" s="62" t="n">
        <x:f>AA11*('每日计划'!AA16*('经济参数'!$E$68+'经济参数'!$E$69)/2+(1-'每日计划'!AA16)*'经济参数'!$E$68)</x:f>
        <x:v>23.75</x:v>
      </x:c>
      <x:c r="AB67" s="62" t="n">
        <x:f>AB11*('每日计划'!AB16*('经济参数'!$E$68+'经济参数'!$E$69)/2+(1-'每日计划'!AB16)*'经济参数'!$E$68)</x:f>
        <x:v>23.75</x:v>
      </x:c>
      <x:c r="AC67" s="62" t="n">
        <x:f>AC11*('每日计划'!AC16*('经济参数'!$E$68+'经济参数'!$E$69)/2+(1-'每日计划'!AC16)*'经济参数'!$E$68)</x:f>
        <x:v>23.75</x:v>
      </x:c>
      <x:c r="AD67" s="62" t="n">
        <x:f>AD11*('每日计划'!AD16*('经济参数'!$E$68+'经济参数'!$E$69)/2+(1-'每日计划'!AD16)*'经济参数'!$E$68)</x:f>
        <x:v>23.75</x:v>
      </x:c>
      <x:c r="AE67" s="62" t="n">
        <x:f>AE11*('每日计划'!AE16*('经济参数'!$E$68+'经济参数'!$E$69)/2+(1-'每日计划'!AE16)*'经济参数'!$E$68)</x:f>
        <x:v>23.75</x:v>
      </x:c>
      <x:c r="AF67" s="65"/>
    </x:row>
    <x:row r="68" ht="28" customHeight="1">
      <x:c r="A68" s="125" t="str">
        <x:v>元宝总产出</x:v>
      </x:c>
      <x:c r="B68" s="125" t="n">
        <x:f>SUM(B63:B67)</x:f>
        <x:v>1745.1500000000003</x:v>
      </x:c>
      <x:c r="C68" s="125" t="n">
        <x:f>SUM(C63:C67)</x:f>
        <x:v>1929.75</x:v>
      </x:c>
      <x:c r="D68" s="125" t="n">
        <x:f>SUM(D63:D67)</x:f>
        <x:v>1929.75</x:v>
      </x:c>
      <x:c r="E68" s="125" t="n">
        <x:f>SUM(E63:E67)</x:f>
        <x:v>1929.75</x:v>
      </x:c>
      <x:c r="F68" s="125" t="n">
        <x:f>SUM(F63:F67)</x:f>
        <x:v>1929.75</x:v>
      </x:c>
      <x:c r="G68" s="125" t="n">
        <x:f>SUM(G63:G67)</x:f>
        <x:v>1929.75</x:v>
      </x:c>
      <x:c r="H68" s="125" t="n">
        <x:f>SUM(H63:H67)</x:f>
        <x:v>1929.75</x:v>
      </x:c>
      <x:c r="I68" s="125" t="n">
        <x:f>SUM(I63:I67)</x:f>
        <x:v>1929.75</x:v>
      </x:c>
      <x:c r="J68" s="125" t="n">
        <x:f>SUM(J63:J67)</x:f>
        <x:v>1929.75</x:v>
      </x:c>
      <x:c r="K68" s="125" t="n">
        <x:f>SUM(K63:K67)</x:f>
        <x:v>1837.45</x:v>
      </x:c>
      <x:c r="L68" s="125" t="n">
        <x:f>SUM(L63:L67)</x:f>
        <x:v>1745.1500000000003</x:v>
      </x:c>
      <x:c r="M68" s="125" t="n">
        <x:f>SUM(M63:M67)</x:f>
        <x:v>1745.1500000000003</x:v>
      </x:c>
      <x:c r="N68" s="125" t="n">
        <x:f>SUM(N63:N67)</x:f>
        <x:v>1652.8500000000004</x:v>
      </x:c>
      <x:c r="O68" s="125" t="n">
        <x:f>SUM(O63:O67)</x:f>
        <x:v>1560.55</x:v>
      </x:c>
      <x:c r="P68" s="125" t="n">
        <x:f>SUM(P63:P67)</x:f>
        <x:v>1560.55</x:v>
      </x:c>
      <x:c r="Q68" s="125" t="n">
        <x:f>SUM(Q63:Q67)</x:f>
        <x:v>1468.2500000000002</x:v>
      </x:c>
      <x:c r="R68" s="125" t="n">
        <x:f>SUM(R63:R67)</x:f>
        <x:v>1468.2500000000002</x:v>
      </x:c>
      <x:c r="S68" s="125" t="n">
        <x:f>SUM(S63:S67)</x:f>
        <x:v>1375.9500000000003</x:v>
      </x:c>
      <x:c r="T68" s="125" t="n">
        <x:f>SUM(T63:T67)</x:f>
        <x:v>1375.9500000000003</x:v>
      </x:c>
      <x:c r="U68" s="125" t="n">
        <x:f>SUM(U63:U67)</x:f>
        <x:v>1283.65</x:v>
      </x:c>
      <x:c r="V68" s="125" t="n">
        <x:f>SUM(V63:V67)</x:f>
        <x:v>1283.65</x:v>
      </x:c>
      <x:c r="W68" s="125" t="n">
        <x:f>SUM(W63:W67)</x:f>
        <x:v>1283.65</x:v>
      </x:c>
      <x:c r="X68" s="125" t="n">
        <x:f>SUM(X63:X67)</x:f>
        <x:v>1191.3500000000001</x:v>
      </x:c>
      <x:c r="Y68" s="125" t="n">
        <x:f>SUM(Y63:Y67)</x:f>
        <x:v>1191.3500000000001</x:v>
      </x:c>
      <x:c r="Z68" s="125" t="n">
        <x:f>SUM(Z63:Z67)</x:f>
        <x:v>1191.3500000000001</x:v>
      </x:c>
      <x:c r="AA68" s="125" t="n">
        <x:f>SUM(AA63:AA67)</x:f>
        <x:v>1099.0500000000002</x:v>
      </x:c>
      <x:c r="AB68" s="125" t="n">
        <x:f>SUM(AB63:AB67)</x:f>
        <x:v>1099.0500000000002</x:v>
      </x:c>
      <x:c r="AC68" s="125" t="n">
        <x:f>SUM(AC63:AC67)</x:f>
        <x:v>1099.0500000000002</x:v>
      </x:c>
      <x:c r="AD68" s="125" t="n">
        <x:f>SUM(AD63:AD67)</x:f>
        <x:v>1099.0500000000002</x:v>
      </x:c>
      <x:c r="AE68" s="125" t="n">
        <x:f>SUM(AE63:AE67)</x:f>
        <x:v>1006.75</x:v>
      </x:c>
      <x:c r="AF68" s="65"/>
    </x:row>
    <x:row r="69" ht="28" customHeight="1">
      <x:c r="A69" s="62" t="str">
        <x:v>体力购买元宝消耗</x:v>
      </x:c>
      <x:c r="B69" s="62" t="n">
        <x:f>MIN('每日计划'!B20,'经济参数'!$E$14)*'经济参数'!$E$13</x:f>
        <x:v>50</x:v>
      </x:c>
      <x:c r="C69" s="62" t="n">
        <x:f>MIN('每日计划'!C20,'经济参数'!$E$14)*'经济参数'!$E$13</x:f>
        <x:v>50</x:v>
      </x:c>
      <x:c r="D69" s="62" t="n">
        <x:f>MIN('每日计划'!D20,'经济参数'!$E$14)*'经济参数'!$E$13</x:f>
        <x:v>50</x:v>
      </x:c>
      <x:c r="E69" s="62" t="n">
        <x:f>MIN('每日计划'!E20,'经济参数'!$E$14)*'经济参数'!$E$13</x:f>
        <x:v>50</x:v>
      </x:c>
      <x:c r="F69" s="62" t="n">
        <x:f>MIN('每日计划'!F20,'经济参数'!$E$14)*'经济参数'!$E$13</x:f>
        <x:v>50</x:v>
      </x:c>
      <x:c r="G69" s="62" t="n">
        <x:f>MIN('每日计划'!G20,'经济参数'!$E$14)*'经济参数'!$E$13</x:f>
        <x:v>50</x:v>
      </x:c>
      <x:c r="H69" s="62" t="n">
        <x:f>MIN('每日计划'!H20,'经济参数'!$E$14)*'经济参数'!$E$13</x:f>
        <x:v>50</x:v>
      </x:c>
      <x:c r="I69" s="62" t="n">
        <x:f>MIN('每日计划'!I20,'经济参数'!$E$14)*'经济参数'!$E$13</x:f>
        <x:v>50</x:v>
      </x:c>
      <x:c r="J69" s="62" t="n">
        <x:f>MIN('每日计划'!J20,'经济参数'!$E$14)*'经济参数'!$E$13</x:f>
        <x:v>50</x:v>
      </x:c>
      <x:c r="K69" s="62" t="n">
        <x:f>MIN('每日计划'!K20,'经济参数'!$E$14)*'经济参数'!$E$13</x:f>
        <x:v>50</x:v>
      </x:c>
      <x:c r="L69" s="62" t="n">
        <x:f>MIN('每日计划'!L20,'经济参数'!$E$14)*'经济参数'!$E$13</x:f>
        <x:v>50</x:v>
      </x:c>
      <x:c r="M69" s="62" t="n">
        <x:f>MIN('每日计划'!M20,'经济参数'!$E$14)*'经济参数'!$E$13</x:f>
        <x:v>50</x:v>
      </x:c>
      <x:c r="N69" s="62" t="n">
        <x:f>MIN('每日计划'!N20,'经济参数'!$E$14)*'经济参数'!$E$13</x:f>
        <x:v>50</x:v>
      </x:c>
      <x:c r="O69" s="62" t="n">
        <x:f>MIN('每日计划'!O20,'经济参数'!$E$14)*'经济参数'!$E$13</x:f>
        <x:v>50</x:v>
      </x:c>
      <x:c r="P69" s="62" t="n">
        <x:f>MIN('每日计划'!P20,'经济参数'!$E$14)*'经济参数'!$E$13</x:f>
        <x:v>50</x:v>
      </x:c>
      <x:c r="Q69" s="62" t="n">
        <x:f>MIN('每日计划'!Q20,'经济参数'!$E$14)*'经济参数'!$E$13</x:f>
        <x:v>50</x:v>
      </x:c>
      <x:c r="R69" s="62" t="n">
        <x:f>MIN('每日计划'!R20,'经济参数'!$E$14)*'经济参数'!$E$13</x:f>
        <x:v>50</x:v>
      </x:c>
      <x:c r="S69" s="62" t="n">
        <x:f>MIN('每日计划'!S20,'经济参数'!$E$14)*'经济参数'!$E$13</x:f>
        <x:v>50</x:v>
      </x:c>
      <x:c r="T69" s="62" t="n">
        <x:f>MIN('每日计划'!T20,'经济参数'!$E$14)*'经济参数'!$E$13</x:f>
        <x:v>50</x:v>
      </x:c>
      <x:c r="U69" s="62" t="n">
        <x:f>MIN('每日计划'!U20,'经济参数'!$E$14)*'经济参数'!$E$13</x:f>
        <x:v>50</x:v>
      </x:c>
      <x:c r="V69" s="62" t="n">
        <x:f>MIN('每日计划'!V20,'经济参数'!$E$14)*'经济参数'!$E$13</x:f>
        <x:v>50</x:v>
      </x:c>
      <x:c r="W69" s="62" t="n">
        <x:f>MIN('每日计划'!W20,'经济参数'!$E$14)*'经济参数'!$E$13</x:f>
        <x:v>50</x:v>
      </x:c>
      <x:c r="X69" s="62" t="n">
        <x:f>MIN('每日计划'!X20,'经济参数'!$E$14)*'经济参数'!$E$13</x:f>
        <x:v>50</x:v>
      </x:c>
      <x:c r="Y69" s="62" t="n">
        <x:f>MIN('每日计划'!Y20,'经济参数'!$E$14)*'经济参数'!$E$13</x:f>
        <x:v>50</x:v>
      </x:c>
      <x:c r="Z69" s="62" t="n">
        <x:f>MIN('每日计划'!Z20,'经济参数'!$E$14)*'经济参数'!$E$13</x:f>
        <x:v>50</x:v>
      </x:c>
      <x:c r="AA69" s="62" t="n">
        <x:f>MIN('每日计划'!AA20,'经济参数'!$E$14)*'经济参数'!$E$13</x:f>
        <x:v>50</x:v>
      </x:c>
      <x:c r="AB69" s="62" t="n">
        <x:f>MIN('每日计划'!AB20,'经济参数'!$E$14)*'经济参数'!$E$13</x:f>
        <x:v>50</x:v>
      </x:c>
      <x:c r="AC69" s="62" t="n">
        <x:f>MIN('每日计划'!AC20,'经济参数'!$E$14)*'经济参数'!$E$13</x:f>
        <x:v>50</x:v>
      </x:c>
      <x:c r="AD69" s="62" t="n">
        <x:f>MIN('每日计划'!AD20,'经济参数'!$E$14)*'经济参数'!$E$13</x:f>
        <x:v>50</x:v>
      </x:c>
      <x:c r="AE69" s="62" t="n">
        <x:f>MIN('每日计划'!AE20,'经济参数'!$E$14)*'经济参数'!$E$13</x:f>
        <x:v>50</x:v>
      </x:c>
      <x:c r="AF69" s="65"/>
    </x:row>
    <x:row r="70" ht="28" customHeight="1">
      <x:c r="A70" s="62" t="str">
        <x:v>武将突破元宝消耗</x:v>
      </x:c>
      <x:c r="B70" s="62" t="n">
        <x:f>'每日计划'!B37*CHOOSE('每日计划'!B38,'装备品质'!$E$10,'装备品质'!$E$14,'装备品质'!$E$18,'装备品质'!$E$22,'装备品质'!$E$26,'装备品质'!$E$30)</x:f>
        <x:v>0</x:v>
      </x:c>
      <x:c r="C70" s="62" t="n">
        <x:f>'每日计划'!C37*CHOOSE('每日计划'!C38,'装备品质'!$E$10,'装备品质'!$E$14,'装备品质'!$E$18,'装备品质'!$E$22,'装备品质'!$E$26,'装备品质'!$E$30)</x:f>
        <x:v>0</x:v>
      </x:c>
      <x:c r="D70" s="62" t="n">
        <x:f>'每日计划'!D37*CHOOSE('每日计划'!D38,'装备品质'!$E$10,'装备品质'!$E$14,'装备品质'!$E$18,'装备品质'!$E$22,'装备品质'!$E$26,'装备品质'!$E$30)</x:f>
        <x:v>100</x:v>
      </x:c>
      <x:c r="E70" s="62" t="n">
        <x:f>'每日计划'!E37*CHOOSE('每日计划'!E38,'装备品质'!$E$10,'装备品质'!$E$14,'装备品质'!$E$18,'装备品质'!$E$22,'装备品质'!$E$26,'装备品质'!$E$30)</x:f>
        <x:v>0</x:v>
      </x:c>
      <x:c r="F70" s="62" t="n">
        <x:f>'每日计划'!F37*CHOOSE('每日计划'!F38,'装备品质'!$E$10,'装备品质'!$E$14,'装备品质'!$E$18,'装备品质'!$E$22,'装备品质'!$E$26,'装备品质'!$E$30)</x:f>
        <x:v>0</x:v>
      </x:c>
      <x:c r="G70" s="62" t="n">
        <x:f>'每日计划'!G37*CHOOSE('每日计划'!G38,'装备品质'!$E$10,'装备品质'!$E$14,'装备品质'!$E$18,'装备品质'!$E$22,'装备品质'!$E$26,'装备品质'!$E$30)</x:f>
        <x:v>0</x:v>
      </x:c>
      <x:c r="H70" s="62" t="n">
        <x:f>'每日计划'!H37*CHOOSE('每日计划'!H38,'装备品质'!$E$10,'装备品质'!$E$14,'装备品质'!$E$18,'装备品质'!$E$22,'装备品质'!$E$26,'装备品质'!$E$30)</x:f>
        <x:v>100</x:v>
      </x:c>
      <x:c r="I70" s="62" t="n">
        <x:f>'每日计划'!I37*CHOOSE('每日计划'!I38,'装备品质'!$E$10,'装备品质'!$E$14,'装备品质'!$E$18,'装备品质'!$E$22,'装备品质'!$E$26,'装备品质'!$E$30)</x:f>
        <x:v>0</x:v>
      </x:c>
      <x:c r="J70" s="62" t="n">
        <x:f>'每日计划'!J37*CHOOSE('每日计划'!J38,'装备品质'!$E$10,'装备品质'!$E$14,'装备品质'!$E$18,'装备品质'!$E$22,'装备品质'!$E$26,'装备品质'!$E$30)</x:f>
        <x:v>0</x:v>
      </x:c>
      <x:c r="K70" s="62" t="n">
        <x:f>'每日计划'!K37*CHOOSE('每日计划'!K38,'装备品质'!$E$10,'装备品质'!$E$14,'装备品质'!$E$18,'装备品质'!$E$22,'装备品质'!$E$26,'装备品质'!$E$30)</x:f>
        <x:v>0</x:v>
      </x:c>
      <x:c r="L70" s="62" t="n">
        <x:f>'每日计划'!L37*CHOOSE('每日计划'!L38,'装备品质'!$E$10,'装备品质'!$E$14,'装备品质'!$E$18,'装备品质'!$E$22,'装备品质'!$E$26,'装备品质'!$E$30)</x:f>
        <x:v>0</x:v>
      </x:c>
      <x:c r="M70" s="62" t="n">
        <x:f>'每日计划'!M37*CHOOSE('每日计划'!M38,'装备品质'!$E$10,'装备品质'!$E$14,'装备品质'!$E$18,'装备品质'!$E$22,'装备品质'!$E$26,'装备品质'!$E$30)</x:f>
        <x:v>0</x:v>
      </x:c>
      <x:c r="N70" s="62" t="n">
        <x:f>'每日计划'!N37*CHOOSE('每日计划'!N38,'装备品质'!$E$10,'装备品质'!$E$14,'装备品质'!$E$18,'装备品质'!$E$22,'装备品质'!$E$26,'装备品质'!$E$30)</x:f>
        <x:v>0</x:v>
      </x:c>
      <x:c r="O70" s="62" t="n">
        <x:f>'每日计划'!O37*CHOOSE('每日计划'!O38,'装备品质'!$E$10,'装备品质'!$E$14,'装备品质'!$E$18,'装备品质'!$E$22,'装备品质'!$E$26,'装备品质'!$E$30)</x:f>
        <x:v>100</x:v>
      </x:c>
      <x:c r="P70" s="62" t="n">
        <x:f>'每日计划'!P37*CHOOSE('每日计划'!P38,'装备品质'!$E$10,'装备品质'!$E$14,'装备品质'!$E$18,'装备品质'!$E$22,'装备品质'!$E$26,'装备品质'!$E$30)</x:f>
        <x:v>0</x:v>
      </x:c>
      <x:c r="Q70" s="62" t="n">
        <x:f>'每日计划'!Q37*CHOOSE('每日计划'!Q38,'装备品质'!$E$10,'装备品质'!$E$14,'装备品质'!$E$18,'装备品质'!$E$22,'装备品质'!$E$26,'装备品质'!$E$30)</x:f>
        <x:v>0</x:v>
      </x:c>
      <x:c r="R70" s="62" t="n">
        <x:f>'每日计划'!R37*CHOOSE('每日计划'!R38,'装备品质'!$E$10,'装备品质'!$E$14,'装备品质'!$E$18,'装备品质'!$E$22,'装备品质'!$E$26,'装备品质'!$E$30)</x:f>
        <x:v>0</x:v>
      </x:c>
      <x:c r="S70" s="62" t="n">
        <x:f>'每日计划'!S37*CHOOSE('每日计划'!S38,'装备品质'!$E$10,'装备品质'!$E$14,'装备品质'!$E$18,'装备品质'!$E$22,'装备品质'!$E$26,'装备品质'!$E$30)</x:f>
        <x:v>0</x:v>
      </x:c>
      <x:c r="T70" s="62" t="n">
        <x:f>'每日计划'!T37*CHOOSE('每日计划'!T38,'装备品质'!$E$10,'装备品质'!$E$14,'装备品质'!$E$18,'装备品质'!$E$22,'装备品质'!$E$26,'装备品质'!$E$30)</x:f>
        <x:v>0</x:v>
      </x:c>
      <x:c r="U70" s="62" t="n">
        <x:f>'每日计划'!U37*CHOOSE('每日计划'!U38,'装备品质'!$E$10,'装备品质'!$E$14,'装备品质'!$E$18,'装备品质'!$E$22,'装备品质'!$E$26,'装备品质'!$E$30)</x:f>
        <x:v>0</x:v>
      </x:c>
      <x:c r="V70" s="62" t="n">
        <x:f>'每日计划'!V37*CHOOSE('每日计划'!V38,'装备品质'!$E$10,'装备品质'!$E$14,'装备品质'!$E$18,'装备品质'!$E$22,'装备品质'!$E$26,'装备品质'!$E$30)</x:f>
        <x:v>100</x:v>
      </x:c>
      <x:c r="W70" s="62" t="n">
        <x:f>'每日计划'!W37*CHOOSE('每日计划'!W38,'装备品质'!$E$10,'装备品质'!$E$14,'装备品质'!$E$18,'装备品质'!$E$22,'装备品质'!$E$26,'装备品质'!$E$30)</x:f>
        <x:v>0</x:v>
      </x:c>
      <x:c r="X70" s="62" t="n">
        <x:f>'每日计划'!X37*CHOOSE('每日计划'!X38,'装备品质'!$E$10,'装备品质'!$E$14,'装备品质'!$E$18,'装备品质'!$E$22,'装备品质'!$E$26,'装备品质'!$E$30)</x:f>
        <x:v>0</x:v>
      </x:c>
      <x:c r="Y70" s="62" t="n">
        <x:f>'每日计划'!Y37*CHOOSE('每日计划'!Y38,'装备品质'!$E$10,'装备品质'!$E$14,'装备品质'!$E$18,'装备品质'!$E$22,'装备品质'!$E$26,'装备品质'!$E$30)</x:f>
        <x:v>0</x:v>
      </x:c>
      <x:c r="Z70" s="62" t="n">
        <x:f>'每日计划'!Z37*CHOOSE('每日计划'!Z38,'装备品质'!$E$10,'装备品质'!$E$14,'装备品质'!$E$18,'装备品质'!$E$22,'装备品质'!$E$26,'装备品质'!$E$30)</x:f>
        <x:v>0</x:v>
      </x:c>
      <x:c r="AA70" s="62" t="n">
        <x:f>'每日计划'!AA37*CHOOSE('每日计划'!AA38,'装备品质'!$E$10,'装备品质'!$E$14,'装备品质'!$E$18,'装备品质'!$E$22,'装备品质'!$E$26,'装备品质'!$E$30)</x:f>
        <x:v>0</x:v>
      </x:c>
      <x:c r="AB70" s="62" t="n">
        <x:f>'每日计划'!AB37*CHOOSE('每日计划'!AB38,'装备品质'!$E$10,'装备品质'!$E$14,'装备品质'!$E$18,'装备品质'!$E$22,'装备品质'!$E$26,'装备品质'!$E$30)</x:f>
        <x:v>0</x:v>
      </x:c>
      <x:c r="AC70" s="62" t="n">
        <x:f>'每日计划'!AC37*CHOOSE('每日计划'!AC38,'装备品质'!$E$10,'装备品质'!$E$14,'装备品质'!$E$18,'装备品质'!$E$22,'装备品质'!$E$26,'装备品质'!$E$30)</x:f>
        <x:v>0</x:v>
      </x:c>
      <x:c r="AD70" s="62" t="n">
        <x:f>'每日计划'!AD37*CHOOSE('每日计划'!AD38,'装备品质'!$E$10,'装备品质'!$E$14,'装备品质'!$E$18,'装备品质'!$E$22,'装备品质'!$E$26,'装备品质'!$E$30)</x:f>
        <x:v>0</x:v>
      </x:c>
      <x:c r="AE70" s="62" t="n">
        <x:f>'每日计划'!AE37*CHOOSE('每日计划'!AE38,'装备品质'!$E$10,'装备品质'!$E$14,'装备品质'!$E$18,'装备品质'!$E$22,'装备品质'!$E$26,'装备品质'!$E$30)</x:f>
        <x:v>100</x:v>
      </x:c>
      <x:c r="AF70" s="65"/>
    </x:row>
    <x:row r="71" ht="28" customHeight="1">
      <x:c r="A71" s="62" t="str">
        <x:v>主角突破元宝消耗</x:v>
      </x:c>
      <x:c r="B71" s="62" t="n">
        <x:f>'每日计划'!B39*('经济参数'!$E$58+'每日计划'!B40*'经济参数'!$E$59)+'每日计划'!B39*MAX(0,'每日计划'!B39-1)/2*'经济参数'!$E$59</x:f>
        <x:v>0</x:v>
      </x:c>
      <x:c r="C71" s="62" t="n">
        <x:f>'每日计划'!C39*('经济参数'!$E$58+'每日计划'!C40*'经济参数'!$E$59)+'每日计划'!C39*MAX(0,'每日计划'!C39-1)/2*'经济参数'!$E$59</x:f>
        <x:v>0</x:v>
      </x:c>
      <x:c r="D71" s="62" t="n">
        <x:f>'每日计划'!D39*('经济参数'!$E$58+'每日计划'!D40*'经济参数'!$E$59)+'每日计划'!D39*MAX(0,'每日计划'!D39-1)/2*'经济参数'!$E$59</x:f>
        <x:v>0</x:v>
      </x:c>
      <x:c r="E71" s="62" t="n">
        <x:f>'每日计划'!E39*('经济参数'!$E$58+'每日计划'!E40*'经济参数'!$E$59)+'每日计划'!E39*MAX(0,'每日计划'!E39-1)/2*'经济参数'!$E$59</x:f>
        <x:v>0</x:v>
      </x:c>
      <x:c r="F71" s="62" t="n">
        <x:f>'每日计划'!F39*('经济参数'!$E$58+'每日计划'!F40*'经济参数'!$E$59)+'每日计划'!F39*MAX(0,'每日计划'!F39-1)/2*'经济参数'!$E$59</x:f>
        <x:v>150</x:v>
      </x:c>
      <x:c r="G71" s="62" t="n">
        <x:f>'每日计划'!G39*('经济参数'!$E$58+'每日计划'!G40*'经济参数'!$E$59)+'每日计划'!G39*MAX(0,'每日计划'!G39-1)/2*'经济参数'!$E$59</x:f>
        <x:v>0</x:v>
      </x:c>
      <x:c r="H71" s="62" t="n">
        <x:f>'每日计划'!H39*('经济参数'!$E$58+'每日计划'!H40*'经济参数'!$E$59)+'每日计划'!H39*MAX(0,'每日计划'!H39-1)/2*'经济参数'!$E$59</x:f>
        <x:v>0</x:v>
      </x:c>
      <x:c r="I71" s="62" t="n">
        <x:f>'每日计划'!I39*('经济参数'!$E$58+'每日计划'!I40*'经济参数'!$E$59)+'每日计划'!I39*MAX(0,'每日计划'!I39-1)/2*'经济参数'!$E$59</x:f>
        <x:v>0</x:v>
      </x:c>
      <x:c r="J71" s="62" t="n">
        <x:f>'每日计划'!J39*('经济参数'!$E$58+'每日计划'!J40*'经济参数'!$E$59)+'每日计划'!J39*MAX(0,'每日计划'!J39-1)/2*'经济参数'!$E$59</x:f>
        <x:v>0</x:v>
      </x:c>
      <x:c r="K71" s="62" t="n">
        <x:f>'每日计划'!K39*('经济参数'!$E$58+'每日计划'!K40*'经济参数'!$E$59)+'每日计划'!K39*MAX(0,'每日计划'!K39-1)/2*'经济参数'!$E$59</x:f>
        <x:v>250</x:v>
      </x:c>
      <x:c r="L71" s="62" t="n">
        <x:f>'每日计划'!L39*('经济参数'!$E$58+'每日计划'!L40*'经济参数'!$E$59)+'每日计划'!L39*MAX(0,'每日计划'!L39-1)/2*'经济参数'!$E$59</x:f>
        <x:v>0</x:v>
      </x:c>
      <x:c r="M71" s="62" t="n">
        <x:f>'每日计划'!M39*('经济参数'!$E$58+'每日计划'!M40*'经济参数'!$E$59)+'每日计划'!M39*MAX(0,'每日计划'!M39-1)/2*'经济参数'!$E$59</x:f>
        <x:v>0</x:v>
      </x:c>
      <x:c r="N71" s="62" t="n">
        <x:f>'每日计划'!N39*('经济参数'!$E$58+'每日计划'!N40*'经济参数'!$E$59)+'每日计划'!N39*MAX(0,'每日计划'!N39-1)/2*'经济参数'!$E$59</x:f>
        <x:v>0</x:v>
      </x:c>
      <x:c r="O71" s="62" t="n">
        <x:f>'每日计划'!O39*('经济参数'!$E$58+'每日计划'!O40*'经济参数'!$E$59)+'每日计划'!O39*MAX(0,'每日计划'!O39-1)/2*'经济参数'!$E$59</x:f>
        <x:v>0</x:v>
      </x:c>
      <x:c r="P71" s="62" t="n">
        <x:f>'每日计划'!P39*('经济参数'!$E$58+'每日计划'!P40*'经济参数'!$E$59)+'每日计划'!P39*MAX(0,'每日计划'!P39-1)/2*'经济参数'!$E$59</x:f>
        <x:v>0</x:v>
      </x:c>
      <x:c r="Q71" s="62" t="n">
        <x:f>'每日计划'!Q39*('经济参数'!$E$58+'每日计划'!Q40*'经济参数'!$E$59)+'每日计划'!Q39*MAX(0,'每日计划'!Q39-1)/2*'经济参数'!$E$59</x:f>
        <x:v>350</x:v>
      </x:c>
      <x:c r="R71" s="62" t="n">
        <x:f>'每日计划'!R39*('经济参数'!$E$58+'每日计划'!R40*'经济参数'!$E$59)+'每日计划'!R39*MAX(0,'每日计划'!R39-1)/2*'经济参数'!$E$59</x:f>
        <x:v>0</x:v>
      </x:c>
      <x:c r="S71" s="62" t="n">
        <x:f>'每日计划'!S39*('经济参数'!$E$58+'每日计划'!S40*'经济参数'!$E$59)+'每日计划'!S39*MAX(0,'每日计划'!S39-1)/2*'经济参数'!$E$59</x:f>
        <x:v>0</x:v>
      </x:c>
      <x:c r="T71" s="62" t="n">
        <x:f>'每日计划'!T39*('经济参数'!$E$58+'每日计划'!T40*'经济参数'!$E$59)+'每日计划'!T39*MAX(0,'每日计划'!T39-1)/2*'经济参数'!$E$59</x:f>
        <x:v>0</x:v>
      </x:c>
      <x:c r="U71" s="62" t="n">
        <x:f>'每日计划'!U39*('经济参数'!$E$58+'每日计划'!U40*'经济参数'!$E$59)+'每日计划'!U39*MAX(0,'每日计划'!U39-1)/2*'经济参数'!$E$59</x:f>
        <x:v>0</x:v>
      </x:c>
      <x:c r="V71" s="62" t="n">
        <x:f>'每日计划'!V39*('经济参数'!$E$58+'每日计划'!V40*'经济参数'!$E$59)+'每日计划'!V39*MAX(0,'每日计划'!V39-1)/2*'经济参数'!$E$59</x:f>
        <x:v>0</x:v>
      </x:c>
      <x:c r="W71" s="62" t="n">
        <x:f>'每日计划'!W39*('经济参数'!$E$58+'每日计划'!W40*'经济参数'!$E$59)+'每日计划'!W39*MAX(0,'每日计划'!W39-1)/2*'经济参数'!$E$59</x:f>
        <x:v>0</x:v>
      </x:c>
      <x:c r="X71" s="62" t="n">
        <x:f>'每日计划'!X39*('经济参数'!$E$58+'每日计划'!X40*'经济参数'!$E$59)+'每日计划'!X39*MAX(0,'每日计划'!X39-1)/2*'经济参数'!$E$59</x:f>
        <x:v>450</x:v>
      </x:c>
      <x:c r="Y71" s="62" t="n">
        <x:f>'每日计划'!Y39*('经济参数'!$E$58+'每日计划'!Y40*'经济参数'!$E$59)+'每日计划'!Y39*MAX(0,'每日计划'!Y39-1)/2*'经济参数'!$E$59</x:f>
        <x:v>0</x:v>
      </x:c>
      <x:c r="Z71" s="62" t="n">
        <x:f>'每日计划'!Z39*('经济参数'!$E$58+'每日计划'!Z40*'经济参数'!$E$59)+'每日计划'!Z39*MAX(0,'每日计划'!Z39-1)/2*'经济参数'!$E$59</x:f>
        <x:v>0</x:v>
      </x:c>
      <x:c r="AA71" s="62" t="n">
        <x:f>'每日计划'!AA39*('经济参数'!$E$58+'每日计划'!AA40*'经济参数'!$E$59)+'每日计划'!AA39*MAX(0,'每日计划'!AA39-1)/2*'经济参数'!$E$59</x:f>
        <x:v>0</x:v>
      </x:c>
      <x:c r="AB71" s="62" t="n">
        <x:f>'每日计划'!AB39*('经济参数'!$E$58+'每日计划'!AB40*'经济参数'!$E$59)+'每日计划'!AB39*MAX(0,'每日计划'!AB39-1)/2*'经济参数'!$E$59</x:f>
        <x:v>0</x:v>
      </x:c>
      <x:c r="AC71" s="62" t="n">
        <x:f>'每日计划'!AC39*('经济参数'!$E$58+'每日计划'!AC40*'经济参数'!$E$59)+'每日计划'!AC39*MAX(0,'每日计划'!AC39-1)/2*'经济参数'!$E$59</x:f>
        <x:v>0</x:v>
      </x:c>
      <x:c r="AD71" s="62" t="n">
        <x:f>'每日计划'!AD39*('经济参数'!$E$58+'每日计划'!AD40*'经济参数'!$E$59)+'每日计划'!AD39*MAX(0,'每日计划'!AD39-1)/2*'经济参数'!$E$59</x:f>
        <x:v>0</x:v>
      </x:c>
      <x:c r="AE71" s="62" t="n">
        <x:f>'每日计划'!AE39*('经济参数'!$E$58+'每日计划'!AE40*'经济参数'!$E$59)+'每日计划'!AE39*MAX(0,'每日计划'!AE39-1)/2*'经济参数'!$E$59</x:f>
        <x:v>550</x:v>
      </x:c>
      <x:c r="AF71" s="65"/>
    </x:row>
    <x:row r="72" ht="28" customHeight="1">
      <x:c r="A72" s="62" t="str">
        <x:v>材料/金币兑换元宝</x:v>
      </x:c>
      <x:c r="B72" s="62" t="n">
        <x:f>ROUNDDOWN('每日计划'!B41/'商店与兑换'!$E$12,0)*'商店与兑换'!$E$12+ROUNDDOWN('每日计划'!B42/'商店与兑换'!$E$8,0)*'商店与兑换'!$E$8+ROUNDDOWN('每日计划'!B43/'商店与兑换'!$E$10,0)*'商店与兑换'!$E$10+ROUNDDOWN('每日计划'!B44/'商店与兑换'!$E$14,0)*'商店与兑换'!$E$14+ROUNDDOWN('每日计划'!B45/'商店与兑换'!$E$16,0)*'商店与兑换'!$E$16</x:f>
        <x:v>0</x:v>
      </x:c>
      <x:c r="C72" s="62" t="n">
        <x:f>ROUNDDOWN('每日计划'!C41/'商店与兑换'!$E$12,0)*'商店与兑换'!$E$12+ROUNDDOWN('每日计划'!C42/'商店与兑换'!$E$8,0)*'商店与兑换'!$E$8+ROUNDDOWN('每日计划'!C43/'商店与兑换'!$E$10,0)*'商店与兑换'!$E$10+ROUNDDOWN('每日计划'!C44/'商店与兑换'!$E$14,0)*'商店与兑换'!$E$14+ROUNDDOWN('每日计划'!C45/'商店与兑换'!$E$16,0)*'商店与兑换'!$E$16</x:f>
        <x:v>0</x:v>
      </x:c>
      <x:c r="D72" s="62" t="n">
        <x:f>ROUNDDOWN('每日计划'!D41/'商店与兑换'!$E$12,0)*'商店与兑换'!$E$12+ROUNDDOWN('每日计划'!D42/'商店与兑换'!$E$8,0)*'商店与兑换'!$E$8+ROUNDDOWN('每日计划'!D43/'商店与兑换'!$E$10,0)*'商店与兑换'!$E$10+ROUNDDOWN('每日计划'!D44/'商店与兑换'!$E$14,0)*'商店与兑换'!$E$14+ROUNDDOWN('每日计划'!D45/'商店与兑换'!$E$16,0)*'商店与兑换'!$E$16</x:f>
        <x:v>0</x:v>
      </x:c>
      <x:c r="E72" s="62" t="n">
        <x:f>ROUNDDOWN('每日计划'!E41/'商店与兑换'!$E$12,0)*'商店与兑换'!$E$12+ROUNDDOWN('每日计划'!E42/'商店与兑换'!$E$8,0)*'商店与兑换'!$E$8+ROUNDDOWN('每日计划'!E43/'商店与兑换'!$E$10,0)*'商店与兑换'!$E$10+ROUNDDOWN('每日计划'!E44/'商店与兑换'!$E$14,0)*'商店与兑换'!$E$14+ROUNDDOWN('每日计划'!E45/'商店与兑换'!$E$16,0)*'商店与兑换'!$E$16</x:f>
        <x:v>0</x:v>
      </x:c>
      <x:c r="F72" s="62" t="n">
        <x:f>ROUNDDOWN('每日计划'!F41/'商店与兑换'!$E$12,0)*'商店与兑换'!$E$12+ROUNDDOWN('每日计划'!F42/'商店与兑换'!$E$8,0)*'商店与兑换'!$E$8+ROUNDDOWN('每日计划'!F43/'商店与兑换'!$E$10,0)*'商店与兑换'!$E$10+ROUNDDOWN('每日计划'!F44/'商店与兑换'!$E$14,0)*'商店与兑换'!$E$14+ROUNDDOWN('每日计划'!F45/'商店与兑换'!$E$16,0)*'商店与兑换'!$E$16</x:f>
        <x:v>0</x:v>
      </x:c>
      <x:c r="G72" s="62" t="n">
        <x:f>ROUNDDOWN('每日计划'!G41/'商店与兑换'!$E$12,0)*'商店与兑换'!$E$12+ROUNDDOWN('每日计划'!G42/'商店与兑换'!$E$8,0)*'商店与兑换'!$E$8+ROUNDDOWN('每日计划'!G43/'商店与兑换'!$E$10,0)*'商店与兑换'!$E$10+ROUNDDOWN('每日计划'!G44/'商店与兑换'!$E$14,0)*'商店与兑换'!$E$14+ROUNDDOWN('每日计划'!G45/'商店与兑换'!$E$16,0)*'商店与兑换'!$E$16</x:f>
        <x:v>0</x:v>
      </x:c>
      <x:c r="H72" s="62" t="n">
        <x:f>ROUNDDOWN('每日计划'!H41/'商店与兑换'!$E$12,0)*'商店与兑换'!$E$12+ROUNDDOWN('每日计划'!H42/'商店与兑换'!$E$8,0)*'商店与兑换'!$E$8+ROUNDDOWN('每日计划'!H43/'商店与兑换'!$E$10,0)*'商店与兑换'!$E$10+ROUNDDOWN('每日计划'!H44/'商店与兑换'!$E$14,0)*'商店与兑换'!$E$14+ROUNDDOWN('每日计划'!H45/'商店与兑换'!$E$16,0)*'商店与兑换'!$E$16</x:f>
        <x:v>20</x:v>
      </x:c>
      <x:c r="I72" s="62" t="n">
        <x:f>ROUNDDOWN('每日计划'!I41/'商店与兑换'!$E$12,0)*'商店与兑换'!$E$12+ROUNDDOWN('每日计划'!I42/'商店与兑换'!$E$8,0)*'商店与兑换'!$E$8+ROUNDDOWN('每日计划'!I43/'商店与兑换'!$E$10,0)*'商店与兑换'!$E$10+ROUNDDOWN('每日计划'!I44/'商店与兑换'!$E$14,0)*'商店与兑换'!$E$14+ROUNDDOWN('每日计划'!I45/'商店与兑换'!$E$16,0)*'商店与兑换'!$E$16</x:f>
        <x:v>20</x:v>
      </x:c>
      <x:c r="J72" s="62" t="n">
        <x:f>ROUNDDOWN('每日计划'!J41/'商店与兑换'!$E$12,0)*'商店与兑换'!$E$12+ROUNDDOWN('每日计划'!J42/'商店与兑换'!$E$8,0)*'商店与兑换'!$E$8+ROUNDDOWN('每日计划'!J43/'商店与兑换'!$E$10,0)*'商店与兑换'!$E$10+ROUNDDOWN('每日计划'!J44/'商店与兑换'!$E$14,0)*'商店与兑换'!$E$14+ROUNDDOWN('每日计划'!J45/'商店与兑换'!$E$16,0)*'商店与兑换'!$E$16</x:f>
        <x:v>20</x:v>
      </x:c>
      <x:c r="K72" s="62" t="n">
        <x:f>ROUNDDOWN('每日计划'!K41/'商店与兑换'!$E$12,0)*'商店与兑换'!$E$12+ROUNDDOWN('每日计划'!K42/'商店与兑换'!$E$8,0)*'商店与兑换'!$E$8+ROUNDDOWN('每日计划'!K43/'商店与兑换'!$E$10,0)*'商店与兑换'!$E$10+ROUNDDOWN('每日计划'!K44/'商店与兑换'!$E$14,0)*'商店与兑换'!$E$14+ROUNDDOWN('每日计划'!K45/'商店与兑换'!$E$16,0)*'商店与兑换'!$E$16</x:f>
        <x:v>40</x:v>
      </x:c>
      <x:c r="L72" s="62" t="n">
        <x:f>ROUNDDOWN('每日计划'!L41/'商店与兑换'!$E$12,0)*'商店与兑换'!$E$12+ROUNDDOWN('每日计划'!L42/'商店与兑换'!$E$8,0)*'商店与兑换'!$E$8+ROUNDDOWN('每日计划'!L43/'商店与兑换'!$E$10,0)*'商店与兑换'!$E$10+ROUNDDOWN('每日计划'!L44/'商店与兑换'!$E$14,0)*'商店与兑换'!$E$14+ROUNDDOWN('每日计划'!L45/'商店与兑换'!$E$16,0)*'商店与兑换'!$E$16</x:f>
        <x:v>40</x:v>
      </x:c>
      <x:c r="M72" s="62" t="n">
        <x:f>ROUNDDOWN('每日计划'!M41/'商店与兑换'!$E$12,0)*'商店与兑换'!$E$12+ROUNDDOWN('每日计划'!M42/'商店与兑换'!$E$8,0)*'商店与兑换'!$E$8+ROUNDDOWN('每日计划'!M43/'商店与兑换'!$E$10,0)*'商店与兑换'!$E$10+ROUNDDOWN('每日计划'!M44/'商店与兑换'!$E$14,0)*'商店与兑换'!$E$14+ROUNDDOWN('每日计划'!M45/'商店与兑换'!$E$16,0)*'商店与兑换'!$E$16</x:f>
        <x:v>40</x:v>
      </x:c>
      <x:c r="N72" s="62" t="n">
        <x:f>ROUNDDOWN('每日计划'!N41/'商店与兑换'!$E$12,0)*'商店与兑换'!$E$12+ROUNDDOWN('每日计划'!N42/'商店与兑换'!$E$8,0)*'商店与兑换'!$E$8+ROUNDDOWN('每日计划'!N43/'商店与兑换'!$E$10,0)*'商店与兑换'!$E$10+ROUNDDOWN('每日计划'!N44/'商店与兑换'!$E$14,0)*'商店与兑换'!$E$14+ROUNDDOWN('每日计划'!N45/'商店与兑换'!$E$16,0)*'商店与兑换'!$E$16</x:f>
        <x:v>40</x:v>
      </x:c>
      <x:c r="O72" s="62" t="n">
        <x:f>ROUNDDOWN('每日计划'!O41/'商店与兑换'!$E$12,0)*'商店与兑换'!$E$12+ROUNDDOWN('每日计划'!O42/'商店与兑换'!$E$8,0)*'商店与兑换'!$E$8+ROUNDDOWN('每日计划'!O43/'商店与兑换'!$E$10,0)*'商店与兑换'!$E$10+ROUNDDOWN('每日计划'!O44/'商店与兑换'!$E$14,0)*'商店与兑换'!$E$14+ROUNDDOWN('每日计划'!O45/'商店与兑换'!$E$16,0)*'商店与兑换'!$E$16</x:f>
        <x:v>40</x:v>
      </x:c>
      <x:c r="P72" s="62" t="n">
        <x:f>ROUNDDOWN('每日计划'!P41/'商店与兑换'!$E$12,0)*'商店与兑换'!$E$12+ROUNDDOWN('每日计划'!P42/'商店与兑换'!$E$8,0)*'商店与兑换'!$E$8+ROUNDDOWN('每日计划'!P43/'商店与兑换'!$E$10,0)*'商店与兑换'!$E$10+ROUNDDOWN('每日计划'!P44/'商店与兑换'!$E$14,0)*'商店与兑换'!$E$14+ROUNDDOWN('每日计划'!P45/'商店与兑换'!$E$16,0)*'商店与兑换'!$E$16</x:f>
        <x:v>40</x:v>
      </x:c>
      <x:c r="Q72" s="62" t="n">
        <x:f>ROUNDDOWN('每日计划'!Q41/'商店与兑换'!$E$12,0)*'商店与兑换'!$E$12+ROUNDDOWN('每日计划'!Q42/'商店与兑换'!$E$8,0)*'商店与兑换'!$E$8+ROUNDDOWN('每日计划'!Q43/'商店与兑换'!$E$10,0)*'商店与兑换'!$E$10+ROUNDDOWN('每日计划'!Q44/'商店与兑换'!$E$14,0)*'商店与兑换'!$E$14+ROUNDDOWN('每日计划'!Q45/'商店与兑换'!$E$16,0)*'商店与兑换'!$E$16</x:f>
        <x:v>40</x:v>
      </x:c>
      <x:c r="R72" s="62" t="n">
        <x:f>ROUNDDOWN('每日计划'!R41/'商店与兑换'!$E$12,0)*'商店与兑换'!$E$12+ROUNDDOWN('每日计划'!R42/'商店与兑换'!$E$8,0)*'商店与兑换'!$E$8+ROUNDDOWN('每日计划'!R43/'商店与兑换'!$E$10,0)*'商店与兑换'!$E$10+ROUNDDOWN('每日计划'!R44/'商店与兑换'!$E$14,0)*'商店与兑换'!$E$14+ROUNDDOWN('每日计划'!R45/'商店与兑换'!$E$16,0)*'商店与兑换'!$E$16</x:f>
        <x:v>40</x:v>
      </x:c>
      <x:c r="S72" s="62" t="n">
        <x:f>ROUNDDOWN('每日计划'!S41/'商店与兑换'!$E$12,0)*'商店与兑换'!$E$12+ROUNDDOWN('每日计划'!S42/'商店与兑换'!$E$8,0)*'商店与兑换'!$E$8+ROUNDDOWN('每日计划'!S43/'商店与兑换'!$E$10,0)*'商店与兑换'!$E$10+ROUNDDOWN('每日计划'!S44/'商店与兑换'!$E$14,0)*'商店与兑换'!$E$14+ROUNDDOWN('每日计划'!S45/'商店与兑换'!$E$16,0)*'商店与兑换'!$E$16</x:f>
        <x:v>40</x:v>
      </x:c>
      <x:c r="T72" s="62" t="n">
        <x:f>ROUNDDOWN('每日计划'!T41/'商店与兑换'!$E$12,0)*'商店与兑换'!$E$12+ROUNDDOWN('每日计划'!T42/'商店与兑换'!$E$8,0)*'商店与兑换'!$E$8+ROUNDDOWN('每日计划'!T43/'商店与兑换'!$E$10,0)*'商店与兑换'!$E$10+ROUNDDOWN('每日计划'!T44/'商店与兑换'!$E$14,0)*'商店与兑换'!$E$14+ROUNDDOWN('每日计划'!T45/'商店与兑换'!$E$16,0)*'商店与兑换'!$E$16</x:f>
        <x:v>40</x:v>
      </x:c>
      <x:c r="U72" s="62" t="n">
        <x:f>ROUNDDOWN('每日计划'!U41/'商店与兑换'!$E$12,0)*'商店与兑换'!$E$12+ROUNDDOWN('每日计划'!U42/'商店与兑换'!$E$8,0)*'商店与兑换'!$E$8+ROUNDDOWN('每日计划'!U43/'商店与兑换'!$E$10,0)*'商店与兑换'!$E$10+ROUNDDOWN('每日计划'!U44/'商店与兑换'!$E$14,0)*'商店与兑换'!$E$14+ROUNDDOWN('每日计划'!U45/'商店与兑换'!$E$16,0)*'商店与兑换'!$E$16</x:f>
        <x:v>40</x:v>
      </x:c>
      <x:c r="V72" s="62" t="n">
        <x:f>ROUNDDOWN('每日计划'!V41/'商店与兑换'!$E$12,0)*'商店与兑换'!$E$12+ROUNDDOWN('每日计划'!V42/'商店与兑换'!$E$8,0)*'商店与兑换'!$E$8+ROUNDDOWN('每日计划'!V43/'商店与兑换'!$E$10,0)*'商店与兑换'!$E$10+ROUNDDOWN('每日计划'!V44/'商店与兑换'!$E$14,0)*'商店与兑换'!$E$14+ROUNDDOWN('每日计划'!V45/'商店与兑换'!$E$16,0)*'商店与兑换'!$E$16</x:f>
        <x:v>40</x:v>
      </x:c>
      <x:c r="W72" s="62" t="n">
        <x:f>ROUNDDOWN('每日计划'!W41/'商店与兑换'!$E$12,0)*'商店与兑换'!$E$12+ROUNDDOWN('每日计划'!W42/'商店与兑换'!$E$8,0)*'商店与兑换'!$E$8+ROUNDDOWN('每日计划'!W43/'商店与兑换'!$E$10,0)*'商店与兑换'!$E$10+ROUNDDOWN('每日计划'!W44/'商店与兑换'!$E$14,0)*'商店与兑换'!$E$14+ROUNDDOWN('每日计划'!W45/'商店与兑换'!$E$16,0)*'商店与兑换'!$E$16</x:f>
        <x:v>40</x:v>
      </x:c>
      <x:c r="X72" s="62" t="n">
        <x:f>ROUNDDOWN('每日计划'!X41/'商店与兑换'!$E$12,0)*'商店与兑换'!$E$12+ROUNDDOWN('每日计划'!X42/'商店与兑换'!$E$8,0)*'商店与兑换'!$E$8+ROUNDDOWN('每日计划'!X43/'商店与兑换'!$E$10,0)*'商店与兑换'!$E$10+ROUNDDOWN('每日计划'!X44/'商店与兑换'!$E$14,0)*'商店与兑换'!$E$14+ROUNDDOWN('每日计划'!X45/'商店与兑换'!$E$16,0)*'商店与兑换'!$E$16</x:f>
        <x:v>40</x:v>
      </x:c>
      <x:c r="Y72" s="62" t="n">
        <x:f>ROUNDDOWN('每日计划'!Y41/'商店与兑换'!$E$12,0)*'商店与兑换'!$E$12+ROUNDDOWN('每日计划'!Y42/'商店与兑换'!$E$8,0)*'商店与兑换'!$E$8+ROUNDDOWN('每日计划'!Y43/'商店与兑换'!$E$10,0)*'商店与兑换'!$E$10+ROUNDDOWN('每日计划'!Y44/'商店与兑换'!$E$14,0)*'商店与兑换'!$E$14+ROUNDDOWN('每日计划'!Y45/'商店与兑换'!$E$16,0)*'商店与兑换'!$E$16</x:f>
        <x:v>40</x:v>
      </x:c>
      <x:c r="Z72" s="62" t="n">
        <x:f>ROUNDDOWN('每日计划'!Z41/'商店与兑换'!$E$12,0)*'商店与兑换'!$E$12+ROUNDDOWN('每日计划'!Z42/'商店与兑换'!$E$8,0)*'商店与兑换'!$E$8+ROUNDDOWN('每日计划'!Z43/'商店与兑换'!$E$10,0)*'商店与兑换'!$E$10+ROUNDDOWN('每日计划'!Z44/'商店与兑换'!$E$14,0)*'商店与兑换'!$E$14+ROUNDDOWN('每日计划'!Z45/'商店与兑换'!$E$16,0)*'商店与兑换'!$E$16</x:f>
        <x:v>40</x:v>
      </x:c>
      <x:c r="AA72" s="62" t="n">
        <x:f>ROUNDDOWN('每日计划'!AA41/'商店与兑换'!$E$12,0)*'商店与兑换'!$E$12+ROUNDDOWN('每日计划'!AA42/'商店与兑换'!$E$8,0)*'商店与兑换'!$E$8+ROUNDDOWN('每日计划'!AA43/'商店与兑换'!$E$10,0)*'商店与兑换'!$E$10+ROUNDDOWN('每日计划'!AA44/'商店与兑换'!$E$14,0)*'商店与兑换'!$E$14+ROUNDDOWN('每日计划'!AA45/'商店与兑换'!$E$16,0)*'商店与兑换'!$E$16</x:f>
        <x:v>40</x:v>
      </x:c>
      <x:c r="AB72" s="62" t="n">
        <x:f>ROUNDDOWN('每日计划'!AB41/'商店与兑换'!$E$12,0)*'商店与兑换'!$E$12+ROUNDDOWN('每日计划'!AB42/'商店与兑换'!$E$8,0)*'商店与兑换'!$E$8+ROUNDDOWN('每日计划'!AB43/'商店与兑换'!$E$10,0)*'商店与兑换'!$E$10+ROUNDDOWN('每日计划'!AB44/'商店与兑换'!$E$14,0)*'商店与兑换'!$E$14+ROUNDDOWN('每日计划'!AB45/'商店与兑换'!$E$16,0)*'商店与兑换'!$E$16</x:f>
        <x:v>40</x:v>
      </x:c>
      <x:c r="AC72" s="62" t="n">
        <x:f>ROUNDDOWN('每日计划'!AC41/'商店与兑换'!$E$12,0)*'商店与兑换'!$E$12+ROUNDDOWN('每日计划'!AC42/'商店与兑换'!$E$8,0)*'商店与兑换'!$E$8+ROUNDDOWN('每日计划'!AC43/'商店与兑换'!$E$10,0)*'商店与兑换'!$E$10+ROUNDDOWN('每日计划'!AC44/'商店与兑换'!$E$14,0)*'商店与兑换'!$E$14+ROUNDDOWN('每日计划'!AC45/'商店与兑换'!$E$16,0)*'商店与兑换'!$E$16</x:f>
        <x:v>40</x:v>
      </x:c>
      <x:c r="AD72" s="62" t="n">
        <x:f>ROUNDDOWN('每日计划'!AD41/'商店与兑换'!$E$12,0)*'商店与兑换'!$E$12+ROUNDDOWN('每日计划'!AD42/'商店与兑换'!$E$8,0)*'商店与兑换'!$E$8+ROUNDDOWN('每日计划'!AD43/'商店与兑换'!$E$10,0)*'商店与兑换'!$E$10+ROUNDDOWN('每日计划'!AD44/'商店与兑换'!$E$14,0)*'商店与兑换'!$E$14+ROUNDDOWN('每日计划'!AD45/'商店与兑换'!$E$16,0)*'商店与兑换'!$E$16</x:f>
        <x:v>40</x:v>
      </x:c>
      <x:c r="AE72" s="62" t="n">
        <x:f>ROUNDDOWN('每日计划'!AE41/'商店与兑换'!$E$12,0)*'商店与兑换'!$E$12+ROUNDDOWN('每日计划'!AE42/'商店与兑换'!$E$8,0)*'商店与兑换'!$E$8+ROUNDDOWN('每日计划'!AE43/'商店与兑换'!$E$10,0)*'商店与兑换'!$E$10+ROUNDDOWN('每日计划'!AE44/'商店与兑换'!$E$14,0)*'商店与兑换'!$E$14+ROUNDDOWN('每日计划'!AE45/'商店与兑换'!$E$16,0)*'商店与兑换'!$E$16</x:f>
        <x:v>40</x:v>
      </x:c>
      <x:c r="AF72" s="65"/>
    </x:row>
    <x:row r="73" ht="28" customHeight="1">
      <x:c r="A73" s="125" t="str">
        <x:v>元宝总消耗</x:v>
      </x:c>
      <x:c r="B73" s="125" t="n">
        <x:f>SUM(B69:B72)</x:f>
        <x:v>50</x:v>
      </x:c>
      <x:c r="C73" s="125" t="n">
        <x:f>SUM(C69:C72)</x:f>
        <x:v>50</x:v>
      </x:c>
      <x:c r="D73" s="125" t="n">
        <x:f>SUM(D69:D72)</x:f>
        <x:v>150</x:v>
      </x:c>
      <x:c r="E73" s="125" t="n">
        <x:f>SUM(E69:E72)</x:f>
        <x:v>50</x:v>
      </x:c>
      <x:c r="F73" s="125" t="n">
        <x:f>SUM(F69:F72)</x:f>
        <x:v>200</x:v>
      </x:c>
      <x:c r="G73" s="125" t="n">
        <x:f>SUM(G69:G72)</x:f>
        <x:v>50</x:v>
      </x:c>
      <x:c r="H73" s="125" t="n">
        <x:f>SUM(H69:H72)</x:f>
        <x:v>170</x:v>
      </x:c>
      <x:c r="I73" s="125" t="n">
        <x:f>SUM(I69:I72)</x:f>
        <x:v>70</x:v>
      </x:c>
      <x:c r="J73" s="125" t="n">
        <x:f>SUM(J69:J72)</x:f>
        <x:v>70</x:v>
      </x:c>
      <x:c r="K73" s="125" t="n">
        <x:f>SUM(K69:K72)</x:f>
        <x:v>340</x:v>
      </x:c>
      <x:c r="L73" s="125" t="n">
        <x:f>SUM(L69:L72)</x:f>
        <x:v>90</x:v>
      </x:c>
      <x:c r="M73" s="125" t="n">
        <x:f>SUM(M69:M72)</x:f>
        <x:v>90</x:v>
      </x:c>
      <x:c r="N73" s="125" t="n">
        <x:f>SUM(N69:N72)</x:f>
        <x:v>90</x:v>
      </x:c>
      <x:c r="O73" s="125" t="n">
        <x:f>SUM(O69:O72)</x:f>
        <x:v>190</x:v>
      </x:c>
      <x:c r="P73" s="125" t="n">
        <x:f>SUM(P69:P72)</x:f>
        <x:v>90</x:v>
      </x:c>
      <x:c r="Q73" s="125" t="n">
        <x:f>SUM(Q69:Q72)</x:f>
        <x:v>440</x:v>
      </x:c>
      <x:c r="R73" s="125" t="n">
        <x:f>SUM(R69:R72)</x:f>
        <x:v>90</x:v>
      </x:c>
      <x:c r="S73" s="125" t="n">
        <x:f>SUM(S69:S72)</x:f>
        <x:v>90</x:v>
      </x:c>
      <x:c r="T73" s="125" t="n">
        <x:f>SUM(T69:T72)</x:f>
        <x:v>90</x:v>
      </x:c>
      <x:c r="U73" s="125" t="n">
        <x:f>SUM(U69:U72)</x:f>
        <x:v>90</x:v>
      </x:c>
      <x:c r="V73" s="125" t="n">
        <x:f>SUM(V69:V72)</x:f>
        <x:v>190</x:v>
      </x:c>
      <x:c r="W73" s="125" t="n">
        <x:f>SUM(W69:W72)</x:f>
        <x:v>90</x:v>
      </x:c>
      <x:c r="X73" s="125" t="n">
        <x:f>SUM(X69:X72)</x:f>
        <x:v>540</x:v>
      </x:c>
      <x:c r="Y73" s="125" t="n">
        <x:f>SUM(Y69:Y72)</x:f>
        <x:v>90</x:v>
      </x:c>
      <x:c r="Z73" s="125" t="n">
        <x:f>SUM(Z69:Z72)</x:f>
        <x:v>90</x:v>
      </x:c>
      <x:c r="AA73" s="125" t="n">
        <x:f>SUM(AA69:AA72)</x:f>
        <x:v>90</x:v>
      </x:c>
      <x:c r="AB73" s="125" t="n">
        <x:f>SUM(AB69:AB72)</x:f>
        <x:v>90</x:v>
      </x:c>
      <x:c r="AC73" s="125" t="n">
        <x:f>SUM(AC69:AC72)</x:f>
        <x:v>90</x:v>
      </x:c>
      <x:c r="AD73" s="125" t="n">
        <x:f>SUM(AD69:AD72)</x:f>
        <x:v>90</x:v>
      </x:c>
      <x:c r="AE73" s="125" t="n">
        <x:f>SUM(AE69:AE72)</x:f>
        <x:v>740</x:v>
      </x:c>
      <x:c r="AF73" s="65"/>
    </x:row>
    <x:row r="74" ht="28" customHeight="1">
      <x:c r="A74" s="125" t="str">
        <x:v>元宝期末/资金缺口</x:v>
      </x:c>
      <x:c r="B74" s="125" t="n">
        <x:f>B62+B68-B73</x:f>
        <x:v>1695.1500000000003</x:v>
      </x:c>
      <x:c r="C74" s="125" t="n">
        <x:f>C62+C68-C73</x:f>
        <x:v>3574.9000000000005</x:v>
      </x:c>
      <x:c r="D74" s="125" t="n">
        <x:f>D62+D68-D73</x:f>
        <x:v>5354.650000000001</x:v>
      </x:c>
      <x:c r="E74" s="125" t="n">
        <x:f>E62+E68-E73</x:f>
        <x:v>7234.400000000001</x:v>
      </x:c>
      <x:c r="F74" s="125" t="n">
        <x:f>F62+F68-F73</x:f>
        <x:v>8964.150000000001</x:v>
      </x:c>
      <x:c r="G74" s="125" t="n">
        <x:f>G62+G68-G73</x:f>
        <x:v>10843.900000000001</x:v>
      </x:c>
      <x:c r="H74" s="125" t="n">
        <x:f>H62+H68-H73</x:f>
        <x:v>12603.650000000001</x:v>
      </x:c>
      <x:c r="I74" s="125" t="n">
        <x:f>I62+I68-I73</x:f>
        <x:v>14463.400000000001</x:v>
      </x:c>
      <x:c r="J74" s="125" t="n">
        <x:f>J62+J68-J73</x:f>
        <x:v>16323.150000000001</x:v>
      </x:c>
      <x:c r="K74" s="125" t="n">
        <x:f>K62+K68-K73</x:f>
        <x:v>17820.600000000002</x:v>
      </x:c>
      <x:c r="L74" s="125" t="n">
        <x:f>L62+L68-L73</x:f>
        <x:v>19475.750000000004</x:v>
      </x:c>
      <x:c r="M74" s="125" t="n">
        <x:f>M62+M68-M73</x:f>
        <x:v>21130.900000000005</x:v>
      </x:c>
      <x:c r="N74" s="125" t="n">
        <x:f>N62+N68-N73</x:f>
        <x:v>22693.750000000007</x:v>
      </x:c>
      <x:c r="O74" s="125" t="n">
        <x:f>O62+O68-O73</x:f>
        <x:v>24064.300000000007</x:v>
      </x:c>
      <x:c r="P74" s="125" t="n">
        <x:f>P62+P68-P73</x:f>
        <x:v>25534.850000000006</x:v>
      </x:c>
      <x:c r="Q74" s="125" t="n">
        <x:f>Q62+Q68-Q73</x:f>
        <x:v>26563.100000000006</x:v>
      </x:c>
      <x:c r="R74" s="125" t="n">
        <x:f>R62+R68-R73</x:f>
        <x:v>27941.350000000006</x:v>
      </x:c>
      <x:c r="S74" s="125" t="n">
        <x:f>S62+S68-S73</x:f>
        <x:v>29227.300000000007</x:v>
      </x:c>
      <x:c r="T74" s="125" t="n">
        <x:f>T62+T68-T73</x:f>
        <x:v>30513.250000000007</x:v>
      </x:c>
      <x:c r="U74" s="125" t="n">
        <x:f>U62+U68-U73</x:f>
        <x:v>31706.90000000001</x:v>
      </x:c>
      <x:c r="V74" s="125" t="n">
        <x:f>V62+V68-V73</x:f>
        <x:v>32800.55000000001</x:v>
      </x:c>
      <x:c r="W74" s="125" t="n">
        <x:f>W62+W68-W73</x:f>
        <x:v>33994.20000000001</x:v>
      </x:c>
      <x:c r="X74" s="125" t="n">
        <x:f>X62+X68-X73</x:f>
        <x:v>34645.55000000001</x:v>
      </x:c>
      <x:c r="Y74" s="125" t="n">
        <x:f>Y62+Y68-Y73</x:f>
        <x:v>35746.90000000001</x:v>
      </x:c>
      <x:c r="Z74" s="125" t="n">
        <x:f>Z62+Z68-Z73</x:f>
        <x:v>36848.25000000001</x:v>
      </x:c>
      <x:c r="AA74" s="125" t="n">
        <x:f>AA62+AA68-AA73</x:f>
        <x:v>37857.30000000001</x:v>
      </x:c>
      <x:c r="AB74" s="125" t="n">
        <x:f>AB62+AB68-AB73</x:f>
        <x:v>38866.35000000001</x:v>
      </x:c>
      <x:c r="AC74" s="125" t="n">
        <x:f>AC62+AC68-AC73</x:f>
        <x:v>39875.400000000016</x:v>
      </x:c>
      <x:c r="AD74" s="125" t="n">
        <x:f>AD62+AD68-AD73</x:f>
        <x:v>40884.45000000002</x:v>
      </x:c>
      <x:c r="AE74" s="125" t="n">
        <x:f>AE62+AE68-AE73</x:f>
        <x:v>41151.20000000002</x:v>
      </x:c>
      <x:c r="AF74" s="65" t="str">
        <x:v>未模拟同日购买顺序；先赚元宝再补体力</x:v>
      </x:c>
    </x:row>
    <x:row r="75" ht="28" customHeight="1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  <x:c r="AA75" s="62"/>
      <x:c r="AB75" s="62"/>
      <x:c r="AC75" s="62"/>
      <x:c r="AD75" s="62"/>
      <x:c r="AE75" s="62"/>
      <x:c r="AF75" s="65"/>
    </x:row>
    <x:row r="76" ht="28" customHeight="1">
      <x:c r="A76" s="125" t="str">
        <x:v>强化石期初</x:v>
      </x:c>
      <x:c r="B76" s="125" t="n">
        <x:f>'经济参数'!$E$18</x:f>
        <x:v>24</x:v>
      </x:c>
      <x:c r="C76" s="125" t="n">
        <x:f>B83</x:f>
        <x:v>55.25999999999999</x:v>
      </x:c>
      <x:c r="D76" s="125" t="n">
        <x:f>C83</x:f>
        <x:v>92.51999999999998</x:v>
      </x:c>
      <x:c r="E76" s="125" t="n">
        <x:f>D83</x:f>
        <x:v>137.40999999999997</x:v>
      </x:c>
      <x:c r="F76" s="125" t="n">
        <x:f>E83</x:f>
        <x:v>167.29999999999995</x:v>
      </x:c>
      <x:c r="G76" s="125" t="n">
        <x:f>F83</x:f>
        <x:v>199.81999999999994</x:v>
      </x:c>
      <x:c r="H76" s="125" t="n">
        <x:f>G83</x:f>
        <x:v>232.33999999999992</x:v>
      </x:c>
      <x:c r="I76" s="125" t="n">
        <x:f>H83</x:f>
        <x:v>271.8599999999999</x:v>
      </x:c>
      <x:c r="J76" s="125" t="n">
        <x:f>I83</x:f>
        <x:v>337.0099999999999</x:v>
      </x:c>
      <x:c r="K76" s="125" t="n">
        <x:f>J83</x:f>
        <x:v>456.15999999999985</x:v>
      </x:c>
      <x:c r="L76" s="125" t="n">
        <x:f>K83</x:f>
        <x:v>569.8099999999998</x:v>
      </x:c>
      <x:c r="M76" s="125" t="n">
        <x:f>L83</x:f>
        <x:v>677.9599999999998</x:v>
      </x:c>
      <x:c r="N76" s="125" t="n">
        <x:f>M83</x:f>
        <x:v>791.1099999999998</x:v>
      </x:c>
      <x:c r="O76" s="125" t="n">
        <x:f>N83</x:f>
        <x:v>916.3899999999998</x:v>
      </x:c>
      <x:c r="P76" s="125" t="n">
        <x:f>O83</x:f>
        <x:v>1035.1699999999998</x:v>
      </x:c>
      <x:c r="Q76" s="125" t="n">
        <x:f>P83</x:f>
        <x:v>1027.9499999999998</x:v>
      </x:c>
      <x:c r="R76" s="125" t="n">
        <x:f>Q83</x:f>
        <x:v>1104.2299999999998</x:v>
      </x:c>
      <x:c r="S76" s="125" t="n">
        <x:f>R83</x:f>
        <x:v>1090.5099999999998</x:v>
      </x:c>
      <x:c r="T76" s="125" t="n">
        <x:f>S83</x:f>
        <x:v>1160.2899999999997</x:v>
      </x:c>
      <x:c r="U76" s="125" t="n">
        <x:f>T83</x:f>
        <x:v>1140.0699999999997</x:v>
      </x:c>
      <x:c r="V76" s="125" t="n">
        <x:f>U83</x:f>
        <x:v>1203.3499999999997</x:v>
      </x:c>
      <x:c r="W76" s="125" t="n">
        <x:f>V83</x:f>
        <x:v>1266.6299999999997</x:v>
      </x:c>
      <x:c r="X76" s="125" t="n">
        <x:f>W83</x:f>
        <x:v>1239.9099999999996</x:v>
      </x:c>
      <x:c r="Y76" s="125" t="n">
        <x:f>X83</x:f>
        <x:v>1296.6899999999996</x:v>
      </x:c>
      <x:c r="Z76" s="125" t="n">
        <x:f>Y83</x:f>
        <x:v>1353.4699999999996</x:v>
      </x:c>
      <x:c r="AA76" s="125" t="n">
        <x:f>Z83</x:f>
        <x:v>1410.2499999999995</x:v>
      </x:c>
      <x:c r="AB76" s="125" t="n">
        <x:f>AA83</x:f>
        <x:v>1406.5299999999995</x:v>
      </x:c>
      <x:c r="AC76" s="125" t="n">
        <x:f>AB83</x:f>
        <x:v>1402.8099999999995</x:v>
      </x:c>
      <x:c r="AD76" s="125" t="n">
        <x:f>AC83</x:f>
        <x:v>1399.0899999999995</x:v>
      </x:c>
      <x:c r="AE76" s="125" t="n">
        <x:f>AD83</x:f>
        <x:v>1395.3699999999994</x:v>
      </x:c>
      <x:c r="AF76" s="65"/>
    </x:row>
    <x:row r="77" ht="28" customHeight="1">
      <x:c r="A77" s="62" t="str">
        <x:v>主线强化石</x:v>
      </x:c>
      <x:c r="B77" s="62" t="n">
        <x:f>(B22*B34+B23*ROUNDDOWN(B34*B29/B8*'经济参数'!$E$25,0))*B30</x:f>
        <x:v>36</x:v>
      </x:c>
      <x:c r="C77" s="62" t="n">
        <x:f>(C22*C34+C23*ROUNDDOWN(C34*C29/C8*'经济参数'!$E$25,0))*C30</x:f>
        <x:v>40</x:v>
      </x:c>
      <x:c r="D77" s="62" t="n">
        <x:f>(D22*D34+D23*ROUNDDOWN(D34*D29/D8*'经济参数'!$E$25,0))*D30</x:f>
        <x:v>65</x:v>
      </x:c>
      <x:c r="E77" s="62" t="n">
        <x:f>(E22*E34+E23*ROUNDDOWN(E34*E29/E8*'经济参数'!$E$25,0))*E30</x:f>
        <x:v>65</x:v>
      </x:c>
      <x:c r="F77" s="62" t="n">
        <x:f>(F22*F34+F23*ROUNDDOWN(F34*F29/F8*'经济参数'!$E$25,0))*F30</x:f>
        <x:v>85</x:v>
      </x:c>
      <x:c r="G77" s="62" t="n">
        <x:f>(G22*G34+G23*ROUNDDOWN(G34*G29/G8*'经济参数'!$E$25,0))*G30</x:f>
        <x:v>85</x:v>
      </x:c>
      <x:c r="H77" s="62" t="n">
        <x:f>(H22*H34+H23*ROUNDDOWN(H34*H29/H8*'经济参数'!$E$25,0))*H30</x:f>
        <x:v>85</x:v>
      </x:c>
      <x:c r="I77" s="62" t="n">
        <x:f>(I22*I34+I23*ROUNDDOWN(I34*I29/I8*'经济参数'!$E$25,0))*I30</x:f>
        <x:v>110</x:v>
      </x:c>
      <x:c r="J77" s="62" t="n">
        <x:f>(J22*J34+J23*ROUNDDOWN(J34*J29/J8*'经济参数'!$E$25,0))*J30</x:f>
        <x:v>110</x:v>
      </x:c>
      <x:c r="K77" s="62" t="n">
        <x:f>(K22*K34+K23*ROUNDDOWN(K34*K29/K8*'经济参数'!$E$25,0))*K30</x:f>
        <x:v>104.5</x:v>
      </x:c>
      <x:c r="L77" s="62" t="n">
        <x:f>(L22*L34+L23*ROUNDDOWN(L34*L29/L8*'经济参数'!$E$25,0))*L30</x:f>
        <x:v>99</x:v>
      </x:c>
      <x:c r="M77" s="62" t="n">
        <x:f>(M22*M34+M23*ROUNDDOWN(M34*M29/M8*'经济参数'!$E$25,0))*M30</x:f>
        <x:v>99</x:v>
      </x:c>
      <x:c r="N77" s="62" t="n">
        <x:f>(N22*N34+N23*ROUNDDOWN(N34*N29/N8*'经济参数'!$E$25,0))*N30</x:f>
        <x:v>110.5</x:v>
      </x:c>
      <x:c r="O77" s="62" t="n">
        <x:f>(O22*O34+O23*ROUNDDOWN(O34*O29/O8*'经济参数'!$E$25,0))*O30</x:f>
        <x:v>104.00000000000003</x:v>
      </x:c>
      <x:c r="P77" s="62" t="n">
        <x:f>(P22*P34+P23*ROUNDDOWN(P34*P29/P8*'经济参数'!$E$25,0))*P30</x:f>
        <x:v>104.00000000000003</x:v>
      </x:c>
      <x:c r="Q77" s="62" t="n">
        <x:f>(Q22*Q34+Q23*ROUNDDOWN(Q34*Q29/Q8*'经济参数'!$E$25,0))*Q30</x:f>
        <x:v>97.5</x:v>
      </x:c>
      <x:c r="R77" s="62" t="n">
        <x:f>(R22*R34+R23*ROUNDDOWN(R34*R29/R8*'经济参数'!$E$25,0))*R30</x:f>
        <x:v>97.5</x:v>
      </x:c>
      <x:c r="S77" s="62" t="n">
        <x:f>(S22*S34+S23*ROUNDDOWN(S34*S29/S8*'经济参数'!$E$25,0))*S30</x:f>
        <x:v>91</x:v>
      </x:c>
      <x:c r="T77" s="62" t="n">
        <x:f>(T22*T34+T23*ROUNDDOWN(T34*T29/T8*'经济参数'!$E$25,0))*T30</x:f>
        <x:v>91</x:v>
      </x:c>
      <x:c r="U77" s="62" t="n">
        <x:f>(U22*U34+U23*ROUNDDOWN(U34*U29/U8*'经济参数'!$E$25,0))*U30</x:f>
        <x:v>84.50000000000001</x:v>
      </x:c>
      <x:c r="V77" s="62" t="n">
        <x:f>(V22*V34+V23*ROUNDDOWN(V34*V29/V8*'经济参数'!$E$25,0))*V30</x:f>
        <x:v>84.50000000000001</x:v>
      </x:c>
      <x:c r="W77" s="62" t="n">
        <x:f>(W22*W34+W23*ROUNDDOWN(W34*W29/W8*'经济参数'!$E$25,0))*W30</x:f>
        <x:v>84.50000000000001</x:v>
      </x:c>
      <x:c r="X77" s="62" t="n">
        <x:f>(X22*X34+X23*ROUNDDOWN(X34*X29/X8*'经济参数'!$E$25,0))*X30</x:f>
        <x:v>78</x:v>
      </x:c>
      <x:c r="Y77" s="62" t="n">
        <x:f>(Y22*Y34+Y23*ROUNDDOWN(Y34*Y29/Y8*'经济参数'!$E$25,0))*Y30</x:f>
        <x:v>78</x:v>
      </x:c>
      <x:c r="Z77" s="62" t="n">
        <x:f>(Z22*Z34+Z23*ROUNDDOWN(Z34*Z29/Z8*'经济参数'!$E$25,0))*Z30</x:f>
        <x:v>78</x:v>
      </x:c>
      <x:c r="AA77" s="62" t="n">
        <x:f>(AA22*AA34+AA23*ROUNDDOWN(AA34*AA29/AA8*'经济参数'!$E$25,0))*AA30</x:f>
        <x:v>71.5</x:v>
      </x:c>
      <x:c r="AB77" s="62" t="n">
        <x:f>(AB22*AB34+AB23*ROUNDDOWN(AB34*AB29/AB8*'经济参数'!$E$25,0))*AB30</x:f>
        <x:v>71.5</x:v>
      </x:c>
      <x:c r="AC77" s="62" t="n">
        <x:f>(AC22*AC34+AC23*ROUNDDOWN(AC34*AC29/AC8*'经济参数'!$E$25,0))*AC30</x:f>
        <x:v>71.5</x:v>
      </x:c>
      <x:c r="AD77" s="62" t="n">
        <x:f>(AD22*AD34+AD23*ROUNDDOWN(AD34*AD29/AD8*'经济参数'!$E$25,0))*AD30</x:f>
        <x:v>71.5</x:v>
      </x:c>
      <x:c r="AE77" s="62" t="n">
        <x:f>(AE22*AE34+AE23*ROUNDDOWN(AE34*AE29/AE8*'经济参数'!$E$25,0))*AE30</x:f>
        <x:v>65</x:v>
      </x:c>
      <x:c r="AF77" s="65"/>
    </x:row>
    <x:row r="78" ht="28" customHeight="1">
      <x:c r="A78" s="62" t="str">
        <x:v>每日任务强化石</x:v>
      </x:c>
      <x:c r="B78" s="62" t="n">
        <x:f>B31*(IF(B21&gt;0,IF(B36&gt;='材料与任务'!$E$31,'材料与任务'!$E$34,IF(B36&gt;='材料与任务'!$E$25,'材料与任务'!$E$28,IF(B36&gt;='材料与任务'!$E$19,'材料与任务'!$E$22,IF(B36&gt;='材料与任务'!$E$13,'材料与任务'!$E$16,'材料与任务'!$E$10))))+IF(B36&gt;='材料与任务'!$E$31,'材料与任务'!$E$35,IF(B36&gt;='材料与任务'!$E$25,'材料与任务'!$E$29,IF(B36&gt;='材料与任务'!$E$19,'材料与任务'!$E$23,IF(B36&gt;='材料与任务'!$E$13,'材料与任务'!$E$17,'材料与任务'!$E$11)))),0)+IF(B101&gt;0,MAX(1,ROUNDDOWN((IF(B36&gt;='材料与任务'!$E$31,'材料与任务'!$E$34,IF(B36&gt;='材料与任务'!$E$25,'材料与任务'!$E$28,IF(B36&gt;='材料与任务'!$E$19,'材料与任务'!$E$22,IF(B36&gt;='材料与任务'!$E$13,'材料与任务'!$E$16,'材料与任务'!$E$10)))))/2,0)),0))</x:f>
        <x:v>12</x:v>
      </x:c>
      <x:c r="C78" s="62" t="n">
        <x:f>C31*(IF(C21&gt;0,IF(C36&gt;='材料与任务'!$E$31,'材料与任务'!$E$34,IF(C36&gt;='材料与任务'!$E$25,'材料与任务'!$E$28,IF(C36&gt;='材料与任务'!$E$19,'材料与任务'!$E$22,IF(C36&gt;='材料与任务'!$E$13,'材料与任务'!$E$16,'材料与任务'!$E$10))))+IF(C36&gt;='材料与任务'!$E$31,'材料与任务'!$E$35,IF(C36&gt;='材料与任务'!$E$25,'材料与任务'!$E$29,IF(C36&gt;='材料与任务'!$E$19,'材料与任务'!$E$23,IF(C36&gt;='材料与任务'!$E$13,'材料与任务'!$E$17,'材料与任务'!$E$11)))),0)+IF(C101&gt;0,MAX(1,ROUNDDOWN((IF(C36&gt;='材料与任务'!$E$31,'材料与任务'!$E$34,IF(C36&gt;='材料与任务'!$E$25,'材料与任务'!$E$28,IF(C36&gt;='材料与任务'!$E$19,'材料与任务'!$E$22,IF(C36&gt;='材料与任务'!$E$13,'材料与任务'!$E$16,'材料与任务'!$E$10)))))/2,0)),0))</x:f>
        <x:v>14</x:v>
      </x:c>
      <x:c r="D78" s="62" t="n">
        <x:f>D31*(IF(D21&gt;0,IF(D36&gt;='材料与任务'!$E$31,'材料与任务'!$E$34,IF(D36&gt;='材料与任务'!$E$25,'材料与任务'!$E$28,IF(D36&gt;='材料与任务'!$E$19,'材料与任务'!$E$22,IF(D36&gt;='材料与任务'!$E$13,'材料与任务'!$E$16,'材料与任务'!$E$10))))+IF(D36&gt;='材料与任务'!$E$31,'材料与任务'!$E$35,IF(D36&gt;='材料与任务'!$E$25,'材料与任务'!$E$29,IF(D36&gt;='材料与任务'!$E$19,'材料与任务'!$E$23,IF(D36&gt;='材料与任务'!$E$13,'材料与任务'!$E$17,'材料与任务'!$E$11)))),0)+IF(D101&gt;0,MAX(1,ROUNDDOWN((IF(D36&gt;='材料与任务'!$E$31,'材料与任务'!$E$34,IF(D36&gt;='材料与任务'!$E$25,'材料与任务'!$E$28,IF(D36&gt;='材料与任务'!$E$19,'材料与任务'!$E$22,IF(D36&gt;='材料与任务'!$E$13,'材料与任务'!$E$16,'材料与任务'!$E$10)))))/2,0)),0))</x:f>
        <x:v>14</x:v>
      </x:c>
      <x:c r="E78" s="62" t="n">
        <x:f>E31*(IF(E21&gt;0,IF(E36&gt;='材料与任务'!$E$31,'材料与任务'!$E$34,IF(E36&gt;='材料与任务'!$E$25,'材料与任务'!$E$28,IF(E36&gt;='材料与任务'!$E$19,'材料与任务'!$E$22,IF(E36&gt;='材料与任务'!$E$13,'材料与任务'!$E$16,'材料与任务'!$E$10))))+IF(E36&gt;='材料与任务'!$E$31,'材料与任务'!$E$35,IF(E36&gt;='材料与任务'!$E$25,'材料与任务'!$E$29,IF(E36&gt;='材料与任务'!$E$19,'材料与任务'!$E$23,IF(E36&gt;='材料与任务'!$E$13,'材料与任务'!$E$17,'材料与任务'!$E$11)))),0)+IF(E101&gt;0,MAX(1,ROUNDDOWN((IF(E36&gt;='材料与任务'!$E$31,'材料与任务'!$E$34,IF(E36&gt;='材料与任务'!$E$25,'材料与任务'!$E$28,IF(E36&gt;='材料与任务'!$E$19,'材料与任务'!$E$22,IF(E36&gt;='材料与任务'!$E$13,'材料与任务'!$E$16,'材料与任务'!$E$10)))))/2,0)),0))</x:f>
        <x:v>17</x:v>
      </x:c>
      <x:c r="F78" s="62" t="n">
        <x:f>F31*(IF(F21&gt;0,IF(F36&gt;='材料与任务'!$E$31,'材料与任务'!$E$34,IF(F36&gt;='材料与任务'!$E$25,'材料与任务'!$E$28,IF(F36&gt;='材料与任务'!$E$19,'材料与任务'!$E$22,IF(F36&gt;='材料与任务'!$E$13,'材料与任务'!$E$16,'材料与任务'!$E$10))))+IF(F36&gt;='材料与任务'!$E$31,'材料与任务'!$E$35,IF(F36&gt;='材料与任务'!$E$25,'材料与任务'!$E$29,IF(F36&gt;='材料与任务'!$E$19,'材料与任务'!$E$23,IF(F36&gt;='材料与任务'!$E$13,'材料与任务'!$E$17,'材料与任务'!$E$11)))),0)+IF(F101&gt;0,MAX(1,ROUNDDOWN((IF(F36&gt;='材料与任务'!$E$31,'材料与任务'!$E$34,IF(F36&gt;='材料与任务'!$E$25,'材料与任务'!$E$28,IF(F36&gt;='材料与任务'!$E$19,'材料与任务'!$E$22,IF(F36&gt;='材料与任务'!$E$13,'材料与任务'!$E$16,'材料与任务'!$E$10)))))/2,0)),0))</x:f>
        <x:v>17</x:v>
      </x:c>
      <x:c r="G78" s="62" t="n">
        <x:f>G31*(IF(G21&gt;0,IF(G36&gt;='材料与任务'!$E$31,'材料与任务'!$E$34,IF(G36&gt;='材料与任务'!$E$25,'材料与任务'!$E$28,IF(G36&gt;='材料与任务'!$E$19,'材料与任务'!$E$22,IF(G36&gt;='材料与任务'!$E$13,'材料与任务'!$E$16,'材料与任务'!$E$10))))+IF(G36&gt;='材料与任务'!$E$31,'材料与任务'!$E$35,IF(G36&gt;='材料与任务'!$E$25,'材料与任务'!$E$29,IF(G36&gt;='材料与任务'!$E$19,'材料与任务'!$E$23,IF(G36&gt;='材料与任务'!$E$13,'材料与任务'!$E$17,'材料与任务'!$E$11)))),0)+IF(G101&gt;0,MAX(1,ROUNDDOWN((IF(G36&gt;='材料与任务'!$E$31,'材料与任务'!$E$34,IF(G36&gt;='材料与任务'!$E$25,'材料与任务'!$E$28,IF(G36&gt;='材料与任务'!$E$19,'材料与任务'!$E$22,IF(G36&gt;='材料与任务'!$E$13,'材料与任务'!$E$16,'材料与任务'!$E$10)))))/2,0)),0))</x:f>
        <x:v>17</x:v>
      </x:c>
      <x:c r="H78" s="62" t="n">
        <x:f>H31*(IF(H21&gt;0,IF(H36&gt;='材料与任务'!$E$31,'材料与任务'!$E$34,IF(H36&gt;='材料与任务'!$E$25,'材料与任务'!$E$28,IF(H36&gt;='材料与任务'!$E$19,'材料与任务'!$E$22,IF(H36&gt;='材料与任务'!$E$13,'材料与任务'!$E$16,'材料与任务'!$E$10))))+IF(H36&gt;='材料与任务'!$E$31,'材料与任务'!$E$35,IF(H36&gt;='材料与任务'!$E$25,'材料与任务'!$E$29,IF(H36&gt;='材料与任务'!$E$19,'材料与任务'!$E$23,IF(H36&gt;='材料与任务'!$E$13,'材料与任务'!$E$17,'材料与任务'!$E$11)))),0)+IF(H101&gt;0,MAX(1,ROUNDDOWN((IF(H36&gt;='材料与任务'!$E$31,'材料与任务'!$E$34,IF(H36&gt;='材料与任务'!$E$25,'材料与任务'!$E$28,IF(H36&gt;='材料与任务'!$E$19,'材料与任务'!$E$22,IF(H36&gt;='材料与任务'!$E$13,'材料与任务'!$E$16,'材料与任务'!$E$10)))))/2,0)),0))</x:f>
        <x:v>20</x:v>
      </x:c>
      <x:c r="I78" s="62" t="n">
        <x:f>I31*(IF(I21&gt;0,IF(I36&gt;='材料与任务'!$E$31,'材料与任务'!$E$34,IF(I36&gt;='材料与任务'!$E$25,'材料与任务'!$E$28,IF(I36&gt;='材料与任务'!$E$19,'材料与任务'!$E$22,IF(I36&gt;='材料与任务'!$E$13,'材料与任务'!$E$16,'材料与任务'!$E$10))))+IF(I36&gt;='材料与任务'!$E$31,'材料与任务'!$E$35,IF(I36&gt;='材料与任务'!$E$25,'材料与任务'!$E$29,IF(I36&gt;='材料与任务'!$E$19,'材料与任务'!$E$23,IF(I36&gt;='材料与任务'!$E$13,'材料与任务'!$E$17,'材料与任务'!$E$11)))),0)+IF(I101&gt;0,MAX(1,ROUNDDOWN((IF(I36&gt;='材料与任务'!$E$31,'材料与任务'!$E$34,IF(I36&gt;='材料与任务'!$E$25,'材料与任务'!$E$28,IF(I36&gt;='材料与任务'!$E$19,'材料与任务'!$E$22,IF(I36&gt;='材料与任务'!$E$13,'材料与任务'!$E$16,'材料与任务'!$E$10)))))/2,0)),0))</x:f>
        <x:v>20</x:v>
      </x:c>
      <x:c r="J78" s="62" t="n">
        <x:f>J31*(IF(J21&gt;0,IF(J36&gt;='材料与任务'!$E$31,'材料与任务'!$E$34,IF(J36&gt;='材料与任务'!$E$25,'材料与任务'!$E$28,IF(J36&gt;='材料与任务'!$E$19,'材料与任务'!$E$22,IF(J36&gt;='材料与任务'!$E$13,'材料与任务'!$E$16,'材料与任务'!$E$10))))+IF(J36&gt;='材料与任务'!$E$31,'材料与任务'!$E$35,IF(J36&gt;='材料与任务'!$E$25,'材料与任务'!$E$29,IF(J36&gt;='材料与任务'!$E$19,'材料与任务'!$E$23,IF(J36&gt;='材料与任务'!$E$13,'材料与任务'!$E$17,'材料与任务'!$E$11)))),0)+IF(J101&gt;0,MAX(1,ROUNDDOWN((IF(J36&gt;='材料与任务'!$E$31,'材料与任务'!$E$34,IF(J36&gt;='材料与任务'!$E$25,'材料与任务'!$E$28,IF(J36&gt;='材料与任务'!$E$19,'材料与任务'!$E$22,IF(J36&gt;='材料与任务'!$E$13,'材料与任务'!$E$16,'材料与任务'!$E$10)))))/2,0)),0))</x:f>
        <x:v>20</x:v>
      </x:c>
      <x:c r="K78" s="62" t="n">
        <x:f>K31*(IF(K21&gt;0,IF(K36&gt;='材料与任务'!$E$31,'材料与任务'!$E$34,IF(K36&gt;='材料与任务'!$E$25,'材料与任务'!$E$28,IF(K36&gt;='材料与任务'!$E$19,'材料与任务'!$E$22,IF(K36&gt;='材料与任务'!$E$13,'材料与任务'!$E$16,'材料与任务'!$E$10))))+IF(K36&gt;='材料与任务'!$E$31,'材料与任务'!$E$35,IF(K36&gt;='材料与任务'!$E$25,'材料与任务'!$E$29,IF(K36&gt;='材料与任务'!$E$19,'材料与任务'!$E$23,IF(K36&gt;='材料与任务'!$E$13,'材料与任务'!$E$17,'材料与任务'!$E$11)))),0)+IF(K101&gt;0,MAX(1,ROUNDDOWN((IF(K36&gt;='材料与任务'!$E$31,'材料与任务'!$E$34,IF(K36&gt;='材料与任务'!$E$25,'材料与任务'!$E$28,IF(K36&gt;='材料与任务'!$E$19,'材料与任务'!$E$22,IF(K36&gt;='材料与任务'!$E$13,'材料与任务'!$E$16,'材料与任务'!$E$10)))))/2,0)),0))</x:f>
        <x:v>20</x:v>
      </x:c>
      <x:c r="L78" s="62" t="n">
        <x:f>L31*(IF(L21&gt;0,IF(L36&gt;='材料与任务'!$E$31,'材料与任务'!$E$34,IF(L36&gt;='材料与任务'!$E$25,'材料与任务'!$E$28,IF(L36&gt;='材料与任务'!$E$19,'材料与任务'!$E$22,IF(L36&gt;='材料与任务'!$E$13,'材料与任务'!$E$16,'材料与任务'!$E$10))))+IF(L36&gt;='材料与任务'!$E$31,'材料与任务'!$E$35,IF(L36&gt;='材料与任务'!$E$25,'材料与任务'!$E$29,IF(L36&gt;='材料与任务'!$E$19,'材料与任务'!$E$23,IF(L36&gt;='材料与任务'!$E$13,'材料与任务'!$E$17,'材料与任务'!$E$11)))),0)+IF(L101&gt;0,MAX(1,ROUNDDOWN((IF(L36&gt;='材料与任务'!$E$31,'材料与任务'!$E$34,IF(L36&gt;='材料与任务'!$E$25,'材料与任务'!$E$28,IF(L36&gt;='材料与任务'!$E$19,'材料与任务'!$E$22,IF(L36&gt;='材料与任务'!$E$13,'材料与任务'!$E$16,'材料与任务'!$E$10)))))/2,0)),0))</x:f>
        <x:v>20</x:v>
      </x:c>
      <x:c r="M78" s="62" t="n">
        <x:f>M31*(IF(M21&gt;0,IF(M36&gt;='材料与任务'!$E$31,'材料与任务'!$E$34,IF(M36&gt;='材料与任务'!$E$25,'材料与任务'!$E$28,IF(M36&gt;='材料与任务'!$E$19,'材料与任务'!$E$22,IF(M36&gt;='材料与任务'!$E$13,'材料与任务'!$E$16,'材料与任务'!$E$10))))+IF(M36&gt;='材料与任务'!$E$31,'材料与任务'!$E$35,IF(M36&gt;='材料与任务'!$E$25,'材料与任务'!$E$29,IF(M36&gt;='材料与任务'!$E$19,'材料与任务'!$E$23,IF(M36&gt;='材料与任务'!$E$13,'材料与任务'!$E$17,'材料与任务'!$E$11)))),0)+IF(M101&gt;0,MAX(1,ROUNDDOWN((IF(M36&gt;='材料与任务'!$E$31,'材料与任务'!$E$34,IF(M36&gt;='材料与任务'!$E$25,'材料与任务'!$E$28,IF(M36&gt;='材料与任务'!$E$19,'材料与任务'!$E$22,IF(M36&gt;='材料与任务'!$E$13,'材料与任务'!$E$16,'材料与任务'!$E$10)))))/2,0)),0))</x:f>
        <x:v>25</x:v>
      </x:c>
      <x:c r="N78" s="62" t="n">
        <x:f>N31*(IF(N21&gt;0,IF(N36&gt;='材料与任务'!$E$31,'材料与任务'!$E$34,IF(N36&gt;='材料与任务'!$E$25,'材料与任务'!$E$28,IF(N36&gt;='材料与任务'!$E$19,'材料与任务'!$E$22,IF(N36&gt;='材料与任务'!$E$13,'材料与任务'!$E$16,'材料与任务'!$E$10))))+IF(N36&gt;='材料与任务'!$E$31,'材料与任务'!$E$35,IF(N36&gt;='材料与任务'!$E$25,'材料与任务'!$E$29,IF(N36&gt;='材料与任务'!$E$19,'材料与任务'!$E$23,IF(N36&gt;='材料与任务'!$E$13,'材料与任务'!$E$17,'材料与任务'!$E$11)))),0)+IF(N101&gt;0,MAX(1,ROUNDDOWN((IF(N36&gt;='材料与任务'!$E$31,'材料与任务'!$E$34,IF(N36&gt;='材料与任务'!$E$25,'材料与任务'!$E$28,IF(N36&gt;='材料与任务'!$E$19,'材料与任务'!$E$22,IF(N36&gt;='材料与任务'!$E$13,'材料与任务'!$E$16,'材料与任务'!$E$10)))))/2,0)),0))</x:f>
        <x:v>25</x:v>
      </x:c>
      <x:c r="O78" s="62" t="n">
        <x:f>O31*(IF(O21&gt;0,IF(O36&gt;='材料与任务'!$E$31,'材料与任务'!$E$34,IF(O36&gt;='材料与任务'!$E$25,'材料与任务'!$E$28,IF(O36&gt;='材料与任务'!$E$19,'材料与任务'!$E$22,IF(O36&gt;='材料与任务'!$E$13,'材料与任务'!$E$16,'材料与任务'!$E$10))))+IF(O36&gt;='材料与任务'!$E$31,'材料与任务'!$E$35,IF(O36&gt;='材料与任务'!$E$25,'材料与任务'!$E$29,IF(O36&gt;='材料与任务'!$E$19,'材料与任务'!$E$23,IF(O36&gt;='材料与任务'!$E$13,'材料与任务'!$E$17,'材料与任务'!$E$11)))),0)+IF(O101&gt;0,MAX(1,ROUNDDOWN((IF(O36&gt;='材料与任务'!$E$31,'材料与任务'!$E$34,IF(O36&gt;='材料与任务'!$E$25,'材料与任务'!$E$28,IF(O36&gt;='材料与任务'!$E$19,'材料与任务'!$E$22,IF(O36&gt;='材料与任务'!$E$13,'材料与任务'!$E$16,'材料与任务'!$E$10)))))/2,0)),0))</x:f>
        <x:v>25</x:v>
      </x:c>
      <x:c r="P78" s="62" t="n">
        <x:f>P31*(IF(P21&gt;0,IF(P36&gt;='材料与任务'!$E$31,'材料与任务'!$E$34,IF(P36&gt;='材料与任务'!$E$25,'材料与任务'!$E$28,IF(P36&gt;='材料与任务'!$E$19,'材料与任务'!$E$22,IF(P36&gt;='材料与任务'!$E$13,'材料与任务'!$E$16,'材料与任务'!$E$10))))+IF(P36&gt;='材料与任务'!$E$31,'材料与任务'!$E$35,IF(P36&gt;='材料与任务'!$E$25,'材料与任务'!$E$29,IF(P36&gt;='材料与任务'!$E$19,'材料与任务'!$E$23,IF(P36&gt;='材料与任务'!$E$13,'材料与任务'!$E$17,'材料与任务'!$E$11)))),0)+IF(P101&gt;0,MAX(1,ROUNDDOWN((IF(P36&gt;='材料与任务'!$E$31,'材料与任务'!$E$34,IF(P36&gt;='材料与任务'!$E$25,'材料与任务'!$E$28,IF(P36&gt;='材料与任务'!$E$19,'材料与任务'!$E$22,IF(P36&gt;='材料与任务'!$E$13,'材料与任务'!$E$16,'材料与任务'!$E$10)))))/2,0)),0))</x:f>
        <x:v>25</x:v>
      </x:c>
      <x:c r="Q78" s="62" t="n">
        <x:f>Q31*(IF(Q21&gt;0,IF(Q36&gt;='材料与任务'!$E$31,'材料与任务'!$E$34,IF(Q36&gt;='材料与任务'!$E$25,'材料与任务'!$E$28,IF(Q36&gt;='材料与任务'!$E$19,'材料与任务'!$E$22,IF(Q36&gt;='材料与任务'!$E$13,'材料与任务'!$E$16,'材料与任务'!$E$10))))+IF(Q36&gt;='材料与任务'!$E$31,'材料与任务'!$E$35,IF(Q36&gt;='材料与任务'!$E$25,'材料与任务'!$E$29,IF(Q36&gt;='材料与任务'!$E$19,'材料与任务'!$E$23,IF(Q36&gt;='材料与任务'!$E$13,'材料与任务'!$E$17,'材料与任务'!$E$11)))),0)+IF(Q101&gt;0,MAX(1,ROUNDDOWN((IF(Q36&gt;='材料与任务'!$E$31,'材料与任务'!$E$34,IF(Q36&gt;='材料与任务'!$E$25,'材料与任务'!$E$28,IF(Q36&gt;='材料与任务'!$E$19,'材料与任务'!$E$22,IF(Q36&gt;='材料与任务'!$E$13,'材料与任务'!$E$16,'材料与任务'!$E$10)))))/2,0)),0))</x:f>
        <x:v>25</x:v>
      </x:c>
      <x:c r="R78" s="62" t="n">
        <x:f>R31*(IF(R21&gt;0,IF(R36&gt;='材料与任务'!$E$31,'材料与任务'!$E$34,IF(R36&gt;='材料与任务'!$E$25,'材料与任务'!$E$28,IF(R36&gt;='材料与任务'!$E$19,'材料与任务'!$E$22,IF(R36&gt;='材料与任务'!$E$13,'材料与任务'!$E$16,'材料与任务'!$E$10))))+IF(R36&gt;='材料与任务'!$E$31,'材料与任务'!$E$35,IF(R36&gt;='材料与任务'!$E$25,'材料与任务'!$E$29,IF(R36&gt;='材料与任务'!$E$19,'材料与任务'!$E$23,IF(R36&gt;='材料与任务'!$E$13,'材料与任务'!$E$17,'材料与任务'!$E$11)))),0)+IF(R101&gt;0,MAX(1,ROUNDDOWN((IF(R36&gt;='材料与任务'!$E$31,'材料与任务'!$E$34,IF(R36&gt;='材料与任务'!$E$25,'材料与任务'!$E$28,IF(R36&gt;='材料与任务'!$E$19,'材料与任务'!$E$22,IF(R36&gt;='材料与任务'!$E$13,'材料与任务'!$E$16,'材料与任务'!$E$10)))))/2,0)),0))</x:f>
        <x:v>25</x:v>
      </x:c>
      <x:c r="S78" s="62" t="n">
        <x:f>S31*(IF(S21&gt;0,IF(S36&gt;='材料与任务'!$E$31,'材料与任务'!$E$34,IF(S36&gt;='材料与任务'!$E$25,'材料与任务'!$E$28,IF(S36&gt;='材料与任务'!$E$19,'材料与任务'!$E$22,IF(S36&gt;='材料与任务'!$E$13,'材料与任务'!$E$16,'材料与任务'!$E$10))))+IF(S36&gt;='材料与任务'!$E$31,'材料与任务'!$E$35,IF(S36&gt;='材料与任务'!$E$25,'材料与任务'!$E$29,IF(S36&gt;='材料与任务'!$E$19,'材料与任务'!$E$23,IF(S36&gt;='材料与任务'!$E$13,'材料与任务'!$E$17,'材料与任务'!$E$11)))),0)+IF(S101&gt;0,MAX(1,ROUNDDOWN((IF(S36&gt;='材料与任务'!$E$31,'材料与任务'!$E$34,IF(S36&gt;='材料与任务'!$E$25,'材料与任务'!$E$28,IF(S36&gt;='材料与任务'!$E$19,'材料与任务'!$E$22,IF(S36&gt;='材料与任务'!$E$13,'材料与任务'!$E$16,'材料与任务'!$E$10)))))/2,0)),0))</x:f>
        <x:v>25</x:v>
      </x:c>
      <x:c r="T78" s="62" t="n">
        <x:f>T31*(IF(T21&gt;0,IF(T36&gt;='材料与任务'!$E$31,'材料与任务'!$E$34,IF(T36&gt;='材料与任务'!$E$25,'材料与任务'!$E$28,IF(T36&gt;='材料与任务'!$E$19,'材料与任务'!$E$22,IF(T36&gt;='材料与任务'!$E$13,'材料与任务'!$E$16,'材料与任务'!$E$10))))+IF(T36&gt;='材料与任务'!$E$31,'材料与任务'!$E$35,IF(T36&gt;='材料与任务'!$E$25,'材料与任务'!$E$29,IF(T36&gt;='材料与任务'!$E$19,'材料与任务'!$E$23,IF(T36&gt;='材料与任务'!$E$13,'材料与任务'!$E$17,'材料与任务'!$E$11)))),0)+IF(T101&gt;0,MAX(1,ROUNDDOWN((IF(T36&gt;='材料与任务'!$E$31,'材料与任务'!$E$34,IF(T36&gt;='材料与任务'!$E$25,'材料与任务'!$E$28,IF(T36&gt;='材料与任务'!$E$19,'材料与任务'!$E$22,IF(T36&gt;='材料与任务'!$E$13,'材料与任务'!$E$16,'材料与任务'!$E$10)))))/2,0)),0))</x:f>
        <x:v>25</x:v>
      </x:c>
      <x:c r="U78" s="62" t="n">
        <x:f>U31*(IF(U21&gt;0,IF(U36&gt;='材料与任务'!$E$31,'材料与任务'!$E$34,IF(U36&gt;='材料与任务'!$E$25,'材料与任务'!$E$28,IF(U36&gt;='材料与任务'!$E$19,'材料与任务'!$E$22,IF(U36&gt;='材料与任务'!$E$13,'材料与任务'!$E$16,'材料与任务'!$E$10))))+IF(U36&gt;='材料与任务'!$E$31,'材料与任务'!$E$35,IF(U36&gt;='材料与任务'!$E$25,'材料与任务'!$E$29,IF(U36&gt;='材料与任务'!$E$19,'材料与任务'!$E$23,IF(U36&gt;='材料与任务'!$E$13,'材料与任务'!$E$17,'材料与任务'!$E$11)))),0)+IF(U101&gt;0,MAX(1,ROUNDDOWN((IF(U36&gt;='材料与任务'!$E$31,'材料与任务'!$E$34,IF(U36&gt;='材料与任务'!$E$25,'材料与任务'!$E$28,IF(U36&gt;='材料与任务'!$E$19,'材料与任务'!$E$22,IF(U36&gt;='材料与任务'!$E$13,'材料与任务'!$E$16,'材料与任务'!$E$10)))))/2,0)),0))</x:f>
        <x:v>25</x:v>
      </x:c>
      <x:c r="V78" s="62" t="n">
        <x:f>V31*(IF(V21&gt;0,IF(V36&gt;='材料与任务'!$E$31,'材料与任务'!$E$34,IF(V36&gt;='材料与任务'!$E$25,'材料与任务'!$E$28,IF(V36&gt;='材料与任务'!$E$19,'材料与任务'!$E$22,IF(V36&gt;='材料与任务'!$E$13,'材料与任务'!$E$16,'材料与任务'!$E$10))))+IF(V36&gt;='材料与任务'!$E$31,'材料与任务'!$E$35,IF(V36&gt;='材料与任务'!$E$25,'材料与任务'!$E$29,IF(V36&gt;='材料与任务'!$E$19,'材料与任务'!$E$23,IF(V36&gt;='材料与任务'!$E$13,'材料与任务'!$E$17,'材料与任务'!$E$11)))),0)+IF(V101&gt;0,MAX(1,ROUNDDOWN((IF(V36&gt;='材料与任务'!$E$31,'材料与任务'!$E$34,IF(V36&gt;='材料与任务'!$E$25,'材料与任务'!$E$28,IF(V36&gt;='材料与任务'!$E$19,'材料与任务'!$E$22,IF(V36&gt;='材料与任务'!$E$13,'材料与任务'!$E$16,'材料与任务'!$E$10)))))/2,0)),0))</x:f>
        <x:v>25</x:v>
      </x:c>
      <x:c r="W78" s="62" t="n">
        <x:f>W31*(IF(W21&gt;0,IF(W36&gt;='材料与任务'!$E$31,'材料与任务'!$E$34,IF(W36&gt;='材料与任务'!$E$25,'材料与任务'!$E$28,IF(W36&gt;='材料与任务'!$E$19,'材料与任务'!$E$22,IF(W36&gt;='材料与任务'!$E$13,'材料与任务'!$E$16,'材料与任务'!$E$10))))+IF(W36&gt;='材料与任务'!$E$31,'材料与任务'!$E$35,IF(W36&gt;='材料与任务'!$E$25,'材料与任务'!$E$29,IF(W36&gt;='材料与任务'!$E$19,'材料与任务'!$E$23,IF(W36&gt;='材料与任务'!$E$13,'材料与任务'!$E$17,'材料与任务'!$E$11)))),0)+IF(W101&gt;0,MAX(1,ROUNDDOWN((IF(W36&gt;='材料与任务'!$E$31,'材料与任务'!$E$34,IF(W36&gt;='材料与任务'!$E$25,'材料与任务'!$E$28,IF(W36&gt;='材料与任务'!$E$19,'材料与任务'!$E$22,IF(W36&gt;='材料与任务'!$E$13,'材料与任务'!$E$16,'材料与任务'!$E$10)))))/2,0)),0))</x:f>
        <x:v>25</x:v>
      </x:c>
      <x:c r="X78" s="62" t="n">
        <x:f>X31*(IF(X21&gt;0,IF(X36&gt;='材料与任务'!$E$31,'材料与任务'!$E$34,IF(X36&gt;='材料与任务'!$E$25,'材料与任务'!$E$28,IF(X36&gt;='材料与任务'!$E$19,'材料与任务'!$E$22,IF(X36&gt;='材料与任务'!$E$13,'材料与任务'!$E$16,'材料与任务'!$E$10))))+IF(X36&gt;='材料与任务'!$E$31,'材料与任务'!$E$35,IF(X36&gt;='材料与任务'!$E$25,'材料与任务'!$E$29,IF(X36&gt;='材料与任务'!$E$19,'材料与任务'!$E$23,IF(X36&gt;='材料与任务'!$E$13,'材料与任务'!$E$17,'材料与任务'!$E$11)))),0)+IF(X101&gt;0,MAX(1,ROUNDDOWN((IF(X36&gt;='材料与任务'!$E$31,'材料与任务'!$E$34,IF(X36&gt;='材料与任务'!$E$25,'材料与任务'!$E$28,IF(X36&gt;='材料与任务'!$E$19,'材料与任务'!$E$22,IF(X36&gt;='材料与任务'!$E$13,'材料与任务'!$E$16,'材料与任务'!$E$10)))))/2,0)),0))</x:f>
        <x:v>25</x:v>
      </x:c>
      <x:c r="Y78" s="62" t="n">
        <x:f>Y31*(IF(Y21&gt;0,IF(Y36&gt;='材料与任务'!$E$31,'材料与任务'!$E$34,IF(Y36&gt;='材料与任务'!$E$25,'材料与任务'!$E$28,IF(Y36&gt;='材料与任务'!$E$19,'材料与任务'!$E$22,IF(Y36&gt;='材料与任务'!$E$13,'材料与任务'!$E$16,'材料与任务'!$E$10))))+IF(Y36&gt;='材料与任务'!$E$31,'材料与任务'!$E$35,IF(Y36&gt;='材料与任务'!$E$25,'材料与任务'!$E$29,IF(Y36&gt;='材料与任务'!$E$19,'材料与任务'!$E$23,IF(Y36&gt;='材料与任务'!$E$13,'材料与任务'!$E$17,'材料与任务'!$E$11)))),0)+IF(Y101&gt;0,MAX(1,ROUNDDOWN((IF(Y36&gt;='材料与任务'!$E$31,'材料与任务'!$E$34,IF(Y36&gt;='材料与任务'!$E$25,'材料与任务'!$E$28,IF(Y36&gt;='材料与任务'!$E$19,'材料与任务'!$E$22,IF(Y36&gt;='材料与任务'!$E$13,'材料与任务'!$E$16,'材料与任务'!$E$10)))))/2,0)),0))</x:f>
        <x:v>25</x:v>
      </x:c>
      <x:c r="Z78" s="62" t="n">
        <x:f>Z31*(IF(Z21&gt;0,IF(Z36&gt;='材料与任务'!$E$31,'材料与任务'!$E$34,IF(Z36&gt;='材料与任务'!$E$25,'材料与任务'!$E$28,IF(Z36&gt;='材料与任务'!$E$19,'材料与任务'!$E$22,IF(Z36&gt;='材料与任务'!$E$13,'材料与任务'!$E$16,'材料与任务'!$E$10))))+IF(Z36&gt;='材料与任务'!$E$31,'材料与任务'!$E$35,IF(Z36&gt;='材料与任务'!$E$25,'材料与任务'!$E$29,IF(Z36&gt;='材料与任务'!$E$19,'材料与任务'!$E$23,IF(Z36&gt;='材料与任务'!$E$13,'材料与任务'!$E$17,'材料与任务'!$E$11)))),0)+IF(Z101&gt;0,MAX(1,ROUNDDOWN((IF(Z36&gt;='材料与任务'!$E$31,'材料与任务'!$E$34,IF(Z36&gt;='材料与任务'!$E$25,'材料与任务'!$E$28,IF(Z36&gt;='材料与任务'!$E$19,'材料与任务'!$E$22,IF(Z36&gt;='材料与任务'!$E$13,'材料与任务'!$E$16,'材料与任务'!$E$10)))))/2,0)),0))</x:f>
        <x:v>25</x:v>
      </x:c>
      <x:c r="AA78" s="62" t="n">
        <x:f>AA31*(IF(AA21&gt;0,IF(AA36&gt;='材料与任务'!$E$31,'材料与任务'!$E$34,IF(AA36&gt;='材料与任务'!$E$25,'材料与任务'!$E$28,IF(AA36&gt;='材料与任务'!$E$19,'材料与任务'!$E$22,IF(AA36&gt;='材料与任务'!$E$13,'材料与任务'!$E$16,'材料与任务'!$E$10))))+IF(AA36&gt;='材料与任务'!$E$31,'材料与任务'!$E$35,IF(AA36&gt;='材料与任务'!$E$25,'材料与任务'!$E$29,IF(AA36&gt;='材料与任务'!$E$19,'材料与任务'!$E$23,IF(AA36&gt;='材料与任务'!$E$13,'材料与任务'!$E$17,'材料与任务'!$E$11)))),0)+IF(AA101&gt;0,MAX(1,ROUNDDOWN((IF(AA36&gt;='材料与任务'!$E$31,'材料与任务'!$E$34,IF(AA36&gt;='材料与任务'!$E$25,'材料与任务'!$E$28,IF(AA36&gt;='材料与任务'!$E$19,'材料与任务'!$E$22,IF(AA36&gt;='材料与任务'!$E$13,'材料与任务'!$E$16,'材料与任务'!$E$10)))))/2,0)),0))</x:f>
        <x:v>25</x:v>
      </x:c>
      <x:c r="AB78" s="62" t="n">
        <x:f>AB31*(IF(AB21&gt;0,IF(AB36&gt;='材料与任务'!$E$31,'材料与任务'!$E$34,IF(AB36&gt;='材料与任务'!$E$25,'材料与任务'!$E$28,IF(AB36&gt;='材料与任务'!$E$19,'材料与任务'!$E$22,IF(AB36&gt;='材料与任务'!$E$13,'材料与任务'!$E$16,'材料与任务'!$E$10))))+IF(AB36&gt;='材料与任务'!$E$31,'材料与任务'!$E$35,IF(AB36&gt;='材料与任务'!$E$25,'材料与任务'!$E$29,IF(AB36&gt;='材料与任务'!$E$19,'材料与任务'!$E$23,IF(AB36&gt;='材料与任务'!$E$13,'材料与任务'!$E$17,'材料与任务'!$E$11)))),0)+IF(AB101&gt;0,MAX(1,ROUNDDOWN((IF(AB36&gt;='材料与任务'!$E$31,'材料与任务'!$E$34,IF(AB36&gt;='材料与任务'!$E$25,'材料与任务'!$E$28,IF(AB36&gt;='材料与任务'!$E$19,'材料与任务'!$E$22,IF(AB36&gt;='材料与任务'!$E$13,'材料与任务'!$E$16,'材料与任务'!$E$10)))))/2,0)),0))</x:f>
        <x:v>25</x:v>
      </x:c>
      <x:c r="AC78" s="62" t="n">
        <x:f>AC31*(IF(AC21&gt;0,IF(AC36&gt;='材料与任务'!$E$31,'材料与任务'!$E$34,IF(AC36&gt;='材料与任务'!$E$25,'材料与任务'!$E$28,IF(AC36&gt;='材料与任务'!$E$19,'材料与任务'!$E$22,IF(AC36&gt;='材料与任务'!$E$13,'材料与任务'!$E$16,'材料与任务'!$E$10))))+IF(AC36&gt;='材料与任务'!$E$31,'材料与任务'!$E$35,IF(AC36&gt;='材料与任务'!$E$25,'材料与任务'!$E$29,IF(AC36&gt;='材料与任务'!$E$19,'材料与任务'!$E$23,IF(AC36&gt;='材料与任务'!$E$13,'材料与任务'!$E$17,'材料与任务'!$E$11)))),0)+IF(AC101&gt;0,MAX(1,ROUNDDOWN((IF(AC36&gt;='材料与任务'!$E$31,'材料与任务'!$E$34,IF(AC36&gt;='材料与任务'!$E$25,'材料与任务'!$E$28,IF(AC36&gt;='材料与任务'!$E$19,'材料与任务'!$E$22,IF(AC36&gt;='材料与任务'!$E$13,'材料与任务'!$E$16,'材料与任务'!$E$10)))))/2,0)),0))</x:f>
        <x:v>25</x:v>
      </x:c>
      <x:c r="AD78" s="62" t="n">
        <x:f>AD31*(IF(AD21&gt;0,IF(AD36&gt;='材料与任务'!$E$31,'材料与任务'!$E$34,IF(AD36&gt;='材料与任务'!$E$25,'材料与任务'!$E$28,IF(AD36&gt;='材料与任务'!$E$19,'材料与任务'!$E$22,IF(AD36&gt;='材料与任务'!$E$13,'材料与任务'!$E$16,'材料与任务'!$E$10))))+IF(AD36&gt;='材料与任务'!$E$31,'材料与任务'!$E$35,IF(AD36&gt;='材料与任务'!$E$25,'材料与任务'!$E$29,IF(AD36&gt;='材料与任务'!$E$19,'材料与任务'!$E$23,IF(AD36&gt;='材料与任务'!$E$13,'材料与任务'!$E$17,'材料与任务'!$E$11)))),0)+IF(AD101&gt;0,MAX(1,ROUNDDOWN((IF(AD36&gt;='材料与任务'!$E$31,'材料与任务'!$E$34,IF(AD36&gt;='材料与任务'!$E$25,'材料与任务'!$E$28,IF(AD36&gt;='材料与任务'!$E$19,'材料与任务'!$E$22,IF(AD36&gt;='材料与任务'!$E$13,'材料与任务'!$E$16,'材料与任务'!$E$10)))))/2,0)),0))</x:f>
        <x:v>25</x:v>
      </x:c>
      <x:c r="AE78" s="62" t="n">
        <x:f>AE31*(IF(AE21&gt;0,IF(AE36&gt;='材料与任务'!$E$31,'材料与任务'!$E$34,IF(AE36&gt;='材料与任务'!$E$25,'材料与任务'!$E$28,IF(AE36&gt;='材料与任务'!$E$19,'材料与任务'!$E$22,IF(AE36&gt;='材料与任务'!$E$13,'材料与任务'!$E$16,'材料与任务'!$E$10))))+IF(AE36&gt;='材料与任务'!$E$31,'材料与任务'!$E$35,IF(AE36&gt;='材料与任务'!$E$25,'材料与任务'!$E$29,IF(AE36&gt;='材料与任务'!$E$19,'材料与任务'!$E$23,IF(AE36&gt;='材料与任务'!$E$13,'材料与任务'!$E$17,'材料与任务'!$E$11)))),0)+IF(AE101&gt;0,MAX(1,ROUNDDOWN((IF(AE36&gt;='材料与任务'!$E$31,'材料与任务'!$E$34,IF(AE36&gt;='材料与任务'!$E$25,'材料与任务'!$E$28,IF(AE36&gt;='材料与任务'!$E$19,'材料与任务'!$E$22,IF(AE36&gt;='材料与任务'!$E$13,'材料与任务'!$E$16,'材料与任务'!$E$10)))))/2,0)),0))</x:f>
        <x:v>25</x:v>
      </x:c>
      <x:c r="AF78" s="65"/>
    </x:row>
    <x:row r="79" ht="28" customHeight="1">
      <x:c r="A79" s="62" t="str">
        <x:v>军报强化石期望</x:v>
      </x:c>
      <x:c r="B79" s="62" t="n">
        <x:f>B11*'每日计划'!B16*'经济参数'!$E$72*MAX(1,ROUND(B34*'经济参数'!$E$74,0))</x:f>
        <x:v>1.26</x:v>
      </x:c>
      <x:c r="C79" s="62" t="n">
        <x:f>C11*'每日计划'!C16*'经济参数'!$E$72*MAX(1,ROUND(C34*'经济参数'!$E$74,0))</x:f>
        <x:v>1.26</x:v>
      </x:c>
      <x:c r="D79" s="62" t="n">
        <x:f>D11*'每日计划'!D16*'经济参数'!$E$72*MAX(1,ROUND(D34*'经济参数'!$E$74,0))</x:f>
        <x:v>1.8900000000000001</x:v>
      </x:c>
      <x:c r="E79" s="62" t="n">
        <x:f>E11*'每日计划'!E16*'经济参数'!$E$72*MAX(1,ROUND(E34*'经济参数'!$E$74,0))</x:f>
        <x:v>1.8900000000000001</x:v>
      </x:c>
      <x:c r="F79" s="62" t="n">
        <x:f>F11*'每日计划'!F16*'经济参数'!$E$72*MAX(1,ROUND(F34*'经济参数'!$E$74,0))</x:f>
        <x:v>2.52</x:v>
      </x:c>
      <x:c r="G79" s="62" t="n">
        <x:f>G11*'每日计划'!G16*'经济参数'!$E$72*MAX(1,ROUND(G34*'经济参数'!$E$74,0))</x:f>
        <x:v>2.52</x:v>
      </x:c>
      <x:c r="H79" s="62" t="n">
        <x:f>H11*'每日计划'!H16*'经济参数'!$E$72*MAX(1,ROUND(H34*'经济参数'!$E$74,0))</x:f>
        <x:v>2.52</x:v>
      </x:c>
      <x:c r="I79" s="62" t="n">
        <x:f>I11*'每日计划'!I16*'经济参数'!$E$72*MAX(1,ROUND(I34*'经济参数'!$E$74,0))</x:f>
        <x:v>3.15</x:v>
      </x:c>
      <x:c r="J79" s="62" t="n">
        <x:f>J11*'每日计划'!J16*'经济参数'!$E$72*MAX(1,ROUND(J34*'经济参数'!$E$74,0))</x:f>
        <x:v>3.15</x:v>
      </x:c>
      <x:c r="K79" s="62" t="n">
        <x:f>K11*'每日计划'!K16*'经济参数'!$E$72*MAX(1,ROUND(K34*'经济参数'!$E$74,0))</x:f>
        <x:v>3.15</x:v>
      </x:c>
      <x:c r="L79" s="62" t="n">
        <x:f>L11*'每日计划'!L16*'经济参数'!$E$72*MAX(1,ROUND(L34*'经济参数'!$E$74,0))</x:f>
        <x:v>3.15</x:v>
      </x:c>
      <x:c r="M79" s="62" t="n">
        <x:f>M11*'每日计划'!M16*'经济参数'!$E$72*MAX(1,ROUND(M34*'经济参数'!$E$74,0))</x:f>
        <x:v>3.15</x:v>
      </x:c>
      <x:c r="N79" s="62" t="n">
        <x:f>N11*'每日计划'!N16*'经济参数'!$E$72*MAX(1,ROUND(N34*'经济参数'!$E$74,0))</x:f>
        <x:v>3.7800000000000002</x:v>
      </x:c>
      <x:c r="O79" s="62" t="n">
        <x:f>O11*'每日计划'!O16*'经济参数'!$E$72*MAX(1,ROUND(O34*'经济参数'!$E$74,0))</x:f>
        <x:v>3.7800000000000002</x:v>
      </x:c>
      <x:c r="P79" s="62" t="n">
        <x:f>P11*'每日计划'!P16*'经济参数'!$E$72*MAX(1,ROUND(P34*'经济参数'!$E$74,0))</x:f>
        <x:v>3.7800000000000002</x:v>
      </x:c>
      <x:c r="Q79" s="62" t="n">
        <x:f>Q11*'每日计划'!Q16*'经济参数'!$E$72*MAX(1,ROUND(Q34*'经济参数'!$E$74,0))</x:f>
        <x:v>3.7800000000000002</x:v>
      </x:c>
      <x:c r="R79" s="62" t="n">
        <x:f>R11*'每日计划'!R16*'经济参数'!$E$72*MAX(1,ROUND(R34*'经济参数'!$E$74,0))</x:f>
        <x:v>3.7800000000000002</x:v>
      </x:c>
      <x:c r="S79" s="62" t="n">
        <x:f>S11*'每日计划'!S16*'经济参数'!$E$72*MAX(1,ROUND(S34*'经济参数'!$E$74,0))</x:f>
        <x:v>3.7800000000000002</x:v>
      </x:c>
      <x:c r="T79" s="62" t="n">
        <x:f>T11*'每日计划'!T16*'经济参数'!$E$72*MAX(1,ROUND(T34*'经济参数'!$E$74,0))</x:f>
        <x:v>3.7800000000000002</x:v>
      </x:c>
      <x:c r="U79" s="62" t="n">
        <x:f>U11*'每日计划'!U16*'经济参数'!$E$72*MAX(1,ROUND(U34*'经济参数'!$E$74,0))</x:f>
        <x:v>3.7800000000000002</x:v>
      </x:c>
      <x:c r="V79" s="62" t="n">
        <x:f>V11*'每日计划'!V16*'经济参数'!$E$72*MAX(1,ROUND(V34*'经济参数'!$E$74,0))</x:f>
        <x:v>3.7800000000000002</x:v>
      </x:c>
      <x:c r="W79" s="62" t="n">
        <x:f>W11*'每日计划'!W16*'经济参数'!$E$72*MAX(1,ROUND(W34*'经济参数'!$E$74,0))</x:f>
        <x:v>3.7800000000000002</x:v>
      </x:c>
      <x:c r="X79" s="62" t="n">
        <x:f>X11*'每日计划'!X16*'经济参数'!$E$72*MAX(1,ROUND(X34*'经济参数'!$E$74,0))</x:f>
        <x:v>3.7800000000000002</x:v>
      </x:c>
      <x:c r="Y79" s="62" t="n">
        <x:f>Y11*'每日计划'!Y16*'经济参数'!$E$72*MAX(1,ROUND(Y34*'经济参数'!$E$74,0))</x:f>
        <x:v>3.7800000000000002</x:v>
      </x:c>
      <x:c r="Z79" s="62" t="n">
        <x:f>Z11*'每日计划'!Z16*'经济参数'!$E$72*MAX(1,ROUND(Z34*'经济参数'!$E$74,0))</x:f>
        <x:v>3.7800000000000002</x:v>
      </x:c>
      <x:c r="AA79" s="62" t="n">
        <x:f>AA11*'每日计划'!AA16*'经济参数'!$E$72*MAX(1,ROUND(AA34*'经济参数'!$E$74,0))</x:f>
        <x:v>3.7800000000000002</x:v>
      </x:c>
      <x:c r="AB79" s="62" t="n">
        <x:f>AB11*'每日计划'!AB16*'经济参数'!$E$72*MAX(1,ROUND(AB34*'经济参数'!$E$74,0))</x:f>
        <x:v>3.7800000000000002</x:v>
      </x:c>
      <x:c r="AC79" s="62" t="n">
        <x:f>AC11*'每日计划'!AC16*'经济参数'!$E$72*MAX(1,ROUND(AC34*'经济参数'!$E$74,0))</x:f>
        <x:v>3.7800000000000002</x:v>
      </x:c>
      <x:c r="AD79" s="62" t="n">
        <x:f>AD11*'每日计划'!AD16*'经济参数'!$E$72*MAX(1,ROUND(AD34*'经济参数'!$E$74,0))</x:f>
        <x:v>3.7800000000000002</x:v>
      </x:c>
      <x:c r="AE79" s="62" t="n">
        <x:f>AE11*'每日计划'!AE16*'经济参数'!$E$72*MAX(1,ROUND(AE34*'经济参数'!$E$74,0))</x:f>
        <x:v>3.7800000000000002</x:v>
      </x:c>
      <x:c r="AF79" s="65"/>
    </x:row>
    <x:row r="80" ht="28" customHeight="1">
      <x:c r="A80" s="62" t="str">
        <x:v>兑换强化石</x:v>
      </x:c>
      <x:c r="B80" s="62" t="n">
        <x:f>ROUNDDOWN('每日计划'!B42/'商店与兑换'!$E$8,0)*'商店与兑换'!$E$7+ROUNDDOWN('每日计划'!B44/'商店与兑换'!$E$14,0)*'商店与兑换'!$E$13</x:f>
        <x:v>0</x:v>
      </x:c>
      <x:c r="C80" s="62" t="n">
        <x:f>ROUNDDOWN('每日计划'!C42/'商店与兑换'!$E$8,0)*'商店与兑换'!$E$7+ROUNDDOWN('每日计划'!C44/'商店与兑换'!$E$14,0)*'商店与兑换'!$E$13</x:f>
        <x:v>0</x:v>
      </x:c>
      <x:c r="D80" s="62" t="n">
        <x:f>ROUNDDOWN('每日计划'!D42/'商店与兑换'!$E$8,0)*'商店与兑换'!$E$7+ROUNDDOWN('每日计划'!D44/'商店与兑换'!$E$14,0)*'商店与兑换'!$E$13</x:f>
        <x:v>0</x:v>
      </x:c>
      <x:c r="E80" s="62" t="n">
        <x:f>ROUNDDOWN('每日计划'!E42/'商店与兑换'!$E$8,0)*'商店与兑换'!$E$7+ROUNDDOWN('每日计划'!E44/'商店与兑换'!$E$14,0)*'商店与兑换'!$E$13</x:f>
        <x:v>0</x:v>
      </x:c>
      <x:c r="F80" s="62" t="n">
        <x:f>ROUNDDOWN('每日计划'!F42/'商店与兑换'!$E$8,0)*'商店与兑换'!$E$7+ROUNDDOWN('每日计划'!F44/'商店与兑换'!$E$14,0)*'商店与兑换'!$E$13</x:f>
        <x:v>0</x:v>
      </x:c>
      <x:c r="G80" s="62" t="n">
        <x:f>ROUNDDOWN('每日计划'!G42/'商店与兑换'!$E$8,0)*'商店与兑换'!$E$7+ROUNDDOWN('每日计划'!G44/'商店与兑换'!$E$14,0)*'商店与兑换'!$E$13</x:f>
        <x:v>0</x:v>
      </x:c>
      <x:c r="H80" s="62" t="n">
        <x:f>ROUNDDOWN('每日计划'!H42/'商店与兑换'!$E$8,0)*'商店与兑换'!$E$7+ROUNDDOWN('每日计划'!H44/'商店与兑换'!$E$14,0)*'商店与兑换'!$E$13</x:f>
        <x:v>40</x:v>
      </x:c>
      <x:c r="I80" s="62" t="n">
        <x:f>ROUNDDOWN('每日计划'!I42/'商店与兑换'!$E$8,0)*'商店与兑换'!$E$7+ROUNDDOWN('每日计划'!I44/'商店与兑换'!$E$14,0)*'商店与兑换'!$E$13</x:f>
        <x:v>40</x:v>
      </x:c>
      <x:c r="J80" s="62" t="n">
        <x:f>ROUNDDOWN('每日计划'!J42/'商店与兑换'!$E$8,0)*'商店与兑换'!$E$7+ROUNDDOWN('每日计划'!J44/'商店与兑换'!$E$14,0)*'商店与兑换'!$E$13</x:f>
        <x:v>40</x:v>
      </x:c>
      <x:c r="K80" s="62" t="n">
        <x:f>ROUNDDOWN('每日计划'!K42/'商店与兑换'!$E$8,0)*'商店与兑换'!$E$7+ROUNDDOWN('每日计划'!K44/'商店与兑换'!$E$14,0)*'商店与兑换'!$E$13</x:f>
        <x:v>40</x:v>
      </x:c>
      <x:c r="L80" s="62" t="n">
        <x:f>ROUNDDOWN('每日计划'!L42/'商店与兑换'!$E$8,0)*'商店与兑换'!$E$7+ROUNDDOWN('每日计划'!L44/'商店与兑换'!$E$14,0)*'商店与兑换'!$E$13</x:f>
        <x:v>40</x:v>
      </x:c>
      <x:c r="M80" s="62" t="n">
        <x:f>ROUNDDOWN('每日计划'!M42/'商店与兑换'!$E$8,0)*'商店与兑换'!$E$7+ROUNDDOWN('每日计划'!M44/'商店与兑换'!$E$14,0)*'商店与兑换'!$E$13</x:f>
        <x:v>40</x:v>
      </x:c>
      <x:c r="N80" s="62" t="n">
        <x:f>ROUNDDOWN('每日计划'!N42/'商店与兑换'!$E$8,0)*'商店与兑换'!$E$7+ROUNDDOWN('每日计划'!N44/'商店与兑换'!$E$14,0)*'商店与兑换'!$E$13</x:f>
        <x:v>40</x:v>
      </x:c>
      <x:c r="O80" s="62" t="n">
        <x:f>ROUNDDOWN('每日计划'!O42/'商店与兑换'!$E$8,0)*'商店与兑换'!$E$7+ROUNDDOWN('每日计划'!O44/'商店与兑换'!$E$14,0)*'商店与兑换'!$E$13</x:f>
        <x:v>40</x:v>
      </x:c>
      <x:c r="P80" s="62" t="n">
        <x:f>ROUNDDOWN('每日计划'!P42/'商店与兑换'!$E$8,0)*'商店与兑换'!$E$7+ROUNDDOWN('每日计划'!P44/'商店与兑换'!$E$14,0)*'商店与兑换'!$E$13</x:f>
        <x:v>40</x:v>
      </x:c>
      <x:c r="Q80" s="62" t="n">
        <x:f>ROUNDDOWN('每日计划'!Q42/'商店与兑换'!$E$8,0)*'商店与兑换'!$E$7+ROUNDDOWN('每日计划'!Q44/'商店与兑换'!$E$14,0)*'商店与兑换'!$E$13</x:f>
        <x:v>40</x:v>
      </x:c>
      <x:c r="R80" s="62" t="n">
        <x:f>ROUNDDOWN('每日计划'!R42/'商店与兑换'!$E$8,0)*'商店与兑换'!$E$7+ROUNDDOWN('每日计划'!R44/'商店与兑换'!$E$14,0)*'商店与兑换'!$E$13</x:f>
        <x:v>40</x:v>
      </x:c>
      <x:c r="S80" s="62" t="n">
        <x:f>ROUNDDOWN('每日计划'!S42/'商店与兑换'!$E$8,0)*'商店与兑换'!$E$7+ROUNDDOWN('每日计划'!S44/'商店与兑换'!$E$14,0)*'商店与兑换'!$E$13</x:f>
        <x:v>40</x:v>
      </x:c>
      <x:c r="T80" s="62" t="n">
        <x:f>ROUNDDOWN('每日计划'!T42/'商店与兑换'!$E$8,0)*'商店与兑换'!$E$7+ROUNDDOWN('每日计划'!T44/'商店与兑换'!$E$14,0)*'商店与兑换'!$E$13</x:f>
        <x:v>40</x:v>
      </x:c>
      <x:c r="U80" s="62" t="n">
        <x:f>ROUNDDOWN('每日计划'!U42/'商店与兑换'!$E$8,0)*'商店与兑换'!$E$7+ROUNDDOWN('每日计划'!U44/'商店与兑换'!$E$14,0)*'商店与兑换'!$E$13</x:f>
        <x:v>40</x:v>
      </x:c>
      <x:c r="V80" s="62" t="n">
        <x:f>ROUNDDOWN('每日计划'!V42/'商店与兑换'!$E$8,0)*'商店与兑换'!$E$7+ROUNDDOWN('每日计划'!V44/'商店与兑换'!$E$14,0)*'商店与兑换'!$E$13</x:f>
        <x:v>40</x:v>
      </x:c>
      <x:c r="W80" s="62" t="n">
        <x:f>ROUNDDOWN('每日计划'!W42/'商店与兑换'!$E$8,0)*'商店与兑换'!$E$7+ROUNDDOWN('每日计划'!W44/'商店与兑换'!$E$14,0)*'商店与兑换'!$E$13</x:f>
        <x:v>40</x:v>
      </x:c>
      <x:c r="X80" s="62" t="n">
        <x:f>ROUNDDOWN('每日计划'!X42/'商店与兑换'!$E$8,0)*'商店与兑换'!$E$7+ROUNDDOWN('每日计划'!X44/'商店与兑换'!$E$14,0)*'商店与兑换'!$E$13</x:f>
        <x:v>40</x:v>
      </x:c>
      <x:c r="Y80" s="62" t="n">
        <x:f>ROUNDDOWN('每日计划'!Y42/'商店与兑换'!$E$8,0)*'商店与兑换'!$E$7+ROUNDDOWN('每日计划'!Y44/'商店与兑换'!$E$14,0)*'商店与兑换'!$E$13</x:f>
        <x:v>40</x:v>
      </x:c>
      <x:c r="Z80" s="62" t="n">
        <x:f>ROUNDDOWN('每日计划'!Z42/'商店与兑换'!$E$8,0)*'商店与兑换'!$E$7+ROUNDDOWN('每日计划'!Z44/'商店与兑换'!$E$14,0)*'商店与兑换'!$E$13</x:f>
        <x:v>40</x:v>
      </x:c>
      <x:c r="AA80" s="62" t="n">
        <x:f>ROUNDDOWN('每日计划'!AA42/'商店与兑换'!$E$8,0)*'商店与兑换'!$E$7+ROUNDDOWN('每日计划'!AA44/'商店与兑换'!$E$14,0)*'商店与兑换'!$E$13</x:f>
        <x:v>40</x:v>
      </x:c>
      <x:c r="AB80" s="62" t="n">
        <x:f>ROUNDDOWN('每日计划'!AB42/'商店与兑换'!$E$8,0)*'商店与兑换'!$E$7+ROUNDDOWN('每日计划'!AB44/'商店与兑换'!$E$14,0)*'商店与兑换'!$E$13</x:f>
        <x:v>40</x:v>
      </x:c>
      <x:c r="AC80" s="62" t="n">
        <x:f>ROUNDDOWN('每日计划'!AC42/'商店与兑换'!$E$8,0)*'商店与兑换'!$E$7+ROUNDDOWN('每日计划'!AC44/'商店与兑换'!$E$14,0)*'商店与兑换'!$E$13</x:f>
        <x:v>40</x:v>
      </x:c>
      <x:c r="AD80" s="62" t="n">
        <x:f>ROUNDDOWN('每日计划'!AD42/'商店与兑换'!$E$8,0)*'商店与兑换'!$E$7+ROUNDDOWN('每日计划'!AD44/'商店与兑换'!$E$14,0)*'商店与兑换'!$E$13</x:f>
        <x:v>40</x:v>
      </x:c>
      <x:c r="AE80" s="62" t="n">
        <x:f>ROUNDDOWN('每日计划'!AE42/'商店与兑换'!$E$8,0)*'商店与兑换'!$E$7+ROUNDDOWN('每日计划'!AE44/'商店与兑换'!$E$14,0)*'商店与兑换'!$E$13</x:f>
        <x:v>40</x:v>
      </x:c>
      <x:c r="AF80" s="65"/>
    </x:row>
    <x:row r="81" ht="28" customHeight="1">
      <x:c r="A81" s="125" t="str">
        <x:v>强化石总产出</x:v>
      </x:c>
      <x:c r="B81" s="125" t="n">
        <x:f>SUM(B77:B80)</x:f>
        <x:v>49.26</x:v>
      </x:c>
      <x:c r="C81" s="125" t="n">
        <x:f>SUM(C77:C80)</x:f>
        <x:v>55.26</x:v>
      </x:c>
      <x:c r="D81" s="125" t="n">
        <x:f>SUM(D77:D80)</x:f>
        <x:v>80.89</x:v>
      </x:c>
      <x:c r="E81" s="125" t="n">
        <x:f>SUM(E77:E80)</x:f>
        <x:v>83.89</x:v>
      </x:c>
      <x:c r="F81" s="125" t="n">
        <x:f>SUM(F77:F80)</x:f>
        <x:v>104.52</x:v>
      </x:c>
      <x:c r="G81" s="125" t="n">
        <x:f>SUM(G77:G80)</x:f>
        <x:v>104.52</x:v>
      </x:c>
      <x:c r="H81" s="125" t="n">
        <x:f>SUM(H77:H80)</x:f>
        <x:v>147.51999999999998</x:v>
      </x:c>
      <x:c r="I81" s="125" t="n">
        <x:f>SUM(I77:I80)</x:f>
        <x:v>173.15</x:v>
      </x:c>
      <x:c r="J81" s="125" t="n">
        <x:f>SUM(J77:J80)</x:f>
        <x:v>173.15</x:v>
      </x:c>
      <x:c r="K81" s="125" t="n">
        <x:f>SUM(K77:K80)</x:f>
        <x:v>167.65</x:v>
      </x:c>
      <x:c r="L81" s="125" t="n">
        <x:f>SUM(L77:L80)</x:f>
        <x:v>162.15</x:v>
      </x:c>
      <x:c r="M81" s="125" t="n">
        <x:f>SUM(M77:M80)</x:f>
        <x:v>167.15</x:v>
      </x:c>
      <x:c r="N81" s="125" t="n">
        <x:f>SUM(N77:N80)</x:f>
        <x:v>179.28</x:v>
      </x:c>
      <x:c r="O81" s="125" t="n">
        <x:f>SUM(O77:O80)</x:f>
        <x:v>172.78000000000003</x:v>
      </x:c>
      <x:c r="P81" s="125" t="n">
        <x:f>SUM(P77:P80)</x:f>
        <x:v>172.78000000000003</x:v>
      </x:c>
      <x:c r="Q81" s="125" t="n">
        <x:f>SUM(Q77:Q80)</x:f>
        <x:v>166.28</x:v>
      </x:c>
      <x:c r="R81" s="125" t="n">
        <x:f>SUM(R77:R80)</x:f>
        <x:v>166.28</x:v>
      </x:c>
      <x:c r="S81" s="125" t="n">
        <x:f>SUM(S77:S80)</x:f>
        <x:v>159.78</x:v>
      </x:c>
      <x:c r="T81" s="125" t="n">
        <x:f>SUM(T77:T80)</x:f>
        <x:v>159.78</x:v>
      </x:c>
      <x:c r="U81" s="125" t="n">
        <x:f>SUM(U77:U80)</x:f>
        <x:v>153.28000000000003</x:v>
      </x:c>
      <x:c r="V81" s="125" t="n">
        <x:f>SUM(V77:V80)</x:f>
        <x:v>153.28000000000003</x:v>
      </x:c>
      <x:c r="W81" s="125" t="n">
        <x:f>SUM(W77:W80)</x:f>
        <x:v>153.28000000000003</x:v>
      </x:c>
      <x:c r="X81" s="125" t="n">
        <x:f>SUM(X77:X80)</x:f>
        <x:v>146.78</x:v>
      </x:c>
      <x:c r="Y81" s="125" t="n">
        <x:f>SUM(Y77:Y80)</x:f>
        <x:v>146.78</x:v>
      </x:c>
      <x:c r="Z81" s="125" t="n">
        <x:f>SUM(Z77:Z80)</x:f>
        <x:v>146.78</x:v>
      </x:c>
      <x:c r="AA81" s="125" t="n">
        <x:f>SUM(AA77:AA80)</x:f>
        <x:v>140.28</x:v>
      </x:c>
      <x:c r="AB81" s="125" t="n">
        <x:f>SUM(AB77:AB80)</x:f>
        <x:v>140.28</x:v>
      </x:c>
      <x:c r="AC81" s="125" t="n">
        <x:f>SUM(AC77:AC80)</x:f>
        <x:v>140.28</x:v>
      </x:c>
      <x:c r="AD81" s="125" t="n">
        <x:f>SUM(AD77:AD80)</x:f>
        <x:v>140.28</x:v>
      </x:c>
      <x:c r="AE81" s="125" t="n">
        <x:f>SUM(AE77:AE80)</x:f>
        <x:v>133.78</x:v>
      </x:c>
      <x:c r="AF81" s="65"/>
    </x:row>
    <x:row r="82" ht="28" customHeight="1">
      <x:c r="A82" s="125" t="str">
        <x:v>强化石需求</x:v>
      </x:c>
      <x:c r="B82" s="125" t="n">
        <x:f>B101</x:f>
        <x:v>18</x:v>
      </x:c>
      <x:c r="C82" s="125" t="n">
        <x:f>C101</x:f>
        <x:v>18</x:v>
      </x:c>
      <x:c r="D82" s="125" t="n">
        <x:f>D101</x:f>
        <x:v>36</x:v>
      </x:c>
      <x:c r="E82" s="125" t="n">
        <x:f>E101</x:f>
        <x:v>54</x:v>
      </x:c>
      <x:c r="F82" s="125" t="n">
        <x:f>F101</x:f>
        <x:v>72</x:v>
      </x:c>
      <x:c r="G82" s="125" t="n">
        <x:f>G101</x:f>
        <x:v>72</x:v>
      </x:c>
      <x:c r="H82" s="125" t="n">
        <x:f>H101</x:f>
        <x:v>108</x:v>
      </x:c>
      <x:c r="I82" s="125" t="n">
        <x:f>I101</x:f>
        <x:v>108</x:v>
      </x:c>
      <x:c r="J82" s="125" t="n">
        <x:f>J101</x:f>
        <x:v>54</x:v>
      </x:c>
      <x:c r="K82" s="125" t="n">
        <x:f>K101</x:f>
        <x:v>54</x:v>
      </x:c>
      <x:c r="L82" s="125" t="n">
        <x:f>L101</x:f>
        <x:v>54</x:v>
      </x:c>
      <x:c r="M82" s="125" t="n">
        <x:f>M101</x:f>
        <x:v>54</x:v>
      </x:c>
      <x:c r="N82" s="125" t="n">
        <x:f>N101</x:f>
        <x:v>54</x:v>
      </x:c>
      <x:c r="O82" s="125" t="n">
        <x:f>O101</x:f>
        <x:v>54</x:v>
      </x:c>
      <x:c r="P82" s="125" t="n">
        <x:f>P101</x:f>
        <x:v>180</x:v>
      </x:c>
      <x:c r="Q82" s="125" t="n">
        <x:f>Q101</x:f>
        <x:v>90</x:v>
      </x:c>
      <x:c r="R82" s="125" t="n">
        <x:f>R101</x:f>
        <x:v>180</x:v>
      </x:c>
      <x:c r="S82" s="125" t="n">
        <x:f>S101</x:f>
        <x:v>90</x:v>
      </x:c>
      <x:c r="T82" s="125" t="n">
        <x:f>T101</x:f>
        <x:v>180</x:v>
      </x:c>
      <x:c r="U82" s="125" t="n">
        <x:f>U101</x:f>
        <x:v>90</x:v>
      </x:c>
      <x:c r="V82" s="125" t="n">
        <x:f>V101</x:f>
        <x:v>90</x:v>
      </x:c>
      <x:c r="W82" s="125" t="n">
        <x:f>W101</x:f>
        <x:v>180</x:v>
      </x:c>
      <x:c r="X82" s="125" t="n">
        <x:f>X101</x:f>
        <x:v>90</x:v>
      </x:c>
      <x:c r="Y82" s="125" t="n">
        <x:f>Y101</x:f>
        <x:v>90</x:v>
      </x:c>
      <x:c r="Z82" s="125" t="n">
        <x:f>Z101</x:f>
        <x:v>90</x:v>
      </x:c>
      <x:c r="AA82" s="125" t="n">
        <x:f>AA101</x:f>
        <x:v>144</x:v>
      </x:c>
      <x:c r="AB82" s="125" t="n">
        <x:f>AB101</x:f>
        <x:v>144</x:v>
      </x:c>
      <x:c r="AC82" s="125" t="n">
        <x:f>AC101</x:f>
        <x:v>144</x:v>
      </x:c>
      <x:c r="AD82" s="125" t="n">
        <x:f>AD101</x:f>
        <x:v>144</x:v>
      </x:c>
      <x:c r="AE82" s="125" t="n">
        <x:f>AE101</x:f>
        <x:v>144</x:v>
      </x:c>
      <x:c r="AF82" s="65"/>
    </x:row>
    <x:row r="83" ht="28" customHeight="1">
      <x:c r="A83" s="125" t="str">
        <x:v>强化石期末/缺口</x:v>
      </x:c>
      <x:c r="B83" s="125" t="n">
        <x:f>B76+B81-B82</x:f>
        <x:v>55.25999999999999</x:v>
      </x:c>
      <x:c r="C83" s="125" t="n">
        <x:f>C76+C81-C82</x:f>
        <x:v>92.51999999999998</x:v>
      </x:c>
      <x:c r="D83" s="125" t="n">
        <x:f>D76+D81-D82</x:f>
        <x:v>137.40999999999997</x:v>
      </x:c>
      <x:c r="E83" s="125" t="n">
        <x:f>E76+E81-E82</x:f>
        <x:v>167.29999999999995</x:v>
      </x:c>
      <x:c r="F83" s="125" t="n">
        <x:f>F76+F81-F82</x:f>
        <x:v>199.81999999999994</x:v>
      </x:c>
      <x:c r="G83" s="125" t="n">
        <x:f>G76+G81-G82</x:f>
        <x:v>232.33999999999992</x:v>
      </x:c>
      <x:c r="H83" s="125" t="n">
        <x:f>H76+H81-H82</x:f>
        <x:v>271.8599999999999</x:v>
      </x:c>
      <x:c r="I83" s="125" t="n">
        <x:f>I76+I81-I82</x:f>
        <x:v>337.0099999999999</x:v>
      </x:c>
      <x:c r="J83" s="125" t="n">
        <x:f>J76+J81-J82</x:f>
        <x:v>456.15999999999985</x:v>
      </x:c>
      <x:c r="K83" s="125" t="n">
        <x:f>K76+K81-K82</x:f>
        <x:v>569.8099999999998</x:v>
      </x:c>
      <x:c r="L83" s="125" t="n">
        <x:f>L76+L81-L82</x:f>
        <x:v>677.9599999999998</x:v>
      </x:c>
      <x:c r="M83" s="125" t="n">
        <x:f>M76+M81-M82</x:f>
        <x:v>791.1099999999998</x:v>
      </x:c>
      <x:c r="N83" s="125" t="n">
        <x:f>N76+N81-N82</x:f>
        <x:v>916.3899999999998</x:v>
      </x:c>
      <x:c r="O83" s="125" t="n">
        <x:f>O76+O81-O82</x:f>
        <x:v>1035.1699999999998</x:v>
      </x:c>
      <x:c r="P83" s="125" t="n">
        <x:f>P76+P81-P82</x:f>
        <x:v>1027.9499999999998</x:v>
      </x:c>
      <x:c r="Q83" s="125" t="n">
        <x:f>Q76+Q81-Q82</x:f>
        <x:v>1104.2299999999998</x:v>
      </x:c>
      <x:c r="R83" s="125" t="n">
        <x:f>R76+R81-R82</x:f>
        <x:v>1090.5099999999998</x:v>
      </x:c>
      <x:c r="S83" s="125" t="n">
        <x:f>S76+S81-S82</x:f>
        <x:v>1160.2899999999997</x:v>
      </x:c>
      <x:c r="T83" s="125" t="n">
        <x:f>T76+T81-T82</x:f>
        <x:v>1140.0699999999997</x:v>
      </x:c>
      <x:c r="U83" s="125" t="n">
        <x:f>U76+U81-U82</x:f>
        <x:v>1203.3499999999997</x:v>
      </x:c>
      <x:c r="V83" s="125" t="n">
        <x:f>V76+V81-V82</x:f>
        <x:v>1266.6299999999997</x:v>
      </x:c>
      <x:c r="W83" s="125" t="n">
        <x:f>W76+W81-W82</x:f>
        <x:v>1239.9099999999996</x:v>
      </x:c>
      <x:c r="X83" s="125" t="n">
        <x:f>X76+X81-X82</x:f>
        <x:v>1296.6899999999996</x:v>
      </x:c>
      <x:c r="Y83" s="125" t="n">
        <x:f>Y76+Y81-Y82</x:f>
        <x:v>1353.4699999999996</x:v>
      </x:c>
      <x:c r="Z83" s="125" t="n">
        <x:f>Z76+Z81-Z82</x:f>
        <x:v>1410.2499999999995</x:v>
      </x:c>
      <x:c r="AA83" s="125" t="n">
        <x:f>AA76+AA81-AA82</x:f>
        <x:v>1406.5299999999995</x:v>
      </x:c>
      <x:c r="AB83" s="125" t="n">
        <x:f>AB76+AB81-AB82</x:f>
        <x:v>1402.8099999999995</x:v>
      </x:c>
      <x:c r="AC83" s="125" t="n">
        <x:f>AC76+AC81-AC82</x:f>
        <x:v>1399.0899999999995</x:v>
      </x:c>
      <x:c r="AD83" s="125" t="n">
        <x:f>AD76+AD81-AD82</x:f>
        <x:v>1395.3699999999994</x:v>
      </x:c>
      <x:c r="AE83" s="125" t="n">
        <x:f>AE76+AE81-AE82</x:f>
        <x:v>1385.1499999999994</x:v>
      </x:c>
      <x:c r="AF83" s="65" t="str">
        <x:v>若负数则计划强化不能按期达成</x:v>
      </x:c>
    </x:row>
    <x:row r="84" ht="28" customHeight="1">
      <x:c r="A84" s="62" t="str">
        <x:v>强化石当日产销差</x:v>
      </x:c>
      <x:c r="B84" s="62" t="n">
        <x:f>B81-B82</x:f>
        <x:v>31.259999999999998</x:v>
      </x:c>
      <x:c r="C84" s="62" t="n">
        <x:f>C81-C82</x:f>
        <x:v>37.26</x:v>
      </x:c>
      <x:c r="D84" s="62" t="n">
        <x:f>D81-D82</x:f>
        <x:v>44.89</x:v>
      </x:c>
      <x:c r="E84" s="62" t="n">
        <x:f>E81-E82</x:f>
        <x:v>29.89</x:v>
      </x:c>
      <x:c r="F84" s="62" t="n">
        <x:f>F81-F82</x:f>
        <x:v>32.519999999999996</x:v>
      </x:c>
      <x:c r="G84" s="62" t="n">
        <x:f>G81-G82</x:f>
        <x:v>32.519999999999996</x:v>
      </x:c>
      <x:c r="H84" s="62" t="n">
        <x:f>H81-H82</x:f>
        <x:v>39.51999999999998</x:v>
      </x:c>
      <x:c r="I84" s="62" t="n">
        <x:f>I81-I82</x:f>
        <x:v>65.15</x:v>
      </x:c>
      <x:c r="J84" s="62" t="n">
        <x:f>J81-J82</x:f>
        <x:v>119.15</x:v>
      </x:c>
      <x:c r="K84" s="62" t="n">
        <x:f>K81-K82</x:f>
        <x:v>113.65</x:v>
      </x:c>
      <x:c r="L84" s="62" t="n">
        <x:f>L81-L82</x:f>
        <x:v>108.15</x:v>
      </x:c>
      <x:c r="M84" s="62" t="n">
        <x:f>M81-M82</x:f>
        <x:v>113.15</x:v>
      </x:c>
      <x:c r="N84" s="62" t="n">
        <x:f>N81-N82</x:f>
        <x:v>125.28</x:v>
      </x:c>
      <x:c r="O84" s="62" t="n">
        <x:f>O81-O82</x:f>
        <x:v>118.78000000000003</x:v>
      </x:c>
      <x:c r="P84" s="62" t="n">
        <x:f>P81-P82</x:f>
        <x:v>-7.21999999999997</x:v>
      </x:c>
      <x:c r="Q84" s="62" t="n">
        <x:f>Q81-Q82</x:f>
        <x:v>76.28</x:v>
      </x:c>
      <x:c r="R84" s="62" t="n">
        <x:f>R81-R82</x:f>
        <x:v>-13.719999999999999</x:v>
      </x:c>
      <x:c r="S84" s="62" t="n">
        <x:f>S81-S82</x:f>
        <x:v>69.78</x:v>
      </x:c>
      <x:c r="T84" s="62" t="n">
        <x:f>T81-T82</x:f>
        <x:v>-20.22</x:v>
      </x:c>
      <x:c r="U84" s="62" t="n">
        <x:f>U81-U82</x:f>
        <x:v>63.28000000000003</x:v>
      </x:c>
      <x:c r="V84" s="62" t="n">
        <x:f>V81-V82</x:f>
        <x:v>63.28000000000003</x:v>
      </x:c>
      <x:c r="W84" s="62" t="n">
        <x:f>W81-W82</x:f>
        <x:v>-26.71999999999997</x:v>
      </x:c>
      <x:c r="X84" s="62" t="n">
        <x:f>X81-X82</x:f>
        <x:v>56.78</x:v>
      </x:c>
      <x:c r="Y84" s="62" t="n">
        <x:f>Y81-Y82</x:f>
        <x:v>56.78</x:v>
      </x:c>
      <x:c r="Z84" s="62" t="n">
        <x:f>Z81-Z82</x:f>
        <x:v>56.78</x:v>
      </x:c>
      <x:c r="AA84" s="62" t="n">
        <x:f>AA81-AA82</x:f>
        <x:v>-3.719999999999999</x:v>
      </x:c>
      <x:c r="AB84" s="62" t="n">
        <x:f>AB81-AB82</x:f>
        <x:v>-3.719999999999999</x:v>
      </x:c>
      <x:c r="AC84" s="62" t="n">
        <x:f>AC81-AC82</x:f>
        <x:v>-3.719999999999999</x:v>
      </x:c>
      <x:c r="AD84" s="62" t="n">
        <x:f>AD81-AD82</x:f>
        <x:v>-3.719999999999999</x:v>
      </x:c>
      <x:c r="AE84" s="62" t="n">
        <x:f>AE81-AE82</x:f>
        <x:v>-10.219999999999999</x:v>
      </x:c>
      <x:c r="AF84" s="65"/>
    </x:row>
    <x:row r="85" ht="28" customHeight="1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  <x:c r="AA85" s="62"/>
      <x:c r="AB85" s="62"/>
      <x:c r="AC85" s="62"/>
      <x:c r="AD85" s="62"/>
      <x:c r="AE85" s="62"/>
      <x:c r="AF85" s="65"/>
    </x:row>
    <x:row r="86" ht="28" customHeight="1">
      <x:c r="A86" s="125" t="str">
        <x:v>升星石期初</x:v>
      </x:c>
      <x:c r="B86" s="125" t="n">
        <x:f>'经济参数'!$E$19</x:f>
        <x:v>8</x:v>
      </x:c>
      <x:c r="C86" s="125" t="n">
        <x:f>B93</x:f>
        <x:v>28.35</x:v>
      </x:c>
      <x:c r="D86" s="125" t="n">
        <x:f>C93</x:f>
        <x:v>35.7</x:v>
      </x:c>
      <x:c r="E86" s="125" t="n">
        <x:f>D93</x:f>
        <x:v>59.050000000000004</x:v>
      </x:c>
      <x:c r="F86" s="125" t="n">
        <x:f>E93</x:f>
        <x:v>67.4</x:v>
      </x:c>
      <x:c r="G86" s="125" t="n">
        <x:f>F93</x:f>
        <x:v>112.10000000000001</x:v>
      </x:c>
      <x:c r="H86" s="125" t="n">
        <x:f>G93</x:f>
        <x:v>140.8</x:v>
      </x:c>
      <x:c r="I86" s="125" t="n">
        <x:f>H93</x:f>
        <x:v>186.5</x:v>
      </x:c>
      <x:c r="J86" s="125" t="n">
        <x:f>I93</x:f>
        <x:v>190.2</x:v>
      </x:c>
      <x:c r="K86" s="125" t="n">
        <x:f>J93</x:f>
        <x:v>235.89999999999998</x:v>
      </x:c>
      <x:c r="L86" s="125" t="n">
        <x:f>K93</x:f>
        <x:v>241.59999999999997</x:v>
      </x:c>
      <x:c r="M86" s="125" t="n">
        <x:f>L93</x:f>
        <x:v>287.29999999999995</x:v>
      </x:c>
      <x:c r="N86" s="125" t="n">
        <x:f>M93</x:f>
        <x:v>246.99999999999994</x:v>
      </x:c>
      <x:c r="O86" s="125" t="n">
        <x:f>N93</x:f>
        <x:v>313.29999999999995</x:v>
      </x:c>
      <x:c r="P86" s="125" t="n">
        <x:f>O93</x:f>
        <x:v>376.34999999999997</x:v>
      </x:c>
      <x:c r="Q86" s="125" t="n">
        <x:f>P93</x:f>
        <x:v>352.4</x:v>
      </x:c>
      <x:c r="R86" s="125" t="n">
        <x:f>Q93</x:f>
        <x:v>412.2</x:v>
      </x:c>
      <x:c r="S86" s="125" t="n">
        <x:f>R93</x:f>
        <x:v>472</x:v>
      </x:c>
      <x:c r="T86" s="125" t="n">
        <x:f>S93</x:f>
        <x:v>441.54999999999995</x:v>
      </x:c>
      <x:c r="U86" s="125" t="n">
        <x:f>T93</x:f>
        <x:v>498.09999999999997</x:v>
      </x:c>
      <x:c r="V86" s="125" t="n">
        <x:f>U93</x:f>
        <x:v>551.4</x:v>
      </x:c>
      <x:c r="W86" s="125" t="n">
        <x:f>V93</x:f>
        <x:v>604.6999999999999</x:v>
      </x:c>
      <x:c r="X86" s="125" t="n">
        <x:f>W93</x:f>
        <x:v>570.9999999999999</x:v>
      </x:c>
      <x:c r="Y86" s="125" t="n">
        <x:f>X93</x:f>
        <x:v>621.0499999999998</x:v>
      </x:c>
      <x:c r="Z86" s="125" t="n">
        <x:f>Y93</x:f>
        <x:v>671.0999999999998</x:v>
      </x:c>
      <x:c r="AA86" s="125" t="n">
        <x:f>Z93</x:f>
        <x:v>634.1499999999997</x:v>
      </x:c>
      <x:c r="AB86" s="125" t="n">
        <x:f>AA93</x:f>
        <x:v>680.9499999999997</x:v>
      </x:c>
      <x:c r="AC86" s="125" t="n">
        <x:f>AB93</x:f>
        <x:v>727.7499999999997</x:v>
      </x:c>
      <x:c r="AD86" s="125" t="n">
        <x:f>AC93</x:f>
        <x:v>577.5499999999995</x:v>
      </x:c>
      <x:c r="AE86" s="125" t="n">
        <x:f>AD93</x:f>
        <x:v>624.3499999999995</x:v>
      </x:c>
      <x:c r="AF86" s="65"/>
    </x:row>
    <x:row r="87" ht="28" customHeight="1">
      <x:c r="A87" s="62" t="str">
        <x:v>主线升星石</x:v>
      </x:c>
      <x:c r="B87" s="62" t="n">
        <x:f>(B22*B35+B23*ROUNDDOWN(B35*B29/B8*'经济参数'!$E$25,0))*B30</x:f>
        <x:v>18</x:v>
      </x:c>
      <x:c r="C87" s="62" t="n">
        <x:f>(C22*C35+C23*ROUNDDOWN(C35*C29/C8*'经济参数'!$E$25,0))*C30</x:f>
        <x:v>20</x:v>
      </x:c>
      <x:c r="D87" s="62" t="n">
        <x:f>(D22*D35+D23*ROUNDDOWN(D35*D29/D8*'经济参数'!$E$25,0))*D30</x:f>
        <x:v>20</x:v>
      </x:c>
      <x:c r="E87" s="62" t="n">
        <x:f>(E22*E35+E23*ROUNDDOWN(E35*E29/E8*'经济参数'!$E$25,0))*E30</x:f>
        <x:v>20</x:v>
      </x:c>
      <x:c r="F87" s="62" t="n">
        <x:f>(F22*F35+F23*ROUNDDOWN(F35*F29/F8*'经济参数'!$E$25,0))*F30</x:f>
        <x:v>40</x:v>
      </x:c>
      <x:c r="G87" s="62" t="n">
        <x:f>(G22*G35+G23*ROUNDDOWN(G35*G29/G8*'经济参数'!$E$25,0))*G30</x:f>
        <x:v>40</x:v>
      </x:c>
      <x:c r="H87" s="62" t="n">
        <x:f>(H22*H35+H23*ROUNDDOWN(H35*H29/H8*'经济参数'!$E$25,0))*H30</x:f>
        <x:v>40</x:v>
      </x:c>
      <x:c r="I87" s="62" t="n">
        <x:f>(I22*I35+I23*ROUNDDOWN(I35*I29/I8*'经济参数'!$E$25,0))*I30</x:f>
        <x:v>40</x:v>
      </x:c>
      <x:c r="J87" s="62" t="n">
        <x:f>(J22*J35+J23*ROUNDDOWN(J35*J29/J8*'经济参数'!$E$25,0))*J30</x:f>
        <x:v>40</x:v>
      </x:c>
      <x:c r="K87" s="62" t="n">
        <x:f>(K22*K35+K23*ROUNDDOWN(K35*K29/K8*'经济参数'!$E$25,0))*K30</x:f>
        <x:v>38</x:v>
      </x:c>
      <x:c r="L87" s="62" t="n">
        <x:f>(L22*L35+L23*ROUNDDOWN(L35*L29/L8*'经济参数'!$E$25,0))*L30</x:f>
        <x:v>36</x:v>
      </x:c>
      <x:c r="M87" s="62" t="n">
        <x:f>(M22*M35+M23*ROUNDDOWN(M35*M29/M8*'经济参数'!$E$25,0))*M30</x:f>
        <x:v>36</x:v>
      </x:c>
      <x:c r="N87" s="62" t="n">
        <x:f>(N22*N35+N23*ROUNDDOWN(N35*N29/N8*'经济参数'!$E$25,0))*N30</x:f>
        <x:v>55.25</x:v>
      </x:c>
      <x:c r="O87" s="62" t="n">
        <x:f>(O22*O35+O23*ROUNDDOWN(O35*O29/O8*'经济参数'!$E$25,0))*O30</x:f>
        <x:v>52.000000000000014</x:v>
      </x:c>
      <x:c r="P87" s="62" t="n">
        <x:f>(P22*P35+P23*ROUNDDOWN(P35*P29/P8*'经济参数'!$E$25,0))*P30</x:f>
        <x:v>52.000000000000014</x:v>
      </x:c>
      <x:c r="Q87" s="62" t="n">
        <x:f>(Q22*Q35+Q23*ROUNDDOWN(Q35*Q29/Q8*'经济参数'!$E$25,0))*Q30</x:f>
        <x:v>48.75</x:v>
      </x:c>
      <x:c r="R87" s="62" t="n">
        <x:f>(R22*R35+R23*ROUNDDOWN(R35*R29/R8*'经济参数'!$E$25,0))*R30</x:f>
        <x:v>48.75</x:v>
      </x:c>
      <x:c r="S87" s="62" t="n">
        <x:f>(S22*S35+S23*ROUNDDOWN(S35*S29/S8*'经济参数'!$E$25,0))*S30</x:f>
        <x:v>45.5</x:v>
      </x:c>
      <x:c r="T87" s="62" t="n">
        <x:f>(T22*T35+T23*ROUNDDOWN(T35*T29/T8*'经济参数'!$E$25,0))*T30</x:f>
        <x:v>45.5</x:v>
      </x:c>
      <x:c r="U87" s="62" t="n">
        <x:f>(U22*U35+U23*ROUNDDOWN(U35*U29/U8*'经济参数'!$E$25,0))*U30</x:f>
        <x:v>42.25000000000001</x:v>
      </x:c>
      <x:c r="V87" s="62" t="n">
        <x:f>(V22*V35+V23*ROUNDDOWN(V35*V29/V8*'经济参数'!$E$25,0))*V30</x:f>
        <x:v>42.25000000000001</x:v>
      </x:c>
      <x:c r="W87" s="62" t="n">
        <x:f>(W22*W35+W23*ROUNDDOWN(W35*W29/W8*'经济参数'!$E$25,0))*W30</x:f>
        <x:v>42.25000000000001</x:v>
      </x:c>
      <x:c r="X87" s="62" t="n">
        <x:f>(X22*X35+X23*ROUNDDOWN(X35*X29/X8*'经济参数'!$E$25,0))*X30</x:f>
        <x:v>39</x:v>
      </x:c>
      <x:c r="Y87" s="62" t="n">
        <x:f>(Y22*Y35+Y23*ROUNDDOWN(Y35*Y29/Y8*'经济参数'!$E$25,0))*Y30</x:f>
        <x:v>39</x:v>
      </x:c>
      <x:c r="Z87" s="62" t="n">
        <x:f>(Z22*Z35+Z23*ROUNDDOWN(Z35*Z29/Z8*'经济参数'!$E$25,0))*Z30</x:f>
        <x:v>39</x:v>
      </x:c>
      <x:c r="AA87" s="62" t="n">
        <x:f>(AA22*AA35+AA23*ROUNDDOWN(AA35*AA29/AA8*'经济参数'!$E$25,0))*AA30</x:f>
        <x:v>35.75</x:v>
      </x:c>
      <x:c r="AB87" s="62" t="n">
        <x:f>(AB22*AB35+AB23*ROUNDDOWN(AB35*AB29/AB8*'经济参数'!$E$25,0))*AB30</x:f>
        <x:v>35.75</x:v>
      </x:c>
      <x:c r="AC87" s="62" t="n">
        <x:f>(AC22*AC35+AC23*ROUNDDOWN(AC35*AC29/AC8*'经济参数'!$E$25,0))*AC30</x:f>
        <x:v>35.75</x:v>
      </x:c>
      <x:c r="AD87" s="62" t="n">
        <x:f>(AD22*AD35+AD23*ROUNDDOWN(AD35*AD29/AD8*'经济参数'!$E$25,0))*AD30</x:f>
        <x:v>35.75</x:v>
      </x:c>
      <x:c r="AE87" s="62" t="n">
        <x:f>(AE22*AE35+AE23*ROUNDDOWN(AE35*AE29/AE8*'经济参数'!$E$25,0))*AE30</x:f>
        <x:v>32.5</x:v>
      </x:c>
      <x:c r="AF87" s="65"/>
    </x:row>
    <x:row r="88" ht="28" customHeight="1">
      <x:c r="A88" s="62" t="str">
        <x:v>每日任务升星石</x:v>
      </x:c>
      <x:c r="B88" s="62" t="n">
        <x:f>B31*(IF(B21&gt;0,IF(B36&gt;='材料与任务'!$E$31,'材料与任务'!$E$36,IF(B36&gt;='材料与任务'!$E$25,'材料与任务'!$E$30,IF(B36&gt;='材料与任务'!$E$19,'材料与任务'!$E$24,IF(B36&gt;='材料与任务'!$E$13,'材料与任务'!$E$18,'材料与任务'!$E$12)))),0)+IF(B103&gt;0,MAX(1,ROUNDUP((IF(B36&gt;='材料与任务'!$E$31,'材料与任务'!$E$36,IF(B36&gt;='材料与任务'!$E$25,'材料与任务'!$E$30,IF(B36&gt;='材料与任务'!$E$19,'材料与任务'!$E$24,IF(B36&gt;='材料与任务'!$E$13,'材料与任务'!$E$18,'材料与任务'!$E$12)))))/2,0)),0))</x:f>
        <x:v>2</x:v>
      </x:c>
      <x:c r="C88" s="62" t="n">
        <x:f>C31*(IF(C21&gt;0,IF(C36&gt;='材料与任务'!$E$31,'材料与任务'!$E$36,IF(C36&gt;='材料与任务'!$E$25,'材料与任务'!$E$30,IF(C36&gt;='材料与任务'!$E$19,'材料与任务'!$E$24,IF(C36&gt;='材料与任务'!$E$13,'材料与任务'!$E$18,'材料与任务'!$E$12)))),0)+IF(C103&gt;0,MAX(1,ROUNDUP((IF(C36&gt;='材料与任务'!$E$31,'材料与任务'!$E$36,IF(C36&gt;='材料与任务'!$E$25,'材料与任务'!$E$30,IF(C36&gt;='材料与任务'!$E$19,'材料与任务'!$E$24,IF(C36&gt;='材料与任务'!$E$13,'材料与任务'!$E$18,'材料与任务'!$E$12)))))/2,0)),0))</x:f>
        <x:v>5</x:v>
      </x:c>
      <x:c r="D88" s="62" t="n">
        <x:f>D31*(IF(D21&gt;0,IF(D36&gt;='材料与任务'!$E$31,'材料与任务'!$E$36,IF(D36&gt;='材料与任务'!$E$25,'材料与任务'!$E$30,IF(D36&gt;='材料与任务'!$E$19,'材料与任务'!$E$24,IF(D36&gt;='材料与任务'!$E$13,'材料与任务'!$E$18,'材料与任务'!$E$12)))),0)+IF(D103&gt;0,MAX(1,ROUNDUP((IF(D36&gt;='材料与任务'!$E$31,'材料与任务'!$E$36,IF(D36&gt;='材料与任务'!$E$25,'材料与任务'!$E$30,IF(D36&gt;='材料与任务'!$E$19,'材料与任务'!$E$24,IF(D36&gt;='材料与任务'!$E$13,'材料与任务'!$E$18,'材料与任务'!$E$12)))))/2,0)),0))</x:f>
        <x:v>3</x:v>
      </x:c>
      <x:c r="E88" s="62" t="n">
        <x:f>E31*(IF(E21&gt;0,IF(E36&gt;='材料与任务'!$E$31,'材料与任务'!$E$36,IF(E36&gt;='材料与任务'!$E$25,'材料与任务'!$E$30,IF(E36&gt;='材料与任务'!$E$19,'材料与任务'!$E$24,IF(E36&gt;='材料与任务'!$E$13,'材料与任务'!$E$18,'材料与任务'!$E$12)))),0)+IF(E103&gt;0,MAX(1,ROUNDUP((IF(E36&gt;='材料与任务'!$E$31,'材料与任务'!$E$36,IF(E36&gt;='材料与任务'!$E$25,'材料与任务'!$E$30,IF(E36&gt;='材料与任务'!$E$19,'材料与任务'!$E$24,IF(E36&gt;='材料与任务'!$E$13,'材料与任务'!$E$18,'材料与任务'!$E$12)))))/2,0)),0))</x:f>
        <x:v>6</x:v>
      </x:c>
      <x:c r="F88" s="62" t="n">
        <x:f>F31*(IF(F21&gt;0,IF(F36&gt;='材料与任务'!$E$31,'材料与任务'!$E$36,IF(F36&gt;='材料与任务'!$E$25,'材料与任务'!$E$30,IF(F36&gt;='材料与任务'!$E$19,'材料与任务'!$E$24,IF(F36&gt;='材料与任务'!$E$13,'材料与任务'!$E$18,'材料与任务'!$E$12)))),0)+IF(F103&gt;0,MAX(1,ROUNDUP((IF(F36&gt;='材料与任务'!$E$31,'材料与任务'!$E$36,IF(F36&gt;='材料与任务'!$E$25,'材料与任务'!$E$30,IF(F36&gt;='材料与任务'!$E$19,'材料与任务'!$E$24,IF(F36&gt;='材料与任务'!$E$13,'材料与任务'!$E$18,'材料与任务'!$E$12)))))/2,0)),0))</x:f>
        <x:v>4</x:v>
      </x:c>
      <x:c r="G88" s="62" t="n">
        <x:f>G31*(IF(G21&gt;0,IF(G36&gt;='材料与任务'!$E$31,'材料与任务'!$E$36,IF(G36&gt;='材料与任务'!$E$25,'材料与任务'!$E$30,IF(G36&gt;='材料与任务'!$E$19,'材料与任务'!$E$24,IF(G36&gt;='材料与任务'!$E$13,'材料与任务'!$E$18,'材料与任务'!$E$12)))),0)+IF(G103&gt;0,MAX(1,ROUNDUP((IF(G36&gt;='材料与任务'!$E$31,'材料与任务'!$E$36,IF(G36&gt;='材料与任务'!$E$25,'材料与任务'!$E$30,IF(G36&gt;='材料与任务'!$E$19,'材料与任务'!$E$24,IF(G36&gt;='材料与任务'!$E$13,'材料与任务'!$E$18,'材料与任务'!$E$12)))))/2,0)),0))</x:f>
        <x:v>6</x:v>
      </x:c>
      <x:c r="H88" s="62" t="n">
        <x:f>H31*(IF(H21&gt;0,IF(H36&gt;='材料与任务'!$E$31,'材料与任务'!$E$36,IF(H36&gt;='材料与任务'!$E$25,'材料与任务'!$E$30,IF(H36&gt;='材料与任务'!$E$19,'材料与任务'!$E$24,IF(H36&gt;='材料与任务'!$E$13,'材料与任务'!$E$18,'材料与任务'!$E$12)))),0)+IF(H103&gt;0,MAX(1,ROUNDUP((IF(H36&gt;='材料与任务'!$E$31,'材料与任务'!$E$36,IF(H36&gt;='材料与任务'!$E$25,'材料与任务'!$E$30,IF(H36&gt;='材料与任务'!$E$19,'材料与任务'!$E$24,IF(H36&gt;='材料与任务'!$E$13,'材料与任务'!$E$18,'材料与任务'!$E$12)))))/2,0)),0))</x:f>
        <x:v>5</x:v>
      </x:c>
      <x:c r="I88" s="62" t="n">
        <x:f>I31*(IF(I21&gt;0,IF(I36&gt;='材料与任务'!$E$31,'材料与任务'!$E$36,IF(I36&gt;='材料与任务'!$E$25,'材料与任务'!$E$30,IF(I36&gt;='材料与任务'!$E$19,'材料与任务'!$E$24,IF(I36&gt;='材料与任务'!$E$13,'材料与任务'!$E$18,'材料与任务'!$E$12)))),0)+IF(I103&gt;0,MAX(1,ROUNDUP((IF(I36&gt;='材料与任务'!$E$31,'材料与任务'!$E$36,IF(I36&gt;='材料与任务'!$E$25,'材料与任务'!$E$30,IF(I36&gt;='材料与任务'!$E$19,'材料与任务'!$E$24,IF(I36&gt;='材料与任务'!$E$13,'材料与任务'!$E$18,'材料与任务'!$E$12)))))/2,0)),0))</x:f>
        <x:v>8</x:v>
      </x:c>
      <x:c r="J88" s="62" t="n">
        <x:f>J31*(IF(J21&gt;0,IF(J36&gt;='材料与任务'!$E$31,'材料与任务'!$E$36,IF(J36&gt;='材料与任务'!$E$25,'材料与任务'!$E$30,IF(J36&gt;='材料与任务'!$E$19,'材料与任务'!$E$24,IF(J36&gt;='材料与任务'!$E$13,'材料与任务'!$E$18,'材料与任务'!$E$12)))),0)+IF(J103&gt;0,MAX(1,ROUNDUP((IF(J36&gt;='材料与任务'!$E$31,'材料与任务'!$E$36,IF(J36&gt;='材料与任务'!$E$25,'材料与任务'!$E$30,IF(J36&gt;='材料与任务'!$E$19,'材料与任务'!$E$24,IF(J36&gt;='材料与任务'!$E$13,'材料与任务'!$E$18,'材料与任务'!$E$12)))))/2,0)),0))</x:f>
        <x:v>5</x:v>
      </x:c>
      <x:c r="K88" s="62" t="n">
        <x:f>K31*(IF(K21&gt;0,IF(K36&gt;='材料与任务'!$E$31,'材料与任务'!$E$36,IF(K36&gt;='材料与任务'!$E$25,'材料与任务'!$E$30,IF(K36&gt;='材料与任务'!$E$19,'材料与任务'!$E$24,IF(K36&gt;='材料与任务'!$E$13,'材料与任务'!$E$18,'材料与任务'!$E$12)))),0)+IF(K103&gt;0,MAX(1,ROUNDUP((IF(K36&gt;='材料与任务'!$E$31,'材料与任务'!$E$36,IF(K36&gt;='材料与任务'!$E$25,'材料与任务'!$E$30,IF(K36&gt;='材料与任务'!$E$19,'材料与任务'!$E$24,IF(K36&gt;='材料与任务'!$E$13,'材料与任务'!$E$18,'材料与任务'!$E$12)))))/2,0)),0))</x:f>
        <x:v>8</x:v>
      </x:c>
      <x:c r="L88" s="62" t="n">
        <x:f>L31*(IF(L21&gt;0,IF(L36&gt;='材料与任务'!$E$31,'材料与任务'!$E$36,IF(L36&gt;='材料与任务'!$E$25,'材料与任务'!$E$30,IF(L36&gt;='材料与任务'!$E$19,'材料与任务'!$E$24,IF(L36&gt;='材料与任务'!$E$13,'材料与任务'!$E$18,'材料与任务'!$E$12)))),0)+IF(L103&gt;0,MAX(1,ROUNDUP((IF(L36&gt;='材料与任务'!$E$31,'材料与任务'!$E$36,IF(L36&gt;='材料与任务'!$E$25,'材料与任务'!$E$30,IF(L36&gt;='材料与任务'!$E$19,'材料与任务'!$E$24,IF(L36&gt;='材料与任务'!$E$13,'材料与任务'!$E$18,'材料与任务'!$E$12)))))/2,0)),0))</x:f>
        <x:v>5</x:v>
      </x:c>
      <x:c r="M88" s="62" t="n">
        <x:f>M31*(IF(M21&gt;0,IF(M36&gt;='材料与任务'!$E$31,'材料与任务'!$E$36,IF(M36&gt;='材料与任务'!$E$25,'材料与任务'!$E$30,IF(M36&gt;='材料与任务'!$E$19,'材料与任务'!$E$24,IF(M36&gt;='材料与任务'!$E$13,'材料与任务'!$E$18,'材料与任务'!$E$12)))),0)+IF(M103&gt;0,MAX(1,ROUNDUP((IF(M36&gt;='材料与任务'!$E$31,'材料与任务'!$E$36,IF(M36&gt;='材料与任务'!$E$25,'材料与任务'!$E$30,IF(M36&gt;='材料与任务'!$E$19,'材料与任务'!$E$24,IF(M36&gt;='材料与任务'!$E$13,'材料与任务'!$E$18,'材料与任务'!$E$12)))))/2,0)),0))</x:f>
        <x:v>9</x:v>
      </x:c>
      <x:c r="N88" s="62" t="n">
        <x:f>N31*(IF(N21&gt;0,IF(N36&gt;='材料与任务'!$E$31,'材料与任务'!$E$36,IF(N36&gt;='材料与任务'!$E$25,'材料与任务'!$E$30,IF(N36&gt;='材料与任务'!$E$19,'材料与任务'!$E$24,IF(N36&gt;='材料与任务'!$E$13,'材料与任务'!$E$18,'材料与任务'!$E$12)))),0)+IF(N103&gt;0,MAX(1,ROUNDUP((IF(N36&gt;='材料与任务'!$E$31,'材料与任务'!$E$36,IF(N36&gt;='材料与任务'!$E$25,'材料与任务'!$E$30,IF(N36&gt;='材料与任务'!$E$19,'材料与任务'!$E$24,IF(N36&gt;='材料与任务'!$E$13,'材料与任务'!$E$18,'材料与任务'!$E$12)))))/2,0)),0))</x:f>
        <x:v>6</x:v>
      </x:c>
      <x:c r="O88" s="62" t="n">
        <x:f>O31*(IF(O21&gt;0,IF(O36&gt;='材料与任务'!$E$31,'材料与任务'!$E$36,IF(O36&gt;='材料与任务'!$E$25,'材料与任务'!$E$30,IF(O36&gt;='材料与任务'!$E$19,'材料与任务'!$E$24,IF(O36&gt;='材料与任务'!$E$13,'材料与任务'!$E$18,'材料与任务'!$E$12)))),0)+IF(O103&gt;0,MAX(1,ROUNDUP((IF(O36&gt;='材料与任务'!$E$31,'材料与任务'!$E$36,IF(O36&gt;='材料与任务'!$E$25,'材料与任务'!$E$30,IF(O36&gt;='材料与任务'!$E$19,'材料与任务'!$E$24,IF(O36&gt;='材料与任务'!$E$13,'材料与任务'!$E$18,'材料与任务'!$E$12)))))/2,0)),0))</x:f>
        <x:v>6</x:v>
      </x:c>
      <x:c r="P88" s="62" t="n">
        <x:f>P31*(IF(P21&gt;0,IF(P36&gt;='材料与任务'!$E$31,'材料与任务'!$E$36,IF(P36&gt;='材料与任务'!$E$25,'材料与任务'!$E$30,IF(P36&gt;='材料与任务'!$E$19,'材料与任务'!$E$24,IF(P36&gt;='材料与任务'!$E$13,'材料与任务'!$E$18,'材料与任务'!$E$12)))),0)+IF(P103&gt;0,MAX(1,ROUNDUP((IF(P36&gt;='材料与任务'!$E$31,'材料与任务'!$E$36,IF(P36&gt;='材料与任务'!$E$25,'材料与任务'!$E$30,IF(P36&gt;='材料与任务'!$E$19,'材料与任务'!$E$24,IF(P36&gt;='材料与任务'!$E$13,'材料与任务'!$E$18,'材料与任务'!$E$12)))))/2,0)),0))</x:f>
        <x:v>9</x:v>
      </x:c>
      <x:c r="Q88" s="62" t="n">
        <x:f>Q31*(IF(Q21&gt;0,IF(Q36&gt;='材料与任务'!$E$31,'材料与任务'!$E$36,IF(Q36&gt;='材料与任务'!$E$25,'材料与任务'!$E$30,IF(Q36&gt;='材料与任务'!$E$19,'材料与任务'!$E$24,IF(Q36&gt;='材料与任务'!$E$13,'材料与任务'!$E$18,'材料与任务'!$E$12)))),0)+IF(Q103&gt;0,MAX(1,ROUNDUP((IF(Q36&gt;='材料与任务'!$E$31,'材料与任务'!$E$36,IF(Q36&gt;='材料与任务'!$E$25,'材料与任务'!$E$30,IF(Q36&gt;='材料与任务'!$E$19,'材料与任务'!$E$24,IF(Q36&gt;='材料与任务'!$E$13,'材料与任务'!$E$18,'材料与任务'!$E$12)))))/2,0)),0))</x:f>
        <x:v>6</x:v>
      </x:c>
      <x:c r="R88" s="62" t="n">
        <x:f>R31*(IF(R21&gt;0,IF(R36&gt;='材料与任务'!$E$31,'材料与任务'!$E$36,IF(R36&gt;='材料与任务'!$E$25,'材料与任务'!$E$30,IF(R36&gt;='材料与任务'!$E$19,'材料与任务'!$E$24,IF(R36&gt;='材料与任务'!$E$13,'材料与任务'!$E$18,'材料与任务'!$E$12)))),0)+IF(R103&gt;0,MAX(1,ROUNDUP((IF(R36&gt;='材料与任务'!$E$31,'材料与任务'!$E$36,IF(R36&gt;='材料与任务'!$E$25,'材料与任务'!$E$30,IF(R36&gt;='材料与任务'!$E$19,'材料与任务'!$E$24,IF(R36&gt;='材料与任务'!$E$13,'材料与任务'!$E$18,'材料与任务'!$E$12)))))/2,0)),0))</x:f>
        <x:v>6</x:v>
      </x:c>
      <x:c r="S88" s="62" t="n">
        <x:f>S31*(IF(S21&gt;0,IF(S36&gt;='材料与任务'!$E$31,'材料与任务'!$E$36,IF(S36&gt;='材料与任务'!$E$25,'材料与任务'!$E$30,IF(S36&gt;='材料与任务'!$E$19,'材料与任务'!$E$24,IF(S36&gt;='材料与任务'!$E$13,'材料与任务'!$E$18,'材料与任务'!$E$12)))),0)+IF(S103&gt;0,MAX(1,ROUNDUP((IF(S36&gt;='材料与任务'!$E$31,'材料与任务'!$E$36,IF(S36&gt;='材料与任务'!$E$25,'材料与任务'!$E$30,IF(S36&gt;='材料与任务'!$E$19,'材料与任务'!$E$24,IF(S36&gt;='材料与任务'!$E$13,'材料与任务'!$E$18,'材料与任务'!$E$12)))))/2,0)),0))</x:f>
        <x:v>9</x:v>
      </x:c>
      <x:c r="T88" s="62" t="n">
        <x:f>T31*(IF(T21&gt;0,IF(T36&gt;='材料与任务'!$E$31,'材料与任务'!$E$36,IF(T36&gt;='材料与任务'!$E$25,'材料与任务'!$E$30,IF(T36&gt;='材料与任务'!$E$19,'材料与任务'!$E$24,IF(T36&gt;='材料与任务'!$E$13,'材料与任务'!$E$18,'材料与任务'!$E$12)))),0)+IF(T103&gt;0,MAX(1,ROUNDUP((IF(T36&gt;='材料与任务'!$E$31,'材料与任务'!$E$36,IF(T36&gt;='材料与任务'!$E$25,'材料与任务'!$E$30,IF(T36&gt;='材料与任务'!$E$19,'材料与任务'!$E$24,IF(T36&gt;='材料与任务'!$E$13,'材料与任务'!$E$18,'材料与任务'!$E$12)))))/2,0)),0))</x:f>
        <x:v>6</x:v>
      </x:c>
      <x:c r="U88" s="62" t="n">
        <x:f>U31*(IF(U21&gt;0,IF(U36&gt;='材料与任务'!$E$31,'材料与任务'!$E$36,IF(U36&gt;='材料与任务'!$E$25,'材料与任务'!$E$30,IF(U36&gt;='材料与任务'!$E$19,'材料与任务'!$E$24,IF(U36&gt;='材料与任务'!$E$13,'材料与任务'!$E$18,'材料与任务'!$E$12)))),0)+IF(U103&gt;0,MAX(1,ROUNDUP((IF(U36&gt;='材料与任务'!$E$31,'材料与任务'!$E$36,IF(U36&gt;='材料与任务'!$E$25,'材料与任务'!$E$30,IF(U36&gt;='材料与任务'!$E$19,'材料与任务'!$E$24,IF(U36&gt;='材料与任务'!$E$13,'材料与任务'!$E$18,'材料与任务'!$E$12)))))/2,0)),0))</x:f>
        <x:v>6</x:v>
      </x:c>
      <x:c r="V88" s="62" t="n">
        <x:f>V31*(IF(V21&gt;0,IF(V36&gt;='材料与任务'!$E$31,'材料与任务'!$E$36,IF(V36&gt;='材料与任务'!$E$25,'材料与任务'!$E$30,IF(V36&gt;='材料与任务'!$E$19,'材料与任务'!$E$24,IF(V36&gt;='材料与任务'!$E$13,'材料与任务'!$E$18,'材料与任务'!$E$12)))),0)+IF(V103&gt;0,MAX(1,ROUNDUP((IF(V36&gt;='材料与任务'!$E$31,'材料与任务'!$E$36,IF(V36&gt;='材料与任务'!$E$25,'材料与任务'!$E$30,IF(V36&gt;='材料与任务'!$E$19,'材料与任务'!$E$24,IF(V36&gt;='材料与任务'!$E$13,'材料与任务'!$E$18,'材料与任务'!$E$12)))))/2,0)),0))</x:f>
        <x:v>6</x:v>
      </x:c>
      <x:c r="W88" s="62" t="n">
        <x:f>W31*(IF(W21&gt;0,IF(W36&gt;='材料与任务'!$E$31,'材料与任务'!$E$36,IF(W36&gt;='材料与任务'!$E$25,'材料与任务'!$E$30,IF(W36&gt;='材料与任务'!$E$19,'材料与任务'!$E$24,IF(W36&gt;='材料与任务'!$E$13,'材料与任务'!$E$18,'材料与任务'!$E$12)))),0)+IF(W103&gt;0,MAX(1,ROUNDUP((IF(W36&gt;='材料与任务'!$E$31,'材料与任务'!$E$36,IF(W36&gt;='材料与任务'!$E$25,'材料与任务'!$E$30,IF(W36&gt;='材料与任务'!$E$19,'材料与任务'!$E$24,IF(W36&gt;='材料与任务'!$E$13,'材料与任务'!$E$18,'材料与任务'!$E$12)))))/2,0)),0))</x:f>
        <x:v>9</x:v>
      </x:c>
      <x:c r="X88" s="62" t="n">
        <x:f>X31*(IF(X21&gt;0,IF(X36&gt;='材料与任务'!$E$31,'材料与任务'!$E$36,IF(X36&gt;='材料与任务'!$E$25,'材料与任务'!$E$30,IF(X36&gt;='材料与任务'!$E$19,'材料与任务'!$E$24,IF(X36&gt;='材料与任务'!$E$13,'材料与任务'!$E$18,'材料与任务'!$E$12)))),0)+IF(X103&gt;0,MAX(1,ROUNDUP((IF(X36&gt;='材料与任务'!$E$31,'材料与任务'!$E$36,IF(X36&gt;='材料与任务'!$E$25,'材料与任务'!$E$30,IF(X36&gt;='材料与任务'!$E$19,'材料与任务'!$E$24,IF(X36&gt;='材料与任务'!$E$13,'材料与任务'!$E$18,'材料与任务'!$E$12)))))/2,0)),0))</x:f>
        <x:v>6</x:v>
      </x:c>
      <x:c r="Y88" s="62" t="n">
        <x:f>Y31*(IF(Y21&gt;0,IF(Y36&gt;='材料与任务'!$E$31,'材料与任务'!$E$36,IF(Y36&gt;='材料与任务'!$E$25,'材料与任务'!$E$30,IF(Y36&gt;='材料与任务'!$E$19,'材料与任务'!$E$24,IF(Y36&gt;='材料与任务'!$E$13,'材料与任务'!$E$18,'材料与任务'!$E$12)))),0)+IF(Y103&gt;0,MAX(1,ROUNDUP((IF(Y36&gt;='材料与任务'!$E$31,'材料与任务'!$E$36,IF(Y36&gt;='材料与任务'!$E$25,'材料与任务'!$E$30,IF(Y36&gt;='材料与任务'!$E$19,'材料与任务'!$E$24,IF(Y36&gt;='材料与任务'!$E$13,'材料与任务'!$E$18,'材料与任务'!$E$12)))))/2,0)),0))</x:f>
        <x:v>6</x:v>
      </x:c>
      <x:c r="Z88" s="62" t="n">
        <x:f>Z31*(IF(Z21&gt;0,IF(Z36&gt;='材料与任务'!$E$31,'材料与任务'!$E$36,IF(Z36&gt;='材料与任务'!$E$25,'材料与任务'!$E$30,IF(Z36&gt;='材料与任务'!$E$19,'材料与任务'!$E$24,IF(Z36&gt;='材料与任务'!$E$13,'材料与任务'!$E$18,'材料与任务'!$E$12)))),0)+IF(Z103&gt;0,MAX(1,ROUNDUP((IF(Z36&gt;='材料与任务'!$E$31,'材料与任务'!$E$36,IF(Z36&gt;='材料与任务'!$E$25,'材料与任务'!$E$30,IF(Z36&gt;='材料与任务'!$E$19,'材料与任务'!$E$24,IF(Z36&gt;='材料与任务'!$E$13,'材料与任务'!$E$18,'材料与任务'!$E$12)))))/2,0)),0))</x:f>
        <x:v>9</x:v>
      </x:c>
      <x:c r="AA88" s="62" t="n">
        <x:f>AA31*(IF(AA21&gt;0,IF(AA36&gt;='材料与任务'!$E$31,'材料与任务'!$E$36,IF(AA36&gt;='材料与任务'!$E$25,'材料与任务'!$E$30,IF(AA36&gt;='材料与任务'!$E$19,'材料与任务'!$E$24,IF(AA36&gt;='材料与任务'!$E$13,'材料与任务'!$E$18,'材料与任务'!$E$12)))),0)+IF(AA103&gt;0,MAX(1,ROUNDUP((IF(AA36&gt;='材料与任务'!$E$31,'材料与任务'!$E$36,IF(AA36&gt;='材料与任务'!$E$25,'材料与任务'!$E$30,IF(AA36&gt;='材料与任务'!$E$19,'材料与任务'!$E$24,IF(AA36&gt;='材料与任务'!$E$13,'材料与任务'!$E$18,'材料与任务'!$E$12)))))/2,0)),0))</x:f>
        <x:v>6</x:v>
      </x:c>
      <x:c r="AB88" s="62" t="n">
        <x:f>AB31*(IF(AB21&gt;0,IF(AB36&gt;='材料与任务'!$E$31,'材料与任务'!$E$36,IF(AB36&gt;='材料与任务'!$E$25,'材料与任务'!$E$30,IF(AB36&gt;='材料与任务'!$E$19,'材料与任务'!$E$24,IF(AB36&gt;='材料与任务'!$E$13,'材料与任务'!$E$18,'材料与任务'!$E$12)))),0)+IF(AB103&gt;0,MAX(1,ROUNDUP((IF(AB36&gt;='材料与任务'!$E$31,'材料与任务'!$E$36,IF(AB36&gt;='材料与任务'!$E$25,'材料与任务'!$E$30,IF(AB36&gt;='材料与任务'!$E$19,'材料与任务'!$E$24,IF(AB36&gt;='材料与任务'!$E$13,'材料与任务'!$E$18,'材料与任务'!$E$12)))))/2,0)),0))</x:f>
        <x:v>6</x:v>
      </x:c>
      <x:c r="AC88" s="62" t="n">
        <x:f>AC31*(IF(AC21&gt;0,IF(AC36&gt;='材料与任务'!$E$31,'材料与任务'!$E$36,IF(AC36&gt;='材料与任务'!$E$25,'材料与任务'!$E$30,IF(AC36&gt;='材料与任务'!$E$19,'材料与任务'!$E$24,IF(AC36&gt;='材料与任务'!$E$13,'材料与任务'!$E$18,'材料与任务'!$E$12)))),0)+IF(AC103&gt;0,MAX(1,ROUNDUP((IF(AC36&gt;='材料与任务'!$E$31,'材料与任务'!$E$36,IF(AC36&gt;='材料与任务'!$E$25,'材料与任务'!$E$30,IF(AC36&gt;='材料与任务'!$E$19,'材料与任务'!$E$24,IF(AC36&gt;='材料与任务'!$E$13,'材料与任务'!$E$18,'材料与任务'!$E$12)))))/2,0)),0))</x:f>
        <x:v>9</x:v>
      </x:c>
      <x:c r="AD88" s="62" t="n">
        <x:f>AD31*(IF(AD21&gt;0,IF(AD36&gt;='材料与任务'!$E$31,'材料与任务'!$E$36,IF(AD36&gt;='材料与任务'!$E$25,'材料与任务'!$E$30,IF(AD36&gt;='材料与任务'!$E$19,'材料与任务'!$E$24,IF(AD36&gt;='材料与任务'!$E$13,'材料与任务'!$E$18,'材料与任务'!$E$12)))),0)+IF(AD103&gt;0,MAX(1,ROUNDUP((IF(AD36&gt;='材料与任务'!$E$31,'材料与任务'!$E$36,IF(AD36&gt;='材料与任务'!$E$25,'材料与任务'!$E$30,IF(AD36&gt;='材料与任务'!$E$19,'材料与任务'!$E$24,IF(AD36&gt;='材料与任务'!$E$13,'材料与任务'!$E$18,'材料与任务'!$E$12)))))/2,0)),0))</x:f>
        <x:v>6</x:v>
      </x:c>
      <x:c r="AE88" s="62" t="n">
        <x:f>AE31*(IF(AE21&gt;0,IF(AE36&gt;='材料与任务'!$E$31,'材料与任务'!$E$36,IF(AE36&gt;='材料与任务'!$E$25,'材料与任务'!$E$30,IF(AE36&gt;='材料与任务'!$E$19,'材料与任务'!$E$24,IF(AE36&gt;='材料与任务'!$E$13,'材料与任务'!$E$18,'材料与任务'!$E$12)))),0)+IF(AE103&gt;0,MAX(1,ROUNDUP((IF(AE36&gt;='材料与任务'!$E$31,'材料与任务'!$E$36,IF(AE36&gt;='材料与任务'!$E$25,'材料与任务'!$E$30,IF(AE36&gt;='材料与任务'!$E$19,'材料与任务'!$E$24,IF(AE36&gt;='材料与任务'!$E$13,'材料与任务'!$E$18,'材料与任务'!$E$12)))))/2,0)),0))</x:f>
        <x:v>6</x:v>
      </x:c>
      <x:c r="AF88" s="65"/>
    </x:row>
    <x:row r="89" ht="28" customHeight="1">
      <x:c r="A89" s="62" t="str">
        <x:v>军报升星石期望</x:v>
      </x:c>
      <x:c r="B89" s="62" t="n">
        <x:f>B11*'每日计划'!B16*'经济参数'!$E$73*MAX(1,ROUND(B35*'经济参数'!$E$74,0))</x:f>
        <x:v>0.35</x:v>
      </x:c>
      <x:c r="C89" s="62" t="n">
        <x:f>C11*'每日计划'!C16*'经济参数'!$E$73*MAX(1,ROUND(C35*'经济参数'!$E$74,0))</x:f>
        <x:v>0.35</x:v>
      </x:c>
      <x:c r="D89" s="62" t="n">
        <x:f>D11*'每日计划'!D16*'经济参数'!$E$73*MAX(1,ROUND(D35*'经济参数'!$E$74,0))</x:f>
        <x:v>0.35</x:v>
      </x:c>
      <x:c r="E89" s="62" t="n">
        <x:f>E11*'每日计划'!E16*'经济参数'!$E$73*MAX(1,ROUND(E35*'经济参数'!$E$74,0))</x:f>
        <x:v>0.35</x:v>
      </x:c>
      <x:c r="F89" s="62" t="n">
        <x:f>F11*'每日计划'!F16*'经济参数'!$E$73*MAX(1,ROUND(F35*'经济参数'!$E$74,0))</x:f>
        <x:v>0.7</x:v>
      </x:c>
      <x:c r="G89" s="62" t="n">
        <x:f>G11*'每日计划'!G16*'经济参数'!$E$73*MAX(1,ROUND(G35*'经济参数'!$E$74,0))</x:f>
        <x:v>0.7</x:v>
      </x:c>
      <x:c r="H89" s="62" t="n">
        <x:f>H11*'每日计划'!H16*'经济参数'!$E$73*MAX(1,ROUND(H35*'经济参数'!$E$74,0))</x:f>
        <x:v>0.7</x:v>
      </x:c>
      <x:c r="I89" s="62" t="n">
        <x:f>I11*'每日计划'!I16*'经济参数'!$E$73*MAX(1,ROUND(I35*'经济参数'!$E$74,0))</x:f>
        <x:v>0.7</x:v>
      </x:c>
      <x:c r="J89" s="62" t="n">
        <x:f>J11*'每日计划'!J16*'经济参数'!$E$73*MAX(1,ROUND(J35*'经济参数'!$E$74,0))</x:f>
        <x:v>0.7</x:v>
      </x:c>
      <x:c r="K89" s="62" t="n">
        <x:f>K11*'每日计划'!K16*'经济参数'!$E$73*MAX(1,ROUND(K35*'经济参数'!$E$74,0))</x:f>
        <x:v>0.7</x:v>
      </x:c>
      <x:c r="L89" s="62" t="n">
        <x:f>L11*'每日计划'!L16*'经济参数'!$E$73*MAX(1,ROUND(L35*'经济参数'!$E$74,0))</x:f>
        <x:v>0.7</x:v>
      </x:c>
      <x:c r="M89" s="62" t="n">
        <x:f>M11*'每日计划'!M16*'经济参数'!$E$73*MAX(1,ROUND(M35*'经济参数'!$E$74,0))</x:f>
        <x:v>0.7</x:v>
      </x:c>
      <x:c r="N89" s="62" t="n">
        <x:f>N11*'每日计划'!N16*'经济参数'!$E$73*MAX(1,ROUND(N35*'经济参数'!$E$74,0))</x:f>
        <x:v>1.0499999999999998</x:v>
      </x:c>
      <x:c r="O89" s="62" t="n">
        <x:f>O11*'每日计划'!O16*'经济参数'!$E$73*MAX(1,ROUND(O35*'经济参数'!$E$74,0))</x:f>
        <x:v>1.0499999999999998</x:v>
      </x:c>
      <x:c r="P89" s="62" t="n">
        <x:f>P11*'每日计划'!P16*'经济参数'!$E$73*MAX(1,ROUND(P35*'经济参数'!$E$74,0))</x:f>
        <x:v>1.0499999999999998</x:v>
      </x:c>
      <x:c r="Q89" s="62" t="n">
        <x:f>Q11*'每日计划'!Q16*'经济参数'!$E$73*MAX(1,ROUND(Q35*'经济参数'!$E$74,0))</x:f>
        <x:v>1.0499999999999998</x:v>
      </x:c>
      <x:c r="R89" s="62" t="n">
        <x:f>R11*'每日计划'!R16*'经济参数'!$E$73*MAX(1,ROUND(R35*'经济参数'!$E$74,0))</x:f>
        <x:v>1.0499999999999998</x:v>
      </x:c>
      <x:c r="S89" s="62" t="n">
        <x:f>S11*'每日计划'!S16*'经济参数'!$E$73*MAX(1,ROUND(S35*'经济参数'!$E$74,0))</x:f>
        <x:v>1.0499999999999998</x:v>
      </x:c>
      <x:c r="T89" s="62" t="n">
        <x:f>T11*'每日计划'!T16*'经济参数'!$E$73*MAX(1,ROUND(T35*'经济参数'!$E$74,0))</x:f>
        <x:v>1.0499999999999998</x:v>
      </x:c>
      <x:c r="U89" s="62" t="n">
        <x:f>U11*'每日计划'!U16*'经济参数'!$E$73*MAX(1,ROUND(U35*'经济参数'!$E$74,0))</x:f>
        <x:v>1.0499999999999998</x:v>
      </x:c>
      <x:c r="V89" s="62" t="n">
        <x:f>V11*'每日计划'!V16*'经济参数'!$E$73*MAX(1,ROUND(V35*'经济参数'!$E$74,0))</x:f>
        <x:v>1.0499999999999998</x:v>
      </x:c>
      <x:c r="W89" s="62" t="n">
        <x:f>W11*'每日计划'!W16*'经济参数'!$E$73*MAX(1,ROUND(W35*'经济参数'!$E$74,0))</x:f>
        <x:v>1.0499999999999998</x:v>
      </x:c>
      <x:c r="X89" s="62" t="n">
        <x:f>X11*'每日计划'!X16*'经济参数'!$E$73*MAX(1,ROUND(X35*'经济参数'!$E$74,0))</x:f>
        <x:v>1.0499999999999998</x:v>
      </x:c>
      <x:c r="Y89" s="62" t="n">
        <x:f>Y11*'每日计划'!Y16*'经济参数'!$E$73*MAX(1,ROUND(Y35*'经济参数'!$E$74,0))</x:f>
        <x:v>1.0499999999999998</x:v>
      </x:c>
      <x:c r="Z89" s="62" t="n">
        <x:f>Z11*'每日计划'!Z16*'经济参数'!$E$73*MAX(1,ROUND(Z35*'经济参数'!$E$74,0))</x:f>
        <x:v>1.0499999999999998</x:v>
      </x:c>
      <x:c r="AA89" s="62" t="n">
        <x:f>AA11*'每日计划'!AA16*'经济参数'!$E$73*MAX(1,ROUND(AA35*'经济参数'!$E$74,0))</x:f>
        <x:v>1.0499999999999998</x:v>
      </x:c>
      <x:c r="AB89" s="62" t="n">
        <x:f>AB11*'每日计划'!AB16*'经济参数'!$E$73*MAX(1,ROUND(AB35*'经济参数'!$E$74,0))</x:f>
        <x:v>1.0499999999999998</x:v>
      </x:c>
      <x:c r="AC89" s="62" t="n">
        <x:f>AC11*'每日计划'!AC16*'经济参数'!$E$73*MAX(1,ROUND(AC35*'经济参数'!$E$74,0))</x:f>
        <x:v>1.0499999999999998</x:v>
      </x:c>
      <x:c r="AD89" s="62" t="n">
        <x:f>AD11*'每日计划'!AD16*'经济参数'!$E$73*MAX(1,ROUND(AD35*'经济参数'!$E$74,0))</x:f>
        <x:v>1.0499999999999998</x:v>
      </x:c>
      <x:c r="AE89" s="62" t="n">
        <x:f>AE11*'每日计划'!AE16*'经济参数'!$E$73*MAX(1,ROUND(AE35*'经济参数'!$E$74,0))</x:f>
        <x:v>1.0499999999999998</x:v>
      </x:c>
      <x:c r="AF89" s="65"/>
    </x:row>
    <x:row r="90" ht="28" customHeight="1">
      <x:c r="A90" s="62" t="str">
        <x:v>兑换升星石</x:v>
      </x:c>
      <x:c r="B90" s="62" t="n">
        <x:f>ROUNDDOWN('每日计划'!B43/'商店与兑换'!$E$10,0)*'商店与兑换'!$E$9+ROUNDDOWN('每日计划'!B45/'商店与兑换'!$E$16,0)*'商店与兑换'!$E$15</x:f>
        <x:v>0</x:v>
      </x:c>
      <x:c r="C90" s="62" t="n">
        <x:f>ROUNDDOWN('每日计划'!C43/'商店与兑换'!$E$10,0)*'商店与兑换'!$E$9+ROUNDDOWN('每日计划'!C45/'商店与兑换'!$E$16,0)*'商店与兑换'!$E$15</x:f>
        <x:v>0</x:v>
      </x:c>
      <x:c r="D90" s="62" t="n">
        <x:f>ROUNDDOWN('每日计划'!D43/'商店与兑换'!$E$10,0)*'商店与兑换'!$E$9+ROUNDDOWN('每日计划'!D45/'商店与兑换'!$E$16,0)*'商店与兑换'!$E$15</x:f>
        <x:v>0</x:v>
      </x:c>
      <x:c r="E90" s="62" t="n">
        <x:f>ROUNDDOWN('每日计划'!E43/'商店与兑换'!$E$10,0)*'商店与兑换'!$E$9+ROUNDDOWN('每日计划'!E45/'商店与兑换'!$E$16,0)*'商店与兑换'!$E$15</x:f>
        <x:v>0</x:v>
      </x:c>
      <x:c r="F90" s="62" t="n">
        <x:f>ROUNDDOWN('每日计划'!F43/'商店与兑换'!$E$10,0)*'商店与兑换'!$E$9+ROUNDDOWN('每日计划'!F45/'商店与兑换'!$E$16,0)*'商店与兑换'!$E$15</x:f>
        <x:v>0</x:v>
      </x:c>
      <x:c r="G90" s="62" t="n">
        <x:f>ROUNDDOWN('每日计划'!G43/'商店与兑换'!$E$10,0)*'商店与兑换'!$E$9+ROUNDDOWN('每日计划'!G45/'商店与兑换'!$E$16,0)*'商店与兑换'!$E$15</x:f>
        <x:v>0</x:v>
      </x:c>
      <x:c r="H90" s="62" t="n">
        <x:f>ROUNDDOWN('每日计划'!H43/'商店与兑换'!$E$10,0)*'商店与兑换'!$E$9+ROUNDDOWN('每日计划'!H45/'商店与兑换'!$E$16,0)*'商店与兑换'!$E$15</x:f>
        <x:v>0</x:v>
      </x:c>
      <x:c r="I90" s="62" t="n">
        <x:f>ROUNDDOWN('每日计划'!I43/'商店与兑换'!$E$10,0)*'商店与兑换'!$E$9+ROUNDDOWN('每日计划'!I45/'商店与兑换'!$E$16,0)*'商店与兑换'!$E$15</x:f>
        <x:v>0</x:v>
      </x:c>
      <x:c r="J90" s="62" t="n">
        <x:f>ROUNDDOWN('每日计划'!J43/'商店与兑换'!$E$10,0)*'商店与兑换'!$E$9+ROUNDDOWN('每日计划'!J45/'商店与兑换'!$E$16,0)*'商店与兑换'!$E$15</x:f>
        <x:v>0</x:v>
      </x:c>
      <x:c r="K90" s="62" t="n">
        <x:f>ROUNDDOWN('每日计划'!K43/'商店与兑换'!$E$10,0)*'商店与兑换'!$E$9+ROUNDDOWN('每日计划'!K45/'商店与兑换'!$E$16,0)*'商店与兑换'!$E$15</x:f>
        <x:v>4</x:v>
      </x:c>
      <x:c r="L90" s="62" t="n">
        <x:f>ROUNDDOWN('每日计划'!L43/'商店与兑换'!$E$10,0)*'商店与兑换'!$E$9+ROUNDDOWN('每日计划'!L45/'商店与兑换'!$E$16,0)*'商店与兑换'!$E$15</x:f>
        <x:v>4</x:v>
      </x:c>
      <x:c r="M90" s="62" t="n">
        <x:f>ROUNDDOWN('每日计划'!M43/'商店与兑换'!$E$10,0)*'商店与兑换'!$E$9+ROUNDDOWN('每日计划'!M45/'商店与兑换'!$E$16,0)*'商店与兑换'!$E$15</x:f>
        <x:v>4</x:v>
      </x:c>
      <x:c r="N90" s="62" t="n">
        <x:f>ROUNDDOWN('每日计划'!N43/'商店与兑换'!$E$10,0)*'商店与兑换'!$E$9+ROUNDDOWN('每日计划'!N45/'商店与兑换'!$E$16,0)*'商店与兑换'!$E$15</x:f>
        <x:v>4</x:v>
      </x:c>
      <x:c r="O90" s="62" t="n">
        <x:f>ROUNDDOWN('每日计划'!O43/'商店与兑换'!$E$10,0)*'商店与兑换'!$E$9+ROUNDDOWN('每日计划'!O45/'商店与兑换'!$E$16,0)*'商店与兑换'!$E$15</x:f>
        <x:v>4</x:v>
      </x:c>
      <x:c r="P90" s="62" t="n">
        <x:f>ROUNDDOWN('每日计划'!P43/'商店与兑换'!$E$10,0)*'商店与兑换'!$E$9+ROUNDDOWN('每日计划'!P45/'商店与兑换'!$E$16,0)*'商店与兑换'!$E$15</x:f>
        <x:v>4</x:v>
      </x:c>
      <x:c r="Q90" s="62" t="n">
        <x:f>ROUNDDOWN('每日计划'!Q43/'商店与兑换'!$E$10,0)*'商店与兑换'!$E$9+ROUNDDOWN('每日计划'!Q45/'商店与兑换'!$E$16,0)*'商店与兑换'!$E$15</x:f>
        <x:v>4</x:v>
      </x:c>
      <x:c r="R90" s="62" t="n">
        <x:f>ROUNDDOWN('每日计划'!R43/'商店与兑换'!$E$10,0)*'商店与兑换'!$E$9+ROUNDDOWN('每日计划'!R45/'商店与兑换'!$E$16,0)*'商店与兑换'!$E$15</x:f>
        <x:v>4</x:v>
      </x:c>
      <x:c r="S90" s="62" t="n">
        <x:f>ROUNDDOWN('每日计划'!S43/'商店与兑换'!$E$10,0)*'商店与兑换'!$E$9+ROUNDDOWN('每日计划'!S45/'商店与兑换'!$E$16,0)*'商店与兑换'!$E$15</x:f>
        <x:v>4</x:v>
      </x:c>
      <x:c r="T90" s="62" t="n">
        <x:f>ROUNDDOWN('每日计划'!T43/'商店与兑换'!$E$10,0)*'商店与兑换'!$E$9+ROUNDDOWN('每日计划'!T45/'商店与兑换'!$E$16,0)*'商店与兑换'!$E$15</x:f>
        <x:v>4</x:v>
      </x:c>
      <x:c r="U90" s="62" t="n">
        <x:f>ROUNDDOWN('每日计划'!U43/'商店与兑换'!$E$10,0)*'商店与兑换'!$E$9+ROUNDDOWN('每日计划'!U45/'商店与兑换'!$E$16,0)*'商店与兑换'!$E$15</x:f>
        <x:v>4</x:v>
      </x:c>
      <x:c r="V90" s="62" t="n">
        <x:f>ROUNDDOWN('每日计划'!V43/'商店与兑换'!$E$10,0)*'商店与兑换'!$E$9+ROUNDDOWN('每日计划'!V45/'商店与兑换'!$E$16,0)*'商店与兑换'!$E$15</x:f>
        <x:v>4</x:v>
      </x:c>
      <x:c r="W90" s="62" t="n">
        <x:f>ROUNDDOWN('每日计划'!W43/'商店与兑换'!$E$10,0)*'商店与兑换'!$E$9+ROUNDDOWN('每日计划'!W45/'商店与兑换'!$E$16,0)*'商店与兑换'!$E$15</x:f>
        <x:v>4</x:v>
      </x:c>
      <x:c r="X90" s="62" t="n">
        <x:f>ROUNDDOWN('每日计划'!X43/'商店与兑换'!$E$10,0)*'商店与兑换'!$E$9+ROUNDDOWN('每日计划'!X45/'商店与兑换'!$E$16,0)*'商店与兑换'!$E$15</x:f>
        <x:v>4</x:v>
      </x:c>
      <x:c r="Y90" s="62" t="n">
        <x:f>ROUNDDOWN('每日计划'!Y43/'商店与兑换'!$E$10,0)*'商店与兑换'!$E$9+ROUNDDOWN('每日计划'!Y45/'商店与兑换'!$E$16,0)*'商店与兑换'!$E$15</x:f>
        <x:v>4</x:v>
      </x:c>
      <x:c r="Z90" s="62" t="n">
        <x:f>ROUNDDOWN('每日计划'!Z43/'商店与兑换'!$E$10,0)*'商店与兑换'!$E$9+ROUNDDOWN('每日计划'!Z45/'商店与兑换'!$E$16,0)*'商店与兑换'!$E$15</x:f>
        <x:v>4</x:v>
      </x:c>
      <x:c r="AA90" s="62" t="n">
        <x:f>ROUNDDOWN('每日计划'!AA43/'商店与兑换'!$E$10,0)*'商店与兑换'!$E$9+ROUNDDOWN('每日计划'!AA45/'商店与兑换'!$E$16,0)*'商店与兑换'!$E$15</x:f>
        <x:v>4</x:v>
      </x:c>
      <x:c r="AB90" s="62" t="n">
        <x:f>ROUNDDOWN('每日计划'!AB43/'商店与兑换'!$E$10,0)*'商店与兑换'!$E$9+ROUNDDOWN('每日计划'!AB45/'商店与兑换'!$E$16,0)*'商店与兑换'!$E$15</x:f>
        <x:v>4</x:v>
      </x:c>
      <x:c r="AC90" s="62" t="n">
        <x:f>ROUNDDOWN('每日计划'!AC43/'商店与兑换'!$E$10,0)*'商店与兑换'!$E$9+ROUNDDOWN('每日计划'!AC45/'商店与兑换'!$E$16,0)*'商店与兑换'!$E$15</x:f>
        <x:v>4</x:v>
      </x:c>
      <x:c r="AD90" s="62" t="n">
        <x:f>ROUNDDOWN('每日计划'!AD43/'商店与兑换'!$E$10,0)*'商店与兑换'!$E$9+ROUNDDOWN('每日计划'!AD45/'商店与兑换'!$E$16,0)*'商店与兑换'!$E$15</x:f>
        <x:v>4</x:v>
      </x:c>
      <x:c r="AE90" s="62" t="n">
        <x:f>ROUNDDOWN('每日计划'!AE43/'商店与兑换'!$E$10,0)*'商店与兑换'!$E$9+ROUNDDOWN('每日计划'!AE45/'商店与兑换'!$E$16,0)*'商店与兑换'!$E$15</x:f>
        <x:v>4</x:v>
      </x:c>
      <x:c r="AF90" s="65"/>
    </x:row>
    <x:row r="91" ht="28" customHeight="1">
      <x:c r="A91" s="125" t="str">
        <x:v>升星石总产出</x:v>
      </x:c>
      <x:c r="B91" s="125" t="n">
        <x:f>SUM(B87:B90)</x:f>
        <x:v>20.35</x:v>
      </x:c>
      <x:c r="C91" s="125" t="n">
        <x:f>SUM(C87:C90)</x:f>
        <x:v>25.35</x:v>
      </x:c>
      <x:c r="D91" s="125" t="n">
        <x:f>SUM(D87:D90)</x:f>
        <x:v>23.35</x:v>
      </x:c>
      <x:c r="E91" s="125" t="n">
        <x:f>SUM(E87:E90)</x:f>
        <x:v>26.35</x:v>
      </x:c>
      <x:c r="F91" s="125" t="n">
        <x:f>SUM(F87:F90)</x:f>
        <x:v>44.7</x:v>
      </x:c>
      <x:c r="G91" s="125" t="n">
        <x:f>SUM(G87:G90)</x:f>
        <x:v>46.7</x:v>
      </x:c>
      <x:c r="H91" s="125" t="n">
        <x:f>SUM(H87:H90)</x:f>
        <x:v>45.7</x:v>
      </x:c>
      <x:c r="I91" s="125" t="n">
        <x:f>SUM(I87:I90)</x:f>
        <x:v>48.7</x:v>
      </x:c>
      <x:c r="J91" s="125" t="n">
        <x:f>SUM(J87:J90)</x:f>
        <x:v>45.7</x:v>
      </x:c>
      <x:c r="K91" s="125" t="n">
        <x:f>SUM(K87:K90)</x:f>
        <x:v>50.7</x:v>
      </x:c>
      <x:c r="L91" s="125" t="n">
        <x:f>SUM(L87:L90)</x:f>
        <x:v>45.7</x:v>
      </x:c>
      <x:c r="M91" s="125" t="n">
        <x:f>SUM(M87:M90)</x:f>
        <x:v>49.7</x:v>
      </x:c>
      <x:c r="N91" s="125" t="n">
        <x:f>SUM(N87:N90)</x:f>
        <x:v>66.3</x:v>
      </x:c>
      <x:c r="O91" s="125" t="n">
        <x:f>SUM(O87:O90)</x:f>
        <x:v>63.05000000000001</x:v>
      </x:c>
      <x:c r="P91" s="125" t="n">
        <x:f>SUM(P87:P90)</x:f>
        <x:v>66.05000000000001</x:v>
      </x:c>
      <x:c r="Q91" s="125" t="n">
        <x:f>SUM(Q87:Q90)</x:f>
        <x:v>59.8</x:v>
      </x:c>
      <x:c r="R91" s="125" t="n">
        <x:f>SUM(R87:R90)</x:f>
        <x:v>59.8</x:v>
      </x:c>
      <x:c r="S91" s="125" t="n">
        <x:f>SUM(S87:S90)</x:f>
        <x:v>59.55</x:v>
      </x:c>
      <x:c r="T91" s="125" t="n">
        <x:f>SUM(T87:T90)</x:f>
        <x:v>56.55</x:v>
      </x:c>
      <x:c r="U91" s="125" t="n">
        <x:f>SUM(U87:U90)</x:f>
        <x:v>53.300000000000004</x:v>
      </x:c>
      <x:c r="V91" s="125" t="n">
        <x:f>SUM(V87:V90)</x:f>
        <x:v>53.300000000000004</x:v>
      </x:c>
      <x:c r="W91" s="125" t="n">
        <x:f>SUM(W87:W90)</x:f>
        <x:v>56.300000000000004</x:v>
      </x:c>
      <x:c r="X91" s="125" t="n">
        <x:f>SUM(X87:X90)</x:f>
        <x:v>50.05</x:v>
      </x:c>
      <x:c r="Y91" s="125" t="n">
        <x:f>SUM(Y87:Y90)</x:f>
        <x:v>50.05</x:v>
      </x:c>
      <x:c r="Z91" s="125" t="n">
        <x:f>SUM(Z87:Z90)</x:f>
        <x:v>53.05</x:v>
      </x:c>
      <x:c r="AA91" s="125" t="n">
        <x:f>SUM(AA87:AA90)</x:f>
        <x:v>46.8</x:v>
      </x:c>
      <x:c r="AB91" s="125" t="n">
        <x:f>SUM(AB87:AB90)</x:f>
        <x:v>46.8</x:v>
      </x:c>
      <x:c r="AC91" s="125" t="n">
        <x:f>SUM(AC87:AC90)</x:f>
        <x:v>49.8</x:v>
      </x:c>
      <x:c r="AD91" s="125" t="n">
        <x:f>SUM(AD87:AD90)</x:f>
        <x:v>46.8</x:v>
      </x:c>
      <x:c r="AE91" s="125" t="n">
        <x:f>SUM(AE87:AE90)</x:f>
        <x:v>43.55</x:v>
      </x:c>
      <x:c r="AF91" s="65"/>
    </x:row>
    <x:row r="92" ht="28" customHeight="1">
      <x:c r="A92" s="125" t="str">
        <x:v>升星石期望需求</x:v>
      </x:c>
      <x:c r="B92" s="125" t="n">
        <x:f>B103</x:f>
        <x:v>0</x:v>
      </x:c>
      <x:c r="C92" s="125" t="n">
        <x:f>C103</x:f>
        <x:v>18</x:v>
      </x:c>
      <x:c r="D92" s="125" t="n">
        <x:f>D103</x:f>
        <x:v>0</x:v>
      </x:c>
      <x:c r="E92" s="125" t="n">
        <x:f>E103</x:f>
        <x:v>18</x:v>
      </x:c>
      <x:c r="F92" s="125" t="n">
        <x:f>F103</x:f>
        <x:v>0</x:v>
      </x:c>
      <x:c r="G92" s="125" t="n">
        <x:f>G103</x:f>
        <x:v>18</x:v>
      </x:c>
      <x:c r="H92" s="125" t="n">
        <x:f>H103</x:f>
        <x:v>0</x:v>
      </x:c>
      <x:c r="I92" s="125" t="n">
        <x:f>I103</x:f>
        <x:v>45</x:v>
      </x:c>
      <x:c r="J92" s="125" t="n">
        <x:f>J103</x:f>
        <x:v>0</x:v>
      </x:c>
      <x:c r="K92" s="125" t="n">
        <x:f>K103</x:f>
        <x:v>45</x:v>
      </x:c>
      <x:c r="L92" s="125" t="n">
        <x:f>L103</x:f>
        <x:v>0</x:v>
      </x:c>
      <x:c r="M92" s="125" t="n">
        <x:f>M103</x:f>
        <x:v>90</x:v>
      </x:c>
      <x:c r="N92" s="125" t="n">
        <x:f>N103</x:f>
        <x:v>0</x:v>
      </x:c>
      <x:c r="O92" s="125" t="n">
        <x:f>O103</x:f>
        <x:v>0</x:v>
      </x:c>
      <x:c r="P92" s="125" t="n">
        <x:f>P103</x:f>
        <x:v>90</x:v>
      </x:c>
      <x:c r="Q92" s="125" t="n">
        <x:f>Q103</x:f>
        <x:v>0</x:v>
      </x:c>
      <x:c r="R92" s="125" t="n">
        <x:f>R103</x:f>
        <x:v>0</x:v>
      </x:c>
      <x:c r="S92" s="125" t="n">
        <x:f>S103</x:f>
        <x:v>90</x:v>
      </x:c>
      <x:c r="T92" s="125" t="n">
        <x:f>T103</x:f>
        <x:v>0</x:v>
      </x:c>
      <x:c r="U92" s="125" t="n">
        <x:f>U103</x:f>
        <x:v>0</x:v>
      </x:c>
      <x:c r="V92" s="125" t="n">
        <x:f>V103</x:f>
        <x:v>0</x:v>
      </x:c>
      <x:c r="W92" s="125" t="n">
        <x:f>W103</x:f>
        <x:v>90</x:v>
      </x:c>
      <x:c r="X92" s="125" t="n">
        <x:f>X103</x:f>
        <x:v>0</x:v>
      </x:c>
      <x:c r="Y92" s="125" t="n">
        <x:f>Y103</x:f>
        <x:v>0</x:v>
      </x:c>
      <x:c r="Z92" s="125" t="n">
        <x:f>Z103</x:f>
        <x:v>90</x:v>
      </x:c>
      <x:c r="AA92" s="125" t="n">
        <x:f>AA103</x:f>
        <x:v>0</x:v>
      </x:c>
      <x:c r="AB92" s="125" t="n">
        <x:f>AB103</x:f>
        <x:v>0</x:v>
      </x:c>
      <x:c r="AC92" s="125" t="n">
        <x:f>AC103</x:f>
        <x:v>200.00000000000006</x:v>
      </x:c>
      <x:c r="AD92" s="125" t="n">
        <x:f>AD103</x:f>
        <x:v>0</x:v>
      </x:c>
      <x:c r="AE92" s="125" t="n">
        <x:f>AE103</x:f>
        <x:v>0</x:v>
      </x:c>
      <x:c r="AF92" s="65"/>
    </x:row>
    <x:row r="93" ht="28" customHeight="1">
      <x:c r="A93" s="125" t="str">
        <x:v>升星石期末/缺口</x:v>
      </x:c>
      <x:c r="B93" s="125" t="n">
        <x:f>B86+B91-B92</x:f>
        <x:v>28.35</x:v>
      </x:c>
      <x:c r="C93" s="125" t="n">
        <x:f>C86+C91-C92</x:f>
        <x:v>35.7</x:v>
      </x:c>
      <x:c r="D93" s="125" t="n">
        <x:f>D86+D91-D92</x:f>
        <x:v>59.050000000000004</x:v>
      </x:c>
      <x:c r="E93" s="125" t="n">
        <x:f>E86+E91-E92</x:f>
        <x:v>67.4</x:v>
      </x:c>
      <x:c r="F93" s="125" t="n">
        <x:f>F86+F91-F92</x:f>
        <x:v>112.10000000000001</x:v>
      </x:c>
      <x:c r="G93" s="125" t="n">
        <x:f>G86+G91-G92</x:f>
        <x:v>140.8</x:v>
      </x:c>
      <x:c r="H93" s="125" t="n">
        <x:f>H86+H91-H92</x:f>
        <x:v>186.5</x:v>
      </x:c>
      <x:c r="I93" s="125" t="n">
        <x:f>I86+I91-I92</x:f>
        <x:v>190.2</x:v>
      </x:c>
      <x:c r="J93" s="125" t="n">
        <x:f>J86+J91-J92</x:f>
        <x:v>235.89999999999998</x:v>
      </x:c>
      <x:c r="K93" s="125" t="n">
        <x:f>K86+K91-K92</x:f>
        <x:v>241.59999999999997</x:v>
      </x:c>
      <x:c r="L93" s="125" t="n">
        <x:f>L86+L91-L92</x:f>
        <x:v>287.29999999999995</x:v>
      </x:c>
      <x:c r="M93" s="125" t="n">
        <x:f>M86+M91-M92</x:f>
        <x:v>246.99999999999994</x:v>
      </x:c>
      <x:c r="N93" s="125" t="n">
        <x:f>N86+N91-N92</x:f>
        <x:v>313.29999999999995</x:v>
      </x:c>
      <x:c r="O93" s="125" t="n">
        <x:f>O86+O91-O92</x:f>
        <x:v>376.34999999999997</x:v>
      </x:c>
      <x:c r="P93" s="125" t="n">
        <x:f>P86+P91-P92</x:f>
        <x:v>352.4</x:v>
      </x:c>
      <x:c r="Q93" s="125" t="n">
        <x:f>Q86+Q91-Q92</x:f>
        <x:v>412.2</x:v>
      </x:c>
      <x:c r="R93" s="125" t="n">
        <x:f>R86+R91-R92</x:f>
        <x:v>472</x:v>
      </x:c>
      <x:c r="S93" s="125" t="n">
        <x:f>S86+S91-S92</x:f>
        <x:v>441.54999999999995</x:v>
      </x:c>
      <x:c r="T93" s="125" t="n">
        <x:f>T86+T91-T92</x:f>
        <x:v>498.09999999999997</x:v>
      </x:c>
      <x:c r="U93" s="125" t="n">
        <x:f>U86+U91-U92</x:f>
        <x:v>551.4</x:v>
      </x:c>
      <x:c r="V93" s="125" t="n">
        <x:f>V86+V91-V92</x:f>
        <x:v>604.6999999999999</x:v>
      </x:c>
      <x:c r="W93" s="125" t="n">
        <x:f>W86+W91-W92</x:f>
        <x:v>570.9999999999999</x:v>
      </x:c>
      <x:c r="X93" s="125" t="n">
        <x:f>X86+X91-X92</x:f>
        <x:v>621.0499999999998</x:v>
      </x:c>
      <x:c r="Y93" s="125" t="n">
        <x:f>Y86+Y91-Y92</x:f>
        <x:v>671.0999999999998</x:v>
      </x:c>
      <x:c r="Z93" s="125" t="n">
        <x:f>Z86+Z91-Z92</x:f>
        <x:v>634.1499999999997</x:v>
      </x:c>
      <x:c r="AA93" s="125" t="n">
        <x:f>AA86+AA91-AA92</x:f>
        <x:v>680.9499999999997</x:v>
      </x:c>
      <x:c r="AB93" s="125" t="n">
        <x:f>AB86+AB91-AB92</x:f>
        <x:v>727.7499999999997</x:v>
      </x:c>
      <x:c r="AC93" s="125" t="n">
        <x:f>AC86+AC91-AC92</x:f>
        <x:v>577.5499999999995</x:v>
      </x:c>
      <x:c r="AD93" s="125" t="n">
        <x:f>AD86+AD91-AD92</x:f>
        <x:v>624.3499999999995</x:v>
      </x:c>
      <x:c r="AE93" s="125" t="n">
        <x:f>AE86+AE91-AE92</x:f>
        <x:v>667.8999999999994</x:v>
      </x:c>
      <x:c r="AF93" s="65" t="str">
        <x:v>概率期望，不包含极端失败分位数</x:v>
      </x:c>
    </x:row>
    <x:row r="94" ht="28" customHeight="1">
      <x:c r="A94" s="62" t="str">
        <x:v>升星石当日产销差</x:v>
      </x:c>
      <x:c r="B94" s="62" t="n">
        <x:f>B91-B92</x:f>
        <x:v>20.35</x:v>
      </x:c>
      <x:c r="C94" s="62" t="n">
        <x:f>C91-C92</x:f>
        <x:v>7.350000000000001</x:v>
      </x:c>
      <x:c r="D94" s="62" t="n">
        <x:f>D91-D92</x:f>
        <x:v>23.35</x:v>
      </x:c>
      <x:c r="E94" s="62" t="n">
        <x:f>E91-E92</x:f>
        <x:v>8.350000000000001</x:v>
      </x:c>
      <x:c r="F94" s="62" t="n">
        <x:f>F91-F92</x:f>
        <x:v>44.7</x:v>
      </x:c>
      <x:c r="G94" s="62" t="n">
        <x:f>G91-G92</x:f>
        <x:v>28.700000000000003</x:v>
      </x:c>
      <x:c r="H94" s="62" t="n">
        <x:f>H91-H92</x:f>
        <x:v>45.7</x:v>
      </x:c>
      <x:c r="I94" s="62" t="n">
        <x:f>I91-I92</x:f>
        <x:v>3.700000000000003</x:v>
      </x:c>
      <x:c r="J94" s="62" t="n">
        <x:f>J91-J92</x:f>
        <x:v>45.7</x:v>
      </x:c>
      <x:c r="K94" s="62" t="n">
        <x:f>K91-K92</x:f>
        <x:v>5.700000000000003</x:v>
      </x:c>
      <x:c r="L94" s="62" t="n">
        <x:f>L91-L92</x:f>
        <x:v>45.7</x:v>
      </x:c>
      <x:c r="M94" s="62" t="n">
        <x:f>M91-M92</x:f>
        <x:v>-40.3</x:v>
      </x:c>
      <x:c r="N94" s="62" t="n">
        <x:f>N91-N92</x:f>
        <x:v>66.3</x:v>
      </x:c>
      <x:c r="O94" s="62" t="n">
        <x:f>O91-O92</x:f>
        <x:v>63.05000000000001</x:v>
      </x:c>
      <x:c r="P94" s="62" t="n">
        <x:f>P91-P92</x:f>
        <x:v>-23.94999999999999</x:v>
      </x:c>
      <x:c r="Q94" s="62" t="n">
        <x:f>Q91-Q92</x:f>
        <x:v>59.8</x:v>
      </x:c>
      <x:c r="R94" s="62" t="n">
        <x:f>R91-R92</x:f>
        <x:v>59.8</x:v>
      </x:c>
      <x:c r="S94" s="62" t="n">
        <x:f>S91-S92</x:f>
        <x:v>-30.450000000000003</x:v>
      </x:c>
      <x:c r="T94" s="62" t="n">
        <x:f>T91-T92</x:f>
        <x:v>56.55</x:v>
      </x:c>
      <x:c r="U94" s="62" t="n">
        <x:f>U91-U92</x:f>
        <x:v>53.300000000000004</x:v>
      </x:c>
      <x:c r="V94" s="62" t="n">
        <x:f>V91-V92</x:f>
        <x:v>53.300000000000004</x:v>
      </x:c>
      <x:c r="W94" s="62" t="n">
        <x:f>W91-W92</x:f>
        <x:v>-33.699999999999996</x:v>
      </x:c>
      <x:c r="X94" s="62" t="n">
        <x:f>X91-X92</x:f>
        <x:v>50.05</x:v>
      </x:c>
      <x:c r="Y94" s="62" t="n">
        <x:f>Y91-Y92</x:f>
        <x:v>50.05</x:v>
      </x:c>
      <x:c r="Z94" s="62" t="n">
        <x:f>Z91-Z92</x:f>
        <x:v>-36.95</x:v>
      </x:c>
      <x:c r="AA94" s="62" t="n">
        <x:f>AA91-AA92</x:f>
        <x:v>46.8</x:v>
      </x:c>
      <x:c r="AB94" s="62" t="n">
        <x:f>AB91-AB92</x:f>
        <x:v>46.8</x:v>
      </x:c>
      <x:c r="AC94" s="62" t="n">
        <x:f>AC91-AC92</x:f>
        <x:v>-150.20000000000005</x:v>
      </x:c>
      <x:c r="AD94" s="62" t="n">
        <x:f>AD91-AD92</x:f>
        <x:v>46.8</x:v>
      </x:c>
      <x:c r="AE94" s="62" t="n">
        <x:f>AE91-AE92</x:f>
        <x:v>43.55</x:v>
      </x:c>
      <x:c r="AF94" s="65"/>
    </x:row>
    <x:row r="95" ht="28" customHeight="1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  <x:c r="AA95" s="62"/>
      <x:c r="AB95" s="62"/>
      <x:c r="AC95" s="62"/>
      <x:c r="AD95" s="62"/>
      <x:c r="AE95" s="62"/>
      <x:c r="AF95" s="65"/>
    </x:row>
    <x:row r="96" ht="28" customHeight="1">
      <x:c r="A96" s="125" t="str">
        <x:v>当日强化目标</x:v>
      </x:c>
      <x:c r="B96" s="125" t="n">
        <x:f>'每日计划'!B33</x:f>
        <x:v>1</x:v>
      </x:c>
      <x:c r="C96" s="125" t="n">
        <x:f>'每日计划'!C33</x:f>
        <x:v>2</x:v>
      </x:c>
      <x:c r="D96" s="125" t="n">
        <x:f>'每日计划'!D33</x:f>
        <x:v>4</x:v>
      </x:c>
      <x:c r="E96" s="125" t="n">
        <x:f>'每日计划'!E33</x:f>
        <x:v>6</x:v>
      </x:c>
      <x:c r="F96" s="125" t="n">
        <x:f>'每日计划'!F33</x:f>
        <x:v>8</x:v>
      </x:c>
      <x:c r="G96" s="125" t="n">
        <x:f>'每日计划'!G33</x:f>
        <x:v>10</x:v>
      </x:c>
      <x:c r="H96" s="125" t="n">
        <x:f>'每日计划'!H33</x:f>
        <x:v>12</x:v>
      </x:c>
      <x:c r="I96" s="125" t="n">
        <x:f>'每日计划'!I33</x:f>
        <x:v>14</x:v>
      </x:c>
      <x:c r="J96" s="125" t="n">
        <x:f>'每日计划'!J33</x:f>
        <x:v>15</x:v>
      </x:c>
      <x:c r="K96" s="125" t="n">
        <x:f>'每日计划'!K33</x:f>
        <x:v>16</x:v>
      </x:c>
      <x:c r="L96" s="125" t="n">
        <x:f>'每日计划'!L33</x:f>
        <x:v>17</x:v>
      </x:c>
      <x:c r="M96" s="125" t="n">
        <x:f>'每日计划'!M33</x:f>
        <x:v>18</x:v>
      </x:c>
      <x:c r="N96" s="125" t="n">
        <x:f>'每日计划'!N33</x:f>
        <x:v>19</x:v>
      </x:c>
      <x:c r="O96" s="125" t="n">
        <x:f>'每日计划'!O33</x:f>
        <x:v>20</x:v>
      </x:c>
      <x:c r="P96" s="125" t="n">
        <x:f>'每日计划'!P33</x:f>
        <x:v>22</x:v>
      </x:c>
      <x:c r="Q96" s="125" t="n">
        <x:f>'每日计划'!Q33</x:f>
        <x:v>23</x:v>
      </x:c>
      <x:c r="R96" s="125" t="n">
        <x:f>'每日计划'!R33</x:f>
        <x:v>25</x:v>
      </x:c>
      <x:c r="S96" s="125" t="n">
        <x:f>'每日计划'!S33</x:f>
        <x:v>26</x:v>
      </x:c>
      <x:c r="T96" s="125" t="n">
        <x:f>'每日计划'!T33</x:f>
        <x:v>28</x:v>
      </x:c>
      <x:c r="U96" s="125" t="n">
        <x:f>'每日计划'!U33</x:f>
        <x:v>29</x:v>
      </x:c>
      <x:c r="V96" s="125" t="n">
        <x:f>'每日计划'!V33</x:f>
        <x:v>30</x:v>
      </x:c>
      <x:c r="W96" s="125" t="n">
        <x:f>'每日计划'!W33</x:f>
        <x:v>32</x:v>
      </x:c>
      <x:c r="X96" s="125" t="n">
        <x:f>'每日计划'!X33</x:f>
        <x:v>33</x:v>
      </x:c>
      <x:c r="Y96" s="125" t="n">
        <x:f>'每日计划'!Y33</x:f>
        <x:v>34</x:v>
      </x:c>
      <x:c r="Z96" s="125" t="n">
        <x:f>'每日计划'!Z33</x:f>
        <x:v>35</x:v>
      </x:c>
      <x:c r="AA96" s="125" t="n">
        <x:f>'每日计划'!AA33</x:f>
        <x:v>36</x:v>
      </x:c>
      <x:c r="AB96" s="125" t="n">
        <x:f>'每日计划'!AB33</x:f>
        <x:v>37</x:v>
      </x:c>
      <x:c r="AC96" s="125" t="n">
        <x:f>'每日计划'!AC33</x:f>
        <x:v>38</x:v>
      </x:c>
      <x:c r="AD96" s="125" t="n">
        <x:f>'每日计划'!AD33</x:f>
        <x:v>39</x:v>
      </x:c>
      <x:c r="AE96" s="125" t="n">
        <x:f>'每日计划'!AE33</x:f>
        <x:v>40</x:v>
      </x:c>
      <x:c r="AF96" s="65"/>
    </x:row>
    <x:row r="97" ht="28" customHeight="1">
      <x:c r="A97" s="62" t="str">
        <x:v>前日强化目标</x:v>
      </x:c>
      <x:c r="B97" s="62" t="n">
        <x:f>0</x:f>
        <x:v>0</x:v>
      </x:c>
      <x:c r="C97" s="62" t="n">
        <x:f>B96</x:f>
        <x:v>1</x:v>
      </x:c>
      <x:c r="D97" s="62" t="n">
        <x:f>C96</x:f>
        <x:v>2</x:v>
      </x:c>
      <x:c r="E97" s="62" t="n">
        <x:f>D96</x:f>
        <x:v>4</x:v>
      </x:c>
      <x:c r="F97" s="62" t="n">
        <x:f>E96</x:f>
        <x:v>6</x:v>
      </x:c>
      <x:c r="G97" s="62" t="n">
        <x:f>F96</x:f>
        <x:v>8</x:v>
      </x:c>
      <x:c r="H97" s="62" t="n">
        <x:f>G96</x:f>
        <x:v>10</x:v>
      </x:c>
      <x:c r="I97" s="62" t="n">
        <x:f>H96</x:f>
        <x:v>12</x:v>
      </x:c>
      <x:c r="J97" s="62" t="n">
        <x:f>I96</x:f>
        <x:v>14</x:v>
      </x:c>
      <x:c r="K97" s="62" t="n">
        <x:f>J96</x:f>
        <x:v>15</x:v>
      </x:c>
      <x:c r="L97" s="62" t="n">
        <x:f>K96</x:f>
        <x:v>16</x:v>
      </x:c>
      <x:c r="M97" s="62" t="n">
        <x:f>L96</x:f>
        <x:v>17</x:v>
      </x:c>
      <x:c r="N97" s="62" t="n">
        <x:f>M96</x:f>
        <x:v>18</x:v>
      </x:c>
      <x:c r="O97" s="62" t="n">
        <x:f>N96</x:f>
        <x:v>19</x:v>
      </x:c>
      <x:c r="P97" s="62" t="n">
        <x:f>O96</x:f>
        <x:v>20</x:v>
      </x:c>
      <x:c r="Q97" s="62" t="n">
        <x:f>P96</x:f>
        <x:v>22</x:v>
      </x:c>
      <x:c r="R97" s="62" t="n">
        <x:f>Q96</x:f>
        <x:v>23</x:v>
      </x:c>
      <x:c r="S97" s="62" t="n">
        <x:f>R96</x:f>
        <x:v>25</x:v>
      </x:c>
      <x:c r="T97" s="62" t="n">
        <x:f>S96</x:f>
        <x:v>26</x:v>
      </x:c>
      <x:c r="U97" s="62" t="n">
        <x:f>T96</x:f>
        <x:v>28</x:v>
      </x:c>
      <x:c r="V97" s="62" t="n">
        <x:f>U96</x:f>
        <x:v>29</x:v>
      </x:c>
      <x:c r="W97" s="62" t="n">
        <x:f>V96</x:f>
        <x:v>30</x:v>
      </x:c>
      <x:c r="X97" s="62" t="n">
        <x:f>W96</x:f>
        <x:v>32</x:v>
      </x:c>
      <x:c r="Y97" s="62" t="n">
        <x:f>X96</x:f>
        <x:v>33</x:v>
      </x:c>
      <x:c r="Z97" s="62" t="n">
        <x:f>Y96</x:f>
        <x:v>34</x:v>
      </x:c>
      <x:c r="AA97" s="62" t="n">
        <x:f>Z96</x:f>
        <x:v>35</x:v>
      </x:c>
      <x:c r="AB97" s="62" t="n">
        <x:f>AA96</x:f>
        <x:v>36</x:v>
      </x:c>
      <x:c r="AC97" s="62" t="n">
        <x:f>AB96</x:f>
        <x:v>37</x:v>
      </x:c>
      <x:c r="AD97" s="62" t="n">
        <x:f>AC96</x:f>
        <x:v>38</x:v>
      </x:c>
      <x:c r="AE97" s="62" t="n">
        <x:f>AD96</x:f>
        <x:v>39</x:v>
      </x:c>
      <x:c r="AF97" s="65"/>
    </x:row>
    <x:row r="98" ht="28" customHeight="1">
      <x:c r="A98" s="62" t="str">
        <x:v>当日升星目标</x:v>
      </x:c>
      <x:c r="B98" s="62" t="n">
        <x:f>'每日计划'!B34</x:f>
        <x:v>0</x:v>
      </x:c>
      <x:c r="C98" s="62" t="n">
        <x:f>'每日计划'!C34</x:f>
        <x:v>1</x:v>
      </x:c>
      <x:c r="D98" s="62" t="n">
        <x:f>'每日计划'!D34</x:f>
        <x:v>1</x:v>
      </x:c>
      <x:c r="E98" s="62" t="n">
        <x:f>'每日计划'!E34</x:f>
        <x:v>2</x:v>
      </x:c>
      <x:c r="F98" s="62" t="n">
        <x:f>'每日计划'!F34</x:f>
        <x:v>2</x:v>
      </x:c>
      <x:c r="G98" s="62" t="n">
        <x:f>'每日计划'!G34</x:f>
        <x:v>3</x:v>
      </x:c>
      <x:c r="H98" s="62" t="n">
        <x:f>'每日计划'!H34</x:f>
        <x:v>3</x:v>
      </x:c>
      <x:c r="I98" s="62" t="n">
        <x:f>'每日计划'!I34</x:f>
        <x:v>4</x:v>
      </x:c>
      <x:c r="J98" s="62" t="n">
        <x:f>'每日计划'!J34</x:f>
        <x:v>4</x:v>
      </x:c>
      <x:c r="K98" s="62" t="n">
        <x:f>'每日计划'!K34</x:f>
        <x:v>5</x:v>
      </x:c>
      <x:c r="L98" s="62" t="n">
        <x:f>'每日计划'!L34</x:f>
        <x:v>5</x:v>
      </x:c>
      <x:c r="M98" s="62" t="n">
        <x:f>'每日计划'!M34</x:f>
        <x:v>6</x:v>
      </x:c>
      <x:c r="N98" s="62" t="n">
        <x:f>'每日计划'!N34</x:f>
        <x:v>6</x:v>
      </x:c>
      <x:c r="O98" s="62" t="n">
        <x:f>'每日计划'!O34</x:f>
        <x:v>6</x:v>
      </x:c>
      <x:c r="P98" s="62" t="n">
        <x:f>'每日计划'!P34</x:f>
        <x:v>7</x:v>
      </x:c>
      <x:c r="Q98" s="62" t="n">
        <x:f>'每日计划'!Q34</x:f>
        <x:v>7</x:v>
      </x:c>
      <x:c r="R98" s="62" t="n">
        <x:f>'每日计划'!R34</x:f>
        <x:v>7</x:v>
      </x:c>
      <x:c r="S98" s="62" t="n">
        <x:f>'每日计划'!S34</x:f>
        <x:v>8</x:v>
      </x:c>
      <x:c r="T98" s="62" t="n">
        <x:f>'每日计划'!T34</x:f>
        <x:v>8</x:v>
      </x:c>
      <x:c r="U98" s="62" t="n">
        <x:f>'每日计划'!U34</x:f>
        <x:v>8</x:v>
      </x:c>
      <x:c r="V98" s="62" t="n">
        <x:f>'每日计划'!V34</x:f>
        <x:v>8</x:v>
      </x:c>
      <x:c r="W98" s="62" t="n">
        <x:f>'每日计划'!W34</x:f>
        <x:v>9</x:v>
      </x:c>
      <x:c r="X98" s="62" t="n">
        <x:f>'每日计划'!X34</x:f>
        <x:v>9</x:v>
      </x:c>
      <x:c r="Y98" s="62" t="n">
        <x:f>'每日计划'!Y34</x:f>
        <x:v>9</x:v>
      </x:c>
      <x:c r="Z98" s="62" t="n">
        <x:f>'每日计划'!Z34</x:f>
        <x:v>10</x:v>
      </x:c>
      <x:c r="AA98" s="62" t="n">
        <x:f>'每日计划'!AA34</x:f>
        <x:v>10</x:v>
      </x:c>
      <x:c r="AB98" s="62" t="n">
        <x:f>'每日计划'!AB34</x:f>
        <x:v>10</x:v>
      </x:c>
      <x:c r="AC98" s="62" t="n">
        <x:f>'每日计划'!AC34</x:f>
        <x:v>11</x:v>
      </x:c>
      <x:c r="AD98" s="62" t="n">
        <x:f>'每日计划'!AD34</x:f>
        <x:v>11</x:v>
      </x:c>
      <x:c r="AE98" s="62" t="n">
        <x:f>'每日计划'!AE34</x:f>
        <x:v>11</x:v>
      </x:c>
      <x:c r="AF98" s="65"/>
    </x:row>
    <x:row r="99" ht="28" customHeight="1">
      <x:c r="A99" s="62" t="str">
        <x:v>前日升星目标</x:v>
      </x:c>
      <x:c r="B99" s="62" t="n">
        <x:f>0</x:f>
        <x:v>0</x:v>
      </x:c>
      <x:c r="C99" s="62" t="n">
        <x:f>B98</x:f>
        <x:v>0</x:v>
      </x:c>
      <x:c r="D99" s="62" t="n">
        <x:f>C98</x:f>
        <x:v>1</x:v>
      </x:c>
      <x:c r="E99" s="62" t="n">
        <x:f>D98</x:f>
        <x:v>1</x:v>
      </x:c>
      <x:c r="F99" s="62" t="n">
        <x:f>E98</x:f>
        <x:v>2</x:v>
      </x:c>
      <x:c r="G99" s="62" t="n">
        <x:f>F98</x:f>
        <x:v>2</x:v>
      </x:c>
      <x:c r="H99" s="62" t="n">
        <x:f>G98</x:f>
        <x:v>3</x:v>
      </x:c>
      <x:c r="I99" s="62" t="n">
        <x:f>H98</x:f>
        <x:v>3</x:v>
      </x:c>
      <x:c r="J99" s="62" t="n">
        <x:f>I98</x:f>
        <x:v>4</x:v>
      </x:c>
      <x:c r="K99" s="62" t="n">
        <x:f>J98</x:f>
        <x:v>4</x:v>
      </x:c>
      <x:c r="L99" s="62" t="n">
        <x:f>K98</x:f>
        <x:v>5</x:v>
      </x:c>
      <x:c r="M99" s="62" t="n">
        <x:f>L98</x:f>
        <x:v>5</x:v>
      </x:c>
      <x:c r="N99" s="62" t="n">
        <x:f>M98</x:f>
        <x:v>6</x:v>
      </x:c>
      <x:c r="O99" s="62" t="n">
        <x:f>N98</x:f>
        <x:v>6</x:v>
      </x:c>
      <x:c r="P99" s="62" t="n">
        <x:f>O98</x:f>
        <x:v>6</x:v>
      </x:c>
      <x:c r="Q99" s="62" t="n">
        <x:f>P98</x:f>
        <x:v>7</x:v>
      </x:c>
      <x:c r="R99" s="62" t="n">
        <x:f>Q98</x:f>
        <x:v>7</x:v>
      </x:c>
      <x:c r="S99" s="62" t="n">
        <x:f>R98</x:f>
        <x:v>7</x:v>
      </x:c>
      <x:c r="T99" s="62" t="n">
        <x:f>S98</x:f>
        <x:v>8</x:v>
      </x:c>
      <x:c r="U99" s="62" t="n">
        <x:f>T98</x:f>
        <x:v>8</x:v>
      </x:c>
      <x:c r="V99" s="62" t="n">
        <x:f>U98</x:f>
        <x:v>8</x:v>
      </x:c>
      <x:c r="W99" s="62" t="n">
        <x:f>V98</x:f>
        <x:v>8</x:v>
      </x:c>
      <x:c r="X99" s="62" t="n">
        <x:f>W98</x:f>
        <x:v>9</x:v>
      </x:c>
      <x:c r="Y99" s="62" t="n">
        <x:f>X98</x:f>
        <x:v>9</x:v>
      </x:c>
      <x:c r="Z99" s="62" t="n">
        <x:f>Y98</x:f>
        <x:v>9</x:v>
      </x:c>
      <x:c r="AA99" s="62" t="n">
        <x:f>Z98</x:f>
        <x:v>10</x:v>
      </x:c>
      <x:c r="AB99" s="62" t="n">
        <x:f>AA98</x:f>
        <x:v>10</x:v>
      </x:c>
      <x:c r="AC99" s="62" t="n">
        <x:f>AB98</x:f>
        <x:v>10</x:v>
      </x:c>
      <x:c r="AD99" s="62" t="n">
        <x:f>AC98</x:f>
        <x:v>11</x:v>
      </x:c>
      <x:c r="AE99" s="62" t="n">
        <x:f>AD98</x:f>
        <x:v>11</x:v>
      </x:c>
      <x:c r="AF99" s="65"/>
    </x:row>
    <x:row r="100" ht="28" customHeight="1">
      <x:c r="A100" s="62" t="str">
        <x:v>计划养成槽位数</x:v>
      </x:c>
      <x:c r="B100" s="62" t="n">
        <x:f>'每日计划'!B32</x:f>
        <x:v>18</x:v>
      </x:c>
      <x:c r="C100" s="62" t="n">
        <x:f>'每日计划'!C32</x:f>
        <x:v>18</x:v>
      </x:c>
      <x:c r="D100" s="62" t="n">
        <x:f>'每日计划'!D32</x:f>
        <x:v>18</x:v>
      </x:c>
      <x:c r="E100" s="62" t="n">
        <x:f>'每日计划'!E32</x:f>
        <x:v>18</x:v>
      </x:c>
      <x:c r="F100" s="62" t="n">
        <x:f>'每日计划'!F32</x:f>
        <x:v>18</x:v>
      </x:c>
      <x:c r="G100" s="62" t="n">
        <x:f>'每日计划'!G32</x:f>
        <x:v>18</x:v>
      </x:c>
      <x:c r="H100" s="62" t="n">
        <x:f>'每日计划'!H32</x:f>
        <x:v>18</x:v>
      </x:c>
      <x:c r="I100" s="62" t="n">
        <x:f>'每日计划'!I32</x:f>
        <x:v>18</x:v>
      </x:c>
      <x:c r="J100" s="62" t="n">
        <x:f>'每日计划'!J32</x:f>
        <x:v>18</x:v>
      </x:c>
      <x:c r="K100" s="62" t="n">
        <x:f>'每日计划'!K32</x:f>
        <x:v>18</x:v>
      </x:c>
      <x:c r="L100" s="62" t="n">
        <x:f>'每日计划'!L32</x:f>
        <x:v>18</x:v>
      </x:c>
      <x:c r="M100" s="62" t="n">
        <x:f>'每日计划'!M32</x:f>
        <x:v>18</x:v>
      </x:c>
      <x:c r="N100" s="62" t="n">
        <x:f>'每日计划'!N32</x:f>
        <x:v>18</x:v>
      </x:c>
      <x:c r="O100" s="62" t="n">
        <x:f>'每日计划'!O32</x:f>
        <x:v>18</x:v>
      </x:c>
      <x:c r="P100" s="62" t="n">
        <x:f>'每日计划'!P32</x:f>
        <x:v>18</x:v>
      </x:c>
      <x:c r="Q100" s="62" t="n">
        <x:f>'每日计划'!Q32</x:f>
        <x:v>18</x:v>
      </x:c>
      <x:c r="R100" s="62" t="n">
        <x:f>'每日计划'!R32</x:f>
        <x:v>18</x:v>
      </x:c>
      <x:c r="S100" s="62" t="n">
        <x:f>'每日计划'!S32</x:f>
        <x:v>18</x:v>
      </x:c>
      <x:c r="T100" s="62" t="n">
        <x:f>'每日计划'!T32</x:f>
        <x:v>18</x:v>
      </x:c>
      <x:c r="U100" s="62" t="n">
        <x:f>'每日计划'!U32</x:f>
        <x:v>18</x:v>
      </x:c>
      <x:c r="V100" s="62" t="n">
        <x:f>'每日计划'!V32</x:f>
        <x:v>18</x:v>
      </x:c>
      <x:c r="W100" s="62" t="n">
        <x:f>'每日计划'!W32</x:f>
        <x:v>18</x:v>
      </x:c>
      <x:c r="X100" s="62" t="n">
        <x:f>'每日计划'!X32</x:f>
        <x:v>18</x:v>
      </x:c>
      <x:c r="Y100" s="62" t="n">
        <x:f>'每日计划'!Y32</x:f>
        <x:v>18</x:v>
      </x:c>
      <x:c r="Z100" s="62" t="n">
        <x:f>'每日计划'!Z32</x:f>
        <x:v>18</x:v>
      </x:c>
      <x:c r="AA100" s="62" t="n">
        <x:f>'每日计划'!AA32</x:f>
        <x:v>18</x:v>
      </x:c>
      <x:c r="AB100" s="62" t="n">
        <x:f>'每日计划'!AB32</x:f>
        <x:v>18</x:v>
      </x:c>
      <x:c r="AC100" s="62" t="n">
        <x:f>'每日计划'!AC32</x:f>
        <x:v>18</x:v>
      </x:c>
      <x:c r="AD100" s="62" t="n">
        <x:f>'每日计划'!AD32</x:f>
        <x:v>18</x:v>
      </x:c>
      <x:c r="AE100" s="62" t="n">
        <x:f>'每日计划'!AE32</x:f>
        <x:v>18</x:v>
      </x:c>
      <x:c r="AF100" s="65"/>
    </x:row>
    <x:row r="101" ht="28" customHeight="1">
      <x:c r="A101" s="62" t="str">
        <x:v>强化材料增量需求</x:v>
      </x:c>
      <x:c r="B101" s="62" t="n">
        <x:f>MAX(0,(IF(B96=0,0,INDEX('强化消耗'!$I$19:$I$318,B96))-IF(B97=0,0,INDEX('强化消耗'!$I$19:$I$318,B97)))*B100)</x:f>
        <x:v>18</x:v>
      </x:c>
      <x:c r="C101" s="62" t="n">
        <x:f>MAX(0,(IF(C96=0,0,INDEX('强化消耗'!$I$19:$I$318,C96))-IF(C97=0,0,INDEX('强化消耗'!$I$19:$I$318,C97)))*C100)</x:f>
        <x:v>18</x:v>
      </x:c>
      <x:c r="D101" s="62" t="n">
        <x:f>MAX(0,(IF(D96=0,0,INDEX('强化消耗'!$I$19:$I$318,D96))-IF(D97=0,0,INDEX('强化消耗'!$I$19:$I$318,D97)))*D100)</x:f>
        <x:v>36</x:v>
      </x:c>
      <x:c r="E101" s="62" t="n">
        <x:f>MAX(0,(IF(E96=0,0,INDEX('强化消耗'!$I$19:$I$318,E96))-IF(E97=0,0,INDEX('强化消耗'!$I$19:$I$318,E97)))*E100)</x:f>
        <x:v>54</x:v>
      </x:c>
      <x:c r="F101" s="62" t="n">
        <x:f>MAX(0,(IF(F96=0,0,INDEX('强化消耗'!$I$19:$I$318,F96))-IF(F97=0,0,INDEX('强化消耗'!$I$19:$I$318,F97)))*F100)</x:f>
        <x:v>72</x:v>
      </x:c>
      <x:c r="G101" s="62" t="n">
        <x:f>MAX(0,(IF(G96=0,0,INDEX('强化消耗'!$I$19:$I$318,G96))-IF(G97=0,0,INDEX('强化消耗'!$I$19:$I$318,G97)))*G100)</x:f>
        <x:v>72</x:v>
      </x:c>
      <x:c r="H101" s="62" t="n">
        <x:f>MAX(0,(IF(H96=0,0,INDEX('强化消耗'!$I$19:$I$318,H96))-IF(H97=0,0,INDEX('强化消耗'!$I$19:$I$318,H97)))*H100)</x:f>
        <x:v>108</x:v>
      </x:c>
      <x:c r="I101" s="62" t="n">
        <x:f>MAX(0,(IF(I96=0,0,INDEX('强化消耗'!$I$19:$I$318,I96))-IF(I97=0,0,INDEX('强化消耗'!$I$19:$I$318,I97)))*I100)</x:f>
        <x:v>108</x:v>
      </x:c>
      <x:c r="J101" s="62" t="n">
        <x:f>MAX(0,(IF(J96=0,0,INDEX('强化消耗'!$I$19:$I$318,J96))-IF(J97=0,0,INDEX('强化消耗'!$I$19:$I$318,J97)))*J100)</x:f>
        <x:v>54</x:v>
      </x:c>
      <x:c r="K101" s="62" t="n">
        <x:f>MAX(0,(IF(K96=0,0,INDEX('强化消耗'!$I$19:$I$318,K96))-IF(K97=0,0,INDEX('强化消耗'!$I$19:$I$318,K97)))*K100)</x:f>
        <x:v>54</x:v>
      </x:c>
      <x:c r="L101" s="62" t="n">
        <x:f>MAX(0,(IF(L96=0,0,INDEX('强化消耗'!$I$19:$I$318,L96))-IF(L97=0,0,INDEX('强化消耗'!$I$19:$I$318,L97)))*L100)</x:f>
        <x:v>54</x:v>
      </x:c>
      <x:c r="M101" s="62" t="n">
        <x:f>MAX(0,(IF(M96=0,0,INDEX('强化消耗'!$I$19:$I$318,M96))-IF(M97=0,0,INDEX('强化消耗'!$I$19:$I$318,M97)))*M100)</x:f>
        <x:v>54</x:v>
      </x:c>
      <x:c r="N101" s="62" t="n">
        <x:f>MAX(0,(IF(N96=0,0,INDEX('强化消耗'!$I$19:$I$318,N96))-IF(N97=0,0,INDEX('强化消耗'!$I$19:$I$318,N97)))*N100)</x:f>
        <x:v>54</x:v>
      </x:c>
      <x:c r="O101" s="62" t="n">
        <x:f>MAX(0,(IF(O96=0,0,INDEX('强化消耗'!$I$19:$I$318,O96))-IF(O97=0,0,INDEX('强化消耗'!$I$19:$I$318,O97)))*O100)</x:f>
        <x:v>54</x:v>
      </x:c>
      <x:c r="P101" s="62" t="n">
        <x:f>MAX(0,(IF(P96=0,0,INDEX('强化消耗'!$I$19:$I$318,P96))-IF(P97=0,0,INDEX('强化消耗'!$I$19:$I$318,P97)))*P100)</x:f>
        <x:v>180</x:v>
      </x:c>
      <x:c r="Q101" s="62" t="n">
        <x:f>MAX(0,(IF(Q96=0,0,INDEX('强化消耗'!$I$19:$I$318,Q96))-IF(Q97=0,0,INDEX('强化消耗'!$I$19:$I$318,Q97)))*Q100)</x:f>
        <x:v>90</x:v>
      </x:c>
      <x:c r="R101" s="62" t="n">
        <x:f>MAX(0,(IF(R96=0,0,INDEX('强化消耗'!$I$19:$I$318,R96))-IF(R97=0,0,INDEX('强化消耗'!$I$19:$I$318,R97)))*R100)</x:f>
        <x:v>180</x:v>
      </x:c>
      <x:c r="S101" s="62" t="n">
        <x:f>MAX(0,(IF(S96=0,0,INDEX('强化消耗'!$I$19:$I$318,S96))-IF(S97=0,0,INDEX('强化消耗'!$I$19:$I$318,S97)))*S100)</x:f>
        <x:v>90</x:v>
      </x:c>
      <x:c r="T101" s="62" t="n">
        <x:f>MAX(0,(IF(T96=0,0,INDEX('强化消耗'!$I$19:$I$318,T96))-IF(T97=0,0,INDEX('强化消耗'!$I$19:$I$318,T97)))*T100)</x:f>
        <x:v>180</x:v>
      </x:c>
      <x:c r="U101" s="62" t="n">
        <x:f>MAX(0,(IF(U96=0,0,INDEX('强化消耗'!$I$19:$I$318,U96))-IF(U97=0,0,INDEX('强化消耗'!$I$19:$I$318,U97)))*U100)</x:f>
        <x:v>90</x:v>
      </x:c>
      <x:c r="V101" s="62" t="n">
        <x:f>MAX(0,(IF(V96=0,0,INDEX('强化消耗'!$I$19:$I$318,V96))-IF(V97=0,0,INDEX('强化消耗'!$I$19:$I$318,V97)))*V100)</x:f>
        <x:v>90</x:v>
      </x:c>
      <x:c r="W101" s="62" t="n">
        <x:f>MAX(0,(IF(W96=0,0,INDEX('强化消耗'!$I$19:$I$318,W96))-IF(W97=0,0,INDEX('强化消耗'!$I$19:$I$318,W97)))*W100)</x:f>
        <x:v>180</x:v>
      </x:c>
      <x:c r="X101" s="62" t="n">
        <x:f>MAX(0,(IF(X96=0,0,INDEX('强化消耗'!$I$19:$I$318,X96))-IF(X97=0,0,INDEX('强化消耗'!$I$19:$I$318,X97)))*X100)</x:f>
        <x:v>90</x:v>
      </x:c>
      <x:c r="Y101" s="62" t="n">
        <x:f>MAX(0,(IF(Y96=0,0,INDEX('强化消耗'!$I$19:$I$318,Y96))-IF(Y97=0,0,INDEX('强化消耗'!$I$19:$I$318,Y97)))*Y100)</x:f>
        <x:v>90</x:v>
      </x:c>
      <x:c r="Z101" s="62" t="n">
        <x:f>MAX(0,(IF(Z96=0,0,INDEX('强化消耗'!$I$19:$I$318,Z96))-IF(Z97=0,0,INDEX('强化消耗'!$I$19:$I$318,Z97)))*Z100)</x:f>
        <x:v>90</x:v>
      </x:c>
      <x:c r="AA101" s="62" t="n">
        <x:f>MAX(0,(IF(AA96=0,0,INDEX('强化消耗'!$I$19:$I$318,AA96))-IF(AA97=0,0,INDEX('强化消耗'!$I$19:$I$318,AA97)))*AA100)</x:f>
        <x:v>144</x:v>
      </x:c>
      <x:c r="AB101" s="62" t="n">
        <x:f>MAX(0,(IF(AB96=0,0,INDEX('强化消耗'!$I$19:$I$318,AB96))-IF(AB97=0,0,INDEX('强化消耗'!$I$19:$I$318,AB97)))*AB100)</x:f>
        <x:v>144</x:v>
      </x:c>
      <x:c r="AC101" s="62" t="n">
        <x:f>MAX(0,(IF(AC96=0,0,INDEX('强化消耗'!$I$19:$I$318,AC96))-IF(AC97=0,0,INDEX('强化消耗'!$I$19:$I$318,AC97)))*AC100)</x:f>
        <x:v>144</x:v>
      </x:c>
      <x:c r="AD101" s="62" t="n">
        <x:f>MAX(0,(IF(AD96=0,0,INDEX('强化消耗'!$I$19:$I$318,AD96))-IF(AD97=0,0,INDEX('强化消耗'!$I$19:$I$318,AD97)))*AD100)</x:f>
        <x:v>144</x:v>
      </x:c>
      <x:c r="AE101" s="62" t="n">
        <x:f>MAX(0,(IF(AE96=0,0,INDEX('强化消耗'!$I$19:$I$318,AE96))-IF(AE97=0,0,INDEX('强化消耗'!$I$19:$I$318,AE97)))*AE100)</x:f>
        <x:v>144</x:v>
      </x:c>
      <x:c r="AF101" s="65"/>
    </x:row>
    <x:row r="102" ht="28" customHeight="1">
      <x:c r="A102" s="62" t="str">
        <x:v>强化金币增量需求</x:v>
      </x:c>
      <x:c r="B102" s="62" t="n">
        <x:f>MAX(0,(IF(B96=0,0,INDEX('强化消耗'!$J$19:$J$318,B96))-IF(B97=0,0,INDEX('强化消耗'!$J$19:$J$318,B97)))*B100)</x:f>
        <x:v>3600</x:v>
      </x:c>
      <x:c r="C102" s="62" t="n">
        <x:f>MAX(0,(IF(C96=0,0,INDEX('强化消耗'!$J$19:$J$318,C96))-IF(C97=0,0,INDEX('强化消耗'!$J$19:$J$318,C97)))*C100)</x:f>
        <x:v>5760</x:v>
      </x:c>
      <x:c r="D102" s="62" t="n">
        <x:f>MAX(0,(IF(D96=0,0,INDEX('强化消耗'!$J$19:$J$318,D96))-IF(D97=0,0,INDEX('强化消耗'!$J$19:$J$318,D97)))*D100)</x:f>
        <x:v>18000</x:v>
      </x:c>
      <x:c r="E102" s="62" t="n">
        <x:f>MAX(0,(IF(E96=0,0,INDEX('强化消耗'!$J$19:$J$318,E96))-IF(E97=0,0,INDEX('强化消耗'!$J$19:$J$318,E97)))*E100)</x:f>
        <x:v>28800</x:v>
      </x:c>
      <x:c r="F102" s="62" t="n">
        <x:f>MAX(0,(IF(F96=0,0,INDEX('强化消耗'!$J$19:$J$318,F96))-IF(F97=0,0,INDEX('强化消耗'!$J$19:$J$318,F97)))*F100)</x:f>
        <x:v>40572</x:v>
      </x:c>
      <x:c r="G102" s="62" t="n">
        <x:f>MAX(0,(IF(G96=0,0,INDEX('强化消耗'!$J$19:$J$318,G96))-IF(G97=0,0,INDEX('强化消耗'!$J$19:$J$318,G97)))*G100)</x:f>
        <x:v>50508</x:v>
      </x:c>
      <x:c r="H102" s="62" t="n">
        <x:f>MAX(0,(IF(H96=0,0,INDEX('强化消耗'!$J$19:$J$318,H96))-IF(H97=0,0,INDEX('强化消耗'!$J$19:$J$318,H97)))*H100)</x:f>
        <x:v>73584</x:v>
      </x:c>
      <x:c r="I102" s="62" t="n">
        <x:f>MAX(0,(IF(I96=0,0,INDEX('强化消耗'!$J$19:$J$318,I96))-IF(I97=0,0,INDEX('强化消耗'!$J$19:$J$318,I97)))*I100)</x:f>
        <x:v>85680</x:v>
      </x:c>
      <x:c r="J102" s="62" t="n">
        <x:f>MAX(0,(IF(J96=0,0,INDEX('强化消耗'!$J$19:$J$318,J96))-IF(J97=0,0,INDEX('强化消耗'!$J$19:$J$318,J97)))*J100)</x:f>
        <x:v>47376</x:v>
      </x:c>
      <x:c r="K102" s="62" t="n">
        <x:f>MAX(0,(IF(K96=0,0,INDEX('强化消耗'!$J$19:$J$318,K96))-IF(K97=0,0,INDEX('强化消耗'!$J$19:$J$318,K97)))*K100)</x:f>
        <x:v>50400</x:v>
      </x:c>
      <x:c r="L102" s="62" t="n">
        <x:f>MAX(0,(IF(L96=0,0,INDEX('强化消耗'!$J$19:$J$318,L96))-IF(L97=0,0,INDEX('强化消耗'!$J$19:$J$318,L97)))*L100)</x:f>
        <x:v>53424</x:v>
      </x:c>
      <x:c r="M102" s="62" t="n">
        <x:f>MAX(0,(IF(M96=0,0,INDEX('强化消耗'!$J$19:$J$318,M96))-IF(M97=0,0,INDEX('强化消耗'!$J$19:$J$318,M97)))*M100)</x:f>
        <x:v>56448</x:v>
      </x:c>
      <x:c r="N102" s="62" t="n">
        <x:f>MAX(0,(IF(N96=0,0,INDEX('强化消耗'!$J$19:$J$318,N96))-IF(N97=0,0,INDEX('强化消耗'!$J$19:$J$318,N97)))*N100)</x:f>
        <x:v>59472</x:v>
      </x:c>
      <x:c r="O102" s="62" t="n">
        <x:f>MAX(0,(IF(O96=0,0,INDEX('强化消耗'!$J$19:$J$318,O96))-IF(O97=0,0,INDEX('强化消耗'!$J$19:$J$318,O97)))*O100)</x:f>
        <x:v>62496</x:v>
      </x:c>
      <x:c r="P102" s="62" t="n">
        <x:f>MAX(0,(IF(P96=0,0,INDEX('强化消耗'!$J$19:$J$318,P96))-IF(P97=0,0,INDEX('强化消耗'!$J$19:$J$318,P97)))*P100)</x:f>
        <x:v>172368</x:v>
      </x:c>
      <x:c r="Q102" s="62" t="n">
        <x:f>MAX(0,(IF(Q96=0,0,INDEX('强化消耗'!$J$19:$J$318,Q96))-IF(Q97=0,0,INDEX('强化消耗'!$J$19:$J$318,Q97)))*Q100)</x:f>
        <x:v>92016</x:v>
      </x:c>
      <x:c r="R102" s="62" t="n">
        <x:f>MAX(0,(IF(R96=0,0,INDEX('强化消耗'!$J$19:$J$318,R96))-IF(R97=0,0,INDEX('强化消耗'!$J$19:$J$318,R97)))*R100)</x:f>
        <x:v>195696</x:v>
      </x:c>
      <x:c r="S102" s="62" t="n">
        <x:f>MAX(0,(IF(S96=0,0,INDEX('强化消耗'!$J$19:$J$318,S96))-IF(S97=0,0,INDEX('强化消耗'!$J$19:$J$318,S97)))*S100)</x:f>
        <x:v>103680</x:v>
      </x:c>
      <x:c r="T102" s="62" t="n">
        <x:f>MAX(0,(IF(T96=0,0,INDEX('强化消耗'!$J$19:$J$318,T96))-IF(T97=0,0,INDEX('强化消耗'!$J$19:$J$318,T97)))*T100)</x:f>
        <x:v>219024</x:v>
      </x:c>
      <x:c r="U102" s="62" t="n">
        <x:f>MAX(0,(IF(U96=0,0,INDEX('强化消耗'!$J$19:$J$318,U96))-IF(U97=0,0,INDEX('强化消耗'!$J$19:$J$318,U97)))*U100)</x:f>
        <x:v>115344</x:v>
      </x:c>
      <x:c r="V102" s="62" t="n">
        <x:f>MAX(0,(IF(V96=0,0,INDEX('强化消耗'!$J$19:$J$318,V96))-IF(V97=0,0,INDEX('强化消耗'!$J$19:$J$318,V97)))*V100)</x:f>
        <x:v>119232</x:v>
      </x:c>
      <x:c r="W102" s="62" t="n">
        <x:f>MAX(0,(IF(W96=0,0,INDEX('强化消耗'!$J$19:$J$318,W96))-IF(W97=0,0,INDEX('强化消耗'!$J$19:$J$318,W97)))*W100)</x:f>
        <x:v>250128</x:v>
      </x:c>
      <x:c r="X102" s="62" t="n">
        <x:f>MAX(0,(IF(X96=0,0,INDEX('强化消耗'!$J$19:$J$318,X96))-IF(X97=0,0,INDEX('强化消耗'!$J$19:$J$318,X97)))*X100)</x:f>
        <x:v>130896</x:v>
      </x:c>
      <x:c r="Y102" s="62" t="n">
        <x:f>MAX(0,(IF(Y96=0,0,INDEX('强化消耗'!$J$19:$J$318,Y96))-IF(Y97=0,0,INDEX('强化消耗'!$J$19:$J$318,Y97)))*Y100)</x:f>
        <x:v>134784</x:v>
      </x:c>
      <x:c r="Z102" s="62" t="n">
        <x:f>MAX(0,(IF(Z96=0,0,INDEX('强化消耗'!$J$19:$J$318,Z96))-IF(Z97=0,0,INDEX('强化消耗'!$J$19:$J$318,Z97)))*Z100)</x:f>
        <x:v>138672</x:v>
      </x:c>
      <x:c r="AA102" s="62" t="n">
        <x:f>MAX(0,(IF(AA96=0,0,INDEX('强化消耗'!$J$19:$J$318,AA96))-IF(AA97=0,0,INDEX('强化消耗'!$J$19:$J$318,AA97)))*AA100)</x:f>
        <x:v>178200</x:v>
      </x:c>
      <x:c r="AB102" s="62" t="n">
        <x:f>MAX(0,(IF(AB96=0,0,INDEX('强化消耗'!$J$19:$J$318,AB96))-IF(AB97=0,0,INDEX('强化消耗'!$J$19:$J$318,AB97)))*AB100)</x:f>
        <x:v>183060</x:v>
      </x:c>
      <x:c r="AC102" s="62" t="n">
        <x:f>MAX(0,(IF(AC96=0,0,INDEX('强化消耗'!$J$19:$J$318,AC96))-IF(AC97=0,0,INDEX('强化消耗'!$J$19:$J$318,AC97)))*AC100)</x:f>
        <x:v>187920</x:v>
      </x:c>
      <x:c r="AD102" s="62" t="n">
        <x:f>MAX(0,(IF(AD96=0,0,INDEX('强化消耗'!$J$19:$J$318,AD96))-IF(AD97=0,0,INDEX('强化消耗'!$J$19:$J$318,AD97)))*AD100)</x:f>
        <x:v>192780</x:v>
      </x:c>
      <x:c r="AE102" s="62" t="n">
        <x:f>MAX(0,(IF(AE96=0,0,INDEX('强化消耗'!$J$19:$J$318,AE96))-IF(AE97=0,0,INDEX('强化消耗'!$J$19:$J$318,AE97)))*AE100)</x:f>
        <x:v>197640</x:v>
      </x:c>
      <x:c r="AF102" s="65"/>
    </x:row>
    <x:row r="103" ht="28" customHeight="1">
      <x:c r="A103" s="62" t="str">
        <x:v>升星材料增量期望</x:v>
      </x:c>
      <x:c r="B103" s="62" t="n">
        <x:f>MAX(0,(IF(B98=0,0,INDEX('升星消耗'!$I$19:$I$48,B98))-IF(B99=0,0,INDEX('升星消耗'!$I$19:$I$48,B99)))*B100)</x:f>
        <x:v>0</x:v>
      </x:c>
      <x:c r="C103" s="62" t="n">
        <x:f>MAX(0,(IF(C98=0,0,INDEX('升星消耗'!$I$19:$I$48,C98))-IF(C99=0,0,INDEX('升星消耗'!$I$19:$I$48,C99)))*C100)</x:f>
        <x:v>18</x:v>
      </x:c>
      <x:c r="D103" s="62" t="n">
        <x:f>MAX(0,(IF(D98=0,0,INDEX('升星消耗'!$I$19:$I$48,D98))-IF(D99=0,0,INDEX('升星消耗'!$I$19:$I$48,D99)))*D100)</x:f>
        <x:v>0</x:v>
      </x:c>
      <x:c r="E103" s="62" t="n">
        <x:f>MAX(0,(IF(E98=0,0,INDEX('升星消耗'!$I$19:$I$48,E98))-IF(E99=0,0,INDEX('升星消耗'!$I$19:$I$48,E99)))*E100)</x:f>
        <x:v>18</x:v>
      </x:c>
      <x:c r="F103" s="62" t="n">
        <x:f>MAX(0,(IF(F98=0,0,INDEX('升星消耗'!$I$19:$I$48,F98))-IF(F99=0,0,INDEX('升星消耗'!$I$19:$I$48,F99)))*F100)</x:f>
        <x:v>0</x:v>
      </x:c>
      <x:c r="G103" s="62" t="n">
        <x:f>MAX(0,(IF(G98=0,0,INDEX('升星消耗'!$I$19:$I$48,G98))-IF(G99=0,0,INDEX('升星消耗'!$I$19:$I$48,G99)))*G100)</x:f>
        <x:v>18</x:v>
      </x:c>
      <x:c r="H103" s="62" t="n">
        <x:f>MAX(0,(IF(H98=0,0,INDEX('升星消耗'!$I$19:$I$48,H98))-IF(H99=0,0,INDEX('升星消耗'!$I$19:$I$48,H99)))*H100)</x:f>
        <x:v>0</x:v>
      </x:c>
      <x:c r="I103" s="62" t="n">
        <x:f>MAX(0,(IF(I98=0,0,INDEX('升星消耗'!$I$19:$I$48,I98))-IF(I99=0,0,INDEX('升星消耗'!$I$19:$I$48,I99)))*I100)</x:f>
        <x:v>45</x:v>
      </x:c>
      <x:c r="J103" s="62" t="n">
        <x:f>MAX(0,(IF(J98=0,0,INDEX('升星消耗'!$I$19:$I$48,J98))-IF(J99=0,0,INDEX('升星消耗'!$I$19:$I$48,J99)))*J100)</x:f>
        <x:v>0</x:v>
      </x:c>
      <x:c r="K103" s="62" t="n">
        <x:f>MAX(0,(IF(K98=0,0,INDEX('升星消耗'!$I$19:$I$48,K98))-IF(K99=0,0,INDEX('升星消耗'!$I$19:$I$48,K99)))*K100)</x:f>
        <x:v>45</x:v>
      </x:c>
      <x:c r="L103" s="62" t="n">
        <x:f>MAX(0,(IF(L98=0,0,INDEX('升星消耗'!$I$19:$I$48,L98))-IF(L99=0,0,INDEX('升星消耗'!$I$19:$I$48,L99)))*L100)</x:f>
        <x:v>0</x:v>
      </x:c>
      <x:c r="M103" s="62" t="n">
        <x:f>MAX(0,(IF(M98=0,0,INDEX('升星消耗'!$I$19:$I$48,M98))-IF(M99=0,0,INDEX('升星消耗'!$I$19:$I$48,M99)))*M100)</x:f>
        <x:v>90</x:v>
      </x:c>
      <x:c r="N103" s="62" t="n">
        <x:f>MAX(0,(IF(N98=0,0,INDEX('升星消耗'!$I$19:$I$48,N98))-IF(N99=0,0,INDEX('升星消耗'!$I$19:$I$48,N99)))*N100)</x:f>
        <x:v>0</x:v>
      </x:c>
      <x:c r="O103" s="62" t="n">
        <x:f>MAX(0,(IF(O98=0,0,INDEX('升星消耗'!$I$19:$I$48,O98))-IF(O99=0,0,INDEX('升星消耗'!$I$19:$I$48,O99)))*O100)</x:f>
        <x:v>0</x:v>
      </x:c>
      <x:c r="P103" s="62" t="n">
        <x:f>MAX(0,(IF(P98=0,0,INDEX('升星消耗'!$I$19:$I$48,P98))-IF(P99=0,0,INDEX('升星消耗'!$I$19:$I$48,P99)))*P100)</x:f>
        <x:v>90</x:v>
      </x:c>
      <x:c r="Q103" s="62" t="n">
        <x:f>MAX(0,(IF(Q98=0,0,INDEX('升星消耗'!$I$19:$I$48,Q98))-IF(Q99=0,0,INDEX('升星消耗'!$I$19:$I$48,Q99)))*Q100)</x:f>
        <x:v>0</x:v>
      </x:c>
      <x:c r="R103" s="62" t="n">
        <x:f>MAX(0,(IF(R98=0,0,INDEX('升星消耗'!$I$19:$I$48,R98))-IF(R99=0,0,INDEX('升星消耗'!$I$19:$I$48,R99)))*R100)</x:f>
        <x:v>0</x:v>
      </x:c>
      <x:c r="S103" s="62" t="n">
        <x:f>MAX(0,(IF(S98=0,0,INDEX('升星消耗'!$I$19:$I$48,S98))-IF(S99=0,0,INDEX('升星消耗'!$I$19:$I$48,S99)))*S100)</x:f>
        <x:v>90</x:v>
      </x:c>
      <x:c r="T103" s="62" t="n">
        <x:f>MAX(0,(IF(T98=0,0,INDEX('升星消耗'!$I$19:$I$48,T98))-IF(T99=0,0,INDEX('升星消耗'!$I$19:$I$48,T99)))*T100)</x:f>
        <x:v>0</x:v>
      </x:c>
      <x:c r="U103" s="62" t="n">
        <x:f>MAX(0,(IF(U98=0,0,INDEX('升星消耗'!$I$19:$I$48,U98))-IF(U99=0,0,INDEX('升星消耗'!$I$19:$I$48,U99)))*U100)</x:f>
        <x:v>0</x:v>
      </x:c>
      <x:c r="V103" s="62" t="n">
        <x:f>MAX(0,(IF(V98=0,0,INDEX('升星消耗'!$I$19:$I$48,V98))-IF(V99=0,0,INDEX('升星消耗'!$I$19:$I$48,V99)))*V100)</x:f>
        <x:v>0</x:v>
      </x:c>
      <x:c r="W103" s="62" t="n">
        <x:f>MAX(0,(IF(W98=0,0,INDEX('升星消耗'!$I$19:$I$48,W98))-IF(W99=0,0,INDEX('升星消耗'!$I$19:$I$48,W99)))*W100)</x:f>
        <x:v>90</x:v>
      </x:c>
      <x:c r="X103" s="62" t="n">
        <x:f>MAX(0,(IF(X98=0,0,INDEX('升星消耗'!$I$19:$I$48,X98))-IF(X99=0,0,INDEX('升星消耗'!$I$19:$I$48,X99)))*X100)</x:f>
        <x:v>0</x:v>
      </x:c>
      <x:c r="Y103" s="62" t="n">
        <x:f>MAX(0,(IF(Y98=0,0,INDEX('升星消耗'!$I$19:$I$48,Y98))-IF(Y99=0,0,INDEX('升星消耗'!$I$19:$I$48,Y99)))*Y100)</x:f>
        <x:v>0</x:v>
      </x:c>
      <x:c r="Z103" s="62" t="n">
        <x:f>MAX(0,(IF(Z98=0,0,INDEX('升星消耗'!$I$19:$I$48,Z98))-IF(Z99=0,0,INDEX('升星消耗'!$I$19:$I$48,Z99)))*Z100)</x:f>
        <x:v>90</x:v>
      </x:c>
      <x:c r="AA103" s="62" t="n">
        <x:f>MAX(0,(IF(AA98=0,0,INDEX('升星消耗'!$I$19:$I$48,AA98))-IF(AA99=0,0,INDEX('升星消耗'!$I$19:$I$48,AA99)))*AA100)</x:f>
        <x:v>0</x:v>
      </x:c>
      <x:c r="AB103" s="62" t="n">
        <x:f>MAX(0,(IF(AB98=0,0,INDEX('升星消耗'!$I$19:$I$48,AB98))-IF(AB99=0,0,INDEX('升星消耗'!$I$19:$I$48,AB99)))*AB100)</x:f>
        <x:v>0</x:v>
      </x:c>
      <x:c r="AC103" s="62" t="n">
        <x:f>MAX(0,(IF(AC98=0,0,INDEX('升星消耗'!$I$19:$I$48,AC98))-IF(AC99=0,0,INDEX('升星消耗'!$I$19:$I$48,AC99)))*AC100)</x:f>
        <x:v>200.00000000000006</x:v>
      </x:c>
      <x:c r="AD103" s="62" t="n">
        <x:f>MAX(0,(IF(AD98=0,0,INDEX('升星消耗'!$I$19:$I$48,AD98))-IF(AD99=0,0,INDEX('升星消耗'!$I$19:$I$48,AD99)))*AD100)</x:f>
        <x:v>0</x:v>
      </x:c>
      <x:c r="AE103" s="62" t="n">
        <x:f>MAX(0,(IF(AE98=0,0,INDEX('升星消耗'!$I$19:$I$48,AE98))-IF(AE99=0,0,INDEX('升星消耗'!$I$19:$I$48,AE99)))*AE100)</x:f>
        <x:v>0</x:v>
      </x:c>
      <x:c r="AF103" s="65"/>
    </x:row>
    <x:row r="104" ht="28" customHeight="1">
      <x:c r="A104" s="62" t="str">
        <x:v>升星金币增量期望</x:v>
      </x:c>
      <x:c r="B104" s="62" t="n">
        <x:f>MAX(0,(IF(B98=0,0,INDEX('升星消耗'!$J$19:$J$48,B98))-IF(B99=0,0,INDEX('升星消耗'!$J$19:$J$48,B99)))*B100)</x:f>
        <x:v>0</x:v>
      </x:c>
      <x:c r="C104" s="62" t="n">
        <x:f>MAX(0,(IF(C98=0,0,INDEX('升星消耗'!$J$19:$J$48,C98))-IF(C99=0,0,INDEX('升星消耗'!$J$19:$J$48,C99)))*C100)</x:f>
        <x:v>7200</x:v>
      </x:c>
      <x:c r="D104" s="62" t="n">
        <x:f>MAX(0,(IF(D98=0,0,INDEX('升星消耗'!$J$19:$J$48,D98))-IF(D99=0,0,INDEX('升星消耗'!$J$19:$J$48,D99)))*D100)</x:f>
        <x:v>0</x:v>
      </x:c>
      <x:c r="E104" s="62" t="n">
        <x:f>MAX(0,(IF(E98=0,0,INDEX('升星消耗'!$J$19:$J$48,E98))-IF(E99=0,0,INDEX('升星消耗'!$J$19:$J$48,E99)))*E100)</x:f>
        <x:v>10080</x:v>
      </x:c>
      <x:c r="F104" s="62" t="n">
        <x:f>MAX(0,(IF(F98=0,0,INDEX('升星消耗'!$J$19:$J$48,F98))-IF(F99=0,0,INDEX('升星消耗'!$J$19:$J$48,F99)))*F100)</x:f>
        <x:v>0</x:v>
      </x:c>
      <x:c r="G104" s="62" t="n">
        <x:f>MAX(0,(IF(G98=0,0,INDEX('升星消耗'!$J$19:$J$48,G98))-IF(G99=0,0,INDEX('升星消耗'!$J$19:$J$48,G99)))*G100)</x:f>
        <x:v>12960</x:v>
      </x:c>
      <x:c r="H104" s="62" t="n">
        <x:f>MAX(0,(IF(H98=0,0,INDEX('升星消耗'!$J$19:$J$48,H98))-IF(H99=0,0,INDEX('升星消耗'!$J$19:$J$48,H99)))*H100)</x:f>
        <x:v>0</x:v>
      </x:c>
      <x:c r="I104" s="62" t="n">
        <x:f>MAX(0,(IF(I98=0,0,INDEX('升星消耗'!$J$19:$J$48,I98))-IF(I99=0,0,INDEX('升星消耗'!$J$19:$J$48,I99)))*I100)</x:f>
        <x:v>22770</x:v>
      </x:c>
      <x:c r="J104" s="62" t="n">
        <x:f>MAX(0,(IF(J98=0,0,INDEX('升星消耗'!$J$19:$J$48,J98))-IF(J99=0,0,INDEX('升星消耗'!$J$19:$J$48,J99)))*J100)</x:f>
        <x:v>0</x:v>
      </x:c>
      <x:c r="K104" s="62" t="n">
        <x:f>MAX(0,(IF(K98=0,0,INDEX('升星消耗'!$J$19:$J$48,K98))-IF(K99=0,0,INDEX('升星消耗'!$J$19:$J$48,K99)))*K100)</x:f>
        <x:v>26910</x:v>
      </x:c>
      <x:c r="L104" s="62" t="n">
        <x:f>MAX(0,(IF(L98=0,0,INDEX('升星消耗'!$J$19:$J$48,L98))-IF(L99=0,0,INDEX('升星消耗'!$J$19:$J$48,L99)))*L100)</x:f>
        <x:v>0</x:v>
      </x:c>
      <x:c r="M104" s="62" t="n">
        <x:f>MAX(0,(IF(M98=0,0,INDEX('升星消耗'!$J$19:$J$48,M98))-IF(M99=0,0,INDEX('升星消耗'!$J$19:$J$48,M99)))*M100)</x:f>
        <x:v>50400</x:v>
      </x:c>
      <x:c r="N104" s="62" t="n">
        <x:f>MAX(0,(IF(N98=0,0,INDEX('升星消耗'!$J$19:$J$48,N98))-IF(N99=0,0,INDEX('升星消耗'!$J$19:$J$48,N99)))*N100)</x:f>
        <x:v>0</x:v>
      </x:c>
      <x:c r="O104" s="62" t="n">
        <x:f>MAX(0,(IF(O98=0,0,INDEX('升星消耗'!$J$19:$J$48,O98))-IF(O99=0,0,INDEX('升星消耗'!$J$19:$J$48,O99)))*O100)</x:f>
        <x:v>0</x:v>
      </x:c>
      <x:c r="P104" s="62" t="n">
        <x:f>MAX(0,(IF(P98=0,0,INDEX('升星消耗'!$J$19:$J$48,P98))-IF(P99=0,0,INDEX('升星消耗'!$J$19:$J$48,P99)))*P100)</x:f>
        <x:v>57120.000000000015</x:v>
      </x:c>
      <x:c r="Q104" s="62" t="n">
        <x:f>MAX(0,(IF(Q98=0,0,INDEX('升星消耗'!$J$19:$J$48,Q98))-IF(Q99=0,0,INDEX('升星消耗'!$J$19:$J$48,Q99)))*Q100)</x:f>
        <x:v>0</x:v>
      </x:c>
      <x:c r="R104" s="62" t="n">
        <x:f>MAX(0,(IF(R98=0,0,INDEX('升星消耗'!$J$19:$J$48,R98))-IF(R99=0,0,INDEX('升星消耗'!$J$19:$J$48,R99)))*R100)</x:f>
        <x:v>0</x:v>
      </x:c>
      <x:c r="S104" s="62" t="n">
        <x:f>MAX(0,(IF(S98=0,0,INDEX('升星消耗'!$J$19:$J$48,S98))-IF(S99=0,0,INDEX('升星消耗'!$J$19:$J$48,S99)))*S100)</x:f>
        <x:v>63839.999999999985</x:v>
      </x:c>
      <x:c r="T104" s="62" t="n">
        <x:f>MAX(0,(IF(T98=0,0,INDEX('升星消耗'!$J$19:$J$48,T98))-IF(T99=0,0,INDEX('升星消耗'!$J$19:$J$48,T99)))*T100)</x:f>
        <x:v>0</x:v>
      </x:c>
      <x:c r="U104" s="62" t="n">
        <x:f>MAX(0,(IF(U98=0,0,INDEX('升星消耗'!$J$19:$J$48,U98))-IF(U99=0,0,INDEX('升星消耗'!$J$19:$J$48,U99)))*U100)</x:f>
        <x:v>0</x:v>
      </x:c>
      <x:c r="V104" s="62" t="n">
        <x:f>MAX(0,(IF(V98=0,0,INDEX('升星消耗'!$J$19:$J$48,V98))-IF(V99=0,0,INDEX('升星消耗'!$J$19:$J$48,V99)))*V100)</x:f>
        <x:v>0</x:v>
      </x:c>
      <x:c r="W104" s="62" t="n">
        <x:f>MAX(0,(IF(W98=0,0,INDEX('升星消耗'!$J$19:$J$48,W98))-IF(W99=0,0,INDEX('升星消耗'!$J$19:$J$48,W99)))*W100)</x:f>
        <x:v>70560</x:v>
      </x:c>
      <x:c r="X104" s="62" t="n">
        <x:f>MAX(0,(IF(X98=0,0,INDEX('升星消耗'!$J$19:$J$48,X98))-IF(X99=0,0,INDEX('升星消耗'!$J$19:$J$48,X99)))*X100)</x:f>
        <x:v>0</x:v>
      </x:c>
      <x:c r="Y104" s="62" t="n">
        <x:f>MAX(0,(IF(Y98=0,0,INDEX('升星消耗'!$J$19:$J$48,Y98))-IF(Y99=0,0,INDEX('升星消耗'!$J$19:$J$48,Y99)))*Y100)</x:f>
        <x:v>0</x:v>
      </x:c>
      <x:c r="Z104" s="62" t="n">
        <x:f>MAX(0,(IF(Z98=0,0,INDEX('升星消耗'!$J$19:$J$48,Z98))-IF(Z99=0,0,INDEX('升星消耗'!$J$19:$J$48,Z99)))*Z100)</x:f>
        <x:v>77280.00000000004</x:v>
      </x:c>
      <x:c r="AA104" s="62" t="n">
        <x:f>MAX(0,(IF(AA98=0,0,INDEX('升星消耗'!$J$19:$J$48,AA98))-IF(AA99=0,0,INDEX('升星消耗'!$J$19:$J$48,AA99)))*AA100)</x:f>
        <x:v>0</x:v>
      </x:c>
      <x:c r="AB104" s="62" t="n">
        <x:f>MAX(0,(IF(AB98=0,0,INDEX('升星消耗'!$J$19:$J$48,AB98))-IF(AB99=0,0,INDEX('升星消耗'!$J$19:$J$48,AB99)))*AB100)</x:f>
        <x:v>0</x:v>
      </x:c>
      <x:c r="AC104" s="62" t="n">
        <x:f>MAX(0,(IF(AC98=0,0,INDEX('升星消耗'!$J$19:$J$48,AC98))-IF(AC99=0,0,INDEX('升星消耗'!$J$19:$J$48,AC99)))*AC100)</x:f>
        <x:v>148000</x:v>
      </x:c>
      <x:c r="AD104" s="62" t="n">
        <x:f>MAX(0,(IF(AD98=0,0,INDEX('升星消耗'!$J$19:$J$48,AD98))-IF(AD99=0,0,INDEX('升星消耗'!$J$19:$J$48,AD99)))*AD100)</x:f>
        <x:v>0</x:v>
      </x:c>
      <x:c r="AE104" s="62" t="n">
        <x:f>MAX(0,(IF(AE98=0,0,INDEX('升星消耗'!$J$19:$J$48,AE98))-IF(AE99=0,0,INDEX('升星消耗'!$J$19:$J$48,AE99)))*AE100)</x:f>
        <x:v>0</x:v>
      </x:c>
      <x:c r="AF104" s="65"/>
    </x:row>
    <x:row r="105" ht="44" customHeight="1">
      <x:c r="A105" s="62" t="str">
        <x:v>养成目标提示</x:v>
      </x:c>
      <x:c r="B105" s="65" t="str">
        <x:f>IF(OR(B96&lt;B97,B98&lt;B99),"目标倒退，不退款","需求目标未校验等级上限")</x:f>
        <x:v>需求目标未校验等级上限</x:v>
      </x:c>
      <x:c r="C105" s="65" t="str">
        <x:f>IF(OR(C96&lt;C97,C98&lt;C99),"目标倒退，不退款","需求目标未校验等级上限")</x:f>
        <x:v>需求目标未校验等级上限</x:v>
      </x:c>
      <x:c r="D105" s="65" t="str">
        <x:f>IF(OR(D96&lt;D97,D98&lt;D99),"目标倒退，不退款","需求目标未校验等级上限")</x:f>
        <x:v>需求目标未校验等级上限</x:v>
      </x:c>
      <x:c r="E105" s="65" t="str">
        <x:f>IF(OR(E96&lt;E97,E98&lt;E99),"目标倒退，不退款","需求目标未校验等级上限")</x:f>
        <x:v>需求目标未校验等级上限</x:v>
      </x:c>
      <x:c r="F105" s="65" t="str">
        <x:f>IF(OR(F96&lt;F97,F98&lt;F99),"目标倒退，不退款","需求目标未校验等级上限")</x:f>
        <x:v>需求目标未校验等级上限</x:v>
      </x:c>
      <x:c r="G105" s="65" t="str">
        <x:f>IF(OR(G96&lt;G97,G98&lt;G99),"目标倒退，不退款","需求目标未校验等级上限")</x:f>
        <x:v>需求目标未校验等级上限</x:v>
      </x:c>
      <x:c r="H105" s="65" t="str">
        <x:f>IF(OR(H96&lt;H97,H98&lt;H99),"目标倒退，不退款","需求目标未校验等级上限")</x:f>
        <x:v>需求目标未校验等级上限</x:v>
      </x:c>
      <x:c r="I105" s="65" t="str">
        <x:f>IF(OR(I96&lt;I97,I98&lt;I99),"目标倒退，不退款","需求目标未校验等级上限")</x:f>
        <x:v>需求目标未校验等级上限</x:v>
      </x:c>
      <x:c r="J105" s="65" t="str">
        <x:f>IF(OR(J96&lt;J97,J98&lt;J99),"目标倒退，不退款","需求目标未校验等级上限")</x:f>
        <x:v>需求目标未校验等级上限</x:v>
      </x:c>
      <x:c r="K105" s="65" t="str">
        <x:f>IF(OR(K96&lt;K97,K98&lt;K99),"目标倒退，不退款","需求目标未校验等级上限")</x:f>
        <x:v>需求目标未校验等级上限</x:v>
      </x:c>
      <x:c r="L105" s="65" t="str">
        <x:f>IF(OR(L96&lt;L97,L98&lt;L99),"目标倒退，不退款","需求目标未校验等级上限")</x:f>
        <x:v>需求目标未校验等级上限</x:v>
      </x:c>
      <x:c r="M105" s="65" t="str">
        <x:f>IF(OR(M96&lt;M97,M98&lt;M99),"目标倒退，不退款","需求目标未校验等级上限")</x:f>
        <x:v>需求目标未校验等级上限</x:v>
      </x:c>
      <x:c r="N105" s="65" t="str">
        <x:f>IF(OR(N96&lt;N97,N98&lt;N99),"目标倒退，不退款","需求目标未校验等级上限")</x:f>
        <x:v>需求目标未校验等级上限</x:v>
      </x:c>
      <x:c r="O105" s="65" t="str">
        <x:f>IF(OR(O96&lt;O97,O98&lt;O99),"目标倒退，不退款","需求目标未校验等级上限")</x:f>
        <x:v>需求目标未校验等级上限</x:v>
      </x:c>
      <x:c r="P105" s="65" t="str">
        <x:f>IF(OR(P96&lt;P97,P98&lt;P99),"目标倒退，不退款","需求目标未校验等级上限")</x:f>
        <x:v>需求目标未校验等级上限</x:v>
      </x:c>
      <x:c r="Q105" s="65" t="str">
        <x:f>IF(OR(Q96&lt;Q97,Q98&lt;Q99),"目标倒退，不退款","需求目标未校验等级上限")</x:f>
        <x:v>需求目标未校验等级上限</x:v>
      </x:c>
      <x:c r="R105" s="65" t="str">
        <x:f>IF(OR(R96&lt;R97,R98&lt;R99),"目标倒退，不退款","需求目标未校验等级上限")</x:f>
        <x:v>需求目标未校验等级上限</x:v>
      </x:c>
      <x:c r="S105" s="65" t="str">
        <x:f>IF(OR(S96&lt;S97,S98&lt;S99),"目标倒退，不退款","需求目标未校验等级上限")</x:f>
        <x:v>需求目标未校验等级上限</x:v>
      </x:c>
      <x:c r="T105" s="65" t="str">
        <x:f>IF(OR(T96&lt;T97,T98&lt;T99),"目标倒退，不退款","需求目标未校验等级上限")</x:f>
        <x:v>需求目标未校验等级上限</x:v>
      </x:c>
      <x:c r="U105" s="65" t="str">
        <x:f>IF(OR(U96&lt;U97,U98&lt;U99),"目标倒退，不退款","需求目标未校验等级上限")</x:f>
        <x:v>需求目标未校验等级上限</x:v>
      </x:c>
      <x:c r="V105" s="65" t="str">
        <x:f>IF(OR(V96&lt;V97,V98&lt;V99),"目标倒退，不退款","需求目标未校验等级上限")</x:f>
        <x:v>需求目标未校验等级上限</x:v>
      </x:c>
      <x:c r="W105" s="65" t="str">
        <x:f>IF(OR(W96&lt;W97,W98&lt;W99),"目标倒退，不退款","需求目标未校验等级上限")</x:f>
        <x:v>需求目标未校验等级上限</x:v>
      </x:c>
      <x:c r="X105" s="65" t="str">
        <x:f>IF(OR(X96&lt;X97,X98&lt;X99),"目标倒退，不退款","需求目标未校验等级上限")</x:f>
        <x:v>需求目标未校验等级上限</x:v>
      </x:c>
      <x:c r="Y105" s="65" t="str">
        <x:f>IF(OR(Y96&lt;Y97,Y98&lt;Y99),"目标倒退，不退款","需求目标未校验等级上限")</x:f>
        <x:v>需求目标未校验等级上限</x:v>
      </x:c>
      <x:c r="Z105" s="65" t="str">
        <x:f>IF(OR(Z96&lt;Z97,Z98&lt;Z99),"目标倒退，不退款","需求目标未校验等级上限")</x:f>
        <x:v>需求目标未校验等级上限</x:v>
      </x:c>
      <x:c r="AA105" s="65" t="str">
        <x:f>IF(OR(AA96&lt;AA97,AA98&lt;AA99),"目标倒退，不退款","需求目标未校验等级上限")</x:f>
        <x:v>需求目标未校验等级上限</x:v>
      </x:c>
      <x:c r="AB105" s="65" t="str">
        <x:f>IF(OR(AB96&lt;AB97,AB98&lt;AB99),"目标倒退，不退款","需求目标未校验等级上限")</x:f>
        <x:v>需求目标未校验等级上限</x:v>
      </x:c>
      <x:c r="AC105" s="65" t="str">
        <x:f>IF(OR(AC96&lt;AC97,AC98&lt;AC99),"目标倒退，不退款","需求目标未校验等级上限")</x:f>
        <x:v>需求目标未校验等级上限</x:v>
      </x:c>
      <x:c r="AD105" s="65" t="str">
        <x:f>IF(OR(AD96&lt;AD97,AD98&lt;AD99),"目标倒退，不退款","需求目标未校验等级上限")</x:f>
        <x:v>需求目标未校验等级上限</x:v>
      </x:c>
      <x:c r="AE105" s="65" t="str">
        <x:f>IF(OR(AE96&lt;AE97,AE98&lt;AE99),"目标倒退，不退款","需求目标未校验等级上限")</x:f>
        <x:v>需求目标未校验等级上限</x:v>
      </x:c>
      <x:c r="AF105" s="65" t="str">
        <x:v>强化限制依赖主角/解锁关卡，当前表为材料需求预算</x:v>
      </x:c>
    </x:row>
    <x:row r="106" ht="28" customHeight="1">
      <x:c r="A106" s="62" t="str">
        <x:v>计划广告次数</x:v>
      </x:c>
      <x:c r="B106" s="62" t="n">
        <x:f>MIN('每日计划'!B21,'经济参数'!$E$15)+MIN('每日计划'!B22,'经济参数'!$E$37)+B21*('每日计划'!B14+'每日计划'!B19)</x:f>
        <x:v>12.1</x:v>
      </x:c>
      <x:c r="C106" s="62" t="n">
        <x:f>MIN('每日计划'!C21,'经济参数'!$E$15)+MIN('每日计划'!C22,'经济参数'!$E$37)+C21*('每日计划'!C14+'每日计划'!C19)</x:f>
        <x:v>13</x:v>
      </x:c>
      <x:c r="D106" s="62" t="n">
        <x:f>MIN('每日计划'!D21,'经济参数'!$E$15)+MIN('每日计划'!D22,'经济参数'!$E$37)+D21*('每日计划'!D14+'每日计划'!D19)</x:f>
        <x:v>13</x:v>
      </x:c>
      <x:c r="E106" s="62" t="n">
        <x:f>MIN('每日计划'!E21,'经济参数'!$E$15)+MIN('每日计划'!E22,'经济参数'!$E$37)+E21*('每日计划'!E14+'每日计划'!E19)</x:f>
        <x:v>13</x:v>
      </x:c>
      <x:c r="F106" s="62" t="n">
        <x:f>MIN('每日计划'!F21,'经济参数'!$E$15)+MIN('每日计划'!F22,'经济参数'!$E$37)+F21*('每日计划'!F14+'每日计划'!F19)</x:f>
        <x:v>13</x:v>
      </x:c>
      <x:c r="G106" s="62" t="n">
        <x:f>MIN('每日计划'!G21,'经济参数'!$E$15)+MIN('每日计划'!G22,'经济参数'!$E$37)+G21*('每日计划'!G14+'每日计划'!G19)</x:f>
        <x:v>13</x:v>
      </x:c>
      <x:c r="H106" s="62" t="n">
        <x:f>MIN('每日计划'!H21,'经济参数'!$E$15)+MIN('每日计划'!H22,'经济参数'!$E$37)+H21*('每日计划'!H14+'每日计划'!H19)</x:f>
        <x:v>13</x:v>
      </x:c>
      <x:c r="I106" s="62" t="n">
        <x:f>MIN('每日计划'!I21,'经济参数'!$E$15)+MIN('每日计划'!I22,'经济参数'!$E$37)+I21*('每日计划'!I14+'每日计划'!I19)</x:f>
        <x:v>13</x:v>
      </x:c>
      <x:c r="J106" s="62" t="n">
        <x:f>MIN('每日计划'!J21,'经济参数'!$E$15)+MIN('每日计划'!J22,'经济参数'!$E$37)+J21*('每日计划'!J14+'每日计划'!J19)</x:f>
        <x:v>13</x:v>
      </x:c>
      <x:c r="K106" s="62" t="n">
        <x:f>MIN('每日计划'!K21,'经济参数'!$E$15)+MIN('每日计划'!K22,'经济参数'!$E$37)+K21*('每日计划'!K14+'每日计划'!K19)</x:f>
        <x:v>12.55</x:v>
      </x:c>
      <x:c r="L106" s="62" t="n">
        <x:f>MIN('每日计划'!L21,'经济参数'!$E$15)+MIN('每日计划'!L22,'经济参数'!$E$37)+L21*('每日计划'!L14+'每日计划'!L19)</x:f>
        <x:v>12.1</x:v>
      </x:c>
      <x:c r="M106" s="62" t="n">
        <x:f>MIN('每日计划'!M21,'经济参数'!$E$15)+MIN('每日计划'!M22,'经济参数'!$E$37)+M21*('每日计划'!M14+'每日计划'!M19)</x:f>
        <x:v>12.1</x:v>
      </x:c>
      <x:c r="N106" s="62" t="n">
        <x:f>MIN('每日计划'!N21,'经济参数'!$E$15)+MIN('每日计划'!N22,'经济参数'!$E$37)+N21*('每日计划'!N14+'每日计划'!N19)</x:f>
        <x:v>11.65</x:v>
      </x:c>
      <x:c r="O106" s="62" t="n">
        <x:f>MIN('每日计划'!O21,'经济参数'!$E$15)+MIN('每日计划'!O22,'经济参数'!$E$37)+O21*('每日计划'!O14+'每日计划'!O19)</x:f>
        <x:v>11.2</x:v>
      </x:c>
      <x:c r="P106" s="62" t="n">
        <x:f>MIN('每日计划'!P21,'经济参数'!$E$15)+MIN('每日计划'!P22,'经济参数'!$E$37)+P21*('每日计划'!P14+'每日计划'!P19)</x:f>
        <x:v>11.2</x:v>
      </x:c>
      <x:c r="Q106" s="62" t="n">
        <x:f>MIN('每日计划'!Q21,'经济参数'!$E$15)+MIN('每日计划'!Q22,'经济参数'!$E$37)+Q21*('每日计划'!Q14+'每日计划'!Q19)</x:f>
        <x:v>10.75</x:v>
      </x:c>
      <x:c r="R106" s="62" t="n">
        <x:f>MIN('每日计划'!R21,'经济参数'!$E$15)+MIN('每日计划'!R22,'经济参数'!$E$37)+R21*('每日计划'!R14+'每日计划'!R19)</x:f>
        <x:v>10.75</x:v>
      </x:c>
      <x:c r="S106" s="62" t="n">
        <x:f>MIN('每日计划'!S21,'经济参数'!$E$15)+MIN('每日计划'!S22,'经济参数'!$E$37)+S21*('每日计划'!S14+'每日计划'!S19)</x:f>
        <x:v>10.3</x:v>
      </x:c>
      <x:c r="T106" s="62" t="n">
        <x:f>MIN('每日计划'!T21,'经济参数'!$E$15)+MIN('每日计划'!T22,'经济参数'!$E$37)+T21*('每日计划'!T14+'每日计划'!T19)</x:f>
        <x:v>10.3</x:v>
      </x:c>
      <x:c r="U106" s="62" t="n">
        <x:f>MIN('每日计划'!U21,'经济参数'!$E$15)+MIN('每日计划'!U22,'经济参数'!$E$37)+U21*('每日计划'!U14+'每日计划'!U19)</x:f>
        <x:v>9.850000000000001</x:v>
      </x:c>
      <x:c r="V106" s="62" t="n">
        <x:f>MIN('每日计划'!V21,'经济参数'!$E$15)+MIN('每日计划'!V22,'经济参数'!$E$37)+V21*('每日计划'!V14+'每日计划'!V19)</x:f>
        <x:v>9.850000000000001</x:v>
      </x:c>
      <x:c r="W106" s="62" t="n">
        <x:f>MIN('每日计划'!W21,'经济参数'!$E$15)+MIN('每日计划'!W22,'经济参数'!$E$37)+W21*('每日计划'!W14+'每日计划'!W19)</x:f>
        <x:v>9.850000000000001</x:v>
      </x:c>
      <x:c r="X106" s="62" t="n">
        <x:f>MIN('每日计划'!X21,'经济参数'!$E$15)+MIN('每日计划'!X22,'经济参数'!$E$37)+X21*('每日计划'!X14+'每日计划'!X19)</x:f>
        <x:v>9.4</x:v>
      </x:c>
      <x:c r="Y106" s="62" t="n">
        <x:f>MIN('每日计划'!Y21,'经济参数'!$E$15)+MIN('每日计划'!Y22,'经济参数'!$E$37)+Y21*('每日计划'!Y14+'每日计划'!Y19)</x:f>
        <x:v>9.4</x:v>
      </x:c>
      <x:c r="Z106" s="62" t="n">
        <x:f>MIN('每日计划'!Z21,'经济参数'!$E$15)+MIN('每日计划'!Z22,'经济参数'!$E$37)+Z21*('每日计划'!Z14+'每日计划'!Z19)</x:f>
        <x:v>9.4</x:v>
      </x:c>
      <x:c r="AA106" s="62" t="n">
        <x:f>MIN('每日计划'!AA21,'经济参数'!$E$15)+MIN('每日计划'!AA22,'经济参数'!$E$37)+AA21*('每日计划'!AA14+'每日计划'!AA19)</x:f>
        <x:v>8.95</x:v>
      </x:c>
      <x:c r="AB106" s="62" t="n">
        <x:f>MIN('每日计划'!AB21,'经济参数'!$E$15)+MIN('每日计划'!AB22,'经济参数'!$E$37)+AB21*('每日计划'!AB14+'每日计划'!AB19)</x:f>
        <x:v>8.95</x:v>
      </x:c>
      <x:c r="AC106" s="62" t="n">
        <x:f>MIN('每日计划'!AC21,'经济参数'!$E$15)+MIN('每日计划'!AC22,'经济参数'!$E$37)+AC21*('每日计划'!AC14+'每日计划'!AC19)</x:f>
        <x:v>8.95</x:v>
      </x:c>
      <x:c r="AD106" s="62" t="n">
        <x:f>MIN('每日计划'!AD21,'经济参数'!$E$15)+MIN('每日计划'!AD22,'经济参数'!$E$37)+AD21*('每日计划'!AD14+'每日计划'!AD19)</x:f>
        <x:v>8.95</x:v>
      </x:c>
      <x:c r="AE106" s="62" t="n">
        <x:f>MIN('每日计划'!AE21,'经济参数'!$E$15)+MIN('每日计划'!AE22,'经济参数'!$E$37)+AE21*('每日计划'!AE14+'每日计划'!AE19)</x:f>
        <x:v>8.5</x:v>
      </x:c>
      <x:c r="AF106" s="65"/>
    </x:row>
    <x:row r="107" ht="44" customHeight="1">
      <x:c r="A107" s="62" t="str">
        <x:v>资源可负担提示</x:v>
      </x:c>
      <x:c r="B107" s="65" t="str">
        <x:f>IF(MIN(B60,B74,B83,B93)&lt;0,"存在缺口，需降目标/兑换","仅日末资源足够")</x:f>
        <x:v>仅日末资源足够</x:v>
      </x:c>
      <x:c r="C107" s="65" t="str">
        <x:f>IF(MIN(C60,C74,C83,C93)&lt;0,"存在缺口，需降目标/兑换","仅日末资源足够")</x:f>
        <x:v>仅日末资源足够</x:v>
      </x:c>
      <x:c r="D107" s="65" t="str">
        <x:f>IF(MIN(D60,D74,D83,D93)&lt;0,"存在缺口，需降目标/兑换","仅日末资源足够")</x:f>
        <x:v>仅日末资源足够</x:v>
      </x:c>
      <x:c r="E107" s="65" t="str">
        <x:f>IF(MIN(E60,E74,E83,E93)&lt;0,"存在缺口，需降目标/兑换","仅日末资源足够")</x:f>
        <x:v>仅日末资源足够</x:v>
      </x:c>
      <x:c r="F107" s="65" t="str">
        <x:f>IF(MIN(F60,F74,F83,F93)&lt;0,"存在缺口，需降目标/兑换","仅日末资源足够")</x:f>
        <x:v>仅日末资源足够</x:v>
      </x:c>
      <x:c r="G107" s="65" t="str">
        <x:f>IF(MIN(G60,G74,G83,G93)&lt;0,"存在缺口，需降目标/兑换","仅日末资源足够")</x:f>
        <x:v>仅日末资源足够</x:v>
      </x:c>
      <x:c r="H107" s="65" t="str">
        <x:f>IF(MIN(H60,H74,H83,H93)&lt;0,"存在缺口，需降目标/兑换","仅日末资源足够")</x:f>
        <x:v>仅日末资源足够</x:v>
      </x:c>
      <x:c r="I107" s="65" t="str">
        <x:f>IF(MIN(I60,I74,I83,I93)&lt;0,"存在缺口，需降目标/兑换","仅日末资源足够")</x:f>
        <x:v>仅日末资源足够</x:v>
      </x:c>
      <x:c r="J107" s="65" t="str">
        <x:f>IF(MIN(J60,J74,J83,J93)&lt;0,"存在缺口，需降目标/兑换","仅日末资源足够")</x:f>
        <x:v>仅日末资源足够</x:v>
      </x:c>
      <x:c r="K107" s="65" t="str">
        <x:f>IF(MIN(K60,K74,K83,K93)&lt;0,"存在缺口，需降目标/兑换","仅日末资源足够")</x:f>
        <x:v>仅日末资源足够</x:v>
      </x:c>
      <x:c r="L107" s="65" t="str">
        <x:f>IF(MIN(L60,L74,L83,L93)&lt;0,"存在缺口，需降目标/兑换","仅日末资源足够")</x:f>
        <x:v>仅日末资源足够</x:v>
      </x:c>
      <x:c r="M107" s="65" t="str">
        <x:f>IF(MIN(M60,M74,M83,M93)&lt;0,"存在缺口，需降目标/兑换","仅日末资源足够")</x:f>
        <x:v>仅日末资源足够</x:v>
      </x:c>
      <x:c r="N107" s="65" t="str">
        <x:f>IF(MIN(N60,N74,N83,N93)&lt;0,"存在缺口，需降目标/兑换","仅日末资源足够")</x:f>
        <x:v>仅日末资源足够</x:v>
      </x:c>
      <x:c r="O107" s="65" t="str">
        <x:f>IF(MIN(O60,O74,O83,O93)&lt;0,"存在缺口，需降目标/兑换","仅日末资源足够")</x:f>
        <x:v>仅日末资源足够</x:v>
      </x:c>
      <x:c r="P107" s="65" t="str">
        <x:f>IF(MIN(P60,P74,P83,P93)&lt;0,"存在缺口，需降目标/兑换","仅日末资源足够")</x:f>
        <x:v>仅日末资源足够</x:v>
      </x:c>
      <x:c r="Q107" s="65" t="str">
        <x:f>IF(MIN(Q60,Q74,Q83,Q93)&lt;0,"存在缺口，需降目标/兑换","仅日末资源足够")</x:f>
        <x:v>仅日末资源足够</x:v>
      </x:c>
      <x:c r="R107" s="65" t="str">
        <x:f>IF(MIN(R60,R74,R83,R93)&lt;0,"存在缺口，需降目标/兑换","仅日末资源足够")</x:f>
        <x:v>仅日末资源足够</x:v>
      </x:c>
      <x:c r="S107" s="65" t="str">
        <x:f>IF(MIN(S60,S74,S83,S93)&lt;0,"存在缺口，需降目标/兑换","仅日末资源足够")</x:f>
        <x:v>仅日末资源足够</x:v>
      </x:c>
      <x:c r="T107" s="65" t="str">
        <x:f>IF(MIN(T60,T74,T83,T93)&lt;0,"存在缺口，需降目标/兑换","仅日末资源足够")</x:f>
        <x:v>仅日末资源足够</x:v>
      </x:c>
      <x:c r="U107" s="65" t="str">
        <x:f>IF(MIN(U60,U74,U83,U93)&lt;0,"存在缺口，需降目标/兑换","仅日末资源足够")</x:f>
        <x:v>仅日末资源足够</x:v>
      </x:c>
      <x:c r="V107" s="65" t="str">
        <x:f>IF(MIN(V60,V74,V83,V93)&lt;0,"存在缺口，需降目标/兑换","仅日末资源足够")</x:f>
        <x:v>仅日末资源足够</x:v>
      </x:c>
      <x:c r="W107" s="65" t="str">
        <x:f>IF(MIN(W60,W74,W83,W93)&lt;0,"存在缺口，需降目标/兑换","仅日末资源足够")</x:f>
        <x:v>仅日末资源足够</x:v>
      </x:c>
      <x:c r="X107" s="65" t="str">
        <x:f>IF(MIN(X60,X74,X83,X93)&lt;0,"存在缺口，需降目标/兑换","仅日末资源足够")</x:f>
        <x:v>仅日末资源足够</x:v>
      </x:c>
      <x:c r="Y107" s="65" t="str">
        <x:f>IF(MIN(Y60,Y74,Y83,Y93)&lt;0,"存在缺口，需降目标/兑换","仅日末资源足够")</x:f>
        <x:v>仅日末资源足够</x:v>
      </x:c>
      <x:c r="Z107" s="65" t="str">
        <x:f>IF(MIN(Z60,Z74,Z83,Z93)&lt;0,"存在缺口，需降目标/兑换","仅日末资源足够")</x:f>
        <x:v>仅日末资源足够</x:v>
      </x:c>
      <x:c r="AA107" s="65" t="str">
        <x:f>IF(MIN(AA60,AA74,AA83,AA93)&lt;0,"存在缺口，需降目标/兑换","仅日末资源足够")</x:f>
        <x:v>仅日末资源足够</x:v>
      </x:c>
      <x:c r="AB107" s="65" t="str">
        <x:f>IF(MIN(AB60,AB74,AB83,AB93)&lt;0,"存在缺口，需降目标/兑换","仅日末资源足够")</x:f>
        <x:v>仅日末资源足够</x:v>
      </x:c>
      <x:c r="AC107" s="65" t="str">
        <x:f>IF(MIN(AC60,AC74,AC83,AC93)&lt;0,"存在缺口，需降目标/兑换","仅日末资源足够")</x:f>
        <x:v>存在缺口，需降目标/兑换</x:v>
      </x:c>
      <x:c r="AD107" s="65" t="str">
        <x:f>IF(MIN(AD60,AD74,AD83,AD93)&lt;0,"存在缺口，需降目标/兑换","仅日末资源足够")</x:f>
        <x:v>存在缺口，需降目标/兑换</x:v>
      </x:c>
      <x:c r="AE107" s="65" t="str">
        <x:f>IF(MIN(AE60,AE74,AE83,AE93)&lt;0,"存在缺口，需降目标/兑换","仅日末资源足够")</x:f>
        <x:v>存在缺口，需降目标/兑换</x:v>
      </x:c>
      <x:c r="AF107" s="65"/>
    </x:row>
    <x:row r="108" ht="44" customHeight="1">
      <x:c r="A108" s="62" t="str">
        <x:v>出怪时长提示</x:v>
      </x:c>
      <x:c r="B108" s="65" t="str">
        <x:f>VLOOKUP(B7,'关卡总表'!$A$7:$AY$906,23,FALSE)</x:f>
        <x:v>还需实测</x:v>
      </x:c>
      <x:c r="C108" s="65" t="str">
        <x:f>VLOOKUP(C7,'关卡总表'!$A$7:$AY$906,23,FALSE)</x:f>
        <x:v>还需实测</x:v>
      </x:c>
      <x:c r="D108" s="65" t="str">
        <x:f>VLOOKUP(D7,'关卡总表'!$A$7:$AY$906,23,FALSE)</x:f>
        <x:v>还需实测</x:v>
      </x:c>
      <x:c r="E108" s="65" t="str">
        <x:f>VLOOKUP(E7,'关卡总表'!$A$7:$AY$906,23,FALSE)</x:f>
        <x:v>还需实测</x:v>
      </x:c>
      <x:c r="F108" s="65" t="str">
        <x:f>VLOOKUP(F7,'关卡总表'!$A$7:$AY$906,23,FALSE)</x:f>
        <x:v>还需实测</x:v>
      </x:c>
      <x:c r="G108" s="65" t="str">
        <x:f>VLOOKUP(G7,'关卡总表'!$A$7:$AY$906,23,FALSE)</x:f>
        <x:v>还需实测</x:v>
      </x:c>
      <x:c r="H108" s="65" t="str">
        <x:f>VLOOKUP(H7,'关卡总表'!$A$7:$AY$906,23,FALSE)</x:f>
        <x:v>还需实测</x:v>
      </x:c>
      <x:c r="I108" s="65" t="str">
        <x:f>VLOOKUP(I7,'关卡总表'!$A$7:$AY$906,23,FALSE)</x:f>
        <x:v>还需实测</x:v>
      </x:c>
      <x:c r="J108" s="65" t="str">
        <x:f>VLOOKUP(J7,'关卡总表'!$A$7:$AY$906,23,FALSE)</x:f>
        <x:v>还需实测</x:v>
      </x:c>
      <x:c r="K108" s="65" t="str">
        <x:f>VLOOKUP(K7,'关卡总表'!$A$7:$AY$906,23,FALSE)</x:f>
        <x:v>还需实测</x:v>
      </x:c>
      <x:c r="L108" s="65" t="str">
        <x:f>VLOOKUP(L7,'关卡总表'!$A$7:$AY$906,23,FALSE)</x:f>
        <x:v>还需实测</x:v>
      </x:c>
      <x:c r="M108" s="65" t="str">
        <x:f>VLOOKUP(M7,'关卡总表'!$A$7:$AY$906,23,FALSE)</x:f>
        <x:v>还需实测</x:v>
      </x:c>
      <x:c r="N108" s="65" t="str">
        <x:f>VLOOKUP(N7,'关卡总表'!$A$7:$AY$906,23,FALSE)</x:f>
        <x:v>还需实测</x:v>
      </x:c>
      <x:c r="O108" s="65" t="str">
        <x:f>VLOOKUP(O7,'关卡总表'!$A$7:$AY$906,23,FALSE)</x:f>
        <x:v>还需实测</x:v>
      </x:c>
      <x:c r="P108" s="65" t="str">
        <x:f>VLOOKUP(P7,'关卡总表'!$A$7:$AY$906,23,FALSE)</x:f>
        <x:v>还需实测</x:v>
      </x:c>
      <x:c r="Q108" s="65" t="str">
        <x:f>VLOOKUP(Q7,'关卡总表'!$A$7:$AY$906,23,FALSE)</x:f>
        <x:v>还需实测</x:v>
      </x:c>
      <x:c r="R108" s="65" t="str">
        <x:f>VLOOKUP(R7,'关卡总表'!$A$7:$AY$906,23,FALSE)</x:f>
        <x:v>还需实测</x:v>
      </x:c>
      <x:c r="S108" s="65" t="str">
        <x:f>VLOOKUP(S7,'关卡总表'!$A$7:$AY$906,23,FALSE)</x:f>
        <x:v>还需实测</x:v>
      </x:c>
      <x:c r="T108" s="65" t="str">
        <x:f>VLOOKUP(T7,'关卡总表'!$A$7:$AY$906,23,FALSE)</x:f>
        <x:v>还需实测</x:v>
      </x:c>
      <x:c r="U108" s="65" t="str">
        <x:f>VLOOKUP(U7,'关卡总表'!$A$7:$AY$906,23,FALSE)</x:f>
        <x:v>还需实测</x:v>
      </x:c>
      <x:c r="V108" s="65" t="str">
        <x:f>VLOOKUP(V7,'关卡总表'!$A$7:$AY$906,23,FALSE)</x:f>
        <x:v>还需实测</x:v>
      </x:c>
      <x:c r="W108" s="65" t="str">
        <x:f>VLOOKUP(W7,'关卡总表'!$A$7:$AY$906,23,FALSE)</x:f>
        <x:v>还需实测</x:v>
      </x:c>
      <x:c r="X108" s="65" t="str">
        <x:f>VLOOKUP(X7,'关卡总表'!$A$7:$AY$906,23,FALSE)</x:f>
        <x:v>还需实测</x:v>
      </x:c>
      <x:c r="Y108" s="65" t="str">
        <x:f>VLOOKUP(Y7,'关卡总表'!$A$7:$AY$906,23,FALSE)</x:f>
        <x:v>还需实测</x:v>
      </x:c>
      <x:c r="Z108" s="65" t="str">
        <x:f>VLOOKUP(Z7,'关卡总表'!$A$7:$AY$906,23,FALSE)</x:f>
        <x:v>还需实测</x:v>
      </x:c>
      <x:c r="AA108" s="65" t="str">
        <x:f>VLOOKUP(AA7,'关卡总表'!$A$7:$AY$906,23,FALSE)</x:f>
        <x:v>还需实测</x:v>
      </x:c>
      <x:c r="AB108" s="65" t="str">
        <x:f>VLOOKUP(AB7,'关卡总表'!$A$7:$AY$906,23,FALSE)</x:f>
        <x:v>还需实测</x:v>
      </x:c>
      <x:c r="AC108" s="65" t="str">
        <x:f>VLOOKUP(AC7,'关卡总表'!$A$7:$AY$906,23,FALSE)</x:f>
        <x:v>还需实测</x:v>
      </x:c>
      <x:c r="AD108" s="65" t="str">
        <x:f>VLOOKUP(AD7,'关卡总表'!$A$7:$AY$906,23,FALSE)</x:f>
        <x:v>还需实测</x:v>
      </x:c>
      <x:c r="AE108" s="65" t="str">
        <x:f>VLOOKUP(AE7,'关卡总表'!$A$7:$AY$906,23,FALSE)</x:f>
        <x:v>还需实测</x:v>
      </x:c>
      <x:c r="AF108" s="65"/>
    </x:row>
    <x:row r="109" ht="44" customHeight="1">
      <x:c r="A109" s="62" t="str">
        <x:v>宝箱领取假设提示</x:v>
      </x:c>
      <x:c r="B109" s="65" t="str">
        <x:f>IF('每日计划'!B26&gt;'每日计划'!B25,"满血占比过高，按较小值计算","正常")</x:f>
        <x:v>正常</x:v>
      </x:c>
      <x:c r="C109" s="65" t="str">
        <x:f>IF('每日计划'!C26&gt;'每日计划'!C25,"满血占比过高，按较小值计算","正常")</x:f>
        <x:v>正常</x:v>
      </x:c>
      <x:c r="D109" s="65" t="str">
        <x:f>IF('每日计划'!D26&gt;'每日计划'!D25,"满血占比过高，按较小值计算","正常")</x:f>
        <x:v>正常</x:v>
      </x:c>
      <x:c r="E109" s="65" t="str">
        <x:f>IF('每日计划'!E26&gt;'每日计划'!E25,"满血占比过高，按较小值计算","正常")</x:f>
        <x:v>正常</x:v>
      </x:c>
      <x:c r="F109" s="65" t="str">
        <x:f>IF('每日计划'!F26&gt;'每日计划'!F25,"满血占比过高，按较小值计算","正常")</x:f>
        <x:v>正常</x:v>
      </x:c>
      <x:c r="G109" s="65" t="str">
        <x:f>IF('每日计划'!G26&gt;'每日计划'!G25,"满血占比过高，按较小值计算","正常")</x:f>
        <x:v>正常</x:v>
      </x:c>
      <x:c r="H109" s="65" t="str">
        <x:f>IF('每日计划'!H26&gt;'每日计划'!H25,"满血占比过高，按较小值计算","正常")</x:f>
        <x:v>正常</x:v>
      </x:c>
      <x:c r="I109" s="65" t="str">
        <x:f>IF('每日计划'!I26&gt;'每日计划'!I25,"满血占比过高，按较小值计算","正常")</x:f>
        <x:v>正常</x:v>
      </x:c>
      <x:c r="J109" s="65" t="str">
        <x:f>IF('每日计划'!J26&gt;'每日计划'!J25,"满血占比过高，按较小值计算","正常")</x:f>
        <x:v>正常</x:v>
      </x:c>
      <x:c r="K109" s="65" t="str">
        <x:f>IF('每日计划'!K26&gt;'每日计划'!K25,"满血占比过高，按较小值计算","正常")</x:f>
        <x:v>正常</x:v>
      </x:c>
      <x:c r="L109" s="65" t="str">
        <x:f>IF('每日计划'!L26&gt;'每日计划'!L25,"满血占比过高，按较小值计算","正常")</x:f>
        <x:v>正常</x:v>
      </x:c>
      <x:c r="M109" s="65" t="str">
        <x:f>IF('每日计划'!M26&gt;'每日计划'!M25,"满血占比过高，按较小值计算","正常")</x:f>
        <x:v>正常</x:v>
      </x:c>
      <x:c r="N109" s="65" t="str">
        <x:f>IF('每日计划'!N26&gt;'每日计划'!N25,"满血占比过高，按较小值计算","正常")</x:f>
        <x:v>正常</x:v>
      </x:c>
      <x:c r="O109" s="65" t="str">
        <x:f>IF('每日计划'!O26&gt;'每日计划'!O25,"满血占比过高，按较小值计算","正常")</x:f>
        <x:v>正常</x:v>
      </x:c>
      <x:c r="P109" s="65" t="str">
        <x:f>IF('每日计划'!P26&gt;'每日计划'!P25,"满血占比过高，按较小值计算","正常")</x:f>
        <x:v>正常</x:v>
      </x:c>
      <x:c r="Q109" s="65" t="str">
        <x:f>IF('每日计划'!Q26&gt;'每日计划'!Q25,"满血占比过高，按较小值计算","正常")</x:f>
        <x:v>正常</x:v>
      </x:c>
      <x:c r="R109" s="65" t="str">
        <x:f>IF('每日计划'!R26&gt;'每日计划'!R25,"满血占比过高，按较小值计算","正常")</x:f>
        <x:v>正常</x:v>
      </x:c>
      <x:c r="S109" s="65" t="str">
        <x:f>IF('每日计划'!S26&gt;'每日计划'!S25,"满血占比过高，按较小值计算","正常")</x:f>
        <x:v>正常</x:v>
      </x:c>
      <x:c r="T109" s="65" t="str">
        <x:f>IF('每日计划'!T26&gt;'每日计划'!T25,"满血占比过高，按较小值计算","正常")</x:f>
        <x:v>正常</x:v>
      </x:c>
      <x:c r="U109" s="65" t="str">
        <x:f>IF('每日计划'!U26&gt;'每日计划'!U25,"满血占比过高，按较小值计算","正常")</x:f>
        <x:v>正常</x:v>
      </x:c>
      <x:c r="V109" s="65" t="str">
        <x:f>IF('每日计划'!V26&gt;'每日计划'!V25,"满血占比过高，按较小值计算","正常")</x:f>
        <x:v>正常</x:v>
      </x:c>
      <x:c r="W109" s="65" t="str">
        <x:f>IF('每日计划'!W26&gt;'每日计划'!W25,"满血占比过高，按较小值计算","正常")</x:f>
        <x:v>正常</x:v>
      </x:c>
      <x:c r="X109" s="65" t="str">
        <x:f>IF('每日计划'!X26&gt;'每日计划'!X25,"满血占比过高，按较小值计算","正常")</x:f>
        <x:v>正常</x:v>
      </x:c>
      <x:c r="Y109" s="65" t="str">
        <x:f>IF('每日计划'!Y26&gt;'每日计划'!Y25,"满血占比过高，按较小值计算","正常")</x:f>
        <x:v>正常</x:v>
      </x:c>
      <x:c r="Z109" s="65" t="str">
        <x:f>IF('每日计划'!Z26&gt;'每日计划'!Z25,"满血占比过高，按较小值计算","正常")</x:f>
        <x:v>正常</x:v>
      </x:c>
      <x:c r="AA109" s="65" t="str">
        <x:f>IF('每日计划'!AA26&gt;'每日计划'!AA25,"满血占比过高，按较小值计算","正常")</x:f>
        <x:v>正常</x:v>
      </x:c>
      <x:c r="AB109" s="65" t="str">
        <x:f>IF('每日计划'!AB26&gt;'每日计划'!AB25,"满血占比过高，按较小值计算","正常")</x:f>
        <x:v>正常</x:v>
      </x:c>
      <x:c r="AC109" s="65" t="str">
        <x:f>IF('每日计划'!AC26&gt;'每日计划'!AC25,"满血占比过高，按较小值计算","正常")</x:f>
        <x:v>正常</x:v>
      </x:c>
      <x:c r="AD109" s="65" t="str">
        <x:f>IF('每日计划'!AD26&gt;'每日计划'!AD25,"满血占比过高，按较小值计算","正常")</x:f>
        <x:v>正常</x:v>
      </x:c>
      <x:c r="AE109" s="65" t="str">
        <x:f>IF('每日计划'!AE26&gt;'每日计划'!AE25,"满血占比过高，按较小值计算","正常")</x:f>
        <x:v>正常</x:v>
      </x:c>
      <x:c r="AF109" s="65"/>
    </x:row>
    <x:row r="110" ht="44" customHeight="1">
      <x:c r="A110" s="62" t="str">
        <x:v>同品质装备可用性</x:v>
      </x:c>
      <x:c r="B110" s="65" t="str">
        <x:f>IF('每日计划'!B35+'每日计划'!B37&gt;0,"本模型未校验，需检查背包","未安排合成/突破")</x:f>
        <x:v>未安排合成/突破</x:v>
      </x:c>
      <x:c r="C110" s="65" t="str">
        <x:f>IF('每日计划'!C35+'每日计划'!C37&gt;0,"本模型未校验，需检查背包","未安排合成/突破")</x:f>
        <x:v>未安排合成/突破</x:v>
      </x:c>
      <x:c r="D110" s="65" t="str">
        <x:f>IF('每日计划'!D35+'每日计划'!D37&gt;0,"本模型未校验，需检查背包","未安排合成/突破")</x:f>
        <x:v>本模型未校验，需检查背包</x:v>
      </x:c>
      <x:c r="E110" s="65" t="str">
        <x:f>IF('每日计划'!E35+'每日计划'!E37&gt;0,"本模型未校验，需检查背包","未安排合成/突破")</x:f>
        <x:v>未安排合成/突破</x:v>
      </x:c>
      <x:c r="F110" s="65" t="str">
        <x:f>IF('每日计划'!F35+'每日计划'!F37&gt;0,"本模型未校验，需检查背包","未安排合成/突破")</x:f>
        <x:v>未安排合成/突破</x:v>
      </x:c>
      <x:c r="G110" s="65" t="str">
        <x:f>IF('每日计划'!G35+'每日计划'!G37&gt;0,"本模型未校验，需检查背包","未安排合成/突破")</x:f>
        <x:v>未安排合成/突破</x:v>
      </x:c>
      <x:c r="H110" s="65" t="str">
        <x:f>IF('每日计划'!H35+'每日计划'!H37&gt;0,"本模型未校验，需检查背包","未安排合成/突破")</x:f>
        <x:v>本模型未校验，需检查背包</x:v>
      </x:c>
      <x:c r="I110" s="65" t="str">
        <x:f>IF('每日计划'!I35+'每日计划'!I37&gt;0,"本模型未校验，需检查背包","未安排合成/突破")</x:f>
        <x:v>未安排合成/突破</x:v>
      </x:c>
      <x:c r="J110" s="65" t="str">
        <x:f>IF('每日计划'!J35+'每日计划'!J37&gt;0,"本模型未校验，需检查背包","未安排合成/突破")</x:f>
        <x:v>未安排合成/突破</x:v>
      </x:c>
      <x:c r="K110" s="65" t="str">
        <x:f>IF('每日计划'!K35+'每日计划'!K37&gt;0,"本模型未校验，需检查背包","未安排合成/突破")</x:f>
        <x:v>未安排合成/突破</x:v>
      </x:c>
      <x:c r="L110" s="65" t="str">
        <x:f>IF('每日计划'!L35+'每日计划'!L37&gt;0,"本模型未校验，需检查背包","未安排合成/突破")</x:f>
        <x:v>未安排合成/突破</x:v>
      </x:c>
      <x:c r="M110" s="65" t="str">
        <x:f>IF('每日计划'!M35+'每日计划'!M37&gt;0,"本模型未校验，需检查背包","未安排合成/突破")</x:f>
        <x:v>未安排合成/突破</x:v>
      </x:c>
      <x:c r="N110" s="65" t="str">
        <x:f>IF('每日计划'!N35+'每日计划'!N37&gt;0,"本模型未校验，需检查背包","未安排合成/突破")</x:f>
        <x:v>未安排合成/突破</x:v>
      </x:c>
      <x:c r="O110" s="65" t="str">
        <x:f>IF('每日计划'!O35+'每日计划'!O37&gt;0,"本模型未校验，需检查背包","未安排合成/突破")</x:f>
        <x:v>本模型未校验，需检查背包</x:v>
      </x:c>
      <x:c r="P110" s="65" t="str">
        <x:f>IF('每日计划'!P35+'每日计划'!P37&gt;0,"本模型未校验，需检查背包","未安排合成/突破")</x:f>
        <x:v>未安排合成/突破</x:v>
      </x:c>
      <x:c r="Q110" s="65" t="str">
        <x:f>IF('每日计划'!Q35+'每日计划'!Q37&gt;0,"本模型未校验，需检查背包","未安排合成/突破")</x:f>
        <x:v>未安排合成/突破</x:v>
      </x:c>
      <x:c r="R110" s="65" t="str">
        <x:f>IF('每日计划'!R35+'每日计划'!R37&gt;0,"本模型未校验，需检查背包","未安排合成/突破")</x:f>
        <x:v>未安排合成/突破</x:v>
      </x:c>
      <x:c r="S110" s="65" t="str">
        <x:f>IF('每日计划'!S35+'每日计划'!S37&gt;0,"本模型未校验，需检查背包","未安排合成/突破")</x:f>
        <x:v>未安排合成/突破</x:v>
      </x:c>
      <x:c r="T110" s="65" t="str">
        <x:f>IF('每日计划'!T35+'每日计划'!T37&gt;0,"本模型未校验，需检查背包","未安排合成/突破")</x:f>
        <x:v>未安排合成/突破</x:v>
      </x:c>
      <x:c r="U110" s="65" t="str">
        <x:f>IF('每日计划'!U35+'每日计划'!U37&gt;0,"本模型未校验，需检查背包","未安排合成/突破")</x:f>
        <x:v>未安排合成/突破</x:v>
      </x:c>
      <x:c r="V110" s="65" t="str">
        <x:f>IF('每日计划'!V35+'每日计划'!V37&gt;0,"本模型未校验，需检查背包","未安排合成/突破")</x:f>
        <x:v>本模型未校验，需检查背包</x:v>
      </x:c>
      <x:c r="W110" s="65" t="str">
        <x:f>IF('每日计划'!W35+'每日计划'!W37&gt;0,"本模型未校验，需检查背包","未安排合成/突破")</x:f>
        <x:v>未安排合成/突破</x:v>
      </x:c>
      <x:c r="X110" s="65" t="str">
        <x:f>IF('每日计划'!X35+'每日计划'!X37&gt;0,"本模型未校验，需检查背包","未安排合成/突破")</x:f>
        <x:v>未安排合成/突破</x:v>
      </x:c>
      <x:c r="Y110" s="65" t="str">
        <x:f>IF('每日计划'!Y35+'每日计划'!Y37&gt;0,"本模型未校验，需检查背包","未安排合成/突破")</x:f>
        <x:v>未安排合成/突破</x:v>
      </x:c>
      <x:c r="Z110" s="65" t="str">
        <x:f>IF('每日计划'!Z35+'每日计划'!Z37&gt;0,"本模型未校验，需检查背包","未安排合成/突破")</x:f>
        <x:v>未安排合成/突破</x:v>
      </x:c>
      <x:c r="AA110" s="65" t="str">
        <x:f>IF('每日计划'!AA35+'每日计划'!AA37&gt;0,"本模型未校验，需检查背包","未安排合成/突破")</x:f>
        <x:v>未安排合成/突破</x:v>
      </x:c>
      <x:c r="AB110" s="65" t="str">
        <x:f>IF('每日计划'!AB35+'每日计划'!AB37&gt;0,"本模型未校验，需检查背包","未安排合成/突破")</x:f>
        <x:v>未安排合成/突破</x:v>
      </x:c>
      <x:c r="AC110" s="65" t="str">
        <x:f>IF('每日计划'!AC35+'每日计划'!AC37&gt;0,"本模型未校验，需检查背包","未安排合成/突破")</x:f>
        <x:v>未安排合成/突破</x:v>
      </x:c>
      <x:c r="AD110" s="65" t="str">
        <x:f>IF('每日计划'!AD35+'每日计划'!AD37&gt;0,"本模型未校验，需检查背包","未安排合成/突破")</x:f>
        <x:v>未安排合成/突破</x:v>
      </x:c>
      <x:c r="AE110" s="65" t="str">
        <x:f>IF('每日计划'!AE35+'每日计划'!AE37&gt;0,"本模型未校验，需检查背包","未安排合成/突破")</x:f>
        <x:v>本模型未校验，需检查背包</x:v>
      </x:c>
      <x:c r="AF110" s="65"/>
    </x:row>
    <x:row r="111" ht="28" customHeight="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  <x:c r="AA111" s="62"/>
      <x:c r="AB111" s="62"/>
      <x:c r="AC111" s="62"/>
      <x:c r="AD111" s="62"/>
      <x:c r="AE111" s="62"/>
      <x:c r="AF111" s="65"/>
    </x:row>
    <x:row r="112" ht="28" customHeight="1">
      <x:c r="A112" s="62" t="str">
        <x:v>军报总怪物数</x:v>
      </x:c>
      <x:c r="B112" s="62" t="n">
        <x:f>IF(1&lt;='难度参数'!$E$37,MAX(1,MIN('难度参数'!$E$12,'难度参数'!$E$39+1*'难度参数'!$E$10+ROUNDUP(B7*'难度参数'!$E$11,0))),0)+IF(2&lt;='难度参数'!$E$37,MAX(1,MIN('难度参数'!$E$12,'难度参数'!$E$39+2*'难度参数'!$E$10+ROUNDUP(B7*'难度参数'!$E$11,0))),0)+IF(3&lt;='难度参数'!$E$37,MAX(1,MIN('难度参数'!$E$12,'难度参数'!$E$39+3*'难度参数'!$E$10+ROUNDUP(B7*'难度参数'!$E$11,0))),0)+IF(4&lt;='难度参数'!$E$37,MAX(1,MIN('难度参数'!$E$12,'难度参数'!$E$39+4*'难度参数'!$E$10+ROUNDUP(B7*'难度参数'!$E$11,0))),0)+IF(5&lt;='难度参数'!$E$37,MAX(1,MIN('难度参数'!$E$12,'难度参数'!$E$39+5*'难度参数'!$E$10+ROUNDUP(B7*'难度参数'!$E$11,0))),0)+IF(6&lt;='难度参数'!$E$37,MAX(1,MIN('难度参数'!$E$12,'难度参数'!$E$39+6*'难度参数'!$E$10+ROUNDUP(B7*'难度参数'!$E$11,0))),0)+IF(7&lt;='难度参数'!$E$37,MAX(1,MIN('难度参数'!$E$12,'难度参数'!$E$39+7*'难度参数'!$E$10+ROUNDUP(B7*'难度参数'!$E$11,0))),0)+IF(8&lt;='难度参数'!$E$37,MAX(1,MIN('难度参数'!$E$12,'难度参数'!$E$39+8*'难度参数'!$E$10+ROUNDUP(B7*'难度参数'!$E$11,0))),0)+IF(9&lt;='难度参数'!$E$37,MAX(1,MIN('难度参数'!$E$12,'难度参数'!$E$39+9*'难度参数'!$E$10+ROUNDUP(B7*'难度参数'!$E$11,0))),0)+IF(10&lt;='难度参数'!$E$37,MAX(1,MIN('难度参数'!$E$12,'难度参数'!$E$39+10*'难度参数'!$E$10+ROUNDUP(B7*'难度参数'!$E$11,0))),0)</x:f>
        <x:v>190</x:v>
      </x:c>
      <x:c r="C112" s="62" t="n">
        <x:f>IF(1&lt;='难度参数'!$E$37,MAX(1,MIN('难度参数'!$E$12,'难度参数'!$E$39+1*'难度参数'!$E$10+ROUNDUP(C7*'难度参数'!$E$11,0))),0)+IF(2&lt;='难度参数'!$E$37,MAX(1,MIN('难度参数'!$E$12,'难度参数'!$E$39+2*'难度参数'!$E$10+ROUNDUP(C7*'难度参数'!$E$11,0))),0)+IF(3&lt;='难度参数'!$E$37,MAX(1,MIN('难度参数'!$E$12,'难度参数'!$E$39+3*'难度参数'!$E$10+ROUNDUP(C7*'难度参数'!$E$11,0))),0)+IF(4&lt;='难度参数'!$E$37,MAX(1,MIN('难度参数'!$E$12,'难度参数'!$E$39+4*'难度参数'!$E$10+ROUNDUP(C7*'难度参数'!$E$11,0))),0)+IF(5&lt;='难度参数'!$E$37,MAX(1,MIN('难度参数'!$E$12,'难度参数'!$E$39+5*'难度参数'!$E$10+ROUNDUP(C7*'难度参数'!$E$11,0))),0)+IF(6&lt;='难度参数'!$E$37,MAX(1,MIN('难度参数'!$E$12,'难度参数'!$E$39+6*'难度参数'!$E$10+ROUNDUP(C7*'难度参数'!$E$11,0))),0)+IF(7&lt;='难度参数'!$E$37,MAX(1,MIN('难度参数'!$E$12,'难度参数'!$E$39+7*'难度参数'!$E$10+ROUNDUP(C7*'难度参数'!$E$11,0))),0)+IF(8&lt;='难度参数'!$E$37,MAX(1,MIN('难度参数'!$E$12,'难度参数'!$E$39+8*'难度参数'!$E$10+ROUNDUP(C7*'难度参数'!$E$11,0))),0)+IF(9&lt;='难度参数'!$E$37,MAX(1,MIN('难度参数'!$E$12,'难度参数'!$E$39+9*'难度参数'!$E$10+ROUNDUP(C7*'难度参数'!$E$11,0))),0)+IF(10&lt;='难度参数'!$E$37,MAX(1,MIN('难度参数'!$E$12,'难度参数'!$E$39+10*'难度参数'!$E$10+ROUNDUP(C7*'难度参数'!$E$11,0))),0)</x:f>
        <x:v>290</x:v>
      </x:c>
      <x:c r="D112" s="62" t="n">
        <x:f>IF(1&lt;='难度参数'!$E$37,MAX(1,MIN('难度参数'!$E$12,'难度参数'!$E$39+1*'难度参数'!$E$10+ROUNDUP(D7*'难度参数'!$E$11,0))),0)+IF(2&lt;='难度参数'!$E$37,MAX(1,MIN('难度参数'!$E$12,'难度参数'!$E$39+2*'难度参数'!$E$10+ROUNDUP(D7*'难度参数'!$E$11,0))),0)+IF(3&lt;='难度参数'!$E$37,MAX(1,MIN('难度参数'!$E$12,'难度参数'!$E$39+3*'难度参数'!$E$10+ROUNDUP(D7*'难度参数'!$E$11,0))),0)+IF(4&lt;='难度参数'!$E$37,MAX(1,MIN('难度参数'!$E$12,'难度参数'!$E$39+4*'难度参数'!$E$10+ROUNDUP(D7*'难度参数'!$E$11,0))),0)+IF(5&lt;='难度参数'!$E$37,MAX(1,MIN('难度参数'!$E$12,'难度参数'!$E$39+5*'难度参数'!$E$10+ROUNDUP(D7*'难度参数'!$E$11,0))),0)+IF(6&lt;='难度参数'!$E$37,MAX(1,MIN('难度参数'!$E$12,'难度参数'!$E$39+6*'难度参数'!$E$10+ROUNDUP(D7*'难度参数'!$E$11,0))),0)+IF(7&lt;='难度参数'!$E$37,MAX(1,MIN('难度参数'!$E$12,'难度参数'!$E$39+7*'难度参数'!$E$10+ROUNDUP(D7*'难度参数'!$E$11,0))),0)+IF(8&lt;='难度参数'!$E$37,MAX(1,MIN('难度参数'!$E$12,'难度参数'!$E$39+8*'难度参数'!$E$10+ROUNDUP(D7*'难度参数'!$E$11,0))),0)+IF(9&lt;='难度参数'!$E$37,MAX(1,MIN('难度参数'!$E$12,'难度参数'!$E$39+9*'难度参数'!$E$10+ROUNDUP(D7*'难度参数'!$E$11,0))),0)+IF(10&lt;='难度参数'!$E$37,MAX(1,MIN('难度参数'!$E$12,'难度参数'!$E$39+10*'难度参数'!$E$10+ROUNDUP(D7*'难度参数'!$E$11,0))),0)</x:f>
        <x:v>400</x:v>
      </x:c>
      <x:c r="E112" s="62" t="n">
        <x:f>IF(1&lt;='难度参数'!$E$37,MAX(1,MIN('难度参数'!$E$12,'难度参数'!$E$39+1*'难度参数'!$E$10+ROUNDUP(E7*'难度参数'!$E$11,0))),0)+IF(2&lt;='难度参数'!$E$37,MAX(1,MIN('难度参数'!$E$12,'难度参数'!$E$39+2*'难度参数'!$E$10+ROUNDUP(E7*'难度参数'!$E$11,0))),0)+IF(3&lt;='难度参数'!$E$37,MAX(1,MIN('难度参数'!$E$12,'难度参数'!$E$39+3*'难度参数'!$E$10+ROUNDUP(E7*'难度参数'!$E$11,0))),0)+IF(4&lt;='难度参数'!$E$37,MAX(1,MIN('难度参数'!$E$12,'难度参数'!$E$39+4*'难度参数'!$E$10+ROUNDUP(E7*'难度参数'!$E$11,0))),0)+IF(5&lt;='难度参数'!$E$37,MAX(1,MIN('难度参数'!$E$12,'难度参数'!$E$39+5*'难度参数'!$E$10+ROUNDUP(E7*'难度参数'!$E$11,0))),0)+IF(6&lt;='难度参数'!$E$37,MAX(1,MIN('难度参数'!$E$12,'难度参数'!$E$39+6*'难度参数'!$E$10+ROUNDUP(E7*'难度参数'!$E$11,0))),0)+IF(7&lt;='难度参数'!$E$37,MAX(1,MIN('难度参数'!$E$12,'难度参数'!$E$39+7*'难度参数'!$E$10+ROUNDUP(E7*'难度参数'!$E$11,0))),0)+IF(8&lt;='难度参数'!$E$37,MAX(1,MIN('难度参数'!$E$12,'难度参数'!$E$39+8*'难度参数'!$E$10+ROUNDUP(E7*'难度参数'!$E$11,0))),0)+IF(9&lt;='难度参数'!$E$37,MAX(1,MIN('难度参数'!$E$12,'难度参数'!$E$39+9*'难度参数'!$E$10+ROUNDUP(E7*'难度参数'!$E$11,0))),0)+IF(10&lt;='难度参数'!$E$37,MAX(1,MIN('难度参数'!$E$12,'难度参数'!$E$39+10*'难度参数'!$E$10+ROUNDUP(E7*'难度参数'!$E$11,0))),0)</x:f>
        <x:v>530</x:v>
      </x:c>
      <x:c r="F112" s="62" t="n">
        <x:f>IF(1&lt;='难度参数'!$E$37,MAX(1,MIN('难度参数'!$E$12,'难度参数'!$E$39+1*'难度参数'!$E$10+ROUNDUP(F7*'难度参数'!$E$11,0))),0)+IF(2&lt;='难度参数'!$E$37,MAX(1,MIN('难度参数'!$E$12,'难度参数'!$E$39+2*'难度参数'!$E$10+ROUNDUP(F7*'难度参数'!$E$11,0))),0)+IF(3&lt;='难度参数'!$E$37,MAX(1,MIN('难度参数'!$E$12,'难度参数'!$E$39+3*'难度参数'!$E$10+ROUNDUP(F7*'难度参数'!$E$11,0))),0)+IF(4&lt;='难度参数'!$E$37,MAX(1,MIN('难度参数'!$E$12,'难度参数'!$E$39+4*'难度参数'!$E$10+ROUNDUP(F7*'难度参数'!$E$11,0))),0)+IF(5&lt;='难度参数'!$E$37,MAX(1,MIN('难度参数'!$E$12,'难度参数'!$E$39+5*'难度参数'!$E$10+ROUNDUP(F7*'难度参数'!$E$11,0))),0)+IF(6&lt;='难度参数'!$E$37,MAX(1,MIN('难度参数'!$E$12,'难度参数'!$E$39+6*'难度参数'!$E$10+ROUNDUP(F7*'难度参数'!$E$11,0))),0)+IF(7&lt;='难度参数'!$E$37,MAX(1,MIN('难度参数'!$E$12,'难度参数'!$E$39+7*'难度参数'!$E$10+ROUNDUP(F7*'难度参数'!$E$11,0))),0)+IF(8&lt;='难度参数'!$E$37,MAX(1,MIN('难度参数'!$E$12,'难度参数'!$E$39+8*'难度参数'!$E$10+ROUNDUP(F7*'难度参数'!$E$11,0))),0)+IF(9&lt;='难度参数'!$E$37,MAX(1,MIN('难度参数'!$E$12,'难度参数'!$E$39+9*'难度参数'!$E$10+ROUNDUP(F7*'难度参数'!$E$11,0))),0)+IF(10&lt;='难度参数'!$E$37,MAX(1,MIN('难度参数'!$E$12,'难度参数'!$E$39+10*'难度参数'!$E$10+ROUNDUP(F7*'难度参数'!$E$11,0))),0)</x:f>
        <x:v>650</x:v>
      </x:c>
      <x:c r="G112" s="62" t="n">
        <x:f>IF(1&lt;='难度参数'!$E$37,MAX(1,MIN('难度参数'!$E$12,'难度参数'!$E$39+1*'难度参数'!$E$10+ROUNDUP(G7*'难度参数'!$E$11,0))),0)+IF(2&lt;='难度参数'!$E$37,MAX(1,MIN('难度参数'!$E$12,'难度参数'!$E$39+2*'难度参数'!$E$10+ROUNDUP(G7*'难度参数'!$E$11,0))),0)+IF(3&lt;='难度参数'!$E$37,MAX(1,MIN('难度参数'!$E$12,'难度参数'!$E$39+3*'难度参数'!$E$10+ROUNDUP(G7*'难度参数'!$E$11,0))),0)+IF(4&lt;='难度参数'!$E$37,MAX(1,MIN('难度参数'!$E$12,'难度参数'!$E$39+4*'难度参数'!$E$10+ROUNDUP(G7*'难度参数'!$E$11,0))),0)+IF(5&lt;='难度参数'!$E$37,MAX(1,MIN('难度参数'!$E$12,'难度参数'!$E$39+5*'难度参数'!$E$10+ROUNDUP(G7*'难度参数'!$E$11,0))),0)+IF(6&lt;='难度参数'!$E$37,MAX(1,MIN('难度参数'!$E$12,'难度参数'!$E$39+6*'难度参数'!$E$10+ROUNDUP(G7*'难度参数'!$E$11,0))),0)+IF(7&lt;='难度参数'!$E$37,MAX(1,MIN('难度参数'!$E$12,'难度参数'!$E$39+7*'难度参数'!$E$10+ROUNDUP(G7*'难度参数'!$E$11,0))),0)+IF(8&lt;='难度参数'!$E$37,MAX(1,MIN('难度参数'!$E$12,'难度参数'!$E$39+8*'难度参数'!$E$10+ROUNDUP(G7*'难度参数'!$E$11,0))),0)+IF(9&lt;='难度参数'!$E$37,MAX(1,MIN('难度参数'!$E$12,'难度参数'!$E$39+9*'难度参数'!$E$10+ROUNDUP(G7*'难度参数'!$E$11,0))),0)+IF(10&lt;='难度参数'!$E$37,MAX(1,MIN('难度参数'!$E$12,'难度参数'!$E$39+10*'难度参数'!$E$10+ROUNDUP(G7*'难度参数'!$E$11,0))),0)</x:f>
        <x:v>760</x:v>
      </x:c>
      <x:c r="H112" s="62" t="n">
        <x:f>IF(1&lt;='难度参数'!$E$37,MAX(1,MIN('难度参数'!$E$12,'难度参数'!$E$39+1*'难度参数'!$E$10+ROUNDUP(H7*'难度参数'!$E$11,0))),0)+IF(2&lt;='难度参数'!$E$37,MAX(1,MIN('难度参数'!$E$12,'难度参数'!$E$39+2*'难度参数'!$E$10+ROUNDUP(H7*'难度参数'!$E$11,0))),0)+IF(3&lt;='难度参数'!$E$37,MAX(1,MIN('难度参数'!$E$12,'难度参数'!$E$39+3*'难度参数'!$E$10+ROUNDUP(H7*'难度参数'!$E$11,0))),0)+IF(4&lt;='难度参数'!$E$37,MAX(1,MIN('难度参数'!$E$12,'难度参数'!$E$39+4*'难度参数'!$E$10+ROUNDUP(H7*'难度参数'!$E$11,0))),0)+IF(5&lt;='难度参数'!$E$37,MAX(1,MIN('难度参数'!$E$12,'难度参数'!$E$39+5*'难度参数'!$E$10+ROUNDUP(H7*'难度参数'!$E$11,0))),0)+IF(6&lt;='难度参数'!$E$37,MAX(1,MIN('难度参数'!$E$12,'难度参数'!$E$39+6*'难度参数'!$E$10+ROUNDUP(H7*'难度参数'!$E$11,0))),0)+IF(7&lt;='难度参数'!$E$37,MAX(1,MIN('难度参数'!$E$12,'难度参数'!$E$39+7*'难度参数'!$E$10+ROUNDUP(H7*'难度参数'!$E$11,0))),0)+IF(8&lt;='难度参数'!$E$37,MAX(1,MIN('难度参数'!$E$12,'难度参数'!$E$39+8*'难度参数'!$E$10+ROUNDUP(H7*'难度参数'!$E$11,0))),0)+IF(9&lt;='难度参数'!$E$37,MAX(1,MIN('难度参数'!$E$12,'难度参数'!$E$39+9*'难度参数'!$E$10+ROUNDUP(H7*'难度参数'!$E$11,0))),0)+IF(10&lt;='难度参数'!$E$37,MAX(1,MIN('难度参数'!$E$12,'难度参数'!$E$39+10*'难度参数'!$E$10+ROUNDUP(H7*'难度参数'!$E$11,0))),0)</x:f>
        <x:v>890</x:v>
      </x:c>
      <x:c r="I112" s="62" t="n">
        <x:f>IF(1&lt;='难度参数'!$E$37,MAX(1,MIN('难度参数'!$E$12,'难度参数'!$E$39+1*'难度参数'!$E$10+ROUNDUP(I7*'难度参数'!$E$11,0))),0)+IF(2&lt;='难度参数'!$E$37,MAX(1,MIN('难度参数'!$E$12,'难度参数'!$E$39+2*'难度参数'!$E$10+ROUNDUP(I7*'难度参数'!$E$11,0))),0)+IF(3&lt;='难度参数'!$E$37,MAX(1,MIN('难度参数'!$E$12,'难度参数'!$E$39+3*'难度参数'!$E$10+ROUNDUP(I7*'难度参数'!$E$11,0))),0)+IF(4&lt;='难度参数'!$E$37,MAX(1,MIN('难度参数'!$E$12,'难度参数'!$E$39+4*'难度参数'!$E$10+ROUNDUP(I7*'难度参数'!$E$11,0))),0)+IF(5&lt;='难度参数'!$E$37,MAX(1,MIN('难度参数'!$E$12,'难度参数'!$E$39+5*'难度参数'!$E$10+ROUNDUP(I7*'难度参数'!$E$11,0))),0)+IF(6&lt;='难度参数'!$E$37,MAX(1,MIN('难度参数'!$E$12,'难度参数'!$E$39+6*'难度参数'!$E$10+ROUNDUP(I7*'难度参数'!$E$11,0))),0)+IF(7&lt;='难度参数'!$E$37,MAX(1,MIN('难度参数'!$E$12,'难度参数'!$E$39+7*'难度参数'!$E$10+ROUNDUP(I7*'难度参数'!$E$11,0))),0)+IF(8&lt;='难度参数'!$E$37,MAX(1,MIN('难度参数'!$E$12,'难度参数'!$E$39+8*'难度参数'!$E$10+ROUNDUP(I7*'难度参数'!$E$11,0))),0)+IF(9&lt;='难度参数'!$E$37,MAX(1,MIN('难度参数'!$E$12,'难度参数'!$E$39+9*'难度参数'!$E$10+ROUNDUP(I7*'难度参数'!$E$11,0))),0)+IF(10&lt;='难度参数'!$E$37,MAX(1,MIN('难度参数'!$E$12,'难度参数'!$E$39+10*'难度参数'!$E$10+ROUNDUP(I7*'难度参数'!$E$11,0))),0)</x:f>
        <x:v>1000</x:v>
      </x:c>
      <x:c r="J112" s="62" t="n">
        <x:f>IF(1&lt;='难度参数'!$E$37,MAX(1,MIN('难度参数'!$E$12,'难度参数'!$E$39+1*'难度参数'!$E$10+ROUNDUP(J7*'难度参数'!$E$11,0))),0)+IF(2&lt;='难度参数'!$E$37,MAX(1,MIN('难度参数'!$E$12,'难度参数'!$E$39+2*'难度参数'!$E$10+ROUNDUP(J7*'难度参数'!$E$11,0))),0)+IF(3&lt;='难度参数'!$E$37,MAX(1,MIN('难度参数'!$E$12,'难度参数'!$E$39+3*'难度参数'!$E$10+ROUNDUP(J7*'难度参数'!$E$11,0))),0)+IF(4&lt;='难度参数'!$E$37,MAX(1,MIN('难度参数'!$E$12,'难度参数'!$E$39+4*'难度参数'!$E$10+ROUNDUP(J7*'难度参数'!$E$11,0))),0)+IF(5&lt;='难度参数'!$E$37,MAX(1,MIN('难度参数'!$E$12,'难度参数'!$E$39+5*'难度参数'!$E$10+ROUNDUP(J7*'难度参数'!$E$11,0))),0)+IF(6&lt;='难度参数'!$E$37,MAX(1,MIN('难度参数'!$E$12,'难度参数'!$E$39+6*'难度参数'!$E$10+ROUNDUP(J7*'难度参数'!$E$11,0))),0)+IF(7&lt;='难度参数'!$E$37,MAX(1,MIN('难度参数'!$E$12,'难度参数'!$E$39+7*'难度参数'!$E$10+ROUNDUP(J7*'难度参数'!$E$11,0))),0)+IF(8&lt;='难度参数'!$E$37,MAX(1,MIN('难度参数'!$E$12,'难度参数'!$E$39+8*'难度参数'!$E$10+ROUNDUP(J7*'难度参数'!$E$11,0))),0)+IF(9&lt;='难度参数'!$E$37,MAX(1,MIN('难度参数'!$E$12,'难度参数'!$E$39+9*'难度参数'!$E$10+ROUNDUP(J7*'难度参数'!$E$11,0))),0)+IF(10&lt;='难度参数'!$E$37,MAX(1,MIN('难度参数'!$E$12,'难度参数'!$E$39+10*'难度参数'!$E$10+ROUNDUP(J7*'难度参数'!$E$11,0))),0)</x:f>
        <x:v>1130</x:v>
      </x:c>
      <x:c r="K112" s="62" t="n">
        <x:f>IF(1&lt;='难度参数'!$E$37,MAX(1,MIN('难度参数'!$E$12,'难度参数'!$E$39+1*'难度参数'!$E$10+ROUNDUP(K7*'难度参数'!$E$11,0))),0)+IF(2&lt;='难度参数'!$E$37,MAX(1,MIN('难度参数'!$E$12,'难度参数'!$E$39+2*'难度参数'!$E$10+ROUNDUP(K7*'难度参数'!$E$11,0))),0)+IF(3&lt;='难度参数'!$E$37,MAX(1,MIN('难度参数'!$E$12,'难度参数'!$E$39+3*'难度参数'!$E$10+ROUNDUP(K7*'难度参数'!$E$11,0))),0)+IF(4&lt;='难度参数'!$E$37,MAX(1,MIN('难度参数'!$E$12,'难度参数'!$E$39+4*'难度参数'!$E$10+ROUNDUP(K7*'难度参数'!$E$11,0))),0)+IF(5&lt;='难度参数'!$E$37,MAX(1,MIN('难度参数'!$E$12,'难度参数'!$E$39+5*'难度参数'!$E$10+ROUNDUP(K7*'难度参数'!$E$11,0))),0)+IF(6&lt;='难度参数'!$E$37,MAX(1,MIN('难度参数'!$E$12,'难度参数'!$E$39+6*'难度参数'!$E$10+ROUNDUP(K7*'难度参数'!$E$11,0))),0)+IF(7&lt;='难度参数'!$E$37,MAX(1,MIN('难度参数'!$E$12,'难度参数'!$E$39+7*'难度参数'!$E$10+ROUNDUP(K7*'难度参数'!$E$11,0))),0)+IF(8&lt;='难度参数'!$E$37,MAX(1,MIN('难度参数'!$E$12,'难度参数'!$E$39+8*'难度参数'!$E$10+ROUNDUP(K7*'难度参数'!$E$11,0))),0)+IF(9&lt;='难度参数'!$E$37,MAX(1,MIN('难度参数'!$E$12,'难度参数'!$E$39+9*'难度参数'!$E$10+ROUNDUP(K7*'难度参数'!$E$11,0))),0)+IF(10&lt;='难度参数'!$E$37,MAX(1,MIN('难度参数'!$E$12,'难度参数'!$E$39+10*'难度参数'!$E$10+ROUNDUP(K7*'难度参数'!$E$11,0))),0)</x:f>
        <x:v>1240</x:v>
      </x:c>
      <x:c r="L112" s="62" t="n">
        <x:f>IF(1&lt;='难度参数'!$E$37,MAX(1,MIN('难度参数'!$E$12,'难度参数'!$E$39+1*'难度参数'!$E$10+ROUNDUP(L7*'难度参数'!$E$11,0))),0)+IF(2&lt;='难度参数'!$E$37,MAX(1,MIN('难度参数'!$E$12,'难度参数'!$E$39+2*'难度参数'!$E$10+ROUNDUP(L7*'难度参数'!$E$11,0))),0)+IF(3&lt;='难度参数'!$E$37,MAX(1,MIN('难度参数'!$E$12,'难度参数'!$E$39+3*'难度参数'!$E$10+ROUNDUP(L7*'难度参数'!$E$11,0))),0)+IF(4&lt;='难度参数'!$E$37,MAX(1,MIN('难度参数'!$E$12,'难度参数'!$E$39+4*'难度参数'!$E$10+ROUNDUP(L7*'难度参数'!$E$11,0))),0)+IF(5&lt;='难度参数'!$E$37,MAX(1,MIN('难度参数'!$E$12,'难度参数'!$E$39+5*'难度参数'!$E$10+ROUNDUP(L7*'难度参数'!$E$11,0))),0)+IF(6&lt;='难度参数'!$E$37,MAX(1,MIN('难度参数'!$E$12,'难度参数'!$E$39+6*'难度参数'!$E$10+ROUNDUP(L7*'难度参数'!$E$11,0))),0)+IF(7&lt;='难度参数'!$E$37,MAX(1,MIN('难度参数'!$E$12,'难度参数'!$E$39+7*'难度参数'!$E$10+ROUNDUP(L7*'难度参数'!$E$11,0))),0)+IF(8&lt;='难度参数'!$E$37,MAX(1,MIN('难度参数'!$E$12,'难度参数'!$E$39+8*'难度参数'!$E$10+ROUNDUP(L7*'难度参数'!$E$11,0))),0)+IF(9&lt;='难度参数'!$E$37,MAX(1,MIN('难度参数'!$E$12,'难度参数'!$E$39+9*'难度参数'!$E$10+ROUNDUP(L7*'难度参数'!$E$11,0))),0)+IF(10&lt;='难度参数'!$E$37,MAX(1,MIN('难度参数'!$E$12,'难度参数'!$E$39+10*'难度参数'!$E$10+ROUNDUP(L7*'难度参数'!$E$11,0))),0)</x:f>
        <x:v>1360</x:v>
      </x:c>
      <x:c r="M112" s="62" t="n">
        <x:f>IF(1&lt;='难度参数'!$E$37,MAX(1,MIN('难度参数'!$E$12,'难度参数'!$E$39+1*'难度参数'!$E$10+ROUNDUP(M7*'难度参数'!$E$11,0))),0)+IF(2&lt;='难度参数'!$E$37,MAX(1,MIN('难度参数'!$E$12,'难度参数'!$E$39+2*'难度参数'!$E$10+ROUNDUP(M7*'难度参数'!$E$11,0))),0)+IF(3&lt;='难度参数'!$E$37,MAX(1,MIN('难度参数'!$E$12,'难度参数'!$E$39+3*'难度参数'!$E$10+ROUNDUP(M7*'难度参数'!$E$11,0))),0)+IF(4&lt;='难度参数'!$E$37,MAX(1,MIN('难度参数'!$E$12,'难度参数'!$E$39+4*'难度参数'!$E$10+ROUNDUP(M7*'难度参数'!$E$11,0))),0)+IF(5&lt;='难度参数'!$E$37,MAX(1,MIN('难度参数'!$E$12,'难度参数'!$E$39+5*'难度参数'!$E$10+ROUNDUP(M7*'难度参数'!$E$11,0))),0)+IF(6&lt;='难度参数'!$E$37,MAX(1,MIN('难度参数'!$E$12,'难度参数'!$E$39+6*'难度参数'!$E$10+ROUNDUP(M7*'难度参数'!$E$11,0))),0)+IF(7&lt;='难度参数'!$E$37,MAX(1,MIN('难度参数'!$E$12,'难度参数'!$E$39+7*'难度参数'!$E$10+ROUNDUP(M7*'难度参数'!$E$11,0))),0)+IF(8&lt;='难度参数'!$E$37,MAX(1,MIN('难度参数'!$E$12,'难度参数'!$E$39+8*'难度参数'!$E$10+ROUNDUP(M7*'难度参数'!$E$11,0))),0)+IF(9&lt;='难度参数'!$E$37,MAX(1,MIN('难度参数'!$E$12,'难度参数'!$E$39+9*'难度参数'!$E$10+ROUNDUP(M7*'难度参数'!$E$11,0))),0)+IF(10&lt;='难度参数'!$E$37,MAX(1,MIN('难度参数'!$E$12,'难度参数'!$E$39+10*'难度参数'!$E$10+ROUNDUP(M7*'难度参数'!$E$11,0))),0)</x:f>
        <x:v>1460</x:v>
      </x:c>
      <x:c r="N112" s="62" t="n">
        <x:f>IF(1&lt;='难度参数'!$E$37,MAX(1,MIN('难度参数'!$E$12,'难度参数'!$E$39+1*'难度参数'!$E$10+ROUNDUP(N7*'难度参数'!$E$11,0))),0)+IF(2&lt;='难度参数'!$E$37,MAX(1,MIN('难度参数'!$E$12,'难度参数'!$E$39+2*'难度参数'!$E$10+ROUNDUP(N7*'难度参数'!$E$11,0))),0)+IF(3&lt;='难度参数'!$E$37,MAX(1,MIN('难度参数'!$E$12,'难度参数'!$E$39+3*'难度参数'!$E$10+ROUNDUP(N7*'难度参数'!$E$11,0))),0)+IF(4&lt;='难度参数'!$E$37,MAX(1,MIN('难度参数'!$E$12,'难度参数'!$E$39+4*'难度参数'!$E$10+ROUNDUP(N7*'难度参数'!$E$11,0))),0)+IF(5&lt;='难度参数'!$E$37,MAX(1,MIN('难度参数'!$E$12,'难度参数'!$E$39+5*'难度参数'!$E$10+ROUNDUP(N7*'难度参数'!$E$11,0))),0)+IF(6&lt;='难度参数'!$E$37,MAX(1,MIN('难度参数'!$E$12,'难度参数'!$E$39+6*'难度参数'!$E$10+ROUNDUP(N7*'难度参数'!$E$11,0))),0)+IF(7&lt;='难度参数'!$E$37,MAX(1,MIN('难度参数'!$E$12,'难度参数'!$E$39+7*'难度参数'!$E$10+ROUNDUP(N7*'难度参数'!$E$11,0))),0)+IF(8&lt;='难度参数'!$E$37,MAX(1,MIN('难度参数'!$E$12,'难度参数'!$E$39+8*'难度参数'!$E$10+ROUNDUP(N7*'难度参数'!$E$11,0))),0)+IF(9&lt;='难度参数'!$E$37,MAX(1,MIN('难度参数'!$E$12,'难度参数'!$E$39+9*'难度参数'!$E$10+ROUNDUP(N7*'难度参数'!$E$11,0))),0)+IF(10&lt;='难度参数'!$E$37,MAX(1,MIN('难度参数'!$E$12,'难度参数'!$E$39+10*'难度参数'!$E$10+ROUNDUP(N7*'难度参数'!$E$11,0))),0)</x:f>
        <x:v>1580</x:v>
      </x:c>
      <x:c r="O112" s="62" t="n">
        <x:f>IF(1&lt;='难度参数'!$E$37,MAX(1,MIN('难度参数'!$E$12,'难度参数'!$E$39+1*'难度参数'!$E$10+ROUNDUP(O7*'难度参数'!$E$11,0))),0)+IF(2&lt;='难度参数'!$E$37,MAX(1,MIN('难度参数'!$E$12,'难度参数'!$E$39+2*'难度参数'!$E$10+ROUNDUP(O7*'难度参数'!$E$11,0))),0)+IF(3&lt;='难度参数'!$E$37,MAX(1,MIN('难度参数'!$E$12,'难度参数'!$E$39+3*'难度参数'!$E$10+ROUNDUP(O7*'难度参数'!$E$11,0))),0)+IF(4&lt;='难度参数'!$E$37,MAX(1,MIN('难度参数'!$E$12,'难度参数'!$E$39+4*'难度参数'!$E$10+ROUNDUP(O7*'难度参数'!$E$11,0))),0)+IF(5&lt;='难度参数'!$E$37,MAX(1,MIN('难度参数'!$E$12,'难度参数'!$E$39+5*'难度参数'!$E$10+ROUNDUP(O7*'难度参数'!$E$11,0))),0)+IF(6&lt;='难度参数'!$E$37,MAX(1,MIN('难度参数'!$E$12,'难度参数'!$E$39+6*'难度参数'!$E$10+ROUNDUP(O7*'难度参数'!$E$11,0))),0)+IF(7&lt;='难度参数'!$E$37,MAX(1,MIN('难度参数'!$E$12,'难度参数'!$E$39+7*'难度参数'!$E$10+ROUNDUP(O7*'难度参数'!$E$11,0))),0)+IF(8&lt;='难度参数'!$E$37,MAX(1,MIN('难度参数'!$E$12,'难度参数'!$E$39+8*'难度参数'!$E$10+ROUNDUP(O7*'难度参数'!$E$11,0))),0)+IF(9&lt;='难度参数'!$E$37,MAX(1,MIN('难度参数'!$E$12,'难度参数'!$E$39+9*'难度参数'!$E$10+ROUNDUP(O7*'难度参数'!$E$11,0))),0)+IF(10&lt;='难度参数'!$E$37,MAX(1,MIN('难度参数'!$E$12,'难度参数'!$E$39+10*'难度参数'!$E$10+ROUNDUP(O7*'难度参数'!$E$11,0))),0)</x:f>
        <x:v>1680</x:v>
      </x:c>
      <x:c r="P112" s="62" t="n">
        <x:f>IF(1&lt;='难度参数'!$E$37,MAX(1,MIN('难度参数'!$E$12,'难度参数'!$E$39+1*'难度参数'!$E$10+ROUNDUP(P7*'难度参数'!$E$11,0))),0)+IF(2&lt;='难度参数'!$E$37,MAX(1,MIN('难度参数'!$E$12,'难度参数'!$E$39+2*'难度参数'!$E$10+ROUNDUP(P7*'难度参数'!$E$11,0))),0)+IF(3&lt;='难度参数'!$E$37,MAX(1,MIN('难度参数'!$E$12,'难度参数'!$E$39+3*'难度参数'!$E$10+ROUNDUP(P7*'难度参数'!$E$11,0))),0)+IF(4&lt;='难度参数'!$E$37,MAX(1,MIN('难度参数'!$E$12,'难度参数'!$E$39+4*'难度参数'!$E$10+ROUNDUP(P7*'难度参数'!$E$11,0))),0)+IF(5&lt;='难度参数'!$E$37,MAX(1,MIN('难度参数'!$E$12,'难度参数'!$E$39+5*'难度参数'!$E$10+ROUNDUP(P7*'难度参数'!$E$11,0))),0)+IF(6&lt;='难度参数'!$E$37,MAX(1,MIN('难度参数'!$E$12,'难度参数'!$E$39+6*'难度参数'!$E$10+ROUNDUP(P7*'难度参数'!$E$11,0))),0)+IF(7&lt;='难度参数'!$E$37,MAX(1,MIN('难度参数'!$E$12,'难度参数'!$E$39+7*'难度参数'!$E$10+ROUNDUP(P7*'难度参数'!$E$11,0))),0)+IF(8&lt;='难度参数'!$E$37,MAX(1,MIN('难度参数'!$E$12,'难度参数'!$E$39+8*'难度参数'!$E$10+ROUNDUP(P7*'难度参数'!$E$11,0))),0)+IF(9&lt;='难度参数'!$E$37,MAX(1,MIN('难度参数'!$E$12,'难度参数'!$E$39+9*'难度参数'!$E$10+ROUNDUP(P7*'难度参数'!$E$11,0))),0)+IF(10&lt;='难度参数'!$E$37,MAX(1,MIN('难度参数'!$E$12,'难度参数'!$E$39+10*'难度参数'!$E$10+ROUNDUP(P7*'难度参数'!$E$11,0))),0)</x:f>
        <x:v>1770</x:v>
      </x:c>
      <x:c r="Q112" s="62" t="n">
        <x:f>IF(1&lt;='难度参数'!$E$37,MAX(1,MIN('难度参数'!$E$12,'难度参数'!$E$39+1*'难度参数'!$E$10+ROUNDUP(Q7*'难度参数'!$E$11,0))),0)+IF(2&lt;='难度参数'!$E$37,MAX(1,MIN('难度参数'!$E$12,'难度参数'!$E$39+2*'难度参数'!$E$10+ROUNDUP(Q7*'难度参数'!$E$11,0))),0)+IF(3&lt;='难度参数'!$E$37,MAX(1,MIN('难度参数'!$E$12,'难度参数'!$E$39+3*'难度参数'!$E$10+ROUNDUP(Q7*'难度参数'!$E$11,0))),0)+IF(4&lt;='难度参数'!$E$37,MAX(1,MIN('难度参数'!$E$12,'难度参数'!$E$39+4*'难度参数'!$E$10+ROUNDUP(Q7*'难度参数'!$E$11,0))),0)+IF(5&lt;='难度参数'!$E$37,MAX(1,MIN('难度参数'!$E$12,'难度参数'!$E$39+5*'难度参数'!$E$10+ROUNDUP(Q7*'难度参数'!$E$11,0))),0)+IF(6&lt;='难度参数'!$E$37,MAX(1,MIN('难度参数'!$E$12,'难度参数'!$E$39+6*'难度参数'!$E$10+ROUNDUP(Q7*'难度参数'!$E$11,0))),0)+IF(7&lt;='难度参数'!$E$37,MAX(1,MIN('难度参数'!$E$12,'难度参数'!$E$39+7*'难度参数'!$E$10+ROUNDUP(Q7*'难度参数'!$E$11,0))),0)+IF(8&lt;='难度参数'!$E$37,MAX(1,MIN('难度参数'!$E$12,'难度参数'!$E$39+8*'难度参数'!$E$10+ROUNDUP(Q7*'难度参数'!$E$11,0))),0)+IF(9&lt;='难度参数'!$E$37,MAX(1,MIN('难度参数'!$E$12,'难度参数'!$E$39+9*'难度参数'!$E$10+ROUNDUP(Q7*'难度参数'!$E$11,0))),0)+IF(10&lt;='难度参数'!$E$37,MAX(1,MIN('难度参数'!$E$12,'难度参数'!$E$39+10*'难度参数'!$E$10+ROUNDUP(Q7*'难度参数'!$E$11,0))),0)</x:f>
        <x:v>1870</x:v>
      </x:c>
      <x:c r="R112" s="62" t="n">
        <x:f>IF(1&lt;='难度参数'!$E$37,MAX(1,MIN('难度参数'!$E$12,'难度参数'!$E$39+1*'难度参数'!$E$10+ROUNDUP(R7*'难度参数'!$E$11,0))),0)+IF(2&lt;='难度参数'!$E$37,MAX(1,MIN('难度参数'!$E$12,'难度参数'!$E$39+2*'难度参数'!$E$10+ROUNDUP(R7*'难度参数'!$E$11,0))),0)+IF(3&lt;='难度参数'!$E$37,MAX(1,MIN('难度参数'!$E$12,'难度参数'!$E$39+3*'难度参数'!$E$10+ROUNDUP(R7*'难度参数'!$E$11,0))),0)+IF(4&lt;='难度参数'!$E$37,MAX(1,MIN('难度参数'!$E$12,'难度参数'!$E$39+4*'难度参数'!$E$10+ROUNDUP(R7*'难度参数'!$E$11,0))),0)+IF(5&lt;='难度参数'!$E$37,MAX(1,MIN('难度参数'!$E$12,'难度参数'!$E$39+5*'难度参数'!$E$10+ROUNDUP(R7*'难度参数'!$E$11,0))),0)+IF(6&lt;='难度参数'!$E$37,MAX(1,MIN('难度参数'!$E$12,'难度参数'!$E$39+6*'难度参数'!$E$10+ROUNDUP(R7*'难度参数'!$E$11,0))),0)+IF(7&lt;='难度参数'!$E$37,MAX(1,MIN('难度参数'!$E$12,'难度参数'!$E$39+7*'难度参数'!$E$10+ROUNDUP(R7*'难度参数'!$E$11,0))),0)+IF(8&lt;='难度参数'!$E$37,MAX(1,MIN('难度参数'!$E$12,'难度参数'!$E$39+8*'难度参数'!$E$10+ROUNDUP(R7*'难度参数'!$E$11,0))),0)+IF(9&lt;='难度参数'!$E$37,MAX(1,MIN('难度参数'!$E$12,'难度参数'!$E$39+9*'难度参数'!$E$10+ROUNDUP(R7*'难度参数'!$E$11,0))),0)+IF(10&lt;='难度参数'!$E$37,MAX(1,MIN('难度参数'!$E$12,'难度参数'!$E$39+10*'难度参数'!$E$10+ROUNDUP(R7*'难度参数'!$E$11,0))),0)</x:f>
        <x:v>1960</x:v>
      </x:c>
      <x:c r="S112" s="62" t="n">
        <x:f>IF(1&lt;='难度参数'!$E$37,MAX(1,MIN('难度参数'!$E$12,'难度参数'!$E$39+1*'难度参数'!$E$10+ROUNDUP(S7*'难度参数'!$E$11,0))),0)+IF(2&lt;='难度参数'!$E$37,MAX(1,MIN('难度参数'!$E$12,'难度参数'!$E$39+2*'难度参数'!$E$10+ROUNDUP(S7*'难度参数'!$E$11,0))),0)+IF(3&lt;='难度参数'!$E$37,MAX(1,MIN('难度参数'!$E$12,'难度参数'!$E$39+3*'难度参数'!$E$10+ROUNDUP(S7*'难度参数'!$E$11,0))),0)+IF(4&lt;='难度参数'!$E$37,MAX(1,MIN('难度参数'!$E$12,'难度参数'!$E$39+4*'难度参数'!$E$10+ROUNDUP(S7*'难度参数'!$E$11,0))),0)+IF(5&lt;='难度参数'!$E$37,MAX(1,MIN('难度参数'!$E$12,'难度参数'!$E$39+5*'难度参数'!$E$10+ROUNDUP(S7*'难度参数'!$E$11,0))),0)+IF(6&lt;='难度参数'!$E$37,MAX(1,MIN('难度参数'!$E$12,'难度参数'!$E$39+6*'难度参数'!$E$10+ROUNDUP(S7*'难度参数'!$E$11,0))),0)+IF(7&lt;='难度参数'!$E$37,MAX(1,MIN('难度参数'!$E$12,'难度参数'!$E$39+7*'难度参数'!$E$10+ROUNDUP(S7*'难度参数'!$E$11,0))),0)+IF(8&lt;='难度参数'!$E$37,MAX(1,MIN('难度参数'!$E$12,'难度参数'!$E$39+8*'难度参数'!$E$10+ROUNDUP(S7*'难度参数'!$E$11,0))),0)+IF(9&lt;='难度参数'!$E$37,MAX(1,MIN('难度参数'!$E$12,'难度参数'!$E$39+9*'难度参数'!$E$10+ROUNDUP(S7*'难度参数'!$E$11,0))),0)+IF(10&lt;='难度参数'!$E$37,MAX(1,MIN('难度参数'!$E$12,'难度参数'!$E$39+10*'难度参数'!$E$10+ROUNDUP(S7*'难度参数'!$E$11,0))),0)</x:f>
        <x:v>2050</x:v>
      </x:c>
      <x:c r="T112" s="62" t="n">
        <x:f>IF(1&lt;='难度参数'!$E$37,MAX(1,MIN('难度参数'!$E$12,'难度参数'!$E$39+1*'难度参数'!$E$10+ROUNDUP(T7*'难度参数'!$E$11,0))),0)+IF(2&lt;='难度参数'!$E$37,MAX(1,MIN('难度参数'!$E$12,'难度参数'!$E$39+2*'难度参数'!$E$10+ROUNDUP(T7*'难度参数'!$E$11,0))),0)+IF(3&lt;='难度参数'!$E$37,MAX(1,MIN('难度参数'!$E$12,'难度参数'!$E$39+3*'难度参数'!$E$10+ROUNDUP(T7*'难度参数'!$E$11,0))),0)+IF(4&lt;='难度参数'!$E$37,MAX(1,MIN('难度参数'!$E$12,'难度参数'!$E$39+4*'难度参数'!$E$10+ROUNDUP(T7*'难度参数'!$E$11,0))),0)+IF(5&lt;='难度参数'!$E$37,MAX(1,MIN('难度参数'!$E$12,'难度参数'!$E$39+5*'难度参数'!$E$10+ROUNDUP(T7*'难度参数'!$E$11,0))),0)+IF(6&lt;='难度参数'!$E$37,MAX(1,MIN('难度参数'!$E$12,'难度参数'!$E$39+6*'难度参数'!$E$10+ROUNDUP(T7*'难度参数'!$E$11,0))),0)+IF(7&lt;='难度参数'!$E$37,MAX(1,MIN('难度参数'!$E$12,'难度参数'!$E$39+7*'难度参数'!$E$10+ROUNDUP(T7*'难度参数'!$E$11,0))),0)+IF(8&lt;='难度参数'!$E$37,MAX(1,MIN('难度参数'!$E$12,'难度参数'!$E$39+8*'难度参数'!$E$10+ROUNDUP(T7*'难度参数'!$E$11,0))),0)+IF(9&lt;='难度参数'!$E$37,MAX(1,MIN('难度参数'!$E$12,'难度参数'!$E$39+9*'难度参数'!$E$10+ROUNDUP(T7*'难度参数'!$E$11,0))),0)+IF(10&lt;='难度参数'!$E$37,MAX(1,MIN('难度参数'!$E$12,'难度参数'!$E$39+10*'难度参数'!$E$10+ROUNDUP(T7*'难度参数'!$E$11,0))),0)</x:f>
        <x:v>2130</x:v>
      </x:c>
      <x:c r="U112" s="62" t="n">
        <x:f>IF(1&lt;='难度参数'!$E$37,MAX(1,MIN('难度参数'!$E$12,'难度参数'!$E$39+1*'难度参数'!$E$10+ROUNDUP(U7*'难度参数'!$E$11,0))),0)+IF(2&lt;='难度参数'!$E$37,MAX(1,MIN('难度参数'!$E$12,'难度参数'!$E$39+2*'难度参数'!$E$10+ROUNDUP(U7*'难度参数'!$E$11,0))),0)+IF(3&lt;='难度参数'!$E$37,MAX(1,MIN('难度参数'!$E$12,'难度参数'!$E$39+3*'难度参数'!$E$10+ROUNDUP(U7*'难度参数'!$E$11,0))),0)+IF(4&lt;='难度参数'!$E$37,MAX(1,MIN('难度参数'!$E$12,'难度参数'!$E$39+4*'难度参数'!$E$10+ROUNDUP(U7*'难度参数'!$E$11,0))),0)+IF(5&lt;='难度参数'!$E$37,MAX(1,MIN('难度参数'!$E$12,'难度参数'!$E$39+5*'难度参数'!$E$10+ROUNDUP(U7*'难度参数'!$E$11,0))),0)+IF(6&lt;='难度参数'!$E$37,MAX(1,MIN('难度参数'!$E$12,'难度参数'!$E$39+6*'难度参数'!$E$10+ROUNDUP(U7*'难度参数'!$E$11,0))),0)+IF(7&lt;='难度参数'!$E$37,MAX(1,MIN('难度参数'!$E$12,'难度参数'!$E$39+7*'难度参数'!$E$10+ROUNDUP(U7*'难度参数'!$E$11,0))),0)+IF(8&lt;='难度参数'!$E$37,MAX(1,MIN('难度参数'!$E$12,'难度参数'!$E$39+8*'难度参数'!$E$10+ROUNDUP(U7*'难度参数'!$E$11,0))),0)+IF(9&lt;='难度参数'!$E$37,MAX(1,MIN('难度参数'!$E$12,'难度参数'!$E$39+9*'难度参数'!$E$10+ROUNDUP(U7*'难度参数'!$E$11,0))),0)+IF(10&lt;='难度参数'!$E$37,MAX(1,MIN('难度参数'!$E$12,'难度参数'!$E$39+10*'难度参数'!$E$10+ROUNDUP(U7*'难度参数'!$E$11,0))),0)</x:f>
        <x:v>2210</x:v>
      </x:c>
      <x:c r="V112" s="62" t="n">
        <x:f>IF(1&lt;='难度参数'!$E$37,MAX(1,MIN('难度参数'!$E$12,'难度参数'!$E$39+1*'难度参数'!$E$10+ROUNDUP(V7*'难度参数'!$E$11,0))),0)+IF(2&lt;='难度参数'!$E$37,MAX(1,MIN('难度参数'!$E$12,'难度参数'!$E$39+2*'难度参数'!$E$10+ROUNDUP(V7*'难度参数'!$E$11,0))),0)+IF(3&lt;='难度参数'!$E$37,MAX(1,MIN('难度参数'!$E$12,'难度参数'!$E$39+3*'难度参数'!$E$10+ROUNDUP(V7*'难度参数'!$E$11,0))),0)+IF(4&lt;='难度参数'!$E$37,MAX(1,MIN('难度参数'!$E$12,'难度参数'!$E$39+4*'难度参数'!$E$10+ROUNDUP(V7*'难度参数'!$E$11,0))),0)+IF(5&lt;='难度参数'!$E$37,MAX(1,MIN('难度参数'!$E$12,'难度参数'!$E$39+5*'难度参数'!$E$10+ROUNDUP(V7*'难度参数'!$E$11,0))),0)+IF(6&lt;='难度参数'!$E$37,MAX(1,MIN('难度参数'!$E$12,'难度参数'!$E$39+6*'难度参数'!$E$10+ROUNDUP(V7*'难度参数'!$E$11,0))),0)+IF(7&lt;='难度参数'!$E$37,MAX(1,MIN('难度参数'!$E$12,'难度参数'!$E$39+7*'难度参数'!$E$10+ROUNDUP(V7*'难度参数'!$E$11,0))),0)+IF(8&lt;='难度参数'!$E$37,MAX(1,MIN('难度参数'!$E$12,'难度参数'!$E$39+8*'难度参数'!$E$10+ROUNDUP(V7*'难度参数'!$E$11,0))),0)+IF(9&lt;='难度参数'!$E$37,MAX(1,MIN('难度参数'!$E$12,'难度参数'!$E$39+9*'难度参数'!$E$10+ROUNDUP(V7*'难度参数'!$E$11,0))),0)+IF(10&lt;='难度参数'!$E$37,MAX(1,MIN('难度参数'!$E$12,'难度参数'!$E$39+10*'难度参数'!$E$10+ROUNDUP(V7*'难度参数'!$E$11,0))),0)</x:f>
        <x:v>2290</x:v>
      </x:c>
      <x:c r="W112" s="62" t="n">
        <x:f>IF(1&lt;='难度参数'!$E$37,MAX(1,MIN('难度参数'!$E$12,'难度参数'!$E$39+1*'难度参数'!$E$10+ROUNDUP(W7*'难度参数'!$E$11,0))),0)+IF(2&lt;='难度参数'!$E$37,MAX(1,MIN('难度参数'!$E$12,'难度参数'!$E$39+2*'难度参数'!$E$10+ROUNDUP(W7*'难度参数'!$E$11,0))),0)+IF(3&lt;='难度参数'!$E$37,MAX(1,MIN('难度参数'!$E$12,'难度参数'!$E$39+3*'难度参数'!$E$10+ROUNDUP(W7*'难度参数'!$E$11,0))),0)+IF(4&lt;='难度参数'!$E$37,MAX(1,MIN('难度参数'!$E$12,'难度参数'!$E$39+4*'难度参数'!$E$10+ROUNDUP(W7*'难度参数'!$E$11,0))),0)+IF(5&lt;='难度参数'!$E$37,MAX(1,MIN('难度参数'!$E$12,'难度参数'!$E$39+5*'难度参数'!$E$10+ROUNDUP(W7*'难度参数'!$E$11,0))),0)+IF(6&lt;='难度参数'!$E$37,MAX(1,MIN('难度参数'!$E$12,'难度参数'!$E$39+6*'难度参数'!$E$10+ROUNDUP(W7*'难度参数'!$E$11,0))),0)+IF(7&lt;='难度参数'!$E$37,MAX(1,MIN('难度参数'!$E$12,'难度参数'!$E$39+7*'难度参数'!$E$10+ROUNDUP(W7*'难度参数'!$E$11,0))),0)+IF(8&lt;='难度参数'!$E$37,MAX(1,MIN('难度参数'!$E$12,'难度参数'!$E$39+8*'难度参数'!$E$10+ROUNDUP(W7*'难度参数'!$E$11,0))),0)+IF(9&lt;='难度参数'!$E$37,MAX(1,MIN('难度参数'!$E$12,'难度参数'!$E$39+9*'难度参数'!$E$10+ROUNDUP(W7*'难度参数'!$E$11,0))),0)+IF(10&lt;='难度参数'!$E$37,MAX(1,MIN('难度参数'!$E$12,'难度参数'!$E$39+10*'难度参数'!$E$10+ROUNDUP(W7*'难度参数'!$E$11,0))),0)</x:f>
        <x:v>2370</x:v>
      </x:c>
      <x:c r="X112" s="62" t="n">
        <x:f>IF(1&lt;='难度参数'!$E$37,MAX(1,MIN('难度参数'!$E$12,'难度参数'!$E$39+1*'难度参数'!$E$10+ROUNDUP(X7*'难度参数'!$E$11,0))),0)+IF(2&lt;='难度参数'!$E$37,MAX(1,MIN('难度参数'!$E$12,'难度参数'!$E$39+2*'难度参数'!$E$10+ROUNDUP(X7*'难度参数'!$E$11,0))),0)+IF(3&lt;='难度参数'!$E$37,MAX(1,MIN('难度参数'!$E$12,'难度参数'!$E$39+3*'难度参数'!$E$10+ROUNDUP(X7*'难度参数'!$E$11,0))),0)+IF(4&lt;='难度参数'!$E$37,MAX(1,MIN('难度参数'!$E$12,'难度参数'!$E$39+4*'难度参数'!$E$10+ROUNDUP(X7*'难度参数'!$E$11,0))),0)+IF(5&lt;='难度参数'!$E$37,MAX(1,MIN('难度参数'!$E$12,'难度参数'!$E$39+5*'难度参数'!$E$10+ROUNDUP(X7*'难度参数'!$E$11,0))),0)+IF(6&lt;='难度参数'!$E$37,MAX(1,MIN('难度参数'!$E$12,'难度参数'!$E$39+6*'难度参数'!$E$10+ROUNDUP(X7*'难度参数'!$E$11,0))),0)+IF(7&lt;='难度参数'!$E$37,MAX(1,MIN('难度参数'!$E$12,'难度参数'!$E$39+7*'难度参数'!$E$10+ROUNDUP(X7*'难度参数'!$E$11,0))),0)+IF(8&lt;='难度参数'!$E$37,MAX(1,MIN('难度参数'!$E$12,'难度参数'!$E$39+8*'难度参数'!$E$10+ROUNDUP(X7*'难度参数'!$E$11,0))),0)+IF(9&lt;='难度参数'!$E$37,MAX(1,MIN('难度参数'!$E$12,'难度参数'!$E$39+9*'难度参数'!$E$10+ROUNDUP(X7*'难度参数'!$E$11,0))),0)+IF(10&lt;='难度参数'!$E$37,MAX(1,MIN('难度参数'!$E$12,'难度参数'!$E$39+10*'难度参数'!$E$10+ROUNDUP(X7*'难度参数'!$E$11,0))),0)</x:f>
        <x:v>2450</x:v>
      </x:c>
      <x:c r="Y112" s="62" t="n">
        <x:f>IF(1&lt;='难度参数'!$E$37,MAX(1,MIN('难度参数'!$E$12,'难度参数'!$E$39+1*'难度参数'!$E$10+ROUNDUP(Y7*'难度参数'!$E$11,0))),0)+IF(2&lt;='难度参数'!$E$37,MAX(1,MIN('难度参数'!$E$12,'难度参数'!$E$39+2*'难度参数'!$E$10+ROUNDUP(Y7*'难度参数'!$E$11,0))),0)+IF(3&lt;='难度参数'!$E$37,MAX(1,MIN('难度参数'!$E$12,'难度参数'!$E$39+3*'难度参数'!$E$10+ROUNDUP(Y7*'难度参数'!$E$11,0))),0)+IF(4&lt;='难度参数'!$E$37,MAX(1,MIN('难度参数'!$E$12,'难度参数'!$E$39+4*'难度参数'!$E$10+ROUNDUP(Y7*'难度参数'!$E$11,0))),0)+IF(5&lt;='难度参数'!$E$37,MAX(1,MIN('难度参数'!$E$12,'难度参数'!$E$39+5*'难度参数'!$E$10+ROUNDUP(Y7*'难度参数'!$E$11,0))),0)+IF(6&lt;='难度参数'!$E$37,MAX(1,MIN('难度参数'!$E$12,'难度参数'!$E$39+6*'难度参数'!$E$10+ROUNDUP(Y7*'难度参数'!$E$11,0))),0)+IF(7&lt;='难度参数'!$E$37,MAX(1,MIN('难度参数'!$E$12,'难度参数'!$E$39+7*'难度参数'!$E$10+ROUNDUP(Y7*'难度参数'!$E$11,0))),0)+IF(8&lt;='难度参数'!$E$37,MAX(1,MIN('难度参数'!$E$12,'难度参数'!$E$39+8*'难度参数'!$E$10+ROUNDUP(Y7*'难度参数'!$E$11,0))),0)+IF(9&lt;='难度参数'!$E$37,MAX(1,MIN('难度参数'!$E$12,'难度参数'!$E$39+9*'难度参数'!$E$10+ROUNDUP(Y7*'难度参数'!$E$11,0))),0)+IF(10&lt;='难度参数'!$E$37,MAX(1,MIN('难度参数'!$E$12,'难度参数'!$E$39+10*'难度参数'!$E$10+ROUNDUP(Y7*'难度参数'!$E$11,0))),0)</x:f>
        <x:v>2520</x:v>
      </x:c>
      <x:c r="Z112" s="62" t="n">
        <x:f>IF(1&lt;='难度参数'!$E$37,MAX(1,MIN('难度参数'!$E$12,'难度参数'!$E$39+1*'难度参数'!$E$10+ROUNDUP(Z7*'难度参数'!$E$11,0))),0)+IF(2&lt;='难度参数'!$E$37,MAX(1,MIN('难度参数'!$E$12,'难度参数'!$E$39+2*'难度参数'!$E$10+ROUNDUP(Z7*'难度参数'!$E$11,0))),0)+IF(3&lt;='难度参数'!$E$37,MAX(1,MIN('难度参数'!$E$12,'难度参数'!$E$39+3*'难度参数'!$E$10+ROUNDUP(Z7*'难度参数'!$E$11,0))),0)+IF(4&lt;='难度参数'!$E$37,MAX(1,MIN('难度参数'!$E$12,'难度参数'!$E$39+4*'难度参数'!$E$10+ROUNDUP(Z7*'难度参数'!$E$11,0))),0)+IF(5&lt;='难度参数'!$E$37,MAX(1,MIN('难度参数'!$E$12,'难度参数'!$E$39+5*'难度参数'!$E$10+ROUNDUP(Z7*'难度参数'!$E$11,0))),0)+IF(6&lt;='难度参数'!$E$37,MAX(1,MIN('难度参数'!$E$12,'难度参数'!$E$39+6*'难度参数'!$E$10+ROUNDUP(Z7*'难度参数'!$E$11,0))),0)+IF(7&lt;='难度参数'!$E$37,MAX(1,MIN('难度参数'!$E$12,'难度参数'!$E$39+7*'难度参数'!$E$10+ROUNDUP(Z7*'难度参数'!$E$11,0))),0)+IF(8&lt;='难度参数'!$E$37,MAX(1,MIN('难度参数'!$E$12,'难度参数'!$E$39+8*'难度参数'!$E$10+ROUNDUP(Z7*'难度参数'!$E$11,0))),0)+IF(9&lt;='难度参数'!$E$37,MAX(1,MIN('难度参数'!$E$12,'难度参数'!$E$39+9*'难度参数'!$E$10+ROUNDUP(Z7*'难度参数'!$E$11,0))),0)+IF(10&lt;='难度参数'!$E$37,MAX(1,MIN('难度参数'!$E$12,'难度参数'!$E$39+10*'难度参数'!$E$10+ROUNDUP(Z7*'难度参数'!$E$11,0))),0)</x:f>
        <x:v>2590</x:v>
      </x:c>
      <x:c r="AA112" s="62" t="n">
        <x:f>IF(1&lt;='难度参数'!$E$37,MAX(1,MIN('难度参数'!$E$12,'难度参数'!$E$39+1*'难度参数'!$E$10+ROUNDUP(AA7*'难度参数'!$E$11,0))),0)+IF(2&lt;='难度参数'!$E$37,MAX(1,MIN('难度参数'!$E$12,'难度参数'!$E$39+2*'难度参数'!$E$10+ROUNDUP(AA7*'难度参数'!$E$11,0))),0)+IF(3&lt;='难度参数'!$E$37,MAX(1,MIN('难度参数'!$E$12,'难度参数'!$E$39+3*'难度参数'!$E$10+ROUNDUP(AA7*'难度参数'!$E$11,0))),0)+IF(4&lt;='难度参数'!$E$37,MAX(1,MIN('难度参数'!$E$12,'难度参数'!$E$39+4*'难度参数'!$E$10+ROUNDUP(AA7*'难度参数'!$E$11,0))),0)+IF(5&lt;='难度参数'!$E$37,MAX(1,MIN('难度参数'!$E$12,'难度参数'!$E$39+5*'难度参数'!$E$10+ROUNDUP(AA7*'难度参数'!$E$11,0))),0)+IF(6&lt;='难度参数'!$E$37,MAX(1,MIN('难度参数'!$E$12,'难度参数'!$E$39+6*'难度参数'!$E$10+ROUNDUP(AA7*'难度参数'!$E$11,0))),0)+IF(7&lt;='难度参数'!$E$37,MAX(1,MIN('难度参数'!$E$12,'难度参数'!$E$39+7*'难度参数'!$E$10+ROUNDUP(AA7*'难度参数'!$E$11,0))),0)+IF(8&lt;='难度参数'!$E$37,MAX(1,MIN('难度参数'!$E$12,'难度参数'!$E$39+8*'难度参数'!$E$10+ROUNDUP(AA7*'难度参数'!$E$11,0))),0)+IF(9&lt;='难度参数'!$E$37,MAX(1,MIN('难度参数'!$E$12,'难度参数'!$E$39+9*'难度参数'!$E$10+ROUNDUP(AA7*'难度参数'!$E$11,0))),0)+IF(10&lt;='难度参数'!$E$37,MAX(1,MIN('难度参数'!$E$12,'难度参数'!$E$39+10*'难度参数'!$E$10+ROUNDUP(AA7*'难度参数'!$E$11,0))),0)</x:f>
        <x:v>2660</x:v>
      </x:c>
      <x:c r="AB112" s="62" t="n">
        <x:f>IF(1&lt;='难度参数'!$E$37,MAX(1,MIN('难度参数'!$E$12,'难度参数'!$E$39+1*'难度参数'!$E$10+ROUNDUP(AB7*'难度参数'!$E$11,0))),0)+IF(2&lt;='难度参数'!$E$37,MAX(1,MIN('难度参数'!$E$12,'难度参数'!$E$39+2*'难度参数'!$E$10+ROUNDUP(AB7*'难度参数'!$E$11,0))),0)+IF(3&lt;='难度参数'!$E$37,MAX(1,MIN('难度参数'!$E$12,'难度参数'!$E$39+3*'难度参数'!$E$10+ROUNDUP(AB7*'难度参数'!$E$11,0))),0)+IF(4&lt;='难度参数'!$E$37,MAX(1,MIN('难度参数'!$E$12,'难度参数'!$E$39+4*'难度参数'!$E$10+ROUNDUP(AB7*'难度参数'!$E$11,0))),0)+IF(5&lt;='难度参数'!$E$37,MAX(1,MIN('难度参数'!$E$12,'难度参数'!$E$39+5*'难度参数'!$E$10+ROUNDUP(AB7*'难度参数'!$E$11,0))),0)+IF(6&lt;='难度参数'!$E$37,MAX(1,MIN('难度参数'!$E$12,'难度参数'!$E$39+6*'难度参数'!$E$10+ROUNDUP(AB7*'难度参数'!$E$11,0))),0)+IF(7&lt;='难度参数'!$E$37,MAX(1,MIN('难度参数'!$E$12,'难度参数'!$E$39+7*'难度参数'!$E$10+ROUNDUP(AB7*'难度参数'!$E$11,0))),0)+IF(8&lt;='难度参数'!$E$37,MAX(1,MIN('难度参数'!$E$12,'难度参数'!$E$39+8*'难度参数'!$E$10+ROUNDUP(AB7*'难度参数'!$E$11,0))),0)+IF(9&lt;='难度参数'!$E$37,MAX(1,MIN('难度参数'!$E$12,'难度参数'!$E$39+9*'难度参数'!$E$10+ROUNDUP(AB7*'难度参数'!$E$11,0))),0)+IF(10&lt;='难度参数'!$E$37,MAX(1,MIN('难度参数'!$E$12,'难度参数'!$E$39+10*'难度参数'!$E$10+ROUNDUP(AB7*'难度参数'!$E$11,0))),0)</x:f>
        <x:v>2730</x:v>
      </x:c>
      <x:c r="AC112" s="62" t="n">
        <x:f>IF(1&lt;='难度参数'!$E$37,MAX(1,MIN('难度参数'!$E$12,'难度参数'!$E$39+1*'难度参数'!$E$10+ROUNDUP(AC7*'难度参数'!$E$11,0))),0)+IF(2&lt;='难度参数'!$E$37,MAX(1,MIN('难度参数'!$E$12,'难度参数'!$E$39+2*'难度参数'!$E$10+ROUNDUP(AC7*'难度参数'!$E$11,0))),0)+IF(3&lt;='难度参数'!$E$37,MAX(1,MIN('难度参数'!$E$12,'难度参数'!$E$39+3*'难度参数'!$E$10+ROUNDUP(AC7*'难度参数'!$E$11,0))),0)+IF(4&lt;='难度参数'!$E$37,MAX(1,MIN('难度参数'!$E$12,'难度参数'!$E$39+4*'难度参数'!$E$10+ROUNDUP(AC7*'难度参数'!$E$11,0))),0)+IF(5&lt;='难度参数'!$E$37,MAX(1,MIN('难度参数'!$E$12,'难度参数'!$E$39+5*'难度参数'!$E$10+ROUNDUP(AC7*'难度参数'!$E$11,0))),0)+IF(6&lt;='难度参数'!$E$37,MAX(1,MIN('难度参数'!$E$12,'难度参数'!$E$39+6*'难度参数'!$E$10+ROUNDUP(AC7*'难度参数'!$E$11,0))),0)+IF(7&lt;='难度参数'!$E$37,MAX(1,MIN('难度参数'!$E$12,'难度参数'!$E$39+7*'难度参数'!$E$10+ROUNDUP(AC7*'难度参数'!$E$11,0))),0)+IF(8&lt;='难度参数'!$E$37,MAX(1,MIN('难度参数'!$E$12,'难度参数'!$E$39+8*'难度参数'!$E$10+ROUNDUP(AC7*'难度参数'!$E$11,0))),0)+IF(9&lt;='难度参数'!$E$37,MAX(1,MIN('难度参数'!$E$12,'难度参数'!$E$39+9*'难度参数'!$E$10+ROUNDUP(AC7*'难度参数'!$E$11,0))),0)+IF(10&lt;='难度参数'!$E$37,MAX(1,MIN('难度参数'!$E$12,'难度参数'!$E$39+10*'难度参数'!$E$10+ROUNDUP(AC7*'难度参数'!$E$11,0))),0)</x:f>
        <x:v>2800</x:v>
      </x:c>
      <x:c r="AD112" s="62" t="n">
        <x:f>IF(1&lt;='难度参数'!$E$37,MAX(1,MIN('难度参数'!$E$12,'难度参数'!$E$39+1*'难度参数'!$E$10+ROUNDUP(AD7*'难度参数'!$E$11,0))),0)+IF(2&lt;='难度参数'!$E$37,MAX(1,MIN('难度参数'!$E$12,'难度参数'!$E$39+2*'难度参数'!$E$10+ROUNDUP(AD7*'难度参数'!$E$11,0))),0)+IF(3&lt;='难度参数'!$E$37,MAX(1,MIN('难度参数'!$E$12,'难度参数'!$E$39+3*'难度参数'!$E$10+ROUNDUP(AD7*'难度参数'!$E$11,0))),0)+IF(4&lt;='难度参数'!$E$37,MAX(1,MIN('难度参数'!$E$12,'难度参数'!$E$39+4*'难度参数'!$E$10+ROUNDUP(AD7*'难度参数'!$E$11,0))),0)+IF(5&lt;='难度参数'!$E$37,MAX(1,MIN('难度参数'!$E$12,'难度参数'!$E$39+5*'难度参数'!$E$10+ROUNDUP(AD7*'难度参数'!$E$11,0))),0)+IF(6&lt;='难度参数'!$E$37,MAX(1,MIN('难度参数'!$E$12,'难度参数'!$E$39+6*'难度参数'!$E$10+ROUNDUP(AD7*'难度参数'!$E$11,0))),0)+IF(7&lt;='难度参数'!$E$37,MAX(1,MIN('难度参数'!$E$12,'难度参数'!$E$39+7*'难度参数'!$E$10+ROUNDUP(AD7*'难度参数'!$E$11,0))),0)+IF(8&lt;='难度参数'!$E$37,MAX(1,MIN('难度参数'!$E$12,'难度参数'!$E$39+8*'难度参数'!$E$10+ROUNDUP(AD7*'难度参数'!$E$11,0))),0)+IF(9&lt;='难度参数'!$E$37,MAX(1,MIN('难度参数'!$E$12,'难度参数'!$E$39+9*'难度参数'!$E$10+ROUNDUP(AD7*'难度参数'!$E$11,0))),0)+IF(10&lt;='难度参数'!$E$37,MAX(1,MIN('难度参数'!$E$12,'难度参数'!$E$39+10*'难度参数'!$E$10+ROUNDUP(AD7*'难度参数'!$E$11,0))),0)</x:f>
        <x:v>2850</x:v>
      </x:c>
      <x:c r="AE112" s="62" t="n">
        <x:f>IF(1&lt;='难度参数'!$E$37,MAX(1,MIN('难度参数'!$E$12,'难度参数'!$E$39+1*'难度参数'!$E$10+ROUNDUP(AE7*'难度参数'!$E$11,0))),0)+IF(2&lt;='难度参数'!$E$37,MAX(1,MIN('难度参数'!$E$12,'难度参数'!$E$39+2*'难度参数'!$E$10+ROUNDUP(AE7*'难度参数'!$E$11,0))),0)+IF(3&lt;='难度参数'!$E$37,MAX(1,MIN('难度参数'!$E$12,'难度参数'!$E$39+3*'难度参数'!$E$10+ROUNDUP(AE7*'难度参数'!$E$11,0))),0)+IF(4&lt;='难度参数'!$E$37,MAX(1,MIN('难度参数'!$E$12,'难度参数'!$E$39+4*'难度参数'!$E$10+ROUNDUP(AE7*'难度参数'!$E$11,0))),0)+IF(5&lt;='难度参数'!$E$37,MAX(1,MIN('难度参数'!$E$12,'难度参数'!$E$39+5*'难度参数'!$E$10+ROUNDUP(AE7*'难度参数'!$E$11,0))),0)+IF(6&lt;='难度参数'!$E$37,MAX(1,MIN('难度参数'!$E$12,'难度参数'!$E$39+6*'难度参数'!$E$10+ROUNDUP(AE7*'难度参数'!$E$11,0))),0)+IF(7&lt;='难度参数'!$E$37,MAX(1,MIN('难度参数'!$E$12,'难度参数'!$E$39+7*'难度参数'!$E$10+ROUNDUP(AE7*'难度参数'!$E$11,0))),0)+IF(8&lt;='难度参数'!$E$37,MAX(1,MIN('难度参数'!$E$12,'难度参数'!$E$39+8*'难度参数'!$E$10+ROUNDUP(AE7*'难度参数'!$E$11,0))),0)+IF(9&lt;='难度参数'!$E$37,MAX(1,MIN('难度参数'!$E$12,'难度参数'!$E$39+9*'难度参数'!$E$10+ROUNDUP(AE7*'难度参数'!$E$11,0))),0)+IF(10&lt;='难度参数'!$E$37,MAX(1,MIN('难度参数'!$E$12,'难度参数'!$E$39+10*'难度参数'!$E$10+ROUNDUP(AE7*'难度参数'!$E$11,0))),0)</x:f>
        <x:v>2920</x:v>
      </x:c>
      <x:c r="AF112" s="65"/>
    </x:row>
    <x:row r="113" ht="28" customHeight="1">
      <x:c r="A113" s="62" t="str">
        <x:v>军报出怪与操作分钟</x:v>
      </x:c>
      <x:c r="B113" s="62" t="n">
        <x:f>B112*(ROUNDUP('难度参数'!$E$24/('难度参数'!$E$26*'难度参数'!$E$27),0)*'难度参数'!$E$26)/60+'难度参数'!$E$37*('难度参数'!$E$49+'难度参数'!$E$50)/60</x:f>
        <x:v>4.2</x:v>
      </x:c>
      <x:c r="C113" s="62" t="n">
        <x:f>C112*(ROUNDUP('难度参数'!$E$24/('难度参数'!$E$26*'难度参数'!$E$27),0)*'难度参数'!$E$26)/60+'难度参数'!$E$37*('难度参数'!$E$49+'难度参数'!$E$50)/60</x:f>
        <x:v>5.533333333333333</x:v>
      </x:c>
      <x:c r="D113" s="62" t="n">
        <x:f>D112*(ROUNDUP('难度参数'!$E$24/('难度参数'!$E$26*'难度参数'!$E$27),0)*'难度参数'!$E$26)/60+'难度参数'!$E$37*('难度参数'!$E$49+'难度参数'!$E$50)/60</x:f>
        <x:v>7</x:v>
      </x:c>
      <x:c r="E113" s="62" t="n">
        <x:f>E112*(ROUNDUP('难度参数'!$E$24/('难度参数'!$E$26*'难度参数'!$E$27),0)*'难度参数'!$E$26)/60+'难度参数'!$E$37*('难度参数'!$E$49+'难度参数'!$E$50)/60</x:f>
        <x:v>8.733333333333333</x:v>
      </x:c>
      <x:c r="F113" s="62" t="n">
        <x:f>F112*(ROUNDUP('难度参数'!$E$24/('难度参数'!$E$26*'难度参数'!$E$27),0)*'难度参数'!$E$26)/60+'难度参数'!$E$37*('难度参数'!$E$49+'难度参数'!$E$50)/60</x:f>
        <x:v>10.333333333333332</x:v>
      </x:c>
      <x:c r="G113" s="62" t="n">
        <x:f>G112*(ROUNDUP('难度参数'!$E$24/('难度参数'!$E$26*'难度参数'!$E$27),0)*'难度参数'!$E$26)/60+'难度参数'!$E$37*('难度参数'!$E$49+'难度参数'!$E$50)/60</x:f>
        <x:v>11.799999999999999</x:v>
      </x:c>
      <x:c r="H113" s="62" t="n">
        <x:f>H112*(ROUNDUP('难度参数'!$E$24/('难度参数'!$E$26*'难度参数'!$E$27),0)*'难度参数'!$E$26)/60+'难度参数'!$E$37*('难度参数'!$E$49+'难度参数'!$E$50)/60</x:f>
        <x:v>13.533333333333333</x:v>
      </x:c>
      <x:c r="I113" s="62" t="n">
        <x:f>I112*(ROUNDUP('难度参数'!$E$24/('难度参数'!$E$26*'难度参数'!$E$27),0)*'难度参数'!$E$26)/60+'难度参数'!$E$37*('难度参数'!$E$49+'难度参数'!$E$50)/60</x:f>
        <x:v>15</x:v>
      </x:c>
      <x:c r="J113" s="62" t="n">
        <x:f>J112*(ROUNDUP('难度参数'!$E$24/('难度参数'!$E$26*'难度参数'!$E$27),0)*'难度参数'!$E$26)/60+'难度参数'!$E$37*('难度参数'!$E$49+'难度参数'!$E$50)/60</x:f>
        <x:v>16.733333333333334</x:v>
      </x:c>
      <x:c r="K113" s="62" t="n">
        <x:f>K112*(ROUNDUP('难度参数'!$E$24/('难度参数'!$E$26*'难度参数'!$E$27),0)*'难度参数'!$E$26)/60+'难度参数'!$E$37*('难度参数'!$E$49+'难度参数'!$E$50)/60</x:f>
        <x:v>18.200000000000003</x:v>
      </x:c>
      <x:c r="L113" s="62" t="n">
        <x:f>L112*(ROUNDUP('难度参数'!$E$24/('难度参数'!$E$26*'难度参数'!$E$27),0)*'难度参数'!$E$26)/60+'难度参数'!$E$37*('难度参数'!$E$49+'难度参数'!$E$50)/60</x:f>
        <x:v>19.8</x:v>
      </x:c>
      <x:c r="M113" s="62" t="n">
        <x:f>M112*(ROUNDUP('难度参数'!$E$24/('难度参数'!$E$26*'难度参数'!$E$27),0)*'难度参数'!$E$26)/60+'难度参数'!$E$37*('难度参数'!$E$49+'难度参数'!$E$50)/60</x:f>
        <x:v>21.133333333333333</x:v>
      </x:c>
      <x:c r="N113" s="62" t="n">
        <x:f>N112*(ROUNDUP('难度参数'!$E$24/('难度参数'!$E$26*'难度参数'!$E$27),0)*'难度参数'!$E$26)/60+'难度参数'!$E$37*('难度参数'!$E$49+'难度参数'!$E$50)/60</x:f>
        <x:v>22.733333333333334</x:v>
      </x:c>
      <x:c r="O113" s="62" t="n">
        <x:f>O112*(ROUNDUP('难度参数'!$E$24/('难度参数'!$E$26*'难度参数'!$E$27),0)*'难度参数'!$E$26)/60+'难度参数'!$E$37*('难度参数'!$E$49+'难度参数'!$E$50)/60</x:f>
        <x:v>24.066666666666666</x:v>
      </x:c>
      <x:c r="P113" s="62" t="n">
        <x:f>P112*(ROUNDUP('难度参数'!$E$24/('难度参数'!$E$26*'难度参数'!$E$27),0)*'难度参数'!$E$26)/60+'难度参数'!$E$37*('难度参数'!$E$49+'难度参数'!$E$50)/60</x:f>
        <x:v>25.26666666666667</x:v>
      </x:c>
      <x:c r="Q113" s="62" t="n">
        <x:f>Q112*(ROUNDUP('难度参数'!$E$24/('难度参数'!$E$26*'难度参数'!$E$27),0)*'难度参数'!$E$26)/60+'难度参数'!$E$37*('难度参数'!$E$49+'难度参数'!$E$50)/60</x:f>
        <x:v>26.6</x:v>
      </x:c>
      <x:c r="R113" s="62" t="n">
        <x:f>R112*(ROUNDUP('难度参数'!$E$24/('难度参数'!$E$26*'难度参数'!$E$27),0)*'难度参数'!$E$26)/60+'难度参数'!$E$37*('难度参数'!$E$49+'难度参数'!$E$50)/60</x:f>
        <x:v>27.8</x:v>
      </x:c>
      <x:c r="S113" s="62" t="n">
        <x:f>S112*(ROUNDUP('难度参数'!$E$24/('难度参数'!$E$26*'难度参数'!$E$27),0)*'难度参数'!$E$26)/60+'难度参数'!$E$37*('难度参数'!$E$49+'难度参数'!$E$50)/60</x:f>
        <x:v>29</x:v>
      </x:c>
      <x:c r="T113" s="62" t="n">
        <x:f>T112*(ROUNDUP('难度参数'!$E$24/('难度参数'!$E$26*'难度参数'!$E$27),0)*'难度参数'!$E$26)/60+'难度参数'!$E$37*('难度参数'!$E$49+'难度参数'!$E$50)/60</x:f>
        <x:v>30.066666666666666</x:v>
      </x:c>
      <x:c r="U113" s="62" t="n">
        <x:f>U112*(ROUNDUP('难度参数'!$E$24/('难度参数'!$E$26*'难度参数'!$E$27),0)*'难度参数'!$E$26)/60+'难度参数'!$E$37*('难度参数'!$E$49+'难度参数'!$E$50)/60</x:f>
        <x:v>31.133333333333333</x:v>
      </x:c>
      <x:c r="V113" s="62" t="n">
        <x:f>V112*(ROUNDUP('难度参数'!$E$24/('难度参数'!$E$26*'难度参数'!$E$27),0)*'难度参数'!$E$26)/60+'难度参数'!$E$37*('难度参数'!$E$49+'难度参数'!$E$50)/60</x:f>
        <x:v>32.2</x:v>
      </x:c>
      <x:c r="W113" s="62" t="n">
        <x:f>W112*(ROUNDUP('难度参数'!$E$24/('难度参数'!$E$26*'难度参数'!$E$27),0)*'难度参数'!$E$26)/60+'难度参数'!$E$37*('难度参数'!$E$49+'难度参数'!$E$50)/60</x:f>
        <x:v>33.266666666666666</x:v>
      </x:c>
      <x:c r="X113" s="62" t="n">
        <x:f>X112*(ROUNDUP('难度参数'!$E$24/('难度参数'!$E$26*'难度参数'!$E$27),0)*'难度参数'!$E$26)/60+'难度参数'!$E$37*('难度参数'!$E$49+'难度参数'!$E$50)/60</x:f>
        <x:v>34.33333333333333</x:v>
      </x:c>
      <x:c r="Y113" s="62" t="n">
        <x:f>Y112*(ROUNDUP('难度参数'!$E$24/('难度参数'!$E$26*'难度参数'!$E$27),0)*'难度参数'!$E$26)/60+'难度参数'!$E$37*('难度参数'!$E$49+'难度参数'!$E$50)/60</x:f>
        <x:v>35.266666666666666</x:v>
      </x:c>
      <x:c r="Z113" s="62" t="n">
        <x:f>Z112*(ROUNDUP('难度参数'!$E$24/('难度参数'!$E$26*'难度参数'!$E$27),0)*'难度参数'!$E$26)/60+'难度参数'!$E$37*('难度参数'!$E$49+'难度参数'!$E$50)/60</x:f>
        <x:v>36.199999999999996</x:v>
      </x:c>
      <x:c r="AA113" s="62" t="n">
        <x:f>AA112*(ROUNDUP('难度参数'!$E$24/('难度参数'!$E$26*'难度参数'!$E$27),0)*'难度参数'!$E$26)/60+'难度参数'!$E$37*('难度参数'!$E$49+'难度参数'!$E$50)/60</x:f>
        <x:v>37.13333333333333</x:v>
      </x:c>
      <x:c r="AB113" s="62" t="n">
        <x:f>AB112*(ROUNDUP('难度参数'!$E$24/('难度参数'!$E$26*'难度参数'!$E$27),0)*'难度参数'!$E$26)/60+'难度参数'!$E$37*('难度参数'!$E$49+'难度参数'!$E$50)/60</x:f>
        <x:v>38.06666666666666</x:v>
      </x:c>
      <x:c r="AC113" s="62" t="n">
        <x:f>AC112*(ROUNDUP('难度参数'!$E$24/('难度参数'!$E$26*'难度参数'!$E$27),0)*'难度参数'!$E$26)/60+'难度参数'!$E$37*('难度参数'!$E$49+'难度参数'!$E$50)/60</x:f>
        <x:v>39</x:v>
      </x:c>
      <x:c r="AD113" s="62" t="n">
        <x:f>AD112*(ROUNDUP('难度参数'!$E$24/('难度参数'!$E$26*'难度参数'!$E$27),0)*'难度参数'!$E$26)/60+'难度参数'!$E$37*('难度参数'!$E$49+'难度参数'!$E$50)/60</x:f>
        <x:v>39.666666666666664</x:v>
      </x:c>
      <x:c r="AE113" s="62" t="n">
        <x:f>AE112*(ROUNDUP('难度参数'!$E$24/('难度参数'!$E$26*'难度参数'!$E$27),0)*'难度参数'!$E$26)/60+'难度参数'!$E$37*('难度参数'!$E$49+'难度参数'!$E$50)/60</x:f>
        <x:v>40.599999999999994</x:v>
      </x:c>
      <x:c r="AF113" s="65"/>
    </x:row>
    <x:row r="114" ht="28" customHeight="1">
      <x:c r="A114" s="62" t="str">
        <x:v>实际采用军报分钟</x:v>
      </x:c>
      <x:c r="B114" s="62" t="n">
        <x:f>MAX('每日计划'!B17,B113)</x:f>
        <x:v>5</x:v>
      </x:c>
      <x:c r="C114" s="62" t="n">
        <x:f>MAX('每日计划'!C17,C113)</x:f>
        <x:v>5.533333333333333</x:v>
      </x:c>
      <x:c r="D114" s="62" t="n">
        <x:f>MAX('每日计划'!D17,D113)</x:f>
        <x:v>7</x:v>
      </x:c>
      <x:c r="E114" s="62" t="n">
        <x:f>MAX('每日计划'!E17,E113)</x:f>
        <x:v>8.733333333333333</x:v>
      </x:c>
      <x:c r="F114" s="62" t="n">
        <x:f>MAX('每日计划'!F17,F113)</x:f>
        <x:v>10.333333333333332</x:v>
      </x:c>
      <x:c r="G114" s="62" t="n">
        <x:f>MAX('每日计划'!G17,G113)</x:f>
        <x:v>11.799999999999999</x:v>
      </x:c>
      <x:c r="H114" s="62" t="n">
        <x:f>MAX('每日计划'!H17,H113)</x:f>
        <x:v>13.533333333333333</x:v>
      </x:c>
      <x:c r="I114" s="62" t="n">
        <x:f>MAX('每日计划'!I17,I113)</x:f>
        <x:v>15</x:v>
      </x:c>
      <x:c r="J114" s="62" t="n">
        <x:f>MAX('每日计划'!J17,J113)</x:f>
        <x:v>16.733333333333334</x:v>
      </x:c>
      <x:c r="K114" s="62" t="n">
        <x:f>MAX('每日计划'!K17,K113)</x:f>
        <x:v>18.200000000000003</x:v>
      </x:c>
      <x:c r="L114" s="62" t="n">
        <x:f>MAX('每日计划'!L17,L113)</x:f>
        <x:v>19.8</x:v>
      </x:c>
      <x:c r="M114" s="62" t="n">
        <x:f>MAX('每日计划'!M17,M113)</x:f>
        <x:v>21.133333333333333</x:v>
      </x:c>
      <x:c r="N114" s="62" t="n">
        <x:f>MAX('每日计划'!N17,N113)</x:f>
        <x:v>22.733333333333334</x:v>
      </x:c>
      <x:c r="O114" s="62" t="n">
        <x:f>MAX('每日计划'!O17,O113)</x:f>
        <x:v>24.066666666666666</x:v>
      </x:c>
      <x:c r="P114" s="62" t="n">
        <x:f>MAX('每日计划'!P17,P113)</x:f>
        <x:v>25.26666666666667</x:v>
      </x:c>
      <x:c r="Q114" s="62" t="n">
        <x:f>MAX('每日计划'!Q17,Q113)</x:f>
        <x:v>26.6</x:v>
      </x:c>
      <x:c r="R114" s="62" t="n">
        <x:f>MAX('每日计划'!R17,R113)</x:f>
        <x:v>27.8</x:v>
      </x:c>
      <x:c r="S114" s="62" t="n">
        <x:f>MAX('每日计划'!S17,S113)</x:f>
        <x:v>29</x:v>
      </x:c>
      <x:c r="T114" s="62" t="n">
        <x:f>MAX('每日计划'!T17,T113)</x:f>
        <x:v>30.066666666666666</x:v>
      </x:c>
      <x:c r="U114" s="62" t="n">
        <x:f>MAX('每日计划'!U17,U113)</x:f>
        <x:v>31.133333333333333</x:v>
      </x:c>
      <x:c r="V114" s="62" t="n">
        <x:f>MAX('每日计划'!V17,V113)</x:f>
        <x:v>32.2</x:v>
      </x:c>
      <x:c r="W114" s="62" t="n">
        <x:f>MAX('每日计划'!W17,W113)</x:f>
        <x:v>33.266666666666666</x:v>
      </x:c>
      <x:c r="X114" s="62" t="n">
        <x:f>MAX('每日计划'!X17,X113)</x:f>
        <x:v>34.33333333333333</x:v>
      </x:c>
      <x:c r="Y114" s="62" t="n">
        <x:f>MAX('每日计划'!Y17,Y113)</x:f>
        <x:v>35.266666666666666</x:v>
      </x:c>
      <x:c r="Z114" s="62" t="n">
        <x:f>MAX('每日计划'!Z17,Z113)</x:f>
        <x:v>36.199999999999996</x:v>
      </x:c>
      <x:c r="AA114" s="62" t="n">
        <x:f>MAX('每日计划'!AA17,AA113)</x:f>
        <x:v>37.13333333333333</x:v>
      </x:c>
      <x:c r="AB114" s="62" t="n">
        <x:f>MAX('每日计划'!AB17,AB113)</x:f>
        <x:v>38.06666666666666</x:v>
      </x:c>
      <x:c r="AC114" s="62" t="n">
        <x:f>MAX('每日计划'!AC17,AC113)</x:f>
        <x:v>39</x:v>
      </x:c>
      <x:c r="AD114" s="62" t="n">
        <x:f>MAX('每日计划'!AD17,AD113)</x:f>
        <x:v>39.666666666666664</x:v>
      </x:c>
      <x:c r="AE114" s="62" t="n">
        <x:f>MAX('每日计划'!AE17,AE113)</x:f>
        <x:v>40.599999999999994</x:v>
      </x:c>
      <x:c r="AF114" s="65" t="str">
        <x:v>军报参与次数同时受可用时间约束；不直接使用固定5分钟</x:v>
      </x:c>
    </x:row>
  </x:sheetData>
  <x:mergeCells>
    <x:mergeCell ref="A1:J2"/>
    <x:mergeCell ref="A3:J3"/>
    <x:mergeCell ref="B4:D4"/>
  </x:mergeCells>
  <x:conditionalFormatting sqref="B60:AE60">
    <x:cfRule type="cellIs" dxfId="0" priority="1" operator="lessThan">
      <x:formula>0</x:formula>
    </x:cfRule>
  </x:conditionalFormatting>
  <x:conditionalFormatting sqref="B74:AE74">
    <x:cfRule type="cellIs" dxfId="1" priority="2" operator="lessThan">
      <x:formula>0</x:formula>
    </x:cfRule>
  </x:conditionalFormatting>
  <x:conditionalFormatting sqref="B83:AE83">
    <x:cfRule type="cellIs" dxfId="2" priority="3" operator="lessThan">
      <x:formula>0</x:formula>
    </x:cfRule>
  </x:conditionalFormatting>
  <x:conditionalFormatting sqref="B93:AE93">
    <x:cfRule type="cellIs" dxfId="3" priority="4" operator="lessThan">
      <x:formula>0</x:formula>
    </x:cfRule>
  </x:conditionalFormatting>
  <x:conditionalFormatting sqref="B41:AE41">
    <x:cfRule type="cellIs" dxfId="4" priority="5" operator="lessThan">
      <x:formula>0</x:formula>
    </x:cfRule>
  </x:conditionalFormatting>
  <x:conditionalFormatting sqref="B84:AE84">
    <x:cfRule type="cellIs" dxfId="5" priority="6" operator="lessThan">
      <x:formula>0</x:formula>
    </x:cfRule>
  </x:conditionalFormatting>
  <x:conditionalFormatting sqref="B94:AE94">
    <x:cfRule type="cellIs" dxfId="6" priority="7" operator="lessThan">
      <x:formula>0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8B9C9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30" hidden="0" customWidth="1"/>
    <x:col min="4" max="4" width="49" hidden="0" customWidth="1"/>
    <x:col min="5" max="5" width="70" hidden="0" customWidth="1"/>
    <x:col min="6" max="6" width="33" hidden="0" customWidth="1"/>
    <x:col min="7" max="7" width="65" hidden="0" customWidth="1"/>
  </x:cols>
  <x:sheetData>
    <x:row r="1" ht="23" customHeight="1">
      <x:c r="A1" s="59" t="str">
        <x:v>15｜资源产出与消耗清单</x:v>
      </x:c>
      <x:c r="B1" s="60"/>
      <x:c r="C1" s="60"/>
      <x:c r="D1" s="60"/>
      <x:c r="E1" s="60"/>
      <x:c r="F1" s="60"/>
      <x:c r="G1" s="60"/>
    </x:row>
    <x:row r="2" ht="23" customHeight="1">
      <x:c r="A2" s="60"/>
      <x:c r="B2" s="60"/>
      <x:c r="C2" s="60"/>
      <x:c r="D2" s="60"/>
      <x:c r="E2" s="60"/>
      <x:c r="F2" s="60"/>
      <x:c r="G2" s="60"/>
    </x:row>
    <x:row r="3" ht="44" customHeight="1">
      <x:c r="A3" s="61" t="str">
        <x:v>以app.js当前生效逻辑为准。永久资源与局内临时资源分列；表内采用值随模式切换，规则来源保留以便程序对照。</x:v>
      </x:c>
      <x:c r="B3" s="61"/>
      <x:c r="C3" s="61"/>
      <x:c r="D3" s="61"/>
      <x:c r="E3" s="61"/>
      <x:c r="F3" s="61"/>
      <x:c r="G3" s="61"/>
    </x:row>
    <x:row r="4" ht="23" customHeight="1">
      <x:c r="A4" s="62" t="str">
        <x:v>采用方案</x:v>
      </x:c>
      <x:c r="B4" s="62" t="str">
        <x:f>IF('使用说明'!$B$4=0,"工程当前","调优试算")</x:f>
        <x:v>工程当前</x:v>
      </x:c>
      <x:c r="C4" s="62"/>
      <x:c r="D4" s="62"/>
      <x:c r="E4" s="62"/>
      <x:c r="F4" s="62"/>
      <x:c r="G4" s="62"/>
    </x:row>
    <x:row r="5" ht="23" customHeight="1">
      <x:c r="A5" s="62"/>
      <x:c r="B5" s="62"/>
      <x:c r="C5" s="62"/>
      <x:c r="D5" s="62"/>
      <x:c r="E5" s="62"/>
      <x:c r="F5" s="62"/>
      <x:c r="G5" s="62"/>
    </x:row>
    <x:row r="6" ht="36" customHeight="1">
      <x:c r="A6" s="64" t="str">
        <x:v>资源</x:v>
      </x:c>
      <x:c r="B6" s="64" t="str">
        <x:v>方向</x:v>
      </x:c>
      <x:c r="C6" s="64" t="str">
        <x:v>渠道</x:v>
      </x:c>
      <x:c r="D6" s="64" t="str">
        <x:v>数量/口径</x:v>
      </x:c>
      <x:c r="E6" s="64" t="str">
        <x:v>限制与触发条件</x:v>
      </x:c>
      <x:c r="F6" s="64" t="str">
        <x:v>可调位置</x:v>
      </x:c>
      <x:c r="G6" s="64" t="str">
        <x:v>工程来源</x:v>
      </x:c>
    </x:row>
    <x:row r="7" ht="56" customHeight="1">
      <x:c r="A7" s="65" t="str">
        <x:v>体力</x:v>
      </x:c>
      <x:c r="B7" s="65" t="str">
        <x:v>产出</x:v>
      </x:c>
      <x:c r="C7" s="65" t="str">
        <x:v>新档初始</x:v>
      </x:c>
      <x:c r="D7" s="65" t="n">
        <x:f>'经济参数'!$E$7</x:f>
        <x:v>60</x:v>
      </x:c>
      <x:c r="E7" s="65" t="str">
        <x:v>仅新玩家一次</x:v>
      </x:c>
      <x:c r="F7" s="65" t="str">
        <x:v>经济参数</x:v>
      </x:c>
      <x:c r="G7" s="65" t="str">
        <x:v>app.js:27 · STARTING_STAMINA</x:v>
      </x:c>
    </x:row>
    <x:row r="8" ht="56" customHeight="1">
      <x:c r="A8" s="65" t="str">
        <x:v>体力</x:v>
      </x:c>
      <x:c r="B8" s="65" t="str">
        <x:v>产出</x:v>
      </x:c>
      <x:c r="C8" s="65" t="str">
        <x:v>自然恢复</x:v>
      </x:c>
      <x:c r="D8" s="65" t="n">
        <x:f>1440/'经济参数'!$E$10</x:f>
        <x:v>80</x:v>
      </x:c>
      <x:c r="E8" s="65" t="str">
        <x:v>理论每日数量，达到500暂停；首日不送24小时恢复</x:v>
      </x:c>
      <x:c r="F8" s="65" t="str">
        <x:v>经济参数</x:v>
      </x:c>
      <x:c r="G8" s="65" t="str">
        <x:v>app.js:2051 · refreshStamina</x:v>
      </x:c>
    </x:row>
    <x:row r="9" ht="56" customHeight="1">
      <x:c r="A9" s="65" t="str">
        <x:v>体力</x:v>
      </x:c>
      <x:c r="B9" s="65" t="str">
        <x:v>产出</x:v>
      </x:c>
      <x:c r="C9" s="65" t="str">
        <x:v>元宝购买</x:v>
      </x:c>
      <x:c r="D9" s="65" t="n">
        <x:f>'经济参数'!$E$12</x:f>
        <x:v>60</x:v>
      </x:c>
      <x:c r="E9" s="65" t="str">
        <x:v>50元宝/次，每日一次；增加60，不是回到60</x:v>
      </x:c>
      <x:c r="F9" s="65" t="str">
        <x:v>经济参数</x:v>
      </x:c>
      <x:c r="G9" s="65" t="str">
        <x:v>app.js:3737 · refillStamina</x:v>
      </x:c>
    </x:row>
    <x:row r="10" ht="56" customHeight="1">
      <x:c r="A10" s="65" t="str">
        <x:v>体力</x:v>
      </x:c>
      <x:c r="B10" s="65" t="str">
        <x:v>产出</x:v>
      </x:c>
      <x:c r="C10" s="65" t="str">
        <x:v>激励广告</x:v>
      </x:c>
      <x:c r="D10" s="65" t="n">
        <x:f>'经济参数'!$E$12</x:f>
        <x:v>60</x:v>
      </x:c>
      <x:c r="E10" s="65" t="str">
        <x:v>每日一次；当前不检查元宝已购买</x:v>
      </x:c>
      <x:c r="F10" s="65" t="str">
        <x:v>经济参数</x:v>
      </x:c>
      <x:c r="G10" s="65" t="str">
        <x:v>app.js:3737 · refillStamina</x:v>
      </x:c>
    </x:row>
    <x:row r="11" ht="56" customHeight="1">
      <x:c r="A11" s="65" t="str">
        <x:v>体力</x:v>
      </x:c>
      <x:c r="B11" s="65" t="str">
        <x:v>消耗</x:v>
      </x:c>
      <x:c r="C11" s="65" t="str">
        <x:v>主线开始</x:v>
      </x:c>
      <x:c r="D11" s="65" t="n">
        <x:f>'经济参数'!$E$11</x:f>
        <x:v>10</x:v>
      </x:c>
      <x:c r="E11" s="65" t="str">
        <x:v>开局扣除，失败不退款，复活不再扣</x:v>
      </x:c>
      <x:c r="F11" s="65" t="str">
        <x:v>经济参数</x:v>
      </x:c>
      <x:c r="G11" s="65" t="str">
        <x:v>app.js:3144 · startWave</x:v>
      </x:c>
    </x:row>
    <x:row r="12" ht="56" customHeight="1">
      <x:c r="A12" s="65" t="str">
        <x:v>体力</x:v>
      </x:c>
      <x:c r="B12" s="65" t="str">
        <x:v>不消耗</x:v>
      </x:c>
      <x:c r="C12" s="65" t="str">
        <x:v>军报入侵</x:v>
      </x:c>
      <x:c r="D12" s="65" t="n">
        <x:v>0</x:v>
      </x:c>
      <x:c r="E12" s="65" t="str">
        <x:v>限时随机事件，免费进入</x:v>
      </x:c>
      <x:c r="F12" s="65" t="str">
        <x:v>经济参数</x:v>
      </x:c>
      <x:c r="G12" s="65" t="str">
        <x:v>app.js:3144 · startWave</x:v>
      </x:c>
    </x:row>
    <x:row r="13" ht="56" customHeight="1">
      <x:c r="A13" s="65" t="str">
        <x:v>金币</x:v>
      </x:c>
      <x:c r="B13" s="65" t="str">
        <x:v>产出</x:v>
      </x:c>
      <x:c r="C13" s="65" t="str">
        <x:v>主线胜利</x:v>
      </x:c>
      <x:c r="D13" s="65" t="str">
        <x:v>采用值：常数+关卡×斜率</x:v>
      </x:c>
      <x:c r="E13" s="65" t="str">
        <x:v>仅结算部分；失败=向下取整(全额×到达波/总波×0.6)</x:v>
      </x:c>
      <x:c r="F13" s="65" t="str">
        <x:v>经济参数 / 关卡总表</x:v>
      </x:c>
      <x:c r="G13" s="65" t="str">
        <x:v>app.js:2028 · getFullLevelReward</x:v>
      </x:c>
    </x:row>
    <x:row r="14" ht="56" customHeight="1">
      <x:c r="A14" s="65" t="str">
        <x:v>元宝</x:v>
      </x:c>
      <x:c r="B14" s="65" t="str">
        <x:v>不产出</x:v>
      </x:c>
      <x:c r="C14" s="65" t="str">
        <x:v>主线重复结算</x:v>
      </x:c>
      <x:c r="D14" s="65" t="n">
        <x:v>0</x:v>
      </x:c>
      <x:c r="E14" s="65" t="str">
        <x:v>直接元宝已关闭；只由每关一次宝箱、任务、军报和广告产出</x:v>
      </x:c>
      <x:c r="F14" s="65" t="str">
        <x:v>经济参数 / 关卡总表</x:v>
      </x:c>
      <x:c r="G14" s="65" t="str">
        <x:v>app.js:3483 · getFullYuanbaoReward</x:v>
      </x:c>
    </x:row>
    <x:row r="15" ht="56" customHeight="1">
      <x:c r="A15" s="65" t="str">
        <x:v>强化石/升星石</x:v>
      </x:c>
      <x:c r="B15" s="65" t="str">
        <x:v>产出</x:v>
      </x:c>
      <x:c r="C15" s="65" t="str">
        <x:v>主线结算</x:v>
      </x:c>
      <x:c r="D15" s="65" t="str">
        <x:v>按关卡五档取值</x:v>
      </x:c>
      <x:c r="E15" s="65" t="str">
        <x:v>失败按相同波次比例取整，每类分别计算</x:v>
      </x:c>
      <x:c r="F15" s="65" t="str">
        <x:v>材料与任务</x:v>
      </x:c>
      <x:c r="G15" s="65" t="str">
        <x:v>app.js:2032 · getFullForgeMaterialReward</x:v>
      </x:c>
    </x:row>
    <x:row r="16" ht="56" customHeight="1">
      <x:c r="A16" s="65" t="str">
        <x:v>金币/材料/经验</x:v>
      </x:c>
      <x:c r="B16" s="65" t="str">
        <x:v>产出</x:v>
      </x:c>
      <x:c r="C16" s="65" t="str">
        <x:v>结算广告补差</x:v>
      </x:c>
      <x:c r="D16" s="65" t="n">
        <x:f>'经济参数'!$E$26</x:f>
        <x:v>2</x:v>
      </x:c>
      <x:c r="E16" s="65" t="str">
        <x:v>总倍率；每局一次，不翻倍宝箱与击杀金币；另有独立装备抽取</x:v>
      </x:c>
      <x:c r="F16" s="65" t="str">
        <x:v>经济参数 / 广告成长对照</x:v>
      </x:c>
      <x:c r="G16" s="65" t="str">
        <x:v>app.js:3956 · showVictory</x:v>
      </x:c>
    </x:row>
    <x:row r="17" ht="56" customHeight="1">
      <x:c r="A17" s="65" t="str">
        <x:v>金币</x:v>
      </x:c>
      <x:c r="B17" s="65" t="str">
        <x:v>产出</x:v>
      </x:c>
      <x:c r="C17" s="65" t="str">
        <x:v>击杀怪物</x:v>
      </x:c>
      <x:c r="D17" s="65" t="str">
        <x:v>普通/疾行/重甲/精英/Boss分表</x:v>
      </x:c>
      <x:c r="E17" s="65" t="str">
        <x:v>战斗实时入账，失败仍保留已击杀所得</x:v>
      </x:c>
      <x:c r="F17" s="65" t="str">
        <x:v>章节与怪物 / 难度参数</x:v>
      </x:c>
      <x:c r="G17" s="65" t="str">
        <x:v>app.js:397 · MONSTER_PROFILES</x:v>
      </x:c>
    </x:row>
    <x:row r="18" ht="56" customHeight="1">
      <x:c r="A18" s="65" t="str">
        <x:v>金币</x:v>
      </x:c>
      <x:c r="B18" s="65" t="str">
        <x:v>产出</x:v>
      </x:c>
      <x:c r="C18" s="65" t="str">
        <x:v>铜钱棋子消除</x:v>
      </x:c>
      <x:c r="D18" s="65" t="str">
        <x:v>3/4/5/6+连分别50/120/280/680</x:v>
      </x:c>
      <x:c r="E18" s="65" t="str">
        <x:v>同种同级连续消除；不是步数宝箱</x:v>
      </x:c>
      <x:c r="F18" s="65" t="str">
        <x:v>经济参数</x:v>
      </x:c>
      <x:c r="G18" s="65" t="str">
        <x:v>app.js:2761 · eliminateMatches</x:v>
      </x:c>
    </x:row>
    <x:row r="19" ht="56" customHeight="1">
      <x:c r="A19" s="65" t="str">
        <x:v>金币</x:v>
      </x:c>
      <x:c r="B19" s="65" t="str">
        <x:v>产出</x:v>
      </x:c>
      <x:c r="C19" s="65" t="str">
        <x:v>每日登录</x:v>
      </x:c>
      <x:c r="D19" s="65" t="n">
        <x:f>'经济参数'!$E$28</x:f>
        <x:v>50</x:v>
      </x:c>
      <x:c r="E19" s="65" t="str">
        <x:v>自然日一次，手动领取</x:v>
      </x:c>
      <x:c r="F19" s="65" t="str">
        <x:v>经济参数</x:v>
      </x:c>
      <x:c r="G19" s="65" t="str">
        <x:v>app.js:1225 · claimDailyLogin</x:v>
      </x:c>
    </x:row>
    <x:row r="20" ht="56" customHeight="1">
      <x:c r="A20" s="65" t="str">
        <x:v>元宝</x:v>
      </x:c>
      <x:c r="B20" s="65" t="str">
        <x:v>产出</x:v>
      </x:c>
      <x:c r="C20" s="65" t="str">
        <x:v>关卡三档宝箱</x:v>
      </x:c>
      <x:c r="D20" s="65" t="str">
        <x:v>通关5、&gt;50%血10、满血15</x:v>
      </x:c>
      <x:c r="E20" s="65" t="str">
        <x:v>每关每档一次，三档叠加；重复通关不再产出</x:v>
      </x:c>
      <x:c r="F20" s="65" t="str">
        <x:v>经济参数</x:v>
      </x:c>
      <x:c r="G20" s="65" t="str">
        <x:v>app.js:39 · STAGE_CHEST_META</x:v>
      </x:c>
    </x:row>
    <x:row r="21" ht="56" customHeight="1">
      <x:c r="A21" s="65" t="str">
        <x:v>金币/强化石</x:v>
      </x:c>
      <x:c r="B21" s="65" t="str">
        <x:v>产出</x:v>
      </x:c>
      <x:c r="C21" s="65" t="str">
        <x:v>每日完成1局</x:v>
      </x:c>
      <x:c r="D21" s="65" t="str">
        <x:v>80金币+当前档强化石</x:v>
      </x:c>
      <x:c r="E21" s="65" t="str">
        <x:v>一次；失败完成一局也可推进</x:v>
      </x:c>
      <x:c r="F21" s="65" t="str">
        <x:v>材料与任务 / 经济参数</x:v>
      </x:c>
      <x:c r="G21" s="65" t="str">
        <x:v>app.js:1175 · getDailyTaskReward</x:v>
      </x:c>
    </x:row>
    <x:row r="22" ht="56" customHeight="1">
      <x:c r="A22" s="65" t="str">
        <x:v>金币/强化石</x:v>
      </x:c>
      <x:c r="B22" s="65" t="str">
        <x:v>产出</x:v>
      </x:c>
      <x:c r="C22" s="65" t="str">
        <x:v>每日消除30棋子</x:v>
      </x:c>
      <x:c r="D22" s="65" t="str">
        <x:v>120金币+当前档强化石</x:v>
      </x:c>
      <x:c r="E22" s="65" t="str">
        <x:v>一次，按最高解锁关卡取档</x:v>
      </x:c>
      <x:c r="F22" s="65" t="str">
        <x:v>材料与任务 / 经济参数</x:v>
      </x:c>
      <x:c r="G22" s="65" t="str">
        <x:v>app.js:1175 · getDailyTaskReward</x:v>
      </x:c>
    </x:row>
    <x:row r="23" ht="56" customHeight="1">
      <x:c r="A23" s="65" t="str">
        <x:v>元宝/升星石</x:v>
      </x:c>
      <x:c r="B23" s="65" t="str">
        <x:v>产出</x:v>
      </x:c>
      <x:c r="C23" s="65" t="str">
        <x:v>每日击败20怪</x:v>
      </x:c>
      <x:c r="D23" s="65" t="str">
        <x:v>10元宝+当前档升星石</x:v>
      </x:c>
      <x:c r="E23" s="65" t="str">
        <x:v>一次</x:v>
      </x:c>
      <x:c r="F23" s="65" t="str">
        <x:v>材料与任务 / 经济参数</x:v>
      </x:c>
      <x:c r="G23" s="65" t="str">
        <x:v>app.js:1175 · getDailyTaskReward</x:v>
      </x:c>
    </x:row>
    <x:row r="24" ht="56" customHeight="1">
      <x:c r="A24" s="65" t="str">
        <x:v>金币/元宝</x:v>
      </x:c>
      <x:c r="B24" s="65" t="str">
        <x:v>产出</x:v>
      </x:c>
      <x:c r="C24" s="65" t="str">
        <x:v>每日参加军报</x:v>
      </x:c>
      <x:c r="D24" s="65" t="str">
        <x:v>150金币+20元宝</x:v>
      </x:c>
      <x:c r="E24" s="65" t="str">
        <x:v>一次，必须实际参加事件</x:v>
      </x:c>
      <x:c r="F24" s="65" t="str">
        <x:v>经济参数</x:v>
      </x:c>
      <x:c r="G24" s="65" t="str">
        <x:v>app.js:1175 · getDailyTaskReward</x:v>
      </x:c>
    </x:row>
    <x:row r="25" ht="56" customHeight="1">
      <x:c r="A25" s="65" t="str">
        <x:v>金币/强化石</x:v>
      </x:c>
      <x:c r="B25" s="65" t="str">
        <x:v>产出</x:v>
      </x:c>
      <x:c r="C25" s="65" t="str">
        <x:v>每日强化1次</x:v>
      </x:c>
      <x:c r="D25" s="65" t="str">
        <x:v>80金币+max(1,floor(完成局数任务材料/2))</x:v>
      </x:c>
      <x:c r="E25" s="65" t="str">
        <x:v>一次，需进行操作</x:v>
      </x:c>
      <x:c r="F25" s="65" t="str">
        <x:v>材料与任务 / 经济参数</x:v>
      </x:c>
      <x:c r="G25" s="65" t="str">
        <x:v>app.js:1175 · getDailyTaskReward</x:v>
      </x:c>
    </x:row>
    <x:row r="26" ht="56" customHeight="1">
      <x:c r="A26" s="65" t="str">
        <x:v>金币/升星石</x:v>
      </x:c>
      <x:c r="B26" s="65" t="str">
        <x:v>产出</x:v>
      </x:c>
      <x:c r="C26" s="65" t="str">
        <x:v>每日升星1次</x:v>
      </x:c>
      <x:c r="D26" s="65" t="str">
        <x:v>80金币+max(1,ceil(击杀任务材料/2))</x:v>
      </x:c>
      <x:c r="E26" s="65" t="str">
        <x:v>一次，失败尝试也计数</x:v>
      </x:c>
      <x:c r="F26" s="65" t="str">
        <x:v>材料与任务 / 经济参数</x:v>
      </x:c>
      <x:c r="G26" s="65" t="str">
        <x:v>app.js:1175 · getDailyTaskReward</x:v>
      </x:c>
    </x:row>
    <x:row r="27" ht="56" customHeight="1">
      <x:c r="A27" s="65" t="str">
        <x:v>元宝</x:v>
      </x:c>
      <x:c r="B27" s="65" t="str">
        <x:v>产出</x:v>
      </x:c>
      <x:c r="C27" s="65" t="str">
        <x:v>商店广告</x:v>
      </x:c>
      <x:c r="D27" s="65" t="n">
        <x:f>'经济参数'!$E$36</x:f>
        <x:v>10</x:v>
      </x:c>
      <x:c r="E27" s="65" t="str">
        <x:v>每日5次，与体力/局内广告分开</x:v>
      </x:c>
      <x:c r="F27" s="65" t="str">
        <x:v>经济参数</x:v>
      </x:c>
      <x:c r="G27" s="65" t="str">
        <x:v>app.js:33 · SHOP_AD_YUANBAO</x:v>
      </x:c>
    </x:row>
    <x:row r="28" ht="56" customHeight="1">
      <x:c r="A28" s="65" t="str">
        <x:v>金币/元宝</x:v>
      </x:c>
      <x:c r="B28" s="65" t="str">
        <x:v>产出</x:v>
      </x:c>
      <x:c r="C28" s="65" t="str">
        <x:v>军报结算</x:v>
      </x:c>
      <x:c r="D28" s="65" t="str">
        <x:v>金币主线基数×2～5，元宝15～40</x:v>
      </x:c>
      <x:c r="E28" s="65" t="str">
        <x:v>胜利随机；失败给最低，复活只补差</x:v>
      </x:c>
      <x:c r="F28" s="65" t="str">
        <x:v>经济参数</x:v>
      </x:c>
      <x:c r="G28" s="65" t="str">
        <x:v>app.js:5604 · rollBeastRaidReward</x:v>
      </x:c>
    </x:row>
    <x:row r="29" ht="56" customHeight="1">
      <x:c r="A29" s="65" t="str">
        <x:v>强化石/升星石</x:v>
      </x:c>
      <x:c r="B29" s="65" t="str">
        <x:v>产出</x:v>
      </x:c>
      <x:c r="C29" s="65" t="str">
        <x:v>军报结算</x:v>
      </x:c>
      <x:c r="D29" s="65" t="str">
        <x:v>45%/25%概率分别给主线材料×2</x:v>
      </x:c>
      <x:c r="E29" s="65" t="str">
        <x:v>仅胜利；两种材料独立抽样</x:v>
      </x:c>
      <x:c r="F29" s="65" t="str">
        <x:v>经济参数</x:v>
      </x:c>
      <x:c r="G29" s="65" t="str">
        <x:v>app.js:5604 · rollBeastRaidReward</x:v>
      </x:c>
    </x:row>
    <x:row r="30" ht="56" customHeight="1">
      <x:c r="A30" s="65" t="str">
        <x:v>装备</x:v>
      </x:c>
      <x:c r="B30" s="65" t="str">
        <x:v>产出</x:v>
      </x:c>
      <x:c r="C30" s="65" t="str">
        <x:v>主线胜利</x:v>
      </x:c>
      <x:c r="D30" s="65" t="n">
        <x:f>'经济参数'!$E$46</x:f>
        <x:v>0.68</x:v>
      </x:c>
      <x:c r="E30" s="65" t="str">
        <x:v>基础68%；连续3胜无掉落则第4胜必出；败局不抽</x:v>
      </x:c>
      <x:c r="F30" s="65" t="str">
        <x:v>装备掉落</x:v>
      </x:c>
      <x:c r="G30" s="65" t="str">
        <x:v>app.js:175 · EQUIPMENT_DROP_CHANCE</x:v>
      </x:c>
    </x:row>
    <x:row r="31" ht="56" customHeight="1">
      <x:c r="A31" s="65" t="str">
        <x:v>装备</x:v>
      </x:c>
      <x:c r="B31" s="65" t="str">
        <x:v>产出</x:v>
      </x:c>
      <x:c r="C31" s="65" t="str">
        <x:v>结算广告</x:v>
      </x:c>
      <x:c r="D31" s="65" t="n">
        <x:f>'经济参数'!$E$27</x:f>
        <x:v>0.35</x:v>
      </x:c>
      <x:c r="E31" s="65" t="str">
        <x:v>每个胜利结算最多一次；独立抽取，不推进主线保底</x:v>
      </x:c>
      <x:c r="F31" s="65" t="str">
        <x:v>广告成长对照 / 经济参数</x:v>
      </x:c>
      <x:c r="G31" s="65" t="str">
        <x:v>app.js:1901 · grantSettlementAdEquipmentDrop</x:v>
      </x:c>
    </x:row>
    <x:row r="32" ht="56" customHeight="1">
      <x:c r="A32" s="65" t="str">
        <x:v>装备</x:v>
      </x:c>
      <x:c r="B32" s="65" t="str">
        <x:v>产出</x:v>
      </x:c>
      <x:c r="C32" s="65" t="str">
        <x:v>军报结算</x:v>
      </x:c>
      <x:c r="D32" s="65" t="n">
        <x:v>1</x:v>
      </x:c>
      <x:c r="E32" s="65" t="str">
        <x:v>胜负均一件；主线最高有掉率品质+0～1档，封顶金色</x:v>
      </x:c>
      <x:c r="F32" s="65" t="str">
        <x:v>经济参数 / 装备掉落</x:v>
      </x:c>
      <x:c r="G32" s="65" t="str">
        <x:v>app.js:5624 · settleBeastRaid</x:v>
      </x:c>
    </x:row>
    <x:row r="33" ht="56" customHeight="1">
      <x:c r="A33" s="65" t="str">
        <x:v>装备</x:v>
      </x:c>
      <x:c r="B33" s="65" t="str">
        <x:v>转化</x:v>
      </x:c>
      <x:c r="C33" s="65" t="str">
        <x:v>5合1</x:v>
      </x:c>
      <x:c r="D33" s="65" t="str">
        <x:v>同品质5件→高一级随机部位1件</x:v>
      </x:c>
      <x:c r="E33" s="65" t="str">
        <x:v>失败全损；金币仍扣；成功率随品质递减</x:v>
      </x:c>
      <x:c r="F33" s="65" t="str">
        <x:v>装备品质</x:v>
      </x:c>
      <x:c r="G33" s="65" t="str">
        <x:v>app.js:173 · EQUIPMENT_SYNTHESIS_RATES</x:v>
      </x:c>
    </x:row>
    <x:row r="34" ht="56" customHeight="1">
      <x:c r="A34" s="65" t="str">
        <x:v>金币</x:v>
      </x:c>
      <x:c r="B34" s="65" t="str">
        <x:v>条件产出</x:v>
      </x:c>
      <x:c r="C34" s="65" t="str">
        <x:v>合成额外奖励</x:v>
      </x:c>
      <x:c r="D34" s="65" t="str">
        <x:v>当前开关关闭</x:v>
      </x:c>
      <x:c r="E34" s="65" t="str">
        <x:v>开启后仅成功合成，有10%几率返产物售价×2</x:v>
      </x:c>
      <x:c r="F34" s="65" t="str">
        <x:v>经济参数</x:v>
      </x:c>
      <x:c r="G34" s="65" t="str">
        <x:v>app.js:174 · EQUIPMENT_SYNTHESIS_BONUS</x:v>
      </x:c>
    </x:row>
    <x:row r="35" ht="56" customHeight="1">
      <x:c r="A35" s="65" t="str">
        <x:v>装备</x:v>
      </x:c>
      <x:c r="B35" s="65" t="str">
        <x:v>消耗</x:v>
      </x:c>
      <x:c r="C35" s="65" t="str">
        <x:v>出售/批量回收</x:v>
      </x:c>
      <x:c r="D35" s="65" t="str">
        <x:v>1件→round(10×品质系数)金币</x:v>
      </x:c>
      <x:c r="E35" s="65" t="str">
        <x:v>当前10/13/16/20/25/32/40，非向下取整</x:v>
      </x:c>
      <x:c r="F35" s="65" t="str">
        <x:v>装备品质</x:v>
      </x:c>
      <x:c r="G35" s="65" t="str">
        <x:v>app.js:1915 · equipmentSalePrice</x:v>
      </x:c>
    </x:row>
    <x:row r="36" ht="56" customHeight="1">
      <x:c r="A36" s="65" t="str">
        <x:v>装备/元宝</x:v>
      </x:c>
      <x:c r="B36" s="65" t="str">
        <x:v>消耗</x:v>
      </x:c>
      <x:c r="C36" s="65" t="str">
        <x:v>武将突破</x:v>
      </x:c>
      <x:c r="D36" s="65" t="str">
        <x:v>6件同品质已穿装备+元宝</x:v>
      </x:c>
      <x:c r="E36" s="65" t="str">
        <x:v>品质提升，基础属性永久吸收；强化/升星保留在槽位</x:v>
      </x:c>
      <x:c r="F36" s="65" t="str">
        <x:v>装备品质</x:v>
      </x:c>
      <x:c r="G36" s="65" t="str">
        <x:v>app.js:171 · EQUIPMENT_BREAKTHROUGH_COSTS</x:v>
      </x:c>
    </x:row>
    <x:row r="37" ht="56" customHeight="1">
      <x:c r="A37" s="65" t="str">
        <x:v>金币/强化石</x:v>
      </x:c>
      <x:c r="B37" s="65" t="str">
        <x:v>消耗</x:v>
      </x:c>
      <x:c r="C37" s="65" t="str">
        <x:v>装备强化</x:v>
      </x:c>
      <x:c r="D37" s="65" t="str">
        <x:v>等级阶梯材料与金币</x:v>
      </x:c>
      <x:c r="E37" s="65" t="str">
        <x:v>必成；可强化空槽，但空槽不生效</x:v>
      </x:c>
      <x:c r="F37" s="65" t="str">
        <x:v>强化消耗</x:v>
      </x:c>
      <x:c r="G37" s="65" t="str">
        <x:v>app.js:4507 · forgeEnhanceCost</x:v>
      </x:c>
    </x:row>
    <x:row r="38" ht="56" customHeight="1">
      <x:c r="A38" s="65" t="str">
        <x:v>金币/升星石</x:v>
      </x:c>
      <x:c r="B38" s="65" t="str">
        <x:v>消耗</x:v>
      </x:c>
      <x:c r="C38" s="65" t="str">
        <x:v>装备升星</x:v>
      </x:c>
      <x:c r="D38" s="65" t="str">
        <x:v>星级阶梯材料与金币</x:v>
      </x:c>
      <x:c r="E38" s="65" t="str">
        <x:v>每次都扣；失败不降星，无失败保底</x:v>
      </x:c>
      <x:c r="F38" s="65" t="str">
        <x:v>升星消耗</x:v>
      </x:c>
      <x:c r="G38" s="65" t="str">
        <x:v>app.js:4517 · forgeStarCost</x:v>
      </x:c>
    </x:row>
    <x:row r="39" ht="56" customHeight="1">
      <x:c r="A39" s="65" t="str">
        <x:v>元宝</x:v>
      </x:c>
      <x:c r="B39" s="65" t="str">
        <x:v>消耗</x:v>
      </x:c>
      <x:c r="C39" s="65" t="str">
        <x:v>边塞商店</x:v>
      </x:c>
      <x:c r="D39" s="65" t="str">
        <x:v>材料/金币共12档商品</x:v>
      </x:c>
      <x:c r="E39" s="65" t="str">
        <x:v>不限次数；同种商品等比例大包</x:v>
      </x:c>
      <x:c r="F39" s="65" t="str">
        <x:v>商店与兑换</x:v>
      </x:c>
      <x:c r="G39" s="65" t="str">
        <x:v>app.js:5278 · showShop</x:v>
      </x:c>
    </x:row>
    <x:row r="40" ht="56" customHeight="1">
      <x:c r="A40" s="65" t="str">
        <x:v>元宝</x:v>
      </x:c>
      <x:c r="B40" s="65" t="str">
        <x:v>消耗</x:v>
      </x:c>
      <x:c r="C40" s="65" t="str">
        <x:v>打造缺料弹窗</x:v>
      </x:c>
      <x:c r="D40" s="65" t="str">
        <x:v>20元宝→40强化石或4升星石</x:v>
      </x:c>
      <x:c r="E40" s="65" t="str">
        <x:v>与边塞商店统一，定位为材料缺口补充</x:v>
      </x:c>
      <x:c r="F40" s="65" t="str">
        <x:v>商店与兑换</x:v>
      </x:c>
      <x:c r="G40" s="65" t="str">
        <x:v>app.js:217 · FORGE_ECONOMY</x:v>
      </x:c>
    </x:row>
    <x:row r="41" ht="56" customHeight="1">
      <x:c r="A41" s="65" t="str">
        <x:v>元宝</x:v>
      </x:c>
      <x:c r="B41" s="65" t="str">
        <x:v>消耗</x:v>
      </x:c>
      <x:c r="C41" s="65" t="str">
        <x:v>主角突破</x:v>
      </x:c>
      <x:c r="D41" s="65" t="str">
        <x:v>150+100×已突破阶数</x:v>
      </x:c>
      <x:c r="E41" s="65" t="str">
        <x:v>每10级门槛，开放后续等级区间</x:v>
      </x:c>
      <x:c r="F41" s="65" t="str">
        <x:v>经济参数 / 主角与技能</x:v>
      </x:c>
      <x:c r="G41" s="65" t="str">
        <x:v>app.js:1640 · getHeroBreakthroughCost</x:v>
      </x:c>
    </x:row>
    <x:row r="42" ht="56" customHeight="1">
      <x:c r="A42" s="65" t="str">
        <x:v>金币</x:v>
      </x:c>
      <x:c r="B42" s="65" t="str">
        <x:v>未生效</x:v>
      </x:c>
      <x:c r="C42" s="65" t="str">
        <x:v>旧版主角金币升级</x:v>
      </x:c>
      <x:c r="D42" s="65" t="str">
        <x:v>旧常量仍在，但无当前升级入口</x:v>
      </x:c>
      <x:c r="E42" s="65" t="str">
        <x:v>不能计入金币消耗；现版按经验自动升级</x:v>
      </x:c>
      <x:c r="F42" s="65" t="str">
        <x:v>主角与技能</x:v>
      </x:c>
      <x:c r="G42" s="65" t="str">
        <x:v>app.js:4442 · awardHeroExp</x:v>
      </x:c>
    </x:row>
    <x:row r="43" ht="56" customHeight="1">
      <x:c r="A43" s="65" t="str">
        <x:v>经验</x:v>
      </x:c>
      <x:c r="B43" s="65" t="str">
        <x:v>产出</x:v>
      </x:c>
      <x:c r="C43" s="65" t="str">
        <x:v>主线胜利</x:v>
      </x:c>
      <x:c r="D43" s="65" t="str">
        <x:v>10体力×100×当前主角等级</x:v>
      </x:c>
      <x:c r="E43" s="65" t="str">
        <x:v>失败不发；结算广告可再补发一次；升1级防线+1HP</x:v>
      </x:c>
      <x:c r="F43" s="65" t="str">
        <x:v>主角与技能 / 广告成长对照</x:v>
      </x:c>
      <x:c r="G43" s="65" t="str">
        <x:v>app.js:4439 · heroExpPerStage</x:v>
      </x:c>
    </x:row>
    <x:row r="44" ht="56" customHeight="1">
      <x:c r="A44" s="65" t="str">
        <x:v>局内步数</x:v>
      </x:c>
      <x:c r="B44" s="65" t="str">
        <x:v>产出</x:v>
      </x:c>
      <x:c r="C44" s="65" t="str">
        <x:v>每波操作期</x:v>
      </x:c>
      <x:c r="D44" s="65" t="n">
        <x:v>8</x:v>
      </x:c>
      <x:c r="E44" s="65" t="str">
        <x:v>仅局内，不存入永久背包</x:v>
      </x:c>
      <x:c r="F44" s="65" t="str">
        <x:v>代码规则</x:v>
      </x:c>
      <x:c r="G44" s="65" t="str">
        <x:v>app.js:3638 · state.steps = 8;</x:v>
      </x:c>
    </x:row>
    <x:row r="45" ht="56" customHeight="1">
      <x:c r="A45" s="65" t="str">
        <x:v>局内步数</x:v>
      </x:c>
      <x:c r="B45" s="65" t="str">
        <x:v>消耗</x:v>
      </x:c>
      <x:c r="C45" s="65" t="str">
        <x:v>相邻棋子交换</x:v>
      </x:c>
      <x:c r="D45" s="65" t="n">
        <x:v>1</x:v>
      </x:c>
      <x:c r="E45" s="65" t="str">
        <x:v>未连线也扣步；不可交换非相邻格</x:v>
      </x:c>
      <x:c r="F45" s="65" t="str">
        <x:v>代码规则</x:v>
      </x:c>
      <x:c r="G45" s="65" t="str">
        <x:v>app.js:2761 · eliminateMatches</x:v>
      </x:c>
    </x:row>
    <x:row r="46" ht="56" customHeight="1">
      <x:c r="A46" s="65" t="str">
        <x:v>局内步数</x:v>
      </x:c>
      <x:c r="B46" s="65" t="str">
        <x:v>产出</x:v>
      </x:c>
      <x:c r="C46" s="65" t="str">
        <x:v>普通4+连消</x:v>
      </x:c>
      <x:c r="D46" s="65" t="str">
        <x:v>4消20%返1步，5消40%，以此到100%</x:v>
      </x:c>
      <x:c r="E46" s="65" t="str">
        <x:v>自动连锁逐簇判定；同种同级至少3连</x:v>
      </x:c>
      <x:c r="F46" s="65" t="str">
        <x:v>代码规则</x:v>
      </x:c>
      <x:c r="G46" s="65" t="str">
        <x:v>app.js:2761 · eliminateMatches</x:v>
      </x:c>
    </x:row>
    <x:row r="47" ht="56" customHeight="1">
      <x:c r="A47" s="65" t="str">
        <x:v>局内步数</x:v>
      </x:c>
      <x:c r="B47" s="65" t="str">
        <x:v>产出</x:v>
      </x:c>
      <x:c r="C47" s="65" t="str">
        <x:v>宝箱棋子消除</x:v>
      </x:c>
      <x:c r="D47" s="65" t="str">
        <x:v>数量-2步</x:v>
      </x:c>
      <x:c r="E47" s="65" t="str">
        <x:v>3消1，4消2；与首通元宝宝箱不同</x:v>
      </x:c>
      <x:c r="F47" s="65" t="str">
        <x:v>代码规则</x:v>
      </x:c>
      <x:c r="G47" s="65" t="str">
        <x:v>app.js:2761 · eliminateMatches</x:v>
      </x:c>
    </x:row>
    <x:row r="48" ht="56" customHeight="1">
      <x:c r="A48" s="65" t="str">
        <x:v>局内步数</x:v>
      </x:c>
      <x:c r="B48" s="65" t="str">
        <x:v>产出</x:v>
      </x:c>
      <x:c r="C48" s="65" t="str">
        <x:v>加步广告</x:v>
      </x:c>
      <x:c r="D48" s="65" t="n">
        <x:f>'经济参数'!$E$77</x:f>
        <x:v>3</x:v>
      </x:c>
      <x:c r="E48" s="65" t="str">
        <x:v>当前步数低于11可点，未找到每局总次数上限</x:v>
      </x:c>
      <x:c r="F48" s="65" t="str">
        <x:v>经济参数</x:v>
      </x:c>
      <x:c r="G48" s="65" t="str">
        <x:v>app.js:5925 · placement: "额外步数"</x:v>
      </x:c>
    </x:row>
    <x:row r="49" ht="56" customHeight="1">
      <x:c r="A49" s="65" t="str">
        <x:v>局内机会</x:v>
      </x:c>
      <x:c r="B49" s="65" t="str">
        <x:v>产出</x:v>
      </x:c>
      <x:c r="C49" s="65" t="str">
        <x:v>提示广告</x:v>
      </x:c>
      <x:c r="D49" s="65" t="n">
        <x:f>'经济参数'!$E$75</x:f>
        <x:v>5</x:v>
      </x:c>
      <x:c r="E49" s="65" t="str">
        <x:v>每局至多5次，完成广告才给提示</x:v>
      </x:c>
      <x:c r="F49" s="65" t="str">
        <x:v>经济参数</x:v>
      </x:c>
      <x:c r="G49" s="65" t="str">
        <x:v>app.js:124 · MAX_MERGE_HINTS</x:v>
      </x:c>
    </x:row>
    <x:row r="50" ht="56" customHeight="1">
      <x:c r="A50" s="65" t="str">
        <x:v>局内机会</x:v>
      </x:c>
      <x:c r="B50" s="65" t="str">
        <x:v>产出</x:v>
      </x:c>
      <x:c r="C50" s="65" t="str">
        <x:v>洗牌广告</x:v>
      </x:c>
      <x:c r="D50" s="65" t="n">
        <x:f>'经济参数'!$E$76</x:f>
        <x:v>3</x:v>
      </x:c>
      <x:c r="E50" s="65" t="str">
        <x:v>每局至多3次，不消耗步数</x:v>
      </x:c>
      <x:c r="F50" s="65" t="str">
        <x:v>经济参数</x:v>
      </x:c>
      <x:c r="G50" s="65" t="str">
        <x:v>app.js:125 · MAX_BOARD_SHUFFLES</x:v>
      </x:c>
    </x:row>
    <x:row r="51" ht="56" customHeight="1">
      <x:c r="A51" s="65" t="str">
        <x:v>局内机会</x:v>
      </x:c>
      <x:c r="B51" s="65" t="str">
        <x:v>产出</x:v>
      </x:c>
      <x:c r="C51" s="65" t="str">
        <x:v>复活广告</x:v>
      </x:c>
      <x:c r="D51" s="65" t="n">
        <x:v>1</x:v>
      </x:c>
      <x:c r="E51" s="65" t="str">
        <x:v>每局一次，不再扣体力；只补高档结算差额</x:v>
      </x:c>
      <x:c r="F51" s="65" t="str">
        <x:v>代码规则</x:v>
      </x:c>
      <x:c r="G51" s="65" t="str">
        <x:v>app.js:3956 · showVictory</x:v>
      </x:c>
    </x:row>
    <x:row r="52" ht="56" customHeight="1">
      <x:c r="A52" s="65" t="str">
        <x:v>局内防线HP</x:v>
      </x:c>
      <x:c r="B52" s="65" t="str">
        <x:v>产出</x:v>
      </x:c>
      <x:c r="C52" s="65" t="str">
        <x:v>葫芦棋子消除</x:v>
      </x:c>
      <x:c r="D52" s="65" t="str">
        <x:v>3/4消回1HP，5+消回2HP</x:v>
      </x:c>
      <x:c r="E52" s="65" t="str">
        <x:v>不超过当前最大防线血量</x:v>
      </x:c>
      <x:c r="F52" s="65" t="str">
        <x:v>代码规则</x:v>
      </x:c>
      <x:c r="G52" s="65" t="str">
        <x:v>app.js:2761 · eliminateMatches</x:v>
      </x:c>
    </x:row>
    <x:row r="53" ht="56" customHeight="1">
      <x:c r="A53" s="65" t="str">
        <x:v>局内控制/伤害</x:v>
      </x:c>
      <x:c r="B53" s="65" t="str">
        <x:v>产出</x:v>
      </x:c>
      <x:c r="C53" s="65" t="str">
        <x:v>陷阱/地雷消除</x:v>
      </x:c>
      <x:c r="D53" s="65" t="str">
        <x:v>陷阱(n-2)×0.5秒；地雷(n-2)×60伤害</x:v>
      </x:c>
      <x:c r="E53" s="65" t="str">
        <x:v>升级同类棋子，触碰对应格生效</x:v>
      </x:c>
      <x:c r="F53" s="65" t="str">
        <x:v>代码规则</x:v>
      </x:c>
      <x:c r="G53" s="65" t="str">
        <x:v>app.js:2761 · eliminateMatches</x:v>
      </x:c>
    </x:row>
    <x:row r="54" ht="56" customHeight="1">
      <x:c r="A54" s="65" t="str">
        <x:v>卡牌效果</x:v>
      </x:c>
      <x:c r="B54" s="65" t="str">
        <x:v>产出</x:v>
      </x:c>
      <x:c r="C54" s="65" t="str">
        <x:v>击杀三选一</x:v>
      </x:c>
      <x:c r="D54" s="65" t="str">
        <x:v>新增击杀4/8/13/18/23/28，共94</x:v>
      </x:c>
      <x:c r="E54" s="65" t="str">
        <x:v>每局最多6次；短关怪物不够则到不了6次</x:v>
      </x:c>
      <x:c r="F54" s="65" t="str">
        <x:v>难度参数</x:v>
      </x:c>
      <x:c r="G54" s="65" t="str">
        <x:v>app.js:25 · CARD_KILL_STEPS</x:v>
      </x:c>
    </x:row>
    <x:row r="55" ht="56" customHeight="1">
      <x:c r="A55" s="65" t="str">
        <x:v>主角技能</x:v>
      </x:c>
      <x:c r="B55" s="65" t="str">
        <x:v>时间</x:v>
      </x:c>
      <x:c r="C55" s="65" t="str">
        <x:v>大招冷却</x:v>
      </x:c>
      <x:c r="D55" s="65" t="str">
        <x:v>各技能独立CD；每局随机队列</x:v>
      </x:c>
      <x:c r="E55" s="65" t="str">
        <x:v>玩家点击头像手动释放，无永久货币消耗</x:v>
      </x:c>
      <x:c r="F55" s="65" t="str">
        <x:v>主角与技能</x:v>
      </x:c>
      <x:c r="G55" s="65" t="str">
        <x:v>app.js:305 · HERO_SKILLS</x:v>
      </x:c>
    </x:row>
    <x:row r="56" ht="23" customHeight="1">
      <x:c r="A56" s="2"/>
      <x:c r="B56" s="2"/>
      <x:c r="C56" s="2"/>
      <x:c r="D56" s="2"/>
      <x:c r="E56" s="2"/>
      <x:c r="F56" s="2"/>
      <x:c r="G56" s="2"/>
    </x:row>
    <x:row r="57" ht="23" customHeight="1">
      <x:c r="A57" s="2"/>
      <x:c r="B57" s="2"/>
      <x:c r="C57" s="2"/>
      <x:c r="D57" s="2"/>
      <x:c r="E57" s="2"/>
      <x:c r="F57" s="2"/>
      <x:c r="G57" s="2"/>
    </x:row>
    <x:row r="58" ht="23" customHeight="1">
      <x:c r="A58" s="2"/>
      <x:c r="B58" s="2"/>
      <x:c r="C58" s="2"/>
      <x:c r="D58" s="2"/>
      <x:c r="E58" s="2"/>
      <x:c r="F58" s="2"/>
      <x:c r="G58" s="2"/>
    </x:row>
    <x:row r="59" ht="23" customHeight="1">
      <x:c r="A59" s="2"/>
      <x:c r="B59" s="2"/>
      <x:c r="C59" s="2"/>
      <x:c r="D59" s="2"/>
      <x:c r="E59" s="2"/>
      <x:c r="F59" s="2"/>
      <x:c r="G59" s="2"/>
    </x:row>
    <x:row r="60" ht="23" customHeight="1">
      <x:c r="A60" s="2"/>
      <x:c r="B60" s="2"/>
      <x:c r="C60" s="2"/>
      <x:c r="D60" s="2"/>
      <x:c r="E60" s="2"/>
      <x:c r="F60" s="2"/>
      <x:c r="G60" s="2"/>
    </x:row>
    <x:row r="61" ht="23" customHeight="1">
      <x:c r="A61" s="2"/>
      <x:c r="B61" s="2"/>
      <x:c r="C61" s="2"/>
      <x:c r="D61" s="2"/>
      <x:c r="E61" s="2"/>
      <x:c r="F61" s="2"/>
      <x:c r="G61" s="2"/>
    </x:row>
    <x:row r="62" ht="23" customHeight="1">
      <x:c r="A62" s="2"/>
      <x:c r="B62" s="2"/>
      <x:c r="C62" s="2"/>
      <x:c r="D62" s="2"/>
      <x:c r="E62" s="2"/>
      <x:c r="F62" s="2"/>
      <x:c r="G62" s="2"/>
    </x:row>
  </x:sheetData>
  <x:mergeCells>
    <x:mergeCell ref="A1:G2"/>
    <x:mergeCell ref="A3:G3"/>
    <x:mergeCell ref="B4:D4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8B9C9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27" hidden="0" customWidth="1"/>
    <x:col min="4" max="4" width="24" hidden="0" customWidth="1"/>
    <x:col min="5" max="5" width="29" hidden="0" customWidth="1"/>
    <x:col min="6" max="6" width="24" hidden="0" customWidth="1"/>
    <x:col min="7" max="7" width="18" hidden="0" customWidth="1"/>
    <x:col min="8" max="8" width="24" hidden="0" customWidth="1"/>
    <x:col min="9" max="9" width="42" hidden="0" customWidth="1"/>
    <x:col min="10" max="10" width="72" hidden="0" customWidth="1"/>
  </x:cols>
  <x:sheetData>
    <x:row r="1" ht="23" customHeight="1">
      <x:c r="A1" s="59" t="str">
        <x:v>16｜经验、突破与手动技能</x:v>
      </x:c>
      <x:c r="B1" s="60"/>
      <x:c r="C1" s="60"/>
      <x:c r="D1" s="60"/>
      <x:c r="E1" s="60"/>
      <x:c r="F1" s="60"/>
      <x:c r="G1" s="60"/>
      <x:c r="H1" s="60"/>
      <x:c r="I1" s="60"/>
      <x:c r="J1" s="60"/>
    </x:row>
    <x:row r="2" ht="23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</x:row>
    <x:row r="3" ht="44" customHeight="1">
      <x:c r="A3" s="61" t="str">
        <x:v>当前主角由胜利经验自动升级，不再花金币升级。技能按等级解锁，战斗内由玩家点击头像释放；每局从已解锁技能中随机生成队列。</x:v>
      </x:c>
      <x:c r="B3" s="61"/>
      <x:c r="C3" s="61"/>
      <x:c r="D3" s="61"/>
      <x:c r="E3" s="61"/>
      <x:c r="F3" s="61"/>
      <x:c r="G3" s="61"/>
      <x:c r="H3" s="61"/>
      <x:c r="I3" s="61"/>
      <x:c r="J3" s="61"/>
    </x:row>
    <x:row r="4" ht="23" customHeight="1">
      <x:c r="A4" s="62" t="str">
        <x:v>采用方案</x:v>
      </x:c>
      <x:c r="B4" s="62" t="str">
        <x:f>IF('使用说明'!$B$4=0,"工程当前","调优试算")</x:f>
        <x:v>工程当前</x:v>
      </x:c>
      <x:c r="C4" s="62"/>
      <x:c r="D4" s="62"/>
      <x:c r="E4" s="62"/>
      <x:c r="F4" s="62"/>
      <x:c r="G4" s="62"/>
      <x:c r="H4" s="62"/>
      <x:c r="I4" s="62"/>
      <x:c r="J4" s="62"/>
    </x:row>
    <x:row r="5" ht="23" customHeight="1">
      <x:c r="A5" s="62"/>
      <x:c r="B5" s="62"/>
      <x:c r="C5" s="62"/>
      <x:c r="D5" s="62"/>
      <x:c r="E5" s="62"/>
      <x:c r="F5" s="62"/>
      <x:c r="G5" s="62"/>
      <x:c r="H5" s="62"/>
      <x:c r="I5" s="62"/>
      <x:c r="J5" s="62"/>
    </x:row>
    <x:row r="6" ht="36" customHeight="1">
      <x:c r="A6" s="64" t="str">
        <x:v>顺序</x:v>
      </x:c>
      <x:c r="B6" s="64" t="str">
        <x:v>技能</x:v>
      </x:c>
      <x:c r="C6" s="64" t="str">
        <x:v>解锁等级</x:v>
      </x:c>
      <x:c r="D6" s="64" t="str">
        <x:v>技能CD秒</x:v>
      </x:c>
      <x:c r="E6" s="64" t="str">
        <x:v>最大HP伤害比例</x:v>
      </x:c>
      <x:c r="F6" s="64" t="str">
        <x:v>最低伤害</x:v>
      </x:c>
      <x:c r="G6" s="64" t="str">
        <x:v>禁锢秒</x:v>
      </x:c>
      <x:c r="H6" s="64" t="str">
        <x:v>防线回复</x:v>
      </x:c>
      <x:c r="I6" s="64" t="str">
        <x:v>释放方式</x:v>
      </x:c>
      <x:c r="J6" s="64" t="str">
        <x:v>效果说明</x:v>
      </x:c>
    </x:row>
    <x:row r="7" ht="46" customHeight="1">
      <x:c r="A7" s="65" t="n">
        <x:v>1</x:v>
      </x:c>
      <x:c r="B7" s="65" t="str">
        <x:v>裂地重击</x:v>
      </x:c>
      <x:c r="C7" s="65" t="n">
        <x:v>1</x:v>
      </x:c>
      <x:c r="D7" s="65" t="n">
        <x:v>18</x:v>
      </x:c>
      <x:c r="E7" s="128" t="n">
        <x:v>0.3</x:v>
      </x:c>
      <x:c r="F7" s="65" t="n">
        <x:v>55</x:v>
      </x:c>
      <x:c r="G7" s="65" t="n">
        <x:v>1.5</x:v>
      </x:c>
      <x:c r="H7" s="65" t="n">
        <x:v>0</x:v>
      </x:c>
      <x:c r="I7" s="65" t="str">
        <x:v>手动点击</x:v>
      </x:c>
      <x:c r="J7" s="65" t="str">
        <x:v>全场造成最大生命 30% 伤害（至少 55 点），禁锢 1.5 秒。</x:v>
      </x:c>
    </x:row>
    <x:row r="8" ht="46" customHeight="1">
      <x:c r="A8" s="65" t="n">
        <x:v>2</x:v>
      </x:c>
      <x:c r="B8" s="65" t="str">
        <x:v>幽影禁锢</x:v>
      </x:c>
      <x:c r="C8" s="65" t="n">
        <x:v>10</x:v>
      </x:c>
      <x:c r="D8" s="65" t="n">
        <x:v>26</x:v>
      </x:c>
      <x:c r="E8" s="128" t="n">
        <x:v>0</x:v>
      </x:c>
      <x:c r="F8" s="65" t="n">
        <x:v>0</x:v>
      </x:c>
      <x:c r="G8" s="65" t="n">
        <x:v>5</x:v>
      </x:c>
      <x:c r="H8" s="65" t="n">
        <x:v>0</x:v>
      </x:c>
      <x:c r="I8" s="65" t="str">
        <x:v>手动点击</x:v>
      </x:c>
      <x:c r="J8" s="65" t="str">
        <x:v>全场怪物禁锢 5 秒，不造成伤害。</x:v>
      </x:c>
    </x:row>
    <x:row r="9" ht="46" customHeight="1">
      <x:c r="A9" s="65" t="n">
        <x:v>3</x:v>
      </x:c>
      <x:c r="B9" s="65" t="str">
        <x:v>青风横扫</x:v>
      </x:c>
      <x:c r="C9" s="65" t="n">
        <x:v>20</x:v>
      </x:c>
      <x:c r="D9" s="65" t="n">
        <x:v>22</x:v>
      </x:c>
      <x:c r="E9" s="128" t="n">
        <x:v>0.45</x:v>
      </x:c>
      <x:c r="F9" s="65" t="n">
        <x:v>80</x:v>
      </x:c>
      <x:c r="G9" s="65" t="n">
        <x:v>1</x:v>
      </x:c>
      <x:c r="H9" s="65" t="n">
        <x:v>0</x:v>
      </x:c>
      <x:c r="I9" s="65" t="str">
        <x:v>手动点击</x:v>
      </x:c>
      <x:c r="J9" s="65" t="str">
        <x:v>全场造成最大生命 45% 伤害（至少 80 点），禁锢 1 秒。</x:v>
      </x:c>
    </x:row>
    <x:row r="10" ht="46" customHeight="1">
      <x:c r="A10" s="65" t="n">
        <x:v>4</x:v>
      </x:c>
      <x:c r="B10" s="65" t="str">
        <x:v>圣光护城</x:v>
      </x:c>
      <x:c r="C10" s="65" t="n">
        <x:v>30</x:v>
      </x:c>
      <x:c r="D10" s="65" t="n">
        <x:v>34</x:v>
      </x:c>
      <x:c r="E10" s="128" t="n">
        <x:v>0</x:v>
      </x:c>
      <x:c r="F10" s="65" t="n">
        <x:v>0</x:v>
      </x:c>
      <x:c r="G10" s="65" t="n">
        <x:v>2</x:v>
      </x:c>
      <x:c r="H10" s="65" t="n">
        <x:v>1</x:v>
      </x:c>
      <x:c r="I10" s="65" t="str">
        <x:v>手动点击</x:v>
      </x:c>
      <x:c r="J10" s="65" t="str">
        <x:v>恢复 1 点防线，并禁锢怪物 2 秒。</x:v>
      </x:c>
    </x:row>
    <x:row r="11" ht="46" customHeight="1">
      <x:c r="A11" s="65" t="n">
        <x:v>5</x:v>
      </x:c>
      <x:c r="B11" s="65" t="str">
        <x:v>烈焰风暴</x:v>
      </x:c>
      <x:c r="C11" s="65" t="n">
        <x:v>40</x:v>
      </x:c>
      <x:c r="D11" s="65" t="n">
        <x:v>24</x:v>
      </x:c>
      <x:c r="E11" s="128" t="n">
        <x:v>0.6</x:v>
      </x:c>
      <x:c r="F11" s="65" t="n">
        <x:v>120</x:v>
      </x:c>
      <x:c r="G11" s="65" t="n">
        <x:v>2.5</x:v>
      </x:c>
      <x:c r="H11" s="65" t="n">
        <x:v>0</x:v>
      </x:c>
      <x:c r="I11" s="65" t="str">
        <x:v>手动点击</x:v>
      </x:c>
      <x:c r="J11" s="65" t="str">
        <x:v>全场造成最大生命 60% 伤害（至少 120 点），禁锢 2.5 秒。</x:v>
      </x:c>
    </x:row>
    <x:row r="12" ht="46" customHeight="1">
      <x:c r="A12" s="65" t="n">
        <x:v>6</x:v>
      </x:c>
      <x:c r="B12" s="65" t="str">
        <x:v>雷霆裁决</x:v>
      </x:c>
      <x:c r="C12" s="65" t="n">
        <x:v>50</x:v>
      </x:c>
      <x:c r="D12" s="65" t="n">
        <x:v>22</x:v>
      </x:c>
      <x:c r="E12" s="128" t="n">
        <x:v>0.8</x:v>
      </x:c>
      <x:c r="F12" s="65" t="n">
        <x:v>160</x:v>
      </x:c>
      <x:c r="G12" s="65" t="n">
        <x:v>0</x:v>
      </x:c>
      <x:c r="H12" s="65" t="n">
        <x:v>0</x:v>
      </x:c>
      <x:c r="I12" s="65" t="str">
        <x:v>手动点击</x:v>
      </x:c>
      <x:c r="J12" s="65" t="str">
        <x:v>全场造成最大生命 80% 伤害（至少 160 点）。</x:v>
      </x:c>
    </x:row>
    <x:row r="13" ht="46" customHeight="1">
      <x:c r="A13" s="65" t="n">
        <x:v>7</x:v>
      </x:c>
      <x:c r="B13" s="65" t="str">
        <x:v>钢铁壁垒</x:v>
      </x:c>
      <x:c r="C13" s="65" t="n">
        <x:v>60</x:v>
      </x:c>
      <x:c r="D13" s="65" t="n">
        <x:v>38</x:v>
      </x:c>
      <x:c r="E13" s="128" t="n">
        <x:v>0</x:v>
      </x:c>
      <x:c r="F13" s="65" t="n">
        <x:v>0</x:v>
      </x:c>
      <x:c r="G13" s="65" t="n">
        <x:v>2</x:v>
      </x:c>
      <x:c r="H13" s="65" t="n">
        <x:v>3</x:v>
      </x:c>
      <x:c r="I13" s="65" t="str">
        <x:v>手动点击</x:v>
      </x:c>
      <x:c r="J13" s="65" t="str">
        <x:v>恢复 3 点防线，并禁锢全场怪物 2 秒。</x:v>
      </x:c>
    </x:row>
    <x:row r="14" ht="46" customHeight="1">
      <x:c r="A14" s="65" t="n">
        <x:v>8</x:v>
      </x:c>
      <x:c r="B14" s="65" t="str">
        <x:v>寒冰囚笼</x:v>
      </x:c>
      <x:c r="C14" s="65" t="n">
        <x:v>70</x:v>
      </x:c>
      <x:c r="D14" s="65" t="n">
        <x:v>32</x:v>
      </x:c>
      <x:c r="E14" s="128" t="n">
        <x:v>0</x:v>
      </x:c>
      <x:c r="F14" s="65" t="n">
        <x:v>0</x:v>
      </x:c>
      <x:c r="G14" s="65" t="n">
        <x:v>8</x:v>
      </x:c>
      <x:c r="H14" s="65" t="n">
        <x:v>0</x:v>
      </x:c>
      <x:c r="I14" s="65" t="str">
        <x:v>手动点击</x:v>
      </x:c>
      <x:c r="J14" s="65" t="str">
        <x:v>全场怪物禁锢 8 秒，不造成伤害。</x:v>
      </x:c>
    </x:row>
    <x:row r="15" ht="46" customHeight="1">
      <x:c r="A15" s="65" t="n">
        <x:v>9</x:v>
      </x:c>
      <x:c r="B15" s="65" t="str">
        <x:v>神圣审判</x:v>
      </x:c>
      <x:c r="C15" s="65" t="n">
        <x:v>80</x:v>
      </x:c>
      <x:c r="D15" s="65" t="n">
        <x:v>24</x:v>
      </x:c>
      <x:c r="E15" s="128" t="n">
        <x:v>1</x:v>
      </x:c>
      <x:c r="F15" s="65" t="n">
        <x:v>220</x:v>
      </x:c>
      <x:c r="G15" s="65" t="n">
        <x:v>3</x:v>
      </x:c>
      <x:c r="H15" s="65" t="n">
        <x:v>0</x:v>
      </x:c>
      <x:c r="I15" s="65" t="str">
        <x:v>手动点击</x:v>
      </x:c>
      <x:c r="J15" s="65" t="str">
        <x:v>全场造成最大生命 100% 伤害（至少 220 点），禁锢 3 秒。</x:v>
      </x:c>
    </x:row>
    <x:row r="16" ht="46" customHeight="1">
      <x:c r="A16" s="65" t="n">
        <x:v>10</x:v>
      </x:c>
      <x:c r="B16" s="65" t="str">
        <x:v>不屈意志</x:v>
      </x:c>
      <x:c r="C16" s="65" t="n">
        <x:v>90</x:v>
      </x:c>
      <x:c r="D16" s="65" t="n">
        <x:v>44</x:v>
      </x:c>
      <x:c r="E16" s="128" t="n">
        <x:v>0</x:v>
      </x:c>
      <x:c r="F16" s="65" t="n">
        <x:v>0</x:v>
      </x:c>
      <x:c r="G16" s="65" t="n">
        <x:v>3</x:v>
      </x:c>
      <x:c r="H16" s="65" t="str">
        <x:v>full</x:v>
      </x:c>
      <x:c r="I16" s="65" t="str">
        <x:v>手动点击</x:v>
      </x:c>
      <x:c r="J16" s="65" t="str">
        <x:v>防线回满，并禁锢全场怪物 3 秒。</x:v>
      </x:c>
    </x:row>
    <x:row r="17" ht="46" customHeight="1">
      <x:c r="A17" s="65" t="n">
        <x:v>11</x:v>
      </x:c>
      <x:c r="B17" s="65" t="str">
        <x:v>毁灭轰击</x:v>
      </x:c>
      <x:c r="C17" s="65" t="n">
        <x:v>100</x:v>
      </x:c>
      <x:c r="D17" s="65" t="n">
        <x:v>22</x:v>
      </x:c>
      <x:c r="E17" s="128" t="n">
        <x:v>1.3</x:v>
      </x:c>
      <x:c r="F17" s="65" t="n">
        <x:v>300</x:v>
      </x:c>
      <x:c r="G17" s="65" t="n">
        <x:v>0</x:v>
      </x:c>
      <x:c r="H17" s="65" t="n">
        <x:v>0</x:v>
      </x:c>
      <x:c r="I17" s="65" t="str">
        <x:v>手动点击</x:v>
      </x:c>
      <x:c r="J17" s="65" t="str">
        <x:v>全场造成最大生命 130% 伤害（至少 300 点）。</x:v>
      </x:c>
    </x:row>
    <x:row r="18" ht="46" customHeight="1">
      <x:c r="A18" s="65" t="n">
        <x:v>12</x:v>
      </x:c>
      <x:c r="B18" s="65" t="str">
        <x:v>诸神黄昏</x:v>
      </x:c>
      <x:c r="C18" s="65" t="n">
        <x:v>110</x:v>
      </x:c>
      <x:c r="D18" s="65" t="n">
        <x:v>34</x:v>
      </x:c>
      <x:c r="E18" s="128" t="n">
        <x:v>1.6</x:v>
      </x:c>
      <x:c r="F18" s="65" t="n">
        <x:v>400</x:v>
      </x:c>
      <x:c r="G18" s="65" t="n">
        <x:v>4</x:v>
      </x:c>
      <x:c r="H18" s="65" t="n">
        <x:v>0</x:v>
      </x:c>
      <x:c r="I18" s="65" t="str">
        <x:v>手动点击</x:v>
      </x:c>
      <x:c r="J18" s="65" t="str">
        <x:v>全场造成最大生命 160% 伤害（至少 400 点），禁锢 4 秒。</x:v>
      </x:c>
    </x:row>
    <x:row r="19" ht="46" customHeight="1">
      <x:c r="A19" s="65" t="n">
        <x:v>13</x:v>
      </x:c>
      <x:c r="B19" s="65" t="str">
        <x:v>天穹陨落</x:v>
      </x:c>
      <x:c r="C19" s="65" t="n">
        <x:v>120</x:v>
      </x:c>
      <x:c r="D19" s="65" t="n">
        <x:v>28</x:v>
      </x:c>
      <x:c r="E19" s="128" t="n">
        <x:v>2</x:v>
      </x:c>
      <x:c r="F19" s="65" t="n">
        <x:v>520</x:v>
      </x:c>
      <x:c r="G19" s="65" t="n">
        <x:v>2</x:v>
      </x:c>
      <x:c r="H19" s="65" t="n">
        <x:v>0</x:v>
      </x:c>
      <x:c r="I19" s="65" t="str">
        <x:v>手动点击</x:v>
      </x:c>
      <x:c r="J19" s="65" t="str">
        <x:v>全场造成最大生命 200% 伤害（至少 520 点），禁锢 2 秒。</x:v>
      </x:c>
    </x:row>
    <x:row r="20" ht="46" customHeight="1">
      <x:c r="A20" s="65" t="n">
        <x:v>14</x:v>
      </x:c>
      <x:c r="B20" s="65" t="str">
        <x:v>永冻结界</x:v>
      </x:c>
      <x:c r="C20" s="65" t="n">
        <x:v>130</x:v>
      </x:c>
      <x:c r="D20" s="65" t="n">
        <x:v>42</x:v>
      </x:c>
      <x:c r="E20" s="128" t="n">
        <x:v>0</x:v>
      </x:c>
      <x:c r="F20" s="65" t="n">
        <x:v>0</x:v>
      </x:c>
      <x:c r="G20" s="65" t="n">
        <x:v>12</x:v>
      </x:c>
      <x:c r="H20" s="65" t="n">
        <x:v>0</x:v>
      </x:c>
      <x:c r="I20" s="65" t="str">
        <x:v>手动点击</x:v>
      </x:c>
      <x:c r="J20" s="65" t="str">
        <x:v>全场怪物禁锢 12 秒，不造成伤害。</x:v>
      </x:c>
    </x:row>
    <x:row r="21" ht="46" customHeight="1">
      <x:c r="A21" s="65" t="n">
        <x:v>15</x:v>
      </x:c>
      <x:c r="B21" s="65" t="str">
        <x:v>生命圣域</x:v>
      </x:c>
      <x:c r="C21" s="65" t="n">
        <x:v>140</x:v>
      </x:c>
      <x:c r="D21" s="65" t="n">
        <x:v>52</x:v>
      </x:c>
      <x:c r="E21" s="128" t="n">
        <x:v>0</x:v>
      </x:c>
      <x:c r="F21" s="65" t="n">
        <x:v>0</x:v>
      </x:c>
      <x:c r="G21" s="65" t="n">
        <x:v>5</x:v>
      </x:c>
      <x:c r="H21" s="65" t="str">
        <x:v>full</x:v>
      </x:c>
      <x:c r="I21" s="65" t="str">
        <x:v>手动点击</x:v>
      </x:c>
      <x:c r="J21" s="65" t="str">
        <x:v>防线回满，并禁锢全场怪物 5 秒。</x:v>
      </x:c>
    </x:row>
    <x:row r="22" ht="23" customHeight="1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</x:row>
    <x:row r="23" ht="23" customHeight="1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</x:row>
    <x:row r="24" ht="23" customHeight="1">
      <x:c r="A24" s="62" t="str">
        <x:v>app.js:305 · HERO_SKILLS</x:v>
      </x:c>
      <x:c r="B24" s="62"/>
      <x:c r="C24" s="62"/>
      <x:c r="D24" s="62"/>
      <x:c r="E24" s="62"/>
      <x:c r="F24" s="62"/>
      <x:c r="G24" s="62"/>
      <x:c r="H24" s="62"/>
      <x:c r="I24" s="62"/>
      <x:c r="J24" s="62"/>
    </x:row>
    <x:row r="25" ht="23" customHeight="1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</x:row>
    <x:row r="26" ht="23" customHeight="1">
      <x:c r="A26" s="62" t="str">
        <x:v>经验曲线已按等价胜局重算：前期快速解锁技能，60级后逐步拉长；结算广告同步补发一份经验。</x:v>
      </x:c>
      <x:c r="B26" s="62"/>
      <x:c r="C26" s="62"/>
      <x:c r="D26" s="62"/>
      <x:c r="E26" s="62"/>
      <x:c r="F26" s="62"/>
      <x:c r="G26" s="62"/>
      <x:c r="H26" s="62"/>
      <x:c r="I26" s="62"/>
      <x:c r="J26" s="62"/>
    </x:row>
    <x:row r="27" ht="23" customHeight="1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</x:row>
    <x:row r="28" ht="23" customHeight="1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</x:row>
    <x:row r="29" ht="23" customHeight="1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</x:row>
    <x:row r="30" ht="36" customHeight="1">
      <x:c r="A30" s="64" t="str">
        <x:v>当前等级</x:v>
      </x:c>
      <x:c r="B30" s="64" t="str">
        <x:v>到下级经验</x:v>
      </x:c>
      <x:c r="C30" s="64" t="str">
        <x:v>累计到本级经验</x:v>
      </x:c>
      <x:c r="D30" s="64" t="str">
        <x:v>当级每勝经验</x:v>
      </x:c>
      <x:c r="E30" s="64" t="str">
        <x:v>零经验起升级约需胜局</x:v>
      </x:c>
      <x:c r="F30" s="64" t="str">
        <x:v>累计胜局粗估</x:v>
      </x:c>
      <x:c r="G30" s="64" t="str">
        <x:v>防线HP</x:v>
      </x:c>
      <x:c r="H30" s="64" t="str">
        <x:v>突破阶段门槛</x:v>
      </x:c>
      <x:c r="I30" s="64" t="str">
        <x:v>备注</x:v>
      </x:c>
      <x:c r="J30" s="64" t="str">
        <x:v>来源</x:v>
      </x:c>
    </x:row>
    <x:row r="31" ht="36" customHeight="1">
      <x:c r="A31" s="119" t="n">
        <x:v>1</x:v>
      </x:c>
      <x:c r="B31" s="119" t="n">
        <x:v>2000</x:v>
      </x:c>
      <x:c r="C31" s="119" t="n">
        <x:v>0</x:v>
      </x:c>
      <x:c r="D31" s="119" t="n">
        <x:f>'经济参数'!$E$11*'经济参数'!$E$60*A31</x:f>
        <x:v>1000</x:v>
      </x:c>
      <x:c r="E31" s="119" t="n">
        <x:f>IF(A31&gt;=150,0,ROUNDUP(B31/D31,0))</x:f>
        <x:v>2</x:v>
      </x:c>
      <x:c r="F31" s="119" t="n">
        <x:v>0</x:v>
      </x:c>
      <x:c r="G31" s="119" t="n">
        <x:f>A31+3</x:f>
        <x:v>4</x:v>
      </x:c>
      <x:c r="H31" s="119" t="n">
        <x:f>INT(A31/10)</x:f>
        <x:v>0</x:v>
      </x:c>
      <x:c r="I31" s="65" t="str">
        <x:v>升级局数忽略上一级结余，仅用于量级判断</x:v>
      </x:c>
      <x:c r="J31" s="65" t="str">
        <x:v>app.js:114 · HERO_EXP_TABLE</x:v>
      </x:c>
    </x:row>
    <x:row r="32" ht="36" customHeight="1">
      <x:c r="A32" s="119" t="n">
        <x:v>2</x:v>
      </x:c>
      <x:c r="B32" s="119" t="n">
        <x:v>6000</x:v>
      </x:c>
      <x:c r="C32" s="119" t="n">
        <x:f>SUM(B$31:B31)</x:f>
        <x:v>2000</x:v>
      </x:c>
      <x:c r="D32" s="119" t="n">
        <x:f>'经济参数'!$E$11*'经济参数'!$E$60*A32</x:f>
        <x:v>2000</x:v>
      </x:c>
      <x:c r="E32" s="119" t="n">
        <x:f>IF(A32&gt;=150,0,ROUNDUP(B32/D32,0))</x:f>
        <x:v>3</x:v>
      </x:c>
      <x:c r="F32" s="119" t="n">
        <x:f>SUM(E$31:E31)</x:f>
        <x:v>2</x:v>
      </x:c>
      <x:c r="G32" s="119" t="n">
        <x:f>A32+3</x:f>
        <x:v>5</x:v>
      </x:c>
      <x:c r="H32" s="119" t="n">
        <x:f>INT(A32/10)</x:f>
        <x:v>0</x:v>
      </x:c>
      <x:c r="I32" s="65" t="str">
        <x:v>升级局数忽略上一级结余，仅用于量级判断</x:v>
      </x:c>
      <x:c r="J32" s="65" t="str">
        <x:v>app.js:114 · HERO_EXP_TABLE</x:v>
      </x:c>
    </x:row>
    <x:row r="33" ht="36" customHeight="1">
      <x:c r="A33" s="119" t="n">
        <x:v>3</x:v>
      </x:c>
      <x:c r="B33" s="119" t="n">
        <x:v>9000</x:v>
      </x:c>
      <x:c r="C33" s="119" t="n">
        <x:f>SUM(B$31:B32)</x:f>
        <x:v>8000</x:v>
      </x:c>
      <x:c r="D33" s="119" t="n">
        <x:f>'经济参数'!$E$11*'经济参数'!$E$60*A33</x:f>
        <x:v>3000</x:v>
      </x:c>
      <x:c r="E33" s="119" t="n">
        <x:f>IF(A33&gt;=150,0,ROUNDUP(B33/D33,0))</x:f>
        <x:v>3</x:v>
      </x:c>
      <x:c r="F33" s="119" t="n">
        <x:f>SUM(E$31:E32)</x:f>
        <x:v>5</x:v>
      </x:c>
      <x:c r="G33" s="119" t="n">
        <x:f>A33+3</x:f>
        <x:v>6</x:v>
      </x:c>
      <x:c r="H33" s="119" t="n">
        <x:f>INT(A33/10)</x:f>
        <x:v>0</x:v>
      </x:c>
      <x:c r="I33" s="65" t="str">
        <x:v>升级局数忽略上一级结余，仅用于量级判断</x:v>
      </x:c>
      <x:c r="J33" s="65" t="str">
        <x:v>app.js:114 · HERO_EXP_TABLE</x:v>
      </x:c>
    </x:row>
    <x:row r="34" ht="36" customHeight="1">
      <x:c r="A34" s="119" t="n">
        <x:v>4</x:v>
      </x:c>
      <x:c r="B34" s="119" t="n">
        <x:v>12000</x:v>
      </x:c>
      <x:c r="C34" s="119" t="n">
        <x:f>SUM(B$31:B33)</x:f>
        <x:v>17000</x:v>
      </x:c>
      <x:c r="D34" s="119" t="n">
        <x:f>'经济参数'!$E$11*'经济参数'!$E$60*A34</x:f>
        <x:v>4000</x:v>
      </x:c>
      <x:c r="E34" s="119" t="n">
        <x:f>IF(A34&gt;=150,0,ROUNDUP(B34/D34,0))</x:f>
        <x:v>3</x:v>
      </x:c>
      <x:c r="F34" s="119" t="n">
        <x:f>SUM(E$31:E33)</x:f>
        <x:v>8</x:v>
      </x:c>
      <x:c r="G34" s="119" t="n">
        <x:f>A34+3</x:f>
        <x:v>7</x:v>
      </x:c>
      <x:c r="H34" s="119" t="n">
        <x:f>INT(A34/10)</x:f>
        <x:v>0</x:v>
      </x:c>
      <x:c r="I34" s="65" t="str">
        <x:v>升级局数忽略上一级结余，仅用于量级判断</x:v>
      </x:c>
      <x:c r="J34" s="65" t="str">
        <x:v>app.js:114 · HERO_EXP_TABLE</x:v>
      </x:c>
    </x:row>
    <x:row r="35" ht="36" customHeight="1">
      <x:c r="A35" s="119" t="n">
        <x:v>5</x:v>
      </x:c>
      <x:c r="B35" s="119" t="n">
        <x:v>20000</x:v>
      </x:c>
      <x:c r="C35" s="119" t="n">
        <x:f>SUM(B$31:B34)</x:f>
        <x:v>29000</x:v>
      </x:c>
      <x:c r="D35" s="119" t="n">
        <x:f>'经济参数'!$E$11*'经济参数'!$E$60*A35</x:f>
        <x:v>5000</x:v>
      </x:c>
      <x:c r="E35" s="119" t="n">
        <x:f>IF(A35&gt;=150,0,ROUNDUP(B35/D35,0))</x:f>
        <x:v>4</x:v>
      </x:c>
      <x:c r="F35" s="119" t="n">
        <x:f>SUM(E$31:E34)</x:f>
        <x:v>11</x:v>
      </x:c>
      <x:c r="G35" s="119" t="n">
        <x:f>A35+3</x:f>
        <x:v>8</x:v>
      </x:c>
      <x:c r="H35" s="119" t="n">
        <x:f>INT(A35/10)</x:f>
        <x:v>0</x:v>
      </x:c>
      <x:c r="I35" s="65" t="str">
        <x:v>升级局数忽略上一级结余，仅用于量级判断</x:v>
      </x:c>
      <x:c r="J35" s="65" t="str">
        <x:v>app.js:114 · HERO_EXP_TABLE</x:v>
      </x:c>
    </x:row>
    <x:row r="36" ht="36" customHeight="1">
      <x:c r="A36" s="119" t="n">
        <x:v>6</x:v>
      </x:c>
      <x:c r="B36" s="119" t="n">
        <x:v>24000</x:v>
      </x:c>
      <x:c r="C36" s="119" t="n">
        <x:f>SUM(B$31:B35)</x:f>
        <x:v>49000</x:v>
      </x:c>
      <x:c r="D36" s="119" t="n">
        <x:f>'经济参数'!$E$11*'经济参数'!$E$60*A36</x:f>
        <x:v>6000</x:v>
      </x:c>
      <x:c r="E36" s="119" t="n">
        <x:f>IF(A36&gt;=150,0,ROUNDUP(B36/D36,0))</x:f>
        <x:v>4</x:v>
      </x:c>
      <x:c r="F36" s="119" t="n">
        <x:f>SUM(E$31:E35)</x:f>
        <x:v>15</x:v>
      </x:c>
      <x:c r="G36" s="119" t="n">
        <x:f>A36+3</x:f>
        <x:v>9</x:v>
      </x:c>
      <x:c r="H36" s="119" t="n">
        <x:f>INT(A36/10)</x:f>
        <x:v>0</x:v>
      </x:c>
      <x:c r="I36" s="65" t="str">
        <x:v>升级局数忽略上一级结余，仅用于量级判断</x:v>
      </x:c>
      <x:c r="J36" s="65" t="str">
        <x:v>app.js:114 · HERO_EXP_TABLE</x:v>
      </x:c>
    </x:row>
    <x:row r="37" ht="36" customHeight="1">
      <x:c r="A37" s="119" t="n">
        <x:v>7</x:v>
      </x:c>
      <x:c r="B37" s="119" t="n">
        <x:v>28000</x:v>
      </x:c>
      <x:c r="C37" s="119" t="n">
        <x:f>SUM(B$31:B36)</x:f>
        <x:v>73000</x:v>
      </x:c>
      <x:c r="D37" s="119" t="n">
        <x:f>'经济参数'!$E$11*'经济参数'!$E$60*A37</x:f>
        <x:v>7000</x:v>
      </x:c>
      <x:c r="E37" s="119" t="n">
        <x:f>IF(A37&gt;=150,0,ROUNDUP(B37/D37,0))</x:f>
        <x:v>4</x:v>
      </x:c>
      <x:c r="F37" s="119" t="n">
        <x:f>SUM(E$31:E36)</x:f>
        <x:v>19</x:v>
      </x:c>
      <x:c r="G37" s="119" t="n">
        <x:f>A37+3</x:f>
        <x:v>10</x:v>
      </x:c>
      <x:c r="H37" s="119" t="n">
        <x:f>INT(A37/10)</x:f>
        <x:v>0</x:v>
      </x:c>
      <x:c r="I37" s="65" t="str">
        <x:v>升级局数忽略上一级结余，仅用于量级判断</x:v>
      </x:c>
      <x:c r="J37" s="65" t="str">
        <x:v>app.js:114 · HERO_EXP_TABLE</x:v>
      </x:c>
    </x:row>
    <x:row r="38" ht="36" customHeight="1">
      <x:c r="A38" s="119" t="n">
        <x:v>8</x:v>
      </x:c>
      <x:c r="B38" s="119" t="n">
        <x:v>40000</x:v>
      </x:c>
      <x:c r="C38" s="119" t="n">
        <x:f>SUM(B$31:B37)</x:f>
        <x:v>101000</x:v>
      </x:c>
      <x:c r="D38" s="119" t="n">
        <x:f>'经济参数'!$E$11*'经济参数'!$E$60*A38</x:f>
        <x:v>8000</x:v>
      </x:c>
      <x:c r="E38" s="119" t="n">
        <x:f>IF(A38&gt;=150,0,ROUNDUP(B38/D38,0))</x:f>
        <x:v>5</x:v>
      </x:c>
      <x:c r="F38" s="119" t="n">
        <x:f>SUM(E$31:E37)</x:f>
        <x:v>23</x:v>
      </x:c>
      <x:c r="G38" s="119" t="n">
        <x:f>A38+3</x:f>
        <x:v>11</x:v>
      </x:c>
      <x:c r="H38" s="119" t="n">
        <x:f>INT(A38/10)</x:f>
        <x:v>0</x:v>
      </x:c>
      <x:c r="I38" s="65" t="str">
        <x:v>升级局数忽略上一级结余，仅用于量级判断</x:v>
      </x:c>
      <x:c r="J38" s="65" t="str">
        <x:v>app.js:114 · HERO_EXP_TABLE</x:v>
      </x:c>
    </x:row>
    <x:row r="39" ht="36" customHeight="1">
      <x:c r="A39" s="119" t="n">
        <x:v>9</x:v>
      </x:c>
      <x:c r="B39" s="119" t="n">
        <x:v>45000</x:v>
      </x:c>
      <x:c r="C39" s="119" t="n">
        <x:f>SUM(B$31:B38)</x:f>
        <x:v>141000</x:v>
      </x:c>
      <x:c r="D39" s="119" t="n">
        <x:f>'经济参数'!$E$11*'经济参数'!$E$60*A39</x:f>
        <x:v>9000</x:v>
      </x:c>
      <x:c r="E39" s="119" t="n">
        <x:f>IF(A39&gt;=150,0,ROUNDUP(B39/D39,0))</x:f>
        <x:v>5</x:v>
      </x:c>
      <x:c r="F39" s="119" t="n">
        <x:f>SUM(E$31:E38)</x:f>
        <x:v>28</x:v>
      </x:c>
      <x:c r="G39" s="119" t="n">
        <x:f>A39+3</x:f>
        <x:v>12</x:v>
      </x:c>
      <x:c r="H39" s="119" t="n">
        <x:f>INT(A39/10)</x:f>
        <x:v>0</x:v>
      </x:c>
      <x:c r="I39" s="65" t="str">
        <x:v>升级局数忽略上一级结余，仅用于量级判断</x:v>
      </x:c>
      <x:c r="J39" s="65" t="str">
        <x:v>app.js:114 · HERO_EXP_TABLE</x:v>
      </x:c>
    </x:row>
    <x:row r="40" ht="36" customHeight="1">
      <x:c r="A40" s="119" t="n">
        <x:v>10</x:v>
      </x:c>
      <x:c r="B40" s="119" t="n">
        <x:v>50000</x:v>
      </x:c>
      <x:c r="C40" s="119" t="n">
        <x:f>SUM(B$31:B39)</x:f>
        <x:v>186000</x:v>
      </x:c>
      <x:c r="D40" s="119" t="n">
        <x:f>'经济参数'!$E$11*'经济参数'!$E$60*A40</x:f>
        <x:v>10000</x:v>
      </x:c>
      <x:c r="E40" s="119" t="n">
        <x:f>IF(A40&gt;=150,0,ROUNDUP(B40/D40,0))</x:f>
        <x:v>5</x:v>
      </x:c>
      <x:c r="F40" s="119" t="n">
        <x:f>SUM(E$31:E39)</x:f>
        <x:v>33</x:v>
      </x:c>
      <x:c r="G40" s="119" t="n">
        <x:f>A40+3</x:f>
        <x:v>13</x:v>
      </x:c>
      <x:c r="H40" s="119" t="n">
        <x:f>INT(A40/10)</x:f>
        <x:v>1</x:v>
      </x:c>
      <x:c r="I40" s="65" t="str">
        <x:v>升级局数忽略上一级结余，仅用于量级判断</x:v>
      </x:c>
      <x:c r="J40" s="65" t="str">
        <x:v>app.js:114 · HERO_EXP_TABLE</x:v>
      </x:c>
    </x:row>
    <x:row r="41" ht="36" customHeight="1">
      <x:c r="A41" s="119" t="n">
        <x:v>11</x:v>
      </x:c>
      <x:c r="B41" s="119" t="n">
        <x:v>66000</x:v>
      </x:c>
      <x:c r="C41" s="119" t="n">
        <x:f>SUM(B$31:B40)</x:f>
        <x:v>236000</x:v>
      </x:c>
      <x:c r="D41" s="119" t="n">
        <x:f>'经济参数'!$E$11*'经济参数'!$E$60*A41</x:f>
        <x:v>11000</x:v>
      </x:c>
      <x:c r="E41" s="119" t="n">
        <x:f>IF(A41&gt;=150,0,ROUNDUP(B41/D41,0))</x:f>
        <x:v>6</x:v>
      </x:c>
      <x:c r="F41" s="119" t="n">
        <x:f>SUM(E$31:E40)</x:f>
        <x:v>38</x:v>
      </x:c>
      <x:c r="G41" s="119" t="n">
        <x:f>A41+3</x:f>
        <x:v>14</x:v>
      </x:c>
      <x:c r="H41" s="119" t="n">
        <x:f>INT(A41/10)</x:f>
        <x:v>1</x:v>
      </x:c>
      <x:c r="I41" s="65" t="str">
        <x:v>升级局数忽略上一级结余，仅用于量级判断</x:v>
      </x:c>
      <x:c r="J41" s="65" t="str">
        <x:v>app.js:114 · HERO_EXP_TABLE</x:v>
      </x:c>
    </x:row>
    <x:row r="42" ht="36" customHeight="1">
      <x:c r="A42" s="119" t="n">
        <x:v>12</x:v>
      </x:c>
      <x:c r="B42" s="119" t="n">
        <x:v>72000</x:v>
      </x:c>
      <x:c r="C42" s="119" t="n">
        <x:f>SUM(B$31:B41)</x:f>
        <x:v>302000</x:v>
      </x:c>
      <x:c r="D42" s="119" t="n">
        <x:f>'经济参数'!$E$11*'经济参数'!$E$60*A42</x:f>
        <x:v>12000</x:v>
      </x:c>
      <x:c r="E42" s="119" t="n">
        <x:f>IF(A42&gt;=150,0,ROUNDUP(B42/D42,0))</x:f>
        <x:v>6</x:v>
      </x:c>
      <x:c r="F42" s="119" t="n">
        <x:f>SUM(E$31:E41)</x:f>
        <x:v>44</x:v>
      </x:c>
      <x:c r="G42" s="119" t="n">
        <x:f>A42+3</x:f>
        <x:v>15</x:v>
      </x:c>
      <x:c r="H42" s="119" t="n">
        <x:f>INT(A42/10)</x:f>
        <x:v>1</x:v>
      </x:c>
      <x:c r="I42" s="65" t="str">
        <x:v>升级局数忽略上一级结余，仅用于量级判断</x:v>
      </x:c>
      <x:c r="J42" s="65" t="str">
        <x:v>app.js:114 · HERO_EXP_TABLE</x:v>
      </x:c>
    </x:row>
    <x:row r="43" ht="36" customHeight="1">
      <x:c r="A43" s="119" t="n">
        <x:v>13</x:v>
      </x:c>
      <x:c r="B43" s="119" t="n">
        <x:v>78000</x:v>
      </x:c>
      <x:c r="C43" s="119" t="n">
        <x:f>SUM(B$31:B42)</x:f>
        <x:v>374000</x:v>
      </x:c>
      <x:c r="D43" s="119" t="n">
        <x:f>'经济参数'!$E$11*'经济参数'!$E$60*A43</x:f>
        <x:v>13000</x:v>
      </x:c>
      <x:c r="E43" s="119" t="n">
        <x:f>IF(A43&gt;=150,0,ROUNDUP(B43/D43,0))</x:f>
        <x:v>6</x:v>
      </x:c>
      <x:c r="F43" s="119" t="n">
        <x:f>SUM(E$31:E42)</x:f>
        <x:v>50</x:v>
      </x:c>
      <x:c r="G43" s="119" t="n">
        <x:f>A43+3</x:f>
        <x:v>16</x:v>
      </x:c>
      <x:c r="H43" s="119" t="n">
        <x:f>INT(A43/10)</x:f>
        <x:v>1</x:v>
      </x:c>
      <x:c r="I43" s="65" t="str">
        <x:v>升级局数忽略上一级结余，仅用于量级判断</x:v>
      </x:c>
      <x:c r="J43" s="65" t="str">
        <x:v>app.js:114 · HERO_EXP_TABLE</x:v>
      </x:c>
    </x:row>
    <x:row r="44" ht="36" customHeight="1">
      <x:c r="A44" s="119" t="n">
        <x:v>14</x:v>
      </x:c>
      <x:c r="B44" s="119" t="n">
        <x:v>84000</x:v>
      </x:c>
      <x:c r="C44" s="119" t="n">
        <x:f>SUM(B$31:B43)</x:f>
        <x:v>452000</x:v>
      </x:c>
      <x:c r="D44" s="119" t="n">
        <x:f>'经济参数'!$E$11*'经济参数'!$E$60*A44</x:f>
        <x:v>14000</x:v>
      </x:c>
      <x:c r="E44" s="119" t="n">
        <x:f>IF(A44&gt;=150,0,ROUNDUP(B44/D44,0))</x:f>
        <x:v>6</x:v>
      </x:c>
      <x:c r="F44" s="119" t="n">
        <x:f>SUM(E$31:E43)</x:f>
        <x:v>56</x:v>
      </x:c>
      <x:c r="G44" s="119" t="n">
        <x:f>A44+3</x:f>
        <x:v>17</x:v>
      </x:c>
      <x:c r="H44" s="119" t="n">
        <x:f>INT(A44/10)</x:f>
        <x:v>1</x:v>
      </x:c>
      <x:c r="I44" s="65" t="str">
        <x:v>升级局数忽略上一级结余，仅用于量级判断</x:v>
      </x:c>
      <x:c r="J44" s="65" t="str">
        <x:v>app.js:114 · HERO_EXP_TABLE</x:v>
      </x:c>
    </x:row>
    <x:row r="45" ht="36" customHeight="1">
      <x:c r="A45" s="119" t="n">
        <x:v>15</x:v>
      </x:c>
      <x:c r="B45" s="119" t="n">
        <x:v>105000</x:v>
      </x:c>
      <x:c r="C45" s="119" t="n">
        <x:f>SUM(B$31:B44)</x:f>
        <x:v>536000</x:v>
      </x:c>
      <x:c r="D45" s="119" t="n">
        <x:f>'经济参数'!$E$11*'经济参数'!$E$60*A45</x:f>
        <x:v>15000</x:v>
      </x:c>
      <x:c r="E45" s="119" t="n">
        <x:f>IF(A45&gt;=150,0,ROUNDUP(B45/D45,0))</x:f>
        <x:v>7</x:v>
      </x:c>
      <x:c r="F45" s="119" t="n">
        <x:f>SUM(E$31:E44)</x:f>
        <x:v>62</x:v>
      </x:c>
      <x:c r="G45" s="119" t="n">
        <x:f>A45+3</x:f>
        <x:v>18</x:v>
      </x:c>
      <x:c r="H45" s="119" t="n">
        <x:f>INT(A45/10)</x:f>
        <x:v>1</x:v>
      </x:c>
      <x:c r="I45" s="65" t="str">
        <x:v>升级局数忽略上一级结余，仅用于量级判断</x:v>
      </x:c>
      <x:c r="J45" s="65" t="str">
        <x:v>app.js:114 · HERO_EXP_TABLE</x:v>
      </x:c>
    </x:row>
    <x:row r="46" ht="36" customHeight="1">
      <x:c r="A46" s="119" t="n">
        <x:v>16</x:v>
      </x:c>
      <x:c r="B46" s="119" t="n">
        <x:v>112000</x:v>
      </x:c>
      <x:c r="C46" s="119" t="n">
        <x:f>SUM(B$31:B45)</x:f>
        <x:v>641000</x:v>
      </x:c>
      <x:c r="D46" s="119" t="n">
        <x:f>'经济参数'!$E$11*'经济参数'!$E$60*A46</x:f>
        <x:v>16000</x:v>
      </x:c>
      <x:c r="E46" s="119" t="n">
        <x:f>IF(A46&gt;=150,0,ROUNDUP(B46/D46,0))</x:f>
        <x:v>7</x:v>
      </x:c>
      <x:c r="F46" s="119" t="n">
        <x:f>SUM(E$31:E45)</x:f>
        <x:v>69</x:v>
      </x:c>
      <x:c r="G46" s="119" t="n">
        <x:f>A46+3</x:f>
        <x:v>19</x:v>
      </x:c>
      <x:c r="H46" s="119" t="n">
        <x:f>INT(A46/10)</x:f>
        <x:v>1</x:v>
      </x:c>
      <x:c r="I46" s="65" t="str">
        <x:v>升级局数忽略上一级结余，仅用于量级判断</x:v>
      </x:c>
      <x:c r="J46" s="65" t="str">
        <x:v>app.js:114 · HERO_EXP_TABLE</x:v>
      </x:c>
    </x:row>
    <x:row r="47" ht="36" customHeight="1">
      <x:c r="A47" s="119" t="n">
        <x:v>17</x:v>
      </x:c>
      <x:c r="B47" s="119" t="n">
        <x:v>119000</x:v>
      </x:c>
      <x:c r="C47" s="119" t="n">
        <x:f>SUM(B$31:B46)</x:f>
        <x:v>753000</x:v>
      </x:c>
      <x:c r="D47" s="119" t="n">
        <x:f>'经济参数'!$E$11*'经济参数'!$E$60*A47</x:f>
        <x:v>17000</x:v>
      </x:c>
      <x:c r="E47" s="119" t="n">
        <x:f>IF(A47&gt;=150,0,ROUNDUP(B47/D47,0))</x:f>
        <x:v>7</x:v>
      </x:c>
      <x:c r="F47" s="119" t="n">
        <x:f>SUM(E$31:E46)</x:f>
        <x:v>76</x:v>
      </x:c>
      <x:c r="G47" s="119" t="n">
        <x:f>A47+3</x:f>
        <x:v>20</x:v>
      </x:c>
      <x:c r="H47" s="119" t="n">
        <x:f>INT(A47/10)</x:f>
        <x:v>1</x:v>
      </x:c>
      <x:c r="I47" s="65" t="str">
        <x:v>升级局数忽略上一级结余，仅用于量级判断</x:v>
      </x:c>
      <x:c r="J47" s="65" t="str">
        <x:v>app.js:114 · HERO_EXP_TABLE</x:v>
      </x:c>
    </x:row>
    <x:row r="48" ht="36" customHeight="1">
      <x:c r="A48" s="119" t="n">
        <x:v>18</x:v>
      </x:c>
      <x:c r="B48" s="119" t="n">
        <x:v>144000</x:v>
      </x:c>
      <x:c r="C48" s="119" t="n">
        <x:f>SUM(B$31:B47)</x:f>
        <x:v>872000</x:v>
      </x:c>
      <x:c r="D48" s="119" t="n">
        <x:f>'经济参数'!$E$11*'经济参数'!$E$60*A48</x:f>
        <x:v>18000</x:v>
      </x:c>
      <x:c r="E48" s="119" t="n">
        <x:f>IF(A48&gt;=150,0,ROUNDUP(B48/D48,0))</x:f>
        <x:v>8</x:v>
      </x:c>
      <x:c r="F48" s="119" t="n">
        <x:f>SUM(E$31:E47)</x:f>
        <x:v>83</x:v>
      </x:c>
      <x:c r="G48" s="119" t="n">
        <x:f>A48+3</x:f>
        <x:v>21</x:v>
      </x:c>
      <x:c r="H48" s="119" t="n">
        <x:f>INT(A48/10)</x:f>
        <x:v>1</x:v>
      </x:c>
      <x:c r="I48" s="65" t="str">
        <x:v>升级局数忽略上一级结余，仅用于量级判断</x:v>
      </x:c>
      <x:c r="J48" s="65" t="str">
        <x:v>app.js:114 · HERO_EXP_TABLE</x:v>
      </x:c>
    </x:row>
    <x:row r="49" ht="36" customHeight="1">
      <x:c r="A49" s="119" t="n">
        <x:v>19</x:v>
      </x:c>
      <x:c r="B49" s="119" t="n">
        <x:v>152000</x:v>
      </x:c>
      <x:c r="C49" s="119" t="n">
        <x:f>SUM(B$31:B48)</x:f>
        <x:v>1016000</x:v>
      </x:c>
      <x:c r="D49" s="119" t="n">
        <x:f>'经济参数'!$E$11*'经济参数'!$E$60*A49</x:f>
        <x:v>19000</x:v>
      </x:c>
      <x:c r="E49" s="119" t="n">
        <x:f>IF(A49&gt;=150,0,ROUNDUP(B49/D49,0))</x:f>
        <x:v>8</x:v>
      </x:c>
      <x:c r="F49" s="119" t="n">
        <x:f>SUM(E$31:E48)</x:f>
        <x:v>91</x:v>
      </x:c>
      <x:c r="G49" s="119" t="n">
        <x:f>A49+3</x:f>
        <x:v>22</x:v>
      </x:c>
      <x:c r="H49" s="119" t="n">
        <x:f>INT(A49/10)</x:f>
        <x:v>1</x:v>
      </x:c>
      <x:c r="I49" s="65" t="str">
        <x:v>升级局数忽略上一级结余，仅用于量级判断</x:v>
      </x:c>
      <x:c r="J49" s="65" t="str">
        <x:v>app.js:114 · HERO_EXP_TABLE</x:v>
      </x:c>
    </x:row>
    <x:row r="50" ht="36" customHeight="1">
      <x:c r="A50" s="119" t="n">
        <x:v>20</x:v>
      </x:c>
      <x:c r="B50" s="119" t="n">
        <x:v>160000</x:v>
      </x:c>
      <x:c r="C50" s="119" t="n">
        <x:f>SUM(B$31:B49)</x:f>
        <x:v>1168000</x:v>
      </x:c>
      <x:c r="D50" s="119" t="n">
        <x:f>'经济参数'!$E$11*'经济参数'!$E$60*A50</x:f>
        <x:v>20000</x:v>
      </x:c>
      <x:c r="E50" s="119" t="n">
        <x:f>IF(A50&gt;=150,0,ROUNDUP(B50/D50,0))</x:f>
        <x:v>8</x:v>
      </x:c>
      <x:c r="F50" s="119" t="n">
        <x:f>SUM(E$31:E49)</x:f>
        <x:v>99</x:v>
      </x:c>
      <x:c r="G50" s="119" t="n">
        <x:f>A50+3</x:f>
        <x:v>23</x:v>
      </x:c>
      <x:c r="H50" s="119" t="n">
        <x:f>INT(A50/10)</x:f>
        <x:v>2</x:v>
      </x:c>
      <x:c r="I50" s="65" t="str">
        <x:v>升级局数忽略上一级结余，仅用于量级判断</x:v>
      </x:c>
      <x:c r="J50" s="65" t="str">
        <x:v>app.js:114 · HERO_EXP_TABLE</x:v>
      </x:c>
    </x:row>
    <x:row r="51" ht="36" customHeight="1">
      <x:c r="A51" s="119" t="n">
        <x:v>21</x:v>
      </x:c>
      <x:c r="B51" s="119" t="n">
        <x:v>189000</x:v>
      </x:c>
      <x:c r="C51" s="119" t="n">
        <x:f>SUM(B$31:B50)</x:f>
        <x:v>1328000</x:v>
      </x:c>
      <x:c r="D51" s="119" t="n">
        <x:f>'经济参数'!$E$11*'经济参数'!$E$60*A51</x:f>
        <x:v>21000</x:v>
      </x:c>
      <x:c r="E51" s="119" t="n">
        <x:f>IF(A51&gt;=150,0,ROUNDUP(B51/D51,0))</x:f>
        <x:v>9</x:v>
      </x:c>
      <x:c r="F51" s="119" t="n">
        <x:f>SUM(E$31:E50)</x:f>
        <x:v>107</x:v>
      </x:c>
      <x:c r="G51" s="119" t="n">
        <x:f>A51+3</x:f>
        <x:v>24</x:v>
      </x:c>
      <x:c r="H51" s="119" t="n">
        <x:f>INT(A51/10)</x:f>
        <x:v>2</x:v>
      </x:c>
      <x:c r="I51" s="65" t="str">
        <x:v>升级局数忽略上一级结余，仅用于量级判断</x:v>
      </x:c>
      <x:c r="J51" s="65" t="str">
        <x:v>app.js:114 · HERO_EXP_TABLE</x:v>
      </x:c>
    </x:row>
    <x:row r="52" ht="36" customHeight="1">
      <x:c r="A52" s="119" t="n">
        <x:v>22</x:v>
      </x:c>
      <x:c r="B52" s="119" t="n">
        <x:v>198000</x:v>
      </x:c>
      <x:c r="C52" s="119" t="n">
        <x:f>SUM(B$31:B51)</x:f>
        <x:v>1517000</x:v>
      </x:c>
      <x:c r="D52" s="119" t="n">
        <x:f>'经济参数'!$E$11*'经济参数'!$E$60*A52</x:f>
        <x:v>22000</x:v>
      </x:c>
      <x:c r="E52" s="119" t="n">
        <x:f>IF(A52&gt;=150,0,ROUNDUP(B52/D52,0))</x:f>
        <x:v>9</x:v>
      </x:c>
      <x:c r="F52" s="119" t="n">
        <x:f>SUM(E$31:E51)</x:f>
        <x:v>116</x:v>
      </x:c>
      <x:c r="G52" s="119" t="n">
        <x:f>A52+3</x:f>
        <x:v>25</x:v>
      </x:c>
      <x:c r="H52" s="119" t="n">
        <x:f>INT(A52/10)</x:f>
        <x:v>2</x:v>
      </x:c>
      <x:c r="I52" s="65" t="str">
        <x:v>升级局数忽略上一级结余，仅用于量级判断</x:v>
      </x:c>
      <x:c r="J52" s="65" t="str">
        <x:v>app.js:114 · HERO_EXP_TABLE</x:v>
      </x:c>
    </x:row>
    <x:row r="53" ht="36" customHeight="1">
      <x:c r="A53" s="119" t="n">
        <x:v>23</x:v>
      </x:c>
      <x:c r="B53" s="119" t="n">
        <x:v>230000</x:v>
      </x:c>
      <x:c r="C53" s="119" t="n">
        <x:f>SUM(B$31:B52)</x:f>
        <x:v>1715000</x:v>
      </x:c>
      <x:c r="D53" s="119" t="n">
        <x:f>'经济参数'!$E$11*'经济参数'!$E$60*A53</x:f>
        <x:v>23000</x:v>
      </x:c>
      <x:c r="E53" s="119" t="n">
        <x:f>IF(A53&gt;=150,0,ROUNDUP(B53/D53,0))</x:f>
        <x:v>10</x:v>
      </x:c>
      <x:c r="F53" s="119" t="n">
        <x:f>SUM(E$31:E52)</x:f>
        <x:v>125</x:v>
      </x:c>
      <x:c r="G53" s="119" t="n">
        <x:f>A53+3</x:f>
        <x:v>26</x:v>
      </x:c>
      <x:c r="H53" s="119" t="n">
        <x:f>INT(A53/10)</x:f>
        <x:v>2</x:v>
      </x:c>
      <x:c r="I53" s="65" t="str">
        <x:v>升级局数忽略上一级结余，仅用于量级判断</x:v>
      </x:c>
      <x:c r="J53" s="65" t="str">
        <x:v>app.js:114 · HERO_EXP_TABLE</x:v>
      </x:c>
    </x:row>
    <x:row r="54" ht="36" customHeight="1">
      <x:c r="A54" s="119" t="n">
        <x:v>24</x:v>
      </x:c>
      <x:c r="B54" s="119" t="n">
        <x:v>240000</x:v>
      </x:c>
      <x:c r="C54" s="119" t="n">
        <x:f>SUM(B$31:B53)</x:f>
        <x:v>1945000</x:v>
      </x:c>
      <x:c r="D54" s="119" t="n">
        <x:f>'经济参数'!$E$11*'经济参数'!$E$60*A54</x:f>
        <x:v>24000</x:v>
      </x:c>
      <x:c r="E54" s="119" t="n">
        <x:f>IF(A54&gt;=150,0,ROUNDUP(B54/D54,0))</x:f>
        <x:v>10</x:v>
      </x:c>
      <x:c r="F54" s="119" t="n">
        <x:f>SUM(E$31:E53)</x:f>
        <x:v>135</x:v>
      </x:c>
      <x:c r="G54" s="119" t="n">
        <x:f>A54+3</x:f>
        <x:v>27</x:v>
      </x:c>
      <x:c r="H54" s="119" t="n">
        <x:f>INT(A54/10)</x:f>
        <x:v>2</x:v>
      </x:c>
      <x:c r="I54" s="65" t="str">
        <x:v>升级局数忽略上一级结余，仅用于量级判断</x:v>
      </x:c>
      <x:c r="J54" s="65" t="str">
        <x:v>app.js:114 · HERO_EXP_TABLE</x:v>
      </x:c>
    </x:row>
    <x:row r="55" ht="36" customHeight="1">
      <x:c r="A55" s="119" t="n">
        <x:v>25</x:v>
      </x:c>
      <x:c r="B55" s="119" t="n">
        <x:v>275000</x:v>
      </x:c>
      <x:c r="C55" s="119" t="n">
        <x:f>SUM(B$31:B54)</x:f>
        <x:v>2185000</x:v>
      </x:c>
      <x:c r="D55" s="119" t="n">
        <x:f>'经济参数'!$E$11*'经济参数'!$E$60*A55</x:f>
        <x:v>25000</x:v>
      </x:c>
      <x:c r="E55" s="119" t="n">
        <x:f>IF(A55&gt;=150,0,ROUNDUP(B55/D55,0))</x:f>
        <x:v>11</x:v>
      </x:c>
      <x:c r="F55" s="119" t="n">
        <x:f>SUM(E$31:E54)</x:f>
        <x:v>145</x:v>
      </x:c>
      <x:c r="G55" s="119" t="n">
        <x:f>A55+3</x:f>
        <x:v>28</x:v>
      </x:c>
      <x:c r="H55" s="119" t="n">
        <x:f>INT(A55/10)</x:f>
        <x:v>2</x:v>
      </x:c>
      <x:c r="I55" s="65" t="str">
        <x:v>升级局数忽略上一级结余，仅用于量级判断</x:v>
      </x:c>
      <x:c r="J55" s="65" t="str">
        <x:v>app.js:114 · HERO_EXP_TABLE</x:v>
      </x:c>
    </x:row>
    <x:row r="56" ht="36" customHeight="1">
      <x:c r="A56" s="119" t="n">
        <x:v>26</x:v>
      </x:c>
      <x:c r="B56" s="119" t="n">
        <x:v>286000</x:v>
      </x:c>
      <x:c r="C56" s="119" t="n">
        <x:f>SUM(B$31:B55)</x:f>
        <x:v>2460000</x:v>
      </x:c>
      <x:c r="D56" s="119" t="n">
        <x:f>'经济参数'!$E$11*'经济参数'!$E$60*A56</x:f>
        <x:v>26000</x:v>
      </x:c>
      <x:c r="E56" s="119" t="n">
        <x:f>IF(A56&gt;=150,0,ROUNDUP(B56/D56,0))</x:f>
        <x:v>11</x:v>
      </x:c>
      <x:c r="F56" s="119" t="n">
        <x:f>SUM(E$31:E55)</x:f>
        <x:v>156</x:v>
      </x:c>
      <x:c r="G56" s="119" t="n">
        <x:f>A56+3</x:f>
        <x:v>29</x:v>
      </x:c>
      <x:c r="H56" s="119" t="n">
        <x:f>INT(A56/10)</x:f>
        <x:v>2</x:v>
      </x:c>
      <x:c r="I56" s="65" t="str">
        <x:v>升级局数忽略上一级结余，仅用于量级判断</x:v>
      </x:c>
      <x:c r="J56" s="65" t="str">
        <x:v>app.js:114 · HERO_EXP_TABLE</x:v>
      </x:c>
    </x:row>
    <x:row r="57" ht="36" customHeight="1">
      <x:c r="A57" s="119" t="n">
        <x:v>27</x:v>
      </x:c>
      <x:c r="B57" s="119" t="n">
        <x:v>324000</x:v>
      </x:c>
      <x:c r="C57" s="119" t="n">
        <x:f>SUM(B$31:B56)</x:f>
        <x:v>2746000</x:v>
      </x:c>
      <x:c r="D57" s="119" t="n">
        <x:f>'经济参数'!$E$11*'经济参数'!$E$60*A57</x:f>
        <x:v>27000</x:v>
      </x:c>
      <x:c r="E57" s="119" t="n">
        <x:f>IF(A57&gt;=150,0,ROUNDUP(B57/D57,0))</x:f>
        <x:v>12</x:v>
      </x:c>
      <x:c r="F57" s="119" t="n">
        <x:f>SUM(E$31:E56)</x:f>
        <x:v>167</x:v>
      </x:c>
      <x:c r="G57" s="119" t="n">
        <x:f>A57+3</x:f>
        <x:v>30</x:v>
      </x:c>
      <x:c r="H57" s="119" t="n">
        <x:f>INT(A57/10)</x:f>
        <x:v>2</x:v>
      </x:c>
      <x:c r="I57" s="65" t="str">
        <x:v>升级局数忽略上一级结余，仅用于量级判断</x:v>
      </x:c>
      <x:c r="J57" s="65" t="str">
        <x:v>app.js:114 · HERO_EXP_TABLE</x:v>
      </x:c>
    </x:row>
    <x:row r="58" ht="36" customHeight="1">
      <x:c r="A58" s="119" t="n">
        <x:v>28</x:v>
      </x:c>
      <x:c r="B58" s="119" t="n">
        <x:v>336000</x:v>
      </x:c>
      <x:c r="C58" s="119" t="n">
        <x:f>SUM(B$31:B57)</x:f>
        <x:v>3070000</x:v>
      </x:c>
      <x:c r="D58" s="119" t="n">
        <x:f>'经济参数'!$E$11*'经济参数'!$E$60*A58</x:f>
        <x:v>28000</x:v>
      </x:c>
      <x:c r="E58" s="119" t="n">
        <x:f>IF(A58&gt;=150,0,ROUNDUP(B58/D58,0))</x:f>
        <x:v>12</x:v>
      </x:c>
      <x:c r="F58" s="119" t="n">
        <x:f>SUM(E$31:E57)</x:f>
        <x:v>179</x:v>
      </x:c>
      <x:c r="G58" s="119" t="n">
        <x:f>A58+3</x:f>
        <x:v>31</x:v>
      </x:c>
      <x:c r="H58" s="119" t="n">
        <x:f>INT(A58/10)</x:f>
        <x:v>2</x:v>
      </x:c>
      <x:c r="I58" s="65" t="str">
        <x:v>升级局数忽略上一级结余，仅用于量级判断</x:v>
      </x:c>
      <x:c r="J58" s="65" t="str">
        <x:v>app.js:114 · HERO_EXP_TABLE</x:v>
      </x:c>
    </x:row>
    <x:row r="59" ht="36" customHeight="1">
      <x:c r="A59" s="119" t="n">
        <x:v>29</x:v>
      </x:c>
      <x:c r="B59" s="119" t="n">
        <x:v>377000</x:v>
      </x:c>
      <x:c r="C59" s="119" t="n">
        <x:f>SUM(B$31:B58)</x:f>
        <x:v>3406000</x:v>
      </x:c>
      <x:c r="D59" s="119" t="n">
        <x:f>'经济参数'!$E$11*'经济参数'!$E$60*A59</x:f>
        <x:v>29000</x:v>
      </x:c>
      <x:c r="E59" s="119" t="n">
        <x:f>IF(A59&gt;=150,0,ROUNDUP(B59/D59,0))</x:f>
        <x:v>13</x:v>
      </x:c>
      <x:c r="F59" s="119" t="n">
        <x:f>SUM(E$31:E58)</x:f>
        <x:v>191</x:v>
      </x:c>
      <x:c r="G59" s="119" t="n">
        <x:f>A59+3</x:f>
        <x:v>32</x:v>
      </x:c>
      <x:c r="H59" s="119" t="n">
        <x:f>INT(A59/10)</x:f>
        <x:v>2</x:v>
      </x:c>
      <x:c r="I59" s="65" t="str">
        <x:v>升级局数忽略上一级结余，仅用于量级判断</x:v>
      </x:c>
      <x:c r="J59" s="65" t="str">
        <x:v>app.js:114 · HERO_EXP_TABLE</x:v>
      </x:c>
    </x:row>
    <x:row r="60" ht="36" customHeight="1">
      <x:c r="A60" s="119" t="n">
        <x:v>30</x:v>
      </x:c>
      <x:c r="B60" s="119" t="n">
        <x:v>390000</x:v>
      </x:c>
      <x:c r="C60" s="119" t="n">
        <x:f>SUM(B$31:B59)</x:f>
        <x:v>3783000</x:v>
      </x:c>
      <x:c r="D60" s="119" t="n">
        <x:f>'经济参数'!$E$11*'经济参数'!$E$60*A60</x:f>
        <x:v>30000</x:v>
      </x:c>
      <x:c r="E60" s="119" t="n">
        <x:f>IF(A60&gt;=150,0,ROUNDUP(B60/D60,0))</x:f>
        <x:v>13</x:v>
      </x:c>
      <x:c r="F60" s="119" t="n">
        <x:f>SUM(E$31:E59)</x:f>
        <x:v>204</x:v>
      </x:c>
      <x:c r="G60" s="119" t="n">
        <x:f>A60+3</x:f>
        <x:v>33</x:v>
      </x:c>
      <x:c r="H60" s="119" t="n">
        <x:f>INT(A60/10)</x:f>
        <x:v>3</x:v>
      </x:c>
      <x:c r="I60" s="65" t="str">
        <x:v>升级局数忽略上一级结余，仅用于量级判断</x:v>
      </x:c>
      <x:c r="J60" s="65" t="str">
        <x:v>app.js:114 · HERO_EXP_TABLE</x:v>
      </x:c>
    </x:row>
    <x:row r="61" ht="36" customHeight="1">
      <x:c r="A61" s="119" t="n">
        <x:v>31</x:v>
      </x:c>
      <x:c r="B61" s="119" t="n">
        <x:v>434000</x:v>
      </x:c>
      <x:c r="C61" s="119" t="n">
        <x:f>SUM(B$31:B60)</x:f>
        <x:v>4173000</x:v>
      </x:c>
      <x:c r="D61" s="119" t="n">
        <x:f>'经济参数'!$E$11*'经济参数'!$E$60*A61</x:f>
        <x:v>31000</x:v>
      </x:c>
      <x:c r="E61" s="119" t="n">
        <x:f>IF(A61&gt;=150,0,ROUNDUP(B61/D61,0))</x:f>
        <x:v>14</x:v>
      </x:c>
      <x:c r="F61" s="119" t="n">
        <x:f>SUM(E$31:E60)</x:f>
        <x:v>217</x:v>
      </x:c>
      <x:c r="G61" s="119" t="n">
        <x:f>A61+3</x:f>
        <x:v>34</x:v>
      </x:c>
      <x:c r="H61" s="119" t="n">
        <x:f>INT(A61/10)</x:f>
        <x:v>3</x:v>
      </x:c>
      <x:c r="I61" s="65" t="str">
        <x:v>升级局数忽略上一级结余，仅用于量级判断</x:v>
      </x:c>
      <x:c r="J61" s="65" t="str">
        <x:v>app.js:114 · HERO_EXP_TABLE</x:v>
      </x:c>
    </x:row>
    <x:row r="62" ht="36" customHeight="1">
      <x:c r="A62" s="119" t="n">
        <x:v>32</x:v>
      </x:c>
      <x:c r="B62" s="119" t="n">
        <x:v>448000</x:v>
      </x:c>
      <x:c r="C62" s="119" t="n">
        <x:f>SUM(B$31:B61)</x:f>
        <x:v>4607000</x:v>
      </x:c>
      <x:c r="D62" s="119" t="n">
        <x:f>'经济参数'!$E$11*'经济参数'!$E$60*A62</x:f>
        <x:v>32000</x:v>
      </x:c>
      <x:c r="E62" s="119" t="n">
        <x:f>IF(A62&gt;=150,0,ROUNDUP(B62/D62,0))</x:f>
        <x:v>14</x:v>
      </x:c>
      <x:c r="F62" s="119" t="n">
        <x:f>SUM(E$31:E61)</x:f>
        <x:v>231</x:v>
      </x:c>
      <x:c r="G62" s="119" t="n">
        <x:f>A62+3</x:f>
        <x:v>35</x:v>
      </x:c>
      <x:c r="H62" s="119" t="n">
        <x:f>INT(A62/10)</x:f>
        <x:v>3</x:v>
      </x:c>
      <x:c r="I62" s="65" t="str">
        <x:v>升级局数忽略上一级结余，仅用于量级判断</x:v>
      </x:c>
      <x:c r="J62" s="65" t="str">
        <x:v>app.js:114 · HERO_EXP_TABLE</x:v>
      </x:c>
    </x:row>
    <x:row r="63" ht="36" customHeight="1">
      <x:c r="A63" s="119" t="n">
        <x:v>33</x:v>
      </x:c>
      <x:c r="B63" s="119" t="n">
        <x:v>495000</x:v>
      </x:c>
      <x:c r="C63" s="119" t="n">
        <x:f>SUM(B$31:B62)</x:f>
        <x:v>5055000</x:v>
      </x:c>
      <x:c r="D63" s="119" t="n">
        <x:f>'经济参数'!$E$11*'经济参数'!$E$60*A63</x:f>
        <x:v>33000</x:v>
      </x:c>
      <x:c r="E63" s="119" t="n">
        <x:f>IF(A63&gt;=150,0,ROUNDUP(B63/D63,0))</x:f>
        <x:v>15</x:v>
      </x:c>
      <x:c r="F63" s="119" t="n">
        <x:f>SUM(E$31:E62)</x:f>
        <x:v>245</x:v>
      </x:c>
      <x:c r="G63" s="119" t="n">
        <x:f>A63+3</x:f>
        <x:v>36</x:v>
      </x:c>
      <x:c r="H63" s="119" t="n">
        <x:f>INT(A63/10)</x:f>
        <x:v>3</x:v>
      </x:c>
      <x:c r="I63" s="65" t="str">
        <x:v>升级局数忽略上一级结余，仅用于量级判断</x:v>
      </x:c>
      <x:c r="J63" s="65" t="str">
        <x:v>app.js:114 · HERO_EXP_TABLE</x:v>
      </x:c>
    </x:row>
    <x:row r="64" ht="36" customHeight="1">
      <x:c r="A64" s="119" t="n">
        <x:v>34</x:v>
      </x:c>
      <x:c r="B64" s="119" t="n">
        <x:v>510000</x:v>
      </x:c>
      <x:c r="C64" s="119" t="n">
        <x:f>SUM(B$31:B63)</x:f>
        <x:v>5550000</x:v>
      </x:c>
      <x:c r="D64" s="119" t="n">
        <x:f>'经济参数'!$E$11*'经济参数'!$E$60*A64</x:f>
        <x:v>34000</x:v>
      </x:c>
      <x:c r="E64" s="119" t="n">
        <x:f>IF(A64&gt;=150,0,ROUNDUP(B64/D64,0))</x:f>
        <x:v>15</x:v>
      </x:c>
      <x:c r="F64" s="119" t="n">
        <x:f>SUM(E$31:E63)</x:f>
        <x:v>260</x:v>
      </x:c>
      <x:c r="G64" s="119" t="n">
        <x:f>A64+3</x:f>
        <x:v>37</x:v>
      </x:c>
      <x:c r="H64" s="119" t="n">
        <x:f>INT(A64/10)</x:f>
        <x:v>3</x:v>
      </x:c>
      <x:c r="I64" s="65" t="str">
        <x:v>升级局数忽略上一级结余，仅用于量级判断</x:v>
      </x:c>
      <x:c r="J64" s="65" t="str">
        <x:v>app.js:114 · HERO_EXP_TABLE</x:v>
      </x:c>
    </x:row>
    <x:row r="65" ht="36" customHeight="1">
      <x:c r="A65" s="119" t="n">
        <x:v>35</x:v>
      </x:c>
      <x:c r="B65" s="119" t="n">
        <x:v>560000</x:v>
      </x:c>
      <x:c r="C65" s="119" t="n">
        <x:f>SUM(B$31:B64)</x:f>
        <x:v>6060000</x:v>
      </x:c>
      <x:c r="D65" s="119" t="n">
        <x:f>'经济参数'!$E$11*'经济参数'!$E$60*A65</x:f>
        <x:v>35000</x:v>
      </x:c>
      <x:c r="E65" s="119" t="n">
        <x:f>IF(A65&gt;=150,0,ROUNDUP(B65/D65,0))</x:f>
        <x:v>16</x:v>
      </x:c>
      <x:c r="F65" s="119" t="n">
        <x:f>SUM(E$31:E64)</x:f>
        <x:v>275</x:v>
      </x:c>
      <x:c r="G65" s="119" t="n">
        <x:f>A65+3</x:f>
        <x:v>38</x:v>
      </x:c>
      <x:c r="H65" s="119" t="n">
        <x:f>INT(A65/10)</x:f>
        <x:v>3</x:v>
      </x:c>
      <x:c r="I65" s="65" t="str">
        <x:v>升级局数忽略上一级结余，仅用于量级判断</x:v>
      </x:c>
      <x:c r="J65" s="65" t="str">
        <x:v>app.js:114 · HERO_EXP_TABLE</x:v>
      </x:c>
    </x:row>
    <x:row r="66" ht="36" customHeight="1">
      <x:c r="A66" s="119" t="n">
        <x:v>36</x:v>
      </x:c>
      <x:c r="B66" s="119" t="n">
        <x:v>576000</x:v>
      </x:c>
      <x:c r="C66" s="119" t="n">
        <x:f>SUM(B$31:B65)</x:f>
        <x:v>6620000</x:v>
      </x:c>
      <x:c r="D66" s="119" t="n">
        <x:f>'经济参数'!$E$11*'经济参数'!$E$60*A66</x:f>
        <x:v>36000</x:v>
      </x:c>
      <x:c r="E66" s="119" t="n">
        <x:f>IF(A66&gt;=150,0,ROUNDUP(B66/D66,0))</x:f>
        <x:v>16</x:v>
      </x:c>
      <x:c r="F66" s="119" t="n">
        <x:f>SUM(E$31:E65)</x:f>
        <x:v>291</x:v>
      </x:c>
      <x:c r="G66" s="119" t="n">
        <x:f>A66+3</x:f>
        <x:v>39</x:v>
      </x:c>
      <x:c r="H66" s="119" t="n">
        <x:f>INT(A66/10)</x:f>
        <x:v>3</x:v>
      </x:c>
      <x:c r="I66" s="65" t="str">
        <x:v>升级局数忽略上一级结余，仅用于量级判断</x:v>
      </x:c>
      <x:c r="J66" s="65" t="str">
        <x:v>app.js:114 · HERO_EXP_TABLE</x:v>
      </x:c>
    </x:row>
    <x:row r="67" ht="36" customHeight="1">
      <x:c r="A67" s="119" t="n">
        <x:v>37</x:v>
      </x:c>
      <x:c r="B67" s="119" t="n">
        <x:v>629000</x:v>
      </x:c>
      <x:c r="C67" s="119" t="n">
        <x:f>SUM(B$31:B66)</x:f>
        <x:v>7196000</x:v>
      </x:c>
      <x:c r="D67" s="119" t="n">
        <x:f>'经济参数'!$E$11*'经济参数'!$E$60*A67</x:f>
        <x:v>37000</x:v>
      </x:c>
      <x:c r="E67" s="119" t="n">
        <x:f>IF(A67&gt;=150,0,ROUNDUP(B67/D67,0))</x:f>
        <x:v>17</x:v>
      </x:c>
      <x:c r="F67" s="119" t="n">
        <x:f>SUM(E$31:E66)</x:f>
        <x:v>307</x:v>
      </x:c>
      <x:c r="G67" s="119" t="n">
        <x:f>A67+3</x:f>
        <x:v>40</x:v>
      </x:c>
      <x:c r="H67" s="119" t="n">
        <x:f>INT(A67/10)</x:f>
        <x:v>3</x:v>
      </x:c>
      <x:c r="I67" s="65" t="str">
        <x:v>升级局数忽略上一级结余，仅用于量级判断</x:v>
      </x:c>
      <x:c r="J67" s="65" t="str">
        <x:v>app.js:114 · HERO_EXP_TABLE</x:v>
      </x:c>
    </x:row>
    <x:row r="68" ht="36" customHeight="1">
      <x:c r="A68" s="119" t="n">
        <x:v>38</x:v>
      </x:c>
      <x:c r="B68" s="119" t="n">
        <x:v>646000</x:v>
      </x:c>
      <x:c r="C68" s="119" t="n">
        <x:f>SUM(B$31:B67)</x:f>
        <x:v>7825000</x:v>
      </x:c>
      <x:c r="D68" s="119" t="n">
        <x:f>'经济参数'!$E$11*'经济参数'!$E$60*A68</x:f>
        <x:v>38000</x:v>
      </x:c>
      <x:c r="E68" s="119" t="n">
        <x:f>IF(A68&gt;=150,0,ROUNDUP(B68/D68,0))</x:f>
        <x:v>17</x:v>
      </x:c>
      <x:c r="F68" s="119" t="n">
        <x:f>SUM(E$31:E67)</x:f>
        <x:v>324</x:v>
      </x:c>
      <x:c r="G68" s="119" t="n">
        <x:f>A68+3</x:f>
        <x:v>41</x:v>
      </x:c>
      <x:c r="H68" s="119" t="n">
        <x:f>INT(A68/10)</x:f>
        <x:v>3</x:v>
      </x:c>
      <x:c r="I68" s="65" t="str">
        <x:v>升级局数忽略上一级结余，仅用于量级判断</x:v>
      </x:c>
      <x:c r="J68" s="65" t="str">
        <x:v>app.js:114 · HERO_EXP_TABLE</x:v>
      </x:c>
    </x:row>
    <x:row r="69" ht="36" customHeight="1">
      <x:c r="A69" s="119" t="n">
        <x:v>39</x:v>
      </x:c>
      <x:c r="B69" s="119" t="n">
        <x:v>702000</x:v>
      </x:c>
      <x:c r="C69" s="119" t="n">
        <x:f>SUM(B$31:B68)</x:f>
        <x:v>8471000</x:v>
      </x:c>
      <x:c r="D69" s="119" t="n">
        <x:f>'经济参数'!$E$11*'经济参数'!$E$60*A69</x:f>
        <x:v>39000</x:v>
      </x:c>
      <x:c r="E69" s="119" t="n">
        <x:f>IF(A69&gt;=150,0,ROUNDUP(B69/D69,0))</x:f>
        <x:v>18</x:v>
      </x:c>
      <x:c r="F69" s="119" t="n">
        <x:f>SUM(E$31:E68)</x:f>
        <x:v>341</x:v>
      </x:c>
      <x:c r="G69" s="119" t="n">
        <x:f>A69+3</x:f>
        <x:v>42</x:v>
      </x:c>
      <x:c r="H69" s="119" t="n">
        <x:f>INT(A69/10)</x:f>
        <x:v>3</x:v>
      </x:c>
      <x:c r="I69" s="65" t="str">
        <x:v>升级局数忽略上一级结余，仅用于量级判断</x:v>
      </x:c>
      <x:c r="J69" s="65" t="str">
        <x:v>app.js:114 · HERO_EXP_TABLE</x:v>
      </x:c>
    </x:row>
    <x:row r="70" ht="36" customHeight="1">
      <x:c r="A70" s="119" t="n">
        <x:v>40</x:v>
      </x:c>
      <x:c r="B70" s="119" t="n">
        <x:v>720000</x:v>
      </x:c>
      <x:c r="C70" s="119" t="n">
        <x:f>SUM(B$31:B69)</x:f>
        <x:v>9173000</x:v>
      </x:c>
      <x:c r="D70" s="119" t="n">
        <x:f>'经济参数'!$E$11*'经济参数'!$E$60*A70</x:f>
        <x:v>40000</x:v>
      </x:c>
      <x:c r="E70" s="119" t="n">
        <x:f>IF(A70&gt;=150,0,ROUNDUP(B70/D70,0))</x:f>
        <x:v>18</x:v>
      </x:c>
      <x:c r="F70" s="119" t="n">
        <x:f>SUM(E$31:E69)</x:f>
        <x:v>359</x:v>
      </x:c>
      <x:c r="G70" s="119" t="n">
        <x:f>A70+3</x:f>
        <x:v>43</x:v>
      </x:c>
      <x:c r="H70" s="119" t="n">
        <x:f>INT(A70/10)</x:f>
        <x:v>4</x:v>
      </x:c>
      <x:c r="I70" s="65" t="str">
        <x:v>升级局数忽略上一级结余，仅用于量级判断</x:v>
      </x:c>
      <x:c r="J70" s="65" t="str">
        <x:v>app.js:114 · HERO_EXP_TABLE</x:v>
      </x:c>
    </x:row>
    <x:row r="71" ht="36" customHeight="1">
      <x:c r="A71" s="119" t="n">
        <x:v>41</x:v>
      </x:c>
      <x:c r="B71" s="119" t="n">
        <x:v>779000</x:v>
      </x:c>
      <x:c r="C71" s="119" t="n">
        <x:f>SUM(B$31:B70)</x:f>
        <x:v>9893000</x:v>
      </x:c>
      <x:c r="D71" s="119" t="n">
        <x:f>'经济参数'!$E$11*'经济参数'!$E$60*A71</x:f>
        <x:v>41000</x:v>
      </x:c>
      <x:c r="E71" s="119" t="n">
        <x:f>IF(A71&gt;=150,0,ROUNDUP(B71/D71,0))</x:f>
        <x:v>19</x:v>
      </x:c>
      <x:c r="F71" s="119" t="n">
        <x:f>SUM(E$31:E70)</x:f>
        <x:v>377</x:v>
      </x:c>
      <x:c r="G71" s="119" t="n">
        <x:f>A71+3</x:f>
        <x:v>44</x:v>
      </x:c>
      <x:c r="H71" s="119" t="n">
        <x:f>INT(A71/10)</x:f>
        <x:v>4</x:v>
      </x:c>
      <x:c r="I71" s="65" t="str">
        <x:v>升级局数忽略上一级结余，仅用于量级判断</x:v>
      </x:c>
      <x:c r="J71" s="65" t="str">
        <x:v>app.js:114 · HERO_EXP_TABLE</x:v>
      </x:c>
    </x:row>
    <x:row r="72" ht="36" customHeight="1">
      <x:c r="A72" s="119" t="n">
        <x:v>42</x:v>
      </x:c>
      <x:c r="B72" s="119" t="n">
        <x:v>798000</x:v>
      </x:c>
      <x:c r="C72" s="119" t="n">
        <x:f>SUM(B$31:B71)</x:f>
        <x:v>10672000</x:v>
      </x:c>
      <x:c r="D72" s="119" t="n">
        <x:f>'经济参数'!$E$11*'经济参数'!$E$60*A72</x:f>
        <x:v>42000</x:v>
      </x:c>
      <x:c r="E72" s="119" t="n">
        <x:f>IF(A72&gt;=150,0,ROUNDUP(B72/D72,0))</x:f>
        <x:v>19</x:v>
      </x:c>
      <x:c r="F72" s="119" t="n">
        <x:f>SUM(E$31:E71)</x:f>
        <x:v>396</x:v>
      </x:c>
      <x:c r="G72" s="119" t="n">
        <x:f>A72+3</x:f>
        <x:v>45</x:v>
      </x:c>
      <x:c r="H72" s="119" t="n">
        <x:f>INT(A72/10)</x:f>
        <x:v>4</x:v>
      </x:c>
      <x:c r="I72" s="65" t="str">
        <x:v>升级局数忽略上一级结余，仅用于量级判断</x:v>
      </x:c>
      <x:c r="J72" s="65" t="str">
        <x:v>app.js:114 · HERO_EXP_TABLE</x:v>
      </x:c>
    </x:row>
    <x:row r="73" ht="36" customHeight="1">
      <x:c r="A73" s="119" t="n">
        <x:v>43</x:v>
      </x:c>
      <x:c r="B73" s="119" t="n">
        <x:v>860000</x:v>
      </x:c>
      <x:c r="C73" s="119" t="n">
        <x:f>SUM(B$31:B72)</x:f>
        <x:v>11470000</x:v>
      </x:c>
      <x:c r="D73" s="119" t="n">
        <x:f>'经济参数'!$E$11*'经济参数'!$E$60*A73</x:f>
        <x:v>43000</x:v>
      </x:c>
      <x:c r="E73" s="119" t="n">
        <x:f>IF(A73&gt;=150,0,ROUNDUP(B73/D73,0))</x:f>
        <x:v>20</x:v>
      </x:c>
      <x:c r="F73" s="119" t="n">
        <x:f>SUM(E$31:E72)</x:f>
        <x:v>415</x:v>
      </x:c>
      <x:c r="G73" s="119" t="n">
        <x:f>A73+3</x:f>
        <x:v>46</x:v>
      </x:c>
      <x:c r="H73" s="119" t="n">
        <x:f>INT(A73/10)</x:f>
        <x:v>4</x:v>
      </x:c>
      <x:c r="I73" s="65" t="str">
        <x:v>升级局数忽略上一级结余，仅用于量级判断</x:v>
      </x:c>
      <x:c r="J73" s="65" t="str">
        <x:v>app.js:114 · HERO_EXP_TABLE</x:v>
      </x:c>
    </x:row>
    <x:row r="74" ht="36" customHeight="1">
      <x:c r="A74" s="119" t="n">
        <x:v>44</x:v>
      </x:c>
      <x:c r="B74" s="119" t="n">
        <x:v>880000</x:v>
      </x:c>
      <x:c r="C74" s="119" t="n">
        <x:f>SUM(B$31:B73)</x:f>
        <x:v>12330000</x:v>
      </x:c>
      <x:c r="D74" s="119" t="n">
        <x:f>'经济参数'!$E$11*'经济参数'!$E$60*A74</x:f>
        <x:v>44000</x:v>
      </x:c>
      <x:c r="E74" s="119" t="n">
        <x:f>IF(A74&gt;=150,0,ROUNDUP(B74/D74,0))</x:f>
        <x:v>20</x:v>
      </x:c>
      <x:c r="F74" s="119" t="n">
        <x:f>SUM(E$31:E73)</x:f>
        <x:v>435</x:v>
      </x:c>
      <x:c r="G74" s="119" t="n">
        <x:f>A74+3</x:f>
        <x:v>47</x:v>
      </x:c>
      <x:c r="H74" s="119" t="n">
        <x:f>INT(A74/10)</x:f>
        <x:v>4</x:v>
      </x:c>
      <x:c r="I74" s="65" t="str">
        <x:v>升级局数忽略上一级结余，仅用于量级判断</x:v>
      </x:c>
      <x:c r="J74" s="65" t="str">
        <x:v>app.js:114 · HERO_EXP_TABLE</x:v>
      </x:c>
    </x:row>
    <x:row r="75" ht="36" customHeight="1">
      <x:c r="A75" s="119" t="n">
        <x:v>45</x:v>
      </x:c>
      <x:c r="B75" s="119" t="n">
        <x:v>945000</x:v>
      </x:c>
      <x:c r="C75" s="119" t="n">
        <x:f>SUM(B$31:B74)</x:f>
        <x:v>13210000</x:v>
      </x:c>
      <x:c r="D75" s="119" t="n">
        <x:f>'经济参数'!$E$11*'经济参数'!$E$60*A75</x:f>
        <x:v>45000</x:v>
      </x:c>
      <x:c r="E75" s="119" t="n">
        <x:f>IF(A75&gt;=150,0,ROUNDUP(B75/D75,0))</x:f>
        <x:v>21</x:v>
      </x:c>
      <x:c r="F75" s="119" t="n">
        <x:f>SUM(E$31:E74)</x:f>
        <x:v>455</x:v>
      </x:c>
      <x:c r="G75" s="119" t="n">
        <x:f>A75+3</x:f>
        <x:v>48</x:v>
      </x:c>
      <x:c r="H75" s="119" t="n">
        <x:f>INT(A75/10)</x:f>
        <x:v>4</x:v>
      </x:c>
      <x:c r="I75" s="65" t="str">
        <x:v>升级局数忽略上一级结余，仅用于量级判断</x:v>
      </x:c>
      <x:c r="J75" s="65" t="str">
        <x:v>app.js:114 · HERO_EXP_TABLE</x:v>
      </x:c>
    </x:row>
    <x:row r="76" ht="36" customHeight="1">
      <x:c r="A76" s="119" t="n">
        <x:v>46</x:v>
      </x:c>
      <x:c r="B76" s="119" t="n">
        <x:v>966000</x:v>
      </x:c>
      <x:c r="C76" s="119" t="n">
        <x:f>SUM(B$31:B75)</x:f>
        <x:v>14155000</x:v>
      </x:c>
      <x:c r="D76" s="119" t="n">
        <x:f>'经济参数'!$E$11*'经济参数'!$E$60*A76</x:f>
        <x:v>46000</x:v>
      </x:c>
      <x:c r="E76" s="119" t="n">
        <x:f>IF(A76&gt;=150,0,ROUNDUP(B76/D76,0))</x:f>
        <x:v>21</x:v>
      </x:c>
      <x:c r="F76" s="119" t="n">
        <x:f>SUM(E$31:E75)</x:f>
        <x:v>476</x:v>
      </x:c>
      <x:c r="G76" s="119" t="n">
        <x:f>A76+3</x:f>
        <x:v>49</x:v>
      </x:c>
      <x:c r="H76" s="119" t="n">
        <x:f>INT(A76/10)</x:f>
        <x:v>4</x:v>
      </x:c>
      <x:c r="I76" s="65" t="str">
        <x:v>升级局数忽略上一级结余，仅用于量级判断</x:v>
      </x:c>
      <x:c r="J76" s="65" t="str">
        <x:v>app.js:114 · HERO_EXP_TABLE</x:v>
      </x:c>
    </x:row>
    <x:row r="77" ht="36" customHeight="1">
      <x:c r="A77" s="119" t="n">
        <x:v>47</x:v>
      </x:c>
      <x:c r="B77" s="119" t="n">
        <x:v>1034000</x:v>
      </x:c>
      <x:c r="C77" s="119" t="n">
        <x:f>SUM(B$31:B76)</x:f>
        <x:v>15121000</x:v>
      </x:c>
      <x:c r="D77" s="119" t="n">
        <x:f>'经济参数'!$E$11*'经济参数'!$E$60*A77</x:f>
        <x:v>47000</x:v>
      </x:c>
      <x:c r="E77" s="119" t="n">
        <x:f>IF(A77&gt;=150,0,ROUNDUP(B77/D77,0))</x:f>
        <x:v>22</x:v>
      </x:c>
      <x:c r="F77" s="119" t="n">
        <x:f>SUM(E$31:E76)</x:f>
        <x:v>497</x:v>
      </x:c>
      <x:c r="G77" s="119" t="n">
        <x:f>A77+3</x:f>
        <x:v>50</x:v>
      </x:c>
      <x:c r="H77" s="119" t="n">
        <x:f>INT(A77/10)</x:f>
        <x:v>4</x:v>
      </x:c>
      <x:c r="I77" s="65" t="str">
        <x:v>升级局数忽略上一级结余，仅用于量级判断</x:v>
      </x:c>
      <x:c r="J77" s="65" t="str">
        <x:v>app.js:114 · HERO_EXP_TABLE</x:v>
      </x:c>
    </x:row>
    <x:row r="78" ht="36" customHeight="1">
      <x:c r="A78" s="119" t="n">
        <x:v>48</x:v>
      </x:c>
      <x:c r="B78" s="119" t="n">
        <x:v>1056000</x:v>
      </x:c>
      <x:c r="C78" s="119" t="n">
        <x:f>SUM(B$31:B77)</x:f>
        <x:v>16155000</x:v>
      </x:c>
      <x:c r="D78" s="119" t="n">
        <x:f>'经济参数'!$E$11*'经济参数'!$E$60*A78</x:f>
        <x:v>48000</x:v>
      </x:c>
      <x:c r="E78" s="119" t="n">
        <x:f>IF(A78&gt;=150,0,ROUNDUP(B78/D78,0))</x:f>
        <x:v>22</x:v>
      </x:c>
      <x:c r="F78" s="119" t="n">
        <x:f>SUM(E$31:E77)</x:f>
        <x:v>519</x:v>
      </x:c>
      <x:c r="G78" s="119" t="n">
        <x:f>A78+3</x:f>
        <x:v>51</x:v>
      </x:c>
      <x:c r="H78" s="119" t="n">
        <x:f>INT(A78/10)</x:f>
        <x:v>4</x:v>
      </x:c>
      <x:c r="I78" s="65" t="str">
        <x:v>升级局数忽略上一级结余，仅用于量级判断</x:v>
      </x:c>
      <x:c r="J78" s="65" t="str">
        <x:v>app.js:114 · HERO_EXP_TABLE</x:v>
      </x:c>
    </x:row>
    <x:row r="79" ht="36" customHeight="1">
      <x:c r="A79" s="119" t="n">
        <x:v>49</x:v>
      </x:c>
      <x:c r="B79" s="119" t="n">
        <x:v>1127000</x:v>
      </x:c>
      <x:c r="C79" s="119" t="n">
        <x:f>SUM(B$31:B78)</x:f>
        <x:v>17211000</x:v>
      </x:c>
      <x:c r="D79" s="119" t="n">
        <x:f>'经济参数'!$E$11*'经济参数'!$E$60*A79</x:f>
        <x:v>49000</x:v>
      </x:c>
      <x:c r="E79" s="119" t="n">
        <x:f>IF(A79&gt;=150,0,ROUNDUP(B79/D79,0))</x:f>
        <x:v>23</x:v>
      </x:c>
      <x:c r="F79" s="119" t="n">
        <x:f>SUM(E$31:E78)</x:f>
        <x:v>541</x:v>
      </x:c>
      <x:c r="G79" s="119" t="n">
        <x:f>A79+3</x:f>
        <x:v>52</x:v>
      </x:c>
      <x:c r="H79" s="119" t="n">
        <x:f>INT(A79/10)</x:f>
        <x:v>4</x:v>
      </x:c>
      <x:c r="I79" s="65" t="str">
        <x:v>升级局数忽略上一级结余，仅用于量级判断</x:v>
      </x:c>
      <x:c r="J79" s="65" t="str">
        <x:v>app.js:114 · HERO_EXP_TABLE</x:v>
      </x:c>
    </x:row>
    <x:row r="80" ht="36" customHeight="1">
      <x:c r="A80" s="119" t="n">
        <x:v>50</x:v>
      </x:c>
      <x:c r="B80" s="119" t="n">
        <x:v>1150000</x:v>
      </x:c>
      <x:c r="C80" s="119" t="n">
        <x:f>SUM(B$31:B79)</x:f>
        <x:v>18338000</x:v>
      </x:c>
      <x:c r="D80" s="119" t="n">
        <x:f>'经济参数'!$E$11*'经济参数'!$E$60*A80</x:f>
        <x:v>50000</x:v>
      </x:c>
      <x:c r="E80" s="119" t="n">
        <x:f>IF(A80&gt;=150,0,ROUNDUP(B80/D80,0))</x:f>
        <x:v>23</x:v>
      </x:c>
      <x:c r="F80" s="119" t="n">
        <x:f>SUM(E$31:E79)</x:f>
        <x:v>564</x:v>
      </x:c>
      <x:c r="G80" s="119" t="n">
        <x:f>A80+3</x:f>
        <x:v>53</x:v>
      </x:c>
      <x:c r="H80" s="119" t="n">
        <x:f>INT(A80/10)</x:f>
        <x:v>5</x:v>
      </x:c>
      <x:c r="I80" s="65" t="str">
        <x:v>升级局数忽略上一级结余，仅用于量级判断</x:v>
      </x:c>
      <x:c r="J80" s="65" t="str">
        <x:v>app.js:114 · HERO_EXP_TABLE</x:v>
      </x:c>
    </x:row>
    <x:row r="81" ht="36" customHeight="1">
      <x:c r="A81" s="119" t="n">
        <x:v>51</x:v>
      </x:c>
      <x:c r="B81" s="119" t="n">
        <x:v>1224000</x:v>
      </x:c>
      <x:c r="C81" s="119" t="n">
        <x:f>SUM(B$31:B80)</x:f>
        <x:v>19488000</x:v>
      </x:c>
      <x:c r="D81" s="119" t="n">
        <x:f>'经济参数'!$E$11*'经济参数'!$E$60*A81</x:f>
        <x:v>51000</x:v>
      </x:c>
      <x:c r="E81" s="119" t="n">
        <x:f>IF(A81&gt;=150,0,ROUNDUP(B81/D81,0))</x:f>
        <x:v>24</x:v>
      </x:c>
      <x:c r="F81" s="119" t="n">
        <x:f>SUM(E$31:E80)</x:f>
        <x:v>587</x:v>
      </x:c>
      <x:c r="G81" s="119" t="n">
        <x:f>A81+3</x:f>
        <x:v>54</x:v>
      </x:c>
      <x:c r="H81" s="119" t="n">
        <x:f>INT(A81/10)</x:f>
        <x:v>5</x:v>
      </x:c>
      <x:c r="I81" s="65" t="str">
        <x:v>升级局数忽略上一级结余，仅用于量级判断</x:v>
      </x:c>
      <x:c r="J81" s="65" t="str">
        <x:v>app.js:114 · HERO_EXP_TABLE</x:v>
      </x:c>
    </x:row>
    <x:row r="82" ht="36" customHeight="1">
      <x:c r="A82" s="119" t="n">
        <x:v>52</x:v>
      </x:c>
      <x:c r="B82" s="119" t="n">
        <x:v>1248000</x:v>
      </x:c>
      <x:c r="C82" s="119" t="n">
        <x:f>SUM(B$31:B81)</x:f>
        <x:v>20712000</x:v>
      </x:c>
      <x:c r="D82" s="119" t="n">
        <x:f>'经济参数'!$E$11*'经济参数'!$E$60*A82</x:f>
        <x:v>52000</x:v>
      </x:c>
      <x:c r="E82" s="119" t="n">
        <x:f>IF(A82&gt;=150,0,ROUNDUP(B82/D82,0))</x:f>
        <x:v>24</x:v>
      </x:c>
      <x:c r="F82" s="119" t="n">
        <x:f>SUM(E$31:E81)</x:f>
        <x:v>611</x:v>
      </x:c>
      <x:c r="G82" s="119" t="n">
        <x:f>A82+3</x:f>
        <x:v>55</x:v>
      </x:c>
      <x:c r="H82" s="119" t="n">
        <x:f>INT(A82/10)</x:f>
        <x:v>5</x:v>
      </x:c>
      <x:c r="I82" s="65" t="str">
        <x:v>升级局数忽略上一级结余，仅用于量级判断</x:v>
      </x:c>
      <x:c r="J82" s="65" t="str">
        <x:v>app.js:114 · HERO_EXP_TABLE</x:v>
      </x:c>
    </x:row>
    <x:row r="83" ht="36" customHeight="1">
      <x:c r="A83" s="119" t="n">
        <x:v>53</x:v>
      </x:c>
      <x:c r="B83" s="119" t="n">
        <x:v>1325000</x:v>
      </x:c>
      <x:c r="C83" s="119" t="n">
        <x:f>SUM(B$31:B82)</x:f>
        <x:v>21960000</x:v>
      </x:c>
      <x:c r="D83" s="119" t="n">
        <x:f>'经济参数'!$E$11*'经济参数'!$E$60*A83</x:f>
        <x:v>53000</x:v>
      </x:c>
      <x:c r="E83" s="119" t="n">
        <x:f>IF(A83&gt;=150,0,ROUNDUP(B83/D83,0))</x:f>
        <x:v>25</x:v>
      </x:c>
      <x:c r="F83" s="119" t="n">
        <x:f>SUM(E$31:E82)</x:f>
        <x:v>635</x:v>
      </x:c>
      <x:c r="G83" s="119" t="n">
        <x:f>A83+3</x:f>
        <x:v>56</x:v>
      </x:c>
      <x:c r="H83" s="119" t="n">
        <x:f>INT(A83/10)</x:f>
        <x:v>5</x:v>
      </x:c>
      <x:c r="I83" s="65" t="str">
        <x:v>升级局数忽略上一级结余，仅用于量级判断</x:v>
      </x:c>
      <x:c r="J83" s="65" t="str">
        <x:v>app.js:114 · HERO_EXP_TABLE</x:v>
      </x:c>
    </x:row>
    <x:row r="84" ht="36" customHeight="1">
      <x:c r="A84" s="119" t="n">
        <x:v>54</x:v>
      </x:c>
      <x:c r="B84" s="119" t="n">
        <x:v>1350000</x:v>
      </x:c>
      <x:c r="C84" s="119" t="n">
        <x:f>SUM(B$31:B83)</x:f>
        <x:v>23285000</x:v>
      </x:c>
      <x:c r="D84" s="119" t="n">
        <x:f>'经济参数'!$E$11*'经济参数'!$E$60*A84</x:f>
        <x:v>54000</x:v>
      </x:c>
      <x:c r="E84" s="119" t="n">
        <x:f>IF(A84&gt;=150,0,ROUNDUP(B84/D84,0))</x:f>
        <x:v>25</x:v>
      </x:c>
      <x:c r="F84" s="119" t="n">
        <x:f>SUM(E$31:E83)</x:f>
        <x:v>660</x:v>
      </x:c>
      <x:c r="G84" s="119" t="n">
        <x:f>A84+3</x:f>
        <x:v>57</x:v>
      </x:c>
      <x:c r="H84" s="119" t="n">
        <x:f>INT(A84/10)</x:f>
        <x:v>5</x:v>
      </x:c>
      <x:c r="I84" s="65" t="str">
        <x:v>升级局数忽略上一级结余，仅用于量级判断</x:v>
      </x:c>
      <x:c r="J84" s="65" t="str">
        <x:v>app.js:114 · HERO_EXP_TABLE</x:v>
      </x:c>
    </x:row>
    <x:row r="85" ht="36" customHeight="1">
      <x:c r="A85" s="119" t="n">
        <x:v>55</x:v>
      </x:c>
      <x:c r="B85" s="119" t="n">
        <x:v>1430000</x:v>
      </x:c>
      <x:c r="C85" s="119" t="n">
        <x:f>SUM(B$31:B84)</x:f>
        <x:v>24635000</x:v>
      </x:c>
      <x:c r="D85" s="119" t="n">
        <x:f>'经济参数'!$E$11*'经济参数'!$E$60*A85</x:f>
        <x:v>55000</x:v>
      </x:c>
      <x:c r="E85" s="119" t="n">
        <x:f>IF(A85&gt;=150,0,ROUNDUP(B85/D85,0))</x:f>
        <x:v>26</x:v>
      </x:c>
      <x:c r="F85" s="119" t="n">
        <x:f>SUM(E$31:E84)</x:f>
        <x:v>685</x:v>
      </x:c>
      <x:c r="G85" s="119" t="n">
        <x:f>A85+3</x:f>
        <x:v>58</x:v>
      </x:c>
      <x:c r="H85" s="119" t="n">
        <x:f>INT(A85/10)</x:f>
        <x:v>5</x:v>
      </x:c>
      <x:c r="I85" s="65" t="str">
        <x:v>升级局数忽略上一级结余，仅用于量级判断</x:v>
      </x:c>
      <x:c r="J85" s="65" t="str">
        <x:v>app.js:114 · HERO_EXP_TABLE</x:v>
      </x:c>
    </x:row>
    <x:row r="86" ht="36" customHeight="1">
      <x:c r="A86" s="119" t="n">
        <x:v>56</x:v>
      </x:c>
      <x:c r="B86" s="119" t="n">
        <x:v>1456000</x:v>
      </x:c>
      <x:c r="C86" s="119" t="n">
        <x:f>SUM(B$31:B85)</x:f>
        <x:v>26065000</x:v>
      </x:c>
      <x:c r="D86" s="119" t="n">
        <x:f>'经济参数'!$E$11*'经济参数'!$E$60*A86</x:f>
        <x:v>56000</x:v>
      </x:c>
      <x:c r="E86" s="119" t="n">
        <x:f>IF(A86&gt;=150,0,ROUNDUP(B86/D86,0))</x:f>
        <x:v>26</x:v>
      </x:c>
      <x:c r="F86" s="119" t="n">
        <x:f>SUM(E$31:E85)</x:f>
        <x:v>711</x:v>
      </x:c>
      <x:c r="G86" s="119" t="n">
        <x:f>A86+3</x:f>
        <x:v>59</x:v>
      </x:c>
      <x:c r="H86" s="119" t="n">
        <x:f>INT(A86/10)</x:f>
        <x:v>5</x:v>
      </x:c>
      <x:c r="I86" s="65" t="str">
        <x:v>升级局数忽略上一级结余，仅用于量级判断</x:v>
      </x:c>
      <x:c r="J86" s="65" t="str">
        <x:v>app.js:114 · HERO_EXP_TABLE</x:v>
      </x:c>
    </x:row>
    <x:row r="87" ht="36" customHeight="1">
      <x:c r="A87" s="119" t="n">
        <x:v>57</x:v>
      </x:c>
      <x:c r="B87" s="119" t="n">
        <x:v>1539000</x:v>
      </x:c>
      <x:c r="C87" s="119" t="n">
        <x:f>SUM(B$31:B86)</x:f>
        <x:v>27521000</x:v>
      </x:c>
      <x:c r="D87" s="119" t="n">
        <x:f>'经济参数'!$E$11*'经济参数'!$E$60*A87</x:f>
        <x:v>57000</x:v>
      </x:c>
      <x:c r="E87" s="119" t="n">
        <x:f>IF(A87&gt;=150,0,ROUNDUP(B87/D87,0))</x:f>
        <x:v>27</x:v>
      </x:c>
      <x:c r="F87" s="119" t="n">
        <x:f>SUM(E$31:E86)</x:f>
        <x:v>737</x:v>
      </x:c>
      <x:c r="G87" s="119" t="n">
        <x:f>A87+3</x:f>
        <x:v>60</x:v>
      </x:c>
      <x:c r="H87" s="119" t="n">
        <x:f>INT(A87/10)</x:f>
        <x:v>5</x:v>
      </x:c>
      <x:c r="I87" s="65" t="str">
        <x:v>升级局数忽略上一级结余，仅用于量级判断</x:v>
      </x:c>
      <x:c r="J87" s="65" t="str">
        <x:v>app.js:114 · HERO_EXP_TABLE</x:v>
      </x:c>
    </x:row>
    <x:row r="88" ht="36" customHeight="1">
      <x:c r="A88" s="119" t="n">
        <x:v>58</x:v>
      </x:c>
      <x:c r="B88" s="119" t="n">
        <x:v>1566000</x:v>
      </x:c>
      <x:c r="C88" s="119" t="n">
        <x:f>SUM(B$31:B87)</x:f>
        <x:v>29060000</x:v>
      </x:c>
      <x:c r="D88" s="119" t="n">
        <x:f>'经济参数'!$E$11*'经济参数'!$E$60*A88</x:f>
        <x:v>58000</x:v>
      </x:c>
      <x:c r="E88" s="119" t="n">
        <x:f>IF(A88&gt;=150,0,ROUNDUP(B88/D88,0))</x:f>
        <x:v>27</x:v>
      </x:c>
      <x:c r="F88" s="119" t="n">
        <x:f>SUM(E$31:E87)</x:f>
        <x:v>764</x:v>
      </x:c>
      <x:c r="G88" s="119" t="n">
        <x:f>A88+3</x:f>
        <x:v>61</x:v>
      </x:c>
      <x:c r="H88" s="119" t="n">
        <x:f>INT(A88/10)</x:f>
        <x:v>5</x:v>
      </x:c>
      <x:c r="I88" s="65" t="str">
        <x:v>升级局数忽略上一级结余，仅用于量级判断</x:v>
      </x:c>
      <x:c r="J88" s="65" t="str">
        <x:v>app.js:114 · HERO_EXP_TABLE</x:v>
      </x:c>
    </x:row>
    <x:row r="89" ht="36" customHeight="1">
      <x:c r="A89" s="119" t="n">
        <x:v>59</x:v>
      </x:c>
      <x:c r="B89" s="119" t="n">
        <x:v>1652000</x:v>
      </x:c>
      <x:c r="C89" s="119" t="n">
        <x:f>SUM(B$31:B88)</x:f>
        <x:v>30626000</x:v>
      </x:c>
      <x:c r="D89" s="119" t="n">
        <x:f>'经济参数'!$E$11*'经济参数'!$E$60*A89</x:f>
        <x:v>59000</x:v>
      </x:c>
      <x:c r="E89" s="119" t="n">
        <x:f>IF(A89&gt;=150,0,ROUNDUP(B89/D89,0))</x:f>
        <x:v>28</x:v>
      </x:c>
      <x:c r="F89" s="119" t="n">
        <x:f>SUM(E$31:E88)</x:f>
        <x:v>791</x:v>
      </x:c>
      <x:c r="G89" s="119" t="n">
        <x:f>A89+3</x:f>
        <x:v>62</x:v>
      </x:c>
      <x:c r="H89" s="119" t="n">
        <x:f>INT(A89/10)</x:f>
        <x:v>5</x:v>
      </x:c>
      <x:c r="I89" s="65" t="str">
        <x:v>升级局数忽略上一级结余，仅用于量级判断</x:v>
      </x:c>
      <x:c r="J89" s="65" t="str">
        <x:v>app.js:114 · HERO_EXP_TABLE</x:v>
      </x:c>
    </x:row>
    <x:row r="90" ht="36" customHeight="1">
      <x:c r="A90" s="119" t="n">
        <x:v>60</x:v>
      </x:c>
      <x:c r="B90" s="119" t="n">
        <x:v>1680000</x:v>
      </x:c>
      <x:c r="C90" s="119" t="n">
        <x:f>SUM(B$31:B89)</x:f>
        <x:v>32278000</x:v>
      </x:c>
      <x:c r="D90" s="119" t="n">
        <x:f>'经济参数'!$E$11*'经济参数'!$E$60*A90</x:f>
        <x:v>60000</x:v>
      </x:c>
      <x:c r="E90" s="119" t="n">
        <x:f>IF(A90&gt;=150,0,ROUNDUP(B90/D90,0))</x:f>
        <x:v>28</x:v>
      </x:c>
      <x:c r="F90" s="119" t="n">
        <x:f>SUM(E$31:E89)</x:f>
        <x:v>819</x:v>
      </x:c>
      <x:c r="G90" s="119" t="n">
        <x:f>A90+3</x:f>
        <x:v>63</x:v>
      </x:c>
      <x:c r="H90" s="119" t="n">
        <x:f>INT(A90/10)</x:f>
        <x:v>6</x:v>
      </x:c>
      <x:c r="I90" s="65" t="str">
        <x:v>升级局数忽略上一级结余，仅用于量级判断</x:v>
      </x:c>
      <x:c r="J90" s="65" t="str">
        <x:v>app.js:114 · HERO_EXP_TABLE</x:v>
      </x:c>
    </x:row>
    <x:row r="91" ht="36" customHeight="1">
      <x:c r="A91" s="119" t="n">
        <x:v>61</x:v>
      </x:c>
      <x:c r="B91" s="119" t="n">
        <x:v>1769000</x:v>
      </x:c>
      <x:c r="C91" s="119" t="n">
        <x:f>SUM(B$31:B90)</x:f>
        <x:v>33958000</x:v>
      </x:c>
      <x:c r="D91" s="119" t="n">
        <x:f>'经济参数'!$E$11*'经济参数'!$E$60*A91</x:f>
        <x:v>61000</x:v>
      </x:c>
      <x:c r="E91" s="119" t="n">
        <x:f>IF(A91&gt;=150,0,ROUNDUP(B91/D91,0))</x:f>
        <x:v>29</x:v>
      </x:c>
      <x:c r="F91" s="119" t="n">
        <x:f>SUM(E$31:E90)</x:f>
        <x:v>847</x:v>
      </x:c>
      <x:c r="G91" s="119" t="n">
        <x:f>A91+3</x:f>
        <x:v>64</x:v>
      </x:c>
      <x:c r="H91" s="119" t="n">
        <x:f>INT(A91/10)</x:f>
        <x:v>6</x:v>
      </x:c>
      <x:c r="I91" s="65" t="str">
        <x:v>升级局数忽略上一级结余，仅用于量级判断</x:v>
      </x:c>
      <x:c r="J91" s="65" t="str">
        <x:v>app.js:114 · HERO_EXP_TABLE</x:v>
      </x:c>
    </x:row>
    <x:row r="92" ht="36" customHeight="1">
      <x:c r="A92" s="119" t="n">
        <x:v>62</x:v>
      </x:c>
      <x:c r="B92" s="119" t="n">
        <x:v>1860000</x:v>
      </x:c>
      <x:c r="C92" s="119" t="n">
        <x:f>SUM(B$31:B91)</x:f>
        <x:v>35727000</x:v>
      </x:c>
      <x:c r="D92" s="119" t="n">
        <x:f>'经济参数'!$E$11*'经济参数'!$E$60*A92</x:f>
        <x:v>62000</x:v>
      </x:c>
      <x:c r="E92" s="119" t="n">
        <x:f>IF(A92&gt;=150,0,ROUNDUP(B92/D92,0))</x:f>
        <x:v>30</x:v>
      </x:c>
      <x:c r="F92" s="119" t="n">
        <x:f>SUM(E$31:E91)</x:f>
        <x:v>876</x:v>
      </x:c>
      <x:c r="G92" s="119" t="n">
        <x:f>A92+3</x:f>
        <x:v>65</x:v>
      </x:c>
      <x:c r="H92" s="119" t="n">
        <x:f>INT(A92/10)</x:f>
        <x:v>6</x:v>
      </x:c>
      <x:c r="I92" s="65" t="str">
        <x:v>升级局数忽略上一级结余，仅用于量级判断</x:v>
      </x:c>
      <x:c r="J92" s="65" t="str">
        <x:v>app.js:114 · HERO_EXP_TABLE</x:v>
      </x:c>
    </x:row>
    <x:row r="93" ht="36" customHeight="1">
      <x:c r="A93" s="119" t="n">
        <x:v>63</x:v>
      </x:c>
      <x:c r="B93" s="119" t="n">
        <x:v>1953000</x:v>
      </x:c>
      <x:c r="C93" s="119" t="n">
        <x:f>SUM(B$31:B92)</x:f>
        <x:v>37587000</x:v>
      </x:c>
      <x:c r="D93" s="119" t="n">
        <x:f>'经济参数'!$E$11*'经济参数'!$E$60*A93</x:f>
        <x:v>63000</x:v>
      </x:c>
      <x:c r="E93" s="119" t="n">
        <x:f>IF(A93&gt;=150,0,ROUNDUP(B93/D93,0))</x:f>
        <x:v>31</x:v>
      </x:c>
      <x:c r="F93" s="119" t="n">
        <x:f>SUM(E$31:E92)</x:f>
        <x:v>906</x:v>
      </x:c>
      <x:c r="G93" s="119" t="n">
        <x:f>A93+3</x:f>
        <x:v>66</x:v>
      </x:c>
      <x:c r="H93" s="119" t="n">
        <x:f>INT(A93/10)</x:f>
        <x:v>6</x:v>
      </x:c>
      <x:c r="I93" s="65" t="str">
        <x:v>升级局数忽略上一级结余，仅用于量级判断</x:v>
      </x:c>
      <x:c r="J93" s="65" t="str">
        <x:v>app.js:114 · HERO_EXP_TABLE</x:v>
      </x:c>
    </x:row>
    <x:row r="94" ht="36" customHeight="1">
      <x:c r="A94" s="119" t="n">
        <x:v>64</x:v>
      </x:c>
      <x:c r="B94" s="119" t="n">
        <x:v>2048000</x:v>
      </x:c>
      <x:c r="C94" s="119" t="n">
        <x:f>SUM(B$31:B93)</x:f>
        <x:v>39540000</x:v>
      </x:c>
      <x:c r="D94" s="119" t="n">
        <x:f>'经济参数'!$E$11*'经济参数'!$E$60*A94</x:f>
        <x:v>64000</x:v>
      </x:c>
      <x:c r="E94" s="119" t="n">
        <x:f>IF(A94&gt;=150,0,ROUNDUP(B94/D94,0))</x:f>
        <x:v>32</x:v>
      </x:c>
      <x:c r="F94" s="119" t="n">
        <x:f>SUM(E$31:E93)</x:f>
        <x:v>937</x:v>
      </x:c>
      <x:c r="G94" s="119" t="n">
        <x:f>A94+3</x:f>
        <x:v>67</x:v>
      </x:c>
      <x:c r="H94" s="119" t="n">
        <x:f>INT(A94/10)</x:f>
        <x:v>6</x:v>
      </x:c>
      <x:c r="I94" s="65" t="str">
        <x:v>升级局数忽略上一级结余，仅用于量级判断</x:v>
      </x:c>
      <x:c r="J94" s="65" t="str">
        <x:v>app.js:114 · HERO_EXP_TABLE</x:v>
      </x:c>
    </x:row>
    <x:row r="95" ht="36" customHeight="1">
      <x:c r="A95" s="119" t="n">
        <x:v>65</x:v>
      </x:c>
      <x:c r="B95" s="119" t="n">
        <x:v>2145000</x:v>
      </x:c>
      <x:c r="C95" s="119" t="n">
        <x:f>SUM(B$31:B94)</x:f>
        <x:v>41588000</x:v>
      </x:c>
      <x:c r="D95" s="119" t="n">
        <x:f>'经济参数'!$E$11*'经济参数'!$E$60*A95</x:f>
        <x:v>65000</x:v>
      </x:c>
      <x:c r="E95" s="119" t="n">
        <x:f>IF(A95&gt;=150,0,ROUNDUP(B95/D95,0))</x:f>
        <x:v>33</x:v>
      </x:c>
      <x:c r="F95" s="119" t="n">
        <x:f>SUM(E$31:E94)</x:f>
        <x:v>969</x:v>
      </x:c>
      <x:c r="G95" s="119" t="n">
        <x:f>A95+3</x:f>
        <x:v>68</x:v>
      </x:c>
      <x:c r="H95" s="119" t="n">
        <x:f>INT(A95/10)</x:f>
        <x:v>6</x:v>
      </x:c>
      <x:c r="I95" s="65" t="str">
        <x:v>升级局数忽略上一级结余，仅用于量级判断</x:v>
      </x:c>
      <x:c r="J95" s="65" t="str">
        <x:v>app.js:114 · HERO_EXP_TABLE</x:v>
      </x:c>
    </x:row>
    <x:row r="96" ht="36" customHeight="1">
      <x:c r="A96" s="119" t="n">
        <x:v>66</x:v>
      </x:c>
      <x:c r="B96" s="119" t="n">
        <x:v>2178000</x:v>
      </x:c>
      <x:c r="C96" s="119" t="n">
        <x:f>SUM(B$31:B95)</x:f>
        <x:v>43733000</x:v>
      </x:c>
      <x:c r="D96" s="119" t="n">
        <x:f>'经济参数'!$E$11*'经济参数'!$E$60*A96</x:f>
        <x:v>66000</x:v>
      </x:c>
      <x:c r="E96" s="119" t="n">
        <x:f>IF(A96&gt;=150,0,ROUNDUP(B96/D96,0))</x:f>
        <x:v>33</x:v>
      </x:c>
      <x:c r="F96" s="119" t="n">
        <x:f>SUM(E$31:E95)</x:f>
        <x:v>1002</x:v>
      </x:c>
      <x:c r="G96" s="119" t="n">
        <x:f>A96+3</x:f>
        <x:v>69</x:v>
      </x:c>
      <x:c r="H96" s="119" t="n">
        <x:f>INT(A96/10)</x:f>
        <x:v>6</x:v>
      </x:c>
      <x:c r="I96" s="65" t="str">
        <x:v>升级局数忽略上一级结余，仅用于量级判断</x:v>
      </x:c>
      <x:c r="J96" s="65" t="str">
        <x:v>app.js:114 · HERO_EXP_TABLE</x:v>
      </x:c>
    </x:row>
    <x:row r="97" ht="36" customHeight="1">
      <x:c r="A97" s="119" t="n">
        <x:v>67</x:v>
      </x:c>
      <x:c r="B97" s="119" t="n">
        <x:v>2278000</x:v>
      </x:c>
      <x:c r="C97" s="119" t="n">
        <x:f>SUM(B$31:B96)</x:f>
        <x:v>45911000</x:v>
      </x:c>
      <x:c r="D97" s="119" t="n">
        <x:f>'经济参数'!$E$11*'经济参数'!$E$60*A97</x:f>
        <x:v>67000</x:v>
      </x:c>
      <x:c r="E97" s="119" t="n">
        <x:f>IF(A97&gt;=150,0,ROUNDUP(B97/D97,0))</x:f>
        <x:v>34</x:v>
      </x:c>
      <x:c r="F97" s="119" t="n">
        <x:f>SUM(E$31:E96)</x:f>
        <x:v>1035</x:v>
      </x:c>
      <x:c r="G97" s="119" t="n">
        <x:f>A97+3</x:f>
        <x:v>70</x:v>
      </x:c>
      <x:c r="H97" s="119" t="n">
        <x:f>INT(A97/10)</x:f>
        <x:v>6</x:v>
      </x:c>
      <x:c r="I97" s="65" t="str">
        <x:v>升级局数忽略上一级结余，仅用于量级判断</x:v>
      </x:c>
      <x:c r="J97" s="65" t="str">
        <x:v>app.js:114 · HERO_EXP_TABLE</x:v>
      </x:c>
    </x:row>
    <x:row r="98" ht="36" customHeight="1">
      <x:c r="A98" s="119" t="n">
        <x:v>68</x:v>
      </x:c>
      <x:c r="B98" s="119" t="n">
        <x:v>2380000</x:v>
      </x:c>
      <x:c r="C98" s="119" t="n">
        <x:f>SUM(B$31:B97)</x:f>
        <x:v>48189000</x:v>
      </x:c>
      <x:c r="D98" s="119" t="n">
        <x:f>'经济参数'!$E$11*'经济参数'!$E$60*A98</x:f>
        <x:v>68000</x:v>
      </x:c>
      <x:c r="E98" s="119" t="n">
        <x:f>IF(A98&gt;=150,0,ROUNDUP(B98/D98,0))</x:f>
        <x:v>35</x:v>
      </x:c>
      <x:c r="F98" s="119" t="n">
        <x:f>SUM(E$31:E97)</x:f>
        <x:v>1069</x:v>
      </x:c>
      <x:c r="G98" s="119" t="n">
        <x:f>A98+3</x:f>
        <x:v>71</x:v>
      </x:c>
      <x:c r="H98" s="119" t="n">
        <x:f>INT(A98/10)</x:f>
        <x:v>6</x:v>
      </x:c>
      <x:c r="I98" s="65" t="str">
        <x:v>升级局数忽略上一级结余，仅用于量级判断</x:v>
      </x:c>
      <x:c r="J98" s="65" t="str">
        <x:v>app.js:114 · HERO_EXP_TABLE</x:v>
      </x:c>
    </x:row>
    <x:row r="99" ht="36" customHeight="1">
      <x:c r="A99" s="119" t="n">
        <x:v>69</x:v>
      </x:c>
      <x:c r="B99" s="119" t="n">
        <x:v>2484000</x:v>
      </x:c>
      <x:c r="C99" s="119" t="n">
        <x:f>SUM(B$31:B98)</x:f>
        <x:v>50569000</x:v>
      </x:c>
      <x:c r="D99" s="119" t="n">
        <x:f>'经济参数'!$E$11*'经济参数'!$E$60*A99</x:f>
        <x:v>69000</x:v>
      </x:c>
      <x:c r="E99" s="119" t="n">
        <x:f>IF(A99&gt;=150,0,ROUNDUP(B99/D99,0))</x:f>
        <x:v>36</x:v>
      </x:c>
      <x:c r="F99" s="119" t="n">
        <x:f>SUM(E$31:E98)</x:f>
        <x:v>1104</x:v>
      </x:c>
      <x:c r="G99" s="119" t="n">
        <x:f>A99+3</x:f>
        <x:v>72</x:v>
      </x:c>
      <x:c r="H99" s="119" t="n">
        <x:f>INT(A99/10)</x:f>
        <x:v>6</x:v>
      </x:c>
      <x:c r="I99" s="65" t="str">
        <x:v>升级局数忽略上一级结余，仅用于量级判断</x:v>
      </x:c>
      <x:c r="J99" s="65" t="str">
        <x:v>app.js:114 · HERO_EXP_TABLE</x:v>
      </x:c>
    </x:row>
    <x:row r="100" ht="36" customHeight="1">
      <x:c r="A100" s="119" t="n">
        <x:v>70</x:v>
      </x:c>
      <x:c r="B100" s="119" t="n">
        <x:v>2590000</x:v>
      </x:c>
      <x:c r="C100" s="119" t="n">
        <x:f>SUM(B$31:B99)</x:f>
        <x:v>53053000</x:v>
      </x:c>
      <x:c r="D100" s="119" t="n">
        <x:f>'经济参数'!$E$11*'经济参数'!$E$60*A100</x:f>
        <x:v>70000</x:v>
      </x:c>
      <x:c r="E100" s="119" t="n">
        <x:f>IF(A100&gt;=150,0,ROUNDUP(B100/D100,0))</x:f>
        <x:v>37</x:v>
      </x:c>
      <x:c r="F100" s="119" t="n">
        <x:f>SUM(E$31:E99)</x:f>
        <x:v>1140</x:v>
      </x:c>
      <x:c r="G100" s="119" t="n">
        <x:f>A100+3</x:f>
        <x:v>73</x:v>
      </x:c>
      <x:c r="H100" s="119" t="n">
        <x:f>INT(A100/10)</x:f>
        <x:v>7</x:v>
      </x:c>
      <x:c r="I100" s="65" t="str">
        <x:v>升级局数忽略上一级结余，仅用于量级判断</x:v>
      </x:c>
      <x:c r="J100" s="65" t="str">
        <x:v>app.js:114 · HERO_EXP_TABLE</x:v>
      </x:c>
    </x:row>
    <x:row r="101" ht="36" customHeight="1">
      <x:c r="A101" s="119" t="n">
        <x:v>71</x:v>
      </x:c>
      <x:c r="B101" s="119" t="n">
        <x:v>2698000</x:v>
      </x:c>
      <x:c r="C101" s="119" t="n">
        <x:f>SUM(B$31:B100)</x:f>
        <x:v>55643000</x:v>
      </x:c>
      <x:c r="D101" s="119" t="n">
        <x:f>'经济参数'!$E$11*'经济参数'!$E$60*A101</x:f>
        <x:v>71000</x:v>
      </x:c>
      <x:c r="E101" s="119" t="n">
        <x:f>IF(A101&gt;=150,0,ROUNDUP(B101/D101,0))</x:f>
        <x:v>38</x:v>
      </x:c>
      <x:c r="F101" s="119" t="n">
        <x:f>SUM(E$31:E100)</x:f>
        <x:v>1177</x:v>
      </x:c>
      <x:c r="G101" s="119" t="n">
        <x:f>A101+3</x:f>
        <x:v>74</x:v>
      </x:c>
      <x:c r="H101" s="119" t="n">
        <x:f>INT(A101/10)</x:f>
        <x:v>7</x:v>
      </x:c>
      <x:c r="I101" s="65" t="str">
        <x:v>升级局数忽略上一级结余，仅用于量级判断</x:v>
      </x:c>
      <x:c r="J101" s="65" t="str">
        <x:v>app.js:114 · HERO_EXP_TABLE</x:v>
      </x:c>
    </x:row>
    <x:row r="102" ht="36" customHeight="1">
      <x:c r="A102" s="119" t="n">
        <x:v>72</x:v>
      </x:c>
      <x:c r="B102" s="119" t="n">
        <x:v>2808000</x:v>
      </x:c>
      <x:c r="C102" s="119" t="n">
        <x:f>SUM(B$31:B101)</x:f>
        <x:v>58341000</x:v>
      </x:c>
      <x:c r="D102" s="119" t="n">
        <x:f>'经济参数'!$E$11*'经济参数'!$E$60*A102</x:f>
        <x:v>72000</x:v>
      </x:c>
      <x:c r="E102" s="119" t="n">
        <x:f>IF(A102&gt;=150,0,ROUNDUP(B102/D102,0))</x:f>
        <x:v>39</x:v>
      </x:c>
      <x:c r="F102" s="119" t="n">
        <x:f>SUM(E$31:E101)</x:f>
        <x:v>1215</x:v>
      </x:c>
      <x:c r="G102" s="119" t="n">
        <x:f>A102+3</x:f>
        <x:v>75</x:v>
      </x:c>
      <x:c r="H102" s="119" t="n">
        <x:f>INT(A102/10)</x:f>
        <x:v>7</x:v>
      </x:c>
      <x:c r="I102" s="65" t="str">
        <x:v>升级局数忽略上一级结余，仅用于量级判断</x:v>
      </x:c>
      <x:c r="J102" s="65" t="str">
        <x:v>app.js:114 · HERO_EXP_TABLE</x:v>
      </x:c>
    </x:row>
    <x:row r="103" ht="36" customHeight="1">
      <x:c r="A103" s="119" t="n">
        <x:v>73</x:v>
      </x:c>
      <x:c r="B103" s="119" t="n">
        <x:v>2847000</x:v>
      </x:c>
      <x:c r="C103" s="119" t="n">
        <x:f>SUM(B$31:B102)</x:f>
        <x:v>61149000</x:v>
      </x:c>
      <x:c r="D103" s="119" t="n">
        <x:f>'经济参数'!$E$11*'经济参数'!$E$60*A103</x:f>
        <x:v>73000</x:v>
      </x:c>
      <x:c r="E103" s="119" t="n">
        <x:f>IF(A103&gt;=150,0,ROUNDUP(B103/D103,0))</x:f>
        <x:v>39</x:v>
      </x:c>
      <x:c r="F103" s="119" t="n">
        <x:f>SUM(E$31:E102)</x:f>
        <x:v>1254</x:v>
      </x:c>
      <x:c r="G103" s="119" t="n">
        <x:f>A103+3</x:f>
        <x:v>76</x:v>
      </x:c>
      <x:c r="H103" s="119" t="n">
        <x:f>INT(A103/10)</x:f>
        <x:v>7</x:v>
      </x:c>
      <x:c r="I103" s="65" t="str">
        <x:v>升级局数忽略上一级结余，仅用于量级判断</x:v>
      </x:c>
      <x:c r="J103" s="65" t="str">
        <x:v>app.js:114 · HERO_EXP_TABLE</x:v>
      </x:c>
    </x:row>
    <x:row r="104" ht="36" customHeight="1">
      <x:c r="A104" s="119" t="n">
        <x:v>74</x:v>
      </x:c>
      <x:c r="B104" s="119" t="n">
        <x:v>2960000</x:v>
      </x:c>
      <x:c r="C104" s="119" t="n">
        <x:f>SUM(B$31:B103)</x:f>
        <x:v>63996000</x:v>
      </x:c>
      <x:c r="D104" s="119" t="n">
        <x:f>'经济参数'!$E$11*'经济参数'!$E$60*A104</x:f>
        <x:v>74000</x:v>
      </x:c>
      <x:c r="E104" s="119" t="n">
        <x:f>IF(A104&gt;=150,0,ROUNDUP(B104/D104,0))</x:f>
        <x:v>40</x:v>
      </x:c>
      <x:c r="F104" s="119" t="n">
        <x:f>SUM(E$31:E103)</x:f>
        <x:v>1293</x:v>
      </x:c>
      <x:c r="G104" s="119" t="n">
        <x:f>A104+3</x:f>
        <x:v>77</x:v>
      </x:c>
      <x:c r="H104" s="119" t="n">
        <x:f>INT(A104/10)</x:f>
        <x:v>7</x:v>
      </x:c>
      <x:c r="I104" s="65" t="str">
        <x:v>升级局数忽略上一级结余，仅用于量级判断</x:v>
      </x:c>
      <x:c r="J104" s="65" t="str">
        <x:v>app.js:114 · HERO_EXP_TABLE</x:v>
      </x:c>
    </x:row>
    <x:row r="105" ht="36" customHeight="1">
      <x:c r="A105" s="119" t="n">
        <x:v>75</x:v>
      </x:c>
      <x:c r="B105" s="119" t="n">
        <x:v>3075000</x:v>
      </x:c>
      <x:c r="C105" s="119" t="n">
        <x:f>SUM(B$31:B104)</x:f>
        <x:v>66956000</x:v>
      </x:c>
      <x:c r="D105" s="119" t="n">
        <x:f>'经济参数'!$E$11*'经济参数'!$E$60*A105</x:f>
        <x:v>75000</x:v>
      </x:c>
      <x:c r="E105" s="119" t="n">
        <x:f>IF(A105&gt;=150,0,ROUNDUP(B105/D105,0))</x:f>
        <x:v>41</x:v>
      </x:c>
      <x:c r="F105" s="119" t="n">
        <x:f>SUM(E$31:E104)</x:f>
        <x:v>1333</x:v>
      </x:c>
      <x:c r="G105" s="119" t="n">
        <x:f>A105+3</x:f>
        <x:v>78</x:v>
      </x:c>
      <x:c r="H105" s="119" t="n">
        <x:f>INT(A105/10)</x:f>
        <x:v>7</x:v>
      </x:c>
      <x:c r="I105" s="65" t="str">
        <x:v>升级局数忽略上一级结余，仅用于量级判断</x:v>
      </x:c>
      <x:c r="J105" s="65" t="str">
        <x:v>app.js:114 · HERO_EXP_TABLE</x:v>
      </x:c>
    </x:row>
    <x:row r="106" ht="36" customHeight="1">
      <x:c r="A106" s="119" t="n">
        <x:v>76</x:v>
      </x:c>
      <x:c r="B106" s="119" t="n">
        <x:v>3192000</x:v>
      </x:c>
      <x:c r="C106" s="119" t="n">
        <x:f>SUM(B$31:B105)</x:f>
        <x:v>70031000</x:v>
      </x:c>
      <x:c r="D106" s="119" t="n">
        <x:f>'经济参数'!$E$11*'经济参数'!$E$60*A106</x:f>
        <x:v>76000</x:v>
      </x:c>
      <x:c r="E106" s="119" t="n">
        <x:f>IF(A106&gt;=150,0,ROUNDUP(B106/D106,0))</x:f>
        <x:v>42</x:v>
      </x:c>
      <x:c r="F106" s="119" t="n">
        <x:f>SUM(E$31:E105)</x:f>
        <x:v>1374</x:v>
      </x:c>
      <x:c r="G106" s="119" t="n">
        <x:f>A106+3</x:f>
        <x:v>79</x:v>
      </x:c>
      <x:c r="H106" s="119" t="n">
        <x:f>INT(A106/10)</x:f>
        <x:v>7</x:v>
      </x:c>
      <x:c r="I106" s="65" t="str">
        <x:v>升级局数忽略上一级结余，仅用于量级判断</x:v>
      </x:c>
      <x:c r="J106" s="65" t="str">
        <x:v>app.js:114 · HERO_EXP_TABLE</x:v>
      </x:c>
    </x:row>
    <x:row r="107" ht="36" customHeight="1">
      <x:c r="A107" s="119" t="n">
        <x:v>77</x:v>
      </x:c>
      <x:c r="B107" s="119" t="n">
        <x:v>3311000</x:v>
      </x:c>
      <x:c r="C107" s="119" t="n">
        <x:f>SUM(B$31:B106)</x:f>
        <x:v>73223000</x:v>
      </x:c>
      <x:c r="D107" s="119" t="n">
        <x:f>'经济参数'!$E$11*'经济参数'!$E$60*A107</x:f>
        <x:v>77000</x:v>
      </x:c>
      <x:c r="E107" s="119" t="n">
        <x:f>IF(A107&gt;=150,0,ROUNDUP(B107/D107,0))</x:f>
        <x:v>43</x:v>
      </x:c>
      <x:c r="F107" s="119" t="n">
        <x:f>SUM(E$31:E106)</x:f>
        <x:v>1416</x:v>
      </x:c>
      <x:c r="G107" s="119" t="n">
        <x:f>A107+3</x:f>
        <x:v>80</x:v>
      </x:c>
      <x:c r="H107" s="119" t="n">
        <x:f>INT(A107/10)</x:f>
        <x:v>7</x:v>
      </x:c>
      <x:c r="I107" s="65" t="str">
        <x:v>升级局数忽略上一级结余，仅用于量级判断</x:v>
      </x:c>
      <x:c r="J107" s="65" t="str">
        <x:v>app.js:114 · HERO_EXP_TABLE</x:v>
      </x:c>
    </x:row>
    <x:row r="108" ht="36" customHeight="1">
      <x:c r="A108" s="119" t="n">
        <x:v>78</x:v>
      </x:c>
      <x:c r="B108" s="119" t="n">
        <x:v>3432000</x:v>
      </x:c>
      <x:c r="C108" s="119" t="n">
        <x:f>SUM(B$31:B107)</x:f>
        <x:v>76534000</x:v>
      </x:c>
      <x:c r="D108" s="119" t="n">
        <x:f>'经济参数'!$E$11*'经济参数'!$E$60*A108</x:f>
        <x:v>78000</x:v>
      </x:c>
      <x:c r="E108" s="119" t="n">
        <x:f>IF(A108&gt;=150,0,ROUNDUP(B108/D108,0))</x:f>
        <x:v>44</x:v>
      </x:c>
      <x:c r="F108" s="119" t="n">
        <x:f>SUM(E$31:E107)</x:f>
        <x:v>1459</x:v>
      </x:c>
      <x:c r="G108" s="119" t="n">
        <x:f>A108+3</x:f>
        <x:v>81</x:v>
      </x:c>
      <x:c r="H108" s="119" t="n">
        <x:f>INT(A108/10)</x:f>
        <x:v>7</x:v>
      </x:c>
      <x:c r="I108" s="65" t="str">
        <x:v>升级局数忽略上一级结余，仅用于量级判断</x:v>
      </x:c>
      <x:c r="J108" s="65" t="str">
        <x:v>app.js:114 · HERO_EXP_TABLE</x:v>
      </x:c>
    </x:row>
    <x:row r="109" ht="36" customHeight="1">
      <x:c r="A109" s="119" t="n">
        <x:v>79</x:v>
      </x:c>
      <x:c r="B109" s="119" t="n">
        <x:v>3555000</x:v>
      </x:c>
      <x:c r="C109" s="119" t="n">
        <x:f>SUM(B$31:B108)</x:f>
        <x:v>79966000</x:v>
      </x:c>
      <x:c r="D109" s="119" t="n">
        <x:f>'经济参数'!$E$11*'经济参数'!$E$60*A109</x:f>
        <x:v>79000</x:v>
      </x:c>
      <x:c r="E109" s="119" t="n">
        <x:f>IF(A109&gt;=150,0,ROUNDUP(B109/D109,0))</x:f>
        <x:v>45</x:v>
      </x:c>
      <x:c r="F109" s="119" t="n">
        <x:f>SUM(E$31:E108)</x:f>
        <x:v>1503</x:v>
      </x:c>
      <x:c r="G109" s="119" t="n">
        <x:f>A109+3</x:f>
        <x:v>82</x:v>
      </x:c>
      <x:c r="H109" s="119" t="n">
        <x:f>INT(A109/10)</x:f>
        <x:v>7</x:v>
      </x:c>
      <x:c r="I109" s="65" t="str">
        <x:v>升级局数忽略上一级结余，仅用于量级判断</x:v>
      </x:c>
      <x:c r="J109" s="65" t="str">
        <x:v>app.js:114 · HERO_EXP_TABLE</x:v>
      </x:c>
    </x:row>
    <x:row r="110" ht="36" customHeight="1">
      <x:c r="A110" s="119" t="n">
        <x:v>80</x:v>
      </x:c>
      <x:c r="B110" s="119" t="n">
        <x:v>3600000</x:v>
      </x:c>
      <x:c r="C110" s="119" t="n">
        <x:f>SUM(B$31:B109)</x:f>
        <x:v>83521000</x:v>
      </x:c>
      <x:c r="D110" s="119" t="n">
        <x:f>'经济参数'!$E$11*'经济参数'!$E$60*A110</x:f>
        <x:v>80000</x:v>
      </x:c>
      <x:c r="E110" s="119" t="n">
        <x:f>IF(A110&gt;=150,0,ROUNDUP(B110/D110,0))</x:f>
        <x:v>45</x:v>
      </x:c>
      <x:c r="F110" s="119" t="n">
        <x:f>SUM(E$31:E109)</x:f>
        <x:v>1548</x:v>
      </x:c>
      <x:c r="G110" s="119" t="n">
        <x:f>A110+3</x:f>
        <x:v>83</x:v>
      </x:c>
      <x:c r="H110" s="119" t="n">
        <x:f>INT(A110/10)</x:f>
        <x:v>8</x:v>
      </x:c>
      <x:c r="I110" s="65" t="str">
        <x:v>升级局数忽略上一级结余，仅用于量级判断</x:v>
      </x:c>
      <x:c r="J110" s="65" t="str">
        <x:v>app.js:114 · HERO_EXP_TABLE</x:v>
      </x:c>
    </x:row>
    <x:row r="111" ht="36" customHeight="1">
      <x:c r="A111" s="119" t="n">
        <x:v>81</x:v>
      </x:c>
      <x:c r="B111" s="119" t="n">
        <x:v>3726000</x:v>
      </x:c>
      <x:c r="C111" s="119" t="n">
        <x:f>SUM(B$31:B110)</x:f>
        <x:v>87121000</x:v>
      </x:c>
      <x:c r="D111" s="119" t="n">
        <x:f>'经济参数'!$E$11*'经济参数'!$E$60*A111</x:f>
        <x:v>81000</x:v>
      </x:c>
      <x:c r="E111" s="119" t="n">
        <x:f>IF(A111&gt;=150,0,ROUNDUP(B111/D111,0))</x:f>
        <x:v>46</x:v>
      </x:c>
      <x:c r="F111" s="119" t="n">
        <x:f>SUM(E$31:E110)</x:f>
        <x:v>1593</x:v>
      </x:c>
      <x:c r="G111" s="119" t="n">
        <x:f>A111+3</x:f>
        <x:v>84</x:v>
      </x:c>
      <x:c r="H111" s="119" t="n">
        <x:f>INT(A111/10)</x:f>
        <x:v>8</x:v>
      </x:c>
      <x:c r="I111" s="65" t="str">
        <x:v>升级局数忽略上一级结余，仅用于量级判断</x:v>
      </x:c>
      <x:c r="J111" s="65" t="str">
        <x:v>app.js:114 · HERO_EXP_TABLE</x:v>
      </x:c>
    </x:row>
    <x:row r="112" ht="36" customHeight="1">
      <x:c r="A112" s="119" t="n">
        <x:v>82</x:v>
      </x:c>
      <x:c r="B112" s="119" t="n">
        <x:v>3854000</x:v>
      </x:c>
      <x:c r="C112" s="119" t="n">
        <x:f>SUM(B$31:B111)</x:f>
        <x:v>90847000</x:v>
      </x:c>
      <x:c r="D112" s="119" t="n">
        <x:f>'经济参数'!$E$11*'经济参数'!$E$60*A112</x:f>
        <x:v>82000</x:v>
      </x:c>
      <x:c r="E112" s="119" t="n">
        <x:f>IF(A112&gt;=150,0,ROUNDUP(B112/D112,0))</x:f>
        <x:v>47</x:v>
      </x:c>
      <x:c r="F112" s="119" t="n">
        <x:f>SUM(E$31:E111)</x:f>
        <x:v>1639</x:v>
      </x:c>
      <x:c r="G112" s="119" t="n">
        <x:f>A112+3</x:f>
        <x:v>85</x:v>
      </x:c>
      <x:c r="H112" s="119" t="n">
        <x:f>INT(A112/10)</x:f>
        <x:v>8</x:v>
      </x:c>
      <x:c r="I112" s="65" t="str">
        <x:v>升级局数忽略上一级结余，仅用于量级判断</x:v>
      </x:c>
      <x:c r="J112" s="65" t="str">
        <x:v>app.js:114 · HERO_EXP_TABLE</x:v>
      </x:c>
    </x:row>
    <x:row r="113" ht="36" customHeight="1">
      <x:c r="A113" s="119" t="n">
        <x:v>83</x:v>
      </x:c>
      <x:c r="B113" s="119" t="n">
        <x:v>3984000</x:v>
      </x:c>
      <x:c r="C113" s="119" t="n">
        <x:f>SUM(B$31:B112)</x:f>
        <x:v>94701000</x:v>
      </x:c>
      <x:c r="D113" s="119" t="n">
        <x:f>'经济参数'!$E$11*'经济参数'!$E$60*A113</x:f>
        <x:v>83000</x:v>
      </x:c>
      <x:c r="E113" s="119" t="n">
        <x:f>IF(A113&gt;=150,0,ROUNDUP(B113/D113,0))</x:f>
        <x:v>48</x:v>
      </x:c>
      <x:c r="F113" s="119" t="n">
        <x:f>SUM(E$31:E112)</x:f>
        <x:v>1686</x:v>
      </x:c>
      <x:c r="G113" s="119" t="n">
        <x:f>A113+3</x:f>
        <x:v>86</x:v>
      </x:c>
      <x:c r="H113" s="119" t="n">
        <x:f>INT(A113/10)</x:f>
        <x:v>8</x:v>
      </x:c>
      <x:c r="I113" s="65" t="str">
        <x:v>升级局数忽略上一级结余，仅用于量级判断</x:v>
      </x:c>
      <x:c r="J113" s="65" t="str">
        <x:v>app.js:114 · HERO_EXP_TABLE</x:v>
      </x:c>
    </x:row>
    <x:row r="114" ht="36" customHeight="1">
      <x:c r="A114" s="119" t="n">
        <x:v>84</x:v>
      </x:c>
      <x:c r="B114" s="119" t="n">
        <x:v>4116000</x:v>
      </x:c>
      <x:c r="C114" s="119" t="n">
        <x:f>SUM(B$31:B113)</x:f>
        <x:v>98685000</x:v>
      </x:c>
      <x:c r="D114" s="119" t="n">
        <x:f>'经济参数'!$E$11*'经济参数'!$E$60*A114</x:f>
        <x:v>84000</x:v>
      </x:c>
      <x:c r="E114" s="119" t="n">
        <x:f>IF(A114&gt;=150,0,ROUNDUP(B114/D114,0))</x:f>
        <x:v>49</x:v>
      </x:c>
      <x:c r="F114" s="119" t="n">
        <x:f>SUM(E$31:E113)</x:f>
        <x:v>1734</x:v>
      </x:c>
      <x:c r="G114" s="119" t="n">
        <x:f>A114+3</x:f>
        <x:v>87</x:v>
      </x:c>
      <x:c r="H114" s="119" t="n">
        <x:f>INT(A114/10)</x:f>
        <x:v>8</x:v>
      </x:c>
      <x:c r="I114" s="65" t="str">
        <x:v>升级局数忽略上一级结余，仅用于量级判断</x:v>
      </x:c>
      <x:c r="J114" s="65" t="str">
        <x:v>app.js:114 · HERO_EXP_TABLE</x:v>
      </x:c>
    </x:row>
    <x:row r="115" ht="36" customHeight="1">
      <x:c r="A115" s="119" t="n">
        <x:v>85</x:v>
      </x:c>
      <x:c r="B115" s="119" t="n">
        <x:v>4250000</x:v>
      </x:c>
      <x:c r="C115" s="119" t="n">
        <x:f>SUM(B$31:B114)</x:f>
        <x:v>102801000</x:v>
      </x:c>
      <x:c r="D115" s="119" t="n">
        <x:f>'经济参数'!$E$11*'经济参数'!$E$60*A115</x:f>
        <x:v>85000</x:v>
      </x:c>
      <x:c r="E115" s="119" t="n">
        <x:f>IF(A115&gt;=150,0,ROUNDUP(B115/D115,0))</x:f>
        <x:v>50</x:v>
      </x:c>
      <x:c r="F115" s="119" t="n">
        <x:f>SUM(E$31:E114)</x:f>
        <x:v>1783</x:v>
      </x:c>
      <x:c r="G115" s="119" t="n">
        <x:f>A115+3</x:f>
        <x:v>88</x:v>
      </x:c>
      <x:c r="H115" s="119" t="n">
        <x:f>INT(A115/10)</x:f>
        <x:v>8</x:v>
      </x:c>
      <x:c r="I115" s="65" t="str">
        <x:v>升级局数忽略上一级结余，仅用于量级判断</x:v>
      </x:c>
      <x:c r="J115" s="65" t="str">
        <x:v>app.js:114 · HERO_EXP_TABLE</x:v>
      </x:c>
    </x:row>
    <x:row r="116" ht="36" customHeight="1">
      <x:c r="A116" s="119" t="n">
        <x:v>86</x:v>
      </x:c>
      <x:c r="B116" s="119" t="n">
        <x:v>4300000</x:v>
      </x:c>
      <x:c r="C116" s="119" t="n">
        <x:f>SUM(B$31:B115)</x:f>
        <x:v>107051000</x:v>
      </x:c>
      <x:c r="D116" s="119" t="n">
        <x:f>'经济参数'!$E$11*'经济参数'!$E$60*A116</x:f>
        <x:v>86000</x:v>
      </x:c>
      <x:c r="E116" s="119" t="n">
        <x:f>IF(A116&gt;=150,0,ROUNDUP(B116/D116,0))</x:f>
        <x:v>50</x:v>
      </x:c>
      <x:c r="F116" s="119" t="n">
        <x:f>SUM(E$31:E115)</x:f>
        <x:v>1833</x:v>
      </x:c>
      <x:c r="G116" s="119" t="n">
        <x:f>A116+3</x:f>
        <x:v>89</x:v>
      </x:c>
      <x:c r="H116" s="119" t="n">
        <x:f>INT(A116/10)</x:f>
        <x:v>8</x:v>
      </x:c>
      <x:c r="I116" s="65" t="str">
        <x:v>升级局数忽略上一级结余，仅用于量级判断</x:v>
      </x:c>
      <x:c r="J116" s="65" t="str">
        <x:v>app.js:114 · HERO_EXP_TABLE</x:v>
      </x:c>
    </x:row>
    <x:row r="117" ht="36" customHeight="1">
      <x:c r="A117" s="119" t="n">
        <x:v>87</x:v>
      </x:c>
      <x:c r="B117" s="119" t="n">
        <x:v>4437000</x:v>
      </x:c>
      <x:c r="C117" s="119" t="n">
        <x:f>SUM(B$31:B116)</x:f>
        <x:v>111351000</x:v>
      </x:c>
      <x:c r="D117" s="119" t="n">
        <x:f>'经济参数'!$E$11*'经济参数'!$E$60*A117</x:f>
        <x:v>87000</x:v>
      </x:c>
      <x:c r="E117" s="119" t="n">
        <x:f>IF(A117&gt;=150,0,ROUNDUP(B117/D117,0))</x:f>
        <x:v>51</x:v>
      </x:c>
      <x:c r="F117" s="119" t="n">
        <x:f>SUM(E$31:E116)</x:f>
        <x:v>1883</x:v>
      </x:c>
      <x:c r="G117" s="119" t="n">
        <x:f>A117+3</x:f>
        <x:v>90</x:v>
      </x:c>
      <x:c r="H117" s="119" t="n">
        <x:f>INT(A117/10)</x:f>
        <x:v>8</x:v>
      </x:c>
      <x:c r="I117" s="65" t="str">
        <x:v>升级局数忽略上一级结余，仅用于量级判断</x:v>
      </x:c>
      <x:c r="J117" s="65" t="str">
        <x:v>app.js:114 · HERO_EXP_TABLE</x:v>
      </x:c>
    </x:row>
    <x:row r="118" ht="36" customHeight="1">
      <x:c r="A118" s="119" t="n">
        <x:v>88</x:v>
      </x:c>
      <x:c r="B118" s="119" t="n">
        <x:v>4576000</x:v>
      </x:c>
      <x:c r="C118" s="119" t="n">
        <x:f>SUM(B$31:B117)</x:f>
        <x:v>115788000</x:v>
      </x:c>
      <x:c r="D118" s="119" t="n">
        <x:f>'经济参数'!$E$11*'经济参数'!$E$60*A118</x:f>
        <x:v>88000</x:v>
      </x:c>
      <x:c r="E118" s="119" t="n">
        <x:f>IF(A118&gt;=150,0,ROUNDUP(B118/D118,0))</x:f>
        <x:v>52</x:v>
      </x:c>
      <x:c r="F118" s="119" t="n">
        <x:f>SUM(E$31:E117)</x:f>
        <x:v>1934</x:v>
      </x:c>
      <x:c r="G118" s="119" t="n">
        <x:f>A118+3</x:f>
        <x:v>91</x:v>
      </x:c>
      <x:c r="H118" s="119" t="n">
        <x:f>INT(A118/10)</x:f>
        <x:v>8</x:v>
      </x:c>
      <x:c r="I118" s="65" t="str">
        <x:v>升级局数忽略上一级结余，仅用于量级判断</x:v>
      </x:c>
      <x:c r="J118" s="65" t="str">
        <x:v>app.js:114 · HERO_EXP_TABLE</x:v>
      </x:c>
    </x:row>
    <x:row r="119" ht="36" customHeight="1">
      <x:c r="A119" s="119" t="n">
        <x:v>89</x:v>
      </x:c>
      <x:c r="B119" s="119" t="n">
        <x:v>4717000</x:v>
      </x:c>
      <x:c r="C119" s="119" t="n">
        <x:f>SUM(B$31:B118)</x:f>
        <x:v>120364000</x:v>
      </x:c>
      <x:c r="D119" s="119" t="n">
        <x:f>'经济参数'!$E$11*'经济参数'!$E$60*A119</x:f>
        <x:v>89000</x:v>
      </x:c>
      <x:c r="E119" s="119" t="n">
        <x:f>IF(A119&gt;=150,0,ROUNDUP(B119/D119,0))</x:f>
        <x:v>53</x:v>
      </x:c>
      <x:c r="F119" s="119" t="n">
        <x:f>SUM(E$31:E118)</x:f>
        <x:v>1986</x:v>
      </x:c>
      <x:c r="G119" s="119" t="n">
        <x:f>A119+3</x:f>
        <x:v>92</x:v>
      </x:c>
      <x:c r="H119" s="119" t="n">
        <x:f>INT(A119/10)</x:f>
        <x:v>8</x:v>
      </x:c>
      <x:c r="I119" s="65" t="str">
        <x:v>升级局数忽略上一级结余，仅用于量级判断</x:v>
      </x:c>
      <x:c r="J119" s="65" t="str">
        <x:v>app.js:114 · HERO_EXP_TABLE</x:v>
      </x:c>
    </x:row>
    <x:row r="120" ht="36" customHeight="1">
      <x:c r="A120" s="119" t="n">
        <x:v>90</x:v>
      </x:c>
      <x:c r="B120" s="119" t="n">
        <x:v>4860000</x:v>
      </x:c>
      <x:c r="C120" s="119" t="n">
        <x:f>SUM(B$31:B119)</x:f>
        <x:v>125081000</x:v>
      </x:c>
      <x:c r="D120" s="119" t="n">
        <x:f>'经济参数'!$E$11*'经济参数'!$E$60*A120</x:f>
        <x:v>90000</x:v>
      </x:c>
      <x:c r="E120" s="119" t="n">
        <x:f>IF(A120&gt;=150,0,ROUNDUP(B120/D120,0))</x:f>
        <x:v>54</x:v>
      </x:c>
      <x:c r="F120" s="119" t="n">
        <x:f>SUM(E$31:E119)</x:f>
        <x:v>2039</x:v>
      </x:c>
      <x:c r="G120" s="119" t="n">
        <x:f>A120+3</x:f>
        <x:v>93</x:v>
      </x:c>
      <x:c r="H120" s="119" t="n">
        <x:f>INT(A120/10)</x:f>
        <x:v>9</x:v>
      </x:c>
      <x:c r="I120" s="65" t="str">
        <x:v>升级局数忽略上一级结余，仅用于量级判断</x:v>
      </x:c>
      <x:c r="J120" s="65" t="str">
        <x:v>app.js:114 · HERO_EXP_TABLE</x:v>
      </x:c>
    </x:row>
    <x:row r="121" ht="36" customHeight="1">
      <x:c r="A121" s="119" t="n">
        <x:v>91</x:v>
      </x:c>
      <x:c r="B121" s="119" t="n">
        <x:v>5005000</x:v>
      </x:c>
      <x:c r="C121" s="119" t="n">
        <x:f>SUM(B$31:B120)</x:f>
        <x:v>129941000</x:v>
      </x:c>
      <x:c r="D121" s="119" t="n">
        <x:f>'经济参数'!$E$11*'经济参数'!$E$60*A121</x:f>
        <x:v>91000</x:v>
      </x:c>
      <x:c r="E121" s="119" t="n">
        <x:f>IF(A121&gt;=150,0,ROUNDUP(B121/D121,0))</x:f>
        <x:v>55</x:v>
      </x:c>
      <x:c r="F121" s="119" t="n">
        <x:f>SUM(E$31:E120)</x:f>
        <x:v>2093</x:v>
      </x:c>
      <x:c r="G121" s="119" t="n">
        <x:f>A121+3</x:f>
        <x:v>94</x:v>
      </x:c>
      <x:c r="H121" s="119" t="n">
        <x:f>INT(A121/10)</x:f>
        <x:v>9</x:v>
      </x:c>
      <x:c r="I121" s="65" t="str">
        <x:v>升级局数忽略上一级结余，仅用于量级判断</x:v>
      </x:c>
      <x:c r="J121" s="65" t="str">
        <x:v>app.js:114 · HERO_EXP_TABLE</x:v>
      </x:c>
    </x:row>
    <x:row r="122" ht="36" customHeight="1">
      <x:c r="A122" s="119" t="n">
        <x:v>92</x:v>
      </x:c>
      <x:c r="B122" s="119" t="n">
        <x:v>5152000</x:v>
      </x:c>
      <x:c r="C122" s="119" t="n">
        <x:f>SUM(B$31:B121)</x:f>
        <x:v>134946000</x:v>
      </x:c>
      <x:c r="D122" s="119" t="n">
        <x:f>'经济参数'!$E$11*'经济参数'!$E$60*A122</x:f>
        <x:v>92000</x:v>
      </x:c>
      <x:c r="E122" s="119" t="n">
        <x:f>IF(A122&gt;=150,0,ROUNDUP(B122/D122,0))</x:f>
        <x:v>56</x:v>
      </x:c>
      <x:c r="F122" s="119" t="n">
        <x:f>SUM(E$31:E121)</x:f>
        <x:v>2148</x:v>
      </x:c>
      <x:c r="G122" s="119" t="n">
        <x:f>A122+3</x:f>
        <x:v>95</x:v>
      </x:c>
      <x:c r="H122" s="119" t="n">
        <x:f>INT(A122/10)</x:f>
        <x:v>9</x:v>
      </x:c>
      <x:c r="I122" s="65" t="str">
        <x:v>升级局数忽略上一级结余，仅用于量级判断</x:v>
      </x:c>
      <x:c r="J122" s="65" t="str">
        <x:v>app.js:114 · HERO_EXP_TABLE</x:v>
      </x:c>
    </x:row>
    <x:row r="123" ht="36" customHeight="1">
      <x:c r="A123" s="119" t="n">
        <x:v>93</x:v>
      </x:c>
      <x:c r="B123" s="119" t="n">
        <x:v>5208000</x:v>
      </x:c>
      <x:c r="C123" s="119" t="n">
        <x:f>SUM(B$31:B122)</x:f>
        <x:v>140098000</x:v>
      </x:c>
      <x:c r="D123" s="119" t="n">
        <x:f>'经济参数'!$E$11*'经济参数'!$E$60*A123</x:f>
        <x:v>93000</x:v>
      </x:c>
      <x:c r="E123" s="119" t="n">
        <x:f>IF(A123&gt;=150,0,ROUNDUP(B123/D123,0))</x:f>
        <x:v>56</x:v>
      </x:c>
      <x:c r="F123" s="119" t="n">
        <x:f>SUM(E$31:E122)</x:f>
        <x:v>2204</x:v>
      </x:c>
      <x:c r="G123" s="119" t="n">
        <x:f>A123+3</x:f>
        <x:v>96</x:v>
      </x:c>
      <x:c r="H123" s="119" t="n">
        <x:f>INT(A123/10)</x:f>
        <x:v>9</x:v>
      </x:c>
      <x:c r="I123" s="65" t="str">
        <x:v>升级局数忽略上一级结余，仅用于量级判断</x:v>
      </x:c>
      <x:c r="J123" s="65" t="str">
        <x:v>app.js:114 · HERO_EXP_TABLE</x:v>
      </x:c>
    </x:row>
    <x:row r="124" ht="36" customHeight="1">
      <x:c r="A124" s="119" t="n">
        <x:v>94</x:v>
      </x:c>
      <x:c r="B124" s="119" t="n">
        <x:v>5358000</x:v>
      </x:c>
      <x:c r="C124" s="119" t="n">
        <x:f>SUM(B$31:B123)</x:f>
        <x:v>145306000</x:v>
      </x:c>
      <x:c r="D124" s="119" t="n">
        <x:f>'经济参数'!$E$11*'经济参数'!$E$60*A124</x:f>
        <x:v>94000</x:v>
      </x:c>
      <x:c r="E124" s="119" t="n">
        <x:f>IF(A124&gt;=150,0,ROUNDUP(B124/D124,0))</x:f>
        <x:v>57</x:v>
      </x:c>
      <x:c r="F124" s="119" t="n">
        <x:f>SUM(E$31:E123)</x:f>
        <x:v>2260</x:v>
      </x:c>
      <x:c r="G124" s="119" t="n">
        <x:f>A124+3</x:f>
        <x:v>97</x:v>
      </x:c>
      <x:c r="H124" s="119" t="n">
        <x:f>INT(A124/10)</x:f>
        <x:v>9</x:v>
      </x:c>
      <x:c r="I124" s="65" t="str">
        <x:v>升级局数忽略上一级结余，仅用于量级判断</x:v>
      </x:c>
      <x:c r="J124" s="65" t="str">
        <x:v>app.js:114 · HERO_EXP_TABLE</x:v>
      </x:c>
    </x:row>
    <x:row r="125" ht="36" customHeight="1">
      <x:c r="A125" s="119" t="n">
        <x:v>95</x:v>
      </x:c>
      <x:c r="B125" s="119" t="n">
        <x:v>5510000</x:v>
      </x:c>
      <x:c r="C125" s="119" t="n">
        <x:f>SUM(B$31:B124)</x:f>
        <x:v>150664000</x:v>
      </x:c>
      <x:c r="D125" s="119" t="n">
        <x:f>'经济参数'!$E$11*'经济参数'!$E$60*A125</x:f>
        <x:v>95000</x:v>
      </x:c>
      <x:c r="E125" s="119" t="n">
        <x:f>IF(A125&gt;=150,0,ROUNDUP(B125/D125,0))</x:f>
        <x:v>58</x:v>
      </x:c>
      <x:c r="F125" s="119" t="n">
        <x:f>SUM(E$31:E124)</x:f>
        <x:v>2317</x:v>
      </x:c>
      <x:c r="G125" s="119" t="n">
        <x:f>A125+3</x:f>
        <x:v>98</x:v>
      </x:c>
      <x:c r="H125" s="119" t="n">
        <x:f>INT(A125/10)</x:f>
        <x:v>9</x:v>
      </x:c>
      <x:c r="I125" s="65" t="str">
        <x:v>升级局数忽略上一级结余，仅用于量级判断</x:v>
      </x:c>
      <x:c r="J125" s="65" t="str">
        <x:v>app.js:114 · HERO_EXP_TABLE</x:v>
      </x:c>
    </x:row>
    <x:row r="126" ht="36" customHeight="1">
      <x:c r="A126" s="119" t="n">
        <x:v>96</x:v>
      </x:c>
      <x:c r="B126" s="119" t="n">
        <x:v>5664000</x:v>
      </x:c>
      <x:c r="C126" s="119" t="n">
        <x:f>SUM(B$31:B125)</x:f>
        <x:v>156174000</x:v>
      </x:c>
      <x:c r="D126" s="119" t="n">
        <x:f>'经济参数'!$E$11*'经济参数'!$E$60*A126</x:f>
        <x:v>96000</x:v>
      </x:c>
      <x:c r="E126" s="119" t="n">
        <x:f>IF(A126&gt;=150,0,ROUNDUP(B126/D126,0))</x:f>
        <x:v>59</x:v>
      </x:c>
      <x:c r="F126" s="119" t="n">
        <x:f>SUM(E$31:E125)</x:f>
        <x:v>2375</x:v>
      </x:c>
      <x:c r="G126" s="119" t="n">
        <x:f>A126+3</x:f>
        <x:v>99</x:v>
      </x:c>
      <x:c r="H126" s="119" t="n">
        <x:f>INT(A126/10)</x:f>
        <x:v>9</x:v>
      </x:c>
      <x:c r="I126" s="65" t="str">
        <x:v>升级局数忽略上一级结余，仅用于量级判断</x:v>
      </x:c>
      <x:c r="J126" s="65" t="str">
        <x:v>app.js:114 · HERO_EXP_TABLE</x:v>
      </x:c>
    </x:row>
    <x:row r="127" ht="36" customHeight="1">
      <x:c r="A127" s="119" t="n">
        <x:v>97</x:v>
      </x:c>
      <x:c r="B127" s="119" t="n">
        <x:v>5820000</x:v>
      </x:c>
      <x:c r="C127" s="119" t="n">
        <x:f>SUM(B$31:B126)</x:f>
        <x:v>161838000</x:v>
      </x:c>
      <x:c r="D127" s="119" t="n">
        <x:f>'经济参数'!$E$11*'经济参数'!$E$60*A127</x:f>
        <x:v>97000</x:v>
      </x:c>
      <x:c r="E127" s="119" t="n">
        <x:f>IF(A127&gt;=150,0,ROUNDUP(B127/D127,0))</x:f>
        <x:v>60</x:v>
      </x:c>
      <x:c r="F127" s="119" t="n">
        <x:f>SUM(E$31:E126)</x:f>
        <x:v>2434</x:v>
      </x:c>
      <x:c r="G127" s="119" t="n">
        <x:f>A127+3</x:f>
        <x:v>100</x:v>
      </x:c>
      <x:c r="H127" s="119" t="n">
        <x:f>INT(A127/10)</x:f>
        <x:v>9</x:v>
      </x:c>
      <x:c r="I127" s="65" t="str">
        <x:v>升级局数忽略上一级结余，仅用于量级判断</x:v>
      </x:c>
      <x:c r="J127" s="65" t="str">
        <x:v>app.js:114 · HERO_EXP_TABLE</x:v>
      </x:c>
    </x:row>
    <x:row r="128" ht="36" customHeight="1">
      <x:c r="A128" s="119" t="n">
        <x:v>98</x:v>
      </x:c>
      <x:c r="B128" s="119" t="n">
        <x:v>5978000</x:v>
      </x:c>
      <x:c r="C128" s="119" t="n">
        <x:f>SUM(B$31:B127)</x:f>
        <x:v>167658000</x:v>
      </x:c>
      <x:c r="D128" s="119" t="n">
        <x:f>'经济参数'!$E$11*'经济参数'!$E$60*A128</x:f>
        <x:v>98000</x:v>
      </x:c>
      <x:c r="E128" s="119" t="n">
        <x:f>IF(A128&gt;=150,0,ROUNDUP(B128/D128,0))</x:f>
        <x:v>61</x:v>
      </x:c>
      <x:c r="F128" s="119" t="n">
        <x:f>SUM(E$31:E127)</x:f>
        <x:v>2494</x:v>
      </x:c>
      <x:c r="G128" s="119" t="n">
        <x:f>A128+3</x:f>
        <x:v>101</x:v>
      </x:c>
      <x:c r="H128" s="119" t="n">
        <x:f>INT(A128/10)</x:f>
        <x:v>9</x:v>
      </x:c>
      <x:c r="I128" s="65" t="str">
        <x:v>升级局数忽略上一级结余，仅用于量级判断</x:v>
      </x:c>
      <x:c r="J128" s="65" t="str">
        <x:v>app.js:114 · HERO_EXP_TABLE</x:v>
      </x:c>
    </x:row>
    <x:row r="129" ht="36" customHeight="1">
      <x:c r="A129" s="119" t="n">
        <x:v>99</x:v>
      </x:c>
      <x:c r="B129" s="119" t="n">
        <x:v>6138000</x:v>
      </x:c>
      <x:c r="C129" s="119" t="n">
        <x:f>SUM(B$31:B128)</x:f>
        <x:v>173636000</x:v>
      </x:c>
      <x:c r="D129" s="119" t="n">
        <x:f>'经济参数'!$E$11*'经济参数'!$E$60*A129</x:f>
        <x:v>99000</x:v>
      </x:c>
      <x:c r="E129" s="119" t="n">
        <x:f>IF(A129&gt;=150,0,ROUNDUP(B129/D129,0))</x:f>
        <x:v>62</x:v>
      </x:c>
      <x:c r="F129" s="119" t="n">
        <x:f>SUM(E$31:E128)</x:f>
        <x:v>2555</x:v>
      </x:c>
      <x:c r="G129" s="119" t="n">
        <x:f>A129+3</x:f>
        <x:v>102</x:v>
      </x:c>
      <x:c r="H129" s="119" t="n">
        <x:f>INT(A129/10)</x:f>
        <x:v>9</x:v>
      </x:c>
      <x:c r="I129" s="65" t="str">
        <x:v>升级局数忽略上一级结余，仅用于量级判断</x:v>
      </x:c>
      <x:c r="J129" s="65" t="str">
        <x:v>app.js:114 · HERO_EXP_TABLE</x:v>
      </x:c>
    </x:row>
    <x:row r="130" ht="36" customHeight="1">
      <x:c r="A130" s="119" t="n">
        <x:v>100</x:v>
      </x:c>
      <x:c r="B130" s="119" t="n">
        <x:v>6200000</x:v>
      </x:c>
      <x:c r="C130" s="119" t="n">
        <x:f>SUM(B$31:B129)</x:f>
        <x:v>179774000</x:v>
      </x:c>
      <x:c r="D130" s="119" t="n">
        <x:f>'经济参数'!$E$11*'经济参数'!$E$60*A130</x:f>
        <x:v>100000</x:v>
      </x:c>
      <x:c r="E130" s="119" t="n">
        <x:f>IF(A130&gt;=150,0,ROUNDUP(B130/D130,0))</x:f>
        <x:v>62</x:v>
      </x:c>
      <x:c r="F130" s="119" t="n">
        <x:f>SUM(E$31:E129)</x:f>
        <x:v>2617</x:v>
      </x:c>
      <x:c r="G130" s="119" t="n">
        <x:f>A130+3</x:f>
        <x:v>103</x:v>
      </x:c>
      <x:c r="H130" s="119" t="n">
        <x:f>INT(A130/10)</x:f>
        <x:v>10</x:v>
      </x:c>
      <x:c r="I130" s="65" t="str">
        <x:v>升级局数忽略上一级结余，仅用于量级判断</x:v>
      </x:c>
      <x:c r="J130" s="65" t="str">
        <x:v>app.js:114 · HERO_EXP_TABLE</x:v>
      </x:c>
    </x:row>
    <x:row r="131" ht="36" customHeight="1">
      <x:c r="A131" s="119" t="n">
        <x:v>101</x:v>
      </x:c>
      <x:c r="B131" s="119" t="n">
        <x:v>6363000</x:v>
      </x:c>
      <x:c r="C131" s="119" t="n">
        <x:f>SUM(B$31:B130)</x:f>
        <x:v>185974000</x:v>
      </x:c>
      <x:c r="D131" s="119" t="n">
        <x:f>'经济参数'!$E$11*'经济参数'!$E$60*A131</x:f>
        <x:v>101000</x:v>
      </x:c>
      <x:c r="E131" s="119" t="n">
        <x:f>IF(A131&gt;=150,0,ROUNDUP(B131/D131,0))</x:f>
        <x:v>63</x:v>
      </x:c>
      <x:c r="F131" s="119" t="n">
        <x:f>SUM(E$31:E130)</x:f>
        <x:v>2679</x:v>
      </x:c>
      <x:c r="G131" s="119" t="n">
        <x:f>A131+3</x:f>
        <x:v>104</x:v>
      </x:c>
      <x:c r="H131" s="119" t="n">
        <x:f>INT(A131/10)</x:f>
        <x:v>10</x:v>
      </x:c>
      <x:c r="I131" s="65" t="str">
        <x:v>升级局数忽略上一级结余，仅用于量级判断</x:v>
      </x:c>
      <x:c r="J131" s="65" t="str">
        <x:v>app.js:114 · HERO_EXP_TABLE</x:v>
      </x:c>
    </x:row>
    <x:row r="132" ht="36" customHeight="1">
      <x:c r="A132" s="119" t="n">
        <x:v>102</x:v>
      </x:c>
      <x:c r="B132" s="119" t="n">
        <x:v>6528000</x:v>
      </x:c>
      <x:c r="C132" s="119" t="n">
        <x:f>SUM(B$31:B131)</x:f>
        <x:v>192337000</x:v>
      </x:c>
      <x:c r="D132" s="119" t="n">
        <x:f>'经济参数'!$E$11*'经济参数'!$E$60*A132</x:f>
        <x:v>102000</x:v>
      </x:c>
      <x:c r="E132" s="119" t="n">
        <x:f>IF(A132&gt;=150,0,ROUNDUP(B132/D132,0))</x:f>
        <x:v>64</x:v>
      </x:c>
      <x:c r="F132" s="119" t="n">
        <x:f>SUM(E$31:E131)</x:f>
        <x:v>2742</x:v>
      </x:c>
      <x:c r="G132" s="119" t="n">
        <x:f>A132+3</x:f>
        <x:v>105</x:v>
      </x:c>
      <x:c r="H132" s="119" t="n">
        <x:f>INT(A132/10)</x:f>
        <x:v>10</x:v>
      </x:c>
      <x:c r="I132" s="65" t="str">
        <x:v>升级局数忽略上一级结余，仅用于量级判断</x:v>
      </x:c>
      <x:c r="J132" s="65" t="str">
        <x:v>app.js:114 · HERO_EXP_TABLE</x:v>
      </x:c>
    </x:row>
    <x:row r="133" ht="36" customHeight="1">
      <x:c r="A133" s="119" t="n">
        <x:v>103</x:v>
      </x:c>
      <x:c r="B133" s="119" t="n">
        <x:v>6695000</x:v>
      </x:c>
      <x:c r="C133" s="119" t="n">
        <x:f>SUM(B$31:B132)</x:f>
        <x:v>198865000</x:v>
      </x:c>
      <x:c r="D133" s="119" t="n">
        <x:f>'经济参数'!$E$11*'经济参数'!$E$60*A133</x:f>
        <x:v>103000</x:v>
      </x:c>
      <x:c r="E133" s="119" t="n">
        <x:f>IF(A133&gt;=150,0,ROUNDUP(B133/D133,0))</x:f>
        <x:v>65</x:v>
      </x:c>
      <x:c r="F133" s="119" t="n">
        <x:f>SUM(E$31:E132)</x:f>
        <x:v>2806</x:v>
      </x:c>
      <x:c r="G133" s="119" t="n">
        <x:f>A133+3</x:f>
        <x:v>106</x:v>
      </x:c>
      <x:c r="H133" s="119" t="n">
        <x:f>INT(A133/10)</x:f>
        <x:v>10</x:v>
      </x:c>
      <x:c r="I133" s="65" t="str">
        <x:v>升级局数忽略上一级结余，仅用于量级判断</x:v>
      </x:c>
      <x:c r="J133" s="65" t="str">
        <x:v>app.js:114 · HERO_EXP_TABLE</x:v>
      </x:c>
    </x:row>
    <x:row r="134" ht="36" customHeight="1">
      <x:c r="A134" s="119" t="n">
        <x:v>104</x:v>
      </x:c>
      <x:c r="B134" s="119" t="n">
        <x:v>6864000</x:v>
      </x:c>
      <x:c r="C134" s="119" t="n">
        <x:f>SUM(B$31:B133)</x:f>
        <x:v>205560000</x:v>
      </x:c>
      <x:c r="D134" s="119" t="n">
        <x:f>'经济参数'!$E$11*'经济参数'!$E$60*A134</x:f>
        <x:v>104000</x:v>
      </x:c>
      <x:c r="E134" s="119" t="n">
        <x:f>IF(A134&gt;=150,0,ROUNDUP(B134/D134,0))</x:f>
        <x:v>66</x:v>
      </x:c>
      <x:c r="F134" s="119" t="n">
        <x:f>SUM(E$31:E133)</x:f>
        <x:v>2871</x:v>
      </x:c>
      <x:c r="G134" s="119" t="n">
        <x:f>A134+3</x:f>
        <x:v>107</x:v>
      </x:c>
      <x:c r="H134" s="119" t="n">
        <x:f>INT(A134/10)</x:f>
        <x:v>10</x:v>
      </x:c>
      <x:c r="I134" s="65" t="str">
        <x:v>升级局数忽略上一级结余，仅用于量级判断</x:v>
      </x:c>
      <x:c r="J134" s="65" t="str">
        <x:v>app.js:114 · HERO_EXP_TABLE</x:v>
      </x:c>
    </x:row>
    <x:row r="135" ht="36" customHeight="1">
      <x:c r="A135" s="119" t="n">
        <x:v>105</x:v>
      </x:c>
      <x:c r="B135" s="119" t="n">
        <x:v>7035000</x:v>
      </x:c>
      <x:c r="C135" s="119" t="n">
        <x:f>SUM(B$31:B134)</x:f>
        <x:v>212424000</x:v>
      </x:c>
      <x:c r="D135" s="119" t="n">
        <x:f>'经济参数'!$E$11*'经济参数'!$E$60*A135</x:f>
        <x:v>105000</x:v>
      </x:c>
      <x:c r="E135" s="119" t="n">
        <x:f>IF(A135&gt;=150,0,ROUNDUP(B135/D135,0))</x:f>
        <x:v>67</x:v>
      </x:c>
      <x:c r="F135" s="119" t="n">
        <x:f>SUM(E$31:E134)</x:f>
        <x:v>2937</x:v>
      </x:c>
      <x:c r="G135" s="119" t="n">
        <x:f>A135+3</x:f>
        <x:v>108</x:v>
      </x:c>
      <x:c r="H135" s="119" t="n">
        <x:f>INT(A135/10)</x:f>
        <x:v>10</x:v>
      </x:c>
      <x:c r="I135" s="65" t="str">
        <x:v>升级局数忽略上一级结余，仅用于量级判断</x:v>
      </x:c>
      <x:c r="J135" s="65" t="str">
        <x:v>app.js:114 · HERO_EXP_TABLE</x:v>
      </x:c>
    </x:row>
    <x:row r="136" ht="36" customHeight="1">
      <x:c r="A136" s="119" t="n">
        <x:v>106</x:v>
      </x:c>
      <x:c r="B136" s="119" t="n">
        <x:v>7102000</x:v>
      </x:c>
      <x:c r="C136" s="119" t="n">
        <x:f>SUM(B$31:B135)</x:f>
        <x:v>219459000</x:v>
      </x:c>
      <x:c r="D136" s="119" t="n">
        <x:f>'经济参数'!$E$11*'经济参数'!$E$60*A136</x:f>
        <x:v>106000</x:v>
      </x:c>
      <x:c r="E136" s="119" t="n">
        <x:f>IF(A136&gt;=150,0,ROUNDUP(B136/D136,0))</x:f>
        <x:v>67</x:v>
      </x:c>
      <x:c r="F136" s="119" t="n">
        <x:f>SUM(E$31:E135)</x:f>
        <x:v>3004</x:v>
      </x:c>
      <x:c r="G136" s="119" t="n">
        <x:f>A136+3</x:f>
        <x:v>109</x:v>
      </x:c>
      <x:c r="H136" s="119" t="n">
        <x:f>INT(A136/10)</x:f>
        <x:v>10</x:v>
      </x:c>
      <x:c r="I136" s="65" t="str">
        <x:v>升级局数忽略上一级结余，仅用于量级判断</x:v>
      </x:c>
      <x:c r="J136" s="65" t="str">
        <x:v>app.js:114 · HERO_EXP_TABLE</x:v>
      </x:c>
    </x:row>
    <x:row r="137" ht="36" customHeight="1">
      <x:c r="A137" s="119" t="n">
        <x:v>107</x:v>
      </x:c>
      <x:c r="B137" s="119" t="n">
        <x:v>7276000</x:v>
      </x:c>
      <x:c r="C137" s="119" t="n">
        <x:f>SUM(B$31:B136)</x:f>
        <x:v>226561000</x:v>
      </x:c>
      <x:c r="D137" s="119" t="n">
        <x:f>'经济参数'!$E$11*'经济参数'!$E$60*A137</x:f>
        <x:v>107000</x:v>
      </x:c>
      <x:c r="E137" s="119" t="n">
        <x:f>IF(A137&gt;=150,0,ROUNDUP(B137/D137,0))</x:f>
        <x:v>68</x:v>
      </x:c>
      <x:c r="F137" s="119" t="n">
        <x:f>SUM(E$31:E136)</x:f>
        <x:v>3071</x:v>
      </x:c>
      <x:c r="G137" s="119" t="n">
        <x:f>A137+3</x:f>
        <x:v>110</x:v>
      </x:c>
      <x:c r="H137" s="119" t="n">
        <x:f>INT(A137/10)</x:f>
        <x:v>10</x:v>
      </x:c>
      <x:c r="I137" s="65" t="str">
        <x:v>升级局数忽略上一级结余，仅用于量级判断</x:v>
      </x:c>
      <x:c r="J137" s="65" t="str">
        <x:v>app.js:114 · HERO_EXP_TABLE</x:v>
      </x:c>
    </x:row>
    <x:row r="138" ht="36" customHeight="1">
      <x:c r="A138" s="119" t="n">
        <x:v>108</x:v>
      </x:c>
      <x:c r="B138" s="119" t="n">
        <x:v>7452000</x:v>
      </x:c>
      <x:c r="C138" s="119" t="n">
        <x:f>SUM(B$31:B137)</x:f>
        <x:v>233837000</x:v>
      </x:c>
      <x:c r="D138" s="119" t="n">
        <x:f>'经济参数'!$E$11*'经济参数'!$E$60*A138</x:f>
        <x:v>108000</x:v>
      </x:c>
      <x:c r="E138" s="119" t="n">
        <x:f>IF(A138&gt;=150,0,ROUNDUP(B138/D138,0))</x:f>
        <x:v>69</x:v>
      </x:c>
      <x:c r="F138" s="119" t="n">
        <x:f>SUM(E$31:E137)</x:f>
        <x:v>3139</x:v>
      </x:c>
      <x:c r="G138" s="119" t="n">
        <x:f>A138+3</x:f>
        <x:v>111</x:v>
      </x:c>
      <x:c r="H138" s="119" t="n">
        <x:f>INT(A138/10)</x:f>
        <x:v>10</x:v>
      </x:c>
      <x:c r="I138" s="65" t="str">
        <x:v>升级局数忽略上一级结余，仅用于量级判断</x:v>
      </x:c>
      <x:c r="J138" s="65" t="str">
        <x:v>app.js:114 · HERO_EXP_TABLE</x:v>
      </x:c>
    </x:row>
    <x:row r="139" ht="36" customHeight="1">
      <x:c r="A139" s="119" t="n">
        <x:v>109</x:v>
      </x:c>
      <x:c r="B139" s="119" t="n">
        <x:v>7630000</x:v>
      </x:c>
      <x:c r="C139" s="119" t="n">
        <x:f>SUM(B$31:B138)</x:f>
        <x:v>241289000</x:v>
      </x:c>
      <x:c r="D139" s="119" t="n">
        <x:f>'经济参数'!$E$11*'经济参数'!$E$60*A139</x:f>
        <x:v>109000</x:v>
      </x:c>
      <x:c r="E139" s="119" t="n">
        <x:f>IF(A139&gt;=150,0,ROUNDUP(B139/D139,0))</x:f>
        <x:v>70</x:v>
      </x:c>
      <x:c r="F139" s="119" t="n">
        <x:f>SUM(E$31:E138)</x:f>
        <x:v>3208</x:v>
      </x:c>
      <x:c r="G139" s="119" t="n">
        <x:f>A139+3</x:f>
        <x:v>112</x:v>
      </x:c>
      <x:c r="H139" s="119" t="n">
        <x:f>INT(A139/10)</x:f>
        <x:v>10</x:v>
      </x:c>
      <x:c r="I139" s="65" t="str">
        <x:v>升级局数忽略上一级结余，仅用于量级判断</x:v>
      </x:c>
      <x:c r="J139" s="65" t="str">
        <x:v>app.js:114 · HERO_EXP_TABLE</x:v>
      </x:c>
    </x:row>
    <x:row r="140" ht="36" customHeight="1">
      <x:c r="A140" s="119" t="n">
        <x:v>110</x:v>
      </x:c>
      <x:c r="B140" s="119" t="n">
        <x:v>7810000</x:v>
      </x:c>
      <x:c r="C140" s="119" t="n">
        <x:f>SUM(B$31:B139)</x:f>
        <x:v>248919000</x:v>
      </x:c>
      <x:c r="D140" s="119" t="n">
        <x:f>'经济参数'!$E$11*'经济参数'!$E$60*A140</x:f>
        <x:v>110000</x:v>
      </x:c>
      <x:c r="E140" s="119" t="n">
        <x:f>IF(A140&gt;=150,0,ROUNDUP(B140/D140,0))</x:f>
        <x:v>71</x:v>
      </x:c>
      <x:c r="F140" s="119" t="n">
        <x:f>SUM(E$31:E139)</x:f>
        <x:v>3278</x:v>
      </x:c>
      <x:c r="G140" s="119" t="n">
        <x:f>A140+3</x:f>
        <x:v>113</x:v>
      </x:c>
      <x:c r="H140" s="119" t="n">
        <x:f>INT(A140/10)</x:f>
        <x:v>11</x:v>
      </x:c>
      <x:c r="I140" s="65" t="str">
        <x:v>升级局数忽略上一级结余，仅用于量级判断</x:v>
      </x:c>
      <x:c r="J140" s="65" t="str">
        <x:v>app.js:114 · HERO_EXP_TABLE</x:v>
      </x:c>
    </x:row>
    <x:row r="141" ht="36" customHeight="1">
      <x:c r="A141" s="119" t="n">
        <x:v>111</x:v>
      </x:c>
      <x:c r="B141" s="119" t="n">
        <x:v>7992000</x:v>
      </x:c>
      <x:c r="C141" s="119" t="n">
        <x:f>SUM(B$31:B140)</x:f>
        <x:v>256729000</x:v>
      </x:c>
      <x:c r="D141" s="119" t="n">
        <x:f>'经济参数'!$E$11*'经济参数'!$E$60*A141</x:f>
        <x:v>111000</x:v>
      </x:c>
      <x:c r="E141" s="119" t="n">
        <x:f>IF(A141&gt;=150,0,ROUNDUP(B141/D141,0))</x:f>
        <x:v>72</x:v>
      </x:c>
      <x:c r="F141" s="119" t="n">
        <x:f>SUM(E$31:E140)</x:f>
        <x:v>3349</x:v>
      </x:c>
      <x:c r="G141" s="119" t="n">
        <x:f>A141+3</x:f>
        <x:v>114</x:v>
      </x:c>
      <x:c r="H141" s="119" t="n">
        <x:f>INT(A141/10)</x:f>
        <x:v>11</x:v>
      </x:c>
      <x:c r="I141" s="65" t="str">
        <x:v>升级局数忽略上一级结余，仅用于量级判断</x:v>
      </x:c>
      <x:c r="J141" s="65" t="str">
        <x:v>app.js:114 · HERO_EXP_TABLE</x:v>
      </x:c>
    </x:row>
    <x:row r="142" ht="36" customHeight="1">
      <x:c r="A142" s="119" t="n">
        <x:v>112</x:v>
      </x:c>
      <x:c r="B142" s="119" t="n">
        <x:v>8176000</x:v>
      </x:c>
      <x:c r="C142" s="119" t="n">
        <x:f>SUM(B$31:B141)</x:f>
        <x:v>264721000</x:v>
      </x:c>
      <x:c r="D142" s="119" t="n">
        <x:f>'经济参数'!$E$11*'经济参数'!$E$60*A142</x:f>
        <x:v>112000</x:v>
      </x:c>
      <x:c r="E142" s="119" t="n">
        <x:f>IF(A142&gt;=150,0,ROUNDUP(B142/D142,0))</x:f>
        <x:v>73</x:v>
      </x:c>
      <x:c r="F142" s="119" t="n">
        <x:f>SUM(E$31:E141)</x:f>
        <x:v>3421</x:v>
      </x:c>
      <x:c r="G142" s="119" t="n">
        <x:f>A142+3</x:f>
        <x:v>115</x:v>
      </x:c>
      <x:c r="H142" s="119" t="n">
        <x:f>INT(A142/10)</x:f>
        <x:v>11</x:v>
      </x:c>
      <x:c r="I142" s="65" t="str">
        <x:v>升级局数忽略上一级结余，仅用于量级判断</x:v>
      </x:c>
      <x:c r="J142" s="65" t="str">
        <x:v>app.js:114 · HERO_EXP_TABLE</x:v>
      </x:c>
    </x:row>
    <x:row r="143" ht="36" customHeight="1">
      <x:c r="A143" s="119" t="n">
        <x:v>113</x:v>
      </x:c>
      <x:c r="B143" s="119" t="n">
        <x:v>8249000</x:v>
      </x:c>
      <x:c r="C143" s="119" t="n">
        <x:f>SUM(B$31:B142)</x:f>
        <x:v>272897000</x:v>
      </x:c>
      <x:c r="D143" s="119" t="n">
        <x:f>'经济参数'!$E$11*'经济参数'!$E$60*A143</x:f>
        <x:v>113000</x:v>
      </x:c>
      <x:c r="E143" s="119" t="n">
        <x:f>IF(A143&gt;=150,0,ROUNDUP(B143/D143,0))</x:f>
        <x:v>73</x:v>
      </x:c>
      <x:c r="F143" s="119" t="n">
        <x:f>SUM(E$31:E142)</x:f>
        <x:v>3494</x:v>
      </x:c>
      <x:c r="G143" s="119" t="n">
        <x:f>A143+3</x:f>
        <x:v>116</x:v>
      </x:c>
      <x:c r="H143" s="119" t="n">
        <x:f>INT(A143/10)</x:f>
        <x:v>11</x:v>
      </x:c>
      <x:c r="I143" s="65" t="str">
        <x:v>升级局数忽略上一级结余，仅用于量级判断</x:v>
      </x:c>
      <x:c r="J143" s="65" t="str">
        <x:v>app.js:114 · HERO_EXP_TABLE</x:v>
      </x:c>
    </x:row>
    <x:row r="144" ht="36" customHeight="1">
      <x:c r="A144" s="119" t="n">
        <x:v>114</x:v>
      </x:c>
      <x:c r="B144" s="119" t="n">
        <x:v>8436000</x:v>
      </x:c>
      <x:c r="C144" s="119" t="n">
        <x:f>SUM(B$31:B143)</x:f>
        <x:v>281146000</x:v>
      </x:c>
      <x:c r="D144" s="119" t="n">
        <x:f>'经济参数'!$E$11*'经济参数'!$E$60*A144</x:f>
        <x:v>114000</x:v>
      </x:c>
      <x:c r="E144" s="119" t="n">
        <x:f>IF(A144&gt;=150,0,ROUNDUP(B144/D144,0))</x:f>
        <x:v>74</x:v>
      </x:c>
      <x:c r="F144" s="119" t="n">
        <x:f>SUM(E$31:E143)</x:f>
        <x:v>3567</x:v>
      </x:c>
      <x:c r="G144" s="119" t="n">
        <x:f>A144+3</x:f>
        <x:v>117</x:v>
      </x:c>
      <x:c r="H144" s="119" t="n">
        <x:f>INT(A144/10)</x:f>
        <x:v>11</x:v>
      </x:c>
      <x:c r="I144" s="65" t="str">
        <x:v>升级局数忽略上一级结余，仅用于量级判断</x:v>
      </x:c>
      <x:c r="J144" s="65" t="str">
        <x:v>app.js:114 · HERO_EXP_TABLE</x:v>
      </x:c>
    </x:row>
    <x:row r="145" ht="36" customHeight="1">
      <x:c r="A145" s="119" t="n">
        <x:v>115</x:v>
      </x:c>
      <x:c r="B145" s="119" t="n">
        <x:v>8625000</x:v>
      </x:c>
      <x:c r="C145" s="119" t="n">
        <x:f>SUM(B$31:B144)</x:f>
        <x:v>289582000</x:v>
      </x:c>
      <x:c r="D145" s="119" t="n">
        <x:f>'经济参数'!$E$11*'经济参数'!$E$60*A145</x:f>
        <x:v>115000</x:v>
      </x:c>
      <x:c r="E145" s="119" t="n">
        <x:f>IF(A145&gt;=150,0,ROUNDUP(B145/D145,0))</x:f>
        <x:v>75</x:v>
      </x:c>
      <x:c r="F145" s="119" t="n">
        <x:f>SUM(E$31:E144)</x:f>
        <x:v>3641</x:v>
      </x:c>
      <x:c r="G145" s="119" t="n">
        <x:f>A145+3</x:f>
        <x:v>118</x:v>
      </x:c>
      <x:c r="H145" s="119" t="n">
        <x:f>INT(A145/10)</x:f>
        <x:v>11</x:v>
      </x:c>
      <x:c r="I145" s="65" t="str">
        <x:v>升级局数忽略上一级结余，仅用于量级判断</x:v>
      </x:c>
      <x:c r="J145" s="65" t="str">
        <x:v>app.js:114 · HERO_EXP_TABLE</x:v>
      </x:c>
    </x:row>
    <x:row r="146" ht="36" customHeight="1">
      <x:c r="A146" s="119" t="n">
        <x:v>116</x:v>
      </x:c>
      <x:c r="B146" s="119" t="n">
        <x:v>8816000</x:v>
      </x:c>
      <x:c r="C146" s="119" t="n">
        <x:f>SUM(B$31:B145)</x:f>
        <x:v>298207000</x:v>
      </x:c>
      <x:c r="D146" s="119" t="n">
        <x:f>'经济参数'!$E$11*'经济参数'!$E$60*A146</x:f>
        <x:v>116000</x:v>
      </x:c>
      <x:c r="E146" s="119" t="n">
        <x:f>IF(A146&gt;=150,0,ROUNDUP(B146/D146,0))</x:f>
        <x:v>76</x:v>
      </x:c>
      <x:c r="F146" s="119" t="n">
        <x:f>SUM(E$31:E145)</x:f>
        <x:v>3716</x:v>
      </x:c>
      <x:c r="G146" s="119" t="n">
        <x:f>A146+3</x:f>
        <x:v>119</x:v>
      </x:c>
      <x:c r="H146" s="119" t="n">
        <x:f>INT(A146/10)</x:f>
        <x:v>11</x:v>
      </x:c>
      <x:c r="I146" s="65" t="str">
        <x:v>升级局数忽略上一级结余，仅用于量级判断</x:v>
      </x:c>
      <x:c r="J146" s="65" t="str">
        <x:v>app.js:114 · HERO_EXP_TABLE</x:v>
      </x:c>
    </x:row>
    <x:row r="147" ht="36" customHeight="1">
      <x:c r="A147" s="119" t="n">
        <x:v>117</x:v>
      </x:c>
      <x:c r="B147" s="119" t="n">
        <x:v>9009000</x:v>
      </x:c>
      <x:c r="C147" s="119" t="n">
        <x:f>SUM(B$31:B146)</x:f>
        <x:v>307023000</x:v>
      </x:c>
      <x:c r="D147" s="119" t="n">
        <x:f>'经济参数'!$E$11*'经济参数'!$E$60*A147</x:f>
        <x:v>117000</x:v>
      </x:c>
      <x:c r="E147" s="119" t="n">
        <x:f>IF(A147&gt;=150,0,ROUNDUP(B147/D147,0))</x:f>
        <x:v>77</x:v>
      </x:c>
      <x:c r="F147" s="119" t="n">
        <x:f>SUM(E$31:E146)</x:f>
        <x:v>3792</x:v>
      </x:c>
      <x:c r="G147" s="119" t="n">
        <x:f>A147+3</x:f>
        <x:v>120</x:v>
      </x:c>
      <x:c r="H147" s="119" t="n">
        <x:f>INT(A147/10)</x:f>
        <x:v>11</x:v>
      </x:c>
      <x:c r="I147" s="65" t="str">
        <x:v>升级局数忽略上一级结余，仅用于量级判断</x:v>
      </x:c>
      <x:c r="J147" s="65" t="str">
        <x:v>app.js:114 · HERO_EXP_TABLE</x:v>
      </x:c>
    </x:row>
    <x:row r="148" ht="36" customHeight="1">
      <x:c r="A148" s="119" t="n">
        <x:v>118</x:v>
      </x:c>
      <x:c r="B148" s="119" t="n">
        <x:v>9204000</x:v>
      </x:c>
      <x:c r="C148" s="119" t="n">
        <x:f>SUM(B$31:B147)</x:f>
        <x:v>316032000</x:v>
      </x:c>
      <x:c r="D148" s="119" t="n">
        <x:f>'经济参数'!$E$11*'经济参数'!$E$60*A148</x:f>
        <x:v>118000</x:v>
      </x:c>
      <x:c r="E148" s="119" t="n">
        <x:f>IF(A148&gt;=150,0,ROUNDUP(B148/D148,0))</x:f>
        <x:v>78</x:v>
      </x:c>
      <x:c r="F148" s="119" t="n">
        <x:f>SUM(E$31:E147)</x:f>
        <x:v>3869</x:v>
      </x:c>
      <x:c r="G148" s="119" t="n">
        <x:f>A148+3</x:f>
        <x:v>121</x:v>
      </x:c>
      <x:c r="H148" s="119" t="n">
        <x:f>INT(A148/10)</x:f>
        <x:v>11</x:v>
      </x:c>
      <x:c r="I148" s="65" t="str">
        <x:v>升级局数忽略上一级结余，仅用于量级判断</x:v>
      </x:c>
      <x:c r="J148" s="65" t="str">
        <x:v>app.js:114 · HERO_EXP_TABLE</x:v>
      </x:c>
    </x:row>
    <x:row r="149" ht="36" customHeight="1">
      <x:c r="A149" s="119" t="n">
        <x:v>119</x:v>
      </x:c>
      <x:c r="B149" s="119" t="n">
        <x:v>9401000</x:v>
      </x:c>
      <x:c r="C149" s="119" t="n">
        <x:f>SUM(B$31:B148)</x:f>
        <x:v>325236000</x:v>
      </x:c>
      <x:c r="D149" s="119" t="n">
        <x:f>'经济参数'!$E$11*'经济参数'!$E$60*A149</x:f>
        <x:v>119000</x:v>
      </x:c>
      <x:c r="E149" s="119" t="n">
        <x:f>IF(A149&gt;=150,0,ROUNDUP(B149/D149,0))</x:f>
        <x:v>79</x:v>
      </x:c>
      <x:c r="F149" s="119" t="n">
        <x:f>SUM(E$31:E148)</x:f>
        <x:v>3947</x:v>
      </x:c>
      <x:c r="G149" s="119" t="n">
        <x:f>A149+3</x:f>
        <x:v>122</x:v>
      </x:c>
      <x:c r="H149" s="119" t="n">
        <x:f>INT(A149/10)</x:f>
        <x:v>11</x:v>
      </x:c>
      <x:c r="I149" s="65" t="str">
        <x:v>升级局数忽略上一级结余，仅用于量级判断</x:v>
      </x:c>
      <x:c r="J149" s="65" t="str">
        <x:v>app.js:114 · HERO_EXP_TABLE</x:v>
      </x:c>
    </x:row>
    <x:row r="150" ht="36" customHeight="1">
      <x:c r="A150" s="119" t="n">
        <x:v>120</x:v>
      </x:c>
      <x:c r="B150" s="119" t="n">
        <x:v>9480000</x:v>
      </x:c>
      <x:c r="C150" s="119" t="n">
        <x:f>SUM(B$31:B149)</x:f>
        <x:v>334637000</x:v>
      </x:c>
      <x:c r="D150" s="119" t="n">
        <x:f>'经济参数'!$E$11*'经济参数'!$E$60*A150</x:f>
        <x:v>120000</x:v>
      </x:c>
      <x:c r="E150" s="119" t="n">
        <x:f>IF(A150&gt;=150,0,ROUNDUP(B150/D150,0))</x:f>
        <x:v>79</x:v>
      </x:c>
      <x:c r="F150" s="119" t="n">
        <x:f>SUM(E$31:E149)</x:f>
        <x:v>4026</x:v>
      </x:c>
      <x:c r="G150" s="119" t="n">
        <x:f>A150+3</x:f>
        <x:v>123</x:v>
      </x:c>
      <x:c r="H150" s="119" t="n">
        <x:f>INT(A150/10)</x:f>
        <x:v>12</x:v>
      </x:c>
      <x:c r="I150" s="65" t="str">
        <x:v>升级局数忽略上一级结余，仅用于量级判断</x:v>
      </x:c>
      <x:c r="J150" s="65" t="str">
        <x:v>app.js:114 · HERO_EXP_TABLE</x:v>
      </x:c>
    </x:row>
    <x:row r="151" ht="36" customHeight="1">
      <x:c r="A151" s="119" t="n">
        <x:v>121</x:v>
      </x:c>
      <x:c r="B151" s="119" t="n">
        <x:v>9680000</x:v>
      </x:c>
      <x:c r="C151" s="119" t="n">
        <x:f>SUM(B$31:B150)</x:f>
        <x:v>344117000</x:v>
      </x:c>
      <x:c r="D151" s="119" t="n">
        <x:f>'经济参数'!$E$11*'经济参数'!$E$60*A151</x:f>
        <x:v>121000</x:v>
      </x:c>
      <x:c r="E151" s="119" t="n">
        <x:f>IF(A151&gt;=150,0,ROUNDUP(B151/D151,0))</x:f>
        <x:v>80</x:v>
      </x:c>
      <x:c r="F151" s="119" t="n">
        <x:f>SUM(E$31:E150)</x:f>
        <x:v>4105</x:v>
      </x:c>
      <x:c r="G151" s="119" t="n">
        <x:f>A151+3</x:f>
        <x:v>124</x:v>
      </x:c>
      <x:c r="H151" s="119" t="n">
        <x:f>INT(A151/10)</x:f>
        <x:v>12</x:v>
      </x:c>
      <x:c r="I151" s="65" t="str">
        <x:v>升级局数忽略上一级结余，仅用于量级判断</x:v>
      </x:c>
      <x:c r="J151" s="65" t="str">
        <x:v>app.js:114 · HERO_EXP_TABLE</x:v>
      </x:c>
    </x:row>
    <x:row r="152" ht="36" customHeight="1">
      <x:c r="A152" s="119" t="n">
        <x:v>122</x:v>
      </x:c>
      <x:c r="B152" s="119" t="n">
        <x:v>9882000</x:v>
      </x:c>
      <x:c r="C152" s="119" t="n">
        <x:f>SUM(B$31:B151)</x:f>
        <x:v>353797000</x:v>
      </x:c>
      <x:c r="D152" s="119" t="n">
        <x:f>'经济参数'!$E$11*'经济参数'!$E$60*A152</x:f>
        <x:v>122000</x:v>
      </x:c>
      <x:c r="E152" s="119" t="n">
        <x:f>IF(A152&gt;=150,0,ROUNDUP(B152/D152,0))</x:f>
        <x:v>81</x:v>
      </x:c>
      <x:c r="F152" s="119" t="n">
        <x:f>SUM(E$31:E151)</x:f>
        <x:v>4185</x:v>
      </x:c>
      <x:c r="G152" s="119" t="n">
        <x:f>A152+3</x:f>
        <x:v>125</x:v>
      </x:c>
      <x:c r="H152" s="119" t="n">
        <x:f>INT(A152/10)</x:f>
        <x:v>12</x:v>
      </x:c>
      <x:c r="I152" s="65" t="str">
        <x:v>升级局数忽略上一级结余，仅用于量级判断</x:v>
      </x:c>
      <x:c r="J152" s="65" t="str">
        <x:v>app.js:114 · HERO_EXP_TABLE</x:v>
      </x:c>
    </x:row>
    <x:row r="153" ht="36" customHeight="1">
      <x:c r="A153" s="119" t="n">
        <x:v>123</x:v>
      </x:c>
      <x:c r="B153" s="119" t="n">
        <x:v>10086000</x:v>
      </x:c>
      <x:c r="C153" s="119" t="n">
        <x:f>SUM(B$31:B152)</x:f>
        <x:v>363679000</x:v>
      </x:c>
      <x:c r="D153" s="119" t="n">
        <x:f>'经济参数'!$E$11*'经济参数'!$E$60*A153</x:f>
        <x:v>123000</x:v>
      </x:c>
      <x:c r="E153" s="119" t="n">
        <x:f>IF(A153&gt;=150,0,ROUNDUP(B153/D153,0))</x:f>
        <x:v>82</x:v>
      </x:c>
      <x:c r="F153" s="119" t="n">
        <x:f>SUM(E$31:E152)</x:f>
        <x:v>4266</x:v>
      </x:c>
      <x:c r="G153" s="119" t="n">
        <x:f>A153+3</x:f>
        <x:v>126</x:v>
      </x:c>
      <x:c r="H153" s="119" t="n">
        <x:f>INT(A153/10)</x:f>
        <x:v>12</x:v>
      </x:c>
      <x:c r="I153" s="65" t="str">
        <x:v>升级局数忽略上一级结余，仅用于量级判断</x:v>
      </x:c>
      <x:c r="J153" s="65" t="str">
        <x:v>app.js:114 · HERO_EXP_TABLE</x:v>
      </x:c>
    </x:row>
    <x:row r="154" ht="36" customHeight="1">
      <x:c r="A154" s="119" t="n">
        <x:v>124</x:v>
      </x:c>
      <x:c r="B154" s="119" t="n">
        <x:v>10292000</x:v>
      </x:c>
      <x:c r="C154" s="119" t="n">
        <x:f>SUM(B$31:B153)</x:f>
        <x:v>373765000</x:v>
      </x:c>
      <x:c r="D154" s="119" t="n">
        <x:f>'经济参数'!$E$11*'经济参数'!$E$60*A154</x:f>
        <x:v>124000</x:v>
      </x:c>
      <x:c r="E154" s="119" t="n">
        <x:f>IF(A154&gt;=150,0,ROUNDUP(B154/D154,0))</x:f>
        <x:v>83</x:v>
      </x:c>
      <x:c r="F154" s="119" t="n">
        <x:f>SUM(E$31:E153)</x:f>
        <x:v>4348</x:v>
      </x:c>
      <x:c r="G154" s="119" t="n">
        <x:f>A154+3</x:f>
        <x:v>127</x:v>
      </x:c>
      <x:c r="H154" s="119" t="n">
        <x:f>INT(A154/10)</x:f>
        <x:v>12</x:v>
      </x:c>
      <x:c r="I154" s="65" t="str">
        <x:v>升级局数忽略上一级结余，仅用于量级判断</x:v>
      </x:c>
      <x:c r="J154" s="65" t="str">
        <x:v>app.js:114 · HERO_EXP_TABLE</x:v>
      </x:c>
    </x:row>
    <x:row r="155" ht="36" customHeight="1">
      <x:c r="A155" s="119" t="n">
        <x:v>125</x:v>
      </x:c>
      <x:c r="B155" s="119" t="n">
        <x:v>10500000</x:v>
      </x:c>
      <x:c r="C155" s="119" t="n">
        <x:f>SUM(B$31:B154)</x:f>
        <x:v>384057000</x:v>
      </x:c>
      <x:c r="D155" s="119" t="n">
        <x:f>'经济参数'!$E$11*'经济参数'!$E$60*A155</x:f>
        <x:v>125000</x:v>
      </x:c>
      <x:c r="E155" s="119" t="n">
        <x:f>IF(A155&gt;=150,0,ROUNDUP(B155/D155,0))</x:f>
        <x:v>84</x:v>
      </x:c>
      <x:c r="F155" s="119" t="n">
        <x:f>SUM(E$31:E154)</x:f>
        <x:v>4431</x:v>
      </x:c>
      <x:c r="G155" s="119" t="n">
        <x:f>A155+3</x:f>
        <x:v>128</x:v>
      </x:c>
      <x:c r="H155" s="119" t="n">
        <x:f>INT(A155/10)</x:f>
        <x:v>12</x:v>
      </x:c>
      <x:c r="I155" s="65" t="str">
        <x:v>升级局数忽略上一级结余，仅用于量级判断</x:v>
      </x:c>
      <x:c r="J155" s="65" t="str">
        <x:v>app.js:114 · HERO_EXP_TABLE</x:v>
      </x:c>
    </x:row>
    <x:row r="156" ht="36" customHeight="1">
      <x:c r="A156" s="119" t="n">
        <x:v>126</x:v>
      </x:c>
      <x:c r="B156" s="119" t="n">
        <x:v>10584000</x:v>
      </x:c>
      <x:c r="C156" s="119" t="n">
        <x:f>SUM(B$31:B155)</x:f>
        <x:v>394557000</x:v>
      </x:c>
      <x:c r="D156" s="119" t="n">
        <x:f>'经济参数'!$E$11*'经济参数'!$E$60*A156</x:f>
        <x:v>126000</x:v>
      </x:c>
      <x:c r="E156" s="119" t="n">
        <x:f>IF(A156&gt;=150,0,ROUNDUP(B156/D156,0))</x:f>
        <x:v>84</x:v>
      </x:c>
      <x:c r="F156" s="119" t="n">
        <x:f>SUM(E$31:E155)</x:f>
        <x:v>4515</x:v>
      </x:c>
      <x:c r="G156" s="119" t="n">
        <x:f>A156+3</x:f>
        <x:v>129</x:v>
      </x:c>
      <x:c r="H156" s="119" t="n">
        <x:f>INT(A156/10)</x:f>
        <x:v>12</x:v>
      </x:c>
      <x:c r="I156" s="65" t="str">
        <x:v>升级局数忽略上一级结余，仅用于量级判断</x:v>
      </x:c>
      <x:c r="J156" s="65" t="str">
        <x:v>app.js:114 · HERO_EXP_TABLE</x:v>
      </x:c>
    </x:row>
    <x:row r="157" ht="36" customHeight="1">
      <x:c r="A157" s="119" t="n">
        <x:v>127</x:v>
      </x:c>
      <x:c r="B157" s="119" t="n">
        <x:v>10795000</x:v>
      </x:c>
      <x:c r="C157" s="119" t="n">
        <x:f>SUM(B$31:B156)</x:f>
        <x:v>405141000</x:v>
      </x:c>
      <x:c r="D157" s="119" t="n">
        <x:f>'经济参数'!$E$11*'经济参数'!$E$60*A157</x:f>
        <x:v>127000</x:v>
      </x:c>
      <x:c r="E157" s="119" t="n">
        <x:f>IF(A157&gt;=150,0,ROUNDUP(B157/D157,0))</x:f>
        <x:v>85</x:v>
      </x:c>
      <x:c r="F157" s="119" t="n">
        <x:f>SUM(E$31:E156)</x:f>
        <x:v>4599</x:v>
      </x:c>
      <x:c r="G157" s="119" t="n">
        <x:f>A157+3</x:f>
        <x:v>130</x:v>
      </x:c>
      <x:c r="H157" s="119" t="n">
        <x:f>INT(A157/10)</x:f>
        <x:v>12</x:v>
      </x:c>
      <x:c r="I157" s="65" t="str">
        <x:v>升级局数忽略上一级结余，仅用于量级判断</x:v>
      </x:c>
      <x:c r="J157" s="65" t="str">
        <x:v>app.js:114 · HERO_EXP_TABLE</x:v>
      </x:c>
    </x:row>
    <x:row r="158" ht="36" customHeight="1">
      <x:c r="A158" s="119" t="n">
        <x:v>128</x:v>
      </x:c>
      <x:c r="B158" s="119" t="n">
        <x:v>11008000</x:v>
      </x:c>
      <x:c r="C158" s="119" t="n">
        <x:f>SUM(B$31:B157)</x:f>
        <x:v>415936000</x:v>
      </x:c>
      <x:c r="D158" s="119" t="n">
        <x:f>'经济参数'!$E$11*'经济参数'!$E$60*A158</x:f>
        <x:v>128000</x:v>
      </x:c>
      <x:c r="E158" s="119" t="n">
        <x:f>IF(A158&gt;=150,0,ROUNDUP(B158/D158,0))</x:f>
        <x:v>86</x:v>
      </x:c>
      <x:c r="F158" s="119" t="n">
        <x:f>SUM(E$31:E157)</x:f>
        <x:v>4684</x:v>
      </x:c>
      <x:c r="G158" s="119" t="n">
        <x:f>A158+3</x:f>
        <x:v>131</x:v>
      </x:c>
      <x:c r="H158" s="119" t="n">
        <x:f>INT(A158/10)</x:f>
        <x:v>12</x:v>
      </x:c>
      <x:c r="I158" s="65" t="str">
        <x:v>升级局数忽略上一级结余，仅用于量级判断</x:v>
      </x:c>
      <x:c r="J158" s="65" t="str">
        <x:v>app.js:114 · HERO_EXP_TABLE</x:v>
      </x:c>
    </x:row>
    <x:row r="159" ht="36" customHeight="1">
      <x:c r="A159" s="119" t="n">
        <x:v>129</x:v>
      </x:c>
      <x:c r="B159" s="119" t="n">
        <x:v>11223000</x:v>
      </x:c>
      <x:c r="C159" s="119" t="n">
        <x:f>SUM(B$31:B158)</x:f>
        <x:v>426944000</x:v>
      </x:c>
      <x:c r="D159" s="119" t="n">
        <x:f>'经济参数'!$E$11*'经济参数'!$E$60*A159</x:f>
        <x:v>129000</x:v>
      </x:c>
      <x:c r="E159" s="119" t="n">
        <x:f>IF(A159&gt;=150,0,ROUNDUP(B159/D159,0))</x:f>
        <x:v>87</x:v>
      </x:c>
      <x:c r="F159" s="119" t="n">
        <x:f>SUM(E$31:E158)</x:f>
        <x:v>4770</x:v>
      </x:c>
      <x:c r="G159" s="119" t="n">
        <x:f>A159+3</x:f>
        <x:v>132</x:v>
      </x:c>
      <x:c r="H159" s="119" t="n">
        <x:f>INT(A159/10)</x:f>
        <x:v>12</x:v>
      </x:c>
      <x:c r="I159" s="65" t="str">
        <x:v>升级局数忽略上一级结余，仅用于量级判断</x:v>
      </x:c>
      <x:c r="J159" s="65" t="str">
        <x:v>app.js:114 · HERO_EXP_TABLE</x:v>
      </x:c>
    </x:row>
    <x:row r="160" ht="36" customHeight="1">
      <x:c r="A160" s="119" t="n">
        <x:v>130</x:v>
      </x:c>
      <x:c r="B160" s="119" t="n">
        <x:v>11440000</x:v>
      </x:c>
      <x:c r="C160" s="119" t="n">
        <x:f>SUM(B$31:B159)</x:f>
        <x:v>438167000</x:v>
      </x:c>
      <x:c r="D160" s="119" t="n">
        <x:f>'经济参数'!$E$11*'经济参数'!$E$60*A160</x:f>
        <x:v>130000</x:v>
      </x:c>
      <x:c r="E160" s="119" t="n">
        <x:f>IF(A160&gt;=150,0,ROUNDUP(B160/D160,0))</x:f>
        <x:v>88</x:v>
      </x:c>
      <x:c r="F160" s="119" t="n">
        <x:f>SUM(E$31:E159)</x:f>
        <x:v>4857</x:v>
      </x:c>
      <x:c r="G160" s="119" t="n">
        <x:f>A160+3</x:f>
        <x:v>133</x:v>
      </x:c>
      <x:c r="H160" s="119" t="n">
        <x:f>INT(A160/10)</x:f>
        <x:v>13</x:v>
      </x:c>
      <x:c r="I160" s="65" t="str">
        <x:v>升级局数忽略上一级结余，仅用于量级判断</x:v>
      </x:c>
      <x:c r="J160" s="65" t="str">
        <x:v>app.js:114 · HERO_EXP_TABLE</x:v>
      </x:c>
    </x:row>
    <x:row r="161" ht="36" customHeight="1">
      <x:c r="A161" s="119" t="n">
        <x:v>131</x:v>
      </x:c>
      <x:c r="B161" s="119" t="n">
        <x:v>11659000</x:v>
      </x:c>
      <x:c r="C161" s="119" t="n">
        <x:f>SUM(B$31:B160)</x:f>
        <x:v>449607000</x:v>
      </x:c>
      <x:c r="D161" s="119" t="n">
        <x:f>'经济参数'!$E$11*'经济参数'!$E$60*A161</x:f>
        <x:v>131000</x:v>
      </x:c>
      <x:c r="E161" s="119" t="n">
        <x:f>IF(A161&gt;=150,0,ROUNDUP(B161/D161,0))</x:f>
        <x:v>89</x:v>
      </x:c>
      <x:c r="F161" s="119" t="n">
        <x:f>SUM(E$31:E160)</x:f>
        <x:v>4945</x:v>
      </x:c>
      <x:c r="G161" s="119" t="n">
        <x:f>A161+3</x:f>
        <x:v>134</x:v>
      </x:c>
      <x:c r="H161" s="119" t="n">
        <x:f>INT(A161/10)</x:f>
        <x:v>13</x:v>
      </x:c>
      <x:c r="I161" s="65" t="str">
        <x:v>升级局数忽略上一级结余，仅用于量级判断</x:v>
      </x:c>
      <x:c r="J161" s="65" t="str">
        <x:v>app.js:114 · HERO_EXP_TABLE</x:v>
      </x:c>
    </x:row>
    <x:row r="162" ht="36" customHeight="1">
      <x:c r="A162" s="119" t="n">
        <x:v>132</x:v>
      </x:c>
      <x:c r="B162" s="119" t="n">
        <x:v>11880000</x:v>
      </x:c>
      <x:c r="C162" s="119" t="n">
        <x:f>SUM(B$31:B161)</x:f>
        <x:v>461266000</x:v>
      </x:c>
      <x:c r="D162" s="119" t="n">
        <x:f>'经济参数'!$E$11*'经济参数'!$E$60*A162</x:f>
        <x:v>132000</x:v>
      </x:c>
      <x:c r="E162" s="119" t="n">
        <x:f>IF(A162&gt;=150,0,ROUNDUP(B162/D162,0))</x:f>
        <x:v>90</x:v>
      </x:c>
      <x:c r="F162" s="119" t="n">
        <x:f>SUM(E$31:E161)</x:f>
        <x:v>5034</x:v>
      </x:c>
      <x:c r="G162" s="119" t="n">
        <x:f>A162+3</x:f>
        <x:v>135</x:v>
      </x:c>
      <x:c r="H162" s="119" t="n">
        <x:f>INT(A162/10)</x:f>
        <x:v>13</x:v>
      </x:c>
      <x:c r="I162" s="65" t="str">
        <x:v>升级局数忽略上一级结余，仅用于量级判断</x:v>
      </x:c>
      <x:c r="J162" s="65" t="str">
        <x:v>app.js:114 · HERO_EXP_TABLE</x:v>
      </x:c>
    </x:row>
    <x:row r="163" ht="36" customHeight="1">
      <x:c r="A163" s="119" t="n">
        <x:v>133</x:v>
      </x:c>
      <x:c r="B163" s="119" t="n">
        <x:v>11970000</x:v>
      </x:c>
      <x:c r="C163" s="119" t="n">
        <x:f>SUM(B$31:B162)</x:f>
        <x:v>473146000</x:v>
      </x:c>
      <x:c r="D163" s="119" t="n">
        <x:f>'经济参数'!$E$11*'经济参数'!$E$60*A163</x:f>
        <x:v>133000</x:v>
      </x:c>
      <x:c r="E163" s="119" t="n">
        <x:f>IF(A163&gt;=150,0,ROUNDUP(B163/D163,0))</x:f>
        <x:v>90</x:v>
      </x:c>
      <x:c r="F163" s="119" t="n">
        <x:f>SUM(E$31:E162)</x:f>
        <x:v>5124</x:v>
      </x:c>
      <x:c r="G163" s="119" t="n">
        <x:f>A163+3</x:f>
        <x:v>136</x:v>
      </x:c>
      <x:c r="H163" s="119" t="n">
        <x:f>INT(A163/10)</x:f>
        <x:v>13</x:v>
      </x:c>
      <x:c r="I163" s="65" t="str">
        <x:v>升级局数忽略上一级结余，仅用于量级判断</x:v>
      </x:c>
      <x:c r="J163" s="65" t="str">
        <x:v>app.js:114 · HERO_EXP_TABLE</x:v>
      </x:c>
    </x:row>
    <x:row r="164" ht="36" customHeight="1">
      <x:c r="A164" s="119" t="n">
        <x:v>134</x:v>
      </x:c>
      <x:c r="B164" s="119" t="n">
        <x:v>12194000</x:v>
      </x:c>
      <x:c r="C164" s="119" t="n">
        <x:f>SUM(B$31:B163)</x:f>
        <x:v>485116000</x:v>
      </x:c>
      <x:c r="D164" s="119" t="n">
        <x:f>'经济参数'!$E$11*'经济参数'!$E$60*A164</x:f>
        <x:v>134000</x:v>
      </x:c>
      <x:c r="E164" s="119" t="n">
        <x:f>IF(A164&gt;=150,0,ROUNDUP(B164/D164,0))</x:f>
        <x:v>91</x:v>
      </x:c>
      <x:c r="F164" s="119" t="n">
        <x:f>SUM(E$31:E163)</x:f>
        <x:v>5214</x:v>
      </x:c>
      <x:c r="G164" s="119" t="n">
        <x:f>A164+3</x:f>
        <x:v>137</x:v>
      </x:c>
      <x:c r="H164" s="119" t="n">
        <x:f>INT(A164/10)</x:f>
        <x:v>13</x:v>
      </x:c>
      <x:c r="I164" s="65" t="str">
        <x:v>升级局数忽略上一级结余，仅用于量级判断</x:v>
      </x:c>
      <x:c r="J164" s="65" t="str">
        <x:v>app.js:114 · HERO_EXP_TABLE</x:v>
      </x:c>
    </x:row>
    <x:row r="165" ht="36" customHeight="1">
      <x:c r="A165" s="119" t="n">
        <x:v>135</x:v>
      </x:c>
      <x:c r="B165" s="119" t="n">
        <x:v>12420000</x:v>
      </x:c>
      <x:c r="C165" s="119" t="n">
        <x:f>SUM(B$31:B164)</x:f>
        <x:v>497310000</x:v>
      </x:c>
      <x:c r="D165" s="119" t="n">
        <x:f>'经济参数'!$E$11*'经济参数'!$E$60*A165</x:f>
        <x:v>135000</x:v>
      </x:c>
      <x:c r="E165" s="119" t="n">
        <x:f>IF(A165&gt;=150,0,ROUNDUP(B165/D165,0))</x:f>
        <x:v>92</x:v>
      </x:c>
      <x:c r="F165" s="119" t="n">
        <x:f>SUM(E$31:E164)</x:f>
        <x:v>5305</x:v>
      </x:c>
      <x:c r="G165" s="119" t="n">
        <x:f>A165+3</x:f>
        <x:v>138</x:v>
      </x:c>
      <x:c r="H165" s="119" t="n">
        <x:f>INT(A165/10)</x:f>
        <x:v>13</x:v>
      </x:c>
      <x:c r="I165" s="65" t="str">
        <x:v>升级局数忽略上一级结余，仅用于量级判断</x:v>
      </x:c>
      <x:c r="J165" s="65" t="str">
        <x:v>app.js:114 · HERO_EXP_TABLE</x:v>
      </x:c>
    </x:row>
    <x:row r="166" ht="36" customHeight="1">
      <x:c r="A166" s="119" t="n">
        <x:v>136</x:v>
      </x:c>
      <x:c r="B166" s="119" t="n">
        <x:v>12648000</x:v>
      </x:c>
      <x:c r="C166" s="119" t="n">
        <x:f>SUM(B$31:B165)</x:f>
        <x:v>509730000</x:v>
      </x:c>
      <x:c r="D166" s="119" t="n">
        <x:f>'经济参数'!$E$11*'经济参数'!$E$60*A166</x:f>
        <x:v>136000</x:v>
      </x:c>
      <x:c r="E166" s="119" t="n">
        <x:f>IF(A166&gt;=150,0,ROUNDUP(B166/D166,0))</x:f>
        <x:v>93</x:v>
      </x:c>
      <x:c r="F166" s="119" t="n">
        <x:f>SUM(E$31:E165)</x:f>
        <x:v>5397</x:v>
      </x:c>
      <x:c r="G166" s="119" t="n">
        <x:f>A166+3</x:f>
        <x:v>139</x:v>
      </x:c>
      <x:c r="H166" s="119" t="n">
        <x:f>INT(A166/10)</x:f>
        <x:v>13</x:v>
      </x:c>
      <x:c r="I166" s="65" t="str">
        <x:v>升级局数忽略上一级结余，仅用于量级判断</x:v>
      </x:c>
      <x:c r="J166" s="65" t="str">
        <x:v>app.js:114 · HERO_EXP_TABLE</x:v>
      </x:c>
    </x:row>
    <x:row r="167" ht="36" customHeight="1">
      <x:c r="A167" s="119" t="n">
        <x:v>137</x:v>
      </x:c>
      <x:c r="B167" s="119" t="n">
        <x:v>12878000</x:v>
      </x:c>
      <x:c r="C167" s="119" t="n">
        <x:f>SUM(B$31:B166)</x:f>
        <x:v>522378000</x:v>
      </x:c>
      <x:c r="D167" s="119" t="n">
        <x:f>'经济参数'!$E$11*'经济参数'!$E$60*A167</x:f>
        <x:v>137000</x:v>
      </x:c>
      <x:c r="E167" s="119" t="n">
        <x:f>IF(A167&gt;=150,0,ROUNDUP(B167/D167,0))</x:f>
        <x:v>94</x:v>
      </x:c>
      <x:c r="F167" s="119" t="n">
        <x:f>SUM(E$31:E166)</x:f>
        <x:v>5490</x:v>
      </x:c>
      <x:c r="G167" s="119" t="n">
        <x:f>A167+3</x:f>
        <x:v>140</x:v>
      </x:c>
      <x:c r="H167" s="119" t="n">
        <x:f>INT(A167/10)</x:f>
        <x:v>13</x:v>
      </x:c>
      <x:c r="I167" s="65" t="str">
        <x:v>升级局数忽略上一级结余，仅用于量级判断</x:v>
      </x:c>
      <x:c r="J167" s="65" t="str">
        <x:v>app.js:114 · HERO_EXP_TABLE</x:v>
      </x:c>
    </x:row>
    <x:row r="168" ht="36" customHeight="1">
      <x:c r="A168" s="119" t="n">
        <x:v>138</x:v>
      </x:c>
      <x:c r="B168" s="119" t="n">
        <x:v>13110000</x:v>
      </x:c>
      <x:c r="C168" s="119" t="n">
        <x:f>SUM(B$31:B167)</x:f>
        <x:v>535256000</x:v>
      </x:c>
      <x:c r="D168" s="119" t="n">
        <x:f>'经济参数'!$E$11*'经济参数'!$E$60*A168</x:f>
        <x:v>138000</x:v>
      </x:c>
      <x:c r="E168" s="119" t="n">
        <x:f>IF(A168&gt;=150,0,ROUNDUP(B168/D168,0))</x:f>
        <x:v>95</x:v>
      </x:c>
      <x:c r="F168" s="119" t="n">
        <x:f>SUM(E$31:E167)</x:f>
        <x:v>5584</x:v>
      </x:c>
      <x:c r="G168" s="119" t="n">
        <x:f>A168+3</x:f>
        <x:v>141</x:v>
      </x:c>
      <x:c r="H168" s="119" t="n">
        <x:f>INT(A168/10)</x:f>
        <x:v>13</x:v>
      </x:c>
      <x:c r="I168" s="65" t="str">
        <x:v>升级局数忽略上一级结余，仅用于量级判断</x:v>
      </x:c>
      <x:c r="J168" s="65" t="str">
        <x:v>app.js:114 · HERO_EXP_TABLE</x:v>
      </x:c>
    </x:row>
    <x:row r="169" ht="36" customHeight="1">
      <x:c r="A169" s="119" t="n">
        <x:v>139</x:v>
      </x:c>
      <x:c r="B169" s="119" t="n">
        <x:v>13344000</x:v>
      </x:c>
      <x:c r="C169" s="119" t="n">
        <x:f>SUM(B$31:B168)</x:f>
        <x:v>548366000</x:v>
      </x:c>
      <x:c r="D169" s="119" t="n">
        <x:f>'经济参数'!$E$11*'经济参数'!$E$60*A169</x:f>
        <x:v>139000</x:v>
      </x:c>
      <x:c r="E169" s="119" t="n">
        <x:f>IF(A169&gt;=150,0,ROUNDUP(B169/D169,0))</x:f>
        <x:v>96</x:v>
      </x:c>
      <x:c r="F169" s="119" t="n">
        <x:f>SUM(E$31:E168)</x:f>
        <x:v>5679</x:v>
      </x:c>
      <x:c r="G169" s="119" t="n">
        <x:f>A169+3</x:f>
        <x:v>142</x:v>
      </x:c>
      <x:c r="H169" s="119" t="n">
        <x:f>INT(A169/10)</x:f>
        <x:v>13</x:v>
      </x:c>
      <x:c r="I169" s="65" t="str">
        <x:v>升级局数忽略上一级结余，仅用于量级判断</x:v>
      </x:c>
      <x:c r="J169" s="65" t="str">
        <x:v>app.js:114 · HERO_EXP_TABLE</x:v>
      </x:c>
    </x:row>
    <x:row r="170" ht="36" customHeight="1">
      <x:c r="A170" s="119" t="n">
        <x:v>140</x:v>
      </x:c>
      <x:c r="B170" s="119" t="n">
        <x:v>13440000</x:v>
      </x:c>
      <x:c r="C170" s="119" t="n">
        <x:f>SUM(B$31:B169)</x:f>
        <x:v>561710000</x:v>
      </x:c>
      <x:c r="D170" s="119" t="n">
        <x:f>'经济参数'!$E$11*'经济参数'!$E$60*A170</x:f>
        <x:v>140000</x:v>
      </x:c>
      <x:c r="E170" s="119" t="n">
        <x:f>IF(A170&gt;=150,0,ROUNDUP(B170/D170,0))</x:f>
        <x:v>96</x:v>
      </x:c>
      <x:c r="F170" s="119" t="n">
        <x:f>SUM(E$31:E169)</x:f>
        <x:v>5775</x:v>
      </x:c>
      <x:c r="G170" s="119" t="n">
        <x:f>A170+3</x:f>
        <x:v>143</x:v>
      </x:c>
      <x:c r="H170" s="119" t="n">
        <x:f>INT(A170/10)</x:f>
        <x:v>14</x:v>
      </x:c>
      <x:c r="I170" s="65" t="str">
        <x:v>升级局数忽略上一级结余，仅用于量级判断</x:v>
      </x:c>
      <x:c r="J170" s="65" t="str">
        <x:v>app.js:114 · HERO_EXP_TABLE</x:v>
      </x:c>
    </x:row>
    <x:row r="171" ht="36" customHeight="1">
      <x:c r="A171" s="119" t="n">
        <x:v>141</x:v>
      </x:c>
      <x:c r="B171" s="119" t="n">
        <x:v>13677000</x:v>
      </x:c>
      <x:c r="C171" s="119" t="n">
        <x:f>SUM(B$31:B170)</x:f>
        <x:v>575150000</x:v>
      </x:c>
      <x:c r="D171" s="119" t="n">
        <x:f>'经济参数'!$E$11*'经济参数'!$E$60*A171</x:f>
        <x:v>141000</x:v>
      </x:c>
      <x:c r="E171" s="119" t="n">
        <x:f>IF(A171&gt;=150,0,ROUNDUP(B171/D171,0))</x:f>
        <x:v>97</x:v>
      </x:c>
      <x:c r="F171" s="119" t="n">
        <x:f>SUM(E$31:E170)</x:f>
        <x:v>5871</x:v>
      </x:c>
      <x:c r="G171" s="119" t="n">
        <x:f>A171+3</x:f>
        <x:v>144</x:v>
      </x:c>
      <x:c r="H171" s="119" t="n">
        <x:f>INT(A171/10)</x:f>
        <x:v>14</x:v>
      </x:c>
      <x:c r="I171" s="65" t="str">
        <x:v>升级局数忽略上一级结余，仅用于量级判断</x:v>
      </x:c>
      <x:c r="J171" s="65" t="str">
        <x:v>app.js:114 · HERO_EXP_TABLE</x:v>
      </x:c>
    </x:row>
    <x:row r="172" ht="36" customHeight="1">
      <x:c r="A172" s="119" t="n">
        <x:v>142</x:v>
      </x:c>
      <x:c r="B172" s="119" t="n">
        <x:v>13916000</x:v>
      </x:c>
      <x:c r="C172" s="119" t="n">
        <x:f>SUM(B$31:B171)</x:f>
        <x:v>588827000</x:v>
      </x:c>
      <x:c r="D172" s="119" t="n">
        <x:f>'经济参数'!$E$11*'经济参数'!$E$60*A172</x:f>
        <x:v>142000</x:v>
      </x:c>
      <x:c r="E172" s="119" t="n">
        <x:f>IF(A172&gt;=150,0,ROUNDUP(B172/D172,0))</x:f>
        <x:v>98</x:v>
      </x:c>
      <x:c r="F172" s="119" t="n">
        <x:f>SUM(E$31:E171)</x:f>
        <x:v>5968</x:v>
      </x:c>
      <x:c r="G172" s="119" t="n">
        <x:f>A172+3</x:f>
        <x:v>145</x:v>
      </x:c>
      <x:c r="H172" s="119" t="n">
        <x:f>INT(A172/10)</x:f>
        <x:v>14</x:v>
      </x:c>
      <x:c r="I172" s="65" t="str">
        <x:v>升级局数忽略上一级结余，仅用于量级判断</x:v>
      </x:c>
      <x:c r="J172" s="65" t="str">
        <x:v>app.js:114 · HERO_EXP_TABLE</x:v>
      </x:c>
    </x:row>
    <x:row r="173" ht="36" customHeight="1">
      <x:c r="A173" s="119" t="n">
        <x:v>143</x:v>
      </x:c>
      <x:c r="B173" s="119" t="n">
        <x:v>14157000</x:v>
      </x:c>
      <x:c r="C173" s="119" t="n">
        <x:f>SUM(B$31:B172)</x:f>
        <x:v>602743000</x:v>
      </x:c>
      <x:c r="D173" s="119" t="n">
        <x:f>'经济参数'!$E$11*'经济参数'!$E$60*A173</x:f>
        <x:v>143000</x:v>
      </x:c>
      <x:c r="E173" s="119" t="n">
        <x:f>IF(A173&gt;=150,0,ROUNDUP(B173/D173,0))</x:f>
        <x:v>99</x:v>
      </x:c>
      <x:c r="F173" s="119" t="n">
        <x:f>SUM(E$31:E172)</x:f>
        <x:v>6066</x:v>
      </x:c>
      <x:c r="G173" s="119" t="n">
        <x:f>A173+3</x:f>
        <x:v>146</x:v>
      </x:c>
      <x:c r="H173" s="119" t="n">
        <x:f>INT(A173/10)</x:f>
        <x:v>14</x:v>
      </x:c>
      <x:c r="I173" s="65" t="str">
        <x:v>升级局数忽略上一级结余，仅用于量级判断</x:v>
      </x:c>
      <x:c r="J173" s="65" t="str">
        <x:v>app.js:114 · HERO_EXP_TABLE</x:v>
      </x:c>
    </x:row>
    <x:row r="174" ht="36" customHeight="1">
      <x:c r="A174" s="119" t="n">
        <x:v>144</x:v>
      </x:c>
      <x:c r="B174" s="119" t="n">
        <x:v>14400000</x:v>
      </x:c>
      <x:c r="C174" s="119" t="n">
        <x:f>SUM(B$31:B173)</x:f>
        <x:v>616900000</x:v>
      </x:c>
      <x:c r="D174" s="119" t="n">
        <x:f>'经济参数'!$E$11*'经济参数'!$E$60*A174</x:f>
        <x:v>144000</x:v>
      </x:c>
      <x:c r="E174" s="119" t="n">
        <x:f>IF(A174&gt;=150,0,ROUNDUP(B174/D174,0))</x:f>
        <x:v>100</x:v>
      </x:c>
      <x:c r="F174" s="119" t="n">
        <x:f>SUM(E$31:E173)</x:f>
        <x:v>6165</x:v>
      </x:c>
      <x:c r="G174" s="119" t="n">
        <x:f>A174+3</x:f>
        <x:v>147</x:v>
      </x:c>
      <x:c r="H174" s="119" t="n">
        <x:f>INT(A174/10)</x:f>
        <x:v>14</x:v>
      </x:c>
      <x:c r="I174" s="65" t="str">
        <x:v>升级局数忽略上一级结余，仅用于量级判断</x:v>
      </x:c>
      <x:c r="J174" s="65" t="str">
        <x:v>app.js:114 · HERO_EXP_TABLE</x:v>
      </x:c>
    </x:row>
    <x:row r="175" ht="36" customHeight="1">
      <x:c r="A175" s="119" t="n">
        <x:v>145</x:v>
      </x:c>
      <x:c r="B175" s="119" t="n">
        <x:v>14645000</x:v>
      </x:c>
      <x:c r="C175" s="119" t="n">
        <x:f>SUM(B$31:B174)</x:f>
        <x:v>631300000</x:v>
      </x:c>
      <x:c r="D175" s="119" t="n">
        <x:f>'经济参数'!$E$11*'经济参数'!$E$60*A175</x:f>
        <x:v>145000</x:v>
      </x:c>
      <x:c r="E175" s="119" t="n">
        <x:f>IF(A175&gt;=150,0,ROUNDUP(B175/D175,0))</x:f>
        <x:v>101</x:v>
      </x:c>
      <x:c r="F175" s="119" t="n">
        <x:f>SUM(E$31:E174)</x:f>
        <x:v>6265</x:v>
      </x:c>
      <x:c r="G175" s="119" t="n">
        <x:f>A175+3</x:f>
        <x:v>148</x:v>
      </x:c>
      <x:c r="H175" s="119" t="n">
        <x:f>INT(A175/10)</x:f>
        <x:v>14</x:v>
      </x:c>
      <x:c r="I175" s="65" t="str">
        <x:v>升级局数忽略上一级结余，仅用于量级判断</x:v>
      </x:c>
      <x:c r="J175" s="65" t="str">
        <x:v>app.js:114 · HERO_EXP_TABLE</x:v>
      </x:c>
    </x:row>
    <x:row r="176" ht="36" customHeight="1">
      <x:c r="A176" s="119" t="n">
        <x:v>146</x:v>
      </x:c>
      <x:c r="B176" s="119" t="n">
        <x:v>14746000</x:v>
      </x:c>
      <x:c r="C176" s="119" t="n">
        <x:f>SUM(B$31:B175)</x:f>
        <x:v>645945000</x:v>
      </x:c>
      <x:c r="D176" s="119" t="n">
        <x:f>'经济参数'!$E$11*'经济参数'!$E$60*A176</x:f>
        <x:v>146000</x:v>
      </x:c>
      <x:c r="E176" s="119" t="n">
        <x:f>IF(A176&gt;=150,0,ROUNDUP(B176/D176,0))</x:f>
        <x:v>101</x:v>
      </x:c>
      <x:c r="F176" s="119" t="n">
        <x:f>SUM(E$31:E175)</x:f>
        <x:v>6366</x:v>
      </x:c>
      <x:c r="G176" s="119" t="n">
        <x:f>A176+3</x:f>
        <x:v>149</x:v>
      </x:c>
      <x:c r="H176" s="119" t="n">
        <x:f>INT(A176/10)</x:f>
        <x:v>14</x:v>
      </x:c>
      <x:c r="I176" s="65" t="str">
        <x:v>升级局数忽略上一级结余，仅用于量级判断</x:v>
      </x:c>
      <x:c r="J176" s="65" t="str">
        <x:v>app.js:114 · HERO_EXP_TABLE</x:v>
      </x:c>
    </x:row>
    <x:row r="177" ht="36" customHeight="1">
      <x:c r="A177" s="119" t="n">
        <x:v>147</x:v>
      </x:c>
      <x:c r="B177" s="119" t="n">
        <x:v>14994000</x:v>
      </x:c>
      <x:c r="C177" s="119" t="n">
        <x:f>SUM(B$31:B176)</x:f>
        <x:v>660691000</x:v>
      </x:c>
      <x:c r="D177" s="119" t="n">
        <x:f>'经济参数'!$E$11*'经济参数'!$E$60*A177</x:f>
        <x:v>147000</x:v>
      </x:c>
      <x:c r="E177" s="119" t="n">
        <x:f>IF(A177&gt;=150,0,ROUNDUP(B177/D177,0))</x:f>
        <x:v>102</x:v>
      </x:c>
      <x:c r="F177" s="119" t="n">
        <x:f>SUM(E$31:E176)</x:f>
        <x:v>6467</x:v>
      </x:c>
      <x:c r="G177" s="119" t="n">
        <x:f>A177+3</x:f>
        <x:v>150</x:v>
      </x:c>
      <x:c r="H177" s="119" t="n">
        <x:f>INT(A177/10)</x:f>
        <x:v>14</x:v>
      </x:c>
      <x:c r="I177" s="65" t="str">
        <x:v>升级局数忽略上一级结余，仅用于量级判断</x:v>
      </x:c>
      <x:c r="J177" s="65" t="str">
        <x:v>app.js:114 · HERO_EXP_TABLE</x:v>
      </x:c>
    </x:row>
    <x:row r="178" ht="36" customHeight="1">
      <x:c r="A178" s="119" t="n">
        <x:v>148</x:v>
      </x:c>
      <x:c r="B178" s="119" t="n">
        <x:v>15244000</x:v>
      </x:c>
      <x:c r="C178" s="119" t="n">
        <x:f>SUM(B$31:B177)</x:f>
        <x:v>675685000</x:v>
      </x:c>
      <x:c r="D178" s="119" t="n">
        <x:f>'经济参数'!$E$11*'经济参数'!$E$60*A178</x:f>
        <x:v>148000</x:v>
      </x:c>
      <x:c r="E178" s="119" t="n">
        <x:f>IF(A178&gt;=150,0,ROUNDUP(B178/D178,0))</x:f>
        <x:v>103</x:v>
      </x:c>
      <x:c r="F178" s="119" t="n">
        <x:f>SUM(E$31:E177)</x:f>
        <x:v>6569</x:v>
      </x:c>
      <x:c r="G178" s="119" t="n">
        <x:f>A178+3</x:f>
        <x:v>151</x:v>
      </x:c>
      <x:c r="H178" s="119" t="n">
        <x:f>INT(A178/10)</x:f>
        <x:v>14</x:v>
      </x:c>
      <x:c r="I178" s="65" t="str">
        <x:v>升级局数忽略上一级结余，仅用于量级判断</x:v>
      </x:c>
      <x:c r="J178" s="65" t="str">
        <x:v>app.js:114 · HERO_EXP_TABLE</x:v>
      </x:c>
    </x:row>
    <x:row r="179" ht="36" customHeight="1">
      <x:c r="A179" s="119" t="n">
        <x:v>149</x:v>
      </x:c>
      <x:c r="B179" s="119" t="n">
        <x:v>15496000</x:v>
      </x:c>
      <x:c r="C179" s="119" t="n">
        <x:f>SUM(B$31:B178)</x:f>
        <x:v>690929000</x:v>
      </x:c>
      <x:c r="D179" s="119" t="n">
        <x:f>'经济参数'!$E$11*'经济参数'!$E$60*A179</x:f>
        <x:v>149000</x:v>
      </x:c>
      <x:c r="E179" s="119" t="n">
        <x:f>IF(A179&gt;=150,0,ROUNDUP(B179/D179,0))</x:f>
        <x:v>104</x:v>
      </x:c>
      <x:c r="F179" s="119" t="n">
        <x:f>SUM(E$31:E178)</x:f>
        <x:v>6672</x:v>
      </x:c>
      <x:c r="G179" s="119" t="n">
        <x:f>A179+3</x:f>
        <x:v>152</x:v>
      </x:c>
      <x:c r="H179" s="119" t="n">
        <x:f>INT(A179/10)</x:f>
        <x:v>14</x:v>
      </x:c>
      <x:c r="I179" s="65" t="str">
        <x:v>升级局数忽略上一级结余，仅用于量级判断</x:v>
      </x:c>
      <x:c r="J179" s="65" t="str">
        <x:v>app.js:114 · HERO_EXP_TABLE</x:v>
      </x:c>
    </x:row>
    <x:row r="180" ht="36" customHeight="1">
      <x:c r="A180" s="119" t="n">
        <x:v>150</x:v>
      </x:c>
      <x:c r="B180" s="119" t="n">
        <x:v>0</x:v>
      </x:c>
      <x:c r="C180" s="119" t="n">
        <x:f>SUM(B$31:B179)</x:f>
        <x:v>706425000</x:v>
      </x:c>
      <x:c r="D180" s="119" t="n">
        <x:f>'经济参数'!$E$11*'经济参数'!$E$60*A180</x:f>
        <x:v>150000</x:v>
      </x:c>
      <x:c r="E180" s="119" t="n">
        <x:f>IF(A180&gt;=150,0,ROUNDUP(B180/D180,0))</x:f>
        <x:v>0</x:v>
      </x:c>
      <x:c r="F180" s="119" t="n">
        <x:f>SUM(E$31:E179)</x:f>
        <x:v>6776</x:v>
      </x:c>
      <x:c r="G180" s="119" t="n">
        <x:f>A180+3</x:f>
        <x:v>153</x:v>
      </x:c>
      <x:c r="H180" s="119" t="n">
        <x:f>INT(A180/10)</x:f>
        <x:v>15</x:v>
      </x:c>
      <x:c r="I180" s="65" t="str">
        <x:v>当前上限；最后一项经验未被升级使用</x:v>
      </x:c>
      <x:c r="J180" s="65" t="str">
        <x:v>app.js:114 · HERO_EXP_TABLE</x:v>
      </x:c>
    </x:row>
    <x:row r="181" ht="23" customHeight="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</x:row>
  </x:sheetData>
  <x:mergeCells>
    <x:mergeCell ref="A1:J2"/>
    <x:mergeCell ref="A3:J3"/>
    <x:mergeCell ref="A24:J24"/>
    <x:mergeCell ref="B4:D4"/>
    <x:mergeCell ref="A26:J26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B35B3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58" hidden="0" customWidth="1"/>
    <x:col min="3" max="3" width="66" hidden="0" customWidth="1"/>
    <x:col min="4" max="4" width="72" hidden="0" customWidth="1"/>
    <x:col min="5" max="5" width="72" hidden="0" customWidth="1"/>
    <x:col min="6" max="6" width="58" hidden="0" customWidth="1"/>
  </x:cols>
  <x:sheetData>
    <x:row r="1" ht="23" customHeight="1">
      <x:c r="A1" s="59" t="str">
        <x:v>17｜当前问题、候选调整与验证</x:v>
      </x:c>
      <x:c r="B1" s="60"/>
      <x:c r="C1" s="60"/>
      <x:c r="D1" s="60"/>
      <x:c r="E1" s="60"/>
      <x:c r="F1" s="60"/>
    </x:row>
    <x:row r="2" ht="23" customHeight="1">
      <x:c r="A2" s="60"/>
      <x:c r="B2" s="60"/>
      <x:c r="C2" s="60"/>
      <x:c r="D2" s="60"/>
      <x:c r="E2" s="60"/>
      <x:c r="F2" s="60"/>
    </x:row>
    <x:row r="3" ht="44" customHeight="1">
      <x:c r="A3" s="61" t="str">
        <x:v>不把模型结果当作真实玩家留存。候选仅用于对照；改动需单独接入工程并经过实战回放、分层用户数据验证。</x:v>
      </x:c>
      <x:c r="B3" s="61"/>
      <x:c r="C3" s="61"/>
      <x:c r="D3" s="61"/>
      <x:c r="E3" s="61"/>
      <x:c r="F3" s="61"/>
    </x:row>
    <x:row r="4" ht="23" customHeight="1">
      <x:c r="A4" s="62" t="str">
        <x:v>采用方案</x:v>
      </x:c>
      <x:c r="B4" s="62" t="str">
        <x:f>IF('使用说明'!$B$4=0,"工程当前","调优试算")</x:f>
        <x:v>工程当前</x:v>
      </x:c>
      <x:c r="C4" s="62"/>
      <x:c r="D4" s="62"/>
      <x:c r="E4" s="62"/>
      <x:c r="F4" s="62"/>
    </x:row>
    <x:row r="5" ht="23" customHeight="1">
      <x:c r="A5" s="62"/>
      <x:c r="B5" s="62"/>
      <x:c r="C5" s="62"/>
      <x:c r="D5" s="62"/>
      <x:c r="E5" s="62"/>
      <x:c r="F5" s="62"/>
    </x:row>
    <x:row r="6" ht="36" customHeight="1">
      <x:c r="A6" s="64" t="str">
        <x:v>优先级</x:v>
      </x:c>
      <x:c r="B6" s="64" t="str">
        <x:v>当前事实</x:v>
      </x:c>
      <x:c r="C6" s="64" t="str">
        <x:v>体验风险</x:v>
      </x:c>
      <x:c r="D6" s="64" t="str">
        <x:v>本表候选/建议</x:v>
      </x:c>
      <x:c r="E6" s="64" t="str">
        <x:v>验证方法</x:v>
      </x:c>
      <x:c r="F6" s="64" t="str">
        <x:v>证据</x:v>
      </x:c>
    </x:row>
    <x:row r="7" ht="86" customHeight="1">
      <x:c r="A7" s="65" t="str">
        <x:v>已确认</x:v>
      </x:c>
      <x:c r="B7" s="65" t="str">
        <x:v>自然恢复80体力/日，元宝与广告补给各60</x:v>
      </x:c>
      <x:c r="C7" s="65" t="str">
        <x:v>稳定约20局/日，按3分钟约60分钟；剩余时间由养成、挑战与军报承接</x:v>
      </x:c>
      <x:c r="D7" s="65" t="str">
        <x:v>维持18分钟恢复1点，不用体力无限堆局数</x:v>
      </x:c>
      <x:c r="E7" s="65" t="str">
        <x:v>分别观察不看广告/常规IAA/高活跃群体实际在线时间</x:v>
      </x:c>
      <x:c r="F7" s="65" t="str">
        <x:v>app.js:44 · STAMINA_REGEN_INTERVAL</x:v>
      </x:c>
    </x:row>
    <x:row r="8" ht="86" customHeight="1">
      <x:c r="A8" s="65" t="str">
        <x:v>P0</x:v>
      </x:c>
      <x:c r="B8" s="65" t="str">
        <x:v>每波怪物数随关卡增加1.15只，无封顶</x:v>
      </x:c>
      <x:c r="C8" s="65" t="str">
        <x:v>900关仅出怪已接近98分钟，900关不是一个月可玩的证据</x:v>
      </x:c>
      <x:c r="D8" s="65" t="str">
        <x:v>候选数量斜率0.12、单波封顶18；再用HP/机制而非数量承接后期难度</x:v>
      </x:c>
      <x:c r="E8" s="65" t="str">
        <x:v>实测P50/P80通关时长，主线目标约3分钟，Boss战单独统计</x:v>
      </x:c>
      <x:c r="F8" s="65" t="str">
        <x:v>app.js:3144 · startWave</x:v>
      </x:c>
    </x:row>
    <x:row r="9" ht="86" customHeight="1">
      <x:c r="A9" s="65" t="str">
        <x:v>已处理</x:v>
      </x:c>
      <x:c r="B9" s="65" t="str">
        <x:v>商店与打造弹窗统一为1元宝=2强化石=0.2升星石</x:v>
      </x:c>
      <x:c r="C9" s="65" t="str">
        <x:v>材料兑换只用于补缺口，不再压过关卡和任务投放</x:v>
      </x:c>
      <x:c r="D9" s="65" t="str">
        <x:v>继续观察元宝兑换率与材料缺口，不建议再上调汇率</x:v>
      </x:c>
      <x:c r="E9" s="65" t="str">
        <x:v>逐入口检查实际扣费、货币显示、失败回滚</x:v>
      </x:c>
      <x:c r="F9" s="65" t="str">
        <x:v>app.js:5278 · showShop</x:v>
      </x:c>
    </x:row>
    <x:row r="10" ht="86" customHeight="1">
      <x:c r="A10" s="65" t="str">
        <x:v>已确认</x:v>
      </x:c>
      <x:c r="B10" s="65" t="str">
        <x:v>普通首通三档宝箱合计300元宝，挑战宝箱为3倍，重复通关不再产出</x:v>
      </x:c>
      <x:c r="C10" s="65" t="str">
        <x:v>首通元宝高，必须由体力、突破和材料兑换持续回收</x:v>
      </x:c>
      <x:c r="D10" s="65" t="str">
        <x:v>保持固定宝箱值；模型加入阶段突破与第7天后材料兑换预算</x:v>
      </x:c>
      <x:c r="E10" s="65" t="str">
        <x:v>用广告成长对照与30天收支比较货币库存</x:v>
      </x:c>
      <x:c r="F10" s="65" t="str">
        <x:v>app.js:39 · STAGE_CHEST_META</x:v>
      </x:c>
    </x:row>
    <x:row r="11" ht="86" customHeight="1">
      <x:c r="A11" s="65" t="str">
        <x:v>已处理</x:v>
      </x:c>
      <x:c r="B11" s="65" t="str">
        <x:v>军报品质只加0～1档，元宝15～40</x:v>
      </x:c>
      <x:c r="C11" s="65" t="str">
        <x:v>免费事件仍有吸引力，但不再大幅跳过品质追求</x:v>
      </x:c>
      <x:c r="D11" s="65" t="str">
        <x:v>继续限制每日曝光与高品质首次出现时间</x:v>
      </x:c>
      <x:c r="E11" s="65" t="str">
        <x:v>模拟首次红/金、三武将套装P50/P80/P95达成天数</x:v>
      </x:c>
      <x:c r="F11" s="65" t="str">
        <x:v>app.js:5624 · settleBeastRaid</x:v>
      </x:c>
    </x:row>
    <x:row r="12" ht="86" customHeight="1">
      <x:c r="A12" s="65" t="str">
        <x:v>需数据</x:v>
      </x:c>
      <x:c r="B12" s="65" t="str">
        <x:v>121关后金装直接掉落率0.05%</x:v>
      </x:c>
      <x:c r="C12" s="65" t="str">
        <x:v>主线金装保持稀有，主要追求来自长期合成与军报</x:v>
      </x:c>
      <x:c r="D12" s="65" t="str">
        <x:v>上线后按首金P50/P80与三武将品质分布再校准</x:v>
      </x:c>
      <x:c r="E12" s="65" t="str">
        <x:v>全来源蒙特卡洛模拟与90分钟行为模型联测</x:v>
      </x:c>
      <x:c r="F12" s="65" t="str">
        <x:v>app.js:177 · EQUIPMENT_DROP_TABLES</x:v>
      </x:c>
    </x:row>
    <x:row r="13" ht="86" customHeight="1">
      <x:c r="A13" s="65" t="str">
        <x:v>已处理</x:v>
      </x:c>
      <x:c r="B13" s="65" t="str">
        <x:v>关卡与每日任务材料约为旧版40%至55%，初始材料同步下调</x:v>
      </x:c>
      <x:c r="C13" s="65" t="str">
        <x:v>前2天仍可完成基础强化，后续需要在强化与升星之间选择</x:v>
      </x:c>
      <x:c r="D13" s="65" t="str">
        <x:v>第7天后允许用首通元宝补材料，缺口控制为可追赶状态</x:v>
      </x:c>
      <x:c r="E13" s="65" t="str">
        <x:v>检查首2日净产出、7/14/30日库存与兑换占比</x:v>
      </x:c>
      <x:c r="F13" s="65" t="str">
        <x:v>app.js:217 · FORGE_ECONOMY</x:v>
      </x:c>
    </x:row>
    <x:row r="14" ht="86" customHeight="1">
      <x:c r="A14" s="65" t="str">
        <x:v>已处理</x:v>
      </x:c>
      <x:c r="B14" s="65" t="str">
        <x:v>升星成功率改为1～3星100%，4～5星80%，之后分档下降至15%</x:v>
      </x:c>
      <x:c r="C14" s="65" t="str">
        <x:v>低星体验稳定，高星仍保留长期追求和资源消耗</x:v>
      </x:c>
      <x:c r="D14" s="65" t="str">
        <x:v>监测每星平均尝试次数与连续失败退出率</x:v>
      </x:c>
      <x:c r="E14" s="65" t="str">
        <x:v>边界3/4/5、10/11、20/21、25/26逐项测试</x:v>
      </x:c>
      <x:c r="F14" s="65" t="str">
        <x:v>app.js:251 · FORGE_STAR_RATES</x:v>
      </x:c>
    </x:row>
    <x:row r="15" ht="86" customHeight="1">
      <x:c r="A15" s="65" t="str">
        <x:v>P1</x:v>
      </x:c>
      <x:c r="B15" s="65" t="str">
        <x:v>Boss配置写5倍，实际生成代码使用4倍×重甲1.7</x:v>
      </x:c>
      <x:c r="C15" s="65" t="str">
        <x:v>只改BOSS_CONFIG不会改变Boss真实HP</x:v>
      </x:c>
      <x:c r="D15" s="65" t="str">
        <x:v>本表按4倍还原，候选5倍；工程应统一到单一配置</x:v>
      </x:c>
      <x:c r="E15" s="65" t="str">
        <x:v>对比实际出生HP与波次预览</x:v>
      </x:c>
      <x:c r="F15" s="65" t="str">
        <x:v>app.js:3265 · spawnMonster</x:v>
      </x:c>
    </x:row>
    <x:row r="16" ht="86" customHeight="1">
      <x:c r="A16" s="65" t="str">
        <x:v>P1</x:v>
      </x:c>
      <x:c r="B16" s="65" t="str">
        <x:v>第1关总怪物33只，6次卡牌累计需94次击杀</x:v>
      </x:c>
      <x:c r="C16" s="65" t="str">
        <x:v>短关无法提供6次，后期长关则全挤在前段</x:v>
      </x:c>
      <x:c r="D16" s="65" t="str">
        <x:v>建议按波次进度或总怪物百分比设卡牌阈值，短关明确只给3次</x:v>
      </x:c>
      <x:c r="E16" s="65" t="str">
        <x:v>统计每次选卡距开局时间与Boss前覆盖率</x:v>
      </x:c>
      <x:c r="F16" s="65" t="str">
        <x:v>app.js:25 · CARD_KILL_STEPS</x:v>
      </x:c>
    </x:row>
    <x:row r="17" ht="86" customHeight="1">
      <x:c r="A17" s="65" t="str">
        <x:v>P1</x:v>
      </x:c>
      <x:c r="B17" s="65" t="str">
        <x:v>怪物HP基础项×线性难度，呈二次增长</x:v>
      </x:c>
      <x:c r="C17" s="65" t="str">
        <x:v>固定/线性养成未必跟得上；可能被百分比大招完全绕过</x:v>
      </x:c>
      <x:c r="D17" s="65" t="str">
        <x:v>候选降低HP斜率，Boss增加技能而非单纯堆血；大招按Boss抗性单独结算</x:v>
      </x:c>
      <x:c r="E17" s="65" t="str">
        <x:v>比较DPS/入场HP、各技能伤害占比、漏怪与防线损伤</x:v>
      </x:c>
      <x:c r="F17" s="65" t="str">
        <x:v>app.js:3144 · startWave</x:v>
      </x:c>
    </x:row>
    <x:row r="18" ht="86" customHeight="1">
      <x:c r="A18" s="65" t="str">
        <x:v>P1</x:v>
      </x:c>
      <x:c r="B18" s="65" t="str">
        <x:v>高阶技能可对全场造成130%/160%最大HP伤害</x:v>
      </x:c>
      <x:c r="C18" s="65" t="str">
        <x:v>包含Boss时可能一键跳过所有血量成长</x:v>
      </x:c>
      <x:c r="D18" s="65" t="str">
        <x:v>保留最低固定伤害并继续观察高关Boss的跳过率</x:v>
      </x:c>
      <x:c r="E18" s="65" t="str">
        <x:v>全技能对Boss回归测试；记录击杀来源</x:v>
      </x:c>
      <x:c r="F18" s="65" t="str">
        <x:v>app.js:305 · HERO_SKILLS</x:v>
      </x:c>
    </x:row>
    <x:row r="19" ht="86" customHeight="1">
      <x:c r="A19" s="65" t="str">
        <x:v>P1</x:v>
      </x:c>
      <x:c r="B19" s="65" t="str">
        <x:v>awardHeroExp自动越过10级，loadProgress按突破阶限制等级</x:v>
      </x:c>
      <x:c r="C19" s="65" t="str">
        <x:v>未突破时可能重载后等级回退</x:v>
      </x:c>
      <x:c r="D19" s="65" t="str">
        <x:v>统一升级门槛与存档加载规则；此次只登记，不改代码</x:v>
      </x:c>
      <x:c r="E19" s="65" t="str">
        <x:v>9→10→11级不突破保存重载，检查等级/经验/最大HP</x:v>
      </x:c>
      <x:c r="F19" s="65" t="str">
        <x:v>app.js:4442 · awardHeroExp</x:v>
      </x:c>
    </x:row>
    <x:row r="20" ht="86" customHeight="1">
      <x:c r="A20" s="65" t="str">
        <x:v>P2</x:v>
      </x:c>
      <x:c r="B20" s="65" t="str">
        <x:v>强化上限max(主角等级,最高解锁关卡)×2</x:v>
      </x:c>
      <x:c r="C20" s="65" t="str">
        <x:v>不是文档中的单纯角色等级×2；后期上限很高</x:v>
      </x:c>
      <x:c r="D20" s="65" t="str">
        <x:v>先确认是否保留关卡拉升上限，本表列出到300级预算</x:v>
      </x:c>
      <x:c r="E20" s="65" t="str">
        <x:v>校验空槽强化生效、装备卸下、大师加成与上限</x:v>
      </x:c>
      <x:c r="F20" s="65" t="str">
        <x:v>app.js:4474 · forgeEnhanceCap</x:v>
      </x:c>
    </x:row>
    <x:row r="21" ht="86" customHeight="1">
      <x:c r="A21" s="65" t="str">
        <x:v>P2</x:v>
      </x:c>
      <x:c r="B21" s="65" t="str">
        <x:v>所有怪物闪避100、韧性0；武将基础命中100</x:v>
      </x:c>
      <x:c r="C21" s="65" t="str">
        <x:v>命中装备当前几乎没有边际作用；暴击每点仅0.005个百分点</x:v>
      </x:c>
      <x:c r="D21" s="65" t="str">
        <x:v>分章节给少量高闪避/韧性怪，保留大部分命中稳定的爽感</x:v>
      </x:c>
      <x:c r="E21" s="65" t="str">
        <x:v>战斗压力表与实战命中率、暴击率、反馈字样对比</x:v>
      </x:c>
      <x:c r="F21" s="65" t="str">
        <x:v>app.js:397 · MONSTER_PROFILES</x:v>
      </x:c>
    </x:row>
    <x:row r="22" ht="86" customHeight="1">
      <x:c r="A22" s="65" t="str">
        <x:v>P2</x:v>
      </x:c>
      <x:c r="B22" s="65" t="str">
        <x:v>体力显示满60，自然恢复实际到500；广告无需先买</x:v>
      </x:c>
      <x:c r="C22" s="65" t="str">
        <x:v>与早期需求存在差异，应先统一规则与文案</x:v>
      </x:c>
      <x:c r="D22" s="65" t="str">
        <x:v>本表还原现状，是否改回60停恢复需另确认</x:v>
      </x:c>
      <x:c r="E22" s="65" t="str">
        <x:v>测试59/60/499/500与跨自然日重置</x:v>
      </x:c>
      <x:c r="F22" s="65" t="str">
        <x:v>app.js:2051 · refreshStamina</x:v>
      </x:c>
    </x:row>
    <x:row r="23" ht="86" customHeight="1">
      <x:c r="A23" s="65" t="str">
        <x:v>P2</x:v>
      </x:c>
      <x:c r="B23" s="65" t="str">
        <x:v>军报是在线概率事件，保底一天1次不是最多1次</x:v>
      </x:c>
      <x:c r="C23" s="65" t="str">
        <x:v>把每天1军报当确定供给会低估波动</x:v>
      </x:c>
      <x:c r="D23" s="65" t="str">
        <x:v>每日计划保留显式假设；分别测0/1/2次和参与率</x:v>
      </x:c>
      <x:c r="E23" s="65" t="str">
        <x:v>事件曝光、过期率、参加率、失败奖励利用率</x:v>
      </x:c>
      <x:c r="F23" s="65" t="str">
        <x:v>app.js:82 · ARMY_REPORT_CONFIG</x:v>
      </x:c>
    </x:row>
    <x:row r="24" ht="86" customHeight="1">
      <x:c r="A24" s="65" t="str">
        <x:v>已处理</x:v>
      </x:c>
      <x:c r="B24" s="65" t="str">
        <x:v>主角经验按等价胜局分段增长，技能按等级解锁，结算广告同步补发经验</x:v>
      </x:c>
      <x:c r="C24" s="65" t="str">
        <x:v>零广告可稳定成长，看满广告会更早达到技能等级门槛</x:v>
      </x:c>
      <x:c r="D24" s="65" t="str">
        <x:v>用第1/7/30/90天主角等级与技能解锁率继续校准</x:v>
      </x:c>
      <x:c r="E24" s="65" t="str">
        <x:v>广告成长对照页检查30/90/180天等级差异</x:v>
      </x:c>
      <x:c r="F24" s="65" t="str">
        <x:v>app.js:114 · HERO_EXP_TABLE</x:v>
      </x:c>
    </x:row>
    <x:row r="25" ht="86" customHeight="1">
      <x:c r="A25" s="65" t="str">
        <x:v>P2</x:v>
      </x:c>
      <x:c r="B25" s="65" t="str">
        <x:v>30天模型按代表关卡+群体胜率预算，不执行实时战斗</x:v>
      </x:c>
      <x:c r="C25" s="65" t="str">
        <x:v>不能承诺80%玩家留存30天或半年追求精确达成</x:v>
      </x:c>
      <x:c r="D25" s="65" t="str">
        <x:v>接入逐局分布、装备部位蒙特卡洛、真实广告完成率后再定量</x:v>
      </x:c>
      <x:c r="E25" s="65" t="str">
        <x:v>至少记录关卡、时长、失败波、广告完成、收支、背包变化</x:v>
      </x:c>
      <x:c r="F25" s="65" t="str">
        <x:v>app.js:416 · LEVEL_CONTENT_COUNT</x:v>
      </x:c>
    </x:row>
    <x:row r="26" ht="23" customHeight="1">
      <x:c r="A26" s="62"/>
      <x:c r="B26" s="62"/>
      <x:c r="C26" s="62"/>
      <x:c r="D26" s="62"/>
      <x:c r="E26" s="62"/>
      <x:c r="F26" s="62"/>
    </x:row>
  </x:sheetData>
  <x:mergeCells>
    <x:mergeCell ref="A1:F2"/>
    <x:mergeCell ref="A3:F3"/>
    <x:mergeCell ref="B4:D4"/>
  </x:mergeCells>
  <x:pageMargins left="0.7" right="0.7" top="0.75" bottom="0.75" header="0.3" footer="0.3"/>
</x:worksheet>
</file>